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c34f30da4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家仪表板" sheetId="1" r:id="R00851bac28e14729"/>
    <x:sheet xmlns:r="http://schemas.openxmlformats.org/officeDocument/2006/relationships" name="指标说明" sheetId="2" r:id="Rcef06b2f6db545ba"/>
    <x:sheet xmlns:r="http://schemas.openxmlformats.org/officeDocument/2006/relationships" name="ET0现场回测" sheetId="3" r:id="R2a4f82214dcb440f"/>
    <x:sheet xmlns:r="http://schemas.openxmlformats.org/officeDocument/2006/relationships" name="ET0公式明细" sheetId="4" r:id="R2834f09c1f464bb0"/>
    <x:sheet xmlns:r="http://schemas.openxmlformats.org/officeDocument/2006/relationships" name="土壤湿度回测" sheetId="5" r:id="R95b20e4045cf4570"/>
    <x:sheet xmlns:r="http://schemas.openxmlformats.org/officeDocument/2006/relationships" name="离线测试指标" sheetId="6" r:id="R251efd343a07490c"/>
    <x:sheet xmlns:r="http://schemas.openxmlformats.org/officeDocument/2006/relationships" name="数据质量" sheetId="7" r:id="Rdf166255ed794e8f"/>
    <x:sheet xmlns:r="http://schemas.openxmlformats.org/officeDocument/2006/relationships" name="计算明细" sheetId="8" r:id="Rb2e7cabcd51c4e1c"/>
    <x:sheet xmlns:r="http://schemas.openxmlformats.org/officeDocument/2006/relationships" name="原始数据" sheetId="9" r:id="R1bc92786e594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00"/>
    <x:numFmt numFmtId="202" formatCode="0.0000"/>
    <x:numFmt numFmtId="203" formatCode="0.0%"/>
    <x:numFmt numFmtId="204" formatCode="yyyy-mm-dd hh:mm:ss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2304A"/>
      <x:name val="Carlito"/>
    </x:font>
    <x:font>
      <x:sz val="11"/>
      <x:color rgb="FF9A3412"/>
      <x:name val="Carlito"/>
    </x:font>
    <x:font>
      <x:i/>
      <x:sz val="11"/>
      <x:color rgb="FF12304A"/>
      <x:name val="Carlito"/>
    </x:font>
    <x:font>
      <x:b/>
      <x:sz val="13"/>
      <x:color rgb="FFFFFFFF"/>
      <x:name val="Carlito"/>
    </x:font>
    <x:font>
      <x:b/>
      <x:sz val="11"/>
      <x:color rgb="FF7C2D12"/>
      <x:name val="Carlito"/>
    </x:font>
    <x:font>
      <x:sz val="11"/>
      <x:color rgb="FF64748B"/>
      <x:name val="Carlito"/>
    </x:font>
    <x:font>
      <x:b/>
      <x:sz val="11"/>
      <x:color rgb="FFB91C1C"/>
      <x:name val="Carlito"/>
    </x:font>
    <x:font>
      <x:b/>
      <x:sz val="11"/>
      <x:color rgb="FF166534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E7490"/>
      </x:patternFill>
    </x:fill>
    <x:fill>
      <x:patternFill patternType="solid">
        <x:fgColor rgb="FFEAF2F8"/>
      </x:patternFill>
    </x:fill>
    <x:fill>
      <x:patternFill patternType="solid">
        <x:fgColor rgb="FFFFF7ED"/>
      </x:patternFill>
    </x:fill>
    <x:fill>
      <x:patternFill patternType="solid">
        <x:fgColor rgb="FFDCEAF4"/>
      </x:patternFill>
    </x:fill>
    <x:fill>
      <x:patternFill patternType="solid">
        <x:fgColor rgb="FF2563EB"/>
      </x:patternFill>
    </x:fill>
    <x:fill>
      <x:patternFill patternType="solid">
        <x:fgColor rgb="FF15803D"/>
      </x:patternFill>
    </x:fill>
    <x:fill>
      <x:patternFill patternType="solid">
        <x:fgColor rgb="FFD97706"/>
      </x:patternFill>
    </x:fill>
    <x:fill>
      <x:patternFill patternType="solid">
        <x:fgColor rgb="FFF1F5F9"/>
      </x:patternFill>
    </x:fill>
    <x:fill>
      <x:patternFill patternType="solid">
        <x:fgColor rgb="FFFEF2F2"/>
      </x:patternFill>
    </x:fill>
    <x:fill>
      <x:patternFill patternType="solid">
        <x:fgColor rgb="FFECFDF5"/>
      </x:patternFill>
    </x:fill>
  </x:fills>
  <x:borders count="20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CBD5E1"/>
      </x:right>
      <x:top style="thin">
        <x:color rgb="FFE2E8F0"/>
      </x:top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0" fontId="0" fillId="0" borderId="15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5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8" xfId="0" applyNumberFormat="1" applyFont="1" applyFill="1" applyBorder="1"/>
    <x:xf numFmtId="0" fontId="0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  <x:xf numFmtId="204" fontId="0" fillId="0" borderId="0" xfId="0" applyNumberFormat="1" applyFont="1" applyFill="1" applyBorder="1"/>
    <x:xf numFmtId="204" fontId="0" fillId="0" borderId="15" xfId="0" applyNumberFormat="1" applyFont="1" applyFill="1" applyBorder="1"/>
    <x:xf numFmtId="204" fontId="0" fillId="0" borderId="18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84651d8d24e3c" /><Relationship Type="http://schemas.openxmlformats.org/officeDocument/2006/relationships/theme" Target="/xl/theme/theme1.xml" Id="R435cdb7eb37f436d" /><Relationship Type="http://schemas.microsoft.com/office/2022/11/relationships/FeaturePropertyBag" Target="/xl/featurePropertyBag/featurePropertyBag.xml" Id="R2c4f0308db31439b" /><Relationship Type="http://schemas.openxmlformats.org/officeDocument/2006/relationships/sharedStrings" Target="/xl/sharedStrings.xml" Id="R56c2f263d01b4ada" /><Relationship Type="http://schemas.openxmlformats.org/officeDocument/2006/relationships/worksheet" Target="/xl/worksheets/sheet1.xml" Id="R00851bac28e14729" /><Relationship Type="http://schemas.openxmlformats.org/officeDocument/2006/relationships/worksheet" Target="/xl/worksheets/sheet2.xml" Id="Rcef06b2f6db545ba" /><Relationship Type="http://schemas.openxmlformats.org/officeDocument/2006/relationships/worksheet" Target="/xl/worksheets/sheet3.xml" Id="R2a4f82214dcb440f" /><Relationship Type="http://schemas.openxmlformats.org/officeDocument/2006/relationships/worksheet" Target="/xl/worksheets/sheet4.xml" Id="R2834f09c1f464bb0" /><Relationship Type="http://schemas.openxmlformats.org/officeDocument/2006/relationships/worksheet" Target="/xl/worksheets/sheet5.xml" Id="R95b20e4045cf4570" /><Relationship Type="http://schemas.openxmlformats.org/officeDocument/2006/relationships/worksheet" Target="/xl/worksheets/sheet6.xml" Id="R251efd343a07490c" /><Relationship Type="http://schemas.openxmlformats.org/officeDocument/2006/relationships/worksheet" Target="/xl/worksheets/sheet7.xml" Id="Rdf166255ed794e8f" /><Relationship Type="http://schemas.openxmlformats.org/officeDocument/2006/relationships/worksheet" Target="/xl/worksheets/sheet8.xml" Id="Rb2e7cabcd51c4e1c" /><Relationship Type="http://schemas.openxmlformats.org/officeDocument/2006/relationships/worksheet" Target="/xl/worksheets/sheet9.xml" Id="R1bc92786e594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78415eaf104537" /><Relationship Type="http://schemas.openxmlformats.org/officeDocument/2006/relationships/chart" Target="/xl/drawings/charts/chart2.xml" Id="R8fe64e6f3cd34ab4" /><Relationship Type="http://schemas.openxmlformats.org/officeDocument/2006/relationships/chart" Target="/xl/drawings/charts/chart3.xml" Id="Re116655ece144e96" /><Relationship Type="http://schemas.openxmlformats.org/officeDocument/2006/relationships/chart" Target="/xl/drawings/charts/chart4.xml" Id="R52fc5c9c516a4587" /><Relationship Type="http://schemas.openxmlformats.org/officeDocument/2006/relationships/chart" Target="/xl/drawings/charts/chart5.xml" Id="Rcc2fa61320404fc0" /><Relationship Type="http://schemas.openxmlformats.org/officeDocument/2006/relationships/chart" Target="/xl/drawings/charts/chart6.xml" Id="Ra91b98cfeda1462a" /><Relationship Type="http://schemas.openxmlformats.org/officeDocument/2006/relationships/chart" Target="/xl/drawings/charts/chart7.xml" Id="Rdc9c206d7c4f4a44" /><Relationship Type="http://schemas.openxmlformats.org/officeDocument/2006/relationships/chart" Target="/xl/drawings/charts/chart8.xml" Id="Ra22f01978d5c447b" /><Relationship Type="http://schemas.openxmlformats.org/officeDocument/2006/relationships/chart" Target="/xl/drawings/charts/chart9.xml" Id="Rf217ed574e494a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ET₀：当前版、修正版与基线误差（mm/h）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'专家仪表板'!$A$16:$A$18</c:f>
              <c:strCache>
                <c:ptCount val="0"/>
              </c:strCache>
            </c:strRef>
          </c:cat>
          <c:val>
            <c:numRef>
              <c:f>'专家仪表板'!$B$16:$B$18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'专家仪表板'!$A$16:$A$18</c:f>
              <c:strCache>
                <c:ptCount val="0"/>
              </c:strCache>
            </c:strRef>
          </c:cat>
          <c:val>
            <c:numRef>
              <c:f>'专家仪表板'!$C$16:$C$18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土壤湿度：不同预测时域 MAE（百分点）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模型MAE</c:v>
          </c:tx>
          <c:marker>
            <c:symbol val="none"/>
          </c:marker>
          <c:cat>
            <c:strRef>
              <c:f>'专家仪表板'!$F$16:$F$19</c:f>
              <c:strCache>
                <c:ptCount val="0"/>
              </c:strCache>
            </c:strRef>
          </c:cat>
          <c:val>
            <c:numRef>
              <c:f>'专家仪表板'!$G$16:$G$19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基线MAE</c:v>
          </c:tx>
          <c:marker>
            <c:symbol val="none"/>
          </c:marker>
          <c:cat>
            <c:strRef>
              <c:f>'专家仪表板'!$F$16:$F$19</c:f>
              <c:strCache>
                <c:ptCount val="0"/>
              </c:strCache>
            </c:strRef>
          </c:cat>
          <c:val>
            <c:numRef>
              <c:f>'专家仪表板'!$H$16:$H$19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 代表时段：参考值与两版预测（mm/h）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实测计算ET₀</c:v>
          </c:tx>
          <c:marker>
            <c:symbol val="none"/>
          </c:marker>
          <c:cat>
            <c:strRef>
              <c:f>'专家仪表板'!$R$41:$R$112</c:f>
              <c:strCache>
                <c:ptCount val="0"/>
              </c:strCache>
            </c:strRef>
          </c:cat>
          <c:val>
            <c:numRef>
              <c:f>'专家仪表板'!$S$41:$S$112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当前部署预测</c:v>
          </c:tx>
          <c:marker>
            <c:symbol val="none"/>
          </c:marker>
          <c:cat>
            <c:strRef>
              <c:f>'专家仪表板'!$R$41:$R$112</c:f>
              <c:strCache>
                <c:ptCount val="0"/>
              </c:strCache>
            </c:strRef>
          </c:cat>
          <c:val>
            <c:numRef>
              <c:f>'专家仪表板'!$T$41:$T$112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修正版预测</c:v>
          </c:tx>
          <c:marker>
            <c:symbol val="none"/>
          </c:marker>
          <c:cat>
            <c:strRef>
              <c:f>'专家仪表板'!$R$41:$R$112</c:f>
              <c:strCache>
                <c:ptCount val="0"/>
              </c:strCache>
            </c:strRef>
          </c:cat>
          <c:val>
            <c:numRef>
              <c:f>'专家仪表板'!$U$41:$U$112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ET₀：预测值与实测计算值散点（mm/h）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当前部署预测</c:v>
          </c:tx>
          <c:xVal>
            <c:numLit>
              <c:formatCode>General</c:formatCode>
              <c:ptCount val="0"/>
            </c:numLit>
          </c:xVal>
          <c:yVal>
            <c:numRef>
              <c:f>'专家仪表板'!$X$3:$X$130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净辐射修正预测</c:v>
          </c:tx>
          <c:xVal>
            <c:numLit>
              <c:formatCode>General</c:formatCode>
              <c:ptCount val="0"/>
            </c:numLit>
          </c:xVal>
          <c:yVal>
            <c:numRef>
              <c:f>'专家仪表板'!$Y$3:$Y$130</c:f>
              <c:numCache>
                <c:formatCode>0.00</c:formatCode>
                <c:ptCount val="0"/>
              </c:numCache>
            </c:numRef>
          </c:yVal>
        </c:ser>
        <c:ser>
          <c:idx val="2"/>
          <c:order val="2"/>
          <c:tx>
            <c:v>理想 y=x</c:v>
          </c:tx>
          <c:xVal>
            <c:numLit>
              <c:formatCode>General</c:formatCode>
              <c:ptCount val="0"/>
            </c:numLit>
          </c:xVal>
          <c:yVal>
            <c:numRef>
              <c:f>'专家仪表板'!$Z$3:$Z$130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ET₀：预测误差分布（样本数）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当前部署版</c:v>
          </c:tx>
          <c:cat>
            <c:strRef>
              <c:f>'专家仪表板'!$AA$3:$AA$11</c:f>
              <c:strCache>
                <c:ptCount val="0"/>
              </c:strCache>
            </c:strRef>
          </c:cat>
          <c:val>
            <c:numRef>
              <c:f>'专家仪表板'!$AB$3:$AB$11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修正版</c:v>
          </c:tx>
          <c:cat>
            <c:strRef>
              <c:f>'专家仪表板'!$AA$3:$AA$11</c:f>
              <c:strCache>
                <c:ptCount val="0"/>
              </c:strCache>
            </c:strRef>
          </c:cat>
          <c:val>
            <c:numRef>
              <c:f>'专家仪表板'!$AC$3:$AC$11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离线测试与现场回测 R² 对照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离线测试R²</c:v>
          </c:tx>
          <c:cat>
            <c:strRef>
              <c:f>'专家仪表板'!$AE$3:$AE$4</c:f>
              <c:strCache>
                <c:ptCount val="0"/>
              </c:strCache>
            </c:strRef>
          </c:cat>
          <c:val>
            <c:numRef>
              <c:f>'专家仪表板'!$AF$3:$AF$4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现场回测R²</c:v>
          </c:tx>
          <c:cat>
            <c:strRef>
              <c:f>'专家仪表板'!$AE$3:$AE$4</c:f>
              <c:strCache>
                <c:ptCount val="0"/>
              </c:strCache>
            </c:strRef>
          </c:cat>
          <c:val>
            <c:numRef>
              <c:f>'专家仪表板'!$AG$3:$AG$4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土壤湿度 60min：实测、模型与基线（%）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实测湿度</c:v>
          </c:tx>
          <c:marker>
            <c:symbol val="none"/>
          </c:marker>
          <c:cat>
            <c:strRef>
              <c:f>'专家仪表板'!$AI$3:$AI$98</c:f>
              <c:strCache>
                <c:ptCount val="0"/>
              </c:strCache>
            </c:strRef>
          </c:cat>
          <c:val>
            <c:numRef>
              <c:f>'专家仪表板'!$AJ$3:$AJ$98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SoilLSTM 60min</c:v>
          </c:tx>
          <c:marker>
            <c:symbol val="none"/>
          </c:marker>
          <c:cat>
            <c:strRef>
              <c:f>'专家仪表板'!$AI$3:$AI$98</c:f>
              <c:strCache>
                <c:ptCount val="0"/>
              </c:strCache>
            </c:strRef>
          </c:cat>
          <c:val>
            <c:numRef>
              <c:f>'专家仪表板'!$AK$3:$AK$98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持久性基线</c:v>
          </c:tx>
          <c:marker>
            <c:symbol val="none"/>
          </c:marker>
          <c:cat>
            <c:strRef>
              <c:f>'专家仪表板'!$AI$3:$AI$98</c:f>
              <c:strCache>
                <c:ptCount val="0"/>
              </c:strCache>
            </c:strRef>
          </c:cat>
          <c:val>
            <c:numRef>
              <c:f>'专家仪表板'!$AL$3:$AL$98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ET₀：不同容差下的命中率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当前部署版</c:v>
          </c:tx>
          <c:cat>
            <c:strRef>
              <c:f>'专家仪表板'!$AN$3:$AN$5</c:f>
              <c:strCache>
                <c:ptCount val="0"/>
              </c:strCache>
            </c:strRef>
          </c:cat>
          <c:val>
            <c:numRef>
              <c:f>'专家仪表板'!$AO$3:$AO$5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净辐射修正版</c:v>
          </c:tx>
          <c:cat>
            <c:strRef>
              <c:f>'专家仪表板'!$AN$3:$AN$5</c:f>
              <c:strCache>
                <c:ptCount val="0"/>
              </c:strCache>
            </c:strRef>
          </c:cat>
          <c:val>
            <c:numRef>
              <c:f>'专家仪表板'!$AP$3:$AP$5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SoilLSTM 60min：绝对误差分布（样本数）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60min样本数</c:v>
          </c:tx>
          <c:cat>
            <c:strRef>
              <c:f>'专家仪表板'!$AR$3:$AR$8</c:f>
              <c:strCache>
                <c:ptCount val="0"/>
              </c:strCache>
            </c:strRef>
          </c:cat>
          <c:val>
            <c:numRef>
              <c:f>'专家仪表板'!$AS$3:$AS$8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8415eaf104537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e64e6f3cd34ab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16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6655ece144e96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8</xdr:col>
      <xdr:colOff>0</xdr:colOff>
      <xdr:row>82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c5c9c516a4587"/>
        </a:graphicData>
      </a:graphic>
    </xdr:graphicFrame>
    <xdr:clientData/>
  </xdr:twoCellAnchor>
  <xdr:twoCellAnchor>
    <xdr:from>
      <xdr:col>8</xdr:col>
      <xdr:colOff>0</xdr:colOff>
      <xdr:row>65</xdr:row>
      <xdr:rowOff>0</xdr:rowOff>
    </xdr:from>
    <xdr:to>
      <xdr:col>16</xdr:col>
      <xdr:colOff>0</xdr:colOff>
      <xdr:row>82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fa61320404fc0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8</xdr:col>
      <xdr:colOff>0</xdr:colOff>
      <xdr:row>101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1b98cfeda1462a"/>
        </a:graphicData>
      </a:graphic>
    </xdr:graphicFrame>
    <xdr:clientData/>
  </xdr:twoCellAnchor>
  <xdr:twoCellAnchor>
    <xdr:from>
      <xdr:col>8</xdr:col>
      <xdr:colOff>0</xdr:colOff>
      <xdr:row>84</xdr:row>
      <xdr:rowOff>0</xdr:rowOff>
    </xdr:from>
    <xdr:to>
      <xdr:col>16</xdr:col>
      <xdr:colOff>0</xdr:colOff>
      <xdr:row>101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c206d7c4f4a44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8</xdr:col>
      <xdr:colOff>0</xdr:colOff>
      <xdr:row>124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f01978d5c447b"/>
        </a:graphicData>
      </a:graphic>
    </xdr:graphicFrame>
    <xdr:clientData/>
  </xdr:twoCellAnchor>
  <xdr:twoCellAnchor>
    <xdr:from>
      <xdr:col>8</xdr:col>
      <xdr:colOff>0</xdr:colOff>
      <xdr:row>107</xdr:row>
      <xdr:rowOff>0</xdr:rowOff>
    </xdr:from>
    <xdr:to>
      <xdr:col>16</xdr:col>
      <xdr:colOff>0</xdr:colOff>
      <xdr:row>124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17ed574e494a1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d092defee0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3" t="str">
        <x:v>双模型精度量化｜现场泛化验证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0" t="str">
        <x:v>现场实测回测 · 严格时间滚动 · 2026-07-30 至 2026-08-05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W2" t="str">
        <x:v>实测计算ET₀</x:v>
      </x:c>
      <x:c r="X2" t="str">
        <x:v>当前部署预测</x:v>
      </x:c>
      <x:c r="Y2" t="str">
        <x:v>净辐射修正预测</x:v>
      </x:c>
      <x:c r="Z2" t="str">
        <x:v>理想 y=x</x:v>
      </x:c>
      <x:c r="AA2" t="str">
        <x:v>误差区间</x:v>
      </x:c>
      <x:c r="AB2" t="str">
        <x:v>当前部署版</x:v>
      </x:c>
      <x:c r="AC2" t="str">
        <x:v>修正版</x:v>
      </x:c>
      <x:c r="AE2" t="str">
        <x:v>模型</x:v>
      </x:c>
      <x:c r="AF2" t="str">
        <x:v>离线测试R²</x:v>
      </x:c>
      <x:c r="AG2" t="str">
        <x:v>现场回测R²</x:v>
      </x:c>
      <x:c r="AI2" t="str">
        <x:v>目标时间</x:v>
      </x:c>
      <x:c r="AJ2" t="str">
        <x:v>实测湿度</x:v>
      </x:c>
      <x:c r="AK2" t="str">
        <x:v>SoilLSTM 60min</x:v>
      </x:c>
      <x:c r="AL2" t="str">
        <x:v>持久性基线</x:v>
      </x:c>
      <x:c r="AN2" t="str">
        <x:v>容差</x:v>
      </x:c>
      <x:c r="AO2" t="str">
        <x:v>当前部署版</x:v>
      </x:c>
      <x:c r="AP2" t="str">
        <x:v>净辐射修正版</x:v>
      </x:c>
      <x:c r="AR2" t="str">
        <x:v>绝对误差区间</x:v>
      </x:c>
      <x:c r="AS2" t="str">
        <x:v>60min样本数</x:v>
      </x:c>
    </x:row>
    <x:row r="3">
      <x:c r="W3" t="n">
        <x:f>'ET0现场回测'!D4</x:f>
        <x:v>0.058374168868464686</x:v>
      </x:c>
      <x:c r="X3" t="n">
        <x:f>'ET0现场回测'!E4</x:f>
        <x:v>0.0337066575884819</x:v>
      </x:c>
      <x:c r="Y3" t="n">
        <x:f>'ET0现场回测'!F4</x:f>
        <x:v>0.03953175991773605</x:v>
      </x:c>
      <x:c r="Z3" t="n">
        <x:f>'ET0现场回测'!D4</x:f>
        <x:v>0.058374168868464686</x:v>
      </x:c>
      <x:c r="AA3" t="str">
        <x:v>-1.00~-0.20</x:v>
      </x:c>
      <x:c r="AB3" t="n">
        <x:f>COUNTIFS('ET0现场回测'!$H$4:$H$131,"&gt;="&amp;-1,'ET0现场回测'!$H$4:$H$131,"&lt;"&amp;-0.2)</x:f>
        <x:v>9</x:v>
      </x:c>
      <x:c r="AC3" t="n">
        <x:f>COUNTIFS('ET0现场回测'!$K$4:$K$131,"&gt;="&amp;-1,'ET0现场回测'!$K$4:$K$131,"&lt;"&amp;-0.2)</x:f>
        <x:v>9</x:v>
      </x:c>
      <x:c r="AE3" t="str">
        <x:v>N-BEATS ET₀</x:v>
      </x:c>
      <x:c r="AF3" t="n">
        <x:v>0.9772725701332092</x:v>
      </x:c>
      <x:c r="AG3" t="n">
        <x:v>0.11530710211669493</x:v>
      </x:c>
      <x:c r="AI3" t="str">
        <x:f>'土壤湿度回测'!C7</x:f>
        <x:v>2026-07-31T14:35:00</x:v>
      </x:c>
      <x:c r="AJ3" t="n">
        <x:f>'土壤湿度回测'!E7</x:f>
        <x:v>12.2</x:v>
      </x:c>
      <x:c r="AK3" t="n">
        <x:f>'土壤湿度回测'!F7</x:f>
        <x:v>12.28244400024414</x:v>
      </x:c>
      <x:c r="AL3" t="n">
        <x:f>'土壤湿度回测'!G7</x:f>
        <x:v>12.1</x:v>
      </x:c>
      <x:c r="AN3" t="str">
        <x:v>±0.02 mm/h</x:v>
      </x:c>
      <x:c r="AO3" t="n">
        <x:v>0.4140625</x:v>
      </x:c>
      <x:c r="AP3" t="n">
        <x:v>0.4140625</x:v>
      </x:c>
      <x:c r="AR3" t="str">
        <x:v>0.00~0.25</x:v>
      </x:c>
      <x:c r="AS3" t="n">
        <x:f>COUNTIFS('土壤湿度回测'!$D$4:$D$6139,60,'土壤湿度回测'!$I$4:$I$6139,"&gt;="&amp;0,'土壤湿度回测'!$I$4:$I$6139,"&lt;"&amp;0.25)</x:f>
        <x:v>368</x:v>
      </x:c>
    </x:row>
    <x:row r="4" ht="42" customHeight="1">
      <x:c r="A4" s="75" t="str">
        <x:v>ET₀ 当前部署 MAE
0.0831 mm/h</x:v>
      </x:c>
      <x:c r="B4" s="75"/>
      <x:c r="C4" s="75"/>
      <x:c r="D4" s="75"/>
      <x:c r="F4" s="80" t="str">
        <x:v>ET₀ ±0.10 命中率
85.9%</x:v>
      </x:c>
      <x:c r="G4" s="80"/>
      <x:c r="H4" s="80"/>
      <x:c r="I4" s="80"/>
      <x:c r="K4" s="84" t="str">
        <x:v>ET₀ 回测样本
128</x:v>
      </x:c>
      <x:c r="L4" s="84"/>
      <x:c r="M4" s="84"/>
      <x:c r="N4" s="84"/>
      <x:c r="W4" t="n">
        <x:f>'ET0现场回测'!D5</x:f>
        <x:v>0.01146710913735103</x:v>
      </x:c>
      <x:c r="X4" t="n">
        <x:f>'ET0现场回测'!E5</x:f>
        <x:v>0.021061941981315613</x:v>
      </x:c>
      <x:c r="Y4" t="n">
        <x:f>'ET0现场回测'!F5</x:f>
        <x:v>0.018865123391151428</x:v>
      </x:c>
      <x:c r="Z4" t="n">
        <x:f>'ET0现场回测'!D5</x:f>
        <x:v>0.01146710913735103</x:v>
      </x:c>
      <x:c r="AA4" t="str">
        <x:v>-0.20~-0.10</x:v>
      </x:c>
      <x:c r="AB4" t="n">
        <x:f>COUNTIFS('ET0现场回测'!$H$4:$H$131,"&gt;="&amp;-0.2,'ET0现场回测'!$H$4:$H$131,"&lt;"&amp;-0.1)</x:f>
        <x:v>2</x:v>
      </x:c>
      <x:c r="AC4" t="n">
        <x:f>COUNTIFS('ET0现场回测'!$K$4:$K$131,"&gt;="&amp;-0.2,'ET0现场回测'!$K$4:$K$131,"&lt;"&amp;-0.1)</x:f>
        <x:v>1</x:v>
      </x:c>
      <x:c r="AE4" t="str">
        <x:v>SoilLSTM 60min</x:v>
      </x:c>
      <x:c r="AF4" t="n">
        <x:v>0.9918294548988342</x:v>
      </x:c>
      <x:c r="AG4" t="n">
        <x:v>0.7292825317020146</x:v>
      </x:c>
      <x:c r="AI4" t="str">
        <x:f>'土壤湿度回测'!C11</x:f>
        <x:v>2026-07-31T14:40:00</x:v>
      </x:c>
      <x:c r="AJ4" t="n">
        <x:f>'土壤湿度回测'!E11</x:f>
        <x:v>12.2</x:v>
      </x:c>
      <x:c r="AK4" t="n">
        <x:f>'土壤湿度回测'!F11</x:f>
        <x:v>12.282455444335938</x:v>
      </x:c>
      <x:c r="AL4" t="n">
        <x:f>'土壤湿度回测'!G11</x:f>
        <x:v>12.1</x:v>
      </x:c>
      <x:c r="AN4" t="str">
        <x:v>±0.05 mm/h</x:v>
      </x:c>
      <x:c r="AO4" t="n">
        <x:v>0.765625</x:v>
      </x:c>
      <x:c r="AP4" t="n">
        <x:v>0.7421875</x:v>
      </x:c>
      <x:c r="AR4" t="str">
        <x:v>0.25~0.50</x:v>
      </x:c>
      <x:c r="AS4" t="n">
        <x:f>COUNTIFS('土壤湿度回测'!$D$4:$D$6139,60,'土壤湿度回测'!$I$4:$I$6139,"&gt;="&amp;0.25,'土壤湿度回测'!$I$4:$I$6139,"&lt;"&amp;0.5)</x:f>
        <x:v>483</x:v>
      </x:c>
    </x:row>
    <x:row r="5">
      <x:c r="W5" t="n">
        <x:f>'ET0现场回测'!D6</x:f>
        <x:v>0.013307479458190472</x:v>
      </x:c>
      <x:c r="X5" t="n">
        <x:f>'ET0现场回测'!E6</x:f>
        <x:v>0.018817394971847534</x:v>
      </x:c>
      <x:c r="Y5" t="n">
        <x:f>'ET0现场回测'!F6</x:f>
        <x:v>0.01775813102722168</x:v>
      </x:c>
      <x:c r="Z5" t="n">
        <x:f>'ET0现场回测'!D6</x:f>
        <x:v>0.013307479458190472</x:v>
      </x:c>
      <x:c r="AA5" t="str">
        <x:v>-0.10~-0.05</x:v>
      </x:c>
      <x:c r="AB5" t="n">
        <x:f>COUNTIFS('ET0现场回测'!$H$4:$H$131,"&gt;="&amp;-0.1,'ET0现场回测'!$H$4:$H$131,"&lt;"&amp;-0.05)</x:f>
        <x:v>5</x:v>
      </x:c>
      <x:c r="AC5" t="n">
        <x:f>COUNTIFS('ET0现场回测'!$K$4:$K$131,"&gt;="&amp;-0.1,'ET0现场回测'!$K$4:$K$131,"&lt;"&amp;-0.05)</x:f>
        <x:v>2</x:v>
      </x:c>
      <x:c r="AI5" t="str">
        <x:f>'土壤湿度回测'!C15</x:f>
        <x:v>2026-07-31T14:45:00</x:v>
      </x:c>
      <x:c r="AJ5" t="n">
        <x:f>'土壤湿度回测'!E15</x:f>
        <x:v>12.2</x:v>
      </x:c>
      <x:c r="AK5" t="n">
        <x:f>'土壤湿度回测'!F15</x:f>
        <x:v>12.282085418701172</x:v>
      </x:c>
      <x:c r="AL5" t="n">
        <x:f>'土壤湿度回测'!G15</x:f>
        <x:v>12.1</x:v>
      </x:c>
      <x:c r="AN5" t="str">
        <x:v>±0.10 mm/h</x:v>
      </x:c>
      <x:c r="AO5" t="n">
        <x:v>0.859375</x:v>
      </x:c>
      <x:c r="AP5" t="n">
        <x:v>0.84375</x:v>
      </x:c>
      <x:c r="AR5" t="str">
        <x:v>0.50~1.00</x:v>
      </x:c>
      <x:c r="AS5" t="n">
        <x:f>COUNTIFS('土壤湿度回测'!$D$4:$D$6139,60,'土壤湿度回测'!$I$4:$I$6139,"&gt;="&amp;0.5,'土壤湿度回测'!$I$4:$I$6139,"&lt;"&amp;1)</x:f>
        <x:v>482</x:v>
      </x:c>
    </x:row>
    <x:row r="6">
      <x:c r="W6" t="n">
        <x:f>'ET0现场回测'!D7</x:f>
        <x:v>0.032463948908021296</x:v>
      </x:c>
      <x:c r="X6" t="n">
        <x:f>'ET0现场回测'!E7</x:f>
        <x:v>0.015887081623077393</x:v>
      </x:c>
      <x:c r="Y6" t="n">
        <x:f>'ET0现场回测'!F7</x:f>
        <x:v>0.014694109559059143</x:v>
      </x:c>
      <x:c r="Z6" t="n">
        <x:f>'ET0现场回测'!D7</x:f>
        <x:v>0.032463948908021296</x:v>
      </x:c>
      <x:c r="AA6" t="str">
        <x:v>-0.05~-0.02</x:v>
      </x:c>
      <x:c r="AB6" t="n">
        <x:f>COUNTIFS('ET0现场回测'!$H$4:$H$131,"&gt;="&amp;-0.05,'ET0现场回测'!$H$4:$H$131,"&lt;"&amp;-0.02)</x:f>
        <x:v>9</x:v>
      </x:c>
      <x:c r="AC6" t="n">
        <x:f>COUNTIFS('ET0现场回测'!$K$4:$K$131,"&gt;="&amp;-0.05,'ET0现场回测'!$K$4:$K$131,"&lt;"&amp;-0.02)</x:f>
        <x:v>8</x:v>
      </x:c>
      <x:c r="AI6" t="str">
        <x:f>'土壤湿度回测'!C19</x:f>
        <x:v>2026-07-31T14:50:00</x:v>
      </x:c>
      <x:c r="AJ6" t="n">
        <x:f>'土壤湿度回测'!E19</x:f>
        <x:v>12.2</x:v>
      </x:c>
      <x:c r="AK6" t="n">
        <x:f>'土壤湿度回测'!F19</x:f>
        <x:v>12.284618377685547</x:v>
      </x:c>
      <x:c r="AL6" t="n">
        <x:f>'土壤湿度回测'!G19</x:f>
        <x:v>12.1</x:v>
      </x:c>
      <x:c r="AR6" t="str">
        <x:v>1.00~2.00</x:v>
      </x:c>
      <x:c r="AS6" t="n">
        <x:f>COUNTIFS('土壤湿度回测'!$D$4:$D$6139,60,'土壤湿度回测'!$I$4:$I$6139,"&gt;="&amp;1,'土壤湿度回测'!$I$4:$I$6139,"&lt;"&amp;2)</x:f>
        <x:v>119</x:v>
      </x:c>
    </x:row>
    <x:row r="7" ht="42" customHeight="1">
      <x:c r="A7" s="89" t="str">
        <x:v>土壤 60min MAE
0.718 百分点</x:v>
      </x:c>
      <x:c r="B7" s="89"/>
      <x:c r="C7" s="89"/>
      <x:c r="D7" s="89"/>
      <x:c r="F7" s="75" t="str">
        <x:v>土壤 60min R²
0.729</x:v>
      </x:c>
      <x:c r="G7" s="75"/>
      <x:c r="H7" s="75"/>
      <x:c r="I7" s="75"/>
      <x:c r="K7" s="84" t="str">
        <x:v>土壤预测起点
1534</x:v>
      </x:c>
      <x:c r="L7" s="84"/>
      <x:c r="M7" s="84"/>
      <x:c r="N7" s="84"/>
      <x:c r="W7" t="n">
        <x:f>'ET0现场回测'!D8</x:f>
        <x:v>0.0034854914316105137</x:v>
      </x:c>
      <x:c r="X7" t="n">
        <x:f>'ET0现场回测'!E8</x:f>
        <x:v>0.01435863971710205</x:v>
      </x:c>
      <x:c r="Y7" t="n">
        <x:f>'ET0现场回测'!F8</x:f>
        <x:v>0.018783211708068848</x:v>
      </x:c>
      <x:c r="Z7" t="n">
        <x:f>'ET0现场回测'!D8</x:f>
        <x:v>0.0034854914316105137</x:v>
      </x:c>
      <x:c r="AA7" t="str">
        <x:v>-0.02~0.02</x:v>
      </x:c>
      <x:c r="AB7" t="n">
        <x:f>COUNTIFS('ET0现场回测'!$H$4:$H$131,"&gt;="&amp;-0.02,'ET0现场回测'!$H$4:$H$131,"&lt;"&amp;0.02)</x:f>
        <x:v>53</x:v>
      </x:c>
      <x:c r="AC7" t="n">
        <x:f>COUNTIFS('ET0现场回测'!$K$4:$K$131,"&gt;="&amp;-0.02,'ET0现场回测'!$K$4:$K$131,"&lt;"&amp;0.02)</x:f>
        <x:v>53</x:v>
      </x:c>
      <x:c r="AI7" t="str">
        <x:f>'土壤湿度回测'!C23</x:f>
        <x:v>2026-07-31T14:55:00</x:v>
      </x:c>
      <x:c r="AJ7" t="n">
        <x:f>'土壤湿度回测'!E23</x:f>
        <x:v>12.1</x:v>
      </x:c>
      <x:c r="AK7" t="n">
        <x:f>'土壤湿度回测'!F23</x:f>
        <x:v>12.289745330810547</x:v>
      </x:c>
      <x:c r="AL7" t="n">
        <x:f>'土壤湿度回测'!G23</x:f>
        <x:v>12.1</x:v>
      </x:c>
      <x:c r="AR7" t="str">
        <x:v>2.00~5.00</x:v>
      </x:c>
      <x:c r="AS7" t="n">
        <x:f>COUNTIFS('土壤湿度回测'!$D$4:$D$6139,60,'土壤湿度回测'!$I$4:$I$6139,"&gt;="&amp;2,'土壤湿度回测'!$I$4:$I$6139,"&lt;"&amp;5)</x:f>
        <x:v>59</x:v>
      </x:c>
    </x:row>
    <x:row r="8">
      <x:c r="W8" t="n">
        <x:f>'ET0现场回测'!D9</x:f>
        <x:v>0</x:v>
      </x:c>
      <x:c r="X8" t="n">
        <x:f>'ET0现场回测'!E9</x:f>
        <x:v>0.010800108313560486</x:v>
      </x:c>
      <x:c r="Y8" t="n">
        <x:f>'ET0现场回测'!F9</x:f>
        <x:v>0.013092532753944397</x:v>
      </x:c>
      <x:c r="Z8" t="n">
        <x:f>'ET0现场回测'!D9</x:f>
        <x:v>0</x:v>
      </x:c>
      <x:c r="AA8" t="str">
        <x:v>0.02~0.05</x:v>
      </x:c>
      <x:c r="AB8" t="n">
        <x:f>COUNTIFS('ET0现场回测'!$H$4:$H$131,"&gt;="&amp;0.02,'ET0现场回测'!$H$4:$H$131,"&lt;"&amp;0.05)</x:f>
        <x:v>36</x:v>
      </x:c>
      <x:c r="AC8" t="n">
        <x:f>COUNTIFS('ET0现场回测'!$K$4:$K$131,"&gt;="&amp;0.02,'ET0现场回测'!$K$4:$K$131,"&lt;"&amp;0.05)</x:f>
        <x:v>34</x:v>
      </x:c>
      <x:c r="AI8" t="str">
        <x:f>'土壤湿度回测'!C27</x:f>
        <x:v>2026-07-31T15:00:00</x:v>
      </x:c>
      <x:c r="AJ8" t="n">
        <x:f>'土壤湿度回测'!E27</x:f>
        <x:v>12.1</x:v>
      </x:c>
      <x:c r="AK8" t="n">
        <x:f>'土壤湿度回测'!F27</x:f>
        <x:v>12.300514221191406</x:v>
      </x:c>
      <x:c r="AL8" t="n">
        <x:f>'土壤湿度回测'!G27</x:f>
        <x:v>12.1</x:v>
      </x:c>
      <x:c r="AR8" t="str">
        <x:v>5.00~20.00</x:v>
      </x:c>
      <x:c r="AS8" t="n">
        <x:f>COUNTIFS('土壤湿度回测'!$D$4:$D$6139,60,'土壤湿度回测'!$I$4:$I$6139,"&gt;="&amp;5,'土壤湿度回测'!$I$4:$I$6139,"&lt;"&amp;20)</x:f>
        <x:v>23</x:v>
      </x:c>
    </x:row>
    <x:row r="9">
      <x:c r="W9" t="n">
        <x:f>'ET0现场回测'!D10</x:f>
        <x:v>0</x:v>
      </x:c>
      <x:c r="X9" t="n">
        <x:f>'ET0现场回测'!E10</x:f>
        <x:v>0.016212403774261475</x:v>
      </x:c>
      <x:c r="Y9" t="n">
        <x:f>'ET0现场回测'!F10</x:f>
        <x:v>0.014773473143577576</x:v>
      </x:c>
      <x:c r="Z9" t="n">
        <x:f>'ET0现场回测'!D10</x:f>
        <x:v>0</x:v>
      </x:c>
      <x:c r="AA9" t="str">
        <x:v>0.05~0.10</x:v>
      </x:c>
      <x:c r="AB9" t="n">
        <x:f>COUNTIFS('ET0现场回测'!$H$4:$H$131,"&gt;="&amp;0.05,'ET0现场回测'!$H$4:$H$131,"&lt;"&amp;0.1)</x:f>
        <x:v>7</x:v>
      </x:c>
      <x:c r="AC9" t="n">
        <x:f>COUNTIFS('ET0现场回测'!$K$4:$K$131,"&gt;="&amp;0.05,'ET0现场回测'!$K$4:$K$131,"&lt;"&amp;0.1)</x:f>
        <x:v>11</x:v>
      </x:c>
      <x:c r="AI9" t="str">
        <x:f>'土壤湿度回测'!C31</x:f>
        <x:v>2026-07-31T15:05:00</x:v>
      </x:c>
      <x:c r="AJ9" t="n">
        <x:f>'土壤湿度回测'!E31</x:f>
        <x:v>12.1</x:v>
      </x:c>
      <x:c r="AK9" t="n">
        <x:f>'土壤湿度回测'!F31</x:f>
        <x:v>12.298812866210938</x:v>
      </x:c>
      <x:c r="AL9" t="n">
        <x:f>'土壤湿度回测'!G31</x:f>
        <x:v>12.1</x:v>
      </x:c>
    </x:row>
    <x:row r="10">
      <x:c r="A10" s="92" t="str">
        <x:v>核心结论：现场 ET₀ 当前部署版 MAE 为 0.0831 mm/h，±0.10 mm/h 命中率 85.9%。单独修正净辐射输入并未改善现有权重，需配套重训练/校准。SoilLSTM 在这段平稳现场数据上未超过持久性基线，应作为现场泛化与再训练依据，而不是选择性隐藏。</x:v>
      </x:c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W10" t="n">
        <x:f>'ET0现场回测'!D11</x:f>
        <x:v>0.002466517079172252</x:v>
      </x:c>
      <x:c r="X10" t="n">
        <x:f>'ET0现场回测'!E11</x:f>
        <x:v>0.013334780931472778</x:v>
      </x:c>
      <x:c r="Y10" t="n">
        <x:f>'ET0现场回测'!F11</x:f>
        <x:v>0.01311996579170227</x:v>
      </x:c>
      <x:c r="Z10" t="n">
        <x:f>'ET0现场回测'!D11</x:f>
        <x:v>0.002466517079172252</x:v>
      </x:c>
      <x:c r="AA10" t="str">
        <x:v>0.10~0.20</x:v>
      </x:c>
      <x:c r="AB10" t="n">
        <x:f>COUNTIFS('ET0现场回测'!$H$4:$H$131,"&gt;="&amp;0.1,'ET0现场回测'!$H$4:$H$131,"&lt;"&amp;0.2)</x:f>
        <x:v>2</x:v>
      </x:c>
      <x:c r="AC10" t="n">
        <x:f>COUNTIFS('ET0现场回测'!$K$4:$K$131,"&gt;="&amp;0.1,'ET0现场回测'!$K$4:$K$131,"&lt;"&amp;0.2)</x:f>
        <x:v>4</x:v>
      </x:c>
      <x:c r="AI10" t="str">
        <x:f>'土壤湿度回测'!C35</x:f>
        <x:v>2026-07-31T15:10:00</x:v>
      </x:c>
      <x:c r="AJ10" t="n">
        <x:f>'土壤湿度回测'!E35</x:f>
        <x:v>12.1</x:v>
      </x:c>
      <x:c r="AK10" t="n">
        <x:f>'土壤湿度回测'!F35</x:f>
        <x:v>12.297344207763672</x:v>
      </x:c>
      <x:c r="AL10" t="n">
        <x:f>'土壤湿度回测'!G35</x:f>
        <x:v>12.1</x:v>
      </x:c>
    </x:row>
    <x:row r="11">
      <x:c r="A11" s="92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W11" t="n">
        <x:f>'ET0现场回测'!D12</x:f>
        <x:v>0.011271399919541873</x:v>
      </x:c>
      <x:c r="X11" t="n">
        <x:f>'ET0现场回测'!E12</x:f>
        <x:v>0</x:v>
      </x:c>
      <x:c r="Y11" t="n">
        <x:f>'ET0现场回测'!F12</x:f>
        <x:v>0</x:v>
      </x:c>
      <x:c r="Z11" t="n">
        <x:f>'ET0现场回测'!D12</x:f>
        <x:v>0.011271399919541873</x:v>
      </x:c>
      <x:c r="AA11" t="str">
        <x:v>0.20~1.00</x:v>
      </x:c>
      <x:c r="AB11" t="n">
        <x:f>COUNTIFS('ET0现场回测'!$H$4:$H$131,"&gt;="&amp;0.2,'ET0现场回测'!$H$4:$H$131,"&lt;"&amp;1)</x:f>
        <x:v>5</x:v>
      </x:c>
      <x:c r="AC11" t="n">
        <x:f>COUNTIFS('ET0现场回测'!$K$4:$K$131,"&gt;="&amp;0.2,'ET0现场回测'!$K$4:$K$131,"&lt;"&amp;1)</x:f>
        <x:v>6</x:v>
      </x:c>
      <x:c r="AI11" t="str">
        <x:f>'土壤湿度回测'!C39</x:f>
        <x:v>2026-07-31T15:15:00</x:v>
      </x:c>
      <x:c r="AJ11" t="n">
        <x:f>'土壤湿度回测'!E39</x:f>
        <x:v>12.1</x:v>
      </x:c>
      <x:c r="AK11" t="n">
        <x:f>'土壤湿度回测'!F39</x:f>
        <x:v>12.293888092041016</x:v>
      </x:c>
      <x:c r="AL11" t="n">
        <x:f>'土壤湿度回测'!G39</x:f>
        <x:v>12.1</x:v>
      </x:c>
    </x:row>
    <x:row r="12">
      <x:c r="A12" s="92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W12" t="n">
        <x:f>'ET0现场回测'!D13</x:f>
        <x:v>0</x:v>
      </x:c>
      <x:c r="X12" t="n">
        <x:f>'ET0现场回测'!E13</x:f>
        <x:v>0</x:v>
      </x:c>
      <x:c r="Y12" t="n">
        <x:f>'ET0现场回测'!F13</x:f>
        <x:v>0</x:v>
      </x:c>
      <x:c r="Z12" t="n">
        <x:f>'ET0现场回测'!D13</x:f>
        <x:v>0</x:v>
      </x:c>
      <x:c r="AI12" t="str">
        <x:f>'土壤湿度回测'!C43</x:f>
        <x:v>2026-07-31T15:20:00</x:v>
      </x:c>
      <x:c r="AJ12" t="n">
        <x:f>'土壤湿度回测'!E43</x:f>
        <x:v>12.1</x:v>
      </x:c>
      <x:c r="AK12" t="n">
        <x:f>'土壤湿度回测'!F43</x:f>
        <x:v>12.290962219238281</x:v>
      </x:c>
      <x:c r="AL12" t="n">
        <x:f>'土壤湿度回测'!G43</x:f>
        <x:v>12.1</x:v>
      </x:c>
    </x:row>
    <x:row r="13">
      <x:c r="W13" t="n">
        <x:f>'ET0现场回测'!D14</x:f>
        <x:v>0.0068129868437832135</x:v>
      </x:c>
      <x:c r="X13" t="n">
        <x:f>'ET0现场回测'!E14</x:f>
        <x:v>0.01107315719127655</x:v>
      </x:c>
      <x:c r="Y13" t="n">
        <x:f>'ET0现场回测'!F14</x:f>
        <x:v>0.014116346836090088</x:v>
      </x:c>
      <x:c r="Z13" t="n">
        <x:f>'ET0现场回测'!D14</x:f>
        <x:v>0.0068129868437832135</x:v>
      </x:c>
      <x:c r="AI13" t="str">
        <x:f>'土壤湿度回测'!C47</x:f>
        <x:v>2026-07-31T15:25:00</x:v>
      </x:c>
      <x:c r="AJ13" t="n">
        <x:f>'土壤湿度回测'!E47</x:f>
        <x:v>12.1</x:v>
      </x:c>
      <x:c r="AK13" t="n">
        <x:f>'土壤湿度回测'!F47</x:f>
        <x:v>12.180343627929688</x:v>
      </x:c>
      <x:c r="AL13" t="n">
        <x:f>'土壤湿度回测'!G47</x:f>
        <x:v>12</x:v>
      </x:c>
    </x:row>
    <x:row r="14">
      <x:c r="W14" t="n">
        <x:f>'ET0现场回测'!D15</x:f>
        <x:v>0.005156538897179954</x:v>
      </x:c>
      <x:c r="X14" t="n">
        <x:f>'ET0现场回测'!E15</x:f>
        <x:v>0.02828250825405121</x:v>
      </x:c>
      <x:c r="Y14" t="n">
        <x:f>'ET0现场回测'!F15</x:f>
        <x:v>0.03135359287261963</x:v>
      </x:c>
      <x:c r="Z14" t="n">
        <x:f>'ET0现场回测'!D15</x:f>
        <x:v>0.005156538897179954</x:v>
      </x:c>
      <x:c r="AI14" t="str">
        <x:f>'土壤湿度回测'!C51</x:f>
        <x:v>2026-07-31T15:30:00</x:v>
      </x:c>
      <x:c r="AJ14" t="n">
        <x:f>'土壤湿度回测'!E51</x:f>
        <x:v>12</x:v>
      </x:c>
      <x:c r="AK14" t="n">
        <x:f>'土壤湿度回测'!F51</x:f>
        <x:v>12.400737762451172</x:v>
      </x:c>
      <x:c r="AL14" t="n">
        <x:f>'土壤湿度回测'!G51</x:f>
        <x:v>12.2</x:v>
      </x:c>
    </x:row>
    <x:row r="15">
      <x:c r="A15" s="31" t="str">
        <x:v>算法</x:v>
      </x:c>
      <x:c r="B15" s="32" t="str">
        <x:v>MAE</x:v>
      </x:c>
      <x:c r="C15" s="32" t="str">
        <x:v>RMSE</x:v>
      </x:c>
      <x:c r="D15" s="33" t="str">
        <x:v>±0.10命中率</x:v>
      </x:c>
      <x:c r="F15" s="31" t="str">
        <x:v>时域(min)</x:v>
      </x:c>
      <x:c r="G15" s="32" t="str">
        <x:v>模型MAE</x:v>
      </x:c>
      <x:c r="H15" s="33" t="str">
        <x:v>基线MAE</x:v>
      </x:c>
      <x:c r="W15" t="n">
        <x:f>'ET0现场回测'!D16</x:f>
        <x:v>0.004526145736918674</x:v>
      </x:c>
      <x:c r="X15" t="n">
        <x:f>'ET0现场回测'!E16</x:f>
        <x:v>0.03374643623828888</x:v>
      </x:c>
      <x:c r="Y15" t="n">
        <x:f>'ET0现场回测'!F16</x:f>
        <x:v>0.034359969198703766</x:v>
      </x:c>
      <x:c r="Z15" t="n">
        <x:f>'ET0现场回测'!D16</x:f>
        <x:v>0.004526145736918674</x:v>
      </x:c>
      <x:c r="AI15" t="str">
        <x:f>'土壤湿度回测'!C55</x:f>
        <x:v>2026-07-31T15:35:00</x:v>
      </x:c>
      <x:c r="AJ15" t="n">
        <x:f>'土壤湿度回测'!E55</x:f>
        <x:v>12.1</x:v>
      </x:c>
      <x:c r="AK15" t="n">
        <x:f>'土壤湿度回测'!F55</x:f>
        <x:v>12.387584686279297</x:v>
      </x:c>
      <x:c r="AL15" t="n">
        <x:f>'土壤湿度回测'!G55</x:f>
        <x:v>12.2</x:v>
      </x:c>
    </x:row>
    <x:row r="16">
      <x:c r="A16" t="str">
        <x:v>当前部署版</x:v>
      </x:c>
      <x:c r="B16" t="n">
        <x:f>'计算明细'!C5</x:f>
        <x:v>0.0831172871245891</x:v>
      </x:c>
      <x:c r="C16" t="n">
        <x:f>'计算明细'!D5</x:f>
        <x:v>0.18301470551097196</x:v>
      </x:c>
      <x:c r="D16" t="n">
        <x:f>'计算明细'!J5</x:f>
        <x:v>0.859375</x:v>
      </x:c>
      <x:c r="F16" t="n">
        <x:f>'计算明细'!A12</x:f>
        <x:v>5</x:v>
      </x:c>
      <x:c r="G16" t="n">
        <x:f>'计算明细'!D12</x:f>
        <x:v>1.7669249951140045</x:v>
      </x:c>
      <x:c r="H16" t="n">
        <x:f>'计算明细'!D13</x:f>
        <x:v>0.06962190352020857</x:v>
      </x:c>
      <x:c r="W16" t="n">
        <x:f>'ET0现场回测'!D17</x:f>
        <x:v>0.0003483679806558704</x:v>
      </x:c>
      <x:c r="X16" t="n">
        <x:f>'ET0现场回测'!E17</x:f>
        <x:v>0.027585655450820923</x:v>
      </x:c>
      <x:c r="Y16" t="n">
        <x:f>'ET0现场回测'!F17</x:f>
        <x:v>0.030688755214214325</x:v>
      </x:c>
      <x:c r="Z16" t="n">
        <x:f>'ET0现场回测'!D17</x:f>
        <x:v>0.0003483679806558704</x:v>
      </x:c>
      <x:c r="AI16" t="str">
        <x:f>'土壤湿度回测'!C59</x:f>
        <x:v>2026-07-31T15:40:00</x:v>
      </x:c>
      <x:c r="AJ16" t="n">
        <x:f>'土壤湿度回测'!E59</x:f>
        <x:v>12.1</x:v>
      </x:c>
      <x:c r="AK16" t="n">
        <x:f>'土壤湿度回测'!F59</x:f>
        <x:v>12.378860473632812</x:v>
      </x:c>
      <x:c r="AL16" t="n">
        <x:f>'土壤湿度回测'!G59</x:f>
        <x:v>12.2</x:v>
      </x:c>
    </x:row>
    <x:row r="17">
      <x:c r="A17" t="str">
        <x:v>净辐射修正版</x:v>
      </x:c>
      <x:c r="B17" t="n">
        <x:f>'计算明细'!C6</x:f>
        <x:v>0.09083492968974083</x:v>
      </x:c>
      <x:c r="C17" t="n">
        <x:f>'计算明细'!D6</x:f>
        <x:v>0.19917354660836384</x:v>
      </x:c>
      <x:c r="D17" t="n">
        <x:f>'计算明细'!J6</x:f>
        <x:v>0.84375</x:v>
      </x:c>
      <x:c r="F17" t="n">
        <x:f>'计算明细'!A14</x:f>
        <x:v>15</x:v>
      </x:c>
      <x:c r="G17" t="n">
        <x:f>'计算明细'!D14</x:f>
        <x:v>1.7218719574432173</x:v>
      </x:c>
      <x:c r="H17" t="n">
        <x:f>'计算明细'!D15</x:f>
        <x:v>0.14302477183833112</x:v>
      </x:c>
      <x:c r="W17" t="n">
        <x:f>'ET0现场回测'!D18</x:f>
        <x:v>0.00009508724473677141</x:v>
      </x:c>
      <x:c r="X17" t="n">
        <x:f>'ET0现场回测'!E18</x:f>
        <x:v>0.04287474602460861</x:v>
      </x:c>
      <x:c r="Y17" t="n">
        <x:f>'ET0现场回测'!F18</x:f>
        <x:v>0.05049028992652893</x:v>
      </x:c>
      <x:c r="Z17" t="n">
        <x:f>'ET0现场回测'!D18</x:f>
        <x:v>0.00009508724473677141</x:v>
      </x:c>
      <x:c r="AI17" t="str">
        <x:f>'土壤湿度回测'!C63</x:f>
        <x:v>2026-07-31T15:45:00</x:v>
      </x:c>
      <x:c r="AJ17" t="n">
        <x:f>'土壤湿度回测'!E63</x:f>
        <x:v>12.1</x:v>
      </x:c>
      <x:c r="AK17" t="n">
        <x:f>'土壤湿度回测'!F63</x:f>
        <x:v>12.377117156982422</x:v>
      </x:c>
      <x:c r="AL17" t="n">
        <x:f>'土壤湿度回测'!G63</x:f>
        <x:v>12.2</x:v>
      </x:c>
    </x:row>
    <x:row r="18">
      <x:c r="A18" t="str">
        <x:v>持久性基线</x:v>
      </x:c>
      <x:c r="B18" t="n">
        <x:f>'计算明细'!C7</x:f>
        <x:v>0.07926761153849712</x:v>
      </x:c>
      <x:c r="C18" t="n">
        <x:f>'计算明细'!D7</x:f>
        <x:v>0.19684508141983484</x:v>
      </x:c>
      <x:c r="D18" t="n">
        <x:f>'计算明细'!J7</x:f>
        <x:v>0.8671875</x:v>
      </x:c>
      <x:c r="F18" t="n">
        <x:f>'计算明细'!A16</x:f>
        <x:v>30</x:v>
      </x:c>
      <x:c r="G18" t="n">
        <x:f>'计算明细'!D16</x:f>
        <x:v>1.3471385625070826</x:v>
      </x:c>
      <x:c r="H18" t="n">
        <x:f>'计算明细'!D17</x:f>
        <x:v>0.24087353324641453</x:v>
      </x:c>
      <x:c r="W18" t="n">
        <x:f>'ET0现场回测'!D19</x:f>
        <x:v>0.006952293014019766</x:v>
      </x:c>
      <x:c r="X18" t="n">
        <x:f>'ET0现场回测'!E19</x:f>
        <x:v>0.051812268793582916</x:v>
      </x:c>
      <x:c r="Y18" t="n">
        <x:f>'ET0现场回测'!F19</x:f>
        <x:v>0.0582280233502388</x:v>
      </x:c>
      <x:c r="Z18" t="n">
        <x:f>'ET0现场回测'!D19</x:f>
        <x:v>0.006952293014019766</x:v>
      </x:c>
      <x:c r="AI18" t="str">
        <x:f>'土壤湿度回测'!C67</x:f>
        <x:v>2026-07-31T15:50:00</x:v>
      </x:c>
      <x:c r="AJ18" t="n">
        <x:f>'土壤湿度回测'!E67</x:f>
        <x:v>12</x:v>
      </x:c>
      <x:c r="AK18" t="n">
        <x:f>'土壤湿度回测'!F67</x:f>
        <x:v>12.377090454101562</x:v>
      </x:c>
      <x:c r="AL18" t="n">
        <x:f>'土壤湿度回测'!G67</x:f>
        <x:v>12.2</x:v>
      </x:c>
    </x:row>
    <x:row r="19">
      <x:c r="F19" t="n">
        <x:f>'计算明细'!A18</x:f>
        <x:v>60</x:v>
      </x:c>
      <x:c r="G19" t="n">
        <x:f>'计算明细'!D18</x:f>
        <x:v>0.7177157400795191</x:v>
      </x:c>
      <x:c r="H19" t="n">
        <x:f>'计算明细'!D19</x:f>
        <x:v>0.37764015645371574</x:v>
      </x:c>
      <x:c r="W19" t="n">
        <x:f>'ET0现场回测'!D20</x:f>
        <x:v>0.01970754804673806</x:v>
      </x:c>
      <x:c r="X19" t="n">
        <x:f>'ET0现场回测'!E20</x:f>
        <x:v>0.03582829236984253</x:v>
      </x:c>
      <x:c r="Y19" t="n">
        <x:f>'ET0现场回测'!F20</x:f>
        <x:v>0.040822334587574005</x:v>
      </x:c>
      <x:c r="Z19" t="n">
        <x:f>'ET0现场回测'!D20</x:f>
        <x:v>0.01970754804673806</x:v>
      </x:c>
      <x:c r="AI19" t="str">
        <x:f>'土壤湿度回测'!C71</x:f>
        <x:v>2026-07-31T15:55:00</x:v>
      </x:c>
      <x:c r="AJ19" t="n">
        <x:f>'土壤湿度回测'!E71</x:f>
        <x:v>12.1</x:v>
      </x:c>
      <x:c r="AK19" t="n">
        <x:f>'土壤湿度回测'!F71</x:f>
        <x:v>12.267471313476562</x:v>
      </x:c>
      <x:c r="AL19" t="n">
        <x:f>'土壤湿度回测'!G71</x:f>
        <x:v>12.1</x:v>
      </x:c>
    </x:row>
    <x:row r="20">
      <x:c r="W20" t="n">
        <x:f>'ET0现场回测'!D21</x:f>
        <x:v>0.035626922673982084</x:v>
      </x:c>
      <x:c r="X20" t="n">
        <x:f>'ET0现场回测'!E21</x:f>
        <x:v>0.06241268664598465</x:v>
      </x:c>
      <x:c r="Y20" t="n">
        <x:f>'ET0现场回测'!F21</x:f>
        <x:v>0.07905743271112442</x:v>
      </x:c>
      <x:c r="Z20" t="n">
        <x:f>'ET0现场回测'!D21</x:f>
        <x:v>0.035626922673982084</x:v>
      </x:c>
      <x:c r="AI20" t="str">
        <x:f>'土壤湿度回测'!C75</x:f>
        <x:v>2026-07-31T16:00:00</x:v>
      </x:c>
      <x:c r="AJ20" t="n">
        <x:f>'土壤湿度回测'!E75</x:f>
        <x:v>12.1</x:v>
      </x:c>
      <x:c r="AK20" t="n">
        <x:f>'土壤湿度回测'!F75</x:f>
        <x:v>12.271186828613281</x:v>
      </x:c>
      <x:c r="AL20" t="n">
        <x:f>'土壤湿度回测'!G75</x:f>
        <x:v>12.1</x:v>
      </x:c>
    </x:row>
    <x:row r="21">
      <x:c r="W21" t="n">
        <x:f>'ET0现场回测'!D22</x:f>
        <x:v>0.4401332808021882</x:v>
      </x:c>
      <x:c r="X21" t="n">
        <x:f>'ET0现场回测'!E22</x:f>
        <x:v>0.06728900223970413</x:v>
      </x:c>
      <x:c r="Y21" t="n">
        <x:f>'ET0现场回测'!F22</x:f>
        <x:v>0.0896231159567833</x:v>
      </x:c>
      <x:c r="Z21" t="n">
        <x:f>'ET0现场回测'!D22</x:f>
        <x:v>0.4401332808021882</x:v>
      </x:c>
      <x:c r="AI21" t="str">
        <x:f>'土壤湿度回测'!C79</x:f>
        <x:v>2026-07-31T16:05:00</x:v>
      </x:c>
      <x:c r="AJ21" t="n">
        <x:f>'土壤湿度回测'!E79</x:f>
        <x:v>12.1</x:v>
      </x:c>
      <x:c r="AK21" t="n">
        <x:f>'土壤湿度回测'!F79</x:f>
        <x:v>12.274402618408203</x:v>
      </x:c>
      <x:c r="AL21" t="n">
        <x:f>'土壤湿度回测'!G79</x:f>
        <x:v>12.1</x:v>
      </x:c>
    </x:row>
    <x:row r="22">
      <x:c r="W22" t="n">
        <x:f>'ET0现场回测'!D23</x:f>
        <x:v>0.9687963649374713</x:v>
      </x:c>
      <x:c r="X22" t="n">
        <x:f>'ET0现场回测'!E23</x:f>
        <x:v>0.322811484336853</x:v>
      </x:c>
      <x:c r="Y22" t="n">
        <x:f>'ET0现场回测'!F23</x:f>
        <x:v>0.4202709197998047</x:v>
      </x:c>
      <x:c r="Z22" t="n">
        <x:f>'ET0现场回测'!D23</x:f>
        <x:v>0.9687963649374713</x:v>
      </x:c>
      <x:c r="AI22" t="str">
        <x:f>'土壤湿度回测'!C83</x:f>
        <x:v>2026-07-31T16:10:00</x:v>
      </x:c>
      <x:c r="AJ22" t="n">
        <x:f>'土壤湿度回测'!E83</x:f>
        <x:v>12.1</x:v>
      </x:c>
      <x:c r="AK22" t="n">
        <x:f>'土壤湿度回测'!F83</x:f>
        <x:v>12.276195526123047</x:v>
      </x:c>
      <x:c r="AL22" t="n">
        <x:f>'土壤湿度回测'!G83</x:f>
        <x:v>12.1</x:v>
      </x:c>
    </x:row>
    <x:row r="23">
      <x:c r="W23" t="n">
        <x:f>'ET0现场回测'!D24</x:f>
        <x:v>0.180535547927222</x:v>
      </x:c>
      <x:c r="X23" t="n">
        <x:f>'ET0现场回测'!E24</x:f>
        <x:v>0.7474638819694519</x:v>
      </x:c>
      <x:c r="Y23" t="n">
        <x:f>'ET0现场回测'!F24</x:f>
        <x:v>0.9481233358383179</x:v>
      </x:c>
      <x:c r="Z23" t="n">
        <x:f>'ET0现场回测'!D24</x:f>
        <x:v>0.180535547927222</x:v>
      </x:c>
      <x:c r="AI23" t="str">
        <x:f>'土壤湿度回测'!C87</x:f>
        <x:v>2026-07-31T16:15:00</x:v>
      </x:c>
      <x:c r="AJ23" t="n">
        <x:f>'土壤湿度回测'!E87</x:f>
        <x:v>12.1</x:v>
      </x:c>
      <x:c r="AK23" t="n">
        <x:f>'土壤湿度回测'!F87</x:f>
        <x:v>12.276836395263672</x:v>
      </x:c>
      <x:c r="AL23" t="n">
        <x:f>'土壤湿度回测'!G87</x:f>
        <x:v>12.1</x:v>
      </x:c>
    </x:row>
    <x:row r="24">
      <x:c r="W24" t="n">
        <x:f>'ET0现场回测'!D25</x:f>
        <x:v>0.10256315285299814</x:v>
      </x:c>
      <x:c r="X24" t="n">
        <x:f>'ET0现场回测'!E25</x:f>
        <x:v>0.23763778805732727</x:v>
      </x:c>
      <x:c r="Y24" t="n">
        <x:f>'ET0现场回测'!F25</x:f>
        <x:v>0.3077942430973053</x:v>
      </x:c>
      <x:c r="Z24" t="n">
        <x:f>'ET0现场回测'!D25</x:f>
        <x:v>0.10256315285299814</x:v>
      </x:c>
      <x:c r="AI24" t="str">
        <x:f>'土壤湿度回测'!C91</x:f>
        <x:v>2026-07-31T16:20:00</x:v>
      </x:c>
      <x:c r="AJ24" t="n">
        <x:f>'土壤湿度回测'!E91</x:f>
        <x:v>12.1</x:v>
      </x:c>
      <x:c r="AK24" t="n">
        <x:f>'土壤湿度回测'!F91</x:f>
        <x:v>12.27676773071289</x:v>
      </x:c>
      <x:c r="AL24" t="n">
        <x:f>'土壤湿度回测'!G91</x:f>
        <x:v>12.1</x:v>
      </x:c>
    </x:row>
    <x:row r="25">
      <x:c r="W25" t="n">
        <x:f>'ET0现场回测'!D26</x:f>
        <x:v>0.1490512332741226</x:v>
      </x:c>
      <x:c r="X25" t="n">
        <x:f>'ET0现场回测'!E26</x:f>
        <x:v>0.10794214904308319</x:v>
      </x:c>
      <x:c r="Y25" t="n">
        <x:f>'ET0现场回测'!F26</x:f>
        <x:v>0.13886281847953796</x:v>
      </x:c>
      <x:c r="Z25" t="n">
        <x:f>'ET0现场回测'!D26</x:f>
        <x:v>0.1490512332741226</x:v>
      </x:c>
      <x:c r="AI25" t="str">
        <x:f>'土壤湿度回测'!C95</x:f>
        <x:v>2026-07-31T16:25:00</x:v>
      </x:c>
      <x:c r="AJ25" t="n">
        <x:f>'土壤湿度回测'!E95</x:f>
        <x:v>12</x:v>
      </x:c>
      <x:c r="AK25" t="n">
        <x:f>'土壤湿度回测'!F95</x:f>
        <x:v>12.276504516601562</x:v>
      </x:c>
      <x:c r="AL25" t="n">
        <x:f>'土壤湿度回测'!G95</x:f>
        <x:v>12.1</x:v>
      </x:c>
    </x:row>
    <x:row r="26">
      <x:c r="W26" t="n">
        <x:f>'ET0现场回测'!D27</x:f>
        <x:v>0.14069434841119388</x:v>
      </x:c>
      <x:c r="X26" t="n">
        <x:f>'ET0现场回测'!E27</x:f>
        <x:v>0.10669980198144913</x:v>
      </x:c>
      <x:c r="Y26" t="n">
        <x:f>'ET0现场回测'!F27</x:f>
        <x:v>0.12827208638191223</x:v>
      </x:c>
      <x:c r="Z26" t="n">
        <x:f>'ET0现场回测'!D27</x:f>
        <x:v>0.14069434841119388</x:v>
      </x:c>
      <x:c r="AI26" t="str">
        <x:f>'土壤湿度回测'!C99</x:f>
        <x:v>2026-07-31T16:30:00</x:v>
      </x:c>
      <x:c r="AJ26" t="n">
        <x:f>'土壤湿度回测'!E99</x:f>
        <x:v>12.1</x:v>
      </x:c>
      <x:c r="AK26" t="n">
        <x:f>'土壤湿度回测'!F99</x:f>
        <x:v>12.165802001953125</x:v>
      </x:c>
      <x:c r="AL26" t="n">
        <x:f>'土壤湿度回测'!G99</x:f>
        <x:v>12</x:v>
      </x:c>
    </x:row>
    <x:row r="27">
      <x:c r="W27" t="n">
        <x:f>'ET0现场回测'!D28</x:f>
        <x:v>0.07245173213479612</x:v>
      </x:c>
      <x:c r="X27" t="n">
        <x:f>'ET0现场回测'!E28</x:f>
        <x:v>0.06646617501974106</x:v>
      </x:c>
      <x:c r="Y27" t="n">
        <x:f>'ET0现场回测'!F28</x:f>
        <x:v>0.07901237905025482</x:v>
      </x:c>
      <x:c r="Z27" t="n">
        <x:f>'ET0现场回测'!D28</x:f>
        <x:v>0.07245173213479612</x:v>
      </x:c>
      <x:c r="AI27" t="str">
        <x:f>'土壤湿度回测'!C103</x:f>
        <x:v>2026-07-31T16:35:00</x:v>
      </x:c>
      <x:c r="AJ27" t="n">
        <x:f>'土壤湿度回测'!E103</x:f>
        <x:v>12</x:v>
      </x:c>
      <x:c r="AK27" t="n">
        <x:f>'土壤湿度回测'!F103</x:f>
        <x:v>12.275131225585938</x:v>
      </x:c>
      <x:c r="AL27" t="n">
        <x:f>'土壤湿度回测'!G103</x:f>
        <x:v>12.1</x:v>
      </x:c>
    </x:row>
    <x:row r="28">
      <x:c r="W28" t="n">
        <x:f>'ET0现场回测'!D29</x:f>
        <x:v>0.018668339561805955</x:v>
      </x:c>
      <x:c r="X28" t="n">
        <x:f>'ET0现场回测'!E29</x:f>
        <x:v>0.042668551206588745</x:v>
      </x:c>
      <x:c r="Y28" t="n">
        <x:f>'ET0现场回测'!F29</x:f>
        <x:v>0.035131797194480896</x:v>
      </x:c>
      <x:c r="Z28" t="n">
        <x:f>'ET0现场回测'!D29</x:f>
        <x:v>0.018668339561805955</x:v>
      </x:c>
      <x:c r="AI28" t="str">
        <x:f>'土壤湿度回测'!C107</x:f>
        <x:v>2026-07-31T16:40:00</x:v>
      </x:c>
      <x:c r="AJ28" t="n">
        <x:f>'土壤湿度回测'!E107</x:f>
        <x:v>12.1</x:v>
      </x:c>
      <x:c r="AK28" t="n">
        <x:f>'土壤湿度回测'!F107</x:f>
        <x:v>12.275741577148438</x:v>
      </x:c>
      <x:c r="AL28" t="n">
        <x:f>'土壤湿度回测'!G107</x:f>
        <x:v>12.1</x:v>
      </x:c>
    </x:row>
    <x:row r="29">
      <x:c r="W29" t="n">
        <x:f>'ET0现场回测'!D30</x:f>
        <x:v>0.008611093114475554</x:v>
      </x:c>
      <x:c r="X29" t="n">
        <x:f>'ET0现场回测'!E30</x:f>
        <x:v>0.024250268936157227</x:v>
      </x:c>
      <x:c r="Y29" t="n">
        <x:f>'ET0现场回测'!F30</x:f>
        <x:v>0.024260371923446655</x:v>
      </x:c>
      <x:c r="Z29" t="n">
        <x:f>'ET0现场回测'!D30</x:f>
        <x:v>0.008611093114475554</x:v>
      </x:c>
      <x:c r="AI29" t="str">
        <x:f>'土壤湿度回测'!C111</x:f>
        <x:v>2026-07-31T16:45:00</x:v>
      </x:c>
      <x:c r="AJ29" t="n">
        <x:f>'土壤湿度回测'!E111</x:f>
        <x:v>12.1</x:v>
      </x:c>
      <x:c r="AK29" t="n">
        <x:f>'土壤湿度回测'!F111</x:f>
        <x:v>12.275165557861328</x:v>
      </x:c>
      <x:c r="AL29" t="n">
        <x:f>'土壤湿度回测'!G111</x:f>
        <x:v>12.1</x:v>
      </x:c>
    </x:row>
    <x:row r="30">
      <x:c r="W30" t="n">
        <x:f>'ET0现场回测'!D31</x:f>
        <x:v>0.025110673608064425</x:v>
      </x:c>
      <x:c r="X30" t="n">
        <x:f>'ET0现场回测'!E31</x:f>
        <x:v>0.004337385296821594</x:v>
      </x:c>
      <x:c r="Y30" t="n">
        <x:f>'ET0现场回测'!F31</x:f>
        <x:v>0.0003640502691268921</x:v>
      </x:c>
      <x:c r="Z30" t="n">
        <x:f>'ET0现场回测'!D31</x:f>
        <x:v>0.025110673608064425</x:v>
      </x:c>
      <x:c r="AI30" t="str">
        <x:f>'土壤湿度回测'!C115</x:f>
        <x:v>2026-07-31T16:50:00</x:v>
      </x:c>
      <x:c r="AJ30" t="n">
        <x:f>'土壤湿度回测'!E115</x:f>
        <x:v>12.1</x:v>
      </x:c>
      <x:c r="AK30" t="n">
        <x:f>'土壤湿度回测'!F115</x:f>
        <x:v>12.16461181640625</x:v>
      </x:c>
      <x:c r="AL30" t="n">
        <x:f>'土壤湿度回测'!G115</x:f>
        <x:v>12</x:v>
      </x:c>
    </x:row>
    <x:row r="31">
      <x:c r="W31" t="n">
        <x:f>'ET0现场回测'!D32</x:f>
        <x:v>0.003328601178969979</x:v>
      </x:c>
      <x:c r="X31" t="n">
        <x:f>'ET0现场回测'!E32</x:f>
        <x:v>0.013795837759971619</x:v>
      </x:c>
      <x:c r="Y31" t="n">
        <x:f>'ET0现场回测'!F32</x:f>
        <x:v>0.015919283032417297</x:v>
      </x:c>
      <x:c r="Z31" t="n">
        <x:f>'ET0现场回测'!D32</x:f>
        <x:v>0.003328601178969979</x:v>
      </x:c>
      <x:c r="AI31" t="str">
        <x:f>'土壤湿度回测'!C119</x:f>
        <x:v>2026-07-31T16:55:00</x:v>
      </x:c>
      <x:c r="AJ31" t="n">
        <x:f>'土壤湿度回测'!E119</x:f>
        <x:v>12</x:v>
      </x:c>
      <x:c r="AK31" t="n">
        <x:f>'土壤湿度回测'!F119</x:f>
        <x:v>12.27450180053711</x:v>
      </x:c>
      <x:c r="AL31" t="n">
        <x:f>'土壤湿度回测'!G119</x:f>
        <x:v>12.1</x:v>
      </x:c>
    </x:row>
    <x:row r="32">
      <x:c r="W32" t="n">
        <x:f>'ET0现场回测'!D33</x:f>
        <x:v>0.0046012327815289685</x:v>
      </x:c>
      <x:c r="X32" t="n">
        <x:f>'ET0现场回测'!E33</x:f>
        <x:v>0.013762339949607849</x:v>
      </x:c>
      <x:c r="Y32" t="n">
        <x:f>'ET0现场回测'!F33</x:f>
        <x:v>0.01610642671585083</x:v>
      </x:c>
      <x:c r="Z32" t="n">
        <x:f>'ET0现场回测'!D33</x:f>
        <x:v>0.0046012327815289685</x:v>
      </x:c>
      <x:c r="AI32" t="str">
        <x:f>'土壤湿度回测'!C123</x:f>
        <x:v>2026-07-31T17:00:00</x:v>
      </x:c>
      <x:c r="AJ32" t="n">
        <x:f>'土壤湿度回测'!E123</x:f>
        <x:v>12</x:v>
      </x:c>
      <x:c r="AK32" t="n">
        <x:f>'土壤湿度回测'!F123</x:f>
        <x:v>12.275497436523438</x:v>
      </x:c>
      <x:c r="AL32" t="n">
        <x:f>'土壤湿度回测'!G123</x:f>
        <x:v>12.1</x:v>
      </x:c>
    </x:row>
    <x:row r="33">
      <x:c r="W33" t="n">
        <x:f>'ET0现场回测'!D34</x:f>
        <x:v>0.0008068886692382994</x:v>
      </x:c>
      <x:c r="X33" t="n">
        <x:f>'ET0现场回测'!E34</x:f>
        <x:v>0.021119236946105957</x:v>
      </x:c>
      <x:c r="Y33" t="n">
        <x:f>'ET0现场回测'!F34</x:f>
        <x:v>0.017785027623176575</x:v>
      </x:c>
      <x:c r="Z33" t="n">
        <x:f>'ET0现场回测'!D34</x:f>
        <x:v>0.0008068886692382994</x:v>
      </x:c>
      <x:c r="AI33" t="str">
        <x:f>'土壤湿度回测'!C127</x:f>
        <x:v>2026-07-31T17:05:00</x:v>
      </x:c>
      <x:c r="AJ33" t="n">
        <x:f>'土壤湿度回测'!E127</x:f>
        <x:v>12.1</x:v>
      </x:c>
      <x:c r="AK33" t="n">
        <x:f>'土壤湿度回测'!F127</x:f>
        <x:v>12.27652359008789</x:v>
      </x:c>
      <x:c r="AL33" t="n">
        <x:f>'土壤湿度回测'!G127</x:f>
        <x:v>12.1</x:v>
      </x:c>
    </x:row>
    <x:row r="34">
      <x:c r="W34" t="n">
        <x:f>'ET0现场回测'!D35</x:f>
        <x:v>0</x:v>
      </x:c>
      <x:c r="X34" t="n">
        <x:f>'ET0现场回测'!E35</x:f>
        <x:v>0.018579736351966858</x:v>
      </x:c>
      <x:c r="Y34" t="n">
        <x:f>'ET0现场回测'!F35</x:f>
        <x:v>0.023749008774757385</x:v>
      </x:c>
      <x:c r="Z34" t="n">
        <x:f>'ET0现场回测'!D35</x:f>
        <x:v>0</x:v>
      </x:c>
      <x:c r="AI34" t="str">
        <x:f>'土壤湿度回测'!C131</x:f>
        <x:v>2026-07-31T17:10:00</x:v>
      </x:c>
      <x:c r="AJ34" t="n">
        <x:f>'土壤湿度回测'!E131</x:f>
        <x:v>12.1</x:v>
      </x:c>
      <x:c r="AK34" t="n">
        <x:f>'土壤湿度回测'!F131</x:f>
        <x:v>12.276878356933594</x:v>
      </x:c>
      <x:c r="AL34" t="n">
        <x:f>'土壤湿度回测'!G131</x:f>
        <x:v>12.1</x:v>
      </x:c>
    </x:row>
    <x:row r="35">
      <x:c r="W35" t="n">
        <x:f>'ET0现场回测'!D36</x:f>
        <x:v>0.012507393713363069</x:v>
      </x:c>
      <x:c r="X35" t="n">
        <x:f>'ET0现场回测'!E36</x:f>
        <x:v>0</x:v>
      </x:c>
      <x:c r="Y35" t="n">
        <x:f>'ET0现场回测'!F36</x:f>
        <x:v>0</x:v>
      </x:c>
      <x:c r="Z35" t="n">
        <x:f>'ET0现场回测'!D36</x:f>
        <x:v>0.012507393713363069</x:v>
      </x:c>
      <x:c r="AI35" t="str">
        <x:f>'土壤湿度回测'!C135</x:f>
        <x:v>2026-07-31T17:15:00</x:v>
      </x:c>
      <x:c r="AJ35" t="n">
        <x:f>'土壤湿度回测'!E135</x:f>
        <x:v>12</x:v>
      </x:c>
      <x:c r="AK35" t="n">
        <x:f>'土壤湿度回测'!F135</x:f>
        <x:v>12.27706527709961</x:v>
      </x:c>
      <x:c r="AL35" t="n">
        <x:f>'土壤湿度回测'!G135</x:f>
        <x:v>12.1</x:v>
      </x:c>
    </x:row>
    <x:row r="36">
      <x:c r="W36" t="n">
        <x:f>'ET0现场回测'!D37</x:f>
        <x:v>0.00506273040472458</x:v>
      </x:c>
      <x:c r="X36" t="n">
        <x:f>'ET0现场回测'!E37</x:f>
        <x:v>0</x:v>
      </x:c>
      <x:c r="Y36" t="n">
        <x:f>'ET0现场回测'!F37</x:f>
        <x:v>0</x:v>
      </x:c>
      <x:c r="Z36" t="n">
        <x:f>'ET0现场回测'!D37</x:f>
        <x:v>0.00506273040472458</x:v>
      </x:c>
      <x:c r="AI36" t="str">
        <x:f>'土壤湿度回测'!C139</x:f>
        <x:v>2026-07-31T17:20:00</x:v>
      </x:c>
      <x:c r="AJ36" t="n">
        <x:f>'土壤湿度回测'!E139</x:f>
        <x:v>12.1</x:v>
      </x:c>
      <x:c r="AK36" t="n">
        <x:f>'土壤湿度回测'!F139</x:f>
        <x:v>12.27663803100586</x:v>
      </x:c>
      <x:c r="AL36" t="n">
        <x:f>'土壤湿度回测'!G139</x:f>
        <x:v>12.1</x:v>
      </x:c>
    </x:row>
    <x:row r="37">
      <x:c r="W37" t="n">
        <x:f>'ET0现场回测'!D38</x:f>
        <x:v>0</x:v>
      </x:c>
      <x:c r="X37" t="n">
        <x:f>'ET0现场回测'!E38</x:f>
        <x:v>0.028034493327140808</x:v>
      </x:c>
      <x:c r="Y37" t="n">
        <x:f>'ET0现场回测'!F38</x:f>
        <x:v>0.03359745442867279</x:v>
      </x:c>
      <x:c r="Z37" t="n">
        <x:f>'ET0现场回测'!D38</x:f>
        <x:v>0</x:v>
      </x:c>
      <x:c r="AI37" t="str">
        <x:f>'土壤湿度回测'!C143</x:f>
        <x:v>2026-07-31T17:25:00</x:v>
      </x:c>
      <x:c r="AJ37" t="n">
        <x:f>'土壤湿度回测'!E143</x:f>
        <x:v>12.1</x:v>
      </x:c>
      <x:c r="AK37" t="n">
        <x:f>'土壤湿度回测'!F143</x:f>
        <x:v>12.165714263916016</x:v>
      </x:c>
      <x:c r="AL37" t="n">
        <x:f>'土壤湿度回测'!G143</x:f>
        <x:v>12</x:v>
      </x:c>
    </x:row>
    <x:row r="38">
      <x:c r="W38" t="n">
        <x:f>'ET0现场回测'!D39</x:f>
        <x:v>0</x:v>
      </x:c>
      <x:c r="X38" t="n">
        <x:f>'ET0现场回测'!E39</x:f>
        <x:v>0.03479582071304321</x:v>
      </x:c>
      <x:c r="Y38" t="n">
        <x:f>'ET0现场回测'!F39</x:f>
        <x:v>0.0390084832906723</x:v>
      </x:c>
      <x:c r="Z38" t="n">
        <x:f>'ET0现场回测'!D39</x:f>
        <x:v>0</x:v>
      </x:c>
      <x:c r="AI38" t="str">
        <x:f>'土壤湿度回测'!C147</x:f>
        <x:v>2026-07-31T17:30:00</x:v>
      </x:c>
      <x:c r="AJ38" t="n">
        <x:f>'土壤湿度回测'!E147</x:f>
        <x:v>12.1</x:v>
      </x:c>
      <x:c r="AK38" t="n">
        <x:f>'土壤湿度回测'!F147</x:f>
        <x:v>12.276790618896484</x:v>
      </x:c>
      <x:c r="AL38" t="n">
        <x:f>'土壤湿度回测'!G147</x:f>
        <x:v>12.1</x:v>
      </x:c>
    </x:row>
    <x:row r="39">
      <x:c r="W39" t="n">
        <x:f>'ET0现场回测'!D40</x:f>
        <x:v>0.002200955905834844</x:v>
      </x:c>
      <x:c r="X39" t="n">
        <x:f>'ET0现场回测'!E40</x:f>
        <x:v>0.031726643443107605</x:v>
      </x:c>
      <x:c r="Y39" t="n">
        <x:f>'ET0现场回测'!F40</x:f>
        <x:v>0.030728384852409363</x:v>
      </x:c>
      <x:c r="Z39" t="n">
        <x:f>'ET0现场回测'!D40</x:f>
        <x:v>0.002200955905834844</x:v>
      </x:c>
      <x:c r="AI39" t="str">
        <x:f>'土壤湿度回测'!C151</x:f>
        <x:v>2026-07-31T17:35:00</x:v>
      </x:c>
      <x:c r="AJ39" t="n">
        <x:f>'土壤湿度回测'!E151</x:f>
        <x:v>12.1</x:v>
      </x:c>
      <x:c r="AK39" t="n">
        <x:f>'土壤湿度回测'!F151</x:f>
        <x:v>12.163734436035156</x:v>
      </x:c>
      <x:c r="AL39" t="n">
        <x:f>'土壤湿度回测'!G151</x:f>
        <x:v>12</x:v>
      </x:c>
    </x:row>
    <x:row r="40">
      <x:c r="R40" s="31" t="str">
        <x:v>目标小时</x:v>
      </x:c>
      <x:c r="S40" s="32" t="str">
        <x:v>实测计算ET₀</x:v>
      </x:c>
      <x:c r="T40" s="32" t="str">
        <x:v>当前部署预测</x:v>
      </x:c>
      <x:c r="U40" s="33" t="str">
        <x:v>修正版预测</x:v>
      </x:c>
      <x:c r="W40" t="n">
        <x:f>'ET0现场回测'!D41</x:f>
        <x:v>0.0032285421297985036</x:v>
      </x:c>
      <x:c r="X40" t="n">
        <x:f>'ET0现场回测'!E41</x:f>
        <x:v>0.019775211811065674</x:v>
      </x:c>
      <x:c r="Y40" t="n">
        <x:f>'ET0现场回测'!F41</x:f>
        <x:v>0.02460964024066925</x:v>
      </x:c>
      <x:c r="Z40" t="n">
        <x:f>'ET0现场回测'!D41</x:f>
        <x:v>0.0032285421297985036</x:v>
      </x:c>
      <x:c r="AI40" t="str">
        <x:f>'土壤湿度回测'!C155</x:f>
        <x:v>2026-07-31T17:40:00</x:v>
      </x:c>
      <x:c r="AJ40" t="n">
        <x:f>'土壤湿度回测'!E155</x:f>
        <x:v>12.1</x:v>
      </x:c>
      <x:c r="AK40" t="n">
        <x:f>'土壤湿度回测'!F155</x:f>
        <x:v>12.273601531982422</x:v>
      </x:c>
      <x:c r="AL40" t="n">
        <x:f>'土壤湿度回测'!G155</x:f>
        <x:v>12.1</x:v>
      </x:c>
    </x:row>
    <x:row r="41">
      <x:c r="R41" t="str">
        <x:f>'ET0现场回测'!C4</x:f>
        <x:v>2026-07-31T14:00:00</x:v>
      </x:c>
      <x:c r="S41" t="n">
        <x:f>'ET0现场回测'!D4</x:f>
        <x:v>0.058374168868464686</x:v>
      </x:c>
      <x:c r="T41" t="n">
        <x:f>'ET0现场回测'!E4</x:f>
        <x:v>0.0337066575884819</x:v>
      </x:c>
      <x:c r="U41" t="n">
        <x:f>'ET0现场回测'!F4</x:f>
        <x:v>0.03953175991773605</x:v>
      </x:c>
      <x:c r="W41" t="n">
        <x:f>'ET0现场回测'!D42</x:f>
        <x:v>0.003537338071755921</x:v>
      </x:c>
      <x:c r="X41" t="n">
        <x:f>'ET0现场回测'!E42</x:f>
        <x:v>0.04231531172990799</x:v>
      </x:c>
      <x:c r="Y41" t="n">
        <x:f>'ET0现场回测'!F42</x:f>
        <x:v>0.05620773136615753</x:v>
      </x:c>
      <x:c r="Z41" t="n">
        <x:f>'ET0现场回测'!D42</x:f>
        <x:v>0.003537338071755921</x:v>
      </x:c>
      <x:c r="AI41" t="str">
        <x:f>'土壤湿度回测'!C159</x:f>
        <x:v>2026-07-31T17:45:00</x:v>
      </x:c>
      <x:c r="AJ41" t="n">
        <x:f>'土壤湿度回测'!E159</x:f>
        <x:v>12</x:v>
      </x:c>
      <x:c r="AK41" t="n">
        <x:f>'土壤湿度回测'!F159</x:f>
        <x:v>12.273689270019531</x:v>
      </x:c>
      <x:c r="AL41" t="n">
        <x:f>'土壤湿度回测'!G159</x:f>
        <x:v>12.1</x:v>
      </x:c>
    </x:row>
    <x:row r="42">
      <x:c r="R42" t="str">
        <x:f>'ET0现场回测'!C5</x:f>
        <x:v>2026-07-31T15:00:00</x:v>
      </x:c>
      <x:c r="S42" t="n">
        <x:f>'ET0现场回测'!D5</x:f>
        <x:v>0.01146710913735103</x:v>
      </x:c>
      <x:c r="T42" t="n">
        <x:f>'ET0现场回测'!E5</x:f>
        <x:v>0.021061941981315613</x:v>
      </x:c>
      <x:c r="U42" t="n">
        <x:f>'ET0现场回测'!F5</x:f>
        <x:v>0.018865123391151428</x:v>
      </x:c>
      <x:c r="W42" t="n">
        <x:f>'ET0现场回测'!D43</x:f>
        <x:v>0.007369650167064962</x:v>
      </x:c>
      <x:c r="X42" t="n">
        <x:f>'ET0现场回测'!E43</x:f>
        <x:v>0.061549559235572815</x:v>
      </x:c>
      <x:c r="Y42" t="n">
        <x:f>'ET0现场回测'!F43</x:f>
        <x:v>0.06917581707239151</x:v>
      </x:c>
      <x:c r="Z42" t="n">
        <x:f>'ET0现场回测'!D43</x:f>
        <x:v>0.007369650167064962</x:v>
      </x:c>
      <x:c r="AI42" t="str">
        <x:f>'土壤湿度回测'!C163</x:f>
        <x:v>2026-07-31T17:50:00</x:v>
      </x:c>
      <x:c r="AJ42" t="n">
        <x:f>'土壤湿度回测'!E163</x:f>
        <x:v>12.1</x:v>
      </x:c>
      <x:c r="AK42" t="n">
        <x:f>'土壤湿度回测'!F163</x:f>
        <x:v>12.274059295654297</x:v>
      </x:c>
      <x:c r="AL42" t="n">
        <x:f>'土壤湿度回测'!G163</x:f>
        <x:v>12.1</x:v>
      </x:c>
    </x:row>
    <x:row r="43">
      <x:c r="R43" t="str">
        <x:f>'ET0现场回测'!C6</x:f>
        <x:v>2026-07-31T16:00:00</x:v>
      </x:c>
      <x:c r="S43" t="n">
        <x:f>'ET0现场回测'!D6</x:f>
        <x:v>0.013307479458190472</x:v>
      </x:c>
      <x:c r="T43" t="n">
        <x:f>'ET0现场回测'!E6</x:f>
        <x:v>0.018817394971847534</x:v>
      </x:c>
      <x:c r="U43" t="n">
        <x:f>'ET0现场回测'!F6</x:f>
        <x:v>0.01775813102722168</x:v>
      </x:c>
      <x:c r="W43" t="n">
        <x:f>'ET0现场回测'!D44</x:f>
        <x:v>0.015934180504491687</x:v>
      </x:c>
      <x:c r="X43" t="n">
        <x:f>'ET0现场回测'!E44</x:f>
        <x:v>0.04231301695108414</x:v>
      </x:c>
      <x:c r="Y43" t="n">
        <x:f>'ET0现场回测'!F44</x:f>
        <x:v>0.0482332780957222</x:v>
      </x:c>
      <x:c r="Z43" t="n">
        <x:f>'ET0现场回测'!D44</x:f>
        <x:v>0.015934180504491687</x:v>
      </x:c>
      <x:c r="AI43" t="str">
        <x:f>'土壤湿度回测'!C167</x:f>
        <x:v>2026-07-31T17:55:00</x:v>
      </x:c>
      <x:c r="AJ43" t="n">
        <x:f>'土壤湿度回测'!E167</x:f>
        <x:v>12.1</x:v>
      </x:c>
      <x:c r="AK43" t="n">
        <x:f>'土壤湿度回测'!F167</x:f>
        <x:v>12.1641845703125</x:v>
      </x:c>
      <x:c r="AL43" t="n">
        <x:f>'土壤湿度回测'!G167</x:f>
        <x:v>12</x:v>
      </x:c>
    </x:row>
    <x:row r="44">
      <x:c r="R44" t="str">
        <x:f>'ET0现场回测'!C7</x:f>
        <x:v>2026-07-31T17:00:00</x:v>
      </x:c>
      <x:c r="S44" t="n">
        <x:f>'ET0现场回测'!D7</x:f>
        <x:v>0.032463948908021296</x:v>
      </x:c>
      <x:c r="T44" t="n">
        <x:f>'ET0现场回测'!E7</x:f>
        <x:v>0.015887081623077393</x:v>
      </x:c>
      <x:c r="U44" t="n">
        <x:f>'ET0现场回测'!F7</x:f>
        <x:v>0.014694109559059143</x:v>
      </x:c>
      <x:c r="W44" t="n">
        <x:f>'ET0现场回测'!D45</x:f>
        <x:v>0.03196566666228369</x:v>
      </x:c>
      <x:c r="X44" t="n">
        <x:f>'ET0现场回测'!E45</x:f>
        <x:v>0.06842879205942154</x:v>
      </x:c>
      <x:c r="Y44" t="n">
        <x:f>'ET0现场回测'!F45</x:f>
        <x:v>0.08729184418916702</x:v>
      </x:c>
      <x:c r="Z44" t="n">
        <x:f>'ET0现场回测'!D45</x:f>
        <x:v>0.03196566666228369</x:v>
      </x:c>
      <x:c r="AI44" t="str">
        <x:f>'土壤湿度回测'!C171</x:f>
        <x:v>2026-07-31T18:00:00</x:v>
      </x:c>
      <x:c r="AJ44" t="n">
        <x:f>'土壤湿度回测'!E171</x:f>
        <x:v>12</x:v>
      </x:c>
      <x:c r="AK44" t="n">
        <x:f>'土壤湿度回测'!F171</x:f>
        <x:v>12.16281509399414</x:v>
      </x:c>
      <x:c r="AL44" t="n">
        <x:f>'土壤湿度回测'!G171</x:f>
        <x:v>12</x:v>
      </x:c>
    </x:row>
    <x:row r="45">
      <x:c r="R45" t="str">
        <x:f>'ET0现场回测'!C8</x:f>
        <x:v>2026-07-31T18:00:00</x:v>
      </x:c>
      <x:c r="S45" t="n">
        <x:f>'ET0现场回测'!D8</x:f>
        <x:v>0.0034854914316105137</x:v>
      </x:c>
      <x:c r="T45" t="n">
        <x:f>'ET0现场回测'!E8</x:f>
        <x:v>0.01435863971710205</x:v>
      </x:c>
      <x:c r="U45" t="n">
        <x:f>'ET0现场回测'!F8</x:f>
        <x:v>0.018783211708068848</x:v>
      </x:c>
      <x:c r="W45" t="n">
        <x:f>'ET0现场回测'!D46</x:f>
        <x:v>0.5075845413112289</x:v>
      </x:c>
      <x:c r="X45" t="n">
        <x:f>'ET0现场回测'!E46</x:f>
        <x:v>0.059897422790527344</x:v>
      </x:c>
      <x:c r="Y45" t="n">
        <x:f>'ET0现场回测'!F46</x:f>
        <x:v>0.07791750133037567</x:v>
      </x:c>
      <x:c r="Z45" t="n">
        <x:f>'ET0现场回测'!D46</x:f>
        <x:v>0.5075845413112289</x:v>
      </x:c>
      <x:c r="AI45" t="str">
        <x:f>'土壤湿度回测'!C175</x:f>
        <x:v>2026-07-31T18:05:00</x:v>
      </x:c>
      <x:c r="AJ45" t="n">
        <x:f>'土壤湿度回测'!E175</x:f>
        <x:v>12</x:v>
      </x:c>
      <x:c r="AK45" t="n">
        <x:f>'土壤湿度回测'!F175</x:f>
        <x:v>12.274055480957031</x:v>
      </x:c>
      <x:c r="AL45" t="n">
        <x:f>'土壤湿度回测'!G175</x:f>
        <x:v>12.1</x:v>
      </x:c>
    </x:row>
    <x:row r="46">
      <x:c r="R46" t="str">
        <x:f>'ET0现场回测'!C9</x:f>
        <x:v>2026-07-31T19:00:00</x:v>
      </x:c>
      <x:c r="S46" t="n">
        <x:f>'ET0现场回测'!D9</x:f>
        <x:v>0</x:v>
      </x:c>
      <x:c r="T46" t="n">
        <x:f>'ET0现场回测'!E9</x:f>
        <x:v>0.010800108313560486</x:v>
      </x:c>
      <x:c r="U46" t="n">
        <x:f>'ET0现场回测'!F9</x:f>
        <x:v>0.013092532753944397</x:v>
      </x:c>
      <x:c r="W46" t="n">
        <x:f>'ET0现场回测'!D47</x:f>
        <x:v>0.9746360059576474</x:v>
      </x:c>
      <x:c r="X46" t="n">
        <x:f>'ET0现场回测'!E47</x:f>
        <x:v>0.3614335358142853</x:v>
      </x:c>
      <x:c r="Y46" t="n">
        <x:f>'ET0现场回测'!F47</x:f>
        <x:v>0.47057056427001953</x:v>
      </x:c>
      <x:c r="Z46" t="n">
        <x:f>'ET0现场回测'!D47</x:f>
        <x:v>0.9746360059576474</x:v>
      </x:c>
      <x:c r="AI46" t="str">
        <x:f>'土壤湿度回测'!C179</x:f>
        <x:v>2026-07-31T18:10:00</x:v>
      </x:c>
      <x:c r="AJ46" t="n">
        <x:f>'土壤湿度回测'!E179</x:f>
        <x:v>12.1</x:v>
      </x:c>
      <x:c r="AK46" t="n">
        <x:f>'土壤湿度回测'!F179</x:f>
        <x:v>12.274665832519531</x:v>
      </x:c>
      <x:c r="AL46" t="n">
        <x:f>'土壤湿度回测'!G179</x:f>
        <x:v>12.1</x:v>
      </x:c>
    </x:row>
    <x:row r="47">
      <x:c r="R47" t="str">
        <x:f>'ET0现场回测'!C10</x:f>
        <x:v>2026-07-31T20:00:00</x:v>
      </x:c>
      <x:c r="S47" t="n">
        <x:f>'ET0现场回测'!D10</x:f>
        <x:v>0</x:v>
      </x:c>
      <x:c r="T47" t="n">
        <x:f>'ET0现场回测'!E10</x:f>
        <x:v>0.016212403774261475</x:v>
      </x:c>
      <x:c r="U47" t="n">
        <x:f>'ET0现场回测'!F10</x:f>
        <x:v>0.014773473143577576</x:v>
      </x:c>
      <x:c r="W47" t="n">
        <x:f>'ET0现场回测'!D48</x:f>
        <x:v>0.09381631793700355</x:v>
      </x:c>
      <x:c r="X47" t="n">
        <x:f>'ET0现场回测'!E48</x:f>
        <x:v>0.7654918432235718</x:v>
      </x:c>
      <x:c r="Y47" t="n">
        <x:f>'ET0现场回测'!F48</x:f>
        <x:v>0.9680693745613098</x:v>
      </x:c>
      <x:c r="Z47" t="n">
        <x:f>'ET0现场回测'!D48</x:f>
        <x:v>0.09381631793700355</x:v>
      </x:c>
      <x:c r="AI47" t="str">
        <x:f>'土壤湿度回测'!C183</x:f>
        <x:v>2026-07-31T18:15:00</x:v>
      </x:c>
      <x:c r="AJ47" t="n">
        <x:f>'土壤湿度回测'!E183</x:f>
        <x:v>12.1</x:v>
      </x:c>
      <x:c r="AK47" t="n">
        <x:f>'土壤湿度回测'!F183</x:f>
        <x:v>12.164451599121094</x:v>
      </x:c>
      <x:c r="AL47" t="n">
        <x:f>'土壤湿度回测'!G183</x:f>
        <x:v>12</x:v>
      </x:c>
    </x:row>
    <x:row r="48">
      <x:c r="R48" t="str">
        <x:f>'ET0现场回测'!C11</x:f>
        <x:v>2026-07-31T21:00:00</x:v>
      </x:c>
      <x:c r="S48" t="n">
        <x:f>'ET0现场回测'!D11</x:f>
        <x:v>0.002466517079172252</x:v>
      </x:c>
      <x:c r="T48" t="n">
        <x:f>'ET0现场回测'!E11</x:f>
        <x:v>0.013334780931472778</x:v>
      </x:c>
      <x:c r="U48" t="n">
        <x:f>'ET0现场回测'!F11</x:f>
        <x:v>0.01311996579170227</x:v>
      </x:c>
      <x:c r="W48" t="n">
        <x:f>'ET0现场回测'!D49</x:f>
        <x:v>0.16925986637064735</x:v>
      </x:c>
      <x:c r="X48" t="n">
        <x:f>'ET0现场回测'!E49</x:f>
        <x:v>0.19888503849506378</x:v>
      </x:c>
      <x:c r="Y48" t="n">
        <x:f>'ET0现场回测'!F49</x:f>
        <x:v>0.26089030504226685</x:v>
      </x:c>
      <x:c r="Z48" t="n">
        <x:f>'ET0现场回测'!D49</x:f>
        <x:v>0.16925986637064735</x:v>
      </x:c>
      <x:c r="AI48" t="str">
        <x:f>'土壤湿度回测'!C187</x:f>
        <x:v>2026-07-31T18:20:00</x:v>
      </x:c>
      <x:c r="AJ48" t="n">
        <x:f>'土壤湿度回测'!E187</x:f>
        <x:v>12</x:v>
      </x:c>
      <x:c r="AK48" t="n">
        <x:f>'土壤湿度回测'!F187</x:f>
        <x:v>12.274700164794922</x:v>
      </x:c>
      <x:c r="AL48" t="n">
        <x:f>'土壤湿度回测'!G187</x:f>
        <x:v>12.1</x:v>
      </x:c>
    </x:row>
    <x:row r="49">
      <x:c r="R49" t="str">
        <x:f>'ET0现场回测'!C12</x:f>
        <x:v>2026-07-31T22:00:00</x:v>
      </x:c>
      <x:c r="S49" t="n">
        <x:f>'ET0现场回测'!D12</x:f>
        <x:v>0.011271399919541873</x:v>
      </x:c>
      <x:c r="T49" t="n">
        <x:f>'ET0现场回测'!E12</x:f>
        <x:v>0</x:v>
      </x:c>
      <x:c r="U49" t="n">
        <x:f>'ET0现场回测'!F12</x:f>
        <x:v>0</x:v>
      </x:c>
      <x:c r="W49" t="n">
        <x:f>'ET0现场回测'!D50</x:f>
        <x:v>0.1484182270859991</x:v>
      </x:c>
      <x:c r="X49" t="n">
        <x:f>'ET0现场回测'!E50</x:f>
        <x:v>0.14338043332099915</x:v>
      </x:c>
      <x:c r="Y49" t="n">
        <x:f>'ET0现场回测'!F50</x:f>
        <x:v>0.18336598575115204</x:v>
      </x:c>
      <x:c r="Z49" t="n">
        <x:f>'ET0现场回测'!D50</x:f>
        <x:v>0.1484182270859991</x:v>
      </x:c>
      <x:c r="AI49" t="str">
        <x:f>'土壤湿度回测'!C191</x:f>
        <x:v>2026-07-31T18:25:00</x:v>
      </x:c>
      <x:c r="AJ49" t="n">
        <x:f>'土壤湿度回测'!E191</x:f>
        <x:v>12</x:v>
      </x:c>
      <x:c r="AK49" t="n">
        <x:f>'土壤湿度回测'!F191</x:f>
        <x:v>12.276050567626953</x:v>
      </x:c>
      <x:c r="AL49" t="n">
        <x:f>'土壤湿度回测'!G191</x:f>
        <x:v>12.1</x:v>
      </x:c>
    </x:row>
    <x:row r="50">
      <x:c r="R50" t="str">
        <x:f>'ET0现场回测'!C13</x:f>
        <x:v>2026-07-31T23:00:00</x:v>
      </x:c>
      <x:c r="S50" t="n">
        <x:f>'ET0现场回测'!D13</x:f>
        <x:v>0</x:v>
      </x:c>
      <x:c r="T50" t="n">
        <x:f>'ET0现场回测'!E13</x:f>
        <x:v>0</x:v>
      </x:c>
      <x:c r="U50" t="n">
        <x:f>'ET0现场回测'!F13</x:f>
        <x:v>0</x:v>
      </x:c>
      <x:c r="W50" t="n">
        <x:f>'ET0现场回测'!D51</x:f>
        <x:v>0.1655774246110608</x:v>
      </x:c>
      <x:c r="X50" t="n">
        <x:f>'ET0现场回测'!E51</x:f>
        <x:v>0.10867763310670853</x:v>
      </x:c>
      <x:c r="Y50" t="n">
        <x:f>'ET0现场回测'!F51</x:f>
        <x:v>0.13090750575065613</x:v>
      </x:c>
      <x:c r="Z50" t="n">
        <x:f>'ET0现场回测'!D51</x:f>
        <x:v>0.1655774246110608</x:v>
      </x:c>
      <x:c r="AI50" t="str">
        <x:f>'土壤湿度回测'!C195</x:f>
        <x:v>2026-07-31T18:30:00</x:v>
      </x:c>
      <x:c r="AJ50" t="n">
        <x:f>'土壤湿度回测'!E195</x:f>
        <x:v>11.9</x:v>
      </x:c>
      <x:c r="AK50" t="n">
        <x:f>'土壤湿度回测'!F195</x:f>
        <x:v>12.275215148925781</x:v>
      </x:c>
      <x:c r="AL50" t="n">
        <x:f>'土壤湿度回测'!G195</x:f>
        <x:v>12.1</x:v>
      </x:c>
    </x:row>
    <x:row r="51">
      <x:c r="R51" t="str">
        <x:f>'ET0现场回测'!C14</x:f>
        <x:v>2026-08-01T00:00:00</x:v>
      </x:c>
      <x:c r="S51" t="n">
        <x:f>'ET0现场回测'!D14</x:f>
        <x:v>0.0068129868437832135</x:v>
      </x:c>
      <x:c r="T51" t="n">
        <x:f>'ET0现场回测'!E14</x:f>
        <x:v>0.01107315719127655</x:v>
      </x:c>
      <x:c r="U51" t="n">
        <x:f>'ET0现场回测'!F14</x:f>
        <x:v>0.014116346836090088</x:v>
      </x:c>
      <x:c r="W51" t="n">
        <x:f>'ET0现场回测'!D52</x:f>
        <x:v>0.04824612523905466</x:v>
      </x:c>
      <x:c r="X51" t="n">
        <x:f>'ET0现场回测'!E52</x:f>
        <x:v>0.07713847607374191</x:v>
      </x:c>
      <x:c r="Y51" t="n">
        <x:f>'ET0现场回测'!F52</x:f>
        <x:v>0.09547539800405502</x:v>
      </x:c>
      <x:c r="Z51" t="n">
        <x:f>'ET0现场回测'!D52</x:f>
        <x:v>0.04824612523905466</x:v>
      </x:c>
      <x:c r="AI51" t="str">
        <x:f>'土壤湿度回测'!C199</x:f>
        <x:v>2026-07-31T18:35:00</x:v>
      </x:c>
      <x:c r="AJ51" t="n">
        <x:f>'土壤湿度回测'!E199</x:f>
        <x:v>12</x:v>
      </x:c>
      <x:c r="AK51" t="n">
        <x:f>'土壤湿度回测'!F199</x:f>
        <x:v>12.274547576904297</x:v>
      </x:c>
      <x:c r="AL51" t="n">
        <x:f>'土壤湿度回测'!G199</x:f>
        <x:v>12.1</x:v>
      </x:c>
    </x:row>
    <x:row r="52">
      <x:c r="R52" t="str">
        <x:f>'ET0现场回测'!C15</x:f>
        <x:v>2026-08-01T01:00:00</x:v>
      </x:c>
      <x:c r="S52" t="n">
        <x:f>'ET0现场回测'!D15</x:f>
        <x:v>0.005156538897179954</x:v>
      </x:c>
      <x:c r="T52" t="n">
        <x:f>'ET0现场回测'!E15</x:f>
        <x:v>0.02828250825405121</x:v>
      </x:c>
      <x:c r="U52" t="n">
        <x:f>'ET0现场回测'!F15</x:f>
        <x:v>0.03135359287261963</x:v>
      </x:c>
      <x:c r="W52" t="n">
        <x:f>'ET0现场回测'!D53</x:f>
        <x:v>0.0056780924413272855</x:v>
      </x:c>
      <x:c r="X52" t="n">
        <x:f>'ET0现场回测'!E53</x:f>
        <x:v>0.02441731095314026</x:v>
      </x:c>
      <x:c r="Y52" t="n">
        <x:f>'ET0现场回测'!F53</x:f>
        <x:v>0.024362951517105103</x:v>
      </x:c>
      <x:c r="Z52" t="n">
        <x:f>'ET0现场回测'!D53</x:f>
        <x:v>0.0056780924413272855</x:v>
      </x:c>
      <x:c r="AI52" t="str">
        <x:f>'土壤湿度回测'!C203</x:f>
        <x:v>2026-07-31T18:40:00</x:v>
      </x:c>
      <x:c r="AJ52" t="n">
        <x:f>'土壤湿度回测'!E203</x:f>
        <x:v>12</x:v>
      </x:c>
      <x:c r="AK52" t="n">
        <x:f>'土壤湿度回测'!F203</x:f>
        <x:v>12.274120330810547</x:v>
      </x:c>
      <x:c r="AL52" t="n">
        <x:f>'土壤湿度回测'!G203</x:f>
        <x:v>12.1</x:v>
      </x:c>
    </x:row>
    <x:row r="53">
      <x:c r="R53" t="str">
        <x:f>'ET0现场回测'!C16</x:f>
        <x:v>2026-08-01T02:00:00</x:v>
      </x:c>
      <x:c r="S53" t="n">
        <x:f>'ET0现场回测'!D16</x:f>
        <x:v>0.004526145736918674</x:v>
      </x:c>
      <x:c r="T53" t="n">
        <x:f>'ET0现场回测'!E16</x:f>
        <x:v>0.03374643623828888</x:v>
      </x:c>
      <x:c r="U53" t="n">
        <x:f>'ET0现场回测'!F16</x:f>
        <x:v>0.034359969198703766</x:v>
      </x:c>
      <x:c r="W53" t="n">
        <x:f>'ET0现场回测'!D54</x:f>
        <x:v>0.020631958677248843</x:v>
      </x:c>
      <x:c r="X53" t="n">
        <x:f>'ET0现场回测'!E54</x:f>
        <x:v>0.013599216938018799</x:v>
      </x:c>
      <x:c r="Y53" t="n">
        <x:f>'ET0现场回测'!F54</x:f>
        <x:v>0.013702765107154846</x:v>
      </x:c>
      <x:c r="Z53" t="n">
        <x:f>'ET0现场回测'!D54</x:f>
        <x:v>0.020631958677248843</x:v>
      </x:c>
      <x:c r="AI53" t="str">
        <x:f>'土壤湿度回测'!C207</x:f>
        <x:v>2026-07-31T18:45:00</x:v>
      </x:c>
      <x:c r="AJ53" t="n">
        <x:f>'土壤湿度回测'!E207</x:f>
        <x:v>12</x:v>
      </x:c>
      <x:c r="AK53" t="n">
        <x:f>'土壤湿度回测'!F207</x:f>
        <x:v>12.16351318359375</x:v>
      </x:c>
      <x:c r="AL53" t="n">
        <x:f>'土壤湿度回测'!G207</x:f>
        <x:v>12</x:v>
      </x:c>
    </x:row>
    <x:row r="54">
      <x:c r="R54" t="str">
        <x:f>'ET0现场回测'!C17</x:f>
        <x:v>2026-08-01T03:00:00</x:v>
      </x:c>
      <x:c r="S54" t="n">
        <x:f>'ET0现场回测'!D17</x:f>
        <x:v>0.0003483679806558704</x:v>
      </x:c>
      <x:c r="T54" t="n">
        <x:f>'ET0现场回测'!E17</x:f>
        <x:v>0.027585655450820923</x:v>
      </x:c>
      <x:c r="U54" t="n">
        <x:f>'ET0现场回测'!F17</x:f>
        <x:v>0.030688755214214325</x:v>
      </x:c>
      <x:c r="W54" t="n">
        <x:f>'ET0现场回测'!D55</x:f>
        <x:v>0.03149974730564895</x:v>
      </x:c>
      <x:c r="X54" t="n">
        <x:f>'ET0现场回测'!E55</x:f>
        <x:v>0.003527536988258362</x:v>
      </x:c>
      <x:c r="Y54" t="n">
        <x:f>'ET0现场回测'!F55</x:f>
        <x:v>0</x:v>
      </x:c>
      <x:c r="Z54" t="n">
        <x:f>'ET0现场回测'!D55</x:f>
        <x:v>0.03149974730564895</x:v>
      </x:c>
      <x:c r="AI54" t="str">
        <x:f>'土壤湿度回测'!C211</x:f>
        <x:v>2026-07-31T18:50:00</x:v>
      </x:c>
      <x:c r="AJ54" t="n">
        <x:f>'土壤湿度回测'!E211</x:f>
        <x:v>12</x:v>
      </x:c>
      <x:c r="AK54" t="n">
        <x:f>'土壤湿度回测'!F211</x:f>
        <x:v>12.273197174072266</x:v>
      </x:c>
      <x:c r="AL54" t="n">
        <x:f>'土壤湿度回测'!G211</x:f>
        <x:v>12.1</x:v>
      </x:c>
    </x:row>
    <x:row r="55">
      <x:c r="R55" t="str">
        <x:f>'ET0现场回测'!C18</x:f>
        <x:v>2026-08-01T04:00:00</x:v>
      </x:c>
      <x:c r="S55" t="n">
        <x:f>'ET0现场回测'!D18</x:f>
        <x:v>0.00009508724473677141</x:v>
      </x:c>
      <x:c r="T55" t="n">
        <x:f>'ET0现场回测'!E18</x:f>
        <x:v>0.04287474602460861</x:v>
      </x:c>
      <x:c r="U55" t="n">
        <x:f>'ET0现场回测'!F18</x:f>
        <x:v>0.05049028992652893</x:v>
      </x:c>
      <x:c r="W55" t="n">
        <x:f>'ET0现场回测'!D56</x:f>
        <x:v>0.005995685762063575</x:v>
      </x:c>
      <x:c r="X55" t="n">
        <x:f>'ET0现场回测'!E56</x:f>
        <x:v>0.01990044116973877</x:v>
      </x:c>
      <x:c r="Y55" t="n">
        <x:f>'ET0现场回测'!F56</x:f>
        <x:v>0.017713651061058044</x:v>
      </x:c>
      <x:c r="Z55" t="n">
        <x:f>'ET0现场回测'!D56</x:f>
        <x:v>0.005995685762063575</x:v>
      </x:c>
      <x:c r="AI55" t="str">
        <x:f>'土壤湿度回测'!C215</x:f>
        <x:v>2026-07-31T18:55:00</x:v>
      </x:c>
      <x:c r="AJ55" t="n">
        <x:f>'土壤湿度回测'!E215</x:f>
        <x:v>12</x:v>
      </x:c>
      <x:c r="AK55" t="n">
        <x:f>'土壤湿度回测'!F215</x:f>
        <x:v>12.272987365722656</x:v>
      </x:c>
      <x:c r="AL55" t="n">
        <x:f>'土壤湿度回测'!G215</x:f>
        <x:v>12.1</x:v>
      </x:c>
    </x:row>
    <x:row r="56">
      <x:c r="R56" t="str">
        <x:f>'ET0现场回测'!C19</x:f>
        <x:v>2026-08-01T05:00:00</x:v>
      </x:c>
      <x:c r="S56" t="n">
        <x:f>'ET0现场回测'!D19</x:f>
        <x:v>0.006952293014019766</x:v>
      </x:c>
      <x:c r="T56" t="n">
        <x:f>'ET0现场回测'!E19</x:f>
        <x:v>0.051812268793582916</x:v>
      </x:c>
      <x:c r="U56" t="n">
        <x:f>'ET0现场回测'!F19</x:f>
        <x:v>0.0582280233502388</x:v>
      </x:c>
      <x:c r="W56" t="n">
        <x:f>'ET0现场回测'!D57</x:f>
        <x:v>0</x:v>
      </x:c>
      <x:c r="X56" t="n">
        <x:f>'ET0现场回测'!E57</x:f>
        <x:v>0.017740249633789062</x:v>
      </x:c>
      <x:c r="Y56" t="n">
        <x:f>'ET0现场回测'!F57</x:f>
        <x:v>0.017773374915122986</x:v>
      </x:c>
      <x:c r="Z56" t="n">
        <x:f>'ET0现场回测'!D57</x:f>
        <x:v>0</x:v>
      </x:c>
      <x:c r="AI56" t="str">
        <x:f>'土壤湿度回测'!C219</x:f>
        <x:v>2026-07-31T19:00:00</x:v>
      </x:c>
      <x:c r="AJ56" t="n">
        <x:f>'土壤湿度回测'!E219</x:f>
        <x:v>12</x:v>
      </x:c>
      <x:c r="AK56" t="n">
        <x:f>'土壤湿度回测'!F219</x:f>
        <x:v>12.157814025878906</x:v>
      </x:c>
      <x:c r="AL56" t="n">
        <x:f>'土壤湿度回测'!G219</x:f>
        <x:v>12</x:v>
      </x:c>
    </x:row>
    <x:row r="57">
      <x:c r="R57" t="str">
        <x:f>'ET0现场回测'!C20</x:f>
        <x:v>2026-08-01T06:00:00</x:v>
      </x:c>
      <x:c r="S57" t="n">
        <x:f>'ET0现场回测'!D20</x:f>
        <x:v>0.01970754804673806</x:v>
      </x:c>
      <x:c r="T57" t="n">
        <x:f>'ET0现场回测'!E20</x:f>
        <x:v>0.03582829236984253</x:v>
      </x:c>
      <x:c r="U57" t="n">
        <x:f>'ET0现场回测'!F20</x:f>
        <x:v>0.040822334587574005</x:v>
      </x:c>
      <x:c r="W57" t="n">
        <x:f>'ET0现场回测'!D58</x:f>
        <x:v>0.000366435310587631</x:v>
      </x:c>
      <x:c r="X57" t="n">
        <x:f>'ET0现场回测'!E58</x:f>
        <x:v>0.015736699104309082</x:v>
      </x:c>
      <x:c r="Y57" t="n">
        <x:f>'ET0现场回测'!F58</x:f>
        <x:v>0.01166011393070221</x:v>
      </x:c>
      <x:c r="Z57" t="n">
        <x:f>'ET0现场回测'!D58</x:f>
        <x:v>0.000366435310587631</x:v>
      </x:c>
      <x:c r="AI57" t="str">
        <x:f>'土壤湿度回测'!C223</x:f>
        <x:v>2026-07-31T19:05:00</x:v>
      </x:c>
      <x:c r="AJ57" t="n">
        <x:f>'土壤湿度回测'!E223</x:f>
        <x:v>12</x:v>
      </x:c>
      <x:c r="AK57" t="n">
        <x:f>'土壤湿度回测'!F223</x:f>
        <x:v>12.154582977294922</x:v>
      </x:c>
      <x:c r="AL57" t="n">
        <x:f>'土壤湿度回测'!G223</x:f>
        <x:v>12</x:v>
      </x:c>
    </x:row>
    <x:row r="58">
      <x:c r="R58" t="str">
        <x:f>'ET0现场回测'!C21</x:f>
        <x:v>2026-08-01T07:00:00</x:v>
      </x:c>
      <x:c r="S58" t="n">
        <x:f>'ET0现场回测'!D21</x:f>
        <x:v>0.035626922673982084</x:v>
      </x:c>
      <x:c r="T58" t="n">
        <x:f>'ET0现场回测'!E21</x:f>
        <x:v>0.06241268664598465</x:v>
      </x:c>
      <x:c r="U58" t="n">
        <x:f>'ET0现场回测'!F21</x:f>
        <x:v>0.07905743271112442</x:v>
      </x:c>
      <x:c r="W58" t="n">
        <x:f>'ET0现场回测'!D59</x:f>
        <x:v>0.005177846887664752</x:v>
      </x:c>
      <x:c r="X58" t="n">
        <x:f>'ET0现场回测'!E59</x:f>
        <x:v>0.018362998962402344</x:v>
      </x:c>
      <x:c r="Y58" t="n">
        <x:f>'ET0现场回测'!F59</x:f>
        <x:v>0.02472633123397827</x:v>
      </x:c>
      <x:c r="Z58" t="n">
        <x:f>'ET0现场回测'!D59</x:f>
        <x:v>0.005177846887664752</x:v>
      </x:c>
      <x:c r="AI58" t="str">
        <x:f>'土壤湿度回测'!C227</x:f>
        <x:v>2026-07-31T19:10:00</x:v>
      </x:c>
      <x:c r="AJ58" t="n">
        <x:f>'土壤湿度回测'!E227</x:f>
        <x:v>12</x:v>
      </x:c>
      <x:c r="AK58" t="n">
        <x:f>'土壤湿度回测'!F227</x:f>
        <x:v>12.262199401855469</x:v>
      </x:c>
      <x:c r="AL58" t="n">
        <x:f>'土壤湿度回测'!G227</x:f>
        <x:v>12.1</x:v>
      </x:c>
    </x:row>
    <x:row r="59">
      <x:c r="R59" t="str">
        <x:f>'ET0现场回测'!C22</x:f>
        <x:v>2026-08-01T08:00:00</x:v>
      </x:c>
      <x:c r="S59" t="n">
        <x:f>'ET0现场回测'!D22</x:f>
        <x:v>0.4401332808021882</x:v>
      </x:c>
      <x:c r="T59" t="n">
        <x:f>'ET0现场回测'!E22</x:f>
        <x:v>0.06728900223970413</x:v>
      </x:c>
      <x:c r="U59" t="n">
        <x:f>'ET0现场回测'!F22</x:f>
        <x:v>0.0896231159567833</x:v>
      </x:c>
      <x:c r="W59" t="n">
        <x:f>'ET0现场回测'!D60</x:f>
        <x:v>0</x:v>
      </x:c>
      <x:c r="X59" t="n">
        <x:f>'ET0现场回测'!E60</x:f>
        <x:v>0</x:v>
      </x:c>
      <x:c r="Y59" t="n">
        <x:f>'ET0现场回测'!F60</x:f>
        <x:v>0</x:v>
      </x:c>
      <x:c r="Z59" t="n">
        <x:f>'ET0现场回测'!D60</x:f>
        <x:v>0</x:v>
      </x:c>
      <x:c r="AI59" t="str">
        <x:f>'土壤湿度回测'!C231</x:f>
        <x:v>2026-07-31T19:15:00</x:v>
      </x:c>
      <x:c r="AJ59" t="n">
        <x:f>'土壤湿度回测'!E231</x:f>
        <x:v>12</x:v>
      </x:c>
      <x:c r="AK59" t="n">
        <x:f>'土壤湿度回测'!F231</x:f>
        <x:v>12.260368347167969</x:v>
      </x:c>
      <x:c r="AL59" t="n">
        <x:f>'土壤湿度回测'!G231</x:f>
        <x:v>12.1</x:v>
      </x:c>
    </x:row>
    <x:row r="60">
      <x:c r="R60" t="str">
        <x:f>'ET0现场回测'!C23</x:f>
        <x:v>2026-08-01T09:00:00</x:v>
      </x:c>
      <x:c r="S60" t="n">
        <x:f>'ET0现场回测'!D23</x:f>
        <x:v>0.9687963649374713</x:v>
      </x:c>
      <x:c r="T60" t="n">
        <x:f>'ET0现场回测'!E23</x:f>
        <x:v>0.322811484336853</x:v>
      </x:c>
      <x:c r="U60" t="n">
        <x:f>'ET0现场回测'!F23</x:f>
        <x:v>0.4202709197998047</x:v>
      </x:c>
      <x:c r="W60" t="n">
        <x:f>'ET0现场回测'!D61</x:f>
        <x:v>0</x:v>
      </x:c>
      <x:c r="X60" t="n">
        <x:f>'ET0现场回测'!E61</x:f>
        <x:v>0</x:v>
      </x:c>
      <x:c r="Y60" t="n">
        <x:f>'ET0现场回测'!F61</x:f>
        <x:v>0</x:v>
      </x:c>
      <x:c r="Z60" t="n">
        <x:f>'ET0现场回测'!D61</x:f>
        <x:v>0</x:v>
      </x:c>
      <x:c r="AI60" t="str">
        <x:f>'土壤湿度回测'!C235</x:f>
        <x:v>2026-07-31T19:20:00</x:v>
      </x:c>
      <x:c r="AJ60" t="n">
        <x:f>'土壤湿度回测'!E235</x:f>
        <x:v>12</x:v>
      </x:c>
      <x:c r="AK60" t="n">
        <x:f>'土壤湿度回测'!F235</x:f>
        <x:v>12.148723602294922</x:v>
      </x:c>
      <x:c r="AL60" t="n">
        <x:f>'土壤湿度回测'!G235</x:f>
        <x:v>12</x:v>
      </x:c>
    </x:row>
    <x:row r="61">
      <x:c r="A61" s="96" t="str">
        <x:v>注：ET₀“实测计算值”为传感器观测驱动的 FAO-56 参考值，并非蒸渗仪直接测量。负提升率表示模型未超过持久性基线。离线指标、现场回测和修正诊断必须分开引用。</x:v>
      </x:c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R61" t="str">
        <x:f>'ET0现场回测'!C24</x:f>
        <x:v>2026-08-01T10:00:00</x:v>
      </x:c>
      <x:c r="S61" t="n">
        <x:f>'ET0现场回测'!D24</x:f>
        <x:v>0.180535547927222</x:v>
      </x:c>
      <x:c r="T61" t="n">
        <x:f>'ET0现场回测'!E24</x:f>
        <x:v>0.7474638819694519</x:v>
      </x:c>
      <x:c r="U61" t="n">
        <x:f>'ET0现场回测'!F24</x:f>
        <x:v>0.9481233358383179</x:v>
      </x:c>
      <x:c r="W61" t="n">
        <x:f>'ET0现场回测'!D62</x:f>
        <x:v>0</x:v>
      </x:c>
      <x:c r="X61" t="n">
        <x:f>'ET0现场回测'!E62</x:f>
        <x:v>0.026698008179664612</x:v>
      </x:c>
      <x:c r="Y61" t="n">
        <x:f>'ET0现场回测'!F62</x:f>
        <x:v>0.03327014297246933</x:v>
      </x:c>
      <x:c r="Z61" t="n">
        <x:f>'ET0现场回测'!D62</x:f>
        <x:v>0</x:v>
      </x:c>
      <x:c r="AI61" t="str">
        <x:f>'土壤湿度回测'!C239</x:f>
        <x:v>2026-07-31T19:25:00</x:v>
      </x:c>
      <x:c r="AJ61" t="n">
        <x:f>'土壤湿度回测'!E239</x:f>
        <x:v>12</x:v>
      </x:c>
      <x:c r="AK61" t="n">
        <x:f>'土壤湿度回测'!F239</x:f>
        <x:v>12.14773941040039</x:v>
      </x:c>
      <x:c r="AL61" t="n">
        <x:f>'土壤湿度回测'!G239</x:f>
        <x:v>12</x:v>
      </x:c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R62" t="str">
        <x:f>'ET0现场回测'!C25</x:f>
        <x:v>2026-08-01T11:00:00</x:v>
      </x:c>
      <x:c r="S62" t="n">
        <x:f>'ET0现场回测'!D25</x:f>
        <x:v>0.10256315285299814</x:v>
      </x:c>
      <x:c r="T62" t="n">
        <x:f>'ET0现场回测'!E25</x:f>
        <x:v>0.23763778805732727</x:v>
      </x:c>
      <x:c r="U62" t="n">
        <x:f>'ET0现场回测'!F25</x:f>
        <x:v>0.3077942430973053</x:v>
      </x:c>
      <x:c r="W62" t="n">
        <x:f>'ET0现场回测'!D63</x:f>
        <x:v>0.004377849767579975</x:v>
      </x:c>
      <x:c r="X62" t="n">
        <x:f>'ET0现场回测'!E63</x:f>
        <x:v>0.034496597945690155</x:v>
      </x:c>
      <x:c r="Y62" t="n">
        <x:f>'ET0现场回测'!F63</x:f>
        <x:v>0.03862498700618744</x:v>
      </x:c>
      <x:c r="Z62" t="n">
        <x:f>'ET0现场回测'!D63</x:f>
        <x:v>0.004377849767579975</x:v>
      </x:c>
      <x:c r="AI62" t="str">
        <x:f>'土壤湿度回测'!C243</x:f>
        <x:v>2026-07-31T19:30:00</x:v>
      </x:c>
      <x:c r="AJ62" t="n">
        <x:f>'土壤湿度回测'!E243</x:f>
        <x:v>12</x:v>
      </x:c>
      <x:c r="AK62" t="n">
        <x:f>'土壤湿度回测'!F243</x:f>
        <x:v>12.036766052246094</x:v>
      </x:c>
      <x:c r="AL62" t="n">
        <x:f>'土壤湿度回测'!G243</x:f>
        <x:v>11.9</x:v>
      </x:c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R63" t="str">
        <x:f>'ET0现场回测'!C26</x:f>
        <x:v>2026-08-01T12:00:00</x:v>
      </x:c>
      <x:c r="S63" t="n">
        <x:f>'ET0现场回测'!D26</x:f>
        <x:v>0.1490512332741226</x:v>
      </x:c>
      <x:c r="T63" t="n">
        <x:f>'ET0现场回测'!E26</x:f>
        <x:v>0.10794214904308319</x:v>
      </x:c>
      <x:c r="U63" t="n">
        <x:f>'ET0现场回测'!F26</x:f>
        <x:v>0.13886281847953796</x:v>
      </x:c>
      <x:c r="W63" t="n">
        <x:f>'ET0现场回测'!D64</x:f>
        <x:v>0</x:v>
      </x:c>
      <x:c r="X63" t="n">
        <x:f>'ET0现场回测'!E64</x:f>
        <x:v>0.032677315175533295</x:v>
      </x:c>
      <x:c r="Y63" t="n">
        <x:f>'ET0现场回测'!F64</x:f>
        <x:v>0.032207608222961426</x:v>
      </x:c>
      <x:c r="Z63" t="n">
        <x:f>'ET0现场回测'!D64</x:f>
        <x:v>0</x:v>
      </x:c>
      <x:c r="AI63" t="str">
        <x:f>'土壤湿度回测'!C247</x:f>
        <x:v>2026-07-31T19:35:00</x:v>
      </x:c>
      <x:c r="AJ63" t="n">
        <x:f>'土壤湿度回测'!E247</x:f>
        <x:v>11.9</x:v>
      </x:c>
      <x:c r="AK63" t="n">
        <x:f>'土壤湿度回测'!F247</x:f>
        <x:v>12.146461486816406</x:v>
      </x:c>
      <x:c r="AL63" t="n">
        <x:f>'土壤湿度回测'!G247</x:f>
        <x:v>12</x:v>
      </x:c>
    </x:row>
    <x:row r="64">
      <x:c r="R64" t="str">
        <x:f>'ET0现场回测'!C27</x:f>
        <x:v>2026-08-01T13:00:00</x:v>
      </x:c>
      <x:c r="S64" t="n">
        <x:f>'ET0现场回测'!D27</x:f>
        <x:v>0.14069434841119388</x:v>
      </x:c>
      <x:c r="T64" t="n">
        <x:f>'ET0现场回测'!E27</x:f>
        <x:v>0.10669980198144913</x:v>
      </x:c>
      <x:c r="U64" t="n">
        <x:f>'ET0现场回测'!F27</x:f>
        <x:v>0.12827208638191223</x:v>
      </x:c>
      <x:c r="W64" t="n">
        <x:f>'ET0现场回测'!D65</x:f>
        <x:v>0</x:v>
      </x:c>
      <x:c r="X64" t="n">
        <x:f>'ET0现场回测'!E65</x:f>
        <x:v>0.016772687435150146</x:v>
      </x:c>
      <x:c r="Y64" t="n">
        <x:f>'ET0现场回测'!F65</x:f>
        <x:v>0.020485252141952515</x:v>
      </x:c>
      <x:c r="Z64" t="n">
        <x:f>'ET0现场回测'!D65</x:f>
        <x:v>0</x:v>
      </x:c>
      <x:c r="AI64" t="str">
        <x:f>'土壤湿度回测'!C251</x:f>
        <x:v>2026-07-31T19:40:00</x:v>
      </x:c>
      <x:c r="AJ64" t="n">
        <x:f>'土壤湿度回测'!E251</x:f>
        <x:v>12</x:v>
      </x:c>
      <x:c r="AK64" t="n">
        <x:f>'土壤湿度回测'!F251</x:f>
        <x:v>12.146194458007812</x:v>
      </x:c>
      <x:c r="AL64" t="n">
        <x:f>'土壤湿度回测'!G251</x:f>
        <x:v>12</x:v>
      </x:c>
    </x:row>
    <x:row r="65">
      <x:c r="R65" t="str">
        <x:f>'ET0现场回测'!C28</x:f>
        <x:v>2026-08-01T14:00:00</x:v>
      </x:c>
      <x:c r="S65" t="n">
        <x:f>'ET0现场回测'!D28</x:f>
        <x:v>0.07245173213479612</x:v>
      </x:c>
      <x:c r="T65" t="n">
        <x:f>'ET0现场回测'!E28</x:f>
        <x:v>0.06646617501974106</x:v>
      </x:c>
      <x:c r="U65" t="n">
        <x:f>'ET0现场回测'!F28</x:f>
        <x:v>0.07901237905025482</x:v>
      </x:c>
      <x:c r="W65" t="n">
        <x:f>'ET0现场回测'!D66</x:f>
        <x:v>0.004760919856254144</x:v>
      </x:c>
      <x:c r="X65" t="n">
        <x:f>'ET0现场回测'!E66</x:f>
        <x:v>0.0551503449678421</x:v>
      </x:c>
      <x:c r="Y65" t="n">
        <x:f>'ET0现场回测'!F66</x:f>
        <x:v>0.06513159722089767</x:v>
      </x:c>
      <x:c r="Z65" t="n">
        <x:f>'ET0现场回测'!D66</x:f>
        <x:v>0.004760919856254144</x:v>
      </x:c>
      <x:c r="AI65" t="str">
        <x:f>'土壤湿度回测'!C255</x:f>
        <x:v>2026-07-31T19:45:00</x:v>
      </x:c>
      <x:c r="AJ65" t="n">
        <x:f>'土壤湿度回测'!E255</x:f>
        <x:v>12</x:v>
      </x:c>
      <x:c r="AK65" t="n">
        <x:f>'土壤湿度回测'!F255</x:f>
        <x:v>12.146415710449219</x:v>
      </x:c>
      <x:c r="AL65" t="n">
        <x:f>'土壤湿度回测'!G255</x:f>
        <x:v>12</x:v>
      </x:c>
    </x:row>
    <x:row r="66">
      <x:c r="R66" t="str">
        <x:f>'ET0现场回测'!C29</x:f>
        <x:v>2026-08-01T15:00:00</x:v>
      </x:c>
      <x:c r="S66" t="n">
        <x:f>'ET0现场回测'!D29</x:f>
        <x:v>0.018668339561805955</x:v>
      </x:c>
      <x:c r="T66" t="n">
        <x:f>'ET0现场回测'!E29</x:f>
        <x:v>0.042668551206588745</x:v>
      </x:c>
      <x:c r="U66" t="n">
        <x:f>'ET0现场回测'!F29</x:f>
        <x:v>0.035131797194480896</x:v>
      </x:c>
      <x:c r="W66" t="n">
        <x:f>'ET0现场回测'!D67</x:f>
        <x:v>0.007509607767894066</x:v>
      </x:c>
      <x:c r="X66" t="n">
        <x:f>'ET0现场回测'!E67</x:f>
        <x:v>0.06087873876094818</x:v>
      </x:c>
      <x:c r="Y66" t="n">
        <x:f>'ET0现场回测'!F67</x:f>
        <x:v>0.06850776821374893</x:v>
      </x:c>
      <x:c r="Z66" t="n">
        <x:f>'ET0现场回测'!D67</x:f>
        <x:v>0.007509607767894066</x:v>
      </x:c>
      <x:c r="AI66" t="str">
        <x:f>'土壤湿度回测'!C259</x:f>
        <x:v>2026-07-31T19:50:00</x:v>
      </x:c>
      <x:c r="AJ66" t="n">
        <x:f>'土壤湿度回测'!E259</x:f>
        <x:v>12</x:v>
      </x:c>
      <x:c r="AK66" t="n">
        <x:f>'土壤湿度回测'!F259</x:f>
        <x:v>12.145927429199219</x:v>
      </x:c>
      <x:c r="AL66" t="n">
        <x:f>'土壤湿度回测'!G259</x:f>
        <x:v>12</x:v>
      </x:c>
    </x:row>
    <x:row r="67">
      <x:c r="R67" t="str">
        <x:f>'ET0现场回测'!C30</x:f>
        <x:v>2026-08-01T16:00:00</x:v>
      </x:c>
      <x:c r="S67" t="n">
        <x:f>'ET0现场回测'!D30</x:f>
        <x:v>0.008611093114475554</x:v>
      </x:c>
      <x:c r="T67" t="n">
        <x:f>'ET0现场回测'!E30</x:f>
        <x:v>0.024250268936157227</x:v>
      </x:c>
      <x:c r="U67" t="n">
        <x:f>'ET0现场回测'!F30</x:f>
        <x:v>0.024260371923446655</x:v>
      </x:c>
      <x:c r="W67" t="n">
        <x:f>'ET0现场回测'!D68</x:f>
        <x:v>0.033006182933156644</x:v>
      </x:c>
      <x:c r="X67" t="n">
        <x:f>'ET0现场回测'!E68</x:f>
        <x:v>0.04021085798740387</x:v>
      </x:c>
      <x:c r="Y67" t="n">
        <x:f>'ET0现场回测'!F68</x:f>
        <x:v>0.04788389056921005</x:v>
      </x:c>
      <x:c r="Z67" t="n">
        <x:f>'ET0现场回测'!D68</x:f>
        <x:v>0.033006182933156644</x:v>
      </x:c>
      <x:c r="AI67" t="str">
        <x:f>'土壤湿度回测'!C263</x:f>
        <x:v>2026-07-31T19:55:00</x:v>
      </x:c>
      <x:c r="AJ67" t="n">
        <x:f>'土壤湿度回测'!E263</x:f>
        <x:v>12</x:v>
      </x:c>
      <x:c r="AK67" t="n">
        <x:f>'土壤湿度回测'!F263</x:f>
        <x:v>12.145973205566406</x:v>
      </x:c>
      <x:c r="AL67" t="n">
        <x:f>'土壤湿度回测'!G263</x:f>
        <x:v>12</x:v>
      </x:c>
    </x:row>
    <x:row r="68">
      <x:c r="R68" t="str">
        <x:f>'ET0现场回测'!C31</x:f>
        <x:v>2026-08-01T17:00:00</x:v>
      </x:c>
      <x:c r="S68" t="n">
        <x:f>'ET0现场回测'!D31</x:f>
        <x:v>0.025110673608064425</x:v>
      </x:c>
      <x:c r="T68" t="n">
        <x:f>'ET0现场回测'!E31</x:f>
        <x:v>0.004337385296821594</x:v>
      </x:c>
      <x:c r="U68" t="n">
        <x:f>'ET0现场回测'!F31</x:f>
        <x:v>0.0003640502691268921</x:v>
      </x:c>
      <x:c r="W68" t="n">
        <x:f>'ET0现场回测'!D69</x:f>
        <x:v>0.043231222354947606</x:v>
      </x:c>
      <x:c r="X68" t="n">
        <x:f>'ET0现场回测'!E69</x:f>
        <x:v>0.08443675190210342</x:v>
      </x:c>
      <x:c r="Y68" t="n">
        <x:f>'ET0现场回测'!F69</x:f>
        <x:v>0.10924949496984482</x:v>
      </x:c>
      <x:c r="Z68" t="n">
        <x:f>'ET0现场回测'!D69</x:f>
        <x:v>0.043231222354947606</x:v>
      </x:c>
      <x:c r="AI68" t="str">
        <x:f>'土壤湿度回测'!C267</x:f>
        <x:v>2026-07-31T20:00:00</x:v>
      </x:c>
      <x:c r="AJ68" t="n">
        <x:f>'土壤湿度回测'!E267</x:f>
        <x:v>12</x:v>
      </x:c>
      <x:c r="AK68" t="n">
        <x:f>'土壤湿度回测'!F267</x:f>
        <x:v>12.14022445678711</x:v>
      </x:c>
      <x:c r="AL68" t="n">
        <x:f>'土壤湿度回测'!G267</x:f>
        <x:v>12</x:v>
      </x:c>
    </x:row>
    <x:row r="69">
      <x:c r="R69" t="str">
        <x:f>'ET0现场回测'!C32</x:f>
        <x:v>2026-08-01T18:00:00</x:v>
      </x:c>
      <x:c r="S69" t="n">
        <x:f>'ET0现场回测'!D32</x:f>
        <x:v>0.003328601178969979</x:v>
      </x:c>
      <x:c r="T69" t="n">
        <x:f>'ET0现场回测'!E32</x:f>
        <x:v>0.013795837759971619</x:v>
      </x:c>
      <x:c r="U69" t="n">
        <x:f>'ET0现场回测'!F32</x:f>
        <x:v>0.015919283032417297</x:v>
      </x:c>
      <x:c r="W69" t="n">
        <x:f>'ET0现场回测'!D70</x:f>
        <x:v>0.4947205899453184</x:v>
      </x:c>
      <x:c r="X69" t="n">
        <x:f>'ET0现场回测'!E70</x:f>
        <x:v>0.06443486362695694</x:v>
      </x:c>
      <x:c r="Y69" t="n">
        <x:f>'ET0现场回测'!F70</x:f>
        <x:v>0.0844263806939125</x:v>
      </x:c>
      <x:c r="Z69" t="n">
        <x:f>'ET0现场回测'!D70</x:f>
        <x:v>0.4947205899453184</x:v>
      </x:c>
      <x:c r="AI69" t="str">
        <x:f>'土壤湿度回测'!C271</x:f>
        <x:v>2026-07-31T20:05:00</x:v>
      </x:c>
      <x:c r="AJ69" t="n">
        <x:f>'土壤湿度回测'!E271</x:f>
        <x:v>12</x:v>
      </x:c>
      <x:c r="AK69" t="n">
        <x:f>'土壤湿度回测'!F271</x:f>
        <x:v>12.136756896972656</x:v>
      </x:c>
      <x:c r="AL69" t="n">
        <x:f>'土壤湿度回测'!G271</x:f>
        <x:v>12</x:v>
      </x:c>
    </x:row>
    <x:row r="70">
      <x:c r="R70" t="str">
        <x:f>'ET0现场回测'!C33</x:f>
        <x:v>2026-08-01T19:00:00</x:v>
      </x:c>
      <x:c r="S70" t="n">
        <x:f>'ET0现场回测'!D33</x:f>
        <x:v>0.0046012327815289685</x:v>
      </x:c>
      <x:c r="T70" t="n">
        <x:f>'ET0现场回测'!E33</x:f>
        <x:v>0.013762339949607849</x:v>
      </x:c>
      <x:c r="U70" t="n">
        <x:f>'ET0现场回测'!F33</x:f>
        <x:v>0.01610642671585083</x:v>
      </x:c>
      <x:c r="W70" t="n">
        <x:f>'ET0现场回测'!D71</x:f>
        <x:v>0.9223690097552109</x:v>
      </x:c>
      <x:c r="X70" t="n">
        <x:f>'ET0现场回测'!E71</x:f>
        <x:v>0.3501620292663574</x:v>
      </x:c>
      <x:c r="Y70" t="n">
        <x:f>'ET0现场回测'!F71</x:f>
        <x:v>0.45815032720565796</x:v>
      </x:c>
      <x:c r="Z70" t="n">
        <x:f>'ET0现场回测'!D71</x:f>
        <x:v>0.9223690097552109</x:v>
      </x:c>
      <x:c r="AI70" t="str">
        <x:f>'土壤湿度回测'!C275</x:f>
        <x:v>2026-07-31T20:10:00</x:v>
      </x:c>
      <x:c r="AJ70" t="n">
        <x:f>'土壤湿度回测'!E275</x:f>
        <x:v>12</x:v>
      </x:c>
      <x:c r="AK70" t="n">
        <x:f>'土壤湿度回测'!F275</x:f>
        <x:v>12.134326934814453</x:v>
      </x:c>
      <x:c r="AL70" t="n">
        <x:f>'土壤湿度回测'!G275</x:f>
        <x:v>12</x:v>
      </x:c>
    </x:row>
    <x:row r="71">
      <x:c r="R71" t="str">
        <x:f>'ET0现场回测'!C34</x:f>
        <x:v>2026-08-01T20:00:00</x:v>
      </x:c>
      <x:c r="S71" t="n">
        <x:f>'ET0现场回测'!D34</x:f>
        <x:v>0.0008068886692382994</x:v>
      </x:c>
      <x:c r="T71" t="n">
        <x:f>'ET0现场回测'!E34</x:f>
        <x:v>0.021119236946105957</x:v>
      </x:c>
      <x:c r="U71" t="n">
        <x:f>'ET0现场回测'!F34</x:f>
        <x:v>0.017785027623176575</x:v>
      </x:c>
      <x:c r="W71" t="n">
        <x:f>'ET0现场回测'!D72</x:f>
        <x:v>0.18590534954555363</x:v>
      </x:c>
      <x:c r="X71" t="n">
        <x:f>'ET0现场回测'!E72</x:f>
        <x:v>0.7348142266273499</x:v>
      </x:c>
      <x:c r="Y71" t="n">
        <x:f>'ET0现场回测'!F72</x:f>
        <x:v>0.9262533187866211</x:v>
      </x:c>
      <x:c r="Z71" t="n">
        <x:f>'ET0现场回测'!D72</x:f>
        <x:v>0.18590534954555363</x:v>
      </x:c>
      <x:c r="AI71" t="str">
        <x:f>'土壤湿度回测'!C279</x:f>
        <x:v>2026-07-31T20:15:00</x:v>
      </x:c>
      <x:c r="AJ71" t="n">
        <x:f>'土壤湿度回测'!E279</x:f>
        <x:v>12</x:v>
      </x:c>
      <x:c r="AK71" t="n">
        <x:f>'土壤湿度回测'!F279</x:f>
        <x:v>12.132827758789062</x:v>
      </x:c>
      <x:c r="AL71" t="n">
        <x:f>'土壤湿度回测'!G279</x:f>
        <x:v>12</x:v>
      </x:c>
    </x:row>
    <x:row r="72">
      <x:c r="R72" t="str">
        <x:f>'ET0现场回测'!C35</x:f>
        <x:v>2026-08-01T21:00:00</x:v>
      </x:c>
      <x:c r="S72" t="n">
        <x:f>'ET0现场回测'!D35</x:f>
        <x:v>0</x:v>
      </x:c>
      <x:c r="T72" t="n">
        <x:f>'ET0现场回测'!E35</x:f>
        <x:v>0.018579736351966858</x:v>
      </x:c>
      <x:c r="U72" t="n">
        <x:f>'ET0现场回测'!F35</x:f>
        <x:v>0.023749008774757385</x:v>
      </x:c>
      <x:c r="W72" t="n">
        <x:f>'ET0现场回测'!D73</x:f>
        <x:v>0.1724074192018989</x:v>
      </x:c>
      <x:c r="X72" t="n">
        <x:f>'ET0现场回测'!E73</x:f>
        <x:v>0.24444568157196045</x:v>
      </x:c>
      <x:c r="Y72" t="n">
        <x:f>'ET0现场回测'!F73</x:f>
        <x:v>0.30900633335113525</x:v>
      </x:c>
      <x:c r="Z72" t="n">
        <x:f>'ET0现场回测'!D73</x:f>
        <x:v>0.1724074192018989</x:v>
      </x:c>
      <x:c r="AI72" t="str">
        <x:f>'土壤湿度回测'!C283</x:f>
        <x:v>2026-07-31T20:20:00</x:v>
      </x:c>
      <x:c r="AJ72" t="n">
        <x:f>'土壤湿度回测'!E283</x:f>
        <x:v>12</x:v>
      </x:c>
      <x:c r="AK72" t="n">
        <x:f>'土壤湿度回测'!F283</x:f>
        <x:v>12.132129669189453</x:v>
      </x:c>
      <x:c r="AL72" t="n">
        <x:f>'土壤湿度回测'!G283</x:f>
        <x:v>12</x:v>
      </x:c>
    </x:row>
    <x:row r="73">
      <x:c r="R73" t="str">
        <x:f>'ET0现场回测'!C36</x:f>
        <x:v>2026-08-01T22:00:00</x:v>
      </x:c>
      <x:c r="S73" t="n">
        <x:f>'ET0现场回测'!D36</x:f>
        <x:v>0.012507393713363069</x:v>
      </x:c>
      <x:c r="T73" t="n">
        <x:f>'ET0现场回测'!E36</x:f>
        <x:v>0</x:v>
      </x:c>
      <x:c r="U73" t="n">
        <x:f>'ET0现场回测'!F36</x:f>
        <x:v>0</x:v>
      </x:c>
      <x:c r="W73" t="n">
        <x:f>'ET0现场回测'!D74</x:f>
        <x:v>0.21615511609465884</x:v>
      </x:c>
      <x:c r="X73" t="n">
        <x:f>'ET0现场回测'!E74</x:f>
        <x:v>0.16660243272781372</x:v>
      </x:c>
      <x:c r="Y73" t="n">
        <x:f>'ET0现场回测'!F74</x:f>
        <x:v>0.1926492303609848</x:v>
      </x:c>
      <x:c r="Z73" t="n">
        <x:f>'ET0现场回测'!D74</x:f>
        <x:v>0.21615511609465884</x:v>
      </x:c>
      <x:c r="AI73" t="str">
        <x:f>'土壤湿度回测'!C287</x:f>
        <x:v>2026-07-31T20:25:00</x:v>
      </x:c>
      <x:c r="AJ73" t="n">
        <x:f>'土壤湿度回测'!E287</x:f>
        <x:v>12</x:v>
      </x:c>
      <x:c r="AK73" t="n">
        <x:f>'土壤湿度回测'!F287</x:f>
        <x:v>12.131912231445312</x:v>
      </x:c>
      <x:c r="AL73" t="n">
        <x:f>'土壤湿度回测'!G287</x:f>
        <x:v>12</x:v>
      </x:c>
    </x:row>
    <x:row r="74">
      <x:c r="R74" t="str">
        <x:f>'ET0现场回测'!C37</x:f>
        <x:v>2026-08-01T23:00:00</x:v>
      </x:c>
      <x:c r="S74" t="n">
        <x:f>'ET0现场回测'!D37</x:f>
        <x:v>0.00506273040472458</x:v>
      </x:c>
      <x:c r="T74" t="n">
        <x:f>'ET0现场回测'!E37</x:f>
        <x:v>0</x:v>
      </x:c>
      <x:c r="U74" t="n">
        <x:f>'ET0现场回测'!F37</x:f>
        <x:v>0</x:v>
      </x:c>
      <x:c r="W74" t="n">
        <x:f>'ET0现场回测'!D75</x:f>
        <x:v>0.22314342564126186</x:v>
      </x:c>
      <x:c r="X74" t="n">
        <x:f>'ET0现场回测'!E75</x:f>
        <x:v>0.1603095978498459</x:v>
      </x:c>
      <x:c r="Y74" t="n">
        <x:f>'ET0现场回测'!F75</x:f>
        <x:v>0.17581818997859955</x:v>
      </x:c>
      <x:c r="Z74" t="n">
        <x:f>'ET0现场回测'!D75</x:f>
        <x:v>0.22314342564126186</x:v>
      </x:c>
      <x:c r="AI74" t="str">
        <x:f>'土壤湿度回测'!C291</x:f>
        <x:v>2026-07-31T20:30:00</x:v>
      </x:c>
      <x:c r="AJ74" t="n">
        <x:f>'土壤湿度回测'!E291</x:f>
        <x:v>12</x:v>
      </x:c>
      <x:c r="AK74" t="n">
        <x:f>'土壤湿度回测'!F291</x:f>
        <x:v>12.132007598876953</x:v>
      </x:c>
      <x:c r="AL74" t="n">
        <x:f>'土壤湿度回测'!G291</x:f>
        <x:v>12</x:v>
      </x:c>
    </x:row>
    <x:row r="75">
      <x:c r="R75" t="str">
        <x:f>'ET0现场回测'!C38</x:f>
        <x:v>2026-08-02T00:00:00</x:v>
      </x:c>
      <x:c r="S75" t="n">
        <x:f>'ET0现场回测'!D38</x:f>
        <x:v>0</x:v>
      </x:c>
      <x:c r="T75" t="n">
        <x:f>'ET0现场回测'!E38</x:f>
        <x:v>0.028034493327140808</x:v>
      </x:c>
      <x:c r="U75" t="n">
        <x:f>'ET0现场回测'!F38</x:f>
        <x:v>0.03359745442867279</x:v>
      </x:c>
      <x:c r="W75" t="n">
        <x:f>'ET0现场回测'!D76</x:f>
        <x:v>0.17708295361790494</x:v>
      </x:c>
      <x:c r="X75" t="n">
        <x:f>'ET0现场回测'!E76</x:f>
        <x:v>0.1252039521932602</x:v>
      </x:c>
      <x:c r="Y75" t="n">
        <x:f>'ET0现场回测'!F76</x:f>
        <x:v>0.14119048416614532</x:v>
      </x:c>
      <x:c r="Z75" t="n">
        <x:f>'ET0现场回测'!D76</x:f>
        <x:v>0.17708295361790494</x:v>
      </x:c>
      <x:c r="AI75" t="str">
        <x:f>'土壤湿度回测'!C295</x:f>
        <x:v>2026-07-31T20:35:00</x:v>
      </x:c>
      <x:c r="AJ75" t="n">
        <x:f>'土壤湿度回测'!E295</x:f>
        <x:v>12</x:v>
      </x:c>
      <x:c r="AK75" t="n">
        <x:f>'土壤湿度回测'!F295</x:f>
        <x:v>12.021949768066406</x:v>
      </x:c>
      <x:c r="AL75" t="n">
        <x:f>'土壤湿度回测'!G295</x:f>
        <x:v>11.9</x:v>
      </x:c>
    </x:row>
    <x:row r="76">
      <x:c r="R76" t="str">
        <x:f>'ET0现场回测'!C39</x:f>
        <x:v>2026-08-02T01:00:00</x:v>
      </x:c>
      <x:c r="S76" t="n">
        <x:f>'ET0现场回测'!D39</x:f>
        <x:v>0</x:v>
      </x:c>
      <x:c r="T76" t="n">
        <x:f>'ET0现场回测'!E39</x:f>
        <x:v>0.03479582071304321</x:v>
      </x:c>
      <x:c r="U76" t="n">
        <x:f>'ET0现场回测'!F39</x:f>
        <x:v>0.0390084832906723</x:v>
      </x:c>
      <x:c r="W76" t="n">
        <x:f>'ET0现场回测'!D77</x:f>
        <x:v>0.1776452420656282</x:v>
      </x:c>
      <x:c r="X76" t="n">
        <x:f>'ET0现场回测'!E77</x:f>
        <x:v>0.11668072640895844</x:v>
      </x:c>
      <x:c r="Y76" t="n">
        <x:f>'ET0现场回测'!F77</x:f>
        <x:v>0.12181451916694641</x:v>
      </x:c>
      <x:c r="Z76" t="n">
        <x:f>'ET0现场回测'!D77</x:f>
        <x:v>0.1776452420656282</x:v>
      </x:c>
      <x:c r="AI76" t="str">
        <x:f>'土壤湿度回测'!C299</x:f>
        <x:v>2026-07-31T20:40:00</x:v>
      </x:c>
      <x:c r="AJ76" t="n">
        <x:f>'土壤湿度回测'!E299</x:f>
        <x:v>12</x:v>
      </x:c>
      <x:c r="AK76" t="n">
        <x:f>'土壤湿度回测'!F299</x:f>
        <x:v>12.13241195678711</x:v>
      </x:c>
      <x:c r="AL76" t="n">
        <x:f>'土壤湿度回测'!G299</x:f>
        <x:v>12</x:v>
      </x:c>
    </x:row>
    <x:row r="77">
      <x:c r="R77" t="str">
        <x:f>'ET0现场回测'!C40</x:f>
        <x:v>2026-08-02T02:00:00</x:v>
      </x:c>
      <x:c r="S77" t="n">
        <x:f>'ET0现场回测'!D40</x:f>
        <x:v>0.002200955905834844</x:v>
      </x:c>
      <x:c r="T77" t="n">
        <x:f>'ET0现场回测'!E40</x:f>
        <x:v>0.031726643443107605</x:v>
      </x:c>
      <x:c r="U77" t="n">
        <x:f>'ET0现场回测'!F40</x:f>
        <x:v>0.030728384852409363</x:v>
      </x:c>
      <x:c r="W77" t="n">
        <x:f>'ET0现场回测'!D78</x:f>
        <x:v>0.18046404739042318</x:v>
      </x:c>
      <x:c r="X77" t="n">
        <x:f>'ET0现场回测'!E78</x:f>
        <x:v>0.1217714324593544</x:v>
      </x:c>
      <x:c r="Y77" t="n">
        <x:f>'ET0现场回测'!F78</x:f>
        <x:v>0.1404113918542862</x:v>
      </x:c>
      <x:c r="Z77" t="n">
        <x:f>'ET0现场回测'!D78</x:f>
        <x:v>0.18046404739042318</x:v>
      </x:c>
      <x:c r="AI77" t="str">
        <x:f>'土壤湿度回测'!C303</x:f>
        <x:v>2026-07-31T20:45:00</x:v>
      </x:c>
      <x:c r="AJ77" t="n">
        <x:f>'土壤湿度回测'!E303</x:f>
        <x:v>12</x:v>
      </x:c>
      <x:c r="AK77" t="n">
        <x:f>'土壤湿度回测'!F303</x:f>
        <x:v>12.132556915283203</x:v>
      </x:c>
      <x:c r="AL77" t="n">
        <x:f>'土壤湿度回测'!G303</x:f>
        <x:v>12</x:v>
      </x:c>
    </x:row>
    <x:row r="78">
      <x:c r="R78" t="str">
        <x:f>'ET0现场回测'!C41</x:f>
        <x:v>2026-08-02T03:00:00</x:v>
      </x:c>
      <x:c r="S78" t="n">
        <x:f>'ET0现场回测'!D41</x:f>
        <x:v>0.0032285421297985036</x:v>
      </x:c>
      <x:c r="T78" t="n">
        <x:f>'ET0现场回测'!E41</x:f>
        <x:v>0.019775211811065674</x:v>
      </x:c>
      <x:c r="U78" t="n">
        <x:f>'ET0现场回测'!F41</x:f>
        <x:v>0.02460964024066925</x:v>
      </x:c>
      <x:c r="W78" t="n">
        <x:f>'ET0现场回测'!D79</x:f>
        <x:v>0.04039238435335593</x:v>
      </x:c>
      <x:c r="X78" t="n">
        <x:f>'ET0现场回测'!E79</x:f>
        <x:v>0.10783480107784271</x:v>
      </x:c>
      <x:c r="Y78" t="n">
        <x:f>'ET0现场回测'!F79</x:f>
        <x:v>0.13136115670204163</x:v>
      </x:c>
      <x:c r="Z78" t="n">
        <x:f>'ET0现场回测'!D79</x:f>
        <x:v>0.04039238435335593</x:v>
      </x:c>
      <x:c r="AI78" t="str">
        <x:f>'土壤湿度回测'!C307</x:f>
        <x:v>2026-07-31T20:50:00</x:v>
      </x:c>
      <x:c r="AJ78" t="n">
        <x:f>'土壤湿度回测'!E307</x:f>
        <x:v>12</x:v>
      </x:c>
      <x:c r="AK78" t="n">
        <x:f>'土壤湿度回测'!F307</x:f>
        <x:v>12.132987976074219</x:v>
      </x:c>
      <x:c r="AL78" t="n">
        <x:f>'土壤湿度回测'!G307</x:f>
        <x:v>12</x:v>
      </x:c>
    </x:row>
    <x:row r="79">
      <x:c r="R79" t="str">
        <x:f>'ET0现场回测'!C42</x:f>
        <x:v>2026-08-02T04:00:00</x:v>
      </x:c>
      <x:c r="S79" t="n">
        <x:f>'ET0现场回测'!D42</x:f>
        <x:v>0.003537338071755921</x:v>
      </x:c>
      <x:c r="T79" t="n">
        <x:f>'ET0现场回测'!E42</x:f>
        <x:v>0.04231531172990799</x:v>
      </x:c>
      <x:c r="U79" t="n">
        <x:f>'ET0现场回测'!F42</x:f>
        <x:v>0.05620773136615753</x:v>
      </x:c>
      <x:c r="W79" t="n">
        <x:f>'ET0现场回测'!D80</x:f>
        <x:v>0.00968909329120104</x:v>
      </x:c>
      <x:c r="X79" t="n">
        <x:f>'ET0现场回测'!E80</x:f>
        <x:v>0.017119690775871277</x:v>
      </x:c>
      <x:c r="Y79" t="n">
        <x:f>'ET0现场回测'!F80</x:f>
        <x:v>0.031893856823444366</x:v>
      </x:c>
      <x:c r="Z79" t="n">
        <x:f>'ET0现场回测'!D80</x:f>
        <x:v>0.00968909329120104</x:v>
      </x:c>
      <x:c r="AI79" t="str">
        <x:f>'土壤湿度回测'!C311</x:f>
        <x:v>2026-07-31T20:55:00</x:v>
      </x:c>
      <x:c r="AJ79" t="n">
        <x:f>'土壤湿度回测'!E311</x:f>
        <x:v>12</x:v>
      </x:c>
      <x:c r="AK79" t="n">
        <x:f>'土壤湿度回测'!F311</x:f>
        <x:v>12.13326644897461</x:v>
      </x:c>
      <x:c r="AL79" t="n">
        <x:f>'土壤湿度回测'!G311</x:f>
        <x:v>12</x:v>
      </x:c>
    </x:row>
    <x:row r="80">
      <x:c r="R80" t="str">
        <x:f>'ET0现场回测'!C43</x:f>
        <x:v>2026-08-02T05:00:00</x:v>
      </x:c>
      <x:c r="S80" t="n">
        <x:f>'ET0现场回测'!D43</x:f>
        <x:v>0.007369650167064962</x:v>
      </x:c>
      <x:c r="T80" t="n">
        <x:f>'ET0现场回测'!E43</x:f>
        <x:v>0.061549559235572815</x:v>
      </x:c>
      <x:c r="U80" t="n">
        <x:f>'ET0现场回测'!F43</x:f>
        <x:v>0.06917581707239151</x:v>
      </x:c>
      <x:c r="W80" t="n">
        <x:f>'ET0现场回测'!D81</x:f>
        <x:v>0.009105179655430664</x:v>
      </x:c>
      <x:c r="X80" t="n">
        <x:f>'ET0现场回测'!E81</x:f>
        <x:v>0.017290085554122925</x:v>
      </x:c>
      <x:c r="Y80" t="n">
        <x:f>'ET0现场回测'!F81</x:f>
        <x:v>0.021748289465904236</x:v>
      </x:c>
      <x:c r="Z80" t="n">
        <x:f>'ET0现场回测'!D81</x:f>
        <x:v>0.009105179655430664</x:v>
      </x:c>
      <x:c r="AI80" t="str">
        <x:f>'土壤湿度回测'!C315</x:f>
        <x:v>2026-07-31T21:00:00</x:v>
      </x:c>
      <x:c r="AJ80" t="n">
        <x:f>'土壤湿度回测'!E315</x:f>
        <x:v>12</x:v>
      </x:c>
      <x:c r="AK80" t="n">
        <x:f>'土壤湿度回测'!F315</x:f>
        <x:v>12.12613296508789</x:v>
      </x:c>
      <x:c r="AL80" t="n">
        <x:f>'土壤湿度回测'!G315</x:f>
        <x:v>12</x:v>
      </x:c>
    </x:row>
    <x:row r="81">
      <x:c r="R81" t="str">
        <x:f>'ET0现场回测'!C44</x:f>
        <x:v>2026-08-02T06:00:00</x:v>
      </x:c>
      <x:c r="S81" t="n">
        <x:f>'ET0现场回测'!D44</x:f>
        <x:v>0.015934180504491687</x:v>
      </x:c>
      <x:c r="T81" t="n">
        <x:f>'ET0现场回测'!E44</x:f>
        <x:v>0.04231301695108414</x:v>
      </x:c>
      <x:c r="U81" t="n">
        <x:f>'ET0现场回测'!F44</x:f>
        <x:v>0.0482332780957222</x:v>
      </x:c>
      <x:c r="W81" t="n">
        <x:f>'ET0现场回测'!D82</x:f>
        <x:v>0.0009050643622320333</x:v>
      </x:c>
      <x:c r="X81" t="n">
        <x:f>'ET0现场回测'!E82</x:f>
        <x:v>0.02092602849006653</x:v>
      </x:c>
      <x:c r="Y81" t="n">
        <x:f>'ET0现场回测'!F82</x:f>
        <x:v>0.017949461936950684</x:v>
      </x:c>
      <x:c r="Z81" t="n">
        <x:f>'ET0现场回测'!D82</x:f>
        <x:v>0.0009050643622320333</x:v>
      </x:c>
      <x:c r="AI81" t="str">
        <x:f>'土壤湿度回测'!C319</x:f>
        <x:v>2026-07-31T21:05:00</x:v>
      </x:c>
      <x:c r="AJ81" t="n">
        <x:f>'土壤湿度回测'!E319</x:f>
        <x:v>12</x:v>
      </x:c>
      <x:c r="AK81" t="n">
        <x:f>'土壤湿度回测'!F319</x:f>
        <x:v>12.121723175048828</x:v>
      </x:c>
      <x:c r="AL81" t="n">
        <x:f>'土壤湿度回测'!G319</x:f>
        <x:v>12</x:v>
      </x:c>
    </x:row>
    <x:row r="82">
      <x:c r="R82" t="str">
        <x:f>'ET0现场回测'!C45</x:f>
        <x:v>2026-08-02T07:00:00</x:v>
      </x:c>
      <x:c r="S82" t="n">
        <x:f>'ET0现场回测'!D45</x:f>
        <x:v>0.03196566666228369</x:v>
      </x:c>
      <x:c r="T82" t="n">
        <x:f>'ET0现场回测'!E45</x:f>
        <x:v>0.06842879205942154</x:v>
      </x:c>
      <x:c r="U82" t="n">
        <x:f>'ET0现场回测'!F45</x:f>
        <x:v>0.08729184418916702</x:v>
      </x:c>
      <x:c r="W82" t="n">
        <x:f>'ET0现场回测'!D83</x:f>
        <x:v>0.005467351687656168</x:v>
      </x:c>
      <x:c r="X82" t="n">
        <x:f>'ET0现场回测'!E83</x:f>
        <x:v>0.014265507459640503</x:v>
      </x:c>
      <x:c r="Y82" t="n">
        <x:f>'ET0现场回测'!F83</x:f>
        <x:v>0.01808054745197296</x:v>
      </x:c>
      <x:c r="Z82" t="n">
        <x:f>'ET0现场回测'!D83</x:f>
        <x:v>0.005467351687656168</x:v>
      </x:c>
      <x:c r="AI82" t="str">
        <x:f>'土壤湿度回测'!C323</x:f>
        <x:v>2026-07-31T21:10:00</x:v>
      </x:c>
      <x:c r="AJ82" t="n">
        <x:f>'土壤湿度回测'!E323</x:f>
        <x:v>12</x:v>
      </x:c>
      <x:c r="AK82" t="n">
        <x:f>'土壤湿度回测'!F323</x:f>
        <x:v>12.11859130859375</x:v>
      </x:c>
      <x:c r="AL82" t="n">
        <x:f>'土壤湿度回测'!G323</x:f>
        <x:v>12</x:v>
      </x:c>
    </x:row>
    <x:row r="83">
      <x:c r="R83" t="str">
        <x:f>'ET0现场回测'!C46</x:f>
        <x:v>2026-08-02T08:00:00</x:v>
      </x:c>
      <x:c r="S83" t="n">
        <x:f>'ET0现场回测'!D46</x:f>
        <x:v>0.5075845413112289</x:v>
      </x:c>
      <x:c r="T83" t="n">
        <x:f>'ET0现场回测'!E46</x:f>
        <x:v>0.059897422790527344</x:v>
      </x:c>
      <x:c r="U83" t="n">
        <x:f>'ET0现场回测'!F46</x:f>
        <x:v>0.07791750133037567</x:v>
      </x:c>
      <x:c r="W83" t="n">
        <x:f>'ET0现场回测'!D84</x:f>
        <x:v>0.011940316312272025</x:v>
      </x:c>
      <x:c r="X83" t="n">
        <x:f>'ET0现场回测'!E84</x:f>
        <x:v>0</x:v>
      </x:c>
      <x:c r="Y83" t="n">
        <x:f>'ET0现场回测'!F84</x:f>
        <x:v>0</x:v>
      </x:c>
      <x:c r="Z83" t="n">
        <x:f>'ET0现场回测'!D84</x:f>
        <x:v>0.011940316312272025</x:v>
      </x:c>
      <x:c r="AI83" t="str">
        <x:f>'土壤湿度回测'!C327</x:f>
        <x:v>2026-07-31T21:15:00</x:v>
      </x:c>
      <x:c r="AJ83" t="n">
        <x:f>'土壤湿度回测'!E327</x:f>
        <x:v>12</x:v>
      </x:c>
      <x:c r="AK83" t="n">
        <x:f>'土壤湿度回测'!F327</x:f>
        <x:v>12.116931915283203</x:v>
      </x:c>
      <x:c r="AL83" t="n">
        <x:f>'土壤湿度回测'!G327</x:f>
        <x:v>12</x:v>
      </x:c>
    </x:row>
    <x:row r="84">
      <x:c r="R84" t="str">
        <x:f>'ET0现场回测'!C47</x:f>
        <x:v>2026-08-02T09:00:00</x:v>
      </x:c>
      <x:c r="S84" t="n">
        <x:f>'ET0现场回测'!D47</x:f>
        <x:v>0.9746360059576474</x:v>
      </x:c>
      <x:c r="T84" t="n">
        <x:f>'ET0现场回测'!E47</x:f>
        <x:v>0.3614335358142853</x:v>
      </x:c>
      <x:c r="U84" t="n">
        <x:f>'ET0现场回测'!F47</x:f>
        <x:v>0.47057056427001953</x:v>
      </x:c>
      <x:c r="W84" t="n">
        <x:f>'ET0现场回测'!D85</x:f>
        <x:v>0</x:v>
      </x:c>
      <x:c r="X84" t="n">
        <x:f>'ET0现场回测'!E85</x:f>
        <x:v>0.006333857774734497</x:v>
      </x:c>
      <x:c r="Y84" t="n">
        <x:f>'ET0现场回测'!F85</x:f>
        <x:v>0.0021476447582244873</x:v>
      </x:c>
      <x:c r="Z84" t="n">
        <x:f>'ET0现场回测'!D85</x:f>
        <x:v>0</x:v>
      </x:c>
      <x:c r="AI84" t="str">
        <x:f>'土壤湿度回测'!C331</x:f>
        <x:v>2026-07-31T21:20:00</x:v>
      </x:c>
      <x:c r="AJ84" t="n">
        <x:f>'土壤湿度回测'!E331</x:f>
        <x:v>12</x:v>
      </x:c>
      <x:c r="AK84" t="n">
        <x:f>'土壤湿度回测'!F331</x:f>
        <x:v>12.116168975830078</x:v>
      </x:c>
      <x:c r="AL84" t="n">
        <x:f>'土壤湿度回测'!G331</x:f>
        <x:v>12</x:v>
      </x:c>
    </x:row>
    <x:row r="85">
      <x:c r="R85" t="str">
        <x:f>'ET0现场回测'!C48</x:f>
        <x:v>2026-08-02T10:00:00</x:v>
      </x:c>
      <x:c r="S85" t="n">
        <x:f>'ET0现场回测'!D48</x:f>
        <x:v>0.09381631793700355</x:v>
      </x:c>
      <x:c r="T85" t="n">
        <x:f>'ET0现场回测'!E48</x:f>
        <x:v>0.7654918432235718</x:v>
      </x:c>
      <x:c r="U85" t="n">
        <x:f>'ET0现场回测'!F48</x:f>
        <x:v>0.9680693745613098</x:v>
      </x:c>
      <x:c r="W85" t="n">
        <x:f>'ET0现场回测'!D86</x:f>
        <x:v>0</x:v>
      </x:c>
      <x:c r="X85" t="n">
        <x:f>'ET0现场回测'!E86</x:f>
        <x:v>0.026225313544273376</x:v>
      </x:c>
      <x:c r="Y85" t="n">
        <x:f>'ET0现场回测'!F86</x:f>
        <x:v>0.02819482982158661</x:v>
      </x:c>
      <x:c r="Z85" t="n">
        <x:f>'ET0现场回测'!D86</x:f>
        <x:v>0</x:v>
      </x:c>
      <x:c r="AI85" t="str">
        <x:f>'土壤湿度回测'!C335</x:f>
        <x:v>2026-07-31T21:25:00</x:v>
      </x:c>
      <x:c r="AJ85" t="n">
        <x:f>'土壤湿度回测'!E335</x:f>
        <x:v>12</x:v>
      </x:c>
      <x:c r="AK85" t="n">
        <x:f>'土壤湿度回测'!F335</x:f>
        <x:v>12.115837097167969</x:v>
      </x:c>
      <x:c r="AL85" t="n">
        <x:f>'土壤湿度回测'!G335</x:f>
        <x:v>12</x:v>
      </x:c>
    </x:row>
    <x:row r="86">
      <x:c r="R86" t="str">
        <x:f>'ET0现场回测'!C49</x:f>
        <x:v>2026-08-02T11:00:00</x:v>
      </x:c>
      <x:c r="S86" t="n">
        <x:f>'ET0现场回测'!D49</x:f>
        <x:v>0.16925986637064735</x:v>
      </x:c>
      <x:c r="T86" t="n">
        <x:f>'ET0现场回测'!E49</x:f>
        <x:v>0.19888503849506378</x:v>
      </x:c>
      <x:c r="U86" t="n">
        <x:f>'ET0现场回测'!F49</x:f>
        <x:v>0.26089030504226685</x:v>
      </x:c>
      <x:c r="W86" t="n">
        <x:f>'ET0现场回测'!D87</x:f>
        <x:v>0.0012770835933591347</x:v>
      </x:c>
      <x:c r="X86" t="n">
        <x:f>'ET0现场回测'!E87</x:f>
        <x:v>0.031532660126686096</x:v>
      </x:c>
      <x:c r="Y86" t="n">
        <x:f>'ET0现场回测'!F87</x:f>
        <x:v>0.03263389319181442</x:v>
      </x:c>
      <x:c r="Z86" t="n">
        <x:f>'ET0现场回测'!D87</x:f>
        <x:v>0.0012770835933591347</x:v>
      </x:c>
      <x:c r="AI86" t="str">
        <x:f>'土壤湿度回测'!C339</x:f>
        <x:v>2026-07-31T21:30:00</x:v>
      </x:c>
      <x:c r="AJ86" t="n">
        <x:f>'土壤湿度回测'!E339</x:f>
        <x:v>12</x:v>
      </x:c>
      <x:c r="AK86" t="n">
        <x:f>'土壤湿度回测'!F339</x:f>
        <x:v>12.115779876708984</x:v>
      </x:c>
      <x:c r="AL86" t="n">
        <x:f>'土壤湿度回测'!G339</x:f>
        <x:v>12</x:v>
      </x:c>
    </x:row>
    <x:row r="87">
      <x:c r="R87" t="str">
        <x:f>'ET0现场回测'!C50</x:f>
        <x:v>2026-08-02T12:00:00</x:v>
      </x:c>
      <x:c r="S87" t="n">
        <x:f>'ET0现场回测'!D50</x:f>
        <x:v>0.1484182270859991</x:v>
      </x:c>
      <x:c r="T87" t="n">
        <x:f>'ET0现场回测'!E50</x:f>
        <x:v>0.14338043332099915</x:v>
      </x:c>
      <x:c r="U87" t="n">
        <x:f>'ET0现场回测'!F50</x:f>
        <x:v>0.18336598575115204</x:v>
      </x:c>
      <x:c r="W87" t="n">
        <x:f>'ET0现场回测'!D88</x:f>
        <x:v>0</x:v>
      </x:c>
      <x:c r="X87" t="n">
        <x:f>'ET0现场回测'!E88</x:f>
        <x:v>0.027685239911079407</x:v>
      </x:c>
      <x:c r="Y87" t="n">
        <x:f>'ET0现场回测'!F88</x:f>
        <x:v>0.025337889790534973</x:v>
      </x:c>
      <x:c r="Z87" t="n">
        <x:f>'ET0现场回测'!D88</x:f>
        <x:v>0</x:v>
      </x:c>
      <x:c r="AI87" t="str">
        <x:f>'土壤湿度回测'!C343</x:f>
        <x:v>2026-07-31T21:35:00</x:v>
      </x:c>
      <x:c r="AJ87" t="n">
        <x:f>'土壤湿度回测'!E343</x:f>
        <x:v>12</x:v>
      </x:c>
      <x:c r="AK87" t="n">
        <x:f>'土壤湿度回测'!F343</x:f>
        <x:v>12.115921020507812</x:v>
      </x:c>
      <x:c r="AL87" t="n">
        <x:f>'土壤湿度回测'!G343</x:f>
        <x:v>12</x:v>
      </x:c>
    </x:row>
    <x:row r="88">
      <x:c r="R88" t="str">
        <x:f>'ET0现场回测'!C51</x:f>
        <x:v>2026-08-02T13:00:00</x:v>
      </x:c>
      <x:c r="S88" t="n">
        <x:f>'ET0现场回测'!D51</x:f>
        <x:v>0.1655774246110608</x:v>
      </x:c>
      <x:c r="T88" t="n">
        <x:f>'ET0现场回测'!E51</x:f>
        <x:v>0.10867763310670853</x:v>
      </x:c>
      <x:c r="U88" t="n">
        <x:f>'ET0现场回测'!F51</x:f>
        <x:v>0.13090750575065613</x:v>
      </x:c>
      <x:c r="W88" t="n">
        <x:f>'ET0现场回测'!D89</x:f>
        <x:v>0</x:v>
      </x:c>
      <x:c r="X88" t="n">
        <x:f>'ET0现场回测'!E89</x:f>
        <x:v>0.014373064041137695</x:v>
      </x:c>
      <x:c r="Y88" t="n">
        <x:f>'ET0现场回测'!F89</x:f>
        <x:v>0.018483981490135193</x:v>
      </x:c>
      <x:c r="Z88" t="n">
        <x:f>'ET0现场回测'!D89</x:f>
        <x:v>0</x:v>
      </x:c>
      <x:c r="AI88" t="str">
        <x:f>'土壤湿度回测'!C347</x:f>
        <x:v>2026-07-31T21:40:00</x:v>
      </x:c>
      <x:c r="AJ88" t="n">
        <x:f>'土壤湿度回测'!E347</x:f>
        <x:v>12</x:v>
      </x:c>
      <x:c r="AK88" t="n">
        <x:f>'土壤湿度回测'!F347</x:f>
        <x:v>12.116111755371094</x:v>
      </x:c>
      <x:c r="AL88" t="n">
        <x:f>'土壤湿度回测'!G347</x:f>
        <x:v>12</x:v>
      </x:c>
    </x:row>
    <x:row r="89">
      <x:c r="R89" t="str">
        <x:f>'ET0现场回测'!C52</x:f>
        <x:v>2026-08-02T14:00:00</x:v>
      </x:c>
      <x:c r="S89" t="n">
        <x:f>'ET0现场回测'!D52</x:f>
        <x:v>0.04824612523905466</x:v>
      </x:c>
      <x:c r="T89" t="n">
        <x:f>'ET0现场回测'!E52</x:f>
        <x:v>0.07713847607374191</x:v>
      </x:c>
      <x:c r="U89" t="n">
        <x:f>'ET0现场回测'!F52</x:f>
        <x:v>0.09547539800405502</x:v>
      </x:c>
      <x:c r="W89" t="n">
        <x:f>'ET0现场回测'!D90</x:f>
        <x:v>0.012487388806836126</x:v>
      </x:c>
      <x:c r="X89" t="n">
        <x:f>'ET0现场回测'!E90</x:f>
        <x:v>0.015573650598526001</x:v>
      </x:c>
      <x:c r="Y89" t="n">
        <x:f>'ET0现场回测'!F90</x:f>
        <x:v>0.024874448776245117</x:v>
      </x:c>
      <x:c r="Z89" t="n">
        <x:f>'ET0现场回测'!D90</x:f>
        <x:v>0.012487388806836126</x:v>
      </x:c>
      <x:c r="AI89" t="str">
        <x:f>'土壤湿度回测'!C351</x:f>
        <x:v>2026-07-31T21:45:00</x:v>
      </x:c>
      <x:c r="AJ89" t="n">
        <x:f>'土壤湿度回测'!E351</x:f>
        <x:v>12</x:v>
      </x:c>
      <x:c r="AK89" t="n">
        <x:f>'土壤湿度回测'!F351</x:f>
        <x:v>12.116291046142578</x:v>
      </x:c>
      <x:c r="AL89" t="n">
        <x:f>'土壤湿度回测'!G351</x:f>
        <x:v>12</x:v>
      </x:c>
    </x:row>
    <x:row r="90">
      <x:c r="R90" t="str">
        <x:f>'ET0现场回测'!C53</x:f>
        <x:v>2026-08-02T15:00:00</x:v>
      </x:c>
      <x:c r="S90" t="n">
        <x:f>'ET0现场回测'!D53</x:f>
        <x:v>0.0056780924413272855</x:v>
      </x:c>
      <x:c r="T90" t="n">
        <x:f>'ET0现场回测'!E53</x:f>
        <x:v>0.02441731095314026</x:v>
      </x:c>
      <x:c r="U90" t="n">
        <x:f>'ET0现场回测'!F53</x:f>
        <x:v>0.024362951517105103</x:v>
      </x:c>
      <x:c r="W90" t="n">
        <x:f>'ET0现场回测'!D91</x:f>
        <x:v>0.005538591006603649</x:v>
      </x:c>
      <x:c r="X90" t="n">
        <x:f>'ET0现场回测'!E91</x:f>
        <x:v>0.025742843747138977</x:v>
      </x:c>
      <x:c r="Y90" t="n">
        <x:f>'ET0现场回测'!F91</x:f>
        <x:v>0.03209276497364044</x:v>
      </x:c>
      <x:c r="Z90" t="n">
        <x:f>'ET0现场回测'!D91</x:f>
        <x:v>0.005538591006603649</x:v>
      </x:c>
      <x:c r="AI90" t="str">
        <x:f>'土壤湿度回测'!C355</x:f>
        <x:v>2026-07-31T21:50:00</x:v>
      </x:c>
      <x:c r="AJ90" t="n">
        <x:f>'土壤湿度回测'!E355</x:f>
        <x:v>12</x:v>
      </x:c>
      <x:c r="AK90" t="n">
        <x:f>'土壤湿度回测'!F355</x:f>
        <x:v>12.116436004638672</x:v>
      </x:c>
      <x:c r="AL90" t="n">
        <x:f>'土壤湿度回测'!G355</x:f>
        <x:v>12</x:v>
      </x:c>
    </x:row>
    <x:row r="91">
      <x:c r="R91" t="str">
        <x:f>'ET0现场回测'!C54</x:f>
        <x:v>2026-08-02T16:00:00</x:v>
      </x:c>
      <x:c r="S91" t="n">
        <x:f>'ET0现场回测'!D54</x:f>
        <x:v>0.020631958677248843</x:v>
      </x:c>
      <x:c r="T91" t="n">
        <x:f>'ET0现场回测'!E54</x:f>
        <x:v>0.013599216938018799</x:v>
      </x:c>
      <x:c r="U91" t="n">
        <x:f>'ET0现场回测'!F54</x:f>
        <x:v>0.013702765107154846</x:v>
      </x:c>
      <x:c r="W91" t="n">
        <x:f>'ET0现场回测'!D92</x:f>
        <x:v>0.026896486004011587</x:v>
      </x:c>
      <x:c r="X91" t="n">
        <x:f>'ET0现场回测'!E92</x:f>
        <x:v>0.034238867461681366</x:v>
      </x:c>
      <x:c r="Y91" t="n">
        <x:f>'ET0现场回测'!F92</x:f>
        <x:v>0.04022824019193649</x:v>
      </x:c>
      <x:c r="Z91" t="n">
        <x:f>'ET0现场回测'!D92</x:f>
        <x:v>0.026896486004011587</x:v>
      </x:c>
      <x:c r="AI91" t="str">
        <x:f>'土壤湿度回测'!C359</x:f>
        <x:v>2026-07-31T21:55:00</x:v>
      </x:c>
      <x:c r="AJ91" t="n">
        <x:f>'土壤湿度回测'!E359</x:f>
        <x:v>12</x:v>
      </x:c>
      <x:c r="AK91" t="n">
        <x:f>'土壤湿度回测'!F359</x:f>
        <x:v>12.11655044555664</x:v>
      </x:c>
      <x:c r="AL91" t="n">
        <x:f>'土壤湿度回测'!G359</x:f>
        <x:v>12</x:v>
      </x:c>
    </x:row>
    <x:row r="92">
      <x:c r="R92" t="str">
        <x:f>'ET0现场回测'!C55</x:f>
        <x:v>2026-08-02T17:00:00</x:v>
      </x:c>
      <x:c r="S92" t="n">
        <x:f>'ET0现场回测'!D55</x:f>
        <x:v>0.03149974730564895</x:v>
      </x:c>
      <x:c r="T92" t="n">
        <x:f>'ET0现场回测'!E55</x:f>
        <x:v>0.003527536988258362</x:v>
      </x:c>
      <x:c r="U92" t="n">
        <x:f>'ET0现场回测'!F55</x:f>
        <x:v>0</x:v>
      </x:c>
      <x:c r="W92" t="n">
        <x:f>'ET0现场回测'!D93</x:f>
        <x:v>0.05453365442278886</x:v>
      </x:c>
      <x:c r="X92" t="n">
        <x:f>'ET0现场回测'!E93</x:f>
        <x:v>0.10134105384349823</x:v>
      </x:c>
      <x:c r="Y92" t="n">
        <x:f>'ET0现场回测'!F93</x:f>
        <x:v>0.11736112087965012</x:v>
      </x:c>
      <x:c r="Z92" t="n">
        <x:f>'ET0现场回测'!D93</x:f>
        <x:v>0.05453365442278886</x:v>
      </x:c>
      <x:c r="AI92" t="str">
        <x:f>'土壤湿度回测'!C363</x:f>
        <x:v>2026-07-31T22:00:00</x:v>
      </x:c>
      <x:c r="AJ92" t="n">
        <x:f>'土壤湿度回测'!E363</x:f>
        <x:v>12</x:v>
      </x:c>
      <x:c r="AK92" t="n">
        <x:f>'土壤湿度回测'!F363</x:f>
        <x:v>12.108558654785156</x:v>
      </x:c>
      <x:c r="AL92" t="n">
        <x:f>'土壤湿度回测'!G363</x:f>
        <x:v>12</x:v>
      </x:c>
    </x:row>
    <x:row r="93">
      <x:c r="R93" t="str">
        <x:f>'ET0现场回测'!C56</x:f>
        <x:v>2026-08-02T18:00:00</x:v>
      </x:c>
      <x:c r="S93" t="n">
        <x:f>'ET0现场回测'!D56</x:f>
        <x:v>0.005995685762063575</x:v>
      </x:c>
      <x:c r="T93" t="n">
        <x:f>'ET0现场回测'!E56</x:f>
        <x:v>0.01990044116973877</x:v>
      </x:c>
      <x:c r="U93" t="n">
        <x:f>'ET0现场回测'!F56</x:f>
        <x:v>0.017713651061058044</x:v>
      </x:c>
      <x:c r="W93" t="n">
        <x:f>'ET0现场回测'!D94</x:f>
        <x:v>0.5557486616438592</x:v>
      </x:c>
      <x:c r="X93" t="n">
        <x:f>'ET0现场回测'!E94</x:f>
        <x:v>0.08442453294992447</x:v>
      </x:c>
      <x:c r="Y93" t="n">
        <x:f>'ET0现场回测'!F94</x:f>
        <x:v>0.10482233762741089</x:v>
      </x:c>
      <x:c r="Z93" t="n">
        <x:f>'ET0现场回测'!D94</x:f>
        <x:v>0.5557486616438592</x:v>
      </x:c>
      <x:c r="AI93" t="str">
        <x:f>'土壤湿度回测'!C367</x:f>
        <x:v>2026-07-31T22:05:00</x:v>
      </x:c>
      <x:c r="AJ93" t="n">
        <x:f>'土壤湿度回测'!E367</x:f>
        <x:v>12</x:v>
      </x:c>
      <x:c r="AK93" t="n">
        <x:f>'土壤湿度回测'!F367</x:f>
        <x:v>12.104072570800781</x:v>
      </x:c>
      <x:c r="AL93" t="n">
        <x:f>'土壤湿度回测'!G367</x:f>
        <x:v>12</x:v>
      </x:c>
    </x:row>
    <x:row r="94">
      <x:c r="R94" t="str">
        <x:f>'ET0现场回测'!C57</x:f>
        <x:v>2026-08-02T19:00:00</x:v>
      </x:c>
      <x:c r="S94" t="n">
        <x:f>'ET0现场回测'!D57</x:f>
        <x:v>0</x:v>
      </x:c>
      <x:c r="T94" t="n">
        <x:f>'ET0现场回测'!E57</x:f>
        <x:v>0.017740249633789062</x:v>
      </x:c>
      <x:c r="U94" t="n">
        <x:f>'ET0现场回测'!F57</x:f>
        <x:v>0.017773374915122986</x:v>
      </x:c>
      <x:c r="W94" t="n">
        <x:f>'ET0现场回测'!D95</x:f>
        <x:v>0.9937028103809195</x:v>
      </x:c>
      <x:c r="X94" t="n">
        <x:f>'ET0现场回测'!E95</x:f>
        <x:v>0.4351045489311218</x:v>
      </x:c>
      <x:c r="Y94" t="n">
        <x:f>'ET0现场回测'!F95</x:f>
        <x:v>0.5493850111961365</x:v>
      </x:c>
      <x:c r="Z94" t="n">
        <x:f>'ET0现场回测'!D95</x:f>
        <x:v>0.9937028103809195</x:v>
      </x:c>
      <x:c r="AI94" t="str">
        <x:f>'土壤湿度回测'!C371</x:f>
        <x:v>2026-07-31T22:10:00</x:v>
      </x:c>
      <x:c r="AJ94" t="n">
        <x:f>'土壤湿度回测'!E371</x:f>
        <x:v>12</x:v>
      </x:c>
      <x:c r="AK94" t="n">
        <x:f>'土壤湿度回测'!F371</x:f>
        <x:v>12.100173950195312</x:v>
      </x:c>
      <x:c r="AL94" t="n">
        <x:f>'土壤湿度回测'!G371</x:f>
        <x:v>12</x:v>
      </x:c>
    </x:row>
    <x:row r="95">
      <x:c r="R95" t="str">
        <x:f>'ET0现场回测'!C58</x:f>
        <x:v>2026-08-02T20:00:00</x:v>
      </x:c>
      <x:c r="S95" t="n">
        <x:f>'ET0现场回测'!D58</x:f>
        <x:v>0.000366435310587631</x:v>
      </x:c>
      <x:c r="T95" t="n">
        <x:f>'ET0现场回测'!E58</x:f>
        <x:v>0.015736699104309082</x:v>
      </x:c>
      <x:c r="U95" t="n">
        <x:f>'ET0现场回测'!F58</x:f>
        <x:v>0.01166011393070221</x:v>
      </x:c>
      <x:c r="W95" t="n">
        <x:f>'ET0现场回测'!D96</x:f>
        <x:v>0.1519856331721595</x:v>
      </x:c>
      <x:c r="X95" t="n">
        <x:f>'ET0现场回测'!E96</x:f>
        <x:v>0.8032982349395752</x:v>
      </x:c>
      <x:c r="Y95" t="n">
        <x:f>'ET0现场回测'!F96</x:f>
        <x:v>1.012942910194397</x:v>
      </x:c>
      <x:c r="Z95" t="n">
        <x:f>'ET0现场回测'!D96</x:f>
        <x:v>0.1519856331721595</x:v>
      </x:c>
      <x:c r="AI95" t="str">
        <x:f>'土壤湿度回测'!C375</x:f>
        <x:v>2026-07-31T22:15:00</x:v>
      </x:c>
      <x:c r="AJ95" t="n">
        <x:f>'土壤湿度回测'!E375</x:f>
        <x:v>12</x:v>
      </x:c>
      <x:c r="AK95" t="n">
        <x:f>'土壤湿度回测'!F375</x:f>
        <x:v>12.098388671875</x:v>
      </x:c>
      <x:c r="AL95" t="n">
        <x:f>'土壤湿度回测'!G375</x:f>
        <x:v>12</x:v>
      </x:c>
    </x:row>
    <x:row r="96">
      <x:c r="R96" t="str">
        <x:f>'ET0现场回测'!C59</x:f>
        <x:v>2026-08-02T21:00:00</x:v>
      </x:c>
      <x:c r="S96" t="n">
        <x:f>'ET0现场回测'!D59</x:f>
        <x:v>0.005177846887664752</x:v>
      </x:c>
      <x:c r="T96" t="n">
        <x:f>'ET0现场回测'!E59</x:f>
        <x:v>0.018362998962402344</x:v>
      </x:c>
      <x:c r="U96" t="n">
        <x:f>'ET0现场回测'!F59</x:f>
        <x:v>0.02472633123397827</x:v>
      </x:c>
      <x:c r="W96" t="n">
        <x:f>'ET0现场回测'!D97</x:f>
        <x:v>0.14955393983532322</x:v>
      </x:c>
      <x:c r="X96" t="n">
        <x:f>'ET0现场回测'!E97</x:f>
        <x:v>0.26120349764823914</x:v>
      </x:c>
      <x:c r="Y96" t="n">
        <x:f>'ET0现场回测'!F97</x:f>
        <x:v>0.3343823552131653</x:v>
      </x:c>
      <x:c r="Z96" t="n">
        <x:f>'ET0现场回测'!D97</x:f>
        <x:v>0.14955393983532322</x:v>
      </x:c>
      <x:c r="AI96" t="str">
        <x:f>'土壤湿度回测'!C379</x:f>
        <x:v>2026-07-31T22:20:00</x:v>
      </x:c>
      <x:c r="AJ96" t="n">
        <x:f>'土壤湿度回测'!E379</x:f>
        <x:v>12</x:v>
      </x:c>
      <x:c r="AK96" t="n">
        <x:f>'土壤湿度回测'!F379</x:f>
        <x:v>12.097579956054688</x:v>
      </x:c>
      <x:c r="AL96" t="n">
        <x:f>'土壤湿度回测'!G379</x:f>
        <x:v>12</x:v>
      </x:c>
    </x:row>
    <x:row r="97">
      <x:c r="R97" t="str">
        <x:f>'ET0现场回测'!C60</x:f>
        <x:v>2026-08-02T22:00:00</x:v>
      </x:c>
      <x:c r="S97" t="n">
        <x:f>'ET0现场回测'!D60</x:f>
        <x:v>0</x:v>
      </x:c>
      <x:c r="T97" t="n">
        <x:f>'ET0现场回测'!E60</x:f>
        <x:v>0</x:v>
      </x:c>
      <x:c r="U97" t="n">
        <x:f>'ET0现场回测'!F60</x:f>
        <x:v>0</x:v>
      </x:c>
      <x:c r="W97" t="n">
        <x:f>'ET0现场回测'!D98</x:f>
        <x:v>0.1650408649872492</x:v>
      </x:c>
      <x:c r="X97" t="n">
        <x:f>'ET0现场回测'!E98</x:f>
        <x:v>0.15733645856380463</x:v>
      </x:c>
      <x:c r="Y97" t="n">
        <x:f>'ET0现场回测'!F98</x:f>
        <x:v>0.20444098114967346</x:v>
      </x:c>
      <x:c r="Z97" t="n">
        <x:f>'ET0现场回测'!D98</x:f>
        <x:v>0.1650408649872492</x:v>
      </x:c>
      <x:c r="AI97" t="str">
        <x:f>'土壤湿度回测'!C383</x:f>
        <x:v>2026-07-31T22:25:00</x:v>
      </x:c>
      <x:c r="AJ97" t="n">
        <x:f>'土壤湿度回测'!E383</x:f>
        <x:v>12</x:v>
      </x:c>
      <x:c r="AK97" t="n">
        <x:f>'土壤湿度回测'!F383</x:f>
        <x:v>12.098602294921875</x:v>
      </x:c>
      <x:c r="AL97" t="n">
        <x:f>'土壤湿度回测'!G383</x:f>
        <x:v>12</x:v>
      </x:c>
    </x:row>
    <x:row r="98">
      <x:c r="R98" t="str">
        <x:f>'ET0现场回测'!C61</x:f>
        <x:v>2026-08-02T23:00:00</x:v>
      </x:c>
      <x:c r="S98" t="n">
        <x:f>'ET0现场回测'!D61</x:f>
        <x:v>0</x:v>
      </x:c>
      <x:c r="T98" t="n">
        <x:f>'ET0现场回测'!E61</x:f>
        <x:v>0</x:v>
      </x:c>
      <x:c r="U98" t="n">
        <x:f>'ET0现场回测'!F61</x:f>
        <x:v>0</x:v>
      </x:c>
      <x:c r="W98" t="n">
        <x:f>'ET0现场回测'!D99</x:f>
        <x:v>0.12329105597898776</x:v>
      </x:c>
      <x:c r="X98" t="n">
        <x:f>'ET0现场回测'!E99</x:f>
        <x:v>0.13639062643051147</x:v>
      </x:c>
      <x:c r="Y98" t="n">
        <x:f>'ET0现场回测'!F99</x:f>
        <x:v>0.16650716960430145</x:v>
      </x:c>
      <x:c r="Z98" t="n">
        <x:f>'ET0现场回测'!D99</x:f>
        <x:v>0.12329105597898776</x:v>
      </x:c>
      <x:c r="AI98" t="str">
        <x:f>'土壤湿度回测'!C387</x:f>
        <x:v>2026-07-31T22:30:00</x:v>
      </x:c>
      <x:c r="AJ98" t="n">
        <x:f>'土壤湿度回测'!E387</x:f>
        <x:v>12</x:v>
      </x:c>
      <x:c r="AK98" t="n">
        <x:f>'土壤湿度回测'!F387</x:f>
        <x:v>12.0970458984375</x:v>
      </x:c>
      <x:c r="AL98" t="n">
        <x:f>'土壤湿度回测'!G387</x:f>
        <x:v>12</x:v>
      </x:c>
    </x:row>
    <x:row r="99">
      <x:c r="R99" t="str">
        <x:f>'ET0现场回测'!C62</x:f>
        <x:v>2026-08-03T00:00:00</x:v>
      </x:c>
      <x:c r="S99" t="n">
        <x:f>'ET0现场回测'!D62</x:f>
        <x:v>0</x:v>
      </x:c>
      <x:c r="T99" t="n">
        <x:f>'ET0现场回测'!E62</x:f>
        <x:v>0.026698008179664612</x:v>
      </x:c>
      <x:c r="U99" t="n">
        <x:f>'ET0现场回测'!F62</x:f>
        <x:v>0.03327014297246933</x:v>
      </x:c>
      <x:c r="W99" t="n">
        <x:f>'ET0现场回测'!D100</x:f>
        <x:v>0.18253467258358683</x:v>
      </x:c>
      <x:c r="X99" t="n">
        <x:f>'ET0现场回测'!E100</x:f>
        <x:v>0.07793767005205154</x:v>
      </x:c>
      <x:c r="Y99" t="n">
        <x:f>'ET0现场回测'!F100</x:f>
        <x:v>0.09166134148836136</x:v>
      </x:c>
      <x:c r="Z99" t="n">
        <x:f>'ET0现场回测'!D100</x:f>
        <x:v>0.18253467258358683</x:v>
      </x:c>
    </x:row>
    <x:row r="100">
      <x:c r="R100" t="str">
        <x:f>'ET0现场回测'!C63</x:f>
        <x:v>2026-08-03T01:00:00</x:v>
      </x:c>
      <x:c r="S100" t="n">
        <x:f>'ET0现场回测'!D63</x:f>
        <x:v>0.004377849767579975</x:v>
      </x:c>
      <x:c r="T100" t="n">
        <x:f>'ET0现场回测'!E63</x:f>
        <x:v>0.034496597945690155</x:v>
      </x:c>
      <x:c r="U100" t="n">
        <x:f>'ET0现场回测'!F63</x:f>
        <x:v>0.03862498700618744</x:v>
      </x:c>
      <x:c r="W100" t="n">
        <x:f>'ET0现场回测'!D101</x:f>
        <x:v>0.1212041322217062</x:v>
      </x:c>
      <x:c r="X100" t="n">
        <x:f>'ET0现场回测'!E101</x:f>
        <x:v>0.12902306020259857</x:v>
      </x:c>
      <x:c r="Y100" t="n">
        <x:f>'ET0现场回测'!F101</x:f>
        <x:v>0.1363978236913681</x:v>
      </x:c>
      <x:c r="Z100" t="n">
        <x:f>'ET0现场回测'!D101</x:f>
        <x:v>0.1212041322217062</x:v>
      </x:c>
    </x:row>
    <x:row r="101">
      <x:c r="R101" t="str">
        <x:f>'ET0现场回测'!C64</x:f>
        <x:v>2026-08-03T02:00:00</x:v>
      </x:c>
      <x:c r="S101" t="n">
        <x:f>'ET0现场回测'!D64</x:f>
        <x:v>0</x:v>
      </x:c>
      <x:c r="T101" t="n">
        <x:f>'ET0现场回测'!E64</x:f>
        <x:v>0.032677315175533295</x:v>
      </x:c>
      <x:c r="U101" t="n">
        <x:f>'ET0现场回测'!F64</x:f>
        <x:v>0.032207608222961426</x:v>
      </x:c>
      <x:c r="W101" t="n">
        <x:f>'ET0现场回测'!D102</x:f>
        <x:v>0.07293138820426061</x:v>
      </x:c>
      <x:c r="X101" t="n">
        <x:f>'ET0现场回测'!E102</x:f>
        <x:v>0.0910218209028244</x:v>
      </x:c>
      <x:c r="Y101" t="n">
        <x:f>'ET0现场回测'!F102</x:f>
        <x:v>0.10441139340400696</x:v>
      </x:c>
      <x:c r="Z101" t="n">
        <x:f>'ET0现场回测'!D102</x:f>
        <x:v>0.07293138820426061</x:v>
      </x:c>
    </x:row>
    <x:row r="102">
      <x:c r="R102" t="str">
        <x:f>'ET0现场回测'!C65</x:f>
        <x:v>2026-08-03T03:00:00</x:v>
      </x:c>
      <x:c r="S102" t="n">
        <x:f>'ET0现场回测'!D65</x:f>
        <x:v>0</x:v>
      </x:c>
      <x:c r="T102" t="n">
        <x:f>'ET0现场回测'!E65</x:f>
        <x:v>0.016772687435150146</x:v>
      </x:c>
      <x:c r="U102" t="n">
        <x:f>'ET0现场回测'!F65</x:f>
        <x:v>0.020485252141952515</x:v>
      </x:c>
      <x:c r="W102" t="n">
        <x:f>'ET0现场回测'!D103</x:f>
        <x:v>0.04190093979954643</x:v>
      </x:c>
      <x:c r="X102" t="n">
        <x:f>'ET0现场回测'!E103</x:f>
        <x:v>0.04230095446109772</x:v>
      </x:c>
      <x:c r="Y102" t="n">
        <x:f>'ET0现场回测'!F103</x:f>
        <x:v>0.05322033166885376</x:v>
      </x:c>
      <x:c r="Z102" t="n">
        <x:f>'ET0现场回测'!D103</x:f>
        <x:v>0.04190093979954643</x:v>
      </x:c>
    </x:row>
    <x:row r="103">
      <x:c r="A103" s="100" t="str">
        <x:v>诊断结论：离线测试指标显著高于现场回测，表明当前主要任务是使用真实现场数据重新训练、校准并覆盖灌溉/快速变化事件。净辐射输入修正也应与重新训练配套验证。</x:v>
      </x:c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R103" t="str">
        <x:f>'ET0现场回测'!C66</x:f>
        <x:v>2026-08-03T04:00:00</x:v>
      </x:c>
      <x:c r="S103" t="n">
        <x:f>'ET0现场回测'!D66</x:f>
        <x:v>0.004760919856254144</x:v>
      </x:c>
      <x:c r="T103" t="n">
        <x:f>'ET0现场回测'!E66</x:f>
        <x:v>0.0551503449678421</x:v>
      </x:c>
      <x:c r="U103" t="n">
        <x:f>'ET0现场回测'!F66</x:f>
        <x:v>0.06513159722089767</x:v>
      </x:c>
      <x:c r="W103" t="n">
        <x:f>'ET0现场回测'!D104</x:f>
        <x:v>0.0051259149517120075</x:v>
      </x:c>
      <x:c r="X103" t="n">
        <x:f>'ET0现场回测'!E104</x:f>
        <x:v>0.03402470052242279</x:v>
      </x:c>
      <x:c r="Y103" t="n">
        <x:f>'ET0现场回测'!F104</x:f>
        <x:v>0.04379821568727493</x:v>
      </x:c>
      <x:c r="Z103" t="n">
        <x:f>'ET0现场回测'!D104</x:f>
        <x:v>0.0051259149517120075</x:v>
      </x:c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R104" t="str">
        <x:f>'ET0现场回测'!C67</x:f>
        <x:v>2026-08-03T05:00:00</x:v>
      </x:c>
      <x:c r="S104" t="n">
        <x:f>'ET0现场回测'!D67</x:f>
        <x:v>0.007509607767894066</x:v>
      </x:c>
      <x:c r="T104" t="n">
        <x:f>'ET0现场回测'!E67</x:f>
        <x:v>0.06087873876094818</x:v>
      </x:c>
      <x:c r="U104" t="n">
        <x:f>'ET0现场回测'!F67</x:f>
        <x:v>0.06850776821374893</x:v>
      </x:c>
      <x:c r="W104" t="n">
        <x:f>'ET0现场回测'!D105</x:f>
        <x:v>0.011766638505896444</x:v>
      </x:c>
      <x:c r="X104" t="n">
        <x:f>'ET0现场回测'!E105</x:f>
        <x:v>0.015121281147003174</x:v>
      </x:c>
      <x:c r="Y104" t="n">
        <x:f>'ET0现场回测'!F105</x:f>
        <x:v>0.015391439199447632</x:v>
      </x:c>
      <x:c r="Z104" t="n">
        <x:f>'ET0现场回测'!D105</x:f>
        <x:v>0.011766638505896444</x:v>
      </x:c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R105" t="str">
        <x:f>'ET0现场回测'!C68</x:f>
        <x:v>2026-08-03T06:00:00</x:v>
      </x:c>
      <x:c r="S105" t="n">
        <x:f>'ET0现场回测'!D68</x:f>
        <x:v>0.033006182933156644</x:v>
      </x:c>
      <x:c r="T105" t="n">
        <x:f>'ET0现场回测'!E68</x:f>
        <x:v>0.04021085798740387</x:v>
      </x:c>
      <x:c r="U105" t="n">
        <x:f>'ET0现场回测'!F68</x:f>
        <x:v>0.04788389056921005</x:v>
      </x:c>
      <x:c r="W105" t="n">
        <x:f>'ET0现场回测'!D106</x:f>
        <x:v>0</x:v>
      </x:c>
      <x:c r="X105" t="n">
        <x:f>'ET0现场回测'!E106</x:f>
        <x:v>0.020947515964508057</x:v>
      </x:c>
      <x:c r="Y105" t="n">
        <x:f>'ET0现场回测'!F106</x:f>
        <x:v>0.015251904726028442</x:v>
      </x:c>
      <x:c r="Z105" t="n">
        <x:f>'ET0现场回测'!D106</x:f>
        <x:v>0</x:v>
      </x:c>
    </x:row>
    <x:row r="106">
      <x:c r="R106" t="str">
        <x:f>'ET0现场回测'!C69</x:f>
        <x:v>2026-08-03T07:00:00</x:v>
      </x:c>
      <x:c r="S106" t="n">
        <x:f>'ET0现场回测'!D69</x:f>
        <x:v>0.043231222354947606</x:v>
      </x:c>
      <x:c r="T106" t="n">
        <x:f>'ET0现场回测'!E69</x:f>
        <x:v>0.08443675190210342</x:v>
      </x:c>
      <x:c r="U106" t="n">
        <x:f>'ET0现场回测'!F69</x:f>
        <x:v>0.10924949496984482</x:v>
      </x:c>
      <x:c r="W106" t="n">
        <x:f>'ET0现场回测'!D107</x:f>
        <x:v>0.009600306133270056</x:v>
      </x:c>
      <x:c r="X106" t="n">
        <x:f>'ET0现场回测'!E107</x:f>
        <x:v>0.02011018991470337</x:v>
      </x:c>
      <x:c r="Y106" t="n">
        <x:f>'ET0现场回测'!F107</x:f>
        <x:v>0.027446165680885315</x:v>
      </x:c>
      <x:c r="Z106" t="n">
        <x:f>'ET0现场回测'!D107</x:f>
        <x:v>0.009600306133270056</x:v>
      </x:c>
    </x:row>
    <x:row r="107">
      <x:c r="R107" t="str">
        <x:f>'ET0现场回测'!C70</x:f>
        <x:v>2026-08-03T08:00:00</x:v>
      </x:c>
      <x:c r="S107" t="n">
        <x:f>'ET0现场回测'!D70</x:f>
        <x:v>0.4947205899453184</x:v>
      </x:c>
      <x:c r="T107" t="n">
        <x:f>'ET0现场回测'!E70</x:f>
        <x:v>0.06443486362695694</x:v>
      </x:c>
      <x:c r="U107" t="n">
        <x:f>'ET0现场回测'!F70</x:f>
        <x:v>0.0844263806939125</x:v>
      </x:c>
      <x:c r="W107" t="n">
        <x:f>'ET0现场回测'!D108</x:f>
        <x:v>0.0026570719832518666</x:v>
      </x:c>
      <x:c r="X107" t="n">
        <x:f>'ET0现场回测'!E108</x:f>
        <x:v>0</x:v>
      </x:c>
      <x:c r="Y107" t="n">
        <x:f>'ET0现场回测'!F108</x:f>
        <x:v>0</x:v>
      </x:c>
      <x:c r="Z107" t="n">
        <x:f>'ET0现场回测'!D108</x:f>
        <x:v>0.0026570719832518666</x:v>
      </x:c>
    </x:row>
    <x:row r="108">
      <x:c r="R108" t="str">
        <x:f>'ET0现场回测'!C71</x:f>
        <x:v>2026-08-03T09:00:00</x:v>
      </x:c>
      <x:c r="S108" t="n">
        <x:f>'ET0现场回测'!D71</x:f>
        <x:v>0.9223690097552109</x:v>
      </x:c>
      <x:c r="T108" t="n">
        <x:f>'ET0现场回测'!E71</x:f>
        <x:v>0.3501620292663574</x:v>
      </x:c>
      <x:c r="U108" t="n">
        <x:f>'ET0现场回测'!F71</x:f>
        <x:v>0.45815032720565796</x:v>
      </x:c>
      <x:c r="W108" t="n">
        <x:f>'ET0现场回测'!D109</x:f>
        <x:v>0.008041637627921728</x:v>
      </x:c>
      <x:c r="X108" t="n">
        <x:f>'ET0现场回测'!E109</x:f>
        <x:v>0</x:v>
      </x:c>
      <x:c r="Y108" t="n">
        <x:f>'ET0现场回测'!F109</x:f>
        <x:v>0</x:v>
      </x:c>
      <x:c r="Z108" t="n">
        <x:f>'ET0现场回测'!D109</x:f>
        <x:v>0.008041637627921728</x:v>
      </x:c>
    </x:row>
    <x:row r="109">
      <x:c r="R109" t="str">
        <x:f>'ET0现场回测'!C72</x:f>
        <x:v>2026-08-03T10:00:00</x:v>
      </x:c>
      <x:c r="S109" t="n">
        <x:f>'ET0现场回测'!D72</x:f>
        <x:v>0.18590534954555363</x:v>
      </x:c>
      <x:c r="T109" t="n">
        <x:f>'ET0现场回测'!E72</x:f>
        <x:v>0.7348142266273499</x:v>
      </x:c>
      <x:c r="U109" t="n">
        <x:f>'ET0现场回测'!F72</x:f>
        <x:v>0.9262533187866211</x:v>
      </x:c>
      <x:c r="W109" t="n">
        <x:f>'ET0现场回测'!D110</x:f>
        <x:v>0.01762929170185354</x:v>
      </x:c>
      <x:c r="X109" t="n">
        <x:f>'ET0现场回测'!E110</x:f>
        <x:v>0.026984035968780518</x:v>
      </x:c>
      <x:c r="Y109" t="n">
        <x:f>'ET0现场回测'!F110</x:f>
        <x:v>0.030729614198207855</x:v>
      </x:c>
      <x:c r="Z109" t="n">
        <x:f>'ET0现场回测'!D110</x:f>
        <x:v>0.01762929170185354</x:v>
      </x:c>
    </x:row>
    <x:row r="110">
      <x:c r="R110" t="str">
        <x:f>'ET0现场回测'!C73</x:f>
        <x:v>2026-08-03T11:00:00</x:v>
      </x:c>
      <x:c r="S110" t="n">
        <x:f>'ET0现场回测'!D73</x:f>
        <x:v>0.1724074192018989</x:v>
      </x:c>
      <x:c r="T110" t="n">
        <x:f>'ET0现场回测'!E73</x:f>
        <x:v>0.24444568157196045</x:v>
      </x:c>
      <x:c r="U110" t="n">
        <x:f>'ET0现场回测'!F73</x:f>
        <x:v>0.30900633335113525</x:v>
      </x:c>
      <x:c r="W110" t="n">
        <x:f>'ET0现场回测'!D111</x:f>
        <x:v>0</x:v>
      </x:c>
      <x:c r="X110" t="n">
        <x:f>'ET0现场回测'!E111</x:f>
        <x:v>0.045959971845149994</x:v>
      </x:c>
      <x:c r="Y110" t="n">
        <x:f>'ET0现场回测'!F111</x:f>
        <x:v>0.04638957232236862</x:v>
      </x:c>
      <x:c r="Z110" t="n">
        <x:f>'ET0现场回测'!D111</x:f>
        <x:v>0</x:v>
      </x:c>
    </x:row>
    <x:row r="111">
      <x:c r="R111" t="str">
        <x:f>'ET0现场回测'!C74</x:f>
        <x:v>2026-08-03T12:00:00</x:v>
      </x:c>
      <x:c r="S111" t="n">
        <x:f>'ET0现场回测'!D74</x:f>
        <x:v>0.21615511609465884</x:v>
      </x:c>
      <x:c r="T111" t="n">
        <x:f>'ET0现场回测'!E74</x:f>
        <x:v>0.16660243272781372</x:v>
      </x:c>
      <x:c r="U111" t="n">
        <x:f>'ET0现场回测'!F74</x:f>
        <x:v>0.1926492303609848</x:v>
      </x:c>
      <x:c r="W111" t="n">
        <x:f>'ET0现场回测'!D112</x:f>
        <x:v>0.004794786707725927</x:v>
      </x:c>
      <x:c r="X111" t="n">
        <x:f>'ET0现场回测'!E112</x:f>
        <x:v>0.03646378219127655</x:v>
      </x:c>
      <x:c r="Y111" t="n">
        <x:f>'ET0现场回测'!F112</x:f>
        <x:v>0.03902161121368408</x:v>
      </x:c>
      <x:c r="Z111" t="n">
        <x:f>'ET0现场回测'!D112</x:f>
        <x:v>0.004794786707725927</x:v>
      </x:c>
    </x:row>
    <x:row r="112">
      <x:c r="R112" t="str">
        <x:f>'ET0现场回测'!C75</x:f>
        <x:v>2026-08-03T13:00:00</x:v>
      </x:c>
      <x:c r="S112" t="n">
        <x:f>'ET0现场回测'!D75</x:f>
        <x:v>0.22314342564126186</x:v>
      </x:c>
      <x:c r="T112" t="n">
        <x:f>'ET0现场回测'!E75</x:f>
        <x:v>0.1603095978498459</x:v>
      </x:c>
      <x:c r="U112" t="n">
        <x:f>'ET0现场回测'!F75</x:f>
        <x:v>0.17581818997859955</x:v>
      </x:c>
      <x:c r="W112" t="n">
        <x:f>'ET0现场回测'!D113</x:f>
        <x:v>0.0022349498257862753</x:v>
      </x:c>
      <x:c r="X112" t="n">
        <x:f>'ET0现场回测'!E113</x:f>
        <x:v>0.023298993706703186</x:v>
      </x:c>
      <x:c r="Y112" t="n">
        <x:f>'ET0现场回测'!F113</x:f>
        <x:v>0.027986466884613037</x:v>
      </x:c>
      <x:c r="Z112" t="n">
        <x:f>'ET0现场回测'!D113</x:f>
        <x:v>0.0022349498257862753</x:v>
      </x:c>
    </x:row>
    <x:row r="113">
      <x:c r="W113" t="n">
        <x:f>'ET0现场回测'!D114</x:f>
        <x:v>0.00006809576368200536</x:v>
      </x:c>
      <x:c r="X113" t="n">
        <x:f>'ET0现场回测'!E114</x:f>
        <x:v>0.026209533214569092</x:v>
      </x:c>
      <x:c r="Y113" t="n">
        <x:f>'ET0现场回测'!F114</x:f>
        <x:v>0.040185749530792236</x:v>
      </x:c>
      <x:c r="Z113" t="n">
        <x:f>'ET0现场回测'!D114</x:f>
        <x:v>0.00006809576368200536</x:v>
      </x:c>
    </x:row>
    <x:row r="114">
      <x:c r="W114" t="n">
        <x:f>'ET0现场回测'!D115</x:f>
        <x:v>0.004089096982507054</x:v>
      </x:c>
      <x:c r="X114" t="n">
        <x:f>'ET0现场回测'!E115</x:f>
        <x:v>0.04314520210027695</x:v>
      </x:c>
      <x:c r="Y114" t="n">
        <x:f>'ET0现场回测'!F115</x:f>
        <x:v>0.047831736505031586</x:v>
      </x:c>
      <x:c r="Z114" t="n">
        <x:f>'ET0现场回测'!D115</x:f>
        <x:v>0.004089096982507054</x:v>
      </x:c>
    </x:row>
    <x:row r="115">
      <x:c r="W115" t="n">
        <x:f>'ET0现场回测'!D116</x:f>
        <x:v>0.013720961555906568</x:v>
      </x:c>
      <x:c r="X115" t="n">
        <x:f>'ET0现场回测'!E116</x:f>
        <x:v>0.036965370178222656</x:v>
      </x:c>
      <x:c r="Y115" t="n">
        <x:f>'ET0现场回测'!F116</x:f>
        <x:v>0.04328107833862305</x:v>
      </x:c>
      <x:c r="Z115" t="n">
        <x:f>'ET0现场回测'!D116</x:f>
        <x:v>0.013720961555906568</x:v>
      </x:c>
    </x:row>
    <x:row r="116">
      <x:c r="W116" t="n">
        <x:f>'ET0现场回测'!D117</x:f>
        <x:v>0.05228606519011523</x:v>
      </x:c>
      <x:c r="X116" t="n">
        <x:f>'ET0现场回测'!E117</x:f>
        <x:v>0.08526328206062317</x:v>
      </x:c>
      <x:c r="Y116" t="n">
        <x:f>'ET0现场回测'!F117</x:f>
        <x:v>0.10161571949720383</x:v>
      </x:c>
      <x:c r="Z116" t="n">
        <x:f>'ET0现场回测'!D117</x:f>
        <x:v>0.05228606519011523</x:v>
      </x:c>
    </x:row>
    <x:row r="117">
      <x:c r="W117" t="n">
        <x:f>'ET0现场回测'!D118</x:f>
        <x:v>0.2524136089771678</x:v>
      </x:c>
      <x:c r="X117" t="n">
        <x:f>'ET0现场回测'!E118</x:f>
        <x:v>0.06926310807466507</x:v>
      </x:c>
      <x:c r="Y117" t="n">
        <x:f>'ET0现场回测'!F118</x:f>
        <x:v>0.09234008193016052</x:v>
      </x:c>
      <x:c r="Z117" t="n">
        <x:f>'ET0现场回测'!D118</x:f>
        <x:v>0.2524136089771678</x:v>
      </x:c>
    </x:row>
    <x:row r="118">
      <x:c r="W118" t="n">
        <x:f>'ET0现场回测'!D119</x:f>
        <x:v>0.6944807939061589</x:v>
      </x:c>
      <x:c r="X118" t="n">
        <x:f>'ET0现场回测'!E119</x:f>
        <x:v>0.16347423195838928</x:v>
      </x:c>
      <x:c r="Y118" t="n">
        <x:f>'ET0现场回测'!F119</x:f>
        <x:v>0.21015259623527527</x:v>
      </x:c>
      <x:c r="Z118" t="n">
        <x:f>'ET0现场回测'!D119</x:f>
        <x:v>0.6944807939061589</x:v>
      </x:c>
    </x:row>
    <x:row r="119">
      <x:c r="W119" t="n">
        <x:f>'ET0现场回测'!D120</x:f>
        <x:v>0.18680120327716143</x:v>
      </x:c>
      <x:c r="X119" t="n">
        <x:f>'ET0现场回测'!E120</x:f>
        <x:v>0.5831323266029358</x:v>
      </x:c>
      <x:c r="Y119" t="n">
        <x:f>'ET0现场回测'!F120</x:f>
        <x:v>0.7268176078796387</x:v>
      </x:c>
      <x:c r="Z119" t="n">
        <x:f>'ET0现场回测'!D120</x:f>
        <x:v>0.18680120327716143</x:v>
      </x:c>
    </x:row>
    <x:row r="120">
      <x:c r="W120" t="n">
        <x:f>'ET0现场回测'!D121</x:f>
        <x:v>0.15466421005159897</x:v>
      </x:c>
      <x:c r="X120" t="n">
        <x:f>'ET0现场回测'!E121</x:f>
        <x:v>0.21747663617134094</x:v>
      </x:c>
      <x:c r="Y120" t="n">
        <x:f>'ET0现场回测'!F121</x:f>
        <x:v>0.2781330943107605</x:v>
      </x:c>
      <x:c r="Z120" t="n">
        <x:f>'ET0现场回测'!D121</x:f>
        <x:v>0.15466421005159897</x:v>
      </x:c>
    </x:row>
    <x:row r="121">
      <x:c r="W121" t="n">
        <x:f>'ET0现场回测'!D122</x:f>
        <x:v>0.09090543191202079</x:v>
      </x:c>
      <x:c r="X121" t="n">
        <x:f>'ET0现场回测'!E122</x:f>
        <x:v>0.14894169569015503</x:v>
      </x:c>
      <x:c r="Y121" t="n">
        <x:f>'ET0现场回测'!F122</x:f>
        <x:v>0.19169780611991882</x:v>
      </x:c>
      <x:c r="Z121" t="n">
        <x:f>'ET0现场回测'!D122</x:f>
        <x:v>0.09090543191202079</x:v>
      </x:c>
    </x:row>
    <x:row r="122">
      <x:c r="W122" t="n">
        <x:f>'ET0现场回测'!D123</x:f>
        <x:v>0.13676158861597063</x:v>
      </x:c>
      <x:c r="X122" t="n">
        <x:f>'ET0现场回测'!E123</x:f>
        <x:v>0.08936744928359985</x:v>
      </x:c>
      <x:c r="Y122" t="n">
        <x:f>'ET0现场回测'!F123</x:f>
        <x:v>0.10851067304611206</x:v>
      </x:c>
      <x:c r="Z122" t="n">
        <x:f>'ET0现场回测'!D123</x:f>
        <x:v>0.13676158861597063</x:v>
      </x:c>
    </x:row>
    <x:row r="123">
      <x:c r="W123" t="n">
        <x:f>'ET0现场回测'!D124</x:f>
        <x:v>0.11056657105234216</x:v>
      </x:c>
      <x:c r="X123" t="n">
        <x:f>'ET0现场回测'!E124</x:f>
        <x:v>0.0702492967247963</x:v>
      </x:c>
      <x:c r="Y123" t="n">
        <x:f>'ET0现场回测'!F124</x:f>
        <x:v>0.09129824489355087</x:v>
      </x:c>
      <x:c r="Z123" t="n">
        <x:f>'ET0现场回测'!D124</x:f>
        <x:v>0.11056657105234216</x:v>
      </x:c>
    </x:row>
    <x:row r="124">
      <x:c r="W124" t="n">
        <x:f>'ET0现场回测'!D125</x:f>
        <x:v>0.09515200409821062</x:v>
      </x:c>
      <x:c r="X124" t="n">
        <x:f>'ET0现场回测'!E125</x:f>
        <x:v>0.06727103888988495</x:v>
      </x:c>
      <x:c r="Y124" t="n">
        <x:f>'ET0现场回测'!F125</x:f>
        <x:v>0.08733963966369629</x:v>
      </x:c>
      <x:c r="Z124" t="n">
        <x:f>'ET0现场回测'!D125</x:f>
        <x:v>0.09515200409821062</x:v>
      </x:c>
    </x:row>
    <x:row r="125">
      <x:c r="W125" t="n">
        <x:f>'ET0现场回测'!D126</x:f>
        <x:v>0.0355243555926365</x:v>
      </x:c>
      <x:c r="X125" t="n">
        <x:f>'ET0现场回测'!E126</x:f>
        <x:v>0.06102410703897476</x:v>
      </x:c>
      <x:c r="Y125" t="n">
        <x:f>'ET0现场回测'!F126</x:f>
        <x:v>0.07575787603855133</x:v>
      </x:c>
      <x:c r="Z125" t="n">
        <x:f>'ET0现场回测'!D126</x:f>
        <x:v>0.0355243555926365</x:v>
      </x:c>
    </x:row>
    <x:row r="126">
      <x:c r="A126" s="104" t="str">
        <x:v>建议用于专家答辩的表述：模型已完成真实场景回测，ET₀ 在 ±0.10 mm/h 容差下命中率为 85.9%；同时识别出土壤模型存在现场域偏移，下一步将以真实灌溉事件数据进行再训练与校准。</x:v>
      </x:c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4"/>
      <x:c r="M126" s="104"/>
      <x:c r="N126" s="104"/>
      <x:c r="O126" s="104"/>
      <x:c r="P126" s="104"/>
      <x:c r="W126" t="n">
        <x:f>'ET0现场回测'!D127</x:f>
        <x:v>0.030147441663596567</x:v>
      </x:c>
      <x:c r="X126" t="n">
        <x:f>'ET0现场回测'!E127</x:f>
        <x:v>0.025678768754005432</x:v>
      </x:c>
      <x:c r="Y126" t="n">
        <x:f>'ET0现场回测'!F127</x:f>
        <x:v>0.031161554157733917</x:v>
      </x:c>
      <x:c r="Z126" t="n">
        <x:f>'ET0现场回测'!D127</x:f>
        <x:v>0.030147441663596567</x:v>
      </x:c>
    </x:row>
    <x:row r="127">
      <x:c r="A127" s="104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4"/>
      <x:c r="M127" s="104"/>
      <x:c r="N127" s="104"/>
      <x:c r="O127" s="104"/>
      <x:c r="P127" s="104"/>
      <x:c r="W127" t="n">
        <x:f>'ET0现场回测'!D128</x:f>
        <x:v>0.0007792757473650644</x:v>
      </x:c>
      <x:c r="X127" t="n">
        <x:f>'ET0现场回测'!E128</x:f>
        <x:v>0.011363208293914795</x:v>
      </x:c>
      <x:c r="Y127" t="n">
        <x:f>'ET0现场回测'!F128</x:f>
        <x:v>0.013446316123008728</x:v>
      </x:c>
      <x:c r="Z127" t="n">
        <x:f>'ET0现场回测'!D128</x:f>
        <x:v>0.0007792757473650644</x:v>
      </x:c>
    </x:row>
    <x:row r="128">
      <x:c r="A128" s="104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4"/>
      <x:c r="M128" s="104"/>
      <x:c r="N128" s="104"/>
      <x:c r="O128" s="104"/>
      <x:c r="P128" s="104"/>
      <x:c r="W128" t="n">
        <x:f>'ET0现场回测'!D129</x:f>
        <x:v>0.0029648025468483404</x:v>
      </x:c>
      <x:c r="X128" t="n">
        <x:f>'ET0现场回测'!E129</x:f>
        <x:v>0.011882022023200989</x:v>
      </x:c>
      <x:c r="Y128" t="n">
        <x:f>'ET0现场回测'!F129</x:f>
        <x:v>0.012439310550689697</x:v>
      </x:c>
      <x:c r="Z128" t="n">
        <x:f>'ET0现场回测'!D129</x:f>
        <x:v>0.0029648025468483404</x:v>
      </x:c>
    </x:row>
    <x:row r="129">
      <x:c r="W129" t="n">
        <x:f>'ET0现场回测'!D130</x:f>
        <x:v>0</x:v>
      </x:c>
      <x:c r="X129" t="n">
        <x:f>'ET0现场回测'!E130</x:f>
        <x:v>0.016447022557258606</x:v>
      </x:c>
      <x:c r="Y129" t="n">
        <x:f>'ET0现场回测'!F130</x:f>
        <x:v>0.01522904634475708</x:v>
      </x:c>
      <x:c r="Z129" t="n">
        <x:f>'ET0现场回测'!D130</x:f>
        <x:v>0</x:v>
      </x:c>
    </x:row>
    <x:row r="130">
      <x:c r="W130" t="n">
        <x:f>'ET0现场回测'!D131</x:f>
        <x:v>0.00832436844873646</x:v>
      </x:c>
      <x:c r="X130" t="n">
        <x:f>'ET0现场回测'!E131</x:f>
        <x:v>0.013235002756118774</x:v>
      </x:c>
      <x:c r="Y130" t="n">
        <x:f>'ET0现场回测'!F131</x:f>
        <x:v>0.014918744564056396</x:v>
      </x:c>
      <x:c r="Z130" t="n">
        <x:f>'ET0现场回测'!D131</x:f>
        <x:v>0.00832436844873646</x:v>
      </x:c>
    </x:row>
  </x:sheetData>
  <x:mergeCells>
    <x:mergeCell ref="A1:P1"/>
    <x:mergeCell ref="A2:P2"/>
    <x:mergeCell ref="A4:D4"/>
    <x:mergeCell ref="F4:I4"/>
    <x:mergeCell ref="K4:N4"/>
    <x:mergeCell ref="A7:D7"/>
    <x:mergeCell ref="F7:I7"/>
    <x:mergeCell ref="K7:N7"/>
    <x:mergeCell ref="A10:P12"/>
    <x:mergeCell ref="A61:P63"/>
    <x:mergeCell ref="A103:P105"/>
    <x:mergeCell ref="A126:P128"/>
  </x:mergeCells>
  <x:pageMargins left="0.7" right="0.7" top="0.75" bottom="0.75" header="0.3" footer="0.3"/>
  <x:drawing xmlns:r="http://schemas.openxmlformats.org/officeDocument/2006/relationships" r:id="R17d092defee045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4" customHeight="1">
      <x:c r="A1" s="24" t="str">
        <x:v>双模型现场精度评估｜指标与口径说明</x:v>
      </x:c>
      <x:c r="B1" s="24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评估口径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8" t="str">
        <x:v>ET₀ 对照值</x:v>
      </x:c>
      <x:c r="B4" s="19" t="str">
        <x:v>实测计算 ET₀：由现场温度、湿度、风速、气压和双辐射探头净短波辐射，按 FAO-56 Penman–Monteith 小时公式计算。属于参考 ET₀，不是蒸渗仪直接测量值。</x:v>
      </x:c>
    </x:row>
    <x:row r="5">
      <x:c r="A5" s="20" t="str">
        <x:v>当前部署版</x:v>
      </x:c>
      <x:c r="B5" s="21" t="str">
        <x:v>复现现有在线链路：先得到净短波辐射，再由 FAO-56 默认反照率路径再次乘 0.77，随后输入现有 N-BEATS 权重。</x:v>
      </x:c>
    </x:row>
    <x:row r="6">
      <x:c r="A6" s="20" t="str">
        <x:v>净辐射修正版</x:v>
      </x:c>
      <x:c r="B6" s="21" t="str">
        <x:v>历史 ET₀ 显式使用双探头净短波辐射，避免再次乘 0.77；沿用同一权重，仅用于诊断，不代表已部署版本。</x:v>
      </x:c>
    </x:row>
    <x:row r="7">
      <x:c r="A7" s="20" t="str">
        <x:v>土壤湿度回测</x:v>
      </x:c>
      <x:c r="B7" s="21" t="str">
        <x:v>每个预测起点仅使用此前连续 288 个五分钟点，预测未来 5/15/30/60 分钟，与随后实测值比较。</x:v>
      </x:c>
    </x:row>
    <x:row r="8">
      <x:c r="A8" s="20" t="str">
        <x:v>持久性基线</x:v>
      </x:c>
      <x:c r="B8" s="21" t="str">
        <x:v>假设未来值保持为最后一个已知观测值。平稳序列中该基线很强，必须与模型并列展示。</x:v>
      </x:c>
    </x:row>
    <x:row r="9">
      <x:c r="A9" s="20" t="str">
        <x:v>MAE / RMSE</x:v>
      </x:c>
      <x:c r="B9" s="21" t="str">
        <x:v>平均绝对误差 / 均方根误差，越小越好；RMSE 对大误差更敏感。</x:v>
      </x:c>
    </x:row>
    <x:row r="10">
      <x:c r="A10" s="20" t="str">
        <x:v>R²</x:v>
      </x:c>
      <x:c r="B10" s="21" t="str">
        <x:v>决定系数，1 为理想；小于 0 表示不如直接使用目标均值。不能脱离样本分布单独解读。</x:v>
      </x:c>
    </x:row>
    <x:row r="11">
      <x:c r="A11" s="22" t="str">
        <x:v>容差命中率</x:v>
      </x:c>
      <x:c r="B11" s="23" t="str">
        <x:v>误差落在给定容差内的样本比例，便于专家理解，但不笼统称为“准确率”。</x:v>
      </x:c>
    </x:row>
    <x:row r="13">
      <x:c r="A13" s="6" t="str">
        <x:v>防止数据泄漏与异常处理</x:v>
      </x:c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8" t="str">
        <x:v>时间重建</x:v>
      </x:c>
      <x:c r="B14" s="19" t="str">
        <x:v>依据 bootSessionId 与 uptimeMs 重建北京时间；设备重启时使用新会话 uptimeMs 衔接。</x:v>
      </x:c>
    </x:row>
    <x:row r="15">
      <x:c r="A15" s="20" t="str">
        <x:v>ET₀ 完整小时</x:v>
      </x:c>
      <x:c r="B15" s="21" t="str">
        <x:v>只保留每个自然小时至少 11 个有效五分钟包的小时，并剔除首尾不完整小时。</x:v>
      </x:c>
    </x:row>
    <x:row r="16">
      <x:c r="A16" s="20" t="str">
        <x:v>ET₀ 窗口</x:v>
      </x:c>
      <x:c r="B16" s="21" t="str">
        <x:v>使用目标小时前连续 24 个完整小时预测目标小时。</x:v>
      </x:c>
    </x:row>
    <x:row r="17">
      <x:c r="A17" s="20" t="str">
        <x:v>土壤窗口</x:v>
      </x:c>
      <x:c r="B17" s="21" t="str">
        <x:v>只允许最多 3 个五分钟短缺口做内部线性插值；目标点也必须有效。</x:v>
      </x:c>
    </x:row>
    <x:row r="18">
      <x:c r="A18" s="20" t="str">
        <x:v>异常排除</x:v>
      </x:c>
      <x:c r="B18" s="21" t="str">
        <x:v>排除完整性或传感器 Ok 标志无效、气压非正、土壤湿度为零的记录。</x:v>
      </x:c>
    </x:row>
    <x:row r="19">
      <x:c r="A19" s="22" t="str">
        <x:v>数据来源</x:v>
      </x:c>
      <x:c r="B19" s="23" t="str">
        <x:v>7月30日数据用于正式回测；7月29日数据因完整连续窗口不足，仅用于质量和预热覆盖说明。</x:v>
      </x:c>
    </x:row>
  </x:sheetData>
  <x:mergeCells>
    <x:mergeCell ref="A1:J1"/>
    <x:mergeCell ref="A3:J3"/>
    <x:mergeCell ref="A13:J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</x:cols>
  <x:sheetData>
    <x:row r="1" ht="34" customHeight="1">
      <x:c r="A1" s="3" t="str">
        <x:v>N-BEATS｜未来 1 小时 ET₀ 现场回测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8" t="str">
        <x:v>数据源</x:v>
      </x:c>
      <x:c r="B3" s="36" t="str">
        <x:v>预测起点</x:v>
      </x:c>
      <x:c r="C3" s="36" t="str">
        <x:v>目标小时</x:v>
      </x:c>
      <x:c r="D3" s="36" t="str">
        <x:v>实测计算ET₀</x:v>
      </x:c>
      <x:c r="E3" s="36" t="str">
        <x:v>当前部署预测</x:v>
      </x:c>
      <x:c r="F3" s="36" t="str">
        <x:v>净辐射修正预测</x:v>
      </x:c>
      <x:c r="G3" s="36" t="str">
        <x:v>持久性基线</x:v>
      </x:c>
      <x:c r="H3" s="36" t="str">
        <x:v>当前误差</x:v>
      </x:c>
      <x:c r="I3" s="36" t="str">
        <x:v>当前绝对误差</x:v>
      </x:c>
      <x:c r="J3" s="36" t="str">
        <x:v>当前平方误差</x:v>
      </x:c>
      <x:c r="K3" s="36" t="str">
        <x:v>修正误差</x:v>
      </x:c>
      <x:c r="L3" s="36" t="str">
        <x:v>修正绝对误差</x:v>
      </x:c>
      <x:c r="M3" s="36" t="str">
        <x:v>基线误差</x:v>
      </x:c>
      <x:c r="N3" s="37" t="str">
        <x:v>模型版本</x:v>
      </x:c>
    </x:row>
    <x:row r="4">
      <x:c r="A4" s="38" t="str">
        <x:v>7月30日现场数据</x:v>
      </x:c>
      <x:c r="B4" s="39" t="str">
        <x:v>2026-07-31T13:00:00</x:v>
      </x:c>
      <x:c r="C4" s="39" t="str">
        <x:v>2026-07-31T14:00:00</x:v>
      </x:c>
      <x:c r="D4" s="40" t="n">
        <x:v>0.058374168868464686</x:v>
      </x:c>
      <x:c r="E4" s="40" t="n">
        <x:v>0.0337066575884819</x:v>
      </x:c>
      <x:c r="F4" s="40" t="n">
        <x:v>0.03953175991773605</x:v>
      </x:c>
      <x:c r="G4" s="40" t="n">
        <x:v>0.07831129427660359</x:v>
      </x:c>
      <x:c r="H4" s="40" t="n">
        <x:f>E4-D4</x:f>
        <x:v>-0.024667511279982783</x:v>
      </x:c>
      <x:c r="I4" s="40" t="n">
        <x:f>ABS(H4)</x:f>
        <x:v>0.024667511279982783</x:v>
      </x:c>
      <x:c r="J4" s="40" t="n">
        <x:f>H4^2</x:f>
        <x:v>0.0006084861127480778</x:v>
      </x:c>
      <x:c r="K4" s="40" t="n">
        <x:f>F4-D4</x:f>
        <x:v>-0.018842408950728633</x:v>
      </x:c>
      <x:c r="L4" s="40" t="n">
        <x:f>ABS(K4)</x:f>
        <x:v>0.018842408950728633</x:v>
      </x:c>
      <x:c r="M4" s="40" t="n">
        <x:f>G4-D4</x:f>
        <x:v>0.019937125408138905</x:v>
      </x:c>
      <x:c r="N4" s="41" t="str">
        <x:v>nbeats-et0-v1</x:v>
      </x:c>
    </x:row>
    <x:row r="5">
      <x:c r="A5" s="38" t="str">
        <x:v>7月30日现场数据</x:v>
      </x:c>
      <x:c r="B5" s="39" t="str">
        <x:v>2026-07-31T14:00:00</x:v>
      </x:c>
      <x:c r="C5" s="39" t="str">
        <x:v>2026-07-31T15:00:00</x:v>
      </x:c>
      <x:c r="D5" s="40" t="n">
        <x:v>0.01146710913735103</x:v>
      </x:c>
      <x:c r="E5" s="40" t="n">
        <x:v>0.021061941981315613</x:v>
      </x:c>
      <x:c r="F5" s="40" t="n">
        <x:v>0.018865123391151428</x:v>
      </x:c>
      <x:c r="G5" s="40" t="n">
        <x:v>0.058374168868464686</x:v>
      </x:c>
      <x:c r="H5" s="40" t="n">
        <x:f>E5-D5</x:f>
        <x:v>0.009594832843964583</x:v>
      </x:c>
      <x:c r="I5" s="40" t="n">
        <x:f>ABS(H5)</x:f>
        <x:v>0.009594832843964583</x:v>
      </x:c>
      <x:c r="J5" s="40" t="n">
        <x:f>H5^2</x:f>
        <x:v>0.00009206081730362149</x:v>
      </x:c>
      <x:c r="K5" s="40" t="n">
        <x:f>F5-D5</x:f>
        <x:v>0.007398014253800399</x:v>
      </x:c>
      <x:c r="L5" s="40" t="n">
        <x:f>ABS(K5)</x:f>
        <x:v>0.007398014253800399</x:v>
      </x:c>
      <x:c r="M5" s="40" t="n">
        <x:f>G5-D5</x:f>
        <x:v>0.04690705973111366</x:v>
      </x:c>
      <x:c r="N5" s="41" t="str">
        <x:v>nbeats-et0-v1</x:v>
      </x:c>
    </x:row>
    <x:row r="6">
      <x:c r="A6" s="38" t="str">
        <x:v>7月30日现场数据</x:v>
      </x:c>
      <x:c r="B6" s="39" t="str">
        <x:v>2026-07-31T15:00:00</x:v>
      </x:c>
      <x:c r="C6" s="39" t="str">
        <x:v>2026-07-31T16:00:00</x:v>
      </x:c>
      <x:c r="D6" s="40" t="n">
        <x:v>0.013307479458190472</x:v>
      </x:c>
      <x:c r="E6" s="40" t="n">
        <x:v>0.018817394971847534</x:v>
      </x:c>
      <x:c r="F6" s="40" t="n">
        <x:v>0.01775813102722168</x:v>
      </x:c>
      <x:c r="G6" s="40" t="n">
        <x:v>0.01146710913735103</x:v>
      </x:c>
      <x:c r="H6" s="40" t="n">
        <x:f>E6-D6</x:f>
        <x:v>0.005509915513657062</x:v>
      </x:c>
      <x:c r="I6" s="40" t="n">
        <x:f>ABS(H6)</x:f>
        <x:v>0.005509915513657062</x:v>
      </x:c>
      <x:c r="J6" s="40" t="n">
        <x:f>H6^2</x:f>
        <x:v>0.000030359168967638765</x:v>
      </x:c>
      <x:c r="K6" s="40" t="n">
        <x:f>F6-D6</x:f>
        <x:v>0.0044506515690312075</x:v>
      </x:c>
      <x:c r="L6" s="40" t="n">
        <x:f>ABS(K6)</x:f>
        <x:v>0.0044506515690312075</x:v>
      </x:c>
      <x:c r="M6" s="40" t="n">
        <x:f>G6-D6</x:f>
        <x:v>-0.0018403703208394427</x:v>
      </x:c>
      <x:c r="N6" s="41" t="str">
        <x:v>nbeats-et0-v1</x:v>
      </x:c>
    </x:row>
    <x:row r="7">
      <x:c r="A7" s="38" t="str">
        <x:v>7月30日现场数据</x:v>
      </x:c>
      <x:c r="B7" s="39" t="str">
        <x:v>2026-07-31T16:00:00</x:v>
      </x:c>
      <x:c r="C7" s="39" t="str">
        <x:v>2026-07-31T17:00:00</x:v>
      </x:c>
      <x:c r="D7" s="40" t="n">
        <x:v>0.032463948908021296</x:v>
      </x:c>
      <x:c r="E7" s="40" t="n">
        <x:v>0.015887081623077393</x:v>
      </x:c>
      <x:c r="F7" s="40" t="n">
        <x:v>0.014694109559059143</x:v>
      </x:c>
      <x:c r="G7" s="40" t="n">
        <x:v>0.013307479458190472</x:v>
      </x:c>
      <x:c r="H7" s="40" t="n">
        <x:f>E7-D7</x:f>
        <x:v>-0.016576867284943904</x:v>
      </x:c>
      <x:c r="I7" s="40" t="n">
        <x:f>ABS(H7)</x:f>
        <x:v>0.016576867284943904</x:v>
      </x:c>
      <x:c r="J7" s="40" t="n">
        <x:f>H7^2</x:f>
        <x:v>0.0002747925289826435</x:v>
      </x:c>
      <x:c r="K7" s="40" t="n">
        <x:f>F7-D7</x:f>
        <x:v>-0.017769839348962153</x:v>
      </x:c>
      <x:c r="L7" s="40" t="n">
        <x:f>ABS(K7)</x:f>
        <x:v>0.017769839348962153</x:v>
      </x:c>
      <x:c r="M7" s="40" t="n">
        <x:f>G7-D7</x:f>
        <x:v>-0.019156469449830824</x:v>
      </x:c>
      <x:c r="N7" s="41" t="str">
        <x:v>nbeats-et0-v1</x:v>
      </x:c>
    </x:row>
    <x:row r="8">
      <x:c r="A8" s="38" t="str">
        <x:v>7月30日现场数据</x:v>
      </x:c>
      <x:c r="B8" s="39" t="str">
        <x:v>2026-07-31T17:00:00</x:v>
      </x:c>
      <x:c r="C8" s="39" t="str">
        <x:v>2026-07-31T18:00:00</x:v>
      </x:c>
      <x:c r="D8" s="40" t="n">
        <x:v>0.0034854914316105137</x:v>
      </x:c>
      <x:c r="E8" s="40" t="n">
        <x:v>0.01435863971710205</x:v>
      </x:c>
      <x:c r="F8" s="40" t="n">
        <x:v>0.018783211708068848</x:v>
      </x:c>
      <x:c r="G8" s="40" t="n">
        <x:v>0.032463948908021296</x:v>
      </x:c>
      <x:c r="H8" s="40" t="n">
        <x:f>E8-D8</x:f>
        <x:v>0.010873148285491538</x:v>
      </x:c>
      <x:c r="I8" s="40" t="n">
        <x:f>ABS(H8)</x:f>
        <x:v>0.010873148285491538</x:v>
      </x:c>
      <x:c r="J8" s="40" t="n">
        <x:f>H8^2</x:f>
        <x:v>0.00011822535363828756</x:v>
      </x:c>
      <x:c r="K8" s="40" t="n">
        <x:f>F8-D8</x:f>
        <x:v>0.015297720276458334</x:v>
      </x:c>
      <x:c r="L8" s="40" t="n">
        <x:f>ABS(K8)</x:f>
        <x:v>0.015297720276458334</x:v>
      </x:c>
      <x:c r="M8" s="40" t="n">
        <x:f>G8-D8</x:f>
        <x:v>0.02897845747641078</x:v>
      </x:c>
      <x:c r="N8" s="41" t="str">
        <x:v>nbeats-et0-v1</x:v>
      </x:c>
    </x:row>
    <x:row r="9">
      <x:c r="A9" s="38" t="str">
        <x:v>7月30日现场数据</x:v>
      </x:c>
      <x:c r="B9" s="39" t="str">
        <x:v>2026-07-31T18:00:00</x:v>
      </x:c>
      <x:c r="C9" s="39" t="str">
        <x:v>2026-07-31T19:00:00</x:v>
      </x:c>
      <x:c r="D9" s="40" t="n">
        <x:v>0</x:v>
      </x:c>
      <x:c r="E9" s="40" t="n">
        <x:v>0.010800108313560486</x:v>
      </x:c>
      <x:c r="F9" s="40" t="n">
        <x:v>0.013092532753944397</x:v>
      </x:c>
      <x:c r="G9" s="40" t="n">
        <x:v>0.0034854914316105137</x:v>
      </x:c>
      <x:c r="H9" s="40" t="n">
        <x:f>E9-D9</x:f>
        <x:v>0.010800108313560486</x:v>
      </x:c>
      <x:c r="I9" s="40" t="n">
        <x:f>ABS(H9)</x:f>
        <x:v>0.010800108313560486</x:v>
      </x:c>
      <x:c r="J9" s="40" t="n">
        <x:f>H9^2</x:f>
        <x:v>0.00011664233958463832</x:v>
      </x:c>
      <x:c r="K9" s="40" t="n">
        <x:f>F9-D9</x:f>
        <x:v>0.013092532753944397</x:v>
      </x:c>
      <x:c r="L9" s="40" t="n">
        <x:f>ABS(K9)</x:f>
        <x:v>0.013092532753944397</x:v>
      </x:c>
      <x:c r="M9" s="40" t="n">
        <x:f>G9-D9</x:f>
        <x:v>0.0034854914316105137</x:v>
      </x:c>
      <x:c r="N9" s="41" t="str">
        <x:v>nbeats-et0-v1</x:v>
      </x:c>
    </x:row>
    <x:row r="10">
      <x:c r="A10" s="38" t="str">
        <x:v>7月30日现场数据</x:v>
      </x:c>
      <x:c r="B10" s="39" t="str">
        <x:v>2026-07-31T19:00:00</x:v>
      </x:c>
      <x:c r="C10" s="39" t="str">
        <x:v>2026-07-31T20:00:00</x:v>
      </x:c>
      <x:c r="D10" s="40" t="n">
        <x:v>0</x:v>
      </x:c>
      <x:c r="E10" s="40" t="n">
        <x:v>0.016212403774261475</x:v>
      </x:c>
      <x:c r="F10" s="40" t="n">
        <x:v>0.014773473143577576</x:v>
      </x:c>
      <x:c r="G10" s="40" t="n">
        <x:v>0</x:v>
      </x:c>
      <x:c r="H10" s="40" t="n">
        <x:f>E10-D10</x:f>
        <x:v>0.016212403774261475</x:v>
      </x:c>
      <x:c r="I10" s="40" t="n">
        <x:f>ABS(H10)</x:f>
        <x:v>0.016212403774261475</x:v>
      </x:c>
      <x:c r="J10" s="40" t="n">
        <x:f>H10^2</x:f>
        <x:v>0.0002628420361396877</x:v>
      </x:c>
      <x:c r="K10" s="40" t="n">
        <x:f>F10-D10</x:f>
        <x:v>0.014773473143577576</x:v>
      </x:c>
      <x:c r="L10" s="40" t="n">
        <x:f>ABS(K10)</x:f>
        <x:v>0.014773473143577576</x:v>
      </x:c>
      <x:c r="M10" s="40" t="n">
        <x:f>G10-D10</x:f>
        <x:v>0</x:v>
      </x:c>
      <x:c r="N10" s="41" t="str">
        <x:v>nbeats-et0-v1</x:v>
      </x:c>
    </x:row>
    <x:row r="11">
      <x:c r="A11" s="38" t="str">
        <x:v>7月30日现场数据</x:v>
      </x:c>
      <x:c r="B11" s="39" t="str">
        <x:v>2026-07-31T20:00:00</x:v>
      </x:c>
      <x:c r="C11" s="39" t="str">
        <x:v>2026-07-31T21:00:00</x:v>
      </x:c>
      <x:c r="D11" s="40" t="n">
        <x:v>0.002466517079172252</x:v>
      </x:c>
      <x:c r="E11" s="40" t="n">
        <x:v>0.013334780931472778</x:v>
      </x:c>
      <x:c r="F11" s="40" t="n">
        <x:v>0.01311996579170227</x:v>
      </x:c>
      <x:c r="G11" s="40" t="n">
        <x:v>0</x:v>
      </x:c>
      <x:c r="H11" s="40" t="n">
        <x:f>E11-D11</x:f>
        <x:v>0.010868263852300527</x:v>
      </x:c>
      <x:c r="I11" s="40" t="n">
        <x:f>ABS(H11)</x:f>
        <x:v>0.010868263852300527</x:v>
      </x:c>
      <x:c r="J11" s="40" t="n">
        <x:f>H11^2</x:f>
        <x:v>0.00011811915916322229</x:v>
      </x:c>
      <x:c r="K11" s="40" t="n">
        <x:f>F11-D11</x:f>
        <x:v>0.010653448712530019</x:v>
      </x:c>
      <x:c r="L11" s="40" t="n">
        <x:f>ABS(K11)</x:f>
        <x:v>0.010653448712530019</x:v>
      </x:c>
      <x:c r="M11" s="40" t="n">
        <x:f>G11-D11</x:f>
        <x:v>-0.002466517079172252</x:v>
      </x:c>
      <x:c r="N11" s="41" t="str">
        <x:v>nbeats-et0-v1</x:v>
      </x:c>
    </x:row>
    <x:row r="12">
      <x:c r="A12" s="38" t="str">
        <x:v>7月30日现场数据</x:v>
      </x:c>
      <x:c r="B12" s="39" t="str">
        <x:v>2026-07-31T21:00:00</x:v>
      </x:c>
      <x:c r="C12" s="39" t="str">
        <x:v>2026-07-31T22:00:00</x:v>
      </x:c>
      <x:c r="D12" s="40" t="n">
        <x:v>0.011271399919541873</x:v>
      </x:c>
      <x:c r="E12" s="40" t="n">
        <x:v>0</x:v>
      </x:c>
      <x:c r="F12" s="40" t="n">
        <x:v>0</x:v>
      </x:c>
      <x:c r="G12" s="40" t="n">
        <x:v>0.002466517079172252</x:v>
      </x:c>
      <x:c r="H12" s="40" t="n">
        <x:f>E12-D12</x:f>
        <x:v>-0.011271399919541873</x:v>
      </x:c>
      <x:c r="I12" s="40" t="n">
        <x:f>ABS(H12)</x:f>
        <x:v>0.011271399919541873</x:v>
      </x:c>
      <x:c r="J12" s="40" t="n">
        <x:f>H12^2</x:f>
        <x:v>0.00012704445614624853</x:v>
      </x:c>
      <x:c r="K12" s="40" t="n">
        <x:f>F12-D12</x:f>
        <x:v>-0.011271399919541873</x:v>
      </x:c>
      <x:c r="L12" s="40" t="n">
        <x:f>ABS(K12)</x:f>
        <x:v>0.011271399919541873</x:v>
      </x:c>
      <x:c r="M12" s="40" t="n">
        <x:f>G12-D12</x:f>
        <x:v>-0.008804882840369621</x:v>
      </x:c>
      <x:c r="N12" s="41" t="str">
        <x:v>nbeats-et0-v1</x:v>
      </x:c>
    </x:row>
    <x:row r="13">
      <x:c r="A13" s="38" t="str">
        <x:v>7月30日现场数据</x:v>
      </x:c>
      <x:c r="B13" s="39" t="str">
        <x:v>2026-07-31T22:00:00</x:v>
      </x:c>
      <x:c r="C13" s="39" t="str">
        <x:v>2026-07-31T23:00:00</x:v>
      </x:c>
      <x:c r="D13" s="40" t="n">
        <x:v>0</x:v>
      </x:c>
      <x:c r="E13" s="40" t="n">
        <x:v>0</x:v>
      </x:c>
      <x:c r="F13" s="40" t="n">
        <x:v>0</x:v>
      </x:c>
      <x:c r="G13" s="40" t="n">
        <x:v>0.011271399919541873</x:v>
      </x:c>
      <x:c r="H13" s="40" t="n">
        <x:f>E13-D13</x:f>
        <x:v>0</x:v>
      </x:c>
      <x:c r="I13" s="40" t="n">
        <x:f>ABS(H13)</x:f>
        <x:v>0</x:v>
      </x:c>
      <x:c r="J13" s="40" t="n">
        <x:f>H13^2</x:f>
        <x:v>0</x:v>
      </x:c>
      <x:c r="K13" s="40" t="n">
        <x:f>F13-D13</x:f>
        <x:v>0</x:v>
      </x:c>
      <x:c r="L13" s="40" t="n">
        <x:f>ABS(K13)</x:f>
        <x:v>0</x:v>
      </x:c>
      <x:c r="M13" s="40" t="n">
        <x:f>G13-D13</x:f>
        <x:v>0.011271399919541873</x:v>
      </x:c>
      <x:c r="N13" s="41" t="str">
        <x:v>nbeats-et0-v1</x:v>
      </x:c>
    </x:row>
    <x:row r="14">
      <x:c r="A14" s="38" t="str">
        <x:v>7月30日现场数据</x:v>
      </x:c>
      <x:c r="B14" s="39" t="str">
        <x:v>2026-07-31T23:00:00</x:v>
      </x:c>
      <x:c r="C14" s="39" t="str">
        <x:v>2026-08-01T00:00:00</x:v>
      </x:c>
      <x:c r="D14" s="40" t="n">
        <x:v>0.0068129868437832135</x:v>
      </x:c>
      <x:c r="E14" s="40" t="n">
        <x:v>0.01107315719127655</x:v>
      </x:c>
      <x:c r="F14" s="40" t="n">
        <x:v>0.014116346836090088</x:v>
      </x:c>
      <x:c r="G14" s="40" t="n">
        <x:v>0</x:v>
      </x:c>
      <x:c r="H14" s="40" t="n">
        <x:f>E14-D14</x:f>
        <x:v>0.004260170347493337</x:v>
      </x:c>
      <x:c r="I14" s="40" t="n">
        <x:f>ABS(H14)</x:f>
        <x:v>0.004260170347493337</x:v>
      </x:c>
      <x:c r="J14" s="40" t="n">
        <x:f>H14^2</x:f>
        <x:v>0.000018149051389661496</x:v>
      </x:c>
      <x:c r="K14" s="40" t="n">
        <x:f>F14-D14</x:f>
        <x:v>0.007303359992306874</x:v>
      </x:c>
      <x:c r="L14" s="40" t="n">
        <x:f>ABS(K14)</x:f>
        <x:v>0.007303359992306874</x:v>
      </x:c>
      <x:c r="M14" s="40" t="n">
        <x:f>G14-D14</x:f>
        <x:v>-0.0068129868437832135</x:v>
      </x:c>
      <x:c r="N14" s="41" t="str">
        <x:v>nbeats-et0-v1</x:v>
      </x:c>
    </x:row>
    <x:row r="15">
      <x:c r="A15" s="38" t="str">
        <x:v>7月30日现场数据</x:v>
      </x:c>
      <x:c r="B15" s="39" t="str">
        <x:v>2026-08-01T00:00:00</x:v>
      </x:c>
      <x:c r="C15" s="39" t="str">
        <x:v>2026-08-01T01:00:00</x:v>
      </x:c>
      <x:c r="D15" s="40" t="n">
        <x:v>0.005156538897179954</x:v>
      </x:c>
      <x:c r="E15" s="40" t="n">
        <x:v>0.02828250825405121</x:v>
      </x:c>
      <x:c r="F15" s="40" t="n">
        <x:v>0.03135359287261963</x:v>
      </x:c>
      <x:c r="G15" s="40" t="n">
        <x:v>0.0068129868437832135</x:v>
      </x:c>
      <x:c r="H15" s="40" t="n">
        <x:f>E15-D15</x:f>
        <x:v>0.023125969356871254</x:v>
      </x:c>
      <x:c r="I15" s="40" t="n">
        <x:f>ABS(H15)</x:f>
        <x:v>0.023125969356871254</x:v>
      </x:c>
      <x:c r="J15" s="40" t="n">
        <x:f>H15^2</x:f>
        <x:v>0.0005348104586949483</x:v>
      </x:c>
      <x:c r="K15" s="40" t="n">
        <x:f>F15-D15</x:f>
        <x:v>0.026197053975439675</x:v>
      </x:c>
      <x:c r="L15" s="40" t="n">
        <x:f>ABS(K15)</x:f>
        <x:v>0.026197053975439675</x:v>
      </x:c>
      <x:c r="M15" s="40" t="n">
        <x:f>G15-D15</x:f>
        <x:v>0.0016564479466032594</x:v>
      </x:c>
      <x:c r="N15" s="41" t="str">
        <x:v>nbeats-et0-v1</x:v>
      </x:c>
    </x:row>
    <x:row r="16">
      <x:c r="A16" s="38" t="str">
        <x:v>7月30日现场数据</x:v>
      </x:c>
      <x:c r="B16" s="39" t="str">
        <x:v>2026-08-01T01:00:00</x:v>
      </x:c>
      <x:c r="C16" s="39" t="str">
        <x:v>2026-08-01T02:00:00</x:v>
      </x:c>
      <x:c r="D16" s="40" t="n">
        <x:v>0.004526145736918674</x:v>
      </x:c>
      <x:c r="E16" s="40" t="n">
        <x:v>0.03374643623828888</x:v>
      </x:c>
      <x:c r="F16" s="40" t="n">
        <x:v>0.034359969198703766</x:v>
      </x:c>
      <x:c r="G16" s="40" t="n">
        <x:v>0.005156538897179954</x:v>
      </x:c>
      <x:c r="H16" s="40" t="n">
        <x:f>E16-D16</x:f>
        <x:v>0.029220290501370205</x:v>
      </x:c>
      <x:c r="I16" s="40" t="n">
        <x:f>ABS(H16)</x:f>
        <x:v>0.029220290501370205</x:v>
      </x:c>
      <x:c r="J16" s="40" t="n">
        <x:f>H16^2</x:f>
        <x:v>0.0008538253769844659</x:v>
      </x:c>
      <x:c r="K16" s="40" t="n">
        <x:f>F16-D16</x:f>
        <x:v>0.02983382346178509</x:v>
      </x:c>
      <x:c r="L16" s="40" t="n">
        <x:f>ABS(K16)</x:f>
        <x:v>0.02983382346178509</x:v>
      </x:c>
      <x:c r="M16" s="40" t="n">
        <x:f>G16-D16</x:f>
        <x:v>0.0006303931602612799</x:v>
      </x:c>
      <x:c r="N16" s="41" t="str">
        <x:v>nbeats-et0-v1</x:v>
      </x:c>
    </x:row>
    <x:row r="17">
      <x:c r="A17" s="38" t="str">
        <x:v>7月30日现场数据</x:v>
      </x:c>
      <x:c r="B17" s="39" t="str">
        <x:v>2026-08-01T02:00:00</x:v>
      </x:c>
      <x:c r="C17" s="39" t="str">
        <x:v>2026-08-01T03:00:00</x:v>
      </x:c>
      <x:c r="D17" s="40" t="n">
        <x:v>0.0003483679806558704</x:v>
      </x:c>
      <x:c r="E17" s="40" t="n">
        <x:v>0.027585655450820923</x:v>
      </x:c>
      <x:c r="F17" s="40" t="n">
        <x:v>0.030688755214214325</x:v>
      </x:c>
      <x:c r="G17" s="40" t="n">
        <x:v>0.004526145736918674</x:v>
      </x:c>
      <x:c r="H17" s="40" t="n">
        <x:f>E17-D17</x:f>
        <x:v>0.02723728747016505</x:v>
      </x:c>
      <x:c r="I17" s="40" t="n">
        <x:f>ABS(H17)</x:f>
        <x:v>0.02723728747016505</x:v>
      </x:c>
      <x:c r="J17" s="40" t="n">
        <x:f>H17^2</x:f>
        <x:v>0.0007418698287324101</x:v>
      </x:c>
      <x:c r="K17" s="40" t="n">
        <x:f>F17-D17</x:f>
        <x:v>0.030340387233558454</x:v>
      </x:c>
      <x:c r="L17" s="40" t="n">
        <x:f>ABS(K17)</x:f>
        <x:v>0.030340387233558454</x:v>
      </x:c>
      <x:c r="M17" s="40" t="n">
        <x:f>G17-D17</x:f>
        <x:v>0.004177777756262804</x:v>
      </x:c>
      <x:c r="N17" s="41" t="str">
        <x:v>nbeats-et0-v1</x:v>
      </x:c>
    </x:row>
    <x:row r="18">
      <x:c r="A18" s="38" t="str">
        <x:v>7月30日现场数据</x:v>
      </x:c>
      <x:c r="B18" s="39" t="str">
        <x:v>2026-08-01T03:00:00</x:v>
      </x:c>
      <x:c r="C18" s="39" t="str">
        <x:v>2026-08-01T04:00:00</x:v>
      </x:c>
      <x:c r="D18" s="40" t="n">
        <x:v>0.00009508724473677141</x:v>
      </x:c>
      <x:c r="E18" s="40" t="n">
        <x:v>0.04287474602460861</x:v>
      </x:c>
      <x:c r="F18" s="40" t="n">
        <x:v>0.05049028992652893</x:v>
      </x:c>
      <x:c r="G18" s="40" t="n">
        <x:v>0.0003483679806558704</x:v>
      </x:c>
      <x:c r="H18" s="40" t="n">
        <x:f>E18-D18</x:f>
        <x:v>0.04277965877987184</x:v>
      </x:c>
      <x:c r="I18" s="40" t="n">
        <x:f>ABS(H18)</x:f>
        <x:v>0.04277965877987184</x:v>
      </x:c>
      <x:c r="J18" s="40" t="n">
        <x:f>H18^2</x:f>
        <x:v>0.0018300992053222657</x:v>
      </x:c>
      <x:c r="K18" s="40" t="n">
        <x:f>F18-D18</x:f>
        <x:v>0.05039520268179216</x:v>
      </x:c>
      <x:c r="L18" s="40" t="n">
        <x:f>ABS(K18)</x:f>
        <x:v>0.05039520268179216</x:v>
      </x:c>
      <x:c r="M18" s="40" t="n">
        <x:f>G18-D18</x:f>
        <x:v>0.000253280735919099</x:v>
      </x:c>
      <x:c r="N18" s="41" t="str">
        <x:v>nbeats-et0-v1</x:v>
      </x:c>
    </x:row>
    <x:row r="19">
      <x:c r="A19" s="38" t="str">
        <x:v>7月30日现场数据</x:v>
      </x:c>
      <x:c r="B19" s="39" t="str">
        <x:v>2026-08-01T04:00:00</x:v>
      </x:c>
      <x:c r="C19" s="39" t="str">
        <x:v>2026-08-01T05:00:00</x:v>
      </x:c>
      <x:c r="D19" s="40" t="n">
        <x:v>0.006952293014019766</x:v>
      </x:c>
      <x:c r="E19" s="40" t="n">
        <x:v>0.051812268793582916</x:v>
      </x:c>
      <x:c r="F19" s="40" t="n">
        <x:v>0.0582280233502388</x:v>
      </x:c>
      <x:c r="G19" s="40" t="n">
        <x:v>0.00009508724473677141</x:v>
      </x:c>
      <x:c r="H19" s="40" t="n">
        <x:f>E19-D19</x:f>
        <x:v>0.044859975779563147</x:v>
      </x:c>
      <x:c r="I19" s="40" t="n">
        <x:f>ABS(H19)</x:f>
        <x:v>0.044859975779563147</x:v>
      </x:c>
      <x:c r="J19" s="40" t="n">
        <x:f>H19^2</x:f>
        <x:v>0.002012417426942992</x:v>
      </x:c>
      <x:c r="K19" s="40" t="n">
        <x:f>F19-D19</x:f>
        <x:v>0.05127573033621903</x:v>
      </x:c>
      <x:c r="L19" s="40" t="n">
        <x:f>ABS(K19)</x:f>
        <x:v>0.05127573033621903</x:v>
      </x:c>
      <x:c r="M19" s="40" t="n">
        <x:f>G19-D19</x:f>
        <x:v>-0.006857205769282995</x:v>
      </x:c>
      <x:c r="N19" s="41" t="str">
        <x:v>nbeats-et0-v1</x:v>
      </x:c>
    </x:row>
    <x:row r="20">
      <x:c r="A20" s="38" t="str">
        <x:v>7月30日现场数据</x:v>
      </x:c>
      <x:c r="B20" s="39" t="str">
        <x:v>2026-08-01T05:00:00</x:v>
      </x:c>
      <x:c r="C20" s="39" t="str">
        <x:v>2026-08-01T06:00:00</x:v>
      </x:c>
      <x:c r="D20" s="40" t="n">
        <x:v>0.01970754804673806</x:v>
      </x:c>
      <x:c r="E20" s="40" t="n">
        <x:v>0.03582829236984253</x:v>
      </x:c>
      <x:c r="F20" s="40" t="n">
        <x:v>0.040822334587574005</x:v>
      </x:c>
      <x:c r="G20" s="40" t="n">
        <x:v>0.006952293014019766</x:v>
      </x:c>
      <x:c r="H20" s="40" t="n">
        <x:f>E20-D20</x:f>
        <x:v>0.01612074432310447</x:v>
      </x:c>
      <x:c r="I20" s="40" t="n">
        <x:f>ABS(H20)</x:f>
        <x:v>0.01612074432310447</x:v>
      </x:c>
      <x:c r="J20" s="40" t="n">
        <x:f>H20^2</x:f>
        <x:v>0.00025987839753090496</x:v>
      </x:c>
      <x:c r="K20" s="40" t="n">
        <x:f>F20-D20</x:f>
        <x:v>0.021114786540835945</x:v>
      </x:c>
      <x:c r="L20" s="40" t="n">
        <x:f>ABS(K20)</x:f>
        <x:v>0.021114786540835945</x:v>
      </x:c>
      <x:c r="M20" s="40" t="n">
        <x:f>G20-D20</x:f>
        <x:v>-0.012755255032718293</x:v>
      </x:c>
      <x:c r="N20" s="41" t="str">
        <x:v>nbeats-et0-v1</x:v>
      </x:c>
    </x:row>
    <x:row r="21">
      <x:c r="A21" s="38" t="str">
        <x:v>7月30日现场数据</x:v>
      </x:c>
      <x:c r="B21" s="39" t="str">
        <x:v>2026-08-01T06:00:00</x:v>
      </x:c>
      <x:c r="C21" s="39" t="str">
        <x:v>2026-08-01T07:00:00</x:v>
      </x:c>
      <x:c r="D21" s="40" t="n">
        <x:v>0.035626922673982084</x:v>
      </x:c>
      <x:c r="E21" s="40" t="n">
        <x:v>0.06241268664598465</x:v>
      </x:c>
      <x:c r="F21" s="40" t="n">
        <x:v>0.07905743271112442</x:v>
      </x:c>
      <x:c r="G21" s="40" t="n">
        <x:v>0.01970754804673806</x:v>
      </x:c>
      <x:c r="H21" s="40" t="n">
        <x:f>E21-D21</x:f>
        <x:v>0.026785763972002566</x:v>
      </x:c>
      <x:c r="I21" s="40" t="n">
        <x:f>ABS(H21)</x:f>
        <x:v>0.026785763972002566</x:v>
      </x:c>
      <x:c r="J21" s="40" t="n">
        <x:f>H21^2</x:f>
        <x:v>0.0007174771515638307</x:v>
      </x:c>
      <x:c r="K21" s="40" t="n">
        <x:f>F21-D21</x:f>
        <x:v>0.043430510037142336</x:v>
      </x:c>
      <x:c r="L21" s="40" t="n">
        <x:f>ABS(K21)</x:f>
        <x:v>0.043430510037142336</x:v>
      </x:c>
      <x:c r="M21" s="40" t="n">
        <x:f>G21-D21</x:f>
        <x:v>-0.015919374627244024</x:v>
      </x:c>
      <x:c r="N21" s="41" t="str">
        <x:v>nbeats-et0-v1</x:v>
      </x:c>
    </x:row>
    <x:row r="22">
      <x:c r="A22" s="38" t="str">
        <x:v>7月30日现场数据</x:v>
      </x:c>
      <x:c r="B22" s="39" t="str">
        <x:v>2026-08-01T07:00:00</x:v>
      </x:c>
      <x:c r="C22" s="39" t="str">
        <x:v>2026-08-01T08:00:00</x:v>
      </x:c>
      <x:c r="D22" s="40" t="n">
        <x:v>0.4401332808021882</x:v>
      </x:c>
      <x:c r="E22" s="40" t="n">
        <x:v>0.06728900223970413</x:v>
      </x:c>
      <x:c r="F22" s="40" t="n">
        <x:v>0.0896231159567833</x:v>
      </x:c>
      <x:c r="G22" s="40" t="n">
        <x:v>0.035626922673982084</x:v>
      </x:c>
      <x:c r="H22" s="40" t="n">
        <x:f>E22-D22</x:f>
        <x:v>-0.3728442785624841</x:v>
      </x:c>
      <x:c r="I22" s="40" t="n">
        <x:f>ABS(H22)</x:f>
        <x:v>0.3728442785624841</x:v>
      </x:c>
      <x:c r="J22" s="40" t="n">
        <x:f>H22^2</x:f>
        <x:v>0.13901285605677924</x:v>
      </x:c>
      <x:c r="K22" s="40" t="n">
        <x:f>F22-D22</x:f>
        <x:v>-0.3505101648454049</x:v>
      </x:c>
      <x:c r="L22" s="40" t="n">
        <x:f>ABS(K22)</x:f>
        <x:v>0.3505101648454049</x:v>
      </x:c>
      <x:c r="M22" s="40" t="n">
        <x:f>G22-D22</x:f>
        <x:v>-0.4045063581282061</x:v>
      </x:c>
      <x:c r="N22" s="41" t="str">
        <x:v>nbeats-et0-v1</x:v>
      </x:c>
    </x:row>
    <x:row r="23">
      <x:c r="A23" s="38" t="str">
        <x:v>7月30日现场数据</x:v>
      </x:c>
      <x:c r="B23" s="39" t="str">
        <x:v>2026-08-01T08:00:00</x:v>
      </x:c>
      <x:c r="C23" s="39" t="str">
        <x:v>2026-08-01T09:00:00</x:v>
      </x:c>
      <x:c r="D23" s="40" t="n">
        <x:v>0.9687963649374713</x:v>
      </x:c>
      <x:c r="E23" s="40" t="n">
        <x:v>0.322811484336853</x:v>
      </x:c>
      <x:c r="F23" s="40" t="n">
        <x:v>0.4202709197998047</x:v>
      </x:c>
      <x:c r="G23" s="40" t="n">
        <x:v>0.4401332808021882</x:v>
      </x:c>
      <x:c r="H23" s="40" t="n">
        <x:f>E23-D23</x:f>
        <x:v>-0.6459848806006183</x:v>
      </x:c>
      <x:c r="I23" s="40" t="n">
        <x:f>ABS(H23)</x:f>
        <x:v>0.6459848806006183</x:v>
      </x:c>
      <x:c r="J23" s="40" t="n">
        <x:f>H23^2</x:f>
        <x:v>0.4172964659645951</x:v>
      </x:c>
      <x:c r="K23" s="40" t="n">
        <x:f>F23-D23</x:f>
        <x:v>-0.5485254451376667</x:v>
      </x:c>
      <x:c r="L23" s="40" t="n">
        <x:f>ABS(K23)</x:f>
        <x:v>0.5485254451376667</x:v>
      </x:c>
      <x:c r="M23" s="40" t="n">
        <x:f>G23-D23</x:f>
        <x:v>-0.5286630841352831</x:v>
      </x:c>
      <x:c r="N23" s="41" t="str">
        <x:v>nbeats-et0-v1</x:v>
      </x:c>
    </x:row>
    <x:row r="24">
      <x:c r="A24" s="38" t="str">
        <x:v>7月30日现场数据</x:v>
      </x:c>
      <x:c r="B24" s="39" t="str">
        <x:v>2026-08-01T09:00:00</x:v>
      </x:c>
      <x:c r="C24" s="39" t="str">
        <x:v>2026-08-01T10:00:00</x:v>
      </x:c>
      <x:c r="D24" s="40" t="n">
        <x:v>0.180535547927222</x:v>
      </x:c>
      <x:c r="E24" s="40" t="n">
        <x:v>0.7474638819694519</x:v>
      </x:c>
      <x:c r="F24" s="40" t="n">
        <x:v>0.9481233358383179</x:v>
      </x:c>
      <x:c r="G24" s="40" t="n">
        <x:v>0.9687963649374713</x:v>
      </x:c>
      <x:c r="H24" s="40" t="n">
        <x:f>E24-D24</x:f>
        <x:v>0.5669283340422299</x:v>
      </x:c>
      <x:c r="I24" s="40" t="n">
        <x:f>ABS(H24)</x:f>
        <x:v>0.5669283340422299</x:v>
      </x:c>
      <x:c r="J24" s="40" t="n">
        <x:f>H24^2</x:f>
        <x:v>0.3214077359398982</x:v>
      </x:c>
      <x:c r="K24" s="40" t="n">
        <x:f>F24-D24</x:f>
        <x:v>0.7675877879110958</x:v>
      </x:c>
      <x:c r="L24" s="40" t="n">
        <x:f>ABS(K24)</x:f>
        <x:v>0.7675877879110958</x:v>
      </x:c>
      <x:c r="M24" s="40" t="n">
        <x:f>G24-D24</x:f>
        <x:v>0.7882608170102493</x:v>
      </x:c>
      <x:c r="N24" s="41" t="str">
        <x:v>nbeats-et0-v1</x:v>
      </x:c>
    </x:row>
    <x:row r="25">
      <x:c r="A25" s="38" t="str">
        <x:v>7月30日现场数据</x:v>
      </x:c>
      <x:c r="B25" s="39" t="str">
        <x:v>2026-08-01T10:00:00</x:v>
      </x:c>
      <x:c r="C25" s="39" t="str">
        <x:v>2026-08-01T11:00:00</x:v>
      </x:c>
      <x:c r="D25" s="40" t="n">
        <x:v>0.10256315285299814</x:v>
      </x:c>
      <x:c r="E25" s="40" t="n">
        <x:v>0.23763778805732727</x:v>
      </x:c>
      <x:c r="F25" s="40" t="n">
        <x:v>0.3077942430973053</x:v>
      </x:c>
      <x:c r="G25" s="40" t="n">
        <x:v>0.180535547927222</x:v>
      </x:c>
      <x:c r="H25" s="40" t="n">
        <x:f>E25-D25</x:f>
        <x:v>0.13507463520432914</x:v>
      </x:c>
      <x:c r="I25" s="40" t="n">
        <x:f>ABS(H25)</x:f>
        <x:v>0.13507463520432914</x:v>
      </x:c>
      <x:c r="J25" s="40" t="n">
        <x:f>H25^2</x:f>
        <x:v>0.01824515707558259</x:v>
      </x:c>
      <x:c r="K25" s="40" t="n">
        <x:f>F25-D25</x:f>
        <x:v>0.20523109024430716</x:v>
      </x:c>
      <x:c r="L25" s="40" t="n">
        <x:f>ABS(K25)</x:f>
        <x:v>0.20523109024430716</x:v>
      </x:c>
      <x:c r="M25" s="40" t="n">
        <x:f>G25-D25</x:f>
        <x:v>0.07797239507422388</x:v>
      </x:c>
      <x:c r="N25" s="41" t="str">
        <x:v>nbeats-et0-v1</x:v>
      </x:c>
    </x:row>
    <x:row r="26">
      <x:c r="A26" s="38" t="str">
        <x:v>7月30日现场数据</x:v>
      </x:c>
      <x:c r="B26" s="39" t="str">
        <x:v>2026-08-01T11:00:00</x:v>
      </x:c>
      <x:c r="C26" s="39" t="str">
        <x:v>2026-08-01T12:00:00</x:v>
      </x:c>
      <x:c r="D26" s="40" t="n">
        <x:v>0.1490512332741226</x:v>
      </x:c>
      <x:c r="E26" s="40" t="n">
        <x:v>0.10794214904308319</x:v>
      </x:c>
      <x:c r="F26" s="40" t="n">
        <x:v>0.13886281847953796</x:v>
      </x:c>
      <x:c r="G26" s="40" t="n">
        <x:v>0.10256315285299814</x:v>
      </x:c>
      <x:c r="H26" s="40" t="n">
        <x:f>E26-D26</x:f>
        <x:v>-0.0411090842310394</x:v>
      </x:c>
      <x:c r="I26" s="40" t="n">
        <x:f>ABS(H26)</x:f>
        <x:v>0.0411090842310394</x:v>
      </x:c>
      <x:c r="J26" s="40" t="n">
        <x:f>H26^2</x:f>
        <x:v>0.0016899568063146922</x:v>
      </x:c>
      <x:c r="K26" s="40" t="n">
        <x:f>F26-D26</x:f>
        <x:v>-0.010188414794584627</x:v>
      </x:c>
      <x:c r="L26" s="40" t="n">
        <x:f>ABS(K26)</x:f>
        <x:v>0.010188414794584627</x:v>
      </x:c>
      <x:c r="M26" s="40" t="n">
        <x:f>G26-D26</x:f>
        <x:v>-0.046488080421124456</x:v>
      </x:c>
      <x:c r="N26" s="41" t="str">
        <x:v>nbeats-et0-v1</x:v>
      </x:c>
    </x:row>
    <x:row r="27">
      <x:c r="A27" s="38" t="str">
        <x:v>7月30日现场数据</x:v>
      </x:c>
      <x:c r="B27" s="39" t="str">
        <x:v>2026-08-01T12:00:00</x:v>
      </x:c>
      <x:c r="C27" s="39" t="str">
        <x:v>2026-08-01T13:00:00</x:v>
      </x:c>
      <x:c r="D27" s="40" t="n">
        <x:v>0.14069434841119388</x:v>
      </x:c>
      <x:c r="E27" s="40" t="n">
        <x:v>0.10669980198144913</x:v>
      </x:c>
      <x:c r="F27" s="40" t="n">
        <x:v>0.12827208638191223</x:v>
      </x:c>
      <x:c r="G27" s="40" t="n">
        <x:v>0.1490512332741226</x:v>
      </x:c>
      <x:c r="H27" s="40" t="n">
        <x:f>E27-D27</x:f>
        <x:v>-0.033994546429744754</x:v>
      </x:c>
      <x:c r="I27" s="40" t="n">
        <x:f>ABS(H27)</x:f>
        <x:v>0.033994546429744754</x:v>
      </x:c>
      <x:c r="J27" s="40" t="n">
        <x:f>H27^2</x:f>
        <x:v>0.0011556291869640719</x:v>
      </x:c>
      <x:c r="K27" s="40" t="n">
        <x:f>F27-D27</x:f>
        <x:v>-0.01242226202928165</x:v>
      </x:c>
      <x:c r="L27" s="40" t="n">
        <x:f>ABS(K27)</x:f>
        <x:v>0.01242226202928165</x:v>
      </x:c>
      <x:c r="M27" s="40" t="n">
        <x:f>G27-D27</x:f>
        <x:v>0.00835688486292871</x:v>
      </x:c>
      <x:c r="N27" s="41" t="str">
        <x:v>nbeats-et0-v1</x:v>
      </x:c>
    </x:row>
    <x:row r="28">
      <x:c r="A28" s="38" t="str">
        <x:v>7月30日现场数据</x:v>
      </x:c>
      <x:c r="B28" s="39" t="str">
        <x:v>2026-08-01T13:00:00</x:v>
      </x:c>
      <x:c r="C28" s="39" t="str">
        <x:v>2026-08-01T14:00:00</x:v>
      </x:c>
      <x:c r="D28" s="40" t="n">
        <x:v>0.07245173213479612</x:v>
      </x:c>
      <x:c r="E28" s="40" t="n">
        <x:v>0.06646617501974106</x:v>
      </x:c>
      <x:c r="F28" s="40" t="n">
        <x:v>0.07901237905025482</x:v>
      </x:c>
      <x:c r="G28" s="40" t="n">
        <x:v>0.14069434841119388</x:v>
      </x:c>
      <x:c r="H28" s="40" t="n">
        <x:f>E28-D28</x:f>
        <x:v>-0.005985557115055065</x:v>
      </x:c>
      <x:c r="I28" s="40" t="n">
        <x:f>ABS(H28)</x:f>
        <x:v>0.005985557115055065</x:v>
      </x:c>
      <x:c r="J28" s="40" t="n">
        <x:f>H28^2</x:f>
        <x:v>0.00003582689397758631</x:v>
      </x:c>
      <x:c r="K28" s="40" t="n">
        <x:f>F28-D28</x:f>
        <x:v>0.006560646915458698</x:v>
      </x:c>
      <x:c r="L28" s="40" t="n">
        <x:f>ABS(K28)</x:f>
        <x:v>0.006560646915458698</x:v>
      </x:c>
      <x:c r="M28" s="40" t="n">
        <x:f>G28-D28</x:f>
        <x:v>0.06824261627639776</x:v>
      </x:c>
      <x:c r="N28" s="41" t="str">
        <x:v>nbeats-et0-v1</x:v>
      </x:c>
    </x:row>
    <x:row r="29">
      <x:c r="A29" s="38" t="str">
        <x:v>7月30日现场数据</x:v>
      </x:c>
      <x:c r="B29" s="39" t="str">
        <x:v>2026-08-01T14:00:00</x:v>
      </x:c>
      <x:c r="C29" s="39" t="str">
        <x:v>2026-08-01T15:00:00</x:v>
      </x:c>
      <x:c r="D29" s="40" t="n">
        <x:v>0.018668339561805955</x:v>
      </x:c>
      <x:c r="E29" s="40" t="n">
        <x:v>0.042668551206588745</x:v>
      </x:c>
      <x:c r="F29" s="40" t="n">
        <x:v>0.035131797194480896</x:v>
      </x:c>
      <x:c r="G29" s="40" t="n">
        <x:v>0.07245173213479612</x:v>
      </x:c>
      <x:c r="H29" s="40" t="n">
        <x:f>E29-D29</x:f>
        <x:v>0.02400021164478279</x:v>
      </x:c>
      <x:c r="I29" s="40" t="n">
        <x:f>ABS(H29)</x:f>
        <x:v>0.02400021164478279</x:v>
      </x:c>
      <x:c r="J29" s="40" t="n">
        <x:f>H29^2</x:f>
        <x:v>0.0005760101589943674</x:v>
      </x:c>
      <x:c r="K29" s="40" t="n">
        <x:f>F29-D29</x:f>
        <x:v>0.01646345763267494</x:v>
      </x:c>
      <x:c r="L29" s="40" t="n">
        <x:f>ABS(K29)</x:f>
        <x:v>0.01646345763267494</x:v>
      </x:c>
      <x:c r="M29" s="40" t="n">
        <x:f>G29-D29</x:f>
        <x:v>0.05378339257299017</x:v>
      </x:c>
      <x:c r="N29" s="41" t="str">
        <x:v>nbeats-et0-v1</x:v>
      </x:c>
    </x:row>
    <x:row r="30">
      <x:c r="A30" s="38" t="str">
        <x:v>7月30日现场数据</x:v>
      </x:c>
      <x:c r="B30" s="39" t="str">
        <x:v>2026-08-01T15:00:00</x:v>
      </x:c>
      <x:c r="C30" s="39" t="str">
        <x:v>2026-08-01T16:00:00</x:v>
      </x:c>
      <x:c r="D30" s="40" t="n">
        <x:v>0.008611093114475554</x:v>
      </x:c>
      <x:c r="E30" s="40" t="n">
        <x:v>0.024250268936157227</x:v>
      </x:c>
      <x:c r="F30" s="40" t="n">
        <x:v>0.024260371923446655</x:v>
      </x:c>
      <x:c r="G30" s="40" t="n">
        <x:v>0.018668339561805955</x:v>
      </x:c>
      <x:c r="H30" s="40" t="n">
        <x:f>E30-D30</x:f>
        <x:v>0.015639175821681672</x:v>
      </x:c>
      <x:c r="I30" s="40" t="n">
        <x:f>ABS(H30)</x:f>
        <x:v>0.015639175821681672</x:v>
      </x:c>
      <x:c r="J30" s="40" t="n">
        <x:f>H30^2</x:f>
        <x:v>0.0002445838203814726</x:v>
      </x:c>
      <x:c r="K30" s="40" t="n">
        <x:f>F30-D30</x:f>
        <x:v>0.0156492788089711</x:v>
      </x:c>
      <x:c r="L30" s="40" t="n">
        <x:f>ABS(K30)</x:f>
        <x:v>0.0156492788089711</x:v>
      </x:c>
      <x:c r="M30" s="40" t="n">
        <x:f>G30-D30</x:f>
        <x:v>0.0100572464473304</x:v>
      </x:c>
      <x:c r="N30" s="41" t="str">
        <x:v>nbeats-et0-v1</x:v>
      </x:c>
    </x:row>
    <x:row r="31">
      <x:c r="A31" s="38" t="str">
        <x:v>7月30日现场数据</x:v>
      </x:c>
      <x:c r="B31" s="39" t="str">
        <x:v>2026-08-01T16:00:00</x:v>
      </x:c>
      <x:c r="C31" s="39" t="str">
        <x:v>2026-08-01T17:00:00</x:v>
      </x:c>
      <x:c r="D31" s="40" t="n">
        <x:v>0.025110673608064425</x:v>
      </x:c>
      <x:c r="E31" s="40" t="n">
        <x:v>0.004337385296821594</x:v>
      </x:c>
      <x:c r="F31" s="40" t="n">
        <x:v>0.0003640502691268921</x:v>
      </x:c>
      <x:c r="G31" s="40" t="n">
        <x:v>0.008611093114475554</x:v>
      </x:c>
      <x:c r="H31" s="40" t="n">
        <x:f>E31-D31</x:f>
        <x:v>-0.02077328831124283</x:v>
      </x:c>
      <x:c r="I31" s="40" t="n">
        <x:f>ABS(H31)</x:f>
        <x:v>0.02077328831124283</x:v>
      </x:c>
      <x:c r="J31" s="40" t="n">
        <x:f>H31^2</x:f>
        <x:v>0.00043152950726201803</x:v>
      </x:c>
      <x:c r="K31" s="40" t="n">
        <x:f>F31-D31</x:f>
        <x:v>-0.024746623338937533</x:v>
      </x:c>
      <x:c r="L31" s="40" t="n">
        <x:f>ABS(K31)</x:f>
        <x:v>0.024746623338937533</x:v>
      </x:c>
      <x:c r="M31" s="40" t="n">
        <x:f>G31-D31</x:f>
        <x:v>-0.01649958049358887</x:v>
      </x:c>
      <x:c r="N31" s="41" t="str">
        <x:v>nbeats-et0-v1</x:v>
      </x:c>
    </x:row>
    <x:row r="32">
      <x:c r="A32" s="38" t="str">
        <x:v>7月30日现场数据</x:v>
      </x:c>
      <x:c r="B32" s="39" t="str">
        <x:v>2026-08-01T17:00:00</x:v>
      </x:c>
      <x:c r="C32" s="39" t="str">
        <x:v>2026-08-01T18:00:00</x:v>
      </x:c>
      <x:c r="D32" s="40" t="n">
        <x:v>0.003328601178969979</x:v>
      </x:c>
      <x:c r="E32" s="40" t="n">
        <x:v>0.013795837759971619</x:v>
      </x:c>
      <x:c r="F32" s="40" t="n">
        <x:v>0.015919283032417297</x:v>
      </x:c>
      <x:c r="G32" s="40" t="n">
        <x:v>0.025110673608064425</x:v>
      </x:c>
      <x:c r="H32" s="40" t="n">
        <x:f>E32-D32</x:f>
        <x:v>0.01046723658100164</x:v>
      </x:c>
      <x:c r="I32" s="40" t="n">
        <x:f>ABS(H32)</x:f>
        <x:v>0.01046723658100164</x:v>
      </x:c>
      <x:c r="J32" s="40" t="n">
        <x:f>H32^2</x:f>
        <x:v>0.0001095630416426589</x:v>
      </x:c>
      <x:c r="K32" s="40" t="n">
        <x:f>F32-D32</x:f>
        <x:v>0.01259068185344732</x:v>
      </x:c>
      <x:c r="L32" s="40" t="n">
        <x:f>ABS(K32)</x:f>
        <x:v>0.01259068185344732</x:v>
      </x:c>
      <x:c r="M32" s="40" t="n">
        <x:f>G32-D32</x:f>
        <x:v>0.021782072429094447</x:v>
      </x:c>
      <x:c r="N32" s="41" t="str">
        <x:v>nbeats-et0-v1</x:v>
      </x:c>
    </x:row>
    <x:row r="33">
      <x:c r="A33" s="38" t="str">
        <x:v>7月30日现场数据</x:v>
      </x:c>
      <x:c r="B33" s="39" t="str">
        <x:v>2026-08-01T18:00:00</x:v>
      </x:c>
      <x:c r="C33" s="39" t="str">
        <x:v>2026-08-01T19:00:00</x:v>
      </x:c>
      <x:c r="D33" s="40" t="n">
        <x:v>0.0046012327815289685</x:v>
      </x:c>
      <x:c r="E33" s="40" t="n">
        <x:v>0.013762339949607849</x:v>
      </x:c>
      <x:c r="F33" s="40" t="n">
        <x:v>0.01610642671585083</x:v>
      </x:c>
      <x:c r="G33" s="40" t="n">
        <x:v>0.003328601178969979</x:v>
      </x:c>
      <x:c r="H33" s="40" t="n">
        <x:f>E33-D33</x:f>
        <x:v>0.00916110716807888</x:v>
      </x:c>
      <x:c r="I33" s="40" t="n">
        <x:f>ABS(H33)</x:f>
        <x:v>0.00916110716807888</x:v>
      </x:c>
      <x:c r="J33" s="40" t="n">
        <x:f>H33^2</x:f>
        <x:v>0.00008392588454502625</x:v>
      </x:c>
      <x:c r="K33" s="40" t="n">
        <x:f>F33-D33</x:f>
        <x:v>0.011505193934321862</x:v>
      </x:c>
      <x:c r="L33" s="40" t="n">
        <x:f>ABS(K33)</x:f>
        <x:v>0.011505193934321862</x:v>
      </x:c>
      <x:c r="M33" s="40" t="n">
        <x:f>G33-D33</x:f>
        <x:v>-0.0012726316025589894</x:v>
      </x:c>
      <x:c r="N33" s="41" t="str">
        <x:v>nbeats-et0-v1</x:v>
      </x:c>
    </x:row>
    <x:row r="34">
      <x:c r="A34" s="38" t="str">
        <x:v>7月30日现场数据</x:v>
      </x:c>
      <x:c r="B34" s="39" t="str">
        <x:v>2026-08-01T19:00:00</x:v>
      </x:c>
      <x:c r="C34" s="39" t="str">
        <x:v>2026-08-01T20:00:00</x:v>
      </x:c>
      <x:c r="D34" s="40" t="n">
        <x:v>0.0008068886692382994</x:v>
      </x:c>
      <x:c r="E34" s="40" t="n">
        <x:v>0.021119236946105957</x:v>
      </x:c>
      <x:c r="F34" s="40" t="n">
        <x:v>0.017785027623176575</x:v>
      </x:c>
      <x:c r="G34" s="40" t="n">
        <x:v>0.0046012327815289685</x:v>
      </x:c>
      <x:c r="H34" s="40" t="n">
        <x:f>E34-D34</x:f>
        <x:v>0.020312348276867658</x:v>
      </x:c>
      <x:c r="I34" s="40" t="n">
        <x:f>ABS(H34)</x:f>
        <x:v>0.020312348276867658</x:v>
      </x:c>
      <x:c r="J34" s="40" t="n">
        <x:f>H34^2</x:f>
        <x:v>0.00041259149252076855</x:v>
      </x:c>
      <x:c r="K34" s="40" t="n">
        <x:f>F34-D34</x:f>
        <x:v>0.016978138953938276</x:v>
      </x:c>
      <x:c r="L34" s="40" t="n">
        <x:f>ABS(K34)</x:f>
        <x:v>0.016978138953938276</x:v>
      </x:c>
      <x:c r="M34" s="40" t="n">
        <x:f>G34-D34</x:f>
        <x:v>0.0037943441122906692</x:v>
      </x:c>
      <x:c r="N34" s="41" t="str">
        <x:v>nbeats-et0-v1</x:v>
      </x:c>
    </x:row>
    <x:row r="35">
      <x:c r="A35" s="38" t="str">
        <x:v>7月30日现场数据</x:v>
      </x:c>
      <x:c r="B35" s="39" t="str">
        <x:v>2026-08-01T20:00:00</x:v>
      </x:c>
      <x:c r="C35" s="39" t="str">
        <x:v>2026-08-01T21:00:00</x:v>
      </x:c>
      <x:c r="D35" s="40" t="n">
        <x:v>0</x:v>
      </x:c>
      <x:c r="E35" s="40" t="n">
        <x:v>0.018579736351966858</x:v>
      </x:c>
      <x:c r="F35" s="40" t="n">
        <x:v>0.023749008774757385</x:v>
      </x:c>
      <x:c r="G35" s="40" t="n">
        <x:v>0.0008068886692382994</x:v>
      </x:c>
      <x:c r="H35" s="40" t="n">
        <x:f>E35-D35</x:f>
        <x:v>0.018579736351966858</x:v>
      </x:c>
      <x:c r="I35" s="40" t="n">
        <x:f>ABS(H35)</x:f>
        <x:v>0.018579736351966858</x:v>
      </x:c>
      <x:c r="J35" s="40" t="n">
        <x:f>H35^2</x:f>
        <x:v>0.0003452066029085987</x:v>
      </x:c>
      <x:c r="K35" s="40" t="n">
        <x:f>F35-D35</x:f>
        <x:v>0.023749008774757385</x:v>
      </x:c>
      <x:c r="L35" s="40" t="n">
        <x:f>ABS(K35)</x:f>
        <x:v>0.023749008774757385</x:v>
      </x:c>
      <x:c r="M35" s="40" t="n">
        <x:f>G35-D35</x:f>
        <x:v>0.0008068886692382994</x:v>
      </x:c>
      <x:c r="N35" s="41" t="str">
        <x:v>nbeats-et0-v1</x:v>
      </x:c>
    </x:row>
    <x:row r="36">
      <x:c r="A36" s="38" t="str">
        <x:v>7月30日现场数据</x:v>
      </x:c>
      <x:c r="B36" s="39" t="str">
        <x:v>2026-08-01T21:00:00</x:v>
      </x:c>
      <x:c r="C36" s="39" t="str">
        <x:v>2026-08-01T22:00:00</x:v>
      </x:c>
      <x:c r="D36" s="40" t="n">
        <x:v>0.012507393713363069</x:v>
      </x:c>
      <x:c r="E36" s="40" t="n">
        <x:v>0</x:v>
      </x:c>
      <x:c r="F36" s="40" t="n">
        <x:v>0</x:v>
      </x:c>
      <x:c r="G36" s="40" t="n">
        <x:v>0</x:v>
      </x:c>
      <x:c r="H36" s="40" t="n">
        <x:f>E36-D36</x:f>
        <x:v>-0.012507393713363069</x:v>
      </x:c>
      <x:c r="I36" s="40" t="n">
        <x:f>ABS(H36)</x:f>
        <x:v>0.012507393713363069</x:v>
      </x:c>
      <x:c r="J36" s="40" t="n">
        <x:f>H36^2</x:f>
        <x:v>0.000156434897501074</x:v>
      </x:c>
      <x:c r="K36" s="40" t="n">
        <x:f>F36-D36</x:f>
        <x:v>-0.012507393713363069</x:v>
      </x:c>
      <x:c r="L36" s="40" t="n">
        <x:f>ABS(K36)</x:f>
        <x:v>0.012507393713363069</x:v>
      </x:c>
      <x:c r="M36" s="40" t="n">
        <x:f>G36-D36</x:f>
        <x:v>-0.012507393713363069</x:v>
      </x:c>
      <x:c r="N36" s="41" t="str">
        <x:v>nbeats-et0-v1</x:v>
      </x:c>
    </x:row>
    <x:row r="37">
      <x:c r="A37" s="38" t="str">
        <x:v>7月30日现场数据</x:v>
      </x:c>
      <x:c r="B37" s="39" t="str">
        <x:v>2026-08-01T22:00:00</x:v>
      </x:c>
      <x:c r="C37" s="39" t="str">
        <x:v>2026-08-01T23:00:00</x:v>
      </x:c>
      <x:c r="D37" s="40" t="n">
        <x:v>0.00506273040472458</x:v>
      </x:c>
      <x:c r="E37" s="40" t="n">
        <x:v>0</x:v>
      </x:c>
      <x:c r="F37" s="40" t="n">
        <x:v>0</x:v>
      </x:c>
      <x:c r="G37" s="40" t="n">
        <x:v>0.012507393713363069</x:v>
      </x:c>
      <x:c r="H37" s="40" t="n">
        <x:f>E37-D37</x:f>
        <x:v>-0.00506273040472458</x:v>
      </x:c>
      <x:c r="I37" s="40" t="n">
        <x:f>ABS(H37)</x:f>
        <x:v>0.00506273040472458</x:v>
      </x:c>
      <x:c r="J37" s="40" t="n">
        <x:f>H37^2</x:f>
        <x:v>0.000025631239150922707</x:v>
      </x:c>
      <x:c r="K37" s="40" t="n">
        <x:f>F37-D37</x:f>
        <x:v>-0.00506273040472458</x:v>
      </x:c>
      <x:c r="L37" s="40" t="n">
        <x:f>ABS(K37)</x:f>
        <x:v>0.00506273040472458</x:v>
      </x:c>
      <x:c r="M37" s="40" t="n">
        <x:f>G37-D37</x:f>
        <x:v>0.007444663308638489</x:v>
      </x:c>
      <x:c r="N37" s="41" t="str">
        <x:v>nbeats-et0-v1</x:v>
      </x:c>
    </x:row>
    <x:row r="38">
      <x:c r="A38" s="38" t="str">
        <x:v>7月30日现场数据</x:v>
      </x:c>
      <x:c r="B38" s="39" t="str">
        <x:v>2026-08-01T23:00:00</x:v>
      </x:c>
      <x:c r="C38" s="39" t="str">
        <x:v>2026-08-02T00:00:00</x:v>
      </x:c>
      <x:c r="D38" s="40" t="n">
        <x:v>0</x:v>
      </x:c>
      <x:c r="E38" s="40" t="n">
        <x:v>0.028034493327140808</x:v>
      </x:c>
      <x:c r="F38" s="40" t="n">
        <x:v>0.03359745442867279</x:v>
      </x:c>
      <x:c r="G38" s="40" t="n">
        <x:v>0.00506273040472458</x:v>
      </x:c>
      <x:c r="H38" s="40" t="n">
        <x:f>E38-D38</x:f>
        <x:v>0.028034493327140808</x:v>
      </x:c>
      <x:c r="I38" s="40" t="n">
        <x:f>ABS(H38)</x:f>
        <x:v>0.028034493327140808</x:v>
      </x:c>
      <x:c r="J38" s="40" t="n">
        <x:f>H38^2</x:f>
        <x:v>0.0007859328161095025</x:v>
      </x:c>
      <x:c r="K38" s="40" t="n">
        <x:f>F38-D38</x:f>
        <x:v>0.03359745442867279</x:v>
      </x:c>
      <x:c r="L38" s="40" t="n">
        <x:f>ABS(K38)</x:f>
        <x:v>0.03359745442867279</x:v>
      </x:c>
      <x:c r="M38" s="40" t="n">
        <x:f>G38-D38</x:f>
        <x:v>0.00506273040472458</x:v>
      </x:c>
      <x:c r="N38" s="41" t="str">
        <x:v>nbeats-et0-v1</x:v>
      </x:c>
    </x:row>
    <x:row r="39">
      <x:c r="A39" s="38" t="str">
        <x:v>7月30日现场数据</x:v>
      </x:c>
      <x:c r="B39" s="39" t="str">
        <x:v>2026-08-02T00:00:00</x:v>
      </x:c>
      <x:c r="C39" s="39" t="str">
        <x:v>2026-08-02T01:00:00</x:v>
      </x:c>
      <x:c r="D39" s="40" t="n">
        <x:v>0</x:v>
      </x:c>
      <x:c r="E39" s="40" t="n">
        <x:v>0.03479582071304321</x:v>
      </x:c>
      <x:c r="F39" s="40" t="n">
        <x:v>0.0390084832906723</x:v>
      </x:c>
      <x:c r="G39" s="40" t="n">
        <x:v>0</x:v>
      </x:c>
      <x:c r="H39" s="40" t="n">
        <x:f>E39-D39</x:f>
        <x:v>0.03479582071304321</x:v>
      </x:c>
      <x:c r="I39" s="40" t="n">
        <x:f>ABS(H39)</x:f>
        <x:v>0.03479582071304321</x:v>
      </x:c>
      <x:c r="J39" s="40" t="n">
        <x:f>H39^2</x:f>
        <x:v>0.001210749139094247</x:v>
      </x:c>
      <x:c r="K39" s="40" t="n">
        <x:f>F39-D39</x:f>
        <x:v>0.0390084832906723</x:v>
      </x:c>
      <x:c r="L39" s="40" t="n">
        <x:f>ABS(K39)</x:f>
        <x:v>0.0390084832906723</x:v>
      </x:c>
      <x:c r="M39" s="40" t="n">
        <x:f>G39-D39</x:f>
        <x:v>0</x:v>
      </x:c>
      <x:c r="N39" s="41" t="str">
        <x:v>nbeats-et0-v1</x:v>
      </x:c>
    </x:row>
    <x:row r="40">
      <x:c r="A40" s="38" t="str">
        <x:v>7月30日现场数据</x:v>
      </x:c>
      <x:c r="B40" s="39" t="str">
        <x:v>2026-08-02T01:00:00</x:v>
      </x:c>
      <x:c r="C40" s="39" t="str">
        <x:v>2026-08-02T02:00:00</x:v>
      </x:c>
      <x:c r="D40" s="40" t="n">
        <x:v>0.002200955905834844</x:v>
      </x:c>
      <x:c r="E40" s="40" t="n">
        <x:v>0.031726643443107605</x:v>
      </x:c>
      <x:c r="F40" s="40" t="n">
        <x:v>0.030728384852409363</x:v>
      </x:c>
      <x:c r="G40" s="40" t="n">
        <x:v>0</x:v>
      </x:c>
      <x:c r="H40" s="40" t="n">
        <x:f>E40-D40</x:f>
        <x:v>0.029525687537272763</x:v>
      </x:c>
      <x:c r="I40" s="40" t="n">
        <x:f>ABS(H40)</x:f>
        <x:v>0.029525687537272763</x:v>
      </x:c>
      <x:c r="J40" s="40" t="n">
        <x:f>H40^2</x:f>
        <x:v>0.0008717662245486641</x:v>
      </x:c>
      <x:c r="K40" s="40" t="n">
        <x:f>F40-D40</x:f>
        <x:v>0.02852742894657452</x:v>
      </x:c>
      <x:c r="L40" s="40" t="n">
        <x:f>ABS(K40)</x:f>
        <x:v>0.02852742894657452</x:v>
      </x:c>
      <x:c r="M40" s="40" t="n">
        <x:f>G40-D40</x:f>
        <x:v>-0.002200955905834844</x:v>
      </x:c>
      <x:c r="N40" s="41" t="str">
        <x:v>nbeats-et0-v1</x:v>
      </x:c>
    </x:row>
    <x:row r="41">
      <x:c r="A41" s="38" t="str">
        <x:v>7月30日现场数据</x:v>
      </x:c>
      <x:c r="B41" s="39" t="str">
        <x:v>2026-08-02T02:00:00</x:v>
      </x:c>
      <x:c r="C41" s="39" t="str">
        <x:v>2026-08-02T03:00:00</x:v>
      </x:c>
      <x:c r="D41" s="40" t="n">
        <x:v>0.0032285421297985036</x:v>
      </x:c>
      <x:c r="E41" s="40" t="n">
        <x:v>0.019775211811065674</x:v>
      </x:c>
      <x:c r="F41" s="40" t="n">
        <x:v>0.02460964024066925</x:v>
      </x:c>
      <x:c r="G41" s="40" t="n">
        <x:v>0.002200955905834844</x:v>
      </x:c>
      <x:c r="H41" s="40" t="n">
        <x:f>E41-D41</x:f>
        <x:v>0.01654666968126717</x:v>
      </x:c>
      <x:c r="I41" s="40" t="n">
        <x:f>ABS(H41)</x:f>
        <x:v>0.01654666968126717</x:v>
      </x:c>
      <x:c r="J41" s="40" t="n">
        <x:f>H41^2</x:f>
        <x:v>0.0002737922775409662</x:v>
      </x:c>
      <x:c r="K41" s="40" t="n">
        <x:f>F41-D41</x:f>
        <x:v>0.021381098110870748</x:v>
      </x:c>
      <x:c r="L41" s="40" t="n">
        <x:f>ABS(K41)</x:f>
        <x:v>0.021381098110870748</x:v>
      </x:c>
      <x:c r="M41" s="40" t="n">
        <x:f>G41-D41</x:f>
        <x:v>-0.0010275862239636597</x:v>
      </x:c>
      <x:c r="N41" s="41" t="str">
        <x:v>nbeats-et0-v1</x:v>
      </x:c>
    </x:row>
    <x:row r="42">
      <x:c r="A42" s="38" t="str">
        <x:v>7月30日现场数据</x:v>
      </x:c>
      <x:c r="B42" s="39" t="str">
        <x:v>2026-08-02T03:00:00</x:v>
      </x:c>
      <x:c r="C42" s="39" t="str">
        <x:v>2026-08-02T04:00:00</x:v>
      </x:c>
      <x:c r="D42" s="40" t="n">
        <x:v>0.003537338071755921</x:v>
      </x:c>
      <x:c r="E42" s="40" t="n">
        <x:v>0.04231531172990799</x:v>
      </x:c>
      <x:c r="F42" s="40" t="n">
        <x:v>0.05620773136615753</x:v>
      </x:c>
      <x:c r="G42" s="40" t="n">
        <x:v>0.0032285421297985036</x:v>
      </x:c>
      <x:c r="H42" s="40" t="n">
        <x:f>E42-D42</x:f>
        <x:v>0.03877797365815207</x:v>
      </x:c>
      <x:c r="I42" s="40" t="n">
        <x:f>ABS(H42)</x:f>
        <x:v>0.03877797365815207</x:v>
      </x:c>
      <x:c r="J42" s="40" t="n">
        <x:f>H42^2</x:f>
        <x:v>0.0015037312410323357</x:v>
      </x:c>
      <x:c r="K42" s="40" t="n">
        <x:f>F42-D42</x:f>
        <x:v>0.05267039329440161</x:v>
      </x:c>
      <x:c r="L42" s="40" t="n">
        <x:f>ABS(K42)</x:f>
        <x:v>0.05267039329440161</x:v>
      </x:c>
      <x:c r="M42" s="40" t="n">
        <x:f>G42-D42</x:f>
        <x:v>-0.0003087959419574176</x:v>
      </x:c>
      <x:c r="N42" s="41" t="str">
        <x:v>nbeats-et0-v1</x:v>
      </x:c>
    </x:row>
    <x:row r="43">
      <x:c r="A43" s="38" t="str">
        <x:v>7月30日现场数据</x:v>
      </x:c>
      <x:c r="B43" s="39" t="str">
        <x:v>2026-08-02T04:00:00</x:v>
      </x:c>
      <x:c r="C43" s="39" t="str">
        <x:v>2026-08-02T05:00:00</x:v>
      </x:c>
      <x:c r="D43" s="40" t="n">
        <x:v>0.007369650167064962</x:v>
      </x:c>
      <x:c r="E43" s="40" t="n">
        <x:v>0.061549559235572815</x:v>
      </x:c>
      <x:c r="F43" s="40" t="n">
        <x:v>0.06917581707239151</x:v>
      </x:c>
      <x:c r="G43" s="40" t="n">
        <x:v>0.003537338071755921</x:v>
      </x:c>
      <x:c r="H43" s="40" t="n">
        <x:f>E43-D43</x:f>
        <x:v>0.05417990906850785</x:v>
      </x:c>
      <x:c r="I43" s="40" t="n">
        <x:f>ABS(H43)</x:f>
        <x:v>0.05417990906850785</x:v>
      </x:c>
      <x:c r="J43" s="40" t="n">
        <x:f>H43^2</x:f>
        <x:v>0.0029354625466717793</x:v>
      </x:c>
      <x:c r="K43" s="40" t="n">
        <x:f>F43-D43</x:f>
        <x:v>0.061806166905326546</x:v>
      </x:c>
      <x:c r="L43" s="40" t="n">
        <x:f>ABS(K43)</x:f>
        <x:v>0.061806166905326546</x:v>
      </x:c>
      <x:c r="M43" s="40" t="n">
        <x:f>G43-D43</x:f>
        <x:v>-0.0038323120953090407</x:v>
      </x:c>
      <x:c r="N43" s="41" t="str">
        <x:v>nbeats-et0-v1</x:v>
      </x:c>
    </x:row>
    <x:row r="44">
      <x:c r="A44" s="38" t="str">
        <x:v>7月30日现场数据</x:v>
      </x:c>
      <x:c r="B44" s="39" t="str">
        <x:v>2026-08-02T05:00:00</x:v>
      </x:c>
      <x:c r="C44" s="39" t="str">
        <x:v>2026-08-02T06:00:00</x:v>
      </x:c>
      <x:c r="D44" s="40" t="n">
        <x:v>0.015934180504491687</x:v>
      </x:c>
      <x:c r="E44" s="40" t="n">
        <x:v>0.04231301695108414</x:v>
      </x:c>
      <x:c r="F44" s="40" t="n">
        <x:v>0.0482332780957222</x:v>
      </x:c>
      <x:c r="G44" s="40" t="n">
        <x:v>0.007369650167064962</x:v>
      </x:c>
      <x:c r="H44" s="40" t="n">
        <x:f>E44-D44</x:f>
        <x:v>0.02637883644659245</x:v>
      </x:c>
      <x:c r="I44" s="40" t="n">
        <x:f>ABS(H44)</x:f>
        <x:v>0.02637883644659245</x:v>
      </x:c>
      <x:c r="J44" s="40" t="n">
        <x:f>H44^2</x:f>
        <x:v>0.0006958430122760742</x:v>
      </x:c>
      <x:c r="K44" s="40" t="n">
        <x:f>F44-D44</x:f>
        <x:v>0.03229909759123051</x:v>
      </x:c>
      <x:c r="L44" s="40" t="n">
        <x:f>ABS(K44)</x:f>
        <x:v>0.03229909759123051</x:v>
      </x:c>
      <x:c r="M44" s="40" t="n">
        <x:f>G44-D44</x:f>
        <x:v>-0.008564530337426726</x:v>
      </x:c>
      <x:c r="N44" s="41" t="str">
        <x:v>nbeats-et0-v1</x:v>
      </x:c>
    </x:row>
    <x:row r="45">
      <x:c r="A45" s="38" t="str">
        <x:v>7月30日现场数据</x:v>
      </x:c>
      <x:c r="B45" s="39" t="str">
        <x:v>2026-08-02T06:00:00</x:v>
      </x:c>
      <x:c r="C45" s="39" t="str">
        <x:v>2026-08-02T07:00:00</x:v>
      </x:c>
      <x:c r="D45" s="40" t="n">
        <x:v>0.03196566666228369</x:v>
      </x:c>
      <x:c r="E45" s="40" t="n">
        <x:v>0.06842879205942154</x:v>
      </x:c>
      <x:c r="F45" s="40" t="n">
        <x:v>0.08729184418916702</x:v>
      </x:c>
      <x:c r="G45" s="40" t="n">
        <x:v>0.015934180504491687</x:v>
      </x:c>
      <x:c r="H45" s="40" t="n">
        <x:f>E45-D45</x:f>
        <x:v>0.03646312539713785</x:v>
      </x:c>
      <x:c r="I45" s="40" t="n">
        <x:f>ABS(H45)</x:f>
        <x:v>0.03646312539713785</x:v>
      </x:c>
      <x:c r="J45" s="40" t="n">
        <x:f>H45^2</x:f>
        <x:v>0.0013295595137273993</x:v>
      </x:c>
      <x:c r="K45" s="40" t="n">
        <x:f>F45-D45</x:f>
        <x:v>0.05532617752688333</x:v>
      </x:c>
      <x:c r="L45" s="40" t="n">
        <x:f>ABS(K45)</x:f>
        <x:v>0.05532617752688333</x:v>
      </x:c>
      <x:c r="M45" s="40" t="n">
        <x:f>G45-D45</x:f>
        <x:v>-0.016031486157792003</x:v>
      </x:c>
      <x:c r="N45" s="41" t="str">
        <x:v>nbeats-et0-v1</x:v>
      </x:c>
    </x:row>
    <x:row r="46">
      <x:c r="A46" s="38" t="str">
        <x:v>7月30日现场数据</x:v>
      </x:c>
      <x:c r="B46" s="39" t="str">
        <x:v>2026-08-02T07:00:00</x:v>
      </x:c>
      <x:c r="C46" s="39" t="str">
        <x:v>2026-08-02T08:00:00</x:v>
      </x:c>
      <x:c r="D46" s="40" t="n">
        <x:v>0.5075845413112289</x:v>
      </x:c>
      <x:c r="E46" s="40" t="n">
        <x:v>0.059897422790527344</x:v>
      </x:c>
      <x:c r="F46" s="40" t="n">
        <x:v>0.07791750133037567</x:v>
      </x:c>
      <x:c r="G46" s="40" t="n">
        <x:v>0.03196566666228369</x:v>
      </x:c>
      <x:c r="H46" s="40" t="n">
        <x:f>E46-D46</x:f>
        <x:v>-0.44768711852070153</x:v>
      </x:c>
      <x:c r="I46" s="40" t="n">
        <x:f>ABS(H46)</x:f>
        <x:v>0.44768711852070153</x:v>
      </x:c>
      <x:c r="J46" s="40" t="n">
        <x:f>H46^2</x:f>
        <x:v>0.20042375608936866</x:v>
      </x:c>
      <x:c r="K46" s="40" t="n">
        <x:f>F46-D46</x:f>
        <x:v>-0.4296670399808532</x:v>
      </x:c>
      <x:c r="L46" s="40" t="n">
        <x:f>ABS(K46)</x:f>
        <x:v>0.4296670399808532</x:v>
      </x:c>
      <x:c r="M46" s="40" t="n">
        <x:f>G46-D46</x:f>
        <x:v>-0.4756188746489452</x:v>
      </x:c>
      <x:c r="N46" s="41" t="str">
        <x:v>nbeats-et0-v1</x:v>
      </x:c>
    </x:row>
    <x:row r="47">
      <x:c r="A47" s="38" t="str">
        <x:v>7月30日现场数据</x:v>
      </x:c>
      <x:c r="B47" s="39" t="str">
        <x:v>2026-08-02T08:00:00</x:v>
      </x:c>
      <x:c r="C47" s="39" t="str">
        <x:v>2026-08-02T09:00:00</x:v>
      </x:c>
      <x:c r="D47" s="40" t="n">
        <x:v>0.9746360059576474</x:v>
      </x:c>
      <x:c r="E47" s="40" t="n">
        <x:v>0.3614335358142853</x:v>
      </x:c>
      <x:c r="F47" s="40" t="n">
        <x:v>0.47057056427001953</x:v>
      </x:c>
      <x:c r="G47" s="40" t="n">
        <x:v>0.5075845413112289</x:v>
      </x:c>
      <x:c r="H47" s="40" t="n">
        <x:f>E47-D47</x:f>
        <x:v>-0.6132024701433622</x:v>
      </x:c>
      <x:c r="I47" s="40" t="n">
        <x:f>ABS(H47)</x:f>
        <x:v>0.6132024701433622</x:v>
      </x:c>
      <x:c r="J47" s="40" t="n">
        <x:f>H47^2</x:f>
        <x:v>0.37601726938992097</x:v>
      </x:c>
      <x:c r="K47" s="40" t="n">
        <x:f>F47-D47</x:f>
        <x:v>-0.5040654416876279</x:v>
      </x:c>
      <x:c r="L47" s="40" t="n">
        <x:f>ABS(K47)</x:f>
        <x:v>0.5040654416876279</x:v>
      </x:c>
      <x:c r="M47" s="40" t="n">
        <x:f>G47-D47</x:f>
        <x:v>-0.46705146464641856</x:v>
      </x:c>
      <x:c r="N47" s="41" t="str">
        <x:v>nbeats-et0-v1</x:v>
      </x:c>
    </x:row>
    <x:row r="48">
      <x:c r="A48" s="38" t="str">
        <x:v>7月30日现场数据</x:v>
      </x:c>
      <x:c r="B48" s="39" t="str">
        <x:v>2026-08-02T09:00:00</x:v>
      </x:c>
      <x:c r="C48" s="39" t="str">
        <x:v>2026-08-02T10:00:00</x:v>
      </x:c>
      <x:c r="D48" s="40" t="n">
        <x:v>0.09381631793700355</x:v>
      </x:c>
      <x:c r="E48" s="40" t="n">
        <x:v>0.7654918432235718</x:v>
      </x:c>
      <x:c r="F48" s="40" t="n">
        <x:v>0.9680693745613098</x:v>
      </x:c>
      <x:c r="G48" s="40" t="n">
        <x:v>0.9746360059576474</x:v>
      </x:c>
      <x:c r="H48" s="40" t="n">
        <x:f>E48-D48</x:f>
        <x:v>0.6716755252865683</x:v>
      </x:c>
      <x:c r="I48" s="40" t="n">
        <x:f>ABS(H48)</x:f>
        <x:v>0.6716755252865683</x:v>
      </x:c>
      <x:c r="J48" s="40" t="n">
        <x:f>H48^2</x:f>
        <x:v>0.4511480112689874</x:v>
      </x:c>
      <x:c r="K48" s="40" t="n">
        <x:f>F48-D48</x:f>
        <x:v>0.8742530566243063</x:v>
      </x:c>
      <x:c r="L48" s="40" t="n">
        <x:f>ABS(K48)</x:f>
        <x:v>0.8742530566243063</x:v>
      </x:c>
      <x:c r="M48" s="40" t="n">
        <x:f>G48-D48</x:f>
        <x:v>0.8808196880206439</x:v>
      </x:c>
      <x:c r="N48" s="41" t="str">
        <x:v>nbeats-et0-v1</x:v>
      </x:c>
    </x:row>
    <x:row r="49">
      <x:c r="A49" s="38" t="str">
        <x:v>7月30日现场数据</x:v>
      </x:c>
      <x:c r="B49" s="39" t="str">
        <x:v>2026-08-02T10:00:00</x:v>
      </x:c>
      <x:c r="C49" s="39" t="str">
        <x:v>2026-08-02T11:00:00</x:v>
      </x:c>
      <x:c r="D49" s="40" t="n">
        <x:v>0.16925986637064735</x:v>
      </x:c>
      <x:c r="E49" s="40" t="n">
        <x:v>0.19888503849506378</x:v>
      </x:c>
      <x:c r="F49" s="40" t="n">
        <x:v>0.26089030504226685</x:v>
      </x:c>
      <x:c r="G49" s="40" t="n">
        <x:v>0.09381631793700355</x:v>
      </x:c>
      <x:c r="H49" s="40" t="n">
        <x:f>E49-D49</x:f>
        <x:v>0.029625172124416427</x:v>
      </x:c>
      <x:c r="I49" s="40" t="n">
        <x:f>ABS(H49)</x:f>
        <x:v>0.029625172124416427</x:v>
      </x:c>
      <x:c r="J49" s="40" t="n">
        <x:f>H49^2</x:f>
        <x:v>0.0008776508234013</x:v>
      </x:c>
      <x:c r="K49" s="40" t="n">
        <x:f>F49-D49</x:f>
        <x:v>0.09163043867161949</x:v>
      </x:c>
      <x:c r="L49" s="40" t="n">
        <x:f>ABS(K49)</x:f>
        <x:v>0.09163043867161949</x:v>
      </x:c>
      <x:c r="M49" s="40" t="n">
        <x:f>G49-D49</x:f>
        <x:v>-0.0754435484336438</x:v>
      </x:c>
      <x:c r="N49" s="41" t="str">
        <x:v>nbeats-et0-v1</x:v>
      </x:c>
    </x:row>
    <x:row r="50">
      <x:c r="A50" s="38" t="str">
        <x:v>7月30日现场数据</x:v>
      </x:c>
      <x:c r="B50" s="39" t="str">
        <x:v>2026-08-02T11:00:00</x:v>
      </x:c>
      <x:c r="C50" s="39" t="str">
        <x:v>2026-08-02T12:00:00</x:v>
      </x:c>
      <x:c r="D50" s="40" t="n">
        <x:v>0.1484182270859991</x:v>
      </x:c>
      <x:c r="E50" s="40" t="n">
        <x:v>0.14338043332099915</x:v>
      </x:c>
      <x:c r="F50" s="40" t="n">
        <x:v>0.18336598575115204</x:v>
      </x:c>
      <x:c r="G50" s="40" t="n">
        <x:v>0.16925986637064735</x:v>
      </x:c>
      <x:c r="H50" s="40" t="n">
        <x:f>E50-D50</x:f>
        <x:v>-0.005037793764999965</x:v>
      </x:c>
      <x:c r="I50" s="40" t="n">
        <x:f>ABS(H50)</x:f>
        <x:v>0.005037793764999965</x:v>
      </x:c>
      <x:c r="J50" s="40" t="n">
        <x:f>H50^2</x:f>
        <x:v>0.000025379366018672523</x:v>
      </x:c>
      <x:c r="K50" s="40" t="n">
        <x:f>F50-D50</x:f>
        <x:v>0.03494775866515293</x:v>
      </x:c>
      <x:c r="L50" s="40" t="n">
        <x:f>ABS(K50)</x:f>
        <x:v>0.03494775866515293</x:v>
      </x:c>
      <x:c r="M50" s="40" t="n">
        <x:f>G50-D50</x:f>
        <x:v>0.020841639284648245</x:v>
      </x:c>
      <x:c r="N50" s="41" t="str">
        <x:v>nbeats-et0-v1</x:v>
      </x:c>
    </x:row>
    <x:row r="51">
      <x:c r="A51" s="38" t="str">
        <x:v>7月30日现场数据</x:v>
      </x:c>
      <x:c r="B51" s="39" t="str">
        <x:v>2026-08-02T12:00:00</x:v>
      </x:c>
      <x:c r="C51" s="39" t="str">
        <x:v>2026-08-02T13:00:00</x:v>
      </x:c>
      <x:c r="D51" s="40" t="n">
        <x:v>0.1655774246110608</x:v>
      </x:c>
      <x:c r="E51" s="40" t="n">
        <x:v>0.10867763310670853</x:v>
      </x:c>
      <x:c r="F51" s="40" t="n">
        <x:v>0.13090750575065613</x:v>
      </x:c>
      <x:c r="G51" s="40" t="n">
        <x:v>0.1484182270859991</x:v>
      </x:c>
      <x:c r="H51" s="40" t="n">
        <x:f>E51-D51</x:f>
        <x:v>-0.05689979150435226</x:v>
      </x:c>
      <x:c r="I51" s="40" t="n">
        <x:f>ABS(H51)</x:f>
        <x:v>0.05689979150435226</x:v>
      </x:c>
      <x:c r="J51" s="40" t="n">
        <x:f>H51^2</x:f>
        <x:v>0.0032375862732387578</x:v>
      </x:c>
      <x:c r="K51" s="40" t="n">
        <x:f>F51-D51</x:f>
        <x:v>-0.03466991886040466</x:v>
      </x:c>
      <x:c r="L51" s="40" t="n">
        <x:f>ABS(K51)</x:f>
        <x:v>0.03466991886040466</x:v>
      </x:c>
      <x:c r="M51" s="40" t="n">
        <x:f>G51-D51</x:f>
        <x:v>-0.017159197525061676</x:v>
      </x:c>
      <x:c r="N51" s="41" t="str">
        <x:v>nbeats-et0-v1</x:v>
      </x:c>
    </x:row>
    <x:row r="52">
      <x:c r="A52" s="38" t="str">
        <x:v>7月30日现场数据</x:v>
      </x:c>
      <x:c r="B52" s="39" t="str">
        <x:v>2026-08-02T13:00:00</x:v>
      </x:c>
      <x:c r="C52" s="39" t="str">
        <x:v>2026-08-02T14:00:00</x:v>
      </x:c>
      <x:c r="D52" s="40" t="n">
        <x:v>0.04824612523905466</x:v>
      </x:c>
      <x:c r="E52" s="40" t="n">
        <x:v>0.07713847607374191</x:v>
      </x:c>
      <x:c r="F52" s="40" t="n">
        <x:v>0.09547539800405502</x:v>
      </x:c>
      <x:c r="G52" s="40" t="n">
        <x:v>0.1655774246110608</x:v>
      </x:c>
      <x:c r="H52" s="40" t="n">
        <x:f>E52-D52</x:f>
        <x:v>0.028892350834687254</x:v>
      </x:c>
      <x:c r="I52" s="40" t="n">
        <x:f>ABS(H52)</x:f>
        <x:v>0.028892350834687254</x:v>
      </x:c>
      <x:c r="J52" s="40" t="n">
        <x:f>H52^2</x:f>
        <x:v>0.0008347679367546533</x:v>
      </x:c>
      <x:c r="K52" s="40" t="n">
        <x:f>F52-D52</x:f>
        <x:v>0.047229272765000364</x:v>
      </x:c>
      <x:c r="L52" s="40" t="n">
        <x:f>ABS(K52)</x:f>
        <x:v>0.047229272765000364</x:v>
      </x:c>
      <x:c r="M52" s="40" t="n">
        <x:f>G52-D52</x:f>
        <x:v>0.11733129937200612</x:v>
      </x:c>
      <x:c r="N52" s="41" t="str">
        <x:v>nbeats-et0-v1</x:v>
      </x:c>
    </x:row>
    <x:row r="53">
      <x:c r="A53" s="38" t="str">
        <x:v>7月30日现场数据</x:v>
      </x:c>
      <x:c r="B53" s="39" t="str">
        <x:v>2026-08-02T14:00:00</x:v>
      </x:c>
      <x:c r="C53" s="39" t="str">
        <x:v>2026-08-02T15:00:00</x:v>
      </x:c>
      <x:c r="D53" s="40" t="n">
        <x:v>0.0056780924413272855</x:v>
      </x:c>
      <x:c r="E53" s="40" t="n">
        <x:v>0.02441731095314026</x:v>
      </x:c>
      <x:c r="F53" s="40" t="n">
        <x:v>0.024362951517105103</x:v>
      </x:c>
      <x:c r="G53" s="40" t="n">
        <x:v>0.04824612523905466</x:v>
      </x:c>
      <x:c r="H53" s="40" t="n">
        <x:f>E53-D53</x:f>
        <x:v>0.018739218511812972</x:v>
      </x:c>
      <x:c r="I53" s="40" t="n">
        <x:f>ABS(H53)</x:f>
        <x:v>0.018739218511812972</x:v>
      </x:c>
      <x:c r="J53" s="40" t="n">
        <x:f>H53^2</x:f>
        <x:v>0.00035115831043347397</x:v>
      </x:c>
      <x:c r="K53" s="40" t="n">
        <x:f>F53-D53</x:f>
        <x:v>0.018684859075777816</x:v>
      </x:c>
      <x:c r="L53" s="40" t="n">
        <x:f>ABS(K53)</x:f>
        <x:v>0.018684859075777816</x:v>
      </x:c>
      <x:c r="M53" s="40" t="n">
        <x:f>G53-D53</x:f>
        <x:v>0.042568032797727376</x:v>
      </x:c>
      <x:c r="N53" s="41" t="str">
        <x:v>nbeats-et0-v1</x:v>
      </x:c>
    </x:row>
    <x:row r="54">
      <x:c r="A54" s="38" t="str">
        <x:v>7月30日现场数据</x:v>
      </x:c>
      <x:c r="B54" s="39" t="str">
        <x:v>2026-08-02T15:00:00</x:v>
      </x:c>
      <x:c r="C54" s="39" t="str">
        <x:v>2026-08-02T16:00:00</x:v>
      </x:c>
      <x:c r="D54" s="40" t="n">
        <x:v>0.020631958677248843</x:v>
      </x:c>
      <x:c r="E54" s="40" t="n">
        <x:v>0.013599216938018799</x:v>
      </x:c>
      <x:c r="F54" s="40" t="n">
        <x:v>0.013702765107154846</x:v>
      </x:c>
      <x:c r="G54" s="40" t="n">
        <x:v>0.0056780924413272855</x:v>
      </x:c>
      <x:c r="H54" s="40" t="n">
        <x:f>E54-D54</x:f>
        <x:v>-0.007032741739230044</x:v>
      </x:c>
      <x:c r="I54" s="40" t="n">
        <x:f>ABS(H54)</x:f>
        <x:v>0.007032741739230044</x:v>
      </x:c>
      <x:c r="J54" s="40" t="n">
        <x:f>H54^2</x:f>
        <x:v>0.000049459456370708424</x:v>
      </x:c>
      <x:c r="K54" s="40" t="n">
        <x:f>F54-D54</x:f>
        <x:v>-0.0069291935700939965</x:v>
      </x:c>
      <x:c r="L54" s="40" t="n">
        <x:f>ABS(K54)</x:f>
        <x:v>0.0069291935700939965</x:v>
      </x:c>
      <x:c r="M54" s="40" t="n">
        <x:f>G54-D54</x:f>
        <x:v>-0.014953866235921556</x:v>
      </x:c>
      <x:c r="N54" s="41" t="str">
        <x:v>nbeats-et0-v1</x:v>
      </x:c>
    </x:row>
    <x:row r="55">
      <x:c r="A55" s="38" t="str">
        <x:v>7月30日现场数据</x:v>
      </x:c>
      <x:c r="B55" s="39" t="str">
        <x:v>2026-08-02T16:00:00</x:v>
      </x:c>
      <x:c r="C55" s="39" t="str">
        <x:v>2026-08-02T17:00:00</x:v>
      </x:c>
      <x:c r="D55" s="40" t="n">
        <x:v>0.03149974730564895</x:v>
      </x:c>
      <x:c r="E55" s="40" t="n">
        <x:v>0.003527536988258362</x:v>
      </x:c>
      <x:c r="F55" s="40" t="n">
        <x:v>0</x:v>
      </x:c>
      <x:c r="G55" s="40" t="n">
        <x:v>0.020631958677248843</x:v>
      </x:c>
      <x:c r="H55" s="40" t="n">
        <x:f>E55-D55</x:f>
        <x:v>-0.02797221031739059</x:v>
      </x:c>
      <x:c r="I55" s="40" t="n">
        <x:f>ABS(H55)</x:f>
        <x:v>0.02797221031739059</x:v>
      </x:c>
      <x:c r="J55" s="40" t="n">
        <x:f>H55^2</x:f>
        <x:v>0.0007824445500403326</x:v>
      </x:c>
      <x:c r="K55" s="40" t="n">
        <x:f>F55-D55</x:f>
        <x:v>-0.03149974730564895</x:v>
      </x:c>
      <x:c r="L55" s="40" t="n">
        <x:f>ABS(K55)</x:f>
        <x:v>0.03149974730564895</x:v>
      </x:c>
      <x:c r="M55" s="40" t="n">
        <x:f>G55-D55</x:f>
        <x:v>-0.01086778862840011</x:v>
      </x:c>
      <x:c r="N55" s="41" t="str">
        <x:v>nbeats-et0-v1</x:v>
      </x:c>
    </x:row>
    <x:row r="56">
      <x:c r="A56" s="38" t="str">
        <x:v>7月30日现场数据</x:v>
      </x:c>
      <x:c r="B56" s="39" t="str">
        <x:v>2026-08-02T17:00:00</x:v>
      </x:c>
      <x:c r="C56" s="39" t="str">
        <x:v>2026-08-02T18:00:00</x:v>
      </x:c>
      <x:c r="D56" s="40" t="n">
        <x:v>0.005995685762063575</x:v>
      </x:c>
      <x:c r="E56" s="40" t="n">
        <x:v>0.01990044116973877</x:v>
      </x:c>
      <x:c r="F56" s="40" t="n">
        <x:v>0.017713651061058044</x:v>
      </x:c>
      <x:c r="G56" s="40" t="n">
        <x:v>0.03149974730564895</x:v>
      </x:c>
      <x:c r="H56" s="40" t="n">
        <x:f>E56-D56</x:f>
        <x:v>0.013904755407675193</x:v>
      </x:c>
      <x:c r="I56" s="40" t="n">
        <x:f>ABS(H56)</x:f>
        <x:v>0.013904755407675193</x:v>
      </x:c>
      <x:c r="J56" s="40" t="n">
        <x:f>H56^2</x:f>
        <x:v>0.00019334222294727253</x:v>
      </x:c>
      <x:c r="K56" s="40" t="n">
        <x:f>F56-D56</x:f>
        <x:v>0.011717965298994468</x:v>
      </x:c>
      <x:c r="L56" s="40" t="n">
        <x:f>ABS(K56)</x:f>
        <x:v>0.011717965298994468</x:v>
      </x:c>
      <x:c r="M56" s="40" t="n">
        <x:f>G56-D56</x:f>
        <x:v>0.025504061543585376</x:v>
      </x:c>
      <x:c r="N56" s="41" t="str">
        <x:v>nbeats-et0-v1</x:v>
      </x:c>
    </x:row>
    <x:row r="57">
      <x:c r="A57" s="38" t="str">
        <x:v>7月30日现场数据</x:v>
      </x:c>
      <x:c r="B57" s="39" t="str">
        <x:v>2026-08-02T18:00:00</x:v>
      </x:c>
      <x:c r="C57" s="39" t="str">
        <x:v>2026-08-02T19:00:00</x:v>
      </x:c>
      <x:c r="D57" s="40" t="n">
        <x:v>0</x:v>
      </x:c>
      <x:c r="E57" s="40" t="n">
        <x:v>0.017740249633789062</x:v>
      </x:c>
      <x:c r="F57" s="40" t="n">
        <x:v>0.017773374915122986</x:v>
      </x:c>
      <x:c r="G57" s="40" t="n">
        <x:v>0.005995685762063575</x:v>
      </x:c>
      <x:c r="H57" s="40" t="n">
        <x:f>E57-D57</x:f>
        <x:v>0.017740249633789062</x:v>
      </x:c>
      <x:c r="I57" s="40" t="n">
        <x:f>ABS(H57)</x:f>
        <x:v>0.017740249633789062</x:v>
      </x:c>
      <x:c r="J57" s="40" t="n">
        <x:f>H57^2</x:f>
        <x:v>0.00031471645706915297</x:v>
      </x:c>
      <x:c r="K57" s="40" t="n">
        <x:f>F57-D57</x:f>
        <x:v>0.017773374915122986</x:v>
      </x:c>
      <x:c r="L57" s="40" t="n">
        <x:f>ABS(K57)</x:f>
        <x:v>0.017773374915122986</x:v>
      </x:c>
      <x:c r="M57" s="40" t="n">
        <x:f>G57-D57</x:f>
        <x:v>0.005995685762063575</x:v>
      </x:c>
      <x:c r="N57" s="41" t="str">
        <x:v>nbeats-et0-v1</x:v>
      </x:c>
    </x:row>
    <x:row r="58">
      <x:c r="A58" s="38" t="str">
        <x:v>7月30日现场数据</x:v>
      </x:c>
      <x:c r="B58" s="39" t="str">
        <x:v>2026-08-02T19:00:00</x:v>
      </x:c>
      <x:c r="C58" s="39" t="str">
        <x:v>2026-08-02T20:00:00</x:v>
      </x:c>
      <x:c r="D58" s="40" t="n">
        <x:v>0.000366435310587631</x:v>
      </x:c>
      <x:c r="E58" s="40" t="n">
        <x:v>0.015736699104309082</x:v>
      </x:c>
      <x:c r="F58" s="40" t="n">
        <x:v>0.01166011393070221</x:v>
      </x:c>
      <x:c r="G58" s="40" t="n">
        <x:v>0</x:v>
      </x:c>
      <x:c r="H58" s="40" t="n">
        <x:f>E58-D58</x:f>
        <x:v>0.015370263793721452</x:v>
      </x:c>
      <x:c r="I58" s="40" t="n">
        <x:f>ABS(H58)</x:f>
        <x:v>0.015370263793721452</x:v>
      </x:c>
      <x:c r="J58" s="40" t="n">
        <x:f>H58^2</x:f>
        <x:v>0.00023624500908858457</x:v>
      </x:c>
      <x:c r="K58" s="40" t="n">
        <x:f>F58-D58</x:f>
        <x:v>0.01129367862011458</x:v>
      </x:c>
      <x:c r="L58" s="40" t="n">
        <x:f>ABS(K58)</x:f>
        <x:v>0.01129367862011458</x:v>
      </x:c>
      <x:c r="M58" s="40" t="n">
        <x:f>G58-D58</x:f>
        <x:v>-0.000366435310587631</x:v>
      </x:c>
      <x:c r="N58" s="41" t="str">
        <x:v>nbeats-et0-v1</x:v>
      </x:c>
    </x:row>
    <x:row r="59">
      <x:c r="A59" s="38" t="str">
        <x:v>7月30日现场数据</x:v>
      </x:c>
      <x:c r="B59" s="39" t="str">
        <x:v>2026-08-02T20:00:00</x:v>
      </x:c>
      <x:c r="C59" s="39" t="str">
        <x:v>2026-08-02T21:00:00</x:v>
      </x:c>
      <x:c r="D59" s="40" t="n">
        <x:v>0.005177846887664752</x:v>
      </x:c>
      <x:c r="E59" s="40" t="n">
        <x:v>0.018362998962402344</x:v>
      </x:c>
      <x:c r="F59" s="40" t="n">
        <x:v>0.02472633123397827</x:v>
      </x:c>
      <x:c r="G59" s="40" t="n">
        <x:v>0.000366435310587631</x:v>
      </x:c>
      <x:c r="H59" s="40" t="n">
        <x:f>E59-D59</x:f>
        <x:v>0.013185152074737591</x:v>
      </x:c>
      <x:c r="I59" s="40" t="n">
        <x:f>ABS(H59)</x:f>
        <x:v>0.013185152074737591</x:v>
      </x:c>
      <x:c r="J59" s="40" t="n">
        <x:f>H59^2</x:f>
        <x:v>0.000173848235233957</x:v>
      </x:c>
      <x:c r="K59" s="40" t="n">
        <x:f>F59-D59</x:f>
        <x:v>0.019548484346313517</x:v>
      </x:c>
      <x:c r="L59" s="40" t="n">
        <x:f>ABS(K59)</x:f>
        <x:v>0.019548484346313517</x:v>
      </x:c>
      <x:c r="M59" s="40" t="n">
        <x:f>G59-D59</x:f>
        <x:v>-0.004811411577077121</x:v>
      </x:c>
      <x:c r="N59" s="41" t="str">
        <x:v>nbeats-et0-v1</x:v>
      </x:c>
    </x:row>
    <x:row r="60">
      <x:c r="A60" s="38" t="str">
        <x:v>7月30日现场数据</x:v>
      </x:c>
      <x:c r="B60" s="39" t="str">
        <x:v>2026-08-02T21:00:00</x:v>
      </x:c>
      <x:c r="C60" s="39" t="str">
        <x:v>2026-08-02T22:00:00</x:v>
      </x:c>
      <x:c r="D60" s="40" t="n">
        <x:v>0</x:v>
      </x:c>
      <x:c r="E60" s="40" t="n">
        <x:v>0</x:v>
      </x:c>
      <x:c r="F60" s="40" t="n">
        <x:v>0</x:v>
      </x:c>
      <x:c r="G60" s="40" t="n">
        <x:v>0.005177846887664752</x:v>
      </x:c>
      <x:c r="H60" s="40" t="n">
        <x:f>E60-D60</x:f>
        <x:v>0</x:v>
      </x:c>
      <x:c r="I60" s="40" t="n">
        <x:f>ABS(H60)</x:f>
        <x:v>0</x:v>
      </x:c>
      <x:c r="J60" s="40" t="n">
        <x:f>H60^2</x:f>
        <x:v>0</x:v>
      </x:c>
      <x:c r="K60" s="40" t="n">
        <x:f>F60-D60</x:f>
        <x:v>0</x:v>
      </x:c>
      <x:c r="L60" s="40" t="n">
        <x:f>ABS(K60)</x:f>
        <x:v>0</x:v>
      </x:c>
      <x:c r="M60" s="40" t="n">
        <x:f>G60-D60</x:f>
        <x:v>0.005177846887664752</x:v>
      </x:c>
      <x:c r="N60" s="41" t="str">
        <x:v>nbeats-et0-v1</x:v>
      </x:c>
    </x:row>
    <x:row r="61">
      <x:c r="A61" s="38" t="str">
        <x:v>7月30日现场数据</x:v>
      </x:c>
      <x:c r="B61" s="39" t="str">
        <x:v>2026-08-02T22:00:00</x:v>
      </x:c>
      <x:c r="C61" s="39" t="str">
        <x:v>2026-08-02T23:00:00</x:v>
      </x:c>
      <x:c r="D61" s="40" t="n">
        <x:v>0</x:v>
      </x:c>
      <x:c r="E61" s="40" t="n">
        <x:v>0</x:v>
      </x:c>
      <x:c r="F61" s="40" t="n">
        <x:v>0</x:v>
      </x:c>
      <x:c r="G61" s="40" t="n">
        <x:v>0</x:v>
      </x:c>
      <x:c r="H61" s="40" t="n">
        <x:f>E61-D61</x:f>
        <x:v>0</x:v>
      </x:c>
      <x:c r="I61" s="40" t="n">
        <x:f>ABS(H61)</x:f>
        <x:v>0</x:v>
      </x:c>
      <x:c r="J61" s="40" t="n">
        <x:f>H61^2</x:f>
        <x:v>0</x:v>
      </x:c>
      <x:c r="K61" s="40" t="n">
        <x:f>F61-D61</x:f>
        <x:v>0</x:v>
      </x:c>
      <x:c r="L61" s="40" t="n">
        <x:f>ABS(K61)</x:f>
        <x:v>0</x:v>
      </x:c>
      <x:c r="M61" s="40" t="n">
        <x:f>G61-D61</x:f>
        <x:v>0</x:v>
      </x:c>
      <x:c r="N61" s="41" t="str">
        <x:v>nbeats-et0-v1</x:v>
      </x:c>
    </x:row>
    <x:row r="62">
      <x:c r="A62" s="38" t="str">
        <x:v>7月30日现场数据</x:v>
      </x:c>
      <x:c r="B62" s="39" t="str">
        <x:v>2026-08-02T23:00:00</x:v>
      </x:c>
      <x:c r="C62" s="39" t="str">
        <x:v>2026-08-03T00:00:00</x:v>
      </x:c>
      <x:c r="D62" s="40" t="n">
        <x:v>0</x:v>
      </x:c>
      <x:c r="E62" s="40" t="n">
        <x:v>0.026698008179664612</x:v>
      </x:c>
      <x:c r="F62" s="40" t="n">
        <x:v>0.03327014297246933</x:v>
      </x:c>
      <x:c r="G62" s="40" t="n">
        <x:v>0</x:v>
      </x:c>
      <x:c r="H62" s="40" t="n">
        <x:f>E62-D62</x:f>
        <x:v>0.026698008179664612</x:v>
      </x:c>
      <x:c r="I62" s="40" t="n">
        <x:f>ABS(H62)</x:f>
        <x:v>0.026698008179664612</x:v>
      </x:c>
      <x:c r="J62" s="40" t="n">
        <x:f>H62^2</x:f>
        <x:v>0.0007127836407614385</x:v>
      </x:c>
      <x:c r="K62" s="40" t="n">
        <x:f>F62-D62</x:f>
        <x:v>0.03327014297246933</x:v>
      </x:c>
      <x:c r="L62" s="40" t="n">
        <x:f>ABS(K62)</x:f>
        <x:v>0.03327014297246933</x:v>
      </x:c>
      <x:c r="M62" s="40" t="n">
        <x:f>G62-D62</x:f>
        <x:v>0</x:v>
      </x:c>
      <x:c r="N62" s="41" t="str">
        <x:v>nbeats-et0-v1</x:v>
      </x:c>
    </x:row>
    <x:row r="63">
      <x:c r="A63" s="38" t="str">
        <x:v>7月30日现场数据</x:v>
      </x:c>
      <x:c r="B63" s="39" t="str">
        <x:v>2026-08-03T00:00:00</x:v>
      </x:c>
      <x:c r="C63" s="39" t="str">
        <x:v>2026-08-03T01:00:00</x:v>
      </x:c>
      <x:c r="D63" s="40" t="n">
        <x:v>0.004377849767579975</x:v>
      </x:c>
      <x:c r="E63" s="40" t="n">
        <x:v>0.034496597945690155</x:v>
      </x:c>
      <x:c r="F63" s="40" t="n">
        <x:v>0.03862498700618744</x:v>
      </x:c>
      <x:c r="G63" s="40" t="n">
        <x:v>0</x:v>
      </x:c>
      <x:c r="H63" s="40" t="n">
        <x:f>E63-D63</x:f>
        <x:v>0.03011874817811018</x:v>
      </x:c>
      <x:c r="I63" s="40" t="n">
        <x:f>ABS(H63)</x:f>
        <x:v>0.03011874817811018</x:v>
      </x:c>
      <x:c r="J63" s="40" t="n">
        <x:f>H63^2</x:f>
        <x:v>0.0009071389918164153</x:v>
      </x:c>
      <x:c r="K63" s="40" t="n">
        <x:f>F63-D63</x:f>
        <x:v>0.034247137238607464</x:v>
      </x:c>
      <x:c r="L63" s="40" t="n">
        <x:f>ABS(K63)</x:f>
        <x:v>0.034247137238607464</x:v>
      </x:c>
      <x:c r="M63" s="40" t="n">
        <x:f>G63-D63</x:f>
        <x:v>-0.004377849767579975</x:v>
      </x:c>
      <x:c r="N63" s="41" t="str">
        <x:v>nbeats-et0-v1</x:v>
      </x:c>
    </x:row>
    <x:row r="64">
      <x:c r="A64" s="38" t="str">
        <x:v>7月30日现场数据</x:v>
      </x:c>
      <x:c r="B64" s="39" t="str">
        <x:v>2026-08-03T01:00:00</x:v>
      </x:c>
      <x:c r="C64" s="39" t="str">
        <x:v>2026-08-03T02:00:00</x:v>
      </x:c>
      <x:c r="D64" s="40" t="n">
        <x:v>0</x:v>
      </x:c>
      <x:c r="E64" s="40" t="n">
        <x:v>0.032677315175533295</x:v>
      </x:c>
      <x:c r="F64" s="40" t="n">
        <x:v>0.032207608222961426</x:v>
      </x:c>
      <x:c r="G64" s="40" t="n">
        <x:v>0.004377849767579975</x:v>
      </x:c>
      <x:c r="H64" s="40" t="n">
        <x:f>E64-D64</x:f>
        <x:v>0.032677315175533295</x:v>
      </x:c>
      <x:c r="I64" s="40" t="n">
        <x:f>ABS(H64)</x:f>
        <x:v>0.032677315175533295</x:v>
      </x:c>
      <x:c r="J64" s="40" t="n">
        <x:f>H64^2</x:f>
        <x:v>0.0010678069270811386</x:v>
      </x:c>
      <x:c r="K64" s="40" t="n">
        <x:f>F64-D64</x:f>
        <x:v>0.032207608222961426</x:v>
      </x:c>
      <x:c r="L64" s="40" t="n">
        <x:f>ABS(K64)</x:f>
        <x:v>0.032207608222961426</x:v>
      </x:c>
      <x:c r="M64" s="40" t="n">
        <x:f>G64-D64</x:f>
        <x:v>0.004377849767579975</x:v>
      </x:c>
      <x:c r="N64" s="41" t="str">
        <x:v>nbeats-et0-v1</x:v>
      </x:c>
    </x:row>
    <x:row r="65">
      <x:c r="A65" s="38" t="str">
        <x:v>7月30日现场数据</x:v>
      </x:c>
      <x:c r="B65" s="39" t="str">
        <x:v>2026-08-03T02:00:00</x:v>
      </x:c>
      <x:c r="C65" s="39" t="str">
        <x:v>2026-08-03T03:00:00</x:v>
      </x:c>
      <x:c r="D65" s="40" t="n">
        <x:v>0</x:v>
      </x:c>
      <x:c r="E65" s="40" t="n">
        <x:v>0.016772687435150146</x:v>
      </x:c>
      <x:c r="F65" s="40" t="n">
        <x:v>0.020485252141952515</x:v>
      </x:c>
      <x:c r="G65" s="40" t="n">
        <x:v>0</x:v>
      </x:c>
      <x:c r="H65" s="40" t="n">
        <x:f>E65-D65</x:f>
        <x:v>0.016772687435150146</x:v>
      </x:c>
      <x:c r="I65" s="40" t="n">
        <x:f>ABS(H65)</x:f>
        <x:v>0.016772687435150146</x:v>
      </x:c>
      <x:c r="J65" s="40" t="n">
        <x:f>H65^2</x:f>
        <x:v>0.0002813230437972436</x:v>
      </x:c>
      <x:c r="K65" s="40" t="n">
        <x:f>F65-D65</x:f>
        <x:v>0.020485252141952515</x:v>
      </x:c>
      <x:c r="L65" s="40" t="n">
        <x:f>ABS(K65)</x:f>
        <x:v>0.020485252141952515</x:v>
      </x:c>
      <x:c r="M65" s="40" t="n">
        <x:f>G65-D65</x:f>
        <x:v>0</x:v>
      </x:c>
      <x:c r="N65" s="41" t="str">
        <x:v>nbeats-et0-v1</x:v>
      </x:c>
    </x:row>
    <x:row r="66">
      <x:c r="A66" s="38" t="str">
        <x:v>7月30日现场数据</x:v>
      </x:c>
      <x:c r="B66" s="39" t="str">
        <x:v>2026-08-03T03:00:00</x:v>
      </x:c>
      <x:c r="C66" s="39" t="str">
        <x:v>2026-08-03T04:00:00</x:v>
      </x:c>
      <x:c r="D66" s="40" t="n">
        <x:v>0.004760919856254144</x:v>
      </x:c>
      <x:c r="E66" s="40" t="n">
        <x:v>0.0551503449678421</x:v>
      </x:c>
      <x:c r="F66" s="40" t="n">
        <x:v>0.06513159722089767</x:v>
      </x:c>
      <x:c r="G66" s="40" t="n">
        <x:v>0</x:v>
      </x:c>
      <x:c r="H66" s="40" t="n">
        <x:f>E66-D66</x:f>
        <x:v>0.050389425111587956</x:v>
      </x:c>
      <x:c r="I66" s="40" t="n">
        <x:f>ABS(H66)</x:f>
        <x:v>0.050389425111587956</x:v>
      </x:c>
      <x:c r="J66" s="40" t="n">
        <x:f>H66^2</x:f>
        <x:v>0.002539094163076331</x:v>
      </x:c>
      <x:c r="K66" s="40" t="n">
        <x:f>F66-D66</x:f>
        <x:v>0.06037067736464353</x:v>
      </x:c>
      <x:c r="L66" s="40" t="n">
        <x:f>ABS(K66)</x:f>
        <x:v>0.06037067736464353</x:v>
      </x:c>
      <x:c r="M66" s="40" t="n">
        <x:f>G66-D66</x:f>
        <x:v>-0.004760919856254144</x:v>
      </x:c>
      <x:c r="N66" s="41" t="str">
        <x:v>nbeats-et0-v1</x:v>
      </x:c>
    </x:row>
    <x:row r="67">
      <x:c r="A67" s="38" t="str">
        <x:v>7月30日现场数据</x:v>
      </x:c>
      <x:c r="B67" s="39" t="str">
        <x:v>2026-08-03T04:00:00</x:v>
      </x:c>
      <x:c r="C67" s="39" t="str">
        <x:v>2026-08-03T05:00:00</x:v>
      </x:c>
      <x:c r="D67" s="40" t="n">
        <x:v>0.007509607767894066</x:v>
      </x:c>
      <x:c r="E67" s="40" t="n">
        <x:v>0.06087873876094818</x:v>
      </x:c>
      <x:c r="F67" s="40" t="n">
        <x:v>0.06850776821374893</x:v>
      </x:c>
      <x:c r="G67" s="40" t="n">
        <x:v>0.004760919856254144</x:v>
      </x:c>
      <x:c r="H67" s="40" t="n">
        <x:f>E67-D67</x:f>
        <x:v>0.05336913099305411</x:v>
      </x:c>
      <x:c r="I67" s="40" t="n">
        <x:f>ABS(H67)</x:f>
        <x:v>0.05336913099305411</x:v>
      </x:c>
      <x:c r="J67" s="40" t="n">
        <x:f>H67^2</x:f>
        <x:v>0.002848264142953769</x:v>
      </x:c>
      <x:c r="K67" s="40" t="n">
        <x:f>F67-D67</x:f>
        <x:v>0.06099816044585486</x:v>
      </x:c>
      <x:c r="L67" s="40" t="n">
        <x:f>ABS(K67)</x:f>
        <x:v>0.06099816044585486</x:v>
      </x:c>
      <x:c r="M67" s="40" t="n">
        <x:f>G67-D67</x:f>
        <x:v>-0.002748687911639922</x:v>
      </x:c>
      <x:c r="N67" s="41" t="str">
        <x:v>nbeats-et0-v1</x:v>
      </x:c>
    </x:row>
    <x:row r="68">
      <x:c r="A68" s="38" t="str">
        <x:v>7月30日现场数据</x:v>
      </x:c>
      <x:c r="B68" s="39" t="str">
        <x:v>2026-08-03T05:00:00</x:v>
      </x:c>
      <x:c r="C68" s="39" t="str">
        <x:v>2026-08-03T06:00:00</x:v>
      </x:c>
      <x:c r="D68" s="40" t="n">
        <x:v>0.033006182933156644</x:v>
      </x:c>
      <x:c r="E68" s="40" t="n">
        <x:v>0.04021085798740387</x:v>
      </x:c>
      <x:c r="F68" s="40" t="n">
        <x:v>0.04788389056921005</x:v>
      </x:c>
      <x:c r="G68" s="40" t="n">
        <x:v>0.007509607767894066</x:v>
      </x:c>
      <x:c r="H68" s="40" t="n">
        <x:f>E68-D68</x:f>
        <x:v>0.007204675054247225</x:v>
      </x:c>
      <x:c r="I68" s="40" t="n">
        <x:f>ABS(H68)</x:f>
        <x:v>0.007204675054247225</x:v>
      </x:c>
      <x:c r="J68" s="40" t="n">
        <x:f>H68^2</x:f>
        <x:v>0.00005190734263729226</x:v>
      </x:c>
      <x:c r="K68" s="40" t="n">
        <x:f>F68-D68</x:f>
        <x:v>0.014877707636053408</x:v>
      </x:c>
      <x:c r="L68" s="40" t="n">
        <x:f>ABS(K68)</x:f>
        <x:v>0.014877707636053408</x:v>
      </x:c>
      <x:c r="M68" s="40" t="n">
        <x:f>G68-D68</x:f>
        <x:v>-0.02549657516526258</x:v>
      </x:c>
      <x:c r="N68" s="41" t="str">
        <x:v>nbeats-et0-v1</x:v>
      </x:c>
    </x:row>
    <x:row r="69">
      <x:c r="A69" s="38" t="str">
        <x:v>7月30日现场数据</x:v>
      </x:c>
      <x:c r="B69" s="39" t="str">
        <x:v>2026-08-03T06:00:00</x:v>
      </x:c>
      <x:c r="C69" s="39" t="str">
        <x:v>2026-08-03T07:00:00</x:v>
      </x:c>
      <x:c r="D69" s="40" t="n">
        <x:v>0.043231222354947606</x:v>
      </x:c>
      <x:c r="E69" s="40" t="n">
        <x:v>0.08443675190210342</x:v>
      </x:c>
      <x:c r="F69" s="40" t="n">
        <x:v>0.10924949496984482</x:v>
      </x:c>
      <x:c r="G69" s="40" t="n">
        <x:v>0.033006182933156644</x:v>
      </x:c>
      <x:c r="H69" s="40" t="n">
        <x:f>E69-D69</x:f>
        <x:v>0.04120552954715582</x:v>
      </x:c>
      <x:c r="I69" s="40" t="n">
        <x:f>ABS(H69)</x:f>
        <x:v>0.04120552954715582</x:v>
      </x:c>
      <x:c r="J69" s="40" t="n">
        <x:f>H69^2</x:f>
        <x:v>0.0016978956652615312</x:v>
      </x:c>
      <x:c r="K69" s="40" t="n">
        <x:f>F69-D69</x:f>
        <x:v>0.0660182726148972</x:v>
      </x:c>
      <x:c r="L69" s="40" t="n">
        <x:f>ABS(K69)</x:f>
        <x:v>0.0660182726148972</x:v>
      </x:c>
      <x:c r="M69" s="40" t="n">
        <x:f>G69-D69</x:f>
        <x:v>-0.010225039421790962</x:v>
      </x:c>
      <x:c r="N69" s="41" t="str">
        <x:v>nbeats-et0-v1</x:v>
      </x:c>
    </x:row>
    <x:row r="70">
      <x:c r="A70" s="38" t="str">
        <x:v>7月30日现场数据</x:v>
      </x:c>
      <x:c r="B70" s="39" t="str">
        <x:v>2026-08-03T07:00:00</x:v>
      </x:c>
      <x:c r="C70" s="39" t="str">
        <x:v>2026-08-03T08:00:00</x:v>
      </x:c>
      <x:c r="D70" s="40" t="n">
        <x:v>0.4947205899453184</x:v>
      </x:c>
      <x:c r="E70" s="40" t="n">
        <x:v>0.06443486362695694</x:v>
      </x:c>
      <x:c r="F70" s="40" t="n">
        <x:v>0.0844263806939125</x:v>
      </x:c>
      <x:c r="G70" s="40" t="n">
        <x:v>0.043231222354947606</x:v>
      </x:c>
      <x:c r="H70" s="40" t="n">
        <x:f>E70-D70</x:f>
        <x:v>-0.4302857263183615</x:v>
      </x:c>
      <x:c r="I70" s="40" t="n">
        <x:f>ABS(H70)</x:f>
        <x:v>0.4302857263183615</x:v>
      </x:c>
      <x:c r="J70" s="40" t="n">
        <x:f>H70^2</x:f>
        <x:v>0.1851458062733199</x:v>
      </x:c>
      <x:c r="K70" s="40" t="n">
        <x:f>F70-D70</x:f>
        <x:v>-0.4102942092514059</x:v>
      </x:c>
      <x:c r="L70" s="40" t="n">
        <x:f>ABS(K70)</x:f>
        <x:v>0.4102942092514059</x:v>
      </x:c>
      <x:c r="M70" s="40" t="n">
        <x:f>G70-D70</x:f>
        <x:v>-0.45148936759037084</x:v>
      </x:c>
      <x:c r="N70" s="41" t="str">
        <x:v>nbeats-et0-v1</x:v>
      </x:c>
    </x:row>
    <x:row r="71">
      <x:c r="A71" s="38" t="str">
        <x:v>7月30日现场数据</x:v>
      </x:c>
      <x:c r="B71" s="39" t="str">
        <x:v>2026-08-03T08:00:00</x:v>
      </x:c>
      <x:c r="C71" s="39" t="str">
        <x:v>2026-08-03T09:00:00</x:v>
      </x:c>
      <x:c r="D71" s="40" t="n">
        <x:v>0.9223690097552109</x:v>
      </x:c>
      <x:c r="E71" s="40" t="n">
        <x:v>0.3501620292663574</x:v>
      </x:c>
      <x:c r="F71" s="40" t="n">
        <x:v>0.45815032720565796</x:v>
      </x:c>
      <x:c r="G71" s="40" t="n">
        <x:v>0.4947205899453184</x:v>
      </x:c>
      <x:c r="H71" s="40" t="n">
        <x:f>E71-D71</x:f>
        <x:v>-0.5722069804888534</x:v>
      </x:c>
      <x:c r="I71" s="40" t="n">
        <x:f>ABS(H71)</x:f>
        <x:v>0.5722069804888534</x:v>
      </x:c>
      <x:c r="J71" s="40" t="n">
        <x:f>H71^2</x:f>
        <x:v>0.32742082852017107</x:v>
      </x:c>
      <x:c r="K71" s="40" t="n">
        <x:f>F71-D71</x:f>
        <x:v>-0.4642186825495529</x:v>
      </x:c>
      <x:c r="L71" s="40" t="n">
        <x:f>ABS(K71)</x:f>
        <x:v>0.4642186825495529</x:v>
      </x:c>
      <x:c r="M71" s="40" t="n">
        <x:f>G71-D71</x:f>
        <x:v>-0.42764841980989243</x:v>
      </x:c>
      <x:c r="N71" s="41" t="str">
        <x:v>nbeats-et0-v1</x:v>
      </x:c>
    </x:row>
    <x:row r="72">
      <x:c r="A72" s="38" t="str">
        <x:v>7月30日现场数据</x:v>
      </x:c>
      <x:c r="B72" s="39" t="str">
        <x:v>2026-08-03T09:00:00</x:v>
      </x:c>
      <x:c r="C72" s="39" t="str">
        <x:v>2026-08-03T10:00:00</x:v>
      </x:c>
      <x:c r="D72" s="40" t="n">
        <x:v>0.18590534954555363</x:v>
      </x:c>
      <x:c r="E72" s="40" t="n">
        <x:v>0.7348142266273499</x:v>
      </x:c>
      <x:c r="F72" s="40" t="n">
        <x:v>0.9262533187866211</x:v>
      </x:c>
      <x:c r="G72" s="40" t="n">
        <x:v>0.9223690097552109</x:v>
      </x:c>
      <x:c r="H72" s="40" t="n">
        <x:f>E72-D72</x:f>
        <x:v>0.5489088770817963</x:v>
      </x:c>
      <x:c r="I72" s="40" t="n">
        <x:f>ABS(H72)</x:f>
        <x:v>0.5489088770817963</x:v>
      </x:c>
      <x:c r="J72" s="40" t="n">
        <x:f>H72^2</x:f>
        <x:v>0.3013009553391985</x:v>
      </x:c>
      <x:c r="K72" s="40" t="n">
        <x:f>F72-D72</x:f>
        <x:v>0.7403479692410675</x:v>
      </x:c>
      <x:c r="L72" s="40" t="n">
        <x:f>ABS(K72)</x:f>
        <x:v>0.7403479692410675</x:v>
      </x:c>
      <x:c r="M72" s="40" t="n">
        <x:f>G72-D72</x:f>
        <x:v>0.7364636602096573</x:v>
      </x:c>
      <x:c r="N72" s="41" t="str">
        <x:v>nbeats-et0-v1</x:v>
      </x:c>
    </x:row>
    <x:row r="73">
      <x:c r="A73" s="38" t="str">
        <x:v>7月30日现场数据</x:v>
      </x:c>
      <x:c r="B73" s="39" t="str">
        <x:v>2026-08-03T10:00:00</x:v>
      </x:c>
      <x:c r="C73" s="39" t="str">
        <x:v>2026-08-03T11:00:00</x:v>
      </x:c>
      <x:c r="D73" s="40" t="n">
        <x:v>0.1724074192018989</x:v>
      </x:c>
      <x:c r="E73" s="40" t="n">
        <x:v>0.24444568157196045</x:v>
      </x:c>
      <x:c r="F73" s="40" t="n">
        <x:v>0.30900633335113525</x:v>
      </x:c>
      <x:c r="G73" s="40" t="n">
        <x:v>0.18590534954555363</x:v>
      </x:c>
      <x:c r="H73" s="40" t="n">
        <x:f>E73-D73</x:f>
        <x:v>0.07203826237006156</x:v>
      </x:c>
      <x:c r="I73" s="40" t="n">
        <x:f>ABS(H73)</x:f>
        <x:v>0.07203826237006156</x:v>
      </x:c>
      <x:c r="J73" s="40" t="n">
        <x:f>H73^2</x:f>
        <x:v>0.005189511245297827</x:v>
      </x:c>
      <x:c r="K73" s="40" t="n">
        <x:f>F73-D73</x:f>
        <x:v>0.13659891414923636</x:v>
      </x:c>
      <x:c r="L73" s="40" t="n">
        <x:f>ABS(K73)</x:f>
        <x:v>0.13659891414923636</x:v>
      </x:c>
      <x:c r="M73" s="40" t="n">
        <x:f>G73-D73</x:f>
        <x:v>0.013497930343654735</x:v>
      </x:c>
      <x:c r="N73" s="41" t="str">
        <x:v>nbeats-et0-v1</x:v>
      </x:c>
    </x:row>
    <x:row r="74">
      <x:c r="A74" s="38" t="str">
        <x:v>7月30日现场数据</x:v>
      </x:c>
      <x:c r="B74" s="39" t="str">
        <x:v>2026-08-03T11:00:00</x:v>
      </x:c>
      <x:c r="C74" s="39" t="str">
        <x:v>2026-08-03T12:00:00</x:v>
      </x:c>
      <x:c r="D74" s="40" t="n">
        <x:v>0.21615511609465884</x:v>
      </x:c>
      <x:c r="E74" s="40" t="n">
        <x:v>0.16660243272781372</x:v>
      </x:c>
      <x:c r="F74" s="40" t="n">
        <x:v>0.1926492303609848</x:v>
      </x:c>
      <x:c r="G74" s="40" t="n">
        <x:v>0.1724074192018989</x:v>
      </x:c>
      <x:c r="H74" s="40" t="n">
        <x:f>E74-D74</x:f>
        <x:v>-0.049552683366845124</x:v>
      </x:c>
      <x:c r="I74" s="40" t="n">
        <x:f>ABS(H74)</x:f>
        <x:v>0.049552683366845124</x:v>
      </x:c>
      <x:c r="J74" s="40" t="n">
        <x:f>H74^2</x:f>
        <x:v>0.0024554684288548095</x:v>
      </x:c>
      <x:c r="K74" s="40" t="n">
        <x:f>F74-D74</x:f>
        <x:v>-0.023505885733674042</x:v>
      </x:c>
      <x:c r="L74" s="40" t="n">
        <x:f>ABS(K74)</x:f>
        <x:v>0.023505885733674042</x:v>
      </x:c>
      <x:c r="M74" s="40" t="n">
        <x:f>G74-D74</x:f>
        <x:v>-0.04374769689275995</x:v>
      </x:c>
      <x:c r="N74" s="41" t="str">
        <x:v>nbeats-et0-v1</x:v>
      </x:c>
    </x:row>
    <x:row r="75">
      <x:c r="A75" s="38" t="str">
        <x:v>7月30日现场数据</x:v>
      </x:c>
      <x:c r="B75" s="39" t="str">
        <x:v>2026-08-03T12:00:00</x:v>
      </x:c>
      <x:c r="C75" s="39" t="str">
        <x:v>2026-08-03T13:00:00</x:v>
      </x:c>
      <x:c r="D75" s="40" t="n">
        <x:v>0.22314342564126186</x:v>
      </x:c>
      <x:c r="E75" s="40" t="n">
        <x:v>0.1603095978498459</x:v>
      </x:c>
      <x:c r="F75" s="40" t="n">
        <x:v>0.17581818997859955</x:v>
      </x:c>
      <x:c r="G75" s="40" t="n">
        <x:v>0.21615511609465884</x:v>
      </x:c>
      <x:c r="H75" s="40" t="n">
        <x:f>E75-D75</x:f>
        <x:v>-0.06283382779141597</x:v>
      </x:c>
      <x:c r="I75" s="40" t="n">
        <x:f>ABS(H75)</x:f>
        <x:v>0.06283382779141597</x:v>
      </x:c>
      <x:c r="J75" s="40" t="n">
        <x:f>H75^2</x:f>
        <x:v>0.003948089914921318</x:v>
      </x:c>
      <x:c r="K75" s="40" t="n">
        <x:f>F75-D75</x:f>
        <x:v>-0.04732523566266231</x:v>
      </x:c>
      <x:c r="L75" s="40" t="n">
        <x:f>ABS(K75)</x:f>
        <x:v>0.04732523566266231</x:v>
      </x:c>
      <x:c r="M75" s="40" t="n">
        <x:f>G75-D75</x:f>
        <x:v>-0.006988309546603011</x:v>
      </x:c>
      <x:c r="N75" s="41" t="str">
        <x:v>nbeats-et0-v1</x:v>
      </x:c>
    </x:row>
    <x:row r="76">
      <x:c r="A76" s="38" t="str">
        <x:v>7月30日现场数据</x:v>
      </x:c>
      <x:c r="B76" s="39" t="str">
        <x:v>2026-08-03T13:00:00</x:v>
      </x:c>
      <x:c r="C76" s="39" t="str">
        <x:v>2026-08-03T14:00:00</x:v>
      </x:c>
      <x:c r="D76" s="40" t="n">
        <x:v>0.17708295361790494</x:v>
      </x:c>
      <x:c r="E76" s="40" t="n">
        <x:v>0.1252039521932602</x:v>
      </x:c>
      <x:c r="F76" s="40" t="n">
        <x:v>0.14119048416614532</x:v>
      </x:c>
      <x:c r="G76" s="40" t="n">
        <x:v>0.22314342564126186</x:v>
      </x:c>
      <x:c r="H76" s="40" t="n">
        <x:f>E76-D76</x:f>
        <x:v>-0.051879001424644744</x:v>
      </x:c>
      <x:c r="I76" s="40" t="n">
        <x:f>ABS(H76)</x:f>
        <x:v>0.051879001424644744</x:v>
      </x:c>
      <x:c r="J76" s="40" t="n">
        <x:f>H76^2</x:f>
        <x:v>0.0026914307888182914</x:v>
      </x:c>
      <x:c r="K76" s="40" t="n">
        <x:f>F76-D76</x:f>
        <x:v>-0.03589246945175961</x:v>
      </x:c>
      <x:c r="L76" s="40" t="n">
        <x:f>ABS(K76)</x:f>
        <x:v>0.03589246945175961</x:v>
      </x:c>
      <x:c r="M76" s="40" t="n">
        <x:f>G76-D76</x:f>
        <x:v>0.04606047202335692</x:v>
      </x:c>
      <x:c r="N76" s="41" t="str">
        <x:v>nbeats-et0-v1</x:v>
      </x:c>
    </x:row>
    <x:row r="77">
      <x:c r="A77" s="38" t="str">
        <x:v>7月30日现场数据</x:v>
      </x:c>
      <x:c r="B77" s="39" t="str">
        <x:v>2026-08-03T14:00:00</x:v>
      </x:c>
      <x:c r="C77" s="39" t="str">
        <x:v>2026-08-03T15:00:00</x:v>
      </x:c>
      <x:c r="D77" s="40" t="n">
        <x:v>0.1776452420656282</x:v>
      </x:c>
      <x:c r="E77" s="40" t="n">
        <x:v>0.11668072640895844</x:v>
      </x:c>
      <x:c r="F77" s="40" t="n">
        <x:v>0.12181451916694641</x:v>
      </x:c>
      <x:c r="G77" s="40" t="n">
        <x:v>0.17708295361790494</x:v>
      </x:c>
      <x:c r="H77" s="40" t="n">
        <x:f>E77-D77</x:f>
        <x:v>-0.06096451565666977</x:v>
      </x:c>
      <x:c r="I77" s="40" t="n">
        <x:f>ABS(H77)</x:f>
        <x:v>0.06096451565666977</x:v>
      </x:c>
      <x:c r="J77" s="40" t="n">
        <x:f>H77^2</x:f>
        <x:v>0.003716672169252334</x:v>
      </x:c>
      <x:c r="K77" s="40" t="n">
        <x:f>F77-D77</x:f>
        <x:v>-0.055830722898681795</x:v>
      </x:c>
      <x:c r="L77" s="40" t="n">
        <x:f>ABS(K77)</x:f>
        <x:v>0.055830722898681795</x:v>
      </x:c>
      <x:c r="M77" s="40" t="n">
        <x:f>G77-D77</x:f>
        <x:v>-0.0005622884477232692</x:v>
      </x:c>
      <x:c r="N77" s="41" t="str">
        <x:v>nbeats-et0-v1</x:v>
      </x:c>
    </x:row>
    <x:row r="78">
      <x:c r="A78" s="38" t="str">
        <x:v>7月30日现场数据</x:v>
      </x:c>
      <x:c r="B78" s="39" t="str">
        <x:v>2026-08-03T15:00:00</x:v>
      </x:c>
      <x:c r="C78" s="39" t="str">
        <x:v>2026-08-03T16:00:00</x:v>
      </x:c>
      <x:c r="D78" s="40" t="n">
        <x:v>0.18046404739042318</x:v>
      </x:c>
      <x:c r="E78" s="40" t="n">
        <x:v>0.1217714324593544</x:v>
      </x:c>
      <x:c r="F78" s="40" t="n">
        <x:v>0.1404113918542862</x:v>
      </x:c>
      <x:c r="G78" s="40" t="n">
        <x:v>0.1776452420656282</x:v>
      </x:c>
      <x:c r="H78" s="40" t="n">
        <x:f>E78-D78</x:f>
        <x:v>-0.05869261493106878</x:v>
      </x:c>
      <x:c r="I78" s="40" t="n">
        <x:f>ABS(H78)</x:f>
        <x:v>0.05869261493106878</x:v>
      </x:c>
      <x:c r="J78" s="40" t="n">
        <x:f>H78^2</x:f>
        <x:v>0.003444823047446718</x:v>
      </x:c>
      <x:c r="K78" s="40" t="n">
        <x:f>F78-D78</x:f>
        <x:v>-0.04005265553613699</x:v>
      </x:c>
      <x:c r="L78" s="40" t="n">
        <x:f>ABS(K78)</x:f>
        <x:v>0.04005265553613699</x:v>
      </x:c>
      <x:c r="M78" s="40" t="n">
        <x:f>G78-D78</x:f>
        <x:v>-0.0028188053247949763</x:v>
      </x:c>
      <x:c r="N78" s="41" t="str">
        <x:v>nbeats-et0-v1</x:v>
      </x:c>
    </x:row>
    <x:row r="79">
      <x:c r="A79" s="38" t="str">
        <x:v>7月30日现场数据</x:v>
      </x:c>
      <x:c r="B79" s="39" t="str">
        <x:v>2026-08-03T16:00:00</x:v>
      </x:c>
      <x:c r="C79" s="39" t="str">
        <x:v>2026-08-03T17:00:00</x:v>
      </x:c>
      <x:c r="D79" s="40" t="n">
        <x:v>0.04039238435335593</x:v>
      </x:c>
      <x:c r="E79" s="40" t="n">
        <x:v>0.10783480107784271</x:v>
      </x:c>
      <x:c r="F79" s="40" t="n">
        <x:v>0.13136115670204163</x:v>
      </x:c>
      <x:c r="G79" s="40" t="n">
        <x:v>0.18046404739042318</x:v>
      </x:c>
      <x:c r="H79" s="40" t="n">
        <x:f>E79-D79</x:f>
        <x:v>0.06744241672448678</x:v>
      </x:c>
      <x:c r="I79" s="40" t="n">
        <x:f>ABS(H79)</x:f>
        <x:v>0.06744241672448678</x:v>
      </x:c>
      <x:c r="J79" s="40" t="n">
        <x:f>H79^2</x:f>
        <x:v>0.004548479573639334</x:v>
      </x:c>
      <x:c r="K79" s="40" t="n">
        <x:f>F79-D79</x:f>
        <x:v>0.0909687723486857</x:v>
      </x:c>
      <x:c r="L79" s="40" t="n">
        <x:f>ABS(K79)</x:f>
        <x:v>0.0909687723486857</x:v>
      </x:c>
      <x:c r="M79" s="40" t="n">
        <x:f>G79-D79</x:f>
        <x:v>0.14007166303706725</x:v>
      </x:c>
      <x:c r="N79" s="41" t="str">
        <x:v>nbeats-et0-v1</x:v>
      </x:c>
    </x:row>
    <x:row r="80">
      <x:c r="A80" s="38" t="str">
        <x:v>7月30日现场数据</x:v>
      </x:c>
      <x:c r="B80" s="39" t="str">
        <x:v>2026-08-03T17:00:00</x:v>
      </x:c>
      <x:c r="C80" s="39" t="str">
        <x:v>2026-08-03T18:00:00</x:v>
      </x:c>
      <x:c r="D80" s="40" t="n">
        <x:v>0.00968909329120104</x:v>
      </x:c>
      <x:c r="E80" s="40" t="n">
        <x:v>0.017119690775871277</x:v>
      </x:c>
      <x:c r="F80" s="40" t="n">
        <x:v>0.031893856823444366</x:v>
      </x:c>
      <x:c r="G80" s="40" t="n">
        <x:v>0.04039238435335593</x:v>
      </x:c>
      <x:c r="H80" s="40" t="n">
        <x:f>E80-D80</x:f>
        <x:v>0.007430597484670237</x:v>
      </x:c>
      <x:c r="I80" s="40" t="n">
        <x:f>ABS(H80)</x:f>
        <x:v>0.007430597484670237</x:v>
      </x:c>
      <x:c r="J80" s="40" t="n">
        <x:f>H80^2</x:f>
        <x:v>0.00005521377897918765</x:v>
      </x:c>
      <x:c r="K80" s="40" t="n">
        <x:f>F80-D80</x:f>
        <x:v>0.022204763532243328</x:v>
      </x:c>
      <x:c r="L80" s="40" t="n">
        <x:f>ABS(K80)</x:f>
        <x:v>0.022204763532243328</x:v>
      </x:c>
      <x:c r="M80" s="40" t="n">
        <x:f>G80-D80</x:f>
        <x:v>0.030703291062154893</x:v>
      </x:c>
      <x:c r="N80" s="41" t="str">
        <x:v>nbeats-et0-v1</x:v>
      </x:c>
    </x:row>
    <x:row r="81">
      <x:c r="A81" s="38" t="str">
        <x:v>7月30日现场数据</x:v>
      </x:c>
      <x:c r="B81" s="39" t="str">
        <x:v>2026-08-03T18:00:00</x:v>
      </x:c>
      <x:c r="C81" s="39" t="str">
        <x:v>2026-08-03T19:00:00</x:v>
      </x:c>
      <x:c r="D81" s="40" t="n">
        <x:v>0.009105179655430664</x:v>
      </x:c>
      <x:c r="E81" s="40" t="n">
        <x:v>0.017290085554122925</x:v>
      </x:c>
      <x:c r="F81" s="40" t="n">
        <x:v>0.021748289465904236</x:v>
      </x:c>
      <x:c r="G81" s="40" t="n">
        <x:v>0.00968909329120104</x:v>
      </x:c>
      <x:c r="H81" s="40" t="n">
        <x:f>E81-D81</x:f>
        <x:v>0.00818490589869226</x:v>
      </x:c>
      <x:c r="I81" s="40" t="n">
        <x:f>ABS(H81)</x:f>
        <x:v>0.00818490589869226</x:v>
      </x:c>
      <x:c r="J81" s="40" t="n">
        <x:f>H81^2</x:f>
        <x:v>0.00006699268457044737</x:v>
      </x:c>
      <x:c r="K81" s="40" t="n">
        <x:f>F81-D81</x:f>
        <x:v>0.012643109810473572</x:v>
      </x:c>
      <x:c r="L81" s="40" t="n">
        <x:f>ABS(K81)</x:f>
        <x:v>0.012643109810473572</x:v>
      </x:c>
      <x:c r="M81" s="40" t="n">
        <x:f>G81-D81</x:f>
        <x:v>0.0005839136357703757</x:v>
      </x:c>
      <x:c r="N81" s="41" t="str">
        <x:v>nbeats-et0-v1</x:v>
      </x:c>
    </x:row>
    <x:row r="82">
      <x:c r="A82" s="38" t="str">
        <x:v>7月30日现场数据</x:v>
      </x:c>
      <x:c r="B82" s="39" t="str">
        <x:v>2026-08-03T19:00:00</x:v>
      </x:c>
      <x:c r="C82" s="39" t="str">
        <x:v>2026-08-03T20:00:00</x:v>
      </x:c>
      <x:c r="D82" s="40" t="n">
        <x:v>0.0009050643622320333</x:v>
      </x:c>
      <x:c r="E82" s="40" t="n">
        <x:v>0.02092602849006653</x:v>
      </x:c>
      <x:c r="F82" s="40" t="n">
        <x:v>0.017949461936950684</x:v>
      </x:c>
      <x:c r="G82" s="40" t="n">
        <x:v>0.009105179655430664</x:v>
      </x:c>
      <x:c r="H82" s="40" t="n">
        <x:f>E82-D82</x:f>
        <x:v>0.020020964127834495</x:v>
      </x:c>
      <x:c r="I82" s="40" t="n">
        <x:f>ABS(H82)</x:f>
        <x:v>0.020020964127834495</x:v>
      </x:c>
      <x:c r="J82" s="40" t="n">
        <x:f>H82^2</x:f>
        <x:v>0.0004008390046080357</x:v>
      </x:c>
      <x:c r="K82" s="40" t="n">
        <x:f>F82-D82</x:f>
        <x:v>0.01704439757471865</x:v>
      </x:c>
      <x:c r="L82" s="40" t="n">
        <x:f>ABS(K82)</x:f>
        <x:v>0.01704439757471865</x:v>
      </x:c>
      <x:c r="M82" s="40" t="n">
        <x:f>G82-D82</x:f>
        <x:v>0.008200115293198631</x:v>
      </x:c>
      <x:c r="N82" s="41" t="str">
        <x:v>nbeats-et0-v1</x:v>
      </x:c>
    </x:row>
    <x:row r="83">
      <x:c r="A83" s="38" t="str">
        <x:v>7月30日现场数据</x:v>
      </x:c>
      <x:c r="B83" s="39" t="str">
        <x:v>2026-08-03T20:00:00</x:v>
      </x:c>
      <x:c r="C83" s="39" t="str">
        <x:v>2026-08-03T21:00:00</x:v>
      </x:c>
      <x:c r="D83" s="40" t="n">
        <x:v>0.005467351687656168</x:v>
      </x:c>
      <x:c r="E83" s="40" t="n">
        <x:v>0.014265507459640503</x:v>
      </x:c>
      <x:c r="F83" s="40" t="n">
        <x:v>0.01808054745197296</x:v>
      </x:c>
      <x:c r="G83" s="40" t="n">
        <x:v>0.0009050643622320333</x:v>
      </x:c>
      <x:c r="H83" s="40" t="n">
        <x:f>E83-D83</x:f>
        <x:v>0.008798155771984336</x:v>
      </x:c>
      <x:c r="I83" s="40" t="n">
        <x:f>ABS(H83)</x:f>
        <x:v>0.008798155771984336</x:v>
      </x:c>
      <x:c r="J83" s="40" t="n">
        <x:f>H83^2</x:f>
        <x:v>0.00007740754498810129</x:v>
      </x:c>
      <x:c r="K83" s="40" t="n">
        <x:f>F83-D83</x:f>
        <x:v>0.012613195764316795</x:v>
      </x:c>
      <x:c r="L83" s="40" t="n">
        <x:f>ABS(K83)</x:f>
        <x:v>0.012613195764316795</x:v>
      </x:c>
      <x:c r="M83" s="40" t="n">
        <x:f>G83-D83</x:f>
        <x:v>-0.004562287325424135</x:v>
      </x:c>
      <x:c r="N83" s="41" t="str">
        <x:v>nbeats-et0-v1</x:v>
      </x:c>
    </x:row>
    <x:row r="84">
      <x:c r="A84" s="38" t="str">
        <x:v>7月30日现场数据</x:v>
      </x:c>
      <x:c r="B84" s="39" t="str">
        <x:v>2026-08-03T21:00:00</x:v>
      </x:c>
      <x:c r="C84" s="39" t="str">
        <x:v>2026-08-03T22:00:00</x:v>
      </x:c>
      <x:c r="D84" s="40" t="n">
        <x:v>0.011940316312272025</x:v>
      </x:c>
      <x:c r="E84" s="40" t="n">
        <x:v>0</x:v>
      </x:c>
      <x:c r="F84" s="40" t="n">
        <x:v>0</x:v>
      </x:c>
      <x:c r="G84" s="40" t="n">
        <x:v>0.005467351687656168</x:v>
      </x:c>
      <x:c r="H84" s="40" t="n">
        <x:f>E84-D84</x:f>
        <x:v>-0.011940316312272025</x:v>
      </x:c>
      <x:c r="I84" s="40" t="n">
        <x:f>ABS(H84)</x:f>
        <x:v>0.011940316312272025</x:v>
      </x:c>
      <x:c r="J84" s="40" t="n">
        <x:f>H84^2</x:f>
        <x:v>0.0001425711536371094</x:v>
      </x:c>
      <x:c r="K84" s="40" t="n">
        <x:f>F84-D84</x:f>
        <x:v>-0.011940316312272025</x:v>
      </x:c>
      <x:c r="L84" s="40" t="n">
        <x:f>ABS(K84)</x:f>
        <x:v>0.011940316312272025</x:v>
      </x:c>
      <x:c r="M84" s="40" t="n">
        <x:f>G84-D84</x:f>
        <x:v>-0.006472964624615858</x:v>
      </x:c>
      <x:c r="N84" s="41" t="str">
        <x:v>nbeats-et0-v1</x:v>
      </x:c>
    </x:row>
    <x:row r="85">
      <x:c r="A85" s="38" t="str">
        <x:v>7月30日现场数据</x:v>
      </x:c>
      <x:c r="B85" s="39" t="str">
        <x:v>2026-08-03T22:00:00</x:v>
      </x:c>
      <x:c r="C85" s="39" t="str">
        <x:v>2026-08-03T23:00:00</x:v>
      </x:c>
      <x:c r="D85" s="40" t="n">
        <x:v>0</x:v>
      </x:c>
      <x:c r="E85" s="40" t="n">
        <x:v>0.006333857774734497</x:v>
      </x:c>
      <x:c r="F85" s="40" t="n">
        <x:v>0.0021476447582244873</x:v>
      </x:c>
      <x:c r="G85" s="40" t="n">
        <x:v>0.011940316312272025</x:v>
      </x:c>
      <x:c r="H85" s="40" t="n">
        <x:f>E85-D85</x:f>
        <x:v>0.006333857774734497</x:v>
      </x:c>
      <x:c r="I85" s="40" t="n">
        <x:f>ABS(H85)</x:f>
        <x:v>0.006333857774734497</x:v>
      </x:c>
      <x:c r="J85" s="40" t="n">
        <x:f>H85^2</x:f>
        <x:v>0.000040117754310564635</x:v>
      </x:c>
      <x:c r="K85" s="40" t="n">
        <x:f>F85-D85</x:f>
        <x:v>0.0021476447582244873</x:v>
      </x:c>
      <x:c r="L85" s="40" t="n">
        <x:f>ABS(K85)</x:f>
        <x:v>0.0021476447582244873</x:v>
      </x:c>
      <x:c r="M85" s="40" t="n">
        <x:f>G85-D85</x:f>
        <x:v>0.011940316312272025</x:v>
      </x:c>
      <x:c r="N85" s="41" t="str">
        <x:v>nbeats-et0-v1</x:v>
      </x:c>
    </x:row>
    <x:row r="86">
      <x:c r="A86" s="38" t="str">
        <x:v>7月30日现场数据</x:v>
      </x:c>
      <x:c r="B86" s="39" t="str">
        <x:v>2026-08-03T23:00:00</x:v>
      </x:c>
      <x:c r="C86" s="39" t="str">
        <x:v>2026-08-04T00:00:00</x:v>
      </x:c>
      <x:c r="D86" s="40" t="n">
        <x:v>0</x:v>
      </x:c>
      <x:c r="E86" s="40" t="n">
        <x:v>0.026225313544273376</x:v>
      </x:c>
      <x:c r="F86" s="40" t="n">
        <x:v>0.02819482982158661</x:v>
      </x:c>
      <x:c r="G86" s="40" t="n">
        <x:v>0</x:v>
      </x:c>
      <x:c r="H86" s="40" t="n">
        <x:f>E86-D86</x:f>
        <x:v>0.026225313544273376</x:v>
      </x:c>
      <x:c r="I86" s="40" t="n">
        <x:f>ABS(H86)</x:f>
        <x:v>0.026225313544273376</x:v>
      </x:c>
      <x:c r="J86" s="40" t="n">
        <x:f>H86^2</x:f>
        <x:v>0.0006877670704954486</x:v>
      </x:c>
      <x:c r="K86" s="40" t="n">
        <x:f>F86-D86</x:f>
        <x:v>0.02819482982158661</x:v>
      </x:c>
      <x:c r="L86" s="40" t="n">
        <x:f>ABS(K86)</x:f>
        <x:v>0.02819482982158661</x:v>
      </x:c>
      <x:c r="M86" s="40" t="n">
        <x:f>G86-D86</x:f>
        <x:v>0</x:v>
      </x:c>
      <x:c r="N86" s="41" t="str">
        <x:v>nbeats-et0-v1</x:v>
      </x:c>
    </x:row>
    <x:row r="87">
      <x:c r="A87" s="38" t="str">
        <x:v>7月30日现场数据</x:v>
      </x:c>
      <x:c r="B87" s="39" t="str">
        <x:v>2026-08-04T00:00:00</x:v>
      </x:c>
      <x:c r="C87" s="39" t="str">
        <x:v>2026-08-04T01:00:00</x:v>
      </x:c>
      <x:c r="D87" s="40" t="n">
        <x:v>0.0012770835933591347</x:v>
      </x:c>
      <x:c r="E87" s="40" t="n">
        <x:v>0.031532660126686096</x:v>
      </x:c>
      <x:c r="F87" s="40" t="n">
        <x:v>0.03263389319181442</x:v>
      </x:c>
      <x:c r="G87" s="40" t="n">
        <x:v>0</x:v>
      </x:c>
      <x:c r="H87" s="40" t="n">
        <x:f>E87-D87</x:f>
        <x:v>0.030255576533326962</x:v>
      </x:c>
      <x:c r="I87" s="40" t="n">
        <x:f>ABS(H87)</x:f>
        <x:v>0.030255576533326962</x:v>
      </x:c>
      <x:c r="J87" s="40" t="n">
        <x:f>H87^2</x:f>
        <x:v>0.0009153999113640051</x:v>
      </x:c>
      <x:c r="K87" s="40" t="n">
        <x:f>F87-D87</x:f>
        <x:v>0.031356809598455285</x:v>
      </x:c>
      <x:c r="L87" s="40" t="n">
        <x:f>ABS(K87)</x:f>
        <x:v>0.031356809598455285</x:v>
      </x:c>
      <x:c r="M87" s="40" t="n">
        <x:f>G87-D87</x:f>
        <x:v>-0.0012770835933591347</x:v>
      </x:c>
      <x:c r="N87" s="41" t="str">
        <x:v>nbeats-et0-v1</x:v>
      </x:c>
    </x:row>
    <x:row r="88">
      <x:c r="A88" s="38" t="str">
        <x:v>7月30日现场数据</x:v>
      </x:c>
      <x:c r="B88" s="39" t="str">
        <x:v>2026-08-04T01:00:00</x:v>
      </x:c>
      <x:c r="C88" s="39" t="str">
        <x:v>2026-08-04T02:00:00</x:v>
      </x:c>
      <x:c r="D88" s="40" t="n">
        <x:v>0</x:v>
      </x:c>
      <x:c r="E88" s="40" t="n">
        <x:v>0.027685239911079407</x:v>
      </x:c>
      <x:c r="F88" s="40" t="n">
        <x:v>0.025337889790534973</x:v>
      </x:c>
      <x:c r="G88" s="40" t="n">
        <x:v>0.0012770835933591347</x:v>
      </x:c>
      <x:c r="H88" s="40" t="n">
        <x:f>E88-D88</x:f>
        <x:v>0.027685239911079407</x:v>
      </x:c>
      <x:c r="I88" s="40" t="n">
        <x:f>ABS(H88)</x:f>
        <x:v>0.027685239911079407</x:v>
      </x:c>
      <x:c r="J88" s="40" t="n">
        <x:f>H88^2</x:f>
        <x:v>0.0007664725089340241</x:v>
      </x:c>
      <x:c r="K88" s="40" t="n">
        <x:f>F88-D88</x:f>
        <x:v>0.025337889790534973</x:v>
      </x:c>
      <x:c r="L88" s="40" t="n">
        <x:f>ABS(K88)</x:f>
        <x:v>0.025337889790534973</x:v>
      </x:c>
      <x:c r="M88" s="40" t="n">
        <x:f>G88-D88</x:f>
        <x:v>0.0012770835933591347</x:v>
      </x:c>
      <x:c r="N88" s="41" t="str">
        <x:v>nbeats-et0-v1</x:v>
      </x:c>
    </x:row>
    <x:row r="89">
      <x:c r="A89" s="38" t="str">
        <x:v>7月30日现场数据</x:v>
      </x:c>
      <x:c r="B89" s="39" t="str">
        <x:v>2026-08-04T02:00:00</x:v>
      </x:c>
      <x:c r="C89" s="39" t="str">
        <x:v>2026-08-04T03:00:00</x:v>
      </x:c>
      <x:c r="D89" s="40" t="n">
        <x:v>0</x:v>
      </x:c>
      <x:c r="E89" s="40" t="n">
        <x:v>0.014373064041137695</x:v>
      </x:c>
      <x:c r="F89" s="40" t="n">
        <x:v>0.018483981490135193</x:v>
      </x:c>
      <x:c r="G89" s="40" t="n">
        <x:v>0</x:v>
      </x:c>
      <x:c r="H89" s="40" t="n">
        <x:f>E89-D89</x:f>
        <x:v>0.014373064041137695</x:v>
      </x:c>
      <x:c r="I89" s="40" t="n">
        <x:f>ABS(H89)</x:f>
        <x:v>0.014373064041137695</x:v>
      </x:c>
      <x:c r="J89" s="40" t="n">
        <x:f>H89^2</x:f>
        <x:v>0.00020658496993064546</x:v>
      </x:c>
      <x:c r="K89" s="40" t="n">
        <x:f>F89-D89</x:f>
        <x:v>0.018483981490135193</x:v>
      </x:c>
      <x:c r="L89" s="40" t="n">
        <x:f>ABS(K89)</x:f>
        <x:v>0.018483981490135193</x:v>
      </x:c>
      <x:c r="M89" s="40" t="n">
        <x:f>G89-D89</x:f>
        <x:v>0</x:v>
      </x:c>
      <x:c r="N89" s="41" t="str">
        <x:v>nbeats-et0-v1</x:v>
      </x:c>
    </x:row>
    <x:row r="90">
      <x:c r="A90" s="38" t="str">
        <x:v>7月30日现场数据</x:v>
      </x:c>
      <x:c r="B90" s="39" t="str">
        <x:v>2026-08-04T03:00:00</x:v>
      </x:c>
      <x:c r="C90" s="39" t="str">
        <x:v>2026-08-04T04:00:00</x:v>
      </x:c>
      <x:c r="D90" s="40" t="n">
        <x:v>0.012487388806836126</x:v>
      </x:c>
      <x:c r="E90" s="40" t="n">
        <x:v>0.015573650598526001</x:v>
      </x:c>
      <x:c r="F90" s="40" t="n">
        <x:v>0.024874448776245117</x:v>
      </x:c>
      <x:c r="G90" s="40" t="n">
        <x:v>0</x:v>
      </x:c>
      <x:c r="H90" s="40" t="n">
        <x:f>E90-D90</x:f>
        <x:v>0.003086261791689875</x:v>
      </x:c>
      <x:c r="I90" s="40" t="n">
        <x:f>ABS(H90)</x:f>
        <x:v>0.003086261791689875</x:v>
      </x:c>
      <x:c r="J90" s="40" t="n">
        <x:f>H90^2</x:f>
        <x:v>0.000009525011846844797</x:v>
      </x:c>
      <x:c r="K90" s="40" t="n">
        <x:f>F90-D90</x:f>
        <x:v>0.012387059969408991</x:v>
      </x:c>
      <x:c r="L90" s="40" t="n">
        <x:f>ABS(K90)</x:f>
        <x:v>0.012387059969408991</x:v>
      </x:c>
      <x:c r="M90" s="40" t="n">
        <x:f>G90-D90</x:f>
        <x:v>-0.012487388806836126</x:v>
      </x:c>
      <x:c r="N90" s="41" t="str">
        <x:v>nbeats-et0-v1</x:v>
      </x:c>
    </x:row>
    <x:row r="91">
      <x:c r="A91" s="38" t="str">
        <x:v>7月30日现场数据</x:v>
      </x:c>
      <x:c r="B91" s="39" t="str">
        <x:v>2026-08-04T04:00:00</x:v>
      </x:c>
      <x:c r="C91" s="39" t="str">
        <x:v>2026-08-04T05:00:00</x:v>
      </x:c>
      <x:c r="D91" s="40" t="n">
        <x:v>0.005538591006603649</x:v>
      </x:c>
      <x:c r="E91" s="40" t="n">
        <x:v>0.025742843747138977</x:v>
      </x:c>
      <x:c r="F91" s="40" t="n">
        <x:v>0.03209276497364044</x:v>
      </x:c>
      <x:c r="G91" s="40" t="n">
        <x:v>0.012487388806836126</x:v>
      </x:c>
      <x:c r="H91" s="40" t="n">
        <x:f>E91-D91</x:f>
        <x:v>0.020204252740535326</x:v>
      </x:c>
      <x:c r="I91" s="40" t="n">
        <x:f>ABS(H91)</x:f>
        <x:v>0.020204252740535326</x:v>
      </x:c>
      <x:c r="J91" s="40" t="n">
        <x:f>H91^2</x:f>
        <x:v>0.0004082118288034293</x:v>
      </x:c>
      <x:c r="K91" s="40" t="n">
        <x:f>F91-D91</x:f>
        <x:v>0.02655417396703679</x:v>
      </x:c>
      <x:c r="L91" s="40" t="n">
        <x:f>ABS(K91)</x:f>
        <x:v>0.02655417396703679</x:v>
      </x:c>
      <x:c r="M91" s="40" t="n">
        <x:f>G91-D91</x:f>
        <x:v>0.006948797800232477</x:v>
      </x:c>
      <x:c r="N91" s="41" t="str">
        <x:v>nbeats-et0-v1</x:v>
      </x:c>
    </x:row>
    <x:row r="92">
      <x:c r="A92" s="38" t="str">
        <x:v>7月30日现场数据</x:v>
      </x:c>
      <x:c r="B92" s="39" t="str">
        <x:v>2026-08-04T05:00:00</x:v>
      </x:c>
      <x:c r="C92" s="39" t="str">
        <x:v>2026-08-04T06:00:00</x:v>
      </x:c>
      <x:c r="D92" s="40" t="n">
        <x:v>0.026896486004011587</x:v>
      </x:c>
      <x:c r="E92" s="40" t="n">
        <x:v>0.034238867461681366</x:v>
      </x:c>
      <x:c r="F92" s="40" t="n">
        <x:v>0.04022824019193649</x:v>
      </x:c>
      <x:c r="G92" s="40" t="n">
        <x:v>0.005538591006603649</x:v>
      </x:c>
      <x:c r="H92" s="40" t="n">
        <x:f>E92-D92</x:f>
        <x:v>0.007342381457669779</x:v>
      </x:c>
      <x:c r="I92" s="40" t="n">
        <x:f>ABS(H92)</x:f>
        <x:v>0.007342381457669779</x:v>
      </x:c>
      <x:c r="J92" s="40" t="n">
        <x:f>H92^2</x:f>
        <x:v>0.00005391056546993299</x:v>
      </x:c>
      <x:c r="K92" s="40" t="n">
        <x:f>F92-D92</x:f>
        <x:v>0.013331754187924906</x:v>
      </x:c>
      <x:c r="L92" s="40" t="n">
        <x:f>ABS(K92)</x:f>
        <x:v>0.013331754187924906</x:v>
      </x:c>
      <x:c r="M92" s="40" t="n">
        <x:f>G92-D92</x:f>
        <x:v>-0.021357894997407936</x:v>
      </x:c>
      <x:c r="N92" s="41" t="str">
        <x:v>nbeats-et0-v1</x:v>
      </x:c>
    </x:row>
    <x:row r="93">
      <x:c r="A93" s="38" t="str">
        <x:v>7月30日现场数据</x:v>
      </x:c>
      <x:c r="B93" s="39" t="str">
        <x:v>2026-08-04T06:00:00</x:v>
      </x:c>
      <x:c r="C93" s="39" t="str">
        <x:v>2026-08-04T07:00:00</x:v>
      </x:c>
      <x:c r="D93" s="40" t="n">
        <x:v>0.05453365442278886</x:v>
      </x:c>
      <x:c r="E93" s="40" t="n">
        <x:v>0.10134105384349823</x:v>
      </x:c>
      <x:c r="F93" s="40" t="n">
        <x:v>0.11736112087965012</x:v>
      </x:c>
      <x:c r="G93" s="40" t="n">
        <x:v>0.026896486004011587</x:v>
      </x:c>
      <x:c r="H93" s="40" t="n">
        <x:f>E93-D93</x:f>
        <x:v>0.04680739942070937</x:v>
      </x:c>
      <x:c r="I93" s="40" t="n">
        <x:f>ABS(H93)</x:f>
        <x:v>0.04680739942070937</x:v>
      </x:c>
      <x:c r="J93" s="40" t="n">
        <x:f>H93^2</x:f>
        <x:v>0.0021909326405298237</x:v>
      </x:c>
      <x:c r="K93" s="40" t="n">
        <x:f>F93-D93</x:f>
        <x:v>0.06282746645686126</x:v>
      </x:c>
      <x:c r="L93" s="40" t="n">
        <x:f>ABS(K93)</x:f>
        <x:v>0.06282746645686126</x:v>
      </x:c>
      <x:c r="M93" s="40" t="n">
        <x:f>G93-D93</x:f>
        <x:v>-0.027637168418777273</x:v>
      </x:c>
      <x:c r="N93" s="41" t="str">
        <x:v>nbeats-et0-v1</x:v>
      </x:c>
    </x:row>
    <x:row r="94">
      <x:c r="A94" s="38" t="str">
        <x:v>7月30日现场数据</x:v>
      </x:c>
      <x:c r="B94" s="39" t="str">
        <x:v>2026-08-04T07:00:00</x:v>
      </x:c>
      <x:c r="C94" s="39" t="str">
        <x:v>2026-08-04T08:00:00</x:v>
      </x:c>
      <x:c r="D94" s="40" t="n">
        <x:v>0.5557486616438592</x:v>
      </x:c>
      <x:c r="E94" s="40" t="n">
        <x:v>0.08442453294992447</x:v>
      </x:c>
      <x:c r="F94" s="40" t="n">
        <x:v>0.10482233762741089</x:v>
      </x:c>
      <x:c r="G94" s="40" t="n">
        <x:v>0.05453365442278886</x:v>
      </x:c>
      <x:c r="H94" s="40" t="n">
        <x:f>E94-D94</x:f>
        <x:v>-0.4713241286939347</x:v>
      </x:c>
      <x:c r="I94" s="40" t="n">
        <x:f>ABS(H94)</x:f>
        <x:v>0.4713241286939347</x:v>
      </x:c>
      <x:c r="J94" s="40" t="n">
        <x:f>H94^2</x:f>
        <x:v>0.22214643428909672</x:v>
      </x:c>
      <x:c r="K94" s="40" t="n">
        <x:f>F94-D94</x:f>
        <x:v>-0.4509263240164483</x:v>
      </x:c>
      <x:c r="L94" s="40" t="n">
        <x:f>ABS(K94)</x:f>
        <x:v>0.4509263240164483</x:v>
      </x:c>
      <x:c r="M94" s="40" t="n">
        <x:f>G94-D94</x:f>
        <x:v>-0.5012150072210703</x:v>
      </x:c>
      <x:c r="N94" s="41" t="str">
        <x:v>nbeats-et0-v1</x:v>
      </x:c>
    </x:row>
    <x:row r="95">
      <x:c r="A95" s="38" t="str">
        <x:v>7月30日现场数据</x:v>
      </x:c>
      <x:c r="B95" s="39" t="str">
        <x:v>2026-08-04T08:00:00</x:v>
      </x:c>
      <x:c r="C95" s="39" t="str">
        <x:v>2026-08-04T09:00:00</x:v>
      </x:c>
      <x:c r="D95" s="40" t="n">
        <x:v>0.9937028103809195</x:v>
      </x:c>
      <x:c r="E95" s="40" t="n">
        <x:v>0.4351045489311218</x:v>
      </x:c>
      <x:c r="F95" s="40" t="n">
        <x:v>0.5493850111961365</x:v>
      </x:c>
      <x:c r="G95" s="40" t="n">
        <x:v>0.5557486616438592</x:v>
      </x:c>
      <x:c r="H95" s="40" t="n">
        <x:f>E95-D95</x:f>
        <x:v>-0.5585982614497976</x:v>
      </x:c>
      <x:c r="I95" s="40" t="n">
        <x:f>ABS(H95)</x:f>
        <x:v>0.5585982614497976</x:v>
      </x:c>
      <x:c r="J95" s="40" t="n">
        <x:f>H95^2</x:f>
        <x:v>0.3120320176947365</x:v>
      </x:c>
      <x:c r="K95" s="40" t="n">
        <x:f>F95-D95</x:f>
        <x:v>-0.444317799184783</x:v>
      </x:c>
      <x:c r="L95" s="40" t="n">
        <x:f>ABS(K95)</x:f>
        <x:v>0.444317799184783</x:v>
      </x:c>
      <x:c r="M95" s="40" t="n">
        <x:f>G95-D95</x:f>
        <x:v>-0.4379541487370603</x:v>
      </x:c>
      <x:c r="N95" s="41" t="str">
        <x:v>nbeats-et0-v1</x:v>
      </x:c>
    </x:row>
    <x:row r="96">
      <x:c r="A96" s="38" t="str">
        <x:v>7月30日现场数据</x:v>
      </x:c>
      <x:c r="B96" s="39" t="str">
        <x:v>2026-08-04T09:00:00</x:v>
      </x:c>
      <x:c r="C96" s="39" t="str">
        <x:v>2026-08-04T10:00:00</x:v>
      </x:c>
      <x:c r="D96" s="40" t="n">
        <x:v>0.1519856331721595</x:v>
      </x:c>
      <x:c r="E96" s="40" t="n">
        <x:v>0.8032982349395752</x:v>
      </x:c>
      <x:c r="F96" s="40" t="n">
        <x:v>1.012942910194397</x:v>
      </x:c>
      <x:c r="G96" s="40" t="n">
        <x:v>0.9937028103809195</x:v>
      </x:c>
      <x:c r="H96" s="40" t="n">
        <x:f>E96-D96</x:f>
        <x:v>0.6513126017674157</x:v>
      </x:c>
      <x:c r="I96" s="40" t="n">
        <x:f>ABS(H96)</x:f>
        <x:v>0.6513126017674157</x:v>
      </x:c>
      <x:c r="J96" s="40" t="n">
        <x:f>H96^2</x:f>
        <x:v>0.4242081052210402</x:v>
      </x:c>
      <x:c r="K96" s="40" t="n">
        <x:f>F96-D96</x:f>
        <x:v>0.8609572770222375</x:v>
      </x:c>
      <x:c r="L96" s="40" t="n">
        <x:f>ABS(K96)</x:f>
        <x:v>0.8609572770222375</x:v>
      </x:c>
      <x:c r="M96" s="40" t="n">
        <x:f>G96-D96</x:f>
        <x:v>0.8417171772087599</x:v>
      </x:c>
      <x:c r="N96" s="41" t="str">
        <x:v>nbeats-et0-v1</x:v>
      </x:c>
    </x:row>
    <x:row r="97">
      <x:c r="A97" s="38" t="str">
        <x:v>7月30日现场数据</x:v>
      </x:c>
      <x:c r="B97" s="39" t="str">
        <x:v>2026-08-04T10:00:00</x:v>
      </x:c>
      <x:c r="C97" s="39" t="str">
        <x:v>2026-08-04T11:00:00</x:v>
      </x:c>
      <x:c r="D97" s="40" t="n">
        <x:v>0.14955393983532322</x:v>
      </x:c>
      <x:c r="E97" s="40" t="n">
        <x:v>0.26120349764823914</x:v>
      </x:c>
      <x:c r="F97" s="40" t="n">
        <x:v>0.3343823552131653</x:v>
      </x:c>
      <x:c r="G97" s="40" t="n">
        <x:v>0.1519856331721595</x:v>
      </x:c>
      <x:c r="H97" s="40" t="n">
        <x:f>E97-D97</x:f>
        <x:v>0.11164955781291591</x:v>
      </x:c>
      <x:c r="I97" s="40" t="n">
        <x:f>ABS(H97)</x:f>
        <x:v>0.11164955781291591</x:v>
      </x:c>
      <x:c r="J97" s="40" t="n">
        <x:f>H97^2</x:f>
        <x:v>0.012465623759819652</x:v>
      </x:c>
      <x:c r="K97" s="40" t="n">
        <x:f>F97-D97</x:f>
        <x:v>0.18482841537784206</x:v>
      </x:c>
      <x:c r="L97" s="40" t="n">
        <x:f>ABS(K97)</x:f>
        <x:v>0.18482841537784206</x:v>
      </x:c>
      <x:c r="M97" s="40" t="n">
        <x:f>G97-D97</x:f>
        <x:v>0.002431693336836266</x:v>
      </x:c>
      <x:c r="N97" s="41" t="str">
        <x:v>nbeats-et0-v1</x:v>
      </x:c>
    </x:row>
    <x:row r="98">
      <x:c r="A98" s="38" t="str">
        <x:v>7月30日现场数据</x:v>
      </x:c>
      <x:c r="B98" s="39" t="str">
        <x:v>2026-08-04T11:00:00</x:v>
      </x:c>
      <x:c r="C98" s="39" t="str">
        <x:v>2026-08-04T12:00:00</x:v>
      </x:c>
      <x:c r="D98" s="40" t="n">
        <x:v>0.1650408649872492</x:v>
      </x:c>
      <x:c r="E98" s="40" t="n">
        <x:v>0.15733645856380463</x:v>
      </x:c>
      <x:c r="F98" s="40" t="n">
        <x:v>0.20444098114967346</x:v>
      </x:c>
      <x:c r="G98" s="40" t="n">
        <x:v>0.14955393983532322</x:v>
      </x:c>
      <x:c r="H98" s="40" t="n">
        <x:f>E98-D98</x:f>
        <x:v>-0.007704406423444582</x:v>
      </x:c>
      <x:c r="I98" s="40" t="n">
        <x:f>ABS(H98)</x:f>
        <x:v>0.007704406423444582</x:v>
      </x:c>
      <x:c r="J98" s="40" t="n">
        <x:f>H98^2</x:f>
        <x:v>0.000059357878337614135</x:v>
      </x:c>
      <x:c r="K98" s="40" t="n">
        <x:f>F98-D98</x:f>
        <x:v>0.039400116162424254</x:v>
      </x:c>
      <x:c r="L98" s="40" t="n">
        <x:f>ABS(K98)</x:f>
        <x:v>0.039400116162424254</x:v>
      </x:c>
      <x:c r="M98" s="40" t="n">
        <x:f>G98-D98</x:f>
        <x:v>-0.015486925151925984</x:v>
      </x:c>
      <x:c r="N98" s="41" t="str">
        <x:v>nbeats-et0-v1</x:v>
      </x:c>
    </x:row>
    <x:row r="99">
      <x:c r="A99" s="38" t="str">
        <x:v>7月30日现场数据</x:v>
      </x:c>
      <x:c r="B99" s="39" t="str">
        <x:v>2026-08-04T12:00:00</x:v>
      </x:c>
      <x:c r="C99" s="39" t="str">
        <x:v>2026-08-04T13:00:00</x:v>
      </x:c>
      <x:c r="D99" s="40" t="n">
        <x:v>0.12329105597898776</x:v>
      </x:c>
      <x:c r="E99" s="40" t="n">
        <x:v>0.13639062643051147</x:v>
      </x:c>
      <x:c r="F99" s="40" t="n">
        <x:v>0.16650716960430145</x:v>
      </x:c>
      <x:c r="G99" s="40" t="n">
        <x:v>0.1650408649872492</x:v>
      </x:c>
      <x:c r="H99" s="40" t="n">
        <x:f>E99-D99</x:f>
        <x:v>0.013099570451523712</x:v>
      </x:c>
      <x:c r="I99" s="40" t="n">
        <x:f>ABS(H99)</x:f>
        <x:v>0.013099570451523712</x:v>
      </x:c>
      <x:c r="J99" s="40" t="n">
        <x:f>H99^2</x:f>
        <x:v>0.00017159874601443316</x:v>
      </x:c>
      <x:c r="K99" s="40" t="n">
        <x:f>F99-D99</x:f>
        <x:v>0.04321611362531369</x:v>
      </x:c>
      <x:c r="L99" s="40" t="n">
        <x:f>ABS(K99)</x:f>
        <x:v>0.04321611362531369</x:v>
      </x:c>
      <x:c r="M99" s="40" t="n">
        <x:f>G99-D99</x:f>
        <x:v>0.041749809008261446</x:v>
      </x:c>
      <x:c r="N99" s="41" t="str">
        <x:v>nbeats-et0-v1</x:v>
      </x:c>
    </x:row>
    <x:row r="100">
      <x:c r="A100" s="38" t="str">
        <x:v>7月30日现场数据</x:v>
      </x:c>
      <x:c r="B100" s="39" t="str">
        <x:v>2026-08-04T13:00:00</x:v>
      </x:c>
      <x:c r="C100" s="39" t="str">
        <x:v>2026-08-04T14:00:00</x:v>
      </x:c>
      <x:c r="D100" s="40" t="n">
        <x:v>0.18253467258358683</x:v>
      </x:c>
      <x:c r="E100" s="40" t="n">
        <x:v>0.07793767005205154</x:v>
      </x:c>
      <x:c r="F100" s="40" t="n">
        <x:v>0.09166134148836136</x:v>
      </x:c>
      <x:c r="G100" s="40" t="n">
        <x:v>0.12329105597898776</x:v>
      </x:c>
      <x:c r="H100" s="40" t="n">
        <x:f>E100-D100</x:f>
        <x:v>-0.10459700253153528</x:v>
      </x:c>
      <x:c r="I100" s="40" t="n">
        <x:f>ABS(H100)</x:f>
        <x:v>0.10459700253153528</x:v>
      </x:c>
      <x:c r="J100" s="40" t="n">
        <x:f>H100^2</x:f>
        <x:v>0.010940532938581998</x:v>
      </x:c>
      <x:c r="K100" s="40" t="n">
        <x:f>F100-D100</x:f>
        <x:v>-0.09087333109522547</x:v>
      </x:c>
      <x:c r="L100" s="40" t="n">
        <x:f>ABS(K100)</x:f>
        <x:v>0.09087333109522547</x:v>
      </x:c>
      <x:c r="M100" s="40" t="n">
        <x:f>G100-D100</x:f>
        <x:v>-0.059243616604599064</x:v>
      </x:c>
      <x:c r="N100" s="41" t="str">
        <x:v>nbeats-et0-v1</x:v>
      </x:c>
    </x:row>
    <x:row r="101">
      <x:c r="A101" s="38" t="str">
        <x:v>7月30日现场数据</x:v>
      </x:c>
      <x:c r="B101" s="39" t="str">
        <x:v>2026-08-04T14:00:00</x:v>
      </x:c>
      <x:c r="C101" s="39" t="str">
        <x:v>2026-08-04T15:00:00</x:v>
      </x:c>
      <x:c r="D101" s="40" t="n">
        <x:v>0.1212041322217062</x:v>
      </x:c>
      <x:c r="E101" s="40" t="n">
        <x:v>0.12902306020259857</x:v>
      </x:c>
      <x:c r="F101" s="40" t="n">
        <x:v>0.1363978236913681</x:v>
      </x:c>
      <x:c r="G101" s="40" t="n">
        <x:v>0.18253467258358683</x:v>
      </x:c>
      <x:c r="H101" s="40" t="n">
        <x:f>E101-D101</x:f>
        <x:v>0.00781892798089237</x:v>
      </x:c>
      <x:c r="I101" s="40" t="n">
        <x:f>ABS(H101)</x:f>
        <x:v>0.00781892798089237</x:v>
      </x:c>
      <x:c r="J101" s="40" t="n">
        <x:f>H101^2</x:f>
        <x:v>0.00006113563477038165</x:v>
      </x:c>
      <x:c r="K101" s="40" t="n">
        <x:f>F101-D101</x:f>
        <x:v>0.015193691469661902</x:v>
      </x:c>
      <x:c r="L101" s="40" t="n">
        <x:f>ABS(K101)</x:f>
        <x:v>0.015193691469661902</x:v>
      </x:c>
      <x:c r="M101" s="40" t="n">
        <x:f>G101-D101</x:f>
        <x:v>0.061330540361880626</x:v>
      </x:c>
      <x:c r="N101" s="41" t="str">
        <x:v>nbeats-et0-v1</x:v>
      </x:c>
    </x:row>
    <x:row r="102">
      <x:c r="A102" s="38" t="str">
        <x:v>7月30日现场数据</x:v>
      </x:c>
      <x:c r="B102" s="39" t="str">
        <x:v>2026-08-04T15:00:00</x:v>
      </x:c>
      <x:c r="C102" s="39" t="str">
        <x:v>2026-08-04T16:00:00</x:v>
      </x:c>
      <x:c r="D102" s="40" t="n">
        <x:v>0.07293138820426061</x:v>
      </x:c>
      <x:c r="E102" s="40" t="n">
        <x:v>0.0910218209028244</x:v>
      </x:c>
      <x:c r="F102" s="40" t="n">
        <x:v>0.10441139340400696</x:v>
      </x:c>
      <x:c r="G102" s="40" t="n">
        <x:v>0.1212041322217062</x:v>
      </x:c>
      <x:c r="H102" s="40" t="n">
        <x:f>E102-D102</x:f>
        <x:v>0.018090432698563794</x:v>
      </x:c>
      <x:c r="I102" s="40" t="n">
        <x:f>ABS(H102)</x:f>
        <x:v>0.018090432698563794</x:v>
      </x:c>
      <x:c r="J102" s="40" t="n">
        <x:f>H102^2</x:f>
        <x:v>0.0003272637552212661</x:v>
      </x:c>
      <x:c r="K102" s="40" t="n">
        <x:f>F102-D102</x:f>
        <x:v>0.03148000519974635</x:v>
      </x:c>
      <x:c r="L102" s="40" t="n">
        <x:f>ABS(K102)</x:f>
        <x:v>0.03148000519974635</x:v>
      </x:c>
      <x:c r="M102" s="40" t="n">
        <x:f>G102-D102</x:f>
        <x:v>0.04827274401744559</x:v>
      </x:c>
      <x:c r="N102" s="41" t="str">
        <x:v>nbeats-et0-v1</x:v>
      </x:c>
    </x:row>
    <x:row r="103">
      <x:c r="A103" s="38" t="str">
        <x:v>7月30日现场数据</x:v>
      </x:c>
      <x:c r="B103" s="39" t="str">
        <x:v>2026-08-04T16:00:00</x:v>
      </x:c>
      <x:c r="C103" s="39" t="str">
        <x:v>2026-08-04T17:00:00</x:v>
      </x:c>
      <x:c r="D103" s="40" t="n">
        <x:v>0.04190093979954643</x:v>
      </x:c>
      <x:c r="E103" s="40" t="n">
        <x:v>0.04230095446109772</x:v>
      </x:c>
      <x:c r="F103" s="40" t="n">
        <x:v>0.05322033166885376</x:v>
      </x:c>
      <x:c r="G103" s="40" t="n">
        <x:v>0.07293138820426061</x:v>
      </x:c>
      <x:c r="H103" s="40" t="n">
        <x:f>E103-D103</x:f>
        <x:v>0.00040001466155129006</x:v>
      </x:c>
      <x:c r="I103" s="40" t="n">
        <x:f>ABS(H103)</x:f>
        <x:v>0.00040001466155129006</x:v>
      </x:c>
      <x:c r="J103" s="40" t="n">
        <x:f>H103^2</x:f>
        <x:v>1.6001172945599313e-7</x:v>
      </x:c>
      <x:c r="K103" s="40" t="n">
        <x:f>F103-D103</x:f>
        <x:v>0.011319391869307333</x:v>
      </x:c>
      <x:c r="L103" s="40" t="n">
        <x:f>ABS(K103)</x:f>
        <x:v>0.011319391869307333</x:v>
      </x:c>
      <x:c r="M103" s="40" t="n">
        <x:f>G103-D103</x:f>
        <x:v>0.03103044840471418</x:v>
      </x:c>
      <x:c r="N103" s="41" t="str">
        <x:v>nbeats-et0-v1</x:v>
      </x:c>
    </x:row>
    <x:row r="104">
      <x:c r="A104" s="38" t="str">
        <x:v>7月30日现场数据</x:v>
      </x:c>
      <x:c r="B104" s="39" t="str">
        <x:v>2026-08-04T17:00:00</x:v>
      </x:c>
      <x:c r="C104" s="39" t="str">
        <x:v>2026-08-04T18:00:00</x:v>
      </x:c>
      <x:c r="D104" s="40" t="n">
        <x:v>0.0051259149517120075</x:v>
      </x:c>
      <x:c r="E104" s="40" t="n">
        <x:v>0.03402470052242279</x:v>
      </x:c>
      <x:c r="F104" s="40" t="n">
        <x:v>0.04379821568727493</x:v>
      </x:c>
      <x:c r="G104" s="40" t="n">
        <x:v>0.04190093979954643</x:v>
      </x:c>
      <x:c r="H104" s="40" t="n">
        <x:f>E104-D104</x:f>
        <x:v>0.028898785570710784</x:v>
      </x:c>
      <x:c r="I104" s="40" t="n">
        <x:f>ABS(H104)</x:f>
        <x:v>0.028898785570710784</x:v>
      </x:c>
      <x:c r="J104" s="40" t="n">
        <x:f>H104^2</x:f>
        <x:v>0.0008351398074619218</x:v>
      </x:c>
      <x:c r="K104" s="40" t="n">
        <x:f>F104-D104</x:f>
        <x:v>0.03867230073556292</x:v>
      </x:c>
      <x:c r="L104" s="40" t="n">
        <x:f>ABS(K104)</x:f>
        <x:v>0.03867230073556292</x:v>
      </x:c>
      <x:c r="M104" s="40" t="n">
        <x:f>G104-D104</x:f>
        <x:v>0.03677502484783442</x:v>
      </x:c>
      <x:c r="N104" s="41" t="str">
        <x:v>nbeats-et0-v1</x:v>
      </x:c>
    </x:row>
    <x:row r="105">
      <x:c r="A105" s="38" t="str">
        <x:v>7月30日现场数据</x:v>
      </x:c>
      <x:c r="B105" s="39" t="str">
        <x:v>2026-08-04T18:00:00</x:v>
      </x:c>
      <x:c r="C105" s="39" t="str">
        <x:v>2026-08-04T19:00:00</x:v>
      </x:c>
      <x:c r="D105" s="40" t="n">
        <x:v>0.011766638505896444</x:v>
      </x:c>
      <x:c r="E105" s="40" t="n">
        <x:v>0.015121281147003174</x:v>
      </x:c>
      <x:c r="F105" s="40" t="n">
        <x:v>0.015391439199447632</x:v>
      </x:c>
      <x:c r="G105" s="40" t="n">
        <x:v>0.0051259149517120075</x:v>
      </x:c>
      <x:c r="H105" s="40" t="n">
        <x:f>E105-D105</x:f>
        <x:v>0.00335464264110673</x:v>
      </x:c>
      <x:c r="I105" s="40" t="n">
        <x:f>ABS(H105)</x:f>
        <x:v>0.00335464264110673</x:v>
      </x:c>
      <x:c r="J105" s="40" t="n">
        <x:f>H105^2</x:f>
        <x:v>0.000011253627249531536</x:v>
      </x:c>
      <x:c r="K105" s="40" t="n">
        <x:f>F105-D105</x:f>
        <x:v>0.003624800693551188</x:v>
      </x:c>
      <x:c r="L105" s="40" t="n">
        <x:f>ABS(K105)</x:f>
        <x:v>0.003624800693551188</x:v>
      </x:c>
      <x:c r="M105" s="40" t="n">
        <x:f>G105-D105</x:f>
        <x:v>-0.0066407235541844365</x:v>
      </x:c>
      <x:c r="N105" s="41" t="str">
        <x:v>nbeats-et0-v1</x:v>
      </x:c>
    </x:row>
    <x:row r="106">
      <x:c r="A106" s="38" t="str">
        <x:v>7月30日现场数据</x:v>
      </x:c>
      <x:c r="B106" s="39" t="str">
        <x:v>2026-08-04T19:00:00</x:v>
      </x:c>
      <x:c r="C106" s="39" t="str">
        <x:v>2026-08-04T20:00:00</x:v>
      </x:c>
      <x:c r="D106" s="40" t="n">
        <x:v>0</x:v>
      </x:c>
      <x:c r="E106" s="40" t="n">
        <x:v>0.020947515964508057</x:v>
      </x:c>
      <x:c r="F106" s="40" t="n">
        <x:v>0.015251904726028442</x:v>
      </x:c>
      <x:c r="G106" s="40" t="n">
        <x:v>0.011766638505896444</x:v>
      </x:c>
      <x:c r="H106" s="40" t="n">
        <x:f>E106-D106</x:f>
        <x:v>0.020947515964508057</x:v>
      </x:c>
      <x:c r="I106" s="40" t="n">
        <x:f>ABS(H106)</x:f>
        <x:v>0.020947515964508057</x:v>
      </x:c>
      <x:c r="J106" s="40" t="n">
        <x:f>H106^2</x:f>
        <x:v>0.0004387984250833199</x:v>
      </x:c>
      <x:c r="K106" s="40" t="n">
        <x:f>F106-D106</x:f>
        <x:v>0.015251904726028442</x:v>
      </x:c>
      <x:c r="L106" s="40" t="n">
        <x:f>ABS(K106)</x:f>
        <x:v>0.015251904726028442</x:v>
      </x:c>
      <x:c r="M106" s="40" t="n">
        <x:f>G106-D106</x:f>
        <x:v>0.011766638505896444</x:v>
      </x:c>
      <x:c r="N106" s="41" t="str">
        <x:v>nbeats-et0-v1</x:v>
      </x:c>
    </x:row>
    <x:row r="107">
      <x:c r="A107" s="38" t="str">
        <x:v>7月30日现场数据</x:v>
      </x:c>
      <x:c r="B107" s="39" t="str">
        <x:v>2026-08-04T20:00:00</x:v>
      </x:c>
      <x:c r="C107" s="39" t="str">
        <x:v>2026-08-04T21:00:00</x:v>
      </x:c>
      <x:c r="D107" s="40" t="n">
        <x:v>0.009600306133270056</x:v>
      </x:c>
      <x:c r="E107" s="40" t="n">
        <x:v>0.02011018991470337</x:v>
      </x:c>
      <x:c r="F107" s="40" t="n">
        <x:v>0.027446165680885315</x:v>
      </x:c>
      <x:c r="G107" s="40" t="n">
        <x:v>0</x:v>
      </x:c>
      <x:c r="H107" s="40" t="n">
        <x:f>E107-D107</x:f>
        <x:v>0.010509883781433313</x:v>
      </x:c>
      <x:c r="I107" s="40" t="n">
        <x:f>ABS(H107)</x:f>
        <x:v>0.010509883781433313</x:v>
      </x:c>
      <x:c r="J107" s="40" t="n">
        <x:f>H107^2</x:f>
        <x:v>0.000110457657099235</x:v>
      </x:c>
      <x:c r="K107" s="40" t="n">
        <x:f>F107-D107</x:f>
        <x:v>0.017845859547615257</x:v>
      </x:c>
      <x:c r="L107" s="40" t="n">
        <x:f>ABS(K107)</x:f>
        <x:v>0.017845859547615257</x:v>
      </x:c>
      <x:c r="M107" s="40" t="n">
        <x:f>G107-D107</x:f>
        <x:v>-0.009600306133270056</x:v>
      </x:c>
      <x:c r="N107" s="41" t="str">
        <x:v>nbeats-et0-v1</x:v>
      </x:c>
    </x:row>
    <x:row r="108">
      <x:c r="A108" s="38" t="str">
        <x:v>7月30日现场数据</x:v>
      </x:c>
      <x:c r="B108" s="39" t="str">
        <x:v>2026-08-04T21:00:00</x:v>
      </x:c>
      <x:c r="C108" s="39" t="str">
        <x:v>2026-08-04T22:00:00</x:v>
      </x:c>
      <x:c r="D108" s="40" t="n">
        <x:v>0.0026570719832518666</x:v>
      </x:c>
      <x:c r="E108" s="40" t="n">
        <x:v>0</x:v>
      </x:c>
      <x:c r="F108" s="40" t="n">
        <x:v>0</x:v>
      </x:c>
      <x:c r="G108" s="40" t="n">
        <x:v>0.009600306133270056</x:v>
      </x:c>
      <x:c r="H108" s="40" t="n">
        <x:f>E108-D108</x:f>
        <x:v>-0.0026570719832518666</x:v>
      </x:c>
      <x:c r="I108" s="40" t="n">
        <x:f>ABS(H108)</x:f>
        <x:v>0.0026570719832518666</x:v>
      </x:c>
      <x:c r="J108" s="40" t="n">
        <x:f>H108^2</x:f>
        <x:v>0.000007060031524182008</x:v>
      </x:c>
      <x:c r="K108" s="40" t="n">
        <x:f>F108-D108</x:f>
        <x:v>-0.0026570719832518666</x:v>
      </x:c>
      <x:c r="L108" s="40" t="n">
        <x:f>ABS(K108)</x:f>
        <x:v>0.0026570719832518666</x:v>
      </x:c>
      <x:c r="M108" s="40" t="n">
        <x:f>G108-D108</x:f>
        <x:v>0.006943234150018189</x:v>
      </x:c>
      <x:c r="N108" s="41" t="str">
        <x:v>nbeats-et0-v1</x:v>
      </x:c>
    </x:row>
    <x:row r="109">
      <x:c r="A109" s="38" t="str">
        <x:v>7月30日现场数据</x:v>
      </x:c>
      <x:c r="B109" s="39" t="str">
        <x:v>2026-08-04T22:00:00</x:v>
      </x:c>
      <x:c r="C109" s="39" t="str">
        <x:v>2026-08-04T23:00:00</x:v>
      </x:c>
      <x:c r="D109" s="40" t="n">
        <x:v>0.008041637627921728</x:v>
      </x:c>
      <x:c r="E109" s="40" t="n">
        <x:v>0</x:v>
      </x:c>
      <x:c r="F109" s="40" t="n">
        <x:v>0</x:v>
      </x:c>
      <x:c r="G109" s="40" t="n">
        <x:v>0.0026570719832518666</x:v>
      </x:c>
      <x:c r="H109" s="40" t="n">
        <x:f>E109-D109</x:f>
        <x:v>-0.008041637627921728</x:v>
      </x:c>
      <x:c r="I109" s="40" t="n">
        <x:f>ABS(H109)</x:f>
        <x:v>0.008041637627921728</x:v>
      </x:c>
      <x:c r="J109" s="40" t="n">
        <x:f>H109^2</x:f>
        <x:v>0.00006466793573880659</x:v>
      </x:c>
      <x:c r="K109" s="40" t="n">
        <x:f>F109-D109</x:f>
        <x:v>-0.008041637627921728</x:v>
      </x:c>
      <x:c r="L109" s="40" t="n">
        <x:f>ABS(K109)</x:f>
        <x:v>0.008041637627921728</x:v>
      </x:c>
      <x:c r="M109" s="40" t="n">
        <x:f>G109-D109</x:f>
        <x:v>-0.005384565644669861</x:v>
      </x:c>
      <x:c r="N109" s="41" t="str">
        <x:v>nbeats-et0-v1</x:v>
      </x:c>
    </x:row>
    <x:row r="110">
      <x:c r="A110" s="38" t="str">
        <x:v>7月30日现场数据</x:v>
      </x:c>
      <x:c r="B110" s="39" t="str">
        <x:v>2026-08-04T23:00:00</x:v>
      </x:c>
      <x:c r="C110" s="39" t="str">
        <x:v>2026-08-05T00:00:00</x:v>
      </x:c>
      <x:c r="D110" s="40" t="n">
        <x:v>0.01762929170185354</x:v>
      </x:c>
      <x:c r="E110" s="40" t="n">
        <x:v>0.026984035968780518</x:v>
      </x:c>
      <x:c r="F110" s="40" t="n">
        <x:v>0.030729614198207855</x:v>
      </x:c>
      <x:c r="G110" s="40" t="n">
        <x:v>0.008041637627921728</x:v>
      </x:c>
      <x:c r="H110" s="40" t="n">
        <x:f>E110-D110</x:f>
        <x:v>0.009354744266926979</x:v>
      </x:c>
      <x:c r="I110" s="40" t="n">
        <x:f>ABS(H110)</x:f>
        <x:v>0.009354744266926979</x:v>
      </x:c>
      <x:c r="J110" s="40" t="n">
        <x:f>H110^2</x:f>
        <x:v>0.00008751124029960317</x:v>
      </x:c>
      <x:c r="K110" s="40" t="n">
        <x:f>F110-D110</x:f>
        <x:v>0.013100322496354316</x:v>
      </x:c>
      <x:c r="L110" s="40" t="n">
        <x:f>ABS(K110)</x:f>
        <x:v>0.013100322496354316</x:v>
      </x:c>
      <x:c r="M110" s="40" t="n">
        <x:f>G110-D110</x:f>
        <x:v>-0.009587654073931811</x:v>
      </x:c>
      <x:c r="N110" s="41" t="str">
        <x:v>nbeats-et0-v1</x:v>
      </x:c>
    </x:row>
    <x:row r="111">
      <x:c r="A111" s="38" t="str">
        <x:v>7月30日现场数据</x:v>
      </x:c>
      <x:c r="B111" s="39" t="str">
        <x:v>2026-08-05T00:00:00</x:v>
      </x:c>
      <x:c r="C111" s="39" t="str">
        <x:v>2026-08-05T01:00:00</x:v>
      </x:c>
      <x:c r="D111" s="40" t="n">
        <x:v>0</x:v>
      </x:c>
      <x:c r="E111" s="40" t="n">
        <x:v>0.045959971845149994</x:v>
      </x:c>
      <x:c r="F111" s="40" t="n">
        <x:v>0.04638957232236862</x:v>
      </x:c>
      <x:c r="G111" s="40" t="n">
        <x:v>0.01762929170185354</x:v>
      </x:c>
      <x:c r="H111" s="40" t="n">
        <x:f>E111-D111</x:f>
        <x:v>0.045959971845149994</x:v>
      </x:c>
      <x:c r="I111" s="40" t="n">
        <x:f>ABS(H111)</x:f>
        <x:v>0.045959971845149994</x:v>
      </x:c>
      <x:c r="J111" s="40" t="n">
        <x:f>H111^2</x:f>
        <x:v>0.00211231901200698</x:v>
      </x:c>
      <x:c r="K111" s="40" t="n">
        <x:f>F111-D111</x:f>
        <x:v>0.04638957232236862</x:v>
      </x:c>
      <x:c r="L111" s="40" t="n">
        <x:f>ABS(K111)</x:f>
        <x:v>0.04638957232236862</x:v>
      </x:c>
      <x:c r="M111" s="40" t="n">
        <x:f>G111-D111</x:f>
        <x:v>0.01762929170185354</x:v>
      </x:c>
      <x:c r="N111" s="41" t="str">
        <x:v>nbeats-et0-v1</x:v>
      </x:c>
    </x:row>
    <x:row r="112">
      <x:c r="A112" s="38" t="str">
        <x:v>7月30日现场数据</x:v>
      </x:c>
      <x:c r="B112" s="39" t="str">
        <x:v>2026-08-05T01:00:00</x:v>
      </x:c>
      <x:c r="C112" s="39" t="str">
        <x:v>2026-08-05T02:00:00</x:v>
      </x:c>
      <x:c r="D112" s="40" t="n">
        <x:v>0.004794786707725927</x:v>
      </x:c>
      <x:c r="E112" s="40" t="n">
        <x:v>0.03646378219127655</x:v>
      </x:c>
      <x:c r="F112" s="40" t="n">
        <x:v>0.03902161121368408</x:v>
      </x:c>
      <x:c r="G112" s="40" t="n">
        <x:v>0</x:v>
      </x:c>
      <x:c r="H112" s="40" t="n">
        <x:f>E112-D112</x:f>
        <x:v>0.03166899548355062</x:v>
      </x:c>
      <x:c r="I112" s="40" t="n">
        <x:f>ABS(H112)</x:f>
        <x:v>0.03166899548355062</x:v>
      </x:c>
      <x:c r="J112" s="40" t="n">
        <x:f>H112^2</x:f>
        <x:v>0.0010029252749371496</x:v>
      </x:c>
      <x:c r="K112" s="40" t="n">
        <x:f>F112-D112</x:f>
        <x:v>0.03422682450595815</x:v>
      </x:c>
      <x:c r="L112" s="40" t="n">
        <x:f>ABS(K112)</x:f>
        <x:v>0.03422682450595815</x:v>
      </x:c>
      <x:c r="M112" s="40" t="n">
        <x:f>G112-D112</x:f>
        <x:v>-0.004794786707725927</x:v>
      </x:c>
      <x:c r="N112" s="41" t="str">
        <x:v>nbeats-et0-v1</x:v>
      </x:c>
    </x:row>
    <x:row r="113">
      <x:c r="A113" s="38" t="str">
        <x:v>7月30日现场数据</x:v>
      </x:c>
      <x:c r="B113" s="39" t="str">
        <x:v>2026-08-05T02:00:00</x:v>
      </x:c>
      <x:c r="C113" s="39" t="str">
        <x:v>2026-08-05T03:00:00</x:v>
      </x:c>
      <x:c r="D113" s="40" t="n">
        <x:v>0.0022349498257862753</x:v>
      </x:c>
      <x:c r="E113" s="40" t="n">
        <x:v>0.023298993706703186</x:v>
      </x:c>
      <x:c r="F113" s="40" t="n">
        <x:v>0.027986466884613037</x:v>
      </x:c>
      <x:c r="G113" s="40" t="n">
        <x:v>0.004794786707725927</x:v>
      </x:c>
      <x:c r="H113" s="40" t="n">
        <x:f>E113-D113</x:f>
        <x:v>0.02106404388091691</x:v>
      </x:c>
      <x:c r="I113" s="40" t="n">
        <x:f>ABS(H113)</x:f>
        <x:v>0.02106404388091691</x:v>
      </x:c>
      <x:c r="J113" s="40" t="n">
        <x:f>H113^2</x:f>
        <x:v>0.0004436939446171931</x:v>
      </x:c>
      <x:c r="K113" s="40" t="n">
        <x:f>F113-D113</x:f>
        <x:v>0.02575151705882676</x:v>
      </x:c>
      <x:c r="L113" s="40" t="n">
        <x:f>ABS(K113)</x:f>
        <x:v>0.02575151705882676</x:v>
      </x:c>
      <x:c r="M113" s="40" t="n">
        <x:f>G113-D113</x:f>
        <x:v>0.0025598368819396517</x:v>
      </x:c>
      <x:c r="N113" s="41" t="str">
        <x:v>nbeats-et0-v1</x:v>
      </x:c>
    </x:row>
    <x:row r="114">
      <x:c r="A114" s="38" t="str">
        <x:v>7月30日现场数据</x:v>
      </x:c>
      <x:c r="B114" s="39" t="str">
        <x:v>2026-08-05T03:00:00</x:v>
      </x:c>
      <x:c r="C114" s="39" t="str">
        <x:v>2026-08-05T04:00:00</x:v>
      </x:c>
      <x:c r="D114" s="40" t="n">
        <x:v>0.00006809576368200536</x:v>
      </x:c>
      <x:c r="E114" s="40" t="n">
        <x:v>0.026209533214569092</x:v>
      </x:c>
      <x:c r="F114" s="40" t="n">
        <x:v>0.040185749530792236</x:v>
      </x:c>
      <x:c r="G114" s="40" t="n">
        <x:v>0.0022349498257862753</x:v>
      </x:c>
      <x:c r="H114" s="40" t="n">
        <x:f>E114-D114</x:f>
        <x:v>0.026141437450887088</x:v>
      </x:c>
      <x:c r="I114" s="40" t="n">
        <x:f>ABS(H114)</x:f>
        <x:v>0.026141437450887088</x:v>
      </x:c>
      <x:c r="J114" s="40" t="n">
        <x:f>H114^2</x:f>
        <x:v>0.000683374751998642</x:v>
      </x:c>
      <x:c r="K114" s="40" t="n">
        <x:f>F114-D114</x:f>
        <x:v>0.04011765376711023</x:v>
      </x:c>
      <x:c r="L114" s="40" t="n">
        <x:f>ABS(K114)</x:f>
        <x:v>0.04011765376711023</x:v>
      </x:c>
      <x:c r="M114" s="40" t="n">
        <x:f>G114-D114</x:f>
        <x:v>0.00216685406210427</x:v>
      </x:c>
      <x:c r="N114" s="41" t="str">
        <x:v>nbeats-et0-v1</x:v>
      </x:c>
    </x:row>
    <x:row r="115">
      <x:c r="A115" s="38" t="str">
        <x:v>7月30日现场数据</x:v>
      </x:c>
      <x:c r="B115" s="39" t="str">
        <x:v>2026-08-05T04:00:00</x:v>
      </x:c>
      <x:c r="C115" s="39" t="str">
        <x:v>2026-08-05T05:00:00</x:v>
      </x:c>
      <x:c r="D115" s="40" t="n">
        <x:v>0.004089096982507054</x:v>
      </x:c>
      <x:c r="E115" s="40" t="n">
        <x:v>0.04314520210027695</x:v>
      </x:c>
      <x:c r="F115" s="40" t="n">
        <x:v>0.047831736505031586</x:v>
      </x:c>
      <x:c r="G115" s="40" t="n">
        <x:v>0.00006809576368200536</x:v>
      </x:c>
      <x:c r="H115" s="40" t="n">
        <x:f>E115-D115</x:f>
        <x:v>0.03905610511776989</x:v>
      </x:c>
      <x:c r="I115" s="40" t="n">
        <x:f>ABS(H115)</x:f>
        <x:v>0.03905610511776989</x:v>
      </x:c>
      <x:c r="J115" s="40" t="n">
        <x:f>H115^2</x:f>
        <x:v>0.0015253793469702916</x:v>
      </x:c>
      <x:c r="K115" s="40" t="n">
        <x:f>F115-D115</x:f>
        <x:v>0.04374263952252453</x:v>
      </x:c>
      <x:c r="L115" s="40" t="n">
        <x:f>ABS(K115)</x:f>
        <x:v>0.04374263952252453</x:v>
      </x:c>
      <x:c r="M115" s="40" t="n">
        <x:f>G115-D115</x:f>
        <x:v>-0.004021001218825049</x:v>
      </x:c>
      <x:c r="N115" s="41" t="str">
        <x:v>nbeats-et0-v1</x:v>
      </x:c>
    </x:row>
    <x:row r="116">
      <x:c r="A116" s="38" t="str">
        <x:v>7月30日现场数据</x:v>
      </x:c>
      <x:c r="B116" s="39" t="str">
        <x:v>2026-08-05T05:00:00</x:v>
      </x:c>
      <x:c r="C116" s="39" t="str">
        <x:v>2026-08-05T06:00:00</x:v>
      </x:c>
      <x:c r="D116" s="40" t="n">
        <x:v>0.013720961555906568</x:v>
      </x:c>
      <x:c r="E116" s="40" t="n">
        <x:v>0.036965370178222656</x:v>
      </x:c>
      <x:c r="F116" s="40" t="n">
        <x:v>0.04328107833862305</x:v>
      </x:c>
      <x:c r="G116" s="40" t="n">
        <x:v>0.004089096982507054</x:v>
      </x:c>
      <x:c r="H116" s="40" t="n">
        <x:f>E116-D116</x:f>
        <x:v>0.02324440862231609</x:v>
      </x:c>
      <x:c r="I116" s="40" t="n">
        <x:f>ABS(H116)</x:f>
        <x:v>0.02324440862231609</x:v>
      </x:c>
      <x:c r="J116" s="40" t="n">
        <x:f>H116^2</x:f>
        <x:v>0.0005403025322012025</x:v>
      </x:c>
      <x:c r="K116" s="40" t="n">
        <x:f>F116-D116</x:f>
        <x:v>0.02956011678271648</x:v>
      </x:c>
      <x:c r="L116" s="40" t="n">
        <x:f>ABS(K116)</x:f>
        <x:v>0.02956011678271648</x:v>
      </x:c>
      <x:c r="M116" s="40" t="n">
        <x:f>G116-D116</x:f>
        <x:v>-0.009631864573399512</x:v>
      </x:c>
      <x:c r="N116" s="41" t="str">
        <x:v>nbeats-et0-v1</x:v>
      </x:c>
    </x:row>
    <x:row r="117">
      <x:c r="A117" s="38" t="str">
        <x:v>7月30日现场数据</x:v>
      </x:c>
      <x:c r="B117" s="39" t="str">
        <x:v>2026-08-05T06:00:00</x:v>
      </x:c>
      <x:c r="C117" s="39" t="str">
        <x:v>2026-08-05T07:00:00</x:v>
      </x:c>
      <x:c r="D117" s="40" t="n">
        <x:v>0.05228606519011523</x:v>
      </x:c>
      <x:c r="E117" s="40" t="n">
        <x:v>0.08526328206062317</x:v>
      </x:c>
      <x:c r="F117" s="40" t="n">
        <x:v>0.10161571949720383</x:v>
      </x:c>
      <x:c r="G117" s="40" t="n">
        <x:v>0.013720961555906568</x:v>
      </x:c>
      <x:c r="H117" s="40" t="n">
        <x:f>E117-D117</x:f>
        <x:v>0.03297721687050794</x:v>
      </x:c>
      <x:c r="I117" s="40" t="n">
        <x:f>ABS(H117)</x:f>
        <x:v>0.03297721687050794</x:v>
      </x:c>
      <x:c r="J117" s="40" t="n">
        <x:f>H117^2</x:f>
        <x:v>0.0010874968325245136</x:v>
      </x:c>
      <x:c r="K117" s="40" t="n">
        <x:f>F117-D117</x:f>
        <x:v>0.0493296543070886</x:v>
      </x:c>
      <x:c r="L117" s="40" t="n">
        <x:f>ABS(K117)</x:f>
        <x:v>0.0493296543070886</x:v>
      </x:c>
      <x:c r="M117" s="40" t="n">
        <x:f>G117-D117</x:f>
        <x:v>-0.03856510363420866</x:v>
      </x:c>
      <x:c r="N117" s="41" t="str">
        <x:v>nbeats-et0-v1</x:v>
      </x:c>
    </x:row>
    <x:row r="118">
      <x:c r="A118" s="38" t="str">
        <x:v>7月30日现场数据</x:v>
      </x:c>
      <x:c r="B118" s="39" t="str">
        <x:v>2026-08-05T07:00:00</x:v>
      </x:c>
      <x:c r="C118" s="39" t="str">
        <x:v>2026-08-05T08:00:00</x:v>
      </x:c>
      <x:c r="D118" s="40" t="n">
        <x:v>0.2524136089771678</x:v>
      </x:c>
      <x:c r="E118" s="40" t="n">
        <x:v>0.06926310807466507</x:v>
      </x:c>
      <x:c r="F118" s="40" t="n">
        <x:v>0.09234008193016052</x:v>
      </x:c>
      <x:c r="G118" s="40" t="n">
        <x:v>0.05228606519011523</x:v>
      </x:c>
      <x:c r="H118" s="40" t="n">
        <x:f>E118-D118</x:f>
        <x:v>-0.18315050090250273</x:v>
      </x:c>
      <x:c r="I118" s="40" t="n">
        <x:f>ABS(H118)</x:f>
        <x:v>0.18315050090250273</x:v>
      </x:c>
      <x:c r="J118" s="40" t="n">
        <x:f>H118^2</x:f>
        <x:v>0.03354410598083765</x:v>
      </x:c>
      <x:c r="K118" s="40" t="n">
        <x:f>F118-D118</x:f>
        <x:v>-0.16007352704700728</x:v>
      </x:c>
      <x:c r="L118" s="40" t="n">
        <x:f>ABS(K118)</x:f>
        <x:v>0.16007352704700728</x:v>
      </x:c>
      <x:c r="M118" s="40" t="n">
        <x:f>G118-D118</x:f>
        <x:v>-0.20012754378705258</x:v>
      </x:c>
      <x:c r="N118" s="41" t="str">
        <x:v>nbeats-et0-v1</x:v>
      </x:c>
    </x:row>
    <x:row r="119">
      <x:c r="A119" s="38" t="str">
        <x:v>7月30日现场数据</x:v>
      </x:c>
      <x:c r="B119" s="39" t="str">
        <x:v>2026-08-05T08:00:00</x:v>
      </x:c>
      <x:c r="C119" s="39" t="str">
        <x:v>2026-08-05T09:00:00</x:v>
      </x:c>
      <x:c r="D119" s="40" t="n">
        <x:v>0.6944807939061589</x:v>
      </x:c>
      <x:c r="E119" s="40" t="n">
        <x:v>0.16347423195838928</x:v>
      </x:c>
      <x:c r="F119" s="40" t="n">
        <x:v>0.21015259623527527</x:v>
      </x:c>
      <x:c r="G119" s="40" t="n">
        <x:v>0.2524136089771678</x:v>
      </x:c>
      <x:c r="H119" s="40" t="n">
        <x:f>E119-D119</x:f>
        <x:v>-0.5310065619477696</x:v>
      </x:c>
      <x:c r="I119" s="40" t="n">
        <x:f>ABS(H119)</x:f>
        <x:v>0.5310065619477696</x:v>
      </x:c>
      <x:c r="J119" s="40" t="n">
        <x:f>H119^2</x:f>
        <x:v>0.2819679688315905</x:v>
      </x:c>
      <x:c r="K119" s="40" t="n">
        <x:f>F119-D119</x:f>
        <x:v>-0.48432819767088364</x:v>
      </x:c>
      <x:c r="L119" s="40" t="n">
        <x:f>ABS(K119)</x:f>
        <x:v>0.48432819767088364</x:v>
      </x:c>
      <x:c r="M119" s="40" t="n">
        <x:f>G119-D119</x:f>
        <x:v>-0.4420671849289911</x:v>
      </x:c>
      <x:c r="N119" s="41" t="str">
        <x:v>nbeats-et0-v1</x:v>
      </x:c>
    </x:row>
    <x:row r="120">
      <x:c r="A120" s="38" t="str">
        <x:v>7月30日现场数据</x:v>
      </x:c>
      <x:c r="B120" s="39" t="str">
        <x:v>2026-08-05T09:00:00</x:v>
      </x:c>
      <x:c r="C120" s="39" t="str">
        <x:v>2026-08-05T10:00:00</x:v>
      </x:c>
      <x:c r="D120" s="40" t="n">
        <x:v>0.18680120327716143</x:v>
      </x:c>
      <x:c r="E120" s="40" t="n">
        <x:v>0.5831323266029358</x:v>
      </x:c>
      <x:c r="F120" s="40" t="n">
        <x:v>0.7268176078796387</x:v>
      </x:c>
      <x:c r="G120" s="40" t="n">
        <x:v>0.6944807939061589</x:v>
      </x:c>
      <x:c r="H120" s="40" t="n">
        <x:f>E120-D120</x:f>
        <x:v>0.39633112332577436</x:v>
      </x:c>
      <x:c r="I120" s="40" t="n">
        <x:f>ABS(H120)</x:f>
        <x:v>0.39633112332577436</x:v>
      </x:c>
      <x:c r="J120" s="40" t="n">
        <x:f>H120^2</x:f>
        <x:v>0.15707835931667016</x:v>
      </x:c>
      <x:c r="K120" s="40" t="n">
        <x:f>F120-D120</x:f>
        <x:v>0.5400164046024772</x:v>
      </x:c>
      <x:c r="L120" s="40" t="n">
        <x:f>ABS(K120)</x:f>
        <x:v>0.5400164046024772</x:v>
      </x:c>
      <x:c r="M120" s="40" t="n">
        <x:f>G120-D120</x:f>
        <x:v>0.5076795906289975</x:v>
      </x:c>
      <x:c r="N120" s="41" t="str">
        <x:v>nbeats-et0-v1</x:v>
      </x:c>
    </x:row>
    <x:row r="121">
      <x:c r="A121" s="38" t="str">
        <x:v>7月30日现场数据</x:v>
      </x:c>
      <x:c r="B121" s="39" t="str">
        <x:v>2026-08-05T10:00:00</x:v>
      </x:c>
      <x:c r="C121" s="39" t="str">
        <x:v>2026-08-05T11:00:00</x:v>
      </x:c>
      <x:c r="D121" s="40" t="n">
        <x:v>0.15466421005159897</x:v>
      </x:c>
      <x:c r="E121" s="40" t="n">
        <x:v>0.21747663617134094</x:v>
      </x:c>
      <x:c r="F121" s="40" t="n">
        <x:v>0.2781330943107605</x:v>
      </x:c>
      <x:c r="G121" s="40" t="n">
        <x:v>0.18680120327716143</x:v>
      </x:c>
      <x:c r="H121" s="40" t="n">
        <x:f>E121-D121</x:f>
        <x:v>0.06281242611974197</x:v>
      </x:c>
      <x:c r="I121" s="40" t="n">
        <x:f>ABS(H121)</x:f>
        <x:v>0.06281242611974197</x:v>
      </x:c>
      <x:c r="J121" s="40" t="n">
        <x:f>H121^2</x:f>
        <x:v>0.0039454008750480435</x:v>
      </x:c>
      <x:c r="K121" s="40" t="n">
        <x:f>F121-D121</x:f>
        <x:v>0.12346888425916153</x:v>
      </x:c>
      <x:c r="L121" s="40" t="n">
        <x:f>ABS(K121)</x:f>
        <x:v>0.12346888425916153</x:v>
      </x:c>
      <x:c r="M121" s="40" t="n">
        <x:f>G121-D121</x:f>
        <x:v>0.03213699322556246</x:v>
      </x:c>
      <x:c r="N121" s="41" t="str">
        <x:v>nbeats-et0-v1</x:v>
      </x:c>
    </x:row>
    <x:row r="122">
      <x:c r="A122" s="38" t="str">
        <x:v>7月30日现场数据</x:v>
      </x:c>
      <x:c r="B122" s="39" t="str">
        <x:v>2026-08-05T11:00:00</x:v>
      </x:c>
      <x:c r="C122" s="39" t="str">
        <x:v>2026-08-05T12:00:00</x:v>
      </x:c>
      <x:c r="D122" s="40" t="n">
        <x:v>0.09090543191202079</x:v>
      </x:c>
      <x:c r="E122" s="40" t="n">
        <x:v>0.14894169569015503</x:v>
      </x:c>
      <x:c r="F122" s="40" t="n">
        <x:v>0.19169780611991882</x:v>
      </x:c>
      <x:c r="G122" s="40" t="n">
        <x:v>0.15466421005159897</x:v>
      </x:c>
      <x:c r="H122" s="40" t="n">
        <x:f>E122-D122</x:f>
        <x:v>0.05803626377813424</x:v>
      </x:c>
      <x:c r="I122" s="40" t="n">
        <x:f>ABS(H122)</x:f>
        <x:v>0.05803626377813424</x:v>
      </x:c>
      <x:c r="J122" s="40" t="n">
        <x:f>H122^2</x:f>
        <x:v>0.0033682079133251766</x:v>
      </x:c>
      <x:c r="K122" s="40" t="n">
        <x:f>F122-D122</x:f>
        <x:v>0.10079237420789804</x:v>
      </x:c>
      <x:c r="L122" s="40" t="n">
        <x:f>ABS(K122)</x:f>
        <x:v>0.10079237420789804</x:v>
      </x:c>
      <x:c r="M122" s="40" t="n">
        <x:f>G122-D122</x:f>
        <x:v>0.06375877813957818</x:v>
      </x:c>
      <x:c r="N122" s="41" t="str">
        <x:v>nbeats-et0-v1</x:v>
      </x:c>
    </x:row>
    <x:row r="123">
      <x:c r="A123" s="38" t="str">
        <x:v>7月30日现场数据</x:v>
      </x:c>
      <x:c r="B123" s="39" t="str">
        <x:v>2026-08-05T12:00:00</x:v>
      </x:c>
      <x:c r="C123" s="39" t="str">
        <x:v>2026-08-05T13:00:00</x:v>
      </x:c>
      <x:c r="D123" s="40" t="n">
        <x:v>0.13676158861597063</x:v>
      </x:c>
      <x:c r="E123" s="40" t="n">
        <x:v>0.08936744928359985</x:v>
      </x:c>
      <x:c r="F123" s="40" t="n">
        <x:v>0.10851067304611206</x:v>
      </x:c>
      <x:c r="G123" s="40" t="n">
        <x:v>0.09090543191202079</x:v>
      </x:c>
      <x:c r="H123" s="40" t="n">
        <x:f>E123-D123</x:f>
        <x:v>-0.04739413933237077</x:v>
      </x:c>
      <x:c r="I123" s="40" t="n">
        <x:f>ABS(H123)</x:f>
        <x:v>0.04739413933237077</x:v>
      </x:c>
      <x:c r="J123" s="40" t="n">
        <x:f>H123^2</x:f>
        <x:v>0.002246204443056174</x:v>
      </x:c>
      <x:c r="K123" s="40" t="n">
        <x:f>F123-D123</x:f>
        <x:v>-0.028250915569858565</x:v>
      </x:c>
      <x:c r="L123" s="40" t="n">
        <x:f>ABS(K123)</x:f>
        <x:v>0.028250915569858565</x:v>
      </x:c>
      <x:c r="M123" s="40" t="n">
        <x:f>G123-D123</x:f>
        <x:v>-0.04585615670394984</x:v>
      </x:c>
      <x:c r="N123" s="41" t="str">
        <x:v>nbeats-et0-v1</x:v>
      </x:c>
    </x:row>
    <x:row r="124">
      <x:c r="A124" s="38" t="str">
        <x:v>7月30日现场数据</x:v>
      </x:c>
      <x:c r="B124" s="39" t="str">
        <x:v>2026-08-05T13:00:00</x:v>
      </x:c>
      <x:c r="C124" s="39" t="str">
        <x:v>2026-08-05T14:00:00</x:v>
      </x:c>
      <x:c r="D124" s="40" t="n">
        <x:v>0.11056657105234216</x:v>
      </x:c>
      <x:c r="E124" s="40" t="n">
        <x:v>0.0702492967247963</x:v>
      </x:c>
      <x:c r="F124" s="40" t="n">
        <x:v>0.09129824489355087</x:v>
      </x:c>
      <x:c r="G124" s="40" t="n">
        <x:v>0.13676158861597063</x:v>
      </x:c>
      <x:c r="H124" s="40" t="n">
        <x:f>E124-D124</x:f>
        <x:v>-0.040317274327545866</x:v>
      </x:c>
      <x:c r="I124" s="40" t="n">
        <x:f>ABS(H124)</x:f>
        <x:v>0.040317274327545866</x:v>
      </x:c>
      <x:c r="J124" s="40" t="n">
        <x:f>H124^2</x:f>
        <x:v>0.001625482609202589</x:v>
      </x:c>
      <x:c r="K124" s="40" t="n">
        <x:f>F124-D124</x:f>
        <x:v>-0.019268326158791288</x:v>
      </x:c>
      <x:c r="L124" s="40" t="n">
        <x:f>ABS(K124)</x:f>
        <x:v>0.019268326158791288</x:v>
      </x:c>
      <x:c r="M124" s="40" t="n">
        <x:f>G124-D124</x:f>
        <x:v>0.026195017563628464</x:v>
      </x:c>
      <x:c r="N124" s="41" t="str">
        <x:v>nbeats-et0-v1</x:v>
      </x:c>
    </x:row>
    <x:row r="125">
      <x:c r="A125" s="38" t="str">
        <x:v>7月30日现场数据</x:v>
      </x:c>
      <x:c r="B125" s="39" t="str">
        <x:v>2026-08-05T14:00:00</x:v>
      </x:c>
      <x:c r="C125" s="39" t="str">
        <x:v>2026-08-05T15:00:00</x:v>
      </x:c>
      <x:c r="D125" s="40" t="n">
        <x:v>0.09515200409821062</x:v>
      </x:c>
      <x:c r="E125" s="40" t="n">
        <x:v>0.06727103888988495</x:v>
      </x:c>
      <x:c r="F125" s="40" t="n">
        <x:v>0.08733963966369629</x:v>
      </x:c>
      <x:c r="G125" s="40" t="n">
        <x:v>0.11056657105234216</x:v>
      </x:c>
      <x:c r="H125" s="40" t="n">
        <x:f>E125-D125</x:f>
        <x:v>-0.02788096520832567</x:v>
      </x:c>
      <x:c r="I125" s="40" t="n">
        <x:f>ABS(H125)</x:f>
        <x:v>0.02788096520832567</x:v>
      </x:c>
      <x:c r="J125" s="40" t="n">
        <x:f>H125^2</x:f>
        <x:v>0.0007773482209478664</x:v>
      </x:c>
      <x:c r="K125" s="40" t="n">
        <x:f>F125-D125</x:f>
        <x:v>-0.0078123644345143295</x:v>
      </x:c>
      <x:c r="L125" s="40" t="n">
        <x:f>ABS(K125)</x:f>
        <x:v>0.0078123644345143295</x:v>
      </x:c>
      <x:c r="M125" s="40" t="n">
        <x:f>G125-D125</x:f>
        <x:v>0.015414566954131542</x:v>
      </x:c>
      <x:c r="N125" s="41" t="str">
        <x:v>nbeats-et0-v1</x:v>
      </x:c>
    </x:row>
    <x:row r="126">
      <x:c r="A126" s="38" t="str">
        <x:v>7月30日现场数据</x:v>
      </x:c>
      <x:c r="B126" s="39" t="str">
        <x:v>2026-08-05T15:00:00</x:v>
      </x:c>
      <x:c r="C126" s="39" t="str">
        <x:v>2026-08-05T16:00:00</x:v>
      </x:c>
      <x:c r="D126" s="40" t="n">
        <x:v>0.0355243555926365</x:v>
      </x:c>
      <x:c r="E126" s="40" t="n">
        <x:v>0.06102410703897476</x:v>
      </x:c>
      <x:c r="F126" s="40" t="n">
        <x:v>0.07575787603855133</x:v>
      </x:c>
      <x:c r="G126" s="40" t="n">
        <x:v>0.09515200409821062</x:v>
      </x:c>
      <x:c r="H126" s="40" t="n">
        <x:f>E126-D126</x:f>
        <x:v>0.02549975144633826</x:v>
      </x:c>
      <x:c r="I126" s="40" t="n">
        <x:f>ABS(H126)</x:f>
        <x:v>0.02549975144633826</x:v>
      </x:c>
      <x:c r="J126" s="40" t="n">
        <x:f>H126^2</x:f>
        <x:v>0.0006502373238250302</x:v>
      </x:c>
      <x:c r="K126" s="40" t="n">
        <x:f>F126-D126</x:f>
        <x:v>0.04023352044591483</x:v>
      </x:c>
      <x:c r="L126" s="40" t="n">
        <x:f>ABS(K126)</x:f>
        <x:v>0.04023352044591483</x:v>
      </x:c>
      <x:c r="M126" s="40" t="n">
        <x:f>G126-D126</x:f>
        <x:v>0.059627648505574116</x:v>
      </x:c>
      <x:c r="N126" s="41" t="str">
        <x:v>nbeats-et0-v1</x:v>
      </x:c>
    </x:row>
    <x:row r="127">
      <x:c r="A127" s="38" t="str">
        <x:v>7月30日现场数据</x:v>
      </x:c>
      <x:c r="B127" s="39" t="str">
        <x:v>2026-08-05T16:00:00</x:v>
      </x:c>
      <x:c r="C127" s="39" t="str">
        <x:v>2026-08-05T17:00:00</x:v>
      </x:c>
      <x:c r="D127" s="40" t="n">
        <x:v>0.030147441663596567</x:v>
      </x:c>
      <x:c r="E127" s="40" t="n">
        <x:v>0.025678768754005432</x:v>
      </x:c>
      <x:c r="F127" s="40" t="n">
        <x:v>0.031161554157733917</x:v>
      </x:c>
      <x:c r="G127" s="40" t="n">
        <x:v>0.0355243555926365</x:v>
      </x:c>
      <x:c r="H127" s="40" t="n">
        <x:f>E127-D127</x:f>
        <x:v>-0.004468672909591135</x:v>
      </x:c>
      <x:c r="I127" s="40" t="n">
        <x:f>ABS(H127)</x:f>
        <x:v>0.004468672909591135</x:v>
      </x:c>
      <x:c r="J127" s="40" t="n">
        <x:f>H127^2</x:f>
        <x:v>0.0000199690375729137</x:v>
      </x:c>
      <x:c r="K127" s="40" t="n">
        <x:f>F127-D127</x:f>
        <x:v>0.0010141124941373501</x:v>
      </x:c>
      <x:c r="L127" s="40" t="n">
        <x:f>ABS(K127)</x:f>
        <x:v>0.0010141124941373501</x:v>
      </x:c>
      <x:c r="M127" s="40" t="n">
        <x:f>G127-D127</x:f>
        <x:v>0.005376913929039936</x:v>
      </x:c>
      <x:c r="N127" s="41" t="str">
        <x:v>nbeats-et0-v1</x:v>
      </x:c>
    </x:row>
    <x:row r="128">
      <x:c r="A128" s="38" t="str">
        <x:v>7月30日现场数据</x:v>
      </x:c>
      <x:c r="B128" s="39" t="str">
        <x:v>2026-08-05T17:00:00</x:v>
      </x:c>
      <x:c r="C128" s="39" t="str">
        <x:v>2026-08-05T18:00:00</x:v>
      </x:c>
      <x:c r="D128" s="40" t="n">
        <x:v>0.0007792757473650644</x:v>
      </x:c>
      <x:c r="E128" s="40" t="n">
        <x:v>0.011363208293914795</x:v>
      </x:c>
      <x:c r="F128" s="40" t="n">
        <x:v>0.013446316123008728</x:v>
      </x:c>
      <x:c r="G128" s="40" t="n">
        <x:v>0.030147441663596567</x:v>
      </x:c>
      <x:c r="H128" s="40" t="n">
        <x:f>E128-D128</x:f>
        <x:v>0.01058393254654973</x:v>
      </x:c>
      <x:c r="I128" s="40" t="n">
        <x:f>ABS(H128)</x:f>
        <x:v>0.01058393254654973</x:v>
      </x:c>
      <x:c r="J128" s="40" t="n">
        <x:f>H128^2</x:f>
        <x:v>0.00011201962814991465</x:v>
      </x:c>
      <x:c r="K128" s="40" t="n">
        <x:f>F128-D128</x:f>
        <x:v>0.012667040375643663</x:v>
      </x:c>
      <x:c r="L128" s="40" t="n">
        <x:f>ABS(K128)</x:f>
        <x:v>0.012667040375643663</x:v>
      </x:c>
      <x:c r="M128" s="40" t="n">
        <x:f>G128-D128</x:f>
        <x:v>0.029368165916231502</x:v>
      </x:c>
      <x:c r="N128" s="41" t="str">
        <x:v>nbeats-et0-v1</x:v>
      </x:c>
    </x:row>
    <x:row r="129">
      <x:c r="A129" s="38" t="str">
        <x:v>7月30日现场数据</x:v>
      </x:c>
      <x:c r="B129" s="39" t="str">
        <x:v>2026-08-05T18:00:00</x:v>
      </x:c>
      <x:c r="C129" s="39" t="str">
        <x:v>2026-08-05T19:00:00</x:v>
      </x:c>
      <x:c r="D129" s="40" t="n">
        <x:v>0.0029648025468483404</x:v>
      </x:c>
      <x:c r="E129" s="40" t="n">
        <x:v>0.011882022023200989</x:v>
      </x:c>
      <x:c r="F129" s="40" t="n">
        <x:v>0.012439310550689697</x:v>
      </x:c>
      <x:c r="G129" s="40" t="n">
        <x:v>0.0007792757473650644</x:v>
      </x:c>
      <x:c r="H129" s="40" t="n">
        <x:f>E129-D129</x:f>
        <x:v>0.008917219476352649</x:v>
      </x:c>
      <x:c r="I129" s="40" t="n">
        <x:f>ABS(H129)</x:f>
        <x:v>0.008917219476352649</x:v>
      </x:c>
      <x:c r="J129" s="40" t="n">
        <x:f>H129^2</x:f>
        <x:v>0.000079516803189443</x:v>
      </x:c>
      <x:c r="K129" s="40" t="n">
        <x:f>F129-D129</x:f>
        <x:v>0.009474508003841357</x:v>
      </x:c>
      <x:c r="L129" s="40" t="n">
        <x:f>ABS(K129)</x:f>
        <x:v>0.009474508003841357</x:v>
      </x:c>
      <x:c r="M129" s="40" t="n">
        <x:f>G129-D129</x:f>
        <x:v>-0.0021855267994832757</x:v>
      </x:c>
      <x:c r="N129" s="41" t="str">
        <x:v>nbeats-et0-v1</x:v>
      </x:c>
    </x:row>
    <x:row r="130">
      <x:c r="A130" s="38" t="str">
        <x:v>7月30日现场数据</x:v>
      </x:c>
      <x:c r="B130" s="39" t="str">
        <x:v>2026-08-05T19:00:00</x:v>
      </x:c>
      <x:c r="C130" s="39" t="str">
        <x:v>2026-08-05T20:00:00</x:v>
      </x:c>
      <x:c r="D130" s="40" t="n">
        <x:v>0</x:v>
      </x:c>
      <x:c r="E130" s="40" t="n">
        <x:v>0.016447022557258606</x:v>
      </x:c>
      <x:c r="F130" s="40" t="n">
        <x:v>0.01522904634475708</x:v>
      </x:c>
      <x:c r="G130" s="40" t="n">
        <x:v>0.0029648025468483404</x:v>
      </x:c>
      <x:c r="H130" s="40" t="n">
        <x:f>E130-D130</x:f>
        <x:v>0.016447022557258606</x:v>
      </x:c>
      <x:c r="I130" s="40" t="n">
        <x:f>ABS(H130)</x:f>
        <x:v>0.016447022557258606</x:v>
      </x:c>
      <x:c r="J130" s="40" t="n">
        <x:f>H130^2</x:f>
        <x:v>0.0002705045509989734</x:v>
      </x:c>
      <x:c r="K130" s="40" t="n">
        <x:f>F130-D130</x:f>
        <x:v>0.01522904634475708</x:v>
      </x:c>
      <x:c r="L130" s="40" t="n">
        <x:f>ABS(K130)</x:f>
        <x:v>0.01522904634475708</x:v>
      </x:c>
      <x:c r="M130" s="40" t="n">
        <x:f>G130-D130</x:f>
        <x:v>0.0029648025468483404</x:v>
      </x:c>
      <x:c r="N130" s="41" t="str">
        <x:v>nbeats-et0-v1</x:v>
      </x:c>
    </x:row>
    <x:row r="131">
      <x:c r="A131" s="42" t="str">
        <x:v>7月30日现场数据</x:v>
      </x:c>
      <x:c r="B131" s="43" t="str">
        <x:v>2026-08-05T20:00:00</x:v>
      </x:c>
      <x:c r="C131" s="43" t="str">
        <x:v>2026-08-05T21:00:00</x:v>
      </x:c>
      <x:c r="D131" s="44" t="n">
        <x:v>0.00832436844873646</x:v>
      </x:c>
      <x:c r="E131" s="44" t="n">
        <x:v>0.013235002756118774</x:v>
      </x:c>
      <x:c r="F131" s="44" t="n">
        <x:v>0.014918744564056396</x:v>
      </x:c>
      <x:c r="G131" s="44" t="n">
        <x:v>0</x:v>
      </x:c>
      <x:c r="H131" s="44" t="n">
        <x:f>E131-D131</x:f>
        <x:v>0.004910634307382315</x:v>
      </x:c>
      <x:c r="I131" s="44" t="n">
        <x:f>ABS(H131)</x:f>
        <x:v>0.004910634307382315</x:v>
      </x:c>
      <x:c r="J131" s="44" t="n">
        <x:f>H131^2</x:f>
        <x:v>0.000024114329300840183</x:v>
      </x:c>
      <x:c r="K131" s="44" t="n">
        <x:f>F131-D131</x:f>
        <x:v>0.006594376115319937</x:v>
      </x:c>
      <x:c r="L131" s="44" t="n">
        <x:f>ABS(K131)</x:f>
        <x:v>0.006594376115319937</x:v>
      </x:c>
      <x:c r="M131" s="44" t="n">
        <x:f>G131-D131</x:f>
        <x:v>-0.00832436844873646</x:v>
      </x:c>
      <x:c r="N131" s="45" t="str">
        <x:v>nbeats-et0-v1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</x:cols>
  <x:sheetData>
    <x:row r="1" ht="34" customHeight="1">
      <x:c r="A1" s="3" t="str">
        <x:v>实测计算 ET₀｜小时聚合与公式输入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8" t="str">
        <x:v>小时</x:v>
      </x:c>
      <x:c r="B3" s="36" t="str">
        <x:v>数据源</x:v>
      </x:c>
      <x:c r="C3" s="36" t="str">
        <x:v>气温°C</x:v>
      </x:c>
      <x:c r="D3" s="36" t="str">
        <x:v>相对湿度%</x:v>
      </x:c>
      <x:c r="E3" s="36" t="str">
        <x:v>风速m/s</x:v>
      </x:c>
      <x:c r="F3" s="36" t="str">
        <x:v>入射辐射W/m²</x:v>
      </x:c>
      <x:c r="G3" s="36" t="str">
        <x:v>净短波W/m²</x:v>
      </x:c>
      <x:c r="H3" s="36" t="str">
        <x:v>样本数</x:v>
      </x:c>
      <x:c r="I3" s="36" t="str">
        <x:v>气压kPa</x:v>
      </x:c>
      <x:c r="J3" s="36" t="str">
        <x:v>实测计算ET₀</x:v>
      </x:c>
      <x:c r="K3" s="36" t="str">
        <x:v>当前部署输入ET₀</x:v>
      </x:c>
      <x:c r="L3" s="36" t="str">
        <x:v>修正输入ET₀</x:v>
      </x:c>
      <x:c r="M3" s="37" t="str">
        <x:v>公式说明</x:v>
      </x:c>
    </x:row>
    <x:row r="4">
      <x:c r="A4" s="46" t="str">
        <x:v>2026-07-30T14:00:00</x:v>
      </x:c>
      <x:c r="B4" s="47" t="str">
        <x:v>7月30日现场数据</x:v>
      </x:c>
      <x:c r="C4" s="40" t="n">
        <x:v>36.05083333333334</x:v>
      </x:c>
      <x:c r="D4" s="40" t="n">
        <x:v>53.8725</x:v>
      </x:c>
      <x:c r="E4" s="40" t="n">
        <x:v>0.049499999999999995</x:v>
      </x:c>
      <x:c r="F4" s="40" t="n">
        <x:v>41.083333333333336</x:v>
      </x:c>
      <x:c r="G4" s="40" t="n">
        <x:v>30.25</x:v>
      </x:c>
      <x:c r="H4" s="40" t="n">
        <x:v>12</x:v>
      </x:c>
      <x:c r="I4" s="40" t="n">
        <x:v>100.91666666666666</x:v>
      </x:c>
      <x:c r="J4" s="40" t="n">
        <x:v>0.03952203794334053</x:v>
      </x:c>
      <x:c r="K4" s="40" t="n">
        <x:v>0.031068392827749747</x:v>
      </x:c>
      <x:c r="L4" s="40" t="n">
        <x:v>0.03952203794334053</x:v>
      </x:c>
      <x:c r="M4" s="41" t="str">
        <x:v>FAO-56 Penman–Monteith（小时）</x:v>
      </x:c>
    </x:row>
    <x:row r="5">
      <x:c r="A5" s="46" t="str">
        <x:v>2026-07-30T15:00:00</x:v>
      </x:c>
      <x:c r="B5" s="47" t="str">
        <x:v>7月30日现场数据</x:v>
      </x:c>
      <x:c r="C5" s="40" t="n">
        <x:v>36.65</x:v>
      </x:c>
      <x:c r="D5" s="40" t="n">
        <x:v>54.387499999999996</x:v>
      </x:c>
      <x:c r="E5" s="40" t="n">
        <x:v>0.09891666666666667</x:v>
      </x:c>
      <x:c r="F5" s="40" t="n">
        <x:v>93.25</x:v>
      </x:c>
      <x:c r="G5" s="40" t="n">
        <x:v>67.5</x:v>
      </x:c>
      <x:c r="H5" s="40" t="n">
        <x:v>12</x:v>
      </x:c>
      <x:c r="I5" s="40" t="n">
        <x:v>100.9</x:v>
      </x:c>
      <x:c r="J5" s="40" t="n">
        <x:v>0.08767893305674226</x:v>
      </x:c>
      <x:c r="K5" s="40" t="n">
        <x:v>0.06877586556693091</x:v>
      </x:c>
      <x:c r="L5" s="40" t="n">
        <x:v>0.08767893305674226</x:v>
      </x:c>
      <x:c r="M5" s="41" t="str">
        <x:v>FAO-56 Penman–Monteith（小时）</x:v>
      </x:c>
    </x:row>
    <x:row r="6">
      <x:c r="A6" s="46" t="str">
        <x:v>2026-07-30T16:00:00</x:v>
      </x:c>
      <x:c r="B6" s="47" t="str">
        <x:v>7月30日现场数据</x:v>
      </x:c>
      <x:c r="C6" s="40" t="n">
        <x:v>29.560000000000002</x:v>
      </x:c>
      <x:c r="D6" s="40" t="n">
        <x:v>52.67583333333334</x:v>
      </x:c>
      <x:c r="E6" s="40" t="n">
        <x:v>0.5301666666666667</x:v>
      </x:c>
      <x:c r="F6" s="40" t="n">
        <x:v>16.583333333333332</x:v>
      </x:c>
      <x:c r="G6" s="40" t="n">
        <x:v>12.75</x:v>
      </x:c>
      <x:c r="H6" s="40" t="n">
        <x:v>12</x:v>
      </x:c>
      <x:c r="I6" s="40" t="n">
        <x:v>100.9</x:v>
      </x:c>
      <x:c r="J6" s="40" t="n">
        <x:v>0.04089856542836039</x:v>
      </x:c>
      <x:c r="K6" s="40" t="n">
        <x:v>0.037666458814007125</x:v>
      </x:c>
      <x:c r="L6" s="40" t="n">
        <x:v>0.04089856542836039</x:v>
      </x:c>
      <x:c r="M6" s="41" t="str">
        <x:v>FAO-56 Penman–Monteith（小时）</x:v>
      </x:c>
    </x:row>
    <x:row r="7">
      <x:c r="A7" s="46" t="str">
        <x:v>2026-07-30T17:00:00</x:v>
      </x:c>
      <x:c r="B7" s="47" t="str">
        <x:v>7月30日现场数据</x:v>
      </x:c>
      <x:c r="C7" s="40" t="n">
        <x:v>30.522499999999997</x:v>
      </x:c>
      <x:c r="D7" s="40" t="n">
        <x:v>55.46416666666667</x:v>
      </x:c>
      <x:c r="E7" s="40" t="n">
        <x:v>0.26375</x:v>
      </x:c>
      <x:c r="F7" s="40" t="n">
        <x:v>28.333333333333332</x:v>
      </x:c>
      <x:c r="G7" s="40" t="n">
        <x:v>21.5</x:v>
      </x:c>
      <x:c r="H7" s="40" t="n">
        <x:v>12</x:v>
      </x:c>
      <x:c r="I7" s="40" t="n">
        <x:v>100.9</x:v>
      </x:c>
      <x:c r="J7" s="40" t="n">
        <x:v>0.03743728671250725</x:v>
      </x:c>
      <x:c r="K7" s="40" t="n">
        <x:v>0.03181876203465249</x:v>
      </x:c>
      <x:c r="L7" s="40" t="n">
        <x:v>0.03743728671250725</x:v>
      </x:c>
      <x:c r="M7" s="41" t="str">
        <x:v>FAO-56 Penman–Monteith（小时）</x:v>
      </x:c>
    </x:row>
    <x:row r="8">
      <x:c r="A8" s="46" t="str">
        <x:v>2026-07-30T18:00:00</x:v>
      </x:c>
      <x:c r="B8" s="47" t="str">
        <x:v>7月30日现场数据</x:v>
      </x:c>
      <x:c r="C8" s="40" t="n">
        <x:v>30.464166666666667</x:v>
      </x:c>
      <x:c r="D8" s="40" t="n">
        <x:v>58.17416666666667</x:v>
      </x:c>
      <x:c r="E8" s="40" t="n">
        <x:v>0.01375</x:v>
      </x:c>
      <x:c r="F8" s="40" t="n">
        <x:v>6.083333333333333</x:v>
      </x:c>
      <x:c r="G8" s="40" t="n">
        <x:v>4.583333333333333</x:v>
      </x:c>
      <x:c r="H8" s="40" t="n">
        <x:v>12</x:v>
      </x:c>
      <x:c r="I8" s="40" t="n">
        <x:v>100.9</x:v>
      </x:c>
      <x:c r="J8" s="40" t="n">
        <x:v>0.005945786139579</x:v>
      </x:c>
      <x:c r="K8" s="40" t="n">
        <x:v>0.004727253346597172</x:v>
      </x:c>
      <x:c r="L8" s="40" t="n">
        <x:v>0.005945786139579</x:v>
      </x:c>
      <x:c r="M8" s="41" t="str">
        <x:v>FAO-56 Penman–Monteith（小时）</x:v>
      </x:c>
    </x:row>
    <x:row r="9">
      <x:c r="A9" s="46" t="str">
        <x:v>2026-07-30T19:00:00</x:v>
      </x:c>
      <x:c r="B9" s="47" t="str">
        <x:v>7月30日现场数据</x:v>
      </x:c>
      <x:c r="C9" s="40" t="n">
        <x:v>31.004166666666666</x:v>
      </x:c>
      <x:c r="D9" s="40" t="n">
        <x:v>60.105</x:v>
      </x:c>
      <x:c r="E9" s="40" t="n">
        <x:v>0.17308333333333334</x:v>
      </x:c>
      <x:c r="F9" s="40" t="n">
        <x:v>0</x:v>
      </x:c>
      <x:c r="G9" s="40" t="n">
        <x:v>0</x:v>
      </x:c>
      <x:c r="H9" s="40" t="n">
        <x:v>12</x:v>
      </x:c>
      <x:c r="I9" s="40" t="n">
        <x:v>100.99166666666666</x:v>
      </x:c>
      <x:c r="J9" s="40" t="n">
        <x:v>0.007758177044120496</x:v>
      </x:c>
      <x:c r="K9" s="40" t="n">
        <x:v>0.007758177044120496</x:v>
      </x:c>
      <x:c r="L9" s="40" t="n">
        <x:v>0.007758177044120496</x:v>
      </x:c>
      <x:c r="M9" s="41" t="str">
        <x:v>FAO-56 Penman–Monteith（小时）</x:v>
      </x:c>
    </x:row>
    <x:row r="10">
      <x:c r="A10" s="46" t="str">
        <x:v>2026-07-30T20:00:00</x:v>
      </x:c>
      <x:c r="B10" s="47" t="str">
        <x:v>7月30日现场数据</x:v>
      </x:c>
      <x:c r="C10" s="40" t="n">
        <x:v>31.021666666666665</x:v>
      </x:c>
      <x:c r="D10" s="40" t="n">
        <x:v>61.12166666666667</x:v>
      </x:c>
      <x:c r="E10" s="40" t="n">
        <x:v>0.24175000000000002</x:v>
      </x:c>
      <x:c r="F10" s="40" t="n">
        <x:v>0</x:v>
      </x:c>
      <x:c r="G10" s="40" t="n">
        <x:v>0</x:v>
      </x:c>
      <x:c r="H10" s="40" t="n">
        <x:v>12</x:v>
      </x:c>
      <x:c r="I10" s="40" t="n">
        <x:v>101.01666666666667</x:v>
      </x:c>
      <x:c r="J10" s="40" t="n">
        <x:v>0.010514307718372131</x:v>
      </x:c>
      <x:c r="K10" s="40" t="n">
        <x:v>0.010514307718372131</x:v>
      </x:c>
      <x:c r="L10" s="40" t="n">
        <x:v>0.010514307718372131</x:v>
      </x:c>
      <x:c r="M10" s="41" t="str">
        <x:v>FAO-56 Penman–Monteith（小时）</x:v>
      </x:c>
    </x:row>
    <x:row r="11">
      <x:c r="A11" s="46" t="str">
        <x:v>2026-07-30T21:00:00</x:v>
      </x:c>
      <x:c r="B11" s="47" t="str">
        <x:v>7月30日现场数据</x:v>
      </x:c>
      <x:c r="C11" s="40" t="n">
        <x:v>30.997500000000002</x:v>
      </x:c>
      <x:c r="D11" s="40" t="n">
        <x:v>61.89666666666667</x:v>
      </x:c>
      <x:c r="E11" s="40" t="n">
        <x:v>0.022000000000000002</x:v>
      </x:c>
      <x:c r="F11" s="40" t="n">
        <x:v>0</x:v>
      </x:c>
      <x:c r="G11" s="40" t="n">
        <x:v>0</x:v>
      </x:c>
      <x:c r="H11" s="40" t="n">
        <x:v>12</x:v>
      </x:c>
      <x:c r="I11" s="40" t="n">
        <x:v>101.09166666666667</x:v>
      </x:c>
      <x:c r="J11" s="40" t="n">
        <x:v>0.0009525257580240493</x:v>
      </x:c>
      <x:c r="K11" s="40" t="n">
        <x:v>0.0009525257580240493</x:v>
      </x:c>
      <x:c r="L11" s="40" t="n">
        <x:v>0.0009525257580240493</x:v>
      </x:c>
      <x:c r="M11" s="41" t="str">
        <x:v>FAO-56 Penman–Monteith（小时）</x:v>
      </x:c>
    </x:row>
    <x:row r="12">
      <x:c r="A12" s="46" t="str">
        <x:v>2026-07-30T22:00:00</x:v>
      </x:c>
      <x:c r="B12" s="47" t="str">
        <x:v>7月30日现场数据</x:v>
      </x:c>
      <x:c r="C12" s="40" t="n">
        <x:v>31.263333333333335</x:v>
      </x:c>
      <x:c r="D12" s="40" t="n">
        <x:v>62.634166666666665</x:v>
      </x:c>
      <x:c r="E12" s="40" t="n">
        <x:v>0</x:v>
      </x:c>
      <x:c r="F12" s="40" t="n">
        <x:v>0</x:v>
      </x:c>
      <x:c r="G12" s="40" t="n">
        <x:v>0</x:v>
      </x:c>
      <x:c r="H12" s="40" t="n">
        <x:v>12</x:v>
      </x:c>
      <x:c r="I12" s="40" t="n">
        <x:v>101.08333333333334</x:v>
      </x:c>
      <x:c r="J12" s="40" t="n">
        <x:v>0</x:v>
      </x:c>
      <x:c r="K12" s="40" t="n">
        <x:v>0</x:v>
      </x:c>
      <x:c r="L12" s="40" t="n">
        <x:v>0</x:v>
      </x:c>
      <x:c r="M12" s="41" t="str">
        <x:v>FAO-56 Penman–Monteith（小时）</x:v>
      </x:c>
    </x:row>
    <x:row r="13">
      <x:c r="A13" s="46" t="str">
        <x:v>2026-07-30T23:00:00</x:v>
      </x:c>
      <x:c r="B13" s="47" t="str">
        <x:v>7月30日现场数据</x:v>
      </x:c>
      <x:c r="C13" s="40" t="n">
        <x:v>30.88416666666667</x:v>
      </x:c>
      <x:c r="D13" s="40" t="n">
        <x:v>63.137499999999996</x:v>
      </x:c>
      <x:c r="E13" s="40" t="n">
        <x:v>0</x:v>
      </x:c>
      <x:c r="F13" s="40" t="n">
        <x:v>0</x:v>
      </x:c>
      <x:c r="G13" s="40" t="n">
        <x:v>0</x:v>
      </x:c>
      <x:c r="H13" s="40" t="n">
        <x:v>12</x:v>
      </x:c>
      <x:c r="I13" s="40" t="n">
        <x:v>101.09166666666667</x:v>
      </x:c>
      <x:c r="J13" s="40" t="n">
        <x:v>0</x:v>
      </x:c>
      <x:c r="K13" s="40" t="n">
        <x:v>0</x:v>
      </x:c>
      <x:c r="L13" s="40" t="n">
        <x:v>0</x:v>
      </x:c>
      <x:c r="M13" s="41" t="str">
        <x:v>FAO-56 Penman–Monteith（小时）</x:v>
      </x:c>
    </x:row>
    <x:row r="14">
      <x:c r="A14" s="46" t="str">
        <x:v>2026-07-31T00:00:00</x:v>
      </x:c>
      <x:c r="B14" s="47" t="str">
        <x:v>7月30日现场数据</x:v>
      </x:c>
      <x:c r="C14" s="40" t="n">
        <x:v>30.484166666666667</x:v>
      </x:c>
      <x:c r="D14" s="40" t="n">
        <x:v>63.653333333333336</x:v>
      </x:c>
      <x:c r="E14" s="40" t="n">
        <x:v>0.043916666666666666</x:v>
      </x:c>
      <x:c r="F14" s="40" t="n">
        <x:v>0</x:v>
      </x:c>
      <x:c r="G14" s="40" t="n">
        <x:v>0</x:v>
      </x:c>
      <x:c r="H14" s="40" t="n">
        <x:v>12</x:v>
      </x:c>
      <x:c r="I14" s="40" t="n">
        <x:v>101.025</x:v>
      </x:c>
      <x:c r="J14" s="40" t="n">
        <x:v>0.0017964165408133974</x:v>
      </x:c>
      <x:c r="K14" s="40" t="n">
        <x:v>0.0017964165408133974</x:v>
      </x:c>
      <x:c r="L14" s="40" t="n">
        <x:v>0.0017964165408133974</x:v>
      </x:c>
      <x:c r="M14" s="41" t="str">
        <x:v>FAO-56 Penman–Monteith（小时）</x:v>
      </x:c>
    </x:row>
    <x:row r="15">
      <x:c r="A15" s="46" t="str">
        <x:v>2026-07-31T01:00:00</x:v>
      </x:c>
      <x:c r="B15" s="47" t="str">
        <x:v>7月30日现场数据</x:v>
      </x:c>
      <x:c r="C15" s="40" t="n">
        <x:v>30.39833333333333</x:v>
      </x:c>
      <x:c r="D15" s="40" t="n">
        <x:v>64.29</x:v>
      </x:c>
      <x:c r="E15" s="40" t="n">
        <x:v>0.0027500000000000003</x:v>
      </x:c>
      <x:c r="F15" s="40" t="n">
        <x:v>0</x:v>
      </x:c>
      <x:c r="G15" s="40" t="n">
        <x:v>0</x:v>
      </x:c>
      <x:c r="H15" s="40" t="n">
        <x:v>12</x:v>
      </x:c>
      <x:c r="I15" s="40" t="n">
        <x:v>101</x:v>
      </x:c>
      <x:c r="J15" s="40" t="n">
        <x:v>0.00011068516610387652</x:v>
      </x:c>
      <x:c r="K15" s="40" t="n">
        <x:v>0.00011068516610387652</x:v>
      </x:c>
      <x:c r="L15" s="40" t="n">
        <x:v>0.00011068516610387652</x:v>
      </x:c>
      <x:c r="M15" s="41" t="str">
        <x:v>FAO-56 Penman–Monteith（小时）</x:v>
      </x:c>
    </x:row>
    <x:row r="16">
      <x:c r="A16" s="46" t="str">
        <x:v>2026-07-31T02:00:00</x:v>
      </x:c>
      <x:c r="B16" s="47" t="str">
        <x:v>7月30日现场数据</x:v>
      </x:c>
      <x:c r="C16" s="40" t="n">
        <x:v>30.455</x:v>
      </x:c>
      <x:c r="D16" s="40" t="n">
        <x:v>64.93666666666667</x:v>
      </x:c>
      <x:c r="E16" s="40" t="n">
        <x:v>0.06591666666666667</x:v>
      </x:c>
      <x:c r="F16" s="40" t="n">
        <x:v>0</x:v>
      </x:c>
      <x:c r="G16" s="40" t="n">
        <x:v>0</x:v>
      </x:c>
      <x:c r="H16" s="40" t="n">
        <x:v>12</x:v>
      </x:c>
      <x:c r="I16" s="40" t="n">
        <x:v>101</x:v>
      </x:c>
      <x:c r="J16" s="40" t="n">
        <x:v>0.002595383368442029</x:v>
      </x:c>
      <x:c r="K16" s="40" t="n">
        <x:v>0.002595383368442029</x:v>
      </x:c>
      <x:c r="L16" s="40" t="n">
        <x:v>0.002595383368442029</x:v>
      </x:c>
      <x:c r="M16" s="41" t="str">
        <x:v>FAO-56 Penman–Monteith（小时）</x:v>
      </x:c>
    </x:row>
    <x:row r="17">
      <x:c r="A17" s="46" t="str">
        <x:v>2026-07-31T03:00:00</x:v>
      </x:c>
      <x:c r="B17" s="47" t="str">
        <x:v>7月30日现场数据</x:v>
      </x:c>
      <x:c r="C17" s="40" t="n">
        <x:v>30.035</x:v>
      </x:c>
      <x:c r="D17" s="40" t="n">
        <x:v>65.295</x:v>
      </x:c>
      <x:c r="E17" s="40" t="n">
        <x:v>0</x:v>
      </x:c>
      <x:c r="F17" s="40" t="n">
        <x:v>0</x:v>
      </x:c>
      <x:c r="G17" s="40" t="n">
        <x:v>0</x:v>
      </x:c>
      <x:c r="H17" s="40" t="n">
        <x:v>12</x:v>
      </x:c>
      <x:c r="I17" s="40" t="n">
        <x:v>101</x:v>
      </x:c>
      <x:c r="J17" s="40" t="n">
        <x:v>0</x:v>
      </x:c>
      <x:c r="K17" s="40" t="n">
        <x:v>0</x:v>
      </x:c>
      <x:c r="L17" s="40" t="n">
        <x:v>0</x:v>
      </x:c>
      <x:c r="M17" s="41" t="str">
        <x:v>FAO-56 Penman–Monteith（小时）</x:v>
      </x:c>
    </x:row>
    <x:row r="18">
      <x:c r="A18" s="46" t="str">
        <x:v>2026-07-31T04:00:00</x:v>
      </x:c>
      <x:c r="B18" s="47" t="str">
        <x:v>7月30日现场数据</x:v>
      </x:c>
      <x:c r="C18" s="40" t="n">
        <x:v>29.729166666666668</x:v>
      </x:c>
      <x:c r="D18" s="40" t="n">
        <x:v>65.58416666666666</x:v>
      </x:c>
      <x:c r="E18" s="40" t="n">
        <x:v>0.33791666666666664</x:v>
      </x:c>
      <x:c r="F18" s="40" t="n">
        <x:v>0</x:v>
      </x:c>
      <x:c r="G18" s="40" t="n">
        <x:v>0</x:v>
      </x:c>
      <x:c r="H18" s="40" t="n">
        <x:v>12</x:v>
      </x:c>
      <x:c r="I18" s="40" t="n">
        <x:v>101</x:v>
      </x:c>
      <x:c r="J18" s="40" t="n">
        <x:v>0.012662165604816571</x:v>
      </x:c>
      <x:c r="K18" s="40" t="n">
        <x:v>0.012662165604816571</x:v>
      </x:c>
      <x:c r="L18" s="40" t="n">
        <x:v>0.012662165604816571</x:v>
      </x:c>
      <x:c r="M18" s="41" t="str">
        <x:v>FAO-56 Penman–Monteith（小时）</x:v>
      </x:c>
    </x:row>
    <x:row r="19">
      <x:c r="A19" s="46" t="str">
        <x:v>2026-07-31T05:00:00</x:v>
      </x:c>
      <x:c r="B19" s="47" t="str">
        <x:v>7月30日现场数据</x:v>
      </x:c>
      <x:c r="C19" s="40" t="n">
        <x:v>29.498333333333335</x:v>
      </x:c>
      <x:c r="D19" s="40" t="n">
        <x:v>66.07166666666667</x:v>
      </x:c>
      <x:c r="E19" s="40" t="n">
        <x:v>0.03025</x:v>
      </x:c>
      <x:c r="F19" s="40" t="n">
        <x:v>5.916666666666667</x:v>
      </x:c>
      <x:c r="G19" s="40" t="n">
        <x:v>4.5</x:v>
      </x:c>
      <x:c r="H19" s="40" t="n">
        <x:v>12</x:v>
      </x:c>
      <x:c r="I19" s="40" t="n">
        <x:v>101.06666666666666</x:v>
      </x:c>
      <x:c r="J19" s="40" t="n">
        <x:v>0.006278793155626965</x:v>
      </x:c>
      <x:c r="K19" s="40" t="n">
        <x:v>0.005096757896014804</x:v>
      </x:c>
      <x:c r="L19" s="40" t="n">
        <x:v>0.006278793155626965</x:v>
      </x:c>
      <x:c r="M19" s="41" t="str">
        <x:v>FAO-56 Penman–Monteith（小时）</x:v>
      </x:c>
    </x:row>
    <x:row r="20">
      <x:c r="A20" s="46" t="str">
        <x:v>2026-07-31T06:00:00</x:v>
      </x:c>
      <x:c r="B20" s="47" t="str">
        <x:v>7月30日现场数据</x:v>
      </x:c>
      <x:c r="C20" s="40" t="n">
        <x:v>30.616666666666664</x:v>
      </x:c>
      <x:c r="D20" s="40" t="n">
        <x:v>67.16666666666667</x:v>
      </x:c>
      <x:c r="E20" s="40" t="n">
        <x:v>0</x:v>
      </x:c>
      <x:c r="F20" s="40" t="n">
        <x:v>23.833333333333332</x:v>
      </x:c>
      <x:c r="G20" s="40" t="n">
        <x:v>18.416666666666668</x:v>
      </x:c>
      <x:c r="H20" s="40" t="n">
        <x:v>12</x:v>
      </x:c>
      <x:c r="I20" s="40" t="n">
        <x:v>101.1</x:v>
      </x:c>
      <x:c r="J20" s="40" t="n">
        <x:v>0.021334577240709512</x:v>
      </x:c>
      <x:c r="K20" s="40" t="n">
        <x:v>0.016427624475346323</x:v>
      </x:c>
      <x:c r="L20" s="40" t="n">
        <x:v>0.021334577240709512</x:v>
      </x:c>
      <x:c r="M20" s="41" t="str">
        <x:v>FAO-56 Penman–Monteith（小时）</x:v>
      </x:c>
    </x:row>
    <x:row r="21">
      <x:c r="A21" s="46" t="str">
        <x:v>2026-07-31T07:00:00</x:v>
      </x:c>
      <x:c r="B21" s="47" t="str">
        <x:v>7月30日现场数据</x:v>
      </x:c>
      <x:c r="C21" s="40" t="n">
        <x:v>31.810833333333335</x:v>
      </x:c>
      <x:c r="D21" s="40" t="n">
        <x:v>68.17583333333333</x:v>
      </x:c>
      <x:c r="E21" s="40" t="n">
        <x:v>0.0055000000000000005</x:v>
      </x:c>
      <x:c r="F21" s="40" t="n">
        <x:v>49.25</x:v>
      </x:c>
      <x:c r="G21" s="40" t="n">
        <x:v>38.5</x:v>
      </x:c>
      <x:c r="H21" s="40" t="n">
        <x:v>12</x:v>
      </x:c>
      <x:c r="I21" s="40" t="n">
        <x:v>101.1</x:v>
      </x:c>
      <x:c r="J21" s="40" t="n">
        <x:v>0.04533072264778874</x:v>
      </x:c>
      <x:c r="K21" s="40" t="n">
        <x:v>0.034950992268466666</x:v>
      </x:c>
      <x:c r="L21" s="40" t="n">
        <x:v>0.04533072264778874</x:v>
      </x:c>
      <x:c r="M21" s="41" t="str">
        <x:v>FAO-56 Penman–Monteith（小时）</x:v>
      </x:c>
    </x:row>
    <x:row r="22">
      <x:c r="A22" s="46" t="str">
        <x:v>2026-07-31T08:00:00</x:v>
      </x:c>
      <x:c r="B22" s="47" t="str">
        <x:v>7月30日现场数据</x:v>
      </x:c>
      <x:c r="C22" s="40" t="n">
        <x:v>35.29666666666667</x:v>
      </x:c>
      <x:c r="D22" s="40" t="n">
        <x:v>69.16833333333334</x:v>
      </x:c>
      <x:c r="E22" s="40" t="n">
        <x:v>0.01925</x:v>
      </x:c>
      <x:c r="F22" s="40" t="n">
        <x:v>308.5833333333333</x:v>
      </x:c>
      <x:c r="G22" s="40" t="n">
        <x:v>248.41666666666666</x:v>
      </x:c>
      <x:c r="H22" s="40" t="n">
        <x:v>12</x:v>
      </x:c>
      <x:c r="I22" s="40" t="n">
        <x:v>101.13333333333334</x:v>
      </x:c>
      <x:c r="J22" s="40" t="n">
        <x:v>0.3010815719643986</x:v>
      </x:c>
      <x:c r="K22" s="40" t="n">
        <x:v>0.23199727850381452</x:v>
      </x:c>
      <x:c r="L22" s="40" t="n">
        <x:v>0.3010815719643986</x:v>
      </x:c>
      <x:c r="M22" s="41" t="str">
        <x:v>FAO-56 Penman–Monteith（小时）</x:v>
      </x:c>
    </x:row>
    <x:row r="23">
      <x:c r="A23" s="46" t="str">
        <x:v>2026-07-31T09:00:00</x:v>
      </x:c>
      <x:c r="B23" s="47" t="str">
        <x:v>7月30日现场数据</x:v>
      </x:c>
      <x:c r="C23" s="40" t="n">
        <x:v>45.944545454545455</x:v>
      </x:c>
      <x:c r="D23" s="40" t="n">
        <x:v>67.59363636363636</x:v>
      </x:c>
      <x:c r="E23" s="40" t="n">
        <x:v>0.003</x:v>
      </x:c>
      <x:c r="F23" s="40" t="n">
        <x:v>838.7272727272727</x:v>
      </x:c>
      <x:c r="G23" s="40" t="n">
        <x:v>646.1818181818181</x:v>
      </x:c>
      <x:c r="H23" s="40" t="n">
        <x:v>11</x:v>
      </x:c>
      <x:c r="I23" s="40" t="n">
        <x:v>101.19090909090909</x:v>
      </x:c>
      <x:c r="J23" s="40" t="n">
        <x:v>0.8392249080729766</x:v>
      </x:c>
      <x:c r="K23" s="40" t="n">
        <x:v>0.6462333907811629</x:v>
      </x:c>
      <x:c r="L23" s="40" t="n">
        <x:v>0.8392249080729766</x:v>
      </x:c>
      <x:c r="M23" s="41" t="str">
        <x:v>FAO-56 Penman–Monteith（小时）</x:v>
      </x:c>
    </x:row>
    <x:row r="24">
      <x:c r="A24" s="46" t="str">
        <x:v>2026-07-31T10:00:00</x:v>
      </x:c>
      <x:c r="B24" s="47" t="str">
        <x:v>7月30日现场数据</x:v>
      </x:c>
      <x:c r="C24" s="40" t="n">
        <x:v>46.74916666666667</x:v>
      </x:c>
      <x:c r="D24" s="40" t="n">
        <x:v>61.50583333333333</x:v>
      </x:c>
      <x:c r="E24" s="40" t="n">
        <x:v>0.20333333333333334</x:v>
      </x:c>
      <x:c r="F24" s="40" t="n">
        <x:v>403.9166666666667</x:v>
      </x:c>
      <x:c r="G24" s="40" t="n">
        <x:v>242.41666666666666</x:v>
      </x:c>
      <x:c r="H24" s="40" t="n">
        <x:v>12</x:v>
      </x:c>
      <x:c r="I24" s="40" t="n">
        <x:v>101.125</x:v>
      </x:c>
      <x:c r="J24" s="40" t="n">
        <x:v>0.3242504141475</x:v>
      </x:c>
      <x:c r="K24" s="40" t="n">
        <x:v>0.2521027188521698</x:v>
      </x:c>
      <x:c r="L24" s="40" t="n">
        <x:v>0.3242504141475</x:v>
      </x:c>
      <x:c r="M24" s="41" t="str">
        <x:v>FAO-56 Penman–Monteith（小时）</x:v>
      </x:c>
    </x:row>
    <x:row r="25">
      <x:c r="A25" s="46" t="str">
        <x:v>2026-07-31T11:00:00</x:v>
      </x:c>
      <x:c r="B25" s="47" t="str">
        <x:v>7月30日现场数据</x:v>
      </x:c>
      <x:c r="C25" s="40" t="n">
        <x:v>39.719166666666666</x:v>
      </x:c>
      <x:c r="D25" s="40" t="n">
        <x:v>56.29666666666666</x:v>
      </x:c>
      <x:c r="E25" s="40" t="n">
        <x:v>0.1758333333333333</x:v>
      </x:c>
      <x:c r="F25" s="40" t="n">
        <x:v>200.83333333333334</x:v>
      </x:c>
      <x:c r="G25" s="40" t="n">
        <x:v>121</x:v>
      </x:c>
      <x:c r="H25" s="40" t="n">
        <x:v>12</x:v>
      </x:c>
      <x:c r="I25" s="40" t="n">
        <x:v>101.00833333333334</x:v>
      </x:c>
      <x:c r="J25" s="40" t="n">
        <x:v>0.15983681326715057</x:v>
      </x:c>
      <x:c r="K25" s="40" t="n">
        <x:v>0.12529695028667626</x:v>
      </x:c>
      <x:c r="L25" s="40" t="n">
        <x:v>0.15983681326715057</x:v>
      </x:c>
      <x:c r="M25" s="41" t="str">
        <x:v>FAO-56 Penman–Monteith（小时）</x:v>
      </x:c>
    </x:row>
    <x:row r="26">
      <x:c r="A26" s="46" t="str">
        <x:v>2026-07-31T12:00:00</x:v>
      </x:c>
      <x:c r="B26" s="47" t="str">
        <x:v>7月30日现场数据</x:v>
      </x:c>
      <x:c r="C26" s="40" t="n">
        <x:v>39.90833333333334</x:v>
      </x:c>
      <x:c r="D26" s="40" t="n">
        <x:v>55.32083333333333</x:v>
      </x:c>
      <x:c r="E26" s="40" t="n">
        <x:v>0.33525000000000005</x:v>
      </x:c>
      <x:c r="F26" s="40" t="n">
        <x:v>189.08333333333334</x:v>
      </x:c>
      <x:c r="G26" s="40" t="n">
        <x:v>123.33333333333333</x:v>
      </x:c>
      <x:c r="H26" s="40" t="n">
        <x:v>12</x:v>
      </x:c>
      <x:c r="I26" s="40" t="n">
        <x:v>100.91666666666666</x:v>
      </x:c>
      <x:c r="J26" s="40" t="n">
        <x:v>0.17081527139122513</x:v>
      </x:c>
      <x:c r="K26" s="40" t="n">
        <x:v>0.13583203795123286</x:v>
      </x:c>
      <x:c r="L26" s="40" t="n">
        <x:v>0.17081527139122513</x:v>
      </x:c>
      <x:c r="M26" s="41" t="str">
        <x:v>FAO-56 Penman–Monteith（小时）</x:v>
      </x:c>
    </x:row>
    <x:row r="27">
      <x:c r="A27" s="46" t="str">
        <x:v>2026-07-31T13:00:00</x:v>
      </x:c>
      <x:c r="B27" s="47" t="str">
        <x:v>7月30日现场数据</x:v>
      </x:c>
      <x:c r="C27" s="40" t="n">
        <x:v>37.744166666666665</x:v>
      </x:c>
      <x:c r="D27" s="40" t="n">
        <x:v>54.0425</x:v>
      </x:c>
      <x:c r="E27" s="40" t="n">
        <x:v>0</x:v>
      </x:c>
      <x:c r="F27" s="40" t="n">
        <x:v>87.16666666666667</x:v>
      </x:c>
      <x:c r="G27" s="40" t="n">
        <x:v>63.416666666666664</x:v>
      </x:c>
      <x:c r="H27" s="40" t="n">
        <x:v>12</x:v>
      </x:c>
      <x:c r="I27" s="40" t="n">
        <x:v>100.825</x:v>
      </x:c>
      <x:c r="J27" s="40" t="n">
        <x:v>0.07831129427660359</x:v>
      </x:c>
      <x:c r="K27" s="40" t="n">
        <x:v>0.06029969659298477</x:v>
      </x:c>
      <x:c r="L27" s="40" t="n">
        <x:v>0.07831129427660359</x:v>
      </x:c>
      <x:c r="M27" s="41" t="str">
        <x:v>FAO-56 Penman–Monteith（小时）</x:v>
      </x:c>
    </x:row>
    <x:row r="28">
      <x:c r="A28" s="46" t="str">
        <x:v>2026-07-31T14:00:00</x:v>
      </x:c>
      <x:c r="B28" s="47" t="str">
        <x:v>7月30日现场数据</x:v>
      </x:c>
      <x:c r="C28" s="40" t="n">
        <x:v>34.763333333333335</x:v>
      </x:c>
      <x:c r="D28" s="40" t="n">
        <x:v>53.18333333333334</x:v>
      </x:c>
      <x:c r="E28" s="40" t="n">
        <x:v>0.5715</x:v>
      </x:c>
      <x:c r="F28" s="40" t="n">
        <x:v>32.333333333333336</x:v>
      </x:c>
      <x:c r="G28" s="40" t="n">
        <x:v>23.583333333333332</x:v>
      </x:c>
      <x:c r="H28" s="40" t="n">
        <x:v>12</x:v>
      </x:c>
      <x:c r="I28" s="40" t="n">
        <x:v>100.8</x:v>
      </x:c>
      <x:c r="J28" s="40" t="n">
        <x:v>0.058374168868464686</x:v>
      </x:c>
      <x:c r="K28" s="40" t="n">
        <x:v>0.05205395512595118</x:v>
      </x:c>
      <x:c r="L28" s="40" t="n">
        <x:v>0.058374168868464686</x:v>
      </x:c>
      <x:c r="M28" s="41" t="str">
        <x:v>FAO-56 Penman–Monteith（小时）</x:v>
      </x:c>
    </x:row>
    <x:row r="29">
      <x:c r="A29" s="46" t="str">
        <x:v>2026-07-31T15:00:00</x:v>
      </x:c>
      <x:c r="B29" s="47" t="str">
        <x:v>7月30日现场数据</x:v>
      </x:c>
      <x:c r="C29" s="40" t="n">
        <x:v>32.056666666666665</x:v>
      </x:c>
      <x:c r="D29" s="40" t="n">
        <x:v>52.859166666666674</x:v>
      </x:c>
      <x:c r="E29" s="40" t="n">
        <x:v>0</x:v>
      </x:c>
      <x:c r="F29" s="40" t="n">
        <x:v>13.25</x:v>
      </x:c>
      <x:c r="G29" s="40" t="n">
        <x:v>9.75</x:v>
      </x:c>
      <x:c r="H29" s="40" t="n">
        <x:v>12</x:v>
      </x:c>
      <x:c r="I29" s="40" t="n">
        <x:v>100.825</x:v>
      </x:c>
      <x:c r="J29" s="40" t="n">
        <x:v>0.01146710913735103</x:v>
      </x:c>
      <x:c r="K29" s="40" t="n">
        <x:v>0.008829674035760293</x:v>
      </x:c>
      <x:c r="L29" s="40" t="n">
        <x:v>0.01146710913735103</x:v>
      </x:c>
      <x:c r="M29" s="41" t="str">
        <x:v>FAO-56 Penman–Monteith（小时）</x:v>
      </x:c>
    </x:row>
    <x:row r="30">
      <x:c r="A30" s="46" t="str">
        <x:v>2026-07-31T16:00:00</x:v>
      </x:c>
      <x:c r="B30" s="47" t="str">
        <x:v>7月30日现场数据</x:v>
      </x:c>
      <x:c r="C30" s="40" t="n">
        <x:v>30.665833333333335</x:v>
      </x:c>
      <x:c r="D30" s="40" t="n">
        <x:v>52.87916666666666</x:v>
      </x:c>
      <x:c r="E30" s="40" t="n">
        <x:v>0.06041666666666667</x:v>
      </x:c>
      <x:c r="F30" s="40" t="n">
        <x:v>11.916666666666666</x:v>
      </x:c>
      <x:c r="G30" s="40" t="n">
        <x:v>8.75</x:v>
      </x:c>
      <x:c r="H30" s="40" t="n">
        <x:v>12</x:v>
      </x:c>
      <x:c r="I30" s="40" t="n">
        <x:v>100.825</x:v>
      </x:c>
      <x:c r="J30" s="40" t="n">
        <x:v>0.013307479458190472</x:v>
      </x:c>
      <x:c r="K30" s="40" t="n">
        <x:v>0.010983627683202251</x:v>
      </x:c>
      <x:c r="L30" s="40" t="n">
        <x:v>0.013307479458190472</x:v>
      </x:c>
      <x:c r="M30" s="41" t="str">
        <x:v>FAO-56 Penman–Monteith（小时）</x:v>
      </x:c>
    </x:row>
    <x:row r="31">
      <x:c r="A31" s="46" t="str">
        <x:v>2026-07-31T17:00:00</x:v>
      </x:c>
      <x:c r="B31" s="47" t="str">
        <x:v>7月30日现场数据</x:v>
      </x:c>
      <x:c r="C31" s="40" t="n">
        <x:v>31.507499999999997</x:v>
      </x:c>
      <x:c r="D31" s="40" t="n">
        <x:v>53.76</x:v>
      </x:c>
      <x:c r="E31" s="40" t="n">
        <x:v>0</x:v>
      </x:c>
      <x:c r="F31" s="40" t="n">
        <x:v>38.083333333333336</x:v>
      </x:c>
      <x:c r="G31" s="40" t="n">
        <x:v>27.75</x:v>
      </x:c>
      <x:c r="H31" s="40" t="n">
        <x:v>12</x:v>
      </x:c>
      <x:c r="I31" s="40" t="n">
        <x:v>100.76666666666667</x:v>
      </x:c>
      <x:c r="J31" s="40" t="n">
        <x:v>0.032463948908021296</x:v>
      </x:c>
      <x:c r="K31" s="40" t="n">
        <x:v>0.024997240659176398</x:v>
      </x:c>
      <x:c r="L31" s="40" t="n">
        <x:v>0.032463948908021296</x:v>
      </x:c>
      <x:c r="M31" s="41" t="str">
        <x:v>FAO-56 Penman–Monteith（小时）</x:v>
      </x:c>
    </x:row>
    <x:row r="32">
      <x:c r="A32" s="46" t="str">
        <x:v>2026-07-31T18:00:00</x:v>
      </x:c>
      <x:c r="B32" s="47" t="str">
        <x:v>7月30日现场数据</x:v>
      </x:c>
      <x:c r="C32" s="40" t="n">
        <x:v>31.12</x:v>
      </x:c>
      <x:c r="D32" s="40" t="n">
        <x:v>54.0325</x:v>
      </x:c>
      <x:c r="E32" s="40" t="n">
        <x:v>0.011000000000000001</x:v>
      </x:c>
      <x:c r="F32" s="40" t="n">
        <x:v>3.4166666666666665</x:v>
      </x:c>
      <x:c r="G32" s="40" t="n">
        <x:v>2.5</x:v>
      </x:c>
      <x:c r="H32" s="40" t="n">
        <x:v>12</x:v>
      </x:c>
      <x:c r="I32" s="40" t="n">
        <x:v>100.8</x:v>
      </x:c>
      <x:c r="J32" s="40" t="n">
        <x:v>0.0034854914316105137</x:v>
      </x:c>
      <x:c r="K32" s="40" t="n">
        <x:v>0.0028160113080809997</x:v>
      </x:c>
      <x:c r="L32" s="40" t="n">
        <x:v>0.0034854914316105137</x:v>
      </x:c>
      <x:c r="M32" s="41" t="str">
        <x:v>FAO-56 Penman–Monteith（小时）</x:v>
      </x:c>
    </x:row>
    <x:row r="33">
      <x:c r="A33" s="46" t="str">
        <x:v>2026-07-31T19:00:00</x:v>
      </x:c>
      <x:c r="B33" s="47" t="str">
        <x:v>7月30日现场数据</x:v>
      </x:c>
      <x:c r="C33" s="40" t="n">
        <x:v>30.6425</x:v>
      </x:c>
      <x:c r="D33" s="40" t="n">
        <x:v>54.274166666666666</x:v>
      </x:c>
      <x:c r="E33" s="40" t="n">
        <x:v>0</x:v>
      </x:c>
      <x:c r="F33" s="40" t="n">
        <x:v>0</x:v>
      </x:c>
      <x:c r="G33" s="40" t="n">
        <x:v>0</x:v>
      </x:c>
      <x:c r="H33" s="40" t="n">
        <x:v>12</x:v>
      </x:c>
      <x:c r="I33" s="40" t="n">
        <x:v>100.80833333333334</x:v>
      </x:c>
      <x:c r="J33" s="40" t="n">
        <x:v>0</x:v>
      </x:c>
      <x:c r="K33" s="40" t="n">
        <x:v>0</x:v>
      </x:c>
      <x:c r="L33" s="40" t="n">
        <x:v>0</x:v>
      </x:c>
      <x:c r="M33" s="41" t="str">
        <x:v>FAO-56 Penman–Monteith（小时）</x:v>
      </x:c>
    </x:row>
    <x:row r="34">
      <x:c r="A34" s="46" t="str">
        <x:v>2026-07-31T20:00:00</x:v>
      </x:c>
      <x:c r="B34" s="47" t="str">
        <x:v>7月30日现场数据</x:v>
      </x:c>
      <x:c r="C34" s="40" t="n">
        <x:v>30.21166666666667</x:v>
      </x:c>
      <x:c r="D34" s="40" t="n">
        <x:v>54.7175</x:v>
      </x:c>
      <x:c r="E34" s="40" t="n">
        <x:v>0</x:v>
      </x:c>
      <x:c r="F34" s="40" t="n">
        <x:v>0</x:v>
      </x:c>
      <x:c r="G34" s="40" t="n">
        <x:v>0</x:v>
      </x:c>
      <x:c r="H34" s="40" t="n">
        <x:v>12</x:v>
      </x:c>
      <x:c r="I34" s="40" t="n">
        <x:v>100.88333333333334</x:v>
      </x:c>
      <x:c r="J34" s="40" t="n">
        <x:v>0</x:v>
      </x:c>
      <x:c r="K34" s="40" t="n">
        <x:v>0</x:v>
      </x:c>
      <x:c r="L34" s="40" t="n">
        <x:v>0</x:v>
      </x:c>
      <x:c r="M34" s="41" t="str">
        <x:v>FAO-56 Penman–Monteith（小时）</x:v>
      </x:c>
    </x:row>
    <x:row r="35">
      <x:c r="A35" s="46" t="str">
        <x:v>2026-07-31T21:00:00</x:v>
      </x:c>
      <x:c r="B35" s="47" t="str">
        <x:v>7月30日现场数据</x:v>
      </x:c>
      <x:c r="C35" s="40" t="n">
        <x:v>30.212500000000002</x:v>
      </x:c>
      <x:c r="D35" s="40" t="n">
        <x:v>55.48333333333333</x:v>
      </x:c>
      <x:c r="E35" s="40" t="n">
        <x:v>0.04950000000000001</x:v>
      </x:c>
      <x:c r="F35" s="40" t="n">
        <x:v>0</x:v>
      </x:c>
      <x:c r="G35" s="40" t="n">
        <x:v>0</x:v>
      </x:c>
      <x:c r="H35" s="40" t="n">
        <x:v>12</x:v>
      </x:c>
      <x:c r="I35" s="40" t="n">
        <x:v>100.9</x:v>
      </x:c>
      <x:c r="J35" s="40" t="n">
        <x:v>0.002466517079172252</x:v>
      </x:c>
      <x:c r="K35" s="40" t="n">
        <x:v>0.002466517079172252</x:v>
      </x:c>
      <x:c r="L35" s="40" t="n">
        <x:v>0.002466517079172252</x:v>
      </x:c>
      <x:c r="M35" s="41" t="str">
        <x:v>FAO-56 Penman–Monteith（小时）</x:v>
      </x:c>
    </x:row>
    <x:row r="36">
      <x:c r="A36" s="46" t="str">
        <x:v>2026-07-31T22:00:00</x:v>
      </x:c>
      <x:c r="B36" s="47" t="str">
        <x:v>7月30日现场数据</x:v>
      </x:c>
      <x:c r="C36" s="40" t="n">
        <x:v>30.718333333333334</x:v>
      </x:c>
      <x:c r="D36" s="40" t="n">
        <x:v>56.63666666666666</x:v>
      </x:c>
      <x:c r="E36" s="40" t="n">
        <x:v>0.2335</x:v>
      </x:c>
      <x:c r="F36" s="40" t="n">
        <x:v>0</x:v>
      </x:c>
      <x:c r="G36" s="40" t="n">
        <x:v>0</x:v>
      </x:c>
      <x:c r="H36" s="40" t="n">
        <x:v>12</x:v>
      </x:c>
      <x:c r="I36" s="40" t="n">
        <x:v>100.9</x:v>
      </x:c>
      <x:c r="J36" s="40" t="n">
        <x:v>0.011271399919541873</x:v>
      </x:c>
      <x:c r="K36" s="40" t="n">
        <x:v>0.011271399919541873</x:v>
      </x:c>
      <x:c r="L36" s="40" t="n">
        <x:v>0.011271399919541873</x:v>
      </x:c>
      <x:c r="M36" s="41" t="str">
        <x:v>FAO-56 Penman–Monteith（小时）</x:v>
      </x:c>
    </x:row>
    <x:row r="37">
      <x:c r="A37" s="46" t="str">
        <x:v>2026-07-31T23:00:00</x:v>
      </x:c>
      <x:c r="B37" s="47" t="str">
        <x:v>7月30日现场数据</x:v>
      </x:c>
      <x:c r="C37" s="40" t="n">
        <x:v>30.300833333333333</x:v>
      </x:c>
      <x:c r="D37" s="40" t="n">
        <x:v>57.553333333333335</x:v>
      </x:c>
      <x:c r="E37" s="40" t="n">
        <x:v>0</x:v>
      </x:c>
      <x:c r="F37" s="40" t="n">
        <x:v>0</x:v>
      </x:c>
      <x:c r="G37" s="40" t="n">
        <x:v>0</x:v>
      </x:c>
      <x:c r="H37" s="40" t="n">
        <x:v>12</x:v>
      </x:c>
      <x:c r="I37" s="40" t="n">
        <x:v>100.875</x:v>
      </x:c>
      <x:c r="J37" s="40" t="n">
        <x:v>0</x:v>
      </x:c>
      <x:c r="K37" s="40" t="n">
        <x:v>0</x:v>
      </x:c>
      <x:c r="L37" s="40" t="n">
        <x:v>0</x:v>
      </x:c>
      <x:c r="M37" s="41" t="str">
        <x:v>FAO-56 Penman–Monteith（小时）</x:v>
      </x:c>
    </x:row>
    <x:row r="38">
      <x:c r="A38" s="46" t="str">
        <x:v>2026-08-01T00:00:00</x:v>
      </x:c>
      <x:c r="B38" s="47" t="str">
        <x:v>7月30日现场数据</x:v>
      </x:c>
      <x:c r="C38" s="40" t="n">
        <x:v>29.882500000000004</x:v>
      </x:c>
      <x:c r="D38" s="40" t="n">
        <x:v>58.461666666666666</x:v>
      </x:c>
      <x:c r="E38" s="40" t="n">
        <x:v>0.14833333333333334</x:v>
      </x:c>
      <x:c r="F38" s="40" t="n">
        <x:v>0</x:v>
      </x:c>
      <x:c r="G38" s="40" t="n">
        <x:v>0</x:v>
      </x:c>
      <x:c r="H38" s="40" t="n">
        <x:v>12</x:v>
      </x:c>
      <x:c r="I38" s="40" t="n">
        <x:v>100.9</x:v>
      </x:c>
      <x:c r="J38" s="40" t="n">
        <x:v>0.0068129868437832135</x:v>
      </x:c>
      <x:c r="K38" s="40" t="n">
        <x:v>0.0068129868437832135</x:v>
      </x:c>
      <x:c r="L38" s="40" t="n">
        <x:v>0.0068129868437832135</x:v>
      </x:c>
      <x:c r="M38" s="41" t="str">
        <x:v>FAO-56 Penman–Monteith（小时）</x:v>
      </x:c>
    </x:row>
    <x:row r="39">
      <x:c r="A39" s="46" t="str">
        <x:v>2026-08-01T01:00:00</x:v>
      </x:c>
      <x:c r="B39" s="47" t="str">
        <x:v>7月30日现场数据</x:v>
      </x:c>
      <x:c r="C39" s="40" t="n">
        <x:v>29.755</x:v>
      </x:c>
      <x:c r="D39" s="40" t="n">
        <x:v>59.612500000000004</x:v>
      </x:c>
      <x:c r="E39" s="40" t="n">
        <x:v>0.11541666666666667</x:v>
      </x:c>
      <x:c r="F39" s="40" t="n">
        <x:v>0</x:v>
      </x:c>
      <x:c r="G39" s="40" t="n">
        <x:v>0</x:v>
      </x:c>
      <x:c r="H39" s="40" t="n">
        <x:v>12</x:v>
      </x:c>
      <x:c r="I39" s="40" t="n">
        <x:v>100.9</x:v>
      </x:c>
      <x:c r="J39" s="40" t="n">
        <x:v>0.005156538897179954</x:v>
      </x:c>
      <x:c r="K39" s="40" t="n">
        <x:v>0.005156538897179954</x:v>
      </x:c>
      <x:c r="L39" s="40" t="n">
        <x:v>0.005156538897179954</x:v>
      </x:c>
      <x:c r="M39" s="41" t="str">
        <x:v>FAO-56 Penman–Monteith（小时）</x:v>
      </x:c>
    </x:row>
    <x:row r="40">
      <x:c r="A40" s="46" t="str">
        <x:v>2026-08-01T02:00:00</x:v>
      </x:c>
      <x:c r="B40" s="47" t="str">
        <x:v>7月30日现场数据</x:v>
      </x:c>
      <x:c r="C40" s="40" t="n">
        <x:v>29.6575</x:v>
      </x:c>
      <x:c r="D40" s="40" t="n">
        <x:v>60.81166666666667</x:v>
      </x:c>
      <x:c r="E40" s="40" t="n">
        <x:v>0.1045</x:v>
      </x:c>
      <x:c r="F40" s="40" t="n">
        <x:v>0</x:v>
      </x:c>
      <x:c r="G40" s="40" t="n">
        <x:v>0</x:v>
      </x:c>
      <x:c r="H40" s="40" t="n">
        <x:v>12</x:v>
      </x:c>
      <x:c r="I40" s="40" t="n">
        <x:v>100.875</x:v>
      </x:c>
      <x:c r="J40" s="40" t="n">
        <x:v>0.004526145736918674</x:v>
      </x:c>
      <x:c r="K40" s="40" t="n">
        <x:v>0.004526145736918674</x:v>
      </x:c>
      <x:c r="L40" s="40" t="n">
        <x:v>0.004526145736918674</x:v>
      </x:c>
      <x:c r="M40" s="41" t="str">
        <x:v>FAO-56 Penman–Monteith（小时）</x:v>
      </x:c>
    </x:row>
    <x:row r="41">
      <x:c r="A41" s="46" t="str">
        <x:v>2026-08-01T03:00:00</x:v>
      </x:c>
      <x:c r="B41" s="47" t="str">
        <x:v>7月30日现场数据</x:v>
      </x:c>
      <x:c r="C41" s="40" t="n">
        <x:v>29.42</x:v>
      </x:c>
      <x:c r="D41" s="40" t="n">
        <x:v>61.935833333333335</x:v>
      </x:c>
      <x:c r="E41" s="40" t="n">
        <x:v>0.00825</x:v>
      </x:c>
      <x:c r="F41" s="40" t="n">
        <x:v>0</x:v>
      </x:c>
      <x:c r="G41" s="40" t="n">
        <x:v>0</x:v>
      </x:c>
      <x:c r="H41" s="40" t="n">
        <x:v>12</x:v>
      </x:c>
      <x:c r="I41" s="40" t="n">
        <x:v>100.9</x:v>
      </x:c>
      <x:c r="J41" s="40" t="n">
        <x:v>0.0003483679806558704</x:v>
      </x:c>
      <x:c r="K41" s="40" t="n">
        <x:v>0.0003483679806558704</x:v>
      </x:c>
      <x:c r="L41" s="40" t="n">
        <x:v>0.0003483679806558704</x:v>
      </x:c>
      <x:c r="M41" s="41" t="str">
        <x:v>FAO-56 Penman–Monteith（小时）</x:v>
      </x:c>
    </x:row>
    <x:row r="42">
      <x:c r="A42" s="46" t="str">
        <x:v>2026-08-01T04:00:00</x:v>
      </x:c>
      <x:c r="B42" s="47" t="str">
        <x:v>7月30日现场数据</x:v>
      </x:c>
      <x:c r="C42" s="40" t="n">
        <x:v>29.18166666666667</x:v>
      </x:c>
      <x:c r="D42" s="40" t="n">
        <x:v>63.06583333333333</x:v>
      </x:c>
      <x:c r="E42" s="40" t="n">
        <x:v>0</x:v>
      </x:c>
      <x:c r="F42" s="40" t="n">
        <x:v>0.08333333333333333</x:v>
      </x:c>
      <x:c r="G42" s="40" t="n">
        <x:v>0.08333333333333333</x:v>
      </x:c>
      <x:c r="H42" s="40" t="n">
        <x:v>12</x:v>
      </x:c>
      <x:c r="I42" s="40" t="n">
        <x:v>100.9</x:v>
      </x:c>
      <x:c r="J42" s="40" t="n">
        <x:v>0.00009508724473677141</x:v>
      </x:c>
      <x:c r="K42" s="40" t="n">
        <x:v>0.00007321717844731399</x:v>
      </x:c>
      <x:c r="L42" s="40" t="n">
        <x:v>0.00009508724473677141</x:v>
      </x:c>
      <x:c r="M42" s="41" t="str">
        <x:v>FAO-56 Penman–Monteith（小时）</x:v>
      </x:c>
    </x:row>
    <x:row r="43">
      <x:c r="A43" s="46" t="str">
        <x:v>2026-08-01T05:00:00</x:v>
      </x:c>
      <x:c r="B43" s="47" t="str">
        <x:v>7月30日现场数据</x:v>
      </x:c>
      <x:c r="C43" s="40" t="n">
        <x:v>29.3225</x:v>
      </x:c>
      <x:c r="D43" s="40" t="n">
        <x:v>64.28083333333333</x:v>
      </x:c>
      <x:c r="E43" s="40" t="n">
        <x:v>0</x:v>
      </x:c>
      <x:c r="F43" s="40" t="n">
        <x:v>8.166666666666666</x:v>
      </x:c>
      <x:c r="G43" s="40" t="n">
        <x:v>6.083333333333333</x:v>
      </x:c>
      <x:c r="H43" s="40" t="n">
        <x:v>12</x:v>
      </x:c>
      <x:c r="I43" s="40" t="n">
        <x:v>100.9</x:v>
      </x:c>
      <x:c r="J43" s="40" t="n">
        <x:v>0.006952293014019766</x:v>
      </x:c>
      <x:c r="K43" s="40" t="n">
        <x:v>0.00535326562079522</x:v>
      </x:c>
      <x:c r="L43" s="40" t="n">
        <x:v>0.006952293014019766</x:v>
      </x:c>
      <x:c r="M43" s="41" t="str">
        <x:v>FAO-56 Penman–Monteith（小时）</x:v>
      </x:c>
    </x:row>
    <x:row r="44">
      <x:c r="A44" s="46" t="str">
        <x:v>2026-08-01T06:00:00</x:v>
      </x:c>
      <x:c r="B44" s="47" t="str">
        <x:v>7月30日现场数据</x:v>
      </x:c>
      <x:c r="C44" s="40" t="n">
        <x:v>30.1825</x:v>
      </x:c>
      <x:c r="D44" s="40" t="n">
        <x:v>65.63583333333334</x:v>
      </x:c>
      <x:c r="E44" s="40" t="n">
        <x:v>0</x:v>
      </x:c>
      <x:c r="F44" s="40" t="n">
        <x:v>21.75</x:v>
      </x:c>
      <x:c r="G44" s="40" t="n">
        <x:v>17.083333333333332</x:v>
      </x:c>
      <x:c r="H44" s="40" t="n">
        <x:v>12</x:v>
      </x:c>
      <x:c r="I44" s="40" t="n">
        <x:v>100.9</x:v>
      </x:c>
      <x:c r="J44" s="40" t="n">
        <x:v>0.01970754804673806</x:v>
      </x:c>
      <x:c r="K44" s="40" t="n">
        <x:v>0.015174811995988309</x:v>
      </x:c>
      <x:c r="L44" s="40" t="n">
        <x:v>0.01970754804673806</x:v>
      </x:c>
      <x:c r="M44" s="41" t="str">
        <x:v>FAO-56 Penman–Monteith（小时）</x:v>
      </x:c>
    </x:row>
    <x:row r="45">
      <x:c r="A45" s="46" t="str">
        <x:v>2026-08-01T07:00:00</x:v>
      </x:c>
      <x:c r="B45" s="47" t="str">
        <x:v>7月30日现场数据</x:v>
      </x:c>
      <x:c r="C45" s="40" t="n">
        <x:v>31.383333333333336</x:v>
      </x:c>
      <x:c r="D45" s="40" t="n">
        <x:v>66.88833333333334</x:v>
      </x:c>
      <x:c r="E45" s="40" t="n">
        <x:v>0</x:v>
      </x:c>
      <x:c r="F45" s="40" t="n">
        <x:v>39.416666666666664</x:v>
      </x:c>
      <x:c r="G45" s="40" t="n">
        <x:v>30.5</x:v>
      </x:c>
      <x:c r="H45" s="40" t="n">
        <x:v>12</x:v>
      </x:c>
      <x:c r="I45" s="40" t="n">
        <x:v>100.9</x:v>
      </x:c>
      <x:c r="J45" s="40" t="n">
        <x:v>0.035626922673982084</x:v>
      </x:c>
      <x:c r="K45" s="40" t="n">
        <x:v>0.027432730458966204</x:v>
      </x:c>
      <x:c r="L45" s="40" t="n">
        <x:v>0.035626922673982084</x:v>
      </x:c>
      <x:c r="M45" s="41" t="str">
        <x:v>FAO-56 Penman–Monteith（小时）</x:v>
      </x:c>
    </x:row>
    <x:row r="46">
      <x:c r="A46" s="46" t="str">
        <x:v>2026-08-01T08:00:00</x:v>
      </x:c>
      <x:c r="B46" s="47" t="str">
        <x:v>7月30日现场数据</x:v>
      </x:c>
      <x:c r="C46" s="40" t="n">
        <x:v>36.906363636363636</x:v>
      </x:c>
      <x:c r="D46" s="40" t="n">
        <x:v>68.29727272727273</x:v>
      </x:c>
      <x:c r="E46" s="40" t="n">
        <x:v>0.2457272727272727</x:v>
      </x:c>
      <x:c r="F46" s="40" t="n">
        <x:v>441.1818181818182</x:v>
      </x:c>
      <x:c r="G46" s="40" t="n">
        <x:v>355.90909090909093</x:v>
      </x:c>
      <x:c r="H46" s="40" t="n">
        <x:v>11</x:v>
      </x:c>
      <x:c r="I46" s="40" t="n">
        <x:v>100.93636363636364</x:v>
      </x:c>
      <x:c r="J46" s="40" t="n">
        <x:v>0.4401332808021882</x:v>
      </x:c>
      <x:c r="K46" s="40" t="n">
        <x:v>0.34107318043542534</x:v>
      </x:c>
      <x:c r="L46" s="40" t="n">
        <x:v>0.4401332808021882</x:v>
      </x:c>
      <x:c r="M46" s="41" t="str">
        <x:v>FAO-56 Penman–Monteith（小时）</x:v>
      </x:c>
    </x:row>
    <x:row r="47">
      <x:c r="A47" s="46" t="str">
        <x:v>2026-08-01T09:00:00</x:v>
      </x:c>
      <x:c r="B47" s="47" t="str">
        <x:v>7月30日现场数据</x:v>
      </x:c>
      <x:c r="C47" s="40" t="n">
        <x:v>46.3775</x:v>
      </x:c>
      <x:c r="D47" s="40" t="n">
        <x:v>66.64583333333333</x:v>
      </x:c>
      <x:c r="E47" s="40" t="n">
        <x:v>0.049416666666666664</x:v>
      </x:c>
      <x:c r="F47" s="40" t="n">
        <x:v>965.0833333333334</x:v>
      </x:c>
      <x:c r="G47" s="40" t="n">
        <x:v>743.9166666666666</x:v>
      </x:c>
      <x:c r="H47" s="40" t="n">
        <x:v>12</x:v>
      </x:c>
      <x:c r="I47" s="40" t="n">
        <x:v>101.025</x:v>
      </x:c>
      <x:c r="J47" s="40" t="n">
        <x:v>0.9687963649374713</x:v>
      </x:c>
      <x:c r="K47" s="40" t="n">
        <x:v>0.7464857348573485</x:v>
      </x:c>
      <x:c r="L47" s="40" t="n">
        <x:v>0.9687963649374713</x:v>
      </x:c>
      <x:c r="M47" s="41" t="str">
        <x:v>FAO-56 Penman–Monteith（小时）</x:v>
      </x:c>
    </x:row>
    <x:row r="48">
      <x:c r="A48" s="46" t="str">
        <x:v>2026-08-01T10:00:00</x:v>
      </x:c>
      <x:c r="B48" s="47" t="str">
        <x:v>7月30日现场数据</x:v>
      </x:c>
      <x:c r="C48" s="40" t="n">
        <x:v>47.51454545454545</x:v>
      </x:c>
      <x:c r="D48" s="40" t="n">
        <x:v>60.305454545454545</x:v>
      </x:c>
      <x:c r="E48" s="40" t="n">
        <x:v>0</x:v>
      </x:c>
      <x:c r="F48" s="40" t="n">
        <x:v>295.45454545454544</x:v>
      </x:c>
      <x:c r="G48" s="40" t="n">
        <x:v>137.9090909090909</x:v>
      </x:c>
      <x:c r="H48" s="40" t="n">
        <x:v>11</x:v>
      </x:c>
      <x:c r="I48" s="40" t="n">
        <x:v>100.95454545454545</x:v>
      </x:c>
      <x:c r="J48" s="40" t="n">
        <x:v>0.180535547927222</x:v>
      </x:c>
      <x:c r="K48" s="40" t="n">
        <x:v>0.13901237190396093</x:v>
      </x:c>
      <x:c r="L48" s="40" t="n">
        <x:v>0.180535547927222</x:v>
      </x:c>
      <x:c r="M48" s="41" t="str">
        <x:v>FAO-56 Penman–Monteith（小时）</x:v>
      </x:c>
    </x:row>
    <x:row r="49">
      <x:c r="A49" s="46" t="str">
        <x:v>2026-08-01T11:00:00</x:v>
      </x:c>
      <x:c r="B49" s="47" t="str">
        <x:v>7月30日现场数据</x:v>
      </x:c>
      <x:c r="C49" s="40" t="n">
        <x:v>41.229166666666664</x:v>
      </x:c>
      <x:c r="D49" s="40" t="n">
        <x:v>55.57333333333333</x:v>
      </x:c>
      <x:c r="E49" s="40" t="n">
        <x:v>0.00825</x:v>
      </x:c>
      <x:c r="F49" s="40" t="n">
        <x:v>172.91666666666666</x:v>
      </x:c>
      <x:c r="G49" s="40" t="n">
        <x:v>80.75</x:v>
      </x:c>
      <x:c r="H49" s="40" t="n">
        <x:v>12</x:v>
      </x:c>
      <x:c r="I49" s="40" t="n">
        <x:v>100.875</x:v>
      </x:c>
      <x:c r="J49" s="40" t="n">
        <x:v>0.10256315285299814</x:v>
      </x:c>
      <x:c r="K49" s="40" t="n">
        <x:v>0.07908213009104391</x:v>
      </x:c>
      <x:c r="L49" s="40" t="n">
        <x:v>0.10256315285299814</x:v>
      </x:c>
      <x:c r="M49" s="41" t="str">
        <x:v>FAO-56 Penman–Monteith（小时）</x:v>
      </x:c>
    </x:row>
    <x:row r="50">
      <x:c r="A50" s="46" t="str">
        <x:v>2026-08-01T12:00:00</x:v>
      </x:c>
      <x:c r="B50" s="47" t="str">
        <x:v>7月30日现场数据</x:v>
      </x:c>
      <x:c r="C50" s="40" t="n">
        <x:v>40.59583333333333</x:v>
      </x:c>
      <x:c r="D50" s="40" t="n">
        <x:v>53.75416666666666</x:v>
      </x:c>
      <x:c r="E50" s="40" t="n">
        <x:v>0.34341666666666665</x:v>
      </x:c>
      <x:c r="F50" s="40" t="n">
        <x:v>165.66666666666666</x:v>
      </x:c>
      <x:c r="G50" s="40" t="n">
        <x:v>104.16666666666667</x:v>
      </x:c>
      <x:c r="H50" s="40" t="n">
        <x:v>12</x:v>
      </x:c>
      <x:c r="I50" s="40" t="n">
        <x:v>100.79166666666666</x:v>
      </x:c>
      <x:c r="J50" s="40" t="n">
        <x:v>0.1490512332741226</x:v>
      </x:c>
      <x:c r="K50" s="40" t="n">
        <x:v>0.11936215961822175</x:v>
      </x:c>
      <x:c r="L50" s="40" t="n">
        <x:v>0.1490512332741226</x:v>
      </x:c>
      <x:c r="M50" s="41" t="str">
        <x:v>FAO-56 Penman–Monteith（小时）</x:v>
      </x:c>
    </x:row>
    <x:row r="51">
      <x:c r="A51" s="46" t="str">
        <x:v>2026-08-01T13:00:00</x:v>
      </x:c>
      <x:c r="B51" s="47" t="str">
        <x:v>7月30日现场数据</x:v>
      </x:c>
      <x:c r="C51" s="40" t="n">
        <x:v>39.015</x:v>
      </x:c>
      <x:c r="D51" s="40" t="n">
        <x:v>52.06166666666667</x:v>
      </x:c>
      <x:c r="E51" s="40" t="n">
        <x:v>0.25</x:v>
      </x:c>
      <x:c r="F51" s="40" t="n">
        <x:v>136.66666666666666</x:v>
      </x:c>
      <x:c r="G51" s="40" t="n">
        <x:v>102.25</x:v>
      </x:c>
      <x:c r="H51" s="40" t="n">
        <x:v>12</x:v>
      </x:c>
      <x:c r="I51" s="40" t="n">
        <x:v>100.725</x:v>
      </x:c>
      <x:c r="J51" s="40" t="n">
        <x:v>0.14069434841119388</x:v>
      </x:c>
      <x:c r="K51" s="40" t="n">
        <x:v>0.11175244472739708</x:v>
      </x:c>
      <x:c r="L51" s="40" t="n">
        <x:v>0.14069434841119388</x:v>
      </x:c>
      <x:c r="M51" s="41" t="str">
        <x:v>FAO-56 Penman–Monteith（小时）</x:v>
      </x:c>
    </x:row>
    <x:row r="52">
      <x:c r="A52" s="46" t="str">
        <x:v>2026-08-01T14:00:00</x:v>
      </x:c>
      <x:c r="B52" s="47" t="str">
        <x:v>7月30日现场数据</x:v>
      </x:c>
      <x:c r="C52" s="40" t="n">
        <x:v>28.049166666666665</x:v>
      </x:c>
      <x:c r="D52" s="40" t="n">
        <x:v>49.012499999999996</x:v>
      </x:c>
      <x:c r="E52" s="40" t="n">
        <x:v>1.3076666666666668</x:v>
      </x:c>
      <x:c r="F52" s="40" t="n">
        <x:v>8.166666666666666</x:v>
      </x:c>
      <x:c r="G52" s="40" t="n">
        <x:v>6.75</x:v>
      </x:c>
      <x:c r="H52" s="40" t="n">
        <x:v>12</x:v>
      </x:c>
      <x:c r="I52" s="40" t="n">
        <x:v>100.73333333333333</x:v>
      </x:c>
      <x:c r="J52" s="40" t="n">
        <x:v>0.07245173213479612</x:v>
      </x:c>
      <x:c r="K52" s="40" t="n">
        <x:v>0.07086665496842415</x:v>
      </x:c>
      <x:c r="L52" s="40" t="n">
        <x:v>0.07245173213479612</x:v>
      </x:c>
      <x:c r="M52" s="41" t="str">
        <x:v>FAO-56 Penman–Monteith（小时）</x:v>
      </x:c>
    </x:row>
    <x:row r="53">
      <x:c r="A53" s="46" t="str">
        <x:v>2026-08-01T15:00:00</x:v>
      </x:c>
      <x:c r="B53" s="47" t="str">
        <x:v>7月30日现场数据</x:v>
      </x:c>
      <x:c r="C53" s="40" t="n">
        <x:v>27.830833333333334</x:v>
      </x:c>
      <x:c r="D53" s="40" t="n">
        <x:v>51.995000000000005</x:v>
      </x:c>
      <x:c r="E53" s="40" t="n">
        <x:v>0.15108333333333335</x:v>
      </x:c>
      <x:c r="F53" s="40" t="n">
        <x:v>12.333333333333334</x:v>
      </x:c>
      <x:c r="G53" s="40" t="n">
        <x:v>9.833333333333334</x:v>
      </x:c>
      <x:c r="H53" s="40" t="n">
        <x:v>12</x:v>
      </x:c>
      <x:c r="I53" s="40" t="n">
        <x:v>100.75</x:v>
      </x:c>
      <x:c r="J53" s="40" t="n">
        <x:v>0.018668339561805955</x:v>
      </x:c>
      <x:c r="K53" s="40" t="n">
        <x:v>0.01615709529351784</x:v>
      </x:c>
      <x:c r="L53" s="40" t="n">
        <x:v>0.018668339561805955</x:v>
      </x:c>
      <x:c r="M53" s="41" t="str">
        <x:v>FAO-56 Penman–Monteith（小时）</x:v>
      </x:c>
    </x:row>
    <x:row r="54">
      <x:c r="A54" s="46" t="str">
        <x:v>2026-08-01T16:00:00</x:v>
      </x:c>
      <x:c r="B54" s="47" t="str">
        <x:v>7月30日现场数据</x:v>
      </x:c>
      <x:c r="C54" s="40" t="n">
        <x:v>28.5425</x:v>
      </x:c>
      <x:c r="D54" s="40" t="n">
        <x:v>55.544999999999995</x:v>
      </x:c>
      <x:c r="E54" s="40" t="n">
        <x:v>0.00825</x:v>
      </x:c>
      <x:c r="F54" s="40" t="n">
        <x:v>8.916666666666666</x:v>
      </x:c>
      <x:c r="G54" s="40" t="n">
        <x:v>7.25</x:v>
      </x:c>
      <x:c r="H54" s="40" t="n">
        <x:v>12</x:v>
      </x:c>
      <x:c r="I54" s="40" t="n">
        <x:v>100.75</x:v>
      </x:c>
      <x:c r="J54" s="40" t="n">
        <x:v>0.008611093114475554</x:v>
      </x:c>
      <x:c r="K54" s="40" t="n">
        <x:v>0.006722746263494028</x:v>
      </x:c>
      <x:c r="L54" s="40" t="n">
        <x:v>0.008611093114475554</x:v>
      </x:c>
      <x:c r="M54" s="41" t="str">
        <x:v>FAO-56 Penman–Monteith（小时）</x:v>
      </x:c>
    </x:row>
    <x:row r="55">
      <x:c r="A55" s="46" t="str">
        <x:v>2026-08-01T17:00:00</x:v>
      </x:c>
      <x:c r="B55" s="47" t="str">
        <x:v>7月30日现场数据</x:v>
      </x:c>
      <x:c r="C55" s="40" t="n">
        <x:v>28.770833333333332</x:v>
      </x:c>
      <x:c r="D55" s="40" t="n">
        <x:v>58.76583333333334</x:v>
      </x:c>
      <x:c r="E55" s="40" t="n">
        <x:v>0.28025</x:v>
      </x:c>
      <x:c r="F55" s="40" t="n">
        <x:v>14.083333333333334</x:v>
      </x:c>
      <x:c r="G55" s="40" t="n">
        <x:v>11.416666666666666</x:v>
      </x:c>
      <x:c r="H55" s="40" t="n">
        <x:v>12</x:v>
      </x:c>
      <x:c r="I55" s="40" t="n">
        <x:v>100.7</x:v>
      </x:c>
      <x:c r="J55" s="40" t="n">
        <x:v>0.025110673608064425</x:v>
      </x:c>
      <x:c r="K55" s="40" t="n">
        <x:v>0.02219003058694757</x:v>
      </x:c>
      <x:c r="L55" s="40" t="n">
        <x:v>0.025110673608064425</x:v>
      </x:c>
      <x:c r="M55" s="41" t="str">
        <x:v>FAO-56 Penman–Monteith（小时）</x:v>
      </x:c>
    </x:row>
    <x:row r="56">
      <x:c r="A56" s="46" t="str">
        <x:v>2026-08-01T18:00:00</x:v>
      </x:c>
      <x:c r="B56" s="47" t="str">
        <x:v>7月30日现场数据</x:v>
      </x:c>
      <x:c r="C56" s="40" t="n">
        <x:v>29.171666666666667</x:v>
      </x:c>
      <x:c r="D56" s="40" t="n">
        <x:v>61.82333333333333</x:v>
      </x:c>
      <x:c r="E56" s="40" t="n">
        <x:v>0</x:v>
      </x:c>
      <x:c r="F56" s="40" t="n">
        <x:v>3.5</x:v>
      </x:c>
      <x:c r="G56" s="40" t="n">
        <x:v>2.9166666666666665</x:v>
      </x:c>
      <x:c r="H56" s="40" t="n">
        <x:v>12</x:v>
      </x:c>
      <x:c r="I56" s="40" t="n">
        <x:v>100.775</x:v>
      </x:c>
      <x:c r="J56" s="40" t="n">
        <x:v>0.003328601178969979</x:v>
      </x:c>
      <x:c r="K56" s="40" t="n">
        <x:v>0.0025630229078068842</x:v>
      </x:c>
      <x:c r="L56" s="40" t="n">
        <x:v>0.003328601178969979</x:v>
      </x:c>
      <x:c r="M56" s="41" t="str">
        <x:v>FAO-56 Penman–Monteith（小时）</x:v>
      </x:c>
    </x:row>
    <x:row r="57">
      <x:c r="A57" s="46" t="str">
        <x:v>2026-08-01T19:00:00</x:v>
      </x:c>
      <x:c r="B57" s="47" t="str">
        <x:v>7月30日现场数据</x:v>
      </x:c>
      <x:c r="C57" s="40" t="n">
        <x:v>29.316666666666666</x:v>
      </x:c>
      <x:c r="D57" s="40" t="n">
        <x:v>64.53</x:v>
      </x:c>
      <x:c r="E57" s="40" t="n">
        <x:v>0.11816666666666666</x:v>
      </x:c>
      <x:c r="F57" s="40" t="n">
        <x:v>0</x:v>
      </x:c>
      <x:c r="G57" s="40" t="n">
        <x:v>0</x:v>
      </x:c>
      <x:c r="H57" s="40" t="n">
        <x:v>12</x:v>
      </x:c>
      <x:c r="I57" s="40" t="n">
        <x:v>100.81666666666666</x:v>
      </x:c>
      <x:c r="J57" s="40" t="n">
        <x:v>0.0046012327815289685</x:v>
      </x:c>
      <x:c r="K57" s="40" t="n">
        <x:v>0.0046012327815289685</x:v>
      </x:c>
      <x:c r="L57" s="40" t="n">
        <x:v>0.0046012327815289685</x:v>
      </x:c>
      <x:c r="M57" s="41" t="str">
        <x:v>FAO-56 Penman–Monteith（小时）</x:v>
      </x:c>
    </x:row>
    <x:row r="58">
      <x:c r="A58" s="46" t="str">
        <x:v>2026-08-01T20:00:00</x:v>
      </x:c>
      <x:c r="B58" s="47" t="str">
        <x:v>7月30日现场数据</x:v>
      </x:c>
      <x:c r="C58" s="40" t="n">
        <x:v>29.699166666666667</x:v>
      </x:c>
      <x:c r="D58" s="40" t="n">
        <x:v>67.045</x:v>
      </x:c>
      <x:c r="E58" s="40" t="n">
        <x:v>0.022000000000000002</x:v>
      </x:c>
      <x:c r="F58" s="40" t="n">
        <x:v>0</x:v>
      </x:c>
      <x:c r="G58" s="40" t="n">
        <x:v>0</x:v>
      </x:c>
      <x:c r="H58" s="40" t="n">
        <x:v>12</x:v>
      </x:c>
      <x:c r="I58" s="40" t="n">
        <x:v>100.9</x:v>
      </x:c>
      <x:c r="J58" s="40" t="n">
        <x:v>0.0008068886692382994</x:v>
      </x:c>
      <x:c r="K58" s="40" t="n">
        <x:v>0.0008068886692382994</x:v>
      </x:c>
      <x:c r="L58" s="40" t="n">
        <x:v>0.0008068886692382994</x:v>
      </x:c>
      <x:c r="M58" s="41" t="str">
        <x:v>FAO-56 Penman–Monteith（小时）</x:v>
      </x:c>
    </x:row>
    <x:row r="59">
      <x:c r="A59" s="46" t="str">
        <x:v>2026-08-01T21:00:00</x:v>
      </x:c>
      <x:c r="B59" s="47" t="str">
        <x:v>7月30日现场数据</x:v>
      </x:c>
      <x:c r="C59" s="40" t="n">
        <x:v>29.495</x:v>
      </x:c>
      <x:c r="D59" s="40" t="n">
        <x:v>69.14416666666666</x:v>
      </x:c>
      <x:c r="E59" s="40" t="n">
        <x:v>0</x:v>
      </x:c>
      <x:c r="F59" s="40" t="n">
        <x:v>0</x:v>
      </x:c>
      <x:c r="G59" s="40" t="n">
        <x:v>0</x:v>
      </x:c>
      <x:c r="H59" s="40" t="n">
        <x:v>12</x:v>
      </x:c>
      <x:c r="I59" s="40" t="n">
        <x:v>100.975</x:v>
      </x:c>
      <x:c r="J59" s="40" t="n">
        <x:v>0</x:v>
      </x:c>
      <x:c r="K59" s="40" t="n">
        <x:v>0</x:v>
      </x:c>
      <x:c r="L59" s="40" t="n">
        <x:v>0</x:v>
      </x:c>
      <x:c r="M59" s="41" t="str">
        <x:v>FAO-56 Penman–Monteith（小时）</x:v>
      </x:c>
    </x:row>
    <x:row r="60">
      <x:c r="A60" s="46" t="str">
        <x:v>2026-08-01T22:00:00</x:v>
      </x:c>
      <x:c r="B60" s="47" t="str">
        <x:v>7月30日现场数据</x:v>
      </x:c>
      <x:c r="C60" s="40" t="n">
        <x:v>29.44666666666667</x:v>
      </x:c>
      <x:c r="D60" s="40" t="n">
        <x:v>71.08416666666666</x:v>
      </x:c>
      <x:c r="E60" s="40" t="n">
        <x:v>0.40116666666666667</x:v>
      </x:c>
      <x:c r="F60" s="40" t="n">
        <x:v>0</x:v>
      </x:c>
      <x:c r="G60" s="40" t="n">
        <x:v>0</x:v>
      </x:c>
      <x:c r="H60" s="40" t="n">
        <x:v>12</x:v>
      </x:c>
      <x:c r="I60" s="40" t="n">
        <x:v>100.925</x:v>
      </x:c>
      <x:c r="J60" s="40" t="n">
        <x:v>0.012507393713363069</x:v>
      </x:c>
      <x:c r="K60" s="40" t="n">
        <x:v>0.012507393713363069</x:v>
      </x:c>
      <x:c r="L60" s="40" t="n">
        <x:v>0.012507393713363069</x:v>
      </x:c>
      <x:c r="M60" s="41" t="str">
        <x:v>FAO-56 Penman–Monteith（小时）</x:v>
      </x:c>
    </x:row>
    <x:row r="61">
      <x:c r="A61" s="46" t="str">
        <x:v>2026-08-01T23:00:00</x:v>
      </x:c>
      <x:c r="B61" s="47" t="str">
        <x:v>7月30日现场数据</x:v>
      </x:c>
      <x:c r="C61" s="40" t="n">
        <x:v>29.27</x:v>
      </x:c>
      <x:c r="D61" s="40" t="n">
        <x:v>72.81666666666666</x:v>
      </x:c>
      <x:c r="E61" s="40" t="n">
        <x:v>0.17033333333333334</x:v>
      </x:c>
      <x:c r="F61" s="40" t="n">
        <x:v>0</x:v>
      </x:c>
      <x:c r="G61" s="40" t="n">
        <x:v>0</x:v>
      </x:c>
      <x:c r="H61" s="40" t="n">
        <x:v>12</x:v>
      </x:c>
      <x:c r="I61" s="40" t="n">
        <x:v>100.9</x:v>
      </x:c>
      <x:c r="J61" s="40" t="n">
        <x:v>0.00506273040472458</x:v>
      </x:c>
      <x:c r="K61" s="40" t="n">
        <x:v>0.00506273040472458</x:v>
      </x:c>
      <x:c r="L61" s="40" t="n">
        <x:v>0.00506273040472458</x:v>
      </x:c>
      <x:c r="M61" s="41" t="str">
        <x:v>FAO-56 Penman–Monteith（小时）</x:v>
      </x:c>
    </x:row>
    <x:row r="62">
      <x:c r="A62" s="46" t="str">
        <x:v>2026-08-02T00:00:00</x:v>
      </x:c>
      <x:c r="B62" s="47" t="str">
        <x:v>7月30日现场数据</x:v>
      </x:c>
      <x:c r="C62" s="40" t="n">
        <x:v>29.110833333333332</x:v>
      </x:c>
      <x:c r="D62" s="40" t="n">
        <x:v>74.34833333333333</x:v>
      </x:c>
      <x:c r="E62" s="40" t="n">
        <x:v>0</x:v>
      </x:c>
      <x:c r="F62" s="40" t="n">
        <x:v>0</x:v>
      </x:c>
      <x:c r="G62" s="40" t="n">
        <x:v>0</x:v>
      </x:c>
      <x:c r="H62" s="40" t="n">
        <x:v>12</x:v>
      </x:c>
      <x:c r="I62" s="40" t="n">
        <x:v>100.89166666666667</x:v>
      </x:c>
      <x:c r="J62" s="40" t="n">
        <x:v>0</x:v>
      </x:c>
      <x:c r="K62" s="40" t="n">
        <x:v>0</x:v>
      </x:c>
      <x:c r="L62" s="40" t="n">
        <x:v>0</x:v>
      </x:c>
      <x:c r="M62" s="41" t="str">
        <x:v>FAO-56 Penman–Monteith（小时）</x:v>
      </x:c>
    </x:row>
    <x:row r="63">
      <x:c r="A63" s="46" t="str">
        <x:v>2026-08-02T01:00:00</x:v>
      </x:c>
      <x:c r="B63" s="47" t="str">
        <x:v>7月30日现场数据</x:v>
      </x:c>
      <x:c r="C63" s="40" t="n">
        <x:v>28.956666666666667</x:v>
      </x:c>
      <x:c r="D63" s="40" t="n">
        <x:v>75.79333333333334</x:v>
      </x:c>
      <x:c r="E63" s="40" t="n">
        <x:v>0</x:v>
      </x:c>
      <x:c r="F63" s="40" t="n">
        <x:v>0</x:v>
      </x:c>
      <x:c r="G63" s="40" t="n">
        <x:v>0</x:v>
      </x:c>
      <x:c r="H63" s="40" t="n">
        <x:v>12</x:v>
      </x:c>
      <x:c r="I63" s="40" t="n">
        <x:v>100.9</x:v>
      </x:c>
      <x:c r="J63" s="40" t="n">
        <x:v>0</x:v>
      </x:c>
      <x:c r="K63" s="40" t="n">
        <x:v>0</x:v>
      </x:c>
      <x:c r="L63" s="40" t="n">
        <x:v>0</x:v>
      </x:c>
      <x:c r="M63" s="41" t="str">
        <x:v>FAO-56 Penman–Monteith（小时）</x:v>
      </x:c>
    </x:row>
    <x:row r="64">
      <x:c r="A64" s="46" t="str">
        <x:v>2026-08-02T02:00:00</x:v>
      </x:c>
      <x:c r="B64" s="47" t="str">
        <x:v>7月30日现场数据</x:v>
      </x:c>
      <x:c r="C64" s="40" t="n">
        <x:v>29.41333333333333</x:v>
      </x:c>
      <x:c r="D64" s="40" t="n">
        <x:v>77.30583333333333</x:v>
      </x:c>
      <x:c r="E64" s="40" t="n">
        <x:v>0.08791666666666666</x:v>
      </x:c>
      <x:c r="F64" s="40" t="n">
        <x:v>0</x:v>
      </x:c>
      <x:c r="G64" s="40" t="n">
        <x:v>0</x:v>
      </x:c>
      <x:c r="H64" s="40" t="n">
        <x:v>12</x:v>
      </x:c>
      <x:c r="I64" s="40" t="n">
        <x:v>100.95833333333334</x:v>
      </x:c>
      <x:c r="J64" s="40" t="n">
        <x:v>0.002200955905834844</x:v>
      </x:c>
      <x:c r="K64" s="40" t="n">
        <x:v>0.002200955905834844</x:v>
      </x:c>
      <x:c r="L64" s="40" t="n">
        <x:v>0.002200955905834844</x:v>
      </x:c>
      <x:c r="M64" s="41" t="str">
        <x:v>FAO-56 Penman–Monteith（小时）</x:v>
      </x:c>
    </x:row>
    <x:row r="65">
      <x:c r="A65" s="46" t="str">
        <x:v>2026-08-02T03:00:00</x:v>
      </x:c>
      <x:c r="B65" s="47" t="str">
        <x:v>7月30日现场数据</x:v>
      </x:c>
      <x:c r="C65" s="40" t="n">
        <x:v>29.28333333333333</x:v>
      </x:c>
      <x:c r="D65" s="40" t="n">
        <x:v>78.57333333333334</x:v>
      </x:c>
      <x:c r="E65" s="40" t="n">
        <x:v>0.13733333333333334</x:v>
      </x:c>
      <x:c r="F65" s="40" t="n">
        <x:v>0</x:v>
      </x:c>
      <x:c r="G65" s="40" t="n">
        <x:v>0</x:v>
      </x:c>
      <x:c r="H65" s="40" t="n">
        <x:v>12</x:v>
      </x:c>
      <x:c r="I65" s="40" t="n">
        <x:v>101</x:v>
      </x:c>
      <x:c r="J65" s="40" t="n">
        <x:v>0.0032285421297985036</x:v>
      </x:c>
      <x:c r="K65" s="40" t="n">
        <x:v>0.0032285421297985036</x:v>
      </x:c>
      <x:c r="L65" s="40" t="n">
        <x:v>0.0032285421297985036</x:v>
      </x:c>
      <x:c r="M65" s="41" t="str">
        <x:v>FAO-56 Penman–Monteith（小时）</x:v>
      </x:c>
    </x:row>
    <x:row r="66">
      <x:c r="A66" s="46" t="str">
        <x:v>2026-08-02T04:00:00</x:v>
      </x:c>
      <x:c r="B66" s="47" t="str">
        <x:v>7月30日现场数据</x:v>
      </x:c>
      <x:c r="C66" s="40" t="n">
        <x:v>28.718333333333334</x:v>
      </x:c>
      <x:c r="D66" s="40" t="n">
        <x:v>79.54833333333333</x:v>
      </x:c>
      <x:c r="E66" s="40" t="n">
        <x:v>0.15933333333333333</x:v>
      </x:c>
      <x:c r="F66" s="40" t="n">
        <x:v>0</x:v>
      </x:c>
      <x:c r="G66" s="40" t="n">
        <x:v>0</x:v>
      </x:c>
      <x:c r="H66" s="40" t="n">
        <x:v>12</x:v>
      </x:c>
      <x:c r="I66" s="40" t="n">
        <x:v>101</x:v>
      </x:c>
      <x:c r="J66" s="40" t="n">
        <x:v>0.003537338071755921</x:v>
      </x:c>
      <x:c r="K66" s="40" t="n">
        <x:v>0.003537338071755921</x:v>
      </x:c>
      <x:c r="L66" s="40" t="n">
        <x:v>0.003537338071755921</x:v>
      </x:c>
      <x:c r="M66" s="41" t="str">
        <x:v>FAO-56 Penman–Monteith（小时）</x:v>
      </x:c>
    </x:row>
    <x:row r="67">
      <x:c r="A67" s="46" t="str">
        <x:v>2026-08-02T05:00:00</x:v>
      </x:c>
      <x:c r="B67" s="47" t="str">
        <x:v>7月30日现场数据</x:v>
      </x:c>
      <x:c r="C67" s="40" t="n">
        <x:v>28.715833333333336</x:v>
      </x:c>
      <x:c r="D67" s="40" t="n">
        <x:v>80.53750000000001</x:v>
      </x:c>
      <x:c r="E67" s="40" t="n">
        <x:v>0.07691666666666667</x:v>
      </x:c>
      <x:c r="F67" s="40" t="n">
        <x:v>6.166666666666667</x:v>
      </x:c>
      <x:c r="G67" s="40" t="n">
        <x:v>5.083333333333333</x:v>
      </x:c>
      <x:c r="H67" s="40" t="n">
        <x:v>12</x:v>
      </x:c>
      <x:c r="I67" s="40" t="n">
        <x:v>101</x:v>
      </x:c>
      <x:c r="J67" s="40" t="n">
        <x:v>0.007369650167064962</x:v>
      </x:c>
      <x:c r="K67" s="40" t="n">
        <x:v>0.006050739023015373</x:v>
      </x:c>
      <x:c r="L67" s="40" t="n">
        <x:v>0.007369650167064962</x:v>
      </x:c>
      <x:c r="M67" s="41" t="str">
        <x:v>FAO-56 Penman–Monteith（小时）</x:v>
      </x:c>
    </x:row>
    <x:row r="68">
      <x:c r="A68" s="46" t="str">
        <x:v>2026-08-02T06:00:00</x:v>
      </x:c>
      <x:c r="B68" s="47" t="str">
        <x:v>7月30日现场数据</x:v>
      </x:c>
      <x:c r="C68" s="40" t="n">
        <x:v>29.199166666666667</x:v>
      </x:c>
      <x:c r="D68" s="40" t="n">
        <x:v>81.41250000000001</x:v>
      </x:c>
      <x:c r="E68" s="40" t="n">
        <x:v>0.09616666666666666</x:v>
      </x:c>
      <x:c r="F68" s="40" t="n">
        <x:v>15</x:v>
      </x:c>
      <x:c r="G68" s="40" t="n">
        <x:v>12.333333333333334</x:v>
      </x:c>
      <x:c r="H68" s="40" t="n">
        <x:v>12</x:v>
      </x:c>
      <x:c r="I68" s="40" t="n">
        <x:v>101.06666666666666</x:v>
      </x:c>
      <x:c r="J68" s="40" t="n">
        <x:v>0.015934180504491687</x:v>
      </x:c>
      <x:c r="K68" s="40" t="n">
        <x:v>0.012721422820267938</x:v>
      </x:c>
      <x:c r="L68" s="40" t="n">
        <x:v>0.015934180504491687</x:v>
      </x:c>
      <x:c r="M68" s="41" t="str">
        <x:v>FAO-56 Penman–Monteith（小时）</x:v>
      </x:c>
    </x:row>
    <x:row r="69">
      <x:c r="A69" s="46" t="str">
        <x:v>2026-08-02T07:00:00</x:v>
      </x:c>
      <x:c r="B69" s="47" t="str">
        <x:v>7月30日现场数据</x:v>
      </x:c>
      <x:c r="C69" s="40" t="n">
        <x:v>30.34166666666667</x:v>
      </x:c>
      <x:c r="D69" s="40" t="n">
        <x:v>82.165</x:v>
      </x:c>
      <x:c r="E69" s="40" t="n">
        <x:v>0.0165</x:v>
      </x:c>
      <x:c r="F69" s="40" t="n">
        <x:v>33.166666666666664</x:v>
      </x:c>
      <x:c r="G69" s="40" t="n">
        <x:v>27.416666666666668</x:v>
      </x:c>
      <x:c r="H69" s="40" t="n">
        <x:v>12</x:v>
      </x:c>
      <x:c r="I69" s="40" t="n">
        <x:v>101.04166666666666</x:v>
      </x:c>
      <x:c r="J69" s="40" t="n">
        <x:v>0.03196566666228369</x:v>
      </x:c>
      <x:c r="K69" s="40" t="n">
        <x:v>0.02468973537757819</x:v>
      </x:c>
      <x:c r="L69" s="40" t="n">
        <x:v>0.03196566666228369</x:v>
      </x:c>
      <x:c r="M69" s="41" t="str">
        <x:v>FAO-56 Penman–Monteith（小时）</x:v>
      </x:c>
    </x:row>
    <x:row r="70">
      <x:c r="A70" s="46" t="str">
        <x:v>2026-08-02T08:00:00</x:v>
      </x:c>
      <x:c r="B70" s="47" t="str">
        <x:v>7月30日现场数据</x:v>
      </x:c>
      <x:c r="C70" s="40" t="n">
        <x:v>35.689166666666665</x:v>
      </x:c>
      <x:c r="D70" s="40" t="n">
        <x:v>83.03916666666667</x:v>
      </x:c>
      <x:c r="E70" s="40" t="n">
        <x:v>0.05775</x:v>
      </x:c>
      <x:c r="F70" s="40" t="n">
        <x:v>493.75</x:v>
      </x:c>
      <x:c r="G70" s="40" t="n">
        <x:v>418.3333333333333</x:v>
      </x:c>
      <x:c r="H70" s="40" t="n">
        <x:v>12</x:v>
      </x:c>
      <x:c r="I70" s="40" t="n">
        <x:v>101.05833333333334</x:v>
      </x:c>
      <x:c r="J70" s="40" t="n">
        <x:v>0.5075845413112289</x:v>
      </x:c>
      <x:c r="K70" s="40" t="n">
        <x:v>0.3911120726359118</x:v>
      </x:c>
      <x:c r="L70" s="40" t="n">
        <x:v>0.5075845413112289</x:v>
      </x:c>
      <x:c r="M70" s="41" t="str">
        <x:v>FAO-56 Penman–Monteith（小时）</x:v>
      </x:c>
    </x:row>
    <x:row r="71">
      <x:c r="A71" s="46" t="str">
        <x:v>2026-08-02T09:00:00</x:v>
      </x:c>
      <x:c r="B71" s="47" t="str">
        <x:v>7月30日现场数据</x:v>
      </x:c>
      <x:c r="C71" s="40" t="n">
        <x:v>47.482499999999995</x:v>
      </x:c>
      <x:c r="D71" s="40" t="n">
        <x:v>79.51416666666667</x:v>
      </x:c>
      <x:c r="E71" s="40" t="n">
        <x:v>0</x:v>
      </x:c>
      <x:c r="F71" s="40" t="n">
        <x:v>927</x:v>
      </x:c>
      <x:c r="G71" s="40" t="n">
        <x:v>744.75</x:v>
      </x:c>
      <x:c r="H71" s="40" t="n">
        <x:v>12</x:v>
      </x:c>
      <x:c r="I71" s="40" t="n">
        <x:v>101.10833333333333</x:v>
      </x:c>
      <x:c r="J71" s="40" t="n">
        <x:v>0.9746360059576474</x:v>
      </x:c>
      <x:c r="K71" s="40" t="n">
        <x:v>0.7504697245873885</x:v>
      </x:c>
      <x:c r="L71" s="40" t="n">
        <x:v>0.9746360059576474</x:v>
      </x:c>
      <x:c r="M71" s="41" t="str">
        <x:v>FAO-56 Penman–Monteith（小时）</x:v>
      </x:c>
    </x:row>
    <x:row r="72">
      <x:c r="A72" s="46" t="str">
        <x:v>2026-08-02T10:00:00</x:v>
      </x:c>
      <x:c r="B72" s="47" t="str">
        <x:v>7月30日现场数据</x:v>
      </x:c>
      <x:c r="C72" s="40" t="n">
        <x:v>47.18166666666667</x:v>
      </x:c>
      <x:c r="D72" s="40" t="n">
        <x:v>71.29166666666667</x:v>
      </x:c>
      <x:c r="E72" s="40" t="n">
        <x:v>0.043916666666666666</x:v>
      </x:c>
      <x:c r="F72" s="40" t="n">
        <x:v>192.33333333333334</x:v>
      </x:c>
      <x:c r="G72" s="40" t="n">
        <x:v>70.58333333333333</x:v>
      </x:c>
      <x:c r="H72" s="40" t="n">
        <x:v>12</x:v>
      </x:c>
      <x:c r="I72" s="40" t="n">
        <x:v>100.975</x:v>
      </x:c>
      <x:c r="J72" s="40" t="n">
        <x:v>0.09381631793700355</x:v>
      </x:c>
      <x:c r="K72" s="40" t="n">
        <x:v>0.07263332846090838</x:v>
      </x:c>
      <x:c r="L72" s="40" t="n">
        <x:v>0.09381631793700355</x:v>
      </x:c>
      <x:c r="M72" s="41" t="str">
        <x:v>FAO-56 Penman–Monteith（小时）</x:v>
      </x:c>
    </x:row>
    <x:row r="73">
      <x:c r="A73" s="46" t="str">
        <x:v>2026-08-02T11:00:00</x:v>
      </x:c>
      <x:c r="B73" s="47" t="str">
        <x:v>7月30日现场数据</x:v>
      </x:c>
      <x:c r="C73" s="40" t="n">
        <x:v>41.622727272727275</x:v>
      </x:c>
      <x:c r="D73" s="40" t="n">
        <x:v>65.71636363636364</x:v>
      </x:c>
      <x:c r="E73" s="40" t="n">
        <x:v>0.14381818181818182</x:v>
      </x:c>
      <x:c r="F73" s="40" t="n">
        <x:v>192.1818181818182</x:v>
      </x:c>
      <x:c r="G73" s="40" t="n">
        <x:v>129.36363636363637</x:v>
      </x:c>
      <x:c r="H73" s="40" t="n">
        <x:v>11</x:v>
      </x:c>
      <x:c r="I73" s="40" t="n">
        <x:v>100.9</x:v>
      </x:c>
      <x:c r="J73" s="40" t="n">
        <x:v>0.16925986637064735</x:v>
      </x:c>
      <x:c r="K73" s="40" t="n">
        <x:v>0.13178678172759228</x:v>
      </x:c>
      <x:c r="L73" s="40" t="n">
        <x:v>0.16925986637064735</x:v>
      </x:c>
      <x:c r="M73" s="41" t="str">
        <x:v>FAO-56 Penman–Monteith（小时）</x:v>
      </x:c>
    </x:row>
    <x:row r="74">
      <x:c r="A74" s="46" t="str">
        <x:v>2026-08-02T12:00:00</x:v>
      </x:c>
      <x:c r="B74" s="47" t="str">
        <x:v>7月30日现场数据</x:v>
      </x:c>
      <x:c r="C74" s="40" t="n">
        <x:v>39.95916666666667</x:v>
      </x:c>
      <x:c r="D74" s="40" t="n">
        <x:v>63.14333333333334</x:v>
      </x:c>
      <x:c r="E74" s="40" t="n">
        <x:v>0.511</x:v>
      </x:c>
      <x:c r="F74" s="40" t="n">
        <x:v>147.5</x:v>
      </x:c>
      <x:c r="G74" s="40" t="n">
        <x:v>102.25</x:v>
      </x:c>
      <x:c r="H74" s="40" t="n">
        <x:v>12</x:v>
      </x:c>
      <x:c r="I74" s="40" t="n">
        <x:v>100.86666666666666</x:v>
      </x:c>
      <x:c r="J74" s="40" t="n">
        <x:v>0.1484182270859991</x:v>
      </x:c>
      <x:c r="K74" s="40" t="n">
        <x:v>0.11964893364434395</x:v>
      </x:c>
      <x:c r="L74" s="40" t="n">
        <x:v>0.1484182270859991</x:v>
      </x:c>
      <x:c r="M74" s="41" t="str">
        <x:v>FAO-56 Penman–Monteith（小时）</x:v>
      </x:c>
    </x:row>
    <x:row r="75">
      <x:c r="A75" s="46" t="str">
        <x:v>2026-08-02T13:00:00</x:v>
      </x:c>
      <x:c r="B75" s="47" t="str">
        <x:v>7月30日现场数据</x:v>
      </x:c>
      <x:c r="C75" s="40" t="n">
        <x:v>39.464999999999996</x:v>
      </x:c>
      <x:c r="D75" s="40" t="n">
        <x:v>61.181666666666665</x:v>
      </x:c>
      <x:c r="E75" s="40" t="n">
        <x:v>0.00825</x:v>
      </x:c>
      <x:c r="F75" s="40" t="n">
        <x:v>165.25</x:v>
      </x:c>
      <x:c r="G75" s="40" t="n">
        <x:v>132.16666666666666</x:v>
      </x:c>
      <x:c r="H75" s="40" t="n">
        <x:v>12</x:v>
      </x:c>
      <x:c r="I75" s="40" t="n">
        <x:v>100.8</x:v>
      </x:c>
      <x:c r="J75" s="40" t="n">
        <x:v>0.1655774246110608</x:v>
      </x:c>
      <x:c r="K75" s="40" t="n">
        <x:v>0.12758760056412743</x:v>
      </x:c>
      <x:c r="L75" s="40" t="n">
        <x:v>0.1655774246110608</x:v>
      </x:c>
      <x:c r="M75" s="41" t="str">
        <x:v>FAO-56 Penman–Monteith（小时）</x:v>
      </x:c>
    </x:row>
    <x:row r="76">
      <x:c r="A76" s="46" t="str">
        <x:v>2026-08-02T14:00:00</x:v>
      </x:c>
      <x:c r="B76" s="47" t="str">
        <x:v>7月30日现场数据</x:v>
      </x:c>
      <x:c r="C76" s="40" t="n">
        <x:v>37.13</x:v>
      </x:c>
      <x:c r="D76" s="40" t="n">
        <x:v>58.865833333333335</x:v>
      </x:c>
      <x:c r="E76" s="40" t="n">
        <x:v>0</x:v>
      </x:c>
      <x:c r="F76" s="40" t="n">
        <x:v>53</x:v>
      </x:c>
      <x:c r="G76" s="40" t="n">
        <x:v>39.25</x:v>
      </x:c>
      <x:c r="H76" s="40" t="n">
        <x:v>12</x:v>
      </x:c>
      <x:c r="I76" s="40" t="n">
        <x:v>100.79166666666666</x:v>
      </x:c>
      <x:c r="J76" s="40" t="n">
        <x:v>0.04824612523905466</x:v>
      </x:c>
      <x:c r="K76" s="40" t="n">
        <x:v>0.03714951643407209</x:v>
      </x:c>
      <x:c r="L76" s="40" t="n">
        <x:v>0.04824612523905466</x:v>
      </x:c>
      <x:c r="M76" s="41" t="str">
        <x:v>FAO-56 Penman–Monteith（小时）</x:v>
      </x:c>
    </x:row>
    <x:row r="77">
      <x:c r="A77" s="46" t="str">
        <x:v>2026-08-02T15:00:00</x:v>
      </x:c>
      <x:c r="B77" s="47" t="str">
        <x:v>7月30日现场数据</x:v>
      </x:c>
      <x:c r="C77" s="40" t="n">
        <x:v>33.785000000000004</x:v>
      </x:c>
      <x:c r="D77" s="40" t="n">
        <x:v>57.60333333333333</x:v>
      </x:c>
      <x:c r="E77" s="40" t="n">
        <x:v>0</x:v>
      </x:c>
      <x:c r="F77" s="40" t="n">
        <x:v>6</x:v>
      </x:c>
      <x:c r="G77" s="40" t="n">
        <x:v>4.75</x:v>
      </x:c>
      <x:c r="H77" s="40" t="n">
        <x:v>12</x:v>
      </x:c>
      <x:c r="I77" s="40" t="n">
        <x:v>100.80833333333334</x:v>
      </x:c>
      <x:c r="J77" s="40" t="n">
        <x:v>0.0056780924413272855</x:v>
      </x:c>
      <x:c r="K77" s="40" t="n">
        <x:v>0.004372131179822011</x:v>
      </x:c>
      <x:c r="L77" s="40" t="n">
        <x:v>0.0056780924413272855</x:v>
      </x:c>
      <x:c r="M77" s="41" t="str">
        <x:v>FAO-56 Penman–Monteith（小时）</x:v>
      </x:c>
    </x:row>
    <x:row r="78">
      <x:c r="A78" s="46" t="str">
        <x:v>2026-08-02T16:00:00</x:v>
      </x:c>
      <x:c r="B78" s="47" t="str">
        <x:v>7月30日现场数据</x:v>
      </x:c>
      <x:c r="C78" s="40" t="n">
        <x:v>31.968333333333334</x:v>
      </x:c>
      <x:c r="D78" s="40" t="n">
        <x:v>57.778333333333336</x:v>
      </x:c>
      <x:c r="E78" s="40" t="n">
        <x:v>0.20883333333333334</x:v>
      </x:c>
      <x:c r="F78" s="40" t="n">
        <x:v>12.083333333333334</x:v>
      </x:c>
      <x:c r="G78" s="40" t="n">
        <x:v>9.166666666666666</x:v>
      </x:c>
      <x:c r="H78" s="40" t="n">
        <x:v>12</x:v>
      </x:c>
      <x:c r="I78" s="40" t="n">
        <x:v>100.83333333333334</x:v>
      </x:c>
      <x:c r="J78" s="40" t="n">
        <x:v>0.020631958677248843</x:v>
      </x:c>
      <x:c r="K78" s="40" t="n">
        <x:v>0.018189189234632544</x:v>
      </x:c>
      <x:c r="L78" s="40" t="n">
        <x:v>0.020631958677248843</x:v>
      </x:c>
      <x:c r="M78" s="41" t="str">
        <x:v>FAO-56 Penman–Monteith（小时）</x:v>
      </x:c>
    </x:row>
    <x:row r="79">
      <x:c r="A79" s="46" t="str">
        <x:v>2026-08-02T17:00:00</x:v>
      </x:c>
      <x:c r="B79" s="47" t="str">
        <x:v>7月30日现场数据</x:v>
      </x:c>
      <x:c r="C79" s="40" t="n">
        <x:v>32.12166666666667</x:v>
      </x:c>
      <x:c r="D79" s="40" t="n">
        <x:v>58.5975</x:v>
      </x:c>
      <x:c r="E79" s="40" t="n">
        <x:v>0.51375</x:v>
      </x:c>
      <x:c r="F79" s="40" t="n">
        <x:v>8.583333333333334</x:v>
      </x:c>
      <x:c r="G79" s="40" t="n">
        <x:v>6.833333333333333</x:v>
      </x:c>
      <x:c r="H79" s="40" t="n">
        <x:v>12</x:v>
      </x:c>
      <x:c r="I79" s="40" t="n">
        <x:v>100.86666666666666</x:v>
      </x:c>
      <x:c r="J79" s="40" t="n">
        <x:v>0.03149974730564895</x:v>
      </x:c>
      <x:c r="K79" s="40" t="n">
        <x:v>0.029712343833756164</x:v>
      </x:c>
      <x:c r="L79" s="40" t="n">
        <x:v>0.03149974730564895</x:v>
      </x:c>
      <x:c r="M79" s="41" t="str">
        <x:v>FAO-56 Penman–Monteith（小时）</x:v>
      </x:c>
    </x:row>
    <x:row r="80">
      <x:c r="A80" s="46" t="str">
        <x:v>2026-08-02T18:00:00</x:v>
      </x:c>
      <x:c r="B80" s="47" t="str">
        <x:v>7月30日现场数据</x:v>
      </x:c>
      <x:c r="C80" s="40" t="n">
        <x:v>31.650833333333335</x:v>
      </x:c>
      <x:c r="D80" s="40" t="n">
        <x:v>59.22</x:v>
      </x:c>
      <x:c r="E80" s="40" t="n">
        <x:v>0.08516666666666667</x:v>
      </x:c>
      <x:c r="F80" s="40" t="n">
        <x:v>2.1666666666666665</x:v>
      </x:c>
      <x:c r="G80" s="40" t="n">
        <x:v>1.75</x:v>
      </x:c>
      <x:c r="H80" s="40" t="n">
        <x:v>12</x:v>
      </x:c>
      <x:c r="I80" s="40" t="n">
        <x:v>100.80833333333334</x:v>
      </x:c>
      <x:c r="J80" s="40" t="n">
        <x:v>0.005995685762063575</x:v>
      </x:c>
      <x:c r="K80" s="40" t="n">
        <x:v>0.005526924600722629</x:v>
      </x:c>
      <x:c r="L80" s="40" t="n">
        <x:v>0.005995685762063575</x:v>
      </x:c>
      <x:c r="M80" s="41" t="str">
        <x:v>FAO-56 Penman–Monteith（小时）</x:v>
      </x:c>
    </x:row>
    <x:row r="81">
      <x:c r="A81" s="46" t="str">
        <x:v>2026-08-02T19:00:00</x:v>
      </x:c>
      <x:c r="B81" s="47" t="str">
        <x:v>7月30日现场数据</x:v>
      </x:c>
      <x:c r="C81" s="40" t="n">
        <x:v>31.11</x:v>
      </x:c>
      <x:c r="D81" s="40" t="n">
        <x:v>59.9275</x:v>
      </x:c>
      <x:c r="E81" s="40" t="n">
        <x:v>0</x:v>
      </x:c>
      <x:c r="F81" s="40" t="n">
        <x:v>0</x:v>
      </x:c>
      <x:c r="G81" s="40" t="n">
        <x:v>0</x:v>
      </x:c>
      <x:c r="H81" s="40" t="n">
        <x:v>12</x:v>
      </x:c>
      <x:c r="I81" s="40" t="n">
        <x:v>100.91666666666666</x:v>
      </x:c>
      <x:c r="J81" s="40" t="n">
        <x:v>0</x:v>
      </x:c>
      <x:c r="K81" s="40" t="n">
        <x:v>0</x:v>
      </x:c>
      <x:c r="L81" s="40" t="n">
        <x:v>0</x:v>
      </x:c>
      <x:c r="M81" s="41" t="str">
        <x:v>FAO-56 Penman–Monteith（小时）</x:v>
      </x:c>
    </x:row>
    <x:row r="82">
      <x:c r="A82" s="46" t="str">
        <x:v>2026-08-02T20:00:00</x:v>
      </x:c>
      <x:c r="B82" s="47" t="str">
        <x:v>7月30日现场数据</x:v>
      </x:c>
      <x:c r="C82" s="40" t="n">
        <x:v>30.900000000000002</x:v>
      </x:c>
      <x:c r="D82" s="40" t="n">
        <x:v>60.865833333333335</x:v>
      </x:c>
      <x:c r="E82" s="40" t="n">
        <x:v>0.00825</x:v>
      </x:c>
      <x:c r="F82" s="40" t="n">
        <x:v>0</x:v>
      </x:c>
      <x:c r="G82" s="40" t="n">
        <x:v>0</x:v>
      </x:c>
      <x:c r="H82" s="40" t="n">
        <x:v>12</x:v>
      </x:c>
      <x:c r="I82" s="40" t="n">
        <x:v>101</x:v>
      </x:c>
      <x:c r="J82" s="40" t="n">
        <x:v>0.000366435310587631</x:v>
      </x:c>
      <x:c r="K82" s="40" t="n">
        <x:v>0.000366435310587631</x:v>
      </x:c>
      <x:c r="L82" s="40" t="n">
        <x:v>0.000366435310587631</x:v>
      </x:c>
      <x:c r="M82" s="41" t="str">
        <x:v>FAO-56 Penman–Monteith（小时）</x:v>
      </x:c>
    </x:row>
    <x:row r="83">
      <x:c r="A83" s="46" t="str">
        <x:v>2026-08-02T21:00:00</x:v>
      </x:c>
      <x:c r="B83" s="47" t="str">
        <x:v>7月30日现场数据</x:v>
      </x:c>
      <x:c r="C83" s="40" t="n">
        <x:v>30.64</x:v>
      </x:c>
      <x:c r="D83" s="40" t="n">
        <x:v>61.821666666666665</x:v>
      </x:c>
      <x:c r="E83" s="40" t="n">
        <x:v>0.12091666666666666</x:v>
      </x:c>
      <x:c r="F83" s="40" t="n">
        <x:v>0</x:v>
      </x:c>
      <x:c r="G83" s="40" t="n">
        <x:v>0</x:v>
      </x:c>
      <x:c r="H83" s="40" t="n">
        <x:v>12</x:v>
      </x:c>
      <x:c r="I83" s="40" t="n">
        <x:v>101</x:v>
      </x:c>
      <x:c r="J83" s="40" t="n">
        <x:v>0.005177846887664752</x:v>
      </x:c>
      <x:c r="K83" s="40" t="n">
        <x:v>0.005177846887664752</x:v>
      </x:c>
      <x:c r="L83" s="40" t="n">
        <x:v>0.005177846887664752</x:v>
      </x:c>
      <x:c r="M83" s="41" t="str">
        <x:v>FAO-56 Penman–Monteith（小时）</x:v>
      </x:c>
    </x:row>
    <x:row r="84">
      <x:c r="A84" s="46" t="str">
        <x:v>2026-08-02T22:00:00</x:v>
      </x:c>
      <x:c r="B84" s="47" t="str">
        <x:v>7月30日现场数据</x:v>
      </x:c>
      <x:c r="C84" s="40" t="n">
        <x:v>30.598333333333333</x:v>
      </x:c>
      <x:c r="D84" s="40" t="n">
        <x:v>62.81916666666667</x:v>
      </x:c>
      <x:c r="E84" s="40" t="n">
        <x:v>0</x:v>
      </x:c>
      <x:c r="F84" s="40" t="n">
        <x:v>0</x:v>
      </x:c>
      <x:c r="G84" s="40" t="n">
        <x:v>0</x:v>
      </x:c>
      <x:c r="H84" s="40" t="n">
        <x:v>12</x:v>
      </x:c>
      <x:c r="I84" s="40" t="n">
        <x:v>100.98333333333333</x:v>
      </x:c>
      <x:c r="J84" s="40" t="n">
        <x:v>0</x:v>
      </x:c>
      <x:c r="K84" s="40" t="n">
        <x:v>0</x:v>
      </x:c>
      <x:c r="L84" s="40" t="n">
        <x:v>0</x:v>
      </x:c>
      <x:c r="M84" s="41" t="str">
        <x:v>FAO-56 Penman–Monteith（小时）</x:v>
      </x:c>
    </x:row>
    <x:row r="85">
      <x:c r="A85" s="46" t="str">
        <x:v>2026-08-02T23:00:00</x:v>
      </x:c>
      <x:c r="B85" s="47" t="str">
        <x:v>7月30日现场数据</x:v>
      </x:c>
      <x:c r="C85" s="40" t="n">
        <x:v>30.271666666666665</x:v>
      </x:c>
      <x:c r="D85" s="40" t="n">
        <x:v>63.62583333333333</x:v>
      </x:c>
      <x:c r="E85" s="40" t="n">
        <x:v>0</x:v>
      </x:c>
      <x:c r="F85" s="40" t="n">
        <x:v>0</x:v>
      </x:c>
      <x:c r="G85" s="40" t="n">
        <x:v>0</x:v>
      </x:c>
      <x:c r="H85" s="40" t="n">
        <x:v>12</x:v>
      </x:c>
      <x:c r="I85" s="40" t="n">
        <x:v>101</x:v>
      </x:c>
      <x:c r="J85" s="40" t="n">
        <x:v>0</x:v>
      </x:c>
      <x:c r="K85" s="40" t="n">
        <x:v>0</x:v>
      </x:c>
      <x:c r="L85" s="40" t="n">
        <x:v>0</x:v>
      </x:c>
      <x:c r="M85" s="41" t="str">
        <x:v>FAO-56 Penman–Monteith（小时）</x:v>
      </x:c>
    </x:row>
    <x:row r="86">
      <x:c r="A86" s="46" t="str">
        <x:v>2026-08-03T00:00:00</x:v>
      </x:c>
      <x:c r="B86" s="47" t="str">
        <x:v>7月30日现场数据</x:v>
      </x:c>
      <x:c r="C86" s="40" t="n">
        <x:v>30.136666666666667</x:v>
      </x:c>
      <x:c r="D86" s="40" t="n">
        <x:v>64.36833333333333</x:v>
      </x:c>
      <x:c r="E86" s="40" t="n">
        <x:v>0</x:v>
      </x:c>
      <x:c r="F86" s="40" t="n">
        <x:v>0</x:v>
      </x:c>
      <x:c r="G86" s="40" t="n">
        <x:v>0</x:v>
      </x:c>
      <x:c r="H86" s="40" t="n">
        <x:v>12</x:v>
      </x:c>
      <x:c r="I86" s="40" t="n">
        <x:v>100.99166666666666</x:v>
      </x:c>
      <x:c r="J86" s="40" t="n">
        <x:v>0</x:v>
      </x:c>
      <x:c r="K86" s="40" t="n">
        <x:v>0</x:v>
      </x:c>
      <x:c r="L86" s="40" t="n">
        <x:v>0</x:v>
      </x:c>
      <x:c r="M86" s="41" t="str">
        <x:v>FAO-56 Penman–Monteith（小时）</x:v>
      </x:c>
    </x:row>
    <x:row r="87">
      <x:c r="A87" s="46" t="str">
        <x:v>2026-08-03T01:00:00</x:v>
      </x:c>
      <x:c r="B87" s="47" t="str">
        <x:v>7月30日现场数据</x:v>
      </x:c>
      <x:c r="C87" s="40" t="n">
        <x:v>29.800833333333333</x:v>
      </x:c>
      <x:c r="D87" s="40" t="n">
        <x:v>64.93333333333334</x:v>
      </x:c>
      <x:c r="E87" s="40" t="n">
        <x:v>0.11266666666666668</x:v>
      </x:c>
      <x:c r="F87" s="40" t="n">
        <x:v>0</x:v>
      </x:c>
      <x:c r="G87" s="40" t="n">
        <x:v>0</x:v>
      </x:c>
      <x:c r="H87" s="40" t="n">
        <x:v>12</x:v>
      </x:c>
      <x:c r="I87" s="40" t="n">
        <x:v>101</x:v>
      </x:c>
      <x:c r="J87" s="40" t="n">
        <x:v>0.004377849767579975</x:v>
      </x:c>
      <x:c r="K87" s="40" t="n">
        <x:v>0.004377849767579975</x:v>
      </x:c>
      <x:c r="L87" s="40" t="n">
        <x:v>0.004377849767579975</x:v>
      </x:c>
      <x:c r="M87" s="41" t="str">
        <x:v>FAO-56 Penman–Monteith（小时）</x:v>
      </x:c>
    </x:row>
    <x:row r="88">
      <x:c r="A88" s="46" t="str">
        <x:v>2026-08-03T02:00:00</x:v>
      </x:c>
      <x:c r="B88" s="47" t="str">
        <x:v>7月30日现场数据</x:v>
      </x:c>
      <x:c r="C88" s="40" t="n">
        <x:v>29.51</x:v>
      </x:c>
      <x:c r="D88" s="40" t="n">
        <x:v>65.57333333333334</x:v>
      </x:c>
      <x:c r="E88" s="40" t="n">
        <x:v>0</x:v>
      </x:c>
      <x:c r="F88" s="40" t="n">
        <x:v>0</x:v>
      </x:c>
      <x:c r="G88" s="40" t="n">
        <x:v>0</x:v>
      </x:c>
      <x:c r="H88" s="40" t="n">
        <x:v>12</x:v>
      </x:c>
      <x:c r="I88" s="40" t="n">
        <x:v>100.99166666666666</x:v>
      </x:c>
      <x:c r="J88" s="40" t="n">
        <x:v>0</x:v>
      </x:c>
      <x:c r="K88" s="40" t="n">
        <x:v>0</x:v>
      </x:c>
      <x:c r="L88" s="40" t="n">
        <x:v>0</x:v>
      </x:c>
      <x:c r="M88" s="41" t="str">
        <x:v>FAO-56 Penman–Monteith（小时）</x:v>
      </x:c>
    </x:row>
    <x:row r="89">
      <x:c r="A89" s="46" t="str">
        <x:v>2026-08-03T03:00:00</x:v>
      </x:c>
      <x:c r="B89" s="47" t="str">
        <x:v>7月30日现场数据</x:v>
      </x:c>
      <x:c r="C89" s="40" t="n">
        <x:v>29.2625</x:v>
      </x:c>
      <x:c r="D89" s="40" t="n">
        <x:v>66.27749999999999</x:v>
      </x:c>
      <x:c r="E89" s="40" t="n">
        <x:v>0</x:v>
      </x:c>
      <x:c r="F89" s="40" t="n">
        <x:v>0</x:v>
      </x:c>
      <x:c r="G89" s="40" t="n">
        <x:v>0</x:v>
      </x:c>
      <x:c r="H89" s="40" t="n">
        <x:v>12</x:v>
      </x:c>
      <x:c r="I89" s="40" t="n">
        <x:v>101</x:v>
      </x:c>
      <x:c r="J89" s="40" t="n">
        <x:v>0</x:v>
      </x:c>
      <x:c r="K89" s="40" t="n">
        <x:v>0</x:v>
      </x:c>
      <x:c r="L89" s="40" t="n">
        <x:v>0</x:v>
      </x:c>
      <x:c r="M89" s="41" t="str">
        <x:v>FAO-56 Penman–Monteith（小时）</x:v>
      </x:c>
    </x:row>
    <x:row r="90">
      <x:c r="A90" s="46" t="str">
        <x:v>2026-08-03T04:00:00</x:v>
      </x:c>
      <x:c r="B90" s="47" t="str">
        <x:v>7月30日现场数据</x:v>
      </x:c>
      <x:c r="C90" s="40" t="n">
        <x:v>29.0475</x:v>
      </x:c>
      <x:c r="D90" s="40" t="n">
        <x:v>66.99666666666667</x:v>
      </x:c>
      <x:c r="E90" s="40" t="n">
        <x:v>0.13191666666666665</x:v>
      </x:c>
      <x:c r="F90" s="40" t="n">
        <x:v>0</x:v>
      </x:c>
      <x:c r="G90" s="40" t="n">
        <x:v>0</x:v>
      </x:c>
      <x:c r="H90" s="40" t="n">
        <x:v>12</x:v>
      </x:c>
      <x:c r="I90" s="40" t="n">
        <x:v>101</x:v>
      </x:c>
      <x:c r="J90" s="40" t="n">
        <x:v>0.004760919856254144</x:v>
      </x:c>
      <x:c r="K90" s="40" t="n">
        <x:v>0.004760919856254144</x:v>
      </x:c>
      <x:c r="L90" s="40" t="n">
        <x:v>0.004760919856254144</x:v>
      </x:c>
      <x:c r="M90" s="41" t="str">
        <x:v>FAO-56 Penman–Monteith（小时）</x:v>
      </x:c>
    </x:row>
    <x:row r="91">
      <x:c r="A91" s="46" t="str">
        <x:v>2026-08-03T05:00:00</x:v>
      </x:c>
      <x:c r="B91" s="47" t="str">
        <x:v>7月30日现场数据</x:v>
      </x:c>
      <x:c r="C91" s="40" t="n">
        <x:v>29.180833333333336</x:v>
      </x:c>
      <x:c r="D91" s="40" t="n">
        <x:v>67.85666666666667</x:v>
      </x:c>
      <x:c r="E91" s="40" t="n">
        <x:v>0</x:v>
      </x:c>
      <x:c r="F91" s="40" t="n">
        <x:v>8.25</x:v>
      </x:c>
      <x:c r="G91" s="40" t="n">
        <x:v>6.583333333333333</x:v>
      </x:c>
      <x:c r="H91" s="40" t="n">
        <x:v>12</x:v>
      </x:c>
      <x:c r="I91" s="40" t="n">
        <x:v>101.03333333333333</x:v>
      </x:c>
      <x:c r="J91" s="40" t="n">
        <x:v>0.007509607767894066</x:v>
      </x:c>
      <x:c r="K91" s="40" t="n">
        <x:v>0.005782397981278429</x:v>
      </x:c>
      <x:c r="L91" s="40" t="n">
        <x:v>0.007509607767894066</x:v>
      </x:c>
      <x:c r="M91" s="41" t="str">
        <x:v>FAO-56 Penman–Monteith（小时）</x:v>
      </x:c>
    </x:row>
    <x:row r="92">
      <x:c r="A92" s="46" t="str">
        <x:v>2026-08-03T06:00:00</x:v>
      </x:c>
      <x:c r="B92" s="47" t="str">
        <x:v>7月30日现场数据</x:v>
      </x:c>
      <x:c r="C92" s="40" t="n">
        <x:v>30.53</x:v>
      </x:c>
      <x:c r="D92" s="40" t="n">
        <x:v>69.05166666666666</x:v>
      </x:c>
      <x:c r="E92" s="40" t="n">
        <x:v>0.14558333333333334</x:v>
      </x:c>
      <x:c r="F92" s="40" t="n">
        <x:v>30.75</x:v>
      </x:c>
      <x:c r="G92" s="40" t="n">
        <x:v>24.416666666666668</x:v>
      </x:c>
      <x:c r="H92" s="40" t="n">
        <x:v>12</x:v>
      </x:c>
      <x:c r="I92" s="40" t="n">
        <x:v>101.1</x:v>
      </x:c>
      <x:c r="J92" s="40" t="n">
        <x:v>0.033006182933156644</x:v>
      </x:c>
      <x:c r="K92" s="40" t="n">
        <x:v>0.02657401046925316</x:v>
      </x:c>
      <x:c r="L92" s="40" t="n">
        <x:v>0.033006182933156644</x:v>
      </x:c>
      <x:c r="M92" s="41" t="str">
        <x:v>FAO-56 Penman–Monteith（小时）</x:v>
      </x:c>
    </x:row>
    <x:row r="93">
      <x:c r="A93" s="46" t="str">
        <x:v>2026-08-03T07:00:00</x:v>
      </x:c>
      <x:c r="B93" s="47" t="str">
        <x:v>7月30日现场数据</x:v>
      </x:c>
      <x:c r="C93" s="40" t="n">
        <x:v>31.75916666666667</x:v>
      </x:c>
      <x:c r="D93" s="40" t="n">
        <x:v>70.07666666666667</x:v>
      </x:c>
      <x:c r="E93" s="40" t="n">
        <x:v>0.033</x:v>
      </x:c>
      <x:c r="F93" s="40" t="n">
        <x:v>44.083333333333336</x:v>
      </x:c>
      <x:c r="G93" s="40" t="n">
        <x:v>36</x:v>
      </x:c>
      <x:c r="H93" s="40" t="n">
        <x:v>12</x:v>
      </x:c>
      <x:c r="I93" s="40" t="n">
        <x:v>101.1</x:v>
      </x:c>
      <x:c r="J93" s="40" t="n">
        <x:v>0.043231222354947606</x:v>
      </x:c>
      <x:c r="K93" s="40" t="n">
        <x:v>0.03354876795956277</x:v>
      </x:c>
      <x:c r="L93" s="40" t="n">
        <x:v>0.043231222354947606</x:v>
      </x:c>
      <x:c r="M93" s="41" t="str">
        <x:v>FAO-56 Penman–Monteith（小时）</x:v>
      </x:c>
    </x:row>
    <x:row r="94">
      <x:c r="A94" s="46" t="str">
        <x:v>2026-08-03T08:00:00</x:v>
      </x:c>
      <x:c r="B94" s="47" t="str">
        <x:v>7月30日现场数据</x:v>
      </x:c>
      <x:c r="C94" s="40" t="n">
        <x:v>36.274166666666666</x:v>
      </x:c>
      <x:c r="D94" s="40" t="n">
        <x:v>71.14</x:v>
      </x:c>
      <x:c r="E94" s="40" t="n">
        <x:v>0</x:v>
      </x:c>
      <x:c r="F94" s="40" t="n">
        <x:v>482.25</x:v>
      </x:c>
      <x:c r="G94" s="40" t="n">
        <x:v>405.4166666666667</x:v>
      </x:c>
      <x:c r="H94" s="40" t="n">
        <x:v>12</x:v>
      </x:c>
      <x:c r="I94" s="40" t="n">
        <x:v>101.13333333333334</x:v>
      </x:c>
      <x:c r="J94" s="40" t="n">
        <x:v>0.4947205899453184</x:v>
      </x:c>
      <x:c r="K94" s="40" t="n">
        <x:v>0.38093485425789514</x:v>
      </x:c>
      <x:c r="L94" s="40" t="n">
        <x:v>0.4947205899453184</x:v>
      </x:c>
      <x:c r="M94" s="41" t="str">
        <x:v>FAO-56 Penman–Monteith（小时）</x:v>
      </x:c>
    </x:row>
    <x:row r="95">
      <x:c r="A95" s="46" t="str">
        <x:v>2026-08-03T09:00:00</x:v>
      </x:c>
      <x:c r="B95" s="47" t="str">
        <x:v>7月30日现场数据</x:v>
      </x:c>
      <x:c r="C95" s="40" t="n">
        <x:v>45.635</x:v>
      </x:c>
      <x:c r="D95" s="40" t="n">
        <x:v>68.77833333333334</x:v>
      </x:c>
      <x:c r="E95" s="40" t="n">
        <x:v>0.5439999999999999</x:v>
      </x:c>
      <x:c r="F95" s="40" t="n">
        <x:v>890.75</x:v>
      </x:c>
      <x:c r="G95" s="40" t="n">
        <x:v>709.0833333333334</x:v>
      </x:c>
      <x:c r="H95" s="40" t="n">
        <x:v>12</x:v>
      </x:c>
      <x:c r="I95" s="40" t="n">
        <x:v>101.13333333333334</x:v>
      </x:c>
      <x:c r="J95" s="40" t="n">
        <x:v>0.9223690097552109</x:v>
      </x:c>
      <x:c r="K95" s="40" t="n">
        <x:v>0.7153738251930085</x:v>
      </x:c>
      <x:c r="L95" s="40" t="n">
        <x:v>0.9223690097552109</x:v>
      </x:c>
      <x:c r="M95" s="41" t="str">
        <x:v>FAO-56 Penman–Monteith（小时）</x:v>
      </x:c>
    </x:row>
    <x:row r="96">
      <x:c r="A96" s="46" t="str">
        <x:v>2026-08-03T10:00:00</x:v>
      </x:c>
      <x:c r="B96" s="47" t="str">
        <x:v>7月30日现场数据</x:v>
      </x:c>
      <x:c r="C96" s="40" t="n">
        <x:v>44.27</x:v>
      </x:c>
      <x:c r="D96" s="40" t="n">
        <x:v>62.7225</x:v>
      </x:c>
      <x:c r="E96" s="40" t="n">
        <x:v>0.6318333333333334</x:v>
      </x:c>
      <x:c r="F96" s="40" t="n">
        <x:v>253.58333333333334</x:v>
      </x:c>
      <x:c r="G96" s="40" t="n">
        <x:v>123.91666666666667</x:v>
      </x:c>
      <x:c r="H96" s="40" t="n">
        <x:v>12</x:v>
      </x:c>
      <x:c r="I96" s="40" t="n">
        <x:v>101.10833333333333</x:v>
      </x:c>
      <x:c r="J96" s="40" t="n">
        <x:v>0.18590534954555363</x:v>
      </x:c>
      <x:c r="K96" s="40" t="n">
        <x:v>0.15016353935710736</x:v>
      </x:c>
      <x:c r="L96" s="40" t="n">
        <x:v>0.18590534954555363</x:v>
      </x:c>
      <x:c r="M96" s="41" t="str">
        <x:v>FAO-56 Penman–Monteith（小时）</x:v>
      </x:c>
    </x:row>
    <x:row r="97">
      <x:c r="A97" s="46" t="str">
        <x:v>2026-08-03T11:00:00</x:v>
      </x:c>
      <x:c r="B97" s="47" t="str">
        <x:v>7月30日现场数据</x:v>
      </x:c>
      <x:c r="C97" s="40" t="n">
        <x:v>39.04636363636364</x:v>
      </x:c>
      <x:c r="D97" s="40" t="n">
        <x:v>58.64545454545455</x:v>
      </x:c>
      <x:c r="E97" s="40" t="n">
        <x:v>2.1069090909090913</x:v>
      </x:c>
      <x:c r="F97" s="40" t="n">
        <x:v>143.54545454545453</x:v>
      </x:c>
      <x:c r="G97" s="40" t="n">
        <x:v>65.27272727272727</x:v>
      </x:c>
      <x:c r="H97" s="40" t="n">
        <x:v>11</x:v>
      </x:c>
      <x:c r="I97" s="40" t="n">
        <x:v>101.0909090909091</x:v>
      </x:c>
      <x:c r="J97" s="40" t="n">
        <x:v>0.1724074192018989</x:v>
      </x:c>
      <x:c r="K97" s="40" t="n">
        <x:v>0.15553333991421833</x:v>
      </x:c>
      <x:c r="L97" s="40" t="n">
        <x:v>0.1724074192018989</x:v>
      </x:c>
      <x:c r="M97" s="41" t="str">
        <x:v>FAO-56 Penman–Monteith（小时）</x:v>
      </x:c>
    </x:row>
    <x:row r="98">
      <x:c r="A98" s="46" t="str">
        <x:v>2026-08-03T12:00:00</x:v>
      </x:c>
      <x:c r="B98" s="47" t="str">
        <x:v>7月30日现场数据</x:v>
      </x:c>
      <x:c r="C98" s="40" t="n">
        <x:v>38.44916666666666</x:v>
      </x:c>
      <x:c r="D98" s="40" t="n">
        <x:v>57.093333333333334</x:v>
      </x:c>
      <x:c r="E98" s="40" t="n">
        <x:v>2.2829166666666665</x:v>
      </x:c>
      <x:c r="F98" s="40" t="n">
        <x:v>147.16666666666666</x:v>
      </x:c>
      <x:c r="G98" s="40" t="n">
        <x:v>96.41666666666667</x:v>
      </x:c>
      <x:c r="H98" s="40" t="n">
        <x:v>12</x:v>
      </x:c>
      <x:c r="I98" s="40" t="n">
        <x:v>101.01666666666667</x:v>
      </x:c>
      <x:c r="J98" s="40" t="n">
        <x:v>0.21615511609465884</x:v>
      </x:c>
      <x:c r="K98" s="40" t="n">
        <x:v>0.19159448970100462</x:v>
      </x:c>
      <x:c r="L98" s="40" t="n">
        <x:v>0.21615511609465884</x:v>
      </x:c>
      <x:c r="M98" s="41" t="str">
        <x:v>FAO-56 Penman–Monteith（小时）</x:v>
      </x:c>
    </x:row>
    <x:row r="99">
      <x:c r="A99" s="46" t="str">
        <x:v>2026-08-03T13:00:00</x:v>
      </x:c>
      <x:c r="B99" s="47" t="str">
        <x:v>7月30日现场数据</x:v>
      </x:c>
      <x:c r="C99" s="40" t="n">
        <x:v>37.88583333333333</x:v>
      </x:c>
      <x:c r="D99" s="40" t="n">
        <x:v>55.814166666666665</x:v>
      </x:c>
      <x:c r="E99" s="40" t="n">
        <x:v>1.8845833333333335</x:v>
      </x:c>
      <x:c r="F99" s="40" t="n">
        <x:v>155.08333333333334</x:v>
      </x:c>
      <x:c r="G99" s="40" t="n">
        <x:v>115.16666666666667</x:v>
      </x:c>
      <x:c r="H99" s="40" t="n">
        <x:v>12</x:v>
      </x:c>
      <x:c r="I99" s="40" t="n">
        <x:v>101</x:v>
      </x:c>
      <x:c r="J99" s="40" t="n">
        <x:v>0.22314342564126186</x:v>
      </x:c>
      <x:c r="K99" s="40" t="n">
        <x:v>0.19342826270401184</x:v>
      </x:c>
      <x:c r="L99" s="40" t="n">
        <x:v>0.22314342564126186</x:v>
      </x:c>
      <x:c r="M99" s="41" t="str">
        <x:v>FAO-56 Penman–Monteith（小时）</x:v>
      </x:c>
    </x:row>
    <x:row r="100">
      <x:c r="A100" s="46" t="str">
        <x:v>2026-08-03T14:00:00</x:v>
      </x:c>
      <x:c r="B100" s="47" t="str">
        <x:v>7月30日现场数据</x:v>
      </x:c>
      <x:c r="C100" s="40" t="n">
        <x:v>37.47692307692308</x:v>
      </x:c>
      <x:c r="D100" s="40" t="n">
        <x:v>54.52538461538462</x:v>
      </x:c>
      <x:c r="E100" s="40" t="n">
        <x:v>1.8766153846153846</x:v>
      </x:c>
      <x:c r="F100" s="40" t="n">
        <x:v>110.38461538461539</x:v>
      </x:c>
      <x:c r="G100" s="40" t="n">
        <x:v>72.84615384615384</x:v>
      </x:c>
      <x:c r="H100" s="40" t="n">
        <x:v>13</x:v>
      </x:c>
      <x:c r="I100" s="40" t="n">
        <x:v>100.96923076923078</x:v>
      </x:c>
      <x:c r="J100" s="40" t="n">
        <x:v>0.17708295361790494</x:v>
      </x:c>
      <x:c r="K100" s="40" t="n">
        <x:v>0.15836413301678762</x:v>
      </x:c>
      <x:c r="L100" s="40" t="n">
        <x:v>0.17708295361790494</x:v>
      </x:c>
      <x:c r="M100" s="41" t="str">
        <x:v>FAO-56 Penman–Monteith（小时）</x:v>
      </x:c>
    </x:row>
    <x:row r="101">
      <x:c r="A101" s="46" t="str">
        <x:v>2026-08-03T15:00:00</x:v>
      </x:c>
      <x:c r="B101" s="47" t="str">
        <x:v>7月30日现场数据</x:v>
      </x:c>
      <x:c r="C101" s="40" t="n">
        <x:v>37.37166666666666</x:v>
      </x:c>
      <x:c r="D101" s="40" t="n">
        <x:v>53.328333333333326</x:v>
      </x:c>
      <x:c r="E101" s="40" t="n">
        <x:v>1.1565833333333333</x:v>
      </x:c>
      <x:c r="F101" s="40" t="n">
        <x:v>135.25</x:v>
      </x:c>
      <x:c r="G101" s="40" t="n">
        <x:v>99.33333333333333</x:v>
      </x:c>
      <x:c r="H101" s="40" t="n">
        <x:v>12</x:v>
      </x:c>
      <x:c r="I101" s="40" t="n">
        <x:v>100.90833333333333</x:v>
      </x:c>
      <x:c r="J101" s="40" t="n">
        <x:v>0.1776452420656282</x:v>
      </x:c>
      <x:c r="K101" s="40" t="n">
        <x:v>0.15119752775873402</x:v>
      </x:c>
      <x:c r="L101" s="40" t="n">
        <x:v>0.1776452420656282</x:v>
      </x:c>
      <x:c r="M101" s="41" t="str">
        <x:v>FAO-56 Penman–Monteith（小时）</x:v>
      </x:c>
    </x:row>
    <x:row r="102">
      <x:c r="A102" s="46" t="str">
        <x:v>2026-08-03T16:00:00</x:v>
      </x:c>
      <x:c r="B102" s="47" t="str">
        <x:v>7月30日现场数据</x:v>
      </x:c>
      <x:c r="C102" s="40" t="n">
        <x:v>36.67666666666667</x:v>
      </x:c>
      <x:c r="D102" s="40" t="n">
        <x:v>52.149166666666666</x:v>
      </x:c>
      <x:c r="E102" s="40" t="n">
        <x:v>0.7472499999999999</x:v>
      </x:c>
      <x:c r="F102" s="40" t="n">
        <x:v>140.91666666666666</x:v>
      </x:c>
      <x:c r="G102" s="40" t="n">
        <x:v>117.83333333333333</x:v>
      </x:c>
      <x:c r="H102" s="40" t="n">
        <x:v>12</x:v>
      </x:c>
      <x:c r="I102" s="40" t="n">
        <x:v>100.9</x:v>
      </x:c>
      <x:c r="J102" s="40" t="n">
        <x:v>0.18046404739042318</x:v>
      </x:c>
      <x:c r="K102" s="40" t="n">
        <x:v>0.1486185723994541</x:v>
      </x:c>
      <x:c r="L102" s="40" t="n">
        <x:v>0.18046404739042318</x:v>
      </x:c>
      <x:c r="M102" s="41" t="str">
        <x:v>FAO-56 Penman–Monteith（小时）</x:v>
      </x:c>
    </x:row>
    <x:row r="103">
      <x:c r="A103" s="46" t="str">
        <x:v>2026-08-03T17:00:00</x:v>
      </x:c>
      <x:c r="B103" s="47" t="str">
        <x:v>7月30日现场数据</x:v>
      </x:c>
      <x:c r="C103" s="40" t="n">
        <x:v>35.48666666666667</x:v>
      </x:c>
      <x:c r="D103" s="40" t="n">
        <x:v>51.135</x:v>
      </x:c>
      <x:c r="E103" s="40" t="n">
        <x:v>0.00825</x:v>
      </x:c>
      <x:c r="F103" s="40" t="n">
        <x:v>44.416666666666664</x:v>
      </x:c>
      <x:c r="G103" s="40" t="n">
        <x:v>32.916666666666664</x:v>
      </x:c>
      <x:c r="H103" s="40" t="n">
        <x:v>12</x:v>
      </x:c>
      <x:c r="I103" s="40" t="n">
        <x:v>100.9</x:v>
      </x:c>
      <x:c r="J103" s="40" t="n">
        <x:v>0.04039238435335593</x:v>
      </x:c>
      <x:c r="K103" s="40" t="n">
        <x:v>0.031213974939379982</x:v>
      </x:c>
      <x:c r="L103" s="40" t="n">
        <x:v>0.04039238435335593</x:v>
      </x:c>
      <x:c r="M103" s="41" t="str">
        <x:v>FAO-56 Penman–Monteith（小时）</x:v>
      </x:c>
    </x:row>
    <x:row r="104">
      <x:c r="A104" s="46" t="str">
        <x:v>2026-08-03T18:00:00</x:v>
      </x:c>
      <x:c r="B104" s="47" t="str">
        <x:v>7月30日现场数据</x:v>
      </x:c>
      <x:c r="C104" s="40" t="n">
        <x:v>33.030833333333334</x:v>
      </x:c>
      <x:c r="D104" s="40" t="n">
        <x:v>50.23333333333333</x:v>
      </x:c>
      <x:c r="E104" s="40" t="n">
        <x:v>0.09616666666666666</x:v>
      </x:c>
      <x:c r="F104" s="40" t="n">
        <x:v>4.5</x:v>
      </x:c>
      <x:c r="G104" s="40" t="n">
        <x:v>3.5</x:v>
      </x:c>
      <x:c r="H104" s="40" t="n">
        <x:v>12</x:v>
      </x:c>
      <x:c r="I104" s="40" t="n">
        <x:v>100.91666666666666</x:v>
      </x:c>
      <x:c r="J104" s="40" t="n">
        <x:v>0.00968909329120104</x:v>
      </x:c>
      <x:c r="K104" s="40" t="n">
        <x:v>0.008739593324968127</x:v>
      </x:c>
      <x:c r="L104" s="40" t="n">
        <x:v>0.00968909329120104</x:v>
      </x:c>
      <x:c r="M104" s="41" t="str">
        <x:v>FAO-56 Penman–Monteith（小时）</x:v>
      </x:c>
    </x:row>
    <x:row r="105">
      <x:c r="A105" s="46" t="str">
        <x:v>2026-08-03T19:00:00</x:v>
      </x:c>
      <x:c r="B105" s="47" t="str">
        <x:v>7月30日现场数据</x:v>
      </x:c>
      <x:c r="C105" s="40" t="n">
        <x:v>31.689999999999998</x:v>
      </x:c>
      <x:c r="D105" s="40" t="n">
        <x:v>50.54416666666666</x:v>
      </x:c>
      <x:c r="E105" s="40" t="n">
        <x:v>0.16208333333333336</x:v>
      </x:c>
      <x:c r="F105" s="40" t="n">
        <x:v>0</x:v>
      </x:c>
      <x:c r="G105" s="40" t="n">
        <x:v>0</x:v>
      </x:c>
      <x:c r="H105" s="40" t="n">
        <x:v>12</x:v>
      </x:c>
      <x:c r="I105" s="40" t="n">
        <x:v>101</x:v>
      </x:c>
      <x:c r="J105" s="40" t="n">
        <x:v>0.009105179655430664</x:v>
      </x:c>
      <x:c r="K105" s="40" t="n">
        <x:v>0.009105179655430664</x:v>
      </x:c>
      <x:c r="L105" s="40" t="n">
        <x:v>0.009105179655430664</x:v>
      </x:c>
      <x:c r="M105" s="41" t="str">
        <x:v>FAO-56 Penman–Monteith（小时）</x:v>
      </x:c>
    </x:row>
    <x:row r="106">
      <x:c r="A106" s="46" t="str">
        <x:v>2026-08-03T20:00:00</x:v>
      </x:c>
      <x:c r="B106" s="47" t="str">
        <x:v>7月30日现场数据</x:v>
      </x:c>
      <x:c r="C106" s="40" t="n">
        <x:v>30.794999999999998</x:v>
      </x:c>
      <x:c r="D106" s="40" t="n">
        <x:v>51.5875</x:v>
      </x:c>
      <x:c r="E106" s="40" t="n">
        <x:v>0.0165</x:v>
      </x:c>
      <x:c r="F106" s="40" t="n">
        <x:v>0</x:v>
      </x:c>
      <x:c r="G106" s="40" t="n">
        <x:v>0</x:v>
      </x:c>
      <x:c r="H106" s="40" t="n">
        <x:v>12</x:v>
      </x:c>
      <x:c r="I106" s="40" t="n">
        <x:v>101.05</x:v>
      </x:c>
      <x:c r="J106" s="40" t="n">
        <x:v>0.0009050643622320333</x:v>
      </x:c>
      <x:c r="K106" s="40" t="n">
        <x:v>0.0009050643622320333</x:v>
      </x:c>
      <x:c r="L106" s="40" t="n">
        <x:v>0.0009050643622320333</x:v>
      </x:c>
      <x:c r="M106" s="41" t="str">
        <x:v>FAO-56 Penman–Monteith（小时）</x:v>
      </x:c>
    </x:row>
    <x:row r="107">
      <x:c r="A107" s="46" t="str">
        <x:v>2026-08-03T21:00:00</x:v>
      </x:c>
      <x:c r="B107" s="47" t="str">
        <x:v>7月30日现场数据</x:v>
      </x:c>
      <x:c r="C107" s="40" t="n">
        <x:v>30.440833333333334</x:v>
      </x:c>
      <x:c r="D107" s="40" t="n">
        <x:v>53.26833333333334</x:v>
      </x:c>
      <x:c r="E107" s="40" t="n">
        <x:v>0.10441666666666666</x:v>
      </x:c>
      <x:c r="F107" s="40" t="n">
        <x:v>0</x:v>
      </x:c>
      <x:c r="G107" s="40" t="n">
        <x:v>0</x:v>
      </x:c>
      <x:c r="H107" s="40" t="n">
        <x:v>12</x:v>
      </x:c>
      <x:c r="I107" s="40" t="n">
        <x:v>101.1</x:v>
      </x:c>
      <x:c r="J107" s="40" t="n">
        <x:v>0.005467351687656168</x:v>
      </x:c>
      <x:c r="K107" s="40" t="n">
        <x:v>0.005467351687656168</x:v>
      </x:c>
      <x:c r="L107" s="40" t="n">
        <x:v>0.005467351687656168</x:v>
      </x:c>
      <x:c r="M107" s="41" t="str">
        <x:v>FAO-56 Penman–Monteith（小时）</x:v>
      </x:c>
    </x:row>
    <x:row r="108">
      <x:c r="A108" s="46" t="str">
        <x:v>2026-08-03T22:00:00</x:v>
      </x:c>
      <x:c r="B108" s="47" t="str">
        <x:v>7月30日现场数据</x:v>
      </x:c>
      <x:c r="C108" s="40" t="n">
        <x:v>30.189166666666665</x:v>
      </x:c>
      <x:c r="D108" s="40" t="n">
        <x:v>54.805</x:v>
      </x:c>
      <x:c r="E108" s="40" t="n">
        <x:v>0.239</x:v>
      </x:c>
      <x:c r="F108" s="40" t="n">
        <x:v>0</x:v>
      </x:c>
      <x:c r="G108" s="40" t="n">
        <x:v>0</x:v>
      </x:c>
      <x:c r="H108" s="40" t="n">
        <x:v>12</x:v>
      </x:c>
      <x:c r="I108" s="40" t="n">
        <x:v>101.1</x:v>
      </x:c>
      <x:c r="J108" s="40" t="n">
        <x:v>0.011940316312272025</x:v>
      </x:c>
      <x:c r="K108" s="40" t="n">
        <x:v>0.011940316312272025</x:v>
      </x:c>
      <x:c r="L108" s="40" t="n">
        <x:v>0.011940316312272025</x:v>
      </x:c>
      <x:c r="M108" s="41" t="str">
        <x:v>FAO-56 Penman–Monteith（小时）</x:v>
      </x:c>
    </x:row>
    <x:row r="109">
      <x:c r="A109" s="46" t="str">
        <x:v>2026-08-03T23:00:00</x:v>
      </x:c>
      <x:c r="B109" s="47" t="str">
        <x:v>7月30日现场数据</x:v>
      </x:c>
      <x:c r="C109" s="40" t="n">
        <x:v>29.773333333333337</x:v>
      </x:c>
      <x:c r="D109" s="40" t="n">
        <x:v>55.86083333333334</x:v>
      </x:c>
      <x:c r="E109" s="40" t="n">
        <x:v>0</x:v>
      </x:c>
      <x:c r="F109" s="40" t="n">
        <x:v>0</x:v>
      </x:c>
      <x:c r="G109" s="40" t="n">
        <x:v>0</x:v>
      </x:c>
      <x:c r="H109" s="40" t="n">
        <x:v>12</x:v>
      </x:c>
      <x:c r="I109" s="40" t="n">
        <x:v>101.1</x:v>
      </x:c>
      <x:c r="J109" s="40" t="n">
        <x:v>0</x:v>
      </x:c>
      <x:c r="K109" s="40" t="n">
        <x:v>0</x:v>
      </x:c>
      <x:c r="L109" s="40" t="n">
        <x:v>0</x:v>
      </x:c>
      <x:c r="M109" s="41" t="str">
        <x:v>FAO-56 Penman–Monteith（小时）</x:v>
      </x:c>
    </x:row>
    <x:row r="110">
      <x:c r="A110" s="46" t="str">
        <x:v>2026-08-04T00:00:00</x:v>
      </x:c>
      <x:c r="B110" s="47" t="str">
        <x:v>7月30日现场数据</x:v>
      </x:c>
      <x:c r="C110" s="40" t="n">
        <x:v>29.511666666666667</x:v>
      </x:c>
      <x:c r="D110" s="40" t="n">
        <x:v>56.90833333333333</x:v>
      </x:c>
      <x:c r="E110" s="40" t="n">
        <x:v>0</x:v>
      </x:c>
      <x:c r="F110" s="40" t="n">
        <x:v>0</x:v>
      </x:c>
      <x:c r="G110" s="40" t="n">
        <x:v>0</x:v>
      </x:c>
      <x:c r="H110" s="40" t="n">
        <x:v>12</x:v>
      </x:c>
      <x:c r="I110" s="40" t="n">
        <x:v>101.1</x:v>
      </x:c>
      <x:c r="J110" s="40" t="n">
        <x:v>0</x:v>
      </x:c>
      <x:c r="K110" s="40" t="n">
        <x:v>0</x:v>
      </x:c>
      <x:c r="L110" s="40" t="n">
        <x:v>0</x:v>
      </x:c>
      <x:c r="M110" s="41" t="str">
        <x:v>FAO-56 Penman–Monteith（小时）</x:v>
      </x:c>
    </x:row>
    <x:row r="111">
      <x:c r="A111" s="46" t="str">
        <x:v>2026-08-04T01:00:00</x:v>
      </x:c>
      <x:c r="B111" s="47" t="str">
        <x:v>7月30日现场数据</x:v>
      </x:c>
      <x:c r="C111" s="40" t="n">
        <x:v>29.218333333333334</x:v>
      </x:c>
      <x:c r="D111" s="40" t="n">
        <x:v>58.01166666666666</x:v>
      </x:c>
      <x:c r="E111" s="40" t="n">
        <x:v>0.0275</x:v>
      </x:c>
      <x:c r="F111" s="40" t="n">
        <x:v>0</x:v>
      </x:c>
      <x:c r="G111" s="40" t="n">
        <x:v>0</x:v>
      </x:c>
      <x:c r="H111" s="40" t="n">
        <x:v>12</x:v>
      </x:c>
      <x:c r="I111" s="40" t="n">
        <x:v>101.1</x:v>
      </x:c>
      <x:c r="J111" s="40" t="n">
        <x:v>0.0012770835933591347</x:v>
      </x:c>
      <x:c r="K111" s="40" t="n">
        <x:v>0.0012770835933591347</x:v>
      </x:c>
      <x:c r="L111" s="40" t="n">
        <x:v>0.0012770835933591347</x:v>
      </x:c>
      <x:c r="M111" s="41" t="str">
        <x:v>FAO-56 Penman–Monteith（小时）</x:v>
      </x:c>
    </x:row>
    <x:row r="112">
      <x:c r="A112" s="46" t="str">
        <x:v>2026-08-04T02:00:00</x:v>
      </x:c>
      <x:c r="B112" s="47" t="str">
        <x:v>7月30日现场数据</x:v>
      </x:c>
      <x:c r="C112" s="40" t="n">
        <x:v>28.974999999999998</x:v>
      </x:c>
      <x:c r="D112" s="40" t="n">
        <x:v>59.23666666666667</x:v>
      </x:c>
      <x:c r="E112" s="40" t="n">
        <x:v>0</x:v>
      </x:c>
      <x:c r="F112" s="40" t="n">
        <x:v>0</x:v>
      </x:c>
      <x:c r="G112" s="40" t="n">
        <x:v>0</x:v>
      </x:c>
      <x:c r="H112" s="40" t="n">
        <x:v>12</x:v>
      </x:c>
      <x:c r="I112" s="40" t="n">
        <x:v>101.09166666666667</x:v>
      </x:c>
      <x:c r="J112" s="40" t="n">
        <x:v>0</x:v>
      </x:c>
      <x:c r="K112" s="40" t="n">
        <x:v>0</x:v>
      </x:c>
      <x:c r="L112" s="40" t="n">
        <x:v>0</x:v>
      </x:c>
      <x:c r="M112" s="41" t="str">
        <x:v>FAO-56 Penman–Monteith（小时）</x:v>
      </x:c>
    </x:row>
    <x:row r="113">
      <x:c r="A113" s="46" t="str">
        <x:v>2026-08-04T03:00:00</x:v>
      </x:c>
      <x:c r="B113" s="47" t="str">
        <x:v>7月30日现场数据</x:v>
      </x:c>
      <x:c r="C113" s="40" t="n">
        <x:v>28.830833333333334</x:v>
      </x:c>
      <x:c r="D113" s="40" t="n">
        <x:v>60.53583333333333</x:v>
      </x:c>
      <x:c r="E113" s="40" t="n">
        <x:v>0</x:v>
      </x:c>
      <x:c r="F113" s="40" t="n">
        <x:v>0</x:v>
      </x:c>
      <x:c r="G113" s="40" t="n">
        <x:v>0</x:v>
      </x:c>
      <x:c r="H113" s="40" t="n">
        <x:v>12</x:v>
      </x:c>
      <x:c r="I113" s="40" t="n">
        <x:v>101.09166666666667</x:v>
      </x:c>
      <x:c r="J113" s="40" t="n">
        <x:v>0</x:v>
      </x:c>
      <x:c r="K113" s="40" t="n">
        <x:v>0</x:v>
      </x:c>
      <x:c r="L113" s="40" t="n">
        <x:v>0</x:v>
      </x:c>
      <x:c r="M113" s="41" t="str">
        <x:v>FAO-56 Penman–Monteith（小时）</x:v>
      </x:c>
    </x:row>
    <x:row r="114">
      <x:c r="A114" s="46" t="str">
        <x:v>2026-08-04T04:00:00</x:v>
      </x:c>
      <x:c r="B114" s="47" t="str">
        <x:v>7月30日现场数据</x:v>
      </x:c>
      <x:c r="C114" s="40" t="n">
        <x:v>28.665000000000003</x:v>
      </x:c>
      <x:c r="D114" s="40" t="n">
        <x:v>61.73833333333334</x:v>
      </x:c>
      <x:c r="E114" s="40" t="n">
        <x:v>0.29941666666666666</x:v>
      </x:c>
      <x:c r="F114" s="40" t="n">
        <x:v>0.16666666666666666</x:v>
      </x:c>
      <x:c r="G114" s="40" t="n">
        <x:v>0.16666666666666666</x:v>
      </x:c>
      <x:c r="H114" s="40" t="n">
        <x:v>12</x:v>
      </x:c>
      <x:c r="I114" s="40" t="n">
        <x:v>101.1</x:v>
      </x:c>
      <x:c r="J114" s="40" t="n">
        <x:v>0.012487388806836126</x:v>
      </x:c>
      <x:c r="K114" s="40" t="n">
        <x:v>0.012444909919367073</x:v>
      </x:c>
      <x:c r="L114" s="40" t="n">
        <x:v>0.012487388806836126</x:v>
      </x:c>
      <x:c r="M114" s="41" t="str">
        <x:v>FAO-56 Penman–Monteith（小时）</x:v>
      </x:c>
    </x:row>
    <x:row r="115">
      <x:c r="A115" s="46" t="str">
        <x:v>2026-08-04T05:00:00</x:v>
      </x:c>
      <x:c r="B115" s="47" t="str">
        <x:v>7月30日现场数据</x:v>
      </x:c>
      <x:c r="C115" s="40" t="n">
        <x:v>28.549166666666668</x:v>
      </x:c>
      <x:c r="D115" s="40" t="n">
        <x:v>62.88999999999999</x:v>
      </x:c>
      <x:c r="E115" s="40" t="n">
        <x:v>0.011000000000000001</x:v>
      </x:c>
      <x:c r="F115" s="40" t="n">
        <x:v>5.5</x:v>
      </x:c>
      <x:c r="G115" s="40" t="n">
        <x:v>4.5</x:v>
      </x:c>
      <x:c r="H115" s="40" t="n">
        <x:v>12</x:v>
      </x:c>
      <x:c r="I115" s="40" t="n">
        <x:v>101.1</x:v>
      </x:c>
      <x:c r="J115" s="40" t="n">
        <x:v>0.005538591006603649</x:v>
      </x:c>
      <x:c r="K115" s="40" t="n">
        <x:v>0.004367605514327489</x:v>
      </x:c>
      <x:c r="L115" s="40" t="n">
        <x:v>0.005538591006603649</x:v>
      </x:c>
      <x:c r="M115" s="41" t="str">
        <x:v>FAO-56 Penman–Monteith（小时）</x:v>
      </x:c>
    </x:row>
    <x:row r="116">
      <x:c r="A116" s="46" t="str">
        <x:v>2026-08-04T06:00:00</x:v>
      </x:c>
      <x:c r="B116" s="47" t="str">
        <x:v>7月30日现场数据</x:v>
      </x:c>
      <x:c r="C116" s="40" t="n">
        <x:v>29.02333333333333</x:v>
      </x:c>
      <x:c r="D116" s="40" t="n">
        <x:v>64.18666666666667</x:v>
      </x:c>
      <x:c r="E116" s="40" t="n">
        <x:v>0.2060833333333333</x:v>
      </x:c>
      <x:c r="F116" s="40" t="n">
        <x:v>20.666666666666668</x:v>
      </x:c>
      <x:c r="G116" s="40" t="n">
        <x:v>16.833333333333332</x:v>
      </x:c>
      <x:c r="H116" s="40" t="n">
        <x:v>12</x:v>
      </x:c>
      <x:c r="I116" s="40" t="n">
        <x:v>101.1</x:v>
      </x:c>
      <x:c r="J116" s="40" t="n">
        <x:v>0.026896486004011587</x:v>
      </x:c>
      <x:c r="K116" s="40" t="n">
        <x:v>0.022556928181525188</x:v>
      </x:c>
      <x:c r="L116" s="40" t="n">
        <x:v>0.026896486004011587</x:v>
      </x:c>
      <x:c r="M116" s="41" t="str">
        <x:v>FAO-56 Penman–Monteith（小时）</x:v>
      </x:c>
    </x:row>
    <x:row r="117">
      <x:c r="A117" s="46" t="str">
        <x:v>2026-08-04T07:00:00</x:v>
      </x:c>
      <x:c r="B117" s="47" t="str">
        <x:v>7月30日现场数据</x:v>
      </x:c>
      <x:c r="C117" s="40" t="n">
        <x:v>30.2925</x:v>
      </x:c>
      <x:c r="D117" s="40" t="n">
        <x:v>65.6125</x:v>
      </x:c>
      <x:c r="E117" s="40" t="n">
        <x:v>0.057666666666666665</x:v>
      </x:c>
      <x:c r="F117" s="40" t="n">
        <x:v>56.083333333333336</x:v>
      </x:c>
      <x:c r="G117" s="40" t="n">
        <x:v>45.5</x:v>
      </x:c>
      <x:c r="H117" s="40" t="n">
        <x:v>12</x:v>
      </x:c>
      <x:c r="I117" s="40" t="n">
        <x:v>101.1</x:v>
      </x:c>
      <x:c r="J117" s="40" t="n">
        <x:v>0.05453365442278886</x:v>
      </x:c>
      <x:c r="K117" s="40" t="n">
        <x:v>0.0425025324693941</x:v>
      </x:c>
      <x:c r="L117" s="40" t="n">
        <x:v>0.05453365442278886</x:v>
      </x:c>
      <x:c r="M117" s="41" t="str">
        <x:v>FAO-56 Penman–Monteith（小时）</x:v>
      </x:c>
    </x:row>
    <x:row r="118">
      <x:c r="A118" s="46" t="str">
        <x:v>2026-08-04T08:00:00</x:v>
      </x:c>
      <x:c r="B118" s="47" t="str">
        <x:v>7月30日现场数据</x:v>
      </x:c>
      <x:c r="C118" s="40" t="n">
        <x:v>35</x:v>
      </x:c>
      <x:c r="D118" s="40" t="n">
        <x:v>67.29363636363637</x:v>
      </x:c>
      <x:c r="E118" s="40" t="n">
        <x:v>0</x:v>
      </x:c>
      <x:c r="F118" s="40" t="n">
        <x:v>546.9090909090909</x:v>
      </x:c>
      <x:c r="G118" s="40" t="n">
        <x:v>460.27272727272725</x:v>
      </x:c>
      <x:c r="H118" s="40" t="n">
        <x:v>11</x:v>
      </x:c>
      <x:c r="I118" s="40" t="n">
        <x:v>101.15454545454546</x:v>
      </x:c>
      <x:c r="J118" s="40" t="n">
        <x:v>0.5557486616438592</x:v>
      </x:c>
      <x:c r="K118" s="40" t="n">
        <x:v>0.4279264694657717</x:v>
      </x:c>
      <x:c r="L118" s="40" t="n">
        <x:v>0.5557486616438592</x:v>
      </x:c>
      <x:c r="M118" s="41" t="str">
        <x:v>FAO-56 Penman–Monteith（小时）</x:v>
      </x:c>
    </x:row>
    <x:row r="119">
      <x:c r="A119" s="46" t="str">
        <x:v>2026-08-04T09:00:00</x:v>
      </x:c>
      <x:c r="B119" s="47" t="str">
        <x:v>7月30日现场数据</x:v>
      </x:c>
      <x:c r="C119" s="40" t="n">
        <x:v>45.43416666666667</x:v>
      </x:c>
      <x:c r="D119" s="40" t="n">
        <x:v>66.91666666666667</x:v>
      </x:c>
      <x:c r="E119" s="40" t="n">
        <x:v>0.09608333333333334</x:v>
      </x:c>
      <x:c r="F119" s="40" t="n">
        <x:v>940.8333333333334</x:v>
      </x:c>
      <x:c r="G119" s="40" t="n">
        <x:v>766.8333333333334</x:v>
      </x:c>
      <x:c r="H119" s="40" t="n">
        <x:v>12</x:v>
      </x:c>
      <x:c r="I119" s="40" t="n">
        <x:v>101.19166666666666</x:v>
      </x:c>
      <x:c r="J119" s="40" t="n">
        <x:v>0.9937028103809195</x:v>
      </x:c>
      <x:c r="K119" s="40" t="n">
        <x:v>0.7661307570425804</x:v>
      </x:c>
      <x:c r="L119" s="40" t="n">
        <x:v>0.9937028103809195</x:v>
      </x:c>
      <x:c r="M119" s="41" t="str">
        <x:v>FAO-56 Penman–Monteith（小时）</x:v>
      </x:c>
    </x:row>
    <x:row r="120">
      <x:c r="A120" s="46" t="str">
        <x:v>2026-08-04T10:00:00</x:v>
      </x:c>
      <x:c r="B120" s="47" t="str">
        <x:v>7月30日现场数据</x:v>
      </x:c>
      <x:c r="C120" s="40" t="n">
        <x:v>44.494166666666665</x:v>
      </x:c>
      <x:c r="D120" s="40" t="n">
        <x:v>61.24916666666667</x:v>
      </x:c>
      <x:c r="E120" s="40" t="n">
        <x:v>0.10441666666666666</x:v>
      </x:c>
      <x:c r="F120" s="40" t="n">
        <x:v>230</x:v>
      </x:c>
      <x:c r="G120" s="40" t="n">
        <x:v>114.25</x:v>
      </x:c>
      <x:c r="H120" s="40" t="n">
        <x:v>12</x:v>
      </x:c>
      <x:c r="I120" s="40" t="n">
        <x:v>101.14166666666667</x:v>
      </x:c>
      <x:c r="J120" s="40" t="n">
        <x:v>0.1519856331721595</x:v>
      </x:c>
      <x:c r="K120" s="40" t="n">
        <x:v>0.11826389423724232</x:v>
      </x:c>
      <x:c r="L120" s="40" t="n">
        <x:v>0.1519856331721595</x:v>
      </x:c>
      <x:c r="M120" s="41" t="str">
        <x:v>FAO-56 Penman–Monteith（小时）</x:v>
      </x:c>
    </x:row>
    <x:row r="121">
      <x:c r="A121" s="46" t="str">
        <x:v>2026-08-04T11:00:00</x:v>
      </x:c>
      <x:c r="B121" s="47" t="str">
        <x:v>7月30日现场数据</x:v>
      </x:c>
      <x:c r="C121" s="40" t="n">
        <x:v>40.086666666666666</x:v>
      </x:c>
      <x:c r="D121" s="40" t="n">
        <x:v>57.44</x:v>
      </x:c>
      <x:c r="E121" s="40" t="n">
        <x:v>0</x:v>
      </x:c>
      <x:c r="F121" s="40" t="n">
        <x:v>179.33333333333334</x:v>
      </x:c>
      <x:c r="G121" s="40" t="n">
        <x:v>119.16666666666667</x:v>
      </x:c>
      <x:c r="H121" s="40" t="n">
        <x:v>12</x:v>
      </x:c>
      <x:c r="I121" s="40" t="n">
        <x:v>101.1</x:v>
      </x:c>
      <x:c r="J121" s="40" t="n">
        <x:v>0.14955393983532322</x:v>
      </x:c>
      <x:c r="K121" s="40" t="n">
        <x:v>0.11515653367319888</x:v>
      </x:c>
      <x:c r="L121" s="40" t="n">
        <x:v>0.14955393983532322</x:v>
      </x:c>
      <x:c r="M121" s="41" t="str">
        <x:v>FAO-56 Penman–Monteith（小时）</x:v>
      </x:c>
    </x:row>
    <x:row r="122">
      <x:c r="A122" s="46" t="str">
        <x:v>2026-08-04T12:00:00</x:v>
      </x:c>
      <x:c r="B122" s="47" t="str">
        <x:v>7月30日现场数据</x:v>
      </x:c>
      <x:c r="C122" s="40" t="n">
        <x:v>38.02333333333333</x:v>
      </x:c>
      <x:c r="D122" s="40" t="n">
        <x:v>55.817499999999995</x:v>
      </x:c>
      <x:c r="E122" s="40" t="n">
        <x:v>0.8241666666666667</x:v>
      </x:c>
      <x:c r="F122" s="40" t="n">
        <x:v>134.75</x:v>
      </x:c>
      <x:c r="G122" s="40" t="n">
        <x:v>102.66666666666667</x:v>
      </x:c>
      <x:c r="H122" s="40" t="n">
        <x:v>12</x:v>
      </x:c>
      <x:c r="I122" s="40" t="n">
        <x:v>101</x:v>
      </x:c>
      <x:c r="J122" s="40" t="n">
        <x:v>0.1650408649872492</x:v>
      </x:c>
      <x:c r="K122" s="40" t="n">
        <x:v>0.13706564864124005</x:v>
      </x:c>
      <x:c r="L122" s="40" t="n">
        <x:v>0.1650408649872492</x:v>
      </x:c>
      <x:c r="M122" s="41" t="str">
        <x:v>FAO-56 Penman–Monteith（小时）</x:v>
      </x:c>
    </x:row>
    <x:row r="123">
      <x:c r="A123" s="46" t="str">
        <x:v>2026-08-04T13:00:00</x:v>
      </x:c>
      <x:c r="B123" s="47" t="str">
        <x:v>7月30日现场数据</x:v>
      </x:c>
      <x:c r="C123" s="40" t="n">
        <x:v>37.34166666666667</x:v>
      </x:c>
      <x:c r="D123" s="40" t="n">
        <x:v>55.336666666666666</x:v>
      </x:c>
      <x:c r="E123" s="40" t="n">
        <x:v>0.4094166666666667</x:v>
      </x:c>
      <x:c r="F123" s="40" t="n">
        <x:v>109.5</x:v>
      </x:c>
      <x:c r="G123" s="40" t="n">
        <x:v>84.08333333333333</x:v>
      </x:c>
      <x:c r="H123" s="40" t="n">
        <x:v>12</x:v>
      </x:c>
      <x:c r="I123" s="40" t="n">
        <x:v>100.95833333333334</x:v>
      </x:c>
      <x:c r="J123" s="40" t="n">
        <x:v>0.12329105597898776</x:v>
      </x:c>
      <x:c r="K123" s="40" t="n">
        <x:v>0.10001212247187555</x:v>
      </x:c>
      <x:c r="L123" s="40" t="n">
        <x:v>0.12329105597898776</x:v>
      </x:c>
      <x:c r="M123" s="41" t="str">
        <x:v>FAO-56 Penman–Monteith（小时）</x:v>
      </x:c>
    </x:row>
    <x:row r="124">
      <x:c r="A124" s="46" t="str">
        <x:v>2026-08-04T14:00:00</x:v>
      </x:c>
      <x:c r="B124" s="47" t="str">
        <x:v>7月30日现场数据</x:v>
      </x:c>
      <x:c r="C124" s="40" t="n">
        <x:v>35.8675</x:v>
      </x:c>
      <x:c r="D124" s="40" t="n">
        <x:v>55.1025</x:v>
      </x:c>
      <x:c r="E124" s="40" t="n">
        <x:v>1.92025</x:v>
      </x:c>
      <x:c r="F124" s="40" t="n">
        <x:v>105.25</x:v>
      </x:c>
      <x:c r="G124" s="40" t="n">
        <x:v>80.91666666666667</x:v>
      </x:c>
      <x:c r="H124" s="40" t="n">
        <x:v>12</x:v>
      </x:c>
      <x:c r="I124" s="40" t="n">
        <x:v>100.9</x:v>
      </x:c>
      <x:c r="J124" s="40" t="n">
        <x:v>0.18253467258358683</x:v>
      </x:c>
      <x:c r="K124" s="40" t="n">
        <x:v>0.1621715347103292</x:v>
      </x:c>
      <x:c r="L124" s="40" t="n">
        <x:v>0.18253467258358683</x:v>
      </x:c>
      <x:c r="M124" s="41" t="str">
        <x:v>FAO-56 Penman–Monteith（小时）</x:v>
      </x:c>
    </x:row>
    <x:row r="125">
      <x:c r="A125" s="46" t="str">
        <x:v>2026-08-04T15:00:00</x:v>
      </x:c>
      <x:c r="B125" s="47" t="str">
        <x:v>7月30日现场数据</x:v>
      </x:c>
      <x:c r="C125" s="40" t="n">
        <x:v>35.5</x:v>
      </x:c>
      <x:c r="D125" s="40" t="n">
        <x:v>55.65083333333333</x:v>
      </x:c>
      <x:c r="E125" s="40" t="n">
        <x:v>0.6455000000000001</x:v>
      </x:c>
      <x:c r="F125" s="40" t="n">
        <x:v>95.66666666666667</x:v>
      </x:c>
      <x:c r="G125" s="40" t="n">
        <x:v>75.25</x:v>
      </x:c>
      <x:c r="H125" s="40" t="n">
        <x:v>12</x:v>
      </x:c>
      <x:c r="I125" s="40" t="n">
        <x:v>100.9</x:v>
      </x:c>
      <x:c r="J125" s="40" t="n">
        <x:v>0.1212041322217062</x:v>
      </x:c>
      <x:c r="K125" s="40" t="n">
        <x:v>0.10098175390999438</x:v>
      </x:c>
      <x:c r="L125" s="40" t="n">
        <x:v>0.1212041322217062</x:v>
      </x:c>
      <x:c r="M125" s="41" t="str">
        <x:v>FAO-56 Penman–Monteith（小时）</x:v>
      </x:c>
    </x:row>
    <x:row r="126">
      <x:c r="A126" s="46" t="str">
        <x:v>2026-08-04T16:00:00</x:v>
      </x:c>
      <x:c r="B126" s="47" t="str">
        <x:v>7月30日现场数据</x:v>
      </x:c>
      <x:c r="C126" s="40" t="n">
        <x:v>34.91166666666667</x:v>
      </x:c>
      <x:c r="D126" s="40" t="n">
        <x:v>56.45916666666667</x:v>
      </x:c>
      <x:c r="E126" s="40" t="n">
        <x:v>0.09066666666666667</x:v>
      </x:c>
      <x:c r="F126" s="40" t="n">
        <x:v>76</x:v>
      </x:c>
      <x:c r="G126" s="40" t="n">
        <x:v>56.833333333333336</x:v>
      </x:c>
      <x:c r="H126" s="40" t="n">
        <x:v>12</x:v>
      </x:c>
      <x:c r="I126" s="40" t="n">
        <x:v>100.89166666666667</x:v>
      </x:c>
      <x:c r="J126" s="40" t="n">
        <x:v>0.07293138820426061</x:v>
      </x:c>
      <x:c r="K126" s="40" t="n">
        <x:v>0.057239005169041755</x:v>
      </x:c>
      <x:c r="L126" s="40" t="n">
        <x:v>0.07293138820426061</x:v>
      </x:c>
      <x:c r="M126" s="41" t="str">
        <x:v>FAO-56 Penman–Monteith（小时）</x:v>
      </x:c>
    </x:row>
    <x:row r="127">
      <x:c r="A127" s="46" t="str">
        <x:v>2026-08-04T17:00:00</x:v>
      </x:c>
      <x:c r="B127" s="47" t="str">
        <x:v>7月30日现场数据</x:v>
      </x:c>
      <x:c r="C127" s="40" t="n">
        <x:v>33.415</x:v>
      </x:c>
      <x:c r="D127" s="40" t="n">
        <x:v>57.33083333333334</x:v>
      </x:c>
      <x:c r="E127" s="40" t="n">
        <x:v>0.4395833333333334</x:v>
      </x:c>
      <x:c r="F127" s="40" t="n">
        <x:v>24.166666666666668</x:v>
      </x:c>
      <x:c r="G127" s="40" t="n">
        <x:v>17.666666666666668</x:v>
      </x:c>
      <x:c r="H127" s="40" t="n">
        <x:v>12</x:v>
      </x:c>
      <x:c r="I127" s="40" t="n">
        <x:v>100.9</x:v>
      </x:c>
      <x:c r="J127" s="40" t="n">
        <x:v>0.04190093979954643</x:v>
      </x:c>
      <x:c r="K127" s="40" t="n">
        <x:v>0.03719379308022171</x:v>
      </x:c>
      <x:c r="L127" s="40" t="n">
        <x:v>0.04190093979954643</x:v>
      </x:c>
      <x:c r="M127" s="41" t="str">
        <x:v>FAO-56 Penman–Monteith（小时）</x:v>
      </x:c>
    </x:row>
    <x:row r="128">
      <x:c r="A128" s="46" t="str">
        <x:v>2026-08-04T18:00:00</x:v>
      </x:c>
      <x:c r="B128" s="47" t="str">
        <x:v>7月30日现场数据</x:v>
      </x:c>
      <x:c r="C128" s="40" t="n">
        <x:v>32.67583333333334</x:v>
      </x:c>
      <x:c r="D128" s="40" t="n">
        <x:v>58.630833333333335</x:v>
      </x:c>
      <x:c r="E128" s="40" t="n">
        <x:v>0</x:v>
      </x:c>
      <x:c r="F128" s="40" t="n">
        <x:v>5.75</x:v>
      </x:c>
      <x:c r="G128" s="40" t="n">
        <x:v>4.333333333333333</x:v>
      </x:c>
      <x:c r="H128" s="40" t="n">
        <x:v>12</x:v>
      </x:c>
      <x:c r="I128" s="40" t="n">
        <x:v>100.93333333333334</x:v>
      </x:c>
      <x:c r="J128" s="40" t="n">
        <x:v>0.0051259149517120075</x:v>
      </x:c>
      <x:c r="K128" s="40" t="n">
        <x:v>0.003946954512818246</x:v>
      </x:c>
      <x:c r="L128" s="40" t="n">
        <x:v>0.0051259149517120075</x:v>
      </x:c>
      <x:c r="M128" s="41" t="str">
        <x:v>FAO-56 Penman–Monteith（小时）</x:v>
      </x:c>
    </x:row>
    <x:row r="129">
      <x:c r="A129" s="46" t="str">
        <x:v>2026-08-04T19:00:00</x:v>
      </x:c>
      <x:c r="B129" s="47" t="str">
        <x:v>7月30日现场数据</x:v>
      </x:c>
      <x:c r="C129" s="40" t="n">
        <x:v>28.9875</x:v>
      </x:c>
      <x:c r="D129" s="40" t="n">
        <x:v>59.17083333333333</x:v>
      </x:c>
      <x:c r="E129" s="40" t="n">
        <x:v>0.26658333333333334</x:v>
      </x:c>
      <x:c r="F129" s="40" t="n">
        <x:v>0</x:v>
      </x:c>
      <x:c r="G129" s="40" t="n">
        <x:v>0</x:v>
      </x:c>
      <x:c r="H129" s="40" t="n">
        <x:v>12</x:v>
      </x:c>
      <x:c r="I129" s="40" t="n">
        <x:v>100.95</x:v>
      </x:c>
      <x:c r="J129" s="40" t="n">
        <x:v>0.011766638505896444</x:v>
      </x:c>
      <x:c r="K129" s="40" t="n">
        <x:v>0.011766638505896444</x:v>
      </x:c>
      <x:c r="L129" s="40" t="n">
        <x:v>0.011766638505896444</x:v>
      </x:c>
      <x:c r="M129" s="41" t="str">
        <x:v>FAO-56 Penman–Monteith（小时）</x:v>
      </x:c>
    </x:row>
    <x:row r="130">
      <x:c r="A130" s="46" t="str">
        <x:v>2026-08-04T20:00:00</x:v>
      </x:c>
      <x:c r="B130" s="47" t="str">
        <x:v>7月30日现场数据</x:v>
      </x:c>
      <x:c r="C130" s="40" t="n">
        <x:v>28.90416666666667</x:v>
      </x:c>
      <x:c r="D130" s="40" t="n">
        <x:v>61.43833333333333</x:v>
      </x:c>
      <x:c r="E130" s="40" t="n">
        <x:v>0</x:v>
      </x:c>
      <x:c r="F130" s="40" t="n">
        <x:v>0</x:v>
      </x:c>
      <x:c r="G130" s="40" t="n">
        <x:v>0</x:v>
      </x:c>
      <x:c r="H130" s="40" t="n">
        <x:v>12</x:v>
      </x:c>
      <x:c r="I130" s="40" t="n">
        <x:v>100.925</x:v>
      </x:c>
      <x:c r="J130" s="40" t="n">
        <x:v>0</x:v>
      </x:c>
      <x:c r="K130" s="40" t="n">
        <x:v>0</x:v>
      </x:c>
      <x:c r="L130" s="40" t="n">
        <x:v>0</x:v>
      </x:c>
      <x:c r="M130" s="41" t="str">
        <x:v>FAO-56 Penman–Monteith（小时）</x:v>
      </x:c>
    </x:row>
    <x:row r="131">
      <x:c r="A131" s="46" t="str">
        <x:v>2026-08-04T21:00:00</x:v>
      </x:c>
      <x:c r="B131" s="47" t="str">
        <x:v>7月30日现场数据</x:v>
      </x:c>
      <x:c r="C131" s="40" t="n">
        <x:v>29.264166666666668</x:v>
      </x:c>
      <x:c r="D131" s="40" t="n">
        <x:v>63.89166666666667</x:v>
      </x:c>
      <x:c r="E131" s="40" t="n">
        <x:v>0.24449999999999997</x:v>
      </x:c>
      <x:c r="F131" s="40" t="n">
        <x:v>0</x:v>
      </x:c>
      <x:c r="G131" s="40" t="n">
        <x:v>0</x:v>
      </x:c>
      <x:c r="H131" s="40" t="n">
        <x:v>12</x:v>
      </x:c>
      <x:c r="I131" s="40" t="n">
        <x:v>100.91666666666666</x:v>
      </x:c>
      <x:c r="J131" s="40" t="n">
        <x:v>0.009600306133270056</x:v>
      </x:c>
      <x:c r="K131" s="40" t="n">
        <x:v>0.009600306133270056</x:v>
      </x:c>
      <x:c r="L131" s="40" t="n">
        <x:v>0.009600306133270056</x:v>
      </x:c>
      <x:c r="M131" s="41" t="str">
        <x:v>FAO-56 Penman–Monteith（小时）</x:v>
      </x:c>
    </x:row>
    <x:row r="132">
      <x:c r="A132" s="46" t="str">
        <x:v>2026-08-04T22:00:00</x:v>
      </x:c>
      <x:c r="B132" s="47" t="str">
        <x:v>7月30日现场数据</x:v>
      </x:c>
      <x:c r="C132" s="40" t="n">
        <x:v>29.1225</x:v>
      </x:c>
      <x:c r="D132" s="40" t="n">
        <x:v>66.1725</x:v>
      </x:c>
      <x:c r="E132" s="40" t="n">
        <x:v>0.07141666666666667</x:v>
      </x:c>
      <x:c r="F132" s="40" t="n">
        <x:v>0</x:v>
      </x:c>
      <x:c r="G132" s="40" t="n">
        <x:v>0</x:v>
      </x:c>
      <x:c r="H132" s="40" t="n">
        <x:v>12</x:v>
      </x:c>
      <x:c r="I132" s="40" t="n">
        <x:v>101</x:v>
      </x:c>
      <x:c r="J132" s="40" t="n">
        <x:v>0.0026570719832518666</x:v>
      </x:c>
      <x:c r="K132" s="40" t="n">
        <x:v>0.0026570719832518666</x:v>
      </x:c>
      <x:c r="L132" s="40" t="n">
        <x:v>0.0026570719832518666</x:v>
      </x:c>
      <x:c r="M132" s="41" t="str">
        <x:v>FAO-56 Penman–Monteith（小时）</x:v>
      </x:c>
    </x:row>
    <x:row r="133">
      <x:c r="A133" s="46" t="str">
        <x:v>2026-08-04T23:00:00</x:v>
      </x:c>
      <x:c r="B133" s="47" t="str">
        <x:v>7月30日现场数据</x:v>
      </x:c>
      <x:c r="C133" s="40" t="n">
        <x:v>28.646666666666665</x:v>
      </x:c>
      <x:c r="D133" s="40" t="n">
        <x:v>68.42</x:v>
      </x:c>
      <x:c r="E133" s="40" t="n">
        <x:v>0.23625</x:v>
      </x:c>
      <x:c r="F133" s="40" t="n">
        <x:v>0</x:v>
      </x:c>
      <x:c r="G133" s="40" t="n">
        <x:v>0</x:v>
      </x:c>
      <x:c r="H133" s="40" t="n">
        <x:v>12</x:v>
      </x:c>
      <x:c r="I133" s="40" t="n">
        <x:v>100.99166666666666</x:v>
      </x:c>
      <x:c r="J133" s="40" t="n">
        <x:v>0.008041637627921728</x:v>
      </x:c>
      <x:c r="K133" s="40" t="n">
        <x:v>0.008041637627921728</x:v>
      </x:c>
      <x:c r="L133" s="40" t="n">
        <x:v>0.008041637627921728</x:v>
      </x:c>
      <x:c r="M133" s="41" t="str">
        <x:v>FAO-56 Penman–Monteith（小时）</x:v>
      </x:c>
    </x:row>
    <x:row r="134">
      <x:c r="A134" s="46" t="str">
        <x:v>2026-08-05T00:00:00</x:v>
      </x:c>
      <x:c r="B134" s="47" t="str">
        <x:v>7月30日现场数据</x:v>
      </x:c>
      <x:c r="C134" s="40" t="n">
        <x:v>27.110833333333332</x:v>
      </x:c>
      <x:c r="D134" s="40" t="n">
        <x:v>70.10583333333334</x:v>
      </x:c>
      <x:c r="E134" s="40" t="n">
        <x:v>0.5769166666666666</x:v>
      </x:c>
      <x:c r="F134" s="40" t="n">
        <x:v>0</x:v>
      </x:c>
      <x:c r="G134" s="40" t="n">
        <x:v>0</x:v>
      </x:c>
      <x:c r="H134" s="40" t="n">
        <x:v>12</x:v>
      </x:c>
      <x:c r="I134" s="40" t="n">
        <x:v>100.99166666666666</x:v>
      </x:c>
      <x:c r="J134" s="40" t="n">
        <x:v>0.01762929170185354</x:v>
      </x:c>
      <x:c r="K134" s="40" t="n">
        <x:v>0.01762929170185354</x:v>
      </x:c>
      <x:c r="L134" s="40" t="n">
        <x:v>0.01762929170185354</x:v>
      </x:c>
      <x:c r="M134" s="41" t="str">
        <x:v>FAO-56 Penman–Monteith（小时）</x:v>
      </x:c>
    </x:row>
    <x:row r="135">
      <x:c r="A135" s="46" t="str">
        <x:v>2026-08-05T01:00:00</x:v>
      </x:c>
      <x:c r="B135" s="47" t="str">
        <x:v>7月30日现场数据</x:v>
      </x:c>
      <x:c r="C135" s="40" t="n">
        <x:v>26.186666666666667</x:v>
      </x:c>
      <x:c r="D135" s="40" t="n">
        <x:v>71.60916666666667</x:v>
      </x:c>
      <x:c r="E135" s="40" t="n">
        <x:v>0</x:v>
      </x:c>
      <x:c r="F135" s="40" t="n">
        <x:v>0</x:v>
      </x:c>
      <x:c r="G135" s="40" t="n">
        <x:v>0</x:v>
      </x:c>
      <x:c r="H135" s="40" t="n">
        <x:v>12</x:v>
      </x:c>
      <x:c r="I135" s="40" t="n">
        <x:v>100.90833333333333</x:v>
      </x:c>
      <x:c r="J135" s="40" t="n">
        <x:v>0</x:v>
      </x:c>
      <x:c r="K135" s="40" t="n">
        <x:v>0</x:v>
      </x:c>
      <x:c r="L135" s="40" t="n">
        <x:v>0</x:v>
      </x:c>
      <x:c r="M135" s="41" t="str">
        <x:v>FAO-56 Penman–Monteith（小时）</x:v>
      </x:c>
    </x:row>
    <x:row r="136">
      <x:c r="A136" s="46" t="str">
        <x:v>2026-08-05T02:00:00</x:v>
      </x:c>
      <x:c r="B136" s="47" t="str">
        <x:v>7月30日现场数据</x:v>
      </x:c>
      <x:c r="C136" s="40" t="n">
        <x:v>26.46666666666667</x:v>
      </x:c>
      <x:c r="D136" s="40" t="n">
        <x:v>73.44666666666667</x:v>
      </x:c>
      <x:c r="E136" s="40" t="n">
        <x:v>0.17308333333333334</x:v>
      </x:c>
      <x:c r="F136" s="40" t="n">
        <x:v>0</x:v>
      </x:c>
      <x:c r="G136" s="40" t="n">
        <x:v>0</x:v>
      </x:c>
      <x:c r="H136" s="40" t="n">
        <x:v>12</x:v>
      </x:c>
      <x:c r="I136" s="40" t="n">
        <x:v>100.9</x:v>
      </x:c>
      <x:c r="J136" s="40" t="n">
        <x:v>0.004794786707725927</x:v>
      </x:c>
      <x:c r="K136" s="40" t="n">
        <x:v>0.004794786707725927</x:v>
      </x:c>
      <x:c r="L136" s="40" t="n">
        <x:v>0.004794786707725927</x:v>
      </x:c>
      <x:c r="M136" s="41" t="str">
        <x:v>FAO-56 Penman–Monteith（小时）</x:v>
      </x:c>
    </x:row>
    <x:row r="137">
      <x:c r="A137" s="46" t="str">
        <x:v>2026-08-05T03:00:00</x:v>
      </x:c>
      <x:c r="B137" s="47" t="str">
        <x:v>7月30日现场数据</x:v>
      </x:c>
      <x:c r="C137" s="40" t="n">
        <x:v>27.0725</x:v>
      </x:c>
      <x:c r="D137" s="40" t="n">
        <x:v>75.28666666666666</x:v>
      </x:c>
      <x:c r="E137" s="40" t="n">
        <x:v>0.08516666666666667</x:v>
      </x:c>
      <x:c r="F137" s="40" t="n">
        <x:v>0</x:v>
      </x:c>
      <x:c r="G137" s="40" t="n">
        <x:v>0</x:v>
      </x:c>
      <x:c r="H137" s="40" t="n">
        <x:v>12</x:v>
      </x:c>
      <x:c r="I137" s="40" t="n">
        <x:v>100.9</x:v>
      </x:c>
      <x:c r="J137" s="40" t="n">
        <x:v>0.0022349498257862753</x:v>
      </x:c>
      <x:c r="K137" s="40" t="n">
        <x:v>0.0022349498257862753</x:v>
      </x:c>
      <x:c r="L137" s="40" t="n">
        <x:v>0.0022349498257862753</x:v>
      </x:c>
      <x:c r="M137" s="41" t="str">
        <x:v>FAO-56 Penman–Monteith（小时）</x:v>
      </x:c>
    </x:row>
    <x:row r="138">
      <x:c r="A138" s="46" t="str">
        <x:v>2026-08-05T04:00:00</x:v>
      </x:c>
      <x:c r="B138" s="47" t="str">
        <x:v>7月30日现场数据</x:v>
      </x:c>
      <x:c r="C138" s="40" t="n">
        <x:v>27.296666666666667</x:v>
      </x:c>
      <x:c r="D138" s="40" t="n">
        <x:v>76.92333333333333</x:v>
      </x:c>
      <x:c r="E138" s="40" t="n">
        <x:v>0.0027500000000000003</x:v>
      </x:c>
      <x:c r="F138" s="40" t="n">
        <x:v>0</x:v>
      </x:c>
      <x:c r="G138" s="40" t="n">
        <x:v>0</x:v>
      </x:c>
      <x:c r="H138" s="40" t="n">
        <x:v>12</x:v>
      </x:c>
      <x:c r="I138" s="40" t="n">
        <x:v>100.9</x:v>
      </x:c>
      <x:c r="J138" s="40" t="n">
        <x:v>0.00006809576368200536</x:v>
      </x:c>
      <x:c r="K138" s="40" t="n">
        <x:v>0.00006809576368200536</x:v>
      </x:c>
      <x:c r="L138" s="40" t="n">
        <x:v>0.00006809576368200536</x:v>
      </x:c>
      <x:c r="M138" s="41" t="str">
        <x:v>FAO-56 Penman–Monteith（小时）</x:v>
      </x:c>
    </x:row>
    <x:row r="139">
      <x:c r="A139" s="46" t="str">
        <x:v>2026-08-05T05:00:00</x:v>
      </x:c>
      <x:c r="B139" s="47" t="str">
        <x:v>7月30日现场数据</x:v>
      </x:c>
      <x:c r="C139" s="40" t="n">
        <x:v>27.67</x:v>
      </x:c>
      <x:c r="D139" s="40" t="n">
        <x:v>78.48166666666667</x:v>
      </x:c>
      <x:c r="E139" s="40" t="n">
        <x:v>0.03575</x:v>
      </x:c>
      <x:c r="F139" s="40" t="n">
        <x:v>3.6666666666666665</x:v>
      </x:c>
      <x:c r="G139" s="40" t="n">
        <x:v>2.9166666666666665</x:v>
      </x:c>
      <x:c r="H139" s="40" t="n">
        <x:v>12</x:v>
      </x:c>
      <x:c r="I139" s="40" t="n">
        <x:v>100.9</x:v>
      </x:c>
      <x:c r="J139" s="40" t="n">
        <x:v>0.004089096982507054</x:v>
      </x:c>
      <x:c r="K139" s="40" t="n">
        <x:v>0.0033391196964969163</x:v>
      </x:c>
      <x:c r="L139" s="40" t="n">
        <x:v>0.004089096982507054</x:v>
      </x:c>
      <x:c r="M139" s="41" t="str">
        <x:v>FAO-56 Penman–Monteith（小时）</x:v>
      </x:c>
    </x:row>
    <x:row r="140">
      <x:c r="A140" s="46" t="str">
        <x:v>2026-08-05T06:00:00</x:v>
      </x:c>
      <x:c r="B140" s="47" t="str">
        <x:v>7月30日现场数据</x:v>
      </x:c>
      <x:c r="C140" s="40" t="n">
        <x:v>28.4025</x:v>
      </x:c>
      <x:c r="D140" s="40" t="n">
        <x:v>80.0275</x:v>
      </x:c>
      <x:c r="E140" s="40" t="n">
        <x:v>0.10716666666666665</x:v>
      </x:c>
      <x:c r="F140" s="40" t="n">
        <x:v>12.916666666666666</x:v>
      </x:c>
      <x:c r="G140" s="40" t="n">
        <x:v>10.166666666666666</x:v>
      </x:c>
      <x:c r="H140" s="40" t="n">
        <x:v>12</x:v>
      </x:c>
      <x:c r="I140" s="40" t="n">
        <x:v>100.96666666666667</x:v>
      </x:c>
      <x:c r="J140" s="40" t="n">
        <x:v>0.013720961555906568</x:v>
      </x:c>
      <x:c r="K140" s="40" t="n">
        <x:v>0.011098820304824349</x:v>
      </x:c>
      <x:c r="L140" s="40" t="n">
        <x:v>0.013720961555906568</x:v>
      </x:c>
      <x:c r="M140" s="41" t="str">
        <x:v>FAO-56 Penman–Monteith（小时）</x:v>
      </x:c>
    </x:row>
    <x:row r="141">
      <x:c r="A141" s="46" t="str">
        <x:v>2026-08-05T07:00:00</x:v>
      </x:c>
      <x:c r="B141" s="47" t="str">
        <x:v>7月30日现场数据</x:v>
      </x:c>
      <x:c r="C141" s="40" t="n">
        <x:v>29.70583333333333</x:v>
      </x:c>
      <x:c r="D141" s="40" t="n">
        <x:v>81.66083333333333</x:v>
      </x:c>
      <x:c r="E141" s="40" t="n">
        <x:v>0.022000000000000002</x:v>
      </x:c>
      <x:c r="F141" s="40" t="n">
        <x:v>56.833333333333336</x:v>
      </x:c>
      <x:c r="G141" s="40" t="n">
        <x:v>45.25</x:v>
      </x:c>
      <x:c r="H141" s="40" t="n">
        <x:v>12</x:v>
      </x:c>
      <x:c r="I141" s="40" t="n">
        <x:v>101</x:v>
      </x:c>
      <x:c r="J141" s="40" t="n">
        <x:v>0.05228606519011523</x:v>
      </x:c>
      <x:c r="K141" s="40" t="n">
        <x:v>0.04036363656520242</x:v>
      </x:c>
      <x:c r="L141" s="40" t="n">
        <x:v>0.05228606519011523</x:v>
      </x:c>
      <x:c r="M141" s="41" t="str">
        <x:v>FAO-56 Penman–Monteith（小时）</x:v>
      </x:c>
    </x:row>
    <x:row r="142">
      <x:c r="A142" s="46" t="str">
        <x:v>2026-08-05T08:00:00</x:v>
      </x:c>
      <x:c r="B142" s="47" t="str">
        <x:v>7月30日现场数据</x:v>
      </x:c>
      <x:c r="C142" s="40" t="n">
        <x:v>33.11909090909091</x:v>
      </x:c>
      <x:c r="D142" s="40" t="n">
        <x:v>83.5490909090909</x:v>
      </x:c>
      <x:c r="E142" s="40" t="n">
        <x:v>0.1049090909090909</x:v>
      </x:c>
      <x:c r="F142" s="40" t="n">
        <x:v>254.72727272727272</x:v>
      </x:c>
      <x:c r="G142" s="40" t="n">
        <x:v>212.27272727272728</x:v>
      </x:c>
      <x:c r="H142" s="40" t="n">
        <x:v>11</x:v>
      </x:c>
      <x:c r="I142" s="40" t="n">
        <x:v>101</x:v>
      </x:c>
      <x:c r="J142" s="40" t="n">
        <x:v>0.2524136089771678</x:v>
      </x:c>
      <x:c r="K142" s="40" t="n">
        <x:v>0.1948203015878093</x:v>
      </x:c>
      <x:c r="L142" s="40" t="n">
        <x:v>0.2524136089771678</x:v>
      </x:c>
      <x:c r="M142" s="41" t="str">
        <x:v>FAO-56 Penman–Monteith（小时）</x:v>
      </x:c>
    </x:row>
    <x:row r="143">
      <x:c r="A143" s="46" t="str">
        <x:v>2026-08-05T09:00:00</x:v>
      </x:c>
      <x:c r="B143" s="47" t="str">
        <x:v>7月30日现场数据</x:v>
      </x:c>
      <x:c r="C143" s="40" t="n">
        <x:v>40.020833333333336</x:v>
      </x:c>
      <x:c r="D143" s="40" t="n">
        <x:v>84.9175</x:v>
      </x:c>
      <x:c r="E143" s="40" t="n">
        <x:v>0</x:v>
      </x:c>
      <x:c r="F143" s="40" t="n">
        <x:v>685</x:v>
      </x:c>
      <x:c r="G143" s="40" t="n">
        <x:v>553.5833333333334</x:v>
      </x:c>
      <x:c r="H143" s="40" t="n">
        <x:v>12</x:v>
      </x:c>
      <x:c r="I143" s="40" t="n">
        <x:v>101.05833333333334</x:v>
      </x:c>
      <x:c r="J143" s="40" t="n">
        <x:v>0.6944807939061589</x:v>
      </x:c>
      <x:c r="K143" s="40" t="n">
        <x:v>0.5347502113077425</x:v>
      </x:c>
      <x:c r="L143" s="40" t="n">
        <x:v>0.6944807939061589</x:v>
      </x:c>
      <x:c r="M143" s="41" t="str">
        <x:v>FAO-56 Penman–Monteith（小时）</x:v>
      </x:c>
    </x:row>
    <x:row r="144">
      <x:c r="A144" s="46" t="str">
        <x:v>2026-08-05T10:00:00</x:v>
      </x:c>
      <x:c r="B144" s="47" t="str">
        <x:v>7月30日现场数据</x:v>
      </x:c>
      <x:c r="C144" s="40" t="n">
        <x:v>41.59166666666667</x:v>
      </x:c>
      <x:c r="D144" s="40" t="n">
        <x:v>82.15416666666667</x:v>
      </x:c>
      <x:c r="E144" s="40" t="n">
        <x:v>0.3269166666666667</x:v>
      </x:c>
      <x:c r="F144" s="40" t="n">
        <x:v>241.66666666666666</x:v>
      </x:c>
      <x:c r="G144" s="40" t="n">
        <x:v>143.66666666666666</x:v>
      </x:c>
      <x:c r="H144" s="40" t="n">
        <x:v>12</x:v>
      </x:c>
      <x:c r="I144" s="40" t="n">
        <x:v>100.95833333333334</x:v>
      </x:c>
      <x:c r="J144" s="40" t="n">
        <x:v>0.18680120327716143</x:v>
      </x:c>
      <x:c r="K144" s="40" t="n">
        <x:v>0.14554634261887597</x:v>
      </x:c>
      <x:c r="L144" s="40" t="n">
        <x:v>0.18680120327716143</x:v>
      </x:c>
      <x:c r="M144" s="41" t="str">
        <x:v>FAO-56 Penman–Monteith（小时）</x:v>
      </x:c>
    </x:row>
    <x:row r="145">
      <x:c r="A145" s="46" t="str">
        <x:v>2026-08-05T11:00:00</x:v>
      </x:c>
      <x:c r="B145" s="47" t="str">
        <x:v>7月30日现场数据</x:v>
      </x:c>
      <x:c r="C145" s="40" t="n">
        <x:v>37.666666666666664</x:v>
      </x:c>
      <x:c r="D145" s="40" t="n">
        <x:v>79.40416666666667</x:v>
      </x:c>
      <x:c r="E145" s="40" t="n">
        <x:v>0</x:v>
      </x:c>
      <x:c r="F145" s="40" t="n">
        <x:v>189.33333333333334</x:v>
      </x:c>
      <x:c r="G145" s="40" t="n">
        <x:v>125.33333333333333</x:v>
      </x:c>
      <x:c r="H145" s="40" t="n">
        <x:v>12</x:v>
      </x:c>
      <x:c r="I145" s="40" t="n">
        <x:v>100.89166666666667</x:v>
      </x:c>
      <x:c r="J145" s="40" t="n">
        <x:v>0.15466421005159897</x:v>
      </x:c>
      <x:c r="K145" s="40" t="n">
        <x:v>0.1190914417397312</x:v>
      </x:c>
      <x:c r="L145" s="40" t="n">
        <x:v>0.15466421005159897</x:v>
      </x:c>
      <x:c r="M145" s="41" t="str">
        <x:v>FAO-56 Penman–Monteith（小时）</x:v>
      </x:c>
    </x:row>
    <x:row r="146">
      <x:c r="A146" s="46" t="str">
        <x:v>2026-08-05T12:00:00</x:v>
      </x:c>
      <x:c r="B146" s="47" t="str">
        <x:v>7月30日现场数据</x:v>
      </x:c>
      <x:c r="C146" s="40" t="n">
        <x:v>33.6325</x:v>
      </x:c>
      <x:c r="D146" s="40" t="n">
        <x:v>77.585</x:v>
      </x:c>
      <x:c r="E146" s="40" t="n">
        <x:v>0.01375</x:v>
      </x:c>
      <x:c r="F146" s="40" t="n">
        <x:v>97.08333333333333</x:v>
      </x:c>
      <x:c r="G146" s="40" t="n">
        <x:v>75.91666666666667</x:v>
      </x:c>
      <x:c r="H146" s="40" t="n">
        <x:v>12</x:v>
      </x:c>
      <x:c r="I146" s="40" t="n">
        <x:v>100.825</x:v>
      </x:c>
      <x:c r="J146" s="40" t="n">
        <x:v>0.09090543191202079</x:v>
      </x:c>
      <x:c r="K146" s="40" t="n">
        <x:v>0.0700805980923604</x:v>
      </x:c>
      <x:c r="L146" s="40" t="n">
        <x:v>0.09090543191202079</x:v>
      </x:c>
      <x:c r="M146" s="41" t="str">
        <x:v>FAO-56 Penman–Monteith（小时）</x:v>
      </x:c>
    </x:row>
    <x:row r="147">
      <x:c r="A147" s="46" t="str">
        <x:v>2026-08-05T13:00:00</x:v>
      </x:c>
      <x:c r="B147" s="47" t="str">
        <x:v>7月30日现场数据</x:v>
      </x:c>
      <x:c r="C147" s="40" t="n">
        <x:v>32.6975</x:v>
      </x:c>
      <x:c r="D147" s="40" t="n">
        <x:v>77.61583333333333</x:v>
      </x:c>
      <x:c r="E147" s="40" t="n">
        <x:v>0.13183333333333333</x:v>
      </x:c>
      <x:c r="F147" s="40" t="n">
        <x:v>145.58333333333334</x:v>
      </x:c>
      <x:c r="G147" s="40" t="n">
        <x:v>113.66666666666667</x:v>
      </x:c>
      <x:c r="H147" s="40" t="n">
        <x:v>12</x:v>
      </x:c>
      <x:c r="I147" s="40" t="n">
        <x:v>100.79166666666666</x:v>
      </x:c>
      <x:c r="J147" s="40" t="n">
        <x:v>0.13676158861597063</x:v>
      </x:c>
      <x:c r="K147" s="40" t="n">
        <x:v>0.10608881990944229</x:v>
      </x:c>
      <x:c r="L147" s="40" t="n">
        <x:v>0.13676158861597063</x:v>
      </x:c>
      <x:c r="M147" s="41" t="str">
        <x:v>FAO-56 Penman–Monteith（小时）</x:v>
      </x:c>
    </x:row>
    <x:row r="148">
      <x:c r="A148" s="46" t="str">
        <x:v>2026-08-05T14:00:00</x:v>
      </x:c>
      <x:c r="B148" s="47" t="str">
        <x:v>7月30日现场数据</x:v>
      </x:c>
      <x:c r="C148" s="40" t="n">
        <x:v>34.94583333333333</x:v>
      </x:c>
      <x:c r="D148" s="40" t="n">
        <x:v>78.58416666666666</x:v>
      </x:c>
      <x:c r="E148" s="40" t="n">
        <x:v>0.16208333333333333</x:v>
      </x:c>
      <x:c r="F148" s="40" t="n">
        <x:v>116.58333333333333</x:v>
      </x:c>
      <x:c r="G148" s="40" t="n">
        <x:v>89</x:v>
      </x:c>
      <x:c r="H148" s="40" t="n">
        <x:v>12</x:v>
      </x:c>
      <x:c r="I148" s="40" t="n">
        <x:v>100.71666666666667</x:v>
      </x:c>
      <x:c r="J148" s="40" t="n">
        <x:v>0.11056657105234216</x:v>
      </x:c>
      <x:c r="K148" s="40" t="n">
        <x:v>0.08608250791496673</x:v>
      </x:c>
      <x:c r="L148" s="40" t="n">
        <x:v>0.11056657105234216</x:v>
      </x:c>
      <x:c r="M148" s="41" t="str">
        <x:v>FAO-56 Penman–Monteith（小时）</x:v>
      </x:c>
    </x:row>
    <x:row r="149">
      <x:c r="A149" s="46" t="str">
        <x:v>2026-08-05T15:00:00</x:v>
      </x:c>
      <x:c r="B149" s="47" t="str">
        <x:v>7月30日现场数据</x:v>
      </x:c>
      <x:c r="C149" s="40" t="n">
        <x:v>35.13166666666667</x:v>
      </x:c>
      <x:c r="D149" s="40" t="n">
        <x:v>78.3525</x:v>
      </x:c>
      <x:c r="E149" s="40" t="n">
        <x:v>0.12366666666666666</x:v>
      </x:c>
      <x:c r="F149" s="40" t="n">
        <x:v>97.25</x:v>
      </x:c>
      <x:c r="G149" s="40" t="n">
        <x:v>76.58333333333333</x:v>
      </x:c>
      <x:c r="H149" s="40" t="n">
        <x:v>12</x:v>
      </x:c>
      <x:c r="I149" s="40" t="n">
        <x:v>100.7</x:v>
      </x:c>
      <x:c r="J149" s="40" t="n">
        <x:v>0.09515200409821062</x:v>
      </x:c>
      <x:c r="K149" s="40" t="n">
        <x:v>0.0740001571287525</x:v>
      </x:c>
      <x:c r="L149" s="40" t="n">
        <x:v>0.09515200409821062</x:v>
      </x:c>
      <x:c r="M149" s="41" t="str">
        <x:v>FAO-56 Penman–Monteith（小时）</x:v>
      </x:c>
    </x:row>
    <x:row r="150">
      <x:c r="A150" s="46" t="str">
        <x:v>2026-08-05T16:00:00</x:v>
      </x:c>
      <x:c r="B150" s="47" t="str">
        <x:v>7月30日现场数据</x:v>
      </x:c>
      <x:c r="C150" s="40" t="n">
        <x:v>33.535000000000004</x:v>
      </x:c>
      <x:c r="D150" s="40" t="n">
        <x:v>77.51166666666667</x:v>
      </x:c>
      <x:c r="E150" s="40" t="n">
        <x:v>0.03025</x:v>
      </x:c>
      <x:c r="F150" s="40" t="n">
        <x:v>36.75</x:v>
      </x:c>
      <x:c r="G150" s="40" t="n">
        <x:v>29.166666666666668</x:v>
      </x:c>
      <x:c r="H150" s="40" t="n">
        <x:v>12</x:v>
      </x:c>
      <x:c r="I150" s="40" t="n">
        <x:v>100.7</x:v>
      </x:c>
      <x:c r="J150" s="40" t="n">
        <x:v>0.0355243555926365</x:v>
      </x:c>
      <x:c r="K150" s="40" t="n">
        <x:v>0.02753725245527093</x:v>
      </x:c>
      <x:c r="L150" s="40" t="n">
        <x:v>0.0355243555926365</x:v>
      </x:c>
      <x:c r="M150" s="41" t="str">
        <x:v>FAO-56 Penman–Monteith（小时）</x:v>
      </x:c>
    </x:row>
    <x:row r="151">
      <x:c r="A151" s="46" t="str">
        <x:v>2026-08-05T17:00:00</x:v>
      </x:c>
      <x:c r="B151" s="47" t="str">
        <x:v>7月30日现场数据</x:v>
      </x:c>
      <x:c r="C151" s="40" t="n">
        <x:v>33.27</x:v>
      </x:c>
      <x:c r="D151" s="40" t="n">
        <x:v>77.22166666666666</x:v>
      </x:c>
      <x:c r="E151" s="40" t="n">
        <x:v>0</x:v>
      </x:c>
      <x:c r="F151" s="40" t="n">
        <x:v>32.083333333333336</x:v>
      </x:c>
      <x:c r="G151" s="40" t="n">
        <x:v>25.333333333333332</x:v>
      </x:c>
      <x:c r="H151" s="40" t="n">
        <x:v>12</x:v>
      </x:c>
      <x:c r="I151" s="40" t="n">
        <x:v>100.7</x:v>
      </x:c>
      <x:c r="J151" s="40" t="n">
        <x:v>0.030147441663596567</x:v>
      </x:c>
      <x:c r="K151" s="40" t="n">
        <x:v>0.023213530080969356</x:v>
      </x:c>
      <x:c r="L151" s="40" t="n">
        <x:v>0.030147441663596567</x:v>
      </x:c>
      <x:c r="M151" s="41" t="str">
        <x:v>FAO-56 Penman–Monteith（小时）</x:v>
      </x:c>
    </x:row>
    <x:row r="152">
      <x:c r="A152" s="46" t="str">
        <x:v>2026-08-05T18:00:00</x:v>
      </x:c>
      <x:c r="B152" s="47" t="str">
        <x:v>7月30日现场数据</x:v>
      </x:c>
      <x:c r="C152" s="40" t="n">
        <x:v>31.410833333333333</x:v>
      </x:c>
      <x:c r="D152" s="40" t="n">
        <x:v>76.595</x:v>
      </x:c>
      <x:c r="E152" s="40" t="n">
        <x:v>0</x:v>
      </x:c>
      <x:c r="F152" s="40" t="n">
        <x:v>0.6666666666666666</x:v>
      </x:c>
      <x:c r="G152" s="40" t="n">
        <x:v>0.6666666666666666</x:v>
      </x:c>
      <x:c r="H152" s="40" t="n">
        <x:v>12</x:v>
      </x:c>
      <x:c r="I152" s="40" t="n">
        <x:v>100.69166666666666</x:v>
      </x:c>
      <x:c r="J152" s="40" t="n">
        <x:v>0.0007792757473650644</x:v>
      </x:c>
      <x:c r="K152" s="40" t="n">
        <x:v>0.0006000423254710996</x:v>
      </x:c>
      <x:c r="L152" s="40" t="n">
        <x:v>0.0007792757473650644</x:v>
      </x:c>
      <x:c r="M152" s="41" t="str">
        <x:v>FAO-56 Penman–Monteith（小时）</x:v>
      </x:c>
    </x:row>
    <x:row r="153">
      <x:c r="A153" s="46" t="str">
        <x:v>2026-08-05T19:00:00</x:v>
      </x:c>
      <x:c r="B153" s="47" t="str">
        <x:v>7月30日现场数据</x:v>
      </x:c>
      <x:c r="C153" s="40" t="n">
        <x:v>30.8875</x:v>
      </x:c>
      <x:c r="D153" s="40" t="n">
        <x:v>76.59916666666668</x:v>
      </x:c>
      <x:c r="E153" s="40" t="n">
        <x:v>0.11266666666666665</x:v>
      </x:c>
      <x:c r="F153" s="40" t="n">
        <x:v>0</x:v>
      </x:c>
      <x:c r="G153" s="40" t="n">
        <x:v>0</x:v>
      </x:c>
      <x:c r="H153" s="40" t="n">
        <x:v>12</x:v>
      </x:c>
      <x:c r="I153" s="40" t="n">
        <x:v>100.78333333333333</x:v>
      </x:c>
      <x:c r="J153" s="40" t="n">
        <x:v>0.0029648025468483404</x:v>
      </x:c>
      <x:c r="K153" s="40" t="n">
        <x:v>0.0029648025468483404</x:v>
      </x:c>
      <x:c r="L153" s="40" t="n">
        <x:v>0.0029648025468483404</x:v>
      </x:c>
      <x:c r="M153" s="41" t="str">
        <x:v>FAO-56 Penman–Monteith（小时）</x:v>
      </x:c>
    </x:row>
    <x:row r="154">
      <x:c r="A154" s="46" t="str">
        <x:v>2026-08-05T20:00:00</x:v>
      </x:c>
      <x:c r="B154" s="47" t="str">
        <x:v>7月30日现场数据</x:v>
      </x:c>
      <x:c r="C154" s="40" t="n">
        <x:v>30.560000000000002</x:v>
      </x:c>
      <x:c r="D154" s="40" t="n">
        <x:v>76.93083333333333</x:v>
      </x:c>
      <x:c r="E154" s="40" t="n">
        <x:v>0</x:v>
      </x:c>
      <x:c r="F154" s="40" t="n">
        <x:v>0</x:v>
      </x:c>
      <x:c r="G154" s="40" t="n">
        <x:v>0</x:v>
      </x:c>
      <x:c r="H154" s="40" t="n">
        <x:v>12</x:v>
      </x:c>
      <x:c r="I154" s="40" t="n">
        <x:v>100.86666666666666</x:v>
      </x:c>
      <x:c r="J154" s="40" t="n">
        <x:v>0</x:v>
      </x:c>
      <x:c r="K154" s="40" t="n">
        <x:v>0</x:v>
      </x:c>
      <x:c r="L154" s="40" t="n">
        <x:v>0</x:v>
      </x:c>
      <x:c r="M154" s="41" t="str">
        <x:v>FAO-56 Penman–Monteith（小时）</x:v>
      </x:c>
    </x:row>
    <x:row r="155">
      <x:c r="A155" s="46" t="str">
        <x:v>2026-08-05T21:00:00</x:v>
      </x:c>
      <x:c r="B155" s="47" t="str">
        <x:v>7月30日现场数据</x:v>
      </x:c>
      <x:c r="C155" s="40" t="n">
        <x:v>30.329166666666666</x:v>
      </x:c>
      <x:c r="D155" s="40" t="n">
        <x:v>77.3925</x:v>
      </x:c>
      <x:c r="E155" s="40" t="n">
        <x:v>0.33516666666666667</x:v>
      </x:c>
      <x:c r="F155" s="40" t="n">
        <x:v>0</x:v>
      </x:c>
      <x:c r="G155" s="40" t="n">
        <x:v>0</x:v>
      </x:c>
      <x:c r="H155" s="40" t="n">
        <x:v>12</x:v>
      </x:c>
      <x:c r="I155" s="40" t="n">
        <x:v>100.9</x:v>
      </x:c>
      <x:c r="J155" s="40" t="n">
        <x:v>0.00832436844873646</x:v>
      </x:c>
      <x:c r="K155" s="40" t="n">
        <x:v>0.00832436844873646</x:v>
      </x:c>
      <x:c r="L155" s="40" t="n">
        <x:v>0.00832436844873646</x:v>
      </x:c>
      <x:c r="M155" s="41" t="str">
        <x:v>FAO-56 Penman–Monteith（小时）</x:v>
      </x:c>
    </x:row>
    <x:row r="156">
      <x:c r="A156" s="46" t="str">
        <x:v>2026-07-29T01:00:00</x:v>
      </x:c>
      <x:c r="B156" s="47" t="str">
        <x:v>7月29日现场数据</x:v>
      </x:c>
      <x:c r="C156" s="40" t="n">
        <x:v>30.103333333333335</x:v>
      </x:c>
      <x:c r="D156" s="40" t="n">
        <x:v>70.2225</x:v>
      </x:c>
      <x:c r="E156" s="40" t="n">
        <x:v>0.0027500000000000003</x:v>
      </x:c>
      <x:c r="F156" s="40" t="n">
        <x:v>0</x:v>
      </x:c>
      <x:c r="G156" s="40" t="n">
        <x:v>0</x:v>
      </x:c>
      <x:c r="H156" s="40" t="n">
        <x:v>12</x:v>
      </x:c>
      <x:c r="I156" s="40" t="n">
        <x:v>101.3</x:v>
      </x:c>
      <x:c r="J156" s="40" t="n">
        <x:v>0.00009210766850463074</x:v>
      </x:c>
      <x:c r="K156" s="40" t="n">
        <x:v>0.00009210766850463074</x:v>
      </x:c>
      <x:c r="L156" s="40" t="n">
        <x:v>0.00009210766850463074</x:v>
      </x:c>
      <x:c r="M156" s="41" t="str">
        <x:v>FAO-56 Penman–Monteith（小时）</x:v>
      </x:c>
    </x:row>
    <x:row r="157">
      <x:c r="A157" s="46" t="str">
        <x:v>2026-07-29T02:00:00</x:v>
      </x:c>
      <x:c r="B157" s="47" t="str">
        <x:v>7月29日现场数据</x:v>
      </x:c>
      <x:c r="C157" s="40" t="n">
        <x:v>29.956666666666667</x:v>
      </x:c>
      <x:c r="D157" s="40" t="n">
        <x:v>70.36749999999999</x:v>
      </x:c>
      <x:c r="E157" s="40" t="n">
        <x:v>0.29675</x:v>
      </x:c>
      <x:c r="F157" s="40" t="n">
        <x:v>0</x:v>
      </x:c>
      <x:c r="G157" s="40" t="n">
        <x:v>0</x:v>
      </x:c>
      <x:c r="H157" s="40" t="n">
        <x:v>12</x:v>
      </x:c>
      <x:c r="I157" s="40" t="n">
        <x:v>101.3</x:v>
      </x:c>
      <x:c r="J157" s="40" t="n">
        <x:v>0.009659496434513531</x:v>
      </x:c>
      <x:c r="K157" s="40" t="n">
        <x:v>0.009659496434513531</x:v>
      </x:c>
      <x:c r="L157" s="40" t="n">
        <x:v>0.009659496434513531</x:v>
      </x:c>
      <x:c r="M157" s="41" t="str">
        <x:v>FAO-56 Penman–Monteith（小时）</x:v>
      </x:c>
    </x:row>
    <x:row r="158">
      <x:c r="A158" s="46" t="str">
        <x:v>2026-07-29T03:00:00</x:v>
      </x:c>
      <x:c r="B158" s="47" t="str">
        <x:v>7月29日现场数据</x:v>
      </x:c>
      <x:c r="C158" s="40" t="n">
        <x:v>29.770833333333332</x:v>
      </x:c>
      <x:c r="D158" s="40" t="n">
        <x:v>70.57000000000001</x:v>
      </x:c>
      <x:c r="E158" s="40" t="n">
        <x:v>0.5769166666666666</x:v>
      </x:c>
      <x:c r="F158" s="40" t="n">
        <x:v>0</x:v>
      </x:c>
      <x:c r="G158" s="40" t="n">
        <x:v>0</x:v>
      </x:c>
      <x:c r="H158" s="40" t="n">
        <x:v>12</x:v>
      </x:c>
      <x:c r="I158" s="40" t="n">
        <x:v>101.275</x:v>
      </x:c>
      <x:c r="J158" s="40" t="n">
        <x:v>0.018220899299200684</x:v>
      </x:c>
      <x:c r="K158" s="40" t="n">
        <x:v>0.018220899299200684</x:v>
      </x:c>
      <x:c r="L158" s="40" t="n">
        <x:v>0.018220899299200684</x:v>
      </x:c>
      <x:c r="M158" s="41" t="str">
        <x:v>FAO-56 Penman–Monteith（小时）</x:v>
      </x:c>
    </x:row>
    <x:row r="159">
      <x:c r="A159" s="46" t="str">
        <x:v>2026-07-29T04:00:00</x:v>
      </x:c>
      <x:c r="B159" s="47" t="str">
        <x:v>7月29日现场数据</x:v>
      </x:c>
      <x:c r="C159" s="40" t="n">
        <x:v>29.5975</x:v>
      </x:c>
      <x:c r="D159" s="40" t="n">
        <x:v>70.87916666666666</x:v>
      </x:c>
      <x:c r="E159" s="40" t="n">
        <x:v>0.05216666666666667</x:v>
      </x:c>
      <x:c r="F159" s="40" t="n">
        <x:v>0</x:v>
      </x:c>
      <x:c r="G159" s="40" t="n">
        <x:v>0</x:v>
      </x:c>
      <x:c r="H159" s="40" t="n">
        <x:v>12</x:v>
      </x:c>
      <x:c r="I159" s="40" t="n">
        <x:v>101.3</x:v>
      </x:c>
      <x:c r="J159" s="40" t="n">
        <x:v>0.0016894869481824315</x:v>
      </x:c>
      <x:c r="K159" s="40" t="n">
        <x:v>0.0016894869481824315</x:v>
      </x:c>
      <x:c r="L159" s="40" t="n">
        <x:v>0.0016894869481824315</x:v>
      </x:c>
      <x:c r="M159" s="41" t="str">
        <x:v>FAO-56 Penman–Monteith（小时）</x:v>
      </x:c>
    </x:row>
    <x:row r="160">
      <x:c r="A160" s="46" t="str">
        <x:v>2026-07-29T05:00:00</x:v>
      </x:c>
      <x:c r="B160" s="47" t="str">
        <x:v>7月29日现场数据</x:v>
      </x:c>
      <x:c r="C160" s="40" t="n">
        <x:v>29.537499999999998</x:v>
      </x:c>
      <x:c r="D160" s="40" t="n">
        <x:v>71.235</x:v>
      </x:c>
      <x:c r="E160" s="40" t="n">
        <x:v>0.00825</x:v>
      </x:c>
      <x:c r="F160" s="40" t="n">
        <x:v>4.833333333333333</x:v>
      </x:c>
      <x:c r="G160" s="40" t="n">
        <x:v>3.8333333333333335</x:v>
      </x:c>
      <x:c r="H160" s="40" t="n">
        <x:v>12</x:v>
      </x:c>
      <x:c r="I160" s="40" t="n">
        <x:v>101.3</x:v>
      </x:c>
      <x:c r="J160" s="40" t="n">
        <x:v>0.004649343662941539</x:v>
      </x:c>
      <x:c r="K160" s="40" t="n">
        <x:v>0.003640840571590601</x:v>
      </x:c>
      <x:c r="L160" s="40" t="n">
        <x:v>0.004649343662941539</x:v>
      </x:c>
      <x:c r="M160" s="41" t="str">
        <x:v>FAO-56 Penman–Monteith（小时）</x:v>
      </x:c>
    </x:row>
    <x:row r="161">
      <x:c r="A161" s="46" t="str">
        <x:v>2026-07-29T06:00:00</x:v>
      </x:c>
      <x:c r="B161" s="47" t="str">
        <x:v>7月29日现场数据</x:v>
      </x:c>
      <x:c r="C161" s="40" t="n">
        <x:v>29.938333333333333</x:v>
      </x:c>
      <x:c r="D161" s="40" t="n">
        <x:v>71.77749999999999</x:v>
      </x:c>
      <x:c r="E161" s="40" t="n">
        <x:v>0.07691666666666667</x:v>
      </x:c>
      <x:c r="F161" s="40" t="n">
        <x:v>12.916666666666666</x:v>
      </x:c>
      <x:c r="G161" s="40" t="n">
        <x:v>9.916666666666666</x:v>
      </x:c>
      <x:c r="H161" s="40" t="n">
        <x:v>12</x:v>
      </x:c>
      <x:c r="I161" s="40" t="n">
        <x:v>101.3</x:v>
      </x:c>
      <x:c r="J161" s="40" t="n">
        <x:v>0.013758178129988105</x:v>
      </x:c>
      <x:c r="K161" s="40" t="n">
        <x:v>0.011150946173805555</x:v>
      </x:c>
      <x:c r="L161" s="40" t="n">
        <x:v>0.013758178129988105</x:v>
      </x:c>
      <x:c r="M161" s="41" t="str">
        <x:v>FAO-56 Penman–Monteith（小时）</x:v>
      </x:c>
    </x:row>
    <x:row r="162">
      <x:c r="A162" s="46" t="str">
        <x:v>2026-07-29T07:00:00</x:v>
      </x:c>
      <x:c r="B162" s="47" t="str">
        <x:v>7月29日现场数据</x:v>
      </x:c>
      <x:c r="C162" s="40" t="n">
        <x:v>30.728333333333335</x:v>
      </x:c>
      <x:c r="D162" s="40" t="n">
        <x:v>72.34333333333333</x:v>
      </x:c>
      <x:c r="E162" s="40" t="n">
        <x:v>0</x:v>
      </x:c>
      <x:c r="F162" s="40" t="n">
        <x:v>24.25</x:v>
      </x:c>
      <x:c r="G162" s="40" t="n">
        <x:v>18.583333333333332</x:v>
      </x:c>
      <x:c r="H162" s="40" t="n">
        <x:v>12</x:v>
      </x:c>
      <x:c r="I162" s="40" t="n">
        <x:v>101.3</x:v>
      </x:c>
      <x:c r="J162" s="40" t="n">
        <x:v>0.02154384185046988</x:v>
      </x:c>
      <x:c r="K162" s="40" t="n">
        <x:v>0.01658875822486181</x:v>
      </x:c>
      <x:c r="L162" s="40" t="n">
        <x:v>0.02154384185046988</x:v>
      </x:c>
      <x:c r="M162" s="41" t="str">
        <x:v>FAO-56 Penman–Monteith（小时）</x:v>
      </x:c>
    </x:row>
    <x:row r="163">
      <x:c r="A163" s="46" t="str">
        <x:v>2026-07-29T08:00:00</x:v>
      </x:c>
      <x:c r="B163" s="47" t="str">
        <x:v>7月29日现场数据</x:v>
      </x:c>
      <x:c r="C163" s="40" t="n">
        <x:v>33.68416666666666</x:v>
      </x:c>
      <x:c r="D163" s="40" t="n">
        <x:v>73.17666666666666</x:v>
      </x:c>
      <x:c r="E163" s="40" t="n">
        <x:v>0.33516666666666667</x:v>
      </x:c>
      <x:c r="F163" s="40" t="n">
        <x:v>290.5833333333333</x:v>
      </x:c>
      <x:c r="G163" s="40" t="n">
        <x:v>238.5</x:v>
      </x:c>
      <x:c r="H163" s="40" t="n">
        <x:v>12</x:v>
      </x:c>
      <x:c r="I163" s="40" t="n">
        <x:v>101.35</x:v>
      </x:c>
      <x:c r="J163" s="40" t="n">
        <x:v>0.2890132769732614</x:v>
      </x:c>
      <x:c r="K163" s="40" t="n">
        <x:v>0.2249362758454505</x:v>
      </x:c>
      <x:c r="L163" s="40" t="n">
        <x:v>0.2890132769732614</x:v>
      </x:c>
      <x:c r="M163" s="41" t="str">
        <x:v>FAO-56 Penman–Monteith（小时）</x:v>
      </x:c>
    </x:row>
    <x:row r="164">
      <x:c r="A164" s="46" t="str">
        <x:v>2026-07-29T09:00:00</x:v>
      </x:c>
      <x:c r="B164" s="47" t="str">
        <x:v>7月29日现场数据</x:v>
      </x:c>
      <x:c r="C164" s="40" t="n">
        <x:v>44.73583333333334</x:v>
      </x:c>
      <x:c r="D164" s="40" t="n">
        <x:v>73.71083333333333</x:v>
      </x:c>
      <x:c r="E164" s="40" t="n">
        <x:v>0.03575</x:v>
      </x:c>
      <x:c r="F164" s="40" t="n">
        <x:v>1062.75</x:v>
      </x:c>
      <x:c r="G164" s="40" t="n">
        <x:v>828.0833333333334</x:v>
      </x:c>
      <x:c r="H164" s="40" t="n">
        <x:v>12</x:v>
      </x:c>
      <x:c r="I164" s="40" t="n">
        <x:v>101.425</x:v>
      </x:c>
      <x:c r="J164" s="40" t="n">
        <x:v>1.0680108129392503</x:v>
      </x:c>
      <x:c r="K164" s="40" t="n">
        <x:v>0.8226573587766626</x:v>
      </x:c>
      <x:c r="L164" s="40" t="n">
        <x:v>1.0680108129392503</x:v>
      </x:c>
      <x:c r="M164" s="41" t="str">
        <x:v>FAO-56 Penman–Monteith（小时）</x:v>
      </x:c>
    </x:row>
    <x:row r="165">
      <x:c r="A165" s="46" t="str">
        <x:v>2026-07-29T10:00:00</x:v>
      </x:c>
      <x:c r="B165" s="47" t="str">
        <x:v>7月29日现场数据</x:v>
      </x:c>
      <x:c r="C165" s="40" t="n">
        <x:v>48.18</x:v>
      </x:c>
      <x:c r="D165" s="40" t="n">
        <x:v>69.13916666666667</x:v>
      </x:c>
      <x:c r="E165" s="40" t="n">
        <x:v>0.01925</x:v>
      </x:c>
      <x:c r="F165" s="40" t="n">
        <x:v>536.75</x:v>
      </x:c>
      <x:c r="G165" s="40" t="n">
        <x:v>355.75</x:v>
      </x:c>
      <x:c r="H165" s="40" t="n">
        <x:v>12</x:v>
      </x:c>
      <x:c r="I165" s="40" t="n">
        <x:v>101.36666666666666</x:v>
      </x:c>
      <x:c r="J165" s="40" t="n">
        <x:v>0.46744728467877383</x:v>
      </x:c>
      <x:c r="K165" s="40" t="n">
        <x:v>0.3601228517108445</x:v>
      </x:c>
      <x:c r="L165" s="40" t="n">
        <x:v>0.46744728467877383</x:v>
      </x:c>
      <x:c r="M165" s="41" t="str">
        <x:v>FAO-56 Penman–Monteith（小时）</x:v>
      </x:c>
    </x:row>
    <x:row r="166">
      <x:c r="A166" s="46" t="str">
        <x:v>2026-07-29T11:00:00</x:v>
      </x:c>
      <x:c r="B166" s="47" t="str">
        <x:v>7月29日现场数据</x:v>
      </x:c>
      <x:c r="C166" s="40" t="n">
        <x:v>39.887499999999996</x:v>
      </x:c>
      <x:c r="D166" s="40" t="n">
        <x:v>63.79416666666666</x:v>
      </x:c>
      <x:c r="E166" s="40" t="n">
        <x:v>0.12633333333333333</x:v>
      </x:c>
      <x:c r="F166" s="40" t="n">
        <x:v>155.41666666666666</x:v>
      </x:c>
      <x:c r="G166" s="40" t="n">
        <x:v>59.916666666666664</x:v>
      </x:c>
      <x:c r="H166" s="40" t="n">
        <x:v>12</x:v>
      </x:c>
      <x:c r="I166" s="40" t="n">
        <x:v>101.25833333333334</x:v>
      </x:c>
      <x:c r="J166" s="40" t="n">
        <x:v>0.08039549404565784</x:v>
      </x:c>
      <x:c r="K166" s="40" t="n">
        <x:v>0.06323600194333939</x:v>
      </x:c>
      <x:c r="L166" s="40" t="n">
        <x:v>0.08039549404565784</x:v>
      </x:c>
      <x:c r="M166" s="41" t="str">
        <x:v>FAO-56 Penman–Monteith（小时）</x:v>
      </x:c>
    </x:row>
    <x:row r="167">
      <x:c r="A167" s="46" t="str">
        <x:v>2026-07-29T12:00:00</x:v>
      </x:c>
      <x:c r="B167" s="47" t="str">
        <x:v>7月29日现场数据</x:v>
      </x:c>
      <x:c r="C167" s="40" t="n">
        <x:v>38.888333333333335</x:v>
      </x:c>
      <x:c r="D167" s="40" t="n">
        <x:v>61.98583333333334</x:v>
      </x:c>
      <x:c r="E167" s="40" t="n">
        <x:v>0</x:v>
      </x:c>
      <x:c r="F167" s="40" t="n">
        <x:v>126.66666666666667</x:v>
      </x:c>
      <x:c r="G167" s="40" t="n">
        <x:v>73.58333333333333</x:v>
      </x:c>
      <x:c r="H167" s="40" t="n">
        <x:v>12</x:v>
      </x:c>
      <x:c r="I167" s="40" t="n">
        <x:v>101.175</x:v>
      </x:c>
      <x:c r="J167" s="40" t="n">
        <x:v>0.09157654607350356</x:v>
      </x:c>
      <x:c r="K167" s="40" t="n">
        <x:v>0.07051394047659774</x:v>
      </x:c>
      <x:c r="L167" s="40" t="n">
        <x:v>0.09157654607350356</x:v>
      </x:c>
      <x:c r="M167" s="41" t="str">
        <x:v>FAO-56 Penman–Monteith（小时）</x:v>
      </x:c>
    </x:row>
    <x:row r="168">
      <x:c r="A168" s="46" t="str">
        <x:v>2026-07-29T13:00:00</x:v>
      </x:c>
      <x:c r="B168" s="47" t="str">
        <x:v>7月29日现场数据</x:v>
      </x:c>
      <x:c r="C168" s="40" t="n">
        <x:v>38.885</x:v>
      </x:c>
      <x:c r="D168" s="40" t="n">
        <x:v>60.73833333333334</x:v>
      </x:c>
      <x:c r="E168" s="40" t="n">
        <x:v>0.19233333333333333</x:v>
      </x:c>
      <x:c r="F168" s="40" t="n">
        <x:v>247.41666666666666</x:v>
      </x:c>
      <x:c r="G168" s="40" t="n">
        <x:v>199.91666666666666</x:v>
      </x:c>
      <x:c r="H168" s="40" t="n">
        <x:v>12</x:v>
      </x:c>
      <x:c r="I168" s="40" t="n">
        <x:v>101.10833333333333</x:v>
      </x:c>
      <x:c r="J168" s="40" t="n">
        <x:v>0.25576879345981046</x:v>
      </x:c>
      <x:c r="K168" s="40" t="n">
        <x:v>0.19910547487520844</x:v>
      </x:c>
      <x:c r="L168" s="40" t="n">
        <x:v>0.25576879345981046</x:v>
      </x:c>
      <x:c r="M168" s="41" t="str">
        <x:v>FAO-56 Penman–Monteith（小时）</x:v>
      </x:c>
    </x:row>
    <x:row r="169">
      <x:c r="A169" s="46" t="str">
        <x:v>2026-07-29T14:00:00</x:v>
      </x:c>
      <x:c r="B169" s="47" t="str">
        <x:v>7月29日现场数据</x:v>
      </x:c>
      <x:c r="C169" s="40" t="n">
        <x:v>39.12083333333333</x:v>
      </x:c>
      <x:c r="D169" s="40" t="n">
        <x:v>59.61083333333334</x:v>
      </x:c>
      <x:c r="E169" s="40" t="n">
        <x:v>0.11816666666666666</x:v>
      </x:c>
      <x:c r="F169" s="40" t="n">
        <x:v>126.16666666666667</x:v>
      </x:c>
      <x:c r="G169" s="40" t="n">
        <x:v>86.83333333333333</x:v>
      </x:c>
      <x:c r="H169" s="40" t="n">
        <x:v>12</x:v>
      </x:c>
      <x:c r="I169" s="40" t="n">
        <x:v>101.08333333333334</x:v>
      </x:c>
      <x:c r="J169" s="40" t="n">
        <x:v>0.11358795272401301</x:v>
      </x:c>
      <x:c r="K169" s="40" t="n">
        <x:v>0.08883873482098369</x:v>
      </x:c>
      <x:c r="L169" s="40" t="n">
        <x:v>0.11358795272401301</x:v>
      </x:c>
      <x:c r="M169" s="41" t="str">
        <x:v>FAO-56 Penman–Monteith（小时）</x:v>
      </x:c>
    </x:row>
    <x:row r="170">
      <x:c r="A170" s="46" t="str">
        <x:v>2026-07-29T15:00:00</x:v>
      </x:c>
      <x:c r="B170" s="47" t="str">
        <x:v>7月29日现场数据</x:v>
      </x:c>
      <x:c r="C170" s="40" t="n">
        <x:v>39.31333333333333</x:v>
      </x:c>
      <x:c r="D170" s="40" t="n">
        <x:v>58.42083333333333</x:v>
      </x:c>
      <x:c r="E170" s="40" t="n">
        <x:v>0.2115</x:v>
      </x:c>
      <x:c r="F170" s="40" t="n">
        <x:v>114.66666666666667</x:v>
      </x:c>
      <x:c r="G170" s="40" t="n">
        <x:v>81.16666666666667</x:v>
      </x:c>
      <x:c r="H170" s="40" t="n">
        <x:v>12</x:v>
      </x:c>
      <x:c r="I170" s="40" t="n">
        <x:v>101.00833333333334</x:v>
      </x:c>
      <x:c r="J170" s="40" t="n">
        <x:v>0.11124886636262837</x:v>
      </x:c>
      <x:c r="K170" s="40" t="n">
        <x:v>0.08818898717544149</x:v>
      </x:c>
      <x:c r="L170" s="40" t="n">
        <x:v>0.11124886636262837</x:v>
      </x:c>
      <x:c r="M170" s="41" t="str">
        <x:v>FAO-56 Penman–Monteith（小时）</x:v>
      </x:c>
    </x:row>
    <x:row r="171">
      <x:c r="A171" s="46" t="str">
        <x:v>2026-07-29T16:00:00</x:v>
      </x:c>
      <x:c r="B171" s="47" t="str">
        <x:v>7月29日现场数据</x:v>
      </x:c>
      <x:c r="C171" s="40" t="n">
        <x:v>38.12166666666666</x:v>
      </x:c>
      <x:c r="D171" s="40" t="n">
        <x:v>57.04416666666666</x:v>
      </x:c>
      <x:c r="E171" s="40" t="n">
        <x:v>0.044000000000000004</x:v>
      </x:c>
      <x:c r="F171" s="40" t="n">
        <x:v>115.41666666666667</x:v>
      </x:c>
      <x:c r="G171" s="40" t="n">
        <x:v>92.91666666666667</x:v>
      </x:c>
      <x:c r="H171" s="40" t="n">
        <x:v>12</x:v>
      </x:c>
      <x:c r="I171" s="40" t="n">
        <x:v>100.99166666666666</x:v>
      </x:c>
      <x:c r="J171" s="40" t="n">
        <x:v>0.11711119149832812</x:v>
      </x:c>
      <x:c r="K171" s="40" t="n">
        <x:v>0.09071605480586423</x:v>
      </x:c>
      <x:c r="L171" s="40" t="n">
        <x:v>0.11711119149832812</x:v>
      </x:c>
      <x:c r="M171" s="41" t="str">
        <x:v>FAO-56 Penman–Monteith（小时）</x:v>
      </x:c>
    </x:row>
    <x:row r="172">
      <x:c r="A172" s="46" t="str">
        <x:v>2026-07-29T17:00:00</x:v>
      </x:c>
      <x:c r="B172" s="47" t="str">
        <x:v>7月29日现场数据</x:v>
      </x:c>
      <x:c r="C172" s="40" t="n">
        <x:v>37.47666666666667</x:v>
      </x:c>
      <x:c r="D172" s="40" t="n">
        <x:v>56.15833333333333</x:v>
      </x:c>
      <x:c r="E172" s="40" t="n">
        <x:v>0</x:v>
      </x:c>
      <x:c r="F172" s="40" t="n">
        <x:v>62.666666666666664</x:v>
      </x:c>
      <x:c r="G172" s="40" t="n">
        <x:v>46.916666666666664</x:v>
      </x:c>
      <x:c r="H172" s="40" t="n">
        <x:v>12</x:v>
      </x:c>
      <x:c r="I172" s="40" t="n">
        <x:v>100.99166666666666</x:v>
      </x:c>
      <x:c r="J172" s="40" t="n">
        <x:v>0.057804186217347384</x:v>
      </x:c>
      <x:c r="K172" s="40" t="n">
        <x:v>0.04450922338735748</x:v>
      </x:c>
      <x:c r="L172" s="40" t="n">
        <x:v>0.057804186217347384</x:v>
      </x:c>
      <x:c r="M172" s="41" t="str">
        <x:v>FAO-56 Penman–Monteith（小时）</x:v>
      </x:c>
    </x:row>
    <x:row r="173">
      <x:c r="A173" s="46" t="str">
        <x:v>2026-07-29T23:00:00</x:v>
      </x:c>
      <x:c r="B173" s="47" t="str">
        <x:v>7月29日现场数据</x:v>
      </x:c>
      <x:c r="C173" s="40" t="n">
        <x:v>31.985833333333332</x:v>
      </x:c>
      <x:c r="D173" s="40" t="n">
        <x:v>55.425000000000004</x:v>
      </x:c>
      <x:c r="E173" s="40" t="n">
        <x:v>0</x:v>
      </x:c>
      <x:c r="F173" s="40" t="n">
        <x:v>0</x:v>
      </x:c>
      <x:c r="G173" s="40" t="n">
        <x:v>0</x:v>
      </x:c>
      <x:c r="H173" s="40" t="n">
        <x:v>12</x:v>
      </x:c>
      <x:c r="I173" s="40" t="n">
        <x:v>101.1</x:v>
      </x:c>
      <x:c r="J173" s="40" t="n">
        <x:v>0</x:v>
      </x:c>
      <x:c r="K173" s="40" t="n">
        <x:v>0</x:v>
      </x:c>
      <x:c r="L173" s="40" t="n">
        <x:v>0</x:v>
      </x:c>
      <x:c r="M173" s="41" t="str">
        <x:v>FAO-56 Penman–Monteith（小时）</x:v>
      </x:c>
    </x:row>
    <x:row r="174">
      <x:c r="A174" s="46" t="str">
        <x:v>2026-07-30T00:00:00</x:v>
      </x:c>
      <x:c r="B174" s="47" t="str">
        <x:v>7月29日现场数据</x:v>
      </x:c>
      <x:c r="C174" s="40" t="n">
        <x:v>31.675833333333333</x:v>
      </x:c>
      <x:c r="D174" s="40" t="n">
        <x:v>56.067499999999995</x:v>
      </x:c>
      <x:c r="E174" s="40" t="n">
        <x:v>0.0027500000000000003</x:v>
      </x:c>
      <x:c r="F174" s="40" t="n">
        <x:v>0</x:v>
      </x:c>
      <x:c r="G174" s="40" t="n">
        <x:v>0</x:v>
      </x:c>
      <x:c r="H174" s="40" t="n">
        <x:v>12</x:v>
      </x:c>
      <x:c r="I174" s="40" t="n">
        <x:v>101.1</x:v>
      </x:c>
      <x:c r="J174" s="40" t="n">
        <x:v>0.00013881710106452137</x:v>
      </x:c>
      <x:c r="K174" s="40" t="n">
        <x:v>0.00013881710106452137</x:v>
      </x:c>
      <x:c r="L174" s="40" t="n">
        <x:v>0.00013881710106452137</x:v>
      </x:c>
      <x:c r="M174" s="41" t="str">
        <x:v>FAO-56 Penman–Monteith（小时）</x:v>
      </x:c>
    </x:row>
    <x:row r="175">
      <x:c r="A175" s="46" t="str">
        <x:v>2026-07-30T01:00:00</x:v>
      </x:c>
      <x:c r="B175" s="47" t="str">
        <x:v>7月29日现场数据</x:v>
      </x:c>
      <x:c r="C175" s="40" t="n">
        <x:v>31.564166666666665</x:v>
      </x:c>
      <x:c r="D175" s="40" t="n">
        <x:v>56.85916666666666</x:v>
      </x:c>
      <x:c r="E175" s="40" t="n">
        <x:v>0</x:v>
      </x:c>
      <x:c r="F175" s="40" t="n">
        <x:v>0</x:v>
      </x:c>
      <x:c r="G175" s="40" t="n">
        <x:v>0</x:v>
      </x:c>
      <x:c r="H175" s="40" t="n">
        <x:v>12</x:v>
      </x:c>
      <x:c r="I175" s="40" t="n">
        <x:v>101.1</x:v>
      </x:c>
      <x:c r="J175" s="40" t="n">
        <x:v>0</x:v>
      </x:c>
      <x:c r="K175" s="40" t="n">
        <x:v>0</x:v>
      </x:c>
      <x:c r="L175" s="40" t="n">
        <x:v>0</x:v>
      </x:c>
      <x:c r="M175" s="41" t="str">
        <x:v>FAO-56 Penman–Monteith（小时）</x:v>
      </x:c>
    </x:row>
    <x:row r="176">
      <x:c r="A176" s="46" t="str">
        <x:v>2026-07-30T02:00:00</x:v>
      </x:c>
      <x:c r="B176" s="47" t="str">
        <x:v>7月29日现场数据</x:v>
      </x:c>
      <x:c r="C176" s="40" t="n">
        <x:v>31.40416666666667</x:v>
      </x:c>
      <x:c r="D176" s="40" t="n">
        <x:v>57.751666666666665</x:v>
      </x:c>
      <x:c r="E176" s="40" t="n">
        <x:v>0</x:v>
      </x:c>
      <x:c r="F176" s="40" t="n">
        <x:v>0</x:v>
      </x:c>
      <x:c r="G176" s="40" t="n">
        <x:v>0</x:v>
      </x:c>
      <x:c r="H176" s="40" t="n">
        <x:v>12</x:v>
      </x:c>
      <x:c r="I176" s="40" t="n">
        <x:v>101.1</x:v>
      </x:c>
      <x:c r="J176" s="40" t="n">
        <x:v>0</x:v>
      </x:c>
      <x:c r="K176" s="40" t="n">
        <x:v>0</x:v>
      </x:c>
      <x:c r="L176" s="40" t="n">
        <x:v>0</x:v>
      </x:c>
      <x:c r="M176" s="41" t="str">
        <x:v>FAO-56 Penman–Monteith（小时）</x:v>
      </x:c>
    </x:row>
    <x:row r="177">
      <x:c r="A177" s="48" t="str">
        <x:v>2026-07-30T03:00:00</x:v>
      </x:c>
      <x:c r="B177" s="49" t="str">
        <x:v>7月29日现场数据</x:v>
      </x:c>
      <x:c r="C177" s="44" t="n">
        <x:v>31.165833333333335</x:v>
      </x:c>
      <x:c r="D177" s="44" t="n">
        <x:v>58.70916666666667</x:v>
      </x:c>
      <x:c r="E177" s="44" t="n">
        <x:v>0</x:v>
      </x:c>
      <x:c r="F177" s="44" t="n">
        <x:v>0</x:v>
      </x:c>
      <x:c r="G177" s="44" t="n">
        <x:v>0</x:v>
      </x:c>
      <x:c r="H177" s="44" t="n">
        <x:v>12</x:v>
      </x:c>
      <x:c r="I177" s="44" t="n">
        <x:v>101.1</x:v>
      </x:c>
      <x:c r="J177" s="44" t="n">
        <x:v>0</x:v>
      </x:c>
      <x:c r="K177" s="44" t="n">
        <x:v>0</x:v>
      </x:c>
      <x:c r="L177" s="44" t="n">
        <x:v>0</x:v>
      </x:c>
      <x:c r="M177" s="45" t="str">
        <x:v>FAO-56 Penman–Monteith（小时）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0" hidden="0" customWidth="1"/>
  </x:cols>
  <x:sheetData>
    <x:row r="1" ht="34" customHeight="1">
      <x:c r="A1" s="3" t="str">
        <x:v>SoilLSTM｜未来 5–60 分钟土壤湿度现场回测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8" t="str">
        <x:v>数据源</x:v>
      </x:c>
      <x:c r="B3" s="36" t="str">
        <x:v>预测起点</x:v>
      </x:c>
      <x:c r="C3" s="36" t="str">
        <x:v>目标时间</x:v>
      </x:c>
      <x:c r="D3" s="36" t="str">
        <x:v>时域(min)</x:v>
      </x:c>
      <x:c r="E3" s="36" t="str">
        <x:v>实测湿度%</x:v>
      </x:c>
      <x:c r="F3" s="36" t="str">
        <x:v>模型预测%</x:v>
      </x:c>
      <x:c r="G3" s="36" t="str">
        <x:v>持久性基线%</x:v>
      </x:c>
      <x:c r="H3" s="36" t="str">
        <x:v>模型误差</x:v>
      </x:c>
      <x:c r="I3" s="36" t="str">
        <x:v>模型绝对误差</x:v>
      </x:c>
      <x:c r="J3" s="36" t="str">
        <x:v>模型平方误差</x:v>
      </x:c>
      <x:c r="K3" s="36" t="str">
        <x:v>基线误差</x:v>
      </x:c>
      <x:c r="L3" s="36" t="str">
        <x:v>基线绝对误差</x:v>
      </x:c>
      <x:c r="M3" s="37" t="str">
        <x:v>模型版本</x:v>
      </x:c>
    </x:row>
    <x:row r="4">
      <x:c r="A4" s="38" t="str">
        <x:v>7月30日现场数据</x:v>
      </x:c>
      <x:c r="B4" s="39" t="str">
        <x:v>2026-07-31T13:35:00</x:v>
      </x:c>
      <x:c r="C4" s="39" t="str">
        <x:v>2026-07-31T13:40:00</x:v>
      </x:c>
      <x:c r="D4" s="47" t="n">
        <x:v>5</x:v>
      </x:c>
      <x:c r="E4" s="40" t="n">
        <x:v>12.1</x:v>
      </x:c>
      <x:c r="F4" s="40" t="n">
        <x:v>10.07497787475586</x:v>
      </x:c>
      <x:c r="G4" s="40" t="n">
        <x:v>12.1</x:v>
      </x:c>
      <x:c r="H4" s="40" t="n">
        <x:f>F4-E4</x:f>
        <x:v>-2.0250221252441403</x:v>
      </x:c>
      <x:c r="I4" s="40" t="n">
        <x:f>ABS(H4)</x:f>
        <x:v>2.0250221252441403</x:v>
      </x:c>
      <x:c r="J4" s="40" t="n">
        <x:f>H4^2</x:f>
        <x:v>4.100714607728294</x:v>
      </x:c>
      <x:c r="K4" s="40" t="n">
        <x:f>G4-E4</x:f>
        <x:v>0</x:v>
      </x:c>
      <x:c r="L4" s="40" t="n">
        <x:f>ABS(K4)</x:f>
        <x:v>0</x:v>
      </x:c>
      <x:c r="M4" s="41" t="str">
        <x:v>lstm-soil-v1</x:v>
      </x:c>
    </x:row>
    <x:row r="5">
      <x:c r="A5" s="38" t="str">
        <x:v>7月30日现场数据</x:v>
      </x:c>
      <x:c r="B5" s="39" t="str">
        <x:v>2026-07-31T13:35:00</x:v>
      </x:c>
      <x:c r="C5" s="39" t="str">
        <x:v>2026-07-31T13:50:00</x:v>
      </x:c>
      <x:c r="D5" s="47" t="n">
        <x:v>15</x:v>
      </x:c>
      <x:c r="E5" s="40" t="n">
        <x:v>12.1</x:v>
      </x:c>
      <x:c r="F5" s="40" t="n">
        <x:v>10.155853271484375</x:v>
      </x:c>
      <x:c r="G5" s="40" t="n">
        <x:v>12.1</x:v>
      </x:c>
      <x:c r="H5" s="40" t="n">
        <x:f>F5-E5</x:f>
        <x:v>-1.9441467285156246</x:v>
      </x:c>
      <x:c r="I5" s="40" t="n">
        <x:f>ABS(H5)</x:f>
        <x:v>1.9441467285156246</x:v>
      </x:c>
      <x:c r="J5" s="40" t="n">
        <x:f>H5^2</x:f>
        <x:v>3.779706501998006</x:v>
      </x:c>
      <x:c r="K5" s="40" t="n">
        <x:f>G5-E5</x:f>
        <x:v>0</x:v>
      </x:c>
      <x:c r="L5" s="40" t="n">
        <x:f>ABS(K5)</x:f>
        <x:v>0</x:v>
      </x:c>
      <x:c r="M5" s="41" t="str">
        <x:v>lstm-soil-v1</x:v>
      </x:c>
    </x:row>
    <x:row r="6">
      <x:c r="A6" s="38" t="str">
        <x:v>7月30日现场数据</x:v>
      </x:c>
      <x:c r="B6" s="39" t="str">
        <x:v>2026-07-31T13:35:00</x:v>
      </x:c>
      <x:c r="C6" s="39" t="str">
        <x:v>2026-07-31T14:05:00</x:v>
      </x:c>
      <x:c r="D6" s="47" t="n">
        <x:v>30</x:v>
      </x:c>
      <x:c r="E6" s="40" t="n">
        <x:v>12.1</x:v>
      </x:c>
      <x:c r="F6" s="40" t="n">
        <x:v>10.591205596923828</x:v>
      </x:c>
      <x:c r="G6" s="40" t="n">
        <x:v>12.1</x:v>
      </x:c>
      <x:c r="H6" s="40" t="n">
        <x:f>F6-E6</x:f>
        <x:v>-1.5087944030761715</x:v>
      </x:c>
      <x:c r="I6" s="40" t="n">
        <x:f>ABS(H6)</x:f>
        <x:v>1.5087944030761715</x:v>
      </x:c>
      <x:c r="J6" s="40" t="n">
        <x:f>H6^2</x:f>
        <x:v>2.276460550753981</x:v>
      </x:c>
      <x:c r="K6" s="40" t="n">
        <x:f>G6-E6</x:f>
        <x:v>0</x:v>
      </x:c>
      <x:c r="L6" s="40" t="n">
        <x:f>ABS(K6)</x:f>
        <x:v>0</x:v>
      </x:c>
      <x:c r="M6" s="41" t="str">
        <x:v>lstm-soil-v1</x:v>
      </x:c>
    </x:row>
    <x:row r="7">
      <x:c r="A7" s="38" t="str">
        <x:v>7月30日现场数据</x:v>
      </x:c>
      <x:c r="B7" s="39" t="str">
        <x:v>2026-07-31T13:35:00</x:v>
      </x:c>
      <x:c r="C7" s="39" t="str">
        <x:v>2026-07-31T14:35:00</x:v>
      </x:c>
      <x:c r="D7" s="47" t="n">
        <x:v>60</x:v>
      </x:c>
      <x:c r="E7" s="40" t="n">
        <x:v>12.2</x:v>
      </x:c>
      <x:c r="F7" s="40" t="n">
        <x:v>12.28244400024414</x:v>
      </x:c>
      <x:c r="G7" s="40" t="n">
        <x:v>12.1</x:v>
      </x:c>
      <x:c r="H7" s="40" t="n">
        <x:f>F7-E7</x:f>
        <x:v>0.08244400024414134</x:v>
      </x:c>
      <x:c r="I7" s="40" t="n">
        <x:f>ABS(H7)</x:f>
        <x:v>0.08244400024414134</x:v>
      </x:c>
      <x:c r="J7" s="40" t="n">
        <x:f>H7^2</x:f>
        <x:v>0.006797013176255977</x:v>
      </x:c>
      <x:c r="K7" s="40" t="n">
        <x:f>G7-E7</x:f>
        <x:v>-0.09999999999999964</x:v>
      </x:c>
      <x:c r="L7" s="40" t="n">
        <x:f>ABS(K7)</x:f>
        <x:v>0.09999999999999964</x:v>
      </x:c>
      <x:c r="M7" s="41" t="str">
        <x:v>lstm-soil-v1</x:v>
      </x:c>
    </x:row>
    <x:row r="8">
      <x:c r="A8" s="38" t="str">
        <x:v>7月30日现场数据</x:v>
      </x:c>
      <x:c r="B8" s="39" t="str">
        <x:v>2026-07-31T13:40:00</x:v>
      </x:c>
      <x:c r="C8" s="39" t="str">
        <x:v>2026-07-31T13:45:00</x:v>
      </x:c>
      <x:c r="D8" s="47" t="n">
        <x:v>5</x:v>
      </x:c>
      <x:c r="E8" s="40" t="n">
        <x:v>12.1</x:v>
      </x:c>
      <x:c r="F8" s="40" t="n">
        <x:v>10.074684143066406</x:v>
      </x:c>
      <x:c r="G8" s="40" t="n">
        <x:v>12.1</x:v>
      </x:c>
      <x:c r="H8" s="40" t="n">
        <x:f>F8-E8</x:f>
        <x:v>-2.0253158569335934</x:v>
      </x:c>
      <x:c r="I8" s="40" t="n">
        <x:f>ABS(H8)</x:f>
        <x:v>2.0253158569335934</x:v>
      </x:c>
      <x:c r="J8" s="40" t="n">
        <x:f>H8^2</x:f>
        <x:v>4.101904320346656</x:v>
      </x:c>
      <x:c r="K8" s="40" t="n">
        <x:f>G8-E8</x:f>
        <x:v>0</x:v>
      </x:c>
      <x:c r="L8" s="40" t="n">
        <x:f>ABS(K8)</x:f>
        <x:v>0</x:v>
      </x:c>
      <x:c r="M8" s="41" t="str">
        <x:v>lstm-soil-v1</x:v>
      </x:c>
    </x:row>
    <x:row r="9">
      <x:c r="A9" s="38" t="str">
        <x:v>7月30日现场数据</x:v>
      </x:c>
      <x:c r="B9" s="39" t="str">
        <x:v>2026-07-31T13:40:00</x:v>
      </x:c>
      <x:c r="C9" s="39" t="str">
        <x:v>2026-07-31T13:55:00</x:v>
      </x:c>
      <x:c r="D9" s="47" t="n">
        <x:v>15</x:v>
      </x:c>
      <x:c r="E9" s="40" t="n">
        <x:v>12.1</x:v>
      </x:c>
      <x:c r="F9" s="40" t="n">
        <x:v>10.15389633178711</x:v>
      </x:c>
      <x:c r="G9" s="40" t="n">
        <x:v>12.1</x:v>
      </x:c>
      <x:c r="H9" s="40" t="n">
        <x:f>F9-E9</x:f>
        <x:v>-1.9461036682128903</x:v>
      </x:c>
      <x:c r="I9" s="40" t="n">
        <x:f>ABS(H9)</x:f>
        <x:v>1.9461036682128903</x:v>
      </x:c>
      <x:c r="J9" s="40" t="n">
        <x:f>H9^2</x:f>
        <x:v>3.787319487431667</x:v>
      </x:c>
      <x:c r="K9" s="40" t="n">
        <x:f>G9-E9</x:f>
        <x:v>0</x:v>
      </x:c>
      <x:c r="L9" s="40" t="n">
        <x:f>ABS(K9)</x:f>
        <x:v>0</x:v>
      </x:c>
      <x:c r="M9" s="41" t="str">
        <x:v>lstm-soil-v1</x:v>
      </x:c>
    </x:row>
    <x:row r="10">
      <x:c r="A10" s="38" t="str">
        <x:v>7月30日现场数据</x:v>
      </x:c>
      <x:c r="B10" s="39" t="str">
        <x:v>2026-07-31T13:40:00</x:v>
      </x:c>
      <x:c r="C10" s="39" t="str">
        <x:v>2026-07-31T14:10:00</x:v>
      </x:c>
      <x:c r="D10" s="47" t="n">
        <x:v>30</x:v>
      </x:c>
      <x:c r="E10" s="40" t="n">
        <x:v>12.1</x:v>
      </x:c>
      <x:c r="F10" s="40" t="n">
        <x:v>10.589794158935547</x:v>
      </x:c>
      <x:c r="G10" s="40" t="n">
        <x:v>12.1</x:v>
      </x:c>
      <x:c r="H10" s="40" t="n">
        <x:f>F10-E10</x:f>
        <x:v>-1.5102058410644528</x:v>
      </x:c>
      <x:c r="I10" s="40" t="n">
        <x:f>ABS(H10)</x:f>
        <x:v>1.5102058410644528</x:v>
      </x:c>
      <x:c r="J10" s="40" t="n">
        <x:f>H10^2</x:f>
        <x:v>2.2807216823851912</x:v>
      </x:c>
      <x:c r="K10" s="40" t="n">
        <x:f>G10-E10</x:f>
        <x:v>0</x:v>
      </x:c>
      <x:c r="L10" s="40" t="n">
        <x:f>ABS(K10)</x:f>
        <x:v>0</x:v>
      </x:c>
      <x:c r="M10" s="41" t="str">
        <x:v>lstm-soil-v1</x:v>
      </x:c>
    </x:row>
    <x:row r="11">
      <x:c r="A11" s="38" t="str">
        <x:v>7月30日现场数据</x:v>
      </x:c>
      <x:c r="B11" s="39" t="str">
        <x:v>2026-07-31T13:40:00</x:v>
      </x:c>
      <x:c r="C11" s="39" t="str">
        <x:v>2026-07-31T14:40:00</x:v>
      </x:c>
      <x:c r="D11" s="47" t="n">
        <x:v>60</x:v>
      </x:c>
      <x:c r="E11" s="40" t="n">
        <x:v>12.2</x:v>
      </x:c>
      <x:c r="F11" s="40" t="n">
        <x:v>12.282455444335938</x:v>
      </x:c>
      <x:c r="G11" s="40" t="n">
        <x:v>12.1</x:v>
      </x:c>
      <x:c r="H11" s="40" t="n">
        <x:f>F11-E11</x:f>
        <x:v>0.08245544433593821</x:v>
      </x:c>
      <x:c r="I11" s="40" t="n">
        <x:f>ABS(H11)</x:f>
        <x:v>0.08245544433593821</x:v>
      </x:c>
      <x:c r="J11" s="40" t="n">
        <x:f>H11^2</x:f>
        <x:v>0.006798900300637005</x:v>
      </x:c>
      <x:c r="K11" s="40" t="n">
        <x:f>G11-E11</x:f>
        <x:v>-0.09999999999999964</x:v>
      </x:c>
      <x:c r="L11" s="40" t="n">
        <x:f>ABS(K11)</x:f>
        <x:v>0.09999999999999964</x:v>
      </x:c>
      <x:c r="M11" s="41" t="str">
        <x:v>lstm-soil-v1</x:v>
      </x:c>
    </x:row>
    <x:row r="12">
      <x:c r="A12" s="38" t="str">
        <x:v>7月30日现场数据</x:v>
      </x:c>
      <x:c r="B12" s="39" t="str">
        <x:v>2026-07-31T13:45:00</x:v>
      </x:c>
      <x:c r="C12" s="39" t="str">
        <x:v>2026-07-31T13:50:00</x:v>
      </x:c>
      <x:c r="D12" s="47" t="n">
        <x:v>5</x:v>
      </x:c>
      <x:c r="E12" s="40" t="n">
        <x:v>12.1</x:v>
      </x:c>
      <x:c r="F12" s="40" t="n">
        <x:v>10.07455825805664</x:v>
      </x:c>
      <x:c r="G12" s="40" t="n">
        <x:v>12.1</x:v>
      </x:c>
      <x:c r="H12" s="40" t="n">
        <x:f>F12-E12</x:f>
        <x:v>-2.025441741943359</x:v>
      </x:c>
      <x:c r="I12" s="40" t="n">
        <x:f>ABS(H12)</x:f>
        <x:v>2.025441741943359</x:v>
      </x:c>
      <x:c r="J12" s="40" t="n">
        <x:f>H12^2</x:f>
        <x:v>4.102414250006548</x:v>
      </x:c>
      <x:c r="K12" s="40" t="n">
        <x:f>G12-E12</x:f>
        <x:v>0</x:v>
      </x:c>
      <x:c r="L12" s="40" t="n">
        <x:f>ABS(K12)</x:f>
        <x:v>0</x:v>
      </x:c>
      <x:c r="M12" s="41" t="str">
        <x:v>lstm-soil-v1</x:v>
      </x:c>
    </x:row>
    <x:row r="13">
      <x:c r="A13" s="38" t="str">
        <x:v>7月30日现场数据</x:v>
      </x:c>
      <x:c r="B13" s="39" t="str">
        <x:v>2026-07-31T13:45:00</x:v>
      </x:c>
      <x:c r="C13" s="39" t="str">
        <x:v>2026-07-31T14:00:00</x:v>
      </x:c>
      <x:c r="D13" s="47" t="n">
        <x:v>15</x:v>
      </x:c>
      <x:c r="E13" s="40" t="n">
        <x:v>12.1</x:v>
      </x:c>
      <x:c r="F13" s="40" t="n">
        <x:v>10.153450012207031</x:v>
      </x:c>
      <x:c r="G13" s="40" t="n">
        <x:v>12.1</x:v>
      </x:c>
      <x:c r="H13" s="40" t="n">
        <x:f>F13-E13</x:f>
        <x:v>-1.9465499877929684</x:v>
      </x:c>
      <x:c r="I13" s="40" t="n">
        <x:f>ABS(H13)</x:f>
        <x:v>1.9465499877929684</x:v>
      </x:c>
      <x:c r="J13" s="40" t="n">
        <x:f>H13^2</x:f>
        <x:v>3.7890568549768053</x:v>
      </x:c>
      <x:c r="K13" s="40" t="n">
        <x:f>G13-E13</x:f>
        <x:v>0</x:v>
      </x:c>
      <x:c r="L13" s="40" t="n">
        <x:f>ABS(K13)</x:f>
        <x:v>0</x:v>
      </x:c>
      <x:c r="M13" s="41" t="str">
        <x:v>lstm-soil-v1</x:v>
      </x:c>
    </x:row>
    <x:row r="14">
      <x:c r="A14" s="38" t="str">
        <x:v>7月30日现场数据</x:v>
      </x:c>
      <x:c r="B14" s="39" t="str">
        <x:v>2026-07-31T13:45:00</x:v>
      </x:c>
      <x:c r="C14" s="39" t="str">
        <x:v>2026-07-31T14:15:00</x:v>
      </x:c>
      <x:c r="D14" s="47" t="n">
        <x:v>30</x:v>
      </x:c>
      <x:c r="E14" s="40" t="n">
        <x:v>12.1</x:v>
      </x:c>
      <x:c r="F14" s="40" t="n">
        <x:v>10.589851379394531</x:v>
      </x:c>
      <x:c r="G14" s="40" t="n">
        <x:v>12.1</x:v>
      </x:c>
      <x:c r="H14" s="40" t="n">
        <x:f>F14-E14</x:f>
        <x:v>-1.5101486206054684</x:v>
      </x:c>
      <x:c r="I14" s="40" t="n">
        <x:f>ABS(H14)</x:f>
        <x:v>1.5101486206054684</x:v>
      </x:c>
      <x:c r="J14" s="40" t="n">
        <x:f>H14^2</x:f>
        <x:v>2.280548856316599</x:v>
      </x:c>
      <x:c r="K14" s="40" t="n">
        <x:f>G14-E14</x:f>
        <x:v>0</x:v>
      </x:c>
      <x:c r="L14" s="40" t="n">
        <x:f>ABS(K14)</x:f>
        <x:v>0</x:v>
      </x:c>
      <x:c r="M14" s="41" t="str">
        <x:v>lstm-soil-v1</x:v>
      </x:c>
    </x:row>
    <x:row r="15">
      <x:c r="A15" s="38" t="str">
        <x:v>7月30日现场数据</x:v>
      </x:c>
      <x:c r="B15" s="39" t="str">
        <x:v>2026-07-31T13:45:00</x:v>
      </x:c>
      <x:c r="C15" s="39" t="str">
        <x:v>2026-07-31T14:45:00</x:v>
      </x:c>
      <x:c r="D15" s="47" t="n">
        <x:v>60</x:v>
      </x:c>
      <x:c r="E15" s="40" t="n">
        <x:v>12.2</x:v>
      </x:c>
      <x:c r="F15" s="40" t="n">
        <x:v>12.282085418701172</x:v>
      </x:c>
      <x:c r="G15" s="40" t="n">
        <x:v>12.1</x:v>
      </x:c>
      <x:c r="H15" s="40" t="n">
        <x:f>F15-E15</x:f>
        <x:v>0.08208541870117259</x:v>
      </x:c>
      <x:c r="I15" s="40" t="n">
        <x:f>ABS(H15)</x:f>
        <x:v>0.08208541870117259</x:v>
      </x:c>
      <x:c r="J15" s="40" t="n">
        <x:f>H15^2</x:f>
        <x:v>0.006738015963346814</x:v>
      </x:c>
      <x:c r="K15" s="40" t="n">
        <x:f>G15-E15</x:f>
        <x:v>-0.09999999999999964</x:v>
      </x:c>
      <x:c r="L15" s="40" t="n">
        <x:f>ABS(K15)</x:f>
        <x:v>0.09999999999999964</x:v>
      </x:c>
      <x:c r="M15" s="41" t="str">
        <x:v>lstm-soil-v1</x:v>
      </x:c>
    </x:row>
    <x:row r="16">
      <x:c r="A16" s="38" t="str">
        <x:v>7月30日现场数据</x:v>
      </x:c>
      <x:c r="B16" s="39" t="str">
        <x:v>2026-07-31T13:50:00</x:v>
      </x:c>
      <x:c r="C16" s="39" t="str">
        <x:v>2026-07-31T13:55:00</x:v>
      </x:c>
      <x:c r="D16" s="47" t="n">
        <x:v>5</x:v>
      </x:c>
      <x:c r="E16" s="40" t="n">
        <x:v>12.1</x:v>
      </x:c>
      <x:c r="F16" s="40" t="n">
        <x:v>10.07498550415039</x:v>
      </x:c>
      <x:c r="G16" s="40" t="n">
        <x:v>12.1</x:v>
      </x:c>
      <x:c r="H16" s="40" t="n">
        <x:f>F16-E16</x:f>
        <x:v>-2.025014495849609</x:v>
      </x:c>
      <x:c r="I16" s="40" t="n">
        <x:f>ABS(H16)</x:f>
        <x:v>2.025014495849609</x:v>
      </x:c>
      <x:c r="J16" s="40" t="n">
        <x:f>H16^2</x:f>
        <x:v>4.100683708401046</x:v>
      </x:c>
      <x:c r="K16" s="40" t="n">
        <x:f>G16-E16</x:f>
        <x:v>0</x:v>
      </x:c>
      <x:c r="L16" s="40" t="n">
        <x:f>ABS(K16)</x:f>
        <x:v>0</x:v>
      </x:c>
      <x:c r="M16" s="41" t="str">
        <x:v>lstm-soil-v1</x:v>
      </x:c>
    </x:row>
    <x:row r="17">
      <x:c r="A17" s="38" t="str">
        <x:v>7月30日现场数据</x:v>
      </x:c>
      <x:c r="B17" s="39" t="str">
        <x:v>2026-07-31T13:50:00</x:v>
      </x:c>
      <x:c r="C17" s="39" t="str">
        <x:v>2026-07-31T14:05:00</x:v>
      </x:c>
      <x:c r="D17" s="47" t="n">
        <x:v>15</x:v>
      </x:c>
      <x:c r="E17" s="40" t="n">
        <x:v>12.1</x:v>
      </x:c>
      <x:c r="F17" s="40" t="n">
        <x:v>10.151744842529297</x:v>
      </x:c>
      <x:c r="G17" s="40" t="n">
        <x:v>12.1</x:v>
      </x:c>
      <x:c r="H17" s="40" t="n">
        <x:f>F17-E17</x:f>
        <x:v>-1.9482551574707028</x:v>
      </x:c>
      <x:c r="I17" s="40" t="n">
        <x:f>ABS(H17)</x:f>
        <x:v>1.9482551574707028</x:v>
      </x:c>
      <x:c r="J17" s="40" t="n">
        <x:f>H17^2</x:f>
        <x:v>3.795698158611193</x:v>
      </x:c>
      <x:c r="K17" s="40" t="n">
        <x:f>G17-E17</x:f>
        <x:v>0</x:v>
      </x:c>
      <x:c r="L17" s="40" t="n">
        <x:f>ABS(K17)</x:f>
        <x:v>0</x:v>
      </x:c>
      <x:c r="M17" s="41" t="str">
        <x:v>lstm-soil-v1</x:v>
      </x:c>
    </x:row>
    <x:row r="18">
      <x:c r="A18" s="38" t="str">
        <x:v>7月30日现场数据</x:v>
      </x:c>
      <x:c r="B18" s="39" t="str">
        <x:v>2026-07-31T13:50:00</x:v>
      </x:c>
      <x:c r="C18" s="39" t="str">
        <x:v>2026-07-31T14:20:00</x:v>
      </x:c>
      <x:c r="D18" s="47" t="n">
        <x:v>30</x:v>
      </x:c>
      <x:c r="E18" s="40" t="n">
        <x:v>12.1</x:v>
      </x:c>
      <x:c r="F18" s="40" t="n">
        <x:v>10.589866638183594</x:v>
      </x:c>
      <x:c r="G18" s="40" t="n">
        <x:v>12.1</x:v>
      </x:c>
      <x:c r="H18" s="40" t="n">
        <x:f>F18-E18</x:f>
        <x:v>-1.510133361816406</x:v>
      </x:c>
      <x:c r="I18" s="40" t="n">
        <x:f>ABS(H18)</x:f>
        <x:v>1.510133361816406</x:v>
      </x:c>
      <x:c r="J18" s="40" t="n">
        <x:f>H18^2</x:f>
        <x:v>2.2805027704709198</x:v>
      </x:c>
      <x:c r="K18" s="40" t="n">
        <x:f>G18-E18</x:f>
        <x:v>0</x:v>
      </x:c>
      <x:c r="L18" s="40" t="n">
        <x:f>ABS(K18)</x:f>
        <x:v>0</x:v>
      </x:c>
      <x:c r="M18" s="41" t="str">
        <x:v>lstm-soil-v1</x:v>
      </x:c>
    </x:row>
    <x:row r="19">
      <x:c r="A19" s="38" t="str">
        <x:v>7月30日现场数据</x:v>
      </x:c>
      <x:c r="B19" s="39" t="str">
        <x:v>2026-07-31T13:50:00</x:v>
      </x:c>
      <x:c r="C19" s="39" t="str">
        <x:v>2026-07-31T14:50:00</x:v>
      </x:c>
      <x:c r="D19" s="47" t="n">
        <x:v>60</x:v>
      </x:c>
      <x:c r="E19" s="40" t="n">
        <x:v>12.2</x:v>
      </x:c>
      <x:c r="F19" s="40" t="n">
        <x:v>12.284618377685547</x:v>
      </x:c>
      <x:c r="G19" s="40" t="n">
        <x:v>12.1</x:v>
      </x:c>
      <x:c r="H19" s="40" t="n">
        <x:f>F19-E19</x:f>
        <x:v>0.08461837768554759</x:v>
      </x:c>
      <x:c r="I19" s="40" t="n">
        <x:f>ABS(H19)</x:f>
        <x:v>0.08461837768554759</x:v>
      </x:c>
      <x:c r="J19" s="40" t="n">
        <x:f>H19^2</x:f>
        <x:v>0.0071602698421339775</x:v>
      </x:c>
      <x:c r="K19" s="40" t="n">
        <x:f>G19-E19</x:f>
        <x:v>-0.09999999999999964</x:v>
      </x:c>
      <x:c r="L19" s="40" t="n">
        <x:f>ABS(K19)</x:f>
        <x:v>0.09999999999999964</x:v>
      </x:c>
      <x:c r="M19" s="41" t="str">
        <x:v>lstm-soil-v1</x:v>
      </x:c>
    </x:row>
    <x:row r="20">
      <x:c r="A20" s="38" t="str">
        <x:v>7月30日现场数据</x:v>
      </x:c>
      <x:c r="B20" s="39" t="str">
        <x:v>2026-07-31T13:55:00</x:v>
      </x:c>
      <x:c r="C20" s="39" t="str">
        <x:v>2026-07-31T14:00:00</x:v>
      </x:c>
      <x:c r="D20" s="47" t="n">
        <x:v>5</x:v>
      </x:c>
      <x:c r="E20" s="40" t="n">
        <x:v>12.1</x:v>
      </x:c>
      <x:c r="F20" s="40" t="n">
        <x:v>10.076766967773438</x:v>
      </x:c>
      <x:c r="G20" s="40" t="n">
        <x:v>12.1</x:v>
      </x:c>
      <x:c r="H20" s="40" t="n">
        <x:f>F20-E20</x:f>
        <x:v>-2.023233032226562</x:v>
      </x:c>
      <x:c r="I20" s="40" t="n">
        <x:f>ABS(H20)</x:f>
        <x:v>2.023233032226562</x:v>
      </x:c>
      <x:c r="J20" s="40" t="n">
        <x:f>H20^2</x:f>
        <x:v>4.093471902692689</x:v>
      </x:c>
      <x:c r="K20" s="40" t="n">
        <x:f>G20-E20</x:f>
        <x:v>0</x:v>
      </x:c>
      <x:c r="L20" s="40" t="n">
        <x:f>ABS(K20)</x:f>
        <x:v>0</x:v>
      </x:c>
      <x:c r="M20" s="41" t="str">
        <x:v>lstm-soil-v1</x:v>
      </x:c>
    </x:row>
    <x:row r="21">
      <x:c r="A21" s="38" t="str">
        <x:v>7月30日现场数据</x:v>
      </x:c>
      <x:c r="B21" s="39" t="str">
        <x:v>2026-07-31T13:55:00</x:v>
      </x:c>
      <x:c r="C21" s="39" t="str">
        <x:v>2026-07-31T14:10:00</x:v>
      </x:c>
      <x:c r="D21" s="47" t="n">
        <x:v>15</x:v>
      </x:c>
      <x:c r="E21" s="40" t="n">
        <x:v>12.1</x:v>
      </x:c>
      <x:c r="F21" s="40" t="n">
        <x:v>10.149784088134766</x:v>
      </x:c>
      <x:c r="G21" s="40" t="n">
        <x:v>12.1</x:v>
      </x:c>
      <x:c r="H21" s="40" t="n">
        <x:f>F21-E21</x:f>
        <x:v>-1.950215911865234</x:v>
      </x:c>
      <x:c r="I21" s="40" t="n">
        <x:f>ABS(H21)</x:f>
        <x:v>1.950215911865234</x:v>
      </x:c>
      <x:c r="J21" s="40" t="n">
        <x:f>H21^2</x:f>
        <x:v>3.8033421028923464</x:v>
      </x:c>
      <x:c r="K21" s="40" t="n">
        <x:f>G21-E21</x:f>
        <x:v>0</x:v>
      </x:c>
      <x:c r="L21" s="40" t="n">
        <x:f>ABS(K21)</x:f>
        <x:v>0</x:v>
      </x:c>
      <x:c r="M21" s="41" t="str">
        <x:v>lstm-soil-v1</x:v>
      </x:c>
    </x:row>
    <x:row r="22">
      <x:c r="A22" s="38" t="str">
        <x:v>7月30日现场数据</x:v>
      </x:c>
      <x:c r="B22" s="39" t="str">
        <x:v>2026-07-31T13:55:00</x:v>
      </x:c>
      <x:c r="C22" s="39" t="str">
        <x:v>2026-07-31T14:25:00</x:v>
      </x:c>
      <x:c r="D22" s="47" t="n">
        <x:v>30</x:v>
      </x:c>
      <x:c r="E22" s="40" t="n">
        <x:v>12</x:v>
      </x:c>
      <x:c r="F22" s="40" t="n">
        <x:v>10.591957092285156</x:v>
      </x:c>
      <x:c r="G22" s="40" t="n">
        <x:v>12.1</x:v>
      </x:c>
      <x:c r="H22" s="40" t="n">
        <x:f>F22-E22</x:f>
        <x:v>-1.4080429077148438</x:v>
      </x:c>
      <x:c r="I22" s="40" t="n">
        <x:f>ABS(H22)</x:f>
        <x:v>1.4080429077148438</x:v>
      </x:c>
      <x:c r="J22" s="40" t="n">
        <x:f>H22^2</x:f>
        <x:v>1.982584829966072</x:v>
      </x:c>
      <x:c r="K22" s="40" t="n">
        <x:f>G22-E22</x:f>
        <x:v>0.09999999999999964</x:v>
      </x:c>
      <x:c r="L22" s="40" t="n">
        <x:f>ABS(K22)</x:f>
        <x:v>0.09999999999999964</x:v>
      </x:c>
      <x:c r="M22" s="41" t="str">
        <x:v>lstm-soil-v1</x:v>
      </x:c>
    </x:row>
    <x:row r="23">
      <x:c r="A23" s="38" t="str">
        <x:v>7月30日现场数据</x:v>
      </x:c>
      <x:c r="B23" s="39" t="str">
        <x:v>2026-07-31T13:55:00</x:v>
      </x:c>
      <x:c r="C23" s="39" t="str">
        <x:v>2026-07-31T14:55:00</x:v>
      </x:c>
      <x:c r="D23" s="47" t="n">
        <x:v>60</x:v>
      </x:c>
      <x:c r="E23" s="40" t="n">
        <x:v>12.1</x:v>
      </x:c>
      <x:c r="F23" s="40" t="n">
        <x:v>12.289745330810547</x:v>
      </x:c>
      <x:c r="G23" s="40" t="n">
        <x:v>12.1</x:v>
      </x:c>
      <x:c r="H23" s="40" t="n">
        <x:f>F23-E23</x:f>
        <x:v>0.18974533081054723</x:v>
      </x:c>
      <x:c r="I23" s="40" t="n">
        <x:f>ABS(H23)</x:f>
        <x:v>0.18974533081054723</x:v>
      </x:c>
      <x:c r="J23" s="40" t="n">
        <x:f>H23^2</x:f>
        <x:v>0.036003290564404</x:v>
      </x:c>
      <x:c r="K23" s="40" t="n">
        <x:f>G23-E23</x:f>
        <x:v>0</x:v>
      </x:c>
      <x:c r="L23" s="40" t="n">
        <x:f>ABS(K23)</x:f>
        <x:v>0</x:v>
      </x:c>
      <x:c r="M23" s="41" t="str">
        <x:v>lstm-soil-v1</x:v>
      </x:c>
    </x:row>
    <x:row r="24">
      <x:c r="A24" s="38" t="str">
        <x:v>7月30日现场数据</x:v>
      </x:c>
      <x:c r="B24" s="39" t="str">
        <x:v>2026-07-31T14:00:00</x:v>
      </x:c>
      <x:c r="C24" s="39" t="str">
        <x:v>2026-07-31T14:05:00</x:v>
      </x:c>
      <x:c r="D24" s="47" t="n">
        <x:v>5</x:v>
      </x:c>
      <x:c r="E24" s="40" t="n">
        <x:v>12.1</x:v>
      </x:c>
      <x:c r="F24" s="40" t="n">
        <x:v>10.080989837646484</x:v>
      </x:c>
      <x:c r="G24" s="40" t="n">
        <x:v>12.1</x:v>
      </x:c>
      <x:c r="H24" s="40" t="n">
        <x:f>F24-E24</x:f>
        <x:v>-2.0190101623535153</x:v>
      </x:c>
      <x:c r="I24" s="40" t="n">
        <x:f>ABS(H24)</x:f>
        <x:v>2.0190101623535153</x:v>
      </x:c>
      <x:c r="J24" s="40" t="n">
        <x:f>H24^2</x:f>
        <x:v>4.076402035686768</x:v>
      </x:c>
      <x:c r="K24" s="40" t="n">
        <x:f>G24-E24</x:f>
        <x:v>0</x:v>
      </x:c>
      <x:c r="L24" s="40" t="n">
        <x:f>ABS(K24)</x:f>
        <x:v>0</x:v>
      </x:c>
      <x:c r="M24" s="41" t="str">
        <x:v>lstm-soil-v1</x:v>
      </x:c>
    </x:row>
    <x:row r="25">
      <x:c r="A25" s="38" t="str">
        <x:v>7月30日现场数据</x:v>
      </x:c>
      <x:c r="B25" s="39" t="str">
        <x:v>2026-07-31T14:00:00</x:v>
      </x:c>
      <x:c r="C25" s="39" t="str">
        <x:v>2026-07-31T14:15:00</x:v>
      </x:c>
      <x:c r="D25" s="47" t="n">
        <x:v>15</x:v>
      </x:c>
      <x:c r="E25" s="40" t="n">
        <x:v>12.1</x:v>
      </x:c>
      <x:c r="F25" s="40" t="n">
        <x:v>10.15042495727539</x:v>
      </x:c>
      <x:c r="G25" s="40" t="n">
        <x:v>12.1</x:v>
      </x:c>
      <x:c r="H25" s="40" t="n">
        <x:f>F25-E25</x:f>
        <x:v>-1.949575042724609</x:v>
      </x:c>
      <x:c r="I25" s="40" t="n">
        <x:f>ABS(H25)</x:f>
        <x:v>1.949575042724609</x:v>
      </x:c>
      <x:c r="J25" s="40" t="n">
        <x:f>H25^2</x:f>
        <x:v>3.800842847214661</x:v>
      </x:c>
      <x:c r="K25" s="40" t="n">
        <x:f>G25-E25</x:f>
        <x:v>0</x:v>
      </x:c>
      <x:c r="L25" s="40" t="n">
        <x:f>ABS(K25)</x:f>
        <x:v>0</x:v>
      </x:c>
      <x:c r="M25" s="41" t="str">
        <x:v>lstm-soil-v1</x:v>
      </x:c>
    </x:row>
    <x:row r="26">
      <x:c r="A26" s="38" t="str">
        <x:v>7月30日现场数据</x:v>
      </x:c>
      <x:c r="B26" s="39" t="str">
        <x:v>2026-07-31T14:00:00</x:v>
      </x:c>
      <x:c r="C26" s="39" t="str">
        <x:v>2026-07-31T14:30:00</x:v>
      </x:c>
      <x:c r="D26" s="47" t="n">
        <x:v>30</x:v>
      </x:c>
      <x:c r="E26" s="40" t="n">
        <x:v>12.2</x:v>
      </x:c>
      <x:c r="F26" s="40" t="n">
        <x:v>10.597808837890625</x:v>
      </x:c>
      <x:c r="G26" s="40" t="n">
        <x:v>12.1</x:v>
      </x:c>
      <x:c r="H26" s="40" t="n">
        <x:f>F26-E26</x:f>
        <x:v>-1.6021911621093743</x:v>
      </x:c>
      <x:c r="I26" s="40" t="n">
        <x:f>ABS(H26)</x:f>
        <x:v>1.6021911621093743</x:v>
      </x:c>
      <x:c r="J26" s="40" t="n">
        <x:f>H26^2</x:f>
        <x:v>2.5670165199413875</x:v>
      </x:c>
      <x:c r="K26" s="40" t="n">
        <x:f>G26-E26</x:f>
        <x:v>-0.09999999999999964</x:v>
      </x:c>
      <x:c r="L26" s="40" t="n">
        <x:f>ABS(K26)</x:f>
        <x:v>0.09999999999999964</x:v>
      </x:c>
      <x:c r="M26" s="41" t="str">
        <x:v>lstm-soil-v1</x:v>
      </x:c>
    </x:row>
    <x:row r="27">
      <x:c r="A27" s="38" t="str">
        <x:v>7月30日现场数据</x:v>
      </x:c>
      <x:c r="B27" s="39" t="str">
        <x:v>2026-07-31T14:00:00</x:v>
      </x:c>
      <x:c r="C27" s="39" t="str">
        <x:v>2026-07-31T15:00:00</x:v>
      </x:c>
      <x:c r="D27" s="47" t="n">
        <x:v>60</x:v>
      </x:c>
      <x:c r="E27" s="40" t="n">
        <x:v>12.1</x:v>
      </x:c>
      <x:c r="F27" s="40" t="n">
        <x:v>12.300514221191406</x:v>
      </x:c>
      <x:c r="G27" s="40" t="n">
        <x:v>12.1</x:v>
      </x:c>
      <x:c r="H27" s="40" t="n">
        <x:f>F27-E27</x:f>
        <x:v>0.2005142211914066</x:v>
      </x:c>
      <x:c r="I27" s="40" t="n">
        <x:f>ABS(H27)</x:f>
        <x:v>0.2005142211914066</x:v>
      </x:c>
      <x:c r="J27" s="40" t="n">
        <x:f>H27^2</x:f>
        <x:v>0.04020595289999633</x:v>
      </x:c>
      <x:c r="K27" s="40" t="n">
        <x:f>G27-E27</x:f>
        <x:v>0</x:v>
      </x:c>
      <x:c r="L27" s="40" t="n">
        <x:f>ABS(K27)</x:f>
        <x:v>0</x:v>
      </x:c>
      <x:c r="M27" s="41" t="str">
        <x:v>lstm-soil-v1</x:v>
      </x:c>
    </x:row>
    <x:row r="28">
      <x:c r="A28" s="38" t="str">
        <x:v>7月30日现场数据</x:v>
      </x:c>
      <x:c r="B28" s="39" t="str">
        <x:v>2026-07-31T14:05:00</x:v>
      </x:c>
      <x:c r="C28" s="39" t="str">
        <x:v>2026-07-31T14:10:00</x:v>
      </x:c>
      <x:c r="D28" s="47" t="n">
        <x:v>5</x:v>
      </x:c>
      <x:c r="E28" s="40" t="n">
        <x:v>12.1</x:v>
      </x:c>
      <x:c r="F28" s="40" t="n">
        <x:v>10.081287384033203</x:v>
      </x:c>
      <x:c r="G28" s="40" t="n">
        <x:v>12.1</x:v>
      </x:c>
      <x:c r="H28" s="40" t="n">
        <x:f>F28-E28</x:f>
        <x:v>-2.0187126159667965</x:v>
      </x:c>
      <x:c r="I28" s="40" t="n">
        <x:f>ABS(H28)</x:f>
        <x:v>2.0187126159667965</x:v>
      </x:c>
      <x:c r="J28" s="40" t="n">
        <x:f>H28^2</x:f>
        <x:v>4.0752006258635065</x:v>
      </x:c>
      <x:c r="K28" s="40" t="n">
        <x:f>G28-E28</x:f>
        <x:v>0</x:v>
      </x:c>
      <x:c r="L28" s="40" t="n">
        <x:f>ABS(K28)</x:f>
        <x:v>0</x:v>
      </x:c>
      <x:c r="M28" s="41" t="str">
        <x:v>lstm-soil-v1</x:v>
      </x:c>
    </x:row>
    <x:row r="29">
      <x:c r="A29" s="38" t="str">
        <x:v>7月30日现场数据</x:v>
      </x:c>
      <x:c r="B29" s="39" t="str">
        <x:v>2026-07-31T14:05:00</x:v>
      </x:c>
      <x:c r="C29" s="39" t="str">
        <x:v>2026-07-31T14:20:00</x:v>
      </x:c>
      <x:c r="D29" s="47" t="n">
        <x:v>15</x:v>
      </x:c>
      <x:c r="E29" s="40" t="n">
        <x:v>12.1</x:v>
      </x:c>
      <x:c r="F29" s="40" t="n">
        <x:v>10.152606964111328</x:v>
      </x:c>
      <x:c r="G29" s="40" t="n">
        <x:v>12.1</x:v>
      </x:c>
      <x:c r="H29" s="40" t="n">
        <x:f>F29-E29</x:f>
        <x:v>-1.9473930358886715</x:v>
      </x:c>
      <x:c r="I29" s="40" t="n">
        <x:f>ABS(H29)</x:f>
        <x:v>1.9473930358886715</x:v>
      </x:c>
      <x:c r="J29" s="40" t="n">
        <x:f>H29^2</x:f>
        <x:v>3.792339636227697</x:v>
      </x:c>
      <x:c r="K29" s="40" t="n">
        <x:f>G29-E29</x:f>
        <x:v>0</x:v>
      </x:c>
      <x:c r="L29" s="40" t="n">
        <x:f>ABS(K29)</x:f>
        <x:v>0</x:v>
      </x:c>
      <x:c r="M29" s="41" t="str">
        <x:v>lstm-soil-v1</x:v>
      </x:c>
    </x:row>
    <x:row r="30">
      <x:c r="A30" s="38" t="str">
        <x:v>7月30日现场数据</x:v>
      </x:c>
      <x:c r="B30" s="39" t="str">
        <x:v>2026-07-31T14:05:00</x:v>
      </x:c>
      <x:c r="C30" s="39" t="str">
        <x:v>2026-07-31T14:35:00</x:v>
      </x:c>
      <x:c r="D30" s="47" t="n">
        <x:v>30</x:v>
      </x:c>
      <x:c r="E30" s="40" t="n">
        <x:v>12.2</x:v>
      </x:c>
      <x:c r="F30" s="40" t="n">
        <x:v>10.59756851196289</x:v>
      </x:c>
      <x:c r="G30" s="40" t="n">
        <x:v>12.1</x:v>
      </x:c>
      <x:c r="H30" s="40" t="n">
        <x:f>F30-E30</x:f>
        <x:v>-1.6024314880371087</x:v>
      </x:c>
      <x:c r="I30" s="40" t="n">
        <x:f>ABS(H30)</x:f>
        <x:v>1.6024314880371087</x:v>
      </x:c>
      <x:c r="J30" s="40" t="n">
        <x:f>H30^2</x:f>
        <x:v>2.5677866738528223</x:v>
      </x:c>
      <x:c r="K30" s="40" t="n">
        <x:f>G30-E30</x:f>
        <x:v>-0.09999999999999964</x:v>
      </x:c>
      <x:c r="L30" s="40" t="n">
        <x:f>ABS(K30)</x:f>
        <x:v>0.09999999999999964</x:v>
      </x:c>
      <x:c r="M30" s="41" t="str">
        <x:v>lstm-soil-v1</x:v>
      </x:c>
    </x:row>
    <x:row r="31">
      <x:c r="A31" s="38" t="str">
        <x:v>7月30日现场数据</x:v>
      </x:c>
      <x:c r="B31" s="39" t="str">
        <x:v>2026-07-31T14:05:00</x:v>
      </x:c>
      <x:c r="C31" s="39" t="str">
        <x:v>2026-07-31T15:05:00</x:v>
      </x:c>
      <x:c r="D31" s="47" t="n">
        <x:v>60</x:v>
      </x:c>
      <x:c r="E31" s="40" t="n">
        <x:v>12.1</x:v>
      </x:c>
      <x:c r="F31" s="40" t="n">
        <x:v>12.298812866210938</x:v>
      </x:c>
      <x:c r="G31" s="40" t="n">
        <x:v>12.1</x:v>
      </x:c>
      <x:c r="H31" s="40" t="n">
        <x:f>F31-E31</x:f>
        <x:v>0.19881286621093786</x:v>
      </x:c>
      <x:c r="I31" s="40" t="n">
        <x:f>ABS(H31)</x:f>
        <x:v>0.19881286621093786</x:v>
      </x:c>
      <x:c r="J31" s="40" t="n">
        <x:f>H31^2</x:f>
        <x:v>0.039526555771008276</x:v>
      </x:c>
      <x:c r="K31" s="40" t="n">
        <x:f>G31-E31</x:f>
        <x:v>0</x:v>
      </x:c>
      <x:c r="L31" s="40" t="n">
        <x:f>ABS(K31)</x:f>
        <x:v>0</x:v>
      </x:c>
      <x:c r="M31" s="41" t="str">
        <x:v>lstm-soil-v1</x:v>
      </x:c>
    </x:row>
    <x:row r="32">
      <x:c r="A32" s="38" t="str">
        <x:v>7月30日现场数据</x:v>
      </x:c>
      <x:c r="B32" s="39" t="str">
        <x:v>2026-07-31T14:10:00</x:v>
      </x:c>
      <x:c r="C32" s="39" t="str">
        <x:v>2026-07-31T14:15:00</x:v>
      </x:c>
      <x:c r="D32" s="47" t="n">
        <x:v>5</x:v>
      </x:c>
      <x:c r="E32" s="40" t="n">
        <x:v>12.1</x:v>
      </x:c>
      <x:c r="F32" s="40" t="n">
        <x:v>10.081466674804688</x:v>
      </x:c>
      <x:c r="G32" s="40" t="n">
        <x:v>12.1</x:v>
      </x:c>
      <x:c r="H32" s="40" t="n">
        <x:f>F32-E32</x:f>
        <x:v>-2.018533325195312</x:v>
      </x:c>
      <x:c r="I32" s="40" t="n">
        <x:f>ABS(H32)</x:f>
        <x:v>2.018533325195312</x:v>
      </x:c>
      <x:c r="J32" s="40" t="n">
        <x:f>H32^2</x:f>
        <x:v>4.074476784924044</x:v>
      </x:c>
      <x:c r="K32" s="40" t="n">
        <x:f>G32-E32</x:f>
        <x:v>0</x:v>
      </x:c>
      <x:c r="L32" s="40" t="n">
        <x:f>ABS(K32)</x:f>
        <x:v>0</x:v>
      </x:c>
      <x:c r="M32" s="41" t="str">
        <x:v>lstm-soil-v1</x:v>
      </x:c>
    </x:row>
    <x:row r="33">
      <x:c r="A33" s="38" t="str">
        <x:v>7月30日现场数据</x:v>
      </x:c>
      <x:c r="B33" s="39" t="str">
        <x:v>2026-07-31T14:10:00</x:v>
      </x:c>
      <x:c r="C33" s="39" t="str">
        <x:v>2026-07-31T14:25:00</x:v>
      </x:c>
      <x:c r="D33" s="47" t="n">
        <x:v>15</x:v>
      </x:c>
      <x:c r="E33" s="40" t="n">
        <x:v>12</x:v>
      </x:c>
      <x:c r="F33" s="40" t="n">
        <x:v>10.154186248779297</x:v>
      </x:c>
      <x:c r="G33" s="40" t="n">
        <x:v>12.1</x:v>
      </x:c>
      <x:c r="H33" s="40" t="n">
        <x:f>F33-E33</x:f>
        <x:v>-1.8458137512207031</x:v>
      </x:c>
      <x:c r="I33" s="40" t="n">
        <x:f>ABS(H33)</x:f>
        <x:v>1.8458137512207031</x:v>
      </x:c>
      <x:c r="J33" s="40" t="n">
        <x:f>H33^2</x:f>
        <x:v>3.4070284041954437</x:v>
      </x:c>
      <x:c r="K33" s="40" t="n">
        <x:f>G33-E33</x:f>
        <x:v>0.09999999999999964</x:v>
      </x:c>
      <x:c r="L33" s="40" t="n">
        <x:f>ABS(K33)</x:f>
        <x:v>0.09999999999999964</x:v>
      </x:c>
      <x:c r="M33" s="41" t="str">
        <x:v>lstm-soil-v1</x:v>
      </x:c>
    </x:row>
    <x:row r="34">
      <x:c r="A34" s="38" t="str">
        <x:v>7月30日现场数据</x:v>
      </x:c>
      <x:c r="B34" s="39" t="str">
        <x:v>2026-07-31T14:10:00</x:v>
      </x:c>
      <x:c r="C34" s="39" t="str">
        <x:v>2026-07-31T14:40:00</x:v>
      </x:c>
      <x:c r="D34" s="47" t="n">
        <x:v>30</x:v>
      </x:c>
      <x:c r="E34" s="40" t="n">
        <x:v>12.2</x:v>
      </x:c>
      <x:c r="F34" s="40" t="n">
        <x:v>10.59560775756836</x:v>
      </x:c>
      <x:c r="G34" s="40" t="n">
        <x:v>12.1</x:v>
      </x:c>
      <x:c r="H34" s="40" t="n">
        <x:f>F34-E34</x:f>
        <x:v>-1.60439224243164</x:v>
      </x:c>
      <x:c r="I34" s="40" t="n">
        <x:f>ABS(H34)</x:f>
        <x:v>1.60439224243164</x:v>
      </x:c>
      <x:c r="J34" s="40" t="n">
        <x:f>H34^2</x:f>
        <x:v>2.574074467574826</x:v>
      </x:c>
      <x:c r="K34" s="40" t="n">
        <x:f>G34-E34</x:f>
        <x:v>-0.09999999999999964</x:v>
      </x:c>
      <x:c r="L34" s="40" t="n">
        <x:f>ABS(K34)</x:f>
        <x:v>0.09999999999999964</x:v>
      </x:c>
      <x:c r="M34" s="41" t="str">
        <x:v>lstm-soil-v1</x:v>
      </x:c>
    </x:row>
    <x:row r="35">
      <x:c r="A35" s="38" t="str">
        <x:v>7月30日现场数据</x:v>
      </x:c>
      <x:c r="B35" s="39" t="str">
        <x:v>2026-07-31T14:10:00</x:v>
      </x:c>
      <x:c r="C35" s="39" t="str">
        <x:v>2026-07-31T15:10:00</x:v>
      </x:c>
      <x:c r="D35" s="47" t="n">
        <x:v>60</x:v>
      </x:c>
      <x:c r="E35" s="40" t="n">
        <x:v>12.1</x:v>
      </x:c>
      <x:c r="F35" s="40" t="n">
        <x:v>12.297344207763672</x:v>
      </x:c>
      <x:c r="G35" s="40" t="n">
        <x:v>12.1</x:v>
      </x:c>
      <x:c r="H35" s="40" t="n">
        <x:f>F35-E35</x:f>
        <x:v>0.19734420776367223</x:v>
      </x:c>
      <x:c r="I35" s="40" t="n">
        <x:f>ABS(H35)</x:f>
        <x:v>0.19734420776367223</x:v>
      </x:c>
      <x:c r="J35" s="40" t="n">
        <x:f>H35^2</x:f>
        <x:v>0.03894473633787143</x:v>
      </x:c>
      <x:c r="K35" s="40" t="n">
        <x:f>G35-E35</x:f>
        <x:v>0</x:v>
      </x:c>
      <x:c r="L35" s="40" t="n">
        <x:f>ABS(K35)</x:f>
        <x:v>0</x:v>
      </x:c>
      <x:c r="M35" s="41" t="str">
        <x:v>lstm-soil-v1</x:v>
      </x:c>
    </x:row>
    <x:row r="36">
      <x:c r="A36" s="38" t="str">
        <x:v>7月30日现场数据</x:v>
      </x:c>
      <x:c r="B36" s="39" t="str">
        <x:v>2026-07-31T14:15:00</x:v>
      </x:c>
      <x:c r="C36" s="39" t="str">
        <x:v>2026-07-31T14:20:00</x:v>
      </x:c>
      <x:c r="D36" s="47" t="n">
        <x:v>5</x:v>
      </x:c>
      <x:c r="E36" s="40" t="n">
        <x:v>12.1</x:v>
      </x:c>
      <x:c r="F36" s="40" t="n">
        <x:v>10.08123779296875</x:v>
      </x:c>
      <x:c r="G36" s="40" t="n">
        <x:v>12.1</x:v>
      </x:c>
      <x:c r="H36" s="40" t="n">
        <x:f>F36-E36</x:f>
        <x:v>-2.0187622070312496</x:v>
      </x:c>
      <x:c r="I36" s="40" t="n">
        <x:f>ABS(H36)</x:f>
        <x:v>2.0187622070312496</x:v>
      </x:c>
      <x:c r="J36" s="40" t="n">
        <x:f>H36^2</x:f>
        <x:v>4.075400848537682</x:v>
      </x:c>
      <x:c r="K36" s="40" t="n">
        <x:f>G36-E36</x:f>
        <x:v>0</x:v>
      </x:c>
      <x:c r="L36" s="40" t="n">
        <x:f>ABS(K36)</x:f>
        <x:v>0</x:v>
      </x:c>
      <x:c r="M36" s="41" t="str">
        <x:v>lstm-soil-v1</x:v>
      </x:c>
    </x:row>
    <x:row r="37">
      <x:c r="A37" s="38" t="str">
        <x:v>7月30日现场数据</x:v>
      </x:c>
      <x:c r="B37" s="39" t="str">
        <x:v>2026-07-31T14:15:00</x:v>
      </x:c>
      <x:c r="C37" s="39" t="str">
        <x:v>2026-07-31T14:30:00</x:v>
      </x:c>
      <x:c r="D37" s="47" t="n">
        <x:v>15</x:v>
      </x:c>
      <x:c r="E37" s="40" t="n">
        <x:v>12.2</x:v>
      </x:c>
      <x:c r="F37" s="40" t="n">
        <x:v>10.155937194824219</x:v>
      </x:c>
      <x:c r="G37" s="40" t="n">
        <x:v>12.1</x:v>
      </x:c>
      <x:c r="H37" s="40" t="n">
        <x:f>F37-E37</x:f>
        <x:v>-2.0440628051757805</x:v>
      </x:c>
      <x:c r="I37" s="40" t="n">
        <x:f>ABS(H37)</x:f>
        <x:v>2.0440628051757805</x:v>
      </x:c>
      <x:c r="J37" s="40" t="n">
        <x:f>H37^2</x:f>
        <x:v>4.178192751503081</x:v>
      </x:c>
      <x:c r="K37" s="40" t="n">
        <x:f>G37-E37</x:f>
        <x:v>-0.09999999999999964</x:v>
      </x:c>
      <x:c r="L37" s="40" t="n">
        <x:f>ABS(K37)</x:f>
        <x:v>0.09999999999999964</x:v>
      </x:c>
      <x:c r="M37" s="41" t="str">
        <x:v>lstm-soil-v1</x:v>
      </x:c>
    </x:row>
    <x:row r="38">
      <x:c r="A38" s="38" t="str">
        <x:v>7月30日现场数据</x:v>
      </x:c>
      <x:c r="B38" s="39" t="str">
        <x:v>2026-07-31T14:15:00</x:v>
      </x:c>
      <x:c r="C38" s="39" t="str">
        <x:v>2026-07-31T14:45:00</x:v>
      </x:c>
      <x:c r="D38" s="47" t="n">
        <x:v>30</x:v>
      </x:c>
      <x:c r="E38" s="40" t="n">
        <x:v>12.2</x:v>
      </x:c>
      <x:c r="F38" s="40" t="n">
        <x:v>10.592987060546875</x:v>
      </x:c>
      <x:c r="G38" s="40" t="n">
        <x:v>12.1</x:v>
      </x:c>
      <x:c r="H38" s="40" t="n">
        <x:f>F38-E38</x:f>
        <x:v>-1.6070129394531243</x:v>
      </x:c>
      <x:c r="I38" s="40" t="n">
        <x:f>ABS(H38)</x:f>
        <x:v>1.6070129394531243</x:v>
      </x:c>
      <x:c r="J38" s="40" t="n">
        <x:f>H38^2</x:f>
        <x:v>2.582490587569771</x:v>
      </x:c>
      <x:c r="K38" s="40" t="n">
        <x:f>G38-E38</x:f>
        <x:v>-0.09999999999999964</x:v>
      </x:c>
      <x:c r="L38" s="40" t="n">
        <x:f>ABS(K38)</x:f>
        <x:v>0.09999999999999964</x:v>
      </x:c>
      <x:c r="M38" s="41" t="str">
        <x:v>lstm-soil-v1</x:v>
      </x:c>
    </x:row>
    <x:row r="39">
      <x:c r="A39" s="38" t="str">
        <x:v>7月30日现场数据</x:v>
      </x:c>
      <x:c r="B39" s="39" t="str">
        <x:v>2026-07-31T14:15:00</x:v>
      </x:c>
      <x:c r="C39" s="39" t="str">
        <x:v>2026-07-31T15:15:00</x:v>
      </x:c>
      <x:c r="D39" s="47" t="n">
        <x:v>60</x:v>
      </x:c>
      <x:c r="E39" s="40" t="n">
        <x:v>12.1</x:v>
      </x:c>
      <x:c r="F39" s="40" t="n">
        <x:v>12.293888092041016</x:v>
      </x:c>
      <x:c r="G39" s="40" t="n">
        <x:v>12.1</x:v>
      </x:c>
      <x:c r="H39" s="40" t="n">
        <x:f>F39-E39</x:f>
        <x:v>0.19388809204101598</x:v>
      </x:c>
      <x:c r="I39" s="40" t="n">
        <x:f>ABS(H39)</x:f>
        <x:v>0.19388809204101598</x:v>
      </x:c>
      <x:c r="J39" s="40" t="n">
        <x:f>H39^2</x:f>
        <x:v>0.037592592235305484</x:v>
      </x:c>
      <x:c r="K39" s="40" t="n">
        <x:f>G39-E39</x:f>
        <x:v>0</x:v>
      </x:c>
      <x:c r="L39" s="40" t="n">
        <x:f>ABS(K39)</x:f>
        <x:v>0</x:v>
      </x:c>
      <x:c r="M39" s="41" t="str">
        <x:v>lstm-soil-v1</x:v>
      </x:c>
    </x:row>
    <x:row r="40">
      <x:c r="A40" s="38" t="str">
        <x:v>7月30日现场数据</x:v>
      </x:c>
      <x:c r="B40" s="39" t="str">
        <x:v>2026-07-31T14:20:00</x:v>
      </x:c>
      <x:c r="C40" s="39" t="str">
        <x:v>2026-07-31T14:25:00</x:v>
      </x:c>
      <x:c r="D40" s="47" t="n">
        <x:v>5</x:v>
      </x:c>
      <x:c r="E40" s="40" t="n">
        <x:v>12</x:v>
      </x:c>
      <x:c r="F40" s="40" t="n">
        <x:v>10.081207275390625</x:v>
      </x:c>
      <x:c r="G40" s="40" t="n">
        <x:v>12.1</x:v>
      </x:c>
      <x:c r="H40" s="40" t="n">
        <x:f>F40-E40</x:f>
        <x:v>-1.918792724609375</x:v>
      </x:c>
      <x:c r="I40" s="40" t="n">
        <x:f>ABS(H40)</x:f>
        <x:v>1.918792724609375</x:v>
      </x:c>
      <x:c r="J40" s="40" t="n">
        <x:f>H40^2</x:f>
        <x:v>3.681765520013869</x:v>
      </x:c>
      <x:c r="K40" s="40" t="n">
        <x:f>G40-E40</x:f>
        <x:v>0.09999999999999964</x:v>
      </x:c>
      <x:c r="L40" s="40" t="n">
        <x:f>ABS(K40)</x:f>
        <x:v>0.09999999999999964</x:v>
      </x:c>
      <x:c r="M40" s="41" t="str">
        <x:v>lstm-soil-v1</x:v>
      </x:c>
    </x:row>
    <x:row r="41">
      <x:c r="A41" s="38" t="str">
        <x:v>7月30日现场数据</x:v>
      </x:c>
      <x:c r="B41" s="39" t="str">
        <x:v>2026-07-31T14:20:00</x:v>
      </x:c>
      <x:c r="C41" s="39" t="str">
        <x:v>2026-07-31T14:35:00</x:v>
      </x:c>
      <x:c r="D41" s="47" t="n">
        <x:v>15</x:v>
      </x:c>
      <x:c r="E41" s="40" t="n">
        <x:v>12.2</x:v>
      </x:c>
      <x:c r="F41" s="40" t="n">
        <x:v>10.156917572021484</x:v>
      </x:c>
      <x:c r="G41" s="40" t="n">
        <x:v>12.1</x:v>
      </x:c>
      <x:c r="H41" s="40" t="n">
        <x:f>F41-E41</x:f>
        <x:v>-2.043082427978515</x:v>
      </x:c>
      <x:c r="I41" s="40" t="n">
        <x:f>ABS(H41)</x:f>
        <x:v>2.043082427978515</x:v>
      </x:c>
      <x:c r="J41" s="40" t="n">
        <x:f>H41^2</x:f>
        <x:v>4.174185807514584</x:v>
      </x:c>
      <x:c r="K41" s="40" t="n">
        <x:f>G41-E41</x:f>
        <x:v>-0.09999999999999964</x:v>
      </x:c>
      <x:c r="L41" s="40" t="n">
        <x:f>ABS(K41)</x:f>
        <x:v>0.09999999999999964</x:v>
      </x:c>
      <x:c r="M41" s="41" t="str">
        <x:v>lstm-soil-v1</x:v>
      </x:c>
    </x:row>
    <x:row r="42">
      <x:c r="A42" s="38" t="str">
        <x:v>7月30日现场数据</x:v>
      </x:c>
      <x:c r="B42" s="39" t="str">
        <x:v>2026-07-31T14:20:00</x:v>
      </x:c>
      <x:c r="C42" s="39" t="str">
        <x:v>2026-07-31T14:50:00</x:v>
      </x:c>
      <x:c r="D42" s="47" t="n">
        <x:v>30</x:v>
      </x:c>
      <x:c r="E42" s="40" t="n">
        <x:v>12.2</x:v>
      </x:c>
      <x:c r="F42" s="40" t="n">
        <x:v>10.590412139892578</x:v>
      </x:c>
      <x:c r="G42" s="40" t="n">
        <x:v>12.1</x:v>
      </x:c>
      <x:c r="H42" s="40" t="n">
        <x:f>F42-E42</x:f>
        <x:v>-1.6095878601074212</x:v>
      </x:c>
      <x:c r="I42" s="40" t="n">
        <x:f>ABS(H42)</x:f>
        <x:v>1.6095878601074212</x:v>
      </x:c>
      <x:c r="J42" s="40" t="n">
        <x:f>H42^2</x:f>
        <x:v>2.5907730794051873</x:v>
      </x:c>
      <x:c r="K42" s="40" t="n">
        <x:f>G42-E42</x:f>
        <x:v>-0.09999999999999964</x:v>
      </x:c>
      <x:c r="L42" s="40" t="n">
        <x:f>ABS(K42)</x:f>
        <x:v>0.09999999999999964</x:v>
      </x:c>
      <x:c r="M42" s="41" t="str">
        <x:v>lstm-soil-v1</x:v>
      </x:c>
    </x:row>
    <x:row r="43">
      <x:c r="A43" s="38" t="str">
        <x:v>7月30日现场数据</x:v>
      </x:c>
      <x:c r="B43" s="39" t="str">
        <x:v>2026-07-31T14:20:00</x:v>
      </x:c>
      <x:c r="C43" s="39" t="str">
        <x:v>2026-07-31T15:20:00</x:v>
      </x:c>
      <x:c r="D43" s="47" t="n">
        <x:v>60</x:v>
      </x:c>
      <x:c r="E43" s="40" t="n">
        <x:v>12.1</x:v>
      </x:c>
      <x:c r="F43" s="40" t="n">
        <x:v>12.290962219238281</x:v>
      </x:c>
      <x:c r="G43" s="40" t="n">
        <x:v>12.1</x:v>
      </x:c>
      <x:c r="H43" s="40" t="n">
        <x:f>F43-E43</x:f>
        <x:v>0.1909622192382816</x:v>
      </x:c>
      <x:c r="I43" s="40" t="n">
        <x:f>ABS(H43)</x:f>
        <x:v>0.1909622192382816</x:v>
      </x:c>
      <x:c r="J43" s="40" t="n">
        <x:f>H43^2</x:f>
        <x:v>0.03646656917640953</x:v>
      </x:c>
      <x:c r="K43" s="40" t="n">
        <x:f>G43-E43</x:f>
        <x:v>0</x:v>
      </x:c>
      <x:c r="L43" s="40" t="n">
        <x:f>ABS(K43)</x:f>
        <x:v>0</x:v>
      </x:c>
      <x:c r="M43" s="41" t="str">
        <x:v>lstm-soil-v1</x:v>
      </x:c>
    </x:row>
    <x:row r="44">
      <x:c r="A44" s="38" t="str">
        <x:v>7月30日现场数据</x:v>
      </x:c>
      <x:c r="B44" s="39" t="str">
        <x:v>2026-07-31T14:25:00</x:v>
      </x:c>
      <x:c r="C44" s="39" t="str">
        <x:v>2026-07-31T14:30:00</x:v>
      </x:c>
      <x:c r="D44" s="47" t="n">
        <x:v>5</x:v>
      </x:c>
      <x:c r="E44" s="40" t="n">
        <x:v>12.2</x:v>
      </x:c>
      <x:c r="F44" s="40" t="n">
        <x:v>9.97049331665039</x:v>
      </x:c>
      <x:c r="G44" s="40" t="n">
        <x:v>12</x:v>
      </x:c>
      <x:c r="H44" s="40" t="n">
        <x:f>F44-E44</x:f>
        <x:v>-2.2295066833496087</x:v>
      </x:c>
      <x:c r="I44" s="40" t="n">
        <x:f>ABS(H44)</x:f>
        <x:v>2.2295066833496087</x:v>
      </x:c>
      <x:c r="J44" s="40" t="n">
        <x:f>H44^2</x:f>
        <x:v>4.970700051100573</x:v>
      </x:c>
      <x:c r="K44" s="40" t="n">
        <x:f>G44-E44</x:f>
        <x:v>-0.1999999999999993</x:v>
      </x:c>
      <x:c r="L44" s="40" t="n">
        <x:f>ABS(K44)</x:f>
        <x:v>0.1999999999999993</x:v>
      </x:c>
      <x:c r="M44" s="41" t="str">
        <x:v>lstm-soil-v1</x:v>
      </x:c>
    </x:row>
    <x:row r="45">
      <x:c r="A45" s="38" t="str">
        <x:v>7月30日现场数据</x:v>
      </x:c>
      <x:c r="B45" s="39" t="str">
        <x:v>2026-07-31T14:25:00</x:v>
      </x:c>
      <x:c r="C45" s="39" t="str">
        <x:v>2026-07-31T14:40:00</x:v>
      </x:c>
      <x:c r="D45" s="47" t="n">
        <x:v>15</x:v>
      </x:c>
      <x:c r="E45" s="40" t="n">
        <x:v>12.2</x:v>
      </x:c>
      <x:c r="F45" s="40" t="n">
        <x:v>10.049888610839844</x:v>
      </x:c>
      <x:c r="G45" s="40" t="n">
        <x:v>12</x:v>
      </x:c>
      <x:c r="H45" s="40" t="n">
        <x:f>F45-E45</x:f>
        <x:v>-2.1501113891601555</x:v>
      </x:c>
      <x:c r="I45" s="40" t="n">
        <x:f>ABS(H45)</x:f>
        <x:v>2.1501113891601555</x:v>
      </x:c>
      <x:c r="J45" s="40" t="n">
        <x:f>H45^2</x:f>
        <x:v>4.622978985796214</x:v>
      </x:c>
      <x:c r="K45" s="40" t="n">
        <x:f>G45-E45</x:f>
        <x:v>-0.1999999999999993</x:v>
      </x:c>
      <x:c r="L45" s="40" t="n">
        <x:f>ABS(K45)</x:f>
        <x:v>0.1999999999999993</x:v>
      </x:c>
      <x:c r="M45" s="41" t="str">
        <x:v>lstm-soil-v1</x:v>
      </x:c>
    </x:row>
    <x:row r="46">
      <x:c r="A46" s="38" t="str">
        <x:v>7月30日现场数据</x:v>
      </x:c>
      <x:c r="B46" s="39" t="str">
        <x:v>2026-07-31T14:25:00</x:v>
      </x:c>
      <x:c r="C46" s="39" t="str">
        <x:v>2026-07-31T14:55:00</x:v>
      </x:c>
      <x:c r="D46" s="47" t="n">
        <x:v>30</x:v>
      </x:c>
      <x:c r="E46" s="40" t="n">
        <x:v>12.1</x:v>
      </x:c>
      <x:c r="F46" s="40" t="n">
        <x:v>10.47799301147461</x:v>
      </x:c>
      <x:c r="G46" s="40" t="n">
        <x:v>12</x:v>
      </x:c>
      <x:c r="H46" s="40" t="n">
        <x:f>F46-E46</x:f>
        <x:v>-1.6220069885253903</x:v>
      </x:c>
      <x:c r="I46" s="40" t="n">
        <x:f>ABS(H46)</x:f>
        <x:v>1.6220069885253903</x:v>
      </x:c>
      <x:c r="J46" s="40" t="n">
        <x:f>H46^2</x:f>
        <x:v>2.6309066708252056</x:v>
      </x:c>
      <x:c r="K46" s="40" t="n">
        <x:f>G46-E46</x:f>
        <x:v>-0.09999999999999964</x:v>
      </x:c>
      <x:c r="L46" s="40" t="n">
        <x:f>ABS(K46)</x:f>
        <x:v>0.09999999999999964</x:v>
      </x:c>
      <x:c r="M46" s="41" t="str">
        <x:v>lstm-soil-v1</x:v>
      </x:c>
    </x:row>
    <x:row r="47">
      <x:c r="A47" s="38" t="str">
        <x:v>7月30日现场数据</x:v>
      </x:c>
      <x:c r="B47" s="39" t="str">
        <x:v>2026-07-31T14:25:00</x:v>
      </x:c>
      <x:c r="C47" s="39" t="str">
        <x:v>2026-07-31T15:25:00</x:v>
      </x:c>
      <x:c r="D47" s="47" t="n">
        <x:v>60</x:v>
      </x:c>
      <x:c r="E47" s="40" t="n">
        <x:v>12.1</x:v>
      </x:c>
      <x:c r="F47" s="40" t="n">
        <x:v>12.180343627929688</x:v>
      </x:c>
      <x:c r="G47" s="40" t="n">
        <x:v>12</x:v>
      </x:c>
      <x:c r="H47" s="40" t="n">
        <x:f>F47-E47</x:f>
        <x:v>0.08034362792968786</x:v>
      </x:c>
      <x:c r="I47" s="40" t="n">
        <x:f>ABS(H47)</x:f>
        <x:v>0.08034362792968786</x:v>
      </x:c>
      <x:c r="J47" s="40" t="n">
        <x:f>H47^2</x:f>
        <x:v>0.006455098548904119</x:v>
      </x:c>
      <x:c r="K47" s="40" t="n">
        <x:f>G47-E47</x:f>
        <x:v>-0.09999999999999964</x:v>
      </x:c>
      <x:c r="L47" s="40" t="n">
        <x:f>ABS(K47)</x:f>
        <x:v>0.09999999999999964</x:v>
      </x:c>
      <x:c r="M47" s="41" t="str">
        <x:v>lstm-soil-v1</x:v>
      </x:c>
    </x:row>
    <x:row r="48">
      <x:c r="A48" s="38" t="str">
        <x:v>7月30日现场数据</x:v>
      </x:c>
      <x:c r="B48" s="39" t="str">
        <x:v>2026-07-31T14:30:00</x:v>
      </x:c>
      <x:c r="C48" s="39" t="str">
        <x:v>2026-07-31T14:35:00</x:v>
      </x:c>
      <x:c r="D48" s="47" t="n">
        <x:v>5</x:v>
      </x:c>
      <x:c r="E48" s="40" t="n">
        <x:v>12.2</x:v>
      </x:c>
      <x:c r="F48" s="40" t="n">
        <x:v>10.19076156616211</x:v>
      </x:c>
      <x:c r="G48" s="40" t="n">
        <x:v>12.2</x:v>
      </x:c>
      <x:c r="H48" s="40" t="n">
        <x:f>F48-E48</x:f>
        <x:v>-2.00923843383789</x:v>
      </x:c>
      <x:c r="I48" s="40" t="n">
        <x:f>ABS(H48)</x:f>
        <x:v>2.00923843383789</x:v>
      </x:c>
      <x:c r="J48" s="40" t="n">
        <x:f>H48^2</x:f>
        <x:v>4.037039084011337</x:v>
      </x:c>
      <x:c r="K48" s="40" t="n">
        <x:f>G48-E48</x:f>
        <x:v>0</x:v>
      </x:c>
      <x:c r="L48" s="40" t="n">
        <x:f>ABS(K48)</x:f>
        <x:v>0</x:v>
      </x:c>
      <x:c r="M48" s="41" t="str">
        <x:v>lstm-soil-v1</x:v>
      </x:c>
    </x:row>
    <x:row r="49">
      <x:c r="A49" s="38" t="str">
        <x:v>7月30日现场数据</x:v>
      </x:c>
      <x:c r="B49" s="39" t="str">
        <x:v>2026-07-31T14:30:00</x:v>
      </x:c>
      <x:c r="C49" s="39" t="str">
        <x:v>2026-07-31T14:45:00</x:v>
      </x:c>
      <x:c r="D49" s="47" t="n">
        <x:v>15</x:v>
      </x:c>
      <x:c r="E49" s="40" t="n">
        <x:v>12.2</x:v>
      </x:c>
      <x:c r="F49" s="40" t="n">
        <x:v>10.279090881347656</x:v>
      </x:c>
      <x:c r="G49" s="40" t="n">
        <x:v>12.2</x:v>
      </x:c>
      <x:c r="H49" s="40" t="n">
        <x:f>F49-E49</x:f>
        <x:v>-1.920909118652343</x:v>
      </x:c>
      <x:c r="I49" s="40" t="n">
        <x:f>ABS(H49)</x:f>
        <x:v>1.920909118652343</x:v>
      </x:c>
      <x:c r="J49" s="40" t="n">
        <x:f>H49^2</x:f>
        <x:v>3.6898918421217215</x:v>
      </x:c>
      <x:c r="K49" s="40" t="n">
        <x:f>G49-E49</x:f>
        <x:v>0</x:v>
      </x:c>
      <x:c r="L49" s="40" t="n">
        <x:f>ABS(K49)</x:f>
        <x:v>0</x:v>
      </x:c>
      <x:c r="M49" s="41" t="str">
        <x:v>lstm-soil-v1</x:v>
      </x:c>
    </x:row>
    <x:row r="50">
      <x:c r="A50" s="38" t="str">
        <x:v>7月30日现场数据</x:v>
      </x:c>
      <x:c r="B50" s="39" t="str">
        <x:v>2026-07-31T14:30:00</x:v>
      </x:c>
      <x:c r="C50" s="39" t="str">
        <x:v>2026-07-31T15:00:00</x:v>
      </x:c>
      <x:c r="D50" s="47" t="n">
        <x:v>30</x:v>
      </x:c>
      <x:c r="E50" s="40" t="n">
        <x:v>12.1</x:v>
      </x:c>
      <x:c r="F50" s="40" t="n">
        <x:v>10.69622802734375</x:v>
      </x:c>
      <x:c r="G50" s="40" t="n">
        <x:v>12.2</x:v>
      </x:c>
      <x:c r="H50" s="40" t="n">
        <x:f>F50-E50</x:f>
        <x:v>-1.4037719726562496</x:v>
      </x:c>
      <x:c r="I50" s="40" t="n">
        <x:f>ABS(H50)</x:f>
        <x:v>1.4037719726562496</x:v>
      </x:c>
      <x:c r="J50" s="40" t="n">
        <x:f>H50^2</x:f>
        <x:v>1.9705757512152184</x:v>
      </x:c>
      <x:c r="K50" s="40" t="n">
        <x:f>G50-E50</x:f>
        <x:v>0.09999999999999964</x:v>
      </x:c>
      <x:c r="L50" s="40" t="n">
        <x:f>ABS(K50)</x:f>
        <x:v>0.09999999999999964</x:v>
      </x:c>
      <x:c r="M50" s="41" t="str">
        <x:v>lstm-soil-v1</x:v>
      </x:c>
    </x:row>
    <x:row r="51">
      <x:c r="A51" s="38" t="str">
        <x:v>7月30日现场数据</x:v>
      </x:c>
      <x:c r="B51" s="39" t="str">
        <x:v>2026-07-31T14:30:00</x:v>
      </x:c>
      <x:c r="C51" s="39" t="str">
        <x:v>2026-07-31T15:30:00</x:v>
      </x:c>
      <x:c r="D51" s="47" t="n">
        <x:v>60</x:v>
      </x:c>
      <x:c r="E51" s="40" t="n">
        <x:v>12</x:v>
      </x:c>
      <x:c r="F51" s="40" t="n">
        <x:v>12.400737762451172</x:v>
      </x:c>
      <x:c r="G51" s="40" t="n">
        <x:v>12.2</x:v>
      </x:c>
      <x:c r="H51" s="40" t="n">
        <x:f>F51-E51</x:f>
        <x:v>0.4007377624511719</x:v>
      </x:c>
      <x:c r="I51" s="40" t="n">
        <x:f>ABS(H51)</x:f>
        <x:v>0.4007377624511719</x:v>
      </x:c>
      <x:c r="J51" s="40" t="n">
        <x:f>H51^2</x:f>
        <x:v>0.16059075425437186</x:v>
      </x:c>
      <x:c r="K51" s="40" t="n">
        <x:f>G51-E51</x:f>
        <x:v>0.1999999999999993</x:v>
      </x:c>
      <x:c r="L51" s="40" t="n">
        <x:f>ABS(K51)</x:f>
        <x:v>0.1999999999999993</x:v>
      </x:c>
      <x:c r="M51" s="41" t="str">
        <x:v>lstm-soil-v1</x:v>
      </x:c>
    </x:row>
    <x:row r="52">
      <x:c r="A52" s="38" t="str">
        <x:v>7月30日现场数据</x:v>
      </x:c>
      <x:c r="B52" s="39" t="str">
        <x:v>2026-07-31T14:35:00</x:v>
      </x:c>
      <x:c r="C52" s="39" t="str">
        <x:v>2026-07-31T14:40:00</x:v>
      </x:c>
      <x:c r="D52" s="47" t="n">
        <x:v>5</x:v>
      </x:c>
      <x:c r="E52" s="40" t="n">
        <x:v>12.2</x:v>
      </x:c>
      <x:c r="F52" s="40" t="n">
        <x:v>10.18613052368164</x:v>
      </x:c>
      <x:c r="G52" s="40" t="n">
        <x:v>12.2</x:v>
      </x:c>
      <x:c r="H52" s="40" t="n">
        <x:f>F52-E52</x:f>
        <x:v>-2.0138694763183587</x:v>
      </x:c>
      <x:c r="I52" s="40" t="n">
        <x:f>ABS(H52)</x:f>
        <x:v>2.0138694763183587</x:v>
      </x:c>
      <x:c r="J52" s="40" t="n">
        <x:f>H52^2</x:f>
        <x:v>4.05567026764678</x:v>
      </x:c>
      <x:c r="K52" s="40" t="n">
        <x:f>G52-E52</x:f>
        <x:v>0</x:v>
      </x:c>
      <x:c r="L52" s="40" t="n">
        <x:f>ABS(K52)</x:f>
        <x:v>0</x:v>
      </x:c>
      <x:c r="M52" s="41" t="str">
        <x:v>lstm-soil-v1</x:v>
      </x:c>
    </x:row>
    <x:row r="53">
      <x:c r="A53" s="38" t="str">
        <x:v>7月30日现场数据</x:v>
      </x:c>
      <x:c r="B53" s="39" t="str">
        <x:v>2026-07-31T14:35:00</x:v>
      </x:c>
      <x:c r="C53" s="39" t="str">
        <x:v>2026-07-31T14:50:00</x:v>
      </x:c>
      <x:c r="D53" s="47" t="n">
        <x:v>15</x:v>
      </x:c>
      <x:c r="E53" s="40" t="n">
        <x:v>12.2</x:v>
      </x:c>
      <x:c r="F53" s="40" t="n">
        <x:v>10.279502868652344</x:v>
      </x:c>
      <x:c r="G53" s="40" t="n">
        <x:v>12.2</x:v>
      </x:c>
      <x:c r="H53" s="40" t="n">
        <x:f>F53-E53</x:f>
        <x:v>-1.9204971313476555</x:v>
      </x:c>
      <x:c r="I53" s="40" t="n">
        <x:f>ABS(H53)</x:f>
        <x:v>1.9204971313476555</x:v>
      </x:c>
      <x:c r="J53" s="40" t="n">
        <x:f>H53^2</x:f>
        <x:v>3.688309231514574</x:v>
      </x:c>
      <x:c r="K53" s="40" t="n">
        <x:f>G53-E53</x:f>
        <x:v>0</x:v>
      </x:c>
      <x:c r="L53" s="40" t="n">
        <x:f>ABS(K53)</x:f>
        <x:v>0</x:v>
      </x:c>
      <x:c r="M53" s="41" t="str">
        <x:v>lstm-soil-v1</x:v>
      </x:c>
    </x:row>
    <x:row r="54">
      <x:c r="A54" s="38" t="str">
        <x:v>7月30日现场数据</x:v>
      </x:c>
      <x:c r="B54" s="39" t="str">
        <x:v>2026-07-31T14:35:00</x:v>
      </x:c>
      <x:c r="C54" s="39" t="str">
        <x:v>2026-07-31T15:05:00</x:v>
      </x:c>
      <x:c r="D54" s="47" t="n">
        <x:v>30</x:v>
      </x:c>
      <x:c r="E54" s="40" t="n">
        <x:v>12.1</x:v>
      </x:c>
      <x:c r="F54" s="40" t="n">
        <x:v>10.687583923339844</x:v>
      </x:c>
      <x:c r="G54" s="40" t="n">
        <x:v>12.2</x:v>
      </x:c>
      <x:c r="H54" s="40" t="n">
        <x:f>F54-E54</x:f>
        <x:v>-1.412416076660156</x:v>
      </x:c>
      <x:c r="I54" s="40" t="n">
        <x:f>ABS(H54)</x:f>
        <x:v>1.412416076660156</x:v>
      </x:c>
      <x:c r="J54" s="40" t="n">
        <x:f>H54^2</x:f>
        <x:v>1.9949191736080674</x:v>
      </x:c>
      <x:c r="K54" s="40" t="n">
        <x:f>G54-E54</x:f>
        <x:v>0.09999999999999964</x:v>
      </x:c>
      <x:c r="L54" s="40" t="n">
        <x:f>ABS(K54)</x:f>
        <x:v>0.09999999999999964</x:v>
      </x:c>
      <x:c r="M54" s="41" t="str">
        <x:v>lstm-soil-v1</x:v>
      </x:c>
    </x:row>
    <x:row r="55">
      <x:c r="A55" s="38" t="str">
        <x:v>7月30日现场数据</x:v>
      </x:c>
      <x:c r="B55" s="39" t="str">
        <x:v>2026-07-31T14:35:00</x:v>
      </x:c>
      <x:c r="C55" s="39" t="str">
        <x:v>2026-07-31T15:35:00</x:v>
      </x:c>
      <x:c r="D55" s="47" t="n">
        <x:v>60</x:v>
      </x:c>
      <x:c r="E55" s="40" t="n">
        <x:v>12.1</x:v>
      </x:c>
      <x:c r="F55" s="40" t="n">
        <x:v>12.387584686279297</x:v>
      </x:c>
      <x:c r="G55" s="40" t="n">
        <x:v>12.2</x:v>
      </x:c>
      <x:c r="H55" s="40" t="n">
        <x:f>F55-E55</x:f>
        <x:v>0.28758468627929723</x:v>
      </x:c>
      <x:c r="I55" s="40" t="n">
        <x:f>ABS(H55)</x:f>
        <x:v>0.28758468627929723</x:v>
      </x:c>
      <x:c r="J55" s="40" t="n">
        <x:f>H55^2</x:f>
        <x:v>0.08270495178236181</x:v>
      </x:c>
      <x:c r="K55" s="40" t="n">
        <x:f>G55-E55</x:f>
        <x:v>0.09999999999999964</x:v>
      </x:c>
      <x:c r="L55" s="40" t="n">
        <x:f>ABS(K55)</x:f>
        <x:v>0.09999999999999964</x:v>
      </x:c>
      <x:c r="M55" s="41" t="str">
        <x:v>lstm-soil-v1</x:v>
      </x:c>
    </x:row>
    <x:row r="56">
      <x:c r="A56" s="38" t="str">
        <x:v>7月30日现场数据</x:v>
      </x:c>
      <x:c r="B56" s="39" t="str">
        <x:v>2026-07-31T14:40:00</x:v>
      </x:c>
      <x:c r="C56" s="39" t="str">
        <x:v>2026-07-31T14:45:00</x:v>
      </x:c>
      <x:c r="D56" s="47" t="n">
        <x:v>5</x:v>
      </x:c>
      <x:c r="E56" s="40" t="n">
        <x:v>12.2</x:v>
      </x:c>
      <x:c r="F56" s="40" t="n">
        <x:v>10.1849365234375</x:v>
      </x:c>
      <x:c r="G56" s="40" t="n">
        <x:v>12.2</x:v>
      </x:c>
      <x:c r="H56" s="40" t="n">
        <x:f>F56-E56</x:f>
        <x:v>-2.0150634765624993</x:v>
      </x:c>
      <x:c r="I56" s="40" t="n">
        <x:f>ABS(H56)</x:f>
        <x:v>2.0150634765624993</x:v>
      </x:c>
      <x:c r="J56" s="40" t="n">
        <x:f>H56^2</x:f>
        <x:v>4.060480814576146</x:v>
      </x:c>
      <x:c r="K56" s="40" t="n">
        <x:f>G56-E56</x:f>
        <x:v>0</x:v>
      </x:c>
      <x:c r="L56" s="40" t="n">
        <x:f>ABS(K56)</x:f>
        <x:v>0</x:v>
      </x:c>
      <x:c r="M56" s="41" t="str">
        <x:v>lstm-soil-v1</x:v>
      </x:c>
    </x:row>
    <x:row r="57">
      <x:c r="A57" s="38" t="str">
        <x:v>7月30日现场数据</x:v>
      </x:c>
      <x:c r="B57" s="39" t="str">
        <x:v>2026-07-31T14:40:00</x:v>
      </x:c>
      <x:c r="C57" s="39" t="str">
        <x:v>2026-07-31T14:55:00</x:v>
      </x:c>
      <x:c r="D57" s="47" t="n">
        <x:v>15</x:v>
      </x:c>
      <x:c r="E57" s="40" t="n">
        <x:v>12.1</x:v>
      </x:c>
      <x:c r="F57" s="40" t="n">
        <x:v>10.275909423828125</x:v>
      </x:c>
      <x:c r="G57" s="40" t="n">
        <x:v>12.2</x:v>
      </x:c>
      <x:c r="H57" s="40" t="n">
        <x:f>F57-E57</x:f>
        <x:v>-1.8240905761718746</x:v>
      </x:c>
      <x:c r="I57" s="40" t="n">
        <x:f>ABS(H57)</x:f>
        <x:v>1.8240905761718746</x:v>
      </x:c>
      <x:c r="J57" s="40" t="n">
        <x:f>H57^2</x:f>
        <x:v>3.327306430079042</x:v>
      </x:c>
      <x:c r="K57" s="40" t="n">
        <x:f>G57-E57</x:f>
        <x:v>0.09999999999999964</x:v>
      </x:c>
      <x:c r="L57" s="40" t="n">
        <x:f>ABS(K57)</x:f>
        <x:v>0.09999999999999964</x:v>
      </x:c>
      <x:c r="M57" s="41" t="str">
        <x:v>lstm-soil-v1</x:v>
      </x:c>
    </x:row>
    <x:row r="58">
      <x:c r="A58" s="38" t="str">
        <x:v>7月30日现场数据</x:v>
      </x:c>
      <x:c r="B58" s="39" t="str">
        <x:v>2026-07-31T14:40:00</x:v>
      </x:c>
      <x:c r="C58" s="39" t="str">
        <x:v>2026-07-31T15:10:00</x:v>
      </x:c>
      <x:c r="D58" s="47" t="n">
        <x:v>30</x:v>
      </x:c>
      <x:c r="E58" s="40" t="n">
        <x:v>12.1</x:v>
      </x:c>
      <x:c r="F58" s="40" t="n">
        <x:v>10.68292236328125</x:v>
      </x:c>
      <x:c r="G58" s="40" t="n">
        <x:v>12.2</x:v>
      </x:c>
      <x:c r="H58" s="40" t="n">
        <x:f>F58-E58</x:f>
        <x:v>-1.4170776367187496</x:v>
      </x:c>
      <x:c r="I58" s="40" t="n">
        <x:f>ABS(H58)</x:f>
        <x:v>1.4170776367187496</x:v>
      </x:c>
      <x:c r="J58" s="40" t="n">
        <x:f>H58^2</x:f>
        <x:v>2.0081090284883967</x:v>
      </x:c>
      <x:c r="K58" s="40" t="n">
        <x:f>G58-E58</x:f>
        <x:v>0.09999999999999964</x:v>
      </x:c>
      <x:c r="L58" s="40" t="n">
        <x:f>ABS(K58)</x:f>
        <x:v>0.09999999999999964</x:v>
      </x:c>
      <x:c r="M58" s="41" t="str">
        <x:v>lstm-soil-v1</x:v>
      </x:c>
    </x:row>
    <x:row r="59">
      <x:c r="A59" s="38" t="str">
        <x:v>7月30日现场数据</x:v>
      </x:c>
      <x:c r="B59" s="39" t="str">
        <x:v>2026-07-31T14:40:00</x:v>
      </x:c>
      <x:c r="C59" s="39" t="str">
        <x:v>2026-07-31T15:40:00</x:v>
      </x:c>
      <x:c r="D59" s="47" t="n">
        <x:v>60</x:v>
      </x:c>
      <x:c r="E59" s="40" t="n">
        <x:v>12.1</x:v>
      </x:c>
      <x:c r="F59" s="40" t="n">
        <x:v>12.378860473632812</x:v>
      </x:c>
      <x:c r="G59" s="40" t="n">
        <x:v>12.2</x:v>
      </x:c>
      <x:c r="H59" s="40" t="n">
        <x:f>F59-E59</x:f>
        <x:v>0.27886047363281286</x:v>
      </x:c>
      <x:c r="I59" s="40" t="n">
        <x:f>ABS(H59)</x:f>
        <x:v>0.27886047363281286</x:v>
      </x:c>
      <x:c r="J59" s="40" t="n">
        <x:f>H59^2</x:f>
        <x:v>0.07776316375471672</x:v>
      </x:c>
      <x:c r="K59" s="40" t="n">
        <x:f>G59-E59</x:f>
        <x:v>0.09999999999999964</x:v>
      </x:c>
      <x:c r="L59" s="40" t="n">
        <x:f>ABS(K59)</x:f>
        <x:v>0.09999999999999964</x:v>
      </x:c>
      <x:c r="M59" s="41" t="str">
        <x:v>lstm-soil-v1</x:v>
      </x:c>
    </x:row>
    <x:row r="60">
      <x:c r="A60" s="38" t="str">
        <x:v>7月30日现场数据</x:v>
      </x:c>
      <x:c r="B60" s="39" t="str">
        <x:v>2026-07-31T14:45:00</x:v>
      </x:c>
      <x:c r="C60" s="39" t="str">
        <x:v>2026-07-31T14:50:00</x:v>
      </x:c>
      <x:c r="D60" s="47" t="n">
        <x:v>5</x:v>
      </x:c>
      <x:c r="E60" s="40" t="n">
        <x:v>12.2</x:v>
      </x:c>
      <x:c r="F60" s="40" t="n">
        <x:v>10.186344146728516</x:v>
      </x:c>
      <x:c r="G60" s="40" t="n">
        <x:v>12.2</x:v>
      </x:c>
      <x:c r="H60" s="40" t="n">
        <x:f>F60-E60</x:f>
        <x:v>-2.0136558532714837</x:v>
      </x:c>
      <x:c r="I60" s="40" t="n">
        <x:f>ABS(H60)</x:f>
        <x:v>2.0136558532714837</x:v>
      </x:c>
      <x:c r="J60" s="40" t="n">
        <x:f>H60^2</x:f>
        <x:v>4.054809895414507</x:v>
      </x:c>
      <x:c r="K60" s="40" t="n">
        <x:f>G60-E60</x:f>
        <x:v>0</x:v>
      </x:c>
      <x:c r="L60" s="40" t="n">
        <x:f>ABS(K60)</x:f>
        <x:v>0</x:v>
      </x:c>
      <x:c r="M60" s="41" t="str">
        <x:v>lstm-soil-v1</x:v>
      </x:c>
    </x:row>
    <x:row r="61">
      <x:c r="A61" s="38" t="str">
        <x:v>7月30日现场数据</x:v>
      </x:c>
      <x:c r="B61" s="39" t="str">
        <x:v>2026-07-31T14:45:00</x:v>
      </x:c>
      <x:c r="C61" s="39" t="str">
        <x:v>2026-07-31T15:00:00</x:v>
      </x:c>
      <x:c r="D61" s="47" t="n">
        <x:v>15</x:v>
      </x:c>
      <x:c r="E61" s="40" t="n">
        <x:v>12.1</x:v>
      </x:c>
      <x:c r="F61" s="40" t="n">
        <x:v>10.27315902709961</x:v>
      </x:c>
      <x:c r="G61" s="40" t="n">
        <x:v>12.2</x:v>
      </x:c>
      <x:c r="H61" s="40" t="n">
        <x:f>F61-E61</x:f>
        <x:v>-1.8268409729003903</x:v>
      </x:c>
      <x:c r="I61" s="40" t="n">
        <x:f>ABS(H61)</x:f>
        <x:v>1.8268409729003903</x:v>
      </x:c>
      <x:c r="J61" s="40" t="n">
        <x:f>H61^2</x:f>
        <x:v>3.3373479402676445</x:v>
      </x:c>
      <x:c r="K61" s="40" t="n">
        <x:f>G61-E61</x:f>
        <x:v>0.09999999999999964</x:v>
      </x:c>
      <x:c r="L61" s="40" t="n">
        <x:f>ABS(K61)</x:f>
        <x:v>0.09999999999999964</x:v>
      </x:c>
      <x:c r="M61" s="41" t="str">
        <x:v>lstm-soil-v1</x:v>
      </x:c>
    </x:row>
    <x:row r="62">
      <x:c r="A62" s="38" t="str">
        <x:v>7月30日现场数据</x:v>
      </x:c>
      <x:c r="B62" s="39" t="str">
        <x:v>2026-07-31T14:45:00</x:v>
      </x:c>
      <x:c r="C62" s="39" t="str">
        <x:v>2026-07-31T15:15:00</x:v>
      </x:c>
      <x:c r="D62" s="47" t="n">
        <x:v>30</x:v>
      </x:c>
      <x:c r="E62" s="40" t="n">
        <x:v>12.1</x:v>
      </x:c>
      <x:c r="F62" s="40" t="n">
        <x:v>10.682044982910156</x:v>
      </x:c>
      <x:c r="G62" s="40" t="n">
        <x:v>12.2</x:v>
      </x:c>
      <x:c r="H62" s="40" t="n">
        <x:f>F62-E62</x:f>
        <x:v>-1.4179550170898434</x:v>
      </x:c>
      <x:c r="I62" s="40" t="n">
        <x:f>ABS(H62)</x:f>
        <x:v>1.4179550170898434</x:v>
      </x:c>
      <x:c r="J62" s="40" t="n">
        <x:f>H62^2</x:f>
        <x:v>2.010596430490258</x:v>
      </x:c>
      <x:c r="K62" s="40" t="n">
        <x:f>G62-E62</x:f>
        <x:v>0.09999999999999964</x:v>
      </x:c>
      <x:c r="L62" s="40" t="n">
        <x:f>ABS(K62)</x:f>
        <x:v>0.09999999999999964</x:v>
      </x:c>
      <x:c r="M62" s="41" t="str">
        <x:v>lstm-soil-v1</x:v>
      </x:c>
    </x:row>
    <x:row r="63">
      <x:c r="A63" s="38" t="str">
        <x:v>7月30日现场数据</x:v>
      </x:c>
      <x:c r="B63" s="39" t="str">
        <x:v>2026-07-31T14:45:00</x:v>
      </x:c>
      <x:c r="C63" s="39" t="str">
        <x:v>2026-07-31T15:45:00</x:v>
      </x:c>
      <x:c r="D63" s="47" t="n">
        <x:v>60</x:v>
      </x:c>
      <x:c r="E63" s="40" t="n">
        <x:v>12.1</x:v>
      </x:c>
      <x:c r="F63" s="40" t="n">
        <x:v>12.377117156982422</x:v>
      </x:c>
      <x:c r="G63" s="40" t="n">
        <x:v>12.2</x:v>
      </x:c>
      <x:c r="H63" s="40" t="n">
        <x:f>F63-E63</x:f>
        <x:v>0.27711715698242223</x:v>
      </x:c>
      <x:c r="I63" s="40" t="n">
        <x:f>ABS(H63)</x:f>
        <x:v>0.27711715698242223</x:v>
      </x:c>
      <x:c r="J63" s="40" t="n">
        <x:f>H63^2</x:f>
        <x:v>0.07679391869402044</x:v>
      </x:c>
      <x:c r="K63" s="40" t="n">
        <x:f>G63-E63</x:f>
        <x:v>0.09999999999999964</x:v>
      </x:c>
      <x:c r="L63" s="40" t="n">
        <x:f>ABS(K63)</x:f>
        <x:v>0.09999999999999964</x:v>
      </x:c>
      <x:c r="M63" s="41" t="str">
        <x:v>lstm-soil-v1</x:v>
      </x:c>
    </x:row>
    <x:row r="64">
      <x:c r="A64" s="38" t="str">
        <x:v>7月30日现场数据</x:v>
      </x:c>
      <x:c r="B64" s="39" t="str">
        <x:v>2026-07-31T14:50:00</x:v>
      </x:c>
      <x:c r="C64" s="39" t="str">
        <x:v>2026-07-31T14:55:00</x:v>
      </x:c>
      <x:c r="D64" s="47" t="n">
        <x:v>5</x:v>
      </x:c>
      <x:c r="E64" s="40" t="n">
        <x:v>12.1</x:v>
      </x:c>
      <x:c r="F64" s="40" t="n">
        <x:v>10.188194274902344</x:v>
      </x:c>
      <x:c r="G64" s="40" t="n">
        <x:v>12.2</x:v>
      </x:c>
      <x:c r="H64" s="40" t="n">
        <x:f>F64-E64</x:f>
        <x:v>-1.911805725097656</x:v>
      </x:c>
      <x:c r="I64" s="40" t="n">
        <x:f>ABS(H64)</x:f>
        <x:v>1.911805725097656</x:v>
      </x:c>
      <x:c r="J64" s="40" t="n">
        <x:f>H64^2</x:f>
        <x:v>3.655001130516174</x:v>
      </x:c>
      <x:c r="K64" s="40" t="n">
        <x:f>G64-E64</x:f>
        <x:v>0.09999999999999964</x:v>
      </x:c>
      <x:c r="L64" s="40" t="n">
        <x:f>ABS(K64)</x:f>
        <x:v>0.09999999999999964</x:v>
      </x:c>
      <x:c r="M64" s="41" t="str">
        <x:v>lstm-soil-v1</x:v>
      </x:c>
    </x:row>
    <x:row r="65">
      <x:c r="A65" s="38" t="str">
        <x:v>7月30日现场数据</x:v>
      </x:c>
      <x:c r="B65" s="39" t="str">
        <x:v>2026-07-31T14:50:00</x:v>
      </x:c>
      <x:c r="C65" s="39" t="str">
        <x:v>2026-07-31T15:05:00</x:v>
      </x:c>
      <x:c r="D65" s="47" t="n">
        <x:v>15</x:v>
      </x:c>
      <x:c r="E65" s="40" t="n">
        <x:v>12.1</x:v>
      </x:c>
      <x:c r="F65" s="40" t="n">
        <x:v>10.271778106689453</x:v>
      </x:c>
      <x:c r="G65" s="40" t="n">
        <x:v>12.2</x:v>
      </x:c>
      <x:c r="H65" s="40" t="n">
        <x:f>F65-E65</x:f>
        <x:v>-1.8282218933105465</x:v>
      </x:c>
      <x:c r="I65" s="40" t="n">
        <x:f>ABS(H65)</x:f>
        <x:v>1.8282218933105465</x:v>
      </x:c>
      <x:c r="J65" s="40" t="n">
        <x:f>H65^2</x:f>
        <x:v>3.3423952911799995</x:v>
      </x:c>
      <x:c r="K65" s="40" t="n">
        <x:f>G65-E65</x:f>
        <x:v>0.09999999999999964</x:v>
      </x:c>
      <x:c r="L65" s="40" t="n">
        <x:f>ABS(K65)</x:f>
        <x:v>0.09999999999999964</x:v>
      </x:c>
      <x:c r="M65" s="41" t="str">
        <x:v>lstm-soil-v1</x:v>
      </x:c>
    </x:row>
    <x:row r="66">
      <x:c r="A66" s="38" t="str">
        <x:v>7月30日现场数据</x:v>
      </x:c>
      <x:c r="B66" s="39" t="str">
        <x:v>2026-07-31T14:50:00</x:v>
      </x:c>
      <x:c r="C66" s="39" t="str">
        <x:v>2026-07-31T15:20:00</x:v>
      </x:c>
      <x:c r="D66" s="47" t="n">
        <x:v>30</x:v>
      </x:c>
      <x:c r="E66" s="40" t="n">
        <x:v>12.1</x:v>
      </x:c>
      <x:c r="F66" s="40" t="n">
        <x:v>10.68234634399414</x:v>
      </x:c>
      <x:c r="G66" s="40" t="n">
        <x:v>12.2</x:v>
      </x:c>
      <x:c r="H66" s="40" t="n">
        <x:f>F66-E66</x:f>
        <x:v>-1.417653656005859</x:v>
      </x:c>
      <x:c r="I66" s="40" t="n">
        <x:f>ABS(H66)</x:f>
        <x:v>1.417653656005859</x:v>
      </x:c>
      <x:c r="J66" s="40" t="n">
        <x:f>H66^2</x:f>
        <x:v>2.0097418883867784</x:v>
      </x:c>
      <x:c r="K66" s="40" t="n">
        <x:f>G66-E66</x:f>
        <x:v>0.09999999999999964</x:v>
      </x:c>
      <x:c r="L66" s="40" t="n">
        <x:f>ABS(K66)</x:f>
        <x:v>0.09999999999999964</x:v>
      </x:c>
      <x:c r="M66" s="41" t="str">
        <x:v>lstm-soil-v1</x:v>
      </x:c>
    </x:row>
    <x:row r="67">
      <x:c r="A67" s="38" t="str">
        <x:v>7月30日现场数据</x:v>
      </x:c>
      <x:c r="B67" s="39" t="str">
        <x:v>2026-07-31T14:50:00</x:v>
      </x:c>
      <x:c r="C67" s="39" t="str">
        <x:v>2026-07-31T15:50:00</x:v>
      </x:c>
      <x:c r="D67" s="47" t="n">
        <x:v>60</x:v>
      </x:c>
      <x:c r="E67" s="40" t="n">
        <x:v>12</x:v>
      </x:c>
      <x:c r="F67" s="40" t="n">
        <x:v>12.377090454101562</x:v>
      </x:c>
      <x:c r="G67" s="40" t="n">
        <x:v>12.2</x:v>
      </x:c>
      <x:c r="H67" s="40" t="n">
        <x:f>F67-E67</x:f>
        <x:v>0.3770904541015625</x:v>
      </x:c>
      <x:c r="I67" s="40" t="n">
        <x:f>ABS(H67)</x:f>
        <x:v>0.3770904541015625</x:v>
      </x:c>
      <x:c r="J67" s="40" t="n">
        <x:f>H67^2</x:f>
        <x:v>0.14219721057452261</x:v>
      </x:c>
      <x:c r="K67" s="40" t="n">
        <x:f>G67-E67</x:f>
        <x:v>0.1999999999999993</x:v>
      </x:c>
      <x:c r="L67" s="40" t="n">
        <x:f>ABS(K67)</x:f>
        <x:v>0.1999999999999993</x:v>
      </x:c>
      <x:c r="M67" s="41" t="str">
        <x:v>lstm-soil-v1</x:v>
      </x:c>
    </x:row>
    <x:row r="68">
      <x:c r="A68" s="38" t="str">
        <x:v>7月30日现场数据</x:v>
      </x:c>
      <x:c r="B68" s="39" t="str">
        <x:v>2026-07-31T14:55:00</x:v>
      </x:c>
      <x:c r="C68" s="39" t="str">
        <x:v>2026-07-31T15:00:00</x:v>
      </x:c>
      <x:c r="D68" s="47" t="n">
        <x:v>5</x:v>
      </x:c>
      <x:c r="E68" s="40" t="n">
        <x:v>12.1</x:v>
      </x:c>
      <x:c r="F68" s="40" t="n">
        <x:v>10.079730987548828</x:v>
      </x:c>
      <x:c r="G68" s="40" t="n">
        <x:v>12.1</x:v>
      </x:c>
      <x:c r="H68" s="40" t="n">
        <x:f>F68-E68</x:f>
        <x:v>-2.0202690124511715</x:v>
      </x:c>
      <x:c r="I68" s="40" t="n">
        <x:f>ABS(H68)</x:f>
        <x:v>2.0202690124511715</x:v>
      </x:c>
      <x:c r="J68" s="40" t="n">
        <x:f>H68^2</x:f>
        <x:v>4.081486882670432</x:v>
      </x:c>
      <x:c r="K68" s="40" t="n">
        <x:f>G68-E68</x:f>
        <x:v>0</x:v>
      </x:c>
      <x:c r="L68" s="40" t="n">
        <x:f>ABS(K68)</x:f>
        <x:v>0</x:v>
      </x:c>
      <x:c r="M68" s="41" t="str">
        <x:v>lstm-soil-v1</x:v>
      </x:c>
    </x:row>
    <x:row r="69">
      <x:c r="A69" s="38" t="str">
        <x:v>7月30日现场数据</x:v>
      </x:c>
      <x:c r="B69" s="39" t="str">
        <x:v>2026-07-31T14:55:00</x:v>
      </x:c>
      <x:c r="C69" s="39" t="str">
        <x:v>2026-07-31T15:10:00</x:v>
      </x:c>
      <x:c r="D69" s="47" t="n">
        <x:v>15</x:v>
      </x:c>
      <x:c r="E69" s="40" t="n">
        <x:v>12.1</x:v>
      </x:c>
      <x:c r="F69" s="40" t="n">
        <x:v>10.160964965820312</x:v>
      </x:c>
      <x:c r="G69" s="40" t="n">
        <x:v>12.1</x:v>
      </x:c>
      <x:c r="H69" s="40" t="n">
        <x:f>F69-E69</x:f>
        <x:v>-1.9390350341796871</x:v>
      </x:c>
      <x:c r="I69" s="40" t="n">
        <x:f>ABS(H69)</x:f>
        <x:v>1.9390350341796871</x:v>
      </x:c>
      <x:c r="J69" s="40" t="n">
        <x:f>H69^2</x:f>
        <x:v>3.7598568637762204</x:v>
      </x:c>
      <x:c r="K69" s="40" t="n">
        <x:f>G69-E69</x:f>
        <x:v>0</x:v>
      </x:c>
      <x:c r="L69" s="40" t="n">
        <x:f>ABS(K69)</x:f>
        <x:v>0</x:v>
      </x:c>
      <x:c r="M69" s="41" t="str">
        <x:v>lstm-soil-v1</x:v>
      </x:c>
    </x:row>
    <x:row r="70">
      <x:c r="A70" s="38" t="str">
        <x:v>7月30日现场数据</x:v>
      </x:c>
      <x:c r="B70" s="39" t="str">
        <x:v>2026-07-31T14:55:00</x:v>
      </x:c>
      <x:c r="C70" s="39" t="str">
        <x:v>2026-07-31T15:25:00</x:v>
      </x:c>
      <x:c r="D70" s="47" t="n">
        <x:v>30</x:v>
      </x:c>
      <x:c r="E70" s="40" t="n">
        <x:v>12.1</x:v>
      </x:c>
      <x:c r="F70" s="40" t="n">
        <x:v>10.572639465332031</x:v>
      </x:c>
      <x:c r="G70" s="40" t="n">
        <x:v>12.1</x:v>
      </x:c>
      <x:c r="H70" s="40" t="n">
        <x:f>F70-E70</x:f>
        <x:v>-1.5273605346679684</x:v>
      </x:c>
      <x:c r="I70" s="40" t="n">
        <x:f>ABS(H70)</x:f>
        <x:v>1.5273605346679684</x:v>
      </x:c>
      <x:c r="J70" s="40" t="n">
        <x:f>H70^2</x:f>
        <x:v>2.3328302028612224</x:v>
      </x:c>
      <x:c r="K70" s="40" t="n">
        <x:f>G70-E70</x:f>
        <x:v>0</x:v>
      </x:c>
      <x:c r="L70" s="40" t="n">
        <x:f>ABS(K70)</x:f>
        <x:v>0</x:v>
      </x:c>
      <x:c r="M70" s="41" t="str">
        <x:v>lstm-soil-v1</x:v>
      </x:c>
    </x:row>
    <x:row r="71">
      <x:c r="A71" s="38" t="str">
        <x:v>7月30日现场数据</x:v>
      </x:c>
      <x:c r="B71" s="39" t="str">
        <x:v>2026-07-31T14:55:00</x:v>
      </x:c>
      <x:c r="C71" s="39" t="str">
        <x:v>2026-07-31T15:55:00</x:v>
      </x:c>
      <x:c r="D71" s="47" t="n">
        <x:v>60</x:v>
      </x:c>
      <x:c r="E71" s="40" t="n">
        <x:v>12.1</x:v>
      </x:c>
      <x:c r="F71" s="40" t="n">
        <x:v>12.267471313476562</x:v>
      </x:c>
      <x:c r="G71" s="40" t="n">
        <x:v>12.1</x:v>
      </x:c>
      <x:c r="H71" s="40" t="n">
        <x:f>F71-E71</x:f>
        <x:v>0.16747131347656286</x:v>
      </x:c>
      <x:c r="I71" s="40" t="n">
        <x:f>ABS(H71)</x:f>
        <x:v>0.16747131347656286</x:v>
      </x:c>
      <x:c r="J71" s="40" t="n">
        <x:f>H71^2</x:f>
        <x:v>0.028046640837565185</x:v>
      </x:c>
      <x:c r="K71" s="40" t="n">
        <x:f>G71-E71</x:f>
        <x:v>0</x:v>
      </x:c>
      <x:c r="L71" s="40" t="n">
        <x:f>ABS(K71)</x:f>
        <x:v>0</x:v>
      </x:c>
      <x:c r="M71" s="41" t="str">
        <x:v>lstm-soil-v1</x:v>
      </x:c>
    </x:row>
    <x:row r="72">
      <x:c r="A72" s="38" t="str">
        <x:v>7月30日现场数据</x:v>
      </x:c>
      <x:c r="B72" s="39" t="str">
        <x:v>2026-07-31T15:00:00</x:v>
      </x:c>
      <x:c r="C72" s="39" t="str">
        <x:v>2026-07-31T15:05:00</x:v>
      </x:c>
      <x:c r="D72" s="47" t="n">
        <x:v>5</x:v>
      </x:c>
      <x:c r="E72" s="40" t="n">
        <x:v>12.1</x:v>
      </x:c>
      <x:c r="F72" s="40" t="n">
        <x:v>10.083446502685547</x:v>
      </x:c>
      <x:c r="G72" s="40" t="n">
        <x:v>12.1</x:v>
      </x:c>
      <x:c r="H72" s="40" t="n">
        <x:f>F72-E72</x:f>
        <x:v>-2.0165534973144528</x:v>
      </x:c>
      <x:c r="I72" s="40" t="n">
        <x:f>ABS(H72)</x:f>
        <x:v>2.0165534973144528</x:v>
      </x:c>
      <x:c r="J72" s="40" t="n">
        <x:f>H72^2</x:f>
        <x:v>4.0664880075311505</x:v>
      </x:c>
      <x:c r="K72" s="40" t="n">
        <x:f>G72-E72</x:f>
        <x:v>0</x:v>
      </x:c>
      <x:c r="L72" s="40" t="n">
        <x:f>ABS(K72)</x:f>
        <x:v>0</x:v>
      </x:c>
      <x:c r="M72" s="41" t="str">
        <x:v>lstm-soil-v1</x:v>
      </x:c>
    </x:row>
    <x:row r="73">
      <x:c r="A73" s="38" t="str">
        <x:v>7月30日现场数据</x:v>
      </x:c>
      <x:c r="B73" s="39" t="str">
        <x:v>2026-07-31T15:00:00</x:v>
      </x:c>
      <x:c r="C73" s="39" t="str">
        <x:v>2026-07-31T15:15:00</x:v>
      </x:c>
      <x:c r="D73" s="47" t="n">
        <x:v>15</x:v>
      </x:c>
      <x:c r="E73" s="40" t="n">
        <x:v>12.1</x:v>
      </x:c>
      <x:c r="F73" s="40" t="n">
        <x:v>10.161754608154297</x:v>
      </x:c>
      <x:c r="G73" s="40" t="n">
        <x:v>12.1</x:v>
      </x:c>
      <x:c r="H73" s="40" t="n">
        <x:f>F73-E73</x:f>
        <x:v>-1.9382453918457028</x:v>
      </x:c>
      <x:c r="I73" s="40" t="n">
        <x:f>ABS(H73)</x:f>
        <x:v>1.9382453918457028</x:v>
      </x:c>
      <x:c r="J73" s="40" t="n">
        <x:f>H73^2</x:f>
        <x:v>3.7567951990111017</x:v>
      </x:c>
      <x:c r="K73" s="40" t="n">
        <x:f>G73-E73</x:f>
        <x:v>0</x:v>
      </x:c>
      <x:c r="L73" s="40" t="n">
        <x:f>ABS(K73)</x:f>
        <x:v>0</x:v>
      </x:c>
      <x:c r="M73" s="41" t="str">
        <x:v>lstm-soil-v1</x:v>
      </x:c>
    </x:row>
    <x:row r="74">
      <x:c r="A74" s="38" t="str">
        <x:v>7月30日现场数据</x:v>
      </x:c>
      <x:c r="B74" s="39" t="str">
        <x:v>2026-07-31T15:00:00</x:v>
      </x:c>
      <x:c r="C74" s="39" t="str">
        <x:v>2026-07-31T15:30:00</x:v>
      </x:c>
      <x:c r="D74" s="47" t="n">
        <x:v>30</x:v>
      </x:c>
      <x:c r="E74" s="40" t="n">
        <x:v>12</x:v>
      </x:c>
      <x:c r="F74" s="40" t="n">
        <x:v>10.576061248779297</x:v>
      </x:c>
      <x:c r="G74" s="40" t="n">
        <x:v>12.1</x:v>
      </x:c>
      <x:c r="H74" s="40" t="n">
        <x:f>F74-E74</x:f>
        <x:v>-1.4239387512207031</x:v>
      </x:c>
      <x:c r="I74" s="40" t="n">
        <x:f>ABS(H74)</x:f>
        <x:v>1.4239387512207031</x:v>
      </x:c>
      <x:c r="J74" s="40" t="n">
        <x:f>H74^2</x:f>
        <x:v>2.0276015672279755</x:v>
      </x:c>
      <x:c r="K74" s="40" t="n">
        <x:f>G74-E74</x:f>
        <x:v>0.09999999999999964</x:v>
      </x:c>
      <x:c r="L74" s="40" t="n">
        <x:f>ABS(K74)</x:f>
        <x:v>0.09999999999999964</x:v>
      </x:c>
      <x:c r="M74" s="41" t="str">
        <x:v>lstm-soil-v1</x:v>
      </x:c>
    </x:row>
    <x:row r="75">
      <x:c r="A75" s="38" t="str">
        <x:v>7月30日现场数据</x:v>
      </x:c>
      <x:c r="B75" s="39" t="str">
        <x:v>2026-07-31T15:00:00</x:v>
      </x:c>
      <x:c r="C75" s="39" t="str">
        <x:v>2026-07-31T16:00:00</x:v>
      </x:c>
      <x:c r="D75" s="47" t="n">
        <x:v>60</x:v>
      </x:c>
      <x:c r="E75" s="40" t="n">
        <x:v>12.1</x:v>
      </x:c>
      <x:c r="F75" s="40" t="n">
        <x:v>12.271186828613281</x:v>
      </x:c>
      <x:c r="G75" s="40" t="n">
        <x:v>12.1</x:v>
      </x:c>
      <x:c r="H75" s="40" t="n">
        <x:f>F75-E75</x:f>
        <x:v>0.1711868286132816</x:v>
      </x:c>
      <x:c r="I75" s="40" t="n">
        <x:f>ABS(H75)</x:f>
        <x:v>0.1711868286132816</x:v>
      </x:c>
      <x:c r="J75" s="40" t="n">
        <x:f>H75^2</x:f>
        <x:v>0.029304930290673048</x:v>
      </x:c>
      <x:c r="K75" s="40" t="n">
        <x:f>G75-E75</x:f>
        <x:v>0</x:v>
      </x:c>
      <x:c r="L75" s="40" t="n">
        <x:f>ABS(K75)</x:f>
        <x:v>0</x:v>
      </x:c>
      <x:c r="M75" s="41" t="str">
        <x:v>lstm-soil-v1</x:v>
      </x:c>
    </x:row>
    <x:row r="76">
      <x:c r="A76" s="38" t="str">
        <x:v>7月30日现场数据</x:v>
      </x:c>
      <x:c r="B76" s="39" t="str">
        <x:v>2026-07-31T15:05:00</x:v>
      </x:c>
      <x:c r="C76" s="39" t="str">
        <x:v>2026-07-31T15:10:00</x:v>
      </x:c>
      <x:c r="D76" s="47" t="n">
        <x:v>5</x:v>
      </x:c>
      <x:c r="E76" s="40" t="n">
        <x:v>12.1</x:v>
      </x:c>
      <x:c r="F76" s="40" t="n">
        <x:v>10.085586547851562</x:v>
      </x:c>
      <x:c r="G76" s="40" t="n">
        <x:v>12.1</x:v>
      </x:c>
      <x:c r="H76" s="40" t="n">
        <x:f>F76-E76</x:f>
        <x:v>-2.014413452148437</x:v>
      </x:c>
      <x:c r="I76" s="40" t="n">
        <x:f>ABS(H76)</x:f>
        <x:v>2.014413452148437</x:v>
      </x:c>
      <x:c r="J76" s="40" t="n">
        <x:f>H76^2</x:f>
        <x:v>4.057861556196584</x:v>
      </x:c>
      <x:c r="K76" s="40" t="n">
        <x:f>G76-E76</x:f>
        <x:v>0</x:v>
      </x:c>
      <x:c r="L76" s="40" t="n">
        <x:f>ABS(K76)</x:f>
        <x:v>0</x:v>
      </x:c>
      <x:c r="M76" s="41" t="str">
        <x:v>lstm-soil-v1</x:v>
      </x:c>
    </x:row>
    <x:row r="77">
      <x:c r="A77" s="38" t="str">
        <x:v>7月30日现场数据</x:v>
      </x:c>
      <x:c r="B77" s="39" t="str">
        <x:v>2026-07-31T15:05:00</x:v>
      </x:c>
      <x:c r="C77" s="39" t="str">
        <x:v>2026-07-31T15:20:00</x:v>
      </x:c>
      <x:c r="D77" s="47" t="n">
        <x:v>15</x:v>
      </x:c>
      <x:c r="E77" s="40" t="n">
        <x:v>12.1</x:v>
      </x:c>
      <x:c r="F77" s="40" t="n">
        <x:v>10.16131591796875</x:v>
      </x:c>
      <x:c r="G77" s="40" t="n">
        <x:v>12.1</x:v>
      </x:c>
      <x:c r="H77" s="40" t="n">
        <x:f>F77-E77</x:f>
        <x:v>-1.9386840820312496</x:v>
      </x:c>
      <x:c r="I77" s="40" t="n">
        <x:f>ABS(H77)</x:f>
        <x:v>1.9386840820312496</x:v>
      </x:c>
      <x:c r="J77" s="40" t="n">
        <x:f>H77^2</x:f>
        <x:v>3.758495969921349</x:v>
      </x:c>
      <x:c r="K77" s="40" t="n">
        <x:f>G77-E77</x:f>
        <x:v>0</x:v>
      </x:c>
      <x:c r="L77" s="40" t="n">
        <x:f>ABS(K77)</x:f>
        <x:v>0</x:v>
      </x:c>
      <x:c r="M77" s="41" t="str">
        <x:v>lstm-soil-v1</x:v>
      </x:c>
    </x:row>
    <x:row r="78">
      <x:c r="A78" s="38" t="str">
        <x:v>7月30日现场数据</x:v>
      </x:c>
      <x:c r="B78" s="39" t="str">
        <x:v>2026-07-31T15:05:00</x:v>
      </x:c>
      <x:c r="C78" s="39" t="str">
        <x:v>2026-07-31T15:35:00</x:v>
      </x:c>
      <x:c r="D78" s="47" t="n">
        <x:v>30</x:v>
      </x:c>
      <x:c r="E78" s="40" t="n">
        <x:v>12.1</x:v>
      </x:c>
      <x:c r="F78" s="40" t="n">
        <x:v>10.576152801513672</x:v>
      </x:c>
      <x:c r="G78" s="40" t="n">
        <x:v>12.1</x:v>
      </x:c>
      <x:c r="H78" s="40" t="n">
        <x:f>F78-E78</x:f>
        <x:v>-1.5238471984863278</x:v>
      </x:c>
      <x:c r="I78" s="40" t="n">
        <x:f>ABS(H78)</x:f>
        <x:v>1.5238471984863278</x:v>
      </x:c>
      <x:c r="J78" s="40" t="n">
        <x:f>H78^2</x:f>
        <x:v>2.3221102843346295</x:v>
      </x:c>
      <x:c r="K78" s="40" t="n">
        <x:f>G78-E78</x:f>
        <x:v>0</x:v>
      </x:c>
      <x:c r="L78" s="40" t="n">
        <x:f>ABS(K78)</x:f>
        <x:v>0</x:v>
      </x:c>
      <x:c r="M78" s="41" t="str">
        <x:v>lstm-soil-v1</x:v>
      </x:c>
    </x:row>
    <x:row r="79">
      <x:c r="A79" s="38" t="str">
        <x:v>7月30日现场数据</x:v>
      </x:c>
      <x:c r="B79" s="39" t="str">
        <x:v>2026-07-31T15:05:00</x:v>
      </x:c>
      <x:c r="C79" s="39" t="str">
        <x:v>2026-07-31T16:05:00</x:v>
      </x:c>
      <x:c r="D79" s="47" t="n">
        <x:v>60</x:v>
      </x:c>
      <x:c r="E79" s="40" t="n">
        <x:v>12.1</x:v>
      </x:c>
      <x:c r="F79" s="40" t="n">
        <x:v>12.274402618408203</x:v>
      </x:c>
      <x:c r="G79" s="40" t="n">
        <x:v>12.1</x:v>
      </x:c>
      <x:c r="H79" s="40" t="n">
        <x:f>F79-E79</x:f>
        <x:v>0.17440261840820348</x:v>
      </x:c>
      <x:c r="I79" s="40" t="n">
        <x:f>ABS(H79)</x:f>
        <x:v>0.17440261840820348</x:v>
      </x:c>
      <x:c r="J79" s="40" t="n">
        <x:f>H79^2</x:f>
        <x:v>0.030416273307637437</x:v>
      </x:c>
      <x:c r="K79" s="40" t="n">
        <x:f>G79-E79</x:f>
        <x:v>0</x:v>
      </x:c>
      <x:c r="L79" s="40" t="n">
        <x:f>ABS(K79)</x:f>
        <x:v>0</x:v>
      </x:c>
      <x:c r="M79" s="41" t="str">
        <x:v>lstm-soil-v1</x:v>
      </x:c>
    </x:row>
    <x:row r="80">
      <x:c r="A80" s="38" t="str">
        <x:v>7月30日现场数据</x:v>
      </x:c>
      <x:c r="B80" s="39" t="str">
        <x:v>2026-07-31T15:10:00</x:v>
      </x:c>
      <x:c r="C80" s="39" t="str">
        <x:v>2026-07-31T15:15:00</x:v>
      </x:c>
      <x:c r="D80" s="47" t="n">
        <x:v>5</x:v>
      </x:c>
      <x:c r="E80" s="40" t="n">
        <x:v>12.1</x:v>
      </x:c>
      <x:c r="F80" s="40" t="n">
        <x:v>10.086483001708984</x:v>
      </x:c>
      <x:c r="G80" s="40" t="n">
        <x:v>12.1</x:v>
      </x:c>
      <x:c r="H80" s="40" t="n">
        <x:f>F80-E80</x:f>
        <x:v>-2.0135169982910153</x:v>
      </x:c>
      <x:c r="I80" s="40" t="n">
        <x:f>ABS(H80)</x:f>
        <x:v>2.0135169982910153</x:v>
      </x:c>
      <x:c r="J80" s="40" t="n">
        <x:f>H80^2</x:f>
        <x:v>4.05425070240686</x:v>
      </x:c>
      <x:c r="K80" s="40" t="n">
        <x:f>G80-E80</x:f>
        <x:v>0</x:v>
      </x:c>
      <x:c r="L80" s="40" t="n">
        <x:f>ABS(K80)</x:f>
        <x:v>0</x:v>
      </x:c>
      <x:c r="M80" s="41" t="str">
        <x:v>lstm-soil-v1</x:v>
      </x:c>
    </x:row>
    <x:row r="81">
      <x:c r="A81" s="38" t="str">
        <x:v>7月30日现场数据</x:v>
      </x:c>
      <x:c r="B81" s="39" t="str">
        <x:v>2026-07-31T15:10:00</x:v>
      </x:c>
      <x:c r="C81" s="39" t="str">
        <x:v>2026-07-31T15:25:00</x:v>
      </x:c>
      <x:c r="D81" s="47" t="n">
        <x:v>15</x:v>
      </x:c>
      <x:c r="E81" s="40" t="n">
        <x:v>12.1</x:v>
      </x:c>
      <x:c r="F81" s="40" t="n">
        <x:v>10.160606384277344</x:v>
      </x:c>
      <x:c r="G81" s="40" t="n">
        <x:v>12.1</x:v>
      </x:c>
      <x:c r="H81" s="40" t="n">
        <x:f>F81-E81</x:f>
        <x:v>-1.939393615722656</x:v>
      </x:c>
      <x:c r="I81" s="40" t="n">
        <x:f>ABS(H81)</x:f>
        <x:v>1.939393615722656</x:v>
      </x:c>
      <x:c r="J81" s="40" t="n">
        <x:f>H81^2</x:f>
        <x:v>3.761247596705797</x:v>
      </x:c>
      <x:c r="K81" s="40" t="n">
        <x:f>G81-E81</x:f>
        <x:v>0</x:v>
      </x:c>
      <x:c r="L81" s="40" t="n">
        <x:f>ABS(K81)</x:f>
        <x:v>0</x:v>
      </x:c>
      <x:c r="M81" s="41" t="str">
        <x:v>lstm-soil-v1</x:v>
      </x:c>
    </x:row>
    <x:row r="82">
      <x:c r="A82" s="38" t="str">
        <x:v>7月30日现场数据</x:v>
      </x:c>
      <x:c r="B82" s="39" t="str">
        <x:v>2026-07-31T15:10:00</x:v>
      </x:c>
      <x:c r="C82" s="39" t="str">
        <x:v>2026-07-31T15:40:00</x:v>
      </x:c>
      <x:c r="D82" s="47" t="n">
        <x:v>30</x:v>
      </x:c>
      <x:c r="E82" s="40" t="n">
        <x:v>12.1</x:v>
      </x:c>
      <x:c r="F82" s="40" t="n">
        <x:v>10.575077056884766</x:v>
      </x:c>
      <x:c r="G82" s="40" t="n">
        <x:v>12.1</x:v>
      </x:c>
      <x:c r="H82" s="40" t="n">
        <x:f>F82-E82</x:f>
        <x:v>-1.524922943115234</x:v>
      </x:c>
      <x:c r="I82" s="40" t="n">
        <x:f>ABS(H82)</x:f>
        <x:v>1.524922943115234</x:v>
      </x:c>
      <x:c r="J82" s="40" t="n">
        <x:f>H82^2</x:f>
        <x:v>2.3253899824392272</x:v>
      </x:c>
      <x:c r="K82" s="40" t="n">
        <x:f>G82-E82</x:f>
        <x:v>0</x:v>
      </x:c>
      <x:c r="L82" s="40" t="n">
        <x:f>ABS(K82)</x:f>
        <x:v>0</x:v>
      </x:c>
      <x:c r="M82" s="41" t="str">
        <x:v>lstm-soil-v1</x:v>
      </x:c>
    </x:row>
    <x:row r="83">
      <x:c r="A83" s="38" t="str">
        <x:v>7月30日现场数据</x:v>
      </x:c>
      <x:c r="B83" s="39" t="str">
        <x:v>2026-07-31T15:10:00</x:v>
      </x:c>
      <x:c r="C83" s="39" t="str">
        <x:v>2026-07-31T16:10:00</x:v>
      </x:c>
      <x:c r="D83" s="47" t="n">
        <x:v>60</x:v>
      </x:c>
      <x:c r="E83" s="40" t="n">
        <x:v>12.1</x:v>
      </x:c>
      <x:c r="F83" s="40" t="n">
        <x:v>12.276195526123047</x:v>
      </x:c>
      <x:c r="G83" s="40" t="n">
        <x:v>12.1</x:v>
      </x:c>
      <x:c r="H83" s="40" t="n">
        <x:f>F83-E83</x:f>
        <x:v>0.17619552612304723</x:v>
      </x:c>
      <x:c r="I83" s="40" t="n">
        <x:f>ABS(H83)</x:f>
        <x:v>0.17619552612304723</x:v>
      </x:c>
      <x:c r="J83" s="40" t="n">
        <x:f>H83^2</x:f>
        <x:v>0.03104486342577742</x:v>
      </x:c>
      <x:c r="K83" s="40" t="n">
        <x:f>G83-E83</x:f>
        <x:v>0</x:v>
      </x:c>
      <x:c r="L83" s="40" t="n">
        <x:f>ABS(K83)</x:f>
        <x:v>0</x:v>
      </x:c>
      <x:c r="M83" s="41" t="str">
        <x:v>lstm-soil-v1</x:v>
      </x:c>
    </x:row>
    <x:row r="84">
      <x:c r="A84" s="38" t="str">
        <x:v>7月30日现场数据</x:v>
      </x:c>
      <x:c r="B84" s="39" t="str">
        <x:v>2026-07-31T15:15:00</x:v>
      </x:c>
      <x:c r="C84" s="39" t="str">
        <x:v>2026-07-31T15:20:00</x:v>
      </x:c>
      <x:c r="D84" s="47" t="n">
        <x:v>5</x:v>
      </x:c>
      <x:c r="E84" s="40" t="n">
        <x:v>12.1</x:v>
      </x:c>
      <x:c r="F84" s="40" t="n">
        <x:v>10.086483001708984</x:v>
      </x:c>
      <x:c r="G84" s="40" t="n">
        <x:v>12.1</x:v>
      </x:c>
      <x:c r="H84" s="40" t="n">
        <x:f>F84-E84</x:f>
        <x:v>-2.0135169982910153</x:v>
      </x:c>
      <x:c r="I84" s="40" t="n">
        <x:f>ABS(H84)</x:f>
        <x:v>2.0135169982910153</x:v>
      </x:c>
      <x:c r="J84" s="40" t="n">
        <x:f>H84^2</x:f>
        <x:v>4.05425070240686</x:v>
      </x:c>
      <x:c r="K84" s="40" t="n">
        <x:f>G84-E84</x:f>
        <x:v>0</x:v>
      </x:c>
      <x:c r="L84" s="40" t="n">
        <x:f>ABS(K84)</x:f>
        <x:v>0</x:v>
      </x:c>
      <x:c r="M84" s="41" t="str">
        <x:v>lstm-soil-v1</x:v>
      </x:c>
    </x:row>
    <x:row r="85">
      <x:c r="A85" s="38" t="str">
        <x:v>7月30日现场数据</x:v>
      </x:c>
      <x:c r="B85" s="39" t="str">
        <x:v>2026-07-31T15:15:00</x:v>
      </x:c>
      <x:c r="C85" s="39" t="str">
        <x:v>2026-07-31T15:30:00</x:v>
      </x:c>
      <x:c r="D85" s="47" t="n">
        <x:v>15</x:v>
      </x:c>
      <x:c r="E85" s="40" t="n">
        <x:v>12</x:v>
      </x:c>
      <x:c r="F85" s="40" t="n">
        <x:v>10.159786224365234</x:v>
      </x:c>
      <x:c r="G85" s="40" t="n">
        <x:v>12.1</x:v>
      </x:c>
      <x:c r="H85" s="40" t="n">
        <x:f>F85-E85</x:f>
        <x:v>-1.8402137756347656</x:v>
      </x:c>
      <x:c r="I85" s="40" t="n">
        <x:f>ABS(H85)</x:f>
        <x:v>1.8402137756347656</x:v>
      </x:c>
      <x:c r="J85" s="40" t="n">
        <x:f>H85^2</x:f>
        <x:v>3.3863867400359595</x:v>
      </x:c>
      <x:c r="K85" s="40" t="n">
        <x:f>G85-E85</x:f>
        <x:v>0.09999999999999964</x:v>
      </x:c>
      <x:c r="L85" s="40" t="n">
        <x:f>ABS(K85)</x:f>
        <x:v>0.09999999999999964</x:v>
      </x:c>
      <x:c r="M85" s="41" t="str">
        <x:v>lstm-soil-v1</x:v>
      </x:c>
    </x:row>
    <x:row r="86">
      <x:c r="A86" s="38" t="str">
        <x:v>7月30日现场数据</x:v>
      </x:c>
      <x:c r="B86" s="39" t="str">
        <x:v>2026-07-31T15:15:00</x:v>
      </x:c>
      <x:c r="C86" s="39" t="str">
        <x:v>2026-07-31T15:45:00</x:v>
      </x:c>
      <x:c r="D86" s="47" t="n">
        <x:v>30</x:v>
      </x:c>
      <x:c r="E86" s="40" t="n">
        <x:v>12.1</x:v>
      </x:c>
      <x:c r="F86" s="40" t="n">
        <x:v>10.573413848876953</x:v>
      </x:c>
      <x:c r="G86" s="40" t="n">
        <x:v>12.1</x:v>
      </x:c>
      <x:c r="H86" s="40" t="n">
        <x:f>F86-E86</x:f>
        <x:v>-1.5265861511230465</x:v>
      </x:c>
      <x:c r="I86" s="40" t="n">
        <x:f>ABS(H86)</x:f>
        <x:v>1.5265861511230465</x:v>
      </x:c>
      <x:c r="J86" s="40" t="n">
        <x:f>H86^2</x:f>
        <x:v>2.330465276800677</x:v>
      </x:c>
      <x:c r="K86" s="40" t="n">
        <x:f>G86-E86</x:f>
        <x:v>0</x:v>
      </x:c>
      <x:c r="L86" s="40" t="n">
        <x:f>ABS(K86)</x:f>
        <x:v>0</x:v>
      </x:c>
      <x:c r="M86" s="41" t="str">
        <x:v>lstm-soil-v1</x:v>
      </x:c>
    </x:row>
    <x:row r="87">
      <x:c r="A87" s="38" t="str">
        <x:v>7月30日现场数据</x:v>
      </x:c>
      <x:c r="B87" s="39" t="str">
        <x:v>2026-07-31T15:15:00</x:v>
      </x:c>
      <x:c r="C87" s="39" t="str">
        <x:v>2026-07-31T16:15:00</x:v>
      </x:c>
      <x:c r="D87" s="47" t="n">
        <x:v>60</x:v>
      </x:c>
      <x:c r="E87" s="40" t="n">
        <x:v>12.1</x:v>
      </x:c>
      <x:c r="F87" s="40" t="n">
        <x:v>12.276836395263672</x:v>
      </x:c>
      <x:c r="G87" s="40" t="n">
        <x:v>12.1</x:v>
      </x:c>
      <x:c r="H87" s="40" t="n">
        <x:f>F87-E87</x:f>
        <x:v>0.17683639526367223</x:v>
      </x:c>
      <x:c r="I87" s="40" t="n">
        <x:f>ABS(H87)</x:f>
        <x:v>0.17683639526367223</x:v>
      </x:c>
      <x:c r="J87" s="40" t="n">
        <x:f>H87^2</x:f>
        <x:v>0.03127111068984972</x:v>
      </x:c>
      <x:c r="K87" s="40" t="n">
        <x:f>G87-E87</x:f>
        <x:v>0</x:v>
      </x:c>
      <x:c r="L87" s="40" t="n">
        <x:f>ABS(K87)</x:f>
        <x:v>0</x:v>
      </x:c>
      <x:c r="M87" s="41" t="str">
        <x:v>lstm-soil-v1</x:v>
      </x:c>
    </x:row>
    <x:row r="88">
      <x:c r="A88" s="38" t="str">
        <x:v>7月30日现场数据</x:v>
      </x:c>
      <x:c r="B88" s="39" t="str">
        <x:v>2026-07-31T15:20:00</x:v>
      </x:c>
      <x:c r="C88" s="39" t="str">
        <x:v>2026-07-31T15:25:00</x:v>
      </x:c>
      <x:c r="D88" s="47" t="n">
        <x:v>5</x:v>
      </x:c>
      <x:c r="E88" s="40" t="n">
        <x:v>12.1</x:v>
      </x:c>
      <x:c r="F88" s="40" t="n">
        <x:v>10.086006164550781</x:v>
      </x:c>
      <x:c r="G88" s="40" t="n">
        <x:v>12.1</x:v>
      </x:c>
      <x:c r="H88" s="40" t="n">
        <x:f>F88-E88</x:f>
        <x:v>-2.0139938354492184</x:v>
      </x:c>
      <x:c r="I88" s="40" t="n">
        <x:f>ABS(H88)</x:f>
        <x:v>2.0139938354492184</x:v>
      </x:c>
      <x:c r="J88" s="40" t="n">
        <x:f>H88^2</x:f>
        <x:v>4.056171169227453</x:v>
      </x:c>
      <x:c r="K88" s="40" t="n">
        <x:f>G88-E88</x:f>
        <x:v>0</x:v>
      </x:c>
      <x:c r="L88" s="40" t="n">
        <x:f>ABS(K88)</x:f>
        <x:v>0</x:v>
      </x:c>
      <x:c r="M88" s="41" t="str">
        <x:v>lstm-soil-v1</x:v>
      </x:c>
    </x:row>
    <x:row r="89">
      <x:c r="A89" s="38" t="str">
        <x:v>7月30日现场数据</x:v>
      </x:c>
      <x:c r="B89" s="39" t="str">
        <x:v>2026-07-31T15:20:00</x:v>
      </x:c>
      <x:c r="C89" s="39" t="str">
        <x:v>2026-07-31T15:35:00</x:v>
      </x:c>
      <x:c r="D89" s="47" t="n">
        <x:v>15</x:v>
      </x:c>
      <x:c r="E89" s="40" t="n">
        <x:v>12.1</x:v>
      </x:c>
      <x:c r="F89" s="40" t="n">
        <x:v>10.159042358398438</x:v>
      </x:c>
      <x:c r="G89" s="40" t="n">
        <x:v>12.1</x:v>
      </x:c>
      <x:c r="H89" s="40" t="n">
        <x:f>F89-E89</x:f>
        <x:v>-1.9409576416015621</x:v>
      </x:c>
      <x:c r="I89" s="40" t="n">
        <x:f>ABS(H89)</x:f>
        <x:v>1.9409576416015621</x:v>
      </x:c>
      <x:c r="J89" s="40" t="n">
        <x:f>H89^2</x:f>
        <x:v>3.7673165664914983</x:v>
      </x:c>
      <x:c r="K89" s="40" t="n">
        <x:f>G89-E89</x:f>
        <x:v>0</x:v>
      </x:c>
      <x:c r="L89" s="40" t="n">
        <x:f>ABS(K89)</x:f>
        <x:v>0</x:v>
      </x:c>
      <x:c r="M89" s="41" t="str">
        <x:v>lstm-soil-v1</x:v>
      </x:c>
    </x:row>
    <x:row r="90">
      <x:c r="A90" s="38" t="str">
        <x:v>7月30日现场数据</x:v>
      </x:c>
      <x:c r="B90" s="39" t="str">
        <x:v>2026-07-31T15:20:00</x:v>
      </x:c>
      <x:c r="C90" s="39" t="str">
        <x:v>2026-07-31T15:50:00</x:v>
      </x:c>
      <x:c r="D90" s="47" t="n">
        <x:v>30</x:v>
      </x:c>
      <x:c r="E90" s="40" t="n">
        <x:v>12</x:v>
      </x:c>
      <x:c r="F90" s="40" t="n">
        <x:v>10.571662902832031</x:v>
      </x:c>
      <x:c r="G90" s="40" t="n">
        <x:v>12.1</x:v>
      </x:c>
      <x:c r="H90" s="40" t="n">
        <x:f>F90-E90</x:f>
        <x:v>-1.4283370971679688</x:v>
      </x:c>
      <x:c r="I90" s="40" t="n">
        <x:f>ABS(H90)</x:f>
        <x:v>1.4283370971679688</x:v>
      </x:c>
      <x:c r="J90" s="40" t="n">
        <x:f>H90^2</x:f>
        <x:v>2.0401468631462194</x:v>
      </x:c>
      <x:c r="K90" s="40" t="n">
        <x:f>G90-E90</x:f>
        <x:v>0.09999999999999964</x:v>
      </x:c>
      <x:c r="L90" s="40" t="n">
        <x:f>ABS(K90)</x:f>
        <x:v>0.09999999999999964</x:v>
      </x:c>
      <x:c r="M90" s="41" t="str">
        <x:v>lstm-soil-v1</x:v>
      </x:c>
    </x:row>
    <x:row r="91">
      <x:c r="A91" s="38" t="str">
        <x:v>7月30日现场数据</x:v>
      </x:c>
      <x:c r="B91" s="39" t="str">
        <x:v>2026-07-31T15:20:00</x:v>
      </x:c>
      <x:c r="C91" s="39" t="str">
        <x:v>2026-07-31T16:20:00</x:v>
      </x:c>
      <x:c r="D91" s="47" t="n">
        <x:v>60</x:v>
      </x:c>
      <x:c r="E91" s="40" t="n">
        <x:v>12.1</x:v>
      </x:c>
      <x:c r="F91" s="40" t="n">
        <x:v>12.27676773071289</x:v>
      </x:c>
      <x:c r="G91" s="40" t="n">
        <x:v>12.1</x:v>
      </x:c>
      <x:c r="H91" s="40" t="n">
        <x:f>F91-E91</x:f>
        <x:v>0.17676773071289098</x:v>
      </x:c>
      <x:c r="I91" s="40" t="n">
        <x:f>ABS(H91)</x:f>
        <x:v>0.17676773071289098</x:v>
      </x:c>
      <x:c r="J91" s="40" t="n">
        <x:f>H91^2</x:f>
        <x:v>0.03124683062138514</x:v>
      </x:c>
      <x:c r="K91" s="40" t="n">
        <x:f>G91-E91</x:f>
        <x:v>0</x:v>
      </x:c>
      <x:c r="L91" s="40" t="n">
        <x:f>ABS(K91)</x:f>
        <x:v>0</x:v>
      </x:c>
      <x:c r="M91" s="41" t="str">
        <x:v>lstm-soil-v1</x:v>
      </x:c>
    </x:row>
    <x:row r="92">
      <x:c r="A92" s="38" t="str">
        <x:v>7月30日现场数据</x:v>
      </x:c>
      <x:c r="B92" s="39" t="str">
        <x:v>2026-07-31T15:25:00</x:v>
      </x:c>
      <x:c r="C92" s="39" t="str">
        <x:v>2026-07-31T15:30:00</x:v>
      </x:c>
      <x:c r="D92" s="47" t="n">
        <x:v>5</x:v>
      </x:c>
      <x:c r="E92" s="40" t="n">
        <x:v>12</x:v>
      </x:c>
      <x:c r="F92" s="40" t="n">
        <x:v>10.08548355102539</x:v>
      </x:c>
      <x:c r="G92" s="40" t="n">
        <x:v>12.1</x:v>
      </x:c>
      <x:c r="H92" s="40" t="n">
        <x:f>F92-E92</x:f>
        <x:v>-1.9145164489746094</x:v>
      </x:c>
      <x:c r="I92" s="40" t="n">
        <x:f>ABS(H92)</x:f>
        <x:v>1.9145164489746094</x:v>
      </x:c>
      <x:c r="J92" s="40" t="n">
        <x:f>H92^2</x:f>
        <x:v>3.665373233394348</x:v>
      </x:c>
      <x:c r="K92" s="40" t="n">
        <x:f>G92-E92</x:f>
        <x:v>0.09999999999999964</x:v>
      </x:c>
      <x:c r="L92" s="40" t="n">
        <x:f>ABS(K92)</x:f>
        <x:v>0.09999999999999964</x:v>
      </x:c>
      <x:c r="M92" s="41" t="str">
        <x:v>lstm-soil-v1</x:v>
      </x:c>
    </x:row>
    <x:row r="93">
      <x:c r="A93" s="38" t="str">
        <x:v>7月30日现场数据</x:v>
      </x:c>
      <x:c r="B93" s="39" t="str">
        <x:v>2026-07-31T15:25:00</x:v>
      </x:c>
      <x:c r="C93" s="39" t="str">
        <x:v>2026-07-31T15:40:00</x:v>
      </x:c>
      <x:c r="D93" s="47" t="n">
        <x:v>15</x:v>
      </x:c>
      <x:c r="E93" s="40" t="n">
        <x:v>12.1</x:v>
      </x:c>
      <x:c r="F93" s="40" t="n">
        <x:v>10.158435821533203</x:v>
      </x:c>
      <x:c r="G93" s="40" t="n">
        <x:v>12.1</x:v>
      </x:c>
      <x:c r="H93" s="40" t="n">
        <x:f>F93-E93</x:f>
        <x:v>-1.9415641784667965</x:v>
      </x:c>
      <x:c r="I93" s="40" t="n">
        <x:f>ABS(H93)</x:f>
        <x:v>1.9415641784667965</x:v>
      </x:c>
      <x:c r="J93" s="40" t="n">
        <x:f>H93^2</x:f>
        <x:v>3.7696714591054463</x:v>
      </x:c>
      <x:c r="K93" s="40" t="n">
        <x:f>G93-E93</x:f>
        <x:v>0</x:v>
      </x:c>
      <x:c r="L93" s="40" t="n">
        <x:f>ABS(K93)</x:f>
        <x:v>0</x:v>
      </x:c>
      <x:c r="M93" s="41" t="str">
        <x:v>lstm-soil-v1</x:v>
      </x:c>
    </x:row>
    <x:row r="94">
      <x:c r="A94" s="38" t="str">
        <x:v>7月30日现场数据</x:v>
      </x:c>
      <x:c r="B94" s="39" t="str">
        <x:v>2026-07-31T15:25:00</x:v>
      </x:c>
      <x:c r="C94" s="39" t="str">
        <x:v>2026-07-31T15:55:00</x:v>
      </x:c>
      <x:c r="D94" s="47" t="n">
        <x:v>30</x:v>
      </x:c>
      <x:c r="E94" s="40" t="n">
        <x:v>12.1</x:v>
      </x:c>
      <x:c r="F94" s="40" t="n">
        <x:v>10.570209503173828</x:v>
      </x:c>
      <x:c r="G94" s="40" t="n">
        <x:v>12.1</x:v>
      </x:c>
      <x:c r="H94" s="40" t="n">
        <x:f>F94-E94</x:f>
        <x:v>-1.5297904968261715</x:v>
      </x:c>
      <x:c r="I94" s="40" t="n">
        <x:f>ABS(H94)</x:f>
        <x:v>1.5297904968261715</x:v>
      </x:c>
      <x:c r="J94" s="40" t="n">
        <x:f>H94^2</x:f>
        <x:v>2.3402589641796645</x:v>
      </x:c>
      <x:c r="K94" s="40" t="n">
        <x:f>G94-E94</x:f>
        <x:v>0</x:v>
      </x:c>
      <x:c r="L94" s="40" t="n">
        <x:f>ABS(K94)</x:f>
        <x:v>0</x:v>
      </x:c>
      <x:c r="M94" s="41" t="str">
        <x:v>lstm-soil-v1</x:v>
      </x:c>
    </x:row>
    <x:row r="95">
      <x:c r="A95" s="38" t="str">
        <x:v>7月30日现场数据</x:v>
      </x:c>
      <x:c r="B95" s="39" t="str">
        <x:v>2026-07-31T15:25:00</x:v>
      </x:c>
      <x:c r="C95" s="39" t="str">
        <x:v>2026-07-31T16:25:00</x:v>
      </x:c>
      <x:c r="D95" s="47" t="n">
        <x:v>60</x:v>
      </x:c>
      <x:c r="E95" s="40" t="n">
        <x:v>12</x:v>
      </x:c>
      <x:c r="F95" s="40" t="n">
        <x:v>12.276504516601562</x:v>
      </x:c>
      <x:c r="G95" s="40" t="n">
        <x:v>12.1</x:v>
      </x:c>
      <x:c r="H95" s="40" t="n">
        <x:f>F95-E95</x:f>
        <x:v>0.2765045166015625</x:v>
      </x:c>
      <x:c r="I95" s="40" t="n">
        <x:f>ABS(H95)</x:f>
        <x:v>0.2765045166015625</x:v>
      </x:c>
      <x:c r="J95" s="40" t="n">
        <x:f>H95^2</x:f>
        <x:v>0.07645474770106375</x:v>
      </x:c>
      <x:c r="K95" s="40" t="n">
        <x:f>G95-E95</x:f>
        <x:v>0.09999999999999964</x:v>
      </x:c>
      <x:c r="L95" s="40" t="n">
        <x:f>ABS(K95)</x:f>
        <x:v>0.09999999999999964</x:v>
      </x:c>
      <x:c r="M95" s="41" t="str">
        <x:v>lstm-soil-v1</x:v>
      </x:c>
    </x:row>
    <x:row r="96">
      <x:c r="A96" s="38" t="str">
        <x:v>7月30日现场数据</x:v>
      </x:c>
      <x:c r="B96" s="39" t="str">
        <x:v>2026-07-31T15:30:00</x:v>
      </x:c>
      <x:c r="C96" s="39" t="str">
        <x:v>2026-07-31T15:35:00</x:v>
      </x:c>
      <x:c r="D96" s="47" t="n">
        <x:v>5</x:v>
      </x:c>
      <x:c r="E96" s="40" t="n">
        <x:v>12.1</x:v>
      </x:c>
      <x:c r="F96" s="40" t="n">
        <x:v>9.974655151367188</x:v>
      </x:c>
      <x:c r="G96" s="40" t="n">
        <x:v>12</x:v>
      </x:c>
      <x:c r="H96" s="40" t="n">
        <x:f>F96-E96</x:f>
        <x:v>-2.125344848632812</x:v>
      </x:c>
      <x:c r="I96" s="40" t="n">
        <x:f>ABS(H96)</x:f>
        <x:v>2.125344848632812</x:v>
      </x:c>
      <x:c r="J96" s="40" t="n">
        <x:f>H96^2</x:f>
        <x:v>4.517090725610031</x:v>
      </x:c>
      <x:c r="K96" s="40" t="n">
        <x:f>G96-E96</x:f>
        <x:v>-0.09999999999999964</x:v>
      </x:c>
      <x:c r="L96" s="40" t="n">
        <x:f>ABS(K96)</x:f>
        <x:v>0.09999999999999964</x:v>
      </x:c>
      <x:c r="M96" s="41" t="str">
        <x:v>lstm-soil-v1</x:v>
      </x:c>
    </x:row>
    <x:row r="97">
      <x:c r="A97" s="38" t="str">
        <x:v>7月30日现场数据</x:v>
      </x:c>
      <x:c r="B97" s="39" t="str">
        <x:v>2026-07-31T15:30:00</x:v>
      </x:c>
      <x:c r="C97" s="39" t="str">
        <x:v>2026-07-31T15:45:00</x:v>
      </x:c>
      <x:c r="D97" s="47" t="n">
        <x:v>15</x:v>
      </x:c>
      <x:c r="E97" s="40" t="n">
        <x:v>12.1</x:v>
      </x:c>
      <x:c r="F97" s="40" t="n">
        <x:v>10.047706604003906</x:v>
      </x:c>
      <x:c r="G97" s="40" t="n">
        <x:v>12</x:v>
      </x:c>
      <x:c r="H97" s="40" t="n">
        <x:f>F97-E97</x:f>
        <x:v>-2.0522933959960934</x:v>
      </x:c>
      <x:c r="I97" s="40" t="n">
        <x:f>ABS(H97)</x:f>
        <x:v>2.0522933959960934</x:v>
      </x:c>
      <x:c r="J97" s="40" t="n">
        <x:f>H97^2</x:f>
        <x:v>4.211908183249178</x:v>
      </x:c>
      <x:c r="K97" s="40" t="n">
        <x:f>G97-E97</x:f>
        <x:v>-0.09999999999999964</x:v>
      </x:c>
      <x:c r="L97" s="40" t="n">
        <x:f>ABS(K97)</x:f>
        <x:v>0.09999999999999964</x:v>
      </x:c>
      <x:c r="M97" s="41" t="str">
        <x:v>lstm-soil-v1</x:v>
      </x:c>
    </x:row>
    <x:row r="98">
      <x:c r="A98" s="38" t="str">
        <x:v>7月30日现场数据</x:v>
      </x:c>
      <x:c r="B98" s="39" t="str">
        <x:v>2026-07-31T15:30:00</x:v>
      </x:c>
      <x:c r="C98" s="39" t="str">
        <x:v>2026-07-31T16:00:00</x:v>
      </x:c>
      <x:c r="D98" s="47" t="n">
        <x:v>30</x:v>
      </x:c>
      <x:c r="E98" s="40" t="n">
        <x:v>12.1</x:v>
      </x:c>
      <x:c r="F98" s="40" t="n">
        <x:v>10.458702087402344</x:v>
      </x:c>
      <x:c r="G98" s="40" t="n">
        <x:v>12</x:v>
      </x:c>
      <x:c r="H98" s="40" t="n">
        <x:f>F98-E98</x:f>
        <x:v>-1.641297912597656</x:v>
      </x:c>
      <x:c r="I98" s="40" t="n">
        <x:f>ABS(H98)</x:f>
        <x:v>1.641297912597656</x:v>
      </x:c>
      <x:c r="J98" s="40" t="n">
        <x:f>H98^2</x:f>
        <x:v>2.6938588378974226</x:v>
      </x:c>
      <x:c r="K98" s="40" t="n">
        <x:f>G98-E98</x:f>
        <x:v>-0.09999999999999964</x:v>
      </x:c>
      <x:c r="L98" s="40" t="n">
        <x:f>ABS(K98)</x:f>
        <x:v>0.09999999999999964</x:v>
      </x:c>
      <x:c r="M98" s="41" t="str">
        <x:v>lstm-soil-v1</x:v>
      </x:c>
    </x:row>
    <x:row r="99">
      <x:c r="A99" s="38" t="str">
        <x:v>7月30日现场数据</x:v>
      </x:c>
      <x:c r="B99" s="39" t="str">
        <x:v>2026-07-31T15:30:00</x:v>
      </x:c>
      <x:c r="C99" s="39" t="str">
        <x:v>2026-07-31T16:30:00</x:v>
      </x:c>
      <x:c r="D99" s="47" t="n">
        <x:v>60</x:v>
      </x:c>
      <x:c r="E99" s="40" t="n">
        <x:v>12.1</x:v>
      </x:c>
      <x:c r="F99" s="40" t="n">
        <x:v>12.165802001953125</x:v>
      </x:c>
      <x:c r="G99" s="40" t="n">
        <x:v>12</x:v>
      </x:c>
      <x:c r="H99" s="40" t="n">
        <x:f>F99-E99</x:f>
        <x:v>0.06580200195312536</x:v>
      </x:c>
      <x:c r="I99" s="40" t="n">
        <x:f>ABS(H99)</x:f>
        <x:v>0.06580200195312536</x:v>
      </x:c>
      <x:c r="J99" s="40" t="n">
        <x:f>H99^2</x:f>
        <x:v>0.004329903461039113</x:v>
      </x:c>
      <x:c r="K99" s="40" t="n">
        <x:f>G99-E99</x:f>
        <x:v>-0.09999999999999964</x:v>
      </x:c>
      <x:c r="L99" s="40" t="n">
        <x:f>ABS(K99)</x:f>
        <x:v>0.09999999999999964</x:v>
      </x:c>
      <x:c r="M99" s="41" t="str">
        <x:v>lstm-soil-v1</x:v>
      </x:c>
    </x:row>
    <x:row r="100">
      <x:c r="A100" s="38" t="str">
        <x:v>7月30日现场数据</x:v>
      </x:c>
      <x:c r="B100" s="39" t="str">
        <x:v>2026-07-31T15:35:00</x:v>
      </x:c>
      <x:c r="C100" s="39" t="str">
        <x:v>2026-07-31T15:40:00</x:v>
      </x:c>
      <x:c r="D100" s="47" t="n">
        <x:v>5</x:v>
      </x:c>
      <x:c r="E100" s="40" t="n">
        <x:v>12.1</x:v>
      </x:c>
      <x:c r="F100" s="40" t="n">
        <x:v>10.083927154541016</x:v>
      </x:c>
      <x:c r="G100" s="40" t="n">
        <x:v>12.1</x:v>
      </x:c>
      <x:c r="H100" s="40" t="n">
        <x:f>F100-E100</x:f>
        <x:v>-2.016072845458984</x:v>
      </x:c>
      <x:c r="I100" s="40" t="n">
        <x:f>ABS(H100)</x:f>
        <x:v>2.016072845458984</x:v>
      </x:c>
      <x:c r="J100" s="40" t="n">
        <x:f>H100^2</x:f>
        <x:v>4.064549718197084</x:v>
      </x:c>
      <x:c r="K100" s="40" t="n">
        <x:f>G100-E100</x:f>
        <x:v>0</x:v>
      </x:c>
      <x:c r="L100" s="40" t="n">
        <x:f>ABS(K100)</x:f>
        <x:v>0</x:v>
      </x:c>
      <x:c r="M100" s="41" t="str">
        <x:v>lstm-soil-v1</x:v>
      </x:c>
    </x:row>
    <x:row r="101">
      <x:c r="A101" s="38" t="str">
        <x:v>7月30日现场数据</x:v>
      </x:c>
      <x:c r="B101" s="39" t="str">
        <x:v>2026-07-31T15:35:00</x:v>
      </x:c>
      <x:c r="C101" s="39" t="str">
        <x:v>2026-07-31T15:50:00</x:v>
      </x:c>
      <x:c r="D101" s="47" t="n">
        <x:v>15</x:v>
      </x:c>
      <x:c r="E101" s="40" t="n">
        <x:v>12</x:v>
      </x:c>
      <x:c r="F101" s="40" t="n">
        <x:v>10.157073974609375</x:v>
      </x:c>
      <x:c r="G101" s="40" t="n">
        <x:v>12.1</x:v>
      </x:c>
      <x:c r="H101" s="40" t="n">
        <x:f>F101-E101</x:f>
        <x:v>-1.842926025390625</x:v>
      </x:c>
      <x:c r="I101" s="40" t="n">
        <x:f>ABS(H101)</x:f>
        <x:v>1.842926025390625</x:v>
      </x:c>
      <x:c r="J101" s="40" t="n">
        <x:f>H101^2</x:f>
        <x:v>3.3963763350620866</x:v>
      </x:c>
      <x:c r="K101" s="40" t="n">
        <x:f>G101-E101</x:f>
        <x:v>0.09999999999999964</x:v>
      </x:c>
      <x:c r="L101" s="40" t="n">
        <x:f>ABS(K101)</x:f>
        <x:v>0.09999999999999964</x:v>
      </x:c>
      <x:c r="M101" s="41" t="str">
        <x:v>lstm-soil-v1</x:v>
      </x:c>
    </x:row>
    <x:row r="102">
      <x:c r="A102" s="38" t="str">
        <x:v>7月30日现场数据</x:v>
      </x:c>
      <x:c r="B102" s="39" t="str">
        <x:v>2026-07-31T15:35:00</x:v>
      </x:c>
      <x:c r="C102" s="39" t="str">
        <x:v>2026-07-31T16:05:00</x:v>
      </x:c>
      <x:c r="D102" s="47" t="n">
        <x:v>30</x:v>
      </x:c>
      <x:c r="E102" s="40" t="n">
        <x:v>12.1</x:v>
      </x:c>
      <x:c r="F102" s="40" t="n">
        <x:v>10.56707763671875</x:v>
      </x:c>
      <x:c r="G102" s="40" t="n">
        <x:v>12.1</x:v>
      </x:c>
      <x:c r="H102" s="40" t="n">
        <x:f>F102-E102</x:f>
        <x:v>-1.5329223632812496</x:v>
      </x:c>
      <x:c r="I102" s="40" t="n">
        <x:f>ABS(H102)</x:f>
        <x:v>1.5329223632812496</x:v>
      </x:c>
      <x:c r="J102" s="40" t="n">
        <x:f>H102^2</x:f>
        <x:v>2.3498509718477716</x:v>
      </x:c>
      <x:c r="K102" s="40" t="n">
        <x:f>G102-E102</x:f>
        <x:v>0</x:v>
      </x:c>
      <x:c r="L102" s="40" t="n">
        <x:f>ABS(K102)</x:f>
        <x:v>0</x:v>
      </x:c>
      <x:c r="M102" s="41" t="str">
        <x:v>lstm-soil-v1</x:v>
      </x:c>
    </x:row>
    <x:row r="103">
      <x:c r="A103" s="38" t="str">
        <x:v>7月30日现场数据</x:v>
      </x:c>
      <x:c r="B103" s="39" t="str">
        <x:v>2026-07-31T15:35:00</x:v>
      </x:c>
      <x:c r="C103" s="39" t="str">
        <x:v>2026-07-31T16:35:00</x:v>
      </x:c>
      <x:c r="D103" s="47" t="n">
        <x:v>60</x:v>
      </x:c>
      <x:c r="E103" s="40" t="n">
        <x:v>12</x:v>
      </x:c>
      <x:c r="F103" s="40" t="n">
        <x:v>12.275131225585938</x:v>
      </x:c>
      <x:c r="G103" s="40" t="n">
        <x:v>12.1</x:v>
      </x:c>
      <x:c r="H103" s="40" t="n">
        <x:f>F103-E103</x:f>
        <x:v>0.2751312255859375</x:v>
      </x:c>
      <x:c r="I103" s="40" t="n">
        <x:f>ABS(H103)</x:f>
        <x:v>0.2751312255859375</x:v>
      </x:c>
      <x:c r="J103" s="40" t="n">
        <x:f>H103^2</x:f>
        <x:v>0.07569719129242003</x:v>
      </x:c>
      <x:c r="K103" s="40" t="n">
        <x:f>G103-E103</x:f>
        <x:v>0.09999999999999964</x:v>
      </x:c>
      <x:c r="L103" s="40" t="n">
        <x:f>ABS(K103)</x:f>
        <x:v>0.09999999999999964</x:v>
      </x:c>
      <x:c r="M103" s="41" t="str">
        <x:v>lstm-soil-v1</x:v>
      </x:c>
    </x:row>
    <x:row r="104">
      <x:c r="A104" s="38" t="str">
        <x:v>7月30日现场数据</x:v>
      </x:c>
      <x:c r="B104" s="39" t="str">
        <x:v>2026-07-31T15:40:00</x:v>
      </x:c>
      <x:c r="C104" s="39" t="str">
        <x:v>2026-07-31T15:45:00</x:v>
      </x:c>
      <x:c r="D104" s="47" t="n">
        <x:v>5</x:v>
      </x:c>
      <x:c r="E104" s="40" t="n">
        <x:v>12.1</x:v>
      </x:c>
      <x:c r="F104" s="40" t="n">
        <x:v>10.084209442138672</x:v>
      </x:c>
      <x:c r="G104" s="40" t="n">
        <x:v>12.1</x:v>
      </x:c>
      <x:c r="H104" s="40" t="n">
        <x:f>F104-E104</x:f>
        <x:v>-2.0157905578613278</x:v>
      </x:c>
      <x:c r="I104" s="40" t="n">
        <x:f>ABS(H104)</x:f>
        <x:v>2.0157905578613278</x:v>
      </x:c>
      <x:c r="J104" s="40" t="n">
        <x:f>H104^2</x:f>
        <x:v>4.063411573162883</x:v>
      </x:c>
      <x:c r="K104" s="40" t="n">
        <x:f>G104-E104</x:f>
        <x:v>0</x:v>
      </x:c>
      <x:c r="L104" s="40" t="n">
        <x:f>ABS(K104)</x:f>
        <x:v>0</x:v>
      </x:c>
      <x:c r="M104" s="41" t="str">
        <x:v>lstm-soil-v1</x:v>
      </x:c>
    </x:row>
    <x:row r="105">
      <x:c r="A105" s="38" t="str">
        <x:v>7月30日现场数据</x:v>
      </x:c>
      <x:c r="B105" s="39" t="str">
        <x:v>2026-07-31T15:40:00</x:v>
      </x:c>
      <x:c r="C105" s="39" t="str">
        <x:v>2026-07-31T15:55:00</x:v>
      </x:c>
      <x:c r="D105" s="47" t="n">
        <x:v>15</x:v>
      </x:c>
      <x:c r="E105" s="40" t="n">
        <x:v>12.1</x:v>
      </x:c>
      <x:c r="F105" s="40" t="n">
        <x:v>10.157081604003906</x:v>
      </x:c>
      <x:c r="G105" s="40" t="n">
        <x:v>12.1</x:v>
      </x:c>
      <x:c r="H105" s="40" t="n">
        <x:f>F105-E105</x:f>
        <x:v>-1.9429183959960934</x:v>
      </x:c>
      <x:c r="I105" s="40" t="n">
        <x:f>ABS(H105)</x:f>
        <x:v>1.9429183959960934</x:v>
      </x:c>
      <x:c r="J105" s="40" t="n">
        <x:f>H105^2</x:f>
        <x:v>3.774931893500032</x:v>
      </x:c>
      <x:c r="K105" s="40" t="n">
        <x:f>G105-E105</x:f>
        <x:v>0</x:v>
      </x:c>
      <x:c r="L105" s="40" t="n">
        <x:f>ABS(K105)</x:f>
        <x:v>0</x:v>
      </x:c>
      <x:c r="M105" s="41" t="str">
        <x:v>lstm-soil-v1</x:v>
      </x:c>
    </x:row>
    <x:row r="106">
      <x:c r="A106" s="38" t="str">
        <x:v>7月30日现场数据</x:v>
      </x:c>
      <x:c r="B106" s="39" t="str">
        <x:v>2026-07-31T15:40:00</x:v>
      </x:c>
      <x:c r="C106" s="39" t="str">
        <x:v>2026-07-31T16:10:00</x:v>
      </x:c>
      <x:c r="D106" s="47" t="n">
        <x:v>30</x:v>
      </x:c>
      <x:c r="E106" s="40" t="n">
        <x:v>12.1</x:v>
      </x:c>
      <x:c r="F106" s="40" t="n">
        <x:v>10.5673828125</x:v>
      </x:c>
      <x:c r="G106" s="40" t="n">
        <x:v>12.1</x:v>
      </x:c>
      <x:c r="H106" s="40" t="n">
        <x:f>F106-E106</x:f>
        <x:v>-1.5326171874999996</x:v>
      </x:c>
      <x:c r="I106" s="40" t="n">
        <x:f>ABS(H106)</x:f>
        <x:v>1.5326171874999996</x:v>
      </x:c>
      <x:c r="J106" s="40" t="n">
        <x:f>H106^2</x:f>
        <x:v>2.348915443420409</x:v>
      </x:c>
      <x:c r="K106" s="40" t="n">
        <x:f>G106-E106</x:f>
        <x:v>0</x:v>
      </x:c>
      <x:c r="L106" s="40" t="n">
        <x:f>ABS(K106)</x:f>
        <x:v>0</x:v>
      </x:c>
      <x:c r="M106" s="41" t="str">
        <x:v>lstm-soil-v1</x:v>
      </x:c>
    </x:row>
    <x:row r="107">
      <x:c r="A107" s="38" t="str">
        <x:v>7月30日现场数据</x:v>
      </x:c>
      <x:c r="B107" s="39" t="str">
        <x:v>2026-07-31T15:40:00</x:v>
      </x:c>
      <x:c r="C107" s="39" t="str">
        <x:v>2026-07-31T16:40:00</x:v>
      </x:c>
      <x:c r="D107" s="47" t="n">
        <x:v>60</x:v>
      </x:c>
      <x:c r="E107" s="40" t="n">
        <x:v>12.1</x:v>
      </x:c>
      <x:c r="F107" s="40" t="n">
        <x:v>12.275741577148438</x:v>
      </x:c>
      <x:c r="G107" s="40" t="n">
        <x:v>12.1</x:v>
      </x:c>
      <x:c r="H107" s="40" t="n">
        <x:f>F107-E107</x:f>
        <x:v>0.17574157714843786</x:v>
      </x:c>
      <x:c r="I107" s="40" t="n">
        <x:f>ABS(H107)</x:f>
        <x:v>0.17574157714843786</x:v>
      </x:c>
      <x:c r="J107" s="40" t="n">
        <x:f>H107^2</x:f>
        <x:v>0.030885101938620336</x:v>
      </x:c>
      <x:c r="K107" s="40" t="n">
        <x:f>G107-E107</x:f>
        <x:v>0</x:v>
      </x:c>
      <x:c r="L107" s="40" t="n">
        <x:f>ABS(K107)</x:f>
        <x:v>0</x:v>
      </x:c>
      <x:c r="M107" s="41" t="str">
        <x:v>lstm-soil-v1</x:v>
      </x:c>
    </x:row>
    <x:row r="108">
      <x:c r="A108" s="38" t="str">
        <x:v>7月30日现场数据</x:v>
      </x:c>
      <x:c r="B108" s="39" t="str">
        <x:v>2026-07-31T15:45:00</x:v>
      </x:c>
      <x:c r="C108" s="39" t="str">
        <x:v>2026-07-31T15:50:00</x:v>
      </x:c>
      <x:c r="D108" s="47" t="n">
        <x:v>5</x:v>
      </x:c>
      <x:c r="E108" s="40" t="n">
        <x:v>12</x:v>
      </x:c>
      <x:c r="F108" s="40" t="n">
        <x:v>10.083683013916016</x:v>
      </x:c>
      <x:c r="G108" s="40" t="n">
        <x:v>12.1</x:v>
      </x:c>
      <x:c r="H108" s="40" t="n">
        <x:f>F108-E108</x:f>
        <x:v>-1.9163169860839844</x:v>
      </x:c>
      <x:c r="I108" s="40" t="n">
        <x:f>ABS(H108)</x:f>
        <x:v>1.9163169860839844</x:v>
      </x:c>
      <x:c r="J108" s="40" t="n">
        <x:f>H108^2</x:f>
        <x:v>3.6722707911540056</x:v>
      </x:c>
      <x:c r="K108" s="40" t="n">
        <x:f>G108-E108</x:f>
        <x:v>0.09999999999999964</x:v>
      </x:c>
      <x:c r="L108" s="40" t="n">
        <x:f>ABS(K108)</x:f>
        <x:v>0.09999999999999964</x:v>
      </x:c>
      <x:c r="M108" s="41" t="str">
        <x:v>lstm-soil-v1</x:v>
      </x:c>
    </x:row>
    <x:row r="109">
      <x:c r="A109" s="38" t="str">
        <x:v>7月30日现场数据</x:v>
      </x:c>
      <x:c r="B109" s="39" t="str">
        <x:v>2026-07-31T15:45:00</x:v>
      </x:c>
      <x:c r="C109" s="39" t="str">
        <x:v>2026-07-31T16:00:00</x:v>
      </x:c>
      <x:c r="D109" s="47" t="n">
        <x:v>15</x:v>
      </x:c>
      <x:c r="E109" s="40" t="n">
        <x:v>12.1</x:v>
      </x:c>
      <x:c r="F109" s="40" t="n">
        <x:v>10.156684875488281</x:v>
      </x:c>
      <x:c r="G109" s="40" t="n">
        <x:v>12.1</x:v>
      </x:c>
      <x:c r="H109" s="40" t="n">
        <x:f>F109-E109</x:f>
        <x:v>-1.9433151245117184</x:v>
      </x:c>
      <x:c r="I109" s="40" t="n">
        <x:f>ABS(H109)</x:f>
        <x:v>1.9433151245117184</x:v>
      </x:c>
      <x:c r="J109" s="40" t="n">
        <x:f>H109^2</x:f>
        <x:v>3.7764736731559956</x:v>
      </x:c>
      <x:c r="K109" s="40" t="n">
        <x:f>G109-E109</x:f>
        <x:v>0</x:v>
      </x:c>
      <x:c r="L109" s="40" t="n">
        <x:f>ABS(K109)</x:f>
        <x:v>0</x:v>
      </x:c>
      <x:c r="M109" s="41" t="str">
        <x:v>lstm-soil-v1</x:v>
      </x:c>
    </x:row>
    <x:row r="110">
      <x:c r="A110" s="38" t="str">
        <x:v>7月30日现场数据</x:v>
      </x:c>
      <x:c r="B110" s="39" t="str">
        <x:v>2026-07-31T15:45:00</x:v>
      </x:c>
      <x:c r="C110" s="39" t="str">
        <x:v>2026-07-31T16:15:00</x:v>
      </x:c>
      <x:c r="D110" s="47" t="n">
        <x:v>30</x:v>
      </x:c>
      <x:c r="E110" s="40" t="n">
        <x:v>12.1</x:v>
      </x:c>
      <x:c r="F110" s="40" t="n">
        <x:v>10.566116333007812</x:v>
      </x:c>
      <x:c r="G110" s="40" t="n">
        <x:v>12.1</x:v>
      </x:c>
      <x:c r="H110" s="40" t="n">
        <x:f>F110-E110</x:f>
        <x:v>-1.5338836669921871</x:v>
      </x:c>
      <x:c r="I110" s="40" t="n">
        <x:f>ABS(H110)</x:f>
        <x:v>1.5338836669921871</x:v>
      </x:c>
      <x:c r="J110" s="40" t="n">
        <x:f>H110^2</x:f>
        <x:v>2.352799103865399</x:v>
      </x:c>
      <x:c r="K110" s="40" t="n">
        <x:f>G110-E110</x:f>
        <x:v>0</x:v>
      </x:c>
      <x:c r="L110" s="40" t="n">
        <x:f>ABS(K110)</x:f>
        <x:v>0</x:v>
      </x:c>
      <x:c r="M110" s="41" t="str">
        <x:v>lstm-soil-v1</x:v>
      </x:c>
    </x:row>
    <x:row r="111">
      <x:c r="A111" s="38" t="str">
        <x:v>7月30日现场数据</x:v>
      </x:c>
      <x:c r="B111" s="39" t="str">
        <x:v>2026-07-31T15:45:00</x:v>
      </x:c>
      <x:c r="C111" s="39" t="str">
        <x:v>2026-07-31T16:45:00</x:v>
      </x:c>
      <x:c r="D111" s="47" t="n">
        <x:v>60</x:v>
      </x:c>
      <x:c r="E111" s="40" t="n">
        <x:v>12.1</x:v>
      </x:c>
      <x:c r="F111" s="40" t="n">
        <x:v>12.275165557861328</x:v>
      </x:c>
      <x:c r="G111" s="40" t="n">
        <x:v>12.1</x:v>
      </x:c>
      <x:c r="H111" s="40" t="n">
        <x:f>F111-E111</x:f>
        <x:v>0.17516555786132848</x:v>
      </x:c>
      <x:c r="I111" s="40" t="n">
        <x:f>ABS(H111)</x:f>
        <x:v>0.17516555786132848</x:v>
      </x:c>
      <x:c r="J111" s="40" t="n">
        <x:f>H111^2</x:f>
        <x:v>0.030682972660870417</x:v>
      </x:c>
      <x:c r="K111" s="40" t="n">
        <x:f>G111-E111</x:f>
        <x:v>0</x:v>
      </x:c>
      <x:c r="L111" s="40" t="n">
        <x:f>ABS(K111)</x:f>
        <x:v>0</x:v>
      </x:c>
      <x:c r="M111" s="41" t="str">
        <x:v>lstm-soil-v1</x:v>
      </x:c>
    </x:row>
    <x:row r="112">
      <x:c r="A112" s="38" t="str">
        <x:v>7月30日现场数据</x:v>
      </x:c>
      <x:c r="B112" s="39" t="str">
        <x:v>2026-07-31T15:50:00</x:v>
      </x:c>
      <x:c r="C112" s="39" t="str">
        <x:v>2026-07-31T15:55:00</x:v>
      </x:c>
      <x:c r="D112" s="47" t="n">
        <x:v>5</x:v>
      </x:c>
      <x:c r="E112" s="40" t="n">
        <x:v>12.1</x:v>
      </x:c>
      <x:c r="F112" s="40" t="n">
        <x:v>9.972923278808594</x:v>
      </x:c>
      <x:c r="G112" s="40" t="n">
        <x:v>12</x:v>
      </x:c>
      <x:c r="H112" s="40" t="n">
        <x:f>F112-E112</x:f>
        <x:v>-2.127076721191406</x:v>
      </x:c>
      <x:c r="I112" s="40" t="n">
        <x:f>ABS(H112)</x:f>
        <x:v>2.127076721191406</x:v>
      </x:c>
      <x:c r="J112" s="40" t="n">
        <x:f>H112^2</x:f>
        <x:v>4.524455377834382</x:v>
      </x:c>
      <x:c r="K112" s="40" t="n">
        <x:f>G112-E112</x:f>
        <x:v>-0.09999999999999964</x:v>
      </x:c>
      <x:c r="L112" s="40" t="n">
        <x:f>ABS(K112)</x:f>
        <x:v>0.09999999999999964</x:v>
      </x:c>
      <x:c r="M112" s="41" t="str">
        <x:v>lstm-soil-v1</x:v>
      </x:c>
    </x:row>
    <x:row r="113">
      <x:c r="A113" s="38" t="str">
        <x:v>7月30日现场数据</x:v>
      </x:c>
      <x:c r="B113" s="39" t="str">
        <x:v>2026-07-31T15:50:00</x:v>
      </x:c>
      <x:c r="C113" s="39" t="str">
        <x:v>2026-07-31T16:05:00</x:v>
      </x:c>
      <x:c r="D113" s="47" t="n">
        <x:v>15</x:v>
      </x:c>
      <x:c r="E113" s="40" t="n">
        <x:v>12.1</x:v>
      </x:c>
      <x:c r="F113" s="40" t="n">
        <x:v>10.045913696289062</x:v>
      </x:c>
      <x:c r="G113" s="40" t="n">
        <x:v>12</x:v>
      </x:c>
      <x:c r="H113" s="40" t="n">
        <x:f>F113-E113</x:f>
        <x:v>-2.054086303710937</x:v>
      </x:c>
      <x:c r="I113" s="40" t="n">
        <x:f>ABS(H113)</x:f>
        <x:v>2.054086303710937</x:v>
      </x:c>
      <x:c r="J113" s="40" t="n">
        <x:f>H113^2</x:f>
        <x:v>4.21927054309286</x:v>
      </x:c>
      <x:c r="K113" s="40" t="n">
        <x:f>G113-E113</x:f>
        <x:v>-0.09999999999999964</x:v>
      </x:c>
      <x:c r="L113" s="40" t="n">
        <x:f>ABS(K113)</x:f>
        <x:v>0.09999999999999964</x:v>
      </x:c>
      <x:c r="M113" s="41" t="str">
        <x:v>lstm-soil-v1</x:v>
      </x:c>
    </x:row>
    <x:row r="114">
      <x:c r="A114" s="38" t="str">
        <x:v>7月30日现场数据</x:v>
      </x:c>
      <x:c r="B114" s="39" t="str">
        <x:v>2026-07-31T15:50:00</x:v>
      </x:c>
      <x:c r="C114" s="39" t="str">
        <x:v>2026-07-31T16:20:00</x:v>
      </x:c>
      <x:c r="D114" s="47" t="n">
        <x:v>30</x:v>
      </x:c>
      <x:c r="E114" s="40" t="n">
        <x:v>12.1</x:v>
      </x:c>
      <x:c r="F114" s="40" t="n">
        <x:v>10.454853057861328</x:v>
      </x:c>
      <x:c r="G114" s="40" t="n">
        <x:v>12</x:v>
      </x:c>
      <x:c r="H114" s="40" t="n">
        <x:f>F114-E114</x:f>
        <x:v>-1.6451469421386715</x:v>
      </x:c>
      <x:c r="I114" s="40" t="n">
        <x:f>ABS(H114)</x:f>
        <x:v>1.6451469421386715</x:v>
      </x:c>
      <x:c r="J114" s="40" t="n">
        <x:f>H114^2</x:f>
        <x:v>2.7065084612282213</x:v>
      </x:c>
      <x:c r="K114" s="40" t="n">
        <x:f>G114-E114</x:f>
        <x:v>-0.09999999999999964</x:v>
      </x:c>
      <x:c r="L114" s="40" t="n">
        <x:f>ABS(K114)</x:f>
        <x:v>0.09999999999999964</x:v>
      </x:c>
      <x:c r="M114" s="41" t="str">
        <x:v>lstm-soil-v1</x:v>
      </x:c>
    </x:row>
    <x:row r="115">
      <x:c r="A115" s="38" t="str">
        <x:v>7月30日现场数据</x:v>
      </x:c>
      <x:c r="B115" s="39" t="str">
        <x:v>2026-07-31T15:50:00</x:v>
      </x:c>
      <x:c r="C115" s="39" t="str">
        <x:v>2026-07-31T16:50:00</x:v>
      </x:c>
      <x:c r="D115" s="47" t="n">
        <x:v>60</x:v>
      </x:c>
      <x:c r="E115" s="40" t="n">
        <x:v>12.1</x:v>
      </x:c>
      <x:c r="F115" s="40" t="n">
        <x:v>12.16461181640625</x:v>
      </x:c>
      <x:c r="G115" s="40" t="n">
        <x:v>12</x:v>
      </x:c>
      <x:c r="H115" s="40" t="n">
        <x:f>F115-E115</x:f>
        <x:v>0.06461181640625036</x:v>
      </x:c>
      <x:c r="I115" s="40" t="n">
        <x:f>ABS(H115)</x:f>
        <x:v>0.06461181640625036</x:v>
      </x:c>
      <x:c r="J115" s="40" t="n">
        <x:f>H115^2</x:f>
        <x:v>0.0041746868193150025</x:v>
      </x:c>
      <x:c r="K115" s="40" t="n">
        <x:f>G115-E115</x:f>
        <x:v>-0.09999999999999964</x:v>
      </x:c>
      <x:c r="L115" s="40" t="n">
        <x:f>ABS(K115)</x:f>
        <x:v>0.09999999999999964</x:v>
      </x:c>
      <x:c r="M115" s="41" t="str">
        <x:v>lstm-soil-v1</x:v>
      </x:c>
    </x:row>
    <x:row r="116">
      <x:c r="A116" s="38" t="str">
        <x:v>7月30日现场数据</x:v>
      </x:c>
      <x:c r="B116" s="39" t="str">
        <x:v>2026-07-31T15:55:00</x:v>
      </x:c>
      <x:c r="C116" s="39" t="str">
        <x:v>2026-07-31T16:00:00</x:v>
      </x:c>
      <x:c r="D116" s="47" t="n">
        <x:v>5</x:v>
      </x:c>
      <x:c r="E116" s="40" t="n">
        <x:v>12.1</x:v>
      </x:c>
      <x:c r="F116" s="40" t="n">
        <x:v>10.082576751708984</x:v>
      </x:c>
      <x:c r="G116" s="40" t="n">
        <x:v>12.1</x:v>
      </x:c>
      <x:c r="H116" s="40" t="n">
        <x:f>F116-E116</x:f>
        <x:v>-2.0174232482910153</x:v>
      </x:c>
      <x:c r="I116" s="40" t="n">
        <x:f>ABS(H116)</x:f>
        <x:v>2.0174232482910153</x:v>
      </x:c>
      <x:c r="J116" s="40" t="n">
        <x:f>H116^2</x:f>
        <x:v>4.069996562745072</x:v>
      </x:c>
      <x:c r="K116" s="40" t="n">
        <x:f>G116-E116</x:f>
        <x:v>0</x:v>
      </x:c>
      <x:c r="L116" s="40" t="n">
        <x:f>ABS(K116)</x:f>
        <x:v>0</x:v>
      </x:c>
      <x:c r="M116" s="41" t="str">
        <x:v>lstm-soil-v1</x:v>
      </x:c>
    </x:row>
    <x:row r="117">
      <x:c r="A117" s="38" t="str">
        <x:v>7月30日现场数据</x:v>
      </x:c>
      <x:c r="B117" s="39" t="str">
        <x:v>2026-07-31T15:55:00</x:v>
      </x:c>
      <x:c r="C117" s="39" t="str">
        <x:v>2026-07-31T16:10:00</x:v>
      </x:c>
      <x:c r="D117" s="47" t="n">
        <x:v>15</x:v>
      </x:c>
      <x:c r="E117" s="40" t="n">
        <x:v>12.1</x:v>
      </x:c>
      <x:c r="F117" s="40" t="n">
        <x:v>10.1553955078125</x:v>
      </x:c>
      <x:c r="G117" s="40" t="n">
        <x:v>12.1</x:v>
      </x:c>
      <x:c r="H117" s="40" t="n">
        <x:f>F117-E117</x:f>
        <x:v>-1.9446044921874996</x:v>
      </x:c>
      <x:c r="I117" s="40" t="n">
        <x:f>ABS(H117)</x:f>
        <x:v>1.9446044921874996</x:v>
      </x:c>
      <x:c r="J117" s="40" t="n">
        <x:f>H117^2</x:f>
        <x:v>3.7814866310358033</x:v>
      </x:c>
      <x:c r="K117" s="40" t="n">
        <x:f>G117-E117</x:f>
        <x:v>0</x:v>
      </x:c>
      <x:c r="L117" s="40" t="n">
        <x:f>ABS(K117)</x:f>
        <x:v>0</x:v>
      </x:c>
      <x:c r="M117" s="41" t="str">
        <x:v>lstm-soil-v1</x:v>
      </x:c>
    </x:row>
    <x:row r="118">
      <x:c r="A118" s="38" t="str">
        <x:v>7月30日现场数据</x:v>
      </x:c>
      <x:c r="B118" s="39" t="str">
        <x:v>2026-07-31T15:55:00</x:v>
      </x:c>
      <x:c r="C118" s="39" t="str">
        <x:v>2026-07-31T16:25:00</x:v>
      </x:c>
      <x:c r="D118" s="47" t="n">
        <x:v>30</x:v>
      </x:c>
      <x:c r="E118" s="40" t="n">
        <x:v>12</x:v>
      </x:c>
      <x:c r="F118" s="40" t="n">
        <x:v>10.56402587890625</x:v>
      </x:c>
      <x:c r="G118" s="40" t="n">
        <x:v>12.1</x:v>
      </x:c>
      <x:c r="H118" s="40" t="n">
        <x:f>F118-E118</x:f>
        <x:v>-1.43597412109375</x:v>
      </x:c>
      <x:c r="I118" s="40" t="n">
        <x:f>ABS(H118)</x:f>
        <x:v>1.43597412109375</x:v>
      </x:c>
      <x:c r="J118" s="40" t="n">
        <x:f>H118^2</x:f>
        <x:v>2.062021676450968</x:v>
      </x:c>
      <x:c r="K118" s="40" t="n">
        <x:f>G118-E118</x:f>
        <x:v>0.09999999999999964</x:v>
      </x:c>
      <x:c r="L118" s="40" t="n">
        <x:f>ABS(K118)</x:f>
        <x:v>0.09999999999999964</x:v>
      </x:c>
      <x:c r="M118" s="41" t="str">
        <x:v>lstm-soil-v1</x:v>
      </x:c>
    </x:row>
    <x:row r="119">
      <x:c r="A119" s="38" t="str">
        <x:v>7月30日现场数据</x:v>
      </x:c>
      <x:c r="B119" s="39" t="str">
        <x:v>2026-07-31T15:55:00</x:v>
      </x:c>
      <x:c r="C119" s="39" t="str">
        <x:v>2026-07-31T16:55:00</x:v>
      </x:c>
      <x:c r="D119" s="47" t="n">
        <x:v>60</x:v>
      </x:c>
      <x:c r="E119" s="40" t="n">
        <x:v>12</x:v>
      </x:c>
      <x:c r="F119" s="40" t="n">
        <x:v>12.27450180053711</x:v>
      </x:c>
      <x:c r="G119" s="40" t="n">
        <x:v>12.1</x:v>
      </x:c>
      <x:c r="H119" s="40" t="n">
        <x:f>F119-E119</x:f>
        <x:v>0.2745018005371094</x:v>
      </x:c>
      <x:c r="I119" s="40" t="n">
        <x:f>ABS(H119)</x:f>
        <x:v>0.2745018005371094</x:v>
      </x:c>
      <x:c r="J119" s="40" t="n">
        <x:f>H119^2</x:f>
        <x:v>0.07535123849811498</x:v>
      </x:c>
      <x:c r="K119" s="40" t="n">
        <x:f>G119-E119</x:f>
        <x:v>0.09999999999999964</x:v>
      </x:c>
      <x:c r="L119" s="40" t="n">
        <x:f>ABS(K119)</x:f>
        <x:v>0.09999999999999964</x:v>
      </x:c>
      <x:c r="M119" s="41" t="str">
        <x:v>lstm-soil-v1</x:v>
      </x:c>
    </x:row>
    <x:row r="120">
      <x:c r="A120" s="38" t="str">
        <x:v>7月30日现场数据</x:v>
      </x:c>
      <x:c r="B120" s="39" t="str">
        <x:v>2026-07-31T16:00:00</x:v>
      </x:c>
      <x:c r="C120" s="39" t="str">
        <x:v>2026-07-31T16:05:00</x:v>
      </x:c>
      <x:c r="D120" s="47" t="n">
        <x:v>5</x:v>
      </x:c>
      <x:c r="E120" s="40" t="n">
        <x:v>12.1</x:v>
      </x:c>
      <x:c r="F120" s="40" t="n">
        <x:v>10.084030151367188</x:v>
      </x:c>
      <x:c r="G120" s="40" t="n">
        <x:v>12.1</x:v>
      </x:c>
      <x:c r="H120" s="40" t="n">
        <x:f>F120-E120</x:f>
        <x:v>-2.015969848632812</x:v>
      </x:c>
      <x:c r="I120" s="40" t="n">
        <x:f>ABS(H120)</x:f>
        <x:v>2.015969848632812</x:v>
      </x:c>
      <x:c r="J120" s="40" t="n">
        <x:f>H120^2</x:f>
        <x:v>4.064134430596604</x:v>
      </x:c>
      <x:c r="K120" s="40" t="n">
        <x:f>G120-E120</x:f>
        <x:v>0</x:v>
      </x:c>
      <x:c r="L120" s="40" t="n">
        <x:f>ABS(K120)</x:f>
        <x:v>0</x:v>
      </x:c>
      <x:c r="M120" s="41" t="str">
        <x:v>lstm-soil-v1</x:v>
      </x:c>
    </x:row>
    <x:row r="121">
      <x:c r="A121" s="38" t="str">
        <x:v>7月30日现场数据</x:v>
      </x:c>
      <x:c r="B121" s="39" t="str">
        <x:v>2026-07-31T16:00:00</x:v>
      </x:c>
      <x:c r="C121" s="39" t="str">
        <x:v>2026-07-31T16:15:00</x:v>
      </x:c>
      <x:c r="D121" s="47" t="n">
        <x:v>15</x:v>
      </x:c>
      <x:c r="E121" s="40" t="n">
        <x:v>12.1</x:v>
      </x:c>
      <x:c r="F121" s="40" t="n">
        <x:v>10.155967712402344</x:v>
      </x:c>
      <x:c r="G121" s="40" t="n">
        <x:v>12.1</x:v>
      </x:c>
      <x:c r="H121" s="40" t="n">
        <x:f>F121-E121</x:f>
        <x:v>-1.944032287597656</x:v>
      </x:c>
      <x:c r="I121" s="40" t="n">
        <x:f>ABS(H121)</x:f>
        <x:v>1.944032287597656</x:v>
      </x:c>
      <x:c r="J121" s="40" t="n">
        <x:f>H121^2</x:f>
        <x:v>3.779261535222175</x:v>
      </x:c>
      <x:c r="K121" s="40" t="n">
        <x:f>G121-E121</x:f>
        <x:v>0</x:v>
      </x:c>
      <x:c r="L121" s="40" t="n">
        <x:f>ABS(K121)</x:f>
        <x:v>0</x:v>
      </x:c>
      <x:c r="M121" s="41" t="str">
        <x:v>lstm-soil-v1</x:v>
      </x:c>
    </x:row>
    <x:row r="122">
      <x:c r="A122" s="38" t="str">
        <x:v>7月30日现场数据</x:v>
      </x:c>
      <x:c r="B122" s="39" t="str">
        <x:v>2026-07-31T16:00:00</x:v>
      </x:c>
      <x:c r="C122" s="39" t="str">
        <x:v>2026-07-31T16:30:00</x:v>
      </x:c>
      <x:c r="D122" s="47" t="n">
        <x:v>30</x:v>
      </x:c>
      <x:c r="E122" s="40" t="n">
        <x:v>12.1</x:v>
      </x:c>
      <x:c r="F122" s="40" t="n">
        <x:v>10.566146850585938</x:v>
      </x:c>
      <x:c r="G122" s="40" t="n">
        <x:v>12.1</x:v>
      </x:c>
      <x:c r="H122" s="40" t="n">
        <x:f>F122-E122</x:f>
        <x:v>-1.5338531494140621</x:v>
      </x:c>
      <x:c r="I122" s="40" t="n">
        <x:f>ABS(H122)</x:f>
        <x:v>1.5338531494140621</x:v>
      </x:c>
      <x:c r="J122" s="40" t="n">
        <x:f>H122^2</x:f>
        <x:v>2.352705483967437</x:v>
      </x:c>
      <x:c r="K122" s="40" t="n">
        <x:f>G122-E122</x:f>
        <x:v>0</x:v>
      </x:c>
      <x:c r="L122" s="40" t="n">
        <x:f>ABS(K122)</x:f>
        <x:v>0</x:v>
      </x:c>
      <x:c r="M122" s="41" t="str">
        <x:v>lstm-soil-v1</x:v>
      </x:c>
    </x:row>
    <x:row r="123">
      <x:c r="A123" s="38" t="str">
        <x:v>7月30日现场数据</x:v>
      </x:c>
      <x:c r="B123" s="39" t="str">
        <x:v>2026-07-31T16:00:00</x:v>
      </x:c>
      <x:c r="C123" s="39" t="str">
        <x:v>2026-07-31T17:00:00</x:v>
      </x:c>
      <x:c r="D123" s="47" t="n">
        <x:v>60</x:v>
      </x:c>
      <x:c r="E123" s="40" t="n">
        <x:v>12</x:v>
      </x:c>
      <x:c r="F123" s="40" t="n">
        <x:v>12.275497436523438</x:v>
      </x:c>
      <x:c r="G123" s="40" t="n">
        <x:v>12.1</x:v>
      </x:c>
      <x:c r="H123" s="40" t="n">
        <x:f>F123-E123</x:f>
        <x:v>0.2754974365234375</x:v>
      </x:c>
      <x:c r="I123" s="40" t="n">
        <x:f>ABS(H123)</x:f>
        <x:v>0.2754974365234375</x:v>
      </x:c>
      <x:c r="J123" s="40" t="n">
        <x:f>H123^2</x:f>
        <x:v>0.07589883753098547</x:v>
      </x:c>
      <x:c r="K123" s="40" t="n">
        <x:f>G123-E123</x:f>
        <x:v>0.09999999999999964</x:v>
      </x:c>
      <x:c r="L123" s="40" t="n">
        <x:f>ABS(K123)</x:f>
        <x:v>0.09999999999999964</x:v>
      </x:c>
      <x:c r="M123" s="41" t="str">
        <x:v>lstm-soil-v1</x:v>
      </x:c>
    </x:row>
    <x:row r="124">
      <x:c r="A124" s="38" t="str">
        <x:v>7月30日现场数据</x:v>
      </x:c>
      <x:c r="B124" s="39" t="str">
        <x:v>2026-07-31T16:05:00</x:v>
      </x:c>
      <x:c r="C124" s="39" t="str">
        <x:v>2026-07-31T16:10:00</x:v>
      </x:c>
      <x:c r="D124" s="47" t="n">
        <x:v>5</x:v>
      </x:c>
      <x:c r="E124" s="40" t="n">
        <x:v>12.1</x:v>
      </x:c>
      <x:c r="F124" s="40" t="n">
        <x:v>10.084957122802734</x:v>
      </x:c>
      <x:c r="G124" s="40" t="n">
        <x:v>12.1</x:v>
      </x:c>
      <x:c r="H124" s="40" t="n">
        <x:f>F124-E124</x:f>
        <x:v>-2.0150428771972653</x:v>
      </x:c>
      <x:c r="I124" s="40" t="n">
        <x:f>ABS(H124)</x:f>
        <x:v>2.0150428771972653</x:v>
      </x:c>
      <x:c r="J124" s="40" t="n">
        <x:f>H124^2</x:f>
        <x:v>4.060397796943433</x:v>
      </x:c>
      <x:c r="K124" s="40" t="n">
        <x:f>G124-E124</x:f>
        <x:v>0</x:v>
      </x:c>
      <x:c r="L124" s="40" t="n">
        <x:f>ABS(K124)</x:f>
        <x:v>0</x:v>
      </x:c>
      <x:c r="M124" s="41" t="str">
        <x:v>lstm-soil-v1</x:v>
      </x:c>
    </x:row>
    <x:row r="125">
      <x:c r="A125" s="38" t="str">
        <x:v>7月30日现场数据</x:v>
      </x:c>
      <x:c r="B125" s="39" t="str">
        <x:v>2026-07-31T16:05:00</x:v>
      </x:c>
      <x:c r="C125" s="39" t="str">
        <x:v>2026-07-31T16:20:00</x:v>
      </x:c>
      <x:c r="D125" s="47" t="n">
        <x:v>15</x:v>
      </x:c>
      <x:c r="E125" s="40" t="n">
        <x:v>12.1</x:v>
      </x:c>
      <x:c r="F125" s="40" t="n">
        <x:v>10.155292510986328</x:v>
      </x:c>
      <x:c r="G125" s="40" t="n">
        <x:v>12.1</x:v>
      </x:c>
      <x:c r="H125" s="40" t="n">
        <x:f>F125-E125</x:f>
        <x:v>-1.9447074890136715</x:v>
      </x:c>
      <x:c r="I125" s="40" t="n">
        <x:f>ABS(H125)</x:f>
        <x:v>1.9447074890136715</x:v>
      </x:c>
      <x:c r="J125" s="40" t="n">
        <x:f>H125^2</x:f>
        <x:v>3.7818872178258593</x:v>
      </x:c>
      <x:c r="K125" s="40" t="n">
        <x:f>G125-E125</x:f>
        <x:v>0</x:v>
      </x:c>
      <x:c r="L125" s="40" t="n">
        <x:f>ABS(K125)</x:f>
        <x:v>0</x:v>
      </x:c>
      <x:c r="M125" s="41" t="str">
        <x:v>lstm-soil-v1</x:v>
      </x:c>
    </x:row>
    <x:row r="126">
      <x:c r="A126" s="38" t="str">
        <x:v>7月30日现场数据</x:v>
      </x:c>
      <x:c r="B126" s="39" t="str">
        <x:v>2026-07-31T16:05:00</x:v>
      </x:c>
      <x:c r="C126" s="39" t="str">
        <x:v>2026-07-31T16:35:00</x:v>
      </x:c>
      <x:c r="D126" s="47" t="n">
        <x:v>30</x:v>
      </x:c>
      <x:c r="E126" s="40" t="n">
        <x:v>12</x:v>
      </x:c>
      <x:c r="F126" s="40" t="n">
        <x:v>10.565959930419922</x:v>
      </x:c>
      <x:c r="G126" s="40" t="n">
        <x:v>12.1</x:v>
      </x:c>
      <x:c r="H126" s="40" t="n">
        <x:f>F126-E126</x:f>
        <x:v>-1.4340400695800781</x:v>
      </x:c>
      <x:c r="I126" s="40" t="n">
        <x:f>ABS(H126)</x:f>
        <x:v>1.4340400695800781</x:v>
      </x:c>
      <x:c r="J126" s="40" t="n">
        <x:f>H126^2</x:f>
        <x:v>2.0564709211612353</x:v>
      </x:c>
      <x:c r="K126" s="40" t="n">
        <x:f>G126-E126</x:f>
        <x:v>0.09999999999999964</x:v>
      </x:c>
      <x:c r="L126" s="40" t="n">
        <x:f>ABS(K126)</x:f>
        <x:v>0.09999999999999964</x:v>
      </x:c>
      <x:c r="M126" s="41" t="str">
        <x:v>lstm-soil-v1</x:v>
      </x:c>
    </x:row>
    <x:row r="127">
      <x:c r="A127" s="38" t="str">
        <x:v>7月30日现场数据</x:v>
      </x:c>
      <x:c r="B127" s="39" t="str">
        <x:v>2026-07-31T16:05:00</x:v>
      </x:c>
      <x:c r="C127" s="39" t="str">
        <x:v>2026-07-31T17:05:00</x:v>
      </x:c>
      <x:c r="D127" s="47" t="n">
        <x:v>60</x:v>
      </x:c>
      <x:c r="E127" s="40" t="n">
        <x:v>12.1</x:v>
      </x:c>
      <x:c r="F127" s="40" t="n">
        <x:v>12.27652359008789</x:v>
      </x:c>
      <x:c r="G127" s="40" t="n">
        <x:v>12.1</x:v>
      </x:c>
      <x:c r="H127" s="40" t="n">
        <x:f>F127-E127</x:f>
        <x:v>0.17652359008789098</x:v>
      </x:c>
      <x:c r="I127" s="40" t="n">
        <x:f>ABS(H127)</x:f>
        <x:v>0.17652359008789098</x:v>
      </x:c>
      <x:c r="J127" s="40" t="n">
        <x:f>H127^2</x:f>
        <x:v>0.031160577857517763</x:v>
      </x:c>
      <x:c r="K127" s="40" t="n">
        <x:f>G127-E127</x:f>
        <x:v>0</x:v>
      </x:c>
      <x:c r="L127" s="40" t="n">
        <x:f>ABS(K127)</x:f>
        <x:v>0</x:v>
      </x:c>
      <x:c r="M127" s="41" t="str">
        <x:v>lstm-soil-v1</x:v>
      </x:c>
    </x:row>
    <x:row r="128">
      <x:c r="A128" s="38" t="str">
        <x:v>7月30日现场数据</x:v>
      </x:c>
      <x:c r="B128" s="39" t="str">
        <x:v>2026-07-31T16:10:00</x:v>
      </x:c>
      <x:c r="C128" s="39" t="str">
        <x:v>2026-07-31T16:15:00</x:v>
      </x:c>
      <x:c r="D128" s="47" t="n">
        <x:v>5</x:v>
      </x:c>
      <x:c r="E128" s="40" t="n">
        <x:v>12.1</x:v>
      </x:c>
      <x:c r="F128" s="40" t="n">
        <x:v>10.08498764038086</x:v>
      </x:c>
      <x:c r="G128" s="40" t="n">
        <x:v>12.1</x:v>
      </x:c>
      <x:c r="H128" s="40" t="n">
        <x:f>F128-E128</x:f>
        <x:v>-2.0150123596191403</x:v>
      </x:c>
      <x:c r="I128" s="40" t="n">
        <x:f>ABS(H128)</x:f>
        <x:v>2.0150123596191403</x:v>
      </x:c>
      <x:c r="J128" s="40" t="n">
        <x:f>H128^2</x:f>
        <x:v>4.060274809417895</x:v>
      </x:c>
      <x:c r="K128" s="40" t="n">
        <x:f>G128-E128</x:f>
        <x:v>0</x:v>
      </x:c>
      <x:c r="L128" s="40" t="n">
        <x:f>ABS(K128)</x:f>
        <x:v>0</x:v>
      </x:c>
      <x:c r="M128" s="41" t="str">
        <x:v>lstm-soil-v1</x:v>
      </x:c>
    </x:row>
    <x:row r="129">
      <x:c r="A129" s="38" t="str">
        <x:v>7月30日现场数据</x:v>
      </x:c>
      <x:c r="B129" s="39" t="str">
        <x:v>2026-07-31T16:10:00</x:v>
      </x:c>
      <x:c r="C129" s="39" t="str">
        <x:v>2026-07-31T16:25:00</x:v>
      </x:c>
      <x:c r="D129" s="47" t="n">
        <x:v>15</x:v>
      </x:c>
      <x:c r="E129" s="40" t="n">
        <x:v>12</x:v>
      </x:c>
      <x:c r="F129" s="40" t="n">
        <x:v>10.154106140136719</x:v>
      </x:c>
      <x:c r="G129" s="40" t="n">
        <x:v>12.1</x:v>
      </x:c>
      <x:c r="H129" s="40" t="n">
        <x:f>F129-E129</x:f>
        <x:v>-1.8458938598632812</x:v>
      </x:c>
      <x:c r="I129" s="40" t="n">
        <x:f>ABS(H129)</x:f>
        <x:v>1.8458938598632812</x:v>
      </x:c>
      <x:c r="J129" s="40" t="n">
        <x:f>H129^2</x:f>
        <x:v>3.407324141880963</x:v>
      </x:c>
      <x:c r="K129" s="40" t="n">
        <x:f>G129-E129</x:f>
        <x:v>0.09999999999999964</x:v>
      </x:c>
      <x:c r="L129" s="40" t="n">
        <x:f>ABS(K129)</x:f>
        <x:v>0.09999999999999964</x:v>
      </x:c>
      <x:c r="M129" s="41" t="str">
        <x:v>lstm-soil-v1</x:v>
      </x:c>
    </x:row>
    <x:row r="130">
      <x:c r="A130" s="38" t="str">
        <x:v>7月30日现场数据</x:v>
      </x:c>
      <x:c r="B130" s="39" t="str">
        <x:v>2026-07-31T16:10:00</x:v>
      </x:c>
      <x:c r="C130" s="39" t="str">
        <x:v>2026-07-31T16:40:00</x:v>
      </x:c>
      <x:c r="D130" s="47" t="n">
        <x:v>30</x:v>
      </x:c>
      <x:c r="E130" s="40" t="n">
        <x:v>12.1</x:v>
      </x:c>
      <x:c r="F130" s="40" t="n">
        <x:v>10.56467056274414</x:v>
      </x:c>
      <x:c r="G130" s="40" t="n">
        <x:v>12.1</x:v>
      </x:c>
      <x:c r="H130" s="40" t="n">
        <x:f>F130-E130</x:f>
        <x:v>-1.535329437255859</x:v>
      </x:c>
      <x:c r="I130" s="40" t="n">
        <x:f>ABS(H130)</x:f>
        <x:v>1.535329437255859</x:v>
      </x:c>
      <x:c r="J130" s="40" t="n">
        <x:f>H130^2</x:f>
        <x:v>2.3572364809043926</x:v>
      </x:c>
      <x:c r="K130" s="40" t="n">
        <x:f>G130-E130</x:f>
        <x:v>0</x:v>
      </x:c>
      <x:c r="L130" s="40" t="n">
        <x:f>ABS(K130)</x:f>
        <x:v>0</x:v>
      </x:c>
      <x:c r="M130" s="41" t="str">
        <x:v>lstm-soil-v1</x:v>
      </x:c>
    </x:row>
    <x:row r="131">
      <x:c r="A131" s="38" t="str">
        <x:v>7月30日现场数据</x:v>
      </x:c>
      <x:c r="B131" s="39" t="str">
        <x:v>2026-07-31T16:10:00</x:v>
      </x:c>
      <x:c r="C131" s="39" t="str">
        <x:v>2026-07-31T17:10:00</x:v>
      </x:c>
      <x:c r="D131" s="47" t="n">
        <x:v>60</x:v>
      </x:c>
      <x:c r="E131" s="40" t="n">
        <x:v>12.1</x:v>
      </x:c>
      <x:c r="F131" s="40" t="n">
        <x:v>12.276878356933594</x:v>
      </x:c>
      <x:c r="G131" s="40" t="n">
        <x:v>12.1</x:v>
      </x:c>
      <x:c r="H131" s="40" t="n">
        <x:f>F131-E131</x:f>
        <x:v>0.1768783569335941</x:v>
      </x:c>
      <x:c r="I131" s="40" t="n">
        <x:f>ABS(H131)</x:f>
        <x:v>0.1768783569335941</x:v>
      </x:c>
      <x:c r="J131" s="40" t="n">
        <x:f>H131^2</x:f>
        <x:v>0.03128595315152792</x:v>
      </x:c>
      <x:c r="K131" s="40" t="n">
        <x:f>G131-E131</x:f>
        <x:v>0</x:v>
      </x:c>
      <x:c r="L131" s="40" t="n">
        <x:f>ABS(K131)</x:f>
        <x:v>0</x:v>
      </x:c>
      <x:c r="M131" s="41" t="str">
        <x:v>lstm-soil-v1</x:v>
      </x:c>
    </x:row>
    <x:row r="132">
      <x:c r="A132" s="38" t="str">
        <x:v>7月30日现场数据</x:v>
      </x:c>
      <x:c r="B132" s="39" t="str">
        <x:v>2026-07-31T16:15:00</x:v>
      </x:c>
      <x:c r="C132" s="39" t="str">
        <x:v>2026-07-31T16:20:00</x:v>
      </x:c>
      <x:c r="D132" s="47" t="n">
        <x:v>5</x:v>
      </x:c>
      <x:c r="E132" s="40" t="n">
        <x:v>12.1</x:v>
      </x:c>
      <x:c r="F132" s="40" t="n">
        <x:v>10.084774017333984</x:v>
      </x:c>
      <x:c r="G132" s="40" t="n">
        <x:v>12.1</x:v>
      </x:c>
      <x:c r="H132" s="40" t="n">
        <x:f>F132-E132</x:f>
        <x:v>-2.0152259826660153</x:v>
      </x:c>
      <x:c r="I132" s="40" t="n">
        <x:f>ABS(H132)</x:f>
        <x:v>2.0152259826660153</x:v>
      </x:c>
      <x:c r="J132" s="40" t="n">
        <x:f>H132^2</x:f>
        <x:v>4.061135761212207</x:v>
      </x:c>
      <x:c r="K132" s="40" t="n">
        <x:f>G132-E132</x:f>
        <x:v>0</x:v>
      </x:c>
      <x:c r="L132" s="40" t="n">
        <x:f>ABS(K132)</x:f>
        <x:v>0</x:v>
      </x:c>
      <x:c r="M132" s="41" t="str">
        <x:v>lstm-soil-v1</x:v>
      </x:c>
    </x:row>
    <x:row r="133">
      <x:c r="A133" s="38" t="str">
        <x:v>7月30日现场数据</x:v>
      </x:c>
      <x:c r="B133" s="39" t="str">
        <x:v>2026-07-31T16:15:00</x:v>
      </x:c>
      <x:c r="C133" s="39" t="str">
        <x:v>2026-07-31T16:30:00</x:v>
      </x:c>
      <x:c r="D133" s="47" t="n">
        <x:v>15</x:v>
      </x:c>
      <x:c r="E133" s="40" t="n">
        <x:v>12.1</x:v>
      </x:c>
      <x:c r="F133" s="40" t="n">
        <x:v>10.153133392333984</x:v>
      </x:c>
      <x:c r="G133" s="40" t="n">
        <x:v>12.1</x:v>
      </x:c>
      <x:c r="H133" s="40" t="n">
        <x:f>F133-E133</x:f>
        <x:v>-1.9468666076660153</x:v>
      </x:c>
      <x:c r="I133" s="40" t="n">
        <x:f>ABS(H133)</x:f>
        <x:v>1.9468666076660153</x:v>
      </x:c>
      <x:c r="J133" s="40" t="n">
        <x:f>H133^2</x:f>
        <x:v>3.790289588044978</x:v>
      </x:c>
      <x:c r="K133" s="40" t="n">
        <x:f>G133-E133</x:f>
        <x:v>0</x:v>
      </x:c>
      <x:c r="L133" s="40" t="n">
        <x:f>ABS(K133)</x:f>
        <x:v>0</x:v>
      </x:c>
      <x:c r="M133" s="41" t="str">
        <x:v>lstm-soil-v1</x:v>
      </x:c>
    </x:row>
    <x:row r="134">
      <x:c r="A134" s="38" t="str">
        <x:v>7月30日现场数据</x:v>
      </x:c>
      <x:c r="B134" s="39" t="str">
        <x:v>2026-07-31T16:15:00</x:v>
      </x:c>
      <x:c r="C134" s="39" t="str">
        <x:v>2026-07-31T16:45:00</x:v>
      </x:c>
      <x:c r="D134" s="47" t="n">
        <x:v>30</x:v>
      </x:c>
      <x:c r="E134" s="40" t="n">
        <x:v>12.1</x:v>
      </x:c>
      <x:c r="F134" s="40" t="n">
        <x:v>10.563629150390625</x:v>
      </x:c>
      <x:c r="G134" s="40" t="n">
        <x:v>12.1</x:v>
      </x:c>
      <x:c r="H134" s="40" t="n">
        <x:f>F134-E134</x:f>
        <x:v>-1.5363708496093746</x:v>
      </x:c>
      <x:c r="I134" s="40" t="n">
        <x:f>ABS(H134)</x:f>
        <x:v>1.5363708496093746</x:v>
      </x:c>
      <x:c r="J134" s="40" t="n">
        <x:f>H134^2</x:f>
        <x:v>2.3604353875294315</x:v>
      </x:c>
      <x:c r="K134" s="40" t="n">
        <x:f>G134-E134</x:f>
        <x:v>0</x:v>
      </x:c>
      <x:c r="L134" s="40" t="n">
        <x:f>ABS(K134)</x:f>
        <x:v>0</x:v>
      </x:c>
      <x:c r="M134" s="41" t="str">
        <x:v>lstm-soil-v1</x:v>
      </x:c>
    </x:row>
    <x:row r="135">
      <x:c r="A135" s="38" t="str">
        <x:v>7月30日现场数据</x:v>
      </x:c>
      <x:c r="B135" s="39" t="str">
        <x:v>2026-07-31T16:15:00</x:v>
      </x:c>
      <x:c r="C135" s="39" t="str">
        <x:v>2026-07-31T17:15:00</x:v>
      </x:c>
      <x:c r="D135" s="47" t="n">
        <x:v>60</x:v>
      </x:c>
      <x:c r="E135" s="40" t="n">
        <x:v>12</x:v>
      </x:c>
      <x:c r="F135" s="40" t="n">
        <x:v>12.27706527709961</x:v>
      </x:c>
      <x:c r="G135" s="40" t="n">
        <x:v>12.1</x:v>
      </x:c>
      <x:c r="H135" s="40" t="n">
        <x:f>F135-E135</x:f>
        <x:v>0.2770652770996094</x:v>
      </x:c>
      <x:c r="I135" s="40" t="n">
        <x:f>ABS(H135)</x:f>
        <x:v>0.2770652770996094</x:v>
      </x:c>
      <x:c r="J135" s="40" t="n">
        <x:f>H135^2</x:f>
        <x:v>0.07676516777428333</x:v>
      </x:c>
      <x:c r="K135" s="40" t="n">
        <x:f>G135-E135</x:f>
        <x:v>0.09999999999999964</x:v>
      </x:c>
      <x:c r="L135" s="40" t="n">
        <x:f>ABS(K135)</x:f>
        <x:v>0.09999999999999964</x:v>
      </x:c>
      <x:c r="M135" s="41" t="str">
        <x:v>lstm-soil-v1</x:v>
      </x:c>
    </x:row>
    <x:row r="136">
      <x:c r="A136" s="38" t="str">
        <x:v>7月30日现场数据</x:v>
      </x:c>
      <x:c r="B136" s="39" t="str">
        <x:v>2026-07-31T16:20:00</x:v>
      </x:c>
      <x:c r="C136" s="39" t="str">
        <x:v>2026-07-31T16:25:00</x:v>
      </x:c>
      <x:c r="D136" s="47" t="n">
        <x:v>5</x:v>
      </x:c>
      <x:c r="E136" s="40" t="n">
        <x:v>12</x:v>
      </x:c>
      <x:c r="F136" s="40" t="n">
        <x:v>10.084178924560547</x:v>
      </x:c>
      <x:c r="G136" s="40" t="n">
        <x:v>12.1</x:v>
      </x:c>
      <x:c r="H136" s="40" t="n">
        <x:f>F136-E136</x:f>
        <x:v>-1.9158210754394531</x:v>
      </x:c>
      <x:c r="I136" s="40" t="n">
        <x:f>ABS(H136)</x:f>
        <x:v>1.9158210754394531</x:v>
      </x:c>
      <x:c r="J136" s="40" t="n">
        <x:f>H136^2</x:f>
        <x:v>3.6703703930979827</x:v>
      </x:c>
      <x:c r="K136" s="40" t="n">
        <x:f>G136-E136</x:f>
        <x:v>0.09999999999999964</x:v>
      </x:c>
      <x:c r="L136" s="40" t="n">
        <x:f>ABS(K136)</x:f>
        <x:v>0.09999999999999964</x:v>
      </x:c>
      <x:c r="M136" s="41" t="str">
        <x:v>lstm-soil-v1</x:v>
      </x:c>
    </x:row>
    <x:row r="137">
      <x:c r="A137" s="38" t="str">
        <x:v>7月30日现场数据</x:v>
      </x:c>
      <x:c r="B137" s="39" t="str">
        <x:v>2026-07-31T16:20:00</x:v>
      </x:c>
      <x:c r="C137" s="39" t="str">
        <x:v>2026-07-31T16:35:00</x:v>
      </x:c>
      <x:c r="D137" s="47" t="n">
        <x:v>15</x:v>
      </x:c>
      <x:c r="E137" s="40" t="n">
        <x:v>12</x:v>
      </x:c>
      <x:c r="F137" s="40" t="n">
        <x:v>10.152328491210938</x:v>
      </x:c>
      <x:c r="G137" s="40" t="n">
        <x:v>12.1</x:v>
      </x:c>
      <x:c r="H137" s="40" t="n">
        <x:f>F137-E137</x:f>
        <x:v>-1.8476715087890625</x:v>
      </x:c>
      <x:c r="I137" s="40" t="n">
        <x:f>ABS(H137)</x:f>
        <x:v>1.8476715087890625</x:v>
      </x:c>
      <x:c r="J137" s="40" t="n">
        <x:f>H137^2</x:f>
        <x:v>3.4138900043908507</x:v>
      </x:c>
      <x:c r="K137" s="40" t="n">
        <x:f>G137-E137</x:f>
        <x:v>0.09999999999999964</x:v>
      </x:c>
      <x:c r="L137" s="40" t="n">
        <x:f>ABS(K137)</x:f>
        <x:v>0.09999999999999964</x:v>
      </x:c>
      <x:c r="M137" s="41" t="str">
        <x:v>lstm-soil-v1</x:v>
      </x:c>
    </x:row>
    <x:row r="138">
      <x:c r="A138" s="38" t="str">
        <x:v>7月30日现场数据</x:v>
      </x:c>
      <x:c r="B138" s="39" t="str">
        <x:v>2026-07-31T16:20:00</x:v>
      </x:c>
      <x:c r="C138" s="39" t="str">
        <x:v>2026-07-31T16:50:00</x:v>
      </x:c>
      <x:c r="D138" s="47" t="n">
        <x:v>30</x:v>
      </x:c>
      <x:c r="E138" s="40" t="n">
        <x:v>12.1</x:v>
      </x:c>
      <x:c r="F138" s="40" t="n">
        <x:v>10.56228256225586</x:v>
      </x:c>
      <x:c r="G138" s="40" t="n">
        <x:v>12.1</x:v>
      </x:c>
      <x:c r="H138" s="40" t="n">
        <x:f>F138-E138</x:f>
        <x:v>-1.5377174377441403</x:v>
      </x:c>
      <x:c r="I138" s="40" t="n">
        <x:f>ABS(H138)</x:f>
        <x:v>1.5377174377441403</x:v>
      </x:c>
      <x:c r="J138" s="40" t="n">
        <x:f>H138^2</x:f>
        <x:v>2.364574918342404</x:v>
      </x:c>
      <x:c r="K138" s="40" t="n">
        <x:f>G138-E138</x:f>
        <x:v>0</x:v>
      </x:c>
      <x:c r="L138" s="40" t="n">
        <x:f>ABS(K138)</x:f>
        <x:v>0</x:v>
      </x:c>
      <x:c r="M138" s="41" t="str">
        <x:v>lstm-soil-v1</x:v>
      </x:c>
    </x:row>
    <x:row r="139">
      <x:c r="A139" s="38" t="str">
        <x:v>7月30日现场数据</x:v>
      </x:c>
      <x:c r="B139" s="39" t="str">
        <x:v>2026-07-31T16:20:00</x:v>
      </x:c>
      <x:c r="C139" s="39" t="str">
        <x:v>2026-07-31T17:20:00</x:v>
      </x:c>
      <x:c r="D139" s="47" t="n">
        <x:v>60</x:v>
      </x:c>
      <x:c r="E139" s="40" t="n">
        <x:v>12.1</x:v>
      </x:c>
      <x:c r="F139" s="40" t="n">
        <x:v>12.27663803100586</x:v>
      </x:c>
      <x:c r="G139" s="40" t="n">
        <x:v>12.1</x:v>
      </x:c>
      <x:c r="H139" s="40" t="n">
        <x:f>F139-E139</x:f>
        <x:v>0.17663803100585973</x:v>
      </x:c>
      <x:c r="I139" s="40" t="n">
        <x:f>ABS(H139)</x:f>
        <x:v>0.17663803100585973</x:v>
      </x:c>
      <x:c r="J139" s="40" t="n">
        <x:f>H139^2</x:f>
        <x:v>0.031200993997627064</x:v>
      </x:c>
      <x:c r="K139" s="40" t="n">
        <x:f>G139-E139</x:f>
        <x:v>0</x:v>
      </x:c>
      <x:c r="L139" s="40" t="n">
        <x:f>ABS(K139)</x:f>
        <x:v>0</x:v>
      </x:c>
      <x:c r="M139" s="41" t="str">
        <x:v>lstm-soil-v1</x:v>
      </x:c>
    </x:row>
    <x:row r="140">
      <x:c r="A140" s="38" t="str">
        <x:v>7月30日现场数据</x:v>
      </x:c>
      <x:c r="B140" s="39" t="str">
        <x:v>2026-07-31T16:25:00</x:v>
      </x:c>
      <x:c r="C140" s="39" t="str">
        <x:v>2026-07-31T16:30:00</x:v>
      </x:c>
      <x:c r="D140" s="47" t="n">
        <x:v>5</x:v>
      </x:c>
      <x:c r="E140" s="40" t="n">
        <x:v>12.1</x:v>
      </x:c>
      <x:c r="F140" s="40" t="n">
        <x:v>9.973228454589844</x:v>
      </x:c>
      <x:c r="G140" s="40" t="n">
        <x:v>12</x:v>
      </x:c>
      <x:c r="H140" s="40" t="n">
        <x:f>F140-E140</x:f>
        <x:v>-2.126771545410156</x:v>
      </x:c>
      <x:c r="I140" s="40" t="n">
        <x:f>ABS(H140)</x:f>
        <x:v>2.126771545410156</x:v>
      </x:c>
      <x:c r="J140" s="40" t="n">
        <x:f>H140^2</x:f>
        <x:v>4.523157206366303</x:v>
      </x:c>
      <x:c r="K140" s="40" t="n">
        <x:f>G140-E140</x:f>
        <x:v>-0.09999999999999964</x:v>
      </x:c>
      <x:c r="L140" s="40" t="n">
        <x:f>ABS(K140)</x:f>
        <x:v>0.09999999999999964</x:v>
      </x:c>
      <x:c r="M140" s="41" t="str">
        <x:v>lstm-soil-v1</x:v>
      </x:c>
    </x:row>
    <x:row r="141">
      <x:c r="A141" s="38" t="str">
        <x:v>7月30日现场数据</x:v>
      </x:c>
      <x:c r="B141" s="39" t="str">
        <x:v>2026-07-31T16:25:00</x:v>
      </x:c>
      <x:c r="C141" s="39" t="str">
        <x:v>2026-07-31T16:40:00</x:v>
      </x:c>
      <x:c r="D141" s="47" t="n">
        <x:v>15</x:v>
      </x:c>
      <x:c r="E141" s="40" t="n">
        <x:v>12.1</x:v>
      </x:c>
      <x:c r="F141" s="40" t="n">
        <x:v>10.041522979736328</x:v>
      </x:c>
      <x:c r="G141" s="40" t="n">
        <x:v>12</x:v>
      </x:c>
      <x:c r="H141" s="40" t="n">
        <x:f>F141-E141</x:f>
        <x:v>-2.0584770202636715</x:v>
      </x:c>
      <x:c r="I141" s="40" t="n">
        <x:f>ABS(H141)</x:f>
        <x:v>2.0584770202636715</x:v>
      </x:c>
      <x:c r="J141" s="40" t="n">
        <x:f>H141^2</x:f>
        <x:v>4.237327642953604</x:v>
      </x:c>
      <x:c r="K141" s="40" t="n">
        <x:f>G141-E141</x:f>
        <x:v>-0.09999999999999964</x:v>
      </x:c>
      <x:c r="L141" s="40" t="n">
        <x:f>ABS(K141)</x:f>
        <x:v>0.09999999999999964</x:v>
      </x:c>
      <x:c r="M141" s="41" t="str">
        <x:v>lstm-soil-v1</x:v>
      </x:c>
    </x:row>
    <x:row r="142">
      <x:c r="A142" s="38" t="str">
        <x:v>7月30日现场数据</x:v>
      </x:c>
      <x:c r="B142" s="39" t="str">
        <x:v>2026-07-31T16:25:00</x:v>
      </x:c>
      <x:c r="C142" s="39" t="str">
        <x:v>2026-07-31T16:55:00</x:v>
      </x:c>
      <x:c r="D142" s="47" t="n">
        <x:v>30</x:v>
      </x:c>
      <x:c r="E142" s="40" t="n">
        <x:v>12</x:v>
      </x:c>
      <x:c r="F142" s="40" t="n">
        <x:v>10.450843811035156</x:v>
      </x:c>
      <x:c r="G142" s="40" t="n">
        <x:v>12</x:v>
      </x:c>
      <x:c r="H142" s="40" t="n">
        <x:f>F142-E142</x:f>
        <x:v>-1.5491561889648438</x:v>
      </x:c>
      <x:c r="I142" s="40" t="n">
        <x:f>ABS(H142)</x:f>
        <x:v>1.5491561889648438</x:v>
      </x:c>
      <x:c r="J142" s="40" t="n">
        <x:f>H142^2</x:f>
        <x:v>2.3998848978080787</x:v>
      </x:c>
      <x:c r="K142" s="40" t="n">
        <x:f>G142-E142</x:f>
        <x:v>0</x:v>
      </x:c>
      <x:c r="L142" s="40" t="n">
        <x:f>ABS(K142)</x:f>
        <x:v>0</x:v>
      </x:c>
      <x:c r="M142" s="41" t="str">
        <x:v>lstm-soil-v1</x:v>
      </x:c>
    </x:row>
    <x:row r="143">
      <x:c r="A143" s="38" t="str">
        <x:v>7月30日现场数据</x:v>
      </x:c>
      <x:c r="B143" s="39" t="str">
        <x:v>2026-07-31T16:25:00</x:v>
      </x:c>
      <x:c r="C143" s="39" t="str">
        <x:v>2026-07-31T17:25:00</x:v>
      </x:c>
      <x:c r="D143" s="47" t="n">
        <x:v>60</x:v>
      </x:c>
      <x:c r="E143" s="40" t="n">
        <x:v>12.1</x:v>
      </x:c>
      <x:c r="F143" s="40" t="n">
        <x:v>12.165714263916016</x:v>
      </x:c>
      <x:c r="G143" s="40" t="n">
        <x:v>12</x:v>
      </x:c>
      <x:c r="H143" s="40" t="n">
        <x:f>F143-E143</x:f>
        <x:v>0.06571426391601598</x:v>
      </x:c>
      <x:c r="I143" s="40" t="n">
        <x:f>ABS(H143)</x:f>
        <x:v>0.06571426391601598</x:v>
      </x:c>
      <x:c r="J143" s="40" t="n">
        <x:f>H143^2</x:f>
        <x:v>0.0043183644820238</x:v>
      </x:c>
      <x:c r="K143" s="40" t="n">
        <x:f>G143-E143</x:f>
        <x:v>-0.09999999999999964</x:v>
      </x:c>
      <x:c r="L143" s="40" t="n">
        <x:f>ABS(K143)</x:f>
        <x:v>0.09999999999999964</x:v>
      </x:c>
      <x:c r="M143" s="41" t="str">
        <x:v>lstm-soil-v1</x:v>
      </x:c>
    </x:row>
    <x:row r="144">
      <x:c r="A144" s="38" t="str">
        <x:v>7月30日现场数据</x:v>
      </x:c>
      <x:c r="B144" s="39" t="str">
        <x:v>2026-07-31T16:30:00</x:v>
      </x:c>
      <x:c r="C144" s="39" t="str">
        <x:v>2026-07-31T16:35:00</x:v>
      </x:c>
      <x:c r="D144" s="47" t="n">
        <x:v>5</x:v>
      </x:c>
      <x:c r="E144" s="40" t="n">
        <x:v>12</x:v>
      </x:c>
      <x:c r="F144" s="40" t="n">
        <x:v>10.08273696899414</x:v>
      </x:c>
      <x:c r="G144" s="40" t="n">
        <x:v>12.1</x:v>
      </x:c>
      <x:c r="H144" s="40" t="n">
        <x:f>F144-E144</x:f>
        <x:v>-1.9172630310058594</x:v>
      </x:c>
      <x:c r="I144" s="40" t="n">
        <x:f>ABS(H144)</x:f>
        <x:v>1.9172630310058594</x:v>
      </x:c>
      <x:c r="J144" s="40" t="n">
        <x:f>H144^2</x:f>
        <x:v>3.675897530061775</x:v>
      </x:c>
      <x:c r="K144" s="40" t="n">
        <x:f>G144-E144</x:f>
        <x:v>0.09999999999999964</x:v>
      </x:c>
      <x:c r="L144" s="40" t="n">
        <x:f>ABS(K144)</x:f>
        <x:v>0.09999999999999964</x:v>
      </x:c>
      <x:c r="M144" s="41" t="str">
        <x:v>lstm-soil-v1</x:v>
      </x:c>
    </x:row>
    <x:row r="145">
      <x:c r="A145" s="38" t="str">
        <x:v>7月30日现场数据</x:v>
      </x:c>
      <x:c r="B145" s="39" t="str">
        <x:v>2026-07-31T16:30:00</x:v>
      </x:c>
      <x:c r="C145" s="39" t="str">
        <x:v>2026-07-31T16:45:00</x:v>
      </x:c>
      <x:c r="D145" s="47" t="n">
        <x:v>15</x:v>
      </x:c>
      <x:c r="E145" s="40" t="n">
        <x:v>12.1</x:v>
      </x:c>
      <x:c r="F145" s="40" t="n">
        <x:v>10.152175903320312</x:v>
      </x:c>
      <x:c r="G145" s="40" t="n">
        <x:v>12.1</x:v>
      </x:c>
      <x:c r="H145" s="40" t="n">
        <x:f>F145-E145</x:f>
        <x:v>-1.9478240966796871</x:v>
      </x:c>
      <x:c r="I145" s="40" t="n">
        <x:f>ABS(H145)</x:f>
        <x:v>1.9478240966796871</x:v>
      </x:c>
      <x:c r="J145" s="40" t="n">
        <x:f>H145^2</x:f>
        <x:v>3.7940187116060393</x:v>
      </x:c>
      <x:c r="K145" s="40" t="n">
        <x:f>G145-E145</x:f>
        <x:v>0</x:v>
      </x:c>
      <x:c r="L145" s="40" t="n">
        <x:f>ABS(K145)</x:f>
        <x:v>0</x:v>
      </x:c>
      <x:c r="M145" s="41" t="str">
        <x:v>lstm-soil-v1</x:v>
      </x:c>
    </x:row>
    <x:row r="146">
      <x:c r="A146" s="38" t="str">
        <x:v>7月30日现场数据</x:v>
      </x:c>
      <x:c r="B146" s="39" t="str">
        <x:v>2026-07-31T16:30:00</x:v>
      </x:c>
      <x:c r="C146" s="39" t="str">
        <x:v>2026-07-31T17:00:00</x:v>
      </x:c>
      <x:c r="D146" s="47" t="n">
        <x:v>30</x:v>
      </x:c>
      <x:c r="E146" s="40" t="n">
        <x:v>12</x:v>
      </x:c>
      <x:c r="F146" s="40" t="n">
        <x:v>10.560039520263672</x:v>
      </x:c>
      <x:c r="G146" s="40" t="n">
        <x:v>12.1</x:v>
      </x:c>
      <x:c r="H146" s="40" t="n">
        <x:f>F146-E146</x:f>
        <x:v>-1.4399604797363281</x:v>
      </x:c>
      <x:c r="I146" s="40" t="n">
        <x:f>ABS(H146)</x:f>
        <x:v>1.4399604797363281</x:v>
      </x:c>
      <x:c r="J146" s="40" t="n">
        <x:f>H146^2</x:f>
        <x:v>2.0734861832024762</x:v>
      </x:c>
      <x:c r="K146" s="40" t="n">
        <x:f>G146-E146</x:f>
        <x:v>0.09999999999999964</x:v>
      </x:c>
      <x:c r="L146" s="40" t="n">
        <x:f>ABS(K146)</x:f>
        <x:v>0.09999999999999964</x:v>
      </x:c>
      <x:c r="M146" s="41" t="str">
        <x:v>lstm-soil-v1</x:v>
      </x:c>
    </x:row>
    <x:row r="147">
      <x:c r="A147" s="38" t="str">
        <x:v>7月30日现场数据</x:v>
      </x:c>
      <x:c r="B147" s="39" t="str">
        <x:v>2026-07-31T16:30:00</x:v>
      </x:c>
      <x:c r="C147" s="39" t="str">
        <x:v>2026-07-31T17:30:00</x:v>
      </x:c>
      <x:c r="D147" s="47" t="n">
        <x:v>60</x:v>
      </x:c>
      <x:c r="E147" s="40" t="n">
        <x:v>12.1</x:v>
      </x:c>
      <x:c r="F147" s="40" t="n">
        <x:v>12.276790618896484</x:v>
      </x:c>
      <x:c r="G147" s="40" t="n">
        <x:v>12.1</x:v>
      </x:c>
      <x:c r="H147" s="40" t="n">
        <x:f>F147-E147</x:f>
        <x:v>0.17679061889648473</x:v>
      </x:c>
      <x:c r="I147" s="40" t="n">
        <x:f>ABS(H147)</x:f>
        <x:v>0.17679061889648473</x:v>
      </x:c>
      <x:c r="J147" s="40" t="n">
        <x:f>H147^2</x:f>
        <x:v>0.0312549229298021</x:v>
      </x:c>
      <x:c r="K147" s="40" t="n">
        <x:f>G147-E147</x:f>
        <x:v>0</x:v>
      </x:c>
      <x:c r="L147" s="40" t="n">
        <x:f>ABS(K147)</x:f>
        <x:v>0</x:v>
      </x:c>
      <x:c r="M147" s="41" t="str">
        <x:v>lstm-soil-v1</x:v>
      </x:c>
    </x:row>
    <x:row r="148">
      <x:c r="A148" s="38" t="str">
        <x:v>7月30日现场数据</x:v>
      </x:c>
      <x:c r="B148" s="39" t="str">
        <x:v>2026-07-31T16:35:00</x:v>
      </x:c>
      <x:c r="C148" s="39" t="str">
        <x:v>2026-07-31T16:40:00</x:v>
      </x:c>
      <x:c r="D148" s="47" t="n">
        <x:v>5</x:v>
      </x:c>
      <x:c r="E148" s="40" t="n">
        <x:v>12.1</x:v>
      </x:c>
      <x:c r="F148" s="40" t="n">
        <x:v>9.97116470336914</x:v>
      </x:c>
      <x:c r="G148" s="40" t="n">
        <x:v>12</x:v>
      </x:c>
      <x:c r="H148" s="40" t="n">
        <x:f>F148-E148</x:f>
        <x:v>-2.128835296630859</x:v>
      </x:c>
      <x:c r="I148" s="40" t="n">
        <x:f>ABS(H148)</x:f>
        <x:v>2.128835296630859</x:v>
      </x:c>
      <x:c r="J148" s="40" t="n">
        <x:f>H148^2</x:f>
        <x:v>4.531939720181398</x:v>
      </x:c>
      <x:c r="K148" s="40" t="n">
        <x:f>G148-E148</x:f>
        <x:v>-0.09999999999999964</x:v>
      </x:c>
      <x:c r="L148" s="40" t="n">
        <x:f>ABS(K148)</x:f>
        <x:v>0.09999999999999964</x:v>
      </x:c>
      <x:c r="M148" s="41" t="str">
        <x:v>lstm-soil-v1</x:v>
      </x:c>
    </x:row>
    <x:row r="149">
      <x:c r="A149" s="38" t="str">
        <x:v>7月30日现场数据</x:v>
      </x:c>
      <x:c r="B149" s="39" t="str">
        <x:v>2026-07-31T16:35:00</x:v>
      </x:c>
      <x:c r="C149" s="39" t="str">
        <x:v>2026-07-31T16:50:00</x:v>
      </x:c>
      <x:c r="D149" s="47" t="n">
        <x:v>15</x:v>
      </x:c>
      <x:c r="E149" s="40" t="n">
        <x:v>12.1</x:v>
      </x:c>
      <x:c r="F149" s="40" t="n">
        <x:v>10.041343688964844</x:v>
      </x:c>
      <x:c r="G149" s="40" t="n">
        <x:v>12</x:v>
      </x:c>
      <x:c r="H149" s="40" t="n">
        <x:f>F149-E149</x:f>
        <x:v>-2.058656311035156</x:v>
      </x:c>
      <x:c r="I149" s="40" t="n">
        <x:f>ABS(H149)</x:f>
        <x:v>2.058656311035156</x:v>
      </x:c>
      <x:c r="J149" s="40" t="n">
        <x:f>H149^2</x:f>
        <x:v>4.238065806964877</x:v>
      </x:c>
      <x:c r="K149" s="40" t="n">
        <x:f>G149-E149</x:f>
        <x:v>-0.09999999999999964</x:v>
      </x:c>
      <x:c r="L149" s="40" t="n">
        <x:f>ABS(K149)</x:f>
        <x:v>0.09999999999999964</x:v>
      </x:c>
      <x:c r="M149" s="41" t="str">
        <x:v>lstm-soil-v1</x:v>
      </x:c>
    </x:row>
    <x:row r="150">
      <x:c r="A150" s="38" t="str">
        <x:v>7月30日现场数据</x:v>
      </x:c>
      <x:c r="B150" s="39" t="str">
        <x:v>2026-07-31T16:35:00</x:v>
      </x:c>
      <x:c r="C150" s="39" t="str">
        <x:v>2026-07-31T17:05:00</x:v>
      </x:c>
      <x:c r="D150" s="47" t="n">
        <x:v>30</x:v>
      </x:c>
      <x:c r="E150" s="40" t="n">
        <x:v>12.1</x:v>
      </x:c>
      <x:c r="F150" s="40" t="n">
        <x:v>10.447860717773438</x:v>
      </x:c>
      <x:c r="G150" s="40" t="n">
        <x:v>12</x:v>
      </x:c>
      <x:c r="H150" s="40" t="n">
        <x:f>F150-E150</x:f>
        <x:v>-1.6521392822265621</x:v>
      </x:c>
      <x:c r="I150" s="40" t="n">
        <x:f>ABS(H150)</x:f>
        <x:v>1.6521392822265621</x:v>
      </x:c>
      <x:c r="J150" s="40" t="n">
        <x:f>H150^2</x:f>
        <x:v>2.7295642078760998</x:v>
      </x:c>
      <x:c r="K150" s="40" t="n">
        <x:f>G150-E150</x:f>
        <x:v>-0.09999999999999964</x:v>
      </x:c>
      <x:c r="L150" s="40" t="n">
        <x:f>ABS(K150)</x:f>
        <x:v>0.09999999999999964</x:v>
      </x:c>
      <x:c r="M150" s="41" t="str">
        <x:v>lstm-soil-v1</x:v>
      </x:c>
    </x:row>
    <x:row r="151">
      <x:c r="A151" s="38" t="str">
        <x:v>7月30日现场数据</x:v>
      </x:c>
      <x:c r="B151" s="39" t="str">
        <x:v>2026-07-31T16:35:00</x:v>
      </x:c>
      <x:c r="C151" s="39" t="str">
        <x:v>2026-07-31T17:35:00</x:v>
      </x:c>
      <x:c r="D151" s="47" t="n">
        <x:v>60</x:v>
      </x:c>
      <x:c r="E151" s="40" t="n">
        <x:v>12.1</x:v>
      </x:c>
      <x:c r="F151" s="40" t="n">
        <x:v>12.163734436035156</x:v>
      </x:c>
      <x:c r="G151" s="40" t="n">
        <x:v>12</x:v>
      </x:c>
      <x:c r="H151" s="40" t="n">
        <x:f>F151-E151</x:f>
        <x:v>0.0637344360351566</x:v>
      </x:c>
      <x:c r="I151" s="40" t="n">
        <x:f>ABS(H151)</x:f>
        <x:v>0.0637344360351566</x:v>
      </x:c>
      <x:c r="J151" s="40" t="n">
        <x:f>H151^2</x:f>
        <x:v>0.0040620783367194685</x:v>
      </x:c>
      <x:c r="K151" s="40" t="n">
        <x:f>G151-E151</x:f>
        <x:v>-0.09999999999999964</x:v>
      </x:c>
      <x:c r="L151" s="40" t="n">
        <x:f>ABS(K151)</x:f>
        <x:v>0.09999999999999964</x:v>
      </x:c>
      <x:c r="M151" s="41" t="str">
        <x:v>lstm-soil-v1</x:v>
      </x:c>
    </x:row>
    <x:row r="152">
      <x:c r="A152" s="38" t="str">
        <x:v>7月30日现场数据</x:v>
      </x:c>
      <x:c r="B152" s="39" t="str">
        <x:v>2026-07-31T16:40:00</x:v>
      </x:c>
      <x:c r="C152" s="39" t="str">
        <x:v>2026-07-31T16:45:00</x:v>
      </x:c>
      <x:c r="D152" s="47" t="n">
        <x:v>5</x:v>
      </x:c>
      <x:c r="E152" s="40" t="n">
        <x:v>12.1</x:v>
      </x:c>
      <x:c r="F152" s="40" t="n">
        <x:v>10.081146240234375</x:v>
      </x:c>
      <x:c r="G152" s="40" t="n">
        <x:v>12.1</x:v>
      </x:c>
      <x:c r="H152" s="40" t="n">
        <x:f>F152-E152</x:f>
        <x:v>-2.0188537597656246</x:v>
      </x:c>
      <x:c r="I152" s="40" t="n">
        <x:f>ABS(H152)</x:f>
        <x:v>2.0188537597656246</x:v>
      </x:c>
      <x:c r="J152" s="40" t="n">
        <x:f>H152^2</x:f>
        <x:v>4.075770503319799</x:v>
      </x:c>
      <x:c r="K152" s="40" t="n">
        <x:f>G152-E152</x:f>
        <x:v>0</x:v>
      </x:c>
      <x:c r="L152" s="40" t="n">
        <x:f>ABS(K152)</x:f>
        <x:v>0</x:v>
      </x:c>
      <x:c r="M152" s="41" t="str">
        <x:v>lstm-soil-v1</x:v>
      </x:c>
    </x:row>
    <x:row r="153">
      <x:c r="A153" s="38" t="str">
        <x:v>7月30日现场数据</x:v>
      </x:c>
      <x:c r="B153" s="39" t="str">
        <x:v>2026-07-31T16:40:00</x:v>
      </x:c>
      <x:c r="C153" s="39" t="str">
        <x:v>2026-07-31T16:55:00</x:v>
      </x:c>
      <x:c r="D153" s="47" t="n">
        <x:v>15</x:v>
      </x:c>
      <x:c r="E153" s="40" t="n">
        <x:v>12</x:v>
      </x:c>
      <x:c r="F153" s="40" t="n">
        <x:v>10.15078353881836</x:v>
      </x:c>
      <x:c r="G153" s="40" t="n">
        <x:v>12.1</x:v>
      </x:c>
      <x:c r="H153" s="40" t="n">
        <x:f>F153-E153</x:f>
        <x:v>-1.8492164611816406</x:v>
      </x:c>
      <x:c r="I153" s="40" t="n">
        <x:f>ABS(H153)</x:f>
        <x:v>1.8492164611816406</x:v>
      </x:c>
      <x:c r="J153" s="40" t="n">
        <x:f>H153^2</x:f>
        <x:v>3.41960152030515</x:v>
      </x:c>
      <x:c r="K153" s="40" t="n">
        <x:f>G153-E153</x:f>
        <x:v>0.09999999999999964</x:v>
      </x:c>
      <x:c r="L153" s="40" t="n">
        <x:f>ABS(K153)</x:f>
        <x:v>0.09999999999999964</x:v>
      </x:c>
      <x:c r="M153" s="41" t="str">
        <x:v>lstm-soil-v1</x:v>
      </x:c>
    </x:row>
    <x:row r="154">
      <x:c r="A154" s="38" t="str">
        <x:v>7月30日现场数据</x:v>
      </x:c>
      <x:c r="B154" s="39" t="str">
        <x:v>2026-07-31T16:40:00</x:v>
      </x:c>
      <x:c r="C154" s="39" t="str">
        <x:v>2026-07-31T17:10:00</x:v>
      </x:c>
      <x:c r="D154" s="47" t="n">
        <x:v>30</x:v>
      </x:c>
      <x:c r="E154" s="40" t="n">
        <x:v>12.1</x:v>
      </x:c>
      <x:c r="F154" s="40" t="n">
        <x:v>10.557506561279297</x:v>
      </x:c>
      <x:c r="G154" s="40" t="n">
        <x:v>12.1</x:v>
      </x:c>
      <x:c r="H154" s="40" t="n">
        <x:f>F154-E154</x:f>
        <x:v>-1.5424934387207028</x:v>
      </x:c>
      <x:c r="I154" s="40" t="n">
        <x:f>ABS(H154)</x:f>
        <x:v>1.5424934387207028</x:v>
      </x:c>
      <x:c r="J154" s="40" t="n">
        <x:f>H154^2</x:f>
        <x:v>2.3792860084964182</x:v>
      </x:c>
      <x:c r="K154" s="40" t="n">
        <x:f>G154-E154</x:f>
        <x:v>0</x:v>
      </x:c>
      <x:c r="L154" s="40" t="n">
        <x:f>ABS(K154)</x:f>
        <x:v>0</x:v>
      </x:c>
      <x:c r="M154" s="41" t="str">
        <x:v>lstm-soil-v1</x:v>
      </x:c>
    </x:row>
    <x:row r="155">
      <x:c r="A155" s="38" t="str">
        <x:v>7月30日现场数据</x:v>
      </x:c>
      <x:c r="B155" s="39" t="str">
        <x:v>2026-07-31T16:40:00</x:v>
      </x:c>
      <x:c r="C155" s="39" t="str">
        <x:v>2026-07-31T17:40:00</x:v>
      </x:c>
      <x:c r="D155" s="47" t="n">
        <x:v>60</x:v>
      </x:c>
      <x:c r="E155" s="40" t="n">
        <x:v>12.1</x:v>
      </x:c>
      <x:c r="F155" s="40" t="n">
        <x:v>12.273601531982422</x:v>
      </x:c>
      <x:c r="G155" s="40" t="n">
        <x:v>12.1</x:v>
      </x:c>
      <x:c r="H155" s="40" t="n">
        <x:f>F155-E155</x:f>
        <x:v>0.17360153198242223</x:v>
      </x:c>
      <x:c r="I155" s="40" t="n">
        <x:f>ABS(H155)</x:f>
        <x:v>0.17360153198242223</x:v>
      </x:c>
      <x:c r="J155" s="40" t="n">
        <x:f>H155^2</x:f>
        <x:v>0.030137491906643967</x:v>
      </x:c>
      <x:c r="K155" s="40" t="n">
        <x:f>G155-E155</x:f>
        <x:v>0</x:v>
      </x:c>
      <x:c r="L155" s="40" t="n">
        <x:f>ABS(K155)</x:f>
        <x:v>0</x:v>
      </x:c>
      <x:c r="M155" s="41" t="str">
        <x:v>lstm-soil-v1</x:v>
      </x:c>
    </x:row>
    <x:row r="156">
      <x:c r="A156" s="38" t="str">
        <x:v>7月30日现场数据</x:v>
      </x:c>
      <x:c r="B156" s="39" t="str">
        <x:v>2026-07-31T16:45:00</x:v>
      </x:c>
      <x:c r="C156" s="39" t="str">
        <x:v>2026-07-31T16:50:00</x:v>
      </x:c>
      <x:c r="D156" s="47" t="n">
        <x:v>5</x:v>
      </x:c>
      <x:c r="E156" s="40" t="n">
        <x:v>12.1</x:v>
      </x:c>
      <x:c r="F156" s="40" t="n">
        <x:v>10.081268310546875</x:v>
      </x:c>
      <x:c r="G156" s="40" t="n">
        <x:v>12.1</x:v>
      </x:c>
      <x:c r="H156" s="40" t="n">
        <x:f>F156-E156</x:f>
        <x:v>-2.0187316894531246</x:v>
      </x:c>
      <x:c r="I156" s="40" t="n">
        <x:f>ABS(H156)</x:f>
        <x:v>2.0187316894531246</x:v>
      </x:c>
      <x:c r="J156" s="40" t="n">
        <x:f>H156^2</x:f>
        <x:v>4.0752776340022665</x:v>
      </x:c>
      <x:c r="K156" s="40" t="n">
        <x:f>G156-E156</x:f>
        <x:v>0</x:v>
      </x:c>
      <x:c r="L156" s="40" t="n">
        <x:f>ABS(K156)</x:f>
        <x:v>0</x:v>
      </x:c>
      <x:c r="M156" s="41" t="str">
        <x:v>lstm-soil-v1</x:v>
      </x:c>
    </x:row>
    <x:row r="157">
      <x:c r="A157" s="38" t="str">
        <x:v>7月30日现场数据</x:v>
      </x:c>
      <x:c r="B157" s="39" t="str">
        <x:v>2026-07-31T16:45:00</x:v>
      </x:c>
      <x:c r="C157" s="39" t="str">
        <x:v>2026-07-31T17:00:00</x:v>
      </x:c>
      <x:c r="D157" s="47" t="n">
        <x:v>15</x:v>
      </x:c>
      <x:c r="E157" s="40" t="n">
        <x:v>12</x:v>
      </x:c>
      <x:c r="F157" s="40" t="n">
        <x:v>10.15048599243164</x:v>
      </x:c>
      <x:c r="G157" s="40" t="n">
        <x:v>12.1</x:v>
      </x:c>
      <x:c r="H157" s="40" t="n">
        <x:f>F157-E157</x:f>
        <x:v>-1.8495140075683594</x:v>
      </x:c>
      <x:c r="I157" s="40" t="n">
        <x:f>ABS(H157)</x:f>
        <x:v>1.8495140075683594</x:v>
      </x:c>
      <x:c r="J157" s="40" t="n">
        <x:f>H157^2</x:f>
        <x:v>3.4207020641915733</x:v>
      </x:c>
      <x:c r="K157" s="40" t="n">
        <x:f>G157-E157</x:f>
        <x:v>0.09999999999999964</x:v>
      </x:c>
      <x:c r="L157" s="40" t="n">
        <x:f>ABS(K157)</x:f>
        <x:v>0.09999999999999964</x:v>
      </x:c>
      <x:c r="M157" s="41" t="str">
        <x:v>lstm-soil-v1</x:v>
      </x:c>
    </x:row>
    <x:row r="158">
      <x:c r="A158" s="38" t="str">
        <x:v>7月30日现场数据</x:v>
      </x:c>
      <x:c r="B158" s="39" t="str">
        <x:v>2026-07-31T16:45:00</x:v>
      </x:c>
      <x:c r="C158" s="39" t="str">
        <x:v>2026-07-31T17:15:00</x:v>
      </x:c>
      <x:c r="D158" s="47" t="n">
        <x:v>30</x:v>
      </x:c>
      <x:c r="E158" s="40" t="n">
        <x:v>12</x:v>
      </x:c>
      <x:c r="F158" s="40" t="n">
        <x:v>10.557449340820312</x:v>
      </x:c>
      <x:c r="G158" s="40" t="n">
        <x:v>12.1</x:v>
      </x:c>
      <x:c r="H158" s="40" t="n">
        <x:f>F158-E158</x:f>
        <x:v>-1.4425506591796875</x:v>
      </x:c>
      <x:c r="I158" s="40" t="n">
        <x:f>ABS(H158)</x:f>
        <x:v>1.4425506591796875</x:v>
      </x:c>
      <x:c r="J158" s="40" t="n">
        <x:f>H158^2</x:f>
        <x:v>2.080952404299751</x:v>
      </x:c>
      <x:c r="K158" s="40" t="n">
        <x:f>G158-E158</x:f>
        <x:v>0.09999999999999964</x:v>
      </x:c>
      <x:c r="L158" s="40" t="n">
        <x:f>ABS(K158)</x:f>
        <x:v>0.09999999999999964</x:v>
      </x:c>
      <x:c r="M158" s="41" t="str">
        <x:v>lstm-soil-v1</x:v>
      </x:c>
    </x:row>
    <x:row r="159">
      <x:c r="A159" s="38" t="str">
        <x:v>7月30日现场数据</x:v>
      </x:c>
      <x:c r="B159" s="39" t="str">
        <x:v>2026-07-31T16:45:00</x:v>
      </x:c>
      <x:c r="C159" s="39" t="str">
        <x:v>2026-07-31T17:45:00</x:v>
      </x:c>
      <x:c r="D159" s="47" t="n">
        <x:v>60</x:v>
      </x:c>
      <x:c r="E159" s="40" t="n">
        <x:v>12</x:v>
      </x:c>
      <x:c r="F159" s="40" t="n">
        <x:v>12.273689270019531</x:v>
      </x:c>
      <x:c r="G159" s="40" t="n">
        <x:v>12.1</x:v>
      </x:c>
      <x:c r="H159" s="40" t="n">
        <x:f>F159-E159</x:f>
        <x:v>0.27368927001953125</x:v>
      </x:c>
      <x:c r="I159" s="40" t="n">
        <x:f>ABS(H159)</x:f>
        <x:v>0.27368927001953125</x:v>
      </x:c>
      <x:c r="J159" s="40" t="n">
        <x:f>H159^2</x:f>
        <x:v>0.07490581652382389</x:v>
      </x:c>
      <x:c r="K159" s="40" t="n">
        <x:f>G159-E159</x:f>
        <x:v>0.09999999999999964</x:v>
      </x:c>
      <x:c r="L159" s="40" t="n">
        <x:f>ABS(K159)</x:f>
        <x:v>0.09999999999999964</x:v>
      </x:c>
      <x:c r="M159" s="41" t="str">
        <x:v>lstm-soil-v1</x:v>
      </x:c>
    </x:row>
    <x:row r="160">
      <x:c r="A160" s="38" t="str">
        <x:v>7月30日现场数据</x:v>
      </x:c>
      <x:c r="B160" s="39" t="str">
        <x:v>2026-07-31T16:50:00</x:v>
      </x:c>
      <x:c r="C160" s="39" t="str">
        <x:v>2026-07-31T16:55:00</x:v>
      </x:c>
      <x:c r="D160" s="47" t="n">
        <x:v>5</x:v>
      </x:c>
      <x:c r="E160" s="40" t="n">
        <x:v>12</x:v>
      </x:c>
      <x:c r="F160" s="40" t="n">
        <x:v>10.081535339355469</x:v>
      </x:c>
      <x:c r="G160" s="40" t="n">
        <x:v>12.1</x:v>
      </x:c>
      <x:c r="H160" s="40" t="n">
        <x:f>F160-E160</x:f>
        <x:v>-1.9184646606445312</x:v>
      </x:c>
      <x:c r="I160" s="40" t="n">
        <x:f>ABS(H160)</x:f>
        <x:v>1.9184646606445312</x:v>
      </x:c>
      <x:c r="J160" s="40" t="n">
        <x:f>H160^2</x:f>
        <x:v>3.6805066541419365</x:v>
      </x:c>
      <x:c r="K160" s="40" t="n">
        <x:f>G160-E160</x:f>
        <x:v>0.09999999999999964</x:v>
      </x:c>
      <x:c r="L160" s="40" t="n">
        <x:f>ABS(K160)</x:f>
        <x:v>0.09999999999999964</x:v>
      </x:c>
      <x:c r="M160" s="41" t="str">
        <x:v>lstm-soil-v1</x:v>
      </x:c>
    </x:row>
    <x:row r="161">
      <x:c r="A161" s="38" t="str">
        <x:v>7月30日现场数据</x:v>
      </x:c>
      <x:c r="B161" s="39" t="str">
        <x:v>2026-07-31T16:50:00</x:v>
      </x:c>
      <x:c r="C161" s="39" t="str">
        <x:v>2026-07-31T17:05:00</x:v>
      </x:c>
      <x:c r="D161" s="47" t="n">
        <x:v>15</x:v>
      </x:c>
      <x:c r="E161" s="40" t="n">
        <x:v>12.1</x:v>
      </x:c>
      <x:c r="F161" s="40" t="n">
        <x:v>10.150367736816406</x:v>
      </x:c>
      <x:c r="G161" s="40" t="n">
        <x:v>12.1</x:v>
      </x:c>
      <x:c r="H161" s="40" t="n">
        <x:f>F161-E161</x:f>
        <x:v>-1.9496322631835934</x:v>
      </x:c>
      <x:c r="I161" s="40" t="n">
        <x:f>ABS(H161)</x:f>
        <x:v>1.9496322631835934</x:v>
      </x:c>
      <x:c r="J161" s="40" t="n">
        <x:f>H161^2</x:f>
        <x:v>3.80106596164638</x:v>
      </x:c>
      <x:c r="K161" s="40" t="n">
        <x:f>G161-E161</x:f>
        <x:v>0</x:v>
      </x:c>
      <x:c r="L161" s="40" t="n">
        <x:f>ABS(K161)</x:f>
        <x:v>0</x:v>
      </x:c>
      <x:c r="M161" s="41" t="str">
        <x:v>lstm-soil-v1</x:v>
      </x:c>
    </x:row>
    <x:row r="162">
      <x:c r="A162" s="38" t="str">
        <x:v>7月30日现场数据</x:v>
      </x:c>
      <x:c r="B162" s="39" t="str">
        <x:v>2026-07-31T16:50:00</x:v>
      </x:c>
      <x:c r="C162" s="39" t="str">
        <x:v>2026-07-31T17:20:00</x:v>
      </x:c>
      <x:c r="D162" s="47" t="n">
        <x:v>30</x:v>
      </x:c>
      <x:c r="E162" s="40" t="n">
        <x:v>12.1</x:v>
      </x:c>
      <x:c r="F162" s="40" t="n">
        <x:v>10.557594299316406</x:v>
      </x:c>
      <x:c r="G162" s="40" t="n">
        <x:v>12.1</x:v>
      </x:c>
      <x:c r="H162" s="40" t="n">
        <x:f>F162-E162</x:f>
        <x:v>-1.5424057006835934</x:v>
      </x:c>
      <x:c r="I162" s="40" t="n">
        <x:f>ABS(H162)</x:f>
        <x:v>1.5424057006835934</x:v>
      </x:c>
      <x:c r="J162" s="40" t="n">
        <x:f>H162^2</x:f>
        <x:v>2.3790153455012466</x:v>
      </x:c>
      <x:c r="K162" s="40" t="n">
        <x:f>G162-E162</x:f>
        <x:v>0</x:v>
      </x:c>
      <x:c r="L162" s="40" t="n">
        <x:f>ABS(K162)</x:f>
        <x:v>0</x:v>
      </x:c>
      <x:c r="M162" s="41" t="str">
        <x:v>lstm-soil-v1</x:v>
      </x:c>
    </x:row>
    <x:row r="163">
      <x:c r="A163" s="38" t="str">
        <x:v>7月30日现场数据</x:v>
      </x:c>
      <x:c r="B163" s="39" t="str">
        <x:v>2026-07-31T16:50:00</x:v>
      </x:c>
      <x:c r="C163" s="39" t="str">
        <x:v>2026-07-31T17:50:00</x:v>
      </x:c>
      <x:c r="D163" s="47" t="n">
        <x:v>60</x:v>
      </x:c>
      <x:c r="E163" s="40" t="n">
        <x:v>12.1</x:v>
      </x:c>
      <x:c r="F163" s="40" t="n">
        <x:v>12.274059295654297</x:v>
      </x:c>
      <x:c r="G163" s="40" t="n">
        <x:v>12.1</x:v>
      </x:c>
      <x:c r="H163" s="40" t="n">
        <x:f>F163-E163</x:f>
        <x:v>0.17405929565429723</x:v>
      </x:c>
      <x:c r="I163" s="40" t="n">
        <x:f>ABS(H163)</x:f>
        <x:v>0.17405929565429723</x:v>
      </x:c>
      <x:c r="J163" s="40" t="n">
        <x:f>H163^2</x:f>
        <x:v>0.030296638403670053</x:v>
      </x:c>
      <x:c r="K163" s="40" t="n">
        <x:f>G163-E163</x:f>
        <x:v>0</x:v>
      </x:c>
      <x:c r="L163" s="40" t="n">
        <x:f>ABS(K163)</x:f>
        <x:v>0</x:v>
      </x:c>
      <x:c r="M163" s="41" t="str">
        <x:v>lstm-soil-v1</x:v>
      </x:c>
    </x:row>
    <x:row r="164">
      <x:c r="A164" s="38" t="str">
        <x:v>7月30日现场数据</x:v>
      </x:c>
      <x:c r="B164" s="39" t="str">
        <x:v>2026-07-31T16:55:00</x:v>
      </x:c>
      <x:c r="C164" s="39" t="str">
        <x:v>2026-07-31T17:00:00</x:v>
      </x:c>
      <x:c r="D164" s="47" t="n">
        <x:v>5</x:v>
      </x:c>
      <x:c r="E164" s="40" t="n">
        <x:v>12</x:v>
      </x:c>
      <x:c r="F164" s="40" t="n">
        <x:v>9.971492767333984</x:v>
      </x:c>
      <x:c r="G164" s="40" t="n">
        <x:v>12</x:v>
      </x:c>
      <x:c r="H164" s="40" t="n">
        <x:f>F164-E164</x:f>
        <x:v>-2.0285072326660156</x:v>
      </x:c>
      <x:c r="I164" s="40" t="n">
        <x:f>ABS(H164)</x:f>
        <x:v>2.0285072326660156</x:v>
      </x:c>
      <x:c r="J164" s="40" t="n">
        <x:f>H164^2</x:f>
        <x:v>4.114841592978337</x:v>
      </x:c>
      <x:c r="K164" s="40" t="n">
        <x:f>G164-E164</x:f>
        <x:v>0</x:v>
      </x:c>
      <x:c r="L164" s="40" t="n">
        <x:f>ABS(K164)</x:f>
        <x:v>0</x:v>
      </x:c>
      <x:c r="M164" s="41" t="str">
        <x:v>lstm-soil-v1</x:v>
      </x:c>
    </x:row>
    <x:row r="165">
      <x:c r="A165" s="38" t="str">
        <x:v>7月30日现场数据</x:v>
      </x:c>
      <x:c r="B165" s="39" t="str">
        <x:v>2026-07-31T16:55:00</x:v>
      </x:c>
      <x:c r="C165" s="39" t="str">
        <x:v>2026-07-31T17:10:00</x:v>
      </x:c>
      <x:c r="D165" s="47" t="n">
        <x:v>15</x:v>
      </x:c>
      <x:c r="E165" s="40" t="n">
        <x:v>12.1</x:v>
      </x:c>
      <x:c r="F165" s="40" t="n">
        <x:v>10.04007339477539</x:v>
      </x:c>
      <x:c r="G165" s="40" t="n">
        <x:v>12</x:v>
      </x:c>
      <x:c r="H165" s="40" t="n">
        <x:f>F165-E165</x:f>
        <x:v>-2.059926605224609</x:v>
      </x:c>
      <x:c r="I165" s="40" t="n">
        <x:f>ABS(H165)</x:f>
        <x:v>2.059926605224609</x:v>
      </x:c>
      <x:c r="J165" s="40" t="n">
        <x:f>H165^2</x:f>
        <x:v>4.243297618912182</x:v>
      </x:c>
      <x:c r="K165" s="40" t="n">
        <x:f>G165-E165</x:f>
        <x:v>-0.09999999999999964</x:v>
      </x:c>
      <x:c r="L165" s="40" t="n">
        <x:f>ABS(K165)</x:f>
        <x:v>0.09999999999999964</x:v>
      </x:c>
      <x:c r="M165" s="41" t="str">
        <x:v>lstm-soil-v1</x:v>
      </x:c>
    </x:row>
    <x:row r="166">
      <x:c r="A166" s="38" t="str">
        <x:v>7月30日现场数据</x:v>
      </x:c>
      <x:c r="B166" s="39" t="str">
        <x:v>2026-07-31T16:55:00</x:v>
      </x:c>
      <x:c r="C166" s="39" t="str">
        <x:v>2026-07-31T17:25:00</x:v>
      </x:c>
      <x:c r="D166" s="47" t="n">
        <x:v>30</x:v>
      </x:c>
      <x:c r="E166" s="40" t="n">
        <x:v>12.1</x:v>
      </x:c>
      <x:c r="F166" s="40" t="n">
        <x:v>10.447460174560547</x:v>
      </x:c>
      <x:c r="G166" s="40" t="n">
        <x:v>12</x:v>
      </x:c>
      <x:c r="H166" s="40" t="n">
        <x:f>F166-E166</x:f>
        <x:v>-1.6525398254394528</x:v>
      </x:c>
      <x:c r="I166" s="40" t="n">
        <x:f>ABS(H166)</x:f>
        <x:v>1.6525398254394528</x:v>
      </x:c>
      <x:c r="J166" s="40" t="n">
        <x:f>H166^2</x:f>
        <x:v>2.730887874663457</x:v>
      </x:c>
      <x:c r="K166" s="40" t="n">
        <x:f>G166-E166</x:f>
        <x:v>-0.09999999999999964</x:v>
      </x:c>
      <x:c r="L166" s="40" t="n">
        <x:f>ABS(K166)</x:f>
        <x:v>0.09999999999999964</x:v>
      </x:c>
      <x:c r="M166" s="41" t="str">
        <x:v>lstm-soil-v1</x:v>
      </x:c>
    </x:row>
    <x:row r="167">
      <x:c r="A167" s="38" t="str">
        <x:v>7月30日现场数据</x:v>
      </x:c>
      <x:c r="B167" s="39" t="str">
        <x:v>2026-07-31T16:55:00</x:v>
      </x:c>
      <x:c r="C167" s="39" t="str">
        <x:v>2026-07-31T17:55:00</x:v>
      </x:c>
      <x:c r="D167" s="47" t="n">
        <x:v>60</x:v>
      </x:c>
      <x:c r="E167" s="40" t="n">
        <x:v>12.1</x:v>
      </x:c>
      <x:c r="F167" s="40" t="n">
        <x:v>12.1641845703125</x:v>
      </x:c>
      <x:c r="G167" s="40" t="n">
        <x:v>12</x:v>
      </x:c>
      <x:c r="H167" s="40" t="n">
        <x:f>F167-E167</x:f>
        <x:v>0.06418457031250036</x:v>
      </x:c>
      <x:c r="I167" s="40" t="n">
        <x:f>ABS(H167)</x:f>
        <x:v>0.06418457031250036</x:v>
      </x:c>
      <x:c r="J167" s="40" t="n">
        <x:f>H167^2</x:f>
        <x:v>0.004119659066200302</x:v>
      </x:c>
      <x:c r="K167" s="40" t="n">
        <x:f>G167-E167</x:f>
        <x:v>-0.09999999999999964</x:v>
      </x:c>
      <x:c r="L167" s="40" t="n">
        <x:f>ABS(K167)</x:f>
        <x:v>0.09999999999999964</x:v>
      </x:c>
      <x:c r="M167" s="41" t="str">
        <x:v>lstm-soil-v1</x:v>
      </x:c>
    </x:row>
    <x:row r="168">
      <x:c r="A168" s="38" t="str">
        <x:v>7月30日现场数据</x:v>
      </x:c>
      <x:c r="B168" s="39" t="str">
        <x:v>2026-07-31T17:00:00</x:v>
      </x:c>
      <x:c r="C168" s="39" t="str">
        <x:v>2026-07-31T17:05:00</x:v>
      </x:c>
      <x:c r="D168" s="47" t="n">
        <x:v>5</x:v>
      </x:c>
      <x:c r="E168" s="40" t="n">
        <x:v>12.1</x:v>
      </x:c>
      <x:c r="F168" s="40" t="n">
        <x:v>9.971942901611328</x:v>
      </x:c>
      <x:c r="G168" s="40" t="n">
        <x:v>12</x:v>
      </x:c>
      <x:c r="H168" s="40" t="n">
        <x:f>F168-E168</x:f>
        <x:v>-2.1280570983886715</x:v>
      </x:c>
      <x:c r="I168" s="40" t="n">
        <x:f>ABS(H168)</x:f>
        <x:v>2.1280570983886715</x:v>
      </x:c>
      <x:c r="J168" s="40" t="n">
        <x:f>H168^2</x:f>
        <x:v>4.528627014002412</x:v>
      </x:c>
      <x:c r="K168" s="40" t="n">
        <x:f>G168-E168</x:f>
        <x:v>-0.09999999999999964</x:v>
      </x:c>
      <x:c r="L168" s="40" t="n">
        <x:f>ABS(K168)</x:f>
        <x:v>0.09999999999999964</x:v>
      </x:c>
      <x:c r="M168" s="41" t="str">
        <x:v>lstm-soil-v1</x:v>
      </x:c>
    </x:row>
    <x:row r="169">
      <x:c r="A169" s="38" t="str">
        <x:v>7月30日现场数据</x:v>
      </x:c>
      <x:c r="B169" s="39" t="str">
        <x:v>2026-07-31T17:00:00</x:v>
      </x:c>
      <x:c r="C169" s="39" t="str">
        <x:v>2026-07-31T17:15:00</x:v>
      </x:c>
      <x:c r="D169" s="47" t="n">
        <x:v>15</x:v>
      </x:c>
      <x:c r="E169" s="40" t="n">
        <x:v>12</x:v>
      </x:c>
      <x:c r="F169" s="40" t="n">
        <x:v>10.04019546508789</x:v>
      </x:c>
      <x:c r="G169" s="40" t="n">
        <x:v>12</x:v>
      </x:c>
      <x:c r="H169" s="40" t="n">
        <x:f>F169-E169</x:f>
        <x:v>-1.9598045349121094</x:v>
      </x:c>
      <x:c r="I169" s="40" t="n">
        <x:f>ABS(H169)</x:f>
        <x:v>1.9598045349121094</x:v>
      </x:c>
      <x:c r="J169" s="40" t="n">
        <x:f>H169^2</x:f>
        <x:v>3.8408338150620693</x:v>
      </x:c>
      <x:c r="K169" s="40" t="n">
        <x:f>G169-E169</x:f>
        <x:v>0</x:v>
      </x:c>
      <x:c r="L169" s="40" t="n">
        <x:f>ABS(K169)</x:f>
        <x:v>0</x:v>
      </x:c>
      <x:c r="M169" s="41" t="str">
        <x:v>lstm-soil-v1</x:v>
      </x:c>
    </x:row>
    <x:row r="170">
      <x:c r="A170" s="38" t="str">
        <x:v>7月30日现场数据</x:v>
      </x:c>
      <x:c r="B170" s="39" t="str">
        <x:v>2026-07-31T17:00:00</x:v>
      </x:c>
      <x:c r="C170" s="39" t="str">
        <x:v>2026-07-31T17:30:00</x:v>
      </x:c>
      <x:c r="D170" s="47" t="n">
        <x:v>30</x:v>
      </x:c>
      <x:c r="E170" s="40" t="n">
        <x:v>12.1</x:v>
      </x:c>
      <x:c r="F170" s="40" t="n">
        <x:v>10.449081420898438</x:v>
      </x:c>
      <x:c r="G170" s="40" t="n">
        <x:v>12</x:v>
      </x:c>
      <x:c r="H170" s="40" t="n">
        <x:f>F170-E170</x:f>
        <x:v>-1.6509185791015621</x:v>
      </x:c>
      <x:c r="I170" s="40" t="n">
        <x:f>ABS(H170)</x:f>
        <x:v>1.6509185791015621</x:v>
      </x:c>
      <x:c r="J170" s="40" t="n">
        <x:f>H170^2</x:f>
        <x:v>2.7255321548227207</x:v>
      </x:c>
      <x:c r="K170" s="40" t="n">
        <x:f>G170-E170</x:f>
        <x:v>-0.09999999999999964</x:v>
      </x:c>
      <x:c r="L170" s="40" t="n">
        <x:f>ABS(K170)</x:f>
        <x:v>0.09999999999999964</x:v>
      </x:c>
      <x:c r="M170" s="41" t="str">
        <x:v>lstm-soil-v1</x:v>
      </x:c>
    </x:row>
    <x:row r="171">
      <x:c r="A171" s="38" t="str">
        <x:v>7月30日现场数据</x:v>
      </x:c>
      <x:c r="B171" s="39" t="str">
        <x:v>2026-07-31T17:00:00</x:v>
      </x:c>
      <x:c r="C171" s="39" t="str">
        <x:v>2026-07-31T18:00:00</x:v>
      </x:c>
      <x:c r="D171" s="47" t="n">
        <x:v>60</x:v>
      </x:c>
      <x:c r="E171" s="40" t="n">
        <x:v>12</x:v>
      </x:c>
      <x:c r="F171" s="40" t="n">
        <x:v>12.16281509399414</x:v>
      </x:c>
      <x:c r="G171" s="40" t="n">
        <x:v>12</x:v>
      </x:c>
      <x:c r="H171" s="40" t="n">
        <x:f>F171-E171</x:f>
        <x:v>0.16281509399414062</x:v>
      </x:c>
      <x:c r="I171" s="40" t="n">
        <x:f>ABS(H171)</x:f>
        <x:v>0.16281509399414062</x:v>
      </x:c>
      <x:c r="J171" s="40" t="n">
        <x:f>H171^2</x:f>
        <x:v>0.026508754832320847</x:v>
      </x:c>
      <x:c r="K171" s="40" t="n">
        <x:f>G171-E171</x:f>
        <x:v>0</x:v>
      </x:c>
      <x:c r="L171" s="40" t="n">
        <x:f>ABS(K171)</x:f>
        <x:v>0</x:v>
      </x:c>
      <x:c r="M171" s="41" t="str">
        <x:v>lstm-soil-v1</x:v>
      </x:c>
    </x:row>
    <x:row r="172">
      <x:c r="A172" s="38" t="str">
        <x:v>7月30日现场数据</x:v>
      </x:c>
      <x:c r="B172" s="39" t="str">
        <x:v>2026-07-31T17:05:00</x:v>
      </x:c>
      <x:c r="C172" s="39" t="str">
        <x:v>2026-07-31T17:10:00</x:v>
      </x:c>
      <x:c r="D172" s="47" t="n">
        <x:v>5</x:v>
      </x:c>
      <x:c r="E172" s="40" t="n">
        <x:v>12.1</x:v>
      </x:c>
      <x:c r="F172" s="40" t="n">
        <x:v>10.08370590209961</x:v>
      </x:c>
      <x:c r="G172" s="40" t="n">
        <x:v>12.1</x:v>
      </x:c>
      <x:c r="H172" s="40" t="n">
        <x:f>F172-E172</x:f>
        <x:v>-2.0162940979003903</x:v>
      </x:c>
      <x:c r="I172" s="40" t="n">
        <x:f>ABS(H172)</x:f>
        <x:v>2.0162940979003903</x:v>
      </x:c>
      <x:c r="J172" s="40" t="n">
        <x:f>H172^2</x:f>
        <x:v>4.065441889227949</x:v>
      </x:c>
      <x:c r="K172" s="40" t="n">
        <x:f>G172-E172</x:f>
        <x:v>0</x:v>
      </x:c>
      <x:c r="L172" s="40" t="n">
        <x:f>ABS(K172)</x:f>
        <x:v>0</x:v>
      </x:c>
      <x:c r="M172" s="41" t="str">
        <x:v>lstm-soil-v1</x:v>
      </x:c>
    </x:row>
    <x:row r="173">
      <x:c r="A173" s="38" t="str">
        <x:v>7月30日现场数据</x:v>
      </x:c>
      <x:c r="B173" s="39" t="str">
        <x:v>2026-07-31T17:05:00</x:v>
      </x:c>
      <x:c r="C173" s="39" t="str">
        <x:v>2026-07-31T17:20:00</x:v>
      </x:c>
      <x:c r="D173" s="47" t="n">
        <x:v>15</x:v>
      </x:c>
      <x:c r="E173" s="40" t="n">
        <x:v>12.1</x:v>
      </x:c>
      <x:c r="F173" s="40" t="n">
        <x:v>10.149852752685547</x:v>
      </x:c>
      <x:c r="G173" s="40" t="n">
        <x:v>12.1</x:v>
      </x:c>
      <x:c r="H173" s="40" t="n">
        <x:f>F173-E173</x:f>
        <x:v>-1.9501472473144528</x:v>
      </x:c>
      <x:c r="I173" s="40" t="n">
        <x:f>ABS(H173)</x:f>
        <x:v>1.9501472473144528</x:v>
      </x:c>
      <x:c r="J173" s="40" t="n">
        <x:f>H173^2</x:f>
        <x:v>3.8030742862081373</x:v>
      </x:c>
      <x:c r="K173" s="40" t="n">
        <x:f>G173-E173</x:f>
        <x:v>0</x:v>
      </x:c>
      <x:c r="L173" s="40" t="n">
        <x:f>ABS(K173)</x:f>
        <x:v>0</x:v>
      </x:c>
      <x:c r="M173" s="41" t="str">
        <x:v>lstm-soil-v1</x:v>
      </x:c>
    </x:row>
    <x:row r="174">
      <x:c r="A174" s="38" t="str">
        <x:v>7月30日现场数据</x:v>
      </x:c>
      <x:c r="B174" s="39" t="str">
        <x:v>2026-07-31T17:05:00</x:v>
      </x:c>
      <x:c r="C174" s="39" t="str">
        <x:v>2026-07-31T17:35:00</x:v>
      </x:c>
      <x:c r="D174" s="47" t="n">
        <x:v>30</x:v>
      </x:c>
      <x:c r="E174" s="40" t="n">
        <x:v>12.1</x:v>
      </x:c>
      <x:c r="F174" s="40" t="n">
        <x:v>10.561229705810547</x:v>
      </x:c>
      <x:c r="G174" s="40" t="n">
        <x:v>12.1</x:v>
      </x:c>
      <x:c r="H174" s="40" t="n">
        <x:f>F174-E174</x:f>
        <x:v>-1.5387702941894528</x:v>
      </x:c>
      <x:c r="I174" s="40" t="n">
        <x:f>ABS(H174)</x:f>
        <x:v>1.5387702941894528</x:v>
      </x:c>
      <x:c r="J174" s="40" t="n">
        <x:f>H174^2</x:f>
        <x:v>2.367814018279895</x:v>
      </x:c>
      <x:c r="K174" s="40" t="n">
        <x:f>G174-E174</x:f>
        <x:v>0</x:v>
      </x:c>
      <x:c r="L174" s="40" t="n">
        <x:f>ABS(K174)</x:f>
        <x:v>0</x:v>
      </x:c>
      <x:c r="M174" s="41" t="str">
        <x:v>lstm-soil-v1</x:v>
      </x:c>
    </x:row>
    <x:row r="175">
      <x:c r="A175" s="38" t="str">
        <x:v>7月30日现场数据</x:v>
      </x:c>
      <x:c r="B175" s="39" t="str">
        <x:v>2026-07-31T17:05:00</x:v>
      </x:c>
      <x:c r="C175" s="39" t="str">
        <x:v>2026-07-31T18:05:00</x:v>
      </x:c>
      <x:c r="D175" s="47" t="n">
        <x:v>60</x:v>
      </x:c>
      <x:c r="E175" s="40" t="n">
        <x:v>12</x:v>
      </x:c>
      <x:c r="F175" s="40" t="n">
        <x:v>12.274055480957031</x:v>
      </x:c>
      <x:c r="G175" s="40" t="n">
        <x:v>12.1</x:v>
      </x:c>
      <x:c r="H175" s="40" t="n">
        <x:f>F175-E175</x:f>
        <x:v>0.27405548095703125</x:v>
      </x:c>
      <x:c r="I175" s="40" t="n">
        <x:f>ABS(H175)</x:f>
        <x:v>0.27405548095703125</x:v>
      </x:c>
      <x:c r="J175" s="40" t="n">
        <x:f>H175^2</x:f>
        <x:v>0.07510640664258972</x:v>
      </x:c>
      <x:c r="K175" s="40" t="n">
        <x:f>G175-E175</x:f>
        <x:v>0.09999999999999964</x:v>
      </x:c>
      <x:c r="L175" s="40" t="n">
        <x:f>ABS(K175)</x:f>
        <x:v>0.09999999999999964</x:v>
      </x:c>
      <x:c r="M175" s="41" t="str">
        <x:v>lstm-soil-v1</x:v>
      </x:c>
    </x:row>
    <x:row r="176">
      <x:c r="A176" s="38" t="str">
        <x:v>7月30日现场数据</x:v>
      </x:c>
      <x:c r="B176" s="39" t="str">
        <x:v>2026-07-31T17:10:00</x:v>
      </x:c>
      <x:c r="C176" s="39" t="str">
        <x:v>2026-07-31T17:15:00</x:v>
      </x:c>
      <x:c r="D176" s="47" t="n">
        <x:v>5</x:v>
      </x:c>
      <x:c r="E176" s="40" t="n">
        <x:v>12</x:v>
      </x:c>
      <x:c r="F176" s="40" t="n">
        <x:v>10.084461212158203</x:v>
      </x:c>
      <x:c r="G176" s="40" t="n">
        <x:v>12.1</x:v>
      </x:c>
      <x:c r="H176" s="40" t="n">
        <x:f>F176-E176</x:f>
        <x:v>-1.9155387878417969</x:v>
      </x:c>
      <x:c r="I176" s="40" t="n">
        <x:f>ABS(H176)</x:f>
        <x:v>1.9155387878417969</x:v>
      </x:c>
      <x:c r="J176" s="40" t="n">
        <x:f>H176^2</x:f>
        <x:v>3.6692888477264205</x:v>
      </x:c>
      <x:c r="K176" s="40" t="n">
        <x:f>G176-E176</x:f>
        <x:v>0.09999999999999964</x:v>
      </x:c>
      <x:c r="L176" s="40" t="n">
        <x:f>ABS(K176)</x:f>
        <x:v>0.09999999999999964</x:v>
      </x:c>
      <x:c r="M176" s="41" t="str">
        <x:v>lstm-soil-v1</x:v>
      </x:c>
    </x:row>
    <x:row r="177">
      <x:c r="A177" s="38" t="str">
        <x:v>7月30日现场数据</x:v>
      </x:c>
      <x:c r="B177" s="39" t="str">
        <x:v>2026-07-31T17:10:00</x:v>
      </x:c>
      <x:c r="C177" s="39" t="str">
        <x:v>2026-07-31T17:25:00</x:v>
      </x:c>
      <x:c r="D177" s="47" t="n">
        <x:v>15</x:v>
      </x:c>
      <x:c r="E177" s="40" t="n">
        <x:v>12.1</x:v>
      </x:c>
      <x:c r="F177" s="40" t="n">
        <x:v>10.14932632446289</x:v>
      </x:c>
      <x:c r="G177" s="40" t="n">
        <x:v>12.1</x:v>
      </x:c>
      <x:c r="H177" s="40" t="n">
        <x:f>F177-E177</x:f>
        <x:v>-1.950673675537109</x:v>
      </x:c>
      <x:c r="I177" s="40" t="n">
        <x:f>ABS(H177)</x:f>
        <x:v>1.950673675537109</x:v>
      </x:c>
      <x:c r="J177" s="40" t="n">
        <x:f>H177^2</x:f>
        <x:v>3.8051277884334547</x:v>
      </x:c>
      <x:c r="K177" s="40" t="n">
        <x:f>G177-E177</x:f>
        <x:v>0</x:v>
      </x:c>
      <x:c r="L177" s="40" t="n">
        <x:f>ABS(K177)</x:f>
        <x:v>0</x:v>
      </x:c>
      <x:c r="M177" s="41" t="str">
        <x:v>lstm-soil-v1</x:v>
      </x:c>
    </x:row>
    <x:row r="178">
      <x:c r="A178" s="38" t="str">
        <x:v>7月30日现场数据</x:v>
      </x:c>
      <x:c r="B178" s="39" t="str">
        <x:v>2026-07-31T17:10:00</x:v>
      </x:c>
      <x:c r="C178" s="39" t="str">
        <x:v>2026-07-31T17:40:00</x:v>
      </x:c>
      <x:c r="D178" s="47" t="n">
        <x:v>30</x:v>
      </x:c>
      <x:c r="E178" s="40" t="n">
        <x:v>12.1</x:v>
      </x:c>
      <x:c r="F178" s="40" t="n">
        <x:v>10.562938690185547</x:v>
      </x:c>
      <x:c r="G178" s="40" t="n">
        <x:v>12.1</x:v>
      </x:c>
      <x:c r="H178" s="40" t="n">
        <x:f>F178-E178</x:f>
        <x:v>-1.5370613098144528</x:v>
      </x:c>
      <x:c r="I178" s="40" t="n">
        <x:f>ABS(H178)</x:f>
        <x:v>1.5370613098144528</x:v>
      </x:c>
      <x:c r="J178" s="40" t="n">
        <x:f>H178^2</x:f>
        <x:v>2.3625574701285212</x:v>
      </x:c>
      <x:c r="K178" s="40" t="n">
        <x:f>G178-E178</x:f>
        <x:v>0</x:v>
      </x:c>
      <x:c r="L178" s="40" t="n">
        <x:f>ABS(K178)</x:f>
        <x:v>0</x:v>
      </x:c>
      <x:c r="M178" s="41" t="str">
        <x:v>lstm-soil-v1</x:v>
      </x:c>
    </x:row>
    <x:row r="179">
      <x:c r="A179" s="38" t="str">
        <x:v>7月30日现场数据</x:v>
      </x:c>
      <x:c r="B179" s="39" t="str">
        <x:v>2026-07-31T17:10:00</x:v>
      </x:c>
      <x:c r="C179" s="39" t="str">
        <x:v>2026-07-31T18:10:00</x:v>
      </x:c>
      <x:c r="D179" s="47" t="n">
        <x:v>60</x:v>
      </x:c>
      <x:c r="E179" s="40" t="n">
        <x:v>12.1</x:v>
      </x:c>
      <x:c r="F179" s="40" t="n">
        <x:v>12.274665832519531</x:v>
      </x:c>
      <x:c r="G179" s="40" t="n">
        <x:v>12.1</x:v>
      </x:c>
      <x:c r="H179" s="40" t="n">
        <x:f>F179-E179</x:f>
        <x:v>0.1746658325195316</x:v>
      </x:c>
      <x:c r="I179" s="40" t="n">
        <x:f>ABS(H179)</x:f>
        <x:v>0.1746658325195316</x:v>
      </x:c>
      <x:c r="J179" s="40" t="n">
        <x:f>H179^2</x:f>
        <x:v>0.030508153049741065</x:v>
      </x:c>
      <x:c r="K179" s="40" t="n">
        <x:f>G179-E179</x:f>
        <x:v>0</x:v>
      </x:c>
      <x:c r="L179" s="40" t="n">
        <x:f>ABS(K179)</x:f>
        <x:v>0</x:v>
      </x:c>
      <x:c r="M179" s="41" t="str">
        <x:v>lstm-soil-v1</x:v>
      </x:c>
    </x:row>
    <x:row r="180">
      <x:c r="A180" s="38" t="str">
        <x:v>7月30日现场数据</x:v>
      </x:c>
      <x:c r="B180" s="39" t="str">
        <x:v>2026-07-31T17:15:00</x:v>
      </x:c>
      <x:c r="C180" s="39" t="str">
        <x:v>2026-07-31T17:20:00</x:v>
      </x:c>
      <x:c r="D180" s="47" t="n">
        <x:v>5</x:v>
      </x:c>
      <x:c r="E180" s="40" t="n">
        <x:v>12.1</x:v>
      </x:c>
      <x:c r="F180" s="40" t="n">
        <x:v>9.974098205566406</x:v>
      </x:c>
      <x:c r="G180" s="40" t="n">
        <x:v>12</x:v>
      </x:c>
      <x:c r="H180" s="40" t="n">
        <x:f>F180-E180</x:f>
        <x:v>-2.1259017944335934</x:v>
      </x:c>
      <x:c r="I180" s="40" t="n">
        <x:f>ABS(H180)</x:f>
        <x:v>2.1259017944335934</x:v>
      </x:c>
      <x:c r="J180" s="40" t="n">
        <x:f>H180^2</x:f>
        <x:v>4.519458439575972</x:v>
      </x:c>
      <x:c r="K180" s="40" t="n">
        <x:f>G180-E180</x:f>
        <x:v>-0.09999999999999964</x:v>
      </x:c>
      <x:c r="L180" s="40" t="n">
        <x:f>ABS(K180)</x:f>
        <x:v>0.09999999999999964</x:v>
      </x:c>
      <x:c r="M180" s="41" t="str">
        <x:v>lstm-soil-v1</x:v>
      </x:c>
    </x:row>
    <x:row r="181">
      <x:c r="A181" s="38" t="str">
        <x:v>7月30日现场数据</x:v>
      </x:c>
      <x:c r="B181" s="39" t="str">
        <x:v>2026-07-31T17:15:00</x:v>
      </x:c>
      <x:c r="C181" s="39" t="str">
        <x:v>2026-07-31T17:30:00</x:v>
      </x:c>
      <x:c r="D181" s="47" t="n">
        <x:v>15</x:v>
      </x:c>
      <x:c r="E181" s="40" t="n">
        <x:v>12.1</x:v>
      </x:c>
      <x:c r="F181" s="40" t="n">
        <x:v>10.038566589355469</x:v>
      </x:c>
      <x:c r="G181" s="40" t="n">
        <x:v>12</x:v>
      </x:c>
      <x:c r="H181" s="40" t="n">
        <x:f>F181-E181</x:f>
        <x:v>-2.061433410644531</x:v>
      </x:c>
      <x:c r="I181" s="40" t="n">
        <x:f>ABS(H181)</x:f>
        <x:v>2.061433410644531</x:v>
      </x:c>
      <x:c r="J181" s="40" t="n">
        <x:f>H181^2</x:f>
        <x:v>4.249507706521543</x:v>
      </x:c>
      <x:c r="K181" s="40" t="n">
        <x:f>G181-E181</x:f>
        <x:v>-0.09999999999999964</x:v>
      </x:c>
      <x:c r="L181" s="40" t="n">
        <x:f>ABS(K181)</x:f>
        <x:v>0.09999999999999964</x:v>
      </x:c>
      <x:c r="M181" s="41" t="str">
        <x:v>lstm-soil-v1</x:v>
      </x:c>
    </x:row>
    <x:row r="182">
      <x:c r="A182" s="38" t="str">
        <x:v>7月30日现场数据</x:v>
      </x:c>
      <x:c r="B182" s="39" t="str">
        <x:v>2026-07-31T17:15:00</x:v>
      </x:c>
      <x:c r="C182" s="39" t="str">
        <x:v>2026-07-31T17:45:00</x:v>
      </x:c>
      <x:c r="D182" s="47" t="n">
        <x:v>30</x:v>
      </x:c>
      <x:c r="E182" s="40" t="n">
        <x:v>12</x:v>
      </x:c>
      <x:c r="F182" s="40" t="n">
        <x:v>10.45376968383789</x:v>
      </x:c>
      <x:c r="G182" s="40" t="n">
        <x:v>12</x:v>
      </x:c>
      <x:c r="H182" s="40" t="n">
        <x:f>F182-E182</x:f>
        <x:v>-1.5462303161621094</x:v>
      </x:c>
      <x:c r="I182" s="40" t="n">
        <x:f>ABS(H182)</x:f>
        <x:v>1.5462303161621094</x:v>
      </x:c>
      <x:c r="J182" s="40" t="n">
        <x:f>H182^2</x:f>
        <x:v>2.3908281906187767</x:v>
      </x:c>
      <x:c r="K182" s="40" t="n">
        <x:f>G182-E182</x:f>
        <x:v>0</x:v>
      </x:c>
      <x:c r="L182" s="40" t="n">
        <x:f>ABS(K182)</x:f>
        <x:v>0</x:v>
      </x:c>
      <x:c r="M182" s="41" t="str">
        <x:v>lstm-soil-v1</x:v>
      </x:c>
    </x:row>
    <x:row r="183">
      <x:c r="A183" s="38" t="str">
        <x:v>7月30日现场数据</x:v>
      </x:c>
      <x:c r="B183" s="39" t="str">
        <x:v>2026-07-31T17:15:00</x:v>
      </x:c>
      <x:c r="C183" s="39" t="str">
        <x:v>2026-07-31T18:15:00</x:v>
      </x:c>
      <x:c r="D183" s="47" t="n">
        <x:v>60</x:v>
      </x:c>
      <x:c r="E183" s="40" t="n">
        <x:v>12.1</x:v>
      </x:c>
      <x:c r="F183" s="40" t="n">
        <x:v>12.164451599121094</x:v>
      </x:c>
      <x:c r="G183" s="40" t="n">
        <x:v>12</x:v>
      </x:c>
      <x:c r="H183" s="40" t="n">
        <x:f>F183-E183</x:f>
        <x:v>0.0644515991210941</x:v>
      </x:c>
      <x:c r="I183" s="40" t="n">
        <x:f>ABS(H183)</x:f>
        <x:v>0.0644515991210941</x:v>
      </x:c>
      <x:c r="J183" s="40" t="n">
        <x:f>H183^2</x:f>
        <x:v>0.004154008629266219</x:v>
      </x:c>
      <x:c r="K183" s="40" t="n">
        <x:f>G183-E183</x:f>
        <x:v>-0.09999999999999964</x:v>
      </x:c>
      <x:c r="L183" s="40" t="n">
        <x:f>ABS(K183)</x:f>
        <x:v>0.09999999999999964</x:v>
      </x:c>
      <x:c r="M183" s="41" t="str">
        <x:v>lstm-soil-v1</x:v>
      </x:c>
    </x:row>
    <x:row r="184">
      <x:c r="A184" s="38" t="str">
        <x:v>7月30日现场数据</x:v>
      </x:c>
      <x:c r="B184" s="39" t="str">
        <x:v>2026-07-31T17:20:00</x:v>
      </x:c>
      <x:c r="C184" s="39" t="str">
        <x:v>2026-07-31T17:25:00</x:v>
      </x:c>
      <x:c r="D184" s="47" t="n">
        <x:v>5</x:v>
      </x:c>
      <x:c r="E184" s="40" t="n">
        <x:v>12.1</x:v>
      </x:c>
      <x:c r="F184" s="40" t="n">
        <x:v>10.084003448486328</x:v>
      </x:c>
      <x:c r="G184" s="40" t="n">
        <x:v>12.1</x:v>
      </x:c>
      <x:c r="H184" s="40" t="n">
        <x:f>F184-E184</x:f>
        <x:v>-2.0159965515136715</x:v>
      </x:c>
      <x:c r="I184" s="40" t="n">
        <x:f>ABS(H184)</x:f>
        <x:v>2.0159965515136715</x:v>
      </x:c>
      <x:c r="J184" s="40" t="n">
        <x:f>H184^2</x:f>
        <x:v>4.064242095715016</x:v>
      </x:c>
      <x:c r="K184" s="40" t="n">
        <x:f>G184-E184</x:f>
        <x:v>0</x:v>
      </x:c>
      <x:c r="L184" s="40" t="n">
        <x:f>ABS(K184)</x:f>
        <x:v>0</x:v>
      </x:c>
      <x:c r="M184" s="41" t="str">
        <x:v>lstm-soil-v1</x:v>
      </x:c>
    </x:row>
    <x:row r="185">
      <x:c r="A185" s="38" t="str">
        <x:v>7月30日现场数据</x:v>
      </x:c>
      <x:c r="B185" s="39" t="str">
        <x:v>2026-07-31T17:20:00</x:v>
      </x:c>
      <x:c r="C185" s="39" t="str">
        <x:v>2026-07-31T17:35:00</x:v>
      </x:c>
      <x:c r="D185" s="47" t="n">
        <x:v>15</x:v>
      </x:c>
      <x:c r="E185" s="40" t="n">
        <x:v>12.1</x:v>
      </x:c>
      <x:c r="F185" s="40" t="n">
        <x:v>10.148399353027344</x:v>
      </x:c>
      <x:c r="G185" s="40" t="n">
        <x:v>12.1</x:v>
      </x:c>
      <x:c r="H185" s="40" t="n">
        <x:f>F185-E185</x:f>
        <x:v>-1.951600646972656</x:v>
      </x:c>
      <x:c r="I185" s="40" t="n">
        <x:f>ABS(H185)</x:f>
        <x:v>1.951600646972656</x:v>
      </x:c>
      <x:c r="J185" s="40" t="n">
        <x:f>H185^2</x:f>
        <x:v>3.808745085264089</x:v>
      </x:c>
      <x:c r="K185" s="40" t="n">
        <x:f>G185-E185</x:f>
        <x:v>0</x:v>
      </x:c>
      <x:c r="L185" s="40" t="n">
        <x:f>ABS(K185)</x:f>
        <x:v>0</x:v>
      </x:c>
      <x:c r="M185" s="41" t="str">
        <x:v>lstm-soil-v1</x:v>
      </x:c>
    </x:row>
    <x:row r="186">
      <x:c r="A186" s="38" t="str">
        <x:v>7月30日现场数据</x:v>
      </x:c>
      <x:c r="B186" s="39" t="str">
        <x:v>2026-07-31T17:20:00</x:v>
      </x:c>
      <x:c r="C186" s="39" t="str">
        <x:v>2026-07-31T17:50:00</x:v>
      </x:c>
      <x:c r="D186" s="47" t="n">
        <x:v>30</x:v>
      </x:c>
      <x:c r="E186" s="40" t="n">
        <x:v>12.1</x:v>
      </x:c>
      <x:c r="F186" s="40" t="n">
        <x:v>10.564937591552734</x:v>
      </x:c>
      <x:c r="G186" s="40" t="n">
        <x:v>12.1</x:v>
      </x:c>
      <x:c r="H186" s="40" t="n">
        <x:f>F186-E186</x:f>
        <x:v>-1.5350624084472653</x:v>
      </x:c>
      <x:c r="I186" s="40" t="n">
        <x:f>ABS(H186)</x:f>
        <x:v>1.5350624084472653</x:v>
      </x:c>
      <x:c r="J186" s="40" t="n">
        <x:f>H186^2</x:f>
        <x:v>2.3564165978279186</x:v>
      </x:c>
      <x:c r="K186" s="40" t="n">
        <x:f>G186-E186</x:f>
        <x:v>0</x:v>
      </x:c>
      <x:c r="L186" s="40" t="n">
        <x:f>ABS(K186)</x:f>
        <x:v>0</x:v>
      </x:c>
      <x:c r="M186" s="41" t="str">
        <x:v>lstm-soil-v1</x:v>
      </x:c>
    </x:row>
    <x:row r="187">
      <x:c r="A187" s="38" t="str">
        <x:v>7月30日现场数据</x:v>
      </x:c>
      <x:c r="B187" s="39" t="str">
        <x:v>2026-07-31T17:20:00</x:v>
      </x:c>
      <x:c r="C187" s="39" t="str">
        <x:v>2026-07-31T18:20:00</x:v>
      </x:c>
      <x:c r="D187" s="47" t="n">
        <x:v>60</x:v>
      </x:c>
      <x:c r="E187" s="40" t="n">
        <x:v>12</x:v>
      </x:c>
      <x:c r="F187" s="40" t="n">
        <x:v>12.274700164794922</x:v>
      </x:c>
      <x:c r="G187" s="40" t="n">
        <x:v>12.1</x:v>
      </x:c>
      <x:c r="H187" s="40" t="n">
        <x:f>F187-E187</x:f>
        <x:v>0.2747001647949219</x:v>
      </x:c>
      <x:c r="I187" s="40" t="n">
        <x:f>ABS(H187)</x:f>
        <x:v>0.2747001647949219</x:v>
      </x:c>
      <x:c r="J187" s="40" t="n">
        <x:f>H187^2</x:f>
        <x:v>0.07546018053835724</x:v>
      </x:c>
      <x:c r="K187" s="40" t="n">
        <x:f>G187-E187</x:f>
        <x:v>0.09999999999999964</x:v>
      </x:c>
      <x:c r="L187" s="40" t="n">
        <x:f>ABS(K187)</x:f>
        <x:v>0.09999999999999964</x:v>
      </x:c>
      <x:c r="M187" s="41" t="str">
        <x:v>lstm-soil-v1</x:v>
      </x:c>
    </x:row>
    <x:row r="188">
      <x:c r="A188" s="38" t="str">
        <x:v>7月30日现场数据</x:v>
      </x:c>
      <x:c r="B188" s="39" t="str">
        <x:v>2026-07-31T17:25:00</x:v>
      </x:c>
      <x:c r="C188" s="39" t="str">
        <x:v>2026-07-31T17:30:00</x:v>
      </x:c>
      <x:c r="D188" s="47" t="n">
        <x:v>5</x:v>
      </x:c>
      <x:c r="E188" s="40" t="n">
        <x:v>12.1</x:v>
      </x:c>
      <x:c r="F188" s="40" t="n">
        <x:v>10.084907531738281</x:v>
      </x:c>
      <x:c r="G188" s="40" t="n">
        <x:v>12.1</x:v>
      </x:c>
      <x:c r="H188" s="40" t="n">
        <x:f>F188-E188</x:f>
        <x:v>-2.0150924682617184</x:v>
      </x:c>
      <x:c r="I188" s="40" t="n">
        <x:f>ABS(H188)</x:f>
        <x:v>2.0150924682617184</x:v>
      </x:c>
      <x:c r="J188" s="40" t="n">
        <x:f>H188^2</x:f>
        <x:v>4.060597655645105</x:v>
      </x:c>
      <x:c r="K188" s="40" t="n">
        <x:f>G188-E188</x:f>
        <x:v>0</x:v>
      </x:c>
      <x:c r="L188" s="40" t="n">
        <x:f>ABS(K188)</x:f>
        <x:v>0</x:v>
      </x:c>
      <x:c r="M188" s="41" t="str">
        <x:v>lstm-soil-v1</x:v>
      </x:c>
    </x:row>
    <x:row r="189">
      <x:c r="A189" s="38" t="str">
        <x:v>7月30日现场数据</x:v>
      </x:c>
      <x:c r="B189" s="39" t="str">
        <x:v>2026-07-31T17:25:00</x:v>
      </x:c>
      <x:c r="C189" s="39" t="str">
        <x:v>2026-07-31T17:40:00</x:v>
      </x:c>
      <x:c r="D189" s="47" t="n">
        <x:v>15</x:v>
      </x:c>
      <x:c r="E189" s="40" t="n">
        <x:v>12.1</x:v>
      </x:c>
      <x:c r="F189" s="40" t="n">
        <x:v>10.149299621582031</x:v>
      </x:c>
      <x:c r="G189" s="40" t="n">
        <x:v>12.1</x:v>
      </x:c>
      <x:c r="H189" s="40" t="n">
        <x:f>F189-E189</x:f>
        <x:v>-1.9507003784179684</x:v>
      </x:c>
      <x:c r="I189" s="40" t="n">
        <x:f>ABS(H189)</x:f>
        <x:v>1.9507003784179684</x:v>
      </x:c>
      <x:c r="J189" s="40" t="n">
        <x:f>H189^2</x:f>
        <x:v>3.805231966360005</x:v>
      </x:c>
      <x:c r="K189" s="40" t="n">
        <x:f>G189-E189</x:f>
        <x:v>0</x:v>
      </x:c>
      <x:c r="L189" s="40" t="n">
        <x:f>ABS(K189)</x:f>
        <x:v>0</x:v>
      </x:c>
      <x:c r="M189" s="41" t="str">
        <x:v>lstm-soil-v1</x:v>
      </x:c>
    </x:row>
    <x:row r="190">
      <x:c r="A190" s="38" t="str">
        <x:v>7月30日现场数据</x:v>
      </x:c>
      <x:c r="B190" s="39" t="str">
        <x:v>2026-07-31T17:25:00</x:v>
      </x:c>
      <x:c r="C190" s="39" t="str">
        <x:v>2026-07-31T17:55:00</x:v>
      </x:c>
      <x:c r="D190" s="47" t="n">
        <x:v>30</x:v>
      </x:c>
      <x:c r="E190" s="40" t="n">
        <x:v>12.1</x:v>
      </x:c>
      <x:c r="F190" s="40" t="n">
        <x:v>10.567771911621094</x:v>
      </x:c>
      <x:c r="G190" s="40" t="n">
        <x:v>12.1</x:v>
      </x:c>
      <x:c r="H190" s="40" t="n">
        <x:f>F190-E190</x:f>
        <x:v>-1.532228088378906</x:v>
      </x:c>
      <x:c r="I190" s="40" t="n">
        <x:f>ABS(H190)</x:f>
        <x:v>1.532228088378906</x:v>
      </x:c>
      <x:c r="J190" s="40" t="n">
        <x:f>H190^2</x:f>
        <x:v>2.3477229148172762</x:v>
      </x:c>
      <x:c r="K190" s="40" t="n">
        <x:f>G190-E190</x:f>
        <x:v>0</x:v>
      </x:c>
      <x:c r="L190" s="40" t="n">
        <x:f>ABS(K190)</x:f>
        <x:v>0</x:v>
      </x:c>
      <x:c r="M190" s="41" t="str">
        <x:v>lstm-soil-v1</x:v>
      </x:c>
    </x:row>
    <x:row r="191">
      <x:c r="A191" s="38" t="str">
        <x:v>7月30日现场数据</x:v>
      </x:c>
      <x:c r="B191" s="39" t="str">
        <x:v>2026-07-31T17:25:00</x:v>
      </x:c>
      <x:c r="C191" s="39" t="str">
        <x:v>2026-07-31T18:25:00</x:v>
      </x:c>
      <x:c r="D191" s="47" t="n">
        <x:v>60</x:v>
      </x:c>
      <x:c r="E191" s="40" t="n">
        <x:v>12</x:v>
      </x:c>
      <x:c r="F191" s="40" t="n">
        <x:v>12.276050567626953</x:v>
      </x:c>
      <x:c r="G191" s="40" t="n">
        <x:v>12.1</x:v>
      </x:c>
      <x:c r="H191" s="40" t="n">
        <x:f>F191-E191</x:f>
        <x:v>0.2760505676269531</x:v>
      </x:c>
      <x:c r="I191" s="40" t="n">
        <x:f>ABS(H191)</x:f>
        <x:v>0.2760505676269531</x:v>
      </x:c>
      <x:c r="J191" s="40" t="n">
        <x:f>H191^2</x:f>
        <x:v>0.07620391588716302</x:v>
      </x:c>
      <x:c r="K191" s="40" t="n">
        <x:f>G191-E191</x:f>
        <x:v>0.09999999999999964</x:v>
      </x:c>
      <x:c r="L191" s="40" t="n">
        <x:f>ABS(K191)</x:f>
        <x:v>0.09999999999999964</x:v>
      </x:c>
      <x:c r="M191" s="41" t="str">
        <x:v>lstm-soil-v1</x:v>
      </x:c>
    </x:row>
    <x:row r="192">
      <x:c r="A192" s="38" t="str">
        <x:v>7月30日现场数据</x:v>
      </x:c>
      <x:c r="B192" s="39" t="str">
        <x:v>2026-07-31T17:30:00</x:v>
      </x:c>
      <x:c r="C192" s="39" t="str">
        <x:v>2026-07-31T17:35:00</x:v>
      </x:c>
      <x:c r="D192" s="47" t="n">
        <x:v>5</x:v>
      </x:c>
      <x:c r="E192" s="40" t="n">
        <x:v>12.1</x:v>
      </x:c>
      <x:c r="F192" s="40" t="n">
        <x:v>10.08431625366211</x:v>
      </x:c>
      <x:c r="G192" s="40" t="n">
        <x:v>12.1</x:v>
      </x:c>
      <x:c r="H192" s="40" t="n">
        <x:f>F192-E192</x:f>
        <x:v>-2.0156837463378903</x:v>
      </x:c>
      <x:c r="I192" s="40" t="n">
        <x:f>ABS(H192)</x:f>
        <x:v>2.0156837463378903</x:v>
      </x:c>
      <x:c r="J192" s="40" t="n">
        <x:f>H192^2</x:f>
        <x:v>4.062980965250753</x:v>
      </x:c>
      <x:c r="K192" s="40" t="n">
        <x:f>G192-E192</x:f>
        <x:v>0</x:v>
      </x:c>
      <x:c r="L192" s="40" t="n">
        <x:f>ABS(K192)</x:f>
        <x:v>0</x:v>
      </x:c>
      <x:c r="M192" s="41" t="str">
        <x:v>lstm-soil-v1</x:v>
      </x:c>
    </x:row>
    <x:row r="193">
      <x:c r="A193" s="38" t="str">
        <x:v>7月30日现场数据</x:v>
      </x:c>
      <x:c r="B193" s="39" t="str">
        <x:v>2026-07-31T17:30:00</x:v>
      </x:c>
      <x:c r="C193" s="39" t="str">
        <x:v>2026-07-31T17:45:00</x:v>
      </x:c>
      <x:c r="D193" s="47" t="n">
        <x:v>15</x:v>
      </x:c>
      <x:c r="E193" s="40" t="n">
        <x:v>12</x:v>
      </x:c>
      <x:c r="F193" s="40" t="n">
        <x:v>10.149566650390625</x:v>
      </x:c>
      <x:c r="G193" s="40" t="n">
        <x:v>12.1</x:v>
      </x:c>
      <x:c r="H193" s="40" t="n">
        <x:f>F193-E193</x:f>
        <x:v>-1.850433349609375</x:v>
      </x:c>
      <x:c r="I193" s="40" t="n">
        <x:f>ABS(H193)</x:f>
        <x:v>1.850433349609375</x:v>
      </x:c>
      <x:c r="J193" s="40" t="n">
        <x:f>H193^2</x:f>
        <x:v>3.4241035813465714</x:v>
      </x:c>
      <x:c r="K193" s="40" t="n">
        <x:f>G193-E193</x:f>
        <x:v>0.09999999999999964</x:v>
      </x:c>
      <x:c r="L193" s="40" t="n">
        <x:f>ABS(K193)</x:f>
        <x:v>0.09999999999999964</x:v>
      </x:c>
      <x:c r="M193" s="41" t="str">
        <x:v>lstm-soil-v1</x:v>
      </x:c>
    </x:row>
    <x:row r="194">
      <x:c r="A194" s="38" t="str">
        <x:v>7月30日现场数据</x:v>
      </x:c>
      <x:c r="B194" s="39" t="str">
        <x:v>2026-07-31T17:30:00</x:v>
      </x:c>
      <x:c r="C194" s="39" t="str">
        <x:v>2026-07-31T18:00:00</x:v>
      </x:c>
      <x:c r="D194" s="47" t="n">
        <x:v>30</x:v>
      </x:c>
      <x:c r="E194" s="40" t="n">
        <x:v>12</x:v>
      </x:c>
      <x:c r="F194" s="40" t="n">
        <x:v>10.567619323730469</x:v>
      </x:c>
      <x:c r="G194" s="40" t="n">
        <x:v>12.1</x:v>
      </x:c>
      <x:c r="H194" s="40" t="n">
        <x:f>F194-E194</x:f>
        <x:v>-1.4323806762695312</x:v>
      </x:c>
      <x:c r="I194" s="40" t="n">
        <x:f>ABS(H194)</x:f>
        <x:v>1.4323806762695312</x:v>
      </x:c>
      <x:c r="J194" s="40" t="n">
        <x:f>H194^2</x:f>
        <x:v>2.0517144017503597</x:v>
      </x:c>
      <x:c r="K194" s="40" t="n">
        <x:f>G194-E194</x:f>
        <x:v>0.09999999999999964</x:v>
      </x:c>
      <x:c r="L194" s="40" t="n">
        <x:f>ABS(K194)</x:f>
        <x:v>0.09999999999999964</x:v>
      </x:c>
      <x:c r="M194" s="41" t="str">
        <x:v>lstm-soil-v1</x:v>
      </x:c>
    </x:row>
    <x:row r="195">
      <x:c r="A195" s="38" t="str">
        <x:v>7月30日现场数据</x:v>
      </x:c>
      <x:c r="B195" s="39" t="str">
        <x:v>2026-07-31T17:30:00</x:v>
      </x:c>
      <x:c r="C195" s="39" t="str">
        <x:v>2026-07-31T18:30:00</x:v>
      </x:c>
      <x:c r="D195" s="47" t="n">
        <x:v>60</x:v>
      </x:c>
      <x:c r="E195" s="40" t="n">
        <x:v>11.9</x:v>
      </x:c>
      <x:c r="F195" s="40" t="n">
        <x:v>12.275215148925781</x:v>
      </x:c>
      <x:c r="G195" s="40" t="n">
        <x:v>12.1</x:v>
      </x:c>
      <x:c r="H195" s="40" t="n">
        <x:f>F195-E195</x:f>
        <x:v>0.3752151489257809</x:v>
      </x:c>
      <x:c r="I195" s="40" t="n">
        <x:f>ABS(H195)</x:f>
        <x:v>0.3752151489257809</x:v>
      </x:c>
      <x:c r="J195" s="40" t="n">
        <x:f>H195^2</x:f>
        <x:v>0.14078640798339592</x:v>
      </x:c>
      <x:c r="K195" s="40" t="n">
        <x:f>G195-E195</x:f>
        <x:v>0.1999999999999993</x:v>
      </x:c>
      <x:c r="L195" s="40" t="n">
        <x:f>ABS(K195)</x:f>
        <x:v>0.1999999999999993</x:v>
      </x:c>
      <x:c r="M195" s="41" t="str">
        <x:v>lstm-soil-v1</x:v>
      </x:c>
    </x:row>
    <x:row r="196">
      <x:c r="A196" s="38" t="str">
        <x:v>7月30日现场数据</x:v>
      </x:c>
      <x:c r="B196" s="39" t="str">
        <x:v>2026-07-31T17:35:00</x:v>
      </x:c>
      <x:c r="C196" s="39" t="str">
        <x:v>2026-07-31T17:40:00</x:v>
      </x:c>
      <x:c r="D196" s="47" t="n">
        <x:v>5</x:v>
      </x:c>
      <x:c r="E196" s="40" t="n">
        <x:v>12.1</x:v>
      </x:c>
      <x:c r="F196" s="40" t="n">
        <x:v>10.083629608154297</x:v>
      </x:c>
      <x:c r="G196" s="40" t="n">
        <x:v>12.1</x:v>
      </x:c>
      <x:c r="H196" s="40" t="n">
        <x:f>F196-E196</x:f>
        <x:v>-2.0163703918457028</x:v>
      </x:c>
      <x:c r="I196" s="40" t="n">
        <x:f>ABS(H196)</x:f>
        <x:v>2.0163703918457028</x:v>
      </x:c>
      <x:c r="J196" s="40" t="n">
        <x:f>H196^2</x:f>
        <x:v>4.065749557111993</x:v>
      </x:c>
      <x:c r="K196" s="40" t="n">
        <x:f>G196-E196</x:f>
        <x:v>0</x:v>
      </x:c>
      <x:c r="L196" s="40" t="n">
        <x:f>ABS(K196)</x:f>
        <x:v>0</x:v>
      </x:c>
      <x:c r="M196" s="41" t="str">
        <x:v>lstm-soil-v1</x:v>
      </x:c>
    </x:row>
    <x:row r="197">
      <x:c r="A197" s="38" t="str">
        <x:v>7月30日现场数据</x:v>
      </x:c>
      <x:c r="B197" s="39" t="str">
        <x:v>2026-07-31T17:35:00</x:v>
      </x:c>
      <x:c r="C197" s="39" t="str">
        <x:v>2026-07-31T17:50:00</x:v>
      </x:c>
      <x:c r="D197" s="47" t="n">
        <x:v>15</x:v>
      </x:c>
      <x:c r="E197" s="40" t="n">
        <x:v>12.1</x:v>
      </x:c>
      <x:c r="F197" s="40" t="n">
        <x:v>10.149517059326172</x:v>
      </x:c>
      <x:c r="G197" s="40" t="n">
        <x:v>12.1</x:v>
      </x:c>
      <x:c r="H197" s="40" t="n">
        <x:f>F197-E197</x:f>
        <x:v>-1.9504829406738278</x:v>
      </x:c>
      <x:c r="I197" s="40" t="n">
        <x:f>ABS(H197)</x:f>
        <x:v>1.9504829406738278</x:v>
      </x:c>
      <x:c r="J197" s="40" t="n">
        <x:f>H197^2</x:f>
        <x:v>3.804383701859623</x:v>
      </x:c>
      <x:c r="K197" s="40" t="n">
        <x:f>G197-E197</x:f>
        <x:v>0</x:v>
      </x:c>
      <x:c r="L197" s="40" t="n">
        <x:f>ABS(K197)</x:f>
        <x:v>0</x:v>
      </x:c>
      <x:c r="M197" s="41" t="str">
        <x:v>lstm-soil-v1</x:v>
      </x:c>
    </x:row>
    <x:row r="198">
      <x:c r="A198" s="38" t="str">
        <x:v>7月30日现场数据</x:v>
      </x:c>
      <x:c r="B198" s="39" t="str">
        <x:v>2026-07-31T17:35:00</x:v>
      </x:c>
      <x:c r="C198" s="39" t="str">
        <x:v>2026-07-31T18:05:00</x:v>
      </x:c>
      <x:c r="D198" s="47" t="n">
        <x:v>30</x:v>
      </x:c>
      <x:c r="E198" s="40" t="n">
        <x:v>12</x:v>
      </x:c>
      <x:c r="F198" s="40" t="n">
        <x:v>10.567142486572266</x:v>
      </x:c>
      <x:c r="G198" s="40" t="n">
        <x:v>12.1</x:v>
      </x:c>
      <x:c r="H198" s="40" t="n">
        <x:f>F198-E198</x:f>
        <x:v>-1.4328575134277344</x:v>
      </x:c>
      <x:c r="I198" s="40" t="n">
        <x:f>ABS(H198)</x:f>
        <x:v>1.4328575134277344</x:v>
      </x:c>
      <x:c r="J198" s="40" t="n">
        <x:f>H198^2</x:f>
        <x:v>2.05308065378631</x:v>
      </x:c>
      <x:c r="K198" s="40" t="n">
        <x:f>G198-E198</x:f>
        <x:v>0.09999999999999964</x:v>
      </x:c>
      <x:c r="L198" s="40" t="n">
        <x:f>ABS(K198)</x:f>
        <x:v>0.09999999999999964</x:v>
      </x:c>
      <x:c r="M198" s="41" t="str">
        <x:v>lstm-soil-v1</x:v>
      </x:c>
    </x:row>
    <x:row r="199">
      <x:c r="A199" s="38" t="str">
        <x:v>7月30日现场数据</x:v>
      </x:c>
      <x:c r="B199" s="39" t="str">
        <x:v>2026-07-31T17:35:00</x:v>
      </x:c>
      <x:c r="C199" s="39" t="str">
        <x:v>2026-07-31T18:35:00</x:v>
      </x:c>
      <x:c r="D199" s="47" t="n">
        <x:v>60</x:v>
      </x:c>
      <x:c r="E199" s="40" t="n">
        <x:v>12</x:v>
      </x:c>
      <x:c r="F199" s="40" t="n">
        <x:v>12.274547576904297</x:v>
      </x:c>
      <x:c r="G199" s="40" t="n">
        <x:v>12.1</x:v>
      </x:c>
      <x:c r="H199" s="40" t="n">
        <x:f>F199-E199</x:f>
        <x:v>0.2745475769042969</x:v>
      </x:c>
      <x:c r="I199" s="40" t="n">
        <x:f>ABS(H199)</x:f>
        <x:v>0.2745475769042969</x:v>
      </x:c>
      <x:c r="J199" s="40" t="n">
        <x:f>H199^2</x:f>
        <x:v>0.0753763719840208</x:v>
      </x:c>
      <x:c r="K199" s="40" t="n">
        <x:f>G199-E199</x:f>
        <x:v>0.09999999999999964</x:v>
      </x:c>
      <x:c r="L199" s="40" t="n">
        <x:f>ABS(K199)</x:f>
        <x:v>0.09999999999999964</x:v>
      </x:c>
      <x:c r="M199" s="41" t="str">
        <x:v>lstm-soil-v1</x:v>
      </x:c>
    </x:row>
    <x:row r="200">
      <x:c r="A200" s="38" t="str">
        <x:v>7月30日现场数据</x:v>
      </x:c>
      <x:c r="B200" s="39" t="str">
        <x:v>2026-07-31T17:40:00</x:v>
      </x:c>
      <x:c r="C200" s="39" t="str">
        <x:v>2026-07-31T17:45:00</x:v>
      </x:c>
      <x:c r="D200" s="47" t="n">
        <x:v>5</x:v>
      </x:c>
      <x:c r="E200" s="40" t="n">
        <x:v>12</x:v>
      </x:c>
      <x:c r="F200" s="40" t="n">
        <x:v>10.083091735839844</x:v>
      </x:c>
      <x:c r="G200" s="40" t="n">
        <x:v>12.1</x:v>
      </x:c>
      <x:c r="H200" s="40" t="n">
        <x:f>F200-E200</x:f>
        <x:v>-1.9169082641601562</x:v>
      </x:c>
      <x:c r="I200" s="40" t="n">
        <x:f>ABS(H200)</x:f>
        <x:v>1.9169082641601562</x:v>
      </x:c>
      <x:c r="J200" s="40" t="n">
        <x:f>H200^2</x:f>
        <x:v>3.6745372932055034</x:v>
      </x:c>
      <x:c r="K200" s="40" t="n">
        <x:f>G200-E200</x:f>
        <x:v>0.09999999999999964</x:v>
      </x:c>
      <x:c r="L200" s="40" t="n">
        <x:f>ABS(K200)</x:f>
        <x:v>0.09999999999999964</x:v>
      </x:c>
      <x:c r="M200" s="41" t="str">
        <x:v>lstm-soil-v1</x:v>
      </x:c>
    </x:row>
    <x:row r="201">
      <x:c r="A201" s="38" t="str">
        <x:v>7月30日现场数据</x:v>
      </x:c>
      <x:c r="B201" s="39" t="str">
        <x:v>2026-07-31T17:40:00</x:v>
      </x:c>
      <x:c r="C201" s="39" t="str">
        <x:v>2026-07-31T17:55:00</x:v>
      </x:c>
      <x:c r="D201" s="47" t="n">
        <x:v>15</x:v>
      </x:c>
      <x:c r="E201" s="40" t="n">
        <x:v>12.1</x:v>
      </x:c>
      <x:c r="F201" s="40" t="n">
        <x:v>10.149341583251953</x:v>
      </x:c>
      <x:c r="G201" s="40" t="n">
        <x:v>12.1</x:v>
      </x:c>
      <x:c r="H201" s="40" t="n">
        <x:f>F201-E201</x:f>
        <x:v>-1.9506584167480465</x:v>
      </x:c>
      <x:c r="I201" s="40" t="n">
        <x:f>ABS(H201)</x:f>
        <x:v>1.9506584167480465</x:v>
      </x:c>
      <x:c r="J201" s="40" t="n">
        <x:f>H201^2</x:f>
        <x:v>3.8050682588299956</x:v>
      </x:c>
      <x:c r="K201" s="40" t="n">
        <x:f>G201-E201</x:f>
        <x:v>0</x:v>
      </x:c>
      <x:c r="L201" s="40" t="n">
        <x:f>ABS(K201)</x:f>
        <x:v>0</x:v>
      </x:c>
      <x:c r="M201" s="41" t="str">
        <x:v>lstm-soil-v1</x:v>
      </x:c>
    </x:row>
    <x:row r="202">
      <x:c r="A202" s="38" t="str">
        <x:v>7月30日现场数据</x:v>
      </x:c>
      <x:c r="B202" s="39" t="str">
        <x:v>2026-07-31T17:40:00</x:v>
      </x:c>
      <x:c r="C202" s="39" t="str">
        <x:v>2026-07-31T18:10:00</x:v>
      </x:c>
      <x:c r="D202" s="47" t="n">
        <x:v>30</x:v>
      </x:c>
      <x:c r="E202" s="40" t="n">
        <x:v>12.1</x:v>
      </x:c>
      <x:c r="F202" s="40" t="n">
        <x:v>10.566638946533203</x:v>
      </x:c>
      <x:c r="G202" s="40" t="n">
        <x:v>12.1</x:v>
      </x:c>
      <x:c r="H202" s="40" t="n">
        <x:f>F202-E202</x:f>
        <x:v>-1.5333610534667965</x:v>
      </x:c>
      <x:c r="I202" s="40" t="n">
        <x:f>ABS(H202)</x:f>
        <x:v>1.5333610534667965</x:v>
      </x:c>
      <x:c r="J202" s="40" t="n">
        <x:f>H202^2</x:f>
        <x:v>2.351196120288804</x:v>
      </x:c>
      <x:c r="K202" s="40" t="n">
        <x:f>G202-E202</x:f>
        <x:v>0</x:v>
      </x:c>
      <x:c r="L202" s="40" t="n">
        <x:f>ABS(K202)</x:f>
        <x:v>0</x:v>
      </x:c>
      <x:c r="M202" s="41" t="str">
        <x:v>lstm-soil-v1</x:v>
      </x:c>
    </x:row>
    <x:row r="203">
      <x:c r="A203" s="38" t="str">
        <x:v>7月30日现场数据</x:v>
      </x:c>
      <x:c r="B203" s="39" t="str">
        <x:v>2026-07-31T17:40:00</x:v>
      </x:c>
      <x:c r="C203" s="39" t="str">
        <x:v>2026-07-31T18:40:00</x:v>
      </x:c>
      <x:c r="D203" s="47" t="n">
        <x:v>60</x:v>
      </x:c>
      <x:c r="E203" s="40" t="n">
        <x:v>12</x:v>
      </x:c>
      <x:c r="F203" s="40" t="n">
        <x:v>12.274120330810547</x:v>
      </x:c>
      <x:c r="G203" s="40" t="n">
        <x:v>12.1</x:v>
      </x:c>
      <x:c r="H203" s="40" t="n">
        <x:f>F203-E203</x:f>
        <x:v>0.2741203308105469</x:v>
      </x:c>
      <x:c r="I203" s="40" t="n">
        <x:f>ABS(H203)</x:f>
        <x:v>0.2741203308105469</x:v>
      </x:c>
      <x:c r="J203" s="40" t="n">
        <x:f>H203^2</x:f>
        <x:v>0.07514195576368365</x:v>
      </x:c>
      <x:c r="K203" s="40" t="n">
        <x:f>G203-E203</x:f>
        <x:v>0.09999999999999964</x:v>
      </x:c>
      <x:c r="L203" s="40" t="n">
        <x:f>ABS(K203)</x:f>
        <x:v>0.09999999999999964</x:v>
      </x:c>
      <x:c r="M203" s="41" t="str">
        <x:v>lstm-soil-v1</x:v>
      </x:c>
    </x:row>
    <x:row r="204">
      <x:c r="A204" s="38" t="str">
        <x:v>7月30日现场数据</x:v>
      </x:c>
      <x:c r="B204" s="39" t="str">
        <x:v>2026-07-31T17:45:00</x:v>
      </x:c>
      <x:c r="C204" s="39" t="str">
        <x:v>2026-07-31T17:50:00</x:v>
      </x:c>
      <x:c r="D204" s="47" t="n">
        <x:v>5</x:v>
      </x:c>
      <x:c r="E204" s="40" t="n">
        <x:v>12.1</x:v>
      </x:c>
      <x:c r="F204" s="40" t="n">
        <x:v>9.972354888916016</x:v>
      </x:c>
      <x:c r="G204" s="40" t="n">
        <x:v>12</x:v>
      </x:c>
      <x:c r="H204" s="40" t="n">
        <x:f>F204-E204</x:f>
        <x:v>-2.127645111083984</x:v>
      </x:c>
      <x:c r="I204" s="40" t="n">
        <x:f>ABS(H204)</x:f>
        <x:v>2.127645111083984</x:v>
      </x:c>
      <x:c r="J204" s="40" t="n">
        <x:f>H204^2</x:f>
        <x:v>4.526873718719579</x:v>
      </x:c>
      <x:c r="K204" s="40" t="n">
        <x:f>G204-E204</x:f>
        <x:v>-0.09999999999999964</x:v>
      </x:c>
      <x:c r="L204" s="40" t="n">
        <x:f>ABS(K204)</x:f>
        <x:v>0.09999999999999964</x:v>
      </x:c>
      <x:c r="M204" s="41" t="str">
        <x:v>lstm-soil-v1</x:v>
      </x:c>
    </x:row>
    <x:row r="205">
      <x:c r="A205" s="38" t="str">
        <x:v>7月30日现场数据</x:v>
      </x:c>
      <x:c r="B205" s="39" t="str">
        <x:v>2026-07-31T17:45:00</x:v>
      </x:c>
      <x:c r="C205" s="39" t="str">
        <x:v>2026-07-31T18:00:00</x:v>
      </x:c>
      <x:c r="D205" s="47" t="n">
        <x:v>15</x:v>
      </x:c>
      <x:c r="E205" s="40" t="n">
        <x:v>12</x:v>
      </x:c>
      <x:c r="F205" s="40" t="n">
        <x:v>10.03891372680664</x:v>
      </x:c>
      <x:c r="G205" s="40" t="n">
        <x:v>12</x:v>
      </x:c>
      <x:c r="H205" s="40" t="n">
        <x:f>F205-E205</x:f>
        <x:v>-1.9610862731933594</x:v>
      </x:c>
      <x:c r="I205" s="40" t="n">
        <x:f>ABS(H205)</x:f>
        <x:v>1.9610862731933594</x:v>
      </x:c>
      <x:c r="J205" s="40" t="n">
        <x:f>H205^2</x:f>
        <x:v>3.8458593709074194</x:v>
      </x:c>
      <x:c r="K205" s="40" t="n">
        <x:f>G205-E205</x:f>
        <x:v>0</x:v>
      </x:c>
      <x:c r="L205" s="40" t="n">
        <x:f>ABS(K205)</x:f>
        <x:v>0</x:v>
      </x:c>
      <x:c r="M205" s="41" t="str">
        <x:v>lstm-soil-v1</x:v>
      </x:c>
    </x:row>
    <x:row r="206">
      <x:c r="A206" s="38" t="str">
        <x:v>7月30日现场数据</x:v>
      </x:c>
      <x:c r="B206" s="39" t="str">
        <x:v>2026-07-31T17:45:00</x:v>
      </x:c>
      <x:c r="C206" s="39" t="str">
        <x:v>2026-07-31T18:15:00</x:v>
      </x:c>
      <x:c r="D206" s="47" t="n">
        <x:v>30</x:v>
      </x:c>
      <x:c r="E206" s="40" t="n">
        <x:v>12.1</x:v>
      </x:c>
      <x:c r="F206" s="40" t="n">
        <x:v>10.456012725830078</x:v>
      </x:c>
      <x:c r="G206" s="40" t="n">
        <x:v>12</x:v>
      </x:c>
      <x:c r="H206" s="40" t="n">
        <x:f>F206-E206</x:f>
        <x:v>-1.6439872741699215</x:v>
      </x:c>
      <x:c r="I206" s="40" t="n">
        <x:f>ABS(H206)</x:f>
        <x:v>1.6439872741699215</x:v>
      </x:c>
      <x:c r="J206" s="40" t="n">
        <x:f>H206^2</x:f>
        <x:v>2.702694157632649</x:v>
      </x:c>
      <x:c r="K206" s="40" t="n">
        <x:f>G206-E206</x:f>
        <x:v>-0.09999999999999964</x:v>
      </x:c>
      <x:c r="L206" s="40" t="n">
        <x:f>ABS(K206)</x:f>
        <x:v>0.09999999999999964</x:v>
      </x:c>
      <x:c r="M206" s="41" t="str">
        <x:v>lstm-soil-v1</x:v>
      </x:c>
    </x:row>
    <x:row r="207">
      <x:c r="A207" s="38" t="str">
        <x:v>7月30日现场数据</x:v>
      </x:c>
      <x:c r="B207" s="39" t="str">
        <x:v>2026-07-31T17:45:00</x:v>
      </x:c>
      <x:c r="C207" s="39" t="str">
        <x:v>2026-07-31T18:45:00</x:v>
      </x:c>
      <x:c r="D207" s="47" t="n">
        <x:v>60</x:v>
      </x:c>
      <x:c r="E207" s="40" t="n">
        <x:v>12</x:v>
      </x:c>
      <x:c r="F207" s="40" t="n">
        <x:v>12.16351318359375</x:v>
      </x:c>
      <x:c r="G207" s="40" t="n">
        <x:v>12</x:v>
      </x:c>
      <x:c r="H207" s="40" t="n">
        <x:f>F207-E207</x:f>
        <x:v>0.16351318359375</x:v>
      </x:c>
      <x:c r="I207" s="40" t="n">
        <x:f>ABS(H207)</x:f>
        <x:v>0.16351318359375</x:v>
      </x:c>
      <x:c r="J207" s="40" t="n">
        <x:f>H207^2</x:f>
        <x:v>0.026736561208963394</x:v>
      </x:c>
      <x:c r="K207" s="40" t="n">
        <x:f>G207-E207</x:f>
        <x:v>0</x:v>
      </x:c>
      <x:c r="L207" s="40" t="n">
        <x:f>ABS(K207)</x:f>
        <x:v>0</x:v>
      </x:c>
      <x:c r="M207" s="41" t="str">
        <x:v>lstm-soil-v1</x:v>
      </x:c>
    </x:row>
    <x:row r="208">
      <x:c r="A208" s="38" t="str">
        <x:v>7月30日现场数据</x:v>
      </x:c>
      <x:c r="B208" s="39" t="str">
        <x:v>2026-07-31T17:50:00</x:v>
      </x:c>
      <x:c r="C208" s="39" t="str">
        <x:v>2026-07-31T17:55:00</x:v>
      </x:c>
      <x:c r="D208" s="47" t="n">
        <x:v>5</x:v>
      </x:c>
      <x:c r="E208" s="40" t="n">
        <x:v>12.1</x:v>
      </x:c>
      <x:c r="F208" s="40" t="n">
        <x:v>10.081966400146484</x:v>
      </x:c>
      <x:c r="G208" s="40" t="n">
        <x:v>12.1</x:v>
      </x:c>
      <x:c r="H208" s="40" t="n">
        <x:f>F208-E208</x:f>
        <x:v>-2.0180335998535153</x:v>
      </x:c>
      <x:c r="I208" s="40" t="n">
        <x:f>ABS(H208)</x:f>
        <x:v>2.0180335998535153</x:v>
      </x:c>
      <x:c r="J208" s="40" t="n">
        <x:f>H208^2</x:f>
        <x:v>4.072459610137738</x:v>
      </x:c>
      <x:c r="K208" s="40" t="n">
        <x:f>G208-E208</x:f>
        <x:v>0</x:v>
      </x:c>
      <x:c r="L208" s="40" t="n">
        <x:f>ABS(K208)</x:f>
        <x:v>0</x:v>
      </x:c>
      <x:c r="M208" s="41" t="str">
        <x:v>lstm-soil-v1</x:v>
      </x:c>
    </x:row>
    <x:row r="209">
      <x:c r="A209" s="38" t="str">
        <x:v>7月30日现场数据</x:v>
      </x:c>
      <x:c r="B209" s="39" t="str">
        <x:v>2026-07-31T17:50:00</x:v>
      </x:c>
      <x:c r="C209" s="39" t="str">
        <x:v>2026-07-31T18:05:00</x:v>
      </x:c>
      <x:c r="D209" s="47" t="n">
        <x:v>15</x:v>
      </x:c>
      <x:c r="E209" s="40" t="n">
        <x:v>12</x:v>
      </x:c>
      <x:c r="F209" s="40" t="n">
        <x:v>10.148700714111328</x:v>
      </x:c>
      <x:c r="G209" s="40" t="n">
        <x:v>12.1</x:v>
      </x:c>
      <x:c r="H209" s="40" t="n">
        <x:f>F209-E209</x:f>
        <x:v>-1.8512992858886719</x:v>
      </x:c>
      <x:c r="I209" s="40" t="n">
        <x:f>ABS(H209)</x:f>
        <x:v>1.8512992858886719</x:v>
      </x:c>
      <x:c r="J209" s="40" t="n">
        <x:f>H209^2</x:f>
        <x:v>3.4273090459319064</x:v>
      </x:c>
      <x:c r="K209" s="40" t="n">
        <x:f>G209-E209</x:f>
        <x:v>0.09999999999999964</x:v>
      </x:c>
      <x:c r="L209" s="40" t="n">
        <x:f>ABS(K209)</x:f>
        <x:v>0.09999999999999964</x:v>
      </x:c>
      <x:c r="M209" s="41" t="str">
        <x:v>lstm-soil-v1</x:v>
      </x:c>
    </x:row>
    <x:row r="210">
      <x:c r="A210" s="38" t="str">
        <x:v>7月30日现场数据</x:v>
      </x:c>
      <x:c r="B210" s="39" t="str">
        <x:v>2026-07-31T17:50:00</x:v>
      </x:c>
      <x:c r="C210" s="39" t="str">
        <x:v>2026-07-31T18:20:00</x:v>
      </x:c>
      <x:c r="D210" s="47" t="n">
        <x:v>30</x:v>
      </x:c>
      <x:c r="E210" s="40" t="n">
        <x:v>12</x:v>
      </x:c>
      <x:c r="F210" s="40" t="n">
        <x:v>10.5655517578125</x:v>
      </x:c>
      <x:c r="G210" s="40" t="n">
        <x:v>12.1</x:v>
      </x:c>
      <x:c r="H210" s="40" t="n">
        <x:f>F210-E210</x:f>
        <x:v>-1.4344482421875</x:v>
      </x:c>
      <x:c r="I210" s="40" t="n">
        <x:f>ABS(H210)</x:f>
        <x:v>1.4344482421875</x:v>
      </x:c>
      <x:c r="J210" s="40" t="n">
        <x:f>H210^2</x:f>
        <x:v>2.0576417595148087</x:v>
      </x:c>
      <x:c r="K210" s="40" t="n">
        <x:f>G210-E210</x:f>
        <x:v>0.09999999999999964</x:v>
      </x:c>
      <x:c r="L210" s="40" t="n">
        <x:f>ABS(K210)</x:f>
        <x:v>0.09999999999999964</x:v>
      </x:c>
      <x:c r="M210" s="41" t="str">
        <x:v>lstm-soil-v1</x:v>
      </x:c>
    </x:row>
    <x:row r="211">
      <x:c r="A211" s="38" t="str">
        <x:v>7月30日现场数据</x:v>
      </x:c>
      <x:c r="B211" s="39" t="str">
        <x:v>2026-07-31T17:50:00</x:v>
      </x:c>
      <x:c r="C211" s="39" t="str">
        <x:v>2026-07-31T18:50:00</x:v>
      </x:c>
      <x:c r="D211" s="47" t="n">
        <x:v>60</x:v>
      </x:c>
      <x:c r="E211" s="40" t="n">
        <x:v>12</x:v>
      </x:c>
      <x:c r="F211" s="40" t="n">
        <x:v>12.273197174072266</x:v>
      </x:c>
      <x:c r="G211" s="40" t="n">
        <x:v>12.1</x:v>
      </x:c>
      <x:c r="H211" s="40" t="n">
        <x:f>F211-E211</x:f>
        <x:v>0.2731971740722656</x:v>
      </x:c>
      <x:c r="I211" s="40" t="n">
        <x:f>ABS(H211)</x:f>
        <x:v>0.2731971740722656</x:v>
      </x:c>
      <x:c r="J211" s="40" t="n">
        <x:f>H211^2</x:f>
        <x:v>0.0746366959210718</x:v>
      </x:c>
      <x:c r="K211" s="40" t="n">
        <x:f>G211-E211</x:f>
        <x:v>0.09999999999999964</x:v>
      </x:c>
      <x:c r="L211" s="40" t="n">
        <x:f>ABS(K211)</x:f>
        <x:v>0.09999999999999964</x:v>
      </x:c>
      <x:c r="M211" s="41" t="str">
        <x:v>lstm-soil-v1</x:v>
      </x:c>
    </x:row>
    <x:row r="212">
      <x:c r="A212" s="38" t="str">
        <x:v>7月30日现场数据</x:v>
      </x:c>
      <x:c r="B212" s="39" t="str">
        <x:v>2026-07-31T17:55:00</x:v>
      </x:c>
      <x:c r="C212" s="39" t="str">
        <x:v>2026-07-31T18:00:00</x:v>
      </x:c>
      <x:c r="D212" s="47" t="n">
        <x:v>5</x:v>
      </x:c>
      <x:c r="E212" s="40" t="n">
        <x:v>12</x:v>
      </x:c>
      <x:c r="F212" s="40" t="n">
        <x:v>10.081829071044922</x:v>
      </x:c>
      <x:c r="G212" s="40" t="n">
        <x:v>12.1</x:v>
      </x:c>
      <x:c r="H212" s="40" t="n">
        <x:f>F212-E212</x:f>
        <x:v>-1.9181709289550781</x:v>
      </x:c>
      <x:c r="I212" s="40" t="n">
        <x:f>ABS(H212)</x:f>
        <x:v>1.9181709289550781</x:v>
      </x:c>
      <x:c r="J212" s="40" t="n">
        <x:f>H212^2</x:f>
        <x:v>3.6793797126883874</x:v>
      </x:c>
      <x:c r="K212" s="40" t="n">
        <x:f>G212-E212</x:f>
        <x:v>0.09999999999999964</x:v>
      </x:c>
      <x:c r="L212" s="40" t="n">
        <x:f>ABS(K212)</x:f>
        <x:v>0.09999999999999964</x:v>
      </x:c>
      <x:c r="M212" s="41" t="str">
        <x:v>lstm-soil-v1</x:v>
      </x:c>
    </x:row>
    <x:row r="213">
      <x:c r="A213" s="38" t="str">
        <x:v>7月30日现场数据</x:v>
      </x:c>
      <x:c r="B213" s="39" t="str">
        <x:v>2026-07-31T17:55:00</x:v>
      </x:c>
      <x:c r="C213" s="39" t="str">
        <x:v>2026-07-31T18:10:00</x:v>
      </x:c>
      <x:c r="D213" s="47" t="n">
        <x:v>15</x:v>
      </x:c>
      <x:c r="E213" s="40" t="n">
        <x:v>12.1</x:v>
      </x:c>
      <x:c r="F213" s="40" t="n">
        <x:v>10.148700714111328</x:v>
      </x:c>
      <x:c r="G213" s="40" t="n">
        <x:v>12.1</x:v>
      </x:c>
      <x:c r="H213" s="40" t="n">
        <x:f>F213-E213</x:f>
        <x:v>-1.9512992858886715</x:v>
      </x:c>
      <x:c r="I213" s="40" t="n">
        <x:f>ABS(H213)</x:f>
        <x:v>1.9512992858886715</x:v>
      </x:c>
      <x:c r="J213" s="40" t="n">
        <x:f>H213^2</x:f>
        <x:v>3.8075689031096394</x:v>
      </x:c>
      <x:c r="K213" s="40" t="n">
        <x:f>G213-E213</x:f>
        <x:v>0</x:v>
      </x:c>
      <x:c r="L213" s="40" t="n">
        <x:f>ABS(K213)</x:f>
        <x:v>0</x:v>
      </x:c>
      <x:c r="M213" s="41" t="str">
        <x:v>lstm-soil-v1</x:v>
      </x:c>
    </x:row>
    <x:row r="214">
      <x:c r="A214" s="38" t="str">
        <x:v>7月30日现场数据</x:v>
      </x:c>
      <x:c r="B214" s="39" t="str">
        <x:v>2026-07-31T17:55:00</x:v>
      </x:c>
      <x:c r="C214" s="39" t="str">
        <x:v>2026-07-31T18:25:00</x:v>
      </x:c>
      <x:c r="D214" s="47" t="n">
        <x:v>30</x:v>
      </x:c>
      <x:c r="E214" s="40" t="n">
        <x:v>12</x:v>
      </x:c>
      <x:c r="F214" s="40" t="n">
        <x:v>10.56545639038086</x:v>
      </x:c>
      <x:c r="G214" s="40" t="n">
        <x:v>12.1</x:v>
      </x:c>
      <x:c r="H214" s="40" t="n">
        <x:f>F214-E214</x:f>
        <x:v>-1.4345436096191406</x:v>
      </x:c>
      <x:c r="I214" s="40" t="n">
        <x:f>ABS(H214)</x:f>
        <x:v>1.4345436096191406</x:v>
      </x:c>
      <x:c r="J214" s="40" t="n">
        <x:f>H214^2</x:f>
        <x:v>2.0579153678991133</x:v>
      </x:c>
      <x:c r="K214" s="40" t="n">
        <x:f>G214-E214</x:f>
        <x:v>0.09999999999999964</x:v>
      </x:c>
      <x:c r="L214" s="40" t="n">
        <x:f>ABS(K214)</x:f>
        <x:v>0.09999999999999964</x:v>
      </x:c>
      <x:c r="M214" s="41" t="str">
        <x:v>lstm-soil-v1</x:v>
      </x:c>
    </x:row>
    <x:row r="215">
      <x:c r="A215" s="38" t="str">
        <x:v>7月30日现场数据</x:v>
      </x:c>
      <x:c r="B215" s="39" t="str">
        <x:v>2026-07-31T17:55:00</x:v>
      </x:c>
      <x:c r="C215" s="39" t="str">
        <x:v>2026-07-31T18:55:00</x:v>
      </x:c>
      <x:c r="D215" s="47" t="n">
        <x:v>60</x:v>
      </x:c>
      <x:c r="E215" s="40" t="n">
        <x:v>12</x:v>
      </x:c>
      <x:c r="F215" s="40" t="n">
        <x:v>12.272987365722656</x:v>
      </x:c>
      <x:c r="G215" s="40" t="n">
        <x:v>12.1</x:v>
      </x:c>
      <x:c r="H215" s="40" t="n">
        <x:f>F215-E215</x:f>
        <x:v>0.27298736572265625</x:v>
      </x:c>
      <x:c r="I215" s="40" t="n">
        <x:f>ABS(H215)</x:f>
        <x:v>0.27298736572265625</x:v>
      </x:c>
      <x:c r="J215" s="40" t="n">
        <x:f>H215^2</x:f>
        <x:v>0.07452210184419528</x:v>
      </x:c>
      <x:c r="K215" s="40" t="n">
        <x:f>G215-E215</x:f>
        <x:v>0.09999999999999964</x:v>
      </x:c>
      <x:c r="L215" s="40" t="n">
        <x:f>ABS(K215)</x:f>
        <x:v>0.09999999999999964</x:v>
      </x:c>
      <x:c r="M215" s="41" t="str">
        <x:v>lstm-soil-v1</x:v>
      </x:c>
    </x:row>
    <x:row r="216">
      <x:c r="A216" s="38" t="str">
        <x:v>7月30日现场数据</x:v>
      </x:c>
      <x:c r="B216" s="39" t="str">
        <x:v>2026-07-31T18:00:00</x:v>
      </x:c>
      <x:c r="C216" s="39" t="str">
        <x:v>2026-07-31T18:05:00</x:v>
      </x:c>
      <x:c r="D216" s="47" t="n">
        <x:v>5</x:v>
      </x:c>
      <x:c r="E216" s="40" t="n">
        <x:v>12</x:v>
      </x:c>
      <x:c r="F216" s="40" t="n">
        <x:v>9.970146179199219</x:v>
      </x:c>
      <x:c r="G216" s="40" t="n">
        <x:v>12</x:v>
      </x:c>
      <x:c r="H216" s="40" t="n">
        <x:f>F216-E216</x:f>
        <x:v>-2.0298538208007812</x:v>
      </x:c>
      <x:c r="I216" s="40" t="n">
        <x:f>ABS(H216)</x:f>
        <x:v>2.0298538208007812</x:v>
      </x:c>
      <x:c r="J216" s="40" t="n">
        <x:f>H216^2</x:f>
        <x:v>4.12030653381953</x:v>
      </x:c>
      <x:c r="K216" s="40" t="n">
        <x:f>G216-E216</x:f>
        <x:v>0</x:v>
      </x:c>
      <x:c r="L216" s="40" t="n">
        <x:f>ABS(K216)</x:f>
        <x:v>0</x:v>
      </x:c>
      <x:c r="M216" s="41" t="str">
        <x:v>lstm-soil-v1</x:v>
      </x:c>
    </x:row>
    <x:row r="217">
      <x:c r="A217" s="38" t="str">
        <x:v>7月30日现场数据</x:v>
      </x:c>
      <x:c r="B217" s="39" t="str">
        <x:v>2026-07-31T18:00:00</x:v>
      </x:c>
      <x:c r="C217" s="39" t="str">
        <x:v>2026-07-31T18:15:00</x:v>
      </x:c>
      <x:c r="D217" s="47" t="n">
        <x:v>15</x:v>
      </x:c>
      <x:c r="E217" s="40" t="n">
        <x:v>12.1</x:v>
      </x:c>
      <x:c r="F217" s="40" t="n">
        <x:v>10.038005828857422</x:v>
      </x:c>
      <x:c r="G217" s="40" t="n">
        <x:v>12</x:v>
      </x:c>
      <x:c r="H217" s="40" t="n">
        <x:f>F217-E217</x:f>
        <x:v>-2.0619941711425778</x:v>
      </x:c>
      <x:c r="I217" s="40" t="n">
        <x:f>ABS(H217)</x:f>
        <x:v>2.0619941711425778</x:v>
      </x:c>
      <x:c r="J217" s="40" t="n">
        <x:f>H217^2</x:f>
        <x:v>4.251819961825967</x:v>
      </x:c>
      <x:c r="K217" s="40" t="n">
        <x:f>G217-E217</x:f>
        <x:v>-0.09999999999999964</x:v>
      </x:c>
      <x:c r="L217" s="40" t="n">
        <x:f>ABS(K217)</x:f>
        <x:v>0.09999999999999964</x:v>
      </x:c>
      <x:c r="M217" s="41" t="str">
        <x:v>lstm-soil-v1</x:v>
      </x:c>
    </x:row>
    <x:row r="218">
      <x:c r="A218" s="38" t="str">
        <x:v>7月30日现场数据</x:v>
      </x:c>
      <x:c r="B218" s="39" t="str">
        <x:v>2026-07-31T18:00:00</x:v>
      </x:c>
      <x:c r="C218" s="39" t="str">
        <x:v>2026-07-31T18:30:00</x:v>
      </x:c>
      <x:c r="D218" s="47" t="n">
        <x:v>30</x:v>
      </x:c>
      <x:c r="E218" s="40" t="n">
        <x:v>11.9</x:v>
      </x:c>
      <x:c r="F218" s="40" t="n">
        <x:v>10.454566955566406</x:v>
      </x:c>
      <x:c r="G218" s="40" t="n">
        <x:v>12</x:v>
      </x:c>
      <x:c r="H218" s="40" t="n">
        <x:f>F218-E218</x:f>
        <x:v>-1.445433044433594</x:v>
      </x:c>
      <x:c r="I218" s="40" t="n">
        <x:f>ABS(H218)</x:f>
        <x:v>1.445433044433594</x:v>
      </x:c>
      <x:c r="J218" s="40" t="n">
        <x:f>H218^2</x:f>
        <x:v>2.0892766859405683</x:v>
      </x:c>
      <x:c r="K218" s="40" t="n">
        <x:f>G218-E218</x:f>
        <x:v>0.09999999999999964</x:v>
      </x:c>
      <x:c r="L218" s="40" t="n">
        <x:f>ABS(K218)</x:f>
        <x:v>0.09999999999999964</x:v>
      </x:c>
      <x:c r="M218" s="41" t="str">
        <x:v>lstm-soil-v1</x:v>
      </x:c>
    </x:row>
    <x:row r="219">
      <x:c r="A219" s="38" t="str">
        <x:v>7月30日现场数据</x:v>
      </x:c>
      <x:c r="B219" s="39" t="str">
        <x:v>2026-07-31T18:00:00</x:v>
      </x:c>
      <x:c r="C219" s="39" t="str">
        <x:v>2026-07-31T19:00:00</x:v>
      </x:c>
      <x:c r="D219" s="47" t="n">
        <x:v>60</x:v>
      </x:c>
      <x:c r="E219" s="40" t="n">
        <x:v>12</x:v>
      </x:c>
      <x:c r="F219" s="40" t="n">
        <x:v>12.157814025878906</x:v>
      </x:c>
      <x:c r="G219" s="40" t="n">
        <x:v>12</x:v>
      </x:c>
      <x:c r="H219" s="40" t="n">
        <x:f>F219-E219</x:f>
        <x:v>0.15781402587890625</x:v>
      </x:c>
      <x:c r="I219" s="40" t="n">
        <x:f>ABS(H219)</x:f>
        <x:v>0.15781402587890625</x:v>
      </x:c>
      <x:c r="J219" s="40" t="n">
        <x:f>H219^2</x:f>
        <x:v>0.02490526676410809</x:v>
      </x:c>
      <x:c r="K219" s="40" t="n">
        <x:f>G219-E219</x:f>
        <x:v>0</x:v>
      </x:c>
      <x:c r="L219" s="40" t="n">
        <x:f>ABS(K219)</x:f>
        <x:v>0</x:v>
      </x:c>
      <x:c r="M219" s="41" t="str">
        <x:v>lstm-soil-v1</x:v>
      </x:c>
    </x:row>
    <x:row r="220">
      <x:c r="A220" s="38" t="str">
        <x:v>7月30日现场数据</x:v>
      </x:c>
      <x:c r="B220" s="39" t="str">
        <x:v>2026-07-31T18:05:00</x:v>
      </x:c>
      <x:c r="C220" s="39" t="str">
        <x:v>2026-07-31T18:10:00</x:v>
      </x:c>
      <x:c r="D220" s="47" t="n">
        <x:v>5</x:v>
      </x:c>
      <x:c r="E220" s="40" t="n">
        <x:v>12.1</x:v>
      </x:c>
      <x:c r="F220" s="40" t="n">
        <x:v>9.969181060791016</x:v>
      </x:c>
      <x:c r="G220" s="40" t="n">
        <x:v>12</x:v>
      </x:c>
      <x:c r="H220" s="40" t="n">
        <x:f>F220-E220</x:f>
        <x:v>-2.130818939208984</x:v>
      </x:c>
      <x:c r="I220" s="40" t="n">
        <x:f>ABS(H220)</x:f>
        <x:v>2.130818939208984</x:v>
      </x:c>
      <x:c r="J220" s="40" t="n">
        <x:f>H220^2</x:f>
        <x:v>4.5403893516917</x:v>
      </x:c>
      <x:c r="K220" s="40" t="n">
        <x:f>G220-E220</x:f>
        <x:v>-0.09999999999999964</x:v>
      </x:c>
      <x:c r="L220" s="40" t="n">
        <x:f>ABS(K220)</x:f>
        <x:v>0.09999999999999964</x:v>
      </x:c>
      <x:c r="M220" s="41" t="str">
        <x:v>lstm-soil-v1</x:v>
      </x:c>
    </x:row>
    <x:row r="221">
      <x:c r="A221" s="38" t="str">
        <x:v>7月30日现场数据</x:v>
      </x:c>
      <x:c r="B221" s="39" t="str">
        <x:v>2026-07-31T18:05:00</x:v>
      </x:c>
      <x:c r="C221" s="39" t="str">
        <x:v>2026-07-31T18:20:00</x:v>
      </x:c>
      <x:c r="D221" s="47" t="n">
        <x:v>15</x:v>
      </x:c>
      <x:c r="E221" s="40" t="n">
        <x:v>12</x:v>
      </x:c>
      <x:c r="F221" s="40" t="n">
        <x:v>10.036785125732422</x:v>
      </x:c>
      <x:c r="G221" s="40" t="n">
        <x:v>12</x:v>
      </x:c>
      <x:c r="H221" s="40" t="n">
        <x:f>F221-E221</x:f>
        <x:v>-1.9632148742675781</x:v>
      </x:c>
      <x:c r="I221" s="40" t="n">
        <x:f>ABS(H221)</x:f>
        <x:v>1.9632148742675781</x:v>
      </x:c>
      <x:c r="J221" s="40" t="n">
        <x:f>H221^2</x:f>
        <x:v>3.8542126425454626</x:v>
      </x:c>
      <x:c r="K221" s="40" t="n">
        <x:f>G221-E221</x:f>
        <x:v>0</x:v>
      </x:c>
      <x:c r="L221" s="40" t="n">
        <x:f>ABS(K221)</x:f>
        <x:v>0</x:v>
      </x:c>
      <x:c r="M221" s="41" t="str">
        <x:v>lstm-soil-v1</x:v>
      </x:c>
    </x:row>
    <x:row r="222">
      <x:c r="A222" s="38" t="str">
        <x:v>7月30日现场数据</x:v>
      </x:c>
      <x:c r="B222" s="39" t="str">
        <x:v>2026-07-31T18:05:00</x:v>
      </x:c>
      <x:c r="C222" s="39" t="str">
        <x:v>2026-07-31T18:35:00</x:v>
      </x:c>
      <x:c r="D222" s="47" t="n">
        <x:v>30</x:v>
      </x:c>
      <x:c r="E222" s="40" t="n">
        <x:v>12</x:v>
      </x:c>
      <x:c r="F222" s="40" t="n">
        <x:v>10.453857421875</x:v>
      </x:c>
      <x:c r="G222" s="40" t="n">
        <x:v>12</x:v>
      </x:c>
      <x:c r="H222" s="40" t="n">
        <x:f>F222-E222</x:f>
        <x:v>-1.546142578125</x:v>
      </x:c>
      <x:c r="I222" s="40" t="n">
        <x:f>ABS(H222)</x:f>
        <x:v>1.546142578125</x:v>
      </x:c>
      <x:c r="J222" s="40" t="n">
        <x:f>H222^2</x:f>
        <x:v>2.3905568718910217</x:v>
      </x:c>
      <x:c r="K222" s="40" t="n">
        <x:f>G222-E222</x:f>
        <x:v>0</x:v>
      </x:c>
      <x:c r="L222" s="40" t="n">
        <x:f>ABS(K222)</x:f>
        <x:v>0</x:v>
      </x:c>
      <x:c r="M222" s="41" t="str">
        <x:v>lstm-soil-v1</x:v>
      </x:c>
    </x:row>
    <x:row r="223">
      <x:c r="A223" s="38" t="str">
        <x:v>7月30日现场数据</x:v>
      </x:c>
      <x:c r="B223" s="39" t="str">
        <x:v>2026-07-31T18:05:00</x:v>
      </x:c>
      <x:c r="C223" s="39" t="str">
        <x:v>2026-07-31T19:05:00</x:v>
      </x:c>
      <x:c r="D223" s="47" t="n">
        <x:v>60</x:v>
      </x:c>
      <x:c r="E223" s="40" t="n">
        <x:v>12</x:v>
      </x:c>
      <x:c r="F223" s="40" t="n">
        <x:v>12.154582977294922</x:v>
      </x:c>
      <x:c r="G223" s="40" t="n">
        <x:v>12</x:v>
      </x:c>
      <x:c r="H223" s="40" t="n">
        <x:f>F223-E223</x:f>
        <x:v>0.15458297729492188</x:v>
      </x:c>
      <x:c r="I223" s="40" t="n">
        <x:f>ABS(H223)</x:f>
        <x:v>0.15458297729492188</x:v>
      </x:c>
      <x:c r="J223" s="40" t="n">
        <x:f>H223^2</x:f>
        <x:v>0.023895896869362332</x:v>
      </x:c>
      <x:c r="K223" s="40" t="n">
        <x:f>G223-E223</x:f>
        <x:v>0</x:v>
      </x:c>
      <x:c r="L223" s="40" t="n">
        <x:f>ABS(K223)</x:f>
        <x:v>0</x:v>
      </x:c>
      <x:c r="M223" s="41" t="str">
        <x:v>lstm-soil-v1</x:v>
      </x:c>
    </x:row>
    <x:row r="224">
      <x:c r="A224" s="38" t="str">
        <x:v>7月30日现场数据</x:v>
      </x:c>
      <x:c r="B224" s="39" t="str">
        <x:v>2026-07-31T18:10:00</x:v>
      </x:c>
      <x:c r="C224" s="39" t="str">
        <x:v>2026-07-31T18:15:00</x:v>
      </x:c>
      <x:c r="D224" s="47" t="n">
        <x:v>5</x:v>
      </x:c>
      <x:c r="E224" s="40" t="n">
        <x:v>12.1</x:v>
      </x:c>
      <x:c r="F224" s="40" t="n">
        <x:v>10.078357696533203</x:v>
      </x:c>
      <x:c r="G224" s="40" t="n">
        <x:v>12.1</x:v>
      </x:c>
      <x:c r="H224" s="40" t="n">
        <x:f>F224-E224</x:f>
        <x:v>-2.0216423034667965</x:v>
      </x:c>
      <x:c r="I224" s="40" t="n">
        <x:f>ABS(H224)</x:f>
        <x:v>2.0216423034667965</x:v>
      </x:c>
      <x:c r="J224" s="40" t="n">
        <x:f>H224^2</x:f>
        <x:v>4.087037603166535</x:v>
      </x:c>
      <x:c r="K224" s="40" t="n">
        <x:f>G224-E224</x:f>
        <x:v>0</x:v>
      </x:c>
      <x:c r="L224" s="40" t="n">
        <x:f>ABS(K224)</x:f>
        <x:v>0</x:v>
      </x:c>
      <x:c r="M224" s="41" t="str">
        <x:v>lstm-soil-v1</x:v>
      </x:c>
    </x:row>
    <x:row r="225">
      <x:c r="A225" s="38" t="str">
        <x:v>7月30日现场数据</x:v>
      </x:c>
      <x:c r="B225" s="39" t="str">
        <x:v>2026-07-31T18:10:00</x:v>
      </x:c>
      <x:c r="C225" s="39" t="str">
        <x:v>2026-07-31T18:25:00</x:v>
      </x:c>
      <x:c r="D225" s="47" t="n">
        <x:v>15</x:v>
      </x:c>
      <x:c r="E225" s="40" t="n">
        <x:v>12</x:v>
      </x:c>
      <x:c r="F225" s="40" t="n">
        <x:v>10.14556884765625</x:v>
      </x:c>
      <x:c r="G225" s="40" t="n">
        <x:v>12.1</x:v>
      </x:c>
      <x:c r="H225" s="40" t="n">
        <x:f>F225-E225</x:f>
        <x:v>-1.85443115234375</x:v>
      </x:c>
      <x:c r="I225" s="40" t="n">
        <x:f>ABS(H225)</x:f>
        <x:v>1.85443115234375</x:v>
      </x:c>
      <x:c r="J225" s="40" t="n">
        <x:f>H225^2</x:f>
        <x:v>3.4389148987829685</x:v>
      </x:c>
      <x:c r="K225" s="40" t="n">
        <x:f>G225-E225</x:f>
        <x:v>0.09999999999999964</x:v>
      </x:c>
      <x:c r="L225" s="40" t="n">
        <x:f>ABS(K225)</x:f>
        <x:v>0.09999999999999964</x:v>
      </x:c>
      <x:c r="M225" s="41" t="str">
        <x:v>lstm-soil-v1</x:v>
      </x:c>
    </x:row>
    <x:row r="226">
      <x:c r="A226" s="38" t="str">
        <x:v>7月30日现场数据</x:v>
      </x:c>
      <x:c r="B226" s="39" t="str">
        <x:v>2026-07-31T18:10:00</x:v>
      </x:c>
      <x:c r="C226" s="39" t="str">
        <x:v>2026-07-31T18:40:00</x:v>
      </x:c>
      <x:c r="D226" s="47" t="n">
        <x:v>30</x:v>
      </x:c>
      <x:c r="E226" s="40" t="n">
        <x:v>12</x:v>
      </x:c>
      <x:c r="F226" s="40" t="n">
        <x:v>10.563186645507812</x:v>
      </x:c>
      <x:c r="G226" s="40" t="n">
        <x:v>12.1</x:v>
      </x:c>
      <x:c r="H226" s="40" t="n">
        <x:f>F226-E226</x:f>
        <x:v>-1.4368133544921875</x:v>
      </x:c>
      <x:c r="I226" s="40" t="n">
        <x:f>ABS(H226)</x:f>
        <x:v>1.4368133544921875</x:v>
      </x:c>
      <x:c r="J226" s="40" t="n">
        <x:f>H226^2</x:f>
        <x:v>2.0644326156470925</x:v>
      </x:c>
      <x:c r="K226" s="40" t="n">
        <x:f>G226-E226</x:f>
        <x:v>0.09999999999999964</x:v>
      </x:c>
      <x:c r="L226" s="40" t="n">
        <x:f>ABS(K226)</x:f>
        <x:v>0.09999999999999964</x:v>
      </x:c>
      <x:c r="M226" s="41" t="str">
        <x:v>lstm-soil-v1</x:v>
      </x:c>
    </x:row>
    <x:row r="227">
      <x:c r="A227" s="38" t="str">
        <x:v>7月30日现场数据</x:v>
      </x:c>
      <x:c r="B227" s="39" t="str">
        <x:v>2026-07-31T18:10:00</x:v>
      </x:c>
      <x:c r="C227" s="39" t="str">
        <x:v>2026-07-31T19:10:00</x:v>
      </x:c>
      <x:c r="D227" s="47" t="n">
        <x:v>60</x:v>
      </x:c>
      <x:c r="E227" s="40" t="n">
        <x:v>12</x:v>
      </x:c>
      <x:c r="F227" s="40" t="n">
        <x:v>12.262199401855469</x:v>
      </x:c>
      <x:c r="G227" s="40" t="n">
        <x:v>12.1</x:v>
      </x:c>
      <x:c r="H227" s="40" t="n">
        <x:f>F227-E227</x:f>
        <x:v>0.26219940185546875</x:v>
      </x:c>
      <x:c r="I227" s="40" t="n">
        <x:f>ABS(H227)</x:f>
        <x:v>0.26219940185546875</x:v>
      </x:c>
      <x:c r="J227" s="40" t="n">
        <x:f>H227^2</x:f>
        <x:v>0.06874852633336559</x:v>
      </x:c>
      <x:c r="K227" s="40" t="n">
        <x:f>G227-E227</x:f>
        <x:v>0.09999999999999964</x:v>
      </x:c>
      <x:c r="L227" s="40" t="n">
        <x:f>ABS(K227)</x:f>
        <x:v>0.09999999999999964</x:v>
      </x:c>
      <x:c r="M227" s="41" t="str">
        <x:v>lstm-soil-v1</x:v>
      </x:c>
    </x:row>
    <x:row r="228">
      <x:c r="A228" s="38" t="str">
        <x:v>7月30日现场数据</x:v>
      </x:c>
      <x:c r="B228" s="39" t="str">
        <x:v>2026-07-31T18:15:00</x:v>
      </x:c>
      <x:c r="C228" s="39" t="str">
        <x:v>2026-07-31T18:20:00</x:v>
      </x:c>
      <x:c r="D228" s="47" t="n">
        <x:v>5</x:v>
      </x:c>
      <x:c r="E228" s="40" t="n">
        <x:v>12</x:v>
      </x:c>
      <x:c r="F228" s="40" t="n">
        <x:v>10.077404022216797</x:v>
      </x:c>
      <x:c r="G228" s="40" t="n">
        <x:v>12.1</x:v>
      </x:c>
      <x:c r="H228" s="40" t="n">
        <x:f>F228-E228</x:f>
        <x:v>-1.9225959777832031</x:v>
      </x:c>
      <x:c r="I228" s="40" t="n">
        <x:f>ABS(H228)</x:f>
        <x:v>1.9225959777832031</x:v>
      </x:c>
      <x:c r="J228" s="40" t="n">
        <x:f>H228^2</x:f>
        <x:v>3.696375293788151</x:v>
      </x:c>
      <x:c r="K228" s="40" t="n">
        <x:f>G228-E228</x:f>
        <x:v>0.09999999999999964</x:v>
      </x:c>
      <x:c r="L228" s="40" t="n">
        <x:f>ABS(K228)</x:f>
        <x:v>0.09999999999999964</x:v>
      </x:c>
      <x:c r="M228" s="41" t="str">
        <x:v>lstm-soil-v1</x:v>
      </x:c>
    </x:row>
    <x:row r="229">
      <x:c r="A229" s="38" t="str">
        <x:v>7月30日现场数据</x:v>
      </x:c>
      <x:c r="B229" s="39" t="str">
        <x:v>2026-07-31T18:15:00</x:v>
      </x:c>
      <x:c r="C229" s="39" t="str">
        <x:v>2026-07-31T18:30:00</x:v>
      </x:c>
      <x:c r="D229" s="47" t="n">
        <x:v>15</x:v>
      </x:c>
      <x:c r="E229" s="40" t="n">
        <x:v>11.9</x:v>
      </x:c>
      <x:c r="F229" s="40" t="n">
        <x:v>10.144390106201172</x:v>
      </x:c>
      <x:c r="G229" s="40" t="n">
        <x:v>12.1</x:v>
      </x:c>
      <x:c r="H229" s="40" t="n">
        <x:f>F229-E229</x:f>
        <x:v>-1.7556098937988285</x:v>
      </x:c>
      <x:c r="I229" s="40" t="n">
        <x:f>ABS(H229)</x:f>
        <x:v>1.7556098937988285</x:v>
      </x:c>
      <x:c r="J229" s="40" t="n">
        <x:f>H229^2</x:f>
        <x:v>3.0821660992043336</x:v>
      </x:c>
      <x:c r="K229" s="40" t="n">
        <x:f>G229-E229</x:f>
        <x:v>0.1999999999999993</x:v>
      </x:c>
      <x:c r="L229" s="40" t="n">
        <x:f>ABS(K229)</x:f>
        <x:v>0.1999999999999993</x:v>
      </x:c>
      <x:c r="M229" s="41" t="str">
        <x:v>lstm-soil-v1</x:v>
      </x:c>
    </x:row>
    <x:row r="230">
      <x:c r="A230" s="38" t="str">
        <x:v>7月30日现场数据</x:v>
      </x:c>
      <x:c r="B230" s="39" t="str">
        <x:v>2026-07-31T18:15:00</x:v>
      </x:c>
      <x:c r="C230" s="39" t="str">
        <x:v>2026-07-31T18:45:00</x:v>
      </x:c>
      <x:c r="D230" s="47" t="n">
        <x:v>30</x:v>
      </x:c>
      <x:c r="E230" s="40" t="n">
        <x:v>12</x:v>
      </x:c>
      <x:c r="F230" s="40" t="n">
        <x:v>10.56240463256836</x:v>
      </x:c>
      <x:c r="G230" s="40" t="n">
        <x:v>12.1</x:v>
      </x:c>
      <x:c r="H230" s="40" t="n">
        <x:f>F230-E230</x:f>
        <x:v>-1.4375953674316406</x:v>
      </x:c>
      <x:c r="I230" s="40" t="n">
        <x:f>ABS(H230)</x:f>
        <x:v>1.4375953674316406</x:v>
      </x:c>
      <x:c r="J230" s="40" t="n">
        <x:f>H230^2</x:f>
        <x:v>2.066680440460914</x:v>
      </x:c>
      <x:c r="K230" s="40" t="n">
        <x:f>G230-E230</x:f>
        <x:v>0.09999999999999964</x:v>
      </x:c>
      <x:c r="L230" s="40" t="n">
        <x:f>ABS(K230)</x:f>
        <x:v>0.09999999999999964</x:v>
      </x:c>
      <x:c r="M230" s="41" t="str">
        <x:v>lstm-soil-v1</x:v>
      </x:c>
    </x:row>
    <x:row r="231">
      <x:c r="A231" s="38" t="str">
        <x:v>7月30日现场数据</x:v>
      </x:c>
      <x:c r="B231" s="39" t="str">
        <x:v>2026-07-31T18:15:00</x:v>
      </x:c>
      <x:c r="C231" s="39" t="str">
        <x:v>2026-07-31T19:15:00</x:v>
      </x:c>
      <x:c r="D231" s="47" t="n">
        <x:v>60</x:v>
      </x:c>
      <x:c r="E231" s="40" t="n">
        <x:v>12</x:v>
      </x:c>
      <x:c r="F231" s="40" t="n">
        <x:v>12.260368347167969</x:v>
      </x:c>
      <x:c r="G231" s="40" t="n">
        <x:v>12.1</x:v>
      </x:c>
      <x:c r="H231" s="40" t="n">
        <x:f>F231-E231</x:f>
        <x:v>0.26036834716796875</x:v>
      </x:c>
      <x:c r="I231" s="40" t="n">
        <x:f>ABS(H231)</x:f>
        <x:v>0.26036834716796875</x:v>
      </x:c>
      <x:c r="J231" s="40" t="n">
        <x:f>H231^2</x:f>
        <x:v>0.0677916762069799</x:v>
      </x:c>
      <x:c r="K231" s="40" t="n">
        <x:f>G231-E231</x:f>
        <x:v>0.09999999999999964</x:v>
      </x:c>
      <x:c r="L231" s="40" t="n">
        <x:f>ABS(K231)</x:f>
        <x:v>0.09999999999999964</x:v>
      </x:c>
      <x:c r="M231" s="41" t="str">
        <x:v>lstm-soil-v1</x:v>
      </x:c>
    </x:row>
    <x:row r="232">
      <x:c r="A232" s="38" t="str">
        <x:v>7月30日现场数据</x:v>
      </x:c>
      <x:c r="B232" s="39" t="str">
        <x:v>2026-07-31T18:20:00</x:v>
      </x:c>
      <x:c r="C232" s="39" t="str">
        <x:v>2026-07-31T18:25:00</x:v>
      </x:c>
      <x:c r="D232" s="47" t="n">
        <x:v>5</x:v>
      </x:c>
      <x:c r="E232" s="40" t="n">
        <x:v>12</x:v>
      </x:c>
      <x:c r="F232" s="40" t="n">
        <x:v>9.966217041015625</x:v>
      </x:c>
      <x:c r="G232" s="40" t="n">
        <x:v>12</x:v>
      </x:c>
      <x:c r="H232" s="40" t="n">
        <x:f>F232-E232</x:f>
        <x:v>-2.033782958984375</x:v>
      </x:c>
      <x:c r="I232" s="40" t="n">
        <x:f>ABS(H232)</x:f>
        <x:v>2.033782958984375</x:v>
      </x:c>
      <x:c r="J232" s="40" t="n">
        <x:f>H232^2</x:f>
        <x:v>4.13627312425524</x:v>
      </x:c>
      <x:c r="K232" s="40" t="n">
        <x:f>G232-E232</x:f>
        <x:v>0</x:v>
      </x:c>
      <x:c r="L232" s="40" t="n">
        <x:f>ABS(K232)</x:f>
        <x:v>0</x:v>
      </x:c>
      <x:c r="M232" s="41" t="str">
        <x:v>lstm-soil-v1</x:v>
      </x:c>
    </x:row>
    <x:row r="233">
      <x:c r="A233" s="38" t="str">
        <x:v>7月30日现场数据</x:v>
      </x:c>
      <x:c r="B233" s="39" t="str">
        <x:v>2026-07-31T18:20:00</x:v>
      </x:c>
      <x:c r="C233" s="39" t="str">
        <x:v>2026-07-31T18:35:00</x:v>
      </x:c>
      <x:c r="D233" s="47" t="n">
        <x:v>15</x:v>
      </x:c>
      <x:c r="E233" s="40" t="n">
        <x:v>12</x:v>
      </x:c>
      <x:c r="F233" s="40" t="n">
        <x:v>10.033153533935547</x:v>
      </x:c>
      <x:c r="G233" s="40" t="n">
        <x:v>12</x:v>
      </x:c>
      <x:c r="H233" s="40" t="n">
        <x:f>F233-E233</x:f>
        <x:v>-1.9668464660644531</x:v>
      </x:c>
      <x:c r="I233" s="40" t="n">
        <x:f>ABS(H233)</x:f>
        <x:v>1.9668464660644531</x:v>
      </x:c>
      <x:c r="J233" s="40" t="n">
        <x:f>H233^2</x:f>
        <x:v>3.868485021070228</x:v>
      </x:c>
      <x:c r="K233" s="40" t="n">
        <x:f>G233-E233</x:f>
        <x:v>0</x:v>
      </x:c>
      <x:c r="L233" s="40" t="n">
        <x:f>ABS(K233)</x:f>
        <x:v>0</x:v>
      </x:c>
      <x:c r="M233" s="41" t="str">
        <x:v>lstm-soil-v1</x:v>
      </x:c>
    </x:row>
    <x:row r="234">
      <x:c r="A234" s="38" t="str">
        <x:v>7月30日现场数据</x:v>
      </x:c>
      <x:c r="B234" s="39" t="str">
        <x:v>2026-07-31T18:20:00</x:v>
      </x:c>
      <x:c r="C234" s="39" t="str">
        <x:v>2026-07-31T18:50:00</x:v>
      </x:c>
      <x:c r="D234" s="47" t="n">
        <x:v>30</x:v>
      </x:c>
      <x:c r="E234" s="40" t="n">
        <x:v>12</x:v>
      </x:c>
      <x:c r="F234" s="40" t="n">
        <x:v>10.451435089111328</x:v>
      </x:c>
      <x:c r="G234" s="40" t="n">
        <x:v>12</x:v>
      </x:c>
      <x:c r="H234" s="40" t="n">
        <x:f>F234-E234</x:f>
        <x:v>-1.5485649108886719</x:v>
      </x:c>
      <x:c r="I234" s="40" t="n">
        <x:f>ABS(H234)</x:f>
        <x:v>1.5485649108886719</x:v>
      </x:c>
      <x:c r="J234" s="40" t="n">
        <x:f>H234^2</x:f>
        <x:v>2.3980532832356403</x:v>
      </x:c>
      <x:c r="K234" s="40" t="n">
        <x:f>G234-E234</x:f>
        <x:v>0</x:v>
      </x:c>
      <x:c r="L234" s="40" t="n">
        <x:f>ABS(K234)</x:f>
        <x:v>0</x:v>
      </x:c>
      <x:c r="M234" s="41" t="str">
        <x:v>lstm-soil-v1</x:v>
      </x:c>
    </x:row>
    <x:row r="235">
      <x:c r="A235" s="38" t="str">
        <x:v>7月30日现场数据</x:v>
      </x:c>
      <x:c r="B235" s="39" t="str">
        <x:v>2026-07-31T18:20:00</x:v>
      </x:c>
      <x:c r="C235" s="39" t="str">
        <x:v>2026-07-31T19:20:00</x:v>
      </x:c>
      <x:c r="D235" s="47" t="n">
        <x:v>60</x:v>
      </x:c>
      <x:c r="E235" s="40" t="n">
        <x:v>12</x:v>
      </x:c>
      <x:c r="F235" s="40" t="n">
        <x:v>12.148723602294922</x:v>
      </x:c>
      <x:c r="G235" s="40" t="n">
        <x:v>12</x:v>
      </x:c>
      <x:c r="H235" s="40" t="n">
        <x:f>F235-E235</x:f>
        <x:v>0.14872360229492188</x:v>
      </x:c>
      <x:c r="I235" s="40" t="n">
        <x:f>ABS(H235)</x:f>
        <x:v>0.14872360229492188</x:v>
      </x:c>
      <x:c r="J235" s="40" t="n">
        <x:f>H235^2</x:f>
        <x:v>0.02211870987957809</x:v>
      </x:c>
      <x:c r="K235" s="40" t="n">
        <x:f>G235-E235</x:f>
        <x:v>0</x:v>
      </x:c>
      <x:c r="L235" s="40" t="n">
        <x:f>ABS(K235)</x:f>
        <x:v>0</x:v>
      </x:c>
      <x:c r="M235" s="41" t="str">
        <x:v>lstm-soil-v1</x:v>
      </x:c>
    </x:row>
    <x:row r="236">
      <x:c r="A236" s="38" t="str">
        <x:v>7月30日现场数据</x:v>
      </x:c>
      <x:c r="B236" s="39" t="str">
        <x:v>2026-07-31T18:25:00</x:v>
      </x:c>
      <x:c r="C236" s="39" t="str">
        <x:v>2026-07-31T18:30:00</x:v>
      </x:c>
      <x:c r="D236" s="47" t="n">
        <x:v>5</x:v>
      </x:c>
      <x:c r="E236" s="40" t="n">
        <x:v>11.9</x:v>
      </x:c>
      <x:c r="F236" s="40" t="n">
        <x:v>9.965381622314453</x:v>
      </x:c>
      <x:c r="G236" s="40" t="n">
        <x:v>12</x:v>
      </x:c>
      <x:c r="H236" s="40" t="n">
        <x:f>F236-E236</x:f>
        <x:v>-1.9346183776855472</x:v>
      </x:c>
      <x:c r="I236" s="40" t="n">
        <x:f>ABS(H236)</x:f>
        <x:v>1.9346183776855472</x:v>
      </x:c>
      <x:c r="J236" s="40" t="n">
        <x:f>H236^2</x:f>
        <x:v>3.7427482672786585</x:v>
      </x:c>
      <x:c r="K236" s="40" t="n">
        <x:f>G236-E236</x:f>
        <x:v>0.09999999999999964</x:v>
      </x:c>
      <x:c r="L236" s="40" t="n">
        <x:f>ABS(K236)</x:f>
        <x:v>0.09999999999999964</x:v>
      </x:c>
      <x:c r="M236" s="41" t="str">
        <x:v>lstm-soil-v1</x:v>
      </x:c>
    </x:row>
    <x:row r="237">
      <x:c r="A237" s="38" t="str">
        <x:v>7月30日现场数据</x:v>
      </x:c>
      <x:c r="B237" s="39" t="str">
        <x:v>2026-07-31T18:25:00</x:v>
      </x:c>
      <x:c r="C237" s="39" t="str">
        <x:v>2026-07-31T18:40:00</x:v>
      </x:c>
      <x:c r="D237" s="47" t="n">
        <x:v>15</x:v>
      </x:c>
      <x:c r="E237" s="40" t="n">
        <x:v>12</x:v>
      </x:c>
      <x:c r="F237" s="40" t="n">
        <x:v>10.032188415527344</x:v>
      </x:c>
      <x:c r="G237" s="40" t="n">
        <x:v>12</x:v>
      </x:c>
      <x:c r="H237" s="40" t="n">
        <x:f>F237-E237</x:f>
        <x:v>-1.9678115844726562</x:v>
      </x:c>
      <x:c r="I237" s="40" t="n">
        <x:f>ABS(H237)</x:f>
        <x:v>1.9678115844726562</x:v>
      </x:c>
      <x:c r="J237" s="40" t="n">
        <x:f>H237^2</x:f>
        <x:v>3.872282431984786</x:v>
      </x:c>
      <x:c r="K237" s="40" t="n">
        <x:f>G237-E237</x:f>
        <x:v>0</x:v>
      </x:c>
      <x:c r="L237" s="40" t="n">
        <x:f>ABS(K237)</x:f>
        <x:v>0</x:v>
      </x:c>
      <x:c r="M237" s="41" t="str">
        <x:v>lstm-soil-v1</x:v>
      </x:c>
    </x:row>
    <x:row r="238">
      <x:c r="A238" s="38" t="str">
        <x:v>7月30日现场数据</x:v>
      </x:c>
      <x:c r="B238" s="39" t="str">
        <x:v>2026-07-31T18:25:00</x:v>
      </x:c>
      <x:c r="C238" s="39" t="str">
        <x:v>2026-07-31T18:55:00</x:v>
      </x:c>
      <x:c r="D238" s="47" t="n">
        <x:v>30</x:v>
      </x:c>
      <x:c r="E238" s="40" t="n">
        <x:v>12</x:v>
      </x:c>
      <x:c r="F238" s="40" t="n">
        <x:v>10.450843811035156</x:v>
      </x:c>
      <x:c r="G238" s="40" t="n">
        <x:v>12</x:v>
      </x:c>
      <x:c r="H238" s="40" t="n">
        <x:f>F238-E238</x:f>
        <x:v>-1.5491561889648438</x:v>
      </x:c>
      <x:c r="I238" s="40" t="n">
        <x:f>ABS(H238)</x:f>
        <x:v>1.5491561889648438</x:v>
      </x:c>
      <x:c r="J238" s="40" t="n">
        <x:f>H238^2</x:f>
        <x:v>2.3998848978080787</x:v>
      </x:c>
      <x:c r="K238" s="40" t="n">
        <x:f>G238-E238</x:f>
        <x:v>0</x:v>
      </x:c>
      <x:c r="L238" s="40" t="n">
        <x:f>ABS(K238)</x:f>
        <x:v>0</x:v>
      </x:c>
      <x:c r="M238" s="41" t="str">
        <x:v>lstm-soil-v1</x:v>
      </x:c>
    </x:row>
    <x:row r="239">
      <x:c r="A239" s="38" t="str">
        <x:v>7月30日现场数据</x:v>
      </x:c>
      <x:c r="B239" s="39" t="str">
        <x:v>2026-07-31T18:25:00</x:v>
      </x:c>
      <x:c r="C239" s="39" t="str">
        <x:v>2026-07-31T19:25:00</x:v>
      </x:c>
      <x:c r="D239" s="47" t="n">
        <x:v>60</x:v>
      </x:c>
      <x:c r="E239" s="40" t="n">
        <x:v>12</x:v>
      </x:c>
      <x:c r="F239" s="40" t="n">
        <x:v>12.14773941040039</x:v>
      </x:c>
      <x:c r="G239" s="40" t="n">
        <x:v>12</x:v>
      </x:c>
      <x:c r="H239" s="40" t="n">
        <x:f>F239-E239</x:f>
        <x:v>0.14773941040039062</x:v>
      </x:c>
      <x:c r="I239" s="40" t="n">
        <x:f>ABS(H239)</x:f>
        <x:v>0.14773941040039062</x:v>
      </x:c>
      <x:c r="J239" s="40" t="n">
        <x:f>H239^2</x:f>
        <x:v>0.02182693338545505</x:v>
      </x:c>
      <x:c r="K239" s="40" t="n">
        <x:f>G239-E239</x:f>
        <x:v>0</x:v>
      </x:c>
      <x:c r="L239" s="40" t="n">
        <x:f>ABS(K239)</x:f>
        <x:v>0</x:v>
      </x:c>
      <x:c r="M239" s="41" t="str">
        <x:v>lstm-soil-v1</x:v>
      </x:c>
    </x:row>
    <x:row r="240">
      <x:c r="A240" s="38" t="str">
        <x:v>7月30日现场数据</x:v>
      </x:c>
      <x:c r="B240" s="39" t="str">
        <x:v>2026-07-31T18:30:00</x:v>
      </x:c>
      <x:c r="C240" s="39" t="str">
        <x:v>2026-07-31T18:35:00</x:v>
      </x:c>
      <x:c r="D240" s="47" t="n">
        <x:v>5</x:v>
      </x:c>
      <x:c r="E240" s="40" t="n">
        <x:v>12</x:v>
      </x:c>
      <x:c r="F240" s="40" t="n">
        <x:v>9.854423522949219</x:v>
      </x:c>
      <x:c r="G240" s="40" t="n">
        <x:v>11.9</x:v>
      </x:c>
      <x:c r="H240" s="40" t="n">
        <x:f>F240-E240</x:f>
        <x:v>-2.1455764770507812</x:v>
      </x:c>
      <x:c r="I240" s="40" t="n">
        <x:f>ABS(H240)</x:f>
        <x:v>2.1455764770507812</x:v>
      </x:c>
      <x:c r="J240" s="40" t="n">
        <x:f>H240^2</x:f>
        <x:v>4.603498418873642</x:v>
      </x:c>
      <x:c r="K240" s="40" t="n">
        <x:f>G240-E240</x:f>
        <x:v>-0.09999999999999964</x:v>
      </x:c>
      <x:c r="L240" s="40" t="n">
        <x:f>ABS(K240)</x:f>
        <x:v>0.09999999999999964</x:v>
      </x:c>
      <x:c r="M240" s="41" t="str">
        <x:v>lstm-soil-v1</x:v>
      </x:c>
    </x:row>
    <x:row r="241">
      <x:c r="A241" s="38" t="str">
        <x:v>7月30日现场数据</x:v>
      </x:c>
      <x:c r="B241" s="39" t="str">
        <x:v>2026-07-31T18:30:00</x:v>
      </x:c>
      <x:c r="C241" s="39" t="str">
        <x:v>2026-07-31T18:45:00</x:v>
      </x:c>
      <x:c r="D241" s="47" t="n">
        <x:v>15</x:v>
      </x:c>
      <x:c r="E241" s="40" t="n">
        <x:v>12</x:v>
      </x:c>
      <x:c r="F241" s="40" t="n">
        <x:v>9.921173095703125</x:v>
      </x:c>
      <x:c r="G241" s="40" t="n">
        <x:v>11.9</x:v>
      </x:c>
      <x:c r="H241" s="40" t="n">
        <x:f>F241-E241</x:f>
        <x:v>-2.078826904296875</x:v>
      </x:c>
      <x:c r="I241" s="40" t="n">
        <x:f>ABS(H241)</x:f>
        <x:v>2.078826904296875</x:v>
      </x:c>
      <x:c r="J241" s="40" t="n">
        <x:f>H241^2</x:f>
        <x:v>4.321521298028529</x:v>
      </x:c>
      <x:c r="K241" s="40" t="n">
        <x:f>G241-E241</x:f>
        <x:v>-0.09999999999999964</x:v>
      </x:c>
      <x:c r="L241" s="40" t="n">
        <x:f>ABS(K241)</x:f>
        <x:v>0.09999999999999964</x:v>
      </x:c>
      <x:c r="M241" s="41" t="str">
        <x:v>lstm-soil-v1</x:v>
      </x:c>
    </x:row>
    <x:row r="242">
      <x:c r="A242" s="38" t="str">
        <x:v>7月30日现场数据</x:v>
      </x:c>
      <x:c r="B242" s="39" t="str">
        <x:v>2026-07-31T18:30:00</x:v>
      </x:c>
      <x:c r="C242" s="39" t="str">
        <x:v>2026-07-31T19:00:00</x:v>
      </x:c>
      <x:c r="D242" s="47" t="n">
        <x:v>30</x:v>
      </x:c>
      <x:c r="E242" s="40" t="n">
        <x:v>12</x:v>
      </x:c>
      <x:c r="F242" s="40" t="n">
        <x:v>10.340164184570312</x:v>
      </x:c>
      <x:c r="G242" s="40" t="n">
        <x:v>11.9</x:v>
      </x:c>
      <x:c r="H242" s="40" t="n">
        <x:f>F242-E242</x:f>
        <x:v>-1.6598358154296875</x:v>
      </x:c>
      <x:c r="I242" s="40" t="n">
        <x:f>ABS(H242)</x:f>
        <x:v>1.6598358154296875</x:v>
      </x:c>
      <x:c r="J242" s="40" t="n">
        <x:f>H242^2</x:f>
        <x:v>2.7550549341831356</x:v>
      </x:c>
      <x:c r="K242" s="40" t="n">
        <x:f>G242-E242</x:f>
        <x:v>-0.09999999999999964</x:v>
      </x:c>
      <x:c r="L242" s="40" t="n">
        <x:f>ABS(K242)</x:f>
        <x:v>0.09999999999999964</x:v>
      </x:c>
      <x:c r="M242" s="41" t="str">
        <x:v>lstm-soil-v1</x:v>
      </x:c>
    </x:row>
    <x:row r="243">
      <x:c r="A243" s="38" t="str">
        <x:v>7月30日现场数据</x:v>
      </x:c>
      <x:c r="B243" s="39" t="str">
        <x:v>2026-07-31T18:30:00</x:v>
      </x:c>
      <x:c r="C243" s="39" t="str">
        <x:v>2026-07-31T19:30:00</x:v>
      </x:c>
      <x:c r="D243" s="47" t="n">
        <x:v>60</x:v>
      </x:c>
      <x:c r="E243" s="40" t="n">
        <x:v>12</x:v>
      </x:c>
      <x:c r="F243" s="40" t="n">
        <x:v>12.036766052246094</x:v>
      </x:c>
      <x:c r="G243" s="40" t="n">
        <x:v>11.9</x:v>
      </x:c>
      <x:c r="H243" s="40" t="n">
        <x:f>F243-E243</x:f>
        <x:v>0.03676605224609375</x:v>
      </x:c>
      <x:c r="I243" s="40" t="n">
        <x:f>ABS(H243)</x:f>
        <x:v>0.03676605224609375</x:v>
      </x:c>
      <x:c r="J243" s="40" t="n">
        <x:f>H243^2</x:f>
        <x:v>0.0013517425977624953</x:v>
      </x:c>
      <x:c r="K243" s="40" t="n">
        <x:f>G243-E243</x:f>
        <x:v>-0.09999999999999964</x:v>
      </x:c>
      <x:c r="L243" s="40" t="n">
        <x:f>ABS(K243)</x:f>
        <x:v>0.09999999999999964</x:v>
      </x:c>
      <x:c r="M243" s="41" t="str">
        <x:v>lstm-soil-v1</x:v>
      </x:c>
    </x:row>
    <x:row r="244">
      <x:c r="A244" s="38" t="str">
        <x:v>7月30日现场数据</x:v>
      </x:c>
      <x:c r="B244" s="39" t="str">
        <x:v>2026-07-31T18:35:00</x:v>
      </x:c>
      <x:c r="C244" s="39" t="str">
        <x:v>2026-07-31T18:40:00</x:v>
      </x:c>
      <x:c r="D244" s="47" t="n">
        <x:v>5</x:v>
      </x:c>
      <x:c r="E244" s="40" t="n">
        <x:v>12</x:v>
      </x:c>
      <x:c r="F244" s="40" t="n">
        <x:v>9.964099884033203</x:v>
      </x:c>
      <x:c r="G244" s="40" t="n">
        <x:v>12</x:v>
      </x:c>
      <x:c r="H244" s="40" t="n">
        <x:f>F244-E244</x:f>
        <x:v>-2.035900115966797</x:v>
      </x:c>
      <x:c r="I244" s="40" t="n">
        <x:f>ABS(H244)</x:f>
        <x:v>2.035900115966797</x:v>
      </x:c>
      <x:c r="J244" s="40" t="n">
        <x:f>H244^2</x:f>
        <x:v>4.144889282193617</x:v>
      </x:c>
      <x:c r="K244" s="40" t="n">
        <x:f>G244-E244</x:f>
        <x:v>0</x:v>
      </x:c>
      <x:c r="L244" s="40" t="n">
        <x:f>ABS(K244)</x:f>
        <x:v>0</x:v>
      </x:c>
      <x:c r="M244" s="41" t="str">
        <x:v>lstm-soil-v1</x:v>
      </x:c>
    </x:row>
    <x:row r="245">
      <x:c r="A245" s="38" t="str">
        <x:v>7月30日现场数据</x:v>
      </x:c>
      <x:c r="B245" s="39" t="str">
        <x:v>2026-07-31T18:35:00</x:v>
      </x:c>
      <x:c r="C245" s="39" t="str">
        <x:v>2026-07-31T18:50:00</x:v>
      </x:c>
      <x:c r="D245" s="47" t="n">
        <x:v>15</x:v>
      </x:c>
      <x:c r="E245" s="40" t="n">
        <x:v>12</x:v>
      </x:c>
      <x:c r="F245" s="40" t="n">
        <x:v>10.030635833740234</x:v>
      </x:c>
      <x:c r="G245" s="40" t="n">
        <x:v>12</x:v>
      </x:c>
      <x:c r="H245" s="40" t="n">
        <x:f>F245-E245</x:f>
        <x:v>-1.9693641662597656</x:v>
      </x:c>
      <x:c r="I245" s="40" t="n">
        <x:f>ABS(H245)</x:f>
        <x:v>1.9693641662597656</x:v>
      </x:c>
      <x:c r="J245" s="40" t="n">
        <x:f>H245^2</x:f>
        <x:v>3.878395219348022</x:v>
      </x:c>
      <x:c r="K245" s="40" t="n">
        <x:f>G245-E245</x:f>
        <x:v>0</x:v>
      </x:c>
      <x:c r="L245" s="40" t="n">
        <x:f>ABS(K245)</x:f>
        <x:v>0</x:v>
      </x:c>
      <x:c r="M245" s="41" t="str">
        <x:v>lstm-soil-v1</x:v>
      </x:c>
    </x:row>
    <x:row r="246">
      <x:c r="A246" s="38" t="str">
        <x:v>7月30日现场数据</x:v>
      </x:c>
      <x:c r="B246" s="39" t="str">
        <x:v>2026-07-31T18:35:00</x:v>
      </x:c>
      <x:c r="C246" s="39" t="str">
        <x:v>2026-07-31T19:05:00</x:v>
      </x:c>
      <x:c r="D246" s="47" t="n">
        <x:v>30</x:v>
      </x:c>
      <x:c r="E246" s="40" t="n">
        <x:v>12</x:v>
      </x:c>
      <x:c r="F246" s="40" t="n">
        <x:v>10.44998550415039</x:v>
      </x:c>
      <x:c r="G246" s="40" t="n">
        <x:v>12</x:v>
      </x:c>
      <x:c r="H246" s="40" t="n">
        <x:f>F246-E246</x:f>
        <x:v>-1.5500144958496094</x:v>
      </x:c>
      <x:c r="I246" s="40" t="n">
        <x:f>ABS(H246)</x:f>
        <x:v>1.5500144958496094</x:v>
      </x:c>
      <x:c r="J246" s="40" t="n">
        <x:f>H246^2</x:f>
        <x:v>2.4025449373439187</x:v>
      </x:c>
      <x:c r="K246" s="40" t="n">
        <x:f>G246-E246</x:f>
        <x:v>0</x:v>
      </x:c>
      <x:c r="L246" s="40" t="n">
        <x:f>ABS(K246)</x:f>
        <x:v>0</x:v>
      </x:c>
      <x:c r="M246" s="41" t="str">
        <x:v>lstm-soil-v1</x:v>
      </x:c>
    </x:row>
    <x:row r="247">
      <x:c r="A247" s="38" t="str">
        <x:v>7月30日现场数据</x:v>
      </x:c>
      <x:c r="B247" s="39" t="str">
        <x:v>2026-07-31T18:35:00</x:v>
      </x:c>
      <x:c r="C247" s="39" t="str">
        <x:v>2026-07-31T19:35:00</x:v>
      </x:c>
      <x:c r="D247" s="47" t="n">
        <x:v>60</x:v>
      </x:c>
      <x:c r="E247" s="40" t="n">
        <x:v>11.9</x:v>
      </x:c>
      <x:c r="F247" s="40" t="n">
        <x:v>12.146461486816406</x:v>
      </x:c>
      <x:c r="G247" s="40" t="n">
        <x:v>12</x:v>
      </x:c>
      <x:c r="H247" s="40" t="n">
        <x:f>F247-E247</x:f>
        <x:v>0.2464614868164059</x:v>
      </x:c>
      <x:c r="I247" s="40" t="n">
        <x:f>ABS(H247)</x:f>
        <x:v>0.2464614868164059</x:v>
      </x:c>
      <x:c r="J247" s="40" t="n">
        <x:f>H247^2</x:f>
        <x:v>0.06074326448375342</x:v>
      </x:c>
      <x:c r="K247" s="40" t="n">
        <x:f>G247-E247</x:f>
        <x:v>0.09999999999999964</x:v>
      </x:c>
      <x:c r="L247" s="40" t="n">
        <x:f>ABS(K247)</x:f>
        <x:v>0.09999999999999964</x:v>
      </x:c>
      <x:c r="M247" s="41" t="str">
        <x:v>lstm-soil-v1</x:v>
      </x:c>
    </x:row>
    <x:row r="248">
      <x:c r="A248" s="38" t="str">
        <x:v>7月30日现场数据</x:v>
      </x:c>
      <x:c r="B248" s="39" t="str">
        <x:v>2026-07-31T18:40:00</x:v>
      </x:c>
      <x:c r="C248" s="39" t="str">
        <x:v>2026-07-31T18:45:00</x:v>
      </x:c>
      <x:c r="D248" s="47" t="n">
        <x:v>5</x:v>
      </x:c>
      <x:c r="E248" s="40" t="n">
        <x:v>12</x:v>
      </x:c>
      <x:c r="F248" s="40" t="n">
        <x:v>9.963844299316406</x:v>
      </x:c>
      <x:c r="G248" s="40" t="n">
        <x:v>12</x:v>
      </x:c>
      <x:c r="H248" s="40" t="n">
        <x:f>F248-E248</x:f>
        <x:v>-2.0361557006835938</x:v>
      </x:c>
      <x:c r="I248" s="40" t="n">
        <x:f>ABS(H248)</x:f>
        <x:v>2.0361557006835938</x:v>
      </x:c>
      <x:c r="J248" s="40" t="n">
        <x:f>H248^2</x:f>
        <x:v>4.145930037426297</x:v>
      </x:c>
      <x:c r="K248" s="40" t="n">
        <x:f>G248-E248</x:f>
        <x:v>0</x:v>
      </x:c>
      <x:c r="L248" s="40" t="n">
        <x:f>ABS(K248)</x:f>
        <x:v>0</x:v>
      </x:c>
      <x:c r="M248" s="41" t="str">
        <x:v>lstm-soil-v1</x:v>
      </x:c>
    </x:row>
    <x:row r="249">
      <x:c r="A249" s="38" t="str">
        <x:v>7月30日现场数据</x:v>
      </x:c>
      <x:c r="B249" s="39" t="str">
        <x:v>2026-07-31T18:40:00</x:v>
      </x:c>
      <x:c r="C249" s="39" t="str">
        <x:v>2026-07-31T18:55:00</x:v>
      </x:c>
      <x:c r="D249" s="47" t="n">
        <x:v>15</x:v>
      </x:c>
      <x:c r="E249" s="40" t="n">
        <x:v>12</x:v>
      </x:c>
      <x:c r="F249" s="40" t="n">
        <x:v>10.030258178710938</x:v>
      </x:c>
      <x:c r="G249" s="40" t="n">
        <x:v>12</x:v>
      </x:c>
      <x:c r="H249" s="40" t="n">
        <x:f>F249-E249</x:f>
        <x:v>-1.9697418212890625</x:v>
      </x:c>
      <x:c r="I249" s="40" t="n">
        <x:f>ABS(H249)</x:f>
        <x:v>1.9697418212890625</x:v>
      </x:c>
      <x:c r="J249" s="40" t="n">
        <x:f>H249^2</x:f>
        <x:v>3.879882842535153</x:v>
      </x:c>
      <x:c r="K249" s="40" t="n">
        <x:f>G249-E249</x:f>
        <x:v>0</x:v>
      </x:c>
      <x:c r="L249" s="40" t="n">
        <x:f>ABS(K249)</x:f>
        <x:v>0</x:v>
      </x:c>
      <x:c r="M249" s="41" t="str">
        <x:v>lstm-soil-v1</x:v>
      </x:c>
    </x:row>
    <x:row r="250">
      <x:c r="A250" s="38" t="str">
        <x:v>7月30日现场数据</x:v>
      </x:c>
      <x:c r="B250" s="39" t="str">
        <x:v>2026-07-31T18:40:00</x:v>
      </x:c>
      <x:c r="C250" s="39" t="str">
        <x:v>2026-07-31T19:10:00</x:v>
      </x:c>
      <x:c r="D250" s="47" t="n">
        <x:v>30</x:v>
      </x:c>
      <x:c r="E250" s="40" t="n">
        <x:v>12</x:v>
      </x:c>
      <x:c r="F250" s="40" t="n">
        <x:v>10.449848175048828</x:v>
      </x:c>
      <x:c r="G250" s="40" t="n">
        <x:v>12</x:v>
      </x:c>
      <x:c r="H250" s="40" t="n">
        <x:f>F250-E250</x:f>
        <x:v>-1.5501518249511719</x:v>
      </x:c>
      <x:c r="I250" s="40" t="n">
        <x:f>ABS(H250)</x:f>
        <x:v>1.5501518249511719</x:v>
      </x:c>
      <x:c r="J250" s="40" t="n">
        <x:f>H250^2</x:f>
        <x:v>2.4029706803994486</x:v>
      </x:c>
      <x:c r="K250" s="40" t="n">
        <x:f>G250-E250</x:f>
        <x:v>0</x:v>
      </x:c>
      <x:c r="L250" s="40" t="n">
        <x:f>ABS(K250)</x:f>
        <x:v>0</x:v>
      </x:c>
      <x:c r="M250" s="41" t="str">
        <x:v>lstm-soil-v1</x:v>
      </x:c>
    </x:row>
    <x:row r="251">
      <x:c r="A251" s="38" t="str">
        <x:v>7月30日现场数据</x:v>
      </x:c>
      <x:c r="B251" s="39" t="str">
        <x:v>2026-07-31T18:40:00</x:v>
      </x:c>
      <x:c r="C251" s="39" t="str">
        <x:v>2026-07-31T19:40:00</x:v>
      </x:c>
      <x:c r="D251" s="47" t="n">
        <x:v>60</x:v>
      </x:c>
      <x:c r="E251" s="40" t="n">
        <x:v>12</x:v>
      </x:c>
      <x:c r="F251" s="40" t="n">
        <x:v>12.146194458007812</x:v>
      </x:c>
      <x:c r="G251" s="40" t="n">
        <x:v>12</x:v>
      </x:c>
      <x:c r="H251" s="40" t="n">
        <x:f>F251-E251</x:f>
        <x:v>0.1461944580078125</x:v>
      </x:c>
      <x:c r="I251" s="40" t="n">
        <x:f>ABS(H251)</x:f>
        <x:v>0.1461944580078125</x:v>
      </x:c>
      <x:c r="J251" s="40" t="n">
        <x:f>H251^2</x:f>
        <x:v>0.021372819552198052</x:v>
      </x:c>
      <x:c r="K251" s="40" t="n">
        <x:f>G251-E251</x:f>
        <x:v>0</x:v>
      </x:c>
      <x:c r="L251" s="40" t="n">
        <x:f>ABS(K251)</x:f>
        <x:v>0</x:v>
      </x:c>
      <x:c r="M251" s="41" t="str">
        <x:v>lstm-soil-v1</x:v>
      </x:c>
    </x:row>
    <x:row r="252">
      <x:c r="A252" s="38" t="str">
        <x:v>7月30日现场数据</x:v>
      </x:c>
      <x:c r="B252" s="39" t="str">
        <x:v>2026-07-31T18:45:00</x:v>
      </x:c>
      <x:c r="C252" s="39" t="str">
        <x:v>2026-07-31T18:50:00</x:v>
      </x:c>
      <x:c r="D252" s="47" t="n">
        <x:v>5</x:v>
      </x:c>
      <x:c r="E252" s="40" t="n">
        <x:v>12</x:v>
      </x:c>
      <x:c r="F252" s="40" t="n">
        <x:v>9.963756561279297</x:v>
      </x:c>
      <x:c r="G252" s="40" t="n">
        <x:v>12</x:v>
      </x:c>
      <x:c r="H252" s="40" t="n">
        <x:f>F252-E252</x:f>
        <x:v>-2.036243438720703</x:v>
      </x:c>
      <x:c r="I252" s="40" t="n">
        <x:f>ABS(H252)</x:f>
        <x:v>2.036243438720703</x:v>
      </x:c>
      <x:c r="J252" s="40" t="n">
        <x:f>H252^2</x:f>
        <x:v>4.146287341733114</x:v>
      </x:c>
      <x:c r="K252" s="40" t="n">
        <x:f>G252-E252</x:f>
        <x:v>0</x:v>
      </x:c>
      <x:c r="L252" s="40" t="n">
        <x:f>ABS(K252)</x:f>
        <x:v>0</x:v>
      </x:c>
      <x:c r="M252" s="41" t="str">
        <x:v>lstm-soil-v1</x:v>
      </x:c>
    </x:row>
    <x:row r="253">
      <x:c r="A253" s="38" t="str">
        <x:v>7月30日现场数据</x:v>
      </x:c>
      <x:c r="B253" s="39" t="str">
        <x:v>2026-07-31T18:45:00</x:v>
      </x:c>
      <x:c r="C253" s="39" t="str">
        <x:v>2026-07-31T19:00:00</x:v>
      </x:c>
      <x:c r="D253" s="47" t="n">
        <x:v>15</x:v>
      </x:c>
      <x:c r="E253" s="40" t="n">
        <x:v>12</x:v>
      </x:c>
      <x:c r="F253" s="40" t="n">
        <x:v>10.030208587646484</x:v>
      </x:c>
      <x:c r="G253" s="40" t="n">
        <x:v>12</x:v>
      </x:c>
      <x:c r="H253" s="40" t="n">
        <x:f>F253-E253</x:f>
        <x:v>-1.9697914123535156</x:v>
      </x:c>
      <x:c r="I253" s="40" t="n">
        <x:f>ABS(H253)</x:f>
        <x:v>1.9697914123535156</x:v>
      </x:c>
      <x:c r="J253" s="40" t="n">
        <x:f>H253^2</x:f>
        <x:v>3.880078208181658</x:v>
      </x:c>
      <x:c r="K253" s="40" t="n">
        <x:f>G253-E253</x:f>
        <x:v>0</x:v>
      </x:c>
      <x:c r="L253" s="40" t="n">
        <x:f>ABS(K253)</x:f>
        <x:v>0</x:v>
      </x:c>
      <x:c r="M253" s="41" t="str">
        <x:v>lstm-soil-v1</x:v>
      </x:c>
    </x:row>
    <x:row r="254">
      <x:c r="A254" s="38" t="str">
        <x:v>7月30日现场数据</x:v>
      </x:c>
      <x:c r="B254" s="39" t="str">
        <x:v>2026-07-31T18:45:00</x:v>
      </x:c>
      <x:c r="C254" s="39" t="str">
        <x:v>2026-07-31T19:15:00</x:v>
      </x:c>
      <x:c r="D254" s="47" t="n">
        <x:v>30</x:v>
      </x:c>
      <x:c r="E254" s="40" t="n">
        <x:v>12</x:v>
      </x:c>
      <x:c r="F254" s="40" t="n">
        <x:v>10.44992446899414</x:v>
      </x:c>
      <x:c r="G254" s="40" t="n">
        <x:v>12</x:v>
      </x:c>
      <x:c r="H254" s="40" t="n">
        <x:f>F254-E254</x:f>
        <x:v>-1.5500755310058594</x:v>
      </x:c>
      <x:c r="I254" s="40" t="n">
        <x:f>ABS(H254)</x:f>
        <x:v>1.5500755310058594</x:v>
      </x:c>
      <x:c r="J254" s="40" t="n">
        <x:f>H254^2</x:f>
        <x:v>2.402734151823097</x:v>
      </x:c>
      <x:c r="K254" s="40" t="n">
        <x:f>G254-E254</x:f>
        <x:v>0</x:v>
      </x:c>
      <x:c r="L254" s="40" t="n">
        <x:f>ABS(K254)</x:f>
        <x:v>0</x:v>
      </x:c>
      <x:c r="M254" s="41" t="str">
        <x:v>lstm-soil-v1</x:v>
      </x:c>
    </x:row>
    <x:row r="255">
      <x:c r="A255" s="38" t="str">
        <x:v>7月30日现场数据</x:v>
      </x:c>
      <x:c r="B255" s="39" t="str">
        <x:v>2026-07-31T18:45:00</x:v>
      </x:c>
      <x:c r="C255" s="39" t="str">
        <x:v>2026-07-31T19:45:00</x:v>
      </x:c>
      <x:c r="D255" s="47" t="n">
        <x:v>60</x:v>
      </x:c>
      <x:c r="E255" s="40" t="n">
        <x:v>12</x:v>
      </x:c>
      <x:c r="F255" s="40" t="n">
        <x:v>12.146415710449219</x:v>
      </x:c>
      <x:c r="G255" s="40" t="n">
        <x:v>12</x:v>
      </x:c>
      <x:c r="H255" s="40" t="n">
        <x:f>F255-E255</x:f>
        <x:v>0.14641571044921875</x:v>
      </x:c>
      <x:c r="I255" s="40" t="n">
        <x:f>ABS(H255)</x:f>
        <x:v>0.14641571044921875</x:v>
      </x:c>
      <x:c r="J255" s="40" t="n">
        <x:f>H255^2</x:f>
        <x:v>0.021437560266349465</x:v>
      </x:c>
      <x:c r="K255" s="40" t="n">
        <x:f>G255-E255</x:f>
        <x:v>0</x:v>
      </x:c>
      <x:c r="L255" s="40" t="n">
        <x:f>ABS(K255)</x:f>
        <x:v>0</x:v>
      </x:c>
      <x:c r="M255" s="41" t="str">
        <x:v>lstm-soil-v1</x:v>
      </x:c>
    </x:row>
    <x:row r="256">
      <x:c r="A256" s="38" t="str">
        <x:v>7月30日现场数据</x:v>
      </x:c>
      <x:c r="B256" s="39" t="str">
        <x:v>2026-07-31T18:50:00</x:v>
      </x:c>
      <x:c r="C256" s="39" t="str">
        <x:v>2026-07-31T18:55:00</x:v>
      </x:c>
      <x:c r="D256" s="47" t="n">
        <x:v>5</x:v>
      </x:c>
      <x:c r="E256" s="40" t="n">
        <x:v>12</x:v>
      </x:c>
      <x:c r="F256" s="40" t="n">
        <x:v>9.96353530883789</x:v>
      </x:c>
      <x:c r="G256" s="40" t="n">
        <x:v>12</x:v>
      </x:c>
      <x:c r="H256" s="40" t="n">
        <x:f>F256-E256</x:f>
        <x:v>-2.0364646911621094</x:v>
      </x:c>
      <x:c r="I256" s="40" t="n">
        <x:f>ABS(H256)</x:f>
        <x:v>2.0364646911621094</x:v>
      </x:c>
      <x:c r="J256" s="40" t="n">
        <x:f>H256^2</x:f>
        <x:v>4.1471884383499855</x:v>
      </x:c>
      <x:c r="K256" s="40" t="n">
        <x:f>G256-E256</x:f>
        <x:v>0</x:v>
      </x:c>
      <x:c r="L256" s="40" t="n">
        <x:f>ABS(K256)</x:f>
        <x:v>0</x:v>
      </x:c>
      <x:c r="M256" s="41" t="str">
        <x:v>lstm-soil-v1</x:v>
      </x:c>
    </x:row>
    <x:row r="257">
      <x:c r="A257" s="38" t="str">
        <x:v>7月30日现场数据</x:v>
      </x:c>
      <x:c r="B257" s="39" t="str">
        <x:v>2026-07-31T18:50:00</x:v>
      </x:c>
      <x:c r="C257" s="39" t="str">
        <x:v>2026-07-31T19:05:00</x:v>
      </x:c>
      <x:c r="D257" s="47" t="n">
        <x:v>15</x:v>
      </x:c>
      <x:c r="E257" s="40" t="n">
        <x:v>12</x:v>
      </x:c>
      <x:c r="F257" s="40" t="n">
        <x:v>10.030040740966797</x:v>
      </x:c>
      <x:c r="G257" s="40" t="n">
        <x:v>12</x:v>
      </x:c>
      <x:c r="H257" s="40" t="n">
        <x:f>F257-E257</x:f>
        <x:v>-1.9699592590332031</x:v>
      </x:c>
      <x:c r="I257" s="40" t="n">
        <x:f>ABS(H257)</x:f>
        <x:v>1.9699592590332031</x:v>
      </x:c>
      <x:c r="J257" s="40" t="n">
        <x:f>H257^2</x:f>
        <x:v>3.8807394822506467</x:v>
      </x:c>
      <x:c r="K257" s="40" t="n">
        <x:f>G257-E257</x:f>
        <x:v>0</x:v>
      </x:c>
      <x:c r="L257" s="40" t="n">
        <x:f>ABS(K257)</x:f>
        <x:v>0</x:v>
      </x:c>
      <x:c r="M257" s="41" t="str">
        <x:v>lstm-soil-v1</x:v>
      </x:c>
    </x:row>
    <x:row r="258">
      <x:c r="A258" s="38" t="str">
        <x:v>7月30日现场数据</x:v>
      </x:c>
      <x:c r="B258" s="39" t="str">
        <x:v>2026-07-31T18:50:00</x:v>
      </x:c>
      <x:c r="C258" s="39" t="str">
        <x:v>2026-07-31T19:20:00</x:v>
      </x:c>
      <x:c r="D258" s="47" t="n">
        <x:v>30</x:v>
      </x:c>
      <x:c r="E258" s="40" t="n">
        <x:v>12</x:v>
      </x:c>
      <x:c r="F258" s="40" t="n">
        <x:v>10.449718475341797</x:v>
      </x:c>
      <x:c r="G258" s="40" t="n">
        <x:v>12</x:v>
      </x:c>
      <x:c r="H258" s="40" t="n">
        <x:f>F258-E258</x:f>
        <x:v>-1.5502815246582031</x:v>
      </x:c>
      <x:c r="I258" s="40" t="n">
        <x:f>ABS(H258)</x:f>
        <x:v>1.5502815246582031</x:v>
      </x:c>
      <x:c r="J258" s="40" t="n">
        <x:f>H258^2</x:f>
        <x:v>2.403372805696563</x:v>
      </x:c>
      <x:c r="K258" s="40" t="n">
        <x:f>G258-E258</x:f>
        <x:v>0</x:v>
      </x:c>
      <x:c r="L258" s="40" t="n">
        <x:f>ABS(K258)</x:f>
        <x:v>0</x:v>
      </x:c>
      <x:c r="M258" s="41" t="str">
        <x:v>lstm-soil-v1</x:v>
      </x:c>
    </x:row>
    <x:row r="259">
      <x:c r="A259" s="38" t="str">
        <x:v>7月30日现场数据</x:v>
      </x:c>
      <x:c r="B259" s="39" t="str">
        <x:v>2026-07-31T18:50:00</x:v>
      </x:c>
      <x:c r="C259" s="39" t="str">
        <x:v>2026-07-31T19:50:00</x:v>
      </x:c>
      <x:c r="D259" s="47" t="n">
        <x:v>60</x:v>
      </x:c>
      <x:c r="E259" s="40" t="n">
        <x:v>12</x:v>
      </x:c>
      <x:c r="F259" s="40" t="n">
        <x:v>12.145927429199219</x:v>
      </x:c>
      <x:c r="G259" s="40" t="n">
        <x:v>12</x:v>
      </x:c>
      <x:c r="H259" s="40" t="n">
        <x:f>F259-E259</x:f>
        <x:v>0.14592742919921875</x:v>
      </x:c>
      <x:c r="I259" s="40" t="n">
        <x:f>ABS(H259)</x:f>
        <x:v>0.14592742919921875</x:v>
      </x:c>
      <x:c r="J259" s="40" t="n">
        <x:f>H259^2</x:f>
        <x:v>0.021294814592693</x:v>
      </x:c>
      <x:c r="K259" s="40" t="n">
        <x:f>G259-E259</x:f>
        <x:v>0</x:v>
      </x:c>
      <x:c r="L259" s="40" t="n">
        <x:f>ABS(K259)</x:f>
        <x:v>0</x:v>
      </x:c>
      <x:c r="M259" s="41" t="str">
        <x:v>lstm-soil-v1</x:v>
      </x:c>
    </x:row>
    <x:row r="260">
      <x:c r="A260" s="38" t="str">
        <x:v>7月30日现场数据</x:v>
      </x:c>
      <x:c r="B260" s="39" t="str">
        <x:v>2026-07-31T18:55:00</x:v>
      </x:c>
      <x:c r="C260" s="39" t="str">
        <x:v>2026-07-31T19:00:00</x:v>
      </x:c>
      <x:c r="D260" s="47" t="n">
        <x:v>5</x:v>
      </x:c>
      <x:c r="E260" s="40" t="n">
        <x:v>12</x:v>
      </x:c>
      <x:c r="F260" s="40" t="n">
        <x:v>9.963569641113281</x:v>
      </x:c>
      <x:c r="G260" s="40" t="n">
        <x:v>12</x:v>
      </x:c>
      <x:c r="H260" s="40" t="n">
        <x:f>F260-E260</x:f>
        <x:v>-2.0364303588867188</x:v>
      </x:c>
      <x:c r="I260" s="40" t="n">
        <x:f>ABS(H260)</x:f>
        <x:v>2.0364303588867188</x:v>
      </x:c>
      <x:c r="J260" s="40" t="n">
        <x:f>H260^2</x:f>
        <x:v>4.14704860659549</x:v>
      </x:c>
      <x:c r="K260" s="40" t="n">
        <x:f>G260-E260</x:f>
        <x:v>0</x:v>
      </x:c>
      <x:c r="L260" s="40" t="n">
        <x:f>ABS(K260)</x:f>
        <x:v>0</x:v>
      </x:c>
      <x:c r="M260" s="41" t="str">
        <x:v>lstm-soil-v1</x:v>
      </x:c>
    </x:row>
    <x:row r="261">
      <x:c r="A261" s="38" t="str">
        <x:v>7月30日现场数据</x:v>
      </x:c>
      <x:c r="B261" s="39" t="str">
        <x:v>2026-07-31T18:55:00</x:v>
      </x:c>
      <x:c r="C261" s="39" t="str">
        <x:v>2026-07-31T19:10:00</x:v>
      </x:c>
      <x:c r="D261" s="47" t="n">
        <x:v>15</x:v>
      </x:c>
      <x:c r="E261" s="40" t="n">
        <x:v>12</x:v>
      </x:c>
      <x:c r="F261" s="40" t="n">
        <x:v>10.029842376708984</x:v>
      </x:c>
      <x:c r="G261" s="40" t="n">
        <x:v>12</x:v>
      </x:c>
      <x:c r="H261" s="40" t="n">
        <x:f>F261-E261</x:f>
        <x:v>-1.9701576232910156</x:v>
      </x:c>
      <x:c r="I261" s="40" t="n">
        <x:f>ABS(H261)</x:f>
        <x:v>1.9701576232910156</x:v>
      </x:c>
      <x:c r="J261" s="40" t="n">
        <x:f>H261^2</x:f>
        <x:v>3.8815210606117034</x:v>
      </x:c>
      <x:c r="K261" s="40" t="n">
        <x:f>G261-E261</x:f>
        <x:v>0</x:v>
      </x:c>
      <x:c r="L261" s="40" t="n">
        <x:f>ABS(K261)</x:f>
        <x:v>0</x:v>
      </x:c>
      <x:c r="M261" s="41" t="str">
        <x:v>lstm-soil-v1</x:v>
      </x:c>
    </x:row>
    <x:row r="262">
      <x:c r="A262" s="38" t="str">
        <x:v>7月30日现场数据</x:v>
      </x:c>
      <x:c r="B262" s="39" t="str">
        <x:v>2026-07-31T18:55:00</x:v>
      </x:c>
      <x:c r="C262" s="39" t="str">
        <x:v>2026-07-31T19:25:00</x:v>
      </x:c>
      <x:c r="D262" s="47" t="n">
        <x:v>30</x:v>
      </x:c>
      <x:c r="E262" s="40" t="n">
        <x:v>12</x:v>
      </x:c>
      <x:c r="F262" s="40" t="n">
        <x:v>10.449737548828125</x:v>
      </x:c>
      <x:c r="G262" s="40" t="n">
        <x:v>12</x:v>
      </x:c>
      <x:c r="H262" s="40" t="n">
        <x:f>F262-E262</x:f>
        <x:v>-1.550262451171875</x:v>
      </x:c>
      <x:c r="I262" s="40" t="n">
        <x:f>ABS(H262)</x:f>
        <x:v>1.550262451171875</x:v>
      </x:c>
      <x:c r="J262" s="40" t="n">
        <x:f>H262^2</x:f>
        <x:v>2.40331366751343</x:v>
      </x:c>
      <x:c r="K262" s="40" t="n">
        <x:f>G262-E262</x:f>
        <x:v>0</x:v>
      </x:c>
      <x:c r="L262" s="40" t="n">
        <x:f>ABS(K262)</x:f>
        <x:v>0</x:v>
      </x:c>
      <x:c r="M262" s="41" t="str">
        <x:v>lstm-soil-v1</x:v>
      </x:c>
    </x:row>
    <x:row r="263">
      <x:c r="A263" s="38" t="str">
        <x:v>7月30日现场数据</x:v>
      </x:c>
      <x:c r="B263" s="39" t="str">
        <x:v>2026-07-31T18:55:00</x:v>
      </x:c>
      <x:c r="C263" s="39" t="str">
        <x:v>2026-07-31T19:55:00</x:v>
      </x:c>
      <x:c r="D263" s="47" t="n">
        <x:v>60</x:v>
      </x:c>
      <x:c r="E263" s="40" t="n">
        <x:v>12</x:v>
      </x:c>
      <x:c r="F263" s="40" t="n">
        <x:v>12.145973205566406</x:v>
      </x:c>
      <x:c r="G263" s="40" t="n">
        <x:v>12</x:v>
      </x:c>
      <x:c r="H263" s="40" t="n">
        <x:f>F263-E263</x:f>
        <x:v>0.14597320556640625</x:v>
      </x:c>
      <x:c r="I263" s="40" t="n">
        <x:f>ABS(H263)</x:f>
        <x:v>0.14597320556640625</x:v>
      </x:c>
      <x:c r="J263" s="40" t="n">
        <x:f>H263^2</x:f>
        <x:v>0.021308176743332297</x:v>
      </x:c>
      <x:c r="K263" s="40" t="n">
        <x:f>G263-E263</x:f>
        <x:v>0</x:v>
      </x:c>
      <x:c r="L263" s="40" t="n">
        <x:f>ABS(K263)</x:f>
        <x:v>0</x:v>
      </x:c>
      <x:c r="M263" s="41" t="str">
        <x:v>lstm-soil-v1</x:v>
      </x:c>
    </x:row>
    <x:row r="264">
      <x:c r="A264" s="38" t="str">
        <x:v>7月30日现场数据</x:v>
      </x:c>
      <x:c r="B264" s="39" t="str">
        <x:v>2026-07-31T19:00:00</x:v>
      </x:c>
      <x:c r="C264" s="39" t="str">
        <x:v>2026-07-31T19:05:00</x:v>
      </x:c>
      <x:c r="D264" s="47" t="n">
        <x:v>5</x:v>
      </x:c>
      <x:c r="E264" s="40" t="n">
        <x:v>12</x:v>
      </x:c>
      <x:c r="F264" s="40" t="n">
        <x:v>9.961799621582031</x:v>
      </x:c>
      <x:c r="G264" s="40" t="n">
        <x:v>12</x:v>
      </x:c>
      <x:c r="H264" s="40" t="n">
        <x:f>F264-E264</x:f>
        <x:v>-2.0382003784179688</x:v>
      </x:c>
      <x:c r="I264" s="40" t="n">
        <x:f>ABS(H264)</x:f>
        <x:v>2.0382003784179688</x:v>
      </x:c>
      <x:c r="J264" s="40" t="n">
        <x:f>H264^2</x:f>
        <x:v>4.154260782583151</x:v>
      </x:c>
      <x:c r="K264" s="40" t="n">
        <x:f>G264-E264</x:f>
        <x:v>0</x:v>
      </x:c>
      <x:c r="L264" s="40" t="n">
        <x:f>ABS(K264)</x:f>
        <x:v>0</x:v>
      </x:c>
      <x:c r="M264" s="41" t="str">
        <x:v>lstm-soil-v1</x:v>
      </x:c>
    </x:row>
    <x:row r="265">
      <x:c r="A265" s="38" t="str">
        <x:v>7月30日现场数据</x:v>
      </x:c>
      <x:c r="B265" s="39" t="str">
        <x:v>2026-07-31T19:00:00</x:v>
      </x:c>
      <x:c r="C265" s="39" t="str">
        <x:v>2026-07-31T19:15:00</x:v>
      </x:c>
      <x:c r="D265" s="47" t="n">
        <x:v>15</x:v>
      </x:c>
      <x:c r="E265" s="40" t="n">
        <x:v>12</x:v>
      </x:c>
      <x:c r="F265" s="40" t="n">
        <x:v>10.028804779052734</x:v>
      </x:c>
      <x:c r="G265" s="40" t="n">
        <x:v>12</x:v>
      </x:c>
      <x:c r="H265" s="40" t="n">
        <x:f>F265-E265</x:f>
        <x:v>-1.9711952209472656</x:v>
      </x:c>
      <x:c r="I265" s="40" t="n">
        <x:f>ABS(H265)</x:f>
        <x:v>1.9711952209472656</x:v>
      </x:c>
      <x:c r="J265" s="40" t="n">
        <x:f>H265^2</x:f>
        <x:v>3.8856105990853393</x:v>
      </x:c>
      <x:c r="K265" s="40" t="n">
        <x:f>G265-E265</x:f>
        <x:v>0</x:v>
      </x:c>
      <x:c r="L265" s="40" t="n">
        <x:f>ABS(K265)</x:f>
        <x:v>0</x:v>
      </x:c>
      <x:c r="M265" s="41" t="str">
        <x:v>lstm-soil-v1</x:v>
      </x:c>
    </x:row>
    <x:row r="266">
      <x:c r="A266" s="38" t="str">
        <x:v>7月30日现场数据</x:v>
      </x:c>
      <x:c r="B266" s="39" t="str">
        <x:v>2026-07-31T19:00:00</x:v>
      </x:c>
      <x:c r="C266" s="39" t="str">
        <x:v>2026-07-31T19:30:00</x:v>
      </x:c>
      <x:c r="D266" s="47" t="n">
        <x:v>30</x:v>
      </x:c>
      <x:c r="E266" s="40" t="n">
        <x:v>12</x:v>
      </x:c>
      <x:c r="F266" s="40" t="n">
        <x:v>10.44891357421875</x:v>
      </x:c>
      <x:c r="G266" s="40" t="n">
        <x:v>12</x:v>
      </x:c>
      <x:c r="H266" s="40" t="n">
        <x:f>F266-E266</x:f>
        <x:v>-1.55108642578125</x:v>
      </x:c>
      <x:c r="I266" s="40" t="n">
        <x:f>ABS(H266)</x:f>
        <x:v>1.55108642578125</x:v>
      </x:c>
      <x:c r="J266" s="40" t="n">
        <x:f>H266^2</x:f>
        <x:v>2.405869100242853</x:v>
      </x:c>
      <x:c r="K266" s="40" t="n">
        <x:f>G266-E266</x:f>
        <x:v>0</x:v>
      </x:c>
      <x:c r="L266" s="40" t="n">
        <x:f>ABS(K266)</x:f>
        <x:v>0</x:v>
      </x:c>
      <x:c r="M266" s="41" t="str">
        <x:v>lstm-soil-v1</x:v>
      </x:c>
    </x:row>
    <x:row r="267">
      <x:c r="A267" s="38" t="str">
        <x:v>7月30日现场数据</x:v>
      </x:c>
      <x:c r="B267" s="39" t="str">
        <x:v>2026-07-31T19:00:00</x:v>
      </x:c>
      <x:c r="C267" s="39" t="str">
        <x:v>2026-07-31T20:00:00</x:v>
      </x:c>
      <x:c r="D267" s="47" t="n">
        <x:v>60</x:v>
      </x:c>
      <x:c r="E267" s="40" t="n">
        <x:v>12</x:v>
      </x:c>
      <x:c r="F267" s="40" t="n">
        <x:v>12.14022445678711</x:v>
      </x:c>
      <x:c r="G267" s="40" t="n">
        <x:v>12</x:v>
      </x:c>
      <x:c r="H267" s="40" t="n">
        <x:f>F267-E267</x:f>
        <x:v>0.14022445678710938</x:v>
      </x:c>
      <x:c r="I267" s="40" t="n">
        <x:f>ABS(H267)</x:f>
        <x:v>0.14022445678710938</x:v>
      </x:c>
      <x:c r="J267" s="40" t="n">
        <x:f>H267^2</x:f>
        <x:v>0.019662898281239904</x:v>
      </x:c>
      <x:c r="K267" s="40" t="n">
        <x:f>G267-E267</x:f>
        <x:v>0</x:v>
      </x:c>
      <x:c r="L267" s="40" t="n">
        <x:f>ABS(K267)</x:f>
        <x:v>0</x:v>
      </x:c>
      <x:c r="M267" s="41" t="str">
        <x:v>lstm-soil-v1</x:v>
      </x:c>
    </x:row>
    <x:row r="268">
      <x:c r="A268" s="38" t="str">
        <x:v>7月30日现场数据</x:v>
      </x:c>
      <x:c r="B268" s="39" t="str">
        <x:v>2026-07-31T19:05:00</x:v>
      </x:c>
      <x:c r="C268" s="39" t="str">
        <x:v>2026-07-31T19:10:00</x:v>
      </x:c>
      <x:c r="D268" s="47" t="n">
        <x:v>5</x:v>
      </x:c>
      <x:c r="E268" s="40" t="n">
        <x:v>12</x:v>
      </x:c>
      <x:c r="F268" s="40" t="n">
        <x:v>9.960994720458984</x:v>
      </x:c>
      <x:c r="G268" s="40" t="n">
        <x:v>12</x:v>
      </x:c>
      <x:c r="H268" s="40" t="n">
        <x:f>F268-E268</x:f>
        <x:v>-2.0390052795410156</x:v>
      </x:c>
      <x:c r="I268" s="40" t="n">
        <x:f>ABS(H268)</x:f>
        <x:v>2.0390052795410156</x:v>
      </x:c>
      <x:c r="J268" s="40" t="n">
        <x:f>H268^2</x:f>
        <x:v>4.157542529996135</x:v>
      </x:c>
      <x:c r="K268" s="40" t="n">
        <x:f>G268-E268</x:f>
        <x:v>0</x:v>
      </x:c>
      <x:c r="L268" s="40" t="n">
        <x:f>ABS(K268)</x:f>
        <x:v>0</x:v>
      </x:c>
      <x:c r="M268" s="41" t="str">
        <x:v>lstm-soil-v1</x:v>
      </x:c>
    </x:row>
    <x:row r="269">
      <x:c r="A269" s="38" t="str">
        <x:v>7月30日现场数据</x:v>
      </x:c>
      <x:c r="B269" s="39" t="str">
        <x:v>2026-07-31T19:05:00</x:v>
      </x:c>
      <x:c r="C269" s="39" t="str">
        <x:v>2026-07-31T19:20:00</x:v>
      </x:c>
      <x:c r="D269" s="47" t="n">
        <x:v>15</x:v>
      </x:c>
      <x:c r="E269" s="40" t="n">
        <x:v>12</x:v>
      </x:c>
      <x:c r="F269" s="40" t="n">
        <x:v>10.027637481689453</x:v>
      </x:c>
      <x:c r="G269" s="40" t="n">
        <x:v>12</x:v>
      </x:c>
      <x:c r="H269" s="40" t="n">
        <x:f>F269-E269</x:f>
        <x:v>-1.9723625183105469</x:v>
      </x:c>
      <x:c r="I269" s="40" t="n">
        <x:f>ABS(H269)</x:f>
        <x:v>1.9723625183105469</x:v>
      </x:c>
      <x:c r="J269" s="40" t="n">
        <x:f>H269^2</x:f>
        <x:v>3.8902139036363224</x:v>
      </x:c>
      <x:c r="K269" s="40" t="n">
        <x:f>G269-E269</x:f>
        <x:v>0</x:v>
      </x:c>
      <x:c r="L269" s="40" t="n">
        <x:f>ABS(K269)</x:f>
        <x:v>0</x:v>
      </x:c>
      <x:c r="M269" s="41" t="str">
        <x:v>lstm-soil-v1</x:v>
      </x:c>
    </x:row>
    <x:row r="270">
      <x:c r="A270" s="38" t="str">
        <x:v>7月30日现场数据</x:v>
      </x:c>
      <x:c r="B270" s="39" t="str">
        <x:v>2026-07-31T19:05:00</x:v>
      </x:c>
      <x:c r="C270" s="39" t="str">
        <x:v>2026-07-31T19:35:00</x:v>
      </x:c>
      <x:c r="D270" s="47" t="n">
        <x:v>30</x:v>
      </x:c>
      <x:c r="E270" s="40" t="n">
        <x:v>11.9</x:v>
      </x:c>
      <x:c r="F270" s="40" t="n">
        <x:v>10.449054718017578</x:v>
      </x:c>
      <x:c r="G270" s="40" t="n">
        <x:v>12</x:v>
      </x:c>
      <x:c r="H270" s="40" t="n">
        <x:f>F270-E270</x:f>
        <x:v>-1.4509452819824222</x:v>
      </x:c>
      <x:c r="I270" s="40" t="n">
        <x:f>ABS(H270)</x:f>
        <x:v>1.4509452819824222</x:v>
      </x:c>
      <x:c r="J270" s="40" t="n">
        <x:f>H270^2</x:f>
        <x:v>2.1052422113070506</x:v>
      </x:c>
      <x:c r="K270" s="40" t="n">
        <x:f>G270-E270</x:f>
        <x:v>0.09999999999999964</x:v>
      </x:c>
      <x:c r="L270" s="40" t="n">
        <x:f>ABS(K270)</x:f>
        <x:v>0.09999999999999964</x:v>
      </x:c>
      <x:c r="M270" s="41" t="str">
        <x:v>lstm-soil-v1</x:v>
      </x:c>
    </x:row>
    <x:row r="271">
      <x:c r="A271" s="38" t="str">
        <x:v>7月30日现场数据</x:v>
      </x:c>
      <x:c r="B271" s="39" t="str">
        <x:v>2026-07-31T19:05:00</x:v>
      </x:c>
      <x:c r="C271" s="39" t="str">
        <x:v>2026-07-31T20:05:00</x:v>
      </x:c>
      <x:c r="D271" s="47" t="n">
        <x:v>60</x:v>
      </x:c>
      <x:c r="E271" s="40" t="n">
        <x:v>12</x:v>
      </x:c>
      <x:c r="F271" s="40" t="n">
        <x:v>12.136756896972656</x:v>
      </x:c>
      <x:c r="G271" s="40" t="n">
        <x:v>12</x:v>
      </x:c>
      <x:c r="H271" s="40" t="n">
        <x:f>F271-E271</x:f>
        <x:v>0.13675689697265625</x:v>
      </x:c>
      <x:c r="I271" s="40" t="n">
        <x:f>ABS(H271)</x:f>
        <x:v>0.13675689697265625</x:v>
      </x:c>
      <x:c r="J271" s="40" t="n">
        <x:f>H271^2</x:f>
        <x:v>0.018702448869589716</x:v>
      </x:c>
      <x:c r="K271" s="40" t="n">
        <x:f>G271-E271</x:f>
        <x:v>0</x:v>
      </x:c>
      <x:c r="L271" s="40" t="n">
        <x:f>ABS(K271)</x:f>
        <x:v>0</x:v>
      </x:c>
      <x:c r="M271" s="41" t="str">
        <x:v>lstm-soil-v1</x:v>
      </x:c>
    </x:row>
    <x:row r="272">
      <x:c r="A272" s="38" t="str">
        <x:v>7月30日现场数据</x:v>
      </x:c>
      <x:c r="B272" s="39" t="str">
        <x:v>2026-07-31T19:10:00</x:v>
      </x:c>
      <x:c r="C272" s="39" t="str">
        <x:v>2026-07-31T19:15:00</x:v>
      </x:c>
      <x:c r="D272" s="47" t="n">
        <x:v>5</x:v>
      </x:c>
      <x:c r="E272" s="40" t="n">
        <x:v>12</x:v>
      </x:c>
      <x:c r="F272" s="40" t="n">
        <x:v>9.960346221923828</x:v>
      </x:c>
      <x:c r="G272" s="40" t="n">
        <x:v>12</x:v>
      </x:c>
      <x:c r="H272" s="40" t="n">
        <x:f>F272-E272</x:f>
        <x:v>-2.039653778076172</x:v>
      </x:c>
      <x:c r="I272" s="40" t="n">
        <x:f>ABS(H272)</x:f>
        <x:v>2.039653778076172</x:v>
      </x:c>
      <x:c r="J272" s="40" t="n">
        <x:f>H272^2</x:f>
        <x:v>4.160187534420402</x:v>
      </x:c>
      <x:c r="K272" s="40" t="n">
        <x:f>G272-E272</x:f>
        <x:v>0</x:v>
      </x:c>
      <x:c r="L272" s="40" t="n">
        <x:f>ABS(K272)</x:f>
        <x:v>0</x:v>
      </x:c>
      <x:c r="M272" s="41" t="str">
        <x:v>lstm-soil-v1</x:v>
      </x:c>
    </x:row>
    <x:row r="273">
      <x:c r="A273" s="38" t="str">
        <x:v>7月30日现场数据</x:v>
      </x:c>
      <x:c r="B273" s="39" t="str">
        <x:v>2026-07-31T19:10:00</x:v>
      </x:c>
      <x:c r="C273" s="39" t="str">
        <x:v>2026-07-31T19:25:00</x:v>
      </x:c>
      <x:c r="D273" s="47" t="n">
        <x:v>15</x:v>
      </x:c>
      <x:c r="E273" s="40" t="n">
        <x:v>12</x:v>
      </x:c>
      <x:c r="F273" s="40" t="n">
        <x:v>10.026519775390625</x:v>
      </x:c>
      <x:c r="G273" s="40" t="n">
        <x:v>12</x:v>
      </x:c>
      <x:c r="H273" s="40" t="n">
        <x:f>F273-E273</x:f>
        <x:v>-1.973480224609375</x:v>
      </x:c>
      <x:c r="I273" s="40" t="n">
        <x:f>ABS(H273)</x:f>
        <x:v>1.973480224609375</x:v>
      </x:c>
      <x:c r="J273" s="40" t="n">
        <x:f>H273^2</x:f>
        <x:v>3.894624196924269</x:v>
      </x:c>
      <x:c r="K273" s="40" t="n">
        <x:f>G273-E273</x:f>
        <x:v>0</x:v>
      </x:c>
      <x:c r="L273" s="40" t="n">
        <x:f>ABS(K273)</x:f>
        <x:v>0</x:v>
      </x:c>
      <x:c r="M273" s="41" t="str">
        <x:v>lstm-soil-v1</x:v>
      </x:c>
    </x:row>
    <x:row r="274">
      <x:c r="A274" s="38" t="str">
        <x:v>7月30日现场数据</x:v>
      </x:c>
      <x:c r="B274" s="39" t="str">
        <x:v>2026-07-31T19:10:00</x:v>
      </x:c>
      <x:c r="C274" s="39" t="str">
        <x:v>2026-07-31T19:40:00</x:v>
      </x:c>
      <x:c r="D274" s="47" t="n">
        <x:v>30</x:v>
      </x:c>
      <x:c r="E274" s="40" t="n">
        <x:v>12</x:v>
      </x:c>
      <x:c r="F274" s="40" t="n">
        <x:v>10.449451446533203</x:v>
      </x:c>
      <x:c r="G274" s="40" t="n">
        <x:v>12</x:v>
      </x:c>
      <x:c r="H274" s="40" t="n">
        <x:f>F274-E274</x:f>
        <x:v>-1.5505485534667969</x:v>
      </x:c>
      <x:c r="I274" s="40" t="n">
        <x:f>ABS(H274)</x:f>
        <x:v>1.5505485534667969</x:v>
      </x:c>
      <x:c r="J274" s="40" t="n">
        <x:f>H274^2</x:f>
        <x:v>2.4042008166579762</x:v>
      </x:c>
      <x:c r="K274" s="40" t="n">
        <x:f>G274-E274</x:f>
        <x:v>0</x:v>
      </x:c>
      <x:c r="L274" s="40" t="n">
        <x:f>ABS(K274)</x:f>
        <x:v>0</x:v>
      </x:c>
      <x:c r="M274" s="41" t="str">
        <x:v>lstm-soil-v1</x:v>
      </x:c>
    </x:row>
    <x:row r="275">
      <x:c r="A275" s="38" t="str">
        <x:v>7月30日现场数据</x:v>
      </x:c>
      <x:c r="B275" s="39" t="str">
        <x:v>2026-07-31T19:10:00</x:v>
      </x:c>
      <x:c r="C275" s="39" t="str">
        <x:v>2026-07-31T20:10:00</x:v>
      </x:c>
      <x:c r="D275" s="47" t="n">
        <x:v>60</x:v>
      </x:c>
      <x:c r="E275" s="40" t="n">
        <x:v>12</x:v>
      </x:c>
      <x:c r="F275" s="40" t="n">
        <x:v>12.134326934814453</x:v>
      </x:c>
      <x:c r="G275" s="40" t="n">
        <x:v>12</x:v>
      </x:c>
      <x:c r="H275" s="40" t="n">
        <x:f>F275-E275</x:f>
        <x:v>0.13432693481445312</x:v>
      </x:c>
      <x:c r="I275" s="40" t="n">
        <x:f>ABS(H275)</x:f>
        <x:v>0.13432693481445312</x:v>
      </x:c>
      <x:c r="J275" s="40" t="n">
        <x:f>H275^2</x:f>
        <x:v>0.01804372541664634</x:v>
      </x:c>
      <x:c r="K275" s="40" t="n">
        <x:f>G275-E275</x:f>
        <x:v>0</x:v>
      </x:c>
      <x:c r="L275" s="40" t="n">
        <x:f>ABS(K275)</x:f>
        <x:v>0</x:v>
      </x:c>
      <x:c r="M275" s="41" t="str">
        <x:v>lstm-soil-v1</x:v>
      </x:c>
    </x:row>
    <x:row r="276">
      <x:c r="A276" s="38" t="str">
        <x:v>7月30日现场数据</x:v>
      </x:c>
      <x:c r="B276" s="39" t="str">
        <x:v>2026-07-31T19:15:00</x:v>
      </x:c>
      <x:c r="C276" s="39" t="str">
        <x:v>2026-07-31T19:20:00</x:v>
      </x:c>
      <x:c r="D276" s="47" t="n">
        <x:v>5</x:v>
      </x:c>
      <x:c r="E276" s="40" t="n">
        <x:v>12</x:v>
      </x:c>
      <x:c r="F276" s="40" t="n">
        <x:v>9.959770202636719</x:v>
      </x:c>
      <x:c r="G276" s="40" t="n">
        <x:v>12</x:v>
      </x:c>
      <x:c r="H276" s="40" t="n">
        <x:f>F276-E276</x:f>
        <x:v>-2.0402297973632812</x:v>
      </x:c>
      <x:c r="I276" s="40" t="n">
        <x:f>ABS(H276)</x:f>
        <x:v>2.0402297973632812</x:v>
      </x:c>
      <x:c r="J276" s="40" t="n">
        <x:f>H276^2</x:f>
        <x:v>4.162537626049016</x:v>
      </x:c>
      <x:c r="K276" s="40" t="n">
        <x:f>G276-E276</x:f>
        <x:v>0</x:v>
      </x:c>
      <x:c r="L276" s="40" t="n">
        <x:f>ABS(K276)</x:f>
        <x:v>0</x:v>
      </x:c>
      <x:c r="M276" s="41" t="str">
        <x:v>lstm-soil-v1</x:v>
      </x:c>
    </x:row>
    <x:row r="277">
      <x:c r="A277" s="38" t="str">
        <x:v>7月30日现场数据</x:v>
      </x:c>
      <x:c r="B277" s="39" t="str">
        <x:v>2026-07-31T19:15:00</x:v>
      </x:c>
      <x:c r="C277" s="39" t="str">
        <x:v>2026-07-31T19:30:00</x:v>
      </x:c>
      <x:c r="D277" s="47" t="n">
        <x:v>15</x:v>
      </x:c>
      <x:c r="E277" s="40" t="n">
        <x:v>12</x:v>
      </x:c>
      <x:c r="F277" s="40" t="n">
        <x:v>10.025531768798828</x:v>
      </x:c>
      <x:c r="G277" s="40" t="n">
        <x:v>12</x:v>
      </x:c>
      <x:c r="H277" s="40" t="n">
        <x:f>F277-E277</x:f>
        <x:v>-1.9744682312011719</x:v>
      </x:c>
      <x:c r="I277" s="40" t="n">
        <x:f>ABS(H277)</x:f>
        <x:v>1.9744682312011719</x:v>
      </x:c>
      <x:c r="J277" s="40" t="n">
        <x:f>H277^2</x:f>
        <x:v>3.8985247960226843</x:v>
      </x:c>
      <x:c r="K277" s="40" t="n">
        <x:f>G277-E277</x:f>
        <x:v>0</x:v>
      </x:c>
      <x:c r="L277" s="40" t="n">
        <x:f>ABS(K277)</x:f>
        <x:v>0</x:v>
      </x:c>
      <x:c r="M277" s="41" t="str">
        <x:v>lstm-soil-v1</x:v>
      </x:c>
    </x:row>
    <x:row r="278">
      <x:c r="A278" s="38" t="str">
        <x:v>7月30日现场数据</x:v>
      </x:c>
      <x:c r="B278" s="39" t="str">
        <x:v>2026-07-31T19:15:00</x:v>
      </x:c>
      <x:c r="C278" s="39" t="str">
        <x:v>2026-07-31T19:45:00</x:v>
      </x:c>
      <x:c r="D278" s="47" t="n">
        <x:v>30</x:v>
      </x:c>
      <x:c r="E278" s="40" t="n">
        <x:v>12</x:v>
      </x:c>
      <x:c r="F278" s="40" t="n">
        <x:v>10.44989013671875</x:v>
      </x:c>
      <x:c r="G278" s="40" t="n">
        <x:v>12</x:v>
      </x:c>
      <x:c r="H278" s="40" t="n">
        <x:f>F278-E278</x:f>
        <x:v>-1.55010986328125</x:v>
      </x:c>
      <x:c r="I278" s="40" t="n">
        <x:f>ABS(H278)</x:f>
        <x:v>1.55010986328125</x:v>
      </x:c>
      <x:c r="J278" s="40" t="n">
        <x:f>H278^2</x:f>
        <x:v>2.4028405882418156</x:v>
      </x:c>
      <x:c r="K278" s="40" t="n">
        <x:f>G278-E278</x:f>
        <x:v>0</x:v>
      </x:c>
      <x:c r="L278" s="40" t="n">
        <x:f>ABS(K278)</x:f>
        <x:v>0</x:v>
      </x:c>
      <x:c r="M278" s="41" t="str">
        <x:v>lstm-soil-v1</x:v>
      </x:c>
    </x:row>
    <x:row r="279">
      <x:c r="A279" s="38" t="str">
        <x:v>7月30日现场数据</x:v>
      </x:c>
      <x:c r="B279" s="39" t="str">
        <x:v>2026-07-31T19:15:00</x:v>
      </x:c>
      <x:c r="C279" s="39" t="str">
        <x:v>2026-07-31T20:15:00</x:v>
      </x:c>
      <x:c r="D279" s="47" t="n">
        <x:v>60</x:v>
      </x:c>
      <x:c r="E279" s="40" t="n">
        <x:v>12</x:v>
      </x:c>
      <x:c r="F279" s="40" t="n">
        <x:v>12.132827758789062</x:v>
      </x:c>
      <x:c r="G279" s="40" t="n">
        <x:v>12</x:v>
      </x:c>
      <x:c r="H279" s="40" t="n">
        <x:f>F279-E279</x:f>
        <x:v>0.1328277587890625</x:v>
      </x:c>
      <x:c r="I279" s="40" t="n">
        <x:f>ABS(H279)</x:f>
        <x:v>0.1328277587890625</x:v>
      </x:c>
      <x:c r="J279" s="40" t="n">
        <x:f>H279^2</x:f>
        <x:v>0.01764321350492537</x:v>
      </x:c>
      <x:c r="K279" s="40" t="n">
        <x:f>G279-E279</x:f>
        <x:v>0</x:v>
      </x:c>
      <x:c r="L279" s="40" t="n">
        <x:f>ABS(K279)</x:f>
        <x:v>0</x:v>
      </x:c>
      <x:c r="M279" s="41" t="str">
        <x:v>lstm-soil-v1</x:v>
      </x:c>
    </x:row>
    <x:row r="280">
      <x:c r="A280" s="38" t="str">
        <x:v>7月30日现场数据</x:v>
      </x:c>
      <x:c r="B280" s="39" t="str">
        <x:v>2026-07-31T19:20:00</x:v>
      </x:c>
      <x:c r="C280" s="39" t="str">
        <x:v>2026-07-31T19:25:00</x:v>
      </x:c>
      <x:c r="D280" s="47" t="n">
        <x:v>5</x:v>
      </x:c>
      <x:c r="E280" s="40" t="n">
        <x:v>12</x:v>
      </x:c>
      <x:c r="F280" s="40" t="n">
        <x:v>9.95941162109375</x:v>
      </x:c>
      <x:c r="G280" s="40" t="n">
        <x:v>12</x:v>
      </x:c>
      <x:c r="H280" s="40" t="n">
        <x:f>F280-E280</x:f>
        <x:v>-2.04058837890625</x:v>
      </x:c>
      <x:c r="I280" s="40" t="n">
        <x:f>ABS(H280)</x:f>
        <x:v>2.04058837890625</x:v>
      </x:c>
      <x:c r="J280" s="40" t="n">
        <x:f>H280^2</x:f>
        <x:v>4.164000932127237</x:v>
      </x:c>
      <x:c r="K280" s="40" t="n">
        <x:f>G280-E280</x:f>
        <x:v>0</x:v>
      </x:c>
      <x:c r="L280" s="40" t="n">
        <x:f>ABS(K280)</x:f>
        <x:v>0</x:v>
      </x:c>
      <x:c r="M280" s="41" t="str">
        <x:v>lstm-soil-v1</x:v>
      </x:c>
    </x:row>
    <x:row r="281">
      <x:c r="A281" s="38" t="str">
        <x:v>7月30日现场数据</x:v>
      </x:c>
      <x:c r="B281" s="39" t="str">
        <x:v>2026-07-31T19:20:00</x:v>
      </x:c>
      <x:c r="C281" s="39" t="str">
        <x:v>2026-07-31T19:35:00</x:v>
      </x:c>
      <x:c r="D281" s="47" t="n">
        <x:v>15</x:v>
      </x:c>
      <x:c r="E281" s="40" t="n">
        <x:v>11.9</x:v>
      </x:c>
      <x:c r="F281" s="40" t="n">
        <x:v>10.024818420410156</x:v>
      </x:c>
      <x:c r="G281" s="40" t="n">
        <x:v>12</x:v>
      </x:c>
      <x:c r="H281" s="40" t="n">
        <x:f>F281-E281</x:f>
        <x:v>-1.875181579589844</x:v>
      </x:c>
      <x:c r="I281" s="40" t="n">
        <x:f>ABS(H281)</x:f>
        <x:v>1.875181579589844</x:v>
      </x:c>
      <x:c r="J281" s="40" t="n">
        <x:f>H281^2</x:f>
        <x:v>3.516305956433063</x:v>
      </x:c>
      <x:c r="K281" s="40" t="n">
        <x:f>G281-E281</x:f>
        <x:v>0.09999999999999964</x:v>
      </x:c>
      <x:c r="L281" s="40" t="n">
        <x:f>ABS(K281)</x:f>
        <x:v>0.09999999999999964</x:v>
      </x:c>
      <x:c r="M281" s="41" t="str">
        <x:v>lstm-soil-v1</x:v>
      </x:c>
    </x:row>
    <x:row r="282">
      <x:c r="A282" s="38" t="str">
        <x:v>7月30日现场数据</x:v>
      </x:c>
      <x:c r="B282" s="39" t="str">
        <x:v>2026-07-31T19:20:00</x:v>
      </x:c>
      <x:c r="C282" s="39" t="str">
        <x:v>2026-07-31T19:50:00</x:v>
      </x:c>
      <x:c r="D282" s="47" t="n">
        <x:v>30</x:v>
      </x:c>
      <x:c r="E282" s="40" t="n">
        <x:v>12</x:v>
      </x:c>
      <x:c r="F282" s="40" t="n">
        <x:v>10.450481414794922</x:v>
      </x:c>
      <x:c r="G282" s="40" t="n">
        <x:v>12</x:v>
      </x:c>
      <x:c r="H282" s="40" t="n">
        <x:f>F282-E282</x:f>
        <x:v>-1.5495185852050781</x:v>
      </x:c>
      <x:c r="I282" s="40" t="n">
        <x:f>ABS(H282)</x:f>
        <x:v>1.5495185852050781</x:v>
      </x:c>
      <x:c r="J282" s="40" t="n">
        <x:f>H282^2</x:f>
        <x:v>2.401007845895947</x:v>
      </x:c>
      <x:c r="K282" s="40" t="n">
        <x:f>G282-E282</x:f>
        <x:v>0</x:v>
      </x:c>
      <x:c r="L282" s="40" t="n">
        <x:f>ABS(K282)</x:f>
        <x:v>0</x:v>
      </x:c>
      <x:c r="M282" s="41" t="str">
        <x:v>lstm-soil-v1</x:v>
      </x:c>
    </x:row>
    <x:row r="283">
      <x:c r="A283" s="38" t="str">
        <x:v>7月30日现场数据</x:v>
      </x:c>
      <x:c r="B283" s="39" t="str">
        <x:v>2026-07-31T19:20:00</x:v>
      </x:c>
      <x:c r="C283" s="39" t="str">
        <x:v>2026-07-31T20:20:00</x:v>
      </x:c>
      <x:c r="D283" s="47" t="n">
        <x:v>60</x:v>
      </x:c>
      <x:c r="E283" s="40" t="n">
        <x:v>12</x:v>
      </x:c>
      <x:c r="F283" s="40" t="n">
        <x:v>12.132129669189453</x:v>
      </x:c>
      <x:c r="G283" s="40" t="n">
        <x:v>12</x:v>
      </x:c>
      <x:c r="H283" s="40" t="n">
        <x:f>F283-E283</x:f>
        <x:v>0.13212966918945312</x:v>
      </x:c>
      <x:c r="I283" s="40" t="n">
        <x:f>ABS(H283)</x:f>
        <x:v>0.13212966918945312</x:v>
      </x:c>
      <x:c r="J283" s="40" t="n">
        <x:f>H283^2</x:f>
        <x:v>0.01745824948011432</x:v>
      </x:c>
      <x:c r="K283" s="40" t="n">
        <x:f>G283-E283</x:f>
        <x:v>0</x:v>
      </x:c>
      <x:c r="L283" s="40" t="n">
        <x:f>ABS(K283)</x:f>
        <x:v>0</x:v>
      </x:c>
      <x:c r="M283" s="41" t="str">
        <x:v>lstm-soil-v1</x:v>
      </x:c>
    </x:row>
    <x:row r="284">
      <x:c r="A284" s="38" t="str">
        <x:v>7月30日现场数据</x:v>
      </x:c>
      <x:c r="B284" s="39" t="str">
        <x:v>2026-07-31T19:25:00</x:v>
      </x:c>
      <x:c r="C284" s="39" t="str">
        <x:v>2026-07-31T19:30:00</x:v>
      </x:c>
      <x:c r="D284" s="47" t="n">
        <x:v>5</x:v>
      </x:c>
      <x:c r="E284" s="40" t="n">
        <x:v>12</x:v>
      </x:c>
      <x:c r="F284" s="40" t="n">
        <x:v>9.959205627441406</x:v>
      </x:c>
      <x:c r="G284" s="40" t="n">
        <x:v>12</x:v>
      </x:c>
      <x:c r="H284" s="40" t="n">
        <x:f>F284-E284</x:f>
        <x:v>-2.0407943725585938</x:v>
      </x:c>
      <x:c r="I284" s="40" t="n">
        <x:f>ABS(H284)</x:f>
        <x:v>2.0407943725585938</x:v>
      </x:c>
      <x:c r="J284" s="40" t="n">
        <x:f>H284^2</x:f>
        <x:v>4.164841671066824</x:v>
      </x:c>
      <x:c r="K284" s="40" t="n">
        <x:f>G284-E284</x:f>
        <x:v>0</x:v>
      </x:c>
      <x:c r="L284" s="40" t="n">
        <x:f>ABS(K284)</x:f>
        <x:v>0</x:v>
      </x:c>
      <x:c r="M284" s="41" t="str">
        <x:v>lstm-soil-v1</x:v>
      </x:c>
    </x:row>
    <x:row r="285">
      <x:c r="A285" s="38" t="str">
        <x:v>7月30日现场数据</x:v>
      </x:c>
      <x:c r="B285" s="39" t="str">
        <x:v>2026-07-31T19:25:00</x:v>
      </x:c>
      <x:c r="C285" s="39" t="str">
        <x:v>2026-07-31T19:40:00</x:v>
      </x:c>
      <x:c r="D285" s="47" t="n">
        <x:v>15</x:v>
      </x:c>
      <x:c r="E285" s="40" t="n">
        <x:v>12</x:v>
      </x:c>
      <x:c r="F285" s="40" t="n">
        <x:v>10.024303436279297</x:v>
      </x:c>
      <x:c r="G285" s="40" t="n">
        <x:v>12</x:v>
      </x:c>
      <x:c r="H285" s="40" t="n">
        <x:f>F285-E285</x:f>
        <x:v>-1.9756965637207031</x:v>
      </x:c>
      <x:c r="I285" s="40" t="n">
        <x:f>ABS(H285)</x:f>
        <x:v>1.9756965637207031</x:v>
      </x:c>
      <x:c r="J285" s="40" t="n">
        <x:f>H285^2</x:f>
        <x:v>3.9033769118977943</x:v>
      </x:c>
      <x:c r="K285" s="40" t="n">
        <x:f>G285-E285</x:f>
        <x:v>0</x:v>
      </x:c>
      <x:c r="L285" s="40" t="n">
        <x:f>ABS(K285)</x:f>
        <x:v>0</x:v>
      </x:c>
      <x:c r="M285" s="41" t="str">
        <x:v>lstm-soil-v1</x:v>
      </x:c>
    </x:row>
    <x:row r="286">
      <x:c r="A286" s="38" t="str">
        <x:v>7月30日现场数据</x:v>
      </x:c>
      <x:c r="B286" s="39" t="str">
        <x:v>2026-07-31T19:25:00</x:v>
      </x:c>
      <x:c r="C286" s="39" t="str">
        <x:v>2026-07-31T19:55:00</x:v>
      </x:c>
      <x:c r="D286" s="47" t="n">
        <x:v>30</x:v>
      </x:c>
      <x:c r="E286" s="40" t="n">
        <x:v>12</x:v>
      </x:c>
      <x:c r="F286" s="40" t="n">
        <x:v>10.451072692871094</x:v>
      </x:c>
      <x:c r="G286" s="40" t="n">
        <x:v>12</x:v>
      </x:c>
      <x:c r="H286" s="40" t="n">
        <x:f>F286-E286</x:f>
        <x:v>-1.5489273071289062</x:v>
      </x:c>
      <x:c r="I286" s="40" t="n">
        <x:f>ABS(H286)</x:f>
        <x:v>1.5489273071289062</x:v>
      </x:c>
      <x:c r="J286" s="40" t="n">
        <x:f>H286^2</x:f>
        <x:v>2.399175802769605</x:v>
      </x:c>
      <x:c r="K286" s="40" t="n">
        <x:f>G286-E286</x:f>
        <x:v>0</x:v>
      </x:c>
      <x:c r="L286" s="40" t="n">
        <x:f>ABS(K286)</x:f>
        <x:v>0</x:v>
      </x:c>
      <x:c r="M286" s="41" t="str">
        <x:v>lstm-soil-v1</x:v>
      </x:c>
    </x:row>
    <x:row r="287">
      <x:c r="A287" s="38" t="str">
        <x:v>7月30日现场数据</x:v>
      </x:c>
      <x:c r="B287" s="39" t="str">
        <x:v>2026-07-31T19:25:00</x:v>
      </x:c>
      <x:c r="C287" s="39" t="str">
        <x:v>2026-07-31T20:25:00</x:v>
      </x:c>
      <x:c r="D287" s="47" t="n">
        <x:v>60</x:v>
      </x:c>
      <x:c r="E287" s="40" t="n">
        <x:v>12</x:v>
      </x:c>
      <x:c r="F287" s="40" t="n">
        <x:v>12.131912231445312</x:v>
      </x:c>
      <x:c r="G287" s="40" t="n">
        <x:v>12</x:v>
      </x:c>
      <x:c r="H287" s="40" t="n">
        <x:f>F287-E287</x:f>
        <x:v>0.1319122314453125</x:v>
      </x:c>
      <x:c r="I287" s="40" t="n">
        <x:f>ABS(H287)</x:f>
        <x:v>0.1319122314453125</x:v>
      </x:c>
      <x:c r="J287" s="40" t="n">
        <x:f>H287^2</x:f>
        <x:v>0.017400836804881692</x:v>
      </x:c>
      <x:c r="K287" s="40" t="n">
        <x:f>G287-E287</x:f>
        <x:v>0</x:v>
      </x:c>
      <x:c r="L287" s="40" t="n">
        <x:f>ABS(K287)</x:f>
        <x:v>0</x:v>
      </x:c>
      <x:c r="M287" s="41" t="str">
        <x:v>lstm-soil-v1</x:v>
      </x:c>
    </x:row>
    <x:row r="288">
      <x:c r="A288" s="38" t="str">
        <x:v>7月30日现场数据</x:v>
      </x:c>
      <x:c r="B288" s="39" t="str">
        <x:v>2026-07-31T19:30:00</x:v>
      </x:c>
      <x:c r="C288" s="39" t="str">
        <x:v>2026-07-31T19:35:00</x:v>
      </x:c>
      <x:c r="D288" s="47" t="n">
        <x:v>5</x:v>
      </x:c>
      <x:c r="E288" s="40" t="n">
        <x:v>11.9</x:v>
      </x:c>
      <x:c r="F288" s="40" t="n">
        <x:v>9.95913314819336</x:v>
      </x:c>
      <x:c r="G288" s="40" t="n">
        <x:v>12</x:v>
      </x:c>
      <x:c r="H288" s="40" t="n">
        <x:f>F288-E288</x:f>
        <x:v>-1.940866851806641</x:v>
      </x:c>
      <x:c r="I288" s="40" t="n">
        <x:f>ABS(H288)</x:f>
        <x:v>1.940866851806641</x:v>
      </x:c>
      <x:c r="J288" s="40" t="n">
        <x:f>H288^2</x:f>
        <x:v>3.7669641364418216</x:v>
      </x:c>
      <x:c r="K288" s="40" t="n">
        <x:f>G288-E288</x:f>
        <x:v>0.09999999999999964</x:v>
      </x:c>
      <x:c r="L288" s="40" t="n">
        <x:f>ABS(K288)</x:f>
        <x:v>0.09999999999999964</x:v>
      </x:c>
      <x:c r="M288" s="41" t="str">
        <x:v>lstm-soil-v1</x:v>
      </x:c>
    </x:row>
    <x:row r="289">
      <x:c r="A289" s="38" t="str">
        <x:v>7月30日现场数据</x:v>
      </x:c>
      <x:c r="B289" s="39" t="str">
        <x:v>2026-07-31T19:30:00</x:v>
      </x:c>
      <x:c r="C289" s="39" t="str">
        <x:v>2026-07-31T19:45:00</x:v>
      </x:c>
      <x:c r="D289" s="47" t="n">
        <x:v>15</x:v>
      </x:c>
      <x:c r="E289" s="40" t="n">
        <x:v>12</x:v>
      </x:c>
      <x:c r="F289" s="40" t="n">
        <x:v>10.023941040039062</x:v>
      </x:c>
      <x:c r="G289" s="40" t="n">
        <x:v>12</x:v>
      </x:c>
      <x:c r="H289" s="40" t="n">
        <x:f>F289-E289</x:f>
        <x:v>-1.9760589599609375</x:v>
      </x:c>
      <x:c r="I289" s="40" t="n">
        <x:f>ABS(H289)</x:f>
        <x:v>1.9760589599609375</x:v>
      </x:c>
      <x:c r="J289" s="40" t="n">
        <x:f>H289^2</x:f>
        <x:v>3.904809013241902</x:v>
      </x:c>
      <x:c r="K289" s="40" t="n">
        <x:f>G289-E289</x:f>
        <x:v>0</x:v>
      </x:c>
      <x:c r="L289" s="40" t="n">
        <x:f>ABS(K289)</x:f>
        <x:v>0</x:v>
      </x:c>
      <x:c r="M289" s="41" t="str">
        <x:v>lstm-soil-v1</x:v>
      </x:c>
    </x:row>
    <x:row r="290">
      <x:c r="A290" s="38" t="str">
        <x:v>7月30日现场数据</x:v>
      </x:c>
      <x:c r="B290" s="39" t="str">
        <x:v>2026-07-31T19:30:00</x:v>
      </x:c>
      <x:c r="C290" s="39" t="str">
        <x:v>2026-07-31T20:00:00</x:v>
      </x:c>
      <x:c r="D290" s="47" t="n">
        <x:v>30</x:v>
      </x:c>
      <x:c r="E290" s="40" t="n">
        <x:v>12</x:v>
      </x:c>
      <x:c r="F290" s="40" t="n">
        <x:v>10.451622009277344</x:v>
      </x:c>
      <x:c r="G290" s="40" t="n">
        <x:v>12</x:v>
      </x:c>
      <x:c r="H290" s="40" t="n">
        <x:f>F290-E290</x:f>
        <x:v>-1.5483779907226562</x:v>
      </x:c>
      <x:c r="I290" s="40" t="n">
        <x:f>ABS(H290)</x:f>
        <x:v>1.5483779907226562</x:v>
      </x:c>
      <x:c r="J290" s="40" t="n">
        <x:f>H290^2</x:f>
        <x:v>2.39747440215433</x:v>
      </x:c>
      <x:c r="K290" s="40" t="n">
        <x:f>G290-E290</x:f>
        <x:v>0</x:v>
      </x:c>
      <x:c r="L290" s="40" t="n">
        <x:f>ABS(K290)</x:f>
        <x:v>0</x:v>
      </x:c>
      <x:c r="M290" s="41" t="str">
        <x:v>lstm-soil-v1</x:v>
      </x:c>
    </x:row>
    <x:row r="291">
      <x:c r="A291" s="38" t="str">
        <x:v>7月30日现场数据</x:v>
      </x:c>
      <x:c r="B291" s="39" t="str">
        <x:v>2026-07-31T19:30:00</x:v>
      </x:c>
      <x:c r="C291" s="39" t="str">
        <x:v>2026-07-31T20:30:00</x:v>
      </x:c>
      <x:c r="D291" s="47" t="n">
        <x:v>60</x:v>
      </x:c>
      <x:c r="E291" s="40" t="n">
        <x:v>12</x:v>
      </x:c>
      <x:c r="F291" s="40" t="n">
        <x:v>12.132007598876953</x:v>
      </x:c>
      <x:c r="G291" s="40" t="n">
        <x:v>12</x:v>
      </x:c>
      <x:c r="H291" s="40" t="n">
        <x:f>F291-E291</x:f>
        <x:v>0.13200759887695312</x:v>
      </x:c>
      <x:c r="I291" s="40" t="n">
        <x:f>ABS(H291)</x:f>
        <x:v>0.13200759887695312</x:v>
      </x:c>
      <x:c r="J291" s="40" t="n">
        <x:f>H291^2</x:f>
        <x:v>0.017426006161258556</x:v>
      </x:c>
      <x:c r="K291" s="40" t="n">
        <x:f>G291-E291</x:f>
        <x:v>0</x:v>
      </x:c>
      <x:c r="L291" s="40" t="n">
        <x:f>ABS(K291)</x:f>
        <x:v>0</x:v>
      </x:c>
      <x:c r="M291" s="41" t="str">
        <x:v>lstm-soil-v1</x:v>
      </x:c>
    </x:row>
    <x:row r="292">
      <x:c r="A292" s="38" t="str">
        <x:v>7月30日现场数据</x:v>
      </x:c>
      <x:c r="B292" s="39" t="str">
        <x:v>2026-07-31T19:35:00</x:v>
      </x:c>
      <x:c r="C292" s="39" t="str">
        <x:v>2026-07-31T19:40:00</x:v>
      </x:c>
      <x:c r="D292" s="47" t="n">
        <x:v>5</x:v>
      </x:c>
      <x:c r="E292" s="40" t="n">
        <x:v>12</x:v>
      </x:c>
      <x:c r="F292" s="40" t="n">
        <x:v>9.848831176757812</x:v>
      </x:c>
      <x:c r="G292" s="40" t="n">
        <x:v>11.9</x:v>
      </x:c>
      <x:c r="H292" s="40" t="n">
        <x:f>F292-E292</x:f>
        <x:v>-2.1511688232421875</x:v>
      </x:c>
      <x:c r="I292" s="40" t="n">
        <x:f>ABS(H292)</x:f>
        <x:v>2.1511688232421875</x:v>
      </x:c>
      <x:c r="J292" s="40" t="n">
        <x:f>H292^2</x:f>
        <x:v>4.627527306089178</x:v>
      </x:c>
      <x:c r="K292" s="40" t="n">
        <x:f>G292-E292</x:f>
        <x:v>-0.09999999999999964</x:v>
      </x:c>
      <x:c r="L292" s="40" t="n">
        <x:f>ABS(K292)</x:f>
        <x:v>0.09999999999999964</x:v>
      </x:c>
      <x:c r="M292" s="41" t="str">
        <x:v>lstm-soil-v1</x:v>
      </x:c>
    </x:row>
    <x:row r="293">
      <x:c r="A293" s="38" t="str">
        <x:v>7月30日现场数据</x:v>
      </x:c>
      <x:c r="B293" s="39" t="str">
        <x:v>2026-07-31T19:35:00</x:v>
      </x:c>
      <x:c r="C293" s="39" t="str">
        <x:v>2026-07-31T19:50:00</x:v>
      </x:c>
      <x:c r="D293" s="47" t="n">
        <x:v>15</x:v>
      </x:c>
      <x:c r="E293" s="40" t="n">
        <x:v>12</x:v>
      </x:c>
      <x:c r="F293" s="40" t="n">
        <x:v>9.913448333740234</x:v>
      </x:c>
      <x:c r="G293" s="40" t="n">
        <x:v>11.9</x:v>
      </x:c>
      <x:c r="H293" s="40" t="n">
        <x:f>F293-E293</x:f>
        <x:v>-2.0865516662597656</x:v>
      </x:c>
      <x:c r="I293" s="40" t="n">
        <x:f>ABS(H293)</x:f>
        <x:v>2.0865516662597656</x:v>
      </x:c>
      <x:c r="J293" s="40" t="n">
        <x:f>H293^2</x:f>
        <x:v>4.353697855971404</x:v>
      </x:c>
      <x:c r="K293" s="40" t="n">
        <x:f>G293-E293</x:f>
        <x:v>-0.09999999999999964</x:v>
      </x:c>
      <x:c r="L293" s="40" t="n">
        <x:f>ABS(K293)</x:f>
        <x:v>0.09999999999999964</x:v>
      </x:c>
      <x:c r="M293" s="41" t="str">
        <x:v>lstm-soil-v1</x:v>
      </x:c>
    </x:row>
    <x:row r="294">
      <x:c r="A294" s="38" t="str">
        <x:v>7月30日现场数据</x:v>
      </x:c>
      <x:c r="B294" s="39" t="str">
        <x:v>2026-07-31T19:35:00</x:v>
      </x:c>
      <x:c r="C294" s="39" t="str">
        <x:v>2026-07-31T20:05:00</x:v>
      </x:c>
      <x:c r="D294" s="47" t="n">
        <x:v>30</x:v>
      </x:c>
      <x:c r="E294" s="40" t="n">
        <x:v>12</x:v>
      </x:c>
      <x:c r="F294" s="40" t="n">
        <x:v>10.341850280761719</x:v>
      </x:c>
      <x:c r="G294" s="40" t="n">
        <x:v>11.9</x:v>
      </x:c>
      <x:c r="H294" s="40" t="n">
        <x:f>F294-E294</x:f>
        <x:v>-1.6581497192382812</x:v>
      </x:c>
      <x:c r="I294" s="40" t="n">
        <x:f>ABS(H294)</x:f>
        <x:v>1.6581497192382812</x:v>
      </x:c>
      <x:c r="J294" s="40" t="n">
        <x:f>H294^2</x:f>
        <x:v>2.749460491409991</x:v>
      </x:c>
      <x:c r="K294" s="40" t="n">
        <x:f>G294-E294</x:f>
        <x:v>-0.09999999999999964</x:v>
      </x:c>
      <x:c r="L294" s="40" t="n">
        <x:f>ABS(K294)</x:f>
        <x:v>0.09999999999999964</x:v>
      </x:c>
      <x:c r="M294" s="41" t="str">
        <x:v>lstm-soil-v1</x:v>
      </x:c>
    </x:row>
    <x:row r="295">
      <x:c r="A295" s="38" t="str">
        <x:v>7月30日现场数据</x:v>
      </x:c>
      <x:c r="B295" s="39" t="str">
        <x:v>2026-07-31T19:35:00</x:v>
      </x:c>
      <x:c r="C295" s="39" t="str">
        <x:v>2026-07-31T20:35:00</x:v>
      </x:c>
      <x:c r="D295" s="47" t="n">
        <x:v>60</x:v>
      </x:c>
      <x:c r="E295" s="40" t="n">
        <x:v>12</x:v>
      </x:c>
      <x:c r="F295" s="40" t="n">
        <x:v>12.021949768066406</x:v>
      </x:c>
      <x:c r="G295" s="40" t="n">
        <x:v>11.9</x:v>
      </x:c>
      <x:c r="H295" s="40" t="n">
        <x:f>F295-E295</x:f>
        <x:v>0.02194976806640625</x:v>
      </x:c>
      <x:c r="I295" s="40" t="n">
        <x:f>ABS(H295)</x:f>
        <x:v>0.02194976806640625</x:v>
      </x:c>
      <x:c r="J295" s="40" t="n">
        <x:f>H295^2</x:f>
        <x:v>0.00048179231816902757</x:v>
      </x:c>
      <x:c r="K295" s="40" t="n">
        <x:f>G295-E295</x:f>
        <x:v>-0.09999999999999964</x:v>
      </x:c>
      <x:c r="L295" s="40" t="n">
        <x:f>ABS(K295)</x:f>
        <x:v>0.09999999999999964</x:v>
      </x:c>
      <x:c r="M295" s="41" t="str">
        <x:v>lstm-soil-v1</x:v>
      </x:c>
    </x:row>
    <x:row r="296">
      <x:c r="A296" s="38" t="str">
        <x:v>7月30日现场数据</x:v>
      </x:c>
      <x:c r="B296" s="39" t="str">
        <x:v>2026-07-31T19:40:00</x:v>
      </x:c>
      <x:c r="C296" s="39" t="str">
        <x:v>2026-07-31T19:45:00</x:v>
      </x:c>
      <x:c r="D296" s="47" t="n">
        <x:v>5</x:v>
      </x:c>
      <x:c r="E296" s="40" t="n">
        <x:v>12</x:v>
      </x:c>
      <x:c r="F296" s="40" t="n">
        <x:v>9.959037780761719</x:v>
      </x:c>
      <x:c r="G296" s="40" t="n">
        <x:v>12</x:v>
      </x:c>
      <x:c r="H296" s="40" t="n">
        <x:f>F296-E296</x:f>
        <x:v>-2.0409622192382812</x:v>
      </x:c>
      <x:c r="I296" s="40" t="n">
        <x:f>ABS(H296)</x:f>
        <x:v>2.0409622192382812</x:v>
      </x:c>
      <x:c r="J296" s="40" t="n">
        <x:f>H296^2</x:f>
        <x:v>4.16552678035805</x:v>
      </x:c>
      <x:c r="K296" s="40" t="n">
        <x:f>G296-E296</x:f>
        <x:v>0</x:v>
      </x:c>
      <x:c r="L296" s="40" t="n">
        <x:f>ABS(K296)</x:f>
        <x:v>0</x:v>
      </x:c>
      <x:c r="M296" s="41" t="str">
        <x:v>lstm-soil-v1</x:v>
      </x:c>
    </x:row>
    <x:row r="297">
      <x:c r="A297" s="38" t="str">
        <x:v>7月30日现场数据</x:v>
      </x:c>
      <x:c r="B297" s="39" t="str">
        <x:v>2026-07-31T19:40:00</x:v>
      </x:c>
      <x:c r="C297" s="39" t="str">
        <x:v>2026-07-31T19:55:00</x:v>
      </x:c>
      <x:c r="D297" s="47" t="n">
        <x:v>15</x:v>
      </x:c>
      <x:c r="E297" s="40" t="n">
        <x:v>12</x:v>
      </x:c>
      <x:c r="F297" s="40" t="n">
        <x:v>10.023300170898438</x:v>
      </x:c>
      <x:c r="G297" s="40" t="n">
        <x:v>12</x:v>
      </x:c>
      <x:c r="H297" s="40" t="n">
        <x:f>F297-E297</x:f>
        <x:v>-1.9766998291015625</x:v>
      </x:c>
      <x:c r="I297" s="40" t="n">
        <x:f>ABS(H297)</x:f>
        <x:v>1.9766998291015625</x:v>
      </x:c>
      <x:c r="J297" s="40" t="n">
        <x:f>H297^2</x:f>
        <x:v>3.9073422143701464</x:v>
      </x:c>
      <x:c r="K297" s="40" t="n">
        <x:f>G297-E297</x:f>
        <x:v>0</x:v>
      </x:c>
      <x:c r="L297" s="40" t="n">
        <x:f>ABS(K297)</x:f>
        <x:v>0</x:v>
      </x:c>
      <x:c r="M297" s="41" t="str">
        <x:v>lstm-soil-v1</x:v>
      </x:c>
    </x:row>
    <x:row r="298">
      <x:c r="A298" s="38" t="str">
        <x:v>7月30日现场数据</x:v>
      </x:c>
      <x:c r="B298" s="39" t="str">
        <x:v>2026-07-31T19:40:00</x:v>
      </x:c>
      <x:c r="C298" s="39" t="str">
        <x:v>2026-07-31T20:10:00</x:v>
      </x:c>
      <x:c r="D298" s="47" t="n">
        <x:v>30</x:v>
      </x:c>
      <x:c r="E298" s="40" t="n">
        <x:v>12</x:v>
      </x:c>
      <x:c r="F298" s="40" t="n">
        <x:v>10.452369689941406</x:v>
      </x:c>
      <x:c r="G298" s="40" t="n">
        <x:v>12</x:v>
      </x:c>
      <x:c r="H298" s="40" t="n">
        <x:f>F298-E298</x:f>
        <x:v>-1.5476303100585938</x:v>
      </x:c>
      <x:c r="I298" s="40" t="n">
        <x:f>ABS(H298)</x:f>
        <x:v>1.5476303100585938</x:v>
      </x:c>
      <x:c r="J298" s="40" t="n">
        <x:f>H298^2</x:f>
        <x:v>2.395159576612059</x:v>
      </x:c>
      <x:c r="K298" s="40" t="n">
        <x:f>G298-E298</x:f>
        <x:v>0</x:v>
      </x:c>
      <x:c r="L298" s="40" t="n">
        <x:f>ABS(K298)</x:f>
        <x:v>0</x:v>
      </x:c>
      <x:c r="M298" s="41" t="str">
        <x:v>lstm-soil-v1</x:v>
      </x:c>
    </x:row>
    <x:row r="299">
      <x:c r="A299" s="38" t="str">
        <x:v>7月30日现场数据</x:v>
      </x:c>
      <x:c r="B299" s="39" t="str">
        <x:v>2026-07-31T19:40:00</x:v>
      </x:c>
      <x:c r="C299" s="39" t="str">
        <x:v>2026-07-31T20:40:00</x:v>
      </x:c>
      <x:c r="D299" s="47" t="n">
        <x:v>60</x:v>
      </x:c>
      <x:c r="E299" s="40" t="n">
        <x:v>12</x:v>
      </x:c>
      <x:c r="F299" s="40" t="n">
        <x:v>12.13241195678711</x:v>
      </x:c>
      <x:c r="G299" s="40" t="n">
        <x:v>12</x:v>
      </x:c>
      <x:c r="H299" s="40" t="n">
        <x:f>F299-E299</x:f>
        <x:v>0.13241195678710938</x:v>
      </x:c>
      <x:c r="I299" s="40" t="n">
        <x:f>ABS(H299)</x:f>
        <x:v>0.13241195678710938</x:v>
      </x:c>
      <x:c r="J299" s="40" t="n">
        <x:f>H299^2</x:f>
        <x:v>0.01753292630019132</x:v>
      </x:c>
      <x:c r="K299" s="40" t="n">
        <x:f>G299-E299</x:f>
        <x:v>0</x:v>
      </x:c>
      <x:c r="L299" s="40" t="n">
        <x:f>ABS(K299)</x:f>
        <x:v>0</x:v>
      </x:c>
      <x:c r="M299" s="41" t="str">
        <x:v>lstm-soil-v1</x:v>
      </x:c>
    </x:row>
    <x:row r="300">
      <x:c r="A300" s="38" t="str">
        <x:v>7月30日现场数据</x:v>
      </x:c>
      <x:c r="B300" s="39" t="str">
        <x:v>2026-07-31T19:45:00</x:v>
      </x:c>
      <x:c r="C300" s="39" t="str">
        <x:v>2026-07-31T19:50:00</x:v>
      </x:c>
      <x:c r="D300" s="47" t="n">
        <x:v>5</x:v>
      </x:c>
      <x:c r="E300" s="40" t="n">
        <x:v>12</x:v>
      </x:c>
      <x:c r="F300" s="40" t="n">
        <x:v>9.958919525146484</x:v>
      </x:c>
      <x:c r="G300" s="40" t="n">
        <x:v>12</x:v>
      </x:c>
      <x:c r="H300" s="40" t="n">
        <x:f>F300-E300</x:f>
        <x:v>-2.0410804748535156</x:v>
      </x:c>
      <x:c r="I300" s="40" t="n">
        <x:f>ABS(H300)</x:f>
        <x:v>2.0410804748535156</x:v>
      </x:c>
      <x:c r="J300" s="40" t="n">
        <x:f>H300^2</x:f>
        <x:v>4.166009504828253</x:v>
      </x:c>
      <x:c r="K300" s="40" t="n">
        <x:f>G300-E300</x:f>
        <x:v>0</x:v>
      </x:c>
      <x:c r="L300" s="40" t="n">
        <x:f>ABS(K300)</x:f>
        <x:v>0</x:v>
      </x:c>
      <x:c r="M300" s="41" t="str">
        <x:v>lstm-soil-v1</x:v>
      </x:c>
    </x:row>
    <x:row r="301">
      <x:c r="A301" s="38" t="str">
        <x:v>7月30日现场数据</x:v>
      </x:c>
      <x:c r="B301" s="39" t="str">
        <x:v>2026-07-31T19:45:00</x:v>
      </x:c>
      <x:c r="C301" s="39" t="str">
        <x:v>2026-07-31T20:00:00</x:v>
      </x:c>
      <x:c r="D301" s="47" t="n">
        <x:v>15</x:v>
      </x:c>
      <x:c r="E301" s="40" t="n">
        <x:v>12</x:v>
      </x:c>
      <x:c r="F301" s="40" t="n">
        <x:v>10.022937774658203</x:v>
      </x:c>
      <x:c r="G301" s="40" t="n">
        <x:v>12</x:v>
      </x:c>
      <x:c r="H301" s="40" t="n">
        <x:f>F301-E301</x:f>
        <x:v>-1.9770622253417969</x:v>
      </x:c>
      <x:c r="I301" s="40" t="n">
        <x:f>ABS(H301)</x:f>
        <x:v>1.9770622253417969</x:v>
      </x:c>
      <x:c r="J301" s="40" t="n">
        <x:f>H301^2</x:f>
        <x:v>3.908775042873458</x:v>
      </x:c>
      <x:c r="K301" s="40" t="n">
        <x:f>G301-E301</x:f>
        <x:v>0</x:v>
      </x:c>
      <x:c r="L301" s="40" t="n">
        <x:f>ABS(K301)</x:f>
        <x:v>0</x:v>
      </x:c>
      <x:c r="M301" s="41" t="str">
        <x:v>lstm-soil-v1</x:v>
      </x:c>
    </x:row>
    <x:row r="302">
      <x:c r="A302" s="38" t="str">
        <x:v>7月30日现场数据</x:v>
      </x:c>
      <x:c r="B302" s="39" t="str">
        <x:v>2026-07-31T19:45:00</x:v>
      </x:c>
      <x:c r="C302" s="39" t="str">
        <x:v>2026-07-31T20:15:00</x:v>
      </x:c>
      <x:c r="D302" s="47" t="n">
        <x:v>30</x:v>
      </x:c>
      <x:c r="E302" s="40" t="n">
        <x:v>12</x:v>
      </x:c>
      <x:c r="F302" s="40" t="n">
        <x:v>10.452171325683594</x:v>
      </x:c>
      <x:c r="G302" s="40" t="n">
        <x:v>12</x:v>
      </x:c>
      <x:c r="H302" s="40" t="n">
        <x:f>F302-E302</x:f>
        <x:v>-1.5478286743164062</x:v>
      </x:c>
      <x:c r="I302" s="40" t="n">
        <x:f>ABS(H302)</x:f>
        <x:v>1.5478286743164062</x:v>
      </x:c>
      <x:c r="J302" s="40" t="n">
        <x:f>H302^2</x:f>
        <x:v>2.3957736050360836</x:v>
      </x:c>
      <x:c r="K302" s="40" t="n">
        <x:f>G302-E302</x:f>
        <x:v>0</x:v>
      </x:c>
      <x:c r="L302" s="40" t="n">
        <x:f>ABS(K302)</x:f>
        <x:v>0</x:v>
      </x:c>
      <x:c r="M302" s="41" t="str">
        <x:v>lstm-soil-v1</x:v>
      </x:c>
    </x:row>
    <x:row r="303">
      <x:c r="A303" s="38" t="str">
        <x:v>7月30日现场数据</x:v>
      </x:c>
      <x:c r="B303" s="39" t="str">
        <x:v>2026-07-31T19:45:00</x:v>
      </x:c>
      <x:c r="C303" s="39" t="str">
        <x:v>2026-07-31T20:45:00</x:v>
      </x:c>
      <x:c r="D303" s="47" t="n">
        <x:v>60</x:v>
      </x:c>
      <x:c r="E303" s="40" t="n">
        <x:v>12</x:v>
      </x:c>
      <x:c r="F303" s="40" t="n">
        <x:v>12.132556915283203</x:v>
      </x:c>
      <x:c r="G303" s="40" t="n">
        <x:v>12</x:v>
      </x:c>
      <x:c r="H303" s="40" t="n">
        <x:f>F303-E303</x:f>
        <x:v>0.13255691528320312</x:v>
      </x:c>
      <x:c r="I303" s="40" t="n">
        <x:f>ABS(H303)</x:f>
        <x:v>0.13255691528320312</x:v>
      </x:c>
      <x:c r="J303" s="40" t="n">
        <x:f>H303^2</x:f>
        <x:v>0.01757133578939829</x:v>
      </x:c>
      <x:c r="K303" s="40" t="n">
        <x:f>G303-E303</x:f>
        <x:v>0</x:v>
      </x:c>
      <x:c r="L303" s="40" t="n">
        <x:f>ABS(K303)</x:f>
        <x:v>0</x:v>
      </x:c>
      <x:c r="M303" s="41" t="str">
        <x:v>lstm-soil-v1</x:v>
      </x:c>
    </x:row>
    <x:row r="304">
      <x:c r="A304" s="38" t="str">
        <x:v>7月30日现场数据</x:v>
      </x:c>
      <x:c r="B304" s="39" t="str">
        <x:v>2026-07-31T19:50:00</x:v>
      </x:c>
      <x:c r="C304" s="39" t="str">
        <x:v>2026-07-31T19:55:00</x:v>
      </x:c>
      <x:c r="D304" s="47" t="n">
        <x:v>5</x:v>
      </x:c>
      <x:c r="E304" s="40" t="n">
        <x:v>12</x:v>
      </x:c>
      <x:c r="F304" s="40" t="n">
        <x:v>9.959030151367188</x:v>
      </x:c>
      <x:c r="G304" s="40" t="n">
        <x:v>12</x:v>
      </x:c>
      <x:c r="H304" s="40" t="n">
        <x:f>F304-E304</x:f>
        <x:v>-2.0409698486328125</x:v>
      </x:c>
      <x:c r="I304" s="40" t="n">
        <x:f>ABS(H304)</x:f>
        <x:v>2.0409698486328125</x:v>
      </x:c>
      <x:c r="J304" s="40" t="n">
        <x:f>H304^2</x:f>
        <x:v>4.165557923028246</x:v>
      </x:c>
      <x:c r="K304" s="40" t="n">
        <x:f>G304-E304</x:f>
        <x:v>0</x:v>
      </x:c>
      <x:c r="L304" s="40" t="n">
        <x:f>ABS(K304)</x:f>
        <x:v>0</x:v>
      </x:c>
      <x:c r="M304" s="41" t="str">
        <x:v>lstm-soil-v1</x:v>
      </x:c>
    </x:row>
    <x:row r="305">
      <x:c r="A305" s="38" t="str">
        <x:v>7月30日现场数据</x:v>
      </x:c>
      <x:c r="B305" s="39" t="str">
        <x:v>2026-07-31T19:50:00</x:v>
      </x:c>
      <x:c r="C305" s="39" t="str">
        <x:v>2026-07-31T20:05:00</x:v>
      </x:c>
      <x:c r="D305" s="47" t="n">
        <x:v>15</x:v>
      </x:c>
      <x:c r="E305" s="40" t="n">
        <x:v>12</x:v>
      </x:c>
      <x:c r="F305" s="40" t="n">
        <x:v>10.022712707519531</x:v>
      </x:c>
      <x:c r="G305" s="40" t="n">
        <x:v>12</x:v>
      </x:c>
      <x:c r="H305" s="40" t="n">
        <x:f>F305-E305</x:f>
        <x:v>-1.9772872924804688</x:v>
      </x:c>
      <x:c r="I305" s="40" t="n">
        <x:f>ABS(H305)</x:f>
        <x:v>1.9772872924804688</x:v>
      </x:c>
      <x:c r="J305" s="40" t="n">
        <x:f>H305^2</x:f>
        <x:v>3.9096650370047428</x:v>
      </x:c>
      <x:c r="K305" s="40" t="n">
        <x:f>G305-E305</x:f>
        <x:v>0</x:v>
      </x:c>
      <x:c r="L305" s="40" t="n">
        <x:f>ABS(K305)</x:f>
        <x:v>0</x:v>
      </x:c>
      <x:c r="M305" s="41" t="str">
        <x:v>lstm-soil-v1</x:v>
      </x:c>
    </x:row>
    <x:row r="306">
      <x:c r="A306" s="38" t="str">
        <x:v>7月30日现场数据</x:v>
      </x:c>
      <x:c r="B306" s="39" t="str">
        <x:v>2026-07-31T19:50:00</x:v>
      </x:c>
      <x:c r="C306" s="39" t="str">
        <x:v>2026-07-31T20:20:00</x:v>
      </x:c>
      <x:c r="D306" s="47" t="n">
        <x:v>30</x:v>
      </x:c>
      <x:c r="E306" s="40" t="n">
        <x:v>12</x:v>
      </x:c>
      <x:c r="F306" s="40" t="n">
        <x:v>10.45248794555664</x:v>
      </x:c>
      <x:c r="G306" s="40" t="n">
        <x:v>12</x:v>
      </x:c>
      <x:c r="H306" s="40" t="n">
        <x:f>F306-E306</x:f>
        <x:v>-1.5475120544433594</x:v>
      </x:c>
      <x:c r="I306" s="40" t="n">
        <x:f>ABS(H306)</x:f>
        <x:v>1.5475120544433594</x:v>
      </x:c>
      <x:c r="J306" s="40" t="n">
        <x:f>H306^2</x:f>
        <x:v>2.394793558647507</x:v>
      </x:c>
      <x:c r="K306" s="40" t="n">
        <x:f>G306-E306</x:f>
        <x:v>0</x:v>
      </x:c>
      <x:c r="L306" s="40" t="n">
        <x:f>ABS(K306)</x:f>
        <x:v>0</x:v>
      </x:c>
      <x:c r="M306" s="41" t="str">
        <x:v>lstm-soil-v1</x:v>
      </x:c>
    </x:row>
    <x:row r="307">
      <x:c r="A307" s="38" t="str">
        <x:v>7月30日现场数据</x:v>
      </x:c>
      <x:c r="B307" s="39" t="str">
        <x:v>2026-07-31T19:50:00</x:v>
      </x:c>
      <x:c r="C307" s="39" t="str">
        <x:v>2026-07-31T20:50:00</x:v>
      </x:c>
      <x:c r="D307" s="47" t="n">
        <x:v>60</x:v>
      </x:c>
      <x:c r="E307" s="40" t="n">
        <x:v>12</x:v>
      </x:c>
      <x:c r="F307" s="40" t="n">
        <x:v>12.132987976074219</x:v>
      </x:c>
      <x:c r="G307" s="40" t="n">
        <x:v>12</x:v>
      </x:c>
      <x:c r="H307" s="40" t="n">
        <x:f>F307-E307</x:f>
        <x:v>0.13298797607421875</x:v>
      </x:c>
      <x:c r="I307" s="40" t="n">
        <x:f>ABS(H307)</x:f>
        <x:v>0.13298797607421875</x:v>
      </x:c>
      <x:c r="J307" s="40" t="n">
        <x:f>H307^2</x:f>
        <x:v>0.01768580178031698</x:v>
      </x:c>
      <x:c r="K307" s="40" t="n">
        <x:f>G307-E307</x:f>
        <x:v>0</x:v>
      </x:c>
      <x:c r="L307" s="40" t="n">
        <x:f>ABS(K307)</x:f>
        <x:v>0</x:v>
      </x:c>
      <x:c r="M307" s="41" t="str">
        <x:v>lstm-soil-v1</x:v>
      </x:c>
    </x:row>
    <x:row r="308">
      <x:c r="A308" s="38" t="str">
        <x:v>7月30日现场数据</x:v>
      </x:c>
      <x:c r="B308" s="39" t="str">
        <x:v>2026-07-31T19:55:00</x:v>
      </x:c>
      <x:c r="C308" s="39" t="str">
        <x:v>2026-07-31T20:00:00</x:v>
      </x:c>
      <x:c r="D308" s="47" t="n">
        <x:v>5</x:v>
      </x:c>
      <x:c r="E308" s="40" t="n">
        <x:v>12</x:v>
      </x:c>
      <x:c r="F308" s="40" t="n">
        <x:v>9.959136962890625</x:v>
      </x:c>
      <x:c r="G308" s="40" t="n">
        <x:v>12</x:v>
      </x:c>
      <x:c r="H308" s="40" t="n">
        <x:f>F308-E308</x:f>
        <x:v>-2.040863037109375</x:v>
      </x:c>
      <x:c r="I308" s="40" t="n">
        <x:f>ABS(H308)</x:f>
        <x:v>2.040863037109375</x:v>
      </x:c>
      <x:c r="J308" s="40" t="n">
        <x:f>H308^2</x:f>
        <x:v>4.165121936239302</x:v>
      </x:c>
      <x:c r="K308" s="40" t="n">
        <x:f>G308-E308</x:f>
        <x:v>0</x:v>
      </x:c>
      <x:c r="L308" s="40" t="n">
        <x:f>ABS(K308)</x:f>
        <x:v>0</x:v>
      </x:c>
      <x:c r="M308" s="41" t="str">
        <x:v>lstm-soil-v1</x:v>
      </x:c>
    </x:row>
    <x:row r="309">
      <x:c r="A309" s="38" t="str">
        <x:v>7月30日现场数据</x:v>
      </x:c>
      <x:c r="B309" s="39" t="str">
        <x:v>2026-07-31T19:55:00</x:v>
      </x:c>
      <x:c r="C309" s="39" t="str">
        <x:v>2026-07-31T20:10:00</x:v>
      </x:c>
      <x:c r="D309" s="47" t="n">
        <x:v>15</x:v>
      </x:c>
      <x:c r="E309" s="40" t="n">
        <x:v>12</x:v>
      </x:c>
      <x:c r="F309" s="40" t="n">
        <x:v>10.022640228271484</x:v>
      </x:c>
      <x:c r="G309" s="40" t="n">
        <x:v>12</x:v>
      </x:c>
      <x:c r="H309" s="40" t="n">
        <x:f>F309-E309</x:f>
        <x:v>-1.9773597717285156</x:v>
      </x:c>
      <x:c r="I309" s="40" t="n">
        <x:f>ABS(H309)</x:f>
        <x:v>1.9773597717285156</x:v>
      </x:c>
      <x:c r="J309" s="40" t="n">
        <x:f>H309^2</x:f>
        <x:v>3.9099516668502474</x:v>
      </x:c>
      <x:c r="K309" s="40" t="n">
        <x:f>G309-E309</x:f>
        <x:v>0</x:v>
      </x:c>
      <x:c r="L309" s="40" t="n">
        <x:f>ABS(K309)</x:f>
        <x:v>0</x:v>
      </x:c>
      <x:c r="M309" s="41" t="str">
        <x:v>lstm-soil-v1</x:v>
      </x:c>
    </x:row>
    <x:row r="310">
      <x:c r="A310" s="38" t="str">
        <x:v>7月30日现场数据</x:v>
      </x:c>
      <x:c r="B310" s="39" t="str">
        <x:v>2026-07-31T19:55:00</x:v>
      </x:c>
      <x:c r="C310" s="39" t="str">
        <x:v>2026-07-31T20:25:00</x:v>
      </x:c>
      <x:c r="D310" s="47" t="n">
        <x:v>30</x:v>
      </x:c>
      <x:c r="E310" s="40" t="n">
        <x:v>12</x:v>
      </x:c>
      <x:c r="F310" s="40" t="n">
        <x:v>10.452739715576172</x:v>
      </x:c>
      <x:c r="G310" s="40" t="n">
        <x:v>12</x:v>
      </x:c>
      <x:c r="H310" s="40" t="n">
        <x:f>F310-E310</x:f>
        <x:v>-1.5472602844238281</x:v>
      </x:c>
      <x:c r="I310" s="40" t="n">
        <x:f>ABS(H310)</x:f>
        <x:v>1.5472602844238281</x:v>
      </x:c>
      <x:c r="J310" s="40" t="n">
        <x:f>H310^2</x:f>
        <x:v>2.3940143877553055</x:v>
      </x:c>
      <x:c r="K310" s="40" t="n">
        <x:f>G310-E310</x:f>
        <x:v>0</x:v>
      </x:c>
      <x:c r="L310" s="40" t="n">
        <x:f>ABS(K310)</x:f>
        <x:v>0</x:v>
      </x:c>
      <x:c r="M310" s="41" t="str">
        <x:v>lstm-soil-v1</x:v>
      </x:c>
    </x:row>
    <x:row r="311">
      <x:c r="A311" s="38" t="str">
        <x:v>7月30日现场数据</x:v>
      </x:c>
      <x:c r="B311" s="39" t="str">
        <x:v>2026-07-31T19:55:00</x:v>
      </x:c>
      <x:c r="C311" s="39" t="str">
        <x:v>2026-07-31T20:55:00</x:v>
      </x:c>
      <x:c r="D311" s="47" t="n">
        <x:v>60</x:v>
      </x:c>
      <x:c r="E311" s="40" t="n">
        <x:v>12</x:v>
      </x:c>
      <x:c r="F311" s="40" t="n">
        <x:v>12.13326644897461</x:v>
      </x:c>
      <x:c r="G311" s="40" t="n">
        <x:v>12</x:v>
      </x:c>
      <x:c r="H311" s="40" t="n">
        <x:f>F311-E311</x:f>
        <x:v>0.13326644897460938</x:v>
      </x:c>
      <x:c r="I311" s="40" t="n">
        <x:f>ABS(H311)</x:f>
        <x:v>0.13326644897460938</x:v>
      </x:c>
      <x:c r="J311" s="40" t="n">
        <x:f>H311^2</x:f>
        <x:v>0.017759946422302164</x:v>
      </x:c>
      <x:c r="K311" s="40" t="n">
        <x:f>G311-E311</x:f>
        <x:v>0</x:v>
      </x:c>
      <x:c r="L311" s="40" t="n">
        <x:f>ABS(K311)</x:f>
        <x:v>0</x:v>
      </x:c>
      <x:c r="M311" s="41" t="str">
        <x:v>lstm-soil-v1</x:v>
      </x:c>
    </x:row>
    <x:row r="312">
      <x:c r="A312" s="38" t="str">
        <x:v>7月30日现场数据</x:v>
      </x:c>
      <x:c r="B312" s="39" t="str">
        <x:v>2026-07-31T20:00:00</x:v>
      </x:c>
      <x:c r="C312" s="39" t="str">
        <x:v>2026-07-31T20:05:00</x:v>
      </x:c>
      <x:c r="D312" s="47" t="n">
        <x:v>5</x:v>
      </x:c>
      <x:c r="E312" s="40" t="n">
        <x:v>12</x:v>
      </x:c>
      <x:c r="F312" s="40" t="n">
        <x:v>9.95660400390625</x:v>
      </x:c>
      <x:c r="G312" s="40" t="n">
        <x:v>12</x:v>
      </x:c>
      <x:c r="H312" s="40" t="n">
        <x:f>F312-E312</x:f>
        <x:v>-2.04339599609375</x:v>
      </x:c>
      <x:c r="I312" s="40" t="n">
        <x:f>ABS(H312)</x:f>
        <x:v>2.04339599609375</x:v>
      </x:c>
      <x:c r="J312" s="40" t="n">
        <x:f>H312^2</x:f>
        <x:v>4.175467196851969</x:v>
      </x:c>
      <x:c r="K312" s="40" t="n">
        <x:f>G312-E312</x:f>
        <x:v>0</x:v>
      </x:c>
      <x:c r="L312" s="40" t="n">
        <x:f>ABS(K312)</x:f>
        <x:v>0</x:v>
      </x:c>
      <x:c r="M312" s="41" t="str">
        <x:v>lstm-soil-v1</x:v>
      </x:c>
    </x:row>
    <x:row r="313">
      <x:c r="A313" s="38" t="str">
        <x:v>7月30日现场数据</x:v>
      </x:c>
      <x:c r="B313" s="39" t="str">
        <x:v>2026-07-31T20:00:00</x:v>
      </x:c>
      <x:c r="C313" s="39" t="str">
        <x:v>2026-07-31T20:15:00</x:v>
      </x:c>
      <x:c r="D313" s="47" t="n">
        <x:v>15</x:v>
      </x:c>
      <x:c r="E313" s="40" t="n">
        <x:v>12</x:v>
      </x:c>
      <x:c r="F313" s="40" t="n">
        <x:v>10.02126693725586</x:v>
      </x:c>
      <x:c r="G313" s="40" t="n">
        <x:v>12</x:v>
      </x:c>
      <x:c r="H313" s="40" t="n">
        <x:f>F313-E313</x:f>
        <x:v>-1.9787330627441406</x:v>
      </x:c>
      <x:c r="I313" s="40" t="n">
        <x:f>ABS(H313)</x:f>
        <x:v>1.9787330627441406</x:v>
      </x:c>
      <x:c r="J313" s="40" t="n">
        <x:f>H313^2</x:f>
        <x:v>3.915384533596807</x:v>
      </x:c>
      <x:c r="K313" s="40" t="n">
        <x:f>G313-E313</x:f>
        <x:v>0</x:v>
      </x:c>
      <x:c r="L313" s="40" t="n">
        <x:f>ABS(K313)</x:f>
        <x:v>0</x:v>
      </x:c>
      <x:c r="M313" s="41" t="str">
        <x:v>lstm-soil-v1</x:v>
      </x:c>
    </x:row>
    <x:row r="314">
      <x:c r="A314" s="38" t="str">
        <x:v>7月30日现场数据</x:v>
      </x:c>
      <x:c r="B314" s="39" t="str">
        <x:v>2026-07-31T20:00:00</x:v>
      </x:c>
      <x:c r="C314" s="39" t="str">
        <x:v>2026-07-31T20:30:00</x:v>
      </x:c>
      <x:c r="D314" s="47" t="n">
        <x:v>30</x:v>
      </x:c>
      <x:c r="E314" s="40" t="n">
        <x:v>12</x:v>
      </x:c>
      <x:c r="F314" s="40" t="n">
        <x:v>10.450984954833984</x:v>
      </x:c>
      <x:c r="G314" s="40" t="n">
        <x:v>12</x:v>
      </x:c>
      <x:c r="H314" s="40" t="n">
        <x:f>F314-E314</x:f>
        <x:v>-1.5490150451660156</x:v>
      </x:c>
      <x:c r="I314" s="40" t="n">
        <x:f>ABS(H314)</x:f>
        <x:v>1.5490150451660156</x:v>
      </x:c>
      <x:c r="J314" s="40" t="n">
        <x:f>H314^2</x:f>
        <x:v>2.3994476101506734</x:v>
      </x:c>
      <x:c r="K314" s="40" t="n">
        <x:f>G314-E314</x:f>
        <x:v>0</x:v>
      </x:c>
      <x:c r="L314" s="40" t="n">
        <x:f>ABS(K314)</x:f>
        <x:v>0</x:v>
      </x:c>
      <x:c r="M314" s="41" t="str">
        <x:v>lstm-soil-v1</x:v>
      </x:c>
    </x:row>
    <x:row r="315">
      <x:c r="A315" s="38" t="str">
        <x:v>7月30日现场数据</x:v>
      </x:c>
      <x:c r="B315" s="39" t="str">
        <x:v>2026-07-31T20:00:00</x:v>
      </x:c>
      <x:c r="C315" s="39" t="str">
        <x:v>2026-07-31T21:00:00</x:v>
      </x:c>
      <x:c r="D315" s="47" t="n">
        <x:v>60</x:v>
      </x:c>
      <x:c r="E315" s="40" t="n">
        <x:v>12</x:v>
      </x:c>
      <x:c r="F315" s="40" t="n">
        <x:v>12.12613296508789</x:v>
      </x:c>
      <x:c r="G315" s="40" t="n">
        <x:v>12</x:v>
      </x:c>
      <x:c r="H315" s="40" t="n">
        <x:f>F315-E315</x:f>
        <x:v>0.12613296508789062</x:v>
      </x:c>
      <x:c r="I315" s="40" t="n">
        <x:f>ABS(H315)</x:f>
        <x:v>0.12613296508789062</x:v>
      </x:c>
      <x:c r="J315" s="40" t="n">
        <x:f>H315^2</x:f>
        <x:v>0.015909524881863035</x:v>
      </x:c>
      <x:c r="K315" s="40" t="n">
        <x:f>G315-E315</x:f>
        <x:v>0</x:v>
      </x:c>
      <x:c r="L315" s="40" t="n">
        <x:f>ABS(K315)</x:f>
        <x:v>0</x:v>
      </x:c>
      <x:c r="M315" s="41" t="str">
        <x:v>lstm-soil-v1</x:v>
      </x:c>
    </x:row>
    <x:row r="316">
      <x:c r="A316" s="38" t="str">
        <x:v>7月30日现场数据</x:v>
      </x:c>
      <x:c r="B316" s="39" t="str">
        <x:v>2026-07-31T20:05:00</x:v>
      </x:c>
      <x:c r="C316" s="39" t="str">
        <x:v>2026-07-31T20:10:00</x:v>
      </x:c>
      <x:c r="D316" s="47" t="n">
        <x:v>5</x:v>
      </x:c>
      <x:c r="E316" s="40" t="n">
        <x:v>12</x:v>
      </x:c>
      <x:c r="F316" s="40" t="n">
        <x:v>9.955402374267578</x:v>
      </x:c>
      <x:c r="G316" s="40" t="n">
        <x:v>12</x:v>
      </x:c>
      <x:c r="H316" s="40" t="n">
        <x:f>F316-E316</x:f>
        <x:v>-2.044597625732422</x:v>
      </x:c>
      <x:c r="I316" s="40" t="n">
        <x:f>ABS(H316)</x:f>
        <x:v>2.044597625732422</x:v>
      </x:c>
      <x:c r="J316" s="40" t="n">
        <x:f>H316^2</x:f>
        <x:v>4.180379451150657</x:v>
      </x:c>
      <x:c r="K316" s="40" t="n">
        <x:f>G316-E316</x:f>
        <x:v>0</x:v>
      </x:c>
      <x:c r="L316" s="40" t="n">
        <x:f>ABS(K316)</x:f>
        <x:v>0</x:v>
      </x:c>
      <x:c r="M316" s="41" t="str">
        <x:v>lstm-soil-v1</x:v>
      </x:c>
    </x:row>
    <x:row r="317">
      <x:c r="A317" s="38" t="str">
        <x:v>7月30日现场数据</x:v>
      </x:c>
      <x:c r="B317" s="39" t="str">
        <x:v>2026-07-31T20:05:00</x:v>
      </x:c>
      <x:c r="C317" s="39" t="str">
        <x:v>2026-07-31T20:20:00</x:v>
      </x:c>
      <x:c r="D317" s="47" t="n">
        <x:v>15</x:v>
      </x:c>
      <x:c r="E317" s="40" t="n">
        <x:v>12</x:v>
      </x:c>
      <x:c r="F317" s="40" t="n">
        <x:v>10.020118713378906</x:v>
      </x:c>
      <x:c r="G317" s="40" t="n">
        <x:v>12</x:v>
      </x:c>
      <x:c r="H317" s="40" t="n">
        <x:f>F317-E317</x:f>
        <x:v>-1.9798812866210938</x:v>
      </x:c>
      <x:c r="I317" s="40" t="n">
        <x:f>ABS(H317)</x:f>
        <x:v>1.9798812866210938</x:v>
      </x:c>
      <x:c r="J317" s="40" t="n">
        <x:f>H317^2</x:f>
        <x:v>3.9199299091123976</x:v>
      </x:c>
      <x:c r="K317" s="40" t="n">
        <x:f>G317-E317</x:f>
        <x:v>0</x:v>
      </x:c>
      <x:c r="L317" s="40" t="n">
        <x:f>ABS(K317)</x:f>
        <x:v>0</x:v>
      </x:c>
      <x:c r="M317" s="41" t="str">
        <x:v>lstm-soil-v1</x:v>
      </x:c>
    </x:row>
    <x:row r="318">
      <x:c r="A318" s="38" t="str">
        <x:v>7月30日现场数据</x:v>
      </x:c>
      <x:c r="B318" s="39" t="str">
        <x:v>2026-07-31T20:05:00</x:v>
      </x:c>
      <x:c r="C318" s="39" t="str">
        <x:v>2026-07-31T20:35:00</x:v>
      </x:c>
      <x:c r="D318" s="47" t="n">
        <x:v>30</x:v>
      </x:c>
      <x:c r="E318" s="40" t="n">
        <x:v>12</x:v>
      </x:c>
      <x:c r="F318" s="40" t="n">
        <x:v>10.451068878173828</x:v>
      </x:c>
      <x:c r="G318" s="40" t="n">
        <x:v>12</x:v>
      </x:c>
      <x:c r="H318" s="40" t="n">
        <x:f>F318-E318</x:f>
        <x:v>-1.5489311218261719</x:v>
      </x:c>
      <x:c r="I318" s="40" t="n">
        <x:f>ABS(H318)</x:f>
        <x:v>1.5489311218261719</x:v>
      </x:c>
      <x:c r="J318" s="40" t="n">
        <x:f>H318^2</x:f>
        <x:v>2.3991876201616833</x:v>
      </x:c>
      <x:c r="K318" s="40" t="n">
        <x:f>G318-E318</x:f>
        <x:v>0</x:v>
      </x:c>
      <x:c r="L318" s="40" t="n">
        <x:f>ABS(K318)</x:f>
        <x:v>0</x:v>
      </x:c>
      <x:c r="M318" s="41" t="str">
        <x:v>lstm-soil-v1</x:v>
      </x:c>
    </x:row>
    <x:row r="319">
      <x:c r="A319" s="38" t="str">
        <x:v>7月30日现场数据</x:v>
      </x:c>
      <x:c r="B319" s="39" t="str">
        <x:v>2026-07-31T20:05:00</x:v>
      </x:c>
      <x:c r="C319" s="39" t="str">
        <x:v>2026-07-31T21:05:00</x:v>
      </x:c>
      <x:c r="D319" s="47" t="n">
        <x:v>60</x:v>
      </x:c>
      <x:c r="E319" s="40" t="n">
        <x:v>12</x:v>
      </x:c>
      <x:c r="F319" s="40" t="n">
        <x:v>12.121723175048828</x:v>
      </x:c>
      <x:c r="G319" s="40" t="n">
        <x:v>12</x:v>
      </x:c>
      <x:c r="H319" s="40" t="n">
        <x:f>F319-E319</x:f>
        <x:v>0.12172317504882812</x:v>
      </x:c>
      <x:c r="I319" s="40" t="n">
        <x:f>ABS(H319)</x:f>
        <x:v>0.12172317504882812</x:v>
      </x:c>
      <x:c r="J319" s="40" t="n">
        <x:f>H319^2</x:f>
        <x:v>0.014816531343967654</x:v>
      </x:c>
      <x:c r="K319" s="40" t="n">
        <x:f>G319-E319</x:f>
        <x:v>0</x:v>
      </x:c>
      <x:c r="L319" s="40" t="n">
        <x:f>ABS(K319)</x:f>
        <x:v>0</x:v>
      </x:c>
      <x:c r="M319" s="41" t="str">
        <x:v>lstm-soil-v1</x:v>
      </x:c>
    </x:row>
    <x:row r="320">
      <x:c r="A320" s="38" t="str">
        <x:v>7月30日现场数据</x:v>
      </x:c>
      <x:c r="B320" s="39" t="str">
        <x:v>2026-07-31T20:10:00</x:v>
      </x:c>
      <x:c r="C320" s="39" t="str">
        <x:v>2026-07-31T20:15:00</x:v>
      </x:c>
      <x:c r="D320" s="47" t="n">
        <x:v>5</x:v>
      </x:c>
      <x:c r="E320" s="40" t="n">
        <x:v>12</x:v>
      </x:c>
      <x:c r="F320" s="40" t="n">
        <x:v>9.954399108886719</x:v>
      </x:c>
      <x:c r="G320" s="40" t="n">
        <x:v>12</x:v>
      </x:c>
      <x:c r="H320" s="40" t="n">
        <x:f>F320-E320</x:f>
        <x:v>-2.0456008911132812</x:v>
      </x:c>
      <x:c r="I320" s="40" t="n">
        <x:f>ABS(H320)</x:f>
        <x:v>2.0456008911132812</x:v>
      </x:c>
      <x:c r="J320" s="40" t="n">
        <x:f>H320^2</x:f>
        <x:v>4.18448300572345</x:v>
      </x:c>
      <x:c r="K320" s="40" t="n">
        <x:f>G320-E320</x:f>
        <x:v>0</x:v>
      </x:c>
      <x:c r="L320" s="40" t="n">
        <x:f>ABS(K320)</x:f>
        <x:v>0</x:v>
      </x:c>
      <x:c r="M320" s="41" t="str">
        <x:v>lstm-soil-v1</x:v>
      </x:c>
    </x:row>
    <x:row r="321">
      <x:c r="A321" s="38" t="str">
        <x:v>7月30日现场数据</x:v>
      </x:c>
      <x:c r="B321" s="39" t="str">
        <x:v>2026-07-31T20:10:00</x:v>
      </x:c>
      <x:c r="C321" s="39" t="str">
        <x:v>2026-07-31T20:25:00</x:v>
      </x:c>
      <x:c r="D321" s="47" t="n">
        <x:v>15</x:v>
      </x:c>
      <x:c r="E321" s="40" t="n">
        <x:v>12</x:v>
      </x:c>
      <x:c r="F321" s="40" t="n">
        <x:v>10.018928527832031</x:v>
      </x:c>
      <x:c r="G321" s="40" t="n">
        <x:v>12</x:v>
      </x:c>
      <x:c r="H321" s="40" t="n">
        <x:f>F321-E321</x:f>
        <x:v>-1.9810714721679688</x:v>
      </x:c>
      <x:c r="I321" s="40" t="n">
        <x:f>ABS(H321)</x:f>
        <x:v>1.9810714721679688</x:v>
      </x:c>
      <x:c r="J321" s="40" t="n">
        <x:f>H321^2</x:f>
        <x:v>3.924644177837763</x:v>
      </x:c>
      <x:c r="K321" s="40" t="n">
        <x:f>G321-E321</x:f>
        <x:v>0</x:v>
      </x:c>
      <x:c r="L321" s="40" t="n">
        <x:f>ABS(K321)</x:f>
        <x:v>0</x:v>
      </x:c>
      <x:c r="M321" s="41" t="str">
        <x:v>lstm-soil-v1</x:v>
      </x:c>
    </x:row>
    <x:row r="322">
      <x:c r="A322" s="38" t="str">
        <x:v>7月30日现场数据</x:v>
      </x:c>
      <x:c r="B322" s="39" t="str">
        <x:v>2026-07-31T20:10:00</x:v>
      </x:c>
      <x:c r="C322" s="39" t="str">
        <x:v>2026-07-31T20:40:00</x:v>
      </x:c>
      <x:c r="D322" s="47" t="n">
        <x:v>30</x:v>
      </x:c>
      <x:c r="E322" s="40" t="n">
        <x:v>12</x:v>
      </x:c>
      <x:c r="F322" s="40" t="n">
        <x:v>10.451278686523438</x:v>
      </x:c>
      <x:c r="G322" s="40" t="n">
        <x:v>12</x:v>
      </x:c>
      <x:c r="H322" s="40" t="n">
        <x:f>F322-E322</x:f>
        <x:v>-1.5487213134765625</x:v>
      </x:c>
      <x:c r="I322" s="40" t="n">
        <x:f>ABS(H322)</x:f>
        <x:v>1.5487213134765625</x:v>
      </x:c>
      <x:c r="J322" s="40" t="n">
        <x:f>H322^2</x:f>
        <x:v>2.398537706816569</x:v>
      </x:c>
      <x:c r="K322" s="40" t="n">
        <x:f>G322-E322</x:f>
        <x:v>0</x:v>
      </x:c>
      <x:c r="L322" s="40" t="n">
        <x:f>ABS(K322)</x:f>
        <x:v>0</x:v>
      </x:c>
      <x:c r="M322" s="41" t="str">
        <x:v>lstm-soil-v1</x:v>
      </x:c>
    </x:row>
    <x:row r="323">
      <x:c r="A323" s="38" t="str">
        <x:v>7月30日现场数据</x:v>
      </x:c>
      <x:c r="B323" s="39" t="str">
        <x:v>2026-07-31T20:10:00</x:v>
      </x:c>
      <x:c r="C323" s="39" t="str">
        <x:v>2026-07-31T21:10:00</x:v>
      </x:c>
      <x:c r="D323" s="47" t="n">
        <x:v>60</x:v>
      </x:c>
      <x:c r="E323" s="40" t="n">
        <x:v>12</x:v>
      </x:c>
      <x:c r="F323" s="40" t="n">
        <x:v>12.11859130859375</x:v>
      </x:c>
      <x:c r="G323" s="40" t="n">
        <x:v>12</x:v>
      </x:c>
      <x:c r="H323" s="40" t="n">
        <x:f>F323-E323</x:f>
        <x:v>0.11859130859375</x:v>
      </x:c>
      <x:c r="I323" s="40" t="n">
        <x:f>ABS(H323)</x:f>
        <x:v>0.11859130859375</x:v>
      </x:c>
      <x:c r="J323" s="40" t="n">
        <x:f>H323^2</x:f>
        <x:v>0.014063898473978043</x:v>
      </x:c>
      <x:c r="K323" s="40" t="n">
        <x:f>G323-E323</x:f>
        <x:v>0</x:v>
      </x:c>
      <x:c r="L323" s="40" t="n">
        <x:f>ABS(K323)</x:f>
        <x:v>0</x:v>
      </x:c>
      <x:c r="M323" s="41" t="str">
        <x:v>lstm-soil-v1</x:v>
      </x:c>
    </x:row>
    <x:row r="324">
      <x:c r="A324" s="38" t="str">
        <x:v>7月30日现场数据</x:v>
      </x:c>
      <x:c r="B324" s="39" t="str">
        <x:v>2026-07-31T20:15:00</x:v>
      </x:c>
      <x:c r="C324" s="39" t="str">
        <x:v>2026-07-31T20:20:00</x:v>
      </x:c>
      <x:c r="D324" s="47" t="n">
        <x:v>5</x:v>
      </x:c>
      <x:c r="E324" s="40" t="n">
        <x:v>12</x:v>
      </x:c>
      <x:c r="F324" s="40" t="n">
        <x:v>9.953742980957031</x:v>
      </x:c>
      <x:c r="G324" s="40" t="n">
        <x:v>12</x:v>
      </x:c>
      <x:c r="H324" s="40" t="n">
        <x:f>F324-E324</x:f>
        <x:v>-2.0462570190429688</x:v>
      </x:c>
      <x:c r="I324" s="40" t="n">
        <x:f>ABS(H324)</x:f>
        <x:v>2.0462570190429688</x:v>
      </x:c>
      <x:c r="J324" s="40" t="n">
        <x:f>H324^2</x:f>
        <x:v>4.187167787982617</x:v>
      </x:c>
      <x:c r="K324" s="40" t="n">
        <x:f>G324-E324</x:f>
        <x:v>0</x:v>
      </x:c>
      <x:c r="L324" s="40" t="n">
        <x:f>ABS(K324)</x:f>
        <x:v>0</x:v>
      </x:c>
      <x:c r="M324" s="41" t="str">
        <x:v>lstm-soil-v1</x:v>
      </x:c>
    </x:row>
    <x:row r="325">
      <x:c r="A325" s="38" t="str">
        <x:v>7月30日现场数据</x:v>
      </x:c>
      <x:c r="B325" s="39" t="str">
        <x:v>2026-07-31T20:15:00</x:v>
      </x:c>
      <x:c r="C325" s="39" t="str">
        <x:v>2026-07-31T20:30:00</x:v>
      </x:c>
      <x:c r="D325" s="47" t="n">
        <x:v>15</x:v>
      </x:c>
      <x:c r="E325" s="40" t="n">
        <x:v>12</x:v>
      </x:c>
      <x:c r="F325" s="40" t="n">
        <x:v>10.017730712890625</x:v>
      </x:c>
      <x:c r="G325" s="40" t="n">
        <x:v>12</x:v>
      </x:c>
      <x:c r="H325" s="40" t="n">
        <x:f>F325-E325</x:f>
        <x:v>-1.982269287109375</x:v>
      </x:c>
      <x:c r="I325" s="40" t="n">
        <x:f>ABS(H325)</x:f>
        <x:v>1.982269287109375</x:v>
      </x:c>
      <x:c r="J325" s="40" t="n">
        <x:f>H325^2</x:f>
        <x:v>3.9293915266171098</x:v>
      </x:c>
      <x:c r="K325" s="40" t="n">
        <x:f>G325-E325</x:f>
        <x:v>0</x:v>
      </x:c>
      <x:c r="L325" s="40" t="n">
        <x:f>ABS(K325)</x:f>
        <x:v>0</x:v>
      </x:c>
      <x:c r="M325" s="41" t="str">
        <x:v>lstm-soil-v1</x:v>
      </x:c>
    </x:row>
    <x:row r="326">
      <x:c r="A326" s="38" t="str">
        <x:v>7月30日现场数据</x:v>
      </x:c>
      <x:c r="B326" s="39" t="str">
        <x:v>2026-07-31T20:15:00</x:v>
      </x:c>
      <x:c r="C326" s="39" t="str">
        <x:v>2026-07-31T20:45:00</x:v>
      </x:c>
      <x:c r="D326" s="47" t="n">
        <x:v>30</x:v>
      </x:c>
      <x:c r="E326" s="40" t="n">
        <x:v>12</x:v>
      </x:c>
      <x:c r="F326" s="40" t="n">
        <x:v>10.451801300048828</x:v>
      </x:c>
      <x:c r="G326" s="40" t="n">
        <x:v>12</x:v>
      </x:c>
      <x:c r="H326" s="40" t="n">
        <x:f>F326-E326</x:f>
        <x:v>-1.5481986999511719</x:v>
      </x:c>
      <x:c r="I326" s="40" t="n">
        <x:f>ABS(H326)</x:f>
        <x:v>1.5481986999511719</x:v>
      </x:c>
      <x:c r="J326" s="40" t="n">
        <x:f>H326^2</x:f>
        <x:v>2.3969192145304987</x:v>
      </x:c>
      <x:c r="K326" s="40" t="n">
        <x:f>G326-E326</x:f>
        <x:v>0</x:v>
      </x:c>
      <x:c r="L326" s="40" t="n">
        <x:f>ABS(K326)</x:f>
        <x:v>0</x:v>
      </x:c>
      <x:c r="M326" s="41" t="str">
        <x:v>lstm-soil-v1</x:v>
      </x:c>
    </x:row>
    <x:row r="327">
      <x:c r="A327" s="38" t="str">
        <x:v>7月30日现场数据</x:v>
      </x:c>
      <x:c r="B327" s="39" t="str">
        <x:v>2026-07-31T20:15:00</x:v>
      </x:c>
      <x:c r="C327" s="39" t="str">
        <x:v>2026-07-31T21:15:00</x:v>
      </x:c>
      <x:c r="D327" s="47" t="n">
        <x:v>60</x:v>
      </x:c>
      <x:c r="E327" s="40" t="n">
        <x:v>12</x:v>
      </x:c>
      <x:c r="F327" s="40" t="n">
        <x:v>12.116931915283203</x:v>
      </x:c>
      <x:c r="G327" s="40" t="n">
        <x:v>12</x:v>
      </x:c>
      <x:c r="H327" s="40" t="n">
        <x:f>F327-E327</x:f>
        <x:v>0.11693191528320312</x:v>
      </x:c>
      <x:c r="I327" s="40" t="n">
        <x:f>ABS(H327)</x:f>
        <x:v>0.11693191528320312</x:v>
      </x:c>
      <x:c r="J327" s="40" t="n">
        <x:f>H327^2</x:f>
        <x:v>0.013673072811798193</x:v>
      </x:c>
      <x:c r="K327" s="40" t="n">
        <x:f>G327-E327</x:f>
        <x:v>0</x:v>
      </x:c>
      <x:c r="L327" s="40" t="n">
        <x:f>ABS(K327)</x:f>
        <x:v>0</x:v>
      </x:c>
      <x:c r="M327" s="41" t="str">
        <x:v>lstm-soil-v1</x:v>
      </x:c>
    </x:row>
    <x:row r="328">
      <x:c r="A328" s="38" t="str">
        <x:v>7月30日现场数据</x:v>
      </x:c>
      <x:c r="B328" s="39" t="str">
        <x:v>2026-07-31T20:20:00</x:v>
      </x:c>
      <x:c r="C328" s="39" t="str">
        <x:v>2026-07-31T20:25:00</x:v>
      </x:c>
      <x:c r="D328" s="47" t="n">
        <x:v>5</x:v>
      </x:c>
      <x:c r="E328" s="40" t="n">
        <x:v>12</x:v>
      </x:c>
      <x:c r="F328" s="40" t="n">
        <x:v>9.953289031982422</x:v>
      </x:c>
      <x:c r="G328" s="40" t="n">
        <x:v>12</x:v>
      </x:c>
      <x:c r="H328" s="40" t="n">
        <x:f>F328-E328</x:f>
        <x:v>-2.046710968017578</x:v>
      </x:c>
      <x:c r="I328" s="40" t="n">
        <x:f>ABS(H328)</x:f>
        <x:v>2.046710968017578</x:v>
      </x:c>
      <x:c r="J328" s="40" t="n">
        <x:f>H328^2</x:f>
        <x:v>4.189025786603452</x:v>
      </x:c>
      <x:c r="K328" s="40" t="n">
        <x:f>G328-E328</x:f>
        <x:v>0</x:v>
      </x:c>
      <x:c r="L328" s="40" t="n">
        <x:f>ABS(K328)</x:f>
        <x:v>0</x:v>
      </x:c>
      <x:c r="M328" s="41" t="str">
        <x:v>lstm-soil-v1</x:v>
      </x:c>
    </x:row>
    <x:row r="329">
      <x:c r="A329" s="38" t="str">
        <x:v>7月30日现场数据</x:v>
      </x:c>
      <x:c r="B329" s="39" t="str">
        <x:v>2026-07-31T20:20:00</x:v>
      </x:c>
      <x:c r="C329" s="39" t="str">
        <x:v>2026-07-31T20:35:00</x:v>
      </x:c>
      <x:c r="D329" s="47" t="n">
        <x:v>15</x:v>
      </x:c>
      <x:c r="E329" s="40" t="n">
        <x:v>12</x:v>
      </x:c>
      <x:c r="F329" s="40" t="n">
        <x:v>10.016693115234375</x:v>
      </x:c>
      <x:c r="G329" s="40" t="n">
        <x:v>12</x:v>
      </x:c>
      <x:c r="H329" s="40" t="n">
        <x:f>F329-E329</x:f>
        <x:v>-1.983306884765625</x:v>
      </x:c>
      <x:c r="I329" s="40" t="n">
        <x:f>ABS(H329)</x:f>
        <x:v>1.983306884765625</x:v>
      </x:c>
      <x:c r="J329" s="40" t="n">
        <x:f>H329^2</x:f>
        <x:v>3.933506199158728</x:v>
      </x:c>
      <x:c r="K329" s="40" t="n">
        <x:f>G329-E329</x:f>
        <x:v>0</x:v>
      </x:c>
      <x:c r="L329" s="40" t="n">
        <x:f>ABS(K329)</x:f>
        <x:v>0</x:v>
      </x:c>
      <x:c r="M329" s="41" t="str">
        <x:v>lstm-soil-v1</x:v>
      </x:c>
    </x:row>
    <x:row r="330">
      <x:c r="A330" s="38" t="str">
        <x:v>7月30日现场数据</x:v>
      </x:c>
      <x:c r="B330" s="39" t="str">
        <x:v>2026-07-31T20:20:00</x:v>
      </x:c>
      <x:c r="C330" s="39" t="str">
        <x:v>2026-07-31T20:50:00</x:v>
      </x:c>
      <x:c r="D330" s="47" t="n">
        <x:v>30</x:v>
      </x:c>
      <x:c r="E330" s="40" t="n">
        <x:v>12</x:v>
      </x:c>
      <x:c r="F330" s="40" t="n">
        <x:v>10.452369689941406</x:v>
      </x:c>
      <x:c r="G330" s="40" t="n">
        <x:v>12</x:v>
      </x:c>
      <x:c r="H330" s="40" t="n">
        <x:f>F330-E330</x:f>
        <x:v>-1.5476303100585938</x:v>
      </x:c>
      <x:c r="I330" s="40" t="n">
        <x:f>ABS(H330)</x:f>
        <x:v>1.5476303100585938</x:v>
      </x:c>
      <x:c r="J330" s="40" t="n">
        <x:f>H330^2</x:f>
        <x:v>2.395159576612059</x:v>
      </x:c>
      <x:c r="K330" s="40" t="n">
        <x:f>G330-E330</x:f>
        <x:v>0</x:v>
      </x:c>
      <x:c r="L330" s="40" t="n">
        <x:f>ABS(K330)</x:f>
        <x:v>0</x:v>
      </x:c>
      <x:c r="M330" s="41" t="str">
        <x:v>lstm-soil-v1</x:v>
      </x:c>
    </x:row>
    <x:row r="331">
      <x:c r="A331" s="38" t="str">
        <x:v>7月30日现场数据</x:v>
      </x:c>
      <x:c r="B331" s="39" t="str">
        <x:v>2026-07-31T20:20:00</x:v>
      </x:c>
      <x:c r="C331" s="39" t="str">
        <x:v>2026-07-31T21:20:00</x:v>
      </x:c>
      <x:c r="D331" s="47" t="n">
        <x:v>60</x:v>
      </x:c>
      <x:c r="E331" s="40" t="n">
        <x:v>12</x:v>
      </x:c>
      <x:c r="F331" s="40" t="n">
        <x:v>12.116168975830078</x:v>
      </x:c>
      <x:c r="G331" s="40" t="n">
        <x:v>12</x:v>
      </x:c>
      <x:c r="H331" s="40" t="n">
        <x:f>F331-E331</x:f>
        <x:v>0.11616897583007812</x:v>
      </x:c>
      <x:c r="I331" s="40" t="n">
        <x:f>ABS(H331)</x:f>
        <x:v>0.11616897583007812</x:v>
      </x:c>
      <x:c r="J331" s="40" t="n">
        <x:f>H331^2</x:f>
        <x:v>0.013495230945409276</x:v>
      </x:c>
      <x:c r="K331" s="40" t="n">
        <x:f>G331-E331</x:f>
        <x:v>0</x:v>
      </x:c>
      <x:c r="L331" s="40" t="n">
        <x:f>ABS(K331)</x:f>
        <x:v>0</x:v>
      </x:c>
      <x:c r="M331" s="41" t="str">
        <x:v>lstm-soil-v1</x:v>
      </x:c>
    </x:row>
    <x:row r="332">
      <x:c r="A332" s="38" t="str">
        <x:v>7月30日现场数据</x:v>
      </x:c>
      <x:c r="B332" s="39" t="str">
        <x:v>2026-07-31T20:25:00</x:v>
      </x:c>
      <x:c r="C332" s="39" t="str">
        <x:v>2026-07-31T20:30:00</x:v>
      </x:c>
      <x:c r="D332" s="47" t="n">
        <x:v>5</x:v>
      </x:c>
      <x:c r="E332" s="40" t="n">
        <x:v>12</x:v>
      </x:c>
      <x:c r="F332" s="40" t="n">
        <x:v>9.952960968017578</x:v>
      </x:c>
      <x:c r="G332" s="40" t="n">
        <x:v>12</x:v>
      </x:c>
      <x:c r="H332" s="40" t="n">
        <x:f>F332-E332</x:f>
        <x:v>-2.047039031982422</x:v>
      </x:c>
      <x:c r="I332" s="40" t="n">
        <x:f>ABS(H332)</x:f>
        <x:v>2.047039031982422</x:v>
      </x:c>
      <x:c r="J332" s="40" t="n">
        <x:f>H332^2</x:f>
        <x:v>4.190368798459531</x:v>
      </x:c>
      <x:c r="K332" s="40" t="n">
        <x:f>G332-E332</x:f>
        <x:v>0</x:v>
      </x:c>
      <x:c r="L332" s="40" t="n">
        <x:f>ABS(K332)</x:f>
        <x:v>0</x:v>
      </x:c>
      <x:c r="M332" s="41" t="str">
        <x:v>lstm-soil-v1</x:v>
      </x:c>
    </x:row>
    <x:row r="333">
      <x:c r="A333" s="38" t="str">
        <x:v>7月30日现场数据</x:v>
      </x:c>
      <x:c r="B333" s="39" t="str">
        <x:v>2026-07-31T20:25:00</x:v>
      </x:c>
      <x:c r="C333" s="39" t="str">
        <x:v>2026-07-31T20:40:00</x:v>
      </x:c>
      <x:c r="D333" s="47" t="n">
        <x:v>15</x:v>
      </x:c>
      <x:c r="E333" s="40" t="n">
        <x:v>12</x:v>
      </x:c>
      <x:c r="F333" s="40" t="n">
        <x:v>10.015872955322266</x:v>
      </x:c>
      <x:c r="G333" s="40" t="n">
        <x:v>12</x:v>
      </x:c>
      <x:c r="H333" s="40" t="n">
        <x:f>F333-E333</x:f>
        <x:v>-1.9841270446777344</x:v>
      </x:c>
      <x:c r="I333" s="40" t="n">
        <x:f>ABS(H333)</x:f>
        <x:v>1.9841270446777344</x:v>
      </x:c>
      <x:c r="J333" s="40" t="n">
        <x:f>H333^2</x:f>
        <x:v>3.9367601294216</x:v>
      </x:c>
      <x:c r="K333" s="40" t="n">
        <x:f>G333-E333</x:f>
        <x:v>0</x:v>
      </x:c>
      <x:c r="L333" s="40" t="n">
        <x:f>ABS(K333)</x:f>
        <x:v>0</x:v>
      </x:c>
      <x:c r="M333" s="41" t="str">
        <x:v>lstm-soil-v1</x:v>
      </x:c>
    </x:row>
    <x:row r="334">
      <x:c r="A334" s="38" t="str">
        <x:v>7月30日现场数据</x:v>
      </x:c>
      <x:c r="B334" s="39" t="str">
        <x:v>2026-07-31T20:25:00</x:v>
      </x:c>
      <x:c r="C334" s="39" t="str">
        <x:v>2026-07-31T20:55:00</x:v>
      </x:c>
      <x:c r="D334" s="47" t="n">
        <x:v>30</x:v>
      </x:c>
      <x:c r="E334" s="40" t="n">
        <x:v>12</x:v>
      </x:c>
      <x:c r="F334" s="40" t="n">
        <x:v>10.45291519165039</x:v>
      </x:c>
      <x:c r="G334" s="40" t="n">
        <x:v>12</x:v>
      </x:c>
      <x:c r="H334" s="40" t="n">
        <x:f>F334-E334</x:f>
        <x:v>-1.5470848083496094</x:v>
      </x:c>
      <x:c r="I334" s="40" t="n">
        <x:f>ABS(H334)</x:f>
        <x:v>1.5470848083496094</x:v>
      </x:c>
      <x:c r="J334" s="40" t="n">
        <x:f>H334^2</x:f>
        <x:v>2.3934714042261476</x:v>
      </x:c>
      <x:c r="K334" s="40" t="n">
        <x:f>G334-E334</x:f>
        <x:v>0</x:v>
      </x:c>
      <x:c r="L334" s="40" t="n">
        <x:f>ABS(K334)</x:f>
        <x:v>0</x:v>
      </x:c>
      <x:c r="M334" s="41" t="str">
        <x:v>lstm-soil-v1</x:v>
      </x:c>
    </x:row>
    <x:row r="335">
      <x:c r="A335" s="38" t="str">
        <x:v>7月30日现场数据</x:v>
      </x:c>
      <x:c r="B335" s="39" t="str">
        <x:v>2026-07-31T20:25:00</x:v>
      </x:c>
      <x:c r="C335" s="39" t="str">
        <x:v>2026-07-31T21:25:00</x:v>
      </x:c>
      <x:c r="D335" s="47" t="n">
        <x:v>60</x:v>
      </x:c>
      <x:c r="E335" s="40" t="n">
        <x:v>12</x:v>
      </x:c>
      <x:c r="F335" s="40" t="n">
        <x:v>12.115837097167969</x:v>
      </x:c>
      <x:c r="G335" s="40" t="n">
        <x:v>12</x:v>
      </x:c>
      <x:c r="H335" s="40" t="n">
        <x:f>F335-E335</x:f>
        <x:v>0.11583709716796875</x:v>
      </x:c>
      <x:c r="I335" s="40" t="n">
        <x:f>ABS(H335)</x:f>
        <x:v>0.11583709716796875</x:v>
      </x:c>
      <x:c r="J335" s="40" t="n">
        <x:f>H335^2</x:f>
        <x:v>0.013418233080301434</x:v>
      </x:c>
      <x:c r="K335" s="40" t="n">
        <x:f>G335-E335</x:f>
        <x:v>0</x:v>
      </x:c>
      <x:c r="L335" s="40" t="n">
        <x:f>ABS(K335)</x:f>
        <x:v>0</x:v>
      </x:c>
      <x:c r="M335" s="41" t="str">
        <x:v>lstm-soil-v1</x:v>
      </x:c>
    </x:row>
    <x:row r="336">
      <x:c r="A336" s="38" t="str">
        <x:v>7月30日现场数据</x:v>
      </x:c>
      <x:c r="B336" s="39" t="str">
        <x:v>2026-07-31T20:30:00</x:v>
      </x:c>
      <x:c r="C336" s="39" t="str">
        <x:v>2026-07-31T20:35:00</x:v>
      </x:c>
      <x:c r="D336" s="47" t="n">
        <x:v>5</x:v>
      </x:c>
      <x:c r="E336" s="40" t="n">
        <x:v>12</x:v>
      </x:c>
      <x:c r="F336" s="40" t="n">
        <x:v>9.952781677246094</x:v>
      </x:c>
      <x:c r="G336" s="40" t="n">
        <x:v>12</x:v>
      </x:c>
      <x:c r="H336" s="40" t="n">
        <x:f>F336-E336</x:f>
        <x:v>-2.0472183227539062</x:v>
      </x:c>
      <x:c r="I336" s="40" t="n">
        <x:f>ABS(H336)</x:f>
        <x:v>2.0472183227539062</x:v>
      </x:c>
      <x:c r="J336" s="40" t="n">
        <x:f>H336^2</x:f>
        <x:v>4.191102861019317</x:v>
      </x:c>
      <x:c r="K336" s="40" t="n">
        <x:f>G336-E336</x:f>
        <x:v>0</x:v>
      </x:c>
      <x:c r="L336" s="40" t="n">
        <x:f>ABS(K336)</x:f>
        <x:v>0</x:v>
      </x:c>
      <x:c r="M336" s="41" t="str">
        <x:v>lstm-soil-v1</x:v>
      </x:c>
    </x:row>
    <x:row r="337">
      <x:c r="A337" s="38" t="str">
        <x:v>7月30日现场数据</x:v>
      </x:c>
      <x:c r="B337" s="39" t="str">
        <x:v>2026-07-31T20:30:00</x:v>
      </x:c>
      <x:c r="C337" s="39" t="str">
        <x:v>2026-07-31T20:45:00</x:v>
      </x:c>
      <x:c r="D337" s="47" t="n">
        <x:v>15</x:v>
      </x:c>
      <x:c r="E337" s="40" t="n">
        <x:v>12</x:v>
      </x:c>
      <x:c r="F337" s="40" t="n">
        <x:v>10.015312194824219</x:v>
      </x:c>
      <x:c r="G337" s="40" t="n">
        <x:v>12</x:v>
      </x:c>
      <x:c r="H337" s="40" t="n">
        <x:f>F337-E337</x:f>
        <x:v>-1.9846878051757812</x:v>
      </x:c>
      <x:c r="I337" s="40" t="n">
        <x:f>ABS(H337)</x:f>
        <x:v>1.9846878051757812</x:v>
      </x:c>
      <x:c r="J337" s="40" t="n">
        <x:f>H337^2</x:f>
        <x:v>3.93898568401346</x:v>
      </x:c>
      <x:c r="K337" s="40" t="n">
        <x:f>G337-E337</x:f>
        <x:v>0</x:v>
      </x:c>
      <x:c r="L337" s="40" t="n">
        <x:f>ABS(K337)</x:f>
        <x:v>0</x:v>
      </x:c>
      <x:c r="M337" s="41" t="str">
        <x:v>lstm-soil-v1</x:v>
      </x:c>
    </x:row>
    <x:row r="338">
      <x:c r="A338" s="38" t="str">
        <x:v>7月30日现场数据</x:v>
      </x:c>
      <x:c r="B338" s="39" t="str">
        <x:v>2026-07-31T20:30:00</x:v>
      </x:c>
      <x:c r="C338" s="39" t="str">
        <x:v>2026-07-31T21:00:00</x:v>
      </x:c>
      <x:c r="D338" s="47" t="n">
        <x:v>30</x:v>
      </x:c>
      <x:c r="E338" s="40" t="n">
        <x:v>12</x:v>
      </x:c>
      <x:c r="F338" s="40" t="n">
        <x:v>10.4534912109375</x:v>
      </x:c>
      <x:c r="G338" s="40" t="n">
        <x:v>12</x:v>
      </x:c>
      <x:c r="H338" s="40" t="n">
        <x:f>F338-E338</x:f>
        <x:v>-1.5465087890625</x:v>
      </x:c>
      <x:c r="I338" s="40" t="n">
        <x:f>ABS(H338)</x:f>
        <x:v>1.5465087890625</x:v>
      </x:c>
      <x:c r="J338" s="40" t="n">
        <x:f>H338^2</x:f>
        <x:v>2.39168943464756</x:v>
      </x:c>
      <x:c r="K338" s="40" t="n">
        <x:f>G338-E338</x:f>
        <x:v>0</x:v>
      </x:c>
      <x:c r="L338" s="40" t="n">
        <x:f>ABS(K338)</x:f>
        <x:v>0</x:v>
      </x:c>
      <x:c r="M338" s="41" t="str">
        <x:v>lstm-soil-v1</x:v>
      </x:c>
    </x:row>
    <x:row r="339">
      <x:c r="A339" s="38" t="str">
        <x:v>7月30日现场数据</x:v>
      </x:c>
      <x:c r="B339" s="39" t="str">
        <x:v>2026-07-31T20:30:00</x:v>
      </x:c>
      <x:c r="C339" s="39" t="str">
        <x:v>2026-07-31T21:30:00</x:v>
      </x:c>
      <x:c r="D339" s="47" t="n">
        <x:v>60</x:v>
      </x:c>
      <x:c r="E339" s="40" t="n">
        <x:v>12</x:v>
      </x:c>
      <x:c r="F339" s="40" t="n">
        <x:v>12.115779876708984</x:v>
      </x:c>
      <x:c r="G339" s="40" t="n">
        <x:v>12</x:v>
      </x:c>
      <x:c r="H339" s="40" t="n">
        <x:f>F339-E339</x:f>
        <x:v>0.11577987670898438</x:v>
      </x:c>
      <x:c r="I339" s="40" t="n">
        <x:f>ABS(H339)</x:f>
        <x:v>0.11577987670898438</x:v>
      </x:c>
      <x:c r="J339" s="40" t="n">
        <x:f>H339^2</x:f>
        <x:v>0.013404979850747623</x:v>
      </x:c>
      <x:c r="K339" s="40" t="n">
        <x:f>G339-E339</x:f>
        <x:v>0</x:v>
      </x:c>
      <x:c r="L339" s="40" t="n">
        <x:f>ABS(K339)</x:f>
        <x:v>0</x:v>
      </x:c>
      <x:c r="M339" s="41" t="str">
        <x:v>lstm-soil-v1</x:v>
      </x:c>
    </x:row>
    <x:row r="340">
      <x:c r="A340" s="38" t="str">
        <x:v>7月30日现场数据</x:v>
      </x:c>
      <x:c r="B340" s="39" t="str">
        <x:v>2026-07-31T20:35:00</x:v>
      </x:c>
      <x:c r="C340" s="39" t="str">
        <x:v>2026-07-31T20:40:00</x:v>
      </x:c>
      <x:c r="D340" s="47" t="n">
        <x:v>5</x:v>
      </x:c>
      <x:c r="E340" s="40" t="n">
        <x:v>12</x:v>
      </x:c>
      <x:c r="F340" s="40" t="n">
        <x:v>9.952770233154297</x:v>
      </x:c>
      <x:c r="G340" s="40" t="n">
        <x:v>12</x:v>
      </x:c>
      <x:c r="H340" s="40" t="n">
        <x:f>F340-E340</x:f>
        <x:v>-2.047229766845703</x:v>
      </x:c>
      <x:c r="I340" s="40" t="n">
        <x:f>ABS(H340)</x:f>
        <x:v>2.047229766845703</x:v>
      </x:c>
      <x:c r="J340" s="40" t="n">
        <x:f>H340^2</x:f>
        <x:v>4.191149718259112</x:v>
      </x:c>
      <x:c r="K340" s="40" t="n">
        <x:f>G340-E340</x:f>
        <x:v>0</x:v>
      </x:c>
      <x:c r="L340" s="40" t="n">
        <x:f>ABS(K340)</x:f>
        <x:v>0</x:v>
      </x:c>
      <x:c r="M340" s="41" t="str">
        <x:v>lstm-soil-v1</x:v>
      </x:c>
    </x:row>
    <x:row r="341">
      <x:c r="A341" s="38" t="str">
        <x:v>7月30日现场数据</x:v>
      </x:c>
      <x:c r="B341" s="39" t="str">
        <x:v>2026-07-31T20:35:00</x:v>
      </x:c>
      <x:c r="C341" s="39" t="str">
        <x:v>2026-07-31T20:50:00</x:v>
      </x:c>
      <x:c r="D341" s="47" t="n">
        <x:v>15</x:v>
      </x:c>
      <x:c r="E341" s="40" t="n">
        <x:v>12</x:v>
      </x:c>
      <x:c r="F341" s="40" t="n">
        <x:v>10.014938354492188</x:v>
      </x:c>
      <x:c r="G341" s="40" t="n">
        <x:v>12</x:v>
      </x:c>
      <x:c r="H341" s="40" t="n">
        <x:f>F341-E341</x:f>
        <x:v>-1.9850616455078125</x:v>
      </x:c>
      <x:c r="I341" s="40" t="n">
        <x:f>ABS(H341)</x:f>
        <x:v>1.9850616455078125</x:v>
      </x:c>
      <x:c r="J341" s="40" t="n">
        <x:f>H341^2</x:f>
        <x:v>3.9404697364661843</x:v>
      </x:c>
      <x:c r="K341" s="40" t="n">
        <x:f>G341-E341</x:f>
        <x:v>0</x:v>
      </x:c>
      <x:c r="L341" s="40" t="n">
        <x:f>ABS(K341)</x:f>
        <x:v>0</x:v>
      </x:c>
      <x:c r="M341" s="41" t="str">
        <x:v>lstm-soil-v1</x:v>
      </x:c>
    </x:row>
    <x:row r="342">
      <x:c r="A342" s="38" t="str">
        <x:v>7月30日现场数据</x:v>
      </x:c>
      <x:c r="B342" s="39" t="str">
        <x:v>2026-07-31T20:35:00</x:v>
      </x:c>
      <x:c r="C342" s="39" t="str">
        <x:v>2026-07-31T21:05:00</x:v>
      </x:c>
      <x:c r="D342" s="47" t="n">
        <x:v>30</x:v>
      </x:c>
      <x:c r="E342" s="40" t="n">
        <x:v>12</x:v>
      </x:c>
      <x:c r="F342" s="40" t="n">
        <x:v>10.454063415527344</x:v>
      </x:c>
      <x:c r="G342" s="40" t="n">
        <x:v>12</x:v>
      </x:c>
      <x:c r="H342" s="40" t="n">
        <x:f>F342-E342</x:f>
        <x:v>-1.5459365844726562</x:v>
      </x:c>
      <x:c r="I342" s="40" t="n">
        <x:f>ABS(H342)</x:f>
        <x:v>1.5459365844726562</x:v>
      </x:c>
      <x:c r="J342" s="40" t="n">
        <x:f>H342^2</x:f>
        <x:v>2.3899199232109822</x:v>
      </x:c>
      <x:c r="K342" s="40" t="n">
        <x:f>G342-E342</x:f>
        <x:v>0</x:v>
      </x:c>
      <x:c r="L342" s="40" t="n">
        <x:f>ABS(K342)</x:f>
        <x:v>0</x:v>
      </x:c>
      <x:c r="M342" s="41" t="str">
        <x:v>lstm-soil-v1</x:v>
      </x:c>
    </x:row>
    <x:row r="343">
      <x:c r="A343" s="38" t="str">
        <x:v>7月30日现场数据</x:v>
      </x:c>
      <x:c r="B343" s="39" t="str">
        <x:v>2026-07-31T20:35:00</x:v>
      </x:c>
      <x:c r="C343" s="39" t="str">
        <x:v>2026-07-31T21:35:00</x:v>
      </x:c>
      <x:c r="D343" s="47" t="n">
        <x:v>60</x:v>
      </x:c>
      <x:c r="E343" s="40" t="n">
        <x:v>12</x:v>
      </x:c>
      <x:c r="F343" s="40" t="n">
        <x:v>12.115921020507812</x:v>
      </x:c>
      <x:c r="G343" s="40" t="n">
        <x:v>12</x:v>
      </x:c>
      <x:c r="H343" s="40" t="n">
        <x:f>F343-E343</x:f>
        <x:v>0.1159210205078125</x:v>
      </x:c>
      <x:c r="I343" s="40" t="n">
        <x:f>ABS(H343)</x:f>
        <x:v>0.1159210205078125</x:v>
      </x:c>
      <x:c r="J343" s="40" t="n">
        <x:f>H343^2</x:f>
        <x:v>0.013437682995572686</x:v>
      </x:c>
      <x:c r="K343" s="40" t="n">
        <x:f>G343-E343</x:f>
        <x:v>0</x:v>
      </x:c>
      <x:c r="L343" s="40" t="n">
        <x:f>ABS(K343)</x:f>
        <x:v>0</x:v>
      </x:c>
      <x:c r="M343" s="41" t="str">
        <x:v>lstm-soil-v1</x:v>
      </x:c>
    </x:row>
    <x:row r="344">
      <x:c r="A344" s="38" t="str">
        <x:v>7月30日现场数据</x:v>
      </x:c>
      <x:c r="B344" s="39" t="str">
        <x:v>2026-07-31T20:40:00</x:v>
      </x:c>
      <x:c r="C344" s="39" t="str">
        <x:v>2026-07-31T20:45:00</x:v>
      </x:c>
      <x:c r="D344" s="47" t="n">
        <x:v>5</x:v>
      </x:c>
      <x:c r="E344" s="40" t="n">
        <x:v>12</x:v>
      </x:c>
      <x:c r="F344" s="40" t="n">
        <x:v>9.952796936035156</x:v>
      </x:c>
      <x:c r="G344" s="40" t="n">
        <x:v>12</x:v>
      </x:c>
      <x:c r="H344" s="40" t="n">
        <x:f>F344-E344</x:f>
        <x:v>-2.0472030639648438</x:v>
      </x:c>
      <x:c r="I344" s="40" t="n">
        <x:f>ABS(H344)</x:f>
        <x:v>2.0472030639648438</x:v>
      </x:c>
      <x:c r="J344" s="40" t="n">
        <x:f>H344^2</x:f>
        <x:v>4.191040385107044</x:v>
      </x:c>
      <x:c r="K344" s="40" t="n">
        <x:f>G344-E344</x:f>
        <x:v>0</x:v>
      </x:c>
      <x:c r="L344" s="40" t="n">
        <x:f>ABS(K344)</x:f>
        <x:v>0</x:v>
      </x:c>
      <x:c r="M344" s="41" t="str">
        <x:v>lstm-soil-v1</x:v>
      </x:c>
    </x:row>
    <x:row r="345">
      <x:c r="A345" s="38" t="str">
        <x:v>7月30日现场数据</x:v>
      </x:c>
      <x:c r="B345" s="39" t="str">
        <x:v>2026-07-31T20:40:00</x:v>
      </x:c>
      <x:c r="C345" s="39" t="str">
        <x:v>2026-07-31T20:55:00</x:v>
      </x:c>
      <x:c r="D345" s="47" t="n">
        <x:v>15</x:v>
      </x:c>
      <x:c r="E345" s="40" t="n">
        <x:v>12</x:v>
      </x:c>
      <x:c r="F345" s="40" t="n">
        <x:v>10.014694213867188</x:v>
      </x:c>
      <x:c r="G345" s="40" t="n">
        <x:v>12</x:v>
      </x:c>
      <x:c r="H345" s="40" t="n">
        <x:f>F345-E345</x:f>
        <x:v>-1.9853057861328125</x:v>
      </x:c>
      <x:c r="I345" s="40" t="n">
        <x:f>ABS(H345)</x:f>
        <x:v>1.9853057861328125</x:v>
      </x:c>
      <x:c r="J345" s="40" t="n">
        <x:f>H345^2</x:f>
        <x:v>3.9414390644524246</x:v>
      </x:c>
      <x:c r="K345" s="40" t="n">
        <x:f>G345-E345</x:f>
        <x:v>0</x:v>
      </x:c>
      <x:c r="L345" s="40" t="n">
        <x:f>ABS(K345)</x:f>
        <x:v>0</x:v>
      </x:c>
      <x:c r="M345" s="41" t="str">
        <x:v>lstm-soil-v1</x:v>
      </x:c>
    </x:row>
    <x:row r="346">
      <x:c r="A346" s="38" t="str">
        <x:v>7月30日现场数据</x:v>
      </x:c>
      <x:c r="B346" s="39" t="str">
        <x:v>2026-07-31T20:40:00</x:v>
      </x:c>
      <x:c r="C346" s="39" t="str">
        <x:v>2026-07-31T21:10:00</x:v>
      </x:c>
      <x:c r="D346" s="47" t="n">
        <x:v>30</x:v>
      </x:c>
      <x:c r="E346" s="40" t="n">
        <x:v>12</x:v>
      </x:c>
      <x:c r="F346" s="40" t="n">
        <x:v>10.454540252685547</x:v>
      </x:c>
      <x:c r="G346" s="40" t="n">
        <x:v>12</x:v>
      </x:c>
      <x:c r="H346" s="40" t="n">
        <x:f>F346-E346</x:f>
        <x:v>-1.5454597473144531</x:v>
      </x:c>
      <x:c r="I346" s="40" t="n">
        <x:f>ABS(H346)</x:f>
        <x:v>1.5454597473144531</x:v>
      </x:c>
      <x:c r="J346" s="40" t="n">
        <x:f>H346^2</x:f>
        <x:v>2.3884458305692533</x:v>
      </x:c>
      <x:c r="K346" s="40" t="n">
        <x:f>G346-E346</x:f>
        <x:v>0</x:v>
      </x:c>
      <x:c r="L346" s="40" t="n">
        <x:f>ABS(K346)</x:f>
        <x:v>0</x:v>
      </x:c>
      <x:c r="M346" s="41" t="str">
        <x:v>lstm-soil-v1</x:v>
      </x:c>
    </x:row>
    <x:row r="347">
      <x:c r="A347" s="38" t="str">
        <x:v>7月30日现场数据</x:v>
      </x:c>
      <x:c r="B347" s="39" t="str">
        <x:v>2026-07-31T20:40:00</x:v>
      </x:c>
      <x:c r="C347" s="39" t="str">
        <x:v>2026-07-31T21:40:00</x:v>
      </x:c>
      <x:c r="D347" s="47" t="n">
        <x:v>60</x:v>
      </x:c>
      <x:c r="E347" s="40" t="n">
        <x:v>12</x:v>
      </x:c>
      <x:c r="F347" s="40" t="n">
        <x:v>12.116111755371094</x:v>
      </x:c>
      <x:c r="G347" s="40" t="n">
        <x:v>12</x:v>
      </x:c>
      <x:c r="H347" s="40" t="n">
        <x:f>F347-E347</x:f>
        <x:v>0.11611175537109375</x:v>
      </x:c>
      <x:c r="I347" s="40" t="n">
        <x:f>ABS(H347)</x:f>
        <x:v>0.11611175537109375</x:v>
      </x:c>
      <x:c r="J347" s="40" t="n">
        <x:f>H347^2</x:f>
        <x:v>0.013481939735356718</x:v>
      </x:c>
      <x:c r="K347" s="40" t="n">
        <x:f>G347-E347</x:f>
        <x:v>0</x:v>
      </x:c>
      <x:c r="L347" s="40" t="n">
        <x:f>ABS(K347)</x:f>
        <x:v>0</x:v>
      </x:c>
      <x:c r="M347" s="41" t="str">
        <x:v>lstm-soil-v1</x:v>
      </x:c>
    </x:row>
    <x:row r="348">
      <x:c r="A348" s="38" t="str">
        <x:v>7月30日现场数据</x:v>
      </x:c>
      <x:c r="B348" s="39" t="str">
        <x:v>2026-07-31T20:45:00</x:v>
      </x:c>
      <x:c r="C348" s="39" t="str">
        <x:v>2026-07-31T20:50:00</x:v>
      </x:c>
      <x:c r="D348" s="47" t="n">
        <x:v>5</x:v>
      </x:c>
      <x:c r="E348" s="40" t="n">
        <x:v>12</x:v>
      </x:c>
      <x:c r="F348" s="40" t="n">
        <x:v>9.952816009521484</x:v>
      </x:c>
      <x:c r="G348" s="40" t="n">
        <x:v>12</x:v>
      </x:c>
      <x:c r="H348" s="40" t="n">
        <x:f>F348-E348</x:f>
        <x:v>-2.0471839904785156</x:v>
      </x:c>
      <x:c r="I348" s="40" t="n">
        <x:f>ABS(H348)</x:f>
        <x:v>2.0471839904785156</x:v>
      </x:c>
      <x:c r="J348" s="40" t="n">
        <x:f>H348^2</x:f>
        <x:v>4.190962290871539</x:v>
      </x:c>
      <x:c r="K348" s="40" t="n">
        <x:f>G348-E348</x:f>
        <x:v>0</x:v>
      </x:c>
      <x:c r="L348" s="40" t="n">
        <x:f>ABS(K348)</x:f>
        <x:v>0</x:v>
      </x:c>
      <x:c r="M348" s="41" t="str">
        <x:v>lstm-soil-v1</x:v>
      </x:c>
    </x:row>
    <x:row r="349">
      <x:c r="A349" s="38" t="str">
        <x:v>7月30日现场数据</x:v>
      </x:c>
      <x:c r="B349" s="39" t="str">
        <x:v>2026-07-31T20:45:00</x:v>
      </x:c>
      <x:c r="C349" s="39" t="str">
        <x:v>2026-07-31T21:00:00</x:v>
      </x:c>
      <x:c r="D349" s="47" t="n">
        <x:v>15</x:v>
      </x:c>
      <x:c r="E349" s="40" t="n">
        <x:v>12</x:v>
      </x:c>
      <x:c r="F349" s="40" t="n">
        <x:v>10.014514923095703</x:v>
      </x:c>
      <x:c r="G349" s="40" t="n">
        <x:v>12</x:v>
      </x:c>
      <x:c r="H349" s="40" t="n">
        <x:f>F349-E349</x:f>
        <x:v>-1.9854850769042969</x:v>
      </x:c>
      <x:c r="I349" s="40" t="n">
        <x:f>ABS(H349)</x:f>
        <x:v>1.9854850769042969</x:v>
      </x:c>
      <x:c r="J349" s="40" t="n">
        <x:f>H349^2</x:f>
        <x:v>3.9421509906096617</x:v>
      </x:c>
      <x:c r="K349" s="40" t="n">
        <x:f>G349-E349</x:f>
        <x:v>0</x:v>
      </x:c>
      <x:c r="L349" s="40" t="n">
        <x:f>ABS(K349)</x:f>
        <x:v>0</x:v>
      </x:c>
      <x:c r="M349" s="41" t="str">
        <x:v>lstm-soil-v1</x:v>
      </x:c>
    </x:row>
    <x:row r="350">
      <x:c r="A350" s="38" t="str">
        <x:v>7月30日现场数据</x:v>
      </x:c>
      <x:c r="B350" s="39" t="str">
        <x:v>2026-07-31T20:45:00</x:v>
      </x:c>
      <x:c r="C350" s="39" t="str">
        <x:v>2026-07-31T21:15:00</x:v>
      </x:c>
      <x:c r="D350" s="47" t="n">
        <x:v>30</x:v>
      </x:c>
      <x:c r="E350" s="40" t="n">
        <x:v>12</x:v>
      </x:c>
      <x:c r="F350" s="40" t="n">
        <x:v>10.454864501953125</x:v>
      </x:c>
      <x:c r="G350" s="40" t="n">
        <x:v>12</x:v>
      </x:c>
      <x:c r="H350" s="40" t="n">
        <x:f>F350-E350</x:f>
        <x:v>-1.545135498046875</x:v>
      </x:c>
      <x:c r="I350" s="40" t="n">
        <x:f>ABS(H350)</x:f>
        <x:v>1.545135498046875</x:v>
      </x:c>
      <x:c r="J350" s="40" t="n">
        <x:f>H350^2</x:f>
        <x:v>2.3874437073245645</x:v>
      </x:c>
      <x:c r="K350" s="40" t="n">
        <x:f>G350-E350</x:f>
        <x:v>0</x:v>
      </x:c>
      <x:c r="L350" s="40" t="n">
        <x:f>ABS(K350)</x:f>
        <x:v>0</x:v>
      </x:c>
      <x:c r="M350" s="41" t="str">
        <x:v>lstm-soil-v1</x:v>
      </x:c>
    </x:row>
    <x:row r="351">
      <x:c r="A351" s="38" t="str">
        <x:v>7月30日现场数据</x:v>
      </x:c>
      <x:c r="B351" s="39" t="str">
        <x:v>2026-07-31T20:45:00</x:v>
      </x:c>
      <x:c r="C351" s="39" t="str">
        <x:v>2026-07-31T21:45:00</x:v>
      </x:c>
      <x:c r="D351" s="47" t="n">
        <x:v>60</x:v>
      </x:c>
      <x:c r="E351" s="40" t="n">
        <x:v>12</x:v>
      </x:c>
      <x:c r="F351" s="40" t="n">
        <x:v>12.116291046142578</x:v>
      </x:c>
      <x:c r="G351" s="40" t="n">
        <x:v>12</x:v>
      </x:c>
      <x:c r="H351" s="40" t="n">
        <x:f>F351-E351</x:f>
        <x:v>0.11629104614257812</x:v>
      </x:c>
      <x:c r="I351" s="40" t="n">
        <x:f>ABS(H351)</x:f>
        <x:v>0.11629104614257812</x:v>
      </x:c>
      <x:c r="J351" s="40" t="n">
        <x:f>H351^2</x:f>
        <x:v>0.013523607412935235</x:v>
      </x:c>
      <x:c r="K351" s="40" t="n">
        <x:f>G351-E351</x:f>
        <x:v>0</x:v>
      </x:c>
      <x:c r="L351" s="40" t="n">
        <x:f>ABS(K351)</x:f>
        <x:v>0</x:v>
      </x:c>
      <x:c r="M351" s="41" t="str">
        <x:v>lstm-soil-v1</x:v>
      </x:c>
    </x:row>
    <x:row r="352">
      <x:c r="A352" s="38" t="str">
        <x:v>7月30日现场数据</x:v>
      </x:c>
      <x:c r="B352" s="39" t="str">
        <x:v>2026-07-31T20:50:00</x:v>
      </x:c>
      <x:c r="C352" s="39" t="str">
        <x:v>2026-07-31T20:55:00</x:v>
      </x:c>
      <x:c r="D352" s="47" t="n">
        <x:v>5</x:v>
      </x:c>
      <x:c r="E352" s="40" t="n">
        <x:v>12</x:v>
      </x:c>
      <x:c r="F352" s="40" t="n">
        <x:v>9.952838897705078</x:v>
      </x:c>
      <x:c r="G352" s="40" t="n">
        <x:v>12</x:v>
      </x:c>
      <x:c r="H352" s="40" t="n">
        <x:f>F352-E352</x:f>
        <x:v>-2.047161102294922</x:v>
      </x:c>
      <x:c r="I352" s="40" t="n">
        <x:f>ABS(H352)</x:f>
        <x:v>2.047161102294922</x:v>
      </x:c>
      <x:c r="J352" s="40" t="n">
        <x:f>H352^2</x:f>
        <x:v>4.19086857874936</x:v>
      </x:c>
      <x:c r="K352" s="40" t="n">
        <x:f>G352-E352</x:f>
        <x:v>0</x:v>
      </x:c>
      <x:c r="L352" s="40" t="n">
        <x:f>ABS(K352)</x:f>
        <x:v>0</x:v>
      </x:c>
      <x:c r="M352" s="41" t="str">
        <x:v>lstm-soil-v1</x:v>
      </x:c>
    </x:row>
    <x:row r="353">
      <x:c r="A353" s="38" t="str">
        <x:v>7月30日现场数据</x:v>
      </x:c>
      <x:c r="B353" s="39" t="str">
        <x:v>2026-07-31T20:50:00</x:v>
      </x:c>
      <x:c r="C353" s="39" t="str">
        <x:v>2026-07-31T21:05:00</x:v>
      </x:c>
      <x:c r="D353" s="47" t="n">
        <x:v>15</x:v>
      </x:c>
      <x:c r="E353" s="40" t="n">
        <x:v>12</x:v>
      </x:c>
      <x:c r="F353" s="40" t="n">
        <x:v>10.014396667480469</x:v>
      </x:c>
      <x:c r="G353" s="40" t="n">
        <x:v>12</x:v>
      </x:c>
      <x:c r="H353" s="40" t="n">
        <x:f>F353-E353</x:f>
        <x:v>-1.9856033325195312</x:v>
      </x:c>
      <x:c r="I353" s="40" t="n">
        <x:f>ABS(H353)</x:f>
        <x:v>1.9856033325195312</x:v>
      </x:c>
      <x:c r="J353" s="40" t="n">
        <x:f>H353^2</x:f>
        <x:v>3.942620594112668</x:v>
      </x:c>
      <x:c r="K353" s="40" t="n">
        <x:f>G353-E353</x:f>
        <x:v>0</x:v>
      </x:c>
      <x:c r="L353" s="40" t="n">
        <x:f>ABS(K353)</x:f>
        <x:v>0</x:v>
      </x:c>
      <x:c r="M353" s="41" t="str">
        <x:v>lstm-soil-v1</x:v>
      </x:c>
    </x:row>
    <x:row r="354">
      <x:c r="A354" s="38" t="str">
        <x:v>7月30日现场数据</x:v>
      </x:c>
      <x:c r="B354" s="39" t="str">
        <x:v>2026-07-31T20:50:00</x:v>
      </x:c>
      <x:c r="C354" s="39" t="str">
        <x:v>2026-07-31T21:20:00</x:v>
      </x:c>
      <x:c r="D354" s="47" t="n">
        <x:v>30</x:v>
      </x:c>
      <x:c r="E354" s="40" t="n">
        <x:v>12</x:v>
      </x:c>
      <x:c r="F354" s="40" t="n">
        <x:v>10.455108642578125</x:v>
      </x:c>
      <x:c r="G354" s="40" t="n">
        <x:v>12</x:v>
      </x:c>
      <x:c r="H354" s="40" t="n">
        <x:f>F354-E354</x:f>
        <x:v>-1.544891357421875</x:v>
      </x:c>
      <x:c r="I354" s="40" t="n">
        <x:f>ABS(H354)</x:f>
        <x:v>1.544891357421875</x:v>
      </x:c>
      <x:c r="J354" s="40" t="n">
        <x:f>H354^2</x:f>
        <x:v>2.3866893062368035</x:v>
      </x:c>
      <x:c r="K354" s="40" t="n">
        <x:f>G354-E354</x:f>
        <x:v>0</x:v>
      </x:c>
      <x:c r="L354" s="40" t="n">
        <x:f>ABS(K354)</x:f>
        <x:v>0</x:v>
      </x:c>
      <x:c r="M354" s="41" t="str">
        <x:v>lstm-soil-v1</x:v>
      </x:c>
    </x:row>
    <x:row r="355">
      <x:c r="A355" s="38" t="str">
        <x:v>7月30日现场数据</x:v>
      </x:c>
      <x:c r="B355" s="39" t="str">
        <x:v>2026-07-31T20:50:00</x:v>
      </x:c>
      <x:c r="C355" s="39" t="str">
        <x:v>2026-07-31T21:50:00</x:v>
      </x:c>
      <x:c r="D355" s="47" t="n">
        <x:v>60</x:v>
      </x:c>
      <x:c r="E355" s="40" t="n">
        <x:v>12</x:v>
      </x:c>
      <x:c r="F355" s="40" t="n">
        <x:v>12.116436004638672</x:v>
      </x:c>
      <x:c r="G355" s="40" t="n">
        <x:v>12</x:v>
      </x:c>
      <x:c r="H355" s="40" t="n">
        <x:f>F355-E355</x:f>
        <x:v>0.11643600463867188</x:v>
      </x:c>
      <x:c r="I355" s="40" t="n">
        <x:f>ABS(H355)</x:f>
        <x:v>0.11643600463867188</x:v>
      </x:c>
      <x:c r="J355" s="40" t="n">
        <x:f>H355^2</x:f>
        <x:v>0.013557343176216818</x:v>
      </x:c>
      <x:c r="K355" s="40" t="n">
        <x:f>G355-E355</x:f>
        <x:v>0</x:v>
      </x:c>
      <x:c r="L355" s="40" t="n">
        <x:f>ABS(K355)</x:f>
        <x:v>0</x:v>
      </x:c>
      <x:c r="M355" s="41" t="str">
        <x:v>lstm-soil-v1</x:v>
      </x:c>
    </x:row>
    <x:row r="356">
      <x:c r="A356" s="38" t="str">
        <x:v>7月30日现场数据</x:v>
      </x:c>
      <x:c r="B356" s="39" t="str">
        <x:v>2026-07-31T20:55:00</x:v>
      </x:c>
      <x:c r="C356" s="39" t="str">
        <x:v>2026-07-31T21:00:00</x:v>
      </x:c>
      <x:c r="D356" s="47" t="n">
        <x:v>5</x:v>
      </x:c>
      <x:c r="E356" s="40" t="n">
        <x:v>12</x:v>
      </x:c>
      <x:c r="F356" s="40" t="n">
        <x:v>9.952861785888672</x:v>
      </x:c>
      <x:c r="G356" s="40" t="n">
        <x:v>12</x:v>
      </x:c>
      <x:c r="H356" s="40" t="n">
        <x:f>F356-E356</x:f>
        <x:v>-2.047138214111328</x:v>
      </x:c>
      <x:c r="I356" s="40" t="n">
        <x:f>ABS(H356)</x:f>
        <x:v>2.047138214111328</x:v>
      </x:c>
      <x:c r="J356" s="40" t="n">
        <x:f>H356^2</x:f>
        <x:v>4.190774867674918</x:v>
      </x:c>
      <x:c r="K356" s="40" t="n">
        <x:f>G356-E356</x:f>
        <x:v>0</x:v>
      </x:c>
      <x:c r="L356" s="40" t="n">
        <x:f>ABS(K356)</x:f>
        <x:v>0</x:v>
      </x:c>
      <x:c r="M356" s="41" t="str">
        <x:v>lstm-soil-v1</x:v>
      </x:c>
    </x:row>
    <x:row r="357">
      <x:c r="A357" s="38" t="str">
        <x:v>7月30日现场数据</x:v>
      </x:c>
      <x:c r="B357" s="39" t="str">
        <x:v>2026-07-31T20:55:00</x:v>
      </x:c>
      <x:c r="C357" s="39" t="str">
        <x:v>2026-07-31T21:10:00</x:v>
      </x:c>
      <x:c r="D357" s="47" t="n">
        <x:v>15</x:v>
      </x:c>
      <x:c r="E357" s="40" t="n">
        <x:v>12</x:v>
      </x:c>
      <x:c r="F357" s="40" t="n">
        <x:v>10.014312744140625</x:v>
      </x:c>
      <x:c r="G357" s="40" t="n">
        <x:v>12</x:v>
      </x:c>
      <x:c r="H357" s="40" t="n">
        <x:f>F357-E357</x:f>
        <x:v>-1.985687255859375</x:v>
      </x:c>
      <x:c r="I357" s="40" t="n">
        <x:f>ABS(H357)</x:f>
        <x:v>1.985687255859375</x:v>
      </x:c>
      <x:c r="J357" s="40" t="n">
        <x:f>H357^2</x:f>
        <x:v>3.942953878082335</x:v>
      </x:c>
      <x:c r="K357" s="40" t="n">
        <x:f>G357-E357</x:f>
        <x:v>0</x:v>
      </x:c>
      <x:c r="L357" s="40" t="n">
        <x:f>ABS(K357)</x:f>
        <x:v>0</x:v>
      </x:c>
      <x:c r="M357" s="41" t="str">
        <x:v>lstm-soil-v1</x:v>
      </x:c>
    </x:row>
    <x:row r="358">
      <x:c r="A358" s="38" t="str">
        <x:v>7月30日现场数据</x:v>
      </x:c>
      <x:c r="B358" s="39" t="str">
        <x:v>2026-07-31T20:55:00</x:v>
      </x:c>
      <x:c r="C358" s="39" t="str">
        <x:v>2026-07-31T21:25:00</x:v>
      </x:c>
      <x:c r="D358" s="47" t="n">
        <x:v>30</x:v>
      </x:c>
      <x:c r="E358" s="40" t="n">
        <x:v>12</x:v>
      </x:c>
      <x:c r="F358" s="40" t="n">
        <x:v>10.455299377441406</x:v>
      </x:c>
      <x:c r="G358" s="40" t="n">
        <x:v>12</x:v>
      </x:c>
      <x:c r="H358" s="40" t="n">
        <x:f>F358-E358</x:f>
        <x:v>-1.5447006225585938</x:v>
      </x:c>
      <x:c r="I358" s="40" t="n">
        <x:f>ABS(H358)</x:f>
        <x:v>1.5447006225585938</x:v>
      </x:c>
      <x:c r="J358" s="40" t="n">
        <x:f>H358^2</x:f>
        <x:v>2.386100013332907</x:v>
      </x:c>
      <x:c r="K358" s="40" t="n">
        <x:f>G358-E358</x:f>
        <x:v>0</x:v>
      </x:c>
      <x:c r="L358" s="40" t="n">
        <x:f>ABS(K358)</x:f>
        <x:v>0</x:v>
      </x:c>
      <x:c r="M358" s="41" t="str">
        <x:v>lstm-soil-v1</x:v>
      </x:c>
    </x:row>
    <x:row r="359">
      <x:c r="A359" s="38" t="str">
        <x:v>7月30日现场数据</x:v>
      </x:c>
      <x:c r="B359" s="39" t="str">
        <x:v>2026-07-31T20:55:00</x:v>
      </x:c>
      <x:c r="C359" s="39" t="str">
        <x:v>2026-07-31T21:55:00</x:v>
      </x:c>
      <x:c r="D359" s="47" t="n">
        <x:v>60</x:v>
      </x:c>
      <x:c r="E359" s="40" t="n">
        <x:v>12</x:v>
      </x:c>
      <x:c r="F359" s="40" t="n">
        <x:v>12.11655044555664</x:v>
      </x:c>
      <x:c r="G359" s="40" t="n">
        <x:v>12</x:v>
      </x:c>
      <x:c r="H359" s="40" t="n">
        <x:f>F359-E359</x:f>
        <x:v>0.11655044555664062</x:v>
      </x:c>
      <x:c r="I359" s="40" t="n">
        <x:f>ABS(H359)</x:f>
        <x:v>0.11655044555664062</x:v>
      </x:c>
      <x:c r="J359" s="40" t="n">
        <x:f>H359^2</x:f>
        <x:v>0.01358400635945145</x:v>
      </x:c>
      <x:c r="K359" s="40" t="n">
        <x:f>G359-E359</x:f>
        <x:v>0</x:v>
      </x:c>
      <x:c r="L359" s="40" t="n">
        <x:f>ABS(K359)</x:f>
        <x:v>0</x:v>
      </x:c>
      <x:c r="M359" s="41" t="str">
        <x:v>lstm-soil-v1</x:v>
      </x:c>
    </x:row>
    <x:row r="360">
      <x:c r="A360" s="38" t="str">
        <x:v>7月30日现场数据</x:v>
      </x:c>
      <x:c r="B360" s="39" t="str">
        <x:v>2026-07-31T21:00:00</x:v>
      </x:c>
      <x:c r="C360" s="39" t="str">
        <x:v>2026-07-31T21:05:00</x:v>
      </x:c>
      <x:c r="D360" s="47" t="n">
        <x:v>5</x:v>
      </x:c>
      <x:c r="E360" s="40" t="n">
        <x:v>12</x:v>
      </x:c>
      <x:c r="F360" s="40" t="n">
        <x:v>9.949817657470703</x:v>
      </x:c>
      <x:c r="G360" s="40" t="n">
        <x:v>12</x:v>
      </x:c>
      <x:c r="H360" s="40" t="n">
        <x:f>F360-E360</x:f>
        <x:v>-2.050182342529297</x:v>
      </x:c>
      <x:c r="I360" s="40" t="n">
        <x:f>ABS(H360)</x:f>
        <x:v>2.050182342529297</x:v>
      </x:c>
      <x:c r="J360" s="40" t="n">
        <x:f>H360^2</x:f>
        <x:v>4.203247637618915</x:v>
      </x:c>
      <x:c r="K360" s="40" t="n">
        <x:f>G360-E360</x:f>
        <x:v>0</x:v>
      </x:c>
      <x:c r="L360" s="40" t="n">
        <x:f>ABS(K360)</x:f>
        <x:v>0</x:v>
      </x:c>
      <x:c r="M360" s="41" t="str">
        <x:v>lstm-soil-v1</x:v>
      </x:c>
    </x:row>
    <x:row r="361">
      <x:c r="A361" s="38" t="str">
        <x:v>7月30日现场数据</x:v>
      </x:c>
      <x:c r="B361" s="39" t="str">
        <x:v>2026-07-31T21:00:00</x:v>
      </x:c>
      <x:c r="C361" s="39" t="str">
        <x:v>2026-07-31T21:15:00</x:v>
      </x:c>
      <x:c r="D361" s="47" t="n">
        <x:v>15</x:v>
      </x:c>
      <x:c r="E361" s="40" t="n">
        <x:v>12</x:v>
      </x:c>
      <x:c r="F361" s="40" t="n">
        <x:v>10.012565612792969</x:v>
      </x:c>
      <x:c r="G361" s="40" t="n">
        <x:v>12</x:v>
      </x:c>
      <x:c r="H361" s="40" t="n">
        <x:f>F361-E361</x:f>
        <x:v>-1.9874343872070312</x:v>
      </x:c>
      <x:c r="I361" s="40" t="n">
        <x:f>ABS(H361)</x:f>
        <x:v>1.9874343872070312</x:v>
      </x:c>
      <x:c r="J361" s="40" t="n">
        <x:f>H361^2</x:f>
        <x:v>3.949895443452988</x:v>
      </x:c>
      <x:c r="K361" s="40" t="n">
        <x:f>G361-E361</x:f>
        <x:v>0</x:v>
      </x:c>
      <x:c r="L361" s="40" t="n">
        <x:f>ABS(K361)</x:f>
        <x:v>0</x:v>
      </x:c>
      <x:c r="M361" s="41" t="str">
        <x:v>lstm-soil-v1</x:v>
      </x:c>
    </x:row>
    <x:row r="362">
      <x:c r="A362" s="38" t="str">
        <x:v>7月30日现场数据</x:v>
      </x:c>
      <x:c r="B362" s="39" t="str">
        <x:v>2026-07-31T21:00:00</x:v>
      </x:c>
      <x:c r="C362" s="39" t="str">
        <x:v>2026-07-31T21:30:00</x:v>
      </x:c>
      <x:c r="D362" s="47" t="n">
        <x:v>30</x:v>
      </x:c>
      <x:c r="E362" s="40" t="n">
        <x:v>12</x:v>
      </x:c>
      <x:c r="F362" s="40" t="n">
        <x:v>10.452754974365234</x:v>
      </x:c>
      <x:c r="G362" s="40" t="n">
        <x:v>12</x:v>
      </x:c>
      <x:c r="H362" s="40" t="n">
        <x:f>F362-E362</x:f>
        <x:v>-1.5472450256347656</x:v>
      </x:c>
      <x:c r="I362" s="40" t="n">
        <x:f>ABS(H362)</x:f>
        <x:v>1.5472450256347656</x:v>
      </x:c>
      <x:c r="J362" s="40" t="n">
        <x:f>H362^2</x:f>
        <x:v>2.3939671693515265</x:v>
      </x:c>
      <x:c r="K362" s="40" t="n">
        <x:f>G362-E362</x:f>
        <x:v>0</x:v>
      </x:c>
      <x:c r="L362" s="40" t="n">
        <x:f>ABS(K362)</x:f>
        <x:v>0</x:v>
      </x:c>
      <x:c r="M362" s="41" t="str">
        <x:v>lstm-soil-v1</x:v>
      </x:c>
    </x:row>
    <x:row r="363">
      <x:c r="A363" s="38" t="str">
        <x:v>7月30日现场数据</x:v>
      </x:c>
      <x:c r="B363" s="39" t="str">
        <x:v>2026-07-31T21:00:00</x:v>
      </x:c>
      <x:c r="C363" s="39" t="str">
        <x:v>2026-07-31T22:00:00</x:v>
      </x:c>
      <x:c r="D363" s="47" t="n">
        <x:v>60</x:v>
      </x:c>
      <x:c r="E363" s="40" t="n">
        <x:v>12</x:v>
      </x:c>
      <x:c r="F363" s="40" t="n">
        <x:v>12.108558654785156</x:v>
      </x:c>
      <x:c r="G363" s="40" t="n">
        <x:v>12</x:v>
      </x:c>
      <x:c r="H363" s="40" t="n">
        <x:f>F363-E363</x:f>
        <x:v>0.10855865478515625</x:v>
      </x:c>
      <x:c r="I363" s="40" t="n">
        <x:f>ABS(H363)</x:f>
        <x:v>0.10855865478515625</x:v>
      </x:c>
      <x:c r="J363" s="40" t="n">
        <x:f>H363^2</x:f>
        <x:v>0.011784981528762728</x:v>
      </x:c>
      <x:c r="K363" s="40" t="n">
        <x:f>G363-E363</x:f>
        <x:v>0</x:v>
      </x:c>
      <x:c r="L363" s="40" t="n">
        <x:f>ABS(K363)</x:f>
        <x:v>0</x:v>
      </x:c>
      <x:c r="M363" s="41" t="str">
        <x:v>lstm-soil-v1</x:v>
      </x:c>
    </x:row>
    <x:row r="364">
      <x:c r="A364" s="38" t="str">
        <x:v>7月30日现场数据</x:v>
      </x:c>
      <x:c r="B364" s="39" t="str">
        <x:v>2026-07-31T21:05:00</x:v>
      </x:c>
      <x:c r="C364" s="39" t="str">
        <x:v>2026-07-31T21:10:00</x:v>
      </x:c>
      <x:c r="D364" s="47" t="n">
        <x:v>5</x:v>
      </x:c>
      <x:c r="E364" s="40" t="n">
        <x:v>12</x:v>
      </x:c>
      <x:c r="F364" s="40" t="n">
        <x:v>9.948436737060547</x:v>
      </x:c>
      <x:c r="G364" s="40" t="n">
        <x:v>12</x:v>
      </x:c>
      <x:c r="H364" s="40" t="n">
        <x:f>F364-E364</x:f>
        <x:v>-2.051563262939453</x:v>
      </x:c>
      <x:c r="I364" s="40" t="n">
        <x:f>ABS(H364)</x:f>
        <x:v>2.051563262939453</x:v>
      </x:c>
      <x:c r="J364" s="40" t="n">
        <x:f>H364^2</x:f>
        <x:v>4.208911821842776</x:v>
      </x:c>
      <x:c r="K364" s="40" t="n">
        <x:f>G364-E364</x:f>
        <x:v>0</x:v>
      </x:c>
      <x:c r="L364" s="40" t="n">
        <x:f>ABS(K364)</x:f>
        <x:v>0</x:v>
      </x:c>
      <x:c r="M364" s="41" t="str">
        <x:v>lstm-soil-v1</x:v>
      </x:c>
    </x:row>
    <x:row r="365">
      <x:c r="A365" s="38" t="str">
        <x:v>7月30日现场数据</x:v>
      </x:c>
      <x:c r="B365" s="39" t="str">
        <x:v>2026-07-31T21:05:00</x:v>
      </x:c>
      <x:c r="C365" s="39" t="str">
        <x:v>2026-07-31T21:20:00</x:v>
      </x:c>
      <x:c r="D365" s="47" t="n">
        <x:v>15</x:v>
      </x:c>
      <x:c r="E365" s="40" t="n">
        <x:v>12</x:v>
      </x:c>
      <x:c r="F365" s="40" t="n">
        <x:v>10.011459350585938</x:v>
      </x:c>
      <x:c r="G365" s="40" t="n">
        <x:v>12</x:v>
      </x:c>
      <x:c r="H365" s="40" t="n">
        <x:f>F365-E365</x:f>
        <x:v>-1.9885406494140625</x:v>
      </x:c>
      <x:c r="I365" s="40" t="n">
        <x:f>ABS(H365)</x:f>
        <x:v>1.9885406494140625</x:v>
      </x:c>
      <x:c r="J365" s="40" t="n">
        <x:f>H365^2</x:f>
        <x:v>3.9542939143721014</x:v>
      </x:c>
      <x:c r="K365" s="40" t="n">
        <x:f>G365-E365</x:f>
        <x:v>0</x:v>
      </x:c>
      <x:c r="L365" s="40" t="n">
        <x:f>ABS(K365)</x:f>
        <x:v>0</x:v>
      </x:c>
      <x:c r="M365" s="41" t="str">
        <x:v>lstm-soil-v1</x:v>
      </x:c>
    </x:row>
    <x:row r="366">
      <x:c r="A366" s="38" t="str">
        <x:v>7月30日现场数据</x:v>
      </x:c>
      <x:c r="B366" s="39" t="str">
        <x:v>2026-07-31T21:05:00</x:v>
      </x:c>
      <x:c r="C366" s="39" t="str">
        <x:v>2026-07-31T21:35:00</x:v>
      </x:c>
      <x:c r="D366" s="47" t="n">
        <x:v>30</x:v>
      </x:c>
      <x:c r="E366" s="40" t="n">
        <x:v>12</x:v>
      </x:c>
      <x:c r="F366" s="40" t="n">
        <x:v>10.45291519165039</x:v>
      </x:c>
      <x:c r="G366" s="40" t="n">
        <x:v>12</x:v>
      </x:c>
      <x:c r="H366" s="40" t="n">
        <x:f>F366-E366</x:f>
        <x:v>-1.5470848083496094</x:v>
      </x:c>
      <x:c r="I366" s="40" t="n">
        <x:f>ABS(H366)</x:f>
        <x:v>1.5470848083496094</x:v>
      </x:c>
      <x:c r="J366" s="40" t="n">
        <x:f>H366^2</x:f>
        <x:v>2.3934714042261476</x:v>
      </x:c>
      <x:c r="K366" s="40" t="n">
        <x:f>G366-E366</x:f>
        <x:v>0</x:v>
      </x:c>
      <x:c r="L366" s="40" t="n">
        <x:f>ABS(K366)</x:f>
        <x:v>0</x:v>
      </x:c>
      <x:c r="M366" s="41" t="str">
        <x:v>lstm-soil-v1</x:v>
      </x:c>
    </x:row>
    <x:row r="367">
      <x:c r="A367" s="38" t="str">
        <x:v>7月30日现场数据</x:v>
      </x:c>
      <x:c r="B367" s="39" t="str">
        <x:v>2026-07-31T21:05:00</x:v>
      </x:c>
      <x:c r="C367" s="39" t="str">
        <x:v>2026-07-31T22:05:00</x:v>
      </x:c>
      <x:c r="D367" s="47" t="n">
        <x:v>60</x:v>
      </x:c>
      <x:c r="E367" s="40" t="n">
        <x:v>12</x:v>
      </x:c>
      <x:c r="F367" s="40" t="n">
        <x:v>12.104072570800781</x:v>
      </x:c>
      <x:c r="G367" s="40" t="n">
        <x:v>12</x:v>
      </x:c>
      <x:c r="H367" s="40" t="n">
        <x:f>F367-E367</x:f>
        <x:v>0.10407257080078125</x:v>
      </x:c>
      <x:c r="I367" s="40" t="n">
        <x:f>ABS(H367)</x:f>
        <x:v>0.10407257080078125</x:v>
      </x:c>
      <x:c r="J367" s="40" t="n">
        <x:f>H367^2</x:f>
        <x:v>0.010831099993083626</x:v>
      </x:c>
      <x:c r="K367" s="40" t="n">
        <x:f>G367-E367</x:f>
        <x:v>0</x:v>
      </x:c>
      <x:c r="L367" s="40" t="n">
        <x:f>ABS(K367)</x:f>
        <x:v>0</x:v>
      </x:c>
      <x:c r="M367" s="41" t="str">
        <x:v>lstm-soil-v1</x:v>
      </x:c>
    </x:row>
    <x:row r="368">
      <x:c r="A368" s="38" t="str">
        <x:v>7月30日现场数据</x:v>
      </x:c>
      <x:c r="B368" s="39" t="str">
        <x:v>2026-07-31T21:10:00</x:v>
      </x:c>
      <x:c r="C368" s="39" t="str">
        <x:v>2026-07-31T21:15:00</x:v>
      </x:c>
      <x:c r="D368" s="47" t="n">
        <x:v>5</x:v>
      </x:c>
      <x:c r="E368" s="40" t="n">
        <x:v>12</x:v>
      </x:c>
      <x:c r="F368" s="40" t="n">
        <x:v>9.947368621826172</x:v>
      </x:c>
      <x:c r="G368" s="40" t="n">
        <x:v>12</x:v>
      </x:c>
      <x:c r="H368" s="40" t="n">
        <x:f>F368-E368</x:f>
        <x:v>-2.052631378173828</x:v>
      </x:c>
      <x:c r="I368" s="40" t="n">
        <x:f>ABS(H368)</x:f>
        <x:v>2.052631378173828</x:v>
      </x:c>
      <x:c r="J368" s="40" t="n">
        <x:f>H368^2</x:f>
        <x:v>4.213295574663789</x:v>
      </x:c>
      <x:c r="K368" s="40" t="n">
        <x:f>G368-E368</x:f>
        <x:v>0</x:v>
      </x:c>
      <x:c r="L368" s="40" t="n">
        <x:f>ABS(K368)</x:f>
        <x:v>0</x:v>
      </x:c>
      <x:c r="M368" s="41" t="str">
        <x:v>lstm-soil-v1</x:v>
      </x:c>
    </x:row>
    <x:row r="369">
      <x:c r="A369" s="38" t="str">
        <x:v>7月30日现场数据</x:v>
      </x:c>
      <x:c r="B369" s="39" t="str">
        <x:v>2026-07-31T21:10:00</x:v>
      </x:c>
      <x:c r="C369" s="39" t="str">
        <x:v>2026-07-31T21:25:00</x:v>
      </x:c>
      <x:c r="D369" s="47" t="n">
        <x:v>15</x:v>
      </x:c>
      <x:c r="E369" s="40" t="n">
        <x:v>12</x:v>
      </x:c>
      <x:c r="F369" s="40" t="n">
        <x:v>10.010494232177734</x:v>
      </x:c>
      <x:c r="G369" s="40" t="n">
        <x:v>12</x:v>
      </x:c>
      <x:c r="H369" s="40" t="n">
        <x:f>F369-E369</x:f>
        <x:v>-1.9895057678222656</x:v>
      </x:c>
      <x:c r="I369" s="40" t="n">
        <x:f>ABS(H369)</x:f>
        <x:v>1.9895057678222656</x:v>
      </x:c>
      <x:c r="J369" s="40" t="n">
        <x:f>H369^2</x:f>
        <x:v>3.9581332001980627</x:v>
      </x:c>
      <x:c r="K369" s="40" t="n">
        <x:f>G369-E369</x:f>
        <x:v>0</x:v>
      </x:c>
      <x:c r="L369" s="40" t="n">
        <x:f>ABS(K369)</x:f>
        <x:v>0</x:v>
      </x:c>
      <x:c r="M369" s="41" t="str">
        <x:v>lstm-soil-v1</x:v>
      </x:c>
    </x:row>
    <x:row r="370">
      <x:c r="A370" s="38" t="str">
        <x:v>7月30日现场数据</x:v>
      </x:c>
      <x:c r="B370" s="39" t="str">
        <x:v>2026-07-31T21:10:00</x:v>
      </x:c>
      <x:c r="C370" s="39" t="str">
        <x:v>2026-07-31T21:40:00</x:v>
      </x:c>
      <x:c r="D370" s="47" t="n">
        <x:v>30</x:v>
      </x:c>
      <x:c r="E370" s="40" t="n">
        <x:v>12</x:v>
      </x:c>
      <x:c r="F370" s="40" t="n">
        <x:v>10.453422546386719</x:v>
      </x:c>
      <x:c r="G370" s="40" t="n">
        <x:v>12</x:v>
      </x:c>
      <x:c r="H370" s="40" t="n">
        <x:f>F370-E370</x:f>
        <x:v>-1.5465774536132812</x:v>
      </x:c>
      <x:c r="I370" s="40" t="n">
        <x:f>ABS(H370)</x:f>
        <x:v>1.5465774536132812</x:v>
      </x:c>
      <x:c r="J370" s="40" t="n">
        <x:f>H370^2</x:f>
        <x:v>2.391901820024941</x:v>
      </x:c>
      <x:c r="K370" s="40" t="n">
        <x:f>G370-E370</x:f>
        <x:v>0</x:v>
      </x:c>
      <x:c r="L370" s="40" t="n">
        <x:f>ABS(K370)</x:f>
        <x:v>0</x:v>
      </x:c>
      <x:c r="M370" s="41" t="str">
        <x:v>lstm-soil-v1</x:v>
      </x:c>
    </x:row>
    <x:row r="371">
      <x:c r="A371" s="38" t="str">
        <x:v>7月30日现场数据</x:v>
      </x:c>
      <x:c r="B371" s="39" t="str">
        <x:v>2026-07-31T21:10:00</x:v>
      </x:c>
      <x:c r="C371" s="39" t="str">
        <x:v>2026-07-31T22:10:00</x:v>
      </x:c>
      <x:c r="D371" s="47" t="n">
        <x:v>60</x:v>
      </x:c>
      <x:c r="E371" s="40" t="n">
        <x:v>12</x:v>
      </x:c>
      <x:c r="F371" s="40" t="n">
        <x:v>12.100173950195312</x:v>
      </x:c>
      <x:c r="G371" s="40" t="n">
        <x:v>12</x:v>
      </x:c>
      <x:c r="H371" s="40" t="n">
        <x:f>F371-E371</x:f>
        <x:v>0.1001739501953125</x:v>
      </x:c>
      <x:c r="I371" s="40" t="n">
        <x:f>ABS(H371)</x:f>
        <x:v>0.1001739501953125</x:v>
      </x:c>
      <x:c r="J371" s="40" t="n">
        <x:f>H371^2</x:f>
        <x:v>0.01003482029773295</x:v>
      </x:c>
      <x:c r="K371" s="40" t="n">
        <x:f>G371-E371</x:f>
        <x:v>0</x:v>
      </x:c>
      <x:c r="L371" s="40" t="n">
        <x:f>ABS(K371)</x:f>
        <x:v>0</x:v>
      </x:c>
      <x:c r="M371" s="41" t="str">
        <x:v>lstm-soil-v1</x:v>
      </x:c>
    </x:row>
    <x:row r="372">
      <x:c r="A372" s="38" t="str">
        <x:v>7月30日现场数据</x:v>
      </x:c>
      <x:c r="B372" s="39" t="str">
        <x:v>2026-07-31T21:15:00</x:v>
      </x:c>
      <x:c r="C372" s="39" t="str">
        <x:v>2026-07-31T21:20:00</x:v>
      </x:c>
      <x:c r="D372" s="47" t="n">
        <x:v>5</x:v>
      </x:c>
      <x:c r="E372" s="40" t="n">
        <x:v>12</x:v>
      </x:c>
      <x:c r="F372" s="40" t="n">
        <x:v>9.94692611694336</x:v>
      </x:c>
      <x:c r="G372" s="40" t="n">
        <x:v>12</x:v>
      </x:c>
      <x:c r="H372" s="40" t="n">
        <x:f>F372-E372</x:f>
        <x:v>-2.0530738830566406</x:v>
      </x:c>
      <x:c r="I372" s="40" t="n">
        <x:f>ABS(H372)</x:f>
        <x:v>2.0530738830566406</x:v>
      </x:c>
      <x:c r="J372" s="40" t="n">
        <x:f>H372^2</x:f>
        <x:v>4.2151123692892725</x:v>
      </x:c>
      <x:c r="K372" s="40" t="n">
        <x:f>G372-E372</x:f>
        <x:v>0</x:v>
      </x:c>
      <x:c r="L372" s="40" t="n">
        <x:f>ABS(K372)</x:f>
        <x:v>0</x:v>
      </x:c>
      <x:c r="M372" s="41" t="str">
        <x:v>lstm-soil-v1</x:v>
      </x:c>
    </x:row>
    <x:row r="373">
      <x:c r="A373" s="38" t="str">
        <x:v>7月30日现场数据</x:v>
      </x:c>
      <x:c r="B373" s="39" t="str">
        <x:v>2026-07-31T21:15:00</x:v>
      </x:c>
      <x:c r="C373" s="39" t="str">
        <x:v>2026-07-31T21:30:00</x:v>
      </x:c>
      <x:c r="D373" s="47" t="n">
        <x:v>15</x:v>
      </x:c>
      <x:c r="E373" s="40" t="n">
        <x:v>12</x:v>
      </x:c>
      <x:c r="F373" s="40" t="n">
        <x:v>10.009620666503906</x:v>
      </x:c>
      <x:c r="G373" s="40" t="n">
        <x:v>12</x:v>
      </x:c>
      <x:c r="H373" s="40" t="n">
        <x:f>F373-E373</x:f>
        <x:v>-1.9903793334960938</x:v>
      </x:c>
      <x:c r="I373" s="40" t="n">
        <x:f>ABS(H373)</x:f>
        <x:v>1.9903793334960938</x:v>
      </x:c>
      <x:c r="J373" s="40" t="n">
        <x:f>H373^2</x:f>
        <x:v>3.9616098912083544</x:v>
      </x:c>
      <x:c r="K373" s="40" t="n">
        <x:f>G373-E373</x:f>
        <x:v>0</x:v>
      </x:c>
      <x:c r="L373" s="40" t="n">
        <x:f>ABS(K373)</x:f>
        <x:v>0</x:v>
      </x:c>
      <x:c r="M373" s="41" t="str">
        <x:v>lstm-soil-v1</x:v>
      </x:c>
    </x:row>
    <x:row r="374">
      <x:c r="A374" s="38" t="str">
        <x:v>7月30日现场数据</x:v>
      </x:c>
      <x:c r="B374" s="39" t="str">
        <x:v>2026-07-31T21:15:00</x:v>
      </x:c>
      <x:c r="C374" s="39" t="str">
        <x:v>2026-07-31T21:45:00</x:v>
      </x:c>
      <x:c r="D374" s="47" t="n">
        <x:v>30</x:v>
      </x:c>
      <x:c r="E374" s="40" t="n">
        <x:v>12</x:v>
      </x:c>
      <x:c r="F374" s="40" t="n">
        <x:v>10.454505920410156</x:v>
      </x:c>
      <x:c r="G374" s="40" t="n">
        <x:v>12</x:v>
      </x:c>
      <x:c r="H374" s="40" t="n">
        <x:f>F374-E374</x:f>
        <x:v>-1.5454940795898438</x:v>
      </x:c>
      <x:c r="I374" s="40" t="n">
        <x:f>ABS(H374)</x:f>
        <x:v>1.5454940795898438</x:v>
      </x:c>
      <x:c r="J374" s="40" t="n">
        <x:f>H374^2</x:f>
        <x:v>2.3885519500472583</x:v>
      </x:c>
      <x:c r="K374" s="40" t="n">
        <x:f>G374-E374</x:f>
        <x:v>0</x:v>
      </x:c>
      <x:c r="L374" s="40" t="n">
        <x:f>ABS(K374)</x:f>
        <x:v>0</x:v>
      </x:c>
      <x:c r="M374" s="41" t="str">
        <x:v>lstm-soil-v1</x:v>
      </x:c>
    </x:row>
    <x:row r="375">
      <x:c r="A375" s="38" t="str">
        <x:v>7月30日现场数据</x:v>
      </x:c>
      <x:c r="B375" s="39" t="str">
        <x:v>2026-07-31T21:15:00</x:v>
      </x:c>
      <x:c r="C375" s="39" t="str">
        <x:v>2026-07-31T22:15:00</x:v>
      </x:c>
      <x:c r="D375" s="47" t="n">
        <x:v>60</x:v>
      </x:c>
      <x:c r="E375" s="40" t="n">
        <x:v>12</x:v>
      </x:c>
      <x:c r="F375" s="40" t="n">
        <x:v>12.098388671875</x:v>
      </x:c>
      <x:c r="G375" s="40" t="n">
        <x:v>12</x:v>
      </x:c>
      <x:c r="H375" s="40" t="n">
        <x:f>F375-E375</x:f>
        <x:v>0.098388671875</x:v>
      </x:c>
      <x:c r="I375" s="40" t="n">
        <x:f>ABS(H375)</x:f>
        <x:v>0.098388671875</x:v>
      </x:c>
      <x:c r="J375" s="40" t="n">
        <x:f>H375^2</x:f>
        <x:v>0.009680330753326416</x:v>
      </x:c>
      <x:c r="K375" s="40" t="n">
        <x:f>G375-E375</x:f>
        <x:v>0</x:v>
      </x:c>
      <x:c r="L375" s="40" t="n">
        <x:f>ABS(K375)</x:f>
        <x:v>0</x:v>
      </x:c>
      <x:c r="M375" s="41" t="str">
        <x:v>lstm-soil-v1</x:v>
      </x:c>
    </x:row>
    <x:row r="376">
      <x:c r="A376" s="38" t="str">
        <x:v>7月30日现场数据</x:v>
      </x:c>
      <x:c r="B376" s="39" t="str">
        <x:v>2026-07-31T21:20:00</x:v>
      </x:c>
      <x:c r="C376" s="39" t="str">
        <x:v>2026-07-31T21:25:00</x:v>
      </x:c>
      <x:c r="D376" s="47" t="n">
        <x:v>5</x:v>
      </x:c>
      <x:c r="E376" s="40" t="n">
        <x:v>12</x:v>
      </x:c>
      <x:c r="F376" s="40" t="n">
        <x:v>9.946762084960938</x:v>
      </x:c>
      <x:c r="G376" s="40" t="n">
        <x:v>12</x:v>
      </x:c>
      <x:c r="H376" s="40" t="n">
        <x:f>F376-E376</x:f>
        <x:v>-2.0532379150390625</x:v>
      </x:c>
      <x:c r="I376" s="40" t="n">
        <x:f>ABS(H376)</x:f>
        <x:v>2.0532379150390625</x:v>
      </x:c>
      <x:c r="J376" s="40" t="n">
        <x:f>H376^2</x:f>
        <x:v>4.215785935753956</x:v>
      </x:c>
      <x:c r="K376" s="40" t="n">
        <x:f>G376-E376</x:f>
        <x:v>0</x:v>
      </x:c>
      <x:c r="L376" s="40" t="n">
        <x:f>ABS(K376)</x:f>
        <x:v>0</x:v>
      </x:c>
      <x:c r="M376" s="41" t="str">
        <x:v>lstm-soil-v1</x:v>
      </x:c>
    </x:row>
    <x:row r="377">
      <x:c r="A377" s="38" t="str">
        <x:v>7月30日现场数据</x:v>
      </x:c>
      <x:c r="B377" s="39" t="str">
        <x:v>2026-07-31T21:20:00</x:v>
      </x:c>
      <x:c r="C377" s="39" t="str">
        <x:v>2026-07-31T21:35:00</x:v>
      </x:c>
      <x:c r="D377" s="47" t="n">
        <x:v>15</x:v>
      </x:c>
      <x:c r="E377" s="40" t="n">
        <x:v>12</x:v>
      </x:c>
      <x:c r="F377" s="40" t="n">
        <x:v>10.008995056152344</x:v>
      </x:c>
      <x:c r="G377" s="40" t="n">
        <x:v>12</x:v>
      </x:c>
      <x:c r="H377" s="40" t="n">
        <x:f>F377-E377</x:f>
        <x:v>-1.9910049438476562</x:v>
      </x:c>
      <x:c r="I377" s="40" t="n">
        <x:f>ABS(H377)</x:f>
        <x:v>1.9910049438476562</x:v>
      </x:c>
      <x:c r="J377" s="40" t="n">
        <x:f>H377^2</x:f>
        <x:v>3.964100686425809</x:v>
      </x:c>
      <x:c r="K377" s="40" t="n">
        <x:f>G377-E377</x:f>
        <x:v>0</x:v>
      </x:c>
      <x:c r="L377" s="40" t="n">
        <x:f>ABS(K377)</x:f>
        <x:v>0</x:v>
      </x:c>
      <x:c r="M377" s="41" t="str">
        <x:v>lstm-soil-v1</x:v>
      </x:c>
    </x:row>
    <x:row r="378">
      <x:c r="A378" s="38" t="str">
        <x:v>7月30日现场数据</x:v>
      </x:c>
      <x:c r="B378" s="39" t="str">
        <x:v>2026-07-31T21:20:00</x:v>
      </x:c>
      <x:c r="C378" s="39" t="str">
        <x:v>2026-07-31T21:50:00</x:v>
      </x:c>
      <x:c r="D378" s="47" t="n">
        <x:v>30</x:v>
      </x:c>
      <x:c r="E378" s="40" t="n">
        <x:v>12</x:v>
      </x:c>
      <x:c r="F378" s="40" t="n">
        <x:v>10.455635070800781</x:v>
      </x:c>
      <x:c r="G378" s="40" t="n">
        <x:v>12</x:v>
      </x:c>
      <x:c r="H378" s="40" t="n">
        <x:f>F378-E378</x:f>
        <x:v>-1.5443649291992188</x:v>
      </x:c>
      <x:c r="I378" s="40" t="n">
        <x:f>ABS(H378)</x:f>
        <x:v>1.5443649291992188</x:v>
      </x:c>
      <x:c r="J378" s="40" t="n">
        <x:f>H378^2</x:f>
        <x:v>2.385063034540508</x:v>
      </x:c>
      <x:c r="K378" s="40" t="n">
        <x:f>G378-E378</x:f>
        <x:v>0</x:v>
      </x:c>
      <x:c r="L378" s="40" t="n">
        <x:f>ABS(K378)</x:f>
        <x:v>0</x:v>
      </x:c>
      <x:c r="M378" s="41" t="str">
        <x:v>lstm-soil-v1</x:v>
      </x:c>
    </x:row>
    <x:row r="379">
      <x:c r="A379" s="38" t="str">
        <x:v>7月30日现场数据</x:v>
      </x:c>
      <x:c r="B379" s="39" t="str">
        <x:v>2026-07-31T21:20:00</x:v>
      </x:c>
      <x:c r="C379" s="39" t="str">
        <x:v>2026-07-31T22:20:00</x:v>
      </x:c>
      <x:c r="D379" s="47" t="n">
        <x:v>60</x:v>
      </x:c>
      <x:c r="E379" s="40" t="n">
        <x:v>12</x:v>
      </x:c>
      <x:c r="F379" s="40" t="n">
        <x:v>12.097579956054688</x:v>
      </x:c>
      <x:c r="G379" s="40" t="n">
        <x:v>12</x:v>
      </x:c>
      <x:c r="H379" s="40" t="n">
        <x:f>F379-E379</x:f>
        <x:v>0.0975799560546875</x:v>
      </x:c>
      <x:c r="I379" s="40" t="n">
        <x:f>ABS(H379)</x:f>
        <x:v>0.0975799560546875</x:v>
      </x:c>
      <x:c r="J379" s="40" t="n">
        <x:f>H379^2</x:f>
        <x:v>0.009521847823634744</x:v>
      </x:c>
      <x:c r="K379" s="40" t="n">
        <x:f>G379-E379</x:f>
        <x:v>0</x:v>
      </x:c>
      <x:c r="L379" s="40" t="n">
        <x:f>ABS(K379)</x:f>
        <x:v>0</x:v>
      </x:c>
      <x:c r="M379" s="41" t="str">
        <x:v>lstm-soil-v1</x:v>
      </x:c>
    </x:row>
    <x:row r="380">
      <x:c r="A380" s="38" t="str">
        <x:v>7月30日现场数据</x:v>
      </x:c>
      <x:c r="B380" s="39" t="str">
        <x:v>2026-07-31T21:25:00</x:v>
      </x:c>
      <x:c r="C380" s="39" t="str">
        <x:v>2026-07-31T21:30:00</x:v>
      </x:c>
      <x:c r="D380" s="47" t="n">
        <x:v>5</x:v>
      </x:c>
      <x:c r="E380" s="40" t="n">
        <x:v>12</x:v>
      </x:c>
      <x:c r="F380" s="40" t="n">
        <x:v>9.947128295898438</x:v>
      </x:c>
      <x:c r="G380" s="40" t="n">
        <x:v>12</x:v>
      </x:c>
      <x:c r="H380" s="40" t="n">
        <x:f>F380-E380</x:f>
        <x:v>-2.0528717041015625</x:v>
      </x:c>
      <x:c r="I380" s="40" t="n">
        <x:f>ABS(H380)</x:f>
        <x:v>2.0528717041015625</x:v>
      </x:c>
      <x:c r="J380" s="40" t="n">
        <x:f>H380^2</x:f>
        <x:v>4.214282233500853</x:v>
      </x:c>
      <x:c r="K380" s="40" t="n">
        <x:f>G380-E380</x:f>
        <x:v>0</x:v>
      </x:c>
      <x:c r="L380" s="40" t="n">
        <x:f>ABS(K380)</x:f>
        <x:v>0</x:v>
      </x:c>
      <x:c r="M380" s="41" t="str">
        <x:v>lstm-soil-v1</x:v>
      </x:c>
    </x:row>
    <x:row r="381">
      <x:c r="A381" s="38" t="str">
        <x:v>7月30日现场数据</x:v>
      </x:c>
      <x:c r="B381" s="39" t="str">
        <x:v>2026-07-31T21:25:00</x:v>
      </x:c>
      <x:c r="C381" s="39" t="str">
        <x:v>2026-07-31T21:40:00</x:v>
      </x:c>
      <x:c r="D381" s="47" t="n">
        <x:v>15</x:v>
      </x:c>
      <x:c r="E381" s="40" t="n">
        <x:v>12</x:v>
      </x:c>
      <x:c r="F381" s="40" t="n">
        <x:v>10.00905990600586</x:v>
      </x:c>
      <x:c r="G381" s="40" t="n">
        <x:v>12</x:v>
      </x:c>
      <x:c r="H381" s="40" t="n">
        <x:f>F381-E381</x:f>
        <x:v>-1.9909400939941406</x:v>
      </x:c>
      <x:c r="I381" s="40" t="n">
        <x:f>ABS(H381)</x:f>
        <x:v>1.9909400939941406</x:v>
      </x:c>
      <x:c r="J381" s="40" t="n">
        <x:f>H381^2</x:f>
        <x:v>3.9638424578733975</x:v>
      </x:c>
      <x:c r="K381" s="40" t="n">
        <x:f>G381-E381</x:f>
        <x:v>0</x:v>
      </x:c>
      <x:c r="L381" s="40" t="n">
        <x:f>ABS(K381)</x:f>
        <x:v>0</x:v>
      </x:c>
      <x:c r="M381" s="41" t="str">
        <x:v>lstm-soil-v1</x:v>
      </x:c>
    </x:row>
    <x:row r="382">
      <x:c r="A382" s="38" t="str">
        <x:v>7月30日现场数据</x:v>
      </x:c>
      <x:c r="B382" s="39" t="str">
        <x:v>2026-07-31T21:25:00</x:v>
      </x:c>
      <x:c r="C382" s="39" t="str">
        <x:v>2026-07-31T21:55:00</x:v>
      </x:c>
      <x:c r="D382" s="47" t="n">
        <x:v>30</x:v>
      </x:c>
      <x:c r="E382" s="40" t="n">
        <x:v>12</x:v>
      </x:c>
      <x:c r="F382" s="40" t="n">
        <x:v>10.457210540771484</x:v>
      </x:c>
      <x:c r="G382" s="40" t="n">
        <x:v>12</x:v>
      </x:c>
      <x:c r="H382" s="40" t="n">
        <x:f>F382-E382</x:f>
        <x:v>-1.5427894592285156</x:v>
      </x:c>
      <x:c r="I382" s="40" t="n">
        <x:f>ABS(H382)</x:f>
        <x:v>1.5427894592285156</x:v>
      </x:c>
      <x:c r="J382" s="40" t="n">
        <x:f>H382^2</x:f>
        <x:v>2.3801993155066157</x:v>
      </x:c>
      <x:c r="K382" s="40" t="n">
        <x:f>G382-E382</x:f>
        <x:v>0</x:v>
      </x:c>
      <x:c r="L382" s="40" t="n">
        <x:f>ABS(K382)</x:f>
        <x:v>0</x:v>
      </x:c>
      <x:c r="M382" s="41" t="str">
        <x:v>lstm-soil-v1</x:v>
      </x:c>
    </x:row>
    <x:row r="383">
      <x:c r="A383" s="38" t="str">
        <x:v>7月30日现场数据</x:v>
      </x:c>
      <x:c r="B383" s="39" t="str">
        <x:v>2026-07-31T21:25:00</x:v>
      </x:c>
      <x:c r="C383" s="39" t="str">
        <x:v>2026-07-31T22:25:00</x:v>
      </x:c>
      <x:c r="D383" s="47" t="n">
        <x:v>60</x:v>
      </x:c>
      <x:c r="E383" s="40" t="n">
        <x:v>12</x:v>
      </x:c>
      <x:c r="F383" s="40" t="n">
        <x:v>12.098602294921875</x:v>
      </x:c>
      <x:c r="G383" s="40" t="n">
        <x:v>12</x:v>
      </x:c>
      <x:c r="H383" s="40" t="n">
        <x:f>F383-E383</x:f>
        <x:v>0.098602294921875</x:v>
      </x:c>
      <x:c r="I383" s="40" t="n">
        <x:f>ABS(H383)</x:f>
        <x:v>0.098602294921875</x:v>
      </x:c>
      <x:c r="J383" s="40" t="n">
        <x:f>H383^2</x:f>
        <x:v>0.009722412563860416</x:v>
      </x:c>
      <x:c r="K383" s="40" t="n">
        <x:f>G383-E383</x:f>
        <x:v>0</x:v>
      </x:c>
      <x:c r="L383" s="40" t="n">
        <x:f>ABS(K383)</x:f>
        <x:v>0</x:v>
      </x:c>
      <x:c r="M383" s="41" t="str">
        <x:v>lstm-soil-v1</x:v>
      </x:c>
    </x:row>
    <x:row r="384">
      <x:c r="A384" s="38" t="str">
        <x:v>7月30日现场数据</x:v>
      </x:c>
      <x:c r="B384" s="39" t="str">
        <x:v>2026-07-31T21:30:00</x:v>
      </x:c>
      <x:c r="C384" s="39" t="str">
        <x:v>2026-07-31T21:35:00</x:v>
      </x:c>
      <x:c r="D384" s="47" t="n">
        <x:v>5</x:v>
      </x:c>
      <x:c r="E384" s="40" t="n">
        <x:v>12</x:v>
      </x:c>
      <x:c r="F384" s="40" t="n">
        <x:v>9.94674301147461</x:v>
      </x:c>
      <x:c r="G384" s="40" t="n">
        <x:v>12</x:v>
      </x:c>
      <x:c r="H384" s="40" t="n">
        <x:f>F384-E384</x:f>
        <x:v>-2.0532569885253906</x:v>
      </x:c>
      <x:c r="I384" s="40" t="n">
        <x:f>ABS(H384)</x:f>
        <x:v>2.0532569885253906</x:v>
      </x:c>
      <x:c r="J384" s="40" t="n">
        <x:f>H384^2</x:f>
        <x:v>4.215864260928356</x:v>
      </x:c>
      <x:c r="K384" s="40" t="n">
        <x:f>G384-E384</x:f>
        <x:v>0</x:v>
      </x:c>
      <x:c r="L384" s="40" t="n">
        <x:f>ABS(K384)</x:f>
        <x:v>0</x:v>
      </x:c>
      <x:c r="M384" s="41" t="str">
        <x:v>lstm-soil-v1</x:v>
      </x:c>
    </x:row>
    <x:row r="385">
      <x:c r="A385" s="38" t="str">
        <x:v>7月30日现场数据</x:v>
      </x:c>
      <x:c r="B385" s="39" t="str">
        <x:v>2026-07-31T21:30:00</x:v>
      </x:c>
      <x:c r="C385" s="39" t="str">
        <x:v>2026-07-31T21:45:00</x:v>
      </x:c>
      <x:c r="D385" s="47" t="n">
        <x:v>15</x:v>
      </x:c>
      <x:c r="E385" s="40" t="n">
        <x:v>12</x:v>
      </x:c>
      <x:c r="F385" s="40" t="n">
        <x:v>10.008914947509766</x:v>
      </x:c>
      <x:c r="G385" s="40" t="n">
        <x:v>12</x:v>
      </x:c>
      <x:c r="H385" s="40" t="n">
        <x:f>F385-E385</x:f>
        <x:v>-1.9910850524902344</x:v>
      </x:c>
      <x:c r="I385" s="40" t="n">
        <x:f>ABS(H385)</x:f>
        <x:v>1.9910850524902344</x:v>
      </x:c>
      <x:c r="J385" s="40" t="n">
        <x:f>H385^2</x:f>
        <x:v>3.9644196862500394</x:v>
      </x:c>
      <x:c r="K385" s="40" t="n">
        <x:f>G385-E385</x:f>
        <x:v>0</x:v>
      </x:c>
      <x:c r="L385" s="40" t="n">
        <x:f>ABS(K385)</x:f>
        <x:v>0</x:v>
      </x:c>
      <x:c r="M385" s="41" t="str">
        <x:v>lstm-soil-v1</x:v>
      </x:c>
    </x:row>
    <x:row r="386">
      <x:c r="A386" s="38" t="str">
        <x:v>7月30日现场数据</x:v>
      </x:c>
      <x:c r="B386" s="39" t="str">
        <x:v>2026-07-31T21:30:00</x:v>
      </x:c>
      <x:c r="C386" s="39" t="str">
        <x:v>2026-07-31T22:00:00</x:v>
      </x:c>
      <x:c r="D386" s="47" t="n">
        <x:v>30</x:v>
      </x:c>
      <x:c r="E386" s="40" t="n">
        <x:v>12</x:v>
      </x:c>
      <x:c r="F386" s="40" t="n">
        <x:v>10.457386016845703</x:v>
      </x:c>
      <x:c r="G386" s="40" t="n">
        <x:v>12</x:v>
      </x:c>
      <x:c r="H386" s="40" t="n">
        <x:f>F386-E386</x:f>
        <x:v>-1.5426139831542969</x:v>
      </x:c>
      <x:c r="I386" s="40" t="n">
        <x:f>ABS(H386)</x:f>
        <x:v>1.5426139831542969</x:v>
      </x:c>
      <x:c r="J386" s="40" t="n">
        <x:f>H386^2</x:f>
        <x:v>2.3796579010231653</x:v>
      </x:c>
      <x:c r="K386" s="40" t="n">
        <x:f>G386-E386</x:f>
        <x:v>0</x:v>
      </x:c>
      <x:c r="L386" s="40" t="n">
        <x:f>ABS(K386)</x:f>
        <x:v>0</x:v>
      </x:c>
      <x:c r="M386" s="41" t="str">
        <x:v>lstm-soil-v1</x:v>
      </x:c>
    </x:row>
    <x:row r="387">
      <x:c r="A387" s="38" t="str">
        <x:v>7月30日现场数据</x:v>
      </x:c>
      <x:c r="B387" s="39" t="str">
        <x:v>2026-07-31T21:30:00</x:v>
      </x:c>
      <x:c r="C387" s="39" t="str">
        <x:v>2026-07-31T22:30:00</x:v>
      </x:c>
      <x:c r="D387" s="47" t="n">
        <x:v>60</x:v>
      </x:c>
      <x:c r="E387" s="40" t="n">
        <x:v>12</x:v>
      </x:c>
      <x:c r="F387" s="40" t="n">
        <x:v>12.0970458984375</x:v>
      </x:c>
      <x:c r="G387" s="40" t="n">
        <x:v>12</x:v>
      </x:c>
      <x:c r="H387" s="40" t="n">
        <x:f>F387-E387</x:f>
        <x:v>0.0970458984375</x:v>
      </x:c>
      <x:c r="I387" s="40" t="n">
        <x:f>ABS(H387)</x:f>
        <x:v>0.0970458984375</x:v>
      </x:c>
      <x:c r="J387" s="40" t="n">
        <x:f>H387^2</x:f>
        <x:v>0.009417906403541565</x:v>
      </x:c>
      <x:c r="K387" s="40" t="n">
        <x:f>G387-E387</x:f>
        <x:v>0</x:v>
      </x:c>
      <x:c r="L387" s="40" t="n">
        <x:f>ABS(K387)</x:f>
        <x:v>0</x:v>
      </x:c>
      <x:c r="M387" s="41" t="str">
        <x:v>lstm-soil-v1</x:v>
      </x:c>
    </x:row>
    <x:row r="388">
      <x:c r="A388" s="38" t="str">
        <x:v>7月30日现场数据</x:v>
      </x:c>
      <x:c r="B388" s="39" t="str">
        <x:v>2026-07-31T21:35:00</x:v>
      </x:c>
      <x:c r="C388" s="39" t="str">
        <x:v>2026-07-31T21:40:00</x:v>
      </x:c>
      <x:c r="D388" s="47" t="n">
        <x:v>5</x:v>
      </x:c>
      <x:c r="E388" s="40" t="n">
        <x:v>12</x:v>
      </x:c>
      <x:c r="F388" s="40" t="n">
        <x:v>9.946880340576172</x:v>
      </x:c>
      <x:c r="G388" s="40" t="n">
        <x:v>12</x:v>
      </x:c>
      <x:c r="H388" s="40" t="n">
        <x:f>F388-E388</x:f>
        <x:v>-2.053119659423828</x:v>
      </x:c>
      <x:c r="I388" s="40" t="n">
        <x:f>ABS(H388)</x:f>
        <x:v>2.053119659423828</x:v>
      </x:c>
      <x:c r="J388" s="40" t="n">
        <x:f>H388^2</x:f>
        <x:v>4.215300335912616</x:v>
      </x:c>
      <x:c r="K388" s="40" t="n">
        <x:f>G388-E388</x:f>
        <x:v>0</x:v>
      </x:c>
      <x:c r="L388" s="40" t="n">
        <x:f>ABS(K388)</x:f>
        <x:v>0</x:v>
      </x:c>
      <x:c r="M388" s="41" t="str">
        <x:v>lstm-soil-v1</x:v>
      </x:c>
    </x:row>
    <x:row r="389">
      <x:c r="A389" s="38" t="str">
        <x:v>7月30日现场数据</x:v>
      </x:c>
      <x:c r="B389" s="39" t="str">
        <x:v>2026-07-31T21:35:00</x:v>
      </x:c>
      <x:c r="C389" s="39" t="str">
        <x:v>2026-07-31T21:50:00</x:v>
      </x:c>
      <x:c r="D389" s="47" t="n">
        <x:v>15</x:v>
      </x:c>
      <x:c r="E389" s="40" t="n">
        <x:v>12</x:v>
      </x:c>
      <x:c r="F389" s="40" t="n">
        <x:v>10.00851821899414</x:v>
      </x:c>
      <x:c r="G389" s="40" t="n">
        <x:v>12</x:v>
      </x:c>
      <x:c r="H389" s="40" t="n">
        <x:f>F389-E389</x:f>
        <x:v>-1.9914817810058594</x:v>
      </x:c>
      <x:c r="I389" s="40" t="n">
        <x:f>ABS(H389)</x:f>
        <x:v>1.9914817810058594</x:v>
      </x:c>
      <x:c r="J389" s="40" t="n">
        <x:f>H389^2</x:f>
        <x:v>3.9659996840782696</x:v>
      </x:c>
      <x:c r="K389" s="40" t="n">
        <x:f>G389-E389</x:f>
        <x:v>0</x:v>
      </x:c>
      <x:c r="L389" s="40" t="n">
        <x:f>ABS(K389)</x:f>
        <x:v>0</x:v>
      </x:c>
      <x:c r="M389" s="41" t="str">
        <x:v>lstm-soil-v1</x:v>
      </x:c>
    </x:row>
    <x:row r="390">
      <x:c r="A390" s="38" t="str">
        <x:v>7月30日现场数据</x:v>
      </x:c>
      <x:c r="B390" s="39" t="str">
        <x:v>2026-07-31T21:35:00</x:v>
      </x:c>
      <x:c r="C390" s="39" t="str">
        <x:v>2026-07-31T22:05:00</x:v>
      </x:c>
      <x:c r="D390" s="47" t="n">
        <x:v>30</x:v>
      </x:c>
      <x:c r="E390" s="40" t="n">
        <x:v>12</x:v>
      </x:c>
      <x:c r="F390" s="40" t="n">
        <x:v>10.458118438720703</x:v>
      </x:c>
      <x:c r="G390" s="40" t="n">
        <x:v>12</x:v>
      </x:c>
      <x:c r="H390" s="40" t="n">
        <x:f>F390-E390</x:f>
        <x:v>-1.5418815612792969</x:v>
      </x:c>
      <x:c r="I390" s="40" t="n">
        <x:f>ABS(H390)</x:f>
        <x:v>1.5418815612792969</x:v>
      </x:c>
      <x:c r="J390" s="40" t="n">
        <x:f>H390^2</x:f>
        <x:v>2.377398749013082</x:v>
      </x:c>
      <x:c r="K390" s="40" t="n">
        <x:f>G390-E390</x:f>
        <x:v>0</x:v>
      </x:c>
      <x:c r="L390" s="40" t="n">
        <x:f>ABS(K390)</x:f>
        <x:v>0</x:v>
      </x:c>
      <x:c r="M390" s="41" t="str">
        <x:v>lstm-soil-v1</x:v>
      </x:c>
    </x:row>
    <x:row r="391">
      <x:c r="A391" s="38" t="str">
        <x:v>7月30日现场数据</x:v>
      </x:c>
      <x:c r="B391" s="39" t="str">
        <x:v>2026-07-31T21:35:00</x:v>
      </x:c>
      <x:c r="C391" s="39" t="str">
        <x:v>2026-07-31T22:35:00</x:v>
      </x:c>
      <x:c r="D391" s="47" t="n">
        <x:v>60</x:v>
      </x:c>
      <x:c r="E391" s="40" t="n">
        <x:v>12</x:v>
      </x:c>
      <x:c r="F391" s="40" t="n">
        <x:v>12.097240447998047</x:v>
      </x:c>
      <x:c r="G391" s="40" t="n">
        <x:v>12</x:v>
      </x:c>
      <x:c r="H391" s="40" t="n">
        <x:f>F391-E391</x:f>
        <x:v>0.09724044799804688</x:v>
      </x:c>
      <x:c r="I391" s="40" t="n">
        <x:f>ABS(H391)</x:f>
        <x:v>0.09724044799804688</x:v>
      </x:c>
      <x:c r="J391" s="40" t="n">
        <x:f>H391^2</x:f>
        <x:v>0.009455704726860859</x:v>
      </x:c>
      <x:c r="K391" s="40" t="n">
        <x:f>G391-E391</x:f>
        <x:v>0</x:v>
      </x:c>
      <x:c r="L391" s="40" t="n">
        <x:f>ABS(K391)</x:f>
        <x:v>0</x:v>
      </x:c>
      <x:c r="M391" s="41" t="str">
        <x:v>lstm-soil-v1</x:v>
      </x:c>
    </x:row>
    <x:row r="392">
      <x:c r="A392" s="38" t="str">
        <x:v>7月30日现场数据</x:v>
      </x:c>
      <x:c r="B392" s="39" t="str">
        <x:v>2026-07-31T21:40:00</x:v>
      </x:c>
      <x:c r="C392" s="39" t="str">
        <x:v>2026-07-31T21:45:00</x:v>
      </x:c>
      <x:c r="D392" s="47" t="n">
        <x:v>5</x:v>
      </x:c>
      <x:c r="E392" s="40" t="n">
        <x:v>12</x:v>
      </x:c>
      <x:c r="F392" s="40" t="n">
        <x:v>9.94708251953125</x:v>
      </x:c>
      <x:c r="G392" s="40" t="n">
        <x:v>12</x:v>
      </x:c>
      <x:c r="H392" s="40" t="n">
        <x:f>F392-E392</x:f>
        <x:v>-2.05291748046875</x:v>
      </x:c>
      <x:c r="I392" s="40" t="n">
        <x:f>ABS(H392)</x:f>
        <x:v>2.05291748046875</x:v>
      </x:c>
      <x:c r="J392" s="40" t="n">
        <x:f>H392^2</x:f>
        <x:v>4.2144701816141605</x:v>
      </x:c>
      <x:c r="K392" s="40" t="n">
        <x:f>G392-E392</x:f>
        <x:v>0</x:v>
      </x:c>
      <x:c r="L392" s="40" t="n">
        <x:f>ABS(K392)</x:f>
        <x:v>0</x:v>
      </x:c>
      <x:c r="M392" s="41" t="str">
        <x:v>lstm-soil-v1</x:v>
      </x:c>
    </x:row>
    <x:row r="393">
      <x:c r="A393" s="38" t="str">
        <x:v>7月30日现场数据</x:v>
      </x:c>
      <x:c r="B393" s="39" t="str">
        <x:v>2026-07-31T21:40:00</x:v>
      </x:c>
      <x:c r="C393" s="39" t="str">
        <x:v>2026-07-31T21:55:00</x:v>
      </x:c>
      <x:c r="D393" s="47" t="n">
        <x:v>15</x:v>
      </x:c>
      <x:c r="E393" s="40" t="n">
        <x:v>12</x:v>
      </x:c>
      <x:c r="F393" s="40" t="n">
        <x:v>10.008331298828125</x:v>
      </x:c>
      <x:c r="G393" s="40" t="n">
        <x:v>12</x:v>
      </x:c>
      <x:c r="H393" s="40" t="n">
        <x:f>F393-E393</x:f>
        <x:v>-1.991668701171875</x:v>
      </x:c>
      <x:c r="I393" s="40" t="n">
        <x:f>ABS(H393)</x:f>
        <x:v>1.991668701171875</x:v>
      </x:c>
      <x:c r="J393" s="40" t="n">
        <x:f>H393^2</x:f>
        <x:v>3.9667442152276635</x:v>
      </x:c>
      <x:c r="K393" s="40" t="n">
        <x:f>G393-E393</x:f>
        <x:v>0</x:v>
      </x:c>
      <x:c r="L393" s="40" t="n">
        <x:f>ABS(K393)</x:f>
        <x:v>0</x:v>
      </x:c>
      <x:c r="M393" s="41" t="str">
        <x:v>lstm-soil-v1</x:v>
      </x:c>
    </x:row>
    <x:row r="394">
      <x:c r="A394" s="38" t="str">
        <x:v>7月30日现场数据</x:v>
      </x:c>
      <x:c r="B394" s="39" t="str">
        <x:v>2026-07-31T21:40:00</x:v>
      </x:c>
      <x:c r="C394" s="39" t="str">
        <x:v>2026-07-31T22:10:00</x:v>
      </x:c>
      <x:c r="D394" s="47" t="n">
        <x:v>30</x:v>
      </x:c>
      <x:c r="E394" s="40" t="n">
        <x:v>12</x:v>
      </x:c>
      <x:c r="F394" s="40" t="n">
        <x:v>10.458908081054688</x:v>
      </x:c>
      <x:c r="G394" s="40" t="n">
        <x:v>12</x:v>
      </x:c>
      <x:c r="H394" s="40" t="n">
        <x:f>F394-E394</x:f>
        <x:v>-1.5410919189453125</x:v>
      </x:c>
      <x:c r="I394" s="40" t="n">
        <x:f>ABS(H394)</x:f>
        <x:v>1.5410919189453125</x:v>
      </x:c>
      <x:c r="J394" s="40" t="n">
        <x:f>H394^2</x:f>
        <x:v>2.3749643026385456</x:v>
      </x:c>
      <x:c r="K394" s="40" t="n">
        <x:f>G394-E394</x:f>
        <x:v>0</x:v>
      </x:c>
      <x:c r="L394" s="40" t="n">
        <x:f>ABS(K394)</x:f>
        <x:v>0</x:v>
      </x:c>
      <x:c r="M394" s="41" t="str">
        <x:v>lstm-soil-v1</x:v>
      </x:c>
    </x:row>
    <x:row r="395">
      <x:c r="A395" s="38" t="str">
        <x:v>7月30日现场数据</x:v>
      </x:c>
      <x:c r="B395" s="39" t="str">
        <x:v>2026-07-31T21:40:00</x:v>
      </x:c>
      <x:c r="C395" s="39" t="str">
        <x:v>2026-07-31T22:40:00</x:v>
      </x:c>
      <x:c r="D395" s="47" t="n">
        <x:v>60</x:v>
      </x:c>
      <x:c r="E395" s="40" t="n">
        <x:v>12</x:v>
      </x:c>
      <x:c r="F395" s="40" t="n">
        <x:v>12.0975341796875</x:v>
      </x:c>
      <x:c r="G395" s="40" t="n">
        <x:v>12</x:v>
      </x:c>
      <x:c r="H395" s="40" t="n">
        <x:f>F395-E395</x:f>
        <x:v>0.0975341796875</x:v>
      </x:c>
      <x:c r="I395" s="40" t="n">
        <x:f>ABS(H395)</x:f>
        <x:v>0.0975341796875</x:v>
      </x:c>
      <x:c r="J395" s="40" t="n">
        <x:f>H395^2</x:f>
        <x:v>0.009512916207313538</x:v>
      </x:c>
      <x:c r="K395" s="40" t="n">
        <x:f>G395-E395</x:f>
        <x:v>0</x:v>
      </x:c>
      <x:c r="L395" s="40" t="n">
        <x:f>ABS(K395)</x:f>
        <x:v>0</x:v>
      </x:c>
      <x:c r="M395" s="41" t="str">
        <x:v>lstm-soil-v1</x:v>
      </x:c>
    </x:row>
    <x:row r="396">
      <x:c r="A396" s="38" t="str">
        <x:v>7月30日现场数据</x:v>
      </x:c>
      <x:c r="B396" s="39" t="str">
        <x:v>2026-07-31T21:45:00</x:v>
      </x:c>
      <x:c r="C396" s="39" t="str">
        <x:v>2026-07-31T21:50:00</x:v>
      </x:c>
      <x:c r="D396" s="47" t="n">
        <x:v>5</x:v>
      </x:c>
      <x:c r="E396" s="40" t="n">
        <x:v>12</x:v>
      </x:c>
      <x:c r="F396" s="40" t="n">
        <x:v>9.947288513183594</x:v>
      </x:c>
      <x:c r="G396" s="40" t="n">
        <x:v>12</x:v>
      </x:c>
      <x:c r="H396" s="40" t="n">
        <x:f>F396-E396</x:f>
        <x:v>-2.0527114868164062</x:v>
      </x:c>
      <x:c r="I396" s="40" t="n">
        <x:f>ABS(H396)</x:f>
        <x:v>2.0527114868164062</x:v>
      </x:c>
      <x:c r="J396" s="40" t="n">
        <x:f>H396^2</x:f>
        <x:v>4.213624448108021</x:v>
      </x:c>
      <x:c r="K396" s="40" t="n">
        <x:f>G396-E396</x:f>
        <x:v>0</x:v>
      </x:c>
      <x:c r="L396" s="40" t="n">
        <x:f>ABS(K396)</x:f>
        <x:v>0</x:v>
      </x:c>
      <x:c r="M396" s="41" t="str">
        <x:v>lstm-soil-v1</x:v>
      </x:c>
    </x:row>
    <x:row r="397">
      <x:c r="A397" s="38" t="str">
        <x:v>7月30日现场数据</x:v>
      </x:c>
      <x:c r="B397" s="39" t="str">
        <x:v>2026-07-31T21:45:00</x:v>
      </x:c>
      <x:c r="C397" s="39" t="str">
        <x:v>2026-07-31T22:00:00</x:v>
      </x:c>
      <x:c r="D397" s="47" t="n">
        <x:v>15</x:v>
      </x:c>
      <x:c r="E397" s="40" t="n">
        <x:v>12</x:v>
      </x:c>
      <x:c r="F397" s="40" t="n">
        <x:v>10.00826644897461</x:v>
      </x:c>
      <x:c r="G397" s="40" t="n">
        <x:v>12</x:v>
      </x:c>
      <x:c r="H397" s="40" t="n">
        <x:f>F397-E397</x:f>
        <x:v>-1.9917335510253906</x:v>
      </x:c>
      <x:c r="I397" s="40" t="n">
        <x:f>ABS(H397)</x:f>
        <x:v>1.9917335510253906</x:v>
      </x:c>
      <x:c r="J397" s="40" t="n">
        <x:f>H397^2</x:f>
        <x:v>3.9670025382802123</x:v>
      </x:c>
      <x:c r="K397" s="40" t="n">
        <x:f>G397-E397</x:f>
        <x:v>0</x:v>
      </x:c>
      <x:c r="L397" s="40" t="n">
        <x:f>ABS(K397)</x:f>
        <x:v>0</x:v>
      </x:c>
      <x:c r="M397" s="41" t="str">
        <x:v>lstm-soil-v1</x:v>
      </x:c>
    </x:row>
    <x:row r="398">
      <x:c r="A398" s="38" t="str">
        <x:v>7月30日现场数据</x:v>
      </x:c>
      <x:c r="B398" s="39" t="str">
        <x:v>2026-07-31T21:45:00</x:v>
      </x:c>
      <x:c r="C398" s="39" t="str">
        <x:v>2026-07-31T22:15:00</x:v>
      </x:c>
      <x:c r="D398" s="47" t="n">
        <x:v>30</x:v>
      </x:c>
      <x:c r="E398" s="40" t="n">
        <x:v>12</x:v>
      </x:c>
      <x:c r="F398" s="40" t="n">
        <x:v>10.45962905883789</x:v>
      </x:c>
      <x:c r="G398" s="40" t="n">
        <x:v>12</x:v>
      </x:c>
      <x:c r="H398" s="40" t="n">
        <x:f>F398-E398</x:f>
        <x:v>-1.5403709411621094</x:v>
      </x:c>
      <x:c r="I398" s="40" t="n">
        <x:f>ABS(H398)</x:f>
        <x:v>1.5403709411621094</x:v>
      </x:c>
      <x:c r="J398" s="40" t="n">
        <x:f>H398^2</x:f>
        <x:v>2.3727426363766426</x:v>
      </x:c>
      <x:c r="K398" s="40" t="n">
        <x:f>G398-E398</x:f>
        <x:v>0</x:v>
      </x:c>
      <x:c r="L398" s="40" t="n">
        <x:f>ABS(K398)</x:f>
        <x:v>0</x:v>
      </x:c>
      <x:c r="M398" s="41" t="str">
        <x:v>lstm-soil-v1</x:v>
      </x:c>
    </x:row>
    <x:row r="399">
      <x:c r="A399" s="38" t="str">
        <x:v>7月30日现场数据</x:v>
      </x:c>
      <x:c r="B399" s="39" t="str">
        <x:v>2026-07-31T21:45:00</x:v>
      </x:c>
      <x:c r="C399" s="39" t="str">
        <x:v>2026-07-31T22:45:00</x:v>
      </x:c>
      <x:c r="D399" s="47" t="n">
        <x:v>60</x:v>
      </x:c>
      <x:c r="E399" s="40" t="n">
        <x:v>12</x:v>
      </x:c>
      <x:c r="F399" s="40" t="n">
        <x:v>12.097869873046875</x:v>
      </x:c>
      <x:c r="G399" s="40" t="n">
        <x:v>12</x:v>
      </x:c>
      <x:c r="H399" s="40" t="n">
        <x:f>F399-E399</x:f>
        <x:v>0.097869873046875</x:v>
      </x:c>
      <x:c r="I399" s="40" t="n">
        <x:f>ABS(H399)</x:f>
        <x:v>0.097869873046875</x:v>
      </x:c>
      <x:c r="J399" s="40" t="n">
        <x:f>H399^2</x:f>
        <x:v>0.00957851205021143</x:v>
      </x:c>
      <x:c r="K399" s="40" t="n">
        <x:f>G399-E399</x:f>
        <x:v>0</x:v>
      </x:c>
      <x:c r="L399" s="40" t="n">
        <x:f>ABS(K399)</x:f>
        <x:v>0</x:v>
      </x:c>
      <x:c r="M399" s="41" t="str">
        <x:v>lstm-soil-v1</x:v>
      </x:c>
    </x:row>
    <x:row r="400">
      <x:c r="A400" s="38" t="str">
        <x:v>7月30日现场数据</x:v>
      </x:c>
      <x:c r="B400" s="39" t="str">
        <x:v>2026-07-31T21:50:00</x:v>
      </x:c>
      <x:c r="C400" s="39" t="str">
        <x:v>2026-07-31T21:55:00</x:v>
      </x:c>
      <x:c r="D400" s="47" t="n">
        <x:v>5</x:v>
      </x:c>
      <x:c r="E400" s="40" t="n">
        <x:v>12</x:v>
      </x:c>
      <x:c r="F400" s="40" t="n">
        <x:v>9.947490692138672</x:v>
      </x:c>
      <x:c r="G400" s="40" t="n">
        <x:v>12</x:v>
      </x:c>
      <x:c r="H400" s="40" t="n">
        <x:f>F400-E400</x:f>
        <x:v>-2.052509307861328</x:v>
      </x:c>
      <x:c r="I400" s="40" t="n">
        <x:f>ABS(H400)</x:f>
        <x:v>2.052509307861328</x:v>
      </x:c>
      <x:c r="J400" s="40" t="n">
        <x:f>H400^2</x:f>
        <x:v>4.212794458857388</x:v>
      </x:c>
      <x:c r="K400" s="40" t="n">
        <x:f>G400-E400</x:f>
        <x:v>0</x:v>
      </x:c>
      <x:c r="L400" s="40" t="n">
        <x:f>ABS(K400)</x:f>
        <x:v>0</x:v>
      </x:c>
      <x:c r="M400" s="41" t="str">
        <x:v>lstm-soil-v1</x:v>
      </x:c>
    </x:row>
    <x:row r="401">
      <x:c r="A401" s="38" t="str">
        <x:v>7月30日现场数据</x:v>
      </x:c>
      <x:c r="B401" s="39" t="str">
        <x:v>2026-07-31T21:50:00</x:v>
      </x:c>
      <x:c r="C401" s="39" t="str">
        <x:v>2026-07-31T22:05:00</x:v>
      </x:c>
      <x:c r="D401" s="47" t="n">
        <x:v>15</x:v>
      </x:c>
      <x:c r="E401" s="40" t="n">
        <x:v>12</x:v>
      </x:c>
      <x:c r="F401" s="40" t="n">
        <x:v>10.008296966552734</x:v>
      </x:c>
      <x:c r="G401" s="40" t="n">
        <x:v>12</x:v>
      </x:c>
      <x:c r="H401" s="40" t="n">
        <x:f>F401-E401</x:f>
        <x:v>-1.9917030334472656</x:v>
      </x:c>
      <x:c r="I401" s="40" t="n">
        <x:f>ABS(H401)</x:f>
        <x:v>1.9917030334472656</x:v>
      </x:c>
      <x:c r="J401" s="40" t="n">
        <x:f>H401^2</x:f>
        <x:v>3.9668809734430397</x:v>
      </x:c>
      <x:c r="K401" s="40" t="n">
        <x:f>G401-E401</x:f>
        <x:v>0</x:v>
      </x:c>
      <x:c r="L401" s="40" t="n">
        <x:f>ABS(K401)</x:f>
        <x:v>0</x:v>
      </x:c>
      <x:c r="M401" s="41" t="str">
        <x:v>lstm-soil-v1</x:v>
      </x:c>
    </x:row>
    <x:row r="402">
      <x:c r="A402" s="38" t="str">
        <x:v>7月30日现场数据</x:v>
      </x:c>
      <x:c r="B402" s="39" t="str">
        <x:v>2026-07-31T21:50:00</x:v>
      </x:c>
      <x:c r="C402" s="39" t="str">
        <x:v>2026-07-31T22:20:00</x:v>
      </x:c>
      <x:c r="D402" s="47" t="n">
        <x:v>30</x:v>
      </x:c>
      <x:c r="E402" s="40" t="n">
        <x:v>12</x:v>
      </x:c>
      <x:c r="F402" s="40" t="n">
        <x:v>10.460289001464844</x:v>
      </x:c>
      <x:c r="G402" s="40" t="n">
        <x:v>12</x:v>
      </x:c>
      <x:c r="H402" s="40" t="n">
        <x:f>F402-E402</x:f>
        <x:v>-1.5397109985351562</x:v>
      </x:c>
      <x:c r="I402" s="40" t="n">
        <x:f>ABS(H402)</x:f>
        <x:v>1.5397109985351562</x:v>
      </x:c>
      <x:c r="J402" s="40" t="n">
        <x:f>H402^2</x:f>
        <x:v>2.370709959010128</x:v>
      </x:c>
      <x:c r="K402" s="40" t="n">
        <x:f>G402-E402</x:f>
        <x:v>0</x:v>
      </x:c>
      <x:c r="L402" s="40" t="n">
        <x:f>ABS(K402)</x:f>
        <x:v>0</x:v>
      </x:c>
      <x:c r="M402" s="41" t="str">
        <x:v>lstm-soil-v1</x:v>
      </x:c>
    </x:row>
    <x:row r="403">
      <x:c r="A403" s="38" t="str">
        <x:v>7月30日现场数据</x:v>
      </x:c>
      <x:c r="B403" s="39" t="str">
        <x:v>2026-07-31T21:50:00</x:v>
      </x:c>
      <x:c r="C403" s="39" t="str">
        <x:v>2026-07-31T22:50:00</x:v>
      </x:c>
      <x:c r="D403" s="47" t="n">
        <x:v>60</x:v>
      </x:c>
      <x:c r="E403" s="40" t="n">
        <x:v>12</x:v>
      </x:c>
      <x:c r="F403" s="40" t="n">
        <x:v>12.098201751708984</x:v>
      </x:c>
      <x:c r="G403" s="40" t="n">
        <x:v>12</x:v>
      </x:c>
      <x:c r="H403" s="40" t="n">
        <x:f>F403-E403</x:f>
        <x:v>0.09820175170898438</x:v>
      </x:c>
      <x:c r="I403" s="40" t="n">
        <x:f>ABS(H403)</x:f>
        <x:v>0.09820175170898438</x:v>
      </x:c>
      <x:c r="J403" s="40" t="n">
        <x:f>H403^2</x:f>
        <x:v>0.009643584038713016</x:v>
      </x:c>
      <x:c r="K403" s="40" t="n">
        <x:f>G403-E403</x:f>
        <x:v>0</x:v>
      </x:c>
      <x:c r="L403" s="40" t="n">
        <x:f>ABS(K403)</x:f>
        <x:v>0</x:v>
      </x:c>
      <x:c r="M403" s="41" t="str">
        <x:v>lstm-soil-v1</x:v>
      </x:c>
    </x:row>
    <x:row r="404">
      <x:c r="A404" s="38" t="str">
        <x:v>7月30日现场数据</x:v>
      </x:c>
      <x:c r="B404" s="39" t="str">
        <x:v>2026-07-31T21:55:00</x:v>
      </x:c>
      <x:c r="C404" s="39" t="str">
        <x:v>2026-07-31T22:00:00</x:v>
      </x:c>
      <x:c r="D404" s="47" t="n">
        <x:v>5</x:v>
      </x:c>
      <x:c r="E404" s="40" t="n">
        <x:v>12</x:v>
      </x:c>
      <x:c r="F404" s="40" t="n">
        <x:v>9.947673797607422</x:v>
      </x:c>
      <x:c r="G404" s="40" t="n">
        <x:v>12</x:v>
      </x:c>
      <x:c r="H404" s="40" t="n">
        <x:f>F404-E404</x:f>
        <x:v>-2.052326202392578</x:v>
      </x:c>
      <x:c r="I404" s="40" t="n">
        <x:f>ABS(H404)</x:f>
        <x:v>2.052326202392578</x:v>
      </x:c>
      <x:c r="J404" s="40" t="n">
        <x:f>H404^2</x:f>
        <x:v>4.2120428410271415</x:v>
      </x:c>
      <x:c r="K404" s="40" t="n">
        <x:f>G404-E404</x:f>
        <x:v>0</x:v>
      </x:c>
      <x:c r="L404" s="40" t="n">
        <x:f>ABS(K404)</x:f>
        <x:v>0</x:v>
      </x:c>
      <x:c r="M404" s="41" t="str">
        <x:v>lstm-soil-v1</x:v>
      </x:c>
    </x:row>
    <x:row r="405">
      <x:c r="A405" s="38" t="str">
        <x:v>7月30日现场数据</x:v>
      </x:c>
      <x:c r="B405" s="39" t="str">
        <x:v>2026-07-31T21:55:00</x:v>
      </x:c>
      <x:c r="C405" s="39" t="str">
        <x:v>2026-07-31T22:10:00</x:v>
      </x:c>
      <x:c r="D405" s="47" t="n">
        <x:v>15</x:v>
      </x:c>
      <x:c r="E405" s="40" t="n">
        <x:v>12</x:v>
      </x:c>
      <x:c r="F405" s="40" t="n">
        <x:v>10.00836181640625</x:v>
      </x:c>
      <x:c r="G405" s="40" t="n">
        <x:v>12</x:v>
      </x:c>
      <x:c r="H405" s="40" t="n">
        <x:f>F405-E405</x:f>
        <x:v>-1.99163818359375</x:v>
      </x:c>
      <x:c r="I405" s="40" t="n">
        <x:f>ABS(H405)</x:f>
        <x:v>1.99163818359375</x:v>
      </x:c>
      <x:c r="J405" s="40" t="n">
        <x:f>H405^2</x:f>
        <x:v>3.966622654348612</x:v>
      </x:c>
      <x:c r="K405" s="40" t="n">
        <x:f>G405-E405</x:f>
        <x:v>0</x:v>
      </x:c>
      <x:c r="L405" s="40" t="n">
        <x:f>ABS(K405)</x:f>
        <x:v>0</x:v>
      </x:c>
      <x:c r="M405" s="41" t="str">
        <x:v>lstm-soil-v1</x:v>
      </x:c>
    </x:row>
    <x:row r="406">
      <x:c r="A406" s="38" t="str">
        <x:v>7月30日现场数据</x:v>
      </x:c>
      <x:c r="B406" s="39" t="str">
        <x:v>2026-07-31T21:55:00</x:v>
      </x:c>
      <x:c r="C406" s="39" t="str">
        <x:v>2026-07-31T22:25:00</x:v>
      </x:c>
      <x:c r="D406" s="47" t="n">
        <x:v>30</x:v>
      </x:c>
      <x:c r="E406" s="40" t="n">
        <x:v>12</x:v>
      </x:c>
      <x:c r="F406" s="40" t="n">
        <x:v>10.460845947265625</x:v>
      </x:c>
      <x:c r="G406" s="40" t="n">
        <x:v>12</x:v>
      </x:c>
      <x:c r="H406" s="40" t="n">
        <x:f>F406-E406</x:f>
        <x:v>-1.539154052734375</x:v>
      </x:c>
      <x:c r="I406" s="40" t="n">
        <x:f>ABS(H406)</x:f>
        <x:v>1.539154052734375</x:v>
      </x:c>
      <x:c r="J406" s="40" t="n">
        <x:f>H406^2</x:f>
        <x:v>2.368995198048651</x:v>
      </x:c>
      <x:c r="K406" s="40" t="n">
        <x:f>G406-E406</x:f>
        <x:v>0</x:v>
      </x:c>
      <x:c r="L406" s="40" t="n">
        <x:f>ABS(K406)</x:f>
        <x:v>0</x:v>
      </x:c>
      <x:c r="M406" s="41" t="str">
        <x:v>lstm-soil-v1</x:v>
      </x:c>
    </x:row>
    <x:row r="407">
      <x:c r="A407" s="38" t="str">
        <x:v>7月30日现场数据</x:v>
      </x:c>
      <x:c r="B407" s="39" t="str">
        <x:v>2026-07-31T21:55:00</x:v>
      </x:c>
      <x:c r="C407" s="39" t="str">
        <x:v>2026-07-31T22:55:00</x:v>
      </x:c>
      <x:c r="D407" s="47" t="n">
        <x:v>60</x:v>
      </x:c>
      <x:c r="E407" s="40" t="n">
        <x:v>12</x:v>
      </x:c>
      <x:c r="F407" s="40" t="n">
        <x:v>12.098495483398438</x:v>
      </x:c>
      <x:c r="G407" s="40" t="n">
        <x:v>12</x:v>
      </x:c>
      <x:c r="H407" s="40" t="n">
        <x:f>F407-E407</x:f>
        <x:v>0.0984954833984375</x:v>
      </x:c>
      <x:c r="I407" s="40" t="n">
        <x:f>ABS(H407)</x:f>
        <x:v>0.0984954833984375</x:v>
      </x:c>
      <x:c r="J407" s="40" t="n">
        <x:f>H407^2</x:f>
        <x:v>0.009701360249891877</x:v>
      </x:c>
      <x:c r="K407" s="40" t="n">
        <x:f>G407-E407</x:f>
        <x:v>0</x:v>
      </x:c>
      <x:c r="L407" s="40" t="n">
        <x:f>ABS(K407)</x:f>
        <x:v>0</x:v>
      </x:c>
      <x:c r="M407" s="41" t="str">
        <x:v>lstm-soil-v1</x:v>
      </x:c>
    </x:row>
    <x:row r="408">
      <x:c r="A408" s="38" t="str">
        <x:v>7月30日现场数据</x:v>
      </x:c>
      <x:c r="B408" s="39" t="str">
        <x:v>2026-07-31T22:00:00</x:v>
      </x:c>
      <x:c r="C408" s="39" t="str">
        <x:v>2026-07-31T22:05:00</x:v>
      </x:c>
      <x:c r="D408" s="47" t="n">
        <x:v>5</x:v>
      </x:c>
      <x:c r="E408" s="40" t="n">
        <x:v>12</x:v>
      </x:c>
      <x:c r="F408" s="40" t="n">
        <x:v>9.944435119628906</x:v>
      </x:c>
      <x:c r="G408" s="40" t="n">
        <x:v>12</x:v>
      </x:c>
      <x:c r="H408" s="40" t="n">
        <x:f>F408-E408</x:f>
        <x:v>-2.0555648803710938</x:v>
      </x:c>
      <x:c r="I408" s="40" t="n">
        <x:f>ABS(H408)</x:f>
        <x:v>2.0555648803710938</x:v>
      </x:c>
      <x:c r="J408" s="40" t="n">
        <x:f>H408^2</x:f>
        <x:v>4.225346977415029</x:v>
      </x:c>
      <x:c r="K408" s="40" t="n">
        <x:f>G408-E408</x:f>
        <x:v>0</x:v>
      </x:c>
      <x:c r="L408" s="40" t="n">
        <x:f>ABS(K408)</x:f>
        <x:v>0</x:v>
      </x:c>
      <x:c r="M408" s="41" t="str">
        <x:v>lstm-soil-v1</x:v>
      </x:c>
    </x:row>
    <x:row r="409">
      <x:c r="A409" s="38" t="str">
        <x:v>7月30日现场数据</x:v>
      </x:c>
      <x:c r="B409" s="39" t="str">
        <x:v>2026-07-31T22:00:00</x:v>
      </x:c>
      <x:c r="C409" s="39" t="str">
        <x:v>2026-07-31T22:15:00</x:v>
      </x:c>
      <x:c r="D409" s="47" t="n">
        <x:v>15</x:v>
      </x:c>
      <x:c r="E409" s="40" t="n">
        <x:v>12</x:v>
      </x:c>
      <x:c r="F409" s="40" t="n">
        <x:v>10.006378173828125</x:v>
      </x:c>
      <x:c r="G409" s="40" t="n">
        <x:v>12</x:v>
      </x:c>
      <x:c r="H409" s="40" t="n">
        <x:f>F409-E409</x:f>
        <x:v>-1.993621826171875</x:v>
      </x:c>
      <x:c r="I409" s="40" t="n">
        <x:f>ABS(H409)</x:f>
        <x:v>1.993621826171875</x:v>
      </x:c>
      <x:c r="J409" s="40" t="n">
        <x:f>H409^2</x:f>
        <x:v>3.974527985788882</x:v>
      </x:c>
      <x:c r="K409" s="40" t="n">
        <x:f>G409-E409</x:f>
        <x:v>0</x:v>
      </x:c>
      <x:c r="L409" s="40" t="n">
        <x:f>ABS(K409)</x:f>
        <x:v>0</x:v>
      </x:c>
      <x:c r="M409" s="41" t="str">
        <x:v>lstm-soil-v1</x:v>
      </x:c>
    </x:row>
    <x:row r="410">
      <x:c r="A410" s="38" t="str">
        <x:v>7月30日现场数据</x:v>
      </x:c>
      <x:c r="B410" s="39" t="str">
        <x:v>2026-07-31T22:00:00</x:v>
      </x:c>
      <x:c r="C410" s="39" t="str">
        <x:v>2026-07-31T22:30:00</x:v>
      </x:c>
      <x:c r="D410" s="47" t="n">
        <x:v>30</x:v>
      </x:c>
      <x:c r="E410" s="40" t="n">
        <x:v>12</x:v>
      </x:c>
      <x:c r="F410" s="40" t="n">
        <x:v>10.45779800415039</x:v>
      </x:c>
      <x:c r="G410" s="40" t="n">
        <x:v>12</x:v>
      </x:c>
      <x:c r="H410" s="40" t="n">
        <x:f>F410-E410</x:f>
        <x:v>-1.5422019958496094</x:v>
      </x:c>
      <x:c r="I410" s="40" t="n">
        <x:f>ABS(H410)</x:f>
        <x:v>1.5422019958496094</x:v>
      </x:c>
      <x:c r="J410" s="40" t="n">
        <x:f>H410^2</x:f>
        <x:v>2.3783869960025186</x:v>
      </x:c>
      <x:c r="K410" s="40" t="n">
        <x:f>G410-E410</x:f>
        <x:v>0</x:v>
      </x:c>
      <x:c r="L410" s="40" t="n">
        <x:f>ABS(K410)</x:f>
        <x:v>0</x:v>
      </x:c>
      <x:c r="M410" s="41" t="str">
        <x:v>lstm-soil-v1</x:v>
      </x:c>
    </x:row>
    <x:row r="411">
      <x:c r="A411" s="38" t="str">
        <x:v>7月30日现场数据</x:v>
      </x:c>
      <x:c r="B411" s="39" t="str">
        <x:v>2026-07-31T22:00:00</x:v>
      </x:c>
      <x:c r="C411" s="39" t="str">
        <x:v>2026-07-31T23:00:00</x:v>
      </x:c>
      <x:c r="D411" s="47" t="n">
        <x:v>60</x:v>
      </x:c>
      <x:c r="E411" s="40" t="n">
        <x:v>12</x:v>
      </x:c>
      <x:c r="F411" s="40" t="n">
        <x:v>12.09036636352539</x:v>
      </x:c>
      <x:c r="G411" s="40" t="n">
        <x:v>12</x:v>
      </x:c>
      <x:c r="H411" s="40" t="n">
        <x:f>F411-E411</x:f>
        <x:v>0.09036636352539062</x:v>
      </x:c>
      <x:c r="I411" s="40" t="n">
        <x:f>ABS(H411)</x:f>
        <x:v>0.09036636352539062</x:v>
      </x:c>
      <x:c r="J411" s="40" t="n">
        <x:f>H411^2</x:f>
        <x:v>0.00816607965680305</x:v>
      </x:c>
      <x:c r="K411" s="40" t="n">
        <x:f>G411-E411</x:f>
        <x:v>0</x:v>
      </x:c>
      <x:c r="L411" s="40" t="n">
        <x:f>ABS(K411)</x:f>
        <x:v>0</x:v>
      </x:c>
      <x:c r="M411" s="41" t="str">
        <x:v>lstm-soil-v1</x:v>
      </x:c>
    </x:row>
    <x:row r="412">
      <x:c r="A412" s="38" t="str">
        <x:v>7月30日现场数据</x:v>
      </x:c>
      <x:c r="B412" s="39" t="str">
        <x:v>2026-07-31T22:05:00</x:v>
      </x:c>
      <x:c r="C412" s="39" t="str">
        <x:v>2026-07-31T22:10:00</x:v>
      </x:c>
      <x:c r="D412" s="47" t="n">
        <x:v>5</x:v>
      </x:c>
      <x:c r="E412" s="40" t="n">
        <x:v>12</x:v>
      </x:c>
      <x:c r="F412" s="40" t="n">
        <x:v>9.94631576538086</x:v>
      </x:c>
      <x:c r="G412" s="40" t="n">
        <x:v>12</x:v>
      </x:c>
      <x:c r="H412" s="40" t="n">
        <x:f>F412-E412</x:f>
        <x:v>-2.0536842346191406</x:v>
      </x:c>
      <x:c r="I412" s="40" t="n">
        <x:f>ABS(H412)</x:f>
        <x:v>2.0536842346191406</x:v>
      </x:c>
      <x:c r="J412" s="40" t="n">
        <x:f>H412^2</x:f>
        <x:v>4.217618935523205</x:v>
      </x:c>
      <x:c r="K412" s="40" t="n">
        <x:f>G412-E412</x:f>
        <x:v>0</x:v>
      </x:c>
      <x:c r="L412" s="40" t="n">
        <x:f>ABS(K412)</x:f>
        <x:v>0</x:v>
      </x:c>
      <x:c r="M412" s="41" t="str">
        <x:v>lstm-soil-v1</x:v>
      </x:c>
    </x:row>
    <x:row r="413">
      <x:c r="A413" s="38" t="str">
        <x:v>7月30日现场数据</x:v>
      </x:c>
      <x:c r="B413" s="39" t="str">
        <x:v>2026-07-31T22:05:00</x:v>
      </x:c>
      <x:c r="C413" s="39" t="str">
        <x:v>2026-07-31T22:20:00</x:v>
      </x:c>
      <x:c r="D413" s="47" t="n">
        <x:v>15</x:v>
      </x:c>
      <x:c r="E413" s="40" t="n">
        <x:v>12</x:v>
      </x:c>
      <x:c r="F413" s="40" t="n">
        <x:v>10.009334564208984</x:v>
      </x:c>
      <x:c r="G413" s="40" t="n">
        <x:v>12</x:v>
      </x:c>
      <x:c r="H413" s="40" t="n">
        <x:f>F413-E413</x:f>
        <x:v>-1.9906654357910156</x:v>
      </x:c>
      <x:c r="I413" s="40" t="n">
        <x:f>ABS(H413)</x:f>
        <x:v>1.9906654357910156</x:v>
      </x:c>
      <x:c r="J413" s="40" t="n">
        <x:f>H413^2</x:f>
        <x:v>3.962748877253034</x:v>
      </x:c>
      <x:c r="K413" s="40" t="n">
        <x:f>G413-E413</x:f>
        <x:v>0</x:v>
      </x:c>
      <x:c r="L413" s="40" t="n">
        <x:f>ABS(K413)</x:f>
        <x:v>0</x:v>
      </x:c>
      <x:c r="M413" s="41" t="str">
        <x:v>lstm-soil-v1</x:v>
      </x:c>
    </x:row>
    <x:row r="414">
      <x:c r="A414" s="38" t="str">
        <x:v>7月30日现场数据</x:v>
      </x:c>
      <x:c r="B414" s="39" t="str">
        <x:v>2026-07-31T22:05:00</x:v>
      </x:c>
      <x:c r="C414" s="39" t="str">
        <x:v>2026-07-31T22:35:00</x:v>
      </x:c>
      <x:c r="D414" s="47" t="n">
        <x:v>30</x:v>
      </x:c>
      <x:c r="E414" s="40" t="n">
        <x:v>12</x:v>
      </x:c>
      <x:c r="F414" s="40" t="n">
        <x:v>10.46188735961914</x:v>
      </x:c>
      <x:c r="G414" s="40" t="n">
        <x:v>12</x:v>
      </x:c>
      <x:c r="H414" s="40" t="n">
        <x:f>F414-E414</x:f>
        <x:v>-1.5381126403808594</x:v>
      </x:c>
      <x:c r="I414" s="40" t="n">
        <x:f>ABS(H414)</x:f>
        <x:v>1.5381126403808594</x:v>
      </x:c>
      <x:c r="J414" s="40" t="n">
        <x:f>H414^2</x:f>
        <x:v>2.365790494499379</x:v>
      </x:c>
      <x:c r="K414" s="40" t="n">
        <x:f>G414-E414</x:f>
        <x:v>0</x:v>
      </x:c>
      <x:c r="L414" s="40" t="n">
        <x:f>ABS(K414)</x:f>
        <x:v>0</x:v>
      </x:c>
      <x:c r="M414" s="41" t="str">
        <x:v>lstm-soil-v1</x:v>
      </x:c>
    </x:row>
    <x:row r="415">
      <x:c r="A415" s="38" t="str">
        <x:v>7月30日现场数据</x:v>
      </x:c>
      <x:c r="B415" s="39" t="str">
        <x:v>2026-07-31T22:05:00</x:v>
      </x:c>
      <x:c r="C415" s="39" t="str">
        <x:v>2026-07-31T23:05:00</x:v>
      </x:c>
      <x:c r="D415" s="47" t="n">
        <x:v>60</x:v>
      </x:c>
      <x:c r="E415" s="40" t="n">
        <x:v>12</x:v>
      </x:c>
      <x:c r="F415" s="40" t="n">
        <x:v>12.093345642089844</x:v>
      </x:c>
      <x:c r="G415" s="40" t="n">
        <x:v>12</x:v>
      </x:c>
      <x:c r="H415" s="40" t="n">
        <x:f>F415-E415</x:f>
        <x:v>0.09334564208984375</x:v>
      </x:c>
      <x:c r="I415" s="40" t="n">
        <x:f>ABS(H415)</x:f>
        <x:v>0.09334564208984375</x:v>
      </x:c>
      <x:c r="J415" s="40" t="n">
        <x:f>H415^2</x:f>
        <x:v>0.008713408897165209</x:v>
      </x:c>
      <x:c r="K415" s="40" t="n">
        <x:f>G415-E415</x:f>
        <x:v>0</x:v>
      </x:c>
      <x:c r="L415" s="40" t="n">
        <x:f>ABS(K415)</x:f>
        <x:v>0</x:v>
      </x:c>
      <x:c r="M415" s="41" t="str">
        <x:v>lstm-soil-v1</x:v>
      </x:c>
    </x:row>
    <x:row r="416">
      <x:c r="A416" s="38" t="str">
        <x:v>7月30日现场数据</x:v>
      </x:c>
      <x:c r="B416" s="39" t="str">
        <x:v>2026-07-31T22:10:00</x:v>
      </x:c>
      <x:c r="C416" s="39" t="str">
        <x:v>2026-07-31T22:15:00</x:v>
      </x:c>
      <x:c r="D416" s="47" t="n">
        <x:v>5</x:v>
      </x:c>
      <x:c r="E416" s="40" t="n">
        <x:v>12</x:v>
      </x:c>
      <x:c r="F416" s="40" t="n">
        <x:v>9.941268920898438</x:v>
      </x:c>
      <x:c r="G416" s="40" t="n">
        <x:v>12</x:v>
      </x:c>
      <x:c r="H416" s="40" t="n">
        <x:f>F416-E416</x:f>
        <x:v>-2.0587310791015625</x:v>
      </x:c>
      <x:c r="I416" s="40" t="n">
        <x:f>ABS(H416)</x:f>
        <x:v>2.0587310791015625</x:v>
      </x:c>
      <x:c r="J416" s="40" t="n">
        <x:f>H416^2</x:f>
        <x:v>4.238373656058684</x:v>
      </x:c>
      <x:c r="K416" s="40" t="n">
        <x:f>G416-E416</x:f>
        <x:v>0</x:v>
      </x:c>
      <x:c r="L416" s="40" t="n">
        <x:f>ABS(K416)</x:f>
        <x:v>0</x:v>
      </x:c>
      <x:c r="M416" s="41" t="str">
        <x:v>lstm-soil-v1</x:v>
      </x:c>
    </x:row>
    <x:row r="417">
      <x:c r="A417" s="38" t="str">
        <x:v>7月30日现场数据</x:v>
      </x:c>
      <x:c r="B417" s="39" t="str">
        <x:v>2026-07-31T22:10:00</x:v>
      </x:c>
      <x:c r="C417" s="39" t="str">
        <x:v>2026-07-31T22:25:00</x:v>
      </x:c>
      <x:c r="D417" s="47" t="n">
        <x:v>15</x:v>
      </x:c>
      <x:c r="E417" s="40" t="n">
        <x:v>12</x:v>
      </x:c>
      <x:c r="F417" s="40" t="n">
        <x:v>10.008064270019531</x:v>
      </x:c>
      <x:c r="G417" s="40" t="n">
        <x:v>12</x:v>
      </x:c>
      <x:c r="H417" s="40" t="n">
        <x:f>F417-E417</x:f>
        <x:v>-1.9919357299804688</x:v>
      </x:c>
      <x:c r="I417" s="40" t="n">
        <x:f>ABS(H417)</x:f>
        <x:v>1.9919357299804688</x:v>
      </x:c>
      <x:c r="J417" s="40" t="n">
        <x:f>H417^2</x:f>
        <x:v>3.967807952372823</x:v>
      </x:c>
      <x:c r="K417" s="40" t="n">
        <x:f>G417-E417</x:f>
        <x:v>0</x:v>
      </x:c>
      <x:c r="L417" s="40" t="n">
        <x:f>ABS(K417)</x:f>
        <x:v>0</x:v>
      </x:c>
      <x:c r="M417" s="41" t="str">
        <x:v>lstm-soil-v1</x:v>
      </x:c>
    </x:row>
    <x:row r="418">
      <x:c r="A418" s="38" t="str">
        <x:v>7月30日现场数据</x:v>
      </x:c>
      <x:c r="B418" s="39" t="str">
        <x:v>2026-07-31T22:10:00</x:v>
      </x:c>
      <x:c r="C418" s="39" t="str">
        <x:v>2026-07-31T22:40:00</x:v>
      </x:c>
      <x:c r="D418" s="47" t="n">
        <x:v>30</x:v>
      </x:c>
      <x:c r="E418" s="40" t="n">
        <x:v>12</x:v>
      </x:c>
      <x:c r="F418" s="40" t="n">
        <x:v>10.45602798461914</x:v>
      </x:c>
      <x:c r="G418" s="40" t="n">
        <x:v>12</x:v>
      </x:c>
      <x:c r="H418" s="40" t="n">
        <x:f>F418-E418</x:f>
        <x:v>-1.5439720153808594</x:v>
      </x:c>
      <x:c r="I418" s="40" t="n">
        <x:f>ABS(H418)</x:f>
        <x:v>1.5439720153808594</x:v>
      </x:c>
      <x:c r="J418" s="40" t="n">
        <x:f>H418^2</x:f>
        <x:v>2.3838495842792327</x:v>
      </x:c>
      <x:c r="K418" s="40" t="n">
        <x:f>G418-E418</x:f>
        <x:v>0</x:v>
      </x:c>
      <x:c r="L418" s="40" t="n">
        <x:f>ABS(K418)</x:f>
        <x:v>0</x:v>
      </x:c>
      <x:c r="M418" s="41" t="str">
        <x:v>lstm-soil-v1</x:v>
      </x:c>
    </x:row>
    <x:row r="419">
      <x:c r="A419" s="38" t="str">
        <x:v>7月30日现场数据</x:v>
      </x:c>
      <x:c r="B419" s="39" t="str">
        <x:v>2026-07-31T22:10:00</x:v>
      </x:c>
      <x:c r="C419" s="39" t="str">
        <x:v>2026-07-31T23:10:00</x:v>
      </x:c>
      <x:c r="D419" s="47" t="n">
        <x:v>60</x:v>
      </x:c>
      <x:c r="E419" s="40" t="n">
        <x:v>12</x:v>
      </x:c>
      <x:c r="F419" s="40" t="n">
        <x:v>12.078983306884766</x:v>
      </x:c>
      <x:c r="G419" s="40" t="n">
        <x:v>12</x:v>
      </x:c>
      <x:c r="H419" s="40" t="n">
        <x:f>F419-E419</x:f>
        <x:v>0.07898330688476562</x:v>
      </x:c>
      <x:c r="I419" s="40" t="n">
        <x:f>ABS(H419)</x:f>
        <x:v>0.07898330688476562</x:v>
      </x:c>
      <x:c r="J419" s="40" t="n">
        <x:f>H419^2</x:f>
        <x:v>0.006238362766453065</x:v>
      </x:c>
      <x:c r="K419" s="40" t="n">
        <x:f>G419-E419</x:f>
        <x:v>0</x:v>
      </x:c>
      <x:c r="L419" s="40" t="n">
        <x:f>ABS(K419)</x:f>
        <x:v>0</x:v>
      </x:c>
      <x:c r="M419" s="41" t="str">
        <x:v>lstm-soil-v1</x:v>
      </x:c>
    </x:row>
    <x:row r="420">
      <x:c r="A420" s="38" t="str">
        <x:v>7月30日现场数据</x:v>
      </x:c>
      <x:c r="B420" s="39" t="str">
        <x:v>2026-07-31T22:15:00</x:v>
      </x:c>
      <x:c r="C420" s="39" t="str">
        <x:v>2026-07-31T22:20:00</x:v>
      </x:c>
      <x:c r="D420" s="47" t="n">
        <x:v>5</x:v>
      </x:c>
      <x:c r="E420" s="40" t="n">
        <x:v>12</x:v>
      </x:c>
      <x:c r="F420" s="40" t="n">
        <x:v>9.940242767333984</x:v>
      </x:c>
      <x:c r="G420" s="40" t="n">
        <x:v>12</x:v>
      </x:c>
      <x:c r="H420" s="40" t="n">
        <x:f>F420-E420</x:f>
        <x:v>-2.0597572326660156</x:v>
      </x:c>
      <x:c r="I420" s="40" t="n">
        <x:f>ABS(H420)</x:f>
        <x:v>2.0597572326660156</x:v>
      </x:c>
      <x:c r="J420" s="40" t="n">
        <x:f>H420^2</x:f>
        <x:v>4.242599857519963</x:v>
      </x:c>
      <x:c r="K420" s="40" t="n">
        <x:f>G420-E420</x:f>
        <x:v>0</x:v>
      </x:c>
      <x:c r="L420" s="40" t="n">
        <x:f>ABS(K420)</x:f>
        <x:v>0</x:v>
      </x:c>
      <x:c r="M420" s="41" t="str">
        <x:v>lstm-soil-v1</x:v>
      </x:c>
    </x:row>
    <x:row r="421">
      <x:c r="A421" s="38" t="str">
        <x:v>7月30日现场数据</x:v>
      </x:c>
      <x:c r="B421" s="39" t="str">
        <x:v>2026-07-31T22:15:00</x:v>
      </x:c>
      <x:c r="C421" s="39" t="str">
        <x:v>2026-07-31T22:30:00</x:v>
      </x:c>
      <x:c r="D421" s="47" t="n">
        <x:v>15</x:v>
      </x:c>
      <x:c r="E421" s="40" t="n">
        <x:v>12</x:v>
      </x:c>
      <x:c r="F421" s="40" t="n">
        <x:v>10.005203247070312</x:v>
      </x:c>
      <x:c r="G421" s="40" t="n">
        <x:v>12</x:v>
      </x:c>
      <x:c r="H421" s="40" t="n">
        <x:f>F421-E421</x:f>
        <x:v>-1.9947967529296875</x:v>
      </x:c>
      <x:c r="I421" s="40" t="n">
        <x:f>ABS(H421)</x:f>
        <x:v>1.9947967529296875</x:v>
      </x:c>
      <x:c r="J421" s="40" t="n">
        <x:f>H421^2</x:f>
        <x:v>3.9792140854988247</x:v>
      </x:c>
      <x:c r="K421" s="40" t="n">
        <x:f>G421-E421</x:f>
        <x:v>0</x:v>
      </x:c>
      <x:c r="L421" s="40" t="n">
        <x:f>ABS(K421)</x:f>
        <x:v>0</x:v>
      </x:c>
      <x:c r="M421" s="41" t="str">
        <x:v>lstm-soil-v1</x:v>
      </x:c>
    </x:row>
    <x:row r="422">
      <x:c r="A422" s="38" t="str">
        <x:v>7月30日现场数据</x:v>
      </x:c>
      <x:c r="B422" s="39" t="str">
        <x:v>2026-07-31T22:15:00</x:v>
      </x:c>
      <x:c r="C422" s="39" t="str">
        <x:v>2026-07-31T22:45:00</x:v>
      </x:c>
      <x:c r="D422" s="47" t="n">
        <x:v>30</x:v>
      </x:c>
      <x:c r="E422" s="40" t="n">
        <x:v>12</x:v>
      </x:c>
      <x:c r="F422" s="40" t="n">
        <x:v>10.455612182617188</x:v>
      </x:c>
      <x:c r="G422" s="40" t="n">
        <x:v>12</x:v>
      </x:c>
      <x:c r="H422" s="40" t="n">
        <x:f>F422-E422</x:f>
        <x:v>-1.5443878173828125</x:v>
      </x:c>
      <x:c r="I422" s="40" t="n">
        <x:f>ABS(H422)</x:f>
        <x:v>1.5443878173828125</x:v>
      </x:c>
      <x:c r="J422" s="40" t="n">
        <x:f>H422^2</x:f>
        <x:v>2.3851337304804474</x:v>
      </x:c>
      <x:c r="K422" s="40" t="n">
        <x:f>G422-E422</x:f>
        <x:v>0</x:v>
      </x:c>
      <x:c r="L422" s="40" t="n">
        <x:f>ABS(K422)</x:f>
        <x:v>0</x:v>
      </x:c>
      <x:c r="M422" s="41" t="str">
        <x:v>lstm-soil-v1</x:v>
      </x:c>
    </x:row>
    <x:row r="423">
      <x:c r="A423" s="38" t="str">
        <x:v>7月30日现场数据</x:v>
      </x:c>
      <x:c r="B423" s="39" t="str">
        <x:v>2026-07-31T22:15:00</x:v>
      </x:c>
      <x:c r="C423" s="39" t="str">
        <x:v>2026-07-31T23:15:00</x:v>
      </x:c>
      <x:c r="D423" s="47" t="n">
        <x:v>60</x:v>
      </x:c>
      <x:c r="E423" s="40" t="n">
        <x:v>12</x:v>
      </x:c>
      <x:c r="F423" s="40" t="n">
        <x:v>12.07666015625</x:v>
      </x:c>
      <x:c r="G423" s="40" t="n">
        <x:v>12</x:v>
      </x:c>
      <x:c r="H423" s="40" t="n">
        <x:f>F423-E423</x:f>
        <x:v>0.07666015625</x:v>
      </x:c>
      <x:c r="I423" s="40" t="n">
        <x:f>ABS(H423)</x:f>
        <x:v>0.07666015625</x:v>
      </x:c>
      <x:c r="J423" s="40" t="n">
        <x:f>H423^2</x:f>
        <x:v>0.005876779556274414</x:v>
      </x:c>
      <x:c r="K423" s="40" t="n">
        <x:f>G423-E423</x:f>
        <x:v>0</x:v>
      </x:c>
      <x:c r="L423" s="40" t="n">
        <x:f>ABS(K423)</x:f>
        <x:v>0</x:v>
      </x:c>
      <x:c r="M423" s="41" t="str">
        <x:v>lstm-soil-v1</x:v>
      </x:c>
    </x:row>
    <x:row r="424">
      <x:c r="A424" s="38" t="str">
        <x:v>7月30日现场数据</x:v>
      </x:c>
      <x:c r="B424" s="39" t="str">
        <x:v>2026-07-31T22:20:00</x:v>
      </x:c>
      <x:c r="C424" s="39" t="str">
        <x:v>2026-07-31T22:25:00</x:v>
      </x:c>
      <x:c r="D424" s="47" t="n">
        <x:v>5</x:v>
      </x:c>
      <x:c r="E424" s="40" t="n">
        <x:v>12</x:v>
      </x:c>
      <x:c r="F424" s="40" t="n">
        <x:v>9.940166473388672</x:v>
      </x:c>
      <x:c r="G424" s="40" t="n">
        <x:v>12</x:v>
      </x:c>
      <x:c r="H424" s="40" t="n">
        <x:f>F424-E424</x:f>
        <x:v>-2.059833526611328</x:v>
      </x:c>
      <x:c r="I424" s="40" t="n">
        <x:f>ABS(H424)</x:f>
        <x:v>2.059833526611328</x:v>
      </x:c>
      <x:c r="J424" s="40" t="n">
        <x:f>H424^2</x:f>
        <x:v>4.242914157352061</x:v>
      </x:c>
      <x:c r="K424" s="40" t="n">
        <x:f>G424-E424</x:f>
        <x:v>0</x:v>
      </x:c>
      <x:c r="L424" s="40" t="n">
        <x:f>ABS(K424)</x:f>
        <x:v>0</x:v>
      </x:c>
      <x:c r="M424" s="41" t="str">
        <x:v>lstm-soil-v1</x:v>
      </x:c>
    </x:row>
    <x:row r="425">
      <x:c r="A425" s="38" t="str">
        <x:v>7月30日现场数据</x:v>
      </x:c>
      <x:c r="B425" s="39" t="str">
        <x:v>2026-07-31T22:20:00</x:v>
      </x:c>
      <x:c r="C425" s="39" t="str">
        <x:v>2026-07-31T22:35:00</x:v>
      </x:c>
      <x:c r="D425" s="47" t="n">
        <x:v>15</x:v>
      </x:c>
      <x:c r="E425" s="40" t="n">
        <x:v>12</x:v>
      </x:c>
      <x:c r="F425" s="40" t="n">
        <x:v>10.003673553466797</x:v>
      </x:c>
      <x:c r="G425" s="40" t="n">
        <x:v>12</x:v>
      </x:c>
      <x:c r="H425" s="40" t="n">
        <x:f>F425-E425</x:f>
        <x:v>-1.9963264465332031</x:v>
      </x:c>
      <x:c r="I425" s="40" t="n">
        <x:f>ABS(H425)</x:f>
        <x:v>1.9963264465332031</x:v>
      </x:c>
      <x:c r="J425" s="40" t="n">
        <x:f>H425^2</x:f>
        <x:v>3.985319281127886</x:v>
      </x:c>
      <x:c r="K425" s="40" t="n">
        <x:f>G425-E425</x:f>
        <x:v>0</x:v>
      </x:c>
      <x:c r="L425" s="40" t="n">
        <x:f>ABS(K425)</x:f>
        <x:v>0</x:v>
      </x:c>
      <x:c r="M425" s="41" t="str">
        <x:v>lstm-soil-v1</x:v>
      </x:c>
    </x:row>
    <x:row r="426">
      <x:c r="A426" s="38" t="str">
        <x:v>7月30日现场数据</x:v>
      </x:c>
      <x:c r="B426" s="39" t="str">
        <x:v>2026-07-31T22:20:00</x:v>
      </x:c>
      <x:c r="C426" s="39" t="str">
        <x:v>2026-07-31T22:50:00</x:v>
      </x:c>
      <x:c r="D426" s="47" t="n">
        <x:v>30</x:v>
      </x:c>
      <x:c r="E426" s="40" t="n">
        <x:v>12</x:v>
      </x:c>
      <x:c r="F426" s="40" t="n">
        <x:v>10.457176208496094</x:v>
      </x:c>
      <x:c r="G426" s="40" t="n">
        <x:v>12</x:v>
      </x:c>
      <x:c r="H426" s="40" t="n">
        <x:f>F426-E426</x:f>
        <x:v>-1.5428237915039062</x:v>
      </x:c>
      <x:c r="I426" s="40" t="n">
        <x:f>ABS(H426)</x:f>
        <x:v>1.5428237915039062</x:v>
      </x:c>
      <x:c r="J426" s="40" t="n">
        <x:f>H426^2</x:f>
        <x:v>2.380305251630489</x:v>
      </x:c>
      <x:c r="K426" s="40" t="n">
        <x:f>G426-E426</x:f>
        <x:v>0</x:v>
      </x:c>
      <x:c r="L426" s="40" t="n">
        <x:f>ABS(K426)</x:f>
        <x:v>0</x:v>
      </x:c>
      <x:c r="M426" s="41" t="str">
        <x:v>lstm-soil-v1</x:v>
      </x:c>
    </x:row>
    <x:row r="427">
      <x:c r="A427" s="38" t="str">
        <x:v>7月30日现场数据</x:v>
      </x:c>
      <x:c r="B427" s="39" t="str">
        <x:v>2026-07-31T22:20:00</x:v>
      </x:c>
      <x:c r="C427" s="39" t="str">
        <x:v>2026-07-31T23:20:00</x:v>
      </x:c>
      <x:c r="D427" s="47" t="n">
        <x:v>60</x:v>
      </x:c>
      <x:c r="E427" s="40" t="n">
        <x:v>12</x:v>
      </x:c>
      <x:c r="F427" s="40" t="n">
        <x:v>12.075958251953125</x:v>
      </x:c>
      <x:c r="G427" s="40" t="n">
        <x:v>12</x:v>
      </x:c>
      <x:c r="H427" s="40" t="n">
        <x:f>F427-E427</x:f>
        <x:v>0.075958251953125</x:v>
      </x:c>
      <x:c r="I427" s="40" t="n">
        <x:f>ABS(H427)</x:f>
        <x:v>0.075958251953125</x:v>
      </x:c>
      <x:c r="J427" s="40" t="n">
        <x:f>H427^2</x:f>
        <x:v>0.005769656039774418</x:v>
      </x:c>
      <x:c r="K427" s="40" t="n">
        <x:f>G427-E427</x:f>
        <x:v>0</x:v>
      </x:c>
      <x:c r="L427" s="40" t="n">
        <x:f>ABS(K427)</x:f>
        <x:v>0</x:v>
      </x:c>
      <x:c r="M427" s="41" t="str">
        <x:v>lstm-soil-v1</x:v>
      </x:c>
    </x:row>
    <x:row r="428">
      <x:c r="A428" s="38" t="str">
        <x:v>7月30日现场数据</x:v>
      </x:c>
      <x:c r="B428" s="39" t="str">
        <x:v>2026-07-31T22:25:00</x:v>
      </x:c>
      <x:c r="C428" s="39" t="str">
        <x:v>2026-07-31T22:30:00</x:v>
      </x:c>
      <x:c r="D428" s="47" t="n">
        <x:v>5</x:v>
      </x:c>
      <x:c r="E428" s="40" t="n">
        <x:v>12</x:v>
      </x:c>
      <x:c r="F428" s="40" t="n">
        <x:v>9.940608978271484</x:v>
      </x:c>
      <x:c r="G428" s="40" t="n">
        <x:v>12</x:v>
      </x:c>
      <x:c r="H428" s="40" t="n">
        <x:f>F428-E428</x:f>
        <x:v>-2.0593910217285156</x:v>
      </x:c>
      <x:c r="I428" s="40" t="n">
        <x:f>ABS(H428)</x:f>
        <x:v>2.0593910217285156</x:v>
      </x:c>
      <x:c r="J428" s="40" t="n">
        <x:f>H428^2</x:f>
        <x:v>4.2410913803760195</x:v>
      </x:c>
      <x:c r="K428" s="40" t="n">
        <x:f>G428-E428</x:f>
        <x:v>0</x:v>
      </x:c>
      <x:c r="L428" s="40" t="n">
        <x:f>ABS(K428)</x:f>
        <x:v>0</x:v>
      </x:c>
      <x:c r="M428" s="41" t="str">
        <x:v>lstm-soil-v1</x:v>
      </x:c>
    </x:row>
    <x:row r="429">
      <x:c r="A429" s="38" t="str">
        <x:v>7月30日现场数据</x:v>
      </x:c>
      <x:c r="B429" s="39" t="str">
        <x:v>2026-07-31T22:25:00</x:v>
      </x:c>
      <x:c r="C429" s="39" t="str">
        <x:v>2026-07-31T22:40:00</x:v>
      </x:c>
      <x:c r="D429" s="47" t="n">
        <x:v>15</x:v>
      </x:c>
      <x:c r="E429" s="40" t="n">
        <x:v>12</x:v>
      </x:c>
      <x:c r="F429" s="40" t="n">
        <x:v>10.003005981445312</x:v>
      </x:c>
      <x:c r="G429" s="40" t="n">
        <x:v>12</x:v>
      </x:c>
      <x:c r="H429" s="40" t="n">
        <x:f>F429-E429</x:f>
        <x:v>-1.9969940185546875</x:v>
      </x:c>
      <x:c r="I429" s="40" t="n">
        <x:f>ABS(H429)</x:f>
        <x:v>1.9969940185546875</x:v>
      </x:c>
      <x:c r="J429" s="40" t="n">
        <x:f>H429^2</x:f>
        <x:v>3.9879851101431996</x:v>
      </x:c>
      <x:c r="K429" s="40" t="n">
        <x:f>G429-E429</x:f>
        <x:v>0</x:v>
      </x:c>
      <x:c r="L429" s="40" t="n">
        <x:f>ABS(K429)</x:f>
        <x:v>0</x:v>
      </x:c>
      <x:c r="M429" s="41" t="str">
        <x:v>lstm-soil-v1</x:v>
      </x:c>
    </x:row>
    <x:row r="430">
      <x:c r="A430" s="38" t="str">
        <x:v>7月30日现场数据</x:v>
      </x:c>
      <x:c r="B430" s="39" t="str">
        <x:v>2026-07-31T22:25:00</x:v>
      </x:c>
      <x:c r="C430" s="39" t="str">
        <x:v>2026-07-31T22:55:00</x:v>
      </x:c>
      <x:c r="D430" s="47" t="n">
        <x:v>30</x:v>
      </x:c>
      <x:c r="E430" s="40" t="n">
        <x:v>12</x:v>
      </x:c>
      <x:c r="F430" s="40" t="n">
        <x:v>10.45941162109375</x:v>
      </x:c>
      <x:c r="G430" s="40" t="n">
        <x:v>12</x:v>
      </x:c>
      <x:c r="H430" s="40" t="n">
        <x:f>F430-E430</x:f>
        <x:v>-1.54058837890625</x:v>
      </x:c>
      <x:c r="I430" s="40" t="n">
        <x:f>ABS(H430)</x:f>
        <x:v>1.54058837890625</x:v>
      </x:c>
      <x:c r="J430" s="40" t="n">
        <x:f>H430^2</x:f>
        <x:v>2.3734125532209873</x:v>
      </x:c>
      <x:c r="K430" s="40" t="n">
        <x:f>G430-E430</x:f>
        <x:v>0</x:v>
      </x:c>
      <x:c r="L430" s="40" t="n">
        <x:f>ABS(K430)</x:f>
        <x:v>0</x:v>
      </x:c>
      <x:c r="M430" s="41" t="str">
        <x:v>lstm-soil-v1</x:v>
      </x:c>
    </x:row>
    <x:row r="431">
      <x:c r="A431" s="38" t="str">
        <x:v>7月30日现场数据</x:v>
      </x:c>
      <x:c r="B431" s="39" t="str">
        <x:v>2026-07-31T22:25:00</x:v>
      </x:c>
      <x:c r="C431" s="39" t="str">
        <x:v>2026-07-31T23:25:00</x:v>
      </x:c>
      <x:c r="D431" s="47" t="n">
        <x:v>60</x:v>
      </x:c>
      <x:c r="E431" s="40" t="n">
        <x:v>12</x:v>
      </x:c>
      <x:c r="F431" s="40" t="n">
        <x:v>12.076393127441406</x:v>
      </x:c>
      <x:c r="G431" s="40" t="n">
        <x:v>12</x:v>
      </x:c>
      <x:c r="H431" s="40" t="n">
        <x:f>F431-E431</x:f>
        <x:v>0.07639312744140625</x:v>
      </x:c>
      <x:c r="I431" s="40" t="n">
        <x:f>ABS(H431)</x:f>
        <x:v>0.07639312744140625</x:v>
      </x:c>
      <x:c r="J431" s="40" t="n">
        <x:f>H431^2</x:f>
        <x:v>0.005835909920278937</x:v>
      </x:c>
      <x:c r="K431" s="40" t="n">
        <x:f>G431-E431</x:f>
        <x:v>0</x:v>
      </x:c>
      <x:c r="L431" s="40" t="n">
        <x:f>ABS(K431)</x:f>
        <x:v>0</x:v>
      </x:c>
      <x:c r="M431" s="41" t="str">
        <x:v>lstm-soil-v1</x:v>
      </x:c>
    </x:row>
    <x:row r="432">
      <x:c r="A432" s="38" t="str">
        <x:v>7月30日现场数据</x:v>
      </x:c>
      <x:c r="B432" s="39" t="str">
        <x:v>2026-07-31T22:30:00</x:v>
      </x:c>
      <x:c r="C432" s="39" t="str">
        <x:v>2026-07-31T22:35:00</x:v>
      </x:c>
      <x:c r="D432" s="47" t="n">
        <x:v>5</x:v>
      </x:c>
      <x:c r="E432" s="40" t="n">
        <x:v>12</x:v>
      </x:c>
      <x:c r="F432" s="40" t="n">
        <x:v>9.941272735595703</x:v>
      </x:c>
      <x:c r="G432" s="40" t="n">
        <x:v>12</x:v>
      </x:c>
      <x:c r="H432" s="40" t="n">
        <x:f>F432-E432</x:f>
        <x:v>-2.058727264404297</x:v>
      </x:c>
      <x:c r="I432" s="40" t="n">
        <x:f>ABS(H432)</x:f>
        <x:v>2.058727264404297</x:v>
      </x:c>
      <x:c r="J432" s="40" t="n">
        <x:f>H432^2</x:f>
        <x:v>4.2383579492016</x:v>
      </x:c>
      <x:c r="K432" s="40" t="n">
        <x:f>G432-E432</x:f>
        <x:v>0</x:v>
      </x:c>
      <x:c r="L432" s="40" t="n">
        <x:f>ABS(K432)</x:f>
        <x:v>0</x:v>
      </x:c>
      <x:c r="M432" s="41" t="str">
        <x:v>lstm-soil-v1</x:v>
      </x:c>
    </x:row>
    <x:row r="433">
      <x:c r="A433" s="38" t="str">
        <x:v>7月30日现场数据</x:v>
      </x:c>
      <x:c r="B433" s="39" t="str">
        <x:v>2026-07-31T22:30:00</x:v>
      </x:c>
      <x:c r="C433" s="39" t="str">
        <x:v>2026-07-31T22:45:00</x:v>
      </x:c>
      <x:c r="D433" s="47" t="n">
        <x:v>15</x:v>
      </x:c>
      <x:c r="E433" s="40" t="n">
        <x:v>12</x:v>
      </x:c>
      <x:c r="F433" s="40" t="n">
        <x:v>10.002872467041016</x:v>
      </x:c>
      <x:c r="G433" s="40" t="n">
        <x:v>12</x:v>
      </x:c>
      <x:c r="H433" s="40" t="n">
        <x:f>F433-E433</x:f>
        <x:v>-1.9971275329589844</x:v>
      </x:c>
      <x:c r="I433" s="40" t="n">
        <x:f>ABS(H433)</x:f>
        <x:v>1.9971275329589844</x:v>
      </x:c>
      <x:c r="J433" s="40" t="n">
        <x:f>H433^2</x:f>
        <x:v>3.988518382902839</x:v>
      </x:c>
      <x:c r="K433" s="40" t="n">
        <x:f>G433-E433</x:f>
        <x:v>0</x:v>
      </x:c>
      <x:c r="L433" s="40" t="n">
        <x:f>ABS(K433)</x:f>
        <x:v>0</x:v>
      </x:c>
      <x:c r="M433" s="41" t="str">
        <x:v>lstm-soil-v1</x:v>
      </x:c>
    </x:row>
    <x:row r="434">
      <x:c r="A434" s="38" t="str">
        <x:v>7月30日现场数据</x:v>
      </x:c>
      <x:c r="B434" s="39" t="str">
        <x:v>2026-07-31T22:30:00</x:v>
      </x:c>
      <x:c r="C434" s="39" t="str">
        <x:v>2026-07-31T23:00:00</x:v>
      </x:c>
      <x:c r="D434" s="47" t="n">
        <x:v>30</x:v>
      </x:c>
      <x:c r="E434" s="40" t="n">
        <x:v>12</x:v>
      </x:c>
      <x:c r="F434" s="40" t="n">
        <x:v>10.461681365966797</x:v>
      </x:c>
      <x:c r="G434" s="40" t="n">
        <x:v>12</x:v>
      </x:c>
      <x:c r="H434" s="40" t="n">
        <x:f>F434-E434</x:f>
        <x:v>-1.5383186340332031</x:v>
      </x:c>
      <x:c r="I434" s="40" t="n">
        <x:f>ABS(H434)</x:f>
        <x:v>1.5383186340332031</x:v>
      </x:c>
      <x:c r="J434" s="40" t="n">
        <x:f>H434^2</x:f>
        <x:v>2.36642421981378</x:v>
      </x:c>
      <x:c r="K434" s="40" t="n">
        <x:f>G434-E434</x:f>
        <x:v>0</x:v>
      </x:c>
      <x:c r="L434" s="40" t="n">
        <x:f>ABS(K434)</x:f>
        <x:v>0</x:v>
      </x:c>
      <x:c r="M434" s="41" t="str">
        <x:v>lstm-soil-v1</x:v>
      </x:c>
    </x:row>
    <x:row r="435">
      <x:c r="A435" s="38" t="str">
        <x:v>7月30日现场数据</x:v>
      </x:c>
      <x:c r="B435" s="39" t="str">
        <x:v>2026-07-31T22:30:00</x:v>
      </x:c>
      <x:c r="C435" s="39" t="str">
        <x:v>2026-07-31T23:30:00</x:v>
      </x:c>
      <x:c r="D435" s="47" t="n">
        <x:v>60</x:v>
      </x:c>
      <x:c r="E435" s="40" t="n">
        <x:v>12</x:v>
      </x:c>
      <x:c r="F435" s="40" t="n">
        <x:v>12.077259063720703</x:v>
      </x:c>
      <x:c r="G435" s="40" t="n">
        <x:v>12</x:v>
      </x:c>
      <x:c r="H435" s="40" t="n">
        <x:f>F435-E435</x:f>
        <x:v>0.07725906372070312</x:v>
      </x:c>
      <x:c r="I435" s="40" t="n">
        <x:f>ABS(H435)</x:f>
        <x:v>0.07725906372070312</x:v>
      </x:c>
      <x:c r="J435" s="40" t="n">
        <x:f>H435^2</x:f>
        <x:v>0.005968962926999666</x:v>
      </x:c>
      <x:c r="K435" s="40" t="n">
        <x:f>G435-E435</x:f>
        <x:v>0</x:v>
      </x:c>
      <x:c r="L435" s="40" t="n">
        <x:f>ABS(K435)</x:f>
        <x:v>0</x:v>
      </x:c>
      <x:c r="M435" s="41" t="str">
        <x:v>lstm-soil-v1</x:v>
      </x:c>
    </x:row>
    <x:row r="436">
      <x:c r="A436" s="38" t="str">
        <x:v>7月30日现场数据</x:v>
      </x:c>
      <x:c r="B436" s="39" t="str">
        <x:v>2026-07-31T22:35:00</x:v>
      </x:c>
      <x:c r="C436" s="39" t="str">
        <x:v>2026-07-31T22:40:00</x:v>
      </x:c>
      <x:c r="D436" s="47" t="n">
        <x:v>5</x:v>
      </x:c>
      <x:c r="E436" s="40" t="n">
        <x:v>12</x:v>
      </x:c>
      <x:c r="F436" s="40" t="n">
        <x:v>9.941944122314453</x:v>
      </x:c>
      <x:c r="G436" s="40" t="n">
        <x:v>12</x:v>
      </x:c>
      <x:c r="H436" s="40" t="n">
        <x:f>F436-E436</x:f>
        <x:v>-2.058055877685547</x:v>
      </x:c>
      <x:c r="I436" s="40" t="n">
        <x:f>ABS(H436)</x:f>
        <x:v>2.058055877685547</x:v>
      </x:c>
      <x:c r="J436" s="40" t="n">
        <x:f>H436^2</x:f>
        <x:v>4.235593995676027</x:v>
      </x:c>
      <x:c r="K436" s="40" t="n">
        <x:f>G436-E436</x:f>
        <x:v>0</x:v>
      </x:c>
      <x:c r="L436" s="40" t="n">
        <x:f>ABS(K436)</x:f>
        <x:v>0</x:v>
      </x:c>
      <x:c r="M436" s="41" t="str">
        <x:v>lstm-soil-v1</x:v>
      </x:c>
    </x:row>
    <x:row r="437">
      <x:c r="A437" s="38" t="str">
        <x:v>7月30日现场数据</x:v>
      </x:c>
      <x:c r="B437" s="39" t="str">
        <x:v>2026-07-31T22:35:00</x:v>
      </x:c>
      <x:c r="C437" s="39" t="str">
        <x:v>2026-07-31T22:50:00</x:v>
      </x:c>
      <x:c r="D437" s="47" t="n">
        <x:v>15</x:v>
      </x:c>
      <x:c r="E437" s="40" t="n">
        <x:v>12</x:v>
      </x:c>
      <x:c r="F437" s="40" t="n">
        <x:v>10.002998352050781</x:v>
      </x:c>
      <x:c r="G437" s="40" t="n">
        <x:v>12</x:v>
      </x:c>
      <x:c r="H437" s="40" t="n">
        <x:f>F437-E437</x:f>
        <x:v>-1.9970016479492188</x:v>
      </x:c>
      <x:c r="I437" s="40" t="n">
        <x:f>ABS(H437)</x:f>
        <x:v>1.9970016479492188</x:v>
      </x:c>
      <x:c r="J437" s="40" t="n">
        <x:f>H437^2</x:f>
        <x:v>3.9880155819118954</x:v>
      </x:c>
      <x:c r="K437" s="40" t="n">
        <x:f>G437-E437</x:f>
        <x:v>0</x:v>
      </x:c>
      <x:c r="L437" s="40" t="n">
        <x:f>ABS(K437)</x:f>
        <x:v>0</x:v>
      </x:c>
      <x:c r="M437" s="41" t="str">
        <x:v>lstm-soil-v1</x:v>
      </x:c>
    </x:row>
    <x:row r="438">
      <x:c r="A438" s="38" t="str">
        <x:v>7月30日现场数据</x:v>
      </x:c>
      <x:c r="B438" s="39" t="str">
        <x:v>2026-07-31T22:35:00</x:v>
      </x:c>
      <x:c r="C438" s="39" t="str">
        <x:v>2026-07-31T23:05:00</x:v>
      </x:c>
      <x:c r="D438" s="47" t="n">
        <x:v>30</x:v>
      </x:c>
      <x:c r="E438" s="40" t="n">
        <x:v>12</x:v>
      </x:c>
      <x:c r="F438" s="40" t="n">
        <x:v>10.463687896728516</x:v>
      </x:c>
      <x:c r="G438" s="40" t="n">
        <x:v>12</x:v>
      </x:c>
      <x:c r="H438" s="40" t="n">
        <x:f>F438-E438</x:f>
        <x:v>-1.5363121032714844</x:v>
      </x:c>
      <x:c r="I438" s="40" t="n">
        <x:f>ABS(H438)</x:f>
        <x:v>1.5363121032714844</x:v>
      </x:c>
      <x:c r="J438" s="40" t="n">
        <x:f>H438^2</x:f>
        <x:v>2.360254878658452</x:v>
      </x:c>
      <x:c r="K438" s="40" t="n">
        <x:f>G438-E438</x:f>
        <x:v>0</x:v>
      </x:c>
      <x:c r="L438" s="40" t="n">
        <x:f>ABS(K438)</x:f>
        <x:v>0</x:v>
      </x:c>
      <x:c r="M438" s="41" t="str">
        <x:v>lstm-soil-v1</x:v>
      </x:c>
    </x:row>
    <x:row r="439">
      <x:c r="A439" s="38" t="str">
        <x:v>7月30日现场数据</x:v>
      </x:c>
      <x:c r="B439" s="39" t="str">
        <x:v>2026-07-31T22:35:00</x:v>
      </x:c>
      <x:c r="C439" s="39" t="str">
        <x:v>2026-07-31T23:35:00</x:v>
      </x:c>
      <x:c r="D439" s="47" t="n">
        <x:v>60</x:v>
      </x:c>
      <x:c r="E439" s="40" t="n">
        <x:v>12</x:v>
      </x:c>
      <x:c r="F439" s="40" t="n">
        <x:v>12.078193664550781</x:v>
      </x:c>
      <x:c r="G439" s="40" t="n">
        <x:v>12</x:v>
      </x:c>
      <x:c r="H439" s="40" t="n">
        <x:f>F439-E439</x:f>
        <x:v>0.07819366455078125</x:v>
      </x:c>
      <x:c r="I439" s="40" t="n">
        <x:f>ABS(H439)</x:f>
        <x:v>0.07819366455078125</x:v>
      </x:c>
      <x:c r="J439" s="40" t="n">
        <x:f>H439^2</x:f>
        <x:v>0.006114249175880104</x:v>
      </x:c>
      <x:c r="K439" s="40" t="n">
        <x:f>G439-E439</x:f>
        <x:v>0</x:v>
      </x:c>
      <x:c r="L439" s="40" t="n">
        <x:f>ABS(K439)</x:f>
        <x:v>0</x:v>
      </x:c>
      <x:c r="M439" s="41" t="str">
        <x:v>lstm-soil-v1</x:v>
      </x:c>
    </x:row>
    <x:row r="440">
      <x:c r="A440" s="38" t="str">
        <x:v>7月30日现场数据</x:v>
      </x:c>
      <x:c r="B440" s="39" t="str">
        <x:v>2026-07-31T22:40:00</x:v>
      </x:c>
      <x:c r="C440" s="39" t="str">
        <x:v>2026-07-31T22:45:00</x:v>
      </x:c>
      <x:c r="D440" s="47" t="n">
        <x:v>5</x:v>
      </x:c>
      <x:c r="E440" s="40" t="n">
        <x:v>12</x:v>
      </x:c>
      <x:c r="F440" s="40" t="n">
        <x:v>9.942420959472656</x:v>
      </x:c>
      <x:c r="G440" s="40" t="n">
        <x:v>12</x:v>
      </x:c>
      <x:c r="H440" s="40" t="n">
        <x:f>F440-E440</x:f>
        <x:v>-2.0575790405273438</x:v>
      </x:c>
      <x:c r="I440" s="40" t="n">
        <x:f>ABS(H440)</x:f>
        <x:v>2.0575790405273438</x:v>
      </x:c>
      <x:c r="J440" s="40" t="n">
        <x:f>H440^2</x:f>
        <x:v>4.2336315080174245</x:v>
      </x:c>
      <x:c r="K440" s="40" t="n">
        <x:f>G440-E440</x:f>
        <x:v>0</x:v>
      </x:c>
      <x:c r="L440" s="40" t="n">
        <x:f>ABS(K440)</x:f>
        <x:v>0</x:v>
      </x:c>
      <x:c r="M440" s="41" t="str">
        <x:v>lstm-soil-v1</x:v>
      </x:c>
    </x:row>
    <x:row r="441">
      <x:c r="A441" s="38" t="str">
        <x:v>7月30日现场数据</x:v>
      </x:c>
      <x:c r="B441" s="39" t="str">
        <x:v>2026-07-31T22:40:00</x:v>
      </x:c>
      <x:c r="C441" s="39" t="str">
        <x:v>2026-07-31T22:55:00</x:v>
      </x:c>
      <x:c r="D441" s="47" t="n">
        <x:v>15</x:v>
      </x:c>
      <x:c r="E441" s="40" t="n">
        <x:v>12</x:v>
      </x:c>
      <x:c r="F441" s="40" t="n">
        <x:v>10.003067016601562</x:v>
      </x:c>
      <x:c r="G441" s="40" t="n">
        <x:v>12</x:v>
      </x:c>
      <x:c r="H441" s="40" t="n">
        <x:f>F441-E441</x:f>
        <x:v>-1.9969329833984375</x:v>
      </x:c>
      <x:c r="I441" s="40" t="n">
        <x:f>ABS(H441)</x:f>
        <x:v>1.9969329833984375</x:v>
      </x:c>
      <x:c r="J441" s="40" t="n">
        <x:f>H441^2</x:f>
        <x:v>3.9877413401845843</x:v>
      </x:c>
      <x:c r="K441" s="40" t="n">
        <x:f>G441-E441</x:f>
        <x:v>0</x:v>
      </x:c>
      <x:c r="L441" s="40" t="n">
        <x:f>ABS(K441)</x:f>
        <x:v>0</x:v>
      </x:c>
      <x:c r="M441" s="41" t="str">
        <x:v>lstm-soil-v1</x:v>
      </x:c>
    </x:row>
    <x:row r="442">
      <x:c r="A442" s="38" t="str">
        <x:v>7月30日现场数据</x:v>
      </x:c>
      <x:c r="B442" s="39" t="str">
        <x:v>2026-07-31T22:40:00</x:v>
      </x:c>
      <x:c r="C442" s="39" t="str">
        <x:v>2026-07-31T23:10:00</x:v>
      </x:c>
      <x:c r="D442" s="47" t="n">
        <x:v>30</x:v>
      </x:c>
      <x:c r="E442" s="40" t="n">
        <x:v>12</x:v>
      </x:c>
      <x:c r="F442" s="40" t="n">
        <x:v>10.465225219726562</x:v>
      </x:c>
      <x:c r="G442" s="40" t="n">
        <x:v>12</x:v>
      </x:c>
      <x:c r="H442" s="40" t="n">
        <x:f>F442-E442</x:f>
        <x:v>-1.5347747802734375</x:v>
      </x:c>
      <x:c r="I442" s="40" t="n">
        <x:f>ABS(H442)</x:f>
        <x:v>1.5347747802734375</x:v>
      </x:c>
      <x:c r="J442" s="40" t="n">
        <x:f>H442^2</x:f>
        <x:v>2.3555336261633784</x:v>
      </x:c>
      <x:c r="K442" s="40" t="n">
        <x:f>G442-E442</x:f>
        <x:v>0</x:v>
      </x:c>
      <x:c r="L442" s="40" t="n">
        <x:f>ABS(K442)</x:f>
        <x:v>0</x:v>
      </x:c>
      <x:c r="M442" s="41" t="str">
        <x:v>lstm-soil-v1</x:v>
      </x:c>
    </x:row>
    <x:row r="443">
      <x:c r="A443" s="38" t="str">
        <x:v>7月30日现场数据</x:v>
      </x:c>
      <x:c r="B443" s="39" t="str">
        <x:v>2026-07-31T22:40:00</x:v>
      </x:c>
      <x:c r="C443" s="39" t="str">
        <x:v>2026-07-31T23:40:00</x:v>
      </x:c>
      <x:c r="D443" s="47" t="n">
        <x:v>60</x:v>
      </x:c>
      <x:c r="E443" s="40" t="n">
        <x:v>12</x:v>
      </x:c>
      <x:c r="F443" s="40" t="n">
        <x:v>12.079231262207031</x:v>
      </x:c>
      <x:c r="G443" s="40" t="n">
        <x:v>12</x:v>
      </x:c>
      <x:c r="H443" s="40" t="n">
        <x:f>F443-E443</x:f>
        <x:v>0.07923126220703125</x:v>
      </x:c>
      <x:c r="I443" s="40" t="n">
        <x:f>ABS(H443)</x:f>
        <x:v>0.07923126220703125</x:v>
      </x:c>
      <x:c r="J443" s="40" t="n">
        <x:f>H443^2</x:f>
        <x:v>0.0062775929109193385</x:v>
      </x:c>
      <x:c r="K443" s="40" t="n">
        <x:f>G443-E443</x:f>
        <x:v>0</x:v>
      </x:c>
      <x:c r="L443" s="40" t="n">
        <x:f>ABS(K443)</x:f>
        <x:v>0</x:v>
      </x:c>
      <x:c r="M443" s="41" t="str">
        <x:v>lstm-soil-v1</x:v>
      </x:c>
    </x:row>
    <x:row r="444">
      <x:c r="A444" s="38" t="str">
        <x:v>7月30日现场数据</x:v>
      </x:c>
      <x:c r="B444" s="39" t="str">
        <x:v>2026-07-31T22:45:00</x:v>
      </x:c>
      <x:c r="C444" s="39" t="str">
        <x:v>2026-07-31T22:50:00</x:v>
      </x:c>
      <x:c r="D444" s="47" t="n">
        <x:v>5</x:v>
      </x:c>
      <x:c r="E444" s="40" t="n">
        <x:v>12</x:v>
      </x:c>
      <x:c r="F444" s="40" t="n">
        <x:v>9.942630767822266</x:v>
      </x:c>
      <x:c r="G444" s="40" t="n">
        <x:v>12</x:v>
      </x:c>
      <x:c r="H444" s="40" t="n">
        <x:f>F444-E444</x:f>
        <x:v>-2.0573692321777344</x:v>
      </x:c>
      <x:c r="I444" s="40" t="n">
        <x:f>ABS(H444)</x:f>
        <x:v>2.0573692321777344</x:v>
      </x:c>
      <x:c r="J444" s="40" t="n">
        <x:f>H444^2</x:f>
        <x:v>4.2327681575116</x:v>
      </x:c>
      <x:c r="K444" s="40" t="n">
        <x:f>G444-E444</x:f>
        <x:v>0</x:v>
      </x:c>
      <x:c r="L444" s="40" t="n">
        <x:f>ABS(K444)</x:f>
        <x:v>0</x:v>
      </x:c>
      <x:c r="M444" s="41" t="str">
        <x:v>lstm-soil-v1</x:v>
      </x:c>
    </x:row>
    <x:row r="445">
      <x:c r="A445" s="38" t="str">
        <x:v>7月30日现场数据</x:v>
      </x:c>
      <x:c r="B445" s="39" t="str">
        <x:v>2026-07-31T22:45:00</x:v>
      </x:c>
      <x:c r="C445" s="39" t="str">
        <x:v>2026-07-31T23:00:00</x:v>
      </x:c>
      <x:c r="D445" s="47" t="n">
        <x:v>15</x:v>
      </x:c>
      <x:c r="E445" s="40" t="n">
        <x:v>12</x:v>
      </x:c>
      <x:c r="F445" s="40" t="n">
        <x:v>10.002960205078125</x:v>
      </x:c>
      <x:c r="G445" s="40" t="n">
        <x:v>12</x:v>
      </x:c>
      <x:c r="H445" s="40" t="n">
        <x:f>F445-E445</x:f>
        <x:v>-1.997039794921875</x:v>
      </x:c>
      <x:c r="I445" s="40" t="n">
        <x:f>ABS(H445)</x:f>
        <x:v>1.997039794921875</x:v>
      </x:c>
      <x:c r="J445" s="40" t="n">
        <x:f>H445^2</x:f>
        <x:v>3.9881679425016046</x:v>
      </x:c>
      <x:c r="K445" s="40" t="n">
        <x:f>G445-E445</x:f>
        <x:v>0</x:v>
      </x:c>
      <x:c r="L445" s="40" t="n">
        <x:f>ABS(K445)</x:f>
        <x:v>0</x:v>
      </x:c>
      <x:c r="M445" s="41" t="str">
        <x:v>lstm-soil-v1</x:v>
      </x:c>
    </x:row>
    <x:row r="446">
      <x:c r="A446" s="38" t="str">
        <x:v>7月30日现场数据</x:v>
      </x:c>
      <x:c r="B446" s="39" t="str">
        <x:v>2026-07-31T22:45:00</x:v>
      </x:c>
      <x:c r="C446" s="39" t="str">
        <x:v>2026-07-31T23:15:00</x:v>
      </x:c>
      <x:c r="D446" s="47" t="n">
        <x:v>30</x:v>
      </x:c>
      <x:c r="E446" s="40" t="n">
        <x:v>12</x:v>
      </x:c>
      <x:c r="F446" s="40" t="n">
        <x:v>10.466228485107422</x:v>
      </x:c>
      <x:c r="G446" s="40" t="n">
        <x:v>12</x:v>
      </x:c>
      <x:c r="H446" s="40" t="n">
        <x:f>F446-E446</x:f>
        <x:v>-1.5337715148925781</x:v>
      </x:c>
      <x:c r="I446" s="40" t="n">
        <x:f>ABS(H446)</x:f>
        <x:v>1.5337715148925781</x:v>
      </x:c>
      <x:c r="J446" s="40" t="n">
        <x:f>H446^2</x:f>
        <x:v>2.352455059895874</x:v>
      </x:c>
      <x:c r="K446" s="40" t="n">
        <x:f>G446-E446</x:f>
        <x:v>0</x:v>
      </x:c>
      <x:c r="L446" s="40" t="n">
        <x:f>ABS(K446)</x:f>
        <x:v>0</x:v>
      </x:c>
      <x:c r="M446" s="41" t="str">
        <x:v>lstm-soil-v1</x:v>
      </x:c>
    </x:row>
    <x:row r="447">
      <x:c r="A447" s="38" t="str">
        <x:v>7月30日现场数据</x:v>
      </x:c>
      <x:c r="B447" s="39" t="str">
        <x:v>2026-07-31T22:45:00</x:v>
      </x:c>
      <x:c r="C447" s="39" t="str">
        <x:v>2026-07-31T23:45:00</x:v>
      </x:c>
      <x:c r="D447" s="47" t="n">
        <x:v>60</x:v>
      </x:c>
      <x:c r="E447" s="40" t="n">
        <x:v>12</x:v>
      </x:c>
      <x:c r="F447" s="40" t="n">
        <x:v>12.0802001953125</x:v>
      </x:c>
      <x:c r="G447" s="40" t="n">
        <x:v>12</x:v>
      </x:c>
      <x:c r="H447" s="40" t="n">
        <x:f>F447-E447</x:f>
        <x:v>0.0802001953125</x:v>
      </x:c>
      <x:c r="I447" s="40" t="n">
        <x:f>ABS(H447)</x:f>
        <x:v>0.0802001953125</x:v>
      </x:c>
      <x:c r="J447" s="40" t="n">
        <x:f>H447^2</x:f>
        <x:v>0.006432071328163147</x:v>
      </x:c>
      <x:c r="K447" s="40" t="n">
        <x:f>G447-E447</x:f>
        <x:v>0</x:v>
      </x:c>
      <x:c r="L447" s="40" t="n">
        <x:f>ABS(K447)</x:f>
        <x:v>0</x:v>
      </x:c>
      <x:c r="M447" s="41" t="str">
        <x:v>lstm-soil-v1</x:v>
      </x:c>
    </x:row>
    <x:row r="448">
      <x:c r="A448" s="38" t="str">
        <x:v>7月30日现场数据</x:v>
      </x:c>
      <x:c r="B448" s="39" t="str">
        <x:v>2026-07-31T22:50:00</x:v>
      </x:c>
      <x:c r="C448" s="39" t="str">
        <x:v>2026-07-31T22:55:00</x:v>
      </x:c>
      <x:c r="D448" s="47" t="n">
        <x:v>5</x:v>
      </x:c>
      <x:c r="E448" s="40" t="n">
        <x:v>12</x:v>
      </x:c>
      <x:c r="F448" s="40" t="n">
        <x:v>9.942790985107422</x:v>
      </x:c>
      <x:c r="G448" s="40" t="n">
        <x:v>12</x:v>
      </x:c>
      <x:c r="H448" s="40" t="n">
        <x:f>F448-E448</x:f>
        <x:v>-2.057209014892578</x:v>
      </x:c>
      <x:c r="I448" s="40" t="n">
        <x:f>ABS(H448)</x:f>
        <x:v>2.057209014892578</x:v>
      </x:c>
      <x:c r="J448" s="40" t="n">
        <x:f>H448^2</x:f>
        <x:v>4.232108930955292</x:v>
      </x:c>
      <x:c r="K448" s="40" t="n">
        <x:f>G448-E448</x:f>
        <x:v>0</x:v>
      </x:c>
      <x:c r="L448" s="40" t="n">
        <x:f>ABS(K448)</x:f>
        <x:v>0</x:v>
      </x:c>
      <x:c r="M448" s="41" t="str">
        <x:v>lstm-soil-v1</x:v>
      </x:c>
    </x:row>
    <x:row r="449">
      <x:c r="A449" s="38" t="str">
        <x:v>7月30日现场数据</x:v>
      </x:c>
      <x:c r="B449" s="39" t="str">
        <x:v>2026-07-31T22:50:00</x:v>
      </x:c>
      <x:c r="C449" s="39" t="str">
        <x:v>2026-07-31T23:05:00</x:v>
      </x:c>
      <x:c r="D449" s="47" t="n">
        <x:v>15</x:v>
      </x:c>
      <x:c r="E449" s="40" t="n">
        <x:v>12</x:v>
      </x:c>
      <x:c r="F449" s="40" t="n">
        <x:v>10.002899169921875</x:v>
      </x:c>
      <x:c r="G449" s="40" t="n">
        <x:v>12</x:v>
      </x:c>
      <x:c r="H449" s="40" t="n">
        <x:f>F449-E449</x:f>
        <x:v>-1.997100830078125</x:v>
      </x:c>
      <x:c r="I449" s="40" t="n">
        <x:f>ABS(H449)</x:f>
        <x:v>1.997100830078125</x:v>
      </x:c>
      <x:c r="J449" s="40" t="n">
        <x:f>H449^2</x:f>
        <x:v>3.988411725498736</x:v>
      </x:c>
      <x:c r="K449" s="40" t="n">
        <x:f>G449-E449</x:f>
        <x:v>0</x:v>
      </x:c>
      <x:c r="L449" s="40" t="n">
        <x:f>ABS(K449)</x:f>
        <x:v>0</x:v>
      </x:c>
      <x:c r="M449" s="41" t="str">
        <x:v>lstm-soil-v1</x:v>
      </x:c>
    </x:row>
    <x:row r="450">
      <x:c r="A450" s="38" t="str">
        <x:v>7月30日现场数据</x:v>
      </x:c>
      <x:c r="B450" s="39" t="str">
        <x:v>2026-07-31T22:50:00</x:v>
      </x:c>
      <x:c r="C450" s="39" t="str">
        <x:v>2026-07-31T23:20:00</x:v>
      </x:c>
      <x:c r="D450" s="47" t="n">
        <x:v>30</x:v>
      </x:c>
      <x:c r="E450" s="40" t="n">
        <x:v>12</x:v>
      </x:c>
      <x:c r="F450" s="40" t="n">
        <x:v>10.466968536376953</x:v>
      </x:c>
      <x:c r="G450" s="40" t="n">
        <x:v>12</x:v>
      </x:c>
      <x:c r="H450" s="40" t="n">
        <x:f>F450-E450</x:f>
        <x:v>-1.5330314636230469</x:v>
      </x:c>
      <x:c r="I450" s="40" t="n">
        <x:f>ABS(H450)</x:f>
        <x:v>1.5330314636230469</x:v>
      </x:c>
      <x:c r="J450" s="40" t="n">
        <x:f>H450^2</x:f>
        <x:v>2.3501854684582213</x:v>
      </x:c>
      <x:c r="K450" s="40" t="n">
        <x:f>G450-E450</x:f>
        <x:v>0</x:v>
      </x:c>
      <x:c r="L450" s="40" t="n">
        <x:f>ABS(K450)</x:f>
        <x:v>0</x:v>
      </x:c>
      <x:c r="M450" s="41" t="str">
        <x:v>lstm-soil-v1</x:v>
      </x:c>
    </x:row>
    <x:row r="451">
      <x:c r="A451" s="38" t="str">
        <x:v>7月30日现场数据</x:v>
      </x:c>
      <x:c r="B451" s="39" t="str">
        <x:v>2026-07-31T22:50:00</x:v>
      </x:c>
      <x:c r="C451" s="39" t="str">
        <x:v>2026-07-31T23:50:00</x:v>
      </x:c>
      <x:c r="D451" s="47" t="n">
        <x:v>60</x:v>
      </x:c>
      <x:c r="E451" s="40" t="n">
        <x:v>12</x:v>
      </x:c>
      <x:c r="F451" s="40" t="n">
        <x:v>12.080936431884766</x:v>
      </x:c>
      <x:c r="G451" s="40" t="n">
        <x:v>12</x:v>
      </x:c>
      <x:c r="H451" s="40" t="n">
        <x:f>F451-E451</x:f>
        <x:v>0.08093643188476562</x:v>
      </x:c>
      <x:c r="I451" s="40" t="n">
        <x:f>ABS(H451)</x:f>
        <x:v>0.08093643188476562</x:v>
      </x:c>
      <x:c r="J451" s="40" t="n">
        <x:f>H451^2</x:f>
        <x:v>0.006550706006237306</x:v>
      </x:c>
      <x:c r="K451" s="40" t="n">
        <x:f>G451-E451</x:f>
        <x:v>0</x:v>
      </x:c>
      <x:c r="L451" s="40" t="n">
        <x:f>ABS(K451)</x:f>
        <x:v>0</x:v>
      </x:c>
      <x:c r="M451" s="41" t="str">
        <x:v>lstm-soil-v1</x:v>
      </x:c>
    </x:row>
    <x:row r="452">
      <x:c r="A452" s="38" t="str">
        <x:v>7月30日现场数据</x:v>
      </x:c>
      <x:c r="B452" s="39" t="str">
        <x:v>2026-07-31T22:55:00</x:v>
      </x:c>
      <x:c r="C452" s="39" t="str">
        <x:v>2026-07-31T23:00:00</x:v>
      </x:c>
      <x:c r="D452" s="47" t="n">
        <x:v>5</x:v>
      </x:c>
      <x:c r="E452" s="40" t="n">
        <x:v>12</x:v>
      </x:c>
      <x:c r="F452" s="40" t="n">
        <x:v>9.942935943603516</x:v>
      </x:c>
      <x:c r="G452" s="40" t="n">
        <x:v>12</x:v>
      </x:c>
      <x:c r="H452" s="40" t="n">
        <x:f>F452-E452</x:f>
        <x:v>-2.0570640563964844</x:v>
      </x:c>
      <x:c r="I452" s="40" t="n">
        <x:f>ABS(H452)</x:f>
        <x:v>2.0570640563964844</x:v>
      </x:c>
      <x:c r="J452" s="40" t="n">
        <x:f>H452^2</x:f>
        <x:v>4.231512532118359</x:v>
      </x:c>
      <x:c r="K452" s="40" t="n">
        <x:f>G452-E452</x:f>
        <x:v>0</x:v>
      </x:c>
      <x:c r="L452" s="40" t="n">
        <x:f>ABS(K452)</x:f>
        <x:v>0</x:v>
      </x:c>
      <x:c r="M452" s="41" t="str">
        <x:v>lstm-soil-v1</x:v>
      </x:c>
    </x:row>
    <x:row r="453">
      <x:c r="A453" s="38" t="str">
        <x:v>7月30日现场数据</x:v>
      </x:c>
      <x:c r="B453" s="39" t="str">
        <x:v>2026-07-31T22:55:00</x:v>
      </x:c>
      <x:c r="C453" s="39" t="str">
        <x:v>2026-07-31T23:10:00</x:v>
      </x:c>
      <x:c r="D453" s="47" t="n">
        <x:v>15</x:v>
      </x:c>
      <x:c r="E453" s="40" t="n">
        <x:v>12</x:v>
      </x:c>
      <x:c r="F453" s="40" t="n">
        <x:v>10.002899169921875</x:v>
      </x:c>
      <x:c r="G453" s="40" t="n">
        <x:v>12</x:v>
      </x:c>
      <x:c r="H453" s="40" t="n">
        <x:f>F453-E453</x:f>
        <x:v>-1.997100830078125</x:v>
      </x:c>
      <x:c r="I453" s="40" t="n">
        <x:f>ABS(H453)</x:f>
        <x:v>1.997100830078125</x:v>
      </x:c>
      <x:c r="J453" s="40" t="n">
        <x:f>H453^2</x:f>
        <x:v>3.988411725498736</x:v>
      </x:c>
      <x:c r="K453" s="40" t="n">
        <x:f>G453-E453</x:f>
        <x:v>0</x:v>
      </x:c>
      <x:c r="L453" s="40" t="n">
        <x:f>ABS(K453)</x:f>
        <x:v>0</x:v>
      </x:c>
      <x:c r="M453" s="41" t="str">
        <x:v>lstm-soil-v1</x:v>
      </x:c>
    </x:row>
    <x:row r="454">
      <x:c r="A454" s="38" t="str">
        <x:v>7月30日现场数据</x:v>
      </x:c>
      <x:c r="B454" s="39" t="str">
        <x:v>2026-07-31T22:55:00</x:v>
      </x:c>
      <x:c r="C454" s="39" t="str">
        <x:v>2026-07-31T23:25:00</x:v>
      </x:c>
      <x:c r="D454" s="47" t="n">
        <x:v>30</x:v>
      </x:c>
      <x:c r="E454" s="40" t="n">
        <x:v>12</x:v>
      </x:c>
      <x:c r="F454" s="40" t="n">
        <x:v>10.467552185058594</x:v>
      </x:c>
      <x:c r="G454" s="40" t="n">
        <x:v>12</x:v>
      </x:c>
      <x:c r="H454" s="40" t="n">
        <x:f>F454-E454</x:f>
        <x:v>-1.5324478149414062</x:v>
      </x:c>
      <x:c r="I454" s="40" t="n">
        <x:f>ABS(H454)</x:f>
        <x:v>1.5324478149414062</x:v>
      </x:c>
      <x:c r="J454" s="40" t="n">
        <x:f>H454^2</x:f>
        <x:v>2.3483963055186905</x:v>
      </x:c>
      <x:c r="K454" s="40" t="n">
        <x:f>G454-E454</x:f>
        <x:v>0</x:v>
      </x:c>
      <x:c r="L454" s="40" t="n">
        <x:f>ABS(K454)</x:f>
        <x:v>0</x:v>
      </x:c>
      <x:c r="M454" s="41" t="str">
        <x:v>lstm-soil-v1</x:v>
      </x:c>
    </x:row>
    <x:row r="455">
      <x:c r="A455" s="38" t="str">
        <x:v>7月30日现场数据</x:v>
      </x:c>
      <x:c r="B455" s="39" t="str">
        <x:v>2026-07-31T22:55:00</x:v>
      </x:c>
      <x:c r="C455" s="39" t="str">
        <x:v>2026-07-31T23:55:00</x:v>
      </x:c>
      <x:c r="D455" s="47" t="n">
        <x:v>60</x:v>
      </x:c>
      <x:c r="E455" s="40" t="n">
        <x:v>12</x:v>
      </x:c>
      <x:c r="F455" s="40" t="n">
        <x:v>12.081501007080078</x:v>
      </x:c>
      <x:c r="G455" s="40" t="n">
        <x:v>12</x:v>
      </x:c>
      <x:c r="H455" s="40" t="n">
        <x:f>F455-E455</x:f>
        <x:v>0.08150100708007812</x:v>
      </x:c>
      <x:c r="I455" s="40" t="n">
        <x:f>ABS(H455)</x:f>
        <x:v>0.08150100708007812</x:v>
      </x:c>
      <x:c r="J455" s="40" t="n">
        <x:f>H455^2</x:f>
        <x:v>0.006642414155066945</x:v>
      </x:c>
      <x:c r="K455" s="40" t="n">
        <x:f>G455-E455</x:f>
        <x:v>0</x:v>
      </x:c>
      <x:c r="L455" s="40" t="n">
        <x:f>ABS(K455)</x:f>
        <x:v>0</x:v>
      </x:c>
      <x:c r="M455" s="41" t="str">
        <x:v>lstm-soil-v1</x:v>
      </x:c>
    </x:row>
    <x:row r="456">
      <x:c r="A456" s="38" t="str">
        <x:v>7月30日现场数据</x:v>
      </x:c>
      <x:c r="B456" s="39" t="str">
        <x:v>2026-07-31T23:00:00</x:v>
      </x:c>
      <x:c r="C456" s="39" t="str">
        <x:v>2026-07-31T23:05:00</x:v>
      </x:c>
      <x:c r="D456" s="47" t="n">
        <x:v>5</x:v>
      </x:c>
      <x:c r="E456" s="40" t="n">
        <x:v>12</x:v>
      </x:c>
      <x:c r="F456" s="40" t="n">
        <x:v>9.940105438232422</x:v>
      </x:c>
      <x:c r="G456" s="40" t="n">
        <x:v>12</x:v>
      </x:c>
      <x:c r="H456" s="40" t="n">
        <x:f>F456-E456</x:f>
        <x:v>-2.059894561767578</x:v>
      </x:c>
      <x:c r="I456" s="40" t="n">
        <x:f>ABS(H456)</x:f>
        <x:v>2.059894561767578</x:v>
      </x:c>
      <x:c r="J456" s="40" t="n">
        <x:f>H456^2</x:f>
        <x:v>4.243165605599643</x:v>
      </x:c>
      <x:c r="K456" s="40" t="n">
        <x:f>G456-E456</x:f>
        <x:v>0</x:v>
      </x:c>
      <x:c r="L456" s="40" t="n">
        <x:f>ABS(K456)</x:f>
        <x:v>0</x:v>
      </x:c>
      <x:c r="M456" s="41" t="str">
        <x:v>lstm-soil-v1</x:v>
      </x:c>
    </x:row>
    <x:row r="457">
      <x:c r="A457" s="38" t="str">
        <x:v>7月30日现场数据</x:v>
      </x:c>
      <x:c r="B457" s="39" t="str">
        <x:v>2026-07-31T23:00:00</x:v>
      </x:c>
      <x:c r="C457" s="39" t="str">
        <x:v>2026-07-31T23:15:00</x:v>
      </x:c>
      <x:c r="D457" s="47" t="n">
        <x:v>15</x:v>
      </x:c>
      <x:c r="E457" s="40" t="n">
        <x:v>12</x:v>
      </x:c>
      <x:c r="F457" s="40" t="n">
        <x:v>10.00115966796875</x:v>
      </x:c>
      <x:c r="G457" s="40" t="n">
        <x:v>12</x:v>
      </x:c>
      <x:c r="H457" s="40" t="n">
        <x:f>F457-E457</x:f>
        <x:v>-1.99884033203125</x:v>
      </x:c>
      <x:c r="I457" s="40" t="n">
        <x:f>ABS(H457)</x:f>
        <x:v>1.99884033203125</x:v>
      </x:c>
      <x:c r="J457" s="40" t="n">
        <x:f>H457^2</x:f>
        <x:v>3.9953626729547977</x:v>
      </x:c>
      <x:c r="K457" s="40" t="n">
        <x:f>G457-E457</x:f>
        <x:v>0</x:v>
      </x:c>
      <x:c r="L457" s="40" t="n">
        <x:f>ABS(K457)</x:f>
        <x:v>0</x:v>
      </x:c>
      <x:c r="M457" s="41" t="str">
        <x:v>lstm-soil-v1</x:v>
      </x:c>
    </x:row>
    <x:row r="458">
      <x:c r="A458" s="38" t="str">
        <x:v>7月30日现场数据</x:v>
      </x:c>
      <x:c r="B458" s="39" t="str">
        <x:v>2026-07-31T23:00:00</x:v>
      </x:c>
      <x:c r="C458" s="39" t="str">
        <x:v>2026-07-31T23:30:00</x:v>
      </x:c>
      <x:c r="D458" s="47" t="n">
        <x:v>30</x:v>
      </x:c>
      <x:c r="E458" s="40" t="n">
        <x:v>12</x:v>
      </x:c>
      <x:c r="F458" s="40" t="n">
        <x:v>10.464710235595703</x:v>
      </x:c>
      <x:c r="G458" s="40" t="n">
        <x:v>12</x:v>
      </x:c>
      <x:c r="H458" s="40" t="n">
        <x:f>F458-E458</x:f>
        <x:v>-1.5352897644042969</x:v>
      </x:c>
      <x:c r="I458" s="40" t="n">
        <x:f>ABS(H458)</x:f>
        <x:v>1.5352897644042969</x:v>
      </x:c>
      <x:c r="J458" s="40" t="n">
        <x:f>H458^2</x:f>
        <x:v>2.3571146606846014</x:v>
      </x:c>
      <x:c r="K458" s="40" t="n">
        <x:f>G458-E458</x:f>
        <x:v>0</x:v>
      </x:c>
      <x:c r="L458" s="40" t="n">
        <x:f>ABS(K458)</x:f>
        <x:v>0</x:v>
      </x:c>
      <x:c r="M458" s="41" t="str">
        <x:v>lstm-soil-v1</x:v>
      </x:c>
    </x:row>
    <x:row r="459">
      <x:c r="A459" s="38" t="str">
        <x:v>7月30日现场数据</x:v>
      </x:c>
      <x:c r="B459" s="39" t="str">
        <x:v>2026-07-31T23:00:00</x:v>
      </x:c>
      <x:c r="C459" s="39" t="str">
        <x:v>2026-08-01T00:00:00</x:v>
      </x:c>
      <x:c r="D459" s="47" t="n">
        <x:v>60</x:v>
      </x:c>
      <x:c r="E459" s="40" t="n">
        <x:v>12</x:v>
      </x:c>
      <x:c r="F459" s="40" t="n">
        <x:v>12.073699951171875</x:v>
      </x:c>
      <x:c r="G459" s="40" t="n">
        <x:v>12</x:v>
      </x:c>
      <x:c r="H459" s="40" t="n">
        <x:f>F459-E459</x:f>
        <x:v>0.073699951171875</x:v>
      </x:c>
      <x:c r="I459" s="40" t="n">
        <x:f>ABS(H459)</x:f>
        <x:v>0.073699951171875</x:v>
      </x:c>
      <x:c r="J459" s="40" t="n">
        <x:f>H459^2</x:f>
        <x:v>0.005431682802736759</x:v>
      </x:c>
      <x:c r="K459" s="40" t="n">
        <x:f>G459-E459</x:f>
        <x:v>0</x:v>
      </x:c>
      <x:c r="L459" s="40" t="n">
        <x:f>ABS(K459)</x:f>
        <x:v>0</x:v>
      </x:c>
      <x:c r="M459" s="41" t="str">
        <x:v>lstm-soil-v1</x:v>
      </x:c>
    </x:row>
    <x:row r="460">
      <x:c r="A460" s="38" t="str">
        <x:v>7月30日现场数据</x:v>
      </x:c>
      <x:c r="B460" s="39" t="str">
        <x:v>2026-07-31T23:05:00</x:v>
      </x:c>
      <x:c r="C460" s="39" t="str">
        <x:v>2026-07-31T23:10:00</x:v>
      </x:c>
      <x:c r="D460" s="47" t="n">
        <x:v>5</x:v>
      </x:c>
      <x:c r="E460" s="40" t="n">
        <x:v>12</x:v>
      </x:c>
      <x:c r="F460" s="40" t="n">
        <x:v>9.93792724609375</x:v>
      </x:c>
      <x:c r="G460" s="40" t="n">
        <x:v>12</x:v>
      </x:c>
      <x:c r="H460" s="40" t="n">
        <x:f>F460-E460</x:f>
        <x:v>-2.06207275390625</x:v>
      </x:c>
      <x:c r="I460" s="40" t="n">
        <x:f>ABS(H460)</x:f>
        <x:v>2.06207275390625</x:v>
      </x:c>
      <x:c r="J460" s="40" t="n">
        <x:f>H460^2</x:f>
        <x:v>4.252144042402506</x:v>
      </x:c>
      <x:c r="K460" s="40" t="n">
        <x:f>G460-E460</x:f>
        <x:v>0</x:v>
      </x:c>
      <x:c r="L460" s="40" t="n">
        <x:f>ABS(K460)</x:f>
        <x:v>0</x:v>
      </x:c>
      <x:c r="M460" s="41" t="str">
        <x:v>lstm-soil-v1</x:v>
      </x:c>
    </x:row>
    <x:row r="461">
      <x:c r="A461" s="38" t="str">
        <x:v>7月30日现场数据</x:v>
      </x:c>
      <x:c r="B461" s="39" t="str">
        <x:v>2026-07-31T23:05:00</x:v>
      </x:c>
      <x:c r="C461" s="39" t="str">
        <x:v>2026-07-31T23:20:00</x:v>
      </x:c>
      <x:c r="D461" s="47" t="n">
        <x:v>15</x:v>
      </x:c>
      <x:c r="E461" s="40" t="n">
        <x:v>12</x:v>
      </x:c>
      <x:c r="F461" s="40" t="n">
        <x:v>9.999504089355469</x:v>
      </x:c>
      <x:c r="G461" s="40" t="n">
        <x:v>12</x:v>
      </x:c>
      <x:c r="H461" s="40" t="n">
        <x:f>F461-E461</x:f>
        <x:v>-2.0004959106445312</x:v>
      </x:c>
      <x:c r="I461" s="40" t="n">
        <x:f>ABS(H461)</x:f>
        <x:v>2.0004959106445312</x:v>
      </x:c>
      <x:c r="J461" s="40" t="n">
        <x:f>H461^2</x:f>
        <x:v>4.001983888505492</x:v>
      </x:c>
      <x:c r="K461" s="40" t="n">
        <x:f>G461-E461</x:f>
        <x:v>0</x:v>
      </x:c>
      <x:c r="L461" s="40" t="n">
        <x:f>ABS(K461)</x:f>
        <x:v>0</x:v>
      </x:c>
      <x:c r="M461" s="41" t="str">
        <x:v>lstm-soil-v1</x:v>
      </x:c>
    </x:row>
    <x:row r="462">
      <x:c r="A462" s="38" t="str">
        <x:v>7月30日现场数据</x:v>
      </x:c>
      <x:c r="B462" s="39" t="str">
        <x:v>2026-07-31T23:05:00</x:v>
      </x:c>
      <x:c r="C462" s="39" t="str">
        <x:v>2026-07-31T23:35:00</x:v>
      </x:c>
      <x:c r="D462" s="47" t="n">
        <x:v>30</x:v>
      </x:c>
      <x:c r="E462" s="40" t="n">
        <x:v>12</x:v>
      </x:c>
      <x:c r="F462" s="40" t="n">
        <x:v>10.463809967041016</x:v>
      </x:c>
      <x:c r="G462" s="40" t="n">
        <x:v>12</x:v>
      </x:c>
      <x:c r="H462" s="40" t="n">
        <x:f>F462-E462</x:f>
        <x:v>-1.5361900329589844</x:v>
      </x:c>
      <x:c r="I462" s="40" t="n">
        <x:f>ABS(H462)</x:f>
        <x:v>1.5361900329589844</x:v>
      </x:c>
      <x:c r="J462" s="40" t="n">
        <x:f>H462^2</x:f>
        <x:v>2.3598798173625255</x:v>
      </x:c>
      <x:c r="K462" s="40" t="n">
        <x:f>G462-E462</x:f>
        <x:v>0</x:v>
      </x:c>
      <x:c r="L462" s="40" t="n">
        <x:f>ABS(K462)</x:f>
        <x:v>0</x:v>
      </x:c>
      <x:c r="M462" s="41" t="str">
        <x:v>lstm-soil-v1</x:v>
      </x:c>
    </x:row>
    <x:row r="463">
      <x:c r="A463" s="38" t="str">
        <x:v>7月30日现场数据</x:v>
      </x:c>
      <x:c r="B463" s="39" t="str">
        <x:v>2026-07-31T23:05:00</x:v>
      </x:c>
      <x:c r="C463" s="39" t="str">
        <x:v>2026-08-01T00:05:00</x:v>
      </x:c>
      <x:c r="D463" s="47" t="n">
        <x:v>60</x:v>
      </x:c>
      <x:c r="E463" s="40" t="n">
        <x:v>12</x:v>
      </x:c>
      <x:c r="F463" s="40" t="n">
        <x:v>12.069072723388672</x:v>
      </x:c>
      <x:c r="G463" s="40" t="n">
        <x:v>12</x:v>
      </x:c>
      <x:c r="H463" s="40" t="n">
        <x:f>F463-E463</x:f>
        <x:v>0.06907272338867188</x:v>
      </x:c>
      <x:c r="I463" s="40" t="n">
        <x:f>ABS(H463)</x:f>
        <x:v>0.06907272338867188</x:v>
      </x:c>
      <x:c r="J463" s="40" t="n">
        <x:f>H463^2</x:f>
        <x:v>0.004771041116327979</x:v>
      </x:c>
      <x:c r="K463" s="40" t="n">
        <x:f>G463-E463</x:f>
        <x:v>0</x:v>
      </x:c>
      <x:c r="L463" s="40" t="n">
        <x:f>ABS(K463)</x:f>
        <x:v>0</x:v>
      </x:c>
      <x:c r="M463" s="41" t="str">
        <x:v>lstm-soil-v1</x:v>
      </x:c>
    </x:row>
    <x:row r="464">
      <x:c r="A464" s="38" t="str">
        <x:v>7月30日现场数据</x:v>
      </x:c>
      <x:c r="B464" s="39" t="str">
        <x:v>2026-07-31T23:10:00</x:v>
      </x:c>
      <x:c r="C464" s="39" t="str">
        <x:v>2026-07-31T23:15:00</x:v>
      </x:c>
      <x:c r="D464" s="47" t="n">
        <x:v>5</x:v>
      </x:c>
      <x:c r="E464" s="40" t="n">
        <x:v>12</x:v>
      </x:c>
      <x:c r="F464" s="40" t="n">
        <x:v>9.936336517333984</x:v>
      </x:c>
      <x:c r="G464" s="40" t="n">
        <x:v>12</x:v>
      </x:c>
      <x:c r="H464" s="40" t="n">
        <x:f>F464-E464</x:f>
        <x:v>-2.0636634826660156</x:v>
      </x:c>
      <x:c r="I464" s="40" t="n">
        <x:f>ABS(H464)</x:f>
        <x:v>2.0636634826660156</x:v>
      </x:c>
      <x:c r="J464" s="40" t="n">
        <x:f>H464^2</x:f>
        <x:v>4.258706969689229</x:v>
      </x:c>
      <x:c r="K464" s="40" t="n">
        <x:f>G464-E464</x:f>
        <x:v>0</x:v>
      </x:c>
      <x:c r="L464" s="40" t="n">
        <x:f>ABS(K464)</x:f>
        <x:v>0</x:v>
      </x:c>
      <x:c r="M464" s="41" t="str">
        <x:v>lstm-soil-v1</x:v>
      </x:c>
    </x:row>
    <x:row r="465">
      <x:c r="A465" s="38" t="str">
        <x:v>7月30日现场数据</x:v>
      </x:c>
      <x:c r="B465" s="39" t="str">
        <x:v>2026-07-31T23:10:00</x:v>
      </x:c>
      <x:c r="C465" s="39" t="str">
        <x:v>2026-07-31T23:25:00</x:v>
      </x:c>
      <x:c r="D465" s="47" t="n">
        <x:v>15</x:v>
      </x:c>
      <x:c r="E465" s="40" t="n">
        <x:v>12</x:v>
      </x:c>
      <x:c r="F465" s="40" t="n">
        <x:v>9.997859954833984</x:v>
      </x:c>
      <x:c r="G465" s="40" t="n">
        <x:v>12</x:v>
      </x:c>
      <x:c r="H465" s="40" t="n">
        <x:f>F465-E465</x:f>
        <x:v>-2.0021400451660156</x:v>
      </x:c>
      <x:c r="I465" s="40" t="n">
        <x:f>ABS(H465)</x:f>
        <x:v>2.0021400451660156</x:v>
      </x:c>
      <x:c r="J465" s="40" t="n">
        <x:f>H465^2</x:f>
        <x:v>4.008564760457375</x:v>
      </x:c>
      <x:c r="K465" s="40" t="n">
        <x:f>G465-E465</x:f>
        <x:v>0</x:v>
      </x:c>
      <x:c r="L465" s="40" t="n">
        <x:f>ABS(K465)</x:f>
        <x:v>0</x:v>
      </x:c>
      <x:c r="M465" s="41" t="str">
        <x:v>lstm-soil-v1</x:v>
      </x:c>
    </x:row>
    <x:row r="466">
      <x:c r="A466" s="38" t="str">
        <x:v>7月30日现场数据</x:v>
      </x:c>
      <x:c r="B466" s="39" t="str">
        <x:v>2026-07-31T23:10:00</x:v>
      </x:c>
      <x:c r="C466" s="39" t="str">
        <x:v>2026-07-31T23:40:00</x:v>
      </x:c>
      <x:c r="D466" s="47" t="n">
        <x:v>30</x:v>
      </x:c>
      <x:c r="E466" s="40" t="n">
        <x:v>12</x:v>
      </x:c>
      <x:c r="F466" s="40" t="n">
        <x:v>10.463844299316406</x:v>
      </x:c>
      <x:c r="G466" s="40" t="n">
        <x:v>12</x:v>
      </x:c>
      <x:c r="H466" s="40" t="n">
        <x:f>F466-E466</x:f>
        <x:v>-1.5361557006835938</x:v>
      </x:c>
      <x:c r="I466" s="40" t="n">
        <x:f>ABS(H466)</x:f>
        <x:v>1.5361557006835938</x:v>
      </x:c>
      <x:c r="J466" s="40" t="n">
        <x:f>H466^2</x:f>
        <x:v>2.359774336742703</x:v>
      </x:c>
      <x:c r="K466" s="40" t="n">
        <x:f>G466-E466</x:f>
        <x:v>0</x:v>
      </x:c>
      <x:c r="L466" s="40" t="n">
        <x:f>ABS(K466)</x:f>
        <x:v>0</x:v>
      </x:c>
      <x:c r="M466" s="41" t="str">
        <x:v>lstm-soil-v1</x:v>
      </x:c>
    </x:row>
    <x:row r="467">
      <x:c r="A467" s="38" t="str">
        <x:v>7月30日现场数据</x:v>
      </x:c>
      <x:c r="B467" s="39" t="str">
        <x:v>2026-07-31T23:10:00</x:v>
      </x:c>
      <x:c r="C467" s="39" t="str">
        <x:v>2026-08-01T00:10:00</x:v>
      </x:c>
      <x:c r="D467" s="47" t="n">
        <x:v>60</x:v>
      </x:c>
      <x:c r="E467" s="40" t="n">
        <x:v>12</x:v>
      </x:c>
      <x:c r="F467" s="40" t="n">
        <x:v>12.06655502319336</x:v>
      </x:c>
      <x:c r="G467" s="40" t="n">
        <x:v>12</x:v>
      </x:c>
      <x:c r="H467" s="40" t="n">
        <x:f>F467-E467</x:f>
        <x:v>0.06655502319335938</x:v>
      </x:c>
      <x:c r="I467" s="40" t="n">
        <x:f>ABS(H467)</x:f>
        <x:v>0.06655502319335938</x:v>
      </x:c>
      <x:c r="J467" s="40" t="n">
        <x:f>H467^2</x:f>
        <x:v>0.004429571112268604</x:v>
      </x:c>
      <x:c r="K467" s="40" t="n">
        <x:f>G467-E467</x:f>
        <x:v>0</x:v>
      </x:c>
      <x:c r="L467" s="40" t="n">
        <x:f>ABS(K467)</x:f>
        <x:v>0</x:v>
      </x:c>
      <x:c r="M467" s="41" t="str">
        <x:v>lstm-soil-v1</x:v>
      </x:c>
    </x:row>
    <x:row r="468">
      <x:c r="A468" s="38" t="str">
        <x:v>7月30日现场数据</x:v>
      </x:c>
      <x:c r="B468" s="39" t="str">
        <x:v>2026-07-31T23:15:00</x:v>
      </x:c>
      <x:c r="C468" s="39" t="str">
        <x:v>2026-07-31T23:20:00</x:v>
      </x:c>
      <x:c r="D468" s="47" t="n">
        <x:v>5</x:v>
      </x:c>
      <x:c r="E468" s="40" t="n">
        <x:v>12</x:v>
      </x:c>
      <x:c r="F468" s="40" t="n">
        <x:v>9.93570327758789</x:v>
      </x:c>
      <x:c r="G468" s="40" t="n">
        <x:v>12</x:v>
      </x:c>
      <x:c r="H468" s="40" t="n">
        <x:f>F468-E468</x:f>
        <x:v>-2.0642967224121094</x:v>
      </x:c>
      <x:c r="I468" s="40" t="n">
        <x:f>ABS(H468)</x:f>
        <x:v>2.0642967224121094</x:v>
      </x:c>
      <x:c r="J468" s="40" t="n">
        <x:f>H468^2</x:f>
        <x:v>4.261320958161377</x:v>
      </x:c>
      <x:c r="K468" s="40" t="n">
        <x:f>G468-E468</x:f>
        <x:v>0</x:v>
      </x:c>
      <x:c r="L468" s="40" t="n">
        <x:f>ABS(K468)</x:f>
        <x:v>0</x:v>
      </x:c>
      <x:c r="M468" s="41" t="str">
        <x:v>lstm-soil-v1</x:v>
      </x:c>
    </x:row>
    <x:row r="469">
      <x:c r="A469" s="38" t="str">
        <x:v>7月30日现场数据</x:v>
      </x:c>
      <x:c r="B469" s="39" t="str">
        <x:v>2026-07-31T23:15:00</x:v>
      </x:c>
      <x:c r="C469" s="39" t="str">
        <x:v>2026-07-31T23:30:00</x:v>
      </x:c>
      <x:c r="D469" s="47" t="n">
        <x:v>15</x:v>
      </x:c>
      <x:c r="E469" s="40" t="n">
        <x:v>12</x:v>
      </x:c>
      <x:c r="F469" s="40" t="n">
        <x:v>9.996856689453125</x:v>
      </x:c>
      <x:c r="G469" s="40" t="n">
        <x:v>12</x:v>
      </x:c>
      <x:c r="H469" s="40" t="n">
        <x:f>F469-E469</x:f>
        <x:v>-2.003143310546875</x:v>
      </x:c>
      <x:c r="I469" s="40" t="n">
        <x:f>ABS(H469)</x:f>
        <x:v>2.003143310546875</x:v>
      </x:c>
      <x:c r="J469" s="40" t="n">
        <x:f>H469^2</x:f>
        <x:v>4.012583122588694</x:v>
      </x:c>
      <x:c r="K469" s="40" t="n">
        <x:f>G469-E469</x:f>
        <x:v>0</x:v>
      </x:c>
      <x:c r="L469" s="40" t="n">
        <x:f>ABS(K469)</x:f>
        <x:v>0</x:v>
      </x:c>
      <x:c r="M469" s="41" t="str">
        <x:v>lstm-soil-v1</x:v>
      </x:c>
    </x:row>
    <x:row r="470">
      <x:c r="A470" s="38" t="str">
        <x:v>7月30日现场数据</x:v>
      </x:c>
      <x:c r="B470" s="39" t="str">
        <x:v>2026-07-31T23:15:00</x:v>
      </x:c>
      <x:c r="C470" s="39" t="str">
        <x:v>2026-07-31T23:45:00</x:v>
      </x:c>
      <x:c r="D470" s="47" t="n">
        <x:v>30</x:v>
      </x:c>
      <x:c r="E470" s="40" t="n">
        <x:v>12</x:v>
      </x:c>
      <x:c r="F470" s="40" t="n">
        <x:v>10.46480941772461</x:v>
      </x:c>
      <x:c r="G470" s="40" t="n">
        <x:v>12</x:v>
      </x:c>
      <x:c r="H470" s="40" t="n">
        <x:f>F470-E470</x:f>
        <x:v>-1.5351905822753906</x:v>
      </x:c>
      <x:c r="I470" s="40" t="n">
        <x:f>ABS(H470)</x:f>
        <x:v>1.5351905822753906</x:v>
      </x:c>
      <x:c r="J470" s="40" t="n">
        <x:f>H470^2</x:f>
        <x:v>2.356810123907053</x:v>
      </x:c>
      <x:c r="K470" s="40" t="n">
        <x:f>G470-E470</x:f>
        <x:v>0</x:v>
      </x:c>
      <x:c r="L470" s="40" t="n">
        <x:f>ABS(K470)</x:f>
        <x:v>0</x:v>
      </x:c>
      <x:c r="M470" s="41" t="str">
        <x:v>lstm-soil-v1</x:v>
      </x:c>
    </x:row>
    <x:row r="471">
      <x:c r="A471" s="38" t="str">
        <x:v>7月30日现场数据</x:v>
      </x:c>
      <x:c r="B471" s="39" t="str">
        <x:v>2026-07-31T23:15:00</x:v>
      </x:c>
      <x:c r="C471" s="39" t="str">
        <x:v>2026-08-01T00:15:00</x:v>
      </x:c>
      <x:c r="D471" s="47" t="n">
        <x:v>60</x:v>
      </x:c>
      <x:c r="E471" s="40" t="n">
        <x:v>12</x:v>
      </x:c>
      <x:c r="F471" s="40" t="n">
        <x:v>12.065399169921875</x:v>
      </x:c>
      <x:c r="G471" s="40" t="n">
        <x:v>12</x:v>
      </x:c>
      <x:c r="H471" s="40" t="n">
        <x:f>F471-E471</x:f>
        <x:v>0.065399169921875</x:v>
      </x:c>
      <x:c r="I471" s="40" t="n">
        <x:f>ABS(H471)</x:f>
        <x:v>0.065399169921875</x:v>
      </x:c>
      <x:c r="J471" s="40" t="n">
        <x:f>H471^2</x:f>
        <x:v>0.00427705142647028</x:v>
      </x:c>
      <x:c r="K471" s="40" t="n">
        <x:f>G471-E471</x:f>
        <x:v>0</x:v>
      </x:c>
      <x:c r="L471" s="40" t="n">
        <x:f>ABS(K471)</x:f>
        <x:v>0</x:v>
      </x:c>
      <x:c r="M471" s="41" t="str">
        <x:v>lstm-soil-v1</x:v>
      </x:c>
    </x:row>
    <x:row r="472">
      <x:c r="A472" s="38" t="str">
        <x:v>7月30日现场数据</x:v>
      </x:c>
      <x:c r="B472" s="39" t="str">
        <x:v>2026-07-31T23:20:00</x:v>
      </x:c>
      <x:c r="C472" s="39" t="str">
        <x:v>2026-07-31T23:25:00</x:v>
      </x:c>
      <x:c r="D472" s="47" t="n">
        <x:v>5</x:v>
      </x:c>
      <x:c r="E472" s="40" t="n">
        <x:v>12</x:v>
      </x:c>
      <x:c r="F472" s="40" t="n">
        <x:v>9.935192108154297</x:v>
      </x:c>
      <x:c r="G472" s="40" t="n">
        <x:v>12</x:v>
      </x:c>
      <x:c r="H472" s="40" t="n">
        <x:f>F472-E472</x:f>
        <x:v>-2.064807891845703</x:v>
      </x:c>
      <x:c r="I472" s="40" t="n">
        <x:f>ABS(H472)</x:f>
        <x:v>2.064807891845703</x:v>
      </x:c>
      <x:c r="J472" s="40" t="n">
        <x:f>H472^2</x:f>
        <x:v>4.263431630228297</x:v>
      </x:c>
      <x:c r="K472" s="40" t="n">
        <x:f>G472-E472</x:f>
        <x:v>0</x:v>
      </x:c>
      <x:c r="L472" s="40" t="n">
        <x:f>ABS(K472)</x:f>
        <x:v>0</x:v>
      </x:c>
      <x:c r="M472" s="41" t="str">
        <x:v>lstm-soil-v1</x:v>
      </x:c>
    </x:row>
    <x:row r="473">
      <x:c r="A473" s="38" t="str">
        <x:v>7月30日现场数据</x:v>
      </x:c>
      <x:c r="B473" s="39" t="str">
        <x:v>2026-07-31T23:20:00</x:v>
      </x:c>
      <x:c r="C473" s="39" t="str">
        <x:v>2026-07-31T23:35:00</x:v>
      </x:c>
      <x:c r="D473" s="47" t="n">
        <x:v>15</x:v>
      </x:c>
      <x:c r="E473" s="40" t="n">
        <x:v>12</x:v>
      </x:c>
      <x:c r="F473" s="40" t="n">
        <x:v>9.995933532714844</x:v>
      </x:c>
      <x:c r="G473" s="40" t="n">
        <x:v>12</x:v>
      </x:c>
      <x:c r="H473" s="40" t="n">
        <x:f>F473-E473</x:f>
        <x:v>-2.0040664672851562</x:v>
      </x:c>
      <x:c r="I473" s="40" t="n">
        <x:f>ABS(H473)</x:f>
        <x:v>2.0040664672851562</x:v>
      </x:c>
      <x:c r="J473" s="40" t="n">
        <x:f>H473^2</x:f>
        <x:v>4.016282405296806</x:v>
      </x:c>
      <x:c r="K473" s="40" t="n">
        <x:f>G473-E473</x:f>
        <x:v>0</x:v>
      </x:c>
      <x:c r="L473" s="40" t="n">
        <x:f>ABS(K473)</x:f>
        <x:v>0</x:v>
      </x:c>
      <x:c r="M473" s="41" t="str">
        <x:v>lstm-soil-v1</x:v>
      </x:c>
    </x:row>
    <x:row r="474">
      <x:c r="A474" s="38" t="str">
        <x:v>7月30日现场数据</x:v>
      </x:c>
      <x:c r="B474" s="39" t="str">
        <x:v>2026-07-31T23:20:00</x:v>
      </x:c>
      <x:c r="C474" s="39" t="str">
        <x:v>2026-07-31T23:50:00</x:v>
      </x:c>
      <x:c r="D474" s="47" t="n">
        <x:v>30</x:v>
      </x:c>
      <x:c r="E474" s="40" t="n">
        <x:v>12</x:v>
      </x:c>
      <x:c r="F474" s="40" t="n">
        <x:v>10.465431213378906</x:v>
      </x:c>
      <x:c r="G474" s="40" t="n">
        <x:v>12</x:v>
      </x:c>
      <x:c r="H474" s="40" t="n">
        <x:f>F474-E474</x:f>
        <x:v>-1.5345687866210938</x:v>
      </x:c>
      <x:c r="I474" s="40" t="n">
        <x:f>ABS(H474)</x:f>
        <x:v>1.5345687866210938</x:v>
      </x:c>
      <x:c r="J474" s="40" t="n">
        <x:f>H474^2</x:f>
        <x:v>2.354901360871736</x:v>
      </x:c>
      <x:c r="K474" s="40" t="n">
        <x:f>G474-E474</x:f>
        <x:v>0</x:v>
      </x:c>
      <x:c r="L474" s="40" t="n">
        <x:f>ABS(K474)</x:f>
        <x:v>0</x:v>
      </x:c>
      <x:c r="M474" s="41" t="str">
        <x:v>lstm-soil-v1</x:v>
      </x:c>
    </x:row>
    <x:row r="475">
      <x:c r="A475" s="38" t="str">
        <x:v>7月30日现场数据</x:v>
      </x:c>
      <x:c r="B475" s="39" t="str">
        <x:v>2026-07-31T23:20:00</x:v>
      </x:c>
      <x:c r="C475" s="39" t="str">
        <x:v>2026-08-01T00:20:00</x:v>
      </x:c>
      <x:c r="D475" s="47" t="n">
        <x:v>60</x:v>
      </x:c>
      <x:c r="E475" s="40" t="n">
        <x:v>12</x:v>
      </x:c>
      <x:c r="F475" s="40" t="n">
        <x:v>12.065380096435547</x:v>
      </x:c>
      <x:c r="G475" s="40" t="n">
        <x:v>12</x:v>
      </x:c>
      <x:c r="H475" s="40" t="n">
        <x:f>F475-E475</x:f>
        <x:v>0.06538009643554688</x:v>
      </x:c>
      <x:c r="I475" s="40" t="n">
        <x:f>ABS(H475)</x:f>
        <x:v>0.06538009643554688</x:v>
      </x:c>
      <x:c r="J475" s="40" t="n">
        <x:f>H475^2</x:f>
        <x:v>0.004274557009921409</x:v>
      </x:c>
      <x:c r="K475" s="40" t="n">
        <x:f>G475-E475</x:f>
        <x:v>0</x:v>
      </x:c>
      <x:c r="L475" s="40" t="n">
        <x:f>ABS(K475)</x:f>
        <x:v>0</x:v>
      </x:c>
      <x:c r="M475" s="41" t="str">
        <x:v>lstm-soil-v1</x:v>
      </x:c>
    </x:row>
    <x:row r="476">
      <x:c r="A476" s="38" t="str">
        <x:v>7月30日现场数据</x:v>
      </x:c>
      <x:c r="B476" s="39" t="str">
        <x:v>2026-07-31T23:25:00</x:v>
      </x:c>
      <x:c r="C476" s="39" t="str">
        <x:v>2026-07-31T23:30:00</x:v>
      </x:c>
      <x:c r="D476" s="47" t="n">
        <x:v>5</x:v>
      </x:c>
      <x:c r="E476" s="40" t="n">
        <x:v>12</x:v>
      </x:c>
      <x:c r="F476" s="40" t="n">
        <x:v>9.934856414794922</x:v>
      </x:c>
      <x:c r="G476" s="40" t="n">
        <x:v>12</x:v>
      </x:c>
      <x:c r="H476" s="40" t="n">
        <x:f>F476-E476</x:f>
        <x:v>-2.065143585205078</x:v>
      </x:c>
      <x:c r="I476" s="40" t="n">
        <x:f>ABS(H476)</x:f>
        <x:v>2.065143585205078</x:v>
      </x:c>
      <x:c r="J476" s="40" t="n">
        <x:f>H476^2</x:f>
        <x:v>4.264818027513684</x:v>
      </x:c>
      <x:c r="K476" s="40" t="n">
        <x:f>G476-E476</x:f>
        <x:v>0</x:v>
      </x:c>
      <x:c r="L476" s="40" t="n">
        <x:f>ABS(K476)</x:f>
        <x:v>0</x:v>
      </x:c>
      <x:c r="M476" s="41" t="str">
        <x:v>lstm-soil-v1</x:v>
      </x:c>
    </x:row>
    <x:row r="477">
      <x:c r="A477" s="38" t="str">
        <x:v>7月30日现场数据</x:v>
      </x:c>
      <x:c r="B477" s="39" t="str">
        <x:v>2026-07-31T23:25:00</x:v>
      </x:c>
      <x:c r="C477" s="39" t="str">
        <x:v>2026-07-31T23:40:00</x:v>
      </x:c>
      <x:c r="D477" s="47" t="n">
        <x:v>15</x:v>
      </x:c>
      <x:c r="E477" s="40" t="n">
        <x:v>12</x:v>
      </x:c>
      <x:c r="F477" s="40" t="n">
        <x:v>9.995063781738281</x:v>
      </x:c>
      <x:c r="G477" s="40" t="n">
        <x:v>12</x:v>
      </x:c>
      <x:c r="H477" s="40" t="n">
        <x:f>F477-E477</x:f>
        <x:v>-2.0049362182617188</x:v>
      </x:c>
      <x:c r="I477" s="40" t="n">
        <x:f>ABS(H477)</x:f>
        <x:v>2.0049362182617188</x:v>
      </x:c>
      <x:c r="J477" s="40" t="n">
        <x:f>H477^2</x:f>
        <x:v>4.019769239297602</x:v>
      </x:c>
      <x:c r="K477" s="40" t="n">
        <x:f>G477-E477</x:f>
        <x:v>0</x:v>
      </x:c>
      <x:c r="L477" s="40" t="n">
        <x:f>ABS(K477)</x:f>
        <x:v>0</x:v>
      </x:c>
      <x:c r="M477" s="41" t="str">
        <x:v>lstm-soil-v1</x:v>
      </x:c>
    </x:row>
    <x:row r="478">
      <x:c r="A478" s="38" t="str">
        <x:v>7月30日现场数据</x:v>
      </x:c>
      <x:c r="B478" s="39" t="str">
        <x:v>2026-07-31T23:25:00</x:v>
      </x:c>
      <x:c r="C478" s="39" t="str">
        <x:v>2026-07-31T23:55:00</x:v>
      </x:c>
      <x:c r="D478" s="47" t="n">
        <x:v>30</x:v>
      </x:c>
      <x:c r="E478" s="40" t="n">
        <x:v>12</x:v>
      </x:c>
      <x:c r="F478" s="40" t="n">
        <x:v>10.46603012084961</x:v>
      </x:c>
      <x:c r="G478" s="40" t="n">
        <x:v>12</x:v>
      </x:c>
      <x:c r="H478" s="40" t="n">
        <x:f>F478-E478</x:f>
        <x:v>-1.5339698791503906</x:v>
      </x:c>
      <x:c r="I478" s="40" t="n">
        <x:f>ABS(H478)</x:f>
        <x:v>1.5339698791503906</x:v>
      </x:c>
      <x:c r="J478" s="40" t="n">
        <x:f>H478^2</x:f>
        <x:v>2.353063590140664</x:v>
      </x:c>
      <x:c r="K478" s="40" t="n">
        <x:f>G478-E478</x:f>
        <x:v>0</x:v>
      </x:c>
      <x:c r="L478" s="40" t="n">
        <x:f>ABS(K478)</x:f>
        <x:v>0</x:v>
      </x:c>
      <x:c r="M478" s="41" t="str">
        <x:v>lstm-soil-v1</x:v>
      </x:c>
    </x:row>
    <x:row r="479">
      <x:c r="A479" s="38" t="str">
        <x:v>7月30日现场数据</x:v>
      </x:c>
      <x:c r="B479" s="39" t="str">
        <x:v>2026-07-31T23:25:00</x:v>
      </x:c>
      <x:c r="C479" s="39" t="str">
        <x:v>2026-08-01T00:25:00</x:v>
      </x:c>
      <x:c r="D479" s="47" t="n">
        <x:v>60</x:v>
      </x:c>
      <x:c r="E479" s="40" t="n">
        <x:v>12</x:v>
      </x:c>
      <x:c r="F479" s="40" t="n">
        <x:v>12.065876007080078</x:v>
      </x:c>
      <x:c r="G479" s="40" t="n">
        <x:v>12</x:v>
      </x:c>
      <x:c r="H479" s="40" t="n">
        <x:f>F479-E479</x:f>
        <x:v>0.06587600708007812</x:v>
      </x:c>
      <x:c r="I479" s="40" t="n">
        <x:f>ABS(H479)</x:f>
        <x:v>0.06587600708007812</x:v>
      </x:c>
      <x:c r="J479" s="40" t="n">
        <x:f>H479^2</x:f>
        <x:v>0.004339648308814503</x:v>
      </x:c>
      <x:c r="K479" s="40" t="n">
        <x:f>G479-E479</x:f>
        <x:v>0</x:v>
      </x:c>
      <x:c r="L479" s="40" t="n">
        <x:f>ABS(K479)</x:f>
        <x:v>0</x:v>
      </x:c>
      <x:c r="M479" s="41" t="str">
        <x:v>lstm-soil-v1</x:v>
      </x:c>
    </x:row>
    <x:row r="480">
      <x:c r="A480" s="38" t="str">
        <x:v>7月30日现场数据</x:v>
      </x:c>
      <x:c r="B480" s="39" t="str">
        <x:v>2026-07-31T23:30:00</x:v>
      </x:c>
      <x:c r="C480" s="39" t="str">
        <x:v>2026-07-31T23:35:00</x:v>
      </x:c>
      <x:c r="D480" s="47" t="n">
        <x:v>5</x:v>
      </x:c>
      <x:c r="E480" s="40" t="n">
        <x:v>12</x:v>
      </x:c>
      <x:c r="F480" s="40" t="n">
        <x:v>9.934730529785156</x:v>
      </x:c>
      <x:c r="G480" s="40" t="n">
        <x:v>12</x:v>
      </x:c>
      <x:c r="H480" s="40" t="n">
        <x:f>F480-E480</x:f>
        <x:v>-2.0652694702148438</x:v>
      </x:c>
      <x:c r="I480" s="40" t="n">
        <x:f>ABS(H480)</x:f>
        <x:v>2.0652694702148438</x:v>
      </x:c>
      <x:c r="J480" s="40" t="n">
        <x:f>H480^2</x:f>
        <x:v>4.265337984601501</x:v>
      </x:c>
      <x:c r="K480" s="40" t="n">
        <x:f>G480-E480</x:f>
        <x:v>0</x:v>
      </x:c>
      <x:c r="L480" s="40" t="n">
        <x:f>ABS(K480)</x:f>
        <x:v>0</x:v>
      </x:c>
      <x:c r="M480" s="41" t="str">
        <x:v>lstm-soil-v1</x:v>
      </x:c>
    </x:row>
    <x:row r="481">
      <x:c r="A481" s="38" t="str">
        <x:v>7月30日现场数据</x:v>
      </x:c>
      <x:c r="B481" s="39" t="str">
        <x:v>2026-07-31T23:30:00</x:v>
      </x:c>
      <x:c r="C481" s="39" t="str">
        <x:v>2026-07-31T23:45:00</x:v>
      </x:c>
      <x:c r="D481" s="47" t="n">
        <x:v>15</x:v>
      </x:c>
      <x:c r="E481" s="40" t="n">
        <x:v>12</x:v>
      </x:c>
      <x:c r="F481" s="40" t="n">
        <x:v>9.99441909790039</x:v>
      </x:c>
      <x:c r="G481" s="40" t="n">
        <x:v>12</x:v>
      </x:c>
      <x:c r="H481" s="40" t="n">
        <x:f>F481-E481</x:f>
        <x:v>-2.0055809020996094</x:v>
      </x:c>
      <x:c r="I481" s="40" t="n">
        <x:f>ABS(H481)</x:f>
        <x:v>2.0055809020996094</x:v>
      </x:c>
      <x:c r="J481" s="40" t="n">
        <x:f>H481^2</x:f>
        <x:v>4.022354754866683</x:v>
      </x:c>
      <x:c r="K481" s="40" t="n">
        <x:f>G481-E481</x:f>
        <x:v>0</x:v>
      </x:c>
      <x:c r="L481" s="40" t="n">
        <x:f>ABS(K481)</x:f>
        <x:v>0</x:v>
      </x:c>
      <x:c r="M481" s="41" t="str">
        <x:v>lstm-soil-v1</x:v>
      </x:c>
    </x:row>
    <x:row r="482">
      <x:c r="A482" s="38" t="str">
        <x:v>7月30日现场数据</x:v>
      </x:c>
      <x:c r="B482" s="39" t="str">
        <x:v>2026-07-31T23:30:00</x:v>
      </x:c>
      <x:c r="C482" s="39" t="str">
        <x:v>2026-08-01T00:00:00</x:v>
      </x:c>
      <x:c r="D482" s="47" t="n">
        <x:v>30</x:v>
      </x:c>
      <x:c r="E482" s="40" t="n">
        <x:v>12</x:v>
      </x:c>
      <x:c r="F482" s="40" t="n">
        <x:v>10.46664047241211</x:v>
      </x:c>
      <x:c r="G482" s="40" t="n">
        <x:v>12</x:v>
      </x:c>
      <x:c r="H482" s="40" t="n">
        <x:f>F482-E482</x:f>
        <x:v>-1.5333595275878906</x:v>
      </x:c>
      <x:c r="I482" s="40" t="n">
        <x:f>ABS(H482)</x:f>
        <x:v>1.5333595275878906</x:v>
      </x:c>
      <x:c r="J482" s="40" t="n">
        <x:f>H482^2</x:f>
        <x:v>2.351191440844559</x:v>
      </x:c>
      <x:c r="K482" s="40" t="n">
        <x:f>G482-E482</x:f>
        <x:v>0</x:v>
      </x:c>
      <x:c r="L482" s="40" t="n">
        <x:f>ABS(K482)</x:f>
        <x:v>0</x:v>
      </x:c>
      <x:c r="M482" s="41" t="str">
        <x:v>lstm-soil-v1</x:v>
      </x:c>
    </x:row>
    <x:row r="483">
      <x:c r="A483" s="38" t="str">
        <x:v>7月30日现场数据</x:v>
      </x:c>
      <x:c r="B483" s="39" t="str">
        <x:v>2026-07-31T23:30:00</x:v>
      </x:c>
      <x:c r="C483" s="39" t="str">
        <x:v>2026-08-01T00:30:00</x:v>
      </x:c>
      <x:c r="D483" s="47" t="n">
        <x:v>60</x:v>
      </x:c>
      <x:c r="E483" s="40" t="n">
        <x:v>12</x:v>
      </x:c>
      <x:c r="F483" s="40" t="n">
        <x:v>12.06655502319336</x:v>
      </x:c>
      <x:c r="G483" s="40" t="n">
        <x:v>12</x:v>
      </x:c>
      <x:c r="H483" s="40" t="n">
        <x:f>F483-E483</x:f>
        <x:v>0.06655502319335938</x:v>
      </x:c>
      <x:c r="I483" s="40" t="n">
        <x:f>ABS(H483)</x:f>
        <x:v>0.06655502319335938</x:v>
      </x:c>
      <x:c r="J483" s="40" t="n">
        <x:f>H483^2</x:f>
        <x:v>0.004429571112268604</x:v>
      </x:c>
      <x:c r="K483" s="40" t="n">
        <x:f>G483-E483</x:f>
        <x:v>0</x:v>
      </x:c>
      <x:c r="L483" s="40" t="n">
        <x:f>ABS(K483)</x:f>
        <x:v>0</x:v>
      </x:c>
      <x:c r="M483" s="41" t="str">
        <x:v>lstm-soil-v1</x:v>
      </x:c>
    </x:row>
    <x:row r="484">
      <x:c r="A484" s="38" t="str">
        <x:v>7月30日现场数据</x:v>
      </x:c>
      <x:c r="B484" s="39" t="str">
        <x:v>2026-07-31T23:35:00</x:v>
      </x:c>
      <x:c r="C484" s="39" t="str">
        <x:v>2026-07-31T23:40:00</x:v>
      </x:c>
      <x:c r="D484" s="47" t="n">
        <x:v>5</x:v>
      </x:c>
      <x:c r="E484" s="40" t="n">
        <x:v>12</x:v>
      </x:c>
      <x:c r="F484" s="40" t="n">
        <x:v>9.93471908569336</x:v>
      </x:c>
      <x:c r="G484" s="40" t="n">
        <x:v>12</x:v>
      </x:c>
      <x:c r="H484" s="40" t="n">
        <x:f>F484-E484</x:f>
        <x:v>-2.0652809143066406</x:v>
      </x:c>
      <x:c r="I484" s="40" t="n">
        <x:f>ABS(H484)</x:f>
        <x:v>2.0652809143066406</x:v>
      </x:c>
      <x:c r="J484" s="40" t="n">
        <x:f>H484^2</x:f>
        <x:v>4.2653852549992735</x:v>
      </x:c>
      <x:c r="K484" s="40" t="n">
        <x:f>G484-E484</x:f>
        <x:v>0</x:v>
      </x:c>
      <x:c r="L484" s="40" t="n">
        <x:f>ABS(K484)</x:f>
        <x:v>0</x:v>
      </x:c>
      <x:c r="M484" s="41" t="str">
        <x:v>lstm-soil-v1</x:v>
      </x:c>
    </x:row>
    <x:row r="485">
      <x:c r="A485" s="38" t="str">
        <x:v>7月30日现场数据</x:v>
      </x:c>
      <x:c r="B485" s="39" t="str">
        <x:v>2026-07-31T23:35:00</x:v>
      </x:c>
      <x:c r="C485" s="39" t="str">
        <x:v>2026-07-31T23:50:00</x:v>
      </x:c>
      <x:c r="D485" s="47" t="n">
        <x:v>15</x:v>
      </x:c>
      <x:c r="E485" s="40" t="n">
        <x:v>12</x:v>
      </x:c>
      <x:c r="F485" s="40" t="n">
        <x:v>9.993961334228516</x:v>
      </x:c>
      <x:c r="G485" s="40" t="n">
        <x:v>12</x:v>
      </x:c>
      <x:c r="H485" s="40" t="n">
        <x:f>F485-E485</x:f>
        <x:v>-2.0060386657714844</x:v>
      </x:c>
      <x:c r="I485" s="40" t="n">
        <x:f>ABS(H485)</x:f>
        <x:v>2.0060386657714844</x:v>
      </x:c>
      <x:c r="J485" s="40" t="n">
        <x:f>H485^2</x:f>
        <x:v>4.024191128570237</x:v>
      </x:c>
      <x:c r="K485" s="40" t="n">
        <x:f>G485-E485</x:f>
        <x:v>0</x:v>
      </x:c>
      <x:c r="L485" s="40" t="n">
        <x:f>ABS(K485)</x:f>
        <x:v>0</x:v>
      </x:c>
      <x:c r="M485" s="41" t="str">
        <x:v>lstm-soil-v1</x:v>
      </x:c>
    </x:row>
    <x:row r="486">
      <x:c r="A486" s="38" t="str">
        <x:v>7月30日现场数据</x:v>
      </x:c>
      <x:c r="B486" s="39" t="str">
        <x:v>2026-07-31T23:35:00</x:v>
      </x:c>
      <x:c r="C486" s="39" t="str">
        <x:v>2026-08-01T00:05:00</x:v>
      </x:c>
      <x:c r="D486" s="47" t="n">
        <x:v>30</x:v>
      </x:c>
      <x:c r="E486" s="40" t="n">
        <x:v>12</x:v>
      </x:c>
      <x:c r="F486" s="40" t="n">
        <x:v>10.467220306396484</x:v>
      </x:c>
      <x:c r="G486" s="40" t="n">
        <x:v>12</x:v>
      </x:c>
      <x:c r="H486" s="40" t="n">
        <x:f>F486-E486</x:f>
        <x:v>-1.5327796936035156</x:v>
      </x:c>
      <x:c r="I486" s="40" t="n">
        <x:f>ABS(H486)</x:f>
        <x:v>1.5327796936035156</x:v>
      </x:c>
      <x:c r="J486" s="40" t="n">
        <x:f>H486^2</x:f>
        <x:v>2.3494135891232872</x:v>
      </x:c>
      <x:c r="K486" s="40" t="n">
        <x:f>G486-E486</x:f>
        <x:v>0</x:v>
      </x:c>
      <x:c r="L486" s="40" t="n">
        <x:f>ABS(K486)</x:f>
        <x:v>0</x:v>
      </x:c>
      <x:c r="M486" s="41" t="str">
        <x:v>lstm-soil-v1</x:v>
      </x:c>
    </x:row>
    <x:row r="487">
      <x:c r="A487" s="38" t="str">
        <x:v>7月30日现场数据</x:v>
      </x:c>
      <x:c r="B487" s="39" t="str">
        <x:v>2026-07-31T23:35:00</x:v>
      </x:c>
      <x:c r="C487" s="39" t="str">
        <x:v>2026-08-01T00:35:00</x:v>
      </x:c>
      <x:c r="D487" s="47" t="n">
        <x:v>60</x:v>
      </x:c>
      <x:c r="E487" s="40" t="n">
        <x:v>12</x:v>
      </x:c>
      <x:c r="F487" s="40" t="n">
        <x:v>12.06723403930664</x:v>
      </x:c>
      <x:c r="G487" s="40" t="n">
        <x:v>12</x:v>
      </x:c>
      <x:c r="H487" s="40" t="n">
        <x:f>F487-E487</x:f>
        <x:v>0.06723403930664062</x:v>
      </x:c>
      <x:c r="I487" s="40" t="n">
        <x:f>ABS(H487)</x:f>
        <x:v>0.06723403930664062</x:v>
      </x:c>
      <x:c r="J487" s="40" t="n">
        <x:f>H487^2</x:f>
        <x:v>0.004520416041486897</x:v>
      </x:c>
      <x:c r="K487" s="40" t="n">
        <x:f>G487-E487</x:f>
        <x:v>0</x:v>
      </x:c>
      <x:c r="L487" s="40" t="n">
        <x:f>ABS(K487)</x:f>
        <x:v>0</x:v>
      </x:c>
      <x:c r="M487" s="41" t="str">
        <x:v>lstm-soil-v1</x:v>
      </x:c>
    </x:row>
    <x:row r="488">
      <x:c r="A488" s="38" t="str">
        <x:v>7月30日现场数据</x:v>
      </x:c>
      <x:c r="B488" s="39" t="str">
        <x:v>2026-07-31T23:40:00</x:v>
      </x:c>
      <x:c r="C488" s="39" t="str">
        <x:v>2026-07-31T23:45:00</x:v>
      </x:c>
      <x:c r="D488" s="47" t="n">
        <x:v>5</x:v>
      </x:c>
      <x:c r="E488" s="40" t="n">
        <x:v>12</x:v>
      </x:c>
      <x:c r="F488" s="40" t="n">
        <x:v>9.93521499633789</x:v>
      </x:c>
      <x:c r="G488" s="40" t="n">
        <x:v>12</x:v>
      </x:c>
      <x:c r="H488" s="40" t="n">
        <x:f>F488-E488</x:f>
        <x:v>-2.0647850036621094</x:v>
      </x:c>
      <x:c r="I488" s="40" t="n">
        <x:f>ABS(H488)</x:f>
        <x:v>2.0647850036621094</x:v>
      </x:c>
      <x:c r="J488" s="40" t="n">
        <x:f>H488^2</x:f>
        <x:v>4.263337111347937</x:v>
      </x:c>
      <x:c r="K488" s="40" t="n">
        <x:f>G488-E488</x:f>
        <x:v>0</x:v>
      </x:c>
      <x:c r="L488" s="40" t="n">
        <x:f>ABS(K488)</x:f>
        <x:v>0</x:v>
      </x:c>
      <x:c r="M488" s="41" t="str">
        <x:v>lstm-soil-v1</x:v>
      </x:c>
    </x:row>
    <x:row r="489">
      <x:c r="A489" s="38" t="str">
        <x:v>7月30日现场数据</x:v>
      </x:c>
      <x:c r="B489" s="39" t="str">
        <x:v>2026-07-31T23:40:00</x:v>
      </x:c>
      <x:c r="C489" s="39" t="str">
        <x:v>2026-07-31T23:55:00</x:v>
      </x:c>
      <x:c r="D489" s="47" t="n">
        <x:v>15</x:v>
      </x:c>
      <x:c r="E489" s="40" t="n">
        <x:v>12</x:v>
      </x:c>
      <x:c r="F489" s="40" t="n">
        <x:v>9.994075775146484</x:v>
      </x:c>
      <x:c r="G489" s="40" t="n">
        <x:v>12</x:v>
      </x:c>
      <x:c r="H489" s="40" t="n">
        <x:f>F489-E489</x:f>
        <x:v>-2.0059242248535156</x:v>
      </x:c>
      <x:c r="I489" s="40" t="n">
        <x:f>ABS(H489)</x:f>
        <x:v>2.0059242248535156</x:v>
      </x:c>
      <x:c r="J489" s="40" t="n">
        <x:f>H489^2</x:f>
        <x:v>4.0237319958541775</x:v>
      </x:c>
      <x:c r="K489" s="40" t="n">
        <x:f>G489-E489</x:f>
        <x:v>0</x:v>
      </x:c>
      <x:c r="L489" s="40" t="n">
        <x:f>ABS(K489)</x:f>
        <x:v>0</x:v>
      </x:c>
      <x:c r="M489" s="41" t="str">
        <x:v>lstm-soil-v1</x:v>
      </x:c>
    </x:row>
    <x:row r="490">
      <x:c r="A490" s="38" t="str">
        <x:v>7月30日现场数据</x:v>
      </x:c>
      <x:c r="B490" s="39" t="str">
        <x:v>2026-07-31T23:40:00</x:v>
      </x:c>
      <x:c r="C490" s="39" t="str">
        <x:v>2026-08-01T00:10:00</x:v>
      </x:c>
      <x:c r="D490" s="47" t="n">
        <x:v>30</x:v>
      </x:c>
      <x:c r="E490" s="40" t="n">
        <x:v>12</x:v>
      </x:c>
      <x:c r="F490" s="40" t="n">
        <x:v>10.468257904052734</x:v>
      </x:c>
      <x:c r="G490" s="40" t="n">
        <x:v>12</x:v>
      </x:c>
      <x:c r="H490" s="40" t="n">
        <x:f>F490-E490</x:f>
        <x:v>-1.5317420959472656</x:v>
      </x:c>
      <x:c r="I490" s="40" t="n">
        <x:f>ABS(H490)</x:f>
        <x:v>1.5317420959472656</x:v>
      </x:c>
      <x:c r="J490" s="40" t="n">
        <x:f>H490^2</x:f>
        <x:v>2.3462338484969223</x:v>
      </x:c>
      <x:c r="K490" s="40" t="n">
        <x:f>G490-E490</x:f>
        <x:v>0</x:v>
      </x:c>
      <x:c r="L490" s="40" t="n">
        <x:f>ABS(K490)</x:f>
        <x:v>0</x:v>
      </x:c>
      <x:c r="M490" s="41" t="str">
        <x:v>lstm-soil-v1</x:v>
      </x:c>
    </x:row>
    <x:row r="491">
      <x:c r="A491" s="38" t="str">
        <x:v>7月30日现场数据</x:v>
      </x:c>
      <x:c r="B491" s="39" t="str">
        <x:v>2026-07-31T23:40:00</x:v>
      </x:c>
      <x:c r="C491" s="39" t="str">
        <x:v>2026-08-01T00:40:00</x:v>
      </x:c>
      <x:c r="D491" s="47" t="n">
        <x:v>60</x:v>
      </x:c>
      <x:c r="E491" s="40" t="n">
        <x:v>12</x:v>
      </x:c>
      <x:c r="F491" s="40" t="n">
        <x:v>12.06768798828125</x:v>
      </x:c>
      <x:c r="G491" s="40" t="n">
        <x:v>12</x:v>
      </x:c>
      <x:c r="H491" s="40" t="n">
        <x:f>F491-E491</x:f>
        <x:v>0.06768798828125</x:v>
      </x:c>
      <x:c r="I491" s="40" t="n">
        <x:f>ABS(H491)</x:f>
        <x:v>0.06768798828125</x:v>
      </x:c>
      <x:c r="J491" s="40" t="n">
        <x:f>H491^2</x:f>
        <x:v>0.004581663757562637</x:v>
      </x:c>
      <x:c r="K491" s="40" t="n">
        <x:f>G491-E491</x:f>
        <x:v>0</x:v>
      </x:c>
      <x:c r="L491" s="40" t="n">
        <x:f>ABS(K491)</x:f>
        <x:v>0</x:v>
      </x:c>
      <x:c r="M491" s="41" t="str">
        <x:v>lstm-soil-v1</x:v>
      </x:c>
    </x:row>
    <x:row r="492">
      <x:c r="A492" s="38" t="str">
        <x:v>7月30日现场数据</x:v>
      </x:c>
      <x:c r="B492" s="39" t="str">
        <x:v>2026-07-31T23:45:00</x:v>
      </x:c>
      <x:c r="C492" s="39" t="str">
        <x:v>2026-07-31T23:50:00</x:v>
      </x:c>
      <x:c r="D492" s="47" t="n">
        <x:v>5</x:v>
      </x:c>
      <x:c r="E492" s="40" t="n">
        <x:v>12</x:v>
      </x:c>
      <x:c r="F492" s="40" t="n">
        <x:v>9.93539047241211</x:v>
      </x:c>
      <x:c r="G492" s="40" t="n">
        <x:v>12</x:v>
      </x:c>
      <x:c r="H492" s="40" t="n">
        <x:f>F492-E492</x:f>
        <x:v>-2.0646095275878906</x:v>
      </x:c>
      <x:c r="I492" s="40" t="n">
        <x:f>ABS(H492)</x:f>
        <x:v>2.0646095275878906</x:v>
      </x:c>
      <x:c r="J492" s="40" t="n">
        <x:f>H492^2</x:f>
        <x:v>4.262612501406693</x:v>
      </x:c>
      <x:c r="K492" s="40" t="n">
        <x:f>G492-E492</x:f>
        <x:v>0</x:v>
      </x:c>
      <x:c r="L492" s="40" t="n">
        <x:f>ABS(K492)</x:f>
        <x:v>0</x:v>
      </x:c>
      <x:c r="M492" s="41" t="str">
        <x:v>lstm-soil-v1</x:v>
      </x:c>
    </x:row>
    <x:row r="493">
      <x:c r="A493" s="38" t="str">
        <x:v>7月30日现场数据</x:v>
      </x:c>
      <x:c r="B493" s="39" t="str">
        <x:v>2026-07-31T23:45:00</x:v>
      </x:c>
      <x:c r="C493" s="39" t="str">
        <x:v>2026-08-01T00:00:00</x:v>
      </x:c>
      <x:c r="D493" s="47" t="n">
        <x:v>15</x:v>
      </x:c>
      <x:c r="E493" s="40" t="n">
        <x:v>12</x:v>
      </x:c>
      <x:c r="F493" s="40" t="n">
        <x:v>9.99407958984375</x:v>
      </x:c>
      <x:c r="G493" s="40" t="n">
        <x:v>12</x:v>
      </x:c>
      <x:c r="H493" s="40" t="n">
        <x:f>F493-E493</x:f>
        <x:v>-2.00592041015625</x:v>
      </x:c>
      <x:c r="I493" s="40" t="n">
        <x:f>ABS(H493)</x:f>
        <x:v>2.00592041015625</x:v>
      </x:c>
      <x:c r="J493" s="40" t="n">
        <x:f>H493^2</x:f>
        <x:v>4.023716691881418</x:v>
      </x:c>
      <x:c r="K493" s="40" t="n">
        <x:f>G493-E493</x:f>
        <x:v>0</x:v>
      </x:c>
      <x:c r="L493" s="40" t="n">
        <x:f>ABS(K493)</x:f>
        <x:v>0</x:v>
      </x:c>
      <x:c r="M493" s="41" t="str">
        <x:v>lstm-soil-v1</x:v>
      </x:c>
    </x:row>
    <x:row r="494">
      <x:c r="A494" s="38" t="str">
        <x:v>7月30日现场数据</x:v>
      </x:c>
      <x:c r="B494" s="39" t="str">
        <x:v>2026-07-31T23:45:00</x:v>
      </x:c>
      <x:c r="C494" s="39" t="str">
        <x:v>2026-08-01T00:15:00</x:v>
      </x:c>
      <x:c r="D494" s="47" t="n">
        <x:v>30</x:v>
      </x:c>
      <x:c r="E494" s="40" t="n">
        <x:v>12</x:v>
      </x:c>
      <x:c r="F494" s="40" t="n">
        <x:v>10.468605041503906</x:v>
      </x:c>
      <x:c r="G494" s="40" t="n">
        <x:v>12</x:v>
      </x:c>
      <x:c r="H494" s="40" t="n">
        <x:f>F494-E494</x:f>
        <x:v>-1.5313949584960938</x:v>
      </x:c>
      <x:c r="I494" s="40" t="n">
        <x:f>ABS(H494)</x:f>
        <x:v>1.5313949584960938</x:v>
      </x:c>
      <x:c r="J494" s="40" t="n">
        <x:f>H494^2</x:f>
        <x:v>2.3451705189072527</x:v>
      </x:c>
      <x:c r="K494" s="40" t="n">
        <x:f>G494-E494</x:f>
        <x:v>0</x:v>
      </x:c>
      <x:c r="L494" s="40" t="n">
        <x:f>ABS(K494)</x:f>
        <x:v>0</x:v>
      </x:c>
      <x:c r="M494" s="41" t="str">
        <x:v>lstm-soil-v1</x:v>
      </x:c>
    </x:row>
    <x:row r="495">
      <x:c r="A495" s="38" t="str">
        <x:v>7月30日现场数据</x:v>
      </x:c>
      <x:c r="B495" s="39" t="str">
        <x:v>2026-07-31T23:45:00</x:v>
      </x:c>
      <x:c r="C495" s="39" t="str">
        <x:v>2026-08-01T00:45:00</x:v>
      </x:c>
      <x:c r="D495" s="47" t="n">
        <x:v>60</x:v>
      </x:c>
      <x:c r="E495" s="40" t="n">
        <x:v>12</x:v>
      </x:c>
      <x:c r="F495" s="40" t="n">
        <x:v>12.068199157714844</x:v>
      </x:c>
      <x:c r="G495" s="40" t="n">
        <x:v>12</x:v>
      </x:c>
      <x:c r="H495" s="40" t="n">
        <x:f>F495-E495</x:f>
        <x:v>0.06819915771484375</x:v>
      </x:c>
      <x:c r="I495" s="40" t="n">
        <x:f>ABS(H495)</x:f>
        <x:v>0.06819915771484375</x:v>
      </x:c>
      <x:c r="J495" s="40" t="n">
        <x:f>H495^2</x:f>
        <x:v>0.004651125113014132</x:v>
      </x:c>
      <x:c r="K495" s="40" t="n">
        <x:f>G495-E495</x:f>
        <x:v>0</x:v>
      </x:c>
      <x:c r="L495" s="40" t="n">
        <x:f>ABS(K495)</x:f>
        <x:v>0</x:v>
      </x:c>
      <x:c r="M495" s="41" t="str">
        <x:v>lstm-soil-v1</x:v>
      </x:c>
    </x:row>
    <x:row r="496">
      <x:c r="A496" s="38" t="str">
        <x:v>7月30日现场数据</x:v>
      </x:c>
      <x:c r="B496" s="39" t="str">
        <x:v>2026-07-31T23:50:00</x:v>
      </x:c>
      <x:c r="C496" s="39" t="str">
        <x:v>2026-07-31T23:55:00</x:v>
      </x:c>
      <x:c r="D496" s="47" t="n">
        <x:v>5</x:v>
      </x:c>
      <x:c r="E496" s="40" t="n">
        <x:v>12</x:v>
      </x:c>
      <x:c r="F496" s="40" t="n">
        <x:v>9.935405731201172</x:v>
      </x:c>
      <x:c r="G496" s="40" t="n">
        <x:v>12</x:v>
      </x:c>
      <x:c r="H496" s="40" t="n">
        <x:f>F496-E496</x:f>
        <x:v>-2.064594268798828</x:v>
      </x:c>
      <x:c r="I496" s="40" t="n">
        <x:f>ABS(H496)</x:f>
        <x:v>2.064594268798828</x:v>
      </x:c>
      <x:c r="J496" s="40" t="n">
        <x:f>H496^2</x:f>
        <x:v>4.262549494756968</x:v>
      </x:c>
      <x:c r="K496" s="40" t="n">
        <x:f>G496-E496</x:f>
        <x:v>0</x:v>
      </x:c>
      <x:c r="L496" s="40" t="n">
        <x:f>ABS(K496)</x:f>
        <x:v>0</x:v>
      </x:c>
      <x:c r="M496" s="41" t="str">
        <x:v>lstm-soil-v1</x:v>
      </x:c>
    </x:row>
    <x:row r="497">
      <x:c r="A497" s="38" t="str">
        <x:v>7月30日现场数据</x:v>
      </x:c>
      <x:c r="B497" s="39" t="str">
        <x:v>2026-07-31T23:50:00</x:v>
      </x:c>
      <x:c r="C497" s="39" t="str">
        <x:v>2026-08-01T00:05:00</x:v>
      </x:c>
      <x:c r="D497" s="47" t="n">
        <x:v>15</x:v>
      </x:c>
      <x:c r="E497" s="40" t="n">
        <x:v>12</x:v>
      </x:c>
      <x:c r="F497" s="40" t="n">
        <x:v>9.993881225585938</x:v>
      </x:c>
      <x:c r="G497" s="40" t="n">
        <x:v>12</x:v>
      </x:c>
      <x:c r="H497" s="40" t="n">
        <x:f>F497-E497</x:f>
        <x:v>-2.0061187744140625</x:v>
      </x:c>
      <x:c r="I497" s="40" t="n">
        <x:f>ABS(H497)</x:f>
        <x:v>2.0061187744140625</x:v>
      </x:c>
      <x:c r="J497" s="40" t="n">
        <x:f>H497^2</x:f>
        <x:v>4.02451253705658</x:v>
      </x:c>
      <x:c r="K497" s="40" t="n">
        <x:f>G497-E497</x:f>
        <x:v>0</x:v>
      </x:c>
      <x:c r="L497" s="40" t="n">
        <x:f>ABS(K497)</x:f>
        <x:v>0</x:v>
      </x:c>
      <x:c r="M497" s="41" t="str">
        <x:v>lstm-soil-v1</x:v>
      </x:c>
    </x:row>
    <x:row r="498">
      <x:c r="A498" s="38" t="str">
        <x:v>7月30日现场数据</x:v>
      </x:c>
      <x:c r="B498" s="39" t="str">
        <x:v>2026-07-31T23:50:00</x:v>
      </x:c>
      <x:c r="C498" s="39" t="str">
        <x:v>2026-08-01T00:20:00</x:v>
      </x:c>
      <x:c r="D498" s="47" t="n">
        <x:v>30</x:v>
      </x:c>
      <x:c r="E498" s="40" t="n">
        <x:v>12</x:v>
      </x:c>
      <x:c r="F498" s="40" t="n">
        <x:v>10.468742370605469</x:v>
      </x:c>
      <x:c r="G498" s="40" t="n">
        <x:v>12</x:v>
      </x:c>
      <x:c r="H498" s="40" t="n">
        <x:f>F498-E498</x:f>
        <x:v>-1.5312576293945312</x:v>
      </x:c>
      <x:c r="I498" s="40" t="n">
        <x:f>ABS(H498)</x:f>
        <x:v>1.5312576293945312</x:v>
      </x:c>
      <x:c r="J498" s="40" t="n">
        <x:f>H498^2</x:f>
        <x:v>2.3447499275789596</x:v>
      </x:c>
      <x:c r="K498" s="40" t="n">
        <x:f>G498-E498</x:f>
        <x:v>0</x:v>
      </x:c>
      <x:c r="L498" s="40" t="n">
        <x:f>ABS(K498)</x:f>
        <x:v>0</x:v>
      </x:c>
      <x:c r="M498" s="41" t="str">
        <x:v>lstm-soil-v1</x:v>
      </x:c>
    </x:row>
    <x:row r="499">
      <x:c r="A499" s="38" t="str">
        <x:v>7月30日现场数据</x:v>
      </x:c>
      <x:c r="B499" s="39" t="str">
        <x:v>2026-07-31T23:50:00</x:v>
      </x:c>
      <x:c r="C499" s="39" t="str">
        <x:v>2026-08-01T00:50:00</x:v>
      </x:c>
      <x:c r="D499" s="47" t="n">
        <x:v>60</x:v>
      </x:c>
      <x:c r="E499" s="40" t="n">
        <x:v>12</x:v>
      </x:c>
      <x:c r="F499" s="40" t="n">
        <x:v>12.068649291992188</x:v>
      </x:c>
      <x:c r="G499" s="40" t="n">
        <x:v>12</x:v>
      </x:c>
      <x:c r="H499" s="40" t="n">
        <x:f>F499-E499</x:f>
        <x:v>0.0686492919921875</x:v>
      </x:c>
      <x:c r="I499" s="40" t="n">
        <x:f>ABS(H499)</x:f>
        <x:v>0.0686492919921875</x:v>
      </x:c>
      <x:c r="J499" s="40" t="n">
        <x:f>H499^2</x:f>
        <x:v>0.004712725291028619</x:v>
      </x:c>
      <x:c r="K499" s="40" t="n">
        <x:f>G499-E499</x:f>
        <x:v>0</x:v>
      </x:c>
      <x:c r="L499" s="40" t="n">
        <x:f>ABS(K499)</x:f>
        <x:v>0</x:v>
      </x:c>
      <x:c r="M499" s="41" t="str">
        <x:v>lstm-soil-v1</x:v>
      </x:c>
    </x:row>
    <x:row r="500">
      <x:c r="A500" s="38" t="str">
        <x:v>7月30日现场数据</x:v>
      </x:c>
      <x:c r="B500" s="39" t="str">
        <x:v>2026-07-31T23:55:00</x:v>
      </x:c>
      <x:c r="C500" s="39" t="str">
        <x:v>2026-08-01T00:00:00</x:v>
      </x:c>
      <x:c r="D500" s="47" t="n">
        <x:v>5</x:v>
      </x:c>
      <x:c r="E500" s="40" t="n">
        <x:v>12</x:v>
      </x:c>
      <x:c r="F500" s="40" t="n">
        <x:v>9.935432434082031</x:v>
      </x:c>
      <x:c r="G500" s="40" t="n">
        <x:v>12</x:v>
      </x:c>
      <x:c r="H500" s="40" t="n">
        <x:f>F500-E500</x:f>
        <x:v>-2.0645675659179688</x:v>
      </x:c>
      <x:c r="I500" s="40" t="n">
        <x:f>ABS(H500)</x:f>
        <x:v>2.0645675659179688</x:v>
      </x:c>
      <x:c r="J500" s="40" t="n">
        <x:f>H500^2</x:f>
        <x:v>4.262439234240446</x:v>
      </x:c>
      <x:c r="K500" s="40" t="n">
        <x:f>G500-E500</x:f>
        <x:v>0</x:v>
      </x:c>
      <x:c r="L500" s="40" t="n">
        <x:f>ABS(K500)</x:f>
        <x:v>0</x:v>
      </x:c>
      <x:c r="M500" s="41" t="str">
        <x:v>lstm-soil-v1</x:v>
      </x:c>
    </x:row>
    <x:row r="501">
      <x:c r="A501" s="38" t="str">
        <x:v>7月30日现场数据</x:v>
      </x:c>
      <x:c r="B501" s="39" t="str">
        <x:v>2026-07-31T23:55:00</x:v>
      </x:c>
      <x:c r="C501" s="39" t="str">
        <x:v>2026-08-01T00:10:00</x:v>
      </x:c>
      <x:c r="D501" s="47" t="n">
        <x:v>15</x:v>
      </x:c>
      <x:c r="E501" s="40" t="n">
        <x:v>12</x:v>
      </x:c>
      <x:c r="F501" s="40" t="n">
        <x:v>9.993701934814453</x:v>
      </x:c>
      <x:c r="G501" s="40" t="n">
        <x:v>12</x:v>
      </x:c>
      <x:c r="H501" s="40" t="n">
        <x:f>F501-E501</x:f>
        <x:v>-2.006298065185547</x:v>
      </x:c>
      <x:c r="I501" s="40" t="n">
        <x:f>ABS(H501)</x:f>
        <x:v>2.006298065185547</x:v>
      </x:c>
      <x:c r="J501" s="40" t="n">
        <x:f>H501^2</x:f>
        <x:v>4.025231926367269</x:v>
      </x:c>
      <x:c r="K501" s="40" t="n">
        <x:f>G501-E501</x:f>
        <x:v>0</x:v>
      </x:c>
      <x:c r="L501" s="40" t="n">
        <x:f>ABS(K501)</x:f>
        <x:v>0</x:v>
      </x:c>
      <x:c r="M501" s="41" t="str">
        <x:v>lstm-soil-v1</x:v>
      </x:c>
    </x:row>
    <x:row r="502">
      <x:c r="A502" s="38" t="str">
        <x:v>7月30日现场数据</x:v>
      </x:c>
      <x:c r="B502" s="39" t="str">
        <x:v>2026-07-31T23:55:00</x:v>
      </x:c>
      <x:c r="C502" s="39" t="str">
        <x:v>2026-08-01T00:25:00</x:v>
      </x:c>
      <x:c r="D502" s="47" t="n">
        <x:v>30</x:v>
      </x:c>
      <x:c r="E502" s="40" t="n">
        <x:v>12</x:v>
      </x:c>
      <x:c r="F502" s="40" t="n">
        <x:v>10.468868255615234</x:v>
      </x:c>
      <x:c r="G502" s="40" t="n">
        <x:v>12</x:v>
      </x:c>
      <x:c r="H502" s="40" t="n">
        <x:f>F502-E502</x:f>
        <x:v>-1.5311317443847656</x:v>
      </x:c>
      <x:c r="I502" s="40" t="n">
        <x:f>ABS(H502)</x:f>
        <x:v>1.5311317443847656</x:v>
      </x:c>
      <x:c r="J502" s="40" t="n">
        <x:f>H502^2</x:f>
        <x:v>2.3443644186627353</x:v>
      </x:c>
      <x:c r="K502" s="40" t="n">
        <x:f>G502-E502</x:f>
        <x:v>0</x:v>
      </x:c>
      <x:c r="L502" s="40" t="n">
        <x:f>ABS(K502)</x:f>
        <x:v>0</x:v>
      </x:c>
      <x:c r="M502" s="41" t="str">
        <x:v>lstm-soil-v1</x:v>
      </x:c>
    </x:row>
    <x:row r="503">
      <x:c r="A503" s="38" t="str">
        <x:v>7月30日现场数据</x:v>
      </x:c>
      <x:c r="B503" s="39" t="str">
        <x:v>2026-07-31T23:55:00</x:v>
      </x:c>
      <x:c r="C503" s="39" t="str">
        <x:v>2026-08-01T00:55:00</x:v>
      </x:c>
      <x:c r="D503" s="47" t="n">
        <x:v>60</x:v>
      </x:c>
      <x:c r="E503" s="40" t="n">
        <x:v>12</x:v>
      </x:c>
      <x:c r="F503" s="40" t="n">
        <x:v>12.069026947021484</x:v>
      </x:c>
      <x:c r="G503" s="40" t="n">
        <x:v>12</x:v>
      </x:c>
      <x:c r="H503" s="40" t="n">
        <x:f>F503-E503</x:f>
        <x:v>0.06902694702148438</x:v>
      </x:c>
      <x:c r="I503" s="40" t="n">
        <x:f>ABS(H503)</x:f>
        <x:v>0.06902694702148438</x:v>
      </x:c>
      <x:c r="J503" s="40" t="n">
        <x:f>H503^2</x:f>
        <x:v>0.004764719415106811</x:v>
      </x:c>
      <x:c r="K503" s="40" t="n">
        <x:f>G503-E503</x:f>
        <x:v>0</x:v>
      </x:c>
      <x:c r="L503" s="40" t="n">
        <x:f>ABS(K503)</x:f>
        <x:v>0</x:v>
      </x:c>
      <x:c r="M503" s="41" t="str">
        <x:v>lstm-soil-v1</x:v>
      </x:c>
    </x:row>
    <x:row r="504">
      <x:c r="A504" s="38" t="str">
        <x:v>7月30日现场数据</x:v>
      </x:c>
      <x:c r="B504" s="39" t="str">
        <x:v>2026-08-01T00:00:00</x:v>
      </x:c>
      <x:c r="C504" s="39" t="str">
        <x:v>2026-08-01T00:05:00</x:v>
      </x:c>
      <x:c r="D504" s="47" t="n">
        <x:v>5</x:v>
      </x:c>
      <x:c r="E504" s="40" t="n">
        <x:v>12</x:v>
      </x:c>
      <x:c r="F504" s="40" t="n">
        <x:v>9.932201385498047</x:v>
      </x:c>
      <x:c r="G504" s="40" t="n">
        <x:v>12</x:v>
      </x:c>
      <x:c r="H504" s="40" t="n">
        <x:f>F504-E504</x:f>
        <x:v>-2.067798614501953</x:v>
      </x:c>
      <x:c r="I504" s="40" t="n">
        <x:f>ABS(H504)</x:f>
        <x:v>2.067798614501953</x:v>
      </x:c>
      <x:c r="J504" s="40" t="n">
        <x:f>H504^2</x:f>
        <x:v>4.275791110136197</x:v>
      </x:c>
      <x:c r="K504" s="40" t="n">
        <x:f>G504-E504</x:f>
        <x:v>0</x:v>
      </x:c>
      <x:c r="L504" s="40" t="n">
        <x:f>ABS(K504)</x:f>
        <x:v>0</x:v>
      </x:c>
      <x:c r="M504" s="41" t="str">
        <x:v>lstm-soil-v1</x:v>
      </x:c>
    </x:row>
    <x:row r="505">
      <x:c r="A505" s="38" t="str">
        <x:v>7月30日现场数据</x:v>
      </x:c>
      <x:c r="B505" s="39" t="str">
        <x:v>2026-08-01T00:00:00</x:v>
      </x:c>
      <x:c r="C505" s="39" t="str">
        <x:v>2026-08-01T00:15:00</x:v>
      </x:c>
      <x:c r="D505" s="47" t="n">
        <x:v>15</x:v>
      </x:c>
      <x:c r="E505" s="40" t="n">
        <x:v>12</x:v>
      </x:c>
      <x:c r="F505" s="40" t="n">
        <x:v>9.991195678710938</x:v>
      </x:c>
      <x:c r="G505" s="40" t="n">
        <x:v>12</x:v>
      </x:c>
      <x:c r="H505" s="40" t="n">
        <x:f>F505-E505</x:f>
        <x:v>-2.0088043212890625</x:v>
      </x:c>
      <x:c r="I505" s="40" t="n">
        <x:f>ABS(H505)</x:f>
        <x:v>2.0088043212890625</x:v>
      </x:c>
      <x:c r="J505" s="40" t="n">
        <x:f>H505^2</x:f>
        <x:v>4.035294801229611</x:v>
      </x:c>
      <x:c r="K505" s="40" t="n">
        <x:f>G505-E505</x:f>
        <x:v>0</x:v>
      </x:c>
      <x:c r="L505" s="40" t="n">
        <x:f>ABS(K505)</x:f>
        <x:v>0</x:v>
      </x:c>
      <x:c r="M505" s="41" t="str">
        <x:v>lstm-soil-v1</x:v>
      </x:c>
    </x:row>
    <x:row r="506">
      <x:c r="A506" s="38" t="str">
        <x:v>7月30日现场数据</x:v>
      </x:c>
      <x:c r="B506" s="39" t="str">
        <x:v>2026-08-01T00:00:00</x:v>
      </x:c>
      <x:c r="C506" s="39" t="str">
        <x:v>2026-08-01T00:30:00</x:v>
      </x:c>
      <x:c r="D506" s="47" t="n">
        <x:v>30</x:v>
      </x:c>
      <x:c r="E506" s="40" t="n">
        <x:v>12</x:v>
      </x:c>
      <x:c r="F506" s="40" t="n">
        <x:v>10.464885711669922</x:v>
      </x:c>
      <x:c r="G506" s="40" t="n">
        <x:v>12</x:v>
      </x:c>
      <x:c r="H506" s="40" t="n">
        <x:f>F506-E506</x:f>
        <x:v>-1.5351142883300781</x:v>
      </x:c>
      <x:c r="I506" s="40" t="n">
        <x:f>ABS(H506)</x:f>
        <x:v>1.5351142883300781</x:v>
      </x:c>
      <x:c r="J506" s="40" t="n">
        <x:f>H506^2</x:f>
        <x:v>2.3565758782351622</x:v>
      </x:c>
      <x:c r="K506" s="40" t="n">
        <x:f>G506-E506</x:f>
        <x:v>0</x:v>
      </x:c>
      <x:c r="L506" s="40" t="n">
        <x:f>ABS(K506)</x:f>
        <x:v>0</x:v>
      </x:c>
      <x:c r="M506" s="41" t="str">
        <x:v>lstm-soil-v1</x:v>
      </x:c>
    </x:row>
    <x:row r="507">
      <x:c r="A507" s="38" t="str">
        <x:v>7月30日现场数据</x:v>
      </x:c>
      <x:c r="B507" s="39" t="str">
        <x:v>2026-08-01T00:00:00</x:v>
      </x:c>
      <x:c r="C507" s="39" t="str">
        <x:v>2026-08-01T01:00:00</x:v>
      </x:c>
      <x:c r="D507" s="47" t="n">
        <x:v>60</x:v>
      </x:c>
      <x:c r="E507" s="40" t="n">
        <x:v>12</x:v>
      </x:c>
      <x:c r="F507" s="40" t="n">
        <x:v>12.062122344970703</x:v>
      </x:c>
      <x:c r="G507" s="40" t="n">
        <x:v>12</x:v>
      </x:c>
      <x:c r="H507" s="40" t="n">
        <x:f>F507-E507</x:f>
        <x:v>0.062122344970703125</x:v>
      </x:c>
      <x:c r="I507" s="40" t="n">
        <x:f>ABS(H507)</x:f>
        <x:v>0.062122344970703125</x:v>
      </x:c>
      <x:c r="J507" s="40" t="n">
        <x:f>H507^2</x:f>
        <x:v>0.003859185744659044</x:v>
      </x:c>
      <x:c r="K507" s="40" t="n">
        <x:f>G507-E507</x:f>
        <x:v>0</x:v>
      </x:c>
      <x:c r="L507" s="40" t="n">
        <x:f>ABS(K507)</x:f>
        <x:v>0</x:v>
      </x:c>
      <x:c r="M507" s="41" t="str">
        <x:v>lstm-soil-v1</x:v>
      </x:c>
    </x:row>
    <x:row r="508">
      <x:c r="A508" s="38" t="str">
        <x:v>7月30日现场数据</x:v>
      </x:c>
      <x:c r="B508" s="39" t="str">
        <x:v>2026-08-01T00:05:00</x:v>
      </x:c>
      <x:c r="C508" s="39" t="str">
        <x:v>2026-08-01T00:10:00</x:v>
      </x:c>
      <x:c r="D508" s="47" t="n">
        <x:v>5</x:v>
      </x:c>
      <x:c r="E508" s="40" t="n">
        <x:v>12</x:v>
      </x:c>
      <x:c r="F508" s="40" t="n">
        <x:v>9.929821014404297</x:v>
      </x:c>
      <x:c r="G508" s="40" t="n">
        <x:v>12</x:v>
      </x:c>
      <x:c r="H508" s="40" t="n">
        <x:f>F508-E508</x:f>
        <x:v>-2.070178985595703</x:v>
      </x:c>
      <x:c r="I508" s="40" t="n">
        <x:f>ABS(H508)</x:f>
        <x:v>2.070178985595703</x:v>
      </x:c>
      <x:c r="J508" s="40" t="n">
        <x:f>H508^2</x:f>
        <x:v>4.285641032402054</x:v>
      </x:c>
      <x:c r="K508" s="40" t="n">
        <x:f>G508-E508</x:f>
        <x:v>0</x:v>
      </x:c>
      <x:c r="L508" s="40" t="n">
        <x:f>ABS(K508)</x:f>
        <x:v>0</x:v>
      </x:c>
      <x:c r="M508" s="41" t="str">
        <x:v>lstm-soil-v1</x:v>
      </x:c>
    </x:row>
    <x:row r="509">
      <x:c r="A509" s="38" t="str">
        <x:v>7月30日现场数据</x:v>
      </x:c>
      <x:c r="B509" s="39" t="str">
        <x:v>2026-08-01T00:05:00</x:v>
      </x:c>
      <x:c r="C509" s="39" t="str">
        <x:v>2026-08-01T00:20:00</x:v>
      </x:c>
      <x:c r="D509" s="47" t="n">
        <x:v>15</x:v>
      </x:c>
      <x:c r="E509" s="40" t="n">
        <x:v>12</x:v>
      </x:c>
      <x:c r="F509" s="40" t="n">
        <x:v>9.989219665527344</x:v>
      </x:c>
      <x:c r="G509" s="40" t="n">
        <x:v>12</x:v>
      </x:c>
      <x:c r="H509" s="40" t="n">
        <x:f>F509-E509</x:f>
        <x:v>-2.0107803344726562</x:v>
      </x:c>
      <x:c r="I509" s="40" t="n">
        <x:f>ABS(H509)</x:f>
        <x:v>2.0107803344726562</x:v>
      </x:c>
      <x:c r="J509" s="40" t="n">
        <x:f>H509^2</x:f>
        <x:v>4.043237553501967</x:v>
      </x:c>
      <x:c r="K509" s="40" t="n">
        <x:f>G509-E509</x:f>
        <x:v>0</x:v>
      </x:c>
      <x:c r="L509" s="40" t="n">
        <x:f>ABS(K509)</x:f>
        <x:v>0</x:v>
      </x:c>
      <x:c r="M509" s="41" t="str">
        <x:v>lstm-soil-v1</x:v>
      </x:c>
    </x:row>
    <x:row r="510">
      <x:c r="A510" s="38" t="str">
        <x:v>7月30日现场数据</x:v>
      </x:c>
      <x:c r="B510" s="39" t="str">
        <x:v>2026-08-01T00:05:00</x:v>
      </x:c>
      <x:c r="C510" s="39" t="str">
        <x:v>2026-08-01T00:35:00</x:v>
      </x:c>
      <x:c r="D510" s="47" t="n">
        <x:v>30</x:v>
      </x:c>
      <x:c r="E510" s="40" t="n">
        <x:v>12</x:v>
      </x:c>
      <x:c r="F510" s="40" t="n">
        <x:v>10.463577270507812</x:v>
      </x:c>
      <x:c r="G510" s="40" t="n">
        <x:v>12</x:v>
      </x:c>
      <x:c r="H510" s="40" t="n">
        <x:f>F510-E510</x:f>
        <x:v>-1.5364227294921875</x:v>
      </x:c>
      <x:c r="I510" s="40" t="n">
        <x:f>ABS(H510)</x:f>
        <x:v>1.5364227294921875</x:v>
      </x:c>
      <x:c r="J510" s="40" t="n">
        <x:f>H510^2</x:f>
        <x:v>2.3605948037002236</x:v>
      </x:c>
      <x:c r="K510" s="40" t="n">
        <x:f>G510-E510</x:f>
        <x:v>0</x:v>
      </x:c>
      <x:c r="L510" s="40" t="n">
        <x:f>ABS(K510)</x:f>
        <x:v>0</x:v>
      </x:c>
      <x:c r="M510" s="41" t="str">
        <x:v>lstm-soil-v1</x:v>
      </x:c>
    </x:row>
    <x:row r="511">
      <x:c r="A511" s="38" t="str">
        <x:v>7月30日现场数据</x:v>
      </x:c>
      <x:c r="B511" s="39" t="str">
        <x:v>2026-08-01T00:05:00</x:v>
      </x:c>
      <x:c r="C511" s="39" t="str">
        <x:v>2026-08-01T01:05:00</x:v>
      </x:c>
      <x:c r="D511" s="47" t="n">
        <x:v>60</x:v>
      </x:c>
      <x:c r="E511" s="40" t="n">
        <x:v>12</x:v>
      </x:c>
      <x:c r="F511" s="40" t="n">
        <x:v>12.057689666748047</x:v>
      </x:c>
      <x:c r="G511" s="40" t="n">
        <x:v>12</x:v>
      </x:c>
      <x:c r="H511" s="40" t="n">
        <x:f>F511-E511</x:f>
        <x:v>0.057689666748046875</x:v>
      </x:c>
      <x:c r="I511" s="40" t="n">
        <x:f>ABS(H511)</x:f>
        <x:v>0.057689666748046875</x:v>
      </x:c>
      <x:c r="J511" s="40" t="n">
        <x:f>H511^2</x:f>
        <x:v>0.0033280976495007053</x:v>
      </x:c>
      <x:c r="K511" s="40" t="n">
        <x:f>G511-E511</x:f>
        <x:v>0</x:v>
      </x:c>
      <x:c r="L511" s="40" t="n">
        <x:f>ABS(K511)</x:f>
        <x:v>0</x:v>
      </x:c>
      <x:c r="M511" s="41" t="str">
        <x:v>lstm-soil-v1</x:v>
      </x:c>
    </x:row>
    <x:row r="512">
      <x:c r="A512" s="38" t="str">
        <x:v>7月30日现场数据</x:v>
      </x:c>
      <x:c r="B512" s="39" t="str">
        <x:v>2026-08-01T00:10:00</x:v>
      </x:c>
      <x:c r="C512" s="39" t="str">
        <x:v>2026-08-01T00:15:00</x:v>
      </x:c>
      <x:c r="D512" s="47" t="n">
        <x:v>5</x:v>
      </x:c>
      <x:c r="E512" s="40" t="n">
        <x:v>12</x:v>
      </x:c>
      <x:c r="F512" s="40" t="n">
        <x:v>9.928241729736328</x:v>
      </x:c>
      <x:c r="G512" s="40" t="n">
        <x:v>12</x:v>
      </x:c>
      <x:c r="H512" s="40" t="n">
        <x:f>F512-E512</x:f>
        <x:v>-2.071758270263672</x:v>
      </x:c>
      <x:c r="I512" s="40" t="n">
        <x:f>ABS(H512)</x:f>
        <x:v>2.071758270263672</x:v>
      </x:c>
      <x:c r="J512" s="40" t="n">
        <x:f>H512^2</x:f>
        <x:v>4.292182330405922</x:v>
      </x:c>
      <x:c r="K512" s="40" t="n">
        <x:f>G512-E512</x:f>
        <x:v>0</x:v>
      </x:c>
      <x:c r="L512" s="40" t="n">
        <x:f>ABS(K512)</x:f>
        <x:v>0</x:v>
      </x:c>
      <x:c r="M512" s="41" t="str">
        <x:v>lstm-soil-v1</x:v>
      </x:c>
    </x:row>
    <x:row r="513">
      <x:c r="A513" s="38" t="str">
        <x:v>7月30日现场数据</x:v>
      </x:c>
      <x:c r="B513" s="39" t="str">
        <x:v>2026-08-01T00:10:00</x:v>
      </x:c>
      <x:c r="C513" s="39" t="str">
        <x:v>2026-08-01T00:25:00</x:v>
      </x:c>
      <x:c r="D513" s="47" t="n">
        <x:v>15</x:v>
      </x:c>
      <x:c r="E513" s="40" t="n">
        <x:v>12</x:v>
      </x:c>
      <x:c r="F513" s="40" t="n">
        <x:v>9.987651824951172</x:v>
      </x:c>
      <x:c r="G513" s="40" t="n">
        <x:v>12</x:v>
      </x:c>
      <x:c r="H513" s="40" t="n">
        <x:f>F513-E513</x:f>
        <x:v>-2.012348175048828</x:v>
      </x:c>
      <x:c r="I513" s="40" t="n">
        <x:f>ABS(H513)</x:f>
        <x:v>2.012348175048828</x:v>
      </x:c>
      <x:c r="J513" s="40" t="n">
        <x:f>H513^2</x:f>
        <x:v>4.049545177622349</x:v>
      </x:c>
      <x:c r="K513" s="40" t="n">
        <x:f>G513-E513</x:f>
        <x:v>0</x:v>
      </x:c>
      <x:c r="L513" s="40" t="n">
        <x:f>ABS(K513)</x:f>
        <x:v>0</x:v>
      </x:c>
      <x:c r="M513" s="41" t="str">
        <x:v>lstm-soil-v1</x:v>
      </x:c>
    </x:row>
    <x:row r="514">
      <x:c r="A514" s="38" t="str">
        <x:v>7月30日现场数据</x:v>
      </x:c>
      <x:c r="B514" s="39" t="str">
        <x:v>2026-08-01T00:10:00</x:v>
      </x:c>
      <x:c r="C514" s="39" t="str">
        <x:v>2026-08-01T00:40:00</x:v>
      </x:c>
      <x:c r="D514" s="47" t="n">
        <x:v>30</x:v>
      </x:c>
      <x:c r="E514" s="40" t="n">
        <x:v>12</x:v>
      </x:c>
      <x:c r="F514" s="40" t="n">
        <x:v>10.463485717773438</x:v>
      </x:c>
      <x:c r="G514" s="40" t="n">
        <x:v>12</x:v>
      </x:c>
      <x:c r="H514" s="40" t="n">
        <x:f>F514-E514</x:f>
        <x:v>-1.5365142822265625</x:v>
      </x:c>
      <x:c r="I514" s="40" t="n">
        <x:f>ABS(H514)</x:f>
        <x:v>1.5365142822265625</x:v>
      </x:c>
      <x:c r="J514" s="40" t="n">
        <x:f>H514^2</x:f>
        <x:v>2.3608761394862086</x:v>
      </x:c>
      <x:c r="K514" s="40" t="n">
        <x:f>G514-E514</x:f>
        <x:v>0</x:v>
      </x:c>
      <x:c r="L514" s="40" t="n">
        <x:f>ABS(K514)</x:f>
        <x:v>0</x:v>
      </x:c>
      <x:c r="M514" s="41" t="str">
        <x:v>lstm-soil-v1</x:v>
      </x:c>
    </x:row>
    <x:row r="515">
      <x:c r="A515" s="38" t="str">
        <x:v>7月30日现场数据</x:v>
      </x:c>
      <x:c r="B515" s="39" t="str">
        <x:v>2026-08-01T00:10:00</x:v>
      </x:c>
      <x:c r="C515" s="39" t="str">
        <x:v>2026-08-01T01:10:00</x:v>
      </x:c>
      <x:c r="D515" s="47" t="n">
        <x:v>60</x:v>
      </x:c>
      <x:c r="E515" s="40" t="n">
        <x:v>12</x:v>
      </x:c>
      <x:c r="F515" s="40" t="n">
        <x:v>12.055252075195312</x:v>
      </x:c>
      <x:c r="G515" s="40" t="n">
        <x:v>12</x:v>
      </x:c>
      <x:c r="H515" s="40" t="n">
        <x:f>F515-E515</x:f>
        <x:v>0.0552520751953125</x:v>
      </x:c>
      <x:c r="I515" s="40" t="n">
        <x:f>ABS(H515)</x:f>
        <x:v>0.0552520751953125</x:v>
      </x:c>
      <x:c r="J515" s="40" t="n">
        <x:f>H515^2</x:f>
        <x:v>0.003052791813388467</x:v>
      </x:c>
      <x:c r="K515" s="40" t="n">
        <x:f>G515-E515</x:f>
        <x:v>0</x:v>
      </x:c>
      <x:c r="L515" s="40" t="n">
        <x:f>ABS(K515)</x:f>
        <x:v>0</x:v>
      </x:c>
      <x:c r="M515" s="41" t="str">
        <x:v>lstm-soil-v1</x:v>
      </x:c>
    </x:row>
    <x:row r="516">
      <x:c r="A516" s="38" t="str">
        <x:v>7月30日现场数据</x:v>
      </x:c>
      <x:c r="B516" s="39" t="str">
        <x:v>2026-08-01T00:15:00</x:v>
      </x:c>
      <x:c r="C516" s="39" t="str">
        <x:v>2026-08-01T00:20:00</x:v>
      </x:c>
      <x:c r="D516" s="47" t="n">
        <x:v>5</x:v>
      </x:c>
      <x:c r="E516" s="40" t="n">
        <x:v>12</x:v>
      </x:c>
      <x:c r="F516" s="40" t="n">
        <x:v>9.927322387695312</x:v>
      </x:c>
      <x:c r="G516" s="40" t="n">
        <x:v>12</x:v>
      </x:c>
      <x:c r="H516" s="40" t="n">
        <x:f>F516-E516</x:f>
        <x:v>-2.0726776123046875</x:v>
      </x:c>
      <x:c r="I516" s="40" t="n">
        <x:f>ABS(H516)</x:f>
        <x:v>2.0726776123046875</x:v>
      </x:c>
      <x:c r="J516" s="40" t="n">
        <x:f>H516^2</x:f>
        <x:v>4.2959924845490605</x:v>
      </x:c>
      <x:c r="K516" s="40" t="n">
        <x:f>G516-E516</x:f>
        <x:v>0</x:v>
      </x:c>
      <x:c r="L516" s="40" t="n">
        <x:f>ABS(K516)</x:f>
        <x:v>0</x:v>
      </x:c>
      <x:c r="M516" s="41" t="str">
        <x:v>lstm-soil-v1</x:v>
      </x:c>
    </x:row>
    <x:row r="517">
      <x:c r="A517" s="38" t="str">
        <x:v>7月30日现场数据</x:v>
      </x:c>
      <x:c r="B517" s="39" t="str">
        <x:v>2026-08-01T00:15:00</x:v>
      </x:c>
      <x:c r="C517" s="39" t="str">
        <x:v>2026-08-01T00:30:00</x:v>
      </x:c>
      <x:c r="D517" s="47" t="n">
        <x:v>15</x:v>
      </x:c>
      <x:c r="E517" s="40" t="n">
        <x:v>12</x:v>
      </x:c>
      <x:c r="F517" s="40" t="n">
        <x:v>9.986419677734375</x:v>
      </x:c>
      <x:c r="G517" s="40" t="n">
        <x:v>12</x:v>
      </x:c>
      <x:c r="H517" s="40" t="n">
        <x:f>F517-E517</x:f>
        <x:v>-2.013580322265625</x:v>
      </x:c>
      <x:c r="I517" s="40" t="n">
        <x:f>ABS(H517)</x:f>
        <x:v>2.013580322265625</x:v>
      </x:c>
      <x:c r="J517" s="40" t="n">
        <x:f>H517^2</x:f>
        <x:v>4.054505714215338</x:v>
      </x:c>
      <x:c r="K517" s="40" t="n">
        <x:f>G517-E517</x:f>
        <x:v>0</x:v>
      </x:c>
      <x:c r="L517" s="40" t="n">
        <x:f>ABS(K517)</x:f>
        <x:v>0</x:v>
      </x:c>
      <x:c r="M517" s="41" t="str">
        <x:v>lstm-soil-v1</x:v>
      </x:c>
    </x:row>
    <x:row r="518">
      <x:c r="A518" s="38" t="str">
        <x:v>7月30日现场数据</x:v>
      </x:c>
      <x:c r="B518" s="39" t="str">
        <x:v>2026-08-01T00:15:00</x:v>
      </x:c>
      <x:c r="C518" s="39" t="str">
        <x:v>2026-08-01T00:45:00</x:v>
      </x:c>
      <x:c r="D518" s="47" t="n">
        <x:v>30</x:v>
      </x:c>
      <x:c r="E518" s="40" t="n">
        <x:v>12</x:v>
      </x:c>
      <x:c r="F518" s="40" t="n">
        <x:v>10.46392822265625</x:v>
      </x:c>
      <x:c r="G518" s="40" t="n">
        <x:v>12</x:v>
      </x:c>
      <x:c r="H518" s="40" t="n">
        <x:f>F518-E518</x:f>
        <x:v>-1.53607177734375</x:v>
      </x:c>
      <x:c r="I518" s="40" t="n">
        <x:f>ABS(H518)</x:f>
        <x:v>1.53607177734375</x:v>
      </x:c>
      <x:c r="J518" s="40" t="n">
        <x:f>H518^2</x:f>
        <x:v>2.359516505151987</x:v>
      </x:c>
      <x:c r="K518" s="40" t="n">
        <x:f>G518-E518</x:f>
        <x:v>0</x:v>
      </x:c>
      <x:c r="L518" s="40" t="n">
        <x:f>ABS(K518)</x:f>
        <x:v>0</x:v>
      </x:c>
      <x:c r="M518" s="41" t="str">
        <x:v>lstm-soil-v1</x:v>
      </x:c>
    </x:row>
    <x:row r="519">
      <x:c r="A519" s="38" t="str">
        <x:v>7月30日现场数据</x:v>
      </x:c>
      <x:c r="B519" s="39" t="str">
        <x:v>2026-08-01T00:15:00</x:v>
      </x:c>
      <x:c r="C519" s="39" t="str">
        <x:v>2026-08-01T01:15:00</x:v>
      </x:c>
      <x:c r="D519" s="47" t="n">
        <x:v>60</x:v>
      </x:c>
      <x:c r="E519" s="40" t="n">
        <x:v>12</x:v>
      </x:c>
      <x:c r="F519" s="40" t="n">
        <x:v>12.054328918457031</x:v>
      </x:c>
      <x:c r="G519" s="40" t="n">
        <x:v>12</x:v>
      </x:c>
      <x:c r="H519" s="40" t="n">
        <x:f>F519-E519</x:f>
        <x:v>0.05432891845703125</x:v>
      </x:c>
      <x:c r="I519" s="40" t="n">
        <x:f>ABS(H519)</x:f>
        <x:v>0.05432891845703125</x:v>
      </x:c>
      <x:c r="J519" s="40" t="n">
        <x:f>H519^2</x:f>
        <x:v>0.002951631380710751</x:v>
      </x:c>
      <x:c r="K519" s="40" t="n">
        <x:f>G519-E519</x:f>
        <x:v>0</x:v>
      </x:c>
      <x:c r="L519" s="40" t="n">
        <x:f>ABS(K519)</x:f>
        <x:v>0</x:v>
      </x:c>
      <x:c r="M519" s="41" t="str">
        <x:v>lstm-soil-v1</x:v>
      </x:c>
    </x:row>
    <x:row r="520">
      <x:c r="A520" s="38" t="str">
        <x:v>7月30日现场数据</x:v>
      </x:c>
      <x:c r="B520" s="39" t="str">
        <x:v>2026-08-01T00:20:00</x:v>
      </x:c>
      <x:c r="C520" s="39" t="str">
        <x:v>2026-08-01T00:25:00</x:v>
      </x:c>
      <x:c r="D520" s="47" t="n">
        <x:v>5</x:v>
      </x:c>
      <x:c r="E520" s="40" t="n">
        <x:v>12</x:v>
      </x:c>
      <x:c r="F520" s="40" t="n">
        <x:v>9.929176330566406</x:v>
      </x:c>
      <x:c r="G520" s="40" t="n">
        <x:v>12</x:v>
      </x:c>
      <x:c r="H520" s="40" t="n">
        <x:f>F520-E520</x:f>
        <x:v>-2.0708236694335938</x:v>
      </x:c>
      <x:c r="I520" s="40" t="n">
        <x:f>ABS(H520)</x:f>
        <x:v>2.0708236694335938</x:v>
      </x:c>
      <x:c r="J520" s="40" t="n">
        <x:f>H520^2</x:f>
        <x:v>4.288310669886414</x:v>
      </x:c>
      <x:c r="K520" s="40" t="n">
        <x:f>G520-E520</x:f>
        <x:v>0</x:v>
      </x:c>
      <x:c r="L520" s="40" t="n">
        <x:f>ABS(K520)</x:f>
        <x:v>0</x:v>
      </x:c>
      <x:c r="M520" s="41" t="str">
        <x:v>lstm-soil-v1</x:v>
      </x:c>
    </x:row>
    <x:row r="521">
      <x:c r="A521" s="38" t="str">
        <x:v>7月30日现场数据</x:v>
      </x:c>
      <x:c r="B521" s="39" t="str">
        <x:v>2026-08-01T00:20:00</x:v>
      </x:c>
      <x:c r="C521" s="39" t="str">
        <x:v>2026-08-01T00:35:00</x:v>
      </x:c>
      <x:c r="D521" s="47" t="n">
        <x:v>15</x:v>
      </x:c>
      <x:c r="E521" s="40" t="n">
        <x:v>12</x:v>
      </x:c>
      <x:c r="F521" s="40" t="n">
        <x:v>9.988204956054688</x:v>
      </x:c>
      <x:c r="G521" s="40" t="n">
        <x:v>12</x:v>
      </x:c>
      <x:c r="H521" s="40" t="n">
        <x:f>F521-E521</x:f>
        <x:v>-2.0117950439453125</x:v>
      </x:c>
      <x:c r="I521" s="40" t="n">
        <x:f>ABS(H521)</x:f>
        <x:v>2.0117950439453125</x:v>
      </x:c>
      <x:c r="J521" s="40" t="n">
        <x:f>H521^2</x:f>
        <x:v>4.047319298842922</x:v>
      </x:c>
      <x:c r="K521" s="40" t="n">
        <x:f>G521-E521</x:f>
        <x:v>0</x:v>
      </x:c>
      <x:c r="L521" s="40" t="n">
        <x:f>ABS(K521)</x:f>
        <x:v>0</x:v>
      </x:c>
      <x:c r="M521" s="41" t="str">
        <x:v>lstm-soil-v1</x:v>
      </x:c>
    </x:row>
    <x:row r="522">
      <x:c r="A522" s="38" t="str">
        <x:v>7月30日现场数据</x:v>
      </x:c>
      <x:c r="B522" s="39" t="str">
        <x:v>2026-08-01T00:20:00</x:v>
      </x:c>
      <x:c r="C522" s="39" t="str">
        <x:v>2026-08-01T00:50:00</x:v>
      </x:c>
      <x:c r="D522" s="47" t="n">
        <x:v>30</x:v>
      </x:c>
      <x:c r="E522" s="40" t="n">
        <x:v>12</x:v>
      </x:c>
      <x:c r="F522" s="40" t="n">
        <x:v>10.467998504638672</x:v>
      </x:c>
      <x:c r="G522" s="40" t="n">
        <x:v>12</x:v>
      </x:c>
      <x:c r="H522" s="40" t="n">
        <x:f>F522-E522</x:f>
        <x:v>-1.5320014953613281</x:v>
      </x:c>
      <x:c r="I522" s="40" t="n">
        <x:f>ABS(H522)</x:f>
        <x:v>1.5320014953613281</x:v>
      </x:c>
      <x:c r="J522" s="40" t="n">
        <x:f>H522^2</x:f>
        <x:v>2.3470285817893455</x:v>
      </x:c>
      <x:c r="K522" s="40" t="n">
        <x:f>G522-E522</x:f>
        <x:v>0</x:v>
      </x:c>
      <x:c r="L522" s="40" t="n">
        <x:f>ABS(K522)</x:f>
        <x:v>0</x:v>
      </x:c>
      <x:c r="M522" s="41" t="str">
        <x:v>lstm-soil-v1</x:v>
      </x:c>
    </x:row>
    <x:row r="523">
      <x:c r="A523" s="38" t="str">
        <x:v>7月30日现场数据</x:v>
      </x:c>
      <x:c r="B523" s="39" t="str">
        <x:v>2026-08-01T00:20:00</x:v>
      </x:c>
      <x:c r="C523" s="39" t="str">
        <x:v>2026-08-01T01:20:00</x:v>
      </x:c>
      <x:c r="D523" s="47" t="n">
        <x:v>60</x:v>
      </x:c>
      <x:c r="E523" s="40" t="n">
        <x:v>12</x:v>
      </x:c>
      <x:c r="F523" s="40" t="n">
        <x:v>12.058818817138672</x:v>
      </x:c>
      <x:c r="G523" s="40" t="n">
        <x:v>12</x:v>
      </x:c>
      <x:c r="H523" s="40" t="n">
        <x:f>F523-E523</x:f>
        <x:v>0.058818817138671875</x:v>
      </x:c>
      <x:c r="I523" s="40" t="n">
        <x:f>ABS(H523)</x:f>
        <x:v>0.058818817138671875</x:v>
      </x:c>
      <x:c r="J523" s="40" t="n">
        <x:f>H523^2</x:f>
        <x:v>0.0034596532495925203</x:v>
      </x:c>
      <x:c r="K523" s="40" t="n">
        <x:f>G523-E523</x:f>
        <x:v>0</x:v>
      </x:c>
      <x:c r="L523" s="40" t="n">
        <x:f>ABS(K523)</x:f>
        <x:v>0</x:v>
      </x:c>
      <x:c r="M523" s="41" t="str">
        <x:v>lstm-soil-v1</x:v>
      </x:c>
    </x:row>
    <x:row r="524">
      <x:c r="A524" s="38" t="str">
        <x:v>7月30日现场数据</x:v>
      </x:c>
      <x:c r="B524" s="39" t="str">
        <x:v>2026-08-01T00:25:00</x:v>
      </x:c>
      <x:c r="C524" s="39" t="str">
        <x:v>2026-08-01T00:30:00</x:v>
      </x:c>
      <x:c r="D524" s="47" t="n">
        <x:v>5</x:v>
      </x:c>
      <x:c r="E524" s="40" t="n">
        <x:v>12</x:v>
      </x:c>
      <x:c r="F524" s="40" t="n">
        <x:v>9.926895141601562</x:v>
      </x:c>
      <x:c r="G524" s="40" t="n">
        <x:v>12</x:v>
      </x:c>
      <x:c r="H524" s="40" t="n">
        <x:f>F524-E524</x:f>
        <x:v>-2.0731048583984375</x:v>
      </x:c>
      <x:c r="I524" s="40" t="n">
        <x:f>ABS(H524)</x:f>
        <x:v>2.0731048583984375</x:v>
      </x:c>
      <x:c r="J524" s="40" t="n">
        <x:f>H524^2</x:f>
        <x:v>4.297763753915206</x:v>
      </x:c>
      <x:c r="K524" s="40" t="n">
        <x:f>G524-E524</x:f>
        <x:v>0</x:v>
      </x:c>
      <x:c r="L524" s="40" t="n">
        <x:f>ABS(K524)</x:f>
        <x:v>0</x:v>
      </x:c>
      <x:c r="M524" s="41" t="str">
        <x:v>lstm-soil-v1</x:v>
      </x:c>
    </x:row>
    <x:row r="525">
      <x:c r="A525" s="38" t="str">
        <x:v>7月30日现场数据</x:v>
      </x:c>
      <x:c r="B525" s="39" t="str">
        <x:v>2026-08-01T00:25:00</x:v>
      </x:c>
      <x:c r="C525" s="39" t="str">
        <x:v>2026-08-01T00:40:00</x:v>
      </x:c>
      <x:c r="D525" s="47" t="n">
        <x:v>15</x:v>
      </x:c>
      <x:c r="E525" s="40" t="n">
        <x:v>12</x:v>
      </x:c>
      <x:c r="F525" s="40" t="n">
        <x:v>9.98800277709961</x:v>
      </x:c>
      <x:c r="G525" s="40" t="n">
        <x:v>12</x:v>
      </x:c>
      <x:c r="H525" s="40" t="n">
        <x:f>F525-E525</x:f>
        <x:v>-2.0119972229003906</x:v>
      </x:c>
      <x:c r="I525" s="40" t="n">
        <x:f>ABS(H525)</x:f>
        <x:v>2.0119972229003906</x:v>
      </x:c>
      <x:c r="J525" s="40" t="n">
        <x:f>H525^2</x:f>
        <x:v>4.048132824958884</x:v>
      </x:c>
      <x:c r="K525" s="40" t="n">
        <x:f>G525-E525</x:f>
        <x:v>0</x:v>
      </x:c>
      <x:c r="L525" s="40" t="n">
        <x:f>ABS(K525)</x:f>
        <x:v>0</x:v>
      </x:c>
      <x:c r="M525" s="41" t="str">
        <x:v>lstm-soil-v1</x:v>
      </x:c>
    </x:row>
    <x:row r="526">
      <x:c r="A526" s="38" t="str">
        <x:v>7月30日现场数据</x:v>
      </x:c>
      <x:c r="B526" s="39" t="str">
        <x:v>2026-08-01T00:25:00</x:v>
      </x:c>
      <x:c r="C526" s="39" t="str">
        <x:v>2026-08-01T00:55:00</x:v>
      </x:c>
      <x:c r="D526" s="47" t="n">
        <x:v>30</x:v>
      </x:c>
      <x:c r="E526" s="40" t="n">
        <x:v>12</x:v>
      </x:c>
      <x:c r="F526" s="40" t="n">
        <x:v>10.464862823486328</x:v>
      </x:c>
      <x:c r="G526" s="40" t="n">
        <x:v>12</x:v>
      </x:c>
      <x:c r="H526" s="40" t="n">
        <x:f>F526-E526</x:f>
        <x:v>-1.5351371765136719</x:v>
      </x:c>
      <x:c r="I526" s="40" t="n">
        <x:f>ABS(H526)</x:f>
        <x:v>1.5351371765136719</x:v>
      </x:c>
      <x:c r="J526" s="40" t="n">
        <x:f>H526^2</x:f>
        <x:v>2.3566461507143686</x:v>
      </x:c>
      <x:c r="K526" s="40" t="n">
        <x:f>G526-E526</x:f>
        <x:v>0</x:v>
      </x:c>
      <x:c r="L526" s="40" t="n">
        <x:f>ABS(K526)</x:f>
        <x:v>0</x:v>
      </x:c>
      <x:c r="M526" s="41" t="str">
        <x:v>lstm-soil-v1</x:v>
      </x:c>
    </x:row>
    <x:row r="527">
      <x:c r="A527" s="38" t="str">
        <x:v>7月30日现场数据</x:v>
      </x:c>
      <x:c r="B527" s="39" t="str">
        <x:v>2026-08-01T00:25:00</x:v>
      </x:c>
      <x:c r="C527" s="39" t="str">
        <x:v>2026-08-01T01:25:00</x:v>
      </x:c>
      <x:c r="D527" s="47" t="n">
        <x:v>60</x:v>
      </x:c>
      <x:c r="E527" s="40" t="n">
        <x:v>12</x:v>
      </x:c>
      <x:c r="F527" s="40" t="n">
        <x:v>12.052650451660156</x:v>
      </x:c>
      <x:c r="G527" s="40" t="n">
        <x:v>12</x:v>
      </x:c>
      <x:c r="H527" s="40" t="n">
        <x:f>F527-E527</x:f>
        <x:v>0.05265045166015625</x:v>
      </x:c>
      <x:c r="I527" s="40" t="n">
        <x:f>ABS(H527)</x:f>
        <x:v>0.05265045166015625</x:v>
      </x:c>
      <x:c r="J527" s="40" t="n">
        <x:f>H527^2</x:f>
        <x:v>0.00277207006001845</x:v>
      </x:c>
      <x:c r="K527" s="40" t="n">
        <x:f>G527-E527</x:f>
        <x:v>0</x:v>
      </x:c>
      <x:c r="L527" s="40" t="n">
        <x:f>ABS(K527)</x:f>
        <x:v>0</x:v>
      </x:c>
      <x:c r="M527" s="41" t="str">
        <x:v>lstm-soil-v1</x:v>
      </x:c>
    </x:row>
    <x:row r="528">
      <x:c r="A528" s="38" t="str">
        <x:v>7月30日现场数据</x:v>
      </x:c>
      <x:c r="B528" s="39" t="str">
        <x:v>2026-08-01T00:30:00</x:v>
      </x:c>
      <x:c r="C528" s="39" t="str">
        <x:v>2026-08-01T00:35:00</x:v>
      </x:c>
      <x:c r="D528" s="47" t="n">
        <x:v>5</x:v>
      </x:c>
      <x:c r="E528" s="40" t="n">
        <x:v>12</x:v>
      </x:c>
      <x:c r="F528" s="40" t="n">
        <x:v>9.926528930664062</x:v>
      </x:c>
      <x:c r="G528" s="40" t="n">
        <x:v>12</x:v>
      </x:c>
      <x:c r="H528" s="40" t="n">
        <x:f>F528-E528</x:f>
        <x:v>-2.0734710693359375</x:v>
      </x:c>
      <x:c r="I528" s="40" t="n">
        <x:f>ABS(H528)</x:f>
        <x:v>2.0734710693359375</x:v>
      </x:c>
      <x:c r="J528" s="40" t="n">
        <x:f>H528^2</x:f>
        <x:v>4.299282275373116</x:v>
      </x:c>
      <x:c r="K528" s="40" t="n">
        <x:f>G528-E528</x:f>
        <x:v>0</x:v>
      </x:c>
      <x:c r="L528" s="40" t="n">
        <x:f>ABS(K528)</x:f>
        <x:v>0</x:v>
      </x:c>
      <x:c r="M528" s="41" t="str">
        <x:v>lstm-soil-v1</x:v>
      </x:c>
    </x:row>
    <x:row r="529">
      <x:c r="A529" s="38" t="str">
        <x:v>7月30日现场数据</x:v>
      </x:c>
      <x:c r="B529" s="39" t="str">
        <x:v>2026-08-01T00:30:00</x:v>
      </x:c>
      <x:c r="C529" s="39" t="str">
        <x:v>2026-08-01T00:45:00</x:v>
      </x:c>
      <x:c r="D529" s="47" t="n">
        <x:v>15</x:v>
      </x:c>
      <x:c r="E529" s="40" t="n">
        <x:v>12</x:v>
      </x:c>
      <x:c r="F529" s="40" t="n">
        <x:v>9.986095428466797</x:v>
      </x:c>
      <x:c r="G529" s="40" t="n">
        <x:v>12</x:v>
      </x:c>
      <x:c r="H529" s="40" t="n">
        <x:f>F529-E529</x:f>
        <x:v>-2.013904571533203</x:v>
      </x:c>
      <x:c r="I529" s="40" t="n">
        <x:f>ABS(H529)</x:f>
        <x:v>2.013904571533203</x:v>
      </x:c>
      <x:c r="J529" s="40" t="n">
        <x:f>H529^2</x:f>
        <x:v>4.0558116232423345</x:v>
      </x:c>
      <x:c r="K529" s="40" t="n">
        <x:f>G529-E529</x:f>
        <x:v>0</x:v>
      </x:c>
      <x:c r="L529" s="40" t="n">
        <x:f>ABS(K529)</x:f>
        <x:v>0</x:v>
      </x:c>
      <x:c r="M529" s="41" t="str">
        <x:v>lstm-soil-v1</x:v>
      </x:c>
    </x:row>
    <x:row r="530">
      <x:c r="A530" s="38" t="str">
        <x:v>7月30日现场数据</x:v>
      </x:c>
      <x:c r="B530" s="39" t="str">
        <x:v>2026-08-01T00:30:00</x:v>
      </x:c>
      <x:c r="C530" s="39" t="str">
        <x:v>2026-08-01T01:00:00</x:v>
      </x:c>
      <x:c r="D530" s="47" t="n">
        <x:v>30</x:v>
      </x:c>
      <x:c r="E530" s="40" t="n">
        <x:v>12</x:v>
      </x:c>
      <x:c r="F530" s="40" t="n">
        <x:v>10.464096069335938</x:v>
      </x:c>
      <x:c r="G530" s="40" t="n">
        <x:v>12</x:v>
      </x:c>
      <x:c r="H530" s="40" t="n">
        <x:f>F530-E530</x:f>
        <x:v>-1.5359039306640625</x:v>
      </x:c>
      <x:c r="I530" s="40" t="n">
        <x:f>ABS(H530)</x:f>
        <x:v>1.5359039306640625</x:v>
      </x:c>
      <x:c r="J530" s="40" t="n">
        <x:f>H530^2</x:f>
        <x:v>2.3590008842293173</x:v>
      </x:c>
      <x:c r="K530" s="40" t="n">
        <x:f>G530-E530</x:f>
        <x:v>0</x:v>
      </x:c>
      <x:c r="L530" s="40" t="n">
        <x:f>ABS(K530)</x:f>
        <x:v>0</x:v>
      </x:c>
      <x:c r="M530" s="41" t="str">
        <x:v>lstm-soil-v1</x:v>
      </x:c>
    </x:row>
    <x:row r="531">
      <x:c r="A531" s="38" t="str">
        <x:v>7月30日现场数据</x:v>
      </x:c>
      <x:c r="B531" s="39" t="str">
        <x:v>2026-08-01T00:30:00</x:v>
      </x:c>
      <x:c r="C531" s="39" t="str">
        <x:v>2026-08-01T01:30:00</x:v>
      </x:c>
      <x:c r="D531" s="47" t="n">
        <x:v>60</x:v>
      </x:c>
      <x:c r="E531" s="40" t="n">
        <x:v>12</x:v>
      </x:c>
      <x:c r="F531" s="40" t="n">
        <x:v>12.05319595336914</x:v>
      </x:c>
      <x:c r="G531" s="40" t="n">
        <x:v>12</x:v>
      </x:c>
      <x:c r="H531" s="40" t="n">
        <x:f>F531-E531</x:f>
        <x:v>0.053195953369140625</x:v>
      </x:c>
      <x:c r="I531" s="40" t="n">
        <x:f>ABS(H531)</x:f>
        <x:v>0.053195953369140625</x:v>
      </x:c>
      <x:c r="J531" s="40" t="n">
        <x:f>H531^2</x:f>
        <x:v>0.002829809454851784</x:v>
      </x:c>
      <x:c r="K531" s="40" t="n">
        <x:f>G531-E531</x:f>
        <x:v>0</x:v>
      </x:c>
      <x:c r="L531" s="40" t="n">
        <x:f>ABS(K531)</x:f>
        <x:v>0</x:v>
      </x:c>
      <x:c r="M531" s="41" t="str">
        <x:v>lstm-soil-v1</x:v>
      </x:c>
    </x:row>
    <x:row r="532">
      <x:c r="A532" s="38" t="str">
        <x:v>7月30日现场数据</x:v>
      </x:c>
      <x:c r="B532" s="39" t="str">
        <x:v>2026-08-01T00:35:00</x:v>
      </x:c>
      <x:c r="C532" s="39" t="str">
        <x:v>2026-08-01T00:40:00</x:v>
      </x:c>
      <x:c r="D532" s="47" t="n">
        <x:v>5</x:v>
      </x:c>
      <x:c r="E532" s="40" t="n">
        <x:v>12</x:v>
      </x:c>
      <x:c r="F532" s="40" t="n">
        <x:v>9.926441192626953</x:v>
      </x:c>
      <x:c r="G532" s="40" t="n">
        <x:v>12</x:v>
      </x:c>
      <x:c r="H532" s="40" t="n">
        <x:f>F532-E532</x:f>
        <x:v>-2.073558807373047</x:v>
      </x:c>
      <x:c r="I532" s="40" t="n">
        <x:f>ABS(H532)</x:f>
        <x:v>2.073558807373047</x:v>
      </x:c>
      <x:c r="J532" s="40" t="n">
        <x:f>H532^2</x:f>
        <x:v>4.2996461276343325</x:v>
      </x:c>
      <x:c r="K532" s="40" t="n">
        <x:f>G532-E532</x:f>
        <x:v>0</x:v>
      </x:c>
      <x:c r="L532" s="40" t="n">
        <x:f>ABS(K532)</x:f>
        <x:v>0</x:v>
      </x:c>
      <x:c r="M532" s="41" t="str">
        <x:v>lstm-soil-v1</x:v>
      </x:c>
    </x:row>
    <x:row r="533">
      <x:c r="A533" s="38" t="str">
        <x:v>7月30日现场数据</x:v>
      </x:c>
      <x:c r="B533" s="39" t="str">
        <x:v>2026-08-01T00:35:00</x:v>
      </x:c>
      <x:c r="C533" s="39" t="str">
        <x:v>2026-08-01T00:50:00</x:v>
      </x:c>
      <x:c r="D533" s="47" t="n">
        <x:v>15</x:v>
      </x:c>
      <x:c r="E533" s="40" t="n">
        <x:v>12</x:v>
      </x:c>
      <x:c r="F533" s="40" t="n">
        <x:v>9.984893798828125</x:v>
      </x:c>
      <x:c r="G533" s="40" t="n">
        <x:v>12</x:v>
      </x:c>
      <x:c r="H533" s="40" t="n">
        <x:f>F533-E533</x:f>
        <x:v>-2.015106201171875</x:v>
      </x:c>
      <x:c r="I533" s="40" t="n">
        <x:f>ABS(H533)</x:f>
        <x:v>2.015106201171875</x:v>
      </x:c>
      <x:c r="J533" s="40" t="n">
        <x:f>H533^2</x:f>
        <x:v>4.060653002001345</x:v>
      </x:c>
      <x:c r="K533" s="40" t="n">
        <x:f>G533-E533</x:f>
        <x:v>0</x:v>
      </x:c>
      <x:c r="L533" s="40" t="n">
        <x:f>ABS(K533)</x:f>
        <x:v>0</x:v>
      </x:c>
      <x:c r="M533" s="41" t="str">
        <x:v>lstm-soil-v1</x:v>
      </x:c>
    </x:row>
    <x:row r="534">
      <x:c r="A534" s="38" t="str">
        <x:v>7月30日现场数据</x:v>
      </x:c>
      <x:c r="B534" s="39" t="str">
        <x:v>2026-08-01T00:35:00</x:v>
      </x:c>
      <x:c r="C534" s="39" t="str">
        <x:v>2026-08-01T01:05:00</x:v>
      </x:c>
      <x:c r="D534" s="47" t="n">
        <x:v>30</x:v>
      </x:c>
      <x:c r="E534" s="40" t="n">
        <x:v>12</x:v>
      </x:c>
      <x:c r="F534" s="40" t="n">
        <x:v>10.464378356933594</x:v>
      </x:c>
      <x:c r="G534" s="40" t="n">
        <x:v>12</x:v>
      </x:c>
      <x:c r="H534" s="40" t="n">
        <x:f>F534-E534</x:f>
        <x:v>-1.5356216430664062</x:v>
      </x:c>
      <x:c r="I534" s="40" t="n">
        <x:f>ABS(H534)</x:f>
        <x:v>1.5356216430664062</x:v>
      </x:c>
      <x:c r="J534" s="40" t="n">
        <x:f>H534^2</x:f>
        <x:v>2.358133830653969</x:v>
      </x:c>
      <x:c r="K534" s="40" t="n">
        <x:f>G534-E534</x:f>
        <x:v>0</x:v>
      </x:c>
      <x:c r="L534" s="40" t="n">
        <x:f>ABS(K534)</x:f>
        <x:v>0</x:v>
      </x:c>
      <x:c r="M534" s="41" t="str">
        <x:v>lstm-soil-v1</x:v>
      </x:c>
    </x:row>
    <x:row r="535">
      <x:c r="A535" s="38" t="str">
        <x:v>7月30日现场数据</x:v>
      </x:c>
      <x:c r="B535" s="39" t="str">
        <x:v>2026-08-01T00:35:00</x:v>
      </x:c>
      <x:c r="C535" s="39" t="str">
        <x:v>2026-08-01T01:35:00</x:v>
      </x:c>
      <x:c r="D535" s="47" t="n">
        <x:v>60</x:v>
      </x:c>
      <x:c r="E535" s="40" t="n">
        <x:v>12</x:v>
      </x:c>
      <x:c r="F535" s="40" t="n">
        <x:v>12.05392074584961</x:v>
      </x:c>
      <x:c r="G535" s="40" t="n">
        <x:v>12</x:v>
      </x:c>
      <x:c r="H535" s="40" t="n">
        <x:f>F535-E535</x:f>
        <x:v>0.053920745849609375</x:v>
      </x:c>
      <x:c r="I535" s="40" t="n">
        <x:f>ABS(H535)</x:f>
        <x:v>0.053920745849609375</x:v>
      </x:c>
      <x:c r="J535" s="40" t="n">
        <x:f>H535^2</x:f>
        <x:v>0.0029074468329781666</x:v>
      </x:c>
      <x:c r="K535" s="40" t="n">
        <x:f>G535-E535</x:f>
        <x:v>0</x:v>
      </x:c>
      <x:c r="L535" s="40" t="n">
        <x:f>ABS(K535)</x:f>
        <x:v>0</x:v>
      </x:c>
      <x:c r="M535" s="41" t="str">
        <x:v>lstm-soil-v1</x:v>
      </x:c>
    </x:row>
    <x:row r="536">
      <x:c r="A536" s="38" t="str">
        <x:v>7月30日现场数据</x:v>
      </x:c>
      <x:c r="B536" s="39" t="str">
        <x:v>2026-08-01T00:40:00</x:v>
      </x:c>
      <x:c r="C536" s="39" t="str">
        <x:v>2026-08-01T00:45:00</x:v>
      </x:c>
      <x:c r="D536" s="47" t="n">
        <x:v>5</x:v>
      </x:c>
      <x:c r="E536" s="40" t="n">
        <x:v>12</x:v>
      </x:c>
      <x:c r="F536" s="40" t="n">
        <x:v>9.926532745361328</x:v>
      </x:c>
      <x:c r="G536" s="40" t="n">
        <x:v>12</x:v>
      </x:c>
      <x:c r="H536" s="40" t="n">
        <x:f>F536-E536</x:f>
        <x:v>-2.073467254638672</x:v>
      </x:c>
      <x:c r="I536" s="40" t="n">
        <x:f>ABS(H536)</x:f>
        <x:v>2.073467254638672</x:v>
      </x:c>
      <x:c r="J536" s="40" t="n">
        <x:f>H536^2</x:f>
        <x:v>4.299266456058831</x:v>
      </x:c>
      <x:c r="K536" s="40" t="n">
        <x:f>G536-E536</x:f>
        <x:v>0</x:v>
      </x:c>
      <x:c r="L536" s="40" t="n">
        <x:f>ABS(K536)</x:f>
        <x:v>0</x:v>
      </x:c>
      <x:c r="M536" s="41" t="str">
        <x:v>lstm-soil-v1</x:v>
      </x:c>
    </x:row>
    <x:row r="537">
      <x:c r="A537" s="38" t="str">
        <x:v>7月30日现场数据</x:v>
      </x:c>
      <x:c r="B537" s="39" t="str">
        <x:v>2026-08-01T00:40:00</x:v>
      </x:c>
      <x:c r="C537" s="39" t="str">
        <x:v>2026-08-01T00:55:00</x:v>
      </x:c>
      <x:c r="D537" s="47" t="n">
        <x:v>15</x:v>
      </x:c>
      <x:c r="E537" s="40" t="n">
        <x:v>12</x:v>
      </x:c>
      <x:c r="F537" s="40" t="n">
        <x:v>9.984184265136719</x:v>
      </x:c>
      <x:c r="G537" s="40" t="n">
        <x:v>12</x:v>
      </x:c>
      <x:c r="H537" s="40" t="n">
        <x:f>F537-E537</x:f>
        <x:v>-2.0158157348632812</x:v>
      </x:c>
      <x:c r="I537" s="40" t="n">
        <x:f>ABS(H537)</x:f>
        <x:v>2.0158157348632812</x:v>
      </x:c>
      <x:c r="J537" s="40" t="n">
        <x:f>H537^2</x:f>
        <x:v>4.063513076922391</x:v>
      </x:c>
      <x:c r="K537" s="40" t="n">
        <x:f>G537-E537</x:f>
        <x:v>0</x:v>
      </x:c>
      <x:c r="L537" s="40" t="n">
        <x:f>ABS(K537)</x:f>
        <x:v>0</x:v>
      </x:c>
      <x:c r="M537" s="41" t="str">
        <x:v>lstm-soil-v1</x:v>
      </x:c>
    </x:row>
    <x:row r="538">
      <x:c r="A538" s="38" t="str">
        <x:v>7月30日现场数据</x:v>
      </x:c>
      <x:c r="B538" s="39" t="str">
        <x:v>2026-08-01T00:40:00</x:v>
      </x:c>
      <x:c r="C538" s="39" t="str">
        <x:v>2026-08-01T01:10:00</x:v>
      </x:c>
      <x:c r="D538" s="47" t="n">
        <x:v>30</x:v>
      </x:c>
      <x:c r="E538" s="40" t="n">
        <x:v>12</x:v>
      </x:c>
      <x:c r="F538" s="40" t="n">
        <x:v>10.465023040771484</x:v>
      </x:c>
      <x:c r="G538" s="40" t="n">
        <x:v>12</x:v>
      </x:c>
      <x:c r="H538" s="40" t="n">
        <x:f>F538-E538</x:f>
        <x:v>-1.5349769592285156</x:v>
      </x:c>
      <x:c r="I538" s="40" t="n">
        <x:f>ABS(H538)</x:f>
        <x:v>1.5349769592285156</x:v>
      </x:c>
      <x:c r="J538" s="40" t="n">
        <x:f>H538^2</x:f>
        <x:v>2.35615426536242</x:v>
      </x:c>
      <x:c r="K538" s="40" t="n">
        <x:f>G538-E538</x:f>
        <x:v>0</x:v>
      </x:c>
      <x:c r="L538" s="40" t="n">
        <x:f>ABS(K538)</x:f>
        <x:v>0</x:v>
      </x:c>
      <x:c r="M538" s="41" t="str">
        <x:v>lstm-soil-v1</x:v>
      </x:c>
    </x:row>
    <x:row r="539">
      <x:c r="A539" s="38" t="str">
        <x:v>7月30日现场数据</x:v>
      </x:c>
      <x:c r="B539" s="39" t="str">
        <x:v>2026-08-01T00:40:00</x:v>
      </x:c>
      <x:c r="C539" s="39" t="str">
        <x:v>2026-08-01T01:40:00</x:v>
      </x:c>
      <x:c r="D539" s="47" t="n">
        <x:v>60</x:v>
      </x:c>
      <x:c r="E539" s="40" t="n">
        <x:v>12</x:v>
      </x:c>
      <x:c r="F539" s="40" t="n">
        <x:v>12.054790496826172</x:v>
      </x:c>
      <x:c r="G539" s="40" t="n">
        <x:v>12</x:v>
      </x:c>
      <x:c r="H539" s="40" t="n">
        <x:f>F539-E539</x:f>
        <x:v>0.054790496826171875</x:v>
      </x:c>
      <x:c r="I539" s="40" t="n">
        <x:f>ABS(H539)</x:f>
        <x:v>0.054790496826171875</x:v>
      </x:c>
      <x:c r="J539" s="40" t="n">
        <x:f>H539^2</x:f>
        <x:v>0.0030019985424587503</x:v>
      </x:c>
      <x:c r="K539" s="40" t="n">
        <x:f>G539-E539</x:f>
        <x:v>0</x:v>
      </x:c>
      <x:c r="L539" s="40" t="n">
        <x:f>ABS(K539)</x:f>
        <x:v>0</x:v>
      </x:c>
      <x:c r="M539" s="41" t="str">
        <x:v>lstm-soil-v1</x:v>
      </x:c>
    </x:row>
    <x:row r="540">
      <x:c r="A540" s="38" t="str">
        <x:v>7月30日现场数据</x:v>
      </x:c>
      <x:c r="B540" s="39" t="str">
        <x:v>2026-08-01T00:45:00</x:v>
      </x:c>
      <x:c r="C540" s="39" t="str">
        <x:v>2026-08-01T00:50:00</x:v>
      </x:c>
      <x:c r="D540" s="47" t="n">
        <x:v>5</x:v>
      </x:c>
      <x:c r="E540" s="40" t="n">
        <x:v>12</x:v>
      </x:c>
      <x:c r="F540" s="40" t="n">
        <x:v>9.926704406738281</x:v>
      </x:c>
      <x:c r="G540" s="40" t="n">
        <x:v>12</x:v>
      </x:c>
      <x:c r="H540" s="40" t="n">
        <x:f>F540-E540</x:f>
        <x:v>-2.0732955932617188</x:v>
      </x:c>
      <x:c r="I540" s="40" t="n">
        <x:f>ABS(H540)</x:f>
        <x:v>2.0732955932617188</x:v>
      </x:c>
      <x:c r="J540" s="40" t="n">
        <x:f>H540^2</x:f>
        <x:v>4.298554617038462</x:v>
      </x:c>
      <x:c r="K540" s="40" t="n">
        <x:f>G540-E540</x:f>
        <x:v>0</x:v>
      </x:c>
      <x:c r="L540" s="40" t="n">
        <x:f>ABS(K540)</x:f>
        <x:v>0</x:v>
      </x:c>
      <x:c r="M540" s="41" t="str">
        <x:v>lstm-soil-v1</x:v>
      </x:c>
    </x:row>
    <x:row r="541">
      <x:c r="A541" s="38" t="str">
        <x:v>7月30日现场数据</x:v>
      </x:c>
      <x:c r="B541" s="39" t="str">
        <x:v>2026-08-01T00:45:00</x:v>
      </x:c>
      <x:c r="C541" s="39" t="str">
        <x:v>2026-08-01T01:00:00</x:v>
      </x:c>
      <x:c r="D541" s="47" t="n">
        <x:v>15</x:v>
      </x:c>
      <x:c r="E541" s="40" t="n">
        <x:v>12</x:v>
      </x:c>
      <x:c r="F541" s="40" t="n">
        <x:v>9.983837127685547</x:v>
      </x:c>
      <x:c r="G541" s="40" t="n">
        <x:v>12</x:v>
      </x:c>
      <x:c r="H541" s="40" t="n">
        <x:f>F541-E541</x:f>
        <x:v>-2.016162872314453</x:v>
      </x:c>
      <x:c r="I541" s="40" t="n">
        <x:f>ABS(H541)</x:f>
        <x:v>2.016162872314453</x:v>
      </x:c>
      <x:c r="J541" s="40" t="n">
        <x:f>H541^2</x:f>
        <x:v>4.064912727699266</x:v>
      </x:c>
      <x:c r="K541" s="40" t="n">
        <x:f>G541-E541</x:f>
        <x:v>0</x:v>
      </x:c>
      <x:c r="L541" s="40" t="n">
        <x:f>ABS(K541)</x:f>
        <x:v>0</x:v>
      </x:c>
      <x:c r="M541" s="41" t="str">
        <x:v>lstm-soil-v1</x:v>
      </x:c>
    </x:row>
    <x:row r="542">
      <x:c r="A542" s="38" t="str">
        <x:v>7月30日现场数据</x:v>
      </x:c>
      <x:c r="B542" s="39" t="str">
        <x:v>2026-08-01T00:45:00</x:v>
      </x:c>
      <x:c r="C542" s="39" t="str">
        <x:v>2026-08-01T01:15:00</x:v>
      </x:c>
      <x:c r="D542" s="47" t="n">
        <x:v>30</x:v>
      </x:c>
      <x:c r="E542" s="40" t="n">
        <x:v>12</x:v>
      </x:c>
      <x:c r="F542" s="40" t="n">
        <x:v>10.465763092041016</x:v>
      </x:c>
      <x:c r="G542" s="40" t="n">
        <x:v>12</x:v>
      </x:c>
      <x:c r="H542" s="40" t="n">
        <x:f>F542-E542</x:f>
        <x:v>-1.5342369079589844</x:v>
      </x:c>
      <x:c r="I542" s="40" t="n">
        <x:f>ABS(H542)</x:f>
        <x:v>1.5342369079589844</x:v>
      </x:c>
      <x:c r="J542" s="40" t="n">
        <x:f>H542^2</x:f>
        <x:v>2.353882889743545</x:v>
      </x:c>
      <x:c r="K542" s="40" t="n">
        <x:f>G542-E542</x:f>
        <x:v>0</x:v>
      </x:c>
      <x:c r="L542" s="40" t="n">
        <x:f>ABS(K542)</x:f>
        <x:v>0</x:v>
      </x:c>
      <x:c r="M542" s="41" t="str">
        <x:v>lstm-soil-v1</x:v>
      </x:c>
    </x:row>
    <x:row r="543">
      <x:c r="A543" s="38" t="str">
        <x:v>7月30日现场数据</x:v>
      </x:c>
      <x:c r="B543" s="39" t="str">
        <x:v>2026-08-01T00:45:00</x:v>
      </x:c>
      <x:c r="C543" s="39" t="str">
        <x:v>2026-08-01T01:45:00</x:v>
      </x:c>
      <x:c r="D543" s="47" t="n">
        <x:v>60</x:v>
      </x:c>
      <x:c r="E543" s="40" t="n">
        <x:v>12</x:v>
      </x:c>
      <x:c r="F543" s="40" t="n">
        <x:v>12.055610656738281</x:v>
      </x:c>
      <x:c r="G543" s="40" t="n">
        <x:v>12</x:v>
      </x:c>
      <x:c r="H543" s="40" t="n">
        <x:f>F543-E543</x:f>
        <x:v>0.05561065673828125</x:v>
      </x:c>
      <x:c r="I543" s="40" t="n">
        <x:f>ABS(H543)</x:f>
        <x:v>0.05561065673828125</x:v>
      </x:c>
      <x:c r="J543" s="40" t="n">
        <x:f>H543^2</x:f>
        <x:v>0.003092545142862946</x:v>
      </x:c>
      <x:c r="K543" s="40" t="n">
        <x:f>G543-E543</x:f>
        <x:v>0</x:v>
      </x:c>
      <x:c r="L543" s="40" t="n">
        <x:f>ABS(K543)</x:f>
        <x:v>0</x:v>
      </x:c>
      <x:c r="M543" s="41" t="str">
        <x:v>lstm-soil-v1</x:v>
      </x:c>
    </x:row>
    <x:row r="544">
      <x:c r="A544" s="38" t="str">
        <x:v>7月30日现场数据</x:v>
      </x:c>
      <x:c r="B544" s="39" t="str">
        <x:v>2026-08-01T00:50:00</x:v>
      </x:c>
      <x:c r="C544" s="39" t="str">
        <x:v>2026-08-01T00:55:00</x:v>
      </x:c>
      <x:c r="D544" s="47" t="n">
        <x:v>5</x:v>
      </x:c>
      <x:c r="E544" s="40" t="n">
        <x:v>12</x:v>
      </x:c>
      <x:c r="F544" s="40" t="n">
        <x:v>9.926910400390625</x:v>
      </x:c>
      <x:c r="G544" s="40" t="n">
        <x:v>12</x:v>
      </x:c>
      <x:c r="H544" s="40" t="n">
        <x:f>F544-E544</x:f>
        <x:v>-2.073089599609375</x:v>
      </x:c>
      <x:c r="I544" s="40" t="n">
        <x:f>ABS(H544)</x:f>
        <x:v>2.073089599609375</x:v>
      </x:c>
      <x:c r="J544" s="40" t="n">
        <x:f>H544^2</x:f>
        <x:v>4.297700488008559</x:v>
      </x:c>
      <x:c r="K544" s="40" t="n">
        <x:f>G544-E544</x:f>
        <x:v>0</x:v>
      </x:c>
      <x:c r="L544" s="40" t="n">
        <x:f>ABS(K544)</x:f>
        <x:v>0</x:v>
      </x:c>
      <x:c r="M544" s="41" t="str">
        <x:v>lstm-soil-v1</x:v>
      </x:c>
    </x:row>
    <x:row r="545">
      <x:c r="A545" s="38" t="str">
        <x:v>7月30日现场数据</x:v>
      </x:c>
      <x:c r="B545" s="39" t="str">
        <x:v>2026-08-01T00:50:00</x:v>
      </x:c>
      <x:c r="C545" s="39" t="str">
        <x:v>2026-08-01T01:05:00</x:v>
      </x:c>
      <x:c r="D545" s="47" t="n">
        <x:v>15</x:v>
      </x:c>
      <x:c r="E545" s="40" t="n">
        <x:v>12</x:v>
      </x:c>
      <x:c r="F545" s="40" t="n">
        <x:v>9.983715057373047</x:v>
      </x:c>
      <x:c r="G545" s="40" t="n">
        <x:v>12</x:v>
      </x:c>
      <x:c r="H545" s="40" t="n">
        <x:f>F545-E545</x:f>
        <x:v>-2.016284942626953</x:v>
      </x:c>
      <x:c r="I545" s="40" t="n">
        <x:f>ABS(H545)</x:f>
        <x:v>2.016284942626953</x:v>
      </x:c>
      <x:c r="J545" s="40" t="n">
        <x:f>H545^2</x:f>
        <x:v>4.065404969864176</x:v>
      </x:c>
      <x:c r="K545" s="40" t="n">
        <x:f>G545-E545</x:f>
        <x:v>0</x:v>
      </x:c>
      <x:c r="L545" s="40" t="n">
        <x:f>ABS(K545)</x:f>
        <x:v>0</x:v>
      </x:c>
      <x:c r="M545" s="41" t="str">
        <x:v>lstm-soil-v1</x:v>
      </x:c>
    </x:row>
    <x:row r="546">
      <x:c r="A546" s="38" t="str">
        <x:v>7月30日现场数据</x:v>
      </x:c>
      <x:c r="B546" s="39" t="str">
        <x:v>2026-08-01T00:50:00</x:v>
      </x:c>
      <x:c r="C546" s="39" t="str">
        <x:v>2026-08-01T01:20:00</x:v>
      </x:c>
      <x:c r="D546" s="47" t="n">
        <x:v>30</x:v>
      </x:c>
      <x:c r="E546" s="40" t="n">
        <x:v>12</x:v>
      </x:c>
      <x:c r="F546" s="40" t="n">
        <x:v>10.46649169921875</x:v>
      </x:c>
      <x:c r="G546" s="40" t="n">
        <x:v>12</x:v>
      </x:c>
      <x:c r="H546" s="40" t="n">
        <x:f>F546-E546</x:f>
        <x:v>-1.53350830078125</x:v>
      </x:c>
      <x:c r="I546" s="40" t="n">
        <x:f>ABS(H546)</x:f>
        <x:v>1.53350830078125</x:v>
      </x:c>
      <x:c r="J546" s="40" t="n">
        <x:f>H546^2</x:f>
        <x:v>2.3516477085649967</x:v>
      </x:c>
      <x:c r="K546" s="40" t="n">
        <x:f>G546-E546</x:f>
        <x:v>0</x:v>
      </x:c>
      <x:c r="L546" s="40" t="n">
        <x:f>ABS(K546)</x:f>
        <x:v>0</x:v>
      </x:c>
      <x:c r="M546" s="41" t="str">
        <x:v>lstm-soil-v1</x:v>
      </x:c>
    </x:row>
    <x:row r="547">
      <x:c r="A547" s="38" t="str">
        <x:v>7月30日现场数据</x:v>
      </x:c>
      <x:c r="B547" s="39" t="str">
        <x:v>2026-08-01T00:50:00</x:v>
      </x:c>
      <x:c r="C547" s="39" t="str">
        <x:v>2026-08-01T01:50:00</x:v>
      </x:c>
      <x:c r="D547" s="47" t="n">
        <x:v>60</x:v>
      </x:c>
      <x:c r="E547" s="40" t="n">
        <x:v>12</x:v>
      </x:c>
      <x:c r="F547" s="40" t="n">
        <x:v>12.056320190429688</x:v>
      </x:c>
      <x:c r="G547" s="40" t="n">
        <x:v>12</x:v>
      </x:c>
      <x:c r="H547" s="40" t="n">
        <x:f>F547-E547</x:f>
        <x:v>0.0563201904296875</x:v>
      </x:c>
      <x:c r="I547" s="40" t="n">
        <x:f>ABS(H547)</x:f>
        <x:v>0.0563201904296875</x:v>
      </x:c>
      <x:c r="J547" s="40" t="n">
        <x:f>H547^2</x:f>
        <x:v>0.0031719638500362635</x:v>
      </x:c>
      <x:c r="K547" s="40" t="n">
        <x:f>G547-E547</x:f>
        <x:v>0</x:v>
      </x:c>
      <x:c r="L547" s="40" t="n">
        <x:f>ABS(K547)</x:f>
        <x:v>0</x:v>
      </x:c>
      <x:c r="M547" s="41" t="str">
        <x:v>lstm-soil-v1</x:v>
      </x:c>
    </x:row>
    <x:row r="548">
      <x:c r="A548" s="38" t="str">
        <x:v>7月30日现场数据</x:v>
      </x:c>
      <x:c r="B548" s="39" t="str">
        <x:v>2026-08-01T00:55:00</x:v>
      </x:c>
      <x:c r="C548" s="39" t="str">
        <x:v>2026-08-01T01:00:00</x:v>
      </x:c>
      <x:c r="D548" s="47" t="n">
        <x:v>5</x:v>
      </x:c>
      <x:c r="E548" s="40" t="n">
        <x:v>12</x:v>
      </x:c>
      <x:c r="F548" s="40" t="n">
        <x:v>9.927093505859375</x:v>
      </x:c>
      <x:c r="G548" s="40" t="n">
        <x:v>12</x:v>
      </x:c>
      <x:c r="H548" s="40" t="n">
        <x:f>F548-E548</x:f>
        <x:v>-2.072906494140625</x:v>
      </x:c>
      <x:c r="I548" s="40" t="n">
        <x:f>ABS(H548)</x:f>
        <x:v>2.072906494140625</x:v>
      </x:c>
      <x:c r="J548" s="40" t="n">
        <x:f>H548^2</x:f>
        <x:v>4.296941333450377</x:v>
      </x:c>
      <x:c r="K548" s="40" t="n">
        <x:f>G548-E548</x:f>
        <x:v>0</x:v>
      </x:c>
      <x:c r="L548" s="40" t="n">
        <x:f>ABS(K548)</x:f>
        <x:v>0</x:v>
      </x:c>
      <x:c r="M548" s="41" t="str">
        <x:v>lstm-soil-v1</x:v>
      </x:c>
    </x:row>
    <x:row r="549">
      <x:c r="A549" s="38" t="str">
        <x:v>7月30日现场数据</x:v>
      </x:c>
      <x:c r="B549" s="39" t="str">
        <x:v>2026-08-01T00:55:00</x:v>
      </x:c>
      <x:c r="C549" s="39" t="str">
        <x:v>2026-08-01T01:10:00</x:v>
      </x:c>
      <x:c r="D549" s="47" t="n">
        <x:v>15</x:v>
      </x:c>
      <x:c r="E549" s="40" t="n">
        <x:v>12</x:v>
      </x:c>
      <x:c r="F549" s="40" t="n">
        <x:v>9.983692169189453</x:v>
      </x:c>
      <x:c r="G549" s="40" t="n">
        <x:v>12</x:v>
      </x:c>
      <x:c r="H549" s="40" t="n">
        <x:f>F549-E549</x:f>
        <x:v>-2.016307830810547</x:v>
      </x:c>
      <x:c r="I549" s="40" t="n">
        <x:f>ABS(H549)</x:f>
        <x:v>2.016307830810547</x:v>
      </x:c>
      <x:c r="J549" s="40" t="n">
        <x:f>H549^2</x:f>
        <x:v>4.065497268587933</x:v>
      </x:c>
      <x:c r="K549" s="40" t="n">
        <x:f>G549-E549</x:f>
        <x:v>0</x:v>
      </x:c>
      <x:c r="L549" s="40" t="n">
        <x:f>ABS(K549)</x:f>
        <x:v>0</x:v>
      </x:c>
      <x:c r="M549" s="41" t="str">
        <x:v>lstm-soil-v1</x:v>
      </x:c>
    </x:row>
    <x:row r="550">
      <x:c r="A550" s="38" t="str">
        <x:v>7月30日现场数据</x:v>
      </x:c>
      <x:c r="B550" s="39" t="str">
        <x:v>2026-08-01T00:55:00</x:v>
      </x:c>
      <x:c r="C550" s="39" t="str">
        <x:v>2026-08-01T01:25:00</x:v>
      </x:c>
      <x:c r="D550" s="47" t="n">
        <x:v>30</x:v>
      </x:c>
      <x:c r="E550" s="40" t="n">
        <x:v>12</x:v>
      </x:c>
      <x:c r="F550" s="40" t="n">
        <x:v>10.467105865478516</x:v>
      </x:c>
      <x:c r="G550" s="40" t="n">
        <x:v>12</x:v>
      </x:c>
      <x:c r="H550" s="40" t="n">
        <x:f>F550-E550</x:f>
        <x:v>-1.5328941345214844</x:v>
      </x:c>
      <x:c r="I550" s="40" t="n">
        <x:f>ABS(H550)</x:f>
        <x:v>1.5328941345214844</x:v>
      </x:c>
      <x:c r="J550" s="40" t="n">
        <x:f>H550^2</x:f>
        <x:v>2.3497644276503706</x:v>
      </x:c>
      <x:c r="K550" s="40" t="n">
        <x:f>G550-E550</x:f>
        <x:v>0</x:v>
      </x:c>
      <x:c r="L550" s="40" t="n">
        <x:f>ABS(K550)</x:f>
        <x:v>0</x:v>
      </x:c>
      <x:c r="M550" s="41" t="str">
        <x:v>lstm-soil-v1</x:v>
      </x:c>
    </x:row>
    <x:row r="551">
      <x:c r="A551" s="38" t="str">
        <x:v>7月30日现场数据</x:v>
      </x:c>
      <x:c r="B551" s="39" t="str">
        <x:v>2026-08-01T00:55:00</x:v>
      </x:c>
      <x:c r="C551" s="39" t="str">
        <x:v>2026-08-01T01:55:00</x:v>
      </x:c>
      <x:c r="D551" s="47" t="n">
        <x:v>60</x:v>
      </x:c>
      <x:c r="E551" s="40" t="n">
        <x:v>12</x:v>
      </x:c>
      <x:c r="F551" s="40" t="n">
        <x:v>12.056892395019531</x:v>
      </x:c>
      <x:c r="G551" s="40" t="n">
        <x:v>12</x:v>
      </x:c>
      <x:c r="H551" s="40" t="n">
        <x:f>F551-E551</x:f>
        <x:v>0.05689239501953125</x:v>
      </x:c>
      <x:c r="I551" s="40" t="n">
        <x:f>ABS(H551)</x:f>
        <x:v>0.05689239501953125</x:v>
      </x:c>
      <x:c r="J551" s="40" t="n">
        <x:f>H551^2</x:f>
        <x:v>0.003236744611058384</x:v>
      </x:c>
      <x:c r="K551" s="40" t="n">
        <x:f>G551-E551</x:f>
        <x:v>0</x:v>
      </x:c>
      <x:c r="L551" s="40" t="n">
        <x:f>ABS(K551)</x:f>
        <x:v>0</x:v>
      </x:c>
      <x:c r="M551" s="41" t="str">
        <x:v>lstm-soil-v1</x:v>
      </x:c>
    </x:row>
    <x:row r="552">
      <x:c r="A552" s="38" t="str">
        <x:v>7月30日现场数据</x:v>
      </x:c>
      <x:c r="B552" s="39" t="str">
        <x:v>2026-08-01T01:00:00</x:v>
      </x:c>
      <x:c r="C552" s="39" t="str">
        <x:v>2026-08-01T01:05:00</x:v>
      </x:c>
      <x:c r="D552" s="47" t="n">
        <x:v>5</x:v>
      </x:c>
      <x:c r="E552" s="40" t="n">
        <x:v>12</x:v>
      </x:c>
      <x:c r="F552" s="40" t="n">
        <x:v>9.924240112304688</x:v>
      </x:c>
      <x:c r="G552" s="40" t="n">
        <x:v>12</x:v>
      </x:c>
      <x:c r="H552" s="40" t="n">
        <x:f>F552-E552</x:f>
        <x:v>-2.0757598876953125</x:v>
      </x:c>
      <x:c r="I552" s="40" t="n">
        <x:f>ABS(H552)</x:f>
        <x:v>2.0757598876953125</x:v>
      </x:c>
      <x:c r="J552" s="40" t="n">
        <x:f>H552^2</x:f>
        <x:v>4.308779111364856</x:v>
      </x:c>
      <x:c r="K552" s="40" t="n">
        <x:f>G552-E552</x:f>
        <x:v>0</x:v>
      </x:c>
      <x:c r="L552" s="40" t="n">
        <x:f>ABS(K552)</x:f>
        <x:v>0</x:v>
      </x:c>
      <x:c r="M552" s="41" t="str">
        <x:v>lstm-soil-v1</x:v>
      </x:c>
    </x:row>
    <x:row r="553">
      <x:c r="A553" s="38" t="str">
        <x:v>7月30日现场数据</x:v>
      </x:c>
      <x:c r="B553" s="39" t="str">
        <x:v>2026-08-01T01:00:00</x:v>
      </x:c>
      <x:c r="C553" s="39" t="str">
        <x:v>2026-08-01T01:15:00</x:v>
      </x:c>
      <x:c r="D553" s="47" t="n">
        <x:v>15</x:v>
      </x:c>
      <x:c r="E553" s="40" t="n">
        <x:v>12</x:v>
      </x:c>
      <x:c r="F553" s="40" t="n">
        <x:v>9.981304168701172</x:v>
      </x:c>
      <x:c r="G553" s="40" t="n">
        <x:v>12</x:v>
      </x:c>
      <x:c r="H553" s="40" t="n">
        <x:f>F553-E553</x:f>
        <x:v>-2.018695831298828</x:v>
      </x:c>
      <x:c r="I553" s="40" t="n">
        <x:f>ABS(H553)</x:f>
        <x:v>2.018695831298828</x:v>
      </x:c>
      <x:c r="J553" s="40" t="n">
        <x:f>H553^2</x:f>
        <x:v>4.075132859303267</x:v>
      </x:c>
      <x:c r="K553" s="40" t="n">
        <x:f>G553-E553</x:f>
        <x:v>0</x:v>
      </x:c>
      <x:c r="L553" s="40" t="n">
        <x:f>ABS(K553)</x:f>
        <x:v>0</x:v>
      </x:c>
      <x:c r="M553" s="41" t="str">
        <x:v>lstm-soil-v1</x:v>
      </x:c>
    </x:row>
    <x:row r="554">
      <x:c r="A554" s="38" t="str">
        <x:v>7月30日现场数据</x:v>
      </x:c>
      <x:c r="B554" s="39" t="str">
        <x:v>2026-08-01T01:00:00</x:v>
      </x:c>
      <x:c r="C554" s="39" t="str">
        <x:v>2026-08-01T01:30:00</x:v>
      </x:c>
      <x:c r="D554" s="47" t="n">
        <x:v>30</x:v>
      </x:c>
      <x:c r="E554" s="40" t="n">
        <x:v>12</x:v>
      </x:c>
      <x:c r="F554" s="40" t="n">
        <x:v>10.463611602783203</x:v>
      </x:c>
      <x:c r="G554" s="40" t="n">
        <x:v>12</x:v>
      </x:c>
      <x:c r="H554" s="40" t="n">
        <x:f>F554-E554</x:f>
        <x:v>-1.5363883972167969</x:v>
      </x:c>
      <x:c r="I554" s="40" t="n">
        <x:f>ABS(H554)</x:f>
        <x:v>1.5363883972167969</x:v>
      </x:c>
      <x:c r="J554" s="40" t="n">
        <x:f>H554^2</x:f>
        <x:v>2.360489307102398</x:v>
      </x:c>
      <x:c r="K554" s="40" t="n">
        <x:f>G554-E554</x:f>
        <x:v>0</x:v>
      </x:c>
      <x:c r="L554" s="40" t="n">
        <x:f>ABS(K554)</x:f>
        <x:v>0</x:v>
      </x:c>
      <x:c r="M554" s="41" t="str">
        <x:v>lstm-soil-v1</x:v>
      </x:c>
    </x:row>
    <x:row r="555">
      <x:c r="A555" s="38" t="str">
        <x:v>7月30日现场数据</x:v>
      </x:c>
      <x:c r="B555" s="39" t="str">
        <x:v>2026-08-01T01:00:00</x:v>
      </x:c>
      <x:c r="C555" s="39" t="str">
        <x:v>2026-08-01T02:00:00</x:v>
      </x:c>
      <x:c r="D555" s="47" t="n">
        <x:v>60</x:v>
      </x:c>
      <x:c r="E555" s="40" t="n">
        <x:v>12</x:v>
      </x:c>
      <x:c r="F555" s="40" t="n">
        <x:v>12.051502227783203</x:v>
      </x:c>
      <x:c r="G555" s="40" t="n">
        <x:v>12</x:v>
      </x:c>
      <x:c r="H555" s="40" t="n">
        <x:f>F555-E555</x:f>
        <x:v>0.051502227783203125</x:v>
      </x:c>
      <x:c r="I555" s="40" t="n">
        <x:f>ABS(H555)</x:f>
        <x:v>0.051502227783203125</x:v>
      </x:c>
      <x:c r="J555" s="40" t="n">
        <x:f>H555^2</x:f>
        <x:v>0.00265247946663294</x:v>
      </x:c>
      <x:c r="K555" s="40" t="n">
        <x:f>G555-E555</x:f>
        <x:v>0</x:v>
      </x:c>
      <x:c r="L555" s="40" t="n">
        <x:f>ABS(K555)</x:f>
        <x:v>0</x:v>
      </x:c>
      <x:c r="M555" s="41" t="str">
        <x:v>lstm-soil-v1</x:v>
      </x:c>
    </x:row>
    <x:row r="556">
      <x:c r="A556" s="38" t="str">
        <x:v>7月30日现场数据</x:v>
      </x:c>
      <x:c r="B556" s="39" t="str">
        <x:v>2026-08-01T01:05:00</x:v>
      </x:c>
      <x:c r="C556" s="39" t="str">
        <x:v>2026-08-01T01:10:00</x:v>
      </x:c>
      <x:c r="D556" s="47" t="n">
        <x:v>5</x:v>
      </x:c>
      <x:c r="E556" s="40" t="n">
        <x:v>12</x:v>
      </x:c>
      <x:c r="F556" s="40" t="n">
        <x:v>9.922046661376953</x:v>
      </x:c>
      <x:c r="G556" s="40" t="n">
        <x:v>12</x:v>
      </x:c>
      <x:c r="H556" s="40" t="n">
        <x:f>F556-E556</x:f>
        <x:v>-2.077953338623047</x:v>
      </x:c>
      <x:c r="I556" s="40" t="n">
        <x:f>ABS(H556)</x:f>
        <x:v>2.077953338623047</x:v>
      </x:c>
      <x:c r="J556" s="40" t="n">
        <x:f>H556^2</x:f>
        <x:v>4.317890077494667</x:v>
      </x:c>
      <x:c r="K556" s="40" t="n">
        <x:f>G556-E556</x:f>
        <x:v>0</x:v>
      </x:c>
      <x:c r="L556" s="40" t="n">
        <x:f>ABS(K556)</x:f>
        <x:v>0</x:v>
      </x:c>
      <x:c r="M556" s="41" t="str">
        <x:v>lstm-soil-v1</x:v>
      </x:c>
    </x:row>
    <x:row r="557">
      <x:c r="A557" s="38" t="str">
        <x:v>7月30日现场数据</x:v>
      </x:c>
      <x:c r="B557" s="39" t="str">
        <x:v>2026-08-01T01:05:00</x:v>
      </x:c>
      <x:c r="C557" s="39" t="str">
        <x:v>2026-08-01T01:20:00</x:v>
      </x:c>
      <x:c r="D557" s="47" t="n">
        <x:v>15</x:v>
      </x:c>
      <x:c r="E557" s="40" t="n">
        <x:v>12</x:v>
      </x:c>
      <x:c r="F557" s="40" t="n">
        <x:v>9.979576110839844</x:v>
      </x:c>
      <x:c r="G557" s="40" t="n">
        <x:v>12</x:v>
      </x:c>
      <x:c r="H557" s="40" t="n">
        <x:f>F557-E557</x:f>
        <x:v>-2.0204238891601562</x:v>
      </x:c>
      <x:c r="I557" s="40" t="n">
        <x:f>ABS(H557)</x:f>
        <x:v>2.0204238891601562</x:v>
      </x:c>
      <x:c r="J557" s="40" t="n">
        <x:f>H557^2</x:f>
        <x:v>4.082112691889051</x:v>
      </x:c>
      <x:c r="K557" s="40" t="n">
        <x:f>G557-E557</x:f>
        <x:v>0</x:v>
      </x:c>
      <x:c r="L557" s="40" t="n">
        <x:f>ABS(K557)</x:f>
        <x:v>0</x:v>
      </x:c>
      <x:c r="M557" s="41" t="str">
        <x:v>lstm-soil-v1</x:v>
      </x:c>
    </x:row>
    <x:row r="558">
      <x:c r="A558" s="38" t="str">
        <x:v>7月30日现场数据</x:v>
      </x:c>
      <x:c r="B558" s="39" t="str">
        <x:v>2026-08-01T01:05:00</x:v>
      </x:c>
      <x:c r="C558" s="39" t="str">
        <x:v>2026-08-01T01:35:00</x:v>
      </x:c>
      <x:c r="D558" s="47" t="n">
        <x:v>30</x:v>
      </x:c>
      <x:c r="E558" s="40" t="n">
        <x:v>12</x:v>
      </x:c>
      <x:c r="F558" s="40" t="n">
        <x:v>10.462600708007812</x:v>
      </x:c>
      <x:c r="G558" s="40" t="n">
        <x:v>12</x:v>
      </x:c>
      <x:c r="H558" s="40" t="n">
        <x:f>F558-E558</x:f>
        <x:v>-1.5373992919921875</x:v>
      </x:c>
      <x:c r="I558" s="40" t="n">
        <x:f>ABS(H558)</x:f>
        <x:v>1.5373992919921875</x:v>
      </x:c>
      <x:c r="J558" s="40" t="n">
        <x:f>H558^2</x:f>
        <x:v>2.3635965830180794</x:v>
      </x:c>
      <x:c r="K558" s="40" t="n">
        <x:f>G558-E558</x:f>
        <x:v>0</x:v>
      </x:c>
      <x:c r="L558" s="40" t="n">
        <x:f>ABS(K558)</x:f>
        <x:v>0</x:v>
      </x:c>
      <x:c r="M558" s="41" t="str">
        <x:v>lstm-soil-v1</x:v>
      </x:c>
    </x:row>
    <x:row r="559">
      <x:c r="A559" s="38" t="str">
        <x:v>7月30日现场数据</x:v>
      </x:c>
      <x:c r="B559" s="39" t="str">
        <x:v>2026-08-01T01:05:00</x:v>
      </x:c>
      <x:c r="C559" s="39" t="str">
        <x:v>2026-08-01T02:05:00</x:v>
      </x:c>
      <x:c r="D559" s="47" t="n">
        <x:v>60</x:v>
      </x:c>
      <x:c r="E559" s="40" t="n">
        <x:v>12</x:v>
      </x:c>
      <x:c r="F559" s="40" t="n">
        <x:v>12.047889709472656</x:v>
      </x:c>
      <x:c r="G559" s="40" t="n">
        <x:v>12</x:v>
      </x:c>
      <x:c r="H559" s="40" t="n">
        <x:f>F559-E559</x:f>
        <x:v>0.04788970947265625</x:v>
      </x:c>
      <x:c r="I559" s="40" t="n">
        <x:f>ABS(H559)</x:f>
        <x:v>0.04788970947265625</x:v>
      </x:c>
      <x:c r="J559" s="40" t="n">
        <x:f>H559^2</x:f>
        <x:v>0.0022934242733754218</x:v>
      </x:c>
      <x:c r="K559" s="40" t="n">
        <x:f>G559-E559</x:f>
        <x:v>0</x:v>
      </x:c>
      <x:c r="L559" s="40" t="n">
        <x:f>ABS(K559)</x:f>
        <x:v>0</x:v>
      </x:c>
      <x:c r="M559" s="41" t="str">
        <x:v>lstm-soil-v1</x:v>
      </x:c>
    </x:row>
    <x:row r="560">
      <x:c r="A560" s="38" t="str">
        <x:v>7月30日现场数据</x:v>
      </x:c>
      <x:c r="B560" s="39" t="str">
        <x:v>2026-08-01T01:10:00</x:v>
      </x:c>
      <x:c r="C560" s="39" t="str">
        <x:v>2026-08-01T01:15:00</x:v>
      </x:c>
      <x:c r="D560" s="47" t="n">
        <x:v>5</x:v>
      </x:c>
      <x:c r="E560" s="40" t="n">
        <x:v>12</x:v>
      </x:c>
      <x:c r="F560" s="40" t="n">
        <x:v>9.920646667480469</x:v>
      </x:c>
      <x:c r="G560" s="40" t="n">
        <x:v>12</x:v>
      </x:c>
      <x:c r="H560" s="40" t="n">
        <x:f>F560-E560</x:f>
        <x:v>-2.0793533325195312</x:v>
      </x:c>
      <x:c r="I560" s="40" t="n">
        <x:f>ABS(H560)</x:f>
        <x:v>2.0793533325195312</x:v>
      </x:c>
      <x:c r="J560" s="40" t="n">
        <x:f>H560^2</x:f>
        <x:v>4.32371028146008</x:v>
      </x:c>
      <x:c r="K560" s="40" t="n">
        <x:f>G560-E560</x:f>
        <x:v>0</x:v>
      </x:c>
      <x:c r="L560" s="40" t="n">
        <x:f>ABS(K560)</x:f>
        <x:v>0</x:v>
      </x:c>
      <x:c r="M560" s="41" t="str">
        <x:v>lstm-soil-v1</x:v>
      </x:c>
    </x:row>
    <x:row r="561">
      <x:c r="A561" s="38" t="str">
        <x:v>7月30日现场数据</x:v>
      </x:c>
      <x:c r="B561" s="39" t="str">
        <x:v>2026-08-01T01:10:00</x:v>
      </x:c>
      <x:c r="C561" s="39" t="str">
        <x:v>2026-08-01T01:25:00</x:v>
      </x:c>
      <x:c r="D561" s="47" t="n">
        <x:v>15</x:v>
      </x:c>
      <x:c r="E561" s="40" t="n">
        <x:v>12</x:v>
      </x:c>
      <x:c r="F561" s="40" t="n">
        <x:v>9.97830581665039</x:v>
      </x:c>
      <x:c r="G561" s="40" t="n">
        <x:v>12</x:v>
      </x:c>
      <x:c r="H561" s="40" t="n">
        <x:f>F561-E561</x:f>
        <x:v>-2.0216941833496094</x:v>
      </x:c>
      <x:c r="I561" s="40" t="n">
        <x:f>ABS(H561)</x:f>
        <x:v>2.0216941833496094</x:v>
      </x:c>
      <x:c r="J561" s="40" t="n">
        <x:f>H561^2</x:f>
        <x:v>4.087247370989644</x:v>
      </x:c>
      <x:c r="K561" s="40" t="n">
        <x:f>G561-E561</x:f>
        <x:v>0</x:v>
      </x:c>
      <x:c r="L561" s="40" t="n">
        <x:f>ABS(K561)</x:f>
        <x:v>0</x:v>
      </x:c>
      <x:c r="M561" s="41" t="str">
        <x:v>lstm-soil-v1</x:v>
      </x:c>
    </x:row>
    <x:row r="562">
      <x:c r="A562" s="38" t="str">
        <x:v>7月30日现场数据</x:v>
      </x:c>
      <x:c r="B562" s="39" t="str">
        <x:v>2026-08-01T01:10:00</x:v>
      </x:c>
      <x:c r="C562" s="39" t="str">
        <x:v>2026-08-01T01:40:00</x:v>
      </x:c>
      <x:c r="D562" s="47" t="n">
        <x:v>30</x:v>
      </x:c>
      <x:c r="E562" s="40" t="n">
        <x:v>12</x:v>
      </x:c>
      <x:c r="F562" s="40" t="n">
        <x:v>10.462726593017578</x:v>
      </x:c>
      <x:c r="G562" s="40" t="n">
        <x:v>12</x:v>
      </x:c>
      <x:c r="H562" s="40" t="n">
        <x:f>F562-E562</x:f>
        <x:v>-1.5372734069824219</x:v>
      </x:c>
      <x:c r="I562" s="40" t="n">
        <x:f>ABS(H562)</x:f>
        <x:v>1.5372734069824219</x:v>
      </x:c>
      <x:c r="J562" s="40" t="n">
        <x:f>H562^2</x:f>
        <x:v>2.363209527815343</x:v>
      </x:c>
      <x:c r="K562" s="40" t="n">
        <x:f>G562-E562</x:f>
        <x:v>0</x:v>
      </x:c>
      <x:c r="L562" s="40" t="n">
        <x:f>ABS(K562)</x:f>
        <x:v>0</x:v>
      </x:c>
      <x:c r="M562" s="41" t="str">
        <x:v>lstm-soil-v1</x:v>
      </x:c>
    </x:row>
    <x:row r="563">
      <x:c r="A563" s="38" t="str">
        <x:v>7月30日现场数据</x:v>
      </x:c>
      <x:c r="B563" s="39" t="str">
        <x:v>2026-08-01T01:10:00</x:v>
      </x:c>
      <x:c r="C563" s="39" t="str">
        <x:v>2026-08-01T02:10:00</x:v>
      </x:c>
      <x:c r="D563" s="47" t="n">
        <x:v>60</x:v>
      </x:c>
      <x:c r="E563" s="40" t="n">
        <x:v>12</x:v>
      </x:c>
      <x:c r="F563" s="40" t="n">
        <x:v>12.046039581298828</x:v>
      </x:c>
      <x:c r="G563" s="40" t="n">
        <x:v>12</x:v>
      </x:c>
      <x:c r="H563" s="40" t="n">
        <x:f>F563-E563</x:f>
        <x:v>0.046039581298828125</x:v>
      </x:c>
      <x:c r="I563" s="40" t="n">
        <x:f>ABS(H563)</x:f>
        <x:v>0.046039581298828125</x:v>
      </x:c>
      <x:c r="J563" s="40" t="n">
        <x:f>H563^2</x:f>
        <x:v>0.0021196430461714044</x:v>
      </x:c>
      <x:c r="K563" s="40" t="n">
        <x:f>G563-E563</x:f>
        <x:v>0</x:v>
      </x:c>
      <x:c r="L563" s="40" t="n">
        <x:f>ABS(K563)</x:f>
        <x:v>0</x:v>
      </x:c>
      <x:c r="M563" s="41" t="str">
        <x:v>lstm-soil-v1</x:v>
      </x:c>
    </x:row>
    <x:row r="564">
      <x:c r="A564" s="38" t="str">
        <x:v>7月30日现场数据</x:v>
      </x:c>
      <x:c r="B564" s="39" t="str">
        <x:v>2026-08-01T01:15:00</x:v>
      </x:c>
      <x:c r="C564" s="39" t="str">
        <x:v>2026-08-01T01:20:00</x:v>
      </x:c>
      <x:c r="D564" s="47" t="n">
        <x:v>5</x:v>
      </x:c>
      <x:c r="E564" s="40" t="n">
        <x:v>12</x:v>
      </x:c>
      <x:c r="F564" s="40" t="n">
        <x:v>9.919902801513672</x:v>
      </x:c>
      <x:c r="G564" s="40" t="n">
        <x:v>12</x:v>
      </x:c>
      <x:c r="H564" s="40" t="n">
        <x:f>F564-E564</x:f>
        <x:v>-2.080097198486328</x:v>
      </x:c>
      <x:c r="I564" s="40" t="n">
        <x:f>ABS(H564)</x:f>
        <x:v>2.080097198486328</x:v>
      </x:c>
      <x:c r="J564" s="40" t="n">
        <x:f>H564^2</x:f>
        <x:v>4.326804355150671</x:v>
      </x:c>
      <x:c r="K564" s="40" t="n">
        <x:f>G564-E564</x:f>
        <x:v>0</x:v>
      </x:c>
      <x:c r="L564" s="40" t="n">
        <x:f>ABS(K564)</x:f>
        <x:v>0</x:v>
      </x:c>
      <x:c r="M564" s="41" t="str">
        <x:v>lstm-soil-v1</x:v>
      </x:c>
    </x:row>
    <x:row r="565">
      <x:c r="A565" s="38" t="str">
        <x:v>7月30日现场数据</x:v>
      </x:c>
      <x:c r="B565" s="39" t="str">
        <x:v>2026-08-01T01:15:00</x:v>
      </x:c>
      <x:c r="C565" s="39" t="str">
        <x:v>2026-08-01T01:30:00</x:v>
      </x:c>
      <x:c r="D565" s="47" t="n">
        <x:v>15</x:v>
      </x:c>
      <x:c r="E565" s="40" t="n">
        <x:v>12</x:v>
      </x:c>
      <x:c r="F565" s="40" t="n">
        <x:v>9.97738265991211</x:v>
      </x:c>
      <x:c r="G565" s="40" t="n">
        <x:v>12</x:v>
      </x:c>
      <x:c r="H565" s="40" t="n">
        <x:f>F565-E565</x:f>
        <x:v>-2.0226173400878906</x:v>
      </x:c>
      <x:c r="I565" s="40" t="n">
        <x:f>ABS(H565)</x:f>
        <x:v>2.0226173400878906</x:v>
      </x:c>
      <x:c r="J565" s="40" t="n">
        <x:f>H565^2</x:f>
        <x:v>4.090980904424214</x:v>
      </x:c>
      <x:c r="K565" s="40" t="n">
        <x:f>G565-E565</x:f>
        <x:v>0</x:v>
      </x:c>
      <x:c r="L565" s="40" t="n">
        <x:f>ABS(K565)</x:f>
        <x:v>0</x:v>
      </x:c>
      <x:c r="M565" s="41" t="str">
        <x:v>lstm-soil-v1</x:v>
      </x:c>
    </x:row>
    <x:row r="566">
      <x:c r="A566" s="38" t="str">
        <x:v>7月30日现场数据</x:v>
      </x:c>
      <x:c r="B566" s="39" t="str">
        <x:v>2026-08-01T01:15:00</x:v>
      </x:c>
      <x:c r="C566" s="39" t="str">
        <x:v>2026-08-01T01:45:00</x:v>
      </x:c>
      <x:c r="D566" s="47" t="n">
        <x:v>30</x:v>
      </x:c>
      <x:c r="E566" s="40" t="n">
        <x:v>12</x:v>
      </x:c>
      <x:c r="F566" s="40" t="n">
        <x:v>10.463367462158203</x:v>
      </x:c>
      <x:c r="G566" s="40" t="n">
        <x:v>12</x:v>
      </x:c>
      <x:c r="H566" s="40" t="n">
        <x:f>F566-E566</x:f>
        <x:v>-1.5366325378417969</x:v>
      </x:c>
      <x:c r="I566" s="40" t="n">
        <x:f>ABS(H566)</x:f>
        <x:v>1.5366325378417969</x:v>
      </x:c>
      <x:c r="J566" s="40" t="n">
        <x:f>H566^2</x:f>
        <x:v>2.3612395563541213</x:v>
      </x:c>
      <x:c r="K566" s="40" t="n">
        <x:f>G566-E566</x:f>
        <x:v>0</x:v>
      </x:c>
      <x:c r="L566" s="40" t="n">
        <x:f>ABS(K566)</x:f>
        <x:v>0</x:v>
      </x:c>
      <x:c r="M566" s="41" t="str">
        <x:v>lstm-soil-v1</x:v>
      </x:c>
    </x:row>
    <x:row r="567">
      <x:c r="A567" s="38" t="str">
        <x:v>7月30日现场数据</x:v>
      </x:c>
      <x:c r="B567" s="39" t="str">
        <x:v>2026-08-01T01:15:00</x:v>
      </x:c>
      <x:c r="C567" s="39" t="str">
        <x:v>2026-08-01T02:15:00</x:v>
      </x:c>
      <x:c r="D567" s="47" t="n">
        <x:v>60</x:v>
      </x:c>
      <x:c r="E567" s="40" t="n">
        <x:v>12</x:v>
      </x:c>
      <x:c r="F567" s="40" t="n">
        <x:v>12.045501708984375</x:v>
      </x:c>
      <x:c r="G567" s="40" t="n">
        <x:v>12</x:v>
      </x:c>
      <x:c r="H567" s="40" t="n">
        <x:f>F567-E567</x:f>
        <x:v>0.045501708984375</x:v>
      </x:c>
      <x:c r="I567" s="40" t="n">
        <x:f>ABS(H567)</x:f>
        <x:v>0.045501708984375</x:v>
      </x:c>
      <x:c r="J567" s="40" t="n">
        <x:f>H567^2</x:f>
        <x:v>0.0020704055204987526</x:v>
      </x:c>
      <x:c r="K567" s="40" t="n">
        <x:f>G567-E567</x:f>
        <x:v>0</x:v>
      </x:c>
      <x:c r="L567" s="40" t="n">
        <x:f>ABS(K567)</x:f>
        <x:v>0</x:v>
      </x:c>
      <x:c r="M567" s="41" t="str">
        <x:v>lstm-soil-v1</x:v>
      </x:c>
    </x:row>
    <x:row r="568">
      <x:c r="A568" s="38" t="str">
        <x:v>7月30日现场数据</x:v>
      </x:c>
      <x:c r="B568" s="39" t="str">
        <x:v>2026-08-01T01:20:00</x:v>
      </x:c>
      <x:c r="C568" s="39" t="str">
        <x:v>2026-08-01T01:25:00</x:v>
      </x:c>
      <x:c r="D568" s="47" t="n">
        <x:v>5</x:v>
      </x:c>
      <x:c r="E568" s="40" t="n">
        <x:v>12</x:v>
      </x:c>
      <x:c r="F568" s="40" t="n">
        <x:v>9.91961669921875</x:v>
      </x:c>
      <x:c r="G568" s="40" t="n">
        <x:v>12</x:v>
      </x:c>
      <x:c r="H568" s="40" t="n">
        <x:f>F568-E568</x:f>
        <x:v>-2.08038330078125</x:v>
      </x:c>
      <x:c r="I568" s="40" t="n">
        <x:f>ABS(H568)</x:f>
        <x:v>2.08038330078125</x:v>
      </x:c>
      <x:c r="J568" s="40" t="n">
        <x:f>H568^2</x:f>
        <x:v>4.327994678169489</x:v>
      </x:c>
      <x:c r="K568" s="40" t="n">
        <x:f>G568-E568</x:f>
        <x:v>0</x:v>
      </x:c>
      <x:c r="L568" s="40" t="n">
        <x:f>ABS(K568)</x:f>
        <x:v>0</x:v>
      </x:c>
      <x:c r="M568" s="41" t="str">
        <x:v>lstm-soil-v1</x:v>
      </x:c>
    </x:row>
    <x:row r="569">
      <x:c r="A569" s="38" t="str">
        <x:v>7月30日现场数据</x:v>
      </x:c>
      <x:c r="B569" s="39" t="str">
        <x:v>2026-08-01T01:20:00</x:v>
      </x:c>
      <x:c r="C569" s="39" t="str">
        <x:v>2026-08-01T01:35:00</x:v>
      </x:c>
      <x:c r="D569" s="47" t="n">
        <x:v>15</x:v>
      </x:c>
      <x:c r="E569" s="40" t="n">
        <x:v>12</x:v>
      </x:c>
      <x:c r="F569" s="40" t="n">
        <x:v>9.976753234863281</x:v>
      </x:c>
      <x:c r="G569" s="40" t="n">
        <x:v>12</x:v>
      </x:c>
      <x:c r="H569" s="40" t="n">
        <x:f>F569-E569</x:f>
        <x:v>-2.0232467651367188</x:v>
      </x:c>
      <x:c r="I569" s="40" t="n">
        <x:f>ABS(H569)</x:f>
        <x:v>2.0232467651367188</x:v>
      </x:c>
      <x:c r="J569" s="40" t="n">
        <x:f>H569^2</x:f>
        <x:v>4.093527472636197</x:v>
      </x:c>
      <x:c r="K569" s="40" t="n">
        <x:f>G569-E569</x:f>
        <x:v>0</x:v>
      </x:c>
      <x:c r="L569" s="40" t="n">
        <x:f>ABS(K569)</x:f>
        <x:v>0</x:v>
      </x:c>
      <x:c r="M569" s="41" t="str">
        <x:v>lstm-soil-v1</x:v>
      </x:c>
    </x:row>
    <x:row r="570">
      <x:c r="A570" s="38" t="str">
        <x:v>7月30日现场数据</x:v>
      </x:c>
      <x:c r="B570" s="39" t="str">
        <x:v>2026-08-01T01:20:00</x:v>
      </x:c>
      <x:c r="C570" s="39" t="str">
        <x:v>2026-08-01T01:50:00</x:v>
      </x:c>
      <x:c r="D570" s="47" t="n">
        <x:v>30</x:v>
      </x:c>
      <x:c r="E570" s="40" t="n">
        <x:v>12</x:v>
      </x:c>
      <x:c r="F570" s="40" t="n">
        <x:v>10.464221954345703</x:v>
      </x:c>
      <x:c r="G570" s="40" t="n">
        <x:v>12</x:v>
      </x:c>
      <x:c r="H570" s="40" t="n">
        <x:f>F570-E570</x:f>
        <x:v>-1.5357780456542969</x:v>
      </x:c>
      <x:c r="I570" s="40" t="n">
        <x:f>ABS(H570)</x:f>
        <x:v>1.5357780456542969</x:v>
      </x:c>
      <x:c r="J570" s="40" t="n">
        <x:f>H570^2</x:f>
        <x:v>2.3586142055137316</x:v>
      </x:c>
      <x:c r="K570" s="40" t="n">
        <x:f>G570-E570</x:f>
        <x:v>0</x:v>
      </x:c>
      <x:c r="L570" s="40" t="n">
        <x:f>ABS(K570)</x:f>
        <x:v>0</x:v>
      </x:c>
      <x:c r="M570" s="41" t="str">
        <x:v>lstm-soil-v1</x:v>
      </x:c>
    </x:row>
    <x:row r="571">
      <x:c r="A571" s="38" t="str">
        <x:v>7月30日现场数据</x:v>
      </x:c>
      <x:c r="B571" s="39" t="str">
        <x:v>2026-08-01T01:20:00</x:v>
      </x:c>
      <x:c r="C571" s="39" t="str">
        <x:v>2026-08-01T02:20:00</x:v>
      </x:c>
      <x:c r="D571" s="47" t="n">
        <x:v>60</x:v>
      </x:c>
      <x:c r="E571" s="40" t="n">
        <x:v>12</x:v>
      </x:c>
      <x:c r="F571" s="40" t="n">
        <x:v>12.045722961425781</x:v>
      </x:c>
      <x:c r="G571" s="40" t="n">
        <x:v>12</x:v>
      </x:c>
      <x:c r="H571" s="40" t="n">
        <x:f>F571-E571</x:f>
        <x:v>0.04572296142578125</x:v>
      </x:c>
      <x:c r="I571" s="40" t="n">
        <x:f>ABS(H571)</x:f>
        <x:v>0.04572296142578125</x:v>
      </x:c>
      <x:c r="J571" s="40" t="n">
        <x:f>H571^2</x:f>
        <x:v>0.00209058920154348</x:v>
      </x:c>
      <x:c r="K571" s="40" t="n">
        <x:f>G571-E571</x:f>
        <x:v>0</x:v>
      </x:c>
      <x:c r="L571" s="40" t="n">
        <x:f>ABS(K571)</x:f>
        <x:v>0</x:v>
      </x:c>
      <x:c r="M571" s="41" t="str">
        <x:v>lstm-soil-v1</x:v>
      </x:c>
    </x:row>
    <x:row r="572">
      <x:c r="A572" s="38" t="str">
        <x:v>7月30日现场数据</x:v>
      </x:c>
      <x:c r="B572" s="39" t="str">
        <x:v>2026-08-01T01:25:00</x:v>
      </x:c>
      <x:c r="C572" s="39" t="str">
        <x:v>2026-08-01T01:30:00</x:v>
      </x:c>
      <x:c r="D572" s="47" t="n">
        <x:v>5</x:v>
      </x:c>
      <x:c r="E572" s="40" t="n">
        <x:v>12</x:v>
      </x:c>
      <x:c r="F572" s="40" t="n">
        <x:v>9.919551849365234</x:v>
      </x:c>
      <x:c r="G572" s="40" t="n">
        <x:v>12</x:v>
      </x:c>
      <x:c r="H572" s="40" t="n">
        <x:f>F572-E572</x:f>
        <x:v>-2.0804481506347656</x:v>
      </x:c>
      <x:c r="I572" s="40" t="n">
        <x:f>ABS(H572)</x:f>
        <x:v>2.0804481506347656</x:v>
      </x:c>
      <x:c r="J572" s="40" t="n">
        <x:f>H572^2</x:f>
        <x:v>4.328264507479616</x:v>
      </x:c>
      <x:c r="K572" s="40" t="n">
        <x:f>G572-E572</x:f>
        <x:v>0</x:v>
      </x:c>
      <x:c r="L572" s="40" t="n">
        <x:f>ABS(K572)</x:f>
        <x:v>0</x:v>
      </x:c>
      <x:c r="M572" s="41" t="str">
        <x:v>lstm-soil-v1</x:v>
      </x:c>
    </x:row>
    <x:row r="573">
      <x:c r="A573" s="38" t="str">
        <x:v>7月30日现场数据</x:v>
      </x:c>
      <x:c r="B573" s="39" t="str">
        <x:v>2026-08-01T01:25:00</x:v>
      </x:c>
      <x:c r="C573" s="39" t="str">
        <x:v>2026-08-01T01:40:00</x:v>
      </x:c>
      <x:c r="D573" s="47" t="n">
        <x:v>15</x:v>
      </x:c>
      <x:c r="E573" s="40" t="n">
        <x:v>12</x:v>
      </x:c>
      <x:c r="F573" s="40" t="n">
        <x:v>9.976306915283203</x:v>
      </x:c>
      <x:c r="G573" s="40" t="n">
        <x:v>12</x:v>
      </x:c>
      <x:c r="H573" s="40" t="n">
        <x:f>F573-E573</x:f>
        <x:v>-2.023693084716797</x:v>
      </x:c>
      <x:c r="I573" s="40" t="n">
        <x:f>ABS(H573)</x:f>
        <x:v>2.023693084716797</x:v>
      </x:c>
      <x:c r="J573" s="40" t="n">
        <x:f>H573^2</x:f>
        <x:v>4.095333701130585</x:v>
      </x:c>
      <x:c r="K573" s="40" t="n">
        <x:f>G573-E573</x:f>
        <x:v>0</x:v>
      </x:c>
      <x:c r="L573" s="40" t="n">
        <x:f>ABS(K573)</x:f>
        <x:v>0</x:v>
      </x:c>
      <x:c r="M573" s="41" t="str">
        <x:v>lstm-soil-v1</x:v>
      </x:c>
    </x:row>
    <x:row r="574">
      <x:c r="A574" s="38" t="str">
        <x:v>7月30日现场数据</x:v>
      </x:c>
      <x:c r="B574" s="39" t="str">
        <x:v>2026-08-01T01:25:00</x:v>
      </x:c>
      <x:c r="C574" s="39" t="str">
        <x:v>2026-08-01T01:55:00</x:v>
      </x:c>
      <x:c r="D574" s="47" t="n">
        <x:v>30</x:v>
      </x:c>
      <x:c r="E574" s="40" t="n">
        <x:v>12</x:v>
      </x:c>
      <x:c r="F574" s="40" t="n">
        <x:v>10.465030670166016</x:v>
      </x:c>
      <x:c r="G574" s="40" t="n">
        <x:v>12</x:v>
      </x:c>
      <x:c r="H574" s="40" t="n">
        <x:f>F574-E574</x:f>
        <x:v>-1.5349693298339844</x:v>
      </x:c>
      <x:c r="I574" s="40" t="n">
        <x:f>ABS(H574)</x:f>
        <x:v>1.5349693298339844</x:v>
      </x:c>
      <x:c r="J574" s="40" t="n">
        <x:f>H574^2</x:f>
        <x:v>2.356130843530991</x:v>
      </x:c>
      <x:c r="K574" s="40" t="n">
        <x:f>G574-E574</x:f>
        <x:v>0</x:v>
      </x:c>
      <x:c r="L574" s="40" t="n">
        <x:f>ABS(K574)</x:f>
        <x:v>0</x:v>
      </x:c>
      <x:c r="M574" s="41" t="str">
        <x:v>lstm-soil-v1</x:v>
      </x:c>
    </x:row>
    <x:row r="575">
      <x:c r="A575" s="38" t="str">
        <x:v>7月30日现场数据</x:v>
      </x:c>
      <x:c r="B575" s="39" t="str">
        <x:v>2026-08-01T01:25:00</x:v>
      </x:c>
      <x:c r="C575" s="39" t="str">
        <x:v>2026-08-01T02:25:00</x:v>
      </x:c>
      <x:c r="D575" s="47" t="n">
        <x:v>60</x:v>
      </x:c>
      <x:c r="E575" s="40" t="n">
        <x:v>12</x:v>
      </x:c>
      <x:c r="F575" s="40" t="n">
        <x:v>12.046260833740234</x:v>
      </x:c>
      <x:c r="G575" s="40" t="n">
        <x:v>12</x:v>
      </x:c>
      <x:c r="H575" s="40" t="n">
        <x:f>F575-E575</x:f>
        <x:v>0.046260833740234375</x:v>
      </x:c>
      <x:c r="I575" s="40" t="n">
        <x:f>ABS(H575)</x:f>
        <x:v>0.046260833740234375</x:v>
      </x:c>
      <x:c r="J575" s="40" t="n">
        <x:f>H575^2</x:f>
        <x:v>0.002140064738341607</x:v>
      </x:c>
      <x:c r="K575" s="40" t="n">
        <x:f>G575-E575</x:f>
        <x:v>0</x:v>
      </x:c>
      <x:c r="L575" s="40" t="n">
        <x:f>ABS(K575)</x:f>
        <x:v>0</x:v>
      </x:c>
      <x:c r="M575" s="41" t="str">
        <x:v>lstm-soil-v1</x:v>
      </x:c>
    </x:row>
    <x:row r="576">
      <x:c r="A576" s="38" t="str">
        <x:v>7月30日现场数据</x:v>
      </x:c>
      <x:c r="B576" s="39" t="str">
        <x:v>2026-08-01T01:30:00</x:v>
      </x:c>
      <x:c r="C576" s="39" t="str">
        <x:v>2026-08-01T01:35:00</x:v>
      </x:c>
      <x:c r="D576" s="47" t="n">
        <x:v>5</x:v>
      </x:c>
      <x:c r="E576" s="40" t="n">
        <x:v>12</x:v>
      </x:c>
      <x:c r="F576" s="40" t="n">
        <x:v>9.919628143310547</x:v>
      </x:c>
      <x:c r="G576" s="40" t="n">
        <x:v>12</x:v>
      </x:c>
      <x:c r="H576" s="40" t="n">
        <x:f>F576-E576</x:f>
        <x:v>-2.080371856689453</x:v>
      </x:c>
      <x:c r="I576" s="40" t="n">
        <x:f>ABS(H576)</x:f>
        <x:v>2.080371856689453</x:v>
      </x:c>
      <x:c r="J576" s="40" t="n">
        <x:f>H576^2</x:f>
        <x:v>4.3279470621055225</x:v>
      </x:c>
      <x:c r="K576" s="40" t="n">
        <x:f>G576-E576</x:f>
        <x:v>0</x:v>
      </x:c>
      <x:c r="L576" s="40" t="n">
        <x:f>ABS(K576)</x:f>
        <x:v>0</x:v>
      </x:c>
      <x:c r="M576" s="41" t="str">
        <x:v>lstm-soil-v1</x:v>
      </x:c>
    </x:row>
    <x:row r="577">
      <x:c r="A577" s="38" t="str">
        <x:v>7月30日现场数据</x:v>
      </x:c>
      <x:c r="B577" s="39" t="str">
        <x:v>2026-08-01T01:30:00</x:v>
      </x:c>
      <x:c r="C577" s="39" t="str">
        <x:v>2026-08-01T01:45:00</x:v>
      </x:c>
      <x:c r="D577" s="47" t="n">
        <x:v>15</x:v>
      </x:c>
      <x:c r="E577" s="40" t="n">
        <x:v>12</x:v>
      </x:c>
      <x:c r="F577" s="40" t="n">
        <x:v>9.97601318359375</x:v>
      </x:c>
      <x:c r="G577" s="40" t="n">
        <x:v>12</x:v>
      </x:c>
      <x:c r="H577" s="40" t="n">
        <x:f>F577-E577</x:f>
        <x:v>-2.02398681640625</x:v>
      </x:c>
      <x:c r="I577" s="40" t="n">
        <x:f>ABS(H577)</x:f>
        <x:v>2.02398681640625</x:v>
      </x:c>
      <x:c r="J577" s="40" t="n">
        <x:f>H577^2</x:f>
        <x:v>4.096522632986307</x:v>
      </x:c>
      <x:c r="K577" s="40" t="n">
        <x:f>G577-E577</x:f>
        <x:v>0</x:v>
      </x:c>
      <x:c r="L577" s="40" t="n">
        <x:f>ABS(K577)</x:f>
        <x:v>0</x:v>
      </x:c>
      <x:c r="M577" s="41" t="str">
        <x:v>lstm-soil-v1</x:v>
      </x:c>
    </x:row>
    <x:row r="578">
      <x:c r="A578" s="38" t="str">
        <x:v>7月30日现场数据</x:v>
      </x:c>
      <x:c r="B578" s="39" t="str">
        <x:v>2026-08-01T01:30:00</x:v>
      </x:c>
      <x:c r="C578" s="39" t="str">
        <x:v>2026-08-01T02:00:00</x:v>
      </x:c>
      <x:c r="D578" s="47" t="n">
        <x:v>30</x:v>
      </x:c>
      <x:c r="E578" s="40" t="n">
        <x:v>12</x:v>
      </x:c>
      <x:c r="F578" s="40" t="n">
        <x:v>10.465755462646484</x:v>
      </x:c>
      <x:c r="G578" s="40" t="n">
        <x:v>12</x:v>
      </x:c>
      <x:c r="H578" s="40" t="n">
        <x:f>F578-E578</x:f>
        <x:v>-1.5342445373535156</x:v>
      </x:c>
      <x:c r="I578" s="40" t="n">
        <x:f>ABS(H578)</x:f>
        <x:v>1.5342445373535156</x:v>
      </x:c>
      <x:c r="J578" s="40" t="n">
        <x:f>H578^2</x:f>
        <x:v>2.353906300399103</x:v>
      </x:c>
      <x:c r="K578" s="40" t="n">
        <x:f>G578-E578</x:f>
        <x:v>0</x:v>
      </x:c>
      <x:c r="L578" s="40" t="n">
        <x:f>ABS(K578)</x:f>
        <x:v>0</x:v>
      </x:c>
      <x:c r="M578" s="41" t="str">
        <x:v>lstm-soil-v1</x:v>
      </x:c>
    </x:row>
    <x:row r="579">
      <x:c r="A579" s="38" t="str">
        <x:v>7月30日现场数据</x:v>
      </x:c>
      <x:c r="B579" s="39" t="str">
        <x:v>2026-08-01T01:30:00</x:v>
      </x:c>
      <x:c r="C579" s="39" t="str">
        <x:v>2026-08-01T02:30:00</x:v>
      </x:c>
      <x:c r="D579" s="47" t="n">
        <x:v>60</x:v>
      </x:c>
      <x:c r="E579" s="40" t="n">
        <x:v>12</x:v>
      </x:c>
      <x:c r="F579" s="40" t="n">
        <x:v>12.046897888183594</x:v>
      </x:c>
      <x:c r="G579" s="40" t="n">
        <x:v>12</x:v>
      </x:c>
      <x:c r="H579" s="40" t="n">
        <x:f>F579-E579</x:f>
        <x:v>0.04689788818359375</x:v>
      </x:c>
      <x:c r="I579" s="40" t="n">
        <x:f>ABS(H579)</x:f>
        <x:v>0.04689788818359375</x:v>
      </x:c>
      <x:c r="J579" s="40" t="n">
        <x:f>H579^2</x:f>
        <x:v>0.0021994119160808623</x:v>
      </x:c>
      <x:c r="K579" s="40" t="n">
        <x:f>G579-E579</x:f>
        <x:v>0</x:v>
      </x:c>
      <x:c r="L579" s="40" t="n">
        <x:f>ABS(K579)</x:f>
        <x:v>0</x:v>
      </x:c>
      <x:c r="M579" s="41" t="str">
        <x:v>lstm-soil-v1</x:v>
      </x:c>
    </x:row>
    <x:row r="580">
      <x:c r="A580" s="38" t="str">
        <x:v>7月30日现场数据</x:v>
      </x:c>
      <x:c r="B580" s="39" t="str">
        <x:v>2026-08-01T01:35:00</x:v>
      </x:c>
      <x:c r="C580" s="39" t="str">
        <x:v>2026-08-01T01:40:00</x:v>
      </x:c>
      <x:c r="D580" s="47" t="n">
        <x:v>5</x:v>
      </x:c>
      <x:c r="E580" s="40" t="n">
        <x:v>12</x:v>
      </x:c>
      <x:c r="F580" s="40" t="n">
        <x:v>9.91989517211914</x:v>
      </x:c>
      <x:c r="G580" s="40" t="n">
        <x:v>12</x:v>
      </x:c>
      <x:c r="H580" s="40" t="n">
        <x:f>F580-E580</x:f>
        <x:v>-2.0801048278808594</x:v>
      </x:c>
      <x:c r="I580" s="40" t="n">
        <x:f>ABS(H580)</x:f>
        <x:v>2.0801048278808594</x:v>
      </x:c>
      <x:c r="J580" s="40" t="n">
        <x:f>H580^2</x:f>
        <x:v>4.32683609497326</x:v>
      </x:c>
      <x:c r="K580" s="40" t="n">
        <x:f>G580-E580</x:f>
        <x:v>0</x:v>
      </x:c>
      <x:c r="L580" s="40" t="n">
        <x:f>ABS(K580)</x:f>
        <x:v>0</x:v>
      </x:c>
      <x:c r="M580" s="41" t="str">
        <x:v>lstm-soil-v1</x:v>
      </x:c>
    </x:row>
    <x:row r="581">
      <x:c r="A581" s="38" t="str">
        <x:v>7月30日现场数据</x:v>
      </x:c>
      <x:c r="B581" s="39" t="str">
        <x:v>2026-08-01T01:35:00</x:v>
      </x:c>
      <x:c r="C581" s="39" t="str">
        <x:v>2026-08-01T01:50:00</x:v>
      </x:c>
      <x:c r="D581" s="47" t="n">
        <x:v>15</x:v>
      </x:c>
      <x:c r="E581" s="40" t="n">
        <x:v>12</x:v>
      </x:c>
      <x:c r="F581" s="40" t="n">
        <x:v>9.976055145263672</x:v>
      </x:c>
      <x:c r="G581" s="40" t="n">
        <x:v>12</x:v>
      </x:c>
      <x:c r="H581" s="40" t="n">
        <x:f>F581-E581</x:f>
        <x:v>-2.023944854736328</x:v>
      </x:c>
      <x:c r="I581" s="40" t="n">
        <x:f>ABS(H581)</x:f>
        <x:v>2.023944854736328</x:v>
      </x:c>
      <x:c r="J581" s="40" t="n">
        <x:f>H581^2</x:f>
        <x:v>4.096352775013656</x:v>
      </x:c>
      <x:c r="K581" s="40" t="n">
        <x:f>G581-E581</x:f>
        <x:v>0</x:v>
      </x:c>
      <x:c r="L581" s="40" t="n">
        <x:f>ABS(K581)</x:f>
        <x:v>0</x:v>
      </x:c>
      <x:c r="M581" s="41" t="str">
        <x:v>lstm-soil-v1</x:v>
      </x:c>
    </x:row>
    <x:row r="582">
      <x:c r="A582" s="38" t="str">
        <x:v>7月30日现场数据</x:v>
      </x:c>
      <x:c r="B582" s="39" t="str">
        <x:v>2026-08-01T01:35:00</x:v>
      </x:c>
      <x:c r="C582" s="39" t="str">
        <x:v>2026-08-01T02:05:00</x:v>
      </x:c>
      <x:c r="D582" s="47" t="n">
        <x:v>30</x:v>
      </x:c>
      <x:c r="E582" s="40" t="n">
        <x:v>12</x:v>
      </x:c>
      <x:c r="F582" s="40" t="n">
        <x:v>10.46670150756836</x:v>
      </x:c>
      <x:c r="G582" s="40" t="n">
        <x:v>12</x:v>
      </x:c>
      <x:c r="H582" s="40" t="n">
        <x:f>F582-E582</x:f>
        <x:v>-1.5332984924316406</x:v>
      </x:c>
      <x:c r="I582" s="40" t="n">
        <x:f>ABS(H582)</x:f>
        <x:v>1.5332984924316406</x:v>
      </x:c>
      <x:c r="J582" s="40" t="n">
        <x:f>H582^2</x:f>
        <x:v>2.351004266893142</x:v>
      </x:c>
      <x:c r="K582" s="40" t="n">
        <x:f>G582-E582</x:f>
        <x:v>0</x:v>
      </x:c>
      <x:c r="L582" s="40" t="n">
        <x:f>ABS(K582)</x:f>
        <x:v>0</x:v>
      </x:c>
      <x:c r="M582" s="41" t="str">
        <x:v>lstm-soil-v1</x:v>
      </x:c>
    </x:row>
    <x:row r="583">
      <x:c r="A583" s="38" t="str">
        <x:v>7月30日现场数据</x:v>
      </x:c>
      <x:c r="B583" s="39" t="str">
        <x:v>2026-08-01T01:35:00</x:v>
      </x:c>
      <x:c r="C583" s="39" t="str">
        <x:v>2026-08-01T02:35:00</x:v>
      </x:c>
      <x:c r="D583" s="47" t="n">
        <x:v>60</x:v>
      </x:c>
      <x:c r="E583" s="40" t="n">
        <x:v>12</x:v>
      </x:c>
      <x:c r="F583" s="40" t="n">
        <x:v>12.048084259033203</x:v>
      </x:c>
      <x:c r="G583" s="40" t="n">
        <x:v>12</x:v>
      </x:c>
      <x:c r="H583" s="40" t="n">
        <x:f>F583-E583</x:f>
        <x:v>0.048084259033203125</x:v>
      </x:c>
      <x:c r="I583" s="40" t="n">
        <x:f>ABS(H583)</x:f>
        <x:v>0.048084259033203125</x:v>
      </x:c>
      <x:c r="J583" s="40" t="n">
        <x:f>H583^2</x:f>
        <x:v>0.0023120959667721763</x:v>
      </x:c>
      <x:c r="K583" s="40" t="n">
        <x:f>G583-E583</x:f>
        <x:v>0</x:v>
      </x:c>
      <x:c r="L583" s="40" t="n">
        <x:f>ABS(K583)</x:f>
        <x:v>0</x:v>
      </x:c>
      <x:c r="M583" s="41" t="str">
        <x:v>lstm-soil-v1</x:v>
      </x:c>
    </x:row>
    <x:row r="584">
      <x:c r="A584" s="38" t="str">
        <x:v>7月30日现场数据</x:v>
      </x:c>
      <x:c r="B584" s="39" t="str">
        <x:v>2026-08-01T01:40:00</x:v>
      </x:c>
      <x:c r="C584" s="39" t="str">
        <x:v>2026-08-01T01:45:00</x:v>
      </x:c>
      <x:c r="D584" s="47" t="n">
        <x:v>5</x:v>
      </x:c>
      <x:c r="E584" s="40" t="n">
        <x:v>12</x:v>
      </x:c>
      <x:c r="F584" s="40" t="n">
        <x:v>9.919715881347656</x:v>
      </x:c>
      <x:c r="G584" s="40" t="n">
        <x:v>12</x:v>
      </x:c>
      <x:c r="H584" s="40" t="n">
        <x:f>F584-E584</x:f>
        <x:v>-2.0802841186523438</x:v>
      </x:c>
      <x:c r="I584" s="40" t="n">
        <x:f>ABS(H584)</x:f>
        <x:v>2.0802841186523438</x:v>
      </x:c>
      <x:c r="J584" s="40" t="n">
        <x:f>H584^2</x:f>
        <x:v>4.327582014317159</x:v>
      </x:c>
      <x:c r="K584" s="40" t="n">
        <x:f>G584-E584</x:f>
        <x:v>0</x:v>
      </x:c>
      <x:c r="L584" s="40" t="n">
        <x:f>ABS(K584)</x:f>
        <x:v>0</x:v>
      </x:c>
      <x:c r="M584" s="41" t="str">
        <x:v>lstm-soil-v1</x:v>
      </x:c>
    </x:row>
    <x:row r="585">
      <x:c r="A585" s="38" t="str">
        <x:v>7月30日现场数据</x:v>
      </x:c>
      <x:c r="B585" s="39" t="str">
        <x:v>2026-08-01T01:40:00</x:v>
      </x:c>
      <x:c r="C585" s="39" t="str">
        <x:v>2026-08-01T01:55:00</x:v>
      </x:c>
      <x:c r="D585" s="47" t="n">
        <x:v>15</x:v>
      </x:c>
      <x:c r="E585" s="40" t="n">
        <x:v>12</x:v>
      </x:c>
      <x:c r="F585" s="40" t="n">
        <x:v>9.976028442382812</x:v>
      </x:c>
      <x:c r="G585" s="40" t="n">
        <x:v>12</x:v>
      </x:c>
      <x:c r="H585" s="40" t="n">
        <x:f>F585-E585</x:f>
        <x:v>-2.0239715576171875</x:v>
      </x:c>
      <x:c r="I585" s="40" t="n">
        <x:f>ABS(H585)</x:f>
        <x:v>2.0239715576171875</x:v>
      </x:c>
      <x:c r="J585" s="40" t="n">
        <x:f>H585^2</x:f>
        <x:v>4.096460866043344</x:v>
      </x:c>
      <x:c r="K585" s="40" t="n">
        <x:f>G585-E585</x:f>
        <x:v>0</x:v>
      </x:c>
      <x:c r="L585" s="40" t="n">
        <x:f>ABS(K585)</x:f>
        <x:v>0</x:v>
      </x:c>
      <x:c r="M585" s="41" t="str">
        <x:v>lstm-soil-v1</x:v>
      </x:c>
    </x:row>
    <x:row r="586">
      <x:c r="A586" s="38" t="str">
        <x:v>7月30日现场数据</x:v>
      </x:c>
      <x:c r="B586" s="39" t="str">
        <x:v>2026-08-01T01:40:00</x:v>
      </x:c>
      <x:c r="C586" s="39" t="str">
        <x:v>2026-08-01T02:10:00</x:v>
      </x:c>
      <x:c r="D586" s="47" t="n">
        <x:v>30</x:v>
      </x:c>
      <x:c r="E586" s="40" t="n">
        <x:v>12</x:v>
      </x:c>
      <x:c r="F586" s="40" t="n">
        <x:v>10.466632843017578</x:v>
      </x:c>
      <x:c r="G586" s="40" t="n">
        <x:v>12</x:v>
      </x:c>
      <x:c r="H586" s="40" t="n">
        <x:f>F586-E586</x:f>
        <x:v>-1.5333671569824219</x:v>
      </x:c>
      <x:c r="I586" s="40" t="n">
        <x:f>ABS(H586)</x:f>
        <x:v>1.5333671569824219</x:v>
      </x:c>
      <x:c r="J586" s="40" t="n">
        <x:f>H586^2</x:f>
        <x:v>2.351214838112355</x:v>
      </x:c>
      <x:c r="K586" s="40" t="n">
        <x:f>G586-E586</x:f>
        <x:v>0</x:v>
      </x:c>
      <x:c r="L586" s="40" t="n">
        <x:f>ABS(K586)</x:f>
        <x:v>0</x:v>
      </x:c>
      <x:c r="M586" s="41" t="str">
        <x:v>lstm-soil-v1</x:v>
      </x:c>
    </x:row>
    <x:row r="587">
      <x:c r="A587" s="38" t="str">
        <x:v>7月30日现场数据</x:v>
      </x:c>
      <x:c r="B587" s="39" t="str">
        <x:v>2026-08-01T01:40:00</x:v>
      </x:c>
      <x:c r="C587" s="39" t="str">
        <x:v>2026-08-01T02:40:00</x:v>
      </x:c>
      <x:c r="D587" s="47" t="n">
        <x:v>60</x:v>
      </x:c>
      <x:c r="E587" s="40" t="n">
        <x:v>12</x:v>
      </x:c>
      <x:c r="F587" s="40" t="n">
        <x:v>12.04764175415039</x:v>
      </x:c>
      <x:c r="G587" s="40" t="n">
        <x:v>12</x:v>
      </x:c>
      <x:c r="H587" s="40" t="n">
        <x:f>F587-E587</x:f>
        <x:v>0.047641754150390625</x:v>
      </x:c>
      <x:c r="I587" s="40" t="n">
        <x:f>ABS(H587)</x:f>
        <x:v>0.047641754150390625</x:v>
      </x:c>
      <x:c r="J587" s="40" t="n">
        <x:f>H587^2</x:f>
        <x:v>0.0022697367385262623</x:v>
      </x:c>
      <x:c r="K587" s="40" t="n">
        <x:f>G587-E587</x:f>
        <x:v>0</x:v>
      </x:c>
      <x:c r="L587" s="40" t="n">
        <x:f>ABS(K587)</x:f>
        <x:v>0</x:v>
      </x:c>
      <x:c r="M587" s="41" t="str">
        <x:v>lstm-soil-v1</x:v>
      </x:c>
    </x:row>
    <x:row r="588">
      <x:c r="A588" s="38" t="str">
        <x:v>7月30日现场数据</x:v>
      </x:c>
      <x:c r="B588" s="39" t="str">
        <x:v>2026-08-01T01:45:00</x:v>
      </x:c>
      <x:c r="C588" s="39" t="str">
        <x:v>2026-08-01T01:50:00</x:v>
      </x:c>
      <x:c r="D588" s="47" t="n">
        <x:v>5</x:v>
      </x:c>
      <x:c r="E588" s="40" t="n">
        <x:v>12</x:v>
      </x:c>
      <x:c r="F588" s="40" t="n">
        <x:v>9.9207763671875</x:v>
      </x:c>
      <x:c r="G588" s="40" t="n">
        <x:v>12</x:v>
      </x:c>
      <x:c r="H588" s="40" t="n">
        <x:f>F588-E588</x:f>
        <x:v>-2.0792236328125</x:v>
      </x:c>
      <x:c r="I588" s="40" t="n">
        <x:f>ABS(H588)</x:f>
        <x:v>2.0792236328125</x:v>
      </x:c>
      <x:c r="J588" s="40" t="n">
        <x:f>H588^2</x:f>
        <x:v>4.32317091524601</x:v>
      </x:c>
      <x:c r="K588" s="40" t="n">
        <x:f>G588-E588</x:f>
        <x:v>0</x:v>
      </x:c>
      <x:c r="L588" s="40" t="n">
        <x:f>ABS(K588)</x:f>
        <x:v>0</x:v>
      </x:c>
      <x:c r="M588" s="41" t="str">
        <x:v>lstm-soil-v1</x:v>
      </x:c>
    </x:row>
    <x:row r="589">
      <x:c r="A589" s="38" t="str">
        <x:v>7月30日现场数据</x:v>
      </x:c>
      <x:c r="B589" s="39" t="str">
        <x:v>2026-08-01T01:45:00</x:v>
      </x:c>
      <x:c r="C589" s="39" t="str">
        <x:v>2026-08-01T02:00:00</x:v>
      </x:c>
      <x:c r="D589" s="47" t="n">
        <x:v>15</x:v>
      </x:c>
      <x:c r="E589" s="40" t="n">
        <x:v>12</x:v>
      </x:c>
      <x:c r="F589" s="40" t="n">
        <x:v>9.977100372314453</x:v>
      </x:c>
      <x:c r="G589" s="40" t="n">
        <x:v>12</x:v>
      </x:c>
      <x:c r="H589" s="40" t="n">
        <x:f>F589-E589</x:f>
        <x:v>-2.022899627685547</x:v>
      </x:c>
      <x:c r="I589" s="40" t="n">
        <x:f>ABS(H589)</x:f>
        <x:v>2.022899627685547</x:v>
      </x:c>
      <x:c r="J589" s="40" t="n">
        <x:f>H589^2</x:f>
        <x:v>4.092122903690324</x:v>
      </x:c>
      <x:c r="K589" s="40" t="n">
        <x:f>G589-E589</x:f>
        <x:v>0</x:v>
      </x:c>
      <x:c r="L589" s="40" t="n">
        <x:f>ABS(K589)</x:f>
        <x:v>0</x:v>
      </x:c>
      <x:c r="M589" s="41" t="str">
        <x:v>lstm-soil-v1</x:v>
      </x:c>
    </x:row>
    <x:row r="590">
      <x:c r="A590" s="38" t="str">
        <x:v>7月30日现场数据</x:v>
      </x:c>
      <x:c r="B590" s="39" t="str">
        <x:v>2026-08-01T01:45:00</x:v>
      </x:c>
      <x:c r="C590" s="39" t="str">
        <x:v>2026-08-01T02:15:00</x:v>
      </x:c>
      <x:c r="D590" s="47" t="n">
        <x:v>30</x:v>
      </x:c>
      <x:c r="E590" s="40" t="n">
        <x:v>12</x:v>
      </x:c>
      <x:c r="F590" s="40" t="n">
        <x:v>10.468692779541016</x:v>
      </x:c>
      <x:c r="G590" s="40" t="n">
        <x:v>12</x:v>
      </x:c>
      <x:c r="H590" s="40" t="n">
        <x:f>F590-E590</x:f>
        <x:v>-1.5313072204589844</x:v>
      </x:c>
      <x:c r="I590" s="40" t="n">
        <x:f>ABS(H590)</x:f>
        <x:v>1.5313072204589844</x:v>
      </x:c>
      <x:c r="J590" s="40" t="n">
        <x:f>H590^2</x:f>
        <x:v>2.3449018034298206</x:v>
      </x:c>
      <x:c r="K590" s="40" t="n">
        <x:f>G590-E590</x:f>
        <x:v>0</x:v>
      </x:c>
      <x:c r="L590" s="40" t="n">
        <x:f>ABS(K590)</x:f>
        <x:v>0</x:v>
      </x:c>
      <x:c r="M590" s="41" t="str">
        <x:v>lstm-soil-v1</x:v>
      </x:c>
    </x:row>
    <x:row r="591">
      <x:c r="A591" s="38" t="str">
        <x:v>7月30日现场数据</x:v>
      </x:c>
      <x:c r="B591" s="39" t="str">
        <x:v>2026-08-01T01:45:00</x:v>
      </x:c>
      <x:c r="C591" s="39" t="str">
        <x:v>2026-08-01T02:45:00</x:v>
      </x:c>
      <x:c r="D591" s="47" t="n">
        <x:v>60</x:v>
      </x:c>
      <x:c r="E591" s="40" t="n">
        <x:v>12</x:v>
      </x:c>
      <x:c r="F591" s="40" t="n">
        <x:v>12.050689697265625</x:v>
      </x:c>
      <x:c r="G591" s="40" t="n">
        <x:v>12</x:v>
      </x:c>
      <x:c r="H591" s="40" t="n">
        <x:f>F591-E591</x:f>
        <x:v>0.050689697265625</x:v>
      </x:c>
      <x:c r="I591" s="40" t="n">
        <x:f>ABS(H591)</x:f>
        <x:v>0.050689697265625</x:v>
      </x:c>
      <x:c r="J591" s="40" t="n">
        <x:f>H591^2</x:f>
        <x:v>0.0025694454088807106</x:v>
      </x:c>
      <x:c r="K591" s="40" t="n">
        <x:f>G591-E591</x:f>
        <x:v>0</x:v>
      </x:c>
      <x:c r="L591" s="40" t="n">
        <x:f>ABS(K591)</x:f>
        <x:v>0</x:v>
      </x:c>
      <x:c r="M591" s="41" t="str">
        <x:v>lstm-soil-v1</x:v>
      </x:c>
    </x:row>
    <x:row r="592">
      <x:c r="A592" s="38" t="str">
        <x:v>7月30日现场数据</x:v>
      </x:c>
      <x:c r="B592" s="39" t="str">
        <x:v>2026-08-01T01:50:00</x:v>
      </x:c>
      <x:c r="C592" s="39" t="str">
        <x:v>2026-08-01T01:55:00</x:v>
      </x:c>
      <x:c r="D592" s="47" t="n">
        <x:v>5</x:v>
      </x:c>
      <x:c r="E592" s="40" t="n">
        <x:v>12</x:v>
      </x:c>
      <x:c r="F592" s="40" t="n">
        <x:v>9.919670104980469</x:v>
      </x:c>
      <x:c r="G592" s="40" t="n">
        <x:v>12</x:v>
      </x:c>
      <x:c r="H592" s="40" t="n">
        <x:f>F592-E592</x:f>
        <x:v>-2.0803298950195312</x:v>
      </x:c>
      <x:c r="I592" s="40" t="n">
        <x:f>ABS(H592)</x:f>
        <x:v>2.0803298950195312</x:v>
      </x:c>
      <x:c r="J592" s="40" t="n">
        <x:f>H592^2</x:f>
        <x:v>4.327772472111974</x:v>
      </x:c>
      <x:c r="K592" s="40" t="n">
        <x:f>G592-E592</x:f>
        <x:v>0</x:v>
      </x:c>
      <x:c r="L592" s="40" t="n">
        <x:f>ABS(K592)</x:f>
        <x:v>0</x:v>
      </x:c>
      <x:c r="M592" s="41" t="str">
        <x:v>lstm-soil-v1</x:v>
      </x:c>
    </x:row>
    <x:row r="593">
      <x:c r="A593" s="38" t="str">
        <x:v>7月30日现场数据</x:v>
      </x:c>
      <x:c r="B593" s="39" t="str">
        <x:v>2026-08-01T01:50:00</x:v>
      </x:c>
      <x:c r="C593" s="39" t="str">
        <x:v>2026-08-01T02:05:00</x:v>
      </x:c>
      <x:c r="D593" s="47" t="n">
        <x:v>15</x:v>
      </x:c>
      <x:c r="E593" s="40" t="n">
        <x:v>12</x:v>
      </x:c>
      <x:c r="F593" s="40" t="n">
        <x:v>9.977397918701172</x:v>
      </x:c>
      <x:c r="G593" s="40" t="n">
        <x:v>12</x:v>
      </x:c>
      <x:c r="H593" s="40" t="n">
        <x:f>F593-E593</x:f>
        <x:v>-2.022602081298828</x:v>
      </x:c>
      <x:c r="I593" s="40" t="n">
        <x:f>ABS(H593)</x:f>
        <x:v>2.022602081298828</x:v>
      </x:c>
      <x:c r="J593" s="40" t="n">
        <x:f>H593^2</x:f>
        <x:v>4.090919179274351</x:v>
      </x:c>
      <x:c r="K593" s="40" t="n">
        <x:f>G593-E593</x:f>
        <x:v>0</x:v>
      </x:c>
      <x:c r="L593" s="40" t="n">
        <x:f>ABS(K593)</x:f>
        <x:v>0</x:v>
      </x:c>
      <x:c r="M593" s="41" t="str">
        <x:v>lstm-soil-v1</x:v>
      </x:c>
    </x:row>
    <x:row r="594">
      <x:c r="A594" s="38" t="str">
        <x:v>7月30日现场数据</x:v>
      </x:c>
      <x:c r="B594" s="39" t="str">
        <x:v>2026-08-01T01:50:00</x:v>
      </x:c>
      <x:c r="C594" s="39" t="str">
        <x:v>2026-08-01T02:20:00</x:v>
      </x:c>
      <x:c r="D594" s="47" t="n">
        <x:v>30</x:v>
      </x:c>
      <x:c r="E594" s="40" t="n">
        <x:v>12</x:v>
      </x:c>
      <x:c r="F594" s="40" t="n">
        <x:v>10.466747283935547</x:v>
      </x:c>
      <x:c r="G594" s="40" t="n">
        <x:v>12</x:v>
      </x:c>
      <x:c r="H594" s="40" t="n">
        <x:f>F594-E594</x:f>
        <x:v>-1.5332527160644531</x:v>
      </x:c>
      <x:c r="I594" s="40" t="n">
        <x:f>ABS(H594)</x:f>
        <x:v>1.5332527160644531</x:v>
      </x:c>
      <x:c r="J594" s="40" t="n">
        <x:f>H594^2</x:f>
        <x:v>2.3508638913190225</x:v>
      </x:c>
      <x:c r="K594" s="40" t="n">
        <x:f>G594-E594</x:f>
        <x:v>0</x:v>
      </x:c>
      <x:c r="L594" s="40" t="n">
        <x:f>ABS(K594)</x:f>
        <x:v>0</x:v>
      </x:c>
      <x:c r="M594" s="41" t="str">
        <x:v>lstm-soil-v1</x:v>
      </x:c>
    </x:row>
    <x:row r="595">
      <x:c r="A595" s="38" t="str">
        <x:v>7月30日现场数据</x:v>
      </x:c>
      <x:c r="B595" s="39" t="str">
        <x:v>2026-08-01T01:50:00</x:v>
      </x:c>
      <x:c r="C595" s="39" t="str">
        <x:v>2026-08-01T02:50:00</x:v>
      </x:c>
      <x:c r="D595" s="47" t="n">
        <x:v>60</x:v>
      </x:c>
      <x:c r="E595" s="40" t="n">
        <x:v>12</x:v>
      </x:c>
      <x:c r="F595" s="40" t="n">
        <x:v>12.047039031982422</x:v>
      </x:c>
      <x:c r="G595" s="40" t="n">
        <x:v>12</x:v>
      </x:c>
      <x:c r="H595" s="40" t="n">
        <x:f>F595-E595</x:f>
        <x:v>0.047039031982421875</x:v>
      </x:c>
      <x:c r="I595" s="40" t="n">
        <x:f>ABS(H595)</x:f>
        <x:v>0.047039031982421875</x:v>
      </x:c>
      <x:c r="J595" s="40" t="n">
        <x:f>H595^2</x:f>
        <x:v>0.002212670529843308</x:v>
      </x:c>
      <x:c r="K595" s="40" t="n">
        <x:f>G595-E595</x:f>
        <x:v>0</x:v>
      </x:c>
      <x:c r="L595" s="40" t="n">
        <x:f>ABS(K595)</x:f>
        <x:v>0</x:v>
      </x:c>
      <x:c r="M595" s="41" t="str">
        <x:v>lstm-soil-v1</x:v>
      </x:c>
    </x:row>
    <x:row r="596">
      <x:c r="A596" s="38" t="str">
        <x:v>7月30日现场数据</x:v>
      </x:c>
      <x:c r="B596" s="39" t="str">
        <x:v>2026-08-01T01:55:00</x:v>
      </x:c>
      <x:c r="C596" s="39" t="str">
        <x:v>2026-08-01T02:00:00</x:v>
      </x:c>
      <x:c r="D596" s="47" t="n">
        <x:v>5</x:v>
      </x:c>
      <x:c r="E596" s="40" t="n">
        <x:v>12</x:v>
      </x:c>
      <x:c r="F596" s="40" t="n">
        <x:v>9.919597625732422</x:v>
      </x:c>
      <x:c r="G596" s="40" t="n">
        <x:v>12</x:v>
      </x:c>
      <x:c r="H596" s="40" t="n">
        <x:f>F596-E596</x:f>
        <x:v>-2.080402374267578</x:v>
      </x:c>
      <x:c r="I596" s="40" t="n">
        <x:f>ABS(H596)</x:f>
        <x:v>2.080402374267578</x:v>
      </x:c>
      <x:c r="J596" s="40" t="n">
        <x:f>H596^2</x:f>
        <x:v>4.328074038858176</x:v>
      </x:c>
      <x:c r="K596" s="40" t="n">
        <x:f>G596-E596</x:f>
        <x:v>0</x:v>
      </x:c>
      <x:c r="L596" s="40" t="n">
        <x:f>ABS(K596)</x:f>
        <x:v>0</x:v>
      </x:c>
      <x:c r="M596" s="41" t="str">
        <x:v>lstm-soil-v1</x:v>
      </x:c>
    </x:row>
    <x:row r="597">
      <x:c r="A597" s="38" t="str">
        <x:v>7月30日现场数据</x:v>
      </x:c>
      <x:c r="B597" s="39" t="str">
        <x:v>2026-08-01T01:55:00</x:v>
      </x:c>
      <x:c r="C597" s="39" t="str">
        <x:v>2026-08-01T02:10:00</x:v>
      </x:c>
      <x:c r="D597" s="47" t="n">
        <x:v>15</x:v>
      </x:c>
      <x:c r="E597" s="40" t="n">
        <x:v>12</x:v>
      </x:c>
      <x:c r="F597" s="40" t="n">
        <x:v>9.9764404296875</x:v>
      </x:c>
      <x:c r="G597" s="40" t="n">
        <x:v>12</x:v>
      </x:c>
      <x:c r="H597" s="40" t="n">
        <x:f>F597-E597</x:f>
        <x:v>-2.0235595703125</x:v>
      </x:c>
      <x:c r="I597" s="40" t="n">
        <x:f>ABS(H597)</x:f>
        <x:v>2.0235595703125</x:v>
      </x:c>
      <x:c r="J597" s="40" t="n">
        <x:f>H597^2</x:f>
        <x:v>4.09479333460331</x:v>
      </x:c>
      <x:c r="K597" s="40" t="n">
        <x:f>G597-E597</x:f>
        <x:v>0</x:v>
      </x:c>
      <x:c r="L597" s="40" t="n">
        <x:f>ABS(K597)</x:f>
        <x:v>0</x:v>
      </x:c>
      <x:c r="M597" s="41" t="str">
        <x:v>lstm-soil-v1</x:v>
      </x:c>
    </x:row>
    <x:row r="598">
      <x:c r="A598" s="38" t="str">
        <x:v>7月30日现场数据</x:v>
      </x:c>
      <x:c r="B598" s="39" t="str">
        <x:v>2026-08-01T01:55:00</x:v>
      </x:c>
      <x:c r="C598" s="39" t="str">
        <x:v>2026-08-01T02:25:00</x:v>
      </x:c>
      <x:c r="D598" s="47" t="n">
        <x:v>30</x:v>
      </x:c>
      <x:c r="E598" s="40" t="n">
        <x:v>12</x:v>
      </x:c>
      <x:c r="F598" s="40" t="n">
        <x:v>10.466205596923828</x:v>
      </x:c>
      <x:c r="G598" s="40" t="n">
        <x:v>12</x:v>
      </x:c>
      <x:c r="H598" s="40" t="n">
        <x:f>F598-E598</x:f>
        <x:v>-1.5337944030761719</x:v>
      </x:c>
      <x:c r="I598" s="40" t="n">
        <x:f>ABS(H598)</x:f>
        <x:v>1.5337944030761719</x:v>
      </x:c>
      <x:c r="J598" s="40" t="n">
        <x:f>H598^2</x:f>
        <x:v>2.3525252709077904</x:v>
      </x:c>
      <x:c r="K598" s="40" t="n">
        <x:f>G598-E598</x:f>
        <x:v>0</x:v>
      </x:c>
      <x:c r="L598" s="40" t="n">
        <x:f>ABS(K598)</x:f>
        <x:v>0</x:v>
      </x:c>
      <x:c r="M598" s="41" t="str">
        <x:v>lstm-soil-v1</x:v>
      </x:c>
    </x:row>
    <x:row r="599">
      <x:c r="A599" s="38" t="str">
        <x:v>7月30日现场数据</x:v>
      </x:c>
      <x:c r="B599" s="39" t="str">
        <x:v>2026-08-01T01:55:00</x:v>
      </x:c>
      <x:c r="C599" s="39" t="str">
        <x:v>2026-08-01T02:55:00</x:v>
      </x:c>
      <x:c r="D599" s="47" t="n">
        <x:v>60</x:v>
      </x:c>
      <x:c r="E599" s="40" t="n">
        <x:v>12</x:v>
      </x:c>
      <x:c r="F599" s="40" t="n">
        <x:v>12.047439575195312</x:v>
      </x:c>
      <x:c r="G599" s="40" t="n">
        <x:v>12</x:v>
      </x:c>
      <x:c r="H599" s="40" t="n">
        <x:f>F599-E599</x:f>
        <x:v>0.0474395751953125</x:v>
      </x:c>
      <x:c r="I599" s="40" t="n">
        <x:f>ABS(H599)</x:f>
        <x:v>0.0474395751953125</x:v>
      </x:c>
      <x:c r="J599" s="40" t="n">
        <x:f>H599^2</x:f>
        <x:v>0.002250513294711709</x:v>
      </x:c>
      <x:c r="K599" s="40" t="n">
        <x:f>G599-E599</x:f>
        <x:v>0</x:v>
      </x:c>
      <x:c r="L599" s="40" t="n">
        <x:f>ABS(K599)</x:f>
        <x:v>0</x:v>
      </x:c>
      <x:c r="M599" s="41" t="str">
        <x:v>lstm-soil-v1</x:v>
      </x:c>
    </x:row>
    <x:row r="600">
      <x:c r="A600" s="38" t="str">
        <x:v>7月30日现场数据</x:v>
      </x:c>
      <x:c r="B600" s="39" t="str">
        <x:v>2026-08-01T02:00:00</x:v>
      </x:c>
      <x:c r="C600" s="39" t="str">
        <x:v>2026-08-01T02:05:00</x:v>
      </x:c>
      <x:c r="D600" s="47" t="n">
        <x:v>5</x:v>
      </x:c>
      <x:c r="E600" s="40" t="n">
        <x:v>12</x:v>
      </x:c>
      <x:c r="F600" s="40" t="n">
        <x:v>9.917194366455078</x:v>
      </x:c>
      <x:c r="G600" s="40" t="n">
        <x:v>12</x:v>
      </x:c>
      <x:c r="H600" s="40" t="n">
        <x:f>F600-E600</x:f>
        <x:v>-2.082805633544922</x:v>
      </x:c>
      <x:c r="I600" s="40" t="n">
        <x:f>ABS(H600)</x:f>
        <x:v>2.082805633544922</x:v>
      </x:c>
      <x:c r="J600" s="40" t="n">
        <x:f>H600^2</x:f>
        <x:v>4.338079307126463</x:v>
      </x:c>
      <x:c r="K600" s="40" t="n">
        <x:f>G600-E600</x:f>
        <x:v>0</x:v>
      </x:c>
      <x:c r="L600" s="40" t="n">
        <x:f>ABS(K600)</x:f>
        <x:v>0</x:v>
      </x:c>
      <x:c r="M600" s="41" t="str">
        <x:v>lstm-soil-v1</x:v>
      </x:c>
    </x:row>
    <x:row r="601">
      <x:c r="A601" s="38" t="str">
        <x:v>7月30日现场数据</x:v>
      </x:c>
      <x:c r="B601" s="39" t="str">
        <x:v>2026-08-01T02:00:00</x:v>
      </x:c>
      <x:c r="C601" s="39" t="str">
        <x:v>2026-08-01T02:15:00</x:v>
      </x:c>
      <x:c r="D601" s="47" t="n">
        <x:v>15</x:v>
      </x:c>
      <x:c r="E601" s="40" t="n">
        <x:v>12</x:v>
      </x:c>
      <x:c r="F601" s="40" t="n">
        <x:v>9.973880767822266</x:v>
      </x:c>
      <x:c r="G601" s="40" t="n">
        <x:v>12</x:v>
      </x:c>
      <x:c r="H601" s="40" t="n">
        <x:f>F601-E601</x:f>
        <x:v>-2.0261192321777344</x:v>
      </x:c>
      <x:c r="I601" s="40" t="n">
        <x:f>ABS(H601)</x:f>
        <x:v>2.0261192321777344</x:v>
      </x:c>
      <x:c r="J601" s="40" t="n">
        <x:f>H601^2</x:f>
        <x:v>4.105159143000492</x:v>
      </x:c>
      <x:c r="K601" s="40" t="n">
        <x:f>G601-E601</x:f>
        <x:v>0</x:v>
      </x:c>
      <x:c r="L601" s="40" t="n">
        <x:f>ABS(K601)</x:f>
        <x:v>0</x:v>
      </x:c>
      <x:c r="M601" s="41" t="str">
        <x:v>lstm-soil-v1</x:v>
      </x:c>
    </x:row>
    <x:row r="602">
      <x:c r="A602" s="38" t="str">
        <x:v>7月30日现场数据</x:v>
      </x:c>
      <x:c r="B602" s="39" t="str">
        <x:v>2026-08-01T02:00:00</x:v>
      </x:c>
      <x:c r="C602" s="39" t="str">
        <x:v>2026-08-01T02:30:00</x:v>
      </x:c>
      <x:c r="D602" s="47" t="n">
        <x:v>30</x:v>
      </x:c>
      <x:c r="E602" s="40" t="n">
        <x:v>12</x:v>
      </x:c>
      <x:c r="F602" s="40" t="n">
        <x:v>10.463153839111328</x:v>
      </x:c>
      <x:c r="G602" s="40" t="n">
        <x:v>12</x:v>
      </x:c>
      <x:c r="H602" s="40" t="n">
        <x:f>F602-E602</x:f>
        <x:v>-1.5368461608886719</x:v>
      </x:c>
      <x:c r="I602" s="40" t="n">
        <x:f>ABS(H602)</x:f>
        <x:v>1.5368461608886719</x:v>
      </x:c>
      <x:c r="J602" s="40" t="n">
        <x:f>H602^2</x:f>
        <x:v>2.3618961222382495</x:v>
      </x:c>
      <x:c r="K602" s="40" t="n">
        <x:f>G602-E602</x:f>
        <x:v>0</x:v>
      </x:c>
      <x:c r="L602" s="40" t="n">
        <x:f>ABS(K602)</x:f>
        <x:v>0</x:v>
      </x:c>
      <x:c r="M602" s="41" t="str">
        <x:v>lstm-soil-v1</x:v>
      </x:c>
    </x:row>
    <x:row r="603">
      <x:c r="A603" s="38" t="str">
        <x:v>7月30日现场数据</x:v>
      </x:c>
      <x:c r="B603" s="39" t="str">
        <x:v>2026-08-01T02:00:00</x:v>
      </x:c>
      <x:c r="C603" s="39" t="str">
        <x:v>2026-08-01T03:00:00</x:v>
      </x:c>
      <x:c r="D603" s="47" t="n">
        <x:v>60</x:v>
      </x:c>
      <x:c r="E603" s="40" t="n">
        <x:v>12</x:v>
      </x:c>
      <x:c r="F603" s="40" t="n">
        <x:v>12.044342041015625</x:v>
      </x:c>
      <x:c r="G603" s="40" t="n">
        <x:v>12</x:v>
      </x:c>
      <x:c r="H603" s="40" t="n">
        <x:f>F603-E603</x:f>
        <x:v>0.044342041015625</x:v>
      </x:c>
      <x:c r="I603" s="40" t="n">
        <x:f>ABS(H603)</x:f>
        <x:v>0.044342041015625</x:v>
      </x:c>
      <x:c r="J603" s="40" t="n">
        <x:f>H603^2</x:f>
        <x:v>0.0019662166014313698</x:v>
      </x:c>
      <x:c r="K603" s="40" t="n">
        <x:f>G603-E603</x:f>
        <x:v>0</x:v>
      </x:c>
      <x:c r="L603" s="40" t="n">
        <x:f>ABS(K603)</x:f>
        <x:v>0</x:v>
      </x:c>
      <x:c r="M603" s="41" t="str">
        <x:v>lstm-soil-v1</x:v>
      </x:c>
    </x:row>
    <x:row r="604">
      <x:c r="A604" s="38" t="str">
        <x:v>7月30日现场数据</x:v>
      </x:c>
      <x:c r="B604" s="39" t="str">
        <x:v>2026-08-01T02:05:00</x:v>
      </x:c>
      <x:c r="C604" s="39" t="str">
        <x:v>2026-08-01T02:10:00</x:v>
      </x:c>
      <x:c r="D604" s="47" t="n">
        <x:v>5</x:v>
      </x:c>
      <x:c r="E604" s="40" t="n">
        <x:v>12</x:v>
      </x:c>
      <x:c r="F604" s="40" t="n">
        <x:v>9.915035247802734</x:v>
      </x:c>
      <x:c r="G604" s="40" t="n">
        <x:v>12</x:v>
      </x:c>
      <x:c r="H604" s="40" t="n">
        <x:f>F604-E604</x:f>
        <x:v>-2.0849647521972656</x:v>
      </x:c>
      <x:c r="I604" s="40" t="n">
        <x:f>ABS(H604)</x:f>
        <x:v>2.0849647521972656</x:v>
      </x:c>
      <x:c r="J604" s="40" t="n">
        <x:f>H604^2</x:f>
        <x:v>4.347078017905005</x:v>
      </x:c>
      <x:c r="K604" s="40" t="n">
        <x:f>G604-E604</x:f>
        <x:v>0</x:v>
      </x:c>
      <x:c r="L604" s="40" t="n">
        <x:f>ABS(K604)</x:f>
        <x:v>0</x:v>
      </x:c>
      <x:c r="M604" s="41" t="str">
        <x:v>lstm-soil-v1</x:v>
      </x:c>
    </x:row>
    <x:row r="605">
      <x:c r="A605" s="38" t="str">
        <x:v>7月30日现场数据</x:v>
      </x:c>
      <x:c r="B605" s="39" t="str">
        <x:v>2026-08-01T02:05:00</x:v>
      </x:c>
      <x:c r="C605" s="39" t="str">
        <x:v>2026-08-01T02:20:00</x:v>
      </x:c>
      <x:c r="D605" s="47" t="n">
        <x:v>15</x:v>
      </x:c>
      <x:c r="E605" s="40" t="n">
        <x:v>12</x:v>
      </x:c>
      <x:c r="F605" s="40" t="n">
        <x:v>9.97222900390625</x:v>
      </x:c>
      <x:c r="G605" s="40" t="n">
        <x:v>12</x:v>
      </x:c>
      <x:c r="H605" s="40" t="n">
        <x:f>F605-E605</x:f>
        <x:v>-2.02777099609375</x:v>
      </x:c>
      <x:c r="I605" s="40" t="n">
        <x:f>ABS(H605)</x:f>
        <x:v>2.02777099609375</x:v>
      </x:c>
      <x:c r="J605" s="40" t="n">
        <x:f>H605^2</x:f>
        <x:v>4.111855212599039</x:v>
      </x:c>
      <x:c r="K605" s="40" t="n">
        <x:f>G605-E605</x:f>
        <x:v>0</x:v>
      </x:c>
      <x:c r="L605" s="40" t="n">
        <x:f>ABS(K605)</x:f>
        <x:v>0</x:v>
      </x:c>
      <x:c r="M605" s="41" t="str">
        <x:v>lstm-soil-v1</x:v>
      </x:c>
    </x:row>
    <x:row r="606">
      <x:c r="A606" s="38" t="str">
        <x:v>7月30日现场数据</x:v>
      </x:c>
      <x:c r="B606" s="39" t="str">
        <x:v>2026-08-01T02:05:00</x:v>
      </x:c>
      <x:c r="C606" s="39" t="str">
        <x:v>2026-08-01T02:35:00</x:v>
      </x:c>
      <x:c r="D606" s="47" t="n">
        <x:v>30</x:v>
      </x:c>
      <x:c r="E606" s="40" t="n">
        <x:v>12</x:v>
      </x:c>
      <x:c r="F606" s="40" t="n">
        <x:v>10.461860656738281</x:v>
      </x:c>
      <x:c r="G606" s="40" t="n">
        <x:v>12</x:v>
      </x:c>
      <x:c r="H606" s="40" t="n">
        <x:f>F606-E606</x:f>
        <x:v>-1.5381393432617188</x:v>
      </x:c>
      <x:c r="I606" s="40" t="n">
        <x:f>ABS(H606)</x:f>
        <x:v>1.5381393432617188</x:v>
      </x:c>
      <x:c r="J606" s="40" t="n">
        <x:f>H606^2</x:f>
        <x:v>2.3658726392895915</x:v>
      </x:c>
      <x:c r="K606" s="40" t="n">
        <x:f>G606-E606</x:f>
        <x:v>0</x:v>
      </x:c>
      <x:c r="L606" s="40" t="n">
        <x:f>ABS(K606)</x:f>
        <x:v>0</x:v>
      </x:c>
      <x:c r="M606" s="41" t="str">
        <x:v>lstm-soil-v1</x:v>
      </x:c>
    </x:row>
    <x:row r="607">
      <x:c r="A607" s="38" t="str">
        <x:v>7月30日现场数据</x:v>
      </x:c>
      <x:c r="B607" s="39" t="str">
        <x:v>2026-08-01T02:05:00</x:v>
      </x:c>
      <x:c r="C607" s="39" t="str">
        <x:v>2026-08-01T03:05:00</x:v>
      </x:c>
      <x:c r="D607" s="47" t="n">
        <x:v>60</x:v>
      </x:c>
      <x:c r="E607" s="40" t="n">
        <x:v>12</x:v>
      </x:c>
      <x:c r="F607" s="40" t="n">
        <x:v>12.040870666503906</x:v>
      </x:c>
      <x:c r="G607" s="40" t="n">
        <x:v>12</x:v>
      </x:c>
      <x:c r="H607" s="40" t="n">
        <x:f>F607-E607</x:f>
        <x:v>0.04087066650390625</x:v>
      </x:c>
      <x:c r="I607" s="40" t="n">
        <x:f>ABS(H607)</x:f>
        <x:v>0.04087066650390625</x:v>
      </x:c>
      <x:c r="J607" s="40" t="n">
        <x:f>H607^2</x:f>
        <x:v>0.0016704113804735243</x:v>
      </x:c>
      <x:c r="K607" s="40" t="n">
        <x:f>G607-E607</x:f>
        <x:v>0</x:v>
      </x:c>
      <x:c r="L607" s="40" t="n">
        <x:f>ABS(K607)</x:f>
        <x:v>0</x:v>
      </x:c>
      <x:c r="M607" s="41" t="str">
        <x:v>lstm-soil-v1</x:v>
      </x:c>
    </x:row>
    <x:row r="608">
      <x:c r="A608" s="38" t="str">
        <x:v>7月30日现场数据</x:v>
      </x:c>
      <x:c r="B608" s="39" t="str">
        <x:v>2026-08-01T02:10:00</x:v>
      </x:c>
      <x:c r="C608" s="39" t="str">
        <x:v>2026-08-01T02:15:00</x:v>
      </x:c>
      <x:c r="D608" s="47" t="n">
        <x:v>5</x:v>
      </x:c>
      <x:c r="E608" s="40" t="n">
        <x:v>12</x:v>
      </x:c>
      <x:c r="F608" s="40" t="n">
        <x:v>9.913978576660156</x:v>
      </x:c>
      <x:c r="G608" s="40" t="n">
        <x:v>12</x:v>
      </x:c>
      <x:c r="H608" s="40" t="n">
        <x:f>F608-E608</x:f>
        <x:v>-2.0860214233398438</x:v>
      </x:c>
      <x:c r="I608" s="40" t="n">
        <x:f>ABS(H608)</x:f>
        <x:v>2.0860214233398438</x:v>
      </x:c>
      <x:c r="J608" s="40" t="n">
        <x:f>H608^2</x:f>
        <x:v>4.351485378632788</x:v>
      </x:c>
      <x:c r="K608" s="40" t="n">
        <x:f>G608-E608</x:f>
        <x:v>0</x:v>
      </x:c>
      <x:c r="L608" s="40" t="n">
        <x:f>ABS(K608)</x:f>
        <x:v>0</x:v>
      </x:c>
      <x:c r="M608" s="41" t="str">
        <x:v>lstm-soil-v1</x:v>
      </x:c>
    </x:row>
    <x:row r="609">
      <x:c r="A609" s="38" t="str">
        <x:v>7月30日现场数据</x:v>
      </x:c>
      <x:c r="B609" s="39" t="str">
        <x:v>2026-08-01T02:10:00</x:v>
      </x:c>
      <x:c r="C609" s="39" t="str">
        <x:v>2026-08-01T02:25:00</x:v>
      </x:c>
      <x:c r="D609" s="47" t="n">
        <x:v>15</x:v>
      </x:c>
      <x:c r="E609" s="40" t="n">
        <x:v>12</x:v>
      </x:c>
      <x:c r="F609" s="40" t="n">
        <x:v>9.971115112304688</x:v>
      </x:c>
      <x:c r="G609" s="40" t="n">
        <x:v>12</x:v>
      </x:c>
      <x:c r="H609" s="40" t="n">
        <x:f>F609-E609</x:f>
        <x:v>-2.0288848876953125</x:v>
      </x:c>
      <x:c r="I609" s="40" t="n">
        <x:f>ABS(H609)</x:f>
        <x:v>2.0288848876953125</x:v>
      </x:c>
      <x:c r="J609" s="40" t="n">
        <x:f>H609^2</x:f>
        <x:v>4.116373887518421</x:v>
      </x:c>
      <x:c r="K609" s="40" t="n">
        <x:f>G609-E609</x:f>
        <x:v>0</x:v>
      </x:c>
      <x:c r="L609" s="40" t="n">
        <x:f>ABS(K609)</x:f>
        <x:v>0</x:v>
      </x:c>
      <x:c r="M609" s="41" t="str">
        <x:v>lstm-soil-v1</x:v>
      </x:c>
    </x:row>
    <x:row r="610">
      <x:c r="A610" s="38" t="str">
        <x:v>7月30日现场数据</x:v>
      </x:c>
      <x:c r="B610" s="39" t="str">
        <x:v>2026-08-01T02:10:00</x:v>
      </x:c>
      <x:c r="C610" s="39" t="str">
        <x:v>2026-08-01T02:40:00</x:v>
      </x:c>
      <x:c r="D610" s="47" t="n">
        <x:v>30</x:v>
      </x:c>
      <x:c r="E610" s="40" t="n">
        <x:v>12</x:v>
      </x:c>
      <x:c r="F610" s="40" t="n">
        <x:v>10.462295532226562</x:v>
      </x:c>
      <x:c r="G610" s="40" t="n">
        <x:v>12</x:v>
      </x:c>
      <x:c r="H610" s="40" t="n">
        <x:f>F610-E610</x:f>
        <x:v>-1.5377044677734375</x:v>
      </x:c>
      <x:c r="I610" s="40" t="n">
        <x:f>ABS(H610)</x:f>
        <x:v>1.5377044677734375</x:v>
      </x:c>
      <x:c r="J610" s="40" t="n">
        <x:f>H610^2</x:f>
        <x:v>2.3645350302103907</x:v>
      </x:c>
      <x:c r="K610" s="40" t="n">
        <x:f>G610-E610</x:f>
        <x:v>0</x:v>
      </x:c>
      <x:c r="L610" s="40" t="n">
        <x:f>ABS(K610)</x:f>
        <x:v>0</x:v>
      </x:c>
      <x:c r="M610" s="41" t="str">
        <x:v>lstm-soil-v1</x:v>
      </x:c>
    </x:row>
    <x:row r="611">
      <x:c r="A611" s="38" t="str">
        <x:v>7月30日现场数据</x:v>
      </x:c>
      <x:c r="B611" s="39" t="str">
        <x:v>2026-08-01T02:10:00</x:v>
      </x:c>
      <x:c r="C611" s="39" t="str">
        <x:v>2026-08-01T03:10:00</x:v>
      </x:c>
      <x:c r="D611" s="47" t="n">
        <x:v>60</x:v>
      </x:c>
      <x:c r="E611" s="40" t="n">
        <x:v>12</x:v>
      </x:c>
      <x:c r="F611" s="40" t="n">
        <x:v>12.040328979492188</x:v>
      </x:c>
      <x:c r="G611" s="40" t="n">
        <x:v>12</x:v>
      </x:c>
      <x:c r="H611" s="40" t="n">
        <x:f>F611-E611</x:f>
        <x:v>0.0403289794921875</x:v>
      </x:c>
      <x:c r="I611" s="40" t="n">
        <x:f>ABS(H611)</x:f>
        <x:v>0.0403289794921875</x:v>
      </x:c>
      <x:c r="J611" s="40" t="n">
        <x:f>H611^2</x:f>
        <x:v>0.00162642658688128</x:v>
      </x:c>
      <x:c r="K611" s="40" t="n">
        <x:f>G611-E611</x:f>
        <x:v>0</x:v>
      </x:c>
      <x:c r="L611" s="40" t="n">
        <x:f>ABS(K611)</x:f>
        <x:v>0</x:v>
      </x:c>
      <x:c r="M611" s="41" t="str">
        <x:v>lstm-soil-v1</x:v>
      </x:c>
    </x:row>
    <x:row r="612">
      <x:c r="A612" s="38" t="str">
        <x:v>7月30日现场数据</x:v>
      </x:c>
      <x:c r="B612" s="39" t="str">
        <x:v>2026-08-01T02:15:00</x:v>
      </x:c>
      <x:c r="C612" s="39" t="str">
        <x:v>2026-08-01T02:20:00</x:v>
      </x:c>
      <x:c r="D612" s="47" t="n">
        <x:v>5</x:v>
      </x:c>
      <x:c r="E612" s="40" t="n">
        <x:v>12</x:v>
      </x:c>
      <x:c r="F612" s="40" t="n">
        <x:v>9.913253784179688</x:v>
      </x:c>
      <x:c r="G612" s="40" t="n">
        <x:v>12</x:v>
      </x:c>
      <x:c r="H612" s="40" t="n">
        <x:f>F612-E612</x:f>
        <x:v>-2.0867462158203125</x:v>
      </x:c>
      <x:c r="I612" s="40" t="n">
        <x:f>ABS(H612)</x:f>
        <x:v>2.0867462158203125</x:v>
      </x:c>
      <x:c r="J612" s="40" t="n">
        <x:f>H612^2</x:f>
        <x:v>4.354509769240394</x:v>
      </x:c>
      <x:c r="K612" s="40" t="n">
        <x:f>G612-E612</x:f>
        <x:v>0</x:v>
      </x:c>
      <x:c r="L612" s="40" t="n">
        <x:f>ABS(K612)</x:f>
        <x:v>0</x:v>
      </x:c>
      <x:c r="M612" s="41" t="str">
        <x:v>lstm-soil-v1</x:v>
      </x:c>
    </x:row>
    <x:row r="613">
      <x:c r="A613" s="38" t="str">
        <x:v>7月30日现场数据</x:v>
      </x:c>
      <x:c r="B613" s="39" t="str">
        <x:v>2026-08-01T02:15:00</x:v>
      </x:c>
      <x:c r="C613" s="39" t="str">
        <x:v>2026-08-01T02:30:00</x:v>
      </x:c>
      <x:c r="D613" s="47" t="n">
        <x:v>15</x:v>
      </x:c>
      <x:c r="E613" s="40" t="n">
        <x:v>12</x:v>
      </x:c>
      <x:c r="F613" s="40" t="n">
        <x:v>9.970409393310547</x:v>
      </x:c>
      <x:c r="G613" s="40" t="n">
        <x:v>12</x:v>
      </x:c>
      <x:c r="H613" s="40" t="n">
        <x:f>F613-E613</x:f>
        <x:v>-2.029590606689453</x:v>
      </x:c>
      <x:c r="I613" s="40" t="n">
        <x:f>ABS(H613)</x:f>
        <x:v>2.029590606689453</x:v>
      </x:c>
      <x:c r="J613" s="40" t="n">
        <x:f>H613^2</x:f>
        <x:v>4.119238030762062</x:v>
      </x:c>
      <x:c r="K613" s="40" t="n">
        <x:f>G613-E613</x:f>
        <x:v>0</x:v>
      </x:c>
      <x:c r="L613" s="40" t="n">
        <x:f>ABS(K613)</x:f>
        <x:v>0</x:v>
      </x:c>
      <x:c r="M613" s="41" t="str">
        <x:v>lstm-soil-v1</x:v>
      </x:c>
    </x:row>
    <x:row r="614">
      <x:c r="A614" s="38" t="str">
        <x:v>7月30日现场数据</x:v>
      </x:c>
      <x:c r="B614" s="39" t="str">
        <x:v>2026-08-01T02:15:00</x:v>
      </x:c>
      <x:c r="C614" s="39" t="str">
        <x:v>2026-08-01T02:45:00</x:v>
      </x:c>
      <x:c r="D614" s="47" t="n">
        <x:v>30</x:v>
      </x:c>
      <x:c r="E614" s="40" t="n">
        <x:v>12</x:v>
      </x:c>
      <x:c r="F614" s="40" t="n">
        <x:v>10.462699890136719</x:v>
      </x:c>
      <x:c r="G614" s="40" t="n">
        <x:v>12</x:v>
      </x:c>
      <x:c r="H614" s="40" t="n">
        <x:f>F614-E614</x:f>
        <x:v>-1.5373001098632812</x:v>
      </x:c>
      <x:c r="I614" s="40" t="n">
        <x:f>ABS(H614)</x:f>
        <x:v>1.5373001098632812</x:v>
      </x:c>
      <x:c r="J614" s="40" t="n">
        <x:f>H614^2</x:f>
        <x:v>2.3632916277856566</x:v>
      </x:c>
      <x:c r="K614" s="40" t="n">
        <x:f>G614-E614</x:f>
        <x:v>0</x:v>
      </x:c>
      <x:c r="L614" s="40" t="n">
        <x:f>ABS(K614)</x:f>
        <x:v>0</x:v>
      </x:c>
      <x:c r="M614" s="41" t="str">
        <x:v>lstm-soil-v1</x:v>
      </x:c>
    </x:row>
    <x:row r="615">
      <x:c r="A615" s="38" t="str">
        <x:v>7月30日现场数据</x:v>
      </x:c>
      <x:c r="B615" s="39" t="str">
        <x:v>2026-08-01T02:15:00</x:v>
      </x:c>
      <x:c r="C615" s="39" t="str">
        <x:v>2026-08-01T03:15:00</x:v>
      </x:c>
      <x:c r="D615" s="47" t="n">
        <x:v>60</x:v>
      </x:c>
      <x:c r="E615" s="40" t="n">
        <x:v>12</x:v>
      </x:c>
      <x:c r="F615" s="40" t="n">
        <x:v>12.03955078125</x:v>
      </x:c>
      <x:c r="G615" s="40" t="n">
        <x:v>12</x:v>
      </x:c>
      <x:c r="H615" s="40" t="n">
        <x:f>F615-E615</x:f>
        <x:v>0.03955078125</x:v>
      </x:c>
      <x:c r="I615" s="40" t="n">
        <x:f>ABS(H615)</x:f>
        <x:v>0.03955078125</x:v>
      </x:c>
      <x:c r="J615" s="40" t="n">
        <x:f>H615^2</x:f>
        <x:v>0.0015642642974853516</x:v>
      </x:c>
      <x:c r="K615" s="40" t="n">
        <x:f>G615-E615</x:f>
        <x:v>0</x:v>
      </x:c>
      <x:c r="L615" s="40" t="n">
        <x:f>ABS(K615)</x:f>
        <x:v>0</x:v>
      </x:c>
      <x:c r="M615" s="41" t="str">
        <x:v>lstm-soil-v1</x:v>
      </x:c>
    </x:row>
    <x:row r="616">
      <x:c r="A616" s="38" t="str">
        <x:v>7月30日现场数据</x:v>
      </x:c>
      <x:c r="B616" s="39" t="str">
        <x:v>2026-08-01T02:20:00</x:v>
      </x:c>
      <x:c r="C616" s="39" t="str">
        <x:v>2026-08-01T02:25:00</x:v>
      </x:c>
      <x:c r="D616" s="47" t="n">
        <x:v>5</x:v>
      </x:c>
      <x:c r="E616" s="40" t="n">
        <x:v>12</x:v>
      </x:c>
      <x:c r="F616" s="40" t="n">
        <x:v>9.913406372070312</x:v>
      </x:c>
      <x:c r="G616" s="40" t="n">
        <x:v>12</x:v>
      </x:c>
      <x:c r="H616" s="40" t="n">
        <x:f>F616-E616</x:f>
        <x:v>-2.0865936279296875</x:v>
      </x:c>
      <x:c r="I616" s="40" t="n">
        <x:f>ABS(H616)</x:f>
        <x:v>2.0865936279296875</x:v>
      </x:c>
      <x:c r="J616" s="40" t="n">
        <x:f>H616^2</x:f>
        <x:v>4.353872968116775</x:v>
      </x:c>
      <x:c r="K616" s="40" t="n">
        <x:f>G616-E616</x:f>
        <x:v>0</x:v>
      </x:c>
      <x:c r="L616" s="40" t="n">
        <x:f>ABS(K616)</x:f>
        <x:v>0</x:v>
      </x:c>
      <x:c r="M616" s="41" t="str">
        <x:v>lstm-soil-v1</x:v>
      </x:c>
    </x:row>
    <x:row r="617">
      <x:c r="A617" s="38" t="str">
        <x:v>7月30日现场数据</x:v>
      </x:c>
      <x:c r="B617" s="39" t="str">
        <x:v>2026-08-01T02:20:00</x:v>
      </x:c>
      <x:c r="C617" s="39" t="str">
        <x:v>2026-08-01T02:35:00</x:v>
      </x:c>
      <x:c r="D617" s="47" t="n">
        <x:v>15</x:v>
      </x:c>
      <x:c r="E617" s="40" t="n">
        <x:v>12</x:v>
      </x:c>
      <x:c r="F617" s="40" t="n">
        <x:v>9.97012710571289</x:v>
      </x:c>
      <x:c r="G617" s="40" t="n">
        <x:v>12</x:v>
      </x:c>
      <x:c r="H617" s="40" t="n">
        <x:f>F617-E617</x:f>
        <x:v>-2.0298728942871094</x:v>
      </x:c>
      <x:c r="I617" s="40" t="n">
        <x:f>ABS(H617)</x:f>
        <x:v>2.0298728942871094</x:v>
      </x:c>
      <x:c r="J617" s="40" t="n">
        <x:f>H617^2</x:f>
        <x:v>4.120383966961526</x:v>
      </x:c>
      <x:c r="K617" s="40" t="n">
        <x:f>G617-E617</x:f>
        <x:v>0</x:v>
      </x:c>
      <x:c r="L617" s="40" t="n">
        <x:f>ABS(K617)</x:f>
        <x:v>0</x:v>
      </x:c>
      <x:c r="M617" s="41" t="str">
        <x:v>lstm-soil-v1</x:v>
      </x:c>
    </x:row>
    <x:row r="618">
      <x:c r="A618" s="38" t="str">
        <x:v>7月30日现场数据</x:v>
      </x:c>
      <x:c r="B618" s="39" t="str">
        <x:v>2026-08-01T02:20:00</x:v>
      </x:c>
      <x:c r="C618" s="39" t="str">
        <x:v>2026-08-01T02:50:00</x:v>
      </x:c>
      <x:c r="D618" s="47" t="n">
        <x:v>30</x:v>
      </x:c>
      <x:c r="E618" s="40" t="n">
        <x:v>12</x:v>
      </x:c>
      <x:c r="F618" s="40" t="n">
        <x:v>10.46420669555664</x:v>
      </x:c>
      <x:c r="G618" s="40" t="n">
        <x:v>12</x:v>
      </x:c>
      <x:c r="H618" s="40" t="n">
        <x:f>F618-E618</x:f>
        <x:v>-1.5357933044433594</x:v>
      </x:c>
      <x:c r="I618" s="40" t="n">
        <x:f>ABS(H618)</x:f>
        <x:v>1.5357933044433594</x:v>
      </x:c>
      <x:c r="J618" s="40" t="n">
        <x:f>H618^2</x:f>
        <x:v>2.358661073973053</x:v>
      </x:c>
      <x:c r="K618" s="40" t="n">
        <x:f>G618-E618</x:f>
        <x:v>0</x:v>
      </x:c>
      <x:c r="L618" s="40" t="n">
        <x:f>ABS(K618)</x:f>
        <x:v>0</x:v>
      </x:c>
      <x:c r="M618" s="41" t="str">
        <x:v>lstm-soil-v1</x:v>
      </x:c>
    </x:row>
    <x:row r="619">
      <x:c r="A619" s="38" t="str">
        <x:v>7月30日现场数据</x:v>
      </x:c>
      <x:c r="B619" s="39" t="str">
        <x:v>2026-08-01T02:20:00</x:v>
      </x:c>
      <x:c r="C619" s="39" t="str">
        <x:v>2026-08-01T03:20:00</x:v>
      </x:c>
      <x:c r="D619" s="47" t="n">
        <x:v>60</x:v>
      </x:c>
      <x:c r="E619" s="40" t="n">
        <x:v>12</x:v>
      </x:c>
      <x:c r="F619" s="40" t="n">
        <x:v>12.041091918945312</x:v>
      </x:c>
      <x:c r="G619" s="40" t="n">
        <x:v>12</x:v>
      </x:c>
      <x:c r="H619" s="40" t="n">
        <x:f>F619-E619</x:f>
        <x:v>0.0410919189453125</x:v>
      </x:c>
      <x:c r="I619" s="40" t="n">
        <x:f>ABS(H619)</x:f>
        <x:v>0.0410919189453125</x:v>
      </x:c>
      <x:c r="J619" s="40" t="n">
        <x:f>H619^2</x:f>
        <x:v>0.0016885458026081324</x:v>
      </x:c>
      <x:c r="K619" s="40" t="n">
        <x:f>G619-E619</x:f>
        <x:v>0</x:v>
      </x:c>
      <x:c r="L619" s="40" t="n">
        <x:f>ABS(K619)</x:f>
        <x:v>0</x:v>
      </x:c>
      <x:c r="M619" s="41" t="str">
        <x:v>lstm-soil-v1</x:v>
      </x:c>
    </x:row>
    <x:row r="620">
      <x:c r="A620" s="38" t="str">
        <x:v>7月30日现场数据</x:v>
      </x:c>
      <x:c r="B620" s="39" t="str">
        <x:v>2026-08-01T02:25:00</x:v>
      </x:c>
      <x:c r="C620" s="39" t="str">
        <x:v>2026-08-01T02:30:00</x:v>
      </x:c>
      <x:c r="D620" s="47" t="n">
        <x:v>5</x:v>
      </x:c>
      <x:c r="E620" s="40" t="n">
        <x:v>12</x:v>
      </x:c>
      <x:c r="F620" s="40" t="n">
        <x:v>9.913196563720703</x:v>
      </x:c>
      <x:c r="G620" s="40" t="n">
        <x:v>12</x:v>
      </x:c>
      <x:c r="H620" s="40" t="n">
        <x:f>F620-E620</x:f>
        <x:v>-2.086803436279297</x:v>
      </x:c>
      <x:c r="I620" s="40" t="n">
        <x:f>ABS(H620)</x:f>
        <x:v>2.086803436279297</x:v>
      </x:c>
      <x:c r="J620" s="40" t="n">
        <x:f>H620^2</x:f>
        <x:v>4.3547485816670815</x:v>
      </x:c>
      <x:c r="K620" s="40" t="n">
        <x:f>G620-E620</x:f>
        <x:v>0</x:v>
      </x:c>
      <x:c r="L620" s="40" t="n">
        <x:f>ABS(K620)</x:f>
        <x:v>0</x:v>
      </x:c>
      <x:c r="M620" s="41" t="str">
        <x:v>lstm-soil-v1</x:v>
      </x:c>
    </x:row>
    <x:row r="621">
      <x:c r="A621" s="38" t="str">
        <x:v>7月30日现场数据</x:v>
      </x:c>
      <x:c r="B621" s="39" t="str">
        <x:v>2026-08-01T02:25:00</x:v>
      </x:c>
      <x:c r="C621" s="39" t="str">
        <x:v>2026-08-01T02:40:00</x:v>
      </x:c>
      <x:c r="D621" s="47" t="n">
        <x:v>15</x:v>
      </x:c>
      <x:c r="E621" s="40" t="n">
        <x:v>12</x:v>
      </x:c>
      <x:c r="F621" s="40" t="n">
        <x:v>9.969959259033203</x:v>
      </x:c>
      <x:c r="G621" s="40" t="n">
        <x:v>12</x:v>
      </x:c>
      <x:c r="H621" s="40" t="n">
        <x:f>F621-E621</x:f>
        <x:v>-2.030040740966797</x:v>
      </x:c>
      <x:c r="I621" s="40" t="n">
        <x:f>ABS(H621)</x:f>
        <x:v>2.030040740966797</x:v>
      </x:c>
      <x:c r="J621" s="40" t="n">
        <x:f>H621^2</x:f>
        <x:v>4.121065409985022</x:v>
      </x:c>
      <x:c r="K621" s="40" t="n">
        <x:f>G621-E621</x:f>
        <x:v>0</x:v>
      </x:c>
      <x:c r="L621" s="40" t="n">
        <x:f>ABS(K621)</x:f>
        <x:v>0</x:v>
      </x:c>
      <x:c r="M621" s="41" t="str">
        <x:v>lstm-soil-v1</x:v>
      </x:c>
    </x:row>
    <x:row r="622">
      <x:c r="A622" s="38" t="str">
        <x:v>7月30日现场数据</x:v>
      </x:c>
      <x:c r="B622" s="39" t="str">
        <x:v>2026-08-01T02:25:00</x:v>
      </x:c>
      <x:c r="C622" s="39" t="str">
        <x:v>2026-08-01T02:55:00</x:v>
      </x:c>
      <x:c r="D622" s="47" t="n">
        <x:v>30</x:v>
      </x:c>
      <x:c r="E622" s="40" t="n">
        <x:v>12</x:v>
      </x:c>
      <x:c r="F622" s="40" t="n">
        <x:v>10.46451187133789</x:v>
      </x:c>
      <x:c r="G622" s="40" t="n">
        <x:v>12</x:v>
      </x:c>
      <x:c r="H622" s="40" t="n">
        <x:f>F622-E622</x:f>
        <x:v>-1.5354881286621094</x:v>
      </x:c>
      <x:c r="I622" s="40" t="n">
        <x:f>ABS(H622)</x:f>
        <x:v>1.5354881286621094</x:v>
      </x:c>
      <x:c r="J622" s="40" t="n">
        <x:f>H622^2</x:f>
        <x:v>2.3577237932622666</x:v>
      </x:c>
      <x:c r="K622" s="40" t="n">
        <x:f>G622-E622</x:f>
        <x:v>0</x:v>
      </x:c>
      <x:c r="L622" s="40" t="n">
        <x:f>ABS(K622)</x:f>
        <x:v>0</x:v>
      </x:c>
      <x:c r="M622" s="41" t="str">
        <x:v>lstm-soil-v1</x:v>
      </x:c>
    </x:row>
    <x:row r="623">
      <x:c r="A623" s="38" t="str">
        <x:v>7月30日现场数据</x:v>
      </x:c>
      <x:c r="B623" s="39" t="str">
        <x:v>2026-08-01T02:25:00</x:v>
      </x:c>
      <x:c r="C623" s="39" t="str">
        <x:v>2026-08-01T03:25:00</x:v>
      </x:c>
      <x:c r="D623" s="47" t="n">
        <x:v>60</x:v>
      </x:c>
      <x:c r="E623" s="40" t="n">
        <x:v>12</x:v>
      </x:c>
      <x:c r="F623" s="40" t="n">
        <x:v>12.040592193603516</x:v>
      </x:c>
      <x:c r="G623" s="40" t="n">
        <x:v>12</x:v>
      </x:c>
      <x:c r="H623" s="40" t="n">
        <x:f>F623-E623</x:f>
        <x:v>0.040592193603515625</x:v>
      </x:c>
      <x:c r="I623" s="40" t="n">
        <x:f>ABS(H623)</x:f>
        <x:v>0.040592193603515625</x:v>
      </x:c>
      <x:c r="J623" s="40" t="n">
        <x:f>H623^2</x:f>
        <x:v>0.0016477261815452948</x:v>
      </x:c>
      <x:c r="K623" s="40" t="n">
        <x:f>G623-E623</x:f>
        <x:v>0</x:v>
      </x:c>
      <x:c r="L623" s="40" t="n">
        <x:f>ABS(K623)</x:f>
        <x:v>0</x:v>
      </x:c>
      <x:c r="M623" s="41" t="str">
        <x:v>lstm-soil-v1</x:v>
      </x:c>
    </x:row>
    <x:row r="624">
      <x:c r="A624" s="38" t="str">
        <x:v>7月30日现场数据</x:v>
      </x:c>
      <x:c r="B624" s="39" t="str">
        <x:v>2026-08-01T02:30:00</x:v>
      </x:c>
      <x:c r="C624" s="39" t="str">
        <x:v>2026-08-01T02:35:00</x:v>
      </x:c>
      <x:c r="D624" s="47" t="n">
        <x:v>5</x:v>
      </x:c>
      <x:c r="E624" s="40" t="n">
        <x:v>12</x:v>
      </x:c>
      <x:c r="F624" s="40" t="n">
        <x:v>9.91353988647461</x:v>
      </x:c>
      <x:c r="G624" s="40" t="n">
        <x:v>12</x:v>
      </x:c>
      <x:c r="H624" s="40" t="n">
        <x:f>F624-E624</x:f>
        <x:v>-2.0864601135253906</x:v>
      </x:c>
      <x:c r="I624" s="40" t="n">
        <x:f>ABS(H624)</x:f>
        <x:v>2.0864601135253906</x:v>
      </x:c>
      <x:c r="J624" s="40" t="n">
        <x:f>H624^2</x:f>
        <x:v>4.353315805332386</x:v>
      </x:c>
      <x:c r="K624" s="40" t="n">
        <x:f>G624-E624</x:f>
        <x:v>0</x:v>
      </x:c>
      <x:c r="L624" s="40" t="n">
        <x:f>ABS(K624)</x:f>
        <x:v>0</x:v>
      </x:c>
      <x:c r="M624" s="41" t="str">
        <x:v>lstm-soil-v1</x:v>
      </x:c>
    </x:row>
    <x:row r="625">
      <x:c r="A625" s="38" t="str">
        <x:v>7月30日现场数据</x:v>
      </x:c>
      <x:c r="B625" s="39" t="str">
        <x:v>2026-08-01T02:30:00</x:v>
      </x:c>
      <x:c r="C625" s="39" t="str">
        <x:v>2026-08-01T02:45:00</x:v>
      </x:c>
      <x:c r="D625" s="47" t="n">
        <x:v>15</x:v>
      </x:c>
      <x:c r="E625" s="40" t="n">
        <x:v>12</x:v>
      </x:c>
      <x:c r="F625" s="40" t="n">
        <x:v>9.969741821289062</x:v>
      </x:c>
      <x:c r="G625" s="40" t="n">
        <x:v>12</x:v>
      </x:c>
      <x:c r="H625" s="40" t="n">
        <x:f>F625-E625</x:f>
        <x:v>-2.0302581787109375</x:v>
      </x:c>
      <x:c r="I625" s="40" t="n">
        <x:f>ABS(H625)</x:f>
        <x:v>2.0302581787109375</x:v>
      </x:c>
      <x:c r="J625" s="40" t="n">
        <x:f>H625^2</x:f>
        <x:v>4.121948272222653</x:v>
      </x:c>
      <x:c r="K625" s="40" t="n">
        <x:f>G625-E625</x:f>
        <x:v>0</x:v>
      </x:c>
      <x:c r="L625" s="40" t="n">
        <x:f>ABS(K625)</x:f>
        <x:v>0</x:v>
      </x:c>
      <x:c r="M625" s="41" t="str">
        <x:v>lstm-soil-v1</x:v>
      </x:c>
    </x:row>
    <x:row r="626">
      <x:c r="A626" s="38" t="str">
        <x:v>7月30日现场数据</x:v>
      </x:c>
      <x:c r="B626" s="39" t="str">
        <x:v>2026-08-01T02:30:00</x:v>
      </x:c>
      <x:c r="C626" s="39" t="str">
        <x:v>2026-08-01T03:00:00</x:v>
      </x:c>
      <x:c r="D626" s="47" t="n">
        <x:v>30</x:v>
      </x:c>
      <x:c r="E626" s="40" t="n">
        <x:v>12</x:v>
      </x:c>
      <x:c r="F626" s="40" t="n">
        <x:v>10.465553283691406</x:v>
      </x:c>
      <x:c r="G626" s="40" t="n">
        <x:v>12</x:v>
      </x:c>
      <x:c r="H626" s="40" t="n">
        <x:f>F626-E626</x:f>
        <x:v>-1.5344467163085938</x:v>
      </x:c>
      <x:c r="I626" s="40" t="n">
        <x:f>ABS(H626)</x:f>
        <x:v>1.5344467163085938</x:v>
      </x:c>
      <x:c r="J626" s="40" t="n">
        <x:f>H626^2</x:f>
        <x:v>2.354526725190226</x:v>
      </x:c>
      <x:c r="K626" s="40" t="n">
        <x:f>G626-E626</x:f>
        <x:v>0</x:v>
      </x:c>
      <x:c r="L626" s="40" t="n">
        <x:f>ABS(K626)</x:f>
        <x:v>0</x:v>
      </x:c>
      <x:c r="M626" s="41" t="str">
        <x:v>lstm-soil-v1</x:v>
      </x:c>
    </x:row>
    <x:row r="627">
      <x:c r="A627" s="38" t="str">
        <x:v>7月30日现场数据</x:v>
      </x:c>
      <x:c r="B627" s="39" t="str">
        <x:v>2026-08-01T02:30:00</x:v>
      </x:c>
      <x:c r="C627" s="39" t="str">
        <x:v>2026-08-01T03:30:00</x:v>
      </x:c>
      <x:c r="D627" s="47" t="n">
        <x:v>60</x:v>
      </x:c>
      <x:c r="E627" s="40" t="n">
        <x:v>12</x:v>
      </x:c>
      <x:c r="F627" s="40" t="n">
        <x:v>12.042190551757812</x:v>
      </x:c>
      <x:c r="G627" s="40" t="n">
        <x:v>12</x:v>
      </x:c>
      <x:c r="H627" s="40" t="n">
        <x:f>F627-E627</x:f>
        <x:v>0.0421905517578125</x:v>
      </x:c>
      <x:c r="I627" s="40" t="n">
        <x:f>ABS(H627)</x:f>
        <x:v>0.0421905517578125</x:v>
      </x:c>
      <x:c r="J627" s="40" t="n">
        <x:f>H627^2</x:f>
        <x:v>0.0017800426576286554</x:v>
      </x:c>
      <x:c r="K627" s="40" t="n">
        <x:f>G627-E627</x:f>
        <x:v>0</x:v>
      </x:c>
      <x:c r="L627" s="40" t="n">
        <x:f>ABS(K627)</x:f>
        <x:v>0</x:v>
      </x:c>
      <x:c r="M627" s="41" t="str">
        <x:v>lstm-soil-v1</x:v>
      </x:c>
    </x:row>
    <x:row r="628">
      <x:c r="A628" s="38" t="str">
        <x:v>7月30日现场数据</x:v>
      </x:c>
      <x:c r="B628" s="39" t="str">
        <x:v>2026-08-01T02:35:00</x:v>
      </x:c>
      <x:c r="C628" s="39" t="str">
        <x:v>2026-08-01T02:40:00</x:v>
      </x:c>
      <x:c r="D628" s="47" t="n">
        <x:v>5</x:v>
      </x:c>
      <x:c r="E628" s="40" t="n">
        <x:v>12</x:v>
      </x:c>
      <x:c r="F628" s="40" t="n">
        <x:v>9.914684295654297</x:v>
      </x:c>
      <x:c r="G628" s="40" t="n">
        <x:v>12</x:v>
      </x:c>
      <x:c r="H628" s="40" t="n">
        <x:f>F628-E628</x:f>
        <x:v>-2.085315704345703</x:v>
      </x:c>
      <x:c r="I628" s="40" t="n">
        <x:f>ABS(H628)</x:f>
        <x:v>2.085315704345703</x:v>
      </x:c>
      <x:c r="J628" s="40" t="n">
        <x:f>H628^2</x:f>
        <x:v>4.348541586790816</x:v>
      </x:c>
      <x:c r="K628" s="40" t="n">
        <x:f>G628-E628</x:f>
        <x:v>0</x:v>
      </x:c>
      <x:c r="L628" s="40" t="n">
        <x:f>ABS(K628)</x:f>
        <x:v>0</x:v>
      </x:c>
      <x:c r="M628" s="41" t="str">
        <x:v>lstm-soil-v1</x:v>
      </x:c>
    </x:row>
    <x:row r="629">
      <x:c r="A629" s="38" t="str">
        <x:v>7月30日现场数据</x:v>
      </x:c>
      <x:c r="B629" s="39" t="str">
        <x:v>2026-08-01T02:35:00</x:v>
      </x:c>
      <x:c r="C629" s="39" t="str">
        <x:v>2026-08-01T02:50:00</x:v>
      </x:c>
      <x:c r="D629" s="47" t="n">
        <x:v>15</x:v>
      </x:c>
      <x:c r="E629" s="40" t="n">
        <x:v>12</x:v>
      </x:c>
      <x:c r="F629" s="40" t="n">
        <x:v>9.971004486083984</x:v>
      </x:c>
      <x:c r="G629" s="40" t="n">
        <x:v>12</x:v>
      </x:c>
      <x:c r="H629" s="40" t="n">
        <x:f>F629-E629</x:f>
        <x:v>-2.0289955139160156</x:v>
      </x:c>
      <x:c r="I629" s="40" t="n">
        <x:f>ABS(H629)</x:f>
        <x:v>2.0289955139160156</x:v>
      </x:c>
      <x:c r="J629" s="40" t="n">
        <x:f>H629^2</x:f>
        <x:v>4.116822795491316</x:v>
      </x:c>
      <x:c r="K629" s="40" t="n">
        <x:f>G629-E629</x:f>
        <x:v>0</x:v>
      </x:c>
      <x:c r="L629" s="40" t="n">
        <x:f>ABS(K629)</x:f>
        <x:v>0</x:v>
      </x:c>
      <x:c r="M629" s="41" t="str">
        <x:v>lstm-soil-v1</x:v>
      </x:c>
    </x:row>
    <x:row r="630">
      <x:c r="A630" s="38" t="str">
        <x:v>7月30日现场数据</x:v>
      </x:c>
      <x:c r="B630" s="39" t="str">
        <x:v>2026-08-01T02:35:00</x:v>
      </x:c>
      <x:c r="C630" s="39" t="str">
        <x:v>2026-08-01T03:05:00</x:v>
      </x:c>
      <x:c r="D630" s="47" t="n">
        <x:v>30</x:v>
      </x:c>
      <x:c r="E630" s="40" t="n">
        <x:v>12</x:v>
      </x:c>
      <x:c r="F630" s="40" t="n">
        <x:v>10.467178344726562</x:v>
      </x:c>
      <x:c r="G630" s="40" t="n">
        <x:v>12</x:v>
      </x:c>
      <x:c r="H630" s="40" t="n">
        <x:f>F630-E630</x:f>
        <x:v>-1.5328216552734375</x:v>
      </x:c>
      <x:c r="I630" s="40" t="n">
        <x:f>ABS(H630)</x:f>
        <x:v>1.5328216552734375</x:v>
      </x:c>
      <x:c r="J630" s="40" t="n">
        <x:f>H630^2</x:f>
        <x:v>2.349542226875201</x:v>
      </x:c>
      <x:c r="K630" s="40" t="n">
        <x:f>G630-E630</x:f>
        <x:v>0</x:v>
      </x:c>
      <x:c r="L630" s="40" t="n">
        <x:f>ABS(K630)</x:f>
        <x:v>0</x:v>
      </x:c>
      <x:c r="M630" s="41" t="str">
        <x:v>lstm-soil-v1</x:v>
      </x:c>
    </x:row>
    <x:row r="631">
      <x:c r="A631" s="38" t="str">
        <x:v>7月30日现场数据</x:v>
      </x:c>
      <x:c r="B631" s="39" t="str">
        <x:v>2026-08-01T02:35:00</x:v>
      </x:c>
      <x:c r="C631" s="39" t="str">
        <x:v>2026-08-01T03:35:00</x:v>
      </x:c>
      <x:c r="D631" s="47" t="n">
        <x:v>60</x:v>
      </x:c>
      <x:c r="E631" s="40" t="n">
        <x:v>12</x:v>
      </x:c>
      <x:c r="F631" s="40" t="n">
        <x:v>12.041080474853516</x:v>
      </x:c>
      <x:c r="G631" s="40" t="n">
        <x:v>12</x:v>
      </x:c>
      <x:c r="H631" s="40" t="n">
        <x:f>F631-E631</x:f>
        <x:v>0.041080474853515625</x:v>
      </x:c>
      <x:c r="I631" s="40" t="n">
        <x:f>ABS(H631)</x:f>
        <x:v>0.041080474853515625</x:v>
      </x:c>
      <x:c r="J631" s="40" t="n">
        <x:f>H631^2</x:f>
        <x:v>0.0016876054141903296</x:v>
      </x:c>
      <x:c r="K631" s="40" t="n">
        <x:f>G631-E631</x:f>
        <x:v>0</x:v>
      </x:c>
      <x:c r="L631" s="40" t="n">
        <x:f>ABS(K631)</x:f>
        <x:v>0</x:v>
      </x:c>
      <x:c r="M631" s="41" t="str">
        <x:v>lstm-soil-v1</x:v>
      </x:c>
    </x:row>
    <x:row r="632">
      <x:c r="A632" s="38" t="str">
        <x:v>7月30日现场数据</x:v>
      </x:c>
      <x:c r="B632" s="39" t="str">
        <x:v>2026-08-01T02:40:00</x:v>
      </x:c>
      <x:c r="C632" s="39" t="str">
        <x:v>2026-08-01T02:45:00</x:v>
      </x:c>
      <x:c r="D632" s="47" t="n">
        <x:v>5</x:v>
      </x:c>
      <x:c r="E632" s="40" t="n">
        <x:v>12</x:v>
      </x:c>
      <x:c r="F632" s="40" t="n">
        <x:v>9.915119171142578</x:v>
      </x:c>
      <x:c r="G632" s="40" t="n">
        <x:v>12</x:v>
      </x:c>
      <x:c r="H632" s="40" t="n">
        <x:f>F632-E632</x:f>
        <x:v>-2.084880828857422</x:v>
      </x:c>
      <x:c r="I632" s="40" t="n">
        <x:f>ABS(H632)</x:f>
        <x:v>2.084880828857422</x:v>
      </x:c>
      <x:c r="J632" s="40" t="n">
        <x:f>H632^2</x:f>
        <x:v>4.34672807053721</x:v>
      </x:c>
      <x:c r="K632" s="40" t="n">
        <x:f>G632-E632</x:f>
        <x:v>0</x:v>
      </x:c>
      <x:c r="L632" s="40" t="n">
        <x:f>ABS(K632)</x:f>
        <x:v>0</x:v>
      </x:c>
      <x:c r="M632" s="41" t="str">
        <x:v>lstm-soil-v1</x:v>
      </x:c>
    </x:row>
    <x:row r="633">
      <x:c r="A633" s="38" t="str">
        <x:v>7月30日现场数据</x:v>
      </x:c>
      <x:c r="B633" s="39" t="str">
        <x:v>2026-08-01T02:40:00</x:v>
      </x:c>
      <x:c r="C633" s="39" t="str">
        <x:v>2026-08-01T02:55:00</x:v>
      </x:c>
      <x:c r="D633" s="47" t="n">
        <x:v>15</x:v>
      </x:c>
      <x:c r="E633" s="40" t="n">
        <x:v>12</x:v>
      </x:c>
      <x:c r="F633" s="40" t="n">
        <x:v>9.971424102783203</x:v>
      </x:c>
      <x:c r="G633" s="40" t="n">
        <x:v>12</x:v>
      </x:c>
      <x:c r="H633" s="40" t="n">
        <x:f>F633-E633</x:f>
        <x:v>-2.028575897216797</x:v>
      </x:c>
      <x:c r="I633" s="40" t="n">
        <x:f>ABS(H633)</x:f>
        <x:v>2.028575897216797</x:v>
      </x:c>
      <x:c r="J633" s="40" t="n">
        <x:f>H633^2</x:f>
        <x:v>4.115120170768932</x:v>
      </x:c>
      <x:c r="K633" s="40" t="n">
        <x:f>G633-E633</x:f>
        <x:v>0</x:v>
      </x:c>
      <x:c r="L633" s="40" t="n">
        <x:f>ABS(K633)</x:f>
        <x:v>0</x:v>
      </x:c>
      <x:c r="M633" s="41" t="str">
        <x:v>lstm-soil-v1</x:v>
      </x:c>
    </x:row>
    <x:row r="634">
      <x:c r="A634" s="38" t="str">
        <x:v>7月30日现场数据</x:v>
      </x:c>
      <x:c r="B634" s="39" t="str">
        <x:v>2026-08-01T02:40:00</x:v>
      </x:c>
      <x:c r="C634" s="39" t="str">
        <x:v>2026-08-01T03:10:00</x:v>
      </x:c>
      <x:c r="D634" s="47" t="n">
        <x:v>30</x:v>
      </x:c>
      <x:c r="E634" s="40" t="n">
        <x:v>12</x:v>
      </x:c>
      <x:c r="F634" s="40" t="n">
        <x:v>10.467464447021484</x:v>
      </x:c>
      <x:c r="G634" s="40" t="n">
        <x:v>12</x:v>
      </x:c>
      <x:c r="H634" s="40" t="n">
        <x:f>F634-E634</x:f>
        <x:v>-1.5325355529785156</x:v>
      </x:c>
      <x:c r="I634" s="40" t="n">
        <x:f>ABS(H634)</x:f>
        <x:v>1.5325355529785156</x:v>
      </x:c>
      <x:c r="J634" s="40" t="n">
        <x:f>H634^2</x:f>
        <x:v>2.3486652211431647</x:v>
      </x:c>
      <x:c r="K634" s="40" t="n">
        <x:f>G634-E634</x:f>
        <x:v>0</x:v>
      </x:c>
      <x:c r="L634" s="40" t="n">
        <x:f>ABS(K634)</x:f>
        <x:v>0</x:v>
      </x:c>
      <x:c r="M634" s="41" t="str">
        <x:v>lstm-soil-v1</x:v>
      </x:c>
    </x:row>
    <x:row r="635">
      <x:c r="A635" s="38" t="str">
        <x:v>7月30日现场数据</x:v>
      </x:c>
      <x:c r="B635" s="39" t="str">
        <x:v>2026-08-01T02:40:00</x:v>
      </x:c>
      <x:c r="C635" s="39" t="str">
        <x:v>2026-08-01T03:40:00</x:v>
      </x:c>
      <x:c r="D635" s="47" t="n">
        <x:v>60</x:v>
      </x:c>
      <x:c r="E635" s="40" t="n">
        <x:v>12</x:v>
      </x:c>
      <x:c r="F635" s="40" t="n">
        <x:v>12.041812896728516</x:v>
      </x:c>
      <x:c r="G635" s="40" t="n">
        <x:v>12</x:v>
      </x:c>
      <x:c r="H635" s="40" t="n">
        <x:f>F635-E635</x:f>
        <x:v>0.041812896728515625</x:v>
      </x:c>
      <x:c r="I635" s="40" t="n">
        <x:f>ABS(H635)</x:f>
        <x:v>0.041812896728515625</x:v>
      </x:c>
      <x:c r="J635" s="40" t="n">
        <x:f>H635^2</x:f>
        <x:v>0.0017483183328295127</x:v>
      </x:c>
      <x:c r="K635" s="40" t="n">
        <x:f>G635-E635</x:f>
        <x:v>0</x:v>
      </x:c>
      <x:c r="L635" s="40" t="n">
        <x:f>ABS(K635)</x:f>
        <x:v>0</x:v>
      </x:c>
      <x:c r="M635" s="41" t="str">
        <x:v>lstm-soil-v1</x:v>
      </x:c>
    </x:row>
    <x:row r="636">
      <x:c r="A636" s="38" t="str">
        <x:v>7月30日现场数据</x:v>
      </x:c>
      <x:c r="B636" s="39" t="str">
        <x:v>2026-08-01T02:45:00</x:v>
      </x:c>
      <x:c r="C636" s="39" t="str">
        <x:v>2026-08-01T02:50:00</x:v>
      </x:c>
      <x:c r="D636" s="47" t="n">
        <x:v>5</x:v>
      </x:c>
      <x:c r="E636" s="40" t="n">
        <x:v>12</x:v>
      </x:c>
      <x:c r="F636" s="40" t="n">
        <x:v>9.915081024169922</x:v>
      </x:c>
      <x:c r="G636" s="40" t="n">
        <x:v>12</x:v>
      </x:c>
      <x:c r="H636" s="40" t="n">
        <x:f>F636-E636</x:f>
        <x:v>-2.084918975830078</x:v>
      </x:c>
      <x:c r="I636" s="40" t="n">
        <x:f>ABS(H636)</x:f>
        <x:v>2.084918975830078</x:v>
      </x:c>
      <x:c r="J636" s="40" t="n">
        <x:f>H636^2</x:f>
        <x:v>4.346887135776342</x:v>
      </x:c>
      <x:c r="K636" s="40" t="n">
        <x:f>G636-E636</x:f>
        <x:v>0</x:v>
      </x:c>
      <x:c r="L636" s="40" t="n">
        <x:f>ABS(K636)</x:f>
        <x:v>0</x:v>
      </x:c>
      <x:c r="M636" s="41" t="str">
        <x:v>lstm-soil-v1</x:v>
      </x:c>
    </x:row>
    <x:row r="637">
      <x:c r="A637" s="38" t="str">
        <x:v>7月30日现场数据</x:v>
      </x:c>
      <x:c r="B637" s="39" t="str">
        <x:v>2026-08-01T02:45:00</x:v>
      </x:c>
      <x:c r="C637" s="39" t="str">
        <x:v>2026-08-01T03:00:00</x:v>
      </x:c>
      <x:c r="D637" s="47" t="n">
        <x:v>15</x:v>
      </x:c>
      <x:c r="E637" s="40" t="n">
        <x:v>12</x:v>
      </x:c>
      <x:c r="F637" s="40" t="n">
        <x:v>9.971015930175781</x:v>
      </x:c>
      <x:c r="G637" s="40" t="n">
        <x:v>12</x:v>
      </x:c>
      <x:c r="H637" s="40" t="n">
        <x:f>F637-E637</x:f>
        <x:v>-2.0289840698242188</x:v>
      </x:c>
      <x:c r="I637" s="40" t="n">
        <x:f>ABS(H637)</x:f>
        <x:v>2.0289840698242188</x:v>
      </x:c>
      <x:c r="J637" s="40" t="n">
        <x:f>H637^2</x:f>
        <x:v>4.11677635560045</x:v>
      </x:c>
      <x:c r="K637" s="40" t="n">
        <x:f>G637-E637</x:f>
        <x:v>0</x:v>
      </x:c>
      <x:c r="L637" s="40" t="n">
        <x:f>ABS(K637)</x:f>
        <x:v>0</x:v>
      </x:c>
      <x:c r="M637" s="41" t="str">
        <x:v>lstm-soil-v1</x:v>
      </x:c>
    </x:row>
    <x:row r="638">
      <x:c r="A638" s="38" t="str">
        <x:v>7月30日现场数据</x:v>
      </x:c>
      <x:c r="B638" s="39" t="str">
        <x:v>2026-08-01T02:45:00</x:v>
      </x:c>
      <x:c r="C638" s="39" t="str">
        <x:v>2026-08-01T03:15:00</x:v>
      </x:c>
      <x:c r="D638" s="47" t="n">
        <x:v>30</x:v>
      </x:c>
      <x:c r="E638" s="40" t="n">
        <x:v>12</x:v>
      </x:c>
      <x:c r="F638" s="40" t="n">
        <x:v>10.467506408691406</x:v>
      </x:c>
      <x:c r="G638" s="40" t="n">
        <x:v>12</x:v>
      </x:c>
      <x:c r="H638" s="40" t="n">
        <x:f>F638-E638</x:f>
        <x:v>-1.5324935913085938</x:v>
      </x:c>
      <x:c r="I638" s="40" t="n">
        <x:f>ABS(H638)</x:f>
        <x:v>1.5324935913085938</x:v>
      </x:c>
      <x:c r="J638" s="40" t="n">
        <x:f>H638^2</x:f>
        <x:v>2.348536607401911</x:v>
      </x:c>
      <x:c r="K638" s="40" t="n">
        <x:f>G638-E638</x:f>
        <x:v>0</x:v>
      </x:c>
      <x:c r="L638" s="40" t="n">
        <x:f>ABS(K638)</x:f>
        <x:v>0</x:v>
      </x:c>
      <x:c r="M638" s="41" t="str">
        <x:v>lstm-soil-v1</x:v>
      </x:c>
    </x:row>
    <x:row r="639">
      <x:c r="A639" s="38" t="str">
        <x:v>7月30日现场数据</x:v>
      </x:c>
      <x:c r="B639" s="39" t="str">
        <x:v>2026-08-01T02:45:00</x:v>
      </x:c>
      <x:c r="C639" s="39" t="str">
        <x:v>2026-08-01T03:45:00</x:v>
      </x:c>
      <x:c r="D639" s="47" t="n">
        <x:v>60</x:v>
      </x:c>
      <x:c r="E639" s="40" t="n">
        <x:v>12</x:v>
      </x:c>
      <x:c r="F639" s="40" t="n">
        <x:v>12.042648315429688</x:v>
      </x:c>
      <x:c r="G639" s="40" t="n">
        <x:v>12</x:v>
      </x:c>
      <x:c r="H639" s="40" t="n">
        <x:f>F639-E639</x:f>
        <x:v>0.0426483154296875</x:v>
      </x:c>
      <x:c r="I639" s="40" t="n">
        <x:f>ABS(H639)</x:f>
        <x:v>0.0426483154296875</x:v>
      </x:c>
      <x:c r="J639" s="40" t="n">
        <x:f>H639^2</x:f>
        <x:v>0.0018188788089901209</x:v>
      </x:c>
      <x:c r="K639" s="40" t="n">
        <x:f>G639-E639</x:f>
        <x:v>0</x:v>
      </x:c>
      <x:c r="L639" s="40" t="n">
        <x:f>ABS(K639)</x:f>
        <x:v>0</x:v>
      </x:c>
      <x:c r="M639" s="41" t="str">
        <x:v>lstm-soil-v1</x:v>
      </x:c>
    </x:row>
    <x:row r="640">
      <x:c r="A640" s="38" t="str">
        <x:v>7月30日现场数据</x:v>
      </x:c>
      <x:c r="B640" s="39" t="str">
        <x:v>2026-08-01T02:50:00</x:v>
      </x:c>
      <x:c r="C640" s="39" t="str">
        <x:v>2026-08-01T02:55:00</x:v>
      </x:c>
      <x:c r="D640" s="47" t="n">
        <x:v>5</x:v>
      </x:c>
      <x:c r="E640" s="40" t="n">
        <x:v>12</x:v>
      </x:c>
      <x:c r="F640" s="40" t="n">
        <x:v>9.915103912353516</x:v>
      </x:c>
      <x:c r="G640" s="40" t="n">
        <x:v>12</x:v>
      </x:c>
      <x:c r="H640" s="40" t="n">
        <x:f>F640-E640</x:f>
        <x:v>-2.0848960876464844</x:v>
      </x:c>
      <x:c r="I640" s="40" t="n">
        <x:f>ABS(H640)</x:f>
        <x:v>2.0848960876464844</x:v>
      </x:c>
      <x:c r="J640" s="40" t="n">
        <x:f>H640^2</x:f>
        <x:v>4.346791696283617</x:v>
      </x:c>
      <x:c r="K640" s="40" t="n">
        <x:f>G640-E640</x:f>
        <x:v>0</x:v>
      </x:c>
      <x:c r="L640" s="40" t="n">
        <x:f>ABS(K640)</x:f>
        <x:v>0</x:v>
      </x:c>
      <x:c r="M640" s="41" t="str">
        <x:v>lstm-soil-v1</x:v>
      </x:c>
    </x:row>
    <x:row r="641">
      <x:c r="A641" s="38" t="str">
        <x:v>7月30日现场数据</x:v>
      </x:c>
      <x:c r="B641" s="39" t="str">
        <x:v>2026-08-01T02:50:00</x:v>
      </x:c>
      <x:c r="C641" s="39" t="str">
        <x:v>2026-08-01T03:05:00</x:v>
      </x:c>
      <x:c r="D641" s="47" t="n">
        <x:v>15</x:v>
      </x:c>
      <x:c r="E641" s="40" t="n">
        <x:v>12</x:v>
      </x:c>
      <x:c r="F641" s="40" t="n">
        <x:v>9.970535278320312</x:v>
      </x:c>
      <x:c r="G641" s="40" t="n">
        <x:v>12</x:v>
      </x:c>
      <x:c r="H641" s="40" t="n">
        <x:f>F641-E641</x:f>
        <x:v>-2.0294647216796875</x:v>
      </x:c>
      <x:c r="I641" s="40" t="n">
        <x:f>ABS(H641)</x:f>
        <x:v>2.0294647216796875</x:v>
      </x:c>
      <x:c r="J641" s="40" t="n">
        <x:f>H641^2</x:f>
        <x:v>4.1187270565424114</x:v>
      </x:c>
      <x:c r="K641" s="40" t="n">
        <x:f>G641-E641</x:f>
        <x:v>0</x:v>
      </x:c>
      <x:c r="L641" s="40" t="n">
        <x:f>ABS(K641)</x:f>
        <x:v>0</x:v>
      </x:c>
      <x:c r="M641" s="41" t="str">
        <x:v>lstm-soil-v1</x:v>
      </x:c>
    </x:row>
    <x:row r="642">
      <x:c r="A642" s="38" t="str">
        <x:v>7月30日现场数据</x:v>
      </x:c>
      <x:c r="B642" s="39" t="str">
        <x:v>2026-08-01T02:50:00</x:v>
      </x:c>
      <x:c r="C642" s="39" t="str">
        <x:v>2026-08-01T03:20:00</x:v>
      </x:c>
      <x:c r="D642" s="47" t="n">
        <x:v>30</x:v>
      </x:c>
      <x:c r="E642" s="40" t="n">
        <x:v>12</x:v>
      </x:c>
      <x:c r="F642" s="40" t="n">
        <x:v>10.467697143554688</x:v>
      </x:c>
      <x:c r="G642" s="40" t="n">
        <x:v>12</x:v>
      </x:c>
      <x:c r="H642" s="40" t="n">
        <x:f>F642-E642</x:f>
        <x:v>-1.5323028564453125</x:v>
      </x:c>
      <x:c r="I642" s="40" t="n">
        <x:f>ABS(H642)</x:f>
        <x:v>1.5323028564453125</x:v>
      </x:c>
      <x:c r="J642" s="40" t="n">
        <x:f>H642^2</x:f>
        <x:v>2.347952043870464</x:v>
      </x:c>
      <x:c r="K642" s="40" t="n">
        <x:f>G642-E642</x:f>
        <x:v>0</x:v>
      </x:c>
      <x:c r="L642" s="40" t="n">
        <x:f>ABS(K642)</x:f>
        <x:v>0</x:v>
      </x:c>
      <x:c r="M642" s="41" t="str">
        <x:v>lstm-soil-v1</x:v>
      </x:c>
    </x:row>
    <x:row r="643">
      <x:c r="A643" s="38" t="str">
        <x:v>7月30日现场数据</x:v>
      </x:c>
      <x:c r="B643" s="39" t="str">
        <x:v>2026-08-01T02:50:00</x:v>
      </x:c>
      <x:c r="C643" s="39" t="str">
        <x:v>2026-08-01T03:50:00</x:v>
      </x:c>
      <x:c r="D643" s="47" t="n">
        <x:v>60</x:v>
      </x:c>
      <x:c r="E643" s="40" t="n">
        <x:v>12</x:v>
      </x:c>
      <x:c r="F643" s="40" t="n">
        <x:v>12.043502807617188</x:v>
      </x:c>
      <x:c r="G643" s="40" t="n">
        <x:v>12</x:v>
      </x:c>
      <x:c r="H643" s="40" t="n">
        <x:f>F643-E643</x:f>
        <x:v>0.0435028076171875</x:v>
      </x:c>
      <x:c r="I643" s="40" t="n">
        <x:f>ABS(H643)</x:f>
        <x:v>0.0435028076171875</x:v>
      </x:c>
      <x:c r="J643" s="40" t="n">
        <x:f>H643^2</x:f>
        <x:v>0.0018924942705780268</x:v>
      </x:c>
      <x:c r="K643" s="40" t="n">
        <x:f>G643-E643</x:f>
        <x:v>0</x:v>
      </x:c>
      <x:c r="L643" s="40" t="n">
        <x:f>ABS(K643)</x:f>
        <x:v>0</x:v>
      </x:c>
      <x:c r="M643" s="41" t="str">
        <x:v>lstm-soil-v1</x:v>
      </x:c>
    </x:row>
    <x:row r="644">
      <x:c r="A644" s="38" t="str">
        <x:v>7月30日现场数据</x:v>
      </x:c>
      <x:c r="B644" s="39" t="str">
        <x:v>2026-08-01T02:55:00</x:v>
      </x:c>
      <x:c r="C644" s="39" t="str">
        <x:v>2026-08-01T03:00:00</x:v>
      </x:c>
      <x:c r="D644" s="47" t="n">
        <x:v>5</x:v>
      </x:c>
      <x:c r="E644" s="40" t="n">
        <x:v>12</x:v>
      </x:c>
      <x:c r="F644" s="40" t="n">
        <x:v>9.915145874023438</x:v>
      </x:c>
      <x:c r="G644" s="40" t="n">
        <x:v>12</x:v>
      </x:c>
      <x:c r="H644" s="40" t="n">
        <x:f>F644-E644</x:f>
        <x:v>-2.0848541259765625</x:v>
      </x:c>
      <x:c r="I644" s="40" t="n">
        <x:f>ABS(H644)</x:f>
        <x:v>2.0848541259765625</x:v>
      </x:c>
      <x:c r="J644" s="40" t="n">
        <x:f>H644^2</x:f>
        <x:v>4.346616726601496</x:v>
      </x:c>
      <x:c r="K644" s="40" t="n">
        <x:f>G644-E644</x:f>
        <x:v>0</x:v>
      </x:c>
      <x:c r="L644" s="40" t="n">
        <x:f>ABS(K644)</x:f>
        <x:v>0</x:v>
      </x:c>
      <x:c r="M644" s="41" t="str">
        <x:v>lstm-soil-v1</x:v>
      </x:c>
    </x:row>
    <x:row r="645">
      <x:c r="A645" s="38" t="str">
        <x:v>7月30日现场数据</x:v>
      </x:c>
      <x:c r="B645" s="39" t="str">
        <x:v>2026-08-01T02:55:00</x:v>
      </x:c>
      <x:c r="C645" s="39" t="str">
        <x:v>2026-08-01T03:10:00</x:v>
      </x:c>
      <x:c r="D645" s="47" t="n">
        <x:v>15</x:v>
      </x:c>
      <x:c r="E645" s="40" t="n">
        <x:v>12</x:v>
      </x:c>
      <x:c r="F645" s="40" t="n">
        <x:v>9.970176696777344</x:v>
      </x:c>
      <x:c r="G645" s="40" t="n">
        <x:v>12</x:v>
      </x:c>
      <x:c r="H645" s="40" t="n">
        <x:f>F645-E645</x:f>
        <x:v>-2.0298233032226562</x:v>
      </x:c>
      <x:c r="I645" s="40" t="n">
        <x:f>ABS(H645)</x:f>
        <x:v>2.0298233032226562</x:v>
      </x:c>
      <x:c r="J645" s="40" t="n">
        <x:f>H645^2</x:f>
        <x:v>4.1201826423057355</x:v>
      </x:c>
      <x:c r="K645" s="40" t="n">
        <x:f>G645-E645</x:f>
        <x:v>0</x:v>
      </x:c>
      <x:c r="L645" s="40" t="n">
        <x:f>ABS(K645)</x:f>
        <x:v>0</x:v>
      </x:c>
      <x:c r="M645" s="41" t="str">
        <x:v>lstm-soil-v1</x:v>
      </x:c>
    </x:row>
    <x:row r="646">
      <x:c r="A646" s="38" t="str">
        <x:v>7月30日现场数据</x:v>
      </x:c>
      <x:c r="B646" s="39" t="str">
        <x:v>2026-08-01T02:55:00</x:v>
      </x:c>
      <x:c r="C646" s="39" t="str">
        <x:v>2026-08-01T03:25:00</x:v>
      </x:c>
      <x:c r="D646" s="47" t="n">
        <x:v>30</x:v>
      </x:c>
      <x:c r="E646" s="40" t="n">
        <x:v>12</x:v>
      </x:c>
      <x:c r="F646" s="40" t="n">
        <x:v>10.467948913574219</x:v>
      </x:c>
      <x:c r="G646" s="40" t="n">
        <x:v>12</x:v>
      </x:c>
      <x:c r="H646" s="40" t="n">
        <x:f>F646-E646</x:f>
        <x:v>-1.5320510864257812</x:v>
      </x:c>
      <x:c r="I646" s="40" t="n">
        <x:f>ABS(H646)</x:f>
        <x:v>1.5320510864257812</x:v>
      </x:c>
      <x:c r="J646" s="40" t="n">
        <x:f>H646^2</x:f>
        <x:v>2.3471805314184166</x:v>
      </x:c>
      <x:c r="K646" s="40" t="n">
        <x:f>G646-E646</x:f>
        <x:v>0</x:v>
      </x:c>
      <x:c r="L646" s="40" t="n">
        <x:f>ABS(K646)</x:f>
        <x:v>0</x:v>
      </x:c>
      <x:c r="M646" s="41" t="str">
        <x:v>lstm-soil-v1</x:v>
      </x:c>
    </x:row>
    <x:row r="647">
      <x:c r="A647" s="38" t="str">
        <x:v>7月30日现场数据</x:v>
      </x:c>
      <x:c r="B647" s="39" t="str">
        <x:v>2026-08-01T02:55:00</x:v>
      </x:c>
      <x:c r="C647" s="39" t="str">
        <x:v>2026-08-01T03:55:00</x:v>
      </x:c>
      <x:c r="D647" s="47" t="n">
        <x:v>60</x:v>
      </x:c>
      <x:c r="E647" s="40" t="n">
        <x:v>12</x:v>
      </x:c>
      <x:c r="F647" s="40" t="n">
        <x:v>12.044170379638672</x:v>
      </x:c>
      <x:c r="G647" s="40" t="n">
        <x:v>12</x:v>
      </x:c>
      <x:c r="H647" s="40" t="n">
        <x:f>F647-E647</x:f>
        <x:v>0.044170379638671875</x:v>
      </x:c>
      <x:c r="I647" s="40" t="n">
        <x:f>ABS(H647)</x:f>
        <x:v>0.044170379638671875</x:v>
      </x:c>
      <x:c r="J647" s="40" t="n">
        <x:f>H647^2</x:f>
        <x:v>0.001951022437424399</x:v>
      </x:c>
      <x:c r="K647" s="40" t="n">
        <x:f>G647-E647</x:f>
        <x:v>0</x:v>
      </x:c>
      <x:c r="L647" s="40" t="n">
        <x:f>ABS(K647)</x:f>
        <x:v>0</x:v>
      </x:c>
      <x:c r="M647" s="41" t="str">
        <x:v>lstm-soil-v1</x:v>
      </x:c>
    </x:row>
    <x:row r="648">
      <x:c r="A648" s="38" t="str">
        <x:v>7月30日现场数据</x:v>
      </x:c>
      <x:c r="B648" s="39" t="str">
        <x:v>2026-08-01T03:00:00</x:v>
      </x:c>
      <x:c r="C648" s="39" t="str">
        <x:v>2026-08-01T03:05:00</x:v>
      </x:c>
      <x:c r="D648" s="47" t="n">
        <x:v>5</x:v>
      </x:c>
      <x:c r="E648" s="40" t="n">
        <x:v>12</x:v>
      </x:c>
      <x:c r="F648" s="40" t="n">
        <x:v>9.913089752197266</x:v>
      </x:c>
      <x:c r="G648" s="40" t="n">
        <x:v>12</x:v>
      </x:c>
      <x:c r="H648" s="40" t="n">
        <x:f>F648-E648</x:f>
        <x:v>-2.0869102478027344</x:v>
      </x:c>
      <x:c r="I648" s="40" t="n">
        <x:f>ABS(H648)</x:f>
        <x:v>2.0869102478027344</x:v>
      </x:c>
      <x:c r="J648" s="40" t="n">
        <x:f>H648^2</x:f>
        <x:v>4.35519438238407</x:v>
      </x:c>
      <x:c r="K648" s="40" t="n">
        <x:f>G648-E648</x:f>
        <x:v>0</x:v>
      </x:c>
      <x:c r="L648" s="40" t="n">
        <x:f>ABS(K648)</x:f>
        <x:v>0</x:v>
      </x:c>
      <x:c r="M648" s="41" t="str">
        <x:v>lstm-soil-v1</x:v>
      </x:c>
    </x:row>
    <x:row r="649">
      <x:c r="A649" s="38" t="str">
        <x:v>7月30日现场数据</x:v>
      </x:c>
      <x:c r="B649" s="39" t="str">
        <x:v>2026-08-01T03:00:00</x:v>
      </x:c>
      <x:c r="C649" s="39" t="str">
        <x:v>2026-08-01T03:15:00</x:v>
      </x:c>
      <x:c r="D649" s="47" t="n">
        <x:v>15</x:v>
      </x:c>
      <x:c r="E649" s="40" t="n">
        <x:v>12</x:v>
      </x:c>
      <x:c r="F649" s="40" t="n">
        <x:v>9.967891693115234</x:v>
      </x:c>
      <x:c r="G649" s="40" t="n">
        <x:v>12</x:v>
      </x:c>
      <x:c r="H649" s="40" t="n">
        <x:f>F649-E649</x:f>
        <x:v>-2.0321083068847656</x:v>
      </x:c>
      <x:c r="I649" s="40" t="n">
        <x:f>ABS(H649)</x:f>
        <x:v>2.0321083068847656</x:v>
      </x:c>
      <x:c r="J649" s="40" t="n">
        <x:f>H649^2</x:f>
        <x:v>4.129464170910069</x:v>
      </x:c>
      <x:c r="K649" s="40" t="n">
        <x:f>G649-E649</x:f>
        <x:v>0</x:v>
      </x:c>
      <x:c r="L649" s="40" t="n">
        <x:f>ABS(K649)</x:f>
        <x:v>0</x:v>
      </x:c>
      <x:c r="M649" s="41" t="str">
        <x:v>lstm-soil-v1</x:v>
      </x:c>
    </x:row>
    <x:row r="650">
      <x:c r="A650" s="38" t="str">
        <x:v>7月30日现场数据</x:v>
      </x:c>
      <x:c r="B650" s="39" t="str">
        <x:v>2026-08-01T03:00:00</x:v>
      </x:c>
      <x:c r="C650" s="39" t="str">
        <x:v>2026-08-01T03:30:00</x:v>
      </x:c>
      <x:c r="D650" s="47" t="n">
        <x:v>30</x:v>
      </x:c>
      <x:c r="E650" s="40" t="n">
        <x:v>12</x:v>
      </x:c>
      <x:c r="F650" s="40" t="n">
        <x:v>10.465133666992188</x:v>
      </x:c>
      <x:c r="G650" s="40" t="n">
        <x:v>12</x:v>
      </x:c>
      <x:c r="H650" s="40" t="n">
        <x:f>F650-E650</x:f>
        <x:v>-1.5348663330078125</x:v>
      </x:c>
      <x:c r="I650" s="40" t="n">
        <x:f>ABS(H650)</x:f>
        <x:v>1.5348663330078125</x:v>
      </x:c>
      <x:c r="J650" s="40" t="n">
        <x:f>H650^2</x:f>
        <x:v>2.355814660200849</x:v>
      </x:c>
      <x:c r="K650" s="40" t="n">
        <x:f>G650-E650</x:f>
        <x:v>0</x:v>
      </x:c>
      <x:c r="L650" s="40" t="n">
        <x:f>ABS(K650)</x:f>
        <x:v>0</x:v>
      </x:c>
      <x:c r="M650" s="41" t="str">
        <x:v>lstm-soil-v1</x:v>
      </x:c>
    </x:row>
    <x:row r="651">
      <x:c r="A651" s="38" t="str">
        <x:v>7月30日现场数据</x:v>
      </x:c>
      <x:c r="B651" s="39" t="str">
        <x:v>2026-08-01T03:00:00</x:v>
      </x:c>
      <x:c r="C651" s="39" t="str">
        <x:v>2026-08-01T04:00:00</x:v>
      </x:c>
      <x:c r="D651" s="47" t="n">
        <x:v>60</x:v>
      </x:c>
      <x:c r="E651" s="40" t="n">
        <x:v>12</x:v>
      </x:c>
      <x:c r="F651" s="40" t="n">
        <x:v>12.042350769042969</x:v>
      </x:c>
      <x:c r="G651" s="40" t="n">
        <x:v>12</x:v>
      </x:c>
      <x:c r="H651" s="40" t="n">
        <x:f>F651-E651</x:f>
        <x:v>0.04235076904296875</x:v>
      </x:c>
      <x:c r="I651" s="40" t="n">
        <x:f>ABS(H651)</x:f>
        <x:v>0.04235076904296875</x:v>
      </x:c>
      <x:c r="J651" s="40" t="n">
        <x:f>H651^2</x:f>
        <x:v>0.0017935876385308802</x:v>
      </x:c>
      <x:c r="K651" s="40" t="n">
        <x:f>G651-E651</x:f>
        <x:v>0</x:v>
      </x:c>
      <x:c r="L651" s="40" t="n">
        <x:f>ABS(K651)</x:f>
        <x:v>0</x:v>
      </x:c>
      <x:c r="M651" s="41" t="str">
        <x:v>lstm-soil-v1</x:v>
      </x:c>
    </x:row>
    <x:row r="652">
      <x:c r="A652" s="38" t="str">
        <x:v>7月30日现场数据</x:v>
      </x:c>
      <x:c r="B652" s="39" t="str">
        <x:v>2026-08-01T03:05:00</x:v>
      </x:c>
      <x:c r="C652" s="39" t="str">
        <x:v>2026-08-01T03:10:00</x:v>
      </x:c>
      <x:c r="D652" s="47" t="n">
        <x:v>5</x:v>
      </x:c>
      <x:c r="E652" s="40" t="n">
        <x:v>12</x:v>
      </x:c>
      <x:c r="F652" s="40" t="n">
        <x:v>9.911300659179688</x:v>
      </x:c>
      <x:c r="G652" s="40" t="n">
        <x:v>12</x:v>
      </x:c>
      <x:c r="H652" s="40" t="n">
        <x:f>F652-E652</x:f>
        <x:v>-2.0886993408203125</x:v>
      </x:c>
      <x:c r="I652" s="40" t="n">
        <x:f>ABS(H652)</x:f>
        <x:v>2.0886993408203125</x:v>
      </x:c>
      <x:c r="J652" s="40" t="n">
        <x:f>H652^2</x:f>
        <x:v>4.362664936343208</x:v>
      </x:c>
      <x:c r="K652" s="40" t="n">
        <x:f>G652-E652</x:f>
        <x:v>0</x:v>
      </x:c>
      <x:c r="L652" s="40" t="n">
        <x:f>ABS(K652)</x:f>
        <x:v>0</x:v>
      </x:c>
      <x:c r="M652" s="41" t="str">
        <x:v>lstm-soil-v1</x:v>
      </x:c>
    </x:row>
    <x:row r="653">
      <x:c r="A653" s="38" t="str">
        <x:v>7月30日现场数据</x:v>
      </x:c>
      <x:c r="B653" s="39" t="str">
        <x:v>2026-08-01T03:05:00</x:v>
      </x:c>
      <x:c r="C653" s="39" t="str">
        <x:v>2026-08-01T03:20:00</x:v>
      </x:c>
      <x:c r="D653" s="47" t="n">
        <x:v>15</x:v>
      </x:c>
      <x:c r="E653" s="40" t="n">
        <x:v>12</x:v>
      </x:c>
      <x:c r="F653" s="40" t="n">
        <x:v>9.966541290283203</x:v>
      </x:c>
      <x:c r="G653" s="40" t="n">
        <x:v>12</x:v>
      </x:c>
      <x:c r="H653" s="40" t="n">
        <x:f>F653-E653</x:f>
        <x:v>-2.033458709716797</x:v>
      </x:c>
      <x:c r="I653" s="40" t="n">
        <x:f>ABS(H653)</x:f>
        <x:v>2.033458709716797</x:v>
      </x:c>
      <x:c r="J653" s="40" t="n">
        <x:f>H653^2</x:f>
        <x:v>4.1349543241231</x:v>
      </x:c>
      <x:c r="K653" s="40" t="n">
        <x:f>G653-E653</x:f>
        <x:v>0</x:v>
      </x:c>
      <x:c r="L653" s="40" t="n">
        <x:f>ABS(K653)</x:f>
        <x:v>0</x:v>
      </x:c>
      <x:c r="M653" s="41" t="str">
        <x:v>lstm-soil-v1</x:v>
      </x:c>
    </x:row>
    <x:row r="654">
      <x:c r="A654" s="38" t="str">
        <x:v>7月30日现场数据</x:v>
      </x:c>
      <x:c r="B654" s="39" t="str">
        <x:v>2026-08-01T03:05:00</x:v>
      </x:c>
      <x:c r="C654" s="39" t="str">
        <x:v>2026-08-01T03:35:00</x:v>
      </x:c>
      <x:c r="D654" s="47" t="n">
        <x:v>30</x:v>
      </x:c>
      <x:c r="E654" s="40" t="n">
        <x:v>12</x:v>
      </x:c>
      <x:c r="F654" s="40" t="n">
        <x:v>10.464298248291016</x:v>
      </x:c>
      <x:c r="G654" s="40" t="n">
        <x:v>12</x:v>
      </x:c>
      <x:c r="H654" s="40" t="n">
        <x:f>F654-E654</x:f>
        <x:v>-1.5357017517089844</x:v>
      </x:c>
      <x:c r="I654" s="40" t="n">
        <x:f>ABS(H654)</x:f>
        <x:v>1.5357017517089844</x:v>
      </x:c>
      <x:c r="J654" s="40" t="n">
        <x:f>H654^2</x:f>
        <x:v>2.358379870202043</x:v>
      </x:c>
      <x:c r="K654" s="40" t="n">
        <x:f>G654-E654</x:f>
        <x:v>0</x:v>
      </x:c>
      <x:c r="L654" s="40" t="n">
        <x:f>ABS(K654)</x:f>
        <x:v>0</x:v>
      </x:c>
      <x:c r="M654" s="41" t="str">
        <x:v>lstm-soil-v1</x:v>
      </x:c>
    </x:row>
    <x:row r="655">
      <x:c r="A655" s="38" t="str">
        <x:v>7月30日现场数据</x:v>
      </x:c>
      <x:c r="B655" s="39" t="str">
        <x:v>2026-08-01T03:05:00</x:v>
      </x:c>
      <x:c r="C655" s="39" t="str">
        <x:v>2026-08-01T04:05:00</x:v>
      </x:c>
      <x:c r="D655" s="47" t="n">
        <x:v>60</x:v>
      </x:c>
      <x:c r="E655" s="40" t="n">
        <x:v>12</x:v>
      </x:c>
      <x:c r="F655" s="40" t="n">
        <x:v>12.040691375732422</x:v>
      </x:c>
      <x:c r="G655" s="40" t="n">
        <x:v>12</x:v>
      </x:c>
      <x:c r="H655" s="40" t="n">
        <x:f>F655-E655</x:f>
        <x:v>0.040691375732421875</x:v>
      </x:c>
      <x:c r="I655" s="40" t="n">
        <x:f>ABS(H655)</x:f>
        <x:v>0.040691375732421875</x:v>
      </x:c>
      <x:c r="J655" s="40" t="n">
        <x:f>H655^2</x:f>
        <x:v>0.0016557880589971319</x:v>
      </x:c>
      <x:c r="K655" s="40" t="n">
        <x:f>G655-E655</x:f>
        <x:v>0</x:v>
      </x:c>
      <x:c r="L655" s="40" t="n">
        <x:f>ABS(K655)</x:f>
        <x:v>0</x:v>
      </x:c>
      <x:c r="M655" s="41" t="str">
        <x:v>lstm-soil-v1</x:v>
      </x:c>
    </x:row>
    <x:row r="656">
      <x:c r="A656" s="38" t="str">
        <x:v>7月30日现场数据</x:v>
      </x:c>
      <x:c r="B656" s="39" t="str">
        <x:v>2026-08-01T03:10:00</x:v>
      </x:c>
      <x:c r="C656" s="39" t="str">
        <x:v>2026-08-01T03:15:00</x:v>
      </x:c>
      <x:c r="D656" s="47" t="n">
        <x:v>5</x:v>
      </x:c>
      <x:c r="E656" s="40" t="n">
        <x:v>12</x:v>
      </x:c>
      <x:c r="F656" s="40" t="n">
        <x:v>9.910274505615234</x:v>
      </x:c>
      <x:c r="G656" s="40" t="n">
        <x:v>12</x:v>
      </x:c>
      <x:c r="H656" s="40" t="n">
        <x:f>F656-E656</x:f>
        <x:v>-2.0897254943847656</x:v>
      </x:c>
      <x:c r="I656" s="40" t="n">
        <x:f>ABS(H656)</x:f>
        <x:v>2.0897254943847656</x:v>
      </x:c>
      <x:c r="J656" s="40" t="n">
        <x:f>H656^2</x:f>
        <x:v>4.366952641881653</x:v>
      </x:c>
      <x:c r="K656" s="40" t="n">
        <x:f>G656-E656</x:f>
        <x:v>0</x:v>
      </x:c>
      <x:c r="L656" s="40" t="n">
        <x:f>ABS(K656)</x:f>
        <x:v>0</x:v>
      </x:c>
      <x:c r="M656" s="41" t="str">
        <x:v>lstm-soil-v1</x:v>
      </x:c>
    </x:row>
    <x:row r="657">
      <x:c r="A657" s="38" t="str">
        <x:v>7月30日现场数据</x:v>
      </x:c>
      <x:c r="B657" s="39" t="str">
        <x:v>2026-08-01T03:10:00</x:v>
      </x:c>
      <x:c r="C657" s="39" t="str">
        <x:v>2026-08-01T03:25:00</x:v>
      </x:c>
      <x:c r="D657" s="47" t="n">
        <x:v>15</x:v>
      </x:c>
      <x:c r="E657" s="40" t="n">
        <x:v>12</x:v>
      </x:c>
      <x:c r="F657" s="40" t="n">
        <x:v>9.965808868408203</x:v>
      </x:c>
      <x:c r="G657" s="40" t="n">
        <x:v>12</x:v>
      </x:c>
      <x:c r="H657" s="40" t="n">
        <x:f>F657-E657</x:f>
        <x:v>-2.034191131591797</x:v>
      </x:c>
      <x:c r="I657" s="40" t="n">
        <x:f>ABS(H657)</x:f>
        <x:v>2.034191131591797</x:v>
      </x:c>
      <x:c r="J657" s="40" t="n">
        <x:f>H657^2</x:f>
        <x:v>4.137933559846715</x:v>
      </x:c>
      <x:c r="K657" s="40" t="n">
        <x:f>G657-E657</x:f>
        <x:v>0</x:v>
      </x:c>
      <x:c r="L657" s="40" t="n">
        <x:f>ABS(K657)</x:f>
        <x:v>0</x:v>
      </x:c>
      <x:c r="M657" s="41" t="str">
        <x:v>lstm-soil-v1</x:v>
      </x:c>
    </x:row>
    <x:row r="658">
      <x:c r="A658" s="38" t="str">
        <x:v>7月30日现场数据</x:v>
      </x:c>
      <x:c r="B658" s="39" t="str">
        <x:v>2026-08-01T03:10:00</x:v>
      </x:c>
      <x:c r="C658" s="39" t="str">
        <x:v>2026-08-01T03:40:00</x:v>
      </x:c>
      <x:c r="D658" s="47" t="n">
        <x:v>30</x:v>
      </x:c>
      <x:c r="E658" s="40" t="n">
        <x:v>12</x:v>
      </x:c>
      <x:c r="F658" s="40" t="n">
        <x:v>10.464454650878906</x:v>
      </x:c>
      <x:c r="G658" s="40" t="n">
        <x:v>12</x:v>
      </x:c>
      <x:c r="H658" s="40" t="n">
        <x:f>F658-E658</x:f>
        <x:v>-1.5355453491210938</x:v>
      </x:c>
      <x:c r="I658" s="40" t="n">
        <x:f>ABS(H658)</x:f>
        <x:v>1.5355453491210938</x:v>
      </x:c>
      <x:c r="J658" s="40" t="n">
        <x:f>H658^2</x:f>
        <x:v>2.3578995192074217</x:v>
      </x:c>
      <x:c r="K658" s="40" t="n">
        <x:f>G658-E658</x:f>
        <x:v>0</x:v>
      </x:c>
      <x:c r="L658" s="40" t="n">
        <x:f>ABS(K658)</x:f>
        <x:v>0</x:v>
      </x:c>
      <x:c r="M658" s="41" t="str">
        <x:v>lstm-soil-v1</x:v>
      </x:c>
    </x:row>
    <x:row r="659">
      <x:c r="A659" s="38" t="str">
        <x:v>7月30日现场数据</x:v>
      </x:c>
      <x:c r="B659" s="39" t="str">
        <x:v>2026-08-01T03:10:00</x:v>
      </x:c>
      <x:c r="C659" s="39" t="str">
        <x:v>2026-08-01T04:10:00</x:v>
      </x:c>
      <x:c r="D659" s="47" t="n">
        <x:v>60</x:v>
      </x:c>
      <x:c r="E659" s="40" t="n">
        <x:v>11.9</x:v>
      </x:c>
      <x:c r="F659" s="40" t="n">
        <x:v>12.040077209472656</x:v>
      </x:c>
      <x:c r="G659" s="40" t="n">
        <x:v>12</x:v>
      </x:c>
      <x:c r="H659" s="40" t="n">
        <x:f>F659-E659</x:f>
        <x:v>0.1400772094726559</x:v>
      </x:c>
      <x:c r="I659" s="40" t="n">
        <x:f>ABS(H659)</x:f>
        <x:v>0.1400772094726559</x:v>
      </x:c>
      <x:c r="J659" s="40" t="n">
        <x:f>H659^2</x:f>
        <x:v>0.01962162461364632</x:v>
      </x:c>
      <x:c r="K659" s="40" t="n">
        <x:f>G659-E659</x:f>
        <x:v>0.09999999999999964</x:v>
      </x:c>
      <x:c r="L659" s="40" t="n">
        <x:f>ABS(K659)</x:f>
        <x:v>0.09999999999999964</x:v>
      </x:c>
      <x:c r="M659" s="41" t="str">
        <x:v>lstm-soil-v1</x:v>
      </x:c>
    </x:row>
    <x:row r="660">
      <x:c r="A660" s="38" t="str">
        <x:v>7月30日现场数据</x:v>
      </x:c>
      <x:c r="B660" s="39" t="str">
        <x:v>2026-08-01T03:15:00</x:v>
      </x:c>
      <x:c r="C660" s="39" t="str">
        <x:v>2026-08-01T03:20:00</x:v>
      </x:c>
      <x:c r="D660" s="47" t="n">
        <x:v>5</x:v>
      </x:c>
      <x:c r="E660" s="40" t="n">
        <x:v>12</x:v>
      </x:c>
      <x:c r="F660" s="40" t="n">
        <x:v>9.90982437133789</x:v>
      </x:c>
      <x:c r="G660" s="40" t="n">
        <x:v>12</x:v>
      </x:c>
      <x:c r="H660" s="40" t="n">
        <x:f>F660-E660</x:f>
        <x:v>-2.0901756286621094</x:v>
      </x:c>
      <x:c r="I660" s="40" t="n">
        <x:f>ABS(H660)</x:f>
        <x:v>2.0901756286621094</x:v>
      </x:c>
      <x:c r="J660" s="40" t="n">
        <x:f>H660^2</x:f>
        <x:v>4.368834158653044</x:v>
      </x:c>
      <x:c r="K660" s="40" t="n">
        <x:f>G660-E660</x:f>
        <x:v>0</x:v>
      </x:c>
      <x:c r="L660" s="40" t="n">
        <x:f>ABS(K660)</x:f>
        <x:v>0</x:v>
      </x:c>
      <x:c r="M660" s="41" t="str">
        <x:v>lstm-soil-v1</x:v>
      </x:c>
    </x:row>
    <x:row r="661">
      <x:c r="A661" s="38" t="str">
        <x:v>7月30日现场数据</x:v>
      </x:c>
      <x:c r="B661" s="39" t="str">
        <x:v>2026-08-01T03:15:00</x:v>
      </x:c>
      <x:c r="C661" s="39" t="str">
        <x:v>2026-08-01T03:30:00</x:v>
      </x:c>
      <x:c r="D661" s="47" t="n">
        <x:v>15</x:v>
      </x:c>
      <x:c r="E661" s="40" t="n">
        <x:v>12</x:v>
      </x:c>
      <x:c r="F661" s="40" t="n">
        <x:v>9.96542739868164</x:v>
      </x:c>
      <x:c r="G661" s="40" t="n">
        <x:v>12</x:v>
      </x:c>
      <x:c r="H661" s="40" t="n">
        <x:f>F661-E661</x:f>
        <x:v>-2.0345726013183594</x:v>
      </x:c>
      <x:c r="I661" s="40" t="n">
        <x:f>ABS(H661)</x:f>
        <x:v>2.0345726013183594</x:v>
      </x:c>
      <x:c r="J661" s="40" t="n">
        <x:f>H661^2</x:f>
        <x:v>4.139485670035356</x:v>
      </x:c>
      <x:c r="K661" s="40" t="n">
        <x:f>G661-E661</x:f>
        <x:v>0</x:v>
      </x:c>
      <x:c r="L661" s="40" t="n">
        <x:f>ABS(K661)</x:f>
        <x:v>0</x:v>
      </x:c>
      <x:c r="M661" s="41" t="str">
        <x:v>lstm-soil-v1</x:v>
      </x:c>
    </x:row>
    <x:row r="662">
      <x:c r="A662" s="38" t="str">
        <x:v>7月30日现场数据</x:v>
      </x:c>
      <x:c r="B662" s="39" t="str">
        <x:v>2026-08-01T03:15:00</x:v>
      </x:c>
      <x:c r="C662" s="39" t="str">
        <x:v>2026-08-01T03:45:00</x:v>
      </x:c>
      <x:c r="D662" s="47" t="n">
        <x:v>30</x:v>
      </x:c>
      <x:c r="E662" s="40" t="n">
        <x:v>12</x:v>
      </x:c>
      <x:c r="F662" s="40" t="n">
        <x:v>10.465042114257812</x:v>
      </x:c>
      <x:c r="G662" s="40" t="n">
        <x:v>12</x:v>
      </x:c>
      <x:c r="H662" s="40" t="n">
        <x:f>F662-E662</x:f>
        <x:v>-1.5349578857421875</x:v>
      </x:c>
      <x:c r="I662" s="40" t="n">
        <x:f>ABS(H662)</x:f>
        <x:v>1.5349578857421875</x:v>
      </x:c>
      <x:c r="J662" s="40" t="n">
        <x:f>H662^2</x:f>
        <x:v>2.3560957110021263</x:v>
      </x:c>
      <x:c r="K662" s="40" t="n">
        <x:f>G662-E662</x:f>
        <x:v>0</x:v>
      </x:c>
      <x:c r="L662" s="40" t="n">
        <x:f>ABS(K662)</x:f>
        <x:v>0</x:v>
      </x:c>
      <x:c r="M662" s="41" t="str">
        <x:v>lstm-soil-v1</x:v>
      </x:c>
    </x:row>
    <x:row r="663">
      <x:c r="A663" s="38" t="str">
        <x:v>7月30日现场数据</x:v>
      </x:c>
      <x:c r="B663" s="39" t="str">
        <x:v>2026-08-01T03:15:00</x:v>
      </x:c>
      <x:c r="C663" s="39" t="str">
        <x:v>2026-08-01T04:15:00</x:v>
      </x:c>
      <x:c r="D663" s="47" t="n">
        <x:v>60</x:v>
      </x:c>
      <x:c r="E663" s="40" t="n">
        <x:v>12</x:v>
      </x:c>
      <x:c r="F663" s="40" t="n">
        <x:v>12.040168762207031</x:v>
      </x:c>
      <x:c r="G663" s="40" t="n">
        <x:v>12</x:v>
      </x:c>
      <x:c r="H663" s="40" t="n">
        <x:f>F663-E663</x:f>
        <x:v>0.04016876220703125</x:v>
      </x:c>
      <x:c r="I663" s="40" t="n">
        <x:f>ABS(H663)</x:f>
        <x:v>0.04016876220703125</x:v>
      </x:c>
      <x:c r="J663" s="40" t="n">
        <x:f>H663^2</x:f>
        <x:v>0.001613529457245022</x:v>
      </x:c>
      <x:c r="K663" s="40" t="n">
        <x:f>G663-E663</x:f>
        <x:v>0</x:v>
      </x:c>
      <x:c r="L663" s="40" t="n">
        <x:f>ABS(K663)</x:f>
        <x:v>0</x:v>
      </x:c>
      <x:c r="M663" s="41" t="str">
        <x:v>lstm-soil-v1</x:v>
      </x:c>
    </x:row>
    <x:row r="664">
      <x:c r="A664" s="38" t="str">
        <x:v>7月30日现场数据</x:v>
      </x:c>
      <x:c r="B664" s="39" t="str">
        <x:v>2026-08-01T03:20:00</x:v>
      </x:c>
      <x:c r="C664" s="39" t="str">
        <x:v>2026-08-01T03:25:00</x:v>
      </x:c>
      <x:c r="D664" s="47" t="n">
        <x:v>5</x:v>
      </x:c>
      <x:c r="E664" s="40" t="n">
        <x:v>12</x:v>
      </x:c>
      <x:c r="F664" s="40" t="n">
        <x:v>9.909744262695312</x:v>
      </x:c>
      <x:c r="G664" s="40" t="n">
        <x:v>12</x:v>
      </x:c>
      <x:c r="H664" s="40" t="n">
        <x:f>F664-E664</x:f>
        <x:v>-2.0902557373046875</x:v>
      </x:c>
      <x:c r="I664" s="40" t="n">
        <x:f>ABS(H664)</x:f>
        <x:v>2.0902557373046875</x:v>
      </x:c>
      <x:c r="J664" s="40" t="n">
        <x:f>H664^2</x:f>
        <x:v>4.369169047335163</x:v>
      </x:c>
      <x:c r="K664" s="40" t="n">
        <x:f>G664-E664</x:f>
        <x:v>0</x:v>
      </x:c>
      <x:c r="L664" s="40" t="n">
        <x:f>ABS(K664)</x:f>
        <x:v>0</x:v>
      </x:c>
      <x:c r="M664" s="41" t="str">
        <x:v>lstm-soil-v1</x:v>
      </x:c>
    </x:row>
    <x:row r="665">
      <x:c r="A665" s="38" t="str">
        <x:v>7月30日现场数据</x:v>
      </x:c>
      <x:c r="B665" s="39" t="str">
        <x:v>2026-08-01T03:20:00</x:v>
      </x:c>
      <x:c r="C665" s="39" t="str">
        <x:v>2026-08-01T03:35:00</x:v>
      </x:c>
      <x:c r="D665" s="47" t="n">
        <x:v>15</x:v>
      </x:c>
      <x:c r="E665" s="40" t="n">
        <x:v>12</x:v>
      </x:c>
      <x:c r="F665" s="40" t="n">
        <x:v>9.965255737304688</x:v>
      </x:c>
      <x:c r="G665" s="40" t="n">
        <x:v>12</x:v>
      </x:c>
      <x:c r="H665" s="40" t="n">
        <x:f>F665-E665</x:f>
        <x:v>-2.0347442626953125</x:v>
      </x:c>
      <x:c r="I665" s="40" t="n">
        <x:f>ABS(H665)</x:f>
        <x:v>2.0347442626953125</x:v>
      </x:c>
      <x:c r="J665" s="40" t="n">
        <x:f>H665^2</x:f>
        <x:v>4.140184214571491</x:v>
      </x:c>
      <x:c r="K665" s="40" t="n">
        <x:f>G665-E665</x:f>
        <x:v>0</x:v>
      </x:c>
      <x:c r="L665" s="40" t="n">
        <x:f>ABS(K665)</x:f>
        <x:v>0</x:v>
      </x:c>
      <x:c r="M665" s="41" t="str">
        <x:v>lstm-soil-v1</x:v>
      </x:c>
    </x:row>
    <x:row r="666">
      <x:c r="A666" s="38" t="str">
        <x:v>7月30日现场数据</x:v>
      </x:c>
      <x:c r="B666" s="39" t="str">
        <x:v>2026-08-01T03:20:00</x:v>
      </x:c>
      <x:c r="C666" s="39" t="str">
        <x:v>2026-08-01T03:50:00</x:v>
      </x:c>
      <x:c r="D666" s="47" t="n">
        <x:v>30</x:v>
      </x:c>
      <x:c r="E666" s="40" t="n">
        <x:v>12</x:v>
      </x:c>
      <x:c r="F666" s="40" t="n">
        <x:v>10.465770721435547</x:v>
      </x:c>
      <x:c r="G666" s="40" t="n">
        <x:v>12</x:v>
      </x:c>
      <x:c r="H666" s="40" t="n">
        <x:f>F666-E666</x:f>
        <x:v>-1.5342292785644531</x:v>
      </x:c>
      <x:c r="I666" s="40" t="n">
        <x:f>ABS(H666)</x:f>
        <x:v>1.5342292785644531</x:v>
      </x:c>
      <x:c r="J666" s="40" t="n">
        <x:f>H666^2</x:f>
        <x:v>2.3538594792044023</x:v>
      </x:c>
      <x:c r="K666" s="40" t="n">
        <x:f>G666-E666</x:f>
        <x:v>0</x:v>
      </x:c>
      <x:c r="L666" s="40" t="n">
        <x:f>ABS(K666)</x:f>
        <x:v>0</x:v>
      </x:c>
      <x:c r="M666" s="41" t="str">
        <x:v>lstm-soil-v1</x:v>
      </x:c>
    </x:row>
    <x:row r="667">
      <x:c r="A667" s="38" t="str">
        <x:v>7月30日现场数据</x:v>
      </x:c>
      <x:c r="B667" s="39" t="str">
        <x:v>2026-08-01T03:20:00</x:v>
      </x:c>
      <x:c r="C667" s="39" t="str">
        <x:v>2026-08-01T04:20:00</x:v>
      </x:c>
      <x:c r="D667" s="47" t="n">
        <x:v>60</x:v>
      </x:c>
      <x:c r="E667" s="40" t="n">
        <x:v>12</x:v>
      </x:c>
      <x:c r="F667" s="40" t="n">
        <x:v>12.040607452392578</x:v>
      </x:c>
      <x:c r="G667" s="40" t="n">
        <x:v>12</x:v>
      </x:c>
      <x:c r="H667" s="40" t="n">
        <x:f>F667-E667</x:f>
        <x:v>0.040607452392578125</x:v>
      </x:c>
      <x:c r="I667" s="40" t="n">
        <x:f>ABS(H667)</x:f>
        <x:v>0.040607452392578125</x:v>
      </x:c>
      <x:c r="J667" s="40" t="n">
        <x:f>H667^2</x:f>
        <x:v>0.0016489651898154989</x:v>
      </x:c>
      <x:c r="K667" s="40" t="n">
        <x:f>G667-E667</x:f>
        <x:v>0</x:v>
      </x:c>
      <x:c r="L667" s="40" t="n">
        <x:f>ABS(K667)</x:f>
        <x:v>0</x:v>
      </x:c>
      <x:c r="M667" s="41" t="str">
        <x:v>lstm-soil-v1</x:v>
      </x:c>
    </x:row>
    <x:row r="668">
      <x:c r="A668" s="38" t="str">
        <x:v>7月30日现场数据</x:v>
      </x:c>
      <x:c r="B668" s="39" t="str">
        <x:v>2026-08-01T03:25:00</x:v>
      </x:c>
      <x:c r="C668" s="39" t="str">
        <x:v>2026-08-01T03:30:00</x:v>
      </x:c>
      <x:c r="D668" s="47" t="n">
        <x:v>5</x:v>
      </x:c>
      <x:c r="E668" s="40" t="n">
        <x:v>12</x:v>
      </x:c>
      <x:c r="F668" s="40" t="n">
        <x:v>9.90982437133789</x:v>
      </x:c>
      <x:c r="G668" s="40" t="n">
        <x:v>12</x:v>
      </x:c>
      <x:c r="H668" s="40" t="n">
        <x:f>F668-E668</x:f>
        <x:v>-2.0901756286621094</x:v>
      </x:c>
      <x:c r="I668" s="40" t="n">
        <x:f>ABS(H668)</x:f>
        <x:v>2.0901756286621094</x:v>
      </x:c>
      <x:c r="J668" s="40" t="n">
        <x:f>H668^2</x:f>
        <x:v>4.368834158653044</x:v>
      </x:c>
      <x:c r="K668" s="40" t="n">
        <x:f>G668-E668</x:f>
        <x:v>0</x:v>
      </x:c>
      <x:c r="L668" s="40" t="n">
        <x:f>ABS(K668)</x:f>
        <x:v>0</x:v>
      </x:c>
      <x:c r="M668" s="41" t="str">
        <x:v>lstm-soil-v1</x:v>
      </x:c>
    </x:row>
    <x:row r="669">
      <x:c r="A669" s="38" t="str">
        <x:v>7月30日现场数据</x:v>
      </x:c>
      <x:c r="B669" s="39" t="str">
        <x:v>2026-08-01T03:25:00</x:v>
      </x:c>
      <x:c r="C669" s="39" t="str">
        <x:v>2026-08-01T03:40:00</x:v>
      </x:c>
      <x:c r="D669" s="47" t="n">
        <x:v>15</x:v>
      </x:c>
      <x:c r="E669" s="40" t="n">
        <x:v>12</x:v>
      </x:c>
      <x:c r="F669" s="40" t="n">
        <x:v>9.965167999267578</x:v>
      </x:c>
      <x:c r="G669" s="40" t="n">
        <x:v>12</x:v>
      </x:c>
      <x:c r="H669" s="40" t="n">
        <x:f>F669-E669</x:f>
        <x:v>-2.034832000732422</x:v>
      </x:c>
      <x:c r="I669" s="40" t="n">
        <x:f>ABS(H669)</x:f>
        <x:v>2.034832000732422</x:v>
      </x:c>
      <x:c r="J669" s="40" t="n">
        <x:f>H669^2</x:f>
        <x:v>4.140541271204711</x:v>
      </x:c>
      <x:c r="K669" s="40" t="n">
        <x:f>G669-E669</x:f>
        <x:v>0</x:v>
      </x:c>
      <x:c r="L669" s="40" t="n">
        <x:f>ABS(K669)</x:f>
        <x:v>0</x:v>
      </x:c>
      <x:c r="M669" s="41" t="str">
        <x:v>lstm-soil-v1</x:v>
      </x:c>
    </x:row>
    <x:row r="670">
      <x:c r="A670" s="38" t="str">
        <x:v>7月30日现场数据</x:v>
      </x:c>
      <x:c r="B670" s="39" t="str">
        <x:v>2026-08-01T03:25:00</x:v>
      </x:c>
      <x:c r="C670" s="39" t="str">
        <x:v>2026-08-01T03:55:00</x:v>
      </x:c>
      <x:c r="D670" s="47" t="n">
        <x:v>30</x:v>
      </x:c>
      <x:c r="E670" s="40" t="n">
        <x:v>12</x:v>
      </x:c>
      <x:c r="F670" s="40" t="n">
        <x:v>10.466445922851562</x:v>
      </x:c>
      <x:c r="G670" s="40" t="n">
        <x:v>12</x:v>
      </x:c>
      <x:c r="H670" s="40" t="n">
        <x:f>F670-E670</x:f>
        <x:v>-1.5335540771484375</x:v>
      </x:c>
      <x:c r="I670" s="40" t="n">
        <x:f>ABS(H670)</x:f>
        <x:v>1.5335540771484375</x:v>
      </x:c>
      <x:c r="J670" s="40" t="n">
        <x:f>H670^2</x:f>
        <x:v>2.351788107538596</x:v>
      </x:c>
      <x:c r="K670" s="40" t="n">
        <x:f>G670-E670</x:f>
        <x:v>0</x:v>
      </x:c>
      <x:c r="L670" s="40" t="n">
        <x:f>ABS(K670)</x:f>
        <x:v>0</x:v>
      </x:c>
      <x:c r="M670" s="41" t="str">
        <x:v>lstm-soil-v1</x:v>
      </x:c>
    </x:row>
    <x:row r="671">
      <x:c r="A671" s="38" t="str">
        <x:v>7月30日现场数据</x:v>
      </x:c>
      <x:c r="B671" s="39" t="str">
        <x:v>2026-08-01T03:25:00</x:v>
      </x:c>
      <x:c r="C671" s="39" t="str">
        <x:v>2026-08-01T04:25:00</x:v>
      </x:c>
      <x:c r="D671" s="47" t="n">
        <x:v>60</x:v>
      </x:c>
      <x:c r="E671" s="40" t="n">
        <x:v>12</x:v>
      </x:c>
      <x:c r="F671" s="40" t="n">
        <x:v>12.041160583496094</x:v>
      </x:c>
      <x:c r="G671" s="40" t="n">
        <x:v>12</x:v>
      </x:c>
      <x:c r="H671" s="40" t="n">
        <x:f>F671-E671</x:f>
        <x:v>0.04116058349609375</x:v>
      </x:c>
      <x:c r="I671" s="40" t="n">
        <x:f>ABS(H671)</x:f>
        <x:v>0.04116058349609375</x:v>
      </x:c>
      <x:c r="J671" s="40" t="n">
        <x:f>H671^2</x:f>
        <x:v>0.0016941936337389052</x:v>
      </x:c>
      <x:c r="K671" s="40" t="n">
        <x:f>G671-E671</x:f>
        <x:v>0</x:v>
      </x:c>
      <x:c r="L671" s="40" t="n">
        <x:f>ABS(K671)</x:f>
        <x:v>0</x:v>
      </x:c>
      <x:c r="M671" s="41" t="str">
        <x:v>lstm-soil-v1</x:v>
      </x:c>
    </x:row>
    <x:row r="672">
      <x:c r="A672" s="38" t="str">
        <x:v>7月30日现场数据</x:v>
      </x:c>
      <x:c r="B672" s="39" t="str">
        <x:v>2026-08-01T03:30:00</x:v>
      </x:c>
      <x:c r="C672" s="39" t="str">
        <x:v>2026-08-01T03:35:00</x:v>
      </x:c>
      <x:c r="D672" s="47" t="n">
        <x:v>5</x:v>
      </x:c>
      <x:c r="E672" s="40" t="n">
        <x:v>12</x:v>
      </x:c>
      <x:c r="F672" s="40" t="n">
        <x:v>9.910003662109375</x:v>
      </x:c>
      <x:c r="G672" s="40" t="n">
        <x:v>12</x:v>
      </x:c>
      <x:c r="H672" s="40" t="n">
        <x:f>F672-E672</x:f>
        <x:v>-2.089996337890625</x:v>
      </x:c>
      <x:c r="I672" s="40" t="n">
        <x:f>ABS(H672)</x:f>
        <x:v>2.089996337890625</x:v>
      </x:c>
      <x:c r="J672" s="40" t="n">
        <x:f>H672^2</x:f>
        <x:v>4.3680846923962235</x:v>
      </x:c>
      <x:c r="K672" s="40" t="n">
        <x:f>G672-E672</x:f>
        <x:v>0</x:v>
      </x:c>
      <x:c r="L672" s="40" t="n">
        <x:f>ABS(K672)</x:f>
        <x:v>0</x:v>
      </x:c>
      <x:c r="M672" s="41" t="str">
        <x:v>lstm-soil-v1</x:v>
      </x:c>
    </x:row>
    <x:row r="673">
      <x:c r="A673" s="38" t="str">
        <x:v>7月30日现场数据</x:v>
      </x:c>
      <x:c r="B673" s="39" t="str">
        <x:v>2026-08-01T03:30:00</x:v>
      </x:c>
      <x:c r="C673" s="39" t="str">
        <x:v>2026-08-01T03:45:00</x:v>
      </x:c>
      <x:c r="D673" s="47" t="n">
        <x:v>15</x:v>
      </x:c>
      <x:c r="E673" s="40" t="n">
        <x:v>12</x:v>
      </x:c>
      <x:c r="F673" s="40" t="n">
        <x:v>9.965164184570312</x:v>
      </x:c>
      <x:c r="G673" s="40" t="n">
        <x:v>12</x:v>
      </x:c>
      <x:c r="H673" s="40" t="n">
        <x:f>F673-E673</x:f>
        <x:v>-2.0348358154296875</x:v>
      </x:c>
      <x:c r="I673" s="40" t="n">
        <x:f>ABS(H673)</x:f>
        <x:v>2.0348358154296875</x:v>
      </x:c>
      <x:c r="J673" s="40" t="n">
        <x:f>H673^2</x:f>
        <x:v>4.140556795755401</x:v>
      </x:c>
      <x:c r="K673" s="40" t="n">
        <x:f>G673-E673</x:f>
        <x:v>0</x:v>
      </x:c>
      <x:c r="L673" s="40" t="n">
        <x:f>ABS(K673)</x:f>
        <x:v>0</x:v>
      </x:c>
      <x:c r="M673" s="41" t="str">
        <x:v>lstm-soil-v1</x:v>
      </x:c>
    </x:row>
    <x:row r="674">
      <x:c r="A674" s="38" t="str">
        <x:v>7月30日现场数据</x:v>
      </x:c>
      <x:c r="B674" s="39" t="str">
        <x:v>2026-08-01T03:30:00</x:v>
      </x:c>
      <x:c r="C674" s="39" t="str">
        <x:v>2026-08-01T04:00:00</x:v>
      </x:c>
      <x:c r="D674" s="47" t="n">
        <x:v>30</x:v>
      </x:c>
      <x:c r="E674" s="40" t="n">
        <x:v>12</x:v>
      </x:c>
      <x:c r="F674" s="40" t="n">
        <x:v>10.467052459716797</x:v>
      </x:c>
      <x:c r="G674" s="40" t="n">
        <x:v>12</x:v>
      </x:c>
      <x:c r="H674" s="40" t="n">
        <x:f>F674-E674</x:f>
        <x:v>-1.5329475402832031</x:v>
      </x:c>
      <x:c r="I674" s="40" t="n">
        <x:f>ABS(H674)</x:f>
        <x:v>1.5329475402832031</x:v>
      </x:c>
      <x:c r="J674" s="40" t="n">
        <x:f>H674^2</x:f>
        <x:v>2.3499281612603227</x:v>
      </x:c>
      <x:c r="K674" s="40" t="n">
        <x:f>G674-E674</x:f>
        <x:v>0</x:v>
      </x:c>
      <x:c r="L674" s="40" t="n">
        <x:f>ABS(K674)</x:f>
        <x:v>0</x:v>
      </x:c>
      <x:c r="M674" s="41" t="str">
        <x:v>lstm-soil-v1</x:v>
      </x:c>
    </x:row>
    <x:row r="675">
      <x:c r="A675" s="38" t="str">
        <x:v>7月30日现场数据</x:v>
      </x:c>
      <x:c r="B675" s="39" t="str">
        <x:v>2026-08-01T03:30:00</x:v>
      </x:c>
      <x:c r="C675" s="39" t="str">
        <x:v>2026-08-01T04:30:00</x:v>
      </x:c>
      <x:c r="D675" s="47" t="n">
        <x:v>60</x:v>
      </x:c>
      <x:c r="E675" s="40" t="n">
        <x:v>12</x:v>
      </x:c>
      <x:c r="F675" s="40" t="n">
        <x:v>12.041709899902344</x:v>
      </x:c>
      <x:c r="G675" s="40" t="n">
        <x:v>12</x:v>
      </x:c>
      <x:c r="H675" s="40" t="n">
        <x:f>F675-E675</x:f>
        <x:v>0.04170989990234375</x:v>
      </x:c>
      <x:c r="I675" s="40" t="n">
        <x:f>ABS(H675)</x:f>
        <x:v>0.04170989990234375</x:v>
      </x:c>
      <x:c r="J675" s="40" t="n">
        <x:f>H675^2</x:f>
        <x:v>0.0017397157498635352</x:v>
      </x:c>
      <x:c r="K675" s="40" t="n">
        <x:f>G675-E675</x:f>
        <x:v>0</x:v>
      </x:c>
      <x:c r="L675" s="40" t="n">
        <x:f>ABS(K675)</x:f>
        <x:v>0</x:v>
      </x:c>
      <x:c r="M675" s="41" t="str">
        <x:v>lstm-soil-v1</x:v>
      </x:c>
    </x:row>
    <x:row r="676">
      <x:c r="A676" s="38" t="str">
        <x:v>7月30日现场数据</x:v>
      </x:c>
      <x:c r="B676" s="39" t="str">
        <x:v>2026-08-01T03:35:00</x:v>
      </x:c>
      <x:c r="C676" s="39" t="str">
        <x:v>2026-08-01T03:40:00</x:v>
      </x:c>
      <x:c r="D676" s="47" t="n">
        <x:v>5</x:v>
      </x:c>
      <x:c r="E676" s="40" t="n">
        <x:v>12</x:v>
      </x:c>
      <x:c r="F676" s="40" t="n">
        <x:v>9.910186767578125</x:v>
      </x:c>
      <x:c r="G676" s="40" t="n">
        <x:v>12</x:v>
      </x:c>
      <x:c r="H676" s="40" t="n">
        <x:f>F676-E676</x:f>
        <x:v>-2.089813232421875</x:v>
      </x:c>
      <x:c r="I676" s="40" t="n">
        <x:f>ABS(H676)</x:f>
        <x:v>2.089813232421875</x:v>
      </x:c>
      <x:c r="J676" s="40" t="n">
        <x:f>H676^2</x:f>
        <x:v>4.367319346405566</x:v>
      </x:c>
      <x:c r="K676" s="40" t="n">
        <x:f>G676-E676</x:f>
        <x:v>0</x:v>
      </x:c>
      <x:c r="L676" s="40" t="n">
        <x:f>ABS(K676)</x:f>
        <x:v>0</x:v>
      </x:c>
      <x:c r="M676" s="41" t="str">
        <x:v>lstm-soil-v1</x:v>
      </x:c>
    </x:row>
    <x:row r="677">
      <x:c r="A677" s="38" t="str">
        <x:v>7月30日现场数据</x:v>
      </x:c>
      <x:c r="B677" s="39" t="str">
        <x:v>2026-08-01T03:35:00</x:v>
      </x:c>
      <x:c r="C677" s="39" t="str">
        <x:v>2026-08-01T03:50:00</x:v>
      </x:c>
      <x:c r="D677" s="47" t="n">
        <x:v>15</x:v>
      </x:c>
      <x:c r="E677" s="40" t="n">
        <x:v>12</x:v>
      </x:c>
      <x:c r="F677" s="40" t="n">
        <x:v>9.965187072753906</x:v>
      </x:c>
      <x:c r="G677" s="40" t="n">
        <x:v>12</x:v>
      </x:c>
      <x:c r="H677" s="40" t="n">
        <x:f>F677-E677</x:f>
        <x:v>-2.0348129272460938</x:v>
      </x:c>
      <x:c r="I677" s="40" t="n">
        <x:f>ABS(H677)</x:f>
        <x:v>2.0348129272460938</x:v>
      </x:c>
      <x:c r="J677" s="40" t="n">
        <x:f>H677^2</x:f>
        <x:v>4.140463648887817</x:v>
      </x:c>
      <x:c r="K677" s="40" t="n">
        <x:f>G677-E677</x:f>
        <x:v>0</x:v>
      </x:c>
      <x:c r="L677" s="40" t="n">
        <x:f>ABS(K677)</x:f>
        <x:v>0</x:v>
      </x:c>
      <x:c r="M677" s="41" t="str">
        <x:v>lstm-soil-v1</x:v>
      </x:c>
    </x:row>
    <x:row r="678">
      <x:c r="A678" s="38" t="str">
        <x:v>7月30日现场数据</x:v>
      </x:c>
      <x:c r="B678" s="39" t="str">
        <x:v>2026-08-01T03:35:00</x:v>
      </x:c>
      <x:c r="C678" s="39" t="str">
        <x:v>2026-08-01T04:05:00</x:v>
      </x:c>
      <x:c r="D678" s="47" t="n">
        <x:v>30</x:v>
      </x:c>
      <x:c r="E678" s="40" t="n">
        <x:v>12</x:v>
      </x:c>
      <x:c r="F678" s="40" t="n">
        <x:v>10.467536926269531</x:v>
      </x:c>
      <x:c r="G678" s="40" t="n">
        <x:v>12</x:v>
      </x:c>
      <x:c r="H678" s="40" t="n">
        <x:f>F678-E678</x:f>
        <x:v>-1.5324630737304688</x:v>
      </x:c>
      <x:c r="I678" s="40" t="n">
        <x:f>ABS(H678)</x:f>
        <x:v>1.5324630737304688</x:v>
      </x:c>
      <x:c r="J678" s="40" t="n">
        <x:f>H678^2</x:f>
        <x:v>2.348443072347436</x:v>
      </x:c>
      <x:c r="K678" s="40" t="n">
        <x:f>G678-E678</x:f>
        <x:v>0</x:v>
      </x:c>
      <x:c r="L678" s="40" t="n">
        <x:f>ABS(K678)</x:f>
        <x:v>0</x:v>
      </x:c>
      <x:c r="M678" s="41" t="str">
        <x:v>lstm-soil-v1</x:v>
      </x:c>
    </x:row>
    <x:row r="679">
      <x:c r="A679" s="38" t="str">
        <x:v>7月30日现场数据</x:v>
      </x:c>
      <x:c r="B679" s="39" t="str">
        <x:v>2026-08-01T03:35:00</x:v>
      </x:c>
      <x:c r="C679" s="39" t="str">
        <x:v>2026-08-01T04:35:00</x:v>
      </x:c>
      <x:c r="D679" s="47" t="n">
        <x:v>60</x:v>
      </x:c>
      <x:c r="E679" s="40" t="n">
        <x:v>12</x:v>
      </x:c>
      <x:c r="F679" s="40" t="n">
        <x:v>12.042186737060547</x:v>
      </x:c>
      <x:c r="G679" s="40" t="n">
        <x:v>12</x:v>
      </x:c>
      <x:c r="H679" s="40" t="n">
        <x:f>F679-E679</x:f>
        <x:v>0.042186737060546875</x:v>
      </x:c>
      <x:c r="I679" s="40" t="n">
        <x:f>ABS(H679)</x:f>
        <x:v>0.042186737060546875</x:v>
      </x:c>
      <x:c r="J679" s="40" t="n">
        <x:f>H679^2</x:f>
        <x:v>0.0017797207838157192</x:v>
      </x:c>
      <x:c r="K679" s="40" t="n">
        <x:f>G679-E679</x:f>
        <x:v>0</x:v>
      </x:c>
      <x:c r="L679" s="40" t="n">
        <x:f>ABS(K679)</x:f>
        <x:v>0</x:v>
      </x:c>
      <x:c r="M679" s="41" t="str">
        <x:v>lstm-soil-v1</x:v>
      </x:c>
    </x:row>
    <x:row r="680">
      <x:c r="A680" s="38" t="str">
        <x:v>7月30日现场数据</x:v>
      </x:c>
      <x:c r="B680" s="39" t="str">
        <x:v>2026-08-01T03:40:00</x:v>
      </x:c>
      <x:c r="C680" s="39" t="str">
        <x:v>2026-08-01T03:45:00</x:v>
      </x:c>
      <x:c r="D680" s="47" t="n">
        <x:v>5</x:v>
      </x:c>
      <x:c r="E680" s="40" t="n">
        <x:v>12</x:v>
      </x:c>
      <x:c r="F680" s="40" t="n">
        <x:v>9.910335540771484</x:v>
      </x:c>
      <x:c r="G680" s="40" t="n">
        <x:v>12</x:v>
      </x:c>
      <x:c r="H680" s="40" t="n">
        <x:f>F680-E680</x:f>
        <x:v>-2.0896644592285156</x:v>
      </x:c>
      <x:c r="I680" s="40" t="n">
        <x:f>ABS(H680)</x:f>
        <x:v>2.0896644592285156</x:v>
      </x:c>
      <x:c r="J680" s="40" t="n">
        <x:f>H680^2</x:f>
        <x:v>4.366697552162805</x:v>
      </x:c>
      <x:c r="K680" s="40" t="n">
        <x:f>G680-E680</x:f>
        <x:v>0</x:v>
      </x:c>
      <x:c r="L680" s="40" t="n">
        <x:f>ABS(K680)</x:f>
        <x:v>0</x:v>
      </x:c>
      <x:c r="M680" s="41" t="str">
        <x:v>lstm-soil-v1</x:v>
      </x:c>
    </x:row>
    <x:row r="681">
      <x:c r="A681" s="38" t="str">
        <x:v>7月30日现场数据</x:v>
      </x:c>
      <x:c r="B681" s="39" t="str">
        <x:v>2026-08-01T03:40:00</x:v>
      </x:c>
      <x:c r="C681" s="39" t="str">
        <x:v>2026-08-01T03:55:00</x:v>
      </x:c>
      <x:c r="D681" s="47" t="n">
        <x:v>15</x:v>
      </x:c>
      <x:c r="E681" s="40" t="n">
        <x:v>12</x:v>
      </x:c>
      <x:c r="F681" s="40" t="n">
        <x:v>9.965190887451172</x:v>
      </x:c>
      <x:c r="G681" s="40" t="n">
        <x:v>12</x:v>
      </x:c>
      <x:c r="H681" s="40" t="n">
        <x:f>F681-E681</x:f>
        <x:v>-2.034809112548828</x:v>
      </x:c>
      <x:c r="I681" s="40" t="n">
        <x:f>ABS(H681)</x:f>
        <x:v>2.034809112548828</x:v>
      </x:c>
      <x:c r="J681" s="40" t="n">
        <x:f>H681^2</x:f>
        <x:v>4.1404481245117495</x:v>
      </x:c>
      <x:c r="K681" s="40" t="n">
        <x:f>G681-E681</x:f>
        <x:v>0</x:v>
      </x:c>
      <x:c r="L681" s="40" t="n">
        <x:f>ABS(K681)</x:f>
        <x:v>0</x:v>
      </x:c>
      <x:c r="M681" s="41" t="str">
        <x:v>lstm-soil-v1</x:v>
      </x:c>
    </x:row>
    <x:row r="682">
      <x:c r="A682" s="38" t="str">
        <x:v>7月30日现场数据</x:v>
      </x:c>
      <x:c r="B682" s="39" t="str">
        <x:v>2026-08-01T03:40:00</x:v>
      </x:c>
      <x:c r="C682" s="39" t="str">
        <x:v>2026-08-01T04:10:00</x:v>
      </x:c>
      <x:c r="D682" s="47" t="n">
        <x:v>30</x:v>
      </x:c>
      <x:c r="E682" s="40" t="n">
        <x:v>11.9</x:v>
      </x:c>
      <x:c r="F682" s="40" t="n">
        <x:v>10.467876434326172</x:v>
      </x:c>
      <x:c r="G682" s="40" t="n">
        <x:v>12</x:v>
      </x:c>
      <x:c r="H682" s="40" t="n">
        <x:f>F682-E682</x:f>
        <x:v>-1.4321235656738285</x:v>
      </x:c>
      <x:c r="I682" s="40" t="n">
        <x:f>ABS(H682)</x:f>
        <x:v>1.4321235656738285</x:v>
      </x:c>
      <x:c r="J682" s="40" t="n">
        <x:f>H682^2</x:f>
        <x:v>2.0509779073583205</x:v>
      </x:c>
      <x:c r="K682" s="40" t="n">
        <x:f>G682-E682</x:f>
        <x:v>0.09999999999999964</x:v>
      </x:c>
      <x:c r="L682" s="40" t="n">
        <x:f>ABS(K682)</x:f>
        <x:v>0.09999999999999964</x:v>
      </x:c>
      <x:c r="M682" s="41" t="str">
        <x:v>lstm-soil-v1</x:v>
      </x:c>
    </x:row>
    <x:row r="683">
      <x:c r="A683" s="38" t="str">
        <x:v>7月30日现场数据</x:v>
      </x:c>
      <x:c r="B683" s="39" t="str">
        <x:v>2026-08-01T03:40:00</x:v>
      </x:c>
      <x:c r="C683" s="39" t="str">
        <x:v>2026-08-01T04:40:00</x:v>
      </x:c>
      <x:c r="D683" s="47" t="n">
        <x:v>60</x:v>
      </x:c>
      <x:c r="E683" s="40" t="n">
        <x:v>12</x:v>
      </x:c>
      <x:c r="F683" s="40" t="n">
        <x:v>12.042564392089844</x:v>
      </x:c>
      <x:c r="G683" s="40" t="n">
        <x:v>12</x:v>
      </x:c>
      <x:c r="H683" s="40" t="n">
        <x:f>F683-E683</x:f>
        <x:v>0.04256439208984375</x:v>
      </x:c>
      <x:c r="I683" s="40" t="n">
        <x:f>ABS(H683)</x:f>
        <x:v>0.04256439208984375</x:v>
      </x:c>
      <x:c r="J683" s="40" t="n">
        <x:f>H683^2</x:f>
        <x:v>0.0018117274739779532</x:v>
      </x:c>
      <x:c r="K683" s="40" t="n">
        <x:f>G683-E683</x:f>
        <x:v>0</x:v>
      </x:c>
      <x:c r="L683" s="40" t="n">
        <x:f>ABS(K683)</x:f>
        <x:v>0</x:v>
      </x:c>
      <x:c r="M683" s="41" t="str">
        <x:v>lstm-soil-v1</x:v>
      </x:c>
    </x:row>
    <x:row r="684">
      <x:c r="A684" s="38" t="str">
        <x:v>7月30日现场数据</x:v>
      </x:c>
      <x:c r="B684" s="39" t="str">
        <x:v>2026-08-01T03:45:00</x:v>
      </x:c>
      <x:c r="C684" s="39" t="str">
        <x:v>2026-08-01T03:50:00</x:v>
      </x:c>
      <x:c r="D684" s="47" t="n">
        <x:v>5</x:v>
      </x:c>
      <x:c r="E684" s="40" t="n">
        <x:v>12</x:v>
      </x:c>
      <x:c r="F684" s="40" t="n">
        <x:v>9.910446166992188</x:v>
      </x:c>
      <x:c r="G684" s="40" t="n">
        <x:v>12</x:v>
      </x:c>
      <x:c r="H684" s="40" t="n">
        <x:f>F684-E684</x:f>
        <x:v>-2.0895538330078125</x:v>
      </x:c>
      <x:c r="I684" s="40" t="n">
        <x:f>ABS(H684)</x:f>
        <x:v>2.0895538330078125</x:v>
      </x:c>
      <x:c r="J684" s="40" t="n">
        <x:f>H684^2</x:f>
        <x:v>4.366235221037641</x:v>
      </x:c>
      <x:c r="K684" s="40" t="n">
        <x:f>G684-E684</x:f>
        <x:v>0</x:v>
      </x:c>
      <x:c r="L684" s="40" t="n">
        <x:f>ABS(K684)</x:f>
        <x:v>0</x:v>
      </x:c>
      <x:c r="M684" s="41" t="str">
        <x:v>lstm-soil-v1</x:v>
      </x:c>
    </x:row>
    <x:row r="685">
      <x:c r="A685" s="38" t="str">
        <x:v>7月30日现场数据</x:v>
      </x:c>
      <x:c r="B685" s="39" t="str">
        <x:v>2026-08-01T03:45:00</x:v>
      </x:c>
      <x:c r="C685" s="39" t="str">
        <x:v>2026-08-01T04:00:00</x:v>
      </x:c>
      <x:c r="D685" s="47" t="n">
        <x:v>15</x:v>
      </x:c>
      <x:c r="E685" s="40" t="n">
        <x:v>12</x:v>
      </x:c>
      <x:c r="F685" s="40" t="n">
        <x:v>9.965190887451172</x:v>
      </x:c>
      <x:c r="G685" s="40" t="n">
        <x:v>12</x:v>
      </x:c>
      <x:c r="H685" s="40" t="n">
        <x:f>F685-E685</x:f>
        <x:v>-2.034809112548828</x:v>
      </x:c>
      <x:c r="I685" s="40" t="n">
        <x:f>ABS(H685)</x:f>
        <x:v>2.034809112548828</x:v>
      </x:c>
      <x:c r="J685" s="40" t="n">
        <x:f>H685^2</x:f>
        <x:v>4.1404481245117495</x:v>
      </x:c>
      <x:c r="K685" s="40" t="n">
        <x:f>G685-E685</x:f>
        <x:v>0</x:v>
      </x:c>
      <x:c r="L685" s="40" t="n">
        <x:f>ABS(K685)</x:f>
        <x:v>0</x:v>
      </x:c>
      <x:c r="M685" s="41" t="str">
        <x:v>lstm-soil-v1</x:v>
      </x:c>
    </x:row>
    <x:row r="686">
      <x:c r="A686" s="38" t="str">
        <x:v>7月30日现场数据</x:v>
      </x:c>
      <x:c r="B686" s="39" t="str">
        <x:v>2026-08-01T03:45:00</x:v>
      </x:c>
      <x:c r="C686" s="39" t="str">
        <x:v>2026-08-01T04:15:00</x:v>
      </x:c>
      <x:c r="D686" s="47" t="n">
        <x:v>30</x:v>
      </x:c>
      <x:c r="E686" s="40" t="n">
        <x:v>12</x:v>
      </x:c>
      <x:c r="F686" s="40" t="n">
        <x:v>10.468097686767578</x:v>
      </x:c>
      <x:c r="G686" s="40" t="n">
        <x:v>12</x:v>
      </x:c>
      <x:c r="H686" s="40" t="n">
        <x:f>F686-E686</x:f>
        <x:v>-1.5319023132324219</x:v>
      </x:c>
      <x:c r="I686" s="40" t="n">
        <x:f>ABS(H686)</x:f>
        <x:v>1.5319023132324219</x:v>
      </x:c>
      <x:c r="J686" s="40" t="n">
        <x:f>H686^2</x:f>
        <x:v>2.346724697286845</x:v>
      </x:c>
      <x:c r="K686" s="40" t="n">
        <x:f>G686-E686</x:f>
        <x:v>0</x:v>
      </x:c>
      <x:c r="L686" s="40" t="n">
        <x:f>ABS(K686)</x:f>
        <x:v>0</x:v>
      </x:c>
      <x:c r="M686" s="41" t="str">
        <x:v>lstm-soil-v1</x:v>
      </x:c>
    </x:row>
    <x:row r="687">
      <x:c r="A687" s="38" t="str">
        <x:v>7月30日现场数据</x:v>
      </x:c>
      <x:c r="B687" s="39" t="str">
        <x:v>2026-08-01T03:45:00</x:v>
      </x:c>
      <x:c r="C687" s="39" t="str">
        <x:v>2026-08-01T04:45:00</x:v>
      </x:c>
      <x:c r="D687" s="47" t="n">
        <x:v>60</x:v>
      </x:c>
      <x:c r="E687" s="40" t="n">
        <x:v>12</x:v>
      </x:c>
      <x:c r="F687" s="40" t="n">
        <x:v>12.042835235595703</x:v>
      </x:c>
      <x:c r="G687" s="40" t="n">
        <x:v>12</x:v>
      </x:c>
      <x:c r="H687" s="40" t="n">
        <x:f>F687-E687</x:f>
        <x:v>0.042835235595703125</x:v>
      </x:c>
      <x:c r="I687" s="40" t="n">
        <x:f>ABS(H687)</x:f>
        <x:v>0.042835235595703125</x:v>
      </x:c>
      <x:c r="J687" s="40" t="n">
        <x:f>H687^2</x:f>
        <x:v>0.001834857408539392</x:v>
      </x:c>
      <x:c r="K687" s="40" t="n">
        <x:f>G687-E687</x:f>
        <x:v>0</x:v>
      </x:c>
      <x:c r="L687" s="40" t="n">
        <x:f>ABS(K687)</x:f>
        <x:v>0</x:v>
      </x:c>
      <x:c r="M687" s="41" t="str">
        <x:v>lstm-soil-v1</x:v>
      </x:c>
    </x:row>
    <x:row r="688">
      <x:c r="A688" s="38" t="str">
        <x:v>7月30日现场数据</x:v>
      </x:c>
      <x:c r="B688" s="39" t="str">
        <x:v>2026-08-01T03:50:00</x:v>
      </x:c>
      <x:c r="C688" s="39" t="str">
        <x:v>2026-08-01T03:55:00</x:v>
      </x:c>
      <x:c r="D688" s="47" t="n">
        <x:v>5</x:v>
      </x:c>
      <x:c r="E688" s="40" t="n">
        <x:v>12</x:v>
      </x:c>
      <x:c r="F688" s="40" t="n">
        <x:v>9.910545349121094</x:v>
      </x:c>
      <x:c r="G688" s="40" t="n">
        <x:v>12</x:v>
      </x:c>
      <x:c r="H688" s="40" t="n">
        <x:f>F688-E688</x:f>
        <x:v>-2.0894546508789062</x:v>
      </x:c>
      <x:c r="I688" s="40" t="n">
        <x:f>ABS(H688)</x:f>
        <x:v>2.0894546508789062</x:v>
      </x:c>
      <x:c r="J688" s="40" t="n">
        <x:f>H688^2</x:f>
        <x:v>4.365820738079492</x:v>
      </x:c>
      <x:c r="K688" s="40" t="n">
        <x:f>G688-E688</x:f>
        <x:v>0</x:v>
      </x:c>
      <x:c r="L688" s="40" t="n">
        <x:f>ABS(K688)</x:f>
        <x:v>0</x:v>
      </x:c>
      <x:c r="M688" s="41" t="str">
        <x:v>lstm-soil-v1</x:v>
      </x:c>
    </x:row>
    <x:row r="689">
      <x:c r="A689" s="38" t="str">
        <x:v>7月30日现场数据</x:v>
      </x:c>
      <x:c r="B689" s="39" t="str">
        <x:v>2026-08-01T03:50:00</x:v>
      </x:c>
      <x:c r="C689" s="39" t="str">
        <x:v>2026-08-01T04:05:00</x:v>
      </x:c>
      <x:c r="D689" s="47" t="n">
        <x:v>15</x:v>
      </x:c>
      <x:c r="E689" s="40" t="n">
        <x:v>12</x:v>
      </x:c>
      <x:c r="F689" s="40" t="n">
        <x:v>9.965225219726562</x:v>
      </x:c>
      <x:c r="G689" s="40" t="n">
        <x:v>12</x:v>
      </x:c>
      <x:c r="H689" s="40" t="n">
        <x:f>F689-E689</x:f>
        <x:v>-2.0347747802734375</x:v>
      </x:c>
      <x:c r="I689" s="40" t="n">
        <x:f>ABS(H689)</x:f>
        <x:v>2.0347747802734375</x:v>
      </x:c>
      <x:c r="J689" s="40" t="n">
        <x:f>H689^2</x:f>
        <x:v>4.140308406436816</x:v>
      </x:c>
      <x:c r="K689" s="40" t="n">
        <x:f>G689-E689</x:f>
        <x:v>0</x:v>
      </x:c>
      <x:c r="L689" s="40" t="n">
        <x:f>ABS(K689)</x:f>
        <x:v>0</x:v>
      </x:c>
      <x:c r="M689" s="41" t="str">
        <x:v>lstm-soil-v1</x:v>
      </x:c>
    </x:row>
    <x:row r="690">
      <x:c r="A690" s="38" t="str">
        <x:v>7月30日现场数据</x:v>
      </x:c>
      <x:c r="B690" s="39" t="str">
        <x:v>2026-08-01T03:50:00</x:v>
      </x:c>
      <x:c r="C690" s="39" t="str">
        <x:v>2026-08-01T04:20:00</x:v>
      </x:c>
      <x:c r="D690" s="47" t="n">
        <x:v>30</x:v>
      </x:c>
      <x:c r="E690" s="40" t="n">
        <x:v>12</x:v>
      </x:c>
      <x:c r="F690" s="40" t="n">
        <x:v>10.468307495117188</x:v>
      </x:c>
      <x:c r="G690" s="40" t="n">
        <x:v>12</x:v>
      </x:c>
      <x:c r="H690" s="40" t="n">
        <x:f>F690-E690</x:f>
        <x:v>-1.5316925048828125</x:v>
      </x:c>
      <x:c r="I690" s="40" t="n">
        <x:f>ABS(H690)</x:f>
        <x:v>1.5316925048828125</x:v>
      </x:c>
      <x:c r="J690" s="40" t="n">
        <x:f>H690^2</x:f>
        <x:v>2.3460819295141846</x:v>
      </x:c>
      <x:c r="K690" s="40" t="n">
        <x:f>G690-E690</x:f>
        <x:v>0</x:v>
      </x:c>
      <x:c r="L690" s="40" t="n">
        <x:f>ABS(K690)</x:f>
        <x:v>0</x:v>
      </x:c>
      <x:c r="M690" s="41" t="str">
        <x:v>lstm-soil-v1</x:v>
      </x:c>
    </x:row>
    <x:row r="691">
      <x:c r="A691" s="38" t="str">
        <x:v>7月30日现场数据</x:v>
      </x:c>
      <x:c r="B691" s="39" t="str">
        <x:v>2026-08-01T03:50:00</x:v>
      </x:c>
      <x:c r="C691" s="39" t="str">
        <x:v>2026-08-01T04:50:00</x:v>
      </x:c>
      <x:c r="D691" s="47" t="n">
        <x:v>60</x:v>
      </x:c>
      <x:c r="E691" s="40" t="n">
        <x:v>12</x:v>
      </x:c>
      <x:c r="F691" s="40" t="n">
        <x:v>12.043041229248047</x:v>
      </x:c>
      <x:c r="G691" s="40" t="n">
        <x:v>12</x:v>
      </x:c>
      <x:c r="H691" s="40" t="n">
        <x:f>F691-E691</x:f>
        <x:v>0.043041229248046875</x:v>
      </x:c>
      <x:c r="I691" s="40" t="n">
        <x:f>ABS(H691)</x:f>
        <x:v>0.043041229248046875</x:v>
      </x:c>
      <x:c r="J691" s="40" t="n">
        <x:f>H691^2</x:f>
        <x:v>0.0018525474151829258</x:v>
      </x:c>
      <x:c r="K691" s="40" t="n">
        <x:f>G691-E691</x:f>
        <x:v>0</x:v>
      </x:c>
      <x:c r="L691" s="40" t="n">
        <x:f>ABS(K691)</x:f>
        <x:v>0</x:v>
      </x:c>
      <x:c r="M691" s="41" t="str">
        <x:v>lstm-soil-v1</x:v>
      </x:c>
    </x:row>
    <x:row r="692">
      <x:c r="A692" s="38" t="str">
        <x:v>7月30日现场数据</x:v>
      </x:c>
      <x:c r="B692" s="39" t="str">
        <x:v>2026-08-01T03:55:00</x:v>
      </x:c>
      <x:c r="C692" s="39" t="str">
        <x:v>2026-08-01T04:00:00</x:v>
      </x:c>
      <x:c r="D692" s="47" t="n">
        <x:v>5</x:v>
      </x:c>
      <x:c r="E692" s="40" t="n">
        <x:v>12</x:v>
      </x:c>
      <x:c r="F692" s="40" t="n">
        <x:v>9.910652160644531</x:v>
      </x:c>
      <x:c r="G692" s="40" t="n">
        <x:v>12</x:v>
      </x:c>
      <x:c r="H692" s="40" t="n">
        <x:f>F692-E692</x:f>
        <x:v>-2.0893478393554688</x:v>
      </x:c>
      <x:c r="I692" s="40" t="n">
        <x:f>ABS(H692)</x:f>
        <x:v>2.0893478393554688</x:v>
      </x:c>
      <x:c r="J692" s="40" t="n">
        <x:f>H692^2</x:f>
        <x:v>4.365374393819366</x:v>
      </x:c>
      <x:c r="K692" s="40" t="n">
        <x:f>G692-E692</x:f>
        <x:v>0</x:v>
      </x:c>
      <x:c r="L692" s="40" t="n">
        <x:f>ABS(K692)</x:f>
        <x:v>0</x:v>
      </x:c>
      <x:c r="M692" s="41" t="str">
        <x:v>lstm-soil-v1</x:v>
      </x:c>
    </x:row>
    <x:row r="693">
      <x:c r="A693" s="38" t="str">
        <x:v>7月30日现场数据</x:v>
      </x:c>
      <x:c r="B693" s="39" t="str">
        <x:v>2026-08-01T03:55:00</x:v>
      </x:c>
      <x:c r="C693" s="39" t="str">
        <x:v>2026-08-01T04:10:00</x:v>
      </x:c>
      <x:c r="D693" s="47" t="n">
        <x:v>15</x:v>
      </x:c>
      <x:c r="E693" s="40" t="n">
        <x:v>11.9</x:v>
      </x:c>
      <x:c r="F693" s="40" t="n">
        <x:v>9.965362548828125</x:v>
      </x:c>
      <x:c r="G693" s="40" t="n">
        <x:v>12</x:v>
      </x:c>
      <x:c r="H693" s="40" t="n">
        <x:f>F693-E693</x:f>
        <x:v>-1.9346374511718754</x:v>
      </x:c>
      <x:c r="I693" s="40" t="n">
        <x:f>ABS(H693)</x:f>
        <x:v>1.9346374511718754</x:v>
      </x:c>
      <x:c r="J693" s="40" t="n">
        <x:f>H693^2</x:f>
        <x:v>3.7428220674768102</x:v>
      </x:c>
      <x:c r="K693" s="40" t="n">
        <x:f>G693-E693</x:f>
        <x:v>0.09999999999999964</x:v>
      </x:c>
      <x:c r="L693" s="40" t="n">
        <x:f>ABS(K693)</x:f>
        <x:v>0.09999999999999964</x:v>
      </x:c>
      <x:c r="M693" s="41" t="str">
        <x:v>lstm-soil-v1</x:v>
      </x:c>
    </x:row>
    <x:row r="694">
      <x:c r="A694" s="38" t="str">
        <x:v>7月30日现场数据</x:v>
      </x:c>
      <x:c r="B694" s="39" t="str">
        <x:v>2026-08-01T03:55:00</x:v>
      </x:c>
      <x:c r="C694" s="39" t="str">
        <x:v>2026-08-01T04:25:00</x:v>
      </x:c>
      <x:c r="D694" s="47" t="n">
        <x:v>30</x:v>
      </x:c>
      <x:c r="E694" s="40" t="n">
        <x:v>12</x:v>
      </x:c>
      <x:c r="F694" s="40" t="n">
        <x:v>10.468616485595703</x:v>
      </x:c>
      <x:c r="G694" s="40" t="n">
        <x:v>12</x:v>
      </x:c>
      <x:c r="H694" s="40" t="n">
        <x:f>F694-E694</x:f>
        <x:v>-1.5313835144042969</x:v>
      </x:c>
      <x:c r="I694" s="40" t="n">
        <x:f>ABS(H694)</x:f>
        <x:v>1.5313835144042969</x:v>
      </x:c>
      <x:c r="J694" s="40" t="n">
        <x:f>H694^2</x:f>
        <x:v>2.3451354681892553</x:v>
      </x:c>
      <x:c r="K694" s="40" t="n">
        <x:f>G694-E694</x:f>
        <x:v>0</x:v>
      </x:c>
      <x:c r="L694" s="40" t="n">
        <x:f>ABS(K694)</x:f>
        <x:v>0</x:v>
      </x:c>
      <x:c r="M694" s="41" t="str">
        <x:v>lstm-soil-v1</x:v>
      </x:c>
    </x:row>
    <x:row r="695">
      <x:c r="A695" s="38" t="str">
        <x:v>7月30日现场数据</x:v>
      </x:c>
      <x:c r="B695" s="39" t="str">
        <x:v>2026-08-01T03:55:00</x:v>
      </x:c>
      <x:c r="C695" s="39" t="str">
        <x:v>2026-08-01T04:55:00</x:v>
      </x:c>
      <x:c r="D695" s="47" t="n">
        <x:v>60</x:v>
      </x:c>
      <x:c r="E695" s="40" t="n">
        <x:v>12.1</x:v>
      </x:c>
      <x:c r="F695" s="40" t="n">
        <x:v>12.043392181396484</x:v>
      </x:c>
      <x:c r="G695" s="40" t="n">
        <x:v>12</x:v>
      </x:c>
      <x:c r="H695" s="40" t="n">
        <x:f>F695-E695</x:f>
        <x:v>-0.05660781860351527</x:v>
      </x:c>
      <x:c r="I695" s="40" t="n">
        <x:f>ABS(H695)</x:f>
        <x:v>0.05660781860351527</x:v>
      </x:c>
      <x:c r="J695" s="40" t="n">
        <x:f>H695^2</x:f>
        <x:v>0.0032044451270484896</x:v>
      </x:c>
      <x:c r="K695" s="40" t="n">
        <x:f>G695-E695</x:f>
        <x:v>-0.09999999999999964</x:v>
      </x:c>
      <x:c r="L695" s="40" t="n">
        <x:f>ABS(K695)</x:f>
        <x:v>0.09999999999999964</x:v>
      </x:c>
      <x:c r="M695" s="41" t="str">
        <x:v>lstm-soil-v1</x:v>
      </x:c>
    </x:row>
    <x:row r="696">
      <x:c r="A696" s="38" t="str">
        <x:v>7月30日现场数据</x:v>
      </x:c>
      <x:c r="B696" s="39" t="str">
        <x:v>2026-08-01T04:00:00</x:v>
      </x:c>
      <x:c r="C696" s="39" t="str">
        <x:v>2026-08-01T04:05:00</x:v>
      </x:c>
      <x:c r="D696" s="47" t="n">
        <x:v>5</x:v>
      </x:c>
      <x:c r="E696" s="40" t="n">
        <x:v>12</x:v>
      </x:c>
      <x:c r="F696" s="40" t="n">
        <x:v>9.90924072265625</x:v>
      </x:c>
      <x:c r="G696" s="40" t="n">
        <x:v>12</x:v>
      </x:c>
      <x:c r="H696" s="40" t="n">
        <x:f>F696-E696</x:f>
        <x:v>-2.09075927734375</x:v>
      </x:c>
      <x:c r="I696" s="40" t="n">
        <x:f>ABS(H696)</x:f>
        <x:v>2.09075927734375</x:v>
      </x:c>
      <x:c r="J696" s="40" t="n">
        <x:f>H696^2</x:f>
        <x:v>4.37127435579896</x:v>
      </x:c>
      <x:c r="K696" s="40" t="n">
        <x:f>G696-E696</x:f>
        <x:v>0</x:v>
      </x:c>
      <x:c r="L696" s="40" t="n">
        <x:f>ABS(K696)</x:f>
        <x:v>0</x:v>
      </x:c>
      <x:c r="M696" s="41" t="str">
        <x:v>lstm-soil-v1</x:v>
      </x:c>
    </x:row>
    <x:row r="697">
      <x:c r="A697" s="38" t="str">
        <x:v>7月30日现场数据</x:v>
      </x:c>
      <x:c r="B697" s="39" t="str">
        <x:v>2026-08-01T04:00:00</x:v>
      </x:c>
      <x:c r="C697" s="39" t="str">
        <x:v>2026-08-01T04:15:00</x:v>
      </x:c>
      <x:c r="D697" s="47" t="n">
        <x:v>15</x:v>
      </x:c>
      <x:c r="E697" s="40" t="n">
        <x:v>12</x:v>
      </x:c>
      <x:c r="F697" s="40" t="n">
        <x:v>9.963920593261719</x:v>
      </x:c>
      <x:c r="G697" s="40" t="n">
        <x:v>12</x:v>
      </x:c>
      <x:c r="H697" s="40" t="n">
        <x:f>F697-E697</x:f>
        <x:v>-2.0360794067382812</x:v>
      </x:c>
      <x:c r="I697" s="40" t="n">
        <x:f>ABS(H697)</x:f>
        <x:v>2.0360794067382812</x:v>
      </x:c>
      <x:c r="J697" s="40" t="n">
        <x:f>H697^2</x:f>
        <x:v>4.145619350543711</x:v>
      </x:c>
      <x:c r="K697" s="40" t="n">
        <x:f>G697-E697</x:f>
        <x:v>0</x:v>
      </x:c>
      <x:c r="L697" s="40" t="n">
        <x:f>ABS(K697)</x:f>
        <x:v>0</x:v>
      </x:c>
      <x:c r="M697" s="41" t="str">
        <x:v>lstm-soil-v1</x:v>
      </x:c>
    </x:row>
    <x:row r="698">
      <x:c r="A698" s="38" t="str">
        <x:v>7月30日现场数据</x:v>
      </x:c>
      <x:c r="B698" s="39" t="str">
        <x:v>2026-08-01T04:00:00</x:v>
      </x:c>
      <x:c r="C698" s="39" t="str">
        <x:v>2026-08-01T04:30:00</x:v>
      </x:c>
      <x:c r="D698" s="47" t="n">
        <x:v>30</x:v>
      </x:c>
      <x:c r="E698" s="40" t="n">
        <x:v>12</x:v>
      </x:c>
      <x:c r="F698" s="40" t="n">
        <x:v>10.466453552246094</x:v>
      </x:c>
      <x:c r="G698" s="40" t="n">
        <x:v>12</x:v>
      </x:c>
      <x:c r="H698" s="40" t="n">
        <x:f>F698-E698</x:f>
        <x:v>-1.5335464477539062</x:v>
      </x:c>
      <x:c r="I698" s="40" t="n">
        <x:f>ABS(H698)</x:f>
        <x:v>1.5335464477539062</x:v>
      </x:c>
      <x:c r="J698" s="40" t="n">
        <x:f>H698^2</x:f>
        <x:v>2.3517647074186243</x:v>
      </x:c>
      <x:c r="K698" s="40" t="n">
        <x:f>G698-E698</x:f>
        <x:v>0</x:v>
      </x:c>
      <x:c r="L698" s="40" t="n">
        <x:f>ABS(K698)</x:f>
        <x:v>0</x:v>
      </x:c>
      <x:c r="M698" s="41" t="str">
        <x:v>lstm-soil-v1</x:v>
      </x:c>
    </x:row>
    <x:row r="699">
      <x:c r="A699" s="38" t="str">
        <x:v>7月30日现场数据</x:v>
      </x:c>
      <x:c r="B699" s="39" t="str">
        <x:v>2026-08-01T04:00:00</x:v>
      </x:c>
      <x:c r="C699" s="39" t="str">
        <x:v>2026-08-01T05:00:00</x:v>
      </x:c>
      <x:c r="D699" s="47" t="n">
        <x:v>60</x:v>
      </x:c>
      <x:c r="E699" s="40" t="n">
        <x:v>12</x:v>
      </x:c>
      <x:c r="F699" s="40" t="n">
        <x:v>12.042869567871094</x:v>
      </x:c>
      <x:c r="G699" s="40" t="n">
        <x:v>12</x:v>
      </x:c>
      <x:c r="H699" s="40" t="n">
        <x:f>F699-E699</x:f>
        <x:v>0.04286956787109375</x:v>
      </x:c>
      <x:c r="I699" s="40" t="n">
        <x:f>ABS(H699)</x:f>
        <x:v>0.04286956787109375</x:v>
      </x:c>
      <x:c r="J699" s="40" t="n">
        <x:f>H699^2</x:f>
        <x:v>0.0018377998494543135</x:v>
      </x:c>
      <x:c r="K699" s="40" t="n">
        <x:f>G699-E699</x:f>
        <x:v>0</x:v>
      </x:c>
      <x:c r="L699" s="40" t="n">
        <x:f>ABS(K699)</x:f>
        <x:v>0</x:v>
      </x:c>
      <x:c r="M699" s="41" t="str">
        <x:v>lstm-soil-v1</x:v>
      </x:c>
    </x:row>
    <x:row r="700">
      <x:c r="A700" s="38" t="str">
        <x:v>7月30日现场数据</x:v>
      </x:c>
      <x:c r="B700" s="39" t="str">
        <x:v>2026-08-01T04:05:00</x:v>
      </x:c>
      <x:c r="C700" s="39" t="str">
        <x:v>2026-08-01T04:10:00</x:v>
      </x:c>
      <x:c r="D700" s="47" t="n">
        <x:v>5</x:v>
      </x:c>
      <x:c r="E700" s="40" t="n">
        <x:v>11.9</x:v>
      </x:c>
      <x:c r="F700" s="40" t="n">
        <x:v>9.908073425292969</x:v>
      </x:c>
      <x:c r="G700" s="40" t="n">
        <x:v>12</x:v>
      </x:c>
      <x:c r="H700" s="40" t="n">
        <x:f>F700-E700</x:f>
        <x:v>-1.9919265747070316</x:v>
      </x:c>
      <x:c r="I700" s="40" t="n">
        <x:f>ABS(H700)</x:f>
        <x:v>1.9919265747070316</x:v>
      </x:c>
      <x:c r="J700" s="40" t="n">
        <x:f>H700^2</x:f>
        <x:v>3.9677714790240874</x:v>
      </x:c>
      <x:c r="K700" s="40" t="n">
        <x:f>G700-E700</x:f>
        <x:v>0.09999999999999964</x:v>
      </x:c>
      <x:c r="L700" s="40" t="n">
        <x:f>ABS(K700)</x:f>
        <x:v>0.09999999999999964</x:v>
      </x:c>
      <x:c r="M700" s="41" t="str">
        <x:v>lstm-soil-v1</x:v>
      </x:c>
    </x:row>
    <x:row r="701">
      <x:c r="A701" s="38" t="str">
        <x:v>7月30日现场数据</x:v>
      </x:c>
      <x:c r="B701" s="39" t="str">
        <x:v>2026-08-01T04:05:00</x:v>
      </x:c>
      <x:c r="C701" s="39" t="str">
        <x:v>2026-08-01T04:20:00</x:v>
      </x:c>
      <x:c r="D701" s="47" t="n">
        <x:v>15</x:v>
      </x:c>
      <x:c r="E701" s="40" t="n">
        <x:v>12</x:v>
      </x:c>
      <x:c r="F701" s="40" t="n">
        <x:v>9.963226318359375</x:v>
      </x:c>
      <x:c r="G701" s="40" t="n">
        <x:v>12</x:v>
      </x:c>
      <x:c r="H701" s="40" t="n">
        <x:f>F701-E701</x:f>
        <x:v>-2.036773681640625</x:v>
      </x:c>
      <x:c r="I701" s="40" t="n">
        <x:f>ABS(H701)</x:f>
        <x:v>2.036773681640625</x:v>
      </x:c>
      <x:c r="J701" s="40" t="n">
        <x:f>H701^2</x:f>
        <x:v>4.148447030223906</x:v>
      </x:c>
      <x:c r="K701" s="40" t="n">
        <x:f>G701-E701</x:f>
        <x:v>0</x:v>
      </x:c>
      <x:c r="L701" s="40" t="n">
        <x:f>ABS(K701)</x:f>
        <x:v>0</x:v>
      </x:c>
      <x:c r="M701" s="41" t="str">
        <x:v>lstm-soil-v1</x:v>
      </x:c>
    </x:row>
    <x:row r="702">
      <x:c r="A702" s="38" t="str">
        <x:v>7月30日现场数据</x:v>
      </x:c>
      <x:c r="B702" s="39" t="str">
        <x:v>2026-08-01T04:05:00</x:v>
      </x:c>
      <x:c r="C702" s="39" t="str">
        <x:v>2026-08-01T04:35:00</x:v>
      </x:c>
      <x:c r="D702" s="47" t="n">
        <x:v>30</x:v>
      </x:c>
      <x:c r="E702" s="40" t="n">
        <x:v>12</x:v>
      </x:c>
      <x:c r="F702" s="40" t="n">
        <x:v>10.46597671508789</x:v>
      </x:c>
      <x:c r="G702" s="40" t="n">
        <x:v>12</x:v>
      </x:c>
      <x:c r="H702" s="40" t="n">
        <x:f>F702-E702</x:f>
        <x:v>-1.5340232849121094</x:v>
      </x:c>
      <x:c r="I702" s="40" t="n">
        <x:f>ABS(H702)</x:f>
        <x:v>1.5340232849121094</x:v>
      </x:c>
      <x:c r="J702" s="40" t="n">
        <x:f>H702^2</x:f>
        <x:v>2.3532274386525387</x:v>
      </x:c>
      <x:c r="K702" s="40" t="n">
        <x:f>G702-E702</x:f>
        <x:v>0</x:v>
      </x:c>
      <x:c r="L702" s="40" t="n">
        <x:f>ABS(K702)</x:f>
        <x:v>0</x:v>
      </x:c>
      <x:c r="M702" s="41" t="str">
        <x:v>lstm-soil-v1</x:v>
      </x:c>
    </x:row>
    <x:row r="703">
      <x:c r="A703" s="38" t="str">
        <x:v>7月30日现场数据</x:v>
      </x:c>
      <x:c r="B703" s="39" t="str">
        <x:v>2026-08-01T04:05:00</x:v>
      </x:c>
      <x:c r="C703" s="39" t="str">
        <x:v>2026-08-01T05:05:00</x:v>
      </x:c>
      <x:c r="D703" s="47" t="n">
        <x:v>60</x:v>
      </x:c>
      <x:c r="E703" s="40" t="n">
        <x:v>12</x:v>
      </x:c>
      <x:c r="F703" s="40" t="n">
        <x:v>12.042369842529297</x:v>
      </x:c>
      <x:c r="G703" s="40" t="n">
        <x:v>12</x:v>
      </x:c>
      <x:c r="H703" s="40" t="n">
        <x:f>F703-E703</x:f>
        <x:v>0.042369842529296875</x:v>
      </x:c>
      <x:c r="I703" s="40" t="n">
        <x:f>ABS(H703)</x:f>
        <x:v>0.042369842529296875</x:v>
      </x:c>
      <x:c r="J703" s="40" t="n">
        <x:f>H703^2</x:f>
        <x:v>0.0017952035559574142</x:v>
      </x:c>
      <x:c r="K703" s="40" t="n">
        <x:f>G703-E703</x:f>
        <x:v>0</x:v>
      </x:c>
      <x:c r="L703" s="40" t="n">
        <x:f>ABS(K703)</x:f>
        <x:v>0</x:v>
      </x:c>
      <x:c r="M703" s="41" t="str">
        <x:v>lstm-soil-v1</x:v>
      </x:c>
    </x:row>
    <x:row r="704">
      <x:c r="A704" s="38" t="str">
        <x:v>7月30日现场数据</x:v>
      </x:c>
      <x:c r="B704" s="39" t="str">
        <x:v>2026-08-01T04:10:00</x:v>
      </x:c>
      <x:c r="C704" s="39" t="str">
        <x:v>2026-08-01T04:15:00</x:v>
      </x:c>
      <x:c r="D704" s="47" t="n">
        <x:v>5</x:v>
      </x:c>
      <x:c r="E704" s="40" t="n">
        <x:v>12</x:v>
      </x:c>
      <x:c r="F704" s="40" t="n">
        <x:v>9.797191619873047</x:v>
      </x:c>
      <x:c r="G704" s="40" t="n">
        <x:v>11.9</x:v>
      </x:c>
      <x:c r="H704" s="40" t="n">
        <x:f>F704-E704</x:f>
        <x:v>-2.202808380126953</x:v>
      </x:c>
      <x:c r="I704" s="40" t="n">
        <x:f>ABS(H704)</x:f>
        <x:v>2.202808380126953</x:v>
      </x:c>
      <x:c r="J704" s="40" t="n">
        <x:f>H704^2</x:f>
        <x:v>4.852364759557531</x:v>
      </x:c>
      <x:c r="K704" s="40" t="n">
        <x:f>G704-E704</x:f>
        <x:v>-0.09999999999999964</x:v>
      </x:c>
      <x:c r="L704" s="40" t="n">
        <x:f>ABS(K704)</x:f>
        <x:v>0.09999999999999964</x:v>
      </x:c>
      <x:c r="M704" s="41" t="str">
        <x:v>lstm-soil-v1</x:v>
      </x:c>
    </x:row>
    <x:row r="705">
      <x:c r="A705" s="38" t="str">
        <x:v>7月30日现场数据</x:v>
      </x:c>
      <x:c r="B705" s="39" t="str">
        <x:v>2026-08-01T04:10:00</x:v>
      </x:c>
      <x:c r="C705" s="39" t="str">
        <x:v>2026-08-01T04:25:00</x:v>
      </x:c>
      <x:c r="D705" s="47" t="n">
        <x:v>15</x:v>
      </x:c>
      <x:c r="E705" s="40" t="n">
        <x:v>12</x:v>
      </x:c>
      <x:c r="F705" s="40" t="n">
        <x:v>9.852802276611328</x:v>
      </x:c>
      <x:c r="G705" s="40" t="n">
        <x:v>11.9</x:v>
      </x:c>
      <x:c r="H705" s="40" t="n">
        <x:f>F705-E705</x:f>
        <x:v>-2.147197723388672</x:v>
      </x:c>
      <x:c r="I705" s="40" t="n">
        <x:f>ABS(H705)</x:f>
        <x:v>2.147197723388672</x:v>
      </x:c>
      <x:c r="J705" s="40" t="n">
        <x:f>H705^2</x:f>
        <x:v>4.6104580633254955</x:v>
      </x:c>
      <x:c r="K705" s="40" t="n">
        <x:f>G705-E705</x:f>
        <x:v>-0.09999999999999964</x:v>
      </x:c>
      <x:c r="L705" s="40" t="n">
        <x:f>ABS(K705)</x:f>
        <x:v>0.09999999999999964</x:v>
      </x:c>
      <x:c r="M705" s="41" t="str">
        <x:v>lstm-soil-v1</x:v>
      </x:c>
    </x:row>
    <x:row r="706">
      <x:c r="A706" s="38" t="str">
        <x:v>7月30日现场数据</x:v>
      </x:c>
      <x:c r="B706" s="39" t="str">
        <x:v>2026-08-01T04:10:00</x:v>
      </x:c>
      <x:c r="C706" s="39" t="str">
        <x:v>2026-08-01T04:40:00</x:v>
      </x:c>
      <x:c r="D706" s="47" t="n">
        <x:v>30</x:v>
      </x:c>
      <x:c r="E706" s="40" t="n">
        <x:v>12</x:v>
      </x:c>
      <x:c r="F706" s="40" t="n">
        <x:v>10.355907440185547</x:v>
      </x:c>
      <x:c r="G706" s="40" t="n">
        <x:v>11.9</x:v>
      </x:c>
      <x:c r="H706" s="40" t="n">
        <x:f>F706-E706</x:f>
        <x:v>-1.6440925598144531</x:v>
      </x:c>
      <x:c r="I706" s="40" t="n">
        <x:f>ABS(H706)</x:f>
        <x:v>1.6440925598144531</x:v>
      </x:c>
      <x:c r="J706" s="40" t="n">
        <x:f>H706^2</x:f>
        <x:v>2.703040345237241</x:v>
      </x:c>
      <x:c r="K706" s="40" t="n">
        <x:f>G706-E706</x:f>
        <x:v>-0.09999999999999964</x:v>
      </x:c>
      <x:c r="L706" s="40" t="n">
        <x:f>ABS(K706)</x:f>
        <x:v>0.09999999999999964</x:v>
      </x:c>
      <x:c r="M706" s="41" t="str">
        <x:v>lstm-soil-v1</x:v>
      </x:c>
    </x:row>
    <x:row r="707">
      <x:c r="A707" s="38" t="str">
        <x:v>7月30日现场数据</x:v>
      </x:c>
      <x:c r="B707" s="39" t="str">
        <x:v>2026-08-01T04:10:00</x:v>
      </x:c>
      <x:c r="C707" s="39" t="str">
        <x:v>2026-08-01T05:10:00</x:v>
      </x:c>
      <x:c r="D707" s="47" t="n">
        <x:v>60</x:v>
      </x:c>
      <x:c r="E707" s="40" t="n">
        <x:v>12</x:v>
      </x:c>
      <x:c r="F707" s="40" t="n">
        <x:v>11.93221664428711</x:v>
      </x:c>
      <x:c r="G707" s="40" t="n">
        <x:v>11.9</x:v>
      </x:c>
      <x:c r="H707" s="40" t="n">
        <x:f>F707-E707</x:f>
        <x:v>-0.06778335571289062</x:v>
      </x:c>
      <x:c r="I707" s="40" t="n">
        <x:f>ABS(H707)</x:f>
        <x:v>0.06778335571289062</x:v>
      </x:c>
      <x:c r="J707" s="40" t="n">
        <x:f>H707^2</x:f>
        <x:v>0.004594583311700262</x:v>
      </x:c>
      <x:c r="K707" s="40" t="n">
        <x:f>G707-E707</x:f>
        <x:v>-0.09999999999999964</x:v>
      </x:c>
      <x:c r="L707" s="40" t="n">
        <x:f>ABS(K707)</x:f>
        <x:v>0.09999999999999964</x:v>
      </x:c>
      <x:c r="M707" s="41" t="str">
        <x:v>lstm-soil-v1</x:v>
      </x:c>
    </x:row>
    <x:row r="708">
      <x:c r="A708" s="38" t="str">
        <x:v>7月30日现场数据</x:v>
      </x:c>
      <x:c r="B708" s="39" t="str">
        <x:v>2026-08-01T04:15:00</x:v>
      </x:c>
      <x:c r="C708" s="39" t="str">
        <x:v>2026-08-01T04:20:00</x:v>
      </x:c>
      <x:c r="D708" s="47" t="n">
        <x:v>5</x:v>
      </x:c>
      <x:c r="E708" s="40" t="n">
        <x:v>12</x:v>
      </x:c>
      <x:c r="F708" s="40" t="n">
        <x:v>9.907089233398438</x:v>
      </x:c>
      <x:c r="G708" s="40" t="n">
        <x:v>12</x:v>
      </x:c>
      <x:c r="H708" s="40" t="n">
        <x:f>F708-E708</x:f>
        <x:v>-2.0929107666015625</x:v>
      </x:c>
      <x:c r="I708" s="40" t="n">
        <x:f>ABS(H708)</x:f>
        <x:v>2.0929107666015625</x:v>
      </x:c>
      <x:c r="J708" s="40" t="n">
        <x:f>H708^2</x:f>
        <x:v>4.38027547695674</x:v>
      </x:c>
      <x:c r="K708" s="40" t="n">
        <x:f>G708-E708</x:f>
        <x:v>0</x:v>
      </x:c>
      <x:c r="L708" s="40" t="n">
        <x:f>ABS(K708)</x:f>
        <x:v>0</x:v>
      </x:c>
      <x:c r="M708" s="41" t="str">
        <x:v>lstm-soil-v1</x:v>
      </x:c>
    </x:row>
    <x:row r="709">
      <x:c r="A709" s="38" t="str">
        <x:v>7月30日现场数据</x:v>
      </x:c>
      <x:c r="B709" s="39" t="str">
        <x:v>2026-08-01T04:15:00</x:v>
      </x:c>
      <x:c r="C709" s="39" t="str">
        <x:v>2026-08-01T04:30:00</x:v>
      </x:c>
      <x:c r="D709" s="47" t="n">
        <x:v>15</x:v>
      </x:c>
      <x:c r="E709" s="40" t="n">
        <x:v>12</x:v>
      </x:c>
      <x:c r="F709" s="40" t="n">
        <x:v>9.962936401367188</x:v>
      </x:c>
      <x:c r="G709" s="40" t="n">
        <x:v>12</x:v>
      </x:c>
      <x:c r="H709" s="40" t="n">
        <x:f>F709-E709</x:f>
        <x:v>-2.0370635986328125</x:v>
      </x:c>
      <x:c r="I709" s="40" t="n">
        <x:f>ABS(H709)</x:f>
        <x:v>2.0370635986328125</x:v>
      </x:c>
      <x:c r="J709" s="40" t="n">
        <x:f>H709^2</x:f>
        <x:v>4.149628104874864</x:v>
      </x:c>
      <x:c r="K709" s="40" t="n">
        <x:f>G709-E709</x:f>
        <x:v>0</x:v>
      </x:c>
      <x:c r="L709" s="40" t="n">
        <x:f>ABS(K709)</x:f>
        <x:v>0</x:v>
      </x:c>
      <x:c r="M709" s="41" t="str">
        <x:v>lstm-soil-v1</x:v>
      </x:c>
    </x:row>
    <x:row r="710">
      <x:c r="A710" s="38" t="str">
        <x:v>7月30日现场数据</x:v>
      </x:c>
      <x:c r="B710" s="39" t="str">
        <x:v>2026-08-01T04:15:00</x:v>
      </x:c>
      <x:c r="C710" s="39" t="str">
        <x:v>2026-08-01T04:45:00</x:v>
      </x:c>
      <x:c r="D710" s="47" t="n">
        <x:v>30</x:v>
      </x:c>
      <x:c r="E710" s="40" t="n">
        <x:v>12</x:v>
      </x:c>
      <x:c r="F710" s="40" t="n">
        <x:v>10.46651840209961</x:v>
      </x:c>
      <x:c r="G710" s="40" t="n">
        <x:v>12</x:v>
      </x:c>
      <x:c r="H710" s="40" t="n">
        <x:f>F710-E710</x:f>
        <x:v>-1.5334815979003906</x:v>
      </x:c>
      <x:c r="I710" s="40" t="n">
        <x:f>ABS(H710)</x:f>
        <x:v>1.5334815979003906</x:v>
      </x:c>
      <x:c r="J710" s="40" t="n">
        <x:f>H710^2</x:f>
        <x:v>2.3515658110991353</x:v>
      </x:c>
      <x:c r="K710" s="40" t="n">
        <x:f>G710-E710</x:f>
        <x:v>0</x:v>
      </x:c>
      <x:c r="L710" s="40" t="n">
        <x:f>ABS(K710)</x:f>
        <x:v>0</x:v>
      </x:c>
      <x:c r="M710" s="41" t="str">
        <x:v>lstm-soil-v1</x:v>
      </x:c>
    </x:row>
    <x:row r="711">
      <x:c r="A711" s="38" t="str">
        <x:v>7月30日现场数据</x:v>
      </x:c>
      <x:c r="B711" s="39" t="str">
        <x:v>2026-08-01T04:15:00</x:v>
      </x:c>
      <x:c r="C711" s="39" t="str">
        <x:v>2026-08-01T05:15:00</x:v>
      </x:c>
      <x:c r="D711" s="47" t="n">
        <x:v>60</x:v>
      </x:c>
      <x:c r="E711" s="40" t="n">
        <x:v>12</x:v>
      </x:c>
      <x:c r="F711" s="40" t="n">
        <x:v>12.042800903320312</x:v>
      </x:c>
      <x:c r="G711" s="40" t="n">
        <x:v>12</x:v>
      </x:c>
      <x:c r="H711" s="40" t="n">
        <x:f>F711-E711</x:f>
        <x:v>0.0428009033203125</x:v>
      </x:c>
      <x:c r="I711" s="40" t="n">
        <x:f>ABS(H711)</x:f>
        <x:v>0.0428009033203125</x:v>
      </x:c>
      <x:c r="J711" s="40" t="n">
        <x:f>H711^2</x:f>
        <x:v>0.0018319173250347376</x:v>
      </x:c>
      <x:c r="K711" s="40" t="n">
        <x:f>G711-E711</x:f>
        <x:v>0</x:v>
      </x:c>
      <x:c r="L711" s="40" t="n">
        <x:f>ABS(K711)</x:f>
        <x:v>0</x:v>
      </x:c>
      <x:c r="M711" s="41" t="str">
        <x:v>lstm-soil-v1</x:v>
      </x:c>
    </x:row>
    <x:row r="712">
      <x:c r="A712" s="38" t="str">
        <x:v>7月30日现场数据</x:v>
      </x:c>
      <x:c r="B712" s="39" t="str">
        <x:v>2026-08-01T04:20:00</x:v>
      </x:c>
      <x:c r="C712" s="39" t="str">
        <x:v>2026-08-01T04:25:00</x:v>
      </x:c>
      <x:c r="D712" s="47" t="n">
        <x:v>5</x:v>
      </x:c>
      <x:c r="E712" s="40" t="n">
        <x:v>12</x:v>
      </x:c>
      <x:c r="F712" s="40" t="n">
        <x:v>9.907257080078125</x:v>
      </x:c>
      <x:c r="G712" s="40" t="n">
        <x:v>12</x:v>
      </x:c>
      <x:c r="H712" s="40" t="n">
        <x:f>F712-E712</x:f>
        <x:v>-2.092742919921875</x:v>
      </x:c>
      <x:c r="I712" s="40" t="n">
        <x:f>ABS(H712)</x:f>
        <x:v>2.092742919921875</x:v>
      </x:c>
      <x:c r="J712" s="40" t="n">
        <x:f>H712^2</x:f>
        <x:v>4.379572928883135</x:v>
      </x:c>
      <x:c r="K712" s="40" t="n">
        <x:f>G712-E712</x:f>
        <x:v>0</x:v>
      </x:c>
      <x:c r="L712" s="40" t="n">
        <x:f>ABS(K712)</x:f>
        <x:v>0</x:v>
      </x:c>
      <x:c r="M712" s="41" t="str">
        <x:v>lstm-soil-v1</x:v>
      </x:c>
    </x:row>
    <x:row r="713">
      <x:c r="A713" s="38" t="str">
        <x:v>7月30日现场数据</x:v>
      </x:c>
      <x:c r="B713" s="39" t="str">
        <x:v>2026-08-01T04:20:00</x:v>
      </x:c>
      <x:c r="C713" s="39" t="str">
        <x:v>2026-08-01T04:35:00</x:v>
      </x:c>
      <x:c r="D713" s="47" t="n">
        <x:v>15</x:v>
      </x:c>
      <x:c r="E713" s="40" t="n">
        <x:v>12</x:v>
      </x:c>
      <x:c r="F713" s="40" t="n">
        <x:v>9.963153839111328</x:v>
      </x:c>
      <x:c r="G713" s="40" t="n">
        <x:v>12</x:v>
      </x:c>
      <x:c r="H713" s="40" t="n">
        <x:f>F713-E713</x:f>
        <x:v>-2.036846160888672</x:v>
      </x:c>
      <x:c r="I713" s="40" t="n">
        <x:f>ABS(H713)</x:f>
        <x:v>2.036846160888672</x:v>
      </x:c>
      <x:c r="J713" s="40" t="n">
        <x:f>H713^2</x:f>
        <x:v>4.148742283126921</x:v>
      </x:c>
      <x:c r="K713" s="40" t="n">
        <x:f>G713-E713</x:f>
        <x:v>0</x:v>
      </x:c>
      <x:c r="L713" s="40" t="n">
        <x:f>ABS(K713)</x:f>
        <x:v>0</x:v>
      </x:c>
      <x:c r="M713" s="41" t="str">
        <x:v>lstm-soil-v1</x:v>
      </x:c>
    </x:row>
    <x:row r="714">
      <x:c r="A714" s="38" t="str">
        <x:v>7月30日现场数据</x:v>
      </x:c>
      <x:c r="B714" s="39" t="str">
        <x:v>2026-08-01T04:20:00</x:v>
      </x:c>
      <x:c r="C714" s="39" t="str">
        <x:v>2026-08-01T04:50:00</x:v>
      </x:c>
      <x:c r="D714" s="47" t="n">
        <x:v>30</x:v>
      </x:c>
      <x:c r="E714" s="40" t="n">
        <x:v>12</x:v>
      </x:c>
      <x:c r="F714" s="40" t="n">
        <x:v>10.467231750488281</x:v>
      </x:c>
      <x:c r="G714" s="40" t="n">
        <x:v>12</x:v>
      </x:c>
      <x:c r="H714" s="40" t="n">
        <x:f>F714-E714</x:f>
        <x:v>-1.5327682495117188</x:v>
      </x:c>
      <x:c r="I714" s="40" t="n">
        <x:f>ABS(H714)</x:f>
        <x:v>1.5327682495117188</x:v>
      </x:c>
      <x:c r="J714" s="40" t="n">
        <x:f>H714^2</x:f>
        <x:v>2.3493785067112185</x:v>
      </x:c>
      <x:c r="K714" s="40" t="n">
        <x:f>G714-E714</x:f>
        <x:v>0</x:v>
      </x:c>
      <x:c r="L714" s="40" t="n">
        <x:f>ABS(K714)</x:f>
        <x:v>0</x:v>
      </x:c>
      <x:c r="M714" s="41" t="str">
        <x:v>lstm-soil-v1</x:v>
      </x:c>
    </x:row>
    <x:row r="715">
      <x:c r="A715" s="38" t="str">
        <x:v>7月30日现场数据</x:v>
      </x:c>
      <x:c r="B715" s="39" t="str">
        <x:v>2026-08-01T04:20:00</x:v>
      </x:c>
      <x:c r="C715" s="39" t="str">
        <x:v>2026-08-01T05:20:00</x:v>
      </x:c>
      <x:c r="D715" s="47" t="n">
        <x:v>60</x:v>
      </x:c>
      <x:c r="E715" s="40" t="n">
        <x:v>12</x:v>
      </x:c>
      <x:c r="F715" s="40" t="n">
        <x:v>12.043479919433594</x:v>
      </x:c>
      <x:c r="G715" s="40" t="n">
        <x:v>12</x:v>
      </x:c>
      <x:c r="H715" s="40" t="n">
        <x:f>F715-E715</x:f>
        <x:v>0.04347991943359375</x:v>
      </x:c>
      <x:c r="I715" s="40" t="n">
        <x:f>ABS(H715)</x:f>
        <x:v>0.04347991943359375</x:v>
      </x:c>
      <x:c r="J715" s="40" t="n">
        <x:f>H715^2</x:f>
        <x:v>0.0018905033939518034</x:v>
      </x:c>
      <x:c r="K715" s="40" t="n">
        <x:f>G715-E715</x:f>
        <x:v>0</x:v>
      </x:c>
      <x:c r="L715" s="40" t="n">
        <x:f>ABS(K715)</x:f>
        <x:v>0</x:v>
      </x:c>
      <x:c r="M715" s="41" t="str">
        <x:v>lstm-soil-v1</x:v>
      </x:c>
    </x:row>
    <x:row r="716">
      <x:c r="A716" s="38" t="str">
        <x:v>7月30日现场数据</x:v>
      </x:c>
      <x:c r="B716" s="39" t="str">
        <x:v>2026-08-01T04:25:00</x:v>
      </x:c>
      <x:c r="C716" s="39" t="str">
        <x:v>2026-08-01T04:30:00</x:v>
      </x:c>
      <x:c r="D716" s="47" t="n">
        <x:v>5</x:v>
      </x:c>
      <x:c r="E716" s="40" t="n">
        <x:v>12</x:v>
      </x:c>
      <x:c r="F716" s="40" t="n">
        <x:v>9.907581329345703</x:v>
      </x:c>
      <x:c r="G716" s="40" t="n">
        <x:v>12</x:v>
      </x:c>
      <x:c r="H716" s="40" t="n">
        <x:f>F716-E716</x:f>
        <x:v>-2.092418670654297</x:v>
      </x:c>
      <x:c r="I716" s="40" t="n">
        <x:f>ABS(H716)</x:f>
        <x:v>2.092418670654297</x:v>
      </x:c>
      <x:c r="J716" s="40" t="n">
        <x:f>H716^2</x:f>
        <x:v>4.378215893302695</x:v>
      </x:c>
      <x:c r="K716" s="40" t="n">
        <x:f>G716-E716</x:f>
        <x:v>0</x:v>
      </x:c>
      <x:c r="L716" s="40" t="n">
        <x:f>ABS(K716)</x:f>
        <x:v>0</x:v>
      </x:c>
      <x:c r="M716" s="41" t="str">
        <x:v>lstm-soil-v1</x:v>
      </x:c>
    </x:row>
    <x:row r="717">
      <x:c r="A717" s="38" t="str">
        <x:v>7月30日现场数据</x:v>
      </x:c>
      <x:c r="B717" s="39" t="str">
        <x:v>2026-08-01T04:25:00</x:v>
      </x:c>
      <x:c r="C717" s="39" t="str">
        <x:v>2026-08-01T04:40:00</x:v>
      </x:c>
      <x:c r="D717" s="47" t="n">
        <x:v>15</x:v>
      </x:c>
      <x:c r="E717" s="40" t="n">
        <x:v>12</x:v>
      </x:c>
      <x:c r="F717" s="40" t="n">
        <x:v>9.963371276855469</x:v>
      </x:c>
      <x:c r="G717" s="40" t="n">
        <x:v>12</x:v>
      </x:c>
      <x:c r="H717" s="40" t="n">
        <x:f>F717-E717</x:f>
        <x:v>-2.0366287231445312</x:v>
      </x:c>
      <x:c r="I717" s="40" t="n">
        <x:f>ABS(H717)</x:f>
        <x:v>2.0366287231445312</x:v>
      </x:c>
      <x:c r="J717" s="40" t="n">
        <x:f>H717^2</x:f>
        <x:v>4.147856555937324</x:v>
      </x:c>
      <x:c r="K717" s="40" t="n">
        <x:f>G717-E717</x:f>
        <x:v>0</x:v>
      </x:c>
      <x:c r="L717" s="40" t="n">
        <x:f>ABS(K717)</x:f>
        <x:v>0</x:v>
      </x:c>
      <x:c r="M717" s="41" t="str">
        <x:v>lstm-soil-v1</x:v>
      </x:c>
    </x:row>
    <x:row r="718">
      <x:c r="A718" s="38" t="str">
        <x:v>7月30日现场数据</x:v>
      </x:c>
      <x:c r="B718" s="39" t="str">
        <x:v>2026-08-01T04:25:00</x:v>
      </x:c>
      <x:c r="C718" s="39" t="str">
        <x:v>2026-08-01T04:55:00</x:v>
      </x:c>
      <x:c r="D718" s="47" t="n">
        <x:v>30</x:v>
      </x:c>
      <x:c r="E718" s="40" t="n">
        <x:v>12.1</x:v>
      </x:c>
      <x:c r="F718" s="40" t="n">
        <x:v>10.467926025390625</x:v>
      </x:c>
      <x:c r="G718" s="40" t="n">
        <x:v>12</x:v>
      </x:c>
      <x:c r="H718" s="40" t="n">
        <x:f>F718-E718</x:f>
        <x:v>-1.6320739746093746</x:v>
      </x:c>
      <x:c r="I718" s="40" t="n">
        <x:f>ABS(H718)</x:f>
        <x:v>1.6320739746093746</x:v>
      </x:c>
      <x:c r="J718" s="40" t="n">
        <x:f>H718^2</x:f>
        <x:v>2.6636654585972415</x:v>
      </x:c>
      <x:c r="K718" s="40" t="n">
        <x:f>G718-E718</x:f>
        <x:v>-0.09999999999999964</x:v>
      </x:c>
      <x:c r="L718" s="40" t="n">
        <x:f>ABS(K718)</x:f>
        <x:v>0.09999999999999964</x:v>
      </x:c>
      <x:c r="M718" s="41" t="str">
        <x:v>lstm-soil-v1</x:v>
      </x:c>
    </x:row>
    <x:row r="719">
      <x:c r="A719" s="38" t="str">
        <x:v>7月30日现场数据</x:v>
      </x:c>
      <x:c r="B719" s="39" t="str">
        <x:v>2026-08-01T04:25:00</x:v>
      </x:c>
      <x:c r="C719" s="39" t="str">
        <x:v>2026-08-01T05:25:00</x:v>
      </x:c>
      <x:c r="D719" s="47" t="n">
        <x:v>60</x:v>
      </x:c>
      <x:c r="E719" s="40" t="n">
        <x:v>12</x:v>
      </x:c>
      <x:c r="F719" s="40" t="n">
        <x:v>12.044185638427734</x:v>
      </x:c>
      <x:c r="G719" s="40" t="n">
        <x:v>12</x:v>
      </x:c>
      <x:c r="H719" s="40" t="n">
        <x:f>F719-E719</x:f>
        <x:v>0.044185638427734375</x:v>
      </x:c>
      <x:c r="I719" s="40" t="n">
        <x:f>ABS(H719)</x:f>
        <x:v>0.044185638427734375</x:v>
      </x:c>
      <x:c r="J719" s="40" t="n">
        <x:f>H719^2</x:f>
        <x:v>0.0019523706432664767</x:v>
      </x:c>
      <x:c r="K719" s="40" t="n">
        <x:f>G719-E719</x:f>
        <x:v>0</x:v>
      </x:c>
      <x:c r="L719" s="40" t="n">
        <x:f>ABS(K719)</x:f>
        <x:v>0</x:v>
      </x:c>
      <x:c r="M719" s="41" t="str">
        <x:v>lstm-soil-v1</x:v>
      </x:c>
    </x:row>
    <x:row r="720">
      <x:c r="A720" s="38" t="str">
        <x:v>7月30日现场数据</x:v>
      </x:c>
      <x:c r="B720" s="39" t="str">
        <x:v>2026-08-01T04:30:00</x:v>
      </x:c>
      <x:c r="C720" s="39" t="str">
        <x:v>2026-08-01T04:35:00</x:v>
      </x:c>
      <x:c r="D720" s="47" t="n">
        <x:v>5</x:v>
      </x:c>
      <x:c r="E720" s="40" t="n">
        <x:v>12</x:v>
      </x:c>
      <x:c r="F720" s="40" t="n">
        <x:v>9.907901763916016</x:v>
      </x:c>
      <x:c r="G720" s="40" t="n">
        <x:v>12</x:v>
      </x:c>
      <x:c r="H720" s="40" t="n">
        <x:f>F720-E720</x:f>
        <x:v>-2.0920982360839844</x:v>
      </x:c>
      <x:c r="I720" s="40" t="n">
        <x:f>ABS(H720)</x:f>
        <x:v>2.0920982360839844</x:v>
      </x:c>
      <x:c r="J720" s="40" t="n">
        <x:f>H720^2</x:f>
        <x:v>4.376875029425719</x:v>
      </x:c>
      <x:c r="K720" s="40" t="n">
        <x:f>G720-E720</x:f>
        <x:v>0</x:v>
      </x:c>
      <x:c r="L720" s="40" t="n">
        <x:f>ABS(K720)</x:f>
        <x:v>0</x:v>
      </x:c>
      <x:c r="M720" s="41" t="str">
        <x:v>lstm-soil-v1</x:v>
      </x:c>
    </x:row>
    <x:row r="721">
      <x:c r="A721" s="38" t="str">
        <x:v>7月30日现场数据</x:v>
      </x:c>
      <x:c r="B721" s="39" t="str">
        <x:v>2026-08-01T04:30:00</x:v>
      </x:c>
      <x:c r="C721" s="39" t="str">
        <x:v>2026-08-01T04:45:00</x:v>
      </x:c>
      <x:c r="D721" s="47" t="n">
        <x:v>15</x:v>
      </x:c>
      <x:c r="E721" s="40" t="n">
        <x:v>12</x:v>
      </x:c>
      <x:c r="F721" s="40" t="n">
        <x:v>9.96358871459961</x:v>
      </x:c>
      <x:c r="G721" s="40" t="n">
        <x:v>12</x:v>
      </x:c>
      <x:c r="H721" s="40" t="n">
        <x:f>F721-E721</x:f>
        <x:v>-2.0364112854003906</x:v>
      </x:c>
      <x:c r="I721" s="40" t="n">
        <x:f>ABS(H721)</x:f>
        <x:v>2.0364112854003906</x:v>
      </x:c>
      <x:c r="J721" s="40" t="n">
        <x:f>H721^2</x:f>
        <x:v>4.146970923306071</x:v>
      </x:c>
      <x:c r="K721" s="40" t="n">
        <x:f>G721-E721</x:f>
        <x:v>0</x:v>
      </x:c>
      <x:c r="L721" s="40" t="n">
        <x:f>ABS(K721)</x:f>
        <x:v>0</x:v>
      </x:c>
      <x:c r="M721" s="41" t="str">
        <x:v>lstm-soil-v1</x:v>
      </x:c>
    </x:row>
    <x:row r="722">
      <x:c r="A722" s="38" t="str">
        <x:v>7月30日现场数据</x:v>
      </x:c>
      <x:c r="B722" s="39" t="str">
        <x:v>2026-08-01T04:30:00</x:v>
      </x:c>
      <x:c r="C722" s="39" t="str">
        <x:v>2026-08-01T05:00:00</x:v>
      </x:c>
      <x:c r="D722" s="47" t="n">
        <x:v>30</x:v>
      </x:c>
      <x:c r="E722" s="40" t="n">
        <x:v>12</x:v>
      </x:c>
      <x:c r="F722" s="40" t="n">
        <x:v>10.468456268310547</x:v>
      </x:c>
      <x:c r="G722" s="40" t="n">
        <x:v>12</x:v>
      </x:c>
      <x:c r="H722" s="40" t="n">
        <x:f>F722-E722</x:f>
        <x:v>-1.5315437316894531</x:v>
      </x:c>
      <x:c r="I722" s="40" t="n">
        <x:f>ABS(H722)</x:f>
        <x:v>1.5315437316894531</x:v>
      </x:c>
      <x:c r="J722" s="40" t="n">
        <x:f>H722^2</x:f>
        <x:v>2.3456262020772556</x:v>
      </x:c>
      <x:c r="K722" s="40" t="n">
        <x:f>G722-E722</x:f>
        <x:v>0</x:v>
      </x:c>
      <x:c r="L722" s="40" t="n">
        <x:f>ABS(K722)</x:f>
        <x:v>0</x:v>
      </x:c>
      <x:c r="M722" s="41" t="str">
        <x:v>lstm-soil-v1</x:v>
      </x:c>
    </x:row>
    <x:row r="723">
      <x:c r="A723" s="38" t="str">
        <x:v>7月30日现场数据</x:v>
      </x:c>
      <x:c r="B723" s="39" t="str">
        <x:v>2026-08-01T04:30:00</x:v>
      </x:c>
      <x:c r="C723" s="39" t="str">
        <x:v>2026-08-01T05:30:00</x:v>
      </x:c>
      <x:c r="D723" s="47" t="n">
        <x:v>60</x:v>
      </x:c>
      <x:c r="E723" s="40" t="n">
        <x:v>12</x:v>
      </x:c>
      <x:c r="F723" s="40" t="n">
        <x:v>12.04473876953125</x:v>
      </x:c>
      <x:c r="G723" s="40" t="n">
        <x:v>12</x:v>
      </x:c>
      <x:c r="H723" s="40" t="n">
        <x:f>F723-E723</x:f>
        <x:v>0.04473876953125</x:v>
      </x:c>
      <x:c r="I723" s="40" t="n">
        <x:f>ABS(H723)</x:f>
        <x:v>0.04473876953125</x:v>
      </x:c>
      <x:c r="J723" s="40" t="n">
        <x:f>H723^2</x:f>
        <x:v>0.0020015574991703033</x:v>
      </x:c>
      <x:c r="K723" s="40" t="n">
        <x:f>G723-E723</x:f>
        <x:v>0</x:v>
      </x:c>
      <x:c r="L723" s="40" t="n">
        <x:f>ABS(K723)</x:f>
        <x:v>0</x:v>
      </x:c>
      <x:c r="M723" s="41" t="str">
        <x:v>lstm-soil-v1</x:v>
      </x:c>
    </x:row>
    <x:row r="724">
      <x:c r="A724" s="38" t="str">
        <x:v>7月30日现场数据</x:v>
      </x:c>
      <x:c r="B724" s="39" t="str">
        <x:v>2026-08-01T04:35:00</x:v>
      </x:c>
      <x:c r="C724" s="39" t="str">
        <x:v>2026-08-01T04:40:00</x:v>
      </x:c>
      <x:c r="D724" s="47" t="n">
        <x:v>5</x:v>
      </x:c>
      <x:c r="E724" s="40" t="n">
        <x:v>12</x:v>
      </x:c>
      <x:c r="F724" s="40" t="n">
        <x:v>9.90816879272461</x:v>
      </x:c>
      <x:c r="G724" s="40" t="n">
        <x:v>12</x:v>
      </x:c>
      <x:c r="H724" s="40" t="n">
        <x:f>F724-E724</x:f>
        <x:v>-2.0918312072753906</x:v>
      </x:c>
      <x:c r="I724" s="40" t="n">
        <x:f>ABS(H724)</x:f>
        <x:v>2.0918312072753906</x:v>
      </x:c>
      <x:c r="J724" s="40" t="n">
        <x:f>H724^2</x:f>
        <x:v>4.375757799731218</x:v>
      </x:c>
      <x:c r="K724" s="40" t="n">
        <x:f>G724-E724</x:f>
        <x:v>0</x:v>
      </x:c>
      <x:c r="L724" s="40" t="n">
        <x:f>ABS(K724)</x:f>
        <x:v>0</x:v>
      </x:c>
      <x:c r="M724" s="41" t="str">
        <x:v>lstm-soil-v1</x:v>
      </x:c>
    </x:row>
    <x:row r="725">
      <x:c r="A725" s="38" t="str">
        <x:v>7月30日现场数据</x:v>
      </x:c>
      <x:c r="B725" s="39" t="str">
        <x:v>2026-08-01T04:35:00</x:v>
      </x:c>
      <x:c r="C725" s="39" t="str">
        <x:v>2026-08-01T04:50:00</x:v>
      </x:c>
      <x:c r="D725" s="47" t="n">
        <x:v>15</x:v>
      </x:c>
      <x:c r="E725" s="40" t="n">
        <x:v>12</x:v>
      </x:c>
      <x:c r="F725" s="40" t="n">
        <x:v>9.96377182006836</x:v>
      </x:c>
      <x:c r="G725" s="40" t="n">
        <x:v>12</x:v>
      </x:c>
      <x:c r="H725" s="40" t="n">
        <x:f>F725-E725</x:f>
        <x:v>-2.0362281799316406</x:v>
      </x:c>
      <x:c r="I725" s="40" t="n">
        <x:f>ABS(H725)</x:f>
        <x:v>2.0362281799316406</x:v>
      </x:c>
      <x:c r="J725" s="40" t="n">
        <x:f>H725^2</x:f>
        <x:v>4.146225200747722</x:v>
      </x:c>
      <x:c r="K725" s="40" t="n">
        <x:f>G725-E725</x:f>
        <x:v>0</x:v>
      </x:c>
      <x:c r="L725" s="40" t="n">
        <x:f>ABS(K725)</x:f>
        <x:v>0</x:v>
      </x:c>
      <x:c r="M725" s="41" t="str">
        <x:v>lstm-soil-v1</x:v>
      </x:c>
    </x:row>
    <x:row r="726">
      <x:c r="A726" s="38" t="str">
        <x:v>7月30日现场数据</x:v>
      </x:c>
      <x:c r="B726" s="39" t="str">
        <x:v>2026-08-01T04:35:00</x:v>
      </x:c>
      <x:c r="C726" s="39" t="str">
        <x:v>2026-08-01T05:05:00</x:v>
      </x:c>
      <x:c r="D726" s="47" t="n">
        <x:v>30</x:v>
      </x:c>
      <x:c r="E726" s="40" t="n">
        <x:v>12</x:v>
      </x:c>
      <x:c r="F726" s="40" t="n">
        <x:v>10.468841552734375</x:v>
      </x:c>
      <x:c r="G726" s="40" t="n">
        <x:v>12</x:v>
      </x:c>
      <x:c r="H726" s="40" t="n">
        <x:f>F726-E726</x:f>
        <x:v>-1.531158447265625</x:v>
      </x:c>
      <x:c r="I726" s="40" t="n">
        <x:f>ABS(H726)</x:f>
        <x:v>1.531158447265625</x:v>
      </x:c>
      <x:c r="J726" s="40" t="n">
        <x:f>H726^2</x:f>
        <x:v>2.3444461906328797</x:v>
      </x:c>
      <x:c r="K726" s="40" t="n">
        <x:f>G726-E726</x:f>
        <x:v>0</x:v>
      </x:c>
      <x:c r="L726" s="40" t="n">
        <x:f>ABS(K726)</x:f>
        <x:v>0</x:v>
      </x:c>
      <x:c r="M726" s="41" t="str">
        <x:v>lstm-soil-v1</x:v>
      </x:c>
    </x:row>
    <x:row r="727">
      <x:c r="A727" s="38" t="str">
        <x:v>7月30日现场数据</x:v>
      </x:c>
      <x:c r="B727" s="39" t="str">
        <x:v>2026-08-01T04:35:00</x:v>
      </x:c>
      <x:c r="C727" s="39" t="str">
        <x:v>2026-08-01T05:35:00</x:v>
      </x:c>
      <x:c r="D727" s="47" t="n">
        <x:v>60</x:v>
      </x:c>
      <x:c r="E727" s="40" t="n">
        <x:v>12</x:v>
      </x:c>
      <x:c r="F727" s="40" t="n">
        <x:v>12.045150756835938</x:v>
      </x:c>
      <x:c r="G727" s="40" t="n">
        <x:v>12</x:v>
      </x:c>
      <x:c r="H727" s="40" t="n">
        <x:f>F727-E727</x:f>
        <x:v>0.0451507568359375</x:v>
      </x:c>
      <x:c r="I727" s="40" t="n">
        <x:f>ABS(H727)</x:f>
        <x:v>0.0451507568359375</x:v>
      </x:c>
      <x:c r="J727" s="40" t="n">
        <x:f>H727^2</x:f>
        <x:v>0.002038590842857957</x:v>
      </x:c>
      <x:c r="K727" s="40" t="n">
        <x:f>G727-E727</x:f>
        <x:v>0</x:v>
      </x:c>
      <x:c r="L727" s="40" t="n">
        <x:f>ABS(K727)</x:f>
        <x:v>0</x:v>
      </x:c>
      <x:c r="M727" s="41" t="str">
        <x:v>lstm-soil-v1</x:v>
      </x:c>
    </x:row>
    <x:row r="728">
      <x:c r="A728" s="38" t="str">
        <x:v>7月30日现场数据</x:v>
      </x:c>
      <x:c r="B728" s="39" t="str">
        <x:v>2026-08-01T04:40:00</x:v>
      </x:c>
      <x:c r="C728" s="39" t="str">
        <x:v>2026-08-01T04:45:00</x:v>
      </x:c>
      <x:c r="D728" s="47" t="n">
        <x:v>5</x:v>
      </x:c>
      <x:c r="E728" s="40" t="n">
        <x:v>12</x:v>
      </x:c>
      <x:c r="F728" s="40" t="n">
        <x:v>9.908390045166016</x:v>
      </x:c>
      <x:c r="G728" s="40" t="n">
        <x:v>12</x:v>
      </x:c>
      <x:c r="H728" s="40" t="n">
        <x:f>F728-E728</x:f>
        <x:v>-2.0916099548339844</x:v>
      </x:c>
      <x:c r="I728" s="40" t="n">
        <x:f>ABS(H728)</x:f>
        <x:v>2.0916099548339844</x:v>
      </x:c>
      <x:c r="J728" s="40" t="n">
        <x:f>H728^2</x:f>
        <x:v>4.374832203160622</x:v>
      </x:c>
      <x:c r="K728" s="40" t="n">
        <x:f>G728-E728</x:f>
        <x:v>0</x:v>
      </x:c>
      <x:c r="L728" s="40" t="n">
        <x:f>ABS(K728)</x:f>
        <x:v>0</x:v>
      </x:c>
      <x:c r="M728" s="41" t="str">
        <x:v>lstm-soil-v1</x:v>
      </x:c>
    </x:row>
    <x:row r="729">
      <x:c r="A729" s="38" t="str">
        <x:v>7月30日现场数据</x:v>
      </x:c>
      <x:c r="B729" s="39" t="str">
        <x:v>2026-08-01T04:40:00</x:v>
      </x:c>
      <x:c r="C729" s="39" t="str">
        <x:v>2026-08-01T04:55:00</x:v>
      </x:c>
      <x:c r="D729" s="47" t="n">
        <x:v>15</x:v>
      </x:c>
      <x:c r="E729" s="40" t="n">
        <x:v>12.1</x:v>
      </x:c>
      <x:c r="F729" s="40" t="n">
        <x:v>9.963939666748047</x:v>
      </x:c>
      <x:c r="G729" s="40" t="n">
        <x:v>12</x:v>
      </x:c>
      <x:c r="H729" s="40" t="n">
        <x:f>F729-E729</x:f>
        <x:v>-2.1360603332519528</x:v>
      </x:c>
      <x:c r="I729" s="40" t="n">
        <x:f>ABS(H729)</x:f>
        <x:v>2.1360603332519528</x:v>
      </x:c>
      <x:c r="J729" s="40" t="n">
        <x:f>H729^2</x:f>
        <x:v>4.562753747292444</x:v>
      </x:c>
      <x:c r="K729" s="40" t="n">
        <x:f>G729-E729</x:f>
        <x:v>-0.09999999999999964</x:v>
      </x:c>
      <x:c r="L729" s="40" t="n">
        <x:f>ABS(K729)</x:f>
        <x:v>0.09999999999999964</x:v>
      </x:c>
      <x:c r="M729" s="41" t="str">
        <x:v>lstm-soil-v1</x:v>
      </x:c>
    </x:row>
    <x:row r="730">
      <x:c r="A730" s="38" t="str">
        <x:v>7月30日现场数据</x:v>
      </x:c>
      <x:c r="B730" s="39" t="str">
        <x:v>2026-08-01T04:40:00</x:v>
      </x:c>
      <x:c r="C730" s="39" t="str">
        <x:v>2026-08-01T05:10:00</x:v>
      </x:c>
      <x:c r="D730" s="47" t="n">
        <x:v>30</x:v>
      </x:c>
      <x:c r="E730" s="40" t="n">
        <x:v>12</x:v>
      </x:c>
      <x:c r="F730" s="40" t="n">
        <x:v>10.469139099121094</x:v>
      </x:c>
      <x:c r="G730" s="40" t="n">
        <x:v>12</x:v>
      </x:c>
      <x:c r="H730" s="40" t="n">
        <x:f>F730-E730</x:f>
        <x:v>-1.5308609008789062</x:v>
      </x:c>
      <x:c r="I730" s="40" t="n">
        <x:f>ABS(H730)</x:f>
        <x:v>1.5308609008789062</x:v>
      </x:c>
      <x:c r="J730" s="40" t="n">
        <x:f>H730^2</x:f>
        <x:v>2.3435350978397764</x:v>
      </x:c>
      <x:c r="K730" s="40" t="n">
        <x:f>G730-E730</x:f>
        <x:v>0</x:v>
      </x:c>
      <x:c r="L730" s="40" t="n">
        <x:f>ABS(K730)</x:f>
        <x:v>0</x:v>
      </x:c>
      <x:c r="M730" s="41" t="str">
        <x:v>lstm-soil-v1</x:v>
      </x:c>
    </x:row>
    <x:row r="731">
      <x:c r="A731" s="38" t="str">
        <x:v>7月30日现场数据</x:v>
      </x:c>
      <x:c r="B731" s="39" t="str">
        <x:v>2026-08-01T04:40:00</x:v>
      </x:c>
      <x:c r="C731" s="39" t="str">
        <x:v>2026-08-01T05:40:00</x:v>
      </x:c>
      <x:c r="D731" s="47" t="n">
        <x:v>60</x:v>
      </x:c>
      <x:c r="E731" s="40" t="n">
        <x:v>12.1</x:v>
      </x:c>
      <x:c r="F731" s="40" t="n">
        <x:v>12.045452117919922</x:v>
      </x:c>
      <x:c r="G731" s="40" t="n">
        <x:v>12</x:v>
      </x:c>
      <x:c r="H731" s="40" t="n">
        <x:f>F731-E731</x:f>
        <x:v>-0.05454788208007777</x:v>
      </x:c>
      <x:c r="I731" s="40" t="n">
        <x:f>ABS(H731)</x:f>
        <x:v>0.05454788208007777</x:v>
      </x:c>
      <x:c r="J731" s="40" t="n">
        <x:f>H731^2</x:f>
        <x:v>0.0029754714394220694</x:v>
      </x:c>
      <x:c r="K731" s="40" t="n">
        <x:f>G731-E731</x:f>
        <x:v>-0.09999999999999964</x:v>
      </x:c>
      <x:c r="L731" s="40" t="n">
        <x:f>ABS(K731)</x:f>
        <x:v>0.09999999999999964</x:v>
      </x:c>
      <x:c r="M731" s="41" t="str">
        <x:v>lstm-soil-v1</x:v>
      </x:c>
    </x:row>
    <x:row r="732">
      <x:c r="A732" s="38" t="str">
        <x:v>7月30日现场数据</x:v>
      </x:c>
      <x:c r="B732" s="39" t="str">
        <x:v>2026-08-01T04:45:00</x:v>
      </x:c>
      <x:c r="C732" s="39" t="str">
        <x:v>2026-08-01T04:50:00</x:v>
      </x:c>
      <x:c r="D732" s="47" t="n">
        <x:v>5</x:v>
      </x:c>
      <x:c r="E732" s="40" t="n">
        <x:v>12</x:v>
      </x:c>
      <x:c r="F732" s="40" t="n">
        <x:v>9.908576965332031</x:v>
      </x:c>
      <x:c r="G732" s="40" t="n">
        <x:v>12</x:v>
      </x:c>
      <x:c r="H732" s="40" t="n">
        <x:f>F732-E732</x:f>
        <x:v>-2.0914230346679688</x:v>
      </x:c>
      <x:c r="I732" s="40" t="n">
        <x:f>ABS(H732)</x:f>
        <x:v>2.0914230346679688</x:v>
      </x:c>
      <x:c r="J732" s="40" t="n">
        <x:f>H732^2</x:f>
        <x:v>4.374050309939776</x:v>
      </x:c>
      <x:c r="K732" s="40" t="n">
        <x:f>G732-E732</x:f>
        <x:v>0</x:v>
      </x:c>
      <x:c r="L732" s="40" t="n">
        <x:f>ABS(K732)</x:f>
        <x:v>0</x:v>
      </x:c>
      <x:c r="M732" s="41" t="str">
        <x:v>lstm-soil-v1</x:v>
      </x:c>
    </x:row>
    <x:row r="733">
      <x:c r="A733" s="38" t="str">
        <x:v>7月30日现场数据</x:v>
      </x:c>
      <x:c r="B733" s="39" t="str">
        <x:v>2026-08-01T04:45:00</x:v>
      </x:c>
      <x:c r="C733" s="39" t="str">
        <x:v>2026-08-01T05:00:00</x:v>
      </x:c>
      <x:c r="D733" s="47" t="n">
        <x:v>15</x:v>
      </x:c>
      <x:c r="E733" s="40" t="n">
        <x:v>12</x:v>
      </x:c>
      <x:c r="F733" s="40" t="n">
        <x:v>9.964088439941406</x:v>
      </x:c>
      <x:c r="G733" s="40" t="n">
        <x:v>12</x:v>
      </x:c>
      <x:c r="H733" s="40" t="n">
        <x:f>F733-E733</x:f>
        <x:v>-2.0359115600585938</x:v>
      </x:c>
      <x:c r="I733" s="40" t="n">
        <x:f>ABS(H733)</x:f>
        <x:v>2.0359115600585938</x:v>
      </x:c>
      <x:c r="J733" s="40" t="n">
        <x:f>H733^2</x:f>
        <x:v>4.144935880380217</x:v>
      </x:c>
      <x:c r="K733" s="40" t="n">
        <x:f>G733-E733</x:f>
        <x:v>0</x:v>
      </x:c>
      <x:c r="L733" s="40" t="n">
        <x:f>ABS(K733)</x:f>
        <x:v>0</x:v>
      </x:c>
      <x:c r="M733" s="41" t="str">
        <x:v>lstm-soil-v1</x:v>
      </x:c>
    </x:row>
    <x:row r="734">
      <x:c r="A734" s="38" t="str">
        <x:v>7月30日现场数据</x:v>
      </x:c>
      <x:c r="B734" s="39" t="str">
        <x:v>2026-08-01T04:45:00</x:v>
      </x:c>
      <x:c r="C734" s="39" t="str">
        <x:v>2026-08-01T05:15:00</x:v>
      </x:c>
      <x:c r="D734" s="47" t="n">
        <x:v>30</x:v>
      </x:c>
      <x:c r="E734" s="40" t="n">
        <x:v>12</x:v>
      </x:c>
      <x:c r="F734" s="40" t="n">
        <x:v>10.469364166259766</x:v>
      </x:c>
      <x:c r="G734" s="40" t="n">
        <x:v>12</x:v>
      </x:c>
      <x:c r="H734" s="40" t="n">
        <x:f>F734-E734</x:f>
        <x:v>-1.5306358337402344</x:v>
      </x:c>
      <x:c r="I734" s="40" t="n">
        <x:f>ABS(H734)</x:f>
        <x:v>1.5306358337402344</x:v>
      </x:c>
      <x:c r="J734" s="40" t="n">
        <x:f>H734^2</x:f>
        <x:v>2.3428460555296624</x:v>
      </x:c>
      <x:c r="K734" s="40" t="n">
        <x:f>G734-E734</x:f>
        <x:v>0</x:v>
      </x:c>
      <x:c r="L734" s="40" t="n">
        <x:f>ABS(K734)</x:f>
        <x:v>0</x:v>
      </x:c>
      <x:c r="M734" s="41" t="str">
        <x:v>lstm-soil-v1</x:v>
      </x:c>
    </x:row>
    <x:row r="735">
      <x:c r="A735" s="38" t="str">
        <x:v>7月30日现场数据</x:v>
      </x:c>
      <x:c r="B735" s="39" t="str">
        <x:v>2026-08-01T04:45:00</x:v>
      </x:c>
      <x:c r="C735" s="39" t="str">
        <x:v>2026-08-01T05:45:00</x:v>
      </x:c>
      <x:c r="D735" s="47" t="n">
        <x:v>60</x:v>
      </x:c>
      <x:c r="E735" s="40" t="n">
        <x:v>12</x:v>
      </x:c>
      <x:c r="F735" s="40" t="n">
        <x:v>12.045669555664062</x:v>
      </x:c>
      <x:c r="G735" s="40" t="n">
        <x:v>12</x:v>
      </x:c>
      <x:c r="H735" s="40" t="n">
        <x:f>F735-E735</x:f>
        <x:v>0.0456695556640625</x:v>
      </x:c>
      <x:c r="I735" s="40" t="n">
        <x:f>ABS(H735)</x:f>
        <x:v>0.0456695556640625</x:v>
      </x:c>
      <x:c r="J735" s="40" t="n">
        <x:f>H735^2</x:f>
        <x:v>0.002085708314552903</x:v>
      </x:c>
      <x:c r="K735" s="40" t="n">
        <x:f>G735-E735</x:f>
        <x:v>0</x:v>
      </x:c>
      <x:c r="L735" s="40" t="n">
        <x:f>ABS(K735)</x:f>
        <x:v>0</x:v>
      </x:c>
      <x:c r="M735" s="41" t="str">
        <x:v>lstm-soil-v1</x:v>
      </x:c>
    </x:row>
    <x:row r="736">
      <x:c r="A736" s="38" t="str">
        <x:v>7月30日现场数据</x:v>
      </x:c>
      <x:c r="B736" s="39" t="str">
        <x:v>2026-08-01T04:50:00</x:v>
      </x:c>
      <x:c r="C736" s="39" t="str">
        <x:v>2026-08-01T04:55:00</x:v>
      </x:c>
      <x:c r="D736" s="47" t="n">
        <x:v>5</x:v>
      </x:c>
      <x:c r="E736" s="40" t="n">
        <x:v>12.1</x:v>
      </x:c>
      <x:c r="F736" s="40" t="n">
        <x:v>9.90871810913086</x:v>
      </x:c>
      <x:c r="G736" s="40" t="n">
        <x:v>12</x:v>
      </x:c>
      <x:c r="H736" s="40" t="n">
        <x:f>F736-E736</x:f>
        <x:v>-2.1912818908691403</x:v>
      </x:c>
      <x:c r="I736" s="40" t="n">
        <x:f>ABS(H736)</x:f>
        <x:v>2.1912818908691403</x:v>
      </x:c>
      <x:c r="J736" s="40" t="n">
        <x:f>H736^2</x:f>
        <x:v>4.801716325251035</x:v>
      </x:c>
      <x:c r="K736" s="40" t="n">
        <x:f>G736-E736</x:f>
        <x:v>-0.09999999999999964</x:v>
      </x:c>
      <x:c r="L736" s="40" t="n">
        <x:f>ABS(K736)</x:f>
        <x:v>0.09999999999999964</x:v>
      </x:c>
      <x:c r="M736" s="41" t="str">
        <x:v>lstm-soil-v1</x:v>
      </x:c>
    </x:row>
    <x:row r="737">
      <x:c r="A737" s="38" t="str">
        <x:v>7月30日现场数据</x:v>
      </x:c>
      <x:c r="B737" s="39" t="str">
        <x:v>2026-08-01T04:50:00</x:v>
      </x:c>
      <x:c r="C737" s="39" t="str">
        <x:v>2026-08-01T05:05:00</x:v>
      </x:c>
      <x:c r="D737" s="47" t="n">
        <x:v>15</x:v>
      </x:c>
      <x:c r="E737" s="40" t="n">
        <x:v>12</x:v>
      </x:c>
      <x:c r="F737" s="40" t="n">
        <x:v>9.964214324951172</x:v>
      </x:c>
      <x:c r="G737" s="40" t="n">
        <x:v>12</x:v>
      </x:c>
      <x:c r="H737" s="40" t="n">
        <x:f>F737-E737</x:f>
        <x:v>-2.035785675048828</x:v>
      </x:c>
      <x:c r="I737" s="40" t="n">
        <x:f>ABS(H737)</x:f>
        <x:v>2.035785675048828</x:v>
      </x:c>
      <x:c r="J737" s="40" t="n">
        <x:f>H737^2</x:f>
        <x:v>4.144423314734013</x:v>
      </x:c>
      <x:c r="K737" s="40" t="n">
        <x:f>G737-E737</x:f>
        <x:v>0</x:v>
      </x:c>
      <x:c r="L737" s="40" t="n">
        <x:f>ABS(K737)</x:f>
        <x:v>0</x:v>
      </x:c>
      <x:c r="M737" s="41" t="str">
        <x:v>lstm-soil-v1</x:v>
      </x:c>
    </x:row>
    <x:row r="738">
      <x:c r="A738" s="38" t="str">
        <x:v>7月30日现场数据</x:v>
      </x:c>
      <x:c r="B738" s="39" t="str">
        <x:v>2026-08-01T04:50:00</x:v>
      </x:c>
      <x:c r="C738" s="39" t="str">
        <x:v>2026-08-01T05:20:00</x:v>
      </x:c>
      <x:c r="D738" s="47" t="n">
        <x:v>30</x:v>
      </x:c>
      <x:c r="E738" s="40" t="n">
        <x:v>12</x:v>
      </x:c>
      <x:c r="F738" s="40" t="n">
        <x:v>10.46950912475586</x:v>
      </x:c>
      <x:c r="G738" s="40" t="n">
        <x:v>12</x:v>
      </x:c>
      <x:c r="H738" s="40" t="n">
        <x:f>F738-E738</x:f>
        <x:v>-1.5304908752441406</x:v>
      </x:c>
      <x:c r="I738" s="40" t="n">
        <x:f>ABS(H738)</x:f>
        <x:v>1.5304908752441406</x:v>
      </x:c>
      <x:c r="J738" s="40" t="n">
        <x:f>H738^2</x:f>
        <x:v>2.3424023192055756</x:v>
      </x:c>
      <x:c r="K738" s="40" t="n">
        <x:f>G738-E738</x:f>
        <x:v>0</x:v>
      </x:c>
      <x:c r="L738" s="40" t="n">
        <x:f>ABS(K738)</x:f>
        <x:v>0</x:v>
      </x:c>
      <x:c r="M738" s="41" t="str">
        <x:v>lstm-soil-v1</x:v>
      </x:c>
    </x:row>
    <x:row r="739">
      <x:c r="A739" s="38" t="str">
        <x:v>7月30日现场数据</x:v>
      </x:c>
      <x:c r="B739" s="39" t="str">
        <x:v>2026-08-01T04:50:00</x:v>
      </x:c>
      <x:c r="C739" s="39" t="str">
        <x:v>2026-08-01T05:50:00</x:v>
      </x:c>
      <x:c r="D739" s="47" t="n">
        <x:v>60</x:v>
      </x:c>
      <x:c r="E739" s="40" t="n">
        <x:v>12</x:v>
      </x:c>
      <x:c r="F739" s="40" t="n">
        <x:v>12.045799255371094</x:v>
      </x:c>
      <x:c r="G739" s="40" t="n">
        <x:v>12</x:v>
      </x:c>
      <x:c r="H739" s="40" t="n">
        <x:f>F739-E739</x:f>
        <x:v>0.04579925537109375</x:v>
      </x:c>
      <x:c r="I739" s="40" t="n">
        <x:f>ABS(H739)</x:f>
        <x:v>0.04579925537109375</x:v>
      </x:c>
      <x:c r="J739" s="40" t="n">
        <x:f>H739^2</x:f>
        <x:v>0.0020975717925466597</x:v>
      </x:c>
      <x:c r="K739" s="40" t="n">
        <x:f>G739-E739</x:f>
        <x:v>0</x:v>
      </x:c>
      <x:c r="L739" s="40" t="n">
        <x:f>ABS(K739)</x:f>
        <x:v>0</x:v>
      </x:c>
      <x:c r="M739" s="41" t="str">
        <x:v>lstm-soil-v1</x:v>
      </x:c>
    </x:row>
    <x:row r="740">
      <x:c r="A740" s="38" t="str">
        <x:v>7月30日现场数据</x:v>
      </x:c>
      <x:c r="B740" s="39" t="str">
        <x:v>2026-08-01T04:55:00</x:v>
      </x:c>
      <x:c r="C740" s="39" t="str">
        <x:v>2026-08-01T05:00:00</x:v>
      </x:c>
      <x:c r="D740" s="47" t="n">
        <x:v>5</x:v>
      </x:c>
      <x:c r="E740" s="40" t="n">
        <x:v>12</x:v>
      </x:c>
      <x:c r="F740" s="40" t="n">
        <x:v>10.019145965576172</x:v>
      </x:c>
      <x:c r="G740" s="40" t="n">
        <x:v>12.1</x:v>
      </x:c>
      <x:c r="H740" s="40" t="n">
        <x:f>F740-E740</x:f>
        <x:v>-1.9808540344238281</x:v>
      </x:c>
      <x:c r="I740" s="40" t="n">
        <x:f>ABS(H740)</x:f>
        <x:v>1.9808540344238281</x:v>
      </x:c>
      <x:c r="J740" s="40" t="n">
        <x:f>H740^2</x:f>
        <x:v>3.9237827056931565</x:v>
      </x:c>
      <x:c r="K740" s="40" t="n">
        <x:f>G740-E740</x:f>
        <x:v>0.09999999999999964</x:v>
      </x:c>
      <x:c r="L740" s="40" t="n">
        <x:f>ABS(K740)</x:f>
        <x:v>0.09999999999999964</x:v>
      </x:c>
      <x:c r="M740" s="41" t="str">
        <x:v>lstm-soil-v1</x:v>
      </x:c>
    </x:row>
    <x:row r="741">
      <x:c r="A741" s="38" t="str">
        <x:v>7月30日现场数据</x:v>
      </x:c>
      <x:c r="B741" s="39" t="str">
        <x:v>2026-08-01T04:55:00</x:v>
      </x:c>
      <x:c r="C741" s="39" t="str">
        <x:v>2026-08-01T05:10:00</x:v>
      </x:c>
      <x:c r="D741" s="47" t="n">
        <x:v>15</x:v>
      </x:c>
      <x:c r="E741" s="40" t="n">
        <x:v>12</x:v>
      </x:c>
      <x:c r="F741" s="40" t="n">
        <x:v>10.074520111083984</x:v>
      </x:c>
      <x:c r="G741" s="40" t="n">
        <x:v>12.1</x:v>
      </x:c>
      <x:c r="H741" s="40" t="n">
        <x:f>F741-E741</x:f>
        <x:v>-1.9254798889160156</x:v>
      </x:c>
      <x:c r="I741" s="40" t="n">
        <x:f>ABS(H741)</x:f>
        <x:v>1.9254798889160156</x:v>
      </x:c>
      <x:c r="J741" s="40" t="n">
        <x:f>H741^2</x:f>
        <x:v>3.707472802620032</x:v>
      </x:c>
      <x:c r="K741" s="40" t="n">
        <x:f>G741-E741</x:f>
        <x:v>0.09999999999999964</x:v>
      </x:c>
      <x:c r="L741" s="40" t="n">
        <x:f>ABS(K741)</x:f>
        <x:v>0.09999999999999964</x:v>
      </x:c>
      <x:c r="M741" s="41" t="str">
        <x:v>lstm-soil-v1</x:v>
      </x:c>
    </x:row>
    <x:row r="742">
      <x:c r="A742" s="38" t="str">
        <x:v>7月30日现场数据</x:v>
      </x:c>
      <x:c r="B742" s="39" t="str">
        <x:v>2026-08-01T04:55:00</x:v>
      </x:c>
      <x:c r="C742" s="39" t="str">
        <x:v>2026-08-01T05:25:00</x:v>
      </x:c>
      <x:c r="D742" s="47" t="n">
        <x:v>30</x:v>
      </x:c>
      <x:c r="E742" s="40" t="n">
        <x:v>12</x:v>
      </x:c>
      <x:c r="F742" s="40" t="n">
        <x:v>10.579891204833984</x:v>
      </x:c>
      <x:c r="G742" s="40" t="n">
        <x:v>12.1</x:v>
      </x:c>
      <x:c r="H742" s="40" t="n">
        <x:f>F742-E742</x:f>
        <x:v>-1.4201087951660156</x:v>
      </x:c>
      <x:c r="I742" s="40" t="n">
        <x:f>ABS(H742)</x:f>
        <x:v>1.4201087951660156</x:v>
      </x:c>
      <x:c r="J742" s="40" t="n">
        <x:f>H742^2</x:f>
        <x:v>2.0167089901078725</x:v>
      </x:c>
      <x:c r="K742" s="40" t="n">
        <x:f>G742-E742</x:f>
        <x:v>0.09999999999999964</x:v>
      </x:c>
      <x:c r="L742" s="40" t="n">
        <x:f>ABS(K742)</x:f>
        <x:v>0.09999999999999964</x:v>
      </x:c>
      <x:c r="M742" s="41" t="str">
        <x:v>lstm-soil-v1</x:v>
      </x:c>
    </x:row>
    <x:row r="743">
      <x:c r="A743" s="38" t="str">
        <x:v>7月30日现场数据</x:v>
      </x:c>
      <x:c r="B743" s="39" t="str">
        <x:v>2026-08-01T04:55:00</x:v>
      </x:c>
      <x:c r="C743" s="39" t="str">
        <x:v>2026-08-01T05:55:00</x:v>
      </x:c>
      <x:c r="D743" s="47" t="n">
        <x:v>60</x:v>
      </x:c>
      <x:c r="E743" s="40" t="n">
        <x:v>12</x:v>
      </x:c>
      <x:c r="F743" s="40" t="n">
        <x:v>12.156230926513672</x:v>
      </x:c>
      <x:c r="G743" s="40" t="n">
        <x:v>12.1</x:v>
      </x:c>
      <x:c r="H743" s="40" t="n">
        <x:f>F743-E743</x:f>
        <x:v>0.15623092651367188</x:v>
      </x:c>
      <x:c r="I743" s="40" t="n">
        <x:f>ABS(H743)</x:f>
        <x:v>0.15623092651367188</x:v>
      </x:c>
      <x:c r="J743" s="40" t="n">
        <x:f>H743^2</x:f>
        <x:v>0.02440810239932034</x:v>
      </x:c>
      <x:c r="K743" s="40" t="n">
        <x:f>G743-E743</x:f>
        <x:v>0.09999999999999964</x:v>
      </x:c>
      <x:c r="L743" s="40" t="n">
        <x:f>ABS(K743)</x:f>
        <x:v>0.09999999999999964</x:v>
      </x:c>
      <x:c r="M743" s="41" t="str">
        <x:v>lstm-soil-v1</x:v>
      </x:c>
    </x:row>
    <x:row r="744">
      <x:c r="A744" s="38" t="str">
        <x:v>7月30日现场数据</x:v>
      </x:c>
      <x:c r="B744" s="39" t="str">
        <x:v>2026-08-01T05:00:00</x:v>
      </x:c>
      <x:c r="C744" s="39" t="str">
        <x:v>2026-08-01T05:05:00</x:v>
      </x:c>
      <x:c r="D744" s="47" t="n">
        <x:v>5</x:v>
      </x:c>
      <x:c r="E744" s="40" t="n">
        <x:v>12</x:v>
      </x:c>
      <x:c r="F744" s="40" t="n">
        <x:v>9.908447265625</x:v>
      </x:c>
      <x:c r="G744" s="40" t="n">
        <x:v>12</x:v>
      </x:c>
      <x:c r="H744" s="40" t="n">
        <x:f>F744-E744</x:f>
        <x:v>-2.091552734375</x:v>
      </x:c>
      <x:c r="I744" s="40" t="n">
        <x:f>ABS(H744)</x:f>
        <x:v>2.091552734375</x:v>
      </x:c>
      <x:c r="J744" s="40" t="n">
        <x:f>H744^2</x:f>
        <x:v>4.374592840671539</x:v>
      </x:c>
      <x:c r="K744" s="40" t="n">
        <x:f>G744-E744</x:f>
        <x:v>0</x:v>
      </x:c>
      <x:c r="L744" s="40" t="n">
        <x:f>ABS(K744)</x:f>
        <x:v>0</x:v>
      </x:c>
      <x:c r="M744" s="41" t="str">
        <x:v>lstm-soil-v1</x:v>
      </x:c>
    </x:row>
    <x:row r="745">
      <x:c r="A745" s="38" t="str">
        <x:v>7月30日现场数据</x:v>
      </x:c>
      <x:c r="B745" s="39" t="str">
        <x:v>2026-08-01T05:00:00</x:v>
      </x:c>
      <x:c r="C745" s="39" t="str">
        <x:v>2026-08-01T05:15:00</x:v>
      </x:c>
      <x:c r="D745" s="47" t="n">
        <x:v>15</x:v>
      </x:c>
      <x:c r="E745" s="40" t="n">
        <x:v>12</x:v>
      </x:c>
      <x:c r="F745" s="40" t="n">
        <x:v>9.963516235351562</x:v>
      </x:c>
      <x:c r="G745" s="40" t="n">
        <x:v>12</x:v>
      </x:c>
      <x:c r="H745" s="40" t="n">
        <x:f>F745-E745</x:f>
        <x:v>-2.0364837646484375</x:v>
      </x:c>
      <x:c r="I745" s="40" t="n">
        <x:f>ABS(H745)</x:f>
        <x:v>2.0364837646484375</x:v>
      </x:c>
      <x:c r="J745" s="40" t="n">
        <x:f>H745^2</x:f>
        <x:v>4.147266123676673</x:v>
      </x:c>
      <x:c r="K745" s="40" t="n">
        <x:f>G745-E745</x:f>
        <x:v>0</x:v>
      </x:c>
      <x:c r="L745" s="40" t="n">
        <x:f>ABS(K745)</x:f>
        <x:v>0</x:v>
      </x:c>
      <x:c r="M745" s="41" t="str">
        <x:v>lstm-soil-v1</x:v>
      </x:c>
    </x:row>
    <x:row r="746">
      <x:c r="A746" s="38" t="str">
        <x:v>7月30日现场数据</x:v>
      </x:c>
      <x:c r="B746" s="39" t="str">
        <x:v>2026-08-01T05:00:00</x:v>
      </x:c>
      <x:c r="C746" s="39" t="str">
        <x:v>2026-08-01T05:30:00</x:v>
      </x:c>
      <x:c r="D746" s="47" t="n">
        <x:v>30</x:v>
      </x:c>
      <x:c r="E746" s="40" t="n">
        <x:v>12</x:v>
      </x:c>
      <x:c r="F746" s="40" t="n">
        <x:v>10.468658447265625</x:v>
      </x:c>
      <x:c r="G746" s="40" t="n">
        <x:v>12</x:v>
      </x:c>
      <x:c r="H746" s="40" t="n">
        <x:f>F746-E746</x:f>
        <x:v>-1.531341552734375</x:v>
      </x:c>
      <x:c r="I746" s="40" t="n">
        <x:f>ABS(H746)</x:f>
        <x:v>1.531341552734375</x:v>
      </x:c>
      <x:c r="J746" s="40" t="n">
        <x:f>H746^2</x:f>
        <x:v>2.3450069511309266</x:v>
      </x:c>
      <x:c r="K746" s="40" t="n">
        <x:f>G746-E746</x:f>
        <x:v>0</x:v>
      </x:c>
      <x:c r="L746" s="40" t="n">
        <x:f>ABS(K746)</x:f>
        <x:v>0</x:v>
      </x:c>
      <x:c r="M746" s="41" t="str">
        <x:v>lstm-soil-v1</x:v>
      </x:c>
    </x:row>
    <x:row r="747">
      <x:c r="A747" s="38" t="str">
        <x:v>7月30日现场数据</x:v>
      </x:c>
      <x:c r="B747" s="39" t="str">
        <x:v>2026-08-01T05:00:00</x:v>
      </x:c>
      <x:c r="C747" s="39" t="str">
        <x:v>2026-08-01T06:00:00</x:v>
      </x:c>
      <x:c r="D747" s="47" t="n">
        <x:v>60</x:v>
      </x:c>
      <x:c r="E747" s="40" t="n">
        <x:v>12</x:v>
      </x:c>
      <x:c r="F747" s="40" t="n">
        <x:v>12.047760009765625</x:v>
      </x:c>
      <x:c r="G747" s="40" t="n">
        <x:v>12</x:v>
      </x:c>
      <x:c r="H747" s="40" t="n">
        <x:f>F747-E747</x:f>
        <x:v>0.047760009765625</x:v>
      </x:c>
      <x:c r="I747" s="40" t="n">
        <x:f>ABS(H747)</x:f>
        <x:v>0.047760009765625</x:v>
      </x:c>
      <x:c r="J747" s="40" t="n">
        <x:f>H747^2</x:f>
        <x:v>0.0022810185328125954</x:v>
      </x:c>
      <x:c r="K747" s="40" t="n">
        <x:f>G747-E747</x:f>
        <x:v>0</x:v>
      </x:c>
      <x:c r="L747" s="40" t="n">
        <x:f>ABS(K747)</x:f>
        <x:v>0</x:v>
      </x:c>
      <x:c r="M747" s="41" t="str">
        <x:v>lstm-soil-v1</x:v>
      </x:c>
    </x:row>
    <x:row r="748">
      <x:c r="A748" s="38" t="str">
        <x:v>7月30日现场数据</x:v>
      </x:c>
      <x:c r="B748" s="39" t="str">
        <x:v>2026-08-01T05:05:00</x:v>
      </x:c>
      <x:c r="C748" s="39" t="str">
        <x:v>2026-08-01T05:10:00</x:v>
      </x:c>
      <x:c r="D748" s="47" t="n">
        <x:v>5</x:v>
      </x:c>
      <x:c r="E748" s="40" t="n">
        <x:v>12</x:v>
      </x:c>
      <x:c r="F748" s="40" t="n">
        <x:v>9.907669067382812</x:v>
      </x:c>
      <x:c r="G748" s="40" t="n">
        <x:v>12</x:v>
      </x:c>
      <x:c r="H748" s="40" t="n">
        <x:f>F748-E748</x:f>
        <x:v>-2.0923309326171875</x:v>
      </x:c>
      <x:c r="I748" s="40" t="n">
        <x:f>ABS(H748)</x:f>
        <x:v>2.0923309326171875</x:v>
      </x:c>
      <x:c r="J748" s="40" t="n">
        <x:f>H748^2</x:f>
        <x:v>4.37784873158671</x:v>
      </x:c>
      <x:c r="K748" s="40" t="n">
        <x:f>G748-E748</x:f>
        <x:v>0</x:v>
      </x:c>
      <x:c r="L748" s="40" t="n">
        <x:f>ABS(K748)</x:f>
        <x:v>0</x:v>
      </x:c>
      <x:c r="M748" s="41" t="str">
        <x:v>lstm-soil-v1</x:v>
      </x:c>
    </x:row>
    <x:row r="749">
      <x:c r="A749" s="38" t="str">
        <x:v>7月30日现场数据</x:v>
      </x:c>
      <x:c r="B749" s="39" t="str">
        <x:v>2026-08-01T05:05:00</x:v>
      </x:c>
      <x:c r="C749" s="39" t="str">
        <x:v>2026-08-01T05:20:00</x:v>
      </x:c>
      <x:c r="D749" s="47" t="n">
        <x:v>15</x:v>
      </x:c>
      <x:c r="E749" s="40" t="n">
        <x:v>12</x:v>
      </x:c>
      <x:c r="F749" s="40" t="n">
        <x:v>9.96337890625</x:v>
      </x:c>
      <x:c r="G749" s="40" t="n">
        <x:v>12</x:v>
      </x:c>
      <x:c r="H749" s="40" t="n">
        <x:f>F749-E749</x:f>
        <x:v>-2.03662109375</x:v>
      </x:c>
      <x:c r="I749" s="40" t="n">
        <x:f>ABS(H749)</x:f>
        <x:v>2.03662109375</x:v>
      </x:c>
      <x:c r="J749" s="40" t="n">
        <x:f>H749^2</x:f>
        <x:v>4.147825479507446</x:v>
      </x:c>
      <x:c r="K749" s="40" t="n">
        <x:f>G749-E749</x:f>
        <x:v>0</x:v>
      </x:c>
      <x:c r="L749" s="40" t="n">
        <x:f>ABS(K749)</x:f>
        <x:v>0</x:v>
      </x:c>
      <x:c r="M749" s="41" t="str">
        <x:v>lstm-soil-v1</x:v>
      </x:c>
    </x:row>
    <x:row r="750">
      <x:c r="A750" s="38" t="str">
        <x:v>7月30日现场数据</x:v>
      </x:c>
      <x:c r="B750" s="39" t="str">
        <x:v>2026-08-01T05:05:00</x:v>
      </x:c>
      <x:c r="C750" s="39" t="str">
        <x:v>2026-08-01T05:35:00</x:v>
      </x:c>
      <x:c r="D750" s="47" t="n">
        <x:v>30</x:v>
      </x:c>
      <x:c r="E750" s="40" t="n">
        <x:v>12</x:v>
      </x:c>
      <x:c r="F750" s="40" t="n">
        <x:v>10.468490600585938</x:v>
      </x:c>
      <x:c r="G750" s="40" t="n">
        <x:v>12</x:v>
      </x:c>
      <x:c r="H750" s="40" t="n">
        <x:f>F750-E750</x:f>
        <x:v>-1.5315093994140625</x:v>
      </x:c>
      <x:c r="I750" s="40" t="n">
        <x:f>ABS(H750)</x:f>
        <x:v>1.5315093994140625</x:v>
      </x:c>
      <x:c r="J750" s="40" t="n">
        <x:f>H750^2</x:f>
        <x:v>2.3455210404936224</x:v>
      </x:c>
      <x:c r="K750" s="40" t="n">
        <x:f>G750-E750</x:f>
        <x:v>0</x:v>
      </x:c>
      <x:c r="L750" s="40" t="n">
        <x:f>ABS(K750)</x:f>
        <x:v>0</x:v>
      </x:c>
      <x:c r="M750" s="41" t="str">
        <x:v>lstm-soil-v1</x:v>
      </x:c>
    </x:row>
    <x:row r="751">
      <x:c r="A751" s="38" t="str">
        <x:v>7月30日现场数据</x:v>
      </x:c>
      <x:c r="B751" s="39" t="str">
        <x:v>2026-08-01T05:05:00</x:v>
      </x:c>
      <x:c r="C751" s="39" t="str">
        <x:v>2026-08-01T06:05:00</x:v>
      </x:c>
      <x:c r="D751" s="47" t="n">
        <x:v>60</x:v>
      </x:c>
      <x:c r="E751" s="40" t="n">
        <x:v>12</x:v>
      </x:c>
      <x:c r="F751" s="40" t="n">
        <x:v>12.048393249511719</x:v>
      </x:c>
      <x:c r="G751" s="40" t="n">
        <x:v>12</x:v>
      </x:c>
      <x:c r="H751" s="40" t="n">
        <x:f>F751-E751</x:f>
        <x:v>0.04839324951171875</x:v>
      </x:c>
      <x:c r="I751" s="40" t="n">
        <x:f>ABS(H751)</x:f>
        <x:v>0.04839324951171875</x:v>
      </x:c>
      <x:c r="J751" s="40" t="n">
        <x:f>H751^2</x:f>
        <x:v>0.002341906598303467</x:v>
      </x:c>
      <x:c r="K751" s="40" t="n">
        <x:f>G751-E751</x:f>
        <x:v>0</x:v>
      </x:c>
      <x:c r="L751" s="40" t="n">
        <x:f>ABS(K751)</x:f>
        <x:v>0</x:v>
      </x:c>
      <x:c r="M751" s="41" t="str">
        <x:v>lstm-soil-v1</x:v>
      </x:c>
    </x:row>
    <x:row r="752">
      <x:c r="A752" s="38" t="str">
        <x:v>7月30日现场数据</x:v>
      </x:c>
      <x:c r="B752" s="39" t="str">
        <x:v>2026-08-01T05:10:00</x:v>
      </x:c>
      <x:c r="C752" s="39" t="str">
        <x:v>2026-08-01T05:15:00</x:v>
      </x:c>
      <x:c r="D752" s="47" t="n">
        <x:v>5</x:v>
      </x:c>
      <x:c r="E752" s="40" t="n">
        <x:v>12</x:v>
      </x:c>
      <x:c r="F752" s="40" t="n">
        <x:v>9.907417297363281</x:v>
      </x:c>
      <x:c r="G752" s="40" t="n">
        <x:v>12</x:v>
      </x:c>
      <x:c r="H752" s="40" t="n">
        <x:f>F752-E752</x:f>
        <x:v>-2.0925827026367188</x:v>
      </x:c>
      <x:c r="I752" s="40" t="n">
        <x:f>ABS(H752)</x:f>
        <x:v>2.0925827026367188</x:v>
      </x:c>
      <x:c r="J752" s="40" t="n">
        <x:f>H752^2</x:f>
        <x:v>4.378902367374394</x:v>
      </x:c>
      <x:c r="K752" s="40" t="n">
        <x:f>G752-E752</x:f>
        <x:v>0</x:v>
      </x:c>
      <x:c r="L752" s="40" t="n">
        <x:f>ABS(K752)</x:f>
        <x:v>0</x:v>
      </x:c>
      <x:c r="M752" s="41" t="str">
        <x:v>lstm-soil-v1</x:v>
      </x:c>
    </x:row>
    <x:row r="753">
      <x:c r="A753" s="38" t="str">
        <x:v>7月30日现场数据</x:v>
      </x:c>
      <x:c r="B753" s="39" t="str">
        <x:v>2026-08-01T05:10:00</x:v>
      </x:c>
      <x:c r="C753" s="39" t="str">
        <x:v>2026-08-01T05:25:00</x:v>
      </x:c>
      <x:c r="D753" s="47" t="n">
        <x:v>15</x:v>
      </x:c>
      <x:c r="E753" s="40" t="n">
        <x:v>12</x:v>
      </x:c>
      <x:c r="F753" s="40" t="n">
        <x:v>9.963699340820312</x:v>
      </x:c>
      <x:c r="G753" s="40" t="n">
        <x:v>12</x:v>
      </x:c>
      <x:c r="H753" s="40" t="n">
        <x:f>F753-E753</x:f>
        <x:v>-2.0363006591796875</x:v>
      </x:c>
      <x:c r="I753" s="40" t="n">
        <x:f>ABS(H753)</x:f>
        <x:v>2.0363006591796875</x:v>
      </x:c>
      <x:c r="J753" s="40" t="n">
        <x:f>H753^2</x:f>
        <x:v>4.14652037457563</x:v>
      </x:c>
      <x:c r="K753" s="40" t="n">
        <x:f>G753-E753</x:f>
        <x:v>0</x:v>
      </x:c>
      <x:c r="L753" s="40" t="n">
        <x:f>ABS(K753)</x:f>
        <x:v>0</x:v>
      </x:c>
      <x:c r="M753" s="41" t="str">
        <x:v>lstm-soil-v1</x:v>
      </x:c>
    </x:row>
    <x:row r="754">
      <x:c r="A754" s="38" t="str">
        <x:v>7月30日现场数据</x:v>
      </x:c>
      <x:c r="B754" s="39" t="str">
        <x:v>2026-08-01T05:10:00</x:v>
      </x:c>
      <x:c r="C754" s="39" t="str">
        <x:v>2026-08-01T05:40:00</x:v>
      </x:c>
      <x:c r="D754" s="47" t="n">
        <x:v>30</x:v>
      </x:c>
      <x:c r="E754" s="40" t="n">
        <x:v>12.1</x:v>
      </x:c>
      <x:c r="F754" s="40" t="n">
        <x:v>10.468841552734375</x:v>
      </x:c>
      <x:c r="G754" s="40" t="n">
        <x:v>12</x:v>
      </x:c>
      <x:c r="H754" s="40" t="n">
        <x:f>F754-E754</x:f>
        <x:v>-1.6311584472656246</x:v>
      </x:c>
      <x:c r="I754" s="40" t="n">
        <x:f>ABS(H754)</x:f>
        <x:v>1.6311584472656246</x:v>
      </x:c>
      <x:c r="J754" s="40" t="n">
        <x:f>H754^2</x:f>
        <x:v>2.6606778800860034</x:v>
      </x:c>
      <x:c r="K754" s="40" t="n">
        <x:f>G754-E754</x:f>
        <x:v>-0.09999999999999964</x:v>
      </x:c>
      <x:c r="L754" s="40" t="n">
        <x:f>ABS(K754)</x:f>
        <x:v>0.09999999999999964</x:v>
      </x:c>
      <x:c r="M754" s="41" t="str">
        <x:v>lstm-soil-v1</x:v>
      </x:c>
    </x:row>
    <x:row r="755">
      <x:c r="A755" s="38" t="str">
        <x:v>7月30日现场数据</x:v>
      </x:c>
      <x:c r="B755" s="39" t="str">
        <x:v>2026-08-01T05:10:00</x:v>
      </x:c>
      <x:c r="C755" s="39" t="str">
        <x:v>2026-08-01T06:10:00</x:v>
      </x:c>
      <x:c r="D755" s="47" t="n">
        <x:v>60</x:v>
      </x:c>
      <x:c r="E755" s="40" t="n">
        <x:v>12</x:v>
      </x:c>
      <x:c r="F755" s="40" t="n">
        <x:v>12.049304962158203</x:v>
      </x:c>
      <x:c r="G755" s="40" t="n">
        <x:v>12</x:v>
      </x:c>
      <x:c r="H755" s="40" t="n">
        <x:f>F755-E755</x:f>
        <x:v>0.049304962158203125</x:v>
      </x:c>
      <x:c r="I755" s="40" t="n">
        <x:f>ABS(H755)</x:f>
        <x:v>0.049304962158203125</x:v>
      </x:c>
      <x:c r="J755" s="40" t="n">
        <x:f>H755^2</x:f>
        <x:v>0.002430979293421842</x:v>
      </x:c>
      <x:c r="K755" s="40" t="n">
        <x:f>G755-E755</x:f>
        <x:v>0</x:v>
      </x:c>
      <x:c r="L755" s="40" t="n">
        <x:f>ABS(K755)</x:f>
        <x:v>0</x:v>
      </x:c>
      <x:c r="M755" s="41" t="str">
        <x:v>lstm-soil-v1</x:v>
      </x:c>
    </x:row>
    <x:row r="756">
      <x:c r="A756" s="38" t="str">
        <x:v>7月30日现场数据</x:v>
      </x:c>
      <x:c r="B756" s="39" t="str">
        <x:v>2026-08-01T05:15:00</x:v>
      </x:c>
      <x:c r="C756" s="39" t="str">
        <x:v>2026-08-01T05:20:00</x:v>
      </x:c>
      <x:c r="D756" s="47" t="n">
        <x:v>5</x:v>
      </x:c>
      <x:c r="E756" s="40" t="n">
        <x:v>12</x:v>
      </x:c>
      <x:c r="F756" s="40" t="n">
        <x:v>9.907581329345703</x:v>
      </x:c>
      <x:c r="G756" s="40" t="n">
        <x:v>12</x:v>
      </x:c>
      <x:c r="H756" s="40" t="n">
        <x:f>F756-E756</x:f>
        <x:v>-2.092418670654297</x:v>
      </x:c>
      <x:c r="I756" s="40" t="n">
        <x:f>ABS(H756)</x:f>
        <x:v>2.092418670654297</x:v>
      </x:c>
      <x:c r="J756" s="40" t="n">
        <x:f>H756^2</x:f>
        <x:v>4.378215893302695</x:v>
      </x:c>
      <x:c r="K756" s="40" t="n">
        <x:f>G756-E756</x:f>
        <x:v>0</x:v>
      </x:c>
      <x:c r="L756" s="40" t="n">
        <x:f>ABS(K756)</x:f>
        <x:v>0</x:v>
      </x:c>
      <x:c r="M756" s="41" t="str">
        <x:v>lstm-soil-v1</x:v>
      </x:c>
    </x:row>
    <x:row r="757">
      <x:c r="A757" s="38" t="str">
        <x:v>7月30日现场数据</x:v>
      </x:c>
      <x:c r="B757" s="39" t="str">
        <x:v>2026-08-01T05:15:00</x:v>
      </x:c>
      <x:c r="C757" s="39" t="str">
        <x:v>2026-08-01T05:30:00</x:v>
      </x:c>
      <x:c r="D757" s="47" t="n">
        <x:v>15</x:v>
      </x:c>
      <x:c r="E757" s="40" t="n">
        <x:v>12</x:v>
      </x:c>
      <x:c r="F757" s="40" t="n">
        <x:v>9.964157104492188</x:v>
      </x:c>
      <x:c r="G757" s="40" t="n">
        <x:v>12</x:v>
      </x:c>
      <x:c r="H757" s="40" t="n">
        <x:f>F757-E757</x:f>
        <x:v>-2.0358428955078125</x:v>
      </x:c>
      <x:c r="I757" s="40" t="n">
        <x:f>ABS(H757)</x:f>
        <x:v>2.0358428955078125</x:v>
      </x:c>
      <x:c r="J757" s="40" t="n">
        <x:f>H757^2</x:f>
        <x:v>4.144656295189634</x:v>
      </x:c>
      <x:c r="K757" s="40" t="n">
        <x:f>G757-E757</x:f>
        <x:v>0</x:v>
      </x:c>
      <x:c r="L757" s="40" t="n">
        <x:f>ABS(K757)</x:f>
        <x:v>0</x:v>
      </x:c>
      <x:c r="M757" s="41" t="str">
        <x:v>lstm-soil-v1</x:v>
      </x:c>
    </x:row>
    <x:row r="758">
      <x:c r="A758" s="38" t="str">
        <x:v>7月30日现场数据</x:v>
      </x:c>
      <x:c r="B758" s="39" t="str">
        <x:v>2026-08-01T05:15:00</x:v>
      </x:c>
      <x:c r="C758" s="39" t="str">
        <x:v>2026-08-01T05:45:00</x:v>
      </x:c>
      <x:c r="D758" s="47" t="n">
        <x:v>30</x:v>
      </x:c>
      <x:c r="E758" s="40" t="n">
        <x:v>12</x:v>
      </x:c>
      <x:c r="F758" s="40" t="n">
        <x:v>10.469463348388672</x:v>
      </x:c>
      <x:c r="G758" s="40" t="n">
        <x:v>12</x:v>
      </x:c>
      <x:c r="H758" s="40" t="n">
        <x:f>F758-E758</x:f>
        <x:v>-1.5305366516113281</x:v>
      </x:c>
      <x:c r="I758" s="40" t="n">
        <x:f>ABS(H758)</x:f>
        <x:v>1.5305366516113281</x:v>
      </x:c>
      <x:c r="J758" s="40" t="n">
        <x:f>H758^2</x:f>
        <x:v>2.342542441925616</x:v>
      </x:c>
      <x:c r="K758" s="40" t="n">
        <x:f>G758-E758</x:f>
        <x:v>0</x:v>
      </x:c>
      <x:c r="L758" s="40" t="n">
        <x:f>ABS(K758)</x:f>
        <x:v>0</x:v>
      </x:c>
      <x:c r="M758" s="41" t="str">
        <x:v>lstm-soil-v1</x:v>
      </x:c>
    </x:row>
    <x:row r="759">
      <x:c r="A759" s="38" t="str">
        <x:v>7月30日现场数据</x:v>
      </x:c>
      <x:c r="B759" s="39" t="str">
        <x:v>2026-08-01T05:15:00</x:v>
      </x:c>
      <x:c r="C759" s="39" t="str">
        <x:v>2026-08-01T06:15:00</x:v>
      </x:c>
      <x:c r="D759" s="47" t="n">
        <x:v>60</x:v>
      </x:c>
      <x:c r="E759" s="40" t="n">
        <x:v>12</x:v>
      </x:c>
      <x:c r="F759" s="40" t="n">
        <x:v>12.05035400390625</x:v>
      </x:c>
      <x:c r="G759" s="40" t="n">
        <x:v>12</x:v>
      </x:c>
      <x:c r="H759" s="40" t="n">
        <x:f>F759-E759</x:f>
        <x:v>0.05035400390625</x:v>
      </x:c>
      <x:c r="I759" s="40" t="n">
        <x:f>ABS(H759)</x:f>
        <x:v>0.05035400390625</x:v>
      </x:c>
      <x:c r="J759" s="40" t="n">
        <x:f>H759^2</x:f>
        <x:v>0.0025355257093906403</x:v>
      </x:c>
      <x:c r="K759" s="40" t="n">
        <x:f>G759-E759</x:f>
        <x:v>0</x:v>
      </x:c>
      <x:c r="L759" s="40" t="n">
        <x:f>ABS(K759)</x:f>
        <x:v>0</x:v>
      </x:c>
      <x:c r="M759" s="41" t="str">
        <x:v>lstm-soil-v1</x:v>
      </x:c>
    </x:row>
    <x:row r="760">
      <x:c r="A760" s="38" t="str">
        <x:v>7月30日现场数据</x:v>
      </x:c>
      <x:c r="B760" s="39" t="str">
        <x:v>2026-08-01T05:20:00</x:v>
      </x:c>
      <x:c r="C760" s="39" t="str">
        <x:v>2026-08-01T05:25:00</x:v>
      </x:c>
      <x:c r="D760" s="47" t="n">
        <x:v>5</x:v>
      </x:c>
      <x:c r="E760" s="40" t="n">
        <x:v>12</x:v>
      </x:c>
      <x:c r="F760" s="40" t="n">
        <x:v>9.90789794921875</x:v>
      </x:c>
      <x:c r="G760" s="40" t="n">
        <x:v>12</x:v>
      </x:c>
      <x:c r="H760" s="40" t="n">
        <x:f>F760-E760</x:f>
        <x:v>-2.09210205078125</x:v>
      </x:c>
      <x:c r="I760" s="40" t="n">
        <x:f>ABS(H760)</x:f>
        <x:v>2.09210205078125</x:v>
      </x:c>
      <x:c r="J760" s="40" t="n">
        <x:f>H760^2</x:f>
        <x:v>4.376890990883112</x:v>
      </x:c>
      <x:c r="K760" s="40" t="n">
        <x:f>G760-E760</x:f>
        <x:v>0</x:v>
      </x:c>
      <x:c r="L760" s="40" t="n">
        <x:f>ABS(K760)</x:f>
        <x:v>0</x:v>
      </x:c>
      <x:c r="M760" s="41" t="str">
        <x:v>lstm-soil-v1</x:v>
      </x:c>
    </x:row>
    <x:row r="761">
      <x:c r="A761" s="38" t="str">
        <x:v>7月30日现场数据</x:v>
      </x:c>
      <x:c r="B761" s="39" t="str">
        <x:v>2026-08-01T05:20:00</x:v>
      </x:c>
      <x:c r="C761" s="39" t="str">
        <x:v>2026-08-01T05:35:00</x:v>
      </x:c>
      <x:c r="D761" s="47" t="n">
        <x:v>15</x:v>
      </x:c>
      <x:c r="E761" s="40" t="n">
        <x:v>12</x:v>
      </x:c>
      <x:c r="F761" s="40" t="n">
        <x:v>9.96462631225586</x:v>
      </x:c>
      <x:c r="G761" s="40" t="n">
        <x:v>12</x:v>
      </x:c>
      <x:c r="H761" s="40" t="n">
        <x:f>F761-E761</x:f>
        <x:v>-2.0353736877441406</x:v>
      </x:c>
      <x:c r="I761" s="40" t="n">
        <x:f>ABS(H761)</x:f>
        <x:v>2.0353736877441406</x:v>
      </x:c>
      <x:c r="J761" s="40" t="n">
        <x:f>H761^2</x:f>
        <x:v>4.1427460487611825</x:v>
      </x:c>
      <x:c r="K761" s="40" t="n">
        <x:f>G761-E761</x:f>
        <x:v>0</x:v>
      </x:c>
      <x:c r="L761" s="40" t="n">
        <x:f>ABS(K761)</x:f>
        <x:v>0</x:v>
      </x:c>
      <x:c r="M761" s="41" t="str">
        <x:v>lstm-soil-v1</x:v>
      </x:c>
    </x:row>
    <x:row r="762">
      <x:c r="A762" s="38" t="str">
        <x:v>7月30日现场数据</x:v>
      </x:c>
      <x:c r="B762" s="39" t="str">
        <x:v>2026-08-01T05:20:00</x:v>
      </x:c>
      <x:c r="C762" s="39" t="str">
        <x:v>2026-08-01T05:50:00</x:v>
      </x:c>
      <x:c r="D762" s="47" t="n">
        <x:v>30</x:v>
      </x:c>
      <x:c r="E762" s="40" t="n">
        <x:v>12</x:v>
      </x:c>
      <x:c r="F762" s="40" t="n">
        <x:v>10.47015380859375</x:v>
      </x:c>
      <x:c r="G762" s="40" t="n">
        <x:v>12</x:v>
      </x:c>
      <x:c r="H762" s="40" t="n">
        <x:f>F762-E762</x:f>
        <x:v>-1.52984619140625</x:v>
      </x:c>
      <x:c r="I762" s="40" t="n">
        <x:f>ABS(H762)</x:f>
        <x:v>1.52984619140625</x:v>
      </x:c>
      <x:c r="J762" s="40" t="n">
        <x:f>H762^2</x:f>
        <x:v>2.3404293693602085</x:v>
      </x:c>
      <x:c r="K762" s="40" t="n">
        <x:f>G762-E762</x:f>
        <x:v>0</x:v>
      </x:c>
      <x:c r="L762" s="40" t="n">
        <x:f>ABS(K762)</x:f>
        <x:v>0</x:v>
      </x:c>
      <x:c r="M762" s="41" t="str">
        <x:v>lstm-soil-v1</x:v>
      </x:c>
    </x:row>
    <x:row r="763">
      <x:c r="A763" s="38" t="str">
        <x:v>7月30日现场数据</x:v>
      </x:c>
      <x:c r="B763" s="39" t="str">
        <x:v>2026-08-01T05:20:00</x:v>
      </x:c>
      <x:c r="C763" s="39" t="str">
        <x:v>2026-08-01T06:20:00</x:v>
      </x:c>
      <x:c r="D763" s="47" t="n">
        <x:v>60</x:v>
      </x:c>
      <x:c r="E763" s="40" t="n">
        <x:v>12</x:v>
      </x:c>
      <x:c r="F763" s="40" t="n">
        <x:v>12.051284790039062</x:v>
      </x:c>
      <x:c r="G763" s="40" t="n">
        <x:v>12</x:v>
      </x:c>
      <x:c r="H763" s="40" t="n">
        <x:f>F763-E763</x:f>
        <x:v>0.0512847900390625</x:v>
      </x:c>
      <x:c r="I763" s="40" t="n">
        <x:f>ABS(H763)</x:f>
        <x:v>0.0512847900390625</x:v>
      </x:c>
      <x:c r="J763" s="40" t="n">
        <x:f>H763^2</x:f>
        <x:v>0.0026301296893507242</x:v>
      </x:c>
      <x:c r="K763" s="40" t="n">
        <x:f>G763-E763</x:f>
        <x:v>0</x:v>
      </x:c>
      <x:c r="L763" s="40" t="n">
        <x:f>ABS(K763)</x:f>
        <x:v>0</x:v>
      </x:c>
      <x:c r="M763" s="41" t="str">
        <x:v>lstm-soil-v1</x:v>
      </x:c>
    </x:row>
    <x:row r="764">
      <x:c r="A764" s="38" t="str">
        <x:v>7月30日现场数据</x:v>
      </x:c>
      <x:c r="B764" s="39" t="str">
        <x:v>2026-08-01T05:25:00</x:v>
      </x:c>
      <x:c r="C764" s="39" t="str">
        <x:v>2026-08-01T05:30:00</x:v>
      </x:c>
      <x:c r="D764" s="47" t="n">
        <x:v>5</x:v>
      </x:c>
      <x:c r="E764" s="40" t="n">
        <x:v>12</x:v>
      </x:c>
      <x:c r="F764" s="40" t="n">
        <x:v>9.908321380615234</x:v>
      </x:c>
      <x:c r="G764" s="40" t="n">
        <x:v>12</x:v>
      </x:c>
      <x:c r="H764" s="40" t="n">
        <x:f>F764-E764</x:f>
        <x:v>-2.0916786193847656</x:v>
      </x:c>
      <x:c r="I764" s="40" t="n">
        <x:f>ABS(H764)</x:f>
        <x:v>2.0916786193847656</x:v>
      </x:c>
      <x:c r="J764" s="40" t="n">
        <x:f>H764^2</x:f>
        <x:v>4.375119446791359</x:v>
      </x:c>
      <x:c r="K764" s="40" t="n">
        <x:f>G764-E764</x:f>
        <x:v>0</x:v>
      </x:c>
      <x:c r="L764" s="40" t="n">
        <x:f>ABS(K764)</x:f>
        <x:v>0</x:v>
      </x:c>
      <x:c r="M764" s="41" t="str">
        <x:v>lstm-soil-v1</x:v>
      </x:c>
    </x:row>
    <x:row r="765">
      <x:c r="A765" s="38" t="str">
        <x:v>7月30日现场数据</x:v>
      </x:c>
      <x:c r="B765" s="39" t="str">
        <x:v>2026-08-01T05:25:00</x:v>
      </x:c>
      <x:c r="C765" s="39" t="str">
        <x:v>2026-08-01T05:40:00</x:v>
      </x:c>
      <x:c r="D765" s="47" t="n">
        <x:v>15</x:v>
      </x:c>
      <x:c r="E765" s="40" t="n">
        <x:v>12.1</x:v>
      </x:c>
      <x:c r="F765" s="40" t="n">
        <x:v>9.964981079101562</x:v>
      </x:c>
      <x:c r="G765" s="40" t="n">
        <x:v>12</x:v>
      </x:c>
      <x:c r="H765" s="40" t="n">
        <x:f>F765-E765</x:f>
        <x:v>-2.135018920898437</x:v>
      </x:c>
      <x:c r="I765" s="40" t="n">
        <x:f>ABS(H765)</x:f>
        <x:v>2.135018920898437</x:v>
      </x:c>
      <x:c r="J765" s="40" t="n">
        <x:f>H765^2</x:f>
        <x:v>4.558305792594327</x:v>
      </x:c>
      <x:c r="K765" s="40" t="n">
        <x:f>G765-E765</x:f>
        <x:v>-0.09999999999999964</x:v>
      </x:c>
      <x:c r="L765" s="40" t="n">
        <x:f>ABS(K765)</x:f>
        <x:v>0.09999999999999964</x:v>
      </x:c>
      <x:c r="M765" s="41" t="str">
        <x:v>lstm-soil-v1</x:v>
      </x:c>
    </x:row>
    <x:row r="766">
      <x:c r="A766" s="38" t="str">
        <x:v>7月30日现场数据</x:v>
      </x:c>
      <x:c r="B766" s="39" t="str">
        <x:v>2026-08-01T05:25:00</x:v>
      </x:c>
      <x:c r="C766" s="39" t="str">
        <x:v>2026-08-01T05:55:00</x:v>
      </x:c>
      <x:c r="D766" s="47" t="n">
        <x:v>30</x:v>
      </x:c>
      <x:c r="E766" s="40" t="n">
        <x:v>12</x:v>
      </x:c>
      <x:c r="F766" s="40" t="n">
        <x:v>10.47079086303711</x:v>
      </x:c>
      <x:c r="G766" s="40" t="n">
        <x:v>12</x:v>
      </x:c>
      <x:c r="H766" s="40" t="n">
        <x:f>F766-E766</x:f>
        <x:v>-1.5292091369628906</x:v>
      </x:c>
      <x:c r="I766" s="40" t="n">
        <x:f>ABS(H766)</x:f>
        <x:v>1.5292091369628906</x:v>
      </x:c>
      <x:c r="J766" s="40" t="n">
        <x:f>H766^2</x:f>
        <x:v>2.338480584570789</x:v>
      </x:c>
      <x:c r="K766" s="40" t="n">
        <x:f>G766-E766</x:f>
        <x:v>0</x:v>
      </x:c>
      <x:c r="L766" s="40" t="n">
        <x:f>ABS(K766)</x:f>
        <x:v>0</x:v>
      </x:c>
      <x:c r="M766" s="41" t="str">
        <x:v>lstm-soil-v1</x:v>
      </x:c>
    </x:row>
    <x:row r="767">
      <x:c r="A767" s="38" t="str">
        <x:v>7月30日现场数据</x:v>
      </x:c>
      <x:c r="B767" s="39" t="str">
        <x:v>2026-08-01T05:25:00</x:v>
      </x:c>
      <x:c r="C767" s="39" t="str">
        <x:v>2026-08-01T06:25:00</x:v>
      </x:c>
      <x:c r="D767" s="47" t="n">
        <x:v>60</x:v>
      </x:c>
      <x:c r="E767" s="40" t="n">
        <x:v>12.1</x:v>
      </x:c>
      <x:c r="F767" s="40" t="n">
        <x:v>12.052173614501953</x:v>
      </x:c>
      <x:c r="G767" s="40" t="n">
        <x:v>12</x:v>
      </x:c>
      <x:c r="H767" s="40" t="n">
        <x:f>F767-E767</x:f>
        <x:v>-0.04782638549804652</x:v>
      </x:c>
      <x:c r="I767" s="40" t="n">
        <x:f>ABS(H767)</x:f>
        <x:v>0.04782638549804652</x:v>
      </x:c>
      <x:c r="J767" s="40" t="n">
        <x:f>H767^2</x:f>
        <x:v>0.0022873631498077545</x:v>
      </x:c>
      <x:c r="K767" s="40" t="n">
        <x:f>G767-E767</x:f>
        <x:v>-0.09999999999999964</x:v>
      </x:c>
      <x:c r="L767" s="40" t="n">
        <x:f>ABS(K767)</x:f>
        <x:v>0.09999999999999964</x:v>
      </x:c>
      <x:c r="M767" s="41" t="str">
        <x:v>lstm-soil-v1</x:v>
      </x:c>
    </x:row>
    <x:row r="768">
      <x:c r="A768" s="38" t="str">
        <x:v>7月30日现场数据</x:v>
      </x:c>
      <x:c r="B768" s="39" t="str">
        <x:v>2026-08-01T05:30:00</x:v>
      </x:c>
      <x:c r="C768" s="39" t="str">
        <x:v>2026-08-01T05:35:00</x:v>
      </x:c>
      <x:c r="D768" s="47" t="n">
        <x:v>5</x:v>
      </x:c>
      <x:c r="E768" s="40" t="n">
        <x:v>12</x:v>
      </x:c>
      <x:c r="F768" s="40" t="n">
        <x:v>9.908740997314453</x:v>
      </x:c>
      <x:c r="G768" s="40" t="n">
        <x:v>12</x:v>
      </x:c>
      <x:c r="H768" s="40" t="n">
        <x:f>F768-E768</x:f>
        <x:v>-2.091259002685547</x:v>
      </x:c>
      <x:c r="I768" s="40" t="n">
        <x:f>ABS(H768)</x:f>
        <x:v>2.091259002685547</x:v>
      </x:c>
      <x:c r="J768" s="40" t="n">
        <x:f>H768^2</x:f>
        <x:v>4.373364216313348</x:v>
      </x:c>
      <x:c r="K768" s="40" t="n">
        <x:f>G768-E768</x:f>
        <x:v>0</x:v>
      </x:c>
      <x:c r="L768" s="40" t="n">
        <x:f>ABS(K768)</x:f>
        <x:v>0</x:v>
      </x:c>
      <x:c r="M768" s="41" t="str">
        <x:v>lstm-soil-v1</x:v>
      </x:c>
    </x:row>
    <x:row r="769">
      <x:c r="A769" s="38" t="str">
        <x:v>7月30日现场数据</x:v>
      </x:c>
      <x:c r="B769" s="39" t="str">
        <x:v>2026-08-01T05:30:00</x:v>
      </x:c>
      <x:c r="C769" s="39" t="str">
        <x:v>2026-08-01T05:45:00</x:v>
      </x:c>
      <x:c r="D769" s="47" t="n">
        <x:v>15</x:v>
      </x:c>
      <x:c r="E769" s="40" t="n">
        <x:v>12</x:v>
      </x:c>
      <x:c r="F769" s="40" t="n">
        <x:v>9.965251922607422</x:v>
      </x:c>
      <x:c r="G769" s="40" t="n">
        <x:v>12</x:v>
      </x:c>
      <x:c r="H769" s="40" t="n">
        <x:f>F769-E769</x:f>
        <x:v>-2.034748077392578</x:v>
      </x:c>
      <x:c r="I769" s="40" t="n">
        <x:f>ABS(H769)</x:f>
        <x:v>2.034748077392578</x:v>
      </x:c>
      <x:c r="J769" s="40" t="n">
        <x:f>H769^2</x:f>
        <x:v>4.140199738452793</x:v>
      </x:c>
      <x:c r="K769" s="40" t="n">
        <x:f>G769-E769</x:f>
        <x:v>0</x:v>
      </x:c>
      <x:c r="L769" s="40" t="n">
        <x:f>ABS(K769)</x:f>
        <x:v>0</x:v>
      </x:c>
      <x:c r="M769" s="41" t="str">
        <x:v>lstm-soil-v1</x:v>
      </x:c>
    </x:row>
    <x:row r="770">
      <x:c r="A770" s="38" t="str">
        <x:v>7月30日现场数据</x:v>
      </x:c>
      <x:c r="B770" s="39" t="str">
        <x:v>2026-08-01T05:30:00</x:v>
      </x:c>
      <x:c r="C770" s="39" t="str">
        <x:v>2026-08-01T06:00:00</x:v>
      </x:c>
      <x:c r="D770" s="47" t="n">
        <x:v>30</x:v>
      </x:c>
      <x:c r="E770" s="40" t="n">
        <x:v>12</x:v>
      </x:c>
      <x:c r="F770" s="40" t="n">
        <x:v>10.471366882324219</x:v>
      </x:c>
      <x:c r="G770" s="40" t="n">
        <x:v>12</x:v>
      </x:c>
      <x:c r="H770" s="40" t="n">
        <x:f>F770-E770</x:f>
        <x:v>-1.5286331176757812</x:v>
      </x:c>
      <x:c r="I770" s="40" t="n">
        <x:f>ABS(H770)</x:f>
        <x:v>1.5286331176757812</x:v>
      </x:c>
      <x:c r="J770" s="40" t="n">
        <x:f>H770^2</x:f>
        <x:v>2.336719208455179</x:v>
      </x:c>
      <x:c r="K770" s="40" t="n">
        <x:f>G770-E770</x:f>
        <x:v>0</x:v>
      </x:c>
      <x:c r="L770" s="40" t="n">
        <x:f>ABS(K770)</x:f>
        <x:v>0</x:v>
      </x:c>
      <x:c r="M770" s="41" t="str">
        <x:v>lstm-soil-v1</x:v>
      </x:c>
    </x:row>
    <x:row r="771">
      <x:c r="A771" s="38" t="str">
        <x:v>7月30日现场数据</x:v>
      </x:c>
      <x:c r="B771" s="39" t="str">
        <x:v>2026-08-01T05:30:00</x:v>
      </x:c>
      <x:c r="C771" s="39" t="str">
        <x:v>2026-08-01T06:30:00</x:v>
      </x:c>
      <x:c r="D771" s="47" t="n">
        <x:v>60</x:v>
      </x:c>
      <x:c r="E771" s="40" t="n">
        <x:v>12</x:v>
      </x:c>
      <x:c r="F771" s="40" t="n">
        <x:v>12.052989959716797</x:v>
      </x:c>
      <x:c r="G771" s="40" t="n">
        <x:v>12</x:v>
      </x:c>
      <x:c r="H771" s="40" t="n">
        <x:f>F771-E771</x:f>
        <x:v>0.052989959716796875</x:v>
      </x:c>
      <x:c r="I771" s="40" t="n">
        <x:f>ABS(H771)</x:f>
        <x:v>0.052989959716796875</x:v>
      </x:c>
      <x:c r="J771" s="40" t="n">
        <x:f>H771^2</x:f>
        <x:v>0.0028079358307877555</x:v>
      </x:c>
      <x:c r="K771" s="40" t="n">
        <x:f>G771-E771</x:f>
        <x:v>0</x:v>
      </x:c>
      <x:c r="L771" s="40" t="n">
        <x:f>ABS(K771)</x:f>
        <x:v>0</x:v>
      </x:c>
      <x:c r="M771" s="41" t="str">
        <x:v>lstm-soil-v1</x:v>
      </x:c>
    </x:row>
    <x:row r="772">
      <x:c r="A772" s="38" t="str">
        <x:v>7月30日现场数据</x:v>
      </x:c>
      <x:c r="B772" s="39" t="str">
        <x:v>2026-08-01T05:35:00</x:v>
      </x:c>
      <x:c r="C772" s="39" t="str">
        <x:v>2026-08-01T05:40:00</x:v>
      </x:c>
      <x:c r="D772" s="47" t="n">
        <x:v>5</x:v>
      </x:c>
      <x:c r="E772" s="40" t="n">
        <x:v>12.1</x:v>
      </x:c>
      <x:c r="F772" s="40" t="n">
        <x:v>9.90908432006836</x:v>
      </x:c>
      <x:c r="G772" s="40" t="n">
        <x:v>12</x:v>
      </x:c>
      <x:c r="H772" s="40" t="n">
        <x:f>F772-E772</x:f>
        <x:v>-2.1909156799316403</x:v>
      </x:c>
      <x:c r="I772" s="40" t="n">
        <x:f>ABS(H772)</x:f>
        <x:v>2.1909156799316403</x:v>
      </x:c>
      <x:c r="J772" s="40" t="n">
        <x:f>H772^2</x:f>
        <x:v>4.800111516570322</x:v>
      </x:c>
      <x:c r="K772" s="40" t="n">
        <x:f>G772-E772</x:f>
        <x:v>-0.09999999999999964</x:v>
      </x:c>
      <x:c r="L772" s="40" t="n">
        <x:f>ABS(K772)</x:f>
        <x:v>0.09999999999999964</x:v>
      </x:c>
      <x:c r="M772" s="41" t="str">
        <x:v>lstm-soil-v1</x:v>
      </x:c>
    </x:row>
    <x:row r="773">
      <x:c r="A773" s="38" t="str">
        <x:v>7月30日现场数据</x:v>
      </x:c>
      <x:c r="B773" s="39" t="str">
        <x:v>2026-08-01T05:35:00</x:v>
      </x:c>
      <x:c r="C773" s="39" t="str">
        <x:v>2026-08-01T05:50:00</x:v>
      </x:c>
      <x:c r="D773" s="47" t="n">
        <x:v>15</x:v>
      </x:c>
      <x:c r="E773" s="40" t="n">
        <x:v>12</x:v>
      </x:c>
      <x:c r="F773" s="40" t="n">
        <x:v>9.965484619140625</x:v>
      </x:c>
      <x:c r="G773" s="40" t="n">
        <x:v>12</x:v>
      </x:c>
      <x:c r="H773" s="40" t="n">
        <x:f>F773-E773</x:f>
        <x:v>-2.034515380859375</x:v>
      </x:c>
      <x:c r="I773" s="40" t="n">
        <x:f>ABS(H773)</x:f>
        <x:v>2.034515380859375</x:v>
      </x:c>
      <x:c r="J773" s="40" t="n">
        <x:f>H773^2</x:f>
        <x:v>4.139252834953368</x:v>
      </x:c>
      <x:c r="K773" s="40" t="n">
        <x:f>G773-E773</x:f>
        <x:v>0</x:v>
      </x:c>
      <x:c r="L773" s="40" t="n">
        <x:f>ABS(K773)</x:f>
        <x:v>0</x:v>
      </x:c>
      <x:c r="M773" s="41" t="str">
        <x:v>lstm-soil-v1</x:v>
      </x:c>
    </x:row>
    <x:row r="774">
      <x:c r="A774" s="38" t="str">
        <x:v>7月30日现场数据</x:v>
      </x:c>
      <x:c r="B774" s="39" t="str">
        <x:v>2026-08-01T05:35:00</x:v>
      </x:c>
      <x:c r="C774" s="39" t="str">
        <x:v>2026-08-01T06:05:00</x:v>
      </x:c>
      <x:c r="D774" s="47" t="n">
        <x:v>30</x:v>
      </x:c>
      <x:c r="E774" s="40" t="n">
        <x:v>12</x:v>
      </x:c>
      <x:c r="F774" s="40" t="n">
        <x:v>10.471858978271484</x:v>
      </x:c>
      <x:c r="G774" s="40" t="n">
        <x:v>12</x:v>
      </x:c>
      <x:c r="H774" s="40" t="n">
        <x:f>F774-E774</x:f>
        <x:v>-1.5281410217285156</x:v>
      </x:c>
      <x:c r="I774" s="40" t="n">
        <x:f>ABS(H774)</x:f>
        <x:v>1.5281410217285156</x:v>
      </x:c>
      <x:c r="J774" s="40" t="n">
        <x:f>H774^2</x:f>
        <x:v>2.3352149822894717</x:v>
      </x:c>
      <x:c r="K774" s="40" t="n">
        <x:f>G774-E774</x:f>
        <x:v>0</x:v>
      </x:c>
      <x:c r="L774" s="40" t="n">
        <x:f>ABS(K774)</x:f>
        <x:v>0</x:v>
      </x:c>
      <x:c r="M774" s="41" t="str">
        <x:v>lstm-soil-v1</x:v>
      </x:c>
    </x:row>
    <x:row r="775">
      <x:c r="A775" s="38" t="str">
        <x:v>7月30日现场数据</x:v>
      </x:c>
      <x:c r="B775" s="39" t="str">
        <x:v>2026-08-01T05:35:00</x:v>
      </x:c>
      <x:c r="C775" s="39" t="str">
        <x:v>2026-08-01T06:35:00</x:v>
      </x:c>
      <x:c r="D775" s="47" t="n">
        <x:v>60</x:v>
      </x:c>
      <x:c r="E775" s="40" t="n">
        <x:v>12</x:v>
      </x:c>
      <x:c r="F775" s="40" t="n">
        <x:v>12.053627014160156</x:v>
      </x:c>
      <x:c r="G775" s="40" t="n">
        <x:v>12</x:v>
      </x:c>
      <x:c r="H775" s="40" t="n">
        <x:f>F775-E775</x:f>
        <x:v>0.05362701416015625</x:v>
      </x:c>
      <x:c r="I775" s="40" t="n">
        <x:f>ABS(H775)</x:f>
        <x:v>0.05362701416015625</x:v>
      </x:c>
      <x:c r="J775" s="40" t="n">
        <x:f>H775^2</x:f>
        <x:v>0.002875856647733599</x:v>
      </x:c>
      <x:c r="K775" s="40" t="n">
        <x:f>G775-E775</x:f>
        <x:v>0</x:v>
      </x:c>
      <x:c r="L775" s="40" t="n">
        <x:f>ABS(K775)</x:f>
        <x:v>0</x:v>
      </x:c>
      <x:c r="M775" s="41" t="str">
        <x:v>lstm-soil-v1</x:v>
      </x:c>
    </x:row>
    <x:row r="776">
      <x:c r="A776" s="38" t="str">
        <x:v>7月30日现场数据</x:v>
      </x:c>
      <x:c r="B776" s="39" t="str">
        <x:v>2026-08-01T05:40:00</x:v>
      </x:c>
      <x:c r="C776" s="39" t="str">
        <x:v>2026-08-01T05:45:00</x:v>
      </x:c>
      <x:c r="D776" s="47" t="n">
        <x:v>5</x:v>
      </x:c>
      <x:c r="E776" s="40" t="n">
        <x:v>12</x:v>
      </x:c>
      <x:c r="F776" s="40" t="n">
        <x:v>10.019672393798828</x:v>
      </x:c>
      <x:c r="G776" s="40" t="n">
        <x:v>12.1</x:v>
      </x:c>
      <x:c r="H776" s="40" t="n">
        <x:f>F776-E776</x:f>
        <x:v>-1.9803276062011719</x:v>
      </x:c>
      <x:c r="I776" s="40" t="n">
        <x:f>ABS(H776)</x:f>
        <x:v>1.9803276062011719</x:v>
      </x:c>
      <x:c r="J776" s="40" t="n">
        <x:f>H776^2</x:f>
        <x:v>3.9216974278824637</x:v>
      </x:c>
      <x:c r="K776" s="40" t="n">
        <x:f>G776-E776</x:f>
        <x:v>0.09999999999999964</x:v>
      </x:c>
      <x:c r="L776" s="40" t="n">
        <x:f>ABS(K776)</x:f>
        <x:v>0.09999999999999964</x:v>
      </x:c>
      <x:c r="M776" s="41" t="str">
        <x:v>lstm-soil-v1</x:v>
      </x:c>
    </x:row>
    <x:row r="777">
      <x:c r="A777" s="38" t="str">
        <x:v>7月30日现场数据</x:v>
      </x:c>
      <x:c r="B777" s="39" t="str">
        <x:v>2026-08-01T05:40:00</x:v>
      </x:c>
      <x:c r="C777" s="39" t="str">
        <x:v>2026-08-01T05:55:00</x:v>
      </x:c>
      <x:c r="D777" s="47" t="n">
        <x:v>15</x:v>
      </x:c>
      <x:c r="E777" s="40" t="n">
        <x:v>12</x:v>
      </x:c>
      <x:c r="F777" s="40" t="n">
        <x:v>10.07590103149414</x:v>
      </x:c>
      <x:c r="G777" s="40" t="n">
        <x:v>12.1</x:v>
      </x:c>
      <x:c r="H777" s="40" t="n">
        <x:f>F777-E777</x:f>
        <x:v>-1.9240989685058594</x:v>
      </x:c>
      <x:c r="I777" s="40" t="n">
        <x:f>ABS(H777)</x:f>
        <x:v>1.9240989685058594</x:v>
      </x:c>
      <x:c r="J777" s="40" t="n">
        <x:f>H777^2</x:f>
        <x:v>3.702156840605312</x:v>
      </x:c>
      <x:c r="K777" s="40" t="n">
        <x:f>G777-E777</x:f>
        <x:v>0.09999999999999964</x:v>
      </x:c>
      <x:c r="L777" s="40" t="n">
        <x:f>ABS(K777)</x:f>
        <x:v>0.09999999999999964</x:v>
      </x:c>
      <x:c r="M777" s="41" t="str">
        <x:v>lstm-soil-v1</x:v>
      </x:c>
    </x:row>
    <x:row r="778">
      <x:c r="A778" s="38" t="str">
        <x:v>7月30日现场数据</x:v>
      </x:c>
      <x:c r="B778" s="39" t="str">
        <x:v>2026-08-01T05:40:00</x:v>
      </x:c>
      <x:c r="C778" s="39" t="str">
        <x:v>2026-08-01T06:10:00</x:v>
      </x:c>
      <x:c r="D778" s="47" t="n">
        <x:v>30</x:v>
      </x:c>
      <x:c r="E778" s="40" t="n">
        <x:v>12</x:v>
      </x:c>
      <x:c r="F778" s="40" t="n">
        <x:v>10.582542419433594</x:v>
      </x:c>
      <x:c r="G778" s="40" t="n">
        <x:v>12.1</x:v>
      </x:c>
      <x:c r="H778" s="40" t="n">
        <x:f>F778-E778</x:f>
        <x:v>-1.4174575805664062</x:v>
      </x:c>
      <x:c r="I778" s="40" t="n">
        <x:f>ABS(H778)</x:f>
        <x:v>1.4174575805664062</x:v>
      </x:c>
      <x:c r="J778" s="40" t="n">
        <x:f>H778^2</x:f>
        <x:v>2.00918599270517</x:v>
      </x:c>
      <x:c r="K778" s="40" t="n">
        <x:f>G778-E778</x:f>
        <x:v>0.09999999999999964</x:v>
      </x:c>
      <x:c r="L778" s="40" t="n">
        <x:f>ABS(K778)</x:f>
        <x:v>0.09999999999999964</x:v>
      </x:c>
      <x:c r="M778" s="41" t="str">
        <x:v>lstm-soil-v1</x:v>
      </x:c>
    </x:row>
    <x:row r="779">
      <x:c r="A779" s="38" t="str">
        <x:v>7月30日现场数据</x:v>
      </x:c>
      <x:c r="B779" s="39" t="str">
        <x:v>2026-08-01T05:40:00</x:v>
      </x:c>
      <x:c r="C779" s="39" t="str">
        <x:v>2026-08-01T06:40:00</x:v>
      </x:c>
      <x:c r="D779" s="47" t="n">
        <x:v>60</x:v>
      </x:c>
      <x:c r="E779" s="40" t="n">
        <x:v>12.1</x:v>
      </x:c>
      <x:c r="F779" s="40" t="n">
        <x:v>12.164459228515625</x:v>
      </x:c>
      <x:c r="G779" s="40" t="n">
        <x:v>12.1</x:v>
      </x:c>
      <x:c r="H779" s="40" t="n">
        <x:f>F779-E779</x:f>
        <x:v>0.06445922851562536</x:v>
      </x:c>
      <x:c r="I779" s="40" t="n">
        <x:f>ABS(H779)</x:f>
        <x:v>0.06445922851562536</x:v>
      </x:c>
      <x:c r="J779" s="40" t="n">
        <x:f>H779^2</x:f>
        <x:v>0.004154992140829609</x:v>
      </x:c>
      <x:c r="K779" s="40" t="n">
        <x:f>G779-E779</x:f>
        <x:v>0</x:v>
      </x:c>
      <x:c r="L779" s="40" t="n">
        <x:f>ABS(K779)</x:f>
        <x:v>0</x:v>
      </x:c>
      <x:c r="M779" s="41" t="str">
        <x:v>lstm-soil-v1</x:v>
      </x:c>
    </x:row>
    <x:row r="780">
      <x:c r="A780" s="38" t="str">
        <x:v>7月30日现场数据</x:v>
      </x:c>
      <x:c r="B780" s="39" t="str">
        <x:v>2026-08-01T05:45:00</x:v>
      </x:c>
      <x:c r="C780" s="39" t="str">
        <x:v>2026-08-01T05:50:00</x:v>
      </x:c>
      <x:c r="D780" s="47" t="n">
        <x:v>5</x:v>
      </x:c>
      <x:c r="E780" s="40" t="n">
        <x:v>12</x:v>
      </x:c>
      <x:c r="F780" s="40" t="n">
        <x:v>9.90987777709961</x:v>
      </x:c>
      <x:c r="G780" s="40" t="n">
        <x:v>12</x:v>
      </x:c>
      <x:c r="H780" s="40" t="n">
        <x:f>F780-E780</x:f>
        <x:v>-2.0901222229003906</x:v>
      </x:c>
      <x:c r="I780" s="40" t="n">
        <x:f>ABS(H780)</x:f>
        <x:v>2.0901222229003906</x:v>
      </x:c>
      <x:c r="J780" s="40" t="n">
        <x:f>H780^2</x:f>
        <x:v>4.36861090666207</x:v>
      </x:c>
      <x:c r="K780" s="40" t="n">
        <x:f>G780-E780</x:f>
        <x:v>0</x:v>
      </x:c>
      <x:c r="L780" s="40" t="n">
        <x:f>ABS(K780)</x:f>
        <x:v>0</x:v>
      </x:c>
      <x:c r="M780" s="41" t="str">
        <x:v>lstm-soil-v1</x:v>
      </x:c>
    </x:row>
    <x:row r="781">
      <x:c r="A781" s="38" t="str">
        <x:v>7月30日现场数据</x:v>
      </x:c>
      <x:c r="B781" s="39" t="str">
        <x:v>2026-08-01T05:45:00</x:v>
      </x:c>
      <x:c r="C781" s="39" t="str">
        <x:v>2026-08-01T06:00:00</x:v>
      </x:c>
      <x:c r="D781" s="47" t="n">
        <x:v>15</x:v>
      </x:c>
      <x:c r="E781" s="40" t="n">
        <x:v>12</x:v>
      </x:c>
      <x:c r="F781" s="40" t="n">
        <x:v>9.965984344482422</x:v>
      </x:c>
      <x:c r="G781" s="40" t="n">
        <x:v>12</x:v>
      </x:c>
      <x:c r="H781" s="40" t="n">
        <x:f>F781-E781</x:f>
        <x:v>-2.034015655517578</x:v>
      </x:c>
      <x:c r="I781" s="40" t="n">
        <x:f>ABS(H781)</x:f>
        <x:v>2.034015655517578</x:v>
      </x:c>
      <x:c r="J781" s="40" t="n">
        <x:f>H781^2</x:f>
        <x:v>4.137219686890603</x:v>
      </x:c>
      <x:c r="K781" s="40" t="n">
        <x:f>G781-E781</x:f>
        <x:v>0</x:v>
      </x:c>
      <x:c r="L781" s="40" t="n">
        <x:f>ABS(K781)</x:f>
        <x:v>0</x:v>
      </x:c>
      <x:c r="M781" s="41" t="str">
        <x:v>lstm-soil-v1</x:v>
      </x:c>
    </x:row>
    <x:row r="782">
      <x:c r="A782" s="38" t="str">
        <x:v>7月30日现场数据</x:v>
      </x:c>
      <x:c r="B782" s="39" t="str">
        <x:v>2026-08-01T05:45:00</x:v>
      </x:c>
      <x:c r="C782" s="39" t="str">
        <x:v>2026-08-01T06:15:00</x:v>
      </x:c>
      <x:c r="D782" s="47" t="n">
        <x:v>30</x:v>
      </x:c>
      <x:c r="E782" s="40" t="n">
        <x:v>12</x:v>
      </x:c>
      <x:c r="F782" s="40" t="n">
        <x:v>10.47287368774414</x:v>
      </x:c>
      <x:c r="G782" s="40" t="n">
        <x:v>12</x:v>
      </x:c>
      <x:c r="H782" s="40" t="n">
        <x:f>F782-E782</x:f>
        <x:v>-1.5271263122558594</x:v>
      </x:c>
      <x:c r="I782" s="40" t="n">
        <x:f>ABS(H782)</x:f>
        <x:v>1.5271263122558594</x:v>
      </x:c>
      <x:c r="J782" s="40" t="n">
        <x:f>H782^2</x:f>
        <x:v>2.3321147735841805</x:v>
      </x:c>
      <x:c r="K782" s="40" t="n">
        <x:f>G782-E782</x:f>
        <x:v>0</x:v>
      </x:c>
      <x:c r="L782" s="40" t="n">
        <x:f>ABS(K782)</x:f>
        <x:v>0</x:v>
      </x:c>
      <x:c r="M782" s="41" t="str">
        <x:v>lstm-soil-v1</x:v>
      </x:c>
    </x:row>
    <x:row r="783">
      <x:c r="A783" s="38" t="str">
        <x:v>7月30日现场数据</x:v>
      </x:c>
      <x:c r="B783" s="39" t="str">
        <x:v>2026-08-01T05:45:00</x:v>
      </x:c>
      <x:c r="C783" s="39" t="str">
        <x:v>2026-08-01T06:45:00</x:v>
      </x:c>
      <x:c r="D783" s="47" t="n">
        <x:v>60</x:v>
      </x:c>
      <x:c r="E783" s="40" t="n">
        <x:v>12.1</x:v>
      </x:c>
      <x:c r="F783" s="40" t="n">
        <x:v>12.054862976074219</x:v>
      </x:c>
      <x:c r="G783" s="40" t="n">
        <x:v>12</x:v>
      </x:c>
      <x:c r="H783" s="40" t="n">
        <x:f>F783-E783</x:f>
        <x:v>-0.045137023925780895</x:v>
      </x:c>
      <x:c r="I783" s="40" t="n">
        <x:f>ABS(H783)</x:f>
        <x:v>0.045137023925780895</x:v>
      </x:c>
      <x:c r="J783" s="40" t="n">
        <x:f>H783^2</x:f>
        <x:v>0.0020373509288765168</x:v>
      </x:c>
      <x:c r="K783" s="40" t="n">
        <x:f>G783-E783</x:f>
        <x:v>-0.09999999999999964</x:v>
      </x:c>
      <x:c r="L783" s="40" t="n">
        <x:f>ABS(K783)</x:f>
        <x:v>0.09999999999999964</x:v>
      </x:c>
      <x:c r="M783" s="41" t="str">
        <x:v>lstm-soil-v1</x:v>
      </x:c>
    </x:row>
    <x:row r="784">
      <x:c r="A784" s="38" t="str">
        <x:v>7月30日现场数据</x:v>
      </x:c>
      <x:c r="B784" s="39" t="str">
        <x:v>2026-08-01T05:50:00</x:v>
      </x:c>
      <x:c r="C784" s="39" t="str">
        <x:v>2026-08-01T05:55:00</x:v>
      </x:c>
      <x:c r="D784" s="47" t="n">
        <x:v>5</x:v>
      </x:c>
      <x:c r="E784" s="40" t="n">
        <x:v>12</x:v>
      </x:c>
      <x:c r="F784" s="40" t="n">
        <x:v>9.910018920898438</x:v>
      </x:c>
      <x:c r="G784" s="40" t="n">
        <x:v>12</x:v>
      </x:c>
      <x:c r="H784" s="40" t="n">
        <x:f>F784-E784</x:f>
        <x:v>-2.0899810791015625</x:v>
      </x:c>
      <x:c r="I784" s="40" t="n">
        <x:f>ABS(H784)</x:f>
        <x:v>2.0899810791015625</x:v>
      </x:c>
      <x:c r="J784" s="40" t="n">
        <x:f>H784^2</x:f>
        <x:v>4.368020911002532</x:v>
      </x:c>
      <x:c r="K784" s="40" t="n">
        <x:f>G784-E784</x:f>
        <x:v>0</x:v>
      </x:c>
      <x:c r="L784" s="40" t="n">
        <x:f>ABS(K784)</x:f>
        <x:v>0</x:v>
      </x:c>
      <x:c r="M784" s="41" t="str">
        <x:v>lstm-soil-v1</x:v>
      </x:c>
    </x:row>
    <x:row r="785">
      <x:c r="A785" s="38" t="str">
        <x:v>7月30日现场数据</x:v>
      </x:c>
      <x:c r="B785" s="39" t="str">
        <x:v>2026-08-01T05:50:00</x:v>
      </x:c>
      <x:c r="C785" s="39" t="str">
        <x:v>2026-08-01T06:05:00</x:v>
      </x:c>
      <x:c r="D785" s="47" t="n">
        <x:v>15</x:v>
      </x:c>
      <x:c r="E785" s="40" t="n">
        <x:v>12</x:v>
      </x:c>
      <x:c r="F785" s="40" t="n">
        <x:v>9.966075897216797</x:v>
      </x:c>
      <x:c r="G785" s="40" t="n">
        <x:v>12</x:v>
      </x:c>
      <x:c r="H785" s="40" t="n">
        <x:f>F785-E785</x:f>
        <x:v>-2.033924102783203</x:v>
      </x:c>
      <x:c r="I785" s="40" t="n">
        <x:f>ABS(H785)</x:f>
        <x:v>2.033924102783203</x:v>
      </x:c>
      <x:c r="J785" s="40" t="n">
        <x:f>H785^2</x:f>
        <x:v>4.136847255882458</x:v>
      </x:c>
      <x:c r="K785" s="40" t="n">
        <x:f>G785-E785</x:f>
        <x:v>0</x:v>
      </x:c>
      <x:c r="L785" s="40" t="n">
        <x:f>ABS(K785)</x:f>
        <x:v>0</x:v>
      </x:c>
      <x:c r="M785" s="41" t="str">
        <x:v>lstm-soil-v1</x:v>
      </x:c>
    </x:row>
    <x:row r="786">
      <x:c r="A786" s="38" t="str">
        <x:v>7月30日现场数据</x:v>
      </x:c>
      <x:c r="B786" s="39" t="str">
        <x:v>2026-08-01T05:50:00</x:v>
      </x:c>
      <x:c r="C786" s="39" t="str">
        <x:v>2026-08-01T06:20:00</x:v>
      </x:c>
      <x:c r="D786" s="47" t="n">
        <x:v>30</x:v>
      </x:c>
      <x:c r="E786" s="40" t="n">
        <x:v>12</x:v>
      </x:c>
      <x:c r="F786" s="40" t="n">
        <x:v>10.473186492919922</x:v>
      </x:c>
      <x:c r="G786" s="40" t="n">
        <x:v>12</x:v>
      </x:c>
      <x:c r="H786" s="40" t="n">
        <x:f>F786-E786</x:f>
        <x:v>-1.5268135070800781</x:v>
      </x:c>
      <x:c r="I786" s="40" t="n">
        <x:f>ABS(H786)</x:f>
        <x:v>1.5268135070800781</x:v>
      </x:c>
      <x:c r="J786" s="40" t="n">
        <x:f>H786^2</x:f>
        <x:v>2.3311594854021678</x:v>
      </x:c>
      <x:c r="K786" s="40" t="n">
        <x:f>G786-E786</x:f>
        <x:v>0</x:v>
      </x:c>
      <x:c r="L786" s="40" t="n">
        <x:f>ABS(K786)</x:f>
        <x:v>0</x:v>
      </x:c>
      <x:c r="M786" s="41" t="str">
        <x:v>lstm-soil-v1</x:v>
      </x:c>
    </x:row>
    <x:row r="787">
      <x:c r="A787" s="38" t="str">
        <x:v>7月30日现场数据</x:v>
      </x:c>
      <x:c r="B787" s="39" t="str">
        <x:v>2026-08-01T05:50:00</x:v>
      </x:c>
      <x:c r="C787" s="39" t="str">
        <x:v>2026-08-01T06:50:00</x:v>
      </x:c>
      <x:c r="D787" s="47" t="n">
        <x:v>60</x:v>
      </x:c>
      <x:c r="E787" s="40" t="n">
        <x:v>12.1</x:v>
      </x:c>
      <x:c r="F787" s="40" t="n">
        <x:v>12.055213928222656</x:v>
      </x:c>
      <x:c r="G787" s="40" t="n">
        <x:v>12</x:v>
      </x:c>
      <x:c r="H787" s="40" t="n">
        <x:f>F787-E787</x:f>
        <x:v>-0.044786071777343395</x:v>
      </x:c>
      <x:c r="I787" s="40" t="n">
        <x:f>ABS(H787)</x:f>
        <x:v>0.044786071777343395</x:v>
      </x:c>
      <x:c r="J787" s="40" t="n">
        <x:f>H787^2</x:f>
        <x:v>0.0020057922252453547</x:v>
      </x:c>
      <x:c r="K787" s="40" t="n">
        <x:f>G787-E787</x:f>
        <x:v>-0.09999999999999964</x:v>
      </x:c>
      <x:c r="L787" s="40" t="n">
        <x:f>ABS(K787)</x:f>
        <x:v>0.09999999999999964</x:v>
      </x:c>
      <x:c r="M787" s="41" t="str">
        <x:v>lstm-soil-v1</x:v>
      </x:c>
    </x:row>
    <x:row r="788">
      <x:c r="A788" s="38" t="str">
        <x:v>7月30日现场数据</x:v>
      </x:c>
      <x:c r="B788" s="39" t="str">
        <x:v>2026-08-01T05:55:00</x:v>
      </x:c>
      <x:c r="C788" s="39" t="str">
        <x:v>2026-08-01T06:00:00</x:v>
      </x:c>
      <x:c r="D788" s="47" t="n">
        <x:v>5</x:v>
      </x:c>
      <x:c r="E788" s="40" t="n">
        <x:v>12</x:v>
      </x:c>
      <x:c r="F788" s="40" t="n">
        <x:v>9.910175323486328</x:v>
      </x:c>
      <x:c r="G788" s="40" t="n">
        <x:v>12</x:v>
      </x:c>
      <x:c r="H788" s="40" t="n">
        <x:f>F788-E788</x:f>
        <x:v>-2.089824676513672</x:v>
      </x:c>
      <x:c r="I788" s="40" t="n">
        <x:f>ABS(H788)</x:f>
        <x:v>2.089824676513672</x:v>
      </x:c>
      <x:c r="J788" s="40" t="n">
        <x:f>H788^2</x:f>
        <x:v>4.367367178565473</x:v>
      </x:c>
      <x:c r="K788" s="40" t="n">
        <x:f>G788-E788</x:f>
        <x:v>0</x:v>
      </x:c>
      <x:c r="L788" s="40" t="n">
        <x:f>ABS(K788)</x:f>
        <x:v>0</x:v>
      </x:c>
      <x:c r="M788" s="41" t="str">
        <x:v>lstm-soil-v1</x:v>
      </x:c>
    </x:row>
    <x:row r="789">
      <x:c r="A789" s="38" t="str">
        <x:v>7月30日现场数据</x:v>
      </x:c>
      <x:c r="B789" s="39" t="str">
        <x:v>2026-08-01T05:55:00</x:v>
      </x:c>
      <x:c r="C789" s="39" t="str">
        <x:v>2026-08-01T06:10:00</x:v>
      </x:c>
      <x:c r="D789" s="47" t="n">
        <x:v>15</x:v>
      </x:c>
      <x:c r="E789" s="40" t="n">
        <x:v>12</x:v>
      </x:c>
      <x:c r="F789" s="40" t="n">
        <x:v>9.966060638427734</x:v>
      </x:c>
      <x:c r="G789" s="40" t="n">
        <x:v>12</x:v>
      </x:c>
      <x:c r="H789" s="40" t="n">
        <x:f>F789-E789</x:f>
        <x:v>-2.0339393615722656</x:v>
      </x:c>
      <x:c r="I789" s="40" t="n">
        <x:f>ABS(H789)</x:f>
        <x:v>2.0339393615722656</x:v>
      </x:c>
      <x:c r="J789" s="40" t="n">
        <x:f>H789^2</x:f>
        <x:v>4.1369093265529955</x:v>
      </x:c>
      <x:c r="K789" s="40" t="n">
        <x:f>G789-E789</x:f>
        <x:v>0</x:v>
      </x:c>
      <x:c r="L789" s="40" t="n">
        <x:f>ABS(K789)</x:f>
        <x:v>0</x:v>
      </x:c>
      <x:c r="M789" s="41" t="str">
        <x:v>lstm-soil-v1</x:v>
      </x:c>
    </x:row>
    <x:row r="790">
      <x:c r="A790" s="38" t="str">
        <x:v>7月30日现场数据</x:v>
      </x:c>
      <x:c r="B790" s="39" t="str">
        <x:v>2026-08-01T05:55:00</x:v>
      </x:c>
      <x:c r="C790" s="39" t="str">
        <x:v>2026-08-01T06:25:00</x:v>
      </x:c>
      <x:c r="D790" s="47" t="n">
        <x:v>30</x:v>
      </x:c>
      <x:c r="E790" s="40" t="n">
        <x:v>12.1</x:v>
      </x:c>
      <x:c r="F790" s="40" t="n">
        <x:v>10.473564147949219</x:v>
      </x:c>
      <x:c r="G790" s="40" t="n">
        <x:v>12</x:v>
      </x:c>
      <x:c r="H790" s="40" t="n">
        <x:f>F790-E790</x:f>
        <x:v>-1.626435852050781</x:v>
      </x:c>
      <x:c r="I790" s="40" t="n">
        <x:f>ABS(H790)</x:f>
        <x:v>1.626435852050781</x:v>
      </x:c>
      <x:c r="J790" s="40" t="n">
        <x:f>H790^2</x:f>
        <x:v>2.6452935808361495</x:v>
      </x:c>
      <x:c r="K790" s="40" t="n">
        <x:f>G790-E790</x:f>
        <x:v>-0.09999999999999964</x:v>
      </x:c>
      <x:c r="L790" s="40" t="n">
        <x:f>ABS(K790)</x:f>
        <x:v>0.09999999999999964</x:v>
      </x:c>
      <x:c r="M790" s="41" t="str">
        <x:v>lstm-soil-v1</x:v>
      </x:c>
    </x:row>
    <x:row r="791">
      <x:c r="A791" s="38" t="str">
        <x:v>7月30日现场数据</x:v>
      </x:c>
      <x:c r="B791" s="39" t="str">
        <x:v>2026-08-01T05:55:00</x:v>
      </x:c>
      <x:c r="C791" s="39" t="str">
        <x:v>2026-08-01T06:55:00</x:v>
      </x:c>
      <x:c r="D791" s="47" t="n">
        <x:v>60</x:v>
      </x:c>
      <x:c r="E791" s="40" t="n">
        <x:v>12.1</x:v>
      </x:c>
      <x:c r="F791" s="40" t="n">
        <x:v>12.055706024169922</x:v>
      </x:c>
      <x:c r="G791" s="40" t="n">
        <x:v>12</x:v>
      </x:c>
      <x:c r="H791" s="40" t="n">
        <x:f>F791-E791</x:f>
        <x:v>-0.04429397583007777</x:v>
      </x:c>
      <x:c r="I791" s="40" t="n">
        <x:f>ABS(H791)</x:f>
        <x:v>0.04429397583007777</x:v>
      </x:c>
      <x:c r="J791" s="40" t="n">
        <x:f>H791^2</x:f>
        <x:v>0.0019619562948355136</x:v>
      </x:c>
      <x:c r="K791" s="40" t="n">
        <x:f>G791-E791</x:f>
        <x:v>-0.09999999999999964</x:v>
      </x:c>
      <x:c r="L791" s="40" t="n">
        <x:f>ABS(K791)</x:f>
        <x:v>0.09999999999999964</x:v>
      </x:c>
      <x:c r="M791" s="41" t="str">
        <x:v>lstm-soil-v1</x:v>
      </x:c>
    </x:row>
    <x:row r="792">
      <x:c r="A792" s="38" t="str">
        <x:v>7月30日现场数据</x:v>
      </x:c>
      <x:c r="B792" s="39" t="str">
        <x:v>2026-08-01T06:00:00</x:v>
      </x:c>
      <x:c r="C792" s="39" t="str">
        <x:v>2026-08-01T06:05:00</x:v>
      </x:c>
      <x:c r="D792" s="47" t="n">
        <x:v>5</x:v>
      </x:c>
      <x:c r="E792" s="40" t="n">
        <x:v>12</x:v>
      </x:c>
      <x:c r="F792" s="40" t="n">
        <x:v>9.910297393798828</x:v>
      </x:c>
      <x:c r="G792" s="40" t="n">
        <x:v>12</x:v>
      </x:c>
      <x:c r="H792" s="40" t="n">
        <x:f>F792-E792</x:f>
        <x:v>-2.089702606201172</x:v>
      </x:c>
      <x:c r="I792" s="40" t="n">
        <x:f>ABS(H792)</x:f>
        <x:v>2.089702606201172</x:v>
      </x:c>
      <x:c r="J792" s="40" t="n">
        <x:f>H792^2</x:f>
        <x:v>4.36685698236397</x:v>
      </x:c>
      <x:c r="K792" s="40" t="n">
        <x:f>G792-E792</x:f>
        <x:v>0</x:v>
      </x:c>
      <x:c r="L792" s="40" t="n">
        <x:f>ABS(K792)</x:f>
        <x:v>0</x:v>
      </x:c>
      <x:c r="M792" s="41" t="str">
        <x:v>lstm-soil-v1</x:v>
      </x:c>
    </x:row>
    <x:row r="793">
      <x:c r="A793" s="38" t="str">
        <x:v>7月30日现场数据</x:v>
      </x:c>
      <x:c r="B793" s="39" t="str">
        <x:v>2026-08-01T06:00:00</x:v>
      </x:c>
      <x:c r="C793" s="39" t="str">
        <x:v>2026-08-01T06:15:00</x:v>
      </x:c>
      <x:c r="D793" s="47" t="n">
        <x:v>15</x:v>
      </x:c>
      <x:c r="E793" s="40" t="n">
        <x:v>12</x:v>
      </x:c>
      <x:c r="F793" s="40" t="n">
        <x:v>9.965595245361328</x:v>
      </x:c>
      <x:c r="G793" s="40" t="n">
        <x:v>12</x:v>
      </x:c>
      <x:c r="H793" s="40" t="n">
        <x:f>F793-E793</x:f>
        <x:v>-2.034404754638672</x:v>
      </x:c>
      <x:c r="I793" s="40" t="n">
        <x:f>ABS(H793)</x:f>
        <x:v>2.034404754638672</x:v>
      </x:c>
      <x:c r="J793" s="40" t="n">
        <x:f>H793^2</x:f>
        <x:v>4.138802705696435</x:v>
      </x:c>
      <x:c r="K793" s="40" t="n">
        <x:f>G793-E793</x:f>
        <x:v>0</x:v>
      </x:c>
      <x:c r="L793" s="40" t="n">
        <x:f>ABS(K793)</x:f>
        <x:v>0</x:v>
      </x:c>
      <x:c r="M793" s="41" t="str">
        <x:v>lstm-soil-v1</x:v>
      </x:c>
    </x:row>
    <x:row r="794">
      <x:c r="A794" s="38" t="str">
        <x:v>7月30日现场数据</x:v>
      </x:c>
      <x:c r="B794" s="39" t="str">
        <x:v>2026-08-01T06:00:00</x:v>
      </x:c>
      <x:c r="C794" s="39" t="str">
        <x:v>2026-08-01T06:30:00</x:v>
      </x:c>
      <x:c r="D794" s="47" t="n">
        <x:v>30</x:v>
      </x:c>
      <x:c r="E794" s="40" t="n">
        <x:v>12</x:v>
      </x:c>
      <x:c r="F794" s="40" t="n">
        <x:v>10.473648071289062</x:v>
      </x:c>
      <x:c r="G794" s="40" t="n">
        <x:v>12</x:v>
      </x:c>
      <x:c r="H794" s="40" t="n">
        <x:f>F794-E794</x:f>
        <x:v>-1.5263519287109375</x:v>
      </x:c>
      <x:c r="I794" s="40" t="n">
        <x:f>ABS(H794)</x:f>
        <x:v>1.5263519287109375</x:v>
      </x:c>
      <x:c r="J794" s="40" t="n">
        <x:f>H794^2</x:f>
        <x:v>2.329750210279599</x:v>
      </x:c>
      <x:c r="K794" s="40" t="n">
        <x:f>G794-E794</x:f>
        <x:v>0</x:v>
      </x:c>
      <x:c r="L794" s="40" t="n">
        <x:f>ABS(K794)</x:f>
        <x:v>0</x:v>
      </x:c>
      <x:c r="M794" s="41" t="str">
        <x:v>lstm-soil-v1</x:v>
      </x:c>
    </x:row>
    <x:row r="795">
      <x:c r="A795" s="38" t="str">
        <x:v>7月30日现场数据</x:v>
      </x:c>
      <x:c r="B795" s="39" t="str">
        <x:v>2026-08-01T06:00:00</x:v>
      </x:c>
      <x:c r="C795" s="39" t="str">
        <x:v>2026-08-01T07:00:00</x:v>
      </x:c>
      <x:c r="D795" s="47" t="n">
        <x:v>60</x:v>
      </x:c>
      <x:c r="E795" s="40" t="n">
        <x:v>12.1</x:v>
      </x:c>
      <x:c r="F795" s="40" t="n">
        <x:v>12.059528350830078</x:v>
      </x:c>
      <x:c r="G795" s="40" t="n">
        <x:v>12</x:v>
      </x:c>
      <x:c r="H795" s="40" t="n">
        <x:f>F795-E795</x:f>
        <x:v>-0.04047164916992152</x:v>
      </x:c>
      <x:c r="I795" s="40" t="n">
        <x:f>ABS(H795)</x:f>
        <x:v>0.04047164916992152</x:v>
      </x:c>
      <x:c r="J795" s="40" t="n">
        <x:f>H795^2</x:f>
        <x:v>0.0016379543865332091</x:v>
      </x:c>
      <x:c r="K795" s="40" t="n">
        <x:f>G795-E795</x:f>
        <x:v>-0.09999999999999964</x:v>
      </x:c>
      <x:c r="L795" s="40" t="n">
        <x:f>ABS(K795)</x:f>
        <x:v>0.09999999999999964</x:v>
      </x:c>
      <x:c r="M795" s="41" t="str">
        <x:v>lstm-soil-v1</x:v>
      </x:c>
    </x:row>
    <x:row r="796">
      <x:c r="A796" s="38" t="str">
        <x:v>7月30日现场数据</x:v>
      </x:c>
      <x:c r="B796" s="39" t="str">
        <x:v>2026-08-01T06:05:00</x:v>
      </x:c>
      <x:c r="C796" s="39" t="str">
        <x:v>2026-08-01T06:10:00</x:v>
      </x:c>
      <x:c r="D796" s="47" t="n">
        <x:v>5</x:v>
      </x:c>
      <x:c r="E796" s="40" t="n">
        <x:v>12</x:v>
      </x:c>
      <x:c r="F796" s="40" t="n">
        <x:v>9.910125732421875</x:v>
      </x:c>
      <x:c r="G796" s="40" t="n">
        <x:v>12</x:v>
      </x:c>
      <x:c r="H796" s="40" t="n">
        <x:f>F796-E796</x:f>
        <x:v>-2.089874267578125</x:v>
      </x:c>
      <x:c r="I796" s="40" t="n">
        <x:f>ABS(H796)</x:f>
        <x:v>2.089874267578125</x:v>
      </x:c>
      <x:c r="J796" s="40" t="n">
        <x:f>H796^2</x:f>
        <x:v>4.367574454285204</x:v>
      </x:c>
      <x:c r="K796" s="40" t="n">
        <x:f>G796-E796</x:f>
        <x:v>0</x:v>
      </x:c>
      <x:c r="L796" s="40" t="n">
        <x:f>ABS(K796)</x:f>
        <x:v>0</x:v>
      </x:c>
      <x:c r="M796" s="41" t="str">
        <x:v>lstm-soil-v1</x:v>
      </x:c>
    </x:row>
    <x:row r="797">
      <x:c r="A797" s="38" t="str">
        <x:v>7月30日现场数据</x:v>
      </x:c>
      <x:c r="B797" s="39" t="str">
        <x:v>2026-08-01T06:05:00</x:v>
      </x:c>
      <x:c r="C797" s="39" t="str">
        <x:v>2026-08-01T06:20:00</x:v>
      </x:c>
      <x:c r="D797" s="47" t="n">
        <x:v>15</x:v>
      </x:c>
      <x:c r="E797" s="40" t="n">
        <x:v>12</x:v>
      </x:c>
      <x:c r="F797" s="40" t="n">
        <x:v>9.96596908569336</x:v>
      </x:c>
      <x:c r="G797" s="40" t="n">
        <x:v>12</x:v>
      </x:c>
      <x:c r="H797" s="40" t="n">
        <x:f>F797-E797</x:f>
        <x:v>-2.0340309143066406</x:v>
      </x:c>
      <x:c r="I797" s="40" t="n">
        <x:f>ABS(H797)</x:f>
        <x:v>2.0340309143066406</x:v>
      </x:c>
      <x:c r="J797" s="40" t="n">
        <x:f>H797^2</x:f>
        <x:v>4.137281760355108</x:v>
      </x:c>
      <x:c r="K797" s="40" t="n">
        <x:f>G797-E797</x:f>
        <x:v>0</x:v>
      </x:c>
      <x:c r="L797" s="40" t="n">
        <x:f>ABS(K797)</x:f>
        <x:v>0</x:v>
      </x:c>
      <x:c r="M797" s="41" t="str">
        <x:v>lstm-soil-v1</x:v>
      </x:c>
    </x:row>
    <x:row r="798">
      <x:c r="A798" s="38" t="str">
        <x:v>7月30日现场数据</x:v>
      </x:c>
      <x:c r="B798" s="39" t="str">
        <x:v>2026-08-01T06:05:00</x:v>
      </x:c>
      <x:c r="C798" s="39" t="str">
        <x:v>2026-08-01T06:35:00</x:v>
      </x:c>
      <x:c r="D798" s="47" t="n">
        <x:v>30</x:v>
      </x:c>
      <x:c r="E798" s="40" t="n">
        <x:v>12</x:v>
      </x:c>
      <x:c r="F798" s="40" t="n">
        <x:v>10.474124908447266</x:v>
      </x:c>
      <x:c r="G798" s="40" t="n">
        <x:v>12</x:v>
      </x:c>
      <x:c r="H798" s="40" t="n">
        <x:f>F798-E798</x:f>
        <x:v>-1.5258750915527344</x:v>
      </x:c>
      <x:c r="I798" s="40" t="n">
        <x:f>ABS(H798)</x:f>
        <x:v>1.5258750915527344</x:v>
      </x:c>
      <x:c r="J798" s="40" t="n">
        <x:f>H798^2</x:f>
        <x:v>2.3282947950210655</x:v>
      </x:c>
      <x:c r="K798" s="40" t="n">
        <x:f>G798-E798</x:f>
        <x:v>0</x:v>
      </x:c>
      <x:c r="L798" s="40" t="n">
        <x:f>ABS(K798)</x:f>
        <x:v>0</x:v>
      </x:c>
      <x:c r="M798" s="41" t="str">
        <x:v>lstm-soil-v1</x:v>
      </x:c>
    </x:row>
    <x:row r="799">
      <x:c r="A799" s="38" t="str">
        <x:v>7月30日现场数据</x:v>
      </x:c>
      <x:c r="B799" s="39" t="str">
        <x:v>2026-08-01T06:05:00</x:v>
      </x:c>
      <x:c r="C799" s="39" t="str">
        <x:v>2026-08-01T07:05:00</x:v>
      </x:c>
      <x:c r="D799" s="47" t="n">
        <x:v>60</x:v>
      </x:c>
      <x:c r="E799" s="40" t="n">
        <x:v>12.1</x:v>
      </x:c>
      <x:c r="F799" s="40" t="n">
        <x:v>12.061809539794922</x:v>
      </x:c>
      <x:c r="G799" s="40" t="n">
        <x:v>12</x:v>
      </x:c>
      <x:c r="H799" s="40" t="n">
        <x:f>F799-E799</x:f>
        <x:v>-0.03819046020507777</x:v>
      </x:c>
      <x:c r="I799" s="40" t="n">
        <x:f>ABS(H799)</x:f>
        <x:v>0.03819046020507777</x:v>
      </x:c>
      <x:c r="J799" s="40" t="n">
        <x:f>H799^2</x:f>
        <x:v>0.0014585112506756287</x:v>
      </x:c>
      <x:c r="K799" s="40" t="n">
        <x:f>G799-E799</x:f>
        <x:v>-0.09999999999999964</x:v>
      </x:c>
      <x:c r="L799" s="40" t="n">
        <x:f>ABS(K799)</x:f>
        <x:v>0.09999999999999964</x:v>
      </x:c>
      <x:c r="M799" s="41" t="str">
        <x:v>lstm-soil-v1</x:v>
      </x:c>
    </x:row>
    <x:row r="800">
      <x:c r="A800" s="38" t="str">
        <x:v>7月30日现场数据</x:v>
      </x:c>
      <x:c r="B800" s="39" t="str">
        <x:v>2026-08-01T06:10:00</x:v>
      </x:c>
      <x:c r="C800" s="39" t="str">
        <x:v>2026-08-01T06:15:00</x:v>
      </x:c>
      <x:c r="D800" s="47" t="n">
        <x:v>5</x:v>
      </x:c>
      <x:c r="E800" s="40" t="n">
        <x:v>12</x:v>
      </x:c>
      <x:c r="F800" s="40" t="n">
        <x:v>9.910320281982422</x:v>
      </x:c>
      <x:c r="G800" s="40" t="n">
        <x:v>12</x:v>
      </x:c>
      <x:c r="H800" s="40" t="n">
        <x:f>F800-E800</x:f>
        <x:v>-2.089679718017578</x:v>
      </x:c>
      <x:c r="I800" s="40" t="n">
        <x:f>ABS(H800)</x:f>
        <x:v>2.089679718017578</x:v>
      </x:c>
      <x:c r="J800" s="40" t="n">
        <x:f>H800^2</x:f>
        <x:v>4.366761323894025</x:v>
      </x:c>
      <x:c r="K800" s="40" t="n">
        <x:f>G800-E800</x:f>
        <x:v>0</x:v>
      </x:c>
      <x:c r="L800" s="40" t="n">
        <x:f>ABS(K800)</x:f>
        <x:v>0</x:v>
      </x:c>
      <x:c r="M800" s="41" t="str">
        <x:v>lstm-soil-v1</x:v>
      </x:c>
    </x:row>
    <x:row r="801">
      <x:c r="A801" s="38" t="str">
        <x:v>7月30日现场数据</x:v>
      </x:c>
      <x:c r="B801" s="39" t="str">
        <x:v>2026-08-01T06:10:00</x:v>
      </x:c>
      <x:c r="C801" s="39" t="str">
        <x:v>2026-08-01T06:25:00</x:v>
      </x:c>
      <x:c r="D801" s="47" t="n">
        <x:v>15</x:v>
      </x:c>
      <x:c r="E801" s="40" t="n">
        <x:v>12.1</x:v>
      </x:c>
      <x:c r="F801" s="40" t="n">
        <x:v>9.96673583984375</x:v>
      </x:c>
      <x:c r="G801" s="40" t="n">
        <x:v>12</x:v>
      </x:c>
      <x:c r="H801" s="40" t="n">
        <x:f>F801-E801</x:f>
        <x:v>-2.1332641601562496</x:v>
      </x:c>
      <x:c r="I801" s="40" t="n">
        <x:f>ABS(H801)</x:f>
        <x:v>2.1332641601562496</x:v>
      </x:c>
      <x:c r="J801" s="40" t="n">
        <x:f>H801^2</x:f>
        <x:v>4.550815977007149</x:v>
      </x:c>
      <x:c r="K801" s="40" t="n">
        <x:f>G801-E801</x:f>
        <x:v>-0.09999999999999964</x:v>
      </x:c>
      <x:c r="L801" s="40" t="n">
        <x:f>ABS(K801)</x:f>
        <x:v>0.09999999999999964</x:v>
      </x:c>
      <x:c r="M801" s="41" t="str">
        <x:v>lstm-soil-v1</x:v>
      </x:c>
    </x:row>
    <x:row r="802">
      <x:c r="A802" s="38" t="str">
        <x:v>7月30日现场数据</x:v>
      </x:c>
      <x:c r="B802" s="39" t="str">
        <x:v>2026-08-01T06:10:00</x:v>
      </x:c>
      <x:c r="C802" s="39" t="str">
        <x:v>2026-08-01T06:40:00</x:v>
      </x:c>
      <x:c r="D802" s="47" t="n">
        <x:v>30</x:v>
      </x:c>
      <x:c r="E802" s="40" t="n">
        <x:v>12.1</x:v>
      </x:c>
      <x:c r="F802" s="40" t="n">
        <x:v>10.474861145019531</x:v>
      </x:c>
      <x:c r="G802" s="40" t="n">
        <x:v>12</x:v>
      </x:c>
      <x:c r="H802" s="40" t="n">
        <x:f>F802-E802</x:f>
        <x:v>-1.6251388549804684</x:v>
      </x:c>
      <x:c r="I802" s="40" t="n">
        <x:f>ABS(H802)</x:f>
        <x:v>1.6251388549804684</x:v>
      </x:c>
      <x:c r="J802" s="40" t="n">
        <x:f>H802^2</x:f>
        <x:v>2.6410762979672278</x:v>
      </x:c>
      <x:c r="K802" s="40" t="n">
        <x:f>G802-E802</x:f>
        <x:v>-0.09999999999999964</x:v>
      </x:c>
      <x:c r="L802" s="40" t="n">
        <x:f>ABS(K802)</x:f>
        <x:v>0.09999999999999964</x:v>
      </x:c>
      <x:c r="M802" s="41" t="str">
        <x:v>lstm-soil-v1</x:v>
      </x:c>
    </x:row>
    <x:row r="803">
      <x:c r="A803" s="38" t="str">
        <x:v>7月30日现场数据</x:v>
      </x:c>
      <x:c r="B803" s="39" t="str">
        <x:v>2026-08-01T06:10:00</x:v>
      </x:c>
      <x:c r="C803" s="39" t="str">
        <x:v>2026-08-01T07:10:00</x:v>
      </x:c>
      <x:c r="D803" s="47" t="n">
        <x:v>60</x:v>
      </x:c>
      <x:c r="E803" s="40" t="n">
        <x:v>12</x:v>
      </x:c>
      <x:c r="F803" s="40" t="n">
        <x:v>12.06386947631836</x:v>
      </x:c>
      <x:c r="G803" s="40" t="n">
        <x:v>12</x:v>
      </x:c>
      <x:c r="H803" s="40" t="n">
        <x:f>F803-E803</x:f>
        <x:v>0.06386947631835938</x:v>
      </x:c>
      <x:c r="I803" s="40" t="n">
        <x:f>ABS(H803)</x:f>
        <x:v>0.06386947631835938</x:v>
      </x:c>
      <x:c r="J803" s="40" t="n">
        <x:f>H803^2</x:f>
        <x:v>0.004079310005181469</x:v>
      </x:c>
      <x:c r="K803" s="40" t="n">
        <x:f>G803-E803</x:f>
        <x:v>0</x:v>
      </x:c>
      <x:c r="L803" s="40" t="n">
        <x:f>ABS(K803)</x:f>
        <x:v>0</x:v>
      </x:c>
      <x:c r="M803" s="41" t="str">
        <x:v>lstm-soil-v1</x:v>
      </x:c>
    </x:row>
    <x:row r="804">
      <x:c r="A804" s="38" t="str">
        <x:v>7月30日现场数据</x:v>
      </x:c>
      <x:c r="B804" s="39" t="str">
        <x:v>2026-08-01T06:15:00</x:v>
      </x:c>
      <x:c r="C804" s="39" t="str">
        <x:v>2026-08-01T06:20:00</x:v>
      </x:c>
      <x:c r="D804" s="47" t="n">
        <x:v>5</x:v>
      </x:c>
      <x:c r="E804" s="40" t="n">
        <x:v>12</x:v>
      </x:c>
      <x:c r="F804" s="40" t="n">
        <x:v>9.910762786865234</x:v>
      </x:c>
      <x:c r="G804" s="40" t="n">
        <x:v>12</x:v>
      </x:c>
      <x:c r="H804" s="40" t="n">
        <x:f>F804-E804</x:f>
        <x:v>-2.0892372131347656</x:v>
      </x:c>
      <x:c r="I804" s="40" t="n">
        <x:f>ABS(H804)</x:f>
        <x:v>2.0892372131347656</x:v>
      </x:c>
      <x:c r="J804" s="40" t="n">
        <x:f>H804^2</x:f>
        <x:v>4.364912132747122</x:v>
      </x:c>
      <x:c r="K804" s="40" t="n">
        <x:f>G804-E804</x:f>
        <x:v>0</x:v>
      </x:c>
      <x:c r="L804" s="40" t="n">
        <x:f>ABS(K804)</x:f>
        <x:v>0</x:v>
      </x:c>
      <x:c r="M804" s="41" t="str">
        <x:v>lstm-soil-v1</x:v>
      </x:c>
    </x:row>
    <x:row r="805">
      <x:c r="A805" s="38" t="str">
        <x:v>7月30日现场数据</x:v>
      </x:c>
      <x:c r="B805" s="39" t="str">
        <x:v>2026-08-01T06:15:00</x:v>
      </x:c>
      <x:c r="C805" s="39" t="str">
        <x:v>2026-08-01T06:30:00</x:v>
      </x:c>
      <x:c r="D805" s="47" t="n">
        <x:v>15</x:v>
      </x:c>
      <x:c r="E805" s="40" t="n">
        <x:v>12</x:v>
      </x:c>
      <x:c r="F805" s="40" t="n">
        <x:v>9.967578887939453</x:v>
      </x:c>
      <x:c r="G805" s="40" t="n">
        <x:v>12</x:v>
      </x:c>
      <x:c r="H805" s="40" t="n">
        <x:f>F805-E805</x:f>
        <x:v>-2.032421112060547</x:v>
      </x:c>
      <x:c r="I805" s="40" t="n">
        <x:f>ABS(H805)</x:f>
        <x:v>2.032421112060547</x:v>
      </x:c>
      <x:c r="J805" s="40" t="n">
        <x:f>H805^2</x:f>
        <x:v>4.13073557674943</x:v>
      </x:c>
      <x:c r="K805" s="40" t="n">
        <x:f>G805-E805</x:f>
        <x:v>0</x:v>
      </x:c>
      <x:c r="L805" s="40" t="n">
        <x:f>ABS(K805)</x:f>
        <x:v>0</x:v>
      </x:c>
      <x:c r="M805" s="41" t="str">
        <x:v>lstm-soil-v1</x:v>
      </x:c>
    </x:row>
    <x:row r="806">
      <x:c r="A806" s="38" t="str">
        <x:v>7月30日现场数据</x:v>
      </x:c>
      <x:c r="B806" s="39" t="str">
        <x:v>2026-08-01T06:15:00</x:v>
      </x:c>
      <x:c r="C806" s="39" t="str">
        <x:v>2026-08-01T06:45:00</x:v>
      </x:c>
      <x:c r="D806" s="47" t="n">
        <x:v>30</x:v>
      </x:c>
      <x:c r="E806" s="40" t="n">
        <x:v>12.1</x:v>
      </x:c>
      <x:c r="F806" s="40" t="n">
        <x:v>10.47567367553711</x:v>
      </x:c>
      <x:c r="G806" s="40" t="n">
        <x:v>12</x:v>
      </x:c>
      <x:c r="H806" s="40" t="n">
        <x:f>F806-E806</x:f>
        <x:v>-1.6243263244628903</x:v>
      </x:c>
      <x:c r="I806" s="40" t="n">
        <x:f>ABS(H806)</x:f>
        <x:v>1.6243263244628903</x:v>
      </x:c>
      <x:c r="J806" s="40" t="n">
        <x:f>H806^2</x:f>
        <x:v>2.6384360083431226</x:v>
      </x:c>
      <x:c r="K806" s="40" t="n">
        <x:f>G806-E806</x:f>
        <x:v>-0.09999999999999964</x:v>
      </x:c>
      <x:c r="L806" s="40" t="n">
        <x:f>ABS(K806)</x:f>
        <x:v>0.09999999999999964</x:v>
      </x:c>
      <x:c r="M806" s="41" t="str">
        <x:v>lstm-soil-v1</x:v>
      </x:c>
    </x:row>
    <x:row r="807">
      <x:c r="A807" s="38" t="str">
        <x:v>7月30日现场数据</x:v>
      </x:c>
      <x:c r="B807" s="39" t="str">
        <x:v>2026-08-01T06:15:00</x:v>
      </x:c>
      <x:c r="C807" s="39" t="str">
        <x:v>2026-08-01T07:15:00</x:v>
      </x:c>
      <x:c r="D807" s="47" t="n">
        <x:v>60</x:v>
      </x:c>
      <x:c r="E807" s="40" t="n">
        <x:v>12.1</x:v>
      </x:c>
      <x:c r="F807" s="40" t="n">
        <x:v>12.065540313720703</x:v>
      </x:c>
      <x:c r="G807" s="40" t="n">
        <x:v>12</x:v>
      </x:c>
      <x:c r="H807" s="40" t="n">
        <x:f>F807-E807</x:f>
        <x:v>-0.03445968627929652</x:v>
      </x:c>
      <x:c r="I807" s="40" t="n">
        <x:f>ABS(H807)</x:f>
        <x:v>0.03445968627929652</x:v>
      </x:c>
      <x:c r="J807" s="40" t="n">
        <x:f>H807^2</x:f>
        <x:v>0.0011874699784675368</x:v>
      </x:c>
      <x:c r="K807" s="40" t="n">
        <x:f>G807-E807</x:f>
        <x:v>-0.09999999999999964</x:v>
      </x:c>
      <x:c r="L807" s="40" t="n">
        <x:f>ABS(K807)</x:f>
        <x:v>0.09999999999999964</x:v>
      </x:c>
      <x:c r="M807" s="41" t="str">
        <x:v>lstm-soil-v1</x:v>
      </x:c>
    </x:row>
    <x:row r="808">
      <x:c r="A808" s="38" t="str">
        <x:v>7月30日现场数据</x:v>
      </x:c>
      <x:c r="B808" s="39" t="str">
        <x:v>2026-08-01T06:20:00</x:v>
      </x:c>
      <x:c r="C808" s="39" t="str">
        <x:v>2026-08-01T06:25:00</x:v>
      </x:c>
      <x:c r="D808" s="47" t="n">
        <x:v>5</x:v>
      </x:c>
      <x:c r="E808" s="40" t="n">
        <x:v>12.1</x:v>
      </x:c>
      <x:c r="F808" s="40" t="n">
        <x:v>9.911304473876953</x:v>
      </x:c>
      <x:c r="G808" s="40" t="n">
        <x:v>12</x:v>
      </x:c>
      <x:c r="H808" s="40" t="n">
        <x:f>F808-E808</x:f>
        <x:v>-2.1886955261230465</x:v>
      </x:c>
      <x:c r="I808" s="40" t="n">
        <x:f>ABS(H808)</x:f>
        <x:v>2.1886955261230465</x:v>
      </x:c>
      <x:c r="J808" s="40" t="n">
        <x:f>H808^2</x:f>
        <x:v>4.790388106071039</x:v>
      </x:c>
      <x:c r="K808" s="40" t="n">
        <x:f>G808-E808</x:f>
        <x:v>-0.09999999999999964</x:v>
      </x:c>
      <x:c r="L808" s="40" t="n">
        <x:f>ABS(K808)</x:f>
        <x:v>0.09999999999999964</x:v>
      </x:c>
      <x:c r="M808" s="41" t="str">
        <x:v>lstm-soil-v1</x:v>
      </x:c>
    </x:row>
    <x:row r="809">
      <x:c r="A809" s="38" t="str">
        <x:v>7月30日现场数据</x:v>
      </x:c>
      <x:c r="B809" s="39" t="str">
        <x:v>2026-08-01T06:20:00</x:v>
      </x:c>
      <x:c r="C809" s="39" t="str">
        <x:v>2026-08-01T06:35:00</x:v>
      </x:c>
      <x:c r="D809" s="47" t="n">
        <x:v>15</x:v>
      </x:c>
      <x:c r="E809" s="40" t="n">
        <x:v>12</x:v>
      </x:c>
      <x:c r="F809" s="40" t="n">
        <x:v>9.968376159667969</x:v>
      </x:c>
      <x:c r="G809" s="40" t="n">
        <x:v>12</x:v>
      </x:c>
      <x:c r="H809" s="40" t="n">
        <x:f>F809-E809</x:f>
        <x:v>-2.0316238403320312</x:v>
      </x:c>
      <x:c r="I809" s="40" t="n">
        <x:f>ABS(H809)</x:f>
        <x:v>2.0316238403320312</x:v>
      </x:c>
      <x:c r="J809" s="40" t="n">
        <x:f>H809^2</x:f>
        <x:v>4.127495428605471</x:v>
      </x:c>
      <x:c r="K809" s="40" t="n">
        <x:f>G809-E809</x:f>
        <x:v>0</x:v>
      </x:c>
      <x:c r="L809" s="40" t="n">
        <x:f>ABS(K809)</x:f>
        <x:v>0</x:v>
      </x:c>
      <x:c r="M809" s="41" t="str">
        <x:v>lstm-soil-v1</x:v>
      </x:c>
    </x:row>
    <x:row r="810">
      <x:c r="A810" s="38" t="str">
        <x:v>7月30日现场数据</x:v>
      </x:c>
      <x:c r="B810" s="39" t="str">
        <x:v>2026-08-01T06:20:00</x:v>
      </x:c>
      <x:c r="C810" s="39" t="str">
        <x:v>2026-08-01T06:50:00</x:v>
      </x:c>
      <x:c r="D810" s="47" t="n">
        <x:v>30</x:v>
      </x:c>
      <x:c r="E810" s="40" t="n">
        <x:v>12.1</x:v>
      </x:c>
      <x:c r="F810" s="40" t="n">
        <x:v>10.476486206054688</x:v>
      </x:c>
      <x:c r="G810" s="40" t="n">
        <x:v>12</x:v>
      </x:c>
      <x:c r="H810" s="40" t="n">
        <x:f>F810-E810</x:f>
        <x:v>-1.6235137939453121</x:v>
      </x:c>
      <x:c r="I810" s="40" t="n">
        <x:f>ABS(H810)</x:f>
        <x:v>1.6235137939453121</x:v>
      </x:c>
      <x:c r="J810" s="40" t="n">
        <x:f>H810^2</x:f>
        <x:v>2.6357970391307015</x:v>
      </x:c>
      <x:c r="K810" s="40" t="n">
        <x:f>G810-E810</x:f>
        <x:v>-0.09999999999999964</x:v>
      </x:c>
      <x:c r="L810" s="40" t="n">
        <x:f>ABS(K810)</x:f>
        <x:v>0.09999999999999964</x:v>
      </x:c>
      <x:c r="M810" s="41" t="str">
        <x:v>lstm-soil-v1</x:v>
      </x:c>
    </x:row>
    <x:row r="811">
      <x:c r="A811" s="38" t="str">
        <x:v>7月30日现场数据</x:v>
      </x:c>
      <x:c r="B811" s="39" t="str">
        <x:v>2026-08-01T06:20:00</x:v>
      </x:c>
      <x:c r="C811" s="39" t="str">
        <x:v>2026-08-01T07:20:00</x:v>
      </x:c>
      <x:c r="D811" s="47" t="n">
        <x:v>60</x:v>
      </x:c>
      <x:c r="E811" s="40" t="n">
        <x:v>12.1</x:v>
      </x:c>
      <x:c r="F811" s="40" t="n">
        <x:v>12.066837310791016</x:v>
      </x:c>
      <x:c r="G811" s="40" t="n">
        <x:v>12</x:v>
      </x:c>
      <x:c r="H811" s="40" t="n">
        <x:f>F811-E811</x:f>
        <x:v>-0.03316268920898402</x:v>
      </x:c>
      <x:c r="I811" s="40" t="n">
        <x:f>ABS(H811)</x:f>
        <x:v>0.03316268920898402</x:v>
      </x:c>
      <x:c r="J811" s="40" t="n">
        <x:f>H811^2</x:f>
        <x:v>0.0010997639555716651</x:v>
      </x:c>
      <x:c r="K811" s="40" t="n">
        <x:f>G811-E811</x:f>
        <x:v>-0.09999999999999964</x:v>
      </x:c>
      <x:c r="L811" s="40" t="n">
        <x:f>ABS(K811)</x:f>
        <x:v>0.09999999999999964</x:v>
      </x:c>
      <x:c r="M811" s="41" t="str">
        <x:v>lstm-soil-v1</x:v>
      </x:c>
    </x:row>
    <x:row r="812">
      <x:c r="A812" s="38" t="str">
        <x:v>7月30日现场数据</x:v>
      </x:c>
      <x:c r="B812" s="39" t="str">
        <x:v>2026-08-01T06:25:00</x:v>
      </x:c>
      <x:c r="C812" s="39" t="str">
        <x:v>2026-08-01T06:30:00</x:v>
      </x:c>
      <x:c r="D812" s="47" t="n">
        <x:v>5</x:v>
      </x:c>
      <x:c r="E812" s="40" t="n">
        <x:v>12</x:v>
      </x:c>
      <x:c r="F812" s="40" t="n">
        <x:v>10.022113800048828</x:v>
      </x:c>
      <x:c r="G812" s="40" t="n">
        <x:v>12.1</x:v>
      </x:c>
      <x:c r="H812" s="40" t="n">
        <x:f>F812-E812</x:f>
        <x:v>-1.9778861999511719</x:v>
      </x:c>
      <x:c r="I812" s="40" t="n">
        <x:f>ABS(H812)</x:f>
        <x:v>1.9778861999511719</x:v>
      </x:c>
      <x:c r="J812" s="40" t="n">
        <x:f>H812^2</x:f>
        <x:v>3.912033819957287</x:v>
      </x:c>
      <x:c r="K812" s="40" t="n">
        <x:f>G812-E812</x:f>
        <x:v>0.09999999999999964</x:v>
      </x:c>
      <x:c r="L812" s="40" t="n">
        <x:f>ABS(K812)</x:f>
        <x:v>0.09999999999999964</x:v>
      </x:c>
      <x:c r="M812" s="41" t="str">
        <x:v>lstm-soil-v1</x:v>
      </x:c>
    </x:row>
    <x:row r="813">
      <x:c r="A813" s="38" t="str">
        <x:v>7月30日现场数据</x:v>
      </x:c>
      <x:c r="B813" s="39" t="str">
        <x:v>2026-08-01T06:25:00</x:v>
      </x:c>
      <x:c r="C813" s="39" t="str">
        <x:v>2026-08-01T06:40:00</x:v>
      </x:c>
      <x:c r="D813" s="47" t="n">
        <x:v>15</x:v>
      </x:c>
      <x:c r="E813" s="40" t="n">
        <x:v>12.1</x:v>
      </x:c>
      <x:c r="F813" s="40" t="n">
        <x:v>10.079235076904297</x:v>
      </x:c>
      <x:c r="G813" s="40" t="n">
        <x:v>12.1</x:v>
      </x:c>
      <x:c r="H813" s="40" t="n">
        <x:f>F813-E813</x:f>
        <x:v>-2.0207649230957028</x:v>
      </x:c>
      <x:c r="I813" s="40" t="n">
        <x:f>ABS(H813)</x:f>
        <x:v>2.0207649230957028</x:v>
      </x:c>
      <x:c r="J813" s="40" t="n">
        <x:f>H813^2</x:f>
        <x:v>4.0834908744139815</x:v>
      </x:c>
      <x:c r="K813" s="40" t="n">
        <x:f>G813-E813</x:f>
        <x:v>0</x:v>
      </x:c>
      <x:c r="L813" s="40" t="n">
        <x:f>ABS(K813)</x:f>
        <x:v>0</x:v>
      </x:c>
      <x:c r="M813" s="41" t="str">
        <x:v>lstm-soil-v1</x:v>
      </x:c>
    </x:row>
    <x:row r="814">
      <x:c r="A814" s="38" t="str">
        <x:v>7月30日现场数据</x:v>
      </x:c>
      <x:c r="B814" s="39" t="str">
        <x:v>2026-08-01T06:25:00</x:v>
      </x:c>
      <x:c r="C814" s="39" t="str">
        <x:v>2026-08-01T06:55:00</x:v>
      </x:c>
      <x:c r="D814" s="47" t="n">
        <x:v>30</x:v>
      </x:c>
      <x:c r="E814" s="40" t="n">
        <x:v>12.1</x:v>
      </x:c>
      <x:c r="F814" s="40" t="n">
        <x:v>10.587440490722656</x:v>
      </x:c>
      <x:c r="G814" s="40" t="n">
        <x:v>12.1</x:v>
      </x:c>
      <x:c r="H814" s="40" t="n">
        <x:f>F814-E814</x:f>
        <x:v>-1.5125595092773434</x:v>
      </x:c>
      <x:c r="I814" s="40" t="n">
        <x:f>ABS(H814)</x:f>
        <x:v>1.5125595092773434</x:v>
      </x:c>
      <x:c r="J814" s="40" t="n">
        <x:f>H814^2</x:f>
        <x:v>2.287836269105318</x:v>
      </x:c>
      <x:c r="K814" s="40" t="n">
        <x:f>G814-E814</x:f>
        <x:v>0</x:v>
      </x:c>
      <x:c r="L814" s="40" t="n">
        <x:f>ABS(K814)</x:f>
        <x:v>0</x:v>
      </x:c>
      <x:c r="M814" s="41" t="str">
        <x:v>lstm-soil-v1</x:v>
      </x:c>
    </x:row>
    <x:row r="815">
      <x:c r="A815" s="38" t="str">
        <x:v>7月30日现场数据</x:v>
      </x:c>
      <x:c r="B815" s="39" t="str">
        <x:v>2026-08-01T06:25:00</x:v>
      </x:c>
      <x:c r="C815" s="39" t="str">
        <x:v>2026-08-01T07:25:00</x:v>
      </x:c>
      <x:c r="D815" s="47" t="n">
        <x:v>60</x:v>
      </x:c>
      <x:c r="E815" s="40" t="n">
        <x:v>12</x:v>
      </x:c>
      <x:c r="F815" s="40" t="n">
        <x:v>12.17812728881836</x:v>
      </x:c>
      <x:c r="G815" s="40" t="n">
        <x:v>12.1</x:v>
      </x:c>
      <x:c r="H815" s="40" t="n">
        <x:f>F815-E815</x:f>
        <x:v>0.17812728881835938</x:v>
      </x:c>
      <x:c r="I815" s="40" t="n">
        <x:f>ABS(H815)</x:f>
        <x:v>0.17812728881835938</x:v>
      </x:c>
      <x:c r="J815" s="40" t="n">
        <x:f>H815^2</x:f>
        <x:v>0.03172933102177922</x:v>
      </x:c>
      <x:c r="K815" s="40" t="n">
        <x:f>G815-E815</x:f>
        <x:v>0.09999999999999964</x:v>
      </x:c>
      <x:c r="L815" s="40" t="n">
        <x:f>ABS(K815)</x:f>
        <x:v>0.09999999999999964</x:v>
      </x:c>
      <x:c r="M815" s="41" t="str">
        <x:v>lstm-soil-v1</x:v>
      </x:c>
    </x:row>
    <x:row r="816">
      <x:c r="A816" s="38" t="str">
        <x:v>7月30日现场数据</x:v>
      </x:c>
      <x:c r="B816" s="39" t="str">
        <x:v>2026-08-01T06:30:00</x:v>
      </x:c>
      <x:c r="C816" s="39" t="str">
        <x:v>2026-08-01T06:35:00</x:v>
      </x:c>
      <x:c r="D816" s="47" t="n">
        <x:v>5</x:v>
      </x:c>
      <x:c r="E816" s="40" t="n">
        <x:v>12</x:v>
      </x:c>
      <x:c r="F816" s="40" t="n">
        <x:v>9.91250228881836</x:v>
      </x:c>
      <x:c r="G816" s="40" t="n">
        <x:v>12</x:v>
      </x:c>
      <x:c r="H816" s="40" t="n">
        <x:f>F816-E816</x:f>
        <x:v>-2.0874977111816406</x:v>
      </x:c>
      <x:c r="I816" s="40" t="n">
        <x:f>ABS(H816)</x:f>
        <x:v>2.0874977111816406</x:v>
      </x:c>
      <x:c r="J816" s="40" t="n">
        <x:f>H816^2</x:f>
        <x:v>4.357646694188588</x:v>
      </x:c>
      <x:c r="K816" s="40" t="n">
        <x:f>G816-E816</x:f>
        <x:v>0</x:v>
      </x:c>
      <x:c r="L816" s="40" t="n">
        <x:f>ABS(K816)</x:f>
        <x:v>0</x:v>
      </x:c>
      <x:c r="M816" s="41" t="str">
        <x:v>lstm-soil-v1</x:v>
      </x:c>
    </x:row>
    <x:row r="817">
      <x:c r="A817" s="38" t="str">
        <x:v>7月30日现场数据</x:v>
      </x:c>
      <x:c r="B817" s="39" t="str">
        <x:v>2026-08-01T06:30:00</x:v>
      </x:c>
      <x:c r="C817" s="39" t="str">
        <x:v>2026-08-01T06:45:00</x:v>
      </x:c>
      <x:c r="D817" s="47" t="n">
        <x:v>15</x:v>
      </x:c>
      <x:c r="E817" s="40" t="n">
        <x:v>12.1</x:v>
      </x:c>
      <x:c r="F817" s="40" t="n">
        <x:v>9.969696044921875</x:v>
      </x:c>
      <x:c r="G817" s="40" t="n">
        <x:v>12</x:v>
      </x:c>
      <x:c r="H817" s="40" t="n">
        <x:f>F817-E817</x:f>
        <x:v>-2.1303039550781246</x:v>
      </x:c>
      <x:c r="I817" s="40" t="n">
        <x:f>ABS(H817)</x:f>
        <x:v>2.1303039550781246</x:v>
      </x:c>
      <x:c r="J817" s="40" t="n">
        <x:f>H817^2</x:f>
        <x:v>4.538194941021501</x:v>
      </x:c>
      <x:c r="K817" s="40" t="n">
        <x:f>G817-E817</x:f>
        <x:v>-0.09999999999999964</x:v>
      </x:c>
      <x:c r="L817" s="40" t="n">
        <x:f>ABS(K817)</x:f>
        <x:v>0.09999999999999964</x:v>
      </x:c>
      <x:c r="M817" s="41" t="str">
        <x:v>lstm-soil-v1</x:v>
      </x:c>
    </x:row>
    <x:row r="818">
      <x:c r="A818" s="38" t="str">
        <x:v>7月30日现场数据</x:v>
      </x:c>
      <x:c r="B818" s="39" t="str">
        <x:v>2026-08-01T06:30:00</x:v>
      </x:c>
      <x:c r="C818" s="39" t="str">
        <x:v>2026-08-01T07:00:00</x:v>
      </x:c>
      <x:c r="D818" s="47" t="n">
        <x:v>30</x:v>
      </x:c>
      <x:c r="E818" s="40" t="n">
        <x:v>12.1</x:v>
      </x:c>
      <x:c r="F818" s="40" t="n">
        <x:v>10.477935791015625</x:v>
      </x:c>
      <x:c r="G818" s="40" t="n">
        <x:v>12</x:v>
      </x:c>
      <x:c r="H818" s="40" t="n">
        <x:f>F818-E818</x:f>
        <x:v>-1.6220642089843746</x:v>
      </x:c>
      <x:c r="I818" s="40" t="n">
        <x:f>ABS(H818)</x:f>
        <x:v>1.6220642089843746</x:v>
      </x:c>
      <x:c r="J818" s="40" t="n">
        <x:f>H818^2</x:f>
        <x:v>2.631092298068105</x:v>
      </x:c>
      <x:c r="K818" s="40" t="n">
        <x:f>G818-E818</x:f>
        <x:v>-0.09999999999999964</x:v>
      </x:c>
      <x:c r="L818" s="40" t="n">
        <x:f>ABS(K818)</x:f>
        <x:v>0.09999999999999964</x:v>
      </x:c>
      <x:c r="M818" s="41" t="str">
        <x:v>lstm-soil-v1</x:v>
      </x:c>
    </x:row>
    <x:row r="819">
      <x:c r="A819" s="38" t="str">
        <x:v>7月30日现场数据</x:v>
      </x:c>
      <x:c r="B819" s="39" t="str">
        <x:v>2026-08-01T06:30:00</x:v>
      </x:c>
      <x:c r="C819" s="39" t="str">
        <x:v>2026-08-01T07:30:00</x:v>
      </x:c>
      <x:c r="D819" s="47" t="n">
        <x:v>60</x:v>
      </x:c>
      <x:c r="E819" s="40" t="n">
        <x:v>12.1</x:v>
      </x:c>
      <x:c r="F819" s="40" t="n">
        <x:v>12.068740844726562</x:v>
      </x:c>
      <x:c r="G819" s="40" t="n">
        <x:v>12</x:v>
      </x:c>
      <x:c r="H819" s="40" t="n">
        <x:f>F819-E819</x:f>
        <x:v>-0.031259155273437145</x:v>
      </x:c>
      <x:c r="I819" s="40" t="n">
        <x:f>ABS(H819)</x:f>
        <x:v>0.031259155273437145</x:v>
      </x:c>
      <x:c r="J819" s="40" t="n">
        <x:f>H819^2</x:f>
        <x:v>0.0009771347884088533</x:v>
      </x:c>
      <x:c r="K819" s="40" t="n">
        <x:f>G819-E819</x:f>
        <x:v>-0.09999999999999964</x:v>
      </x:c>
      <x:c r="L819" s="40" t="n">
        <x:f>ABS(K819)</x:f>
        <x:v>0.09999999999999964</x:v>
      </x:c>
      <x:c r="M819" s="41" t="str">
        <x:v>lstm-soil-v1</x:v>
      </x:c>
    </x:row>
    <x:row r="820">
      <x:c r="A820" s="38" t="str">
        <x:v>7月30日现场数据</x:v>
      </x:c>
      <x:c r="B820" s="39" t="str">
        <x:v>2026-08-01T06:35:00</x:v>
      </x:c>
      <x:c r="C820" s="39" t="str">
        <x:v>2026-08-01T06:40:00</x:v>
      </x:c>
      <x:c r="D820" s="47" t="n">
        <x:v>5</x:v>
      </x:c>
      <x:c r="E820" s="40" t="n">
        <x:v>12.1</x:v>
      </x:c>
      <x:c r="F820" s="40" t="n">
        <x:v>9.912792205810547</x:v>
      </x:c>
      <x:c r="G820" s="40" t="n">
        <x:v>12</x:v>
      </x:c>
      <x:c r="H820" s="40" t="n">
        <x:f>F820-E820</x:f>
        <x:v>-2.1872077941894528</x:v>
      </x:c>
      <x:c r="I820" s="40" t="n">
        <x:f>ABS(H820)</x:f>
        <x:v>2.1872077941894528</x:v>
      </x:c>
      <x:c r="J820" s="40" t="n">
        <x:f>H820^2</x:f>
        <x:v>4.783877934963091</x:v>
      </x:c>
      <x:c r="K820" s="40" t="n">
        <x:f>G820-E820</x:f>
        <x:v>-0.09999999999999964</x:v>
      </x:c>
      <x:c r="L820" s="40" t="n">
        <x:f>ABS(K820)</x:f>
        <x:v>0.09999999999999964</x:v>
      </x:c>
      <x:c r="M820" s="41" t="str">
        <x:v>lstm-soil-v1</x:v>
      </x:c>
    </x:row>
    <x:row r="821">
      <x:c r="A821" s="38" t="str">
        <x:v>7月30日现场数据</x:v>
      </x:c>
      <x:c r="B821" s="39" t="str">
        <x:v>2026-08-01T06:35:00</x:v>
      </x:c>
      <x:c r="C821" s="39" t="str">
        <x:v>2026-08-01T06:50:00</x:v>
      </x:c>
      <x:c r="D821" s="47" t="n">
        <x:v>15</x:v>
      </x:c>
      <x:c r="E821" s="40" t="n">
        <x:v>12.1</x:v>
      </x:c>
      <x:c r="F821" s="40" t="n">
        <x:v>9.970043182373047</x:v>
      </x:c>
      <x:c r="G821" s="40" t="n">
        <x:v>12</x:v>
      </x:c>
      <x:c r="H821" s="40" t="n">
        <x:f>F821-E821</x:f>
        <x:v>-2.1299568176269528</x:v>
      </x:c>
      <x:c r="I821" s="40" t="n">
        <x:f>ABS(H821)</x:f>
        <x:v>2.1299568176269528</x:v>
      </x:c>
      <x:c r="J821" s="40" t="n">
        <x:f>H821^2</x:f>
        <x:v>4.536716044955536</x:v>
      </x:c>
      <x:c r="K821" s="40" t="n">
        <x:f>G821-E821</x:f>
        <x:v>-0.09999999999999964</x:v>
      </x:c>
      <x:c r="L821" s="40" t="n">
        <x:f>ABS(K821)</x:f>
        <x:v>0.09999999999999964</x:v>
      </x:c>
      <x:c r="M821" s="41" t="str">
        <x:v>lstm-soil-v1</x:v>
      </x:c>
    </x:row>
    <x:row r="822">
      <x:c r="A822" s="38" t="str">
        <x:v>7月30日现场数据</x:v>
      </x:c>
      <x:c r="B822" s="39" t="str">
        <x:v>2026-08-01T06:35:00</x:v>
      </x:c>
      <x:c r="C822" s="39" t="str">
        <x:v>2026-08-01T07:05:00</x:v>
      </x:c>
      <x:c r="D822" s="47" t="n">
        <x:v>30</x:v>
      </x:c>
      <x:c r="E822" s="40" t="n">
        <x:v>12.1</x:v>
      </x:c>
      <x:c r="F822" s="40" t="n">
        <x:v>10.478302001953125</x:v>
      </x:c>
      <x:c r="G822" s="40" t="n">
        <x:v>12</x:v>
      </x:c>
      <x:c r="H822" s="40" t="n">
        <x:f>F822-E822</x:f>
        <x:v>-1.6216979980468746</x:v>
      </x:c>
      <x:c r="I822" s="40" t="n">
        <x:f>ABS(H822)</x:f>
        <x:v>1.6216979980468746</x:v>
      </x:c>
      <x:c r="J822" s="40" t="n">
        <x:f>H822^2</x:f>
        <x:v>2.629904396869241</x:v>
      </x:c>
      <x:c r="K822" s="40" t="n">
        <x:f>G822-E822</x:f>
        <x:v>-0.09999999999999964</x:v>
      </x:c>
      <x:c r="L822" s="40" t="n">
        <x:f>ABS(K822)</x:f>
        <x:v>0.09999999999999964</x:v>
      </x:c>
      <x:c r="M822" s="41" t="str">
        <x:v>lstm-soil-v1</x:v>
      </x:c>
    </x:row>
    <x:row r="823">
      <x:c r="A823" s="38" t="str">
        <x:v>7月30日现场数据</x:v>
      </x:c>
      <x:c r="B823" s="39" t="str">
        <x:v>2026-08-01T06:35:00</x:v>
      </x:c>
      <x:c r="C823" s="39" t="str">
        <x:v>2026-08-01T07:35:00</x:v>
      </x:c>
      <x:c r="D823" s="47" t="n">
        <x:v>60</x:v>
      </x:c>
      <x:c r="E823" s="40" t="n">
        <x:v>12.1</x:v>
      </x:c>
      <x:c r="F823" s="40" t="n">
        <x:v>12.069175720214844</x:v>
      </x:c>
      <x:c r="G823" s="40" t="n">
        <x:v>12</x:v>
      </x:c>
      <x:c r="H823" s="40" t="n">
        <x:f>F823-E823</x:f>
        <x:v>-0.030824279785155895</x:v>
      </x:c>
      <x:c r="I823" s="40" t="n">
        <x:f>ABS(H823)</x:f>
        <x:v>0.030824279785155895</x:v>
      </x:c>
      <x:c r="J823" s="40" t="n">
        <x:f>H823^2</x:f>
        <x:v>0.0009501362242735703</x:v>
      </x:c>
      <x:c r="K823" s="40" t="n">
        <x:f>G823-E823</x:f>
        <x:v>-0.09999999999999964</x:v>
      </x:c>
      <x:c r="L823" s="40" t="n">
        <x:f>ABS(K823)</x:f>
        <x:v>0.09999999999999964</x:v>
      </x:c>
      <x:c r="M823" s="41" t="str">
        <x:v>lstm-soil-v1</x:v>
      </x:c>
    </x:row>
    <x:row r="824">
      <x:c r="A824" s="38" t="str">
        <x:v>7月30日现场数据</x:v>
      </x:c>
      <x:c r="B824" s="39" t="str">
        <x:v>2026-08-01T06:40:00</x:v>
      </x:c>
      <x:c r="C824" s="39" t="str">
        <x:v>2026-08-01T06:45:00</x:v>
      </x:c>
      <x:c r="D824" s="47" t="n">
        <x:v>5</x:v>
      </x:c>
      <x:c r="E824" s="40" t="n">
        <x:v>12.1</x:v>
      </x:c>
      <x:c r="F824" s="40" t="n">
        <x:v>10.023330688476562</x:v>
      </x:c>
      <x:c r="G824" s="40" t="n">
        <x:v>12.1</x:v>
      </x:c>
      <x:c r="H824" s="40" t="n">
        <x:f>F824-E824</x:f>
        <x:v>-2.076669311523437</x:v>
      </x:c>
      <x:c r="I824" s="40" t="n">
        <x:f>ABS(H824)</x:f>
        <x:v>2.076669311523437</x:v>
      </x:c>
      <x:c r="J824" s="40" t="n">
        <x:f>H824^2</x:f>
        <x:v>4.3125554294232264</x:v>
      </x:c>
      <x:c r="K824" s="40" t="n">
        <x:f>G824-E824</x:f>
        <x:v>0</x:v>
      </x:c>
      <x:c r="L824" s="40" t="n">
        <x:f>ABS(K824)</x:f>
        <x:v>0</x:v>
      </x:c>
      <x:c r="M824" s="41" t="str">
        <x:v>lstm-soil-v1</x:v>
      </x:c>
    </x:row>
    <x:row r="825">
      <x:c r="A825" s="38" t="str">
        <x:v>7月30日现场数据</x:v>
      </x:c>
      <x:c r="B825" s="39" t="str">
        <x:v>2026-08-01T06:40:00</x:v>
      </x:c>
      <x:c r="C825" s="39" t="str">
        <x:v>2026-08-01T06:55:00</x:v>
      </x:c>
      <x:c r="D825" s="47" t="n">
        <x:v>15</x:v>
      </x:c>
      <x:c r="E825" s="40" t="n">
        <x:v>12.1</x:v>
      </x:c>
      <x:c r="F825" s="40" t="n">
        <x:v>10.080524444580078</x:v>
      </x:c>
      <x:c r="G825" s="40" t="n">
        <x:v>12.1</x:v>
      </x:c>
      <x:c r="H825" s="40" t="n">
        <x:f>F825-E825</x:f>
        <x:v>-2.0194755554199215</x:v>
      </x:c>
      <x:c r="I825" s="40" t="n">
        <x:f>ABS(H825)</x:f>
        <x:v>2.0194755554199215</x:v>
      </x:c>
      <x:c r="J825" s="40" t="n">
        <x:f>H825^2</x:f>
        <x:v>4.0782815189386</x:v>
      </x:c>
      <x:c r="K825" s="40" t="n">
        <x:f>G825-E825</x:f>
        <x:v>0</x:v>
      </x:c>
      <x:c r="L825" s="40" t="n">
        <x:f>ABS(K825)</x:f>
        <x:v>0</x:v>
      </x:c>
      <x:c r="M825" s="41" t="str">
        <x:v>lstm-soil-v1</x:v>
      </x:c>
    </x:row>
    <x:row r="826">
      <x:c r="A826" s="38" t="str">
        <x:v>7月30日现场数据</x:v>
      </x:c>
      <x:c r="B826" s="39" t="str">
        <x:v>2026-08-01T06:40:00</x:v>
      </x:c>
      <x:c r="C826" s="39" t="str">
        <x:v>2026-08-01T07:10:00</x:v>
      </x:c>
      <x:c r="D826" s="47" t="n">
        <x:v>30</x:v>
      </x:c>
      <x:c r="E826" s="40" t="n">
        <x:v>12</x:v>
      </x:c>
      <x:c r="F826" s="40" t="n">
        <x:v>10.588939666748047</x:v>
      </x:c>
      <x:c r="G826" s="40" t="n">
        <x:v>12.1</x:v>
      </x:c>
      <x:c r="H826" s="40" t="n">
        <x:f>F826-E826</x:f>
        <x:v>-1.4110603332519531</x:v>
      </x:c>
      <x:c r="I826" s="40" t="n">
        <x:f>ABS(H826)</x:f>
        <x:v>1.4110603332519531</x:v>
      </x:c>
      <x:c r="J826" s="40" t="n">
        <x:f>H826^2</x:f>
        <x:v>1.991091264077113</x:v>
      </x:c>
      <x:c r="K826" s="40" t="n">
        <x:f>G826-E826</x:f>
        <x:v>0.09999999999999964</x:v>
      </x:c>
      <x:c r="L826" s="40" t="n">
        <x:f>ABS(K826)</x:f>
        <x:v>0.09999999999999964</x:v>
      </x:c>
      <x:c r="M826" s="41" t="str">
        <x:v>lstm-soil-v1</x:v>
      </x:c>
    </x:row>
    <x:row r="827">
      <x:c r="A827" s="38" t="str">
        <x:v>7月30日现场数据</x:v>
      </x:c>
      <x:c r="B827" s="39" t="str">
        <x:v>2026-08-01T06:40:00</x:v>
      </x:c>
      <x:c r="C827" s="39" t="str">
        <x:v>2026-08-01T07:40:00</x:v>
      </x:c>
      <x:c r="D827" s="47" t="n">
        <x:v>60</x:v>
      </x:c>
      <x:c r="E827" s="40" t="n">
        <x:v>12</x:v>
      </x:c>
      <x:c r="F827" s="40" t="n">
        <x:v>12.179889678955078</x:v>
      </x:c>
      <x:c r="G827" s="40" t="n">
        <x:v>12.1</x:v>
      </x:c>
      <x:c r="H827" s="40" t="n">
        <x:f>F827-E827</x:f>
        <x:v>0.17988967895507812</x:v>
      </x:c>
      <x:c r="I827" s="40" t="n">
        <x:f>ABS(H827)</x:f>
        <x:v>0.17988967895507812</x:v>
      </x:c>
      <x:c r="J827" s="40" t="n">
        <x:f>H827^2</x:f>
        <x:v>0.03236029659456108</x:v>
      </x:c>
      <x:c r="K827" s="40" t="n">
        <x:f>G827-E827</x:f>
        <x:v>0.09999999999999964</x:v>
      </x:c>
      <x:c r="L827" s="40" t="n">
        <x:f>ABS(K827)</x:f>
        <x:v>0.09999999999999964</x:v>
      </x:c>
      <x:c r="M827" s="41" t="str">
        <x:v>lstm-soil-v1</x:v>
      </x:c>
    </x:row>
    <x:row r="828">
      <x:c r="A828" s="38" t="str">
        <x:v>7月30日现场数据</x:v>
      </x:c>
      <x:c r="B828" s="39" t="str">
        <x:v>2026-08-01T06:45:00</x:v>
      </x:c>
      <x:c r="C828" s="39" t="str">
        <x:v>2026-08-01T06:50:00</x:v>
      </x:c>
      <x:c r="D828" s="47" t="n">
        <x:v>5</x:v>
      </x:c>
      <x:c r="E828" s="40" t="n">
        <x:v>12.1</x:v>
      </x:c>
      <x:c r="F828" s="40" t="n">
        <x:v>10.023712158203125</x:v>
      </x:c>
      <x:c r="G828" s="40" t="n">
        <x:v>12.1</x:v>
      </x:c>
      <x:c r="H828" s="40" t="n">
        <x:f>F828-E828</x:f>
        <x:v>-2.0762878417968746</x:v>
      </x:c>
      <x:c r="I828" s="40" t="n">
        <x:f>ABS(H828)</x:f>
        <x:v>2.0762878417968746</x:v>
      </x:c>
      <x:c r="J828" s="40" t="n">
        <x:f>H828^2</x:f>
        <x:v>4.310971201993524</x:v>
      </x:c>
      <x:c r="K828" s="40" t="n">
        <x:f>G828-E828</x:f>
        <x:v>0</x:v>
      </x:c>
      <x:c r="L828" s="40" t="n">
        <x:f>ABS(K828)</x:f>
        <x:v>0</x:v>
      </x:c>
      <x:c r="M828" s="41" t="str">
        <x:v>lstm-soil-v1</x:v>
      </x:c>
    </x:row>
    <x:row r="829">
      <x:c r="A829" s="38" t="str">
        <x:v>7月30日现场数据</x:v>
      </x:c>
      <x:c r="B829" s="39" t="str">
        <x:v>2026-08-01T06:45:00</x:v>
      </x:c>
      <x:c r="C829" s="39" t="str">
        <x:v>2026-08-01T07:00:00</x:v>
      </x:c>
      <x:c r="D829" s="47" t="n">
        <x:v>15</x:v>
      </x:c>
      <x:c r="E829" s="40" t="n">
        <x:v>12.1</x:v>
      </x:c>
      <x:c r="F829" s="40" t="n">
        <x:v>10.08087158203125</x:v>
      </x:c>
      <x:c r="G829" s="40" t="n">
        <x:v>12.1</x:v>
      </x:c>
      <x:c r="H829" s="40" t="n">
        <x:f>F829-E829</x:f>
        <x:v>-2.0191284179687496</x:v>
      </x:c>
      <x:c r="I829" s="40" t="n">
        <x:f>ABS(H829)</x:f>
        <x:v>2.0191284179687496</x:v>
      </x:c>
      <x:c r="J829" s="40" t="n">
        <x:f>H829^2</x:f>
        <x:v>4.076879568248986</x:v>
      </x:c>
      <x:c r="K829" s="40" t="n">
        <x:f>G829-E829</x:f>
        <x:v>0</x:v>
      </x:c>
      <x:c r="L829" s="40" t="n">
        <x:f>ABS(K829)</x:f>
        <x:v>0</x:v>
      </x:c>
      <x:c r="M829" s="41" t="str">
        <x:v>lstm-soil-v1</x:v>
      </x:c>
    </x:row>
    <x:row r="830">
      <x:c r="A830" s="38" t="str">
        <x:v>7月30日现场数据</x:v>
      </x:c>
      <x:c r="B830" s="39" t="str">
        <x:v>2026-08-01T06:45:00</x:v>
      </x:c>
      <x:c r="C830" s="39" t="str">
        <x:v>2026-08-01T07:15:00</x:v>
      </x:c>
      <x:c r="D830" s="47" t="n">
        <x:v>30</x:v>
      </x:c>
      <x:c r="E830" s="40" t="n">
        <x:v>12.1</x:v>
      </x:c>
      <x:c r="F830" s="40" t="n">
        <x:v>10.589347839355469</x:v>
      </x:c>
      <x:c r="G830" s="40" t="n">
        <x:v>12.1</x:v>
      </x:c>
      <x:c r="H830" s="40" t="n">
        <x:f>F830-E830</x:f>
        <x:v>-1.510652160644531</x:v>
      </x:c>
      <x:c r="I830" s="40" t="n">
        <x:f>ABS(H830)</x:f>
        <x:v>1.510652160644531</x:v>
      </x:c>
      <x:c r="J830" s="40" t="n">
        <x:f>H830^2</x:f>
        <x:v>2.2820699504599897</x:v>
      </x:c>
      <x:c r="K830" s="40" t="n">
        <x:f>G830-E830</x:f>
        <x:v>0</x:v>
      </x:c>
      <x:c r="L830" s="40" t="n">
        <x:f>ABS(K830)</x:f>
        <x:v>0</x:v>
      </x:c>
      <x:c r="M830" s="41" t="str">
        <x:v>lstm-soil-v1</x:v>
      </x:c>
    </x:row>
    <x:row r="831">
      <x:c r="A831" s="38" t="str">
        <x:v>7月30日现场数据</x:v>
      </x:c>
      <x:c r="B831" s="39" t="str">
        <x:v>2026-08-01T06:45:00</x:v>
      </x:c>
      <x:c r="C831" s="39" t="str">
        <x:v>2026-08-01T07:45:00</x:v>
      </x:c>
      <x:c r="D831" s="47" t="n">
        <x:v>60</x:v>
      </x:c>
      <x:c r="E831" s="40" t="n">
        <x:v>12.1</x:v>
      </x:c>
      <x:c r="F831" s="40" t="n">
        <x:v>12.18033218383789</x:v>
      </x:c>
      <x:c r="G831" s="40" t="n">
        <x:v>12.1</x:v>
      </x:c>
      <x:c r="H831" s="40" t="n">
        <x:f>F831-E831</x:f>
        <x:v>0.08033218383789098</x:v>
      </x:c>
      <x:c r="I831" s="40" t="n">
        <x:f>ABS(H831)</x:f>
        <x:v>0.08033218383789098</x:v>
      </x:c>
      <x:c r="J831" s="40" t="n">
        <x:f>H831^2</x:f>
        <x:v>0.006453259760164713</x:v>
      </x:c>
      <x:c r="K831" s="40" t="n">
        <x:f>G831-E831</x:f>
        <x:v>0</x:v>
      </x:c>
      <x:c r="L831" s="40" t="n">
        <x:f>ABS(K831)</x:f>
        <x:v>0</x:v>
      </x:c>
      <x:c r="M831" s="41" t="str">
        <x:v>lstm-soil-v1</x:v>
      </x:c>
    </x:row>
    <x:row r="832">
      <x:c r="A832" s="38" t="str">
        <x:v>7月30日现场数据</x:v>
      </x:c>
      <x:c r="B832" s="39" t="str">
        <x:v>2026-08-01T06:50:00</x:v>
      </x:c>
      <x:c r="C832" s="39" t="str">
        <x:v>2026-08-01T06:55:00</x:v>
      </x:c>
      <x:c r="D832" s="47" t="n">
        <x:v>5</x:v>
      </x:c>
      <x:c r="E832" s="40" t="n">
        <x:v>12.1</x:v>
      </x:c>
      <x:c r="F832" s="40" t="n">
        <x:v>10.023983001708984</x:v>
      </x:c>
      <x:c r="G832" s="40" t="n">
        <x:v>12.1</x:v>
      </x:c>
      <x:c r="H832" s="40" t="n">
        <x:f>F832-E832</x:f>
        <x:v>-2.0760169982910153</x:v>
      </x:c>
      <x:c r="I832" s="40" t="n">
        <x:f>ABS(H832)</x:f>
        <x:v>2.0760169982910153</x:v>
      </x:c>
      <x:c r="J832" s="40" t="n">
        <x:f>H832^2</x:f>
        <x:v>4.3098465771932375</x:v>
      </x:c>
      <x:c r="K832" s="40" t="n">
        <x:f>G832-E832</x:f>
        <x:v>0</x:v>
      </x:c>
      <x:c r="L832" s="40" t="n">
        <x:f>ABS(K832)</x:f>
        <x:v>0</x:v>
      </x:c>
      <x:c r="M832" s="41" t="str">
        <x:v>lstm-soil-v1</x:v>
      </x:c>
    </x:row>
    <x:row r="833">
      <x:c r="A833" s="38" t="str">
        <x:v>7月30日现场数据</x:v>
      </x:c>
      <x:c r="B833" s="39" t="str">
        <x:v>2026-08-01T06:50:00</x:v>
      </x:c>
      <x:c r="C833" s="39" t="str">
        <x:v>2026-08-01T07:05:00</x:v>
      </x:c>
      <x:c r="D833" s="47" t="n">
        <x:v>15</x:v>
      </x:c>
      <x:c r="E833" s="40" t="n">
        <x:v>12.1</x:v>
      </x:c>
      <x:c r="F833" s="40" t="n">
        <x:v>10.081077575683594</x:v>
      </x:c>
      <x:c r="G833" s="40" t="n">
        <x:v>12.1</x:v>
      </x:c>
      <x:c r="H833" s="40" t="n">
        <x:f>F833-E833</x:f>
        <x:v>-2.018922424316406</x:v>
      </x:c>
      <x:c r="I833" s="40" t="n">
        <x:f>ABS(H833)</x:f>
        <x:v>2.018922424316406</x:v>
      </x:c>
      <x:c r="J833" s="40" t="n">
        <x:f>H833^2</x:f>
        <x:v>4.076047755407633</x:v>
      </x:c>
      <x:c r="K833" s="40" t="n">
        <x:f>G833-E833</x:f>
        <x:v>0</x:v>
      </x:c>
      <x:c r="L833" s="40" t="n">
        <x:f>ABS(K833)</x:f>
        <x:v>0</x:v>
      </x:c>
      <x:c r="M833" s="41" t="str">
        <x:v>lstm-soil-v1</x:v>
      </x:c>
    </x:row>
    <x:row r="834">
      <x:c r="A834" s="38" t="str">
        <x:v>7月30日现场数据</x:v>
      </x:c>
      <x:c r="B834" s="39" t="str">
        <x:v>2026-08-01T06:50:00</x:v>
      </x:c>
      <x:c r="C834" s="39" t="str">
        <x:v>2026-08-01T07:20:00</x:v>
      </x:c>
      <x:c r="D834" s="47" t="n">
        <x:v>30</x:v>
      </x:c>
      <x:c r="E834" s="40" t="n">
        <x:v>12.1</x:v>
      </x:c>
      <x:c r="F834" s="40" t="n">
        <x:v>10.589645385742188</x:v>
      </x:c>
      <x:c r="G834" s="40" t="n">
        <x:v>12.1</x:v>
      </x:c>
      <x:c r="H834" s="40" t="n">
        <x:f>F834-E834</x:f>
        <x:v>-1.5103546142578121</x:v>
      </x:c>
      <x:c r="I834" s="40" t="n">
        <x:f>ABS(H834)</x:f>
        <x:v>1.5103546142578121</x:v>
      </x:c>
      <x:c r="J834" s="40" t="n">
        <x:f>H834^2</x:f>
        <x:v>2.2811710608098643</x:v>
      </x:c>
      <x:c r="K834" s="40" t="n">
        <x:f>G834-E834</x:f>
        <x:v>0</x:v>
      </x:c>
      <x:c r="L834" s="40" t="n">
        <x:f>ABS(K834)</x:f>
        <x:v>0</x:v>
      </x:c>
      <x:c r="M834" s="41" t="str">
        <x:v>lstm-soil-v1</x:v>
      </x:c>
    </x:row>
    <x:row r="835">
      <x:c r="A835" s="38" t="str">
        <x:v>7月30日现场数据</x:v>
      </x:c>
      <x:c r="B835" s="39" t="str">
        <x:v>2026-08-01T06:50:00</x:v>
      </x:c>
      <x:c r="C835" s="39" t="str">
        <x:v>2026-08-01T07:50:00</x:v>
      </x:c>
      <x:c r="D835" s="47" t="n">
        <x:v>60</x:v>
      </x:c>
      <x:c r="E835" s="40" t="n">
        <x:v>12.1</x:v>
      </x:c>
      <x:c r="F835" s="40" t="n">
        <x:v>12.18069839477539</x:v>
      </x:c>
      <x:c r="G835" s="40" t="n">
        <x:v>12.1</x:v>
      </x:c>
      <x:c r="H835" s="40" t="n">
        <x:f>F835-E835</x:f>
        <x:v>0.08069839477539098</x:v>
      </x:c>
      <x:c r="I835" s="40" t="n">
        <x:f>ABS(H835)</x:f>
        <x:v>0.08069839477539098</x:v>
      </x:c>
      <x:c r="J835" s="40" t="n">
        <x:f>H835^2</x:f>
        <x:v>0.0065122309193248505</x:v>
      </x:c>
      <x:c r="K835" s="40" t="n">
        <x:f>G835-E835</x:f>
        <x:v>0</x:v>
      </x:c>
      <x:c r="L835" s="40" t="n">
        <x:f>ABS(K835)</x:f>
        <x:v>0</x:v>
      </x:c>
      <x:c r="M835" s="41" t="str">
        <x:v>lstm-soil-v1</x:v>
      </x:c>
    </x:row>
    <x:row r="836">
      <x:c r="A836" s="38" t="str">
        <x:v>7月30日现场数据</x:v>
      </x:c>
      <x:c r="B836" s="39" t="str">
        <x:v>2026-08-01T06:55:00</x:v>
      </x:c>
      <x:c r="C836" s="39" t="str">
        <x:v>2026-08-01T07:00:00</x:v>
      </x:c>
      <x:c r="D836" s="47" t="n">
        <x:v>5</x:v>
      </x:c>
      <x:c r="E836" s="40" t="n">
        <x:v>12.1</x:v>
      </x:c>
      <x:c r="F836" s="40" t="n">
        <x:v>10.024116516113281</x:v>
      </x:c>
      <x:c r="G836" s="40" t="n">
        <x:v>12.1</x:v>
      </x:c>
      <x:c r="H836" s="40" t="n">
        <x:f>F836-E836</x:f>
        <x:v>-2.0758834838867184</x:v>
      </x:c>
      <x:c r="I836" s="40" t="n">
        <x:f>ABS(H836)</x:f>
        <x:v>2.0758834838867184</x:v>
      </x:c>
      <x:c r="J836" s="40" t="n">
        <x:f>H836^2</x:f>
        <x:v>4.30929223867366</x:v>
      </x:c>
      <x:c r="K836" s="40" t="n">
        <x:f>G836-E836</x:f>
        <x:v>0</x:v>
      </x:c>
      <x:c r="L836" s="40" t="n">
        <x:f>ABS(K836)</x:f>
        <x:v>0</x:v>
      </x:c>
      <x:c r="M836" s="41" t="str">
        <x:v>lstm-soil-v1</x:v>
      </x:c>
    </x:row>
    <x:row r="837">
      <x:c r="A837" s="38" t="str">
        <x:v>7月30日现场数据</x:v>
      </x:c>
      <x:c r="B837" s="39" t="str">
        <x:v>2026-08-01T06:55:00</x:v>
      </x:c>
      <x:c r="C837" s="39" t="str">
        <x:v>2026-08-01T07:10:00</x:v>
      </x:c>
      <x:c r="D837" s="47" t="n">
        <x:v>15</x:v>
      </x:c>
      <x:c r="E837" s="40" t="n">
        <x:v>12</x:v>
      </x:c>
      <x:c r="F837" s="40" t="n">
        <x:v>10.081218719482422</x:v>
      </x:c>
      <x:c r="G837" s="40" t="n">
        <x:v>12.1</x:v>
      </x:c>
      <x:c r="H837" s="40" t="n">
        <x:f>F837-E837</x:f>
        <x:v>-1.9187812805175781</x:v>
      </x:c>
      <x:c r="I837" s="40" t="n">
        <x:f>ABS(H837)</x:f>
        <x:v>1.9187812805175781</x:v>
      </x:c>
      <x:c r="J837" s="40" t="n">
        <x:f>H837^2</x:f>
        <x:v>3.681721602464677</x:v>
      </x:c>
      <x:c r="K837" s="40" t="n">
        <x:f>G837-E837</x:f>
        <x:v>0.09999999999999964</x:v>
      </x:c>
      <x:c r="L837" s="40" t="n">
        <x:f>ABS(K837)</x:f>
        <x:v>0.09999999999999964</x:v>
      </x:c>
      <x:c r="M837" s="41" t="str">
        <x:v>lstm-soil-v1</x:v>
      </x:c>
    </x:row>
    <x:row r="838">
      <x:c r="A838" s="38" t="str">
        <x:v>7月30日现场数据</x:v>
      </x:c>
      <x:c r="B838" s="39" t="str">
        <x:v>2026-08-01T06:55:00</x:v>
      </x:c>
      <x:c r="C838" s="39" t="str">
        <x:v>2026-08-01T07:25:00</x:v>
      </x:c>
      <x:c r="D838" s="47" t="n">
        <x:v>30</x:v>
      </x:c>
      <x:c r="E838" s="40" t="n">
        <x:v>12</x:v>
      </x:c>
      <x:c r="F838" s="40" t="n">
        <x:v>10.589862823486328</x:v>
      </x:c>
      <x:c r="G838" s="40" t="n">
        <x:v>12.1</x:v>
      </x:c>
      <x:c r="H838" s="40" t="n">
        <x:f>F838-E838</x:f>
        <x:v>-1.4101371765136719</x:v>
      </x:c>
      <x:c r="I838" s="40" t="n">
        <x:f>ABS(H838)</x:f>
        <x:v>1.4101371765136719</x:v>
      </x:c>
      <x:c r="J838" s="40" t="n">
        <x:f>H838^2</x:f>
        <x:v>1.9884868565859506</x:v>
      </x:c>
      <x:c r="K838" s="40" t="n">
        <x:f>G838-E838</x:f>
        <x:v>0.09999999999999964</x:v>
      </x:c>
      <x:c r="L838" s="40" t="n">
        <x:f>ABS(K838)</x:f>
        <x:v>0.09999999999999964</x:v>
      </x:c>
      <x:c r="M838" s="41" t="str">
        <x:v>lstm-soil-v1</x:v>
      </x:c>
    </x:row>
    <x:row r="839">
      <x:c r="A839" s="38" t="str">
        <x:v>7月30日现场数据</x:v>
      </x:c>
      <x:c r="B839" s="39" t="str">
        <x:v>2026-08-01T06:55:00</x:v>
      </x:c>
      <x:c r="C839" s="39" t="str">
        <x:v>2026-08-01T07:55:00</x:v>
      </x:c>
      <x:c r="D839" s="47" t="n">
        <x:v>60</x:v>
      </x:c>
      <x:c r="E839" s="40" t="n">
        <x:v>12.1</x:v>
      </x:c>
      <x:c r="F839" s="40" t="n">
        <x:v>12.180919647216797</x:v>
      </x:c>
      <x:c r="G839" s="40" t="n">
        <x:v>12.1</x:v>
      </x:c>
      <x:c r="H839" s="40" t="n">
        <x:f>F839-E839</x:f>
        <x:v>0.08091964721679723</x:v>
      </x:c>
      <x:c r="I839" s="40" t="n">
        <x:f>ABS(H839)</x:f>
        <x:v>0.08091964721679723</x:v>
      </x:c>
      <x:c r="J839" s="40" t="n">
        <x:f>H839^2</x:f>
        <x:v>0.006547989305690919</x:v>
      </x:c>
      <x:c r="K839" s="40" t="n">
        <x:f>G839-E839</x:f>
        <x:v>0</x:v>
      </x:c>
      <x:c r="L839" s="40" t="n">
        <x:f>ABS(K839)</x:f>
        <x:v>0</x:v>
      </x:c>
      <x:c r="M839" s="41" t="str">
        <x:v>lstm-soil-v1</x:v>
      </x:c>
    </x:row>
    <x:row r="840">
      <x:c r="A840" s="38" t="str">
        <x:v>7月30日现场数据</x:v>
      </x:c>
      <x:c r="B840" s="39" t="str">
        <x:v>2026-08-01T07:00:00</x:v>
      </x:c>
      <x:c r="C840" s="39" t="str">
        <x:v>2026-08-01T07:05:00</x:v>
      </x:c>
      <x:c r="D840" s="47" t="n">
        <x:v>5</x:v>
      </x:c>
      <x:c r="E840" s="40" t="n">
        <x:v>12.1</x:v>
      </x:c>
      <x:c r="F840" s="40" t="n">
        <x:v>10.025096893310547</x:v>
      </x:c>
      <x:c r="G840" s="40" t="n">
        <x:v>12.1</x:v>
      </x:c>
      <x:c r="H840" s="40" t="n">
        <x:f>F840-E840</x:f>
        <x:v>-2.0749031066894528</x:v>
      </x:c>
      <x:c r="I840" s="40" t="n">
        <x:f>ABS(H840)</x:f>
        <x:v>2.0749031066894528</x:v>
      </x:c>
      <x:c r="J840" s="40" t="n">
        <x:f>H840^2</x:f>
        <x:v>4.305222902149542</x:v>
      </x:c>
      <x:c r="K840" s="40" t="n">
        <x:f>G840-E840</x:f>
        <x:v>0</x:v>
      </x:c>
      <x:c r="L840" s="40" t="n">
        <x:f>ABS(K840)</x:f>
        <x:v>0</x:v>
      </x:c>
      <x:c r="M840" s="41" t="str">
        <x:v>lstm-soil-v1</x:v>
      </x:c>
    </x:row>
    <x:row r="841">
      <x:c r="A841" s="38" t="str">
        <x:v>7月30日现场数据</x:v>
      </x:c>
      <x:c r="B841" s="39" t="str">
        <x:v>2026-08-01T07:00:00</x:v>
      </x:c>
      <x:c r="C841" s="39" t="str">
        <x:v>2026-08-01T07:15:00</x:v>
      </x:c>
      <x:c r="D841" s="47" t="n">
        <x:v>15</x:v>
      </x:c>
      <x:c r="E841" s="40" t="n">
        <x:v>12.1</x:v>
      </x:c>
      <x:c r="F841" s="40" t="n">
        <x:v>10.081554412841797</x:v>
      </x:c>
      <x:c r="G841" s="40" t="n">
        <x:v>12.1</x:v>
      </x:c>
      <x:c r="H841" s="40" t="n">
        <x:f>F841-E841</x:f>
        <x:v>-2.0184455871582028</x:v>
      </x:c>
      <x:c r="I841" s="40" t="n">
        <x:f>ABS(H841)</x:f>
        <x:v>2.0184455871582028</x:v>
      </x:c>
      <x:c r="J841" s="40" t="n">
        <x:f>H841^2</x:f>
        <x:v>4.074122588318422</x:v>
      </x:c>
      <x:c r="K841" s="40" t="n">
        <x:f>G841-E841</x:f>
        <x:v>0</x:v>
      </x:c>
      <x:c r="L841" s="40" t="n">
        <x:f>ABS(K841)</x:f>
        <x:v>0</x:v>
      </x:c>
      <x:c r="M841" s="41" t="str">
        <x:v>lstm-soil-v1</x:v>
      </x:c>
    </x:row>
    <x:row r="842">
      <x:c r="A842" s="38" t="str">
        <x:v>7月30日现场数据</x:v>
      </x:c>
      <x:c r="B842" s="39" t="str">
        <x:v>2026-08-01T07:00:00</x:v>
      </x:c>
      <x:c r="C842" s="39" t="str">
        <x:v>2026-08-01T07:30:00</x:v>
      </x:c>
      <x:c r="D842" s="47" t="n">
        <x:v>30</x:v>
      </x:c>
      <x:c r="E842" s="40" t="n">
        <x:v>12.1</x:v>
      </x:c>
      <x:c r="F842" s="40" t="n">
        <x:v>10.591011047363281</x:v>
      </x:c>
      <x:c r="G842" s="40" t="n">
        <x:v>12.1</x:v>
      </x:c>
      <x:c r="H842" s="40" t="n">
        <x:f>F842-E842</x:f>
        <x:v>-1.5089889526367184</x:v>
      </x:c>
      <x:c r="I842" s="40" t="n">
        <x:f>ABS(H842)</x:f>
        <x:v>1.5089889526367184</x:v>
      </x:c>
      <x:c r="J842" s="40" t="n">
        <x:f>H842^2</x:f>
        <x:v>2.2770476591796602</x:v>
      </x:c>
      <x:c r="K842" s="40" t="n">
        <x:f>G842-E842</x:f>
        <x:v>0</x:v>
      </x:c>
      <x:c r="L842" s="40" t="n">
        <x:f>ABS(K842)</x:f>
        <x:v>0</x:v>
      </x:c>
      <x:c r="M842" s="41" t="str">
        <x:v>lstm-soil-v1</x:v>
      </x:c>
    </x:row>
    <x:row r="843">
      <x:c r="A843" s="38" t="str">
        <x:v>7月30日现场数据</x:v>
      </x:c>
      <x:c r="B843" s="39" t="str">
        <x:v>2026-08-01T07:00:00</x:v>
      </x:c>
      <x:c r="C843" s="39" t="str">
        <x:v>2026-08-01T08:00:00</x:v>
      </x:c>
      <x:c r="D843" s="47" t="n">
        <x:v>60</x:v>
      </x:c>
      <x:c r="E843" s="40" t="n">
        <x:v>12</x:v>
      </x:c>
      <x:c r="F843" s="40" t="n">
        <x:v>12.186203002929688</x:v>
      </x:c>
      <x:c r="G843" s="40" t="n">
        <x:v>12.1</x:v>
      </x:c>
      <x:c r="H843" s="40" t="n">
        <x:f>F843-E843</x:f>
        <x:v>0.1862030029296875</x:v>
      </x:c>
      <x:c r="I843" s="40" t="n">
        <x:f>ABS(H843)</x:f>
        <x:v>0.1862030029296875</x:v>
      </x:c>
      <x:c r="J843" s="40" t="n">
        <x:f>H843^2</x:f>
        <x:v>0.03467155830003321</x:v>
      </x:c>
      <x:c r="K843" s="40" t="n">
        <x:f>G843-E843</x:f>
        <x:v>0.09999999999999964</x:v>
      </x:c>
      <x:c r="L843" s="40" t="n">
        <x:f>ABS(K843)</x:f>
        <x:v>0.09999999999999964</x:v>
      </x:c>
      <x:c r="M843" s="41" t="str">
        <x:v>lstm-soil-v1</x:v>
      </x:c>
    </x:row>
    <x:row r="844">
      <x:c r="A844" s="38" t="str">
        <x:v>7月30日现场数据</x:v>
      </x:c>
      <x:c r="B844" s="39" t="str">
        <x:v>2026-08-01T07:05:00</x:v>
      </x:c>
      <x:c r="C844" s="39" t="str">
        <x:v>2026-08-01T07:10:00</x:v>
      </x:c>
      <x:c r="D844" s="47" t="n">
        <x:v>5</x:v>
      </x:c>
      <x:c r="E844" s="40" t="n">
        <x:v>12</x:v>
      </x:c>
      <x:c r="F844" s="40" t="n">
        <x:v>10.025615692138672</x:v>
      </x:c>
      <x:c r="G844" s="40" t="n">
        <x:v>12.1</x:v>
      </x:c>
      <x:c r="H844" s="40" t="n">
        <x:f>F844-E844</x:f>
        <x:v>-1.9743843078613281</x:v>
      </x:c>
      <x:c r="I844" s="40" t="n">
        <x:f>ABS(H844)</x:f>
        <x:v>1.9743843078613281</x:v>
      </x:c>
      <x:c r="J844" s="40" t="n">
        <x:f>H844^2</x:f>
        <x:v>3.8981933951290557</x:v>
      </x:c>
      <x:c r="K844" s="40" t="n">
        <x:f>G844-E844</x:f>
        <x:v>0.09999999999999964</x:v>
      </x:c>
      <x:c r="L844" s="40" t="n">
        <x:f>ABS(K844)</x:f>
        <x:v>0.09999999999999964</x:v>
      </x:c>
      <x:c r="M844" s="41" t="str">
        <x:v>lstm-soil-v1</x:v>
      </x:c>
    </x:row>
    <x:row r="845">
      <x:c r="A845" s="38" t="str">
        <x:v>7月30日现场数据</x:v>
      </x:c>
      <x:c r="B845" s="39" t="str">
        <x:v>2026-08-01T07:05:00</x:v>
      </x:c>
      <x:c r="C845" s="39" t="str">
        <x:v>2026-08-01T07:20:00</x:v>
      </x:c>
      <x:c r="D845" s="47" t="n">
        <x:v>15</x:v>
      </x:c>
      <x:c r="E845" s="40" t="n">
        <x:v>12.1</x:v>
      </x:c>
      <x:c r="F845" s="40" t="n">
        <x:v>10.082599639892578</x:v>
      </x:c>
      <x:c r="G845" s="40" t="n">
        <x:v>12.1</x:v>
      </x:c>
      <x:c r="H845" s="40" t="n">
        <x:f>F845-E845</x:f>
        <x:v>-2.0174003601074215</x:v>
      </x:c>
      <x:c r="I845" s="40" t="n">
        <x:f>ABS(H845)</x:f>
        <x:v>2.0174003601074215</x:v>
      </x:c>
      <x:c r="J845" s="40" t="n">
        <x:f>H845^2</x:f>
        <x:v>4.069904212961554</x:v>
      </x:c>
      <x:c r="K845" s="40" t="n">
        <x:f>G845-E845</x:f>
        <x:v>0</x:v>
      </x:c>
      <x:c r="L845" s="40" t="n">
        <x:f>ABS(K845)</x:f>
        <x:v>0</x:v>
      </x:c>
      <x:c r="M845" s="41" t="str">
        <x:v>lstm-soil-v1</x:v>
      </x:c>
    </x:row>
    <x:row r="846">
      <x:c r="A846" s="38" t="str">
        <x:v>7月30日现场数据</x:v>
      </x:c>
      <x:c r="B846" s="39" t="str">
        <x:v>2026-08-01T07:05:00</x:v>
      </x:c>
      <x:c r="C846" s="39" t="str">
        <x:v>2026-08-01T07:35:00</x:v>
      </x:c>
      <x:c r="D846" s="47" t="n">
        <x:v>30</x:v>
      </x:c>
      <x:c r="E846" s="40" t="n">
        <x:v>12.1</x:v>
      </x:c>
      <x:c r="F846" s="40" t="n">
        <x:v>10.591865539550781</x:v>
      </x:c>
      <x:c r="G846" s="40" t="n">
        <x:v>12.1</x:v>
      </x:c>
      <x:c r="H846" s="40" t="n">
        <x:f>F846-E846</x:f>
        <x:v>-1.5081344604492184</x:v>
      </x:c>
      <x:c r="I846" s="40" t="n">
        <x:f>ABS(H846)</x:f>
        <x:v>1.5081344604492184</x:v>
      </x:c>
      <x:c r="J846" s="40" t="n">
        <x:f>H846^2</x:f>
        <x:v>2.2744695507944552</x:v>
      </x:c>
      <x:c r="K846" s="40" t="n">
        <x:f>G846-E846</x:f>
        <x:v>0</x:v>
      </x:c>
      <x:c r="L846" s="40" t="n">
        <x:f>ABS(K846)</x:f>
        <x:v>0</x:v>
      </x:c>
      <x:c r="M846" s="41" t="str">
        <x:v>lstm-soil-v1</x:v>
      </x:c>
    </x:row>
    <x:row r="847">
      <x:c r="A847" s="38" t="str">
        <x:v>7月30日现场数据</x:v>
      </x:c>
      <x:c r="B847" s="39" t="str">
        <x:v>2026-08-01T07:05:00</x:v>
      </x:c>
      <x:c r="C847" s="39" t="str">
        <x:v>2026-08-01T08:05:00</x:v>
      </x:c>
      <x:c r="D847" s="47" t="n">
        <x:v>60</x:v>
      </x:c>
      <x:c r="E847" s="40" t="n">
        <x:v>12.1</x:v>
      </x:c>
      <x:c r="F847" s="40" t="n">
        <x:v>12.189605712890625</x:v>
      </x:c>
      <x:c r="G847" s="40" t="n">
        <x:v>12.1</x:v>
      </x:c>
      <x:c r="H847" s="40" t="n">
        <x:f>F847-E847</x:f>
        <x:v>0.08960571289062536</x:v>
      </x:c>
      <x:c r="I847" s="40" t="n">
        <x:f>ABS(H847)</x:f>
        <x:v>0.08960571289062536</x:v>
      </x:c>
      <x:c r="J847" s="40" t="n">
        <x:f>H847^2</x:f>
        <x:v>0.008029183782637183</x:v>
      </x:c>
      <x:c r="K847" s="40" t="n">
        <x:f>G847-E847</x:f>
        <x:v>0</x:v>
      </x:c>
      <x:c r="L847" s="40" t="n">
        <x:f>ABS(K847)</x:f>
        <x:v>0</x:v>
      </x:c>
      <x:c r="M847" s="41" t="str">
        <x:v>lstm-soil-v1</x:v>
      </x:c>
    </x:row>
    <x:row r="848">
      <x:c r="A848" s="38" t="str">
        <x:v>7月30日现场数据</x:v>
      </x:c>
      <x:c r="B848" s="39" t="str">
        <x:v>2026-08-01T07:10:00</x:v>
      </x:c>
      <x:c r="C848" s="39" t="str">
        <x:v>2026-08-01T07:15:00</x:v>
      </x:c>
      <x:c r="D848" s="47" t="n">
        <x:v>5</x:v>
      </x:c>
      <x:c r="E848" s="40" t="n">
        <x:v>12.1</x:v>
      </x:c>
      <x:c r="F848" s="40" t="n">
        <x:v>9.916038513183594</x:v>
      </x:c>
      <x:c r="G848" s="40" t="n">
        <x:v>12</x:v>
      </x:c>
      <x:c r="H848" s="40" t="n">
        <x:f>F848-E848</x:f>
        <x:v>-2.183961486816406</x:v>
      </x:c>
      <x:c r="I848" s="40" t="n">
        <x:f>ABS(H848)</x:f>
        <x:v>2.183961486816406</x:v>
      </x:c>
      <x:c r="J848" s="40" t="n">
        <x:f>H848^2</x:f>
        <x:v>4.769687775897326</x:v>
      </x:c>
      <x:c r="K848" s="40" t="n">
        <x:f>G848-E848</x:f>
        <x:v>-0.09999999999999964</x:v>
      </x:c>
      <x:c r="L848" s="40" t="n">
        <x:f>ABS(K848)</x:f>
        <x:v>0.09999999999999964</x:v>
      </x:c>
      <x:c r="M848" s="41" t="str">
        <x:v>lstm-soil-v1</x:v>
      </x:c>
    </x:row>
    <x:row r="849">
      <x:c r="A849" s="38" t="str">
        <x:v>7月30日现场数据</x:v>
      </x:c>
      <x:c r="B849" s="39" t="str">
        <x:v>2026-08-01T07:10:00</x:v>
      </x:c>
      <x:c r="C849" s="39" t="str">
        <x:v>2026-08-01T07:25:00</x:v>
      </x:c>
      <x:c r="D849" s="47" t="n">
        <x:v>15</x:v>
      </x:c>
      <x:c r="E849" s="40" t="n">
        <x:v>12</x:v>
      </x:c>
      <x:c r="F849" s="40" t="n">
        <x:v>9.97372817993164</x:v>
      </x:c>
      <x:c r="G849" s="40" t="n">
        <x:v>12</x:v>
      </x:c>
      <x:c r="H849" s="40" t="n">
        <x:f>F849-E849</x:f>
        <x:v>-2.0262718200683594</x:v>
      </x:c>
      <x:c r="I849" s="40" t="n">
        <x:f>ABS(H849)</x:f>
        <x:v>2.0262718200683594</x:v>
      </x:c>
      <x:c r="J849" s="40" t="n">
        <x:f>H849^2</x:f>
        <x:v>4.105777488803142</x:v>
      </x:c>
      <x:c r="K849" s="40" t="n">
        <x:f>G849-E849</x:f>
        <x:v>0</x:v>
      </x:c>
      <x:c r="L849" s="40" t="n">
        <x:f>ABS(K849)</x:f>
        <x:v>0</x:v>
      </x:c>
      <x:c r="M849" s="41" t="str">
        <x:v>lstm-soil-v1</x:v>
      </x:c>
    </x:row>
    <x:row r="850">
      <x:c r="A850" s="38" t="str">
        <x:v>7月30日现场数据</x:v>
      </x:c>
      <x:c r="B850" s="39" t="str">
        <x:v>2026-08-01T07:10:00</x:v>
      </x:c>
      <x:c r="C850" s="39" t="str">
        <x:v>2026-08-01T07:40:00</x:v>
      </x:c>
      <x:c r="D850" s="47" t="n">
        <x:v>30</x:v>
      </x:c>
      <x:c r="E850" s="40" t="n">
        <x:v>12</x:v>
      </x:c>
      <x:c r="F850" s="40" t="n">
        <x:v>10.482429504394531</x:v>
      </x:c>
      <x:c r="G850" s="40" t="n">
        <x:v>12</x:v>
      </x:c>
      <x:c r="H850" s="40" t="n">
        <x:f>F850-E850</x:f>
        <x:v>-1.5175704956054688</x:v>
      </x:c>
      <x:c r="I850" s="40" t="n">
        <x:f>ABS(H850)</x:f>
        <x:v>1.5175704956054688</x:v>
      </x:c>
      <x:c r="J850" s="40" t="n">
        <x:f>H850^2</x:f>
        <x:v>2.303020209132228</x:v>
      </x:c>
      <x:c r="K850" s="40" t="n">
        <x:f>G850-E850</x:f>
        <x:v>0</x:v>
      </x:c>
      <x:c r="L850" s="40" t="n">
        <x:f>ABS(K850)</x:f>
        <x:v>0</x:v>
      </x:c>
      <x:c r="M850" s="41" t="str">
        <x:v>lstm-soil-v1</x:v>
      </x:c>
    </x:row>
    <x:row r="851">
      <x:c r="A851" s="38" t="str">
        <x:v>7月30日现场数据</x:v>
      </x:c>
      <x:c r="B851" s="39" t="str">
        <x:v>2026-08-01T07:10:00</x:v>
      </x:c>
      <x:c r="C851" s="39" t="str">
        <x:v>2026-08-01T08:10:00</x:v>
      </x:c>
      <x:c r="D851" s="47" t="n">
        <x:v>60</x:v>
      </x:c>
      <x:c r="E851" s="40" t="n">
        <x:v>12</x:v>
      </x:c>
      <x:c r="F851" s="40" t="n">
        <x:v>12.082038879394531</x:v>
      </x:c>
      <x:c r="G851" s="40" t="n">
        <x:v>12</x:v>
      </x:c>
      <x:c r="H851" s="40" t="n">
        <x:f>F851-E851</x:f>
        <x:v>0.08203887939453125</x:v>
      </x:c>
      <x:c r="I851" s="40" t="n">
        <x:f>ABS(H851)</x:f>
        <x:v>0.08203887939453125</x:v>
      </x:c>
      <x:c r="J851" s="40" t="n">
        <x:f>H851^2</x:f>
        <x:v>0.006730377732310444</x:v>
      </x:c>
      <x:c r="K851" s="40" t="n">
        <x:f>G851-E851</x:f>
        <x:v>0</x:v>
      </x:c>
      <x:c r="L851" s="40" t="n">
        <x:f>ABS(K851)</x:f>
        <x:v>0</x:v>
      </x:c>
      <x:c r="M851" s="41" t="str">
        <x:v>lstm-soil-v1</x:v>
      </x:c>
    </x:row>
    <x:row r="852">
      <x:c r="A852" s="38" t="str">
        <x:v>7月30日现场数据</x:v>
      </x:c>
      <x:c r="B852" s="39" t="str">
        <x:v>2026-08-01T07:15:00</x:v>
      </x:c>
      <x:c r="C852" s="39" t="str">
        <x:v>2026-08-01T07:20:00</x:v>
      </x:c>
      <x:c r="D852" s="47" t="n">
        <x:v>5</x:v>
      </x:c>
      <x:c r="E852" s="40" t="n">
        <x:v>12.1</x:v>
      </x:c>
      <x:c r="F852" s="40" t="n">
        <x:v>10.02688217163086</x:v>
      </x:c>
      <x:c r="G852" s="40" t="n">
        <x:v>12.1</x:v>
      </x:c>
      <x:c r="H852" s="40" t="n">
        <x:f>F852-E852</x:f>
        <x:v>-2.0731178283691403</x:v>
      </x:c>
      <x:c r="I852" s="40" t="n">
        <x:f>ABS(H852)</x:f>
        <x:v>2.0731178283691403</x:v>
      </x:c>
      <x:c r="J852" s="40" t="n">
        <x:f>H852^2</x:f>
        <x:v>4.29781753030198</x:v>
      </x:c>
      <x:c r="K852" s="40" t="n">
        <x:f>G852-E852</x:f>
        <x:v>0</x:v>
      </x:c>
      <x:c r="L852" s="40" t="n">
        <x:f>ABS(K852)</x:f>
        <x:v>0</x:v>
      </x:c>
      <x:c r="M852" s="41" t="str">
        <x:v>lstm-soil-v1</x:v>
      </x:c>
    </x:row>
    <x:row r="853">
      <x:c r="A853" s="38" t="str">
        <x:v>7月30日现场数据</x:v>
      </x:c>
      <x:c r="B853" s="39" t="str">
        <x:v>2026-08-01T07:15:00</x:v>
      </x:c>
      <x:c r="C853" s="39" t="str">
        <x:v>2026-08-01T07:30:00</x:v>
      </x:c>
      <x:c r="D853" s="47" t="n">
        <x:v>15</x:v>
      </x:c>
      <x:c r="E853" s="40" t="n">
        <x:v>12.1</x:v>
      </x:c>
      <x:c r="F853" s="40" t="n">
        <x:v>10.085060119628906</x:v>
      </x:c>
      <x:c r="G853" s="40" t="n">
        <x:v>12.1</x:v>
      </x:c>
      <x:c r="H853" s="40" t="n">
        <x:f>F853-E853</x:f>
        <x:v>-2.0149398803710934</x:v>
      </x:c>
      <x:c r="I853" s="40" t="n">
        <x:f>ABS(H853)</x:f>
        <x:v>2.0149398803710934</x:v>
      </x:c>
      <x:c r="J853" s="40" t="n">
        <x:f>H853^2</x:f>
        <x:v>4.0599827215098765</x:v>
      </x:c>
      <x:c r="K853" s="40" t="n">
        <x:f>G853-E853</x:f>
        <x:v>0</x:v>
      </x:c>
      <x:c r="L853" s="40" t="n">
        <x:f>ABS(K853)</x:f>
        <x:v>0</x:v>
      </x:c>
      <x:c r="M853" s="41" t="str">
        <x:v>lstm-soil-v1</x:v>
      </x:c>
    </x:row>
    <x:row r="854">
      <x:c r="A854" s="38" t="str">
        <x:v>7月30日现场数据</x:v>
      </x:c>
      <x:c r="B854" s="39" t="str">
        <x:v>2026-08-01T07:15:00</x:v>
      </x:c>
      <x:c r="C854" s="39" t="str">
        <x:v>2026-08-01T07:45:00</x:v>
      </x:c>
      <x:c r="D854" s="47" t="n">
        <x:v>30</x:v>
      </x:c>
      <x:c r="E854" s="40" t="n">
        <x:v>12.1</x:v>
      </x:c>
      <x:c r="F854" s="40" t="n">
        <x:v>10.59323501586914</x:v>
      </x:c>
      <x:c r="G854" s="40" t="n">
        <x:v>12.1</x:v>
      </x:c>
      <x:c r="H854" s="40" t="n">
        <x:f>F854-E854</x:f>
        <x:v>-1.506764984130859</x:v>
      </x:c>
      <x:c r="I854" s="40" t="n">
        <x:f>ABS(H854)</x:f>
        <x:v>1.506764984130859</x:v>
      </x:c>
      <x:c r="J854" s="40" t="n">
        <x:f>H854^2</x:f>
        <x:v>2.270340717402868</x:v>
      </x:c>
      <x:c r="K854" s="40" t="n">
        <x:f>G854-E854</x:f>
        <x:v>0</x:v>
      </x:c>
      <x:c r="L854" s="40" t="n">
        <x:f>ABS(K854)</x:f>
        <x:v>0</x:v>
      </x:c>
      <x:c r="M854" s="41" t="str">
        <x:v>lstm-soil-v1</x:v>
      </x:c>
    </x:row>
    <x:row r="855">
      <x:c r="A855" s="38" t="str">
        <x:v>7月30日现场数据</x:v>
      </x:c>
      <x:c r="B855" s="39" t="str">
        <x:v>2026-08-01T07:15:00</x:v>
      </x:c>
      <x:c r="C855" s="39" t="str">
        <x:v>2026-08-01T08:15:00</x:v>
      </x:c>
      <x:c r="D855" s="47" t="n">
        <x:v>60</x:v>
      </x:c>
      <x:c r="E855" s="40" t="n">
        <x:v>12.1</x:v>
      </x:c>
      <x:c r="F855" s="40" t="n">
        <x:v>12.194141387939453</x:v>
      </x:c>
      <x:c r="G855" s="40" t="n">
        <x:v>12.1</x:v>
      </x:c>
      <x:c r="H855" s="40" t="n">
        <x:f>F855-E855</x:f>
        <x:v>0.09414138793945348</x:v>
      </x:c>
      <x:c r="I855" s="40" t="n">
        <x:f>ABS(H855)</x:f>
        <x:v>0.09414138793945348</x:v>
      </x:c>
      <x:c r="J855" s="40" t="n">
        <x:f>H855^2</x:f>
        <x:v>0.008862600923166677</x:v>
      </x:c>
      <x:c r="K855" s="40" t="n">
        <x:f>G855-E855</x:f>
        <x:v>0</x:v>
      </x:c>
      <x:c r="L855" s="40" t="n">
        <x:f>ABS(K855)</x:f>
        <x:v>0</x:v>
      </x:c>
      <x:c r="M855" s="41" t="str">
        <x:v>lstm-soil-v1</x:v>
      </x:c>
    </x:row>
    <x:row r="856">
      <x:c r="A856" s="38" t="str">
        <x:v>7月30日现场数据</x:v>
      </x:c>
      <x:c r="B856" s="39" t="str">
        <x:v>2026-08-01T07:20:00</x:v>
      </x:c>
      <x:c r="C856" s="39" t="str">
        <x:v>2026-08-01T07:25:00</x:v>
      </x:c>
      <x:c r="D856" s="47" t="n">
        <x:v>5</x:v>
      </x:c>
      <x:c r="E856" s="40" t="n">
        <x:v>12</x:v>
      </x:c>
      <x:c r="F856" s="40" t="n">
        <x:v>10.02767562866211</x:v>
      </x:c>
      <x:c r="G856" s="40" t="n">
        <x:v>12.1</x:v>
      </x:c>
      <x:c r="H856" s="40" t="n">
        <x:f>F856-E856</x:f>
        <x:v>-1.9723243713378906</x:v>
      </x:c>
      <x:c r="I856" s="40" t="n">
        <x:f>ABS(H856)</x:f>
        <x:v>1.9723243713378906</x:v>
      </x:c>
      <x:c r="J856" s="40" t="n">
        <x:f>H856^2</x:f>
        <x:v>3.8900634257734055</x:v>
      </x:c>
      <x:c r="K856" s="40" t="n">
        <x:f>G856-E856</x:f>
        <x:v>0.09999999999999964</x:v>
      </x:c>
      <x:c r="L856" s="40" t="n">
        <x:f>ABS(K856)</x:f>
        <x:v>0.09999999999999964</x:v>
      </x:c>
      <x:c r="M856" s="41" t="str">
        <x:v>lstm-soil-v1</x:v>
      </x:c>
    </x:row>
    <x:row r="857">
      <x:c r="A857" s="38" t="str">
        <x:v>7月30日现场数据</x:v>
      </x:c>
      <x:c r="B857" s="39" t="str">
        <x:v>2026-08-01T07:20:00</x:v>
      </x:c>
      <x:c r="C857" s="39" t="str">
        <x:v>2026-08-01T07:35:00</x:v>
      </x:c>
      <x:c r="D857" s="47" t="n">
        <x:v>15</x:v>
      </x:c>
      <x:c r="E857" s="40" t="n">
        <x:v>12.1</x:v>
      </x:c>
      <x:c r="F857" s="40" t="n">
        <x:v>10.08615493774414</x:v>
      </x:c>
      <x:c r="G857" s="40" t="n">
        <x:v>12.1</x:v>
      </x:c>
      <x:c r="H857" s="40" t="n">
        <x:f>F857-E857</x:f>
        <x:v>-2.013845062255859</x:v>
      </x:c>
      <x:c r="I857" s="40" t="n">
        <x:f>ABS(H857)</x:f>
        <x:v>2.013845062255859</x:v>
      </x:c>
      <x:c r="J857" s="40" t="n">
        <x:f>H857^2</x:f>
        <x:v>4.0555719347723045</x:v>
      </x:c>
      <x:c r="K857" s="40" t="n">
        <x:f>G857-E857</x:f>
        <x:v>0</x:v>
      </x:c>
      <x:c r="L857" s="40" t="n">
        <x:f>ABS(K857)</x:f>
        <x:v>0</x:v>
      </x:c>
      <x:c r="M857" s="41" t="str">
        <x:v>lstm-soil-v1</x:v>
      </x:c>
    </x:row>
    <x:row r="858">
      <x:c r="A858" s="38" t="str">
        <x:v>7月30日现场数据</x:v>
      </x:c>
      <x:c r="B858" s="39" t="str">
        <x:v>2026-08-01T07:20:00</x:v>
      </x:c>
      <x:c r="C858" s="39" t="str">
        <x:v>2026-08-01T07:50:00</x:v>
      </x:c>
      <x:c r="D858" s="47" t="n">
        <x:v>30</x:v>
      </x:c>
      <x:c r="E858" s="40" t="n">
        <x:v>12.1</x:v>
      </x:c>
      <x:c r="F858" s="40" t="n">
        <x:v>10.5938720703125</x:v>
      </x:c>
      <x:c r="G858" s="40" t="n">
        <x:v>12.1</x:v>
      </x:c>
      <x:c r="H858" s="40" t="n">
        <x:f>F858-E858</x:f>
        <x:v>-1.5061279296874996</x:v>
      </x:c>
      <x:c r="I858" s="40" t="n">
        <x:f>ABS(H858)</x:f>
        <x:v>1.5061279296874996</x:v>
      </x:c>
      <x:c r="J858" s="40" t="n">
        <x:f>H858^2</x:f>
        <x:v>2.2684213405847538</x:v>
      </x:c>
      <x:c r="K858" s="40" t="n">
        <x:f>G858-E858</x:f>
        <x:v>0</x:v>
      </x:c>
      <x:c r="L858" s="40" t="n">
        <x:f>ABS(K858)</x:f>
        <x:v>0</x:v>
      </x:c>
      <x:c r="M858" s="41" t="str">
        <x:v>lstm-soil-v1</x:v>
      </x:c>
    </x:row>
    <x:row r="859">
      <x:c r="A859" s="38" t="str">
        <x:v>7月30日现场数据</x:v>
      </x:c>
      <x:c r="B859" s="39" t="str">
        <x:v>2026-08-01T07:20:00</x:v>
      </x:c>
      <x:c r="C859" s="39" t="str">
        <x:v>2026-08-01T08:20:00</x:v>
      </x:c>
      <x:c r="D859" s="47" t="n">
        <x:v>60</x:v>
      </x:c>
      <x:c r="E859" s="40" t="n">
        <x:v>12.1</x:v>
      </x:c>
      <x:c r="F859" s="40" t="n">
        <x:v>12.195606231689453</x:v>
      </x:c>
      <x:c r="G859" s="40" t="n">
        <x:v>12.1</x:v>
      </x:c>
      <x:c r="H859" s="40" t="n">
        <x:f>F859-E859</x:f>
        <x:v>0.09560623168945348</x:v>
      </x:c>
      <x:c r="I859" s="40" t="n">
        <x:f>ABS(H859)</x:f>
        <x:v>0.09560623168945348</x:v>
      </x:c>
      <x:c r="J859" s="40" t="n">
        <x:f>H859^2</x:f>
        <x:v>0.009140551537857458</x:v>
      </x:c>
      <x:c r="K859" s="40" t="n">
        <x:f>G859-E859</x:f>
        <x:v>0</x:v>
      </x:c>
      <x:c r="L859" s="40" t="n">
        <x:f>ABS(K859)</x:f>
        <x:v>0</x:v>
      </x:c>
      <x:c r="M859" s="41" t="str">
        <x:v>lstm-soil-v1</x:v>
      </x:c>
    </x:row>
    <x:row r="860">
      <x:c r="A860" s="38" t="str">
        <x:v>7月30日现场数据</x:v>
      </x:c>
      <x:c r="B860" s="39" t="str">
        <x:v>2026-08-01T07:25:00</x:v>
      </x:c>
      <x:c r="C860" s="39" t="str">
        <x:v>2026-08-01T07:30:00</x:v>
      </x:c>
      <x:c r="D860" s="47" t="n">
        <x:v>5</x:v>
      </x:c>
      <x:c r="E860" s="40" t="n">
        <x:v>12.1</x:v>
      </x:c>
      <x:c r="F860" s="40" t="n">
        <x:v>9.917987823486328</x:v>
      </x:c>
      <x:c r="G860" s="40" t="n">
        <x:v>12</x:v>
      </x:c>
      <x:c r="H860" s="40" t="n">
        <x:f>F860-E860</x:f>
        <x:v>-2.1820121765136715</x:v>
      </x:c>
      <x:c r="I860" s="40" t="n">
        <x:f>ABS(H860)</x:f>
        <x:v>2.1820121765136715</x:v>
      </x:c>
      <x:c r="J860" s="40" t="n">
        <x:f>H860^2</x:f>
        <x:v>4.76117713845393</x:v>
      </x:c>
      <x:c r="K860" s="40" t="n">
        <x:f>G860-E860</x:f>
        <x:v>-0.09999999999999964</x:v>
      </x:c>
      <x:c r="L860" s="40" t="n">
        <x:f>ABS(K860)</x:f>
        <x:v>0.09999999999999964</x:v>
      </x:c>
      <x:c r="M860" s="41" t="str">
        <x:v>lstm-soil-v1</x:v>
      </x:c>
    </x:row>
    <x:row r="861">
      <x:c r="A861" s="38" t="str">
        <x:v>7月30日现场数据</x:v>
      </x:c>
      <x:c r="B861" s="39" t="str">
        <x:v>2026-08-01T07:25:00</x:v>
      </x:c>
      <x:c r="C861" s="39" t="str">
        <x:v>2026-08-01T07:40:00</x:v>
      </x:c>
      <x:c r="D861" s="47" t="n">
        <x:v>15</x:v>
      </x:c>
      <x:c r="E861" s="40" t="n">
        <x:v>12</x:v>
      </x:c>
      <x:c r="F861" s="40" t="n">
        <x:v>9.976806640625</x:v>
      </x:c>
      <x:c r="G861" s="40" t="n">
        <x:v>12</x:v>
      </x:c>
      <x:c r="H861" s="40" t="n">
        <x:f>F861-E861</x:f>
        <x:v>-2.023193359375</x:v>
      </x:c>
      <x:c r="I861" s="40" t="n">
        <x:f>ABS(H861)</x:f>
        <x:v>2.023193359375</x:v>
      </x:c>
      <x:c r="J861" s="40" t="n">
        <x:f>H861^2</x:f>
        <x:v>4.093311369419098</x:v>
      </x:c>
      <x:c r="K861" s="40" t="n">
        <x:f>G861-E861</x:f>
        <x:v>0</x:v>
      </x:c>
      <x:c r="L861" s="40" t="n">
        <x:f>ABS(K861)</x:f>
        <x:v>0</x:v>
      </x:c>
      <x:c r="M861" s="41" t="str">
        <x:v>lstm-soil-v1</x:v>
      </x:c>
    </x:row>
    <x:row r="862">
      <x:c r="A862" s="38" t="str">
        <x:v>7月30日现场数据</x:v>
      </x:c>
      <x:c r="B862" s="39" t="str">
        <x:v>2026-08-01T07:25:00</x:v>
      </x:c>
      <x:c r="C862" s="39" t="str">
        <x:v>2026-08-01T07:55:00</x:v>
      </x:c>
      <x:c r="D862" s="47" t="n">
        <x:v>30</x:v>
      </x:c>
      <x:c r="E862" s="40" t="n">
        <x:v>12.1</x:v>
      </x:c>
      <x:c r="F862" s="40" t="n">
        <x:v>10.484092712402344</x:v>
      </x:c>
      <x:c r="G862" s="40" t="n">
        <x:v>12</x:v>
      </x:c>
      <x:c r="H862" s="40" t="n">
        <x:f>F862-E862</x:f>
        <x:v>-1.615907287597656</x:v>
      </x:c>
      <x:c r="I862" s="40" t="n">
        <x:f>ABS(H862)</x:f>
        <x:v>1.615907287597656</x:v>
      </x:c>
      <x:c r="J862" s="40" t="n">
        <x:f>H862^2</x:f>
        <x:v>2.6111563621112133</x:v>
      </x:c>
      <x:c r="K862" s="40" t="n">
        <x:f>G862-E862</x:f>
        <x:v>-0.09999999999999964</x:v>
      </x:c>
      <x:c r="L862" s="40" t="n">
        <x:f>ABS(K862)</x:f>
        <x:v>0.09999999999999964</x:v>
      </x:c>
      <x:c r="M862" s="41" t="str">
        <x:v>lstm-soil-v1</x:v>
      </x:c>
    </x:row>
    <x:row r="863">
      <x:c r="A863" s="38" t="str">
        <x:v>7月30日现场数据</x:v>
      </x:c>
      <x:c r="B863" s="39" t="str">
        <x:v>2026-08-01T07:25:00</x:v>
      </x:c>
      <x:c r="C863" s="39" t="str">
        <x:v>2026-08-01T08:25:00</x:v>
      </x:c>
      <x:c r="D863" s="47" t="n">
        <x:v>60</x:v>
      </x:c>
      <x:c r="E863" s="40" t="n">
        <x:v>12.1</x:v>
      </x:c>
      <x:c r="F863" s="40" t="n">
        <x:v>12.086196899414062</x:v>
      </x:c>
      <x:c r="G863" s="40" t="n">
        <x:v>12</x:v>
      </x:c>
      <x:c r="H863" s="40" t="n">
        <x:f>F863-E863</x:f>
        <x:v>-0.013803100585937145</x:v>
      </x:c>
      <x:c r="I863" s="40" t="n">
        <x:f>ABS(H863)</x:f>
        <x:v>0.013803100585937145</x:v>
      </x:c>
      <x:c r="J863" s="40" t="n">
        <x:f>H863^2</x:f>
        <x:v>0.00019052558578549835</x:v>
      </x:c>
      <x:c r="K863" s="40" t="n">
        <x:f>G863-E863</x:f>
        <x:v>-0.09999999999999964</x:v>
      </x:c>
      <x:c r="L863" s="40" t="n">
        <x:f>ABS(K863)</x:f>
        <x:v>0.09999999999999964</x:v>
      </x:c>
      <x:c r="M863" s="41" t="str">
        <x:v>lstm-soil-v1</x:v>
      </x:c>
    </x:row>
    <x:row r="864">
      <x:c r="A864" s="38" t="str">
        <x:v>7月30日现场数据</x:v>
      </x:c>
      <x:c r="B864" s="39" t="str">
        <x:v>2026-08-01T07:30:00</x:v>
      </x:c>
      <x:c r="C864" s="39" t="str">
        <x:v>2026-08-01T07:35:00</x:v>
      </x:c>
      <x:c r="D864" s="47" t="n">
        <x:v>5</x:v>
      </x:c>
      <x:c r="E864" s="40" t="n">
        <x:v>12.1</x:v>
      </x:c>
      <x:c r="F864" s="40" t="n">
        <x:v>10.028526306152344</x:v>
      </x:c>
      <x:c r="G864" s="40" t="n">
        <x:v>12.1</x:v>
      </x:c>
      <x:c r="H864" s="40" t="n">
        <x:f>F864-E864</x:f>
        <x:v>-2.071473693847656</x:v>
      </x:c>
      <x:c r="I864" s="40" t="n">
        <x:f>ABS(H864)</x:f>
        <x:v>2.071473693847656</x:v>
      </x:c>
      <x:c r="J864" s="40" t="n">
        <x:f>H864^2</x:f>
        <x:v>4.291003264302852</x:v>
      </x:c>
      <x:c r="K864" s="40" t="n">
        <x:f>G864-E864</x:f>
        <x:v>0</x:v>
      </x:c>
      <x:c r="L864" s="40" t="n">
        <x:f>ABS(K864)</x:f>
        <x:v>0</x:v>
      </x:c>
      <x:c r="M864" s="41" t="str">
        <x:v>lstm-soil-v1</x:v>
      </x:c>
    </x:row>
    <x:row r="865">
      <x:c r="A865" s="38" t="str">
        <x:v>7月30日现场数据</x:v>
      </x:c>
      <x:c r="B865" s="39" t="str">
        <x:v>2026-08-01T07:30:00</x:v>
      </x:c>
      <x:c r="C865" s="39" t="str">
        <x:v>2026-08-01T07:45:00</x:v>
      </x:c>
      <x:c r="D865" s="47" t="n">
        <x:v>15</x:v>
      </x:c>
      <x:c r="E865" s="40" t="n">
        <x:v>12.1</x:v>
      </x:c>
      <x:c r="F865" s="40" t="n">
        <x:v>10.087482452392578</x:v>
      </x:c>
      <x:c r="G865" s="40" t="n">
        <x:v>12.1</x:v>
      </x:c>
      <x:c r="H865" s="40" t="n">
        <x:f>F865-E865</x:f>
        <x:v>-2.0125175476074215</x:v>
      </x:c>
      <x:c r="I865" s="40" t="n">
        <x:f>ABS(H865)</x:f>
        <x:v>2.0125175476074215</x:v>
      </x:c>
      <x:c r="J865" s="40" t="n">
        <x:f>H865^2</x:f>
        <x:v>4.0502268794277905</x:v>
      </x:c>
      <x:c r="K865" s="40" t="n">
        <x:f>G865-E865</x:f>
        <x:v>0</x:v>
      </x:c>
      <x:c r="L865" s="40" t="n">
        <x:f>ABS(K865)</x:f>
        <x:v>0</x:v>
      </x:c>
      <x:c r="M865" s="41" t="str">
        <x:v>lstm-soil-v1</x:v>
      </x:c>
    </x:row>
    <x:row r="866">
      <x:c r="A866" s="38" t="str">
        <x:v>7月30日现场数据</x:v>
      </x:c>
      <x:c r="B866" s="39" t="str">
        <x:v>2026-08-01T07:30:00</x:v>
      </x:c>
      <x:c r="C866" s="39" t="str">
        <x:v>2026-08-01T08:00:00</x:v>
      </x:c>
      <x:c r="D866" s="47" t="n">
        <x:v>30</x:v>
      </x:c>
      <x:c r="E866" s="40" t="n">
        <x:v>12</x:v>
      </x:c>
      <x:c r="F866" s="40" t="n">
        <x:v>10.594589233398438</x:v>
      </x:c>
      <x:c r="G866" s="40" t="n">
        <x:v>12.1</x:v>
      </x:c>
      <x:c r="H866" s="40" t="n">
        <x:f>F866-E866</x:f>
        <x:v>-1.4054107666015625</x:v>
      </x:c>
      <x:c r="I866" s="40" t="n">
        <x:f>ABS(H866)</x:f>
        <x:v>1.4054107666015625</x:v>
      </x:c>
      <x:c r="J866" s="40" t="n">
        <x:f>H866^2</x:f>
        <x:v>1.9751794228795916</x:v>
      </x:c>
      <x:c r="K866" s="40" t="n">
        <x:f>G866-E866</x:f>
        <x:v>0.09999999999999964</x:v>
      </x:c>
      <x:c r="L866" s="40" t="n">
        <x:f>ABS(K866)</x:f>
        <x:v>0.09999999999999964</x:v>
      </x:c>
      <x:c r="M866" s="41" t="str">
        <x:v>lstm-soil-v1</x:v>
      </x:c>
    </x:row>
    <x:row r="867">
      <x:c r="A867" s="38" t="str">
        <x:v>7月30日现场数据</x:v>
      </x:c>
      <x:c r="B867" s="39" t="str">
        <x:v>2026-08-01T07:30:00</x:v>
      </x:c>
      <x:c r="C867" s="39" t="str">
        <x:v>2026-08-01T08:30:00</x:v>
      </x:c>
      <x:c r="D867" s="47" t="n">
        <x:v>60</x:v>
      </x:c>
      <x:c r="E867" s="40" t="n">
        <x:v>12.1</x:v>
      </x:c>
      <x:c r="F867" s="40" t="n">
        <x:v>12.196975708007812</x:v>
      </x:c>
      <x:c r="G867" s="40" t="n">
        <x:v>12.1</x:v>
      </x:c>
      <x:c r="H867" s="40" t="n">
        <x:f>F867-E867</x:f>
        <x:v>0.09697570800781286</x:v>
      </x:c>
      <x:c r="I867" s="40" t="n">
        <x:f>ABS(H867)</x:f>
        <x:v>0.09697570800781286</x:v>
      </x:c>
      <x:c r="J867" s="40" t="n">
        <x:f>H867^2</x:f>
        <x:v>0.009404287943616578</x:v>
      </x:c>
      <x:c r="K867" s="40" t="n">
        <x:f>G867-E867</x:f>
        <x:v>0</x:v>
      </x:c>
      <x:c r="L867" s="40" t="n">
        <x:f>ABS(K867)</x:f>
        <x:v>0</x:v>
      </x:c>
      <x:c r="M867" s="41" t="str">
        <x:v>lstm-soil-v1</x:v>
      </x:c>
    </x:row>
    <x:row r="868">
      <x:c r="A868" s="38" t="str">
        <x:v>7月30日现场数据</x:v>
      </x:c>
      <x:c r="B868" s="39" t="str">
        <x:v>2026-08-01T07:35:00</x:v>
      </x:c>
      <x:c r="C868" s="39" t="str">
        <x:v>2026-08-01T07:40:00</x:v>
      </x:c>
      <x:c r="D868" s="47" t="n">
        <x:v>5</x:v>
      </x:c>
      <x:c r="E868" s="40" t="n">
        <x:v>12</x:v>
      </x:c>
      <x:c r="F868" s="40" t="n">
        <x:v>10.029041290283203</x:v>
      </x:c>
      <x:c r="G868" s="40" t="n">
        <x:v>12.1</x:v>
      </x:c>
      <x:c r="H868" s="40" t="n">
        <x:f>F868-E868</x:f>
        <x:v>-1.9709587097167969</x:v>
      </x:c>
      <x:c r="I868" s="40" t="n">
        <x:f>ABS(H868)</x:f>
        <x:v>1.9709587097167969</x:v>
      </x:c>
      <x:c r="J868" s="40" t="n">
        <x:f>H868^2</x:f>
        <x:v>3.8846782354085008</x:v>
      </x:c>
      <x:c r="K868" s="40" t="n">
        <x:f>G868-E868</x:f>
        <x:v>0.09999999999999964</x:v>
      </x:c>
      <x:c r="L868" s="40" t="n">
        <x:f>ABS(K868)</x:f>
        <x:v>0.09999999999999964</x:v>
      </x:c>
      <x:c r="M868" s="41" t="str">
        <x:v>lstm-soil-v1</x:v>
      </x:c>
    </x:row>
    <x:row r="869">
      <x:c r="A869" s="38" t="str">
        <x:v>7月30日现场数据</x:v>
      </x:c>
      <x:c r="B869" s="39" t="str">
        <x:v>2026-08-01T07:35:00</x:v>
      </x:c>
      <x:c r="C869" s="39" t="str">
        <x:v>2026-08-01T07:50:00</x:v>
      </x:c>
      <x:c r="D869" s="47" t="n">
        <x:v>15</x:v>
      </x:c>
      <x:c r="E869" s="40" t="n">
        <x:v>12.1</x:v>
      </x:c>
      <x:c r="F869" s="40" t="n">
        <x:v>10.087955474853516</x:v>
      </x:c>
      <x:c r="G869" s="40" t="n">
        <x:v>12.1</x:v>
      </x:c>
      <x:c r="H869" s="40" t="n">
        <x:f>F869-E869</x:f>
        <x:v>-2.012044525146484</x:v>
      </x:c>
      <x:c r="I869" s="40" t="n">
        <x:f>ABS(H869)</x:f>
        <x:v>2.012044525146484</x:v>
      </x:c>
      <x:c r="J869" s="40" t="n">
        <x:f>H869^2</x:f>
        <x:v>4.0483231711719405</x:v>
      </x:c>
      <x:c r="K869" s="40" t="n">
        <x:f>G869-E869</x:f>
        <x:v>0</x:v>
      </x:c>
      <x:c r="L869" s="40" t="n">
        <x:f>ABS(K869)</x:f>
        <x:v>0</x:v>
      </x:c>
      <x:c r="M869" s="41" t="str">
        <x:v>lstm-soil-v1</x:v>
      </x:c>
    </x:row>
    <x:row r="870">
      <x:c r="A870" s="38" t="str">
        <x:v>7月30日现场数据</x:v>
      </x:c>
      <x:c r="B870" s="39" t="str">
        <x:v>2026-08-01T07:35:00</x:v>
      </x:c>
      <x:c r="C870" s="39" t="str">
        <x:v>2026-08-01T08:05:00</x:v>
      </x:c>
      <x:c r="D870" s="47" t="n">
        <x:v>30</x:v>
      </x:c>
      <x:c r="E870" s="40" t="n">
        <x:v>12.1</x:v>
      </x:c>
      <x:c r="F870" s="40" t="n">
        <x:v>10.595157623291016</x:v>
      </x:c>
      <x:c r="G870" s="40" t="n">
        <x:v>12.1</x:v>
      </x:c>
      <x:c r="H870" s="40" t="n">
        <x:f>F870-E870</x:f>
        <x:v>-1.504842376708984</x:v>
      </x:c>
      <x:c r="I870" s="40" t="n">
        <x:f>ABS(H870)</x:f>
        <x:v>1.504842376708984</x:v>
      </x:c>
      <x:c r="J870" s="40" t="n">
        <x:f>H870^2</x:f>
        <x:v>2.2645505787391436</x:v>
      </x:c>
      <x:c r="K870" s="40" t="n">
        <x:f>G870-E870</x:f>
        <x:v>0</x:v>
      </x:c>
      <x:c r="L870" s="40" t="n">
        <x:f>ABS(K870)</x:f>
        <x:v>0</x:v>
      </x:c>
      <x:c r="M870" s="41" t="str">
        <x:v>lstm-soil-v1</x:v>
      </x:c>
    </x:row>
    <x:row r="871">
      <x:c r="A871" s="38" t="str">
        <x:v>7月30日现场数据</x:v>
      </x:c>
      <x:c r="B871" s="39" t="str">
        <x:v>2026-08-01T07:35:00</x:v>
      </x:c>
      <x:c r="C871" s="39" t="str">
        <x:v>2026-08-01T08:35:00</x:v>
      </x:c>
      <x:c r="D871" s="47" t="n">
        <x:v>60</x:v>
      </x:c>
      <x:c r="E871" s="40" t="n">
        <x:v>12.1</x:v>
      </x:c>
      <x:c r="F871" s="40" t="n">
        <x:v>12.19772720336914</x:v>
      </x:c>
      <x:c r="G871" s="40" t="n">
        <x:v>12.1</x:v>
      </x:c>
      <x:c r="H871" s="40" t="n">
        <x:f>F871-E871</x:f>
        <x:v>0.09772720336914098</x:v>
      </x:c>
      <x:c r="I871" s="40" t="n">
        <x:f>ABS(H871)</x:f>
        <x:v>0.09772720336914098</x:v>
      </x:c>
      <x:c r="J871" s="40" t="n">
        <x:f>H871^2</x:f>
        <x:v>0.00955060627835344</x:v>
      </x:c>
      <x:c r="K871" s="40" t="n">
        <x:f>G871-E871</x:f>
        <x:v>0</x:v>
      </x:c>
      <x:c r="L871" s="40" t="n">
        <x:f>ABS(K871)</x:f>
        <x:v>0</x:v>
      </x:c>
      <x:c r="M871" s="41" t="str">
        <x:v>lstm-soil-v1</x:v>
      </x:c>
    </x:row>
    <x:row r="872">
      <x:c r="A872" s="38" t="str">
        <x:v>7月30日现场数据</x:v>
      </x:c>
      <x:c r="B872" s="39" t="str">
        <x:v>2026-08-01T07:40:00</x:v>
      </x:c>
      <x:c r="C872" s="39" t="str">
        <x:v>2026-08-01T07:45:00</x:v>
      </x:c>
      <x:c r="D872" s="47" t="n">
        <x:v>5</x:v>
      </x:c>
      <x:c r="E872" s="40" t="n">
        <x:v>12.1</x:v>
      </x:c>
      <x:c r="F872" s="40" t="n">
        <x:v>9.919174194335938</x:v>
      </x:c>
      <x:c r="G872" s="40" t="n">
        <x:v>12</x:v>
      </x:c>
      <x:c r="H872" s="40" t="n">
        <x:f>F872-E872</x:f>
        <x:v>-2.180825805664062</x:v>
      </x:c>
      <x:c r="I872" s="40" t="n">
        <x:f>ABS(H872)</x:f>
        <x:v>2.180825805664062</x:v>
      </x:c>
      <x:c r="J872" s="40" t="n">
        <x:f>H872^2</x:f>
        <x:v>4.756001194650306</x:v>
      </x:c>
      <x:c r="K872" s="40" t="n">
        <x:f>G872-E872</x:f>
        <x:v>-0.09999999999999964</x:v>
      </x:c>
      <x:c r="L872" s="40" t="n">
        <x:f>ABS(K872)</x:f>
        <x:v>0.09999999999999964</x:v>
      </x:c>
      <x:c r="M872" s="41" t="str">
        <x:v>lstm-soil-v1</x:v>
      </x:c>
    </x:row>
    <x:row r="873">
      <x:c r="A873" s="38" t="str">
        <x:v>7月30日现场数据</x:v>
      </x:c>
      <x:c r="B873" s="39" t="str">
        <x:v>2026-08-01T07:40:00</x:v>
      </x:c>
      <x:c r="C873" s="39" t="str">
        <x:v>2026-08-01T07:55:00</x:v>
      </x:c>
      <x:c r="D873" s="47" t="n">
        <x:v>15</x:v>
      </x:c>
      <x:c r="E873" s="40" t="n">
        <x:v>12.1</x:v>
      </x:c>
      <x:c r="F873" s="40" t="n">
        <x:v>9.978023529052734</x:v>
      </x:c>
      <x:c r="G873" s="40" t="n">
        <x:v>12</x:v>
      </x:c>
      <x:c r="H873" s="40" t="n">
        <x:f>F873-E873</x:f>
        <x:v>-2.1219764709472653</x:v>
      </x:c>
      <x:c r="I873" s="40" t="n">
        <x:f>ABS(H873)</x:f>
        <x:v>2.1219764709472653</x:v>
      </x:c>
      <x:c r="J873" s="40" t="n">
        <x:f>H873^2</x:f>
        <x:v>4.50278414325381</x:v>
      </x:c>
      <x:c r="K873" s="40" t="n">
        <x:f>G873-E873</x:f>
        <x:v>-0.09999999999999964</x:v>
      </x:c>
      <x:c r="L873" s="40" t="n">
        <x:f>ABS(K873)</x:f>
        <x:v>0.09999999999999964</x:v>
      </x:c>
      <x:c r="M873" s="41" t="str">
        <x:v>lstm-soil-v1</x:v>
      </x:c>
    </x:row>
    <x:row r="874">
      <x:c r="A874" s="38" t="str">
        <x:v>7月30日现场数据</x:v>
      </x:c>
      <x:c r="B874" s="39" t="str">
        <x:v>2026-08-01T07:40:00</x:v>
      </x:c>
      <x:c r="C874" s="39" t="str">
        <x:v>2026-08-01T08:10:00</x:v>
      </x:c>
      <x:c r="D874" s="47" t="n">
        <x:v>30</x:v>
      </x:c>
      <x:c r="E874" s="40" t="n">
        <x:v>12</x:v>
      </x:c>
      <x:c r="F874" s="40" t="n">
        <x:v>10.485420227050781</x:v>
      </x:c>
      <x:c r="G874" s="40" t="n">
        <x:v>12</x:v>
      </x:c>
      <x:c r="H874" s="40" t="n">
        <x:f>F874-E874</x:f>
        <x:v>-1.5145797729492188</x:v>
      </x:c>
      <x:c r="I874" s="40" t="n">
        <x:f>ABS(H874)</x:f>
        <x:v>1.5145797729492188</x:v>
      </x:c>
      <x:c r="J874" s="40" t="n">
        <x:f>H874^2</x:f>
        <x:v>2.293951888626907</x:v>
      </x:c>
      <x:c r="K874" s="40" t="n">
        <x:f>G874-E874</x:f>
        <x:v>0</x:v>
      </x:c>
      <x:c r="L874" s="40" t="n">
        <x:f>ABS(K874)</x:f>
        <x:v>0</x:v>
      </x:c>
      <x:c r="M874" s="41" t="str">
        <x:v>lstm-soil-v1</x:v>
      </x:c>
    </x:row>
    <x:row r="875">
      <x:c r="A875" s="38" t="str">
        <x:v>7月30日现场数据</x:v>
      </x:c>
      <x:c r="B875" s="39" t="str">
        <x:v>2026-08-01T07:40:00</x:v>
      </x:c>
      <x:c r="C875" s="39" t="str">
        <x:v>2026-08-01T08:40:00</x:v>
      </x:c>
      <x:c r="D875" s="47" t="n">
        <x:v>60</x:v>
      </x:c>
      <x:c r="E875" s="40" t="n">
        <x:v>12.149999999999999</x:v>
      </x:c>
      <x:c r="F875" s="40" t="n">
        <x:v>12.088127136230469</x:v>
      </x:c>
      <x:c r="G875" s="40" t="n">
        <x:v>12</x:v>
      </x:c>
      <x:c r="H875" s="40" t="n">
        <x:f>F875-E875</x:f>
        <x:v>-0.06187286376952983</x:v>
      </x:c>
      <x:c r="I875" s="40" t="n">
        <x:f>ABS(H875)</x:f>
        <x:v>0.06187286376952983</x:v>
      </x:c>
      <x:c r="J875" s="40" t="n">
        <x:f>H875^2</x:f>
        <x:v>0.003828251271042797</x:v>
      </x:c>
      <x:c r="K875" s="40" t="n">
        <x:f>G875-E875</x:f>
        <x:v>-0.14999999999999858</x:v>
      </x:c>
      <x:c r="L875" s="40" t="n">
        <x:f>ABS(K875)</x:f>
        <x:v>0.14999999999999858</x:v>
      </x:c>
      <x:c r="M875" s="41" t="str">
        <x:v>lstm-soil-v1</x:v>
      </x:c>
    </x:row>
    <x:row r="876">
      <x:c r="A876" s="38" t="str">
        <x:v>7月30日现场数据</x:v>
      </x:c>
      <x:c r="B876" s="39" t="str">
        <x:v>2026-08-01T07:45:00</x:v>
      </x:c>
      <x:c r="C876" s="39" t="str">
        <x:v>2026-08-01T07:50:00</x:v>
      </x:c>
      <x:c r="D876" s="47" t="n">
        <x:v>5</x:v>
      </x:c>
      <x:c r="E876" s="40" t="n">
        <x:v>12.1</x:v>
      </x:c>
      <x:c r="F876" s="40" t="n">
        <x:v>10.029682159423828</x:v>
      </x:c>
      <x:c r="G876" s="40" t="n">
        <x:v>12.1</x:v>
      </x:c>
      <x:c r="H876" s="40" t="n">
        <x:f>F876-E876</x:f>
        <x:v>-2.0703178405761715</x:v>
      </x:c>
      <x:c r="I876" s="40" t="n">
        <x:f>ABS(H876)</x:f>
        <x:v>2.0703178405761715</x:v>
      </x:c>
      <x:c r="J876" s="40" t="n">
        <x:f>H876^2</x:f>
        <x:v>4.286215961007982</x:v>
      </x:c>
      <x:c r="K876" s="40" t="n">
        <x:f>G876-E876</x:f>
        <x:v>0</x:v>
      </x:c>
      <x:c r="L876" s="40" t="n">
        <x:f>ABS(K876)</x:f>
        <x:v>0</x:v>
      </x:c>
      <x:c r="M876" s="41" t="str">
        <x:v>lstm-soil-v1</x:v>
      </x:c>
    </x:row>
    <x:row r="877">
      <x:c r="A877" s="38" t="str">
        <x:v>7月30日现场数据</x:v>
      </x:c>
      <x:c r="B877" s="39" t="str">
        <x:v>2026-08-01T07:45:00</x:v>
      </x:c>
      <x:c r="C877" s="39" t="str">
        <x:v>2026-08-01T08:00:00</x:v>
      </x:c>
      <x:c r="D877" s="47" t="n">
        <x:v>15</x:v>
      </x:c>
      <x:c r="E877" s="40" t="n">
        <x:v>12</x:v>
      </x:c>
      <x:c r="F877" s="40" t="n">
        <x:v>10.088275909423828</x:v>
      </x:c>
      <x:c r="G877" s="40" t="n">
        <x:v>12.1</x:v>
      </x:c>
      <x:c r="H877" s="40" t="n">
        <x:f>F877-E877</x:f>
        <x:v>-1.9117240905761719</x:v>
      </x:c>
      <x:c r="I877" s="40" t="n">
        <x:f>ABS(H877)</x:f>
        <x:v>1.9117240905761719</x:v>
      </x:c>
      <x:c r="J877" s="40" t="n">
        <x:f>H877^2</x:f>
        <x:v>3.6546889984892914</x:v>
      </x:c>
      <x:c r="K877" s="40" t="n">
        <x:f>G877-E877</x:f>
        <x:v>0.09999999999999964</x:v>
      </x:c>
      <x:c r="L877" s="40" t="n">
        <x:f>ABS(K877)</x:f>
        <x:v>0.09999999999999964</x:v>
      </x:c>
      <x:c r="M877" s="41" t="str">
        <x:v>lstm-soil-v1</x:v>
      </x:c>
    </x:row>
    <x:row r="878">
      <x:c r="A878" s="38" t="str">
        <x:v>7月30日现场数据</x:v>
      </x:c>
      <x:c r="B878" s="39" t="str">
        <x:v>2026-08-01T07:45:00</x:v>
      </x:c>
      <x:c r="C878" s="39" t="str">
        <x:v>2026-08-01T08:15:00</x:v>
      </x:c>
      <x:c r="D878" s="47" t="n">
        <x:v>30</x:v>
      </x:c>
      <x:c r="E878" s="40" t="n">
        <x:v>12.1</x:v>
      </x:c>
      <x:c r="F878" s="40" t="n">
        <x:v>10.596187591552734</x:v>
      </x:c>
      <x:c r="G878" s="40" t="n">
        <x:v>12.1</x:v>
      </x:c>
      <x:c r="H878" s="40" t="n">
        <x:f>F878-E878</x:f>
        <x:v>-1.5038124084472653</x:v>
      </x:c>
      <x:c r="I878" s="40" t="n">
        <x:f>ABS(H878)</x:f>
        <x:v>1.5038124084472653</x:v>
      </x:c>
      <x:c r="J878" s="40" t="n">
        <x:f>H878^2</x:f>
        <x:v>2.2614517597999644</x:v>
      </x:c>
      <x:c r="K878" s="40" t="n">
        <x:f>G878-E878</x:f>
        <x:v>0</x:v>
      </x:c>
      <x:c r="L878" s="40" t="n">
        <x:f>ABS(K878)</x:f>
        <x:v>0</x:v>
      </x:c>
      <x:c r="M878" s="41" t="str">
        <x:v>lstm-soil-v1</x:v>
      </x:c>
    </x:row>
    <x:row r="879">
      <x:c r="A879" s="38" t="str">
        <x:v>7月30日现场数据</x:v>
      </x:c>
      <x:c r="B879" s="39" t="str">
        <x:v>2026-08-01T07:45:00</x:v>
      </x:c>
      <x:c r="C879" s="39" t="str">
        <x:v>2026-08-01T08:45:00</x:v>
      </x:c>
      <x:c r="D879" s="47" t="n">
        <x:v>60</x:v>
      </x:c>
      <x:c r="E879" s="40" t="n">
        <x:v>12.2</x:v>
      </x:c>
      <x:c r="F879" s="40" t="n">
        <x:v>12.199115753173828</x:v>
      </x:c>
      <x:c r="G879" s="40" t="n">
        <x:v>12.1</x:v>
      </x:c>
      <x:c r="H879" s="40" t="n">
        <x:f>F879-E879</x:f>
        <x:v>-0.0008842468261711645</x:v>
      </x:c>
      <x:c r="I879" s="40" t="n">
        <x:f>ABS(H879)</x:f>
        <x:v>0.0008842468261711645</x:v>
      </x:c>
      <x:c r="J879" s="40" t="n">
        <x:f>H879^2</x:f>
        <x:v>7.818924495937775e-7</x:v>
      </x:c>
      <x:c r="K879" s="40" t="n">
        <x:f>G879-E879</x:f>
        <x:v>-0.09999999999999964</x:v>
      </x:c>
      <x:c r="L879" s="40" t="n">
        <x:f>ABS(K879)</x:f>
        <x:v>0.09999999999999964</x:v>
      </x:c>
      <x:c r="M879" s="41" t="str">
        <x:v>lstm-soil-v1</x:v>
      </x:c>
    </x:row>
    <x:row r="880">
      <x:c r="A880" s="38" t="str">
        <x:v>7月30日现场数据</x:v>
      </x:c>
      <x:c r="B880" s="39" t="str">
        <x:v>2026-08-01T07:50:00</x:v>
      </x:c>
      <x:c r="C880" s="39" t="str">
        <x:v>2026-08-01T07:55:00</x:v>
      </x:c>
      <x:c r="D880" s="47" t="n">
        <x:v>5</x:v>
      </x:c>
      <x:c r="E880" s="40" t="n">
        <x:v>12.1</x:v>
      </x:c>
      <x:c r="F880" s="40" t="n">
        <x:v>10.030094146728516</x:v>
      </x:c>
      <x:c r="G880" s="40" t="n">
        <x:v>12.1</x:v>
      </x:c>
      <x:c r="H880" s="40" t="n">
        <x:f>F880-E880</x:f>
        <x:v>-2.069905853271484</x:v>
      </x:c>
      <x:c r="I880" s="40" t="n">
        <x:f>ABS(H880)</x:f>
        <x:v>2.069905853271484</x:v>
      </x:c>
      <x:c r="J880" s="40" t="n">
        <x:f>H880^2</x:f>
        <x:v>4.28451024140755</x:v>
      </x:c>
      <x:c r="K880" s="40" t="n">
        <x:f>G880-E880</x:f>
        <x:v>0</x:v>
      </x:c>
      <x:c r="L880" s="40" t="n">
        <x:f>ABS(K880)</x:f>
        <x:v>0</x:v>
      </x:c>
      <x:c r="M880" s="41" t="str">
        <x:v>lstm-soil-v1</x:v>
      </x:c>
    </x:row>
    <x:row r="881">
      <x:c r="A881" s="38" t="str">
        <x:v>7月30日现场数据</x:v>
      </x:c>
      <x:c r="B881" s="39" t="str">
        <x:v>2026-08-01T07:50:00</x:v>
      </x:c>
      <x:c r="C881" s="39" t="str">
        <x:v>2026-08-01T08:05:00</x:v>
      </x:c>
      <x:c r="D881" s="47" t="n">
        <x:v>15</x:v>
      </x:c>
      <x:c r="E881" s="40" t="n">
        <x:v>12.1</x:v>
      </x:c>
      <x:c r="F881" s="40" t="n">
        <x:v>10.088329315185547</x:v>
      </x:c>
      <x:c r="G881" s="40" t="n">
        <x:v>12.1</x:v>
      </x:c>
      <x:c r="H881" s="40" t="n">
        <x:f>F881-E881</x:f>
        <x:v>-2.0116706848144528</x:v>
      </x:c>
      <x:c r="I881" s="40" t="n">
        <x:f>ABS(H881)</x:f>
        <x:v>2.0116706848144528</x:v>
      </x:c>
      <x:c r="J881" s="40" t="n">
        <x:f>H881^2</x:f>
        <x:v>4.046818944141849</x:v>
      </x:c>
      <x:c r="K881" s="40" t="n">
        <x:f>G881-E881</x:f>
        <x:v>0</x:v>
      </x:c>
      <x:c r="L881" s="40" t="n">
        <x:f>ABS(K881)</x:f>
        <x:v>0</x:v>
      </x:c>
      <x:c r="M881" s="41" t="str">
        <x:v>lstm-soil-v1</x:v>
      </x:c>
    </x:row>
    <x:row r="882">
      <x:c r="A882" s="38" t="str">
        <x:v>7月30日现场数据</x:v>
      </x:c>
      <x:c r="B882" s="39" t="str">
        <x:v>2026-08-01T07:50:00</x:v>
      </x:c>
      <x:c r="C882" s="39" t="str">
        <x:v>2026-08-01T08:20:00</x:v>
      </x:c>
      <x:c r="D882" s="47" t="n">
        <x:v>30</x:v>
      </x:c>
      <x:c r="E882" s="40" t="n">
        <x:v>12.1</x:v>
      </x:c>
      <x:c r="F882" s="40" t="n">
        <x:v>10.596855163574219</x:v>
      </x:c>
      <x:c r="G882" s="40" t="n">
        <x:v>12.1</x:v>
      </x:c>
      <x:c r="H882" s="40" t="n">
        <x:f>F882-E882</x:f>
        <x:v>-1.503144836425781</x:v>
      </x:c>
      <x:c r="I882" s="40" t="n">
        <x:f>ABS(H882)</x:f>
        <x:v>1.503144836425781</x:v>
      </x:c>
      <x:c r="J882" s="40" t="n">
        <x:f>H882^2</x:f>
        <x:v>2.2594443992734874</x:v>
      </x:c>
      <x:c r="K882" s="40" t="n">
        <x:f>G882-E882</x:f>
        <x:v>0</x:v>
      </x:c>
      <x:c r="L882" s="40" t="n">
        <x:f>ABS(K882)</x:f>
        <x:v>0</x:v>
      </x:c>
      <x:c r="M882" s="41" t="str">
        <x:v>lstm-soil-v1</x:v>
      </x:c>
    </x:row>
    <x:row r="883">
      <x:c r="A883" s="38" t="str">
        <x:v>7月30日现场数据</x:v>
      </x:c>
      <x:c r="B883" s="39" t="str">
        <x:v>2026-08-01T07:50:00</x:v>
      </x:c>
      <x:c r="C883" s="39" t="str">
        <x:v>2026-08-01T08:50:00</x:v>
      </x:c>
      <x:c r="D883" s="47" t="n">
        <x:v>60</x:v>
      </x:c>
      <x:c r="E883" s="40" t="n">
        <x:v>12.3</x:v>
      </x:c>
      <x:c r="F883" s="40" t="n">
        <x:v>12.200119018554688</x:v>
      </x:c>
      <x:c r="G883" s="40" t="n">
        <x:v>12.1</x:v>
      </x:c>
      <x:c r="H883" s="40" t="n">
        <x:f>F883-E883</x:f>
        <x:v>-0.09988098144531321</x:v>
      </x:c>
      <x:c r="I883" s="40" t="n">
        <x:f>ABS(H883)</x:f>
        <x:v>0.09988098144531321</x:v>
      </x:c>
      <x:c r="J883" s="40" t="n">
        <x:f>H883^2</x:f>
        <x:v>0.009976210454479002</x:v>
      </x:c>
      <x:c r="K883" s="40" t="n">
        <x:f>G883-E883</x:f>
        <x:v>-0.20000000000000107</x:v>
      </x:c>
      <x:c r="L883" s="40" t="n">
        <x:f>ABS(K883)</x:f>
        <x:v>0.20000000000000107</x:v>
      </x:c>
      <x:c r="M883" s="41" t="str">
        <x:v>lstm-soil-v1</x:v>
      </x:c>
    </x:row>
    <x:row r="884">
      <x:c r="A884" s="38" t="str">
        <x:v>7月30日现场数据</x:v>
      </x:c>
      <x:c r="B884" s="39" t="str">
        <x:v>2026-08-01T07:55:00</x:v>
      </x:c>
      <x:c r="C884" s="39" t="str">
        <x:v>2026-08-01T08:00:00</x:v>
      </x:c>
      <x:c r="D884" s="47" t="n">
        <x:v>5</x:v>
      </x:c>
      <x:c r="E884" s="40" t="n">
        <x:v>12</x:v>
      </x:c>
      <x:c r="F884" s="40" t="n">
        <x:v>10.03045654296875</x:v>
      </x:c>
      <x:c r="G884" s="40" t="n">
        <x:v>12.1</x:v>
      </x:c>
      <x:c r="H884" s="40" t="n">
        <x:f>F884-E884</x:f>
        <x:v>-1.96954345703125</x:v>
      </x:c>
      <x:c r="I884" s="40" t="n">
        <x:f>ABS(H884)</x:f>
        <x:v>1.96954345703125</x:v>
      </x:c>
      <x:c r="J884" s="40" t="n">
        <x:f>H884^2</x:f>
        <x:v>3.8791014291346073</x:v>
      </x:c>
      <x:c r="K884" s="40" t="n">
        <x:f>G884-E884</x:f>
        <x:v>0.09999999999999964</x:v>
      </x:c>
      <x:c r="L884" s="40" t="n">
        <x:f>ABS(K884)</x:f>
        <x:v>0.09999999999999964</x:v>
      </x:c>
      <x:c r="M884" s="41" t="str">
        <x:v>lstm-soil-v1</x:v>
      </x:c>
    </x:row>
    <x:row r="885">
      <x:c r="A885" s="38" t="str">
        <x:v>7月30日现场数据</x:v>
      </x:c>
      <x:c r="B885" s="39" t="str">
        <x:v>2026-08-01T07:55:00</x:v>
      </x:c>
      <x:c r="C885" s="39" t="str">
        <x:v>2026-08-01T08:10:00</x:v>
      </x:c>
      <x:c r="D885" s="47" t="n">
        <x:v>15</x:v>
      </x:c>
      <x:c r="E885" s="40" t="n">
        <x:v>12</x:v>
      </x:c>
      <x:c r="F885" s="40" t="n">
        <x:v>10.088340759277344</x:v>
      </x:c>
      <x:c r="G885" s="40" t="n">
        <x:v>12.1</x:v>
      </x:c>
      <x:c r="H885" s="40" t="n">
        <x:f>F885-E885</x:f>
        <x:v>-1.9116592407226562</x:v>
      </x:c>
      <x:c r="I885" s="40" t="n">
        <x:f>ABS(H885)</x:f>
        <x:v>1.9116592407226562</x:v>
      </x:c>
      <x:c r="J885" s="40" t="n">
        <x:f>H885^2</x:f>
        <x:v>3.6544410526403226</x:v>
      </x:c>
      <x:c r="K885" s="40" t="n">
        <x:f>G885-E885</x:f>
        <x:v>0.09999999999999964</x:v>
      </x:c>
      <x:c r="L885" s="40" t="n">
        <x:f>ABS(K885)</x:f>
        <x:v>0.09999999999999964</x:v>
      </x:c>
      <x:c r="M885" s="41" t="str">
        <x:v>lstm-soil-v1</x:v>
      </x:c>
    </x:row>
    <x:row r="886">
      <x:c r="A886" s="38" t="str">
        <x:v>7月30日现场数据</x:v>
      </x:c>
      <x:c r="B886" s="39" t="str">
        <x:v>2026-08-01T07:55:00</x:v>
      </x:c>
      <x:c r="C886" s="39" t="str">
        <x:v>2026-08-01T08:25:00</x:v>
      </x:c>
      <x:c r="D886" s="47" t="n">
        <x:v>30</x:v>
      </x:c>
      <x:c r="E886" s="40" t="n">
        <x:v>12.1</x:v>
      </x:c>
      <x:c r="F886" s="40" t="n">
        <x:v>10.59762191772461</x:v>
      </x:c>
      <x:c r="G886" s="40" t="n">
        <x:v>12.1</x:v>
      </x:c>
      <x:c r="H886" s="40" t="n">
        <x:f>F886-E886</x:f>
        <x:v>-1.5023780822753903</x:v>
      </x:c>
      <x:c r="I886" s="40" t="n">
        <x:f>ABS(H886)</x:f>
        <x:v>1.5023780822753903</x:v>
      </x:c>
      <x:c r="J886" s="40" t="n">
        <x:f>H886^2</x:f>
        <x:v>2.2571399021014793</x:v>
      </x:c>
      <x:c r="K886" s="40" t="n">
        <x:f>G886-E886</x:f>
        <x:v>0</x:v>
      </x:c>
      <x:c r="L886" s="40" t="n">
        <x:f>ABS(K886)</x:f>
        <x:v>0</x:v>
      </x:c>
      <x:c r="M886" s="41" t="str">
        <x:v>lstm-soil-v1</x:v>
      </x:c>
    </x:row>
    <x:row r="887">
      <x:c r="A887" s="38" t="str">
        <x:v>7月30日现场数据</x:v>
      </x:c>
      <x:c r="B887" s="39" t="str">
        <x:v>2026-08-01T07:55:00</x:v>
      </x:c>
      <x:c r="C887" s="39" t="str">
        <x:v>2026-08-01T08:55:00</x:v>
      </x:c>
      <x:c r="D887" s="47" t="n">
        <x:v>60</x:v>
      </x:c>
      <x:c r="E887" s="40" t="n">
        <x:v>12.4</x:v>
      </x:c>
      <x:c r="F887" s="40" t="n">
        <x:v>12.201194763183594</x:v>
      </x:c>
      <x:c r="G887" s="40" t="n">
        <x:v>12.1</x:v>
      </x:c>
      <x:c r="H887" s="40" t="n">
        <x:f>F887-E887</x:f>
        <x:v>-0.1988052368164066</x:v>
      </x:c>
      <x:c r="I887" s="40" t="n">
        <x:f>ABS(H887)</x:f>
        <x:v>0.1988052368164066</x:v>
      </x:c>
      <x:c r="J887" s="40" t="n">
        <x:f>H887^2</x:f>
        <x:v>0.03952352218562751</x:v>
      </x:c>
      <x:c r="K887" s="40" t="n">
        <x:f>G887-E887</x:f>
        <x:v>-0.3000000000000007</x:v>
      </x:c>
      <x:c r="L887" s="40" t="n">
        <x:f>ABS(K887)</x:f>
        <x:v>0.3000000000000007</x:v>
      </x:c>
      <x:c r="M887" s="41" t="str">
        <x:v>lstm-soil-v1</x:v>
      </x:c>
    </x:row>
    <x:row r="888">
      <x:c r="A888" s="38" t="str">
        <x:v>7月30日现场数据</x:v>
      </x:c>
      <x:c r="B888" s="39" t="str">
        <x:v>2026-08-01T08:00:00</x:v>
      </x:c>
      <x:c r="C888" s="39" t="str">
        <x:v>2026-08-01T08:05:00</x:v>
      </x:c>
      <x:c r="D888" s="47" t="n">
        <x:v>5</x:v>
      </x:c>
      <x:c r="E888" s="40" t="n">
        <x:v>12.1</x:v>
      </x:c>
      <x:c r="F888" s="40" t="n">
        <x:v>9.922218322753906</x:v>
      </x:c>
      <x:c r="G888" s="40" t="n">
        <x:v>12</x:v>
      </x:c>
      <x:c r="H888" s="40" t="n">
        <x:f>F888-E888</x:f>
        <x:v>-2.1777816772460934</x:v>
      </x:c>
      <x:c r="I888" s="40" t="n">
        <x:f>ABS(H888)</x:f>
        <x:v>2.1777816772460934</x:v>
      </x:c>
      <x:c r="J888" s="40" t="n">
        <x:f>H888^2</x:f>
        <x:v>4.742733033748808</x:v>
      </x:c>
      <x:c r="K888" s="40" t="n">
        <x:f>G888-E888</x:f>
        <x:v>-0.09999999999999964</x:v>
      </x:c>
      <x:c r="L888" s="40" t="n">
        <x:f>ABS(K888)</x:f>
        <x:v>0.09999999999999964</x:v>
      </x:c>
      <x:c r="M888" s="41" t="str">
        <x:v>lstm-soil-v1</x:v>
      </x:c>
    </x:row>
    <x:row r="889">
      <x:c r="A889" s="38" t="str">
        <x:v>7月30日现场数据</x:v>
      </x:c>
      <x:c r="B889" s="39" t="str">
        <x:v>2026-08-01T08:00:00</x:v>
      </x:c>
      <x:c r="C889" s="39" t="str">
        <x:v>2026-08-01T08:15:00</x:v>
      </x:c>
      <x:c r="D889" s="47" t="n">
        <x:v>15</x:v>
      </x:c>
      <x:c r="E889" s="40" t="n">
        <x:v>12.1</x:v>
      </x:c>
      <x:c r="F889" s="40" t="n">
        <x:v>9.978874206542969</x:v>
      </x:c>
      <x:c r="G889" s="40" t="n">
        <x:v>12</x:v>
      </x:c>
      <x:c r="H889" s="40" t="n">
        <x:f>F889-E889</x:f>
        <x:v>-2.121125793457031</x:v>
      </x:c>
      <x:c r="I889" s="40" t="n">
        <x:f>ABS(H889)</x:f>
        <x:v>2.121125793457031</x:v>
      </x:c>
      <x:c r="J889" s="40" t="n">
        <x:f>H889^2</x:f>
        <x:v>4.499174631668719</x:v>
      </x:c>
      <x:c r="K889" s="40" t="n">
        <x:f>G889-E889</x:f>
        <x:v>-0.09999999999999964</x:v>
      </x:c>
      <x:c r="L889" s="40" t="n">
        <x:f>ABS(K889)</x:f>
        <x:v>0.09999999999999964</x:v>
      </x:c>
      <x:c r="M889" s="41" t="str">
        <x:v>lstm-soil-v1</x:v>
      </x:c>
    </x:row>
    <x:row r="890">
      <x:c r="A890" s="38" t="str">
        <x:v>7月30日现场数据</x:v>
      </x:c>
      <x:c r="B890" s="39" t="str">
        <x:v>2026-08-01T08:00:00</x:v>
      </x:c>
      <x:c r="C890" s="39" t="str">
        <x:v>2026-08-01T08:30:00</x:v>
      </x:c>
      <x:c r="D890" s="47" t="n">
        <x:v>30</x:v>
      </x:c>
      <x:c r="E890" s="40" t="n">
        <x:v>12.1</x:v>
      </x:c>
      <x:c r="F890" s="40" t="n">
        <x:v>10.490020751953125</x:v>
      </x:c>
      <x:c r="G890" s="40" t="n">
        <x:v>12</x:v>
      </x:c>
      <x:c r="H890" s="40" t="n">
        <x:f>F890-E890</x:f>
        <x:v>-1.6099792480468746</x:v>
      </x:c>
      <x:c r="I890" s="40" t="n">
        <x:f>ABS(H890)</x:f>
        <x:v>1.6099792480468746</x:v>
      </x:c>
      <x:c r="J890" s="40" t="n">
        <x:f>H890^2</x:f>
        <x:v>2.59203317914158</x:v>
      </x:c>
      <x:c r="K890" s="40" t="n">
        <x:f>G890-E890</x:f>
        <x:v>-0.09999999999999964</x:v>
      </x:c>
      <x:c r="L890" s="40" t="n">
        <x:f>ABS(K890)</x:f>
        <x:v>0.09999999999999964</x:v>
      </x:c>
      <x:c r="M890" s="41" t="str">
        <x:v>lstm-soil-v1</x:v>
      </x:c>
    </x:row>
    <x:row r="891">
      <x:c r="A891" s="38" t="str">
        <x:v>7月30日现场数据</x:v>
      </x:c>
      <x:c r="B891" s="39" t="str">
        <x:v>2026-08-01T08:00:00</x:v>
      </x:c>
      <x:c r="C891" s="39" t="str">
        <x:v>2026-08-01T09:00:00</x:v>
      </x:c>
      <x:c r="D891" s="47" t="n">
        <x:v>60</x:v>
      </x:c>
      <x:c r="E891" s="40" t="n">
        <x:v>12.4</x:v>
      </x:c>
      <x:c r="F891" s="40" t="n">
        <x:v>12.098468780517578</x:v>
      </x:c>
      <x:c r="G891" s="40" t="n">
        <x:v>12</x:v>
      </x:c>
      <x:c r="H891" s="40" t="n">
        <x:f>F891-E891</x:f>
        <x:v>-0.30153121948242223</x:v>
      </x:c>
      <x:c r="I891" s="40" t="n">
        <x:f>ABS(H891)</x:f>
        <x:v>0.30153121948242223</x:v>
      </x:c>
      <x:c r="J891" s="40" t="n">
        <x:f>H891^2</x:f>
        <x:v>0.0909210763225567</x:v>
      </x:c>
      <x:c r="K891" s="40" t="n">
        <x:f>G891-E891</x:f>
        <x:v>-0.40000000000000036</x:v>
      </x:c>
      <x:c r="L891" s="40" t="n">
        <x:f>ABS(K891)</x:f>
        <x:v>0.40000000000000036</x:v>
      </x:c>
      <x:c r="M891" s="41" t="str">
        <x:v>lstm-soil-v1</x:v>
      </x:c>
    </x:row>
    <x:row r="892">
      <x:c r="A892" s="38" t="str">
        <x:v>7月30日现场数据</x:v>
      </x:c>
      <x:c r="B892" s="39" t="str">
        <x:v>2026-08-01T08:05:00</x:v>
      </x:c>
      <x:c r="C892" s="39" t="str">
        <x:v>2026-08-01T08:10:00</x:v>
      </x:c>
      <x:c r="D892" s="47" t="n">
        <x:v>5</x:v>
      </x:c>
      <x:c r="E892" s="40" t="n">
        <x:v>12</x:v>
      </x:c>
      <x:c r="F892" s="40" t="n">
        <x:v>10.03387451171875</x:v>
      </x:c>
      <x:c r="G892" s="40" t="n">
        <x:v>12.1</x:v>
      </x:c>
      <x:c r="H892" s="40" t="n">
        <x:f>F892-E892</x:f>
        <x:v>-1.96612548828125</x:v>
      </x:c>
      <x:c r="I892" s="40" t="n">
        <x:f>ABS(H892)</x:f>
        <x:v>1.96612548828125</x:v>
      </x:c>
      <x:c r="J892" s="40" t="n">
        <x:f>H892^2</x:f>
        <x:v>3.8656494356691837</x:v>
      </x:c>
      <x:c r="K892" s="40" t="n">
        <x:f>G892-E892</x:f>
        <x:v>0.09999999999999964</x:v>
      </x:c>
      <x:c r="L892" s="40" t="n">
        <x:f>ABS(K892)</x:f>
        <x:v>0.09999999999999964</x:v>
      </x:c>
      <x:c r="M892" s="41" t="str">
        <x:v>lstm-soil-v1</x:v>
      </x:c>
    </x:row>
    <x:row r="893">
      <x:c r="A893" s="38" t="str">
        <x:v>7月30日现场数据</x:v>
      </x:c>
      <x:c r="B893" s="39" t="str">
        <x:v>2026-08-01T08:05:00</x:v>
      </x:c>
      <x:c r="C893" s="39" t="str">
        <x:v>2026-08-01T08:20:00</x:v>
      </x:c>
      <x:c r="D893" s="47" t="n">
        <x:v>15</x:v>
      </x:c>
      <x:c r="E893" s="40" t="n">
        <x:v>12.1</x:v>
      </x:c>
      <x:c r="F893" s="40" t="n">
        <x:v>10.090164184570312</x:v>
      </x:c>
      <x:c r="G893" s="40" t="n">
        <x:v>12.1</x:v>
      </x:c>
      <x:c r="H893" s="40" t="n">
        <x:f>F893-E893</x:f>
        <x:v>-2.009835815429687</x:v>
      </x:c>
      <x:c r="I893" s="40" t="n">
        <x:f>ABS(H893)</x:f>
        <x:v>2.009835815429687</x:v>
      </x:c>
      <x:c r="J893" s="40" t="n">
        <x:f>H893^2</x:f>
        <x:v>4.039440004983915</x:v>
      </x:c>
      <x:c r="K893" s="40" t="n">
        <x:f>G893-E893</x:f>
        <x:v>0</x:v>
      </x:c>
      <x:c r="L893" s="40" t="n">
        <x:f>ABS(K893)</x:f>
        <x:v>0</x:v>
      </x:c>
      <x:c r="M893" s="41" t="str">
        <x:v>lstm-soil-v1</x:v>
      </x:c>
    </x:row>
    <x:row r="894">
      <x:c r="A894" s="38" t="str">
        <x:v>7月30日现场数据</x:v>
      </x:c>
      <x:c r="B894" s="39" t="str">
        <x:v>2026-08-01T08:05:00</x:v>
      </x:c>
      <x:c r="C894" s="39" t="str">
        <x:v>2026-08-01T08:35:00</x:v>
      </x:c>
      <x:c r="D894" s="47" t="n">
        <x:v>30</x:v>
      </x:c>
      <x:c r="E894" s="40" t="n">
        <x:v>12.1</x:v>
      </x:c>
      <x:c r="F894" s="40" t="n">
        <x:v>10.601997375488281</x:v>
      </x:c>
      <x:c r="G894" s="40" t="n">
        <x:v>12.1</x:v>
      </x:c>
      <x:c r="H894" s="40" t="n">
        <x:f>F894-E894</x:f>
        <x:v>-1.4980026245117184</x:v>
      </x:c>
      <x:c r="I894" s="40" t="n">
        <x:f>ABS(H894)</x:f>
        <x:v>1.4980026245117184</x:v>
      </x:c>
      <x:c r="J894" s="40" t="n">
        <x:f>H894^2</x:f>
        <x:v>2.2440118630439962</x:v>
      </x:c>
      <x:c r="K894" s="40" t="n">
        <x:f>G894-E894</x:f>
        <x:v>0</x:v>
      </x:c>
      <x:c r="L894" s="40" t="n">
        <x:f>ABS(K894)</x:f>
        <x:v>0</x:v>
      </x:c>
      <x:c r="M894" s="41" t="str">
        <x:v>lstm-soil-v1</x:v>
      </x:c>
    </x:row>
    <x:row r="895">
      <x:c r="A895" s="38" t="str">
        <x:v>7月30日现场数据</x:v>
      </x:c>
      <x:c r="B895" s="39" t="str">
        <x:v>2026-08-01T08:05:00</x:v>
      </x:c>
      <x:c r="C895" s="39" t="str">
        <x:v>2026-08-01T09:05:00</x:v>
      </x:c>
      <x:c r="D895" s="47" t="n">
        <x:v>60</x:v>
      </x:c>
      <x:c r="E895" s="40" t="n">
        <x:v>12.4</x:v>
      </x:c>
      <x:c r="F895" s="40" t="n">
        <x:v>12.214519500732422</x:v>
      </x:c>
      <x:c r="G895" s="40" t="n">
        <x:v>12.1</x:v>
      </x:c>
      <x:c r="H895" s="40" t="n">
        <x:f>F895-E895</x:f>
        <x:v>-0.18548049926757848</x:v>
      </x:c>
      <x:c r="I895" s="40" t="n">
        <x:f>ABS(H895)</x:f>
        <x:v>0.18548049926757848</x:v>
      </x:c>
      <x:c r="J895" s="40" t="n">
        <x:f>H895^2</x:f>
        <x:v>0.034403015608550185</x:v>
      </x:c>
      <x:c r="K895" s="40" t="n">
        <x:f>G895-E895</x:f>
        <x:v>-0.3000000000000007</x:v>
      </x:c>
      <x:c r="L895" s="40" t="n">
        <x:f>ABS(K895)</x:f>
        <x:v>0.3000000000000007</x:v>
      </x:c>
      <x:c r="M895" s="41" t="str">
        <x:v>lstm-soil-v1</x:v>
      </x:c>
    </x:row>
    <x:row r="896">
      <x:c r="A896" s="38" t="str">
        <x:v>7月30日现场数据</x:v>
      </x:c>
      <x:c r="B896" s="39" t="str">
        <x:v>2026-08-01T08:10:00</x:v>
      </x:c>
      <x:c r="C896" s="39" t="str">
        <x:v>2026-08-01T08:15:00</x:v>
      </x:c>
      <x:c r="D896" s="47" t="n">
        <x:v>5</x:v>
      </x:c>
      <x:c r="E896" s="40" t="n">
        <x:v>12.1</x:v>
      </x:c>
      <x:c r="F896" s="40" t="n">
        <x:v>9.925235748291016</x:v>
      </x:c>
      <x:c r="G896" s="40" t="n">
        <x:v>12</x:v>
      </x:c>
      <x:c r="H896" s="40" t="n">
        <x:f>F896-E896</x:f>
        <x:v>-2.174764251708984</x:v>
      </x:c>
      <x:c r="I896" s="40" t="n">
        <x:f>ABS(H896)</x:f>
        <x:v>2.174764251708984</x:v>
      </x:c>
      <x:c r="J896" s="40" t="n">
        <x:f>H896^2</x:f>
        <x:v>4.729599550511337</x:v>
      </x:c>
      <x:c r="K896" s="40" t="n">
        <x:f>G896-E896</x:f>
        <x:v>-0.09999999999999964</x:v>
      </x:c>
      <x:c r="L896" s="40" t="n">
        <x:f>ABS(K896)</x:f>
        <x:v>0.09999999999999964</x:v>
      </x:c>
      <x:c r="M896" s="41" t="str">
        <x:v>lstm-soil-v1</x:v>
      </x:c>
    </x:row>
    <x:row r="897">
      <x:c r="A897" s="38" t="str">
        <x:v>7月30日现场数据</x:v>
      </x:c>
      <x:c r="B897" s="39" t="str">
        <x:v>2026-08-01T08:10:00</x:v>
      </x:c>
      <x:c r="C897" s="39" t="str">
        <x:v>2026-08-01T08:25:00</x:v>
      </x:c>
      <x:c r="D897" s="47" t="n">
        <x:v>15</x:v>
      </x:c>
      <x:c r="E897" s="40" t="n">
        <x:v>12.1</x:v>
      </x:c>
      <x:c r="F897" s="40" t="n">
        <x:v>9.98128890991211</x:v>
      </x:c>
      <x:c r="G897" s="40" t="n">
        <x:v>12</x:v>
      </x:c>
      <x:c r="H897" s="40" t="n">
        <x:f>F897-E897</x:f>
        <x:v>-2.1187110900878903</x:v>
      </x:c>
      <x:c r="I897" s="40" t="n">
        <x:f>ABS(H897)</x:f>
        <x:v>2.1187110900878903</x:v>
      </x:c>
      <x:c r="J897" s="40" t="n">
        <x:f>H897^2</x:f>
        <x:v>4.488936683261416</x:v>
      </x:c>
      <x:c r="K897" s="40" t="n">
        <x:f>G897-E897</x:f>
        <x:v>-0.09999999999999964</x:v>
      </x:c>
      <x:c r="L897" s="40" t="n">
        <x:f>ABS(K897)</x:f>
        <x:v>0.09999999999999964</x:v>
      </x:c>
      <x:c r="M897" s="41" t="str">
        <x:v>lstm-soil-v1</x:v>
      </x:c>
    </x:row>
    <x:row r="898">
      <x:c r="A898" s="38" t="str">
        <x:v>7月30日现场数据</x:v>
      </x:c>
      <x:c r="B898" s="39" t="str">
        <x:v>2026-08-01T08:10:00</x:v>
      </x:c>
      <x:c r="C898" s="39" t="str">
        <x:v>2026-08-01T08:40:00</x:v>
      </x:c>
      <x:c r="D898" s="47" t="n">
        <x:v>30</x:v>
      </x:c>
      <x:c r="E898" s="40" t="n">
        <x:v>12.149999999999999</x:v>
      </x:c>
      <x:c r="F898" s="40" t="n">
        <x:v>10.493412017822266</x:v>
      </x:c>
      <x:c r="G898" s="40" t="n">
        <x:v>12</x:v>
      </x:c>
      <x:c r="H898" s="40" t="n">
        <x:f>F898-E898</x:f>
        <x:v>-1.656587982177733</x:v>
      </x:c>
      <x:c r="I898" s="40" t="n">
        <x:f>ABS(H898)</x:f>
        <x:v>1.656587982177733</x:v>
      </x:c>
      <x:c r="J898" s="40" t="n">
        <x:f>H898^2</x:f>
        <x:v>2.7442837426956928</x:v>
      </x:c>
      <x:c r="K898" s="40" t="n">
        <x:f>G898-E898</x:f>
        <x:v>-0.14999999999999858</x:v>
      </x:c>
      <x:c r="L898" s="40" t="n">
        <x:f>ABS(K898)</x:f>
        <x:v>0.14999999999999858</x:v>
      </x:c>
      <x:c r="M898" s="41" t="str">
        <x:v>lstm-soil-v1</x:v>
      </x:c>
    </x:row>
    <x:row r="899">
      <x:c r="A899" s="38" t="str">
        <x:v>7月30日现场数据</x:v>
      </x:c>
      <x:c r="B899" s="39" t="str">
        <x:v>2026-08-01T08:10:00</x:v>
      </x:c>
      <x:c r="C899" s="39" t="str">
        <x:v>2026-08-01T09:10:00</x:v>
      </x:c>
      <x:c r="D899" s="47" t="n">
        <x:v>60</x:v>
      </x:c>
      <x:c r="E899" s="40" t="n">
        <x:v>12.4</x:v>
      </x:c>
      <x:c r="F899" s="40" t="n">
        <x:v>12.10934829711914</x:v>
      </x:c>
      <x:c r="G899" s="40" t="n">
        <x:v>12</x:v>
      </x:c>
      <x:c r="H899" s="40" t="n">
        <x:f>F899-E899</x:f>
        <x:v>-0.29065170288085973</x:v>
      </x:c>
      <x:c r="I899" s="40" t="n">
        <x:f>ABS(H899)</x:f>
        <x:v>0.29065170288085973</x:v>
      </x:c>
      <x:c r="J899" s="40" t="n">
        <x:f>H899^2</x:f>
        <x:v>0.08447841238754357</x:v>
      </x:c>
      <x:c r="K899" s="40" t="n">
        <x:f>G899-E899</x:f>
        <x:v>-0.40000000000000036</x:v>
      </x:c>
      <x:c r="L899" s="40" t="n">
        <x:f>ABS(K899)</x:f>
        <x:v>0.40000000000000036</x:v>
      </x:c>
      <x:c r="M899" s="41" t="str">
        <x:v>lstm-soil-v1</x:v>
      </x:c>
    </x:row>
    <x:row r="900">
      <x:c r="A900" s="38" t="str">
        <x:v>7月30日现场数据</x:v>
      </x:c>
      <x:c r="B900" s="39" t="str">
        <x:v>2026-08-01T08:15:00</x:v>
      </x:c>
      <x:c r="C900" s="39" t="str">
        <x:v>2026-08-01T08:20:00</x:v>
      </x:c>
      <x:c r="D900" s="47" t="n">
        <x:v>5</x:v>
      </x:c>
      <x:c r="E900" s="40" t="n">
        <x:v>12.1</x:v>
      </x:c>
      <x:c r="F900" s="40" t="n">
        <x:v>10.036422729492188</x:v>
      </x:c>
      <x:c r="G900" s="40" t="n">
        <x:v>12.1</x:v>
      </x:c>
      <x:c r="H900" s="40" t="n">
        <x:f>F900-E900</x:f>
        <x:v>-2.063577270507812</x:v>
      </x:c>
      <x:c r="I900" s="40" t="n">
        <x:f>ABS(H900)</x:f>
        <x:v>2.063577270507812</x:v>
      </x:c>
      <x:c r="J900" s="40" t="n">
        <x:f>H900^2</x:f>
        <x:v>4.2583511513564725</x:v>
      </x:c>
      <x:c r="K900" s="40" t="n">
        <x:f>G900-E900</x:f>
        <x:v>0</x:v>
      </x:c>
      <x:c r="L900" s="40" t="n">
        <x:f>ABS(K900)</x:f>
        <x:v>0</x:v>
      </x:c>
      <x:c r="M900" s="41" t="str">
        <x:v>lstm-soil-v1</x:v>
      </x:c>
    </x:row>
    <x:row r="901">
      <x:c r="A901" s="38" t="str">
        <x:v>7月30日现场数据</x:v>
      </x:c>
      <x:c r="B901" s="39" t="str">
        <x:v>2026-08-01T08:15:00</x:v>
      </x:c>
      <x:c r="C901" s="39" t="str">
        <x:v>2026-08-01T08:30:00</x:v>
      </x:c>
      <x:c r="D901" s="47" t="n">
        <x:v>15</x:v>
      </x:c>
      <x:c r="E901" s="40" t="n">
        <x:v>12.1</x:v>
      </x:c>
      <x:c r="F901" s="40" t="n">
        <x:v>10.0919189453125</x:v>
      </x:c>
      <x:c r="G901" s="40" t="n">
        <x:v>12.1</x:v>
      </x:c>
      <x:c r="H901" s="40" t="n">
        <x:f>F901-E901</x:f>
        <x:v>-2.0080810546874996</x:v>
      </x:c>
      <x:c r="I901" s="40" t="n">
        <x:f>ABS(H901)</x:f>
        <x:v>2.0080810546874996</x:v>
      </x:c>
      <x:c r="J901" s="40" t="n">
        <x:f>H901^2</x:f>
        <x:v>4.032389522194861</x:v>
      </x:c>
      <x:c r="K901" s="40" t="n">
        <x:f>G901-E901</x:f>
        <x:v>0</x:v>
      </x:c>
      <x:c r="L901" s="40" t="n">
        <x:f>ABS(K901)</x:f>
        <x:v>0</x:v>
      </x:c>
      <x:c r="M901" s="41" t="str">
        <x:v>lstm-soil-v1</x:v>
      </x:c>
    </x:row>
    <x:row r="902">
      <x:c r="A902" s="38" t="str">
        <x:v>7月30日现场数据</x:v>
      </x:c>
      <x:c r="B902" s="39" t="str">
        <x:v>2026-08-01T08:15:00</x:v>
      </x:c>
      <x:c r="C902" s="39" t="str">
        <x:v>2026-08-01T08:45:00</x:v>
      </x:c>
      <x:c r="D902" s="47" t="n">
        <x:v>30</x:v>
      </x:c>
      <x:c r="E902" s="40" t="n">
        <x:v>12.2</x:v>
      </x:c>
      <x:c r="F902" s="40" t="n">
        <x:v>10.604545593261719</x:v>
      </x:c>
      <x:c r="G902" s="40" t="n">
        <x:v>12.1</x:v>
      </x:c>
      <x:c r="H902" s="40" t="n">
        <x:f>F902-E902</x:f>
        <x:v>-1.5954544067382805</x:v>
      </x:c>
      <x:c r="I902" s="40" t="n">
        <x:f>ABS(H902)</x:f>
        <x:v>1.5954544067382805</x:v>
      </x:c>
      <x:c r="J902" s="40" t="n">
        <x:f>H902^2</x:f>
        <x:v>2.545474763980599</x:v>
      </x:c>
      <x:c r="K902" s="40" t="n">
        <x:f>G902-E902</x:f>
        <x:v>-0.09999999999999964</x:v>
      </x:c>
      <x:c r="L902" s="40" t="n">
        <x:f>ABS(K902)</x:f>
        <x:v>0.09999999999999964</x:v>
      </x:c>
      <x:c r="M902" s="41" t="str">
        <x:v>lstm-soil-v1</x:v>
      </x:c>
    </x:row>
    <x:row r="903">
      <x:c r="A903" s="38" t="str">
        <x:v>7月30日现场数据</x:v>
      </x:c>
      <x:c r="B903" s="39" t="str">
        <x:v>2026-08-01T08:15:00</x:v>
      </x:c>
      <x:c r="C903" s="39" t="str">
        <x:v>2026-08-01T09:15:00</x:v>
      </x:c>
      <x:c r="D903" s="47" t="n">
        <x:v>60</x:v>
      </x:c>
      <x:c r="E903" s="40" t="n">
        <x:v>12.4</x:v>
      </x:c>
      <x:c r="F903" s="40" t="n">
        <x:v>12.223953247070312</x:v>
      </x:c>
      <x:c r="G903" s="40" t="n">
        <x:v>12.1</x:v>
      </x:c>
      <x:c r="H903" s="40" t="n">
        <x:f>F903-E903</x:f>
        <x:v>-0.17604675292968786</x:v>
      </x:c>
      <x:c r="I903" s="40" t="n">
        <x:f>ABS(H903)</x:f>
        <x:v>0.17604675292968786</x:v>
      </x:c>
      <x:c r="J903" s="40" t="n">
        <x:f>H903^2</x:f>
        <x:v>0.03099245921708656</x:v>
      </x:c>
      <x:c r="K903" s="40" t="n">
        <x:f>G903-E903</x:f>
        <x:v>-0.3000000000000007</x:v>
      </x:c>
      <x:c r="L903" s="40" t="n">
        <x:f>ABS(K903)</x:f>
        <x:v>0.3000000000000007</x:v>
      </x:c>
      <x:c r="M903" s="41" t="str">
        <x:v>lstm-soil-v1</x:v>
      </x:c>
    </x:row>
    <x:row r="904">
      <x:c r="A904" s="38" t="str">
        <x:v>7月30日现场数据</x:v>
      </x:c>
      <x:c r="B904" s="39" t="str">
        <x:v>2026-08-01T08:20:00</x:v>
      </x:c>
      <x:c r="C904" s="39" t="str">
        <x:v>2026-08-01T08:25:00</x:v>
      </x:c>
      <x:c r="D904" s="47" t="n">
        <x:v>5</x:v>
      </x:c>
      <x:c r="E904" s="40" t="n">
        <x:v>12.1</x:v>
      </x:c>
      <x:c r="F904" s="40" t="n">
        <x:v>10.038162231445312</x:v>
      </x:c>
      <x:c r="G904" s="40" t="n">
        <x:v>12.1</x:v>
      </x:c>
      <x:c r="H904" s="40" t="n">
        <x:f>F904-E904</x:f>
        <x:v>-2.061837768554687</x:v>
      </x:c>
      <x:c r="I904" s="40" t="n">
        <x:f>ABS(H904)</x:f>
        <x:v>2.061837768554687</x:v>
      </x:c>
      <x:c r="J904" s="40" t="n">
        <x:f>H904^2</x:f>
        <x:v>4.251174983838571</x:v>
      </x:c>
      <x:c r="K904" s="40" t="n">
        <x:f>G904-E904</x:f>
        <x:v>0</x:v>
      </x:c>
      <x:c r="L904" s="40" t="n">
        <x:f>ABS(K904)</x:f>
        <x:v>0</x:v>
      </x:c>
      <x:c r="M904" s="41" t="str">
        <x:v>lstm-soil-v1</x:v>
      </x:c>
    </x:row>
    <x:row r="905">
      <x:c r="A905" s="38" t="str">
        <x:v>7月30日现场数据</x:v>
      </x:c>
      <x:c r="B905" s="39" t="str">
        <x:v>2026-08-01T08:20:00</x:v>
      </x:c>
      <x:c r="C905" s="39" t="str">
        <x:v>2026-08-01T08:35:00</x:v>
      </x:c>
      <x:c r="D905" s="47" t="n">
        <x:v>15</x:v>
      </x:c>
      <x:c r="E905" s="40" t="n">
        <x:v>12.1</x:v>
      </x:c>
      <x:c r="F905" s="40" t="n">
        <x:v>10.092521667480469</x:v>
      </x:c>
      <x:c r="G905" s="40" t="n">
        <x:v>12.1</x:v>
      </x:c>
      <x:c r="H905" s="40" t="n">
        <x:f>F905-E905</x:f>
        <x:v>-2.007478332519531</x:v>
      </x:c>
      <x:c r="I905" s="40" t="n">
        <x:f>ABS(H905)</x:f>
        <x:v>2.007478332519531</x:v>
      </x:c>
      <x:c r="J905" s="40" t="n">
        <x:f>H905^2</x:f>
        <x:v>4.029969255535396</x:v>
      </x:c>
      <x:c r="K905" s="40" t="n">
        <x:f>G905-E905</x:f>
        <x:v>0</x:v>
      </x:c>
      <x:c r="L905" s="40" t="n">
        <x:f>ABS(K905)</x:f>
        <x:v>0</x:v>
      </x:c>
      <x:c r="M905" s="41" t="str">
        <x:v>lstm-soil-v1</x:v>
      </x:c>
    </x:row>
    <x:row r="906">
      <x:c r="A906" s="38" t="str">
        <x:v>7月30日现场数据</x:v>
      </x:c>
      <x:c r="B906" s="39" t="str">
        <x:v>2026-08-01T08:20:00</x:v>
      </x:c>
      <x:c r="C906" s="39" t="str">
        <x:v>2026-08-01T08:50:00</x:v>
      </x:c>
      <x:c r="D906" s="47" t="n">
        <x:v>30</x:v>
      </x:c>
      <x:c r="E906" s="40" t="n">
        <x:v>12.3</x:v>
      </x:c>
      <x:c r="F906" s="40" t="n">
        <x:v>10.60677719116211</x:v>
      </x:c>
      <x:c r="G906" s="40" t="n">
        <x:v>12.1</x:v>
      </x:c>
      <x:c r="H906" s="40" t="n">
        <x:f>F906-E906</x:f>
        <x:v>-1.6932228088378913</x:v>
      </x:c>
      <x:c r="I906" s="40" t="n">
        <x:f>ABS(H906)</x:f>
        <x:v>1.6932228088378913</x:v>
      </x:c>
      <x:c r="J906" s="40" t="n">
        <x:f>H906^2</x:f>
        <x:v>2.8670034803688784</x:v>
      </x:c>
      <x:c r="K906" s="40" t="n">
        <x:f>G906-E906</x:f>
        <x:v>-0.20000000000000107</x:v>
      </x:c>
      <x:c r="L906" s="40" t="n">
        <x:f>ABS(K906)</x:f>
        <x:v>0.20000000000000107</x:v>
      </x:c>
      <x:c r="M906" s="41" t="str">
        <x:v>lstm-soil-v1</x:v>
      </x:c>
    </x:row>
    <x:row r="907">
      <x:c r="A907" s="38" t="str">
        <x:v>7月30日现场数据</x:v>
      </x:c>
      <x:c r="B907" s="39" t="str">
        <x:v>2026-08-01T08:20:00</x:v>
      </x:c>
      <x:c r="C907" s="39" t="str">
        <x:v>2026-08-01T09:20:00</x:v>
      </x:c>
      <x:c r="D907" s="47" t="n">
        <x:v>60</x:v>
      </x:c>
      <x:c r="E907" s="40" t="n">
        <x:v>12.3</x:v>
      </x:c>
      <x:c r="F907" s="40" t="n">
        <x:v>12.22836685180664</x:v>
      </x:c>
      <x:c r="G907" s="40" t="n">
        <x:v>12.1</x:v>
      </x:c>
      <x:c r="H907" s="40" t="n">
        <x:f>F907-E907</x:f>
        <x:v>-0.07163314819336009</x:v>
      </x:c>
      <x:c r="I907" s="40" t="n">
        <x:f>ABS(H907)</x:f>
        <x:v>0.07163314819336009</x:v>
      </x:c>
      <x:c r="J907" s="40" t="n">
        <x:f>H907^2</x:f>
        <x:v>0.005131307920091887</x:v>
      </x:c>
      <x:c r="K907" s="40" t="n">
        <x:f>G907-E907</x:f>
        <x:v>-0.20000000000000107</x:v>
      </x:c>
      <x:c r="L907" s="40" t="n">
        <x:f>ABS(K907)</x:f>
        <x:v>0.20000000000000107</x:v>
      </x:c>
      <x:c r="M907" s="41" t="str">
        <x:v>lstm-soil-v1</x:v>
      </x:c>
    </x:row>
    <x:row r="908">
      <x:c r="A908" s="38" t="str">
        <x:v>7月30日现场数据</x:v>
      </x:c>
      <x:c r="B908" s="39" t="str">
        <x:v>2026-08-01T08:25:00</x:v>
      </x:c>
      <x:c r="C908" s="39" t="str">
        <x:v>2026-08-01T08:30:00</x:v>
      </x:c>
      <x:c r="D908" s="47" t="n">
        <x:v>5</x:v>
      </x:c>
      <x:c r="E908" s="40" t="n">
        <x:v>12.1</x:v>
      </x:c>
      <x:c r="F908" s="40" t="n">
        <x:v>10.039588928222656</x:v>
      </x:c>
      <x:c r="G908" s="40" t="n">
        <x:v>12.1</x:v>
      </x:c>
      <x:c r="H908" s="40" t="n">
        <x:f>F908-E908</x:f>
        <x:v>-2.0604110717773434</x:v>
      </x:c>
      <x:c r="I908" s="40" t="n">
        <x:f>ABS(H908)</x:f>
        <x:v>2.0604110717773434</x:v>
      </x:c>
      <x:c r="J908" s="40" t="n">
        <x:f>H908^2</x:f>
        <x:v>4.245293784702661</x:v>
      </x:c>
      <x:c r="K908" s="40" t="n">
        <x:f>G908-E908</x:f>
        <x:v>0</x:v>
      </x:c>
      <x:c r="L908" s="40" t="n">
        <x:f>ABS(K908)</x:f>
        <x:v>0</x:v>
      </x:c>
      <x:c r="M908" s="41" t="str">
        <x:v>lstm-soil-v1</x:v>
      </x:c>
    </x:row>
    <x:row r="909">
      <x:c r="A909" s="38" t="str">
        <x:v>7月30日现场数据</x:v>
      </x:c>
      <x:c r="B909" s="39" t="str">
        <x:v>2026-08-01T08:25:00</x:v>
      </x:c>
      <x:c r="C909" s="39" t="str">
        <x:v>2026-08-01T08:40:00</x:v>
      </x:c>
      <x:c r="D909" s="47" t="n">
        <x:v>15</x:v>
      </x:c>
      <x:c r="E909" s="40" t="n">
        <x:v>12.149999999999999</x:v>
      </x:c>
      <x:c r="F909" s="40" t="n">
        <x:v>10.093421936035156</x:v>
      </x:c>
      <x:c r="G909" s="40" t="n">
        <x:v>12.1</x:v>
      </x:c>
      <x:c r="H909" s="40" t="n">
        <x:f>F909-E909</x:f>
        <x:v>-2.0565780639648423</x:v>
      </x:c>
      <x:c r="I909" s="40" t="n">
        <x:f>ABS(H909)</x:f>
        <x:v>2.0565780639648423</x:v>
      </x:c>
      <x:c r="J909" s="40" t="n">
        <x:f>H909^2</x:f>
        <x:v>4.229513333181379</x:v>
      </x:c>
      <x:c r="K909" s="40" t="n">
        <x:f>G909-E909</x:f>
        <x:v>-0.049999999999998934</x:v>
      </x:c>
      <x:c r="L909" s="40" t="n">
        <x:f>ABS(K909)</x:f>
        <x:v>0.049999999999998934</x:v>
      </x:c>
      <x:c r="M909" s="41" t="str">
        <x:v>lstm-soil-v1</x:v>
      </x:c>
    </x:row>
    <x:row r="910">
      <x:c r="A910" s="38" t="str">
        <x:v>7月30日现场数据</x:v>
      </x:c>
      <x:c r="B910" s="39" t="str">
        <x:v>2026-08-01T08:25:00</x:v>
      </x:c>
      <x:c r="C910" s="39" t="str">
        <x:v>2026-08-01T08:55:00</x:v>
      </x:c>
      <x:c r="D910" s="47" t="n">
        <x:v>30</x:v>
      </x:c>
      <x:c r="E910" s="40" t="n">
        <x:v>12.4</x:v>
      </x:c>
      <x:c r="F910" s="40" t="n">
        <x:v>10.60892105102539</x:v>
      </x:c>
      <x:c r="G910" s="40" t="n">
        <x:v>12.1</x:v>
      </x:c>
      <x:c r="H910" s="40" t="n">
        <x:f>F910-E910</x:f>
        <x:v>-1.7910789489746097</x:v>
      </x:c>
      <x:c r="I910" s="40" t="n">
        <x:f>ABS(H910)</x:f>
        <x:v>1.7910789489746097</x:v>
      </x:c>
      <x:c r="J910" s="40" t="n">
        <x:f>H910^2</x:f>
        <x:v>3.2079638014599925</x:v>
      </x:c>
      <x:c r="K910" s="40" t="n">
        <x:f>G910-E910</x:f>
        <x:v>-0.3000000000000007</x:v>
      </x:c>
      <x:c r="L910" s="40" t="n">
        <x:f>ABS(K910)</x:f>
        <x:v>0.3000000000000007</x:v>
      </x:c>
      <x:c r="M910" s="41" t="str">
        <x:v>lstm-soil-v1</x:v>
      </x:c>
    </x:row>
    <x:row r="911">
      <x:c r="A911" s="38" t="str">
        <x:v>7月30日现场数据</x:v>
      </x:c>
      <x:c r="B911" s="39" t="str">
        <x:v>2026-08-01T08:25:00</x:v>
      </x:c>
      <x:c r="C911" s="39" t="str">
        <x:v>2026-08-01T09:25:00</x:v>
      </x:c>
      <x:c r="D911" s="47" t="n">
        <x:v>60</x:v>
      </x:c>
      <x:c r="E911" s="40" t="n">
        <x:v>12.3</x:v>
      </x:c>
      <x:c r="F911" s="40" t="n">
        <x:v>12.231536865234375</x:v>
      </x:c>
      <x:c r="G911" s="40" t="n">
        <x:v>12.1</x:v>
      </x:c>
      <x:c r="H911" s="40" t="n">
        <x:f>F911-E911</x:f>
        <x:v>-0.06846313476562571</x:v>
      </x:c>
      <x:c r="I911" s="40" t="n">
        <x:f>ABS(H911)</x:f>
        <x:v>0.06846313476562571</x:v>
      </x:c>
      <x:c r="J911" s="40" t="n">
        <x:f>H911^2</x:f>
        <x:v>0.004687200821936228</x:v>
      </x:c>
      <x:c r="K911" s="40" t="n">
        <x:f>G911-E911</x:f>
        <x:v>-0.20000000000000107</x:v>
      </x:c>
      <x:c r="L911" s="40" t="n">
        <x:f>ABS(K911)</x:f>
        <x:v>0.20000000000000107</x:v>
      </x:c>
      <x:c r="M911" s="41" t="str">
        <x:v>lstm-soil-v1</x:v>
      </x:c>
    </x:row>
    <x:row r="912">
      <x:c r="A912" s="38" t="str">
        <x:v>7月30日现场数据</x:v>
      </x:c>
      <x:c r="B912" s="39" t="str">
        <x:v>2026-08-01T08:30:00</x:v>
      </x:c>
      <x:c r="C912" s="39" t="str">
        <x:v>2026-08-01T08:35:00</x:v>
      </x:c>
      <x:c r="D912" s="47" t="n">
        <x:v>5</x:v>
      </x:c>
      <x:c r="E912" s="40" t="n">
        <x:v>12.1</x:v>
      </x:c>
      <x:c r="F912" s="40" t="n">
        <x:v>10.049774169921875</x:v>
      </x:c>
      <x:c r="G912" s="40" t="n">
        <x:v>12.1</x:v>
      </x:c>
      <x:c r="H912" s="40" t="n">
        <x:f>F912-E912</x:f>
        <x:v>-2.0502258300781246</x:v>
      </x:c>
      <x:c r="I912" s="40" t="n">
        <x:f>ABS(H912)</x:f>
        <x:v>2.0502258300781246</x:v>
      </x:c>
      <x:c r="J912" s="40" t="n">
        <x:f>H912^2</x:f>
        <x:v>4.203425954319536</x:v>
      </x:c>
      <x:c r="K912" s="40" t="n">
        <x:f>G912-E912</x:f>
        <x:v>0</x:v>
      </x:c>
      <x:c r="L912" s="40" t="n">
        <x:f>ABS(K912)</x:f>
        <x:v>0</x:v>
      </x:c>
      <x:c r="M912" s="41" t="str">
        <x:v>lstm-soil-v1</x:v>
      </x:c>
    </x:row>
    <x:row r="913">
      <x:c r="A913" s="38" t="str">
        <x:v>7月30日现场数据</x:v>
      </x:c>
      <x:c r="B913" s="39" t="str">
        <x:v>2026-08-01T08:30:00</x:v>
      </x:c>
      <x:c r="C913" s="39" t="str">
        <x:v>2026-08-01T08:45:00</x:v>
      </x:c>
      <x:c r="D913" s="47" t="n">
        <x:v>15</x:v>
      </x:c>
      <x:c r="E913" s="40" t="n">
        <x:v>12.2</x:v>
      </x:c>
      <x:c r="F913" s="40" t="n">
        <x:v>10.088165283203125</x:v>
      </x:c>
      <x:c r="G913" s="40" t="n">
        <x:v>12.1</x:v>
      </x:c>
      <x:c r="H913" s="40" t="n">
        <x:f>F913-E913</x:f>
        <x:v>-2.1118347167968743</x:v>
      </x:c>
      <x:c r="I913" s="40" t="n">
        <x:f>ABS(H913)</x:f>
        <x:v>2.1118347167968743</x:v>
      </x:c>
      <x:c r="J913" s="40" t="n">
        <x:f>H913^2</x:f>
        <x:v>4.459845871068534</x:v>
      </x:c>
      <x:c r="K913" s="40" t="n">
        <x:f>G913-E913</x:f>
        <x:v>-0.09999999999999964</x:v>
      </x:c>
      <x:c r="L913" s="40" t="n">
        <x:f>ABS(K913)</x:f>
        <x:v>0.09999999999999964</x:v>
      </x:c>
      <x:c r="M913" s="41" t="str">
        <x:v>lstm-soil-v1</x:v>
      </x:c>
    </x:row>
    <x:row r="914">
      <x:c r="A914" s="38" t="str">
        <x:v>7月30日现场数据</x:v>
      </x:c>
      <x:c r="B914" s="39" t="str">
        <x:v>2026-08-01T08:30:00</x:v>
      </x:c>
      <x:c r="C914" s="39" t="str">
        <x:v>2026-08-01T09:00:00</x:v>
      </x:c>
      <x:c r="D914" s="47" t="n">
        <x:v>30</x:v>
      </x:c>
      <x:c r="E914" s="40" t="n">
        <x:v>12.4</x:v>
      </x:c>
      <x:c r="F914" s="40" t="n">
        <x:v>10.637378692626953</x:v>
      </x:c>
      <x:c r="G914" s="40" t="n">
        <x:v>12.1</x:v>
      </x:c>
      <x:c r="H914" s="40" t="n">
        <x:f>F914-E914</x:f>
        <x:v>-1.7626213073730472</x:v>
      </x:c>
      <x:c r="I914" s="40" t="n">
        <x:f>ABS(H914)</x:f>
        <x:v>1.7626213073730472</x:v>
      </x:c>
      <x:c r="J914" s="40" t="n">
        <x:f>H914^2</x:f>
        <x:v>3.10683387320547</x:v>
      </x:c>
      <x:c r="K914" s="40" t="n">
        <x:f>G914-E914</x:f>
        <x:v>-0.3000000000000007</x:v>
      </x:c>
      <x:c r="L914" s="40" t="n">
        <x:f>ABS(K914)</x:f>
        <x:v>0.3000000000000007</x:v>
      </x:c>
      <x:c r="M914" s="41" t="str">
        <x:v>lstm-soil-v1</x:v>
      </x:c>
    </x:row>
    <x:row r="915">
      <x:c r="A915" s="38" t="str">
        <x:v>7月30日现场数据</x:v>
      </x:c>
      <x:c r="B915" s="39" t="str">
        <x:v>2026-08-01T08:30:00</x:v>
      </x:c>
      <x:c r="C915" s="39" t="str">
        <x:v>2026-08-01T09:30:00</x:v>
      </x:c>
      <x:c r="D915" s="47" t="n">
        <x:v>60</x:v>
      </x:c>
      <x:c r="E915" s="40" t="n">
        <x:v>12.3</x:v>
      </x:c>
      <x:c r="F915" s="40" t="n">
        <x:v>12.315319061279297</x:v>
      </x:c>
      <x:c r="G915" s="40" t="n">
        <x:v>12.1</x:v>
      </x:c>
      <x:c r="H915" s="40" t="n">
        <x:f>F915-E915</x:f>
        <x:v>0.015319061279296164</x:v>
      </x:c>
      <x:c r="I915" s="40" t="n">
        <x:f>ABS(H915)</x:f>
        <x:v>0.015319061279296164</x:v>
      </x:c>
      <x:c r="J915" s="40" t="n">
        <x:f>H915^2</x:f>
        <x:v>0.00023467363847883105</x:v>
      </x:c>
      <x:c r="K915" s="40" t="n">
        <x:f>G915-E915</x:f>
        <x:v>-0.20000000000000107</x:v>
      </x:c>
      <x:c r="L915" s="40" t="n">
        <x:f>ABS(K915)</x:f>
        <x:v>0.20000000000000107</x:v>
      </x:c>
      <x:c r="M915" s="41" t="str">
        <x:v>lstm-soil-v1</x:v>
      </x:c>
    </x:row>
    <x:row r="916">
      <x:c r="A916" s="38" t="str">
        <x:v>7月30日现场数据</x:v>
      </x:c>
      <x:c r="B916" s="39" t="str">
        <x:v>2026-08-01T08:35:00</x:v>
      </x:c>
      <x:c r="C916" s="39" t="str">
        <x:v>2026-08-01T08:40:00</x:v>
      </x:c>
      <x:c r="D916" s="47" t="n">
        <x:v>5</x:v>
      </x:c>
      <x:c r="E916" s="40" t="n">
        <x:v>12.149999999999999</x:v>
      </x:c>
      <x:c r="F916" s="40" t="n">
        <x:v>10.061969757080078</x:v>
      </x:c>
      <x:c r="G916" s="40" t="n">
        <x:v>12.1</x:v>
      </x:c>
      <x:c r="H916" s="40" t="n">
        <x:f>F916-E916</x:f>
        <x:v>-2.0880302429199205</x:v>
      </x:c>
      <x:c r="I916" s="40" t="n">
        <x:f>ABS(H916)</x:f>
        <x:v>2.0880302429199205</x:v>
      </x:c>
      <x:c r="J916" s="40" t="n">
        <x:f>H916^2</x:f>
        <x:v>4.359870295348222</x:v>
      </x:c>
      <x:c r="K916" s="40" t="n">
        <x:f>G916-E916</x:f>
        <x:v>-0.049999999999998934</x:v>
      </x:c>
      <x:c r="L916" s="40" t="n">
        <x:f>ABS(K916)</x:f>
        <x:v>0.049999999999998934</x:v>
      </x:c>
      <x:c r="M916" s="41" t="str">
        <x:v>lstm-soil-v1</x:v>
      </x:c>
    </x:row>
    <x:row r="917">
      <x:c r="A917" s="38" t="str">
        <x:v>7月30日现场数据</x:v>
      </x:c>
      <x:c r="B917" s="39" t="str">
        <x:v>2026-08-01T08:35:00</x:v>
      </x:c>
      <x:c r="C917" s="39" t="str">
        <x:v>2026-08-01T08:50:00</x:v>
      </x:c>
      <x:c r="D917" s="47" t="n">
        <x:v>15</x:v>
      </x:c>
      <x:c r="E917" s="40" t="n">
        <x:v>12.3</x:v>
      </x:c>
      <x:c r="F917" s="40" t="n">
        <x:v>10.088695526123047</x:v>
      </x:c>
      <x:c r="G917" s="40" t="n">
        <x:v>12.1</x:v>
      </x:c>
      <x:c r="H917" s="40" t="n">
        <x:f>F917-E917</x:f>
        <x:v>-2.211304473876954</x:v>
      </x:c>
      <x:c r="I917" s="40" t="n">
        <x:f>ABS(H917)</x:f>
        <x:v>2.211304473876954</x:v>
      </x:c>
      <x:c r="J917" s="40" t="n">
        <x:f>H917^2</x:f>
        <x:v>4.889867476188232</x:v>
      </x:c>
      <x:c r="K917" s="40" t="n">
        <x:f>G917-E917</x:f>
        <x:v>-0.20000000000000107</x:v>
      </x:c>
      <x:c r="L917" s="40" t="n">
        <x:f>ABS(K917)</x:f>
        <x:v>0.20000000000000107</x:v>
      </x:c>
      <x:c r="M917" s="41" t="str">
        <x:v>lstm-soil-v1</x:v>
      </x:c>
    </x:row>
    <x:row r="918">
      <x:c r="A918" s="38" t="str">
        <x:v>7月30日现场数据</x:v>
      </x:c>
      <x:c r="B918" s="39" t="str">
        <x:v>2026-08-01T08:35:00</x:v>
      </x:c>
      <x:c r="C918" s="39" t="str">
        <x:v>2026-08-01T09:05:00</x:v>
      </x:c>
      <x:c r="D918" s="47" t="n">
        <x:v>30</x:v>
      </x:c>
      <x:c r="E918" s="40" t="n">
        <x:v>12.4</x:v>
      </x:c>
      <x:c r="F918" s="40" t="n">
        <x:v>10.6734619140625</x:v>
      </x:c>
      <x:c r="G918" s="40" t="n">
        <x:v>12.1</x:v>
      </x:c>
      <x:c r="H918" s="40" t="n">
        <x:f>F918-E918</x:f>
        <x:v>-1.7265380859375004</x:v>
      </x:c>
      <x:c r="I918" s="40" t="n">
        <x:f>ABS(H918)</x:f>
        <x:v>1.7265380859375004</x:v>
      </x:c>
      <x:c r="J918" s="40" t="n">
        <x:f>H918^2</x:f>
        <x:v>2.9809337621927274</x:v>
      </x:c>
      <x:c r="K918" s="40" t="n">
        <x:f>G918-E918</x:f>
        <x:v>-0.3000000000000007</x:v>
      </x:c>
      <x:c r="L918" s="40" t="n">
        <x:f>ABS(K918)</x:f>
        <x:v>0.3000000000000007</x:v>
      </x:c>
      <x:c r="M918" s="41" t="str">
        <x:v>lstm-soil-v1</x:v>
      </x:c>
    </x:row>
    <x:row r="919">
      <x:c r="A919" s="38" t="str">
        <x:v>7月30日现场数据</x:v>
      </x:c>
      <x:c r="B919" s="39" t="str">
        <x:v>2026-08-01T08:35:00</x:v>
      </x:c>
      <x:c r="C919" s="39" t="str">
        <x:v>2026-08-01T09:35:00</x:v>
      </x:c>
      <x:c r="D919" s="47" t="n">
        <x:v>60</x:v>
      </x:c>
      <x:c r="E919" s="40" t="n">
        <x:v>12.3</x:v>
      </x:c>
      <x:c r="F919" s="40" t="n">
        <x:v>12.378192901611328</x:v>
      </x:c>
      <x:c r="G919" s="40" t="n">
        <x:v>12.1</x:v>
      </x:c>
      <x:c r="H919" s="40" t="n">
        <x:f>F919-E919</x:f>
        <x:v>0.07819290161132741</x:v>
      </x:c>
      <x:c r="I919" s="40" t="n">
        <x:f>ABS(H919)</x:f>
        <x:v>0.07819290161132741</x:v>
      </x:c>
      <x:c r="J919" s="40" t="n">
        <x:f>H919^2</x:f>
        <x:v>0.006114129862398729</x:v>
      </x:c>
      <x:c r="K919" s="40" t="n">
        <x:f>G919-E919</x:f>
        <x:v>-0.20000000000000107</x:v>
      </x:c>
      <x:c r="L919" s="40" t="n">
        <x:f>ABS(K919)</x:f>
        <x:v>0.20000000000000107</x:v>
      </x:c>
      <x:c r="M919" s="41" t="str">
        <x:v>lstm-soil-v1</x:v>
      </x:c>
    </x:row>
    <x:row r="920">
      <x:c r="A920" s="38" t="str">
        <x:v>7月30日现场数据</x:v>
      </x:c>
      <x:c r="B920" s="39" t="str">
        <x:v>2026-08-01T08:40:00</x:v>
      </x:c>
      <x:c r="C920" s="39" t="str">
        <x:v>2026-08-01T08:45:00</x:v>
      </x:c>
      <x:c r="D920" s="47" t="n">
        <x:v>5</x:v>
      </x:c>
      <x:c r="E920" s="40" t="n">
        <x:v>12.2</x:v>
      </x:c>
      <x:c r="F920" s="40" t="n">
        <x:v>10.125076293945312</x:v>
      </x:c>
      <x:c r="G920" s="40" t="n">
        <x:v>12.149999999999999</x:v>
      </x:c>
      <x:c r="H920" s="40" t="n">
        <x:f>F920-E920</x:f>
        <x:v>-2.074923706054687</x:v>
      </x:c>
      <x:c r="I920" s="40" t="n">
        <x:f>ABS(H920)</x:f>
        <x:v>2.074923706054687</x:v>
      </x:c>
      <x:c r="J920" s="40" t="n">
        <x:f>H920^2</x:f>
        <x:v>4.305308385947717</x:v>
      </x:c>
      <x:c r="K920" s="40" t="n">
        <x:f>G920-E920</x:f>
        <x:v>-0.05000000000000071</x:v>
      </x:c>
      <x:c r="L920" s="40" t="n">
        <x:f>ABS(K920)</x:f>
        <x:v>0.05000000000000071</x:v>
      </x:c>
      <x:c r="M920" s="41" t="str">
        <x:v>lstm-soil-v1</x:v>
      </x:c>
    </x:row>
    <x:row r="921">
      <x:c r="A921" s="38" t="str">
        <x:v>7月30日现场数据</x:v>
      </x:c>
      <x:c r="B921" s="39" t="str">
        <x:v>2026-08-01T08:40:00</x:v>
      </x:c>
      <x:c r="C921" s="39" t="str">
        <x:v>2026-08-01T08:55:00</x:v>
      </x:c>
      <x:c r="D921" s="47" t="n">
        <x:v>15</x:v>
      </x:c>
      <x:c r="E921" s="40" t="n">
        <x:v>12.4</x:v>
      </x:c>
      <x:c r="F921" s="40" t="n">
        <x:v>10.144622802734375</x:v>
      </x:c>
      <x:c r="G921" s="40" t="n">
        <x:v>12.149999999999999</x:v>
      </x:c>
      <x:c r="H921" s="40" t="n">
        <x:f>F921-E921</x:f>
        <x:v>-2.2553771972656254</x:v>
      </x:c>
      <x:c r="I921" s="40" t="n">
        <x:f>ABS(H921)</x:f>
        <x:v>2.2553771972656254</x:v>
      </x:c>
      <x:c r="J921" s="40" t="n">
        <x:f>H921^2</x:f>
        <x:v>5.086726301945747</x:v>
      </x:c>
      <x:c r="K921" s="40" t="n">
        <x:f>G921-E921</x:f>
        <x:v>-0.2500000000000018</x:v>
      </x:c>
      <x:c r="L921" s="40" t="n">
        <x:f>ABS(K921)</x:f>
        <x:v>0.2500000000000018</x:v>
      </x:c>
      <x:c r="M921" s="41" t="str">
        <x:v>lstm-soil-v1</x:v>
      </x:c>
    </x:row>
    <x:row r="922">
      <x:c r="A922" s="38" t="str">
        <x:v>7月30日现场数据</x:v>
      </x:c>
      <x:c r="B922" s="39" t="str">
        <x:v>2026-08-01T08:40:00</x:v>
      </x:c>
      <x:c r="C922" s="39" t="str">
        <x:v>2026-08-01T09:10:00</x:v>
      </x:c>
      <x:c r="D922" s="47" t="n">
        <x:v>30</x:v>
      </x:c>
      <x:c r="E922" s="40" t="n">
        <x:v>12.4</x:v>
      </x:c>
      <x:c r="F922" s="40" t="n">
        <x:v>10.756179809570312</x:v>
      </x:c>
      <x:c r="G922" s="40" t="n">
        <x:v>12.149999999999999</x:v>
      </x:c>
      <x:c r="H922" s="40" t="n">
        <x:f>F922-E922</x:f>
        <x:v>-1.6438201904296879</x:v>
      </x:c>
      <x:c r="I922" s="40" t="n">
        <x:f>ABS(H922)</x:f>
        <x:v>1.6438201904296879</x:v>
      </x:c>
      <x:c r="J922" s="40" t="n">
        <x:f>H922^2</x:f>
        <x:v>2.702144818464295</x:v>
      </x:c>
      <x:c r="K922" s="40" t="n">
        <x:f>G922-E922</x:f>
        <x:v>-0.2500000000000018</x:v>
      </x:c>
      <x:c r="L922" s="40" t="n">
        <x:f>ABS(K922)</x:f>
        <x:v>0.2500000000000018</x:v>
      </x:c>
      <x:c r="M922" s="41" t="str">
        <x:v>lstm-soil-v1</x:v>
      </x:c>
    </x:row>
    <x:row r="923">
      <x:c r="A923" s="38" t="str">
        <x:v>7月30日现场数据</x:v>
      </x:c>
      <x:c r="B923" s="39" t="str">
        <x:v>2026-08-01T08:40:00</x:v>
      </x:c>
      <x:c r="C923" s="39" t="str">
        <x:v>2026-08-01T09:40:00</x:v>
      </x:c>
      <x:c r="D923" s="47" t="n">
        <x:v>60</x:v>
      </x:c>
      <x:c r="E923" s="40" t="n">
        <x:v>12.3</x:v>
      </x:c>
      <x:c r="F923" s="40" t="n">
        <x:v>12.489555358886719</x:v>
      </x:c>
      <x:c r="G923" s="40" t="n">
        <x:v>12.149999999999999</x:v>
      </x:c>
      <x:c r="H923" s="40" t="n">
        <x:f>F923-E923</x:f>
        <x:v>0.18955535888671804</x:v>
      </x:c>
      <x:c r="I923" s="40" t="n">
        <x:f>ABS(H923)</x:f>
        <x:v>0.18955535888671804</x:v>
      </x:c>
      <x:c r="J923" s="40" t="n">
        <x:f>H923^2</x:f>
        <x:v>0.03593123408267247</x:v>
      </x:c>
      <x:c r="K923" s="40" t="n">
        <x:f>G923-E923</x:f>
        <x:v>-0.15000000000000213</x:v>
      </x:c>
      <x:c r="L923" s="40" t="n">
        <x:f>ABS(K923)</x:f>
        <x:v>0.15000000000000213</x:v>
      </x:c>
      <x:c r="M923" s="41" t="str">
        <x:v>lstm-soil-v1</x:v>
      </x:c>
    </x:row>
    <x:row r="924">
      <x:c r="A924" s="38" t="str">
        <x:v>7月30日现场数据</x:v>
      </x:c>
      <x:c r="B924" s="39" t="str">
        <x:v>2026-08-01T08:45:00</x:v>
      </x:c>
      <x:c r="C924" s="39" t="str">
        <x:v>2026-08-01T08:50:00</x:v>
      </x:c>
      <x:c r="D924" s="47" t="n">
        <x:v>5</x:v>
      </x:c>
      <x:c r="E924" s="40" t="n">
        <x:v>12.3</x:v>
      </x:c>
      <x:c r="F924" s="40" t="n">
        <x:v>10.185161590576172</x:v>
      </x:c>
      <x:c r="G924" s="40" t="n">
        <x:v>12.2</x:v>
      </x:c>
      <x:c r="H924" s="40" t="n">
        <x:f>F924-E924</x:f>
        <x:v>-2.114838409423829</x:v>
      </x:c>
      <x:c r="I924" s="40" t="n">
        <x:f>ABS(H924)</x:f>
        <x:v>2.114838409423829</x:v>
      </x:c>
      <x:c r="J924" s="40" t="n">
        <x:f>H924^2</x:f>
        <x:v>4.47254149797431</x:v>
      </x:c>
      <x:c r="K924" s="40" t="n">
        <x:f>G924-E924</x:f>
        <x:v>-0.10000000000000142</x:v>
      </x:c>
      <x:c r="L924" s="40" t="n">
        <x:f>ABS(K924)</x:f>
        <x:v>0.10000000000000142</x:v>
      </x:c>
      <x:c r="M924" s="41" t="str">
        <x:v>lstm-soil-v1</x:v>
      </x:c>
    </x:row>
    <x:row r="925">
      <x:c r="A925" s="38" t="str">
        <x:v>7月30日现场数据</x:v>
      </x:c>
      <x:c r="B925" s="39" t="str">
        <x:v>2026-08-01T08:45:00</x:v>
      </x:c>
      <x:c r="C925" s="39" t="str">
        <x:v>2026-08-01T09:00:00</x:v>
      </x:c>
      <x:c r="D925" s="47" t="n">
        <x:v>15</x:v>
      </x:c>
      <x:c r="E925" s="40" t="n">
        <x:v>12.4</x:v>
      </x:c>
      <x:c r="F925" s="40" t="n">
        <x:v>10.200416564941406</x:v>
      </x:c>
      <x:c r="G925" s="40" t="n">
        <x:v>12.2</x:v>
      </x:c>
      <x:c r="H925" s="40" t="n">
        <x:f>F925-E925</x:f>
        <x:v>-2.199583435058594</x:v>
      </x:c>
      <x:c r="I925" s="40" t="n">
        <x:f>ABS(H925)</x:f>
        <x:v>2.199583435058594</x:v>
      </x:c>
      <x:c r="J925" s="40" t="n">
        <x:f>H925^2</x:f>
        <x:v>4.838167287784165</x:v>
      </x:c>
      <x:c r="K925" s="40" t="n">
        <x:f>G925-E925</x:f>
        <x:v>-0.20000000000000107</x:v>
      </x:c>
      <x:c r="L925" s="40" t="n">
        <x:f>ABS(K925)</x:f>
        <x:v>0.20000000000000107</x:v>
      </x:c>
      <x:c r="M925" s="41" t="str">
        <x:v>lstm-soil-v1</x:v>
      </x:c>
    </x:row>
    <x:row r="926">
      <x:c r="A926" s="38" t="str">
        <x:v>7月30日现场数据</x:v>
      </x:c>
      <x:c r="B926" s="39" t="str">
        <x:v>2026-08-01T08:45:00</x:v>
      </x:c>
      <x:c r="C926" s="39" t="str">
        <x:v>2026-08-01T09:15:00</x:v>
      </x:c>
      <x:c r="D926" s="47" t="n">
        <x:v>30</x:v>
      </x:c>
      <x:c r="E926" s="40" t="n">
        <x:v>12.4</x:v>
      </x:c>
      <x:c r="F926" s="40" t="n">
        <x:v>10.83120346069336</x:v>
      </x:c>
      <x:c r="G926" s="40" t="n">
        <x:v>12.2</x:v>
      </x:c>
      <x:c r="H926" s="40" t="n">
        <x:f>F926-E926</x:f>
        <x:v>-1.568796539306641</x:v>
      </x:c>
      <x:c r="I926" s="40" t="n">
        <x:f>ABS(H926)</x:f>
        <x:v>1.568796539306641</x:v>
      </x:c>
      <x:c r="J926" s="40" t="n">
        <x:f>H926^2</x:f>
        <x:v>2.461122581740493</x:v>
      </x:c>
      <x:c r="K926" s="40" t="n">
        <x:f>G926-E926</x:f>
        <x:v>-0.20000000000000107</x:v>
      </x:c>
      <x:c r="L926" s="40" t="n">
        <x:f>ABS(K926)</x:f>
        <x:v>0.20000000000000107</x:v>
      </x:c>
      <x:c r="M926" s="41" t="str">
        <x:v>lstm-soil-v1</x:v>
      </x:c>
    </x:row>
    <x:row r="927">
      <x:c r="A927" s="38" t="str">
        <x:v>7月30日现场数据</x:v>
      </x:c>
      <x:c r="B927" s="39" t="str">
        <x:v>2026-08-01T08:45:00</x:v>
      </x:c>
      <x:c r="C927" s="39" t="str">
        <x:v>2026-08-01T09:45:00</x:v>
      </x:c>
      <x:c r="D927" s="47" t="n">
        <x:v>60</x:v>
      </x:c>
      <x:c r="E927" s="40" t="n">
        <x:v>12.3</x:v>
      </x:c>
      <x:c r="F927" s="40" t="n">
        <x:v>12.583362579345703</x:v>
      </x:c>
      <x:c r="G927" s="40" t="n">
        <x:v>12.2</x:v>
      </x:c>
      <x:c r="H927" s="40" t="n">
        <x:f>F927-E927</x:f>
        <x:v>0.2833625793457024</x:v>
      </x:c>
      <x:c r="I927" s="40" t="n">
        <x:f>ABS(H927)</x:f>
        <x:v>0.2833625793457024</x:v>
      </x:c>
      <x:c r="J927" s="40" t="n">
        <x:f>H927^2</x:f>
        <x:v>0.0802943513734495</x:v>
      </x:c>
      <x:c r="K927" s="40" t="n">
        <x:f>G927-E927</x:f>
        <x:v>-0.10000000000000142</x:v>
      </x:c>
      <x:c r="L927" s="40" t="n">
        <x:f>ABS(K927)</x:f>
        <x:v>0.10000000000000142</x:v>
      </x:c>
      <x:c r="M927" s="41" t="str">
        <x:v>lstm-soil-v1</x:v>
      </x:c>
    </x:row>
    <x:row r="928">
      <x:c r="A928" s="38" t="str">
        <x:v>7月30日现场数据</x:v>
      </x:c>
      <x:c r="B928" s="39" t="str">
        <x:v>2026-08-01T08:50:00</x:v>
      </x:c>
      <x:c r="C928" s="39" t="str">
        <x:v>2026-08-01T08:55:00</x:v>
      </x:c>
      <x:c r="D928" s="47" t="n">
        <x:v>5</x:v>
      </x:c>
      <x:c r="E928" s="40" t="n">
        <x:v>12.4</x:v>
      </x:c>
      <x:c r="F928" s="40" t="n">
        <x:v>10.299236297607422</x:v>
      </x:c>
      <x:c r="G928" s="40" t="n">
        <x:v>12.3</x:v>
      </x:c>
      <x:c r="H928" s="40" t="n">
        <x:f>F928-E928</x:f>
        <x:v>-2.1007637023925785</x:v>
      </x:c>
      <x:c r="I928" s="40" t="n">
        <x:f>ABS(H928)</x:f>
        <x:v>2.1007637023925785</x:v>
      </x:c>
      <x:c r="J928" s="40" t="n">
        <x:f>H928^2</x:f>
        <x:v>4.4132081332901745</x:v>
      </x:c>
      <x:c r="K928" s="40" t="n">
        <x:f>G928-E928</x:f>
        <x:v>-0.09999999999999964</x:v>
      </x:c>
      <x:c r="L928" s="40" t="n">
        <x:f>ABS(K928)</x:f>
        <x:v>0.09999999999999964</x:v>
      </x:c>
      <x:c r="M928" s="41" t="str">
        <x:v>lstm-soil-v1</x:v>
      </x:c>
    </x:row>
    <x:row r="929">
      <x:c r="A929" s="38" t="str">
        <x:v>7月30日现场数据</x:v>
      </x:c>
      <x:c r="B929" s="39" t="str">
        <x:v>2026-08-01T08:50:00</x:v>
      </x:c>
      <x:c r="C929" s="39" t="str">
        <x:v>2026-08-01T09:05:00</x:v>
      </x:c>
      <x:c r="D929" s="47" t="n">
        <x:v>15</x:v>
      </x:c>
      <x:c r="E929" s="40" t="n">
        <x:v>12.4</x:v>
      </x:c>
      <x:c r="F929" s="40" t="n">
        <x:v>10.309684753417969</x:v>
      </x:c>
      <x:c r="G929" s="40" t="n">
        <x:v>12.3</x:v>
      </x:c>
      <x:c r="H929" s="40" t="n">
        <x:f>F929-E929</x:f>
        <x:v>-2.0903152465820316</x:v>
      </x:c>
      <x:c r="I929" s="40" t="n">
        <x:f>ABS(H929)</x:f>
        <x:v>2.0903152465820316</x:v>
      </x:c>
      <x:c r="J929" s="40" t="n">
        <x:f>H929^2</x:f>
        <x:v>4.369417830093299</x:v>
      </x:c>
      <x:c r="K929" s="40" t="n">
        <x:f>G929-E929</x:f>
        <x:v>-0.09999999999999964</x:v>
      </x:c>
      <x:c r="L929" s="40" t="n">
        <x:f>ABS(K929)</x:f>
        <x:v>0.09999999999999964</x:v>
      </x:c>
      <x:c r="M929" s="41" t="str">
        <x:v>lstm-soil-v1</x:v>
      </x:c>
    </x:row>
    <x:row r="930">
      <x:c r="A930" s="38" t="str">
        <x:v>7月30日现场数据</x:v>
      </x:c>
      <x:c r="B930" s="39" t="str">
        <x:v>2026-08-01T08:50:00</x:v>
      </x:c>
      <x:c r="C930" s="39" t="str">
        <x:v>2026-08-01T09:20:00</x:v>
      </x:c>
      <x:c r="D930" s="47" t="n">
        <x:v>30</x:v>
      </x:c>
      <x:c r="E930" s="40" t="n">
        <x:v>12.3</x:v>
      </x:c>
      <x:c r="F930" s="40" t="n">
        <x:v>10.959770202636719</x:v>
      </x:c>
      <x:c r="G930" s="40" t="n">
        <x:v>12.3</x:v>
      </x:c>
      <x:c r="H930" s="40" t="n">
        <x:f>F930-E930</x:f>
        <x:v>-1.340229797363282</x:v>
      </x:c>
      <x:c r="I930" s="40" t="n">
        <x:f>ABS(H930)</x:f>
        <x:v>1.340229797363282</x:v>
      </x:c>
      <x:c r="J930" s="40" t="n">
        <x:f>H930^2</x:f>
        <x:v>1.7962159097404238</x:v>
      </x:c>
      <x:c r="K930" s="40" t="n">
        <x:f>G930-E930</x:f>
        <x:v>0</x:v>
      </x:c>
      <x:c r="L930" s="40" t="n">
        <x:f>ABS(K930)</x:f>
        <x:v>0</x:v>
      </x:c>
      <x:c r="M930" s="41" t="str">
        <x:v>lstm-soil-v1</x:v>
      </x:c>
    </x:row>
    <x:row r="931">
      <x:c r="A931" s="38" t="str">
        <x:v>7月30日现场数据</x:v>
      </x:c>
      <x:c r="B931" s="39" t="str">
        <x:v>2026-08-01T08:50:00</x:v>
      </x:c>
      <x:c r="C931" s="39" t="str">
        <x:v>2026-08-01T09:50:00</x:v>
      </x:c>
      <x:c r="D931" s="47" t="n">
        <x:v>60</x:v>
      </x:c>
      <x:c r="E931" s="40" t="n">
        <x:v>12.3</x:v>
      </x:c>
      <x:c r="F931" s="40" t="n">
        <x:v>12.716533660888672</x:v>
      </x:c>
      <x:c r="G931" s="40" t="n">
        <x:v>12.3</x:v>
      </x:c>
      <x:c r="H931" s="40" t="n">
        <x:f>F931-E931</x:f>
        <x:v>0.41653366088867116</x:v>
      </x:c>
      <x:c r="I931" s="40" t="n">
        <x:f>ABS(H931)</x:f>
        <x:v>0.41653366088867116</x:v>
      </x:c>
      <x:c r="J931" s="40" t="n">
        <x:f>H931^2</x:f>
        <x:v>0.1735002906533185</x:v>
      </x:c>
      <x:c r="K931" s="40" t="n">
        <x:f>G931-E931</x:f>
        <x:v>0</x:v>
      </x:c>
      <x:c r="L931" s="40" t="n">
        <x:f>ABS(K931)</x:f>
        <x:v>0</x:v>
      </x:c>
      <x:c r="M931" s="41" t="str">
        <x:v>lstm-soil-v1</x:v>
      </x:c>
    </x:row>
    <x:row r="932">
      <x:c r="A932" s="38" t="str">
        <x:v>7月30日现场数据</x:v>
      </x:c>
      <x:c r="B932" s="39" t="str">
        <x:v>2026-08-01T08:55:00</x:v>
      </x:c>
      <x:c r="C932" s="39" t="str">
        <x:v>2026-08-01T09:00:00</x:v>
      </x:c>
      <x:c r="D932" s="47" t="n">
        <x:v>5</x:v>
      </x:c>
      <x:c r="E932" s="40" t="n">
        <x:v>12.4</x:v>
      </x:c>
      <x:c r="F932" s="40" t="n">
        <x:v>10.411144256591797</x:v>
      </x:c>
      <x:c r="G932" s="40" t="n">
        <x:v>12.4</x:v>
      </x:c>
      <x:c r="H932" s="40" t="n">
        <x:f>F932-E932</x:f>
        <x:v>-1.9888557434082035</x:v>
      </x:c>
      <x:c r="I932" s="40" t="n">
        <x:f>ABS(H932)</x:f>
        <x:v>1.9888557434082035</x:v>
      </x:c>
      <x:c r="J932" s="40" t="n">
        <x:f>H932^2</x:f>
        <x:v>3.9555471680877976</x:v>
      </x:c>
      <x:c r="K932" s="40" t="n">
        <x:f>G932-E932</x:f>
        <x:v>0</x:v>
      </x:c>
      <x:c r="L932" s="40" t="n">
        <x:f>ABS(K932)</x:f>
        <x:v>0</x:v>
      </x:c>
      <x:c r="M932" s="41" t="str">
        <x:v>lstm-soil-v1</x:v>
      </x:c>
    </x:row>
    <x:row r="933">
      <x:c r="A933" s="38" t="str">
        <x:v>7月30日现场数据</x:v>
      </x:c>
      <x:c r="B933" s="39" t="str">
        <x:v>2026-08-01T08:55:00</x:v>
      </x:c>
      <x:c r="C933" s="39" t="str">
        <x:v>2026-08-01T09:10:00</x:v>
      </x:c>
      <x:c r="D933" s="47" t="n">
        <x:v>15</x:v>
      </x:c>
      <x:c r="E933" s="40" t="n">
        <x:v>12.4</x:v>
      </x:c>
      <x:c r="F933" s="40" t="n">
        <x:v>10.419986724853516</x:v>
      </x:c>
      <x:c r="G933" s="40" t="n">
        <x:v>12.4</x:v>
      </x:c>
      <x:c r="H933" s="40" t="n">
        <x:f>F933-E933</x:f>
        <x:v>-1.9800132751464847</x:v>
      </x:c>
      <x:c r="I933" s="40" t="n">
        <x:f>ABS(H933)</x:f>
        <x:v>1.9800132751464847</x:v>
      </x:c>
      <x:c r="J933" s="40" t="n">
        <x:f>H933^2</x:f>
        <x:v>3.920452569756309</x:v>
      </x:c>
      <x:c r="K933" s="40" t="n">
        <x:f>G933-E933</x:f>
        <x:v>0</x:v>
      </x:c>
      <x:c r="L933" s="40" t="n">
        <x:f>ABS(K933)</x:f>
        <x:v>0</x:v>
      </x:c>
      <x:c r="M933" s="41" t="str">
        <x:v>lstm-soil-v1</x:v>
      </x:c>
    </x:row>
    <x:row r="934">
      <x:c r="A934" s="38" t="str">
        <x:v>7月30日现场数据</x:v>
      </x:c>
      <x:c r="B934" s="39" t="str">
        <x:v>2026-08-01T08:55:00</x:v>
      </x:c>
      <x:c r="C934" s="39" t="str">
        <x:v>2026-08-01T09:25:00</x:v>
      </x:c>
      <x:c r="D934" s="47" t="n">
        <x:v>30</x:v>
      </x:c>
      <x:c r="E934" s="40" t="n">
        <x:v>12.3</x:v>
      </x:c>
      <x:c r="F934" s="40" t="n">
        <x:v>11.085613250732422</x:v>
      </x:c>
      <x:c r="G934" s="40" t="n">
        <x:v>12.4</x:v>
      </x:c>
      <x:c r="H934" s="40" t="n">
        <x:f>F934-E934</x:f>
        <x:v>-1.2143867492675788</x:v>
      </x:c>
      <x:c r="I934" s="40" t="n">
        <x:f>ABS(H934)</x:f>
        <x:v>1.2143867492675788</x:v>
      </x:c>
      <x:c r="J934" s="40" t="n">
        <x:f>H934^2</x:f>
        <x:v>1.4747351767966774</x:v>
      </x:c>
      <x:c r="K934" s="40" t="n">
        <x:f>G934-E934</x:f>
        <x:v>0.09999999999999964</x:v>
      </x:c>
      <x:c r="L934" s="40" t="n">
        <x:f>ABS(K934)</x:f>
        <x:v>0.09999999999999964</x:v>
      </x:c>
      <x:c r="M934" s="41" t="str">
        <x:v>lstm-soil-v1</x:v>
      </x:c>
    </x:row>
    <x:row r="935">
      <x:c r="A935" s="38" t="str">
        <x:v>7月30日现场数据</x:v>
      </x:c>
      <x:c r="B935" s="39" t="str">
        <x:v>2026-08-01T08:55:00</x:v>
      </x:c>
      <x:c r="C935" s="39" t="str">
        <x:v>2026-08-01T09:55:00</x:v>
      </x:c>
      <x:c r="D935" s="47" t="n">
        <x:v>60</x:v>
      </x:c>
      <x:c r="E935" s="40" t="n">
        <x:v>12.3</x:v>
      </x:c>
      <x:c r="F935" s="40" t="n">
        <x:v>12.841873168945312</x:v>
      </x:c>
      <x:c r="G935" s="40" t="n">
        <x:v>12.4</x:v>
      </x:c>
      <x:c r="H935" s="40" t="n">
        <x:f>F935-E935</x:f>
        <x:v>0.5418731689453118</x:v>
      </x:c>
      <x:c r="I935" s="40" t="n">
        <x:f>ABS(H935)</x:f>
        <x:v>0.5418731689453118</x:v>
      </x:c>
      <x:c r="J935" s="40" t="n">
        <x:f>H935^2</x:f>
        <x:v>0.2936265312228344</x:v>
      </x:c>
      <x:c r="K935" s="40" t="n">
        <x:f>G935-E935</x:f>
        <x:v>0.09999999999999964</x:v>
      </x:c>
      <x:c r="L935" s="40" t="n">
        <x:f>ABS(K935)</x:f>
        <x:v>0.09999999999999964</x:v>
      </x:c>
      <x:c r="M935" s="41" t="str">
        <x:v>lstm-soil-v1</x:v>
      </x:c>
    </x:row>
    <x:row r="936">
      <x:c r="A936" s="38" t="str">
        <x:v>7月30日现场数据</x:v>
      </x:c>
      <x:c r="B936" s="39" t="str">
        <x:v>2026-08-01T09:00:00</x:v>
      </x:c>
      <x:c r="C936" s="39" t="str">
        <x:v>2026-08-01T09:05:00</x:v>
      </x:c>
      <x:c r="D936" s="47" t="n">
        <x:v>5</x:v>
      </x:c>
      <x:c r="E936" s="40" t="n">
        <x:v>12.4</x:v>
      </x:c>
      <x:c r="F936" s="40" t="n">
        <x:v>10.410438537597656</x:v>
      </x:c>
      <x:c r="G936" s="40" t="n">
        <x:v>12.4</x:v>
      </x:c>
      <x:c r="H936" s="40" t="n">
        <x:f>F936-E936</x:f>
        <x:v>-1.989561462402344</x:v>
      </x:c>
      <x:c r="I936" s="40" t="n">
        <x:f>ABS(H936)</x:f>
        <x:v>1.989561462402344</x:v>
      </x:c>
      <x:c r="J936" s="40" t="n">
        <x:f>H936^2</x:f>
        <x:v>3.958354812676554</x:v>
      </x:c>
      <x:c r="K936" s="40" t="n">
        <x:f>G936-E936</x:f>
        <x:v>0</x:v>
      </x:c>
      <x:c r="L936" s="40" t="n">
        <x:f>ABS(K936)</x:f>
        <x:v>0</x:v>
      </x:c>
      <x:c r="M936" s="41" t="str">
        <x:v>lstm-soil-v1</x:v>
      </x:c>
    </x:row>
    <x:row r="937">
      <x:c r="A937" s="38" t="str">
        <x:v>7月30日现场数据</x:v>
      </x:c>
      <x:c r="B937" s="39" t="str">
        <x:v>2026-08-01T09:00:00</x:v>
      </x:c>
      <x:c r="C937" s="39" t="str">
        <x:v>2026-08-01T09:15:00</x:v>
      </x:c>
      <x:c r="D937" s="47" t="n">
        <x:v>15</x:v>
      </x:c>
      <x:c r="E937" s="40" t="n">
        <x:v>12.4</x:v>
      </x:c>
      <x:c r="F937" s="40" t="n">
        <x:v>10.421192169189453</x:v>
      </x:c>
      <x:c r="G937" s="40" t="n">
        <x:v>12.4</x:v>
      </x:c>
      <x:c r="H937" s="40" t="n">
        <x:f>F937-E937</x:f>
        <x:v>-1.9788078308105472</x:v>
      </x:c>
      <x:c r="I937" s="40" t="n">
        <x:f>ABS(H937)</x:f>
        <x:v>1.9788078308105472</x:v>
      </x:c>
      <x:c r="J937" s="40" t="n">
        <x:f>H937^2</x:f>
        <x:v>3.9156804312771434</x:v>
      </x:c>
      <x:c r="K937" s="40" t="n">
        <x:f>G937-E937</x:f>
        <x:v>0</x:v>
      </x:c>
      <x:c r="L937" s="40" t="n">
        <x:f>ABS(K937)</x:f>
        <x:v>0</x:v>
      </x:c>
      <x:c r="M937" s="41" t="str">
        <x:v>lstm-soil-v1</x:v>
      </x:c>
    </x:row>
    <x:row r="938">
      <x:c r="A938" s="38" t="str">
        <x:v>7月30日现场数据</x:v>
      </x:c>
      <x:c r="B938" s="39" t="str">
        <x:v>2026-08-01T09:00:00</x:v>
      </x:c>
      <x:c r="C938" s="39" t="str">
        <x:v>2026-08-01T09:30:00</x:v>
      </x:c>
      <x:c r="D938" s="47" t="n">
        <x:v>30</x:v>
      </x:c>
      <x:c r="E938" s="40" t="n">
        <x:v>12.3</x:v>
      </x:c>
      <x:c r="F938" s="40" t="n">
        <x:v>11.098979949951172</x:v>
      </x:c>
      <x:c r="G938" s="40" t="n">
        <x:v>12.4</x:v>
      </x:c>
      <x:c r="H938" s="40" t="n">
        <x:f>F938-E938</x:f>
        <x:v>-1.2010200500488288</x:v>
      </x:c>
      <x:c r="I938" s="40" t="n">
        <x:f>ABS(H938)</x:f>
        <x:v>1.2010200500488288</x:v>
      </x:c>
      <x:c r="J938" s="40" t="n">
        <x:f>H938^2</x:f>
        <x:v>1.4424491606192913</x:v>
      </x:c>
      <x:c r="K938" s="40" t="n">
        <x:f>G938-E938</x:f>
        <x:v>0.09999999999999964</x:v>
      </x:c>
      <x:c r="L938" s="40" t="n">
        <x:f>ABS(K938)</x:f>
        <x:v>0.09999999999999964</x:v>
      </x:c>
      <x:c r="M938" s="41" t="str">
        <x:v>lstm-soil-v1</x:v>
      </x:c>
    </x:row>
    <x:row r="939">
      <x:c r="A939" s="38" t="str">
        <x:v>7月30日现场数据</x:v>
      </x:c>
      <x:c r="B939" s="39" t="str">
        <x:v>2026-08-01T09:00:00</x:v>
      </x:c>
      <x:c r="C939" s="39" t="str">
        <x:v>2026-08-01T10:00:00</x:v>
      </x:c>
      <x:c r="D939" s="47" t="n">
        <x:v>60</x:v>
      </x:c>
      <x:c r="E939" s="40" t="n">
        <x:v>12.3</x:v>
      </x:c>
      <x:c r="F939" s="40" t="n">
        <x:v>12.853160858154297</x:v>
      </x:c>
      <x:c r="G939" s="40" t="n">
        <x:v>12.4</x:v>
      </x:c>
      <x:c r="H939" s="40" t="n">
        <x:f>F939-E939</x:f>
        <x:v>0.5531608581542962</x:v>
      </x:c>
      <x:c r="I939" s="40" t="n">
        <x:f>ABS(H939)</x:f>
        <x:v>0.5531608581542962</x:v>
      </x:c>
      <x:c r="J939" s="40" t="n">
        <x:f>H939^2</x:f>
        <x:v>0.3059869349939974</x:v>
      </x:c>
      <x:c r="K939" s="40" t="n">
        <x:f>G939-E939</x:f>
        <x:v>0.09999999999999964</x:v>
      </x:c>
      <x:c r="L939" s="40" t="n">
        <x:f>ABS(K939)</x:f>
        <x:v>0.09999999999999964</x:v>
      </x:c>
      <x:c r="M939" s="41" t="str">
        <x:v>lstm-soil-v1</x:v>
      </x:c>
    </x:row>
    <x:row r="940">
      <x:c r="A940" s="38" t="str">
        <x:v>7月30日现场数据</x:v>
      </x:c>
      <x:c r="B940" s="39" t="str">
        <x:v>2026-08-01T09:05:00</x:v>
      </x:c>
      <x:c r="C940" s="39" t="str">
        <x:v>2026-08-01T09:10:00</x:v>
      </x:c>
      <x:c r="D940" s="47" t="n">
        <x:v>5</x:v>
      </x:c>
      <x:c r="E940" s="40" t="n">
        <x:v>12.4</x:v>
      </x:c>
      <x:c r="F940" s="40" t="n">
        <x:v>10.409767150878906</x:v>
      </x:c>
      <x:c r="G940" s="40" t="n">
        <x:v>12.4</x:v>
      </x:c>
      <x:c r="H940" s="40" t="n">
        <x:f>F940-E940</x:f>
        <x:v>-1.990232849121094</x:v>
      </x:c>
      <x:c r="I940" s="40" t="n">
        <x:f>ABS(H940)</x:f>
        <x:v>1.990232849121094</x:v>
      </x:c>
      <x:c r="J940" s="40" t="n">
        <x:f>H940^2</x:f>
        <x:v>3.961026793720668</x:v>
      </x:c>
      <x:c r="K940" s="40" t="n">
        <x:f>G940-E940</x:f>
        <x:v>0</x:v>
      </x:c>
      <x:c r="L940" s="40" t="n">
        <x:f>ABS(K940)</x:f>
        <x:v>0</x:v>
      </x:c>
      <x:c r="M940" s="41" t="str">
        <x:v>lstm-soil-v1</x:v>
      </x:c>
    </x:row>
    <x:row r="941">
      <x:c r="A941" s="38" t="str">
        <x:v>7月30日现场数据</x:v>
      </x:c>
      <x:c r="B941" s="39" t="str">
        <x:v>2026-08-01T09:05:00</x:v>
      </x:c>
      <x:c r="C941" s="39" t="str">
        <x:v>2026-08-01T09:20:00</x:v>
      </x:c>
      <x:c r="D941" s="47" t="n">
        <x:v>15</x:v>
      </x:c>
      <x:c r="E941" s="40" t="n">
        <x:v>12.3</x:v>
      </x:c>
      <x:c r="F941" s="40" t="n">
        <x:v>10.422515869140625</x:v>
      </x:c>
      <x:c r="G941" s="40" t="n">
        <x:v>12.4</x:v>
      </x:c>
      <x:c r="H941" s="40" t="n">
        <x:f>F941-E941</x:f>
        <x:v>-1.8774841308593757</x:v>
      </x:c>
      <x:c r="I941" s="40" t="n">
        <x:f>ABS(H941)</x:f>
        <x:v>1.8774841308593757</x:v>
      </x:c>
      <x:c r="J941" s="40" t="n">
        <x:f>H941^2</x:f>
        <x:v>3.5249466616287854</x:v>
      </x:c>
      <x:c r="K941" s="40" t="n">
        <x:f>G941-E941</x:f>
        <x:v>0.09999999999999964</x:v>
      </x:c>
      <x:c r="L941" s="40" t="n">
        <x:f>ABS(K941)</x:f>
        <x:v>0.09999999999999964</x:v>
      </x:c>
      <x:c r="M941" s="41" t="str">
        <x:v>lstm-soil-v1</x:v>
      </x:c>
    </x:row>
    <x:row r="942">
      <x:c r="A942" s="38" t="str">
        <x:v>7月30日现场数据</x:v>
      </x:c>
      <x:c r="B942" s="39" t="str">
        <x:v>2026-08-01T09:05:00</x:v>
      </x:c>
      <x:c r="C942" s="39" t="str">
        <x:v>2026-08-01T09:35:00</x:v>
      </x:c>
      <x:c r="D942" s="47" t="n">
        <x:v>30</x:v>
      </x:c>
      <x:c r="E942" s="40" t="n">
        <x:v>12.3</x:v>
      </x:c>
      <x:c r="F942" s="40" t="n">
        <x:v>11.10806655883789</x:v>
      </x:c>
      <x:c r="G942" s="40" t="n">
        <x:v>12.4</x:v>
      </x:c>
      <x:c r="H942" s="40" t="n">
        <x:f>F942-E942</x:f>
        <x:v>-1.19193344116211</x:v>
      </x:c>
      <x:c r="I942" s="40" t="n">
        <x:f>ABS(H942)</x:f>
        <x:v>1.19193344116211</x:v>
      </x:c>
      <x:c r="J942" s="40" t="n">
        <x:f>H942^2</x:f>
        <x:v>1.4207053281605493</x:v>
      </x:c>
      <x:c r="K942" s="40" t="n">
        <x:f>G942-E942</x:f>
        <x:v>0.09999999999999964</x:v>
      </x:c>
      <x:c r="L942" s="40" t="n">
        <x:f>ABS(K942)</x:f>
        <x:v>0.09999999999999964</x:v>
      </x:c>
      <x:c r="M942" s="41" t="str">
        <x:v>lstm-soil-v1</x:v>
      </x:c>
    </x:row>
    <x:row r="943">
      <x:c r="A943" s="38" t="str">
        <x:v>7月30日现场数据</x:v>
      </x:c>
      <x:c r="B943" s="39" t="str">
        <x:v>2026-08-01T09:05:00</x:v>
      </x:c>
      <x:c r="C943" s="39" t="str">
        <x:v>2026-08-01T10:05:00</x:v>
      </x:c>
      <x:c r="D943" s="47" t="n">
        <x:v>60</x:v>
      </x:c>
      <x:c r="E943" s="40" t="n">
        <x:v>12.3</x:v>
      </x:c>
      <x:c r="F943" s="40" t="n">
        <x:v>12.863296508789062</x:v>
      </x:c>
      <x:c r="G943" s="40" t="n">
        <x:v>12.4</x:v>
      </x:c>
      <x:c r="H943" s="40" t="n">
        <x:f>F943-E943</x:f>
        <x:v>0.5632965087890618</x:v>
      </x:c>
      <x:c r="I943" s="40" t="n">
        <x:f>ABS(H943)</x:f>
        <x:v>0.5632965087890618</x:v>
      </x:c>
      <x:c r="J943" s="40" t="n">
        <x:f>H943^2</x:f>
        <x:v>0.31730295681394555</x:v>
      </x:c>
      <x:c r="K943" s="40" t="n">
        <x:f>G943-E943</x:f>
        <x:v>0.09999999999999964</x:v>
      </x:c>
      <x:c r="L943" s="40" t="n">
        <x:f>ABS(K943)</x:f>
        <x:v>0.09999999999999964</x:v>
      </x:c>
      <x:c r="M943" s="41" t="str">
        <x:v>lstm-soil-v1</x:v>
      </x:c>
    </x:row>
    <x:row r="944">
      <x:c r="A944" s="38" t="str">
        <x:v>7月30日现场数据</x:v>
      </x:c>
      <x:c r="B944" s="39" t="str">
        <x:v>2026-08-01T09:10:00</x:v>
      </x:c>
      <x:c r="C944" s="39" t="str">
        <x:v>2026-08-01T09:15:00</x:v>
      </x:c>
      <x:c r="D944" s="47" t="n">
        <x:v>5</x:v>
      </x:c>
      <x:c r="E944" s="40" t="n">
        <x:v>12.4</x:v>
      </x:c>
      <x:c r="F944" s="40" t="n">
        <x:v>10.410118103027344</x:v>
      </x:c>
      <x:c r="G944" s="40" t="n">
        <x:v>12.4</x:v>
      </x:c>
      <x:c r="H944" s="40" t="n">
        <x:f>F944-E944</x:f>
        <x:v>-1.9898818969726566</x:v>
      </x:c>
      <x:c r="I944" s="40" t="n">
        <x:f>ABS(H944)</x:f>
        <x:v>1.9898818969726566</x:v>
      </x:c>
      <x:c r="J944" s="40" t="n">
        <x:f>H944^2</x:f>
        <x:v>3.9596299638994985</x:v>
      </x:c>
      <x:c r="K944" s="40" t="n">
        <x:f>G944-E944</x:f>
        <x:v>0</x:v>
      </x:c>
      <x:c r="L944" s="40" t="n">
        <x:f>ABS(K944)</x:f>
        <x:v>0</x:v>
      </x:c>
      <x:c r="M944" s="41" t="str">
        <x:v>lstm-soil-v1</x:v>
      </x:c>
    </x:row>
    <x:row r="945">
      <x:c r="A945" s="38" t="str">
        <x:v>7月30日现场数据</x:v>
      </x:c>
      <x:c r="B945" s="39" t="str">
        <x:v>2026-08-01T09:10:00</x:v>
      </x:c>
      <x:c r="C945" s="39" t="str">
        <x:v>2026-08-01T09:25:00</x:v>
      </x:c>
      <x:c r="D945" s="47" t="n">
        <x:v>15</x:v>
      </x:c>
      <x:c r="E945" s="40" t="n">
        <x:v>12.3</x:v>
      </x:c>
      <x:c r="F945" s="40" t="n">
        <x:v>10.425006866455078</x:v>
      </x:c>
      <x:c r="G945" s="40" t="n">
        <x:v>12.4</x:v>
      </x:c>
      <x:c r="H945" s="40" t="n">
        <x:f>F945-E945</x:f>
        <x:v>-1.8749931335449226</x:v>
      </x:c>
      <x:c r="I945" s="40" t="n">
        <x:f>ABS(H945)</x:f>
        <x:v>1.8749931335449226</x:v>
      </x:c>
      <x:c r="J945" s="40" t="n">
        <x:f>H945^2</x:f>
        <x:v>3.5155992508406078</x:v>
      </x:c>
      <x:c r="K945" s="40" t="n">
        <x:f>G945-E945</x:f>
        <x:v>0.09999999999999964</x:v>
      </x:c>
      <x:c r="L945" s="40" t="n">
        <x:f>ABS(K945)</x:f>
        <x:v>0.09999999999999964</x:v>
      </x:c>
      <x:c r="M945" s="41" t="str">
        <x:v>lstm-soil-v1</x:v>
      </x:c>
    </x:row>
    <x:row r="946">
      <x:c r="A946" s="38" t="str">
        <x:v>7月30日现场数据</x:v>
      </x:c>
      <x:c r="B946" s="39" t="str">
        <x:v>2026-08-01T09:10:00</x:v>
      </x:c>
      <x:c r="C946" s="39" t="str">
        <x:v>2026-08-01T09:40:00</x:v>
      </x:c>
      <x:c r="D946" s="47" t="n">
        <x:v>30</x:v>
      </x:c>
      <x:c r="E946" s="40" t="n">
        <x:v>12.3</x:v>
      </x:c>
      <x:c r="F946" s="40" t="n">
        <x:v>11.116161346435547</x:v>
      </x:c>
      <x:c r="G946" s="40" t="n">
        <x:v>12.4</x:v>
      </x:c>
      <x:c r="H946" s="40" t="n">
        <x:f>F946-E946</x:f>
        <x:v>-1.1838386535644538</x:v>
      </x:c>
      <x:c r="I946" s="40" t="n">
        <x:f>ABS(H946)</x:f>
        <x:v>1.1838386535644538</x:v>
      </x:c>
      <x:c r="J946" s="40" t="n">
        <x:f>H946^2</x:f>
        <x:v>1.4014739576732989</x:v>
      </x:c>
      <x:c r="K946" s="40" t="n">
        <x:f>G946-E946</x:f>
        <x:v>0.09999999999999964</x:v>
      </x:c>
      <x:c r="L946" s="40" t="n">
        <x:f>ABS(K946)</x:f>
        <x:v>0.09999999999999964</x:v>
      </x:c>
      <x:c r="M946" s="41" t="str">
        <x:v>lstm-soil-v1</x:v>
      </x:c>
    </x:row>
    <x:row r="947">
      <x:c r="A947" s="38" t="str">
        <x:v>7月30日现场数据</x:v>
      </x:c>
      <x:c r="B947" s="39" t="str">
        <x:v>2026-08-01T09:10:00</x:v>
      </x:c>
      <x:c r="C947" s="39" t="str">
        <x:v>2026-08-01T10:10:00</x:v>
      </x:c>
      <x:c r="D947" s="47" t="n">
        <x:v>60</x:v>
      </x:c>
      <x:c r="E947" s="40" t="n">
        <x:v>12.3</x:v>
      </x:c>
      <x:c r="F947" s="40" t="n">
        <x:v>12.87249755859375</x:v>
      </x:c>
      <x:c r="G947" s="40" t="n">
        <x:v>12.4</x:v>
      </x:c>
      <x:c r="H947" s="40" t="n">
        <x:f>F947-E947</x:f>
        <x:v>0.5724975585937493</x:v>
      </x:c>
      <x:c r="I947" s="40" t="n">
        <x:f>ABS(H947)</x:f>
        <x:v>0.5724975585937493</x:v>
      </x:c>
      <x:c r="J947" s="40" t="n">
        <x:f>H947^2</x:f>
        <x:v>0.3277534545958034</x:v>
      </x:c>
      <x:c r="K947" s="40" t="n">
        <x:f>G947-E947</x:f>
        <x:v>0.09999999999999964</x:v>
      </x:c>
      <x:c r="L947" s="40" t="n">
        <x:f>ABS(K947)</x:f>
        <x:v>0.09999999999999964</x:v>
      </x:c>
      <x:c r="M947" s="41" t="str">
        <x:v>lstm-soil-v1</x:v>
      </x:c>
    </x:row>
    <x:row r="948">
      <x:c r="A948" s="38" t="str">
        <x:v>7月30日现场数据</x:v>
      </x:c>
      <x:c r="B948" s="39" t="str">
        <x:v>2026-08-01T09:15:00</x:v>
      </x:c>
      <x:c r="C948" s="39" t="str">
        <x:v>2026-08-01T09:20:00</x:v>
      </x:c>
      <x:c r="D948" s="47" t="n">
        <x:v>5</x:v>
      </x:c>
      <x:c r="E948" s="40" t="n">
        <x:v>12.3</x:v>
      </x:c>
      <x:c r="F948" s="40" t="n">
        <x:v>10.410743713378906</x:v>
      </x:c>
      <x:c r="G948" s="40" t="n">
        <x:v>12.4</x:v>
      </x:c>
      <x:c r="H948" s="40" t="n">
        <x:f>F948-E948</x:f>
        <x:v>-1.8892562866210945</x:v>
      </x:c>
      <x:c r="I948" s="40" t="n">
        <x:f>ABS(H948)</x:f>
        <x:v>1.8892562866210945</x:v>
      </x:c>
      <x:c r="J948" s="40" t="n">
        <x:f>H948^2</x:f>
        <x:v>3.569289316537327</x:v>
      </x:c>
      <x:c r="K948" s="40" t="n">
        <x:f>G948-E948</x:f>
        <x:v>0.09999999999999964</x:v>
      </x:c>
      <x:c r="L948" s="40" t="n">
        <x:f>ABS(K948)</x:f>
        <x:v>0.09999999999999964</x:v>
      </x:c>
      <x:c r="M948" s="41" t="str">
        <x:v>lstm-soil-v1</x:v>
      </x:c>
    </x:row>
    <x:row r="949">
      <x:c r="A949" s="38" t="str">
        <x:v>7月30日现场数据</x:v>
      </x:c>
      <x:c r="B949" s="39" t="str">
        <x:v>2026-08-01T09:15:00</x:v>
      </x:c>
      <x:c r="C949" s="39" t="str">
        <x:v>2026-08-01T09:30:00</x:v>
      </x:c>
      <x:c r="D949" s="47" t="n">
        <x:v>15</x:v>
      </x:c>
      <x:c r="E949" s="40" t="n">
        <x:v>12.3</x:v>
      </x:c>
      <x:c r="F949" s="40" t="n">
        <x:v>10.427200317382812</x:v>
      </x:c>
      <x:c r="G949" s="40" t="n">
        <x:v>12.4</x:v>
      </x:c>
      <x:c r="H949" s="40" t="n">
        <x:f>F949-E949</x:f>
        <x:v>-1.8727996826171882</x:v>
      </x:c>
      <x:c r="I949" s="40" t="n">
        <x:f>ABS(H949)</x:f>
        <x:v>1.8727996826171882</x:v>
      </x:c>
      <x:c r="J949" s="40" t="n">
        <x:f>H949^2</x:f>
        <x:v>3.5073786512110408</x:v>
      </x:c>
      <x:c r="K949" s="40" t="n">
        <x:f>G949-E949</x:f>
        <x:v>0.09999999999999964</x:v>
      </x:c>
      <x:c r="L949" s="40" t="n">
        <x:f>ABS(K949)</x:f>
        <x:v>0.09999999999999964</x:v>
      </x:c>
      <x:c r="M949" s="41" t="str">
        <x:v>lstm-soil-v1</x:v>
      </x:c>
    </x:row>
    <x:row r="950">
      <x:c r="A950" s="38" t="str">
        <x:v>7月30日现场数据</x:v>
      </x:c>
      <x:c r="B950" s="39" t="str">
        <x:v>2026-08-01T09:15:00</x:v>
      </x:c>
      <x:c r="C950" s="39" t="str">
        <x:v>2026-08-01T09:45:00</x:v>
      </x:c>
      <x:c r="D950" s="47" t="n">
        <x:v>30</x:v>
      </x:c>
      <x:c r="E950" s="40" t="n">
        <x:v>12.3</x:v>
      </x:c>
      <x:c r="F950" s="40" t="n">
        <x:v>11.122264862060547</x:v>
      </x:c>
      <x:c r="G950" s="40" t="n">
        <x:v>12.4</x:v>
      </x:c>
      <x:c r="H950" s="40" t="n">
        <x:f>F950-E950</x:f>
        <x:v>-1.1777351379394538</x:v>
      </x:c>
      <x:c r="I950" s="40" t="n">
        <x:f>ABS(H950)</x:f>
        <x:v>1.1777351379394538</x:v>
      </x:c>
      <x:c r="J950" s="40" t="n">
        <x:f>H950^2</x:f>
        <x:v>1.3870600551372643</x:v>
      </x:c>
      <x:c r="K950" s="40" t="n">
        <x:f>G950-E950</x:f>
        <x:v>0.09999999999999964</x:v>
      </x:c>
      <x:c r="L950" s="40" t="n">
        <x:f>ABS(K950)</x:f>
        <x:v>0.09999999999999964</x:v>
      </x:c>
      <x:c r="M950" s="41" t="str">
        <x:v>lstm-soil-v1</x:v>
      </x:c>
    </x:row>
    <x:row r="951">
      <x:c r="A951" s="38" t="str">
        <x:v>7月30日现场数据</x:v>
      </x:c>
      <x:c r="B951" s="39" t="str">
        <x:v>2026-08-01T09:15:00</x:v>
      </x:c>
      <x:c r="C951" s="39" t="str">
        <x:v>2026-08-01T10:15:00</x:v>
      </x:c>
      <x:c r="D951" s="47" t="n">
        <x:v>60</x:v>
      </x:c>
      <x:c r="E951" s="40" t="n">
        <x:v>12.2</x:v>
      </x:c>
      <x:c r="F951" s="40" t="n">
        <x:v>12.88021469116211</x:v>
      </x:c>
      <x:c r="G951" s="40" t="n">
        <x:v>12.4</x:v>
      </x:c>
      <x:c r="H951" s="40" t="n">
        <x:f>F951-E951</x:f>
        <x:v>0.6802146911621101</x:v>
      </x:c>
      <x:c r="I951" s="40" t="n">
        <x:f>ABS(H951)</x:f>
        <x:v>0.6802146911621101</x:v>
      </x:c>
      <x:c r="J951" s="40" t="n">
        <x:f>H951^2</x:f>
        <x:v>0.46269202607276483</x:v>
      </x:c>
      <x:c r="K951" s="40" t="n">
        <x:f>G951-E951</x:f>
        <x:v>0.20000000000000107</x:v>
      </x:c>
      <x:c r="L951" s="40" t="n">
        <x:f>ABS(K951)</x:f>
        <x:v>0.20000000000000107</x:v>
      </x:c>
      <x:c r="M951" s="41" t="str">
        <x:v>lstm-soil-v1</x:v>
      </x:c>
    </x:row>
    <x:row r="952">
      <x:c r="A952" s="38" t="str">
        <x:v>7月30日现场数据</x:v>
      </x:c>
      <x:c r="B952" s="39" t="str">
        <x:v>2026-08-01T09:20:00</x:v>
      </x:c>
      <x:c r="C952" s="39" t="str">
        <x:v>2026-08-01T09:25:00</x:v>
      </x:c>
      <x:c r="D952" s="47" t="n">
        <x:v>5</x:v>
      </x:c>
      <x:c r="E952" s="40" t="n">
        <x:v>12.3</x:v>
      </x:c>
      <x:c r="F952" s="40" t="n">
        <x:v>10.300193786621094</x:v>
      </x:c>
      <x:c r="G952" s="40" t="n">
        <x:v>12.3</x:v>
      </x:c>
      <x:c r="H952" s="40" t="n">
        <x:f>F952-E952</x:f>
        <x:v>-1.999806213378907</x:v>
      </x:c>
      <x:c r="I952" s="40" t="n">
        <x:f>ABS(H952)</x:f>
        <x:v>1.999806213378907</x:v>
      </x:c>
      <x:c r="J952" s="40" t="n">
        <x:f>H952^2</x:f>
        <x:v>3.9992248910688826</x:v>
      </x:c>
      <x:c r="K952" s="40" t="n">
        <x:f>G952-E952</x:f>
        <x:v>0</x:v>
      </x:c>
      <x:c r="L952" s="40" t="n">
        <x:f>ABS(K952)</x:f>
        <x:v>0</x:v>
      </x:c>
      <x:c r="M952" s="41" t="str">
        <x:v>lstm-soil-v1</x:v>
      </x:c>
    </x:row>
    <x:row r="953">
      <x:c r="A953" s="38" t="str">
        <x:v>7月30日现场数据</x:v>
      </x:c>
      <x:c r="B953" s="39" t="str">
        <x:v>2026-08-01T09:20:00</x:v>
      </x:c>
      <x:c r="C953" s="39" t="str">
        <x:v>2026-08-01T09:35:00</x:v>
      </x:c>
      <x:c r="D953" s="47" t="n">
        <x:v>15</x:v>
      </x:c>
      <x:c r="E953" s="40" t="n">
        <x:v>12.3</x:v>
      </x:c>
      <x:c r="F953" s="40" t="n">
        <x:v>10.31875228881836</x:v>
      </x:c>
      <x:c r="G953" s="40" t="n">
        <x:v>12.3</x:v>
      </x:c>
      <x:c r="H953" s="40" t="n">
        <x:f>F953-E953</x:f>
        <x:v>-1.9812477111816413</x:v>
      </x:c>
      <x:c r="I953" s="40" t="n">
        <x:f>ABS(H953)</x:f>
        <x:v>1.9812477111816413</x:v>
      </x:c>
      <x:c r="J953" s="40" t="n">
        <x:f>H953^2</x:f>
        <x:v>3.9253424930624923</x:v>
      </x:c>
      <x:c r="K953" s="40" t="n">
        <x:f>G953-E953</x:f>
        <x:v>0</x:v>
      </x:c>
      <x:c r="L953" s="40" t="n">
        <x:f>ABS(K953)</x:f>
        <x:v>0</x:v>
      </x:c>
      <x:c r="M953" s="41" t="str">
        <x:v>lstm-soil-v1</x:v>
      </x:c>
    </x:row>
    <x:row r="954">
      <x:c r="A954" s="38" t="str">
        <x:v>7月30日现场数据</x:v>
      </x:c>
      <x:c r="B954" s="39" t="str">
        <x:v>2026-08-01T09:20:00</x:v>
      </x:c>
      <x:c r="C954" s="39" t="str">
        <x:v>2026-08-01T09:50:00</x:v>
      </x:c>
      <x:c r="D954" s="47" t="n">
        <x:v>30</x:v>
      </x:c>
      <x:c r="E954" s="40" t="n">
        <x:v>12.3</x:v>
      </x:c>
      <x:c r="F954" s="40" t="n">
        <x:v>11.018268585205078</x:v>
      </x:c>
      <x:c r="G954" s="40" t="n">
        <x:v>12.3</x:v>
      </x:c>
      <x:c r="H954" s="40" t="n">
        <x:f>F954-E954</x:f>
        <x:v>-1.2817314147949226</x:v>
      </x:c>
      <x:c r="I954" s="40" t="n">
        <x:f>ABS(H954)</x:f>
        <x:v>1.2817314147949226</x:v>
      </x:c>
      <x:c r="J954" s="40" t="n">
        <x:f>H954^2</x:f>
        <x:v>1.642835419672194</x:v>
      </x:c>
      <x:c r="K954" s="40" t="n">
        <x:f>G954-E954</x:f>
        <x:v>0</x:v>
      </x:c>
      <x:c r="L954" s="40" t="n">
        <x:f>ABS(K954)</x:f>
        <x:v>0</x:v>
      </x:c>
      <x:c r="M954" s="41" t="str">
        <x:v>lstm-soil-v1</x:v>
      </x:c>
    </x:row>
    <x:row r="955">
      <x:c r="A955" s="38" t="str">
        <x:v>7月30日现场数据</x:v>
      </x:c>
      <x:c r="B955" s="39" t="str">
        <x:v>2026-08-01T09:20:00</x:v>
      </x:c>
      <x:c r="C955" s="39" t="str">
        <x:v>2026-08-01T10:20:00</x:v>
      </x:c>
      <x:c r="D955" s="47" t="n">
        <x:v>60</x:v>
      </x:c>
      <x:c r="E955" s="40" t="n">
        <x:v>12.3</x:v>
      </x:c>
      <x:c r="F955" s="40" t="n">
        <x:v>12.776905059814453</x:v>
      </x:c>
      <x:c r="G955" s="40" t="n">
        <x:v>12.3</x:v>
      </x:c>
      <x:c r="H955" s="40" t="n">
        <x:f>F955-E955</x:f>
        <x:v>0.4769050598144524</x:v>
      </x:c>
      <x:c r="I955" s="40" t="n">
        <x:f>ABS(H955)</x:f>
        <x:v>0.4769050598144524</x:v>
      </x:c>
      <x:c r="J955" s="40" t="n">
        <x:f>H955^2</x:f>
        <x:v>0.22743843607662645</x:v>
      </x:c>
      <x:c r="K955" s="40" t="n">
        <x:f>G955-E955</x:f>
        <x:v>0</x:v>
      </x:c>
      <x:c r="L955" s="40" t="n">
        <x:f>ABS(K955)</x:f>
        <x:v>0</x:v>
      </x:c>
      <x:c r="M955" s="41" t="str">
        <x:v>lstm-soil-v1</x:v>
      </x:c>
    </x:row>
    <x:row r="956">
      <x:c r="A956" s="38" t="str">
        <x:v>7月30日现场数据</x:v>
      </x:c>
      <x:c r="B956" s="39" t="str">
        <x:v>2026-08-01T09:25:00</x:v>
      </x:c>
      <x:c r="C956" s="39" t="str">
        <x:v>2026-08-01T09:30:00</x:v>
      </x:c>
      <x:c r="D956" s="47" t="n">
        <x:v>5</x:v>
      </x:c>
      <x:c r="E956" s="40" t="n">
        <x:v>12.3</x:v>
      </x:c>
      <x:c r="F956" s="40" t="n">
        <x:v>10.299800872802734</x:v>
      </x:c>
      <x:c r="G956" s="40" t="n">
        <x:v>12.3</x:v>
      </x:c>
      <x:c r="H956" s="40" t="n">
        <x:f>F956-E956</x:f>
        <x:v>-2.0001991271972663</x:v>
      </x:c>
      <x:c r="I956" s="40" t="n">
        <x:f>ABS(H956)</x:f>
        <x:v>2.0001991271972663</x:v>
      </x:c>
      <x:c r="J956" s="40" t="n">
        <x:f>H956^2</x:f>
        <x:v>4.000796548440706</x:v>
      </x:c>
      <x:c r="K956" s="40" t="n">
        <x:f>G956-E956</x:f>
        <x:v>0</x:v>
      </x:c>
      <x:c r="L956" s="40" t="n">
        <x:f>ABS(K956)</x:f>
        <x:v>0</x:v>
      </x:c>
      <x:c r="M956" s="41" t="str">
        <x:v>lstm-soil-v1</x:v>
      </x:c>
    </x:row>
    <x:row r="957">
      <x:c r="A957" s="38" t="str">
        <x:v>7月30日现场数据</x:v>
      </x:c>
      <x:c r="B957" s="39" t="str">
        <x:v>2026-08-01T09:25:00</x:v>
      </x:c>
      <x:c r="C957" s="39" t="str">
        <x:v>2026-08-01T09:40:00</x:v>
      </x:c>
      <x:c r="D957" s="47" t="n">
        <x:v>15</x:v>
      </x:c>
      <x:c r="E957" s="40" t="n">
        <x:v>12.3</x:v>
      </x:c>
      <x:c r="F957" s="40" t="n">
        <x:v>10.319229125976562</x:v>
      </x:c>
      <x:c r="G957" s="40" t="n">
        <x:v>12.3</x:v>
      </x:c>
      <x:c r="H957" s="40" t="n">
        <x:f>F957-E957</x:f>
        <x:v>-1.9807708740234382</x:v>
      </x:c>
      <x:c r="I957" s="40" t="n">
        <x:f>ABS(H957)</x:f>
        <x:v>1.9807708740234382</x:v>
      </x:c>
      <x:c r="J957" s="40" t="n">
        <x:f>H957^2</x:f>
        <x:v>3.923453255379575</x:v>
      </x:c>
      <x:c r="K957" s="40" t="n">
        <x:f>G957-E957</x:f>
        <x:v>0</x:v>
      </x:c>
      <x:c r="L957" s="40" t="n">
        <x:f>ABS(K957)</x:f>
        <x:v>0</x:v>
      </x:c>
      <x:c r="M957" s="41" t="str">
        <x:v>lstm-soil-v1</x:v>
      </x:c>
    </x:row>
    <x:row r="958">
      <x:c r="A958" s="38" t="str">
        <x:v>7月30日现场数据</x:v>
      </x:c>
      <x:c r="B958" s="39" t="str">
        <x:v>2026-08-01T09:25:00</x:v>
      </x:c>
      <x:c r="C958" s="39" t="str">
        <x:v>2026-08-01T09:55:00</x:v>
      </x:c>
      <x:c r="D958" s="47" t="n">
        <x:v>30</x:v>
      </x:c>
      <x:c r="E958" s="40" t="n">
        <x:v>12.3</x:v>
      </x:c>
      <x:c r="F958" s="40" t="n">
        <x:v>11.019882202148438</x:v>
      </x:c>
      <x:c r="G958" s="40" t="n">
        <x:v>12.3</x:v>
      </x:c>
      <x:c r="H958" s="40" t="n">
        <x:f>F958-E958</x:f>
        <x:v>-1.2801177978515632</x:v>
      </x:c>
      <x:c r="I958" s="40" t="n">
        <x:f>ABS(H958)</x:f>
        <x:v>1.2801177978515632</x:v>
      </x:c>
      <x:c r="J958" s="40" t="n">
        <x:f>H958^2</x:f>
        <x:v>1.6387015763763357</x:v>
      </x:c>
      <x:c r="K958" s="40" t="n">
        <x:f>G958-E958</x:f>
        <x:v>0</x:v>
      </x:c>
      <x:c r="L958" s="40" t="n">
        <x:f>ABS(K958)</x:f>
        <x:v>0</x:v>
      </x:c>
      <x:c r="M958" s="41" t="str">
        <x:v>lstm-soil-v1</x:v>
      </x:c>
    </x:row>
    <x:row r="959">
      <x:c r="A959" s="38" t="str">
        <x:v>7月30日现场数据</x:v>
      </x:c>
      <x:c r="B959" s="39" t="str">
        <x:v>2026-08-01T09:25:00</x:v>
      </x:c>
      <x:c r="C959" s="39" t="str">
        <x:v>2026-08-01T10:25:00</x:v>
      </x:c>
      <x:c r="D959" s="47" t="n">
        <x:v>60</x:v>
      </x:c>
      <x:c r="E959" s="40" t="n">
        <x:v>12.3</x:v>
      </x:c>
      <x:c r="F959" s="40" t="n">
        <x:v>12.780132293701172</x:v>
      </x:c>
      <x:c r="G959" s="40" t="n">
        <x:v>12.3</x:v>
      </x:c>
      <x:c r="H959" s="40" t="n">
        <x:f>F959-E959</x:f>
        <x:v>0.48013229370117116</x:v>
      </x:c>
      <x:c r="I959" s="40" t="n">
        <x:f>ABS(H959)</x:f>
        <x:v>0.48013229370117116</x:v>
      </x:c>
      <x:c r="J959" s="40" t="n">
        <x:f>H959^2</x:f>
        <x:v>0.23052701945474768</x:v>
      </x:c>
      <x:c r="K959" s="40" t="n">
        <x:f>G959-E959</x:f>
        <x:v>0</x:v>
      </x:c>
      <x:c r="L959" s="40" t="n">
        <x:f>ABS(K959)</x:f>
        <x:v>0</x:v>
      </x:c>
      <x:c r="M959" s="41" t="str">
        <x:v>lstm-soil-v1</x:v>
      </x:c>
    </x:row>
    <x:row r="960">
      <x:c r="A960" s="38" t="str">
        <x:v>7月30日现场数据</x:v>
      </x:c>
      <x:c r="B960" s="39" t="str">
        <x:v>2026-08-01T09:30:00</x:v>
      </x:c>
      <x:c r="C960" s="39" t="str">
        <x:v>2026-08-01T09:35:00</x:v>
      </x:c>
      <x:c r="D960" s="47" t="n">
        <x:v>5</x:v>
      </x:c>
      <x:c r="E960" s="40" t="n">
        <x:v>12.3</x:v>
      </x:c>
      <x:c r="F960" s="40" t="n">
        <x:v>10.300361633300781</x:v>
      </x:c>
      <x:c r="G960" s="40" t="n">
        <x:v>12.3</x:v>
      </x:c>
      <x:c r="H960" s="40" t="n">
        <x:f>F960-E960</x:f>
        <x:v>-1.9996383666992195</x:v>
      </x:c>
      <x:c r="I960" s="40" t="n">
        <x:f>ABS(H960)</x:f>
        <x:v>1.9996383666992195</x:v>
      </x:c>
      <x:c r="J960" s="40" t="n">
        <x:f>H960^2</x:f>
        <x:v>3.998553597575522</x:v>
      </x:c>
      <x:c r="K960" s="40" t="n">
        <x:f>G960-E960</x:f>
        <x:v>0</x:v>
      </x:c>
      <x:c r="L960" s="40" t="n">
        <x:f>ABS(K960)</x:f>
        <x:v>0</x:v>
      </x:c>
      <x:c r="M960" s="41" t="str">
        <x:v>lstm-soil-v1</x:v>
      </x:c>
    </x:row>
    <x:row r="961">
      <x:c r="A961" s="38" t="str">
        <x:v>7月30日现场数据</x:v>
      </x:c>
      <x:c r="B961" s="39" t="str">
        <x:v>2026-08-01T09:30:00</x:v>
      </x:c>
      <x:c r="C961" s="39" t="str">
        <x:v>2026-08-01T09:45:00</x:v>
      </x:c>
      <x:c r="D961" s="47" t="n">
        <x:v>15</x:v>
      </x:c>
      <x:c r="E961" s="40" t="n">
        <x:v>12.3</x:v>
      </x:c>
      <x:c r="F961" s="40" t="n">
        <x:v>10.320060729980469</x:v>
      </x:c>
      <x:c r="G961" s="40" t="n">
        <x:v>12.3</x:v>
      </x:c>
      <x:c r="H961" s="40" t="n">
        <x:f>F961-E961</x:f>
        <x:v>-1.979939270019532</x:v>
      </x:c>
      <x:c r="I961" s="40" t="n">
        <x:f>ABS(H961)</x:f>
        <x:v>1.979939270019532</x:v>
      </x:c>
      <x:c r="J961" s="40" t="n">
        <x:f>H961^2</x:f>
        <x:v>3.920159512965477</x:v>
      </x:c>
      <x:c r="K961" s="40" t="n">
        <x:f>G961-E961</x:f>
        <x:v>0</x:v>
      </x:c>
      <x:c r="L961" s="40" t="n">
        <x:f>ABS(K961)</x:f>
        <x:v>0</x:v>
      </x:c>
      <x:c r="M961" s="41" t="str">
        <x:v>lstm-soil-v1</x:v>
      </x:c>
    </x:row>
    <x:row r="962">
      <x:c r="A962" s="38" t="str">
        <x:v>7月30日现场数据</x:v>
      </x:c>
      <x:c r="B962" s="39" t="str">
        <x:v>2026-08-01T09:30:00</x:v>
      </x:c>
      <x:c r="C962" s="39" t="str">
        <x:v>2026-08-01T10:00:00</x:v>
      </x:c>
      <x:c r="D962" s="47" t="n">
        <x:v>30</x:v>
      </x:c>
      <x:c r="E962" s="40" t="n">
        <x:v>12.3</x:v>
      </x:c>
      <x:c r="F962" s="40" t="n">
        <x:v>11.024566650390625</x:v>
      </x:c>
      <x:c r="G962" s="40" t="n">
        <x:v>12.3</x:v>
      </x:c>
      <x:c r="H962" s="40" t="n">
        <x:f>F962-E962</x:f>
        <x:v>-1.2754333496093757</x:v>
      </x:c>
      <x:c r="I962" s="40" t="n">
        <x:f>ABS(H962)</x:f>
        <x:v>1.2754333496093757</x:v>
      </x:c>
      <x:c r="J962" s="40" t="n">
        <x:f>H962^2</x:f>
        <x:v>1.626730229295792</x:v>
      </x:c>
      <x:c r="K962" s="40" t="n">
        <x:f>G962-E962</x:f>
        <x:v>0</x:v>
      </x:c>
      <x:c r="L962" s="40" t="n">
        <x:f>ABS(K962)</x:f>
        <x:v>0</x:v>
      </x:c>
      <x:c r="M962" s="41" t="str">
        <x:v>lstm-soil-v1</x:v>
      </x:c>
    </x:row>
    <x:row r="963">
      <x:c r="A963" s="38" t="str">
        <x:v>7月30日现场数据</x:v>
      </x:c>
      <x:c r="B963" s="39" t="str">
        <x:v>2026-08-01T09:30:00</x:v>
      </x:c>
      <x:c r="C963" s="39" t="str">
        <x:v>2026-08-01T10:30:00</x:v>
      </x:c>
      <x:c r="D963" s="47" t="n">
        <x:v>60</x:v>
      </x:c>
      <x:c r="E963" s="40" t="n">
        <x:v>12.2</x:v>
      </x:c>
      <x:c r="F963" s="40" t="n">
        <x:v>12.785171508789062</x:v>
      </x:c>
      <x:c r="G963" s="40" t="n">
        <x:v>12.3</x:v>
      </x:c>
      <x:c r="H963" s="40" t="n">
        <x:f>F963-E963</x:f>
        <x:v>0.5851715087890632</x:v>
      </x:c>
      <x:c r="I963" s="40" t="n">
        <x:f>ABS(H963)</x:f>
        <x:v>0.5851715087890632</x:v>
      </x:c>
      <x:c r="J963" s="40" t="n">
        <x:f>H963^2</x:f>
        <x:v>0.3424256946984687</x:v>
      </x:c>
      <x:c r="K963" s="40" t="n">
        <x:f>G963-E963</x:f>
        <x:v>0.10000000000000142</x:v>
      </x:c>
      <x:c r="L963" s="40" t="n">
        <x:f>ABS(K963)</x:f>
        <x:v>0.10000000000000142</x:v>
      </x:c>
      <x:c r="M963" s="41" t="str">
        <x:v>lstm-soil-v1</x:v>
      </x:c>
    </x:row>
    <x:row r="964">
      <x:c r="A964" s="38" t="str">
        <x:v>7月30日现场数据</x:v>
      </x:c>
      <x:c r="B964" s="39" t="str">
        <x:v>2026-08-01T09:35:00</x:v>
      </x:c>
      <x:c r="C964" s="39" t="str">
        <x:v>2026-08-01T09:40:00</x:v>
      </x:c>
      <x:c r="D964" s="47" t="n">
        <x:v>5</x:v>
      </x:c>
      <x:c r="E964" s="40" t="n">
        <x:v>12.3</x:v>
      </x:c>
      <x:c r="F964" s="40" t="n">
        <x:v>10.30010986328125</x:v>
      </x:c>
      <x:c r="G964" s="40" t="n">
        <x:v>12.3</x:v>
      </x:c>
      <x:c r="H964" s="40" t="n">
        <x:f>F964-E964</x:f>
        <x:v>-1.9998901367187507</x:v>
      </x:c>
      <x:c r="I964" s="40" t="n">
        <x:f>ABS(H964)</x:f>
        <x:v>1.9998901367187507</x:v>
      </x:c>
      <x:c r="J964" s="40" t="n">
        <x:f>H964^2</x:f>
        <x:v>3.9995605589449434</x:v>
      </x:c>
      <x:c r="K964" s="40" t="n">
        <x:f>G964-E964</x:f>
        <x:v>0</x:v>
      </x:c>
      <x:c r="L964" s="40" t="n">
        <x:f>ABS(K964)</x:f>
        <x:v>0</x:v>
      </x:c>
      <x:c r="M964" s="41" t="str">
        <x:v>lstm-soil-v1</x:v>
      </x:c>
    </x:row>
    <x:row r="965">
      <x:c r="A965" s="38" t="str">
        <x:v>7月30日现场数据</x:v>
      </x:c>
      <x:c r="B965" s="39" t="str">
        <x:v>2026-08-01T09:35:00</x:v>
      </x:c>
      <x:c r="C965" s="39" t="str">
        <x:v>2026-08-01T09:50:00</x:v>
      </x:c>
      <x:c r="D965" s="47" t="n">
        <x:v>15</x:v>
      </x:c>
      <x:c r="E965" s="40" t="n">
        <x:v>12.3</x:v>
      </x:c>
      <x:c r="F965" s="40" t="n">
        <x:v>10.318477630615234</x:v>
      </x:c>
      <x:c r="G965" s="40" t="n">
        <x:v>12.3</x:v>
      </x:c>
      <x:c r="H965" s="40" t="n">
        <x:f>F965-E965</x:f>
        <x:v>-1.9815223693847663</x:v>
      </x:c>
      <x:c r="I965" s="40" t="n">
        <x:f>ABS(H965)</x:f>
        <x:v>1.9815223693847663</x:v>
      </x:c>
      <x:c r="J965" s="40" t="n">
        <x:f>H965^2</x:f>
        <x:v>3.9264309003722184</x:v>
      </x:c>
      <x:c r="K965" s="40" t="n">
        <x:f>G965-E965</x:f>
        <x:v>0</x:v>
      </x:c>
      <x:c r="L965" s="40" t="n">
        <x:f>ABS(K965)</x:f>
        <x:v>0</x:v>
      </x:c>
      <x:c r="M965" s="41" t="str">
        <x:v>lstm-soil-v1</x:v>
      </x:c>
    </x:row>
    <x:row r="966">
      <x:c r="A966" s="38" t="str">
        <x:v>7月30日现场数据</x:v>
      </x:c>
      <x:c r="B966" s="39" t="str">
        <x:v>2026-08-01T09:35:00</x:v>
      </x:c>
      <x:c r="C966" s="39" t="str">
        <x:v>2026-08-01T10:05:00</x:v>
      </x:c>
      <x:c r="D966" s="47" t="n">
        <x:v>30</x:v>
      </x:c>
      <x:c r="E966" s="40" t="n">
        <x:v>12.3</x:v>
      </x:c>
      <x:c r="F966" s="40" t="n">
        <x:v>11.026905059814453</x:v>
      </x:c>
      <x:c r="G966" s="40" t="n">
        <x:v>12.3</x:v>
      </x:c>
      <x:c r="H966" s="40" t="n">
        <x:f>F966-E966</x:f>
        <x:v>-1.2730949401855476</x:v>
      </x:c>
      <x:c r="I966" s="40" t="n">
        <x:f>ABS(H966)</x:f>
        <x:v>1.2730949401855476</x:v>
      </x:c>
      <x:c r="J966" s="40" t="n">
        <x:f>H966^2</x:f>
        <x:v>1.620770726726043</x:v>
      </x:c>
      <x:c r="K966" s="40" t="n">
        <x:f>G966-E966</x:f>
        <x:v>0</x:v>
      </x:c>
      <x:c r="L966" s="40" t="n">
        <x:f>ABS(K966)</x:f>
        <x:v>0</x:v>
      </x:c>
      <x:c r="M966" s="41" t="str">
        <x:v>lstm-soil-v1</x:v>
      </x:c>
    </x:row>
    <x:row r="967">
      <x:c r="A967" s="38" t="str">
        <x:v>7月30日现场数据</x:v>
      </x:c>
      <x:c r="B967" s="39" t="str">
        <x:v>2026-08-01T09:35:00</x:v>
      </x:c>
      <x:c r="C967" s="39" t="str">
        <x:v>2026-08-01T10:35:00</x:v>
      </x:c>
      <x:c r="D967" s="47" t="n">
        <x:v>60</x:v>
      </x:c>
      <x:c r="E967" s="40" t="n">
        <x:v>12.2</x:v>
      </x:c>
      <x:c r="F967" s="40" t="n">
        <x:v>12.790813446044922</x:v>
      </x:c>
      <x:c r="G967" s="40" t="n">
        <x:v>12.3</x:v>
      </x:c>
      <x:c r="H967" s="40" t="n">
        <x:f>F967-E967</x:f>
        <x:v>0.5908134460449226</x:v>
      </x:c>
      <x:c r="I967" s="40" t="n">
        <x:f>ABS(H967)</x:f>
        <x:v>0.5908134460449226</x:v>
      </x:c>
      <x:c r="J967" s="40" t="n">
        <x:f>H967^2</x:f>
        <x:v>0.34906052802747667</x:v>
      </x:c>
      <x:c r="K967" s="40" t="n">
        <x:f>G967-E967</x:f>
        <x:v>0.10000000000000142</x:v>
      </x:c>
      <x:c r="L967" s="40" t="n">
        <x:f>ABS(K967)</x:f>
        <x:v>0.10000000000000142</x:v>
      </x:c>
      <x:c r="M967" s="41" t="str">
        <x:v>lstm-soil-v1</x:v>
      </x:c>
    </x:row>
    <x:row r="968">
      <x:c r="A968" s="38" t="str">
        <x:v>7月30日现场数据</x:v>
      </x:c>
      <x:c r="B968" s="39" t="str">
        <x:v>2026-08-01T09:40:00</x:v>
      </x:c>
      <x:c r="C968" s="39" t="str">
        <x:v>2026-08-01T09:45:00</x:v>
      </x:c>
      <x:c r="D968" s="47" t="n">
        <x:v>5</x:v>
      </x:c>
      <x:c r="E968" s="40" t="n">
        <x:v>12.3</x:v>
      </x:c>
      <x:c r="F968" s="40" t="n">
        <x:v>10.299736022949219</x:v>
      </x:c>
      <x:c r="G968" s="40" t="n">
        <x:v>12.3</x:v>
      </x:c>
      <x:c r="H968" s="40" t="n">
        <x:f>F968-E968</x:f>
        <x:v>-2.000263977050782</x:v>
      </x:c>
      <x:c r="I968" s="40" t="n">
        <x:f>ABS(H968)</x:f>
        <x:v>2.000263977050782</x:v>
      </x:c>
      <x:c r="J968" s="40" t="n">
        <x:f>H968^2</x:f>
        <x:v>4.001055977887011</x:v>
      </x:c>
      <x:c r="K968" s="40" t="n">
        <x:f>G968-E968</x:f>
        <x:v>0</x:v>
      </x:c>
      <x:c r="L968" s="40" t="n">
        <x:f>ABS(K968)</x:f>
        <x:v>0</x:v>
      </x:c>
      <x:c r="M968" s="41" t="str">
        <x:v>lstm-soil-v1</x:v>
      </x:c>
    </x:row>
    <x:row r="969">
      <x:c r="A969" s="38" t="str">
        <x:v>7月30日现场数据</x:v>
      </x:c>
      <x:c r="B969" s="39" t="str">
        <x:v>2026-08-01T09:40:00</x:v>
      </x:c>
      <x:c r="C969" s="39" t="str">
        <x:v>2026-08-01T09:55:00</x:v>
      </x:c>
      <x:c r="D969" s="47" t="n">
        <x:v>15</x:v>
      </x:c>
      <x:c r="E969" s="40" t="n">
        <x:v>12.3</x:v>
      </x:c>
      <x:c r="F969" s="40" t="n">
        <x:v>10.319381713867188</x:v>
      </x:c>
      <x:c r="G969" s="40" t="n">
        <x:v>12.3</x:v>
      </x:c>
      <x:c r="H969" s="40" t="n">
        <x:f>F969-E969</x:f>
        <x:v>-1.9806182861328132</x:v>
      </x:c>
      <x:c r="I969" s="40" t="n">
        <x:f>ABS(H969)</x:f>
        <x:v>1.9806182861328132</x:v>
      </x:c>
      <x:c r="J969" s="40" t="n">
        <x:f>H969^2</x:f>
        <x:v>3.922848795363682</x:v>
      </x:c>
      <x:c r="K969" s="40" t="n">
        <x:f>G969-E969</x:f>
        <x:v>0</x:v>
      </x:c>
      <x:c r="L969" s="40" t="n">
        <x:f>ABS(K969)</x:f>
        <x:v>0</x:v>
      </x:c>
      <x:c r="M969" s="41" t="str">
        <x:v>lstm-soil-v1</x:v>
      </x:c>
    </x:row>
    <x:row r="970">
      <x:c r="A970" s="38" t="str">
        <x:v>7月30日现场数据</x:v>
      </x:c>
      <x:c r="B970" s="39" t="str">
        <x:v>2026-08-01T09:40:00</x:v>
      </x:c>
      <x:c r="C970" s="39" t="str">
        <x:v>2026-08-01T10:10:00</x:v>
      </x:c>
      <x:c r="D970" s="47" t="n">
        <x:v>30</x:v>
      </x:c>
      <x:c r="E970" s="40" t="n">
        <x:v>12.3</x:v>
      </x:c>
      <x:c r="F970" s="40" t="n">
        <x:v>11.0296630859375</x:v>
      </x:c>
      <x:c r="G970" s="40" t="n">
        <x:v>12.3</x:v>
      </x:c>
      <x:c r="H970" s="40" t="n">
        <x:f>F970-E970</x:f>
        <x:v>-1.2703369140625007</x:v>
      </x:c>
      <x:c r="I970" s="40" t="n">
        <x:f>ABS(H970)</x:f>
        <x:v>1.2703369140625007</x:v>
      </x:c>
      <x:c r="J970" s="40" t="n">
        <x:f>H970^2</x:f>
        <x:v>1.6137558752298373</x:v>
      </x:c>
      <x:c r="K970" s="40" t="n">
        <x:f>G970-E970</x:f>
        <x:v>0</x:v>
      </x:c>
      <x:c r="L970" s="40" t="n">
        <x:f>ABS(K970)</x:f>
        <x:v>0</x:v>
      </x:c>
      <x:c r="M970" s="41" t="str">
        <x:v>lstm-soil-v1</x:v>
      </x:c>
    </x:row>
    <x:row r="971">
      <x:c r="A971" s="38" t="str">
        <x:v>7月30日现场数据</x:v>
      </x:c>
      <x:c r="B971" s="39" t="str">
        <x:v>2026-08-01T09:40:00</x:v>
      </x:c>
      <x:c r="C971" s="39" t="str">
        <x:v>2026-08-01T10:40:00</x:v>
      </x:c>
      <x:c r="D971" s="47" t="n">
        <x:v>60</x:v>
      </x:c>
      <x:c r="E971" s="40" t="n">
        <x:v>12.1</x:v>
      </x:c>
      <x:c r="F971" s="40" t="n">
        <x:v>12.792095184326172</x:v>
      </x:c>
      <x:c r="G971" s="40" t="n">
        <x:v>12.3</x:v>
      </x:c>
      <x:c r="H971" s="40" t="n">
        <x:f>F971-E971</x:f>
        <x:v>0.6920951843261722</x:v>
      </x:c>
      <x:c r="I971" s="40" t="n">
        <x:f>ABS(H971)</x:f>
        <x:v>0.6920951843261722</x:v>
      </x:c>
      <x:c r="J971" s="40" t="n">
        <x:f>H971^2</x:f>
        <x:v>0.4789957441674783</x:v>
      </x:c>
      <x:c r="K971" s="40" t="n">
        <x:f>G971-E971</x:f>
        <x:v>0.20000000000000107</x:v>
      </x:c>
      <x:c r="L971" s="40" t="n">
        <x:f>ABS(K971)</x:f>
        <x:v>0.20000000000000107</x:v>
      </x:c>
      <x:c r="M971" s="41" t="str">
        <x:v>lstm-soil-v1</x:v>
      </x:c>
    </x:row>
    <x:row r="972">
      <x:c r="A972" s="38" t="str">
        <x:v>7月30日现场数据</x:v>
      </x:c>
      <x:c r="B972" s="39" t="str">
        <x:v>2026-08-01T09:45:00</x:v>
      </x:c>
      <x:c r="C972" s="39" t="str">
        <x:v>2026-08-01T09:50:00</x:v>
      </x:c>
      <x:c r="D972" s="47" t="n">
        <x:v>5</x:v>
      </x:c>
      <x:c r="E972" s="40" t="n">
        <x:v>12.3</x:v>
      </x:c>
      <x:c r="F972" s="40" t="n">
        <x:v>10.29931640625</x:v>
      </x:c>
      <x:c r="G972" s="40" t="n">
        <x:v>12.3</x:v>
      </x:c>
      <x:c r="H972" s="40" t="n">
        <x:f>F972-E972</x:f>
        <x:v>-2.0006835937500007</x:v>
      </x:c>
      <x:c r="I972" s="40" t="n">
        <x:f>ABS(H972)</x:f>
        <x:v>2.0006835937500007</x:v>
      </x:c>
      <x:c r="J972" s="40" t="n">
        <x:f>H972^2</x:f>
        <x:v>4.002734842300418</x:v>
      </x:c>
      <x:c r="K972" s="40" t="n">
        <x:f>G972-E972</x:f>
        <x:v>0</x:v>
      </x:c>
      <x:c r="L972" s="40" t="n">
        <x:f>ABS(K972)</x:f>
        <x:v>0</x:v>
      </x:c>
      <x:c r="M972" s="41" t="str">
        <x:v>lstm-soil-v1</x:v>
      </x:c>
    </x:row>
    <x:row r="973">
      <x:c r="A973" s="38" t="str">
        <x:v>7月30日现场数据</x:v>
      </x:c>
      <x:c r="B973" s="39" t="str">
        <x:v>2026-08-01T09:45:00</x:v>
      </x:c>
      <x:c r="C973" s="39" t="str">
        <x:v>2026-08-01T10:00:00</x:v>
      </x:c>
      <x:c r="D973" s="47" t="n">
        <x:v>15</x:v>
      </x:c>
      <x:c r="E973" s="40" t="n">
        <x:v>12.3</x:v>
      </x:c>
      <x:c r="F973" s="40" t="n">
        <x:v>10.320697784423828</x:v>
      </x:c>
      <x:c r="G973" s="40" t="n">
        <x:v>12.3</x:v>
      </x:c>
      <x:c r="H973" s="40" t="n">
        <x:f>F973-E973</x:f>
        <x:v>-1.9793022155761726</x:v>
      </x:c>
      <x:c r="I973" s="40" t="n">
        <x:f>ABS(H973)</x:f>
        <x:v>1.9793022155761726</x:v>
      </x:c>
      <x:c r="J973" s="40" t="n">
        <x:f>H973^2</x:f>
        <x:v>3.9176372605847454</x:v>
      </x:c>
      <x:c r="K973" s="40" t="n">
        <x:f>G973-E973</x:f>
        <x:v>0</x:v>
      </x:c>
      <x:c r="L973" s="40" t="n">
        <x:f>ABS(K973)</x:f>
        <x:v>0</x:v>
      </x:c>
      <x:c r="M973" s="41" t="str">
        <x:v>lstm-soil-v1</x:v>
      </x:c>
    </x:row>
    <x:row r="974">
      <x:c r="A974" s="38" t="str">
        <x:v>7月30日现场数据</x:v>
      </x:c>
      <x:c r="B974" s="39" t="str">
        <x:v>2026-08-01T09:45:00</x:v>
      </x:c>
      <x:c r="C974" s="39" t="str">
        <x:v>2026-08-01T10:15:00</x:v>
      </x:c>
      <x:c r="D974" s="47" t="n">
        <x:v>30</x:v>
      </x:c>
      <x:c r="E974" s="40" t="n">
        <x:v>12.2</x:v>
      </x:c>
      <x:c r="F974" s="40" t="n">
        <x:v>11.032230377197266</x:v>
      </x:c>
      <x:c r="G974" s="40" t="n">
        <x:v>12.3</x:v>
      </x:c>
      <x:c r="H974" s="40" t="n">
        <x:f>F974-E974</x:f>
        <x:v>-1.1677696228027337</x:v>
      </x:c>
      <x:c r="I974" s="40" t="n">
        <x:f>ABS(H974)</x:f>
        <x:v>1.1677696228027337</x:v>
      </x:c>
      <x:c r="J974" s="40" t="n">
        <x:f>H974^2</x:f>
        <x:v>1.3636858919408388</x:v>
      </x:c>
      <x:c r="K974" s="40" t="n">
        <x:f>G974-E974</x:f>
        <x:v>0.10000000000000142</x:v>
      </x:c>
      <x:c r="L974" s="40" t="n">
        <x:f>ABS(K974)</x:f>
        <x:v>0.10000000000000142</x:v>
      </x:c>
      <x:c r="M974" s="41" t="str">
        <x:v>lstm-soil-v1</x:v>
      </x:c>
    </x:row>
    <x:row r="975">
      <x:c r="A975" s="38" t="str">
        <x:v>7月30日现场数据</x:v>
      </x:c>
      <x:c r="B975" s="39" t="str">
        <x:v>2026-08-01T09:45:00</x:v>
      </x:c>
      <x:c r="C975" s="39" t="str">
        <x:v>2026-08-01T10:45:00</x:v>
      </x:c>
      <x:c r="D975" s="47" t="n">
        <x:v>60</x:v>
      </x:c>
      <x:c r="E975" s="40" t="n">
        <x:v>12.1</x:v>
      </x:c>
      <x:c r="F975" s="40" t="n">
        <x:v>12.79312515258789</x:v>
      </x:c>
      <x:c r="G975" s="40" t="n">
        <x:v>12.3</x:v>
      </x:c>
      <x:c r="H975" s="40" t="n">
        <x:f>F975-E975</x:f>
        <x:v>0.693125152587891</x:v>
      </x:c>
      <x:c r="I975" s="40" t="n">
        <x:f>ABS(H975)</x:f>
        <x:v>0.693125152587891</x:v>
      </x:c>
      <x:c r="J975" s="40" t="n">
        <x:f>H975^2</x:f>
        <x:v>0.48042247714998715</x:v>
      </x:c>
      <x:c r="K975" s="40" t="n">
        <x:f>G975-E975</x:f>
        <x:v>0.20000000000000107</x:v>
      </x:c>
      <x:c r="L975" s="40" t="n">
        <x:f>ABS(K975)</x:f>
        <x:v>0.20000000000000107</x:v>
      </x:c>
      <x:c r="M975" s="41" t="str">
        <x:v>lstm-soil-v1</x:v>
      </x:c>
    </x:row>
    <x:row r="976">
      <x:c r="A976" s="38" t="str">
        <x:v>7月30日现场数据</x:v>
      </x:c>
      <x:c r="B976" s="39" t="str">
        <x:v>2026-08-01T09:50:00</x:v>
      </x:c>
      <x:c r="C976" s="39" t="str">
        <x:v>2026-08-01T09:55:00</x:v>
      </x:c>
      <x:c r="D976" s="47" t="n">
        <x:v>5</x:v>
      </x:c>
      <x:c r="E976" s="40" t="n">
        <x:v>12.3</x:v>
      </x:c>
      <x:c r="F976" s="40" t="n">
        <x:v>10.298542022705078</x:v>
      </x:c>
      <x:c r="G976" s="40" t="n">
        <x:v>12.3</x:v>
      </x:c>
      <x:c r="H976" s="40" t="n">
        <x:f>F976-E976</x:f>
        <x:v>-2.0014579772949226</x:v>
      </x:c>
      <x:c r="I976" s="40" t="n">
        <x:f>ABS(H976)</x:f>
        <x:v>2.0014579772949226</x:v>
      </x:c>
      <x:c r="J976" s="40" t="n">
        <x:f>H976^2</x:f>
        <x:v>4.005834034877483</x:v>
      </x:c>
      <x:c r="K976" s="40" t="n">
        <x:f>G976-E976</x:f>
        <x:v>0</x:v>
      </x:c>
      <x:c r="L976" s="40" t="n">
        <x:f>ABS(K976)</x:f>
        <x:v>0</x:v>
      </x:c>
      <x:c r="M976" s="41" t="str">
        <x:v>lstm-soil-v1</x:v>
      </x:c>
    </x:row>
    <x:row r="977">
      <x:c r="A977" s="38" t="str">
        <x:v>7月30日现场数据</x:v>
      </x:c>
      <x:c r="B977" s="39" t="str">
        <x:v>2026-08-01T09:50:00</x:v>
      </x:c>
      <x:c r="C977" s="39" t="str">
        <x:v>2026-08-01T10:05:00</x:v>
      </x:c>
      <x:c r="D977" s="47" t="n">
        <x:v>15</x:v>
      </x:c>
      <x:c r="E977" s="40" t="n">
        <x:v>12.3</x:v>
      </x:c>
      <x:c r="F977" s="40" t="n">
        <x:v>10.321758270263672</x:v>
      </x:c>
      <x:c r="G977" s="40" t="n">
        <x:v>12.3</x:v>
      </x:c>
      <x:c r="H977" s="40" t="n">
        <x:f>F977-E977</x:f>
        <x:v>-1.9782417297363288</x:v>
      </x:c>
      <x:c r="I977" s="40" t="n">
        <x:f>ABS(H977)</x:f>
        <x:v>1.9782417297363288</x:v>
      </x:c>
      <x:c r="J977" s="40" t="n">
        <x:f>H977^2</x:f>
        <x:v>3.9134403412701824</x:v>
      </x:c>
      <x:c r="K977" s="40" t="n">
        <x:f>G977-E977</x:f>
        <x:v>0</x:v>
      </x:c>
      <x:c r="L977" s="40" t="n">
        <x:f>ABS(K977)</x:f>
        <x:v>0</x:v>
      </x:c>
      <x:c r="M977" s="41" t="str">
        <x:v>lstm-soil-v1</x:v>
      </x:c>
    </x:row>
    <x:row r="978">
      <x:c r="A978" s="38" t="str">
        <x:v>7月30日现场数据</x:v>
      </x:c>
      <x:c r="B978" s="39" t="str">
        <x:v>2026-08-01T09:50:00</x:v>
      </x:c>
      <x:c r="C978" s="39" t="str">
        <x:v>2026-08-01T10:20:00</x:v>
      </x:c>
      <x:c r="D978" s="47" t="n">
        <x:v>30</x:v>
      </x:c>
      <x:c r="E978" s="40" t="n">
        <x:v>12.3</x:v>
      </x:c>
      <x:c r="F978" s="40" t="n">
        <x:v>11.032051086425781</x:v>
      </x:c>
      <x:c r="G978" s="40" t="n">
        <x:v>12.3</x:v>
      </x:c>
      <x:c r="H978" s="40" t="n">
        <x:f>F978-E978</x:f>
        <x:v>-1.2679489135742195</x:v>
      </x:c>
      <x:c r="I978" s="40" t="n">
        <x:f>ABS(H978)</x:f>
        <x:v>1.2679489135742195</x:v>
      </x:c>
      <x:c r="J978" s="40" t="n">
        <x:f>H978^2</x:f>
        <x:v>1.6076944474340435</x:v>
      </x:c>
      <x:c r="K978" s="40" t="n">
        <x:f>G978-E978</x:f>
        <x:v>0</x:v>
      </x:c>
      <x:c r="L978" s="40" t="n">
        <x:f>ABS(K978)</x:f>
        <x:v>0</x:v>
      </x:c>
      <x:c r="M978" s="41" t="str">
        <x:v>lstm-soil-v1</x:v>
      </x:c>
    </x:row>
    <x:row r="979">
      <x:c r="A979" s="38" t="str">
        <x:v>7月30日现场数据</x:v>
      </x:c>
      <x:c r="B979" s="39" t="str">
        <x:v>2026-08-01T09:50:00</x:v>
      </x:c>
      <x:c r="C979" s="39" t="str">
        <x:v>2026-08-01T10:50:00</x:v>
      </x:c>
      <x:c r="D979" s="47" t="n">
        <x:v>60</x:v>
      </x:c>
      <x:c r="E979" s="40" t="n">
        <x:v>12.1</x:v>
      </x:c>
      <x:c r="F979" s="40" t="n">
        <x:v>12.792415618896484</x:v>
      </x:c>
      <x:c r="G979" s="40" t="n">
        <x:v>12.3</x:v>
      </x:c>
      <x:c r="H979" s="40" t="n">
        <x:f>F979-E979</x:f>
        <x:v>0.6924156188964847</x:v>
      </x:c>
      <x:c r="I979" s="40" t="n">
        <x:f>ABS(H979)</x:f>
        <x:v>0.6924156188964847</x:v>
      </x:c>
      <x:c r="J979" s="40" t="n">
        <x:f>H979^2</x:f>
        <x:v>0.47943938929180197</x:v>
      </x:c>
      <x:c r="K979" s="40" t="n">
        <x:f>G979-E979</x:f>
        <x:v>0.20000000000000107</x:v>
      </x:c>
      <x:c r="L979" s="40" t="n">
        <x:f>ABS(K979)</x:f>
        <x:v>0.20000000000000107</x:v>
      </x:c>
      <x:c r="M979" s="41" t="str">
        <x:v>lstm-soil-v1</x:v>
      </x:c>
    </x:row>
    <x:row r="980">
      <x:c r="A980" s="38" t="str">
        <x:v>7月30日现场数据</x:v>
      </x:c>
      <x:c r="B980" s="39" t="str">
        <x:v>2026-08-01T09:55:00</x:v>
      </x:c>
      <x:c r="C980" s="39" t="str">
        <x:v>2026-08-01T10:00:00</x:v>
      </x:c>
      <x:c r="D980" s="47" t="n">
        <x:v>5</x:v>
      </x:c>
      <x:c r="E980" s="40" t="n">
        <x:v>12.3</x:v>
      </x:c>
      <x:c r="F980" s="40" t="n">
        <x:v>10.297615051269531</x:v>
      </x:c>
      <x:c r="G980" s="40" t="n">
        <x:v>12.3</x:v>
      </x:c>
      <x:c r="H980" s="40" t="n">
        <x:f>F980-E980</x:f>
        <x:v>-2.0023849487304695</x:v>
      </x:c>
      <x:c r="I980" s="40" t="n">
        <x:f>ABS(H980)</x:f>
        <x:v>2.0023849487304695</x:v>
      </x:c>
      <x:c r="J980" s="40" t="n">
        <x:f>H980^2</x:f>
        <x:v>4.0095454829023245</x:v>
      </x:c>
      <x:c r="K980" s="40" t="n">
        <x:f>G980-E980</x:f>
        <x:v>0</x:v>
      </x:c>
      <x:c r="L980" s="40" t="n">
        <x:f>ABS(K980)</x:f>
        <x:v>0</x:v>
      </x:c>
      <x:c r="M980" s="41" t="str">
        <x:v>lstm-soil-v1</x:v>
      </x:c>
    </x:row>
    <x:row r="981">
      <x:c r="A981" s="38" t="str">
        <x:v>7月30日现场数据</x:v>
      </x:c>
      <x:c r="B981" s="39" t="str">
        <x:v>2026-08-01T09:55:00</x:v>
      </x:c>
      <x:c r="C981" s="39" t="str">
        <x:v>2026-08-01T10:10:00</x:v>
      </x:c>
      <x:c r="D981" s="47" t="n">
        <x:v>15</x:v>
      </x:c>
      <x:c r="E981" s="40" t="n">
        <x:v>12.3</x:v>
      </x:c>
      <x:c r="F981" s="40" t="n">
        <x:v>10.32186508178711</x:v>
      </x:c>
      <x:c r="G981" s="40" t="n">
        <x:v>12.3</x:v>
      </x:c>
      <x:c r="H981" s="40" t="n">
        <x:f>F981-E981</x:f>
        <x:v>-1.9781349182128913</x:v>
      </x:c>
      <x:c r="I981" s="40" t="n">
        <x:f>ABS(H981)</x:f>
        <x:v>1.9781349182128913</x:v>
      </x:c>
      <x:c r="J981" s="40" t="n">
        <x:f>H981^2</x:f>
        <x:v>3.913017754653122</x:v>
      </x:c>
      <x:c r="K981" s="40" t="n">
        <x:f>G981-E981</x:f>
        <x:v>0</x:v>
      </x:c>
      <x:c r="L981" s="40" t="n">
        <x:f>ABS(K981)</x:f>
        <x:v>0</x:v>
      </x:c>
      <x:c r="M981" s="41" t="str">
        <x:v>lstm-soil-v1</x:v>
      </x:c>
    </x:row>
    <x:row r="982">
      <x:c r="A982" s="38" t="str">
        <x:v>7月30日现场数据</x:v>
      </x:c>
      <x:c r="B982" s="39" t="str">
        <x:v>2026-08-01T09:55:00</x:v>
      </x:c>
      <x:c r="C982" s="39" t="str">
        <x:v>2026-08-01T10:25:00</x:v>
      </x:c>
      <x:c r="D982" s="47" t="n">
        <x:v>30</x:v>
      </x:c>
      <x:c r="E982" s="40" t="n">
        <x:v>12.3</x:v>
      </x:c>
      <x:c r="F982" s="40" t="n">
        <x:v>11.032535552978516</x:v>
      </x:c>
      <x:c r="G982" s="40" t="n">
        <x:v>12.3</x:v>
      </x:c>
      <x:c r="H982" s="40" t="n">
        <x:f>F982-E982</x:f>
        <x:v>-1.267464447021485</x:v>
      </x:c>
      <x:c r="I982" s="40" t="n">
        <x:f>ABS(H982)</x:f>
        <x:v>1.267464447021485</x:v>
      </x:c>
      <x:c r="J982" s="40" t="n">
        <x:f>H982^2</x:f>
        <x:v>1.606466124463479</x:v>
      </x:c>
      <x:c r="K982" s="40" t="n">
        <x:f>G982-E982</x:f>
        <x:v>0</x:v>
      </x:c>
      <x:c r="L982" s="40" t="n">
        <x:f>ABS(K982)</x:f>
        <x:v>0</x:v>
      </x:c>
      <x:c r="M982" s="41" t="str">
        <x:v>lstm-soil-v1</x:v>
      </x:c>
    </x:row>
    <x:row r="983">
      <x:c r="A983" s="38" t="str">
        <x:v>7月30日现场数据</x:v>
      </x:c>
      <x:c r="B983" s="39" t="str">
        <x:v>2026-08-01T09:55:00</x:v>
      </x:c>
      <x:c r="C983" s="39" t="str">
        <x:v>2026-08-01T10:55:00</x:v>
      </x:c>
      <x:c r="D983" s="47" t="n">
        <x:v>60</x:v>
      </x:c>
      <x:c r="E983" s="40" t="n">
        <x:v>12.05</x:v>
      </x:c>
      <x:c r="F983" s="40" t="n">
        <x:v>12.793014526367188</x:v>
      </x:c>
      <x:c r="G983" s="40" t="n">
        <x:v>12.3</x:v>
      </x:c>
      <x:c r="H983" s="40" t="n">
        <x:f>F983-E983</x:f>
        <x:v>0.7430145263671868</x:v>
      </x:c>
      <x:c r="I983" s="40" t="n">
        <x:f>ABS(H983)</x:f>
        <x:v>0.7430145263671868</x:v>
      </x:c>
      <x:c r="J983" s="40" t="n">
        <x:f>H983^2</x:f>
        <x:v>0.5520705863926549</x:v>
      </x:c>
      <x:c r="K983" s="40" t="n">
        <x:f>G983-E983</x:f>
        <x:v>0.25</x:v>
      </x:c>
      <x:c r="L983" s="40" t="n">
        <x:f>ABS(K983)</x:f>
        <x:v>0.25</x:v>
      </x:c>
      <x:c r="M983" s="41" t="str">
        <x:v>lstm-soil-v1</x:v>
      </x:c>
    </x:row>
    <x:row r="984">
      <x:c r="A984" s="38" t="str">
        <x:v>7月30日现场数据</x:v>
      </x:c>
      <x:c r="B984" s="39" t="str">
        <x:v>2026-08-01T10:00:00</x:v>
      </x:c>
      <x:c r="C984" s="39" t="str">
        <x:v>2026-08-01T10:05:00</x:v>
      </x:c>
      <x:c r="D984" s="47" t="n">
        <x:v>5</x:v>
      </x:c>
      <x:c r="E984" s="40" t="n">
        <x:v>12.3</x:v>
      </x:c>
      <x:c r="F984" s="40" t="n">
        <x:v>10.297313690185547</x:v>
      </x:c>
      <x:c r="G984" s="40" t="n">
        <x:v>12.3</x:v>
      </x:c>
      <x:c r="H984" s="40" t="n">
        <x:f>F984-E984</x:f>
        <x:v>-2.002686309814454</x:v>
      </x:c>
      <x:c r="I984" s="40" t="n">
        <x:f>ABS(H984)</x:f>
        <x:v>2.002686309814454</x:v>
      </x:c>
      <x:c r="J984" s="40" t="n">
        <x:f>H984^2</x:f>
        <x:v>4.010752455518235</x:v>
      </x:c>
      <x:c r="K984" s="40" t="n">
        <x:f>G984-E984</x:f>
        <x:v>0</x:v>
      </x:c>
      <x:c r="L984" s="40" t="n">
        <x:f>ABS(K984)</x:f>
        <x:v>0</x:v>
      </x:c>
      <x:c r="M984" s="41" t="str">
        <x:v>lstm-soil-v1</x:v>
      </x:c>
    </x:row>
    <x:row r="985">
      <x:c r="A985" s="38" t="str">
        <x:v>7月30日现场数据</x:v>
      </x:c>
      <x:c r="B985" s="39" t="str">
        <x:v>2026-08-01T10:00:00</x:v>
      </x:c>
      <x:c r="C985" s="39" t="str">
        <x:v>2026-08-01T10:15:00</x:v>
      </x:c>
      <x:c r="D985" s="47" t="n">
        <x:v>15</x:v>
      </x:c>
      <x:c r="E985" s="40" t="n">
        <x:v>12.2</x:v>
      </x:c>
      <x:c r="F985" s="40" t="n">
        <x:v>10.327274322509766</x:v>
      </x:c>
      <x:c r="G985" s="40" t="n">
        <x:v>12.3</x:v>
      </x:c>
      <x:c r="H985" s="40" t="n">
        <x:f>F985-E985</x:f>
        <x:v>-1.8727256774902337</x:v>
      </x:c>
      <x:c r="I985" s="40" t="n">
        <x:f>ABS(H985)</x:f>
        <x:v>1.8727256774902337</x:v>
      </x:c>
      <x:c r="J985" s="40" t="n">
        <x:f>H985^2</x:f>
        <x:v>3.5071014631312547</x:v>
      </x:c>
      <x:c r="K985" s="40" t="n">
        <x:f>G985-E985</x:f>
        <x:v>0.10000000000000142</x:v>
      </x:c>
      <x:c r="L985" s="40" t="n">
        <x:f>ABS(K985)</x:f>
        <x:v>0.10000000000000142</x:v>
      </x:c>
      <x:c r="M985" s="41" t="str">
        <x:v>lstm-soil-v1</x:v>
      </x:c>
    </x:row>
    <x:row r="986">
      <x:c r="A986" s="38" t="str">
        <x:v>7月30日现场数据</x:v>
      </x:c>
      <x:c r="B986" s="39" t="str">
        <x:v>2026-08-01T10:00:00</x:v>
      </x:c>
      <x:c r="C986" s="39" t="str">
        <x:v>2026-08-01T10:30:00</x:v>
      </x:c>
      <x:c r="D986" s="47" t="n">
        <x:v>30</x:v>
      </x:c>
      <x:c r="E986" s="40" t="n">
        <x:v>12.2</x:v>
      </x:c>
      <x:c r="F986" s="40" t="n">
        <x:v>11.027851104736328</x:v>
      </x:c>
      <x:c r="G986" s="40" t="n">
        <x:v>12.3</x:v>
      </x:c>
      <x:c r="H986" s="40" t="n">
        <x:f>F986-E986</x:f>
        <x:v>-1.1721488952636712</x:v>
      </x:c>
      <x:c r="I986" s="40" t="n">
        <x:f>ABS(H986)</x:f>
        <x:v>1.1721488952636712</x:v>
      </x:c>
      <x:c r="J986" s="40" t="n">
        <x:f>H986^2</x:f>
        <x:v>1.3739330326678447</x:v>
      </x:c>
      <x:c r="K986" s="40" t="n">
        <x:f>G986-E986</x:f>
        <x:v>0.10000000000000142</x:v>
      </x:c>
      <x:c r="L986" s="40" t="n">
        <x:f>ABS(K986)</x:f>
        <x:v>0.10000000000000142</x:v>
      </x:c>
      <x:c r="M986" s="41" t="str">
        <x:v>lstm-soil-v1</x:v>
      </x:c>
    </x:row>
    <x:row r="987">
      <x:c r="A987" s="38" t="str">
        <x:v>7月30日现场数据</x:v>
      </x:c>
      <x:c r="B987" s="39" t="str">
        <x:v>2026-08-01T10:00:00</x:v>
      </x:c>
      <x:c r="C987" s="39" t="str">
        <x:v>2026-08-01T11:00:00</x:v>
      </x:c>
      <x:c r="D987" s="47" t="n">
        <x:v>60</x:v>
      </x:c>
      <x:c r="E987" s="40" t="n">
        <x:v>12</x:v>
      </x:c>
      <x:c r="F987" s="40" t="n">
        <x:v>12.784549713134766</x:v>
      </x:c>
      <x:c r="G987" s="40" t="n">
        <x:v>12.3</x:v>
      </x:c>
      <x:c r="H987" s="40" t="n">
        <x:f>F987-E987</x:f>
        <x:v>0.7845497131347656</x:v>
      </x:c>
      <x:c r="I987" s="40" t="n">
        <x:f>ABS(H987)</x:f>
        <x:v>0.7845497131347656</x:v>
      </x:c>
      <x:c r="J987" s="40" t="n">
        <x:f>H987^2</x:f>
        <x:v>0.615518252379843</x:v>
      </x:c>
      <x:c r="K987" s="40" t="n">
        <x:f>G987-E987</x:f>
        <x:v>0.3000000000000007</x:v>
      </x:c>
      <x:c r="L987" s="40" t="n">
        <x:f>ABS(K987)</x:f>
        <x:v>0.3000000000000007</x:v>
      </x:c>
      <x:c r="M987" s="41" t="str">
        <x:v>lstm-soil-v1</x:v>
      </x:c>
    </x:row>
    <x:row r="988">
      <x:c r="A988" s="38" t="str">
        <x:v>7月30日现场数据</x:v>
      </x:c>
      <x:c r="B988" s="39" t="str">
        <x:v>2026-08-01T10:05:00</x:v>
      </x:c>
      <x:c r="C988" s="39" t="str">
        <x:v>2026-08-01T10:10:00</x:v>
      </x:c>
      <x:c r="D988" s="47" t="n">
        <x:v>5</x:v>
      </x:c>
      <x:c r="E988" s="40" t="n">
        <x:v>12.3</x:v>
      </x:c>
      <x:c r="F988" s="40" t="n">
        <x:v>10.295787811279297</x:v>
      </x:c>
      <x:c r="G988" s="40" t="n">
        <x:v>12.3</x:v>
      </x:c>
      <x:c r="H988" s="40" t="n">
        <x:f>F988-E988</x:f>
        <x:v>-2.004212188720704</x:v>
      </x:c>
      <x:c r="I988" s="40" t="n">
        <x:f>ABS(H988)</x:f>
        <x:v>2.004212188720704</x:v>
      </x:c>
      <x:c r="J988" s="40" t="n">
        <x:f>H988^2</x:f>
        <x:v>4.016866497416634</x:v>
      </x:c>
      <x:c r="K988" s="40" t="n">
        <x:f>G988-E988</x:f>
        <x:v>0</x:v>
      </x:c>
      <x:c r="L988" s="40" t="n">
        <x:f>ABS(K988)</x:f>
        <x:v>0</x:v>
      </x:c>
      <x:c r="M988" s="41" t="str">
        <x:v>lstm-soil-v1</x:v>
      </x:c>
    </x:row>
    <x:row r="989">
      <x:c r="A989" s="38" t="str">
        <x:v>7月30日现场数据</x:v>
      </x:c>
      <x:c r="B989" s="39" t="str">
        <x:v>2026-08-01T10:05:00</x:v>
      </x:c>
      <x:c r="C989" s="39" t="str">
        <x:v>2026-08-01T10:20:00</x:v>
      </x:c>
      <x:c r="D989" s="47" t="n">
        <x:v>15</x:v>
      </x:c>
      <x:c r="E989" s="40" t="n">
        <x:v>12.3</x:v>
      </x:c>
      <x:c r="F989" s="40" t="n">
        <x:v>10.326194763183594</x:v>
      </x:c>
      <x:c r="G989" s="40" t="n">
        <x:v>12.3</x:v>
      </x:c>
      <x:c r="H989" s="40" t="n">
        <x:f>F989-E989</x:f>
        <x:v>-1.973805236816407</x:v>
      </x:c>
      <x:c r="I989" s="40" t="n">
        <x:f>ABS(H989)</x:f>
        <x:v>1.973805236816407</x:v>
      </x:c>
      <x:c r="J989" s="40" t="n">
        <x:f>H989^2</x:f>
        <x:v>3.8959071128838723</x:v>
      </x:c>
      <x:c r="K989" s="40" t="n">
        <x:f>G989-E989</x:f>
        <x:v>0</x:v>
      </x:c>
      <x:c r="L989" s="40" t="n">
        <x:f>ABS(K989)</x:f>
        <x:v>0</x:v>
      </x:c>
      <x:c r="M989" s="41" t="str">
        <x:v>lstm-soil-v1</x:v>
      </x:c>
    </x:row>
    <x:row r="990">
      <x:c r="A990" s="38" t="str">
        <x:v>7月30日现场数据</x:v>
      </x:c>
      <x:c r="B990" s="39" t="str">
        <x:v>2026-08-01T10:05:00</x:v>
      </x:c>
      <x:c r="C990" s="39" t="str">
        <x:v>2026-08-01T10:35:00</x:v>
      </x:c>
      <x:c r="D990" s="47" t="n">
        <x:v>30</x:v>
      </x:c>
      <x:c r="E990" s="40" t="n">
        <x:v>12.2</x:v>
      </x:c>
      <x:c r="F990" s="40" t="n">
        <x:v>11.021892547607422</x:v>
      </x:c>
      <x:c r="G990" s="40" t="n">
        <x:v>12.3</x:v>
      </x:c>
      <x:c r="H990" s="40" t="n">
        <x:f>F990-E990</x:f>
        <x:v>-1.1781074523925774</x:v>
      </x:c>
      <x:c r="I990" s="40" t="n">
        <x:f>ABS(H990)</x:f>
        <x:v>1.1781074523925774</x:v>
      </x:c>
      <x:c r="J990" s="40" t="n">
        <x:f>H990^2</x:f>
        <x:v>1.387937169382929</x:v>
      </x:c>
      <x:c r="K990" s="40" t="n">
        <x:f>G990-E990</x:f>
        <x:v>0.10000000000000142</x:v>
      </x:c>
      <x:c r="L990" s="40" t="n">
        <x:f>ABS(K990)</x:f>
        <x:v>0.10000000000000142</x:v>
      </x:c>
      <x:c r="M990" s="41" t="str">
        <x:v>lstm-soil-v1</x:v>
      </x:c>
    </x:row>
    <x:row r="991">
      <x:c r="A991" s="38" t="str">
        <x:v>7月30日现场数据</x:v>
      </x:c>
      <x:c r="B991" s="39" t="str">
        <x:v>2026-08-01T10:05:00</x:v>
      </x:c>
      <x:c r="C991" s="39" t="str">
        <x:v>2026-08-01T11:05:00</x:v>
      </x:c>
      <x:c r="D991" s="47" t="n">
        <x:v>60</x:v>
      </x:c>
      <x:c r="E991" s="40" t="n">
        <x:v>12</x:v>
      </x:c>
      <x:c r="F991" s="40" t="n">
        <x:v>12.78546142578125</x:v>
      </x:c>
      <x:c r="G991" s="40" t="n">
        <x:v>12.3</x:v>
      </x:c>
      <x:c r="H991" s="40" t="n">
        <x:f>F991-E991</x:f>
        <x:v>0.78546142578125</x:v>
      </x:c>
      <x:c r="I991" s="40" t="n">
        <x:f>ABS(H991)</x:f>
        <x:v>0.78546142578125</x:v>
      </x:c>
      <x:c r="J991" s="40" t="n">
        <x:f>H991^2</x:f>
        <x:v>0.6169496513903141</x:v>
      </x:c>
      <x:c r="K991" s="40" t="n">
        <x:f>G991-E991</x:f>
        <x:v>0.3000000000000007</x:v>
      </x:c>
      <x:c r="L991" s="40" t="n">
        <x:f>ABS(K991)</x:f>
        <x:v>0.3000000000000007</x:v>
      </x:c>
      <x:c r="M991" s="41" t="str">
        <x:v>lstm-soil-v1</x:v>
      </x:c>
    </x:row>
    <x:row r="992">
      <x:c r="A992" s="38" t="str">
        <x:v>7月30日现场数据</x:v>
      </x:c>
      <x:c r="B992" s="39" t="str">
        <x:v>2026-08-01T10:10:00</x:v>
      </x:c>
      <x:c r="C992" s="39" t="str">
        <x:v>2026-08-01T10:15:00</x:v>
      </x:c>
      <x:c r="D992" s="47" t="n">
        <x:v>5</x:v>
      </x:c>
      <x:c r="E992" s="40" t="n">
        <x:v>12.2</x:v>
      </x:c>
      <x:c r="F992" s="40" t="n">
        <x:v>10.291679382324219</x:v>
      </x:c>
      <x:c r="G992" s="40" t="n">
        <x:v>12.3</x:v>
      </x:c>
      <x:c r="H992" s="40" t="n">
        <x:f>F992-E992</x:f>
        <x:v>-1.9083206176757805</x:v>
      </x:c>
      <x:c r="I992" s="40" t="n">
        <x:f>ABS(H992)</x:f>
        <x:v>1.9083206176757805</x:v>
      </x:c>
      <x:c r="J992" s="40" t="n">
        <x:f>H992^2</x:f>
        <x:v>3.6416875798464727</x:v>
      </x:c>
      <x:c r="K992" s="40" t="n">
        <x:f>G992-E992</x:f>
        <x:v>0.10000000000000142</x:v>
      </x:c>
      <x:c r="L992" s="40" t="n">
        <x:f>ABS(K992)</x:f>
        <x:v>0.10000000000000142</x:v>
      </x:c>
      <x:c r="M992" s="41" t="str">
        <x:v>lstm-soil-v1</x:v>
      </x:c>
    </x:row>
    <x:row r="993">
      <x:c r="A993" s="38" t="str">
        <x:v>7月30日现场数据</x:v>
      </x:c>
      <x:c r="B993" s="39" t="str">
        <x:v>2026-08-01T10:10:00</x:v>
      </x:c>
      <x:c r="C993" s="39" t="str">
        <x:v>2026-08-01T10:25:00</x:v>
      </x:c>
      <x:c r="D993" s="47" t="n">
        <x:v>15</x:v>
      </x:c>
      <x:c r="E993" s="40" t="n">
        <x:v>12.3</x:v>
      </x:c>
      <x:c r="F993" s="40" t="n">
        <x:v>10.351253509521484</x:v>
      </x:c>
      <x:c r="G993" s="40" t="n">
        <x:v>12.3</x:v>
      </x:c>
      <x:c r="H993" s="40" t="n">
        <x:f>F993-E993</x:f>
        <x:v>-1.9487464904785163</x:v>
      </x:c>
      <x:c r="I993" s="40" t="n">
        <x:f>ABS(H993)</x:f>
        <x:v>1.9487464904785163</x:v>
      </x:c>
      <x:c r="J993" s="40" t="n">
        <x:f>H993^2</x:f>
        <x:v>3.797612884152334</x:v>
      </x:c>
      <x:c r="K993" s="40" t="n">
        <x:f>G993-E993</x:f>
        <x:v>0</x:v>
      </x:c>
      <x:c r="L993" s="40" t="n">
        <x:f>ABS(K993)</x:f>
        <x:v>0</x:v>
      </x:c>
      <x:c r="M993" s="41" t="str">
        <x:v>lstm-soil-v1</x:v>
      </x:c>
    </x:row>
    <x:row r="994">
      <x:c r="A994" s="38" t="str">
        <x:v>7月30日现场数据</x:v>
      </x:c>
      <x:c r="B994" s="39" t="str">
        <x:v>2026-08-01T10:10:00</x:v>
      </x:c>
      <x:c r="C994" s="39" t="str">
        <x:v>2026-08-01T10:40:00</x:v>
      </x:c>
      <x:c r="D994" s="47" t="n">
        <x:v>30</x:v>
      </x:c>
      <x:c r="E994" s="40" t="n">
        <x:v>12.1</x:v>
      </x:c>
      <x:c r="F994" s="40" t="n">
        <x:v>10.991615295410156</x:v>
      </x:c>
      <x:c r="G994" s="40" t="n">
        <x:v>12.3</x:v>
      </x:c>
      <x:c r="H994" s="40" t="n">
        <x:f>F994-E994</x:f>
        <x:v>-1.1083847045898434</x:v>
      </x:c>
      <x:c r="I994" s="40" t="n">
        <x:f>ABS(H994)</x:f>
        <x:v>1.1083847045898434</x:v>
      </x:c>
      <x:c r="J994" s="40" t="n">
        <x:f>H994^2</x:f>
        <x:v>1.2285166533687144</x:v>
      </x:c>
      <x:c r="K994" s="40" t="n">
        <x:f>G994-E994</x:f>
        <x:v>0.20000000000000107</x:v>
      </x:c>
      <x:c r="L994" s="40" t="n">
        <x:f>ABS(K994)</x:f>
        <x:v>0.20000000000000107</x:v>
      </x:c>
      <x:c r="M994" s="41" t="str">
        <x:v>lstm-soil-v1</x:v>
      </x:c>
    </x:row>
    <x:row r="995">
      <x:c r="A995" s="38" t="str">
        <x:v>7月30日现场数据</x:v>
      </x:c>
      <x:c r="B995" s="39" t="str">
        <x:v>2026-08-01T10:10:00</x:v>
      </x:c>
      <x:c r="C995" s="39" t="str">
        <x:v>2026-08-01T11:10:00</x:v>
      </x:c>
      <x:c r="D995" s="47" t="n">
        <x:v>60</x:v>
      </x:c>
      <x:c r="E995" s="40" t="n">
        <x:v>12</x:v>
      </x:c>
      <x:c r="F995" s="40" t="n">
        <x:v>12.73470687866211</x:v>
      </x:c>
      <x:c r="G995" s="40" t="n">
        <x:v>12.3</x:v>
      </x:c>
      <x:c r="H995" s="40" t="n">
        <x:f>F995-E995</x:f>
        <x:v>0.7347068786621094</x:v>
      </x:c>
      <x:c r="I995" s="40" t="n">
        <x:f>ABS(H995)</x:f>
        <x:v>0.7347068786621094</x:v>
      </x:c>
      <x:c r="J995" s="40" t="n">
        <x:f>H995^2</x:f>
        <x:v>0.5397941975534195</x:v>
      </x:c>
      <x:c r="K995" s="40" t="n">
        <x:f>G995-E995</x:f>
        <x:v>0.3000000000000007</x:v>
      </x:c>
      <x:c r="L995" s="40" t="n">
        <x:f>ABS(K995)</x:f>
        <x:v>0.3000000000000007</x:v>
      </x:c>
      <x:c r="M995" s="41" t="str">
        <x:v>lstm-soil-v1</x:v>
      </x:c>
    </x:row>
    <x:row r="996">
      <x:c r="A996" s="38" t="str">
        <x:v>7月30日现场数据</x:v>
      </x:c>
      <x:c r="B996" s="39" t="str">
        <x:v>2026-08-01T10:15:00</x:v>
      </x:c>
      <x:c r="C996" s="39" t="str">
        <x:v>2026-08-01T10:20:00</x:v>
      </x:c>
      <x:c r="D996" s="47" t="n">
        <x:v>5</x:v>
      </x:c>
      <x:c r="E996" s="40" t="n">
        <x:v>12.3</x:v>
      </x:c>
      <x:c r="F996" s="40" t="n">
        <x:v>10.162662506103516</x:v>
      </x:c>
      <x:c r="G996" s="40" t="n">
        <x:v>12.2</x:v>
      </x:c>
      <x:c r="H996" s="40" t="n">
        <x:f>F996-E996</x:f>
        <x:v>-2.137337493896485</x:v>
      </x:c>
      <x:c r="I996" s="40" t="n">
        <x:f>ABS(H996)</x:f>
        <x:v>2.137337493896485</x:v>
      </x:c>
      <x:c r="J996" s="40" t="n">
        <x:f>H996^2</x:f>
        <x:v>4.568211562815708</x:v>
      </x:c>
      <x:c r="K996" s="40" t="n">
        <x:f>G996-E996</x:f>
        <x:v>-0.10000000000000142</x:v>
      </x:c>
      <x:c r="L996" s="40" t="n">
        <x:f>ABS(K996)</x:f>
        <x:v>0.10000000000000142</x:v>
      </x:c>
      <x:c r="M996" s="41" t="str">
        <x:v>lstm-soil-v1</x:v>
      </x:c>
    </x:row>
    <x:row r="997">
      <x:c r="A997" s="38" t="str">
        <x:v>7月30日现场数据</x:v>
      </x:c>
      <x:c r="B997" s="39" t="str">
        <x:v>2026-08-01T10:15:00</x:v>
      </x:c>
      <x:c r="C997" s="39" t="str">
        <x:v>2026-08-01T10:30:00</x:v>
      </x:c>
      <x:c r="D997" s="47" t="n">
        <x:v>15</x:v>
      </x:c>
      <x:c r="E997" s="40" t="n">
        <x:v>12.2</x:v>
      </x:c>
      <x:c r="F997" s="40" t="n">
        <x:v>10.25390625</x:v>
      </x:c>
      <x:c r="G997" s="40" t="n">
        <x:v>12.2</x:v>
      </x:c>
      <x:c r="H997" s="40" t="n">
        <x:f>F997-E997</x:f>
        <x:v>-1.9460937499999993</x:v>
      </x:c>
      <x:c r="I997" s="40" t="n">
        <x:f>ABS(H997)</x:f>
        <x:v>1.9460937499999993</x:v>
      </x:c>
      <x:c r="J997" s="40" t="n">
        <x:f>H997^2</x:f>
        <x:v>3.7872808837890597</x:v>
      </x:c>
      <x:c r="K997" s="40" t="n">
        <x:f>G997-E997</x:f>
        <x:v>0</x:v>
      </x:c>
      <x:c r="L997" s="40" t="n">
        <x:f>ABS(K997)</x:f>
        <x:v>0</x:v>
      </x:c>
      <x:c r="M997" s="41" t="str">
        <x:v>lstm-soil-v1</x:v>
      </x:c>
    </x:row>
    <x:row r="998">
      <x:c r="A998" s="38" t="str">
        <x:v>7月30日现场数据</x:v>
      </x:c>
      <x:c r="B998" s="39" t="str">
        <x:v>2026-08-01T10:15:00</x:v>
      </x:c>
      <x:c r="C998" s="39" t="str">
        <x:v>2026-08-01T10:45:00</x:v>
      </x:c>
      <x:c r="D998" s="47" t="n">
        <x:v>30</x:v>
      </x:c>
      <x:c r="E998" s="40" t="n">
        <x:v>12.1</x:v>
      </x:c>
      <x:c r="F998" s="40" t="n">
        <x:v>10.830650329589844</x:v>
      </x:c>
      <x:c r="G998" s="40" t="n">
        <x:v>12.2</x:v>
      </x:c>
      <x:c r="H998" s="40" t="n">
        <x:f>F998-E998</x:f>
        <x:v>-1.269349670410156</x:v>
      </x:c>
      <x:c r="I998" s="40" t="n">
        <x:f>ABS(H998)</x:f>
        <x:v>1.269349670410156</x:v>
      </x:c>
      <x:c r="J998" s="40" t="n">
        <x:f>H998^2</x:f>
        <x:v>1.6112485857703713</x:v>
      </x:c>
      <x:c r="K998" s="40" t="n">
        <x:f>G998-E998</x:f>
        <x:v>0.09999999999999964</x:v>
      </x:c>
      <x:c r="L998" s="40" t="n">
        <x:f>ABS(K998)</x:f>
        <x:v>0.09999999999999964</x:v>
      </x:c>
      <x:c r="M998" s="41" t="str">
        <x:v>lstm-soil-v1</x:v>
      </x:c>
    </x:row>
    <x:row r="999">
      <x:c r="A999" s="38" t="str">
        <x:v>7月30日现场数据</x:v>
      </x:c>
      <x:c r="B999" s="39" t="str">
        <x:v>2026-08-01T10:15:00</x:v>
      </x:c>
      <x:c r="C999" s="39" t="str">
        <x:v>2026-08-01T11:15:00</x:v>
      </x:c>
      <x:c r="D999" s="47" t="n">
        <x:v>60</x:v>
      </x:c>
      <x:c r="E999" s="40" t="n">
        <x:v>12</x:v>
      </x:c>
      <x:c r="F999" s="40" t="n">
        <x:v>12.56463623046875</x:v>
      </x:c>
      <x:c r="G999" s="40" t="n">
        <x:v>12.2</x:v>
      </x:c>
      <x:c r="H999" s="40" t="n">
        <x:f>F999-E999</x:f>
        <x:v>0.56463623046875</x:v>
      </x:c>
      <x:c r="I999" s="40" t="n">
        <x:f>ABS(H999)</x:f>
        <x:v>0.56463623046875</x:v>
      </x:c>
      <x:c r="J999" s="40" t="n">
        <x:f>H999^2</x:f>
        <x:v>0.31881407275795937</x:v>
      </x:c>
      <x:c r="K999" s="40" t="n">
        <x:f>G999-E999</x:f>
        <x:v>0.1999999999999993</x:v>
      </x:c>
      <x:c r="L999" s="40" t="n">
        <x:f>ABS(K999)</x:f>
        <x:v>0.1999999999999993</x:v>
      </x:c>
      <x:c r="M999" s="41" t="str">
        <x:v>lstm-soil-v1</x:v>
      </x:c>
    </x:row>
    <x:row r="1000">
      <x:c r="A1000" s="38" t="str">
        <x:v>7月30日现场数据</x:v>
      </x:c>
      <x:c r="B1000" s="39" t="str">
        <x:v>2026-08-01T10:20:00</x:v>
      </x:c>
      <x:c r="C1000" s="39" t="str">
        <x:v>2026-08-01T10:25:00</x:v>
      </x:c>
      <x:c r="D1000" s="47" t="n">
        <x:v>5</x:v>
      </x:c>
      <x:c r="E1000" s="40" t="n">
        <x:v>12.3</x:v>
      </x:c>
      <x:c r="F1000" s="40" t="n">
        <x:v>10.25992202758789</x:v>
      </x:c>
      <x:c r="G1000" s="40" t="n">
        <x:v>12.3</x:v>
      </x:c>
      <x:c r="H1000" s="40" t="n">
        <x:f>F1000-E1000</x:f>
        <x:v>-2.04007797241211</x:v>
      </x:c>
      <x:c r="I1000" s="40" t="n">
        <x:f>ABS(H1000)</x:f>
        <x:v>2.04007797241211</x:v>
      </x:c>
      <x:c r="J1000" s="40" t="n">
        <x:f>H1000^2</x:f>
        <x:v>4.161918133521106</x:v>
      </x:c>
      <x:c r="K1000" s="40" t="n">
        <x:f>G1000-E1000</x:f>
        <x:v>0</x:v>
      </x:c>
      <x:c r="L1000" s="40" t="n">
        <x:f>ABS(K1000)</x:f>
        <x:v>0</x:v>
      </x:c>
      <x:c r="M1000" s="41" t="str">
        <x:v>lstm-soil-v1</x:v>
      </x:c>
    </x:row>
    <x:row r="1001">
      <x:c r="A1001" s="38" t="str">
        <x:v>7月30日现场数据</x:v>
      </x:c>
      <x:c r="B1001" s="39" t="str">
        <x:v>2026-08-01T10:20:00</x:v>
      </x:c>
      <x:c r="C1001" s="39" t="str">
        <x:v>2026-08-01T10:35:00</x:v>
      </x:c>
      <x:c r="D1001" s="47" t="n">
        <x:v>15</x:v>
      </x:c>
      <x:c r="E1001" s="40" t="n">
        <x:v>12.2</x:v>
      </x:c>
      <x:c r="F1001" s="40" t="n">
        <x:v>10.370967864990234</x:v>
      </x:c>
      <x:c r="G1001" s="40" t="n">
        <x:v>12.3</x:v>
      </x:c>
      <x:c r="H1001" s="40" t="n">
        <x:f>F1001-E1001</x:f>
        <x:v>-1.829032135009765</x:v>
      </x:c>
      <x:c r="I1001" s="40" t="n">
        <x:f>ABS(H1001)</x:f>
        <x:v>1.829032135009765</x:v>
      </x:c>
      <x:c r="J1001" s="40" t="n">
        <x:f>H1001^2</x:f>
        <x:v>3.345358550898379</x:v>
      </x:c>
      <x:c r="K1001" s="40" t="n">
        <x:f>G1001-E1001</x:f>
        <x:v>0.10000000000000142</x:v>
      </x:c>
      <x:c r="L1001" s="40" t="n">
        <x:f>ABS(K1001)</x:f>
        <x:v>0.10000000000000142</x:v>
      </x:c>
      <x:c r="M1001" s="41" t="str">
        <x:v>lstm-soil-v1</x:v>
      </x:c>
    </x:row>
    <x:row r="1002">
      <x:c r="A1002" s="38" t="str">
        <x:v>7月30日现场数据</x:v>
      </x:c>
      <x:c r="B1002" s="39" t="str">
        <x:v>2026-08-01T10:20:00</x:v>
      </x:c>
      <x:c r="C1002" s="39" t="str">
        <x:v>2026-08-01T10:50:00</x:v>
      </x:c>
      <x:c r="D1002" s="47" t="n">
        <x:v>30</x:v>
      </x:c>
      <x:c r="E1002" s="40" t="n">
        <x:v>12.1</x:v>
      </x:c>
      <x:c r="F1002" s="40" t="n">
        <x:v>10.901065826416016</x:v>
      </x:c>
      <x:c r="G1002" s="40" t="n">
        <x:v>12.3</x:v>
      </x:c>
      <x:c r="H1002" s="40" t="n">
        <x:f>F1002-E1002</x:f>
        <x:v>-1.198934173583984</x:v>
      </x:c>
      <x:c r="I1002" s="40" t="n">
        <x:f>ABS(H1002)</x:f>
        <x:v>1.198934173583984</x:v>
      </x:c>
      <x:c r="J1002" s="40" t="n">
        <x:f>H1002^2</x:f>
        <x:v>1.4374431525875107</x:v>
      </x:c>
      <x:c r="K1002" s="40" t="n">
        <x:f>G1002-E1002</x:f>
        <x:v>0.20000000000000107</x:v>
      </x:c>
      <x:c r="L1002" s="40" t="n">
        <x:f>ABS(K1002)</x:f>
        <x:v>0.20000000000000107</x:v>
      </x:c>
      <x:c r="M1002" s="41" t="str">
        <x:v>lstm-soil-v1</x:v>
      </x:c>
    </x:row>
    <x:row r="1003">
      <x:c r="A1003" s="38" t="str">
        <x:v>7月30日现场数据</x:v>
      </x:c>
      <x:c r="B1003" s="39" t="str">
        <x:v>2026-08-01T10:20:00</x:v>
      </x:c>
      <x:c r="C1003" s="39" t="str">
        <x:v>2026-08-01T11:20:00</x:v>
      </x:c>
      <x:c r="D1003" s="47" t="n">
        <x:v>60</x:v>
      </x:c>
      <x:c r="E1003" s="40" t="n">
        <x:v>12</x:v>
      </x:c>
      <x:c r="F1003" s="40" t="n">
        <x:v>12.626354217529297</x:v>
      </x:c>
      <x:c r="G1003" s="40" t="n">
        <x:v>12.3</x:v>
      </x:c>
      <x:c r="H1003" s="40" t="n">
        <x:f>F1003-E1003</x:f>
        <x:v>0.6263542175292969</x:v>
      </x:c>
      <x:c r="I1003" s="40" t="n">
        <x:f>ABS(H1003)</x:f>
        <x:v>0.6263542175292969</x:v>
      </x:c>
      <x:c r="J1003" s="40" t="n">
        <x:f>H1003^2</x:f>
        <x:v>0.39231960581673775</x:v>
      </x:c>
      <x:c r="K1003" s="40" t="n">
        <x:f>G1003-E1003</x:f>
        <x:v>0.3000000000000007</x:v>
      </x:c>
      <x:c r="L1003" s="40" t="n">
        <x:f>ABS(K1003)</x:f>
        <x:v>0.3000000000000007</x:v>
      </x:c>
      <x:c r="M1003" s="41" t="str">
        <x:v>lstm-soil-v1</x:v>
      </x:c>
    </x:row>
    <x:row r="1004">
      <x:c r="A1004" s="38" t="str">
        <x:v>7月30日现场数据</x:v>
      </x:c>
      <x:c r="B1004" s="39" t="str">
        <x:v>2026-08-01T10:25:00</x:v>
      </x:c>
      <x:c r="C1004" s="39" t="str">
        <x:v>2026-08-01T10:30:00</x:v>
      </x:c>
      <x:c r="D1004" s="47" t="n">
        <x:v>5</x:v>
      </x:c>
      <x:c r="E1004" s="40" t="n">
        <x:v>12.2</x:v>
      </x:c>
      <x:c r="F1004" s="40" t="n">
        <x:v>10.253803253173828</x:v>
      </x:c>
      <x:c r="G1004" s="40" t="n">
        <x:v>12.3</x:v>
      </x:c>
      <x:c r="H1004" s="40" t="n">
        <x:f>F1004-E1004</x:f>
        <x:v>-1.9461967468261712</x:v>
      </x:c>
      <x:c r="I1004" s="40" t="n">
        <x:f>ABS(H1004)</x:f>
        <x:v>1.9461967468261712</x:v>
      </x:c>
      <x:c r="J1004" s="40" t="n">
        <x:f>H1004^2</x:f>
        <x:v>3.787681777356772</x:v>
      </x:c>
      <x:c r="K1004" s="40" t="n">
        <x:f>G1004-E1004</x:f>
        <x:v>0.10000000000000142</x:v>
      </x:c>
      <x:c r="L1004" s="40" t="n">
        <x:f>ABS(K1004)</x:f>
        <x:v>0.10000000000000142</x:v>
      </x:c>
      <x:c r="M1004" s="41" t="str">
        <x:v>lstm-soil-v1</x:v>
      </x:c>
    </x:row>
    <x:row r="1005">
      <x:c r="A1005" s="38" t="str">
        <x:v>7月30日现场数据</x:v>
      </x:c>
      <x:c r="B1005" s="39" t="str">
        <x:v>2026-08-01T10:25:00</x:v>
      </x:c>
      <x:c r="C1005" s="39" t="str">
        <x:v>2026-08-01T10:40:00</x:v>
      </x:c>
      <x:c r="D1005" s="47" t="n">
        <x:v>15</x:v>
      </x:c>
      <x:c r="E1005" s="40" t="n">
        <x:v>12.1</x:v>
      </x:c>
      <x:c r="F1005" s="40" t="n">
        <x:v>10.368545532226562</x:v>
      </x:c>
      <x:c r="G1005" s="40" t="n">
        <x:v>12.3</x:v>
      </x:c>
      <x:c r="H1005" s="40" t="n">
        <x:f>F1005-E1005</x:f>
        <x:v>-1.7314544677734371</x:v>
      </x:c>
      <x:c r="I1005" s="40" t="n">
        <x:f>ABS(H1005)</x:f>
        <x:v>1.7314544677734371</x:v>
      </x:c>
      <x:c r="J1005" s="40" t="n">
        <x:f>H1005^2</x:f>
        <x:v>2.9979345739725964</x:v>
      </x:c>
      <x:c r="K1005" s="40" t="n">
        <x:f>G1005-E1005</x:f>
        <x:v>0.20000000000000107</x:v>
      </x:c>
      <x:c r="L1005" s="40" t="n">
        <x:f>ABS(K1005)</x:f>
        <x:v>0.20000000000000107</x:v>
      </x:c>
      <x:c r="M1005" s="41" t="str">
        <x:v>lstm-soil-v1</x:v>
      </x:c>
    </x:row>
    <x:row r="1006">
      <x:c r="A1006" s="38" t="str">
        <x:v>7月30日现场数据</x:v>
      </x:c>
      <x:c r="B1006" s="39" t="str">
        <x:v>2026-08-01T10:25:00</x:v>
      </x:c>
      <x:c r="C1006" s="39" t="str">
        <x:v>2026-08-01T10:55:00</x:v>
      </x:c>
      <x:c r="D1006" s="47" t="n">
        <x:v>30</x:v>
      </x:c>
      <x:c r="E1006" s="40" t="n">
        <x:v>12.05</x:v>
      </x:c>
      <x:c r="F1006" s="40" t="n">
        <x:v>10.873023986816406</x:v>
      </x:c>
      <x:c r="G1006" s="40" t="n">
        <x:v>12.3</x:v>
      </x:c>
      <x:c r="H1006" s="40" t="n">
        <x:f>F1006-E1006</x:f>
        <x:v>-1.1769760131835945</x:v>
      </x:c>
      <x:c r="I1006" s="40" t="n">
        <x:f>ABS(H1006)</x:f>
        <x:v>1.1769760131835945</x:v>
      </x:c>
      <x:c r="J1006" s="40" t="n">
        <x:f>H1006^2</x:f>
        <x:v>1.3852725356095488</x:v>
      </x:c>
      <x:c r="K1006" s="40" t="n">
        <x:f>G1006-E1006</x:f>
        <x:v>0.25</x:v>
      </x:c>
      <x:c r="L1006" s="40" t="n">
        <x:f>ABS(K1006)</x:f>
        <x:v>0.25</x:v>
      </x:c>
      <x:c r="M1006" s="41" t="str">
        <x:v>lstm-soil-v1</x:v>
      </x:c>
    </x:row>
    <x:row r="1007">
      <x:c r="A1007" s="38" t="str">
        <x:v>7月30日现场数据</x:v>
      </x:c>
      <x:c r="B1007" s="39" t="str">
        <x:v>2026-08-01T10:25:00</x:v>
      </x:c>
      <x:c r="C1007" s="39" t="str">
        <x:v>2026-08-01T11:25:00</x:v>
      </x:c>
      <x:c r="D1007" s="47" t="n">
        <x:v>60</x:v>
      </x:c>
      <x:c r="E1007" s="40" t="n">
        <x:v>12</x:v>
      </x:c>
      <x:c r="F1007" s="40" t="n">
        <x:v>12.578590393066406</x:v>
      </x:c>
      <x:c r="G1007" s="40" t="n">
        <x:v>12.3</x:v>
      </x:c>
      <x:c r="H1007" s="40" t="n">
        <x:f>F1007-E1007</x:f>
        <x:v>0.5785903930664062</x:v>
      </x:c>
      <x:c r="I1007" s="40" t="n">
        <x:f>ABS(H1007)</x:f>
        <x:v>0.5785903930664062</x:v>
      </x:c>
      <x:c r="J1007" s="40" t="n">
        <x:f>H1007^2</x:f>
        <x:v>0.3347668429487385</x:v>
      </x:c>
      <x:c r="K1007" s="40" t="n">
        <x:f>G1007-E1007</x:f>
        <x:v>0.3000000000000007</x:v>
      </x:c>
      <x:c r="L1007" s="40" t="n">
        <x:f>ABS(K1007)</x:f>
        <x:v>0.3000000000000007</x:v>
      </x:c>
      <x:c r="M1007" s="41" t="str">
        <x:v>lstm-soil-v1</x:v>
      </x:c>
    </x:row>
    <x:row r="1008">
      <x:c r="A1008" s="38" t="str">
        <x:v>7月30日现场数据</x:v>
      </x:c>
      <x:c r="B1008" s="39" t="str">
        <x:v>2026-08-01T10:30:00</x:v>
      </x:c>
      <x:c r="C1008" s="39" t="str">
        <x:v>2026-08-01T10:35:00</x:v>
      </x:c>
      <x:c r="D1008" s="47" t="n">
        <x:v>5</x:v>
      </x:c>
      <x:c r="E1008" s="40" t="n">
        <x:v>12.2</x:v>
      </x:c>
      <x:c r="F1008" s="40" t="n">
        <x:v>10.139392852783203</x:v>
      </x:c>
      <x:c r="G1008" s="40" t="n">
        <x:v>12.2</x:v>
      </x:c>
      <x:c r="H1008" s="40" t="n">
        <x:f>F1008-E1008</x:f>
        <x:v>-2.060607147216796</x:v>
      </x:c>
      <x:c r="I1008" s="40" t="n">
        <x:f>ABS(H1008)</x:f>
        <x:v>2.060607147216796</x:v>
      </x:c>
      <x:c r="J1008" s="40" t="n">
        <x:f>H1008^2</x:f>
        <x:v>4.246101815160943</x:v>
      </x:c>
      <x:c r="K1008" s="40" t="n">
        <x:f>G1008-E1008</x:f>
        <x:v>0</x:v>
      </x:c>
      <x:c r="L1008" s="40" t="n">
        <x:f>ABS(K1008)</x:f>
        <x:v>0</x:v>
      </x:c>
      <x:c r="M1008" s="41" t="str">
        <x:v>lstm-soil-v1</x:v>
      </x:c>
    </x:row>
    <x:row r="1009">
      <x:c r="A1009" s="38" t="str">
        <x:v>7月30日现场数据</x:v>
      </x:c>
      <x:c r="B1009" s="39" t="str">
        <x:v>2026-08-01T10:30:00</x:v>
      </x:c>
      <x:c r="C1009" s="39" t="str">
        <x:v>2026-08-01T10:45:00</x:v>
      </x:c>
      <x:c r="D1009" s="47" t="n">
        <x:v>15</x:v>
      </x:c>
      <x:c r="E1009" s="40" t="n">
        <x:v>12.1</x:v>
      </x:c>
      <x:c r="F1009" s="40" t="n">
        <x:v>10.25347900390625</x:v>
      </x:c>
      <x:c r="G1009" s="40" t="n">
        <x:v>12.2</x:v>
      </x:c>
      <x:c r="H1009" s="40" t="n">
        <x:f>F1009-E1009</x:f>
        <x:v>-1.8465209960937496</x:v>
      </x:c>
      <x:c r="I1009" s="40" t="n">
        <x:f>ABS(H1009)</x:f>
        <x:v>1.8465209960937496</x:v>
      </x:c>
      <x:c r="J1009" s="40" t="n">
        <x:f>H1009^2</x:f>
        <x:v>3.4096397890150536</x:v>
      </x:c>
      <x:c r="K1009" s="40" t="n">
        <x:f>G1009-E1009</x:f>
        <x:v>0.09999999999999964</x:v>
      </x:c>
      <x:c r="L1009" s="40" t="n">
        <x:f>ABS(K1009)</x:f>
        <x:v>0.09999999999999964</x:v>
      </x:c>
      <x:c r="M1009" s="41" t="str">
        <x:v>lstm-soil-v1</x:v>
      </x:c>
    </x:row>
    <x:row r="1010">
      <x:c r="A1010" s="38" t="str">
        <x:v>7月30日现场数据</x:v>
      </x:c>
      <x:c r="B1010" s="39" t="str">
        <x:v>2026-08-01T10:30:00</x:v>
      </x:c>
      <x:c r="C1010" s="39" t="str">
        <x:v>2026-08-01T11:00:00</x:v>
      </x:c>
      <x:c r="D1010" s="47" t="n">
        <x:v>30</x:v>
      </x:c>
      <x:c r="E1010" s="40" t="n">
        <x:v>12</x:v>
      </x:c>
      <x:c r="F1010" s="40" t="n">
        <x:v>10.743843078613281</x:v>
      </x:c>
      <x:c r="G1010" s="40" t="n">
        <x:v>12.2</x:v>
      </x:c>
      <x:c r="H1010" s="40" t="n">
        <x:f>F1010-E1010</x:f>
        <x:v>-1.2561569213867188</x:v>
      </x:c>
      <x:c r="I1010" s="40" t="n">
        <x:f>ABS(H1010)</x:f>
        <x:v>1.2561569213867188</x:v>
      </x:c>
      <x:c r="J1010" s="40" t="n">
        <x:f>H1010^2</x:f>
        <x:v>1.577930211147759</x:v>
      </x:c>
      <x:c r="K1010" s="40" t="n">
        <x:f>G1010-E1010</x:f>
        <x:v>0.1999999999999993</x:v>
      </x:c>
      <x:c r="L1010" s="40" t="n">
        <x:f>ABS(K1010)</x:f>
        <x:v>0.1999999999999993</x:v>
      </x:c>
      <x:c r="M1010" s="41" t="str">
        <x:v>lstm-soil-v1</x:v>
      </x:c>
    </x:row>
    <x:row r="1011">
      <x:c r="A1011" s="38" t="str">
        <x:v>7月30日现场数据</x:v>
      </x:c>
      <x:c r="B1011" s="39" t="str">
        <x:v>2026-08-01T10:30:00</x:v>
      </x:c>
      <x:c r="C1011" s="39" t="str">
        <x:v>2026-08-01T11:30:00</x:v>
      </x:c>
      <x:c r="D1011" s="47" t="n">
        <x:v>60</x:v>
      </x:c>
      <x:c r="E1011" s="40" t="n">
        <x:v>12</x:v>
      </x:c>
      <x:c r="F1011" s="40" t="n">
        <x:v>12.431690216064453</x:v>
      </x:c>
      <x:c r="G1011" s="40" t="n">
        <x:v>12.2</x:v>
      </x:c>
      <x:c r="H1011" s="40" t="n">
        <x:f>F1011-E1011</x:f>
        <x:v>0.4316902160644531</x:v>
      </x:c>
      <x:c r="I1011" s="40" t="n">
        <x:f>ABS(H1011)</x:f>
        <x:v>0.4316902160644531</x:v>
      </x:c>
      <x:c r="J1011" s="40" t="n">
        <x:f>H1011^2</x:f>
        <x:v>0.18635644264577422</x:v>
      </x:c>
      <x:c r="K1011" s="40" t="n">
        <x:f>G1011-E1011</x:f>
        <x:v>0.1999999999999993</x:v>
      </x:c>
      <x:c r="L1011" s="40" t="n">
        <x:f>ABS(K1011)</x:f>
        <x:v>0.1999999999999993</x:v>
      </x:c>
      <x:c r="M1011" s="41" t="str">
        <x:v>lstm-soil-v1</x:v>
      </x:c>
    </x:row>
    <x:row r="1012">
      <x:c r="A1012" s="38" t="str">
        <x:v>7月30日现场数据</x:v>
      </x:c>
      <x:c r="B1012" s="39" t="str">
        <x:v>2026-08-01T10:35:00</x:v>
      </x:c>
      <x:c r="C1012" s="39" t="str">
        <x:v>2026-08-01T10:40:00</x:v>
      </x:c>
      <x:c r="D1012" s="47" t="n">
        <x:v>5</x:v>
      </x:c>
      <x:c r="E1012" s="40" t="n">
        <x:v>12.1</x:v>
      </x:c>
      <x:c r="F1012" s="40" t="n">
        <x:v>10.136852264404297</x:v>
      </x:c>
      <x:c r="G1012" s="40" t="n">
        <x:v>12.2</x:v>
      </x:c>
      <x:c r="H1012" s="40" t="n">
        <x:f>F1012-E1012</x:f>
        <x:v>-1.9631477355957028</x:v>
      </x:c>
      <x:c r="I1012" s="40" t="n">
        <x:f>ABS(H1012)</x:f>
        <x:v>1.9631477355957028</x:v>
      </x:c>
      <x:c r="J1012" s="40" t="n">
        <x:f>H1012^2</x:f>
        <x:v>3.8539490317745355</x:v>
      </x:c>
      <x:c r="K1012" s="40" t="n">
        <x:f>G1012-E1012</x:f>
        <x:v>0.09999999999999964</x:v>
      </x:c>
      <x:c r="L1012" s="40" t="n">
        <x:f>ABS(K1012)</x:f>
        <x:v>0.09999999999999964</x:v>
      </x:c>
      <x:c r="M1012" s="41" t="str">
        <x:v>lstm-soil-v1</x:v>
      </x:c>
    </x:row>
    <x:row r="1013">
      <x:c r="A1013" s="38" t="str">
        <x:v>7月30日现场数据</x:v>
      </x:c>
      <x:c r="B1013" s="39" t="str">
        <x:v>2026-08-01T10:35:00</x:v>
      </x:c>
      <x:c r="C1013" s="39" t="str">
        <x:v>2026-08-01T10:50:00</x:v>
      </x:c>
      <x:c r="D1013" s="47" t="n">
        <x:v>15</x:v>
      </x:c>
      <x:c r="E1013" s="40" t="n">
        <x:v>12.1</x:v>
      </x:c>
      <x:c r="F1013" s="40" t="n">
        <x:v>10.249015808105469</x:v>
      </x:c>
      <x:c r="G1013" s="40" t="n">
        <x:v>12.2</x:v>
      </x:c>
      <x:c r="H1013" s="40" t="n">
        <x:f>F1013-E1013</x:f>
        <x:v>-1.850984191894531</x:v>
      </x:c>
      <x:c r="I1013" s="40" t="n">
        <x:f>ABS(H1013)</x:f>
        <x:v>1.850984191894531</x:v>
      </x:c>
      <x:c r="J1013" s="40" t="n">
        <x:f>H1013^2</x:f>
        <x:v>3.42614247864345</x:v>
      </x:c>
      <x:c r="K1013" s="40" t="n">
        <x:f>G1013-E1013</x:f>
        <x:v>0.09999999999999964</x:v>
      </x:c>
      <x:c r="L1013" s="40" t="n">
        <x:f>ABS(K1013)</x:f>
        <x:v>0.09999999999999964</x:v>
      </x:c>
      <x:c r="M1013" s="41" t="str">
        <x:v>lstm-soil-v1</x:v>
      </x:c>
    </x:row>
    <x:row r="1014">
      <x:c r="A1014" s="38" t="str">
        <x:v>7月30日现场数据</x:v>
      </x:c>
      <x:c r="B1014" s="39" t="str">
        <x:v>2026-08-01T10:35:00</x:v>
      </x:c>
      <x:c r="C1014" s="39" t="str">
        <x:v>2026-08-01T11:05:00</x:v>
      </x:c>
      <x:c r="D1014" s="47" t="n">
        <x:v>30</x:v>
      </x:c>
      <x:c r="E1014" s="40" t="n">
        <x:v>12</x:v>
      </x:c>
      <x:c r="F1014" s="40" t="n">
        <x:v>10.73214340209961</x:v>
      </x:c>
      <x:c r="G1014" s="40" t="n">
        <x:v>12.2</x:v>
      </x:c>
      <x:c r="H1014" s="40" t="n">
        <x:f>F1014-E1014</x:f>
        <x:v>-1.2678565979003906</x:v>
      </x:c>
      <x:c r="I1014" s="40" t="n">
        <x:f>ABS(H1014)</x:f>
        <x:v>1.2678565979003906</x:v>
      </x:c>
      <x:c r="J1014" s="40" t="n">
        <x:f>H1014^2</x:f>
        <x:v>1.6074603528395528</x:v>
      </x:c>
      <x:c r="K1014" s="40" t="n">
        <x:f>G1014-E1014</x:f>
        <x:v>0.1999999999999993</x:v>
      </x:c>
      <x:c r="L1014" s="40" t="n">
        <x:f>ABS(K1014)</x:f>
        <x:v>0.1999999999999993</x:v>
      </x:c>
      <x:c r="M1014" s="41" t="str">
        <x:v>lstm-soil-v1</x:v>
      </x:c>
    </x:row>
    <x:row r="1015">
      <x:c r="A1015" s="38" t="str">
        <x:v>7月30日现场数据</x:v>
      </x:c>
      <x:c r="B1015" s="39" t="str">
        <x:v>2026-08-01T10:35:00</x:v>
      </x:c>
      <x:c r="C1015" s="39" t="str">
        <x:v>2026-08-01T11:35:00</x:v>
      </x:c>
      <x:c r="D1015" s="47" t="n">
        <x:v>60</x:v>
      </x:c>
      <x:c r="E1015" s="40" t="n">
        <x:v>12</x:v>
      </x:c>
      <x:c r="F1015" s="40" t="n">
        <x:v>12.405624389648438</x:v>
      </x:c>
      <x:c r="G1015" s="40" t="n">
        <x:v>12.2</x:v>
      </x:c>
      <x:c r="H1015" s="40" t="n">
        <x:f>F1015-E1015</x:f>
        <x:v>0.4056243896484375</x:v>
      </x:c>
      <x:c r="I1015" s="40" t="n">
        <x:f>ABS(H1015)</x:f>
        <x:v>0.4056243896484375</x:v>
      </x:c>
      <x:c r="J1015" s="40" t="n">
        <x:f>H1015^2</x:f>
        <x:v>0.16453114547766745</x:v>
      </x:c>
      <x:c r="K1015" s="40" t="n">
        <x:f>G1015-E1015</x:f>
        <x:v>0.1999999999999993</x:v>
      </x:c>
      <x:c r="L1015" s="40" t="n">
        <x:f>ABS(K1015)</x:f>
        <x:v>0.1999999999999993</x:v>
      </x:c>
      <x:c r="M1015" s="41" t="str">
        <x:v>lstm-soil-v1</x:v>
      </x:c>
    </x:row>
    <x:row r="1016">
      <x:c r="A1016" s="38" t="str">
        <x:v>7月30日现场数据</x:v>
      </x:c>
      <x:c r="B1016" s="39" t="str">
        <x:v>2026-08-01T10:40:00</x:v>
      </x:c>
      <x:c r="C1016" s="39" t="str">
        <x:v>2026-08-01T10:45:00</x:v>
      </x:c>
      <x:c r="D1016" s="47" t="n">
        <x:v>5</x:v>
      </x:c>
      <x:c r="E1016" s="40" t="n">
        <x:v>12.1</x:v>
      </x:c>
      <x:c r="F1016" s="40" t="n">
        <x:v>10.026344299316406</x:v>
      </x:c>
      <x:c r="G1016" s="40" t="n">
        <x:v>12.1</x:v>
      </x:c>
      <x:c r="H1016" s="40" t="n">
        <x:f>F1016-E1016</x:f>
        <x:v>-2.0736557006835934</x:v>
      </x:c>
      <x:c r="I1016" s="40" t="n">
        <x:f>ABS(H1016)</x:f>
        <x:v>2.0736557006835934</x:v>
      </x:c>
      <x:c r="J1016" s="40" t="n">
        <x:f>H1016^2</x:f>
        <x:v>4.300047964977565</x:v>
      </x:c>
      <x:c r="K1016" s="40" t="n">
        <x:f>G1016-E1016</x:f>
        <x:v>0</x:v>
      </x:c>
      <x:c r="L1016" s="40" t="n">
        <x:f>ABS(K1016)</x:f>
        <x:v>0</x:v>
      </x:c>
      <x:c r="M1016" s="41" t="str">
        <x:v>lstm-soil-v1</x:v>
      </x:c>
    </x:row>
    <x:row r="1017">
      <x:c r="A1017" s="38" t="str">
        <x:v>7月30日现场数据</x:v>
      </x:c>
      <x:c r="B1017" s="39" t="str">
        <x:v>2026-08-01T10:40:00</x:v>
      </x:c>
      <x:c r="C1017" s="39" t="str">
        <x:v>2026-08-01T10:55:00</x:v>
      </x:c>
      <x:c r="D1017" s="47" t="n">
        <x:v>15</x:v>
      </x:c>
      <x:c r="E1017" s="40" t="n">
        <x:v>12.05</x:v>
      </x:c>
      <x:c r="F1017" s="40" t="n">
        <x:v>10.132427215576172</x:v>
      </x:c>
      <x:c r="G1017" s="40" t="n">
        <x:v>12.1</x:v>
      </x:c>
      <x:c r="H1017" s="40" t="n">
        <x:f>F1017-E1017</x:f>
        <x:v>-1.9175727844238288</x:v>
      </x:c>
      <x:c r="I1017" s="40" t="n">
        <x:f>ABS(H1017)</x:f>
        <x:v>1.9175727844238288</x:v>
      </x:c>
      <x:c r="J1017" s="40" t="n">
        <x:f>H1017^2</x:f>
        <x:v>3.677085383562956</x:v>
      </x:c>
      <x:c r="K1017" s="40" t="n">
        <x:f>G1017-E1017</x:f>
        <x:v>0.049999999999998934</x:v>
      </x:c>
      <x:c r="L1017" s="40" t="n">
        <x:f>ABS(K1017)</x:f>
        <x:v>0.049999999999998934</x:v>
      </x:c>
      <x:c r="M1017" s="41" t="str">
        <x:v>lstm-soil-v1</x:v>
      </x:c>
    </x:row>
    <x:row r="1018">
      <x:c r="A1018" s="38" t="str">
        <x:v>7月30日现场数据</x:v>
      </x:c>
      <x:c r="B1018" s="39" t="str">
        <x:v>2026-08-01T10:40:00</x:v>
      </x:c>
      <x:c r="C1018" s="39" t="str">
        <x:v>2026-08-01T11:10:00</x:v>
      </x:c>
      <x:c r="D1018" s="47" t="n">
        <x:v>30</x:v>
      </x:c>
      <x:c r="E1018" s="40" t="n">
        <x:v>12</x:v>
      </x:c>
      <x:c r="F1018" s="40" t="n">
        <x:v>10.616180419921875</x:v>
      </x:c>
      <x:c r="G1018" s="40" t="n">
        <x:v>12.1</x:v>
      </x:c>
      <x:c r="H1018" s="40" t="n">
        <x:f>F1018-E1018</x:f>
        <x:v>-1.383819580078125</x:v>
      </x:c>
      <x:c r="I1018" s="40" t="n">
        <x:f>ABS(H1018)</x:f>
        <x:v>1.383819580078125</x:v>
      </x:c>
      <x:c r="J1018" s="40" t="n">
        <x:f>H1018^2</x:f>
        <x:v>1.9149566302075982</x:v>
      </x:c>
      <x:c r="K1018" s="40" t="n">
        <x:f>G1018-E1018</x:f>
        <x:v>0.09999999999999964</x:v>
      </x:c>
      <x:c r="L1018" s="40" t="n">
        <x:f>ABS(K1018)</x:f>
        <x:v>0.09999999999999964</x:v>
      </x:c>
      <x:c r="M1018" s="41" t="str">
        <x:v>lstm-soil-v1</x:v>
      </x:c>
    </x:row>
    <x:row r="1019">
      <x:c r="A1019" s="38" t="str">
        <x:v>7月30日现场数据</x:v>
      </x:c>
      <x:c r="B1019" s="39" t="str">
        <x:v>2026-08-01T10:40:00</x:v>
      </x:c>
      <x:c r="C1019" s="39" t="str">
        <x:v>2026-08-01T11:40:00</x:v>
      </x:c>
      <x:c r="D1019" s="47" t="n">
        <x:v>60</x:v>
      </x:c>
      <x:c r="E1019" s="40" t="n">
        <x:v>12</x:v>
      </x:c>
      <x:c r="F1019" s="40" t="n">
        <x:v>12.285747528076172</x:v>
      </x:c>
      <x:c r="G1019" s="40" t="n">
        <x:v>12.1</x:v>
      </x:c>
      <x:c r="H1019" s="40" t="n">
        <x:f>F1019-E1019</x:f>
        <x:v>0.2857475280761719</x:v>
      </x:c>
      <x:c r="I1019" s="40" t="n">
        <x:f>ABS(H1019)</x:f>
        <x:v>0.2857475280761719</x:v>
      </x:c>
      <x:c r="J1019" s="40" t="n">
        <x:f>H1019^2</x:f>
        <x:v>0.08165164980164263</x:v>
      </x:c>
      <x:c r="K1019" s="40" t="n">
        <x:f>G1019-E1019</x:f>
        <x:v>0.09999999999999964</x:v>
      </x:c>
      <x:c r="L1019" s="40" t="n">
        <x:f>ABS(K1019)</x:f>
        <x:v>0.09999999999999964</x:v>
      </x:c>
      <x:c r="M1019" s="41" t="str">
        <x:v>lstm-soil-v1</x:v>
      </x:c>
    </x:row>
    <x:row r="1020">
      <x:c r="A1020" s="38" t="str">
        <x:v>7月30日现场数据</x:v>
      </x:c>
      <x:c r="B1020" s="39" t="str">
        <x:v>2026-08-01T10:45:00</x:v>
      </x:c>
      <x:c r="C1020" s="39" t="str">
        <x:v>2026-08-01T10:50:00</x:v>
      </x:c>
      <x:c r="D1020" s="47" t="n">
        <x:v>5</x:v>
      </x:c>
      <x:c r="E1020" s="40" t="n">
        <x:v>12.1</x:v>
      </x:c>
      <x:c r="F1020" s="40" t="n">
        <x:v>10.026527404785156</x:v>
      </x:c>
      <x:c r="G1020" s="40" t="n">
        <x:v>12.1</x:v>
      </x:c>
      <x:c r="H1020" s="40" t="n">
        <x:f>F1020-E1020</x:f>
        <x:v>-2.0734725952148434</x:v>
      </x:c>
      <x:c r="I1020" s="40" t="n">
        <x:f>ABS(H1020)</x:f>
        <x:v>2.0734725952148434</x:v>
      </x:c>
      <x:c r="J1020" s="40" t="n">
        <x:f>H1020^2</x:f>
        <x:v>4.2992886031069775</x:v>
      </x:c>
      <x:c r="K1020" s="40" t="n">
        <x:f>G1020-E1020</x:f>
        <x:v>0</x:v>
      </x:c>
      <x:c r="L1020" s="40" t="n">
        <x:f>ABS(K1020)</x:f>
        <x:v>0</x:v>
      </x:c>
      <x:c r="M1020" s="41" t="str">
        <x:v>lstm-soil-v1</x:v>
      </x:c>
    </x:row>
    <x:row r="1021">
      <x:c r="A1021" s="38" t="str">
        <x:v>7月30日现场数据</x:v>
      </x:c>
      <x:c r="B1021" s="39" t="str">
        <x:v>2026-08-01T10:45:00</x:v>
      </x:c>
      <x:c r="C1021" s="39" t="str">
        <x:v>2026-08-01T11:00:00</x:v>
      </x:c>
      <x:c r="D1021" s="47" t="n">
        <x:v>15</x:v>
      </x:c>
      <x:c r="E1021" s="40" t="n">
        <x:v>12</x:v>
      </x:c>
      <x:c r="F1021" s="40" t="n">
        <x:v>10.130111694335938</x:v>
      </x:c>
      <x:c r="G1021" s="40" t="n">
        <x:v>12.1</x:v>
      </x:c>
      <x:c r="H1021" s="40" t="n">
        <x:f>F1021-E1021</x:f>
        <x:v>-1.8698883056640625</x:v>
      </x:c>
      <x:c r="I1021" s="40" t="n">
        <x:f>ABS(H1021)</x:f>
        <x:v>1.8698883056640625</x:v>
      </x:c>
      <x:c r="J1021" s="40" t="n">
        <x:f>H1021^2</x:f>
        <x:v>3.4964822756592184</x:v>
      </x:c>
      <x:c r="K1021" s="40" t="n">
        <x:f>G1021-E1021</x:f>
        <x:v>0.09999999999999964</x:v>
      </x:c>
      <x:c r="L1021" s="40" t="n">
        <x:f>ABS(K1021)</x:f>
        <x:v>0.09999999999999964</x:v>
      </x:c>
      <x:c r="M1021" s="41" t="str">
        <x:v>lstm-soil-v1</x:v>
      </x:c>
    </x:row>
    <x:row r="1022">
      <x:c r="A1022" s="38" t="str">
        <x:v>7月30日现场数据</x:v>
      </x:c>
      <x:c r="B1022" s="39" t="str">
        <x:v>2026-08-01T10:45:00</x:v>
      </x:c>
      <x:c r="C1022" s="39" t="str">
        <x:v>2026-08-01T11:15:00</x:v>
      </x:c>
      <x:c r="D1022" s="47" t="n">
        <x:v>30</x:v>
      </x:c>
      <x:c r="E1022" s="40" t="n">
        <x:v>12</x:v>
      </x:c>
      <x:c r="F1022" s="40" t="n">
        <x:v>10.614009857177734</x:v>
      </x:c>
      <x:c r="G1022" s="40" t="n">
        <x:v>12.1</x:v>
      </x:c>
      <x:c r="H1022" s="40" t="n">
        <x:f>F1022-E1022</x:f>
        <x:v>-1.3859901428222656</x:v>
      </x:c>
      <x:c r="I1022" s="40" t="n">
        <x:f>ABS(H1022)</x:f>
        <x:v>1.3859901428222656</x:v>
      </x:c>
      <x:c r="J1022" s="40" t="n">
        <x:f>H1022^2</x:f>
        <x:v>1.9209686760004843</x:v>
      </x:c>
      <x:c r="K1022" s="40" t="n">
        <x:f>G1022-E1022</x:f>
        <x:v>0.09999999999999964</x:v>
      </x:c>
      <x:c r="L1022" s="40" t="n">
        <x:f>ABS(K1022)</x:f>
        <x:v>0.09999999999999964</x:v>
      </x:c>
      <x:c r="M1022" s="41" t="str">
        <x:v>lstm-soil-v1</x:v>
      </x:c>
    </x:row>
    <x:row r="1023">
      <x:c r="A1023" s="38" t="str">
        <x:v>7月30日现场数据</x:v>
      </x:c>
      <x:c r="B1023" s="39" t="str">
        <x:v>2026-08-01T10:45:00</x:v>
      </x:c>
      <x:c r="C1023" s="39" t="str">
        <x:v>2026-08-01T11:45:00</x:v>
      </x:c>
      <x:c r="D1023" s="47" t="n">
        <x:v>60</x:v>
      </x:c>
      <x:c r="E1023" s="40" t="n">
        <x:v>12</x:v>
      </x:c>
      <x:c r="F1023" s="40" t="n">
        <x:v>12.274517059326172</x:v>
      </x:c>
      <x:c r="G1023" s="40" t="n">
        <x:v>12.1</x:v>
      </x:c>
      <x:c r="H1023" s="40" t="n">
        <x:f>F1023-E1023</x:f>
        <x:v>0.2745170593261719</x:v>
      </x:c>
      <x:c r="I1023" s="40" t="n">
        <x:f>ABS(H1023)</x:f>
        <x:v>0.2745170593261719</x:v>
      </x:c>
      <x:c r="J1023" s="40" t="n">
        <x:f>H1023^2</x:f>
        <x:v>0.07535961586108897</x:v>
      </x:c>
      <x:c r="K1023" s="40" t="n">
        <x:f>G1023-E1023</x:f>
        <x:v>0.09999999999999964</x:v>
      </x:c>
      <x:c r="L1023" s="40" t="n">
        <x:f>ABS(K1023)</x:f>
        <x:v>0.09999999999999964</x:v>
      </x:c>
      <x:c r="M1023" s="41" t="str">
        <x:v>lstm-soil-v1</x:v>
      </x:c>
    </x:row>
    <x:row r="1024">
      <x:c r="A1024" s="38" t="str">
        <x:v>7月30日现场数据</x:v>
      </x:c>
      <x:c r="B1024" s="39" t="str">
        <x:v>2026-08-01T10:50:00</x:v>
      </x:c>
      <x:c r="C1024" s="39" t="str">
        <x:v>2026-08-01T10:55:00</x:v>
      </x:c>
      <x:c r="D1024" s="47" t="n">
        <x:v>5</x:v>
      </x:c>
      <x:c r="E1024" s="40" t="n">
        <x:v>12.05</x:v>
      </x:c>
      <x:c r="F1024" s="40" t="n">
        <x:v>10.026947021484375</x:v>
      </x:c>
      <x:c r="G1024" s="40" t="n">
        <x:v>12.1</x:v>
      </x:c>
      <x:c r="H1024" s="40" t="n">
        <x:f>F1024-E1024</x:f>
        <x:v>-2.0230529785156257</x:v>
      </x:c>
      <x:c r="I1024" s="40" t="n">
        <x:f>ABS(H1024)</x:f>
        <x:v>2.0230529785156257</x:v>
      </x:c>
      <x:c r="J1024" s="40" t="n">
        <x:f>H1024^2</x:f>
        <x:v>4.092743353880945</x:v>
      </x:c>
      <x:c r="K1024" s="40" t="n">
        <x:f>G1024-E1024</x:f>
        <x:v>0.049999999999998934</x:v>
      </x:c>
      <x:c r="L1024" s="40" t="n">
        <x:f>ABS(K1024)</x:f>
        <x:v>0.049999999999998934</x:v>
      </x:c>
      <x:c r="M1024" s="41" t="str">
        <x:v>lstm-soil-v1</x:v>
      </x:c>
    </x:row>
    <x:row r="1025">
      <x:c r="A1025" s="38" t="str">
        <x:v>7月30日现场数据</x:v>
      </x:c>
      <x:c r="B1025" s="39" t="str">
        <x:v>2026-08-01T10:50:00</x:v>
      </x:c>
      <x:c r="C1025" s="39" t="str">
        <x:v>2026-08-01T11:05:00</x:v>
      </x:c>
      <x:c r="D1025" s="47" t="n">
        <x:v>15</x:v>
      </x:c>
      <x:c r="E1025" s="40" t="n">
        <x:v>12</x:v>
      </x:c>
      <x:c r="F1025" s="40" t="n">
        <x:v>10.126129150390625</x:v>
      </x:c>
      <x:c r="G1025" s="40" t="n">
        <x:v>12.1</x:v>
      </x:c>
      <x:c r="H1025" s="40" t="n">
        <x:f>F1025-E1025</x:f>
        <x:v>-1.873870849609375</x:v>
      </x:c>
      <x:c r="I1025" s="40" t="n">
        <x:f>ABS(H1025)</x:f>
        <x:v>1.873870849609375</x:v>
      </x:c>
      <x:c r="J1025" s="40" t="n">
        <x:f>H1025^2</x:f>
        <x:v>3.511391961015761</x:v>
      </x:c>
      <x:c r="K1025" s="40" t="n">
        <x:f>G1025-E1025</x:f>
        <x:v>0.09999999999999964</x:v>
      </x:c>
      <x:c r="L1025" s="40" t="n">
        <x:f>ABS(K1025)</x:f>
        <x:v>0.09999999999999964</x:v>
      </x:c>
      <x:c r="M1025" s="41" t="str">
        <x:v>lstm-soil-v1</x:v>
      </x:c>
    </x:row>
    <x:row r="1026">
      <x:c r="A1026" s="38" t="str">
        <x:v>7月30日现场数据</x:v>
      </x:c>
      <x:c r="B1026" s="39" t="str">
        <x:v>2026-08-01T10:50:00</x:v>
      </x:c>
      <x:c r="C1026" s="39" t="str">
        <x:v>2026-08-01T11:20:00</x:v>
      </x:c>
      <x:c r="D1026" s="47" t="n">
        <x:v>30</x:v>
      </x:c>
      <x:c r="E1026" s="40" t="n">
        <x:v>12</x:v>
      </x:c>
      <x:c r="F1026" s="40" t="n">
        <x:v>10.611099243164062</x:v>
      </x:c>
      <x:c r="G1026" s="40" t="n">
        <x:v>12.1</x:v>
      </x:c>
      <x:c r="H1026" s="40" t="n">
        <x:f>F1026-E1026</x:f>
        <x:v>-1.3889007568359375</x:v>
      </x:c>
      <x:c r="I1026" s="40" t="n">
        <x:f>ABS(H1026)</x:f>
        <x:v>1.3889007568359375</x:v>
      </x:c>
      <x:c r="J1026" s="40" t="n">
        <x:f>H1026^2</x:f>
        <x:v>1.92904531233944</x:v>
      </x:c>
      <x:c r="K1026" s="40" t="n">
        <x:f>G1026-E1026</x:f>
        <x:v>0.09999999999999964</x:v>
      </x:c>
      <x:c r="L1026" s="40" t="n">
        <x:f>ABS(K1026)</x:f>
        <x:v>0.09999999999999964</x:v>
      </x:c>
      <x:c r="M1026" s="41" t="str">
        <x:v>lstm-soil-v1</x:v>
      </x:c>
    </x:row>
    <x:row r="1027">
      <x:c r="A1027" s="38" t="str">
        <x:v>7月30日现场数据</x:v>
      </x:c>
      <x:c r="B1027" s="39" t="str">
        <x:v>2026-08-01T10:50:00</x:v>
      </x:c>
      <x:c r="C1027" s="39" t="str">
        <x:v>2026-08-01T11:50:00</x:v>
      </x:c>
      <x:c r="D1027" s="47" t="n">
        <x:v>60</x:v>
      </x:c>
      <x:c r="E1027" s="40" t="n">
        <x:v>12</x:v>
      </x:c>
      <x:c r="F1027" s="40" t="n">
        <x:v>12.270980834960938</x:v>
      </x:c>
      <x:c r="G1027" s="40" t="n">
        <x:v>12.1</x:v>
      </x:c>
      <x:c r="H1027" s="40" t="n">
        <x:f>F1027-E1027</x:f>
        <x:v>0.2709808349609375</x:v>
      </x:c>
      <x:c r="I1027" s="40" t="n">
        <x:f>ABS(H1027)</x:f>
        <x:v>0.2709808349609375</x:v>
      </x:c>
      <x:c r="J1027" s="40" t="n">
        <x:f>H1027^2</x:f>
        <x:v>0.07343061291612685</x:v>
      </x:c>
      <x:c r="K1027" s="40" t="n">
        <x:f>G1027-E1027</x:f>
        <x:v>0.09999999999999964</x:v>
      </x:c>
      <x:c r="L1027" s="40" t="n">
        <x:f>ABS(K1027)</x:f>
        <x:v>0.09999999999999964</x:v>
      </x:c>
      <x:c r="M1027" s="41" t="str">
        <x:v>lstm-soil-v1</x:v>
      </x:c>
    </x:row>
    <x:row r="1028">
      <x:c r="A1028" s="38" t="str">
        <x:v>7月30日现场数据</x:v>
      </x:c>
      <x:c r="B1028" s="39" t="str">
        <x:v>2026-08-01T10:55:00</x:v>
      </x:c>
      <x:c r="C1028" s="39" t="str">
        <x:v>2026-08-01T11:00:00</x:v>
      </x:c>
      <x:c r="D1028" s="47" t="n">
        <x:v>5</x:v>
      </x:c>
      <x:c r="E1028" s="40" t="n">
        <x:v>12</x:v>
      </x:c>
      <x:c r="F1028" s="40" t="n">
        <x:v>9.97311019897461</x:v>
      </x:c>
      <x:c r="G1028" s="40" t="n">
        <x:v>12.05</x:v>
      </x:c>
      <x:c r="H1028" s="40" t="n">
        <x:f>F1028-E1028</x:f>
        <x:v>-2.0268898010253906</x:v>
      </x:c>
      <x:c r="I1028" s="40" t="n">
        <x:f>ABS(H1028)</x:f>
        <x:v>2.0268898010253906</x:v>
      </x:c>
      <x:c r="J1028" s="40" t="n">
        <x:f>H1028^2</x:f>
        <x:v>4.108282265500748</x:v>
      </x:c>
      <x:c r="K1028" s="40" t="n">
        <x:f>G1028-E1028</x:f>
        <x:v>0.05000000000000071</x:v>
      </x:c>
      <x:c r="L1028" s="40" t="n">
        <x:f>ABS(K1028)</x:f>
        <x:v>0.05000000000000071</x:v>
      </x:c>
      <x:c r="M1028" s="41" t="str">
        <x:v>lstm-soil-v1</x:v>
      </x:c>
    </x:row>
    <x:row r="1029">
      <x:c r="A1029" s="38" t="str">
        <x:v>7月30日现场数据</x:v>
      </x:c>
      <x:c r="B1029" s="39" t="str">
        <x:v>2026-08-01T10:55:00</x:v>
      </x:c>
      <x:c r="C1029" s="39" t="str">
        <x:v>2026-08-01T11:10:00</x:v>
      </x:c>
      <x:c r="D1029" s="47" t="n">
        <x:v>15</x:v>
      </x:c>
      <x:c r="E1029" s="40" t="n">
        <x:v>12</x:v>
      </x:c>
      <x:c r="F1029" s="40" t="n">
        <x:v>10.067497253417969</x:v>
      </x:c>
      <x:c r="G1029" s="40" t="n">
        <x:v>12.05</x:v>
      </x:c>
      <x:c r="H1029" s="40" t="n">
        <x:f>F1029-E1029</x:f>
        <x:v>-1.9325027465820312</x:v>
      </x:c>
      <x:c r="I1029" s="40" t="n">
        <x:f>ABS(H1029)</x:f>
        <x:v>1.9325027465820312</x:v>
      </x:c>
      <x:c r="J1029" s="40" t="n">
        <x:f>H1029^2</x:f>
        <x:v>3.7345668655470945</x:v>
      </x:c>
      <x:c r="K1029" s="40" t="n">
        <x:f>G1029-E1029</x:f>
        <x:v>0.05000000000000071</x:v>
      </x:c>
      <x:c r="L1029" s="40" t="n">
        <x:f>ABS(K1029)</x:f>
        <x:v>0.05000000000000071</x:v>
      </x:c>
      <x:c r="M1029" s="41" t="str">
        <x:v>lstm-soil-v1</x:v>
      </x:c>
    </x:row>
    <x:row r="1030">
      <x:c r="A1030" s="38" t="str">
        <x:v>7月30日现场数据</x:v>
      </x:c>
      <x:c r="B1030" s="39" t="str">
        <x:v>2026-08-01T10:55:00</x:v>
      </x:c>
      <x:c r="C1030" s="39" t="str">
        <x:v>2026-08-01T11:25:00</x:v>
      </x:c>
      <x:c r="D1030" s="47" t="n">
        <x:v>30</x:v>
      </x:c>
      <x:c r="E1030" s="40" t="n">
        <x:v>12</x:v>
      </x:c>
      <x:c r="F1030" s="40" t="n">
        <x:v>10.555458068847656</x:v>
      </x:c>
      <x:c r="G1030" s="40" t="n">
        <x:v>12.05</x:v>
      </x:c>
      <x:c r="H1030" s="40" t="n">
        <x:f>F1030-E1030</x:f>
        <x:v>-1.4445419311523438</x:v>
      </x:c>
      <x:c r="I1030" s="40" t="n">
        <x:f>ABS(H1030)</x:f>
        <x:v>1.4445419311523438</x:v>
      </x:c>
      <x:c r="J1030" s="40" t="n">
        <x:f>H1030^2</x:f>
        <x:v>2.0867013908573426</x:v>
      </x:c>
      <x:c r="K1030" s="40" t="n">
        <x:f>G1030-E1030</x:f>
        <x:v>0.05000000000000071</x:v>
      </x:c>
      <x:c r="L1030" s="40" t="n">
        <x:f>ABS(K1030)</x:f>
        <x:v>0.05000000000000071</x:v>
      </x:c>
      <x:c r="M1030" s="41" t="str">
        <x:v>lstm-soil-v1</x:v>
      </x:c>
    </x:row>
    <x:row r="1031">
      <x:c r="A1031" s="38" t="str">
        <x:v>7月30日现场数据</x:v>
      </x:c>
      <x:c r="B1031" s="39" t="str">
        <x:v>2026-08-01T10:55:00</x:v>
      </x:c>
      <x:c r="C1031" s="39" t="str">
        <x:v>2026-08-01T11:55:00</x:v>
      </x:c>
      <x:c r="D1031" s="47" t="n">
        <x:v>60</x:v>
      </x:c>
      <x:c r="E1031" s="40" t="n">
        <x:v>12</x:v>
      </x:c>
      <x:c r="F1031" s="40" t="n">
        <x:v>12.216911315917969</x:v>
      </x:c>
      <x:c r="G1031" s="40" t="n">
        <x:v>12.05</x:v>
      </x:c>
      <x:c r="H1031" s="40" t="n">
        <x:f>F1031-E1031</x:f>
        <x:v>0.21691131591796875</x:v>
      </x:c>
      <x:c r="I1031" s="40" t="n">
        <x:f>ABS(H1031)</x:f>
        <x:v>0.21691131591796875</x:v>
      </x:c>
      <x:c r="J1031" s="40" t="n">
        <x:f>H1031^2</x:f>
        <x:v>0.04705051897326484</x:v>
      </x:c>
      <x:c r="K1031" s="40" t="n">
        <x:f>G1031-E1031</x:f>
        <x:v>0.05000000000000071</x:v>
      </x:c>
      <x:c r="L1031" s="40" t="n">
        <x:f>ABS(K1031)</x:f>
        <x:v>0.05000000000000071</x:v>
      </x:c>
      <x:c r="M1031" s="41" t="str">
        <x:v>lstm-soil-v1</x:v>
      </x:c>
    </x:row>
    <x:row r="1032">
      <x:c r="A1032" s="38" t="str">
        <x:v>7月30日现场数据</x:v>
      </x:c>
      <x:c r="B1032" s="39" t="str">
        <x:v>2026-08-01T11:00:00</x:v>
      </x:c>
      <x:c r="C1032" s="39" t="str">
        <x:v>2026-08-01T11:05:00</x:v>
      </x:c>
      <x:c r="D1032" s="47" t="n">
        <x:v>5</x:v>
      </x:c>
      <x:c r="E1032" s="40" t="n">
        <x:v>12</x:v>
      </x:c>
      <x:c r="F1032" s="40" t="n">
        <x:v>9.922248840332031</x:v>
      </x:c>
      <x:c r="G1032" s="40" t="n">
        <x:v>12</x:v>
      </x:c>
      <x:c r="H1032" s="40" t="n">
        <x:f>F1032-E1032</x:f>
        <x:v>-2.0777511596679688</x:v>
      </x:c>
      <x:c r="I1032" s="40" t="n">
        <x:f>ABS(H1032)</x:f>
        <x:v>2.0777511596679688</x:v>
      </x:c>
      <x:c r="J1032" s="40" t="n">
        <x:f>H1032^2</x:f>
        <x:v>4.317049881501589</x:v>
      </x:c>
      <x:c r="K1032" s="40" t="n">
        <x:f>G1032-E1032</x:f>
        <x:v>0</x:v>
      </x:c>
      <x:c r="L1032" s="40" t="n">
        <x:f>ABS(K1032)</x:f>
        <x:v>0</x:v>
      </x:c>
      <x:c r="M1032" s="41" t="str">
        <x:v>lstm-soil-v1</x:v>
      </x:c>
    </x:row>
    <x:row r="1033">
      <x:c r="A1033" s="38" t="str">
        <x:v>7月30日现场数据</x:v>
      </x:c>
      <x:c r="B1033" s="39" t="str">
        <x:v>2026-08-01T11:00:00</x:v>
      </x:c>
      <x:c r="C1033" s="39" t="str">
        <x:v>2026-08-01T11:15:00</x:v>
      </x:c>
      <x:c r="D1033" s="47" t="n">
        <x:v>15</x:v>
      </x:c>
      <x:c r="E1033" s="40" t="n">
        <x:v>12</x:v>
      </x:c>
      <x:c r="F1033" s="40" t="n">
        <x:v>10.01137924194336</x:v>
      </x:c>
      <x:c r="G1033" s="40" t="n">
        <x:v>12</x:v>
      </x:c>
      <x:c r="H1033" s="40" t="n">
        <x:f>F1033-E1033</x:f>
        <x:v>-1.9886207580566406</x:v>
      </x:c>
      <x:c r="I1033" s="40" t="n">
        <x:f>ABS(H1033)</x:f>
        <x:v>1.9886207580566406</x:v>
      </x:c>
      <x:c r="J1033" s="40" t="n">
        <x:f>H1033^2</x:f>
        <x:v>3.954612519373768</x:v>
      </x:c>
      <x:c r="K1033" s="40" t="n">
        <x:f>G1033-E1033</x:f>
        <x:v>0</x:v>
      </x:c>
      <x:c r="L1033" s="40" t="n">
        <x:f>ABS(K1033)</x:f>
        <x:v>0</x:v>
      </x:c>
      <x:c r="M1033" s="41" t="str">
        <x:v>lstm-soil-v1</x:v>
      </x:c>
    </x:row>
    <x:row r="1034">
      <x:c r="A1034" s="38" t="str">
        <x:v>7月30日现场数据</x:v>
      </x:c>
      <x:c r="B1034" s="39" t="str">
        <x:v>2026-08-01T11:00:00</x:v>
      </x:c>
      <x:c r="C1034" s="39" t="str">
        <x:v>2026-08-01T11:30:00</x:v>
      </x:c>
      <x:c r="D1034" s="47" t="n">
        <x:v>30</x:v>
      </x:c>
      <x:c r="E1034" s="40" t="n">
        <x:v>12</x:v>
      </x:c>
      <x:c r="F1034" s="40" t="n">
        <x:v>10.504451751708984</x:v>
      </x:c>
      <x:c r="G1034" s="40" t="n">
        <x:v>12</x:v>
      </x:c>
      <x:c r="H1034" s="40" t="n">
        <x:f>F1034-E1034</x:f>
        <x:v>-1.4955482482910156</x:v>
      </x:c>
      <x:c r="I1034" s="40" t="n">
        <x:f>ABS(H1034)</x:f>
        <x:v>1.4955482482910156</x:v>
      </x:c>
      <x:c r="J1034" s="40" t="n">
        <x:f>H1034^2</x:f>
        <x:v>2.2366645629663253</x:v>
      </x:c>
      <x:c r="K1034" s="40" t="n">
        <x:f>G1034-E1034</x:f>
        <x:v>0</x:v>
      </x:c>
      <x:c r="L1034" s="40" t="n">
        <x:f>ABS(K1034)</x:f>
        <x:v>0</x:v>
      </x:c>
      <x:c r="M1034" s="41" t="str">
        <x:v>lstm-soil-v1</x:v>
      </x:c>
    </x:row>
    <x:row r="1035">
      <x:c r="A1035" s="38" t="str">
        <x:v>7月30日现场数据</x:v>
      </x:c>
      <x:c r="B1035" s="39" t="str">
        <x:v>2026-08-01T11:00:00</x:v>
      </x:c>
      <x:c r="C1035" s="39" t="str">
        <x:v>2026-08-01T12:00:00</x:v>
      </x:c>
      <x:c r="D1035" s="47" t="n">
        <x:v>60</x:v>
      </x:c>
      <x:c r="E1035" s="40" t="n">
        <x:v>12</x:v>
      </x:c>
      <x:c r="F1035" s="40" t="n">
        <x:v>12.173301696777344</x:v>
      </x:c>
      <x:c r="G1035" s="40" t="n">
        <x:v>12</x:v>
      </x:c>
      <x:c r="H1035" s="40" t="n">
        <x:f>F1035-E1035</x:f>
        <x:v>0.17330169677734375</x:v>
      </x:c>
      <x:c r="I1035" s="40" t="n">
        <x:f>ABS(H1035)</x:f>
        <x:v>0.17330169677734375</x:v>
      </x:c>
      <x:c r="J1035" s="40" t="n">
        <x:f>H1035^2</x:f>
        <x:v>0.030033478105906397</x:v>
      </x:c>
      <x:c r="K1035" s="40" t="n">
        <x:f>G1035-E1035</x:f>
        <x:v>0</x:v>
      </x:c>
      <x:c r="L1035" s="40" t="n">
        <x:f>ABS(K1035)</x:f>
        <x:v>0</x:v>
      </x:c>
      <x:c r="M1035" s="41" t="str">
        <x:v>lstm-soil-v1</x:v>
      </x:c>
    </x:row>
    <x:row r="1036">
      <x:c r="A1036" s="38" t="str">
        <x:v>7月30日现场数据</x:v>
      </x:c>
      <x:c r="B1036" s="39" t="str">
        <x:v>2026-08-01T11:05:00</x:v>
      </x:c>
      <x:c r="C1036" s="39" t="str">
        <x:v>2026-08-01T11:10:00</x:v>
      </x:c>
      <x:c r="D1036" s="47" t="n">
        <x:v>5</x:v>
      </x:c>
      <x:c r="E1036" s="40" t="n">
        <x:v>12</x:v>
      </x:c>
      <x:c r="F1036" s="40" t="n">
        <x:v>9.924942016601562</x:v>
      </x:c>
      <x:c r="G1036" s="40" t="n">
        <x:v>12</x:v>
      </x:c>
      <x:c r="H1036" s="40" t="n">
        <x:f>F1036-E1036</x:f>
        <x:v>-2.0750579833984375</x:v>
      </x:c>
      <x:c r="I1036" s="40" t="n">
        <x:f>ABS(H1036)</x:f>
        <x:v>2.0750579833984375</x:v>
      </x:c>
      <x:c r="J1036" s="40" t="n">
        <x:f>H1036^2</x:f>
        <x:v>4.30586563446559</x:v>
      </x:c>
      <x:c r="K1036" s="40" t="n">
        <x:f>G1036-E1036</x:f>
        <x:v>0</x:v>
      </x:c>
      <x:c r="L1036" s="40" t="n">
        <x:f>ABS(K1036)</x:f>
        <x:v>0</x:v>
      </x:c>
      <x:c r="M1036" s="41" t="str">
        <x:v>lstm-soil-v1</x:v>
      </x:c>
    </x:row>
    <x:row r="1037">
      <x:c r="A1037" s="38" t="str">
        <x:v>7月30日现场数据</x:v>
      </x:c>
      <x:c r="B1037" s="39" t="str">
        <x:v>2026-08-01T11:05:00</x:v>
      </x:c>
      <x:c r="C1037" s="39" t="str">
        <x:v>2026-08-01T11:20:00</x:v>
      </x:c>
      <x:c r="D1037" s="47" t="n">
        <x:v>15</x:v>
      </x:c>
      <x:c r="E1037" s="40" t="n">
        <x:v>12</x:v>
      </x:c>
      <x:c r="F1037" s="40" t="n">
        <x:v>10.01239013671875</x:v>
      </x:c>
      <x:c r="G1037" s="40" t="n">
        <x:v>12</x:v>
      </x:c>
      <x:c r="H1037" s="40" t="n">
        <x:f>F1037-E1037</x:f>
        <x:v>-1.98760986328125</x:v>
      </x:c>
      <x:c r="I1037" s="40" t="n">
        <x:f>ABS(H1037)</x:f>
        <x:v>1.98760986328125</x:v>
      </x:c>
      <x:c r="J1037" s="40" t="n">
        <x:f>H1037^2</x:f>
        <x:v>3.9505929686129093</x:v>
      </x:c>
      <x:c r="K1037" s="40" t="n">
        <x:f>G1037-E1037</x:f>
        <x:v>0</x:v>
      </x:c>
      <x:c r="L1037" s="40" t="n">
        <x:f>ABS(K1037)</x:f>
        <x:v>0</x:v>
      </x:c>
      <x:c r="M1037" s="41" t="str">
        <x:v>lstm-soil-v1</x:v>
      </x:c>
    </x:row>
    <x:row r="1038">
      <x:c r="A1038" s="38" t="str">
        <x:v>7月30日现场数据</x:v>
      </x:c>
      <x:c r="B1038" s="39" t="str">
        <x:v>2026-08-01T11:05:00</x:v>
      </x:c>
      <x:c r="C1038" s="39" t="str">
        <x:v>2026-08-01T11:35:00</x:v>
      </x:c>
      <x:c r="D1038" s="47" t="n">
        <x:v>30</x:v>
      </x:c>
      <x:c r="E1038" s="40" t="n">
        <x:v>12</x:v>
      </x:c>
      <x:c r="F1038" s="40" t="n">
        <x:v>10.504444122314453</x:v>
      </x:c>
      <x:c r="G1038" s="40" t="n">
        <x:v>12</x:v>
      </x:c>
      <x:c r="H1038" s="40" t="n">
        <x:f>F1038-E1038</x:f>
        <x:v>-1.4955558776855469</x:v>
      </x:c>
      <x:c r="I1038" s="40" t="n">
        <x:f>ABS(H1038)</x:f>
        <x:v>1.4955558776855469</x:v>
      </x:c>
      <x:c r="J1038" s="40" t="n">
        <x:f>H1038^2</x:f>
        <x:v>2.2366873832797864</x:v>
      </x:c>
      <x:c r="K1038" s="40" t="n">
        <x:f>G1038-E1038</x:f>
        <x:v>0</x:v>
      </x:c>
      <x:c r="L1038" s="40" t="n">
        <x:f>ABS(K1038)</x:f>
        <x:v>0</x:v>
      </x:c>
      <x:c r="M1038" s="41" t="str">
        <x:v>lstm-soil-v1</x:v>
      </x:c>
    </x:row>
    <x:row r="1039">
      <x:c r="A1039" s="38" t="str">
        <x:v>7月30日现场数据</x:v>
      </x:c>
      <x:c r="B1039" s="39" t="str">
        <x:v>2026-08-01T11:05:00</x:v>
      </x:c>
      <x:c r="C1039" s="39" t="str">
        <x:v>2026-08-01T12:05:00</x:v>
      </x:c>
      <x:c r="D1039" s="47" t="n">
        <x:v>60</x:v>
      </x:c>
      <x:c r="E1039" s="40" t="n">
        <x:v>12</x:v>
      </x:c>
      <x:c r="F1039" s="40" t="n">
        <x:v>12.175647735595703</x:v>
      </x:c>
      <x:c r="G1039" s="40" t="n">
        <x:v>12</x:v>
      </x:c>
      <x:c r="H1039" s="40" t="n">
        <x:f>F1039-E1039</x:f>
        <x:v>0.17564773559570312</x:v>
      </x:c>
      <x:c r="I1039" s="40" t="n">
        <x:f>ABS(H1039)</x:f>
        <x:v>0.17564773559570312</x:v>
      </x:c>
      <x:c r="J1039" s="40" t="n">
        <x:f>H1039^2</x:f>
        <x:v>0.030852127019898035</x:v>
      </x:c>
      <x:c r="K1039" s="40" t="n">
        <x:f>G1039-E1039</x:f>
        <x:v>0</x:v>
      </x:c>
      <x:c r="L1039" s="40" t="n">
        <x:f>ABS(K1039)</x:f>
        <x:v>0</x:v>
      </x:c>
      <x:c r="M1039" s="41" t="str">
        <x:v>lstm-soil-v1</x:v>
      </x:c>
    </x:row>
    <x:row r="1040">
      <x:c r="A1040" s="38" t="str">
        <x:v>7月30日现场数据</x:v>
      </x:c>
      <x:c r="B1040" s="39" t="str">
        <x:v>2026-08-01T11:10:00</x:v>
      </x:c>
      <x:c r="C1040" s="39" t="str">
        <x:v>2026-08-01T11:15:00</x:v>
      </x:c>
      <x:c r="D1040" s="47" t="n">
        <x:v>5</x:v>
      </x:c>
      <x:c r="E1040" s="40" t="n">
        <x:v>12</x:v>
      </x:c>
      <x:c r="F1040" s="40" t="n">
        <x:v>9.926773071289062</x:v>
      </x:c>
      <x:c r="G1040" s="40" t="n">
        <x:v>12</x:v>
      </x:c>
      <x:c r="H1040" s="40" t="n">
        <x:f>F1040-E1040</x:f>
        <x:v>-2.0732269287109375</x:v>
      </x:c>
      <x:c r="I1040" s="40" t="n">
        <x:f>ABS(H1040)</x:f>
        <x:v>2.0732269287109375</x:v>
      </x:c>
      <x:c r="J1040" s="40" t="n">
        <x:f>H1040^2</x:f>
        <x:v>4.298269897932187</x:v>
      </x:c>
      <x:c r="K1040" s="40" t="n">
        <x:f>G1040-E1040</x:f>
        <x:v>0</x:v>
      </x:c>
      <x:c r="L1040" s="40" t="n">
        <x:f>ABS(K1040)</x:f>
        <x:v>0</x:v>
      </x:c>
      <x:c r="M1040" s="41" t="str">
        <x:v>lstm-soil-v1</x:v>
      </x:c>
    </x:row>
    <x:row r="1041">
      <x:c r="A1041" s="38" t="str">
        <x:v>7月30日现场数据</x:v>
      </x:c>
      <x:c r="B1041" s="39" t="str">
        <x:v>2026-08-01T11:10:00</x:v>
      </x:c>
      <x:c r="C1041" s="39" t="str">
        <x:v>2026-08-01T11:25:00</x:v>
      </x:c>
      <x:c r="D1041" s="47" t="n">
        <x:v>15</x:v>
      </x:c>
      <x:c r="E1041" s="40" t="n">
        <x:v>12</x:v>
      </x:c>
      <x:c r="F1041" s="40" t="n">
        <x:v>10.012630462646484</x:v>
      </x:c>
      <x:c r="G1041" s="40" t="n">
        <x:v>12</x:v>
      </x:c>
      <x:c r="H1041" s="40" t="n">
        <x:f>F1041-E1041</x:f>
        <x:v>-1.9873695373535156</x:v>
      </x:c>
      <x:c r="I1041" s="40" t="n">
        <x:f>ABS(H1041)</x:f>
        <x:v>1.9873695373535156</x:v>
      </x:c>
      <x:c r="J1041" s="40" t="n">
        <x:f>H1041^2</x:f>
        <x:v>3.9496376780007267</x:v>
      </x:c>
      <x:c r="K1041" s="40" t="n">
        <x:f>G1041-E1041</x:f>
        <x:v>0</x:v>
      </x:c>
      <x:c r="L1041" s="40" t="n">
        <x:f>ABS(K1041)</x:f>
        <x:v>0</x:v>
      </x:c>
      <x:c r="M1041" s="41" t="str">
        <x:v>lstm-soil-v1</x:v>
      </x:c>
    </x:row>
    <x:row r="1042">
      <x:c r="A1042" s="38" t="str">
        <x:v>7月30日现场数据</x:v>
      </x:c>
      <x:c r="B1042" s="39" t="str">
        <x:v>2026-08-01T11:10:00</x:v>
      </x:c>
      <x:c r="C1042" s="39" t="str">
        <x:v>2026-08-01T11:40:00</x:v>
      </x:c>
      <x:c r="D1042" s="47" t="n">
        <x:v>30</x:v>
      </x:c>
      <x:c r="E1042" s="40" t="n">
        <x:v>12</x:v>
      </x:c>
      <x:c r="F1042" s="40" t="n">
        <x:v>10.502265930175781</x:v>
      </x:c>
      <x:c r="G1042" s="40" t="n">
        <x:v>12</x:v>
      </x:c>
      <x:c r="H1042" s="40" t="n">
        <x:f>F1042-E1042</x:f>
        <x:v>-1.4977340698242188</x:v>
      </x:c>
      <x:c r="I1042" s="40" t="n">
        <x:f>ABS(H1042)</x:f>
        <x:v>1.4977340698242188</x:v>
      </x:c>
      <x:c r="J1042" s="40" t="n">
        <x:f>H1042^2</x:f>
        <x:v>2.2432073439122178</x:v>
      </x:c>
      <x:c r="K1042" s="40" t="n">
        <x:f>G1042-E1042</x:f>
        <x:v>0</x:v>
      </x:c>
      <x:c r="L1042" s="40" t="n">
        <x:f>ABS(K1042)</x:f>
        <x:v>0</x:v>
      </x:c>
      <x:c r="M1042" s="41" t="str">
        <x:v>lstm-soil-v1</x:v>
      </x:c>
    </x:row>
    <x:row r="1043">
      <x:c r="A1043" s="38" t="str">
        <x:v>7月30日现场数据</x:v>
      </x:c>
      <x:c r="B1043" s="39" t="str">
        <x:v>2026-08-01T11:10:00</x:v>
      </x:c>
      <x:c r="C1043" s="39" t="str">
        <x:v>2026-08-01T12:10:00</x:v>
      </x:c>
      <x:c r="D1043" s="47" t="n">
        <x:v>60</x:v>
      </x:c>
      <x:c r="E1043" s="40" t="n">
        <x:v>12</x:v>
      </x:c>
      <x:c r="F1043" s="40" t="n">
        <x:v>12.177482604980469</x:v>
      </x:c>
      <x:c r="G1043" s="40" t="n">
        <x:v>12</x:v>
      </x:c>
      <x:c r="H1043" s="40" t="n">
        <x:f>F1043-E1043</x:f>
        <x:v>0.17748260498046875</x:v>
      </x:c>
      <x:c r="I1043" s="40" t="n">
        <x:f>ABS(H1043)</x:f>
        <x:v>0.17748260498046875</x:v>
      </x:c>
      <x:c r="J1043" s="40" t="n">
        <x:f>H1043^2</x:f>
        <x:v>0.03150007507065311</x:v>
      </x:c>
      <x:c r="K1043" s="40" t="n">
        <x:f>G1043-E1043</x:f>
        <x:v>0</x:v>
      </x:c>
      <x:c r="L1043" s="40" t="n">
        <x:f>ABS(K1043)</x:f>
        <x:v>0</x:v>
      </x:c>
      <x:c r="M1043" s="41" t="str">
        <x:v>lstm-soil-v1</x:v>
      </x:c>
    </x:row>
    <x:row r="1044">
      <x:c r="A1044" s="38" t="str">
        <x:v>7月30日现场数据</x:v>
      </x:c>
      <x:c r="B1044" s="39" t="str">
        <x:v>2026-08-01T11:15:00</x:v>
      </x:c>
      <x:c r="C1044" s="39" t="str">
        <x:v>2026-08-01T11:20:00</x:v>
      </x:c>
      <x:c r="D1044" s="47" t="n">
        <x:v>5</x:v>
      </x:c>
      <x:c r="E1044" s="40" t="n">
        <x:v>12</x:v>
      </x:c>
      <x:c r="F1044" s="40" t="n">
        <x:v>9.928352355957031</x:v>
      </x:c>
      <x:c r="G1044" s="40" t="n">
        <x:v>12</x:v>
      </x:c>
      <x:c r="H1044" s="40" t="n">
        <x:f>F1044-E1044</x:f>
        <x:v>-2.0716476440429688</x:v>
      </x:c>
      <x:c r="I1044" s="40" t="n">
        <x:f>ABS(H1044)</x:f>
        <x:v>2.0716476440429688</x:v>
      </x:c>
      <x:c r="J1044" s="40" t="n">
        <x:f>H1044^2</x:f>
        <x:v>4.291723961068783</x:v>
      </x:c>
      <x:c r="K1044" s="40" t="n">
        <x:f>G1044-E1044</x:f>
        <x:v>0</x:v>
      </x:c>
      <x:c r="L1044" s="40" t="n">
        <x:f>ABS(K1044)</x:f>
        <x:v>0</x:v>
      </x:c>
      <x:c r="M1044" s="41" t="str">
        <x:v>lstm-soil-v1</x:v>
      </x:c>
    </x:row>
    <x:row r="1045">
      <x:c r="A1045" s="38" t="str">
        <x:v>7月30日现场数据</x:v>
      </x:c>
      <x:c r="B1045" s="39" t="str">
        <x:v>2026-08-01T11:15:00</x:v>
      </x:c>
      <x:c r="C1045" s="39" t="str">
        <x:v>2026-08-01T11:30:00</x:v>
      </x:c>
      <x:c r="D1045" s="47" t="n">
        <x:v>15</x:v>
      </x:c>
      <x:c r="E1045" s="40" t="n">
        <x:v>12</x:v>
      </x:c>
      <x:c r="F1045" s="40" t="n">
        <x:v>10.013042449951172</x:v>
      </x:c>
      <x:c r="G1045" s="40" t="n">
        <x:v>12</x:v>
      </x:c>
      <x:c r="H1045" s="40" t="n">
        <x:f>F1045-E1045</x:f>
        <x:v>-1.9869575500488281</x:v>
      </x:c>
      <x:c r="I1045" s="40" t="n">
        <x:f>ABS(H1045)</x:f>
        <x:v>1.9869575500488281</x:v>
      </x:c>
      <x:c r="J1045" s="40" t="n">
        <x:f>H1045^2</x:f>
        <x:v>3.9480003056960413</x:v>
      </x:c>
      <x:c r="K1045" s="40" t="n">
        <x:f>G1045-E1045</x:f>
        <x:v>0</x:v>
      </x:c>
      <x:c r="L1045" s="40" t="n">
        <x:f>ABS(K1045)</x:f>
        <x:v>0</x:v>
      </x:c>
      <x:c r="M1045" s="41" t="str">
        <x:v>lstm-soil-v1</x:v>
      </x:c>
    </x:row>
    <x:row r="1046">
      <x:c r="A1046" s="38" t="str">
        <x:v>7月30日现场数据</x:v>
      </x:c>
      <x:c r="B1046" s="39" t="str">
        <x:v>2026-08-01T11:15:00</x:v>
      </x:c>
      <x:c r="C1046" s="39" t="str">
        <x:v>2026-08-01T11:45:00</x:v>
      </x:c>
      <x:c r="D1046" s="47" t="n">
        <x:v>30</x:v>
      </x:c>
      <x:c r="E1046" s="40" t="n">
        <x:v>12</x:v>
      </x:c>
      <x:c r="F1046" s="40" t="n">
        <x:v>10.50042724609375</x:v>
      </x:c>
      <x:c r="G1046" s="40" t="n">
        <x:v>12</x:v>
      </x:c>
      <x:c r="H1046" s="40" t="n">
        <x:f>F1046-E1046</x:f>
        <x:v>-1.49957275390625</x:v>
      </x:c>
      <x:c r="I1046" s="40" t="n">
        <x:f>ABS(H1046)</x:f>
        <x:v>1.49957275390625</x:v>
      </x:c>
      <x:c r="J1046" s="40" t="n">
        <x:f>H1046^2</x:f>
        <x:v>2.2487184442579746</x:v>
      </x:c>
      <x:c r="K1046" s="40" t="n">
        <x:f>G1046-E1046</x:f>
        <x:v>0</x:v>
      </x:c>
      <x:c r="L1046" s="40" t="n">
        <x:f>ABS(K1046)</x:f>
        <x:v>0</x:v>
      </x:c>
      <x:c r="M1046" s="41" t="str">
        <x:v>lstm-soil-v1</x:v>
      </x:c>
    </x:row>
    <x:row r="1047">
      <x:c r="A1047" s="38" t="str">
        <x:v>7月30日现场数据</x:v>
      </x:c>
      <x:c r="B1047" s="39" t="str">
        <x:v>2026-08-01T11:15:00</x:v>
      </x:c>
      <x:c r="C1047" s="39" t="str">
        <x:v>2026-08-01T12:15:00</x:v>
      </x:c>
      <x:c r="D1047" s="47" t="n">
        <x:v>60</x:v>
      </x:c>
      <x:c r="E1047" s="40" t="n">
        <x:v>12</x:v>
      </x:c>
      <x:c r="F1047" s="40" t="n">
        <x:v>12.177963256835938</x:v>
      </x:c>
      <x:c r="G1047" s="40" t="n">
        <x:v>12</x:v>
      </x:c>
      <x:c r="H1047" s="40" t="n">
        <x:f>F1047-E1047</x:f>
        <x:v>0.1779632568359375</x:v>
      </x:c>
      <x:c r="I1047" s="40" t="n">
        <x:f>ABS(H1047)</x:f>
        <x:v>0.1779632568359375</x:v>
      </x:c>
      <x:c r="J1047" s="40" t="n">
        <x:f>H1047^2</x:f>
        <x:v>0.031670920783653855</x:v>
      </x:c>
      <x:c r="K1047" s="40" t="n">
        <x:f>G1047-E1047</x:f>
        <x:v>0</x:v>
      </x:c>
      <x:c r="L1047" s="40" t="n">
        <x:f>ABS(K1047)</x:f>
        <x:v>0</x:v>
      </x:c>
      <x:c r="M1047" s="41" t="str">
        <x:v>lstm-soil-v1</x:v>
      </x:c>
    </x:row>
    <x:row r="1048">
      <x:c r="A1048" s="38" t="str">
        <x:v>7月30日现场数据</x:v>
      </x:c>
      <x:c r="B1048" s="39" t="str">
        <x:v>2026-08-01T11:20:00</x:v>
      </x:c>
      <x:c r="C1048" s="39" t="str">
        <x:v>2026-08-01T11:25:00</x:v>
      </x:c>
      <x:c r="D1048" s="47" t="n">
        <x:v>5</x:v>
      </x:c>
      <x:c r="E1048" s="40" t="n">
        <x:v>12</x:v>
      </x:c>
      <x:c r="F1048" s="40" t="n">
        <x:v>9.929222106933594</x:v>
      </x:c>
      <x:c r="G1048" s="40" t="n">
        <x:v>12</x:v>
      </x:c>
      <x:c r="H1048" s="40" t="n">
        <x:f>F1048-E1048</x:f>
        <x:v>-2.0707778930664062</x:v>
      </x:c>
      <x:c r="I1048" s="40" t="n">
        <x:f>ABS(H1048)</x:f>
        <x:v>2.0707778930664062</x:v>
      </x:c>
      <x:c r="J1048" s="40" t="n">
        <x:f>H1048^2</x:f>
        <x:v>4.288121082412545</x:v>
      </x:c>
      <x:c r="K1048" s="40" t="n">
        <x:f>G1048-E1048</x:f>
        <x:v>0</x:v>
      </x:c>
      <x:c r="L1048" s="40" t="n">
        <x:f>ABS(K1048)</x:f>
        <x:v>0</x:v>
      </x:c>
      <x:c r="M1048" s="41" t="str">
        <x:v>lstm-soil-v1</x:v>
      </x:c>
    </x:row>
    <x:row r="1049">
      <x:c r="A1049" s="38" t="str">
        <x:v>7月30日现场数据</x:v>
      </x:c>
      <x:c r="B1049" s="39" t="str">
        <x:v>2026-08-01T11:20:00</x:v>
      </x:c>
      <x:c r="C1049" s="39" t="str">
        <x:v>2026-08-01T11:35:00</x:v>
      </x:c>
      <x:c r="D1049" s="47" t="n">
        <x:v>15</x:v>
      </x:c>
      <x:c r="E1049" s="40" t="n">
        <x:v>12</x:v>
      </x:c>
      <x:c r="F1049" s="40" t="n">
        <x:v>10.013328552246094</x:v>
      </x:c>
      <x:c r="G1049" s="40" t="n">
        <x:v>12</x:v>
      </x:c>
      <x:c r="H1049" s="40" t="n">
        <x:f>F1049-E1049</x:f>
        <x:v>-1.9866714477539062</x:v>
      </x:c>
      <x:c r="I1049" s="40" t="n">
        <x:f>ABS(H1049)</x:f>
        <x:v>1.9866714477539062</x:v>
      </x:c>
      <x:c r="J1049" s="40" t="n">
        <x:f>H1049^2</x:f>
        <x:v>3.946863441320602</x:v>
      </x:c>
      <x:c r="K1049" s="40" t="n">
        <x:f>G1049-E1049</x:f>
        <x:v>0</x:v>
      </x:c>
      <x:c r="L1049" s="40" t="n">
        <x:f>ABS(K1049)</x:f>
        <x:v>0</x:v>
      </x:c>
      <x:c r="M1049" s="41" t="str">
        <x:v>lstm-soil-v1</x:v>
      </x:c>
    </x:row>
    <x:row r="1050">
      <x:c r="A1050" s="38" t="str">
        <x:v>7月30日现场数据</x:v>
      </x:c>
      <x:c r="B1050" s="39" t="str">
        <x:v>2026-08-01T11:20:00</x:v>
      </x:c>
      <x:c r="C1050" s="39" t="str">
        <x:v>2026-08-01T11:50:00</x:v>
      </x:c>
      <x:c r="D1050" s="47" t="n">
        <x:v>30</x:v>
      </x:c>
      <x:c r="E1050" s="40" t="n">
        <x:v>12</x:v>
      </x:c>
      <x:c r="F1050" s="40" t="n">
        <x:v>10.498432159423828</x:v>
      </x:c>
      <x:c r="G1050" s="40" t="n">
        <x:v>12</x:v>
      </x:c>
      <x:c r="H1050" s="40" t="n">
        <x:f>F1050-E1050</x:f>
        <x:v>-1.5015678405761719</x:v>
      </x:c>
      <x:c r="I1050" s="40" t="n">
        <x:f>ABS(H1050)</x:f>
        <x:v>1.5015678405761719</x:v>
      </x:c>
      <x:c r="J1050" s="40" t="n">
        <x:f>H1050^2</x:f>
        <x:v>2.254705979852588</x:v>
      </x:c>
      <x:c r="K1050" s="40" t="n">
        <x:f>G1050-E1050</x:f>
        <x:v>0</x:v>
      </x:c>
      <x:c r="L1050" s="40" t="n">
        <x:f>ABS(K1050)</x:f>
        <x:v>0</x:v>
      </x:c>
      <x:c r="M1050" s="41" t="str">
        <x:v>lstm-soil-v1</x:v>
      </x:c>
    </x:row>
    <x:row r="1051">
      <x:c r="A1051" s="38" t="str">
        <x:v>7月30日现场数据</x:v>
      </x:c>
      <x:c r="B1051" s="39" t="str">
        <x:v>2026-08-01T11:20:00</x:v>
      </x:c>
      <x:c r="C1051" s="39" t="str">
        <x:v>2026-08-01T12:20:00</x:v>
      </x:c>
      <x:c r="D1051" s="47" t="n">
        <x:v>60</x:v>
      </x:c>
      <x:c r="E1051" s="40" t="n">
        <x:v>12</x:v>
      </x:c>
      <x:c r="F1051" s="40" t="n">
        <x:v>12.176815032958984</x:v>
      </x:c>
      <x:c r="G1051" s="40" t="n">
        <x:v>12</x:v>
      </x:c>
      <x:c r="H1051" s="40" t="n">
        <x:f>F1051-E1051</x:f>
        <x:v>0.17681503295898438</x:v>
      </x:c>
      <x:c r="I1051" s="40" t="n">
        <x:f>ABS(H1051)</x:f>
        <x:v>0.17681503295898438</x:v>
      </x:c>
      <x:c r="J1051" s="40" t="n">
        <x:f>H1051^2</x:f>
        <x:v>0.03126355588028673</x:v>
      </x:c>
      <x:c r="K1051" s="40" t="n">
        <x:f>G1051-E1051</x:f>
        <x:v>0</x:v>
      </x:c>
      <x:c r="L1051" s="40" t="n">
        <x:f>ABS(K1051)</x:f>
        <x:v>0</x:v>
      </x:c>
      <x:c r="M1051" s="41" t="str">
        <x:v>lstm-soil-v1</x:v>
      </x:c>
    </x:row>
    <x:row r="1052">
      <x:c r="A1052" s="38" t="str">
        <x:v>7月30日现场数据</x:v>
      </x:c>
      <x:c r="B1052" s="39" t="str">
        <x:v>2026-08-01T11:25:00</x:v>
      </x:c>
      <x:c r="C1052" s="39" t="str">
        <x:v>2026-08-01T11:30:00</x:v>
      </x:c>
      <x:c r="D1052" s="47" t="n">
        <x:v>5</x:v>
      </x:c>
      <x:c r="E1052" s="40" t="n">
        <x:v>12</x:v>
      </x:c>
      <x:c r="F1052" s="40" t="n">
        <x:v>9.929927825927734</x:v>
      </x:c>
      <x:c r="G1052" s="40" t="n">
        <x:v>12</x:v>
      </x:c>
      <x:c r="H1052" s="40" t="n">
        <x:f>F1052-E1052</x:f>
        <x:v>-2.0700721740722656</x:v>
      </x:c>
      <x:c r="I1052" s="40" t="n">
        <x:f>ABS(H1052)</x:f>
        <x:v>2.0700721740722656</x:v>
      </x:c>
      <x:c r="J1052" s="40" t="n">
        <x:f>H1052^2</x:f>
        <x:v>4.285198805868276</x:v>
      </x:c>
      <x:c r="K1052" s="40" t="n">
        <x:f>G1052-E1052</x:f>
        <x:v>0</x:v>
      </x:c>
      <x:c r="L1052" s="40" t="n">
        <x:f>ABS(K1052)</x:f>
        <x:v>0</x:v>
      </x:c>
      <x:c r="M1052" s="41" t="str">
        <x:v>lstm-soil-v1</x:v>
      </x:c>
    </x:row>
    <x:row r="1053">
      <x:c r="A1053" s="38" t="str">
        <x:v>7月30日现场数据</x:v>
      </x:c>
      <x:c r="B1053" s="39" t="str">
        <x:v>2026-08-01T11:25:00</x:v>
      </x:c>
      <x:c r="C1053" s="39" t="str">
        <x:v>2026-08-01T11:40:00</x:v>
      </x:c>
      <x:c r="D1053" s="47" t="n">
        <x:v>15</x:v>
      </x:c>
      <x:c r="E1053" s="40" t="n">
        <x:v>12</x:v>
      </x:c>
      <x:c r="F1053" s="40" t="n">
        <x:v>10.013431549072266</x:v>
      </x:c>
      <x:c r="G1053" s="40" t="n">
        <x:v>12</x:v>
      </x:c>
      <x:c r="H1053" s="40" t="n">
        <x:f>F1053-E1053</x:f>
        <x:v>-1.9865684509277344</x:v>
      </x:c>
      <x:c r="I1053" s="40" t="n">
        <x:f>ABS(H1053)</x:f>
        <x:v>1.9865684509277344</x:v>
      </x:c>
      <x:c r="J1053" s="40" t="n">
        <x:f>H1053^2</x:f>
        <x:v>3.946454210221418</x:v>
      </x:c>
      <x:c r="K1053" s="40" t="n">
        <x:f>G1053-E1053</x:f>
        <x:v>0</x:v>
      </x:c>
      <x:c r="L1053" s="40" t="n">
        <x:f>ABS(K1053)</x:f>
        <x:v>0</x:v>
      </x:c>
      <x:c r="M1053" s="41" t="str">
        <x:v>lstm-soil-v1</x:v>
      </x:c>
    </x:row>
    <x:row r="1054">
      <x:c r="A1054" s="38" t="str">
        <x:v>7月30日现场数据</x:v>
      </x:c>
      <x:c r="B1054" s="39" t="str">
        <x:v>2026-08-01T11:25:00</x:v>
      </x:c>
      <x:c r="C1054" s="39" t="str">
        <x:v>2026-08-01T11:55:00</x:v>
      </x:c>
      <x:c r="D1054" s="47" t="n">
        <x:v>30</x:v>
      </x:c>
      <x:c r="E1054" s="40" t="n">
        <x:v>12</x:v>
      </x:c>
      <x:c r="F1054" s="40" t="n">
        <x:v>10.49709701538086</x:v>
      </x:c>
      <x:c r="G1054" s="40" t="n">
        <x:v>12</x:v>
      </x:c>
      <x:c r="H1054" s="40" t="n">
        <x:f>F1054-E1054</x:f>
        <x:v>-1.5029029846191406</x:v>
      </x:c>
      <x:c r="I1054" s="40" t="n">
        <x:f>ABS(H1054)</x:f>
        <x:v>1.5029029846191406</x:v>
      </x:c>
      <x:c r="J1054" s="40" t="n">
        <x:f>H1054^2</x:f>
        <x:v>2.258717381177121</x:v>
      </x:c>
      <x:c r="K1054" s="40" t="n">
        <x:f>G1054-E1054</x:f>
        <x:v>0</x:v>
      </x:c>
      <x:c r="L1054" s="40" t="n">
        <x:f>ABS(K1054)</x:f>
        <x:v>0</x:v>
      </x:c>
      <x:c r="M1054" s="41" t="str">
        <x:v>lstm-soil-v1</x:v>
      </x:c>
    </x:row>
    <x:row r="1055">
      <x:c r="A1055" s="38" t="str">
        <x:v>7月30日现场数据</x:v>
      </x:c>
      <x:c r="B1055" s="39" t="str">
        <x:v>2026-08-01T11:25:00</x:v>
      </x:c>
      <x:c r="C1055" s="39" t="str">
        <x:v>2026-08-01T12:25:00</x:v>
      </x:c>
      <x:c r="D1055" s="47" t="n">
        <x:v>60</x:v>
      </x:c>
      <x:c r="E1055" s="40" t="n">
        <x:v>12</x:v>
      </x:c>
      <x:c r="F1055" s="40" t="n">
        <x:v>12.176025390625</x:v>
      </x:c>
      <x:c r="G1055" s="40" t="n">
        <x:v>12</x:v>
      </x:c>
      <x:c r="H1055" s="40" t="n">
        <x:f>F1055-E1055</x:f>
        <x:v>0.176025390625</x:v>
      </x:c>
      <x:c r="I1055" s="40" t="n">
        <x:f>ABS(H1055)</x:f>
        <x:v>0.176025390625</x:v>
      </x:c>
      <x:c r="J1055" s="40" t="n">
        <x:f>H1055^2</x:f>
        <x:v>0.030984938144683838</x:v>
      </x:c>
      <x:c r="K1055" s="40" t="n">
        <x:f>G1055-E1055</x:f>
        <x:v>0</x:v>
      </x:c>
      <x:c r="L1055" s="40" t="n">
        <x:f>ABS(K1055)</x:f>
        <x:v>0</x:v>
      </x:c>
      <x:c r="M1055" s="41" t="str">
        <x:v>lstm-soil-v1</x:v>
      </x:c>
    </x:row>
    <x:row r="1056">
      <x:c r="A1056" s="38" t="str">
        <x:v>7月30日现场数据</x:v>
      </x:c>
      <x:c r="B1056" s="39" t="str">
        <x:v>2026-08-01T11:30:00</x:v>
      </x:c>
      <x:c r="C1056" s="39" t="str">
        <x:v>2026-08-01T11:35:00</x:v>
      </x:c>
      <x:c r="D1056" s="47" t="n">
        <x:v>5</x:v>
      </x:c>
      <x:c r="E1056" s="40" t="n">
        <x:v>12</x:v>
      </x:c>
      <x:c r="F1056" s="40" t="n">
        <x:v>9.930656433105469</x:v>
      </x:c>
      <x:c r="G1056" s="40" t="n">
        <x:v>12</x:v>
      </x:c>
      <x:c r="H1056" s="40" t="n">
        <x:f>F1056-E1056</x:f>
        <x:v>-2.0693435668945312</x:v>
      </x:c>
      <x:c r="I1056" s="40" t="n">
        <x:f>ABS(H1056)</x:f>
        <x:v>2.0693435668945312</x:v>
      </x:c>
      <x:c r="J1056" s="40" t="n">
        <x:f>H1056^2</x:f>
        <x:v>4.282182797847781</x:v>
      </x:c>
      <x:c r="K1056" s="40" t="n">
        <x:f>G1056-E1056</x:f>
        <x:v>0</x:v>
      </x:c>
      <x:c r="L1056" s="40" t="n">
        <x:f>ABS(K1056)</x:f>
        <x:v>0</x:v>
      </x:c>
      <x:c r="M1056" s="41" t="str">
        <x:v>lstm-soil-v1</x:v>
      </x:c>
    </x:row>
    <x:row r="1057">
      <x:c r="A1057" s="38" t="str">
        <x:v>7月30日现场数据</x:v>
      </x:c>
      <x:c r="B1057" s="39" t="str">
        <x:v>2026-08-01T11:30:00</x:v>
      </x:c>
      <x:c r="C1057" s="39" t="str">
        <x:v>2026-08-01T11:45:00</x:v>
      </x:c>
      <x:c r="D1057" s="47" t="n">
        <x:v>15</x:v>
      </x:c>
      <x:c r="E1057" s="40" t="n">
        <x:v>12</x:v>
      </x:c>
      <x:c r="F1057" s="40" t="n">
        <x:v>10.01363754272461</x:v>
      </x:c>
      <x:c r="G1057" s="40" t="n">
        <x:v>12</x:v>
      </x:c>
      <x:c r="H1057" s="40" t="n">
        <x:f>F1057-E1057</x:f>
        <x:v>-1.9863624572753906</x:v>
      </x:c>
      <x:c r="I1057" s="40" t="n">
        <x:f>ABS(H1057)</x:f>
        <x:v>1.9863624572753906</x:v>
      </x:c>
      <x:c r="J1057" s="40" t="n">
        <x:f>H1057^2</x:f>
        <x:v>3.945635811673128</x:v>
      </x:c>
      <x:c r="K1057" s="40" t="n">
        <x:f>G1057-E1057</x:f>
        <x:v>0</x:v>
      </x:c>
      <x:c r="L1057" s="40" t="n">
        <x:f>ABS(K1057)</x:f>
        <x:v>0</x:v>
      </x:c>
      <x:c r="M1057" s="41" t="str">
        <x:v>lstm-soil-v1</x:v>
      </x:c>
    </x:row>
    <x:row r="1058">
      <x:c r="A1058" s="38" t="str">
        <x:v>7月30日现场数据</x:v>
      </x:c>
      <x:c r="B1058" s="39" t="str">
        <x:v>2026-08-01T11:30:00</x:v>
      </x:c>
      <x:c r="C1058" s="39" t="str">
        <x:v>2026-08-01T12:00:00</x:v>
      </x:c>
      <x:c r="D1058" s="47" t="n">
        <x:v>30</x:v>
      </x:c>
      <x:c r="E1058" s="40" t="n">
        <x:v>12</x:v>
      </x:c>
      <x:c r="F1058" s="40" t="n">
        <x:v>10.496623992919922</x:v>
      </x:c>
      <x:c r="G1058" s="40" t="n">
        <x:v>12</x:v>
      </x:c>
      <x:c r="H1058" s="40" t="n">
        <x:f>F1058-E1058</x:f>
        <x:v>-1.5033760070800781</x:v>
      </x:c>
      <x:c r="I1058" s="40" t="n">
        <x:f>ABS(H1058)</x:f>
        <x:v>1.5033760070800781</x:v>
      </x:c>
      <x:c r="J1058" s="40" t="n">
        <x:f>H1058^2</x:f>
        <x:v>2.260139418664039</x:v>
      </x:c>
      <x:c r="K1058" s="40" t="n">
        <x:f>G1058-E1058</x:f>
        <x:v>0</x:v>
      </x:c>
      <x:c r="L1058" s="40" t="n">
        <x:f>ABS(K1058)</x:f>
        <x:v>0</x:v>
      </x:c>
      <x:c r="M1058" s="41" t="str">
        <x:v>lstm-soil-v1</x:v>
      </x:c>
    </x:row>
    <x:row r="1059">
      <x:c r="A1059" s="38" t="str">
        <x:v>7月30日现场数据</x:v>
      </x:c>
      <x:c r="B1059" s="39" t="str">
        <x:v>2026-08-01T11:30:00</x:v>
      </x:c>
      <x:c r="C1059" s="39" t="str">
        <x:v>2026-08-01T12:30:00</x:v>
      </x:c>
      <x:c r="D1059" s="47" t="n">
        <x:v>60</x:v>
      </x:c>
      <x:c r="E1059" s="40" t="n">
        <x:v>12</x:v>
      </x:c>
      <x:c r="F1059" s="40" t="n">
        <x:v>12.175670623779297</x:v>
      </x:c>
      <x:c r="G1059" s="40" t="n">
        <x:v>12</x:v>
      </x:c>
      <x:c r="H1059" s="40" t="n">
        <x:f>F1059-E1059</x:f>
        <x:v>0.17567062377929688</x:v>
      </x:c>
      <x:c r="I1059" s="40" t="n">
        <x:f>ABS(H1059)</x:f>
        <x:v>0.17567062377929688</x:v>
      </x:c>
      <x:c r="J1059" s="40" t="n">
        <x:f>H1059^2</x:f>
        <x:v>0.030860168059007265</x:v>
      </x:c>
      <x:c r="K1059" s="40" t="n">
        <x:f>G1059-E1059</x:f>
        <x:v>0</x:v>
      </x:c>
      <x:c r="L1059" s="40" t="n">
        <x:f>ABS(K1059)</x:f>
        <x:v>0</x:v>
      </x:c>
      <x:c r="M1059" s="41" t="str">
        <x:v>lstm-soil-v1</x:v>
      </x:c>
    </x:row>
    <x:row r="1060">
      <x:c r="A1060" s="38" t="str">
        <x:v>7月30日现场数据</x:v>
      </x:c>
      <x:c r="B1060" s="39" t="str">
        <x:v>2026-08-01T11:35:00</x:v>
      </x:c>
      <x:c r="C1060" s="39" t="str">
        <x:v>2026-08-01T11:40:00</x:v>
      </x:c>
      <x:c r="D1060" s="47" t="n">
        <x:v>5</x:v>
      </x:c>
      <x:c r="E1060" s="40" t="n">
        <x:v>12</x:v>
      </x:c>
      <x:c r="F1060" s="40" t="n">
        <x:v>9.93178939819336</x:v>
      </x:c>
      <x:c r="G1060" s="40" t="n">
        <x:v>12</x:v>
      </x:c>
      <x:c r="H1060" s="40" t="n">
        <x:f>F1060-E1060</x:f>
        <x:v>-2.0682106018066406</x:v>
      </x:c>
      <x:c r="I1060" s="40" t="n">
        <x:f>ABS(H1060)</x:f>
        <x:v>2.0682106018066406</x:v>
      </x:c>
      <x:c r="J1060" s="40" t="n">
        <x:f>H1060^2</x:f>
        <x:v>4.277495093425387</x:v>
      </x:c>
      <x:c r="K1060" s="40" t="n">
        <x:f>G1060-E1060</x:f>
        <x:v>0</x:v>
      </x:c>
      <x:c r="L1060" s="40" t="n">
        <x:f>ABS(K1060)</x:f>
        <x:v>0</x:v>
      </x:c>
      <x:c r="M1060" s="41" t="str">
        <x:v>lstm-soil-v1</x:v>
      </x:c>
    </x:row>
    <x:row r="1061">
      <x:c r="A1061" s="38" t="str">
        <x:v>7月30日现场数据</x:v>
      </x:c>
      <x:c r="B1061" s="39" t="str">
        <x:v>2026-08-01T11:35:00</x:v>
      </x:c>
      <x:c r="C1061" s="39" t="str">
        <x:v>2026-08-01T11:50:00</x:v>
      </x:c>
      <x:c r="D1061" s="47" t="n">
        <x:v>15</x:v>
      </x:c>
      <x:c r="E1061" s="40" t="n">
        <x:v>12</x:v>
      </x:c>
      <x:c r="F1061" s="40" t="n">
        <x:v>10.01192855834961</x:v>
      </x:c>
      <x:c r="G1061" s="40" t="n">
        <x:v>12</x:v>
      </x:c>
      <x:c r="H1061" s="40" t="n">
        <x:f>F1061-E1061</x:f>
        <x:v>-1.9880714416503906</x:v>
      </x:c>
      <x:c r="I1061" s="40" t="n">
        <x:f>ABS(H1061)</x:f>
        <x:v>1.9880714416503906</x:v>
      </x:c>
      <x:c r="J1061" s="40" t="n">
        <x:f>H1061^2</x:f>
        <x:v>3.9524280571058625</x:v>
      </x:c>
      <x:c r="K1061" s="40" t="n">
        <x:f>G1061-E1061</x:f>
        <x:v>0</x:v>
      </x:c>
      <x:c r="L1061" s="40" t="n">
        <x:f>ABS(K1061)</x:f>
        <x:v>0</x:v>
      </x:c>
      <x:c r="M1061" s="41" t="str">
        <x:v>lstm-soil-v1</x:v>
      </x:c>
    </x:row>
    <x:row r="1062">
      <x:c r="A1062" s="38" t="str">
        <x:v>7月30日现场数据</x:v>
      </x:c>
      <x:c r="B1062" s="39" t="str">
        <x:v>2026-08-01T11:35:00</x:v>
      </x:c>
      <x:c r="C1062" s="39" t="str">
        <x:v>2026-08-01T12:05:00</x:v>
      </x:c>
      <x:c r="D1062" s="47" t="n">
        <x:v>30</x:v>
      </x:c>
      <x:c r="E1062" s="40" t="n">
        <x:v>12</x:v>
      </x:c>
      <x:c r="F1062" s="40" t="n">
        <x:v>10.497661590576172</x:v>
      </x:c>
      <x:c r="G1062" s="40" t="n">
        <x:v>12</x:v>
      </x:c>
      <x:c r="H1062" s="40" t="n">
        <x:f>F1062-E1062</x:f>
        <x:v>-1.5023384094238281</x:v>
      </x:c>
      <x:c r="I1062" s="40" t="n">
        <x:f>ABS(H1062)</x:f>
        <x:v>1.5023384094238281</x:v>
      </x:c>
      <x:c r="J1062" s="40" t="n">
        <x:f>H1062^2</x:f>
        <x:v>2.257020696430118</x:v>
      </x:c>
      <x:c r="K1062" s="40" t="n">
        <x:f>G1062-E1062</x:f>
        <x:v>0</x:v>
      </x:c>
      <x:c r="L1062" s="40" t="n">
        <x:f>ABS(K1062)</x:f>
        <x:v>0</x:v>
      </x:c>
      <x:c r="M1062" s="41" t="str">
        <x:v>lstm-soil-v1</x:v>
      </x:c>
    </x:row>
    <x:row r="1063">
      <x:c r="A1063" s="38" t="str">
        <x:v>7月30日现场数据</x:v>
      </x:c>
      <x:c r="B1063" s="39" t="str">
        <x:v>2026-08-01T11:35:00</x:v>
      </x:c>
      <x:c r="C1063" s="39" t="str">
        <x:v>2026-08-01T12:35:00</x:v>
      </x:c>
      <x:c r="D1063" s="47" t="n">
        <x:v>60</x:v>
      </x:c>
      <x:c r="E1063" s="40" t="n">
        <x:v>11.9</x:v>
      </x:c>
      <x:c r="F1063" s="40" t="n">
        <x:v>12.181999206542969</x:v>
      </x:c>
      <x:c r="G1063" s="40" t="n">
        <x:v>12</x:v>
      </x:c>
      <x:c r="H1063" s="40" t="n">
        <x:f>F1063-E1063</x:f>
        <x:v>0.2819992065429684</x:v>
      </x:c>
      <x:c r="I1063" s="40" t="n">
        <x:f>ABS(H1063)</x:f>
        <x:v>0.2819992065429684</x:v>
      </x:c>
      <x:c r="J1063" s="40" t="n">
        <x:f>H1063^2</x:f>
        <x:v>0.07952355249086375</x:v>
      </x:c>
      <x:c r="K1063" s="40" t="n">
        <x:f>G1063-E1063</x:f>
        <x:v>0.09999999999999964</x:v>
      </x:c>
      <x:c r="L1063" s="40" t="n">
        <x:f>ABS(K1063)</x:f>
        <x:v>0.09999999999999964</x:v>
      </x:c>
      <x:c r="M1063" s="41" t="str">
        <x:v>lstm-soil-v1</x:v>
      </x:c>
    </x:row>
    <x:row r="1064">
      <x:c r="A1064" s="38" t="str">
        <x:v>7月30日现场数据</x:v>
      </x:c>
      <x:c r="B1064" s="39" t="str">
        <x:v>2026-08-01T11:40:00</x:v>
      </x:c>
      <x:c r="C1064" s="39" t="str">
        <x:v>2026-08-01T11:45:00</x:v>
      </x:c>
      <x:c r="D1064" s="47" t="n">
        <x:v>5</x:v>
      </x:c>
      <x:c r="E1064" s="40" t="n">
        <x:v>12</x:v>
      </x:c>
      <x:c r="F1064" s="40" t="n">
        <x:v>9.932498931884766</x:v>
      </x:c>
      <x:c r="G1064" s="40" t="n">
        <x:v>12</x:v>
      </x:c>
      <x:c r="H1064" s="40" t="n">
        <x:f>F1064-E1064</x:f>
        <x:v>-2.0675010681152344</x:v>
      </x:c>
      <x:c r="I1064" s="40" t="n">
        <x:f>ABS(H1064)</x:f>
        <x:v>2.0675010681152344</x:v>
      </x:c>
      <x:c r="J1064" s="40" t="n">
        <x:f>H1064^2</x:f>
        <x:v>4.274560666657635</x:v>
      </x:c>
      <x:c r="K1064" s="40" t="n">
        <x:f>G1064-E1064</x:f>
        <x:v>0</x:v>
      </x:c>
      <x:c r="L1064" s="40" t="n">
        <x:f>ABS(K1064)</x:f>
        <x:v>0</x:v>
      </x:c>
      <x:c r="M1064" s="41" t="str">
        <x:v>lstm-soil-v1</x:v>
      </x:c>
    </x:row>
    <x:row r="1065">
      <x:c r="A1065" s="38" t="str">
        <x:v>7月30日现场数据</x:v>
      </x:c>
      <x:c r="B1065" s="39" t="str">
        <x:v>2026-08-01T11:40:00</x:v>
      </x:c>
      <x:c r="C1065" s="39" t="str">
        <x:v>2026-08-01T11:55:00</x:v>
      </x:c>
      <x:c r="D1065" s="47" t="n">
        <x:v>15</x:v>
      </x:c>
      <x:c r="E1065" s="40" t="n">
        <x:v>12</x:v>
      </x:c>
      <x:c r="F1065" s="40" t="n">
        <x:v>10.012954711914062</x:v>
      </x:c>
      <x:c r="G1065" s="40" t="n">
        <x:v>12</x:v>
      </x:c>
      <x:c r="H1065" s="40" t="n">
        <x:f>F1065-E1065</x:f>
        <x:v>-1.9870452880859375</x:v>
      </x:c>
      <x:c r="I1065" s="40" t="n">
        <x:f>ABS(H1065)</x:f>
        <x:v>1.9870452880859375</x:v>
      </x:c>
      <x:c r="J1065" s="40" t="n">
        <x:f>H1065^2</x:f>
        <x:v>3.9483489769045264</x:v>
      </x:c>
      <x:c r="K1065" s="40" t="n">
        <x:f>G1065-E1065</x:f>
        <x:v>0</x:v>
      </x:c>
      <x:c r="L1065" s="40" t="n">
        <x:f>ABS(K1065)</x:f>
        <x:v>0</x:v>
      </x:c>
      <x:c r="M1065" s="41" t="str">
        <x:v>lstm-soil-v1</x:v>
      </x:c>
    </x:row>
    <x:row r="1066">
      <x:c r="A1066" s="38" t="str">
        <x:v>7月30日现场数据</x:v>
      </x:c>
      <x:c r="B1066" s="39" t="str">
        <x:v>2026-08-01T11:40:00</x:v>
      </x:c>
      <x:c r="C1066" s="39" t="str">
        <x:v>2026-08-01T12:10:00</x:v>
      </x:c>
      <x:c r="D1066" s="47" t="n">
        <x:v>30</x:v>
      </x:c>
      <x:c r="E1066" s="40" t="n">
        <x:v>12</x:v>
      </x:c>
      <x:c r="F1066" s="40" t="n">
        <x:v>10.49957275390625</x:v>
      </x:c>
      <x:c r="G1066" s="40" t="n">
        <x:v>12</x:v>
      </x:c>
      <x:c r="H1066" s="40" t="n">
        <x:f>F1066-E1066</x:f>
        <x:v>-1.50042724609375</x:v>
      </x:c>
      <x:c r="I1066" s="40" t="n">
        <x:f>ABS(H1066)</x:f>
        <x:v>1.50042724609375</x:v>
      </x:c>
      <x:c r="J1066" s="40" t="n">
        <x:f>H1066^2</x:f>
        <x:v>2.2512819208204746</x:v>
      </x:c>
      <x:c r="K1066" s="40" t="n">
        <x:f>G1066-E1066</x:f>
        <x:v>0</x:v>
      </x:c>
      <x:c r="L1066" s="40" t="n">
        <x:f>ABS(K1066)</x:f>
        <x:v>0</x:v>
      </x:c>
      <x:c r="M1066" s="41" t="str">
        <x:v>lstm-soil-v1</x:v>
      </x:c>
    </x:row>
    <x:row r="1067">
      <x:c r="A1067" s="38" t="str">
        <x:v>7月30日现场数据</x:v>
      </x:c>
      <x:c r="B1067" s="39" t="str">
        <x:v>2026-08-01T11:40:00</x:v>
      </x:c>
      <x:c r="C1067" s="39" t="str">
        <x:v>2026-08-01T12:40:00</x:v>
      </x:c>
      <x:c r="D1067" s="47" t="n">
        <x:v>60</x:v>
      </x:c>
      <x:c r="E1067" s="40" t="n">
        <x:v>11.9</x:v>
      </x:c>
      <x:c r="F1067" s="40" t="n">
        <x:v>12.182811737060547</x:v>
      </x:c>
      <x:c r="G1067" s="40" t="n">
        <x:v>12</x:v>
      </x:c>
      <x:c r="H1067" s="40" t="n">
        <x:f>F1067-E1067</x:f>
        <x:v>0.2828117370605465</x:v>
      </x:c>
      <x:c r="I1067" s="40" t="n">
        <x:f>ABS(H1067)</x:f>
        <x:v>0.2828117370605465</x:v>
      </x:c>
      <x:c r="J1067" s="40" t="n">
        <x:f>H1067^2</x:f>
        <x:v>0.0799824786192037</x:v>
      </x:c>
      <x:c r="K1067" s="40" t="n">
        <x:f>G1067-E1067</x:f>
        <x:v>0.09999999999999964</x:v>
      </x:c>
      <x:c r="L1067" s="40" t="n">
        <x:f>ABS(K1067)</x:f>
        <x:v>0.09999999999999964</x:v>
      </x:c>
      <x:c r="M1067" s="41" t="str">
        <x:v>lstm-soil-v1</x:v>
      </x:c>
    </x:row>
    <x:row r="1068">
      <x:c r="A1068" s="38" t="str">
        <x:v>7月30日现场数据</x:v>
      </x:c>
      <x:c r="B1068" s="39" t="str">
        <x:v>2026-08-01T11:45:00</x:v>
      </x:c>
      <x:c r="C1068" s="39" t="str">
        <x:v>2026-08-01T11:50:00</x:v>
      </x:c>
      <x:c r="D1068" s="47" t="n">
        <x:v>5</x:v>
      </x:c>
      <x:c r="E1068" s="40" t="n">
        <x:v>12</x:v>
      </x:c>
      <x:c r="F1068" s="40" t="n">
        <x:v>9.933155059814453</x:v>
      </x:c>
      <x:c r="G1068" s="40" t="n">
        <x:v>12</x:v>
      </x:c>
      <x:c r="H1068" s="40" t="n">
        <x:f>F1068-E1068</x:f>
        <x:v>-2.066844940185547</x:v>
      </x:c>
      <x:c r="I1068" s="40" t="n">
        <x:f>ABS(H1068)</x:f>
        <x:v>2.066844940185547</x:v>
      </x:c>
      <x:c r="J1068" s="40" t="n">
        <x:f>H1068^2</x:f>
        <x:v>4.271848006770597</x:v>
      </x:c>
      <x:c r="K1068" s="40" t="n">
        <x:f>G1068-E1068</x:f>
        <x:v>0</x:v>
      </x:c>
      <x:c r="L1068" s="40" t="n">
        <x:f>ABS(K1068)</x:f>
        <x:v>0</x:v>
      </x:c>
      <x:c r="M1068" s="41" t="str">
        <x:v>lstm-soil-v1</x:v>
      </x:c>
    </x:row>
    <x:row r="1069">
      <x:c r="A1069" s="38" t="str">
        <x:v>7月30日现场数据</x:v>
      </x:c>
      <x:c r="B1069" s="39" t="str">
        <x:v>2026-08-01T11:45:00</x:v>
      </x:c>
      <x:c r="C1069" s="39" t="str">
        <x:v>2026-08-01T12:00:00</x:v>
      </x:c>
      <x:c r="D1069" s="47" t="n">
        <x:v>15</x:v>
      </x:c>
      <x:c r="E1069" s="40" t="n">
        <x:v>12</x:v>
      </x:c>
      <x:c r="F1069" s="40" t="n">
        <x:v>10.014297485351562</x:v>
      </x:c>
      <x:c r="G1069" s="40" t="n">
        <x:v>12</x:v>
      </x:c>
      <x:c r="H1069" s="40" t="n">
        <x:f>F1069-E1069</x:f>
        <x:v>-1.9857025146484375</x:v>
      </x:c>
      <x:c r="I1069" s="40" t="n">
        <x:f>ABS(H1069)</x:f>
        <x:v>1.9857025146484375</x:v>
      </x:c>
      <x:c r="J1069" s="40" t="n">
        <x:f>H1069^2</x:f>
        <x:v>3.943014476681128</x:v>
      </x:c>
      <x:c r="K1069" s="40" t="n">
        <x:f>G1069-E1069</x:f>
        <x:v>0</x:v>
      </x:c>
      <x:c r="L1069" s="40" t="n">
        <x:f>ABS(K1069)</x:f>
        <x:v>0</x:v>
      </x:c>
      <x:c r="M1069" s="41" t="str">
        <x:v>lstm-soil-v1</x:v>
      </x:c>
    </x:row>
    <x:row r="1070">
      <x:c r="A1070" s="38" t="str">
        <x:v>7月30日现场数据</x:v>
      </x:c>
      <x:c r="B1070" s="39" t="str">
        <x:v>2026-08-01T11:45:00</x:v>
      </x:c>
      <x:c r="C1070" s="39" t="str">
        <x:v>2026-08-01T12:15:00</x:v>
      </x:c>
      <x:c r="D1070" s="47" t="n">
        <x:v>30</x:v>
      </x:c>
      <x:c r="E1070" s="40" t="n">
        <x:v>12</x:v>
      </x:c>
      <x:c r="F1070" s="40" t="n">
        <x:v>10.500110626220703</x:v>
      </x:c>
      <x:c r="G1070" s="40" t="n">
        <x:v>12</x:v>
      </x:c>
      <x:c r="H1070" s="40" t="n">
        <x:f>F1070-E1070</x:f>
        <x:v>-1.4998893737792969</x:v>
      </x:c>
      <x:c r="I1070" s="40" t="n">
        <x:f>ABS(H1070)</x:f>
        <x:v>1.4998893737792969</x:v>
      </x:c>
      <x:c r="J1070" s="40" t="n">
        <x:f>H1070^2</x:f>
        <x:v>2.2496681335760513</x:v>
      </x:c>
      <x:c r="K1070" s="40" t="n">
        <x:f>G1070-E1070</x:f>
        <x:v>0</x:v>
      </x:c>
      <x:c r="L1070" s="40" t="n">
        <x:f>ABS(K1070)</x:f>
        <x:v>0</x:v>
      </x:c>
      <x:c r="M1070" s="41" t="str">
        <x:v>lstm-soil-v1</x:v>
      </x:c>
    </x:row>
    <x:row r="1071">
      <x:c r="A1071" s="38" t="str">
        <x:v>7月30日现场数据</x:v>
      </x:c>
      <x:c r="B1071" s="39" t="str">
        <x:v>2026-08-01T11:45:00</x:v>
      </x:c>
      <x:c r="C1071" s="39" t="str">
        <x:v>2026-08-01T12:45:00</x:v>
      </x:c>
      <x:c r="D1071" s="47" t="n">
        <x:v>60</x:v>
      </x:c>
      <x:c r="E1071" s="40" t="n">
        <x:v>11.9</x:v>
      </x:c>
      <x:c r="F1071" s="40" t="n">
        <x:v>12.181827545166016</x:v>
      </x:c>
      <x:c r="G1071" s="40" t="n">
        <x:v>12</x:v>
      </x:c>
      <x:c r="H1071" s="40" t="n">
        <x:f>F1071-E1071</x:f>
        <x:v>0.28182754516601527</x:v>
      </x:c>
      <x:c r="I1071" s="40" t="n">
        <x:f>ABS(H1071)</x:f>
        <x:v>0.28182754516601527</x:v>
      </x:c>
      <x:c r="J1071" s="40" t="n">
        <x:f>H1071^2</x:f>
        <x:v>0.07942676521430238</x:v>
      </x:c>
      <x:c r="K1071" s="40" t="n">
        <x:f>G1071-E1071</x:f>
        <x:v>0.09999999999999964</x:v>
      </x:c>
      <x:c r="L1071" s="40" t="n">
        <x:f>ABS(K1071)</x:f>
        <x:v>0.09999999999999964</x:v>
      </x:c>
      <x:c r="M1071" s="41" t="str">
        <x:v>lstm-soil-v1</x:v>
      </x:c>
    </x:row>
    <x:row r="1072">
      <x:c r="A1072" s="38" t="str">
        <x:v>7月30日现场数据</x:v>
      </x:c>
      <x:c r="B1072" s="39" t="str">
        <x:v>2026-08-01T11:50:00</x:v>
      </x:c>
      <x:c r="C1072" s="39" t="str">
        <x:v>2026-08-01T11:55:00</x:v>
      </x:c>
      <x:c r="D1072" s="47" t="n">
        <x:v>5</x:v>
      </x:c>
      <x:c r="E1072" s="40" t="n">
        <x:v>12</x:v>
      </x:c>
      <x:c r="F1072" s="40" t="n">
        <x:v>9.93310546875</x:v>
      </x:c>
      <x:c r="G1072" s="40" t="n">
        <x:v>12</x:v>
      </x:c>
      <x:c r="H1072" s="40" t="n">
        <x:f>F1072-E1072</x:f>
        <x:v>-2.06689453125</x:v>
      </x:c>
      <x:c r="I1072" s="40" t="n">
        <x:f>ABS(H1072)</x:f>
        <x:v>2.06689453125</x:v>
      </x:c>
      <x:c r="J1072" s="40" t="n">
        <x:f>H1072^2</x:f>
        <x:v>4.272053003311157</x:v>
      </x:c>
      <x:c r="K1072" s="40" t="n">
        <x:f>G1072-E1072</x:f>
        <x:v>0</x:v>
      </x:c>
      <x:c r="L1072" s="40" t="n">
        <x:f>ABS(K1072)</x:f>
        <x:v>0</x:v>
      </x:c>
      <x:c r="M1072" s="41" t="str">
        <x:v>lstm-soil-v1</x:v>
      </x:c>
    </x:row>
    <x:row r="1073">
      <x:c r="A1073" s="38" t="str">
        <x:v>7月30日现场数据</x:v>
      </x:c>
      <x:c r="B1073" s="39" t="str">
        <x:v>2026-08-01T11:50:00</x:v>
      </x:c>
      <x:c r="C1073" s="39" t="str">
        <x:v>2026-08-01T12:05:00</x:v>
      </x:c>
      <x:c r="D1073" s="47" t="n">
        <x:v>15</x:v>
      </x:c>
      <x:c r="E1073" s="40" t="n">
        <x:v>12</x:v>
      </x:c>
      <x:c r="F1073" s="40" t="n">
        <x:v>10.014713287353516</x:v>
      </x:c>
      <x:c r="G1073" s="40" t="n">
        <x:v>12</x:v>
      </x:c>
      <x:c r="H1073" s="40" t="n">
        <x:f>F1073-E1073</x:f>
        <x:v>-1.9852867126464844</x:v>
      </x:c>
      <x:c r="I1073" s="40" t="n">
        <x:f>ABS(H1073)</x:f>
        <x:v>1.9852867126464844</x:v>
      </x:c>
      <x:c r="J1073" s="40" t="n">
        <x:f>H1073^2</x:f>
        <x:v>3.9413633314106846</x:v>
      </x:c>
      <x:c r="K1073" s="40" t="n">
        <x:f>G1073-E1073</x:f>
        <x:v>0</x:v>
      </x:c>
      <x:c r="L1073" s="40" t="n">
        <x:f>ABS(K1073)</x:f>
        <x:v>0</x:v>
      </x:c>
      <x:c r="M1073" s="41" t="str">
        <x:v>lstm-soil-v1</x:v>
      </x:c>
    </x:row>
    <x:row r="1074">
      <x:c r="A1074" s="38" t="str">
        <x:v>7月30日现场数据</x:v>
      </x:c>
      <x:c r="B1074" s="39" t="str">
        <x:v>2026-08-01T11:50:00</x:v>
      </x:c>
      <x:c r="C1074" s="39" t="str">
        <x:v>2026-08-01T12:20:00</x:v>
      </x:c>
      <x:c r="D1074" s="47" t="n">
        <x:v>30</x:v>
      </x:c>
      <x:c r="E1074" s="40" t="n">
        <x:v>12</x:v>
      </x:c>
      <x:c r="F1074" s="40" t="n">
        <x:v>10.498981475830078</x:v>
      </x:c>
      <x:c r="G1074" s="40" t="n">
        <x:v>12</x:v>
      </x:c>
      <x:c r="H1074" s="40" t="n">
        <x:f>F1074-E1074</x:f>
        <x:v>-1.5010185241699219</x:v>
      </x:c>
      <x:c r="I1074" s="40" t="n">
        <x:f>ABS(H1074)</x:f>
        <x:v>1.5010185241699219</x:v>
      </x:c>
      <x:c r="J1074" s="40" t="n">
        <x:f>H1074^2</x:f>
        <x:v>2.2530566099012503</x:v>
      </x:c>
      <x:c r="K1074" s="40" t="n">
        <x:f>G1074-E1074</x:f>
        <x:v>0</x:v>
      </x:c>
      <x:c r="L1074" s="40" t="n">
        <x:f>ABS(K1074)</x:f>
        <x:v>0</x:v>
      </x:c>
      <x:c r="M1074" s="41" t="str">
        <x:v>lstm-soil-v1</x:v>
      </x:c>
    </x:row>
    <x:row r="1075">
      <x:c r="A1075" s="38" t="str">
        <x:v>7月30日现场数据</x:v>
      </x:c>
      <x:c r="B1075" s="39" t="str">
        <x:v>2026-08-01T11:50:00</x:v>
      </x:c>
      <x:c r="C1075" s="39" t="str">
        <x:v>2026-08-01T12:50:00</x:v>
      </x:c>
      <x:c r="D1075" s="47" t="n">
        <x:v>60</x:v>
      </x:c>
      <x:c r="E1075" s="40" t="n">
        <x:v>11.9</x:v>
      </x:c>
      <x:c r="F1075" s="40" t="n">
        <x:v>12.181175231933594</x:v>
      </x:c>
      <x:c r="G1075" s="40" t="n">
        <x:v>12</x:v>
      </x:c>
      <x:c r="H1075" s="40" t="n">
        <x:f>F1075-E1075</x:f>
        <x:v>0.2811752319335934</x:v>
      </x:c>
      <x:c r="I1075" s="40" t="n">
        <x:f>ABS(H1075)</x:f>
        <x:v>0.2811752319335934</x:v>
      </x:c>
      <x:c r="J1075" s="40" t="n">
        <x:f>H1075^2</x:f>
        <x:v>0.07905951105291004</x:v>
      </x:c>
      <x:c r="K1075" s="40" t="n">
        <x:f>G1075-E1075</x:f>
        <x:v>0.09999999999999964</x:v>
      </x:c>
      <x:c r="L1075" s="40" t="n">
        <x:f>ABS(K1075)</x:f>
        <x:v>0.09999999999999964</x:v>
      </x:c>
      <x:c r="M1075" s="41" t="str">
        <x:v>lstm-soil-v1</x:v>
      </x:c>
    </x:row>
    <x:row r="1076">
      <x:c r="A1076" s="38" t="str">
        <x:v>7月30日现场数据</x:v>
      </x:c>
      <x:c r="B1076" s="39" t="str">
        <x:v>2026-08-01T11:55:00</x:v>
      </x:c>
      <x:c r="C1076" s="39" t="str">
        <x:v>2026-08-01T12:00:00</x:v>
      </x:c>
      <x:c r="D1076" s="47" t="n">
        <x:v>5</x:v>
      </x:c>
      <x:c r="E1076" s="40" t="n">
        <x:v>12</x:v>
      </x:c>
      <x:c r="F1076" s="40" t="n">
        <x:v>9.9339599609375</x:v>
      </x:c>
      <x:c r="G1076" s="40" t="n">
        <x:v>12</x:v>
      </x:c>
      <x:c r="H1076" s="40" t="n">
        <x:f>F1076-E1076</x:f>
        <x:v>-2.0660400390625</x:v>
      </x:c>
      <x:c r="I1076" s="40" t="n">
        <x:f>ABS(H1076)</x:f>
        <x:v>2.0660400390625</x:v>
      </x:c>
      <x:c r="J1076" s="40" t="n">
        <x:f>H1076^2</x:f>
        <x:v>4.2685214430093765</x:v>
      </x:c>
      <x:c r="K1076" s="40" t="n">
        <x:f>G1076-E1076</x:f>
        <x:v>0</x:v>
      </x:c>
      <x:c r="L1076" s="40" t="n">
        <x:f>ABS(K1076)</x:f>
        <x:v>0</x:v>
      </x:c>
      <x:c r="M1076" s="41" t="str">
        <x:v>lstm-soil-v1</x:v>
      </x:c>
    </x:row>
    <x:row r="1077">
      <x:c r="A1077" s="38" t="str">
        <x:v>7月30日现场数据</x:v>
      </x:c>
      <x:c r="B1077" s="39" t="str">
        <x:v>2026-08-01T11:55:00</x:v>
      </x:c>
      <x:c r="C1077" s="39" t="str">
        <x:v>2026-08-01T12:10:00</x:v>
      </x:c>
      <x:c r="D1077" s="47" t="n">
        <x:v>15</x:v>
      </x:c>
      <x:c r="E1077" s="40" t="n">
        <x:v>12</x:v>
      </x:c>
      <x:c r="F1077" s="40" t="n">
        <x:v>10.015926361083984</x:v>
      </x:c>
      <x:c r="G1077" s="40" t="n">
        <x:v>12</x:v>
      </x:c>
      <x:c r="H1077" s="40" t="n">
        <x:f>F1077-E1077</x:f>
        <x:v>-1.9840736389160156</x:v>
      </x:c>
      <x:c r="I1077" s="40" t="n">
        <x:f>ABS(H1077)</x:f>
        <x:v>1.9840736389160156</x:v>
      </x:c>
      <x:c r="J1077" s="40" t="n">
        <x:f>H1077^2</x:f>
        <x:v>3.93654820464144</x:v>
      </x:c>
      <x:c r="K1077" s="40" t="n">
        <x:f>G1077-E1077</x:f>
        <x:v>0</x:v>
      </x:c>
      <x:c r="L1077" s="40" t="n">
        <x:f>ABS(K1077)</x:f>
        <x:v>0</x:v>
      </x:c>
      <x:c r="M1077" s="41" t="str">
        <x:v>lstm-soil-v1</x:v>
      </x:c>
    </x:row>
    <x:row r="1078">
      <x:c r="A1078" s="38" t="str">
        <x:v>7月30日现场数据</x:v>
      </x:c>
      <x:c r="B1078" s="39" t="str">
        <x:v>2026-08-01T11:55:00</x:v>
      </x:c>
      <x:c r="C1078" s="39" t="str">
        <x:v>2026-08-01T12:25:00</x:v>
      </x:c>
      <x:c r="D1078" s="47" t="n">
        <x:v>30</x:v>
      </x:c>
      <x:c r="E1078" s="40" t="n">
        <x:v>12</x:v>
      </x:c>
      <x:c r="F1078" s="40" t="n">
        <x:v>10.499855041503906</x:v>
      </x:c>
      <x:c r="G1078" s="40" t="n">
        <x:v>12</x:v>
      </x:c>
      <x:c r="H1078" s="40" t="n">
        <x:f>F1078-E1078</x:f>
        <x:v>-1.5001449584960938</x:v>
      </x:c>
      <x:c r="I1078" s="40" t="n">
        <x:f>ABS(H1078)</x:f>
        <x:v>1.5001449584960938</x:v>
      </x:c>
      <x:c r="J1078" s="40" t="n">
        <x:f>H1078^2</x:f>
        <x:v>2.250434896501247</x:v>
      </x:c>
      <x:c r="K1078" s="40" t="n">
        <x:f>G1078-E1078</x:f>
        <x:v>0</x:v>
      </x:c>
      <x:c r="L1078" s="40" t="n">
        <x:f>ABS(K1078)</x:f>
        <x:v>0</x:v>
      </x:c>
      <x:c r="M1078" s="41" t="str">
        <x:v>lstm-soil-v1</x:v>
      </x:c>
    </x:row>
    <x:row r="1079">
      <x:c r="A1079" s="38" t="str">
        <x:v>7月30日现场数据</x:v>
      </x:c>
      <x:c r="B1079" s="39" t="str">
        <x:v>2026-08-01T11:55:00</x:v>
      </x:c>
      <x:c r="C1079" s="39" t="str">
        <x:v>2026-08-01T12:55:00</x:v>
      </x:c>
      <x:c r="D1079" s="47" t="n">
        <x:v>60</x:v>
      </x:c>
      <x:c r="E1079" s="40" t="n">
        <x:v>11.9</x:v>
      </x:c>
      <x:c r="F1079" s="40" t="n">
        <x:v>12.181224822998047</x:v>
      </x:c>
      <x:c r="G1079" s="40" t="n">
        <x:v>12</x:v>
      </x:c>
      <x:c r="H1079" s="40" t="n">
        <x:f>F1079-E1079</x:f>
        <x:v>0.2812248229980465</x:v>
      </x:c>
      <x:c r="I1079" s="40" t="n">
        <x:f>ABS(H1079)</x:f>
        <x:v>0.2812248229980465</x:v>
      </x:c>
      <x:c r="J1079" s="40" t="n">
        <x:f>H1079^2</x:f>
        <x:v>0.0790874010702826</x:v>
      </x:c>
      <x:c r="K1079" s="40" t="n">
        <x:f>G1079-E1079</x:f>
        <x:v>0.09999999999999964</x:v>
      </x:c>
      <x:c r="L1079" s="40" t="n">
        <x:f>ABS(K1079)</x:f>
        <x:v>0.09999999999999964</x:v>
      </x:c>
      <x:c r="M1079" s="41" t="str">
        <x:v>lstm-soil-v1</x:v>
      </x:c>
    </x:row>
    <x:row r="1080">
      <x:c r="A1080" s="38" t="str">
        <x:v>7月30日现场数据</x:v>
      </x:c>
      <x:c r="B1080" s="39" t="str">
        <x:v>2026-08-01T12:00:00</x:v>
      </x:c>
      <x:c r="C1080" s="39" t="str">
        <x:v>2026-08-01T12:05:00</x:v>
      </x:c>
      <x:c r="D1080" s="47" t="n">
        <x:v>5</x:v>
      </x:c>
      <x:c r="E1080" s="40" t="n">
        <x:v>12</x:v>
      </x:c>
      <x:c r="F1080" s="40" t="n">
        <x:v>9.937503814697266</x:v>
      </x:c>
      <x:c r="G1080" s="40" t="n">
        <x:v>12</x:v>
      </x:c>
      <x:c r="H1080" s="40" t="n">
        <x:f>F1080-E1080</x:f>
        <x:v>-2.0624961853027344</x:v>
      </x:c>
      <x:c r="I1080" s="40" t="n">
        <x:f>ABS(H1080)</x:f>
        <x:v>2.0624961853027344</x:v>
      </x:c>
      <x:c r="J1080" s="40" t="n">
        <x:f>H1080^2</x:f>
        <x:v>4.253890514388331</x:v>
      </x:c>
      <x:c r="K1080" s="40" t="n">
        <x:f>G1080-E1080</x:f>
        <x:v>0</x:v>
      </x:c>
      <x:c r="L1080" s="40" t="n">
        <x:f>ABS(K1080)</x:f>
        <x:v>0</x:v>
      </x:c>
      <x:c r="M1080" s="41" t="str">
        <x:v>lstm-soil-v1</x:v>
      </x:c>
    </x:row>
    <x:row r="1081">
      <x:c r="A1081" s="38" t="str">
        <x:v>7月30日现场数据</x:v>
      </x:c>
      <x:c r="B1081" s="39" t="str">
        <x:v>2026-08-01T12:00:00</x:v>
      </x:c>
      <x:c r="C1081" s="39" t="str">
        <x:v>2026-08-01T12:15:00</x:v>
      </x:c>
      <x:c r="D1081" s="47" t="n">
        <x:v>15</x:v>
      </x:c>
      <x:c r="E1081" s="40" t="n">
        <x:v>12</x:v>
      </x:c>
      <x:c r="F1081" s="40" t="n">
        <x:v>10.018672943115234</x:v>
      </x:c>
      <x:c r="G1081" s="40" t="n">
        <x:v>12</x:v>
      </x:c>
      <x:c r="H1081" s="40" t="n">
        <x:f>F1081-E1081</x:f>
        <x:v>-1.9813270568847656</x:v>
      </x:c>
      <x:c r="I1081" s="40" t="n">
        <x:f>ABS(H1081)</x:f>
        <x:v>1.9813270568847656</x:v>
      </x:c>
      <x:c r="J1081" s="40" t="n">
        <x:f>H1081^2</x:f>
        <x:v>3.9256569063436473</x:v>
      </x:c>
      <x:c r="K1081" s="40" t="n">
        <x:f>G1081-E1081</x:f>
        <x:v>0</x:v>
      </x:c>
      <x:c r="L1081" s="40" t="n">
        <x:f>ABS(K1081)</x:f>
        <x:v>0</x:v>
      </x:c>
      <x:c r="M1081" s="41" t="str">
        <x:v>lstm-soil-v1</x:v>
      </x:c>
    </x:row>
    <x:row r="1082">
      <x:c r="A1082" s="38" t="str">
        <x:v>7月30日现场数据</x:v>
      </x:c>
      <x:c r="B1082" s="39" t="str">
        <x:v>2026-08-01T12:00:00</x:v>
      </x:c>
      <x:c r="C1082" s="39" t="str">
        <x:v>2026-08-01T12:30:00</x:v>
      </x:c>
      <x:c r="D1082" s="47" t="n">
        <x:v>30</x:v>
      </x:c>
      <x:c r="E1082" s="40" t="n">
        <x:v>12</x:v>
      </x:c>
      <x:c r="F1082" s="40" t="n">
        <x:v>10.5025634765625</x:v>
      </x:c>
      <x:c r="G1082" s="40" t="n">
        <x:v>12</x:v>
      </x:c>
      <x:c r="H1082" s="40" t="n">
        <x:f>F1082-E1082</x:f>
        <x:v>-1.4974365234375</x:v>
      </x:c>
      <x:c r="I1082" s="40" t="n">
        <x:f>ABS(H1082)</x:f>
        <x:v>1.4974365234375</x:v>
      </x:c>
      <x:c r="J1082" s="40" t="n">
        <x:f>H1082^2</x:f>
        <x:v>2.2423161417245865</x:v>
      </x:c>
      <x:c r="K1082" s="40" t="n">
        <x:f>G1082-E1082</x:f>
        <x:v>0</x:v>
      </x:c>
      <x:c r="L1082" s="40" t="n">
        <x:f>ABS(K1082)</x:f>
        <x:v>0</x:v>
      </x:c>
      <x:c r="M1082" s="41" t="str">
        <x:v>lstm-soil-v1</x:v>
      </x:c>
    </x:row>
    <x:row r="1083">
      <x:c r="A1083" s="38" t="str">
        <x:v>7月30日现场数据</x:v>
      </x:c>
      <x:c r="B1083" s="39" t="str">
        <x:v>2026-08-01T12:00:00</x:v>
      </x:c>
      <x:c r="C1083" s="39" t="str">
        <x:v>2026-08-01T13:00:00</x:v>
      </x:c>
      <x:c r="D1083" s="47" t="n">
        <x:v>60</x:v>
      </x:c>
      <x:c r="E1083" s="40" t="n">
        <x:v>11.9</x:v>
      </x:c>
      <x:c r="F1083" s="40" t="n">
        <x:v>12.187374114990234</x:v>
      </x:c>
      <x:c r="G1083" s="40" t="n">
        <x:v>12</x:v>
      </x:c>
      <x:c r="H1083" s="40" t="n">
        <x:f>F1083-E1083</x:f>
        <x:v>0.287374114990234</x:v>
      </x:c>
      <x:c r="I1083" s="40" t="n">
        <x:f>ABS(H1083)</x:f>
        <x:v>0.287374114990234</x:v>
      </x:c>
      <x:c r="J1083" s="40" t="n">
        <x:f>H1083^2</x:f>
        <x:v>0.08258388196642025</x:v>
      </x:c>
      <x:c r="K1083" s="40" t="n">
        <x:f>G1083-E1083</x:f>
        <x:v>0.09999999999999964</x:v>
      </x:c>
      <x:c r="L1083" s="40" t="n">
        <x:f>ABS(K1083)</x:f>
        <x:v>0.09999999999999964</x:v>
      </x:c>
      <x:c r="M1083" s="41" t="str">
        <x:v>lstm-soil-v1</x:v>
      </x:c>
    </x:row>
    <x:row r="1084">
      <x:c r="A1084" s="38" t="str">
        <x:v>7月30日现场数据</x:v>
      </x:c>
      <x:c r="B1084" s="39" t="str">
        <x:v>2026-08-01T12:05:00</x:v>
      </x:c>
      <x:c r="C1084" s="39" t="str">
        <x:v>2026-08-01T12:10:00</x:v>
      </x:c>
      <x:c r="D1084" s="47" t="n">
        <x:v>5</x:v>
      </x:c>
      <x:c r="E1084" s="40" t="n">
        <x:v>12</x:v>
      </x:c>
      <x:c r="F1084" s="40" t="n">
        <x:v>9.939353942871094</x:v>
      </x:c>
      <x:c r="G1084" s="40" t="n">
        <x:v>12</x:v>
      </x:c>
      <x:c r="H1084" s="40" t="n">
        <x:f>F1084-E1084</x:f>
        <x:v>-2.0606460571289062</x:v>
      </x:c>
      <x:c r="I1084" s="40" t="n">
        <x:f>ABS(H1084)</x:f>
        <x:v>2.0606460571289062</x:v>
      </x:c>
      <x:c r="J1084" s="40" t="n">
        <x:f>H1084^2</x:f>
        <x:v>4.246262172760908</x:v>
      </x:c>
      <x:c r="K1084" s="40" t="n">
        <x:f>G1084-E1084</x:f>
        <x:v>0</x:v>
      </x:c>
      <x:c r="L1084" s="40" t="n">
        <x:f>ABS(K1084)</x:f>
        <x:v>0</x:v>
      </x:c>
      <x:c r="M1084" s="41" t="str">
        <x:v>lstm-soil-v1</x:v>
      </x:c>
    </x:row>
    <x:row r="1085">
      <x:c r="A1085" s="38" t="str">
        <x:v>7月30日现场数据</x:v>
      </x:c>
      <x:c r="B1085" s="39" t="str">
        <x:v>2026-08-01T12:05:00</x:v>
      </x:c>
      <x:c r="C1085" s="39" t="str">
        <x:v>2026-08-01T12:20:00</x:v>
      </x:c>
      <x:c r="D1085" s="47" t="n">
        <x:v>15</x:v>
      </x:c>
      <x:c r="E1085" s="40" t="n">
        <x:v>12</x:v>
      </x:c>
      <x:c r="F1085" s="40" t="n">
        <x:v>10.024810791015625</x:v>
      </x:c>
      <x:c r="G1085" s="40" t="n">
        <x:v>12</x:v>
      </x:c>
      <x:c r="H1085" s="40" t="n">
        <x:f>F1085-E1085</x:f>
        <x:v>-1.975189208984375</x:v>
      </x:c>
      <x:c r="I1085" s="40" t="n">
        <x:f>ABS(H1085)</x:f>
        <x:v>1.975189208984375</x:v>
      </x:c>
      <x:c r="J1085" s="40" t="n">
        <x:f>H1085^2</x:f>
        <x:v>3.901372411288321</x:v>
      </x:c>
      <x:c r="K1085" s="40" t="n">
        <x:f>G1085-E1085</x:f>
        <x:v>0</x:v>
      </x:c>
      <x:c r="L1085" s="40" t="n">
        <x:f>ABS(K1085)</x:f>
        <x:v>0</x:v>
      </x:c>
      <x:c r="M1085" s="41" t="str">
        <x:v>lstm-soil-v1</x:v>
      </x:c>
    </x:row>
    <x:row r="1086">
      <x:c r="A1086" s="38" t="str">
        <x:v>7月30日现场数据</x:v>
      </x:c>
      <x:c r="B1086" s="39" t="str">
        <x:v>2026-08-01T12:05:00</x:v>
      </x:c>
      <x:c r="C1086" s="39" t="str">
        <x:v>2026-08-01T12:35:00</x:v>
      </x:c>
      <x:c r="D1086" s="47" t="n">
        <x:v>30</x:v>
      </x:c>
      <x:c r="E1086" s="40" t="n">
        <x:v>11.9</x:v>
      </x:c>
      <x:c r="F1086" s="40" t="n">
        <x:v>10.503536224365234</x:v>
      </x:c>
      <x:c r="G1086" s="40" t="n">
        <x:v>12</x:v>
      </x:c>
      <x:c r="H1086" s="40" t="n">
        <x:f>F1086-E1086</x:f>
        <x:v>-1.396463775634766</x:v>
      </x:c>
      <x:c r="I1086" s="40" t="n">
        <x:f>ABS(H1086)</x:f>
        <x:v>1.396463775634766</x:v>
      </x:c>
      <x:c r="J1086" s="40" t="n">
        <x:f>H1086^2</x:f>
        <x:v>1.950111076660106</x:v>
      </x:c>
      <x:c r="K1086" s="40" t="n">
        <x:f>G1086-E1086</x:f>
        <x:v>0.09999999999999964</x:v>
      </x:c>
      <x:c r="L1086" s="40" t="n">
        <x:f>ABS(K1086)</x:f>
        <x:v>0.09999999999999964</x:v>
      </x:c>
      <x:c r="M1086" s="41" t="str">
        <x:v>lstm-soil-v1</x:v>
      </x:c>
    </x:row>
    <x:row r="1087">
      <x:c r="A1087" s="38" t="str">
        <x:v>7月30日现场数据</x:v>
      </x:c>
      <x:c r="B1087" s="39" t="str">
        <x:v>2026-08-01T12:05:00</x:v>
      </x:c>
      <x:c r="C1087" s="39" t="str">
        <x:v>2026-08-01T13:05:00</x:v>
      </x:c>
      <x:c r="D1087" s="47" t="n">
        <x:v>60</x:v>
      </x:c>
      <x:c r="E1087" s="40" t="n">
        <x:v>11.9</x:v>
      </x:c>
      <x:c r="F1087" s="40" t="n">
        <x:v>12.198917388916016</x:v>
      </x:c>
      <x:c r="G1087" s="40" t="n">
        <x:v>12</x:v>
      </x:c>
      <x:c r="H1087" s="40" t="n">
        <x:f>F1087-E1087</x:f>
        <x:v>0.29891738891601527</x:v>
      </x:c>
      <x:c r="I1087" s="40" t="n">
        <x:f>ABS(H1087)</x:f>
        <x:v>0.29891738891601527</x:v>
      </x:c>
      <x:c r="J1087" s="40" t="n">
        <x:f>H1087^2</x:f>
        <x:v>0.08935160539636833</x:v>
      </x:c>
      <x:c r="K1087" s="40" t="n">
        <x:f>G1087-E1087</x:f>
        <x:v>0.09999999999999964</x:v>
      </x:c>
      <x:c r="L1087" s="40" t="n">
        <x:f>ABS(K1087)</x:f>
        <x:v>0.09999999999999964</x:v>
      </x:c>
      <x:c r="M1087" s="41" t="str">
        <x:v>lstm-soil-v1</x:v>
      </x:c>
    </x:row>
    <x:row r="1088">
      <x:c r="A1088" s="38" t="str">
        <x:v>7月30日现场数据</x:v>
      </x:c>
      <x:c r="B1088" s="39" t="str">
        <x:v>2026-08-01T12:10:00</x:v>
      </x:c>
      <x:c r="C1088" s="39" t="str">
        <x:v>2026-08-01T12:15:00</x:v>
      </x:c>
      <x:c r="D1088" s="47" t="n">
        <x:v>5</x:v>
      </x:c>
      <x:c r="E1088" s="40" t="n">
        <x:v>12</x:v>
      </x:c>
      <x:c r="F1088" s="40" t="n">
        <x:v>9.940715789794922</x:v>
      </x:c>
      <x:c r="G1088" s="40" t="n">
        <x:v>12</x:v>
      </x:c>
      <x:c r="H1088" s="40" t="n">
        <x:f>F1088-E1088</x:f>
        <x:v>-2.059284210205078</x:v>
      </x:c>
      <x:c r="I1088" s="40" t="n">
        <x:f>ABS(H1088)</x:f>
        <x:v>2.059284210205078</x:v>
      </x:c>
      <x:c r="J1088" s="40" t="n">
        <x:f>H1088^2</x:f>
        <x:v>4.240651458399952</x:v>
      </x:c>
      <x:c r="K1088" s="40" t="n">
        <x:f>G1088-E1088</x:f>
        <x:v>0</x:v>
      </x:c>
      <x:c r="L1088" s="40" t="n">
        <x:f>ABS(K1088)</x:f>
        <x:v>0</x:v>
      </x:c>
      <x:c r="M1088" s="41" t="str">
        <x:v>lstm-soil-v1</x:v>
      </x:c>
    </x:row>
    <x:row r="1089">
      <x:c r="A1089" s="38" t="str">
        <x:v>7月30日现场数据</x:v>
      </x:c>
      <x:c r="B1089" s="39" t="str">
        <x:v>2026-08-01T12:10:00</x:v>
      </x:c>
      <x:c r="C1089" s="39" t="str">
        <x:v>2026-08-01T12:25:00</x:v>
      </x:c>
      <x:c r="D1089" s="47" t="n">
        <x:v>15</x:v>
      </x:c>
      <x:c r="E1089" s="40" t="n">
        <x:v>12</x:v>
      </x:c>
      <x:c r="F1089" s="40" t="n">
        <x:v>10.02450942993164</x:v>
      </x:c>
      <x:c r="G1089" s="40" t="n">
        <x:v>12</x:v>
      </x:c>
      <x:c r="H1089" s="40" t="n">
        <x:f>F1089-E1089</x:f>
        <x:v>-1.9754905700683594</x:v>
      </x:c>
      <x:c r="I1089" s="40" t="n">
        <x:f>ABS(H1089)</x:f>
        <x:v>1.9754905700683594</x:v>
      </x:c>
      <x:c r="J1089" s="40" t="n">
        <x:f>H1089^2</x:f>
        <x:v>3.9025629924290115</x:v>
      </x:c>
      <x:c r="K1089" s="40" t="n">
        <x:f>G1089-E1089</x:f>
        <x:v>0</x:v>
      </x:c>
      <x:c r="L1089" s="40" t="n">
        <x:f>ABS(K1089)</x:f>
        <x:v>0</x:v>
      </x:c>
      <x:c r="M1089" s="41" t="str">
        <x:v>lstm-soil-v1</x:v>
      </x:c>
    </x:row>
    <x:row r="1090">
      <x:c r="A1090" s="38" t="str">
        <x:v>7月30日现场数据</x:v>
      </x:c>
      <x:c r="B1090" s="39" t="str">
        <x:v>2026-08-01T12:10:00</x:v>
      </x:c>
      <x:c r="C1090" s="39" t="str">
        <x:v>2026-08-01T12:40:00</x:v>
      </x:c>
      <x:c r="D1090" s="47" t="n">
        <x:v>30</x:v>
      </x:c>
      <x:c r="E1090" s="40" t="n">
        <x:v>11.9</x:v>
      </x:c>
      <x:c r="F1090" s="40" t="n">
        <x:v>10.499919891357422</x:v>
      </x:c>
      <x:c r="G1090" s="40" t="n">
        <x:v>12</x:v>
      </x:c>
      <x:c r="H1090" s="40" t="n">
        <x:f>F1090-E1090</x:f>
        <x:v>-1.4000801086425785</x:v>
      </x:c>
      <x:c r="I1090" s="40" t="n">
        <x:f>ABS(H1090)</x:f>
        <x:v>1.4000801086425785</x:v>
      </x:c>
      <x:c r="J1090" s="40" t="n">
        <x:f>H1090^2</x:f>
        <x:v>1.9602243106166144</x:v>
      </x:c>
      <x:c r="K1090" s="40" t="n">
        <x:f>G1090-E1090</x:f>
        <x:v>0.09999999999999964</x:v>
      </x:c>
      <x:c r="L1090" s="40" t="n">
        <x:f>ABS(K1090)</x:f>
        <x:v>0.09999999999999964</x:v>
      </x:c>
      <x:c r="M1090" s="41" t="str">
        <x:v>lstm-soil-v1</x:v>
      </x:c>
    </x:row>
    <x:row r="1091">
      <x:c r="A1091" s="38" t="str">
        <x:v>7月30日现场数据</x:v>
      </x:c>
      <x:c r="B1091" s="39" t="str">
        <x:v>2026-08-01T12:10:00</x:v>
      </x:c>
      <x:c r="C1091" s="39" t="str">
        <x:v>2026-08-01T13:10:00</x:v>
      </x:c>
      <x:c r="D1091" s="47" t="n">
        <x:v>60</x:v>
      </x:c>
      <x:c r="E1091" s="40" t="n">
        <x:v>11.9</x:v>
      </x:c>
      <x:c r="F1091" s="40" t="n">
        <x:v>12.191612243652344</x:v>
      </x:c>
      <x:c r="G1091" s="40" t="n">
        <x:v>12</x:v>
      </x:c>
      <x:c r="H1091" s="40" t="n">
        <x:f>F1091-E1091</x:f>
        <x:v>0.2916122436523434</x:v>
      </x:c>
      <x:c r="I1091" s="40" t="n">
        <x:f>ABS(H1091)</x:f>
        <x:v>0.2916122436523434</x:v>
      </x:c>
      <x:c r="J1091" s="40" t="n">
        <x:f>H1091^2</x:f>
        <x:v>0.08503770064795368</x:v>
      </x:c>
      <x:c r="K1091" s="40" t="n">
        <x:f>G1091-E1091</x:f>
        <x:v>0.09999999999999964</x:v>
      </x:c>
      <x:c r="L1091" s="40" t="n">
        <x:f>ABS(K1091)</x:f>
        <x:v>0.09999999999999964</x:v>
      </x:c>
      <x:c r="M1091" s="41" t="str">
        <x:v>lstm-soil-v1</x:v>
      </x:c>
    </x:row>
    <x:row r="1092">
      <x:c r="A1092" s="38" t="str">
        <x:v>7月30日现场数据</x:v>
      </x:c>
      <x:c r="B1092" s="39" t="str">
        <x:v>2026-08-01T12:15:00</x:v>
      </x:c>
      <x:c r="C1092" s="39" t="str">
        <x:v>2026-08-01T12:20:00</x:v>
      </x:c>
      <x:c r="D1092" s="47" t="n">
        <x:v>5</x:v>
      </x:c>
      <x:c r="E1092" s="40" t="n">
        <x:v>12</x:v>
      </x:c>
      <x:c r="F1092" s="40" t="n">
        <x:v>9.942924499511719</x:v>
      </x:c>
      <x:c r="G1092" s="40" t="n">
        <x:v>12</x:v>
      </x:c>
      <x:c r="H1092" s="40" t="n">
        <x:f>F1092-E1092</x:f>
        <x:v>-2.0570755004882812</x:v>
      </x:c>
      <x:c r="I1092" s="40" t="n">
        <x:f>ABS(H1092)</x:f>
        <x:v>2.0570755004882812</x:v>
      </x:c>
      <x:c r="J1092" s="40" t="n">
        <x:f>H1092^2</x:f>
        <x:v>4.231559614709113</x:v>
      </x:c>
      <x:c r="K1092" s="40" t="n">
        <x:f>G1092-E1092</x:f>
        <x:v>0</x:v>
      </x:c>
      <x:c r="L1092" s="40" t="n">
        <x:f>ABS(K1092)</x:f>
        <x:v>0</x:v>
      </x:c>
      <x:c r="M1092" s="41" t="str">
        <x:v>lstm-soil-v1</x:v>
      </x:c>
    </x:row>
    <x:row r="1093">
      <x:c r="A1093" s="38" t="str">
        <x:v>7月30日现场数据</x:v>
      </x:c>
      <x:c r="B1093" s="39" t="str">
        <x:v>2026-08-01T12:15:00</x:v>
      </x:c>
      <x:c r="C1093" s="39" t="str">
        <x:v>2026-08-01T12:30:00</x:v>
      </x:c>
      <x:c r="D1093" s="47" t="n">
        <x:v>15</x:v>
      </x:c>
      <x:c r="E1093" s="40" t="n">
        <x:v>12</x:v>
      </x:c>
      <x:c r="F1093" s="40" t="n">
        <x:v>10.023860931396484</x:v>
      </x:c>
      <x:c r="G1093" s="40" t="n">
        <x:v>12</x:v>
      </x:c>
      <x:c r="H1093" s="40" t="n">
        <x:f>F1093-E1093</x:f>
        <x:v>-1.9761390686035156</x:v>
      </x:c>
      <x:c r="I1093" s="40" t="n">
        <x:f>ABS(H1093)</x:f>
        <x:v>1.9761390686035156</x:v>
      </x:c>
      <x:c r="J1093" s="40" t="n">
        <x:f>H1093^2</x:f>
        <x:v>3.9051256184611702</x:v>
      </x:c>
      <x:c r="K1093" s="40" t="n">
        <x:f>G1093-E1093</x:f>
        <x:v>0</x:v>
      </x:c>
      <x:c r="L1093" s="40" t="n">
        <x:f>ABS(K1093)</x:f>
        <x:v>0</x:v>
      </x:c>
      <x:c r="M1093" s="41" t="str">
        <x:v>lstm-soil-v1</x:v>
      </x:c>
    </x:row>
    <x:row r="1094">
      <x:c r="A1094" s="38" t="str">
        <x:v>7月30日现场数据</x:v>
      </x:c>
      <x:c r="B1094" s="39" t="str">
        <x:v>2026-08-01T12:15:00</x:v>
      </x:c>
      <x:c r="C1094" s="39" t="str">
        <x:v>2026-08-01T12:45:00</x:v>
      </x:c>
      <x:c r="D1094" s="47" t="n">
        <x:v>30</x:v>
      </x:c>
      <x:c r="E1094" s="40" t="n">
        <x:v>11.9</x:v>
      </x:c>
      <x:c r="F1094" s="40" t="n">
        <x:v>10.498706817626953</x:v>
      </x:c>
      <x:c r="G1094" s="40" t="n">
        <x:v>12</x:v>
      </x:c>
      <x:c r="H1094" s="40" t="n">
        <x:f>F1094-E1094</x:f>
        <x:v>-1.4012931823730472</x:v>
      </x:c>
      <x:c r="I1094" s="40" t="n">
        <x:f>ABS(H1094)</x:f>
        <x:v>1.4012931823730472</x:v>
      </x:c>
      <x:c r="J1094" s="40" t="n">
        <x:f>H1094^2</x:f>
        <x:v>1.963622582965182</x:v>
      </x:c>
      <x:c r="K1094" s="40" t="n">
        <x:f>G1094-E1094</x:f>
        <x:v>0.09999999999999964</x:v>
      </x:c>
      <x:c r="L1094" s="40" t="n">
        <x:f>ABS(K1094)</x:f>
        <x:v>0.09999999999999964</x:v>
      </x:c>
      <x:c r="M1094" s="41" t="str">
        <x:v>lstm-soil-v1</x:v>
      </x:c>
    </x:row>
    <x:row r="1095">
      <x:c r="A1095" s="38" t="str">
        <x:v>7月30日现场数据</x:v>
      </x:c>
      <x:c r="B1095" s="39" t="str">
        <x:v>2026-08-01T12:15:00</x:v>
      </x:c>
      <x:c r="C1095" s="39" t="str">
        <x:v>2026-08-01T13:15:00</x:v>
      </x:c>
      <x:c r="D1095" s="47" t="n">
        <x:v>60</x:v>
      </x:c>
      <x:c r="E1095" s="40" t="n">
        <x:v>11.9</x:v>
      </x:c>
      <x:c r="F1095" s="40" t="n">
        <x:v>12.192527770996094</x:v>
      </x:c>
      <x:c r="G1095" s="40" t="n">
        <x:v>12</x:v>
      </x:c>
      <x:c r="H1095" s="40" t="n">
        <x:f>F1095-E1095</x:f>
        <x:v>0.2925277709960934</x:v>
      </x:c>
      <x:c r="I1095" s="40" t="n">
        <x:f>ABS(H1095)</x:f>
        <x:v>0.2925277709960934</x:v>
      </x:c>
      <x:c r="J1095" s="40" t="n">
        <x:f>H1095^2</x:f>
        <x:v>0.08557249680394285</x:v>
      </x:c>
      <x:c r="K1095" s="40" t="n">
        <x:f>G1095-E1095</x:f>
        <x:v>0.09999999999999964</x:v>
      </x:c>
      <x:c r="L1095" s="40" t="n">
        <x:f>ABS(K1095)</x:f>
        <x:v>0.09999999999999964</x:v>
      </x:c>
      <x:c r="M1095" s="41" t="str">
        <x:v>lstm-soil-v1</x:v>
      </x:c>
    </x:row>
    <x:row r="1096">
      <x:c r="A1096" s="38" t="str">
        <x:v>7月30日现场数据</x:v>
      </x:c>
      <x:c r="B1096" s="39" t="str">
        <x:v>2026-08-01T12:20:00</x:v>
      </x:c>
      <x:c r="C1096" s="39" t="str">
        <x:v>2026-08-01T12:25:00</x:v>
      </x:c>
      <x:c r="D1096" s="47" t="n">
        <x:v>5</x:v>
      </x:c>
      <x:c r="E1096" s="40" t="n">
        <x:v>12</x:v>
      </x:c>
      <x:c r="F1096" s="40" t="n">
        <x:v>9.944705963134766</x:v>
      </x:c>
      <x:c r="G1096" s="40" t="n">
        <x:v>12</x:v>
      </x:c>
      <x:c r="H1096" s="40" t="n">
        <x:f>F1096-E1096</x:f>
        <x:v>-2.0552940368652344</x:v>
      </x:c>
      <x:c r="I1096" s="40" t="n">
        <x:f>ABS(H1096)</x:f>
        <x:v>2.0552940368652344</x:v>
      </x:c>
      <x:c r="J1096" s="40" t="n">
        <x:f>H1096^2</x:f>
        <x:v>4.224233577973791</x:v>
      </x:c>
      <x:c r="K1096" s="40" t="n">
        <x:f>G1096-E1096</x:f>
        <x:v>0</x:v>
      </x:c>
      <x:c r="L1096" s="40" t="n">
        <x:f>ABS(K1096)</x:f>
        <x:v>0</x:v>
      </x:c>
      <x:c r="M1096" s="41" t="str">
        <x:v>lstm-soil-v1</x:v>
      </x:c>
    </x:row>
    <x:row r="1097">
      <x:c r="A1097" s="38" t="str">
        <x:v>7月30日现场数据</x:v>
      </x:c>
      <x:c r="B1097" s="39" t="str">
        <x:v>2026-08-01T12:20:00</x:v>
      </x:c>
      <x:c r="C1097" s="39" t="str">
        <x:v>2026-08-01T12:35:00</x:v>
      </x:c>
      <x:c r="D1097" s="47" t="n">
        <x:v>15</x:v>
      </x:c>
      <x:c r="E1097" s="40" t="n">
        <x:v>11.9</x:v>
      </x:c>
      <x:c r="F1097" s="40" t="n">
        <x:v>10.023391723632812</x:v>
      </x:c>
      <x:c r="G1097" s="40" t="n">
        <x:v>12</x:v>
      </x:c>
      <x:c r="H1097" s="40" t="n">
        <x:f>F1097-E1097</x:f>
        <x:v>-1.8766082763671879</x:v>
      </x:c>
      <x:c r="I1097" s="40" t="n">
        <x:f>ABS(H1097)</x:f>
        <x:v>1.8766082763671879</x:v>
      </x:c>
      <x:c r="J1097" s="40" t="n">
        <x:f>H1097^2</x:f>
        <x:v>3.5216586229298277</x:v>
      </x:c>
      <x:c r="K1097" s="40" t="n">
        <x:f>G1097-E1097</x:f>
        <x:v>0.09999999999999964</x:v>
      </x:c>
      <x:c r="L1097" s="40" t="n">
        <x:f>ABS(K1097)</x:f>
        <x:v>0.09999999999999964</x:v>
      </x:c>
      <x:c r="M1097" s="41" t="str">
        <x:v>lstm-soil-v1</x:v>
      </x:c>
    </x:row>
    <x:row r="1098">
      <x:c r="A1098" s="38" t="str">
        <x:v>7月30日现场数据</x:v>
      </x:c>
      <x:c r="B1098" s="39" t="str">
        <x:v>2026-08-01T12:20:00</x:v>
      </x:c>
      <x:c r="C1098" s="39" t="str">
        <x:v>2026-08-01T12:50:00</x:v>
      </x:c>
      <x:c r="D1098" s="47" t="n">
        <x:v>30</x:v>
      </x:c>
      <x:c r="E1098" s="40" t="n">
        <x:v>11.9</x:v>
      </x:c>
      <x:c r="F1098" s="40" t="n">
        <x:v>10.498760223388672</x:v>
      </x:c>
      <x:c r="G1098" s="40" t="n">
        <x:v>12</x:v>
      </x:c>
      <x:c r="H1098" s="40" t="n">
        <x:f>F1098-E1098</x:f>
        <x:v>-1.4012397766113285</x:v>
      </x:c>
      <x:c r="I1098" s="40" t="n">
        <x:f>ABS(H1098)</x:f>
        <x:v>1.4012397766113285</x:v>
      </x:c>
      <x:c r="J1098" s="40" t="n">
        <x:f>H1098^2</x:f>
        <x:v>1.9634729115577658</x:v>
      </x:c>
      <x:c r="K1098" s="40" t="n">
        <x:f>G1098-E1098</x:f>
        <x:v>0.09999999999999964</x:v>
      </x:c>
      <x:c r="L1098" s="40" t="n">
        <x:f>ABS(K1098)</x:f>
        <x:v>0.09999999999999964</x:v>
      </x:c>
      <x:c r="M1098" s="41" t="str">
        <x:v>lstm-soil-v1</x:v>
      </x:c>
    </x:row>
    <x:row r="1099">
      <x:c r="A1099" s="38" t="str">
        <x:v>7月30日现场数据</x:v>
      </x:c>
      <x:c r="B1099" s="39" t="str">
        <x:v>2026-08-01T12:20:00</x:v>
      </x:c>
      <x:c r="C1099" s="39" t="str">
        <x:v>2026-08-01T13:20:00</x:v>
      </x:c>
      <x:c r="D1099" s="47" t="n">
        <x:v>60</x:v>
      </x:c>
      <x:c r="E1099" s="40" t="n">
        <x:v>11.9</x:v>
      </x:c>
      <x:c r="F1099" s="40" t="n">
        <x:v>12.19504165649414</x:v>
      </x:c>
      <x:c r="G1099" s="40" t="n">
        <x:v>12</x:v>
      </x:c>
      <x:c r="H1099" s="40" t="n">
        <x:f>F1099-E1099</x:f>
        <x:v>0.29504165649414027</x:v>
      </x:c>
      <x:c r="I1099" s="40" t="n">
        <x:f>ABS(H1099)</x:f>
        <x:v>0.29504165649414027</x:v>
      </x:c>
      <x:c r="J1099" s="40" t="n">
        <x:f>H1099^2</x:f>
        <x:v>0.08704957906680626</x:v>
      </x:c>
      <x:c r="K1099" s="40" t="n">
        <x:f>G1099-E1099</x:f>
        <x:v>0.09999999999999964</x:v>
      </x:c>
      <x:c r="L1099" s="40" t="n">
        <x:f>ABS(K1099)</x:f>
        <x:v>0.09999999999999964</x:v>
      </x:c>
      <x:c r="M1099" s="41" t="str">
        <x:v>lstm-soil-v1</x:v>
      </x:c>
    </x:row>
    <x:row r="1100">
      <x:c r="A1100" s="38" t="str">
        <x:v>7月30日现场数据</x:v>
      </x:c>
      <x:c r="B1100" s="39" t="str">
        <x:v>2026-08-01T12:25:00</x:v>
      </x:c>
      <x:c r="C1100" s="39" t="str">
        <x:v>2026-08-01T12:30:00</x:v>
      </x:c>
      <x:c r="D1100" s="47" t="n">
        <x:v>5</x:v>
      </x:c>
      <x:c r="E1100" s="40" t="n">
        <x:v>12</x:v>
      </x:c>
      <x:c r="F1100" s="40" t="n">
        <x:v>9.946338653564453</x:v>
      </x:c>
      <x:c r="G1100" s="40" t="n">
        <x:v>12</x:v>
      </x:c>
      <x:c r="H1100" s="40" t="n">
        <x:f>F1100-E1100</x:f>
        <x:v>-2.053661346435547</x:v>
      </x:c>
      <x:c r="I1100" s="40" t="n">
        <x:f>ABS(H1100)</x:f>
        <x:v>2.053661346435547</x:v>
      </x:c>
      <x:c r="J1100" s="40" t="n">
        <x:f>H1100^2</x:f>
        <x:v>4.217524925843463</x:v>
      </x:c>
      <x:c r="K1100" s="40" t="n">
        <x:f>G1100-E1100</x:f>
        <x:v>0</x:v>
      </x:c>
      <x:c r="L1100" s="40" t="n">
        <x:f>ABS(K1100)</x:f>
        <x:v>0</x:v>
      </x:c>
      <x:c r="M1100" s="41" t="str">
        <x:v>lstm-soil-v1</x:v>
      </x:c>
    </x:row>
    <x:row r="1101">
      <x:c r="A1101" s="38" t="str">
        <x:v>7月30日现场数据</x:v>
      </x:c>
      <x:c r="B1101" s="39" t="str">
        <x:v>2026-08-01T12:25:00</x:v>
      </x:c>
      <x:c r="C1101" s="39" t="str">
        <x:v>2026-08-01T12:40:00</x:v>
      </x:c>
      <x:c r="D1101" s="47" t="n">
        <x:v>15</x:v>
      </x:c>
      <x:c r="E1101" s="40" t="n">
        <x:v>11.9</x:v>
      </x:c>
      <x:c r="F1101" s="40" t="n">
        <x:v>10.022762298583984</x:v>
      </x:c>
      <x:c r="G1101" s="40" t="n">
        <x:v>12</x:v>
      </x:c>
      <x:c r="H1101" s="40" t="n">
        <x:f>F1101-E1101</x:f>
        <x:v>-1.877237701416016</x:v>
      </x:c>
      <x:c r="I1101" s="40" t="n">
        <x:f>ABS(H1101)</x:f>
        <x:v>1.877237701416016</x:v>
      </x:c>
      <x:c r="J1101" s="40" t="n">
        <x:f>H1101^2</x:f>
        <x:v>3.524021387617687</x:v>
      </x:c>
      <x:c r="K1101" s="40" t="n">
        <x:f>G1101-E1101</x:f>
        <x:v>0.09999999999999964</x:v>
      </x:c>
      <x:c r="L1101" s="40" t="n">
        <x:f>ABS(K1101)</x:f>
        <x:v>0.09999999999999964</x:v>
      </x:c>
      <x:c r="M1101" s="41" t="str">
        <x:v>lstm-soil-v1</x:v>
      </x:c>
    </x:row>
    <x:row r="1102">
      <x:c r="A1102" s="38" t="str">
        <x:v>7月30日现场数据</x:v>
      </x:c>
      <x:c r="B1102" s="39" t="str">
        <x:v>2026-08-01T12:25:00</x:v>
      </x:c>
      <x:c r="C1102" s="39" t="str">
        <x:v>2026-08-01T12:55:00</x:v>
      </x:c>
      <x:c r="D1102" s="47" t="n">
        <x:v>30</x:v>
      </x:c>
      <x:c r="E1102" s="40" t="n">
        <x:v>11.9</x:v>
      </x:c>
      <x:c r="F1102" s="40" t="n">
        <x:v>10.500240325927734</x:v>
      </x:c>
      <x:c r="G1102" s="40" t="n">
        <x:v>12</x:v>
      </x:c>
      <x:c r="H1102" s="40" t="n">
        <x:f>F1102-E1102</x:f>
        <x:v>-1.399759674072266</x:v>
      </x:c>
      <x:c r="I1102" s="40" t="n">
        <x:f>ABS(H1102)</x:f>
        <x:v>1.399759674072266</x:v>
      </x:c>
      <x:c r="J1102" s="40" t="n">
        <x:f>H1102^2</x:f>
        <x:v>1.9593271451588963</x:v>
      </x:c>
      <x:c r="K1102" s="40" t="n">
        <x:f>G1102-E1102</x:f>
        <x:v>0.09999999999999964</x:v>
      </x:c>
      <x:c r="L1102" s="40" t="n">
        <x:f>ABS(K1102)</x:f>
        <x:v>0.09999999999999964</x:v>
      </x:c>
      <x:c r="M1102" s="41" t="str">
        <x:v>lstm-soil-v1</x:v>
      </x:c>
    </x:row>
    <x:row r="1103">
      <x:c r="A1103" s="38" t="str">
        <x:v>7月30日现场数据</x:v>
      </x:c>
      <x:c r="B1103" s="39" t="str">
        <x:v>2026-08-01T12:25:00</x:v>
      </x:c>
      <x:c r="C1103" s="39" t="str">
        <x:v>2026-08-01T13:25:00</x:v>
      </x:c>
      <x:c r="D1103" s="47" t="n">
        <x:v>60</x:v>
      </x:c>
      <x:c r="E1103" s="40" t="n">
        <x:v>11.9</x:v>
      </x:c>
      <x:c r="F1103" s="40" t="n">
        <x:v>12.20047378540039</x:v>
      </x:c>
      <x:c r="G1103" s="40" t="n">
        <x:v>12</x:v>
      </x:c>
      <x:c r="H1103" s="40" t="n">
        <x:f>F1103-E1103</x:f>
        <x:v>0.30047378540039027</x:v>
      </x:c>
      <x:c r="I1103" s="40" t="n">
        <x:f>ABS(H1103)</x:f>
        <x:v>0.30047378540039027</x:v>
      </x:c>
      <x:c r="J1103" s="40" t="n">
        <x:f>H1103^2</x:f>
        <x:v>0.09028449571283978</x:v>
      </x:c>
      <x:c r="K1103" s="40" t="n">
        <x:f>G1103-E1103</x:f>
        <x:v>0.09999999999999964</x:v>
      </x:c>
      <x:c r="L1103" s="40" t="n">
        <x:f>ABS(K1103)</x:f>
        <x:v>0.09999999999999964</x:v>
      </x:c>
      <x:c r="M1103" s="41" t="str">
        <x:v>lstm-soil-v1</x:v>
      </x:c>
    </x:row>
    <x:row r="1104">
      <x:c r="A1104" s="38" t="str">
        <x:v>7月30日现场数据</x:v>
      </x:c>
      <x:c r="B1104" s="39" t="str">
        <x:v>2026-08-01T12:30:00</x:v>
      </x:c>
      <x:c r="C1104" s="39" t="str">
        <x:v>2026-08-01T12:35:00</x:v>
      </x:c>
      <x:c r="D1104" s="47" t="n">
        <x:v>5</x:v>
      </x:c>
      <x:c r="E1104" s="40" t="n">
        <x:v>11.9</x:v>
      </x:c>
      <x:c r="F1104" s="40" t="n">
        <x:v>9.947257995605469</x:v>
      </x:c>
      <x:c r="G1104" s="40" t="n">
        <x:v>12</x:v>
      </x:c>
      <x:c r="H1104" s="40" t="n">
        <x:f>F1104-E1104</x:f>
        <x:v>-1.9527420043945316</x:v>
      </x:c>
      <x:c r="I1104" s="40" t="n">
        <x:f>ABS(H1104)</x:f>
        <x:v>1.9527420043945316</x:v>
      </x:c>
      <x:c r="J1104" s="40" t="n">
        <x:f>H1104^2</x:f>
        <x:v>3.813201335726773</x:v>
      </x:c>
      <x:c r="K1104" s="40" t="n">
        <x:f>G1104-E1104</x:f>
        <x:v>0.09999999999999964</x:v>
      </x:c>
      <x:c r="L1104" s="40" t="n">
        <x:f>ABS(K1104)</x:f>
        <x:v>0.09999999999999964</x:v>
      </x:c>
      <x:c r="M1104" s="41" t="str">
        <x:v>lstm-soil-v1</x:v>
      </x:c>
    </x:row>
    <x:row r="1105">
      <x:c r="A1105" s="38" t="str">
        <x:v>7月30日现场数据</x:v>
      </x:c>
      <x:c r="B1105" s="39" t="str">
        <x:v>2026-08-01T12:30:00</x:v>
      </x:c>
      <x:c r="C1105" s="39" t="str">
        <x:v>2026-08-01T12:45:00</x:v>
      </x:c>
      <x:c r="D1105" s="47" t="n">
        <x:v>15</x:v>
      </x:c>
      <x:c r="E1105" s="40" t="n">
        <x:v>11.9</x:v>
      </x:c>
      <x:c r="F1105" s="40" t="n">
        <x:v>10.025222778320312</x:v>
      </x:c>
      <x:c r="G1105" s="40" t="n">
        <x:v>12</x:v>
      </x:c>
      <x:c r="H1105" s="40" t="n">
        <x:f>F1105-E1105</x:f>
        <x:v>-1.8747772216796879</x:v>
      </x:c>
      <x:c r="I1105" s="40" t="n">
        <x:f>ABS(H1105)</x:f>
        <x:v>1.8747772216796879</x:v>
      </x:c>
      <x:c r="J1105" s="40" t="n">
        <x:f>H1105^2</x:f>
        <x:v>3.5147896309290094</x:v>
      </x:c>
      <x:c r="K1105" s="40" t="n">
        <x:f>G1105-E1105</x:f>
        <x:v>0.09999999999999964</x:v>
      </x:c>
      <x:c r="L1105" s="40" t="n">
        <x:f>ABS(K1105)</x:f>
        <x:v>0.09999999999999964</x:v>
      </x:c>
      <x:c r="M1105" s="41" t="str">
        <x:v>lstm-soil-v1</x:v>
      </x:c>
    </x:row>
    <x:row r="1106">
      <x:c r="A1106" s="38" t="str">
        <x:v>7月30日现场数据</x:v>
      </x:c>
      <x:c r="B1106" s="39" t="str">
        <x:v>2026-08-01T12:30:00</x:v>
      </x:c>
      <x:c r="C1106" s="39" t="str">
        <x:v>2026-08-01T13:00:00</x:v>
      </x:c>
      <x:c r="D1106" s="47" t="n">
        <x:v>30</x:v>
      </x:c>
      <x:c r="E1106" s="40" t="n">
        <x:v>11.9</x:v>
      </x:c>
      <x:c r="F1106" s="40" t="n">
        <x:v>10.501213073730469</x:v>
      </x:c>
      <x:c r="G1106" s="40" t="n">
        <x:v>12</x:v>
      </x:c>
      <x:c r="H1106" s="40" t="n">
        <x:f>F1106-E1106</x:f>
        <x:v>-1.3987869262695316</x:v>
      </x:c>
      <x:c r="I1106" s="40" t="n">
        <x:f>ABS(H1106)</x:f>
        <x:v>1.3987869262695316</x:v>
      </x:c>
      <x:c r="J1106" s="40" t="n">
        <x:f>H1106^2</x:f>
        <x:v>1.956604865102564</x:v>
      </x:c>
      <x:c r="K1106" s="40" t="n">
        <x:f>G1106-E1106</x:f>
        <x:v>0.09999999999999964</x:v>
      </x:c>
      <x:c r="L1106" s="40" t="n">
        <x:f>ABS(K1106)</x:f>
        <x:v>0.09999999999999964</x:v>
      </x:c>
      <x:c r="M1106" s="41" t="str">
        <x:v>lstm-soil-v1</x:v>
      </x:c>
    </x:row>
    <x:row r="1107">
      <x:c r="A1107" s="38" t="str">
        <x:v>7月30日现场数据</x:v>
      </x:c>
      <x:c r="B1107" s="39" t="str">
        <x:v>2026-08-01T12:30:00</x:v>
      </x:c>
      <x:c r="C1107" s="39" t="str">
        <x:v>2026-08-01T13:30:00</x:v>
      </x:c>
      <x:c r="D1107" s="47" t="n">
        <x:v>60</x:v>
      </x:c>
      <x:c r="E1107" s="40" t="n">
        <x:v>11.9</x:v>
      </x:c>
      <x:c r="F1107" s="40" t="n">
        <x:v>12.19766616821289</x:v>
      </x:c>
      <x:c r="G1107" s="40" t="n">
        <x:v>12</x:v>
      </x:c>
      <x:c r="H1107" s="40" t="n">
        <x:f>F1107-E1107</x:f>
        <x:v>0.29766616821289027</x:v>
      </x:c>
      <x:c r="I1107" s="40" t="n">
        <x:f>ABS(H1107)</x:f>
        <x:v>0.29766616821289027</x:v>
      </x:c>
      <x:c r="J1107" s="40" t="n">
        <x:f>H1107^2</x:f>
        <x:v>0.08860514769854469</x:v>
      </x:c>
      <x:c r="K1107" s="40" t="n">
        <x:f>G1107-E1107</x:f>
        <x:v>0.09999999999999964</x:v>
      </x:c>
      <x:c r="L1107" s="40" t="n">
        <x:f>ABS(K1107)</x:f>
        <x:v>0.09999999999999964</x:v>
      </x:c>
      <x:c r="M1107" s="41" t="str">
        <x:v>lstm-soil-v1</x:v>
      </x:c>
    </x:row>
    <x:row r="1108">
      <x:c r="A1108" s="38" t="str">
        <x:v>7月30日现场数据</x:v>
      </x:c>
      <x:c r="B1108" s="39" t="str">
        <x:v>2026-08-01T12:35:00</x:v>
      </x:c>
      <x:c r="C1108" s="39" t="str">
        <x:v>2026-08-01T12:40:00</x:v>
      </x:c>
      <x:c r="D1108" s="47" t="n">
        <x:v>5</x:v>
      </x:c>
      <x:c r="E1108" s="40" t="n">
        <x:v>11.9</x:v>
      </x:c>
      <x:c r="F1108" s="40" t="n">
        <x:v>9.837081909179688</x:v>
      </x:c>
      <x:c r="G1108" s="40" t="n">
        <x:v>11.9</x:v>
      </x:c>
      <x:c r="H1108" s="40" t="n">
        <x:f>F1108-E1108</x:f>
        <x:v>-2.062918090820313</x:v>
      </x:c>
      <x:c r="I1108" s="40" t="n">
        <x:f>ABS(H1108)</x:f>
        <x:v>2.062918090820313</x:v>
      </x:c>
      <x:c r="J1108" s="40" t="n">
        <x:f>H1108^2</x:f>
        <x:v>4.255631049433725</x:v>
      </x:c>
      <x:c r="K1108" s="40" t="n">
        <x:f>G1108-E1108</x:f>
        <x:v>0</x:v>
      </x:c>
      <x:c r="L1108" s="40" t="n">
        <x:f>ABS(K1108)</x:f>
        <x:v>0</x:v>
      </x:c>
      <x:c r="M1108" s="41" t="str">
        <x:v>lstm-soil-v1</x:v>
      </x:c>
    </x:row>
    <x:row r="1109">
      <x:c r="A1109" s="38" t="str">
        <x:v>7月30日现场数据</x:v>
      </x:c>
      <x:c r="B1109" s="39" t="str">
        <x:v>2026-08-01T12:35:00</x:v>
      </x:c>
      <x:c r="C1109" s="39" t="str">
        <x:v>2026-08-01T12:50:00</x:v>
      </x:c>
      <x:c r="D1109" s="47" t="n">
        <x:v>15</x:v>
      </x:c>
      <x:c r="E1109" s="40" t="n">
        <x:v>11.9</x:v>
      </x:c>
      <x:c r="F1109" s="40" t="n">
        <x:v>9.915229797363281</x:v>
      </x:c>
      <x:c r="G1109" s="40" t="n">
        <x:v>11.9</x:v>
      </x:c>
      <x:c r="H1109" s="40" t="n">
        <x:f>F1109-E1109</x:f>
        <x:v>-1.984770202636719</x:v>
      </x:c>
      <x:c r="I1109" s="40" t="n">
        <x:f>ABS(H1109)</x:f>
        <x:v>1.984770202636719</x:v>
      </x:c>
      <x:c r="J1109" s="40" t="n">
        <x:f>H1109^2</x:f>
        <x:v>3.939312757274603</x:v>
      </x:c>
      <x:c r="K1109" s="40" t="n">
        <x:f>G1109-E1109</x:f>
        <x:v>0</x:v>
      </x:c>
      <x:c r="L1109" s="40" t="n">
        <x:f>ABS(K1109)</x:f>
        <x:v>0</x:v>
      </x:c>
      <x:c r="M1109" s="41" t="str">
        <x:v>lstm-soil-v1</x:v>
      </x:c>
    </x:row>
    <x:row r="1110">
      <x:c r="A1110" s="38" t="str">
        <x:v>7月30日现场数据</x:v>
      </x:c>
      <x:c r="B1110" s="39" t="str">
        <x:v>2026-08-01T12:35:00</x:v>
      </x:c>
      <x:c r="C1110" s="39" t="str">
        <x:v>2026-08-01T13:05:00</x:v>
      </x:c>
      <x:c r="D1110" s="47" t="n">
        <x:v>30</x:v>
      </x:c>
      <x:c r="E1110" s="40" t="n">
        <x:v>11.9</x:v>
      </x:c>
      <x:c r="F1110" s="40" t="n">
        <x:v>10.38888168334961</x:v>
      </x:c>
      <x:c r="G1110" s="40" t="n">
        <x:v>11.9</x:v>
      </x:c>
      <x:c r="H1110" s="40" t="n">
        <x:f>F1110-E1110</x:f>
        <x:v>-1.511118316650391</x:v>
      </x:c>
      <x:c r="I1110" s="40" t="n">
        <x:f>ABS(H1110)</x:f>
        <x:v>1.511118316650391</x:v>
      </x:c>
      <x:c r="J1110" s="40" t="n">
        <x:f>H1110^2</x:f>
        <x:v>2.2834785669163113</x:v>
      </x:c>
      <x:c r="K1110" s="40" t="n">
        <x:f>G1110-E1110</x:f>
        <x:v>0</x:v>
      </x:c>
      <x:c r="L1110" s="40" t="n">
        <x:f>ABS(K1110)</x:f>
        <x:v>0</x:v>
      </x:c>
      <x:c r="M1110" s="41" t="str">
        <x:v>lstm-soil-v1</x:v>
      </x:c>
    </x:row>
    <x:row r="1111">
      <x:c r="A1111" s="38" t="str">
        <x:v>7月30日现场数据</x:v>
      </x:c>
      <x:c r="B1111" s="39" t="str">
        <x:v>2026-08-01T12:35:00</x:v>
      </x:c>
      <x:c r="C1111" s="39" t="str">
        <x:v>2026-08-01T13:35:00</x:v>
      </x:c>
      <x:c r="D1111" s="47" t="n">
        <x:v>60</x:v>
      </x:c>
      <x:c r="E1111" s="40" t="n">
        <x:v>11.9</x:v>
      </x:c>
      <x:c r="F1111" s="40" t="n">
        <x:v>12.086307525634766</x:v>
      </x:c>
      <x:c r="G1111" s="40" t="n">
        <x:v>11.9</x:v>
      </x:c>
      <x:c r="H1111" s="40" t="n">
        <x:f>F1111-E1111</x:f>
        <x:v>0.18630752563476527</x:v>
      </x:c>
      <x:c r="I1111" s="40" t="n">
        <x:f>ABS(H1111)</x:f>
        <x:v>0.18630752563476527</x:v>
      </x:c>
      <x:c r="J1111" s="40" t="n">
        <x:f>H1111^2</x:f>
        <x:v>0.03471049410814872</x:v>
      </x:c>
      <x:c r="K1111" s="40" t="n">
        <x:f>G1111-E1111</x:f>
        <x:v>0</x:v>
      </x:c>
      <x:c r="L1111" s="40" t="n">
        <x:f>ABS(K1111)</x:f>
        <x:v>0</x:v>
      </x:c>
      <x:c r="M1111" s="41" t="str">
        <x:v>lstm-soil-v1</x:v>
      </x:c>
    </x:row>
    <x:row r="1112">
      <x:c r="A1112" s="38" t="str">
        <x:v>7月30日现场数据</x:v>
      </x:c>
      <x:c r="B1112" s="39" t="str">
        <x:v>2026-08-01T12:40:00</x:v>
      </x:c>
      <x:c r="C1112" s="39" t="str">
        <x:v>2026-08-01T12:45:00</x:v>
      </x:c>
      <x:c r="D1112" s="47" t="n">
        <x:v>5</x:v>
      </x:c>
      <x:c r="E1112" s="40" t="n">
        <x:v>11.9</x:v>
      </x:c>
      <x:c r="F1112" s="40" t="n">
        <x:v>9.837230682373047</x:v>
      </x:c>
      <x:c r="G1112" s="40" t="n">
        <x:v>11.9</x:v>
      </x:c>
      <x:c r="H1112" s="40" t="n">
        <x:f>F1112-E1112</x:f>
        <x:v>-2.0627693176269535</x:v>
      </x:c>
      <x:c r="I1112" s="40" t="n">
        <x:f>ABS(H1112)</x:f>
        <x:v>2.0627693176269535</x:v>
      </x:c>
      <x:c r="J1112" s="40" t="n">
        <x:f>H1112^2</x:f>
        <x:v>4.255017257743167</x:v>
      </x:c>
      <x:c r="K1112" s="40" t="n">
        <x:f>G1112-E1112</x:f>
        <x:v>0</x:v>
      </x:c>
      <x:c r="L1112" s="40" t="n">
        <x:f>ABS(K1112)</x:f>
        <x:v>0</x:v>
      </x:c>
      <x:c r="M1112" s="41" t="str">
        <x:v>lstm-soil-v1</x:v>
      </x:c>
    </x:row>
    <x:row r="1113">
      <x:c r="A1113" s="38" t="str">
        <x:v>7月30日现场数据</x:v>
      </x:c>
      <x:c r="B1113" s="39" t="str">
        <x:v>2026-08-01T12:40:00</x:v>
      </x:c>
      <x:c r="C1113" s="39" t="str">
        <x:v>2026-08-01T12:55:00</x:v>
      </x:c>
      <x:c r="D1113" s="47" t="n">
        <x:v>15</x:v>
      </x:c>
      <x:c r="E1113" s="40" t="n">
        <x:v>11.9</x:v>
      </x:c>
      <x:c r="F1113" s="40" t="n">
        <x:v>9.915145874023438</x:v>
      </x:c>
      <x:c r="G1113" s="40" t="n">
        <x:v>11.9</x:v>
      </x:c>
      <x:c r="H1113" s="40" t="n">
        <x:f>F1113-E1113</x:f>
        <x:v>-1.9848541259765629</x:v>
      </x:c>
      <x:c r="I1113" s="40" t="n">
        <x:f>ABS(H1113)</x:f>
        <x:v>1.9848541259765629</x:v>
      </x:c>
      <x:c r="J1113" s="40" t="n">
        <x:f>H1113^2</x:f>
        <x:v>3.9396459014061853</x:v>
      </x:c>
      <x:c r="K1113" s="40" t="n">
        <x:f>G1113-E1113</x:f>
        <x:v>0</x:v>
      </x:c>
      <x:c r="L1113" s="40" t="n">
        <x:f>ABS(K1113)</x:f>
        <x:v>0</x:v>
      </x:c>
      <x:c r="M1113" s="41" t="str">
        <x:v>lstm-soil-v1</x:v>
      </x:c>
    </x:row>
    <x:row r="1114">
      <x:c r="A1114" s="38" t="str">
        <x:v>7月30日现场数据</x:v>
      </x:c>
      <x:c r="B1114" s="39" t="str">
        <x:v>2026-08-01T12:40:00</x:v>
      </x:c>
      <x:c r="C1114" s="39" t="str">
        <x:v>2026-08-01T13:10:00</x:v>
      </x:c>
      <x:c r="D1114" s="47" t="n">
        <x:v>30</x:v>
      </x:c>
      <x:c r="E1114" s="40" t="n">
        <x:v>11.9</x:v>
      </x:c>
      <x:c r="F1114" s="40" t="n">
        <x:v>10.387771606445312</x:v>
      </x:c>
      <x:c r="G1114" s="40" t="n">
        <x:v>11.9</x:v>
      </x:c>
      <x:c r="H1114" s="40" t="n">
        <x:f>F1114-E1114</x:f>
        <x:v>-1.5122283935546879</x:v>
      </x:c>
      <x:c r="I1114" s="40" t="n">
        <x:f>ABS(H1114)</x:f>
        <x:v>1.5122283935546879</x:v>
      </x:c>
      <x:c r="J1114" s="40" t="n">
        <x:f>H1114^2</x:f>
        <x:v>2.2868347142729917</x:v>
      </x:c>
      <x:c r="K1114" s="40" t="n">
        <x:f>G1114-E1114</x:f>
        <x:v>0</x:v>
      </x:c>
      <x:c r="L1114" s="40" t="n">
        <x:f>ABS(K1114)</x:f>
        <x:v>0</x:v>
      </x:c>
      <x:c r="M1114" s="41" t="str">
        <x:v>lstm-soil-v1</x:v>
      </x:c>
    </x:row>
    <x:row r="1115">
      <x:c r="A1115" s="38" t="str">
        <x:v>7月30日现场数据</x:v>
      </x:c>
      <x:c r="B1115" s="39" t="str">
        <x:v>2026-08-01T12:40:00</x:v>
      </x:c>
      <x:c r="C1115" s="39" t="str">
        <x:v>2026-08-01T13:40:00</x:v>
      </x:c>
      <x:c r="D1115" s="47" t="n">
        <x:v>60</x:v>
      </x:c>
      <x:c r="E1115" s="40" t="n">
        <x:v>11.8</x:v>
      </x:c>
      <x:c r="F1115" s="40" t="n">
        <x:v>12.086009979248047</x:v>
      </x:c>
      <x:c r="G1115" s="40" t="n">
        <x:v>11.9</x:v>
      </x:c>
      <x:c r="H1115" s="40" t="n">
        <x:f>F1115-E1115</x:f>
        <x:v>0.28600997924804616</x:v>
      </x:c>
      <x:c r="I1115" s="40" t="n">
        <x:f>ABS(H1115)</x:f>
        <x:v>0.28600997924804616</x:v>
      </x:c>
      <x:c r="J1115" s="40" t="n">
        <x:f>H1115^2</x:f>
        <x:v>0.08180170822946779</x:v>
      </x:c>
      <x:c r="K1115" s="40" t="n">
        <x:f>G1115-E1115</x:f>
        <x:v>0.09999999999999964</x:v>
      </x:c>
      <x:c r="L1115" s="40" t="n">
        <x:f>ABS(K1115)</x:f>
        <x:v>0.09999999999999964</x:v>
      </x:c>
      <x:c r="M1115" s="41" t="str">
        <x:v>lstm-soil-v1</x:v>
      </x:c>
    </x:row>
    <x:row r="1116">
      <x:c r="A1116" s="38" t="str">
        <x:v>7月30日现场数据</x:v>
      </x:c>
      <x:c r="B1116" s="39" t="str">
        <x:v>2026-08-01T12:45:00</x:v>
      </x:c>
      <x:c r="C1116" s="39" t="str">
        <x:v>2026-08-01T12:50:00</x:v>
      </x:c>
      <x:c r="D1116" s="47" t="n">
        <x:v>5</x:v>
      </x:c>
      <x:c r="E1116" s="40" t="n">
        <x:v>11.9</x:v>
      </x:c>
      <x:c r="F1116" s="40" t="n">
        <x:v>9.83768081665039</x:v>
      </x:c>
      <x:c r="G1116" s="40" t="n">
        <x:v>11.9</x:v>
      </x:c>
      <x:c r="H1116" s="40" t="n">
        <x:f>F1116-E1116</x:f>
        <x:v>-2.0623191833496097</x:v>
      </x:c>
      <x:c r="I1116" s="40" t="n">
        <x:f>ABS(H1116)</x:f>
        <x:v>2.0623191833496097</x:v>
      </x:c>
      <x:c r="J1116" s="40" t="n">
        <x:f>H1116^2</x:f>
        <x:v>4.253160414011801</x:v>
      </x:c>
      <x:c r="K1116" s="40" t="n">
        <x:f>G1116-E1116</x:f>
        <x:v>0</x:v>
      </x:c>
      <x:c r="L1116" s="40" t="n">
        <x:f>ABS(K1116)</x:f>
        <x:v>0</x:v>
      </x:c>
      <x:c r="M1116" s="41" t="str">
        <x:v>lstm-soil-v1</x:v>
      </x:c>
    </x:row>
    <x:row r="1117">
      <x:c r="A1117" s="38" t="str">
        <x:v>7月30日现场数据</x:v>
      </x:c>
      <x:c r="B1117" s="39" t="str">
        <x:v>2026-08-01T12:45:00</x:v>
      </x:c>
      <x:c r="C1117" s="39" t="str">
        <x:v>2026-08-01T13:00:00</x:v>
      </x:c>
      <x:c r="D1117" s="47" t="n">
        <x:v>15</x:v>
      </x:c>
      <x:c r="E1117" s="40" t="n">
        <x:v>11.9</x:v>
      </x:c>
      <x:c r="F1117" s="40" t="n">
        <x:v>9.915645599365234</x:v>
      </x:c>
      <x:c r="G1117" s="40" t="n">
        <x:v>11.9</x:v>
      </x:c>
      <x:c r="H1117" s="40" t="n">
        <x:f>F1117-E1117</x:f>
        <x:v>-1.984354400634766</x:v>
      </x:c>
      <x:c r="I1117" s="40" t="n">
        <x:f>ABS(H1117)</x:f>
        <x:v>1.984354400634766</x:v>
      </x:c>
      <x:c r="J1117" s="40" t="n">
        <x:f>H1117^2</x:f>
        <x:v>3.937662387318561</x:v>
      </x:c>
      <x:c r="K1117" s="40" t="n">
        <x:f>G1117-E1117</x:f>
        <x:v>0</x:v>
      </x:c>
      <x:c r="L1117" s="40" t="n">
        <x:f>ABS(K1117)</x:f>
        <x:v>0</x:v>
      </x:c>
      <x:c r="M1117" s="41" t="str">
        <x:v>lstm-soil-v1</x:v>
      </x:c>
    </x:row>
    <x:row r="1118">
      <x:c r="A1118" s="38" t="str">
        <x:v>7月30日现场数据</x:v>
      </x:c>
      <x:c r="B1118" s="39" t="str">
        <x:v>2026-08-01T12:45:00</x:v>
      </x:c>
      <x:c r="C1118" s="39" t="str">
        <x:v>2026-08-01T13:15:00</x:v>
      </x:c>
      <x:c r="D1118" s="47" t="n">
        <x:v>30</x:v>
      </x:c>
      <x:c r="E1118" s="40" t="n">
        <x:v>11.9</x:v>
      </x:c>
      <x:c r="F1118" s="40" t="n">
        <x:v>10.387989044189453</x:v>
      </x:c>
      <x:c r="G1118" s="40" t="n">
        <x:v>11.9</x:v>
      </x:c>
      <x:c r="H1118" s="40" t="n">
        <x:f>F1118-E1118</x:f>
        <x:v>-1.5120109558105472</x:v>
      </x:c>
      <x:c r="I1118" s="40" t="n">
        <x:f>ABS(H1118)</x:f>
        <x:v>1.5120109558105472</x:v>
      </x:c>
      <x:c r="J1118" s="40" t="n">
        <x:f>H1118^2</x:f>
        <x:v>2.2861771304911245</x:v>
      </x:c>
      <x:c r="K1118" s="40" t="n">
        <x:f>G1118-E1118</x:f>
        <x:v>0</x:v>
      </x:c>
      <x:c r="L1118" s="40" t="n">
        <x:f>ABS(K1118)</x:f>
        <x:v>0</x:v>
      </x:c>
      <x:c r="M1118" s="41" t="str">
        <x:v>lstm-soil-v1</x:v>
      </x:c>
    </x:row>
    <x:row r="1119">
      <x:c r="A1119" s="38" t="str">
        <x:v>7月30日现场数据</x:v>
      </x:c>
      <x:c r="B1119" s="39" t="str">
        <x:v>2026-08-01T12:45:00</x:v>
      </x:c>
      <x:c r="C1119" s="39" t="str">
        <x:v>2026-08-01T13:45:00</x:v>
      </x:c>
      <x:c r="D1119" s="47" t="n">
        <x:v>60</x:v>
      </x:c>
      <x:c r="E1119" s="40" t="n">
        <x:v>11.8</x:v>
      </x:c>
      <x:c r="F1119" s="40" t="n">
        <x:v>12.08575439453125</x:v>
      </x:c>
      <x:c r="G1119" s="40" t="n">
        <x:v>11.9</x:v>
      </x:c>
      <x:c r="H1119" s="40" t="n">
        <x:f>F1119-E1119</x:f>
        <x:v>0.2857543945312493</x:v>
      </x:c>
      <x:c r="I1119" s="40" t="n">
        <x:f>ABS(H1119)</x:f>
        <x:v>0.2857543945312493</x:v>
      </x:c>
      <x:c r="J1119" s="40" t="n">
        <x:f>H1119^2</x:f>
        <x:v>0.08165557399392087</x:v>
      </x:c>
      <x:c r="K1119" s="40" t="n">
        <x:f>G1119-E1119</x:f>
        <x:v>0.09999999999999964</x:v>
      </x:c>
      <x:c r="L1119" s="40" t="n">
        <x:f>ABS(K1119)</x:f>
        <x:v>0.09999999999999964</x:v>
      </x:c>
      <x:c r="M1119" s="41" t="str">
        <x:v>lstm-soil-v1</x:v>
      </x:c>
    </x:row>
    <x:row r="1120">
      <x:c r="A1120" s="38" t="str">
        <x:v>7月30日现场数据</x:v>
      </x:c>
      <x:c r="B1120" s="39" t="str">
        <x:v>2026-08-01T12:50:00</x:v>
      </x:c>
      <x:c r="C1120" s="39" t="str">
        <x:v>2026-08-01T12:55:00</x:v>
      </x:c>
      <x:c r="D1120" s="47" t="n">
        <x:v>5</x:v>
      </x:c>
      <x:c r="E1120" s="40" t="n">
        <x:v>11.9</x:v>
      </x:c>
      <x:c r="F1120" s="40" t="n">
        <x:v>9.837791442871094</x:v>
      </x:c>
      <x:c r="G1120" s="40" t="n">
        <x:v>11.9</x:v>
      </x:c>
      <x:c r="H1120" s="40" t="n">
        <x:f>F1120-E1120</x:f>
        <x:v>-2.0622085571289066</x:v>
      </x:c>
      <x:c r="I1120" s="40" t="n">
        <x:f>ABS(H1120)</x:f>
        <x:v>2.0622085571289066</x:v>
      </x:c>
      <x:c r="J1120" s="40" t="n">
        <x:f>H1120^2</x:f>
        <x:v>4.252704133095687</x:v>
      </x:c>
      <x:c r="K1120" s="40" t="n">
        <x:f>G1120-E1120</x:f>
        <x:v>0</x:v>
      </x:c>
      <x:c r="L1120" s="40" t="n">
        <x:f>ABS(K1120)</x:f>
        <x:v>0</x:v>
      </x:c>
      <x:c r="M1120" s="41" t="str">
        <x:v>lstm-soil-v1</x:v>
      </x:c>
    </x:row>
    <x:row r="1121">
      <x:c r="A1121" s="38" t="str">
        <x:v>7月30日现场数据</x:v>
      </x:c>
      <x:c r="B1121" s="39" t="str">
        <x:v>2026-08-01T12:50:00</x:v>
      </x:c>
      <x:c r="C1121" s="39" t="str">
        <x:v>2026-08-01T13:05:00</x:v>
      </x:c>
      <x:c r="D1121" s="47" t="n">
        <x:v>15</x:v>
      </x:c>
      <x:c r="E1121" s="40" t="n">
        <x:v>11.9</x:v>
      </x:c>
      <x:c r="F1121" s="40" t="n">
        <x:v>9.916511535644531</x:v>
      </x:c>
      <x:c r="G1121" s="40" t="n">
        <x:v>11.9</x:v>
      </x:c>
      <x:c r="H1121" s="40" t="n">
        <x:f>F1121-E1121</x:f>
        <x:v>-1.983488464355469</x:v>
      </x:c>
      <x:c r="I1121" s="40" t="n">
        <x:f>ABS(H1121)</x:f>
        <x:v>1.983488464355469</x:v>
      </x:c>
      <x:c r="J1121" s="40" t="n">
        <x:f>H1121^2</x:f>
        <x:v>3.934226488231217</x:v>
      </x:c>
      <x:c r="K1121" s="40" t="n">
        <x:f>G1121-E1121</x:f>
        <x:v>0</x:v>
      </x:c>
      <x:c r="L1121" s="40" t="n">
        <x:f>ABS(K1121)</x:f>
        <x:v>0</x:v>
      </x:c>
      <x:c r="M1121" s="41" t="str">
        <x:v>lstm-soil-v1</x:v>
      </x:c>
    </x:row>
    <x:row r="1122">
      <x:c r="A1122" s="38" t="str">
        <x:v>7月30日现场数据</x:v>
      </x:c>
      <x:c r="B1122" s="39" t="str">
        <x:v>2026-08-01T12:50:00</x:v>
      </x:c>
      <x:c r="C1122" s="39" t="str">
        <x:v>2026-08-01T13:20:00</x:v>
      </x:c>
      <x:c r="D1122" s="47" t="n">
        <x:v>30</x:v>
      </x:c>
      <x:c r="E1122" s="40" t="n">
        <x:v>11.9</x:v>
      </x:c>
      <x:c r="F1122" s="40" t="n">
        <x:v>10.388614654541016</x:v>
      </x:c>
      <x:c r="G1122" s="40" t="n">
        <x:v>11.9</x:v>
      </x:c>
      <x:c r="H1122" s="40" t="n">
        <x:f>F1122-E1122</x:f>
        <x:v>-1.5113853454589847</x:v>
      </x:c>
      <x:c r="I1122" s="40" t="n">
        <x:f>ABS(H1122)</x:f>
        <x:v>1.5113853454589847</x:v>
      </x:c>
      <x:c r="J1122" s="40" t="n">
        <x:f>H1122^2</x:f>
        <x:v>2.2842856624681747</x:v>
      </x:c>
      <x:c r="K1122" s="40" t="n">
        <x:f>G1122-E1122</x:f>
        <x:v>0</x:v>
      </x:c>
      <x:c r="L1122" s="40" t="n">
        <x:f>ABS(K1122)</x:f>
        <x:v>0</x:v>
      </x:c>
      <x:c r="M1122" s="41" t="str">
        <x:v>lstm-soil-v1</x:v>
      </x:c>
    </x:row>
    <x:row r="1123">
      <x:c r="A1123" s="38" t="str">
        <x:v>7月30日现场数据</x:v>
      </x:c>
      <x:c r="B1123" s="39" t="str">
        <x:v>2026-08-01T12:50:00</x:v>
      </x:c>
      <x:c r="C1123" s="39" t="str">
        <x:v>2026-08-01T13:50:00</x:v>
      </x:c>
      <x:c r="D1123" s="47" t="n">
        <x:v>60</x:v>
      </x:c>
      <x:c r="E1123" s="40" t="n">
        <x:v>11.8</x:v>
      </x:c>
      <x:c r="F1123" s="40" t="n">
        <x:v>12.08935546875</x:v>
      </x:c>
      <x:c r="G1123" s="40" t="n">
        <x:v>11.9</x:v>
      </x:c>
      <x:c r="H1123" s="40" t="n">
        <x:f>F1123-E1123</x:f>
        <x:v>0.2893554687499993</x:v>
      </x:c>
      <x:c r="I1123" s="40" t="n">
        <x:f>ABS(H1123)</x:f>
        <x:v>0.2893554687499993</x:v>
      </x:c>
      <x:c r="J1123" s="40" t="n">
        <x:f>H1123^2</x:f>
        <x:v>0.08372658729553181</x:v>
      </x:c>
      <x:c r="K1123" s="40" t="n">
        <x:f>G1123-E1123</x:f>
        <x:v>0.09999999999999964</x:v>
      </x:c>
      <x:c r="L1123" s="40" t="n">
        <x:f>ABS(K1123)</x:f>
        <x:v>0.09999999999999964</x:v>
      </x:c>
      <x:c r="M1123" s="41" t="str">
        <x:v>lstm-soil-v1</x:v>
      </x:c>
    </x:row>
    <x:row r="1124">
      <x:c r="A1124" s="38" t="str">
        <x:v>7月30日现场数据</x:v>
      </x:c>
      <x:c r="B1124" s="39" t="str">
        <x:v>2026-08-01T12:55:00</x:v>
      </x:c>
      <x:c r="C1124" s="39" t="str">
        <x:v>2026-08-01T13:00:00</x:v>
      </x:c>
      <x:c r="D1124" s="47" t="n">
        <x:v>5</x:v>
      </x:c>
      <x:c r="E1124" s="40" t="n">
        <x:v>11.9</x:v>
      </x:c>
      <x:c r="F1124" s="40" t="n">
        <x:v>9.837615966796875</x:v>
      </x:c>
      <x:c r="G1124" s="40" t="n">
        <x:v>11.9</x:v>
      </x:c>
      <x:c r="H1124" s="40" t="n">
        <x:f>F1124-E1124</x:f>
        <x:v>-2.0623840332031254</x:v>
      </x:c>
      <x:c r="I1124" s="40" t="n">
        <x:f>ABS(H1124)</x:f>
        <x:v>2.0623840332031254</x:v>
      </x:c>
      <x:c r="J1124" s="40" t="n">
        <x:f>H1124^2</x:f>
        <x:v>4.25342790041119</x:v>
      </x:c>
      <x:c r="K1124" s="40" t="n">
        <x:f>G1124-E1124</x:f>
        <x:v>0</x:v>
      </x:c>
      <x:c r="L1124" s="40" t="n">
        <x:f>ABS(K1124)</x:f>
        <x:v>0</x:v>
      </x:c>
      <x:c r="M1124" s="41" t="str">
        <x:v>lstm-soil-v1</x:v>
      </x:c>
    </x:row>
    <x:row r="1125">
      <x:c r="A1125" s="38" t="str">
        <x:v>7月30日现场数据</x:v>
      </x:c>
      <x:c r="B1125" s="39" t="str">
        <x:v>2026-08-01T12:55:00</x:v>
      </x:c>
      <x:c r="C1125" s="39" t="str">
        <x:v>2026-08-01T13:10:00</x:v>
      </x:c>
      <x:c r="D1125" s="47" t="n">
        <x:v>15</x:v>
      </x:c>
      <x:c r="E1125" s="40" t="n">
        <x:v>11.9</x:v>
      </x:c>
      <x:c r="F1125" s="40" t="n">
        <x:v>9.91812515258789</x:v>
      </x:c>
      <x:c r="G1125" s="40" t="n">
        <x:v>11.9</x:v>
      </x:c>
      <x:c r="H1125" s="40" t="n">
        <x:f>F1125-E1125</x:f>
        <x:v>-1.9818748474121097</x:v>
      </x:c>
      <x:c r="I1125" s="40" t="n">
        <x:f>ABS(H1125)</x:f>
        <x:v>1.9818748474121097</x:v>
      </x:c>
      <x:c r="J1125" s="40" t="n">
        <x:f>H1125^2</x:f>
        <x:v>3.927827910804773</x:v>
      </x:c>
      <x:c r="K1125" s="40" t="n">
        <x:f>G1125-E1125</x:f>
        <x:v>0</x:v>
      </x:c>
      <x:c r="L1125" s="40" t="n">
        <x:f>ABS(K1125)</x:f>
        <x:v>0</x:v>
      </x:c>
      <x:c r="M1125" s="41" t="str">
        <x:v>lstm-soil-v1</x:v>
      </x:c>
    </x:row>
    <x:row r="1126">
      <x:c r="A1126" s="38" t="str">
        <x:v>7月30日现场数据</x:v>
      </x:c>
      <x:c r="B1126" s="39" t="str">
        <x:v>2026-08-01T12:55:00</x:v>
      </x:c>
      <x:c r="C1126" s="39" t="str">
        <x:v>2026-08-01T13:25:00</x:v>
      </x:c>
      <x:c r="D1126" s="47" t="n">
        <x:v>30</x:v>
      </x:c>
      <x:c r="E1126" s="40" t="n">
        <x:v>11.9</x:v>
      </x:c>
      <x:c r="F1126" s="40" t="n">
        <x:v>10.390201568603516</x:v>
      </x:c>
      <x:c r="G1126" s="40" t="n">
        <x:v>11.9</x:v>
      </x:c>
      <x:c r="H1126" s="40" t="n">
        <x:f>F1126-E1126</x:f>
        <x:v>-1.5097984313964847</x:v>
      </x:c>
      <x:c r="I1126" s="40" t="n">
        <x:f>ABS(H1126)</x:f>
        <x:v>1.5097984313964847</x:v>
      </x:c>
      <x:c r="J1126" s="40" t="n">
        <x:f>H1126^2</x:f>
        <x:v>2.2794913034472857</x:v>
      </x:c>
      <x:c r="K1126" s="40" t="n">
        <x:f>G1126-E1126</x:f>
        <x:v>0</x:v>
      </x:c>
      <x:c r="L1126" s="40" t="n">
        <x:f>ABS(K1126)</x:f>
        <x:v>0</x:v>
      </x:c>
      <x:c r="M1126" s="41" t="str">
        <x:v>lstm-soil-v1</x:v>
      </x:c>
    </x:row>
    <x:row r="1127">
      <x:c r="A1127" s="38" t="str">
        <x:v>7月30日现场数据</x:v>
      </x:c>
      <x:c r="B1127" s="39" t="str">
        <x:v>2026-08-01T12:55:00</x:v>
      </x:c>
      <x:c r="C1127" s="39" t="str">
        <x:v>2026-08-01T13:55:00</x:v>
      </x:c>
      <x:c r="D1127" s="47" t="n">
        <x:v>60</x:v>
      </x:c>
      <x:c r="E1127" s="40" t="n">
        <x:v>11.2</x:v>
      </x:c>
      <x:c r="F1127" s="40" t="n">
        <x:v>12.096267700195312</x:v>
      </x:c>
      <x:c r="G1127" s="40" t="n">
        <x:v>11.9</x:v>
      </x:c>
      <x:c r="H1127" s="40" t="n">
        <x:f>F1127-E1127</x:f>
        <x:v>0.8962677001953132</x:v>
      </x:c>
      <x:c r="I1127" s="40" t="n">
        <x:f>ABS(H1127)</x:f>
        <x:v>0.8962677001953132</x:v>
      </x:c>
      <x:c r="J1127" s="40" t="n">
        <x:f>H1127^2</x:f>
        <x:v>0.8032957904133958</x:v>
      </x:c>
      <x:c r="K1127" s="40" t="n">
        <x:f>G1127-E1127</x:f>
        <x:v>0.7000000000000011</x:v>
      </x:c>
      <x:c r="L1127" s="40" t="n">
        <x:f>ABS(K1127)</x:f>
        <x:v>0.7000000000000011</x:v>
      </x:c>
      <x:c r="M1127" s="41" t="str">
        <x:v>lstm-soil-v1</x:v>
      </x:c>
    </x:row>
    <x:row r="1128">
      <x:c r="A1128" s="38" t="str">
        <x:v>7月30日现场数据</x:v>
      </x:c>
      <x:c r="B1128" s="39" t="str">
        <x:v>2026-08-01T13:00:00</x:v>
      </x:c>
      <x:c r="C1128" s="39" t="str">
        <x:v>2026-08-01T13:05:00</x:v>
      </x:c>
      <x:c r="D1128" s="47" t="n">
        <x:v>5</x:v>
      </x:c>
      <x:c r="E1128" s="40" t="n">
        <x:v>11.9</x:v>
      </x:c>
      <x:c r="F1128" s="40" t="n">
        <x:v>9.840827941894531</x:v>
      </x:c>
      <x:c r="G1128" s="40" t="n">
        <x:v>11.9</x:v>
      </x:c>
      <x:c r="H1128" s="40" t="n">
        <x:f>F1128-E1128</x:f>
        <x:v>-2.059172058105469</x:v>
      </x:c>
      <x:c r="I1128" s="40" t="n">
        <x:f>ABS(H1128)</x:f>
        <x:v>2.059172058105469</x:v>
      </x:c>
      <x:c r="J1128" s="40" t="n">
        <x:f>H1128^2</x:f>
        <x:v>4.240189564882313</x:v>
      </x:c>
      <x:c r="K1128" s="40" t="n">
        <x:f>G1128-E1128</x:f>
        <x:v>0</x:v>
      </x:c>
      <x:c r="L1128" s="40" t="n">
        <x:f>ABS(K1128)</x:f>
        <x:v>0</x:v>
      </x:c>
      <x:c r="M1128" s="41" t="str">
        <x:v>lstm-soil-v1</x:v>
      </x:c>
    </x:row>
    <x:row r="1129">
      <x:c r="A1129" s="38" t="str">
        <x:v>7月30日现场数据</x:v>
      </x:c>
      <x:c r="B1129" s="39" t="str">
        <x:v>2026-08-01T13:00:00</x:v>
      </x:c>
      <x:c r="C1129" s="39" t="str">
        <x:v>2026-08-01T13:15:00</x:v>
      </x:c>
      <x:c r="D1129" s="47" t="n">
        <x:v>15</x:v>
      </x:c>
      <x:c r="E1129" s="40" t="n">
        <x:v>11.9</x:v>
      </x:c>
      <x:c r="F1129" s="40" t="n">
        <x:v>9.918930053710938</x:v>
      </x:c>
      <x:c r="G1129" s="40" t="n">
        <x:v>11.9</x:v>
      </x:c>
      <x:c r="H1129" s="40" t="n">
        <x:f>F1129-E1129</x:f>
        <x:v>-1.9810699462890629</x:v>
      </x:c>
      <x:c r="I1129" s="40" t="n">
        <x:f>ABS(H1129)</x:f>
        <x:v>1.9810699462890629</x:v>
      </x:c>
      <x:c r="J1129" s="40" t="n">
        <x:f>H1129^2</x:f>
        <x:v>3.9246381320897505</x:v>
      </x:c>
      <x:c r="K1129" s="40" t="n">
        <x:f>G1129-E1129</x:f>
        <x:v>0</x:v>
      </x:c>
      <x:c r="L1129" s="40" t="n">
        <x:f>ABS(K1129)</x:f>
        <x:v>0</x:v>
      </x:c>
      <x:c r="M1129" s="41" t="str">
        <x:v>lstm-soil-v1</x:v>
      </x:c>
    </x:row>
    <x:row r="1130">
      <x:c r="A1130" s="38" t="str">
        <x:v>7月30日现场数据</x:v>
      </x:c>
      <x:c r="B1130" s="39" t="str">
        <x:v>2026-08-01T13:00:00</x:v>
      </x:c>
      <x:c r="C1130" s="39" t="str">
        <x:v>2026-08-01T13:30:00</x:v>
      </x:c>
      <x:c r="D1130" s="47" t="n">
        <x:v>30</x:v>
      </x:c>
      <x:c r="E1130" s="40" t="n">
        <x:v>11.9</x:v>
      </x:c>
      <x:c r="F1130" s="40" t="n">
        <x:v>10.393013000488281</x:v>
      </x:c>
      <x:c r="G1130" s="40" t="n">
        <x:v>11.9</x:v>
      </x:c>
      <x:c r="H1130" s="40" t="n">
        <x:f>F1130-E1130</x:f>
        <x:v>-1.506986999511719</x:v>
      </x:c>
      <x:c r="I1130" s="40" t="n">
        <x:f>ABS(H1130)</x:f>
        <x:v>1.506986999511719</x:v>
      </x:c>
      <x:c r="J1130" s="40" t="n">
        <x:f>H1130^2</x:f>
        <x:v>2.271009816697334</x:v>
      </x:c>
      <x:c r="K1130" s="40" t="n">
        <x:f>G1130-E1130</x:f>
        <x:v>0</x:v>
      </x:c>
      <x:c r="L1130" s="40" t="n">
        <x:f>ABS(K1130)</x:f>
        <x:v>0</x:v>
      </x:c>
      <x:c r="M1130" s="41" t="str">
        <x:v>lstm-soil-v1</x:v>
      </x:c>
    </x:row>
    <x:row r="1131">
      <x:c r="A1131" s="38" t="str">
        <x:v>7月30日现场数据</x:v>
      </x:c>
      <x:c r="B1131" s="39" t="str">
        <x:v>2026-08-01T13:00:00</x:v>
      </x:c>
      <x:c r="C1131" s="39" t="str">
        <x:v>2026-08-01T14:00:00</x:v>
      </x:c>
      <x:c r="D1131" s="47" t="n">
        <x:v>60</x:v>
      </x:c>
      <x:c r="E1131" s="40" t="n">
        <x:v>13</x:v>
      </x:c>
      <x:c r="F1131" s="40" t="n">
        <x:v>12.096981048583984</x:v>
      </x:c>
      <x:c r="G1131" s="40" t="n">
        <x:v>11.9</x:v>
      </x:c>
      <x:c r="H1131" s="40" t="n">
        <x:f>F1131-E1131</x:f>
        <x:v>-0.9030189514160156</x:v>
      </x:c>
      <x:c r="I1131" s="40" t="n">
        <x:f>ABS(H1131)</x:f>
        <x:v>0.9030189514160156</x:v>
      </x:c>
      <x:c r="J1131" s="40" t="n">
        <x:f>H1131^2</x:f>
        <x:v>0.8154432266164804</x:v>
      </x:c>
      <x:c r="K1131" s="40" t="n">
        <x:f>G1131-E1131</x:f>
        <x:v>-1.0999999999999996</x:v>
      </x:c>
      <x:c r="L1131" s="40" t="n">
        <x:f>ABS(K1131)</x:f>
        <x:v>1.0999999999999996</x:v>
      </x:c>
      <x:c r="M1131" s="41" t="str">
        <x:v>lstm-soil-v1</x:v>
      </x:c>
    </x:row>
    <x:row r="1132">
      <x:c r="A1132" s="38" t="str">
        <x:v>7月30日现场数据</x:v>
      </x:c>
      <x:c r="B1132" s="39" t="str">
        <x:v>2026-08-01T13:05:00</x:v>
      </x:c>
      <x:c r="C1132" s="39" t="str">
        <x:v>2026-08-01T13:10:00</x:v>
      </x:c>
      <x:c r="D1132" s="47" t="n">
        <x:v>5</x:v>
      </x:c>
      <x:c r="E1132" s="40" t="n">
        <x:v>11.9</x:v>
      </x:c>
      <x:c r="F1132" s="40" t="n">
        <x:v>9.84524917602539</x:v>
      </x:c>
      <x:c r="G1132" s="40" t="n">
        <x:v>11.9</x:v>
      </x:c>
      <x:c r="H1132" s="40" t="n">
        <x:f>F1132-E1132</x:f>
        <x:v>-2.0547508239746097</x:v>
      </x:c>
      <x:c r="I1132" s="40" t="n">
        <x:f>ABS(H1132)</x:f>
        <x:v>2.0547508239746097</x:v>
      </x:c>
      <x:c r="J1132" s="40" t="n">
        <x:f>H1132^2</x:f>
        <x:v>4.222000948624338</x:v>
      </x:c>
      <x:c r="K1132" s="40" t="n">
        <x:f>G1132-E1132</x:f>
        <x:v>0</x:v>
      </x:c>
      <x:c r="L1132" s="40" t="n">
        <x:f>ABS(K1132)</x:f>
        <x:v>0</x:v>
      </x:c>
      <x:c r="M1132" s="41" t="str">
        <x:v>lstm-soil-v1</x:v>
      </x:c>
    </x:row>
    <x:row r="1133">
      <x:c r="A1133" s="38" t="str">
        <x:v>7月30日现场数据</x:v>
      </x:c>
      <x:c r="B1133" s="39" t="str">
        <x:v>2026-08-01T13:05:00</x:v>
      </x:c>
      <x:c r="C1133" s="39" t="str">
        <x:v>2026-08-01T13:20:00</x:v>
      </x:c>
      <x:c r="D1133" s="47" t="n">
        <x:v>15</x:v>
      </x:c>
      <x:c r="E1133" s="40" t="n">
        <x:v>11.9</x:v>
      </x:c>
      <x:c r="F1133" s="40" t="n">
        <x:v>9.915519714355469</x:v>
      </x:c>
      <x:c r="G1133" s="40" t="n">
        <x:v>11.9</x:v>
      </x:c>
      <x:c r="H1133" s="40" t="n">
        <x:f>F1133-E1133</x:f>
        <x:v>-1.9844802856445316</x:v>
      </x:c>
      <x:c r="I1133" s="40" t="n">
        <x:f>ABS(H1133)</x:f>
        <x:v>1.9844802856445316</x:v>
      </x:c>
      <x:c r="J1133" s="40" t="n">
        <x:f>H1133^2</x:f>
        <x:v>3.9381620041118017</x:v>
      </x:c>
      <x:c r="K1133" s="40" t="n">
        <x:f>G1133-E1133</x:f>
        <x:v>0</x:v>
      </x:c>
      <x:c r="L1133" s="40" t="n">
        <x:f>ABS(K1133)</x:f>
        <x:v>0</x:v>
      </x:c>
      <x:c r="M1133" s="41" t="str">
        <x:v>lstm-soil-v1</x:v>
      </x:c>
    </x:row>
    <x:row r="1134">
      <x:c r="A1134" s="38" t="str">
        <x:v>7月30日现场数据</x:v>
      </x:c>
      <x:c r="B1134" s="39" t="str">
        <x:v>2026-08-01T13:05:00</x:v>
      </x:c>
      <x:c r="C1134" s="39" t="str">
        <x:v>2026-08-01T13:35:00</x:v>
      </x:c>
      <x:c r="D1134" s="47" t="n">
        <x:v>30</x:v>
      </x:c>
      <x:c r="E1134" s="40" t="n">
        <x:v>11.9</x:v>
      </x:c>
      <x:c r="F1134" s="40" t="n">
        <x:v>10.396629333496094</x:v>
      </x:c>
      <x:c r="G1134" s="40" t="n">
        <x:v>11.9</x:v>
      </x:c>
      <x:c r="H1134" s="40" t="n">
        <x:f>F1134-E1134</x:f>
        <x:v>-1.5033706665039066</x:v>
      </x:c>
      <x:c r="I1134" s="40" t="n">
        <x:f>ABS(H1134)</x:f>
        <x:v>1.5033706665039066</x:v>
      </x:c>
      <x:c r="J1134" s="40" t="n">
        <x:f>H1134^2</x:f>
        <x:v>2.2601233609044002</x:v>
      </x:c>
      <x:c r="K1134" s="40" t="n">
        <x:f>G1134-E1134</x:f>
        <x:v>0</x:v>
      </x:c>
      <x:c r="L1134" s="40" t="n">
        <x:f>ABS(K1134)</x:f>
        <x:v>0</x:v>
      </x:c>
      <x:c r="M1134" s="41" t="str">
        <x:v>lstm-soil-v1</x:v>
      </x:c>
    </x:row>
    <x:row r="1135">
      <x:c r="A1135" s="38" t="str">
        <x:v>7月30日现场数据</x:v>
      </x:c>
      <x:c r="B1135" s="39" t="str">
        <x:v>2026-08-01T13:05:00</x:v>
      </x:c>
      <x:c r="C1135" s="39" t="str">
        <x:v>2026-08-01T14:05:00</x:v>
      </x:c>
      <x:c r="D1135" s="47" t="n">
        <x:v>60</x:v>
      </x:c>
      <x:c r="E1135" s="40" t="n">
        <x:v>19.3</x:v>
      </x:c>
      <x:c r="F1135" s="40" t="n">
        <x:v>12.114482879638672</x:v>
      </x:c>
      <x:c r="G1135" s="40" t="n">
        <x:v>11.9</x:v>
      </x:c>
      <x:c r="H1135" s="40" t="n">
        <x:f>F1135-E1135</x:f>
        <x:v>-7.185517120361329</x:v>
      </x:c>
      <x:c r="I1135" s="40" t="n">
        <x:f>ABS(H1135)</x:f>
        <x:v>7.185517120361329</x:v>
      </x:c>
      <x:c r="J1135" s="40" t="n">
        <x:f>H1135^2</x:f>
        <x:v>51.63165628700576</x:v>
      </x:c>
      <x:c r="K1135" s="40" t="n">
        <x:f>G1135-E1135</x:f>
        <x:v>-7.4</x:v>
      </x:c>
      <x:c r="L1135" s="40" t="n">
        <x:f>ABS(K1135)</x:f>
        <x:v>7.4</x:v>
      </x:c>
      <x:c r="M1135" s="41" t="str">
        <x:v>lstm-soil-v1</x:v>
      </x:c>
    </x:row>
    <x:row r="1136">
      <x:c r="A1136" s="38" t="str">
        <x:v>7月30日现场数据</x:v>
      </x:c>
      <x:c r="B1136" s="39" t="str">
        <x:v>2026-08-01T13:10:00</x:v>
      </x:c>
      <x:c r="C1136" s="39" t="str">
        <x:v>2026-08-01T13:15:00</x:v>
      </x:c>
      <x:c r="D1136" s="47" t="n">
        <x:v>5</x:v>
      </x:c>
      <x:c r="E1136" s="40" t="n">
        <x:v>11.9</x:v>
      </x:c>
      <x:c r="F1136" s="40" t="n">
        <x:v>9.848159790039062</x:v>
      </x:c>
      <x:c r="G1136" s="40" t="n">
        <x:v>11.9</x:v>
      </x:c>
      <x:c r="H1136" s="40" t="n">
        <x:f>F1136-E1136</x:f>
        <x:v>-2.051840209960938</x:v>
      </x:c>
      <x:c r="I1136" s="40" t="n">
        <x:f>ABS(H1136)</x:f>
        <x:v>2.051840209960938</x:v>
      </x:c>
      <x:c r="J1136" s="40" t="n">
        <x:f>H1136^2</x:f>
        <x:v>4.210048247212545</x:v>
      </x:c>
      <x:c r="K1136" s="40" t="n">
        <x:f>G1136-E1136</x:f>
        <x:v>0</x:v>
      </x:c>
      <x:c r="L1136" s="40" t="n">
        <x:f>ABS(K1136)</x:f>
        <x:v>0</x:v>
      </x:c>
      <x:c r="M1136" s="41" t="str">
        <x:v>lstm-soil-v1</x:v>
      </x:c>
    </x:row>
    <x:row r="1137">
      <x:c r="A1137" s="38" t="str">
        <x:v>7月30日现场数据</x:v>
      </x:c>
      <x:c r="B1137" s="39" t="str">
        <x:v>2026-08-01T13:10:00</x:v>
      </x:c>
      <x:c r="C1137" s="39" t="str">
        <x:v>2026-08-01T13:25:00</x:v>
      </x:c>
      <x:c r="D1137" s="47" t="n">
        <x:v>15</x:v>
      </x:c>
      <x:c r="E1137" s="40" t="n">
        <x:v>11.9</x:v>
      </x:c>
      <x:c r="F1137" s="40" t="n">
        <x:v>9.916130065917969</x:v>
      </x:c>
      <x:c r="G1137" s="40" t="n">
        <x:v>11.9</x:v>
      </x:c>
      <x:c r="H1137" s="40" t="n">
        <x:f>F1137-E1137</x:f>
        <x:v>-1.9838699340820316</x:v>
      </x:c>
      <x:c r="I1137" s="40" t="n">
        <x:f>ABS(H1137)</x:f>
        <x:v>1.9838699340820316</x:v>
      </x:c>
      <x:c r="J1137" s="40" t="n">
        <x:f>H1137^2</x:f>
        <x:v>3.9357399153546444</x:v>
      </x:c>
      <x:c r="K1137" s="40" t="n">
        <x:f>G1137-E1137</x:f>
        <x:v>0</x:v>
      </x:c>
      <x:c r="L1137" s="40" t="n">
        <x:f>ABS(K1137)</x:f>
        <x:v>0</x:v>
      </x:c>
      <x:c r="M1137" s="41" t="str">
        <x:v>lstm-soil-v1</x:v>
      </x:c>
    </x:row>
    <x:row r="1138">
      <x:c r="A1138" s="38" t="str">
        <x:v>7月30日现场数据</x:v>
      </x:c>
      <x:c r="B1138" s="39" t="str">
        <x:v>2026-08-01T13:10:00</x:v>
      </x:c>
      <x:c r="C1138" s="39" t="str">
        <x:v>2026-08-01T13:40:00</x:v>
      </x:c>
      <x:c r="D1138" s="47" t="n">
        <x:v>30</x:v>
      </x:c>
      <x:c r="E1138" s="40" t="n">
        <x:v>11.8</x:v>
      </x:c>
      <x:c r="F1138" s="40" t="n">
        <x:v>10.400272369384766</x:v>
      </x:c>
      <x:c r="G1138" s="40" t="n">
        <x:v>11.9</x:v>
      </x:c>
      <x:c r="H1138" s="40" t="n">
        <x:f>F1138-E1138</x:f>
        <x:v>-1.399727630615235</x:v>
      </x:c>
      <x:c r="I1138" s="40" t="n">
        <x:f>ABS(H1138)</x:f>
        <x:v>1.399727630615235</x:v>
      </x:c>
      <x:c r="J1138" s="40" t="n">
        <x:f>H1138^2</x:f>
        <x:v>1.95923743990774</x:v>
      </x:c>
      <x:c r="K1138" s="40" t="n">
        <x:f>G1138-E1138</x:f>
        <x:v>0.09999999999999964</x:v>
      </x:c>
      <x:c r="L1138" s="40" t="n">
        <x:f>ABS(K1138)</x:f>
        <x:v>0.09999999999999964</x:v>
      </x:c>
      <x:c r="M1138" s="41" t="str">
        <x:v>lstm-soil-v1</x:v>
      </x:c>
    </x:row>
    <x:row r="1139">
      <x:c r="A1139" s="38" t="str">
        <x:v>7月30日现场数据</x:v>
      </x:c>
      <x:c r="B1139" s="39" t="str">
        <x:v>2026-08-01T13:10:00</x:v>
      </x:c>
      <x:c r="C1139" s="39" t="str">
        <x:v>2026-08-01T14:10:00</x:v>
      </x:c>
      <x:c r="D1139" s="47" t="n">
        <x:v>60</x:v>
      </x:c>
      <x:c r="E1139" s="40" t="n">
        <x:v>24.4</x:v>
      </x:c>
      <x:c r="F1139" s="40" t="n">
        <x:v>12.119884490966797</x:v>
      </x:c>
      <x:c r="G1139" s="40" t="n">
        <x:v>11.9</x:v>
      </x:c>
      <x:c r="H1139" s="40" t="n">
        <x:f>F1139-E1139</x:f>
        <x:v>-12.280115509033202</x:v>
      </x:c>
      <x:c r="I1139" s="40" t="n">
        <x:f>ABS(H1139)</x:f>
        <x:v>12.280115509033202</x:v>
      </x:c>
      <x:c r="J1139" s="40" t="n">
        <x:f>H1139^2</x:f>
        <x:v>150.80123691519776</x:v>
      </x:c>
      <x:c r="K1139" s="40" t="n">
        <x:f>G1139-E1139</x:f>
        <x:v>-12.499999999999998</x:v>
      </x:c>
      <x:c r="L1139" s="40" t="n">
        <x:f>ABS(K1139)</x:f>
        <x:v>12.499999999999998</x:v>
      </x:c>
      <x:c r="M1139" s="41" t="str">
        <x:v>lstm-soil-v1</x:v>
      </x:c>
    </x:row>
    <x:row r="1140">
      <x:c r="A1140" s="38" t="str">
        <x:v>7月30日现场数据</x:v>
      </x:c>
      <x:c r="B1140" s="39" t="str">
        <x:v>2026-08-01T13:15:00</x:v>
      </x:c>
      <x:c r="C1140" s="39" t="str">
        <x:v>2026-08-01T13:20:00</x:v>
      </x:c>
      <x:c r="D1140" s="47" t="n">
        <x:v>5</x:v>
      </x:c>
      <x:c r="E1140" s="40" t="n">
        <x:v>11.9</x:v>
      </x:c>
      <x:c r="F1140" s="40" t="n">
        <x:v>9.849205017089844</x:v>
      </x:c>
      <x:c r="G1140" s="40" t="n">
        <x:v>11.9</x:v>
      </x:c>
      <x:c r="H1140" s="40" t="n">
        <x:f>F1140-E1140</x:f>
        <x:v>-2.0507949829101566</x:v>
      </x:c>
      <x:c r="I1140" s="40" t="n">
        <x:f>ABS(H1140)</x:f>
        <x:v>2.0507949829101566</x:v>
      </x:c>
      <x:c r="J1140" s="40" t="n">
        <x:f>H1140^2</x:f>
        <x:v>4.205760061929469</x:v>
      </x:c>
      <x:c r="K1140" s="40" t="n">
        <x:f>G1140-E1140</x:f>
        <x:v>0</x:v>
      </x:c>
      <x:c r="L1140" s="40" t="n">
        <x:f>ABS(K1140)</x:f>
        <x:v>0</x:v>
      </x:c>
      <x:c r="M1140" s="41" t="str">
        <x:v>lstm-soil-v1</x:v>
      </x:c>
    </x:row>
    <x:row r="1141">
      <x:c r="A1141" s="38" t="str">
        <x:v>7月30日现场数据</x:v>
      </x:c>
      <x:c r="B1141" s="39" t="str">
        <x:v>2026-08-01T13:15:00</x:v>
      </x:c>
      <x:c r="C1141" s="39" t="str">
        <x:v>2026-08-01T13:30:00</x:v>
      </x:c>
      <x:c r="D1141" s="47" t="n">
        <x:v>15</x:v>
      </x:c>
      <x:c r="E1141" s="40" t="n">
        <x:v>11.9</x:v>
      </x:c>
      <x:c r="F1141" s="40" t="n">
        <x:v>9.91619873046875</x:v>
      </x:c>
      <x:c r="G1141" s="40" t="n">
        <x:v>11.9</x:v>
      </x:c>
      <x:c r="H1141" s="40" t="n">
        <x:f>F1141-E1141</x:f>
        <x:v>-1.9838012695312504</x:v>
      </x:c>
      <x:c r="I1141" s="40" t="n">
        <x:f>ABS(H1141)</x:f>
        <x:v>1.9838012695312504</x:v>
      </x:c>
      <x:c r="J1141" s="40" t="n">
        <x:f>H1141^2</x:f>
        <x:v>3.9354674769938005</x:v>
      </x:c>
      <x:c r="K1141" s="40" t="n">
        <x:f>G1141-E1141</x:f>
        <x:v>0</x:v>
      </x:c>
      <x:c r="L1141" s="40" t="n">
        <x:f>ABS(K1141)</x:f>
        <x:v>0</x:v>
      </x:c>
      <x:c r="M1141" s="41" t="str">
        <x:v>lstm-soil-v1</x:v>
      </x:c>
    </x:row>
    <x:row r="1142">
      <x:c r="A1142" s="38" t="str">
        <x:v>7月30日现场数据</x:v>
      </x:c>
      <x:c r="B1142" s="39" t="str">
        <x:v>2026-08-01T13:15:00</x:v>
      </x:c>
      <x:c r="C1142" s="39" t="str">
        <x:v>2026-08-01T13:45:00</x:v>
      </x:c>
      <x:c r="D1142" s="47" t="n">
        <x:v>30</x:v>
      </x:c>
      <x:c r="E1142" s="40" t="n">
        <x:v>11.8</x:v>
      </x:c>
      <x:c r="F1142" s="40" t="n">
        <x:v>10.401046752929688</x:v>
      </x:c>
      <x:c r="G1142" s="40" t="n">
        <x:v>11.9</x:v>
      </x:c>
      <x:c r="H1142" s="40" t="n">
        <x:f>F1142-E1142</x:f>
        <x:v>-1.3989532470703132</x:v>
      </x:c>
      <x:c r="I1142" s="40" t="n">
        <x:f>ABS(H1142)</x:f>
        <x:v>1.3989532470703132</x:v>
      </x:c>
      <x:c r="J1142" s="40" t="n">
        <x:f>H1142^2</x:f>
        <x:v>1.9570701874885728</x:v>
      </x:c>
      <x:c r="K1142" s="40" t="n">
        <x:f>G1142-E1142</x:f>
        <x:v>0.09999999999999964</x:v>
      </x:c>
      <x:c r="L1142" s="40" t="n">
        <x:f>ABS(K1142)</x:f>
        <x:v>0.09999999999999964</x:v>
      </x:c>
      <x:c r="M1142" s="41" t="str">
        <x:v>lstm-soil-v1</x:v>
      </x:c>
    </x:row>
    <x:row r="1143">
      <x:c r="A1143" s="38" t="str">
        <x:v>7月30日现场数据</x:v>
      </x:c>
      <x:c r="B1143" s="39" t="str">
        <x:v>2026-08-01T13:15:00</x:v>
      </x:c>
      <x:c r="C1143" s="39" t="str">
        <x:v>2026-08-01T14:15:00</x:v>
      </x:c>
      <x:c r="D1143" s="47" t="n">
        <x:v>60</x:v>
      </x:c>
      <x:c r="E1143" s="40" t="n">
        <x:v>22.7</x:v>
      </x:c>
      <x:c r="F1143" s="40" t="n">
        <x:v>12.124248504638672</x:v>
      </x:c>
      <x:c r="G1143" s="40" t="n">
        <x:v>11.9</x:v>
      </x:c>
      <x:c r="H1143" s="40" t="n">
        <x:f>F1143-E1143</x:f>
        <x:v>-10.575751495361327</x:v>
      </x:c>
      <x:c r="I1143" s="40" t="n">
        <x:f>ABS(H1143)</x:f>
        <x:v>10.575751495361327</x:v>
      </x:c>
      <x:c r="J1143" s="40" t="n">
        <x:f>H1143^2</x:f>
        <x:v>111.84651969163735</x:v>
      </x:c>
      <x:c r="K1143" s="40" t="n">
        <x:f>G1143-E1143</x:f>
        <x:v>-10.799999999999999</x:v>
      </x:c>
      <x:c r="L1143" s="40" t="n">
        <x:f>ABS(K1143)</x:f>
        <x:v>10.799999999999999</x:v>
      </x:c>
      <x:c r="M1143" s="41" t="str">
        <x:v>lstm-soil-v1</x:v>
      </x:c>
    </x:row>
    <x:row r="1144">
      <x:c r="A1144" s="38" t="str">
        <x:v>7月30日现场数据</x:v>
      </x:c>
      <x:c r="B1144" s="39" t="str">
        <x:v>2026-08-01T13:20:00</x:v>
      </x:c>
      <x:c r="C1144" s="39" t="str">
        <x:v>2026-08-01T13:25:00</x:v>
      </x:c>
      <x:c r="D1144" s="47" t="n">
        <x:v>5</x:v>
      </x:c>
      <x:c r="E1144" s="40" t="n">
        <x:v>11.9</x:v>
      </x:c>
      <x:c r="F1144" s="40" t="n">
        <x:v>9.851482391357422</x:v>
      </x:c>
      <x:c r="G1144" s="40" t="n">
        <x:v>11.9</x:v>
      </x:c>
      <x:c r="H1144" s="40" t="n">
        <x:f>F1144-E1144</x:f>
        <x:v>-2.0485176086425785</x:v>
      </x:c>
      <x:c r="I1144" s="40" t="n">
        <x:f>ABS(H1144)</x:f>
        <x:v>2.0485176086425785</x:v>
      </x:c>
      <x:c r="J1144" s="40" t="n">
        <x:f>H1144^2</x:f>
        <x:v>4.196424392918709</x:v>
      </x:c>
      <x:c r="K1144" s="40" t="n">
        <x:f>G1144-E1144</x:f>
        <x:v>0</x:v>
      </x:c>
      <x:c r="L1144" s="40" t="n">
        <x:f>ABS(K1144)</x:f>
        <x:v>0</x:v>
      </x:c>
      <x:c r="M1144" s="41" t="str">
        <x:v>lstm-soil-v1</x:v>
      </x:c>
    </x:row>
    <x:row r="1145">
      <x:c r="A1145" s="38" t="str">
        <x:v>7月30日现场数据</x:v>
      </x:c>
      <x:c r="B1145" s="39" t="str">
        <x:v>2026-08-01T13:20:00</x:v>
      </x:c>
      <x:c r="C1145" s="39" t="str">
        <x:v>2026-08-01T13:35:00</x:v>
      </x:c>
      <x:c r="D1145" s="47" t="n">
        <x:v>15</x:v>
      </x:c>
      <x:c r="E1145" s="40" t="n">
        <x:v>11.9</x:v>
      </x:c>
      <x:c r="F1145" s="40" t="n">
        <x:v>9.916191101074219</x:v>
      </x:c>
      <x:c r="G1145" s="40" t="n">
        <x:v>11.9</x:v>
      </x:c>
      <x:c r="H1145" s="40" t="n">
        <x:f>F1145-E1145</x:f>
        <x:v>-1.9838088989257816</x:v>
      </x:c>
      <x:c r="I1145" s="40" t="n">
        <x:f>ABS(H1145)</x:f>
        <x:v>1.9838088989257816</x:v>
      </x:c>
      <x:c r="J1145" s="40" t="n">
        <x:f>H1145^2</x:f>
        <x:v>3.9354977474571218</x:v>
      </x:c>
      <x:c r="K1145" s="40" t="n">
        <x:f>G1145-E1145</x:f>
        <x:v>0</x:v>
      </x:c>
      <x:c r="L1145" s="40" t="n">
        <x:f>ABS(K1145)</x:f>
        <x:v>0</x:v>
      </x:c>
      <x:c r="M1145" s="41" t="str">
        <x:v>lstm-soil-v1</x:v>
      </x:c>
    </x:row>
    <x:row r="1146">
      <x:c r="A1146" s="38" t="str">
        <x:v>7月30日现场数据</x:v>
      </x:c>
      <x:c r="B1146" s="39" t="str">
        <x:v>2026-08-01T13:20:00</x:v>
      </x:c>
      <x:c r="C1146" s="39" t="str">
        <x:v>2026-08-01T13:50:00</x:v>
      </x:c>
      <x:c r="D1146" s="47" t="n">
        <x:v>30</x:v>
      </x:c>
      <x:c r="E1146" s="40" t="n">
        <x:v>11.8</x:v>
      </x:c>
      <x:c r="F1146" s="40" t="n">
        <x:v>10.405109405517578</x:v>
      </x:c>
      <x:c r="G1146" s="40" t="n">
        <x:v>11.9</x:v>
      </x:c>
      <x:c r="H1146" s="40" t="n">
        <x:f>F1146-E1146</x:f>
        <x:v>-1.3948905944824226</x:v>
      </x:c>
      <x:c r="I1146" s="40" t="n">
        <x:f>ABS(H1146)</x:f>
        <x:v>1.3948905944824226</x:v>
      </x:c>
      <x:c r="J1146" s="40" t="n">
        <x:f>H1146^2</x:f>
        <x:v>1.9457197705755263</x:v>
      </x:c>
      <x:c r="K1146" s="40" t="n">
        <x:f>G1146-E1146</x:f>
        <x:v>0.09999999999999964</x:v>
      </x:c>
      <x:c r="L1146" s="40" t="n">
        <x:f>ABS(K1146)</x:f>
        <x:v>0.09999999999999964</x:v>
      </x:c>
      <x:c r="M1146" s="41" t="str">
        <x:v>lstm-soil-v1</x:v>
      </x:c>
    </x:row>
    <x:row r="1147">
      <x:c r="A1147" s="38" t="str">
        <x:v>7月30日现场数据</x:v>
      </x:c>
      <x:c r="B1147" s="39" t="str">
        <x:v>2026-08-01T13:20:00</x:v>
      </x:c>
      <x:c r="C1147" s="39" t="str">
        <x:v>2026-08-01T14:20:00</x:v>
      </x:c>
      <x:c r="D1147" s="47" t="n">
        <x:v>60</x:v>
      </x:c>
      <x:c r="E1147" s="40" t="n">
        <x:v>21.6</x:v>
      </x:c>
      <x:c r="F1147" s="40" t="n">
        <x:v>12.13547134399414</x:v>
      </x:c>
      <x:c r="G1147" s="40" t="n">
        <x:v>11.9</x:v>
      </x:c>
      <x:c r="H1147" s="40" t="n">
        <x:f>F1147-E1147</x:f>
        <x:v>-9.46452865600586</x:v>
      </x:c>
      <x:c r="I1147" s="40" t="n">
        <x:f>ABS(H1147)</x:f>
        <x:v>9.46452865600586</x:v>
      </x:c>
      <x:c r="J1147" s="40" t="n">
        <x:f>H1147^2</x:f>
        <x:v>89.57730268035611</x:v>
      </x:c>
      <x:c r="K1147" s="40" t="n">
        <x:f>G1147-E1147</x:f>
        <x:v>-9.700000000000001</x:v>
      </x:c>
      <x:c r="L1147" s="40" t="n">
        <x:f>ABS(K1147)</x:f>
        <x:v>9.700000000000001</x:v>
      </x:c>
      <x:c r="M1147" s="41" t="str">
        <x:v>lstm-soil-v1</x:v>
      </x:c>
    </x:row>
    <x:row r="1148">
      <x:c r="A1148" s="38" t="str">
        <x:v>7月30日现场数据</x:v>
      </x:c>
      <x:c r="B1148" s="39" t="str">
        <x:v>2026-08-01T13:25:00</x:v>
      </x:c>
      <x:c r="C1148" s="39" t="str">
        <x:v>2026-08-01T13:30:00</x:v>
      </x:c>
      <x:c r="D1148" s="47" t="n">
        <x:v>5</x:v>
      </x:c>
      <x:c r="E1148" s="40" t="n">
        <x:v>11.9</x:v>
      </x:c>
      <x:c r="F1148" s="40" t="n">
        <x:v>9.852264404296875</x:v>
      </x:c>
      <x:c r="G1148" s="40" t="n">
        <x:v>11.9</x:v>
      </x:c>
      <x:c r="H1148" s="40" t="n">
        <x:f>F1148-E1148</x:f>
        <x:v>-2.0477355957031254</x:v>
      </x:c>
      <x:c r="I1148" s="40" t="n">
        <x:f>ABS(H1148)</x:f>
        <x:v>2.0477355957031254</x:v>
      </x:c>
      <x:c r="J1148" s="40" t="n">
        <x:f>H1148^2</x:f>
        <x:v>4.193221069909634</x:v>
      </x:c>
      <x:c r="K1148" s="40" t="n">
        <x:f>G1148-E1148</x:f>
        <x:v>0</x:v>
      </x:c>
      <x:c r="L1148" s="40" t="n">
        <x:f>ABS(K1148)</x:f>
        <x:v>0</x:v>
      </x:c>
      <x:c r="M1148" s="41" t="str">
        <x:v>lstm-soil-v1</x:v>
      </x:c>
    </x:row>
    <x:row r="1149">
      <x:c r="A1149" s="38" t="str">
        <x:v>7月30日现场数据</x:v>
      </x:c>
      <x:c r="B1149" s="39" t="str">
        <x:v>2026-08-01T13:25:00</x:v>
      </x:c>
      <x:c r="C1149" s="39" t="str">
        <x:v>2026-08-01T13:40:00</x:v>
      </x:c>
      <x:c r="D1149" s="47" t="n">
        <x:v>15</x:v>
      </x:c>
      <x:c r="E1149" s="40" t="n">
        <x:v>11.8</x:v>
      </x:c>
      <x:c r="F1149" s="40" t="n">
        <x:v>9.920394897460938</x:v>
      </x:c>
      <x:c r="G1149" s="40" t="n">
        <x:v>11.9</x:v>
      </x:c>
      <x:c r="H1149" s="40" t="n">
        <x:f>F1149-E1149</x:f>
        <x:v>-1.8796051025390632</x:v>
      </x:c>
      <x:c r="I1149" s="40" t="n">
        <x:f>ABS(H1149)</x:f>
        <x:v>1.8796051025390632</x:v>
      </x:c>
      <x:c r="J1149" s="40" t="n">
        <x:f>H1149^2</x:f>
        <x:v>3.5329153414908823</x:v>
      </x:c>
      <x:c r="K1149" s="40" t="n">
        <x:f>G1149-E1149</x:f>
        <x:v>0.09999999999999964</x:v>
      </x:c>
      <x:c r="L1149" s="40" t="n">
        <x:f>ABS(K1149)</x:f>
        <x:v>0.09999999999999964</x:v>
      </x:c>
      <x:c r="M1149" s="41" t="str">
        <x:v>lstm-soil-v1</x:v>
      </x:c>
    </x:row>
    <x:row r="1150">
      <x:c r="A1150" s="38" t="str">
        <x:v>7月30日现场数据</x:v>
      </x:c>
      <x:c r="B1150" s="39" t="str">
        <x:v>2026-08-01T13:25:00</x:v>
      </x:c>
      <x:c r="C1150" s="39" t="str">
        <x:v>2026-08-01T13:55:00</x:v>
      </x:c>
      <x:c r="D1150" s="47" t="n">
        <x:v>30</x:v>
      </x:c>
      <x:c r="E1150" s="40" t="n">
        <x:v>11.2</x:v>
      </x:c>
      <x:c r="F1150" s="40" t="n">
        <x:v>10.408153533935547</x:v>
      </x:c>
      <x:c r="G1150" s="40" t="n">
        <x:v>11.9</x:v>
      </x:c>
      <x:c r="H1150" s="40" t="n">
        <x:f>F1150-E1150</x:f>
        <x:v>-0.7918464660644524</x:v>
      </x:c>
      <x:c r="I1150" s="40" t="n">
        <x:f>ABS(H1150)</x:f>
        <x:v>0.7918464660644524</x:v>
      </x:c>
      <x:c r="J1150" s="40" t="n">
        <x:f>H1150^2</x:f>
        <x:v>0.627020825818762</x:v>
      </x:c>
      <x:c r="K1150" s="40" t="n">
        <x:f>G1150-E1150</x:f>
        <x:v>0.7000000000000011</x:v>
      </x:c>
      <x:c r="L1150" s="40" t="n">
        <x:f>ABS(K1150)</x:f>
        <x:v>0.7000000000000011</x:v>
      </x:c>
      <x:c r="M1150" s="41" t="str">
        <x:v>lstm-soil-v1</x:v>
      </x:c>
    </x:row>
    <x:row r="1151">
      <x:c r="A1151" s="38" t="str">
        <x:v>7月30日现场数据</x:v>
      </x:c>
      <x:c r="B1151" s="39" t="str">
        <x:v>2026-08-01T13:25:00</x:v>
      </x:c>
      <x:c r="C1151" s="39" t="str">
        <x:v>2026-08-01T14:25:00</x:v>
      </x:c>
      <x:c r="D1151" s="47" t="n">
        <x:v>60</x:v>
      </x:c>
      <x:c r="E1151" s="40" t="n">
        <x:v>22.1</x:v>
      </x:c>
      <x:c r="F1151" s="40" t="n">
        <x:v>12.136863708496094</x:v>
      </x:c>
      <x:c r="G1151" s="40" t="n">
        <x:v>11.9</x:v>
      </x:c>
      <x:c r="H1151" s="40" t="n">
        <x:f>F1151-E1151</x:f>
        <x:v>-9.963136291503908</x:v>
      </x:c>
      <x:c r="I1151" s="40" t="n">
        <x:f>ABS(H1151)</x:f>
        <x:v>9.963136291503908</x:v>
      </x:c>
      <x:c r="J1151" s="40" t="n">
        <x:f>H1151^2</x:f>
        <x:v>99.26408476308224</x:v>
      </x:c>
      <x:c r="K1151" s="40" t="n">
        <x:f>G1151-E1151</x:f>
        <x:v>-10.200000000000001</x:v>
      </x:c>
      <x:c r="L1151" s="40" t="n">
        <x:f>ABS(K1151)</x:f>
        <x:v>10.200000000000001</x:v>
      </x:c>
      <x:c r="M1151" s="41" t="str">
        <x:v>lstm-soil-v1</x:v>
      </x:c>
    </x:row>
    <x:row r="1152">
      <x:c r="A1152" s="38" t="str">
        <x:v>7月30日现场数据</x:v>
      </x:c>
      <x:c r="B1152" s="39" t="str">
        <x:v>2026-08-01T13:30:00</x:v>
      </x:c>
      <x:c r="C1152" s="39" t="str">
        <x:v>2026-08-01T13:35:00</x:v>
      </x:c>
      <x:c r="D1152" s="47" t="n">
        <x:v>5</x:v>
      </x:c>
      <x:c r="E1152" s="40" t="n">
        <x:v>11.9</x:v>
      </x:c>
      <x:c r="F1152" s="40" t="n">
        <x:v>9.85116195678711</x:v>
      </x:c>
      <x:c r="G1152" s="40" t="n">
        <x:v>11.9</x:v>
      </x:c>
      <x:c r="H1152" s="40" t="n">
        <x:f>F1152-E1152</x:f>
        <x:v>-2.048838043212891</x:v>
      </x:c>
      <x:c r="I1152" s="40" t="n">
        <x:f>ABS(H1152)</x:f>
        <x:v>2.048838043212891</x:v>
      </x:c>
      <x:c r="J1152" s="40" t="n">
        <x:f>H1152^2</x:f>
        <x:v>4.197737327316428</x:v>
      </x:c>
      <x:c r="K1152" s="40" t="n">
        <x:f>G1152-E1152</x:f>
        <x:v>0</x:v>
      </x:c>
      <x:c r="L1152" s="40" t="n">
        <x:f>ABS(K1152)</x:f>
        <x:v>0</x:v>
      </x:c>
      <x:c r="M1152" s="41" t="str">
        <x:v>lstm-soil-v1</x:v>
      </x:c>
    </x:row>
    <x:row r="1153">
      <x:c r="A1153" s="38" t="str">
        <x:v>7月30日现场数据</x:v>
      </x:c>
      <x:c r="B1153" s="39" t="str">
        <x:v>2026-08-01T13:30:00</x:v>
      </x:c>
      <x:c r="C1153" s="39" t="str">
        <x:v>2026-08-01T13:45:00</x:v>
      </x:c>
      <x:c r="D1153" s="47" t="n">
        <x:v>15</x:v>
      </x:c>
      <x:c r="E1153" s="40" t="n">
        <x:v>11.8</x:v>
      </x:c>
      <x:c r="F1153" s="40" t="n">
        <x:v>9.923919677734375</x:v>
      </x:c>
      <x:c r="G1153" s="40" t="n">
        <x:v>11.9</x:v>
      </x:c>
      <x:c r="H1153" s="40" t="n">
        <x:f>F1153-E1153</x:f>
        <x:v>-1.8760803222656257</x:v>
      </x:c>
      <x:c r="I1153" s="40" t="n">
        <x:f>ABS(H1153)</x:f>
        <x:v>1.8760803222656257</x:v>
      </x:c>
      <x:c r="J1153" s="40" t="n">
        <x:f>H1153^2</x:f>
        <x:v>3.519677375592294</x:v>
      </x:c>
      <x:c r="K1153" s="40" t="n">
        <x:f>G1153-E1153</x:f>
        <x:v>0.09999999999999964</x:v>
      </x:c>
      <x:c r="L1153" s="40" t="n">
        <x:f>ABS(K1153)</x:f>
        <x:v>0.09999999999999964</x:v>
      </x:c>
      <x:c r="M1153" s="41" t="str">
        <x:v>lstm-soil-v1</x:v>
      </x:c>
    </x:row>
    <x:row r="1154">
      <x:c r="A1154" s="38" t="str">
        <x:v>7月30日现场数据</x:v>
      </x:c>
      <x:c r="B1154" s="39" t="str">
        <x:v>2026-08-01T13:30:00</x:v>
      </x:c>
      <x:c r="C1154" s="39" t="str">
        <x:v>2026-08-01T14:00:00</x:v>
      </x:c>
      <x:c r="D1154" s="47" t="n">
        <x:v>30</x:v>
      </x:c>
      <x:c r="E1154" s="40" t="n">
        <x:v>13</x:v>
      </x:c>
      <x:c r="F1154" s="40" t="n">
        <x:v>10.40374755859375</x:v>
      </x:c>
      <x:c r="G1154" s="40" t="n">
        <x:v>11.9</x:v>
      </x:c>
      <x:c r="H1154" s="40" t="n">
        <x:f>F1154-E1154</x:f>
        <x:v>-2.59625244140625</x:v>
      </x:c>
      <x:c r="I1154" s="40" t="n">
        <x:f>ABS(H1154)</x:f>
        <x:v>2.59625244140625</x:v>
      </x:c>
      <x:c r="J1154" s="40" t="n">
        <x:f>H1154^2</x:f>
        <x:v>6.740526739507914</x:v>
      </x:c>
      <x:c r="K1154" s="40" t="n">
        <x:f>G1154-E1154</x:f>
        <x:v>-1.0999999999999996</x:v>
      </x:c>
      <x:c r="L1154" s="40" t="n">
        <x:f>ABS(K1154)</x:f>
        <x:v>1.0999999999999996</x:v>
      </x:c>
      <x:c r="M1154" s="41" t="str">
        <x:v>lstm-soil-v1</x:v>
      </x:c>
    </x:row>
    <x:row r="1155">
      <x:c r="A1155" s="38" t="str">
        <x:v>7月30日现场数据</x:v>
      </x:c>
      <x:c r="B1155" s="39" t="str">
        <x:v>2026-08-01T13:30:00</x:v>
      </x:c>
      <x:c r="C1155" s="39" t="str">
        <x:v>2026-08-01T14:30:00</x:v>
      </x:c>
      <x:c r="D1155" s="47" t="n">
        <x:v>60</x:v>
      </x:c>
      <x:c r="E1155" s="40" t="n">
        <x:v>22.9</x:v>
      </x:c>
      <x:c r="F1155" s="40" t="n">
        <x:v>12.122817993164062</x:v>
      </x:c>
      <x:c r="G1155" s="40" t="n">
        <x:v>11.9</x:v>
      </x:c>
      <x:c r="H1155" s="40" t="n">
        <x:f>F1155-E1155</x:f>
        <x:v>-10.777182006835936</x:v>
      </x:c>
      <x:c r="I1155" s="40" t="n">
        <x:f>ABS(H1155)</x:f>
        <x:v>10.777182006835936</x:v>
      </x:c>
      <x:c r="J1155" s="40" t="n">
        <x:f>H1155^2</x:f>
        <x:v>116.14765200846826</x:v>
      </x:c>
      <x:c r="K1155" s="40" t="n">
        <x:f>G1155-E1155</x:f>
        <x:v>-10.999999999999998</x:v>
      </x:c>
      <x:c r="L1155" s="40" t="n">
        <x:f>ABS(K1155)</x:f>
        <x:v>10.999999999999998</x:v>
      </x:c>
      <x:c r="M1155" s="41" t="str">
        <x:v>lstm-soil-v1</x:v>
      </x:c>
    </x:row>
    <x:row r="1156">
      <x:c r="A1156" s="38" t="str">
        <x:v>7月30日现场数据</x:v>
      </x:c>
      <x:c r="B1156" s="39" t="str">
        <x:v>2026-08-01T13:35:00</x:v>
      </x:c>
      <x:c r="C1156" s="39" t="str">
        <x:v>2026-08-01T13:40:00</x:v>
      </x:c>
      <x:c r="D1156" s="47" t="n">
        <x:v>5</x:v>
      </x:c>
      <x:c r="E1156" s="40" t="n">
        <x:v>11.8</x:v>
      </x:c>
      <x:c r="F1156" s="40" t="n">
        <x:v>9.850597381591797</x:v>
      </x:c>
      <x:c r="G1156" s="40" t="n">
        <x:v>11.9</x:v>
      </x:c>
      <x:c r="H1156" s="40" t="n">
        <x:f>F1156-E1156</x:f>
        <x:v>-1.9494026184082038</x:v>
      </x:c>
      <x:c r="I1156" s="40" t="n">
        <x:f>ABS(H1156)</x:f>
        <x:v>1.9494026184082038</x:v>
      </x:c>
      <x:c r="J1156" s="40" t="n">
        <x:f>H1156^2</x:f>
        <x:v>3.8001705686567613</x:v>
      </x:c>
      <x:c r="K1156" s="40" t="n">
        <x:f>G1156-E1156</x:f>
        <x:v>0.09999999999999964</x:v>
      </x:c>
      <x:c r="L1156" s="40" t="n">
        <x:f>ABS(K1156)</x:f>
        <x:v>0.09999999999999964</x:v>
      </x:c>
      <x:c r="M1156" s="41" t="str">
        <x:v>lstm-soil-v1</x:v>
      </x:c>
    </x:row>
    <x:row r="1157">
      <x:c r="A1157" s="38" t="str">
        <x:v>7月30日现场数据</x:v>
      </x:c>
      <x:c r="B1157" s="39" t="str">
        <x:v>2026-08-01T13:35:00</x:v>
      </x:c>
      <x:c r="C1157" s="39" t="str">
        <x:v>2026-08-01T13:50:00</x:v>
      </x:c>
      <x:c r="D1157" s="47" t="n">
        <x:v>15</x:v>
      </x:c>
      <x:c r="E1157" s="40" t="n">
        <x:v>11.8</x:v>
      </x:c>
      <x:c r="F1157" s="40" t="n">
        <x:v>9.926956176757812</x:v>
      </x:c>
      <x:c r="G1157" s="40" t="n">
        <x:v>11.9</x:v>
      </x:c>
      <x:c r="H1157" s="40" t="n">
        <x:f>F1157-E1157</x:f>
        <x:v>-1.8730438232421882</x:v>
      </x:c>
      <x:c r="I1157" s="40" t="n">
        <x:f>ABS(H1157)</x:f>
        <x:v>1.8730438232421882</x:v>
      </x:c>
      <x:c r="J1157" s="40" t="n">
        <x:f>H1157^2</x:f>
        <x:v>3.5082931637857135</x:v>
      </x:c>
      <x:c r="K1157" s="40" t="n">
        <x:f>G1157-E1157</x:f>
        <x:v>0.09999999999999964</x:v>
      </x:c>
      <x:c r="L1157" s="40" t="n">
        <x:f>ABS(K1157)</x:f>
        <x:v>0.09999999999999964</x:v>
      </x:c>
      <x:c r="M1157" s="41" t="str">
        <x:v>lstm-soil-v1</x:v>
      </x:c>
    </x:row>
    <x:row r="1158">
      <x:c r="A1158" s="38" t="str">
        <x:v>7月30日现场数据</x:v>
      </x:c>
      <x:c r="B1158" s="39" t="str">
        <x:v>2026-08-01T13:35:00</x:v>
      </x:c>
      <x:c r="C1158" s="39" t="str">
        <x:v>2026-08-01T14:05:00</x:v>
      </x:c>
      <x:c r="D1158" s="47" t="n">
        <x:v>30</x:v>
      </x:c>
      <x:c r="E1158" s="40" t="n">
        <x:v>19.3</x:v>
      </x:c>
      <x:c r="F1158" s="40" t="n">
        <x:v>10.397651672363281</x:v>
      </x:c>
      <x:c r="G1158" s="40" t="n">
        <x:v>11.9</x:v>
      </x:c>
      <x:c r="H1158" s="40" t="n">
        <x:f>F1158-E1158</x:f>
        <x:v>-8.90234832763672</x:v>
      </x:c>
      <x:c r="I1158" s="40" t="n">
        <x:f>ABS(H1158)</x:f>
        <x:v>8.90234832763672</x:v>
      </x:c>
      <x:c r="J1158" s="40" t="n">
        <x:f>H1158^2</x:f>
        <x:v>79.2518057465763</x:v>
      </x:c>
      <x:c r="K1158" s="40" t="n">
        <x:f>G1158-E1158</x:f>
        <x:v>-7.4</x:v>
      </x:c>
      <x:c r="L1158" s="40" t="n">
        <x:f>ABS(K1158)</x:f>
        <x:v>7.4</x:v>
      </x:c>
      <x:c r="M1158" s="41" t="str">
        <x:v>lstm-soil-v1</x:v>
      </x:c>
    </x:row>
    <x:row r="1159">
      <x:c r="A1159" s="38" t="str">
        <x:v>7月30日现场数据</x:v>
      </x:c>
      <x:c r="B1159" s="39" t="str">
        <x:v>2026-08-01T13:35:00</x:v>
      </x:c>
      <x:c r="C1159" s="39" t="str">
        <x:v>2026-08-01T14:35:00</x:v>
      </x:c>
      <x:c r="D1159" s="47" t="n">
        <x:v>60</x:v>
      </x:c>
      <x:c r="E1159" s="40" t="n">
        <x:v>21.9</x:v>
      </x:c>
      <x:c r="F1159" s="40" t="n">
        <x:v>12.10976791381836</x:v>
      </x:c>
      <x:c r="G1159" s="40" t="n">
        <x:v>11.9</x:v>
      </x:c>
      <x:c r="H1159" s="40" t="n">
        <x:f>F1159-E1159</x:f>
        <x:v>-9.79023208618164</x:v>
      </x:c>
      <x:c r="I1159" s="40" t="n">
        <x:f>ABS(H1159)</x:f>
        <x:v>9.79023208618164</x:v>
      </x:c>
      <x:c r="J1159" s="40" t="n">
        <x:f>H1159^2</x:f>
        <x:v>95.8486443013005</x:v>
      </x:c>
      <x:c r="K1159" s="40" t="n">
        <x:f>G1159-E1159</x:f>
        <x:v>-9.999999999999998</x:v>
      </x:c>
      <x:c r="L1159" s="40" t="n">
        <x:f>ABS(K1159)</x:f>
        <x:v>9.999999999999998</x:v>
      </x:c>
      <x:c r="M1159" s="41" t="str">
        <x:v>lstm-soil-v1</x:v>
      </x:c>
    </x:row>
    <x:row r="1160">
      <x:c r="A1160" s="38" t="str">
        <x:v>7月30日现场数据</x:v>
      </x:c>
      <x:c r="B1160" s="39" t="str">
        <x:v>2026-08-01T13:40:00</x:v>
      </x:c>
      <x:c r="C1160" s="39" t="str">
        <x:v>2026-08-01T13:45:00</x:v>
      </x:c>
      <x:c r="D1160" s="47" t="n">
        <x:v>5</x:v>
      </x:c>
      <x:c r="E1160" s="40" t="n">
        <x:v>11.8</x:v>
      </x:c>
      <x:c r="F1160" s="40" t="n">
        <x:v>9.740291595458984</x:v>
      </x:c>
      <x:c r="G1160" s="40" t="n">
        <x:v>11.8</x:v>
      </x:c>
      <x:c r="H1160" s="40" t="n">
        <x:f>F1160-E1160</x:f>
        <x:v>-2.0597084045410163</x:v>
      </x:c>
      <x:c r="I1160" s="40" t="n">
        <x:f>ABS(H1160)</x:f>
        <x:v>2.0597084045410163</x:v>
      </x:c>
      <x:c r="J1160" s="40" t="n">
        <x:f>H1160^2</x:f>
        <x:v>4.242398711736899</x:v>
      </x:c>
      <x:c r="K1160" s="40" t="n">
        <x:f>G1160-E1160</x:f>
        <x:v>0</x:v>
      </x:c>
      <x:c r="L1160" s="40" t="n">
        <x:f>ABS(K1160)</x:f>
        <x:v>0</x:v>
      </x:c>
      <x:c r="M1160" s="41" t="str">
        <x:v>lstm-soil-v1</x:v>
      </x:c>
    </x:row>
    <x:row r="1161">
      <x:c r="A1161" s="38" t="str">
        <x:v>7月30日现场数据</x:v>
      </x:c>
      <x:c r="B1161" s="39" t="str">
        <x:v>2026-08-01T13:40:00</x:v>
      </x:c>
      <x:c r="C1161" s="39" t="str">
        <x:v>2026-08-01T13:55:00</x:v>
      </x:c>
      <x:c r="D1161" s="47" t="n">
        <x:v>15</x:v>
      </x:c>
      <x:c r="E1161" s="40" t="n">
        <x:v>11.2</x:v>
      </x:c>
      <x:c r="F1161" s="40" t="n">
        <x:v>9.818817138671875</x:v>
      </x:c>
      <x:c r="G1161" s="40" t="n">
        <x:v>11.8</x:v>
      </x:c>
      <x:c r="H1161" s="40" t="n">
        <x:f>F1161-E1161</x:f>
        <x:v>-1.3811828613281243</x:v>
      </x:c>
      <x:c r="I1161" s="40" t="n">
        <x:f>ABS(H1161)</x:f>
        <x:v>1.3811828613281243</x:v>
      </x:c>
      <x:c r="J1161" s="40" t="n">
        <x:f>H1161^2</x:f>
        <x:v>1.9076660964265446</x:v>
      </x:c>
      <x:c r="K1161" s="40" t="n">
        <x:f>G1161-E1161</x:f>
        <x:v>0.6000000000000014</x:v>
      </x:c>
      <x:c r="L1161" s="40" t="n">
        <x:f>ABS(K1161)</x:f>
        <x:v>0.6000000000000014</x:v>
      </x:c>
      <x:c r="M1161" s="41" t="str">
        <x:v>lstm-soil-v1</x:v>
      </x:c>
    </x:row>
    <x:row r="1162">
      <x:c r="A1162" s="38" t="str">
        <x:v>7月30日现场数据</x:v>
      </x:c>
      <x:c r="B1162" s="39" t="str">
        <x:v>2026-08-01T13:40:00</x:v>
      </x:c>
      <x:c r="C1162" s="39" t="str">
        <x:v>2026-08-01T14:10:00</x:v>
      </x:c>
      <x:c r="D1162" s="47" t="n">
        <x:v>30</x:v>
      </x:c>
      <x:c r="E1162" s="40" t="n">
        <x:v>24.4</x:v>
      </x:c>
      <x:c r="F1162" s="40" t="n">
        <x:v>10.281021118164062</x:v>
      </x:c>
      <x:c r="G1162" s="40" t="n">
        <x:v>11.8</x:v>
      </x:c>
      <x:c r="H1162" s="40" t="n">
        <x:f>F1162-E1162</x:f>
        <x:v>-14.118978881835936</x:v>
      </x:c>
      <x:c r="I1162" s="40" t="n">
        <x:f>ABS(H1162)</x:f>
        <x:v>14.118978881835936</x:v>
      </x:c>
      <x:c r="J1162" s="40" t="n">
        <x:f>H1162^2</x:f>
        <x:v>199.34556466572914</x:v>
      </x:c>
      <x:c r="K1162" s="40" t="n">
        <x:f>G1162-E1162</x:f>
        <x:v>-12.599999999999998</x:v>
      </x:c>
      <x:c r="L1162" s="40" t="n">
        <x:f>ABS(K1162)</x:f>
        <x:v>12.599999999999998</x:v>
      </x:c>
      <x:c r="M1162" s="41" t="str">
        <x:v>lstm-soil-v1</x:v>
      </x:c>
    </x:row>
    <x:row r="1163">
      <x:c r="A1163" s="38" t="str">
        <x:v>7月30日现场数据</x:v>
      </x:c>
      <x:c r="B1163" s="39" t="str">
        <x:v>2026-08-01T13:40:00</x:v>
      </x:c>
      <x:c r="C1163" s="39" t="str">
        <x:v>2026-08-01T14:40:00</x:v>
      </x:c>
      <x:c r="D1163" s="47" t="n">
        <x:v>60</x:v>
      </x:c>
      <x:c r="E1163" s="40" t="n">
        <x:v>21.2</x:v>
      </x:c>
      <x:c r="F1163" s="40" t="n">
        <x:v>11.98702621459961</x:v>
      </x:c>
      <x:c r="G1163" s="40" t="n">
        <x:v>11.8</x:v>
      </x:c>
      <x:c r="H1163" s="40" t="n">
        <x:f>F1163-E1163</x:f>
        <x:v>-9.21297378540039</x:v>
      </x:c>
      <x:c r="I1163" s="40" t="n">
        <x:f>ABS(H1163)</x:f>
        <x:v>9.21297378540039</x:v>
      </x:c>
      <x:c r="J1163" s="40" t="n">
        <x:f>H1163^2</x:f>
        <x:v>84.87888597047478</x:v>
      </x:c>
      <x:c r="K1163" s="40" t="n">
        <x:f>G1163-E1163</x:f>
        <x:v>-9.399999999999999</x:v>
      </x:c>
      <x:c r="L1163" s="40" t="n">
        <x:f>ABS(K1163)</x:f>
        <x:v>9.399999999999999</x:v>
      </x:c>
      <x:c r="M1163" s="41" t="str">
        <x:v>lstm-soil-v1</x:v>
      </x:c>
    </x:row>
    <x:row r="1164">
      <x:c r="A1164" s="38" t="str">
        <x:v>7月30日现场数据</x:v>
      </x:c>
      <x:c r="B1164" s="39" t="str">
        <x:v>2026-08-01T13:45:00</x:v>
      </x:c>
      <x:c r="C1164" s="39" t="str">
        <x:v>2026-08-01T13:50:00</x:v>
      </x:c>
      <x:c r="D1164" s="47" t="n">
        <x:v>5</x:v>
      </x:c>
      <x:c r="E1164" s="40" t="n">
        <x:v>11.8</x:v>
      </x:c>
      <x:c r="F1164" s="40" t="n">
        <x:v>9.740562438964844</x:v>
      </x:c>
      <x:c r="G1164" s="40" t="n">
        <x:v>11.8</x:v>
      </x:c>
      <x:c r="H1164" s="40" t="n">
        <x:f>F1164-E1164</x:f>
        <x:v>-2.059437561035157</x:v>
      </x:c>
      <x:c r="I1164" s="40" t="n">
        <x:f>ABS(H1164)</x:f>
        <x:v>2.059437561035157</x:v>
      </x:c>
      <x:c r="J1164" s="40" t="n">
        <x:f>H1164^2</x:f>
        <x:v>4.241283067802436</x:v>
      </x:c>
      <x:c r="K1164" s="40" t="n">
        <x:f>G1164-E1164</x:f>
        <x:v>0</x:v>
      </x:c>
      <x:c r="L1164" s="40" t="n">
        <x:f>ABS(K1164)</x:f>
        <x:v>0</x:v>
      </x:c>
      <x:c r="M1164" s="41" t="str">
        <x:v>lstm-soil-v1</x:v>
      </x:c>
    </x:row>
    <x:row r="1165">
      <x:c r="A1165" s="38" t="str">
        <x:v>7月30日现场数据</x:v>
      </x:c>
      <x:c r="B1165" s="39" t="str">
        <x:v>2026-08-01T13:45:00</x:v>
      </x:c>
      <x:c r="C1165" s="39" t="str">
        <x:v>2026-08-01T14:00:00</x:v>
      </x:c>
      <x:c r="D1165" s="47" t="n">
        <x:v>15</x:v>
      </x:c>
      <x:c r="E1165" s="40" t="n">
        <x:v>13</x:v>
      </x:c>
      <x:c r="F1165" s="40" t="n">
        <x:v>9.819965362548828</x:v>
      </x:c>
      <x:c r="G1165" s="40" t="n">
        <x:v>11.8</x:v>
      </x:c>
      <x:c r="H1165" s="40" t="n">
        <x:f>F1165-E1165</x:f>
        <x:v>-3.180034637451172</x:v>
      </x:c>
      <x:c r="I1165" s="40" t="n">
        <x:f>ABS(H1165)</x:f>
        <x:v>3.180034637451172</x:v>
      </x:c>
      <x:c r="J1165" s="40" t="n">
        <x:f>H1165^2</x:f>
        <x:v>10.112620295389206</x:v>
      </x:c>
      <x:c r="K1165" s="40" t="n">
        <x:f>G1165-E1165</x:f>
        <x:v>-1.1999999999999993</x:v>
      </x:c>
      <x:c r="L1165" s="40" t="n">
        <x:f>ABS(K1165)</x:f>
        <x:v>1.1999999999999993</x:v>
      </x:c>
      <x:c r="M1165" s="41" t="str">
        <x:v>lstm-soil-v1</x:v>
      </x:c>
    </x:row>
    <x:row r="1166">
      <x:c r="A1166" s="38" t="str">
        <x:v>7月30日现场数据</x:v>
      </x:c>
      <x:c r="B1166" s="39" t="str">
        <x:v>2026-08-01T13:45:00</x:v>
      </x:c>
      <x:c r="C1166" s="39" t="str">
        <x:v>2026-08-01T14:15:00</x:v>
      </x:c>
      <x:c r="D1166" s="47" t="n">
        <x:v>30</x:v>
      </x:c>
      <x:c r="E1166" s="40" t="n">
        <x:v>22.7</x:v>
      </x:c>
      <x:c r="F1166" s="40" t="n">
        <x:v>10.27530288696289</x:v>
      </x:c>
      <x:c r="G1166" s="40" t="n">
        <x:v>11.8</x:v>
      </x:c>
      <x:c r="H1166" s="40" t="n">
        <x:f>F1166-E1166</x:f>
        <x:v>-12.424697113037109</x:v>
      </x:c>
      <x:c r="I1166" s="40" t="n">
        <x:f>ABS(H1166)</x:f>
        <x:v>12.424697113037109</x:v>
      </x:c>
      <x:c r="J1166" s="40" t="n">
        <x:f>H1166^2</x:f>
        <x:v>154.37309835071267</x:v>
      </x:c>
      <x:c r="K1166" s="40" t="n">
        <x:f>G1166-E1166</x:f>
        <x:v>-10.899999999999999</x:v>
      </x:c>
      <x:c r="L1166" s="40" t="n">
        <x:f>ABS(K1166)</x:f>
        <x:v>10.899999999999999</x:v>
      </x:c>
      <x:c r="M1166" s="41" t="str">
        <x:v>lstm-soil-v1</x:v>
      </x:c>
    </x:row>
    <x:row r="1167">
      <x:c r="A1167" s="38" t="str">
        <x:v>7月30日现场数据</x:v>
      </x:c>
      <x:c r="B1167" s="39" t="str">
        <x:v>2026-08-01T13:45:00</x:v>
      </x:c>
      <x:c r="C1167" s="39" t="str">
        <x:v>2026-08-01T14:45:00</x:v>
      </x:c>
      <x:c r="D1167" s="47" t="n">
        <x:v>60</x:v>
      </x:c>
      <x:c r="E1167" s="40" t="n">
        <x:v>20.6</x:v>
      </x:c>
      <x:c r="F1167" s="40" t="n">
        <x:v>11.97603988647461</x:v>
      </x:c>
      <x:c r="G1167" s="40" t="n">
        <x:v>11.8</x:v>
      </x:c>
      <x:c r="H1167" s="40" t="n">
        <x:f>F1167-E1167</x:f>
        <x:v>-8.623960113525392</x:v>
      </x:c>
      <x:c r="I1167" s="40" t="n">
        <x:f>ABS(H1167)</x:f>
        <x:v>8.623960113525392</x:v>
      </x:c>
      <x:c r="J1167" s="40" t="n">
        <x:f>H1167^2</x:f>
        <x:v>74.37268803967689</x:v>
      </x:c>
      <x:c r="K1167" s="40" t="n">
        <x:f>G1167-E1167</x:f>
        <x:v>-8.8</x:v>
      </x:c>
      <x:c r="L1167" s="40" t="n">
        <x:f>ABS(K1167)</x:f>
        <x:v>8.8</x:v>
      </x:c>
      <x:c r="M1167" s="41" t="str">
        <x:v>lstm-soil-v1</x:v>
      </x:c>
    </x:row>
    <x:row r="1168">
      <x:c r="A1168" s="38" t="str">
        <x:v>7月30日现场数据</x:v>
      </x:c>
      <x:c r="B1168" s="39" t="str">
        <x:v>2026-08-01T13:50:00</x:v>
      </x:c>
      <x:c r="C1168" s="39" t="str">
        <x:v>2026-08-01T13:55:00</x:v>
      </x:c>
      <x:c r="D1168" s="47" t="n">
        <x:v>5</x:v>
      </x:c>
      <x:c r="E1168" s="40" t="n">
        <x:v>11.2</x:v>
      </x:c>
      <x:c r="F1168" s="40" t="n">
        <x:v>9.740581512451172</x:v>
      </x:c>
      <x:c r="G1168" s="40" t="n">
        <x:v>11.8</x:v>
      </x:c>
      <x:c r="H1168" s="40" t="n">
        <x:f>F1168-E1168</x:f>
        <x:v>-1.4594184875488274</x:v>
      </x:c>
      <x:c r="I1168" s="40" t="n">
        <x:f>ABS(H1168)</x:f>
        <x:v>1.4594184875488274</x:v>
      </x:c>
      <x:c r="J1168" s="40" t="n">
        <x:f>H1168^2</x:f>
        <x:v>2.1299023217993067</x:v>
      </x:c>
      <x:c r="K1168" s="40" t="n">
        <x:f>G1168-E1168</x:f>
        <x:v>0.6000000000000014</x:v>
      </x:c>
      <x:c r="L1168" s="40" t="n">
        <x:f>ABS(K1168)</x:f>
        <x:v>0.6000000000000014</x:v>
      </x:c>
      <x:c r="M1168" s="41" t="str">
        <x:v>lstm-soil-v1</x:v>
      </x:c>
    </x:row>
    <x:row r="1169">
      <x:c r="A1169" s="38" t="str">
        <x:v>7月30日现场数据</x:v>
      </x:c>
      <x:c r="B1169" s="39" t="str">
        <x:v>2026-08-01T13:50:00</x:v>
      </x:c>
      <x:c r="C1169" s="39" t="str">
        <x:v>2026-08-01T14:05:00</x:v>
      </x:c>
      <x:c r="D1169" s="47" t="n">
        <x:v>15</x:v>
      </x:c>
      <x:c r="E1169" s="40" t="n">
        <x:v>19.3</x:v>
      </x:c>
      <x:c r="F1169" s="40" t="n">
        <x:v>9.821060180664062</x:v>
      </x:c>
      <x:c r="G1169" s="40" t="n">
        <x:v>11.8</x:v>
      </x:c>
      <x:c r="H1169" s="40" t="n">
        <x:f>F1169-E1169</x:f>
        <x:v>-9.478939819335938</x:v>
      </x:c>
      <x:c r="I1169" s="40" t="n">
        <x:f>ABS(H1169)</x:f>
        <x:v>9.478939819335938</x:v>
      </x:c>
      <x:c r="J1169" s="40" t="n">
        <x:f>H1169^2</x:f>
        <x:v>89.85030009859243</x:v>
      </x:c>
      <x:c r="K1169" s="40" t="n">
        <x:f>G1169-E1169</x:f>
        <x:v>-7.5</x:v>
      </x:c>
      <x:c r="L1169" s="40" t="n">
        <x:f>ABS(K1169)</x:f>
        <x:v>7.5</x:v>
      </x:c>
      <x:c r="M1169" s="41" t="str">
        <x:v>lstm-soil-v1</x:v>
      </x:c>
    </x:row>
    <x:row r="1170">
      <x:c r="A1170" s="38" t="str">
        <x:v>7月30日现场数据</x:v>
      </x:c>
      <x:c r="B1170" s="39" t="str">
        <x:v>2026-08-01T13:50:00</x:v>
      </x:c>
      <x:c r="C1170" s="39" t="str">
        <x:v>2026-08-01T14:20:00</x:v>
      </x:c>
      <x:c r="D1170" s="47" t="n">
        <x:v>30</x:v>
      </x:c>
      <x:c r="E1170" s="40" t="n">
        <x:v>21.6</x:v>
      </x:c>
      <x:c r="F1170" s="40" t="n">
        <x:v>10.270587921142578</x:v>
      </x:c>
      <x:c r="G1170" s="40" t="n">
        <x:v>11.8</x:v>
      </x:c>
      <x:c r="H1170" s="40" t="n">
        <x:f>F1170-E1170</x:f>
        <x:v>-11.329412078857423</x:v>
      </x:c>
      <x:c r="I1170" s="40" t="n">
        <x:f>ABS(H1170)</x:f>
        <x:v>11.329412078857423</x:v>
      </x:c>
      <x:c r="J1170" s="40" t="n">
        <x:f>H1170^2</x:f>
        <x:v>128.35557805256047</x:v>
      </x:c>
      <x:c r="K1170" s="40" t="n">
        <x:f>G1170-E1170</x:f>
        <x:v>-9.8</x:v>
      </x:c>
      <x:c r="L1170" s="40" t="n">
        <x:f>ABS(K1170)</x:f>
        <x:v>9.8</x:v>
      </x:c>
      <x:c r="M1170" s="41" t="str">
        <x:v>lstm-soil-v1</x:v>
      </x:c>
    </x:row>
    <x:row r="1171">
      <x:c r="A1171" s="38" t="str">
        <x:v>7月30日现场数据</x:v>
      </x:c>
      <x:c r="B1171" s="39" t="str">
        <x:v>2026-08-01T13:50:00</x:v>
      </x:c>
      <x:c r="C1171" s="39" t="str">
        <x:v>2026-08-01T14:50:00</x:v>
      </x:c>
      <x:c r="D1171" s="47" t="n">
        <x:v>60</x:v>
      </x:c>
      <x:c r="E1171" s="40" t="n">
        <x:v>19.9</x:v>
      </x:c>
      <x:c r="F1171" s="40" t="n">
        <x:v>11.96737289428711</x:v>
      </x:c>
      <x:c r="G1171" s="40" t="n">
        <x:v>11.8</x:v>
      </x:c>
      <x:c r="H1171" s="40" t="n">
        <x:f>F1171-E1171</x:f>
        <x:v>-7.932627105712889</x:v>
      </x:c>
      <x:c r="I1171" s="40" t="n">
        <x:f>ABS(H1171)</x:f>
        <x:v>7.932627105712889</x:v>
      </x:c>
      <x:c r="J1171" s="40" t="n">
        <x:f>H1171^2</x:f>
        <x:v>62.92657279829085</x:v>
      </x:c>
      <x:c r="K1171" s="40" t="n">
        <x:f>G1171-E1171</x:f>
        <x:v>-8.099999999999998</x:v>
      </x:c>
      <x:c r="L1171" s="40" t="n">
        <x:f>ABS(K1171)</x:f>
        <x:v>8.099999999999998</x:v>
      </x:c>
      <x:c r="M1171" s="41" t="str">
        <x:v>lstm-soil-v1</x:v>
      </x:c>
    </x:row>
    <x:row r="1172">
      <x:c r="A1172" s="38" t="str">
        <x:v>7月30日现场数据</x:v>
      </x:c>
      <x:c r="B1172" s="39" t="str">
        <x:v>2026-08-01T13:55:00</x:v>
      </x:c>
      <x:c r="C1172" s="39" t="str">
        <x:v>2026-08-01T14:00:00</x:v>
      </x:c>
      <x:c r="D1172" s="47" t="n">
        <x:v>5</x:v>
      </x:c>
      <x:c r="E1172" s="40" t="n">
        <x:v>13</x:v>
      </x:c>
      <x:c r="F1172" s="40" t="n">
        <x:v>9.080612182617188</x:v>
      </x:c>
      <x:c r="G1172" s="40" t="n">
        <x:v>11.2</x:v>
      </x:c>
      <x:c r="H1172" s="40" t="n">
        <x:f>F1172-E1172</x:f>
        <x:v>-3.9193878173828125</x:v>
      </x:c>
      <x:c r="I1172" s="40" t="n">
        <x:f>ABS(H1172)</x:f>
        <x:v>3.9193878173828125</x:v>
      </x:c>
      <x:c r="J1172" s="40" t="n">
        <x:f>H1172^2</x:f>
        <x:v>15.361600863048807</x:v>
      </x:c>
      <x:c r="K1172" s="40" t="n">
        <x:f>G1172-E1172</x:f>
        <x:v>-1.8000000000000007</x:v>
      </x:c>
      <x:c r="L1172" s="40" t="n">
        <x:f>ABS(K1172)</x:f>
        <x:v>1.8000000000000007</x:v>
      </x:c>
      <x:c r="M1172" s="41" t="str">
        <x:v>lstm-soil-v1</x:v>
      </x:c>
    </x:row>
    <x:row r="1173">
      <x:c r="A1173" s="38" t="str">
        <x:v>7月30日现场数据</x:v>
      </x:c>
      <x:c r="B1173" s="39" t="str">
        <x:v>2026-08-01T13:55:00</x:v>
      </x:c>
      <x:c r="C1173" s="39" t="str">
        <x:v>2026-08-01T14:10:00</x:v>
      </x:c>
      <x:c r="D1173" s="47" t="n">
        <x:v>15</x:v>
      </x:c>
      <x:c r="E1173" s="40" t="n">
        <x:v>24.4</x:v>
      </x:c>
      <x:c r="F1173" s="40" t="n">
        <x:v>9.16683578491211</x:v>
      </x:c>
      <x:c r="G1173" s="40" t="n">
        <x:v>11.2</x:v>
      </x:c>
      <x:c r="H1173" s="40" t="n">
        <x:f>F1173-E1173</x:f>
        <x:v>-15.23316421508789</x:v>
      </x:c>
      <x:c r="I1173" s="40" t="n">
        <x:f>ABS(H1173)</x:f>
        <x:v>15.23316421508789</x:v>
      </x:c>
      <x:c r="J1173" s="40" t="n">
        <x:f>H1173^2</x:f>
        <x:v>232.04929200383424</x:v>
      </x:c>
      <x:c r="K1173" s="40" t="n">
        <x:f>G1173-E1173</x:f>
        <x:v>-13.2</x:v>
      </x:c>
      <x:c r="L1173" s="40" t="n">
        <x:f>ABS(K1173)</x:f>
        <x:v>13.2</x:v>
      </x:c>
      <x:c r="M1173" s="41" t="str">
        <x:v>lstm-soil-v1</x:v>
      </x:c>
    </x:row>
    <x:row r="1174">
      <x:c r="A1174" s="38" t="str">
        <x:v>7月30日现场数据</x:v>
      </x:c>
      <x:c r="B1174" s="39" t="str">
        <x:v>2026-08-01T13:55:00</x:v>
      </x:c>
      <x:c r="C1174" s="39" t="str">
        <x:v>2026-08-01T14:25:00</x:v>
      </x:c>
      <x:c r="D1174" s="47" t="n">
        <x:v>30</x:v>
      </x:c>
      <x:c r="E1174" s="40" t="n">
        <x:v>22.1</x:v>
      </x:c>
      <x:c r="F1174" s="40" t="n">
        <x:v>9.609081268310547</x:v>
      </x:c>
      <x:c r="G1174" s="40" t="n">
        <x:v>11.2</x:v>
      </x:c>
      <x:c r="H1174" s="40" t="n">
        <x:f>F1174-E1174</x:f>
        <x:v>-12.490918731689455</x:v>
      </x:c>
      <x:c r="I1174" s="40" t="n">
        <x:f>ABS(H1174)</x:f>
        <x:v>12.490918731689455</x:v>
      </x:c>
      <x:c r="J1174" s="40" t="n">
        <x:f>H1174^2</x:f>
        <x:v>156.0230507616705</x:v>
      </x:c>
      <x:c r="K1174" s="40" t="n">
        <x:f>G1174-E1174</x:f>
        <x:v>-10.900000000000002</x:v>
      </x:c>
      <x:c r="L1174" s="40" t="n">
        <x:f>ABS(K1174)</x:f>
        <x:v>10.900000000000002</x:v>
      </x:c>
      <x:c r="M1174" s="41" t="str">
        <x:v>lstm-soil-v1</x:v>
      </x:c>
    </x:row>
    <x:row r="1175">
      <x:c r="A1175" s="38" t="str">
        <x:v>7月30日现场数据</x:v>
      </x:c>
      <x:c r="B1175" s="39" t="str">
        <x:v>2026-08-01T13:55:00</x:v>
      </x:c>
      <x:c r="C1175" s="39" t="str">
        <x:v>2026-08-01T14:55:00</x:v>
      </x:c>
      <x:c r="D1175" s="47" t="n">
        <x:v>60</x:v>
      </x:c>
      <x:c r="E1175" s="40" t="n">
        <x:v>19.6</x:v>
      </x:c>
      <x:c r="F1175" s="40" t="n">
        <x:v>11.306373596191406</x:v>
      </x:c>
      <x:c r="G1175" s="40" t="n">
        <x:v>11.2</x:v>
      </x:c>
      <x:c r="H1175" s="40" t="n">
        <x:f>F1175-E1175</x:f>
        <x:v>-8.293626403808595</x:v>
      </x:c>
      <x:c r="I1175" s="40" t="n">
        <x:f>ABS(H1175)</x:f>
        <x:v>8.293626403808595</x:v>
      </x:c>
      <x:c r="J1175" s="40" t="n">
        <x:f>H1175^2</x:f>
        <x:v>68.78423892595109</x:v>
      </x:c>
      <x:c r="K1175" s="40" t="n">
        <x:f>G1175-E1175</x:f>
        <x:v>-8.400000000000002</x:v>
      </x:c>
      <x:c r="L1175" s="40" t="n">
        <x:f>ABS(K1175)</x:f>
        <x:v>8.400000000000002</x:v>
      </x:c>
      <x:c r="M1175" s="41" t="str">
        <x:v>lstm-soil-v1</x:v>
      </x:c>
    </x:row>
    <x:row r="1176">
      <x:c r="A1176" s="38" t="str">
        <x:v>7月30日现场数据</x:v>
      </x:c>
      <x:c r="B1176" s="39" t="str">
        <x:v>2026-08-01T14:00:00</x:v>
      </x:c>
      <x:c r="C1176" s="39" t="str">
        <x:v>2026-08-01T14:05:00</x:v>
      </x:c>
      <x:c r="D1176" s="47" t="n">
        <x:v>5</x:v>
      </x:c>
      <x:c r="E1176" s="40" t="n">
        <x:v>19.3</x:v>
      </x:c>
      <x:c r="F1176" s="40" t="n">
        <x:v>11.067848205566406</x:v>
      </x:c>
      <x:c r="G1176" s="40" t="n">
        <x:v>13</x:v>
      </x:c>
      <x:c r="H1176" s="40" t="n">
        <x:f>F1176-E1176</x:f>
        <x:v>-8.232151794433594</x:v>
      </x:c>
      <x:c r="I1176" s="40" t="n">
        <x:f>ABS(H1176)</x:f>
        <x:v>8.232151794433594</x:v>
      </x:c>
      <x:c r="J1176" s="40" t="n">
        <x:f>H1176^2</x:f>
        <x:v>67.76832316659625</x:v>
      </x:c>
      <x:c r="K1176" s="40" t="n">
        <x:f>G1176-E1176</x:f>
        <x:v>-6.300000000000001</x:v>
      </x:c>
      <x:c r="L1176" s="40" t="n">
        <x:f>ABS(K1176)</x:f>
        <x:v>6.300000000000001</x:v>
      </x:c>
      <x:c r="M1176" s="41" t="str">
        <x:v>lstm-soil-v1</x:v>
      </x:c>
    </x:row>
    <x:row r="1177">
      <x:c r="A1177" s="38" t="str">
        <x:v>7月30日现场数据</x:v>
      </x:c>
      <x:c r="B1177" s="39" t="str">
        <x:v>2026-08-01T14:00:00</x:v>
      </x:c>
      <x:c r="C1177" s="39" t="str">
        <x:v>2026-08-01T14:15:00</x:v>
      </x:c>
      <x:c r="D1177" s="47" t="n">
        <x:v>15</x:v>
      </x:c>
      <x:c r="E1177" s="40" t="n">
        <x:v>22.7</x:v>
      </x:c>
      <x:c r="F1177" s="40" t="n">
        <x:v>11.152889251708984</x:v>
      </x:c>
      <x:c r="G1177" s="40" t="n">
        <x:v>13</x:v>
      </x:c>
      <x:c r="H1177" s="40" t="n">
        <x:f>F1177-E1177</x:f>
        <x:v>-11.547110748291015</x:v>
      </x:c>
      <x:c r="I1177" s="40" t="n">
        <x:f>ABS(H1177)</x:f>
        <x:v>11.547110748291015</x:v>
      </x:c>
      <x:c r="J1177" s="40" t="n">
        <x:f>H1177^2</x:f>
        <x:v>133.33576663329788</x:v>
      </x:c>
      <x:c r="K1177" s="40" t="n">
        <x:f>G1177-E1177</x:f>
        <x:v>-9.7</x:v>
      </x:c>
      <x:c r="L1177" s="40" t="n">
        <x:f>ABS(K1177)</x:f>
        <x:v>9.7</x:v>
      </x:c>
      <x:c r="M1177" s="41" t="str">
        <x:v>lstm-soil-v1</x:v>
      </x:c>
    </x:row>
    <x:row r="1178">
      <x:c r="A1178" s="38" t="str">
        <x:v>7月30日现场数据</x:v>
      </x:c>
      <x:c r="B1178" s="39" t="str">
        <x:v>2026-08-01T14:00:00</x:v>
      </x:c>
      <x:c r="C1178" s="39" t="str">
        <x:v>2026-08-01T14:30:00</x:v>
      </x:c>
      <x:c r="D1178" s="47" t="n">
        <x:v>30</x:v>
      </x:c>
      <x:c r="E1178" s="40" t="n">
        <x:v>22.9</x:v>
      </x:c>
      <x:c r="F1178" s="40" t="n">
        <x:v>11.591773986816406</x:v>
      </x:c>
      <x:c r="G1178" s="40" t="n">
        <x:v>13</x:v>
      </x:c>
      <x:c r="H1178" s="40" t="n">
        <x:f>F1178-E1178</x:f>
        <x:v>-11.308226013183592</x:v>
      </x:c>
      <x:c r="I1178" s="40" t="n">
        <x:f>ABS(H1178)</x:f>
        <x:v>11.308226013183592</x:v>
      </x:c>
      <x:c r="J1178" s="40" t="n">
        <x:f>H1178^2</x:f>
        <x:v>127.87597556524209</x:v>
      </x:c>
      <x:c r="K1178" s="40" t="n">
        <x:f>G1178-E1178</x:f>
        <x:v>-9.899999999999999</x:v>
      </x:c>
      <x:c r="L1178" s="40" t="n">
        <x:f>ABS(K1178)</x:f>
        <x:v>9.899999999999999</x:v>
      </x:c>
      <x:c r="M1178" s="41" t="str">
        <x:v>lstm-soil-v1</x:v>
      </x:c>
    </x:row>
    <x:row r="1179">
      <x:c r="A1179" s="38" t="str">
        <x:v>7月30日现场数据</x:v>
      </x:c>
      <x:c r="B1179" s="39" t="str">
        <x:v>2026-08-01T14:00:00</x:v>
      </x:c>
      <x:c r="C1179" s="39" t="str">
        <x:v>2026-08-01T15:00:00</x:v>
      </x:c>
      <x:c r="D1179" s="47" t="n">
        <x:v>60</x:v>
      </x:c>
      <x:c r="E1179" s="40" t="n">
        <x:v>19.3</x:v>
      </x:c>
      <x:c r="F1179" s="40" t="n">
        <x:v>13.283802032470703</x:v>
      </x:c>
      <x:c r="G1179" s="40" t="n">
        <x:v>13</x:v>
      </x:c>
      <x:c r="H1179" s="40" t="n">
        <x:f>F1179-E1179</x:f>
        <x:v>-6.016197967529298</x:v>
      </x:c>
      <x:c r="I1179" s="40" t="n">
        <x:f>ABS(H1179)</x:f>
        <x:v>6.016197967529298</x:v>
      </x:c>
      <x:c r="J1179" s="40" t="n">
        <x:f>H1179^2</x:f>
        <x:v>36.19463798450365</x:v>
      </x:c>
      <x:c r="K1179" s="40" t="n">
        <x:f>G1179-E1179</x:f>
        <x:v>-6.300000000000001</x:v>
      </x:c>
      <x:c r="L1179" s="40" t="n">
        <x:f>ABS(K1179)</x:f>
        <x:v>6.300000000000001</x:v>
      </x:c>
      <x:c r="M1179" s="41" t="str">
        <x:v>lstm-soil-v1</x:v>
      </x:c>
    </x:row>
    <x:row r="1180">
      <x:c r="A1180" s="38" t="str">
        <x:v>7月30日现场数据</x:v>
      </x:c>
      <x:c r="B1180" s="39" t="str">
        <x:v>2026-08-01T14:05:00</x:v>
      </x:c>
      <x:c r="C1180" s="39" t="str">
        <x:v>2026-08-01T14:10:00</x:v>
      </x:c>
      <x:c r="D1180" s="47" t="n">
        <x:v>5</x:v>
      </x:c>
      <x:c r="E1180" s="40" t="n">
        <x:v>24.4</x:v>
      </x:c>
      <x:c r="F1180" s="40" t="n">
        <x:v>18.030136108398438</x:v>
      </x:c>
      <x:c r="G1180" s="40" t="n">
        <x:v>19.3</x:v>
      </x:c>
      <x:c r="H1180" s="40" t="n">
        <x:f>F1180-E1180</x:f>
        <x:v>-6.369863891601561</x:v>
      </x:c>
      <x:c r="I1180" s="40" t="n">
        <x:f>ABS(H1180)</x:f>
        <x:v>6.369863891601561</x:v>
      </x:c>
      <x:c r="J1180" s="40" t="n">
        <x:f>H1180^2</x:f>
        <x:v>40.57516599752938</x:v>
      </x:c>
      <x:c r="K1180" s="40" t="n">
        <x:f>G1180-E1180</x:f>
        <x:v>-5.099999999999998</x:v>
      </x:c>
      <x:c r="L1180" s="40" t="n">
        <x:f>ABS(K1180)</x:f>
        <x:v>5.099999999999998</x:v>
      </x:c>
      <x:c r="M1180" s="41" t="str">
        <x:v>lstm-soil-v1</x:v>
      </x:c>
    </x:row>
    <x:row r="1181">
      <x:c r="A1181" s="38" t="str">
        <x:v>7月30日现场数据</x:v>
      </x:c>
      <x:c r="B1181" s="39" t="str">
        <x:v>2026-08-01T14:05:00</x:v>
      </x:c>
      <x:c r="C1181" s="39" t="str">
        <x:v>2026-08-01T14:20:00</x:v>
      </x:c>
      <x:c r="D1181" s="47" t="n">
        <x:v>15</x:v>
      </x:c>
      <x:c r="E1181" s="40" t="n">
        <x:v>21.6</x:v>
      </x:c>
      <x:c r="F1181" s="40" t="n">
        <x:v>18.098831176757812</x:v>
      </x:c>
      <x:c r="G1181" s="40" t="n">
        <x:v>19.3</x:v>
      </x:c>
      <x:c r="H1181" s="40" t="n">
        <x:f>F1181-E1181</x:f>
        <x:v>-3.501168823242189</x:v>
      </x:c>
      <x:c r="I1181" s="40" t="n">
        <x:f>ABS(H1181)</x:f>
        <x:v>3.501168823242189</x:v>
      </x:c>
      <x:c r="J1181" s="40" t="n">
        <x:f>H1181^2</x:f>
        <x:v>12.258183128843093</x:v>
      </x:c>
      <x:c r="K1181" s="40" t="n">
        <x:f>G1181-E1181</x:f>
        <x:v>-2.3000000000000007</x:v>
      </x:c>
      <x:c r="L1181" s="40" t="n">
        <x:f>ABS(K1181)</x:f>
        <x:v>2.3000000000000007</x:v>
      </x:c>
      <x:c r="M1181" s="41" t="str">
        <x:v>lstm-soil-v1</x:v>
      </x:c>
    </x:row>
    <x:row r="1182">
      <x:c r="A1182" s="38" t="str">
        <x:v>7月30日现场数据</x:v>
      </x:c>
      <x:c r="B1182" s="39" t="str">
        <x:v>2026-08-01T14:05:00</x:v>
      </x:c>
      <x:c r="C1182" s="39" t="str">
        <x:v>2026-08-01T14:35:00</x:v>
      </x:c>
      <x:c r="D1182" s="47" t="n">
        <x:v>30</x:v>
      </x:c>
      <x:c r="E1182" s="40" t="n">
        <x:v>21.9</x:v>
      </x:c>
      <x:c r="F1182" s="40" t="n">
        <x:v>18.54220199584961</x:v>
      </x:c>
      <x:c r="G1182" s="40" t="n">
        <x:v>19.3</x:v>
      </x:c>
      <x:c r="H1182" s="40" t="n">
        <x:f>F1182-E1182</x:f>
        <x:v>-3.357798004150389</x:v>
      </x:c>
      <x:c r="I1182" s="40" t="n">
        <x:f>ABS(H1182)</x:f>
        <x:v>3.357798004150389</x:v>
      </x:c>
      <x:c r="J1182" s="40" t="n">
        <x:f>H1182^2</x:f>
        <x:v>11.274807436676337</x:v>
      </x:c>
      <x:c r="K1182" s="40" t="n">
        <x:f>G1182-E1182</x:f>
        <x:v>-2.599999999999998</x:v>
      </x:c>
      <x:c r="L1182" s="40" t="n">
        <x:f>ABS(K1182)</x:f>
        <x:v>2.599999999999998</x:v>
      </x:c>
      <x:c r="M1182" s="41" t="str">
        <x:v>lstm-soil-v1</x:v>
      </x:c>
    </x:row>
    <x:row r="1183">
      <x:c r="A1183" s="38" t="str">
        <x:v>7月30日现场数据</x:v>
      </x:c>
      <x:c r="B1183" s="39" t="str">
        <x:v>2026-08-01T14:05:00</x:v>
      </x:c>
      <x:c r="C1183" s="39" t="str">
        <x:v>2026-08-01T15:05:00</x:v>
      </x:c>
      <x:c r="D1183" s="47" t="n">
        <x:v>60</x:v>
      </x:c>
      <x:c r="E1183" s="40" t="n">
        <x:v>19.1</x:v>
      </x:c>
      <x:c r="F1183" s="40" t="n">
        <x:v>20.236743927001953</x:v>
      </x:c>
      <x:c r="G1183" s="40" t="n">
        <x:v>19.3</x:v>
      </x:c>
      <x:c r="H1183" s="40" t="n">
        <x:f>F1183-E1183</x:f>
        <x:v>1.1367439270019517</x:v>
      </x:c>
      <x:c r="I1183" s="40" t="n">
        <x:f>ABS(H1183)</x:f>
        <x:v>1.1367439270019517</x:v>
      </x:c>
      <x:c r="J1183" s="40" t="n">
        <x:f>H1183^2</x:f>
        <x:v>1.2921867555758184</x:v>
      </x:c>
      <x:c r="K1183" s="40" t="n">
        <x:f>G1183-E1183</x:f>
        <x:v>0.1999999999999993</x:v>
      </x:c>
      <x:c r="L1183" s="40" t="n">
        <x:f>ABS(K1183)</x:f>
        <x:v>0.1999999999999993</x:v>
      </x:c>
      <x:c r="M1183" s="41" t="str">
        <x:v>lstm-soil-v1</x:v>
      </x:c>
    </x:row>
    <x:row r="1184">
      <x:c r="A1184" s="38" t="str">
        <x:v>7月30日现场数据</x:v>
      </x:c>
      <x:c r="B1184" s="39" t="str">
        <x:v>2026-08-01T14:10:00</x:v>
      </x:c>
      <x:c r="C1184" s="39" t="str">
        <x:v>2026-08-01T14:15:00</x:v>
      </x:c>
      <x:c r="D1184" s="47" t="n">
        <x:v>5</x:v>
      </x:c>
      <x:c r="E1184" s="40" t="n">
        <x:v>22.7</x:v>
      </x:c>
      <x:c r="F1184" s="40" t="n">
        <x:v>23.67937469482422</x:v>
      </x:c>
      <x:c r="G1184" s="40" t="n">
        <x:v>24.4</x:v>
      </x:c>
      <x:c r="H1184" s="40" t="n">
        <x:f>F1184-E1184</x:f>
        <x:v>0.9793746948242195</x:v>
      </x:c>
      <x:c r="I1184" s="40" t="n">
        <x:f>ABS(H1184)</x:f>
        <x:v>0.9793746948242195</x:v>
      </x:c>
      <x:c r="J1184" s="40" t="n">
        <x:f>H1184^2</x:f>
        <x:v>0.959174792862033</x:v>
      </x:c>
      <x:c r="K1184" s="40" t="n">
        <x:f>G1184-E1184</x:f>
        <x:v>1.6999999999999993</x:v>
      </x:c>
      <x:c r="L1184" s="40" t="n">
        <x:f>ABS(K1184)</x:f>
        <x:v>1.6999999999999993</x:v>
      </x:c>
      <x:c r="M1184" s="41" t="str">
        <x:v>lstm-soil-v1</x:v>
      </x:c>
    </x:row>
    <x:row r="1185">
      <x:c r="A1185" s="38" t="str">
        <x:v>7月30日现场数据</x:v>
      </x:c>
      <x:c r="B1185" s="39" t="str">
        <x:v>2026-08-01T14:10:00</x:v>
      </x:c>
      <x:c r="C1185" s="39" t="str">
        <x:v>2026-08-01T14:25:00</x:v>
      </x:c>
      <x:c r="D1185" s="47" t="n">
        <x:v>15</x:v>
      </x:c>
      <x:c r="E1185" s="40" t="n">
        <x:v>22.1</x:v>
      </x:c>
      <x:c r="F1185" s="40" t="n">
        <x:v>23.7420654296875</x:v>
      </x:c>
      <x:c r="G1185" s="40" t="n">
        <x:v>24.4</x:v>
      </x:c>
      <x:c r="H1185" s="40" t="n">
        <x:f>F1185-E1185</x:f>
        <x:v>1.6420654296874986</x:v>
      </x:c>
      <x:c r="I1185" s="40" t="n">
        <x:f>ABS(H1185)</x:f>
        <x:v>1.6420654296874986</x:v>
      </x:c>
      <x:c r="J1185" s="40" t="n">
        <x:f>H1185^2</x:f>
        <x:v>2.6963788753747893</x:v>
      </x:c>
      <x:c r="K1185" s="40" t="n">
        <x:f>G1185-E1185</x:f>
        <x:v>2.299999999999997</x:v>
      </x:c>
      <x:c r="L1185" s="40" t="n">
        <x:f>ABS(K1185)</x:f>
        <x:v>2.299999999999997</x:v>
      </x:c>
      <x:c r="M1185" s="41" t="str">
        <x:v>lstm-soil-v1</x:v>
      </x:c>
    </x:row>
    <x:row r="1186">
      <x:c r="A1186" s="38" t="str">
        <x:v>7月30日现场数据</x:v>
      </x:c>
      <x:c r="B1186" s="39" t="str">
        <x:v>2026-08-01T14:10:00</x:v>
      </x:c>
      <x:c r="C1186" s="39" t="str">
        <x:v>2026-08-01T14:40:00</x:v>
      </x:c>
      <x:c r="D1186" s="47" t="n">
        <x:v>30</x:v>
      </x:c>
      <x:c r="E1186" s="40" t="n">
        <x:v>21.2</x:v>
      </x:c>
      <x:c r="F1186" s="40" t="n">
        <x:v>24.176456451416016</x:v>
      </x:c>
      <x:c r="G1186" s="40" t="n">
        <x:v>24.4</x:v>
      </x:c>
      <x:c r="H1186" s="40" t="n">
        <x:f>F1186-E1186</x:f>
        <x:v>2.9764564514160163</x:v>
      </x:c>
      <x:c r="I1186" s="40" t="n">
        <x:f>ABS(H1186)</x:f>
        <x:v>2.9764564514160163</x:v>
      </x:c>
      <x:c r="J1186" s="40" t="n">
        <x:f>H1186^2</x:f>
        <x:v>8.859293007176024</x:v>
      </x:c>
      <x:c r="K1186" s="40" t="n">
        <x:f>G1186-E1186</x:f>
        <x:v>3.1999999999999993</x:v>
      </x:c>
      <x:c r="L1186" s="40" t="n">
        <x:f>ABS(K1186)</x:f>
        <x:v>3.1999999999999993</x:v>
      </x:c>
      <x:c r="M1186" s="41" t="str">
        <x:v>lstm-soil-v1</x:v>
      </x:c>
    </x:row>
    <x:row r="1187">
      <x:c r="A1187" s="38" t="str">
        <x:v>7月30日现场数据</x:v>
      </x:c>
      <x:c r="B1187" s="39" t="str">
        <x:v>2026-08-01T14:10:00</x:v>
      </x:c>
      <x:c r="C1187" s="39" t="str">
        <x:v>2026-08-01T15:10:00</x:v>
      </x:c>
      <x:c r="D1187" s="47" t="n">
        <x:v>60</x:v>
      </x:c>
      <x:c r="E1187" s="40" t="n">
        <x:v>18.9</x:v>
      </x:c>
      <x:c r="F1187" s="40" t="n">
        <x:v>25.878280639648438</x:v>
      </x:c>
      <x:c r="G1187" s="40" t="n">
        <x:v>24.4</x:v>
      </x:c>
      <x:c r="H1187" s="40" t="n">
        <x:f>F1187-E1187</x:f>
        <x:v>6.978280639648439</x:v>
      </x:c>
      <x:c r="I1187" s="40" t="n">
        <x:f>ABS(H1187)</x:f>
        <x:v>6.978280639648439</x:v>
      </x:c>
      <x:c r="J1187" s="40" t="n">
        <x:f>H1187^2</x:f>
        <x:v>48.696400685692225</x:v>
      </x:c>
      <x:c r="K1187" s="40" t="n">
        <x:f>G1187-E1187</x:f>
        <x:v>5.5</x:v>
      </x:c>
      <x:c r="L1187" s="40" t="n">
        <x:f>ABS(K1187)</x:f>
        <x:v>5.5</x:v>
      </x:c>
      <x:c r="M1187" s="41" t="str">
        <x:v>lstm-soil-v1</x:v>
      </x:c>
    </x:row>
    <x:row r="1188">
      <x:c r="A1188" s="38" t="str">
        <x:v>7月30日现场数据</x:v>
      </x:c>
      <x:c r="B1188" s="39" t="str">
        <x:v>2026-08-01T14:15:00</x:v>
      </x:c>
      <x:c r="C1188" s="39" t="str">
        <x:v>2026-08-01T14:20:00</x:v>
      </x:c>
      <x:c r="D1188" s="47" t="n">
        <x:v>5</x:v>
      </x:c>
      <x:c r="E1188" s="40" t="n">
        <x:v>21.6</x:v>
      </x:c>
      <x:c r="F1188" s="40" t="n">
        <x:v>21.823970794677734</x:v>
      </x:c>
      <x:c r="G1188" s="40" t="n">
        <x:v>22.7</x:v>
      </x:c>
      <x:c r="H1188" s="40" t="n">
        <x:f>F1188-E1188</x:f>
        <x:v>0.22397079467773295</x:v>
      </x:c>
      <x:c r="I1188" s="40" t="n">
        <x:f>ABS(H1188)</x:f>
        <x:v>0.22397079467773295</x:v>
      </x:c>
      <x:c r="J1188" s="40" t="n">
        <x:f>H1188^2</x:f>
        <x:v>0.050162916868575214</x:v>
      </x:c>
      <x:c r="K1188" s="40" t="n">
        <x:f>G1188-E1188</x:f>
        <x:v>1.0999999999999979</x:v>
      </x:c>
      <x:c r="L1188" s="40" t="n">
        <x:f>ABS(K1188)</x:f>
        <x:v>1.0999999999999979</x:v>
      </x:c>
      <x:c r="M1188" s="41" t="str">
        <x:v>lstm-soil-v1</x:v>
      </x:c>
    </x:row>
    <x:row r="1189">
      <x:c r="A1189" s="38" t="str">
        <x:v>7月30日现场数据</x:v>
      </x:c>
      <x:c r="B1189" s="39" t="str">
        <x:v>2026-08-01T14:15:00</x:v>
      </x:c>
      <x:c r="C1189" s="39" t="str">
        <x:v>2026-08-01T14:30:00</x:v>
      </x:c>
      <x:c r="D1189" s="47" t="n">
        <x:v>15</x:v>
      </x:c>
      <x:c r="E1189" s="40" t="n">
        <x:v>22.9</x:v>
      </x:c>
      <x:c r="F1189" s="40" t="n">
        <x:v>21.87232208251953</x:v>
      </x:c>
      <x:c r="G1189" s="40" t="n">
        <x:v>22.7</x:v>
      </x:c>
      <x:c r="H1189" s="40" t="n">
        <x:f>F1189-E1189</x:f>
        <x:v>-1.0276779174804673</x:v>
      </x:c>
      <x:c r="I1189" s="40" t="n">
        <x:f>ABS(H1189)</x:f>
        <x:v>1.0276779174804673</x:v>
      </x:c>
      <x:c r="J1189" s="40" t="n">
        <x:f>H1189^2</x:f>
        <x:v>1.0561219020769903</x:v>
      </x:c>
      <x:c r="K1189" s="40" t="n">
        <x:f>G1189-E1189</x:f>
        <x:v>-0.1999999999999993</x:v>
      </x:c>
      <x:c r="L1189" s="40" t="n">
        <x:f>ABS(K1189)</x:f>
        <x:v>0.1999999999999993</x:v>
      </x:c>
      <x:c r="M1189" s="41" t="str">
        <x:v>lstm-soil-v1</x:v>
      </x:c>
    </x:row>
    <x:row r="1190">
      <x:c r="A1190" s="38" t="str">
        <x:v>7月30日现场数据</x:v>
      </x:c>
      <x:c r="B1190" s="39" t="str">
        <x:v>2026-08-01T14:15:00</x:v>
      </x:c>
      <x:c r="C1190" s="39" t="str">
        <x:v>2026-08-01T14:45:00</x:v>
      </x:c>
      <x:c r="D1190" s="47" t="n">
        <x:v>30</x:v>
      </x:c>
      <x:c r="E1190" s="40" t="n">
        <x:v>20.6</x:v>
      </x:c>
      <x:c r="F1190" s="40" t="n">
        <x:v>22.293624877929688</x:v>
      </x:c>
      <x:c r="G1190" s="40" t="n">
        <x:v>22.7</x:v>
      </x:c>
      <x:c r="H1190" s="40" t="n">
        <x:f>F1190-E1190</x:f>
        <x:v>1.693624877929686</x:v>
      </x:c>
      <x:c r="I1190" s="40" t="n">
        <x:f>ABS(H1190)</x:f>
        <x:v>1.693624877929686</x:v>
      </x:c>
      <x:c r="J1190" s="40" t="n">
        <x:f>H1190^2</x:f>
        <x:v>2.868365227142344</x:v>
      </x:c>
      <x:c r="K1190" s="40" t="n">
        <x:f>G1190-E1190</x:f>
        <x:v>2.099999999999998</x:v>
      </x:c>
      <x:c r="L1190" s="40" t="n">
        <x:f>ABS(K1190)</x:f>
        <x:v>2.099999999999998</x:v>
      </x:c>
      <x:c r="M1190" s="41" t="str">
        <x:v>lstm-soil-v1</x:v>
      </x:c>
    </x:row>
    <x:row r="1191">
      <x:c r="A1191" s="38" t="str">
        <x:v>7月30日现场数据</x:v>
      </x:c>
      <x:c r="B1191" s="39" t="str">
        <x:v>2026-08-01T14:15:00</x:v>
      </x:c>
      <x:c r="C1191" s="39" t="str">
        <x:v>2026-08-01T15:15:00</x:v>
      </x:c>
      <x:c r="D1191" s="47" t="n">
        <x:v>60</x:v>
      </x:c>
      <x:c r="E1191" s="40" t="n">
        <x:v>18.6</x:v>
      </x:c>
      <x:c r="F1191" s="40" t="n">
        <x:v>23.99864959716797</x:v>
      </x:c>
      <x:c r="G1191" s="40" t="n">
        <x:v>22.7</x:v>
      </x:c>
      <x:c r="H1191" s="40" t="n">
        <x:f>F1191-E1191</x:f>
        <x:v>5.398649597167967</x:v>
      </x:c>
      <x:c r="I1191" s="40" t="n">
        <x:f>ABS(H1191)</x:f>
        <x:v>5.398649597167967</x:v>
      </x:c>
      <x:c r="J1191" s="40" t="n">
        <x:f>H1191^2</x:f>
        <x:v>29.145417473001856</x:v>
      </x:c>
      <x:c r="K1191" s="40" t="n">
        <x:f>G1191-E1191</x:f>
        <x:v>4.099999999999998</x:v>
      </x:c>
      <x:c r="L1191" s="40" t="n">
        <x:f>ABS(K1191)</x:f>
        <x:v>4.099999999999998</x:v>
      </x:c>
      <x:c r="M1191" s="41" t="str">
        <x:v>lstm-soil-v1</x:v>
      </x:c>
    </x:row>
    <x:row r="1192">
      <x:c r="A1192" s="38" t="str">
        <x:v>7月30日现场数据</x:v>
      </x:c>
      <x:c r="B1192" s="39" t="str">
        <x:v>2026-08-01T14:20:00</x:v>
      </x:c>
      <x:c r="C1192" s="39" t="str">
        <x:v>2026-08-01T14:25:00</x:v>
      </x:c>
      <x:c r="D1192" s="47" t="n">
        <x:v>5</x:v>
      </x:c>
      <x:c r="E1192" s="40" t="n">
        <x:v>22.1</x:v>
      </x:c>
      <x:c r="F1192" s="40" t="n">
        <x:v>20.617450714111328</x:v>
      </x:c>
      <x:c r="G1192" s="40" t="n">
        <x:v>21.6</x:v>
      </x:c>
      <x:c r="H1192" s="40" t="n">
        <x:f>F1192-E1192</x:f>
        <x:v>-1.4825492858886733</x:v>
      </x:c>
      <x:c r="I1192" s="40" t="n">
        <x:f>ABS(H1192)</x:f>
        <x:v>1.4825492858886733</x:v>
      </x:c>
      <x:c r="J1192" s="40" t="n">
        <x:f>H1192^2</x:f>
        <x:v>2.1979523850890152</x:v>
      </x:c>
      <x:c r="K1192" s="40" t="n">
        <x:f>G1192-E1192</x:f>
        <x:v>-0.5</x:v>
      </x:c>
      <x:c r="L1192" s="40" t="n">
        <x:f>ABS(K1192)</x:f>
        <x:v>0.5</x:v>
      </x:c>
      <x:c r="M1192" s="41" t="str">
        <x:v>lstm-soil-v1</x:v>
      </x:c>
    </x:row>
    <x:row r="1193">
      <x:c r="A1193" s="38" t="str">
        <x:v>7月30日现场数据</x:v>
      </x:c>
      <x:c r="B1193" s="39" t="str">
        <x:v>2026-08-01T14:20:00</x:v>
      </x:c>
      <x:c r="C1193" s="39" t="str">
        <x:v>2026-08-01T14:35:00</x:v>
      </x:c>
      <x:c r="D1193" s="47" t="n">
        <x:v>15</x:v>
      </x:c>
      <x:c r="E1193" s="40" t="n">
        <x:v>21.9</x:v>
      </x:c>
      <x:c r="F1193" s="40" t="n">
        <x:v>20.653732299804688</x:v>
      </x:c>
      <x:c r="G1193" s="40" t="n">
        <x:v>21.6</x:v>
      </x:c>
      <x:c r="H1193" s="40" t="n">
        <x:f>F1193-E1193</x:f>
        <x:v>-1.246267700195311</x:v>
      </x:c>
      <x:c r="I1193" s="40" t="n">
        <x:f>ABS(H1193)</x:f>
        <x:v>1.246267700195311</x:v>
      </x:c>
      <x:c r="J1193" s="40" t="n">
        <x:f>H1193^2</x:f>
        <x:v>1.5531831805501097</x:v>
      </x:c>
      <x:c r="K1193" s="40" t="n">
        <x:f>G1193-E1193</x:f>
        <x:v>-0.29999999999999716</x:v>
      </x:c>
      <x:c r="L1193" s="40" t="n">
        <x:f>ABS(K1193)</x:f>
        <x:v>0.29999999999999716</x:v>
      </x:c>
      <x:c r="M1193" s="41" t="str">
        <x:v>lstm-soil-v1</x:v>
      </x:c>
    </x:row>
    <x:row r="1194">
      <x:c r="A1194" s="38" t="str">
        <x:v>7月30日现场数据</x:v>
      </x:c>
      <x:c r="B1194" s="39" t="str">
        <x:v>2026-08-01T14:20:00</x:v>
      </x:c>
      <x:c r="C1194" s="39" t="str">
        <x:v>2026-08-01T14:50:00</x:v>
      </x:c>
      <x:c r="D1194" s="47" t="n">
        <x:v>30</x:v>
      </x:c>
      <x:c r="E1194" s="40" t="n">
        <x:v>19.9</x:v>
      </x:c>
      <x:c r="F1194" s="40" t="n">
        <x:v>21.058643341064453</x:v>
      </x:c>
      <x:c r="G1194" s="40" t="n">
        <x:v>21.6</x:v>
      </x:c>
      <x:c r="H1194" s="40" t="n">
        <x:f>F1194-E1194</x:f>
        <x:v>1.1586433410644545</x:v>
      </x:c>
      <x:c r="I1194" s="40" t="n">
        <x:f>ABS(H1194)</x:f>
        <x:v>1.1586433410644545</x:v>
      </x:c>
      <x:c r="J1194" s="40" t="n">
        <x:f>H1194^2</x:f>
        <x:v>1.3424543917930019</x:v>
      </x:c>
      <x:c r="K1194" s="40" t="n">
        <x:f>G1194-E1194</x:f>
        <x:v>1.7000000000000028</x:v>
      </x:c>
      <x:c r="L1194" s="40" t="n">
        <x:f>ABS(K1194)</x:f>
        <x:v>1.7000000000000028</x:v>
      </x:c>
      <x:c r="M1194" s="41" t="str">
        <x:v>lstm-soil-v1</x:v>
      </x:c>
    </x:row>
    <x:row r="1195">
      <x:c r="A1195" s="38" t="str">
        <x:v>7月30日现场数据</x:v>
      </x:c>
      <x:c r="B1195" s="39" t="str">
        <x:v>2026-08-01T14:20:00</x:v>
      </x:c>
      <x:c r="C1195" s="39" t="str">
        <x:v>2026-08-01T15:20:00</x:v>
      </x:c>
      <x:c r="D1195" s="47" t="n">
        <x:v>60</x:v>
      </x:c>
      <x:c r="E1195" s="40" t="n">
        <x:v>18.5</x:v>
      </x:c>
      <x:c r="F1195" s="40" t="n">
        <x:v>22.775917053222656</x:v>
      </x:c>
      <x:c r="G1195" s="40" t="n">
        <x:v>21.6</x:v>
      </x:c>
      <x:c r="H1195" s="40" t="n">
        <x:f>F1195-E1195</x:f>
        <x:v>4.275917053222656</x:v>
      </x:c>
      <x:c r="I1195" s="40" t="n">
        <x:f>ABS(H1195)</x:f>
        <x:v>4.275917053222656</x:v>
      </x:c>
      <x:c r="J1195" s="40" t="n">
        <x:f>H1195^2</x:f>
        <x:v>18.283466646040324</x:v>
      </x:c>
      <x:c r="K1195" s="40" t="n">
        <x:f>G1195-E1195</x:f>
        <x:v>3.1000000000000014</x:v>
      </x:c>
      <x:c r="L1195" s="40" t="n">
        <x:f>ABS(K1195)</x:f>
        <x:v>3.1000000000000014</x:v>
      </x:c>
      <x:c r="M1195" s="41" t="str">
        <x:v>lstm-soil-v1</x:v>
      </x:c>
    </x:row>
    <x:row r="1196">
      <x:c r="A1196" s="38" t="str">
        <x:v>7月30日现场数据</x:v>
      </x:c>
      <x:c r="B1196" s="39" t="str">
        <x:v>2026-08-01T14:25:00</x:v>
      </x:c>
      <x:c r="C1196" s="39" t="str">
        <x:v>2026-08-01T14:30:00</x:v>
      </x:c>
      <x:c r="D1196" s="47" t="n">
        <x:v>5</x:v>
      </x:c>
      <x:c r="E1196" s="40" t="n">
        <x:v>22.9</x:v>
      </x:c>
      <x:c r="F1196" s="40" t="n">
        <x:v>21.164695739746094</x:v>
      </x:c>
      <x:c r="G1196" s="40" t="n">
        <x:v>22.1</x:v>
      </x:c>
      <x:c r="H1196" s="40" t="n">
        <x:f>F1196-E1196</x:f>
        <x:v>-1.7353042602539048</x:v>
      </x:c>
      <x:c r="I1196" s="40" t="n">
        <x:f>ABS(H1196)</x:f>
        <x:v>1.7353042602539048</x:v>
      </x:c>
      <x:c r="J1196" s="40" t="n">
        <x:f>H1196^2</x:f>
        <x:v>3.011280875655352</x:v>
      </x:c>
      <x:c r="K1196" s="40" t="n">
        <x:f>G1196-E1196</x:f>
        <x:v>-0.7999999999999972</x:v>
      </x:c>
      <x:c r="L1196" s="40" t="n">
        <x:f>ABS(K1196)</x:f>
        <x:v>0.7999999999999972</x:v>
      </x:c>
      <x:c r="M1196" s="41" t="str">
        <x:v>lstm-soil-v1</x:v>
      </x:c>
    </x:row>
    <x:row r="1197">
      <x:c r="A1197" s="38" t="str">
        <x:v>7月30日现场数据</x:v>
      </x:c>
      <x:c r="B1197" s="39" t="str">
        <x:v>2026-08-01T14:25:00</x:v>
      </x:c>
      <x:c r="C1197" s="39" t="str">
        <x:v>2026-08-01T14:40:00</x:v>
      </x:c>
      <x:c r="D1197" s="47" t="n">
        <x:v>15</x:v>
      </x:c>
      <x:c r="E1197" s="40" t="n">
        <x:v>21.2</x:v>
      </x:c>
      <x:c r="F1197" s="40" t="n">
        <x:v>21.197216033935547</x:v>
      </x:c>
      <x:c r="G1197" s="40" t="n">
        <x:v>22.1</x:v>
      </x:c>
      <x:c r="H1197" s="40" t="n">
        <x:f>F1197-E1197</x:f>
        <x:v>-0.0027839660644524145</x:v>
      </x:c>
      <x:c r="I1197" s="40" t="n">
        <x:f>ABS(H1197)</x:f>
        <x:v>0.0027839660644524145</x:v>
      </x:c>
      <x:c r="J1197" s="40" t="n">
        <x:f>H1197^2</x:f>
        <x:v>0.000007750467048022665</x:v>
      </x:c>
      <x:c r="K1197" s="40" t="n">
        <x:f>G1197-E1197</x:f>
        <x:v>0.9000000000000021</x:v>
      </x:c>
      <x:c r="L1197" s="40" t="n">
        <x:f>ABS(K1197)</x:f>
        <x:v>0.9000000000000021</x:v>
      </x:c>
      <x:c r="M1197" s="41" t="str">
        <x:v>lstm-soil-v1</x:v>
      </x:c>
    </x:row>
    <x:row r="1198">
      <x:c r="A1198" s="38" t="str">
        <x:v>7月30日现场数据</x:v>
      </x:c>
      <x:c r="B1198" s="39" t="str">
        <x:v>2026-08-01T14:25:00</x:v>
      </x:c>
      <x:c r="C1198" s="39" t="str">
        <x:v>2026-08-01T14:55:00</x:v>
      </x:c>
      <x:c r="D1198" s="47" t="n">
        <x:v>30</x:v>
      </x:c>
      <x:c r="E1198" s="40" t="n">
        <x:v>19.6</x:v>
      </x:c>
      <x:c r="F1198" s="40" t="n">
        <x:v>21.58026885986328</x:v>
      </x:c>
      <x:c r="G1198" s="40" t="n">
        <x:v>22.1</x:v>
      </x:c>
      <x:c r="H1198" s="40" t="n">
        <x:f>F1198-E1198</x:f>
        <x:v>1.9802688598632798</x:v>
      </x:c>
      <x:c r="I1198" s="40" t="n">
        <x:f>ABS(H1198)</x:f>
        <x:v>1.9802688598632798</x:v>
      </x:c>
      <x:c r="J1198" s="40" t="n">
        <x:f>H1198^2</x:f>
        <x:v>3.9214647573442143</x:v>
      </x:c>
      <x:c r="K1198" s="40" t="n">
        <x:f>G1198-E1198</x:f>
        <x:v>2.5</x:v>
      </x:c>
      <x:c r="L1198" s="40" t="n">
        <x:f>ABS(K1198)</x:f>
        <x:v>2.5</x:v>
      </x:c>
      <x:c r="M1198" s="41" t="str">
        <x:v>lstm-soil-v1</x:v>
      </x:c>
    </x:row>
    <x:row r="1199">
      <x:c r="A1199" s="38" t="str">
        <x:v>7月30日现场数据</x:v>
      </x:c>
      <x:c r="B1199" s="39" t="str">
        <x:v>2026-08-01T14:25:00</x:v>
      </x:c>
      <x:c r="C1199" s="39" t="str">
        <x:v>2026-08-01T15:25:00</x:v>
      </x:c>
      <x:c r="D1199" s="47" t="n">
        <x:v>60</x:v>
      </x:c>
      <x:c r="E1199" s="40" t="n">
        <x:v>18.4</x:v>
      </x:c>
      <x:c r="F1199" s="40" t="n">
        <x:v>23.312084197998047</x:v>
      </x:c>
      <x:c r="G1199" s="40" t="n">
        <x:v>22.1</x:v>
      </x:c>
      <x:c r="H1199" s="40" t="n">
        <x:f>F1199-E1199</x:f>
        <x:v>4.912084197998048</x:v>
      </x:c>
      <x:c r="I1199" s="40" t="n">
        <x:f>ABS(H1199)</x:f>
        <x:v>4.912084197998048</x:v>
      </x:c>
      <x:c r="J1199" s="40" t="n">
        <x:f>H1199^2</x:f>
        <x:v>24.12857116822213</x:v>
      </x:c>
      <x:c r="K1199" s="40" t="n">
        <x:f>G1199-E1199</x:f>
        <x:v>3.700000000000003</x:v>
      </x:c>
      <x:c r="L1199" s="40" t="n">
        <x:f>ABS(K1199)</x:f>
        <x:v>3.700000000000003</x:v>
      </x:c>
      <x:c r="M1199" s="41" t="str">
        <x:v>lstm-soil-v1</x:v>
      </x:c>
    </x:row>
    <x:row r="1200">
      <x:c r="A1200" s="38" t="str">
        <x:v>7月30日现场数据</x:v>
      </x:c>
      <x:c r="B1200" s="39" t="str">
        <x:v>2026-08-01T14:30:00</x:v>
      </x:c>
      <x:c r="C1200" s="39" t="str">
        <x:v>2026-08-01T14:35:00</x:v>
      </x:c>
      <x:c r="D1200" s="47" t="n">
        <x:v>5</x:v>
      </x:c>
      <x:c r="E1200" s="40" t="n">
        <x:v>21.9</x:v>
      </x:c>
      <x:c r="F1200" s="40" t="n">
        <x:v>22.042354583740234</x:v>
      </x:c>
      <x:c r="G1200" s="40" t="n">
        <x:v>22.9</x:v>
      </x:c>
      <x:c r="H1200" s="40" t="n">
        <x:f>F1200-E1200</x:f>
        <x:v>0.1423545837402358</x:v>
      </x:c>
      <x:c r="I1200" s="40" t="n">
        <x:f>ABS(H1200)</x:f>
        <x:v>0.1423545837402358</x:v>
      </x:c>
      <x:c r="J1200" s="40" t="n">
        <x:f>H1200^2</x:f>
        <x:v>0.020264827511855807</x:v>
      </x:c>
      <x:c r="K1200" s="40" t="n">
        <x:f>G1200-E1200</x:f>
        <x:v>1</x:v>
      </x:c>
      <x:c r="L1200" s="40" t="n">
        <x:f>ABS(K1200)</x:f>
        <x:v>1</x:v>
      </x:c>
      <x:c r="M1200" s="41" t="str">
        <x:v>lstm-soil-v1</x:v>
      </x:c>
    </x:row>
    <x:row r="1201">
      <x:c r="A1201" s="38" t="str">
        <x:v>7月30日现场数据</x:v>
      </x:c>
      <x:c r="B1201" s="39" t="str">
        <x:v>2026-08-01T14:30:00</x:v>
      </x:c>
      <x:c r="C1201" s="39" t="str">
        <x:v>2026-08-01T14:45:00</x:v>
      </x:c>
      <x:c r="D1201" s="47" t="n">
        <x:v>15</x:v>
      </x:c>
      <x:c r="E1201" s="40" t="n">
        <x:v>20.6</x:v>
      </x:c>
      <x:c r="F1201" s="40" t="n">
        <x:v>22.072486877441406</x:v>
      </x:c>
      <x:c r="G1201" s="40" t="n">
        <x:v>22.9</x:v>
      </x:c>
      <x:c r="H1201" s="40" t="n">
        <x:f>F1201-E1201</x:f>
        <x:v>1.4724868774414048</x:v>
      </x:c>
      <x:c r="I1201" s="40" t="n">
        <x:f>ABS(H1201)</x:f>
        <x:v>1.4724868774414048</x:v>
      </x:c>
      <x:c r="J1201" s="40" t="n">
        <x:f>H1201^2</x:f>
        <x:v>2.168217604237139</x:v>
      </x:c>
      <x:c r="K1201" s="40" t="n">
        <x:f>G1201-E1201</x:f>
        <x:v>2.299999999999997</x:v>
      </x:c>
      <x:c r="L1201" s="40" t="n">
        <x:f>ABS(K1201)</x:f>
        <x:v>2.299999999999997</x:v>
      </x:c>
      <x:c r="M1201" s="41" t="str">
        <x:v>lstm-soil-v1</x:v>
      </x:c>
    </x:row>
    <x:row r="1202">
      <x:c r="A1202" s="38" t="str">
        <x:v>7月30日现场数据</x:v>
      </x:c>
      <x:c r="B1202" s="39" t="str">
        <x:v>2026-08-01T14:30:00</x:v>
      </x:c>
      <x:c r="C1202" s="39" t="str">
        <x:v>2026-08-01T15:00:00</x:v>
      </x:c>
      <x:c r="D1202" s="47" t="n">
        <x:v>30</x:v>
      </x:c>
      <x:c r="E1202" s="40" t="n">
        <x:v>19.3</x:v>
      </x:c>
      <x:c r="F1202" s="40" t="n">
        <x:v>22.433101654052734</x:v>
      </x:c>
      <x:c r="G1202" s="40" t="n">
        <x:v>22.9</x:v>
      </x:c>
      <x:c r="H1202" s="40" t="n">
        <x:f>F1202-E1202</x:f>
        <x:v>3.1331016540527337</x:v>
      </x:c>
      <x:c r="I1202" s="40" t="n">
        <x:f>ABS(H1202)</x:f>
        <x:v>3.1331016540527337</x:v>
      </x:c>
      <x:c r="J1202" s="40" t="n">
        <x:f>H1202^2</x:f>
        <x:v>9.816325974627976</x:v>
      </x:c>
      <x:c r="K1202" s="40" t="n">
        <x:f>G1202-E1202</x:f>
        <x:v>3.599999999999998</x:v>
      </x:c>
      <x:c r="L1202" s="40" t="n">
        <x:f>ABS(K1202)</x:f>
        <x:v>3.599999999999998</x:v>
      </x:c>
      <x:c r="M1202" s="41" t="str">
        <x:v>lstm-soil-v1</x:v>
      </x:c>
    </x:row>
    <x:row r="1203">
      <x:c r="A1203" s="38" t="str">
        <x:v>7月30日现场数据</x:v>
      </x:c>
      <x:c r="B1203" s="39" t="str">
        <x:v>2026-08-01T14:30:00</x:v>
      </x:c>
      <x:c r="C1203" s="39" t="str">
        <x:v>2026-08-01T15:30:00</x:v>
      </x:c>
      <x:c r="D1203" s="47" t="n">
        <x:v>60</x:v>
      </x:c>
      <x:c r="E1203" s="40" t="n">
        <x:v>18.2</x:v>
      </x:c>
      <x:c r="F1203" s="40" t="n">
        <x:v>24.178783416748047</x:v>
      </x:c>
      <x:c r="G1203" s="40" t="n">
        <x:v>22.9</x:v>
      </x:c>
      <x:c r="H1203" s="40" t="n">
        <x:f>F1203-E1203</x:f>
        <x:v>5.978783416748048</x:v>
      </x:c>
      <x:c r="I1203" s="40" t="n">
        <x:f>ABS(H1203)</x:f>
        <x:v>5.978783416748048</x:v>
      </x:c>
      <x:c r="J1203" s="40" t="n">
        <x:f>H1203^2</x:f>
        <x:v>35.74585114438146</x:v>
      </x:c>
      <x:c r="K1203" s="40" t="n">
        <x:f>G1203-E1203</x:f>
        <x:v>4.699999999999999</x:v>
      </x:c>
      <x:c r="L1203" s="40" t="n">
        <x:f>ABS(K1203)</x:f>
        <x:v>4.699999999999999</x:v>
      </x:c>
      <x:c r="M1203" s="41" t="str">
        <x:v>lstm-soil-v1</x:v>
      </x:c>
    </x:row>
    <x:row r="1204">
      <x:c r="A1204" s="38" t="str">
        <x:v>7月30日现场数据</x:v>
      </x:c>
      <x:c r="B1204" s="39" t="str">
        <x:v>2026-08-01T14:35:00</x:v>
      </x:c>
      <x:c r="C1204" s="39" t="str">
        <x:v>2026-08-01T14:40:00</x:v>
      </x:c>
      <x:c r="D1204" s="47" t="n">
        <x:v>5</x:v>
      </x:c>
      <x:c r="E1204" s="40" t="n">
        <x:v>21.2</x:v>
      </x:c>
      <x:c r="F1204" s="40" t="n">
        <x:v>20.933067321777344</x:v>
      </x:c>
      <x:c r="G1204" s="40" t="n">
        <x:v>21.9</x:v>
      </x:c>
      <x:c r="H1204" s="40" t="n">
        <x:f>F1204-E1204</x:f>
        <x:v>-0.26693267822265554</x:v>
      </x:c>
      <x:c r="I1204" s="40" t="n">
        <x:f>ABS(H1204)</x:f>
        <x:v>0.26693267822265554</x:v>
      </x:c>
      <x:c r="J1204" s="40" t="n">
        <x:f>H1204^2</x:f>
        <x:v>0.07125305470311977</x:v>
      </x:c>
      <x:c r="K1204" s="40" t="n">
        <x:f>G1204-E1204</x:f>
        <x:v>0.6999999999999993</x:v>
      </x:c>
      <x:c r="L1204" s="40" t="n">
        <x:f>ABS(K1204)</x:f>
        <x:v>0.6999999999999993</x:v>
      </x:c>
      <x:c r="M1204" s="41" t="str">
        <x:v>lstm-soil-v1</x:v>
      </x:c>
    </x:row>
    <x:row r="1205">
      <x:c r="A1205" s="38" t="str">
        <x:v>7月30日现场数据</x:v>
      </x:c>
      <x:c r="B1205" s="39" t="str">
        <x:v>2026-08-01T14:35:00</x:v>
      </x:c>
      <x:c r="C1205" s="39" t="str">
        <x:v>2026-08-01T14:50:00</x:v>
      </x:c>
      <x:c r="D1205" s="47" t="n">
        <x:v>15</x:v>
      </x:c>
      <x:c r="E1205" s="40" t="n">
        <x:v>19.9</x:v>
      </x:c>
      <x:c r="F1205" s="40" t="n">
        <x:v>20.965320587158203</x:v>
      </x:c>
      <x:c r="G1205" s="40" t="n">
        <x:v>21.9</x:v>
      </x:c>
      <x:c r="H1205" s="40" t="n">
        <x:f>F1205-E1205</x:f>
        <x:v>1.0653205871582045</x:v>
      </x:c>
      <x:c r="I1205" s="40" t="n">
        <x:f>ABS(H1205)</x:f>
        <x:v>1.0653205871582045</x:v>
      </x:c>
      <x:c r="J1205" s="40" t="n">
        <x:f>H1205^2</x:f>
        <x:v>1.1349079534231017</x:v>
      </x:c>
      <x:c r="K1205" s="40" t="n">
        <x:f>G1205-E1205</x:f>
        <x:v>2</x:v>
      </x:c>
      <x:c r="L1205" s="40" t="n">
        <x:f>ABS(K1205)</x:f>
        <x:v>2</x:v>
      </x:c>
      <x:c r="M1205" s="41" t="str">
        <x:v>lstm-soil-v1</x:v>
      </x:c>
    </x:row>
    <x:row r="1206">
      <x:c r="A1206" s="38" t="str">
        <x:v>7月30日现场数据</x:v>
      </x:c>
      <x:c r="B1206" s="39" t="str">
        <x:v>2026-08-01T14:35:00</x:v>
      </x:c>
      <x:c r="C1206" s="39" t="str">
        <x:v>2026-08-01T15:05:00</x:v>
      </x:c>
      <x:c r="D1206" s="47" t="n">
        <x:v>30</x:v>
      </x:c>
      <x:c r="E1206" s="40" t="n">
        <x:v>19.1</x:v>
      </x:c>
      <x:c r="F1206" s="40" t="n">
        <x:v>21.30118179321289</x:v>
      </x:c>
      <x:c r="G1206" s="40" t="n">
        <x:v>21.9</x:v>
      </x:c>
      <x:c r="H1206" s="40" t="n">
        <x:f>F1206-E1206</x:f>
        <x:v>2.201181793212889</x:v>
      </x:c>
      <x:c r="I1206" s="40" t="n">
        <x:f>ABS(H1206)</x:f>
        <x:v>2.201181793212889</x:v>
      </x:c>
      <x:c r="J1206" s="40" t="n">
        <x:f>H1206^2</x:f>
        <x:v>4.8452012867719105</x:v>
      </x:c>
      <x:c r="K1206" s="40" t="n">
        <x:f>G1206-E1206</x:f>
        <x:v>2.799999999999997</x:v>
      </x:c>
      <x:c r="L1206" s="40" t="n">
        <x:f>ABS(K1206)</x:f>
        <x:v>2.799999999999997</x:v>
      </x:c>
      <x:c r="M1206" s="41" t="str">
        <x:v>lstm-soil-v1</x:v>
      </x:c>
    </x:row>
    <x:row r="1207">
      <x:c r="A1207" s="38" t="str">
        <x:v>7月30日现场数据</x:v>
      </x:c>
      <x:c r="B1207" s="39" t="str">
        <x:v>2026-08-01T14:35:00</x:v>
      </x:c>
      <x:c r="C1207" s="39" t="str">
        <x:v>2026-08-01T15:35:00</x:v>
      </x:c>
      <x:c r="D1207" s="47" t="n">
        <x:v>60</x:v>
      </x:c>
      <x:c r="E1207" s="40" t="n">
        <x:v>18</x:v>
      </x:c>
      <x:c r="F1207" s="40" t="n">
        <x:v>23.059986114501953</x:v>
      </x:c>
      <x:c r="G1207" s="40" t="n">
        <x:v>21.9</x:v>
      </x:c>
      <x:c r="H1207" s="40" t="n">
        <x:f>F1207-E1207</x:f>
        <x:v>5.059986114501953</x:v>
      </x:c>
      <x:c r="I1207" s="40" t="n">
        <x:f>ABS(H1207)</x:f>
        <x:v>5.059986114501953</x:v>
      </x:c>
      <x:c r="J1207" s="40" t="n">
        <x:f>H1207^2</x:f>
        <x:v>25.603459478952573</x:v>
      </x:c>
      <x:c r="K1207" s="40" t="n">
        <x:f>G1207-E1207</x:f>
        <x:v>3.8999999999999986</x:v>
      </x:c>
      <x:c r="L1207" s="40" t="n">
        <x:f>ABS(K1207)</x:f>
        <x:v>3.8999999999999986</x:v>
      </x:c>
      <x:c r="M1207" s="41" t="str">
        <x:v>lstm-soil-v1</x:v>
      </x:c>
    </x:row>
    <x:row r="1208">
      <x:c r="A1208" s="38" t="str">
        <x:v>7月30日现场数据</x:v>
      </x:c>
      <x:c r="B1208" s="39" t="str">
        <x:v>2026-08-01T14:40:00</x:v>
      </x:c>
      <x:c r="C1208" s="39" t="str">
        <x:v>2026-08-01T14:45:00</x:v>
      </x:c>
      <x:c r="D1208" s="47" t="n">
        <x:v>5</x:v>
      </x:c>
      <x:c r="E1208" s="40" t="n">
        <x:v>20.6</x:v>
      </x:c>
      <x:c r="F1208" s="40" t="n">
        <x:v>20.150299072265625</x:v>
      </x:c>
      <x:c r="G1208" s="40" t="n">
        <x:v>21.2</x:v>
      </x:c>
      <x:c r="H1208" s="40" t="n">
        <x:f>F1208-E1208</x:f>
        <x:v>-0.4497009277343764</x:v>
      </x:c>
      <x:c r="I1208" s="40" t="n">
        <x:f>ABS(H1208)</x:f>
        <x:v>0.4497009277343764</x:v>
      </x:c>
      <x:c r="J1208" s="40" t="n">
        <x:f>H1208^2</x:f>
        <x:v>0.20223092440515886</x:v>
      </x:c>
      <x:c r="K1208" s="40" t="n">
        <x:f>G1208-E1208</x:f>
        <x:v>0.5999999999999979</x:v>
      </x:c>
      <x:c r="L1208" s="40" t="n">
        <x:f>ABS(K1208)</x:f>
        <x:v>0.5999999999999979</x:v>
      </x:c>
      <x:c r="M1208" s="41" t="str">
        <x:v>lstm-soil-v1</x:v>
      </x:c>
    </x:row>
    <x:row r="1209">
      <x:c r="A1209" s="38" t="str">
        <x:v>7月30日现场数据</x:v>
      </x:c>
      <x:c r="B1209" s="39" t="str">
        <x:v>2026-08-01T14:40:00</x:v>
      </x:c>
      <x:c r="C1209" s="39" t="str">
        <x:v>2026-08-01T14:55:00</x:v>
      </x:c>
      <x:c r="D1209" s="47" t="n">
        <x:v>15</x:v>
      </x:c>
      <x:c r="E1209" s="40" t="n">
        <x:v>19.6</x:v>
      </x:c>
      <x:c r="F1209" s="40" t="n">
        <x:v>20.187599182128906</x:v>
      </x:c>
      <x:c r="G1209" s="40" t="n">
        <x:v>21.2</x:v>
      </x:c>
      <x:c r="H1209" s="40" t="n">
        <x:f>F1209-E1209</x:f>
        <x:v>0.5875991821289048</x:v>
      </x:c>
      <x:c r="I1209" s="40" t="n">
        <x:f>ABS(H1209)</x:f>
        <x:v>0.5875991821289048</x:v>
      </x:c>
      <x:c r="J1209" s="40" t="n">
        <x:f>H1209^2</x:f>
        <x:v>0.3452727988385579</x:v>
      </x:c>
      <x:c r="K1209" s="40" t="n">
        <x:f>G1209-E1209</x:f>
        <x:v>1.5999999999999979</x:v>
      </x:c>
      <x:c r="L1209" s="40" t="n">
        <x:f>ABS(K1209)</x:f>
        <x:v>1.5999999999999979</x:v>
      </x:c>
      <x:c r="M1209" s="41" t="str">
        <x:v>lstm-soil-v1</x:v>
      </x:c>
    </x:row>
    <x:row r="1210">
      <x:c r="A1210" s="38" t="str">
        <x:v>7月30日现场数据</x:v>
      </x:c>
      <x:c r="B1210" s="39" t="str">
        <x:v>2026-08-01T14:40:00</x:v>
      </x:c>
      <x:c r="C1210" s="39" t="str">
        <x:v>2026-08-01T15:10:00</x:v>
      </x:c>
      <x:c r="D1210" s="47" t="n">
        <x:v>30</x:v>
      </x:c>
      <x:c r="E1210" s="40" t="n">
        <x:v>18.9</x:v>
      </x:c>
      <x:c r="F1210" s="40" t="n">
        <x:v>20.498985290527344</x:v>
      </x:c>
      <x:c r="G1210" s="40" t="n">
        <x:v>21.2</x:v>
      </x:c>
      <x:c r="H1210" s="40" t="n">
        <x:f>F1210-E1210</x:f>
        <x:v>1.5989852905273452</x:v>
      </x:c>
      <x:c r="I1210" s="40" t="n">
        <x:f>ABS(H1210)</x:f>
        <x:v>1.5989852905273452</x:v>
      </x:c>
      <x:c r="J1210" s="40" t="n">
        <x:f>H1210^2</x:f>
        <x:v>2.5567539593228186</x:v>
      </x:c>
      <x:c r="K1210" s="40" t="n">
        <x:f>G1210-E1210</x:f>
        <x:v>2.3000000000000007</x:v>
      </x:c>
      <x:c r="L1210" s="40" t="n">
        <x:f>ABS(K1210)</x:f>
        <x:v>2.3000000000000007</x:v>
      </x:c>
      <x:c r="M1210" s="41" t="str">
        <x:v>lstm-soil-v1</x:v>
      </x:c>
    </x:row>
    <x:row r="1211">
      <x:c r="A1211" s="38" t="str">
        <x:v>7月30日现场数据</x:v>
      </x:c>
      <x:c r="B1211" s="39" t="str">
        <x:v>2026-08-01T14:40:00</x:v>
      </x:c>
      <x:c r="C1211" s="39" t="str">
        <x:v>2026-08-01T15:40:00</x:v>
      </x:c>
      <x:c r="D1211" s="47" t="n">
        <x:v>60</x:v>
      </x:c>
      <x:c r="E1211" s="40" t="n">
        <x:v>17.9</x:v>
      </x:c>
      <x:c r="F1211" s="40" t="n">
        <x:v>22.269290924072266</x:v>
      </x:c>
      <x:c r="G1211" s="40" t="n">
        <x:v>21.2</x:v>
      </x:c>
      <x:c r="H1211" s="40" t="n">
        <x:f>F1211-E1211</x:f>
        <x:v>4.369290924072267</x:v>
      </x:c>
      <x:c r="I1211" s="40" t="n">
        <x:f>ABS(H1211)</x:f>
        <x:v>4.369290924072267</x:v>
      </x:c>
      <x:c r="J1211" s="40" t="n">
        <x:f>H1211^2</x:f>
        <x:v>19.090703179180284</x:v>
      </x:c>
      <x:c r="K1211" s="40" t="n">
        <x:f>G1211-E1211</x:f>
        <x:v>3.3000000000000007</x:v>
      </x:c>
      <x:c r="L1211" s="40" t="n">
        <x:f>ABS(K1211)</x:f>
        <x:v>3.3000000000000007</x:v>
      </x:c>
      <x:c r="M1211" s="41" t="str">
        <x:v>lstm-soil-v1</x:v>
      </x:c>
    </x:row>
    <x:row r="1212">
      <x:c r="A1212" s="38" t="str">
        <x:v>7月30日现场数据</x:v>
      </x:c>
      <x:c r="B1212" s="39" t="str">
        <x:v>2026-08-01T14:45:00</x:v>
      </x:c>
      <x:c r="C1212" s="39" t="str">
        <x:v>2026-08-01T14:50:00</x:v>
      </x:c>
      <x:c r="D1212" s="47" t="n">
        <x:v>5</x:v>
      </x:c>
      <x:c r="E1212" s="40" t="n">
        <x:v>19.9</x:v>
      </x:c>
      <x:c r="F1212" s="40" t="n">
        <x:v>19.47864532470703</x:v>
      </x:c>
      <x:c r="G1212" s="40" t="n">
        <x:v>20.6</x:v>
      </x:c>
      <x:c r="H1212" s="40" t="n">
        <x:f>F1212-E1212</x:f>
        <x:v>-0.42135467529296733</x:v>
      </x:c>
      <x:c r="I1212" s="40" t="n">
        <x:f>ABS(H1212)</x:f>
        <x:v>0.42135467529296733</x:v>
      </x:c>
      <x:c r="J1212" s="40" t="n">
        <x:f>H1212^2</x:f>
        <x:v>0.17753976239124195</x:v>
      </x:c>
      <x:c r="K1212" s="40" t="n">
        <x:f>G1212-E1212</x:f>
        <x:v>0.7000000000000028</x:v>
      </x:c>
      <x:c r="L1212" s="40" t="n">
        <x:f>ABS(K1212)</x:f>
        <x:v>0.7000000000000028</x:v>
      </x:c>
      <x:c r="M1212" s="41" t="str">
        <x:v>lstm-soil-v1</x:v>
      </x:c>
    </x:row>
    <x:row r="1213">
      <x:c r="A1213" s="38" t="str">
        <x:v>7月30日现场数据</x:v>
      </x:c>
      <x:c r="B1213" s="39" t="str">
        <x:v>2026-08-01T14:45:00</x:v>
      </x:c>
      <x:c r="C1213" s="39" t="str">
        <x:v>2026-08-01T15:00:00</x:v>
      </x:c>
      <x:c r="D1213" s="47" t="n">
        <x:v>15</x:v>
      </x:c>
      <x:c r="E1213" s="40" t="n">
        <x:v>19.3</x:v>
      </x:c>
      <x:c r="F1213" s="40" t="n">
        <x:v>19.517963409423828</x:v>
      </x:c>
      <x:c r="G1213" s="40" t="n">
        <x:v>20.6</x:v>
      </x:c>
      <x:c r="H1213" s="40" t="n">
        <x:f>F1213-E1213</x:f>
        <x:v>0.21796340942382741</x:v>
      </x:c>
      <x:c r="I1213" s="40" t="n">
        <x:f>ABS(H1213)</x:f>
        <x:v>0.21796340942382741</x:v>
      </x:c>
      <x:c r="J1213" s="40" t="n">
        <x:f>H1213^2</x:f>
        <x:v>0.04750804784765902</x:v>
      </x:c>
      <x:c r="K1213" s="40" t="n">
        <x:f>G1213-E1213</x:f>
        <x:v>1.3000000000000007</x:v>
      </x:c>
      <x:c r="L1213" s="40" t="n">
        <x:f>ABS(K1213)</x:f>
        <x:v>1.3000000000000007</x:v>
      </x:c>
      <x:c r="M1213" s="41" t="str">
        <x:v>lstm-soil-v1</x:v>
      </x:c>
    </x:row>
    <x:row r="1214">
      <x:c r="A1214" s="38" t="str">
        <x:v>7月30日现场数据</x:v>
      </x:c>
      <x:c r="B1214" s="39" t="str">
        <x:v>2026-08-01T14:45:00</x:v>
      </x:c>
      <x:c r="C1214" s="39" t="str">
        <x:v>2026-08-01T15:15:00</x:v>
      </x:c>
      <x:c r="D1214" s="47" t="n">
        <x:v>30</x:v>
      </x:c>
      <x:c r="E1214" s="40" t="n">
        <x:v>18.6</x:v>
      </x:c>
      <x:c r="F1214" s="40" t="n">
        <x:v>19.810985565185547</x:v>
      </x:c>
      <x:c r="G1214" s="40" t="n">
        <x:v>20.6</x:v>
      </x:c>
      <x:c r="H1214" s="40" t="n">
        <x:f>F1214-E1214</x:f>
        <x:v>1.2109855651855455</x:v>
      </x:c>
      <x:c r="I1214" s="40" t="n">
        <x:f>ABS(H1214)</x:f>
        <x:v>1.2109855651855455</x:v>
      </x:c>
      <x:c r="J1214" s="40" t="n">
        <x:f>H1214^2</x:f>
        <x:v>1.466486039087755</x:v>
      </x:c>
      <x:c r="K1214" s="40" t="n">
        <x:f>G1214-E1214</x:f>
        <x:v>2</x:v>
      </x:c>
      <x:c r="L1214" s="40" t="n">
        <x:f>ABS(K1214)</x:f>
        <x:v>2</x:v>
      </x:c>
      <x:c r="M1214" s="41" t="str">
        <x:v>lstm-soil-v1</x:v>
      </x:c>
    </x:row>
    <x:row r="1215">
      <x:c r="A1215" s="38" t="str">
        <x:v>7月30日现场数据</x:v>
      </x:c>
      <x:c r="B1215" s="39" t="str">
        <x:v>2026-08-01T14:45:00</x:v>
      </x:c>
      <x:c r="C1215" s="39" t="str">
        <x:v>2026-08-01T15:45:00</x:v>
      </x:c>
      <x:c r="D1215" s="47" t="n">
        <x:v>60</x:v>
      </x:c>
      <x:c r="E1215" s="40" t="n">
        <x:v>17.8</x:v>
      </x:c>
      <x:c r="F1215" s="40" t="n">
        <x:v>21.586437225341797</x:v>
      </x:c>
      <x:c r="G1215" s="40" t="n">
        <x:v>20.6</x:v>
      </x:c>
      <x:c r="H1215" s="40" t="n">
        <x:f>F1215-E1215</x:f>
        <x:v>3.786437225341796</x:v>
      </x:c>
      <x:c r="I1215" s="40" t="n">
        <x:f>ABS(H1215)</x:f>
        <x:v>3.786437225341796</x:v>
      </x:c>
      <x:c r="J1215" s="40" t="n">
        <x:f>H1215^2</x:f>
        <x:v>14.33710686145408</x:v>
      </x:c>
      <x:c r="K1215" s="40" t="n">
        <x:f>G1215-E1215</x:f>
        <x:v>2.8000000000000007</x:v>
      </x:c>
      <x:c r="L1215" s="40" t="n">
        <x:f>ABS(K1215)</x:f>
        <x:v>2.8000000000000007</x:v>
      </x:c>
      <x:c r="M1215" s="41" t="str">
        <x:v>lstm-soil-v1</x:v>
      </x:c>
    </x:row>
    <x:row r="1216">
      <x:c r="A1216" s="38" t="str">
        <x:v>7月30日现场数据</x:v>
      </x:c>
      <x:c r="B1216" s="39" t="str">
        <x:v>2026-08-01T14:50:00</x:v>
      </x:c>
      <x:c r="C1216" s="39" t="str">
        <x:v>2026-08-01T14:55:00</x:v>
      </x:c>
      <x:c r="D1216" s="47" t="n">
        <x:v>5</x:v>
      </x:c>
      <x:c r="E1216" s="40" t="n">
        <x:v>19.6</x:v>
      </x:c>
      <x:c r="F1216" s="40" t="n">
        <x:v>18.702850341796875</x:v>
      </x:c>
      <x:c r="G1216" s="40" t="n">
        <x:v>19.9</x:v>
      </x:c>
      <x:c r="H1216" s="40" t="n">
        <x:f>F1216-E1216</x:f>
        <x:v>-0.8971496582031264</x:v>
      </x:c>
      <x:c r="I1216" s="40" t="n">
        <x:f>ABS(H1216)</x:f>
        <x:v>0.8971496582031264</x:v>
      </x:c>
      <x:c r="J1216" s="40" t="n">
        <x:f>H1216^2</x:f>
        <x:v>0.8048775092139866</x:v>
      </x:c>
      <x:c r="K1216" s="40" t="n">
        <x:f>G1216-E1216</x:f>
        <x:v>0.29999999999999716</x:v>
      </x:c>
      <x:c r="L1216" s="40" t="n">
        <x:f>ABS(K1216)</x:f>
        <x:v>0.29999999999999716</x:v>
      </x:c>
      <x:c r="M1216" s="41" t="str">
        <x:v>lstm-soil-v1</x:v>
      </x:c>
    </x:row>
    <x:row r="1217">
      <x:c r="A1217" s="38" t="str">
        <x:v>7月30日现场数据</x:v>
      </x:c>
      <x:c r="B1217" s="39" t="str">
        <x:v>2026-08-01T14:50:00</x:v>
      </x:c>
      <x:c r="C1217" s="39" t="str">
        <x:v>2026-08-01T15:05:00</x:v>
      </x:c>
      <x:c r="D1217" s="47" t="n">
        <x:v>15</x:v>
      </x:c>
      <x:c r="E1217" s="40" t="n">
        <x:v>19.1</x:v>
      </x:c>
      <x:c r="F1217" s="40" t="n">
        <x:v>18.759437561035156</x:v>
      </x:c>
      <x:c r="G1217" s="40" t="n">
        <x:v>19.9</x:v>
      </x:c>
      <x:c r="H1217" s="40" t="n">
        <x:f>F1217-E1217</x:f>
        <x:v>-0.34056243896484517</x:v>
      </x:c>
      <x:c r="I1217" s="40" t="n">
        <x:f>ABS(H1217)</x:f>
        <x:v>0.34056243896484517</x:v>
      </x:c>
      <x:c r="J1217" s="40" t="n">
        <x:f>H1217^2</x:f>
        <x:v>0.1159827748336839</x:v>
      </x:c>
      <x:c r="K1217" s="40" t="n">
        <x:f>G1217-E1217</x:f>
        <x:v>0.7999999999999972</x:v>
      </x:c>
      <x:c r="L1217" s="40" t="n">
        <x:f>ABS(K1217)</x:f>
        <x:v>0.7999999999999972</x:v>
      </x:c>
      <x:c r="M1217" s="41" t="str">
        <x:v>lstm-soil-v1</x:v>
      </x:c>
    </x:row>
    <x:row r="1218">
      <x:c r="A1218" s="38" t="str">
        <x:v>7月30日现场数据</x:v>
      </x:c>
      <x:c r="B1218" s="39" t="str">
        <x:v>2026-08-01T14:50:00</x:v>
      </x:c>
      <x:c r="C1218" s="39" t="str">
        <x:v>2026-08-01T15:20:00</x:v>
      </x:c>
      <x:c r="D1218" s="47" t="n">
        <x:v>30</x:v>
      </x:c>
      <x:c r="E1218" s="40" t="n">
        <x:v>18.5</x:v>
      </x:c>
      <x:c r="F1218" s="40" t="n">
        <x:v>19.017803192138672</x:v>
      </x:c>
      <x:c r="G1218" s="40" t="n">
        <x:v>19.9</x:v>
      </x:c>
      <x:c r="H1218" s="40" t="n">
        <x:f>F1218-E1218</x:f>
        <x:v>0.5178031921386719</x:v>
      </x:c>
      <x:c r="I1218" s="40" t="n">
        <x:f>ABS(H1218)</x:f>
        <x:v>0.5178031921386719</x:v>
      </x:c>
      <x:c r="J1218" s="40" t="n">
        <x:f>H1218^2</x:f>
        <x:v>0.26812014578899834</x:v>
      </x:c>
      <x:c r="K1218" s="40" t="n">
        <x:f>G1218-E1218</x:f>
        <x:v>1.3999999999999986</x:v>
      </x:c>
      <x:c r="L1218" s="40" t="n">
        <x:f>ABS(K1218)</x:f>
        <x:v>1.3999999999999986</x:v>
      </x:c>
      <x:c r="M1218" s="41" t="str">
        <x:v>lstm-soil-v1</x:v>
      </x:c>
    </x:row>
    <x:row r="1219">
      <x:c r="A1219" s="38" t="str">
        <x:v>7月30日现场数据</x:v>
      </x:c>
      <x:c r="B1219" s="39" t="str">
        <x:v>2026-08-01T14:50:00</x:v>
      </x:c>
      <x:c r="C1219" s="39" t="str">
        <x:v>2026-08-01T15:50:00</x:v>
      </x:c>
      <x:c r="D1219" s="47" t="n">
        <x:v>60</x:v>
      </x:c>
      <x:c r="E1219" s="40" t="n">
        <x:v>17.6</x:v>
      </x:c>
      <x:c r="F1219" s="40" t="n">
        <x:v>20.787342071533203</x:v>
      </x:c>
      <x:c r="G1219" s="40" t="n">
        <x:v>19.9</x:v>
      </x:c>
      <x:c r="H1219" s="40" t="n">
        <x:f>F1219-E1219</x:f>
        <x:v>3.1873420715332017</x:v>
      </x:c>
      <x:c r="I1219" s="40" t="n">
        <x:f>ABS(H1219)</x:f>
        <x:v>3.1873420715332017</x:v>
      </x:c>
      <x:c r="J1219" s="40" t="n">
        <x:f>H1219^2</x:f>
        <x:v>10.159149480965562</x:v>
      </x:c>
      <x:c r="K1219" s="40" t="n">
        <x:f>G1219-E1219</x:f>
        <x:v>2.299999999999997</x:v>
      </x:c>
      <x:c r="L1219" s="40" t="n">
        <x:f>ABS(K1219)</x:f>
        <x:v>2.299999999999997</x:v>
      </x:c>
      <x:c r="M1219" s="41" t="str">
        <x:v>lstm-soil-v1</x:v>
      </x:c>
    </x:row>
    <x:row r="1220">
      <x:c r="A1220" s="38" t="str">
        <x:v>7月30日现场数据</x:v>
      </x:c>
      <x:c r="B1220" s="39" t="str">
        <x:v>2026-08-01T14:55:00</x:v>
      </x:c>
      <x:c r="C1220" s="39" t="str">
        <x:v>2026-08-01T15:00:00</x:v>
      </x:c>
      <x:c r="D1220" s="47" t="n">
        <x:v>5</x:v>
      </x:c>
      <x:c r="E1220" s="40" t="n">
        <x:v>19.3</x:v>
      </x:c>
      <x:c r="F1220" s="40" t="n">
        <x:v>18.345096588134766</x:v>
      </x:c>
      <x:c r="G1220" s="40" t="n">
        <x:v>19.6</x:v>
      </x:c>
      <x:c r="H1220" s="40" t="n">
        <x:f>F1220-E1220</x:f>
        <x:v>-0.9549034118652351</x:v>
      </x:c>
      <x:c r="I1220" s="40" t="n">
        <x:f>ABS(H1220)</x:f>
        <x:v>0.9549034118652351</x:v>
      </x:c>
      <x:c r="J1220" s="40" t="n">
        <x:f>H1220^2</x:f>
        <x:v>0.9118405259918668</x:v>
      </x:c>
      <x:c r="K1220" s="40" t="n">
        <x:f>G1220-E1220</x:f>
        <x:v>0.3000000000000007</x:v>
      </x:c>
      <x:c r="L1220" s="40" t="n">
        <x:f>ABS(K1220)</x:f>
        <x:v>0.3000000000000007</x:v>
      </x:c>
      <x:c r="M1220" s="41" t="str">
        <x:v>lstm-soil-v1</x:v>
      </x:c>
    </x:row>
    <x:row r="1221">
      <x:c r="A1221" s="38" t="str">
        <x:v>7月30日现场数据</x:v>
      </x:c>
      <x:c r="B1221" s="39" t="str">
        <x:v>2026-08-01T14:55:00</x:v>
      </x:c>
      <x:c r="C1221" s="39" t="str">
        <x:v>2026-08-01T15:10:00</x:v>
      </x:c>
      <x:c r="D1221" s="47" t="n">
        <x:v>15</x:v>
      </x:c>
      <x:c r="E1221" s="40" t="n">
        <x:v>18.9</x:v>
      </x:c>
      <x:c r="F1221" s="40" t="n">
        <x:v>18.41516876220703</x:v>
      </x:c>
      <x:c r="G1221" s="40" t="n">
        <x:v>19.6</x:v>
      </x:c>
      <x:c r="H1221" s="40" t="n">
        <x:f>F1221-E1221</x:f>
        <x:v>-0.48483123779296733</x:v>
      </x:c>
      <x:c r="I1221" s="40" t="n">
        <x:f>ABS(H1221)</x:f>
        <x:v>0.48483123779296733</x:v>
      </x:c>
      <x:c r="J1221" s="40" t="n">
        <x:f>H1221^2</x:f>
        <x:v>0.23506132913986083</x:v>
      </x:c>
      <x:c r="K1221" s="40" t="n">
        <x:f>G1221-E1221</x:f>
        <x:v>0.7000000000000028</x:v>
      </x:c>
      <x:c r="L1221" s="40" t="n">
        <x:f>ABS(K1221)</x:f>
        <x:v>0.7000000000000028</x:v>
      </x:c>
      <x:c r="M1221" s="41" t="str">
        <x:v>lstm-soil-v1</x:v>
      </x:c>
    </x:row>
    <x:row r="1222">
      <x:c r="A1222" s="38" t="str">
        <x:v>7月30日现场数据</x:v>
      </x:c>
      <x:c r="B1222" s="39" t="str">
        <x:v>2026-08-01T14:55:00</x:v>
      </x:c>
      <x:c r="C1222" s="39" t="str">
        <x:v>2026-08-01T15:25:00</x:v>
      </x:c>
      <x:c r="D1222" s="47" t="n">
        <x:v>30</x:v>
      </x:c>
      <x:c r="E1222" s="40" t="n">
        <x:v>18.4</x:v>
      </x:c>
      <x:c r="F1222" s="40" t="n">
        <x:v>18.652111053466797</x:v>
      </x:c>
      <x:c r="G1222" s="40" t="n">
        <x:v>19.6</x:v>
      </x:c>
      <x:c r="H1222" s="40" t="n">
        <x:f>F1222-E1222</x:f>
        <x:v>0.2521110534667983</x:v>
      </x:c>
      <x:c r="I1222" s="40" t="n">
        <x:f>ABS(H1222)</x:f>
        <x:v>0.2521110534667983</x:v>
      </x:c>
      <x:c r="J1222" s="40" t="n">
        <x:f>H1222^2</x:f>
        <x:v>0.06355998328013883</x:v>
      </x:c>
      <x:c r="K1222" s="40" t="n">
        <x:f>G1222-E1222</x:f>
        <x:v>1.2000000000000028</x:v>
      </x:c>
      <x:c r="L1222" s="40" t="n">
        <x:f>ABS(K1222)</x:f>
        <x:v>1.2000000000000028</x:v>
      </x:c>
      <x:c r="M1222" s="41" t="str">
        <x:v>lstm-soil-v1</x:v>
      </x:c>
    </x:row>
    <x:row r="1223">
      <x:c r="A1223" s="38" t="str">
        <x:v>7月30日现场数据</x:v>
      </x:c>
      <x:c r="B1223" s="39" t="str">
        <x:v>2026-08-01T14:55:00</x:v>
      </x:c>
      <x:c r="C1223" s="39" t="str">
        <x:v>2026-08-01T15:55:00</x:v>
      </x:c>
      <x:c r="D1223" s="47" t="n">
        <x:v>60</x:v>
      </x:c>
      <x:c r="E1223" s="40" t="n">
        <x:v>17.6</x:v>
      </x:c>
      <x:c r="F1223" s="40" t="n">
        <x:v>20.422813415527344</x:v>
      </x:c>
      <x:c r="G1223" s="40" t="n">
        <x:v>19.6</x:v>
      </x:c>
      <x:c r="H1223" s="40" t="n">
        <x:f>F1223-E1223</x:f>
        <x:v>2.8228134155273423</x:v>
      </x:c>
      <x:c r="I1223" s="40" t="n">
        <x:f>ABS(H1223)</x:f>
        <x:v>2.8228134155273423</x:v>
      </x:c>
      <x:c r="J1223" s="40" t="n">
        <x:f>H1223^2</x:f>
        <x:v>7.968275578881141</x:v>
      </x:c>
      <x:c r="K1223" s="40" t="n">
        <x:f>G1223-E1223</x:f>
        <x:v>2</x:v>
      </x:c>
      <x:c r="L1223" s="40" t="n">
        <x:f>ABS(K1223)</x:f>
        <x:v>2</x:v>
      </x:c>
      <x:c r="M1223" s="41" t="str">
        <x:v>lstm-soil-v1</x:v>
      </x:c>
    </x:row>
    <x:row r="1224">
      <x:c r="A1224" s="38" t="str">
        <x:v>7月30日现场数据</x:v>
      </x:c>
      <x:c r="B1224" s="39" t="str">
        <x:v>2026-08-01T15:00:00</x:v>
      </x:c>
      <x:c r="C1224" s="39" t="str">
        <x:v>2026-08-01T15:05:00</x:v>
      </x:c>
      <x:c r="D1224" s="47" t="n">
        <x:v>5</x:v>
      </x:c>
      <x:c r="E1224" s="40" t="n">
        <x:v>19.1</x:v>
      </x:c>
      <x:c r="F1224" s="40" t="n">
        <x:v>18.005977630615234</x:v>
      </x:c>
      <x:c r="G1224" s="40" t="n">
        <x:v>19.3</x:v>
      </x:c>
      <x:c r="H1224" s="40" t="n">
        <x:f>F1224-E1224</x:f>
        <x:v>-1.094022369384767</x:v>
      </x:c>
      <x:c r="I1224" s="40" t="n">
        <x:f>ABS(H1224)</x:f>
        <x:v>1.094022369384767</x:v>
      </x:c>
      <x:c r="J1224" s="40" t="n">
        <x:f>H1224^2</x:f>
        <x:v>1.1968849447142598</x:v>
      </x:c>
      <x:c r="K1224" s="40" t="n">
        <x:f>G1224-E1224</x:f>
        <x:v>0.1999999999999993</x:v>
      </x:c>
      <x:c r="L1224" s="40" t="n">
        <x:f>ABS(K1224)</x:f>
        <x:v>0.1999999999999993</x:v>
      </x:c>
      <x:c r="M1224" s="41" t="str">
        <x:v>lstm-soil-v1</x:v>
      </x:c>
    </x:row>
    <x:row r="1225">
      <x:c r="A1225" s="38" t="str">
        <x:v>7月30日现场数据</x:v>
      </x:c>
      <x:c r="B1225" s="39" t="str">
        <x:v>2026-08-01T15:00:00</x:v>
      </x:c>
      <x:c r="C1225" s="39" t="str">
        <x:v>2026-08-01T15:15:00</x:v>
      </x:c>
      <x:c r="D1225" s="47" t="n">
        <x:v>15</x:v>
      </x:c>
      <x:c r="E1225" s="40" t="n">
        <x:v>18.6</x:v>
      </x:c>
      <x:c r="F1225" s="40" t="n">
        <x:v>18.078571319580078</x:v>
      </x:c>
      <x:c r="G1225" s="40" t="n">
        <x:v>19.3</x:v>
      </x:c>
      <x:c r="H1225" s="40" t="n">
        <x:f>F1225-E1225</x:f>
        <x:v>-0.5214286804199233</x:v>
      </x:c>
      <x:c r="I1225" s="40" t="n">
        <x:f>ABS(H1225)</x:f>
        <x:v>0.5214286804199233</x:v>
      </x:c>
      <x:c r="J1225" s="40" t="n">
        <x:f>H1225^2</x:f>
        <x:v>0.2718878687644625</x:v>
      </x:c>
      <x:c r="K1225" s="40" t="n">
        <x:f>G1225-E1225</x:f>
        <x:v>0.6999999999999993</x:v>
      </x:c>
      <x:c r="L1225" s="40" t="n">
        <x:f>ABS(K1225)</x:f>
        <x:v>0.6999999999999993</x:v>
      </x:c>
      <x:c r="M1225" s="41" t="str">
        <x:v>lstm-soil-v1</x:v>
      </x:c>
    </x:row>
    <x:row r="1226">
      <x:c r="A1226" s="38" t="str">
        <x:v>7月30日现场数据</x:v>
      </x:c>
      <x:c r="B1226" s="39" t="str">
        <x:v>2026-08-01T15:00:00</x:v>
      </x:c>
      <x:c r="C1226" s="39" t="str">
        <x:v>2026-08-01T15:30:00</x:v>
      </x:c>
      <x:c r="D1226" s="47" t="n">
        <x:v>30</x:v>
      </x:c>
      <x:c r="E1226" s="40" t="n">
        <x:v>18.2</x:v>
      </x:c>
      <x:c r="F1226" s="40" t="n">
        <x:v>18.313926696777344</x:v>
      </x:c>
      <x:c r="G1226" s="40" t="n">
        <x:v>19.3</x:v>
      </x:c>
      <x:c r="H1226" s="40" t="n">
        <x:f>F1226-E1226</x:f>
        <x:v>0.11392669677734446</x:v>
      </x:c>
      <x:c r="I1226" s="40" t="n">
        <x:f>ABS(H1226)</x:f>
        <x:v>0.11392669677734446</x:v>
      </x:c>
      <x:c r="J1226" s="40" t="n">
        <x:f>H1226^2</x:f>
        <x:v>0.01297929223859699</x:v>
      </x:c>
      <x:c r="K1226" s="40" t="n">
        <x:f>G1226-E1226</x:f>
        <x:v>1.1000000000000014</x:v>
      </x:c>
      <x:c r="L1226" s="40" t="n">
        <x:f>ABS(K1226)</x:f>
        <x:v>1.1000000000000014</x:v>
      </x:c>
      <x:c r="M1226" s="41" t="str">
        <x:v>lstm-soil-v1</x:v>
      </x:c>
    </x:row>
    <x:row r="1227">
      <x:c r="A1227" s="38" t="str">
        <x:v>7月30日现场数据</x:v>
      </x:c>
      <x:c r="B1227" s="39" t="str">
        <x:v>2026-08-01T15:00:00</x:v>
      </x:c>
      <x:c r="C1227" s="39" t="str">
        <x:v>2026-08-01T16:00:00</x:v>
      </x:c>
      <x:c r="D1227" s="47" t="n">
        <x:v>60</x:v>
      </x:c>
      <x:c r="E1227" s="40" t="n">
        <x:v>17.5</x:v>
      </x:c>
      <x:c r="F1227" s="40" t="n">
        <x:v>20.0849609375</x:v>
      </x:c>
      <x:c r="G1227" s="40" t="n">
        <x:v>19.3</x:v>
      </x:c>
      <x:c r="H1227" s="40" t="n">
        <x:f>F1227-E1227</x:f>
        <x:v>2.5849609375</x:v>
      </x:c>
      <x:c r="I1227" s="40" t="n">
        <x:f>ABS(H1227)</x:f>
        <x:v>2.5849609375</x:v>
      </x:c>
      <x:c r="J1227" s="40" t="n">
        <x:f>H1227^2</x:f>
        <x:v>6.682023048400879</x:v>
      </x:c>
      <x:c r="K1227" s="40" t="n">
        <x:f>G1227-E1227</x:f>
        <x:v>1.8000000000000007</x:v>
      </x:c>
      <x:c r="L1227" s="40" t="n">
        <x:f>ABS(K1227)</x:f>
        <x:v>1.8000000000000007</x:v>
      </x:c>
      <x:c r="M1227" s="41" t="str">
        <x:v>lstm-soil-v1</x:v>
      </x:c>
    </x:row>
    <x:row r="1228">
      <x:c r="A1228" s="38" t="str">
        <x:v>7月30日现场数据</x:v>
      </x:c>
      <x:c r="B1228" s="39" t="str">
        <x:v>2026-08-01T15:05:00</x:v>
      </x:c>
      <x:c r="C1228" s="39" t="str">
        <x:v>2026-08-01T15:10:00</x:v>
      </x:c>
      <x:c r="D1228" s="47" t="n">
        <x:v>5</x:v>
      </x:c>
      <x:c r="E1228" s="40" t="n">
        <x:v>18.9</x:v>
      </x:c>
      <x:c r="F1228" s="40" t="n">
        <x:v>17.784744262695312</x:v>
      </x:c>
      <x:c r="G1228" s="40" t="n">
        <x:v>19.1</x:v>
      </x:c>
      <x:c r="H1228" s="40" t="n">
        <x:f>F1228-E1228</x:f>
        <x:v>-1.115255737304686</x:v>
      </x:c>
      <x:c r="I1228" s="40" t="n">
        <x:f>ABS(H1228)</x:f>
        <x:v>1.115255737304686</x:v>
      </x:c>
      <x:c r="J1228" s="40" t="n">
        <x:f>H1228^2</x:f>
        <x:v>1.243795359591019</x:v>
      </x:c>
      <x:c r="K1228" s="40" t="n">
        <x:f>G1228-E1228</x:f>
        <x:v>0.20000000000000284</x:v>
      </x:c>
      <x:c r="L1228" s="40" t="n">
        <x:f>ABS(K1228)</x:f>
        <x:v>0.20000000000000284</x:v>
      </x:c>
      <x:c r="M1228" s="41" t="str">
        <x:v>lstm-soil-v1</x:v>
      </x:c>
    </x:row>
    <x:row r="1229">
      <x:c r="A1229" s="38" t="str">
        <x:v>7月30日现场数据</x:v>
      </x:c>
      <x:c r="B1229" s="39" t="str">
        <x:v>2026-08-01T15:05:00</x:v>
      </x:c>
      <x:c r="C1229" s="39" t="str">
        <x:v>2026-08-01T15:20:00</x:v>
      </x:c>
      <x:c r="D1229" s="47" t="n">
        <x:v>15</x:v>
      </x:c>
      <x:c r="E1229" s="40" t="n">
        <x:v>18.5</x:v>
      </x:c>
      <x:c r="F1229" s="40" t="n">
        <x:v>17.854839324951172</x:v>
      </x:c>
      <x:c r="G1229" s="40" t="n">
        <x:v>19.1</x:v>
      </x:c>
      <x:c r="H1229" s="40" t="n">
        <x:f>F1229-E1229</x:f>
        <x:v>-0.6451606750488281</x:v>
      </x:c>
      <x:c r="I1229" s="40" t="n">
        <x:f>ABS(H1229)</x:f>
        <x:v>0.6451606750488281</x:v>
      </x:c>
      <x:c r="J1229" s="40" t="n">
        <x:f>H1229^2</x:f>
        <x:v>0.4162322966294596</x:v>
      </x:c>
      <x:c r="K1229" s="40" t="n">
        <x:f>G1229-E1229</x:f>
        <x:v>0.6000000000000014</x:v>
      </x:c>
      <x:c r="L1229" s="40" t="n">
        <x:f>ABS(K1229)</x:f>
        <x:v>0.6000000000000014</x:v>
      </x:c>
      <x:c r="M1229" s="41" t="str">
        <x:v>lstm-soil-v1</x:v>
      </x:c>
    </x:row>
    <x:row r="1230">
      <x:c r="A1230" s="38" t="str">
        <x:v>7月30日现场数据</x:v>
      </x:c>
      <x:c r="B1230" s="39" t="str">
        <x:v>2026-08-01T15:05:00</x:v>
      </x:c>
      <x:c r="C1230" s="39" t="str">
        <x:v>2026-08-01T15:35:00</x:v>
      </x:c>
      <x:c r="D1230" s="47" t="n">
        <x:v>30</x:v>
      </x:c>
      <x:c r="E1230" s="40" t="n">
        <x:v>18</x:v>
      </x:c>
      <x:c r="F1230" s="40" t="n">
        <x:v>18.09426498413086</x:v>
      </x:c>
      <x:c r="G1230" s="40" t="n">
        <x:v>19.1</x:v>
      </x:c>
      <x:c r="H1230" s="40" t="n">
        <x:f>F1230-E1230</x:f>
        <x:v>0.09426498413085938</x:v>
      </x:c>
      <x:c r="I1230" s="40" t="n">
        <x:f>ABS(H1230)</x:f>
        <x:v>0.09426498413085938</x:v>
      </x:c>
      <x:c r="J1230" s="40" t="n">
        <x:f>H1230^2</x:f>
        <x:v>0.00888588723319117</x:v>
      </x:c>
      <x:c r="K1230" s="40" t="n">
        <x:f>G1230-E1230</x:f>
        <x:v>1.1000000000000014</x:v>
      </x:c>
      <x:c r="L1230" s="40" t="n">
        <x:f>ABS(K1230)</x:f>
        <x:v>1.1000000000000014</x:v>
      </x:c>
      <x:c r="M1230" s="41" t="str">
        <x:v>lstm-soil-v1</x:v>
      </x:c>
    </x:row>
    <x:row r="1231">
      <x:c r="A1231" s="38" t="str">
        <x:v>7月30日现场数据</x:v>
      </x:c>
      <x:c r="B1231" s="39" t="str">
        <x:v>2026-08-01T15:05:00</x:v>
      </x:c>
      <x:c r="C1231" s="39" t="str">
        <x:v>2026-08-01T16:05:00</x:v>
      </x:c>
      <x:c r="D1231" s="47" t="n">
        <x:v>60</x:v>
      </x:c>
      <x:c r="E1231" s="40" t="n">
        <x:v>17.4</x:v>
      </x:c>
      <x:c r="F1231" s="40" t="n">
        <x:v>19.869503021240234</x:v>
      </x:c>
      <x:c r="G1231" s="40" t="n">
        <x:v>19.1</x:v>
      </x:c>
      <x:c r="H1231" s="40" t="n">
        <x:f>F1231-E1231</x:f>
        <x:v>2.469503021240236</x:v>
      </x:c>
      <x:c r="I1231" s="40" t="n">
        <x:f>ABS(H1231)</x:f>
        <x:v>2.469503021240236</x:v>
      </x:c>
      <x:c r="J1231" s="40" t="n">
        <x:f>H1231^2</x:f>
        <x:v>6.098445171914652</x:v>
      </x:c>
      <x:c r="K1231" s="40" t="n">
        <x:f>G1231-E1231</x:f>
        <x:v>1.7000000000000028</x:v>
      </x:c>
      <x:c r="L1231" s="40" t="n">
        <x:f>ABS(K1231)</x:f>
        <x:v>1.7000000000000028</x:v>
      </x:c>
      <x:c r="M1231" s="41" t="str">
        <x:v>lstm-soil-v1</x:v>
      </x:c>
    </x:row>
    <x:row r="1232">
      <x:c r="A1232" s="38" t="str">
        <x:v>7月30日现场数据</x:v>
      </x:c>
      <x:c r="B1232" s="39" t="str">
        <x:v>2026-08-01T15:10:00</x:v>
      </x:c>
      <x:c r="C1232" s="39" t="str">
        <x:v>2026-08-01T15:15:00</x:v>
      </x:c>
      <x:c r="D1232" s="47" t="n">
        <x:v>5</x:v>
      </x:c>
      <x:c r="E1232" s="40" t="n">
        <x:v>18.6</x:v>
      </x:c>
      <x:c r="F1232" s="40" t="n">
        <x:v>17.565185546875</x:v>
      </x:c>
      <x:c r="G1232" s="40" t="n">
        <x:v>18.9</x:v>
      </x:c>
      <x:c r="H1232" s="40" t="n">
        <x:f>F1232-E1232</x:f>
        <x:v>-1.0348144531250014</x:v>
      </x:c>
      <x:c r="I1232" s="40" t="n">
        <x:f>ABS(H1232)</x:f>
        <x:v>1.0348144531250014</x:v>
      </x:c>
      <x:c r="J1232" s="40" t="n">
        <x:f>H1232^2</x:f>
        <x:v>1.0708409523963958</x:v>
      </x:c>
      <x:c r="K1232" s="40" t="n">
        <x:f>G1232-E1232</x:f>
        <x:v>0.29999999999999716</x:v>
      </x:c>
      <x:c r="L1232" s="40" t="n">
        <x:f>ABS(K1232)</x:f>
        <x:v>0.29999999999999716</x:v>
      </x:c>
      <x:c r="M1232" s="41" t="str">
        <x:v>lstm-soil-v1</x:v>
      </x:c>
    </x:row>
    <x:row r="1233">
      <x:c r="A1233" s="38" t="str">
        <x:v>7月30日现场数据</x:v>
      </x:c>
      <x:c r="B1233" s="39" t="str">
        <x:v>2026-08-01T15:10:00</x:v>
      </x:c>
      <x:c r="C1233" s="39" t="str">
        <x:v>2026-08-01T15:25:00</x:v>
      </x:c>
      <x:c r="D1233" s="47" t="n">
        <x:v>15</x:v>
      </x:c>
      <x:c r="E1233" s="40" t="n">
        <x:v>18.4</x:v>
      </x:c>
      <x:c r="F1233" s="40" t="n">
        <x:v>17.632640838623047</x:v>
      </x:c>
      <x:c r="G1233" s="40" t="n">
        <x:v>18.9</x:v>
      </x:c>
      <x:c r="H1233" s="40" t="n">
        <x:f>F1233-E1233</x:f>
        <x:v>-0.7673591613769517</x:v>
      </x:c>
      <x:c r="I1233" s="40" t="n">
        <x:f>ABS(H1233)</x:f>
        <x:v>0.7673591613769517</x:v>
      </x:c>
      <x:c r="J1233" s="40" t="n">
        <x:f>H1233^2</x:f>
        <x:v>0.5888400825491386</x:v>
      </x:c>
      <x:c r="K1233" s="40" t="n">
        <x:f>G1233-E1233</x:f>
        <x:v>0.5</x:v>
      </x:c>
      <x:c r="L1233" s="40" t="n">
        <x:f>ABS(K1233)</x:f>
        <x:v>0.5</x:v>
      </x:c>
      <x:c r="M1233" s="41" t="str">
        <x:v>lstm-soil-v1</x:v>
      </x:c>
    </x:row>
    <x:row r="1234">
      <x:c r="A1234" s="38" t="str">
        <x:v>7月30日现场数据</x:v>
      </x:c>
      <x:c r="B1234" s="39" t="str">
        <x:v>2026-08-01T15:10:00</x:v>
      </x:c>
      <x:c r="C1234" s="39" t="str">
        <x:v>2026-08-01T15:40:00</x:v>
      </x:c>
      <x:c r="D1234" s="47" t="n">
        <x:v>30</x:v>
      </x:c>
      <x:c r="E1234" s="40" t="n">
        <x:v>17.9</x:v>
      </x:c>
      <x:c r="F1234" s="40" t="n">
        <x:v>17.877609252929688</x:v>
      </x:c>
      <x:c r="G1234" s="40" t="n">
        <x:v>18.9</x:v>
      </x:c>
      <x:c r="H1234" s="40" t="n">
        <x:f>F1234-E1234</x:f>
        <x:v>-0.02239074707031108</x:v>
      </x:c>
      <x:c r="I1234" s="40" t="n">
        <x:f>ABS(H1234)</x:f>
        <x:v>0.02239074707031108</x:v>
      </x:c>
      <x:c r="J1234" s="40" t="n">
        <x:f>H1234^2</x:f>
        <x:v>0.0005013455543666442</x:v>
      </x:c>
      <x:c r="K1234" s="40" t="n">
        <x:f>G1234-E1234</x:f>
        <x:v>1</x:v>
      </x:c>
      <x:c r="L1234" s="40" t="n">
        <x:f>ABS(K1234)</x:f>
        <x:v>1</x:v>
      </x:c>
      <x:c r="M1234" s="41" t="str">
        <x:v>lstm-soil-v1</x:v>
      </x:c>
    </x:row>
    <x:row r="1235">
      <x:c r="A1235" s="38" t="str">
        <x:v>7月30日现场数据</x:v>
      </x:c>
      <x:c r="B1235" s="39" t="str">
        <x:v>2026-08-01T15:10:00</x:v>
      </x:c>
      <x:c r="C1235" s="39" t="str">
        <x:v>2026-08-01T16:10:00</x:v>
      </x:c>
      <x:c r="D1235" s="47" t="n">
        <x:v>60</x:v>
      </x:c>
      <x:c r="E1235" s="40" t="n">
        <x:v>17.3</x:v>
      </x:c>
      <x:c r="F1235" s="40" t="n">
        <x:v>19.655254364013672</x:v>
      </x:c>
      <x:c r="G1235" s="40" t="n">
        <x:v>18.9</x:v>
      </x:c>
      <x:c r="H1235" s="40" t="n">
        <x:f>F1235-E1235</x:f>
        <x:v>2.355254364013671</x:v>
      </x:c>
      <x:c r="I1235" s="40" t="n">
        <x:f>ABS(H1235)</x:f>
        <x:v>2.355254364013671</x:v>
      </x:c>
      <x:c r="J1235" s="40" t="n">
        <x:f>H1235^2</x:f>
        <x:v>5.547223119205443</x:v>
      </x:c>
      <x:c r="K1235" s="40" t="n">
        <x:f>G1235-E1235</x:f>
        <x:v>1.5999999999999979</x:v>
      </x:c>
      <x:c r="L1235" s="40" t="n">
        <x:f>ABS(K1235)</x:f>
        <x:v>1.5999999999999979</x:v>
      </x:c>
      <x:c r="M1235" s="41" t="str">
        <x:v>lstm-soil-v1</x:v>
      </x:c>
    </x:row>
    <x:row r="1236">
      <x:c r="A1236" s="38" t="str">
        <x:v>7月30日现场数据</x:v>
      </x:c>
      <x:c r="B1236" s="39" t="str">
        <x:v>2026-08-01T15:15:00</x:v>
      </x:c>
      <x:c r="C1236" s="39" t="str">
        <x:v>2026-08-01T15:20:00</x:v>
      </x:c>
      <x:c r="D1236" s="47" t="n">
        <x:v>5</x:v>
      </x:c>
      <x:c r="E1236" s="40" t="n">
        <x:v>18.5</x:v>
      </x:c>
      <x:c r="F1236" s="40" t="n">
        <x:v>17.23577117919922</x:v>
      </x:c>
      <x:c r="G1236" s="40" t="n">
        <x:v>18.6</x:v>
      </x:c>
      <x:c r="H1236" s="40" t="n">
        <x:f>F1236-E1236</x:f>
        <x:v>-1.2642288208007812</x:v>
      </x:c>
      <x:c r="I1236" s="40" t="n">
        <x:f>ABS(H1236)</x:f>
        <x:v>1.2642288208007812</x:v>
      </x:c>
      <x:c r="J1236" s="40" t="n">
        <x:f>H1236^2</x:f>
        <x:v>1.5982745113433339</x:v>
      </x:c>
      <x:c r="K1236" s="40" t="n">
        <x:f>G1236-E1236</x:f>
        <x:v>0.10000000000000142</x:v>
      </x:c>
      <x:c r="L1236" s="40" t="n">
        <x:f>ABS(K1236)</x:f>
        <x:v>0.10000000000000142</x:v>
      </x:c>
      <x:c r="M1236" s="41" t="str">
        <x:v>lstm-soil-v1</x:v>
      </x:c>
    </x:row>
    <x:row r="1237">
      <x:c r="A1237" s="38" t="str">
        <x:v>7月30日现场数据</x:v>
      </x:c>
      <x:c r="B1237" s="39" t="str">
        <x:v>2026-08-01T15:15:00</x:v>
      </x:c>
      <x:c r="C1237" s="39" t="str">
        <x:v>2026-08-01T15:30:00</x:v>
      </x:c>
      <x:c r="D1237" s="47" t="n">
        <x:v>15</x:v>
      </x:c>
      <x:c r="E1237" s="40" t="n">
        <x:v>18.2</x:v>
      </x:c>
      <x:c r="F1237" s="40" t="n">
        <x:v>17.302112579345703</x:v>
      </x:c>
      <x:c r="G1237" s="40" t="n">
        <x:v>18.6</x:v>
      </x:c>
      <x:c r="H1237" s="40" t="n">
        <x:f>F1237-E1237</x:f>
        <x:v>-0.8978874206542962</x:v>
      </x:c>
      <x:c r="I1237" s="40" t="n">
        <x:f>ABS(H1237)</x:f>
        <x:v>0.8978874206542962</x:v>
      </x:c>
      <x:c r="J1237" s="40" t="n">
        <x:f>H1237^2</x:f>
        <x:v>0.806201820169225</x:v>
      </x:c>
      <x:c r="K1237" s="40" t="n">
        <x:f>G1237-E1237</x:f>
        <x:v>0.40000000000000213</x:v>
      </x:c>
      <x:c r="L1237" s="40" t="n">
        <x:f>ABS(K1237)</x:f>
        <x:v>0.40000000000000213</x:v>
      </x:c>
      <x:c r="M1237" s="41" t="str">
        <x:v>lstm-soil-v1</x:v>
      </x:c>
    </x:row>
    <x:row r="1238">
      <x:c r="A1238" s="38" t="str">
        <x:v>7月30日现场数据</x:v>
      </x:c>
      <x:c r="B1238" s="39" t="str">
        <x:v>2026-08-01T15:15:00</x:v>
      </x:c>
      <x:c r="C1238" s="39" t="str">
        <x:v>2026-08-01T15:45:00</x:v>
      </x:c>
      <x:c r="D1238" s="47" t="n">
        <x:v>30</x:v>
      </x:c>
      <x:c r="E1238" s="40" t="n">
        <x:v>17.8</x:v>
      </x:c>
      <x:c r="F1238" s="40" t="n">
        <x:v>17.553211212158203</x:v>
      </x:c>
      <x:c r="G1238" s="40" t="n">
        <x:v>18.6</x:v>
      </x:c>
      <x:c r="H1238" s="40" t="n">
        <x:f>F1238-E1238</x:f>
        <x:v>-0.24678878784179759</x:v>
      </x:c>
      <x:c r="I1238" s="40" t="n">
        <x:f>ABS(H1238)</x:f>
        <x:v>0.24678878784179759</x:v>
      </x:c>
      <x:c r="J1238" s="40" t="n">
        <x:f>H1238^2</x:f>
        <x:v>0.06090470580442378</x:v>
      </x:c>
      <x:c r="K1238" s="40" t="n">
        <x:f>G1238-E1238</x:f>
        <x:v>0.8000000000000007</x:v>
      </x:c>
      <x:c r="L1238" s="40" t="n">
        <x:f>ABS(K1238)</x:f>
        <x:v>0.8000000000000007</x:v>
      </x:c>
      <x:c r="M1238" s="41" t="str">
        <x:v>lstm-soil-v1</x:v>
      </x:c>
    </x:row>
    <x:row r="1239">
      <x:c r="A1239" s="38" t="str">
        <x:v>7月30日现场数据</x:v>
      </x:c>
      <x:c r="B1239" s="39" t="str">
        <x:v>2026-08-01T15:15:00</x:v>
      </x:c>
      <x:c r="C1239" s="39" t="str">
        <x:v>2026-08-01T16:15:00</x:v>
      </x:c>
      <x:c r="D1239" s="47" t="n">
        <x:v>60</x:v>
      </x:c>
      <x:c r="E1239" s="40" t="n">
        <x:v>17.3</x:v>
      </x:c>
      <x:c r="F1239" s="40" t="n">
        <x:v>19.330284118652344</x:v>
      </x:c>
      <x:c r="G1239" s="40" t="n">
        <x:v>18.6</x:v>
      </x:c>
      <x:c r="H1239" s="40" t="n">
        <x:f>F1239-E1239</x:f>
        <x:v>2.030284118652343</x:v>
      </x:c>
      <x:c r="I1239" s="40" t="n">
        <x:f>ABS(H1239)</x:f>
        <x:v>2.030284118652343</x:v>
      </x:c>
      <x:c r="J1239" s="40" t="n">
        <x:f>H1239^2</x:f>
        <x:v>4.122053602451921</x:v>
      </x:c>
      <x:c r="K1239" s="40" t="n">
        <x:f>G1239-E1239</x:f>
        <x:v>1.3000000000000007</x:v>
      </x:c>
      <x:c r="L1239" s="40" t="n">
        <x:f>ABS(K1239)</x:f>
        <x:v>1.3000000000000007</x:v>
      </x:c>
      <x:c r="M1239" s="41" t="str">
        <x:v>lstm-soil-v1</x:v>
      </x:c>
    </x:row>
    <x:row r="1240">
      <x:c r="A1240" s="38" t="str">
        <x:v>7月30日现场数据</x:v>
      </x:c>
      <x:c r="B1240" s="39" t="str">
        <x:v>2026-08-01T15:20:00</x:v>
      </x:c>
      <x:c r="C1240" s="39" t="str">
        <x:v>2026-08-01T15:25:00</x:v>
      </x:c>
      <x:c r="D1240" s="47" t="n">
        <x:v>5</x:v>
      </x:c>
      <x:c r="E1240" s="40" t="n">
        <x:v>18.4</x:v>
      </x:c>
      <x:c r="F1240" s="40" t="n">
        <x:v>17.126209259033203</x:v>
      </x:c>
      <x:c r="G1240" s="40" t="n">
        <x:v>18.5</x:v>
      </x:c>
      <x:c r="H1240" s="40" t="n">
        <x:f>F1240-E1240</x:f>
        <x:v>-1.2737907409667955</x:v>
      </x:c>
      <x:c r="I1240" s="40" t="n">
        <x:f>ABS(H1240)</x:f>
        <x:v>1.2737907409667955</x:v>
      </x:c>
      <x:c r="J1240" s="40" t="n">
        <x:f>H1240^2</x:f>
        <x:v>1.6225428517727378</x:v>
      </x:c>
      <x:c r="K1240" s="40" t="n">
        <x:f>G1240-E1240</x:f>
        <x:v>0.10000000000000142</x:v>
      </x:c>
      <x:c r="L1240" s="40" t="n">
        <x:f>ABS(K1240)</x:f>
        <x:v>0.10000000000000142</x:v>
      </x:c>
      <x:c r="M1240" s="41" t="str">
        <x:v>lstm-soil-v1</x:v>
      </x:c>
    </x:row>
    <x:row r="1241">
      <x:c r="A1241" s="38" t="str">
        <x:v>7月30日现场数据</x:v>
      </x:c>
      <x:c r="B1241" s="39" t="str">
        <x:v>2026-08-01T15:20:00</x:v>
      </x:c>
      <x:c r="C1241" s="39" t="str">
        <x:v>2026-08-01T15:35:00</x:v>
      </x:c>
      <x:c r="D1241" s="47" t="n">
        <x:v>15</x:v>
      </x:c>
      <x:c r="E1241" s="40" t="n">
        <x:v>18</x:v>
      </x:c>
      <x:c r="F1241" s="40" t="n">
        <x:v>17.192630767822266</x:v>
      </x:c>
      <x:c r="G1241" s="40" t="n">
        <x:v>18.5</x:v>
      </x:c>
      <x:c r="H1241" s="40" t="n">
        <x:f>F1241-E1241</x:f>
        <x:v>-0.8073692321777344</x:v>
      </x:c>
      <x:c r="I1241" s="40" t="n">
        <x:f>ABS(H1241)</x:f>
        <x:v>0.8073692321777344</x:v>
      </x:c>
      <x:c r="J1241" s="40" t="n">
        <x:f>H1241^2</x:f>
        <x:v>0.6518450770672644</x:v>
      </x:c>
      <x:c r="K1241" s="40" t="n">
        <x:f>G1241-E1241</x:f>
        <x:v>0.5</x:v>
      </x:c>
      <x:c r="L1241" s="40" t="n">
        <x:f>ABS(K1241)</x:f>
        <x:v>0.5</x:v>
      </x:c>
      <x:c r="M1241" s="41" t="str">
        <x:v>lstm-soil-v1</x:v>
      </x:c>
    </x:row>
    <x:row r="1242">
      <x:c r="A1242" s="38" t="str">
        <x:v>7月30日现场数据</x:v>
      </x:c>
      <x:c r="B1242" s="39" t="str">
        <x:v>2026-08-01T15:20:00</x:v>
      </x:c>
      <x:c r="C1242" s="39" t="str">
        <x:v>2026-08-01T15:50:00</x:v>
      </x:c>
      <x:c r="D1242" s="47" t="n">
        <x:v>30</x:v>
      </x:c>
      <x:c r="E1242" s="40" t="n">
        <x:v>17.6</x:v>
      </x:c>
      <x:c r="F1242" s="40" t="n">
        <x:v>17.44831085205078</x:v>
      </x:c>
      <x:c r="G1242" s="40" t="n">
        <x:v>18.5</x:v>
      </x:c>
      <x:c r="H1242" s="40" t="n">
        <x:f>F1242-E1242</x:f>
        <x:v>-0.15168914794922017</x:v>
      </x:c>
      <x:c r="I1242" s="40" t="n">
        <x:f>ABS(H1242)</x:f>
        <x:v>0.15168914794922017</x:v>
      </x:c>
      <x:c r="J1242" s="40" t="n">
        <x:f>H1242^2</x:f>
        <x:v>0.023009597605560407</x:v>
      </x:c>
      <x:c r="K1242" s="40" t="n">
        <x:f>G1242-E1242</x:f>
        <x:v>0.8999999999999986</x:v>
      </x:c>
      <x:c r="L1242" s="40" t="n">
        <x:f>ABS(K1242)</x:f>
        <x:v>0.8999999999999986</x:v>
      </x:c>
      <x:c r="M1242" s="41" t="str">
        <x:v>lstm-soil-v1</x:v>
      </x:c>
    </x:row>
    <x:row r="1243">
      <x:c r="A1243" s="38" t="str">
        <x:v>7月30日现场数据</x:v>
      </x:c>
      <x:c r="B1243" s="39" t="str">
        <x:v>2026-08-01T15:20:00</x:v>
      </x:c>
      <x:c r="C1243" s="39" t="str">
        <x:v>2026-08-01T16:20:00</x:v>
      </x:c>
      <x:c r="D1243" s="47" t="n">
        <x:v>60</x:v>
      </x:c>
      <x:c r="E1243" s="40" t="n">
        <x:v>17.2</x:v>
      </x:c>
      <x:c r="F1243" s="40" t="n">
        <x:v>19.22573471069336</x:v>
      </x:c>
      <x:c r="G1243" s="40" t="n">
        <x:v>18.5</x:v>
      </x:c>
      <x:c r="H1243" s="40" t="n">
        <x:f>F1243-E1243</x:f>
        <x:v>2.02573471069336</x:v>
      </x:c>
      <x:c r="I1243" s="40" t="n">
        <x:f>ABS(H1243)</x:f>
        <x:v>2.02573471069336</x:v>
      </x:c>
      <x:c r="J1243" s="40" t="n">
        <x:f>H1243^2</x:f>
        <x:v>4.103601118107911</x:v>
      </x:c>
      <x:c r="K1243" s="40" t="n">
        <x:f>G1243-E1243</x:f>
        <x:v>1.3000000000000007</x:v>
      </x:c>
      <x:c r="L1243" s="40" t="n">
        <x:f>ABS(K1243)</x:f>
        <x:v>1.3000000000000007</x:v>
      </x:c>
      <x:c r="M1243" s="41" t="str">
        <x:v>lstm-soil-v1</x:v>
      </x:c>
    </x:row>
    <x:row r="1244">
      <x:c r="A1244" s="38" t="str">
        <x:v>7月30日现场数据</x:v>
      </x:c>
      <x:c r="B1244" s="39" t="str">
        <x:v>2026-08-01T15:25:00</x:v>
      </x:c>
      <x:c r="C1244" s="39" t="str">
        <x:v>2026-08-01T15:30:00</x:v>
      </x:c>
      <x:c r="D1244" s="47" t="n">
        <x:v>5</x:v>
      </x:c>
      <x:c r="E1244" s="40" t="n">
        <x:v>18.2</x:v>
      </x:c>
      <x:c r="F1244" s="40" t="n">
        <x:v>17.01614761352539</x:v>
      </x:c>
      <x:c r="G1244" s="40" t="n">
        <x:v>18.4</x:v>
      </x:c>
      <x:c r="H1244" s="40" t="n">
        <x:f>F1244-E1244</x:f>
        <x:v>-1.1838523864746087</x:v>
      </x:c>
      <x:c r="I1244" s="40" t="n">
        <x:f>ABS(H1244)</x:f>
        <x:v>1.1838523864746087</x:v>
      </x:c>
      <x:c r="J1244" s="40" t="n">
        <x:f>H1244^2</x:f>
        <x:v>1.4015064729616262</x:v>
      </x:c>
      <x:c r="K1244" s="40" t="n">
        <x:f>G1244-E1244</x:f>
        <x:v>0.1999999999999993</x:v>
      </x:c>
      <x:c r="L1244" s="40" t="n">
        <x:f>ABS(K1244)</x:f>
        <x:v>0.1999999999999993</x:v>
      </x:c>
      <x:c r="M1244" s="41" t="str">
        <x:v>lstm-soil-v1</x:v>
      </x:c>
    </x:row>
    <x:row r="1245">
      <x:c r="A1245" s="38" t="str">
        <x:v>7月30日现场数据</x:v>
      </x:c>
      <x:c r="B1245" s="39" t="str">
        <x:v>2026-08-01T15:25:00</x:v>
      </x:c>
      <x:c r="C1245" s="39" t="str">
        <x:v>2026-08-01T15:40:00</x:v>
      </x:c>
      <x:c r="D1245" s="47" t="n">
        <x:v>15</x:v>
      </x:c>
      <x:c r="E1245" s="40" t="n">
        <x:v>17.9</x:v>
      </x:c>
      <x:c r="F1245" s="40" t="n">
        <x:v>17.083377838134766</x:v>
      </x:c>
      <x:c r="G1245" s="40" t="n">
        <x:v>18.4</x:v>
      </x:c>
      <x:c r="H1245" s="40" t="n">
        <x:f>F1245-E1245</x:f>
        <x:v>-0.816622161865233</x:v>
      </x:c>
      <x:c r="I1245" s="40" t="n">
        <x:f>ABS(H1245)</x:f>
        <x:v>0.816622161865233</x:v>
      </x:c>
      <x:c r="J1245" s="40" t="n">
        <x:f>H1245^2</x:f>
        <x:v>0.6668717552494468</x:v>
      </x:c>
      <x:c r="K1245" s="40" t="n">
        <x:f>G1245-E1245</x:f>
        <x:v>0.5</x:v>
      </x:c>
      <x:c r="L1245" s="40" t="n">
        <x:f>ABS(K1245)</x:f>
        <x:v>0.5</x:v>
      </x:c>
      <x:c r="M1245" s="41" t="str">
        <x:v>lstm-soil-v1</x:v>
      </x:c>
    </x:row>
    <x:row r="1246">
      <x:c r="A1246" s="38" t="str">
        <x:v>7月30日现场数据</x:v>
      </x:c>
      <x:c r="B1246" s="39" t="str">
        <x:v>2026-08-01T15:25:00</x:v>
      </x:c>
      <x:c r="C1246" s="39" t="str">
        <x:v>2026-08-01T15:55:00</x:v>
      </x:c>
      <x:c r="D1246" s="47" t="n">
        <x:v>30</x:v>
      </x:c>
      <x:c r="E1246" s="40" t="n">
        <x:v>17.6</x:v>
      </x:c>
      <x:c r="F1246" s="40" t="n">
        <x:v>17.342388153076172</x:v>
      </x:c>
      <x:c r="G1246" s="40" t="n">
        <x:v>18.4</x:v>
      </x:c>
      <x:c r="H1246" s="40" t="n">
        <x:f>F1246-E1246</x:f>
        <x:v>-0.25761184692382955</x:v>
      </x:c>
      <x:c r="I1246" s="40" t="n">
        <x:f>ABS(H1246)</x:f>
        <x:v>0.25761184692382955</x:v>
      </x:c>
      <x:c r="J1246" s="40" t="n">
        <x:f>H1246^2</x:f>
        <x:v>0.06636386367550659</x:v>
      </x:c>
      <x:c r="K1246" s="40" t="n">
        <x:f>G1246-E1246</x:f>
        <x:v>0.7999999999999972</x:v>
      </x:c>
      <x:c r="L1246" s="40" t="n">
        <x:f>ABS(K1246)</x:f>
        <x:v>0.7999999999999972</x:v>
      </x:c>
      <x:c r="M1246" s="41" t="str">
        <x:v>lstm-soil-v1</x:v>
      </x:c>
    </x:row>
    <x:row r="1247">
      <x:c r="A1247" s="38" t="str">
        <x:v>7月30日现场数据</x:v>
      </x:c>
      <x:c r="B1247" s="39" t="str">
        <x:v>2026-08-01T15:25:00</x:v>
      </x:c>
      <x:c r="C1247" s="39" t="str">
        <x:v>2026-08-01T16:25:00</x:v>
      </x:c>
      <x:c r="D1247" s="47" t="n">
        <x:v>60</x:v>
      </x:c>
      <x:c r="E1247" s="40" t="n">
        <x:v>17.1</x:v>
      </x:c>
      <x:c r="F1247" s="40" t="n">
        <x:v>19.12029266357422</x:v>
      </x:c>
      <x:c r="G1247" s="40" t="n">
        <x:v>18.4</x:v>
      </x:c>
      <x:c r="H1247" s="40" t="n">
        <x:f>F1247-E1247</x:f>
        <x:v>2.0202926635742173</x:v>
      </x:c>
      <x:c r="I1247" s="40" t="n">
        <x:f>ABS(H1247)</x:f>
        <x:v>2.0202926635742173</x:v>
      </x:c>
      <x:c r="J1247" s="40" t="n">
        <x:f>H1247^2</x:f>
        <x:v>4.081582446491805</x:v>
      </x:c>
      <x:c r="K1247" s="40" t="n">
        <x:f>G1247-E1247</x:f>
        <x:v>1.2999999999999972</x:v>
      </x:c>
      <x:c r="L1247" s="40" t="n">
        <x:f>ABS(K1247)</x:f>
        <x:v>1.2999999999999972</x:v>
      </x:c>
      <x:c r="M1247" s="41" t="str">
        <x:v>lstm-soil-v1</x:v>
      </x:c>
    </x:row>
    <x:row r="1248">
      <x:c r="A1248" s="38" t="str">
        <x:v>7月30日现场数据</x:v>
      </x:c>
      <x:c r="B1248" s="39" t="str">
        <x:v>2026-08-01T15:30:00</x:v>
      </x:c>
      <x:c r="C1248" s="39" t="str">
        <x:v>2026-08-01T15:35:00</x:v>
      </x:c>
      <x:c r="D1248" s="47" t="n">
        <x:v>5</x:v>
      </x:c>
      <x:c r="E1248" s="40" t="n">
        <x:v>18</x:v>
      </x:c>
      <x:c r="F1248" s="40" t="n">
        <x:v>16.79581069946289</x:v>
      </x:c>
      <x:c r="G1248" s="40" t="n">
        <x:v>18.2</x:v>
      </x:c>
      <x:c r="H1248" s="40" t="n">
        <x:f>F1248-E1248</x:f>
        <x:v>-1.2041893005371094</x:v>
      </x:c>
      <x:c r="I1248" s="40" t="n">
        <x:f>ABS(H1248)</x:f>
        <x:v>1.2041893005371094</x:v>
      </x:c>
      <x:c r="J1248" s="40" t="n">
        <x:f>H1248^2</x:f>
        <x:v>1.4500718715280527</x:v>
      </x:c>
      <x:c r="K1248" s="40" t="n">
        <x:f>G1248-E1248</x:f>
        <x:v>0.1999999999999993</x:v>
      </x:c>
      <x:c r="L1248" s="40" t="n">
        <x:f>ABS(K1248)</x:f>
        <x:v>0.1999999999999993</x:v>
      </x:c>
      <x:c r="M1248" s="41" t="str">
        <x:v>lstm-soil-v1</x:v>
      </x:c>
    </x:row>
    <x:row r="1249">
      <x:c r="A1249" s="38" t="str">
        <x:v>7月30日现场数据</x:v>
      </x:c>
      <x:c r="B1249" s="39" t="str">
        <x:v>2026-08-01T15:30:00</x:v>
      </x:c>
      <x:c r="C1249" s="39" t="str">
        <x:v>2026-08-01T15:45:00</x:v>
      </x:c>
      <x:c r="D1249" s="47" t="n">
        <x:v>15</x:v>
      </x:c>
      <x:c r="E1249" s="40" t="n">
        <x:v>17.8</x:v>
      </x:c>
      <x:c r="F1249" s="40" t="n">
        <x:v>16.864253997802734</x:v>
      </x:c>
      <x:c r="G1249" s="40" t="n">
        <x:v>18.2</x:v>
      </x:c>
      <x:c r="H1249" s="40" t="n">
        <x:f>F1249-E1249</x:f>
        <x:v>-0.9357460021972663</x:v>
      </x:c>
      <x:c r="I1249" s="40" t="n">
        <x:f>ABS(H1249)</x:f>
        <x:v>0.9357460021972663</x:v>
      </x:c>
      <x:c r="J1249" s="40" t="n">
        <x:f>H1249^2</x:f>
        <x:v>0.8756205806281664</x:v>
      </x:c>
      <x:c r="K1249" s="40" t="n">
        <x:f>G1249-E1249</x:f>
        <x:v>0.3999999999999986</x:v>
      </x:c>
      <x:c r="L1249" s="40" t="n">
        <x:f>ABS(K1249)</x:f>
        <x:v>0.3999999999999986</x:v>
      </x:c>
      <x:c r="M1249" s="41" t="str">
        <x:v>lstm-soil-v1</x:v>
      </x:c>
    </x:row>
    <x:row r="1250">
      <x:c r="A1250" s="38" t="str">
        <x:v>7月30日现场数据</x:v>
      </x:c>
      <x:c r="B1250" s="39" t="str">
        <x:v>2026-08-01T15:30:00</x:v>
      </x:c>
      <x:c r="C1250" s="39" t="str">
        <x:v>2026-08-01T16:00:00</x:v>
      </x:c>
      <x:c r="D1250" s="47" t="n">
        <x:v>30</x:v>
      </x:c>
      <x:c r="E1250" s="40" t="n">
        <x:v>17.5</x:v>
      </x:c>
      <x:c r="F1250" s="40" t="n">
        <x:v>17.126304626464844</x:v>
      </x:c>
      <x:c r="G1250" s="40" t="n">
        <x:v>18.2</x:v>
      </x:c>
      <x:c r="H1250" s="40" t="n">
        <x:f>F1250-E1250</x:f>
        <x:v>-0.37369537353515625</x:v>
      </x:c>
      <x:c r="I1250" s="40" t="n">
        <x:f>ABS(H1250)</x:f>
        <x:v>0.37369537353515625</x:v>
      </x:c>
      <x:c r="J1250" s="40" t="n">
        <x:f>H1250^2</x:f>
        <x:v>0.13964823220157996</x:v>
      </x:c>
      <x:c r="K1250" s="40" t="n">
        <x:f>G1250-E1250</x:f>
        <x:v>0.6999999999999993</x:v>
      </x:c>
      <x:c r="L1250" s="40" t="n">
        <x:f>ABS(K1250)</x:f>
        <x:v>0.6999999999999993</x:v>
      </x:c>
      <x:c r="M1250" s="41" t="str">
        <x:v>lstm-soil-v1</x:v>
      </x:c>
    </x:row>
    <x:row r="1251">
      <x:c r="A1251" s="38" t="str">
        <x:v>7月30日现场数据</x:v>
      </x:c>
      <x:c r="B1251" s="39" t="str">
        <x:v>2026-08-01T15:30:00</x:v>
      </x:c>
      <x:c r="C1251" s="39" t="str">
        <x:v>2026-08-01T16:30:00</x:v>
      </x:c>
      <x:c r="D1251" s="47" t="n">
        <x:v>60</x:v>
      </x:c>
      <x:c r="E1251" s="40" t="n">
        <x:v>17.1</x:v>
      </x:c>
      <x:c r="F1251" s="40" t="n">
        <x:v>18.905109405517578</x:v>
      </x:c>
      <x:c r="G1251" s="40" t="n">
        <x:v>18.2</x:v>
      </x:c>
      <x:c r="H1251" s="40" t="n">
        <x:f>F1251-E1251</x:f>
        <x:v>1.8051094055175767</x:v>
      </x:c>
      <x:c r="I1251" s="40" t="n">
        <x:f>ABS(H1251)</x:f>
        <x:v>1.8051094055175767</x:v>
      </x:c>
      <x:c r="J1251" s="40" t="n">
        <x:f>H1251^2</x:f>
        <x:v>3.2584199658880193</x:v>
      </x:c>
      <x:c r="K1251" s="40" t="n">
        <x:f>G1251-E1251</x:f>
        <x:v>1.0999999999999979</x:v>
      </x:c>
      <x:c r="L1251" s="40" t="n">
        <x:f>ABS(K1251)</x:f>
        <x:v>1.0999999999999979</x:v>
      </x:c>
      <x:c r="M1251" s="41" t="str">
        <x:v>lstm-soil-v1</x:v>
      </x:c>
    </x:row>
    <x:row r="1252">
      <x:c r="A1252" s="38" t="str">
        <x:v>7月30日现场数据</x:v>
      </x:c>
      <x:c r="B1252" s="39" t="str">
        <x:v>2026-08-01T15:35:00</x:v>
      </x:c>
      <x:c r="C1252" s="39" t="str">
        <x:v>2026-08-01T15:40:00</x:v>
      </x:c>
      <x:c r="D1252" s="47" t="n">
        <x:v>5</x:v>
      </x:c>
      <x:c r="E1252" s="40" t="n">
        <x:v>17.9</x:v>
      </x:c>
      <x:c r="F1252" s="40" t="n">
        <x:v>16.57436752319336</x:v>
      </x:c>
      <x:c r="G1252" s="40" t="n">
        <x:v>18</x:v>
      </x:c>
      <x:c r="H1252" s="40" t="n">
        <x:f>F1252-E1252</x:f>
        <x:v>-1.3256324768066392</x:v>
      </x:c>
      <x:c r="I1252" s="40" t="n">
        <x:f>ABS(H1252)</x:f>
        <x:v>1.3256324768066392</x:v>
      </x:c>
      <x:c r="J1252" s="40" t="n">
        <x:f>H1252^2</x:f>
        <x:v>1.7573014635645048</x:v>
      </x:c>
      <x:c r="K1252" s="40" t="n">
        <x:f>G1252-E1252</x:f>
        <x:v>0.10000000000000142</x:v>
      </x:c>
      <x:c r="L1252" s="40" t="n">
        <x:f>ABS(K1252)</x:f>
        <x:v>0.10000000000000142</x:v>
      </x:c>
      <x:c r="M1252" s="41" t="str">
        <x:v>lstm-soil-v1</x:v>
      </x:c>
    </x:row>
    <x:row r="1253">
      <x:c r="A1253" s="38" t="str">
        <x:v>7月30日现场数据</x:v>
      </x:c>
      <x:c r="B1253" s="39" t="str">
        <x:v>2026-08-01T15:35:00</x:v>
      </x:c>
      <x:c r="C1253" s="39" t="str">
        <x:v>2026-08-01T15:50:00</x:v>
      </x:c>
      <x:c r="D1253" s="47" t="n">
        <x:v>15</x:v>
      </x:c>
      <x:c r="E1253" s="40" t="n">
        <x:v>17.6</x:v>
      </x:c>
      <x:c r="F1253" s="40" t="n">
        <x:v>16.646297454833984</x:v>
      </x:c>
      <x:c r="G1253" s="40" t="n">
        <x:v>18</x:v>
      </x:c>
      <x:c r="H1253" s="40" t="n">
        <x:f>F1253-E1253</x:f>
        <x:v>-0.953702545166017</x:v>
      </x:c>
      <x:c r="I1253" s="40" t="n">
        <x:f>ABS(H1253)</x:f>
        <x:v>0.953702545166017</x:v>
      </x:c>
      <x:c r="J1253" s="40" t="n">
        <x:f>H1253^2</x:f>
        <x:v>0.9095485446561388</x:v>
      </x:c>
      <x:c r="K1253" s="40" t="n">
        <x:f>G1253-E1253</x:f>
        <x:v>0.3999999999999986</x:v>
      </x:c>
      <x:c r="L1253" s="40" t="n">
        <x:f>ABS(K1253)</x:f>
        <x:v>0.3999999999999986</x:v>
      </x:c>
      <x:c r="M1253" s="41" t="str">
        <x:v>lstm-soil-v1</x:v>
      </x:c>
    </x:row>
    <x:row r="1254">
      <x:c r="A1254" s="38" t="str">
        <x:v>7月30日现场数据</x:v>
      </x:c>
      <x:c r="B1254" s="39" t="str">
        <x:v>2026-08-01T15:35:00</x:v>
      </x:c>
      <x:c r="C1254" s="39" t="str">
        <x:v>2026-08-01T16:05:00</x:v>
      </x:c>
      <x:c r="D1254" s="47" t="n">
        <x:v>30</x:v>
      </x:c>
      <x:c r="E1254" s="40" t="n">
        <x:v>17.4</x:v>
      </x:c>
      <x:c r="F1254" s="40" t="n">
        <x:v>16.908565521240234</x:v>
      </x:c>
      <x:c r="G1254" s="40" t="n">
        <x:v>18</x:v>
      </x:c>
      <x:c r="H1254" s="40" t="n">
        <x:f>F1254-E1254</x:f>
        <x:v>-0.4914344787597642</x:v>
      </x:c>
      <x:c r="I1254" s="40" t="n">
        <x:f>ABS(H1254)</x:f>
        <x:v>0.4914344787597642</x:v>
      </x:c>
      <x:c r="J1254" s="40" t="n">
        <x:f>H1254^2</x:f>
        <x:v>0.24150784691388114</x:v>
      </x:c>
      <x:c r="K1254" s="40" t="n">
        <x:f>G1254-E1254</x:f>
        <x:v>0.6000000000000014</x:v>
      </x:c>
      <x:c r="L1254" s="40" t="n">
        <x:f>ABS(K1254)</x:f>
        <x:v>0.6000000000000014</x:v>
      </x:c>
      <x:c r="M1254" s="41" t="str">
        <x:v>lstm-soil-v1</x:v>
      </x:c>
    </x:row>
    <x:row r="1255">
      <x:c r="A1255" s="38" t="str">
        <x:v>7月30日现场数据</x:v>
      </x:c>
      <x:c r="B1255" s="39" t="str">
        <x:v>2026-08-01T15:35:00</x:v>
      </x:c>
      <x:c r="C1255" s="39" t="str">
        <x:v>2026-08-01T16:35:00</x:v>
      </x:c>
      <x:c r="D1255" s="47" t="n">
        <x:v>60</x:v>
      </x:c>
      <x:c r="E1255" s="40" t="n">
        <x:v>17</x:v>
      </x:c>
      <x:c r="F1255" s="40" t="n">
        <x:v>18.69145965576172</x:v>
      </x:c>
      <x:c r="G1255" s="40" t="n">
        <x:v>18</x:v>
      </x:c>
      <x:c r="H1255" s="40" t="n">
        <x:f>F1255-E1255</x:f>
        <x:v>1.6914596557617188</x:v>
      </x:c>
      <x:c r="I1255" s="40" t="n">
        <x:f>ABS(H1255)</x:f>
        <x:v>1.6914596557617188</x:v>
      </x:c>
      <x:c r="J1255" s="40" t="n">
        <x:f>H1255^2</x:f>
        <x:v>2.861035767069552</x:v>
      </x:c>
      <x:c r="K1255" s="40" t="n">
        <x:f>G1255-E1255</x:f>
        <x:v>1</x:v>
      </x:c>
      <x:c r="L1255" s="40" t="n">
        <x:f>ABS(K1255)</x:f>
        <x:v>1</x:v>
      </x:c>
      <x:c r="M1255" s="41" t="str">
        <x:v>lstm-soil-v1</x:v>
      </x:c>
    </x:row>
    <x:row r="1256">
      <x:c r="A1256" s="38" t="str">
        <x:v>7月30日现场数据</x:v>
      </x:c>
      <x:c r="B1256" s="39" t="str">
        <x:v>2026-08-01T15:40:00</x:v>
      </x:c>
      <x:c r="C1256" s="39" t="str">
        <x:v>2026-08-01T15:45:00</x:v>
      </x:c>
      <x:c r="D1256" s="47" t="n">
        <x:v>5</x:v>
      </x:c>
      <x:c r="E1256" s="40" t="n">
        <x:v>17.8</x:v>
      </x:c>
      <x:c r="F1256" s="40" t="n">
        <x:v>16.462486267089844</x:v>
      </x:c>
      <x:c r="G1256" s="40" t="n">
        <x:v>17.9</x:v>
      </x:c>
      <x:c r="H1256" s="40" t="n">
        <x:f>F1256-E1256</x:f>
        <x:v>-1.337513732910157</x:v>
      </x:c>
      <x:c r="I1256" s="40" t="n">
        <x:f>ABS(H1256)</x:f>
        <x:v>1.337513732910157</x:v>
      </x:c>
      <x:c r="J1256" s="40" t="n">
        <x:f>H1256^2</x:f>
        <x:v>1.7889429857232626</x:v>
      </x:c>
      <x:c r="K1256" s="40" t="n">
        <x:f>G1256-E1256</x:f>
        <x:v>0.09999999999999787</x:v>
      </x:c>
      <x:c r="L1256" s="40" t="n">
        <x:f>ABS(K1256)</x:f>
        <x:v>0.09999999999999787</x:v>
      </x:c>
      <x:c r="M1256" s="41" t="str">
        <x:v>lstm-soil-v1</x:v>
      </x:c>
    </x:row>
    <x:row r="1257">
      <x:c r="A1257" s="38" t="str">
        <x:v>7月30日现场数据</x:v>
      </x:c>
      <x:c r="B1257" s="39" t="str">
        <x:v>2026-08-01T15:40:00</x:v>
      </x:c>
      <x:c r="C1257" s="39" t="str">
        <x:v>2026-08-01T15:55:00</x:v>
      </x:c>
      <x:c r="D1257" s="47" t="n">
        <x:v>15</x:v>
      </x:c>
      <x:c r="E1257" s="40" t="n">
        <x:v>17.6</x:v>
      </x:c>
      <x:c r="F1257" s="40" t="n">
        <x:v>16.537464141845703</x:v>
      </x:c>
      <x:c r="G1257" s="40" t="n">
        <x:v>17.9</x:v>
      </x:c>
      <x:c r="H1257" s="40" t="n">
        <x:f>F1257-E1257</x:f>
        <x:v>-1.0625358581542983</x:v>
      </x:c>
      <x:c r="I1257" s="40" t="n">
        <x:f>ABS(H1257)</x:f>
        <x:v>1.0625358581542983</x:v>
      </x:c>
      <x:c r="J1257" s="40" t="n">
        <x:f>H1257^2</x:f>
        <x:v>1.1289824498636911</x:v>
      </x:c>
      <x:c r="K1257" s="40" t="n">
        <x:f>G1257-E1257</x:f>
        <x:v>0.29999999999999716</x:v>
      </x:c>
      <x:c r="L1257" s="40" t="n">
        <x:f>ABS(K1257)</x:f>
        <x:v>0.29999999999999716</x:v>
      </x:c>
      <x:c r="M1257" s="41" t="str">
        <x:v>lstm-soil-v1</x:v>
      </x:c>
    </x:row>
    <x:row r="1258">
      <x:c r="A1258" s="38" t="str">
        <x:v>7月30日现场数据</x:v>
      </x:c>
      <x:c r="B1258" s="39" t="str">
        <x:v>2026-08-01T15:40:00</x:v>
      </x:c>
      <x:c r="C1258" s="39" t="str">
        <x:v>2026-08-01T16:10:00</x:v>
      </x:c>
      <x:c r="D1258" s="47" t="n">
        <x:v>30</x:v>
      </x:c>
      <x:c r="E1258" s="40" t="n">
        <x:v>17.3</x:v>
      </x:c>
      <x:c r="F1258" s="40" t="n">
        <x:v>16.80145263671875</x:v>
      </x:c>
      <x:c r="G1258" s="40" t="n">
        <x:v>17.9</x:v>
      </x:c>
      <x:c r="H1258" s="40" t="n">
        <x:f>F1258-E1258</x:f>
        <x:v>-0.4985473632812507</x:v>
      </x:c>
      <x:c r="I1258" s="40" t="n">
        <x:f>ABS(H1258)</x:f>
        <x:v>0.4985473632812507</x:v>
      </x:c>
      <x:c r="J1258" s="40" t="n">
        <x:f>H1258^2</x:f>
        <x:v>0.24854947343468736</x:v>
      </x:c>
      <x:c r="K1258" s="40" t="n">
        <x:f>G1258-E1258</x:f>
        <x:v>0.5999999999999979</x:v>
      </x:c>
      <x:c r="L1258" s="40" t="n">
        <x:f>ABS(K1258)</x:f>
        <x:v>0.5999999999999979</x:v>
      </x:c>
      <x:c r="M1258" s="41" t="str">
        <x:v>lstm-soil-v1</x:v>
      </x:c>
    </x:row>
    <x:row r="1259">
      <x:c r="A1259" s="38" t="str">
        <x:v>7月30日现场数据</x:v>
      </x:c>
      <x:c r="B1259" s="39" t="str">
        <x:v>2026-08-01T15:40:00</x:v>
      </x:c>
      <x:c r="C1259" s="39" t="str">
        <x:v>2026-08-01T16:40:00</x:v>
      </x:c>
      <x:c r="D1259" s="47" t="n">
        <x:v>60</x:v>
      </x:c>
      <x:c r="E1259" s="40" t="n">
        <x:v>17</x:v>
      </x:c>
      <x:c r="F1259" s="40" t="n">
        <x:v>18.584197998046875</x:v>
      </x:c>
      <x:c r="G1259" s="40" t="n">
        <x:v>17.9</x:v>
      </x:c>
      <x:c r="H1259" s="40" t="n">
        <x:f>F1259-E1259</x:f>
        <x:v>1.584197998046875</x:v>
      </x:c>
      <x:c r="I1259" s="40" t="n">
        <x:f>ABS(H1259)</x:f>
        <x:v>1.584197998046875</x:v>
      </x:c>
      <x:c r="J1259" s="40" t="n">
        <x:f>H1259^2</x:f>
        <x:v>2.5096832970157266</x:v>
      </x:c>
      <x:c r="K1259" s="40" t="n">
        <x:f>G1259-E1259</x:f>
        <x:v>0.8999999999999986</x:v>
      </x:c>
      <x:c r="L1259" s="40" t="n">
        <x:f>ABS(K1259)</x:f>
        <x:v>0.8999999999999986</x:v>
      </x:c>
      <x:c r="M1259" s="41" t="str">
        <x:v>lstm-soil-v1</x:v>
      </x:c>
    </x:row>
    <x:row r="1260">
      <x:c r="A1260" s="38" t="str">
        <x:v>7月30日现场数据</x:v>
      </x:c>
      <x:c r="B1260" s="39" t="str">
        <x:v>2026-08-01T15:45:00</x:v>
      </x:c>
      <x:c r="C1260" s="39" t="str">
        <x:v>2026-08-01T15:50:00</x:v>
      </x:c>
      <x:c r="D1260" s="47" t="n">
        <x:v>5</x:v>
      </x:c>
      <x:c r="E1260" s="40" t="n">
        <x:v>17.6</x:v>
      </x:c>
      <x:c r="F1260" s="40" t="n">
        <x:v>16.35184097290039</x:v>
      </x:c>
      <x:c r="G1260" s="40" t="n">
        <x:v>17.8</x:v>
      </x:c>
      <x:c r="H1260" s="40" t="n">
        <x:f>F1260-E1260</x:f>
        <x:v>-1.2481590270996108</x:v>
      </x:c>
      <x:c r="I1260" s="40" t="n">
        <x:f>ABS(H1260)</x:f>
        <x:v>1.2481590270996108</x:v>
      </x:c>
      <x:c r="J1260" s="40" t="n">
        <x:f>H1260^2</x:f>
        <x:v>1.5579009569302469</x:v>
      </x:c>
      <x:c r="K1260" s="40" t="n">
        <x:f>G1260-E1260</x:f>
        <x:v>0.1999999999999993</x:v>
      </x:c>
      <x:c r="L1260" s="40" t="n">
        <x:f>ABS(K1260)</x:f>
        <x:v>0.1999999999999993</x:v>
      </x:c>
      <x:c r="M1260" s="41" t="str">
        <x:v>lstm-soil-v1</x:v>
      </x:c>
    </x:row>
    <x:row r="1261">
      <x:c r="A1261" s="38" t="str">
        <x:v>7月30日现场数据</x:v>
      </x:c>
      <x:c r="B1261" s="39" t="str">
        <x:v>2026-08-01T15:45:00</x:v>
      </x:c>
      <x:c r="C1261" s="39" t="str">
        <x:v>2026-08-01T16:00:00</x:v>
      </x:c>
      <x:c r="D1261" s="47" t="n">
        <x:v>15</x:v>
      </x:c>
      <x:c r="E1261" s="40" t="n">
        <x:v>17.5</x:v>
      </x:c>
      <x:c r="F1261" s="40" t="n">
        <x:v>16.42844009399414</x:v>
      </x:c>
      <x:c r="G1261" s="40" t="n">
        <x:v>17.8</x:v>
      </x:c>
      <x:c r="H1261" s="40" t="n">
        <x:f>F1261-E1261</x:f>
        <x:v>-1.0715599060058594</x:v>
      </x:c>
      <x:c r="I1261" s="40" t="n">
        <x:f>ABS(H1261)</x:f>
        <x:v>1.0715599060058594</x:v>
      </x:c>
      <x:c r="J1261" s="40" t="n">
        <x:f>H1261^2</x:f>
        <x:v>1.1482406321592862</x:v>
      </x:c>
      <x:c r="K1261" s="40" t="n">
        <x:f>G1261-E1261</x:f>
        <x:v>0.3000000000000007</x:v>
      </x:c>
      <x:c r="L1261" s="40" t="n">
        <x:f>ABS(K1261)</x:f>
        <x:v>0.3000000000000007</x:v>
      </x:c>
      <x:c r="M1261" s="41" t="str">
        <x:v>lstm-soil-v1</x:v>
      </x:c>
    </x:row>
    <x:row r="1262">
      <x:c r="A1262" s="38" t="str">
        <x:v>7月30日现场数据</x:v>
      </x:c>
      <x:c r="B1262" s="39" t="str">
        <x:v>2026-08-01T15:45:00</x:v>
      </x:c>
      <x:c r="C1262" s="39" t="str">
        <x:v>2026-08-01T16:15:00</x:v>
      </x:c>
      <x:c r="D1262" s="47" t="n">
        <x:v>30</x:v>
      </x:c>
      <x:c r="E1262" s="40" t="n">
        <x:v>17.3</x:v>
      </x:c>
      <x:c r="F1262" s="40" t="n">
        <x:v>16.695449829101562</x:v>
      </x:c>
      <x:c r="G1262" s="40" t="n">
        <x:v>17.8</x:v>
      </x:c>
      <x:c r="H1262" s="40" t="n">
        <x:f>F1262-E1262</x:f>
        <x:v>-0.6045501708984382</x:v>
      </x:c>
      <x:c r="I1262" s="40" t="n">
        <x:f>ABS(H1262)</x:f>
        <x:v>0.6045501708984382</x:v>
      </x:c>
      <x:c r="J1262" s="40" t="n">
        <x:f>H1262^2</x:f>
        <x:v>0.36548090913333087</x:v>
      </x:c>
      <x:c r="K1262" s="40" t="n">
        <x:f>G1262-E1262</x:f>
        <x:v>0.5</x:v>
      </x:c>
      <x:c r="L1262" s="40" t="n">
        <x:f>ABS(K1262)</x:f>
        <x:v>0.5</x:v>
      </x:c>
      <x:c r="M1262" s="41" t="str">
        <x:v>lstm-soil-v1</x:v>
      </x:c>
    </x:row>
    <x:row r="1263">
      <x:c r="A1263" s="38" t="str">
        <x:v>7月30日现场数据</x:v>
      </x:c>
      <x:c r="B1263" s="39" t="str">
        <x:v>2026-08-01T15:45:00</x:v>
      </x:c>
      <x:c r="C1263" s="39" t="str">
        <x:v>2026-08-01T16:45:00</x:v>
      </x:c>
      <x:c r="D1263" s="47" t="n">
        <x:v>60</x:v>
      </x:c>
      <x:c r="E1263" s="40" t="n">
        <x:v>16.9</x:v>
      </x:c>
      <x:c r="F1263" s="40" t="n">
        <x:v>18.478683471679688</x:v>
      </x:c>
      <x:c r="G1263" s="40" t="n">
        <x:v>17.8</x:v>
      </x:c>
      <x:c r="H1263" s="40" t="n">
        <x:f>F1263-E1263</x:f>
        <x:v>1.578683471679689</x:v>
      </x:c>
      <x:c r="I1263" s="40" t="n">
        <x:f>ABS(H1263)</x:f>
        <x:v>1.578683471679689</x:v>
      </x:c>
      <x:c r="J1263" s="40" t="n">
        <x:f>H1263^2</x:f>
        <x:v>2.4922415037546353</x:v>
      </x:c>
      <x:c r="K1263" s="40" t="n">
        <x:f>G1263-E1263</x:f>
        <x:v>0.9000000000000021</x:v>
      </x:c>
      <x:c r="L1263" s="40" t="n">
        <x:f>ABS(K1263)</x:f>
        <x:v>0.9000000000000021</x:v>
      </x:c>
      <x:c r="M1263" s="41" t="str">
        <x:v>lstm-soil-v1</x:v>
      </x:c>
    </x:row>
    <x:row r="1264">
      <x:c r="A1264" s="38" t="str">
        <x:v>7月30日现场数据</x:v>
      </x:c>
      <x:c r="B1264" s="39" t="str">
        <x:v>2026-08-01T15:50:00</x:v>
      </x:c>
      <x:c r="C1264" s="39" t="str">
        <x:v>2026-08-01T15:55:00</x:v>
      </x:c>
      <x:c r="D1264" s="47" t="n">
        <x:v>5</x:v>
      </x:c>
      <x:c r="E1264" s="40" t="n">
        <x:v>17.6</x:v>
      </x:c>
      <x:c r="F1264" s="40" t="n">
        <x:v>16.13066864013672</x:v>
      </x:c>
      <x:c r="G1264" s="40" t="n">
        <x:v>17.6</x:v>
      </x:c>
      <x:c r="H1264" s="40" t="n">
        <x:f>F1264-E1264</x:f>
        <x:v>-1.4693313598632827</x:v>
      </x:c>
      <x:c r="I1264" s="40" t="n">
        <x:f>ABS(H1264)</x:f>
        <x:v>1.4693313598632827</x:v>
      </x:c>
      <x:c r="J1264" s="40" t="n">
        <x:f>H1264^2</x:f>
        <x:v>2.1589346450776836</x:v>
      </x:c>
      <x:c r="K1264" s="40" t="n">
        <x:f>G1264-E1264</x:f>
        <x:v>0</x:v>
      </x:c>
      <x:c r="L1264" s="40" t="n">
        <x:f>ABS(K1264)</x:f>
        <x:v>0</x:v>
      </x:c>
      <x:c r="M1264" s="41" t="str">
        <x:v>lstm-soil-v1</x:v>
      </x:c>
    </x:row>
    <x:row r="1265">
      <x:c r="A1265" s="38" t="str">
        <x:v>7月30日现场数据</x:v>
      </x:c>
      <x:c r="B1265" s="39" t="str">
        <x:v>2026-08-01T15:50:00</x:v>
      </x:c>
      <x:c r="C1265" s="39" t="str">
        <x:v>2026-08-01T16:05:00</x:v>
      </x:c>
      <x:c r="D1265" s="47" t="n">
        <x:v>15</x:v>
      </x:c>
      <x:c r="E1265" s="40" t="n">
        <x:v>17.4</x:v>
      </x:c>
      <x:c r="F1265" s="40" t="n">
        <x:v>16.209510803222656</x:v>
      </x:c>
      <x:c r="G1265" s="40" t="n">
        <x:v>17.6</x:v>
      </x:c>
      <x:c r="H1265" s="40" t="n">
        <x:f>F1265-E1265</x:f>
        <x:v>-1.1904891967773423</x:v>
      </x:c>
      <x:c r="I1265" s="40" t="n">
        <x:f>ABS(H1265)</x:f>
        <x:v>1.1904891967773423</x:v>
      </x:c>
      <x:c r="J1265" s="40" t="n">
        <x:f>H1265^2</x:f>
        <x:v>1.4172645276435618</x:v>
      </x:c>
      <x:c r="K1265" s="40" t="n">
        <x:f>G1265-E1265</x:f>
        <x:v>0.20000000000000284</x:v>
      </x:c>
      <x:c r="L1265" s="40" t="n">
        <x:f>ABS(K1265)</x:f>
        <x:v>0.20000000000000284</x:v>
      </x:c>
      <x:c r="M1265" s="41" t="str">
        <x:v>lstm-soil-v1</x:v>
      </x:c>
    </x:row>
    <x:row r="1266">
      <x:c r="A1266" s="38" t="str">
        <x:v>7月30日现场数据</x:v>
      </x:c>
      <x:c r="B1266" s="39" t="str">
        <x:v>2026-08-01T15:50:00</x:v>
      </x:c>
      <x:c r="C1266" s="39" t="str">
        <x:v>2026-08-01T16:20:00</x:v>
      </x:c>
      <x:c r="D1266" s="47" t="n">
        <x:v>30</x:v>
      </x:c>
      <x:c r="E1266" s="40" t="n">
        <x:v>17.2</x:v>
      </x:c>
      <x:c r="F1266" s="40" t="n">
        <x:v>16.47842025756836</x:v>
      </x:c>
      <x:c r="G1266" s="40" t="n">
        <x:v>17.6</x:v>
      </x:c>
      <x:c r="H1266" s="40" t="n">
        <x:f>F1266-E1266</x:f>
        <x:v>-0.7215797424316399</x:v>
      </x:c>
      <x:c r="I1266" s="40" t="n">
        <x:f>ABS(H1266)</x:f>
        <x:v>0.7215797424316399</x:v>
      </x:c>
      <x:c r="J1266" s="40" t="n">
        <x:f>H1266^2</x:f>
        <x:v>0.5206773246877118</x:v>
      </x:c>
      <x:c r="K1266" s="40" t="n">
        <x:f>G1266-E1266</x:f>
        <x:v>0.40000000000000213</x:v>
      </x:c>
      <x:c r="L1266" s="40" t="n">
        <x:f>ABS(K1266)</x:f>
        <x:v>0.40000000000000213</x:v>
      </x:c>
      <x:c r="M1266" s="41" t="str">
        <x:v>lstm-soil-v1</x:v>
      </x:c>
    </x:row>
    <x:row r="1267">
      <x:c r="A1267" s="38" t="str">
        <x:v>7月30日现场数据</x:v>
      </x:c>
      <x:c r="B1267" s="39" t="str">
        <x:v>2026-08-01T15:50:00</x:v>
      </x:c>
      <x:c r="C1267" s="39" t="str">
        <x:v>2026-08-01T16:50:00</x:v>
      </x:c>
      <x:c r="D1267" s="47" t="n">
        <x:v>60</x:v>
      </x:c>
      <x:c r="E1267" s="40" t="n">
        <x:v>16.9</x:v>
      </x:c>
      <x:c r="F1267" s="40" t="n">
        <x:v>18.26349639892578</x:v>
      </x:c>
      <x:c r="G1267" s="40" t="n">
        <x:v>17.6</x:v>
      </x:c>
      <x:c r="H1267" s="40" t="n">
        <x:f>F1267-E1267</x:f>
        <x:v>1.3634963989257827</x:v>
      </x:c>
      <x:c r="I1267" s="40" t="n">
        <x:f>ABS(H1267)</x:f>
        <x:v>1.3634963989257827</x:v>
      </x:c>
      <x:c r="J1267" s="40" t="n">
        <x:f>H1267^2</x:f>
        <x:v>1.8591224298835771</x:v>
      </x:c>
      <x:c r="K1267" s="40" t="n">
        <x:f>G1267-E1267</x:f>
        <x:v>0.7000000000000028</x:v>
      </x:c>
      <x:c r="L1267" s="40" t="n">
        <x:f>ABS(K1267)</x:f>
        <x:v>0.7000000000000028</x:v>
      </x:c>
      <x:c r="M1267" s="41" t="str">
        <x:v>lstm-soil-v1</x:v>
      </x:c>
    </x:row>
    <x:row r="1268">
      <x:c r="A1268" s="38" t="str">
        <x:v>7月30日现场数据</x:v>
      </x:c>
      <x:c r="B1268" s="39" t="str">
        <x:v>2026-08-01T15:55:00</x:v>
      </x:c>
      <x:c r="C1268" s="39" t="str">
        <x:v>2026-08-01T16:00:00</x:v>
      </x:c>
      <x:c r="D1268" s="47" t="n">
        <x:v>5</x:v>
      </x:c>
      <x:c r="E1268" s="40" t="n">
        <x:v>17.5</x:v>
      </x:c>
      <x:c r="F1268" s="40" t="n">
        <x:v>16.131633758544922</x:v>
      </x:c>
      <x:c r="G1268" s="40" t="n">
        <x:v>17.6</x:v>
      </x:c>
      <x:c r="H1268" s="40" t="n">
        <x:f>F1268-E1268</x:f>
        <x:v>-1.3683662414550781</x:v>
      </x:c>
      <x:c r="I1268" s="40" t="n">
        <x:f>ABS(H1268)</x:f>
        <x:v>1.3683662414550781</x:v>
      </x:c>
      <x:c r="J1268" s="40" t="n">
        <x:f>H1268^2</x:f>
        <x:v>1.8724261707538972</x:v>
      </x:c>
      <x:c r="K1268" s="40" t="n">
        <x:f>G1268-E1268</x:f>
        <x:v>0.10000000000000142</x:v>
      </x:c>
      <x:c r="L1268" s="40" t="n">
        <x:f>ABS(K1268)</x:f>
        <x:v>0.10000000000000142</x:v>
      </x:c>
      <x:c r="M1268" s="41" t="str">
        <x:v>lstm-soil-v1</x:v>
      </x:c>
    </x:row>
    <x:row r="1269">
      <x:c r="A1269" s="38" t="str">
        <x:v>7月30日现场数据</x:v>
      </x:c>
      <x:c r="B1269" s="39" t="str">
        <x:v>2026-08-01T15:55:00</x:v>
      </x:c>
      <x:c r="C1269" s="39" t="str">
        <x:v>2026-08-01T16:10:00</x:v>
      </x:c>
      <x:c r="D1269" s="47" t="n">
        <x:v>15</x:v>
      </x:c>
      <x:c r="E1269" s="40" t="n">
        <x:v>17.3</x:v>
      </x:c>
      <x:c r="F1269" s="40" t="n">
        <x:v>16.21023941040039</x:v>
      </x:c>
      <x:c r="G1269" s="40" t="n">
        <x:v>17.6</x:v>
      </x:c>
      <x:c r="H1269" s="40" t="n">
        <x:f>F1269-E1269</x:f>
        <x:v>-1.08976058959961</x:v>
      </x:c>
      <x:c r="I1269" s="40" t="n">
        <x:f>ABS(H1269)</x:f>
        <x:v>1.08976058959961</x:v>
      </x:c>
      <x:c r="J1269" s="40" t="n">
        <x:f>H1269^2</x:f>
        <x:v>1.1875781426444898</x:v>
      </x:c>
      <x:c r="K1269" s="40" t="n">
        <x:f>G1269-E1269</x:f>
        <x:v>0.3000000000000007</x:v>
      </x:c>
      <x:c r="L1269" s="40" t="n">
        <x:f>ABS(K1269)</x:f>
        <x:v>0.3000000000000007</x:v>
      </x:c>
      <x:c r="M1269" s="41" t="str">
        <x:v>lstm-soil-v1</x:v>
      </x:c>
    </x:row>
    <x:row r="1270">
      <x:c r="A1270" s="38" t="str">
        <x:v>7月30日现场数据</x:v>
      </x:c>
      <x:c r="B1270" s="39" t="str">
        <x:v>2026-08-01T15:55:00</x:v>
      </x:c>
      <x:c r="C1270" s="39" t="str">
        <x:v>2026-08-01T16:25:00</x:v>
      </x:c>
      <x:c r="D1270" s="47" t="n">
        <x:v>30</x:v>
      </x:c>
      <x:c r="E1270" s="40" t="n">
        <x:v>17.1</x:v>
      </x:c>
      <x:c r="F1270" s="40" t="n">
        <x:v>16.48348617553711</x:v>
      </x:c>
      <x:c r="G1270" s="40" t="n">
        <x:v>17.6</x:v>
      </x:c>
      <x:c r="H1270" s="40" t="n">
        <x:f>F1270-E1270</x:f>
        <x:v>-0.616513824462892</x:v>
      </x:c>
      <x:c r="I1270" s="40" t="n">
        <x:f>ABS(H1270)</x:f>
        <x:v>0.616513824462892</x:v>
      </x:c>
      <x:c r="J1270" s="40" t="n">
        <x:f>H1270^2</x:f>
        <x:v>0.3800892957538617</x:v>
      </x:c>
      <x:c r="K1270" s="40" t="n">
        <x:f>G1270-E1270</x:f>
        <x:v>0.5</x:v>
      </x:c>
      <x:c r="L1270" s="40" t="n">
        <x:f>ABS(K1270)</x:f>
        <x:v>0.5</x:v>
      </x:c>
      <x:c r="M1270" s="41" t="str">
        <x:v>lstm-soil-v1</x:v>
      </x:c>
    </x:row>
    <x:row r="1271">
      <x:c r="A1271" s="38" t="str">
        <x:v>7月30日现场数据</x:v>
      </x:c>
      <x:c r="B1271" s="39" t="str">
        <x:v>2026-08-01T15:55:00</x:v>
      </x:c>
      <x:c r="C1271" s="39" t="str">
        <x:v>2026-08-01T16:55:00</x:v>
      </x:c>
      <x:c r="D1271" s="47" t="n">
        <x:v>60</x:v>
      </x:c>
      <x:c r="E1271" s="40" t="n">
        <x:v>16.8</x:v>
      </x:c>
      <x:c r="F1271" s="40" t="n">
        <x:v>18.267818450927734</x:v>
      </x:c>
      <x:c r="G1271" s="40" t="n">
        <x:v>17.6</x:v>
      </x:c>
      <x:c r="H1271" s="40" t="n">
        <x:f>F1271-E1271</x:f>
        <x:v>1.4678184509277337</x:v>
      </x:c>
      <x:c r="I1271" s="40" t="n">
        <x:f>ABS(H1271)</x:f>
        <x:v>1.4678184509277337</x:v>
      </x:c>
      <x:c r="J1271" s="40" t="n">
        <x:f>H1271^2</x:f>
        <x:v>2.1544910048838917</x:v>
      </x:c>
      <x:c r="K1271" s="40" t="n">
        <x:f>G1271-E1271</x:f>
        <x:v>0.8000000000000007</x:v>
      </x:c>
      <x:c r="L1271" s="40" t="n">
        <x:f>ABS(K1271)</x:f>
        <x:v>0.8000000000000007</x:v>
      </x:c>
      <x:c r="M1271" s="41" t="str">
        <x:v>lstm-soil-v1</x:v>
      </x:c>
    </x:row>
    <x:row r="1272">
      <x:c r="A1272" s="38" t="str">
        <x:v>7月30日现场数据</x:v>
      </x:c>
      <x:c r="B1272" s="39" t="str">
        <x:v>2026-08-01T16:00:00</x:v>
      </x:c>
      <x:c r="C1272" s="39" t="str">
        <x:v>2026-08-01T16:05:00</x:v>
      </x:c>
      <x:c r="D1272" s="47" t="n">
        <x:v>5</x:v>
      </x:c>
      <x:c r="E1272" s="40" t="n">
        <x:v>17.4</x:v>
      </x:c>
      <x:c r="F1272" s="40" t="n">
        <x:v>16.023712158203125</x:v>
      </x:c>
      <x:c r="G1272" s="40" t="n">
        <x:v>17.5</x:v>
      </x:c>
      <x:c r="H1272" s="40" t="n">
        <x:f>F1272-E1272</x:f>
        <x:v>-1.3762878417968736</x:v>
      </x:c>
      <x:c r="I1272" s="40" t="n">
        <x:f>ABS(H1272)</x:f>
        <x:v>1.3762878417968736</x:v>
      </x:c>
      <x:c r="J1272" s="40" t="n">
        <x:f>H1272^2</x:f>
        <x:v>1.894168223477896</x:v>
      </x:c>
      <x:c r="K1272" s="40" t="n">
        <x:f>G1272-E1272</x:f>
        <x:v>0.10000000000000142</x:v>
      </x:c>
      <x:c r="L1272" s="40" t="n">
        <x:f>ABS(K1272)</x:f>
        <x:v>0.10000000000000142</x:v>
      </x:c>
      <x:c r="M1272" s="41" t="str">
        <x:v>lstm-soil-v1</x:v>
      </x:c>
    </x:row>
    <x:row r="1273">
      <x:c r="A1273" s="38" t="str">
        <x:v>7月30日现场数据</x:v>
      </x:c>
      <x:c r="B1273" s="39" t="str">
        <x:v>2026-08-01T16:00:00</x:v>
      </x:c>
      <x:c r="C1273" s="39" t="str">
        <x:v>2026-08-01T16:15:00</x:v>
      </x:c>
      <x:c r="D1273" s="47" t="n">
        <x:v>15</x:v>
      </x:c>
      <x:c r="E1273" s="40" t="n">
        <x:v>17.3</x:v>
      </x:c>
      <x:c r="F1273" s="40" t="n">
        <x:v>16.101280212402344</x:v>
      </x:c>
      <x:c r="G1273" s="40" t="n">
        <x:v>17.5</x:v>
      </x:c>
      <x:c r="H1273" s="40" t="n">
        <x:f>F1273-E1273</x:f>
        <x:v>-1.198719787597657</x:v>
      </x:c>
      <x:c r="I1273" s="40" t="n">
        <x:f>ABS(H1273)</x:f>
        <x:v>1.198719787597657</x:v>
      </x:c>
      <x:c r="J1273" s="40" t="n">
        <x:f>H1273^2</x:f>
        <x:v>1.4369291291781718</x:v>
      </x:c>
      <x:c r="K1273" s="40" t="n">
        <x:f>G1273-E1273</x:f>
        <x:v>0.1999999999999993</x:v>
      </x:c>
      <x:c r="L1273" s="40" t="n">
        <x:f>ABS(K1273)</x:f>
        <x:v>0.1999999999999993</x:v>
      </x:c>
      <x:c r="M1273" s="41" t="str">
        <x:v>lstm-soil-v1</x:v>
      </x:c>
    </x:row>
    <x:row r="1274">
      <x:c r="A1274" s="38" t="str">
        <x:v>7月30日现场数据</x:v>
      </x:c>
      <x:c r="B1274" s="39" t="str">
        <x:v>2026-08-01T16:00:00</x:v>
      </x:c>
      <x:c r="C1274" s="39" t="str">
        <x:v>2026-08-01T16:30:00</x:v>
      </x:c>
      <x:c r="D1274" s="47" t="n">
        <x:v>30</x:v>
      </x:c>
      <x:c r="E1274" s="40" t="n">
        <x:v>17.1</x:v>
      </x:c>
      <x:c r="F1274" s="40" t="n">
        <x:v>16.379074096679688</x:v>
      </x:c>
      <x:c r="G1274" s="40" t="n">
        <x:v>17.5</x:v>
      </x:c>
      <x:c r="H1274" s="40" t="n">
        <x:f>F1274-E1274</x:f>
        <x:v>-0.7209259033203139</x:v>
      </x:c>
      <x:c r="I1274" s="40" t="n">
        <x:f>ABS(H1274)</x:f>
        <x:v>0.7209259033203139</x:v>
      </x:c>
      <x:c r="J1274" s="40" t="n">
        <x:f>H1274^2</x:f>
        <x:v>0.5197341580782107</x:v>
      </x:c>
      <x:c r="K1274" s="40" t="n">
        <x:f>G1274-E1274</x:f>
        <x:v>0.3999999999999986</x:v>
      </x:c>
      <x:c r="L1274" s="40" t="n">
        <x:f>ABS(K1274)</x:f>
        <x:v>0.3999999999999986</x:v>
      </x:c>
      <x:c r="M1274" s="41" t="str">
        <x:v>lstm-soil-v1</x:v>
      </x:c>
    </x:row>
    <x:row r="1275">
      <x:c r="A1275" s="38" t="str">
        <x:v>7月30日现场数据</x:v>
      </x:c>
      <x:c r="B1275" s="39" t="str">
        <x:v>2026-08-01T16:00:00</x:v>
      </x:c>
      <x:c r="C1275" s="39" t="str">
        <x:v>2026-08-01T17:00:00</x:v>
      </x:c>
      <x:c r="D1275" s="47" t="n">
        <x:v>60</x:v>
      </x:c>
      <x:c r="E1275" s="40" t="n">
        <x:v>16.8</x:v>
      </x:c>
      <x:c r="F1275" s="40" t="n">
        <x:v>18.161529541015625</x:v>
      </x:c>
      <x:c r="G1275" s="40" t="n">
        <x:v>17.5</x:v>
      </x:c>
      <x:c r="H1275" s="40" t="n">
        <x:f>F1275-E1275</x:f>
        <x:v>1.3615295410156243</x:v>
      </x:c>
      <x:c r="I1275" s="40" t="n">
        <x:f>ABS(H1275)</x:f>
        <x:v>1.3615295410156243</x:v>
      </x:c>
      <x:c r="J1275" s="40" t="n">
        <x:f>H1275^2</x:f>
        <x:v>1.8537626910582166</x:v>
      </x:c>
      <x:c r="K1275" s="40" t="n">
        <x:f>G1275-E1275</x:f>
        <x:v>0.6999999999999993</x:v>
      </x:c>
      <x:c r="L1275" s="40" t="n">
        <x:f>ABS(K1275)</x:f>
        <x:v>0.6999999999999993</x:v>
      </x:c>
      <x:c r="M1275" s="41" t="str">
        <x:v>lstm-soil-v1</x:v>
      </x:c>
    </x:row>
    <x:row r="1276">
      <x:c r="A1276" s="38" t="str">
        <x:v>7月30日现场数据</x:v>
      </x:c>
      <x:c r="B1276" s="39" t="str">
        <x:v>2026-08-01T16:05:00</x:v>
      </x:c>
      <x:c r="C1276" s="39" t="str">
        <x:v>2026-08-01T16:10:00</x:v>
      </x:c>
      <x:c r="D1276" s="47" t="n">
        <x:v>5</x:v>
      </x:c>
      <x:c r="E1276" s="40" t="n">
        <x:v>17.3</x:v>
      </x:c>
      <x:c r="F1276" s="40" t="n">
        <x:v>15.91519546508789</x:v>
      </x:c>
      <x:c r="G1276" s="40" t="n">
        <x:v>17.4</x:v>
      </x:c>
      <x:c r="H1276" s="40" t="n">
        <x:f>F1276-E1276</x:f>
        <x:v>-1.38480453491211</x:v>
      </x:c>
      <x:c r="I1276" s="40" t="n">
        <x:f>ABS(H1276)</x:f>
        <x:v>1.38480453491211</x:v>
      </x:c>
      <x:c r="J1276" s="40" t="n">
        <x:f>H1276^2</x:f>
        <x:v>1.9176835999131456</x:v>
      </x:c>
      <x:c r="K1276" s="40" t="n">
        <x:f>G1276-E1276</x:f>
        <x:v>0.09999999999999787</x:v>
      </x:c>
      <x:c r="L1276" s="40" t="n">
        <x:f>ABS(K1276)</x:f>
        <x:v>0.09999999999999787</x:v>
      </x:c>
      <x:c r="M1276" s="41" t="str">
        <x:v>lstm-soil-v1</x:v>
      </x:c>
    </x:row>
    <x:row r="1277">
      <x:c r="A1277" s="38" t="str">
        <x:v>7月30日现场数据</x:v>
      </x:c>
      <x:c r="B1277" s="39" t="str">
        <x:v>2026-08-01T16:05:00</x:v>
      </x:c>
      <x:c r="C1277" s="39" t="str">
        <x:v>2026-08-01T16:20:00</x:v>
      </x:c>
      <x:c r="D1277" s="47" t="n">
        <x:v>15</x:v>
      </x:c>
      <x:c r="E1277" s="40" t="n">
        <x:v>17.2</x:v>
      </x:c>
      <x:c r="F1277" s="40" t="n">
        <x:v>15.991493225097656</x:v>
      </x:c>
      <x:c r="G1277" s="40" t="n">
        <x:v>17.4</x:v>
      </x:c>
      <x:c r="H1277" s="40" t="n">
        <x:f>F1277-E1277</x:f>
        <x:v>-1.208506774902343</x:v>
      </x:c>
      <x:c r="I1277" s="40" t="n">
        <x:f>ABS(H1277)</x:f>
        <x:v>1.208506774902343</x:v>
      </x:c>
      <x:c r="J1277" s="40" t="n">
        <x:f>H1277^2</x:f>
        <x:v>1.4604886249848625</x:v>
      </x:c>
      <x:c r="K1277" s="40" t="n">
        <x:f>G1277-E1277</x:f>
        <x:v>0.1999999999999993</x:v>
      </x:c>
      <x:c r="L1277" s="40" t="n">
        <x:f>ABS(K1277)</x:f>
        <x:v>0.1999999999999993</x:v>
      </x:c>
      <x:c r="M1277" s="41" t="str">
        <x:v>lstm-soil-v1</x:v>
      </x:c>
    </x:row>
    <x:row r="1278">
      <x:c r="A1278" s="38" t="str">
        <x:v>7月30日现场数据</x:v>
      </x:c>
      <x:c r="B1278" s="39" t="str">
        <x:v>2026-08-01T16:05:00</x:v>
      </x:c>
      <x:c r="C1278" s="39" t="str">
        <x:v>2026-08-01T16:35:00</x:v>
      </x:c>
      <x:c r="D1278" s="47" t="n">
        <x:v>30</x:v>
      </x:c>
      <x:c r="E1278" s="40" t="n">
        <x:v>17</x:v>
      </x:c>
      <x:c r="F1278" s="40" t="n">
        <x:v>16.272865295410156</x:v>
      </x:c>
      <x:c r="G1278" s="40" t="n">
        <x:v>17.4</x:v>
      </x:c>
      <x:c r="H1278" s="40" t="n">
        <x:f>F1278-E1278</x:f>
        <x:v>-0.7271347045898438</x:v>
      </x:c>
      <x:c r="I1278" s="40" t="n">
        <x:f>ABS(H1278)</x:f>
        <x:v>0.7271347045898438</x:v>
      </x:c>
      <x:c r="J1278" s="40" t="n">
        <x:f>H1278^2</x:f>
        <x:v>0.5287248786189593</x:v>
      </x:c>
      <x:c r="K1278" s="40" t="n">
        <x:f>G1278-E1278</x:f>
        <x:v>0.3999999999999986</x:v>
      </x:c>
      <x:c r="L1278" s="40" t="n">
        <x:f>ABS(K1278)</x:f>
        <x:v>0.3999999999999986</x:v>
      </x:c>
      <x:c r="M1278" s="41" t="str">
        <x:v>lstm-soil-v1</x:v>
      </x:c>
    </x:row>
    <x:row r="1279">
      <x:c r="A1279" s="38" t="str">
        <x:v>7月30日现场数据</x:v>
      </x:c>
      <x:c r="B1279" s="39" t="str">
        <x:v>2026-08-01T16:05:00</x:v>
      </x:c>
      <x:c r="C1279" s="39" t="str">
        <x:v>2026-08-01T17:05:00</x:v>
      </x:c>
      <x:c r="D1279" s="47" t="n">
        <x:v>60</x:v>
      </x:c>
      <x:c r="E1279" s="40" t="n">
        <x:v>16.8</x:v>
      </x:c>
      <x:c r="F1279" s="40" t="n">
        <x:v>18.054508209228516</x:v>
      </x:c>
      <x:c r="G1279" s="40" t="n">
        <x:v>17.4</x:v>
      </x:c>
      <x:c r="H1279" s="40" t="n">
        <x:f>F1279-E1279</x:f>
        <x:v>1.254508209228515</x:v>
      </x:c>
      <x:c r="I1279" s="40" t="n">
        <x:f>ABS(H1279)</x:f>
        <x:v>1.254508209228515</x:v>
      </x:c>
      <x:c r="J1279" s="40" t="n">
        <x:f>H1279^2</x:f>
        <x:v>1.5737908470217354</x:v>
      </x:c>
      <x:c r="K1279" s="40" t="n">
        <x:f>G1279-E1279</x:f>
        <x:v>0.5999999999999979</x:v>
      </x:c>
      <x:c r="L1279" s="40" t="n">
        <x:f>ABS(K1279)</x:f>
        <x:v>0.5999999999999979</x:v>
      </x:c>
      <x:c r="M1279" s="41" t="str">
        <x:v>lstm-soil-v1</x:v>
      </x:c>
    </x:row>
    <x:row r="1280">
      <x:c r="A1280" s="38" t="str">
        <x:v>7月30日现场数据</x:v>
      </x:c>
      <x:c r="B1280" s="39" t="str">
        <x:v>2026-08-01T16:10:00</x:v>
      </x:c>
      <x:c r="C1280" s="39" t="str">
        <x:v>2026-08-01T16:15:00</x:v>
      </x:c>
      <x:c r="D1280" s="47" t="n">
        <x:v>5</x:v>
      </x:c>
      <x:c r="E1280" s="40" t="n">
        <x:v>17.3</x:v>
      </x:c>
      <x:c r="F1280" s="40" t="n">
        <x:v>15.805580139160156</x:v>
      </x:c>
      <x:c r="G1280" s="40" t="n">
        <x:v>17.3</x:v>
      </x:c>
      <x:c r="H1280" s="40" t="n">
        <x:f>F1280-E1280</x:f>
        <x:v>-1.4944198608398445</x:v>
      </x:c>
      <x:c r="I1280" s="40" t="n">
        <x:f>ABS(H1280)</x:f>
        <x:v>1.4944198608398445</x:v>
      </x:c>
      <x:c r="J1280" s="40" t="n">
        <x:f>H1280^2</x:f>
        <x:v>2.23329072047258</x:v>
      </x:c>
      <x:c r="K1280" s="40" t="n">
        <x:f>G1280-E1280</x:f>
        <x:v>0</x:v>
      </x:c>
      <x:c r="L1280" s="40" t="n">
        <x:f>ABS(K1280)</x:f>
        <x:v>0</x:v>
      </x:c>
      <x:c r="M1280" s="41" t="str">
        <x:v>lstm-soil-v1</x:v>
      </x:c>
    </x:row>
    <x:row r="1281">
      <x:c r="A1281" s="38" t="str">
        <x:v>7月30日现场数据</x:v>
      </x:c>
      <x:c r="B1281" s="39" t="str">
        <x:v>2026-08-01T16:10:00</x:v>
      </x:c>
      <x:c r="C1281" s="39" t="str">
        <x:v>2026-08-01T16:25:00</x:v>
      </x:c>
      <x:c r="D1281" s="47" t="n">
        <x:v>15</x:v>
      </x:c>
      <x:c r="E1281" s="40" t="n">
        <x:v>17.1</x:v>
      </x:c>
      <x:c r="F1281" s="40" t="n">
        <x:v>15.881126403808594</x:v>
      </x:c>
      <x:c r="G1281" s="40" t="n">
        <x:v>17.3</x:v>
      </x:c>
      <x:c r="H1281" s="40" t="n">
        <x:f>F1281-E1281</x:f>
        <x:v>-1.2188735961914077</x:v>
      </x:c>
      <x:c r="I1281" s="40" t="n">
        <x:f>ABS(H1281)</x:f>
        <x:v>1.2188735961914077</x:v>
      </x:c>
      <x:c r="J1281" s="40" t="n">
        <x:f>H1281^2</x:f>
        <x:v>1.4856528434925746</x:v>
      </x:c>
      <x:c r="K1281" s="40" t="n">
        <x:f>G1281-E1281</x:f>
        <x:v>0.1999999999999993</x:v>
      </x:c>
      <x:c r="L1281" s="40" t="n">
        <x:f>ABS(K1281)</x:f>
        <x:v>0.1999999999999993</x:v>
      </x:c>
      <x:c r="M1281" s="41" t="str">
        <x:v>lstm-soil-v1</x:v>
      </x:c>
    </x:row>
    <x:row r="1282">
      <x:c r="A1282" s="38" t="str">
        <x:v>7月30日现场数据</x:v>
      </x:c>
      <x:c r="B1282" s="39" t="str">
        <x:v>2026-08-01T16:10:00</x:v>
      </x:c>
      <x:c r="C1282" s="39" t="str">
        <x:v>2026-08-01T16:40:00</x:v>
      </x:c>
      <x:c r="D1282" s="47" t="n">
        <x:v>30</x:v>
      </x:c>
      <x:c r="E1282" s="40" t="n">
        <x:v>17</x:v>
      </x:c>
      <x:c r="F1282" s="40" t="n">
        <x:v>16.16550064086914</x:v>
      </x:c>
      <x:c r="G1282" s="40" t="n">
        <x:v>17.3</x:v>
      </x:c>
      <x:c r="H1282" s="40" t="n">
        <x:f>F1282-E1282</x:f>
        <x:v>-0.8344993591308594</x:v>
      </x:c>
      <x:c r="I1282" s="40" t="n">
        <x:f>ABS(H1282)</x:f>
        <x:v>0.8344993591308594</x:v>
      </x:c>
      <x:c r="J1282" s="40" t="n">
        <x:f>H1282^2</x:f>
        <x:v>0.696389180389815</x:v>
      </x:c>
      <x:c r="K1282" s="40" t="n">
        <x:f>G1282-E1282</x:f>
        <x:v>0.3000000000000007</x:v>
      </x:c>
      <x:c r="L1282" s="40" t="n">
        <x:f>ABS(K1282)</x:f>
        <x:v>0.3000000000000007</x:v>
      </x:c>
      <x:c r="M1282" s="41" t="str">
        <x:v>lstm-soil-v1</x:v>
      </x:c>
    </x:row>
    <x:row r="1283">
      <x:c r="A1283" s="38" t="str">
        <x:v>7月30日现场数据</x:v>
      </x:c>
      <x:c r="B1283" s="39" t="str">
        <x:v>2026-08-01T16:10:00</x:v>
      </x:c>
      <x:c r="C1283" s="39" t="str">
        <x:v>2026-08-01T17:10:00</x:v>
      </x:c>
      <x:c r="D1283" s="47" t="n">
        <x:v>60</x:v>
      </x:c>
      <x:c r="E1283" s="40" t="n">
        <x:v>16.7</x:v>
      </x:c>
      <x:c r="F1283" s="40" t="n">
        <x:v>17.946758270263672</x:v>
      </x:c>
      <x:c r="G1283" s="40" t="n">
        <x:v>17.3</x:v>
      </x:c>
      <x:c r="H1283" s="40" t="n">
        <x:f>F1283-E1283</x:f>
        <x:v>1.2467582702636726</x:v>
      </x:c>
      <x:c r="I1283" s="40" t="n">
        <x:f>ABS(H1283)</x:f>
        <x:v>1.2467582702636726</x:v>
      </x:c>
      <x:c r="J1283" s="40" t="n">
        <x:f>H1283^2</x:f>
        <x:v>1.5544061844708648</x:v>
      </x:c>
      <x:c r="K1283" s="40" t="n">
        <x:f>G1283-E1283</x:f>
        <x:v>0.6000000000000014</x:v>
      </x:c>
      <x:c r="L1283" s="40" t="n">
        <x:f>ABS(K1283)</x:f>
        <x:v>0.6000000000000014</x:v>
      </x:c>
      <x:c r="M1283" s="41" t="str">
        <x:v>lstm-soil-v1</x:v>
      </x:c>
    </x:row>
    <x:row r="1284">
      <x:c r="A1284" s="38" t="str">
        <x:v>7月30日现场数据</x:v>
      </x:c>
      <x:c r="B1284" s="39" t="str">
        <x:v>2026-08-01T16:15:00</x:v>
      </x:c>
      <x:c r="C1284" s="39" t="str">
        <x:v>2026-08-01T16:20:00</x:v>
      </x:c>
      <x:c r="D1284" s="47" t="n">
        <x:v>5</x:v>
      </x:c>
      <x:c r="E1284" s="40" t="n">
        <x:v>17.2</x:v>
      </x:c>
      <x:c r="F1284" s="40" t="n">
        <x:v>15.805686950683594</x:v>
      </x:c>
      <x:c r="G1284" s="40" t="n">
        <x:v>17.3</x:v>
      </x:c>
      <x:c r="H1284" s="40" t="n">
        <x:f>F1284-E1284</x:f>
        <x:v>-1.3943130493164055</x:v>
      </x:c>
      <x:c r="I1284" s="40" t="n">
        <x:f>ABS(H1284)</x:f>
        <x:v>1.3943130493164055</x:v>
      </x:c>
      <x:c r="J1284" s="40" t="n">
        <x:f>H1284^2</x:f>
        <x:v>1.9441088794940131</x:v>
      </x:c>
      <x:c r="K1284" s="40" t="n">
        <x:f>G1284-E1284</x:f>
        <x:v>0.10000000000000142</x:v>
      </x:c>
      <x:c r="L1284" s="40" t="n">
        <x:f>ABS(K1284)</x:f>
        <x:v>0.10000000000000142</x:v>
      </x:c>
      <x:c r="M1284" s="41" t="str">
        <x:v>lstm-soil-v1</x:v>
      </x:c>
    </x:row>
    <x:row r="1285">
      <x:c r="A1285" s="38" t="str">
        <x:v>7月30日现场数据</x:v>
      </x:c>
      <x:c r="B1285" s="39" t="str">
        <x:v>2026-08-01T16:15:00</x:v>
      </x:c>
      <x:c r="C1285" s="39" t="str">
        <x:v>2026-08-01T16:30:00</x:v>
      </x:c>
      <x:c r="D1285" s="47" t="n">
        <x:v>15</x:v>
      </x:c>
      <x:c r="E1285" s="40" t="n">
        <x:v>17.1</x:v>
      </x:c>
      <x:c r="F1285" s="40" t="n">
        <x:v>15.880752563476562</x:v>
      </x:c>
      <x:c r="G1285" s="40" t="n">
        <x:v>17.3</x:v>
      </x:c>
      <x:c r="H1285" s="40" t="n">
        <x:f>F1285-E1285</x:f>
        <x:v>-1.219247436523439</x:v>
      </x:c>
      <x:c r="I1285" s="40" t="n">
        <x:f>ABS(H1285)</x:f>
        <x:v>1.219247436523439</x:v>
      </x:c>
      <x:c r="J1285" s="40" t="n">
        <x:f>H1285^2</x:f>
        <x:v>1.4865643114689773</x:v>
      </x:c>
      <x:c r="K1285" s="40" t="n">
        <x:f>G1285-E1285</x:f>
        <x:v>0.1999999999999993</x:v>
      </x:c>
      <x:c r="L1285" s="40" t="n">
        <x:f>ABS(K1285)</x:f>
        <x:v>0.1999999999999993</x:v>
      </x:c>
      <x:c r="M1285" s="41" t="str">
        <x:v>lstm-soil-v1</x:v>
      </x:c>
    </x:row>
    <x:row r="1286">
      <x:c r="A1286" s="38" t="str">
        <x:v>7月30日现场数据</x:v>
      </x:c>
      <x:c r="B1286" s="39" t="str">
        <x:v>2026-08-01T16:15:00</x:v>
      </x:c>
      <x:c r="C1286" s="39" t="str">
        <x:v>2026-08-01T16:45:00</x:v>
      </x:c>
      <x:c r="D1286" s="47" t="n">
        <x:v>30</x:v>
      </x:c>
      <x:c r="E1286" s="40" t="n">
        <x:v>16.9</x:v>
      </x:c>
      <x:c r="F1286" s="40" t="n">
        <x:v>16.16793441772461</x:v>
      </x:c>
      <x:c r="G1286" s="40" t="n">
        <x:v>17.3</x:v>
      </x:c>
      <x:c r="H1286" s="40" t="n">
        <x:f>F1286-E1286</x:f>
        <x:v>-0.7320655822753892</x:v>
      </x:c>
      <x:c r="I1286" s="40" t="n">
        <x:f>ABS(H1286)</x:f>
        <x:v>0.7320655822753892</x:v>
      </x:c>
      <x:c r="J1286" s="40" t="n">
        <x:f>H1286^2</x:f>
        <x:v>0.5359200167522047</x:v>
      </x:c>
      <x:c r="K1286" s="40" t="n">
        <x:f>G1286-E1286</x:f>
        <x:v>0.40000000000000213</x:v>
      </x:c>
      <x:c r="L1286" s="40" t="n">
        <x:f>ABS(K1286)</x:f>
        <x:v>0.40000000000000213</x:v>
      </x:c>
      <x:c r="M1286" s="41" t="str">
        <x:v>lstm-soil-v1</x:v>
      </x:c>
    </x:row>
    <x:row r="1287">
      <x:c r="A1287" s="38" t="str">
        <x:v>7月30日现场数据</x:v>
      </x:c>
      <x:c r="B1287" s="39" t="str">
        <x:v>2026-08-01T16:15:00</x:v>
      </x:c>
      <x:c r="C1287" s="39" t="str">
        <x:v>2026-08-01T17:15:00</x:v>
      </x:c>
      <x:c r="D1287" s="47" t="n">
        <x:v>60</x:v>
      </x:c>
      <x:c r="E1287" s="40" t="n">
        <x:v>16.7</x:v>
      </x:c>
      <x:c r="F1287" s="40" t="n">
        <x:v>17.949005126953125</x:v>
      </x:c>
      <x:c r="G1287" s="40" t="n">
        <x:v>17.3</x:v>
      </x:c>
      <x:c r="H1287" s="40" t="n">
        <x:f>F1287-E1287</x:f>
        <x:v>1.2490051269531257</x:v>
      </x:c>
      <x:c r="I1287" s="40" t="n">
        <x:f>ABS(H1287)</x:f>
        <x:v>1.2490051269531257</x:v>
      </x:c>
      <x:c r="J1287" s="40" t="n">
        <x:f>H1287^2</x:f>
        <x:v>1.5600138071551937</x:v>
      </x:c>
      <x:c r="K1287" s="40" t="n">
        <x:f>G1287-E1287</x:f>
        <x:v>0.6000000000000014</x:v>
      </x:c>
      <x:c r="L1287" s="40" t="n">
        <x:f>ABS(K1287)</x:f>
        <x:v>0.6000000000000014</x:v>
      </x:c>
      <x:c r="M1287" s="41" t="str">
        <x:v>lstm-soil-v1</x:v>
      </x:c>
    </x:row>
    <x:row r="1288">
      <x:c r="A1288" s="38" t="str">
        <x:v>7月30日现场数据</x:v>
      </x:c>
      <x:c r="B1288" s="39" t="str">
        <x:v>2026-08-01T16:20:00</x:v>
      </x:c>
      <x:c r="C1288" s="39" t="str">
        <x:v>2026-08-01T16:25:00</x:v>
      </x:c>
      <x:c r="D1288" s="47" t="n">
        <x:v>5</x:v>
      </x:c>
      <x:c r="E1288" s="40" t="n">
        <x:v>17.1</x:v>
      </x:c>
      <x:c r="F1288" s="40" t="n">
        <x:v>15.695365905761719</x:v>
      </x:c>
      <x:c r="G1288" s="40" t="n">
        <x:v>17.2</x:v>
      </x:c>
      <x:c r="H1288" s="40" t="n">
        <x:f>F1288-E1288</x:f>
        <x:v>-1.4046340942382827</x:v>
      </x:c>
      <x:c r="I1288" s="40" t="n">
        <x:f>ABS(H1288)</x:f>
        <x:v>1.4046340942382827</x:v>
      </x:c>
      <x:c r="J1288" s="40" t="n">
        <x:f>H1288^2</x:f>
        <x:v>1.9729969386966009</x:v>
      </x:c>
      <x:c r="K1288" s="40" t="n">
        <x:f>G1288-E1288</x:f>
        <x:v>0.09999999999999787</x:v>
      </x:c>
      <x:c r="L1288" s="40" t="n">
        <x:f>ABS(K1288)</x:f>
        <x:v>0.09999999999999787</x:v>
      </x:c>
      <x:c r="M1288" s="41" t="str">
        <x:v>lstm-soil-v1</x:v>
      </x:c>
    </x:row>
    <x:row r="1289">
      <x:c r="A1289" s="38" t="str">
        <x:v>7月30日现场数据</x:v>
      </x:c>
      <x:c r="B1289" s="39" t="str">
        <x:v>2026-08-01T16:20:00</x:v>
      </x:c>
      <x:c r="C1289" s="39" t="str">
        <x:v>2026-08-01T16:35:00</x:v>
      </x:c>
      <x:c r="D1289" s="47" t="n">
        <x:v>15</x:v>
      </x:c>
      <x:c r="E1289" s="40" t="n">
        <x:v>17</x:v>
      </x:c>
      <x:c r="F1289" s="40" t="n">
        <x:v>15.770317077636719</x:v>
      </x:c>
      <x:c r="G1289" s="40" t="n">
        <x:v>17.2</x:v>
      </x:c>
      <x:c r="H1289" s="40" t="n">
        <x:f>F1289-E1289</x:f>
        <x:v>-1.2296829223632812</x:v>
      </x:c>
      <x:c r="I1289" s="40" t="n">
        <x:f>ABS(H1289)</x:f>
        <x:v>1.2296829223632812</x:v>
      </x:c>
      <x:c r="J1289" s="40" t="n">
        <x:f>H1289^2</x:f>
        <x:v>1.5121200895518996</x:v>
      </x:c>
      <x:c r="K1289" s="40" t="n">
        <x:f>G1289-E1289</x:f>
        <x:v>0.1999999999999993</x:v>
      </x:c>
      <x:c r="L1289" s="40" t="n">
        <x:f>ABS(K1289)</x:f>
        <x:v>0.1999999999999993</x:v>
      </x:c>
      <x:c r="M1289" s="41" t="str">
        <x:v>lstm-soil-v1</x:v>
      </x:c>
    </x:row>
    <x:row r="1290">
      <x:c r="A1290" s="38" t="str">
        <x:v>7月30日现场数据</x:v>
      </x:c>
      <x:c r="B1290" s="39" t="str">
        <x:v>2026-08-01T16:20:00</x:v>
      </x:c>
      <x:c r="C1290" s="39" t="str">
        <x:v>2026-08-01T16:50:00</x:v>
      </x:c>
      <x:c r="D1290" s="47" t="n">
        <x:v>30</x:v>
      </x:c>
      <x:c r="E1290" s="40" t="n">
        <x:v>16.9</x:v>
      </x:c>
      <x:c r="F1290" s="40" t="n">
        <x:v>16.060001373291016</x:v>
      </x:c>
      <x:c r="G1290" s="40" t="n">
        <x:v>17.2</x:v>
      </x:c>
      <x:c r="H1290" s="40" t="n">
        <x:f>F1290-E1290</x:f>
        <x:v>-0.839998626708983</x:v>
      </x:c>
      <x:c r="I1290" s="40" t="n">
        <x:f>ABS(H1290)</x:f>
        <x:v>0.839998626708983</x:v>
      </x:c>
      <x:c r="J1290" s="40" t="n">
        <x:f>H1290^2</x:f>
        <x:v>0.7055976928729772</x:v>
      </x:c>
      <x:c r="K1290" s="40" t="n">
        <x:f>G1290-E1290</x:f>
        <x:v>0.3000000000000007</x:v>
      </x:c>
      <x:c r="L1290" s="40" t="n">
        <x:f>ABS(K1290)</x:f>
        <x:v>0.3000000000000007</x:v>
      </x:c>
      <x:c r="M1290" s="41" t="str">
        <x:v>lstm-soil-v1</x:v>
      </x:c>
    </x:row>
    <x:row r="1291">
      <x:c r="A1291" s="38" t="str">
        <x:v>7月30日现场数据</x:v>
      </x:c>
      <x:c r="B1291" s="39" t="str">
        <x:v>2026-08-01T16:20:00</x:v>
      </x:c>
      <x:c r="C1291" s="39" t="str">
        <x:v>2026-08-01T17:20:00</x:v>
      </x:c>
      <x:c r="D1291" s="47" t="n">
        <x:v>60</x:v>
      </x:c>
      <x:c r="E1291" s="40" t="n">
        <x:v>16.7</x:v>
      </x:c>
      <x:c r="F1291" s="40" t="n">
        <x:v>17.840770721435547</x:v>
      </x:c>
      <x:c r="G1291" s="40" t="n">
        <x:v>17.2</x:v>
      </x:c>
      <x:c r="H1291" s="40" t="n">
        <x:f>F1291-E1291</x:f>
        <x:v>1.1407707214355476</x:v>
      </x:c>
      <x:c r="I1291" s="40" t="n">
        <x:f>ABS(H1291)</x:f>
        <x:v>1.1407707214355476</x:v>
      </x:c>
      <x:c r="J1291" s="40" t="n">
        <x:f>H1291^2</x:f>
        <x:v>1.3013578388845797</x:v>
      </x:c>
      <x:c r="K1291" s="40" t="n">
        <x:f>G1291-E1291</x:f>
        <x:v>0.5</x:v>
      </x:c>
      <x:c r="L1291" s="40" t="n">
        <x:f>ABS(K1291)</x:f>
        <x:v>0.5</x:v>
      </x:c>
      <x:c r="M1291" s="41" t="str">
        <x:v>lstm-soil-v1</x:v>
      </x:c>
    </x:row>
    <x:row r="1292">
      <x:c r="A1292" s="38" t="str">
        <x:v>7月30日现场数据</x:v>
      </x:c>
      <x:c r="B1292" s="39" t="str">
        <x:v>2026-08-01T16:25:00</x:v>
      </x:c>
      <x:c r="C1292" s="39" t="str">
        <x:v>2026-08-01T16:30:00</x:v>
      </x:c>
      <x:c r="D1292" s="47" t="n">
        <x:v>5</x:v>
      </x:c>
      <x:c r="E1292" s="40" t="n">
        <x:v>17.1</x:v>
      </x:c>
      <x:c r="F1292" s="40" t="n">
        <x:v>15.584953308105469</x:v>
      </x:c>
      <x:c r="G1292" s="40" t="n">
        <x:v>17.1</x:v>
      </x:c>
      <x:c r="H1292" s="40" t="n">
        <x:f>F1292-E1292</x:f>
        <x:v>-1.5150466918945327</x:v>
      </x:c>
      <x:c r="I1292" s="40" t="n">
        <x:f>ABS(H1292)</x:f>
        <x:v>1.5150466918945327</x:v>
      </x:c>
      <x:c r="J1292" s="40" t="n">
        <x:f>H1292^2</x:f>
        <x:v>2.295366478620567</x:v>
      </x:c>
      <x:c r="K1292" s="40" t="n">
        <x:f>G1292-E1292</x:f>
        <x:v>0</x:v>
      </x:c>
      <x:c r="L1292" s="40" t="n">
        <x:f>ABS(K1292)</x:f>
        <x:v>0</x:v>
      </x:c>
      <x:c r="M1292" s="41" t="str">
        <x:v>lstm-soil-v1</x:v>
      </x:c>
    </x:row>
    <x:row r="1293">
      <x:c r="A1293" s="38" t="str">
        <x:v>7月30日现场数据</x:v>
      </x:c>
      <x:c r="B1293" s="39" t="str">
        <x:v>2026-08-01T16:25:00</x:v>
      </x:c>
      <x:c r="C1293" s="39" t="str">
        <x:v>2026-08-01T16:40:00</x:v>
      </x:c>
      <x:c r="D1293" s="47" t="n">
        <x:v>15</x:v>
      </x:c>
      <x:c r="E1293" s="40" t="n">
        <x:v>17</x:v>
      </x:c>
      <x:c r="F1293" s="40" t="n">
        <x:v>15.659988403320312</x:v>
      </x:c>
      <x:c r="G1293" s="40" t="n">
        <x:v>17.1</x:v>
      </x:c>
      <x:c r="H1293" s="40" t="n">
        <x:f>F1293-E1293</x:f>
        <x:v>-1.3400115966796875</x:v>
      </x:c>
      <x:c r="I1293" s="40" t="n">
        <x:f>ABS(H1293)</x:f>
        <x:v>1.3400115966796875</x:v>
      </x:c>
      <x:c r="J1293" s="40" t="n">
        <x:f>H1293^2</x:f>
        <x:v>1.7956310792360455</x:v>
      </x:c>
      <x:c r="K1293" s="40" t="n">
        <x:f>G1293-E1293</x:f>
        <x:v>0.10000000000000142</x:v>
      </x:c>
      <x:c r="L1293" s="40" t="n">
        <x:f>ABS(K1293)</x:f>
        <x:v>0.10000000000000142</x:v>
      </x:c>
      <x:c r="M1293" s="41" t="str">
        <x:v>lstm-soil-v1</x:v>
      </x:c>
    </x:row>
    <x:row r="1294">
      <x:c r="A1294" s="38" t="str">
        <x:v>7月30日现场数据</x:v>
      </x:c>
      <x:c r="B1294" s="39" t="str">
        <x:v>2026-08-01T16:25:00</x:v>
      </x:c>
      <x:c r="C1294" s="39" t="str">
        <x:v>2026-08-01T16:55:00</x:v>
      </x:c>
      <x:c r="D1294" s="47" t="n">
        <x:v>30</x:v>
      </x:c>
      <x:c r="E1294" s="40" t="n">
        <x:v>16.8</x:v>
      </x:c>
      <x:c r="F1294" s="40" t="n">
        <x:v>15.952201843261719</x:v>
      </x:c>
      <x:c r="G1294" s="40" t="n">
        <x:v>17.1</x:v>
      </x:c>
      <x:c r="H1294" s="40" t="n">
        <x:f>F1294-E1294</x:f>
        <x:v>-0.847798156738282</x:v>
      </x:c>
      <x:c r="I1294" s="40" t="n">
        <x:f>ABS(H1294)</x:f>
        <x:v>0.847798156738282</x:v>
      </x:c>
      <x:c r="J1294" s="40" t="n">
        <x:f>H1294^2</x:f>
        <x:v>0.7187617145688285</x:v>
      </x:c>
      <x:c r="K1294" s="40" t="n">
        <x:f>G1294-E1294</x:f>
        <x:v>0.3000000000000007</x:v>
      </x:c>
      <x:c r="L1294" s="40" t="n">
        <x:f>ABS(K1294)</x:f>
        <x:v>0.3000000000000007</x:v>
      </x:c>
      <x:c r="M1294" s="41" t="str">
        <x:v>lstm-soil-v1</x:v>
      </x:c>
    </x:row>
    <x:row r="1295">
      <x:c r="A1295" s="38" t="str">
        <x:v>7月30日现场数据</x:v>
      </x:c>
      <x:c r="B1295" s="39" t="str">
        <x:v>2026-08-01T16:25:00</x:v>
      </x:c>
      <x:c r="C1295" s="39" t="str">
        <x:v>2026-08-01T17:25:00</x:v>
      </x:c>
      <x:c r="D1295" s="47" t="n">
        <x:v>60</x:v>
      </x:c>
      <x:c r="E1295" s="40" t="n">
        <x:v>16.6</x:v>
      </x:c>
      <x:c r="F1295" s="40" t="n">
        <x:v>17.732158660888672</x:v>
      </x:c>
      <x:c r="G1295" s="40" t="n">
        <x:v>17.1</x:v>
      </x:c>
      <x:c r="H1295" s="40" t="n">
        <x:f>F1295-E1295</x:f>
        <x:v>1.1321586608886705</x:v>
      </x:c>
      <x:c r="I1295" s="40" t="n">
        <x:f>ABS(H1295)</x:f>
        <x:v>1.1321586608886705</x:v>
      </x:c>
      <x:c r="J1295" s="40" t="n">
        <x:f>H1295^2</x:f>
        <x:v>1.2817832334252275</x:v>
      </x:c>
      <x:c r="K1295" s="40" t="n">
        <x:f>G1295-E1295</x:f>
        <x:v>0.5</x:v>
      </x:c>
      <x:c r="L1295" s="40" t="n">
        <x:f>ABS(K1295)</x:f>
        <x:v>0.5</x:v>
      </x:c>
      <x:c r="M1295" s="41" t="str">
        <x:v>lstm-soil-v1</x:v>
      </x:c>
    </x:row>
    <x:row r="1296">
      <x:c r="A1296" s="38" t="str">
        <x:v>7月30日现场数据</x:v>
      </x:c>
      <x:c r="B1296" s="39" t="str">
        <x:v>2026-08-01T16:30:00</x:v>
      </x:c>
      <x:c r="C1296" s="39" t="str">
        <x:v>2026-08-01T16:35:00</x:v>
      </x:c>
      <x:c r="D1296" s="47" t="n">
        <x:v>5</x:v>
      </x:c>
      <x:c r="E1296" s="40" t="n">
        <x:v>17</x:v>
      </x:c>
      <x:c r="F1296" s="40" t="n">
        <x:v>15.585243225097656</x:v>
      </x:c>
      <x:c r="G1296" s="40" t="n">
        <x:v>17.1</x:v>
      </x:c>
      <x:c r="H1296" s="40" t="n">
        <x:f>F1296-E1296</x:f>
        <x:v>-1.4147567749023438</x:v>
      </x:c>
      <x:c r="I1296" s="40" t="n">
        <x:f>ABS(H1296)</x:f>
        <x:v>1.4147567749023438</x:v>
      </x:c>
      <x:c r="J1296" s="40" t="n">
        <x:f>H1296^2</x:f>
        <x:v>2.001536732132081</x:v>
      </x:c>
      <x:c r="K1296" s="40" t="n">
        <x:f>G1296-E1296</x:f>
        <x:v>0.10000000000000142</x:v>
      </x:c>
      <x:c r="L1296" s="40" t="n">
        <x:f>ABS(K1296)</x:f>
        <x:v>0.10000000000000142</x:v>
      </x:c>
      <x:c r="M1296" s="41" t="str">
        <x:v>lstm-soil-v1</x:v>
      </x:c>
    </x:row>
    <x:row r="1297">
      <x:c r="A1297" s="38" t="str">
        <x:v>7月30日现场数据</x:v>
      </x:c>
      <x:c r="B1297" s="39" t="str">
        <x:v>2026-08-01T16:30:00</x:v>
      </x:c>
      <x:c r="C1297" s="39" t="str">
        <x:v>2026-08-01T16:45:00</x:v>
      </x:c>
      <x:c r="D1297" s="47" t="n">
        <x:v>15</x:v>
      </x:c>
      <x:c r="E1297" s="40" t="n">
        <x:v>16.9</x:v>
      </x:c>
      <x:c r="F1297" s="40" t="n">
        <x:v>15.660453796386719</x:v>
      </x:c>
      <x:c r="G1297" s="40" t="n">
        <x:v>17.1</x:v>
      </x:c>
      <x:c r="H1297" s="40" t="n">
        <x:f>F1297-E1297</x:f>
        <x:v>-1.2395462036132798</x:v>
      </x:c>
      <x:c r="I1297" s="40" t="n">
        <x:f>ABS(H1297)</x:f>
        <x:v>1.2395462036132798</x:v>
      </x:c>
      <x:c r="J1297" s="40" t="n">
        <x:f>H1297^2</x:f>
        <x:v>1.5364747908920946</x:v>
      </x:c>
      <x:c r="K1297" s="40" t="n">
        <x:f>G1297-E1297</x:f>
        <x:v>0.20000000000000284</x:v>
      </x:c>
      <x:c r="L1297" s="40" t="n">
        <x:f>ABS(K1297)</x:f>
        <x:v>0.20000000000000284</x:v>
      </x:c>
      <x:c r="M1297" s="41" t="str">
        <x:v>lstm-soil-v1</x:v>
      </x:c>
    </x:row>
    <x:row r="1298">
      <x:c r="A1298" s="38" t="str">
        <x:v>7月30日现场数据</x:v>
      </x:c>
      <x:c r="B1298" s="39" t="str">
        <x:v>2026-08-01T16:30:00</x:v>
      </x:c>
      <x:c r="C1298" s="39" t="str">
        <x:v>2026-08-01T17:00:00</x:v>
      </x:c>
      <x:c r="D1298" s="47" t="n">
        <x:v>30</x:v>
      </x:c>
      <x:c r="E1298" s="40" t="n">
        <x:v>16.8</x:v>
      </x:c>
      <x:c r="F1298" s="40" t="n">
        <x:v>15.955516815185547</x:v>
      </x:c>
      <x:c r="G1298" s="40" t="n">
        <x:v>17.1</x:v>
      </x:c>
      <x:c r="H1298" s="40" t="n">
        <x:f>F1298-E1298</x:f>
        <x:v>-0.8444831848144538</x:v>
      </x:c>
      <x:c r="I1298" s="40" t="n">
        <x:f>ABS(H1298)</x:f>
        <x:v>0.8444831848144538</x:v>
      </x:c>
      <x:c r="J1298" s="40" t="n">
        <x:f>H1298^2</x:f>
        <x:v>0.7131518494343629</x:v>
      </x:c>
      <x:c r="K1298" s="40" t="n">
        <x:f>G1298-E1298</x:f>
        <x:v>0.3000000000000007</x:v>
      </x:c>
      <x:c r="L1298" s="40" t="n">
        <x:f>ABS(K1298)</x:f>
        <x:v>0.3000000000000007</x:v>
      </x:c>
      <x:c r="M1298" s="41" t="str">
        <x:v>lstm-soil-v1</x:v>
      </x:c>
    </x:row>
    <x:row r="1299">
      <x:c r="A1299" s="38" t="str">
        <x:v>7月30日现场数据</x:v>
      </x:c>
      <x:c r="B1299" s="39" t="str">
        <x:v>2026-08-01T16:30:00</x:v>
      </x:c>
      <x:c r="C1299" s="39" t="str">
        <x:v>2026-08-01T17:30:00</x:v>
      </x:c>
      <x:c r="D1299" s="47" t="n">
        <x:v>60</x:v>
      </x:c>
      <x:c r="E1299" s="40" t="n">
        <x:v>16.6</x:v>
      </x:c>
      <x:c r="F1299" s="40" t="n">
        <x:v>17.73440170288086</x:v>
      </x:c>
      <x:c r="G1299" s="40" t="n">
        <x:v>17.1</x:v>
      </x:c>
      <x:c r="H1299" s="40" t="n">
        <x:f>F1299-E1299</x:f>
        <x:v>1.134401702880858</x:v>
      </x:c>
      <x:c r="I1299" s="40" t="n">
        <x:f>ABS(H1299)</x:f>
        <x:v>1.134401702880858</x:v>
      </x:c>
      <x:c r="J1299" s="40" t="n">
        <x:f>H1299^2</x:f>
        <x:v>1.2868672234989904</x:v>
      </x:c>
      <x:c r="K1299" s="40" t="n">
        <x:f>G1299-E1299</x:f>
        <x:v>0.5</x:v>
      </x:c>
      <x:c r="L1299" s="40" t="n">
        <x:f>ABS(K1299)</x:f>
        <x:v>0.5</x:v>
      </x:c>
      <x:c r="M1299" s="41" t="str">
        <x:v>lstm-soil-v1</x:v>
      </x:c>
    </x:row>
    <x:row r="1300">
      <x:c r="A1300" s="38" t="str">
        <x:v>7月30日现场数据</x:v>
      </x:c>
      <x:c r="B1300" s="39" t="str">
        <x:v>2026-08-01T16:35:00</x:v>
      </x:c>
      <x:c r="C1300" s="39" t="str">
        <x:v>2026-08-01T16:40:00</x:v>
      </x:c>
      <x:c r="D1300" s="47" t="n">
        <x:v>5</x:v>
      </x:c>
      <x:c r="E1300" s="40" t="n">
        <x:v>17</x:v>
      </x:c>
      <x:c r="F1300" s="40" t="n">
        <x:v>15.475299835205078</x:v>
      </x:c>
      <x:c r="G1300" s="40" t="n">
        <x:v>17</x:v>
      </x:c>
      <x:c r="H1300" s="40" t="n">
        <x:f>F1300-E1300</x:f>
        <x:v>-1.5247001647949219</x:v>
      </x:c>
      <x:c r="I1300" s="40" t="n">
        <x:f>ABS(H1300)</x:f>
        <x:v>1.5247001647949219</x:v>
      </x:c>
      <x:c r="J1300" s="40" t="n">
        <x:f>H1300^2</x:f>
        <x:v>2.324710592525662</x:v>
      </x:c>
      <x:c r="K1300" s="40" t="n">
        <x:f>G1300-E1300</x:f>
        <x:v>0</x:v>
      </x:c>
      <x:c r="L1300" s="40" t="n">
        <x:f>ABS(K1300)</x:f>
        <x:v>0</x:v>
      </x:c>
      <x:c r="M1300" s="41" t="str">
        <x:v>lstm-soil-v1</x:v>
      </x:c>
    </x:row>
    <x:row r="1301">
      <x:c r="A1301" s="38" t="str">
        <x:v>7月30日现场数据</x:v>
      </x:c>
      <x:c r="B1301" s="39" t="str">
        <x:v>2026-08-01T16:35:00</x:v>
      </x:c>
      <x:c r="C1301" s="39" t="str">
        <x:v>2026-08-01T16:50:00</x:v>
      </x:c>
      <x:c r="D1301" s="47" t="n">
        <x:v>15</x:v>
      </x:c>
      <x:c r="E1301" s="40" t="n">
        <x:v>16.9</x:v>
      </x:c>
      <x:c r="F1301" s="40" t="n">
        <x:v>15.55074691772461</x:v>
      </x:c>
      <x:c r="G1301" s="40" t="n">
        <x:v>17</x:v>
      </x:c>
      <x:c r="H1301" s="40" t="n">
        <x:f>F1301-E1301</x:f>
        <x:v>-1.3492530822753892</x:v>
      </x:c>
      <x:c r="I1301" s="40" t="n">
        <x:f>ABS(H1301)</x:f>
        <x:v>1.3492530822753892</x:v>
      </x:c>
      <x:c r="J1301" s="40" t="n">
        <x:f>H1301^2</x:f>
        <x:v>1.8204838800296381</x:v>
      </x:c>
      <x:c r="K1301" s="40" t="n">
        <x:f>G1301-E1301</x:f>
        <x:v>0.10000000000000142</x:v>
      </x:c>
      <x:c r="L1301" s="40" t="n">
        <x:f>ABS(K1301)</x:f>
        <x:v>0.10000000000000142</x:v>
      </x:c>
      <x:c r="M1301" s="41" t="str">
        <x:v>lstm-soil-v1</x:v>
      </x:c>
    </x:row>
    <x:row r="1302">
      <x:c r="A1302" s="38" t="str">
        <x:v>7月30日现场数据</x:v>
      </x:c>
      <x:c r="B1302" s="39" t="str">
        <x:v>2026-08-01T16:35:00</x:v>
      </x:c>
      <x:c r="C1302" s="39" t="str">
        <x:v>2026-08-01T17:05:00</x:v>
      </x:c>
      <x:c r="D1302" s="47" t="n">
        <x:v>30</x:v>
      </x:c>
      <x:c r="E1302" s="40" t="n">
        <x:v>16.8</x:v>
      </x:c>
      <x:c r="F1302" s="40" t="n">
        <x:v>15.848281860351562</x:v>
      </x:c>
      <x:c r="G1302" s="40" t="n">
        <x:v>17</x:v>
      </x:c>
      <x:c r="H1302" s="40" t="n">
        <x:f>F1302-E1302</x:f>
        <x:v>-0.9517181396484382</x:v>
      </x:c>
      <x:c r="I1302" s="40" t="n">
        <x:f>ABS(H1302)</x:f>
        <x:v>0.9517181396484382</x:v>
      </x:c>
      <x:c r="J1302" s="40" t="n">
        <x:f>H1302^2</x:f>
        <x:v>0.9057674173358842</x:v>
      </x:c>
      <x:c r="K1302" s="40" t="n">
        <x:f>G1302-E1302</x:f>
        <x:v>0.1999999999999993</x:v>
      </x:c>
      <x:c r="L1302" s="40" t="n">
        <x:f>ABS(K1302)</x:f>
        <x:v>0.1999999999999993</x:v>
      </x:c>
      <x:c r="M1302" s="41" t="str">
        <x:v>lstm-soil-v1</x:v>
      </x:c>
    </x:row>
    <x:row r="1303">
      <x:c r="A1303" s="38" t="str">
        <x:v>7月30日现场数据</x:v>
      </x:c>
      <x:c r="B1303" s="39" t="str">
        <x:v>2026-08-01T16:35:00</x:v>
      </x:c>
      <x:c r="C1303" s="39" t="str">
        <x:v>2026-08-01T17:35:00</x:v>
      </x:c>
      <x:c r="D1303" s="47" t="n">
        <x:v>60</x:v>
      </x:c>
      <x:c r="E1303" s="40" t="n">
        <x:v>16.6</x:v>
      </x:c>
      <x:c r="F1303" s="40" t="n">
        <x:v>17.62586212158203</x:v>
      </x:c>
      <x:c r="G1303" s="40" t="n">
        <x:v>17</x:v>
      </x:c>
      <x:c r="H1303" s="40" t="n">
        <x:f>F1303-E1303</x:f>
        <x:v>1.0258621215820298</x:v>
      </x:c>
      <x:c r="I1303" s="40" t="n">
        <x:f>ABS(H1303)</x:f>
        <x:v>1.0258621215820298</x:v>
      </x:c>
      <x:c r="J1303" s="40" t="n">
        <x:f>H1303^2</x:f>
        <x:v>1.0523930924967833</x:v>
      </x:c>
      <x:c r="K1303" s="40" t="n">
        <x:f>G1303-E1303</x:f>
        <x:v>0.3999999999999986</x:v>
      </x:c>
      <x:c r="L1303" s="40" t="n">
        <x:f>ABS(K1303)</x:f>
        <x:v>0.3999999999999986</x:v>
      </x:c>
      <x:c r="M1303" s="41" t="str">
        <x:v>lstm-soil-v1</x:v>
      </x:c>
    </x:row>
    <x:row r="1304">
      <x:c r="A1304" s="38" t="str">
        <x:v>7月30日现场数据</x:v>
      </x:c>
      <x:c r="B1304" s="39" t="str">
        <x:v>2026-08-01T16:40:00</x:v>
      </x:c>
      <x:c r="C1304" s="39" t="str">
        <x:v>2026-08-01T16:45:00</x:v>
      </x:c>
      <x:c r="D1304" s="47" t="n">
        <x:v>5</x:v>
      </x:c>
      <x:c r="E1304" s="40" t="n">
        <x:v>16.9</x:v>
      </x:c>
      <x:c r="F1304" s="40" t="n">
        <x:v>15.475788116455078</x:v>
      </x:c>
      <x:c r="G1304" s="40" t="n">
        <x:v>17</x:v>
      </x:c>
      <x:c r="H1304" s="40" t="n">
        <x:f>F1304-E1304</x:f>
        <x:v>-1.4242118835449205</x:v>
      </x:c>
      <x:c r="I1304" s="40" t="n">
        <x:f>ABS(H1304)</x:f>
        <x:v>1.4242118835449205</x:v>
      </x:c>
      <x:c r="J1304" s="40" t="n">
        <x:f>H1304^2</x:f>
        <x:v>2.02837948923057</x:v>
      </x:c>
      <x:c r="K1304" s="40" t="n">
        <x:f>G1304-E1304</x:f>
        <x:v>0.10000000000000142</x:v>
      </x:c>
      <x:c r="L1304" s="40" t="n">
        <x:f>ABS(K1304)</x:f>
        <x:v>0.10000000000000142</x:v>
      </x:c>
      <x:c r="M1304" s="41" t="str">
        <x:v>lstm-soil-v1</x:v>
      </x:c>
    </x:row>
    <x:row r="1305">
      <x:c r="A1305" s="38" t="str">
        <x:v>7月30日现场数据</x:v>
      </x:c>
      <x:c r="B1305" s="39" t="str">
        <x:v>2026-08-01T16:40:00</x:v>
      </x:c>
      <x:c r="C1305" s="39" t="str">
        <x:v>2026-08-01T16:55:00</x:v>
      </x:c>
      <x:c r="D1305" s="47" t="n">
        <x:v>15</x:v>
      </x:c>
      <x:c r="E1305" s="40" t="n">
        <x:v>16.8</x:v>
      </x:c>
      <x:c r="F1305" s="40" t="n">
        <x:v>15.55124282836914</x:v>
      </x:c>
      <x:c r="G1305" s="40" t="n">
        <x:v>17</x:v>
      </x:c>
      <x:c r="H1305" s="40" t="n">
        <x:f>F1305-E1305</x:f>
        <x:v>-1.24875717163086</x:v>
      </x:c>
      <x:c r="I1305" s="40" t="n">
        <x:f>ABS(H1305)</x:f>
        <x:v>1.24875717163086</x:v>
      </x:c>
      <x:c r="J1305" s="40" t="n">
        <x:f>H1305^2</x:f>
        <x:v>1.5593944736995053</x:v>
      </x:c>
      <x:c r="K1305" s="40" t="n">
        <x:f>G1305-E1305</x:f>
        <x:v>0.1999999999999993</x:v>
      </x:c>
      <x:c r="L1305" s="40" t="n">
        <x:f>ABS(K1305)</x:f>
        <x:v>0.1999999999999993</x:v>
      </x:c>
      <x:c r="M1305" s="41" t="str">
        <x:v>lstm-soil-v1</x:v>
      </x:c>
    </x:row>
    <x:row r="1306">
      <x:c r="A1306" s="38" t="str">
        <x:v>7月30日现场数据</x:v>
      </x:c>
      <x:c r="B1306" s="39" t="str">
        <x:v>2026-08-01T16:40:00</x:v>
      </x:c>
      <x:c r="C1306" s="39" t="str">
        <x:v>2026-08-01T17:10:00</x:v>
      </x:c>
      <x:c r="D1306" s="47" t="n">
        <x:v>30</x:v>
      </x:c>
      <x:c r="E1306" s="40" t="n">
        <x:v>16.7</x:v>
      </x:c>
      <x:c r="F1306" s="40" t="n">
        <x:v>15.85116195678711</x:v>
      </x:c>
      <x:c r="G1306" s="40" t="n">
        <x:v>17</x:v>
      </x:c>
      <x:c r="H1306" s="40" t="n">
        <x:f>F1306-E1306</x:f>
        <x:v>-0.8488380432128899</x:v>
      </x:c>
      <x:c r="I1306" s="40" t="n">
        <x:f>ABS(H1306)</x:f>
        <x:v>0.8488380432128899</x:v>
      </x:c>
      <x:c r="J1306" s="40" t="n">
        <x:f>H1306^2</x:f>
        <x:v>0.720526023605488</x:v>
      </x:c>
      <x:c r="K1306" s="40" t="n">
        <x:f>G1306-E1306</x:f>
        <x:v>0.3000000000000007</x:v>
      </x:c>
      <x:c r="L1306" s="40" t="n">
        <x:f>ABS(K1306)</x:f>
        <x:v>0.3000000000000007</x:v>
      </x:c>
      <x:c r="M1306" s="41" t="str">
        <x:v>lstm-soil-v1</x:v>
      </x:c>
    </x:row>
    <x:row r="1307">
      <x:c r="A1307" s="38" t="str">
        <x:v>7月30日现场数据</x:v>
      </x:c>
      <x:c r="B1307" s="39" t="str">
        <x:v>2026-08-01T16:40:00</x:v>
      </x:c>
      <x:c r="C1307" s="39" t="str">
        <x:v>2026-08-01T17:40:00</x:v>
      </x:c>
      <x:c r="D1307" s="47" t="n">
        <x:v>60</x:v>
      </x:c>
      <x:c r="E1307" s="40" t="n">
        <x:v>16.6</x:v>
      </x:c>
      <x:c r="F1307" s="40" t="n">
        <x:v>17.62763214111328</x:v>
      </x:c>
      <x:c r="G1307" s="40" t="n">
        <x:v>17</x:v>
      </x:c>
      <x:c r="H1307" s="40" t="n">
        <x:f>F1307-E1307</x:f>
        <x:v>1.0276321411132798</x:v>
      </x:c>
      <x:c r="I1307" s="40" t="n">
        <x:f>ABS(H1307)</x:f>
        <x:v>1.0276321411132798</x:v>
      </x:c>
      <x:c r="J1307" s="40" t="n">
        <x:f>H1307^2</x:f>
        <x:v>1.0560278174490638</x:v>
      </x:c>
      <x:c r="K1307" s="40" t="n">
        <x:f>G1307-E1307</x:f>
        <x:v>0.3999999999999986</x:v>
      </x:c>
      <x:c r="L1307" s="40" t="n">
        <x:f>ABS(K1307)</x:f>
        <x:v>0.3999999999999986</x:v>
      </x:c>
      <x:c r="M1307" s="41" t="str">
        <x:v>lstm-soil-v1</x:v>
      </x:c>
    </x:row>
    <x:row r="1308">
      <x:c r="A1308" s="38" t="str">
        <x:v>7月30日现场数据</x:v>
      </x:c>
      <x:c r="B1308" s="39" t="str">
        <x:v>2026-08-01T16:45:00</x:v>
      </x:c>
      <x:c r="C1308" s="39" t="str">
        <x:v>2026-08-01T16:50:00</x:v>
      </x:c>
      <x:c r="D1308" s="47" t="n">
        <x:v>5</x:v>
      </x:c>
      <x:c r="E1308" s="40" t="n">
        <x:v>16.9</x:v>
      </x:c>
      <x:c r="F1308" s="40" t="n">
        <x:v>15.365947723388672</x:v>
      </x:c>
      <x:c r="G1308" s="40" t="n">
        <x:v>16.9</x:v>
      </x:c>
      <x:c r="H1308" s="40" t="n">
        <x:f>F1308-E1308</x:f>
        <x:v>-1.5340522766113267</x:v>
      </x:c>
      <x:c r="I1308" s="40" t="n">
        <x:f>ABS(H1308)</x:f>
        <x:v>1.5340522766113267</x:v>
      </x:c>
      <x:c r="J1308" s="40" t="n">
        <x:f>H1308^2</x:f>
        <x:v>2.3533163873763945</x:v>
      </x:c>
      <x:c r="K1308" s="40" t="n">
        <x:f>G1308-E1308</x:f>
        <x:v>0</x:v>
      </x:c>
      <x:c r="L1308" s="40" t="n">
        <x:f>ABS(K1308)</x:f>
        <x:v>0</x:v>
      </x:c>
      <x:c r="M1308" s="41" t="str">
        <x:v>lstm-soil-v1</x:v>
      </x:c>
    </x:row>
    <x:row r="1309">
      <x:c r="A1309" s="38" t="str">
        <x:v>7月30日现场数据</x:v>
      </x:c>
      <x:c r="B1309" s="39" t="str">
        <x:v>2026-08-01T16:45:00</x:v>
      </x:c>
      <x:c r="C1309" s="39" t="str">
        <x:v>2026-08-01T17:00:00</x:v>
      </x:c>
      <x:c r="D1309" s="47" t="n">
        <x:v>15</x:v>
      </x:c>
      <x:c r="E1309" s="40" t="n">
        <x:v>16.8</x:v>
      </x:c>
      <x:c r="F1309" s="40" t="n">
        <x:v>15.441520690917969</x:v>
      </x:c>
      <x:c r="G1309" s="40" t="n">
        <x:v>16.9</x:v>
      </x:c>
      <x:c r="H1309" s="40" t="n">
        <x:f>F1309-E1309</x:f>
        <x:v>-1.358479309082032</x:v>
      </x:c>
      <x:c r="I1309" s="40" t="n">
        <x:f>ABS(H1309)</x:f>
        <x:v>1.358479309082032</x:v>
      </x:c>
      <x:c r="J1309" s="40" t="n">
        <x:f>H1309^2</x:f>
        <x:v>1.845466033203995</x:v>
      </x:c>
      <x:c r="K1309" s="40" t="n">
        <x:f>G1309-E1309</x:f>
        <x:v>0.09999999999999787</x:v>
      </x:c>
      <x:c r="L1309" s="40" t="n">
        <x:f>ABS(K1309)</x:f>
        <x:v>0.09999999999999787</x:v>
      </x:c>
      <x:c r="M1309" s="41" t="str">
        <x:v>lstm-soil-v1</x:v>
      </x:c>
    </x:row>
    <x:row r="1310">
      <x:c r="A1310" s="38" t="str">
        <x:v>7月30日现场数据</x:v>
      </x:c>
      <x:c r="B1310" s="39" t="str">
        <x:v>2026-08-01T16:45:00</x:v>
      </x:c>
      <x:c r="C1310" s="39" t="str">
        <x:v>2026-08-01T17:15:00</x:v>
      </x:c>
      <x:c r="D1310" s="47" t="n">
        <x:v>30</x:v>
      </x:c>
      <x:c r="E1310" s="40" t="n">
        <x:v>16.7</x:v>
      </x:c>
      <x:c r="F1310" s="40" t="n">
        <x:v>15.743408203125</x:v>
      </x:c>
      <x:c r="G1310" s="40" t="n">
        <x:v>16.9</x:v>
      </x:c>
      <x:c r="H1310" s="40" t="n">
        <x:f>F1310-E1310</x:f>
        <x:v>-0.9565917968749993</x:v>
      </x:c>
      <x:c r="I1310" s="40" t="n">
        <x:f>ABS(H1310)</x:f>
        <x:v>0.9565917968749993</x:v>
      </x:c>
      <x:c r="J1310" s="40" t="n">
        <x:f>H1310^2</x:f>
        <x:v>0.9150678658485399</x:v>
      </x:c>
      <x:c r="K1310" s="40" t="n">
        <x:f>G1310-E1310</x:f>
        <x:v>0.1999999999999993</x:v>
      </x:c>
      <x:c r="L1310" s="40" t="n">
        <x:f>ABS(K1310)</x:f>
        <x:v>0.1999999999999993</x:v>
      </x:c>
      <x:c r="M1310" s="41" t="str">
        <x:v>lstm-soil-v1</x:v>
      </x:c>
    </x:row>
    <x:row r="1311">
      <x:c r="A1311" s="38" t="str">
        <x:v>7月30日现场数据</x:v>
      </x:c>
      <x:c r="B1311" s="39" t="str">
        <x:v>2026-08-01T16:45:00</x:v>
      </x:c>
      <x:c r="C1311" s="39" t="str">
        <x:v>2026-08-01T17:45:00</x:v>
      </x:c>
      <x:c r="D1311" s="47" t="n">
        <x:v>60</x:v>
      </x:c>
      <x:c r="E1311" s="40" t="n">
        <x:v>16.6</x:v>
      </x:c>
      <x:c r="F1311" s="40" t="n">
        <x:v>17.51892852783203</x:v>
      </x:c>
      <x:c r="G1311" s="40" t="n">
        <x:v>16.9</x:v>
      </x:c>
      <x:c r="H1311" s="40" t="n">
        <x:f>F1311-E1311</x:f>
        <x:v>0.9189285278320298</x:v>
      </x:c>
      <x:c r="I1311" s="40" t="n">
        <x:f>ABS(H1311)</x:f>
        <x:v>0.9189285278320298</x:v>
      </x:c>
      <x:c r="J1311" s="40" t="n">
        <x:f>H1311^2</x:f>
        <x:v>0.8444296392635416</x:v>
      </x:c>
      <x:c r="K1311" s="40" t="n">
        <x:f>G1311-E1311</x:f>
        <x:v>0.29999999999999716</x:v>
      </x:c>
      <x:c r="L1311" s="40" t="n">
        <x:f>ABS(K1311)</x:f>
        <x:v>0.29999999999999716</x:v>
      </x:c>
      <x:c r="M1311" s="41" t="str">
        <x:v>lstm-soil-v1</x:v>
      </x:c>
    </x:row>
    <x:row r="1312">
      <x:c r="A1312" s="38" t="str">
        <x:v>7月30日现场数据</x:v>
      </x:c>
      <x:c r="B1312" s="39" t="str">
        <x:v>2026-08-01T16:50:00</x:v>
      </x:c>
      <x:c r="C1312" s="39" t="str">
        <x:v>2026-08-01T16:55:00</x:v>
      </x:c>
      <x:c r="D1312" s="47" t="n">
        <x:v>5</x:v>
      </x:c>
      <x:c r="E1312" s="40" t="n">
        <x:v>16.8</x:v>
      </x:c>
      <x:c r="F1312" s="40" t="n">
        <x:v>15.36629867553711</x:v>
      </x:c>
      <x:c r="G1312" s="40" t="n">
        <x:v>16.9</x:v>
      </x:c>
      <x:c r="H1312" s="40" t="n">
        <x:f>F1312-E1312</x:f>
        <x:v>-1.4337013244628913</x:v>
      </x:c>
      <x:c r="I1312" s="40" t="n">
        <x:f>ABS(H1312)</x:f>
        <x:v>1.4337013244628913</x:v>
      </x:c>
      <x:c r="J1312" s="40" t="n">
        <x:f>H1312^2</x:f>
        <x:v>2.055499487766649</x:v>
      </x:c>
      <x:c r="K1312" s="40" t="n">
        <x:f>G1312-E1312</x:f>
        <x:v>0.09999999999999787</x:v>
      </x:c>
      <x:c r="L1312" s="40" t="n">
        <x:f>ABS(K1312)</x:f>
        <x:v>0.09999999999999787</x:v>
      </x:c>
      <x:c r="M1312" s="41" t="str">
        <x:v>lstm-soil-v1</x:v>
      </x:c>
    </x:row>
    <x:row r="1313">
      <x:c r="A1313" s="38" t="str">
        <x:v>7月30日现场数据</x:v>
      </x:c>
      <x:c r="B1313" s="39" t="str">
        <x:v>2026-08-01T16:50:00</x:v>
      </x:c>
      <x:c r="C1313" s="39" t="str">
        <x:v>2026-08-01T17:05:00</x:v>
      </x:c>
      <x:c r="D1313" s="47" t="n">
        <x:v>15</x:v>
      </x:c>
      <x:c r="E1313" s="40" t="n">
        <x:v>16.8</x:v>
      </x:c>
      <x:c r="F1313" s="40" t="n">
        <x:v>15.441917419433594</x:v>
      </x:c>
      <x:c r="G1313" s="40" t="n">
        <x:v>16.9</x:v>
      </x:c>
      <x:c r="H1313" s="40" t="n">
        <x:f>F1313-E1313</x:f>
        <x:v>-1.358082580566407</x:v>
      </x:c>
      <x:c r="I1313" s="40" t="n">
        <x:f>ABS(H1313)</x:f>
        <x:v>1.358082580566407</x:v>
      </x:c>
      <x:c r="J1313" s="40" t="n">
        <x:f>H1313^2</x:f>
        <x:v>1.8443882956379112</x:v>
      </x:c>
      <x:c r="K1313" s="40" t="n">
        <x:f>G1313-E1313</x:f>
        <x:v>0.09999999999999787</x:v>
      </x:c>
      <x:c r="L1313" s="40" t="n">
        <x:f>ABS(K1313)</x:f>
        <x:v>0.09999999999999787</x:v>
      </x:c>
      <x:c r="M1313" s="41" t="str">
        <x:v>lstm-soil-v1</x:v>
      </x:c>
    </x:row>
    <x:row r="1314">
      <x:c r="A1314" s="38" t="str">
        <x:v>7月30日现场数据</x:v>
      </x:c>
      <x:c r="B1314" s="39" t="str">
        <x:v>2026-08-01T16:50:00</x:v>
      </x:c>
      <x:c r="C1314" s="39" t="str">
        <x:v>2026-08-01T17:20:00</x:v>
      </x:c>
      <x:c r="D1314" s="47" t="n">
        <x:v>30</x:v>
      </x:c>
      <x:c r="E1314" s="40" t="n">
        <x:v>16.7</x:v>
      </x:c>
      <x:c r="F1314" s="40" t="n">
        <x:v>15.745635986328125</x:v>
      </x:c>
      <x:c r="G1314" s="40" t="n">
        <x:v>16.9</x:v>
      </x:c>
      <x:c r="H1314" s="40" t="n">
        <x:f>F1314-E1314</x:f>
        <x:v>-0.9543640136718743</x:v>
      </x:c>
      <x:c r="I1314" s="40" t="n">
        <x:f>ABS(H1314)</x:f>
        <x:v>0.9543640136718743</x:v>
      </x:c>
      <x:c r="J1314" s="40" t="n">
        <x:f>H1314^2</x:f>
        <x:v>0.9108106705918895</x:v>
      </x:c>
      <x:c r="K1314" s="40" t="n">
        <x:f>G1314-E1314</x:f>
        <x:v>0.1999999999999993</x:v>
      </x:c>
      <x:c r="L1314" s="40" t="n">
        <x:f>ABS(K1314)</x:f>
        <x:v>0.1999999999999993</x:v>
      </x:c>
      <x:c r="M1314" s="41" t="str">
        <x:v>lstm-soil-v1</x:v>
      </x:c>
    </x:row>
    <x:row r="1315">
      <x:c r="A1315" s="38" t="str">
        <x:v>7月30日现场数据</x:v>
      </x:c>
      <x:c r="B1315" s="39" t="str">
        <x:v>2026-08-01T16:50:00</x:v>
      </x:c>
      <x:c r="C1315" s="39" t="str">
        <x:v>2026-08-01T17:50:00</x:v>
      </x:c>
      <x:c r="D1315" s="47" t="n">
        <x:v>60</x:v>
      </x:c>
      <x:c r="E1315" s="40" t="n">
        <x:v>16.5</x:v>
      </x:c>
      <x:c r="F1315" s="40" t="n">
        <x:v>17.520263671875</x:v>
      </x:c>
      <x:c r="G1315" s="40" t="n">
        <x:v>16.9</x:v>
      </x:c>
      <x:c r="H1315" s="40" t="n">
        <x:f>F1315-E1315</x:f>
        <x:v>1.020263671875</x:v>
      </x:c>
      <x:c r="I1315" s="40" t="n">
        <x:f>ABS(H1315)</x:f>
        <x:v>1.020263671875</x:v>
      </x:c>
      <x:c r="J1315" s="40" t="n">
        <x:f>H1315^2</x:f>
        <x:v>1.0409379601478577</x:v>
      </x:c>
      <x:c r="K1315" s="40" t="n">
        <x:f>G1315-E1315</x:f>
        <x:v>0.3999999999999986</x:v>
      </x:c>
      <x:c r="L1315" s="40" t="n">
        <x:f>ABS(K1315)</x:f>
        <x:v>0.3999999999999986</x:v>
      </x:c>
      <x:c r="M1315" s="41" t="str">
        <x:v>lstm-soil-v1</x:v>
      </x:c>
    </x:row>
    <x:row r="1316">
      <x:c r="A1316" s="38" t="str">
        <x:v>7月30日现场数据</x:v>
      </x:c>
      <x:c r="B1316" s="39" t="str">
        <x:v>2026-08-01T16:55:00</x:v>
      </x:c>
      <x:c r="C1316" s="39" t="str">
        <x:v>2026-08-01T17:00:00</x:v>
      </x:c>
      <x:c r="D1316" s="47" t="n">
        <x:v>5</x:v>
      </x:c>
      <x:c r="E1316" s="40" t="n">
        <x:v>16.8</x:v>
      </x:c>
      <x:c r="F1316" s="40" t="n">
        <x:v>15.256389617919922</x:v>
      </x:c>
      <x:c r="G1316" s="40" t="n">
        <x:v>16.8</x:v>
      </x:c>
      <x:c r="H1316" s="40" t="n">
        <x:f>F1316-E1316</x:f>
        <x:v>-1.5436103820800788</x:v>
      </x:c>
      <x:c r="I1316" s="40" t="n">
        <x:f>ABS(H1316)</x:f>
        <x:v>1.5436103820800788</x:v>
      </x:c>
      <x:c r="J1316" s="40" t="n">
        <x:f>H1316^2</x:f>
        <x:v>2.382733011665407</x:v>
      </x:c>
      <x:c r="K1316" s="40" t="n">
        <x:f>G1316-E1316</x:f>
        <x:v>0</x:v>
      </x:c>
      <x:c r="L1316" s="40" t="n">
        <x:f>ABS(K1316)</x:f>
        <x:v>0</x:v>
      </x:c>
      <x:c r="M1316" s="41" t="str">
        <x:v>lstm-soil-v1</x:v>
      </x:c>
    </x:row>
    <x:row r="1317">
      <x:c r="A1317" s="38" t="str">
        <x:v>7月30日现场数据</x:v>
      </x:c>
      <x:c r="B1317" s="39" t="str">
        <x:v>2026-08-01T16:55:00</x:v>
      </x:c>
      <x:c r="C1317" s="39" t="str">
        <x:v>2026-08-01T17:10:00</x:v>
      </x:c>
      <x:c r="D1317" s="47" t="n">
        <x:v>15</x:v>
      </x:c>
      <x:c r="E1317" s="40" t="n">
        <x:v>16.7</x:v>
      </x:c>
      <x:c r="F1317" s="40" t="n">
        <x:v>15.332138061523438</x:v>
      </x:c>
      <x:c r="G1317" s="40" t="n">
        <x:v>16.8</x:v>
      </x:c>
      <x:c r="H1317" s="40" t="n">
        <x:f>F1317-E1317</x:f>
        <x:v>-1.3678619384765618</x:v>
      </x:c>
      <x:c r="I1317" s="40" t="n">
        <x:f>ABS(H1317)</x:f>
        <x:v>1.3678619384765618</x:v>
      </x:c>
      <x:c r="J1317" s="40" t="n">
        <x:f>H1317^2</x:f>
        <x:v>1.8710462827328573</x:v>
      </x:c>
      <x:c r="K1317" s="40" t="n">
        <x:f>G1317-E1317</x:f>
        <x:v>0.10000000000000142</x:v>
      </x:c>
      <x:c r="L1317" s="40" t="n">
        <x:f>ABS(K1317)</x:f>
        <x:v>0.10000000000000142</x:v>
      </x:c>
      <x:c r="M1317" s="41" t="str">
        <x:v>lstm-soil-v1</x:v>
      </x:c>
    </x:row>
    <x:row r="1318">
      <x:c r="A1318" s="38" t="str">
        <x:v>7月30日现场数据</x:v>
      </x:c>
      <x:c r="B1318" s="39" t="str">
        <x:v>2026-08-01T16:55:00</x:v>
      </x:c>
      <x:c r="C1318" s="39" t="str">
        <x:v>2026-08-01T17:25:00</x:v>
      </x:c>
      <x:c r="D1318" s="47" t="n">
        <x:v>30</x:v>
      </x:c>
      <x:c r="E1318" s="40" t="n">
        <x:v>16.6</x:v>
      </x:c>
      <x:c r="F1318" s="40" t="n">
        <x:v>15.63742446899414</x:v>
      </x:c>
      <x:c r="G1318" s="40" t="n">
        <x:v>16.8</x:v>
      </x:c>
      <x:c r="H1318" s="40" t="n">
        <x:f>F1318-E1318</x:f>
        <x:v>-0.9625755310058608</x:v>
      </x:c>
      <x:c r="I1318" s="40" t="n">
        <x:f>ABS(H1318)</x:f>
        <x:v>0.9625755310058608</x:v>
      </x:c>
      <x:c r="J1318" s="40" t="n">
        <x:f>H1318^2</x:f>
        <x:v>0.9265516528912149</x:v>
      </x:c>
      <x:c r="K1318" s="40" t="n">
        <x:f>G1318-E1318</x:f>
        <x:v>0.1999999999999993</x:v>
      </x:c>
      <x:c r="L1318" s="40" t="n">
        <x:f>ABS(K1318)</x:f>
        <x:v>0.1999999999999993</x:v>
      </x:c>
      <x:c r="M1318" s="41" t="str">
        <x:v>lstm-soil-v1</x:v>
      </x:c>
    </x:row>
    <x:row r="1319">
      <x:c r="A1319" s="38" t="str">
        <x:v>7月30日现场数据</x:v>
      </x:c>
      <x:c r="B1319" s="39" t="str">
        <x:v>2026-08-01T16:55:00</x:v>
      </x:c>
      <x:c r="C1319" s="39" t="str">
        <x:v>2026-08-01T17:55:00</x:v>
      </x:c>
      <x:c r="D1319" s="47" t="n">
        <x:v>60</x:v>
      </x:c>
      <x:c r="E1319" s="40" t="n">
        <x:v>16.5</x:v>
      </x:c>
      <x:c r="F1319" s="40" t="n">
        <x:v>17.41122817993164</x:v>
      </x:c>
      <x:c r="G1319" s="40" t="n">
        <x:v>16.8</x:v>
      </x:c>
      <x:c r="H1319" s="40" t="n">
        <x:f>F1319-E1319</x:f>
        <x:v>0.9112281799316406</x:v>
      </x:c>
      <x:c r="I1319" s="40" t="n">
        <x:f>ABS(H1319)</x:f>
        <x:v>0.9112281799316406</x:v>
      </x:c>
      <x:c r="J1319" s="40" t="n">
        <x:f>H1319^2</x:f>
        <x:v>0.8303367959015304</x:v>
      </x:c>
      <x:c r="K1319" s="40" t="n">
        <x:f>G1319-E1319</x:f>
        <x:v>0.3000000000000007</x:v>
      </x:c>
      <x:c r="L1319" s="40" t="n">
        <x:f>ABS(K1319)</x:f>
        <x:v>0.3000000000000007</x:v>
      </x:c>
      <x:c r="M1319" s="41" t="str">
        <x:v>lstm-soil-v1</x:v>
      </x:c>
    </x:row>
    <x:row r="1320">
      <x:c r="A1320" s="38" t="str">
        <x:v>7月30日现场数据</x:v>
      </x:c>
      <x:c r="B1320" s="39" t="str">
        <x:v>2026-08-01T17:00:00</x:v>
      </x:c>
      <x:c r="C1320" s="39" t="str">
        <x:v>2026-08-01T17:05:00</x:v>
      </x:c>
      <x:c r="D1320" s="47" t="n">
        <x:v>5</x:v>
      </x:c>
      <x:c r="E1320" s="40" t="n">
        <x:v>16.8</x:v>
      </x:c>
      <x:c r="F1320" s="40" t="n">
        <x:v>15.256717681884766</x:v>
      </x:c>
      <x:c r="G1320" s="40" t="n">
        <x:v>16.8</x:v>
      </x:c>
      <x:c r="H1320" s="40" t="n">
        <x:f>F1320-E1320</x:f>
        <x:v>-1.543282318115235</x:v>
      </x:c>
      <x:c r="I1320" s="40" t="n">
        <x:f>ABS(H1320)</x:f>
        <x:v>1.543282318115235</x:v>
      </x:c>
      <x:c r="J1320" s="40" t="n">
        <x:f>H1320^2</x:f>
        <x:v>2.3817203134071336</x:v>
      </x:c>
      <x:c r="K1320" s="40" t="n">
        <x:f>G1320-E1320</x:f>
        <x:v>0</x:v>
      </x:c>
      <x:c r="L1320" s="40" t="n">
        <x:f>ABS(K1320)</x:f>
        <x:v>0</x:v>
      </x:c>
      <x:c r="M1320" s="41" t="str">
        <x:v>lstm-soil-v1</x:v>
      </x:c>
    </x:row>
    <x:row r="1321">
      <x:c r="A1321" s="38" t="str">
        <x:v>7月30日现场数据</x:v>
      </x:c>
      <x:c r="B1321" s="39" t="str">
        <x:v>2026-08-01T17:00:00</x:v>
      </x:c>
      <x:c r="C1321" s="39" t="str">
        <x:v>2026-08-01T17:15:00</x:v>
      </x:c>
      <x:c r="D1321" s="47" t="n">
        <x:v>15</x:v>
      </x:c>
      <x:c r="E1321" s="40" t="n">
        <x:v>16.7</x:v>
      </x:c>
      <x:c r="F1321" s="40" t="n">
        <x:v>15.333065032958984</x:v>
      </x:c>
      <x:c r="G1321" s="40" t="n">
        <x:v>16.8</x:v>
      </x:c>
      <x:c r="H1321" s="40" t="n">
        <x:f>F1321-E1321</x:f>
        <x:v>-1.366934967041015</x:v>
      </x:c>
      <x:c r="I1321" s="40" t="n">
        <x:f>ABS(H1321)</x:f>
        <x:v>1.366934967041015</x:v>
      </x:c>
      <x:c r="J1321" s="40" t="n">
        <x:f>H1321^2</x:f>
        <x:v>1.8685112041194205</x:v>
      </x:c>
      <x:c r="K1321" s="40" t="n">
        <x:f>G1321-E1321</x:f>
        <x:v>0.10000000000000142</x:v>
      </x:c>
      <x:c r="L1321" s="40" t="n">
        <x:f>ABS(K1321)</x:f>
        <x:v>0.10000000000000142</x:v>
      </x:c>
      <x:c r="M1321" s="41" t="str">
        <x:v>lstm-soil-v1</x:v>
      </x:c>
    </x:row>
    <x:row r="1322">
      <x:c r="A1322" s="38" t="str">
        <x:v>7月30日现场数据</x:v>
      </x:c>
      <x:c r="B1322" s="39" t="str">
        <x:v>2026-08-01T17:00:00</x:v>
      </x:c>
      <x:c r="C1322" s="39" t="str">
        <x:v>2026-08-01T17:30:00</x:v>
      </x:c>
      <x:c r="D1322" s="47" t="n">
        <x:v>30</x:v>
      </x:c>
      <x:c r="E1322" s="40" t="n">
        <x:v>16.6</x:v>
      </x:c>
      <x:c r="F1322" s="40" t="n">
        <x:v>15.639991760253906</x:v>
      </x:c>
      <x:c r="G1322" s="40" t="n">
        <x:v>16.8</x:v>
      </x:c>
      <x:c r="H1322" s="40" t="n">
        <x:f>F1322-E1322</x:f>
        <x:v>-0.9600082397460952</x:v>
      </x:c>
      <x:c r="I1322" s="40" t="n">
        <x:f>ABS(H1322)</x:f>
        <x:v>0.9600082397460952</x:v>
      </x:c>
      <x:c r="J1322" s="40" t="n">
        <x:f>H1322^2</x:f>
        <x:v>0.9216158203803961</x:v>
      </x:c>
      <x:c r="K1322" s="40" t="n">
        <x:f>G1322-E1322</x:f>
        <x:v>0.1999999999999993</x:v>
      </x:c>
      <x:c r="L1322" s="40" t="n">
        <x:f>ABS(K1322)</x:f>
        <x:v>0.1999999999999993</x:v>
      </x:c>
      <x:c r="M1322" s="41" t="str">
        <x:v>lstm-soil-v1</x:v>
      </x:c>
    </x:row>
    <x:row r="1323">
      <x:c r="A1323" s="38" t="str">
        <x:v>7月30日现场数据</x:v>
      </x:c>
      <x:c r="B1323" s="39" t="str">
        <x:v>2026-08-01T17:00:00</x:v>
      </x:c>
      <x:c r="C1323" s="39" t="str">
        <x:v>2026-08-01T18:00:00</x:v>
      </x:c>
      <x:c r="D1323" s="47" t="n">
        <x:v>60</x:v>
      </x:c>
      <x:c r="E1323" s="40" t="n">
        <x:v>16.5</x:v>
      </x:c>
      <x:c r="F1323" s="40" t="n">
        <x:v>17.410938262939453</x:v>
      </x:c>
      <x:c r="G1323" s="40" t="n">
        <x:v>16.8</x:v>
      </x:c>
      <x:c r="H1323" s="40" t="n">
        <x:f>F1323-E1323</x:f>
        <x:v>0.9109382629394531</x:v>
      </x:c>
      <x:c r="I1323" s="40" t="n">
        <x:f>ABS(H1323)</x:f>
        <x:v>0.9109382629394531</x:v>
      </x:c>
      <x:c r="J1323" s="40" t="n">
        <x:f>H1323^2</x:f>
        <x:v>0.8298085188871482</x:v>
      </x:c>
      <x:c r="K1323" s="40" t="n">
        <x:f>G1323-E1323</x:f>
        <x:v>0.3000000000000007</x:v>
      </x:c>
      <x:c r="L1323" s="40" t="n">
        <x:f>ABS(K1323)</x:f>
        <x:v>0.3000000000000007</x:v>
      </x:c>
      <x:c r="M1323" s="41" t="str">
        <x:v>lstm-soil-v1</x:v>
      </x:c>
    </x:row>
    <x:row r="1324">
      <x:c r="A1324" s="38" t="str">
        <x:v>7月30日现场数据</x:v>
      </x:c>
      <x:c r="B1324" s="39" t="str">
        <x:v>2026-08-01T17:05:00</x:v>
      </x:c>
      <x:c r="C1324" s="39" t="str">
        <x:v>2026-08-01T17:10:00</x:v>
      </x:c>
      <x:c r="D1324" s="47" t="n">
        <x:v>5</x:v>
      </x:c>
      <x:c r="E1324" s="40" t="n">
        <x:v>16.7</x:v>
      </x:c>
      <x:c r="F1324" s="40" t="n">
        <x:v>15.25722885131836</x:v>
      </x:c>
      <x:c r="G1324" s="40" t="n">
        <x:v>16.8</x:v>
      </x:c>
      <x:c r="H1324" s="40" t="n">
        <x:f>F1324-E1324</x:f>
        <x:v>-1.44277114868164</x:v>
      </x:c>
      <x:c r="I1324" s="40" t="n">
        <x:f>ABS(H1324)</x:f>
        <x:v>1.44277114868164</x:v>
      </x:c>
      <x:c r="J1324" s="40" t="n">
        <x:f>H1324^2</x:f>
        <x:v>2.0815885874681386</x:v>
      </x:c>
      <x:c r="K1324" s="40" t="n">
        <x:f>G1324-E1324</x:f>
        <x:v>0.10000000000000142</x:v>
      </x:c>
      <x:c r="L1324" s="40" t="n">
        <x:f>ABS(K1324)</x:f>
        <x:v>0.10000000000000142</x:v>
      </x:c>
      <x:c r="M1324" s="41" t="str">
        <x:v>lstm-soil-v1</x:v>
      </x:c>
    </x:row>
    <x:row r="1325">
      <x:c r="A1325" s="38" t="str">
        <x:v>7月30日现场数据</x:v>
      </x:c>
      <x:c r="B1325" s="39" t="str">
        <x:v>2026-08-01T17:05:00</x:v>
      </x:c>
      <x:c r="C1325" s="39" t="str">
        <x:v>2026-08-01T17:20:00</x:v>
      </x:c>
      <x:c r="D1325" s="47" t="n">
        <x:v>15</x:v>
      </x:c>
      <x:c r="E1325" s="40" t="n">
        <x:v>16.7</x:v>
      </x:c>
      <x:c r="F1325" s="40" t="n">
        <x:v>15.33352279663086</x:v>
      </x:c>
      <x:c r="G1325" s="40" t="n">
        <x:v>16.8</x:v>
      </x:c>
      <x:c r="H1325" s="40" t="n">
        <x:f>F1325-E1325</x:f>
        <x:v>-1.36647720336914</x:v>
      </x:c>
      <x:c r="I1325" s="40" t="n">
        <x:f>ABS(H1325)</x:f>
        <x:v>1.36647720336914</x:v>
      </x:c>
      <x:c r="J1325" s="40" t="n">
        <x:f>H1325^2</x:f>
        <x:v>1.8672599473275457</x:v>
      </x:c>
      <x:c r="K1325" s="40" t="n">
        <x:f>G1325-E1325</x:f>
        <x:v>0.10000000000000142</x:v>
      </x:c>
      <x:c r="L1325" s="40" t="n">
        <x:f>ABS(K1325)</x:f>
        <x:v>0.10000000000000142</x:v>
      </x:c>
      <x:c r="M1325" s="41" t="str">
        <x:v>lstm-soil-v1</x:v>
      </x:c>
    </x:row>
    <x:row r="1326">
      <x:c r="A1326" s="38" t="str">
        <x:v>7月30日现场数据</x:v>
      </x:c>
      <x:c r="B1326" s="39" t="str">
        <x:v>2026-08-01T17:05:00</x:v>
      </x:c>
      <x:c r="C1326" s="39" t="str">
        <x:v>2026-08-01T17:35:00</x:v>
      </x:c>
      <x:c r="D1326" s="47" t="n">
        <x:v>30</x:v>
      </x:c>
      <x:c r="E1326" s="40" t="n">
        <x:v>16.6</x:v>
      </x:c>
      <x:c r="F1326" s="40" t="n">
        <x:v>15.641555786132812</x:v>
      </x:c>
      <x:c r="G1326" s="40" t="n">
        <x:v>16.8</x:v>
      </x:c>
      <x:c r="H1326" s="40" t="n">
        <x:f>F1326-E1326</x:f>
        <x:v>-0.9584442138671889</x:v>
      </x:c>
      <x:c r="I1326" s="40" t="n">
        <x:f>ABS(H1326)</x:f>
        <x:v>0.9584442138671889</x:v>
      </x:c>
      <x:c r="J1326" s="40" t="n">
        <x:f>H1326^2</x:f>
        <x:v>0.9186153110954938</x:v>
      </x:c>
      <x:c r="K1326" s="40" t="n">
        <x:f>G1326-E1326</x:f>
        <x:v>0.1999999999999993</x:v>
      </x:c>
      <x:c r="L1326" s="40" t="n">
        <x:f>ABS(K1326)</x:f>
        <x:v>0.1999999999999993</x:v>
      </x:c>
      <x:c r="M1326" s="41" t="str">
        <x:v>lstm-soil-v1</x:v>
      </x:c>
    </x:row>
    <x:row r="1327">
      <x:c r="A1327" s="38" t="str">
        <x:v>7月30日现场数据</x:v>
      </x:c>
      <x:c r="B1327" s="39" t="str">
        <x:v>2026-08-01T17:05:00</x:v>
      </x:c>
      <x:c r="C1327" s="39" t="str">
        <x:v>2026-08-01T18:05:00</x:v>
      </x:c>
      <x:c r="D1327" s="47" t="n">
        <x:v>60</x:v>
      </x:c>
      <x:c r="E1327" s="40" t="n">
        <x:v>16.5</x:v>
      </x:c>
      <x:c r="F1327" s="40" t="n">
        <x:v>17.411392211914062</x:v>
      </x:c>
      <x:c r="G1327" s="40" t="n">
        <x:v>16.8</x:v>
      </x:c>
      <x:c r="H1327" s="40" t="n">
        <x:f>F1327-E1327</x:f>
        <x:v>0.9113922119140625</x:v>
      </x:c>
      <x:c r="I1327" s="40" t="n">
        <x:f>ABS(H1327)</x:f>
        <x:v>0.9113922119140625</x:v>
      </x:c>
      <x:c r="J1327" s="40" t="n">
        <x:f>H1327^2</x:f>
        <x:v>0.8306357639376074</x:v>
      </x:c>
      <x:c r="K1327" s="40" t="n">
        <x:f>G1327-E1327</x:f>
        <x:v>0.3000000000000007</x:v>
      </x:c>
      <x:c r="L1327" s="40" t="n">
        <x:f>ABS(K1327)</x:f>
        <x:v>0.3000000000000007</x:v>
      </x:c>
      <x:c r="M1327" s="41" t="str">
        <x:v>lstm-soil-v1</x:v>
      </x:c>
    </x:row>
    <x:row r="1328">
      <x:c r="A1328" s="38" t="str">
        <x:v>7月30日现场数据</x:v>
      </x:c>
      <x:c r="B1328" s="39" t="str">
        <x:v>2026-08-01T17:10:00</x:v>
      </x:c>
      <x:c r="C1328" s="39" t="str">
        <x:v>2026-08-01T17:15:00</x:v>
      </x:c>
      <x:c r="D1328" s="47" t="n">
        <x:v>5</x:v>
      </x:c>
      <x:c r="E1328" s="40" t="n">
        <x:v>16.7</x:v>
      </x:c>
      <x:c r="F1328" s="40" t="n">
        <x:v>15.14678955078125</x:v>
      </x:c>
      <x:c r="G1328" s="40" t="n">
        <x:v>16.7</x:v>
      </x:c>
      <x:c r="H1328" s="40" t="n">
        <x:f>F1328-E1328</x:f>
        <x:v>-1.5532104492187493</x:v>
      </x:c>
      <x:c r="I1328" s="40" t="n">
        <x:f>ABS(H1328)</x:f>
        <x:v>1.5532104492187493</x:v>
      </x:c>
      <x:c r="J1328" s="40" t="n">
        <x:f>H1328^2</x:f>
        <x:v>2.412462699562309</x:v>
      </x:c>
      <x:c r="K1328" s="40" t="n">
        <x:f>G1328-E1328</x:f>
        <x:v>0</x:v>
      </x:c>
      <x:c r="L1328" s="40" t="n">
        <x:f>ABS(K1328)</x:f>
        <x:v>0</x:v>
      </x:c>
      <x:c r="M1328" s="41" t="str">
        <x:v>lstm-soil-v1</x:v>
      </x:c>
    </x:row>
    <x:row r="1329">
      <x:c r="A1329" s="38" t="str">
        <x:v>7月30日现场数据</x:v>
      </x:c>
      <x:c r="B1329" s="39" t="str">
        <x:v>2026-08-01T17:10:00</x:v>
      </x:c>
      <x:c r="C1329" s="39" t="str">
        <x:v>2026-08-01T17:25:00</x:v>
      </x:c>
      <x:c r="D1329" s="47" t="n">
        <x:v>15</x:v>
      </x:c>
      <x:c r="E1329" s="40" t="n">
        <x:v>16.6</x:v>
      </x:c>
      <x:c r="F1329" s="40" t="n">
        <x:v>15.223297119140625</x:v>
      </x:c>
      <x:c r="G1329" s="40" t="n">
        <x:v>16.7</x:v>
      </x:c>
      <x:c r="H1329" s="40" t="n">
        <x:f>F1329-E1329</x:f>
        <x:v>-1.3767028808593764</x:v>
      </x:c>
      <x:c r="I1329" s="40" t="n">
        <x:f>ABS(H1329)</x:f>
        <x:v>1.3767028808593764</x:v>
      </x:c>
      <x:c r="J1329" s="40" t="n">
        <x:f>H1329^2</x:f>
        <x:v>1.8953108221665065</x:v>
      </x:c>
      <x:c r="K1329" s="40" t="n">
        <x:f>G1329-E1329</x:f>
        <x:v>0.09999999999999787</x:v>
      </x:c>
      <x:c r="L1329" s="40" t="n">
        <x:f>ABS(K1329)</x:f>
        <x:v>0.09999999999999787</x:v>
      </x:c>
      <x:c r="M1329" s="41" t="str">
        <x:v>lstm-soil-v1</x:v>
      </x:c>
    </x:row>
    <x:row r="1330">
      <x:c r="A1330" s="38" t="str">
        <x:v>7月30日现场数据</x:v>
      </x:c>
      <x:c r="B1330" s="39" t="str">
        <x:v>2026-08-01T17:10:00</x:v>
      </x:c>
      <x:c r="C1330" s="39" t="str">
        <x:v>2026-08-01T17:40:00</x:v>
      </x:c>
      <x:c r="D1330" s="47" t="n">
        <x:v>30</x:v>
      </x:c>
      <x:c r="E1330" s="40" t="n">
        <x:v>16.6</x:v>
      </x:c>
      <x:c r="F1330" s="40" t="n">
        <x:v>15.532180786132812</x:v>
      </x:c>
      <x:c r="G1330" s="40" t="n">
        <x:v>16.7</x:v>
      </x:c>
      <x:c r="H1330" s="40" t="n">
        <x:f>F1330-E1330</x:f>
        <x:v>-1.067819213867189</x:v>
      </x:c>
      <x:c r="I1330" s="40" t="n">
        <x:f>ABS(H1330)</x:f>
        <x:v>1.067819213867189</x:v>
      </x:c>
      <x:c r="J1330" s="40" t="n">
        <x:f>H1330^2</x:f>
        <x:v>1.1402378735039413</x:v>
      </x:c>
      <x:c r="K1330" s="40" t="n">
        <x:f>G1330-E1330</x:f>
        <x:v>0.09999999999999787</x:v>
      </x:c>
      <x:c r="L1330" s="40" t="n">
        <x:f>ABS(K1330)</x:f>
        <x:v>0.09999999999999787</x:v>
      </x:c>
      <x:c r="M1330" s="41" t="str">
        <x:v>lstm-soil-v1</x:v>
      </x:c>
    </x:row>
    <x:row r="1331">
      <x:c r="A1331" s="38" t="str">
        <x:v>7月30日现场数据</x:v>
      </x:c>
      <x:c r="B1331" s="39" t="str">
        <x:v>2026-08-01T17:10:00</x:v>
      </x:c>
      <x:c r="C1331" s="39" t="str">
        <x:v>2026-08-01T18:10:00</x:v>
      </x:c>
      <x:c r="D1331" s="47" t="n">
        <x:v>60</x:v>
      </x:c>
      <x:c r="E1331" s="40" t="n">
        <x:v>16.5</x:v>
      </x:c>
      <x:c r="F1331" s="40" t="n">
        <x:v>17.30144500732422</x:v>
      </x:c>
      <x:c r="G1331" s="40" t="n">
        <x:v>16.7</x:v>
      </x:c>
      <x:c r="H1331" s="40" t="n">
        <x:f>F1331-E1331</x:f>
        <x:v>0.8014450073242188</x:v>
      </x:c>
      <x:c r="I1331" s="40" t="n">
        <x:f>ABS(H1331)</x:f>
        <x:v>0.8014450073242188</x:v>
      </x:c>
      <x:c r="J1331" s="40" t="n">
        <x:f>H1331^2</x:f>
        <x:v>0.642314099764917</x:v>
      </x:c>
      <x:c r="K1331" s="40" t="n">
        <x:f>G1331-E1331</x:f>
        <x:v>0.1999999999999993</x:v>
      </x:c>
      <x:c r="L1331" s="40" t="n">
        <x:f>ABS(K1331)</x:f>
        <x:v>0.1999999999999993</x:v>
      </x:c>
      <x:c r="M1331" s="41" t="str">
        <x:v>lstm-soil-v1</x:v>
      </x:c>
    </x:row>
    <x:row r="1332">
      <x:c r="A1332" s="38" t="str">
        <x:v>7月30日现场数据</x:v>
      </x:c>
      <x:c r="B1332" s="39" t="str">
        <x:v>2026-08-01T17:15:00</x:v>
      </x:c>
      <x:c r="C1332" s="39" t="str">
        <x:v>2026-08-01T17:20:00</x:v>
      </x:c>
      <x:c r="D1332" s="47" t="n">
        <x:v>5</x:v>
      </x:c>
      <x:c r="E1332" s="40" t="n">
        <x:v>16.7</x:v>
      </x:c>
      <x:c r="F1332" s="40" t="n">
        <x:v>15.146224975585938</x:v>
      </x:c>
      <x:c r="G1332" s="40" t="n">
        <x:v>16.7</x:v>
      </x:c>
      <x:c r="H1332" s="40" t="n">
        <x:f>F1332-E1332</x:f>
        <x:v>-1.5537750244140618</x:v>
      </x:c>
      <x:c r="I1332" s="40" t="n">
        <x:f>ABS(H1332)</x:f>
        <x:v>1.5537750244140618</x:v>
      </x:c>
      <x:c r="J1332" s="40" t="n">
        <x:f>H1332^2</x:f>
        <x:v>2.4142168264929182</x:v>
      </x:c>
      <x:c r="K1332" s="40" t="n">
        <x:f>G1332-E1332</x:f>
        <x:v>0</x:v>
      </x:c>
      <x:c r="L1332" s="40" t="n">
        <x:f>ABS(K1332)</x:f>
        <x:v>0</x:v>
      </x:c>
      <x:c r="M1332" s="41" t="str">
        <x:v>lstm-soil-v1</x:v>
      </x:c>
    </x:row>
    <x:row r="1333">
      <x:c r="A1333" s="38" t="str">
        <x:v>7月30日现场数据</x:v>
      </x:c>
      <x:c r="B1333" s="39" t="str">
        <x:v>2026-08-01T17:15:00</x:v>
      </x:c>
      <x:c r="C1333" s="39" t="str">
        <x:v>2026-08-01T17:30:00</x:v>
      </x:c>
      <x:c r="D1333" s="47" t="n">
        <x:v>15</x:v>
      </x:c>
      <x:c r="E1333" s="40" t="n">
        <x:v>16.6</x:v>
      </x:c>
      <x:c r="F1333" s="40" t="n">
        <x:v>15.222999572753906</x:v>
      </x:c>
      <x:c r="G1333" s="40" t="n">
        <x:v>16.7</x:v>
      </x:c>
      <x:c r="H1333" s="40" t="n">
        <x:f>F1333-E1333</x:f>
        <x:v>-1.3770004272460952</x:v>
      </x:c>
      <x:c r="I1333" s="40" t="n">
        <x:f>ABS(H1333)</x:f>
        <x:v>1.3770004272460952</x:v>
      </x:c>
      <x:c r="J1333" s="40" t="n">
        <x:f>H1333^2</x:f>
        <x:v>1.8961301766359286</x:v>
      </x:c>
      <x:c r="K1333" s="40" t="n">
        <x:f>G1333-E1333</x:f>
        <x:v>0.09999999999999787</x:v>
      </x:c>
      <x:c r="L1333" s="40" t="n">
        <x:f>ABS(K1333)</x:f>
        <x:v>0.09999999999999787</x:v>
      </x:c>
      <x:c r="M1333" s="41" t="str">
        <x:v>lstm-soil-v1</x:v>
      </x:c>
    </x:row>
    <x:row r="1334">
      <x:c r="A1334" s="38" t="str">
        <x:v>7月30日现场数据</x:v>
      </x:c>
      <x:c r="B1334" s="39" t="str">
        <x:v>2026-08-01T17:15:00</x:v>
      </x:c>
      <x:c r="C1334" s="39" t="str">
        <x:v>2026-08-01T17:45:00</x:v>
      </x:c>
      <x:c r="D1334" s="47" t="n">
        <x:v>30</x:v>
      </x:c>
      <x:c r="E1334" s="40" t="n">
        <x:v>16.6</x:v>
      </x:c>
      <x:c r="F1334" s="40" t="n">
        <x:v>15.532882690429688</x:v>
      </x:c>
      <x:c r="G1334" s="40" t="n">
        <x:v>16.7</x:v>
      </x:c>
      <x:c r="H1334" s="40" t="n">
        <x:f>F1334-E1334</x:f>
        <x:v>-1.067117309570314</x:v>
      </x:c>
      <x:c r="I1334" s="40" t="n">
        <x:f>ABS(H1334)</x:f>
        <x:v>1.067117309570314</x:v>
      </x:c>
      <x:c r="J1334" s="40" t="n">
        <x:f>H1334^2</x:f>
        <x:v>1.1387393523845852</x:v>
      </x:c>
      <x:c r="K1334" s="40" t="n">
        <x:f>G1334-E1334</x:f>
        <x:v>0.09999999999999787</x:v>
      </x:c>
      <x:c r="L1334" s="40" t="n">
        <x:f>ABS(K1334)</x:f>
        <x:v>0.09999999999999787</x:v>
      </x:c>
      <x:c r="M1334" s="41" t="str">
        <x:v>lstm-soil-v1</x:v>
      </x:c>
    </x:row>
    <x:row r="1335">
      <x:c r="A1335" s="38" t="str">
        <x:v>7月30日现场数据</x:v>
      </x:c>
      <x:c r="B1335" s="39" t="str">
        <x:v>2026-08-01T17:15:00</x:v>
      </x:c>
      <x:c r="C1335" s="39" t="str">
        <x:v>2026-08-01T18:15:00</x:v>
      </x:c>
      <x:c r="D1335" s="47" t="n">
        <x:v>60</x:v>
      </x:c>
      <x:c r="E1335" s="40" t="n">
        <x:v>16.5</x:v>
      </x:c>
      <x:c r="F1335" s="40" t="n">
        <x:v>17.301734924316406</x:v>
      </x:c>
      <x:c r="G1335" s="40" t="n">
        <x:v>16.7</x:v>
      </x:c>
      <x:c r="H1335" s="40" t="n">
        <x:f>F1335-E1335</x:f>
        <x:v>0.8017349243164062</x:v>
      </x:c>
      <x:c r="I1335" s="40" t="n">
        <x:f>ABS(H1335)</x:f>
        <x:v>0.8017349243164062</x:v>
      </x:c>
      <x:c r="J1335" s="40" t="n">
        <x:f>H1335^2</x:f>
        <x:v>0.6427788888686337</x:v>
      </x:c>
      <x:c r="K1335" s="40" t="n">
        <x:f>G1335-E1335</x:f>
        <x:v>0.1999999999999993</x:v>
      </x:c>
      <x:c r="L1335" s="40" t="n">
        <x:f>ABS(K1335)</x:f>
        <x:v>0.1999999999999993</x:v>
      </x:c>
      <x:c r="M1335" s="41" t="str">
        <x:v>lstm-soil-v1</x:v>
      </x:c>
    </x:row>
    <x:row r="1336">
      <x:c r="A1336" s="38" t="str">
        <x:v>7月30日现场数据</x:v>
      </x:c>
      <x:c r="B1336" s="39" t="str">
        <x:v>2026-08-01T17:20:00</x:v>
      </x:c>
      <x:c r="C1336" s="39" t="str">
        <x:v>2026-08-01T17:25:00</x:v>
      </x:c>
      <x:c r="D1336" s="47" t="n">
        <x:v>5</x:v>
      </x:c>
      <x:c r="E1336" s="40" t="n">
        <x:v>16.6</x:v>
      </x:c>
      <x:c r="F1336" s="40" t="n">
        <x:v>15.145744323730469</x:v>
      </x:c>
      <x:c r="G1336" s="40" t="n">
        <x:v>16.7</x:v>
      </x:c>
      <x:c r="H1336" s="40" t="n">
        <x:f>F1336-E1336</x:f>
        <x:v>-1.4542556762695327</x:v>
      </x:c>
      <x:c r="I1336" s="40" t="n">
        <x:f>ABS(H1336)</x:f>
        <x:v>1.4542556762695327</x:v>
      </x:c>
      <x:c r="J1336" s="40" t="n">
        <x:f>H1336^2</x:f>
        <x:v>2.114859571962156</x:v>
      </x:c>
      <x:c r="K1336" s="40" t="n">
        <x:f>G1336-E1336</x:f>
        <x:v>0.09999999999999787</x:v>
      </x:c>
      <x:c r="L1336" s="40" t="n">
        <x:f>ABS(K1336)</x:f>
        <x:v>0.09999999999999787</x:v>
      </x:c>
      <x:c r="M1336" s="41" t="str">
        <x:v>lstm-soil-v1</x:v>
      </x:c>
    </x:row>
    <x:row r="1337">
      <x:c r="A1337" s="38" t="str">
        <x:v>7月30日现场数据</x:v>
      </x:c>
      <x:c r="B1337" s="39" t="str">
        <x:v>2026-08-01T17:20:00</x:v>
      </x:c>
      <x:c r="C1337" s="39" t="str">
        <x:v>2026-08-01T17:35:00</x:v>
      </x:c>
      <x:c r="D1337" s="47" t="n">
        <x:v>15</x:v>
      </x:c>
      <x:c r="E1337" s="40" t="n">
        <x:v>16.6</x:v>
      </x:c>
      <x:c r="F1337" s="40" t="n">
        <x:v>15.22275161743164</x:v>
      </x:c>
      <x:c r="G1337" s="40" t="n">
        <x:v>16.7</x:v>
      </x:c>
      <x:c r="H1337" s="40" t="n">
        <x:f>F1337-E1337</x:f>
        <x:v>-1.3772483825683608</x:v>
      </x:c>
      <x:c r="I1337" s="40" t="n">
        <x:f>ABS(H1337)</x:f>
        <x:v>1.3772483825683608</x:v>
      </x:c>
      <x:c r="J1337" s="40" t="n">
        <x:f>H1337^2</x:f>
        <x:v>1.896813107287166</x:v>
      </x:c>
      <x:c r="K1337" s="40" t="n">
        <x:f>G1337-E1337</x:f>
        <x:v>0.09999999999999787</x:v>
      </x:c>
      <x:c r="L1337" s="40" t="n">
        <x:f>ABS(K1337)</x:f>
        <x:v>0.09999999999999787</x:v>
      </x:c>
      <x:c r="M1337" s="41" t="str">
        <x:v>lstm-soil-v1</x:v>
      </x:c>
    </x:row>
    <x:row r="1338">
      <x:c r="A1338" s="38" t="str">
        <x:v>7月30日现场数据</x:v>
      </x:c>
      <x:c r="B1338" s="39" t="str">
        <x:v>2026-08-01T17:20:00</x:v>
      </x:c>
      <x:c r="C1338" s="39" t="str">
        <x:v>2026-08-01T17:50:00</x:v>
      </x:c>
      <x:c r="D1338" s="47" t="n">
        <x:v>30</x:v>
      </x:c>
      <x:c r="E1338" s="40" t="n">
        <x:v>16.5</x:v>
      </x:c>
      <x:c r="F1338" s="40" t="n">
        <x:v>15.533782958984375</x:v>
      </x:c>
      <x:c r="G1338" s="40" t="n">
        <x:v>16.7</x:v>
      </x:c>
      <x:c r="H1338" s="40" t="n">
        <x:f>F1338-E1338</x:f>
        <x:v>-0.966217041015625</x:v>
      </x:c>
      <x:c r="I1338" s="40" t="n">
        <x:f>ABS(H1338)</x:f>
        <x:v>0.966217041015625</x:v>
      </x:c>
      <x:c r="J1338" s="40" t="n">
        <x:f>H1338^2</x:f>
        <x:v>0.93357537034899</x:v>
      </x:c>
      <x:c r="K1338" s="40" t="n">
        <x:f>G1338-E1338</x:f>
        <x:v>0.1999999999999993</x:v>
      </x:c>
      <x:c r="L1338" s="40" t="n">
        <x:f>ABS(K1338)</x:f>
        <x:v>0.1999999999999993</x:v>
      </x:c>
      <x:c r="M1338" s="41" t="str">
        <x:v>lstm-soil-v1</x:v>
      </x:c>
    </x:row>
    <x:row r="1339">
      <x:c r="A1339" s="38" t="str">
        <x:v>7月30日现场数据</x:v>
      </x:c>
      <x:c r="B1339" s="39" t="str">
        <x:v>2026-08-01T17:20:00</x:v>
      </x:c>
      <x:c r="C1339" s="39" t="str">
        <x:v>2026-08-01T18:20:00</x:v>
      </x:c>
      <x:c r="D1339" s="47" t="n">
        <x:v>60</x:v>
      </x:c>
      <x:c r="E1339" s="40" t="n">
        <x:v>16.5</x:v>
      </x:c>
      <x:c r="F1339" s="40" t="n">
        <x:v>17.302268981933594</x:v>
      </x:c>
      <x:c r="G1339" s="40" t="n">
        <x:v>16.7</x:v>
      </x:c>
      <x:c r="H1339" s="40" t="n">
        <x:f>F1339-E1339</x:f>
        <x:v>0.8022689819335938</x:v>
      </x:c>
      <x:c r="I1339" s="40" t="n">
        <x:f>ABS(H1339)</x:f>
        <x:v>0.8022689819335938</x:v>
      </x:c>
      <x:c r="J1339" s="40" t="n">
        <x:f>H1339^2</x:f>
        <x:v>0.643635519372765</x:v>
      </x:c>
      <x:c r="K1339" s="40" t="n">
        <x:f>G1339-E1339</x:f>
        <x:v>0.1999999999999993</x:v>
      </x:c>
      <x:c r="L1339" s="40" t="n">
        <x:f>ABS(K1339)</x:f>
        <x:v>0.1999999999999993</x:v>
      </x:c>
      <x:c r="M1339" s="41" t="str">
        <x:v>lstm-soil-v1</x:v>
      </x:c>
    </x:row>
    <x:row r="1340">
      <x:c r="A1340" s="38" t="str">
        <x:v>7月30日现场数据</x:v>
      </x:c>
      <x:c r="B1340" s="39" t="str">
        <x:v>2026-08-01T17:25:00</x:v>
      </x:c>
      <x:c r="C1340" s="39" t="str">
        <x:v>2026-08-01T17:30:00</x:v>
      </x:c>
      <x:c r="D1340" s="47" t="n">
        <x:v>5</x:v>
      </x:c>
      <x:c r="E1340" s="40" t="n">
        <x:v>16.6</x:v>
      </x:c>
      <x:c r="F1340" s="40" t="n">
        <x:v>15.03506088256836</x:v>
      </x:c>
      <x:c r="G1340" s="40" t="n">
        <x:v>16.6</x:v>
      </x:c>
      <x:c r="H1340" s="40" t="n">
        <x:f>F1340-E1340</x:f>
        <x:v>-1.564939117431642</x:v>
      </x:c>
      <x:c r="I1340" s="40" t="n">
        <x:f>ABS(H1340)</x:f>
        <x:v>1.564939117431642</x:v>
      </x:c>
      <x:c r="J1340" s="40" t="n">
        <x:f>H1340^2</x:f>
        <x:v>2.4490344412677265</x:v>
      </x:c>
      <x:c r="K1340" s="40" t="n">
        <x:f>G1340-E1340</x:f>
        <x:v>0</x:v>
      </x:c>
      <x:c r="L1340" s="40" t="n">
        <x:f>ABS(K1340)</x:f>
        <x:v>0</x:v>
      </x:c>
      <x:c r="M1340" s="41" t="str">
        <x:v>lstm-soil-v1</x:v>
      </x:c>
    </x:row>
    <x:row r="1341">
      <x:c r="A1341" s="38" t="str">
        <x:v>7月30日现场数据</x:v>
      </x:c>
      <x:c r="B1341" s="39" t="str">
        <x:v>2026-08-01T17:25:00</x:v>
      </x:c>
      <x:c r="C1341" s="39" t="str">
        <x:v>2026-08-01T17:40:00</x:v>
      </x:c>
      <x:c r="D1341" s="47" t="n">
        <x:v>15</x:v>
      </x:c>
      <x:c r="E1341" s="40" t="n">
        <x:v>16.6</x:v>
      </x:c>
      <x:c r="F1341" s="40" t="n">
        <x:v>15.112464904785156</x:v>
      </x:c>
      <x:c r="G1341" s="40" t="n">
        <x:v>16.6</x:v>
      </x:c>
      <x:c r="H1341" s="40" t="n">
        <x:f>F1341-E1341</x:f>
        <x:v>-1.4875350952148452</x:v>
      </x:c>
      <x:c r="I1341" s="40" t="n">
        <x:f>ABS(H1341)</x:f>
        <x:v>1.4875350952148452</x:v>
      </x:c>
      <x:c r="J1341" s="40" t="n">
        <x:f>H1341^2</x:f>
        <x:v>2.2127606594958387</x:v>
      </x:c>
      <x:c r="K1341" s="40" t="n">
        <x:f>G1341-E1341</x:f>
        <x:v>0</x:v>
      </x:c>
      <x:c r="L1341" s="40" t="n">
        <x:f>ABS(K1341)</x:f>
        <x:v>0</x:v>
      </x:c>
      <x:c r="M1341" s="41" t="str">
        <x:v>lstm-soil-v1</x:v>
      </x:c>
    </x:row>
    <x:row r="1342">
      <x:c r="A1342" s="38" t="str">
        <x:v>7月30日现场数据</x:v>
      </x:c>
      <x:c r="B1342" s="39" t="str">
        <x:v>2026-08-01T17:25:00</x:v>
      </x:c>
      <x:c r="C1342" s="39" t="str">
        <x:v>2026-08-01T17:55:00</x:v>
      </x:c>
      <x:c r="D1342" s="47" t="n">
        <x:v>30</x:v>
      </x:c>
      <x:c r="E1342" s="40" t="n">
        <x:v>16.5</x:v>
      </x:c>
      <x:c r="F1342" s="40" t="n">
        <x:v>15.42464828491211</x:v>
      </x:c>
      <x:c r="G1342" s="40" t="n">
        <x:v>16.6</x:v>
      </x:c>
      <x:c r="H1342" s="40" t="n">
        <x:f>F1342-E1342</x:f>
        <x:v>-1.0753517150878906</x:v>
      </x:c>
      <x:c r="I1342" s="40" t="n">
        <x:f>ABS(H1342)</x:f>
        <x:v>1.0753517150878906</x:v>
      </x:c>
      <x:c r="J1342" s="40" t="n">
        <x:f>H1342^2</x:f>
        <x:v>1.156381311142468</x:v>
      </x:c>
      <x:c r="K1342" s="40" t="n">
        <x:f>G1342-E1342</x:f>
        <x:v>0.10000000000000142</x:v>
      </x:c>
      <x:c r="L1342" s="40" t="n">
        <x:f>ABS(K1342)</x:f>
        <x:v>0.10000000000000142</x:v>
      </x:c>
      <x:c r="M1342" s="41" t="str">
        <x:v>lstm-soil-v1</x:v>
      </x:c>
    </x:row>
    <x:row r="1343">
      <x:c r="A1343" s="38" t="str">
        <x:v>7月30日现场数据</x:v>
      </x:c>
      <x:c r="B1343" s="39" t="str">
        <x:v>2026-08-01T17:25:00</x:v>
      </x:c>
      <x:c r="C1343" s="39" t="str">
        <x:v>2026-08-01T18:25:00</x:v>
      </x:c>
      <x:c r="D1343" s="47" t="n">
        <x:v>60</x:v>
      </x:c>
      <x:c r="E1343" s="40" t="n">
        <x:v>16.4</x:v>
      </x:c>
      <x:c r="F1343" s="40" t="n">
        <x:v>17.192630767822266</x:v>
      </x:c>
      <x:c r="G1343" s="40" t="n">
        <x:v>16.6</x:v>
      </x:c>
      <x:c r="H1343" s="40" t="n">
        <x:f>F1343-E1343</x:f>
        <x:v>0.792630767822267</x:v>
      </x:c>
      <x:c r="I1343" s="40" t="n">
        <x:f>ABS(H1343)</x:f>
        <x:v>0.792630767822267</x:v>
      </x:c>
      <x:c r="J1343" s="40" t="n">
        <x:f>H1343^2</x:f>
        <x:v>0.6282635340985167</x:v>
      </x:c>
      <x:c r="K1343" s="40" t="n">
        <x:f>G1343-E1343</x:f>
        <x:v>0.20000000000000284</x:v>
      </x:c>
      <x:c r="L1343" s="40" t="n">
        <x:f>ABS(K1343)</x:f>
        <x:v>0.20000000000000284</x:v>
      </x:c>
      <x:c r="M1343" s="41" t="str">
        <x:v>lstm-soil-v1</x:v>
      </x:c>
    </x:row>
    <x:row r="1344">
      <x:c r="A1344" s="38" t="str">
        <x:v>7月30日现场数据</x:v>
      </x:c>
      <x:c r="B1344" s="39" t="str">
        <x:v>2026-08-01T17:30:00</x:v>
      </x:c>
      <x:c r="C1344" s="39" t="str">
        <x:v>2026-08-01T17:35:00</x:v>
      </x:c>
      <x:c r="D1344" s="47" t="n">
        <x:v>5</x:v>
      </x:c>
      <x:c r="E1344" s="40" t="n">
        <x:v>16.6</x:v>
      </x:c>
      <x:c r="F1344" s="40" t="n">
        <x:v>15.034751892089844</x:v>
      </x:c>
      <x:c r="G1344" s="40" t="n">
        <x:v>16.6</x:v>
      </x:c>
      <x:c r="H1344" s="40" t="n">
        <x:f>F1344-E1344</x:f>
        <x:v>-1.5652481079101577</x:v>
      </x:c>
      <x:c r="I1344" s="40" t="n">
        <x:f>ABS(H1344)</x:f>
        <x:v>1.5652481079101577</x:v>
      </x:c>
      <x:c r="J1344" s="40" t="n">
        <x:f>H1344^2</x:f>
        <x:v>2.4500016393163286</x:v>
      </x:c>
      <x:c r="K1344" s="40" t="n">
        <x:f>G1344-E1344</x:f>
        <x:v>0</x:v>
      </x:c>
      <x:c r="L1344" s="40" t="n">
        <x:f>ABS(K1344)</x:f>
        <x:v>0</x:v>
      </x:c>
      <x:c r="M1344" s="41" t="str">
        <x:v>lstm-soil-v1</x:v>
      </x:c>
    </x:row>
    <x:row r="1345">
      <x:c r="A1345" s="38" t="str">
        <x:v>7月30日现场数据</x:v>
      </x:c>
      <x:c r="B1345" s="39" t="str">
        <x:v>2026-08-01T17:30:00</x:v>
      </x:c>
      <x:c r="C1345" s="39" t="str">
        <x:v>2026-08-01T17:45:00</x:v>
      </x:c>
      <x:c r="D1345" s="47" t="n">
        <x:v>15</x:v>
      </x:c>
      <x:c r="E1345" s="40" t="n">
        <x:v>16.6</x:v>
      </x:c>
      <x:c r="F1345" s="40" t="n">
        <x:v>15.11236572265625</x:v>
      </x:c>
      <x:c r="G1345" s="40" t="n">
        <x:v>16.6</x:v>
      </x:c>
      <x:c r="H1345" s="40" t="n">
        <x:f>F1345-E1345</x:f>
        <x:v>-1.4876342773437514</x:v>
      </x:c>
      <x:c r="I1345" s="40" t="n">
        <x:f>ABS(H1345)</x:f>
        <x:v>1.4876342773437514</x:v>
      </x:c>
      <x:c r="J1345" s="40" t="n">
        <x:f>H1345^2</x:f>
        <x:v>2.2130557431280655</x:v>
      </x:c>
      <x:c r="K1345" s="40" t="n">
        <x:f>G1345-E1345</x:f>
        <x:v>0</x:v>
      </x:c>
      <x:c r="L1345" s="40" t="n">
        <x:f>ABS(K1345)</x:f>
        <x:v>0</x:v>
      </x:c>
      <x:c r="M1345" s="41" t="str">
        <x:v>lstm-soil-v1</x:v>
      </x:c>
    </x:row>
    <x:row r="1346">
      <x:c r="A1346" s="38" t="str">
        <x:v>7月30日现场数据</x:v>
      </x:c>
      <x:c r="B1346" s="39" t="str">
        <x:v>2026-08-01T17:30:00</x:v>
      </x:c>
      <x:c r="C1346" s="39" t="str">
        <x:v>2026-08-01T18:00:00</x:v>
      </x:c>
      <x:c r="D1346" s="47" t="n">
        <x:v>30</x:v>
      </x:c>
      <x:c r="E1346" s="40" t="n">
        <x:v>16.5</x:v>
      </x:c>
      <x:c r="F1346" s="40" t="n">
        <x:v>15.425861358642578</x:v>
      </x:c>
      <x:c r="G1346" s="40" t="n">
        <x:v>16.6</x:v>
      </x:c>
      <x:c r="H1346" s="40" t="n">
        <x:f>F1346-E1346</x:f>
        <x:v>-1.0741386413574219</x:v>
      </x:c>
      <x:c r="I1346" s="40" t="n">
        <x:f>ABS(H1346)</x:f>
        <x:v>1.0741386413574219</x:v>
      </x:c>
      <x:c r="J1346" s="40" t="n">
        <x:f>H1346^2</x:f>
        <x:v>1.1537738208571682</x:v>
      </x:c>
      <x:c r="K1346" s="40" t="n">
        <x:f>G1346-E1346</x:f>
        <x:v>0.10000000000000142</x:v>
      </x:c>
      <x:c r="L1346" s="40" t="n">
        <x:f>ABS(K1346)</x:f>
        <x:v>0.10000000000000142</x:v>
      </x:c>
      <x:c r="M1346" s="41" t="str">
        <x:v>lstm-soil-v1</x:v>
      </x:c>
    </x:row>
    <x:row r="1347">
      <x:c r="A1347" s="38" t="str">
        <x:v>7月30日现场数据</x:v>
      </x:c>
      <x:c r="B1347" s="39" t="str">
        <x:v>2026-08-01T17:30:00</x:v>
      </x:c>
      <x:c r="C1347" s="39" t="str">
        <x:v>2026-08-01T18:30:00</x:v>
      </x:c>
      <x:c r="D1347" s="47" t="n">
        <x:v>60</x:v>
      </x:c>
      <x:c r="E1347" s="40" t="n">
        <x:v>16.4</x:v>
      </x:c>
      <x:c r="F1347" s="40" t="n">
        <x:v>17.193382263183594</x:v>
      </x:c>
      <x:c r="G1347" s="40" t="n">
        <x:v>16.6</x:v>
      </x:c>
      <x:c r="H1347" s="40" t="n">
        <x:f>F1347-E1347</x:f>
        <x:v>0.7933822631835952</x:v>
      </x:c>
      <x:c r="I1347" s="40" t="n">
        <x:f>ABS(H1347)</x:f>
        <x:v>0.7933822631835952</x:v>
      </x:c>
      <x:c r="J1347" s="40" t="n">
        <x:f>H1347^2</x:f>
        <x:v>0.6294554155343235</x:v>
      </x:c>
      <x:c r="K1347" s="40" t="n">
        <x:f>G1347-E1347</x:f>
        <x:v>0.20000000000000284</x:v>
      </x:c>
      <x:c r="L1347" s="40" t="n">
        <x:f>ABS(K1347)</x:f>
        <x:v>0.20000000000000284</x:v>
      </x:c>
      <x:c r="M1347" s="41" t="str">
        <x:v>lstm-soil-v1</x:v>
      </x:c>
    </x:row>
    <x:row r="1348">
      <x:c r="A1348" s="38" t="str">
        <x:v>7月30日现场数据</x:v>
      </x:c>
      <x:c r="B1348" s="39" t="str">
        <x:v>2026-08-01T17:35:00</x:v>
      </x:c>
      <x:c r="C1348" s="39" t="str">
        <x:v>2026-08-01T17:40:00</x:v>
      </x:c>
      <x:c r="D1348" s="47" t="n">
        <x:v>5</x:v>
      </x:c>
      <x:c r="E1348" s="40" t="n">
        <x:v>16.6</x:v>
      </x:c>
      <x:c r="F1348" s="40" t="n">
        <x:v>15.034988403320312</x:v>
      </x:c>
      <x:c r="G1348" s="40" t="n">
        <x:v>16.6</x:v>
      </x:c>
      <x:c r="H1348" s="40" t="n">
        <x:f>F1348-E1348</x:f>
        <x:v>-1.565011596679689</x:v>
      </x:c>
      <x:c r="I1348" s="40" t="n">
        <x:f>ABS(H1348)</x:f>
        <x:v>1.565011596679689</x:v>
      </x:c>
      <x:c r="J1348" s="40" t="n">
        <x:f>H1348^2</x:f>
        <x:v>2.4492612977419093</x:v>
      </x:c>
      <x:c r="K1348" s="40" t="n">
        <x:f>G1348-E1348</x:f>
        <x:v>0</x:v>
      </x:c>
      <x:c r="L1348" s="40" t="n">
        <x:f>ABS(K1348)</x:f>
        <x:v>0</x:v>
      </x:c>
      <x:c r="M1348" s="41" t="str">
        <x:v>lstm-soil-v1</x:v>
      </x:c>
    </x:row>
    <x:row r="1349">
      <x:c r="A1349" s="38" t="str">
        <x:v>7月30日现场数据</x:v>
      </x:c>
      <x:c r="B1349" s="39" t="str">
        <x:v>2026-08-01T17:35:00</x:v>
      </x:c>
      <x:c r="C1349" s="39" t="str">
        <x:v>2026-08-01T17:50:00</x:v>
      </x:c>
      <x:c r="D1349" s="47" t="n">
        <x:v>15</x:v>
      </x:c>
      <x:c r="E1349" s="40" t="n">
        <x:v>16.5</x:v>
      </x:c>
      <x:c r="F1349" s="40" t="n">
        <x:v>15.112541198730469</x:v>
      </x:c>
      <x:c r="G1349" s="40" t="n">
        <x:v>16.6</x:v>
      </x:c>
      <x:c r="H1349" s="40" t="n">
        <x:f>F1349-E1349</x:f>
        <x:v>-1.3874588012695312</x:v>
      </x:c>
      <x:c r="I1349" s="40" t="n">
        <x:f>ABS(H1349)</x:f>
        <x:v>1.3874588012695312</x:v>
      </x:c>
      <x:c r="J1349" s="40" t="n">
        <x:f>H1349^2</x:f>
        <x:v>1.9250419252202846</x:v>
      </x:c>
      <x:c r="K1349" s="40" t="n">
        <x:f>G1349-E1349</x:f>
        <x:v>0.10000000000000142</x:v>
      </x:c>
      <x:c r="L1349" s="40" t="n">
        <x:f>ABS(K1349)</x:f>
        <x:v>0.10000000000000142</x:v>
      </x:c>
      <x:c r="M1349" s="41" t="str">
        <x:v>lstm-soil-v1</x:v>
      </x:c>
    </x:row>
    <x:row r="1350">
      <x:c r="A1350" s="38" t="str">
        <x:v>7月30日现场数据</x:v>
      </x:c>
      <x:c r="B1350" s="39" t="str">
        <x:v>2026-08-01T17:35:00</x:v>
      </x:c>
      <x:c r="C1350" s="39" t="str">
        <x:v>2026-08-01T18:05:00</x:v>
      </x:c>
      <x:c r="D1350" s="47" t="n">
        <x:v>30</x:v>
      </x:c>
      <x:c r="E1350" s="40" t="n">
        <x:v>16.5</x:v>
      </x:c>
      <x:c r="F1350" s="40" t="n">
        <x:v>15.427616119384766</x:v>
      </x:c>
      <x:c r="G1350" s="40" t="n">
        <x:v>16.6</x:v>
      </x:c>
      <x:c r="H1350" s="40" t="n">
        <x:f>F1350-E1350</x:f>
        <x:v>-1.0723838806152344</x:v>
      </x:c>
      <x:c r="I1350" s="40" t="n">
        <x:f>ABS(H1350)</x:f>
        <x:v>1.0723838806152344</x:v>
      </x:c>
      <x:c r="J1350" s="40" t="n">
        <x:f>H1350^2</x:f>
        <x:v>1.1500071874033893</x:v>
      </x:c>
      <x:c r="K1350" s="40" t="n">
        <x:f>G1350-E1350</x:f>
        <x:v>0.10000000000000142</x:v>
      </x:c>
      <x:c r="L1350" s="40" t="n">
        <x:f>ABS(K1350)</x:f>
        <x:v>0.10000000000000142</x:v>
      </x:c>
      <x:c r="M1350" s="41" t="str">
        <x:v>lstm-soil-v1</x:v>
      </x:c>
    </x:row>
    <x:row r="1351">
      <x:c r="A1351" s="38" t="str">
        <x:v>7月30日现场数据</x:v>
      </x:c>
      <x:c r="B1351" s="39" t="str">
        <x:v>2026-08-01T17:35:00</x:v>
      </x:c>
      <x:c r="C1351" s="39" t="str">
        <x:v>2026-08-01T18:35:00</x:v>
      </x:c>
      <x:c r="D1351" s="47" t="n">
        <x:v>60</x:v>
      </x:c>
      <x:c r="E1351" s="40" t="n">
        <x:v>16.4</x:v>
      </x:c>
      <x:c r="F1351" s="40" t="n">
        <x:v>17.194732666015625</x:v>
      </x:c>
      <x:c r="G1351" s="40" t="n">
        <x:v>16.6</x:v>
      </x:c>
      <x:c r="H1351" s="40" t="n">
        <x:f>F1351-E1351</x:f>
        <x:v>0.7947326660156264</x:v>
      </x:c>
      <x:c r="I1351" s="40" t="n">
        <x:f>ABS(H1351)</x:f>
        <x:v>0.7947326660156264</x:v>
      </x:c>
      <x:c r="J1351" s="40" t="n">
        <x:f>H1351^2</x:f>
        <x:v>0.6316000104323052</x:v>
      </x:c>
      <x:c r="K1351" s="40" t="n">
        <x:f>G1351-E1351</x:f>
        <x:v>0.20000000000000284</x:v>
      </x:c>
      <x:c r="L1351" s="40" t="n">
        <x:f>ABS(K1351)</x:f>
        <x:v>0.20000000000000284</x:v>
      </x:c>
      <x:c r="M1351" s="41" t="str">
        <x:v>lstm-soil-v1</x:v>
      </x:c>
    </x:row>
    <x:row r="1352">
      <x:c r="A1352" s="38" t="str">
        <x:v>7月30日现场数据</x:v>
      </x:c>
      <x:c r="B1352" s="39" t="str">
        <x:v>2026-08-01T17:40:00</x:v>
      </x:c>
      <x:c r="C1352" s="39" t="str">
        <x:v>2026-08-01T17:45:00</x:v>
      </x:c>
      <x:c r="D1352" s="47" t="n">
        <x:v>5</x:v>
      </x:c>
      <x:c r="E1352" s="40" t="n">
        <x:v>16.6</x:v>
      </x:c>
      <x:c r="F1352" s="40" t="n">
        <x:v>15.035453796386719</x:v>
      </x:c>
      <x:c r="G1352" s="40" t="n">
        <x:v>16.6</x:v>
      </x:c>
      <x:c r="H1352" s="40" t="n">
        <x:f>F1352-E1352</x:f>
        <x:v>-1.5645462036132827</x:v>
      </x:c>
      <x:c r="I1352" s="40" t="n">
        <x:f>ABS(H1352)</x:f>
        <x:v>1.5645462036132827</x:v>
      </x:c>
      <x:c r="J1352" s="40" t="n">
        <x:f>H1352^2</x:f>
        <x:v>2.4478048232407352</x:v>
      </x:c>
      <x:c r="K1352" s="40" t="n">
        <x:f>G1352-E1352</x:f>
        <x:v>0</x:v>
      </x:c>
      <x:c r="L1352" s="40" t="n">
        <x:f>ABS(K1352)</x:f>
        <x:v>0</x:v>
      </x:c>
      <x:c r="M1352" s="41" t="str">
        <x:v>lstm-soil-v1</x:v>
      </x:c>
    </x:row>
    <x:row r="1353">
      <x:c r="A1353" s="38" t="str">
        <x:v>7月30日现场数据</x:v>
      </x:c>
      <x:c r="B1353" s="39" t="str">
        <x:v>2026-08-01T17:40:00</x:v>
      </x:c>
      <x:c r="C1353" s="39" t="str">
        <x:v>2026-08-01T17:55:00</x:v>
      </x:c>
      <x:c r="D1353" s="47" t="n">
        <x:v>15</x:v>
      </x:c>
      <x:c r="E1353" s="40" t="n">
        <x:v>16.5</x:v>
      </x:c>
      <x:c r="F1353" s="40" t="n">
        <x:v>15.112815856933594</x:v>
      </x:c>
      <x:c r="G1353" s="40" t="n">
        <x:v>16.6</x:v>
      </x:c>
      <x:c r="H1353" s="40" t="n">
        <x:f>F1353-E1353</x:f>
        <x:v>-1.3871841430664062</x:v>
      </x:c>
      <x:c r="I1353" s="40" t="n">
        <x:f>ABS(H1353)</x:f>
        <x:v>1.3871841430664062</x:v>
      </x:c>
      <x:c r="J1353" s="40" t="n">
        <x:f>H1353^2</x:f>
        <x:v>1.9242798467748798</x:v>
      </x:c>
      <x:c r="K1353" s="40" t="n">
        <x:f>G1353-E1353</x:f>
        <x:v>0.10000000000000142</x:v>
      </x:c>
      <x:c r="L1353" s="40" t="n">
        <x:f>ABS(K1353)</x:f>
        <x:v>0.10000000000000142</x:v>
      </x:c>
      <x:c r="M1353" s="41" t="str">
        <x:v>lstm-soil-v1</x:v>
      </x:c>
    </x:row>
    <x:row r="1354">
      <x:c r="A1354" s="38" t="str">
        <x:v>7月30日现场数据</x:v>
      </x:c>
      <x:c r="B1354" s="39" t="str">
        <x:v>2026-08-01T17:40:00</x:v>
      </x:c>
      <x:c r="C1354" s="39" t="str">
        <x:v>2026-08-01T18:10:00</x:v>
      </x:c>
      <x:c r="D1354" s="47" t="n">
        <x:v>30</x:v>
      </x:c>
      <x:c r="E1354" s="40" t="n">
        <x:v>16.5</x:v>
      </x:c>
      <x:c r="F1354" s="40" t="n">
        <x:v>15.429527282714844</x:v>
      </x:c>
      <x:c r="G1354" s="40" t="n">
        <x:v>16.6</x:v>
      </x:c>
      <x:c r="H1354" s="40" t="n">
        <x:f>F1354-E1354</x:f>
        <x:v>-1.0704727172851562</x:v>
      </x:c>
      <x:c r="I1354" s="40" t="n">
        <x:f>ABS(H1354)</x:f>
        <x:v>1.0704727172851562</x:v>
      </x:c>
      <x:c r="J1354" s="40" t="n">
        <x:f>H1354^2</x:f>
        <x:v>1.145911838451866</x:v>
      </x:c>
      <x:c r="K1354" s="40" t="n">
        <x:f>G1354-E1354</x:f>
        <x:v>0.10000000000000142</x:v>
      </x:c>
      <x:c r="L1354" s="40" t="n">
        <x:f>ABS(K1354)</x:f>
        <x:v>0.10000000000000142</x:v>
      </x:c>
      <x:c r="M1354" s="41" t="str">
        <x:v>lstm-soil-v1</x:v>
      </x:c>
    </x:row>
    <x:row r="1355">
      <x:c r="A1355" s="38" t="str">
        <x:v>7月30日现场数据</x:v>
      </x:c>
      <x:c r="B1355" s="39" t="str">
        <x:v>2026-08-01T17:40:00</x:v>
      </x:c>
      <x:c r="C1355" s="39" t="str">
        <x:v>2026-08-01T18:40:00</x:v>
      </x:c>
      <x:c r="D1355" s="47" t="n">
        <x:v>60</x:v>
      </x:c>
      <x:c r="E1355" s="40" t="n">
        <x:v>16.4</x:v>
      </x:c>
      <x:c r="F1355" s="40" t="n">
        <x:v>17.19635009765625</x:v>
      </x:c>
      <x:c r="G1355" s="40" t="n">
        <x:v>16.6</x:v>
      </x:c>
      <x:c r="H1355" s="40" t="n">
        <x:f>F1355-E1355</x:f>
        <x:v>0.7963500976562514</x:v>
      </x:c>
      <x:c r="I1355" s="40" t="n">
        <x:f>ABS(H1355)</x:f>
        <x:v>0.7963500976562514</x:v>
      </x:c>
      <x:c r="J1355" s="40" t="n">
        <x:f>H1355^2</x:f>
        <x:v>0.6341734780371212</x:v>
      </x:c>
      <x:c r="K1355" s="40" t="n">
        <x:f>G1355-E1355</x:f>
        <x:v>0.20000000000000284</x:v>
      </x:c>
      <x:c r="L1355" s="40" t="n">
        <x:f>ABS(K1355)</x:f>
        <x:v>0.20000000000000284</x:v>
      </x:c>
      <x:c r="M1355" s="41" t="str">
        <x:v>lstm-soil-v1</x:v>
      </x:c>
    </x:row>
    <x:row r="1356">
      <x:c r="A1356" s="38" t="str">
        <x:v>7月30日现场数据</x:v>
      </x:c>
      <x:c r="B1356" s="39" t="str">
        <x:v>2026-08-01T17:45:00</x:v>
      </x:c>
      <x:c r="C1356" s="39" t="str">
        <x:v>2026-08-01T17:50:00</x:v>
      </x:c>
      <x:c r="D1356" s="47" t="n">
        <x:v>5</x:v>
      </x:c>
      <x:c r="E1356" s="40" t="n">
        <x:v>16.5</x:v>
      </x:c>
      <x:c r="F1356" s="40" t="n">
        <x:v>15.0360107421875</x:v>
      </x:c>
      <x:c r="G1356" s="40" t="n">
        <x:v>16.6</x:v>
      </x:c>
      <x:c r="H1356" s="40" t="n">
        <x:f>F1356-E1356</x:f>
        <x:v>-1.4639892578125</x:v>
      </x:c>
      <x:c r="I1356" s="40" t="n">
        <x:f>ABS(H1356)</x:f>
        <x:v>1.4639892578125</x:v>
      </x:c>
      <x:c r="J1356" s="40" t="n">
        <x:f>H1356^2</x:f>
        <x:v>2.1432645469903946</x:v>
      </x:c>
      <x:c r="K1356" s="40" t="n">
        <x:f>G1356-E1356</x:f>
        <x:v>0.10000000000000142</x:v>
      </x:c>
      <x:c r="L1356" s="40" t="n">
        <x:f>ABS(K1356)</x:f>
        <x:v>0.10000000000000142</x:v>
      </x:c>
      <x:c r="M1356" s="41" t="str">
        <x:v>lstm-soil-v1</x:v>
      </x:c>
    </x:row>
    <x:row r="1357">
      <x:c r="A1357" s="38" t="str">
        <x:v>7月30日现场数据</x:v>
      </x:c>
      <x:c r="B1357" s="39" t="str">
        <x:v>2026-08-01T17:45:00</x:v>
      </x:c>
      <x:c r="C1357" s="39" t="str">
        <x:v>2026-08-01T18:00:00</x:v>
      </x:c>
      <x:c r="D1357" s="47" t="n">
        <x:v>15</x:v>
      </x:c>
      <x:c r="E1357" s="40" t="n">
        <x:v>16.5</x:v>
      </x:c>
      <x:c r="F1357" s="40" t="n">
        <x:v>15.113235473632812</x:v>
      </x:c>
      <x:c r="G1357" s="40" t="n">
        <x:v>16.6</x:v>
      </x:c>
      <x:c r="H1357" s="40" t="n">
        <x:f>F1357-E1357</x:f>
        <x:v>-1.3867645263671875</x:v>
      </x:c>
      <x:c r="I1357" s="40" t="n">
        <x:f>ABS(H1357)</x:f>
        <x:v>1.3867645263671875</x:v>
      </x:c>
      <x:c r="J1357" s="40" t="n">
        <x:f>H1357^2</x:f>
        <x:v>1.9231158515904099</x:v>
      </x:c>
      <x:c r="K1357" s="40" t="n">
        <x:f>G1357-E1357</x:f>
        <x:v>0.10000000000000142</x:v>
      </x:c>
      <x:c r="L1357" s="40" t="n">
        <x:f>ABS(K1357)</x:f>
        <x:v>0.10000000000000142</x:v>
      </x:c>
      <x:c r="M1357" s="41" t="str">
        <x:v>lstm-soil-v1</x:v>
      </x:c>
    </x:row>
    <x:row r="1358">
      <x:c r="A1358" s="38" t="str">
        <x:v>7月30日现场数据</x:v>
      </x:c>
      <x:c r="B1358" s="39" t="str">
        <x:v>2026-08-01T17:45:00</x:v>
      </x:c>
      <x:c r="C1358" s="39" t="str">
        <x:v>2026-08-01T18:15:00</x:v>
      </x:c>
      <x:c r="D1358" s="47" t="n">
        <x:v>30</x:v>
      </x:c>
      <x:c r="E1358" s="40" t="n">
        <x:v>16.5</x:v>
      </x:c>
      <x:c r="F1358" s="40" t="n">
        <x:v>15.431568145751953</x:v>
      </x:c>
      <x:c r="G1358" s="40" t="n">
        <x:v>16.6</x:v>
      </x:c>
      <x:c r="H1358" s="40" t="n">
        <x:f>F1358-E1358</x:f>
        <x:v>-1.0684318542480469</x:v>
      </x:c>
      <x:c r="I1358" s="40" t="n">
        <x:f>ABS(H1358)</x:f>
        <x:v>1.0684318542480469</x:v>
      </x:c>
      <x:c r="J1358" s="40" t="n">
        <x:f>H1358^2</x:f>
        <x:v>1.1415466271719197</x:v>
      </x:c>
      <x:c r="K1358" s="40" t="n">
        <x:f>G1358-E1358</x:f>
        <x:v>0.10000000000000142</x:v>
      </x:c>
      <x:c r="L1358" s="40" t="n">
        <x:f>ABS(K1358)</x:f>
        <x:v>0.10000000000000142</x:v>
      </x:c>
      <x:c r="M1358" s="41" t="str">
        <x:v>lstm-soil-v1</x:v>
      </x:c>
    </x:row>
    <x:row r="1359">
      <x:c r="A1359" s="38" t="str">
        <x:v>7月30日现场数据</x:v>
      </x:c>
      <x:c r="B1359" s="39" t="str">
        <x:v>2026-08-01T17:45:00</x:v>
      </x:c>
      <x:c r="C1359" s="39" t="str">
        <x:v>2026-08-01T18:45:00</x:v>
      </x:c>
      <x:c r="D1359" s="47" t="n">
        <x:v>60</x:v>
      </x:c>
      <x:c r="E1359" s="40" t="n">
        <x:v>16.4</x:v>
      </x:c>
      <x:c r="F1359" s="40" t="n">
        <x:v>17.197978973388672</x:v>
      </x:c>
      <x:c r="G1359" s="40" t="n">
        <x:v>16.6</x:v>
      </x:c>
      <x:c r="H1359" s="40" t="n">
        <x:f>F1359-E1359</x:f>
        <x:v>0.7979789733886733</x:v>
      </x:c>
      <x:c r="I1359" s="40" t="n">
        <x:f>ABS(H1359)</x:f>
        <x:v>0.7979789733886733</x:v>
      </x:c>
      <x:c r="J1359" s="40" t="n">
        <x:f>H1359^2</x:f>
        <x:v>0.636770441970441</x:v>
      </x:c>
      <x:c r="K1359" s="40" t="n">
        <x:f>G1359-E1359</x:f>
        <x:v>0.20000000000000284</x:v>
      </x:c>
      <x:c r="L1359" s="40" t="n">
        <x:f>ABS(K1359)</x:f>
        <x:v>0.20000000000000284</x:v>
      </x:c>
      <x:c r="M1359" s="41" t="str">
        <x:v>lstm-soil-v1</x:v>
      </x:c>
    </x:row>
    <x:row r="1360">
      <x:c r="A1360" s="38" t="str">
        <x:v>7月30日现场数据</x:v>
      </x:c>
      <x:c r="B1360" s="39" t="str">
        <x:v>2026-08-01T17:50:00</x:v>
      </x:c>
      <x:c r="C1360" s="39" t="str">
        <x:v>2026-08-01T17:55:00</x:v>
      </x:c>
      <x:c r="D1360" s="47" t="n">
        <x:v>5</x:v>
      </x:c>
      <x:c r="E1360" s="40" t="n">
        <x:v>16.5</x:v>
      </x:c>
      <x:c r="F1360" s="40" t="n">
        <x:v>14.926017761230469</x:v>
      </x:c>
      <x:c r="G1360" s="40" t="n">
        <x:v>16.5</x:v>
      </x:c>
      <x:c r="H1360" s="40" t="n">
        <x:f>F1360-E1360</x:f>
        <x:v>-1.5739822387695312</x:v>
      </x:c>
      <x:c r="I1360" s="40" t="n">
        <x:f>ABS(H1360)</x:f>
        <x:v>1.5739822387695312</x:v>
      </x:c>
      <x:c r="J1360" s="40" t="n">
        <x:f>H1360^2</x:f>
        <x:v>2.4774200879619457</x:v>
      </x:c>
      <x:c r="K1360" s="40" t="n">
        <x:f>G1360-E1360</x:f>
        <x:v>0</x:v>
      </x:c>
      <x:c r="L1360" s="40" t="n">
        <x:f>ABS(K1360)</x:f>
        <x:v>0</x:v>
      </x:c>
      <x:c r="M1360" s="41" t="str">
        <x:v>lstm-soil-v1</x:v>
      </x:c>
    </x:row>
    <x:row r="1361">
      <x:c r="A1361" s="38" t="str">
        <x:v>7月30日现场数据</x:v>
      </x:c>
      <x:c r="B1361" s="39" t="str">
        <x:v>2026-08-01T17:50:00</x:v>
      </x:c>
      <x:c r="C1361" s="39" t="str">
        <x:v>2026-08-01T18:05:00</x:v>
      </x:c>
      <x:c r="D1361" s="47" t="n">
        <x:v>15</x:v>
      </x:c>
      <x:c r="E1361" s="40" t="n">
        <x:v>16.5</x:v>
      </x:c>
      <x:c r="F1361" s="40" t="n">
        <x:v>15.00347900390625</x:v>
      </x:c>
      <x:c r="G1361" s="40" t="n">
        <x:v>16.5</x:v>
      </x:c>
      <x:c r="H1361" s="40" t="n">
        <x:f>F1361-E1361</x:f>
        <x:v>-1.49652099609375</x:v>
      </x:c>
      <x:c r="I1361" s="40" t="n">
        <x:f>ABS(H1361)</x:f>
        <x:v>1.49652099609375</x:v>
      </x:c>
      <x:c r="J1361" s="40" t="n">
        <x:f>H1361^2</x:f>
        <x:v>2.2395750917494297</x:v>
      </x:c>
      <x:c r="K1361" s="40" t="n">
        <x:f>G1361-E1361</x:f>
        <x:v>0</x:v>
      </x:c>
      <x:c r="L1361" s="40" t="n">
        <x:f>ABS(K1361)</x:f>
        <x:v>0</x:v>
      </x:c>
      <x:c r="M1361" s="41" t="str">
        <x:v>lstm-soil-v1</x:v>
      </x:c>
    </x:row>
    <x:row r="1362">
      <x:c r="A1362" s="38" t="str">
        <x:v>7月30日现场数据</x:v>
      </x:c>
      <x:c r="B1362" s="39" t="str">
        <x:v>2026-08-01T17:50:00</x:v>
      </x:c>
      <x:c r="C1362" s="39" t="str">
        <x:v>2026-08-01T18:20:00</x:v>
      </x:c>
      <x:c r="D1362" s="47" t="n">
        <x:v>30</x:v>
      </x:c>
      <x:c r="E1362" s="40" t="n">
        <x:v>16.5</x:v>
      </x:c>
      <x:c r="F1362" s="40" t="n">
        <x:v>15.323070526123047</x:v>
      </x:c>
      <x:c r="G1362" s="40" t="n">
        <x:v>16.5</x:v>
      </x:c>
      <x:c r="H1362" s="40" t="n">
        <x:f>F1362-E1362</x:f>
        <x:v>-1.1769294738769531</x:v>
      </x:c>
      <x:c r="I1362" s="40" t="n">
        <x:f>ABS(H1362)</x:f>
        <x:v>1.1769294738769531</x:v>
      </x:c>
      <x:c r="J1362" s="40" t="n">
        <x:f>H1362^2</x:f>
        <x:v>1.3851629864802817</x:v>
      </x:c>
      <x:c r="K1362" s="40" t="n">
        <x:f>G1362-E1362</x:f>
        <x:v>0</x:v>
      </x:c>
      <x:c r="L1362" s="40" t="n">
        <x:f>ABS(K1362)</x:f>
        <x:v>0</x:v>
      </x:c>
      <x:c r="M1362" s="41" t="str">
        <x:v>lstm-soil-v1</x:v>
      </x:c>
    </x:row>
    <x:row r="1363">
      <x:c r="A1363" s="38" t="str">
        <x:v>7月30日现场数据</x:v>
      </x:c>
      <x:c r="B1363" s="39" t="str">
        <x:v>2026-08-01T17:50:00</x:v>
      </x:c>
      <x:c r="C1363" s="39" t="str">
        <x:v>2026-08-01T18:50:00</x:v>
      </x:c>
      <x:c r="D1363" s="47" t="n">
        <x:v>60</x:v>
      </x:c>
      <x:c r="E1363" s="40" t="n">
        <x:v>16.4</x:v>
      </x:c>
      <x:c r="F1363" s="40" t="n">
        <x:v>17.088886260986328</x:v>
      </x:c>
      <x:c r="G1363" s="40" t="n">
        <x:v>16.5</x:v>
      </x:c>
      <x:c r="H1363" s="40" t="n">
        <x:f>F1363-E1363</x:f>
        <x:v>0.6888862609863295</x:v>
      </x:c>
      <x:c r="I1363" s="40" t="n">
        <x:f>ABS(H1363)</x:f>
        <x:v>0.6888862609863295</x:v>
      </x:c>
      <x:c r="J1363" s="40" t="n">
        <x:f>H1363^2</x:f>
        <x:v>0.47456428057572536</x:v>
      </x:c>
      <x:c r="K1363" s="40" t="n">
        <x:f>G1363-E1363</x:f>
        <x:v>0.10000000000000142</x:v>
      </x:c>
      <x:c r="L1363" s="40" t="n">
        <x:f>ABS(K1363)</x:f>
        <x:v>0.10000000000000142</x:v>
      </x:c>
      <x:c r="M1363" s="41" t="str">
        <x:v>lstm-soil-v1</x:v>
      </x:c>
    </x:row>
    <x:row r="1364">
      <x:c r="A1364" s="38" t="str">
        <x:v>7月30日现场数据</x:v>
      </x:c>
      <x:c r="B1364" s="39" t="str">
        <x:v>2026-08-01T17:55:00</x:v>
      </x:c>
      <x:c r="C1364" s="39" t="str">
        <x:v>2026-08-01T18:00:00</x:v>
      </x:c>
      <x:c r="D1364" s="47" t="n">
        <x:v>5</x:v>
      </x:c>
      <x:c r="E1364" s="40" t="n">
        <x:v>16.5</x:v>
      </x:c>
      <x:c r="F1364" s="40" t="n">
        <x:v>14.92647933959961</x:v>
      </x:c>
      <x:c r="G1364" s="40" t="n">
        <x:v>16.5</x:v>
      </x:c>
      <x:c r="H1364" s="40" t="n">
        <x:f>F1364-E1364</x:f>
        <x:v>-1.5735206604003906</x:v>
      </x:c>
      <x:c r="I1364" s="40" t="n">
        <x:f>ABS(H1364)</x:f>
        <x:v>1.5735206604003906</x:v>
      </x:c>
      <x:c r="J1364" s="40" t="n">
        <x:f>H1364^2</x:f>
        <x:v>2.4759672687068814</x:v>
      </x:c>
      <x:c r="K1364" s="40" t="n">
        <x:f>G1364-E1364</x:f>
        <x:v>0</x:v>
      </x:c>
      <x:c r="L1364" s="40" t="n">
        <x:f>ABS(K1364)</x:f>
        <x:v>0</x:v>
      </x:c>
      <x:c r="M1364" s="41" t="str">
        <x:v>lstm-soil-v1</x:v>
      </x:c>
    </x:row>
    <x:row r="1365">
      <x:c r="A1365" s="38" t="str">
        <x:v>7月30日现场数据</x:v>
      </x:c>
      <x:c r="B1365" s="39" t="str">
        <x:v>2026-08-01T17:55:00</x:v>
      </x:c>
      <x:c r="C1365" s="39" t="str">
        <x:v>2026-08-01T18:10:00</x:v>
      </x:c>
      <x:c r="D1365" s="47" t="n">
        <x:v>15</x:v>
      </x:c>
      <x:c r="E1365" s="40" t="n">
        <x:v>16.5</x:v>
      </x:c>
      <x:c r="F1365" s="40" t="n">
        <x:v>15.008716583251953</x:v>
      </x:c>
      <x:c r="G1365" s="40" t="n">
        <x:v>16.5</x:v>
      </x:c>
      <x:c r="H1365" s="40" t="n">
        <x:f>F1365-E1365</x:f>
        <x:v>-1.4912834167480469</x:v>
      </x:c>
      <x:c r="I1365" s="40" t="n">
        <x:f>ABS(H1365)</x:f>
        <x:v>1.4912834167480469</x:v>
      </x:c>
      <x:c r="J1365" s="40" t="n">
        <x:f>H1365^2</x:f>
        <x:v>2.223926229067729</x:v>
      </x:c>
      <x:c r="K1365" s="40" t="n">
        <x:f>G1365-E1365</x:f>
        <x:v>0</x:v>
      </x:c>
      <x:c r="L1365" s="40" t="n">
        <x:f>ABS(K1365)</x:f>
        <x:v>0</x:v>
      </x:c>
      <x:c r="M1365" s="41" t="str">
        <x:v>lstm-soil-v1</x:v>
      </x:c>
    </x:row>
    <x:row r="1366">
      <x:c r="A1366" s="38" t="str">
        <x:v>7月30日现场数据</x:v>
      </x:c>
      <x:c r="B1366" s="39" t="str">
        <x:v>2026-08-01T17:55:00</x:v>
      </x:c>
      <x:c r="C1366" s="39" t="str">
        <x:v>2026-08-01T18:25:00</x:v>
      </x:c>
      <x:c r="D1366" s="47" t="n">
        <x:v>30</x:v>
      </x:c>
      <x:c r="E1366" s="40" t="n">
        <x:v>16.4</x:v>
      </x:c>
      <x:c r="F1366" s="40" t="n">
        <x:v>15.324642181396484</x:v>
      </x:c>
      <x:c r="G1366" s="40" t="n">
        <x:v>16.5</x:v>
      </x:c>
      <x:c r="H1366" s="40" t="n">
        <x:f>F1366-E1366</x:f>
        <x:v>-1.0753578186035142</x:v>
      </x:c>
      <x:c r="I1366" s="40" t="n">
        <x:f>ABS(H1366)</x:f>
        <x:v>1.0753578186035142</x:v>
      </x:c>
      <x:c r="J1366" s="40" t="n">
        <x:f>H1366^2</x:f>
        <x:v>1.1563944380317086</x:v>
      </x:c>
      <x:c r="K1366" s="40" t="n">
        <x:f>G1366-E1366</x:f>
        <x:v>0.10000000000000142</x:v>
      </x:c>
      <x:c r="L1366" s="40" t="n">
        <x:f>ABS(K1366)</x:f>
        <x:v>0.10000000000000142</x:v>
      </x:c>
      <x:c r="M1366" s="41" t="str">
        <x:v>lstm-soil-v1</x:v>
      </x:c>
    </x:row>
    <x:row r="1367">
      <x:c r="A1367" s="38" t="str">
        <x:v>7月30日现场数据</x:v>
      </x:c>
      <x:c r="B1367" s="39" t="str">
        <x:v>2026-08-01T17:55:00</x:v>
      </x:c>
      <x:c r="C1367" s="39" t="str">
        <x:v>2026-08-01T18:55:00</x:v>
      </x:c>
      <x:c r="D1367" s="47" t="n">
        <x:v>60</x:v>
      </x:c>
      <x:c r="E1367" s="40" t="n">
        <x:v>16.4</x:v>
      </x:c>
      <x:c r="F1367" s="40" t="n">
        <x:v>17.09231185913086</x:v>
      </x:c>
      <x:c r="G1367" s="40" t="n">
        <x:v>16.5</x:v>
      </x:c>
      <x:c r="H1367" s="40" t="n">
        <x:f>F1367-E1367</x:f>
        <x:v>0.6923118591308608</x:v>
      </x:c>
      <x:c r="I1367" s="40" t="n">
        <x:f>ABS(H1367)</x:f>
        <x:v>0.6923118591308608</x:v>
      </x:c>
      <x:c r="J1367" s="40" t="n">
        <x:f>H1367^2</x:f>
        <x:v>0.4792957102932288</x:v>
      </x:c>
      <x:c r="K1367" s="40" t="n">
        <x:f>G1367-E1367</x:f>
        <x:v>0.10000000000000142</x:v>
      </x:c>
      <x:c r="L1367" s="40" t="n">
        <x:f>ABS(K1367)</x:f>
        <x:v>0.10000000000000142</x:v>
      </x:c>
      <x:c r="M1367" s="41" t="str">
        <x:v>lstm-soil-v1</x:v>
      </x:c>
    </x:row>
    <x:row r="1368">
      <x:c r="A1368" s="38" t="str">
        <x:v>7月30日现场数据</x:v>
      </x:c>
      <x:c r="B1368" s="39" t="str">
        <x:v>2026-08-01T18:00:00</x:v>
      </x:c>
      <x:c r="C1368" s="39" t="str">
        <x:v>2026-08-01T18:05:00</x:v>
      </x:c>
      <x:c r="D1368" s="47" t="n">
        <x:v>5</x:v>
      </x:c>
      <x:c r="E1368" s="40" t="n">
        <x:v>16.5</x:v>
      </x:c>
      <x:c r="F1368" s="40" t="n">
        <x:v>14.920528411865234</x:v>
      </x:c>
      <x:c r="G1368" s="40" t="n">
        <x:v>16.5</x:v>
      </x:c>
      <x:c r="H1368" s="40" t="n">
        <x:f>F1368-E1368</x:f>
        <x:v>-1.5794715881347656</x:v>
      </x:c>
      <x:c r="I1368" s="40" t="n">
        <x:f>ABS(H1368)</x:f>
        <x:v>1.5794715881347656</x:v>
      </x:c>
      <x:c r="J1368" s="40" t="n">
        <x:f>H1368^2</x:f>
        <x:v>2.4947304977249587</x:v>
      </x:c>
      <x:c r="K1368" s="40" t="n">
        <x:f>G1368-E1368</x:f>
        <x:v>0</x:v>
      </x:c>
      <x:c r="L1368" s="40" t="n">
        <x:f>ABS(K1368)</x:f>
        <x:v>0</x:v>
      </x:c>
      <x:c r="M1368" s="41" t="str">
        <x:v>lstm-soil-v1</x:v>
      </x:c>
    </x:row>
    <x:row r="1369">
      <x:c r="A1369" s="38" t="str">
        <x:v>7月30日现场数据</x:v>
      </x:c>
      <x:c r="B1369" s="39" t="str">
        <x:v>2026-08-01T18:00:00</x:v>
      </x:c>
      <x:c r="C1369" s="39" t="str">
        <x:v>2026-08-01T18:15:00</x:v>
      </x:c>
      <x:c r="D1369" s="47" t="n">
        <x:v>15</x:v>
      </x:c>
      <x:c r="E1369" s="40" t="n">
        <x:v>16.5</x:v>
      </x:c>
      <x:c r="F1369" s="40" t="n">
        <x:v>15.007034301757812</x:v>
      </x:c>
      <x:c r="G1369" s="40" t="n">
        <x:v>16.5</x:v>
      </x:c>
      <x:c r="H1369" s="40" t="n">
        <x:f>F1369-E1369</x:f>
        <x:v>-1.4929656982421875</x:v>
      </x:c>
      <x:c r="I1369" s="40" t="n">
        <x:f>ABS(H1369)</x:f>
        <x:v>1.4929656982421875</x:v>
      </x:c>
      <x:c r="J1369" s="40" t="n">
        <x:f>H1369^2</x:f>
        <x:v>2.2289465761277825</x:v>
      </x:c>
      <x:c r="K1369" s="40" t="n">
        <x:f>G1369-E1369</x:f>
        <x:v>0</x:v>
      </x:c>
      <x:c r="L1369" s="40" t="n">
        <x:f>ABS(K1369)</x:f>
        <x:v>0</x:v>
      </x:c>
      <x:c r="M1369" s="41" t="str">
        <x:v>lstm-soil-v1</x:v>
      </x:c>
    </x:row>
    <x:row r="1370">
      <x:c r="A1370" s="38" t="str">
        <x:v>7月30日现场数据</x:v>
      </x:c>
      <x:c r="B1370" s="39" t="str">
        <x:v>2026-08-01T18:00:00</x:v>
      </x:c>
      <x:c r="C1370" s="39" t="str">
        <x:v>2026-08-01T18:30:00</x:v>
      </x:c>
      <x:c r="D1370" s="47" t="n">
        <x:v>30</x:v>
      </x:c>
      <x:c r="E1370" s="40" t="n">
        <x:v>16.4</x:v>
      </x:c>
      <x:c r="F1370" s="40" t="n">
        <x:v>15.319313049316406</x:v>
      </x:c>
      <x:c r="G1370" s="40" t="n">
        <x:v>16.5</x:v>
      </x:c>
      <x:c r="H1370" s="40" t="n">
        <x:f>F1370-E1370</x:f>
        <x:v>-1.0806869506835923</x:v>
      </x:c>
      <x:c r="I1370" s="40" t="n">
        <x:f>ABS(H1370)</x:f>
        <x:v>1.0806869506835923</x:v>
      </x:c>
      <x:c r="J1370" s="40" t="n">
        <x:f>H1370^2</x:f>
        <x:v>1.167884285377801</x:v>
      </x:c>
      <x:c r="K1370" s="40" t="n">
        <x:f>G1370-E1370</x:f>
        <x:v>0.10000000000000142</x:v>
      </x:c>
      <x:c r="L1370" s="40" t="n">
        <x:f>ABS(K1370)</x:f>
        <x:v>0.10000000000000142</x:v>
      </x:c>
      <x:c r="M1370" s="41" t="str">
        <x:v>lstm-soil-v1</x:v>
      </x:c>
    </x:row>
    <x:row r="1371">
      <x:c r="A1371" s="38" t="str">
        <x:v>7月30日现场数据</x:v>
      </x:c>
      <x:c r="B1371" s="39" t="str">
        <x:v>2026-08-01T18:00:00</x:v>
      </x:c>
      <x:c r="C1371" s="39" t="str">
        <x:v>2026-08-01T19:00:00</x:v>
      </x:c>
      <x:c r="D1371" s="47" t="n">
        <x:v>60</x:v>
      </x:c>
      <x:c r="E1371" s="40" t="n">
        <x:v>16.4</x:v>
      </x:c>
      <x:c r="F1371" s="40" t="n">
        <x:v>17.08002471923828</x:v>
      </x:c>
      <x:c r="G1371" s="40" t="n">
        <x:v>16.5</x:v>
      </x:c>
      <x:c r="H1371" s="40" t="n">
        <x:f>F1371-E1371</x:f>
        <x:v>0.6800247192382827</x:v>
      </x:c>
      <x:c r="I1371" s="40" t="n">
        <x:f>ABS(H1371)</x:f>
        <x:v>0.6800247192382827</x:v>
      </x:c>
      <x:c r="J1371" s="40" t="n">
        <x:f>H1371^2</x:f>
        <x:v>0.4624336187751052</x:v>
      </x:c>
      <x:c r="K1371" s="40" t="n">
        <x:f>G1371-E1371</x:f>
        <x:v>0.10000000000000142</x:v>
      </x:c>
      <x:c r="L1371" s="40" t="n">
        <x:f>ABS(K1371)</x:f>
        <x:v>0.10000000000000142</x:v>
      </x:c>
      <x:c r="M1371" s="41" t="str">
        <x:v>lstm-soil-v1</x:v>
      </x:c>
    </x:row>
    <x:row r="1372">
      <x:c r="A1372" s="38" t="str">
        <x:v>7月30日现场数据</x:v>
      </x:c>
      <x:c r="B1372" s="39" t="str">
        <x:v>2026-08-01T18:05:00</x:v>
      </x:c>
      <x:c r="C1372" s="39" t="str">
        <x:v>2026-08-01T18:10:00</x:v>
      </x:c>
      <x:c r="D1372" s="47" t="n">
        <x:v>5</x:v>
      </x:c>
      <x:c r="E1372" s="40" t="n">
        <x:v>16.5</x:v>
      </x:c>
      <x:c r="F1372" s="40" t="n">
        <x:v>14.91965103149414</x:v>
      </x:c>
      <x:c r="G1372" s="40" t="n">
        <x:v>16.5</x:v>
      </x:c>
      <x:c r="H1372" s="40" t="n">
        <x:f>F1372-E1372</x:f>
        <x:v>-1.5803489685058594</x:v>
      </x:c>
      <x:c r="I1372" s="40" t="n">
        <x:f>ABS(H1372)</x:f>
        <x:v>1.5803489685058594</x:v>
      </x:c>
      <x:c r="J1372" s="40" t="n">
        <x:f>H1372^2</x:f>
        <x:v>2.4975028622575337</x:v>
      </x:c>
      <x:c r="K1372" s="40" t="n">
        <x:f>G1372-E1372</x:f>
        <x:v>0</x:v>
      </x:c>
      <x:c r="L1372" s="40" t="n">
        <x:f>ABS(K1372)</x:f>
        <x:v>0</x:v>
      </x:c>
      <x:c r="M1372" s="41" t="str">
        <x:v>lstm-soil-v1</x:v>
      </x:c>
    </x:row>
    <x:row r="1373">
      <x:c r="A1373" s="38" t="str">
        <x:v>7月30日现场数据</x:v>
      </x:c>
      <x:c r="B1373" s="39" t="str">
        <x:v>2026-08-01T18:05:00</x:v>
      </x:c>
      <x:c r="C1373" s="39" t="str">
        <x:v>2026-08-01T18:20:00</x:v>
      </x:c>
      <x:c r="D1373" s="47" t="n">
        <x:v>15</x:v>
      </x:c>
      <x:c r="E1373" s="40" t="n">
        <x:v>16.5</x:v>
      </x:c>
      <x:c r="F1373" s="40" t="n">
        <x:v>15.005195617675781</x:v>
      </x:c>
      <x:c r="G1373" s="40" t="n">
        <x:v>16.5</x:v>
      </x:c>
      <x:c r="H1373" s="40" t="n">
        <x:f>F1373-E1373</x:f>
        <x:v>-1.4948043823242188</x:v>
      </x:c>
      <x:c r="I1373" s="40" t="n">
        <x:f>ABS(H1373)</x:f>
        <x:v>1.4948043823242188</x:v>
      </x:c>
      <x:c r="J1373" s="40" t="n">
        <x:f>H1373^2</x:f>
        <x:v>2.234440141415689</x:v>
      </x:c>
      <x:c r="K1373" s="40" t="n">
        <x:f>G1373-E1373</x:f>
        <x:v>0</x:v>
      </x:c>
      <x:c r="L1373" s="40" t="n">
        <x:f>ABS(K1373)</x:f>
        <x:v>0</x:v>
      </x:c>
      <x:c r="M1373" s="41" t="str">
        <x:v>lstm-soil-v1</x:v>
      </x:c>
    </x:row>
    <x:row r="1374">
      <x:c r="A1374" s="38" t="str">
        <x:v>7月30日现场数据</x:v>
      </x:c>
      <x:c r="B1374" s="39" t="str">
        <x:v>2026-08-01T18:05:00</x:v>
      </x:c>
      <x:c r="C1374" s="39" t="str">
        <x:v>2026-08-01T18:35:00</x:v>
      </x:c>
      <x:c r="D1374" s="47" t="n">
        <x:v>30</x:v>
      </x:c>
      <x:c r="E1374" s="40" t="n">
        <x:v>16.4</x:v>
      </x:c>
      <x:c r="F1374" s="40" t="n">
        <x:v>15.319766998291016</x:v>
      </x:c>
      <x:c r="G1374" s="40" t="n">
        <x:v>16.5</x:v>
      </x:c>
      <x:c r="H1374" s="40" t="n">
        <x:f>F1374-E1374</x:f>
        <x:v>-1.080233001708983</x:v>
      </x:c>
      <x:c r="I1374" s="40" t="n">
        <x:f>ABS(H1374)</x:f>
        <x:v>1.080233001708983</x:v>
      </x:c>
      <x:c r="J1374" s="40" t="n">
        <x:f>H1374^2</x:f>
        <x:v>1.1669033379811995</x:v>
      </x:c>
      <x:c r="K1374" s="40" t="n">
        <x:f>G1374-E1374</x:f>
        <x:v>0.10000000000000142</x:v>
      </x:c>
      <x:c r="L1374" s="40" t="n">
        <x:f>ABS(K1374)</x:f>
        <x:v>0.10000000000000142</x:v>
      </x:c>
      <x:c r="M1374" s="41" t="str">
        <x:v>lstm-soil-v1</x:v>
      </x:c>
    </x:row>
    <x:row r="1375">
      <x:c r="A1375" s="38" t="str">
        <x:v>7月30日现场数据</x:v>
      </x:c>
      <x:c r="B1375" s="39" t="str">
        <x:v>2026-08-01T18:05:00</x:v>
      </x:c>
      <x:c r="C1375" s="39" t="str">
        <x:v>2026-08-01T19:05:00</x:v>
      </x:c>
      <x:c r="D1375" s="47" t="n">
        <x:v>60</x:v>
      </x:c>
      <x:c r="E1375" s="40" t="n">
        <x:v>16.4</x:v>
      </x:c>
      <x:c r="F1375" s="40" t="n">
        <x:v>17.077800750732422</x:v>
      </x:c>
      <x:c r="G1375" s="40" t="n">
        <x:v>16.5</x:v>
      </x:c>
      <x:c r="H1375" s="40" t="n">
        <x:f>F1375-E1375</x:f>
        <x:v>0.6778007507324233</x:v>
      </x:c>
      <x:c r="I1375" s="40" t="n">
        <x:f>ABS(H1375)</x:f>
        <x:v>0.6778007507324233</x:v>
      </x:c>
      <x:c r="J1375" s="40" t="n">
        <x:f>H1375^2</x:f>
        <x:v>0.4594138576934366</x:v>
      </x:c>
      <x:c r="K1375" s="40" t="n">
        <x:f>G1375-E1375</x:f>
        <x:v>0.10000000000000142</x:v>
      </x:c>
      <x:c r="L1375" s="40" t="n">
        <x:f>ABS(K1375)</x:f>
        <x:v>0.10000000000000142</x:v>
      </x:c>
      <x:c r="M1375" s="41" t="str">
        <x:v>lstm-soil-v1</x:v>
      </x:c>
    </x:row>
    <x:row r="1376">
      <x:c r="A1376" s="38" t="str">
        <x:v>7月30日现场数据</x:v>
      </x:c>
      <x:c r="B1376" s="39" t="str">
        <x:v>2026-08-01T18:10:00</x:v>
      </x:c>
      <x:c r="C1376" s="39" t="str">
        <x:v>2026-08-01T18:15:00</x:v>
      </x:c>
      <x:c r="D1376" s="47" t="n">
        <x:v>5</x:v>
      </x:c>
      <x:c r="E1376" s="40" t="n">
        <x:v>16.5</x:v>
      </x:c>
      <x:c r="F1376" s="40" t="n">
        <x:v>14.919231414794922</x:v>
      </x:c>
      <x:c r="G1376" s="40" t="n">
        <x:v>16.5</x:v>
      </x:c>
      <x:c r="H1376" s="40" t="n">
        <x:f>F1376-E1376</x:f>
        <x:v>-1.5807685852050781</x:v>
      </x:c>
      <x:c r="I1376" s="40" t="n">
        <x:f>ABS(H1376)</x:f>
        <x:v>1.5807685852050781</x:v>
      </x:c>
      <x:c r="J1376" s="40" t="n">
        <x:f>H1376^2</x:f>
        <x:v>2.4988293199712643</x:v>
      </x:c>
      <x:c r="K1376" s="40" t="n">
        <x:f>G1376-E1376</x:f>
        <x:v>0</x:v>
      </x:c>
      <x:c r="L1376" s="40" t="n">
        <x:f>ABS(K1376)</x:f>
        <x:v>0</x:v>
      </x:c>
      <x:c r="M1376" s="41" t="str">
        <x:v>lstm-soil-v1</x:v>
      </x:c>
    </x:row>
    <x:row r="1377">
      <x:c r="A1377" s="38" t="str">
        <x:v>7月30日现场数据</x:v>
      </x:c>
      <x:c r="B1377" s="39" t="str">
        <x:v>2026-08-01T18:10:00</x:v>
      </x:c>
      <x:c r="C1377" s="39" t="str">
        <x:v>2026-08-01T18:25:00</x:v>
      </x:c>
      <x:c r="D1377" s="47" t="n">
        <x:v>15</x:v>
      </x:c>
      <x:c r="E1377" s="40" t="n">
        <x:v>16.4</x:v>
      </x:c>
      <x:c r="F1377" s="40" t="n">
        <x:v>15.00393295288086</x:v>
      </x:c>
      <x:c r="G1377" s="40" t="n">
        <x:v>16.5</x:v>
      </x:c>
      <x:c r="H1377" s="40" t="n">
        <x:f>F1377-E1377</x:f>
        <x:v>-1.3960670471191392</x:v>
      </x:c>
      <x:c r="I1377" s="40" t="n">
        <x:f>ABS(H1377)</x:f>
        <x:v>1.3960670471191392</x:v>
      </x:c>
      <x:c r="J1377" s="40" t="n">
        <x:f>H1377^2</x:f>
        <x:v>1.9490032000519528</x:v>
      </x:c>
      <x:c r="K1377" s="40" t="n">
        <x:f>G1377-E1377</x:f>
        <x:v>0.10000000000000142</x:v>
      </x:c>
      <x:c r="L1377" s="40" t="n">
        <x:f>ABS(K1377)</x:f>
        <x:v>0.10000000000000142</x:v>
      </x:c>
      <x:c r="M1377" s="41" t="str">
        <x:v>lstm-soil-v1</x:v>
      </x:c>
    </x:row>
    <x:row r="1378">
      <x:c r="A1378" s="38" t="str">
        <x:v>7月30日现场数据</x:v>
      </x:c>
      <x:c r="B1378" s="39" t="str">
        <x:v>2026-08-01T18:10:00</x:v>
      </x:c>
      <x:c r="C1378" s="39" t="str">
        <x:v>2026-08-01T18:40:00</x:v>
      </x:c>
      <x:c r="D1378" s="47" t="n">
        <x:v>30</x:v>
      </x:c>
      <x:c r="E1378" s="40" t="n">
        <x:v>16.4</x:v>
      </x:c>
      <x:c r="F1378" s="40" t="n">
        <x:v>15.320987701416016</x:v>
      </x:c>
      <x:c r="G1378" s="40" t="n">
        <x:v>16.5</x:v>
      </x:c>
      <x:c r="H1378" s="40" t="n">
        <x:f>F1378-E1378</x:f>
        <x:v>-1.079012298583983</x:v>
      </x:c>
      <x:c r="I1378" s="40" t="n">
        <x:f>ABS(H1378)</x:f>
        <x:v>1.079012298583983</x:v>
      </x:c>
      <x:c r="J1378" s="40" t="n">
        <x:f>H1378^2</x:f>
        <x:v>1.1642675404954903</x:v>
      </x:c>
      <x:c r="K1378" s="40" t="n">
        <x:f>G1378-E1378</x:f>
        <x:v>0.10000000000000142</x:v>
      </x:c>
      <x:c r="L1378" s="40" t="n">
        <x:f>ABS(K1378)</x:f>
        <x:v>0.10000000000000142</x:v>
      </x:c>
      <x:c r="M1378" s="41" t="str">
        <x:v>lstm-soil-v1</x:v>
      </x:c>
    </x:row>
    <x:row r="1379">
      <x:c r="A1379" s="38" t="str">
        <x:v>7月30日现场数据</x:v>
      </x:c>
      <x:c r="B1379" s="39" t="str">
        <x:v>2026-08-01T18:10:00</x:v>
      </x:c>
      <x:c r="C1379" s="39" t="str">
        <x:v>2026-08-01T19:10:00</x:v>
      </x:c>
      <x:c r="D1379" s="47" t="n">
        <x:v>60</x:v>
      </x:c>
      <x:c r="E1379" s="40" t="n">
        <x:v>16.3</x:v>
      </x:c>
      <x:c r="F1379" s="40" t="n">
        <x:v>17.07709503173828</x:v>
      </x:c>
      <x:c r="G1379" s="40" t="n">
        <x:v>16.5</x:v>
      </x:c>
      <x:c r="H1379" s="40" t="n">
        <x:f>F1379-E1379</x:f>
        <x:v>0.7770950317382805</x:v>
      </x:c>
      <x:c r="I1379" s="40" t="n">
        <x:f>ABS(H1379)</x:f>
        <x:v>0.7770950317382805</x:v>
      </x:c>
      <x:c r="J1379" s="40" t="n">
        <x:f>H1379^2</x:f>
        <x:v>0.6038766883523192</x:v>
      </x:c>
      <x:c r="K1379" s="40" t="n">
        <x:f>G1379-E1379</x:f>
        <x:v>0.1999999999999993</x:v>
      </x:c>
      <x:c r="L1379" s="40" t="n">
        <x:f>ABS(K1379)</x:f>
        <x:v>0.1999999999999993</x:v>
      </x:c>
      <x:c r="M1379" s="41" t="str">
        <x:v>lstm-soil-v1</x:v>
      </x:c>
    </x:row>
    <x:row r="1380">
      <x:c r="A1380" s="38" t="str">
        <x:v>7月30日现场数据</x:v>
      </x:c>
      <x:c r="B1380" s="39" t="str">
        <x:v>2026-08-01T18:15:00</x:v>
      </x:c>
      <x:c r="C1380" s="39" t="str">
        <x:v>2026-08-01T18:20:00</x:v>
      </x:c>
      <x:c r="D1380" s="47" t="n">
        <x:v>5</x:v>
      </x:c>
      <x:c r="E1380" s="40" t="n">
        <x:v>16.5</x:v>
      </x:c>
      <x:c r="F1380" s="40" t="n">
        <x:v>14.91873550415039</x:v>
      </x:c>
      <x:c r="G1380" s="40" t="n">
        <x:v>16.5</x:v>
      </x:c>
      <x:c r="H1380" s="40" t="n">
        <x:f>F1380-E1380</x:f>
        <x:v>-1.5812644958496094</x:v>
      </x:c>
      <x:c r="I1380" s="40" t="n">
        <x:f>ABS(H1380)</x:f>
        <x:v>1.5812644958496094</x:v>
      </x:c>
      <x:c r="J1380" s="40" t="n">
        <x:f>H1380^2</x:f>
        <x:v>2.5003974058345193</x:v>
      </x:c>
      <x:c r="K1380" s="40" t="n">
        <x:f>G1380-E1380</x:f>
        <x:v>0</x:v>
      </x:c>
      <x:c r="L1380" s="40" t="n">
        <x:f>ABS(K1380)</x:f>
        <x:v>0</x:v>
      </x:c>
      <x:c r="M1380" s="41" t="str">
        <x:v>lstm-soil-v1</x:v>
      </x:c>
    </x:row>
    <x:row r="1381">
      <x:c r="A1381" s="38" t="str">
        <x:v>7月30日现场数据</x:v>
      </x:c>
      <x:c r="B1381" s="39" t="str">
        <x:v>2026-08-01T18:15:00</x:v>
      </x:c>
      <x:c r="C1381" s="39" t="str">
        <x:v>2026-08-01T18:30:00</x:v>
      </x:c>
      <x:c r="D1381" s="47" t="n">
        <x:v>15</x:v>
      </x:c>
      <x:c r="E1381" s="40" t="n">
        <x:v>16.4</x:v>
      </x:c>
      <x:c r="F1381" s="40" t="n">
        <x:v>15.002758026123047</x:v>
      </x:c>
      <x:c r="G1381" s="40" t="n">
        <x:v>16.5</x:v>
      </x:c>
      <x:c r="H1381" s="40" t="n">
        <x:f>F1381-E1381</x:f>
        <x:v>-1.3972419738769517</x:v>
      </x:c>
      <x:c r="I1381" s="40" t="n">
        <x:f>ABS(H1381)</x:f>
        <x:v>1.3972419738769517</x:v>
      </x:c>
      <x:c r="J1381" s="40" t="n">
        <x:f>H1381^2</x:f>
        <x:v>1.9522851335635603</x:v>
      </x:c>
      <x:c r="K1381" s="40" t="n">
        <x:f>G1381-E1381</x:f>
        <x:v>0.10000000000000142</x:v>
      </x:c>
      <x:c r="L1381" s="40" t="n">
        <x:f>ABS(K1381)</x:f>
        <x:v>0.10000000000000142</x:v>
      </x:c>
      <x:c r="M1381" s="41" t="str">
        <x:v>lstm-soil-v1</x:v>
      </x:c>
    </x:row>
    <x:row r="1382">
      <x:c r="A1382" s="38" t="str">
        <x:v>7月30日现场数据</x:v>
      </x:c>
      <x:c r="B1382" s="39" t="str">
        <x:v>2026-08-01T18:15:00</x:v>
      </x:c>
      <x:c r="C1382" s="39" t="str">
        <x:v>2026-08-01T18:45:00</x:v>
      </x:c>
      <x:c r="D1382" s="47" t="n">
        <x:v>30</x:v>
      </x:c>
      <x:c r="E1382" s="40" t="n">
        <x:v>16.4</x:v>
      </x:c>
      <x:c r="F1382" s="40" t="n">
        <x:v>15.321788787841797</x:v>
      </x:c>
      <x:c r="G1382" s="40" t="n">
        <x:v>16.5</x:v>
      </x:c>
      <x:c r="H1382" s="40" t="n">
        <x:f>F1382-E1382</x:f>
        <x:v>-1.0782112121582017</x:v>
      </x:c>
      <x:c r="I1382" s="40" t="n">
        <x:f>ABS(H1382)</x:f>
        <x:v>1.0782112121582017</x:v>
      </x:c>
      <x:c r="J1382" s="40" t="n">
        <x:f>H1382^2</x:f>
        <x:v>1.1625394180236586</x:v>
      </x:c>
      <x:c r="K1382" s="40" t="n">
        <x:f>G1382-E1382</x:f>
        <x:v>0.10000000000000142</x:v>
      </x:c>
      <x:c r="L1382" s="40" t="n">
        <x:f>ABS(K1382)</x:f>
        <x:v>0.10000000000000142</x:v>
      </x:c>
      <x:c r="M1382" s="41" t="str">
        <x:v>lstm-soil-v1</x:v>
      </x:c>
    </x:row>
    <x:row r="1383">
      <x:c r="A1383" s="38" t="str">
        <x:v>7月30日现场数据</x:v>
      </x:c>
      <x:c r="B1383" s="39" t="str">
        <x:v>2026-08-01T18:15:00</x:v>
      </x:c>
      <x:c r="C1383" s="39" t="str">
        <x:v>2026-08-01T19:15:00</x:v>
      </x:c>
      <x:c r="D1383" s="47" t="n">
        <x:v>60</x:v>
      </x:c>
      <x:c r="E1383" s="40" t="n">
        <x:v>16.3</x:v>
      </x:c>
      <x:c r="F1383" s="40" t="n">
        <x:v>17.076847076416016</x:v>
      </x:c>
      <x:c r="G1383" s="40" t="n">
        <x:v>16.5</x:v>
      </x:c>
      <x:c r="H1383" s="40" t="n">
        <x:f>F1383-E1383</x:f>
        <x:v>0.7768470764160149</x:v>
      </x:c>
      <x:c r="I1383" s="40" t="n">
        <x:f>ABS(H1383)</x:f>
        <x:v>0.7768470764160149</x:v>
      </x:c>
      <x:c r="J1383" s="40" t="n">
        <x:f>H1383^2</x:f>
        <x:v>0.6034913801361097</x:v>
      </x:c>
      <x:c r="K1383" s="40" t="n">
        <x:f>G1383-E1383</x:f>
        <x:v>0.1999999999999993</x:v>
      </x:c>
      <x:c r="L1383" s="40" t="n">
        <x:f>ABS(K1383)</x:f>
        <x:v>0.1999999999999993</x:v>
      </x:c>
      <x:c r="M1383" s="41" t="str">
        <x:v>lstm-soil-v1</x:v>
      </x:c>
    </x:row>
    <x:row r="1384">
      <x:c r="A1384" s="38" t="str">
        <x:v>7月30日现场数据</x:v>
      </x:c>
      <x:c r="B1384" s="39" t="str">
        <x:v>2026-08-01T18:20:00</x:v>
      </x:c>
      <x:c r="C1384" s="39" t="str">
        <x:v>2026-08-01T18:25:00</x:v>
      </x:c>
      <x:c r="D1384" s="47" t="n">
        <x:v>5</x:v>
      </x:c>
      <x:c r="E1384" s="40" t="n">
        <x:v>16.4</x:v>
      </x:c>
      <x:c r="F1384" s="40" t="n">
        <x:v>14.918659210205078</x:v>
      </x:c>
      <x:c r="G1384" s="40" t="n">
        <x:v>16.5</x:v>
      </x:c>
      <x:c r="H1384" s="40" t="n">
        <x:f>F1384-E1384</x:f>
        <x:v>-1.4813407897949205</x:v>
      </x:c>
      <x:c r="I1384" s="40" t="n">
        <x:f>ABS(H1384)</x:f>
        <x:v>1.4813407897949205</x:v>
      </x:c>
      <x:c r="J1384" s="40" t="n">
        <x:f>H1384^2</x:f>
        <x:v>2.1943705355102385</x:v>
      </x:c>
      <x:c r="K1384" s="40" t="n">
        <x:f>G1384-E1384</x:f>
        <x:v>0.10000000000000142</x:v>
      </x:c>
      <x:c r="L1384" s="40" t="n">
        <x:f>ABS(K1384)</x:f>
        <x:v>0.10000000000000142</x:v>
      </x:c>
      <x:c r="M1384" s="41" t="str">
        <x:v>lstm-soil-v1</x:v>
      </x:c>
    </x:row>
    <x:row r="1385">
      <x:c r="A1385" s="38" t="str">
        <x:v>7月30日现场数据</x:v>
      </x:c>
      <x:c r="B1385" s="39" t="str">
        <x:v>2026-08-01T18:20:00</x:v>
      </x:c>
      <x:c r="C1385" s="39" t="str">
        <x:v>2026-08-01T18:35:00</x:v>
      </x:c>
      <x:c r="D1385" s="47" t="n">
        <x:v>15</x:v>
      </x:c>
      <x:c r="E1385" s="40" t="n">
        <x:v>16.4</x:v>
      </x:c>
      <x:c r="F1385" s="40" t="n">
        <x:v>15.001968383789062</x:v>
      </x:c>
      <x:c r="G1385" s="40" t="n">
        <x:v>16.5</x:v>
      </x:c>
      <x:c r="H1385" s="40" t="n">
        <x:f>F1385-E1385</x:f>
        <x:v>-1.398031616210936</x:v>
      </x:c>
      <x:c r="I1385" s="40" t="n">
        <x:f>ABS(H1385)</x:f>
        <x:v>1.398031616210936</x:v>
      </x:c>
      <x:c r="J1385" s="40" t="n">
        <x:f>H1385^2</x:f>
        <x:v>1.954492399925362</x:v>
      </x:c>
      <x:c r="K1385" s="40" t="n">
        <x:f>G1385-E1385</x:f>
        <x:v>0.10000000000000142</x:v>
      </x:c>
      <x:c r="L1385" s="40" t="n">
        <x:f>ABS(K1385)</x:f>
        <x:v>0.10000000000000142</x:v>
      </x:c>
      <x:c r="M1385" s="41" t="str">
        <x:v>lstm-soil-v1</x:v>
      </x:c>
    </x:row>
    <x:row r="1386">
      <x:c r="A1386" s="38" t="str">
        <x:v>7月30日现场数据</x:v>
      </x:c>
      <x:c r="B1386" s="39" t="str">
        <x:v>2026-08-01T18:20:00</x:v>
      </x:c>
      <x:c r="C1386" s="39" t="str">
        <x:v>2026-08-01T18:50:00</x:v>
      </x:c>
      <x:c r="D1386" s="47" t="n">
        <x:v>30</x:v>
      </x:c>
      <x:c r="E1386" s="40" t="n">
        <x:v>16.4</x:v>
      </x:c>
      <x:c r="F1386" s="40" t="n">
        <x:v>15.322978973388672</x:v>
      </x:c>
      <x:c r="G1386" s="40" t="n">
        <x:v>16.5</x:v>
      </x:c>
      <x:c r="H1386" s="40" t="n">
        <x:f>F1386-E1386</x:f>
        <x:v>-1.0770210266113267</x:v>
      </x:c>
      <x:c r="I1386" s="40" t="n">
        <x:f>ABS(H1386)</x:f>
        <x:v>1.0770210266113267</x:v>
      </x:c>
      <x:c r="J1386" s="40" t="n">
        <x:f>H1386^2</x:f>
        <x:v>1.159974291762916</x:v>
      </x:c>
      <x:c r="K1386" s="40" t="n">
        <x:f>G1386-E1386</x:f>
        <x:v>0.10000000000000142</x:v>
      </x:c>
      <x:c r="L1386" s="40" t="n">
        <x:f>ABS(K1386)</x:f>
        <x:v>0.10000000000000142</x:v>
      </x:c>
      <x:c r="M1386" s="41" t="str">
        <x:v>lstm-soil-v1</x:v>
      </x:c>
    </x:row>
    <x:row r="1387">
      <x:c r="A1387" s="38" t="str">
        <x:v>7月30日现场数据</x:v>
      </x:c>
      <x:c r="B1387" s="39" t="str">
        <x:v>2026-08-01T18:20:00</x:v>
      </x:c>
      <x:c r="C1387" s="39" t="str">
        <x:v>2026-08-01T19:20:00</x:v>
      </x:c>
      <x:c r="D1387" s="47" t="n">
        <x:v>60</x:v>
      </x:c>
      <x:c r="E1387" s="40" t="n">
        <x:v>16.3</x:v>
      </x:c>
      <x:c r="F1387" s="40" t="n">
        <x:v>17.077484130859375</x:v>
      </x:c>
      <x:c r="G1387" s="40" t="n">
        <x:v>16.5</x:v>
      </x:c>
      <x:c r="H1387" s="40" t="n">
        <x:f>F1387-E1387</x:f>
        <x:v>0.7774841308593743</x:v>
      </x:c>
      <x:c r="I1387" s="40" t="n">
        <x:f>ABS(H1387)</x:f>
        <x:v>0.7774841308593743</x:v>
      </x:c>
      <x:c r="J1387" s="40" t="n">
        <x:f>H1387^2</x:f>
        <x:v>0.6044815737381567</x:v>
      </x:c>
      <x:c r="K1387" s="40" t="n">
        <x:f>G1387-E1387</x:f>
        <x:v>0.1999999999999993</x:v>
      </x:c>
      <x:c r="L1387" s="40" t="n">
        <x:f>ABS(K1387)</x:f>
        <x:v>0.1999999999999993</x:v>
      </x:c>
      <x:c r="M1387" s="41" t="str">
        <x:v>lstm-soil-v1</x:v>
      </x:c>
    </x:row>
    <x:row r="1388">
      <x:c r="A1388" s="38" t="str">
        <x:v>7月30日现场数据</x:v>
      </x:c>
      <x:c r="B1388" s="39" t="str">
        <x:v>2026-08-01T18:25:00</x:v>
      </x:c>
      <x:c r="C1388" s="39" t="str">
        <x:v>2026-08-01T18:30:00</x:v>
      </x:c>
      <x:c r="D1388" s="47" t="n">
        <x:v>5</x:v>
      </x:c>
      <x:c r="E1388" s="40" t="n">
        <x:v>16.4</x:v>
      </x:c>
      <x:c r="F1388" s="40" t="n">
        <x:v>14.808273315429688</x:v>
      </x:c>
      <x:c r="G1388" s="40" t="n">
        <x:v>16.4</x:v>
      </x:c>
      <x:c r="H1388" s="40" t="n">
        <x:f>F1388-E1388</x:f>
        <x:v>-1.591726684570311</x:v>
      </x:c>
      <x:c r="I1388" s="40" t="n">
        <x:f>ABS(H1388)</x:f>
        <x:v>1.591726684570311</x:v>
      </x:c>
      <x:c r="J1388" s="40" t="n">
        <x:f>H1388^2</x:f>
        <x:v>2.5335938383731946</x:v>
      </x:c>
      <x:c r="K1388" s="40" t="n">
        <x:f>G1388-E1388</x:f>
        <x:v>0</x:v>
      </x:c>
      <x:c r="L1388" s="40" t="n">
        <x:f>ABS(K1388)</x:f>
        <x:v>0</x:v>
      </x:c>
      <x:c r="M1388" s="41" t="str">
        <x:v>lstm-soil-v1</x:v>
      </x:c>
    </x:row>
    <x:row r="1389">
      <x:c r="A1389" s="38" t="str">
        <x:v>7月30日现场数据</x:v>
      </x:c>
      <x:c r="B1389" s="39" t="str">
        <x:v>2026-08-01T18:25:00</x:v>
      </x:c>
      <x:c r="C1389" s="39" t="str">
        <x:v>2026-08-01T18:40:00</x:v>
      </x:c>
      <x:c r="D1389" s="47" t="n">
        <x:v>15</x:v>
      </x:c>
      <x:c r="E1389" s="40" t="n">
        <x:v>16.4</x:v>
      </x:c>
      <x:c r="F1389" s="40" t="n">
        <x:v>14.891197204589844</x:v>
      </x:c>
      <x:c r="G1389" s="40" t="n">
        <x:v>16.4</x:v>
      </x:c>
      <x:c r="H1389" s="40" t="n">
        <x:f>F1389-E1389</x:f>
        <x:v>-1.5088027954101548</x:v>
      </x:c>
      <x:c r="I1389" s="40" t="n">
        <x:f>ABS(H1389)</x:f>
        <x:v>1.5088027954101548</x:v>
      </x:c>
      <x:c r="J1389" s="40" t="n">
        <x:f>H1389^2</x:f>
        <x:v>2.2764858754374977</x:v>
      </x:c>
      <x:c r="K1389" s="40" t="n">
        <x:f>G1389-E1389</x:f>
        <x:v>0</x:v>
      </x:c>
      <x:c r="L1389" s="40" t="n">
        <x:f>ABS(K1389)</x:f>
        <x:v>0</x:v>
      </x:c>
      <x:c r="M1389" s="41" t="str">
        <x:v>lstm-soil-v1</x:v>
      </x:c>
    </x:row>
    <x:row r="1390">
      <x:c r="A1390" s="38" t="str">
        <x:v>7月30日现场数据</x:v>
      </x:c>
      <x:c r="B1390" s="39" t="str">
        <x:v>2026-08-01T18:25:00</x:v>
      </x:c>
      <x:c r="C1390" s="39" t="str">
        <x:v>2026-08-01T18:55:00</x:v>
      </x:c>
      <x:c r="D1390" s="47" t="n">
        <x:v>30</x:v>
      </x:c>
      <x:c r="E1390" s="40" t="n">
        <x:v>16.4</x:v>
      </x:c>
      <x:c r="F1390" s="40" t="n">
        <x:v>15.213836669921875</x:v>
      </x:c>
      <x:c r="G1390" s="40" t="n">
        <x:v>16.4</x:v>
      </x:c>
      <x:c r="H1390" s="40" t="n">
        <x:f>F1390-E1390</x:f>
        <x:v>-1.1861633300781236</x:v>
      </x:c>
      <x:c r="I1390" s="40" t="n">
        <x:f>ABS(H1390)</x:f>
        <x:v>1.1861633300781236</x:v>
      </x:c>
      <x:c r="J1390" s="40" t="n">
        <x:f>H1390^2</x:f>
        <x:v>1.4069834456220236</x:v>
      </x:c>
      <x:c r="K1390" s="40" t="n">
        <x:f>G1390-E1390</x:f>
        <x:v>0</x:v>
      </x:c>
      <x:c r="L1390" s="40" t="n">
        <x:f>ABS(K1390)</x:f>
        <x:v>0</x:v>
      </x:c>
      <x:c r="M1390" s="41" t="str">
        <x:v>lstm-soil-v1</x:v>
      </x:c>
    </x:row>
    <x:row r="1391">
      <x:c r="A1391" s="38" t="str">
        <x:v>7月30日现场数据</x:v>
      </x:c>
      <x:c r="B1391" s="39" t="str">
        <x:v>2026-08-01T18:25:00</x:v>
      </x:c>
      <x:c r="C1391" s="39" t="str">
        <x:v>2026-08-01T19:25:00</x:v>
      </x:c>
      <x:c r="D1391" s="47" t="n">
        <x:v>60</x:v>
      </x:c>
      <x:c r="E1391" s="40" t="n">
        <x:v>16.3</x:v>
      </x:c>
      <x:c r="F1391" s="40" t="n">
        <x:v>16.967906951904297</x:v>
      </x:c>
      <x:c r="G1391" s="40" t="n">
        <x:v>16.4</x:v>
      </x:c>
      <x:c r="H1391" s="40" t="n">
        <x:f>F1391-E1391</x:f>
        <x:v>0.6679069519042962</x:v>
      </x:c>
      <x:c r="I1391" s="40" t="n">
        <x:f>ABS(H1391)</x:f>
        <x:v>0.6679069519042962</x:v>
      </x:c>
      <x:c r="J1391" s="40" t="n">
        <x:f>H1391^2</x:f>
        <x:v>0.4460996964020878</x:v>
      </x:c>
      <x:c r="K1391" s="40" t="n">
        <x:f>G1391-E1391</x:f>
        <x:v>0.09999999999999787</x:v>
      </x:c>
      <x:c r="L1391" s="40" t="n">
        <x:f>ABS(K1391)</x:f>
        <x:v>0.09999999999999787</x:v>
      </x:c>
      <x:c r="M1391" s="41" t="str">
        <x:v>lstm-soil-v1</x:v>
      </x:c>
    </x:row>
    <x:row r="1392">
      <x:c r="A1392" s="38" t="str">
        <x:v>7月30日现场数据</x:v>
      </x:c>
      <x:c r="B1392" s="39" t="str">
        <x:v>2026-08-01T18:30:00</x:v>
      </x:c>
      <x:c r="C1392" s="39" t="str">
        <x:v>2026-08-01T18:35:00</x:v>
      </x:c>
      <x:c r="D1392" s="47" t="n">
        <x:v>5</x:v>
      </x:c>
      <x:c r="E1392" s="40" t="n">
        <x:v>16.4</x:v>
      </x:c>
      <x:c r="F1392" s="40" t="n">
        <x:v>14.80810546875</x:v>
      </x:c>
      <x:c r="G1392" s="40" t="n">
        <x:v>16.4</x:v>
      </x:c>
      <x:c r="H1392" s="40" t="n">
        <x:f>F1392-E1392</x:f>
        <x:v>-1.5918945312499986</x:v>
      </x:c>
      <x:c r="I1392" s="40" t="n">
        <x:f>ABS(H1392)</x:f>
        <x:v>1.5918945312499986</x:v>
      </x:c>
      <x:c r="J1392" s="40" t="n">
        <x:f>H1392^2</x:f>
        <x:v>2.5341281986236526</x:v>
      </x:c>
      <x:c r="K1392" s="40" t="n">
        <x:f>G1392-E1392</x:f>
        <x:v>0</x:v>
      </x:c>
      <x:c r="L1392" s="40" t="n">
        <x:f>ABS(K1392)</x:f>
        <x:v>0</x:v>
      </x:c>
      <x:c r="M1392" s="41" t="str">
        <x:v>lstm-soil-v1</x:v>
      </x:c>
    </x:row>
    <x:row r="1393">
      <x:c r="A1393" s="38" t="str">
        <x:v>7月30日现场数据</x:v>
      </x:c>
      <x:c r="B1393" s="39" t="str">
        <x:v>2026-08-01T18:30:00</x:v>
      </x:c>
      <x:c r="C1393" s="39" t="str">
        <x:v>2026-08-01T18:45:00</x:v>
      </x:c>
      <x:c r="D1393" s="47" t="n">
        <x:v>15</x:v>
      </x:c>
      <x:c r="E1393" s="40" t="n">
        <x:v>16.4</x:v>
      </x:c>
      <x:c r="F1393" s="40" t="n">
        <x:v>14.890727996826172</x:v>
      </x:c>
      <x:c r="G1393" s="40" t="n">
        <x:v>16.4</x:v>
      </x:c>
      <x:c r="H1393" s="40" t="n">
        <x:f>F1393-E1393</x:f>
        <x:v>-1.5092720031738267</x:v>
      </x:c>
      <x:c r="I1393" s="40" t="n">
        <x:f>ABS(H1393)</x:f>
        <x:v>1.5092720031738267</x:v>
      </x:c>
      <x:c r="J1393" s="40" t="n">
        <x:f>H1393^2</x:f>
        <x:v>2.2779019795643354</x:v>
      </x:c>
      <x:c r="K1393" s="40" t="n">
        <x:f>G1393-E1393</x:f>
        <x:v>0</x:v>
      </x:c>
      <x:c r="L1393" s="40" t="n">
        <x:f>ABS(K1393)</x:f>
        <x:v>0</x:v>
      </x:c>
      <x:c r="M1393" s="41" t="str">
        <x:v>lstm-soil-v1</x:v>
      </x:c>
    </x:row>
    <x:row r="1394">
      <x:c r="A1394" s="38" t="str">
        <x:v>7月30日现场数据</x:v>
      </x:c>
      <x:c r="B1394" s="39" t="str">
        <x:v>2026-08-01T18:30:00</x:v>
      </x:c>
      <x:c r="C1394" s="39" t="str">
        <x:v>2026-08-01T19:00:00</x:v>
      </x:c>
      <x:c r="D1394" s="47" t="n">
        <x:v>30</x:v>
      </x:c>
      <x:c r="E1394" s="40" t="n">
        <x:v>16.4</x:v>
      </x:c>
      <x:c r="F1394" s="40" t="n">
        <x:v>15.214847564697266</x:v>
      </x:c>
      <x:c r="G1394" s="40" t="n">
        <x:v>16.4</x:v>
      </x:c>
      <x:c r="H1394" s="40" t="n">
        <x:f>F1394-E1394</x:f>
        <x:v>-1.185152435302733</x:v>
      </x:c>
      <x:c r="I1394" s="40" t="n">
        <x:f>ABS(H1394)</x:f>
        <x:v>1.185152435302733</x:v>
      </x:c>
      <x:c r="J1394" s="40" t="n">
        <x:f>H1394^2</x:f>
        <x:v>1.4045862949039987</x:v>
      </x:c>
      <x:c r="K1394" s="40" t="n">
        <x:f>G1394-E1394</x:f>
        <x:v>0</x:v>
      </x:c>
      <x:c r="L1394" s="40" t="n">
        <x:f>ABS(K1394)</x:f>
        <x:v>0</x:v>
      </x:c>
      <x:c r="M1394" s="41" t="str">
        <x:v>lstm-soil-v1</x:v>
      </x:c>
    </x:row>
    <x:row r="1395">
      <x:c r="A1395" s="38" t="str">
        <x:v>7月30日现场数据</x:v>
      </x:c>
      <x:c r="B1395" s="39" t="str">
        <x:v>2026-08-01T18:30:00</x:v>
      </x:c>
      <x:c r="C1395" s="39" t="str">
        <x:v>2026-08-01T19:30:00</x:v>
      </x:c>
      <x:c r="D1395" s="47" t="n">
        <x:v>60</x:v>
      </x:c>
      <x:c r="E1395" s="40" t="n">
        <x:v>16.3</x:v>
      </x:c>
      <x:c r="F1395" s="40" t="n">
        <x:v>16.968505859375</x:v>
      </x:c>
      <x:c r="G1395" s="40" t="n">
        <x:v>16.4</x:v>
      </x:c>
      <x:c r="H1395" s="40" t="n">
        <x:f>F1395-E1395</x:f>
        <x:v>0.6685058593749993</x:v>
      </x:c>
      <x:c r="I1395" s="40" t="n">
        <x:f>ABS(H1395)</x:f>
        <x:v>0.6685058593749993</x:v>
      </x:c>
      <x:c r="J1395" s="40" t="n">
        <x:f>H1395^2</x:f>
        <x:v>0.44690008401870635</x:v>
      </x:c>
      <x:c r="K1395" s="40" t="n">
        <x:f>G1395-E1395</x:f>
        <x:v>0.09999999999999787</x:v>
      </x:c>
      <x:c r="L1395" s="40" t="n">
        <x:f>ABS(K1395)</x:f>
        <x:v>0.09999999999999787</x:v>
      </x:c>
      <x:c r="M1395" s="41" t="str">
        <x:v>lstm-soil-v1</x:v>
      </x:c>
    </x:row>
    <x:row r="1396">
      <x:c r="A1396" s="38" t="str">
        <x:v>7月30日现场数据</x:v>
      </x:c>
      <x:c r="B1396" s="39" t="str">
        <x:v>2026-08-01T18:35:00</x:v>
      </x:c>
      <x:c r="C1396" s="39" t="str">
        <x:v>2026-08-01T18:40:00</x:v>
      </x:c>
      <x:c r="D1396" s="47" t="n">
        <x:v>5</x:v>
      </x:c>
      <x:c r="E1396" s="40" t="n">
        <x:v>16.4</x:v>
      </x:c>
      <x:c r="F1396" s="40" t="n">
        <x:v>14.808021545410156</x:v>
      </x:c>
      <x:c r="G1396" s="40" t="n">
        <x:v>16.4</x:v>
      </x:c>
      <x:c r="H1396" s="40" t="n">
        <x:f>F1396-E1396</x:f>
        <x:v>-1.5919784545898423</x:v>
      </x:c>
      <x:c r="I1396" s="40" t="n">
        <x:f>ABS(H1396)</x:f>
        <x:v>1.5919784545898423</x:v>
      </x:c>
      <x:c r="J1396" s="40" t="n">
        <x:f>H1396^2</x:f>
        <x:v>2.5343953998782625</x:v>
      </x:c>
      <x:c r="K1396" s="40" t="n">
        <x:f>G1396-E1396</x:f>
        <x:v>0</x:v>
      </x:c>
      <x:c r="L1396" s="40" t="n">
        <x:f>ABS(K1396)</x:f>
        <x:v>0</x:v>
      </x:c>
      <x:c r="M1396" s="41" t="str">
        <x:v>lstm-soil-v1</x:v>
      </x:c>
    </x:row>
    <x:row r="1397">
      <x:c r="A1397" s="38" t="str">
        <x:v>7月30日现场数据</x:v>
      </x:c>
      <x:c r="B1397" s="39" t="str">
        <x:v>2026-08-01T18:35:00</x:v>
      </x:c>
      <x:c r="C1397" s="39" t="str">
        <x:v>2026-08-01T18:50:00</x:v>
      </x:c>
      <x:c r="D1397" s="47" t="n">
        <x:v>15</x:v>
      </x:c>
      <x:c r="E1397" s="40" t="n">
        <x:v>16.4</x:v>
      </x:c>
      <x:c r="F1397" s="40" t="n">
        <x:v>14.890434265136719</x:v>
      </x:c>
      <x:c r="G1397" s="40" t="n">
        <x:v>16.4</x:v>
      </x:c>
      <x:c r="H1397" s="40" t="n">
        <x:f>F1397-E1397</x:f>
        <x:v>-1.5095657348632798</x:v>
      </x:c>
      <x:c r="I1397" s="40" t="n">
        <x:f>ABS(H1397)</x:f>
        <x:v>1.5095657348632798</x:v>
      </x:c>
      <x:c r="J1397" s="40" t="n">
        <x:f>H1397^2</x:f>
        <x:v>2.2787887078733142</x:v>
      </x:c>
      <x:c r="K1397" s="40" t="n">
        <x:f>G1397-E1397</x:f>
        <x:v>0</x:v>
      </x:c>
      <x:c r="L1397" s="40" t="n">
        <x:f>ABS(K1397)</x:f>
        <x:v>0</x:v>
      </x:c>
      <x:c r="M1397" s="41" t="str">
        <x:v>lstm-soil-v1</x:v>
      </x:c>
    </x:row>
    <x:row r="1398">
      <x:c r="A1398" s="38" t="str">
        <x:v>7月30日现场数据</x:v>
      </x:c>
      <x:c r="B1398" s="39" t="str">
        <x:v>2026-08-01T18:35:00</x:v>
      </x:c>
      <x:c r="C1398" s="39" t="str">
        <x:v>2026-08-01T19:05:00</x:v>
      </x:c>
      <x:c r="D1398" s="47" t="n">
        <x:v>30</x:v>
      </x:c>
      <x:c r="E1398" s="40" t="n">
        <x:v>16.4</x:v>
      </x:c>
      <x:c r="F1398" s="40" t="n">
        <x:v>15.215805053710938</x:v>
      </x:c>
      <x:c r="G1398" s="40" t="n">
        <x:v>16.4</x:v>
      </x:c>
      <x:c r="H1398" s="40" t="n">
        <x:f>F1398-E1398</x:f>
        <x:v>-1.184194946289061</x:v>
      </x:c>
      <x:c r="I1398" s="40" t="n">
        <x:f>ABS(H1398)</x:f>
        <x:v>1.184194946289061</x:v>
      </x:c>
      <x:c r="J1398" s="40" t="n">
        <x:f>H1398^2</x:f>
        <x:v>1.4023176708165523</x:v>
      </x:c>
      <x:c r="K1398" s="40" t="n">
        <x:f>G1398-E1398</x:f>
        <x:v>0</x:v>
      </x:c>
      <x:c r="L1398" s="40" t="n">
        <x:f>ABS(K1398)</x:f>
        <x:v>0</x:v>
      </x:c>
      <x:c r="M1398" s="41" t="str">
        <x:v>lstm-soil-v1</x:v>
      </x:c>
    </x:row>
    <x:row r="1399">
      <x:c r="A1399" s="38" t="str">
        <x:v>7月30日现场数据</x:v>
      </x:c>
      <x:c r="B1399" s="39" t="str">
        <x:v>2026-08-01T18:35:00</x:v>
      </x:c>
      <x:c r="C1399" s="39" t="str">
        <x:v>2026-08-01T19:35:00</x:v>
      </x:c>
      <x:c r="D1399" s="47" t="n">
        <x:v>60</x:v>
      </x:c>
      <x:c r="E1399" s="40" t="n">
        <x:v>16.3</x:v>
      </x:c>
      <x:c r="F1399" s="40" t="n">
        <x:v>16.969036102294922</x:v>
      </x:c>
      <x:c r="G1399" s="40" t="n">
        <x:v>16.4</x:v>
      </x:c>
      <x:c r="H1399" s="40" t="n">
        <x:f>F1399-E1399</x:f>
        <x:v>0.6690361022949212</x:v>
      </x:c>
      <x:c r="I1399" s="40" t="n">
        <x:f>ABS(H1399)</x:f>
        <x:v>0.6690361022949212</x:v>
      </x:c>
      <x:c r="J1399" s="40" t="n">
        <x:f>H1399^2</x:f>
        <x:v>0.4476093061739802</x:v>
      </x:c>
      <x:c r="K1399" s="40" t="n">
        <x:f>G1399-E1399</x:f>
        <x:v>0.09999999999999787</x:v>
      </x:c>
      <x:c r="L1399" s="40" t="n">
        <x:f>ABS(K1399)</x:f>
        <x:v>0.09999999999999787</x:v>
      </x:c>
      <x:c r="M1399" s="41" t="str">
        <x:v>lstm-soil-v1</x:v>
      </x:c>
    </x:row>
    <x:row r="1400">
      <x:c r="A1400" s="38" t="str">
        <x:v>7月30日现场数据</x:v>
      </x:c>
      <x:c r="B1400" s="39" t="str">
        <x:v>2026-08-01T18:40:00</x:v>
      </x:c>
      <x:c r="C1400" s="39" t="str">
        <x:v>2026-08-01T18:45:00</x:v>
      </x:c>
      <x:c r="D1400" s="47" t="n">
        <x:v>5</x:v>
      </x:c>
      <x:c r="E1400" s="40" t="n">
        <x:v>16.4</x:v>
      </x:c>
      <x:c r="F1400" s="40" t="n">
        <x:v>14.808006286621094</x:v>
      </x:c>
      <x:c r="G1400" s="40" t="n">
        <x:v>16.4</x:v>
      </x:c>
      <x:c r="H1400" s="40" t="n">
        <x:f>F1400-E1400</x:f>
        <x:v>-1.5919937133789048</x:v>
      </x:c>
      <x:c r="I1400" s="40" t="n">
        <x:f>ABS(H1400)</x:f>
        <x:v>1.5919937133789048</x:v>
      </x:c>
      <x:c r="J1400" s="40" t="n">
        <x:f>H1400^2</x:f>
        <x:v>2.5344439834379546</x:v>
      </x:c>
      <x:c r="K1400" s="40" t="n">
        <x:f>G1400-E1400</x:f>
        <x:v>0</x:v>
      </x:c>
      <x:c r="L1400" s="40" t="n">
        <x:f>ABS(K1400)</x:f>
        <x:v>0</x:v>
      </x:c>
      <x:c r="M1400" s="41" t="str">
        <x:v>lstm-soil-v1</x:v>
      </x:c>
    </x:row>
    <x:row r="1401">
      <x:c r="A1401" s="38" t="str">
        <x:v>7月30日现场数据</x:v>
      </x:c>
      <x:c r="B1401" s="39" t="str">
        <x:v>2026-08-01T18:40:00</x:v>
      </x:c>
      <x:c r="C1401" s="39" t="str">
        <x:v>2026-08-01T18:55:00</x:v>
      </x:c>
      <x:c r="D1401" s="47" t="n">
        <x:v>15</x:v>
      </x:c>
      <x:c r="E1401" s="40" t="n">
        <x:v>16.4</x:v>
      </x:c>
      <x:c r="F1401" s="40" t="n">
        <x:v>14.890243530273438</x:v>
      </x:c>
      <x:c r="G1401" s="40" t="n">
        <x:v>16.4</x:v>
      </x:c>
      <x:c r="H1401" s="40" t="n">
        <x:f>F1401-E1401</x:f>
        <x:v>-1.509756469726561</x:v>
      </x:c>
      <x:c r="I1401" s="40" t="n">
        <x:f>ABS(H1401)</x:f>
        <x:v>1.509756469726561</x:v>
      </x:c>
      <x:c r="J1401" s="40" t="n">
        <x:f>H1401^2</x:f>
        <x:v>2.2793645978812087</x:v>
      </x:c>
      <x:c r="K1401" s="40" t="n">
        <x:f>G1401-E1401</x:f>
        <x:v>0</x:v>
      </x:c>
      <x:c r="L1401" s="40" t="n">
        <x:f>ABS(K1401)</x:f>
        <x:v>0</x:v>
      </x:c>
      <x:c r="M1401" s="41" t="str">
        <x:v>lstm-soil-v1</x:v>
      </x:c>
    </x:row>
    <x:row r="1402">
      <x:c r="A1402" s="38" t="str">
        <x:v>7月30日现场数据</x:v>
      </x:c>
      <x:c r="B1402" s="39" t="str">
        <x:v>2026-08-01T18:40:00</x:v>
      </x:c>
      <x:c r="C1402" s="39" t="str">
        <x:v>2026-08-01T19:10:00</x:v>
      </x:c>
      <x:c r="D1402" s="47" t="n">
        <x:v>30</x:v>
      </x:c>
      <x:c r="E1402" s="40" t="n">
        <x:v>16.3</x:v>
      </x:c>
      <x:c r="F1402" s="40" t="n">
        <x:v>15.216659545898438</x:v>
      </x:c>
      <x:c r="G1402" s="40" t="n">
        <x:v>16.4</x:v>
      </x:c>
      <x:c r="H1402" s="40" t="n">
        <x:f>F1402-E1402</x:f>
        <x:v>-1.0833404541015632</x:v>
      </x:c>
      <x:c r="I1402" s="40" t="n">
        <x:f>ABS(H1402)</x:f>
        <x:v>1.0833404541015632</x:v>
      </x:c>
      <x:c r="J1402" s="40" t="n">
        <x:f>H1402^2</x:f>
        <x:v>1.1736265394929812</x:v>
      </x:c>
      <x:c r="K1402" s="40" t="n">
        <x:f>G1402-E1402</x:f>
        <x:v>0.09999999999999787</x:v>
      </x:c>
      <x:c r="L1402" s="40" t="n">
        <x:f>ABS(K1402)</x:f>
        <x:v>0.09999999999999787</x:v>
      </x:c>
      <x:c r="M1402" s="41" t="str">
        <x:v>lstm-soil-v1</x:v>
      </x:c>
    </x:row>
    <x:row r="1403">
      <x:c r="A1403" s="38" t="str">
        <x:v>7月30日现场数据</x:v>
      </x:c>
      <x:c r="B1403" s="39" t="str">
        <x:v>2026-08-01T18:40:00</x:v>
      </x:c>
      <x:c r="C1403" s="39" t="str">
        <x:v>2026-08-01T19:40:00</x:v>
      </x:c>
      <x:c r="D1403" s="47" t="n">
        <x:v>60</x:v>
      </x:c>
      <x:c r="E1403" s="40" t="n">
        <x:v>16.3</x:v>
      </x:c>
      <x:c r="F1403" s="40" t="n">
        <x:v>16.969528198242188</x:v>
      </x:c>
      <x:c r="G1403" s="40" t="n">
        <x:v>16.4</x:v>
      </x:c>
      <x:c r="H1403" s="40" t="n">
        <x:f>F1403-E1403</x:f>
        <x:v>0.6695281982421868</x:v>
      </x:c>
      <x:c r="I1403" s="40" t="n">
        <x:f>ABS(H1403)</x:f>
        <x:v>0.6695281982421868</x:v>
      </x:c>
      <x:c r="J1403" s="40" t="n">
        <x:f>H1403^2</x:f>
        <x:v>0.448268008241429</x:v>
      </x:c>
      <x:c r="K1403" s="40" t="n">
        <x:f>G1403-E1403</x:f>
        <x:v>0.09999999999999787</x:v>
      </x:c>
      <x:c r="L1403" s="40" t="n">
        <x:f>ABS(K1403)</x:f>
        <x:v>0.09999999999999787</x:v>
      </x:c>
      <x:c r="M1403" s="41" t="str">
        <x:v>lstm-soil-v1</x:v>
      </x:c>
    </x:row>
    <x:row r="1404">
      <x:c r="A1404" s="38" t="str">
        <x:v>7月30日现场数据</x:v>
      </x:c>
      <x:c r="B1404" s="39" t="str">
        <x:v>2026-08-01T18:45:00</x:v>
      </x:c>
      <x:c r="C1404" s="39" t="str">
        <x:v>2026-08-01T18:50:00</x:v>
      </x:c>
      <x:c r="D1404" s="47" t="n">
        <x:v>5</x:v>
      </x:c>
      <x:c r="E1404" s="40" t="n">
        <x:v>16.4</x:v>
      </x:c>
      <x:c r="F1404" s="40" t="n">
        <x:v>14.807991027832031</x:v>
      </x:c>
      <x:c r="G1404" s="40" t="n">
        <x:v>16.4</x:v>
      </x:c>
      <x:c r="H1404" s="40" t="n">
        <x:f>F1404-E1404</x:f>
        <x:v>-1.5920089721679673</x:v>
      </x:c>
      <x:c r="I1404" s="40" t="n">
        <x:f>ABS(H1404)</x:f>
        <x:v>1.5920089721679673</x:v>
      </x:c>
      <x:c r="J1404" s="40" t="n">
        <x:f>H1404^2</x:f>
        <x:v>2.5344925674633076</x:v>
      </x:c>
      <x:c r="K1404" s="40" t="n">
        <x:f>G1404-E1404</x:f>
        <x:v>0</x:v>
      </x:c>
      <x:c r="L1404" s="40" t="n">
        <x:f>ABS(K1404)</x:f>
        <x:v>0</x:v>
      </x:c>
      <x:c r="M1404" s="41" t="str">
        <x:v>lstm-soil-v1</x:v>
      </x:c>
    </x:row>
    <x:row r="1405">
      <x:c r="A1405" s="38" t="str">
        <x:v>7月30日现场数据</x:v>
      </x:c>
      <x:c r="B1405" s="39" t="str">
        <x:v>2026-08-01T18:45:00</x:v>
      </x:c>
      <x:c r="C1405" s="39" t="str">
        <x:v>2026-08-01T19:00:00</x:v>
      </x:c>
      <x:c r="D1405" s="47" t="n">
        <x:v>15</x:v>
      </x:c>
      <x:c r="E1405" s="40" t="n">
        <x:v>16.4</x:v>
      </x:c>
      <x:c r="F1405" s="40" t="n">
        <x:v>14.890132904052734</x:v>
      </x:c>
      <x:c r="G1405" s="40" t="n">
        <x:v>16.4</x:v>
      </x:c>
      <x:c r="H1405" s="40" t="n">
        <x:f>F1405-E1405</x:f>
        <x:v>-1.5098670959472642</x:v>
      </x:c>
      <x:c r="I1405" s="40" t="n">
        <x:f>ABS(H1405)</x:f>
        <x:v>1.5098670959472642</x:v>
      </x:c>
      <x:c r="J1405" s="40" t="n">
        <x:f>H1405^2</x:f>
        <x:v>2.279698647424225</x:v>
      </x:c>
      <x:c r="K1405" s="40" t="n">
        <x:f>G1405-E1405</x:f>
        <x:v>0</x:v>
      </x:c>
      <x:c r="L1405" s="40" t="n">
        <x:f>ABS(K1405)</x:f>
        <x:v>0</x:v>
      </x:c>
      <x:c r="M1405" s="41" t="str">
        <x:v>lstm-soil-v1</x:v>
      </x:c>
    </x:row>
    <x:row r="1406">
      <x:c r="A1406" s="38" t="str">
        <x:v>7月30日现场数据</x:v>
      </x:c>
      <x:c r="B1406" s="39" t="str">
        <x:v>2026-08-01T18:45:00</x:v>
      </x:c>
      <x:c r="C1406" s="39" t="str">
        <x:v>2026-08-01T19:15:00</x:v>
      </x:c>
      <x:c r="D1406" s="47" t="n">
        <x:v>30</x:v>
      </x:c>
      <x:c r="E1406" s="40" t="n">
        <x:v>16.3</x:v>
      </x:c>
      <x:c r="F1406" s="40" t="n">
        <x:v>15.217357635498047</x:v>
      </x:c>
      <x:c r="G1406" s="40" t="n">
        <x:v>16.4</x:v>
      </x:c>
      <x:c r="H1406" s="40" t="n">
        <x:f>F1406-E1406</x:f>
        <x:v>-1.0826423645019538</x:v>
      </x:c>
      <x:c r="I1406" s="40" t="n">
        <x:f>ABS(H1406)</x:f>
        <x:v>1.0826423645019538</x:v>
      </x:c>
      <x:c r="J1406" s="40" t="n">
        <x:f>H1406^2</x:f>
        <x:v>1.1721144894143816</x:v>
      </x:c>
      <x:c r="K1406" s="40" t="n">
        <x:f>G1406-E1406</x:f>
        <x:v>0.09999999999999787</x:v>
      </x:c>
      <x:c r="L1406" s="40" t="n">
        <x:f>ABS(K1406)</x:f>
        <x:v>0.09999999999999787</x:v>
      </x:c>
      <x:c r="M1406" s="41" t="str">
        <x:v>lstm-soil-v1</x:v>
      </x:c>
    </x:row>
    <x:row r="1407">
      <x:c r="A1407" s="38" t="str">
        <x:v>7月30日现场数据</x:v>
      </x:c>
      <x:c r="B1407" s="39" t="str">
        <x:v>2026-08-01T18:45:00</x:v>
      </x:c>
      <x:c r="C1407" s="39" t="str">
        <x:v>2026-08-01T19:45:00</x:v>
      </x:c>
      <x:c r="D1407" s="47" t="n">
        <x:v>60</x:v>
      </x:c>
      <x:c r="E1407" s="40" t="n">
        <x:v>16.3</x:v>
      </x:c>
      <x:c r="F1407" s="40" t="n">
        <x:v>16.969867706298828</x:v>
      </x:c>
      <x:c r="G1407" s="40" t="n">
        <x:v>16.4</x:v>
      </x:c>
      <x:c r="H1407" s="40" t="n">
        <x:f>F1407-E1407</x:f>
        <x:v>0.6698677062988274</x:v>
      </x:c>
      <x:c r="I1407" s="40" t="n">
        <x:f>ABS(H1407)</x:f>
        <x:v>0.6698677062988274</x:v>
      </x:c>
      <x:c r="J1407" s="40" t="n">
        <x:f>H1407^2</x:f>
        <x:v>0.4487227439420521</x:v>
      </x:c>
      <x:c r="K1407" s="40" t="n">
        <x:f>G1407-E1407</x:f>
        <x:v>0.09999999999999787</x:v>
      </x:c>
      <x:c r="L1407" s="40" t="n">
        <x:f>ABS(K1407)</x:f>
        <x:v>0.09999999999999787</x:v>
      </x:c>
      <x:c r="M1407" s="41" t="str">
        <x:v>lstm-soil-v1</x:v>
      </x:c>
    </x:row>
    <x:row r="1408">
      <x:c r="A1408" s="38" t="str">
        <x:v>7月30日现场数据</x:v>
      </x:c>
      <x:c r="B1408" s="39" t="str">
        <x:v>2026-08-01T18:50:00</x:v>
      </x:c>
      <x:c r="C1408" s="39" t="str">
        <x:v>2026-08-01T18:55:00</x:v>
      </x:c>
      <x:c r="D1408" s="47" t="n">
        <x:v>5</x:v>
      </x:c>
      <x:c r="E1408" s="40" t="n">
        <x:v>16.4</x:v>
      </x:c>
      <x:c r="F1408" s="40" t="n">
        <x:v>14.808021545410156</x:v>
      </x:c>
      <x:c r="G1408" s="40" t="n">
        <x:v>16.4</x:v>
      </x:c>
      <x:c r="H1408" s="40" t="n">
        <x:f>F1408-E1408</x:f>
        <x:v>-1.5919784545898423</x:v>
      </x:c>
      <x:c r="I1408" s="40" t="n">
        <x:f>ABS(H1408)</x:f>
        <x:v>1.5919784545898423</x:v>
      </x:c>
      <x:c r="J1408" s="40" t="n">
        <x:f>H1408^2</x:f>
        <x:v>2.5343953998782625</x:v>
      </x:c>
      <x:c r="K1408" s="40" t="n">
        <x:f>G1408-E1408</x:f>
        <x:v>0</x:v>
      </x:c>
      <x:c r="L1408" s="40" t="n">
        <x:f>ABS(K1408)</x:f>
        <x:v>0</x:v>
      </x:c>
      <x:c r="M1408" s="41" t="str">
        <x:v>lstm-soil-v1</x:v>
      </x:c>
    </x:row>
    <x:row r="1409">
      <x:c r="A1409" s="38" t="str">
        <x:v>7月30日现场数据</x:v>
      </x:c>
      <x:c r="B1409" s="39" t="str">
        <x:v>2026-08-01T18:50:00</x:v>
      </x:c>
      <x:c r="C1409" s="39" t="str">
        <x:v>2026-08-01T19:05:00</x:v>
      </x:c>
      <x:c r="D1409" s="47" t="n">
        <x:v>15</x:v>
      </x:c>
      <x:c r="E1409" s="40" t="n">
        <x:v>16.4</x:v>
      </x:c>
      <x:c r="F1409" s="40" t="n">
        <x:v>14.890087127685547</x:v>
      </x:c>
      <x:c r="G1409" s="40" t="n">
        <x:v>16.4</x:v>
      </x:c>
      <x:c r="H1409" s="40" t="n">
        <x:f>F1409-E1409</x:f>
        <x:v>-1.5099128723144517</x:v>
      </x:c>
      <x:c r="I1409" s="40" t="n">
        <x:f>ABS(H1409)</x:f>
        <x:v>1.5099128723144517</x:v>
      </x:c>
      <x:c r="J1409" s="40" t="n">
        <x:f>H1409^2</x:f>
        <x:v>2.2798368819808776</x:v>
      </x:c>
      <x:c r="K1409" s="40" t="n">
        <x:f>G1409-E1409</x:f>
        <x:v>0</x:v>
      </x:c>
      <x:c r="L1409" s="40" t="n">
        <x:f>ABS(K1409)</x:f>
        <x:v>0</x:v>
      </x:c>
      <x:c r="M1409" s="41" t="str">
        <x:v>lstm-soil-v1</x:v>
      </x:c>
    </x:row>
    <x:row r="1410">
      <x:c r="A1410" s="38" t="str">
        <x:v>7月30日现场数据</x:v>
      </x:c>
      <x:c r="B1410" s="39" t="str">
        <x:v>2026-08-01T18:50:00</x:v>
      </x:c>
      <x:c r="C1410" s="39" t="str">
        <x:v>2026-08-01T19:20:00</x:v>
      </x:c>
      <x:c r="D1410" s="47" t="n">
        <x:v>30</x:v>
      </x:c>
      <x:c r="E1410" s="40" t="n">
        <x:v>16.3</x:v>
      </x:c>
      <x:c r="F1410" s="40" t="n">
        <x:v>15.21792221069336</x:v>
      </x:c>
      <x:c r="G1410" s="40" t="n">
        <x:v>16.4</x:v>
      </x:c>
      <x:c r="H1410" s="40" t="n">
        <x:f>F1410-E1410</x:f>
        <x:v>-1.0820777893066413</x:v>
      </x:c>
      <x:c r="I1410" s="40" t="n">
        <x:f>ABS(H1410)</x:f>
        <x:v>1.0820777893066413</x:v>
      </x:c>
      <x:c r="J1410" s="40" t="n">
        <x:f>H1410^2</x:f>
        <x:v>1.170892342110748</x:v>
      </x:c>
      <x:c r="K1410" s="40" t="n">
        <x:f>G1410-E1410</x:f>
        <x:v>0.09999999999999787</x:v>
      </x:c>
      <x:c r="L1410" s="40" t="n">
        <x:f>ABS(K1410)</x:f>
        <x:v>0.09999999999999787</x:v>
      </x:c>
      <x:c r="M1410" s="41" t="str">
        <x:v>lstm-soil-v1</x:v>
      </x:c>
    </x:row>
    <x:row r="1411">
      <x:c r="A1411" s="38" t="str">
        <x:v>7月30日现场数据</x:v>
      </x:c>
      <x:c r="B1411" s="39" t="str">
        <x:v>2026-08-01T18:50:00</x:v>
      </x:c>
      <x:c r="C1411" s="39" t="str">
        <x:v>2026-08-01T19:50:00</x:v>
      </x:c>
      <x:c r="D1411" s="47" t="n">
        <x:v>60</x:v>
      </x:c>
      <x:c r="E1411" s="40" t="n">
        <x:v>16.3</x:v>
      </x:c>
      <x:c r="F1411" s="40" t="n">
        <x:v>16.970176696777344</x:v>
      </x:c>
      <x:c r="G1411" s="40" t="n">
        <x:v>16.4</x:v>
      </x:c>
      <x:c r="H1411" s="40" t="n">
        <x:f>F1411-E1411</x:f>
        <x:v>0.670176696777343</x:v>
      </x:c>
      <x:c r="I1411" s="40" t="n">
        <x:f>ABS(H1411)</x:f>
        <x:v>0.670176696777343</x:v>
      </x:c>
      <x:c r="J1411" s="40" t="n">
        <x:f>H1411^2</x:f>
        <x:v>0.4491368049033908</x:v>
      </x:c>
      <x:c r="K1411" s="40" t="n">
        <x:f>G1411-E1411</x:f>
        <x:v>0.09999999999999787</x:v>
      </x:c>
      <x:c r="L1411" s="40" t="n">
        <x:f>ABS(K1411)</x:f>
        <x:v>0.09999999999999787</x:v>
      </x:c>
      <x:c r="M1411" s="41" t="str">
        <x:v>lstm-soil-v1</x:v>
      </x:c>
    </x:row>
    <x:row r="1412">
      <x:c r="A1412" s="38" t="str">
        <x:v>7月30日现场数据</x:v>
      </x:c>
      <x:c r="B1412" s="39" t="str">
        <x:v>2026-08-01T18:55:00</x:v>
      </x:c>
      <x:c r="C1412" s="39" t="str">
        <x:v>2026-08-01T19:00:00</x:v>
      </x:c>
      <x:c r="D1412" s="47" t="n">
        <x:v>5</x:v>
      </x:c>
      <x:c r="E1412" s="40" t="n">
        <x:v>16.4</x:v>
      </x:c>
      <x:c r="F1412" s="40" t="n">
        <x:v>14.807987213134766</x:v>
      </x:c>
      <x:c r="G1412" s="40" t="n">
        <x:v>16.4</x:v>
      </x:c>
      <x:c r="H1412" s="40" t="n">
        <x:f>F1412-E1412</x:f>
        <x:v>-1.592012786865233</x:v>
      </x:c>
      <x:c r="I1412" s="40" t="n">
        <x:f>ABS(H1412)</x:f>
        <x:v>1.592012786865233</x:v>
      </x:c>
      <x:c r="J1412" s="40" t="n">
        <x:f>H1412^2</x:f>
        <x:v>2.5345047135424057</x:v>
      </x:c>
      <x:c r="K1412" s="40" t="n">
        <x:f>G1412-E1412</x:f>
        <x:v>0</x:v>
      </x:c>
      <x:c r="L1412" s="40" t="n">
        <x:f>ABS(K1412)</x:f>
        <x:v>0</x:v>
      </x:c>
      <x:c r="M1412" s="41" t="str">
        <x:v>lstm-soil-v1</x:v>
      </x:c>
    </x:row>
    <x:row r="1413">
      <x:c r="A1413" s="38" t="str">
        <x:v>7月30日现场数据</x:v>
      </x:c>
      <x:c r="B1413" s="39" t="str">
        <x:v>2026-08-01T18:55:00</x:v>
      </x:c>
      <x:c r="C1413" s="39" t="str">
        <x:v>2026-08-01T19:10:00</x:v>
      </x:c>
      <x:c r="D1413" s="47" t="n">
        <x:v>15</x:v>
      </x:c>
      <x:c r="E1413" s="40" t="n">
        <x:v>16.3</x:v>
      </x:c>
      <x:c r="F1413" s="40" t="n">
        <x:v>14.890056610107422</x:v>
      </x:c>
      <x:c r="G1413" s="40" t="n">
        <x:v>16.4</x:v>
      </x:c>
      <x:c r="H1413" s="40" t="n">
        <x:f>F1413-E1413</x:f>
        <x:v>-1.4099433898925788</x:v>
      </x:c>
      <x:c r="I1413" s="40" t="n">
        <x:f>ABS(H1413)</x:f>
        <x:v>1.4099433898925788</x:v>
      </x:c>
      <x:c r="J1413" s="40" t="n">
        <x:f>H1413^2</x:f>
        <x:v>1.9879403627017767</x:v>
      </x:c>
      <x:c r="K1413" s="40" t="n">
        <x:f>G1413-E1413</x:f>
        <x:v>0.09999999999999787</x:v>
      </x:c>
      <x:c r="L1413" s="40" t="n">
        <x:f>ABS(K1413)</x:f>
        <x:v>0.09999999999999787</x:v>
      </x:c>
      <x:c r="M1413" s="41" t="str">
        <x:v>lstm-soil-v1</x:v>
      </x:c>
    </x:row>
    <x:row r="1414">
      <x:c r="A1414" s="38" t="str">
        <x:v>7月30日现场数据</x:v>
      </x:c>
      <x:c r="B1414" s="39" t="str">
        <x:v>2026-08-01T18:55:00</x:v>
      </x:c>
      <x:c r="C1414" s="39" t="str">
        <x:v>2026-08-01T19:25:00</x:v>
      </x:c>
      <x:c r="D1414" s="47" t="n">
        <x:v>30</x:v>
      </x:c>
      <x:c r="E1414" s="40" t="n">
        <x:v>16.3</x:v>
      </x:c>
      <x:c r="F1414" s="40" t="n">
        <x:v>15.218338012695312</x:v>
      </x:c>
      <x:c r="G1414" s="40" t="n">
        <x:v>16.4</x:v>
      </x:c>
      <x:c r="H1414" s="40" t="n">
        <x:f>F1414-E1414</x:f>
        <x:v>-1.0816619873046882</x:v>
      </x:c>
      <x:c r="I1414" s="40" t="n">
        <x:f>ABS(H1414)</x:f>
        <x:v>1.0816619873046882</x:v>
      </x:c>
      <x:c r="J1414" s="40" t="n">
        <x:f>H1414^2</x:f>
        <x:v>1.1699926547799275</x:v>
      </x:c>
      <x:c r="K1414" s="40" t="n">
        <x:f>G1414-E1414</x:f>
        <x:v>0.09999999999999787</x:v>
      </x:c>
      <x:c r="L1414" s="40" t="n">
        <x:f>ABS(K1414)</x:f>
        <x:v>0.09999999999999787</x:v>
      </x:c>
      <x:c r="M1414" s="41" t="str">
        <x:v>lstm-soil-v1</x:v>
      </x:c>
    </x:row>
    <x:row r="1415">
      <x:c r="A1415" s="38" t="str">
        <x:v>7月30日现场数据</x:v>
      </x:c>
      <x:c r="B1415" s="39" t="str">
        <x:v>2026-08-01T18:55:00</x:v>
      </x:c>
      <x:c r="C1415" s="39" t="str">
        <x:v>2026-08-01T19:55:00</x:v>
      </x:c>
      <x:c r="D1415" s="47" t="n">
        <x:v>60</x:v>
      </x:c>
      <x:c r="E1415" s="40" t="n">
        <x:v>16.3</x:v>
      </x:c>
      <x:c r="F1415" s="40" t="n">
        <x:v>16.970355987548828</x:v>
      </x:c>
      <x:c r="G1415" s="40" t="n">
        <x:v>16.4</x:v>
      </x:c>
      <x:c r="H1415" s="40" t="n">
        <x:f>F1415-E1415</x:f>
        <x:v>0.6703559875488274</x:v>
      </x:c>
      <x:c r="I1415" s="40" t="n">
        <x:f>ABS(H1415)</x:f>
        <x:v>0.6703559875488274</x:v>
      </x:c>
      <x:c r="J1415" s="40" t="n">
        <x:f>H1415^2</x:f>
        <x:v>0.4493771500425637</x:v>
      </x:c>
      <x:c r="K1415" s="40" t="n">
        <x:f>G1415-E1415</x:f>
        <x:v>0.09999999999999787</x:v>
      </x:c>
      <x:c r="L1415" s="40" t="n">
        <x:f>ABS(K1415)</x:f>
        <x:v>0.09999999999999787</x:v>
      </x:c>
      <x:c r="M1415" s="41" t="str">
        <x:v>lstm-soil-v1</x:v>
      </x:c>
    </x:row>
    <x:row r="1416">
      <x:c r="A1416" s="38" t="str">
        <x:v>7月30日现场数据</x:v>
      </x:c>
      <x:c r="B1416" s="39" t="str">
        <x:v>2026-08-01T19:00:00</x:v>
      </x:c>
      <x:c r="C1416" s="39" t="str">
        <x:v>2026-08-01T19:05:00</x:v>
      </x:c>
      <x:c r="D1416" s="47" t="n">
        <x:v>5</x:v>
      </x:c>
      <x:c r="E1416" s="40" t="n">
        <x:v>16.4</x:v>
      </x:c>
      <x:c r="F1416" s="40" t="n">
        <x:v>14.806255340576172</x:v>
      </x:c>
      <x:c r="G1416" s="40" t="n">
        <x:v>16.4</x:v>
      </x:c>
      <x:c r="H1416" s="40" t="n">
        <x:f>F1416-E1416</x:f>
        <x:v>-1.5937446594238267</x:v>
      </x:c>
      <x:c r="I1416" s="40" t="n">
        <x:f>ABS(H1416)</x:f>
        <x:v>1.5937446594238267</x:v>
      </x:c>
      <x:c r="J1416" s="40" t="n">
        <x:f>H1416^2</x:f>
        <x:v>2.5400220394419692</x:v>
      </x:c>
      <x:c r="K1416" s="40" t="n">
        <x:f>G1416-E1416</x:f>
        <x:v>0</x:v>
      </x:c>
      <x:c r="L1416" s="40" t="n">
        <x:f>ABS(K1416)</x:f>
        <x:v>0</x:v>
      </x:c>
      <x:c r="M1416" s="41" t="str">
        <x:v>lstm-soil-v1</x:v>
      </x:c>
    </x:row>
    <x:row r="1417">
      <x:c r="A1417" s="38" t="str">
        <x:v>7月30日现场数据</x:v>
      </x:c>
      <x:c r="B1417" s="39" t="str">
        <x:v>2026-08-01T19:00:00</x:v>
      </x:c>
      <x:c r="C1417" s="39" t="str">
        <x:v>2026-08-01T19:15:00</x:v>
      </x:c>
      <x:c r="D1417" s="47" t="n">
        <x:v>15</x:v>
      </x:c>
      <x:c r="E1417" s="40" t="n">
        <x:v>16.3</x:v>
      </x:c>
      <x:c r="F1417" s="40" t="n">
        <x:v>14.890388488769531</x:v>
      </x:c>
      <x:c r="G1417" s="40" t="n">
        <x:v>16.4</x:v>
      </x:c>
      <x:c r="H1417" s="40" t="n">
        <x:f>F1417-E1417</x:f>
        <x:v>-1.4096115112304695</x:v>
      </x:c>
      <x:c r="I1417" s="40" t="n">
        <x:f>ABS(H1417)</x:f>
        <x:v>1.4096115112304695</x:v>
      </x:c>
      <x:c r="J1417" s="40" t="n">
        <x:f>H1417^2</x:f>
        <x:v>1.987004612593448</x:v>
      </x:c>
      <x:c r="K1417" s="40" t="n">
        <x:f>G1417-E1417</x:f>
        <x:v>0.09999999999999787</x:v>
      </x:c>
      <x:c r="L1417" s="40" t="n">
        <x:f>ABS(K1417)</x:f>
        <x:v>0.09999999999999787</x:v>
      </x:c>
      <x:c r="M1417" s="41" t="str">
        <x:v>lstm-soil-v1</x:v>
      </x:c>
    </x:row>
    <x:row r="1418">
      <x:c r="A1418" s="38" t="str">
        <x:v>7月30日现场数据</x:v>
      </x:c>
      <x:c r="B1418" s="39" t="str">
        <x:v>2026-08-01T19:00:00</x:v>
      </x:c>
      <x:c r="C1418" s="39" t="str">
        <x:v>2026-08-01T19:30:00</x:v>
      </x:c>
      <x:c r="D1418" s="47" t="n">
        <x:v>30</x:v>
      </x:c>
      <x:c r="E1418" s="40" t="n">
        <x:v>16.3</x:v>
      </x:c>
      <x:c r="F1418" s="40" t="n">
        <x:v>15.218238830566406</x:v>
      </x:c>
      <x:c r="G1418" s="40" t="n">
        <x:v>16.4</x:v>
      </x:c>
      <x:c r="H1418" s="40" t="n">
        <x:f>F1418-E1418</x:f>
        <x:v>-1.0817611694335945</x:v>
      </x:c>
      <x:c r="I1418" s="40" t="n">
        <x:f>ABS(H1418)</x:f>
        <x:v>1.0817611694335945</x:v>
      </x:c>
      <x:c r="J1418" s="40" t="n">
        <x:f>H1418^2</x:f>
        <x:v>1.1702072276943378</x:v>
      </x:c>
      <x:c r="K1418" s="40" t="n">
        <x:f>G1418-E1418</x:f>
        <x:v>0.09999999999999787</x:v>
      </x:c>
      <x:c r="L1418" s="40" t="n">
        <x:f>ABS(K1418)</x:f>
        <x:v>0.09999999999999787</x:v>
      </x:c>
      <x:c r="M1418" s="41" t="str">
        <x:v>lstm-soil-v1</x:v>
      </x:c>
    </x:row>
    <x:row r="1419">
      <x:c r="A1419" s="38" t="str">
        <x:v>7月30日现场数据</x:v>
      </x:c>
      <x:c r="B1419" s="39" t="str">
        <x:v>2026-08-01T19:00:00</x:v>
      </x:c>
      <x:c r="C1419" s="39" t="str">
        <x:v>2026-08-01T20:00:00</x:v>
      </x:c>
      <x:c r="D1419" s="47" t="n">
        <x:v>60</x:v>
      </x:c>
      <x:c r="E1419" s="40" t="n">
        <x:v>16.3</x:v>
      </x:c>
      <x:c r="F1419" s="40" t="n">
        <x:v>16.965991973876953</x:v>
      </x:c>
      <x:c r="G1419" s="40" t="n">
        <x:v>16.4</x:v>
      </x:c>
      <x:c r="H1419" s="40" t="n">
        <x:f>F1419-E1419</x:f>
        <x:v>0.6659919738769524</x:v>
      </x:c>
      <x:c r="I1419" s="40" t="n">
        <x:f>ABS(H1419)</x:f>
        <x:v>0.6659919738769524</x:v>
      </x:c>
      <x:c r="J1419" s="40" t="n">
        <x:f>H1419^2</x:f>
        <x:v>0.44354530926851926</x:v>
      </x:c>
      <x:c r="K1419" s="40" t="n">
        <x:f>G1419-E1419</x:f>
        <x:v>0.09999999999999787</x:v>
      </x:c>
      <x:c r="L1419" s="40" t="n">
        <x:f>ABS(K1419)</x:f>
        <x:v>0.09999999999999787</x:v>
      </x:c>
      <x:c r="M1419" s="41" t="str">
        <x:v>lstm-soil-v1</x:v>
      </x:c>
    </x:row>
    <x:row r="1420">
      <x:c r="A1420" s="38" t="str">
        <x:v>7月30日现场数据</x:v>
      </x:c>
      <x:c r="B1420" s="39" t="str">
        <x:v>2026-08-01T19:05:00</x:v>
      </x:c>
      <x:c r="C1420" s="39" t="str">
        <x:v>2026-08-01T19:10:00</x:v>
      </x:c>
      <x:c r="D1420" s="47" t="n">
        <x:v>5</x:v>
      </x:c>
      <x:c r="E1420" s="40" t="n">
        <x:v>16.3</x:v>
      </x:c>
      <x:c r="F1420" s="40" t="n">
        <x:v>14.804771423339844</x:v>
      </x:c>
      <x:c r="G1420" s="40" t="n">
        <x:v>16.4</x:v>
      </x:c>
      <x:c r="H1420" s="40" t="n">
        <x:f>F1420-E1420</x:f>
        <x:v>-1.495228576660157</x:v>
      </x:c>
      <x:c r="I1420" s="40" t="n">
        <x:f>ABS(H1420)</x:f>
        <x:v>1.495228576660157</x:v>
      </x:c>
      <x:c r="J1420" s="40" t="n">
        <x:f>H1420^2</x:f>
        <x:v>2.235708496461159</x:v>
      </x:c>
      <x:c r="K1420" s="40" t="n">
        <x:f>G1420-E1420</x:f>
        <x:v>0.09999999999999787</x:v>
      </x:c>
      <x:c r="L1420" s="40" t="n">
        <x:f>ABS(K1420)</x:f>
        <x:v>0.09999999999999787</x:v>
      </x:c>
      <x:c r="M1420" s="41" t="str">
        <x:v>lstm-soil-v1</x:v>
      </x:c>
    </x:row>
    <x:row r="1421">
      <x:c r="A1421" s="38" t="str">
        <x:v>7月30日现场数据</x:v>
      </x:c>
      <x:c r="B1421" s="39" t="str">
        <x:v>2026-08-01T19:05:00</x:v>
      </x:c>
      <x:c r="C1421" s="39" t="str">
        <x:v>2026-08-01T19:20:00</x:v>
      </x:c>
      <x:c r="D1421" s="47" t="n">
        <x:v>15</x:v>
      </x:c>
      <x:c r="E1421" s="40" t="n">
        <x:v>16.3</x:v>
      </x:c>
      <x:c r="F1421" s="40" t="n">
        <x:v>14.890266418457031</x:v>
      </x:c>
      <x:c r="G1421" s="40" t="n">
        <x:v>16.4</x:v>
      </x:c>
      <x:c r="H1421" s="40" t="n">
        <x:f>F1421-E1421</x:f>
        <x:v>-1.4097335815429695</x:v>
      </x:c>
      <x:c r="I1421" s="40" t="n">
        <x:f>ABS(H1421)</x:f>
        <x:v>1.4097335815429695</x:v>
      </x:c>
      <x:c r="J1421" s="40" t="n">
        <x:f>H1421^2</x:f>
        <x:v>1.9873487709299682</x:v>
      </x:c>
      <x:c r="K1421" s="40" t="n">
        <x:f>G1421-E1421</x:f>
        <x:v>0.09999999999999787</x:v>
      </x:c>
      <x:c r="L1421" s="40" t="n">
        <x:f>ABS(K1421)</x:f>
        <x:v>0.09999999999999787</x:v>
      </x:c>
      <x:c r="M1421" s="41" t="str">
        <x:v>lstm-soil-v1</x:v>
      </x:c>
    </x:row>
    <x:row r="1422">
      <x:c r="A1422" s="38" t="str">
        <x:v>7月30日现场数据</x:v>
      </x:c>
      <x:c r="B1422" s="39" t="str">
        <x:v>2026-08-01T19:05:00</x:v>
      </x:c>
      <x:c r="C1422" s="39" t="str">
        <x:v>2026-08-01T19:35:00</x:v>
      </x:c>
      <x:c r="D1422" s="47" t="n">
        <x:v>30</x:v>
      </x:c>
      <x:c r="E1422" s="40" t="n">
        <x:v>16.3</x:v>
      </x:c>
      <x:c r="F1422" s="40" t="n">
        <x:v>15.217437744140625</x:v>
      </x:c>
      <x:c r="G1422" s="40" t="n">
        <x:v>16.4</x:v>
      </x:c>
      <x:c r="H1422" s="40" t="n">
        <x:f>F1422-E1422</x:f>
        <x:v>-1.0825622558593757</x:v>
      </x:c>
      <x:c r="I1422" s="40" t="n">
        <x:f>ABS(H1422)</x:f>
        <x:v>1.0825622558593757</x:v>
      </x:c>
      <x:c r="J1422" s="40" t="n">
        <x:f>H1422^2</x:f>
        <x:v>1.1719410378113404</x:v>
      </x:c>
      <x:c r="K1422" s="40" t="n">
        <x:f>G1422-E1422</x:f>
        <x:v>0.09999999999999787</x:v>
      </x:c>
      <x:c r="L1422" s="40" t="n">
        <x:f>ABS(K1422)</x:f>
        <x:v>0.09999999999999787</x:v>
      </x:c>
      <x:c r="M1422" s="41" t="str">
        <x:v>lstm-soil-v1</x:v>
      </x:c>
    </x:row>
    <x:row r="1423">
      <x:c r="A1423" s="38" t="str">
        <x:v>7月30日现场数据</x:v>
      </x:c>
      <x:c r="B1423" s="39" t="str">
        <x:v>2026-08-01T19:05:00</x:v>
      </x:c>
      <x:c r="C1423" s="39" t="str">
        <x:v>2026-08-01T20:05:00</x:v>
      </x:c>
      <x:c r="D1423" s="47" t="n">
        <x:v>60</x:v>
      </x:c>
      <x:c r="E1423" s="40" t="n">
        <x:v>16.2</x:v>
      </x:c>
      <x:c r="F1423" s="40" t="n">
        <x:v>16.962093353271484</x:v>
      </x:c>
      <x:c r="G1423" s="40" t="n">
        <x:v>16.4</x:v>
      </x:c>
      <x:c r="H1423" s="40" t="n">
        <x:f>F1423-E1423</x:f>
        <x:v>0.7620933532714851</x:v>
      </x:c>
      <x:c r="I1423" s="40" t="n">
        <x:f>ABS(H1423)</x:f>
        <x:v>0.7620933532714851</x:v>
      </x:c>
      <x:c r="J1423" s="40" t="n">
        <x:f>H1423^2</x:f>
        <x:v>0.5807862791005766</x:v>
      </x:c>
      <x:c r="K1423" s="40" t="n">
        <x:f>G1423-E1423</x:f>
        <x:v>0.1999999999999993</x:v>
      </x:c>
      <x:c r="L1423" s="40" t="n">
        <x:f>ABS(K1423)</x:f>
        <x:v>0.1999999999999993</x:v>
      </x:c>
      <x:c r="M1423" s="41" t="str">
        <x:v>lstm-soil-v1</x:v>
      </x:c>
    </x:row>
    <x:row r="1424">
      <x:c r="A1424" s="38" t="str">
        <x:v>7月30日现场数据</x:v>
      </x:c>
      <x:c r="B1424" s="39" t="str">
        <x:v>2026-08-01T19:10:00</x:v>
      </x:c>
      <x:c r="C1424" s="39" t="str">
        <x:v>2026-08-01T19:15:00</x:v>
      </x:c>
      <x:c r="D1424" s="47" t="n">
        <x:v>5</x:v>
      </x:c>
      <x:c r="E1424" s="40" t="n">
        <x:v>16.3</x:v>
      </x:c>
      <x:c r="F1424" s="40" t="n">
        <x:v>14.69308853149414</x:v>
      </x:c>
      <x:c r="G1424" s="40" t="n">
        <x:v>16.3</x:v>
      </x:c>
      <x:c r="H1424" s="40" t="n">
        <x:f>F1424-E1424</x:f>
        <x:v>-1.60691146850586</x:v>
      </x:c>
      <x:c r="I1424" s="40" t="n">
        <x:f>ABS(H1424)</x:f>
        <x:v>1.60691146850586</x:v>
      </x:c>
      <x:c r="J1424" s="40" t="n">
        <x:f>H1424^2</x:f>
        <x:v>2.5821644676156597</x:v>
      </x:c>
      <x:c r="K1424" s="40" t="n">
        <x:f>G1424-E1424</x:f>
        <x:v>0</x:v>
      </x:c>
      <x:c r="L1424" s="40" t="n">
        <x:f>ABS(K1424)</x:f>
        <x:v>0</x:v>
      </x:c>
      <x:c r="M1424" s="41" t="str">
        <x:v>lstm-soil-v1</x:v>
      </x:c>
    </x:row>
    <x:row r="1425">
      <x:c r="A1425" s="38" t="str">
        <x:v>7月30日现场数据</x:v>
      </x:c>
      <x:c r="B1425" s="39" t="str">
        <x:v>2026-08-01T19:10:00</x:v>
      </x:c>
      <x:c r="C1425" s="39" t="str">
        <x:v>2026-08-01T19:25:00</x:v>
      </x:c>
      <x:c r="D1425" s="47" t="n">
        <x:v>15</x:v>
      </x:c>
      <x:c r="E1425" s="40" t="n">
        <x:v>16.3</x:v>
      </x:c>
      <x:c r="F1425" s="40" t="n">
        <x:v>14.779727935791016</x:v>
      </x:c>
      <x:c r="G1425" s="40" t="n">
        <x:v>16.3</x:v>
      </x:c>
      <x:c r="H1425" s="40" t="n">
        <x:f>F1425-E1425</x:f>
        <x:v>-1.520272064208985</x:v>
      </x:c>
      <x:c r="I1425" s="40" t="n">
        <x:f>ABS(H1425)</x:f>
        <x:v>1.520272064208985</x:v>
      </x:c>
      <x:c r="J1425" s="40" t="n">
        <x:f>H1425^2</x:f>
        <x:v>2.3112271492142487</x:v>
      </x:c>
      <x:c r="K1425" s="40" t="n">
        <x:f>G1425-E1425</x:f>
        <x:v>0</x:v>
      </x:c>
      <x:c r="L1425" s="40" t="n">
        <x:f>ABS(K1425)</x:f>
        <x:v>0</x:v>
      </x:c>
      <x:c r="M1425" s="41" t="str">
        <x:v>lstm-soil-v1</x:v>
      </x:c>
    </x:row>
    <x:row r="1426">
      <x:c r="A1426" s="38" t="str">
        <x:v>7月30日现场数据</x:v>
      </x:c>
      <x:c r="B1426" s="39" t="str">
        <x:v>2026-08-01T19:10:00</x:v>
      </x:c>
      <x:c r="C1426" s="39" t="str">
        <x:v>2026-08-01T19:40:00</x:v>
      </x:c>
      <x:c r="D1426" s="47" t="n">
        <x:v>30</x:v>
      </x:c>
      <x:c r="E1426" s="40" t="n">
        <x:v>16.3</x:v>
      </x:c>
      <x:c r="F1426" s="40" t="n">
        <x:v>15.106803894042969</x:v>
      </x:c>
      <x:c r="G1426" s="40" t="n">
        <x:v>16.3</x:v>
      </x:c>
      <x:c r="H1426" s="40" t="n">
        <x:f>F1426-E1426</x:f>
        <x:v>-1.193196105957032</x:v>
      </x:c>
      <x:c r="I1426" s="40" t="n">
        <x:f>ABS(H1426)</x:f>
        <x:v>1.193196105957032</x:v>
      </x:c>
      <x:c r="J1426" s="40" t="n">
        <x:f>H1426^2</x:f>
        <x:v>1.4237169472710247</x:v>
      </x:c>
      <x:c r="K1426" s="40" t="n">
        <x:f>G1426-E1426</x:f>
        <x:v>0</x:v>
      </x:c>
      <x:c r="L1426" s="40" t="n">
        <x:f>ABS(K1426)</x:f>
        <x:v>0</x:v>
      </x:c>
      <x:c r="M1426" s="41" t="str">
        <x:v>lstm-soil-v1</x:v>
      </x:c>
    </x:row>
    <x:row r="1427">
      <x:c r="A1427" s="38" t="str">
        <x:v>7月30日现场数据</x:v>
      </x:c>
      <x:c r="B1427" s="39" t="str">
        <x:v>2026-08-01T19:10:00</x:v>
      </x:c>
      <x:c r="C1427" s="39" t="str">
        <x:v>2026-08-01T20:10:00</x:v>
      </x:c>
      <x:c r="D1427" s="47" t="n">
        <x:v>60</x:v>
      </x:c>
      <x:c r="E1427" s="40" t="n">
        <x:v>16.3</x:v>
      </x:c>
      <x:c r="F1427" s="40" t="n">
        <x:v>16.849159240722656</x:v>
      </x:c>
      <x:c r="G1427" s="40" t="n">
        <x:v>16.3</x:v>
      </x:c>
      <x:c r="H1427" s="40" t="n">
        <x:f>F1427-E1427</x:f>
        <x:v>0.5491592407226555</x:v>
      </x:c>
      <x:c r="I1427" s="40" t="n">
        <x:f>ABS(H1427)</x:f>
        <x:v>0.5491592407226555</x:v>
      </x:c>
      <x:c r="J1427" s="40" t="n">
        <x:f>H1427^2</x:f>
        <x:v>0.3015758716710835</x:v>
      </x:c>
      <x:c r="K1427" s="40" t="n">
        <x:f>G1427-E1427</x:f>
        <x:v>0</x:v>
      </x:c>
      <x:c r="L1427" s="40" t="n">
        <x:f>ABS(K1427)</x:f>
        <x:v>0</x:v>
      </x:c>
      <x:c r="M1427" s="41" t="str">
        <x:v>lstm-soil-v1</x:v>
      </x:c>
    </x:row>
    <x:row r="1428">
      <x:c r="A1428" s="38" t="str">
        <x:v>7月30日现场数据</x:v>
      </x:c>
      <x:c r="B1428" s="39" t="str">
        <x:v>2026-08-01T19:15:00</x:v>
      </x:c>
      <x:c r="C1428" s="39" t="str">
        <x:v>2026-08-01T19:20:00</x:v>
      </x:c>
      <x:c r="D1428" s="47" t="n">
        <x:v>5</x:v>
      </x:c>
      <x:c r="E1428" s="40" t="n">
        <x:v>16.3</x:v>
      </x:c>
      <x:c r="F1428" s="40" t="n">
        <x:v>14.692176818847656</x:v>
      </x:c>
      <x:c r="G1428" s="40" t="n">
        <x:v>16.3</x:v>
      </x:c>
      <x:c r="H1428" s="40" t="n">
        <x:f>F1428-E1428</x:f>
        <x:v>-1.6078231811523445</x:v>
      </x:c>
      <x:c r="I1428" s="40" t="n">
        <x:f>ABS(H1428)</x:f>
        <x:v>1.6078231811523445</x:v>
      </x:c>
      <x:c r="J1428" s="40" t="n">
        <x:f>H1428^2</x:f>
        <x:v>2.5850953818508446</x:v>
      </x:c>
      <x:c r="K1428" s="40" t="n">
        <x:f>G1428-E1428</x:f>
        <x:v>0</x:v>
      </x:c>
      <x:c r="L1428" s="40" t="n">
        <x:f>ABS(K1428)</x:f>
        <x:v>0</x:v>
      </x:c>
      <x:c r="M1428" s="41" t="str">
        <x:v>lstm-soil-v1</x:v>
      </x:c>
    </x:row>
    <x:row r="1429">
      <x:c r="A1429" s="38" t="str">
        <x:v>7月30日现场数据</x:v>
      </x:c>
      <x:c r="B1429" s="39" t="str">
        <x:v>2026-08-01T19:15:00</x:v>
      </x:c>
      <x:c r="C1429" s="39" t="str">
        <x:v>2026-08-01T19:30:00</x:v>
      </x:c>
      <x:c r="D1429" s="47" t="n">
        <x:v>15</x:v>
      </x:c>
      <x:c r="E1429" s="40" t="n">
        <x:v>16.3</x:v>
      </x:c>
      <x:c r="F1429" s="40" t="n">
        <x:v>14.778400421142578</x:v>
      </x:c>
      <x:c r="G1429" s="40" t="n">
        <x:v>16.3</x:v>
      </x:c>
      <x:c r="H1429" s="40" t="n">
        <x:f>F1429-E1429</x:f>
        <x:v>-1.5215995788574226</x:v>
      </x:c>
      <x:c r="I1429" s="40" t="n">
        <x:f>ABS(H1429)</x:f>
        <x:v>1.5215995788574226</x:v>
      </x:c>
      <x:c r="J1429" s="40" t="n">
        <x:f>H1429^2</x:f>
        <x:v>2.3152652783790857</x:v>
      </x:c>
      <x:c r="K1429" s="40" t="n">
        <x:f>G1429-E1429</x:f>
        <x:v>0</x:v>
      </x:c>
      <x:c r="L1429" s="40" t="n">
        <x:f>ABS(K1429)</x:f>
        <x:v>0</x:v>
      </x:c>
      <x:c r="M1429" s="41" t="str">
        <x:v>lstm-soil-v1</x:v>
      </x:c>
    </x:row>
    <x:row r="1430">
      <x:c r="A1430" s="38" t="str">
        <x:v>7月30日现场数据</x:v>
      </x:c>
      <x:c r="B1430" s="39" t="str">
        <x:v>2026-08-01T19:15:00</x:v>
      </x:c>
      <x:c r="C1430" s="39" t="str">
        <x:v>2026-08-01T19:45:00</x:v>
      </x:c>
      <x:c r="D1430" s="47" t="n">
        <x:v>30</x:v>
      </x:c>
      <x:c r="E1430" s="40" t="n">
        <x:v>16.3</x:v>
      </x:c>
      <x:c r="F1430" s="40" t="n">
        <x:v>15.107170104980469</x:v>
      </x:c>
      <x:c r="G1430" s="40" t="n">
        <x:v>16.3</x:v>
      </x:c>
      <x:c r="H1430" s="40" t="n">
        <x:f>F1430-E1430</x:f>
        <x:v>-1.192829895019532</x:v>
      </x:c>
      <x:c r="I1430" s="40" t="n">
        <x:f>ABS(H1430)</x:f>
        <x:v>1.192829895019532</x:v>
      </x:c>
      <x:c r="J1430" s="40" t="n">
        <x:f>H1430^2</x:f>
        <x:v>1.4228431584523076</x:v>
      </x:c>
      <x:c r="K1430" s="40" t="n">
        <x:f>G1430-E1430</x:f>
        <x:v>0</x:v>
      </x:c>
      <x:c r="L1430" s="40" t="n">
        <x:f>ABS(K1430)</x:f>
        <x:v>0</x:v>
      </x:c>
      <x:c r="M1430" s="41" t="str">
        <x:v>lstm-soil-v1</x:v>
      </x:c>
    </x:row>
    <x:row r="1431">
      <x:c r="A1431" s="38" t="str">
        <x:v>7月30日现场数据</x:v>
      </x:c>
      <x:c r="B1431" s="39" t="str">
        <x:v>2026-08-01T19:15:00</x:v>
      </x:c>
      <x:c r="C1431" s="39" t="str">
        <x:v>2026-08-01T20:15:00</x:v>
      </x:c>
      <x:c r="D1431" s="47" t="n">
        <x:v>60</x:v>
      </x:c>
      <x:c r="E1431" s="40" t="n">
        <x:v>16.3</x:v>
      </x:c>
      <x:c r="F1431" s="40" t="n">
        <x:v>16.847583770751953</x:v>
      </x:c>
      <x:c r="G1431" s="40" t="n">
        <x:v>16.3</x:v>
      </x:c>
      <x:c r="H1431" s="40" t="n">
        <x:f>F1431-E1431</x:f>
        <x:v>0.5475837707519524</x:v>
      </x:c>
      <x:c r="I1431" s="40" t="n">
        <x:f>ABS(H1431)</x:f>
        <x:v>0.5475837707519524</x:v>
      </x:c>
      <x:c r="J1431" s="40" t="n">
        <x:f>H1431^2</x:f>
        <x:v>0.29984798599092677</x:v>
      </x:c>
      <x:c r="K1431" s="40" t="n">
        <x:f>G1431-E1431</x:f>
        <x:v>0</x:v>
      </x:c>
      <x:c r="L1431" s="40" t="n">
        <x:f>ABS(K1431)</x:f>
        <x:v>0</x:v>
      </x:c>
      <x:c r="M1431" s="41" t="str">
        <x:v>lstm-soil-v1</x:v>
      </x:c>
    </x:row>
    <x:row r="1432">
      <x:c r="A1432" s="38" t="str">
        <x:v>7月30日现场数据</x:v>
      </x:c>
      <x:c r="B1432" s="39" t="str">
        <x:v>2026-08-01T19:20:00</x:v>
      </x:c>
      <x:c r="C1432" s="39" t="str">
        <x:v>2026-08-01T19:25:00</x:v>
      </x:c>
      <x:c r="D1432" s="47" t="n">
        <x:v>5</x:v>
      </x:c>
      <x:c r="E1432" s="40" t="n">
        <x:v>16.3</x:v>
      </x:c>
      <x:c r="F1432" s="40" t="n">
        <x:v>14.691654205322266</x:v>
      </x:c>
      <x:c r="G1432" s="40" t="n">
        <x:v>16.3</x:v>
      </x:c>
      <x:c r="H1432" s="40" t="n">
        <x:f>F1432-E1432</x:f>
        <x:v>-1.608345794677735</x:v>
      </x:c>
      <x:c r="I1432" s="40" t="n">
        <x:f>ABS(H1432)</x:f>
        <x:v>1.608345794677735</x:v>
      </x:c>
      <x:c r="J1432" s="40" t="n">
        <x:f>H1432^2</x:f>
        <x:v>2.586776195257555</x:v>
      </x:c>
      <x:c r="K1432" s="40" t="n">
        <x:f>G1432-E1432</x:f>
        <x:v>0</x:v>
      </x:c>
      <x:c r="L1432" s="40" t="n">
        <x:f>ABS(K1432)</x:f>
        <x:v>0</x:v>
      </x:c>
      <x:c r="M1432" s="41" t="str">
        <x:v>lstm-soil-v1</x:v>
      </x:c>
    </x:row>
    <x:row r="1433">
      <x:c r="A1433" s="38" t="str">
        <x:v>7月30日现场数据</x:v>
      </x:c>
      <x:c r="B1433" s="39" t="str">
        <x:v>2026-08-01T19:20:00</x:v>
      </x:c>
      <x:c r="C1433" s="39" t="str">
        <x:v>2026-08-01T19:35:00</x:v>
      </x:c>
      <x:c r="D1433" s="47" t="n">
        <x:v>15</x:v>
      </x:c>
      <x:c r="E1433" s="40" t="n">
        <x:v>16.3</x:v>
      </x:c>
      <x:c r="F1433" s="40" t="n">
        <x:v>14.777393341064453</x:v>
      </x:c>
      <x:c r="G1433" s="40" t="n">
        <x:v>16.3</x:v>
      </x:c>
      <x:c r="H1433" s="40" t="n">
        <x:f>F1433-E1433</x:f>
        <x:v>-1.5226066589355476</x:v>
      </x:c>
      <x:c r="I1433" s="40" t="n">
        <x:f>ABS(H1433)</x:f>
        <x:v>1.5226066589355476</x:v>
      </x:c>
      <x:c r="J1433" s="40" t="n">
        <x:f>H1433^2</x:f>
        <x:v>2.318331037834871</x:v>
      </x:c>
      <x:c r="K1433" s="40" t="n">
        <x:f>G1433-E1433</x:f>
        <x:v>0</x:v>
      </x:c>
      <x:c r="L1433" s="40" t="n">
        <x:f>ABS(K1433)</x:f>
        <x:v>0</x:v>
      </x:c>
      <x:c r="M1433" s="41" t="str">
        <x:v>lstm-soil-v1</x:v>
      </x:c>
    </x:row>
    <x:row r="1434">
      <x:c r="A1434" s="38" t="str">
        <x:v>7月30日现场数据</x:v>
      </x:c>
      <x:c r="B1434" s="39" t="str">
        <x:v>2026-08-01T19:20:00</x:v>
      </x:c>
      <x:c r="C1434" s="39" t="str">
        <x:v>2026-08-01T19:50:00</x:v>
      </x:c>
      <x:c r="D1434" s="47" t="n">
        <x:v>30</x:v>
      </x:c>
      <x:c r="E1434" s="40" t="n">
        <x:v>16.3</x:v>
      </x:c>
      <x:c r="F1434" s="40" t="n">
        <x:v>15.108051300048828</x:v>
      </x:c>
      <x:c r="G1434" s="40" t="n">
        <x:v>16.3</x:v>
      </x:c>
      <x:c r="H1434" s="40" t="n">
        <x:f>F1434-E1434</x:f>
        <x:v>-1.1919486999511726</x:v>
      </x:c>
      <x:c r="I1434" s="40" t="n">
        <x:f>ABS(H1434)</x:f>
        <x:v>1.1919486999511726</x:v>
      </x:c>
      <x:c r="J1434" s="40" t="n">
        <x:f>H1434^2</x:f>
        <x:v>1.4207417033152905</x:v>
      </x:c>
      <x:c r="K1434" s="40" t="n">
        <x:f>G1434-E1434</x:f>
        <x:v>0</x:v>
      </x:c>
      <x:c r="L1434" s="40" t="n">
        <x:f>ABS(K1434)</x:f>
        <x:v>0</x:v>
      </x:c>
      <x:c r="M1434" s="41" t="str">
        <x:v>lstm-soil-v1</x:v>
      </x:c>
    </x:row>
    <x:row r="1435">
      <x:c r="A1435" s="38" t="str">
        <x:v>7月30日现场数据</x:v>
      </x:c>
      <x:c r="B1435" s="39" t="str">
        <x:v>2026-08-01T19:20:00</x:v>
      </x:c>
      <x:c r="C1435" s="39" t="str">
        <x:v>2026-08-01T20:20:00</x:v>
      </x:c>
      <x:c r="D1435" s="47" t="n">
        <x:v>60</x:v>
      </x:c>
      <x:c r="E1435" s="40" t="n">
        <x:v>16.2</x:v>
      </x:c>
      <x:c r="F1435" s="40" t="n">
        <x:v>16.846988677978516</x:v>
      </x:c>
      <x:c r="G1435" s="40" t="n">
        <x:v>16.3</x:v>
      </x:c>
      <x:c r="H1435" s="40" t="n">
        <x:f>F1435-E1435</x:f>
        <x:v>0.6469886779785163</x:v>
      </x:c>
      <x:c r="I1435" s="40" t="n">
        <x:f>ABS(H1435)</x:f>
        <x:v>0.6469886779785163</x:v>
      </x:c>
      <x:c r="J1435" s="40" t="n">
        <x:f>H1435^2</x:f>
        <x:v>0.4185943494323883</x:v>
      </x:c>
      <x:c r="K1435" s="40" t="n">
        <x:f>G1435-E1435</x:f>
        <x:v>0.10000000000000142</x:v>
      </x:c>
      <x:c r="L1435" s="40" t="n">
        <x:f>ABS(K1435)</x:f>
        <x:v>0.10000000000000142</x:v>
      </x:c>
      <x:c r="M1435" s="41" t="str">
        <x:v>lstm-soil-v1</x:v>
      </x:c>
    </x:row>
    <x:row r="1436">
      <x:c r="A1436" s="38" t="str">
        <x:v>7月30日现场数据</x:v>
      </x:c>
      <x:c r="B1436" s="39" t="str">
        <x:v>2026-08-01T19:25:00</x:v>
      </x:c>
      <x:c r="C1436" s="39" t="str">
        <x:v>2026-08-01T19:30:00</x:v>
      </x:c>
      <x:c r="D1436" s="47" t="n">
        <x:v>5</x:v>
      </x:c>
      <x:c r="E1436" s="40" t="n">
        <x:v>16.3</x:v>
      </x:c>
      <x:c r="F1436" s="40" t="n">
        <x:v>14.691814422607422</x:v>
      </x:c>
      <x:c r="G1436" s="40" t="n">
        <x:v>16.3</x:v>
      </x:c>
      <x:c r="H1436" s="40" t="n">
        <x:f>F1436-E1436</x:f>
        <x:v>-1.6081855773925788</x:v>
      </x:c>
      <x:c r="I1436" s="40" t="n">
        <x:f>ABS(H1436)</x:f>
        <x:v>1.6081855773925788</x:v>
      </x:c>
      <x:c r="J1436" s="40" t="n">
        <x:f>H1436^2</x:f>
        <x:v>2.586260851333502</x:v>
      </x:c>
      <x:c r="K1436" s="40" t="n">
        <x:f>G1436-E1436</x:f>
        <x:v>0</x:v>
      </x:c>
      <x:c r="L1436" s="40" t="n">
        <x:f>ABS(K1436)</x:f>
        <x:v>0</x:v>
      </x:c>
      <x:c r="M1436" s="41" t="str">
        <x:v>lstm-soil-v1</x:v>
      </x:c>
    </x:row>
    <x:row r="1437">
      <x:c r="A1437" s="38" t="str">
        <x:v>7月30日现场数据</x:v>
      </x:c>
      <x:c r="B1437" s="39" t="str">
        <x:v>2026-08-01T19:25:00</x:v>
      </x:c>
      <x:c r="C1437" s="39" t="str">
        <x:v>2026-08-01T19:40:00</x:v>
      </x:c>
      <x:c r="D1437" s="47" t="n">
        <x:v>15</x:v>
      </x:c>
      <x:c r="E1437" s="40" t="n">
        <x:v>16.3</x:v>
      </x:c>
      <x:c r="F1437" s="40" t="n">
        <x:v>14.778301239013672</x:v>
      </x:c>
      <x:c r="G1437" s="40" t="n">
        <x:v>16.3</x:v>
      </x:c>
      <x:c r="H1437" s="40" t="n">
        <x:f>F1437-E1437</x:f>
        <x:v>-1.5216987609863288</x:v>
      </x:c>
      <x:c r="I1437" s="40" t="n">
        <x:f>ABS(H1437)</x:f>
        <x:v>1.5216987609863288</x:v>
      </x:c>
      <x:c r="J1437" s="40" t="n">
        <x:f>H1437^2</x:f>
        <x:v>2.315567119187328</x:v>
      </x:c>
      <x:c r="K1437" s="40" t="n">
        <x:f>G1437-E1437</x:f>
        <x:v>0</x:v>
      </x:c>
      <x:c r="L1437" s="40" t="n">
        <x:f>ABS(K1437)</x:f>
        <x:v>0</x:v>
      </x:c>
      <x:c r="M1437" s="41" t="str">
        <x:v>lstm-soil-v1</x:v>
      </x:c>
    </x:row>
    <x:row r="1438">
      <x:c r="A1438" s="38" t="str">
        <x:v>7月30日现场数据</x:v>
      </x:c>
      <x:c r="B1438" s="39" t="str">
        <x:v>2026-08-01T19:25:00</x:v>
      </x:c>
      <x:c r="C1438" s="39" t="str">
        <x:v>2026-08-01T19:55:00</x:v>
      </x:c>
      <x:c r="D1438" s="47" t="n">
        <x:v>30</x:v>
      </x:c>
      <x:c r="E1438" s="40" t="n">
        <x:v>16.3</x:v>
      </x:c>
      <x:c r="F1438" s="40" t="n">
        <x:v>15.109672546386719</x:v>
      </x:c>
      <x:c r="G1438" s="40" t="n">
        <x:v>16.3</x:v>
      </x:c>
      <x:c r="H1438" s="40" t="n">
        <x:f>F1438-E1438</x:f>
        <x:v>-1.190327453613282</x:v>
      </x:c>
      <x:c r="I1438" s="40" t="n">
        <x:f>ABS(H1438)</x:f>
        <x:v>1.190327453613282</x:v>
      </x:c>
      <x:c r="J1438" s="40" t="n">
        <x:f>H1438^2</x:f>
        <x:v>1.41687944682548</x:v>
      </x:c>
      <x:c r="K1438" s="40" t="n">
        <x:f>G1438-E1438</x:f>
        <x:v>0</x:v>
      </x:c>
      <x:c r="L1438" s="40" t="n">
        <x:f>ABS(K1438)</x:f>
        <x:v>0</x:v>
      </x:c>
      <x:c r="M1438" s="41" t="str">
        <x:v>lstm-soil-v1</x:v>
      </x:c>
    </x:row>
    <x:row r="1439">
      <x:c r="A1439" s="38" t="str">
        <x:v>7月30日现场数据</x:v>
      </x:c>
      <x:c r="B1439" s="39" t="str">
        <x:v>2026-08-01T19:25:00</x:v>
      </x:c>
      <x:c r="C1439" s="39" t="str">
        <x:v>2026-08-01T20:25:00</x:v>
      </x:c>
      <x:c r="D1439" s="47" t="n">
        <x:v>60</x:v>
      </x:c>
      <x:c r="E1439" s="40" t="n">
        <x:v>16.2</x:v>
      </x:c>
      <x:c r="F1439" s="40" t="n">
        <x:v>16.848941802978516</x:v>
      </x:c>
      <x:c r="G1439" s="40" t="n">
        <x:v>16.3</x:v>
      </x:c>
      <x:c r="H1439" s="40" t="n">
        <x:f>F1439-E1439</x:f>
        <x:v>0.6489418029785163</x:v>
      </x:c>
      <x:c r="I1439" s="40" t="n">
        <x:f>ABS(H1439)</x:f>
        <x:v>0.6489418029785163</x:v>
      </x:c>
      <x:c r="J1439" s="40" t="n">
        <x:f>H1439^2</x:f>
        <x:v>0.4211254636530075</x:v>
      </x:c>
      <x:c r="K1439" s="40" t="n">
        <x:f>G1439-E1439</x:f>
        <x:v>0.10000000000000142</x:v>
      </x:c>
      <x:c r="L1439" s="40" t="n">
        <x:f>ABS(K1439)</x:f>
        <x:v>0.10000000000000142</x:v>
      </x:c>
      <x:c r="M1439" s="41" t="str">
        <x:v>lstm-soil-v1</x:v>
      </x:c>
    </x:row>
    <x:row r="1440">
      <x:c r="A1440" s="38" t="str">
        <x:v>7月30日现场数据</x:v>
      </x:c>
      <x:c r="B1440" s="39" t="str">
        <x:v>2026-08-01T19:30:00</x:v>
      </x:c>
      <x:c r="C1440" s="39" t="str">
        <x:v>2026-08-01T19:35:00</x:v>
      </x:c>
      <x:c r="D1440" s="47" t="n">
        <x:v>5</x:v>
      </x:c>
      <x:c r="E1440" s="40" t="n">
        <x:v>16.3</x:v>
      </x:c>
      <x:c r="F1440" s="40" t="n">
        <x:v>14.69015884399414</x:v>
      </x:c>
      <x:c r="G1440" s="40" t="n">
        <x:v>16.3</x:v>
      </x:c>
      <x:c r="H1440" s="40" t="n">
        <x:f>F1440-E1440</x:f>
        <x:v>-1.60984115600586</x:v>
      </x:c>
      <x:c r="I1440" s="40" t="n">
        <x:f>ABS(H1440)</x:f>
        <x:v>1.60984115600586</x:v>
      </x:c>
      <x:c r="J1440" s="40" t="n">
        <x:f>H1440^2</x:f>
        <x:v>2.591588547570284</x:v>
      </x:c>
      <x:c r="K1440" s="40" t="n">
        <x:f>G1440-E1440</x:f>
        <x:v>0</x:v>
      </x:c>
      <x:c r="L1440" s="40" t="n">
        <x:f>ABS(K1440)</x:f>
        <x:v>0</x:v>
      </x:c>
      <x:c r="M1440" s="41" t="str">
        <x:v>lstm-soil-v1</x:v>
      </x:c>
    </x:row>
    <x:row r="1441">
      <x:c r="A1441" s="38" t="str">
        <x:v>7月30日现场数据</x:v>
      </x:c>
      <x:c r="B1441" s="39" t="str">
        <x:v>2026-08-01T19:30:00</x:v>
      </x:c>
      <x:c r="C1441" s="39" t="str">
        <x:v>2026-08-01T19:45:00</x:v>
      </x:c>
      <x:c r="D1441" s="47" t="n">
        <x:v>15</x:v>
      </x:c>
      <x:c r="E1441" s="40" t="n">
        <x:v>16.3</x:v>
      </x:c>
      <x:c r="F1441" s="40" t="n">
        <x:v>14.777435302734375</x:v>
      </x:c>
      <x:c r="G1441" s="40" t="n">
        <x:v>16.3</x:v>
      </x:c>
      <x:c r="H1441" s="40" t="n">
        <x:f>F1441-E1441</x:f>
        <x:v>-1.5225646972656257</x:v>
      </x:c>
      <x:c r="I1441" s="40" t="n">
        <x:f>ABS(H1441)</x:f>
        <x:v>1.5225646972656257</x:v>
      </x:c>
      <x:c r="J1441" s="40" t="n">
        <x:f>H1441^2</x:f>
        <x:v>2.3182032573595666</x:v>
      </x:c>
      <x:c r="K1441" s="40" t="n">
        <x:f>G1441-E1441</x:f>
        <x:v>0</x:v>
      </x:c>
      <x:c r="L1441" s="40" t="n">
        <x:f>ABS(K1441)</x:f>
        <x:v>0</x:v>
      </x:c>
      <x:c r="M1441" s="41" t="str">
        <x:v>lstm-soil-v1</x:v>
      </x:c>
    </x:row>
    <x:row r="1442">
      <x:c r="A1442" s="38" t="str">
        <x:v>7月30日现场数据</x:v>
      </x:c>
      <x:c r="B1442" s="39" t="str">
        <x:v>2026-08-01T19:30:00</x:v>
      </x:c>
      <x:c r="C1442" s="39" t="str">
        <x:v>2026-08-01T20:00:00</x:v>
      </x:c>
      <x:c r="D1442" s="47" t="n">
        <x:v>30</x:v>
      </x:c>
      <x:c r="E1442" s="40" t="n">
        <x:v>16.3</x:v>
      </x:c>
      <x:c r="F1442" s="40" t="n">
        <x:v>15.108501434326172</x:v>
      </x:c>
      <x:c r="G1442" s="40" t="n">
        <x:v>16.3</x:v>
      </x:c>
      <x:c r="H1442" s="40" t="n">
        <x:f>F1442-E1442</x:f>
        <x:v>-1.1914985656738288</x:v>
      </x:c>
      <x:c r="I1442" s="40" t="n">
        <x:f>ABS(H1442)</x:f>
        <x:v>1.1914985656738288</x:v>
      </x:c>
      <x:c r="J1442" s="40" t="n">
        <x:f>H1442^2</x:f>
        <x:v>1.4196688320027915</x:v>
      </x:c>
      <x:c r="K1442" s="40" t="n">
        <x:f>G1442-E1442</x:f>
        <x:v>0</x:v>
      </x:c>
      <x:c r="L1442" s="40" t="n">
        <x:f>ABS(K1442)</x:f>
        <x:v>0</x:v>
      </x:c>
      <x:c r="M1442" s="41" t="str">
        <x:v>lstm-soil-v1</x:v>
      </x:c>
    </x:row>
    <x:row r="1443">
      <x:c r="A1443" s="38" t="str">
        <x:v>7月30日现场数据</x:v>
      </x:c>
      <x:c r="B1443" s="39" t="str">
        <x:v>2026-08-01T19:30:00</x:v>
      </x:c>
      <x:c r="C1443" s="39" t="str">
        <x:v>2026-08-01T20:30:00</x:v>
      </x:c>
      <x:c r="D1443" s="47" t="n">
        <x:v>60</x:v>
      </x:c>
      <x:c r="E1443" s="40" t="n">
        <x:v>16.2</x:v>
      </x:c>
      <x:c r="F1443" s="40" t="n">
        <x:v>16.84524154663086</x:v>
      </x:c>
      <x:c r="G1443" s="40" t="n">
        <x:v>16.3</x:v>
      </x:c>
      <x:c r="H1443" s="40" t="n">
        <x:f>F1443-E1443</x:f>
        <x:v>0.6452415466308601</x:v>
      </x:c>
      <x:c r="I1443" s="40" t="n">
        <x:f>ABS(H1443)</x:f>
        <x:v>0.6452415466308601</x:v>
      </x:c>
      <x:c r="J1443" s="40" t="n">
        <x:f>H1443^2</x:f>
        <x:v>0.4163366534985844</x:v>
      </x:c>
      <x:c r="K1443" s="40" t="n">
        <x:f>G1443-E1443</x:f>
        <x:v>0.10000000000000142</x:v>
      </x:c>
      <x:c r="L1443" s="40" t="n">
        <x:f>ABS(K1443)</x:f>
        <x:v>0.10000000000000142</x:v>
      </x:c>
      <x:c r="M1443" s="41" t="str">
        <x:v>lstm-soil-v1</x:v>
      </x:c>
    </x:row>
    <x:row r="1444">
      <x:c r="A1444" s="38" t="str">
        <x:v>7月30日现场数据</x:v>
      </x:c>
      <x:c r="B1444" s="39" t="str">
        <x:v>2026-08-01T19:35:00</x:v>
      </x:c>
      <x:c r="C1444" s="39" t="str">
        <x:v>2026-08-01T19:40:00</x:v>
      </x:c>
      <x:c r="D1444" s="47" t="n">
        <x:v>5</x:v>
      </x:c>
      <x:c r="E1444" s="40" t="n">
        <x:v>16.3</x:v>
      </x:c>
      <x:c r="F1444" s="40" t="n">
        <x:v>14.690269470214844</x:v>
      </x:c>
      <x:c r="G1444" s="40" t="n">
        <x:v>16.3</x:v>
      </x:c>
      <x:c r="H1444" s="40" t="n">
        <x:f>F1444-E1444</x:f>
        <x:v>-1.609730529785157</x:v>
      </x:c>
      <x:c r="I1444" s="40" t="n">
        <x:f>ABS(H1444)</x:f>
        <x:v>1.609730529785157</x:v>
      </x:c>
      <x:c r="J1444" s="40" t="n">
        <x:f>H1444^2</x:f>
        <x:v>2.591232378522402</x:v>
      </x:c>
      <x:c r="K1444" s="40" t="n">
        <x:f>G1444-E1444</x:f>
        <x:v>0</x:v>
      </x:c>
      <x:c r="L1444" s="40" t="n">
        <x:f>ABS(K1444)</x:f>
        <x:v>0</x:v>
      </x:c>
      <x:c r="M1444" s="41" t="str">
        <x:v>lstm-soil-v1</x:v>
      </x:c>
    </x:row>
    <x:row r="1445">
      <x:c r="A1445" s="38" t="str">
        <x:v>7月30日现场数据</x:v>
      </x:c>
      <x:c r="B1445" s="39" t="str">
        <x:v>2026-08-01T19:35:00</x:v>
      </x:c>
      <x:c r="C1445" s="39" t="str">
        <x:v>2026-08-01T19:50:00</x:v>
      </x:c>
      <x:c r="D1445" s="47" t="n">
        <x:v>15</x:v>
      </x:c>
      <x:c r="E1445" s="40" t="n">
        <x:v>16.3</x:v>
      </x:c>
      <x:c r="F1445" s="40" t="n">
        <x:v>14.776287078857422</x:v>
      </x:c>
      <x:c r="G1445" s="40" t="n">
        <x:v>16.3</x:v>
      </x:c>
      <x:c r="H1445" s="40" t="n">
        <x:f>F1445-E1445</x:f>
        <x:v>-1.5237129211425788</x:v>
      </x:c>
      <x:c r="I1445" s="40" t="n">
        <x:f>ABS(H1445)</x:f>
        <x:v>1.5237129211425788</x:v>
      </x:c>
      <x:c r="J1445" s="40" t="n">
        <x:f>H1445^2</x:f>
        <x:v>2.3217010660568507</x:v>
      </x:c>
      <x:c r="K1445" s="40" t="n">
        <x:f>G1445-E1445</x:f>
        <x:v>0</x:v>
      </x:c>
      <x:c r="L1445" s="40" t="n">
        <x:f>ABS(K1445)</x:f>
        <x:v>0</x:v>
      </x:c>
      <x:c r="M1445" s="41" t="str">
        <x:v>lstm-soil-v1</x:v>
      </x:c>
    </x:row>
    <x:row r="1446">
      <x:c r="A1446" s="38" t="str">
        <x:v>7月30日现场数据</x:v>
      </x:c>
      <x:c r="B1446" s="39" t="str">
        <x:v>2026-08-01T19:35:00</x:v>
      </x:c>
      <x:c r="C1446" s="39" t="str">
        <x:v>2026-08-01T20:05:00</x:v>
      </x:c>
      <x:c r="D1446" s="47" t="n">
        <x:v>30</x:v>
      </x:c>
      <x:c r="E1446" s="40" t="n">
        <x:v>16.2</x:v>
      </x:c>
      <x:c r="F1446" s="40" t="n">
        <x:v>15.10959243774414</x:v>
      </x:c>
      <x:c r="G1446" s="40" t="n">
        <x:v>16.3</x:v>
      </x:c>
      <x:c r="H1446" s="40" t="n">
        <x:f>F1446-E1446</x:f>
        <x:v>-1.0904075622558587</x:v>
      </x:c>
      <x:c r="I1446" s="40" t="n">
        <x:f>ABS(H1446)</x:f>
        <x:v>1.0904075622558587</x:v>
      </x:c>
      <x:c r="J1446" s="40" t="n">
        <x:f>H1446^2</x:f>
        <x:v>1.1889886518247643</x:v>
      </x:c>
      <x:c r="K1446" s="40" t="n">
        <x:f>G1446-E1446</x:f>
        <x:v>0.10000000000000142</x:v>
      </x:c>
      <x:c r="L1446" s="40" t="n">
        <x:f>ABS(K1446)</x:f>
        <x:v>0.10000000000000142</x:v>
      </x:c>
      <x:c r="M1446" s="41" t="str">
        <x:v>lstm-soil-v1</x:v>
      </x:c>
    </x:row>
    <x:row r="1447">
      <x:c r="A1447" s="38" t="str">
        <x:v>7月30日现场数据</x:v>
      </x:c>
      <x:c r="B1447" s="39" t="str">
        <x:v>2026-08-01T19:35:00</x:v>
      </x:c>
      <x:c r="C1447" s="39" t="str">
        <x:v>2026-08-01T20:35:00</x:v>
      </x:c>
      <x:c r="D1447" s="47" t="n">
        <x:v>60</x:v>
      </x:c>
      <x:c r="E1447" s="40" t="n">
        <x:v>16.2</x:v>
      </x:c>
      <x:c r="F1447" s="40" t="n">
        <x:v>16.84576416015625</x:v>
      </x:c>
      <x:c r="G1447" s="40" t="n">
        <x:v>16.3</x:v>
      </x:c>
      <x:c r="H1447" s="40" t="n">
        <x:f>F1447-E1447</x:f>
        <x:v>0.6457641601562507</x:v>
      </x:c>
      <x:c r="I1447" s="40" t="n">
        <x:f>ABS(H1447)</x:f>
        <x:v>0.6457641601562507</x:v>
      </x:c>
      <x:c r="J1447" s="40" t="n">
        <x:f>H1447^2</x:f>
        <x:v>0.4170113505423078</x:v>
      </x:c>
      <x:c r="K1447" s="40" t="n">
        <x:f>G1447-E1447</x:f>
        <x:v>0.10000000000000142</x:v>
      </x:c>
      <x:c r="L1447" s="40" t="n">
        <x:f>ABS(K1447)</x:f>
        <x:v>0.10000000000000142</x:v>
      </x:c>
      <x:c r="M1447" s="41" t="str">
        <x:v>lstm-soil-v1</x:v>
      </x:c>
    </x:row>
    <x:row r="1448">
      <x:c r="A1448" s="38" t="str">
        <x:v>7月30日现场数据</x:v>
      </x:c>
      <x:c r="B1448" s="39" t="str">
        <x:v>2026-08-01T19:40:00</x:v>
      </x:c>
      <x:c r="C1448" s="39" t="str">
        <x:v>2026-08-01T19:45:00</x:v>
      </x:c>
      <x:c r="D1448" s="47" t="n">
        <x:v>5</x:v>
      </x:c>
      <x:c r="E1448" s="40" t="n">
        <x:v>16.3</x:v>
      </x:c>
      <x:c r="F1448" s="40" t="n">
        <x:v>14.690380096435547</x:v>
      </x:c>
      <x:c r="G1448" s="40" t="n">
        <x:v>16.3</x:v>
      </x:c>
      <x:c r="H1448" s="40" t="n">
        <x:f>F1448-E1448</x:f>
        <x:v>-1.6096199035644538</x:v>
      </x:c>
      <x:c r="I1448" s="40" t="n">
        <x:f>ABS(H1448)</x:f>
        <x:v>1.6096199035644538</x:v>
      </x:c>
      <x:c r="J1448" s="40" t="n">
        <x:f>H1448^2</x:f>
        <x:v>2.5908762339508415</x:v>
      </x:c>
      <x:c r="K1448" s="40" t="n">
        <x:f>G1448-E1448</x:f>
        <x:v>0</x:v>
      </x:c>
      <x:c r="L1448" s="40" t="n">
        <x:f>ABS(K1448)</x:f>
        <x:v>0</x:v>
      </x:c>
      <x:c r="M1448" s="41" t="str">
        <x:v>lstm-soil-v1</x:v>
      </x:c>
    </x:row>
    <x:row r="1449">
      <x:c r="A1449" s="38" t="str">
        <x:v>7月30日现场数据</x:v>
      </x:c>
      <x:c r="B1449" s="39" t="str">
        <x:v>2026-08-01T19:40:00</x:v>
      </x:c>
      <x:c r="C1449" s="39" t="str">
        <x:v>2026-08-01T19:55:00</x:v>
      </x:c>
      <x:c r="D1449" s="47" t="n">
        <x:v>15</x:v>
      </x:c>
      <x:c r="E1449" s="40" t="n">
        <x:v>16.3</x:v>
      </x:c>
      <x:c r="F1449" s="40" t="n">
        <x:v>14.77535629272461</x:v>
      </x:c>
      <x:c r="G1449" s="40" t="n">
        <x:v>16.3</x:v>
      </x:c>
      <x:c r="H1449" s="40" t="n">
        <x:f>F1449-E1449</x:f>
        <x:v>-1.5246437072753913</x:v>
      </x:c>
      <x:c r="I1449" s="40" t="n">
        <x:f>ABS(H1449)</x:f>
        <x:v>1.5246437072753913</x:v>
      </x:c>
      <x:c r="J1449" s="40" t="n">
        <x:f>H1449^2</x:f>
        <x:v>2.3245384341344493</x:v>
      </x:c>
      <x:c r="K1449" s="40" t="n">
        <x:f>G1449-E1449</x:f>
        <x:v>0</x:v>
      </x:c>
      <x:c r="L1449" s="40" t="n">
        <x:f>ABS(K1449)</x:f>
        <x:v>0</x:v>
      </x:c>
      <x:c r="M1449" s="41" t="str">
        <x:v>lstm-soil-v1</x:v>
      </x:c>
    </x:row>
    <x:row r="1450">
      <x:c r="A1450" s="38" t="str">
        <x:v>7月30日现场数据</x:v>
      </x:c>
      <x:c r="B1450" s="39" t="str">
        <x:v>2026-08-01T19:40:00</x:v>
      </x:c>
      <x:c r="C1450" s="39" t="str">
        <x:v>2026-08-01T20:10:00</x:v>
      </x:c>
      <x:c r="D1450" s="47" t="n">
        <x:v>30</x:v>
      </x:c>
      <x:c r="E1450" s="40" t="n">
        <x:v>16.3</x:v>
      </x:c>
      <x:c r="F1450" s="40" t="n">
        <x:v>15.1104736328125</x:v>
      </x:c>
      <x:c r="G1450" s="40" t="n">
        <x:v>16.3</x:v>
      </x:c>
      <x:c r="H1450" s="40" t="n">
        <x:f>F1450-E1450</x:f>
        <x:v>-1.1895263671875007</x:v>
      </x:c>
      <x:c r="I1450" s="40" t="n">
        <x:f>ABS(H1450)</x:f>
        <x:v>1.1895263671875007</x:v>
      </x:c>
      <x:c r="J1450" s="40" t="n">
        <x:f>H1450^2</x:f>
        <x:v>1.4149729782342928</x:v>
      </x:c>
      <x:c r="K1450" s="40" t="n">
        <x:f>G1450-E1450</x:f>
        <x:v>0</x:v>
      </x:c>
      <x:c r="L1450" s="40" t="n">
        <x:f>ABS(K1450)</x:f>
        <x:v>0</x:v>
      </x:c>
      <x:c r="M1450" s="41" t="str">
        <x:v>lstm-soil-v1</x:v>
      </x:c>
    </x:row>
    <x:row r="1451">
      <x:c r="A1451" s="38" t="str">
        <x:v>7月30日现场数据</x:v>
      </x:c>
      <x:c r="B1451" s="39" t="str">
        <x:v>2026-08-01T19:40:00</x:v>
      </x:c>
      <x:c r="C1451" s="39" t="str">
        <x:v>2026-08-01T20:40:00</x:v>
      </x:c>
      <x:c r="D1451" s="47" t="n">
        <x:v>60</x:v>
      </x:c>
      <x:c r="E1451" s="40" t="n">
        <x:v>16.2</x:v>
      </x:c>
      <x:c r="F1451" s="40" t="n">
        <x:v>16.846206665039062</x:v>
      </x:c>
      <x:c r="G1451" s="40" t="n">
        <x:v>16.3</x:v>
      </x:c>
      <x:c r="H1451" s="40" t="n">
        <x:f>F1451-E1451</x:f>
        <x:v>0.6462066650390632</x:v>
      </x:c>
      <x:c r="I1451" s="40" t="n">
        <x:f>ABS(H1451)</x:f>
        <x:v>0.6462066650390632</x:v>
      </x:c>
      <x:c r="J1451" s="40" t="n">
        <x:f>H1451^2</x:f>
        <x:v>0.41758305394090806</x:v>
      </x:c>
      <x:c r="K1451" s="40" t="n">
        <x:f>G1451-E1451</x:f>
        <x:v>0.10000000000000142</x:v>
      </x:c>
      <x:c r="L1451" s="40" t="n">
        <x:f>ABS(K1451)</x:f>
        <x:v>0.10000000000000142</x:v>
      </x:c>
      <x:c r="M1451" s="41" t="str">
        <x:v>lstm-soil-v1</x:v>
      </x:c>
    </x:row>
    <x:row r="1452">
      <x:c r="A1452" s="38" t="str">
        <x:v>7月30日现场数据</x:v>
      </x:c>
      <x:c r="B1452" s="39" t="str">
        <x:v>2026-08-01T19:45:00</x:v>
      </x:c>
      <x:c r="C1452" s="39" t="str">
        <x:v>2026-08-01T19:50:00</x:v>
      </x:c>
      <x:c r="D1452" s="47" t="n">
        <x:v>5</x:v>
      </x:c>
      <x:c r="E1452" s="40" t="n">
        <x:v>16.3</x:v>
      </x:c>
      <x:c r="F1452" s="40" t="n">
        <x:v>14.690567016601562</x:v>
      </x:c>
      <x:c r="G1452" s="40" t="n">
        <x:v>16.3</x:v>
      </x:c>
      <x:c r="H1452" s="40" t="n">
        <x:f>F1452-E1452</x:f>
        <x:v>-1.6094329833984382</x:v>
      </x:c>
      <x:c r="I1452" s="40" t="n">
        <x:f>ABS(H1452)</x:f>
        <x:v>1.6094329833984382</x:v>
      </x:c>
      <x:c r="J1452" s="40" t="n">
        <x:f>H1452^2</x:f>
        <x:v>2.5902745280507973</x:v>
      </x:c>
      <x:c r="K1452" s="40" t="n">
        <x:f>G1452-E1452</x:f>
        <x:v>0</x:v>
      </x:c>
      <x:c r="L1452" s="40" t="n">
        <x:f>ABS(K1452)</x:f>
        <x:v>0</x:v>
      </x:c>
      <x:c r="M1452" s="41" t="str">
        <x:v>lstm-soil-v1</x:v>
      </x:c>
    </x:row>
    <x:row r="1453">
      <x:c r="A1453" s="38" t="str">
        <x:v>7月30日现场数据</x:v>
      </x:c>
      <x:c r="B1453" s="39" t="str">
        <x:v>2026-08-01T19:45:00</x:v>
      </x:c>
      <x:c r="C1453" s="39" t="str">
        <x:v>2026-08-01T20:00:00</x:v>
      </x:c>
      <x:c r="D1453" s="47" t="n">
        <x:v>15</x:v>
      </x:c>
      <x:c r="E1453" s="40" t="n">
        <x:v>16.3</x:v>
      </x:c>
      <x:c r="F1453" s="40" t="n">
        <x:v>14.77469253540039</x:v>
      </x:c>
      <x:c r="G1453" s="40" t="n">
        <x:v>16.3</x:v>
      </x:c>
      <x:c r="H1453" s="40" t="n">
        <x:f>F1453-E1453</x:f>
        <x:v>-1.52530746459961</x:v>
      </x:c>
      <x:c r="I1453" s="40" t="n">
        <x:f>ABS(H1453)</x:f>
        <x:v>1.52530746459961</x:v>
      </x:c>
      <x:c r="J1453" s="40" t="n">
        <x:f>H1453^2</x:f>
        <x:v>2.326562861563291</x:v>
      </x:c>
      <x:c r="K1453" s="40" t="n">
        <x:f>G1453-E1453</x:f>
        <x:v>0</x:v>
      </x:c>
      <x:c r="L1453" s="40" t="n">
        <x:f>ABS(K1453)</x:f>
        <x:v>0</x:v>
      </x:c>
      <x:c r="M1453" s="41" t="str">
        <x:v>lstm-soil-v1</x:v>
      </x:c>
    </x:row>
    <x:row r="1454">
      <x:c r="A1454" s="38" t="str">
        <x:v>7月30日现场数据</x:v>
      </x:c>
      <x:c r="B1454" s="39" t="str">
        <x:v>2026-08-01T19:45:00</x:v>
      </x:c>
      <x:c r="C1454" s="39" t="str">
        <x:v>2026-08-01T20:15:00</x:v>
      </x:c>
      <x:c r="D1454" s="47" t="n">
        <x:v>30</x:v>
      </x:c>
      <x:c r="E1454" s="40" t="n">
        <x:v>16.3</x:v>
      </x:c>
      <x:c r="F1454" s="40" t="n">
        <x:v>15.11147689819336</x:v>
      </x:c>
      <x:c r="G1454" s="40" t="n">
        <x:v>16.3</x:v>
      </x:c>
      <x:c r="H1454" s="40" t="n">
        <x:f>F1454-E1454</x:f>
        <x:v>-1.1885231018066413</x:v>
      </x:c>
      <x:c r="I1454" s="40" t="n">
        <x:f>ABS(H1454)</x:f>
        <x:v>1.1885231018066413</x:v>
      </x:c>
      <x:c r="J1454" s="40" t="n">
        <x:f>H1454^2</x:f>
        <x:v>1.41258716352808</x:v>
      </x:c>
      <x:c r="K1454" s="40" t="n">
        <x:f>G1454-E1454</x:f>
        <x:v>0</x:v>
      </x:c>
      <x:c r="L1454" s="40" t="n">
        <x:f>ABS(K1454)</x:f>
        <x:v>0</x:v>
      </x:c>
      <x:c r="M1454" s="41" t="str">
        <x:v>lstm-soil-v1</x:v>
      </x:c>
    </x:row>
    <x:row r="1455">
      <x:c r="A1455" s="38" t="str">
        <x:v>7月30日现场数据</x:v>
      </x:c>
      <x:c r="B1455" s="39" t="str">
        <x:v>2026-08-01T19:45:00</x:v>
      </x:c>
      <x:c r="C1455" s="39" t="str">
        <x:v>2026-08-01T20:45:00</x:v>
      </x:c>
      <x:c r="D1455" s="47" t="n">
        <x:v>60</x:v>
      </x:c>
      <x:c r="E1455" s="40" t="n">
        <x:v>16.2</x:v>
      </x:c>
      <x:c r="F1455" s="40" t="n">
        <x:v>16.846927642822266</x:v>
      </x:c>
      <x:c r="G1455" s="40" t="n">
        <x:v>16.3</x:v>
      </x:c>
      <x:c r="H1455" s="40" t="n">
        <x:f>F1455-E1455</x:f>
        <x:v>0.6469276428222663</x:v>
      </x:c>
      <x:c r="I1455" s="40" t="n">
        <x:f>ABS(H1455)</x:f>
        <x:v>0.6469276428222663</x:v>
      </x:c>
      <x:c r="J1455" s="40" t="n">
        <x:f>H1455^2</x:f>
        <x:v>0.4185153750475738</x:v>
      </x:c>
      <x:c r="K1455" s="40" t="n">
        <x:f>G1455-E1455</x:f>
        <x:v>0.10000000000000142</x:v>
      </x:c>
      <x:c r="L1455" s="40" t="n">
        <x:f>ABS(K1455)</x:f>
        <x:v>0.10000000000000142</x:v>
      </x:c>
      <x:c r="M1455" s="41" t="str">
        <x:v>lstm-soil-v1</x:v>
      </x:c>
    </x:row>
    <x:row r="1456">
      <x:c r="A1456" s="38" t="str">
        <x:v>7月30日现场数据</x:v>
      </x:c>
      <x:c r="B1456" s="39" t="str">
        <x:v>2026-08-01T19:50:00</x:v>
      </x:c>
      <x:c r="C1456" s="39" t="str">
        <x:v>2026-08-01T19:55:00</x:v>
      </x:c>
      <x:c r="D1456" s="47" t="n">
        <x:v>5</x:v>
      </x:c>
      <x:c r="E1456" s="40" t="n">
        <x:v>16.3</x:v>
      </x:c>
      <x:c r="F1456" s="40" t="n">
        <x:v>14.690780639648438</x:v>
      </x:c>
      <x:c r="G1456" s="40" t="n">
        <x:v>16.3</x:v>
      </x:c>
      <x:c r="H1456" s="40" t="n">
        <x:f>F1456-E1456</x:f>
        <x:v>-1.6092193603515632</x:v>
      </x:c>
      <x:c r="I1456" s="40" t="n">
        <x:f>ABS(H1456)</x:f>
        <x:v>1.6092193603515632</x:v>
      </x:c>
      <x:c r="J1456" s="40" t="n">
        <x:f>H1456^2</x:f>
        <x:v>2.589586949730294</x:v>
      </x:c>
      <x:c r="K1456" s="40" t="n">
        <x:f>G1456-E1456</x:f>
        <x:v>0</x:v>
      </x:c>
      <x:c r="L1456" s="40" t="n">
        <x:f>ABS(K1456)</x:f>
        <x:v>0</x:v>
      </x:c>
      <x:c r="M1456" s="41" t="str">
        <x:v>lstm-soil-v1</x:v>
      </x:c>
    </x:row>
    <x:row r="1457">
      <x:c r="A1457" s="38" t="str">
        <x:v>7月30日现场数据</x:v>
      </x:c>
      <x:c r="B1457" s="39" t="str">
        <x:v>2026-08-01T19:50:00</x:v>
      </x:c>
      <x:c r="C1457" s="39" t="str">
        <x:v>2026-08-01T20:05:00</x:v>
      </x:c>
      <x:c r="D1457" s="47" t="n">
        <x:v>15</x:v>
      </x:c>
      <x:c r="E1457" s="40" t="n">
        <x:v>16.2</x:v>
      </x:c>
      <x:c r="F1457" s="40" t="n">
        <x:v>14.774322509765625</x:v>
      </x:c>
      <x:c r="G1457" s="40" t="n">
        <x:v>16.3</x:v>
      </x:c>
      <x:c r="H1457" s="40" t="n">
        <x:f>F1457-E1457</x:f>
        <x:v>-1.4256774902343743</x:v>
      </x:c>
      <x:c r="I1457" s="40" t="n">
        <x:f>ABS(H1457)</x:f>
        <x:v>1.4256774902343743</x:v>
      </x:c>
      <x:c r="J1457" s="40" t="n">
        <x:f>H1457^2</x:f>
        <x:v>2.0325563061609846</x:v>
      </x:c>
      <x:c r="K1457" s="40" t="n">
        <x:f>G1457-E1457</x:f>
        <x:v>0.10000000000000142</x:v>
      </x:c>
      <x:c r="L1457" s="40" t="n">
        <x:f>ABS(K1457)</x:f>
        <x:v>0.10000000000000142</x:v>
      </x:c>
      <x:c r="M1457" s="41" t="str">
        <x:v>lstm-soil-v1</x:v>
      </x:c>
    </x:row>
    <x:row r="1458">
      <x:c r="A1458" s="38" t="str">
        <x:v>7月30日现场数据</x:v>
      </x:c>
      <x:c r="B1458" s="39" t="str">
        <x:v>2026-08-01T19:50:00</x:v>
      </x:c>
      <x:c r="C1458" s="39" t="str">
        <x:v>2026-08-01T20:20:00</x:v>
      </x:c>
      <x:c r="D1458" s="47" t="n">
        <x:v>30</x:v>
      </x:c>
      <x:c r="E1458" s="40" t="n">
        <x:v>16.2</x:v>
      </x:c>
      <x:c r="F1458" s="40" t="n">
        <x:v>15.112506866455078</x:v>
      </x:c>
      <x:c r="G1458" s="40" t="n">
        <x:v>16.3</x:v>
      </x:c>
      <x:c r="H1458" s="40" t="n">
        <x:f>F1458-E1458</x:f>
        <x:v>-1.0874931335449212</x:v>
      </x:c>
      <x:c r="I1458" s="40" t="n">
        <x:f>ABS(H1458)</x:f>
        <x:v>1.0874931335449212</x:v>
      </x:c>
      <x:c r="J1458" s="40" t="n">
        <x:f>H1458^2</x:f>
        <x:v>1.1826413155073516</x:v>
      </x:c>
      <x:c r="K1458" s="40" t="n">
        <x:f>G1458-E1458</x:f>
        <x:v>0.10000000000000142</x:v>
      </x:c>
      <x:c r="L1458" s="40" t="n">
        <x:f>ABS(K1458)</x:f>
        <x:v>0.10000000000000142</x:v>
      </x:c>
      <x:c r="M1458" s="41" t="str">
        <x:v>lstm-soil-v1</x:v>
      </x:c>
    </x:row>
    <x:row r="1459">
      <x:c r="A1459" s="38" t="str">
        <x:v>7月30日现场数据</x:v>
      </x:c>
      <x:c r="B1459" s="39" t="str">
        <x:v>2026-08-01T19:50:00</x:v>
      </x:c>
      <x:c r="C1459" s="39" t="str">
        <x:v>2026-08-01T20:50:00</x:v>
      </x:c>
      <x:c r="D1459" s="47" t="n">
        <x:v>60</x:v>
      </x:c>
      <x:c r="E1459" s="40" t="n">
        <x:v>16.2</x:v>
      </x:c>
      <x:c r="F1459" s="40" t="n">
        <x:v>16.847644805908203</x:v>
      </x:c>
      <x:c r="G1459" s="40" t="n">
        <x:v>16.3</x:v>
      </x:c>
      <x:c r="H1459" s="40" t="n">
        <x:f>F1459-E1459</x:f>
        <x:v>0.6476448059082038</x:v>
      </x:c>
      <x:c r="I1459" s="40" t="n">
        <x:f>ABS(H1459)</x:f>
        <x:v>0.6476448059082038</x:v>
      </x:c>
      <x:c r="J1459" s="40" t="n">
        <x:f>H1459^2</x:f>
        <x:v>0.419443794619875</x:v>
      </x:c>
      <x:c r="K1459" s="40" t="n">
        <x:f>G1459-E1459</x:f>
        <x:v>0.10000000000000142</x:v>
      </x:c>
      <x:c r="L1459" s="40" t="n">
        <x:f>ABS(K1459)</x:f>
        <x:v>0.10000000000000142</x:v>
      </x:c>
      <x:c r="M1459" s="41" t="str">
        <x:v>lstm-soil-v1</x:v>
      </x:c>
    </x:row>
    <x:row r="1460">
      <x:c r="A1460" s="38" t="str">
        <x:v>7月30日现场数据</x:v>
      </x:c>
      <x:c r="B1460" s="39" t="str">
        <x:v>2026-08-01T19:55:00</x:v>
      </x:c>
      <x:c r="C1460" s="39" t="str">
        <x:v>2026-08-01T20:00:00</x:v>
      </x:c>
      <x:c r="D1460" s="47" t="n">
        <x:v>5</x:v>
      </x:c>
      <x:c r="E1460" s="40" t="n">
        <x:v>16.3</x:v>
      </x:c>
      <x:c r="F1460" s="40" t="n">
        <x:v>14.690982818603516</x:v>
      </x:c>
      <x:c r="G1460" s="40" t="n">
        <x:v>16.3</x:v>
      </x:c>
      <x:c r="H1460" s="40" t="n">
        <x:f>F1460-E1460</x:f>
        <x:v>-1.609017181396485</x:v>
      </x:c>
      <x:c r="I1460" s="40" t="n">
        <x:f>ABS(H1460)</x:f>
        <x:v>1.609017181396485</x:v>
      </x:c>
      <x:c r="J1460" s="40" t="n">
        <x:f>H1460^2</x:f>
        <x:v>2.5889362900290895</x:v>
      </x:c>
      <x:c r="K1460" s="40" t="n">
        <x:f>G1460-E1460</x:f>
        <x:v>0</x:v>
      </x:c>
      <x:c r="L1460" s="40" t="n">
        <x:f>ABS(K1460)</x:f>
        <x:v>0</x:v>
      </x:c>
      <x:c r="M1460" s="41" t="str">
        <x:v>lstm-soil-v1</x:v>
      </x:c>
    </x:row>
    <x:row r="1461">
      <x:c r="A1461" s="38" t="str">
        <x:v>7月30日现场数据</x:v>
      </x:c>
      <x:c r="B1461" s="39" t="str">
        <x:v>2026-08-01T19:55:00</x:v>
      </x:c>
      <x:c r="C1461" s="39" t="str">
        <x:v>2026-08-01T20:10:00</x:v>
      </x:c>
      <x:c r="D1461" s="47" t="n">
        <x:v>15</x:v>
      </x:c>
      <x:c r="E1461" s="40" t="n">
        <x:v>16.3</x:v>
      </x:c>
      <x:c r="F1461" s="40" t="n">
        <x:v>14.774162292480469</x:v>
      </x:c>
      <x:c r="G1461" s="40" t="n">
        <x:v>16.3</x:v>
      </x:c>
      <x:c r="H1461" s="40" t="n">
        <x:f>F1461-E1461</x:f>
        <x:v>-1.525837707519532</x:v>
      </x:c>
      <x:c r="I1461" s="40" t="n">
        <x:f>ABS(H1461)</x:f>
        <x:v>1.525837707519532</x:v>
      </x:c>
      <x:c r="J1461" s="40" t="n">
        <x:f>H1461^2</x:f>
        <x:v>2.3281807096884606</x:v>
      </x:c>
      <x:c r="K1461" s="40" t="n">
        <x:f>G1461-E1461</x:f>
        <x:v>0</x:v>
      </x:c>
      <x:c r="L1461" s="40" t="n">
        <x:f>ABS(K1461)</x:f>
        <x:v>0</x:v>
      </x:c>
      <x:c r="M1461" s="41" t="str">
        <x:v>lstm-soil-v1</x:v>
      </x:c>
    </x:row>
    <x:row r="1462">
      <x:c r="A1462" s="38" t="str">
        <x:v>7月30日现场数据</x:v>
      </x:c>
      <x:c r="B1462" s="39" t="str">
        <x:v>2026-08-01T19:55:00</x:v>
      </x:c>
      <x:c r="C1462" s="39" t="str">
        <x:v>2026-08-01T20:25:00</x:v>
      </x:c>
      <x:c r="D1462" s="47" t="n">
        <x:v>30</x:v>
      </x:c>
      <x:c r="E1462" s="40" t="n">
        <x:v>16.2</x:v>
      </x:c>
      <x:c r="F1462" s="40" t="n">
        <x:v>15.113468170166016</x:v>
      </x:c>
      <x:c r="G1462" s="40" t="n">
        <x:v>16.3</x:v>
      </x:c>
      <x:c r="H1462" s="40" t="n">
        <x:f>F1462-E1462</x:f>
        <x:v>-1.0865318298339837</x:v>
      </x:c>
      <x:c r="I1462" s="40" t="n">
        <x:f>ABS(H1462)</x:f>
        <x:v>1.0865318298339837</x:v>
      </x:c>
      <x:c r="J1462" s="40" t="n">
        <x:f>H1462^2</x:f>
        <x:v>1.1805514172423848</x:v>
      </x:c>
      <x:c r="K1462" s="40" t="n">
        <x:f>G1462-E1462</x:f>
        <x:v>0.10000000000000142</x:v>
      </x:c>
      <x:c r="L1462" s="40" t="n">
        <x:f>ABS(K1462)</x:f>
        <x:v>0.10000000000000142</x:v>
      </x:c>
      <x:c r="M1462" s="41" t="str">
        <x:v>lstm-soil-v1</x:v>
      </x:c>
    </x:row>
    <x:row r="1463">
      <x:c r="A1463" s="38" t="str">
        <x:v>7月30日现场数据</x:v>
      </x:c>
      <x:c r="B1463" s="39" t="str">
        <x:v>2026-08-01T19:55:00</x:v>
      </x:c>
      <x:c r="C1463" s="39" t="str">
        <x:v>2026-08-01T20:55:00</x:v>
      </x:c>
      <x:c r="D1463" s="47" t="n">
        <x:v>60</x:v>
      </x:c>
      <x:c r="E1463" s="40" t="n">
        <x:v>16.2</x:v>
      </x:c>
      <x:c r="F1463" s="40" t="n">
        <x:v>16.848278045654297</x:v>
      </x:c>
      <x:c r="G1463" s="40" t="n">
        <x:v>16.3</x:v>
      </x:c>
      <x:c r="H1463" s="40" t="n">
        <x:f>F1463-E1463</x:f>
        <x:v>0.6482780456542976</x:v>
      </x:c>
      <x:c r="I1463" s="40" t="n">
        <x:f>ABS(H1463)</x:f>
        <x:v>0.6482780456542976</x:v>
      </x:c>
      <x:c r="J1463" s="40" t="n">
        <x:f>H1463^2</x:f>
        <x:v>0.42026442447735557</x:v>
      </x:c>
      <x:c r="K1463" s="40" t="n">
        <x:f>G1463-E1463</x:f>
        <x:v>0.10000000000000142</x:v>
      </x:c>
      <x:c r="L1463" s="40" t="n">
        <x:f>ABS(K1463)</x:f>
        <x:v>0.10000000000000142</x:v>
      </x:c>
      <x:c r="M1463" s="41" t="str">
        <x:v>lstm-soil-v1</x:v>
      </x:c>
    </x:row>
    <x:row r="1464">
      <x:c r="A1464" s="38" t="str">
        <x:v>7月30日现场数据</x:v>
      </x:c>
      <x:c r="B1464" s="39" t="str">
        <x:v>2026-08-01T20:00:00</x:v>
      </x:c>
      <x:c r="C1464" s="39" t="str">
        <x:v>2026-08-01T20:05:00</x:v>
      </x:c>
      <x:c r="D1464" s="47" t="n">
        <x:v>5</x:v>
      </x:c>
      <x:c r="E1464" s="40" t="n">
        <x:v>16.2</x:v>
      </x:c>
      <x:c r="F1464" s="40" t="n">
        <x:v>14.688407897949219</x:v>
      </x:c>
      <x:c r="G1464" s="40" t="n">
        <x:v>16.3</x:v>
      </x:c>
      <x:c r="H1464" s="40" t="n">
        <x:f>F1464-E1464</x:f>
        <x:v>-1.5115921020507805</x:v>
      </x:c>
      <x:c r="I1464" s="40" t="n">
        <x:f>ABS(H1464)</x:f>
        <x:v>1.5115921020507805</x:v>
      </x:c>
      <x:c r="J1464" s="40" t="n">
        <x:f>H1464^2</x:f>
        <x:v>2.2849106829822974</x:v>
      </x:c>
      <x:c r="K1464" s="40" t="n">
        <x:f>G1464-E1464</x:f>
        <x:v>0.10000000000000142</x:v>
      </x:c>
      <x:c r="L1464" s="40" t="n">
        <x:f>ABS(K1464)</x:f>
        <x:v>0.10000000000000142</x:v>
      </x:c>
      <x:c r="M1464" s="41" t="str">
        <x:v>lstm-soil-v1</x:v>
      </x:c>
    </x:row>
    <x:row r="1465">
      <x:c r="A1465" s="38" t="str">
        <x:v>7月30日现场数据</x:v>
      </x:c>
      <x:c r="B1465" s="39" t="str">
        <x:v>2026-08-01T20:00:00</x:v>
      </x:c>
      <x:c r="C1465" s="39" t="str">
        <x:v>2026-08-01T20:15:00</x:v>
      </x:c>
      <x:c r="D1465" s="47" t="n">
        <x:v>15</x:v>
      </x:c>
      <x:c r="E1465" s="40" t="n">
        <x:v>16.3</x:v>
      </x:c>
      <x:c r="F1465" s="40" t="n">
        <x:v>14.77252197265625</x:v>
      </x:c>
      <x:c r="G1465" s="40" t="n">
        <x:v>16.3</x:v>
      </x:c>
      <x:c r="H1465" s="40" t="n">
        <x:f>F1465-E1465</x:f>
        <x:v>-1.5274780273437507</x:v>
      </x:c>
      <x:c r="I1465" s="40" t="n">
        <x:f>ABS(H1465)</x:f>
        <x:v>1.5274780273437507</x:v>
      </x:c>
      <x:c r="J1465" s="40" t="n">
        <x:f>H1465^2</x:f>
        <x:v>2.333189124017956</x:v>
      </x:c>
      <x:c r="K1465" s="40" t="n">
        <x:f>G1465-E1465</x:f>
        <x:v>0</x:v>
      </x:c>
      <x:c r="L1465" s="40" t="n">
        <x:f>ABS(K1465)</x:f>
        <x:v>0</x:v>
      </x:c>
      <x:c r="M1465" s="41" t="str">
        <x:v>lstm-soil-v1</x:v>
      </x:c>
    </x:row>
    <x:row r="1466">
      <x:c r="A1466" s="38" t="str">
        <x:v>7月30日现场数据</x:v>
      </x:c>
      <x:c r="B1466" s="39" t="str">
        <x:v>2026-08-01T20:00:00</x:v>
      </x:c>
      <x:c r="C1466" s="39" t="str">
        <x:v>2026-08-01T20:30:00</x:v>
      </x:c>
      <x:c r="D1466" s="47" t="n">
        <x:v>30</x:v>
      </x:c>
      <x:c r="E1466" s="40" t="n">
        <x:v>16.2</x:v>
      </x:c>
      <x:c r="F1466" s="40" t="n">
        <x:v>15.111984252929688</x:v>
      </x:c>
      <x:c r="G1466" s="40" t="n">
        <x:v>16.3</x:v>
      </x:c>
      <x:c r="H1466" s="40" t="n">
        <x:f>F1466-E1466</x:f>
        <x:v>-1.0880157470703118</x:v>
      </x:c>
      <x:c r="I1466" s="40" t="n">
        <x:f>ABS(H1466)</x:f>
        <x:v>1.0880157470703118</x:v>
      </x:c>
      <x:c r="J1466" s="40" t="n">
        <x:f>H1466^2</x:f>
        <x:v>1.1837782658729687</x:v>
      </x:c>
      <x:c r="K1466" s="40" t="n">
        <x:f>G1466-E1466</x:f>
        <x:v>0.10000000000000142</x:v>
      </x:c>
      <x:c r="L1466" s="40" t="n">
        <x:f>ABS(K1466)</x:f>
        <x:v>0.10000000000000142</x:v>
      </x:c>
      <x:c r="M1466" s="41" t="str">
        <x:v>lstm-soil-v1</x:v>
      </x:c>
    </x:row>
    <x:row r="1467">
      <x:c r="A1467" s="38" t="str">
        <x:v>7月30日现场数据</x:v>
      </x:c>
      <x:c r="B1467" s="39" t="str">
        <x:v>2026-08-01T20:00:00</x:v>
      </x:c>
      <x:c r="C1467" s="39" t="str">
        <x:v>2026-08-01T21:00:00</x:v>
      </x:c>
      <x:c r="D1467" s="47" t="n">
        <x:v>60</x:v>
      </x:c>
      <x:c r="E1467" s="40" t="n">
        <x:v>16.2</x:v>
      </x:c>
      <x:c r="F1467" s="40" t="n">
        <x:v>16.841842651367188</x:v>
      </x:c>
      <x:c r="G1467" s="40" t="n">
        <x:v>16.3</x:v>
      </x:c>
      <x:c r="H1467" s="40" t="n">
        <x:f>F1467-E1467</x:f>
        <x:v>0.6418426513671882</x:v>
      </x:c>
      <x:c r="I1467" s="40" t="n">
        <x:f>ABS(H1467)</x:f>
        <x:v>0.6418426513671882</x:v>
      </x:c>
      <x:c r="J1467" s="40" t="n">
        <x:f>H1467^2</x:f>
        <x:v>0.4119619891140619</x:v>
      </x:c>
      <x:c r="K1467" s="40" t="n">
        <x:f>G1467-E1467</x:f>
        <x:v>0.10000000000000142</x:v>
      </x:c>
      <x:c r="L1467" s="40" t="n">
        <x:f>ABS(K1467)</x:f>
        <x:v>0.10000000000000142</x:v>
      </x:c>
      <x:c r="M1467" s="41" t="str">
        <x:v>lstm-soil-v1</x:v>
      </x:c>
    </x:row>
    <x:row r="1468">
      <x:c r="A1468" s="38" t="str">
        <x:v>7月30日现场数据</x:v>
      </x:c>
      <x:c r="B1468" s="39" t="str">
        <x:v>2026-08-01T20:05:00</x:v>
      </x:c>
      <x:c r="C1468" s="39" t="str">
        <x:v>2026-08-01T20:10:00</x:v>
      </x:c>
      <x:c r="D1468" s="47" t="n">
        <x:v>5</x:v>
      </x:c>
      <x:c r="E1468" s="40" t="n">
        <x:v>16.3</x:v>
      </x:c>
      <x:c r="F1468" s="40" t="n">
        <x:v>14.5767822265625</x:v>
      </x:c>
      <x:c r="G1468" s="40" t="n">
        <x:v>16.2</x:v>
      </x:c>
      <x:c r="H1468" s="40" t="n">
        <x:f>F1468-E1468</x:f>
        <x:v>-1.7232177734375007</x:v>
      </x:c>
      <x:c r="I1468" s="40" t="n">
        <x:f>ABS(H1468)</x:f>
        <x:v>1.7232177734375007</x:v>
      </x:c>
      <x:c r="J1468" s="40" t="n">
        <x:f>H1468^2</x:f>
        <x:v>2.9694794946908973</x:v>
      </x:c>
      <x:c r="K1468" s="40" t="n">
        <x:f>G1468-E1468</x:f>
        <x:v>-0.10000000000000142</x:v>
      </x:c>
      <x:c r="L1468" s="40" t="n">
        <x:f>ABS(K1468)</x:f>
        <x:v>0.10000000000000142</x:v>
      </x:c>
      <x:c r="M1468" s="41" t="str">
        <x:v>lstm-soil-v1</x:v>
      </x:c>
    </x:row>
    <x:row r="1469">
      <x:c r="A1469" s="38" t="str">
        <x:v>7月30日现场数据</x:v>
      </x:c>
      <x:c r="B1469" s="39" t="str">
        <x:v>2026-08-01T20:05:00</x:v>
      </x:c>
      <x:c r="C1469" s="39" t="str">
        <x:v>2026-08-01T20:20:00</x:v>
      </x:c>
      <x:c r="D1469" s="47" t="n">
        <x:v>15</x:v>
      </x:c>
      <x:c r="E1469" s="40" t="n">
        <x:v>16.2</x:v>
      </x:c>
      <x:c r="F1469" s="40" t="n">
        <x:v>14.660758972167969</x:v>
      </x:c>
      <x:c r="G1469" s="40" t="n">
        <x:v>16.2</x:v>
      </x:c>
      <x:c r="H1469" s="40" t="n">
        <x:f>F1469-E1469</x:f>
        <x:v>-1.5392410278320305</x:v>
      </x:c>
      <x:c r="I1469" s="40" t="n">
        <x:f>ABS(H1469)</x:f>
        <x:v>1.5392410278320305</x:v>
      </x:c>
      <x:c r="J1469" s="40" t="n">
        <x:f>H1469^2</x:f>
        <x:v>2.3692629417614057</x:v>
      </x:c>
      <x:c r="K1469" s="40" t="n">
        <x:f>G1469-E1469</x:f>
        <x:v>0</x:v>
      </x:c>
      <x:c r="L1469" s="40" t="n">
        <x:f>ABS(K1469)</x:f>
        <x:v>0</x:v>
      </x:c>
      <x:c r="M1469" s="41" t="str">
        <x:v>lstm-soil-v1</x:v>
      </x:c>
    </x:row>
    <x:row r="1470">
      <x:c r="A1470" s="38" t="str">
        <x:v>7月30日现场数据</x:v>
      </x:c>
      <x:c r="B1470" s="39" t="str">
        <x:v>2026-08-01T20:05:00</x:v>
      </x:c>
      <x:c r="C1470" s="39" t="str">
        <x:v>2026-08-01T20:35:00</x:v>
      </x:c>
      <x:c r="D1470" s="47" t="n">
        <x:v>30</x:v>
      </x:c>
      <x:c r="E1470" s="40" t="n">
        <x:v>16.2</x:v>
      </x:c>
      <x:c r="F1470" s="40" t="n">
        <x:v>15.002044677734375</x:v>
      </x:c>
      <x:c r="G1470" s="40" t="n">
        <x:v>16.2</x:v>
      </x:c>
      <x:c r="H1470" s="40" t="n">
        <x:f>F1470-E1470</x:f>
        <x:v>-1.1979553222656243</x:v>
      </x:c>
      <x:c r="I1470" s="40" t="n">
        <x:f>ABS(H1470)</x:f>
        <x:v>1.1979553222656243</x:v>
      </x:c>
      <x:c r="J1470" s="40" t="n">
        <x:f>H1470^2</x:f>
        <x:v>1.4350969541445358</x:v>
      </x:c>
      <x:c r="K1470" s="40" t="n">
        <x:f>G1470-E1470</x:f>
        <x:v>0</x:v>
      </x:c>
      <x:c r="L1470" s="40" t="n">
        <x:f>ABS(K1470)</x:f>
        <x:v>0</x:v>
      </x:c>
      <x:c r="M1470" s="41" t="str">
        <x:v>lstm-soil-v1</x:v>
      </x:c>
    </x:row>
    <x:row r="1471">
      <x:c r="A1471" s="38" t="str">
        <x:v>7月30日现场数据</x:v>
      </x:c>
      <x:c r="B1471" s="39" t="str">
        <x:v>2026-08-01T20:05:00</x:v>
      </x:c>
      <x:c r="C1471" s="39" t="str">
        <x:v>2026-08-01T21:05:00</x:v>
      </x:c>
      <x:c r="D1471" s="47" t="n">
        <x:v>60</x:v>
      </x:c>
      <x:c r="E1471" s="40" t="n">
        <x:v>16.2</x:v>
      </x:c>
      <x:c r="F1471" s="40" t="n">
        <x:v>16.727317810058594</x:v>
      </x:c>
      <x:c r="G1471" s="40" t="n">
        <x:v>16.2</x:v>
      </x:c>
      <x:c r="H1471" s="40" t="n">
        <x:f>F1471-E1471</x:f>
        <x:v>0.5273178100585945</x:v>
      </x:c>
      <x:c r="I1471" s="40" t="n">
        <x:f>ABS(H1471)</x:f>
        <x:v>0.5273178100585945</x:v>
      </x:c>
      <x:c r="J1471" s="40" t="n">
        <x:f>H1471^2</x:f>
        <x:v>0.2780640728049919</x:v>
      </x:c>
      <x:c r="K1471" s="40" t="n">
        <x:f>G1471-E1471</x:f>
        <x:v>0</x:v>
      </x:c>
      <x:c r="L1471" s="40" t="n">
        <x:f>ABS(K1471)</x:f>
        <x:v>0</x:v>
      </x:c>
      <x:c r="M1471" s="41" t="str">
        <x:v>lstm-soil-v1</x:v>
      </x:c>
    </x:row>
    <x:row r="1472">
      <x:c r="A1472" s="38" t="str">
        <x:v>7月30日现场数据</x:v>
      </x:c>
      <x:c r="B1472" s="39" t="str">
        <x:v>2026-08-01T20:10:00</x:v>
      </x:c>
      <x:c r="C1472" s="39" t="str">
        <x:v>2026-08-01T20:15:00</x:v>
      </x:c>
      <x:c r="D1472" s="47" t="n">
        <x:v>5</x:v>
      </x:c>
      <x:c r="E1472" s="40" t="n">
        <x:v>16.3</x:v>
      </x:c>
      <x:c r="F1472" s="40" t="n">
        <x:v>14.68600082397461</x:v>
      </x:c>
      <x:c r="G1472" s="40" t="n">
        <x:v>16.3</x:v>
      </x:c>
      <x:c r="H1472" s="40" t="n">
        <x:f>F1472-E1472</x:f>
        <x:v>-1.6139991760253913</x:v>
      </x:c>
      <x:c r="I1472" s="40" t="n">
        <x:f>ABS(H1472)</x:f>
        <x:v>1.6139991760253913</x:v>
      </x:c>
      <x:c r="J1472" s="40" t="n">
        <x:f>H1472^2</x:f>
        <x:v>2.604993340210642</x:v>
      </x:c>
      <x:c r="K1472" s="40" t="n">
        <x:f>G1472-E1472</x:f>
        <x:v>0</x:v>
      </x:c>
      <x:c r="L1472" s="40" t="n">
        <x:f>ABS(K1472)</x:f>
        <x:v>0</x:v>
      </x:c>
      <x:c r="M1472" s="41" t="str">
        <x:v>lstm-soil-v1</x:v>
      </x:c>
    </x:row>
    <x:row r="1473">
      <x:c r="A1473" s="38" t="str">
        <x:v>7月30日现场数据</x:v>
      </x:c>
      <x:c r="B1473" s="39" t="str">
        <x:v>2026-08-01T20:10:00</x:v>
      </x:c>
      <x:c r="C1473" s="39" t="str">
        <x:v>2026-08-01T20:25:00</x:v>
      </x:c>
      <x:c r="D1473" s="47" t="n">
        <x:v>15</x:v>
      </x:c>
      <x:c r="E1473" s="40" t="n">
        <x:v>16.2</x:v>
      </x:c>
      <x:c r="F1473" s="40" t="n">
        <x:v>14.769477844238281</x:v>
      </x:c>
      <x:c r="G1473" s="40" t="n">
        <x:v>16.3</x:v>
      </x:c>
      <x:c r="H1473" s="40" t="n">
        <x:f>F1473-E1473</x:f>
        <x:v>-1.430522155761718</x:v>
      </x:c>
      <x:c r="I1473" s="40" t="n">
        <x:f>ABS(H1473)</x:f>
        <x:v>1.430522155761718</x:v>
      </x:c>
      <x:c r="J1473" s="40" t="n">
        <x:f>H1473^2</x:f>
        <x:v>2.0463936381251533</x:v>
      </x:c>
      <x:c r="K1473" s="40" t="n">
        <x:f>G1473-E1473</x:f>
        <x:v>0.10000000000000142</x:v>
      </x:c>
      <x:c r="L1473" s="40" t="n">
        <x:f>ABS(K1473)</x:f>
        <x:v>0.10000000000000142</x:v>
      </x:c>
      <x:c r="M1473" s="41" t="str">
        <x:v>lstm-soil-v1</x:v>
      </x:c>
    </x:row>
    <x:row r="1474">
      <x:c r="A1474" s="38" t="str">
        <x:v>7月30日现场数据</x:v>
      </x:c>
      <x:c r="B1474" s="39" t="str">
        <x:v>2026-08-01T20:10:00</x:v>
      </x:c>
      <x:c r="C1474" s="39" t="str">
        <x:v>2026-08-01T20:40:00</x:v>
      </x:c>
      <x:c r="D1474" s="47" t="n">
        <x:v>30</x:v>
      </x:c>
      <x:c r="E1474" s="40" t="n">
        <x:v>16.2</x:v>
      </x:c>
      <x:c r="F1474" s="40" t="n">
        <x:v>15.113052368164062</x:v>
      </x:c>
      <x:c r="G1474" s="40" t="n">
        <x:v>16.3</x:v>
      </x:c>
      <x:c r="H1474" s="40" t="n">
        <x:f>F1474-E1474</x:f>
        <x:v>-1.0869476318359368</x:v>
      </x:c>
      <x:c r="I1474" s="40" t="n">
        <x:f>ABS(H1474)</x:f>
        <x:v>1.0869476318359368</x:v>
      </x:c>
      <x:c r="J1474" s="40" t="n">
        <x:f>H1474^2</x:f>
        <x:v>1.1814551543537513</x:v>
      </x:c>
      <x:c r="K1474" s="40" t="n">
        <x:f>G1474-E1474</x:f>
        <x:v>0.10000000000000142</x:v>
      </x:c>
      <x:c r="L1474" s="40" t="n">
        <x:f>ABS(K1474)</x:f>
        <x:v>0.10000000000000142</x:v>
      </x:c>
      <x:c r="M1474" s="41" t="str">
        <x:v>lstm-soil-v1</x:v>
      </x:c>
    </x:row>
    <x:row r="1475">
      <x:c r="A1475" s="38" t="str">
        <x:v>7月30日现场数据</x:v>
      </x:c>
      <x:c r="B1475" s="39" t="str">
        <x:v>2026-08-01T20:10:00</x:v>
      </x:c>
      <x:c r="C1475" s="39" t="str">
        <x:v>2026-08-01T21:10:00</x:v>
      </x:c>
      <x:c r="D1475" s="47" t="n">
        <x:v>60</x:v>
      </x:c>
      <x:c r="E1475" s="40" t="n">
        <x:v>16.2</x:v>
      </x:c>
      <x:c r="F1475" s="40" t="n">
        <x:v>16.834640502929688</x:v>
      </x:c>
      <x:c r="G1475" s="40" t="n">
        <x:v>16.3</x:v>
      </x:c>
      <x:c r="H1475" s="40" t="n">
        <x:f>F1475-E1475</x:f>
        <x:v>0.6346405029296882</x:v>
      </x:c>
      <x:c r="I1475" s="40" t="n">
        <x:f>ABS(H1475)</x:f>
        <x:v>0.6346405029296882</x:v>
      </x:c>
      <x:c r="J1475" s="40" t="n">
        <x:f>H1475^2</x:f>
        <x:v>0.4027685679588476</x:v>
      </x:c>
      <x:c r="K1475" s="40" t="n">
        <x:f>G1475-E1475</x:f>
        <x:v>0.10000000000000142</x:v>
      </x:c>
      <x:c r="L1475" s="40" t="n">
        <x:f>ABS(K1475)</x:f>
        <x:v>0.10000000000000142</x:v>
      </x:c>
      <x:c r="M1475" s="41" t="str">
        <x:v>lstm-soil-v1</x:v>
      </x:c>
    </x:row>
    <x:row r="1476">
      <x:c r="A1476" s="38" t="str">
        <x:v>7月30日现场数据</x:v>
      </x:c>
      <x:c r="B1476" s="39" t="str">
        <x:v>2026-08-01T20:15:00</x:v>
      </x:c>
      <x:c r="C1476" s="39" t="str">
        <x:v>2026-08-01T20:20:00</x:v>
      </x:c>
      <x:c r="D1476" s="47" t="n">
        <x:v>5</x:v>
      </x:c>
      <x:c r="E1476" s="40" t="n">
        <x:v>16.2</x:v>
      </x:c>
      <x:c r="F1476" s="40" t="n">
        <x:v>14.685539245605469</x:v>
      </x:c>
      <x:c r="G1476" s="40" t="n">
        <x:v>16.3</x:v>
      </x:c>
      <x:c r="H1476" s="40" t="n">
        <x:f>F1476-E1476</x:f>
        <x:v>-1.5144607543945305</x:v>
      </x:c>
      <x:c r="I1476" s="40" t="n">
        <x:f>ABS(H1476)</x:f>
        <x:v>1.5144607543945305</x:v>
      </x:c>
      <x:c r="J1476" s="40" t="n">
        <x:f>H1476^2</x:f>
        <x:v>2.2935913766012503</x:v>
      </x:c>
      <x:c r="K1476" s="40" t="n">
        <x:f>G1476-E1476</x:f>
        <x:v>0.10000000000000142</x:v>
      </x:c>
      <x:c r="L1476" s="40" t="n">
        <x:f>ABS(K1476)</x:f>
        <x:v>0.10000000000000142</x:v>
      </x:c>
      <x:c r="M1476" s="41" t="str">
        <x:v>lstm-soil-v1</x:v>
      </x:c>
    </x:row>
    <x:row r="1477">
      <x:c r="A1477" s="38" t="str">
        <x:v>7月30日现场数据</x:v>
      </x:c>
      <x:c r="B1477" s="39" t="str">
        <x:v>2026-08-01T20:15:00</x:v>
      </x:c>
      <x:c r="C1477" s="39" t="str">
        <x:v>2026-08-01T20:30:00</x:v>
      </x:c>
      <x:c r="D1477" s="47" t="n">
        <x:v>15</x:v>
      </x:c>
      <x:c r="E1477" s="40" t="n">
        <x:v>16.2</x:v>
      </x:c>
      <x:c r="F1477" s="40" t="n">
        <x:v>14.768508911132812</x:v>
      </x:c>
      <x:c r="G1477" s="40" t="n">
        <x:v>16.3</x:v>
      </x:c>
      <x:c r="H1477" s="40" t="n">
        <x:f>F1477-E1477</x:f>
        <x:v>-1.4314910888671868</x:v>
      </x:c>
      <x:c r="I1477" s="40" t="n">
        <x:f>ABS(H1477)</x:f>
        <x:v>1.4314910888671868</x:v>
      </x:c>
      <x:c r="J1477" s="40" t="n">
        <x:f>H1477^2</x:f>
        <x:v>2.049166737506164</x:v>
      </x:c>
      <x:c r="K1477" s="40" t="n">
        <x:f>G1477-E1477</x:f>
        <x:v>0.10000000000000142</x:v>
      </x:c>
      <x:c r="L1477" s="40" t="n">
        <x:f>ABS(K1477)</x:f>
        <x:v>0.10000000000000142</x:v>
      </x:c>
      <x:c r="M1477" s="41" t="str">
        <x:v>lstm-soil-v1</x:v>
      </x:c>
    </x:row>
    <x:row r="1478">
      <x:c r="A1478" s="38" t="str">
        <x:v>7月30日现场数据</x:v>
      </x:c>
      <x:c r="B1478" s="39" t="str">
        <x:v>2026-08-01T20:15:00</x:v>
      </x:c>
      <x:c r="C1478" s="39" t="str">
        <x:v>2026-08-01T20:45:00</x:v>
      </x:c>
      <x:c r="D1478" s="47" t="n">
        <x:v>30</x:v>
      </x:c>
      <x:c r="E1478" s="40" t="n">
        <x:v>16.2</x:v>
      </x:c>
      <x:c r="F1478" s="40" t="n">
        <x:v>15.114356994628906</x:v>
      </x:c>
      <x:c r="G1478" s="40" t="n">
        <x:v>16.3</x:v>
      </x:c>
      <x:c r="H1478" s="40" t="n">
        <x:f>F1478-E1478</x:f>
        <x:v>-1.085643005371093</x:v>
      </x:c>
      <x:c r="I1478" s="40" t="n">
        <x:f>ABS(H1478)</x:f>
        <x:v>1.085643005371093</x:v>
      </x:c>
      <x:c r="J1478" s="40" t="n">
        <x:f>H1478^2</x:f>
        <x:v>1.178620735111179</x:v>
      </x:c>
      <x:c r="K1478" s="40" t="n">
        <x:f>G1478-E1478</x:f>
        <x:v>0.10000000000000142</x:v>
      </x:c>
      <x:c r="L1478" s="40" t="n">
        <x:f>ABS(K1478)</x:f>
        <x:v>0.10000000000000142</x:v>
      </x:c>
      <x:c r="M1478" s="41" t="str">
        <x:v>lstm-soil-v1</x:v>
      </x:c>
    </x:row>
    <x:row r="1479">
      <x:c r="A1479" s="38" t="str">
        <x:v>7月30日现场数据</x:v>
      </x:c>
      <x:c r="B1479" s="39" t="str">
        <x:v>2026-08-01T20:15:00</x:v>
      </x:c>
      <x:c r="C1479" s="39" t="str">
        <x:v>2026-08-01T21:15:00</x:v>
      </x:c>
      <x:c r="D1479" s="47" t="n">
        <x:v>60</x:v>
      </x:c>
      <x:c r="E1479" s="40" t="n">
        <x:v>16.2</x:v>
      </x:c>
      <x:c r="F1479" s="40" t="n">
        <x:v>16.83318328857422</x:v>
      </x:c>
      <x:c r="G1479" s="40" t="n">
        <x:v>16.3</x:v>
      </x:c>
      <x:c r="H1479" s="40" t="n">
        <x:f>F1479-E1479</x:f>
        <x:v>0.6331832885742195</x:v>
      </x:c>
      <x:c r="I1479" s="40" t="n">
        <x:f>ABS(H1479)</x:f>
        <x:v>0.6331832885742195</x:v>
      </x:c>
      <x:c r="J1479" s="40" t="n">
        <x:f>H1479^2</x:f>
        <x:v>0.4009210769296633</x:v>
      </x:c>
      <x:c r="K1479" s="40" t="n">
        <x:f>G1479-E1479</x:f>
        <x:v>0.10000000000000142</x:v>
      </x:c>
      <x:c r="L1479" s="40" t="n">
        <x:f>ABS(K1479)</x:f>
        <x:v>0.10000000000000142</x:v>
      </x:c>
      <x:c r="M1479" s="41" t="str">
        <x:v>lstm-soil-v1</x:v>
      </x:c>
    </x:row>
    <x:row r="1480">
      <x:c r="A1480" s="38" t="str">
        <x:v>7月30日现场数据</x:v>
      </x:c>
      <x:c r="B1480" s="39" t="str">
        <x:v>2026-08-01T20:20:00</x:v>
      </x:c>
      <x:c r="C1480" s="39" t="str">
        <x:v>2026-08-01T20:25:00</x:v>
      </x:c>
      <x:c r="D1480" s="47" t="n">
        <x:v>5</x:v>
      </x:c>
      <x:c r="E1480" s="40" t="n">
        <x:v>16.2</x:v>
      </x:c>
      <x:c r="F1480" s="40" t="n">
        <x:v>14.574966430664062</x:v>
      </x:c>
      <x:c r="G1480" s="40" t="n">
        <x:v>16.2</x:v>
      </x:c>
      <x:c r="H1480" s="40" t="n">
        <x:f>F1480-E1480</x:f>
        <x:v>-1.6250335693359368</x:v>
      </x:c>
      <x:c r="I1480" s="40" t="n">
        <x:f>ABS(H1480)</x:f>
        <x:v>1.6250335693359368</x:v>
      </x:c>
      <x:c r="J1480" s="40" t="n">
        <x:f>H1480^2</x:f>
        <x:v>2.640734101468695</x:v>
      </x:c>
      <x:c r="K1480" s="40" t="n">
        <x:f>G1480-E1480</x:f>
        <x:v>0</x:v>
      </x:c>
      <x:c r="L1480" s="40" t="n">
        <x:f>ABS(K1480)</x:f>
        <x:v>0</x:v>
      </x:c>
      <x:c r="M1480" s="41" t="str">
        <x:v>lstm-soil-v1</x:v>
      </x:c>
    </x:row>
    <x:row r="1481">
      <x:c r="A1481" s="38" t="str">
        <x:v>7月30日现场数据</x:v>
      </x:c>
      <x:c r="B1481" s="39" t="str">
        <x:v>2026-08-01T20:20:00</x:v>
      </x:c>
      <x:c r="C1481" s="39" t="str">
        <x:v>2026-08-01T20:35:00</x:v>
      </x:c>
      <x:c r="D1481" s="47" t="n">
        <x:v>15</x:v>
      </x:c>
      <x:c r="E1481" s="40" t="n">
        <x:v>16.2</x:v>
      </x:c>
      <x:c r="F1481" s="40" t="n">
        <x:v>14.657596588134766</x:v>
      </x:c>
      <x:c r="G1481" s="40" t="n">
        <x:v>16.2</x:v>
      </x:c>
      <x:c r="H1481" s="40" t="n">
        <x:f>F1481-E1481</x:f>
        <x:v>-1.5424034118652337</x:v>
      </x:c>
      <x:c r="I1481" s="40" t="n">
        <x:f>ABS(H1481)</x:f>
        <x:v>1.5424034118652337</x:v>
      </x:c>
      <x:c r="J1481" s="40" t="n">
        <x:f>H1481^2</x:f>
        <x:v>2.3790082849335135</x:v>
      </x:c>
      <x:c r="K1481" s="40" t="n">
        <x:f>G1481-E1481</x:f>
        <x:v>0</x:v>
      </x:c>
      <x:c r="L1481" s="40" t="n">
        <x:f>ABS(K1481)</x:f>
        <x:v>0</x:v>
      </x:c>
      <x:c r="M1481" s="41" t="str">
        <x:v>lstm-soil-v1</x:v>
      </x:c>
    </x:row>
    <x:row r="1482">
      <x:c r="A1482" s="38" t="str">
        <x:v>7月30日现场数据</x:v>
      </x:c>
      <x:c r="B1482" s="39" t="str">
        <x:v>2026-08-01T20:20:00</x:v>
      </x:c>
      <x:c r="C1482" s="39" t="str">
        <x:v>2026-08-01T20:50:00</x:v>
      </x:c>
      <x:c r="D1482" s="47" t="n">
        <x:v>30</x:v>
      </x:c>
      <x:c r="E1482" s="40" t="n">
        <x:v>16.2</x:v>
      </x:c>
      <x:c r="F1482" s="40" t="n">
        <x:v>15.005477905273438</x:v>
      </x:c>
      <x:c r="G1482" s="40" t="n">
        <x:v>16.2</x:v>
      </x:c>
      <x:c r="H1482" s="40" t="n">
        <x:f>F1482-E1482</x:f>
        <x:v>-1.1945220947265618</x:v>
      </x:c>
      <x:c r="I1482" s="40" t="n">
        <x:f>ABS(H1482)</x:f>
        <x:v>1.1945220947265618</x:v>
      </x:c>
      <x:c r="J1482" s="40" t="n">
        <x:f>H1482^2</x:f>
        <x:v>1.426883034789933</x:v>
      </x:c>
      <x:c r="K1482" s="40" t="n">
        <x:f>G1482-E1482</x:f>
        <x:v>0</x:v>
      </x:c>
      <x:c r="L1482" s="40" t="n">
        <x:f>ABS(K1482)</x:f>
        <x:v>0</x:v>
      </x:c>
      <x:c r="M1482" s="41" t="str">
        <x:v>lstm-soil-v1</x:v>
      </x:c>
    </x:row>
    <x:row r="1483">
      <x:c r="A1483" s="38" t="str">
        <x:v>7月30日现场数据</x:v>
      </x:c>
      <x:c r="B1483" s="39" t="str">
        <x:v>2026-08-01T20:20:00</x:v>
      </x:c>
      <x:c r="C1483" s="39" t="str">
        <x:v>2026-08-01T21:20:00</x:v>
      </x:c>
      <x:c r="D1483" s="47" t="n">
        <x:v>60</x:v>
      </x:c>
      <x:c r="E1483" s="40" t="n">
        <x:v>16.2</x:v>
      </x:c>
      <x:c r="F1483" s="40" t="n">
        <x:v>16.72222900390625</x:v>
      </x:c>
      <x:c r="G1483" s="40" t="n">
        <x:v>16.2</x:v>
      </x:c>
      <x:c r="H1483" s="40" t="n">
        <x:f>F1483-E1483</x:f>
        <x:v>0.5222290039062507</x:v>
      </x:c>
      <x:c r="I1483" s="40" t="n">
        <x:f>ABS(H1483)</x:f>
        <x:v>0.5222290039062507</x:v>
      </x:c>
      <x:c r="J1483" s="40" t="n">
        <x:f>H1483^2</x:f>
        <x:v>0.27272313252091485</x:v>
      </x:c>
      <x:c r="K1483" s="40" t="n">
        <x:f>G1483-E1483</x:f>
        <x:v>0</x:v>
      </x:c>
      <x:c r="L1483" s="40" t="n">
        <x:f>ABS(K1483)</x:f>
        <x:v>0</x:v>
      </x:c>
      <x:c r="M1483" s="41" t="str">
        <x:v>lstm-soil-v1</x:v>
      </x:c>
    </x:row>
    <x:row r="1484">
      <x:c r="A1484" s="38" t="str">
        <x:v>7月30日现场数据</x:v>
      </x:c>
      <x:c r="B1484" s="39" t="str">
        <x:v>2026-08-01T20:25:00</x:v>
      </x:c>
      <x:c r="C1484" s="39" t="str">
        <x:v>2026-08-01T20:30:00</x:v>
      </x:c>
      <x:c r="D1484" s="47" t="n">
        <x:v>5</x:v>
      </x:c>
      <x:c r="E1484" s="40" t="n">
        <x:v>16.2</x:v>
      </x:c>
      <x:c r="F1484" s="40" t="n">
        <x:v>14.574787139892578</x:v>
      </x:c>
      <x:c r="G1484" s="40" t="n">
        <x:v>16.2</x:v>
      </x:c>
      <x:c r="H1484" s="40" t="n">
        <x:f>F1484-E1484</x:f>
        <x:v>-1.6252128601074212</x:v>
      </x:c>
      <x:c r="I1484" s="40" t="n">
        <x:f>ABS(H1484)</x:f>
        <x:v>1.6252128601074212</x:v>
      </x:c>
      <x:c r="J1484" s="40" t="n">
        <x:f>H1484^2</x:f>
        <x:v>2.6413168406585443</x:v>
      </x:c>
      <x:c r="K1484" s="40" t="n">
        <x:f>G1484-E1484</x:f>
        <x:v>0</x:v>
      </x:c>
      <x:c r="L1484" s="40" t="n">
        <x:f>ABS(K1484)</x:f>
        <x:v>0</x:v>
      </x:c>
      <x:c r="M1484" s="41" t="str">
        <x:v>lstm-soil-v1</x:v>
      </x:c>
    </x:row>
    <x:row r="1485">
      <x:c r="A1485" s="38" t="str">
        <x:v>7月30日现场数据</x:v>
      </x:c>
      <x:c r="B1485" s="39" t="str">
        <x:v>2026-08-01T20:25:00</x:v>
      </x:c>
      <x:c r="C1485" s="39" t="str">
        <x:v>2026-08-01T20:40:00</x:v>
      </x:c>
      <x:c r="D1485" s="47" t="n">
        <x:v>15</x:v>
      </x:c>
      <x:c r="E1485" s="40" t="n">
        <x:v>16.2</x:v>
      </x:c>
      <x:c r="F1485" s="40" t="n">
        <x:v>14.657089233398438</x:v>
      </x:c>
      <x:c r="G1485" s="40" t="n">
        <x:v>16.2</x:v>
      </x:c>
      <x:c r="H1485" s="40" t="n">
        <x:f>F1485-E1485</x:f>
        <x:v>-1.5429107666015618</x:v>
      </x:c>
      <x:c r="I1485" s="40" t="n">
        <x:f>ABS(H1485)</x:f>
        <x:v>1.5429107666015618</x:v>
      </x:c>
      <x:c r="J1485" s="40" t="n">
        <x:f>H1485^2</x:f>
        <x:v>2.380573633695019</x:v>
      </x:c>
      <x:c r="K1485" s="40" t="n">
        <x:f>G1485-E1485</x:f>
        <x:v>0</x:v>
      </x:c>
      <x:c r="L1485" s="40" t="n">
        <x:f>ABS(K1485)</x:f>
        <x:v>0</x:v>
      </x:c>
      <x:c r="M1485" s="41" t="str">
        <x:v>lstm-soil-v1</x:v>
      </x:c>
    </x:row>
    <x:row r="1486">
      <x:c r="A1486" s="38" t="str">
        <x:v>7月30日现场数据</x:v>
      </x:c>
      <x:c r="B1486" s="39" t="str">
        <x:v>2026-08-01T20:25:00</x:v>
      </x:c>
      <x:c r="C1486" s="39" t="str">
        <x:v>2026-08-01T20:55:00</x:v>
      </x:c>
      <x:c r="D1486" s="47" t="n">
        <x:v>30</x:v>
      </x:c>
      <x:c r="E1486" s="40" t="n">
        <x:v>16.2</x:v>
      </x:c>
      <x:c r="F1486" s="40" t="n">
        <x:v>15.006877899169922</x:v>
      </x:c>
      <x:c r="G1486" s="40" t="n">
        <x:v>16.2</x:v>
      </x:c>
      <x:c r="H1486" s="40" t="n">
        <x:f>F1486-E1486</x:f>
        <x:v>-1.1931221008300774</x:v>
      </x:c>
      <x:c r="I1486" s="40" t="n">
        <x:f>ABS(H1486)</x:f>
        <x:v>1.1931221008300774</x:v>
      </x:c>
      <x:c r="J1486" s="40" t="n">
        <x:f>H1486^2</x:f>
        <x:v>1.4235403474891775</x:v>
      </x:c>
      <x:c r="K1486" s="40" t="n">
        <x:f>G1486-E1486</x:f>
        <x:v>0</x:v>
      </x:c>
      <x:c r="L1486" s="40" t="n">
        <x:f>ABS(K1486)</x:f>
        <x:v>0</x:v>
      </x:c>
      <x:c r="M1486" s="41" t="str">
        <x:v>lstm-soil-v1</x:v>
      </x:c>
    </x:row>
    <x:row r="1487">
      <x:c r="A1487" s="38" t="str">
        <x:v>7月30日现场数据</x:v>
      </x:c>
      <x:c r="B1487" s="39" t="str">
        <x:v>2026-08-01T20:25:00</x:v>
      </x:c>
      <x:c r="C1487" s="39" t="str">
        <x:v>2026-08-01T21:25:00</x:v>
      </x:c>
      <x:c r="D1487" s="47" t="n">
        <x:v>60</x:v>
      </x:c>
      <x:c r="E1487" s="40" t="n">
        <x:v>16.2</x:v>
      </x:c>
      <x:c r="F1487" s="40" t="n">
        <x:v>16.72203826904297</x:v>
      </x:c>
      <x:c r="G1487" s="40" t="n">
        <x:v>16.2</x:v>
      </x:c>
      <x:c r="H1487" s="40" t="n">
        <x:f>F1487-E1487</x:f>
        <x:v>0.5220382690429695</x:v>
      </x:c>
      <x:c r="I1487" s="40" t="n">
        <x:f>ABS(H1487)</x:f>
        <x:v>0.5220382690429695</x:v>
      </x:c>
      <x:c r="J1487" s="40" t="n">
        <x:f>H1487^2</x:f>
        <x:v>0.2725239543453798</x:v>
      </x:c>
      <x:c r="K1487" s="40" t="n">
        <x:f>G1487-E1487</x:f>
        <x:v>0</x:v>
      </x:c>
      <x:c r="L1487" s="40" t="n">
        <x:f>ABS(K1487)</x:f>
        <x:v>0</x:v>
      </x:c>
      <x:c r="M1487" s="41" t="str">
        <x:v>lstm-soil-v1</x:v>
      </x:c>
    </x:row>
    <x:row r="1488">
      <x:c r="A1488" s="38" t="str">
        <x:v>7月30日现场数据</x:v>
      </x:c>
      <x:c r="B1488" s="39" t="str">
        <x:v>2026-08-01T20:30:00</x:v>
      </x:c>
      <x:c r="C1488" s="39" t="str">
        <x:v>2026-08-01T20:35:00</x:v>
      </x:c>
      <x:c r="D1488" s="47" t="n">
        <x:v>5</x:v>
      </x:c>
      <x:c r="E1488" s="40" t="n">
        <x:v>16.2</x:v>
      </x:c>
      <x:c r="F1488" s="40" t="n">
        <x:v>14.574966430664062</x:v>
      </x:c>
      <x:c r="G1488" s="40" t="n">
        <x:v>16.2</x:v>
      </x:c>
      <x:c r="H1488" s="40" t="n">
        <x:f>F1488-E1488</x:f>
        <x:v>-1.6250335693359368</x:v>
      </x:c>
      <x:c r="I1488" s="40" t="n">
        <x:f>ABS(H1488)</x:f>
        <x:v>1.6250335693359368</x:v>
      </x:c>
      <x:c r="J1488" s="40" t="n">
        <x:f>H1488^2</x:f>
        <x:v>2.640734101468695</x:v>
      </x:c>
      <x:c r="K1488" s="40" t="n">
        <x:f>G1488-E1488</x:f>
        <x:v>0</x:v>
      </x:c>
      <x:c r="L1488" s="40" t="n">
        <x:f>ABS(K1488)</x:f>
        <x:v>0</x:v>
      </x:c>
      <x:c r="M1488" s="41" t="str">
        <x:v>lstm-soil-v1</x:v>
      </x:c>
    </x:row>
    <x:row r="1489">
      <x:c r="A1489" s="38" t="str">
        <x:v>7月30日现场数据</x:v>
      </x:c>
      <x:c r="B1489" s="39" t="str">
        <x:v>2026-08-01T20:30:00</x:v>
      </x:c>
      <x:c r="C1489" s="39" t="str">
        <x:v>2026-08-01T20:45:00</x:v>
      </x:c>
      <x:c r="D1489" s="47" t="n">
        <x:v>15</x:v>
      </x:c>
      <x:c r="E1489" s="40" t="n">
        <x:v>16.2</x:v>
      </x:c>
      <x:c r="F1489" s="40" t="n">
        <x:v>14.65707778930664</x:v>
      </x:c>
      <x:c r="G1489" s="40" t="n">
        <x:v>16.2</x:v>
      </x:c>
      <x:c r="H1489" s="40" t="n">
        <x:f>F1489-E1489</x:f>
        <x:v>-1.5429222106933587</x:v>
      </x:c>
      <x:c r="I1489" s="40" t="n">
        <x:f>ABS(H1489)</x:f>
        <x:v>1.5429222106933587</x:v>
      </x:c>
      <x:c r="J1489" s="40" t="n">
        <x:f>H1489^2</x:f>
        <x:v>2.380608948250881</x:v>
      </x:c>
      <x:c r="K1489" s="40" t="n">
        <x:f>G1489-E1489</x:f>
        <x:v>0</x:v>
      </x:c>
      <x:c r="L1489" s="40" t="n">
        <x:f>ABS(K1489)</x:f>
        <x:v>0</x:v>
      </x:c>
      <x:c r="M1489" s="41" t="str">
        <x:v>lstm-soil-v1</x:v>
      </x:c>
    </x:row>
    <x:row r="1490">
      <x:c r="A1490" s="38" t="str">
        <x:v>7月30日现场数据</x:v>
      </x:c>
      <x:c r="B1490" s="39" t="str">
        <x:v>2026-08-01T20:30:00</x:v>
      </x:c>
      <x:c r="C1490" s="39" t="str">
        <x:v>2026-08-01T21:00:00</x:v>
      </x:c>
      <x:c r="D1490" s="47" t="n">
        <x:v>30</x:v>
      </x:c>
      <x:c r="E1490" s="40" t="n">
        <x:v>16.2</x:v>
      </x:c>
      <x:c r="F1490" s="40" t="n">
        <x:v>15.008487701416016</x:v>
      </x:c>
      <x:c r="G1490" s="40" t="n">
        <x:v>16.2</x:v>
      </x:c>
      <x:c r="H1490" s="40" t="n">
        <x:f>F1490-E1490</x:f>
        <x:v>-1.1915122985839837</x:v>
      </x:c>
      <x:c r="I1490" s="40" t="n">
        <x:f>ABS(H1490)</x:f>
        <x:v>1.1915122985839837</x:v>
      </x:c>
      <x:c r="J1490" s="40" t="n">
        <x:f>H1490^2</x:f>
        <x:v>1.4197015576768883</x:v>
      </x:c>
      <x:c r="K1490" s="40" t="n">
        <x:f>G1490-E1490</x:f>
        <x:v>0</x:v>
      </x:c>
      <x:c r="L1490" s="40" t="n">
        <x:f>ABS(K1490)</x:f>
        <x:v>0</x:v>
      </x:c>
      <x:c r="M1490" s="41" t="str">
        <x:v>lstm-soil-v1</x:v>
      </x:c>
    </x:row>
    <x:row r="1491">
      <x:c r="A1491" s="38" t="str">
        <x:v>7月30日现场数据</x:v>
      </x:c>
      <x:c r="B1491" s="39" t="str">
        <x:v>2026-08-01T20:30:00</x:v>
      </x:c>
      <x:c r="C1491" s="39" t="str">
        <x:v>2026-08-01T21:30:00</x:v>
      </x:c>
      <x:c r="D1491" s="47" t="n">
        <x:v>60</x:v>
      </x:c>
      <x:c r="E1491" s="40" t="n">
        <x:v>16.1</x:v>
      </x:c>
      <x:c r="F1491" s="40" t="n">
        <x:v>16.722782135009766</x:v>
      </x:c>
      <x:c r="G1491" s="40" t="n">
        <x:v>16.2</x:v>
      </x:c>
      <x:c r="H1491" s="40" t="n">
        <x:f>F1491-E1491</x:f>
        <x:v>0.6227821350097642</x:v>
      </x:c>
      <x:c r="I1491" s="40" t="n">
        <x:f>ABS(H1491)</x:f>
        <x:v>0.6227821350097642</x:v>
      </x:c>
      <x:c r="J1491" s="40" t="n">
        <x:f>H1491^2</x:f>
        <x:v>0.38785758768732015</x:v>
      </x:c>
      <x:c r="K1491" s="40" t="n">
        <x:f>G1491-E1491</x:f>
        <x:v>0.09999999999999787</x:v>
      </x:c>
      <x:c r="L1491" s="40" t="n">
        <x:f>ABS(K1491)</x:f>
        <x:v>0.09999999999999787</x:v>
      </x:c>
      <x:c r="M1491" s="41" t="str">
        <x:v>lstm-soil-v1</x:v>
      </x:c>
    </x:row>
    <x:row r="1492">
      <x:c r="A1492" s="38" t="str">
        <x:v>7月30日现场数据</x:v>
      </x:c>
      <x:c r="B1492" s="39" t="str">
        <x:v>2026-08-01T20:35:00</x:v>
      </x:c>
      <x:c r="C1492" s="39" t="str">
        <x:v>2026-08-01T20:40:00</x:v>
      </x:c>
      <x:c r="D1492" s="47" t="n">
        <x:v>5</x:v>
      </x:c>
      <x:c r="E1492" s="40" t="n">
        <x:v>16.2</x:v>
      </x:c>
      <x:c r="F1492" s="40" t="n">
        <x:v>14.574928283691406</x:v>
      </x:c>
      <x:c r="G1492" s="40" t="n">
        <x:v>16.2</x:v>
      </x:c>
      <x:c r="H1492" s="40" t="n">
        <x:f>F1492-E1492</x:f>
        <x:v>-1.625071716308593</x:v>
      </x:c>
      <x:c r="I1492" s="40" t="n">
        <x:f>ABS(H1492)</x:f>
        <x:v>1.625071716308593</x:v>
      </x:c>
      <x:c r="J1492" s="40" t="n">
        <x:f>H1492^2</x:f>
        <x:v>2.6408580831461563</x:v>
      </x:c>
      <x:c r="K1492" s="40" t="n">
        <x:f>G1492-E1492</x:f>
        <x:v>0</x:v>
      </x:c>
      <x:c r="L1492" s="40" t="n">
        <x:f>ABS(K1492)</x:f>
        <x:v>0</x:v>
      </x:c>
      <x:c r="M1492" s="41" t="str">
        <x:v>lstm-soil-v1</x:v>
      </x:c>
    </x:row>
    <x:row r="1493">
      <x:c r="A1493" s="38" t="str">
        <x:v>7月30日现场数据</x:v>
      </x:c>
      <x:c r="B1493" s="39" t="str">
        <x:v>2026-08-01T20:35:00</x:v>
      </x:c>
      <x:c r="C1493" s="39" t="str">
        <x:v>2026-08-01T20:50:00</x:v>
      </x:c>
      <x:c r="D1493" s="47" t="n">
        <x:v>15</x:v>
      </x:c>
      <x:c r="E1493" s="40" t="n">
        <x:v>16.2</x:v>
      </x:c>
      <x:c r="F1493" s="40" t="n">
        <x:v>14.656978607177734</x:v>
      </x:c>
      <x:c r="G1493" s="40" t="n">
        <x:v>16.2</x:v>
      </x:c>
      <x:c r="H1493" s="40" t="n">
        <x:f>F1493-E1493</x:f>
        <x:v>-1.543021392822265</x:v>
      </x:c>
      <x:c r="I1493" s="40" t="n">
        <x:f>ABS(H1493)</x:f>
        <x:v>1.543021392822265</x:v>
      </x:c>
      <x:c r="J1493" s="40" t="n">
        <x:f>H1493^2</x:f>
        <x:v>2.3809150187071624</x:v>
      </x:c>
      <x:c r="K1493" s="40" t="n">
        <x:f>G1493-E1493</x:f>
        <x:v>0</x:v>
      </x:c>
      <x:c r="L1493" s="40" t="n">
        <x:f>ABS(K1493)</x:f>
        <x:v>0</x:v>
      </x:c>
      <x:c r="M1493" s="41" t="str">
        <x:v>lstm-soil-v1</x:v>
      </x:c>
    </x:row>
    <x:row r="1494">
      <x:c r="A1494" s="38" t="str">
        <x:v>7月30日现场数据</x:v>
      </x:c>
      <x:c r="B1494" s="39" t="str">
        <x:v>2026-08-01T20:35:00</x:v>
      </x:c>
      <x:c r="C1494" s="39" t="str">
        <x:v>2026-08-01T21:05:00</x:v>
      </x:c>
      <x:c r="D1494" s="47" t="n">
        <x:v>30</x:v>
      </x:c>
      <x:c r="E1494" s="40" t="n">
        <x:v>16.2</x:v>
      </x:c>
      <x:c r="F1494" s="40" t="n">
        <x:v>15.009452819824219</x:v>
      </x:c>
      <x:c r="G1494" s="40" t="n">
        <x:v>16.2</x:v>
      </x:c>
      <x:c r="H1494" s="40" t="n">
        <x:f>F1494-E1494</x:f>
        <x:v>-1.1905471801757805</x:v>
      </x:c>
      <x:c r="I1494" s="40" t="n">
        <x:f>ABS(H1494)</x:f>
        <x:v>1.1905471801757805</x:v>
      </x:c>
      <x:c r="J1494" s="40" t="n">
        <x:f>H1494^2</x:f>
        <x:v>1.4174025882245025</x:v>
      </x:c>
      <x:c r="K1494" s="40" t="n">
        <x:f>G1494-E1494</x:f>
        <x:v>0</x:v>
      </x:c>
      <x:c r="L1494" s="40" t="n">
        <x:f>ABS(K1494)</x:f>
        <x:v>0</x:v>
      </x:c>
      <x:c r="M1494" s="41" t="str">
        <x:v>lstm-soil-v1</x:v>
      </x:c>
    </x:row>
    <x:row r="1495">
      <x:c r="A1495" s="38" t="str">
        <x:v>7月30日现场数据</x:v>
      </x:c>
      <x:c r="B1495" s="39" t="str">
        <x:v>2026-08-01T20:35:00</x:v>
      </x:c>
      <x:c r="C1495" s="39" t="str">
        <x:v>2026-08-01T21:35:00</x:v>
      </x:c>
      <x:c r="D1495" s="47" t="n">
        <x:v>60</x:v>
      </x:c>
      <x:c r="E1495" s="40" t="n">
        <x:v>16.1</x:v>
      </x:c>
      <x:c r="F1495" s="40" t="n">
        <x:v>16.722545623779297</x:v>
      </x:c>
      <x:c r="G1495" s="40" t="n">
        <x:v>16.2</x:v>
      </x:c>
      <x:c r="H1495" s="40" t="n">
        <x:f>F1495-E1495</x:f>
        <x:v>0.6225456237792955</x:v>
      </x:c>
      <x:c r="I1495" s="40" t="n">
        <x:f>ABS(H1495)</x:f>
        <x:v>0.6225456237792955</x:v>
      </x:c>
      <x:c r="J1495" s="40" t="n">
        <x:f>H1495^2</x:f>
        <x:v>0.3875630536867521</x:v>
      </x:c>
      <x:c r="K1495" s="40" t="n">
        <x:f>G1495-E1495</x:f>
        <x:v>0.09999999999999787</x:v>
      </x:c>
      <x:c r="L1495" s="40" t="n">
        <x:f>ABS(K1495)</x:f>
        <x:v>0.09999999999999787</x:v>
      </x:c>
      <x:c r="M1495" s="41" t="str">
        <x:v>lstm-soil-v1</x:v>
      </x:c>
    </x:row>
    <x:row r="1496">
      <x:c r="A1496" s="38" t="str">
        <x:v>7月30日现场数据</x:v>
      </x:c>
      <x:c r="B1496" s="39" t="str">
        <x:v>2026-08-01T20:40:00</x:v>
      </x:c>
      <x:c r="C1496" s="39" t="str">
        <x:v>2026-08-01T20:45:00</x:v>
      </x:c>
      <x:c r="D1496" s="47" t="n">
        <x:v>5</x:v>
      </x:c>
      <x:c r="E1496" s="40" t="n">
        <x:v>16.2</x:v>
      </x:c>
      <x:c r="F1496" s="40" t="n">
        <x:v>14.575202941894531</x:v>
      </x:c>
      <x:c r="G1496" s="40" t="n">
        <x:v>16.2</x:v>
      </x:c>
      <x:c r="H1496" s="40" t="n">
        <x:f>F1496-E1496</x:f>
        <x:v>-1.624797058105468</x:v>
      </x:c>
      <x:c r="I1496" s="40" t="n">
        <x:f>ABS(H1496)</x:f>
        <x:v>1.624797058105468</x:v>
      </x:c>
      <x:c r="J1496" s="40" t="n">
        <x:f>H1496^2</x:f>
        <x:v>2.6399654800281835</x:v>
      </x:c>
      <x:c r="K1496" s="40" t="n">
        <x:f>G1496-E1496</x:f>
        <x:v>0</x:v>
      </x:c>
      <x:c r="L1496" s="40" t="n">
        <x:f>ABS(K1496)</x:f>
        <x:v>0</x:v>
      </x:c>
      <x:c r="M1496" s="41" t="str">
        <x:v>lstm-soil-v1</x:v>
      </x:c>
    </x:row>
    <x:row r="1497">
      <x:c r="A1497" s="38" t="str">
        <x:v>7月30日现场数据</x:v>
      </x:c>
      <x:c r="B1497" s="39" t="str">
        <x:v>2026-08-01T20:40:00</x:v>
      </x:c>
      <x:c r="C1497" s="39" t="str">
        <x:v>2026-08-01T20:55:00</x:v>
      </x:c>
      <x:c r="D1497" s="47" t="n">
        <x:v>15</x:v>
      </x:c>
      <x:c r="E1497" s="40" t="n">
        <x:v>16.2</x:v>
      </x:c>
      <x:c r="F1497" s="40" t="n">
        <x:v>14.656787872314453</x:v>
      </x:c>
      <x:c r="G1497" s="40" t="n">
        <x:v>16.2</x:v>
      </x:c>
      <x:c r="H1497" s="40" t="n">
        <x:f>F1497-E1497</x:f>
        <x:v>-1.5432121276855462</x:v>
      </x:c>
      <x:c r="I1497" s="40" t="n">
        <x:f>ABS(H1497)</x:f>
        <x:v>1.5432121276855462</x:v>
      </x:c>
      <x:c r="J1497" s="40" t="n">
        <x:f>H1497^2</x:f>
        <x:v>2.3815036710357504</x:v>
      </x:c>
      <x:c r="K1497" s="40" t="n">
        <x:f>G1497-E1497</x:f>
        <x:v>0</x:v>
      </x:c>
      <x:c r="L1497" s="40" t="n">
        <x:f>ABS(K1497)</x:f>
        <x:v>0</x:v>
      </x:c>
      <x:c r="M1497" s="41" t="str">
        <x:v>lstm-soil-v1</x:v>
      </x:c>
    </x:row>
    <x:row r="1498">
      <x:c r="A1498" s="38" t="str">
        <x:v>7月30日现场数据</x:v>
      </x:c>
      <x:c r="B1498" s="39" t="str">
        <x:v>2026-08-01T20:40:00</x:v>
      </x:c>
      <x:c r="C1498" s="39" t="str">
        <x:v>2026-08-01T21:10:00</x:v>
      </x:c>
      <x:c r="D1498" s="47" t="n">
        <x:v>30</x:v>
      </x:c>
      <x:c r="E1498" s="40" t="n">
        <x:v>16.2</x:v>
      </x:c>
      <x:c r="F1498" s="40" t="n">
        <x:v>15.010616302490234</x:v>
      </x:c>
      <x:c r="G1498" s="40" t="n">
        <x:v>16.2</x:v>
      </x:c>
      <x:c r="H1498" s="40" t="n">
        <x:f>F1498-E1498</x:f>
        <x:v>-1.189383697509765</x:v>
      </x:c>
      <x:c r="I1498" s="40" t="n">
        <x:f>ABS(H1498)</x:f>
        <x:v>1.189383697509765</x:v>
      </x:c>
      <x:c r="J1498" s="40" t="n">
        <x:f>H1498^2</x:f>
        <x:v>1.414633579902</x:v>
      </x:c>
      <x:c r="K1498" s="40" t="n">
        <x:f>G1498-E1498</x:f>
        <x:v>0</x:v>
      </x:c>
      <x:c r="L1498" s="40" t="n">
        <x:f>ABS(K1498)</x:f>
        <x:v>0</x:v>
      </x:c>
      <x:c r="M1498" s="41" t="str">
        <x:v>lstm-soil-v1</x:v>
      </x:c>
    </x:row>
    <x:row r="1499">
      <x:c r="A1499" s="38" t="str">
        <x:v>7月30日现场数据</x:v>
      </x:c>
      <x:c r="B1499" s="39" t="str">
        <x:v>2026-08-01T20:40:00</x:v>
      </x:c>
      <x:c r="C1499" s="39" t="str">
        <x:v>2026-08-01T21:40:00</x:v>
      </x:c>
      <x:c r="D1499" s="47" t="n">
        <x:v>60</x:v>
      </x:c>
      <x:c r="E1499" s="40" t="n">
        <x:v>16.1</x:v>
      </x:c>
      <x:c r="F1499" s="40" t="n">
        <x:v>16.723182678222656</x:v>
      </x:c>
      <x:c r="G1499" s="40" t="n">
        <x:v>16.2</x:v>
      </x:c>
      <x:c r="H1499" s="40" t="n">
        <x:f>F1499-E1499</x:f>
        <x:v>0.6231826782226548</x:v>
      </x:c>
      <x:c r="I1499" s="40" t="n">
        <x:f>ABS(H1499)</x:f>
        <x:v>0.6231826782226548</x:v>
      </x:c>
      <x:c r="J1499" s="40" t="n">
        <x:f>H1499^2</x:f>
        <x:v>0.38835665043676093</x:v>
      </x:c>
      <x:c r="K1499" s="40" t="n">
        <x:f>G1499-E1499</x:f>
        <x:v>0.09999999999999787</x:v>
      </x:c>
      <x:c r="L1499" s="40" t="n">
        <x:f>ABS(K1499)</x:f>
        <x:v>0.09999999999999787</x:v>
      </x:c>
      <x:c r="M1499" s="41" t="str">
        <x:v>lstm-soil-v1</x:v>
      </x:c>
    </x:row>
    <x:row r="1500">
      <x:c r="A1500" s="38" t="str">
        <x:v>7月30日现场数据</x:v>
      </x:c>
      <x:c r="B1500" s="39" t="str">
        <x:v>2026-08-01T20:45:00</x:v>
      </x:c>
      <x:c r="C1500" s="39" t="str">
        <x:v>2026-08-01T20:50:00</x:v>
      </x:c>
      <x:c r="D1500" s="47" t="n">
        <x:v>5</x:v>
      </x:c>
      <x:c r="E1500" s="40" t="n">
        <x:v>16.2</x:v>
      </x:c>
      <x:c r="F1500" s="40" t="n">
        <x:v>14.575531005859375</x:v>
      </x:c>
      <x:c r="G1500" s="40" t="n">
        <x:v>16.2</x:v>
      </x:c>
      <x:c r="H1500" s="40" t="n">
        <x:f>F1500-E1500</x:f>
        <x:v>-1.6244689941406243</x:v>
      </x:c>
      <x:c r="I1500" s="40" t="n">
        <x:f>ABS(H1500)</x:f>
        <x:v>1.6244689941406243</x:v>
      </x:c>
      <x:c r="J1500" s="40" t="n">
        <x:f>H1500^2</x:f>
        <x:v>2.638899512924252</x:v>
      </x:c>
      <x:c r="K1500" s="40" t="n">
        <x:f>G1500-E1500</x:f>
        <x:v>0</x:v>
      </x:c>
      <x:c r="L1500" s="40" t="n">
        <x:f>ABS(K1500)</x:f>
        <x:v>0</x:v>
      </x:c>
      <x:c r="M1500" s="41" t="str">
        <x:v>lstm-soil-v1</x:v>
      </x:c>
    </x:row>
    <x:row r="1501">
      <x:c r="A1501" s="38" t="str">
        <x:v>7月30日现场数据</x:v>
      </x:c>
      <x:c r="B1501" s="39" t="str">
        <x:v>2026-08-01T20:45:00</x:v>
      </x:c>
      <x:c r="C1501" s="39" t="str">
        <x:v>2026-08-01T21:00:00</x:v>
      </x:c>
      <x:c r="D1501" s="47" t="n">
        <x:v>15</x:v>
      </x:c>
      <x:c r="E1501" s="40" t="n">
        <x:v>16.2</x:v>
      </x:c>
      <x:c r="F1501" s="40" t="n">
        <x:v>14.656749725341797</x:v>
      </x:c>
      <x:c r="G1501" s="40" t="n">
        <x:v>16.2</x:v>
      </x:c>
      <x:c r="H1501" s="40" t="n">
        <x:f>F1501-E1501</x:f>
        <x:v>-1.5432502746582024</x:v>
      </x:c>
      <x:c r="I1501" s="40" t="n">
        <x:f>ABS(H1501)</x:f>
        <x:v>1.5432502746582024</x:v>
      </x:c>
      <x:c r="J1501" s="40" t="n">
        <x:f>H1501^2</x:f>
        <x:v>2.381621410232617</x:v>
      </x:c>
      <x:c r="K1501" s="40" t="n">
        <x:f>G1501-E1501</x:f>
        <x:v>0</x:v>
      </x:c>
      <x:c r="L1501" s="40" t="n">
        <x:f>ABS(K1501)</x:f>
        <x:v>0</x:v>
      </x:c>
      <x:c r="M1501" s="41" t="str">
        <x:v>lstm-soil-v1</x:v>
      </x:c>
    </x:row>
    <x:row r="1502">
      <x:c r="A1502" s="38" t="str">
        <x:v>7月30日现场数据</x:v>
      </x:c>
      <x:c r="B1502" s="39" t="str">
        <x:v>2026-08-01T20:45:00</x:v>
      </x:c>
      <x:c r="C1502" s="39" t="str">
        <x:v>2026-08-01T21:15:00</x:v>
      </x:c>
      <x:c r="D1502" s="47" t="n">
        <x:v>30</x:v>
      </x:c>
      <x:c r="E1502" s="40" t="n">
        <x:v>16.2</x:v>
      </x:c>
      <x:c r="F1502" s="40" t="n">
        <x:v>15.011756896972656</x:v>
      </x:c>
      <x:c r="G1502" s="40" t="n">
        <x:v>16.2</x:v>
      </x:c>
      <x:c r="H1502" s="40" t="n">
        <x:f>F1502-E1502</x:f>
        <x:v>-1.188243103027343</x:v>
      </x:c>
      <x:c r="I1502" s="40" t="n">
        <x:f>ABS(H1502)</x:f>
        <x:v>1.188243103027343</x:v>
      </x:c>
      <x:c r="J1502" s="40" t="n">
        <x:f>H1502^2</x:f>
        <x:v>1.4119216718920489</x:v>
      </x:c>
      <x:c r="K1502" s="40" t="n">
        <x:f>G1502-E1502</x:f>
        <x:v>0</x:v>
      </x:c>
      <x:c r="L1502" s="40" t="n">
        <x:f>ABS(K1502)</x:f>
        <x:v>0</x:v>
      </x:c>
      <x:c r="M1502" s="41" t="str">
        <x:v>lstm-soil-v1</x:v>
      </x:c>
    </x:row>
    <x:row r="1503">
      <x:c r="A1503" s="38" t="str">
        <x:v>7月30日现场数据</x:v>
      </x:c>
      <x:c r="B1503" s="39" t="str">
        <x:v>2026-08-01T20:45:00</x:v>
      </x:c>
      <x:c r="C1503" s="39" t="str">
        <x:v>2026-08-01T21:45:00</x:v>
      </x:c>
      <x:c r="D1503" s="47" t="n">
        <x:v>60</x:v>
      </x:c>
      <x:c r="E1503" s="40" t="n">
        <x:v>16.1</x:v>
      </x:c>
      <x:c r="F1503" s="40" t="n">
        <x:v>16.723880767822266</x:v>
      </x:c>
      <x:c r="G1503" s="40" t="n">
        <x:v>16.2</x:v>
      </x:c>
      <x:c r="H1503" s="40" t="n">
        <x:f>F1503-E1503</x:f>
        <x:v>0.6238807678222642</x:v>
      </x:c>
      <x:c r="I1503" s="40" t="n">
        <x:f>ABS(H1503)</x:f>
        <x:v>0.6238807678222642</x:v>
      </x:c>
      <x:c r="J1503" s="40" t="n">
        <x:f>H1503^2</x:f>
        <x:v>0.38922721245849795</x:v>
      </x:c>
      <x:c r="K1503" s="40" t="n">
        <x:f>G1503-E1503</x:f>
        <x:v>0.09999999999999787</x:v>
      </x:c>
      <x:c r="L1503" s="40" t="n">
        <x:f>ABS(K1503)</x:f>
        <x:v>0.09999999999999787</x:v>
      </x:c>
      <x:c r="M1503" s="41" t="str">
        <x:v>lstm-soil-v1</x:v>
      </x:c>
    </x:row>
    <x:row r="1504">
      <x:c r="A1504" s="38" t="str">
        <x:v>7月30日现场数据</x:v>
      </x:c>
      <x:c r="B1504" s="39" t="str">
        <x:v>2026-08-01T20:50:00</x:v>
      </x:c>
      <x:c r="C1504" s="39" t="str">
        <x:v>2026-08-01T20:55:00</x:v>
      </x:c>
      <x:c r="D1504" s="47" t="n">
        <x:v>5</x:v>
      </x:c>
      <x:c r="E1504" s="40" t="n">
        <x:v>16.2</x:v>
      </x:c>
      <x:c r="F1504" s="40" t="n">
        <x:v>14.575923919677734</x:v>
      </x:c>
      <x:c r="G1504" s="40" t="n">
        <x:v>16.2</x:v>
      </x:c>
      <x:c r="H1504" s="40" t="n">
        <x:f>F1504-E1504</x:f>
        <x:v>-1.624076080322265</x:v>
      </x:c>
      <x:c r="I1504" s="40" t="n">
        <x:f>ABS(H1504)</x:f>
        <x:v>1.624076080322265</x:v>
      </x:c>
      <x:c r="J1504" s="40" t="n">
        <x:f>H1504^2</x:f>
        <x:v>2.637623114674932</x:v>
      </x:c>
      <x:c r="K1504" s="40" t="n">
        <x:f>G1504-E1504</x:f>
        <x:v>0</x:v>
      </x:c>
      <x:c r="L1504" s="40" t="n">
        <x:f>ABS(K1504)</x:f>
        <x:v>0</x:v>
      </x:c>
      <x:c r="M1504" s="41" t="str">
        <x:v>lstm-soil-v1</x:v>
      </x:c>
    </x:row>
    <x:row r="1505">
      <x:c r="A1505" s="38" t="str">
        <x:v>7月30日现场数据</x:v>
      </x:c>
      <x:c r="B1505" s="39" t="str">
        <x:v>2026-08-01T20:50:00</x:v>
      </x:c>
      <x:c r="C1505" s="39" t="str">
        <x:v>2026-08-01T21:05:00</x:v>
      </x:c>
      <x:c r="D1505" s="47" t="n">
        <x:v>15</x:v>
      </x:c>
      <x:c r="E1505" s="40" t="n">
        <x:v>16.2</x:v>
      </x:c>
      <x:c r="F1505" s="40" t="n">
        <x:v>14.656787872314453</x:v>
      </x:c>
      <x:c r="G1505" s="40" t="n">
        <x:v>16.2</x:v>
      </x:c>
      <x:c r="H1505" s="40" t="n">
        <x:f>F1505-E1505</x:f>
        <x:v>-1.5432121276855462</x:v>
      </x:c>
      <x:c r="I1505" s="40" t="n">
        <x:f>ABS(H1505)</x:f>
        <x:v>1.5432121276855462</x:v>
      </x:c>
      <x:c r="J1505" s="40" t="n">
        <x:f>H1505^2</x:f>
        <x:v>2.3815036710357504</x:v>
      </x:c>
      <x:c r="K1505" s="40" t="n">
        <x:f>G1505-E1505</x:f>
        <x:v>0</x:v>
      </x:c>
      <x:c r="L1505" s="40" t="n">
        <x:f>ABS(K1505)</x:f>
        <x:v>0</x:v>
      </x:c>
      <x:c r="M1505" s="41" t="str">
        <x:v>lstm-soil-v1</x:v>
      </x:c>
    </x:row>
    <x:row r="1506">
      <x:c r="A1506" s="38" t="str">
        <x:v>7月30日现场数据</x:v>
      </x:c>
      <x:c r="B1506" s="39" t="str">
        <x:v>2026-08-01T20:50:00</x:v>
      </x:c>
      <x:c r="C1506" s="39" t="str">
        <x:v>2026-08-01T21:20:00</x:v>
      </x:c>
      <x:c r="D1506" s="47" t="n">
        <x:v>30</x:v>
      </x:c>
      <x:c r="E1506" s="40" t="n">
        <x:v>16.2</x:v>
      </x:c>
      <x:c r="F1506" s="40" t="n">
        <x:v>15.012779235839844</x:v>
      </x:c>
      <x:c r="G1506" s="40" t="n">
        <x:v>16.2</x:v>
      </x:c>
      <x:c r="H1506" s="40" t="n">
        <x:f>F1506-E1506</x:f>
        <x:v>-1.1872207641601555</x:v>
      </x:c>
      <x:c r="I1506" s="40" t="n">
        <x:f>ABS(H1506)</x:f>
        <x:v>1.1872207641601555</x:v>
      </x:c>
      <x:c r="J1506" s="40" t="n">
        <x:f>H1506^2</x:f>
        <x:v>1.4094931428530237</x:v>
      </x:c>
      <x:c r="K1506" s="40" t="n">
        <x:f>G1506-E1506</x:f>
        <x:v>0</x:v>
      </x:c>
      <x:c r="L1506" s="40" t="n">
        <x:f>ABS(K1506)</x:f>
        <x:v>0</x:v>
      </x:c>
      <x:c r="M1506" s="41" t="str">
        <x:v>lstm-soil-v1</x:v>
      </x:c>
    </x:row>
    <x:row r="1507">
      <x:c r="A1507" s="38" t="str">
        <x:v>7月30日现场数据</x:v>
      </x:c>
      <x:c r="B1507" s="39" t="str">
        <x:v>2026-08-01T20:50:00</x:v>
      </x:c>
      <x:c r="C1507" s="39" t="str">
        <x:v>2026-08-01T21:50:00</x:v>
      </x:c>
      <x:c r="D1507" s="47" t="n">
        <x:v>60</x:v>
      </x:c>
      <x:c r="E1507" s="40" t="n">
        <x:v>16.1</x:v>
      </x:c>
      <x:c r="F1507" s="40" t="n">
        <x:v>16.72463607788086</x:v>
      </x:c>
      <x:c r="G1507" s="40" t="n">
        <x:v>16.2</x:v>
      </x:c>
      <x:c r="H1507" s="40" t="n">
        <x:f>F1507-E1507</x:f>
        <x:v>0.624636077880858</x:v>
      </x:c>
      <x:c r="I1507" s="40" t="n">
        <x:f>ABS(H1507)</x:f>
        <x:v>0.624636077880858</x:v>
      </x:c>
      <x:c r="J1507" s="40" t="n">
        <x:f>H1507^2</x:f>
        <x:v>0.39017022979038124</x:v>
      </x:c>
      <x:c r="K1507" s="40" t="n">
        <x:f>G1507-E1507</x:f>
        <x:v>0.09999999999999787</x:v>
      </x:c>
      <x:c r="L1507" s="40" t="n">
        <x:f>ABS(K1507)</x:f>
        <x:v>0.09999999999999787</x:v>
      </x:c>
      <x:c r="M1507" s="41" t="str">
        <x:v>lstm-soil-v1</x:v>
      </x:c>
    </x:row>
    <x:row r="1508">
      <x:c r="A1508" s="38" t="str">
        <x:v>7月30日现场数据</x:v>
      </x:c>
      <x:c r="B1508" s="39" t="str">
        <x:v>2026-08-01T20:55:00</x:v>
      </x:c>
      <x:c r="C1508" s="39" t="str">
        <x:v>2026-08-01T21:00:00</x:v>
      </x:c>
      <x:c r="D1508" s="47" t="n">
        <x:v>5</x:v>
      </x:c>
      <x:c r="E1508" s="40" t="n">
        <x:v>16.2</x:v>
      </x:c>
      <x:c r="F1508" s="40" t="n">
        <x:v>14.576210021972656</x:v>
      </x:c>
      <x:c r="G1508" s="40" t="n">
        <x:v>16.2</x:v>
      </x:c>
      <x:c r="H1508" s="40" t="n">
        <x:f>F1508-E1508</x:f>
        <x:v>-1.623789978027343</x:v>
      </x:c>
      <x:c r="I1508" s="40" t="n">
        <x:f>ABS(H1508)</x:f>
        <x:v>1.623789978027343</x:v>
      </x:c>
      <x:c r="J1508" s="40" t="n">
        <x:f>H1508^2</x:f>
        <x:v>2.636693892742039</x:v>
      </x:c>
      <x:c r="K1508" s="40" t="n">
        <x:f>G1508-E1508</x:f>
        <x:v>0</x:v>
      </x:c>
      <x:c r="L1508" s="40" t="n">
        <x:f>ABS(K1508)</x:f>
        <x:v>0</x:v>
      </x:c>
      <x:c r="M1508" s="41" t="str">
        <x:v>lstm-soil-v1</x:v>
      </x:c>
    </x:row>
    <x:row r="1509">
      <x:c r="A1509" s="38" t="str">
        <x:v>7月30日现场数据</x:v>
      </x:c>
      <x:c r="B1509" s="39" t="str">
        <x:v>2026-08-01T20:55:00</x:v>
      </x:c>
      <x:c r="C1509" s="39" t="str">
        <x:v>2026-08-01T21:10:00</x:v>
      </x:c>
      <x:c r="D1509" s="47" t="n">
        <x:v>15</x:v>
      </x:c>
      <x:c r="E1509" s="40" t="n">
        <x:v>16.2</x:v>
      </x:c>
      <x:c r="F1509" s="40" t="n">
        <x:v>14.656879425048828</x:v>
      </x:c>
      <x:c r="G1509" s="40" t="n">
        <x:v>16.2</x:v>
      </x:c>
      <x:c r="H1509" s="40" t="n">
        <x:f>F1509-E1509</x:f>
        <x:v>-1.5431205749511712</x:v>
      </x:c>
      <x:c r="I1509" s="40" t="n">
        <x:f>ABS(H1509)</x:f>
        <x:v>1.5431205749511712</x:v>
      </x:c>
      <x:c r="J1509" s="40" t="n">
        <x:f>H1509^2</x:f>
        <x:v>2.381221108837633</x:v>
      </x:c>
      <x:c r="K1509" s="40" t="n">
        <x:f>G1509-E1509</x:f>
        <x:v>0</x:v>
      </x:c>
      <x:c r="L1509" s="40" t="n">
        <x:f>ABS(K1509)</x:f>
        <x:v>0</x:v>
      </x:c>
      <x:c r="M1509" s="41" t="str">
        <x:v>lstm-soil-v1</x:v>
      </x:c>
    </x:row>
    <x:row r="1510">
      <x:c r="A1510" s="38" t="str">
        <x:v>7月30日现场数据</x:v>
      </x:c>
      <x:c r="B1510" s="39" t="str">
        <x:v>2026-08-01T20:55:00</x:v>
      </x:c>
      <x:c r="C1510" s="39" t="str">
        <x:v>2026-08-01T21:25:00</x:v>
      </x:c>
      <x:c r="D1510" s="47" t="n">
        <x:v>30</x:v>
      </x:c>
      <x:c r="E1510" s="40" t="n">
        <x:v>16.2</x:v>
      </x:c>
      <x:c r="F1510" s="40" t="n">
        <x:v>15.013580322265625</x:v>
      </x:c>
      <x:c r="G1510" s="40" t="n">
        <x:v>16.2</x:v>
      </x:c>
      <x:c r="H1510" s="40" t="n">
        <x:f>F1510-E1510</x:f>
        <x:v>-1.1864196777343743</x:v>
      </x:c>
      <x:c r="I1510" s="40" t="n">
        <x:f>ABS(H1510)</x:f>
        <x:v>1.1864196777343743</x:v>
      </x:c>
      <x:c r="J1510" s="40" t="n">
        <x:f>H1510^2</x:f>
        <x:v>1.4075916517153366</x:v>
      </x:c>
      <x:c r="K1510" s="40" t="n">
        <x:f>G1510-E1510</x:f>
        <x:v>0</x:v>
      </x:c>
      <x:c r="L1510" s="40" t="n">
        <x:f>ABS(K1510)</x:f>
        <x:v>0</x:v>
      </x:c>
      <x:c r="M1510" s="41" t="str">
        <x:v>lstm-soil-v1</x:v>
      </x:c>
    </x:row>
    <x:row r="1511">
      <x:c r="A1511" s="38" t="str">
        <x:v>7月30日现场数据</x:v>
      </x:c>
      <x:c r="B1511" s="39" t="str">
        <x:v>2026-08-01T20:55:00</x:v>
      </x:c>
      <x:c r="C1511" s="39" t="str">
        <x:v>2026-08-01T21:55:00</x:v>
      </x:c>
      <x:c r="D1511" s="47" t="n">
        <x:v>60</x:v>
      </x:c>
      <x:c r="E1511" s="40" t="n">
        <x:v>16.1</x:v>
      </x:c>
      <x:c r="F1511" s="40" t="n">
        <x:v>16.725269317626953</x:v>
      </x:c>
      <x:c r="G1511" s="40" t="n">
        <x:v>16.2</x:v>
      </x:c>
      <x:c r="H1511" s="40" t="n">
        <x:f>F1511-E1511</x:f>
        <x:v>0.6252693176269517</x:v>
      </x:c>
      <x:c r="I1511" s="40" t="n">
        <x:f>ABS(H1511)</x:f>
        <x:v>0.6252693176269517</x:v>
      </x:c>
      <x:c r="J1511" s="40" t="n">
        <x:f>H1511^2</x:f>
        <x:v>0.3909617195656738</x:v>
      </x:c>
      <x:c r="K1511" s="40" t="n">
        <x:f>G1511-E1511</x:f>
        <x:v>0.09999999999999787</x:v>
      </x:c>
      <x:c r="L1511" s="40" t="n">
        <x:f>ABS(K1511)</x:f>
        <x:v>0.09999999999999787</x:v>
      </x:c>
      <x:c r="M1511" s="41" t="str">
        <x:v>lstm-soil-v1</x:v>
      </x:c>
    </x:row>
    <x:row r="1512">
      <x:c r="A1512" s="38" t="str">
        <x:v>7月30日现场数据</x:v>
      </x:c>
      <x:c r="B1512" s="39" t="str">
        <x:v>2026-08-01T21:00:00</x:v>
      </x:c>
      <x:c r="C1512" s="39" t="str">
        <x:v>2026-08-01T21:05:00</x:v>
      </x:c>
      <x:c r="D1512" s="47" t="n">
        <x:v>5</x:v>
      </x:c>
      <x:c r="E1512" s="40" t="n">
        <x:v>16.2</x:v>
      </x:c>
      <x:c r="F1512" s="40" t="n">
        <x:v>14.573162078857422</x:v>
      </x:c>
      <x:c r="G1512" s="40" t="n">
        <x:v>16.2</x:v>
      </x:c>
      <x:c r="H1512" s="40" t="n">
        <x:f>F1512-E1512</x:f>
        <x:v>-1.6268379211425774</x:v>
      </x:c>
      <x:c r="I1512" s="40" t="n">
        <x:f>ABS(H1512)</x:f>
        <x:v>1.6268379211425774</x:v>
      </x:c>
      <x:c r="J1512" s="40" t="n">
        <x:f>H1512^2</x:f>
        <x:v>2.646601621667503</x:v>
      </x:c>
      <x:c r="K1512" s="40" t="n">
        <x:f>G1512-E1512</x:f>
        <x:v>0</x:v>
      </x:c>
      <x:c r="L1512" s="40" t="n">
        <x:f>ABS(K1512)</x:f>
        <x:v>0</x:v>
      </x:c>
      <x:c r="M1512" s="41" t="str">
        <x:v>lstm-soil-v1</x:v>
      </x:c>
    </x:row>
    <x:row r="1513">
      <x:c r="A1513" s="38" t="str">
        <x:v>7月30日现场数据</x:v>
      </x:c>
      <x:c r="B1513" s="39" t="str">
        <x:v>2026-08-01T21:00:00</x:v>
      </x:c>
      <x:c r="C1513" s="39" t="str">
        <x:v>2026-08-01T21:15:00</x:v>
      </x:c>
      <x:c r="D1513" s="47" t="n">
        <x:v>15</x:v>
      </x:c>
      <x:c r="E1513" s="40" t="n">
        <x:v>16.2</x:v>
      </x:c>
      <x:c r="F1513" s="40" t="n">
        <x:v>14.654960632324219</x:v>
      </x:c>
      <x:c r="G1513" s="40" t="n">
        <x:v>16.2</x:v>
      </x:c>
      <x:c r="H1513" s="40" t="n">
        <x:f>F1513-E1513</x:f>
        <x:v>-1.5450393676757805</x:v>
      </x:c>
      <x:c r="I1513" s="40" t="n">
        <x:f>ABS(H1513)</x:f>
        <x:v>1.5450393676757805</x:v>
      </x:c>
      <x:c r="J1513" s="40" t="n">
        <x:f>H1513^2</x:f>
        <x:v>2.3871466476679757</x:v>
      </x:c>
      <x:c r="K1513" s="40" t="n">
        <x:f>G1513-E1513</x:f>
        <x:v>0</x:v>
      </x:c>
      <x:c r="L1513" s="40" t="n">
        <x:f>ABS(K1513)</x:f>
        <x:v>0</x:v>
      </x:c>
      <x:c r="M1513" s="41" t="str">
        <x:v>lstm-soil-v1</x:v>
      </x:c>
    </x:row>
    <x:row r="1514">
      <x:c r="A1514" s="38" t="str">
        <x:v>7月30日现场数据</x:v>
      </x:c>
      <x:c r="B1514" s="39" t="str">
        <x:v>2026-08-01T21:00:00</x:v>
      </x:c>
      <x:c r="C1514" s="39" t="str">
        <x:v>2026-08-01T21:30:00</x:v>
      </x:c>
      <x:c r="D1514" s="47" t="n">
        <x:v>30</x:v>
      </x:c>
      <x:c r="E1514" s="40" t="n">
        <x:v>16.1</x:v>
      </x:c>
      <x:c r="F1514" s="40" t="n">
        <x:v>15.01108169555664</x:v>
      </x:c>
      <x:c r="G1514" s="40" t="n">
        <x:v>16.2</x:v>
      </x:c>
      <x:c r="H1514" s="40" t="n">
        <x:f>F1514-E1514</x:f>
        <x:v>-1.0889183044433608</x:v>
      </x:c>
      <x:c r="I1514" s="40" t="n">
        <x:f>ABS(H1514)</x:f>
        <x:v>1.0889183044433608</x:v>
      </x:c>
      <x:c r="J1514" s="40" t="n">
        <x:f>H1514^2</x:f>
        <x:v>1.1857430737518038</x:v>
      </x:c>
      <x:c r="K1514" s="40" t="n">
        <x:f>G1514-E1514</x:f>
        <x:v>0.09999999999999787</x:v>
      </x:c>
      <x:c r="L1514" s="40" t="n">
        <x:f>ABS(K1514)</x:f>
        <x:v>0.09999999999999787</x:v>
      </x:c>
      <x:c r="M1514" s="41" t="str">
        <x:v>lstm-soil-v1</x:v>
      </x:c>
    </x:row>
    <x:row r="1515">
      <x:c r="A1515" s="38" t="str">
        <x:v>7月30日现场数据</x:v>
      </x:c>
      <x:c r="B1515" s="39" t="str">
        <x:v>2026-08-01T21:00:00</x:v>
      </x:c>
      <x:c r="C1515" s="39" t="str">
        <x:v>2026-08-01T22:00:00</x:v>
      </x:c>
      <x:c r="D1515" s="47" t="n">
        <x:v>60</x:v>
      </x:c>
      <x:c r="E1515" s="40" t="n">
        <x:v>16.1</x:v>
      </x:c>
      <x:c r="F1515" s="40" t="n">
        <x:v>16.71795654296875</x:v>
      </x:c>
      <x:c r="G1515" s="40" t="n">
        <x:v>16.2</x:v>
      </x:c>
      <x:c r="H1515" s="40" t="n">
        <x:f>F1515-E1515</x:f>
        <x:v>0.6179565429687486</x:v>
      </x:c>
      <x:c r="I1515" s="40" t="n">
        <x:f>ABS(H1515)</x:f>
        <x:v>0.6179565429687486</x:v>
      </x:c>
      <x:c r="J1515" s="40" t="n">
        <x:f>H1515^2</x:f>
        <x:v>0.38187028899788683</x:v>
      </x:c>
      <x:c r="K1515" s="40" t="n">
        <x:f>G1515-E1515</x:f>
        <x:v>0.09999999999999787</x:v>
      </x:c>
      <x:c r="L1515" s="40" t="n">
        <x:f>ABS(K1515)</x:f>
        <x:v>0.09999999999999787</x:v>
      </x:c>
      <x:c r="M1515" s="41" t="str">
        <x:v>lstm-soil-v1</x:v>
      </x:c>
    </x:row>
    <x:row r="1516">
      <x:c r="A1516" s="38" t="str">
        <x:v>7月30日现场数据</x:v>
      </x:c>
      <x:c r="B1516" s="39" t="str">
        <x:v>2026-08-01T21:05:00</x:v>
      </x:c>
      <x:c r="C1516" s="39" t="str">
        <x:v>2026-08-01T21:10:00</x:v>
      </x:c>
      <x:c r="D1516" s="47" t="n">
        <x:v>5</x:v>
      </x:c>
      <x:c r="E1516" s="40" t="n">
        <x:v>16.2</x:v>
      </x:c>
      <x:c r="F1516" s="40" t="n">
        <x:v>14.571598052978516</x:v>
      </x:c>
      <x:c r="G1516" s="40" t="n">
        <x:v>16.2</x:v>
      </x:c>
      <x:c r="H1516" s="40" t="n">
        <x:f>F1516-E1516</x:f>
        <x:v>-1.6284019470214837</x:v>
      </x:c>
      <x:c r="I1516" s="40" t="n">
        <x:f>ABS(H1516)</x:f>
        <x:v>1.6284019470214837</x:v>
      </x:c>
      <x:c r="J1516" s="40" t="n">
        <x:f>H1516^2</x:f>
        <x:v>2.6516929010633588</x:v>
      </x:c>
      <x:c r="K1516" s="40" t="n">
        <x:f>G1516-E1516</x:f>
        <x:v>0</x:v>
      </x:c>
      <x:c r="L1516" s="40" t="n">
        <x:f>ABS(K1516)</x:f>
        <x:v>0</x:v>
      </x:c>
      <x:c r="M1516" s="41" t="str">
        <x:v>lstm-soil-v1</x:v>
      </x:c>
    </x:row>
    <x:row r="1517">
      <x:c r="A1517" s="38" t="str">
        <x:v>7月30日现场数据</x:v>
      </x:c>
      <x:c r="B1517" s="39" t="str">
        <x:v>2026-08-01T21:05:00</x:v>
      </x:c>
      <x:c r="C1517" s="39" t="str">
        <x:v>2026-08-01T21:20:00</x:v>
      </x:c>
      <x:c r="D1517" s="47" t="n">
        <x:v>15</x:v>
      </x:c>
      <x:c r="E1517" s="40" t="n">
        <x:v>16.2</x:v>
      </x:c>
      <x:c r="F1517" s="40" t="n">
        <x:v>14.653427124023438</x:v>
      </x:c>
      <x:c r="G1517" s="40" t="n">
        <x:v>16.2</x:v>
      </x:c>
      <x:c r="H1517" s="40" t="n">
        <x:f>F1517-E1517</x:f>
        <x:v>-1.5465728759765618</x:v>
      </x:c>
      <x:c r="I1517" s="40" t="n">
        <x:f>ABS(H1517)</x:f>
        <x:v>1.5465728759765618</x:v>
      </x:c>
      <x:c r="J1517" s="40" t="n">
        <x:f>H1517^2</x:f>
        <x:v>2.3918876607064137</x:v>
      </x:c>
      <x:c r="K1517" s="40" t="n">
        <x:f>G1517-E1517</x:f>
        <x:v>0</x:v>
      </x:c>
      <x:c r="L1517" s="40" t="n">
        <x:f>ABS(K1517)</x:f>
        <x:v>0</x:v>
      </x:c>
      <x:c r="M1517" s="41" t="str">
        <x:v>lstm-soil-v1</x:v>
      </x:c>
    </x:row>
    <x:row r="1518">
      <x:c r="A1518" s="38" t="str">
        <x:v>7月30日现场数据</x:v>
      </x:c>
      <x:c r="B1518" s="39" t="str">
        <x:v>2026-08-01T21:05:00</x:v>
      </x:c>
      <x:c r="C1518" s="39" t="str">
        <x:v>2026-08-01T21:35:00</x:v>
      </x:c>
      <x:c r="D1518" s="47" t="n">
        <x:v>30</x:v>
      </x:c>
      <x:c r="E1518" s="40" t="n">
        <x:v>16.1</x:v>
      </x:c>
      <x:c r="F1518" s="40" t="n">
        <x:v>15.011054992675781</x:v>
      </x:c>
      <x:c r="G1518" s="40" t="n">
        <x:v>16.2</x:v>
      </x:c>
      <x:c r="H1518" s="40" t="n">
        <x:f>F1518-E1518</x:f>
        <x:v>-1.0889450073242202</x:v>
      </x:c>
      <x:c r="I1518" s="40" t="n">
        <x:f>ABS(H1518)</x:f>
        <x:v>1.0889450073242202</x:v>
      </x:c>
      <x:c r="J1518" s="40" t="n">
        <x:f>H1518^2</x:f>
        <x:v>1.185801228976346</x:v>
      </x:c>
      <x:c r="K1518" s="40" t="n">
        <x:f>G1518-E1518</x:f>
        <x:v>0.09999999999999787</x:v>
      </x:c>
      <x:c r="L1518" s="40" t="n">
        <x:f>ABS(K1518)</x:f>
        <x:v>0.09999999999999787</x:v>
      </x:c>
      <x:c r="M1518" s="41" t="str">
        <x:v>lstm-soil-v1</x:v>
      </x:c>
    </x:row>
    <x:row r="1519">
      <x:c r="A1519" s="38" t="str">
        <x:v>7月30日现场数据</x:v>
      </x:c>
      <x:c r="B1519" s="39" t="str">
        <x:v>2026-08-01T21:05:00</x:v>
      </x:c>
      <x:c r="C1519" s="39" t="str">
        <x:v>2026-08-01T22:05:00</x:v>
      </x:c>
      <x:c r="D1519" s="47" t="n">
        <x:v>60</x:v>
      </x:c>
      <x:c r="E1519" s="40" t="n">
        <x:v>16.1</x:v>
      </x:c>
      <x:c r="F1519" s="40" t="n">
        <x:v>16.713146209716797</x:v>
      </x:c>
      <x:c r="G1519" s="40" t="n">
        <x:v>16.2</x:v>
      </x:c>
      <x:c r="H1519" s="40" t="n">
        <x:f>F1519-E1519</x:f>
        <x:v>0.6131462097167955</x:v>
      </x:c>
      <x:c r="I1519" s="40" t="n">
        <x:f>ABS(H1519)</x:f>
        <x:v>0.6131462097167955</x:v>
      </x:c>
      <x:c r="J1519" s="40" t="n">
        <x:f>H1519^2</x:f>
        <x:v>0.3759482744900725</x:v>
      </x:c>
      <x:c r="K1519" s="40" t="n">
        <x:f>G1519-E1519</x:f>
        <x:v>0.09999999999999787</x:v>
      </x:c>
      <x:c r="L1519" s="40" t="n">
        <x:f>ABS(K1519)</x:f>
        <x:v>0.09999999999999787</x:v>
      </x:c>
      <x:c r="M1519" s="41" t="str">
        <x:v>lstm-soil-v1</x:v>
      </x:c>
    </x:row>
    <x:row r="1520">
      <x:c r="A1520" s="38" t="str">
        <x:v>7月30日现场数据</x:v>
      </x:c>
      <x:c r="B1520" s="39" t="str">
        <x:v>2026-08-01T21:10:00</x:v>
      </x:c>
      <x:c r="C1520" s="39" t="str">
        <x:v>2026-08-01T21:15:00</x:v>
      </x:c>
      <x:c r="D1520" s="47" t="n">
        <x:v>5</x:v>
      </x:c>
      <x:c r="E1520" s="40" t="n">
        <x:v>16.2</x:v>
      </x:c>
      <x:c r="F1520" s="40" t="n">
        <x:v>14.570838928222656</x:v>
      </x:c>
      <x:c r="G1520" s="40" t="n">
        <x:v>16.2</x:v>
      </x:c>
      <x:c r="H1520" s="40" t="n">
        <x:f>F1520-E1520</x:f>
        <x:v>-1.629161071777343</x:v>
      </x:c>
      <x:c r="I1520" s="40" t="n">
        <x:f>ABS(H1520)</x:f>
        <x:v>1.629161071777343</x:v>
      </x:c>
      <x:c r="J1520" s="40" t="n">
        <x:f>H1520^2</x:f>
        <x:v>2.6541657977947013</x:v>
      </x:c>
      <x:c r="K1520" s="40" t="n">
        <x:f>G1520-E1520</x:f>
        <x:v>0</x:v>
      </x:c>
      <x:c r="L1520" s="40" t="n">
        <x:f>ABS(K1520)</x:f>
        <x:v>0</x:v>
      </x:c>
      <x:c r="M1520" s="41" t="str">
        <x:v>lstm-soil-v1</x:v>
      </x:c>
    </x:row>
    <x:row r="1521">
      <x:c r="A1521" s="38" t="str">
        <x:v>7月30日现场数据</x:v>
      </x:c>
      <x:c r="B1521" s="39" t="str">
        <x:v>2026-08-01T21:10:00</x:v>
      </x:c>
      <x:c r="C1521" s="39" t="str">
        <x:v>2026-08-01T21:25:00</x:v>
      </x:c>
      <x:c r="D1521" s="47" t="n">
        <x:v>15</x:v>
      </x:c>
      <x:c r="E1521" s="40" t="n">
        <x:v>16.2</x:v>
      </x:c>
      <x:c r="F1521" s="40" t="n">
        <x:v>14.652252197265625</x:v>
      </x:c>
      <x:c r="G1521" s="40" t="n">
        <x:v>16.2</x:v>
      </x:c>
      <x:c r="H1521" s="40" t="n">
        <x:f>F1521-E1521</x:f>
        <x:v>-1.5477478027343743</x:v>
      </x:c>
      <x:c r="I1521" s="40" t="n">
        <x:f>ABS(H1521)</x:f>
        <x:v>1.5477478027343743</x:v>
      </x:c>
      <x:c r="J1521" s="40" t="n">
        <x:f>H1521^2</x:f>
        <x:v>2.3955232608690835</x:v>
      </x:c>
      <x:c r="K1521" s="40" t="n">
        <x:f>G1521-E1521</x:f>
        <x:v>0</x:v>
      </x:c>
      <x:c r="L1521" s="40" t="n">
        <x:f>ABS(K1521)</x:f>
        <x:v>0</x:v>
      </x:c>
      <x:c r="M1521" s="41" t="str">
        <x:v>lstm-soil-v1</x:v>
      </x:c>
    </x:row>
    <x:row r="1522">
      <x:c r="A1522" s="38" t="str">
        <x:v>7月30日现场数据</x:v>
      </x:c>
      <x:c r="B1522" s="39" t="str">
        <x:v>2026-08-01T21:10:00</x:v>
      </x:c>
      <x:c r="C1522" s="39" t="str">
        <x:v>2026-08-01T21:40:00</x:v>
      </x:c>
      <x:c r="D1522" s="47" t="n">
        <x:v>30</x:v>
      </x:c>
      <x:c r="E1522" s="40" t="n">
        <x:v>16.1</x:v>
      </x:c>
      <x:c r="F1522" s="40" t="n">
        <x:v>15.012100219726562</x:v>
      </x:c>
      <x:c r="G1522" s="40" t="n">
        <x:v>16.2</x:v>
      </x:c>
      <x:c r="H1522" s="40" t="n">
        <x:f>F1522-E1522</x:f>
        <x:v>-1.087899780273439</x:v>
      </x:c>
      <x:c r="I1522" s="40" t="n">
        <x:f>ABS(H1522)</x:f>
        <x:v>1.087899780273439</x:v>
      </x:c>
      <x:c r="J1522" s="40" t="n">
        <x:f>H1522^2</x:f>
        <x:v>1.1835259319189966</x:v>
      </x:c>
      <x:c r="K1522" s="40" t="n">
        <x:f>G1522-E1522</x:f>
        <x:v>0.09999999999999787</x:v>
      </x:c>
      <x:c r="L1522" s="40" t="n">
        <x:f>ABS(K1522)</x:f>
        <x:v>0.09999999999999787</x:v>
      </x:c>
      <x:c r="M1522" s="41" t="str">
        <x:v>lstm-soil-v1</x:v>
      </x:c>
    </x:row>
    <x:row r="1523">
      <x:c r="A1523" s="38" t="str">
        <x:v>7月30日现场数据</x:v>
      </x:c>
      <x:c r="B1523" s="39" t="str">
        <x:v>2026-08-01T21:10:00</x:v>
      </x:c>
      <x:c r="C1523" s="39" t="str">
        <x:v>2026-08-01T22:10:00</x:v>
      </x:c>
      <x:c r="D1523" s="47" t="n">
        <x:v>60</x:v>
      </x:c>
      <x:c r="E1523" s="40" t="n">
        <x:v>16.1</x:v>
      </x:c>
      <x:c r="F1523" s="40" t="n">
        <x:v>16.710220336914062</x:v>
      </x:c>
      <x:c r="G1523" s="40" t="n">
        <x:v>16.2</x:v>
      </x:c>
      <x:c r="H1523" s="40" t="n">
        <x:f>F1523-E1523</x:f>
        <x:v>0.6102203369140611</x:v>
      </x:c>
      <x:c r="I1523" s="40" t="n">
        <x:f>ABS(H1523)</x:f>
        <x:v>0.6102203369140611</x:v>
      </x:c>
      <x:c r="J1523" s="40" t="n">
        <x:f>H1523^2</x:f>
        <x:v>0.37236885958351024</x:v>
      </x:c>
      <x:c r="K1523" s="40" t="n">
        <x:f>G1523-E1523</x:f>
        <x:v>0.09999999999999787</x:v>
      </x:c>
      <x:c r="L1523" s="40" t="n">
        <x:f>ABS(K1523)</x:f>
        <x:v>0.09999999999999787</x:v>
      </x:c>
      <x:c r="M1523" s="41" t="str">
        <x:v>lstm-soil-v1</x:v>
      </x:c>
    </x:row>
    <x:row r="1524">
      <x:c r="A1524" s="38" t="str">
        <x:v>7月30日现场数据</x:v>
      </x:c>
      <x:c r="B1524" s="39" t="str">
        <x:v>2026-08-01T21:15:00</x:v>
      </x:c>
      <x:c r="C1524" s="39" t="str">
        <x:v>2026-08-01T21:20:00</x:v>
      </x:c>
      <x:c r="D1524" s="47" t="n">
        <x:v>5</x:v>
      </x:c>
      <x:c r="E1524" s="40" t="n">
        <x:v>16.2</x:v>
      </x:c>
      <x:c r="F1524" s="40" t="n">
        <x:v>14.570388793945312</x:v>
      </x:c>
      <x:c r="G1524" s="40" t="n">
        <x:v>16.2</x:v>
      </x:c>
      <x:c r="H1524" s="40" t="n">
        <x:f>F1524-E1524</x:f>
        <x:v>-1.6296112060546868</x:v>
      </x:c>
      <x:c r="I1524" s="40" t="n">
        <x:f>ABS(H1524)</x:f>
        <x:v>1.6296112060546868</x:v>
      </x:c>
      <x:c r="J1524" s="40" t="n">
        <x:f>H1524^2</x:f>
        <x:v>2.655632682899011</x:v>
      </x:c>
      <x:c r="K1524" s="40" t="n">
        <x:f>G1524-E1524</x:f>
        <x:v>0</x:v>
      </x:c>
      <x:c r="L1524" s="40" t="n">
        <x:f>ABS(K1524)</x:f>
        <x:v>0</x:v>
      </x:c>
      <x:c r="M1524" s="41" t="str">
        <x:v>lstm-soil-v1</x:v>
      </x:c>
    </x:row>
    <x:row r="1525">
      <x:c r="A1525" s="38" t="str">
        <x:v>7月30日现场数据</x:v>
      </x:c>
      <x:c r="B1525" s="39" t="str">
        <x:v>2026-08-01T21:15:00</x:v>
      </x:c>
      <x:c r="C1525" s="39" t="str">
        <x:v>2026-08-01T21:30:00</x:v>
      </x:c>
      <x:c r="D1525" s="47" t="n">
        <x:v>15</x:v>
      </x:c>
      <x:c r="E1525" s="40" t="n">
        <x:v>16.1</x:v>
      </x:c>
      <x:c r="F1525" s="40" t="n">
        <x:v>14.651145935058594</x:v>
      </x:c>
      <x:c r="G1525" s="40" t="n">
        <x:v>16.2</x:v>
      </x:c>
      <x:c r="H1525" s="40" t="n">
        <x:f>F1525-E1525</x:f>
        <x:v>-1.4488540649414077</x:v>
      </x:c>
      <x:c r="I1525" s="40" t="n">
        <x:f>ABS(H1525)</x:f>
        <x:v>1.4488540649414077</x:v>
      </x:c>
      <x:c r="J1525" s="40" t="n">
        <x:f>H1525^2</x:f>
        <x:v>2.0991781014972406</x:v>
      </x:c>
      <x:c r="K1525" s="40" t="n">
        <x:f>G1525-E1525</x:f>
        <x:v>0.09999999999999787</x:v>
      </x:c>
      <x:c r="L1525" s="40" t="n">
        <x:f>ABS(K1525)</x:f>
        <x:v>0.09999999999999787</x:v>
      </x:c>
      <x:c r="M1525" s="41" t="str">
        <x:v>lstm-soil-v1</x:v>
      </x:c>
    </x:row>
    <x:row r="1526">
      <x:c r="A1526" s="38" t="str">
        <x:v>7月30日现场数据</x:v>
      </x:c>
      <x:c r="B1526" s="39" t="str">
        <x:v>2026-08-01T21:15:00</x:v>
      </x:c>
      <x:c r="C1526" s="39" t="str">
        <x:v>2026-08-01T21:45:00</x:v>
      </x:c>
      <x:c r="D1526" s="47" t="n">
        <x:v>30</x:v>
      </x:c>
      <x:c r="E1526" s="40" t="n">
        <x:v>16.1</x:v>
      </x:c>
      <x:c r="F1526" s="40" t="n">
        <x:v>15.013092041015625</x:v>
      </x:c>
      <x:c r="G1526" s="40" t="n">
        <x:v>16.2</x:v>
      </x:c>
      <x:c r="H1526" s="40" t="n">
        <x:f>F1526-E1526</x:f>
        <x:v>-1.0869079589843764</x:v>
      </x:c>
      <x:c r="I1526" s="40" t="n">
        <x:f>ABS(H1526)</x:f>
        <x:v>1.0869079589843764</x:v>
      </x:c>
      <x:c r="J1526" s="40" t="n">
        <x:f>H1526^2</x:f>
        <x:v>1.1813689113035828</x:v>
      </x:c>
      <x:c r="K1526" s="40" t="n">
        <x:f>G1526-E1526</x:f>
        <x:v>0.09999999999999787</x:v>
      </x:c>
      <x:c r="L1526" s="40" t="n">
        <x:f>ABS(K1526)</x:f>
        <x:v>0.09999999999999787</x:v>
      </x:c>
      <x:c r="M1526" s="41" t="str">
        <x:v>lstm-soil-v1</x:v>
      </x:c>
    </x:row>
    <x:row r="1527">
      <x:c r="A1527" s="38" t="str">
        <x:v>7月30日现场数据</x:v>
      </x:c>
      <x:c r="B1527" s="39" t="str">
        <x:v>2026-08-01T21:15:00</x:v>
      </x:c>
      <x:c r="C1527" s="39" t="str">
        <x:v>2026-08-01T22:15:00</x:v>
      </x:c>
      <x:c r="D1527" s="47" t="n">
        <x:v>60</x:v>
      </x:c>
      <x:c r="E1527" s="40" t="n">
        <x:v>16.1</x:v>
      </x:c>
      <x:c r="F1527" s="40" t="n">
        <x:v>16.708492279052734</x:v>
      </x:c>
      <x:c r="G1527" s="40" t="n">
        <x:v>16.2</x:v>
      </x:c>
      <x:c r="H1527" s="40" t="n">
        <x:f>F1527-E1527</x:f>
        <x:v>0.608492279052733</x:v>
      </x:c>
      <x:c r="I1527" s="40" t="n">
        <x:f>ABS(H1527)</x:f>
        <x:v>0.608492279052733</x:v>
      </x:c>
      <x:c r="J1527" s="40" t="n">
        <x:f>H1527^2</x:f>
        <x:v>0.370262853666789</x:v>
      </x:c>
      <x:c r="K1527" s="40" t="n">
        <x:f>G1527-E1527</x:f>
        <x:v>0.09999999999999787</x:v>
      </x:c>
      <x:c r="L1527" s="40" t="n">
        <x:f>ABS(K1527)</x:f>
        <x:v>0.09999999999999787</x:v>
      </x:c>
      <x:c r="M1527" s="41" t="str">
        <x:v>lstm-soil-v1</x:v>
      </x:c>
    </x:row>
    <x:row r="1528">
      <x:c r="A1528" s="38" t="str">
        <x:v>7月30日现场数据</x:v>
      </x:c>
      <x:c r="B1528" s="39" t="str">
        <x:v>2026-08-01T21:20:00</x:v>
      </x:c>
      <x:c r="C1528" s="39" t="str">
        <x:v>2026-08-01T21:25:00</x:v>
      </x:c>
      <x:c r="D1528" s="47" t="n">
        <x:v>5</x:v>
      </x:c>
      <x:c r="E1528" s="40" t="n">
        <x:v>16.2</x:v>
      </x:c>
      <x:c r="F1528" s="40" t="n">
        <x:v>14.5701904296875</x:v>
      </x:c>
      <x:c r="G1528" s="40" t="n">
        <x:v>16.2</x:v>
      </x:c>
      <x:c r="H1528" s="40" t="n">
        <x:f>F1528-E1528</x:f>
        <x:v>-1.6298095703124993</x:v>
      </x:c>
      <x:c r="I1528" s="40" t="n">
        <x:f>ABS(H1528)</x:f>
        <x:v>1.6298095703124993</x:v>
      </x:c>
      <x:c r="J1528" s="40" t="n">
        <x:f>H1528^2</x:f>
        <x:v>2.656279235482214</x:v>
      </x:c>
      <x:c r="K1528" s="40" t="n">
        <x:f>G1528-E1528</x:f>
        <x:v>0</x:v>
      </x:c>
      <x:c r="L1528" s="40" t="n">
        <x:f>ABS(K1528)</x:f>
        <x:v>0</x:v>
      </x:c>
      <x:c r="M1528" s="41" t="str">
        <x:v>lstm-soil-v1</x:v>
      </x:c>
    </x:row>
    <x:row r="1529">
      <x:c r="A1529" s="38" t="str">
        <x:v>7月30日现场数据</x:v>
      </x:c>
      <x:c r="B1529" s="39" t="str">
        <x:v>2026-08-01T21:20:00</x:v>
      </x:c>
      <x:c r="C1529" s="39" t="str">
        <x:v>2026-08-01T21:35:00</x:v>
      </x:c>
      <x:c r="D1529" s="47" t="n">
        <x:v>15</x:v>
      </x:c>
      <x:c r="E1529" s="40" t="n">
        <x:v>16.1</x:v>
      </x:c>
      <x:c r="F1529" s="40" t="n">
        <x:v>14.65018081665039</x:v>
      </x:c>
      <x:c r="G1529" s="40" t="n">
        <x:v>16.2</x:v>
      </x:c>
      <x:c r="H1529" s="40" t="n">
        <x:f>F1529-E1529</x:f>
        <x:v>-1.4498191833496108</x:v>
      </x:c>
      <x:c r="I1529" s="40" t="n">
        <x:f>ABS(H1529)</x:f>
        <x:v>1.4498191833496108</x:v>
      </x:c>
      <x:c r="J1529" s="40" t="n">
        <x:f>H1529^2</x:f>
        <x:v>2.1019756644085326</x:v>
      </x:c>
      <x:c r="K1529" s="40" t="n">
        <x:f>G1529-E1529</x:f>
        <x:v>0.09999999999999787</x:v>
      </x:c>
      <x:c r="L1529" s="40" t="n">
        <x:f>ABS(K1529)</x:f>
        <x:v>0.09999999999999787</x:v>
      </x:c>
      <x:c r="M1529" s="41" t="str">
        <x:v>lstm-soil-v1</x:v>
      </x:c>
    </x:row>
    <x:row r="1530">
      <x:c r="A1530" s="38" t="str">
        <x:v>7月30日现场数据</x:v>
      </x:c>
      <x:c r="B1530" s="39" t="str">
        <x:v>2026-08-01T21:20:00</x:v>
      </x:c>
      <x:c r="C1530" s="39" t="str">
        <x:v>2026-08-01T21:50:00</x:v>
      </x:c>
      <x:c r="D1530" s="47" t="n">
        <x:v>30</x:v>
      </x:c>
      <x:c r="E1530" s="40" t="n">
        <x:v>16.1</x:v>
      </x:c>
      <x:c r="F1530" s="40" t="n">
        <x:v>15.014244079589844</x:v>
      </x:c>
      <x:c r="G1530" s="40" t="n">
        <x:v>16.2</x:v>
      </x:c>
      <x:c r="H1530" s="40" t="n">
        <x:f>F1530-E1530</x:f>
        <x:v>-1.0857559204101577</x:v>
      </x:c>
      <x:c r="I1530" s="40" t="n">
        <x:f>ABS(H1530)</x:f>
        <x:v>1.0857559204101577</x:v>
      </x:c>
      <x:c r="J1530" s="40" t="n">
        <x:f>H1530^2</x:f>
        <x:v>1.1788659187057087</x:v>
      </x:c>
      <x:c r="K1530" s="40" t="n">
        <x:f>G1530-E1530</x:f>
        <x:v>0.09999999999999787</x:v>
      </x:c>
      <x:c r="L1530" s="40" t="n">
        <x:f>ABS(K1530)</x:f>
        <x:v>0.09999999999999787</x:v>
      </x:c>
      <x:c r="M1530" s="41" t="str">
        <x:v>lstm-soil-v1</x:v>
      </x:c>
    </x:row>
    <x:row r="1531">
      <x:c r="A1531" s="38" t="str">
        <x:v>7月30日现场数据</x:v>
      </x:c>
      <x:c r="B1531" s="39" t="str">
        <x:v>2026-08-01T21:20:00</x:v>
      </x:c>
      <x:c r="C1531" s="39" t="str">
        <x:v>2026-08-01T22:20:00</x:v>
      </x:c>
      <x:c r="D1531" s="47" t="n">
        <x:v>60</x:v>
      </x:c>
      <x:c r="E1531" s="40" t="n">
        <x:v>16.1</x:v>
      </x:c>
      <x:c r="F1531" s="40" t="n">
        <x:v>16.707828521728516</x:v>
      </x:c>
      <x:c r="G1531" s="40" t="n">
        <x:v>16.2</x:v>
      </x:c>
      <x:c r="H1531" s="40" t="n">
        <x:f>F1531-E1531</x:f>
        <x:v>0.6078285217285142</x:v>
      </x:c>
      <x:c r="I1531" s="40" t="n">
        <x:f>ABS(H1531)</x:f>
        <x:v>0.6078285217285142</x:v>
      </x:c>
      <x:c r="J1531" s="40" t="n">
        <x:f>H1531^2</x:f>
        <x:v>0.36945551182667086</x:v>
      </x:c>
      <x:c r="K1531" s="40" t="n">
        <x:f>G1531-E1531</x:f>
        <x:v>0.09999999999999787</x:v>
      </x:c>
      <x:c r="L1531" s="40" t="n">
        <x:f>ABS(K1531)</x:f>
        <x:v>0.09999999999999787</x:v>
      </x:c>
      <x:c r="M1531" s="41" t="str">
        <x:v>lstm-soil-v1</x:v>
      </x:c>
    </x:row>
    <x:row r="1532">
      <x:c r="A1532" s="38" t="str">
        <x:v>7月30日现场数据</x:v>
      </x:c>
      <x:c r="B1532" s="39" t="str">
        <x:v>2026-08-01T21:25:00</x:v>
      </x:c>
      <x:c r="C1532" s="39" t="str">
        <x:v>2026-08-01T21:30:00</x:v>
      </x:c>
      <x:c r="D1532" s="47" t="n">
        <x:v>5</x:v>
      </x:c>
      <x:c r="E1532" s="40" t="n">
        <x:v>16.1</x:v>
      </x:c>
      <x:c r="F1532" s="40" t="n">
        <x:v>14.5701904296875</x:v>
      </x:c>
      <x:c r="G1532" s="40" t="n">
        <x:v>16.2</x:v>
      </x:c>
      <x:c r="H1532" s="40" t="n">
        <x:f>F1532-E1532</x:f>
        <x:v>-1.5298095703125014</x:v>
      </x:c>
      <x:c r="I1532" s="40" t="n">
        <x:f>ABS(H1532)</x:f>
        <x:v>1.5298095703125014</x:v>
      </x:c>
      <x:c r="J1532" s="40" t="n">
        <x:f>H1532^2</x:f>
        <x:v>2.3403173214197204</x:v>
      </x:c>
      <x:c r="K1532" s="40" t="n">
        <x:f>G1532-E1532</x:f>
        <x:v>0.09999999999999787</x:v>
      </x:c>
      <x:c r="L1532" s="40" t="n">
        <x:f>ABS(K1532)</x:f>
        <x:v>0.09999999999999787</x:v>
      </x:c>
      <x:c r="M1532" s="41" t="str">
        <x:v>lstm-soil-v1</x:v>
      </x:c>
    </x:row>
    <x:row r="1533">
      <x:c r="A1533" s="38" t="str">
        <x:v>7月30日现场数据</x:v>
      </x:c>
      <x:c r="B1533" s="39" t="str">
        <x:v>2026-08-01T21:25:00</x:v>
      </x:c>
      <x:c r="C1533" s="39" t="str">
        <x:v>2026-08-01T21:40:00</x:v>
      </x:c>
      <x:c r="D1533" s="47" t="n">
        <x:v>15</x:v>
      </x:c>
      <x:c r="E1533" s="40" t="n">
        <x:v>16.1</x:v>
      </x:c>
      <x:c r="F1533" s="40" t="n">
        <x:v>14.649471282958984</x:v>
      </x:c>
      <x:c r="G1533" s="40" t="n">
        <x:v>16.2</x:v>
      </x:c>
      <x:c r="H1533" s="40" t="n">
        <x:f>F1533-E1533</x:f>
        <x:v>-1.450528717041017</x:v>
      </x:c>
      <x:c r="I1533" s="40" t="n">
        <x:f>ABS(H1533)</x:f>
        <x:v>1.450528717041017</x:v>
      </x:c>
      <x:c r="J1533" s="40" t="n">
        <x:f>H1533^2</x:f>
        <x:v>2.104033558960659</x:v>
      </x:c>
      <x:c r="K1533" s="40" t="n">
        <x:f>G1533-E1533</x:f>
        <x:v>0.09999999999999787</x:v>
      </x:c>
      <x:c r="L1533" s="40" t="n">
        <x:f>ABS(K1533)</x:f>
        <x:v>0.09999999999999787</x:v>
      </x:c>
      <x:c r="M1533" s="41" t="str">
        <x:v>lstm-soil-v1</x:v>
      </x:c>
    </x:row>
    <x:row r="1534">
      <x:c r="A1534" s="38" t="str">
        <x:v>7月30日现场数据</x:v>
      </x:c>
      <x:c r="B1534" s="39" t="str">
        <x:v>2026-08-01T21:25:00</x:v>
      </x:c>
      <x:c r="C1534" s="39" t="str">
        <x:v>2026-08-01T21:55:00</x:v>
      </x:c>
      <x:c r="D1534" s="47" t="n">
        <x:v>30</x:v>
      </x:c>
      <x:c r="E1534" s="40" t="n">
        <x:v>16.1</x:v>
      </x:c>
      <x:c r="F1534" s="40" t="n">
        <x:v>15.015472412109375</x:v>
      </x:c>
      <x:c r="G1534" s="40" t="n">
        <x:v>16.2</x:v>
      </x:c>
      <x:c r="H1534" s="40" t="n">
        <x:f>F1534-E1534</x:f>
        <x:v>-1.0845275878906264</x:v>
      </x:c>
      <x:c r="I1534" s="40" t="n">
        <x:f>ABS(H1534)</x:f>
        <x:v>1.0845275878906264</x:v>
      </x:c>
      <x:c r="J1534" s="40" t="n">
        <x:f>H1534^2</x:f>
        <x:v>1.1762000888958604</x:v>
      </x:c>
      <x:c r="K1534" s="40" t="n">
        <x:f>G1534-E1534</x:f>
        <x:v>0.09999999999999787</x:v>
      </x:c>
      <x:c r="L1534" s="40" t="n">
        <x:f>ABS(K1534)</x:f>
        <x:v>0.09999999999999787</x:v>
      </x:c>
      <x:c r="M1534" s="41" t="str">
        <x:v>lstm-soil-v1</x:v>
      </x:c>
    </x:row>
    <x:row r="1535">
      <x:c r="A1535" s="38" t="str">
        <x:v>7月30日现场数据</x:v>
      </x:c>
      <x:c r="B1535" s="39" t="str">
        <x:v>2026-08-01T21:25:00</x:v>
      </x:c>
      <x:c r="C1535" s="39" t="str">
        <x:v>2026-08-01T22:25:00</x:v>
      </x:c>
      <x:c r="D1535" s="47" t="n">
        <x:v>60</x:v>
      </x:c>
      <x:c r="E1535" s="40" t="n">
        <x:v>16.1</x:v>
      </x:c>
      <x:c r="F1535" s="40" t="n">
        <x:v>16.707794189453125</x:v>
      </x:c>
      <x:c r="G1535" s="40" t="n">
        <x:v>16.2</x:v>
      </x:c>
      <x:c r="H1535" s="40" t="n">
        <x:f>F1535-E1535</x:f>
        <x:v>0.6077941894531236</x:v>
      </x:c>
      <x:c r="I1535" s="40" t="n">
        <x:f>ABS(H1535)</x:f>
        <x:v>0.6077941894531236</x:v>
      </x:c>
      <x:c r="J1535" s="40" t="n">
        <x:f>H1535^2</x:f>
        <x:v>0.3694137767329795</x:v>
      </x:c>
      <x:c r="K1535" s="40" t="n">
        <x:f>G1535-E1535</x:f>
        <x:v>0.09999999999999787</x:v>
      </x:c>
      <x:c r="L1535" s="40" t="n">
        <x:f>ABS(K1535)</x:f>
        <x:v>0.09999999999999787</x:v>
      </x:c>
      <x:c r="M1535" s="41" t="str">
        <x:v>lstm-soil-v1</x:v>
      </x:c>
    </x:row>
    <x:row r="1536">
      <x:c r="A1536" s="38" t="str">
        <x:v>7月30日现场数据</x:v>
      </x:c>
      <x:c r="B1536" s="39" t="str">
        <x:v>2026-08-01T21:30:00</x:v>
      </x:c>
      <x:c r="C1536" s="39" t="str">
        <x:v>2026-08-01T21:35:00</x:v>
      </x:c>
      <x:c r="D1536" s="47" t="n">
        <x:v>5</x:v>
      </x:c>
      <x:c r="E1536" s="40" t="n">
        <x:v>16.1</x:v>
      </x:c>
      <x:c r="F1536" s="40" t="n">
        <x:v>14.45992660522461</x:v>
      </x:c>
      <x:c r="G1536" s="40" t="n">
        <x:v>16.1</x:v>
      </x:c>
      <x:c r="H1536" s="40" t="n">
        <x:f>F1536-E1536</x:f>
        <x:v>-1.640073394775392</x:v>
      </x:c>
      <x:c r="I1536" s="40" t="n">
        <x:f>ABS(H1536)</x:f>
        <x:v>1.640073394775392</x:v>
      </x:c>
      <x:c r="J1536" s="40" t="n">
        <x:f>H1536^2</x:f>
        <x:v>2.689840740250079</x:v>
      </x:c>
      <x:c r="K1536" s="40" t="n">
        <x:f>G1536-E1536</x:f>
        <x:v>0</x:v>
      </x:c>
      <x:c r="L1536" s="40" t="n">
        <x:f>ABS(K1536)</x:f>
        <x:v>0</x:v>
      </x:c>
      <x:c r="M1536" s="41" t="str">
        <x:v>lstm-soil-v1</x:v>
      </x:c>
    </x:row>
    <x:row r="1537">
      <x:c r="A1537" s="38" t="str">
        <x:v>7月30日现场数据</x:v>
      </x:c>
      <x:c r="B1537" s="39" t="str">
        <x:v>2026-08-01T21:30:00</x:v>
      </x:c>
      <x:c r="C1537" s="39" t="str">
        <x:v>2026-08-01T21:45:00</x:v>
      </x:c>
      <x:c r="D1537" s="47" t="n">
        <x:v>15</x:v>
      </x:c>
      <x:c r="E1537" s="40" t="n">
        <x:v>16.1</x:v>
      </x:c>
      <x:c r="F1537" s="40" t="n">
        <x:v>14.538707733154297</x:v>
      </x:c>
      <x:c r="G1537" s="40" t="n">
        <x:v>16.1</x:v>
      </x:c>
      <x:c r="H1537" s="40" t="n">
        <x:f>F1537-E1537</x:f>
        <x:v>-1.5612922668457045</x:v>
      </x:c>
      <x:c r="I1537" s="40" t="n">
        <x:f>ABS(H1537)</x:f>
        <x:v>1.5612922668457045</x:v>
      </x:c>
      <x:c r="J1537" s="40" t="n">
        <x:f>H1537^2</x:f>
        <x:v>2.4376335425121987</x:v>
      </x:c>
      <x:c r="K1537" s="40" t="n">
        <x:f>G1537-E1537</x:f>
        <x:v>0</x:v>
      </x:c>
      <x:c r="L1537" s="40" t="n">
        <x:f>ABS(K1537)</x:f>
        <x:v>0</x:v>
      </x:c>
      <x:c r="M1537" s="41" t="str">
        <x:v>lstm-soil-v1</x:v>
      </x:c>
    </x:row>
    <x:row r="1538">
      <x:c r="A1538" s="38" t="str">
        <x:v>7月30日现场数据</x:v>
      </x:c>
      <x:c r="B1538" s="39" t="str">
        <x:v>2026-08-01T21:30:00</x:v>
      </x:c>
      <x:c r="C1538" s="39" t="str">
        <x:v>2026-08-01T22:00:00</x:v>
      </x:c>
      <x:c r="D1538" s="47" t="n">
        <x:v>30</x:v>
      </x:c>
      <x:c r="E1538" s="40" t="n">
        <x:v>16.1</x:v>
      </x:c>
      <x:c r="F1538" s="40" t="n">
        <x:v>14.906364440917969</x:v>
      </x:c>
      <x:c r="G1538" s="40" t="n">
        <x:v>16.1</x:v>
      </x:c>
      <x:c r="H1538" s="40" t="n">
        <x:f>F1538-E1538</x:f>
        <x:v>-1.1936355590820327</x:v>
      </x:c>
      <x:c r="I1538" s="40" t="n">
        <x:f>ABS(H1538)</x:f>
        <x:v>1.1936355590820327</x:v>
      </x:c>
      <x:c r="J1538" s="40" t="n">
        <x:f>H1538^2</x:f>
        <x:v>1.4247658479050767</x:v>
      </x:c>
      <x:c r="K1538" s="40" t="n">
        <x:f>G1538-E1538</x:f>
        <x:v>0</x:v>
      </x:c>
      <x:c r="L1538" s="40" t="n">
        <x:f>ABS(K1538)</x:f>
        <x:v>0</x:v>
      </x:c>
      <x:c r="M1538" s="41" t="str">
        <x:v>lstm-soil-v1</x:v>
      </x:c>
    </x:row>
    <x:row r="1539">
      <x:c r="A1539" s="38" t="str">
        <x:v>7月30日现场数据</x:v>
      </x:c>
      <x:c r="B1539" s="39" t="str">
        <x:v>2026-08-01T21:30:00</x:v>
      </x:c>
      <x:c r="C1539" s="39" t="str">
        <x:v>2026-08-01T22:30:00</x:v>
      </x:c>
      <x:c r="D1539" s="47" t="n">
        <x:v>60</x:v>
      </x:c>
      <x:c r="E1539" s="40" t="n">
        <x:v>16.1</x:v>
      </x:c>
      <x:c r="F1539" s="40" t="n">
        <x:v>16.59772491455078</x:v>
      </x:c>
      <x:c r="G1539" s="40" t="n">
        <x:v>16.1</x:v>
      </x:c>
      <x:c r="H1539" s="40" t="n">
        <x:f>F1539-E1539</x:f>
        <x:v>0.49772491455077983</x:v>
      </x:c>
      <x:c r="I1539" s="40" t="n">
        <x:f>ABS(H1539)</x:f>
        <x:v>0.49772491455077983</x:v>
      </x:c>
      <x:c r="J1539" s="40" t="n">
        <x:f>H1539^2</x:f>
        <x:v>0.2477300905645811</x:v>
      </x:c>
      <x:c r="K1539" s="40" t="n">
        <x:f>G1539-E1539</x:f>
        <x:v>0</x:v>
      </x:c>
      <x:c r="L1539" s="40" t="n">
        <x:f>ABS(K1539)</x:f>
        <x:v>0</x:v>
      </x:c>
      <x:c r="M1539" s="41" t="str">
        <x:v>lstm-soil-v1</x:v>
      </x:c>
    </x:row>
    <x:row r="1540">
      <x:c r="A1540" s="38" t="str">
        <x:v>7月30日现场数据</x:v>
      </x:c>
      <x:c r="B1540" s="39" t="str">
        <x:v>2026-08-01T21:35:00</x:v>
      </x:c>
      <x:c r="C1540" s="39" t="str">
        <x:v>2026-08-01T21:40:00</x:v>
      </x:c>
      <x:c r="D1540" s="47" t="n">
        <x:v>5</x:v>
      </x:c>
      <x:c r="E1540" s="40" t="n">
        <x:v>16.1</x:v>
      </x:c>
      <x:c r="F1540" s="40" t="n">
        <x:v>14.459896087646484</x:v>
      </x:c>
      <x:c r="G1540" s="40" t="n">
        <x:v>16.1</x:v>
      </x:c>
      <x:c r="H1540" s="40" t="n">
        <x:f>F1540-E1540</x:f>
        <x:v>-1.640103912353517</x:v>
      </x:c>
      <x:c r="I1540" s="40" t="n">
        <x:f>ABS(H1540)</x:f>
        <x:v>1.640103912353517</x:v>
      </x:c>
      <x:c r="J1540" s="40" t="n">
        <x:f>H1540^2</x:f>
        <x:v>2.6899408433173133</x:v>
      </x:c>
      <x:c r="K1540" s="40" t="n">
        <x:f>G1540-E1540</x:f>
        <x:v>0</x:v>
      </x:c>
      <x:c r="L1540" s="40" t="n">
        <x:f>ABS(K1540)</x:f>
        <x:v>0</x:v>
      </x:c>
      <x:c r="M1540" s="41" t="str">
        <x:v>lstm-soil-v1</x:v>
      </x:c>
    </x:row>
    <x:row r="1541">
      <x:c r="A1541" s="38" t="str">
        <x:v>7月30日现场数据</x:v>
      </x:c>
      <x:c r="B1541" s="39" t="str">
        <x:v>2026-08-01T21:35:00</x:v>
      </x:c>
      <x:c r="C1541" s="39" t="str">
        <x:v>2026-08-01T21:50:00</x:v>
      </x:c>
      <x:c r="D1541" s="47" t="n">
        <x:v>15</x:v>
      </x:c>
      <x:c r="E1541" s="40" t="n">
        <x:v>16.1</x:v>
      </x:c>
      <x:c r="F1541" s="40" t="n">
        <x:v>14.538238525390625</x:v>
      </x:c>
      <x:c r="G1541" s="40" t="n">
        <x:v>16.1</x:v>
      </x:c>
      <x:c r="H1541" s="40" t="n">
        <x:f>F1541-E1541</x:f>
        <x:v>-1.5617614746093764</x:v>
      </x:c>
      <x:c r="I1541" s="40" t="n">
        <x:f>ABS(H1541)</x:f>
        <x:v>1.5617614746093764</x:v>
      </x:c>
      <x:c r="J1541" s="40" t="n">
        <x:f>H1541^2</x:f>
        <x:v>2.439098903574054</x:v>
      </x:c>
      <x:c r="K1541" s="40" t="n">
        <x:f>G1541-E1541</x:f>
        <x:v>0</x:v>
      </x:c>
      <x:c r="L1541" s="40" t="n">
        <x:f>ABS(K1541)</x:f>
        <x:v>0</x:v>
      </x:c>
      <x:c r="M1541" s="41" t="str">
        <x:v>lstm-soil-v1</x:v>
      </x:c>
    </x:row>
    <x:row r="1542">
      <x:c r="A1542" s="38" t="str">
        <x:v>7月30日现场数据</x:v>
      </x:c>
      <x:c r="B1542" s="39" t="str">
        <x:v>2026-08-01T21:35:00</x:v>
      </x:c>
      <x:c r="C1542" s="39" t="str">
        <x:v>2026-08-01T22:05:00</x:v>
      </x:c>
      <x:c r="D1542" s="47" t="n">
        <x:v>30</x:v>
      </x:c>
      <x:c r="E1542" s="40" t="n">
        <x:v>16.1</x:v>
      </x:c>
      <x:c r="F1542" s="40" t="n">
        <x:v>14.907413482666016</x:v>
      </x:c>
      <x:c r="G1542" s="40" t="n">
        <x:v>16.1</x:v>
      </x:c>
      <x:c r="H1542" s="40" t="n">
        <x:f>F1542-E1542</x:f>
        <x:v>-1.1925865173339858</x:v>
      </x:c>
      <x:c r="I1542" s="40" t="n">
        <x:f>ABS(H1542)</x:f>
        <x:v>1.1925865173339858</x:v>
      </x:c>
      <x:c r="J1542" s="40" t="n">
        <x:f>H1542^2</x:f>
        <x:v>1.4222626013268052</x:v>
      </x:c>
      <x:c r="K1542" s="40" t="n">
        <x:f>G1542-E1542</x:f>
        <x:v>0</x:v>
      </x:c>
      <x:c r="L1542" s="40" t="n">
        <x:f>ABS(K1542)</x:f>
        <x:v>0</x:v>
      </x:c>
      <x:c r="M1542" s="41" t="str">
        <x:v>lstm-soil-v1</x:v>
      </x:c>
    </x:row>
    <x:row r="1543">
      <x:c r="A1543" s="38" t="str">
        <x:v>7月30日现场数据</x:v>
      </x:c>
      <x:c r="B1543" s="39" t="str">
        <x:v>2026-08-01T21:35:00</x:v>
      </x:c>
      <x:c r="C1543" s="39" t="str">
        <x:v>2026-08-01T22:35:00</x:v>
      </x:c>
      <x:c r="D1543" s="47" t="n">
        <x:v>60</x:v>
      </x:c>
      <x:c r="E1543" s="40" t="n">
        <x:v>16.1</x:v>
      </x:c>
      <x:c r="F1543" s="40" t="n">
        <x:v>16.598003387451172</x:v>
      </x:c>
      <x:c r="G1543" s="40" t="n">
        <x:v>16.1</x:v>
      </x:c>
      <x:c r="H1543" s="40" t="n">
        <x:f>F1543-E1543</x:f>
        <x:v>0.49800338745117045</x:v>
      </x:c>
      <x:c r="I1543" s="40" t="n">
        <x:f>ABS(H1543)</x:f>
        <x:v>0.49800338745117045</x:v>
      </x:c>
      <x:c r="J1543" s="40" t="n">
        <x:f>H1543^2</x:f>
        <x:v>0.24800737391284058</x:v>
      </x:c>
      <x:c r="K1543" s="40" t="n">
        <x:f>G1543-E1543</x:f>
        <x:v>0</x:v>
      </x:c>
      <x:c r="L1543" s="40" t="n">
        <x:f>ABS(K1543)</x:f>
        <x:v>0</x:v>
      </x:c>
      <x:c r="M1543" s="41" t="str">
        <x:v>lstm-soil-v1</x:v>
      </x:c>
    </x:row>
    <x:row r="1544">
      <x:c r="A1544" s="38" t="str">
        <x:v>7月30日现场数据</x:v>
      </x:c>
      <x:c r="B1544" s="39" t="str">
        <x:v>2026-08-01T21:40:00</x:v>
      </x:c>
      <x:c r="C1544" s="39" t="str">
        <x:v>2026-08-01T21:45:00</x:v>
      </x:c>
      <x:c r="D1544" s="47" t="n">
        <x:v>5</x:v>
      </x:c>
      <x:c r="E1544" s="40" t="n">
        <x:v>16.1</x:v>
      </x:c>
      <x:c r="F1544" s="40" t="n">
        <x:v>14.45999526977539</x:v>
      </x:c>
      <x:c r="G1544" s="40" t="n">
        <x:v>16.1</x:v>
      </x:c>
      <x:c r="H1544" s="40" t="n">
        <x:f>F1544-E1544</x:f>
        <x:v>-1.6400047302246108</x:v>
      </x:c>
      <x:c r="I1544" s="40" t="n">
        <x:f>ABS(H1544)</x:f>
        <x:v>1.6400047302246108</x:v>
      </x:c>
      <x:c r="J1544" s="40" t="n">
        <x:f>H1544^2</x:f>
        <x:v>2.6896155151590984</x:v>
      </x:c>
      <x:c r="K1544" s="40" t="n">
        <x:f>G1544-E1544</x:f>
        <x:v>0</x:v>
      </x:c>
      <x:c r="L1544" s="40" t="n">
        <x:f>ABS(K1544)</x:f>
        <x:v>0</x:v>
      </x:c>
      <x:c r="M1544" s="41" t="str">
        <x:v>lstm-soil-v1</x:v>
      </x:c>
    </x:row>
    <x:row r="1545">
      <x:c r="A1545" s="38" t="str">
        <x:v>7月30日现场数据</x:v>
      </x:c>
      <x:c r="B1545" s="39" t="str">
        <x:v>2026-08-01T21:40:00</x:v>
      </x:c>
      <x:c r="C1545" s="39" t="str">
        <x:v>2026-08-01T21:55:00</x:v>
      </x:c>
      <x:c r="D1545" s="47" t="n">
        <x:v>15</x:v>
      </x:c>
      <x:c r="E1545" s="40" t="n">
        <x:v>16.1</x:v>
      </x:c>
      <x:c r="F1545" s="40" t="n">
        <x:v>14.537940979003906</x:v>
      </x:c>
      <x:c r="G1545" s="40" t="n">
        <x:v>16.1</x:v>
      </x:c>
      <x:c r="H1545" s="40" t="n">
        <x:f>F1545-E1545</x:f>
        <x:v>-1.5620590209960952</x:v>
      </x:c>
      <x:c r="I1545" s="40" t="n">
        <x:f>ABS(H1545)</x:f>
        <x:v>1.5620590209960952</x:v>
      </x:c>
      <x:c r="J1545" s="40" t="n">
        <x:f>H1545^2</x:f>
        <x:v>2.440028385075279</x:v>
      </x:c>
      <x:c r="K1545" s="40" t="n">
        <x:f>G1545-E1545</x:f>
        <x:v>0</x:v>
      </x:c>
      <x:c r="L1545" s="40" t="n">
        <x:f>ABS(K1545)</x:f>
        <x:v>0</x:v>
      </x:c>
      <x:c r="M1545" s="41" t="str">
        <x:v>lstm-soil-v1</x:v>
      </x:c>
    </x:row>
    <x:row r="1546">
      <x:c r="A1546" s="38" t="str">
        <x:v>7月30日现场数据</x:v>
      </x:c>
      <x:c r="B1546" s="39" t="str">
        <x:v>2026-08-01T21:40:00</x:v>
      </x:c>
      <x:c r="C1546" s="39" t="str">
        <x:v>2026-08-01T22:10:00</x:v>
      </x:c>
      <x:c r="D1546" s="47" t="n">
        <x:v>30</x:v>
      </x:c>
      <x:c r="E1546" s="40" t="n">
        <x:v>16.1</x:v>
      </x:c>
      <x:c r="F1546" s="40" t="n">
        <x:v>14.908435821533203</x:v>
      </x:c>
      <x:c r="G1546" s="40" t="n">
        <x:v>16.1</x:v>
      </x:c>
      <x:c r="H1546" s="40" t="n">
        <x:f>F1546-E1546</x:f>
        <x:v>-1.1915641784667983</x:v>
      </x:c>
      <x:c r="I1546" s="40" t="n">
        <x:f>ABS(H1546)</x:f>
        <x:v>1.1915641784667983</x:v>
      </x:c>
      <x:c r="J1546" s="40" t="n">
        <x:f>H1546^2</x:f>
        <x:v>1.419825191405256</x:v>
      </x:c>
      <x:c r="K1546" s="40" t="n">
        <x:f>G1546-E1546</x:f>
        <x:v>0</x:v>
      </x:c>
      <x:c r="L1546" s="40" t="n">
        <x:f>ABS(K1546)</x:f>
        <x:v>0</x:v>
      </x:c>
      <x:c r="M1546" s="41" t="str">
        <x:v>lstm-soil-v1</x:v>
      </x:c>
    </x:row>
    <x:row r="1547">
      <x:c r="A1547" s="38" t="str">
        <x:v>7月30日现场数据</x:v>
      </x:c>
      <x:c r="B1547" s="39" t="str">
        <x:v>2026-08-01T21:40:00</x:v>
      </x:c>
      <x:c r="C1547" s="39" t="str">
        <x:v>2026-08-01T22:40:00</x:v>
      </x:c>
      <x:c r="D1547" s="47" t="n">
        <x:v>60</x:v>
      </x:c>
      <x:c r="E1547" s="40" t="n">
        <x:v>16.1</x:v>
      </x:c>
      <x:c r="F1547" s="40" t="n">
        <x:v>16.598445892333984</x:v>
      </x:c>
      <x:c r="G1547" s="40" t="n">
        <x:v>16.1</x:v>
      </x:c>
      <x:c r="H1547" s="40" t="n">
        <x:f>F1547-E1547</x:f>
        <x:v>0.49844589233398295</x:v>
      </x:c>
      <x:c r="I1547" s="40" t="n">
        <x:f>ABS(H1547)</x:f>
        <x:v>0.49844589233398295</x:v>
      </x:c>
      <x:c r="J1547" s="40" t="n">
        <x:f>H1547^2</x:f>
        <x:v>0.24844830758462053</x:v>
      </x:c>
      <x:c r="K1547" s="40" t="n">
        <x:f>G1547-E1547</x:f>
        <x:v>0</x:v>
      </x:c>
      <x:c r="L1547" s="40" t="n">
        <x:f>ABS(K1547)</x:f>
        <x:v>0</x:v>
      </x:c>
      <x:c r="M1547" s="41" t="str">
        <x:v>lstm-soil-v1</x:v>
      </x:c>
    </x:row>
    <x:row r="1548">
      <x:c r="A1548" s="38" t="str">
        <x:v>7月30日现场数据</x:v>
      </x:c>
      <x:c r="B1548" s="39" t="str">
        <x:v>2026-08-01T21:45:00</x:v>
      </x:c>
      <x:c r="C1548" s="39" t="str">
        <x:v>2026-08-01T21:50:00</x:v>
      </x:c>
      <x:c r="D1548" s="47" t="n">
        <x:v>5</x:v>
      </x:c>
      <x:c r="E1548" s="40" t="n">
        <x:v>16.1</x:v>
      </x:c>
      <x:c r="F1548" s="40" t="n">
        <x:v>14.46014404296875</x:v>
      </x:c>
      <x:c r="G1548" s="40" t="n">
        <x:v>16.1</x:v>
      </x:c>
      <x:c r="H1548" s="40" t="n">
        <x:f>F1548-E1548</x:f>
        <x:v>-1.6398559570312514</x:v>
      </x:c>
      <x:c r="I1548" s="40" t="n">
        <x:f>ABS(H1548)</x:f>
        <x:v>1.6398559570312514</x:v>
      </x:c>
      <x:c r="J1548" s="40" t="n">
        <x:f>H1548^2</x:f>
        <x:v>2.6891275598108817</x:v>
      </x:c>
      <x:c r="K1548" s="40" t="n">
        <x:f>G1548-E1548</x:f>
        <x:v>0</x:v>
      </x:c>
      <x:c r="L1548" s="40" t="n">
        <x:f>ABS(K1548)</x:f>
        <x:v>0</x:v>
      </x:c>
      <x:c r="M1548" s="41" t="str">
        <x:v>lstm-soil-v1</x:v>
      </x:c>
    </x:row>
    <x:row r="1549">
      <x:c r="A1549" s="38" t="str">
        <x:v>7月30日现场数据</x:v>
      </x:c>
      <x:c r="B1549" s="39" t="str">
        <x:v>2026-08-01T21:45:00</x:v>
      </x:c>
      <x:c r="C1549" s="39" t="str">
        <x:v>2026-08-01T22:00:00</x:v>
      </x:c>
      <x:c r="D1549" s="47" t="n">
        <x:v>15</x:v>
      </x:c>
      <x:c r="E1549" s="40" t="n">
        <x:v>16.1</x:v>
      </x:c>
      <x:c r="F1549" s="40" t="n">
        <x:v>14.537757873535156</x:v>
      </x:c>
      <x:c r="G1549" s="40" t="n">
        <x:v>16.1</x:v>
      </x:c>
      <x:c r="H1549" s="40" t="n">
        <x:f>F1549-E1549</x:f>
        <x:v>-1.5622421264648452</x:v>
      </x:c>
      <x:c r="I1549" s="40" t="n">
        <x:f>ABS(H1549)</x:f>
        <x:v>1.5622421264648452</x:v>
      </x:c>
      <x:c r="J1549" s="40" t="n">
        <x:f>H1549^2</x:f>
        <x:v>2.4406004617014014</x:v>
      </x:c>
      <x:c r="K1549" s="40" t="n">
        <x:f>G1549-E1549</x:f>
        <x:v>0</x:v>
      </x:c>
      <x:c r="L1549" s="40" t="n">
        <x:f>ABS(K1549)</x:f>
        <x:v>0</x:v>
      </x:c>
      <x:c r="M1549" s="41" t="str">
        <x:v>lstm-soil-v1</x:v>
      </x:c>
    </x:row>
    <x:row r="1550">
      <x:c r="A1550" s="38" t="str">
        <x:v>7月30日现场数据</x:v>
      </x:c>
      <x:c r="B1550" s="39" t="str">
        <x:v>2026-08-01T21:45:00</x:v>
      </x:c>
      <x:c r="C1550" s="39" t="str">
        <x:v>2026-08-01T22:15:00</x:v>
      </x:c>
      <x:c r="D1550" s="47" t="n">
        <x:v>30</x:v>
      </x:c>
      <x:c r="E1550" s="40" t="n">
        <x:v>16.1</x:v>
      </x:c>
      <x:c r="F1550" s="40" t="n">
        <x:v>14.909347534179688</x:v>
      </x:c>
      <x:c r="G1550" s="40" t="n">
        <x:v>16.1</x:v>
      </x:c>
      <x:c r="H1550" s="40" t="n">
        <x:f>F1550-E1550</x:f>
        <x:v>-1.190652465820314</x:v>
      </x:c>
      <x:c r="I1550" s="40" t="n">
        <x:f>ABS(H1550)</x:f>
        <x:v>1.190652465820314</x:v>
      </x:c>
      <x:c r="J1550" s="40" t="n">
        <x:f>H1550^2</x:f>
        <x:v>1.417653294363994</x:v>
      </x:c>
      <x:c r="K1550" s="40" t="n">
        <x:f>G1550-E1550</x:f>
        <x:v>0</x:v>
      </x:c>
      <x:c r="L1550" s="40" t="n">
        <x:f>ABS(K1550)</x:f>
        <x:v>0</x:v>
      </x:c>
      <x:c r="M1550" s="41" t="str">
        <x:v>lstm-soil-v1</x:v>
      </x:c>
    </x:row>
    <x:row r="1551">
      <x:c r="A1551" s="38" t="str">
        <x:v>7月30日现场数据</x:v>
      </x:c>
      <x:c r="B1551" s="39" t="str">
        <x:v>2026-08-01T21:45:00</x:v>
      </x:c>
      <x:c r="C1551" s="39" t="str">
        <x:v>2026-08-01T22:45:00</x:v>
      </x:c>
      <x:c r="D1551" s="47" t="n">
        <x:v>60</x:v>
      </x:c>
      <x:c r="E1551" s="40" t="n">
        <x:v>16</x:v>
      </x:c>
      <x:c r="F1551" s="40" t="n">
        <x:v>16.59890365600586</x:v>
      </x:c>
      <x:c r="G1551" s="40" t="n">
        <x:v>16.1</x:v>
      </x:c>
      <x:c r="H1551" s="40" t="n">
        <x:f>F1551-E1551</x:f>
        <x:v>0.5989036560058594</x:v>
      </x:c>
      <x:c r="I1551" s="40" t="n">
        <x:f>ABS(H1551)</x:f>
        <x:v>0.5989036560058594</x:v>
      </x:c>
      <x:c r="J1551" s="40" t="n">
        <x:f>H1551^2</x:f>
        <x:v>0.35868558917718474</x:v>
      </x:c>
      <x:c r="K1551" s="40" t="n">
        <x:f>G1551-E1551</x:f>
        <x:v>0.10000000000000142</x:v>
      </x:c>
      <x:c r="L1551" s="40" t="n">
        <x:f>ABS(K1551)</x:f>
        <x:v>0.10000000000000142</x:v>
      </x:c>
      <x:c r="M1551" s="41" t="str">
        <x:v>lstm-soil-v1</x:v>
      </x:c>
    </x:row>
    <x:row r="1552">
      <x:c r="A1552" s="38" t="str">
        <x:v>7月30日现场数据</x:v>
      </x:c>
      <x:c r="B1552" s="39" t="str">
        <x:v>2026-08-01T21:50:00</x:v>
      </x:c>
      <x:c r="C1552" s="39" t="str">
        <x:v>2026-08-01T21:55:00</x:v>
      </x:c>
      <x:c r="D1552" s="47" t="n">
        <x:v>5</x:v>
      </x:c>
      <x:c r="E1552" s="40" t="n">
        <x:v>16.1</x:v>
      </x:c>
      <x:c r="F1552" s="40" t="n">
        <x:v>14.460334777832031</x:v>
      </x:c>
      <x:c r="G1552" s="40" t="n">
        <x:v>16.1</x:v>
      </x:c>
      <x:c r="H1552" s="40" t="n">
        <x:f>F1552-E1552</x:f>
        <x:v>-1.6396652221679702</x:v>
      </x:c>
      <x:c r="I1552" s="40" t="n">
        <x:f>ABS(H1552)</x:f>
        <x:v>1.6396652221679702</x:v>
      </x:c>
      <x:c r="J1552" s="40" t="n">
        <x:f>H1552^2</x:f>
        <x:v>2.688502040787139</x:v>
      </x:c>
      <x:c r="K1552" s="40" t="n">
        <x:f>G1552-E1552</x:f>
        <x:v>0</x:v>
      </x:c>
      <x:c r="L1552" s="40" t="n">
        <x:f>ABS(K1552)</x:f>
        <x:v>0</x:v>
      </x:c>
      <x:c r="M1552" s="41" t="str">
        <x:v>lstm-soil-v1</x:v>
      </x:c>
    </x:row>
    <x:row r="1553">
      <x:c r="A1553" s="38" t="str">
        <x:v>7月30日现场数据</x:v>
      </x:c>
      <x:c r="B1553" s="39" t="str">
        <x:v>2026-08-01T21:50:00</x:v>
      </x:c>
      <x:c r="C1553" s="39" t="str">
        <x:v>2026-08-01T22:05:00</x:v>
      </x:c>
      <x:c r="D1553" s="47" t="n">
        <x:v>15</x:v>
      </x:c>
      <x:c r="E1553" s="40" t="n">
        <x:v>16.1</x:v>
      </x:c>
      <x:c r="F1553" s="40" t="n">
        <x:v>14.537681579589844</x:v>
      </x:c>
      <x:c r="G1553" s="40" t="n">
        <x:v>16.1</x:v>
      </x:c>
      <x:c r="H1553" s="40" t="n">
        <x:f>F1553-E1553</x:f>
        <x:v>-1.5623184204101577</x:v>
      </x:c>
      <x:c r="I1553" s="40" t="n">
        <x:f>ABS(H1553)</x:f>
        <x:v>1.5623184204101577</x:v>
      </x:c>
      <x:c r="J1553" s="40" t="n">
        <x:f>H1553^2</x:f>
        <x:v>2.4408388467528903</x:v>
      </x:c>
      <x:c r="K1553" s="40" t="n">
        <x:f>G1553-E1553</x:f>
        <x:v>0</x:v>
      </x:c>
      <x:c r="L1553" s="40" t="n">
        <x:f>ABS(K1553)</x:f>
        <x:v>0</x:v>
      </x:c>
      <x:c r="M1553" s="41" t="str">
        <x:v>lstm-soil-v1</x:v>
      </x:c>
    </x:row>
    <x:row r="1554">
      <x:c r="A1554" s="38" t="str">
        <x:v>7月30日现场数据</x:v>
      </x:c>
      <x:c r="B1554" s="39" t="str">
        <x:v>2026-08-01T21:50:00</x:v>
      </x:c>
      <x:c r="C1554" s="39" t="str">
        <x:v>2026-08-01T22:20:00</x:v>
      </x:c>
      <x:c r="D1554" s="47" t="n">
        <x:v>30</x:v>
      </x:c>
      <x:c r="E1554" s="40" t="n">
        <x:v>16.1</x:v>
      </x:c>
      <x:c r="F1554" s="40" t="n">
        <x:v>14.91018295288086</x:v>
      </x:c>
      <x:c r="G1554" s="40" t="n">
        <x:v>16.1</x:v>
      </x:c>
      <x:c r="H1554" s="40" t="n">
        <x:f>F1554-E1554</x:f>
        <x:v>-1.189817047119142</x:v>
      </x:c>
      <x:c r="I1554" s="40" t="n">
        <x:f>ABS(H1554)</x:f>
        <x:v>1.189817047119142</x:v>
      </x:c>
      <x:c r="J1554" s="40" t="n">
        <x:f>H1554^2</x:f>
        <x:v>1.4156646056153146</x:v>
      </x:c>
      <x:c r="K1554" s="40" t="n">
        <x:f>G1554-E1554</x:f>
        <x:v>0</x:v>
      </x:c>
      <x:c r="L1554" s="40" t="n">
        <x:f>ABS(K1554)</x:f>
        <x:v>0</x:v>
      </x:c>
      <x:c r="M1554" s="41" t="str">
        <x:v>lstm-soil-v1</x:v>
      </x:c>
    </x:row>
    <x:row r="1555">
      <x:c r="A1555" s="38" t="str">
        <x:v>7月30日现场数据</x:v>
      </x:c>
      <x:c r="B1555" s="39" t="str">
        <x:v>2026-08-01T21:50:00</x:v>
      </x:c>
      <x:c r="C1555" s="39" t="str">
        <x:v>2026-08-01T22:50:00</x:v>
      </x:c>
      <x:c r="D1555" s="47" t="n">
        <x:v>60</x:v>
      </x:c>
      <x:c r="E1555" s="40" t="n">
        <x:v>16</x:v>
      </x:c>
      <x:c r="F1555" s="40" t="n">
        <x:v>16.599380493164062</x:v>
      </x:c>
      <x:c r="G1555" s="40" t="n">
        <x:v>16.1</x:v>
      </x:c>
      <x:c r="H1555" s="40" t="n">
        <x:f>F1555-E1555</x:f>
        <x:v>0.5993804931640625</x:v>
      </x:c>
      <x:c r="I1555" s="40" t="n">
        <x:f>ABS(H1555)</x:f>
        <x:v>0.5993804931640625</x:v>
      </x:c>
      <x:c r="J1555" s="40" t="n">
        <x:f>H1555^2</x:f>
        <x:v>0.3592569755855948</x:v>
      </x:c>
      <x:c r="K1555" s="40" t="n">
        <x:f>G1555-E1555</x:f>
        <x:v>0.10000000000000142</x:v>
      </x:c>
      <x:c r="L1555" s="40" t="n">
        <x:f>ABS(K1555)</x:f>
        <x:v>0.10000000000000142</x:v>
      </x:c>
      <x:c r="M1555" s="41" t="str">
        <x:v>lstm-soil-v1</x:v>
      </x:c>
    </x:row>
    <x:row r="1556">
      <x:c r="A1556" s="38" t="str">
        <x:v>7月30日现场数据</x:v>
      </x:c>
      <x:c r="B1556" s="39" t="str">
        <x:v>2026-08-01T21:55:00</x:v>
      </x:c>
      <x:c r="C1556" s="39" t="str">
        <x:v>2026-08-01T22:00:00</x:v>
      </x:c>
      <x:c r="D1556" s="47" t="n">
        <x:v>5</x:v>
      </x:c>
      <x:c r="E1556" s="40" t="n">
        <x:v>16.1</x:v>
      </x:c>
      <x:c r="F1556" s="40" t="n">
        <x:v>14.460491180419922</x:v>
      </x:c>
      <x:c r="G1556" s="40" t="n">
        <x:v>16.1</x:v>
      </x:c>
      <x:c r="H1556" s="40" t="n">
        <x:f>F1556-E1556</x:f>
        <x:v>-1.6395088195800795</x:v>
      </x:c>
      <x:c r="I1556" s="40" t="n">
        <x:f>ABS(H1556)</x:f>
        <x:v>1.6395088195800795</x:v>
      </x:c>
      <x:c r="J1556" s="40" t="n">
        <x:f>H1556^2</x:f>
        <x:v>2.6879891694808657</x:v>
      </x:c>
      <x:c r="K1556" s="40" t="n">
        <x:f>G1556-E1556</x:f>
        <x:v>0</x:v>
      </x:c>
      <x:c r="L1556" s="40" t="n">
        <x:f>ABS(K1556)</x:f>
        <x:v>0</x:v>
      </x:c>
      <x:c r="M1556" s="41" t="str">
        <x:v>lstm-soil-v1</x:v>
      </x:c>
    </x:row>
    <x:row r="1557">
      <x:c r="A1557" s="38" t="str">
        <x:v>7月30日现场数据</x:v>
      </x:c>
      <x:c r="B1557" s="39" t="str">
        <x:v>2026-08-01T21:55:00</x:v>
      </x:c>
      <x:c r="C1557" s="39" t="str">
        <x:v>2026-08-01T22:10:00</x:v>
      </x:c>
      <x:c r="D1557" s="47" t="n">
        <x:v>15</x:v>
      </x:c>
      <x:c r="E1557" s="40" t="n">
        <x:v>16.1</x:v>
      </x:c>
      <x:c r="F1557" s="40" t="n">
        <x:v>14.537647247314453</x:v>
      </x:c>
      <x:c r="G1557" s="40" t="n">
        <x:v>16.1</x:v>
      </x:c>
      <x:c r="H1557" s="40" t="n">
        <x:f>F1557-E1557</x:f>
        <x:v>-1.5623527526855483</x:v>
      </x:c>
      <x:c r="I1557" s="40" t="n">
        <x:f>ABS(H1557)</x:f>
        <x:v>1.5623527526855483</x:v>
      </x:c>
      <x:c r="J1557" s="40" t="n">
        <x:f>H1557^2</x:f>
        <x:v>2.44094612382411</x:v>
      </x:c>
      <x:c r="K1557" s="40" t="n">
        <x:f>G1557-E1557</x:f>
        <x:v>0</x:v>
      </x:c>
      <x:c r="L1557" s="40" t="n">
        <x:f>ABS(K1557)</x:f>
        <x:v>0</x:v>
      </x:c>
      <x:c r="M1557" s="41" t="str">
        <x:v>lstm-soil-v1</x:v>
      </x:c>
    </x:row>
    <x:row r="1558">
      <x:c r="A1558" s="38" t="str">
        <x:v>7月30日现场数据</x:v>
      </x:c>
      <x:c r="B1558" s="39" t="str">
        <x:v>2026-08-01T21:55:00</x:v>
      </x:c>
      <x:c r="C1558" s="39" t="str">
        <x:v>2026-08-01T22:25:00</x:v>
      </x:c>
      <x:c r="D1558" s="47" t="n">
        <x:v>30</x:v>
      </x:c>
      <x:c r="E1558" s="40" t="n">
        <x:v>16.1</x:v>
      </x:c>
      <x:c r="F1558" s="40" t="n">
        <x:v>14.91085433959961</x:v>
      </x:c>
      <x:c r="G1558" s="40" t="n">
        <x:v>16.1</x:v>
      </x:c>
      <x:c r="H1558" s="40" t="n">
        <x:f>F1558-E1558</x:f>
        <x:v>-1.189145660400392</x:v>
      </x:c>
      <x:c r="I1558" s="40" t="n">
        <x:f>ABS(H1558)</x:f>
        <x:v>1.189145660400392</x:v>
      </x:c>
      <x:c r="J1558" s="40" t="n">
        <x:f>H1558^2</x:f>
        <x:v>1.4140674016490846</x:v>
      </x:c>
      <x:c r="K1558" s="40" t="n">
        <x:f>G1558-E1558</x:f>
        <x:v>0</x:v>
      </x:c>
      <x:c r="L1558" s="40" t="n">
        <x:f>ABS(K1558)</x:f>
        <x:v>0</x:v>
      </x:c>
      <x:c r="M1558" s="41" t="str">
        <x:v>lstm-soil-v1</x:v>
      </x:c>
    </x:row>
    <x:row r="1559">
      <x:c r="A1559" s="38" t="str">
        <x:v>7月30日现场数据</x:v>
      </x:c>
      <x:c r="B1559" s="39" t="str">
        <x:v>2026-08-01T21:55:00</x:v>
      </x:c>
      <x:c r="C1559" s="39" t="str">
        <x:v>2026-08-01T22:55:00</x:v>
      </x:c>
      <x:c r="D1559" s="47" t="n">
        <x:v>60</x:v>
      </x:c>
      <x:c r="E1559" s="40" t="n">
        <x:v>16</x:v>
      </x:c>
      <x:c r="F1559" s="40" t="n">
        <x:v>16.599773406982422</x:v>
      </x:c>
      <x:c r="G1559" s="40" t="n">
        <x:v>16.1</x:v>
      </x:c>
      <x:c r="H1559" s="40" t="n">
        <x:f>F1559-E1559</x:f>
        <x:v>0.5997734069824219</x:v>
      </x:c>
      <x:c r="I1559" s="40" t="n">
        <x:f>ABS(H1559)</x:f>
        <x:v>0.5997734069824219</x:v>
      </x:c>
      <x:c r="J1559" s="40" t="n">
        <x:f>H1559^2</x:f>
        <x:v>0.35972813972330187</x:v>
      </x:c>
      <x:c r="K1559" s="40" t="n">
        <x:f>G1559-E1559</x:f>
        <x:v>0.10000000000000142</x:v>
      </x:c>
      <x:c r="L1559" s="40" t="n">
        <x:f>ABS(K1559)</x:f>
        <x:v>0.10000000000000142</x:v>
      </x:c>
      <x:c r="M1559" s="41" t="str">
        <x:v>lstm-soil-v1</x:v>
      </x:c>
    </x:row>
    <x:row r="1560">
      <x:c r="A1560" s="38" t="str">
        <x:v>7月30日现场数据</x:v>
      </x:c>
      <x:c r="B1560" s="39" t="str">
        <x:v>2026-08-01T22:00:00</x:v>
      </x:c>
      <x:c r="C1560" s="39" t="str">
        <x:v>2026-08-01T22:05:00</x:v>
      </x:c>
      <x:c r="D1560" s="47" t="n">
        <x:v>5</x:v>
      </x:c>
      <x:c r="E1560" s="40" t="n">
        <x:v>16.1</x:v>
      </x:c>
      <x:c r="F1560" s="40" t="n">
        <x:v>14.45706558227539</x:v>
      </x:c>
      <x:c r="G1560" s="40" t="n">
        <x:v>16.1</x:v>
      </x:c>
      <x:c r="H1560" s="40" t="n">
        <x:f>F1560-E1560</x:f>
        <x:v>-1.6429344177246108</x:v>
      </x:c>
      <x:c r="I1560" s="40" t="n">
        <x:f>ABS(H1560)</x:f>
        <x:v>1.6429344177246108</x:v>
      </x:c>
      <x:c r="J1560" s="40" t="n">
        <x:f>H1560^2</x:f>
        <x:v>2.6992335009441057</x:v>
      </x:c>
      <x:c r="K1560" s="40" t="n">
        <x:f>G1560-E1560</x:f>
        <x:v>0</x:v>
      </x:c>
      <x:c r="L1560" s="40" t="n">
        <x:f>ABS(K1560)</x:f>
        <x:v>0</x:v>
      </x:c>
      <x:c r="M1560" s="41" t="str">
        <x:v>lstm-soil-v1</x:v>
      </x:c>
    </x:row>
    <x:row r="1561">
      <x:c r="A1561" s="38" t="str">
        <x:v>7月30日现场数据</x:v>
      </x:c>
      <x:c r="B1561" s="39" t="str">
        <x:v>2026-08-01T22:00:00</x:v>
      </x:c>
      <x:c r="C1561" s="39" t="str">
        <x:v>2026-08-01T22:15:00</x:v>
      </x:c>
      <x:c r="D1561" s="47" t="n">
        <x:v>15</x:v>
      </x:c>
      <x:c r="E1561" s="40" t="n">
        <x:v>16.1</x:v>
      </x:c>
      <x:c r="F1561" s="40" t="n">
        <x:v>14.53533935546875</x:v>
      </x:c>
      <x:c r="G1561" s="40" t="n">
        <x:v>16.1</x:v>
      </x:c>
      <x:c r="H1561" s="40" t="n">
        <x:f>F1561-E1561</x:f>
        <x:v>-1.5646606445312514</x:v>
      </x:c>
      <x:c r="I1561" s="40" t="n">
        <x:f>ABS(H1561)</x:f>
        <x:v>1.5646606445312514</x:v>
      </x:c>
      <x:c r="J1561" s="40" t="n">
        <x:f>H1561^2</x:f>
        <x:v>2.448162932544951</x:v>
      </x:c>
      <x:c r="K1561" s="40" t="n">
        <x:f>G1561-E1561</x:f>
        <x:v>0</x:v>
      </x:c>
      <x:c r="L1561" s="40" t="n">
        <x:f>ABS(K1561)</x:f>
        <x:v>0</x:v>
      </x:c>
      <x:c r="M1561" s="41" t="str">
        <x:v>lstm-soil-v1</x:v>
      </x:c>
    </x:row>
    <x:row r="1562">
      <x:c r="A1562" s="38" t="str">
        <x:v>7月30日现场数据</x:v>
      </x:c>
      <x:c r="B1562" s="39" t="str">
        <x:v>2026-08-01T22:00:00</x:v>
      </x:c>
      <x:c r="C1562" s="39" t="str">
        <x:v>2026-08-01T22:30:00</x:v>
      </x:c>
      <x:c r="D1562" s="47" t="n">
        <x:v>30</x:v>
      </x:c>
      <x:c r="E1562" s="40" t="n">
        <x:v>16.1</x:v>
      </x:c>
      <x:c r="F1562" s="40" t="n">
        <x:v>14.90768814086914</x:v>
      </x:c>
      <x:c r="G1562" s="40" t="n">
        <x:v>16.1</x:v>
      </x:c>
      <x:c r="H1562" s="40" t="n">
        <x:f>F1562-E1562</x:f>
        <x:v>-1.1923118591308608</x:v>
      </x:c>
      <x:c r="I1562" s="40" t="n">
        <x:f>ABS(H1562)</x:f>
        <x:v>1.1923118591308608</x:v>
      </x:c>
      <x:c r="J1562" s="40" t="n">
        <x:f>H1562^2</x:f>
        <x:v>1.4216075694240897</x:v>
      </x:c>
      <x:c r="K1562" s="40" t="n">
        <x:f>G1562-E1562</x:f>
        <x:v>0</x:v>
      </x:c>
      <x:c r="L1562" s="40" t="n">
        <x:f>ABS(K1562)</x:f>
        <x:v>0</x:v>
      </x:c>
      <x:c r="M1562" s="41" t="str">
        <x:v>lstm-soil-v1</x:v>
      </x:c>
    </x:row>
    <x:row r="1563">
      <x:c r="A1563" s="38" t="str">
        <x:v>7月30日现场数据</x:v>
      </x:c>
      <x:c r="B1563" s="39" t="str">
        <x:v>2026-08-01T22:00:00</x:v>
      </x:c>
      <x:c r="C1563" s="39" t="str">
        <x:v>2026-08-01T23:00:00</x:v>
      </x:c>
      <x:c r="D1563" s="47" t="n">
        <x:v>60</x:v>
      </x:c>
      <x:c r="E1563" s="40" t="n">
        <x:v>16</x:v>
      </x:c>
      <x:c r="F1563" s="40" t="n">
        <x:v>16.591968536376953</x:v>
      </x:c>
      <x:c r="G1563" s="40" t="n">
        <x:v>16.1</x:v>
      </x:c>
      <x:c r="H1563" s="40" t="n">
        <x:f>F1563-E1563</x:f>
        <x:v>0.5919685363769531</x:v>
      </x:c>
      <x:c r="I1563" s="40" t="n">
        <x:f>ABS(H1563)</x:f>
        <x:v>0.5919685363769531</x:v>
      </x:c>
      <x:c r="J1563" s="40" t="n">
        <x:f>H1563^2</x:f>
        <x:v>0.3504267480602721</x:v>
      </x:c>
      <x:c r="K1563" s="40" t="n">
        <x:f>G1563-E1563</x:f>
        <x:v>0.10000000000000142</x:v>
      </x:c>
      <x:c r="L1563" s="40" t="n">
        <x:f>ABS(K1563)</x:f>
        <x:v>0.10000000000000142</x:v>
      </x:c>
      <x:c r="M1563" s="41" t="str">
        <x:v>lstm-soil-v1</x:v>
      </x:c>
    </x:row>
    <x:row r="1564">
      <x:c r="A1564" s="38" t="str">
        <x:v>7月30日现场数据</x:v>
      </x:c>
      <x:c r="B1564" s="39" t="str">
        <x:v>2026-08-01T22:05:00</x:v>
      </x:c>
      <x:c r="C1564" s="39" t="str">
        <x:v>2026-08-01T22:10:00</x:v>
      </x:c>
      <x:c r="D1564" s="47" t="n">
        <x:v>5</x:v>
      </x:c>
      <x:c r="E1564" s="40" t="n">
        <x:v>16.1</x:v>
      </x:c>
      <x:c r="F1564" s="40" t="n">
        <x:v>14.455211639404297</x:v>
      </x:c>
      <x:c r="G1564" s="40" t="n">
        <x:v>16.1</x:v>
      </x:c>
      <x:c r="H1564" s="40" t="n">
        <x:f>F1564-E1564</x:f>
        <x:v>-1.6447883605957045</x:v>
      </x:c>
      <x:c r="I1564" s="40" t="n">
        <x:f>ABS(H1564)</x:f>
        <x:v>1.6447883605957045</x:v>
      </x:c>
      <x:c r="J1564" s="40" t="n">
        <x:f>H1564^2</x:f>
        <x:v>2.7053287511511055</x:v>
      </x:c>
      <x:c r="K1564" s="40" t="n">
        <x:f>G1564-E1564</x:f>
        <x:v>0</x:v>
      </x:c>
      <x:c r="L1564" s="40" t="n">
        <x:f>ABS(K1564)</x:f>
        <x:v>0</x:v>
      </x:c>
      <x:c r="M1564" s="41" t="str">
        <x:v>lstm-soil-v1</x:v>
      </x:c>
    </x:row>
    <x:row r="1565">
      <x:c r="A1565" s="38" t="str">
        <x:v>7月30日现场数据</x:v>
      </x:c>
      <x:c r="B1565" s="39" t="str">
        <x:v>2026-08-01T22:05:00</x:v>
      </x:c>
      <x:c r="C1565" s="39" t="str">
        <x:v>2026-08-01T22:20:00</x:v>
      </x:c>
      <x:c r="D1565" s="47" t="n">
        <x:v>15</x:v>
      </x:c>
      <x:c r="E1565" s="40" t="n">
        <x:v>16.1</x:v>
      </x:c>
      <x:c r="F1565" s="40" t="n">
        <x:v>14.533729553222656</x:v>
      </x:c>
      <x:c r="G1565" s="40" t="n">
        <x:v>16.1</x:v>
      </x:c>
      <x:c r="H1565" s="40" t="n">
        <x:f>F1565-E1565</x:f>
        <x:v>-1.5662704467773452</x:v>
      </x:c>
      <x:c r="I1565" s="40" t="n">
        <x:f>ABS(H1565)</x:f>
        <x:v>1.5662704467773452</x:v>
      </x:c>
      <x:c r="J1565" s="40" t="n">
        <x:f>H1565^2</x:f>
        <x:v>2.4532031124481044</x:v>
      </x:c>
      <x:c r="K1565" s="40" t="n">
        <x:f>G1565-E1565</x:f>
        <x:v>0</x:v>
      </x:c>
      <x:c r="L1565" s="40" t="n">
        <x:f>ABS(K1565)</x:f>
        <x:v>0</x:v>
      </x:c>
      <x:c r="M1565" s="41" t="str">
        <x:v>lstm-soil-v1</x:v>
      </x:c>
    </x:row>
    <x:row r="1566">
      <x:c r="A1566" s="38" t="str">
        <x:v>7月30日现场数据</x:v>
      </x:c>
      <x:c r="B1566" s="39" t="str">
        <x:v>2026-08-01T22:05:00</x:v>
      </x:c>
      <x:c r="C1566" s="39" t="str">
        <x:v>2026-08-01T22:35:00</x:v>
      </x:c>
      <x:c r="D1566" s="47" t="n">
        <x:v>30</x:v>
      </x:c>
      <x:c r="E1566" s="40" t="n">
        <x:v>16.1</x:v>
      </x:c>
      <x:c r="F1566" s="40" t="n">
        <x:v>14.90753173828125</x:v>
      </x:c>
      <x:c r="G1566" s="40" t="n">
        <x:v>16.1</x:v>
      </x:c>
      <x:c r="H1566" s="40" t="n">
        <x:f>F1566-E1566</x:f>
        <x:v>-1.1924682617187514</x:v>
      </x:c>
      <x:c r="I1566" s="40" t="n">
        <x:f>ABS(H1566)</x:f>
        <x:v>1.1924682617187514</x:v>
      </x:c>
      <x:c r="J1566" s="40" t="n">
        <x:f>H1566^2</x:f>
        <x:v>1.4219805552065405</x:v>
      </x:c>
      <x:c r="K1566" s="40" t="n">
        <x:f>G1566-E1566</x:f>
        <x:v>0</x:v>
      </x:c>
      <x:c r="L1566" s="40" t="n">
        <x:f>ABS(K1566)</x:f>
        <x:v>0</x:v>
      </x:c>
      <x:c r="M1566" s="41" t="str">
        <x:v>lstm-soil-v1</x:v>
      </x:c>
    </x:row>
    <x:row r="1567">
      <x:c r="A1567" s="38" t="str">
        <x:v>7月30日现场数据</x:v>
      </x:c>
      <x:c r="B1567" s="39" t="str">
        <x:v>2026-08-01T22:05:00</x:v>
      </x:c>
      <x:c r="C1567" s="39" t="str">
        <x:v>2026-08-01T23:05:00</x:v>
      </x:c>
      <x:c r="D1567" s="47" t="n">
        <x:v>60</x:v>
      </x:c>
      <x:c r="E1567" s="40" t="n">
        <x:v>16</x:v>
      </x:c>
      <x:c r="F1567" s="40" t="n">
        <x:v>16.586673736572266</x:v>
      </x:c>
      <x:c r="G1567" s="40" t="n">
        <x:v>16.1</x:v>
      </x:c>
      <x:c r="H1567" s="40" t="n">
        <x:f>F1567-E1567</x:f>
        <x:v>0.5866737365722656</x:v>
      </x:c>
      <x:c r="I1567" s="40" t="n">
        <x:f>ABS(H1567)</x:f>
        <x:v>0.5866737365722656</x:v>
      </x:c>
      <x:c r="J1567" s="40" t="n">
        <x:f>H1567^2</x:f>
        <x:v>0.3441860731836641</x:v>
      </x:c>
      <x:c r="K1567" s="40" t="n">
        <x:f>G1567-E1567</x:f>
        <x:v>0.10000000000000142</x:v>
      </x:c>
      <x:c r="L1567" s="40" t="n">
        <x:f>ABS(K1567)</x:f>
        <x:v>0.10000000000000142</x:v>
      </x:c>
      <x:c r="M1567" s="41" t="str">
        <x:v>lstm-soil-v1</x:v>
      </x:c>
    </x:row>
    <x:row r="1568">
      <x:c r="A1568" s="38" t="str">
        <x:v>7月30日现场数据</x:v>
      </x:c>
      <x:c r="B1568" s="39" t="str">
        <x:v>2026-08-01T22:10:00</x:v>
      </x:c>
      <x:c r="C1568" s="39" t="str">
        <x:v>2026-08-01T22:15:00</x:v>
      </x:c>
      <x:c r="D1568" s="47" t="n">
        <x:v>5</x:v>
      </x:c>
      <x:c r="E1568" s="40" t="n">
        <x:v>16.1</x:v>
      </x:c>
      <x:c r="F1568" s="40" t="n">
        <x:v>14.454307556152344</x:v>
      </x:c>
      <x:c r="G1568" s="40" t="n">
        <x:v>16.1</x:v>
      </x:c>
      <x:c r="H1568" s="40" t="n">
        <x:f>F1568-E1568</x:f>
        <x:v>-1.6456924438476577</x:v>
      </x:c>
      <x:c r="I1568" s="40" t="n">
        <x:f>ABS(H1568)</x:f>
        <x:v>1.6456924438476577</x:v>
      </x:c>
      <x:c r="J1568" s="40" t="n">
        <x:f>H1568^2</x:f>
        <x:v>2.708303619737276</x:v>
      </x:c>
      <x:c r="K1568" s="40" t="n">
        <x:f>G1568-E1568</x:f>
        <x:v>0</x:v>
      </x:c>
      <x:c r="L1568" s="40" t="n">
        <x:f>ABS(K1568)</x:f>
        <x:v>0</x:v>
      </x:c>
      <x:c r="M1568" s="41" t="str">
        <x:v>lstm-soil-v1</x:v>
      </x:c>
    </x:row>
    <x:row r="1569">
      <x:c r="A1569" s="38" t="str">
        <x:v>7月30日现场数据</x:v>
      </x:c>
      <x:c r="B1569" s="39" t="str">
        <x:v>2026-08-01T22:10:00</x:v>
      </x:c>
      <x:c r="C1569" s="39" t="str">
        <x:v>2026-08-01T22:25:00</x:v>
      </x:c>
      <x:c r="D1569" s="47" t="n">
        <x:v>15</x:v>
      </x:c>
      <x:c r="E1569" s="40" t="n">
        <x:v>16.1</x:v>
      </x:c>
      <x:c r="F1569" s="40" t="n">
        <x:v>14.532611846923828</x:v>
      </x:c>
      <x:c r="G1569" s="40" t="n">
        <x:v>16.1</x:v>
      </x:c>
      <x:c r="H1569" s="40" t="n">
        <x:f>F1569-E1569</x:f>
        <x:v>-1.5673881530761733</x:v>
      </x:c>
      <x:c r="I1569" s="40" t="n">
        <x:f>ABS(H1569)</x:f>
        <x:v>1.5673881530761733</x:v>
      </x:c>
      <x:c r="J1569" s="40" t="n">
        <x:f>H1569^2</x:f>
        <x:v>2.4567056224035375</x:v>
      </x:c>
      <x:c r="K1569" s="40" t="n">
        <x:f>G1569-E1569</x:f>
        <x:v>0</x:v>
      </x:c>
      <x:c r="L1569" s="40" t="n">
        <x:f>ABS(K1569)</x:f>
        <x:v>0</x:v>
      </x:c>
      <x:c r="M1569" s="41" t="str">
        <x:v>lstm-soil-v1</x:v>
      </x:c>
    </x:row>
    <x:row r="1570">
      <x:c r="A1570" s="38" t="str">
        <x:v>7月30日现场数据</x:v>
      </x:c>
      <x:c r="B1570" s="39" t="str">
        <x:v>2026-08-01T22:10:00</x:v>
      </x:c>
      <x:c r="C1570" s="39" t="str">
        <x:v>2026-08-01T22:40:00</x:v>
      </x:c>
      <x:c r="D1570" s="47" t="n">
        <x:v>30</x:v>
      </x:c>
      <x:c r="E1570" s="40" t="n">
        <x:v>16.1</x:v>
      </x:c>
      <x:c r="F1570" s="40" t="n">
        <x:v>14.908645629882812</x:v>
      </x:c>
      <x:c r="G1570" s="40" t="n">
        <x:v>16.1</x:v>
      </x:c>
      <x:c r="H1570" s="40" t="n">
        <x:f>F1570-E1570</x:f>
        <x:v>-1.191354370117189</x:v>
      </x:c>
      <x:c r="I1570" s="40" t="n">
        <x:f>ABS(H1570)</x:f>
        <x:v>1.191354370117189</x:v>
      </x:c>
      <x:c r="J1570" s="40" t="n">
        <x:f>H1570^2</x:f>
        <x:v>1.419325235197324</x:v>
      </x:c>
      <x:c r="K1570" s="40" t="n">
        <x:f>G1570-E1570</x:f>
        <x:v>0</x:v>
      </x:c>
      <x:c r="L1570" s="40" t="n">
        <x:f>ABS(K1570)</x:f>
        <x:v>0</x:v>
      </x:c>
      <x:c r="M1570" s="41" t="str">
        <x:v>lstm-soil-v1</x:v>
      </x:c>
    </x:row>
    <x:row r="1571">
      <x:c r="A1571" s="38" t="str">
        <x:v>7月30日现场数据</x:v>
      </x:c>
      <x:c r="B1571" s="39" t="str">
        <x:v>2026-08-01T22:10:00</x:v>
      </x:c>
      <x:c r="C1571" s="39" t="str">
        <x:v>2026-08-01T23:10:00</x:v>
      </x:c>
      <x:c r="D1571" s="47" t="n">
        <x:v>60</x:v>
      </x:c>
      <x:c r="E1571" s="40" t="n">
        <x:v>16</x:v>
      </x:c>
      <x:c r="F1571" s="40" t="n">
        <x:v>16.583389282226562</x:v>
      </x:c>
      <x:c r="G1571" s="40" t="n">
        <x:v>16.1</x:v>
      </x:c>
      <x:c r="H1571" s="40" t="n">
        <x:f>F1571-E1571</x:f>
        <x:v>0.5833892822265625</x:v>
      </x:c>
      <x:c r="I1571" s="40" t="n">
        <x:f>ABS(H1571)</x:f>
        <x:v>0.5833892822265625</x:v>
      </x:c>
      <x:c r="J1571" s="40" t="n">
        <x:f>H1571^2</x:f>
        <x:v>0.3403430546168238</x:v>
      </x:c>
      <x:c r="K1571" s="40" t="n">
        <x:f>G1571-E1571</x:f>
        <x:v>0.10000000000000142</x:v>
      </x:c>
      <x:c r="L1571" s="40" t="n">
        <x:f>ABS(K1571)</x:f>
        <x:v>0.10000000000000142</x:v>
      </x:c>
      <x:c r="M1571" s="41" t="str">
        <x:v>lstm-soil-v1</x:v>
      </x:c>
    </x:row>
    <x:row r="1572">
      <x:c r="A1572" s="38" t="str">
        <x:v>7月30日现场数据</x:v>
      </x:c>
      <x:c r="B1572" s="39" t="str">
        <x:v>2026-08-01T22:15:00</x:v>
      </x:c>
      <x:c r="C1572" s="39" t="str">
        <x:v>2026-08-01T22:20:00</x:v>
      </x:c>
      <x:c r="D1572" s="47" t="n">
        <x:v>5</x:v>
      </x:c>
      <x:c r="E1572" s="40" t="n">
        <x:v>16.1</x:v>
      </x:c>
      <x:c r="F1572" s="40" t="n">
        <x:v>14.454147338867188</x:v>
      </x:c>
      <x:c r="G1572" s="40" t="n">
        <x:v>16.1</x:v>
      </x:c>
      <x:c r="H1572" s="40" t="n">
        <x:f>F1572-E1572</x:f>
        <x:v>-1.645852661132814</x:v>
      </x:c>
      <x:c r="I1572" s="40" t="n">
        <x:f>ABS(H1572)</x:f>
        <x:v>1.645852661132814</x:v>
      </x:c>
      <x:c r="J1572" s="40" t="n">
        <x:f>H1572^2</x:f>
        <x:v>2.708830982157965</x:v>
      </x:c>
      <x:c r="K1572" s="40" t="n">
        <x:f>G1572-E1572</x:f>
        <x:v>0</x:v>
      </x:c>
      <x:c r="L1572" s="40" t="n">
        <x:f>ABS(K1572)</x:f>
        <x:v>0</x:v>
      </x:c>
      <x:c r="M1572" s="41" t="str">
        <x:v>lstm-soil-v1</x:v>
      </x:c>
    </x:row>
    <x:row r="1573">
      <x:c r="A1573" s="38" t="str">
        <x:v>7月30日现场数据</x:v>
      </x:c>
      <x:c r="B1573" s="39" t="str">
        <x:v>2026-08-01T22:15:00</x:v>
      </x:c>
      <x:c r="C1573" s="39" t="str">
        <x:v>2026-08-01T22:30:00</x:v>
      </x:c>
      <x:c r="D1573" s="47" t="n">
        <x:v>15</x:v>
      </x:c>
      <x:c r="E1573" s="40" t="n">
        <x:v>16.1</x:v>
      </x:c>
      <x:c r="F1573" s="40" t="n">
        <x:v>14.53207778930664</x:v>
      </x:c>
      <x:c r="G1573" s="40" t="n">
        <x:v>16.1</x:v>
      </x:c>
      <x:c r="H1573" s="40" t="n">
        <x:f>F1573-E1573</x:f>
        <x:v>-1.5679222106933608</x:v>
      </x:c>
      <x:c r="I1573" s="40" t="n">
        <x:f>ABS(H1573)</x:f>
        <x:v>1.5679222106933608</x:v>
      </x:c>
      <x:c r="J1573" s="40" t="n">
        <x:f>H1573^2</x:f>
        <x:v>2.4583800587855555</x:v>
      </x:c>
      <x:c r="K1573" s="40" t="n">
        <x:f>G1573-E1573</x:f>
        <x:v>0</x:v>
      </x:c>
      <x:c r="L1573" s="40" t="n">
        <x:f>ABS(K1573)</x:f>
        <x:v>0</x:v>
      </x:c>
      <x:c r="M1573" s="41" t="str">
        <x:v>lstm-soil-v1</x:v>
      </x:c>
    </x:row>
    <x:row r="1574">
      <x:c r="A1574" s="38" t="str">
        <x:v>7月30日现场数据</x:v>
      </x:c>
      <x:c r="B1574" s="39" t="str">
        <x:v>2026-08-01T22:15:00</x:v>
      </x:c>
      <x:c r="C1574" s="39" t="str">
        <x:v>2026-08-01T22:45:00</x:v>
      </x:c>
      <x:c r="D1574" s="47" t="n">
        <x:v>30</x:v>
      </x:c>
      <x:c r="E1574" s="40" t="n">
        <x:v>16</x:v>
      </x:c>
      <x:c r="F1574" s="40" t="n">
        <x:v>14.910606384277344</x:v>
      </x:c>
      <x:c r="G1574" s="40" t="n">
        <x:v>16.1</x:v>
      </x:c>
      <x:c r="H1574" s="40" t="n">
        <x:f>F1574-E1574</x:f>
        <x:v>-1.0893936157226562</x:v>
      </x:c>
      <x:c r="I1574" s="40" t="n">
        <x:f>ABS(H1574)</x:f>
        <x:v>1.0893936157226562</x:v>
      </x:c>
      <x:c r="J1574" s="40" t="n">
        <x:f>H1574^2</x:f>
        <x:v>1.1867784499772824</x:v>
      </x:c>
      <x:c r="K1574" s="40" t="n">
        <x:f>G1574-E1574</x:f>
        <x:v>0.10000000000000142</x:v>
      </x:c>
      <x:c r="L1574" s="40" t="n">
        <x:f>ABS(K1574)</x:f>
        <x:v>0.10000000000000142</x:v>
      </x:c>
      <x:c r="M1574" s="41" t="str">
        <x:v>lstm-soil-v1</x:v>
      </x:c>
    </x:row>
    <x:row r="1575">
      <x:c r="A1575" s="38" t="str">
        <x:v>7月30日现场数据</x:v>
      </x:c>
      <x:c r="B1575" s="39" t="str">
        <x:v>2026-08-01T22:15:00</x:v>
      </x:c>
      <x:c r="C1575" s="39" t="str">
        <x:v>2026-08-01T23:15:00</x:v>
      </x:c>
      <x:c r="D1575" s="47" t="n">
        <x:v>60</x:v>
      </x:c>
      <x:c r="E1575" s="40" t="n">
        <x:v>16</x:v>
      </x:c>
      <x:c r="F1575" s="40" t="n">
        <x:v>16.58203887939453</x:v>
      </x:c>
      <x:c r="G1575" s="40" t="n">
        <x:v>16.1</x:v>
      </x:c>
      <x:c r="H1575" s="40" t="n">
        <x:f>F1575-E1575</x:f>
        <x:v>0.5820388793945312</x:v>
      </x:c>
      <x:c r="I1575" s="40" t="n">
        <x:f>ABS(H1575)</x:f>
        <x:v>0.5820388793945312</x:v>
      </x:c>
      <x:c r="J1575" s="40" t="n">
        <x:f>H1575^2</x:f>
        <x:v>0.3387692571268417</x:v>
      </x:c>
      <x:c r="K1575" s="40" t="n">
        <x:f>G1575-E1575</x:f>
        <x:v>0.10000000000000142</x:v>
      </x:c>
      <x:c r="L1575" s="40" t="n">
        <x:f>ABS(K1575)</x:f>
        <x:v>0.10000000000000142</x:v>
      </x:c>
      <x:c r="M1575" s="41" t="str">
        <x:v>lstm-soil-v1</x:v>
      </x:c>
    </x:row>
    <x:row r="1576">
      <x:c r="A1576" s="38" t="str">
        <x:v>7月30日现场数据</x:v>
      </x:c>
      <x:c r="B1576" s="39" t="str">
        <x:v>2026-08-01T22:20:00</x:v>
      </x:c>
      <x:c r="C1576" s="39" t="str">
        <x:v>2026-08-01T22:25:00</x:v>
      </x:c>
      <x:c r="D1576" s="47" t="n">
        <x:v>5</x:v>
      </x:c>
      <x:c r="E1576" s="40" t="n">
        <x:v>16.1</x:v>
      </x:c>
      <x:c r="F1576" s="40" t="n">
        <x:v>14.454524993896484</x:v>
      </x:c>
      <x:c r="G1576" s="40" t="n">
        <x:v>16.1</x:v>
      </x:c>
      <x:c r="H1576" s="40" t="n">
        <x:f>F1576-E1576</x:f>
        <x:v>-1.645475006103517</x:v>
      </x:c>
      <x:c r="I1576" s="40" t="n">
        <x:f>ABS(H1576)</x:f>
        <x:v>1.645475006103517</x:v>
      </x:c>
      <x:c r="J1576" s="40" t="n">
        <x:f>H1576^2</x:f>
        <x:v>2.7075879957113695</x:v>
      </x:c>
      <x:c r="K1576" s="40" t="n">
        <x:f>G1576-E1576</x:f>
        <x:v>0</x:v>
      </x:c>
      <x:c r="L1576" s="40" t="n">
        <x:f>ABS(K1576)</x:f>
        <x:v>0</x:v>
      </x:c>
      <x:c r="M1576" s="41" t="str">
        <x:v>lstm-soil-v1</x:v>
      </x:c>
    </x:row>
    <x:row r="1577">
      <x:c r="A1577" s="38" t="str">
        <x:v>7月30日现场数据</x:v>
      </x:c>
      <x:c r="B1577" s="39" t="str">
        <x:v>2026-08-01T22:20:00</x:v>
      </x:c>
      <x:c r="C1577" s="39" t="str">
        <x:v>2026-08-01T22:35:00</x:v>
      </x:c>
      <x:c r="D1577" s="47" t="n">
        <x:v>15</x:v>
      </x:c>
      <x:c r="E1577" s="40" t="n">
        <x:v>16.1</x:v>
      </x:c>
      <x:c r="F1577" s="40" t="n">
        <x:v>14.532093048095703</x:v>
      </x:c>
      <x:c r="G1577" s="40" t="n">
        <x:v>16.1</x:v>
      </x:c>
      <x:c r="H1577" s="40" t="n">
        <x:f>F1577-E1577</x:f>
        <x:v>-1.5679069519042983</x:v>
      </x:c>
      <x:c r="I1577" s="40" t="n">
        <x:f>ABS(H1577)</x:f>
        <x:v>1.5679069519042983</x:v>
      </x:c>
      <x:c r="J1577" s="40" t="n">
        <x:f>H1577^2</x:f>
        <x:v>2.4583322098298277</x:v>
      </x:c>
      <x:c r="K1577" s="40" t="n">
        <x:f>G1577-E1577</x:f>
        <x:v>0</x:v>
      </x:c>
      <x:c r="L1577" s="40" t="n">
        <x:f>ABS(K1577)</x:f>
        <x:v>0</x:v>
      </x:c>
      <x:c r="M1577" s="41" t="str">
        <x:v>lstm-soil-v1</x:v>
      </x:c>
    </x:row>
    <x:row r="1578">
      <x:c r="A1578" s="38" t="str">
        <x:v>7月30日现场数据</x:v>
      </x:c>
      <x:c r="B1578" s="39" t="str">
        <x:v>2026-08-01T22:20:00</x:v>
      </x:c>
      <x:c r="C1578" s="39" t="str">
        <x:v>2026-08-01T22:50:00</x:v>
      </x:c>
      <x:c r="D1578" s="47" t="n">
        <x:v>30</x:v>
      </x:c>
      <x:c r="E1578" s="40" t="n">
        <x:v>16</x:v>
      </x:c>
      <x:c r="F1578" s="40" t="n">
        <x:v>14.912757873535156</x:v>
      </x:c>
      <x:c r="G1578" s="40" t="n">
        <x:v>16.1</x:v>
      </x:c>
      <x:c r="H1578" s="40" t="n">
        <x:f>F1578-E1578</x:f>
        <x:v>-1.0872421264648438</x:v>
      </x:c>
      <x:c r="I1578" s="40" t="n">
        <x:f>ABS(H1578)</x:f>
        <x:v>1.0872421264648438</x:v>
      </x:c>
      <x:c r="J1578" s="40" t="n">
        <x:f>H1578^2</x:f>
        <x:v>1.1820954415597953</x:v>
      </x:c>
      <x:c r="K1578" s="40" t="n">
        <x:f>G1578-E1578</x:f>
        <x:v>0.10000000000000142</x:v>
      </x:c>
      <x:c r="L1578" s="40" t="n">
        <x:f>ABS(K1578)</x:f>
        <x:v>0.10000000000000142</x:v>
      </x:c>
      <x:c r="M1578" s="41" t="str">
        <x:v>lstm-soil-v1</x:v>
      </x:c>
    </x:row>
    <x:row r="1579">
      <x:c r="A1579" s="38" t="str">
        <x:v>7月30日现场数据</x:v>
      </x:c>
      <x:c r="B1579" s="39" t="str">
        <x:v>2026-08-01T22:20:00</x:v>
      </x:c>
      <x:c r="C1579" s="39" t="str">
        <x:v>2026-08-01T23:20:00</x:v>
      </x:c>
      <x:c r="D1579" s="47" t="n">
        <x:v>60</x:v>
      </x:c>
      <x:c r="E1579" s="40" t="n">
        <x:v>16</x:v>
      </x:c>
      <x:c r="F1579" s="40" t="n">
        <x:v>16.581798553466797</x:v>
      </x:c>
      <x:c r="G1579" s="40" t="n">
        <x:v>16.1</x:v>
      </x:c>
      <x:c r="H1579" s="40" t="n">
        <x:f>F1579-E1579</x:f>
        <x:v>0.5817985534667969</x:v>
      </x:c>
      <x:c r="I1579" s="40" t="n">
        <x:f>ABS(H1579)</x:f>
        <x:v>0.5817985534667969</x:v>
      </x:c>
      <x:c r="J1579" s="40" t="n">
        <x:f>H1579^2</x:f>
        <x:v>0.3384895568160573</x:v>
      </x:c>
      <x:c r="K1579" s="40" t="n">
        <x:f>G1579-E1579</x:f>
        <x:v>0.10000000000000142</x:v>
      </x:c>
      <x:c r="L1579" s="40" t="n">
        <x:f>ABS(K1579)</x:f>
        <x:v>0.10000000000000142</x:v>
      </x:c>
      <x:c r="M1579" s="41" t="str">
        <x:v>lstm-soil-v1</x:v>
      </x:c>
    </x:row>
    <x:row r="1580">
      <x:c r="A1580" s="38" t="str">
        <x:v>7月30日现场数据</x:v>
      </x:c>
      <x:c r="B1580" s="39" t="str">
        <x:v>2026-08-01T22:25:00</x:v>
      </x:c>
      <x:c r="C1580" s="39" t="str">
        <x:v>2026-08-01T22:30:00</x:v>
      </x:c>
      <x:c r="D1580" s="47" t="n">
        <x:v>5</x:v>
      </x:c>
      <x:c r="E1580" s="40" t="n">
        <x:v>16.1</x:v>
      </x:c>
      <x:c r="F1580" s="40" t="n">
        <x:v>14.455101013183594</x:v>
      </x:c>
      <x:c r="G1580" s="40" t="n">
        <x:v>16.1</x:v>
      </x:c>
      <x:c r="H1580" s="40" t="n">
        <x:f>F1580-E1580</x:f>
        <x:v>-1.6448989868164077</x:v>
      </x:c>
      <x:c r="I1580" s="40" t="n">
        <x:f>ABS(H1580)</x:f>
        <x:v>1.6448989868164077</x:v>
      </x:c>
      <x:c r="J1580" s="40" t="n">
        <x:f>H1580^2</x:f>
        <x:v>2.7056926768296443</x:v>
      </x:c>
      <x:c r="K1580" s="40" t="n">
        <x:f>G1580-E1580</x:f>
        <x:v>0</x:v>
      </x:c>
      <x:c r="L1580" s="40" t="n">
        <x:f>ABS(K1580)</x:f>
        <x:v>0</x:v>
      </x:c>
      <x:c r="M1580" s="41" t="str">
        <x:v>lstm-soil-v1</x:v>
      </x:c>
    </x:row>
    <x:row r="1581">
      <x:c r="A1581" s="38" t="str">
        <x:v>7月30日现场数据</x:v>
      </x:c>
      <x:c r="B1581" s="39" t="str">
        <x:v>2026-08-01T22:25:00</x:v>
      </x:c>
      <x:c r="C1581" s="39" t="str">
        <x:v>2026-08-01T22:40:00</x:v>
      </x:c>
      <x:c r="D1581" s="47" t="n">
        <x:v>15</x:v>
      </x:c>
      <x:c r="E1581" s="40" t="n">
        <x:v>16.1</x:v>
      </x:c>
      <x:c r="F1581" s="40" t="n">
        <x:v>14.53231430053711</x:v>
      </x:c>
      <x:c r="G1581" s="40" t="n">
        <x:v>16.1</x:v>
      </x:c>
      <x:c r="H1581" s="40" t="n">
        <x:f>F1581-E1581</x:f>
        <x:v>-1.567685699462892</x:v>
      </x:c>
      <x:c r="I1581" s="40" t="n">
        <x:f>ABS(H1581)</x:f>
        <x:v>1.567685699462892</x:v>
      </x:c>
      <x:c r="J1581" s="40" t="n">
        <x:f>H1581^2</x:f>
        <x:v>2.4576384523004573</x:v>
      </x:c>
      <x:c r="K1581" s="40" t="n">
        <x:f>G1581-E1581</x:f>
        <x:v>0</x:v>
      </x:c>
      <x:c r="L1581" s="40" t="n">
        <x:f>ABS(K1581)</x:f>
        <x:v>0</x:v>
      </x:c>
      <x:c r="M1581" s="41" t="str">
        <x:v>lstm-soil-v1</x:v>
      </x:c>
    </x:row>
    <x:row r="1582">
      <x:c r="A1582" s="38" t="str">
        <x:v>7月30日现场数据</x:v>
      </x:c>
      <x:c r="B1582" s="39" t="str">
        <x:v>2026-08-01T22:25:00</x:v>
      </x:c>
      <x:c r="C1582" s="39" t="str">
        <x:v>2026-08-01T22:55:00</x:v>
      </x:c>
      <x:c r="D1582" s="47" t="n">
        <x:v>30</x:v>
      </x:c>
      <x:c r="E1582" s="40" t="n">
        <x:v>16</x:v>
      </x:c>
      <x:c r="F1582" s="40" t="n">
        <x:v>14.914703369140625</x:v>
      </x:c>
      <x:c r="G1582" s="40" t="n">
        <x:v>16.1</x:v>
      </x:c>
      <x:c r="H1582" s="40" t="n">
        <x:f>F1582-E1582</x:f>
        <x:v>-1.085296630859375</x:v>
      </x:c>
      <x:c r="I1582" s="40" t="n">
        <x:f>ABS(H1582)</x:f>
        <x:v>1.085296630859375</x:v>
      </x:c>
      <x:c r="J1582" s="40" t="n">
        <x:f>H1582^2</x:f>
        <x:v>1.1778687769547105</x:v>
      </x:c>
      <x:c r="K1582" s="40" t="n">
        <x:f>G1582-E1582</x:f>
        <x:v>0.10000000000000142</x:v>
      </x:c>
      <x:c r="L1582" s="40" t="n">
        <x:f>ABS(K1582)</x:f>
        <x:v>0.10000000000000142</x:v>
      </x:c>
      <x:c r="M1582" s="41" t="str">
        <x:v>lstm-soil-v1</x:v>
      </x:c>
    </x:row>
    <x:row r="1583">
      <x:c r="A1583" s="38" t="str">
        <x:v>7月30日现场数据</x:v>
      </x:c>
      <x:c r="B1583" s="39" t="str">
        <x:v>2026-08-01T22:25:00</x:v>
      </x:c>
      <x:c r="C1583" s="39" t="str">
        <x:v>2026-08-01T23:25:00</x:v>
      </x:c>
      <x:c r="D1583" s="47" t="n">
        <x:v>60</x:v>
      </x:c>
      <x:c r="E1583" s="40" t="n">
        <x:v>16</x:v>
      </x:c>
      <x:c r="F1583" s="40" t="n">
        <x:v>16.582134246826172</x:v>
      </x:c>
      <x:c r="G1583" s="40" t="n">
        <x:v>16.1</x:v>
      </x:c>
      <x:c r="H1583" s="40" t="n">
        <x:f>F1583-E1583</x:f>
        <x:v>0.5821342468261719</x:v>
      </x:c>
      <x:c r="I1583" s="40" t="n">
        <x:f>ABS(H1583)</x:f>
        <x:v>0.5821342468261719</x:v>
      </x:c>
      <x:c r="J1583" s="40" t="n">
        <x:f>H1583^2</x:f>
        <x:v>0.3388802813278744</x:v>
      </x:c>
      <x:c r="K1583" s="40" t="n">
        <x:f>G1583-E1583</x:f>
        <x:v>0.10000000000000142</x:v>
      </x:c>
      <x:c r="L1583" s="40" t="n">
        <x:f>ABS(K1583)</x:f>
        <x:v>0.10000000000000142</x:v>
      </x:c>
      <x:c r="M1583" s="41" t="str">
        <x:v>lstm-soil-v1</x:v>
      </x:c>
    </x:row>
    <x:row r="1584">
      <x:c r="A1584" s="38" t="str">
        <x:v>7月30日现场数据</x:v>
      </x:c>
      <x:c r="B1584" s="39" t="str">
        <x:v>2026-08-01T22:30:00</x:v>
      </x:c>
      <x:c r="C1584" s="39" t="str">
        <x:v>2026-08-01T22:35:00</x:v>
      </x:c>
      <x:c r="D1584" s="47" t="n">
        <x:v>5</x:v>
      </x:c>
      <x:c r="E1584" s="40" t="n">
        <x:v>16.1</x:v>
      </x:c>
      <x:c r="F1584" s="40" t="n">
        <x:v>14.455768585205078</x:v>
      </x:c>
      <x:c r="G1584" s="40" t="n">
        <x:v>16.1</x:v>
      </x:c>
      <x:c r="H1584" s="40" t="n">
        <x:f>F1584-E1584</x:f>
        <x:v>-1.6442314147949233</x:v>
      </x:c>
      <x:c r="I1584" s="40" t="n">
        <x:f>ABS(H1584)</x:f>
        <x:v>1.6442314147949233</x:v>
      </x:c>
      <x:c r="J1584" s="40" t="n">
        <x:f>H1584^2</x:f>
        <x:v>2.703496945398515</x:v>
      </x:c>
      <x:c r="K1584" s="40" t="n">
        <x:f>G1584-E1584</x:f>
        <x:v>0</x:v>
      </x:c>
      <x:c r="L1584" s="40" t="n">
        <x:f>ABS(K1584)</x:f>
        <x:v>0</x:v>
      </x:c>
      <x:c r="M1584" s="41" t="str">
        <x:v>lstm-soil-v1</x:v>
      </x:c>
    </x:row>
    <x:row r="1585">
      <x:c r="A1585" s="38" t="str">
        <x:v>7月30日现场数据</x:v>
      </x:c>
      <x:c r="B1585" s="39" t="str">
        <x:v>2026-08-01T22:30:00</x:v>
      </x:c>
      <x:c r="C1585" s="39" t="str">
        <x:v>2026-08-01T22:45:00</x:v>
      </x:c>
      <x:c r="D1585" s="47" t="n">
        <x:v>15</x:v>
      </x:c>
      <x:c r="E1585" s="40" t="n">
        <x:v>16</x:v>
      </x:c>
      <x:c r="F1585" s="40" t="n">
        <x:v>14.532646179199219</x:v>
      </x:c>
      <x:c r="G1585" s="40" t="n">
        <x:v>16.1</x:v>
      </x:c>
      <x:c r="H1585" s="40" t="n">
        <x:f>F1585-E1585</x:f>
        <x:v>-1.4673538208007812</x:v>
      </x:c>
      <x:c r="I1585" s="40" t="n">
        <x:f>ABS(H1585)</x:f>
        <x:v>1.4673538208007812</x:v>
      </x:c>
      <x:c r="J1585" s="40" t="n">
        <x:f>H1585^2</x:f>
        <x:v>2.1531272354186513</x:v>
      </x:c>
      <x:c r="K1585" s="40" t="n">
        <x:f>G1585-E1585</x:f>
        <x:v>0.10000000000000142</x:v>
      </x:c>
      <x:c r="L1585" s="40" t="n">
        <x:f>ABS(K1585)</x:f>
        <x:v>0.10000000000000142</x:v>
      </x:c>
      <x:c r="M1585" s="41" t="str">
        <x:v>lstm-soil-v1</x:v>
      </x:c>
    </x:row>
    <x:row r="1586">
      <x:c r="A1586" s="38" t="str">
        <x:v>7月30日现场数据</x:v>
      </x:c>
      <x:c r="B1586" s="39" t="str">
        <x:v>2026-08-01T22:30:00</x:v>
      </x:c>
      <x:c r="C1586" s="39" t="str">
        <x:v>2026-08-01T23:00:00</x:v>
      </x:c>
      <x:c r="D1586" s="47" t="n">
        <x:v>30</x:v>
      </x:c>
      <x:c r="E1586" s="40" t="n">
        <x:v>16</x:v>
      </x:c>
      <x:c r="F1586" s="40" t="n">
        <x:v>14.916412353515625</x:v>
      </x:c>
      <x:c r="G1586" s="40" t="n">
        <x:v>16.1</x:v>
      </x:c>
      <x:c r="H1586" s="40" t="n">
        <x:f>F1586-E1586</x:f>
        <x:v>-1.083587646484375</x:v>
      </x:c>
      <x:c r="I1586" s="40" t="n">
        <x:f>ABS(H1586)</x:f>
        <x:v>1.083587646484375</x:v>
      </x:c>
      <x:c r="J1586" s="40" t="n">
        <x:f>H1586^2</x:f>
        <x:v>1.1741621876135468</x:v>
      </x:c>
      <x:c r="K1586" s="40" t="n">
        <x:f>G1586-E1586</x:f>
        <x:v>0.10000000000000142</x:v>
      </x:c>
      <x:c r="L1586" s="40" t="n">
        <x:f>ABS(K1586)</x:f>
        <x:v>0.10000000000000142</x:v>
      </x:c>
      <x:c r="M1586" s="41" t="str">
        <x:v>lstm-soil-v1</x:v>
      </x:c>
    </x:row>
    <x:row r="1587">
      <x:c r="A1587" s="38" t="str">
        <x:v>7月30日现场数据</x:v>
      </x:c>
      <x:c r="B1587" s="39" t="str">
        <x:v>2026-08-01T22:30:00</x:v>
      </x:c>
      <x:c r="C1587" s="39" t="str">
        <x:v>2026-08-01T23:30:00</x:v>
      </x:c>
      <x:c r="D1587" s="47" t="n">
        <x:v>60</x:v>
      </x:c>
      <x:c r="E1587" s="40" t="n">
        <x:v>16</x:v>
      </x:c>
      <x:c r="F1587" s="40" t="n">
        <x:v>16.582805633544922</x:v>
      </x:c>
      <x:c r="G1587" s="40" t="n">
        <x:v>16.1</x:v>
      </x:c>
      <x:c r="H1587" s="40" t="n">
        <x:f>F1587-E1587</x:f>
        <x:v>0.5828056335449219</x:v>
      </x:c>
      <x:c r="I1587" s="40" t="n">
        <x:f>ABS(H1587)</x:f>
        <x:v>0.5828056335449219</x:v>
      </x:c>
      <x:c r="J1587" s="40" t="n">
        <x:f>H1587^2</x:f>
        <x:v>0.33966240649169777</x:v>
      </x:c>
      <x:c r="K1587" s="40" t="n">
        <x:f>G1587-E1587</x:f>
        <x:v>0.10000000000000142</x:v>
      </x:c>
      <x:c r="L1587" s="40" t="n">
        <x:f>ABS(K1587)</x:f>
        <x:v>0.10000000000000142</x:v>
      </x:c>
      <x:c r="M1587" s="41" t="str">
        <x:v>lstm-soil-v1</x:v>
      </x:c>
    </x:row>
    <x:row r="1588">
      <x:c r="A1588" s="38" t="str">
        <x:v>7月30日现场数据</x:v>
      </x:c>
      <x:c r="B1588" s="39" t="str">
        <x:v>2026-08-01T22:35:00</x:v>
      </x:c>
      <x:c r="C1588" s="39" t="str">
        <x:v>2026-08-01T22:40:00</x:v>
      </x:c>
      <x:c r="D1588" s="47" t="n">
        <x:v>5</x:v>
      </x:c>
      <x:c r="E1588" s="40" t="n">
        <x:v>16.1</x:v>
      </x:c>
      <x:c r="F1588" s="40" t="n">
        <x:v>14.458595275878906</x:v>
      </x:c>
      <x:c r="G1588" s="40" t="n">
        <x:v>16.1</x:v>
      </x:c>
      <x:c r="H1588" s="40" t="n">
        <x:f>F1588-E1588</x:f>
        <x:v>-1.6414047241210952</x:v>
      </x:c>
      <x:c r="I1588" s="40" t="n">
        <x:f>ABS(H1588)</x:f>
        <x:v>1.6414047241210952</x:v>
      </x:c>
      <x:c r="J1588" s="40" t="n">
        <x:f>H1588^2</x:f>
        <x:v>2.6942094683670486</x:v>
      </x:c>
      <x:c r="K1588" s="40" t="n">
        <x:f>G1588-E1588</x:f>
        <x:v>0</x:v>
      </x:c>
      <x:c r="L1588" s="40" t="n">
        <x:f>ABS(K1588)</x:f>
        <x:v>0</x:v>
      </x:c>
      <x:c r="M1588" s="41" t="str">
        <x:v>lstm-soil-v1</x:v>
      </x:c>
    </x:row>
    <x:row r="1589">
      <x:c r="A1589" s="38" t="str">
        <x:v>7月30日现场数据</x:v>
      </x:c>
      <x:c r="B1589" s="39" t="str">
        <x:v>2026-08-01T22:35:00</x:v>
      </x:c>
      <x:c r="C1589" s="39" t="str">
        <x:v>2026-08-01T22:50:00</x:v>
      </x:c>
      <x:c r="D1589" s="47" t="n">
        <x:v>15</x:v>
      </x:c>
      <x:c r="E1589" s="40" t="n">
        <x:v>16</x:v>
      </x:c>
      <x:c r="F1589" s="40" t="n">
        <x:v>14.53567123413086</x:v>
      </x:c>
      <x:c r="G1589" s="40" t="n">
        <x:v>16.1</x:v>
      </x:c>
      <x:c r="H1589" s="40" t="n">
        <x:f>F1589-E1589</x:f>
        <x:v>-1.4643287658691406</x:v>
      </x:c>
      <x:c r="I1589" s="40" t="n">
        <x:f>ABS(H1589)</x:f>
        <x:v>1.4643287658691406</x:v>
      </x:c>
      <x:c r="J1589" s="40" t="n">
        <x:f>H1589^2</x:f>
        <x:v>2.1442587345518405</x:v>
      </x:c>
      <x:c r="K1589" s="40" t="n">
        <x:f>G1589-E1589</x:f>
        <x:v>0.10000000000000142</x:v>
      </x:c>
      <x:c r="L1589" s="40" t="n">
        <x:f>ABS(K1589)</x:f>
        <x:v>0.10000000000000142</x:v>
      </x:c>
      <x:c r="M1589" s="41" t="str">
        <x:v>lstm-soil-v1</x:v>
      </x:c>
    </x:row>
    <x:row r="1590">
      <x:c r="A1590" s="38" t="str">
        <x:v>7月30日现场数据</x:v>
      </x:c>
      <x:c r="B1590" s="39" t="str">
        <x:v>2026-08-01T22:35:00</x:v>
      </x:c>
      <x:c r="C1590" s="39" t="str">
        <x:v>2026-08-01T23:05:00</x:v>
      </x:c>
      <x:c r="D1590" s="47" t="n">
        <x:v>30</x:v>
      </x:c>
      <x:c r="E1590" s="40" t="n">
        <x:v>16</x:v>
      </x:c>
      <x:c r="F1590" s="40" t="n">
        <x:v>14.920421600341797</x:v>
      </x:c>
      <x:c r="G1590" s="40" t="n">
        <x:v>16.1</x:v>
      </x:c>
      <x:c r="H1590" s="40" t="n">
        <x:f>F1590-E1590</x:f>
        <x:v>-1.0795783996582031</x:v>
      </x:c>
      <x:c r="I1590" s="40" t="n">
        <x:f>ABS(H1590)</x:f>
        <x:v>1.0795783996582031</x:v>
      </x:c>
      <x:c r="J1590" s="40" t="n">
        <x:f>H1590^2</x:f>
        <x:v>1.165489521008567</x:v>
      </x:c>
      <x:c r="K1590" s="40" t="n">
        <x:f>G1590-E1590</x:f>
        <x:v>0.10000000000000142</x:v>
      </x:c>
      <x:c r="L1590" s="40" t="n">
        <x:f>ABS(K1590)</x:f>
        <x:v>0.10000000000000142</x:v>
      </x:c>
      <x:c r="M1590" s="41" t="str">
        <x:v>lstm-soil-v1</x:v>
      </x:c>
    </x:row>
    <x:row r="1591">
      <x:c r="A1591" s="38" t="str">
        <x:v>7月30日现场数据</x:v>
      </x:c>
      <x:c r="B1591" s="39" t="str">
        <x:v>2026-08-01T22:35:00</x:v>
      </x:c>
      <x:c r="C1591" s="39" t="str">
        <x:v>2026-08-01T23:35:00</x:v>
      </x:c>
      <x:c r="D1591" s="47" t="n">
        <x:v>60</x:v>
      </x:c>
      <x:c r="E1591" s="40" t="n">
        <x:v>16</x:v>
      </x:c>
      <x:c r="F1591" s="40" t="n">
        <x:v>16.588088989257812</x:v>
      </x:c>
      <x:c r="G1591" s="40" t="n">
        <x:v>16.1</x:v>
      </x:c>
      <x:c r="H1591" s="40" t="n">
        <x:f>F1591-E1591</x:f>
        <x:v>0.5880889892578125</x:v>
      </x:c>
      <x:c r="I1591" s="40" t="n">
        <x:f>ABS(H1591)</x:f>
        <x:v>0.5880889892578125</x:v>
      </x:c>
      <x:c r="J1591" s="40" t="n">
        <x:f>H1591^2</x:f>
        <x:v>0.3458486592862755</x:v>
      </x:c>
      <x:c r="K1591" s="40" t="n">
        <x:f>G1591-E1591</x:f>
        <x:v>0.10000000000000142</x:v>
      </x:c>
      <x:c r="L1591" s="40" t="n">
        <x:f>ABS(K1591)</x:f>
        <x:v>0.10000000000000142</x:v>
      </x:c>
      <x:c r="M1591" s="41" t="str">
        <x:v>lstm-soil-v1</x:v>
      </x:c>
    </x:row>
    <x:row r="1592">
      <x:c r="A1592" s="38" t="str">
        <x:v>7月30日现场数据</x:v>
      </x:c>
      <x:c r="B1592" s="39" t="str">
        <x:v>2026-08-01T22:40:00</x:v>
      </x:c>
      <x:c r="C1592" s="39" t="str">
        <x:v>2026-08-01T22:45:00</x:v>
      </x:c>
      <x:c r="D1592" s="47" t="n">
        <x:v>5</x:v>
      </x:c>
      <x:c r="E1592" s="40" t="n">
        <x:v>16</x:v>
      </x:c>
      <x:c r="F1592" s="40" t="n">
        <x:v>14.456108093261719</x:v>
      </x:c>
      <x:c r="G1592" s="40" t="n">
        <x:v>16.1</x:v>
      </x:c>
      <x:c r="H1592" s="40" t="n">
        <x:f>F1592-E1592</x:f>
        <x:v>-1.5438919067382812</x:v>
      </x:c>
      <x:c r="I1592" s="40" t="n">
        <x:f>ABS(H1592)</x:f>
        <x:v>1.5438919067382812</x:v>
      </x:c>
      <x:c r="J1592" s="40" t="n">
        <x:f>H1592^2</x:f>
        <x:v>2.3836022196919657</x:v>
      </x:c>
      <x:c r="K1592" s="40" t="n">
        <x:f>G1592-E1592</x:f>
        <x:v>0.10000000000000142</x:v>
      </x:c>
      <x:c r="L1592" s="40" t="n">
        <x:f>ABS(K1592)</x:f>
        <x:v>0.10000000000000142</x:v>
      </x:c>
      <x:c r="M1592" s="41" t="str">
        <x:v>lstm-soil-v1</x:v>
      </x:c>
    </x:row>
    <x:row r="1593">
      <x:c r="A1593" s="38" t="str">
        <x:v>7月30日现场数据</x:v>
      </x:c>
      <x:c r="B1593" s="39" t="str">
        <x:v>2026-08-01T22:40:00</x:v>
      </x:c>
      <x:c r="C1593" s="39" t="str">
        <x:v>2026-08-01T22:55:00</x:v>
      </x:c>
      <x:c r="D1593" s="47" t="n">
        <x:v>15</x:v>
      </x:c>
      <x:c r="E1593" s="40" t="n">
        <x:v>16</x:v>
      </x:c>
      <x:c r="F1593" s="40" t="n">
        <x:v>14.535640716552734</x:v>
      </x:c>
      <x:c r="G1593" s="40" t="n">
        <x:v>16.1</x:v>
      </x:c>
      <x:c r="H1593" s="40" t="n">
        <x:f>F1593-E1593</x:f>
        <x:v>-1.4643592834472656</x:v>
      </x:c>
      <x:c r="I1593" s="40" t="n">
        <x:f>ABS(H1593)</x:f>
        <x:v>1.4643592834472656</x:v>
      </x:c>
      <x:c r="J1593" s="40" t="n">
        <x:f>H1593^2</x:f>
        <x:v>2.1443481110181892</x:v>
      </x:c>
      <x:c r="K1593" s="40" t="n">
        <x:f>G1593-E1593</x:f>
        <x:v>0.10000000000000142</x:v>
      </x:c>
      <x:c r="L1593" s="40" t="n">
        <x:f>ABS(K1593)</x:f>
        <x:v>0.10000000000000142</x:v>
      </x:c>
      <x:c r="M1593" s="41" t="str">
        <x:v>lstm-soil-v1</x:v>
      </x:c>
    </x:row>
    <x:row r="1594">
      <x:c r="A1594" s="38" t="str">
        <x:v>7月30日现场数据</x:v>
      </x:c>
      <x:c r="B1594" s="39" t="str">
        <x:v>2026-08-01T22:40:00</x:v>
      </x:c>
      <x:c r="C1594" s="39" t="str">
        <x:v>2026-08-01T23:10:00</x:v>
      </x:c>
      <x:c r="D1594" s="47" t="n">
        <x:v>30</x:v>
      </x:c>
      <x:c r="E1594" s="40" t="n">
        <x:v>16</x:v>
      </x:c>
      <x:c r="F1594" s="40" t="n">
        <x:v>14.916400909423828</x:v>
      </x:c>
      <x:c r="G1594" s="40" t="n">
        <x:v>16.1</x:v>
      </x:c>
      <x:c r="H1594" s="40" t="n">
        <x:f>F1594-E1594</x:f>
        <x:v>-1.0835990905761719</x:v>
      </x:c>
      <x:c r="I1594" s="40" t="n">
        <x:f>ABS(H1594)</x:f>
        <x:v>1.0835990905761719</x:v>
      </x:c>
      <x:c r="J1594" s="40" t="n">
        <x:f>H1594^2</x:f>
        <x:v>1.1741869890975067</x:v>
      </x:c>
      <x:c r="K1594" s="40" t="n">
        <x:f>G1594-E1594</x:f>
        <x:v>0.10000000000000142</x:v>
      </x:c>
      <x:c r="L1594" s="40" t="n">
        <x:f>ABS(K1594)</x:f>
        <x:v>0.10000000000000142</x:v>
      </x:c>
      <x:c r="M1594" s="41" t="str">
        <x:v>lstm-soil-v1</x:v>
      </x:c>
    </x:row>
    <x:row r="1595">
      <x:c r="A1595" s="38" t="str">
        <x:v>7月30日现场数据</x:v>
      </x:c>
      <x:c r="B1595" s="39" t="str">
        <x:v>2026-08-01T22:40:00</x:v>
      </x:c>
      <x:c r="C1595" s="39" t="str">
        <x:v>2026-08-01T23:40:00</x:v>
      </x:c>
      <x:c r="D1595" s="47" t="n">
        <x:v>60</x:v>
      </x:c>
      <x:c r="E1595" s="40" t="n">
        <x:v>16</x:v>
      </x:c>
      <x:c r="F1595" s="40" t="n">
        <x:v>16.581310272216797</x:v>
      </x:c>
      <x:c r="G1595" s="40" t="n">
        <x:v>16.1</x:v>
      </x:c>
      <x:c r="H1595" s="40" t="n">
        <x:f>F1595-E1595</x:f>
        <x:v>0.5813102722167969</x:v>
      </x:c>
      <x:c r="I1595" s="40" t="n">
        <x:f>ABS(H1595)</x:f>
        <x:v>0.5813102722167969</x:v>
      </x:c>
      <x:c r="J1595" s="40" t="n">
        <x:f>H1595^2</x:f>
        <x:v>0.3379216325847665</x:v>
      </x:c>
      <x:c r="K1595" s="40" t="n">
        <x:f>G1595-E1595</x:f>
        <x:v>0.10000000000000142</x:v>
      </x:c>
      <x:c r="L1595" s="40" t="n">
        <x:f>ABS(K1595)</x:f>
        <x:v>0.10000000000000142</x:v>
      </x:c>
      <x:c r="M1595" s="41" t="str">
        <x:v>lstm-soil-v1</x:v>
      </x:c>
    </x:row>
    <x:row r="1596">
      <x:c r="A1596" s="38" t="str">
        <x:v>7月30日现场数据</x:v>
      </x:c>
      <x:c r="B1596" s="39" t="str">
        <x:v>2026-08-01T22:45:00</x:v>
      </x:c>
      <x:c r="C1596" s="39" t="str">
        <x:v>2026-08-01T22:50:00</x:v>
      </x:c>
      <x:c r="D1596" s="47" t="n">
        <x:v>5</x:v>
      </x:c>
      <x:c r="E1596" s="40" t="n">
        <x:v>16</x:v>
      </x:c>
      <x:c r="F1596" s="40" t="n">
        <x:v>14.34573745727539</x:v>
      </x:c>
      <x:c r="G1596" s="40" t="n">
        <x:v>16</x:v>
      </x:c>
      <x:c r="H1596" s="40" t="n">
        <x:f>F1596-E1596</x:f>
        <x:v>-1.6542625427246094</x:v>
      </x:c>
      <x:c r="I1596" s="40" t="n">
        <x:f>ABS(H1596)</x:f>
        <x:v>1.6542625427246094</x:v>
      </x:c>
      <x:c r="J1596" s="40" t="n">
        <x:f>H1596^2</x:f>
        <x:v>2.73658456026169</x:v>
      </x:c>
      <x:c r="K1596" s="40" t="n">
        <x:f>G1596-E1596</x:f>
        <x:v>0</x:v>
      </x:c>
      <x:c r="L1596" s="40" t="n">
        <x:f>ABS(K1596)</x:f>
        <x:v>0</x:v>
      </x:c>
      <x:c r="M1596" s="41" t="str">
        <x:v>lstm-soil-v1</x:v>
      </x:c>
    </x:row>
    <x:row r="1597">
      <x:c r="A1597" s="38" t="str">
        <x:v>7月30日现场数据</x:v>
      </x:c>
      <x:c r="B1597" s="39" t="str">
        <x:v>2026-08-01T22:45:00</x:v>
      </x:c>
      <x:c r="C1597" s="39" t="str">
        <x:v>2026-08-01T23:00:00</x:v>
      </x:c>
      <x:c r="D1597" s="47" t="n">
        <x:v>15</x:v>
      </x:c>
      <x:c r="E1597" s="40" t="n">
        <x:v>16</x:v>
      </x:c>
      <x:c r="F1597" s="40" t="n">
        <x:v>14.423839569091797</x:v>
      </x:c>
      <x:c r="G1597" s="40" t="n">
        <x:v>16</x:v>
      </x:c>
      <x:c r="H1597" s="40" t="n">
        <x:f>F1597-E1597</x:f>
        <x:v>-1.5761604309082031</x:v>
      </x:c>
      <x:c r="I1597" s="40" t="n">
        <x:f>ABS(H1597)</x:f>
        <x:v>1.5761604309082031</x:v>
      </x:c>
      <x:c r="J1597" s="40" t="n">
        <x:f>H1597^2</x:f>
        <x:v>2.4842817039607326</x:v>
      </x:c>
      <x:c r="K1597" s="40" t="n">
        <x:f>G1597-E1597</x:f>
        <x:v>0</x:v>
      </x:c>
      <x:c r="L1597" s="40" t="n">
        <x:f>ABS(K1597)</x:f>
        <x:v>0</x:v>
      </x:c>
      <x:c r="M1597" s="41" t="str">
        <x:v>lstm-soil-v1</x:v>
      </x:c>
    </x:row>
    <x:row r="1598">
      <x:c r="A1598" s="38" t="str">
        <x:v>7月30日现场数据</x:v>
      </x:c>
      <x:c r="B1598" s="39" t="str">
        <x:v>2026-08-01T22:45:00</x:v>
      </x:c>
      <x:c r="C1598" s="39" t="str">
        <x:v>2026-08-01T23:15:00</x:v>
      </x:c>
      <x:c r="D1598" s="47" t="n">
        <x:v>30</x:v>
      </x:c>
      <x:c r="E1598" s="40" t="n">
        <x:v>16</x:v>
      </x:c>
      <x:c r="F1598" s="40" t="n">
        <x:v>14.805740356445312</x:v>
      </x:c>
      <x:c r="G1598" s="40" t="n">
        <x:v>16</x:v>
      </x:c>
      <x:c r="H1598" s="40" t="n">
        <x:f>F1598-E1598</x:f>
        <x:v>-1.1942596435546875</x:v>
      </x:c>
      <x:c r="I1598" s="40" t="n">
        <x:f>ABS(H1598)</x:f>
        <x:v>1.1942596435546875</x:v>
      </x:c>
      <x:c r="J1598" s="40" t="n">
        <x:f>H1598^2</x:f>
        <x:v>1.4262560962233692</x:v>
      </x:c>
      <x:c r="K1598" s="40" t="n">
        <x:f>G1598-E1598</x:f>
        <x:v>0</x:v>
      </x:c>
      <x:c r="L1598" s="40" t="n">
        <x:f>ABS(K1598)</x:f>
        <x:v>0</x:v>
      </x:c>
      <x:c r="M1598" s="41" t="str">
        <x:v>lstm-soil-v1</x:v>
      </x:c>
    </x:row>
    <x:row r="1599">
      <x:c r="A1599" s="38" t="str">
        <x:v>7月30日现场数据</x:v>
      </x:c>
      <x:c r="B1599" s="39" t="str">
        <x:v>2026-08-01T22:45:00</x:v>
      </x:c>
      <x:c r="C1599" s="39" t="str">
        <x:v>2026-08-01T23:45:00</x:v>
      </x:c>
      <x:c r="D1599" s="47" t="n">
        <x:v>60</x:v>
      </x:c>
      <x:c r="E1599" s="40" t="n">
        <x:v>16</x:v>
      </x:c>
      <x:c r="F1599" s="40" t="n">
        <x:v>16.471492767333984</x:v>
      </x:c>
      <x:c r="G1599" s="40" t="n">
        <x:v>16</x:v>
      </x:c>
      <x:c r="H1599" s="40" t="n">
        <x:f>F1599-E1599</x:f>
        <x:v>0.4714927673339844</x:v>
      </x:c>
      <x:c r="I1599" s="40" t="n">
        <x:f>ABS(H1599)</x:f>
        <x:v>0.4714927673339844</x:v>
      </x:c>
      <x:c r="J1599" s="40" t="n">
        <x:f>H1599^2</x:f>
        <x:v>0.22230542964825872</x:v>
      </x:c>
      <x:c r="K1599" s="40" t="n">
        <x:f>G1599-E1599</x:f>
        <x:v>0</x:v>
      </x:c>
      <x:c r="L1599" s="40" t="n">
        <x:f>ABS(K1599)</x:f>
        <x:v>0</x:v>
      </x:c>
      <x:c r="M1599" s="41" t="str">
        <x:v>lstm-soil-v1</x:v>
      </x:c>
    </x:row>
    <x:row r="1600">
      <x:c r="A1600" s="38" t="str">
        <x:v>7月30日现场数据</x:v>
      </x:c>
      <x:c r="B1600" s="39" t="str">
        <x:v>2026-08-01T22:50:00</x:v>
      </x:c>
      <x:c r="C1600" s="39" t="str">
        <x:v>2026-08-01T22:55:00</x:v>
      </x:c>
      <x:c r="D1600" s="47" t="n">
        <x:v>5</x:v>
      </x:c>
      <x:c r="E1600" s="40" t="n">
        <x:v>16</x:v>
      </x:c>
      <x:c r="F1600" s="40" t="n">
        <x:v>14.34805679321289</x:v>
      </x:c>
      <x:c r="G1600" s="40" t="n">
        <x:v>16</x:v>
      </x:c>
      <x:c r="H1600" s="40" t="n">
        <x:f>F1600-E1600</x:f>
        <x:v>-1.6519432067871094</x:v>
      </x:c>
      <x:c r="I1600" s="40" t="n">
        <x:f>ABS(H1600)</x:f>
        <x:v>1.6519432067871094</x:v>
      </x:c>
      <x:c r="J1600" s="40" t="n">
        <x:f>H1600^2</x:f>
        <x:v>2.7289163584500784</x:v>
      </x:c>
      <x:c r="K1600" s="40" t="n">
        <x:f>G1600-E1600</x:f>
        <x:v>0</x:v>
      </x:c>
      <x:c r="L1600" s="40" t="n">
        <x:f>ABS(K1600)</x:f>
        <x:v>0</x:v>
      </x:c>
      <x:c r="M1600" s="41" t="str">
        <x:v>lstm-soil-v1</x:v>
      </x:c>
    </x:row>
    <x:row r="1601">
      <x:c r="A1601" s="38" t="str">
        <x:v>7月30日现场数据</x:v>
      </x:c>
      <x:c r="B1601" s="39" t="str">
        <x:v>2026-08-01T22:50:00</x:v>
      </x:c>
      <x:c r="C1601" s="39" t="str">
        <x:v>2026-08-01T23:05:00</x:v>
      </x:c>
      <x:c r="D1601" s="47" t="n">
        <x:v>15</x:v>
      </x:c>
      <x:c r="E1601" s="40" t="n">
        <x:v>16</x:v>
      </x:c>
      <x:c r="F1601" s="40" t="n">
        <x:v>14.425621032714844</x:v>
      </x:c>
      <x:c r="G1601" s="40" t="n">
        <x:v>16</x:v>
      </x:c>
      <x:c r="H1601" s="40" t="n">
        <x:f>F1601-E1601</x:f>
        <x:v>-1.5743789672851562</x:v>
      </x:c>
      <x:c r="I1601" s="40" t="n">
        <x:f>ABS(H1601)</x:f>
        <x:v>1.5743789672851562</x:v>
      </x:c>
      <x:c r="J1601" s="40" t="n">
        <x:f>H1601^2</x:f>
        <x:v>2.478669132629875</x:v>
      </x:c>
      <x:c r="K1601" s="40" t="n">
        <x:f>G1601-E1601</x:f>
        <x:v>0</x:v>
      </x:c>
      <x:c r="L1601" s="40" t="n">
        <x:f>ABS(K1601)</x:f>
        <x:v>0</x:v>
      </x:c>
      <x:c r="M1601" s="41" t="str">
        <x:v>lstm-soil-v1</x:v>
      </x:c>
    </x:row>
    <x:row r="1602">
      <x:c r="A1602" s="38" t="str">
        <x:v>7月30日现场数据</x:v>
      </x:c>
      <x:c r="B1602" s="39" t="str">
        <x:v>2026-08-01T22:50:00</x:v>
      </x:c>
      <x:c r="C1602" s="39" t="str">
        <x:v>2026-08-01T23:20:00</x:v>
      </x:c>
      <x:c r="D1602" s="47" t="n">
        <x:v>30</x:v>
      </x:c>
      <x:c r="E1602" s="40" t="n">
        <x:v>16</x:v>
      </x:c>
      <x:c r="F1602" s="40" t="n">
        <x:v>14.809158325195312</x:v>
      </x:c>
      <x:c r="G1602" s="40" t="n">
        <x:v>16</x:v>
      </x:c>
      <x:c r="H1602" s="40" t="n">
        <x:f>F1602-E1602</x:f>
        <x:v>-1.1908416748046875</x:v>
      </x:c>
      <x:c r="I1602" s="40" t="n">
        <x:f>ABS(H1602)</x:f>
        <x:v>1.1908416748046875</x:v>
      </x:c>
      <x:c r="J1602" s="40" t="n">
        <x:f>H1602^2</x:f>
        <x:v>1.418103894451633</x:v>
      </x:c>
      <x:c r="K1602" s="40" t="n">
        <x:f>G1602-E1602</x:f>
        <x:v>0</x:v>
      </x:c>
      <x:c r="L1602" s="40" t="n">
        <x:f>ABS(K1602)</x:f>
        <x:v>0</x:v>
      </x:c>
      <x:c r="M1602" s="41" t="str">
        <x:v>lstm-soil-v1</x:v>
      </x:c>
    </x:row>
    <x:row r="1603">
      <x:c r="A1603" s="38" t="str">
        <x:v>7月30日现场数据</x:v>
      </x:c>
      <x:c r="B1603" s="39" t="str">
        <x:v>2026-08-01T22:50:00</x:v>
      </x:c>
      <x:c r="C1603" s="39" t="str">
        <x:v>2026-08-01T23:50:00</x:v>
      </x:c>
      <x:c r="D1603" s="47" t="n">
        <x:v>60</x:v>
      </x:c>
      <x:c r="E1603" s="40" t="n">
        <x:v>16</x:v>
      </x:c>
      <x:c r="F1603" s="40" t="n">
        <x:v>16.47679901123047</x:v>
      </x:c>
      <x:c r="G1603" s="40" t="n">
        <x:v>16</x:v>
      </x:c>
      <x:c r="H1603" s="40" t="n">
        <x:f>F1603-E1603</x:f>
        <x:v>0.47679901123046875</x:v>
      </x:c>
      <x:c r="I1603" s="40" t="n">
        <x:f>ABS(H1603)</x:f>
        <x:v>0.47679901123046875</x:v>
      </x:c>
      <x:c r="J1603" s="40" t="n">
        <x:f>H1603^2</x:f>
        <x:v>0.22733729711035267</x:v>
      </x:c>
      <x:c r="K1603" s="40" t="n">
        <x:f>G1603-E1603</x:f>
        <x:v>0</x:v>
      </x:c>
      <x:c r="L1603" s="40" t="n">
        <x:f>ABS(K1603)</x:f>
        <x:v>0</x:v>
      </x:c>
      <x:c r="M1603" s="41" t="str">
        <x:v>lstm-soil-v1</x:v>
      </x:c>
    </x:row>
    <x:row r="1604">
      <x:c r="A1604" s="38" t="str">
        <x:v>7月30日现场数据</x:v>
      </x:c>
      <x:c r="B1604" s="39" t="str">
        <x:v>2026-08-01T22:55:00</x:v>
      </x:c>
      <x:c r="C1604" s="39" t="str">
        <x:v>2026-08-01T23:00:00</x:v>
      </x:c>
      <x:c r="D1604" s="47" t="n">
        <x:v>5</x:v>
      </x:c>
      <x:c r="E1604" s="40" t="n">
        <x:v>16</x:v>
      </x:c>
      <x:c r="F1604" s="40" t="n">
        <x:v>14.345474243164062</x:v>
      </x:c>
      <x:c r="G1604" s="40" t="n">
        <x:v>16</x:v>
      </x:c>
      <x:c r="H1604" s="40" t="n">
        <x:f>F1604-E1604</x:f>
        <x:v>-1.6545257568359375</x:v>
      </x:c>
      <x:c r="I1604" s="40" t="n">
        <x:f>ABS(H1604)</x:f>
        <x:v>1.6545257568359375</x:v>
      </x:c>
      <x:c r="J1604" s="40" t="n">
        <x:f>H1604^2</x:f>
        <x:v>2.737455480033532</x:v>
      </x:c>
      <x:c r="K1604" s="40" t="n">
        <x:f>G1604-E1604</x:f>
        <x:v>0</x:v>
      </x:c>
      <x:c r="L1604" s="40" t="n">
        <x:f>ABS(K1604)</x:f>
        <x:v>0</x:v>
      </x:c>
      <x:c r="M1604" s="41" t="str">
        <x:v>lstm-soil-v1</x:v>
      </x:c>
    </x:row>
    <x:row r="1605">
      <x:c r="A1605" s="38" t="str">
        <x:v>7月30日现场数据</x:v>
      </x:c>
      <x:c r="B1605" s="39" t="str">
        <x:v>2026-08-01T22:55:00</x:v>
      </x:c>
      <x:c r="C1605" s="39" t="str">
        <x:v>2026-08-01T23:10:00</x:v>
      </x:c>
      <x:c r="D1605" s="47" t="n">
        <x:v>15</x:v>
      </x:c>
      <x:c r="E1605" s="40" t="n">
        <x:v>16</x:v>
      </x:c>
      <x:c r="F1605" s="40" t="n">
        <x:v>14.424930572509766</x:v>
      </x:c>
      <x:c r="G1605" s="40" t="n">
        <x:v>16</x:v>
      </x:c>
      <x:c r="H1605" s="40" t="n">
        <x:f>F1605-E1605</x:f>
        <x:v>-1.5750694274902344</x:v>
      </x:c>
      <x:c r="I1605" s="40" t="n">
        <x:f>ABS(H1605)</x:f>
        <x:v>1.5750694274902344</x:v>
      </x:c>
      <x:c r="J1605" s="40" t="n">
        <x:f>H1605^2</x:f>
        <x:v>2.4808437014144147</x:v>
      </x:c>
      <x:c r="K1605" s="40" t="n">
        <x:f>G1605-E1605</x:f>
        <x:v>0</x:v>
      </x:c>
      <x:c r="L1605" s="40" t="n">
        <x:f>ABS(K1605)</x:f>
        <x:v>0</x:v>
      </x:c>
      <x:c r="M1605" s="41" t="str">
        <x:v>lstm-soil-v1</x:v>
      </x:c>
    </x:row>
    <x:row r="1606">
      <x:c r="A1606" s="38" t="str">
        <x:v>7月30日现场数据</x:v>
      </x:c>
      <x:c r="B1606" s="39" t="str">
        <x:v>2026-08-01T22:55:00</x:v>
      </x:c>
      <x:c r="C1606" s="39" t="str">
        <x:v>2026-08-01T23:25:00</x:v>
      </x:c>
      <x:c r="D1606" s="47" t="n">
        <x:v>30</x:v>
      </x:c>
      <x:c r="E1606" s="40" t="n">
        <x:v>16</x:v>
      </x:c>
      <x:c r="F1606" s="40" t="n">
        <x:v>14.805442810058594</x:v>
      </x:c>
      <x:c r="G1606" s="40" t="n">
        <x:v>16</x:v>
      </x:c>
      <x:c r="H1606" s="40" t="n">
        <x:f>F1606-E1606</x:f>
        <x:v>-1.1945571899414062</x:v>
      </x:c>
      <x:c r="I1606" s="40" t="n">
        <x:f>ABS(H1606)</x:f>
        <x:v>1.1945571899414062</x:v>
      </x:c>
      <x:c r="J1606" s="40" t="n">
        <x:f>H1606^2</x:f>
        <x:v>1.426966880040709</x:v>
      </x:c>
      <x:c r="K1606" s="40" t="n">
        <x:f>G1606-E1606</x:f>
        <x:v>0</x:v>
      </x:c>
      <x:c r="L1606" s="40" t="n">
        <x:f>ABS(K1606)</x:f>
        <x:v>0</x:v>
      </x:c>
      <x:c r="M1606" s="41" t="str">
        <x:v>lstm-soil-v1</x:v>
      </x:c>
    </x:row>
    <x:row r="1607">
      <x:c r="A1607" s="38" t="str">
        <x:v>7月30日现场数据</x:v>
      </x:c>
      <x:c r="B1607" s="39" t="str">
        <x:v>2026-08-01T22:55:00</x:v>
      </x:c>
      <x:c r="C1607" s="39" t="str">
        <x:v>2026-08-01T23:55:00</x:v>
      </x:c>
      <x:c r="D1607" s="47" t="n">
        <x:v>60</x:v>
      </x:c>
      <x:c r="E1607" s="40" t="n">
        <x:v>16</x:v>
      </x:c>
      <x:c r="F1607" s="40" t="n">
        <x:v>16.470478057861328</x:v>
      </x:c>
      <x:c r="G1607" s="40" t="n">
        <x:v>16</x:v>
      </x:c>
      <x:c r="H1607" s="40" t="n">
        <x:f>F1607-E1607</x:f>
        <x:v>0.4704780578613281</x:v>
      </x:c>
      <x:c r="I1607" s="40" t="n">
        <x:f>ABS(H1607)</x:f>
        <x:v>0.4704780578613281</x:v>
      </x:c>
      <x:c r="J1607" s="40" t="n">
        <x:f>H1607^2</x:f>
        <x:v>0.22134960292896722</x:v>
      </x:c>
      <x:c r="K1607" s="40" t="n">
        <x:f>G1607-E1607</x:f>
        <x:v>0</x:v>
      </x:c>
      <x:c r="L1607" s="40" t="n">
        <x:f>ABS(K1607)</x:f>
        <x:v>0</x:v>
      </x:c>
      <x:c r="M1607" s="41" t="str">
        <x:v>lstm-soil-v1</x:v>
      </x:c>
    </x:row>
    <x:row r="1608">
      <x:c r="A1608" s="38" t="str">
        <x:v>7月30日现场数据</x:v>
      </x:c>
      <x:c r="B1608" s="39" t="str">
        <x:v>2026-08-01T23:00:00</x:v>
      </x:c>
      <x:c r="C1608" s="39" t="str">
        <x:v>2026-08-01T23:05:00</x:v>
      </x:c>
      <x:c r="D1608" s="47" t="n">
        <x:v>5</x:v>
      </x:c>
      <x:c r="E1608" s="40" t="n">
        <x:v>16</x:v>
      </x:c>
      <x:c r="F1608" s="40" t="n">
        <x:v>14.34185791015625</x:v>
      </x:c>
      <x:c r="G1608" s="40" t="n">
        <x:v>16</x:v>
      </x:c>
      <x:c r="H1608" s="40" t="n">
        <x:f>F1608-E1608</x:f>
        <x:v>-1.65814208984375</x:v>
      </x:c>
      <x:c r="I1608" s="40" t="n">
        <x:f>ABS(H1608)</x:f>
        <x:v>1.65814208984375</x:v>
      </x:c>
      <x:c r="J1608" s="40" t="n">
        <x:f>H1608^2</x:f>
        <x:v>2.7494351901113987</x:v>
      </x:c>
      <x:c r="K1608" s="40" t="n">
        <x:f>G1608-E1608</x:f>
        <x:v>0</x:v>
      </x:c>
      <x:c r="L1608" s="40" t="n">
        <x:f>ABS(K1608)</x:f>
        <x:v>0</x:v>
      </x:c>
      <x:c r="M1608" s="41" t="str">
        <x:v>lstm-soil-v1</x:v>
      </x:c>
    </x:row>
    <x:row r="1609">
      <x:c r="A1609" s="38" t="str">
        <x:v>7月30日现场数据</x:v>
      </x:c>
      <x:c r="B1609" s="39" t="str">
        <x:v>2026-08-01T23:00:00</x:v>
      </x:c>
      <x:c r="C1609" s="39" t="str">
        <x:v>2026-08-01T23:15:00</x:v>
      </x:c>
      <x:c r="D1609" s="47" t="n">
        <x:v>15</x:v>
      </x:c>
      <x:c r="E1609" s="40" t="n">
        <x:v>16</x:v>
      </x:c>
      <x:c r="F1609" s="40" t="n">
        <x:v>14.420562744140625</x:v>
      </x:c>
      <x:c r="G1609" s="40" t="n">
        <x:v>16</x:v>
      </x:c>
      <x:c r="H1609" s="40" t="n">
        <x:f>F1609-E1609</x:f>
        <x:v>-1.579437255859375</x:v>
      </x:c>
      <x:c r="I1609" s="40" t="n">
        <x:f>ABS(H1609)</x:f>
        <x:v>1.579437255859375</x:v>
      </x:c>
      <x:c r="J1609" s="40" t="n">
        <x:f>H1609^2</x:f>
        <x:v>2.494622045196593</x:v>
      </x:c>
      <x:c r="K1609" s="40" t="n">
        <x:f>G1609-E1609</x:f>
        <x:v>0</x:v>
      </x:c>
      <x:c r="L1609" s="40" t="n">
        <x:f>ABS(K1609)</x:f>
        <x:v>0</x:v>
      </x:c>
      <x:c r="M1609" s="41" t="str">
        <x:v>lstm-soil-v1</x:v>
      </x:c>
    </x:row>
    <x:row r="1610">
      <x:c r="A1610" s="38" t="str">
        <x:v>7月30日现场数据</x:v>
      </x:c>
      <x:c r="B1610" s="39" t="str">
        <x:v>2026-08-01T23:00:00</x:v>
      </x:c>
      <x:c r="C1610" s="39" t="str">
        <x:v>2026-08-01T23:30:00</x:v>
      </x:c>
      <x:c r="D1610" s="47" t="n">
        <x:v>30</x:v>
      </x:c>
      <x:c r="E1610" s="40" t="n">
        <x:v>16</x:v>
      </x:c>
      <x:c r="F1610" s="40" t="n">
        <x:v>14.801437377929688</x:v>
      </x:c>
      <x:c r="G1610" s="40" t="n">
        <x:v>16</x:v>
      </x:c>
      <x:c r="H1610" s="40" t="n">
        <x:f>F1610-E1610</x:f>
        <x:v>-1.1985626220703125</x:v>
      </x:c>
      <x:c r="I1610" s="40" t="n">
        <x:f>ABS(H1610)</x:f>
        <x:v>1.1985626220703125</x:v>
      </x:c>
      <x:c r="J1610" s="40" t="n">
        <x:f>H1610^2</x:f>
        <x:v>1.4365523590240628</x:v>
      </x:c>
      <x:c r="K1610" s="40" t="n">
        <x:f>G1610-E1610</x:f>
        <x:v>0</x:v>
      </x:c>
      <x:c r="L1610" s="40" t="n">
        <x:f>ABS(K1610)</x:f>
        <x:v>0</x:v>
      </x:c>
      <x:c r="M1610" s="41" t="str">
        <x:v>lstm-soil-v1</x:v>
      </x:c>
    </x:row>
    <x:row r="1611">
      <x:c r="A1611" s="38" t="str">
        <x:v>7月30日现场数据</x:v>
      </x:c>
      <x:c r="B1611" s="39" t="str">
        <x:v>2026-08-01T23:00:00</x:v>
      </x:c>
      <x:c r="C1611" s="39" t="str">
        <x:v>2026-08-02T00:00:00</x:v>
      </x:c>
      <x:c r="D1611" s="47" t="n">
        <x:v>60</x:v>
      </x:c>
      <x:c r="E1611" s="40" t="n">
        <x:v>16</x:v>
      </x:c>
      <x:c r="F1611" s="40" t="n">
        <x:v>16.463546752929688</x:v>
      </x:c>
      <x:c r="G1611" s="40" t="n">
        <x:v>16</x:v>
      </x:c>
      <x:c r="H1611" s="40" t="n">
        <x:f>F1611-E1611</x:f>
        <x:v>0.4635467529296875</x:v>
      </x:c>
      <x:c r="I1611" s="40" t="n">
        <x:f>ABS(H1611)</x:f>
        <x:v>0.4635467529296875</x:v>
      </x:c>
      <x:c r="J1611" s="40" t="n">
        <x:f>H1611^2</x:f>
        <x:v>0.21487559215165675</x:v>
      </x:c>
      <x:c r="K1611" s="40" t="n">
        <x:f>G1611-E1611</x:f>
        <x:v>0</x:v>
      </x:c>
      <x:c r="L1611" s="40" t="n">
        <x:f>ABS(K1611)</x:f>
        <x:v>0</x:v>
      </x:c>
      <x:c r="M1611" s="41" t="str">
        <x:v>lstm-soil-v1</x:v>
      </x:c>
    </x:row>
    <x:row r="1612">
      <x:c r="A1612" s="38" t="str">
        <x:v>7月30日现场数据</x:v>
      </x:c>
      <x:c r="B1612" s="39" t="str">
        <x:v>2026-08-01T23:05:00</x:v>
      </x:c>
      <x:c r="C1612" s="39" t="str">
        <x:v>2026-08-01T23:10:00</x:v>
      </x:c>
      <x:c r="D1612" s="47" t="n">
        <x:v>5</x:v>
      </x:c>
      <x:c r="E1612" s="40" t="n">
        <x:v>16</x:v>
      </x:c>
      <x:c r="F1612" s="40" t="n">
        <x:v>14.340248107910156</x:v>
      </x:c>
      <x:c r="G1612" s="40" t="n">
        <x:v>16</x:v>
      </x:c>
      <x:c r="H1612" s="40" t="n">
        <x:f>F1612-E1612</x:f>
        <x:v>-1.6597518920898438</x:v>
      </x:c>
      <x:c r="I1612" s="40" t="n">
        <x:f>ABS(H1612)</x:f>
        <x:v>1.6597518920898438</x:v>
      </x:c>
      <x:c r="J1612" s="40" t="n">
        <x:f>H1612^2</x:f>
        <x:v>2.7547763432958163</x:v>
      </x:c>
      <x:c r="K1612" s="40" t="n">
        <x:f>G1612-E1612</x:f>
        <x:v>0</x:v>
      </x:c>
      <x:c r="L1612" s="40" t="n">
        <x:f>ABS(K1612)</x:f>
        <x:v>0</x:v>
      </x:c>
      <x:c r="M1612" s="41" t="str">
        <x:v>lstm-soil-v1</x:v>
      </x:c>
    </x:row>
    <x:row r="1613">
      <x:c r="A1613" s="38" t="str">
        <x:v>7月30日现场数据</x:v>
      </x:c>
      <x:c r="B1613" s="39" t="str">
        <x:v>2026-08-01T23:05:00</x:v>
      </x:c>
      <x:c r="C1613" s="39" t="str">
        <x:v>2026-08-01T23:20:00</x:v>
      </x:c>
      <x:c r="D1613" s="47" t="n">
        <x:v>15</x:v>
      </x:c>
      <x:c r="E1613" s="40" t="n">
        <x:v>16</x:v>
      </x:c>
      <x:c r="F1613" s="40" t="n">
        <x:v>14.41815185546875</x:v>
      </x:c>
      <x:c r="G1613" s="40" t="n">
        <x:v>16</x:v>
      </x:c>
      <x:c r="H1613" s="40" t="n">
        <x:f>F1613-E1613</x:f>
        <x:v>-1.58184814453125</x:v>
      </x:c>
      <x:c r="I1613" s="40" t="n">
        <x:f>ABS(H1613)</x:f>
        <x:v>1.58184814453125</x:v>
      </x:c>
      <x:c r="J1613" s="40" t="n">
        <x:f>H1613^2</x:f>
        <x:v>2.5022435523569584</x:v>
      </x:c>
      <x:c r="K1613" s="40" t="n">
        <x:f>G1613-E1613</x:f>
        <x:v>0</x:v>
      </x:c>
      <x:c r="L1613" s="40" t="n">
        <x:f>ABS(K1613)</x:f>
        <x:v>0</x:v>
      </x:c>
      <x:c r="M1613" s="41" t="str">
        <x:v>lstm-soil-v1</x:v>
      </x:c>
    </x:row>
    <x:row r="1614">
      <x:c r="A1614" s="38" t="str">
        <x:v>7月30日现场数据</x:v>
      </x:c>
      <x:c r="B1614" s="39" t="str">
        <x:v>2026-08-01T23:05:00</x:v>
      </x:c>
      <x:c r="C1614" s="39" t="str">
        <x:v>2026-08-01T23:35:00</x:v>
      </x:c>
      <x:c r="D1614" s="47" t="n">
        <x:v>30</x:v>
      </x:c>
      <x:c r="E1614" s="40" t="n">
        <x:v>16</x:v>
      </x:c>
      <x:c r="F1614" s="40" t="n">
        <x:v>14.802082061767578</x:v>
      </x:c>
      <x:c r="G1614" s="40" t="n">
        <x:v>16</x:v>
      </x:c>
      <x:c r="H1614" s="40" t="n">
        <x:f>F1614-E1614</x:f>
        <x:v>-1.1979179382324219</x:v>
      </x:c>
      <x:c r="I1614" s="40" t="n">
        <x:f>ABS(H1614)</x:f>
        <x:v>1.1979179382324219</x:v>
      </x:c>
      <x:c r="J1614" s="40" t="n">
        <x:f>H1614^2</x:f>
        <x:v>1.4350073867390165</x:v>
      </x:c>
      <x:c r="K1614" s="40" t="n">
        <x:f>G1614-E1614</x:f>
        <x:v>0</x:v>
      </x:c>
      <x:c r="L1614" s="40" t="n">
        <x:f>ABS(K1614)</x:f>
        <x:v>0</x:v>
      </x:c>
      <x:c r="M1614" s="41" t="str">
        <x:v>lstm-soil-v1</x:v>
      </x:c>
    </x:row>
    <x:row r="1615">
      <x:c r="A1615" s="38" t="str">
        <x:v>7月30日现场数据</x:v>
      </x:c>
      <x:c r="B1615" s="39" t="str">
        <x:v>2026-08-01T23:05:00</x:v>
      </x:c>
      <x:c r="C1615" s="39" t="str">
        <x:v>2026-08-02T00:05:00</x:v>
      </x:c>
      <x:c r="D1615" s="47" t="n">
        <x:v>60</x:v>
      </x:c>
      <x:c r="E1615" s="40" t="n">
        <x:v>16</x:v>
      </x:c>
      <x:c r="F1615" s="40" t="n">
        <x:v>16.45929718017578</x:v>
      </x:c>
      <x:c r="G1615" s="40" t="n">
        <x:v>16</x:v>
      </x:c>
      <x:c r="H1615" s="40" t="n">
        <x:f>F1615-E1615</x:f>
        <x:v>0.45929718017578125</x:v>
      </x:c>
      <x:c r="I1615" s="40" t="n">
        <x:f>ABS(H1615)</x:f>
        <x:v>0.45929718017578125</x:v>
      </x:c>
      <x:c r="J1615" s="40" t="n">
        <x:f>H1615^2</x:f>
        <x:v>0.21095389971742406</x:v>
      </x:c>
      <x:c r="K1615" s="40" t="n">
        <x:f>G1615-E1615</x:f>
        <x:v>0</x:v>
      </x:c>
      <x:c r="L1615" s="40" t="n">
        <x:f>ABS(K1615)</x:f>
        <x:v>0</x:v>
      </x:c>
      <x:c r="M1615" s="41" t="str">
        <x:v>lstm-soil-v1</x:v>
      </x:c>
    </x:row>
    <x:row r="1616">
      <x:c r="A1616" s="38" t="str">
        <x:v>7月30日现场数据</x:v>
      </x:c>
      <x:c r="B1616" s="39" t="str">
        <x:v>2026-08-01T23:10:00</x:v>
      </x:c>
      <x:c r="C1616" s="39" t="str">
        <x:v>2026-08-01T23:15:00</x:v>
      </x:c>
      <x:c r="D1616" s="47" t="n">
        <x:v>5</x:v>
      </x:c>
      <x:c r="E1616" s="40" t="n">
        <x:v>16</x:v>
      </x:c>
      <x:c r="F1616" s="40" t="n">
        <x:v>14.339981079101562</x:v>
      </x:c>
      <x:c r="G1616" s="40" t="n">
        <x:v>16</x:v>
      </x:c>
      <x:c r="H1616" s="40" t="n">
        <x:f>F1616-E1616</x:f>
        <x:v>-1.6600189208984375</x:v>
      </x:c>
      <x:c r="I1616" s="40" t="n">
        <x:f>ABS(H1616)</x:f>
        <x:v>1.6600189208984375</x:v>
      </x:c>
      <x:c r="J1616" s="40" t="n">
        <x:f>H1616^2</x:f>
        <x:v>2.755662817740813</x:v>
      </x:c>
      <x:c r="K1616" s="40" t="n">
        <x:f>G1616-E1616</x:f>
        <x:v>0</x:v>
      </x:c>
      <x:c r="L1616" s="40" t="n">
        <x:f>ABS(K1616)</x:f>
        <x:v>0</x:v>
      </x:c>
      <x:c r="M1616" s="41" t="str">
        <x:v>lstm-soil-v1</x:v>
      </x:c>
    </x:row>
    <x:row r="1617">
      <x:c r="A1617" s="38" t="str">
        <x:v>7月30日现场数据</x:v>
      </x:c>
      <x:c r="B1617" s="39" t="str">
        <x:v>2026-08-01T23:10:00</x:v>
      </x:c>
      <x:c r="C1617" s="39" t="str">
        <x:v>2026-08-01T23:25:00</x:v>
      </x:c>
      <x:c r="D1617" s="47" t="n">
        <x:v>15</x:v>
      </x:c>
      <x:c r="E1617" s="40" t="n">
        <x:v>16</x:v>
      </x:c>
      <x:c r="F1617" s="40" t="n">
        <x:v>14.416999816894531</x:v>
      </x:c>
      <x:c r="G1617" s="40" t="n">
        <x:v>16</x:v>
      </x:c>
      <x:c r="H1617" s="40" t="n">
        <x:f>F1617-E1617</x:f>
        <x:v>-1.5830001831054688</x:v>
      </x:c>
      <x:c r="I1617" s="40" t="n">
        <x:f>ABS(H1617)</x:f>
        <x:v>1.5830001831054688</x:v>
      </x:c>
      <x:c r="J1617" s="40" t="n">
        <x:f>H1617^2</x:f>
        <x:v>2.5058895797119476</x:v>
      </x:c>
      <x:c r="K1617" s="40" t="n">
        <x:f>G1617-E1617</x:f>
        <x:v>0</x:v>
      </x:c>
      <x:c r="L1617" s="40" t="n">
        <x:f>ABS(K1617)</x:f>
        <x:v>0</x:v>
      </x:c>
      <x:c r="M1617" s="41" t="str">
        <x:v>lstm-soil-v1</x:v>
      </x:c>
    </x:row>
    <x:row r="1618">
      <x:c r="A1618" s="38" t="str">
        <x:v>7月30日现场数据</x:v>
      </x:c>
      <x:c r="B1618" s="39" t="str">
        <x:v>2026-08-01T23:10:00</x:v>
      </x:c>
      <x:c r="C1618" s="39" t="str">
        <x:v>2026-08-01T23:40:00</x:v>
      </x:c>
      <x:c r="D1618" s="47" t="n">
        <x:v>30</x:v>
      </x:c>
      <x:c r="E1618" s="40" t="n">
        <x:v>16</x:v>
      </x:c>
      <x:c r="F1618" s="40" t="n">
        <x:v>14.804668426513672</x:v>
      </x:c>
      <x:c r="G1618" s="40" t="n">
        <x:v>16</x:v>
      </x:c>
      <x:c r="H1618" s="40" t="n">
        <x:f>F1618-E1618</x:f>
        <x:v>-1.1953315734863281</x:v>
      </x:c>
      <x:c r="I1618" s="40" t="n">
        <x:f>ABS(H1618)</x:f>
        <x:v>1.1953315734863281</x:v>
      </x:c>
      <x:c r="J1618" s="40" t="n">
        <x:f>H1618^2</x:f>
        <x:v>1.428817570573301</x:v>
      </x:c>
      <x:c r="K1618" s="40" t="n">
        <x:f>G1618-E1618</x:f>
        <x:v>0</x:v>
      </x:c>
      <x:c r="L1618" s="40" t="n">
        <x:f>ABS(K1618)</x:f>
        <x:v>0</x:v>
      </x:c>
      <x:c r="M1618" s="41" t="str">
        <x:v>lstm-soil-v1</x:v>
      </x:c>
    </x:row>
    <x:row r="1619">
      <x:c r="A1619" s="38" t="str">
        <x:v>7月30日现场数据</x:v>
      </x:c>
      <x:c r="B1619" s="39" t="str">
        <x:v>2026-08-01T23:10:00</x:v>
      </x:c>
      <x:c r="C1619" s="39" t="str">
        <x:v>2026-08-02T00:10:00</x:v>
      </x:c>
      <x:c r="D1619" s="47" t="n">
        <x:v>60</x:v>
      </x:c>
      <x:c r="E1619" s="40" t="n">
        <x:v>16</x:v>
      </x:c>
      <x:c r="F1619" s="40" t="n">
        <x:v>16.457351684570312</x:v>
      </x:c>
      <x:c r="G1619" s="40" t="n">
        <x:v>16</x:v>
      </x:c>
      <x:c r="H1619" s="40" t="n">
        <x:f>F1619-E1619</x:f>
        <x:v>0.4573516845703125</x:v>
      </x:c>
      <x:c r="I1619" s="40" t="n">
        <x:f>ABS(H1619)</x:f>
        <x:v>0.4573516845703125</x:v>
      </x:c>
      <x:c r="J1619" s="40" t="n">
        <x:f>H1619^2</x:f>
        <x:v>0.20917056337930262</x:v>
      </x:c>
      <x:c r="K1619" s="40" t="n">
        <x:f>G1619-E1619</x:f>
        <x:v>0</x:v>
      </x:c>
      <x:c r="L1619" s="40" t="n">
        <x:f>ABS(K1619)</x:f>
        <x:v>0</x:v>
      </x:c>
      <x:c r="M1619" s="41" t="str">
        <x:v>lstm-soil-v1</x:v>
      </x:c>
    </x:row>
    <x:row r="1620">
      <x:c r="A1620" s="38" t="str">
        <x:v>7月30日现场数据</x:v>
      </x:c>
      <x:c r="B1620" s="39" t="str">
        <x:v>2026-08-01T23:15:00</x:v>
      </x:c>
      <x:c r="C1620" s="39" t="str">
        <x:v>2026-08-01T23:20:00</x:v>
      </x:c>
      <x:c r="D1620" s="47" t="n">
        <x:v>5</x:v>
      </x:c>
      <x:c r="E1620" s="40" t="n">
        <x:v>16</x:v>
      </x:c>
      <x:c r="F1620" s="40" t="n">
        <x:v>14.340415954589844</x:v>
      </x:c>
      <x:c r="G1620" s="40" t="n">
        <x:v>16</x:v>
      </x:c>
      <x:c r="H1620" s="40" t="n">
        <x:f>F1620-E1620</x:f>
        <x:v>-1.6595840454101562</x:v>
      </x:c>
      <x:c r="I1620" s="40" t="n">
        <x:f>ABS(H1620)</x:f>
        <x:v>1.6595840454101562</x:v>
      </x:c>
      <x:c r="J1620" s="40" t="n">
        <x:f>H1620^2</x:f>
        <x:v>2.7542192037799396</x:v>
      </x:c>
      <x:c r="K1620" s="40" t="n">
        <x:f>G1620-E1620</x:f>
        <x:v>0</x:v>
      </x:c>
      <x:c r="L1620" s="40" t="n">
        <x:f>ABS(K1620)</x:f>
        <x:v>0</x:v>
      </x:c>
      <x:c r="M1620" s="41" t="str">
        <x:v>lstm-soil-v1</x:v>
      </x:c>
    </x:row>
    <x:row r="1621">
      <x:c r="A1621" s="38" t="str">
        <x:v>7月30日现场数据</x:v>
      </x:c>
      <x:c r="B1621" s="39" t="str">
        <x:v>2026-08-01T23:15:00</x:v>
      </x:c>
      <x:c r="C1621" s="39" t="str">
        <x:v>2026-08-01T23:30:00</x:v>
      </x:c>
      <x:c r="D1621" s="47" t="n">
        <x:v>15</x:v>
      </x:c>
      <x:c r="E1621" s="40" t="n">
        <x:v>16</x:v>
      </x:c>
      <x:c r="F1621" s="40" t="n">
        <x:v>14.41659164428711</x:v>
      </x:c>
      <x:c r="G1621" s="40" t="n">
        <x:v>16</x:v>
      </x:c>
      <x:c r="H1621" s="40" t="n">
        <x:f>F1621-E1621</x:f>
        <x:v>-1.5834083557128906</x:v>
      </x:c>
      <x:c r="I1621" s="40" t="n">
        <x:f>ABS(H1621)</x:f>
        <x:v>1.5834083557128906</x:v>
      </x:c>
      <x:c r="J1621" s="40" t="n">
        <x:f>H1621^2</x:f>
        <x:v>2.5071820209414</x:v>
      </x:c>
      <x:c r="K1621" s="40" t="n">
        <x:f>G1621-E1621</x:f>
        <x:v>0</x:v>
      </x:c>
      <x:c r="L1621" s="40" t="n">
        <x:f>ABS(K1621)</x:f>
        <x:v>0</x:v>
      </x:c>
      <x:c r="M1621" s="41" t="str">
        <x:v>lstm-soil-v1</x:v>
      </x:c>
    </x:row>
    <x:row r="1622">
      <x:c r="A1622" s="38" t="str">
        <x:v>7月30日现场数据</x:v>
      </x:c>
      <x:c r="B1622" s="39" t="str">
        <x:v>2026-08-01T23:15:00</x:v>
      </x:c>
      <x:c r="C1622" s="39" t="str">
        <x:v>2026-08-01T23:45:00</x:v>
      </x:c>
      <x:c r="D1622" s="47" t="n">
        <x:v>30</x:v>
      </x:c>
      <x:c r="E1622" s="40" t="n">
        <x:v>16</x:v>
      </x:c>
      <x:c r="F1622" s="40" t="n">
        <x:v>14.807723999023438</x:v>
      </x:c>
      <x:c r="G1622" s="40" t="n">
        <x:v>16</x:v>
      </x:c>
      <x:c r="H1622" s="40" t="n">
        <x:f>F1622-E1622</x:f>
        <x:v>-1.1922760009765625</x:v>
      </x:c>
      <x:c r="I1622" s="40" t="n">
        <x:f>ABS(H1622)</x:f>
        <x:v>1.1922760009765625</x:v>
      </x:c>
      <x:c r="J1622" s="40" t="n">
        <x:f>H1622^2</x:f>
        <x:v>1.421522062504664</x:v>
      </x:c>
      <x:c r="K1622" s="40" t="n">
        <x:f>G1622-E1622</x:f>
        <x:v>0</x:v>
      </x:c>
      <x:c r="L1622" s="40" t="n">
        <x:f>ABS(K1622)</x:f>
        <x:v>0</x:v>
      </x:c>
      <x:c r="M1622" s="41" t="str">
        <x:v>lstm-soil-v1</x:v>
      </x:c>
    </x:row>
    <x:row r="1623">
      <x:c r="A1623" s="38" t="str">
        <x:v>7月30日现场数据</x:v>
      </x:c>
      <x:c r="B1623" s="39" t="str">
        <x:v>2026-08-01T23:15:00</x:v>
      </x:c>
      <x:c r="C1623" s="39" t="str">
        <x:v>2026-08-02T00:15:00</x:v>
      </x:c>
      <x:c r="D1623" s="47" t="n">
        <x:v>60</x:v>
      </x:c>
      <x:c r="E1623" s="40" t="n">
        <x:v>16</x:v>
      </x:c>
      <x:c r="F1623" s="40" t="n">
        <x:v>16.45697021484375</x:v>
      </x:c>
      <x:c r="G1623" s="40" t="n">
        <x:v>16</x:v>
      </x:c>
      <x:c r="H1623" s="40" t="n">
        <x:f>F1623-E1623</x:f>
        <x:v>0.45697021484375</x:v>
      </x:c>
      <x:c r="I1623" s="40" t="n">
        <x:f>ABS(H1623)</x:f>
        <x:v>0.45697021484375</x:v>
      </x:c>
      <x:c r="J1623" s="40" t="n">
        <x:f>H1623^2</x:f>
        <x:v>0.20882177725434303</x:v>
      </x:c>
      <x:c r="K1623" s="40" t="n">
        <x:f>G1623-E1623</x:f>
        <x:v>0</x:v>
      </x:c>
      <x:c r="L1623" s="40" t="n">
        <x:f>ABS(K1623)</x:f>
        <x:v>0</x:v>
      </x:c>
      <x:c r="M1623" s="41" t="str">
        <x:v>lstm-soil-v1</x:v>
      </x:c>
    </x:row>
    <x:row r="1624">
      <x:c r="A1624" s="38" t="str">
        <x:v>7月30日现场数据</x:v>
      </x:c>
      <x:c r="B1624" s="39" t="str">
        <x:v>2026-08-01T23:20:00</x:v>
      </x:c>
      <x:c r="C1624" s="39" t="str">
        <x:v>2026-08-01T23:25:00</x:v>
      </x:c>
      <x:c r="D1624" s="47" t="n">
        <x:v>5</x:v>
      </x:c>
      <x:c r="E1624" s="40" t="n">
        <x:v>16</x:v>
      </x:c>
      <x:c r="F1624" s="40" t="n">
        <x:v>14.341148376464844</x:v>
      </x:c>
      <x:c r="G1624" s="40" t="n">
        <x:v>16</x:v>
      </x:c>
      <x:c r="H1624" s="40" t="n">
        <x:f>F1624-E1624</x:f>
        <x:v>-1.6588516235351562</x:v>
      </x:c>
      <x:c r="I1624" s="40" t="n">
        <x:f>ABS(H1624)</x:f>
        <x:v>1.6588516235351562</x:v>
      </x:c>
      <x:c r="J1624" s="40" t="n">
        <x:f>H1624^2</x:f>
        <x:v>2.7517887089052238</x:v>
      </x:c>
      <x:c r="K1624" s="40" t="n">
        <x:f>G1624-E1624</x:f>
        <x:v>0</x:v>
      </x:c>
      <x:c r="L1624" s="40" t="n">
        <x:f>ABS(K1624)</x:f>
        <x:v>0</x:v>
      </x:c>
      <x:c r="M1624" s="41" t="str">
        <x:v>lstm-soil-v1</x:v>
      </x:c>
    </x:row>
    <x:row r="1625">
      <x:c r="A1625" s="38" t="str">
        <x:v>7月30日现场数据</x:v>
      </x:c>
      <x:c r="B1625" s="39" t="str">
        <x:v>2026-08-01T23:20:00</x:v>
      </x:c>
      <x:c r="C1625" s="39" t="str">
        <x:v>2026-08-01T23:35:00</x:v>
      </x:c>
      <x:c r="D1625" s="47" t="n">
        <x:v>15</x:v>
      </x:c>
      <x:c r="E1625" s="40" t="n">
        <x:v>16</x:v>
      </x:c>
      <x:c r="F1625" s="40" t="n">
        <x:v>14.41659927368164</x:v>
      </x:c>
      <x:c r="G1625" s="40" t="n">
        <x:v>16</x:v>
      </x:c>
      <x:c r="H1625" s="40" t="n">
        <x:f>F1625-E1625</x:f>
        <x:v>-1.5834007263183594</x:v>
      </x:c>
      <x:c r="I1625" s="40" t="n">
        <x:f>ABS(H1625)</x:f>
        <x:v>1.5834007263183594</x:v>
      </x:c>
      <x:c r="J1625" s="40" t="n">
        <x:f>H1625^2</x:f>
        <x:v>2.507157860105508</x:v>
      </x:c>
      <x:c r="K1625" s="40" t="n">
        <x:f>G1625-E1625</x:f>
        <x:v>0</x:v>
      </x:c>
      <x:c r="L1625" s="40" t="n">
        <x:f>ABS(K1625)</x:f>
        <x:v>0</x:v>
      </x:c>
      <x:c r="M1625" s="41" t="str">
        <x:v>lstm-soil-v1</x:v>
      </x:c>
    </x:row>
    <x:row r="1626">
      <x:c r="A1626" s="38" t="str">
        <x:v>7月30日现场数据</x:v>
      </x:c>
      <x:c r="B1626" s="39" t="str">
        <x:v>2026-08-01T23:20:00</x:v>
      </x:c>
      <x:c r="C1626" s="39" t="str">
        <x:v>2026-08-01T23:50:00</x:v>
      </x:c>
      <x:c r="D1626" s="47" t="n">
        <x:v>30</x:v>
      </x:c>
      <x:c r="E1626" s="40" t="n">
        <x:v>16</x:v>
      </x:c>
      <x:c r="F1626" s="40" t="n">
        <x:v>14.810600280761719</x:v>
      </x:c>
      <x:c r="G1626" s="40" t="n">
        <x:v>16</x:v>
      </x:c>
      <x:c r="H1626" s="40" t="n">
        <x:f>F1626-E1626</x:f>
        <x:v>-1.1893997192382812</x:v>
      </x:c>
      <x:c r="I1626" s="40" t="n">
        <x:f>ABS(H1626)</x:f>
        <x:v>1.1893997192382812</x:v>
      </x:c>
      <x:c r="J1626" s="40" t="n">
        <x:f>H1626^2</x:f>
        <x:v>1.4146716921241023</x:v>
      </x:c>
      <x:c r="K1626" s="40" t="n">
        <x:f>G1626-E1626</x:f>
        <x:v>0</x:v>
      </x:c>
      <x:c r="L1626" s="40" t="n">
        <x:f>ABS(K1626)</x:f>
        <x:v>0</x:v>
      </x:c>
      <x:c r="M1626" s="41" t="str">
        <x:v>lstm-soil-v1</x:v>
      </x:c>
    </x:row>
    <x:row r="1627">
      <x:c r="A1627" s="38" t="str">
        <x:v>7月30日现场数据</x:v>
      </x:c>
      <x:c r="B1627" s="39" t="str">
        <x:v>2026-08-01T23:20:00</x:v>
      </x:c>
      <x:c r="C1627" s="39" t="str">
        <x:v>2026-08-02T00:20:00</x:v>
      </x:c>
      <x:c r="D1627" s="47" t="n">
        <x:v>60</x:v>
      </x:c>
      <x:c r="E1627" s="40" t="n">
        <x:v>16</x:v>
      </x:c>
      <x:c r="F1627" s="40" t="n">
        <x:v>16.457439422607422</x:v>
      </x:c>
      <x:c r="G1627" s="40" t="n">
        <x:v>16</x:v>
      </x:c>
      <x:c r="H1627" s="40" t="n">
        <x:f>F1627-E1627</x:f>
        <x:v>0.4574394226074219</x:v>
      </x:c>
      <x:c r="I1627" s="40" t="n">
        <x:f>ABS(H1627)</x:f>
        <x:v>0.4574394226074219</x:v>
      </x:c>
      <x:c r="J1627" s="40" t="n">
        <x:f>H1627^2</x:f>
        <x:v>0.2092508253554115</x:v>
      </x:c>
      <x:c r="K1627" s="40" t="n">
        <x:f>G1627-E1627</x:f>
        <x:v>0</x:v>
      </x:c>
      <x:c r="L1627" s="40" t="n">
        <x:f>ABS(K1627)</x:f>
        <x:v>0</x:v>
      </x:c>
      <x:c r="M1627" s="41" t="str">
        <x:v>lstm-soil-v1</x:v>
      </x:c>
    </x:row>
    <x:row r="1628">
      <x:c r="A1628" s="38" t="str">
        <x:v>7月30日现场数据</x:v>
      </x:c>
      <x:c r="B1628" s="39" t="str">
        <x:v>2026-08-01T23:25:00</x:v>
      </x:c>
      <x:c r="C1628" s="39" t="str">
        <x:v>2026-08-01T23:30:00</x:v>
      </x:c>
      <x:c r="D1628" s="47" t="n">
        <x:v>5</x:v>
      </x:c>
      <x:c r="E1628" s="40" t="n">
        <x:v>16</x:v>
      </x:c>
      <x:c r="F1628" s="40" t="n">
        <x:v>14.341934204101562</x:v>
      </x:c>
      <x:c r="G1628" s="40" t="n">
        <x:v>16</x:v>
      </x:c>
      <x:c r="H1628" s="40" t="n">
        <x:f>F1628-E1628</x:f>
        <x:v>-1.6580657958984375</x:v>
      </x:c>
      <x:c r="I1628" s="40" t="n">
        <x:f>ABS(H1628)</x:f>
        <x:v>1.6580657958984375</x:v>
      </x:c>
      <x:c r="J1628" s="40" t="n">
        <x:f>H1628^2</x:f>
        <x:v>2.749182183528319</x:v>
      </x:c>
      <x:c r="K1628" s="40" t="n">
        <x:f>G1628-E1628</x:f>
        <x:v>0</x:v>
      </x:c>
      <x:c r="L1628" s="40" t="n">
        <x:f>ABS(K1628)</x:f>
        <x:v>0</x:v>
      </x:c>
      <x:c r="M1628" s="41" t="str">
        <x:v>lstm-soil-v1</x:v>
      </x:c>
    </x:row>
    <x:row r="1629">
      <x:c r="A1629" s="38" t="str">
        <x:v>7月30日现场数据</x:v>
      </x:c>
      <x:c r="B1629" s="39" t="str">
        <x:v>2026-08-01T23:25:00</x:v>
      </x:c>
      <x:c r="C1629" s="39" t="str">
        <x:v>2026-08-01T23:40:00</x:v>
      </x:c>
      <x:c r="D1629" s="47" t="n">
        <x:v>15</x:v>
      </x:c>
      <x:c r="E1629" s="40" t="n">
        <x:v>16</x:v>
      </x:c>
      <x:c r="F1629" s="40" t="n">
        <x:v>14.416793823242188</x:v>
      </x:c>
      <x:c r="G1629" s="40" t="n">
        <x:v>16</x:v>
      </x:c>
      <x:c r="H1629" s="40" t="n">
        <x:f>F1629-E1629</x:f>
        <x:v>-1.5832061767578125</x:v>
      </x:c>
      <x:c r="I1629" s="40" t="n">
        <x:f>ABS(H1629)</x:f>
        <x:v>1.5832061767578125</x:v>
      </x:c>
      <x:c r="J1629" s="40" t="n">
        <x:f>H1629^2</x:f>
        <x:v>2.50654179812409</x:v>
      </x:c>
      <x:c r="K1629" s="40" t="n">
        <x:f>G1629-E1629</x:f>
        <x:v>0</x:v>
      </x:c>
      <x:c r="L1629" s="40" t="n">
        <x:f>ABS(K1629)</x:f>
        <x:v>0</x:v>
      </x:c>
      <x:c r="M1629" s="41" t="str">
        <x:v>lstm-soil-v1</x:v>
      </x:c>
    </x:row>
    <x:row r="1630">
      <x:c r="A1630" s="38" t="str">
        <x:v>7月30日现场数据</x:v>
      </x:c>
      <x:c r="B1630" s="39" t="str">
        <x:v>2026-08-01T23:25:00</x:v>
      </x:c>
      <x:c r="C1630" s="39" t="str">
        <x:v>2026-08-01T23:55:00</x:v>
      </x:c>
      <x:c r="D1630" s="47" t="n">
        <x:v>30</x:v>
      </x:c>
      <x:c r="E1630" s="40" t="n">
        <x:v>16</x:v>
      </x:c>
      <x:c r="F1630" s="40" t="n">
        <x:v>14.813053131103516</x:v>
      </x:c>
      <x:c r="G1630" s="40" t="n">
        <x:v>16</x:v>
      </x:c>
      <x:c r="H1630" s="40" t="n">
        <x:f>F1630-E1630</x:f>
        <x:v>-1.1869468688964844</x:v>
      </x:c>
      <x:c r="I1630" s="40" t="n">
        <x:f>ABS(H1630)</x:f>
        <x:v>1.1869468688964844</x:v>
      </x:c>
      <x:c r="J1630" s="40" t="n">
        <x:f>H1630^2</x:f>
        <x:v>1.408842869583168</x:v>
      </x:c>
      <x:c r="K1630" s="40" t="n">
        <x:f>G1630-E1630</x:f>
        <x:v>0</x:v>
      </x:c>
      <x:c r="L1630" s="40" t="n">
        <x:f>ABS(K1630)</x:f>
        <x:v>0</x:v>
      </x:c>
      <x:c r="M1630" s="41" t="str">
        <x:v>lstm-soil-v1</x:v>
      </x:c>
    </x:row>
    <x:row r="1631">
      <x:c r="A1631" s="38" t="str">
        <x:v>7月30日现场数据</x:v>
      </x:c>
      <x:c r="B1631" s="39" t="str">
        <x:v>2026-08-01T23:25:00</x:v>
      </x:c>
      <x:c r="C1631" s="39" t="str">
        <x:v>2026-08-02T00:25:00</x:v>
      </x:c>
      <x:c r="D1631" s="47" t="n">
        <x:v>60</x:v>
      </x:c>
      <x:c r="E1631" s="40" t="n">
        <x:v>15.9</x:v>
      </x:c>
      <x:c r="F1631" s="40" t="n">
        <x:v>16.458248138427734</x:v>
      </x:c>
      <x:c r="G1631" s="40" t="n">
        <x:v>16</x:v>
      </x:c>
      <x:c r="H1631" s="40" t="n">
        <x:f>F1631-E1631</x:f>
        <x:v>0.558248138427734</x:v>
      </x:c>
      <x:c r="I1631" s="40" t="n">
        <x:f>ABS(H1631)</x:f>
        <x:v>0.558248138427734</x:v>
      </x:c>
      <x:c r="J1631" s="40" t="n">
        <x:f>H1631^2</x:f>
        <x:v>0.3116409840580305</x:v>
      </x:c>
      <x:c r="K1631" s="40" t="n">
        <x:f>G1631-E1631</x:f>
        <x:v>0.09999999999999964</x:v>
      </x:c>
      <x:c r="L1631" s="40" t="n">
        <x:f>ABS(K1631)</x:f>
        <x:v>0.09999999999999964</x:v>
      </x:c>
      <x:c r="M1631" s="41" t="str">
        <x:v>lstm-soil-v1</x:v>
      </x:c>
    </x:row>
    <x:row r="1632">
      <x:c r="A1632" s="38" t="str">
        <x:v>7月30日现场数据</x:v>
      </x:c>
      <x:c r="B1632" s="39" t="str">
        <x:v>2026-08-01T23:30:00</x:v>
      </x:c>
      <x:c r="C1632" s="39" t="str">
        <x:v>2026-08-01T23:35:00</x:v>
      </x:c>
      <x:c r="D1632" s="47" t="n">
        <x:v>5</x:v>
      </x:c>
      <x:c r="E1632" s="40" t="n">
        <x:v>16</x:v>
      </x:c>
      <x:c r="F1632" s="40" t="n">
        <x:v>14.342571258544922</x:v>
      </x:c>
      <x:c r="G1632" s="40" t="n">
        <x:v>16</x:v>
      </x:c>
      <x:c r="H1632" s="40" t="n">
        <x:f>F1632-E1632</x:f>
        <x:v>-1.6574287414550781</x:v>
      </x:c>
      <x:c r="I1632" s="40" t="n">
        <x:f>ABS(H1632)</x:f>
        <x:v>1.6574287414550781</x:v>
      </x:c>
      <x:c r="J1632" s="40" t="n">
        <x:f>H1632^2</x:f>
        <x:v>2.747070033001364</x:v>
      </x:c>
      <x:c r="K1632" s="40" t="n">
        <x:f>G1632-E1632</x:f>
        <x:v>0</x:v>
      </x:c>
      <x:c r="L1632" s="40" t="n">
        <x:f>ABS(K1632)</x:f>
        <x:v>0</x:v>
      </x:c>
      <x:c r="M1632" s="41" t="str">
        <x:v>lstm-soil-v1</x:v>
      </x:c>
    </x:row>
    <x:row r="1633">
      <x:c r="A1633" s="38" t="str">
        <x:v>7月30日现场数据</x:v>
      </x:c>
      <x:c r="B1633" s="39" t="str">
        <x:v>2026-08-01T23:30:00</x:v>
      </x:c>
      <x:c r="C1633" s="39" t="str">
        <x:v>2026-08-01T23:45:00</x:v>
      </x:c>
      <x:c r="D1633" s="47" t="n">
        <x:v>15</x:v>
      </x:c>
      <x:c r="E1633" s="40" t="n">
        <x:v>16</x:v>
      </x:c>
      <x:c r="F1633" s="40" t="n">
        <x:v>14.417041778564453</x:v>
      </x:c>
      <x:c r="G1633" s="40" t="n">
        <x:v>16</x:v>
      </x:c>
      <x:c r="H1633" s="40" t="n">
        <x:f>F1633-E1633</x:f>
        <x:v>-1.5829582214355469</x:v>
      </x:c>
      <x:c r="I1633" s="40" t="n">
        <x:f>ABS(H1633)</x:f>
        <x:v>1.5829582214355469</x:v>
      </x:c>
      <x:c r="J1633" s="40" t="n">
        <x:f>H1633^2</x:f>
        <x:v>2.50575673081039</x:v>
      </x:c>
      <x:c r="K1633" s="40" t="n">
        <x:f>G1633-E1633</x:f>
        <x:v>0</x:v>
      </x:c>
      <x:c r="L1633" s="40" t="n">
        <x:f>ABS(K1633)</x:f>
        <x:v>0</x:v>
      </x:c>
      <x:c r="M1633" s="41" t="str">
        <x:v>lstm-soil-v1</x:v>
      </x:c>
    </x:row>
    <x:row r="1634">
      <x:c r="A1634" s="38" t="str">
        <x:v>7月30日现场数据</x:v>
      </x:c>
      <x:c r="B1634" s="39" t="str">
        <x:v>2026-08-01T23:30:00</x:v>
      </x:c>
      <x:c r="C1634" s="39" t="str">
        <x:v>2026-08-02T00:00:00</x:v>
      </x:c>
      <x:c r="D1634" s="47" t="n">
        <x:v>30</x:v>
      </x:c>
      <x:c r="E1634" s="40" t="n">
        <x:v>16</x:v>
      </x:c>
      <x:c r="F1634" s="40" t="n">
        <x:v>14.814979553222656</x:v>
      </x:c>
      <x:c r="G1634" s="40" t="n">
        <x:v>16</x:v>
      </x:c>
      <x:c r="H1634" s="40" t="n">
        <x:f>F1634-E1634</x:f>
        <x:v>-1.1850204467773438</x:v>
      </x:c>
      <x:c r="I1634" s="40" t="n">
        <x:f>ABS(H1634)</x:f>
        <x:v>1.1850204467773438</x:v>
      </x:c>
      <x:c r="J1634" s="40" t="n">
        <x:f>H1634^2</x:f>
        <x:v>1.4042734592803754</x:v>
      </x:c>
      <x:c r="K1634" s="40" t="n">
        <x:f>G1634-E1634</x:f>
        <x:v>0</x:v>
      </x:c>
      <x:c r="L1634" s="40" t="n">
        <x:f>ABS(K1634)</x:f>
        <x:v>0</x:v>
      </x:c>
      <x:c r="M1634" s="41" t="str">
        <x:v>lstm-soil-v1</x:v>
      </x:c>
    </x:row>
    <x:row r="1635">
      <x:c r="A1635" s="38" t="str">
        <x:v>7月30日现场数据</x:v>
      </x:c>
      <x:c r="B1635" s="39" t="str">
        <x:v>2026-08-01T23:30:00</x:v>
      </x:c>
      <x:c r="C1635" s="39" t="str">
        <x:v>2026-08-02T00:30:00</x:v>
      </x:c>
      <x:c r="D1635" s="47" t="n">
        <x:v>60</x:v>
      </x:c>
      <x:c r="E1635" s="40" t="n">
        <x:v>15.9</x:v>
      </x:c>
      <x:c r="F1635" s="40" t="n">
        <x:v>16.459060668945312</x:v>
      </x:c>
      <x:c r="G1635" s="40" t="n">
        <x:v>16</x:v>
      </x:c>
      <x:c r="H1635" s="40" t="n">
        <x:f>F1635-E1635</x:f>
        <x:v>0.5590606689453121</x:v>
      </x:c>
      <x:c r="I1635" s="40" t="n">
        <x:f>ABS(H1635)</x:f>
        <x:v>0.5590606689453121</x:v>
      </x:c>
      <x:c r="J1635" s="40" t="n">
        <x:f>H1635^2</x:f>
        <x:v>0.3125488315615799</x:v>
      </x:c>
      <x:c r="K1635" s="40" t="n">
        <x:f>G1635-E1635</x:f>
        <x:v>0.09999999999999964</x:v>
      </x:c>
      <x:c r="L1635" s="40" t="n">
        <x:f>ABS(K1635)</x:f>
        <x:v>0.09999999999999964</x:v>
      </x:c>
      <x:c r="M1635" s="41" t="str">
        <x:v>lstm-soil-v1</x:v>
      </x:c>
    </x:row>
    <x:row r="1636">
      <x:c r="A1636" s="38" t="str">
        <x:v>7月30日现场数据</x:v>
      </x:c>
      <x:c r="B1636" s="39" t="str">
        <x:v>2026-08-01T23:35:00</x:v>
      </x:c>
      <x:c r="C1636" s="39" t="str">
        <x:v>2026-08-01T23:40:00</x:v>
      </x:c>
      <x:c r="D1636" s="47" t="n">
        <x:v>5</x:v>
      </x:c>
      <x:c r="E1636" s="40" t="n">
        <x:v>16</x:v>
      </x:c>
      <x:c r="F1636" s="40" t="n">
        <x:v>14.344497680664062</x:v>
      </x:c>
      <x:c r="G1636" s="40" t="n">
        <x:v>16</x:v>
      </x:c>
      <x:c r="H1636" s="40" t="n">
        <x:f>F1636-E1636</x:f>
        <x:v>-1.6555023193359375</x:v>
      </x:c>
      <x:c r="I1636" s="40" t="n">
        <x:f>ABS(H1636)</x:f>
        <x:v>1.6555023193359375</x:v>
      </x:c>
      <x:c r="J1636" s="40" t="n">
        <x:f>H1636^2</x:f>
        <x:v>2.7406879293266684</x:v>
      </x:c>
      <x:c r="K1636" s="40" t="n">
        <x:f>G1636-E1636</x:f>
        <x:v>0</x:v>
      </x:c>
      <x:c r="L1636" s="40" t="n">
        <x:f>ABS(K1636)</x:f>
        <x:v>0</x:v>
      </x:c>
      <x:c r="M1636" s="41" t="str">
        <x:v>lstm-soil-v1</x:v>
      </x:c>
    </x:row>
    <x:row r="1637">
      <x:c r="A1637" s="38" t="str">
        <x:v>7月30日现场数据</x:v>
      </x:c>
      <x:c r="B1637" s="39" t="str">
        <x:v>2026-08-01T23:35:00</x:v>
      </x:c>
      <x:c r="C1637" s="39" t="str">
        <x:v>2026-08-01T23:50:00</x:v>
      </x:c>
      <x:c r="D1637" s="47" t="n">
        <x:v>15</x:v>
      </x:c>
      <x:c r="E1637" s="40" t="n">
        <x:v>16</x:v>
      </x:c>
      <x:c r="F1637" s="40" t="n">
        <x:v>14.418903350830078</x:v>
      </x:c>
      <x:c r="G1637" s="40" t="n">
        <x:v>16</x:v>
      </x:c>
      <x:c r="H1637" s="40" t="n">
        <x:f>F1637-E1637</x:f>
        <x:v>-1.5810966491699219</x:v>
      </x:c>
      <x:c r="I1637" s="40" t="n">
        <x:f>ABS(H1637)</x:f>
        <x:v>1.5810966491699219</x:v>
      </x:c>
      <x:c r="J1637" s="40" t="n">
        <x:f>H1637^2</x:f>
        <x:v>2.499866614016355</x:v>
      </x:c>
      <x:c r="K1637" s="40" t="n">
        <x:f>G1637-E1637</x:f>
        <x:v>0</x:v>
      </x:c>
      <x:c r="L1637" s="40" t="n">
        <x:f>ABS(K1637)</x:f>
        <x:v>0</x:v>
      </x:c>
      <x:c r="M1637" s="41" t="str">
        <x:v>lstm-soil-v1</x:v>
      </x:c>
    </x:row>
    <x:row r="1638">
      <x:c r="A1638" s="38" t="str">
        <x:v>7月30日现场数据</x:v>
      </x:c>
      <x:c r="B1638" s="39" t="str">
        <x:v>2026-08-01T23:35:00</x:v>
      </x:c>
      <x:c r="C1638" s="39" t="str">
        <x:v>2026-08-02T00:05:00</x:v>
      </x:c>
      <x:c r="D1638" s="47" t="n">
        <x:v>30</x:v>
      </x:c>
      <x:c r="E1638" s="40" t="n">
        <x:v>16</x:v>
      </x:c>
      <x:c r="F1638" s="40" t="n">
        <x:v>14.818500518798828</x:v>
      </x:c>
      <x:c r="G1638" s="40" t="n">
        <x:v>16</x:v>
      </x:c>
      <x:c r="H1638" s="40" t="n">
        <x:f>F1638-E1638</x:f>
        <x:v>-1.1814994812011719</x:v>
      </x:c>
      <x:c r="I1638" s="40" t="n">
        <x:f>ABS(H1638)</x:f>
        <x:v>1.1814994812011719</x:v>
      </x:c>
      <x:c r="J1638" s="40" t="n">
        <x:f>H1638^2</x:f>
        <x:v>1.3959410240786383</x:v>
      </x:c>
      <x:c r="K1638" s="40" t="n">
        <x:f>G1638-E1638</x:f>
        <x:v>0</x:v>
      </x:c>
      <x:c r="L1638" s="40" t="n">
        <x:f>ABS(K1638)</x:f>
        <x:v>0</x:v>
      </x:c>
      <x:c r="M1638" s="41" t="str">
        <x:v>lstm-soil-v1</x:v>
      </x:c>
    </x:row>
    <x:row r="1639">
      <x:c r="A1639" s="38" t="str">
        <x:v>7月30日现场数据</x:v>
      </x:c>
      <x:c r="B1639" s="39" t="str">
        <x:v>2026-08-01T23:35:00</x:v>
      </x:c>
      <x:c r="C1639" s="39" t="str">
        <x:v>2026-08-02T00:35:00</x:v>
      </x:c>
      <x:c r="D1639" s="47" t="n">
        <x:v>60</x:v>
      </x:c>
      <x:c r="E1639" s="40" t="n">
        <x:v>16</x:v>
      </x:c>
      <x:c r="F1639" s="40" t="n">
        <x:v>16.46331787109375</x:v>
      </x:c>
      <x:c r="G1639" s="40" t="n">
        <x:v>16</x:v>
      </x:c>
      <x:c r="H1639" s="40" t="n">
        <x:f>F1639-E1639</x:f>
        <x:v>0.46331787109375</x:v>
      </x:c>
      <x:c r="I1639" s="40" t="n">
        <x:f>ABS(H1639)</x:f>
        <x:v>0.46331787109375</x:v>
      </x:c>
      <x:c r="J1639" s="40" t="n">
        <x:f>H1639^2</x:f>
        <x:v>0.21466344967484474</x:v>
      </x:c>
      <x:c r="K1639" s="40" t="n">
        <x:f>G1639-E1639</x:f>
        <x:v>0</x:v>
      </x:c>
      <x:c r="L1639" s="40" t="n">
        <x:f>ABS(K1639)</x:f>
        <x:v>0</x:v>
      </x:c>
      <x:c r="M1639" s="41" t="str">
        <x:v>lstm-soil-v1</x:v>
      </x:c>
    </x:row>
    <x:row r="1640">
      <x:c r="A1640" s="38" t="str">
        <x:v>7月30日现场数据</x:v>
      </x:c>
      <x:c r="B1640" s="39" t="str">
        <x:v>2026-08-01T23:40:00</x:v>
      </x:c>
      <x:c r="C1640" s="39" t="str">
        <x:v>2026-08-01T23:45:00</x:v>
      </x:c>
      <x:c r="D1640" s="47" t="n">
        <x:v>5</x:v>
      </x:c>
      <x:c r="E1640" s="40" t="n">
        <x:v>16</x:v>
      </x:c>
      <x:c r="F1640" s="40" t="n">
        <x:v>14.34286880493164</x:v>
      </x:c>
      <x:c r="G1640" s="40" t="n">
        <x:v>16</x:v>
      </x:c>
      <x:c r="H1640" s="40" t="n">
        <x:f>F1640-E1640</x:f>
        <x:v>-1.6571311950683594</x:v>
      </x:c>
      <x:c r="I1640" s="40" t="n">
        <x:f>ABS(H1640)</x:f>
        <x:v>1.6571311950683594</x:v>
      </x:c>
      <x:c r="J1640" s="40" t="n">
        <x:f>H1640^2</x:f>
        <x:v>2.746083797668689</x:v>
      </x:c>
      <x:c r="K1640" s="40" t="n">
        <x:f>G1640-E1640</x:f>
        <x:v>0</x:v>
      </x:c>
      <x:c r="L1640" s="40" t="n">
        <x:f>ABS(K1640)</x:f>
        <x:v>0</x:v>
      </x:c>
      <x:c r="M1640" s="41" t="str">
        <x:v>lstm-soil-v1</x:v>
      </x:c>
    </x:row>
    <x:row r="1641">
      <x:c r="A1641" s="38" t="str">
        <x:v>7月30日现场数据</x:v>
      </x:c>
      <x:c r="B1641" s="39" t="str">
        <x:v>2026-08-01T23:40:00</x:v>
      </x:c>
      <x:c r="C1641" s="39" t="str">
        <x:v>2026-08-01T23:55:00</x:v>
      </x:c>
      <x:c r="D1641" s="47" t="n">
        <x:v>15</x:v>
      </x:c>
      <x:c r="E1641" s="40" t="n">
        <x:v>16</x:v>
      </x:c>
      <x:c r="F1641" s="40" t="n">
        <x:v>14.419258117675781</x:v>
      </x:c>
      <x:c r="G1641" s="40" t="n">
        <x:v>16</x:v>
      </x:c>
      <x:c r="H1641" s="40" t="n">
        <x:f>F1641-E1641</x:f>
        <x:v>-1.5807418823242188</x:v>
      </x:c>
      <x:c r="I1641" s="40" t="n">
        <x:f>ABS(H1641)</x:f>
        <x:v>1.5807418823242188</x:v>
      </x:c>
      <x:c r="J1641" s="40" t="n">
        <x:f>H1641^2</x:f>
        <x:v>2.4987448985339142</x:v>
      </x:c>
      <x:c r="K1641" s="40" t="n">
        <x:f>G1641-E1641</x:f>
        <x:v>0</x:v>
      </x:c>
      <x:c r="L1641" s="40" t="n">
        <x:f>ABS(K1641)</x:f>
        <x:v>0</x:v>
      </x:c>
      <x:c r="M1641" s="41" t="str">
        <x:v>lstm-soil-v1</x:v>
      </x:c>
    </x:row>
    <x:row r="1642">
      <x:c r="A1642" s="38" t="str">
        <x:v>7月30日现场数据</x:v>
      </x:c>
      <x:c r="B1642" s="39" t="str">
        <x:v>2026-08-01T23:40:00</x:v>
      </x:c>
      <x:c r="C1642" s="39" t="str">
        <x:v>2026-08-02T00:10:00</x:v>
      </x:c>
      <x:c r="D1642" s="47" t="n">
        <x:v>30</x:v>
      </x:c>
      <x:c r="E1642" s="40" t="n">
        <x:v>16</x:v>
      </x:c>
      <x:c r="F1642" s="40" t="n">
        <x:v>14.815860748291016</x:v>
      </x:c>
      <x:c r="G1642" s="40" t="n">
        <x:v>16</x:v>
      </x:c>
      <x:c r="H1642" s="40" t="n">
        <x:f>F1642-E1642</x:f>
        <x:v>-1.1841392517089844</x:v>
      </x:c>
      <x:c r="I1642" s="40" t="n">
        <x:f>ABS(H1642)</x:f>
        <x:v>1.1841392517089844</x:v>
      </x:c>
      <x:c r="J1642" s="40" t="n">
        <x:f>H1642^2</x:f>
        <x:v>1.4021857674379135</x:v>
      </x:c>
      <x:c r="K1642" s="40" t="n">
        <x:f>G1642-E1642</x:f>
        <x:v>0</x:v>
      </x:c>
      <x:c r="L1642" s="40" t="n">
        <x:f>ABS(K1642)</x:f>
        <x:v>0</x:v>
      </x:c>
      <x:c r="M1642" s="41" t="str">
        <x:v>lstm-soil-v1</x:v>
      </x:c>
    </x:row>
    <x:row r="1643">
      <x:c r="A1643" s="38" t="str">
        <x:v>7月30日现场数据</x:v>
      </x:c>
      <x:c r="B1643" s="39" t="str">
        <x:v>2026-08-01T23:40:00</x:v>
      </x:c>
      <x:c r="C1643" s="39" t="str">
        <x:v>2026-08-02T00:40:00</x:v>
      </x:c>
      <x:c r="D1643" s="47" t="n">
        <x:v>60</x:v>
      </x:c>
      <x:c r="E1643" s="40" t="n">
        <x:v>16</x:v>
      </x:c>
      <x:c r="F1643" s="40" t="n">
        <x:v>16.458168029785156</x:v>
      </x:c>
      <x:c r="G1643" s="40" t="n">
        <x:v>16</x:v>
      </x:c>
      <x:c r="H1643" s="40" t="n">
        <x:f>F1643-E1643</x:f>
        <x:v>0.45816802978515625</x:v>
      </x:c>
      <x:c r="I1643" s="40" t="n">
        <x:f>ABS(H1643)</x:f>
        <x:v>0.45816802978515625</x:v>
      </x:c>
      <x:c r="J1643" s="40" t="n">
        <x:f>H1643^2</x:f>
        <x:v>0.20991794351721182</x:v>
      </x:c>
      <x:c r="K1643" s="40" t="n">
        <x:f>G1643-E1643</x:f>
        <x:v>0</x:v>
      </x:c>
      <x:c r="L1643" s="40" t="n">
        <x:f>ABS(K1643)</x:f>
        <x:v>0</x:v>
      </x:c>
      <x:c r="M1643" s="41" t="str">
        <x:v>lstm-soil-v1</x:v>
      </x:c>
    </x:row>
    <x:row r="1644">
      <x:c r="A1644" s="38" t="str">
        <x:v>7月30日现场数据</x:v>
      </x:c>
      <x:c r="B1644" s="39" t="str">
        <x:v>2026-08-01T23:45:00</x:v>
      </x:c>
      <x:c r="C1644" s="39" t="str">
        <x:v>2026-08-01T23:50:00</x:v>
      </x:c>
      <x:c r="D1644" s="47" t="n">
        <x:v>5</x:v>
      </x:c>
      <x:c r="E1644" s="40" t="n">
        <x:v>16</x:v>
      </x:c>
      <x:c r="F1644" s="40" t="n">
        <x:v>14.342948913574219</x:v>
      </x:c>
      <x:c r="G1644" s="40" t="n">
        <x:v>16</x:v>
      </x:c>
      <x:c r="H1644" s="40" t="n">
        <x:f>F1644-E1644</x:f>
        <x:v>-1.6570510864257812</x:v>
      </x:c>
      <x:c r="I1644" s="40" t="n">
        <x:f>ABS(H1644)</x:f>
        <x:v>1.6570510864257812</x:v>
      </x:c>
      <x:c r="J1644" s="40" t="n">
        <x:f>H1644^2</x:f>
        <x:v>2.745818303024862</x:v>
      </x:c>
      <x:c r="K1644" s="40" t="n">
        <x:f>G1644-E1644</x:f>
        <x:v>0</x:v>
      </x:c>
      <x:c r="L1644" s="40" t="n">
        <x:f>ABS(K1644)</x:f>
        <x:v>0</x:v>
      </x:c>
      <x:c r="M1644" s="41" t="str">
        <x:v>lstm-soil-v1</x:v>
      </x:c>
    </x:row>
    <x:row r="1645">
      <x:c r="A1645" s="38" t="str">
        <x:v>7月30日现场数据</x:v>
      </x:c>
      <x:c r="B1645" s="39" t="str">
        <x:v>2026-08-01T23:45:00</x:v>
      </x:c>
      <x:c r="C1645" s="39" t="str">
        <x:v>2026-08-02T00:00:00</x:v>
      </x:c>
      <x:c r="D1645" s="47" t="n">
        <x:v>15</x:v>
      </x:c>
      <x:c r="E1645" s="40" t="n">
        <x:v>16</x:v>
      </x:c>
      <x:c r="F1645" s="40" t="n">
        <x:v>14.418140411376953</x:v>
      </x:c>
      <x:c r="G1645" s="40" t="n">
        <x:v>16</x:v>
      </x:c>
      <x:c r="H1645" s="40" t="n">
        <x:f>F1645-E1645</x:f>
        <x:v>-1.5818595886230469</x:v>
      </x:c>
      <x:c r="I1645" s="40" t="n">
        <x:f>ABS(H1645)</x:f>
        <x:v>1.5818595886230469</x:v>
      </x:c>
      <x:c r="J1645" s="40" t="n">
        <x:f>H1645^2</x:f>
        <x:v>2.502279758118675</x:v>
      </x:c>
      <x:c r="K1645" s="40" t="n">
        <x:f>G1645-E1645</x:f>
        <x:v>0</x:v>
      </x:c>
      <x:c r="L1645" s="40" t="n">
        <x:f>ABS(K1645)</x:f>
        <x:v>0</x:v>
      </x:c>
      <x:c r="M1645" s="41" t="str">
        <x:v>lstm-soil-v1</x:v>
      </x:c>
    </x:row>
    <x:row r="1646">
      <x:c r="A1646" s="38" t="str">
        <x:v>7月30日现场数据</x:v>
      </x:c>
      <x:c r="B1646" s="39" t="str">
        <x:v>2026-08-01T23:45:00</x:v>
      </x:c>
      <x:c r="C1646" s="39" t="str">
        <x:v>2026-08-02T00:15:00</x:v>
      </x:c>
      <x:c r="D1646" s="47" t="n">
        <x:v>30</x:v>
      </x:c>
      <x:c r="E1646" s="40" t="n">
        <x:v>16</x:v>
      </x:c>
      <x:c r="F1646" s="40" t="n">
        <x:v>14.815662384033203</x:v>
      </x:c>
      <x:c r="G1646" s="40" t="n">
        <x:v>16</x:v>
      </x:c>
      <x:c r="H1646" s="40" t="n">
        <x:f>F1646-E1646</x:f>
        <x:v>-1.1843376159667969</x:v>
      </x:c>
      <x:c r="I1646" s="40" t="n">
        <x:f>ABS(H1646)</x:f>
        <x:v>1.1843376159667969</x:v>
      </x:c>
      <x:c r="J1646" s="40" t="n">
        <x:f>H1646^2</x:f>
        <x:v>1.402655588593916</x:v>
      </x:c>
      <x:c r="K1646" s="40" t="n">
        <x:f>G1646-E1646</x:f>
        <x:v>0</x:v>
      </x:c>
      <x:c r="L1646" s="40" t="n">
        <x:f>ABS(K1646)</x:f>
        <x:v>0</x:v>
      </x:c>
      <x:c r="M1646" s="41" t="str">
        <x:v>lstm-soil-v1</x:v>
      </x:c>
    </x:row>
    <x:row r="1647">
      <x:c r="A1647" s="38" t="str">
        <x:v>7月30日现场数据</x:v>
      </x:c>
      <x:c r="B1647" s="39" t="str">
        <x:v>2026-08-01T23:45:00</x:v>
      </x:c>
      <x:c r="C1647" s="39" t="str">
        <x:v>2026-08-02T00:45:00</x:v>
      </x:c>
      <x:c r="D1647" s="47" t="n">
        <x:v>60</x:v>
      </x:c>
      <x:c r="E1647" s="40" t="n">
        <x:v>15.9</x:v>
      </x:c>
      <x:c r="F1647" s="40" t="n">
        <x:v>16.458690643310547</x:v>
      </x:c>
      <x:c r="G1647" s="40" t="n">
        <x:v>16</x:v>
      </x:c>
      <x:c r="H1647" s="40" t="n">
        <x:f>F1647-E1647</x:f>
        <x:v>0.5586906433105465</x:v>
      </x:c>
      <x:c r="I1647" s="40" t="n">
        <x:f>ABS(H1647)</x:f>
        <x:v>0.5586906433105465</x:v>
      </x:c>
      <x:c r="J1647" s="40" t="n">
        <x:f>H1647^2</x:f>
        <x:v>0.3121352349227523</x:v>
      </x:c>
      <x:c r="K1647" s="40" t="n">
        <x:f>G1647-E1647</x:f>
        <x:v>0.09999999999999964</x:v>
      </x:c>
      <x:c r="L1647" s="40" t="n">
        <x:f>ABS(K1647)</x:f>
        <x:v>0.09999999999999964</x:v>
      </x:c>
      <x:c r="M1647" s="41" t="str">
        <x:v>lstm-soil-v1</x:v>
      </x:c>
    </x:row>
    <x:row r="1648">
      <x:c r="A1648" s="38" t="str">
        <x:v>7月30日现场数据</x:v>
      </x:c>
      <x:c r="B1648" s="39" t="str">
        <x:v>2026-08-01T23:50:00</x:v>
      </x:c>
      <x:c r="C1648" s="39" t="str">
        <x:v>2026-08-01T23:55:00</x:v>
      </x:c>
      <x:c r="D1648" s="47" t="n">
        <x:v>5</x:v>
      </x:c>
      <x:c r="E1648" s="40" t="n">
        <x:v>16</x:v>
      </x:c>
      <x:c r="F1648" s="40" t="n">
        <x:v>14.343318939208984</x:v>
      </x:c>
      <x:c r="G1648" s="40" t="n">
        <x:v>16</x:v>
      </x:c>
      <x:c r="H1648" s="40" t="n">
        <x:f>F1648-E1648</x:f>
        <x:v>-1.6566810607910156</x:v>
      </x:c>
      <x:c r="I1648" s="40" t="n">
        <x:f>ABS(H1648)</x:f>
        <x:v>1.6566810607910156</x:v>
      </x:c>
      <x:c r="J1648" s="40" t="n">
        <x:f>H1648^2</x:f>
        <x:v>2.744592137183645</x:v>
      </x:c>
      <x:c r="K1648" s="40" t="n">
        <x:f>G1648-E1648</x:f>
        <x:v>0</x:v>
      </x:c>
      <x:c r="L1648" s="40" t="n">
        <x:f>ABS(K1648)</x:f>
        <x:v>0</x:v>
      </x:c>
      <x:c r="M1648" s="41" t="str">
        <x:v>lstm-soil-v1</x:v>
      </x:c>
    </x:row>
    <x:row r="1649">
      <x:c r="A1649" s="38" t="str">
        <x:v>7月30日现场数据</x:v>
      </x:c>
      <x:c r="B1649" s="39" t="str">
        <x:v>2026-08-01T23:50:00</x:v>
      </x:c>
      <x:c r="C1649" s="39" t="str">
        <x:v>2026-08-02T00:05:00</x:v>
      </x:c>
      <x:c r="D1649" s="47" t="n">
        <x:v>15</x:v>
      </x:c>
      <x:c r="E1649" s="40" t="n">
        <x:v>16</x:v>
      </x:c>
      <x:c r="F1649" s="40" t="n">
        <x:v>14.417652130126953</x:v>
      </x:c>
      <x:c r="G1649" s="40" t="n">
        <x:v>16</x:v>
      </x:c>
      <x:c r="H1649" s="40" t="n">
        <x:f>F1649-E1649</x:f>
        <x:v>-1.5823478698730469</x:v>
      </x:c>
      <x:c r="I1649" s="40" t="n">
        <x:f>ABS(H1649)</x:f>
        <x:v>1.5823478698730469</x:v>
      </x:c>
      <x:c r="J1649" s="40" t="n">
        <x:f>H1649^2</x:f>
        <x:v>2.503824781291769</x:v>
      </x:c>
      <x:c r="K1649" s="40" t="n">
        <x:f>G1649-E1649</x:f>
        <x:v>0</x:v>
      </x:c>
      <x:c r="L1649" s="40" t="n">
        <x:f>ABS(K1649)</x:f>
        <x:v>0</x:v>
      </x:c>
      <x:c r="M1649" s="41" t="str">
        <x:v>lstm-soil-v1</x:v>
      </x:c>
    </x:row>
    <x:row r="1650">
      <x:c r="A1650" s="38" t="str">
        <x:v>7月30日现场数据</x:v>
      </x:c>
      <x:c r="B1650" s="39" t="str">
        <x:v>2026-08-01T23:50:00</x:v>
      </x:c>
      <x:c r="C1650" s="39" t="str">
        <x:v>2026-08-02T00:20:00</x:v>
      </x:c>
      <x:c r="D1650" s="47" t="n">
        <x:v>30</x:v>
      </x:c>
      <x:c r="E1650" s="40" t="n">
        <x:v>16</x:v>
      </x:c>
      <x:c r="F1650" s="40" t="n">
        <x:v>14.816539764404297</x:v>
      </x:c>
      <x:c r="G1650" s="40" t="n">
        <x:v>16</x:v>
      </x:c>
      <x:c r="H1650" s="40" t="n">
        <x:f>F1650-E1650</x:f>
        <x:v>-1.1834602355957031</x:v>
      </x:c>
      <x:c r="I1650" s="40" t="n">
        <x:f>ABS(H1650)</x:f>
        <x:v>1.1834602355957031</x:v>
      </x:c>
      <x:c r="J1650" s="40" t="n">
        <x:f>H1650^2</x:f>
        <x:v>1.4005781292362371</x:v>
      </x:c>
      <x:c r="K1650" s="40" t="n">
        <x:f>G1650-E1650</x:f>
        <x:v>0</x:v>
      </x:c>
      <x:c r="L1650" s="40" t="n">
        <x:f>ABS(K1650)</x:f>
        <x:v>0</x:v>
      </x:c>
      <x:c r="M1650" s="41" t="str">
        <x:v>lstm-soil-v1</x:v>
      </x:c>
    </x:row>
    <x:row r="1651">
      <x:c r="A1651" s="38" t="str">
        <x:v>7月30日现场数据</x:v>
      </x:c>
      <x:c r="B1651" s="39" t="str">
        <x:v>2026-08-01T23:50:00</x:v>
      </x:c>
      <x:c r="C1651" s="39" t="str">
        <x:v>2026-08-02T00:50:00</x:v>
      </x:c>
      <x:c r="D1651" s="47" t="n">
        <x:v>60</x:v>
      </x:c>
      <x:c r="E1651" s="40" t="n">
        <x:v>15.9</x:v>
      </x:c>
      <x:c r="F1651" s="40" t="n">
        <x:v>16.459732055664062</x:v>
      </x:c>
      <x:c r="G1651" s="40" t="n">
        <x:v>16</x:v>
      </x:c>
      <x:c r="H1651" s="40" t="n">
        <x:f>F1651-E1651</x:f>
        <x:v>0.5597320556640621</x:v>
      </x:c>
      <x:c r="I1651" s="40" t="n">
        <x:f>ABS(H1651)</x:f>
        <x:v>0.5597320556640621</x:v>
      </x:c>
      <x:c r="J1651" s="40" t="n">
        <x:f>H1651^2</x:f>
        <x:v>0.31329997413791677</x:v>
      </x:c>
      <x:c r="K1651" s="40" t="n">
        <x:f>G1651-E1651</x:f>
        <x:v>0.09999999999999964</x:v>
      </x:c>
      <x:c r="L1651" s="40" t="n">
        <x:f>ABS(K1651)</x:f>
        <x:v>0.09999999999999964</x:v>
      </x:c>
      <x:c r="M1651" s="41" t="str">
        <x:v>lstm-soil-v1</x:v>
      </x:c>
    </x:row>
    <x:row r="1652">
      <x:c r="A1652" s="38" t="str">
        <x:v>7月30日现场数据</x:v>
      </x:c>
      <x:c r="B1652" s="39" t="str">
        <x:v>2026-08-01T23:55:00</x:v>
      </x:c>
      <x:c r="C1652" s="39" t="str">
        <x:v>2026-08-02T00:00:00</x:v>
      </x:c>
      <x:c r="D1652" s="47" t="n">
        <x:v>5</x:v>
      </x:c>
      <x:c r="E1652" s="40" t="n">
        <x:v>16</x:v>
      </x:c>
      <x:c r="F1652" s="40" t="n">
        <x:v>14.343589782714844</x:v>
      </x:c>
      <x:c r="G1652" s="40" t="n">
        <x:v>16</x:v>
      </x:c>
      <x:c r="H1652" s="40" t="n">
        <x:f>F1652-E1652</x:f>
        <x:v>-1.6564102172851562</x:v>
      </x:c>
      <x:c r="I1652" s="40" t="n">
        <x:f>ABS(H1652)</x:f>
        <x:v>1.6564102172851562</x:v>
      </x:c>
      <x:c r="J1652" s="40" t="n">
        <x:f>H1652^2</x:f>
        <x:v>2.7436948079266585</x:v>
      </x:c>
      <x:c r="K1652" s="40" t="n">
        <x:f>G1652-E1652</x:f>
        <x:v>0</x:v>
      </x:c>
      <x:c r="L1652" s="40" t="n">
        <x:f>ABS(K1652)</x:f>
        <x:v>0</x:v>
      </x:c>
      <x:c r="M1652" s="41" t="str">
        <x:v>lstm-soil-v1</x:v>
      </x:c>
    </x:row>
    <x:row r="1653">
      <x:c r="A1653" s="38" t="str">
        <x:v>7月30日现场数据</x:v>
      </x:c>
      <x:c r="B1653" s="39" t="str">
        <x:v>2026-08-01T23:55:00</x:v>
      </x:c>
      <x:c r="C1653" s="39" t="str">
        <x:v>2026-08-02T00:10:00</x:v>
      </x:c>
      <x:c r="D1653" s="47" t="n">
        <x:v>15</x:v>
      </x:c>
      <x:c r="E1653" s="40" t="n">
        <x:v>16</x:v>
      </x:c>
      <x:c r="F1653" s="40" t="n">
        <x:v>14.417545318603516</x:v>
      </x:c>
      <x:c r="G1653" s="40" t="n">
        <x:v>16</x:v>
      </x:c>
      <x:c r="H1653" s="40" t="n">
        <x:f>F1653-E1653</x:f>
        <x:v>-1.5824546813964844</x:v>
      </x:c>
      <x:c r="I1653" s="40" t="n">
        <x:f>ABS(H1653)</x:f>
        <x:v>1.5824546813964844</x:v>
      </x:c>
      <x:c r="J1653" s="40" t="n">
        <x:f>H1653^2</x:f>
        <x:v>2.504162818673649</x:v>
      </x:c>
      <x:c r="K1653" s="40" t="n">
        <x:f>G1653-E1653</x:f>
        <x:v>0</x:v>
      </x:c>
      <x:c r="L1653" s="40" t="n">
        <x:f>ABS(K1653)</x:f>
        <x:v>0</x:v>
      </x:c>
      <x:c r="M1653" s="41" t="str">
        <x:v>lstm-soil-v1</x:v>
      </x:c>
    </x:row>
    <x:row r="1654">
      <x:c r="A1654" s="38" t="str">
        <x:v>7月30日现场数据</x:v>
      </x:c>
      <x:c r="B1654" s="39" t="str">
        <x:v>2026-08-01T23:55:00</x:v>
      </x:c>
      <x:c r="C1654" s="39" t="str">
        <x:v>2026-08-02T00:25:00</x:v>
      </x:c>
      <x:c r="D1654" s="47" t="n">
        <x:v>30</x:v>
      </x:c>
      <x:c r="E1654" s="40" t="n">
        <x:v>15.9</x:v>
      </x:c>
      <x:c r="F1654" s="40" t="n">
        <x:v>14.817317962646484</x:v>
      </x:c>
      <x:c r="G1654" s="40" t="n">
        <x:v>16</x:v>
      </x:c>
      <x:c r="H1654" s="40" t="n">
        <x:f>F1654-E1654</x:f>
        <x:v>-1.082682037353516</x:v>
      </x:c>
      <x:c r="I1654" s="40" t="n">
        <x:f>ABS(H1654)</x:f>
        <x:v>1.082682037353516</x:v>
      </x:c>
      <x:c r="J1654" s="40" t="n">
        <x:f>H1654^2</x:f>
        <x:v>1.1722003940079602</x:v>
      </x:c>
      <x:c r="K1654" s="40" t="n">
        <x:f>G1654-E1654</x:f>
        <x:v>0.09999999999999964</x:v>
      </x:c>
      <x:c r="L1654" s="40" t="n">
        <x:f>ABS(K1654)</x:f>
        <x:v>0.09999999999999964</x:v>
      </x:c>
      <x:c r="M1654" s="41" t="str">
        <x:v>lstm-soil-v1</x:v>
      </x:c>
    </x:row>
    <x:row r="1655">
      <x:c r="A1655" s="38" t="str">
        <x:v>7月30日现场数据</x:v>
      </x:c>
      <x:c r="B1655" s="39" t="str">
        <x:v>2026-08-01T23:55:00</x:v>
      </x:c>
      <x:c r="C1655" s="39" t="str">
        <x:v>2026-08-02T00:55:00</x:v>
      </x:c>
      <x:c r="D1655" s="47" t="n">
        <x:v>60</x:v>
      </x:c>
      <x:c r="E1655" s="40" t="n">
        <x:v>15.9</x:v>
      </x:c>
      <x:c r="F1655" s="40" t="n">
        <x:v>16.46014404296875</x:v>
      </x:c>
      <x:c r="G1655" s="40" t="n">
        <x:v>16</x:v>
      </x:c>
      <x:c r="H1655" s="40" t="n">
        <x:f>F1655-E1655</x:f>
        <x:v>0.5601440429687496</x:v>
      </x:c>
      <x:c r="I1655" s="40" t="n">
        <x:f>ABS(H1655)</x:f>
        <x:v>0.5601440429687496</x:v>
      </x:c>
      <x:c r="J1655" s="40" t="n">
        <x:f>H1655^2</x:f>
        <x:v>0.3137613488733764</x:v>
      </x:c>
      <x:c r="K1655" s="40" t="n">
        <x:f>G1655-E1655</x:f>
        <x:v>0.09999999999999964</x:v>
      </x:c>
      <x:c r="L1655" s="40" t="n">
        <x:f>ABS(K1655)</x:f>
        <x:v>0.09999999999999964</x:v>
      </x:c>
      <x:c r="M1655" s="41" t="str">
        <x:v>lstm-soil-v1</x:v>
      </x:c>
    </x:row>
    <x:row r="1656">
      <x:c r="A1656" s="38" t="str">
        <x:v>7月30日现场数据</x:v>
      </x:c>
      <x:c r="B1656" s="39" t="str">
        <x:v>2026-08-02T00:00:00</x:v>
      </x:c>
      <x:c r="C1656" s="39" t="str">
        <x:v>2026-08-02T00:05:00</x:v>
      </x:c>
      <x:c r="D1656" s="47" t="n">
        <x:v>5</x:v>
      </x:c>
      <x:c r="E1656" s="40" t="n">
        <x:v>16</x:v>
      </x:c>
      <x:c r="F1656" s="40" t="n">
        <x:v>14.340354919433594</x:v>
      </x:c>
      <x:c r="G1656" s="40" t="n">
        <x:v>16</x:v>
      </x:c>
      <x:c r="H1656" s="40" t="n">
        <x:f>F1656-E1656</x:f>
        <x:v>-1.6596450805664062</x:v>
      </x:c>
      <x:c r="I1656" s="40" t="n">
        <x:f>ABS(H1656)</x:f>
        <x:v>1.6596450805664062</x:v>
      </x:c>
      <x:c r="J1656" s="40" t="n">
        <x:f>H1656^2</x:f>
        <x:v>2.754421793448273</x:v>
      </x:c>
      <x:c r="K1656" s="40" t="n">
        <x:f>G1656-E1656</x:f>
        <x:v>0</x:v>
      </x:c>
      <x:c r="L1656" s="40" t="n">
        <x:f>ABS(K1656)</x:f>
        <x:v>0</x:v>
      </x:c>
      <x:c r="M1656" s="41" t="str">
        <x:v>lstm-soil-v1</x:v>
      </x:c>
    </x:row>
    <x:row r="1657">
      <x:c r="A1657" s="38" t="str">
        <x:v>7月30日现场数据</x:v>
      </x:c>
      <x:c r="B1657" s="39" t="str">
        <x:v>2026-08-02T00:00:00</x:v>
      </x:c>
      <x:c r="C1657" s="39" t="str">
        <x:v>2026-08-02T00:15:00</x:v>
      </x:c>
      <x:c r="D1657" s="47" t="n">
        <x:v>15</x:v>
      </x:c>
      <x:c r="E1657" s="40" t="n">
        <x:v>16</x:v>
      </x:c>
      <x:c r="F1657" s="40" t="n">
        <x:v>14.41470718383789</x:v>
      </x:c>
      <x:c r="G1657" s="40" t="n">
        <x:v>16</x:v>
      </x:c>
      <x:c r="H1657" s="40" t="n">
        <x:f>F1657-E1657</x:f>
        <x:v>-1.5852928161621094</x:v>
      </x:c>
      <x:c r="I1657" s="40" t="n">
        <x:f>ABS(H1657)</x:f>
        <x:v>1.5852928161621094</x:v>
      </x:c>
      <x:c r="J1657" s="40" t="n">
        <x:f>H1657^2</x:f>
        <x:v>2.5131533129751915</x:v>
      </x:c>
      <x:c r="K1657" s="40" t="n">
        <x:f>G1657-E1657</x:f>
        <x:v>0</x:v>
      </x:c>
      <x:c r="L1657" s="40" t="n">
        <x:f>ABS(K1657)</x:f>
        <x:v>0</x:v>
      </x:c>
      <x:c r="M1657" s="41" t="str">
        <x:v>lstm-soil-v1</x:v>
      </x:c>
    </x:row>
    <x:row r="1658">
      <x:c r="A1658" s="38" t="str">
        <x:v>7月30日现场数据</x:v>
      </x:c>
      <x:c r="B1658" s="39" t="str">
        <x:v>2026-08-02T00:00:00</x:v>
      </x:c>
      <x:c r="C1658" s="39" t="str">
        <x:v>2026-08-02T00:30:00</x:v>
      </x:c>
      <x:c r="D1658" s="47" t="n">
        <x:v>30</x:v>
      </x:c>
      <x:c r="E1658" s="40" t="n">
        <x:v>15.9</x:v>
      </x:c>
      <x:c r="F1658" s="40" t="n">
        <x:v>14.81393051147461</x:v>
      </x:c>
      <x:c r="G1658" s="40" t="n">
        <x:v>16</x:v>
      </x:c>
      <x:c r="H1658" s="40" t="n">
        <x:f>F1658-E1658</x:f>
        <x:v>-1.086069488525391</x:v>
      </x:c>
      <x:c r="I1658" s="40" t="n">
        <x:f>ABS(H1658)</x:f>
        <x:v>1.086069488525391</x:v>
      </x:c>
      <x:c r="J1658" s="40" t="n">
        <x:f>H1658^2</x:f>
        <x:v>1.1795469339058045</x:v>
      </x:c>
      <x:c r="K1658" s="40" t="n">
        <x:f>G1658-E1658</x:f>
        <x:v>0.09999999999999964</x:v>
      </x:c>
      <x:c r="L1658" s="40" t="n">
        <x:f>ABS(K1658)</x:f>
        <x:v>0.09999999999999964</x:v>
      </x:c>
      <x:c r="M1658" s="41" t="str">
        <x:v>lstm-soil-v1</x:v>
      </x:c>
    </x:row>
    <x:row r="1659">
      <x:c r="A1659" s="38" t="str">
        <x:v>7月30日现场数据</x:v>
      </x:c>
      <x:c r="B1659" s="39" t="str">
        <x:v>2026-08-02T00:00:00</x:v>
      </x:c>
      <x:c r="C1659" s="39" t="str">
        <x:v>2026-08-02T01:00:00</x:v>
      </x:c>
      <x:c r="D1659" s="47" t="n">
        <x:v>60</x:v>
      </x:c>
      <x:c r="E1659" s="40" t="n">
        <x:v>15.9</x:v>
      </x:c>
      <x:c r="F1659" s="40" t="n">
        <x:v>16.453941345214844</x:v>
      </x:c>
      <x:c r="G1659" s="40" t="n">
        <x:v>16</x:v>
      </x:c>
      <x:c r="H1659" s="40" t="n">
        <x:f>F1659-E1659</x:f>
        <x:v>0.5539413452148434</x:v>
      </x:c>
      <x:c r="I1659" s="40" t="n">
        <x:f>ABS(H1659)</x:f>
        <x:v>0.5539413452148434</x:v>
      </x:c>
      <x:c r="J1659" s="40" t="n">
        <x:f>H1659^2</x:f>
        <x:v>0.3068510139384303</x:v>
      </x:c>
      <x:c r="K1659" s="40" t="n">
        <x:f>G1659-E1659</x:f>
        <x:v>0.09999999999999964</x:v>
      </x:c>
      <x:c r="L1659" s="40" t="n">
        <x:f>ABS(K1659)</x:f>
        <x:v>0.09999999999999964</x:v>
      </x:c>
      <x:c r="M1659" s="41" t="str">
        <x:v>lstm-soil-v1</x:v>
      </x:c>
    </x:row>
    <x:row r="1660">
      <x:c r="A1660" s="38" t="str">
        <x:v>7月30日现场数据</x:v>
      </x:c>
      <x:c r="B1660" s="39" t="str">
        <x:v>2026-08-02T00:05:00</x:v>
      </x:c>
      <x:c r="C1660" s="39" t="str">
        <x:v>2026-08-02T00:10:00</x:v>
      </x:c>
      <x:c r="D1660" s="47" t="n">
        <x:v>5</x:v>
      </x:c>
      <x:c r="E1660" s="40" t="n">
        <x:v>16</x:v>
      </x:c>
      <x:c r="F1660" s="40" t="n">
        <x:v>14.338516235351562</x:v>
      </x:c>
      <x:c r="G1660" s="40" t="n">
        <x:v>16</x:v>
      </x:c>
      <x:c r="H1660" s="40" t="n">
        <x:f>F1660-E1660</x:f>
        <x:v>-1.6614837646484375</x:v>
      </x:c>
      <x:c r="I1660" s="40" t="n">
        <x:f>ABS(H1660)</x:f>
        <x:v>1.6614837646484375</x:v>
      </x:c>
      <x:c r="J1660" s="40" t="n">
        <x:f>H1660^2</x:f>
        <x:v>2.7605283001903445</x:v>
      </x:c>
      <x:c r="K1660" s="40" t="n">
        <x:f>G1660-E1660</x:f>
        <x:v>0</x:v>
      </x:c>
      <x:c r="L1660" s="40" t="n">
        <x:f>ABS(K1660)</x:f>
        <x:v>0</x:v>
      </x:c>
      <x:c r="M1660" s="41" t="str">
        <x:v>lstm-soil-v1</x:v>
      </x:c>
    </x:row>
    <x:row r="1661">
      <x:c r="A1661" s="38" t="str">
        <x:v>7月30日现场数据</x:v>
      </x:c>
      <x:c r="B1661" s="39" t="str">
        <x:v>2026-08-02T00:05:00</x:v>
      </x:c>
      <x:c r="C1661" s="39" t="str">
        <x:v>2026-08-02T00:20:00</x:v>
      </x:c>
      <x:c r="D1661" s="47" t="n">
        <x:v>15</x:v>
      </x:c>
      <x:c r="E1661" s="40" t="n">
        <x:v>16</x:v>
      </x:c>
      <x:c r="F1661" s="40" t="n">
        <x:v>14.413192749023438</x:v>
      </x:c>
      <x:c r="G1661" s="40" t="n">
        <x:v>16</x:v>
      </x:c>
      <x:c r="H1661" s="40" t="n">
        <x:f>F1661-E1661</x:f>
        <x:v>-1.5868072509765625</x:v>
      </x:c>
      <x:c r="I1661" s="40" t="n">
        <x:f>ABS(H1661)</x:f>
        <x:v>1.5868072509765625</x:v>
      </x:c>
      <x:c r="J1661" s="40" t="n">
        <x:f>H1661^2</x:f>
        <x:v>2.5179572517517954</x:v>
      </x:c>
      <x:c r="K1661" s="40" t="n">
        <x:f>G1661-E1661</x:f>
        <x:v>0</x:v>
      </x:c>
      <x:c r="L1661" s="40" t="n">
        <x:f>ABS(K1661)</x:f>
        <x:v>0</x:v>
      </x:c>
      <x:c r="M1661" s="41" t="str">
        <x:v>lstm-soil-v1</x:v>
      </x:c>
    </x:row>
    <x:row r="1662">
      <x:c r="A1662" s="38" t="str">
        <x:v>7月30日现场数据</x:v>
      </x:c>
      <x:c r="B1662" s="39" t="str">
        <x:v>2026-08-02T00:05:00</x:v>
      </x:c>
      <x:c r="C1662" s="39" t="str">
        <x:v>2026-08-02T00:35:00</x:v>
      </x:c>
      <x:c r="D1662" s="47" t="n">
        <x:v>30</x:v>
      </x:c>
      <x:c r="E1662" s="40" t="n">
        <x:v>16</x:v>
      </x:c>
      <x:c r="F1662" s="40" t="n">
        <x:v>14.813838958740234</x:v>
      </x:c>
      <x:c r="G1662" s="40" t="n">
        <x:v>16</x:v>
      </x:c>
      <x:c r="H1662" s="40" t="n">
        <x:f>F1662-E1662</x:f>
        <x:v>-1.1861610412597656</x:v>
      </x:c>
      <x:c r="I1662" s="40" t="n">
        <x:f>ABS(H1662)</x:f>
        <x:v>1.1861610412597656</x:v>
      </x:c>
      <x:c r="J1662" s="40" t="n">
        <x:f>H1662^2</x:f>
        <x:v>1.4069780158024514</x:v>
      </x:c>
      <x:c r="K1662" s="40" t="n">
        <x:f>G1662-E1662</x:f>
        <x:v>0</x:v>
      </x:c>
      <x:c r="L1662" s="40" t="n">
        <x:f>ABS(K1662)</x:f>
        <x:v>0</x:v>
      </x:c>
      <x:c r="M1662" s="41" t="str">
        <x:v>lstm-soil-v1</x:v>
      </x:c>
    </x:row>
    <x:row r="1663">
      <x:c r="A1663" s="38" t="str">
        <x:v>7月30日现场数据</x:v>
      </x:c>
      <x:c r="B1663" s="39" t="str">
        <x:v>2026-08-02T00:05:00</x:v>
      </x:c>
      <x:c r="C1663" s="39" t="str">
        <x:v>2026-08-02T01:05:00</x:v>
      </x:c>
      <x:c r="D1663" s="47" t="n">
        <x:v>60</x:v>
      </x:c>
      <x:c r="E1663" s="40" t="n">
        <x:v>15.9</x:v>
      </x:c>
      <x:c r="F1663" s="40" t="n">
        <x:v>16.449424743652344</x:v>
      </x:c>
      <x:c r="G1663" s="40" t="n">
        <x:v>16</x:v>
      </x:c>
      <x:c r="H1663" s="40" t="n">
        <x:f>F1663-E1663</x:f>
        <x:v>0.5494247436523434</x:v>
      </x:c>
      <x:c r="I1663" s="40" t="n">
        <x:f>ABS(H1663)</x:f>
        <x:v>0.5494247436523434</x:v>
      </x:c>
      <x:c r="J1663" s="40" t="n">
        <x:f>H1663^2</x:f>
        <x:v>0.3018675489374433</x:v>
      </x:c>
      <x:c r="K1663" s="40" t="n">
        <x:f>G1663-E1663</x:f>
        <x:v>0.09999999999999964</x:v>
      </x:c>
      <x:c r="L1663" s="40" t="n">
        <x:f>ABS(K1663)</x:f>
        <x:v>0.09999999999999964</x:v>
      </x:c>
      <x:c r="M1663" s="41" t="str">
        <x:v>lstm-soil-v1</x:v>
      </x:c>
    </x:row>
    <x:row r="1664">
      <x:c r="A1664" s="38" t="str">
        <x:v>7月30日现场数据</x:v>
      </x:c>
      <x:c r="B1664" s="39" t="str">
        <x:v>2026-08-02T00:10:00</x:v>
      </x:c>
      <x:c r="C1664" s="39" t="str">
        <x:v>2026-08-02T00:15:00</x:v>
      </x:c>
      <x:c r="D1664" s="47" t="n">
        <x:v>5</x:v>
      </x:c>
      <x:c r="E1664" s="40" t="n">
        <x:v>16</x:v>
      </x:c>
      <x:c r="F1664" s="40" t="n">
        <x:v>14.337814331054688</x:v>
      </x:c>
      <x:c r="G1664" s="40" t="n">
        <x:v>16</x:v>
      </x:c>
      <x:c r="H1664" s="40" t="n">
        <x:f>F1664-E1664</x:f>
        <x:v>-1.6621856689453125</x:v>
      </x:c>
      <x:c r="I1664" s="40" t="n">
        <x:f>ABS(H1664)</x:f>
        <x:v>1.6621856689453125</x:v>
      </x:c>
      <x:c r="J1664" s="40" t="n">
        <x:f>H1664^2</x:f>
        <x:v>2.762861198047176</x:v>
      </x:c>
      <x:c r="K1664" s="40" t="n">
        <x:f>G1664-E1664</x:f>
        <x:v>0</x:v>
      </x:c>
      <x:c r="L1664" s="40" t="n">
        <x:f>ABS(K1664)</x:f>
        <x:v>0</x:v>
      </x:c>
      <x:c r="M1664" s="41" t="str">
        <x:v>lstm-soil-v1</x:v>
      </x:c>
    </x:row>
    <x:row r="1665">
      <x:c r="A1665" s="38" t="str">
        <x:v>7月30日现场数据</x:v>
      </x:c>
      <x:c r="B1665" s="39" t="str">
        <x:v>2026-08-02T00:10:00</x:v>
      </x:c>
      <x:c r="C1665" s="39" t="str">
        <x:v>2026-08-02T00:25:00</x:v>
      </x:c>
      <x:c r="D1665" s="47" t="n">
        <x:v>15</x:v>
      </x:c>
      <x:c r="E1665" s="40" t="n">
        <x:v>15.9</x:v>
      </x:c>
      <x:c r="F1665" s="40" t="n">
        <x:v>14.412494659423828</x:v>
      </x:c>
      <x:c r="G1665" s="40" t="n">
        <x:v>16</x:v>
      </x:c>
      <x:c r="H1665" s="40" t="n">
        <x:f>F1665-E1665</x:f>
        <x:v>-1.4875053405761722</x:v>
      </x:c>
      <x:c r="I1665" s="40" t="n">
        <x:f>ABS(H1665)</x:f>
        <x:v>1.4875053405761722</x:v>
      </x:c>
      <x:c r="J1665" s="40" t="n">
        <x:f>H1665^2</x:f>
        <x:v>2.212672138242634</x:v>
      </x:c>
      <x:c r="K1665" s="40" t="n">
        <x:f>G1665-E1665</x:f>
        <x:v>0.09999999999999964</x:v>
      </x:c>
      <x:c r="L1665" s="40" t="n">
        <x:f>ABS(K1665)</x:f>
        <x:v>0.09999999999999964</x:v>
      </x:c>
      <x:c r="M1665" s="41" t="str">
        <x:v>lstm-soil-v1</x:v>
      </x:c>
    </x:row>
    <x:row r="1666">
      <x:c r="A1666" s="38" t="str">
        <x:v>7月30日现场数据</x:v>
      </x:c>
      <x:c r="B1666" s="39" t="str">
        <x:v>2026-08-02T00:10:00</x:v>
      </x:c>
      <x:c r="C1666" s="39" t="str">
        <x:v>2026-08-02T00:40:00</x:v>
      </x:c>
      <x:c r="D1666" s="47" t="n">
        <x:v>30</x:v>
      </x:c>
      <x:c r="E1666" s="40" t="n">
        <x:v>16</x:v>
      </x:c>
      <x:c r="F1666" s="40" t="n">
        <x:v>14.81521987915039</x:v>
      </x:c>
      <x:c r="G1666" s="40" t="n">
        <x:v>16</x:v>
      </x:c>
      <x:c r="H1666" s="40" t="n">
        <x:f>F1666-E1666</x:f>
        <x:v>-1.1847801208496094</x:v>
      </x:c>
      <x:c r="I1666" s="40" t="n">
        <x:f>ABS(H1666)</x:f>
        <x:v>1.1847801208496094</x:v>
      </x:c>
      <x:c r="J1666" s="40" t="n">
        <x:f>H1666^2</x:f>
        <x:v>1.403703934760415</x:v>
      </x:c>
      <x:c r="K1666" s="40" t="n">
        <x:f>G1666-E1666</x:f>
        <x:v>0</x:v>
      </x:c>
      <x:c r="L1666" s="40" t="n">
        <x:f>ABS(K1666)</x:f>
        <x:v>0</x:v>
      </x:c>
      <x:c r="M1666" s="41" t="str">
        <x:v>lstm-soil-v1</x:v>
      </x:c>
    </x:row>
    <x:row r="1667">
      <x:c r="A1667" s="38" t="str">
        <x:v>7月30日现场数据</x:v>
      </x:c>
      <x:c r="B1667" s="39" t="str">
        <x:v>2026-08-02T00:10:00</x:v>
      </x:c>
      <x:c r="C1667" s="39" t="str">
        <x:v>2026-08-02T01:10:00</x:v>
      </x:c>
      <x:c r="D1667" s="47" t="n">
        <x:v>60</x:v>
      </x:c>
      <x:c r="E1667" s="40" t="n">
        <x:v>15.9</x:v>
      </x:c>
      <x:c r="F1667" s="40" t="n">
        <x:v>16.44675064086914</x:v>
      </x:c>
      <x:c r="G1667" s="40" t="n">
        <x:v>16</x:v>
      </x:c>
      <x:c r="H1667" s="40" t="n">
        <x:f>F1667-E1667</x:f>
        <x:v>0.5467506408691403</x:v>
      </x:c>
      <x:c r="I1667" s="40" t="n">
        <x:f>ABS(H1667)</x:f>
        <x:v>0.5467506408691403</x:v>
      </x:c>
      <x:c r="J1667" s="40" t="n">
        <x:f>H1667^2</x:f>
        <x:v>0.2989362632908156</x:v>
      </x:c>
      <x:c r="K1667" s="40" t="n">
        <x:f>G1667-E1667</x:f>
        <x:v>0.09999999999999964</x:v>
      </x:c>
      <x:c r="L1667" s="40" t="n">
        <x:f>ABS(K1667)</x:f>
        <x:v>0.09999999999999964</x:v>
      </x:c>
      <x:c r="M1667" s="41" t="str">
        <x:v>lstm-soil-v1</x:v>
      </x:c>
    </x:row>
    <x:row r="1668">
      <x:c r="A1668" s="38" t="str">
        <x:v>7月30日现场数据</x:v>
      </x:c>
      <x:c r="B1668" s="39" t="str">
        <x:v>2026-08-02T00:15:00</x:v>
      </x:c>
      <x:c r="C1668" s="39" t="str">
        <x:v>2026-08-02T00:20:00</x:v>
      </x:c>
      <x:c r="D1668" s="47" t="n">
        <x:v>5</x:v>
      </x:c>
      <x:c r="E1668" s="40" t="n">
        <x:v>16</x:v>
      </x:c>
      <x:c r="F1668" s="40" t="n">
        <x:v>14.337959289550781</x:v>
      </x:c>
      <x:c r="G1668" s="40" t="n">
        <x:v>16</x:v>
      </x:c>
      <x:c r="H1668" s="40" t="n">
        <x:f>F1668-E1668</x:f>
        <x:v>-1.6620407104492188</x:v>
      </x:c>
      <x:c r="I1668" s="40" t="n">
        <x:f>ABS(H1668)</x:f>
        <x:v>1.6620407104492188</x:v>
      </x:c>
      <x:c r="J1668" s="40" t="n">
        <x:f>H1668^2</x:f>
        <x:v>2.762379323190544</x:v>
      </x:c>
      <x:c r="K1668" s="40" t="n">
        <x:f>G1668-E1668</x:f>
        <x:v>0</x:v>
      </x:c>
      <x:c r="L1668" s="40" t="n">
        <x:f>ABS(K1668)</x:f>
        <x:v>0</x:v>
      </x:c>
      <x:c r="M1668" s="41" t="str">
        <x:v>lstm-soil-v1</x:v>
      </x:c>
    </x:row>
    <x:row r="1669">
      <x:c r="A1669" s="38" t="str">
        <x:v>7月30日现场数据</x:v>
      </x:c>
      <x:c r="B1669" s="39" t="str">
        <x:v>2026-08-02T00:15:00</x:v>
      </x:c>
      <x:c r="C1669" s="39" t="str">
        <x:v>2026-08-02T00:30:00</x:v>
      </x:c>
      <x:c r="D1669" s="47" t="n">
        <x:v>15</x:v>
      </x:c>
      <x:c r="E1669" s="40" t="n">
        <x:v>15.9</x:v>
      </x:c>
      <x:c r="F1669" s="40" t="n">
        <x:v>14.412467956542969</x:v>
      </x:c>
      <x:c r="G1669" s="40" t="n">
        <x:v>16</x:v>
      </x:c>
      <x:c r="H1669" s="40" t="n">
        <x:f>F1669-E1669</x:f>
        <x:v>-1.4875320434570316</x:v>
      </x:c>
      <x:c r="I1669" s="40" t="n">
        <x:f>ABS(H1669)</x:f>
        <x:v>1.4875320434570316</x:v>
      </x:c>
      <x:c r="J1669" s="40" t="n">
        <x:f>H1669^2</x:f>
        <x:v>2.212751580311452</x:v>
      </x:c>
      <x:c r="K1669" s="40" t="n">
        <x:f>G1669-E1669</x:f>
        <x:v>0.09999999999999964</x:v>
      </x:c>
      <x:c r="L1669" s="40" t="n">
        <x:f>ABS(K1669)</x:f>
        <x:v>0.09999999999999964</x:v>
      </x:c>
      <x:c r="M1669" s="41" t="str">
        <x:v>lstm-soil-v1</x:v>
      </x:c>
    </x:row>
    <x:row r="1670">
      <x:c r="A1670" s="38" t="str">
        <x:v>7月30日现场数据</x:v>
      </x:c>
      <x:c r="B1670" s="39" t="str">
        <x:v>2026-08-02T00:15:00</x:v>
      </x:c>
      <x:c r="C1670" s="39" t="str">
        <x:v>2026-08-02T00:45:00</x:v>
      </x:c>
      <x:c r="D1670" s="47" t="n">
        <x:v>30</x:v>
      </x:c>
      <x:c r="E1670" s="40" t="n">
        <x:v>15.9</x:v>
      </x:c>
      <x:c r="F1670" s="40" t="n">
        <x:v>14.817432403564453</x:v>
      </x:c>
      <x:c r="G1670" s="40" t="n">
        <x:v>16</x:v>
      </x:c>
      <x:c r="H1670" s="40" t="n">
        <x:f>F1670-E1670</x:f>
        <x:v>-1.0825675964355472</x:v>
      </x:c>
      <x:c r="I1670" s="40" t="n">
        <x:f>ABS(H1670)</x:f>
        <x:v>1.0825675964355472</x:v>
      </x:c>
      <x:c r="J1670" s="40" t="n">
        <x:f>H1670^2</x:f>
        <x:v>1.1719526008522378</x:v>
      </x:c>
      <x:c r="K1670" s="40" t="n">
        <x:f>G1670-E1670</x:f>
        <x:v>0.09999999999999964</x:v>
      </x:c>
      <x:c r="L1670" s="40" t="n">
        <x:f>ABS(K1670)</x:f>
        <x:v>0.09999999999999964</x:v>
      </x:c>
      <x:c r="M1670" s="41" t="str">
        <x:v>lstm-soil-v1</x:v>
      </x:c>
    </x:row>
    <x:row r="1671">
      <x:c r="A1671" s="38" t="str">
        <x:v>7月30日现场数据</x:v>
      </x:c>
      <x:c r="B1671" s="39" t="str">
        <x:v>2026-08-02T00:15:00</x:v>
      </x:c>
      <x:c r="C1671" s="39" t="str">
        <x:v>2026-08-02T01:15:00</x:v>
      </x:c>
      <x:c r="D1671" s="47" t="n">
        <x:v>60</x:v>
      </x:c>
      <x:c r="E1671" s="40" t="n">
        <x:v>15.9</x:v>
      </x:c>
      <x:c r="F1671" s="40" t="n">
        <x:v>16.445858001708984</x:v>
      </x:c>
      <x:c r="G1671" s="40" t="n">
        <x:v>16</x:v>
      </x:c>
      <x:c r="H1671" s="40" t="n">
        <x:f>F1671-E1671</x:f>
        <x:v>0.545858001708984</x:v>
      </x:c>
      <x:c r="I1671" s="40" t="n">
        <x:f>ABS(H1671)</x:f>
        <x:v>0.545858001708984</x:v>
      </x:c>
      <x:c r="J1671" s="40" t="n">
        <x:f>H1671^2</x:f>
        <x:v>0.2979609580297252</x:v>
      </x:c>
      <x:c r="K1671" s="40" t="n">
        <x:f>G1671-E1671</x:f>
        <x:v>0.09999999999999964</x:v>
      </x:c>
      <x:c r="L1671" s="40" t="n">
        <x:f>ABS(K1671)</x:f>
        <x:v>0.09999999999999964</x:v>
      </x:c>
      <x:c r="M1671" s="41" t="str">
        <x:v>lstm-soil-v1</x:v>
      </x:c>
    </x:row>
    <x:row r="1672">
      <x:c r="A1672" s="38" t="str">
        <x:v>7月30日现场数据</x:v>
      </x:c>
      <x:c r="B1672" s="39" t="str">
        <x:v>2026-08-02T00:20:00</x:v>
      </x:c>
      <x:c r="C1672" s="39" t="str">
        <x:v>2026-08-02T00:25:00</x:v>
      </x:c>
      <x:c r="D1672" s="47" t="n">
        <x:v>5</x:v>
      </x:c>
      <x:c r="E1672" s="40" t="n">
        <x:v>15.9</x:v>
      </x:c>
      <x:c r="F1672" s="40" t="n">
        <x:v>14.33846664428711</x:v>
      </x:c>
      <x:c r="G1672" s="40" t="n">
        <x:v>16</x:v>
      </x:c>
      <x:c r="H1672" s="40" t="n">
        <x:f>F1672-E1672</x:f>
        <x:v>-1.561533355712891</x:v>
      </x:c>
      <x:c r="I1672" s="40" t="n">
        <x:f>ABS(H1672)</x:f>
        <x:v>1.561533355712891</x:v>
      </x:c>
      <x:c r="J1672" s="40" t="n">
        <x:f>H1672^2</x:f>
        <x:v>2.4383864210039623</x:v>
      </x:c>
      <x:c r="K1672" s="40" t="n">
        <x:f>G1672-E1672</x:f>
        <x:v>0.09999999999999964</x:v>
      </x:c>
      <x:c r="L1672" s="40" t="n">
        <x:f>ABS(K1672)</x:f>
        <x:v>0.09999999999999964</x:v>
      </x:c>
      <x:c r="M1672" s="41" t="str">
        <x:v>lstm-soil-v1</x:v>
      </x:c>
    </x:row>
    <x:row r="1673">
      <x:c r="A1673" s="38" t="str">
        <x:v>7月30日现场数据</x:v>
      </x:c>
      <x:c r="B1673" s="39" t="str">
        <x:v>2026-08-02T00:20:00</x:v>
      </x:c>
      <x:c r="C1673" s="39" t="str">
        <x:v>2026-08-02T00:35:00</x:v>
      </x:c>
      <x:c r="D1673" s="47" t="n">
        <x:v>15</x:v>
      </x:c>
      <x:c r="E1673" s="40" t="n">
        <x:v>16</x:v>
      </x:c>
      <x:c r="F1673" s="40" t="n">
        <x:v>14.41269302368164</x:v>
      </x:c>
      <x:c r="G1673" s="40" t="n">
        <x:v>16</x:v>
      </x:c>
      <x:c r="H1673" s="40" t="n">
        <x:f>F1673-E1673</x:f>
        <x:v>-1.5873069763183594</x:v>
      </x:c>
      <x:c r="I1673" s="40" t="n">
        <x:f>ABS(H1673)</x:f>
        <x:v>1.5873069763183594</x:v>
      </x:c>
      <x:c r="J1673" s="40" t="n">
        <x:f>H1673^2</x:f>
        <x:v>2.5195434370689327</x:v>
      </x:c>
      <x:c r="K1673" s="40" t="n">
        <x:f>G1673-E1673</x:f>
        <x:v>0</x:v>
      </x:c>
      <x:c r="L1673" s="40" t="n">
        <x:f>ABS(K1673)</x:f>
        <x:v>0</x:v>
      </x:c>
      <x:c r="M1673" s="41" t="str">
        <x:v>lstm-soil-v1</x:v>
      </x:c>
    </x:row>
    <x:row r="1674">
      <x:c r="A1674" s="38" t="str">
        <x:v>7月30日现场数据</x:v>
      </x:c>
      <x:c r="B1674" s="39" t="str">
        <x:v>2026-08-02T00:20:00</x:v>
      </x:c>
      <x:c r="C1674" s="39" t="str">
        <x:v>2026-08-02T00:50:00</x:v>
      </x:c>
      <x:c r="D1674" s="47" t="n">
        <x:v>30</x:v>
      </x:c>
      <x:c r="E1674" s="40" t="n">
        <x:v>15.9</x:v>
      </x:c>
      <x:c r="F1674" s="40" t="n">
        <x:v>14.819351196289062</x:v>
      </x:c>
      <x:c r="G1674" s="40" t="n">
        <x:v>16</x:v>
      </x:c>
      <x:c r="H1674" s="40" t="n">
        <x:f>F1674-E1674</x:f>
        <x:v>-1.0806488037109379</x:v>
      </x:c>
      <x:c r="I1674" s="40" t="n">
        <x:f>ABS(H1674)</x:f>
        <x:v>1.0806488037109379</x:v>
      </x:c>
      <x:c r="J1674" s="40" t="n">
        <x:f>H1674^2</x:f>
        <x:v>1.167801836961881</x:v>
      </x:c>
      <x:c r="K1674" s="40" t="n">
        <x:f>G1674-E1674</x:f>
        <x:v>0.09999999999999964</x:v>
      </x:c>
      <x:c r="L1674" s="40" t="n">
        <x:f>ABS(K1674)</x:f>
        <x:v>0.09999999999999964</x:v>
      </x:c>
      <x:c r="M1674" s="41" t="str">
        <x:v>lstm-soil-v1</x:v>
      </x:c>
    </x:row>
    <x:row r="1675">
      <x:c r="A1675" s="38" t="str">
        <x:v>7月30日现场数据</x:v>
      </x:c>
      <x:c r="B1675" s="39" t="str">
        <x:v>2026-08-02T00:20:00</x:v>
      </x:c>
      <x:c r="C1675" s="39" t="str">
        <x:v>2026-08-02T01:20:00</x:v>
      </x:c>
      <x:c r="D1675" s="47" t="n">
        <x:v>60</x:v>
      </x:c>
      <x:c r="E1675" s="40" t="n">
        <x:v>15.9</x:v>
      </x:c>
      <x:c r="F1675" s="40" t="n">
        <x:v>16.445602416992188</x:v>
      </x:c>
      <x:c r="G1675" s="40" t="n">
        <x:v>16</x:v>
      </x:c>
      <x:c r="H1675" s="40" t="n">
        <x:f>F1675-E1675</x:f>
        <x:v>0.5456024169921871</x:v>
      </x:c>
      <x:c r="I1675" s="40" t="n">
        <x:f>ABS(H1675)</x:f>
        <x:v>0.5456024169921871</x:v>
      </x:c>
      <x:c r="J1675" s="40" t="n">
        <x:f>H1675^2</x:f>
        <x:v>0.29768199742771645</x:v>
      </x:c>
      <x:c r="K1675" s="40" t="n">
        <x:f>G1675-E1675</x:f>
        <x:v>0.09999999999999964</x:v>
      </x:c>
      <x:c r="L1675" s="40" t="n">
        <x:f>ABS(K1675)</x:f>
        <x:v>0.09999999999999964</x:v>
      </x:c>
      <x:c r="M1675" s="41" t="str">
        <x:v>lstm-soil-v1</x:v>
      </x:c>
    </x:row>
    <x:row r="1676">
      <x:c r="A1676" s="38" t="str">
        <x:v>7月30日现场数据</x:v>
      </x:c>
      <x:c r="B1676" s="39" t="str">
        <x:v>2026-08-02T00:25:00</x:v>
      </x:c>
      <x:c r="C1676" s="39" t="str">
        <x:v>2026-08-02T00:30:00</x:v>
      </x:c>
      <x:c r="D1676" s="47" t="n">
        <x:v>5</x:v>
      </x:c>
      <x:c r="E1676" s="40" t="n">
        <x:v>15.9</x:v>
      </x:c>
      <x:c r="F1676" s="40" t="n">
        <x:v>14.228645324707031</x:v>
      </x:c>
      <x:c r="G1676" s="40" t="n">
        <x:v>15.9</x:v>
      </x:c>
      <x:c r="H1676" s="40" t="n">
        <x:f>F1676-E1676</x:f>
        <x:v>-1.671354675292969</x:v>
      </x:c>
      <x:c r="I1676" s="40" t="n">
        <x:f>ABS(H1676)</x:f>
        <x:v>1.671354675292969</x:v>
      </x:c>
      <x:c r="J1676" s="40" t="n">
        <x:f>H1676^2</x:f>
        <x:v>2.793426450623666</x:v>
      </x:c>
      <x:c r="K1676" s="40" t="n">
        <x:f>G1676-E1676</x:f>
        <x:v>0</x:v>
      </x:c>
      <x:c r="L1676" s="40" t="n">
        <x:f>ABS(K1676)</x:f>
        <x:v>0</x:v>
      </x:c>
      <x:c r="M1676" s="41" t="str">
        <x:v>lstm-soil-v1</x:v>
      </x:c>
    </x:row>
    <x:row r="1677">
      <x:c r="A1677" s="38" t="str">
        <x:v>7月30日现场数据</x:v>
      </x:c>
      <x:c r="B1677" s="39" t="str">
        <x:v>2026-08-02T00:25:00</x:v>
      </x:c>
      <x:c r="C1677" s="39" t="str">
        <x:v>2026-08-02T00:40:00</x:v>
      </x:c>
      <x:c r="D1677" s="47" t="n">
        <x:v>15</x:v>
      </x:c>
      <x:c r="E1677" s="40" t="n">
        <x:v>16</x:v>
      </x:c>
      <x:c r="F1677" s="40" t="n">
        <x:v>14.30255126953125</x:v>
      </x:c>
      <x:c r="G1677" s="40" t="n">
        <x:v>15.9</x:v>
      </x:c>
      <x:c r="H1677" s="40" t="n">
        <x:f>F1677-E1677</x:f>
        <x:v>-1.69744873046875</x:v>
      </x:c>
      <x:c r="I1677" s="40" t="n">
        <x:f>ABS(H1677)</x:f>
        <x:v>1.69744873046875</x:v>
      </x:c>
      <x:c r="J1677" s="40" t="n">
        <x:f>H1677^2</x:f>
        <x:v>2.881332192569971</x:v>
      </x:c>
      <x:c r="K1677" s="40" t="n">
        <x:f>G1677-E1677</x:f>
        <x:v>-0.09999999999999964</x:v>
      </x:c>
      <x:c r="L1677" s="40" t="n">
        <x:f>ABS(K1677)</x:f>
        <x:v>0.09999999999999964</x:v>
      </x:c>
      <x:c r="M1677" s="41" t="str">
        <x:v>lstm-soil-v1</x:v>
      </x:c>
    </x:row>
    <x:row r="1678">
      <x:c r="A1678" s="38" t="str">
        <x:v>7月30日现场数据</x:v>
      </x:c>
      <x:c r="B1678" s="39" t="str">
        <x:v>2026-08-02T00:25:00</x:v>
      </x:c>
      <x:c r="C1678" s="39" t="str">
        <x:v>2026-08-02T00:55:00</x:v>
      </x:c>
      <x:c r="D1678" s="47" t="n">
        <x:v>30</x:v>
      </x:c>
      <x:c r="E1678" s="40" t="n">
        <x:v>15.9</x:v>
      </x:c>
      <x:c r="F1678" s="40" t="n">
        <x:v>14.710739135742188</x:v>
      </x:c>
      <x:c r="G1678" s="40" t="n">
        <x:v>15.9</x:v>
      </x:c>
      <x:c r="H1678" s="40" t="n">
        <x:f>F1678-E1678</x:f>
        <x:v>-1.1892608642578129</x:v>
      </x:c>
      <x:c r="I1678" s="40" t="n">
        <x:f>ABS(H1678)</x:f>
        <x:v>1.1892608642578129</x:v>
      </x:c>
      <x:c r="J1678" s="40" t="n">
        <x:f>H1678^2</x:f>
        <x:v>1.41434140325524</x:v>
      </x:c>
      <x:c r="K1678" s="40" t="n">
        <x:f>G1678-E1678</x:f>
        <x:v>0</x:v>
      </x:c>
      <x:c r="L1678" s="40" t="n">
        <x:f>ABS(K1678)</x:f>
        <x:v>0</x:v>
      </x:c>
      <x:c r="M1678" s="41" t="str">
        <x:v>lstm-soil-v1</x:v>
      </x:c>
    </x:row>
    <x:row r="1679">
      <x:c r="A1679" s="38" t="str">
        <x:v>7月30日现场数据</x:v>
      </x:c>
      <x:c r="B1679" s="39" t="str">
        <x:v>2026-08-02T00:25:00</x:v>
      </x:c>
      <x:c r="C1679" s="39" t="str">
        <x:v>2026-08-02T01:25:00</x:v>
      </x:c>
      <x:c r="D1679" s="47" t="n">
        <x:v>60</x:v>
      </x:c>
      <x:c r="E1679" s="40" t="n">
        <x:v>15.9</x:v>
      </x:c>
      <x:c r="F1679" s="40" t="n">
        <x:v>16.335506439208984</x:v>
      </x:c>
      <x:c r="G1679" s="40" t="n">
        <x:v>15.9</x:v>
      </x:c>
      <x:c r="H1679" s="40" t="n">
        <x:f>F1679-E1679</x:f>
        <x:v>0.435506439208984</x:v>
      </x:c>
      <x:c r="I1679" s="40" t="n">
        <x:f>ABS(H1679)</x:f>
        <x:v>0.435506439208984</x:v>
      </x:c>
      <x:c r="J1679" s="40" t="n">
        <x:f>H1679^2</x:f>
        <x:v>0.1896658585924885</x:v>
      </x:c>
      <x:c r="K1679" s="40" t="n">
        <x:f>G1679-E1679</x:f>
        <x:v>0</x:v>
      </x:c>
      <x:c r="L1679" s="40" t="n">
        <x:f>ABS(K1679)</x:f>
        <x:v>0</x:v>
      </x:c>
      <x:c r="M1679" s="41" t="str">
        <x:v>lstm-soil-v1</x:v>
      </x:c>
    </x:row>
    <x:row r="1680">
      <x:c r="A1680" s="38" t="str">
        <x:v>7月30日现场数据</x:v>
      </x:c>
      <x:c r="B1680" s="39" t="str">
        <x:v>2026-08-02T00:30:00</x:v>
      </x:c>
      <x:c r="C1680" s="39" t="str">
        <x:v>2026-08-02T00:35:00</x:v>
      </x:c>
      <x:c r="D1680" s="47" t="n">
        <x:v>5</x:v>
      </x:c>
      <x:c r="E1680" s="40" t="n">
        <x:v>16</x:v>
      </x:c>
      <x:c r="F1680" s="40" t="n">
        <x:v>14.228961944580078</x:v>
      </x:c>
      <x:c r="G1680" s="40" t="n">
        <x:v>15.9</x:v>
      </x:c>
      <x:c r="H1680" s="40" t="n">
        <x:f>F1680-E1680</x:f>
        <x:v>-1.7710380554199219</x:v>
      </x:c>
      <x:c r="I1680" s="40" t="n">
        <x:f>ABS(H1680)</x:f>
        <x:v>1.7710380554199219</x:v>
      </x:c>
      <x:c r="J1680" s="40" t="n">
        <x:f>H1680^2</x:f>
        <x:v>3.1365757937455783</x:v>
      </x:c>
      <x:c r="K1680" s="40" t="n">
        <x:f>G1680-E1680</x:f>
        <x:v>-0.09999999999999964</x:v>
      </x:c>
      <x:c r="L1680" s="40" t="n">
        <x:f>ABS(K1680)</x:f>
        <x:v>0.09999999999999964</x:v>
      </x:c>
      <x:c r="M1680" s="41" t="str">
        <x:v>lstm-soil-v1</x:v>
      </x:c>
    </x:row>
    <x:row r="1681">
      <x:c r="A1681" s="38" t="str">
        <x:v>7月30日现场数据</x:v>
      </x:c>
      <x:c r="B1681" s="39" t="str">
        <x:v>2026-08-02T00:30:00</x:v>
      </x:c>
      <x:c r="C1681" s="39" t="str">
        <x:v>2026-08-02T00:45:00</x:v>
      </x:c>
      <x:c r="D1681" s="47" t="n">
        <x:v>15</x:v>
      </x:c>
      <x:c r="E1681" s="40" t="n">
        <x:v>15.9</x:v>
      </x:c>
      <x:c r="F1681" s="40" t="n">
        <x:v>14.302486419677734</x:v>
      </x:c>
      <x:c r="G1681" s="40" t="n">
        <x:v>15.9</x:v>
      </x:c>
      <x:c r="H1681" s="40" t="n">
        <x:f>F1681-E1681</x:f>
        <x:v>-1.597513580322266</x:v>
      </x:c>
      <x:c r="I1681" s="40" t="n">
        <x:f>ABS(H1681)</x:f>
        <x:v>1.597513580322266</x:v>
      </x:c>
      <x:c r="J1681" s="40" t="n">
        <x:f>H1681^2</x:f>
        <x:v>2.552049639314065</x:v>
      </x:c>
      <x:c r="K1681" s="40" t="n">
        <x:f>G1681-E1681</x:f>
        <x:v>0</x:v>
      </x:c>
      <x:c r="L1681" s="40" t="n">
        <x:f>ABS(K1681)</x:f>
        <x:v>0</x:v>
      </x:c>
      <x:c r="M1681" s="41" t="str">
        <x:v>lstm-soil-v1</x:v>
      </x:c>
    </x:row>
    <x:row r="1682">
      <x:c r="A1682" s="38" t="str">
        <x:v>7月30日现场数据</x:v>
      </x:c>
      <x:c r="B1682" s="39" t="str">
        <x:v>2026-08-02T00:30:00</x:v>
      </x:c>
      <x:c r="C1682" s="39" t="str">
        <x:v>2026-08-02T01:00:00</x:v>
      </x:c>
      <x:c r="D1682" s="47" t="n">
        <x:v>30</x:v>
      </x:c>
      <x:c r="E1682" s="40" t="n">
        <x:v>15.9</x:v>
      </x:c>
      <x:c r="F1682" s="40" t="n">
        <x:v>14.71207046508789</x:v>
      </x:c>
      <x:c r="G1682" s="40" t="n">
        <x:v>15.9</x:v>
      </x:c>
      <x:c r="H1682" s="40" t="n">
        <x:f>F1682-E1682</x:f>
        <x:v>-1.1879295349121097</x:v>
      </x:c>
      <x:c r="I1682" s="40" t="n">
        <x:f>ABS(H1682)</x:f>
        <x:v>1.1879295349121097</x:v>
      </x:c>
      <x:c r="J1682" s="40" t="n">
        <x:f>H1682^2</x:f>
        <x:v>1.4111765799165013</x:v>
      </x:c>
      <x:c r="K1682" s="40" t="n">
        <x:f>G1682-E1682</x:f>
        <x:v>0</x:v>
      </x:c>
      <x:c r="L1682" s="40" t="n">
        <x:f>ABS(K1682)</x:f>
        <x:v>0</x:v>
      </x:c>
      <x:c r="M1682" s="41" t="str">
        <x:v>lstm-soil-v1</x:v>
      </x:c>
    </x:row>
    <x:row r="1683">
      <x:c r="A1683" s="38" t="str">
        <x:v>7月30日现场数据</x:v>
      </x:c>
      <x:c r="B1683" s="39" t="str">
        <x:v>2026-08-02T00:30:00</x:v>
      </x:c>
      <x:c r="C1683" s="39" t="str">
        <x:v>2026-08-02T01:30:00</x:v>
      </x:c>
      <x:c r="D1683" s="47" t="n">
        <x:v>60</x:v>
      </x:c>
      <x:c r="E1683" s="40" t="n">
        <x:v>15.9</x:v>
      </x:c>
      <x:c r="F1683" s="40" t="n">
        <x:v>16.335826873779297</x:v>
      </x:c>
      <x:c r="G1683" s="40" t="n">
        <x:v>15.9</x:v>
      </x:c>
      <x:c r="H1683" s="40" t="n">
        <x:f>F1683-E1683</x:f>
        <x:v>0.4358268737792965</x:v>
      </x:c>
      <x:c r="I1683" s="40" t="n">
        <x:f>ABS(H1683)</x:f>
        <x:v>0.4358268737792965</x:v>
      </x:c>
      <x:c r="J1683" s="40" t="n">
        <x:f>H1683^2</x:f>
        <x:v>0.18994506390823487</x:v>
      </x:c>
      <x:c r="K1683" s="40" t="n">
        <x:f>G1683-E1683</x:f>
        <x:v>0</x:v>
      </x:c>
      <x:c r="L1683" s="40" t="n">
        <x:f>ABS(K1683)</x:f>
        <x:v>0</x:v>
      </x:c>
      <x:c r="M1683" s="41" t="str">
        <x:v>lstm-soil-v1</x:v>
      </x:c>
    </x:row>
    <x:row r="1684">
      <x:c r="A1684" s="38" t="str">
        <x:v>7月30日现场数据</x:v>
      </x:c>
      <x:c r="B1684" s="39" t="str">
        <x:v>2026-08-02T00:35:00</x:v>
      </x:c>
      <x:c r="C1684" s="39" t="str">
        <x:v>2026-08-02T00:40:00</x:v>
      </x:c>
      <x:c r="D1684" s="47" t="n">
        <x:v>5</x:v>
      </x:c>
      <x:c r="E1684" s="40" t="n">
        <x:v>16</x:v>
      </x:c>
      <x:c r="F1684" s="40" t="n">
        <x:v>14.33969497680664</x:v>
      </x:c>
      <x:c r="G1684" s="40" t="n">
        <x:v>16</x:v>
      </x:c>
      <x:c r="H1684" s="40" t="n">
        <x:f>F1684-E1684</x:f>
        <x:v>-1.6603050231933594</x:v>
      </x:c>
      <x:c r="I1684" s="40" t="n">
        <x:f>ABS(H1684)</x:f>
        <x:v>1.6603050231933594</x:v>
      </x:c>
      <x:c r="J1684" s="40" t="n">
        <x:f>H1684^2</x:f>
        <x:v>2.7566127700411016</x:v>
      </x:c>
      <x:c r="K1684" s="40" t="n">
        <x:f>G1684-E1684</x:f>
        <x:v>0</x:v>
      </x:c>
      <x:c r="L1684" s="40" t="n">
        <x:f>ABS(K1684)</x:f>
        <x:v>0</x:v>
      </x:c>
      <x:c r="M1684" s="41" t="str">
        <x:v>lstm-soil-v1</x:v>
      </x:c>
    </x:row>
    <x:row r="1685">
      <x:c r="A1685" s="38" t="str">
        <x:v>7月30日现场数据</x:v>
      </x:c>
      <x:c r="B1685" s="39" t="str">
        <x:v>2026-08-02T00:35:00</x:v>
      </x:c>
      <x:c r="C1685" s="39" t="str">
        <x:v>2026-08-02T00:50:00</x:v>
      </x:c>
      <x:c r="D1685" s="47" t="n">
        <x:v>15</x:v>
      </x:c>
      <x:c r="E1685" s="40" t="n">
        <x:v>15.9</x:v>
      </x:c>
      <x:c r="F1685" s="40" t="n">
        <x:v>14.412742614746094</x:v>
      </x:c>
      <x:c r="G1685" s="40" t="n">
        <x:v>16</x:v>
      </x:c>
      <x:c r="H1685" s="40" t="n">
        <x:f>F1685-E1685</x:f>
        <x:v>-1.4872573852539066</x:v>
      </x:c>
      <x:c r="I1685" s="40" t="n">
        <x:f>ABS(H1685)</x:f>
        <x:v>1.4872573852539066</x:v>
      </x:c>
      <x:c r="J1685" s="40" t="n">
        <x:f>H1685^2</x:f>
        <x:v>2.2119345299922872</x:v>
      </x:c>
      <x:c r="K1685" s="40" t="n">
        <x:f>G1685-E1685</x:f>
        <x:v>0.09999999999999964</x:v>
      </x:c>
      <x:c r="L1685" s="40" t="n">
        <x:f>ABS(K1685)</x:f>
        <x:v>0.09999999999999964</x:v>
      </x:c>
      <x:c r="M1685" s="41" t="str">
        <x:v>lstm-soil-v1</x:v>
      </x:c>
    </x:row>
    <x:row r="1686">
      <x:c r="A1686" s="38" t="str">
        <x:v>7月30日现场数据</x:v>
      </x:c>
      <x:c r="B1686" s="39" t="str">
        <x:v>2026-08-02T00:35:00</x:v>
      </x:c>
      <x:c r="C1686" s="39" t="str">
        <x:v>2026-08-02T01:05:00</x:v>
      </x:c>
      <x:c r="D1686" s="47" t="n">
        <x:v>30</x:v>
      </x:c>
      <x:c r="E1686" s="40" t="n">
        <x:v>15.9</x:v>
      </x:c>
      <x:c r="F1686" s="40" t="n">
        <x:v>14.82357406616211</x:v>
      </x:c>
      <x:c r="G1686" s="40" t="n">
        <x:v>16</x:v>
      </x:c>
      <x:c r="H1686" s="40" t="n">
        <x:f>F1686-E1686</x:f>
        <x:v>-1.076425933837891</x:v>
      </x:c>
      <x:c r="I1686" s="40" t="n">
        <x:f>ABS(H1686)</x:f>
        <x:v>1.076425933837891</x:v>
      </x:c>
      <x:c r="J1686" s="40" t="n">
        <x:f>H1686^2</x:f>
        <x:v>1.1586927910387756</x:v>
      </x:c>
      <x:c r="K1686" s="40" t="n">
        <x:f>G1686-E1686</x:f>
        <x:v>0.09999999999999964</x:v>
      </x:c>
      <x:c r="L1686" s="40" t="n">
        <x:f>ABS(K1686)</x:f>
        <x:v>0.09999999999999964</x:v>
      </x:c>
      <x:c r="M1686" s="41" t="str">
        <x:v>lstm-soil-v1</x:v>
      </x:c>
    </x:row>
    <x:row r="1687">
      <x:c r="A1687" s="38" t="str">
        <x:v>7月30日现场数据</x:v>
      </x:c>
      <x:c r="B1687" s="39" t="str">
        <x:v>2026-08-02T00:35:00</x:v>
      </x:c>
      <x:c r="C1687" s="39" t="str">
        <x:v>2026-08-02T01:35:00</x:v>
      </x:c>
      <x:c r="D1687" s="47" t="n">
        <x:v>60</x:v>
      </x:c>
      <x:c r="E1687" s="40" t="n">
        <x:v>15.9</x:v>
      </x:c>
      <x:c r="F1687" s="40" t="n">
        <x:v>16.446678161621094</x:v>
      </x:c>
      <x:c r="G1687" s="40" t="n">
        <x:v>16</x:v>
      </x:c>
      <x:c r="H1687" s="40" t="n">
        <x:f>F1687-E1687</x:f>
        <x:v>0.5466781616210934</x:v>
      </x:c>
      <x:c r="I1687" s="40" t="n">
        <x:f>ABS(H1687)</x:f>
        <x:v>0.5466781616210934</x:v>
      </x:c>
      <x:c r="J1687" s="40" t="n">
        <x:f>H1687^2</x:f>
        <x:v>0.29885701239341833</x:v>
      </x:c>
      <x:c r="K1687" s="40" t="n">
        <x:f>G1687-E1687</x:f>
        <x:v>0.09999999999999964</x:v>
      </x:c>
      <x:c r="L1687" s="40" t="n">
        <x:f>ABS(K1687)</x:f>
        <x:v>0.09999999999999964</x:v>
      </x:c>
      <x:c r="M1687" s="41" t="str">
        <x:v>lstm-soil-v1</x:v>
      </x:c>
    </x:row>
    <x:row r="1688">
      <x:c r="A1688" s="38" t="str">
        <x:v>7月30日现场数据</x:v>
      </x:c>
      <x:c r="B1688" s="39" t="str">
        <x:v>2026-08-02T00:40:00</x:v>
      </x:c>
      <x:c r="C1688" s="39" t="str">
        <x:v>2026-08-02T00:45:00</x:v>
      </x:c>
      <x:c r="D1688" s="47" t="n">
        <x:v>5</x:v>
      </x:c>
      <x:c r="E1688" s="40" t="n">
        <x:v>15.9</x:v>
      </x:c>
      <x:c r="F1688" s="40" t="n">
        <x:v>14.340259552001953</x:v>
      </x:c>
      <x:c r="G1688" s="40" t="n">
        <x:v>16</x:v>
      </x:c>
      <x:c r="H1688" s="40" t="n">
        <x:f>F1688-E1688</x:f>
        <x:v>-1.5597404479980472</x:v>
      </x:c>
      <x:c r="I1688" s="40" t="n">
        <x:f>ABS(H1688)</x:f>
        <x:v>1.5597404479980472</x:v>
      </x:c>
      <x:c r="J1688" s="40" t="n">
        <x:f>H1688^2</x:f>
        <x:v>2.4327902651211493</x:v>
      </x:c>
      <x:c r="K1688" s="40" t="n">
        <x:f>G1688-E1688</x:f>
        <x:v>0.09999999999999964</x:v>
      </x:c>
      <x:c r="L1688" s="40" t="n">
        <x:f>ABS(K1688)</x:f>
        <x:v>0.09999999999999964</x:v>
      </x:c>
      <x:c r="M1688" s="41" t="str">
        <x:v>lstm-soil-v1</x:v>
      </x:c>
    </x:row>
    <x:row r="1689">
      <x:c r="A1689" s="38" t="str">
        <x:v>7月30日现场数据</x:v>
      </x:c>
      <x:c r="B1689" s="39" t="str">
        <x:v>2026-08-02T00:40:00</x:v>
      </x:c>
      <x:c r="C1689" s="39" t="str">
        <x:v>2026-08-02T00:55:00</x:v>
      </x:c>
      <x:c r="D1689" s="47" t="n">
        <x:v>15</x:v>
      </x:c>
      <x:c r="E1689" s="40" t="n">
        <x:v>15.9</x:v>
      </x:c>
      <x:c r="F1689" s="40" t="n">
        <x:v>14.412944793701172</x:v>
      </x:c>
      <x:c r="G1689" s="40" t="n">
        <x:v>16</x:v>
      </x:c>
      <x:c r="H1689" s="40" t="n">
        <x:f>F1689-E1689</x:f>
        <x:v>-1.4870552062988285</x:v>
      </x:c>
      <x:c r="I1689" s="40" t="n">
        <x:f>ABS(H1689)</x:f>
        <x:v>1.4870552062988285</x:v>
      </x:c>
      <x:c r="J1689" s="40" t="n">
        <x:f>H1689^2</x:f>
        <x:v>2.2113331865804513</x:v>
      </x:c>
      <x:c r="K1689" s="40" t="n">
        <x:f>G1689-E1689</x:f>
        <x:v>0.09999999999999964</x:v>
      </x:c>
      <x:c r="L1689" s="40" t="n">
        <x:f>ABS(K1689)</x:f>
        <x:v>0.09999999999999964</x:v>
      </x:c>
      <x:c r="M1689" s="41" t="str">
        <x:v>lstm-soil-v1</x:v>
      </x:c>
    </x:row>
    <x:row r="1690">
      <x:c r="A1690" s="38" t="str">
        <x:v>7月30日现场数据</x:v>
      </x:c>
      <x:c r="B1690" s="39" t="str">
        <x:v>2026-08-02T00:40:00</x:v>
      </x:c>
      <x:c r="C1690" s="39" t="str">
        <x:v>2026-08-02T01:10:00</x:v>
      </x:c>
      <x:c r="D1690" s="47" t="n">
        <x:v>30</x:v>
      </x:c>
      <x:c r="E1690" s="40" t="n">
        <x:v>15.9</x:v>
      </x:c>
      <x:c r="F1690" s="40" t="n">
        <x:v>14.824691772460938</x:v>
      </x:c>
      <x:c r="G1690" s="40" t="n">
        <x:v>16</x:v>
      </x:c>
      <x:c r="H1690" s="40" t="n">
        <x:f>F1690-E1690</x:f>
        <x:v>-1.0753082275390629</x:v>
      </x:c>
      <x:c r="I1690" s="40" t="n">
        <x:f>ABS(H1690)</x:f>
        <x:v>1.0753082275390629</x:v>
      </x:c>
      <x:c r="J1690" s="40" t="n">
        <x:f>H1690^2</x:f>
        <x:v>1.1562877842132009</x:v>
      </x:c>
      <x:c r="K1690" s="40" t="n">
        <x:f>G1690-E1690</x:f>
        <x:v>0.09999999999999964</x:v>
      </x:c>
      <x:c r="L1690" s="40" t="n">
        <x:f>ABS(K1690)</x:f>
        <x:v>0.09999999999999964</x:v>
      </x:c>
      <x:c r="M1690" s="41" t="str">
        <x:v>lstm-soil-v1</x:v>
      </x:c>
    </x:row>
    <x:row r="1691">
      <x:c r="A1691" s="38" t="str">
        <x:v>7月30日现场数据</x:v>
      </x:c>
      <x:c r="B1691" s="39" t="str">
        <x:v>2026-08-02T00:40:00</x:v>
      </x:c>
      <x:c r="C1691" s="39" t="str">
        <x:v>2026-08-02T01:40:00</x:v>
      </x:c>
      <x:c r="D1691" s="47" t="n">
        <x:v>60</x:v>
      </x:c>
      <x:c r="E1691" s="40" t="n">
        <x:v>15.9</x:v>
      </x:c>
      <x:c r="F1691" s="40" t="n">
        <x:v>16.44739532470703</x:v>
      </x:c>
      <x:c r="G1691" s="40" t="n">
        <x:v>16</x:v>
      </x:c>
      <x:c r="H1691" s="40" t="n">
        <x:f>F1691-E1691</x:f>
        <x:v>0.5473953247070309</x:v>
      </x:c>
      <x:c r="I1691" s="40" t="n">
        <x:f>ABS(H1691)</x:f>
        <x:v>0.5473953247070309</x:v>
      </x:c>
      <x:c r="J1691" s="40" t="n">
        <x:f>H1691^2</x:f>
        <x:v>0.2996416415111158</x:v>
      </x:c>
      <x:c r="K1691" s="40" t="n">
        <x:f>G1691-E1691</x:f>
        <x:v>0.09999999999999964</x:v>
      </x:c>
      <x:c r="L1691" s="40" t="n">
        <x:f>ABS(K1691)</x:f>
        <x:v>0.09999999999999964</x:v>
      </x:c>
      <x:c r="M1691" s="41" t="str">
        <x:v>lstm-soil-v1</x:v>
      </x:c>
    </x:row>
    <x:row r="1692">
      <x:c r="A1692" s="38" t="str">
        <x:v>7月30日现场数据</x:v>
      </x:c>
      <x:c r="B1692" s="39" t="str">
        <x:v>2026-08-02T00:45:00</x:v>
      </x:c>
      <x:c r="C1692" s="39" t="str">
        <x:v>2026-08-02T00:50:00</x:v>
      </x:c>
      <x:c r="D1692" s="47" t="n">
        <x:v>5</x:v>
      </x:c>
      <x:c r="E1692" s="40" t="n">
        <x:v>15.9</x:v>
      </x:c>
      <x:c r="F1692" s="40" t="n">
        <x:v>14.230335235595703</x:v>
      </x:c>
      <x:c r="G1692" s="40" t="n">
        <x:v>15.9</x:v>
      </x:c>
      <x:c r="H1692" s="40" t="n">
        <x:f>F1692-E1692</x:f>
        <x:v>-1.6696647644042972</x:v>
      </x:c>
      <x:c r="I1692" s="40" t="n">
        <x:f>ABS(H1692)</x:f>
        <x:v>1.6696647644042972</x:v>
      </x:c>
      <x:c r="J1692" s="40" t="n">
        <x:f>H1692^2</x:f>
        <x:v>2.787780425493257</x:v>
      </x:c>
      <x:c r="K1692" s="40" t="n">
        <x:f>G1692-E1692</x:f>
        <x:v>0</x:v>
      </x:c>
      <x:c r="L1692" s="40" t="n">
        <x:f>ABS(K1692)</x:f>
        <x:v>0</x:v>
      </x:c>
      <x:c r="M1692" s="41" t="str">
        <x:v>lstm-soil-v1</x:v>
      </x:c>
    </x:row>
    <x:row r="1693">
      <x:c r="A1693" s="38" t="str">
        <x:v>7月30日现场数据</x:v>
      </x:c>
      <x:c r="B1693" s="39" t="str">
        <x:v>2026-08-02T00:45:00</x:v>
      </x:c>
      <x:c r="C1693" s="39" t="str">
        <x:v>2026-08-02T01:00:00</x:v>
      </x:c>
      <x:c r="D1693" s="47" t="n">
        <x:v>15</x:v>
      </x:c>
      <x:c r="E1693" s="40" t="n">
        <x:v>15.9</x:v>
      </x:c>
      <x:c r="F1693" s="40" t="n">
        <x:v>14.302864074707031</x:v>
      </x:c>
      <x:c r="G1693" s="40" t="n">
        <x:v>15.9</x:v>
      </x:c>
      <x:c r="H1693" s="40" t="n">
        <x:f>F1693-E1693</x:f>
        <x:v>-1.597135925292969</x:v>
      </x:c>
      <x:c r="I1693" s="40" t="n">
        <x:f>ABS(H1693)</x:f>
        <x:v>1.597135925292969</x:v>
      </x:c>
      <x:c r="J1693" s="40" t="n">
        <x:f>H1693^2</x:f>
        <x:v>2.5508431638614284</x:v>
      </x:c>
      <x:c r="K1693" s="40" t="n">
        <x:f>G1693-E1693</x:f>
        <x:v>0</x:v>
      </x:c>
      <x:c r="L1693" s="40" t="n">
        <x:f>ABS(K1693)</x:f>
        <x:v>0</x:v>
      </x:c>
      <x:c r="M1693" s="41" t="str">
        <x:v>lstm-soil-v1</x:v>
      </x:c>
    </x:row>
    <x:row r="1694">
      <x:c r="A1694" s="38" t="str">
        <x:v>7月30日现场数据</x:v>
      </x:c>
      <x:c r="B1694" s="39" t="str">
        <x:v>2026-08-02T00:45:00</x:v>
      </x:c>
      <x:c r="C1694" s="39" t="str">
        <x:v>2026-08-02T01:15:00</x:v>
      </x:c>
      <x:c r="D1694" s="47" t="n">
        <x:v>30</x:v>
      </x:c>
      <x:c r="E1694" s="40" t="n">
        <x:v>15.9</x:v>
      </x:c>
      <x:c r="F1694" s="40" t="n">
        <x:v>14.71524429321289</x:v>
      </x:c>
      <x:c r="G1694" s="40" t="n">
        <x:v>15.9</x:v>
      </x:c>
      <x:c r="H1694" s="40" t="n">
        <x:f>F1694-E1694</x:f>
        <x:v>-1.1847557067871097</x:v>
      </x:c>
      <x:c r="I1694" s="40" t="n">
        <x:f>ABS(H1694)</x:f>
        <x:v>1.1847557067871097</x:v>
      </x:c>
      <x:c r="J1694" s="40" t="n">
        <x:f>H1694^2</x:f>
        <x:v>1.403646084764624</x:v>
      </x:c>
      <x:c r="K1694" s="40" t="n">
        <x:f>G1694-E1694</x:f>
        <x:v>0</x:v>
      </x:c>
      <x:c r="L1694" s="40" t="n">
        <x:f>ABS(K1694)</x:f>
        <x:v>0</x:v>
      </x:c>
      <x:c r="M1694" s="41" t="str">
        <x:v>lstm-soil-v1</x:v>
      </x:c>
    </x:row>
    <x:row r="1695">
      <x:c r="A1695" s="38" t="str">
        <x:v>7月30日现场数据</x:v>
      </x:c>
      <x:c r="B1695" s="39" t="str">
        <x:v>2026-08-02T00:45:00</x:v>
      </x:c>
      <x:c r="C1695" s="39" t="str">
        <x:v>2026-08-02T01:45:00</x:v>
      </x:c>
      <x:c r="D1695" s="47" t="n">
        <x:v>60</x:v>
      </x:c>
      <x:c r="E1695" s="40" t="n">
        <x:v>15.9</x:v>
      </x:c>
      <x:c r="F1695" s="40" t="n">
        <x:v>16.337646484375</x:v>
      </x:c>
      <x:c r="G1695" s="40" t="n">
        <x:v>15.9</x:v>
      </x:c>
      <x:c r="H1695" s="40" t="n">
        <x:f>F1695-E1695</x:f>
        <x:v>0.43764648437499964</x:v>
      </x:c>
      <x:c r="I1695" s="40" t="n">
        <x:f>ABS(H1695)</x:f>
        <x:v>0.43764648437499964</x:v>
      </x:c>
      <x:c r="J1695" s="40" t="n">
        <x:f>H1695^2</x:f>
        <x:v>0.1915344452857968</x:v>
      </x:c>
      <x:c r="K1695" s="40" t="n">
        <x:f>G1695-E1695</x:f>
        <x:v>0</x:v>
      </x:c>
      <x:c r="L1695" s="40" t="n">
        <x:f>ABS(K1695)</x:f>
        <x:v>0</x:v>
      </x:c>
      <x:c r="M1695" s="41" t="str">
        <x:v>lstm-soil-v1</x:v>
      </x:c>
    </x:row>
    <x:row r="1696">
      <x:c r="A1696" s="38" t="str">
        <x:v>7月30日现场数据</x:v>
      </x:c>
      <x:c r="B1696" s="39" t="str">
        <x:v>2026-08-02T00:50:00</x:v>
      </x:c>
      <x:c r="C1696" s="39" t="str">
        <x:v>2026-08-02T00:55:00</x:v>
      </x:c>
      <x:c r="D1696" s="47" t="n">
        <x:v>5</x:v>
      </x:c>
      <x:c r="E1696" s="40" t="n">
        <x:v>15.9</x:v>
      </x:c>
      <x:c r="F1696" s="40" t="n">
        <x:v>14.23038101196289</x:v>
      </x:c>
      <x:c r="G1696" s="40" t="n">
        <x:v>15.9</x:v>
      </x:c>
      <x:c r="H1696" s="40" t="n">
        <x:f>F1696-E1696</x:f>
        <x:v>-1.6696189880371097</x:v>
      </x:c>
      <x:c r="I1696" s="40" t="n">
        <x:f>ABS(H1696)</x:f>
        <x:v>1.6696189880371097</x:v>
      </x:c>
      <x:c r="J1696" s="40" t="n">
        <x:f>H1696^2</x:f>
        <x:v>2.7876275652140623</x:v>
      </x:c>
      <x:c r="K1696" s="40" t="n">
        <x:f>G1696-E1696</x:f>
        <x:v>0</x:v>
      </x:c>
      <x:c r="L1696" s="40" t="n">
        <x:f>ABS(K1696)</x:f>
        <x:v>0</x:v>
      </x:c>
      <x:c r="M1696" s="41" t="str">
        <x:v>lstm-soil-v1</x:v>
      </x:c>
    </x:row>
    <x:row r="1697">
      <x:c r="A1697" s="38" t="str">
        <x:v>7月30日现场数据</x:v>
      </x:c>
      <x:c r="B1697" s="39" t="str">
        <x:v>2026-08-02T00:50:00</x:v>
      </x:c>
      <x:c r="C1697" s="39" t="str">
        <x:v>2026-08-02T01:05:00</x:v>
      </x:c>
      <x:c r="D1697" s="47" t="n">
        <x:v>15</x:v>
      </x:c>
      <x:c r="E1697" s="40" t="n">
        <x:v>15.9</x:v>
      </x:c>
      <x:c r="F1697" s="40" t="n">
        <x:v>14.30276870727539</x:v>
      </x:c>
      <x:c r="G1697" s="40" t="n">
        <x:v>15.9</x:v>
      </x:c>
      <x:c r="H1697" s="40" t="n">
        <x:f>F1697-E1697</x:f>
        <x:v>-1.5972312927246097</x:v>
      </x:c>
      <x:c r="I1697" s="40" t="n">
        <x:f>ABS(H1697)</x:f>
        <x:v>1.5972312927246097</x:v>
      </x:c>
      <x:c r="J1697" s="40" t="n">
        <x:f>H1697^2</x:f>
        <x:v>2.5511478024587277</x:v>
      </x:c>
      <x:c r="K1697" s="40" t="n">
        <x:f>G1697-E1697</x:f>
        <x:v>0</x:v>
      </x:c>
      <x:c r="L1697" s="40" t="n">
        <x:f>ABS(K1697)</x:f>
        <x:v>0</x:v>
      </x:c>
      <x:c r="M1697" s="41" t="str">
        <x:v>lstm-soil-v1</x:v>
      </x:c>
    </x:row>
    <x:row r="1698">
      <x:c r="A1698" s="38" t="str">
        <x:v>7月30日现场数据</x:v>
      </x:c>
      <x:c r="B1698" s="39" t="str">
        <x:v>2026-08-02T00:50:00</x:v>
      </x:c>
      <x:c r="C1698" s="39" t="str">
        <x:v>2026-08-02T01:20:00</x:v>
      </x:c>
      <x:c r="D1698" s="47" t="n">
        <x:v>30</x:v>
      </x:c>
      <x:c r="E1698" s="40" t="n">
        <x:v>15.9</x:v>
      </x:c>
      <x:c r="F1698" s="40" t="n">
        <x:v>14.715641021728516</x:v>
      </x:c>
      <x:c r="G1698" s="40" t="n">
        <x:v>15.9</x:v>
      </x:c>
      <x:c r="H1698" s="40" t="n">
        <x:f>F1698-E1698</x:f>
        <x:v>-1.1843589782714847</x:v>
      </x:c>
      <x:c r="I1698" s="40" t="n">
        <x:f>ABS(H1698)</x:f>
        <x:v>1.1843589782714847</x:v>
      </x:c>
      <x:c r="J1698" s="40" t="n">
        <x:f>H1698^2</x:f>
        <x:v>1.4027061894122752</x:v>
      </x:c>
      <x:c r="K1698" s="40" t="n">
        <x:f>G1698-E1698</x:f>
        <x:v>0</x:v>
      </x:c>
      <x:c r="L1698" s="40" t="n">
        <x:f>ABS(K1698)</x:f>
        <x:v>0</x:v>
      </x:c>
      <x:c r="M1698" s="41" t="str">
        <x:v>lstm-soil-v1</x:v>
      </x:c>
    </x:row>
    <x:row r="1699">
      <x:c r="A1699" s="38" t="str">
        <x:v>7月30日现场数据</x:v>
      </x:c>
      <x:c r="B1699" s="39" t="str">
        <x:v>2026-08-02T00:50:00</x:v>
      </x:c>
      <x:c r="C1699" s="39" t="str">
        <x:v>2026-08-02T01:50:00</x:v>
      </x:c>
      <x:c r="D1699" s="47" t="n">
        <x:v>60</x:v>
      </x:c>
      <x:c r="E1699" s="40" t="n">
        <x:v>15.9</x:v>
      </x:c>
      <x:c r="F1699" s="40" t="n">
        <x:v>16.337902069091797</x:v>
      </x:c>
      <x:c r="G1699" s="40" t="n">
        <x:v>15.9</x:v>
      </x:c>
      <x:c r="H1699" s="40" t="n">
        <x:f>F1699-E1699</x:f>
        <x:v>0.4379020690917965</x:v>
      </x:c>
      <x:c r="I1699" s="40" t="n">
        <x:f>ABS(H1699)</x:f>
        <x:v>0.4379020690917965</x:v>
      </x:c>
      <x:c r="J1699" s="40" t="n">
        <x:f>H1699^2</x:f>
        <x:v>0.19175822211487653</x:v>
      </x:c>
      <x:c r="K1699" s="40" t="n">
        <x:f>G1699-E1699</x:f>
        <x:v>0</x:v>
      </x:c>
      <x:c r="L1699" s="40" t="n">
        <x:f>ABS(K1699)</x:f>
        <x:v>0</x:v>
      </x:c>
      <x:c r="M1699" s="41" t="str">
        <x:v>lstm-soil-v1</x:v>
      </x:c>
    </x:row>
    <x:row r="1700">
      <x:c r="A1700" s="38" t="str">
        <x:v>7月30日现场数据</x:v>
      </x:c>
      <x:c r="B1700" s="39" t="str">
        <x:v>2026-08-02T00:55:00</x:v>
      </x:c>
      <x:c r="C1700" s="39" t="str">
        <x:v>2026-08-02T01:00:00</x:v>
      </x:c>
      <x:c r="D1700" s="47" t="n">
        <x:v>5</x:v>
      </x:c>
      <x:c r="E1700" s="40" t="n">
        <x:v>15.9</x:v>
      </x:c>
      <x:c r="F1700" s="40" t="n">
        <x:v>14.230506896972656</x:v>
      </x:c>
      <x:c r="G1700" s="40" t="n">
        <x:v>15.9</x:v>
      </x:c>
      <x:c r="H1700" s="40" t="n">
        <x:f>F1700-E1700</x:f>
        <x:v>-1.669493103027344</x:v>
      </x:c>
      <x:c r="I1700" s="40" t="n">
        <x:f>ABS(H1700)</x:f>
        <x:v>1.669493103027344</x:v>
      </x:c>
      <x:c r="J1700" s="40" t="n">
        <x:f>H1700^2</x:f>
        <x:v>2.78720722105587</x:v>
      </x:c>
      <x:c r="K1700" s="40" t="n">
        <x:f>G1700-E1700</x:f>
        <x:v>0</x:v>
      </x:c>
      <x:c r="L1700" s="40" t="n">
        <x:f>ABS(K1700)</x:f>
        <x:v>0</x:v>
      </x:c>
      <x:c r="M1700" s="41" t="str">
        <x:v>lstm-soil-v1</x:v>
      </x:c>
    </x:row>
    <x:row r="1701">
      <x:c r="A1701" s="38" t="str">
        <x:v>7月30日现场数据</x:v>
      </x:c>
      <x:c r="B1701" s="39" t="str">
        <x:v>2026-08-02T00:55:00</x:v>
      </x:c>
      <x:c r="C1701" s="39" t="str">
        <x:v>2026-08-02T01:10:00</x:v>
      </x:c>
      <x:c r="D1701" s="47" t="n">
        <x:v>15</x:v>
      </x:c>
      <x:c r="E1701" s="40" t="n">
        <x:v>15.9</x:v>
      </x:c>
      <x:c r="F1701" s="40" t="n">
        <x:v>14.302780151367188</x:v>
      </x:c>
      <x:c r="G1701" s="40" t="n">
        <x:v>15.9</x:v>
      </x:c>
      <x:c r="H1701" s="40" t="n">
        <x:f>F1701-E1701</x:f>
        <x:v>-1.5972198486328129</x:v>
      </x:c>
      <x:c r="I1701" s="40" t="n">
        <x:f>ABS(H1701)</x:f>
        <x:v>1.5972198486328129</x:v>
      </x:c>
      <x:c r="J1701" s="40" t="n">
        <x:f>H1701^2</x:f>
        <x:v>2.5511112448666258</x:v>
      </x:c>
      <x:c r="K1701" s="40" t="n">
        <x:f>G1701-E1701</x:f>
        <x:v>0</x:v>
      </x:c>
      <x:c r="L1701" s="40" t="n">
        <x:f>ABS(K1701)</x:f>
        <x:v>0</x:v>
      </x:c>
      <x:c r="M1701" s="41" t="str">
        <x:v>lstm-soil-v1</x:v>
      </x:c>
    </x:row>
    <x:row r="1702">
      <x:c r="A1702" s="38" t="str">
        <x:v>7月30日现场数据</x:v>
      </x:c>
      <x:c r="B1702" s="39" t="str">
        <x:v>2026-08-02T00:55:00</x:v>
      </x:c>
      <x:c r="C1702" s="39" t="str">
        <x:v>2026-08-02T01:25:00</x:v>
      </x:c>
      <x:c r="D1702" s="47" t="n">
        <x:v>30</x:v>
      </x:c>
      <x:c r="E1702" s="40" t="n">
        <x:v>15.9</x:v>
      </x:c>
      <x:c r="F1702" s="40" t="n">
        <x:v>14.716136932373047</x:v>
      </x:c>
      <x:c r="G1702" s="40" t="n">
        <x:v>15.9</x:v>
      </x:c>
      <x:c r="H1702" s="40" t="n">
        <x:f>F1702-E1702</x:f>
        <x:v>-1.1838630676269535</x:v>
      </x:c>
      <x:c r="I1702" s="40" t="n">
        <x:f>ABS(H1702)</x:f>
        <x:v>1.1838630676269535</x:v>
      </x:c>
      <x:c r="J1702" s="40" t="n">
        <x:f>H1702^2</x:f>
        <x:v>1.4015317628911006</x:v>
      </x:c>
      <x:c r="K1702" s="40" t="n">
        <x:f>G1702-E1702</x:f>
        <x:v>0</x:v>
      </x:c>
      <x:c r="L1702" s="40" t="n">
        <x:f>ABS(K1702)</x:f>
        <x:v>0</x:v>
      </x:c>
      <x:c r="M1702" s="41" t="str">
        <x:v>lstm-soil-v1</x:v>
      </x:c>
    </x:row>
    <x:row r="1703">
      <x:c r="A1703" s="38" t="str">
        <x:v>7月30日现场数据</x:v>
      </x:c>
      <x:c r="B1703" s="39" t="str">
        <x:v>2026-08-02T00:55:00</x:v>
      </x:c>
      <x:c r="C1703" s="39" t="str">
        <x:v>2026-08-02T01:55:00</x:v>
      </x:c>
      <x:c r="D1703" s="47" t="n">
        <x:v>60</x:v>
      </x:c>
      <x:c r="E1703" s="40" t="n">
        <x:v>15.9</x:v>
      </x:c>
      <x:c r="F1703" s="40" t="n">
        <x:v>16.33819580078125</x:v>
      </x:c>
      <x:c r="G1703" s="40" t="n">
        <x:v>15.9</x:v>
      </x:c>
      <x:c r="H1703" s="40" t="n">
        <x:f>F1703-E1703</x:f>
        <x:v>0.43819580078124964</x:v>
      </x:c>
      <x:c r="I1703" s="40" t="n">
        <x:f>ABS(H1703)</x:f>
        <x:v>0.43819580078124964</x:v>
      </x:c>
      <x:c r="J1703" s="40" t="n">
        <x:f>H1703^2</x:f>
        <x:v>0.19201555982232063</x:v>
      </x:c>
      <x:c r="K1703" s="40" t="n">
        <x:f>G1703-E1703</x:f>
        <x:v>0</x:v>
      </x:c>
      <x:c r="L1703" s="40" t="n">
        <x:f>ABS(K1703)</x:f>
        <x:v>0</x:v>
      </x:c>
      <x:c r="M1703" s="41" t="str">
        <x:v>lstm-soil-v1</x:v>
      </x:c>
    </x:row>
    <x:row r="1704">
      <x:c r="A1704" s="38" t="str">
        <x:v>7月30日现场数据</x:v>
      </x:c>
      <x:c r="B1704" s="39" t="str">
        <x:v>2026-08-02T01:00:00</x:v>
      </x:c>
      <x:c r="C1704" s="39" t="str">
        <x:v>2026-08-02T01:05:00</x:v>
      </x:c>
      <x:c r="D1704" s="47" t="n">
        <x:v>5</x:v>
      </x:c>
      <x:c r="E1704" s="40" t="n">
        <x:v>15.9</x:v>
      </x:c>
      <x:c r="F1704" s="40" t="n">
        <x:v>14.227275848388672</x:v>
      </x:c>
      <x:c r="G1704" s="40" t="n">
        <x:v>15.9</x:v>
      </x:c>
      <x:c r="H1704" s="40" t="n">
        <x:f>F1704-E1704</x:f>
        <x:v>-1.6727241516113285</x:v>
      </x:c>
      <x:c r="I1704" s="40" t="n">
        <x:f>ABS(H1704)</x:f>
        <x:v>1.6727241516113285</x:v>
      </x:c>
      <x:c r="J1704" s="40" t="n">
        <x:f>H1704^2</x:f>
        <x:v>2.798006087383839</x:v>
      </x:c>
      <x:c r="K1704" s="40" t="n">
        <x:f>G1704-E1704</x:f>
        <x:v>0</x:v>
      </x:c>
      <x:c r="L1704" s="40" t="n">
        <x:f>ABS(K1704)</x:f>
        <x:v>0</x:v>
      </x:c>
      <x:c r="M1704" s="41" t="str">
        <x:v>lstm-soil-v1</x:v>
      </x:c>
    </x:row>
    <x:row r="1705">
      <x:c r="A1705" s="38" t="str">
        <x:v>7月30日现场数据</x:v>
      </x:c>
      <x:c r="B1705" s="39" t="str">
        <x:v>2026-08-02T01:00:00</x:v>
      </x:c>
      <x:c r="C1705" s="39" t="str">
        <x:v>2026-08-02T01:15:00</x:v>
      </x:c>
      <x:c r="D1705" s="47" t="n">
        <x:v>15</x:v>
      </x:c>
      <x:c r="E1705" s="40" t="n">
        <x:v>15.9</x:v>
      </x:c>
      <x:c r="F1705" s="40" t="n">
        <x:v>14.299945831298828</x:v>
      </x:c>
      <x:c r="G1705" s="40" t="n">
        <x:v>15.9</x:v>
      </x:c>
      <x:c r="H1705" s="40" t="n">
        <x:f>F1705-E1705</x:f>
        <x:v>-1.6000541687011722</x:v>
      </x:c>
      <x:c r="I1705" s="40" t="n">
        <x:f>ABS(H1705)</x:f>
        <x:v>1.6000541687011722</x:v>
      </x:c>
      <x:c r="J1705" s="40" t="n">
        <x:f>H1705^2</x:f>
        <x:v>2.560173342777999</x:v>
      </x:c>
      <x:c r="K1705" s="40" t="n">
        <x:f>G1705-E1705</x:f>
        <x:v>0</x:v>
      </x:c>
      <x:c r="L1705" s="40" t="n">
        <x:f>ABS(K1705)</x:f>
        <x:v>0</x:v>
      </x:c>
      <x:c r="M1705" s="41" t="str">
        <x:v>lstm-soil-v1</x:v>
      </x:c>
    </x:row>
    <x:row r="1706">
      <x:c r="A1706" s="38" t="str">
        <x:v>7月30日现场数据</x:v>
      </x:c>
      <x:c r="B1706" s="39" t="str">
        <x:v>2026-08-02T01:00:00</x:v>
      </x:c>
      <x:c r="C1706" s="39" t="str">
        <x:v>2026-08-02T01:30:00</x:v>
      </x:c>
      <x:c r="D1706" s="47" t="n">
        <x:v>30</x:v>
      </x:c>
      <x:c r="E1706" s="40" t="n">
        <x:v>15.9</x:v>
      </x:c>
      <x:c r="F1706" s="40" t="n">
        <x:v>14.712478637695312</x:v>
      </x:c>
      <x:c r="G1706" s="40" t="n">
        <x:v>15.9</x:v>
      </x:c>
      <x:c r="H1706" s="40" t="n">
        <x:f>F1706-E1706</x:f>
        <x:v>-1.1875213623046879</x:v>
      </x:c>
      <x:c r="I1706" s="40" t="n">
        <x:f>ABS(H1706)</x:f>
        <x:v>1.1875213623046879</x:v>
      </x:c>
      <x:c r="J1706" s="40" t="n">
        <x:f>H1706^2</x:f>
        <x:v>1.4102069859299817</x:v>
      </x:c>
      <x:c r="K1706" s="40" t="n">
        <x:f>G1706-E1706</x:f>
        <x:v>0</x:v>
      </x:c>
      <x:c r="L1706" s="40" t="n">
        <x:f>ABS(K1706)</x:f>
        <x:v>0</x:v>
      </x:c>
      <x:c r="M1706" s="41" t="str">
        <x:v>lstm-soil-v1</x:v>
      </x:c>
    </x:row>
    <x:row r="1707">
      <x:c r="A1707" s="38" t="str">
        <x:v>7月30日现场数据</x:v>
      </x:c>
      <x:c r="B1707" s="39" t="str">
        <x:v>2026-08-02T01:00:00</x:v>
      </x:c>
      <x:c r="C1707" s="39" t="str">
        <x:v>2026-08-02T02:00:00</x:v>
      </x:c>
      <x:c r="D1707" s="47" t="n">
        <x:v>60</x:v>
      </x:c>
      <x:c r="E1707" s="40" t="n">
        <x:v>15.9</x:v>
      </x:c>
      <x:c r="F1707" s="40" t="n">
        <x:v>16.332801818847656</x:v>
      </x:c>
      <x:c r="G1707" s="40" t="n">
        <x:v>15.9</x:v>
      </x:c>
      <x:c r="H1707" s="40" t="n">
        <x:f>F1707-E1707</x:f>
        <x:v>0.4328018188476559</x:v>
      </x:c>
      <x:c r="I1707" s="40" t="n">
        <x:f>ABS(H1707)</x:f>
        <x:v>0.4328018188476559</x:v>
      </x:c>
      <x:c r="J1707" s="40" t="n">
        <x:f>H1707^2</x:f>
        <x:v>0.18731741439783914</x:v>
      </x:c>
      <x:c r="K1707" s="40" t="n">
        <x:f>G1707-E1707</x:f>
        <x:v>0</x:v>
      </x:c>
      <x:c r="L1707" s="40" t="n">
        <x:f>ABS(K1707)</x:f>
        <x:v>0</x:v>
      </x:c>
      <x:c r="M1707" s="41" t="str">
        <x:v>lstm-soil-v1</x:v>
      </x:c>
    </x:row>
    <x:row r="1708">
      <x:c r="A1708" s="38" t="str">
        <x:v>7月30日现场数据</x:v>
      </x:c>
      <x:c r="B1708" s="39" t="str">
        <x:v>2026-08-02T01:05:00</x:v>
      </x:c>
      <x:c r="C1708" s="39" t="str">
        <x:v>2026-08-02T01:10:00</x:v>
      </x:c>
      <x:c r="D1708" s="47" t="n">
        <x:v>5</x:v>
      </x:c>
      <x:c r="E1708" s="40" t="n">
        <x:v>15.9</x:v>
      </x:c>
      <x:c r="F1708" s="40" t="n">
        <x:v>14.225334167480469</x:v>
      </x:c>
      <x:c r="G1708" s="40" t="n">
        <x:v>15.9</x:v>
      </x:c>
      <x:c r="H1708" s="40" t="n">
        <x:f>F1708-E1708</x:f>
        <x:v>-1.6746658325195316</x:v>
      </x:c>
      <x:c r="I1708" s="40" t="n">
        <x:f>ABS(H1708)</x:f>
        <x:v>1.6746658325195316</x:v>
      </x:c>
      <x:c r="J1708" s="40" t="n">
        <x:f>H1708^2</x:f>
        <x:v>2.804505650608336</x:v>
      </x:c>
      <x:c r="K1708" s="40" t="n">
        <x:f>G1708-E1708</x:f>
        <x:v>0</x:v>
      </x:c>
      <x:c r="L1708" s="40" t="n">
        <x:f>ABS(K1708)</x:f>
        <x:v>0</x:v>
      </x:c>
      <x:c r="M1708" s="41" t="str">
        <x:v>lstm-soil-v1</x:v>
      </x:c>
    </x:row>
    <x:row r="1709">
      <x:c r="A1709" s="38" t="str">
        <x:v>7月30日现场数据</x:v>
      </x:c>
      <x:c r="B1709" s="39" t="str">
        <x:v>2026-08-02T01:05:00</x:v>
      </x:c>
      <x:c r="C1709" s="39" t="str">
        <x:v>2026-08-02T01:20:00</x:v>
      </x:c>
      <x:c r="D1709" s="47" t="n">
        <x:v>15</x:v>
      </x:c>
      <x:c r="E1709" s="40" t="n">
        <x:v>15.9</x:v>
      </x:c>
      <x:c r="F1709" s="40" t="n">
        <x:v>14.298515319824219</x:v>
      </x:c>
      <x:c r="G1709" s="40" t="n">
        <x:v>15.9</x:v>
      </x:c>
      <x:c r="H1709" s="40" t="n">
        <x:f>F1709-E1709</x:f>
        <x:v>-1.6014846801757816</x:v>
      </x:c>
      <x:c r="I1709" s="40" t="n">
        <x:f>ABS(H1709)</x:f>
        <x:v>1.6014846801757816</x:v>
      </x:c>
      <x:c r="J1709" s="40" t="n">
        <x:f>H1709^2</x:f>
        <x:v>2.5647531808377253</x:v>
      </x:c>
      <x:c r="K1709" s="40" t="n">
        <x:f>G1709-E1709</x:f>
        <x:v>0</x:v>
      </x:c>
      <x:c r="L1709" s="40" t="n">
        <x:f>ABS(K1709)</x:f>
        <x:v>0</x:v>
      </x:c>
      <x:c r="M1709" s="41" t="str">
        <x:v>lstm-soil-v1</x:v>
      </x:c>
    </x:row>
    <x:row r="1710">
      <x:c r="A1710" s="38" t="str">
        <x:v>7月30日现场数据</x:v>
      </x:c>
      <x:c r="B1710" s="39" t="str">
        <x:v>2026-08-02T01:05:00</x:v>
      </x:c>
      <x:c r="C1710" s="39" t="str">
        <x:v>2026-08-02T01:35:00</x:v>
      </x:c>
      <x:c r="D1710" s="47" t="n">
        <x:v>30</x:v>
      </x:c>
      <x:c r="E1710" s="40" t="n">
        <x:v>15.9</x:v>
      </x:c>
      <x:c r="F1710" s="40" t="n">
        <x:v>14.712078094482422</x:v>
      </x:c>
      <x:c r="G1710" s="40" t="n">
        <x:v>15.9</x:v>
      </x:c>
      <x:c r="H1710" s="40" t="n">
        <x:f>F1710-E1710</x:f>
        <x:v>-1.1879219055175785</x:v>
      </x:c>
      <x:c r="I1710" s="40" t="n">
        <x:f>ABS(H1710)</x:f>
        <x:v>1.1879219055175785</x:v>
      </x:c>
      <x:c r="J1710" s="40" t="n">
        <x:f>H1710^2</x:f>
        <x:v>1.4111584536085147</x:v>
      </x:c>
      <x:c r="K1710" s="40" t="n">
        <x:f>G1710-E1710</x:f>
        <x:v>0</x:v>
      </x:c>
      <x:c r="L1710" s="40" t="n">
        <x:f>ABS(K1710)</x:f>
        <x:v>0</x:v>
      </x:c>
      <x:c r="M1710" s="41" t="str">
        <x:v>lstm-soil-v1</x:v>
      </x:c>
    </x:row>
    <x:row r="1711">
      <x:c r="A1711" s="38" t="str">
        <x:v>7月30日现场数据</x:v>
      </x:c>
      <x:c r="B1711" s="39" t="str">
        <x:v>2026-08-02T01:05:00</x:v>
      </x:c>
      <x:c r="C1711" s="39" t="str">
        <x:v>2026-08-02T02:05:00</x:v>
      </x:c>
      <x:c r="D1711" s="47" t="n">
        <x:v>60</x:v>
      </x:c>
      <x:c r="E1711" s="40" t="n">
        <x:v>15.9</x:v>
      </x:c>
      <x:c r="F1711" s="40" t="n">
        <x:v>16.328632354736328</x:v>
      </x:c>
      <x:c r="G1711" s="40" t="n">
        <x:v>15.9</x:v>
      </x:c>
      <x:c r="H1711" s="40" t="n">
        <x:f>F1711-E1711</x:f>
        <x:v>0.42863235473632777</x:v>
      </x:c>
      <x:c r="I1711" s="40" t="n">
        <x:f>ABS(H1711)</x:f>
        <x:v>0.42863235473632777</x:v>
      </x:c>
      <x:c r="J1711" s="40" t="n">
        <x:f>H1711^2</x:f>
        <x:v>0.18372569552680912</x:v>
      </x:c>
      <x:c r="K1711" s="40" t="n">
        <x:f>G1711-E1711</x:f>
        <x:v>0</x:v>
      </x:c>
      <x:c r="L1711" s="40" t="n">
        <x:f>ABS(K1711)</x:f>
        <x:v>0</x:v>
      </x:c>
      <x:c r="M1711" s="41" t="str">
        <x:v>lstm-soil-v1</x:v>
      </x:c>
    </x:row>
    <x:row r="1712">
      <x:c r="A1712" s="38" t="str">
        <x:v>7月30日现场数据</x:v>
      </x:c>
      <x:c r="B1712" s="39" t="str">
        <x:v>2026-08-02T01:10:00</x:v>
      </x:c>
      <x:c r="C1712" s="39" t="str">
        <x:v>2026-08-02T01:15:00</x:v>
      </x:c>
      <x:c r="D1712" s="47" t="n">
        <x:v>5</x:v>
      </x:c>
      <x:c r="E1712" s="40" t="n">
        <x:v>15.9</x:v>
      </x:c>
      <x:c r="F1712" s="40" t="n">
        <x:v>14.224628448486328</x:v>
      </x:c>
      <x:c r="G1712" s="40" t="n">
        <x:v>15.9</x:v>
      </x:c>
      <x:c r="H1712" s="40" t="n">
        <x:f>F1712-E1712</x:f>
        <x:v>-1.6753715515136722</x:v>
      </x:c>
      <x:c r="I1712" s="40" t="n">
        <x:f>ABS(H1712)</x:f>
        <x:v>1.6753715515136722</x:v>
      </x:c>
      <x:c r="J1712" s="40" t="n">
        <x:f>H1712^2</x:f>
        <x:v>2.8068698356213293</x:v>
      </x:c>
      <x:c r="K1712" s="40" t="n">
        <x:f>G1712-E1712</x:f>
        <x:v>0</x:v>
      </x:c>
      <x:c r="L1712" s="40" t="n">
        <x:f>ABS(K1712)</x:f>
        <x:v>0</x:v>
      </x:c>
      <x:c r="M1712" s="41" t="str">
        <x:v>lstm-soil-v1</x:v>
      </x:c>
    </x:row>
    <x:row r="1713">
      <x:c r="A1713" s="38" t="str">
        <x:v>7月30日现场数据</x:v>
      </x:c>
      <x:c r="B1713" s="39" t="str">
        <x:v>2026-08-02T01:10:00</x:v>
      </x:c>
      <x:c r="C1713" s="39" t="str">
        <x:v>2026-08-02T01:25:00</x:v>
      </x:c>
      <x:c r="D1713" s="47" t="n">
        <x:v>15</x:v>
      </x:c>
      <x:c r="E1713" s="40" t="n">
        <x:v>15.9</x:v>
      </x:c>
      <x:c r="F1713" s="40" t="n">
        <x:v>14.2979736328125</x:v>
      </x:c>
      <x:c r="G1713" s="40" t="n">
        <x:v>15.9</x:v>
      </x:c>
      <x:c r="H1713" s="40" t="n">
        <x:f>F1713-E1713</x:f>
        <x:v>-1.6020263671875004</x:v>
      </x:c>
      <x:c r="I1713" s="40" t="n">
        <x:f>ABS(H1713)</x:f>
        <x:v>1.6020263671875004</x:v>
      </x:c>
      <x:c r="J1713" s="40" t="n">
        <x:f>H1713^2</x:f>
        <x:v>2.56648848116398</x:v>
      </x:c>
      <x:c r="K1713" s="40" t="n">
        <x:f>G1713-E1713</x:f>
        <x:v>0</x:v>
      </x:c>
      <x:c r="L1713" s="40" t="n">
        <x:f>ABS(K1713)</x:f>
        <x:v>0</x:v>
      </x:c>
      <x:c r="M1713" s="41" t="str">
        <x:v>lstm-soil-v1</x:v>
      </x:c>
    </x:row>
    <x:row r="1714">
      <x:c r="A1714" s="38" t="str">
        <x:v>7月30日现场数据</x:v>
      </x:c>
      <x:c r="B1714" s="39" t="str">
        <x:v>2026-08-02T01:10:00</x:v>
      </x:c>
      <x:c r="C1714" s="39" t="str">
        <x:v>2026-08-02T01:40:00</x:v>
      </x:c>
      <x:c r="D1714" s="47" t="n">
        <x:v>30</x:v>
      </x:c>
      <x:c r="E1714" s="40" t="n">
        <x:v>15.9</x:v>
      </x:c>
      <x:c r="F1714" s="40" t="n">
        <x:v>14.713275909423828</x:v>
      </x:c>
      <x:c r="G1714" s="40" t="n">
        <x:v>15.9</x:v>
      </x:c>
      <x:c r="H1714" s="40" t="n">
        <x:f>F1714-E1714</x:f>
        <x:v>-1.1867240905761722</x:v>
      </x:c>
      <x:c r="I1714" s="40" t="n">
        <x:f>ABS(H1714)</x:f>
        <x:v>1.1867240905761722</x:v>
      </x:c>
      <x:c r="J1714" s="40" t="n">
        <x:f>H1714^2</x:f>
        <x:v>1.408314067153843</x:v>
      </x:c>
      <x:c r="K1714" s="40" t="n">
        <x:f>G1714-E1714</x:f>
        <x:v>0</x:v>
      </x:c>
      <x:c r="L1714" s="40" t="n">
        <x:f>ABS(K1714)</x:f>
        <x:v>0</x:v>
      </x:c>
      <x:c r="M1714" s="41" t="str">
        <x:v>lstm-soil-v1</x:v>
      </x:c>
    </x:row>
    <x:row r="1715">
      <x:c r="A1715" s="38" t="str">
        <x:v>7月30日现场数据</x:v>
      </x:c>
      <x:c r="B1715" s="39" t="str">
        <x:v>2026-08-02T01:10:00</x:v>
      </x:c>
      <x:c r="C1715" s="39" t="str">
        <x:v>2026-08-02T02:10:00</x:v>
      </x:c>
      <x:c r="D1715" s="47" t="n">
        <x:v>60</x:v>
      </x:c>
      <x:c r="E1715" s="40" t="n">
        <x:v>15.9</x:v>
      </x:c>
      <x:c r="F1715" s="40" t="n">
        <x:v>16.326210021972656</x:v>
      </x:c>
      <x:c r="G1715" s="40" t="n">
        <x:v>15.9</x:v>
      </x:c>
      <x:c r="H1715" s="40" t="n">
        <x:f>F1715-E1715</x:f>
        <x:v>0.4262100219726559</x:v>
      </x:c>
      <x:c r="I1715" s="40" t="n">
        <x:f>ABS(H1715)</x:f>
        <x:v>0.4262100219726559</x:v>
      </x:c>
      <x:c r="J1715" s="40" t="n">
        <x:f>H1715^2</x:f>
        <x:v>0.1816549828299318</x:v>
      </x:c>
      <x:c r="K1715" s="40" t="n">
        <x:f>G1715-E1715</x:f>
        <x:v>0</x:v>
      </x:c>
      <x:c r="L1715" s="40" t="n">
        <x:f>ABS(K1715)</x:f>
        <x:v>0</x:v>
      </x:c>
      <x:c r="M1715" s="41" t="str">
        <x:v>lstm-soil-v1</x:v>
      </x:c>
    </x:row>
    <x:row r="1716">
      <x:c r="A1716" s="38" t="str">
        <x:v>7月30日现场数据</x:v>
      </x:c>
      <x:c r="B1716" s="39" t="str">
        <x:v>2026-08-02T01:15:00</x:v>
      </x:c>
      <x:c r="C1716" s="39" t="str">
        <x:v>2026-08-02T01:20:00</x:v>
      </x:c>
      <x:c r="D1716" s="47" t="n">
        <x:v>5</x:v>
      </x:c>
      <x:c r="E1716" s="40" t="n">
        <x:v>15.9</x:v>
      </x:c>
      <x:c r="F1716" s="40" t="n">
        <x:v>14.224666595458984</x:v>
      </x:c>
      <x:c r="G1716" s="40" t="n">
        <x:v>15.9</x:v>
      </x:c>
      <x:c r="H1716" s="40" t="n">
        <x:f>F1716-E1716</x:f>
        <x:v>-1.675333404541016</x:v>
      </x:c>
      <x:c r="I1716" s="40" t="n">
        <x:f>ABS(H1716)</x:f>
        <x:v>1.675333404541016</x:v>
      </x:c>
      <x:c r="J1716" s="40" t="n">
        <x:f>H1716^2</x:f>
        <x:v>2.8067420163709915</x:v>
      </x:c>
      <x:c r="K1716" s="40" t="n">
        <x:f>G1716-E1716</x:f>
        <x:v>0</x:v>
      </x:c>
      <x:c r="L1716" s="40" t="n">
        <x:f>ABS(K1716)</x:f>
        <x:v>0</x:v>
      </x:c>
      <x:c r="M1716" s="41" t="str">
        <x:v>lstm-soil-v1</x:v>
      </x:c>
    </x:row>
    <x:row r="1717">
      <x:c r="A1717" s="38" t="str">
        <x:v>7月30日现场数据</x:v>
      </x:c>
      <x:c r="B1717" s="39" t="str">
        <x:v>2026-08-02T01:15:00</x:v>
      </x:c>
      <x:c r="C1717" s="39" t="str">
        <x:v>2026-08-02T01:30:00</x:v>
      </x:c>
      <x:c r="D1717" s="47" t="n">
        <x:v>15</x:v>
      </x:c>
      <x:c r="E1717" s="40" t="n">
        <x:v>15.9</x:v>
      </x:c>
      <x:c r="F1717" s="40" t="n">
        <x:v>14.297832489013672</x:v>
      </x:c>
      <x:c r="G1717" s="40" t="n">
        <x:v>15.9</x:v>
      </x:c>
      <x:c r="H1717" s="40" t="n">
        <x:f>F1717-E1717</x:f>
        <x:v>-1.6021675109863285</x:v>
      </x:c>
      <x:c r="I1717" s="40" t="n">
        <x:f>ABS(H1717)</x:f>
        <x:v>1.6021675109863285</x:v>
      </x:c>
      <x:c r="J1717" s="40" t="n">
        <x:f>H1717^2</x:f>
        <x:v>2.566940733260127</x:v>
      </x:c>
      <x:c r="K1717" s="40" t="n">
        <x:f>G1717-E1717</x:f>
        <x:v>0</x:v>
      </x:c>
      <x:c r="L1717" s="40" t="n">
        <x:f>ABS(K1717)</x:f>
        <x:v>0</x:v>
      </x:c>
      <x:c r="M1717" s="41" t="str">
        <x:v>lstm-soil-v1</x:v>
      </x:c>
    </x:row>
    <x:row r="1718">
      <x:c r="A1718" s="38" t="str">
        <x:v>7月30日现场数据</x:v>
      </x:c>
      <x:c r="B1718" s="39" t="str">
        <x:v>2026-08-02T01:15:00</x:v>
      </x:c>
      <x:c r="C1718" s="39" t="str">
        <x:v>2026-08-02T01:45:00</x:v>
      </x:c>
      <x:c r="D1718" s="47" t="n">
        <x:v>30</x:v>
      </x:c>
      <x:c r="E1718" s="40" t="n">
        <x:v>15.9</x:v>
      </x:c>
      <x:c r="F1718" s="40" t="n">
        <x:v>14.714996337890625</x:v>
      </x:c>
      <x:c r="G1718" s="40" t="n">
        <x:v>15.9</x:v>
      </x:c>
      <x:c r="H1718" s="40" t="n">
        <x:f>F1718-E1718</x:f>
        <x:v>-1.1850036621093754</x:v>
      </x:c>
      <x:c r="I1718" s="40" t="n">
        <x:f>ABS(H1718)</x:f>
        <x:v>1.1850036621093754</x:v>
      </x:c>
      <x:c r="J1718" s="40" t="n">
        <x:f>H1718^2</x:f>
        <x:v>1.4042336792126306</x:v>
      </x:c>
      <x:c r="K1718" s="40" t="n">
        <x:f>G1718-E1718</x:f>
        <x:v>0</x:v>
      </x:c>
      <x:c r="L1718" s="40" t="n">
        <x:f>ABS(K1718)</x:f>
        <x:v>0</x:v>
      </x:c>
      <x:c r="M1718" s="41" t="str">
        <x:v>lstm-soil-v1</x:v>
      </x:c>
    </x:row>
    <x:row r="1719">
      <x:c r="A1719" s="38" t="str">
        <x:v>7月30日现场数据</x:v>
      </x:c>
      <x:c r="B1719" s="39" t="str">
        <x:v>2026-08-02T01:15:00</x:v>
      </x:c>
      <x:c r="C1719" s="39" t="str">
        <x:v>2026-08-02T02:15:00</x:v>
      </x:c>
      <x:c r="D1719" s="47" t="n">
        <x:v>60</x:v>
      </x:c>
      <x:c r="E1719" s="40" t="n">
        <x:v>15.9</x:v>
      </x:c>
      <x:c r="F1719" s="40" t="n">
        <x:v>16.32518768310547</x:v>
      </x:c>
      <x:c r="G1719" s="40" t="n">
        <x:v>15.9</x:v>
      </x:c>
      <x:c r="H1719" s="40" t="n">
        <x:f>F1719-E1719</x:f>
        <x:v>0.4251876831054684</x:v>
      </x:c>
      <x:c r="I1719" s="40" t="n">
        <x:f>ABS(H1719)</x:f>
        <x:v>0.4251876831054684</x:v>
      </x:c>
      <x:c r="J1719" s="40" t="n">
        <x:f>H1719^2</x:f>
        <x:v>0.1807845658645962</x:v>
      </x:c>
      <x:c r="K1719" s="40" t="n">
        <x:f>G1719-E1719</x:f>
        <x:v>0</x:v>
      </x:c>
      <x:c r="L1719" s="40" t="n">
        <x:f>ABS(K1719)</x:f>
        <x:v>0</x:v>
      </x:c>
      <x:c r="M1719" s="41" t="str">
        <x:v>lstm-soil-v1</x:v>
      </x:c>
    </x:row>
    <x:row r="1720">
      <x:c r="A1720" s="38" t="str">
        <x:v>7月30日现场数据</x:v>
      </x:c>
      <x:c r="B1720" s="39" t="str">
        <x:v>2026-08-02T01:20:00</x:v>
      </x:c>
      <x:c r="C1720" s="39" t="str">
        <x:v>2026-08-02T01:25:00</x:v>
      </x:c>
      <x:c r="D1720" s="47" t="n">
        <x:v>5</x:v>
      </x:c>
      <x:c r="E1720" s="40" t="n">
        <x:v>15.9</x:v>
      </x:c>
      <x:c r="F1720" s="40" t="n">
        <x:v>14.225101470947266</x:v>
      </x:c>
      <x:c r="G1720" s="40" t="n">
        <x:v>15.9</x:v>
      </x:c>
      <x:c r="H1720" s="40" t="n">
        <x:f>F1720-E1720</x:f>
        <x:v>-1.6748985290527347</x:v>
      </x:c>
      <x:c r="I1720" s="40" t="n">
        <x:f>ABS(H1720)</x:f>
        <x:v>1.6748985290527347</x:v>
      </x:c>
      <x:c r="J1720" s="40" t="n">
        <x:f>H1720^2</x:f>
        <x:v>2.8052850826230147</x:v>
      </x:c>
      <x:c r="K1720" s="40" t="n">
        <x:f>G1720-E1720</x:f>
        <x:v>0</x:v>
      </x:c>
      <x:c r="L1720" s="40" t="n">
        <x:f>ABS(K1720)</x:f>
        <x:v>0</x:v>
      </x:c>
      <x:c r="M1720" s="41" t="str">
        <x:v>lstm-soil-v1</x:v>
      </x:c>
    </x:row>
    <x:row r="1721">
      <x:c r="A1721" s="38" t="str">
        <x:v>7月30日现场数据</x:v>
      </x:c>
      <x:c r="B1721" s="39" t="str">
        <x:v>2026-08-02T01:20:00</x:v>
      </x:c>
      <x:c r="C1721" s="39" t="str">
        <x:v>2026-08-02T01:35:00</x:v>
      </x:c>
      <x:c r="D1721" s="47" t="n">
        <x:v>15</x:v>
      </x:c>
      <x:c r="E1721" s="40" t="n">
        <x:v>15.9</x:v>
      </x:c>
      <x:c r="F1721" s="40" t="n">
        <x:v>14.297931671142578</x:v>
      </x:c>
      <x:c r="G1721" s="40" t="n">
        <x:v>15.9</x:v>
      </x:c>
      <x:c r="H1721" s="40" t="n">
        <x:f>F1721-E1721</x:f>
        <x:v>-1.6020683288574222</x:v>
      </x:c>
      <x:c r="I1721" s="40" t="n">
        <x:f>ABS(H1721)</x:f>
        <x:v>1.6020683288574222</x:v>
      </x:c>
      <x:c r="J1721" s="40" t="n">
        <x:f>H1721^2</x:f>
        <x:v>2.5666229303280135</x:v>
      </x:c>
      <x:c r="K1721" s="40" t="n">
        <x:f>G1721-E1721</x:f>
        <x:v>0</x:v>
      </x:c>
      <x:c r="L1721" s="40" t="n">
        <x:f>ABS(K1721)</x:f>
        <x:v>0</x:v>
      </x:c>
      <x:c r="M1721" s="41" t="str">
        <x:v>lstm-soil-v1</x:v>
      </x:c>
    </x:row>
    <x:row r="1722">
      <x:c r="A1722" s="38" t="str">
        <x:v>7月30日现场数据</x:v>
      </x:c>
      <x:c r="B1722" s="39" t="str">
        <x:v>2026-08-02T01:20:00</x:v>
      </x:c>
      <x:c r="C1722" s="39" t="str">
        <x:v>2026-08-02T01:50:00</x:v>
      </x:c>
      <x:c r="D1722" s="47" t="n">
        <x:v>30</x:v>
      </x:c>
      <x:c r="E1722" s="40" t="n">
        <x:v>15.9</x:v>
      </x:c>
      <x:c r="F1722" s="40" t="n">
        <x:v>14.716827392578125</x:v>
      </x:c>
      <x:c r="G1722" s="40" t="n">
        <x:v>15.9</x:v>
      </x:c>
      <x:c r="H1722" s="40" t="n">
        <x:f>F1722-E1722</x:f>
        <x:v>-1.1831726074218754</x:v>
      </x:c>
      <x:c r="I1722" s="40" t="n">
        <x:f>ABS(H1722)</x:f>
        <x:v>1.1831726074218754</x:v>
      </x:c>
      <x:c r="J1722" s="40" t="n">
        <x:f>H1722^2</x:f>
        <x:v>1.3998974189534792</x:v>
      </x:c>
      <x:c r="K1722" s="40" t="n">
        <x:f>G1722-E1722</x:f>
        <x:v>0</x:v>
      </x:c>
      <x:c r="L1722" s="40" t="n">
        <x:f>ABS(K1722)</x:f>
        <x:v>0</x:v>
      </x:c>
      <x:c r="M1722" s="41" t="str">
        <x:v>lstm-soil-v1</x:v>
      </x:c>
    </x:row>
    <x:row r="1723">
      <x:c r="A1723" s="38" t="str">
        <x:v>7月30日现场数据</x:v>
      </x:c>
      <x:c r="B1723" s="39" t="str">
        <x:v>2026-08-02T01:20:00</x:v>
      </x:c>
      <x:c r="C1723" s="39" t="str">
        <x:v>2026-08-02T02:20:00</x:v>
      </x:c>
      <x:c r="D1723" s="47" t="n">
        <x:v>60</x:v>
      </x:c>
      <x:c r="E1723" s="40" t="n">
        <x:v>15.9</x:v>
      </x:c>
      <x:c r="F1723" s="40" t="n">
        <x:v>16.32504653930664</x:v>
      </x:c>
      <x:c r="G1723" s="40" t="n">
        <x:v>15.9</x:v>
      </x:c>
      <x:c r="H1723" s="40" t="n">
        <x:f>F1723-E1723</x:f>
        <x:v>0.42504653930664027</x:v>
      </x:c>
      <x:c r="I1723" s="40" t="n">
        <x:f>ABS(H1723)</x:f>
        <x:v>0.42504653930664027</x:v>
      </x:c>
      <x:c r="J1723" s="40" t="n">
        <x:f>H1723^2</x:f>
        <x:v>0.18066456057655128</x:v>
      </x:c>
      <x:c r="K1723" s="40" t="n">
        <x:f>G1723-E1723</x:f>
        <x:v>0</x:v>
      </x:c>
      <x:c r="L1723" s="40" t="n">
        <x:f>ABS(K1723)</x:f>
        <x:v>0</x:v>
      </x:c>
      <x:c r="M1723" s="41" t="str">
        <x:v>lstm-soil-v1</x:v>
      </x:c>
    </x:row>
    <x:row r="1724">
      <x:c r="A1724" s="38" t="str">
        <x:v>7月30日现场数据</x:v>
      </x:c>
      <x:c r="B1724" s="39" t="str">
        <x:v>2026-08-02T01:25:00</x:v>
      </x:c>
      <x:c r="C1724" s="39" t="str">
        <x:v>2026-08-02T01:30:00</x:v>
      </x:c>
      <x:c r="D1724" s="47" t="n">
        <x:v>5</x:v>
      </x:c>
      <x:c r="E1724" s="40" t="n">
        <x:v>15.9</x:v>
      </x:c>
      <x:c r="F1724" s="40" t="n">
        <x:v>14.225666046142578</x:v>
      </x:c>
      <x:c r="G1724" s="40" t="n">
        <x:v>15.9</x:v>
      </x:c>
      <x:c r="H1724" s="40" t="n">
        <x:f>F1724-E1724</x:f>
        <x:v>-1.6743339538574222</x:v>
      </x:c>
      <x:c r="I1724" s="40" t="n">
        <x:f>ABS(H1724)</x:f>
        <x:v>1.6743339538574222</x:v>
      </x:c>
      <x:c r="J1724" s="40" t="n">
        <x:f>H1724^2</x:f>
        <x:v>2.8033941890398286</x:v>
      </x:c>
      <x:c r="K1724" s="40" t="n">
        <x:f>G1724-E1724</x:f>
        <x:v>0</x:v>
      </x:c>
      <x:c r="L1724" s="40" t="n">
        <x:f>ABS(K1724)</x:f>
        <x:v>0</x:v>
      </x:c>
      <x:c r="M1724" s="41" t="str">
        <x:v>lstm-soil-v1</x:v>
      </x:c>
    </x:row>
    <x:row r="1725">
      <x:c r="A1725" s="38" t="str">
        <x:v>7月30日现场数据</x:v>
      </x:c>
      <x:c r="B1725" s="39" t="str">
        <x:v>2026-08-02T01:25:00</x:v>
      </x:c>
      <x:c r="C1725" s="39" t="str">
        <x:v>2026-08-02T01:40:00</x:v>
      </x:c>
      <x:c r="D1725" s="47" t="n">
        <x:v>15</x:v>
      </x:c>
      <x:c r="E1725" s="40" t="n">
        <x:v>15.9</x:v>
      </x:c>
      <x:c r="F1725" s="40" t="n">
        <x:v>14.298095703125</x:v>
      </x:c>
      <x:c r="G1725" s="40" t="n">
        <x:v>15.9</x:v>
      </x:c>
      <x:c r="H1725" s="40" t="n">
        <x:f>F1725-E1725</x:f>
        <x:v>-1.6019042968750004</x:v>
      </x:c>
      <x:c r="I1725" s="40" t="n">
        <x:f>ABS(H1725)</x:f>
        <x:v>1.6019042968750004</x:v>
      </x:c>
      <x:c r="J1725" s="40" t="n">
        <x:f>H1725^2</x:f>
        <x:v>2.566097376346589</x:v>
      </x:c>
      <x:c r="K1725" s="40" t="n">
        <x:f>G1725-E1725</x:f>
        <x:v>0</x:v>
      </x:c>
      <x:c r="L1725" s="40" t="n">
        <x:f>ABS(K1725)</x:f>
        <x:v>0</x:v>
      </x:c>
      <x:c r="M1725" s="41" t="str">
        <x:v>lstm-soil-v1</x:v>
      </x:c>
    </x:row>
    <x:row r="1726">
      <x:c r="A1726" s="38" t="str">
        <x:v>7月30日现场数据</x:v>
      </x:c>
      <x:c r="B1726" s="39" t="str">
        <x:v>2026-08-02T01:25:00</x:v>
      </x:c>
      <x:c r="C1726" s="39" t="str">
        <x:v>2026-08-02T01:55:00</x:v>
      </x:c>
      <x:c r="D1726" s="47" t="n">
        <x:v>30</x:v>
      </x:c>
      <x:c r="E1726" s="40" t="n">
        <x:v>15.9</x:v>
      </x:c>
      <x:c r="F1726" s="40" t="n">
        <x:v>14.718460083007812</x:v>
      </x:c>
      <x:c r="G1726" s="40" t="n">
        <x:v>15.9</x:v>
      </x:c>
      <x:c r="H1726" s="40" t="n">
        <x:f>F1726-E1726</x:f>
        <x:v>-1.1815399169921879</x:v>
      </x:c>
      <x:c r="I1726" s="40" t="n">
        <x:f>ABS(H1726)</x:f>
        <x:v>1.1815399169921879</x:v>
      </x:c>
      <x:c r="J1726" s="40" t="n">
        <x:f>H1726^2</x:f>
        <x:v>1.396036575445906</x:v>
      </x:c>
      <x:c r="K1726" s="40" t="n">
        <x:f>G1726-E1726</x:f>
        <x:v>0</x:v>
      </x:c>
      <x:c r="L1726" s="40" t="n">
        <x:f>ABS(K1726)</x:f>
        <x:v>0</x:v>
      </x:c>
      <x:c r="M1726" s="41" t="str">
        <x:v>lstm-soil-v1</x:v>
      </x:c>
    </x:row>
    <x:row r="1727">
      <x:c r="A1727" s="38" t="str">
        <x:v>7月30日现场数据</x:v>
      </x:c>
      <x:c r="B1727" s="39" t="str">
        <x:v>2026-08-02T01:25:00</x:v>
      </x:c>
      <x:c r="C1727" s="39" t="str">
        <x:v>2026-08-02T02:25:00</x:v>
      </x:c>
      <x:c r="D1727" s="47" t="n">
        <x:v>60</x:v>
      </x:c>
      <x:c r="E1727" s="40" t="n">
        <x:v>15.9</x:v>
      </x:c>
      <x:c r="F1727" s="40" t="n">
        <x:v>16.325363159179688</x:v>
      </x:c>
      <x:c r="G1727" s="40" t="n">
        <x:v>15.9</x:v>
      </x:c>
      <x:c r="H1727" s="40" t="n">
        <x:f>F1727-E1727</x:f>
        <x:v>0.42536315917968714</x:v>
      </x:c>
      <x:c r="I1727" s="40" t="n">
        <x:f>ABS(H1727)</x:f>
        <x:v>0.42536315917968714</x:v>
      </x:c>
      <x:c r="J1727" s="40" t="n">
        <x:f>H1727^2</x:f>
        <x:v>0.18093381718732388</x:v>
      </x:c>
      <x:c r="K1727" s="40" t="n">
        <x:f>G1727-E1727</x:f>
        <x:v>0</x:v>
      </x:c>
      <x:c r="L1727" s="40" t="n">
        <x:f>ABS(K1727)</x:f>
        <x:v>0</x:v>
      </x:c>
      <x:c r="M1727" s="41" t="str">
        <x:v>lstm-soil-v1</x:v>
      </x:c>
    </x:row>
    <x:row r="1728">
      <x:c r="A1728" s="38" t="str">
        <x:v>7月30日现场数据</x:v>
      </x:c>
      <x:c r="B1728" s="39" t="str">
        <x:v>2026-08-02T01:30:00</x:v>
      </x:c>
      <x:c r="C1728" s="39" t="str">
        <x:v>2026-08-02T01:35:00</x:v>
      </x:c>
      <x:c r="D1728" s="47" t="n">
        <x:v>5</x:v>
      </x:c>
      <x:c r="E1728" s="40" t="n">
        <x:v>15.9</x:v>
      </x:c>
      <x:c r="F1728" s="40" t="n">
        <x:v>14.226253509521484</x:v>
      </x:c>
      <x:c r="G1728" s="40" t="n">
        <x:v>15.9</x:v>
      </x:c>
      <x:c r="H1728" s="40" t="n">
        <x:f>F1728-E1728</x:f>
        <x:v>-1.673746490478516</x:v>
      </x:c>
      <x:c r="I1728" s="40" t="n">
        <x:f>ABS(H1728)</x:f>
        <x:v>1.673746490478516</x:v>
      </x:c>
      <x:c r="J1728" s="40" t="n">
        <x:f>H1728^2</x:f>
        <x:v>2.801427314389149</x:v>
      </x:c>
      <x:c r="K1728" s="40" t="n">
        <x:f>G1728-E1728</x:f>
        <x:v>0</x:v>
      </x:c>
      <x:c r="L1728" s="40" t="n">
        <x:f>ABS(K1728)</x:f>
        <x:v>0</x:v>
      </x:c>
      <x:c r="M1728" s="41" t="str">
        <x:v>lstm-soil-v1</x:v>
      </x:c>
    </x:row>
    <x:row r="1729">
      <x:c r="A1729" s="38" t="str">
        <x:v>7月30日现场数据</x:v>
      </x:c>
      <x:c r="B1729" s="39" t="str">
        <x:v>2026-08-02T01:30:00</x:v>
      </x:c>
      <x:c r="C1729" s="39" t="str">
        <x:v>2026-08-02T01:45:00</x:v>
      </x:c>
      <x:c r="D1729" s="47" t="n">
        <x:v>15</x:v>
      </x:c>
      <x:c r="E1729" s="40" t="n">
        <x:v>15.9</x:v>
      </x:c>
      <x:c r="F1729" s="40" t="n">
        <x:v>14.298316955566406</x:v>
      </x:c>
      <x:c r="G1729" s="40" t="n">
        <x:v>15.9</x:v>
      </x:c>
      <x:c r="H1729" s="40" t="n">
        <x:f>F1729-E1729</x:f>
        <x:v>-1.601683044433594</x:v>
      </x:c>
      <x:c r="I1729" s="40" t="n">
        <x:f>ABS(H1729)</x:f>
        <x:v>1.601683044433594</x:v>
      </x:c>
      <x:c r="J1729" s="40" t="n">
        <x:f>H1729^2</x:f>
        <x:v>2.5653885748260667</x:v>
      </x:c>
      <x:c r="K1729" s="40" t="n">
        <x:f>G1729-E1729</x:f>
        <x:v>0</x:v>
      </x:c>
      <x:c r="L1729" s="40" t="n">
        <x:f>ABS(K1729)</x:f>
        <x:v>0</x:v>
      </x:c>
      <x:c r="M1729" s="41" t="str">
        <x:v>lstm-soil-v1</x:v>
      </x:c>
    </x:row>
    <x:row r="1730">
      <x:c r="A1730" s="38" t="str">
        <x:v>7月30日现场数据</x:v>
      </x:c>
      <x:c r="B1730" s="39" t="str">
        <x:v>2026-08-02T01:30:00</x:v>
      </x:c>
      <x:c r="C1730" s="39" t="str">
        <x:v>2026-08-02T02:00:00</x:v>
      </x:c>
      <x:c r="D1730" s="47" t="n">
        <x:v>30</x:v>
      </x:c>
      <x:c r="E1730" s="40" t="n">
        <x:v>15.9</x:v>
      </x:c>
      <x:c r="F1730" s="40" t="n">
        <x:v>14.71988296508789</x:v>
      </x:c>
      <x:c r="G1730" s="40" t="n">
        <x:v>15.9</x:v>
      </x:c>
      <x:c r="H1730" s="40" t="n">
        <x:f>F1730-E1730</x:f>
        <x:v>-1.1801170349121097</x:v>
      </x:c>
      <x:c r="I1730" s="40" t="n">
        <x:f>ABS(H1730)</x:f>
        <x:v>1.1801170349121097</x:v>
      </x:c>
      <x:c r="J1730" s="40" t="n">
        <x:f>H1730^2</x:f>
        <x:v>1.3926762160897497</x:v>
      </x:c>
      <x:c r="K1730" s="40" t="n">
        <x:f>G1730-E1730</x:f>
        <x:v>0</x:v>
      </x:c>
      <x:c r="L1730" s="40" t="n">
        <x:f>ABS(K1730)</x:f>
        <x:v>0</x:v>
      </x:c>
      <x:c r="M1730" s="41" t="str">
        <x:v>lstm-soil-v1</x:v>
      </x:c>
    </x:row>
    <x:row r="1731">
      <x:c r="A1731" s="38" t="str">
        <x:v>7月30日现场数据</x:v>
      </x:c>
      <x:c r="B1731" s="39" t="str">
        <x:v>2026-08-02T01:30:00</x:v>
      </x:c>
      <x:c r="C1731" s="39" t="str">
        <x:v>2026-08-02T02:30:00</x:v>
      </x:c>
      <x:c r="D1731" s="47" t="n">
        <x:v>60</x:v>
      </x:c>
      <x:c r="E1731" s="40" t="n">
        <x:v>15.9</x:v>
      </x:c>
      <x:c r="F1731" s="40" t="n">
        <x:v>16.325889587402344</x:v>
      </x:c>
      <x:c r="G1731" s="40" t="n">
        <x:v>15.9</x:v>
      </x:c>
      <x:c r="H1731" s="40" t="n">
        <x:f>F1731-E1731</x:f>
        <x:v>0.4258895874023434</x:v>
      </x:c>
      <x:c r="I1731" s="40" t="n">
        <x:f>ABS(H1731)</x:f>
        <x:v>0.4258895874023434</x:v>
      </x:c>
      <x:c r="J1731" s="40" t="n">
        <x:f>H1731^2</x:f>
        <x:v>0.1813819406577383</x:v>
      </x:c>
      <x:c r="K1731" s="40" t="n">
        <x:f>G1731-E1731</x:f>
        <x:v>0</x:v>
      </x:c>
      <x:c r="L1731" s="40" t="n">
        <x:f>ABS(K1731)</x:f>
        <x:v>0</x:v>
      </x:c>
      <x:c r="M1731" s="41" t="str">
        <x:v>lstm-soil-v1</x:v>
      </x:c>
    </x:row>
    <x:row r="1732">
      <x:c r="A1732" s="38" t="str">
        <x:v>7月30日现场数据</x:v>
      </x:c>
      <x:c r="B1732" s="39" t="str">
        <x:v>2026-08-02T01:35:00</x:v>
      </x:c>
      <x:c r="C1732" s="39" t="str">
        <x:v>2026-08-02T01:40:00</x:v>
      </x:c>
      <x:c r="D1732" s="47" t="n">
        <x:v>5</x:v>
      </x:c>
      <x:c r="E1732" s="40" t="n">
        <x:v>15.9</x:v>
      </x:c>
      <x:c r="F1732" s="40" t="n">
        <x:v>14.226753234863281</x:v>
      </x:c>
      <x:c r="G1732" s="40" t="n">
        <x:v>15.9</x:v>
      </x:c>
      <x:c r="H1732" s="40" t="n">
        <x:f>F1732-E1732</x:f>
        <x:v>-1.673246765136719</x:v>
      </x:c>
      <x:c r="I1732" s="40" t="n">
        <x:f>ABS(H1732)</x:f>
        <x:v>1.673246765136719</x:v>
      </x:c>
      <x:c r="J1732" s="40" t="n">
        <x:f>H1732^2</x:f>
        <x:v>2.799754737040495</x:v>
      </x:c>
      <x:c r="K1732" s="40" t="n">
        <x:f>G1732-E1732</x:f>
        <x:v>0</x:v>
      </x:c>
      <x:c r="L1732" s="40" t="n">
        <x:f>ABS(K1732)</x:f>
        <x:v>0</x:v>
      </x:c>
      <x:c r="M1732" s="41" t="str">
        <x:v>lstm-soil-v1</x:v>
      </x:c>
    </x:row>
    <x:row r="1733">
      <x:c r="A1733" s="38" t="str">
        <x:v>7月30日现场数据</x:v>
      </x:c>
      <x:c r="B1733" s="39" t="str">
        <x:v>2026-08-02T01:35:00</x:v>
      </x:c>
      <x:c r="C1733" s="39" t="str">
        <x:v>2026-08-02T01:50:00</x:v>
      </x:c>
      <x:c r="D1733" s="47" t="n">
        <x:v>15</x:v>
      </x:c>
      <x:c r="E1733" s="40" t="n">
        <x:v>15.9</x:v>
      </x:c>
      <x:c r="F1733" s="40" t="n">
        <x:v>14.29848861694336</x:v>
      </x:c>
      <x:c r="G1733" s="40" t="n">
        <x:v>15.9</x:v>
      </x:c>
      <x:c r="H1733" s="40" t="n">
        <x:f>F1733-E1733</x:f>
        <x:v>-1.601511383056641</x:v>
      </x:c>
      <x:c r="I1733" s="40" t="n">
        <x:f>ABS(H1733)</x:f>
        <x:v>1.601511383056641</x:v>
      </x:c>
      <x:c r="J1733" s="40" t="n">
        <x:f>H1733^2</x:f>
        <x:v>2.564838710059995</x:v>
      </x:c>
      <x:c r="K1733" s="40" t="n">
        <x:f>G1733-E1733</x:f>
        <x:v>0</x:v>
      </x:c>
      <x:c r="L1733" s="40" t="n">
        <x:f>ABS(K1733)</x:f>
        <x:v>0</x:v>
      </x:c>
      <x:c r="M1733" s="41" t="str">
        <x:v>lstm-soil-v1</x:v>
      </x:c>
    </x:row>
    <x:row r="1734">
      <x:c r="A1734" s="38" t="str">
        <x:v>7月30日现场数据</x:v>
      </x:c>
      <x:c r="B1734" s="39" t="str">
        <x:v>2026-08-02T01:35:00</x:v>
      </x:c>
      <x:c r="C1734" s="39" t="str">
        <x:v>2026-08-02T02:05:00</x:v>
      </x:c>
      <x:c r="D1734" s="47" t="n">
        <x:v>30</x:v>
      </x:c>
      <x:c r="E1734" s="40" t="n">
        <x:v>15.9</x:v>
      </x:c>
      <x:c r="F1734" s="40" t="n">
        <x:v>14.720977783203125</x:v>
      </x:c>
      <x:c r="G1734" s="40" t="n">
        <x:v>15.9</x:v>
      </x:c>
      <x:c r="H1734" s="40" t="n">
        <x:f>F1734-E1734</x:f>
        <x:v>-1.1790222167968754</x:v>
      </x:c>
      <x:c r="I1734" s="40" t="n">
        <x:f>ABS(H1734)</x:f>
        <x:v>1.1790222167968754</x:v>
      </x:c>
      <x:c r="J1734" s="40" t="n">
        <x:f>H1734^2</x:f>
        <x:v>1.390093387700618</x:v>
      </x:c>
      <x:c r="K1734" s="40" t="n">
        <x:f>G1734-E1734</x:f>
        <x:v>0</x:v>
      </x:c>
      <x:c r="L1734" s="40" t="n">
        <x:f>ABS(K1734)</x:f>
        <x:v>0</x:v>
      </x:c>
      <x:c r="M1734" s="41" t="str">
        <x:v>lstm-soil-v1</x:v>
      </x:c>
    </x:row>
    <x:row r="1735">
      <x:c r="A1735" s="38" t="str">
        <x:v>7月30日现场数据</x:v>
      </x:c>
      <x:c r="B1735" s="39" t="str">
        <x:v>2026-08-02T01:35:00</x:v>
      </x:c>
      <x:c r="C1735" s="39" t="str">
        <x:v>2026-08-02T02:35:00</x:v>
      </x:c>
      <x:c r="D1735" s="47" t="n">
        <x:v>60</x:v>
      </x:c>
      <x:c r="E1735" s="40" t="n">
        <x:v>15.9</x:v>
      </x:c>
      <x:c r="F1735" s="40" t="n">
        <x:v>16.32645034790039</x:v>
      </x:c>
      <x:c r="G1735" s="40" t="n">
        <x:v>15.9</x:v>
      </x:c>
      <x:c r="H1735" s="40" t="n">
        <x:f>F1735-E1735</x:f>
        <x:v>0.42645034790039027</x:v>
      </x:c>
      <x:c r="I1735" s="40" t="n">
        <x:f>ABS(H1735)</x:f>
        <x:v>0.42645034790039027</x:v>
      </x:c>
      <x:c r="J1735" s="40" t="n">
        <x:f>H1735^2</x:f>
        <x:v>0.1818598992243639</x:v>
      </x:c>
      <x:c r="K1735" s="40" t="n">
        <x:f>G1735-E1735</x:f>
        <x:v>0</x:v>
      </x:c>
      <x:c r="L1735" s="40" t="n">
        <x:f>ABS(K1735)</x:f>
        <x:v>0</x:v>
      </x:c>
      <x:c r="M1735" s="41" t="str">
        <x:v>lstm-soil-v1</x:v>
      </x:c>
    </x:row>
    <x:row r="1736">
      <x:c r="A1736" s="38" t="str">
        <x:v>7月30日现场数据</x:v>
      </x:c>
      <x:c r="B1736" s="39" t="str">
        <x:v>2026-08-02T01:40:00</x:v>
      </x:c>
      <x:c r="C1736" s="39" t="str">
        <x:v>2026-08-02T01:45:00</x:v>
      </x:c>
      <x:c r="D1736" s="47" t="n">
        <x:v>5</x:v>
      </x:c>
      <x:c r="E1736" s="40" t="n">
        <x:v>15.9</x:v>
      </x:c>
      <x:c r="F1736" s="40" t="n">
        <x:v>14.227184295654297</x:v>
      </x:c>
      <x:c r="G1736" s="40" t="n">
        <x:v>15.9</x:v>
      </x:c>
      <x:c r="H1736" s="40" t="n">
        <x:f>F1736-E1736</x:f>
        <x:v>-1.6728157043457035</x:v>
      </x:c>
      <x:c r="I1736" s="40" t="n">
        <x:f>ABS(H1736)</x:f>
        <x:v>1.6728157043457035</x:v>
      </x:c>
      <x:c r="J1736" s="40" t="n">
        <x:f>H1736^2</x:f>
        <x:v>2.798312380705612</x:v>
      </x:c>
      <x:c r="K1736" s="40" t="n">
        <x:f>G1736-E1736</x:f>
        <x:v>0</x:v>
      </x:c>
      <x:c r="L1736" s="40" t="n">
        <x:f>ABS(K1736)</x:f>
        <x:v>0</x:v>
      </x:c>
      <x:c r="M1736" s="41" t="str">
        <x:v>lstm-soil-v1</x:v>
      </x:c>
    </x:row>
    <x:row r="1737">
      <x:c r="A1737" s="38" t="str">
        <x:v>7月30日现场数据</x:v>
      </x:c>
      <x:c r="B1737" s="39" t="str">
        <x:v>2026-08-02T01:40:00</x:v>
      </x:c>
      <x:c r="C1737" s="39" t="str">
        <x:v>2026-08-02T01:55:00</x:v>
      </x:c>
      <x:c r="D1737" s="47" t="n">
        <x:v>15</x:v>
      </x:c>
      <x:c r="E1737" s="40" t="n">
        <x:v>15.9</x:v>
      </x:c>
      <x:c r="F1737" s="40" t="n">
        <x:v>14.298664093017578</x:v>
      </x:c>
      <x:c r="G1737" s="40" t="n">
        <x:v>15.9</x:v>
      </x:c>
      <x:c r="H1737" s="40" t="n">
        <x:f>F1737-E1737</x:f>
        <x:v>-1.6013359069824222</x:v>
      </x:c>
      <x:c r="I1737" s="40" t="n">
        <x:f>ABS(H1737)</x:f>
        <x:v>1.6013359069824222</x:v>
      </x:c>
      <x:c r="J1737" s="40" t="n">
        <x:f>H1737^2</x:f>
        <x:v>2.564276686991217</x:v>
      </x:c>
      <x:c r="K1737" s="40" t="n">
        <x:f>G1737-E1737</x:f>
        <x:v>0</x:v>
      </x:c>
      <x:c r="L1737" s="40" t="n">
        <x:f>ABS(K1737)</x:f>
        <x:v>0</x:v>
      </x:c>
      <x:c r="M1737" s="41" t="str">
        <x:v>lstm-soil-v1</x:v>
      </x:c>
    </x:row>
    <x:row r="1738">
      <x:c r="A1738" s="38" t="str">
        <x:v>7月30日现场数据</x:v>
      </x:c>
      <x:c r="B1738" s="39" t="str">
        <x:v>2026-08-02T01:40:00</x:v>
      </x:c>
      <x:c r="C1738" s="39" t="str">
        <x:v>2026-08-02T02:10:00</x:v>
      </x:c>
      <x:c r="D1738" s="47" t="n">
        <x:v>30</x:v>
      </x:c>
      <x:c r="E1738" s="40" t="n">
        <x:v>15.9</x:v>
      </x:c>
      <x:c r="F1738" s="40" t="n">
        <x:v>14.721866607666016</x:v>
      </x:c>
      <x:c r="G1738" s="40" t="n">
        <x:v>15.9</x:v>
      </x:c>
      <x:c r="H1738" s="40" t="n">
        <x:f>F1738-E1738</x:f>
        <x:v>-1.1781333923339847</x:v>
      </x:c>
      <x:c r="I1738" s="40" t="n">
        <x:f>ABS(H1738)</x:f>
        <x:v>1.1781333923339847</x:v>
      </x:c>
      <x:c r="J1738" s="40" t="n">
        <x:f>H1738^2</x:f>
        <x:v>1.3879982901323829</x:v>
      </x:c>
      <x:c r="K1738" s="40" t="n">
        <x:f>G1738-E1738</x:f>
        <x:v>0</x:v>
      </x:c>
      <x:c r="L1738" s="40" t="n">
        <x:f>ABS(K1738)</x:f>
        <x:v>0</x:v>
      </x:c>
      <x:c r="M1738" s="41" t="str">
        <x:v>lstm-soil-v1</x:v>
      </x:c>
    </x:row>
    <x:row r="1739">
      <x:c r="A1739" s="38" t="str">
        <x:v>7月30日现场数据</x:v>
      </x:c>
      <x:c r="B1739" s="39" t="str">
        <x:v>2026-08-02T01:40:00</x:v>
      </x:c>
      <x:c r="C1739" s="39" t="str">
        <x:v>2026-08-02T02:40:00</x:v>
      </x:c>
      <x:c r="D1739" s="47" t="n">
        <x:v>60</x:v>
      </x:c>
      <x:c r="E1739" s="40" t="n">
        <x:v>15.9</x:v>
      </x:c>
      <x:c r="F1739" s="40" t="n">
        <x:v>16.32697296142578</x:v>
      </x:c>
      <x:c r="G1739" s="40" t="n">
        <x:v>15.9</x:v>
      </x:c>
      <x:c r="H1739" s="40" t="n">
        <x:f>F1739-E1739</x:f>
        <x:v>0.4269729614257809</x:v>
      </x:c>
      <x:c r="I1739" s="40" t="n">
        <x:f>ABS(H1739)</x:f>
        <x:v>0.4269729614257809</x:v>
      </x:c>
      <x:c r="J1739" s="40" t="n">
        <x:f>H1739^2</x:f>
        <x:v>0.18230590978870137</x:v>
      </x:c>
      <x:c r="K1739" s="40" t="n">
        <x:f>G1739-E1739</x:f>
        <x:v>0</x:v>
      </x:c>
      <x:c r="L1739" s="40" t="n">
        <x:f>ABS(K1739)</x:f>
        <x:v>0</x:v>
      </x:c>
      <x:c r="M1739" s="41" t="str">
        <x:v>lstm-soil-v1</x:v>
      </x:c>
    </x:row>
    <x:row r="1740">
      <x:c r="A1740" s="38" t="str">
        <x:v>7月30日现场数据</x:v>
      </x:c>
      <x:c r="B1740" s="39" t="str">
        <x:v>2026-08-02T01:45:00</x:v>
      </x:c>
      <x:c r="C1740" s="39" t="str">
        <x:v>2026-08-02T01:50:00</x:v>
      </x:c>
      <x:c r="D1740" s="47" t="n">
        <x:v>5</x:v>
      </x:c>
      <x:c r="E1740" s="40" t="n">
        <x:v>15.9</x:v>
      </x:c>
      <x:c r="F1740" s="40" t="n">
        <x:v>14.227516174316406</x:v>
      </x:c>
      <x:c r="G1740" s="40" t="n">
        <x:v>15.9</x:v>
      </x:c>
      <x:c r="H1740" s="40" t="n">
        <x:f>F1740-E1740</x:f>
        <x:v>-1.672483825683594</x:v>
      </x:c>
      <x:c r="I1740" s="40" t="n">
        <x:f>ABS(H1740)</x:f>
        <x:v>1.672483825683594</x:v>
      </x:c>
      <x:c r="J1740" s="40" t="n">
        <x:f>H1740^2</x:f>
        <x:v>2.797202147173231</x:v>
      </x:c>
      <x:c r="K1740" s="40" t="n">
        <x:f>G1740-E1740</x:f>
        <x:v>0</x:v>
      </x:c>
      <x:c r="L1740" s="40" t="n">
        <x:f>ABS(K1740)</x:f>
        <x:v>0</x:v>
      </x:c>
      <x:c r="M1740" s="41" t="str">
        <x:v>lstm-soil-v1</x:v>
      </x:c>
    </x:row>
    <x:row r="1741">
      <x:c r="A1741" s="38" t="str">
        <x:v>7月30日现场数据</x:v>
      </x:c>
      <x:c r="B1741" s="39" t="str">
        <x:v>2026-08-02T01:45:00</x:v>
      </x:c>
      <x:c r="C1741" s="39" t="str">
        <x:v>2026-08-02T02:00:00</x:v>
      </x:c>
      <x:c r="D1741" s="47" t="n">
        <x:v>15</x:v>
      </x:c>
      <x:c r="E1741" s="40" t="n">
        <x:v>15.9</x:v>
      </x:c>
      <x:c r="F1741" s="40" t="n">
        <x:v>14.298805236816406</x:v>
      </x:c>
      <x:c r="G1741" s="40" t="n">
        <x:v>15.9</x:v>
      </x:c>
      <x:c r="H1741" s="40" t="n">
        <x:f>F1741-E1741</x:f>
        <x:v>-1.601194763183594</x:v>
      </x:c>
      <x:c r="I1741" s="40" t="n">
        <x:f>ABS(H1741)</x:f>
        <x:v>1.601194763183594</x:v>
      </x:c>
      <x:c r="J1741" s="40" t="n">
        <x:f>H1741^2</x:f>
        <x:v>2.563824669646566</x:v>
      </x:c>
      <x:c r="K1741" s="40" t="n">
        <x:f>G1741-E1741</x:f>
        <x:v>0</x:v>
      </x:c>
      <x:c r="L1741" s="40" t="n">
        <x:f>ABS(K1741)</x:f>
        <x:v>0</x:v>
      </x:c>
      <x:c r="M1741" s="41" t="str">
        <x:v>lstm-soil-v1</x:v>
      </x:c>
    </x:row>
    <x:row r="1742">
      <x:c r="A1742" s="38" t="str">
        <x:v>7月30日现场数据</x:v>
      </x:c>
      <x:c r="B1742" s="39" t="str">
        <x:v>2026-08-02T01:45:00</x:v>
      </x:c>
      <x:c r="C1742" s="39" t="str">
        <x:v>2026-08-02T02:15:00</x:v>
      </x:c>
      <x:c r="D1742" s="47" t="n">
        <x:v>30</x:v>
      </x:c>
      <x:c r="E1742" s="40" t="n">
        <x:v>15.9</x:v>
      </x:c>
      <x:c r="F1742" s="40" t="n">
        <x:v>14.722530364990234</x:v>
      </x:c>
      <x:c r="G1742" s="40" t="n">
        <x:v>15.9</x:v>
      </x:c>
      <x:c r="H1742" s="40" t="n">
        <x:f>F1742-E1742</x:f>
        <x:v>-1.177469635009766</x:v>
      </x:c>
      <x:c r="I1742" s="40" t="n">
        <x:f>ABS(H1742)</x:f>
        <x:v>1.177469635009766</x:v>
      </x:c>
      <x:c r="J1742" s="40" t="n">
        <x:f>H1742^2</x:f>
        <x:v>1.3864347413700315</x:v>
      </x:c>
      <x:c r="K1742" s="40" t="n">
        <x:f>G1742-E1742</x:f>
        <x:v>0</x:v>
      </x:c>
      <x:c r="L1742" s="40" t="n">
        <x:f>ABS(K1742)</x:f>
        <x:v>0</x:v>
      </x:c>
      <x:c r="M1742" s="41" t="str">
        <x:v>lstm-soil-v1</x:v>
      </x:c>
    </x:row>
    <x:row r="1743">
      <x:c r="A1743" s="38" t="str">
        <x:v>7月30日现场数据</x:v>
      </x:c>
      <x:c r="B1743" s="39" t="str">
        <x:v>2026-08-02T01:45:00</x:v>
      </x:c>
      <x:c r="C1743" s="39" t="str">
        <x:v>2026-08-02T02:45:00</x:v>
      </x:c>
      <x:c r="D1743" s="47" t="n">
        <x:v>60</x:v>
      </x:c>
      <x:c r="E1743" s="40" t="n">
        <x:v>15.9</x:v>
      </x:c>
      <x:c r="F1743" s="40" t="n">
        <x:v>16.32742691040039</x:v>
      </x:c>
      <x:c r="G1743" s="40" t="n">
        <x:v>15.9</x:v>
      </x:c>
      <x:c r="H1743" s="40" t="n">
        <x:f>F1743-E1743</x:f>
        <x:v>0.42742691040039027</x:v>
      </x:c>
      <x:c r="I1743" s="40" t="n">
        <x:f>ABS(H1743)</x:f>
        <x:v>0.42742691040039027</x:v>
      </x:c>
      <x:c r="J1743" s="40" t="n">
        <x:f>H1743^2</x:f>
        <x:v>0.18269376373442325</x:v>
      </x:c>
      <x:c r="K1743" s="40" t="n">
        <x:f>G1743-E1743</x:f>
        <x:v>0</x:v>
      </x:c>
      <x:c r="L1743" s="40" t="n">
        <x:f>ABS(K1743)</x:f>
        <x:v>0</x:v>
      </x:c>
      <x:c r="M1743" s="41" t="str">
        <x:v>lstm-soil-v1</x:v>
      </x:c>
    </x:row>
    <x:row r="1744">
      <x:c r="A1744" s="38" t="str">
        <x:v>7月30日现场数据</x:v>
      </x:c>
      <x:c r="B1744" s="39" t="str">
        <x:v>2026-08-02T01:50:00</x:v>
      </x:c>
      <x:c r="C1744" s="39" t="str">
        <x:v>2026-08-02T01:55:00</x:v>
      </x:c>
      <x:c r="D1744" s="47" t="n">
        <x:v>5</x:v>
      </x:c>
      <x:c r="E1744" s="40" t="n">
        <x:v>15.9</x:v>
      </x:c>
      <x:c r="F1744" s="40" t="n">
        <x:v>14.227767944335938</x:v>
      </x:c>
      <x:c r="G1744" s="40" t="n">
        <x:v>15.9</x:v>
      </x:c>
      <x:c r="H1744" s="40" t="n">
        <x:f>F1744-E1744</x:f>
        <x:v>-1.6722320556640629</x:v>
      </x:c>
      <x:c r="I1744" s="40" t="n">
        <x:f>ABS(H1744)</x:f>
        <x:v>1.6722320556640629</x:v>
      </x:c>
      <x:c r="J1744" s="40" t="n">
        <x:f>H1744^2</x:f>
        <x:v>2.7963600479904573</x:v>
      </x:c>
      <x:c r="K1744" s="40" t="n">
        <x:f>G1744-E1744</x:f>
        <x:v>0</x:v>
      </x:c>
      <x:c r="L1744" s="40" t="n">
        <x:f>ABS(K1744)</x:f>
        <x:v>0</x:v>
      </x:c>
      <x:c r="M1744" s="41" t="str">
        <x:v>lstm-soil-v1</x:v>
      </x:c>
    </x:row>
    <x:row r="1745">
      <x:c r="A1745" s="38" t="str">
        <x:v>7月30日现场数据</x:v>
      </x:c>
      <x:c r="B1745" s="39" t="str">
        <x:v>2026-08-02T01:50:00</x:v>
      </x:c>
      <x:c r="C1745" s="39" t="str">
        <x:v>2026-08-02T02:05:00</x:v>
      </x:c>
      <x:c r="D1745" s="47" t="n">
        <x:v>15</x:v>
      </x:c>
      <x:c r="E1745" s="40" t="n">
        <x:v>15.9</x:v>
      </x:c>
      <x:c r="F1745" s="40" t="n">
        <x:v>14.29891586303711</x:v>
      </x:c>
      <x:c r="G1745" s="40" t="n">
        <x:v>15.9</x:v>
      </x:c>
      <x:c r="H1745" s="40" t="n">
        <x:f>F1745-E1745</x:f>
        <x:v>-1.601084136962891</x:v>
      </x:c>
      <x:c r="I1745" s="40" t="n">
        <x:f>ABS(H1745)</x:f>
        <x:v>1.601084136962891</x:v>
      </x:c>
      <x:c r="J1745" s="40" t="n">
        <x:f>H1745^2</x:f>
        <x:v>2.5634704136342052</x:v>
      </x:c>
      <x:c r="K1745" s="40" t="n">
        <x:f>G1745-E1745</x:f>
        <x:v>0</x:v>
      </x:c>
      <x:c r="L1745" s="40" t="n">
        <x:f>ABS(K1745)</x:f>
        <x:v>0</x:v>
      </x:c>
      <x:c r="M1745" s="41" t="str">
        <x:v>lstm-soil-v1</x:v>
      </x:c>
    </x:row>
    <x:row r="1746">
      <x:c r="A1746" s="38" t="str">
        <x:v>7月30日现场数据</x:v>
      </x:c>
      <x:c r="B1746" s="39" t="str">
        <x:v>2026-08-02T01:50:00</x:v>
      </x:c>
      <x:c r="C1746" s="39" t="str">
        <x:v>2026-08-02T02:20:00</x:v>
      </x:c>
      <x:c r="D1746" s="47" t="n">
        <x:v>30</x:v>
      </x:c>
      <x:c r="E1746" s="40" t="n">
        <x:v>15.9</x:v>
      </x:c>
      <x:c r="F1746" s="40" t="n">
        <x:v>14.7230224609375</x:v>
      </x:c>
      <x:c r="G1746" s="40" t="n">
        <x:v>15.9</x:v>
      </x:c>
      <x:c r="H1746" s="40" t="n">
        <x:f>F1746-E1746</x:f>
        <x:v>-1.1769775390625004</x:v>
      </x:c>
      <x:c r="I1746" s="40" t="n">
        <x:f>ABS(H1746)</x:f>
        <x:v>1.1769775390625004</x:v>
      </x:c>
      <x:c r="J1746" s="40" t="n">
        <x:f>H1746^2</x:f>
        <x:v>1.3852761274576195</x:v>
      </x:c>
      <x:c r="K1746" s="40" t="n">
        <x:f>G1746-E1746</x:f>
        <x:v>0</x:v>
      </x:c>
      <x:c r="L1746" s="40" t="n">
        <x:f>ABS(K1746)</x:f>
        <x:v>0</x:v>
      </x:c>
      <x:c r="M1746" s="41" t="str">
        <x:v>lstm-soil-v1</x:v>
      </x:c>
    </x:row>
    <x:row r="1747">
      <x:c r="A1747" s="38" t="str">
        <x:v>7月30日现场数据</x:v>
      </x:c>
      <x:c r="B1747" s="39" t="str">
        <x:v>2026-08-02T01:50:00</x:v>
      </x:c>
      <x:c r="C1747" s="39" t="str">
        <x:v>2026-08-02T02:50:00</x:v>
      </x:c>
      <x:c r="D1747" s="47" t="n">
        <x:v>60</x:v>
      </x:c>
      <x:c r="E1747" s="40" t="n">
        <x:v>15.9</x:v>
      </x:c>
      <x:c r="F1747" s="40" t="n">
        <x:v>16.327800750732422</x:v>
      </x:c>
      <x:c r="G1747" s="40" t="n">
        <x:v>15.9</x:v>
      </x:c>
      <x:c r="H1747" s="40" t="n">
        <x:f>F1747-E1747</x:f>
        <x:v>0.4278007507324215</x:v>
      </x:c>
      <x:c r="I1747" s="40" t="n">
        <x:f>ABS(H1747)</x:f>
        <x:v>0.4278007507324215</x:v>
      </x:c>
      <x:c r="J1747" s="40" t="n">
        <x:f>H1747^2</x:f>
        <x:v>0.18301348232722345</x:v>
      </x:c>
      <x:c r="K1747" s="40" t="n">
        <x:f>G1747-E1747</x:f>
        <x:v>0</x:v>
      </x:c>
      <x:c r="L1747" s="40" t="n">
        <x:f>ABS(K1747)</x:f>
        <x:v>0</x:v>
      </x:c>
      <x:c r="M1747" s="41" t="str">
        <x:v>lstm-soil-v1</x:v>
      </x:c>
    </x:row>
    <x:row r="1748">
      <x:c r="A1748" s="38" t="str">
        <x:v>7月30日现场数据</x:v>
      </x:c>
      <x:c r="B1748" s="39" t="str">
        <x:v>2026-08-02T01:55:00</x:v>
      </x:c>
      <x:c r="C1748" s="39" t="str">
        <x:v>2026-08-02T02:00:00</x:v>
      </x:c>
      <x:c r="D1748" s="47" t="n">
        <x:v>5</x:v>
      </x:c>
      <x:c r="E1748" s="40" t="n">
        <x:v>15.9</x:v>
      </x:c>
      <x:c r="F1748" s="40" t="n">
        <x:v>14.227958679199219</x:v>
      </x:c>
      <x:c r="G1748" s="40" t="n">
        <x:v>15.9</x:v>
      </x:c>
      <x:c r="H1748" s="40" t="n">
        <x:f>F1748-E1748</x:f>
        <x:v>-1.6720413208007816</x:v>
      </x:c>
      <x:c r="I1748" s="40" t="n">
        <x:f>ABS(H1748)</x:f>
        <x:v>1.6720413208007816</x:v>
      </x:c>
      <x:c r="J1748" s="40" t="n">
        <x:f>H1748^2</x:f>
        <x:v>2.795722178465222</x:v>
      </x:c>
      <x:c r="K1748" s="40" t="n">
        <x:f>G1748-E1748</x:f>
        <x:v>0</x:v>
      </x:c>
      <x:c r="L1748" s="40" t="n">
        <x:f>ABS(K1748)</x:f>
        <x:v>0</x:v>
      </x:c>
      <x:c r="M1748" s="41" t="str">
        <x:v>lstm-soil-v1</x:v>
      </x:c>
    </x:row>
    <x:row r="1749">
      <x:c r="A1749" s="38" t="str">
        <x:v>7月30日现场数据</x:v>
      </x:c>
      <x:c r="B1749" s="39" t="str">
        <x:v>2026-08-02T01:55:00</x:v>
      </x:c>
      <x:c r="C1749" s="39" t="str">
        <x:v>2026-08-02T02:10:00</x:v>
      </x:c>
      <x:c r="D1749" s="47" t="n">
        <x:v>15</x:v>
      </x:c>
      <x:c r="E1749" s="40" t="n">
        <x:v>15.9</x:v>
      </x:c>
      <x:c r="F1749" s="40" t="n">
        <x:v>14.29901123046875</x:v>
      </x:c>
      <x:c r="G1749" s="40" t="n">
        <x:v>15.9</x:v>
      </x:c>
      <x:c r="H1749" s="40" t="n">
        <x:f>F1749-E1749</x:f>
        <x:v>-1.6009887695312504</x:v>
      </x:c>
      <x:c r="I1749" s="40" t="n">
        <x:f>ABS(H1749)</x:f>
        <x:v>1.6009887695312504</x:v>
      </x:c>
      <x:c r="J1749" s="40" t="n">
        <x:f>H1749^2</x:f>
        <x:v>2.563165040165187</x:v>
      </x:c>
      <x:c r="K1749" s="40" t="n">
        <x:f>G1749-E1749</x:f>
        <x:v>0</x:v>
      </x:c>
      <x:c r="L1749" s="40" t="n">
        <x:f>ABS(K1749)</x:f>
        <x:v>0</x:v>
      </x:c>
      <x:c r="M1749" s="41" t="str">
        <x:v>lstm-soil-v1</x:v>
      </x:c>
    </x:row>
    <x:row r="1750">
      <x:c r="A1750" s="38" t="str">
        <x:v>7月30日现场数据</x:v>
      </x:c>
      <x:c r="B1750" s="39" t="str">
        <x:v>2026-08-02T01:55:00</x:v>
      </x:c>
      <x:c r="C1750" s="39" t="str">
        <x:v>2026-08-02T02:25:00</x:v>
      </x:c>
      <x:c r="D1750" s="47" t="n">
        <x:v>30</x:v>
      </x:c>
      <x:c r="E1750" s="40" t="n">
        <x:v>15.9</x:v>
      </x:c>
      <x:c r="F1750" s="40" t="n">
        <x:v>14.723384857177734</x:v>
      </x:c>
      <x:c r="G1750" s="40" t="n">
        <x:v>15.9</x:v>
      </x:c>
      <x:c r="H1750" s="40" t="n">
        <x:f>F1750-E1750</x:f>
        <x:v>-1.176615142822266</x:v>
      </x:c>
      <x:c r="I1750" s="40" t="n">
        <x:f>ABS(H1750)</x:f>
        <x:v>1.176615142822266</x:v>
      </x:c>
      <x:c r="J1750" s="40" t="n">
        <x:f>H1750^2</x:f>
        <x:v>1.3844231943186613</x:v>
      </x:c>
      <x:c r="K1750" s="40" t="n">
        <x:f>G1750-E1750</x:f>
        <x:v>0</x:v>
      </x:c>
      <x:c r="L1750" s="40" t="n">
        <x:f>ABS(K1750)</x:f>
        <x:v>0</x:v>
      </x:c>
      <x:c r="M1750" s="41" t="str">
        <x:v>lstm-soil-v1</x:v>
      </x:c>
    </x:row>
    <x:row r="1751">
      <x:c r="A1751" s="38" t="str">
        <x:v>7月30日现场数据</x:v>
      </x:c>
      <x:c r="B1751" s="39" t="str">
        <x:v>2026-08-02T01:55:00</x:v>
      </x:c>
      <x:c r="C1751" s="39" t="str">
        <x:v>2026-08-02T02:55:00</x:v>
      </x:c>
      <x:c r="D1751" s="47" t="n">
        <x:v>60</x:v>
      </x:c>
      <x:c r="E1751" s="40" t="n">
        <x:v>15.9</x:v>
      </x:c>
      <x:c r="F1751" s="40" t="n">
        <x:v>16.328102111816406</x:v>
      </x:c>
      <x:c r="G1751" s="40" t="n">
        <x:v>15.9</x:v>
      </x:c>
      <x:c r="H1751" s="40" t="n">
        <x:f>F1751-E1751</x:f>
        <x:v>0.4281021118164059</x:v>
      </x:c>
      <x:c r="I1751" s="40" t="n">
        <x:f>ABS(H1751)</x:f>
        <x:v>0.4281021118164059</x:v>
      </x:c>
      <x:c r="J1751" s="40" t="n">
        <x:f>H1751^2</x:f>
        <x:v>0.1832714181416665</x:v>
      </x:c>
      <x:c r="K1751" s="40" t="n">
        <x:f>G1751-E1751</x:f>
        <x:v>0</x:v>
      </x:c>
      <x:c r="L1751" s="40" t="n">
        <x:f>ABS(K1751)</x:f>
        <x:v>0</x:v>
      </x:c>
      <x:c r="M1751" s="41" t="str">
        <x:v>lstm-soil-v1</x:v>
      </x:c>
    </x:row>
    <x:row r="1752">
      <x:c r="A1752" s="38" t="str">
        <x:v>7月30日现场数据</x:v>
      </x:c>
      <x:c r="B1752" s="39" t="str">
        <x:v>2026-08-02T02:00:00</x:v>
      </x:c>
      <x:c r="C1752" s="39" t="str">
        <x:v>2026-08-02T02:05:00</x:v>
      </x:c>
      <x:c r="D1752" s="47" t="n">
        <x:v>5</x:v>
      </x:c>
      <x:c r="E1752" s="40" t="n">
        <x:v>15.9</x:v>
      </x:c>
      <x:c r="F1752" s="40" t="n">
        <x:v>14.225090026855469</x:v>
      </x:c>
      <x:c r="G1752" s="40" t="n">
        <x:v>15.9</x:v>
      </x:c>
      <x:c r="H1752" s="40" t="n">
        <x:f>F1752-E1752</x:f>
        <x:v>-1.6749099731445316</x:v>
      </x:c>
      <x:c r="I1752" s="40" t="n">
        <x:f>ABS(H1752)</x:f>
        <x:v>1.6749099731445316</x:v>
      </x:c>
      <x:c r="J1752" s="40" t="n">
        <x:f>H1752^2</x:f>
        <x:v>2.8053234181390154</x:v>
      </x:c>
      <x:c r="K1752" s="40" t="n">
        <x:f>G1752-E1752</x:f>
        <x:v>0</x:v>
      </x:c>
      <x:c r="L1752" s="40" t="n">
        <x:f>ABS(K1752)</x:f>
        <x:v>0</x:v>
      </x:c>
      <x:c r="M1752" s="41" t="str">
        <x:v>lstm-soil-v1</x:v>
      </x:c>
    </x:row>
    <x:row r="1753">
      <x:c r="A1753" s="38" t="str">
        <x:v>7月30日现场数据</x:v>
      </x:c>
      <x:c r="B1753" s="39" t="str">
        <x:v>2026-08-02T02:00:00</x:v>
      </x:c>
      <x:c r="C1753" s="39" t="str">
        <x:v>2026-08-02T02:15:00</x:v>
      </x:c>
      <x:c r="D1753" s="47" t="n">
        <x:v>15</x:v>
      </x:c>
      <x:c r="E1753" s="40" t="n">
        <x:v>15.9</x:v>
      </x:c>
      <x:c r="F1753" s="40" t="n">
        <x:v>14.296432495117188</x:v>
      </x:c>
      <x:c r="G1753" s="40" t="n">
        <x:v>15.9</x:v>
      </x:c>
      <x:c r="H1753" s="40" t="n">
        <x:f>F1753-E1753</x:f>
        <x:v>-1.6035675048828129</x:v>
      </x:c>
      <x:c r="I1753" s="40" t="n">
        <x:f>ABS(H1753)</x:f>
        <x:v>1.6035675048828129</x:v>
      </x:c>
      <x:c r="J1753" s="40" t="n">
        <x:f>H1753^2</x:f>
        <x:v>2.57142874271609</x:v>
      </x:c>
      <x:c r="K1753" s="40" t="n">
        <x:f>G1753-E1753</x:f>
        <x:v>0</x:v>
      </x:c>
      <x:c r="L1753" s="40" t="n">
        <x:f>ABS(K1753)</x:f>
        <x:v>0</x:v>
      </x:c>
      <x:c r="M1753" s="41" t="str">
        <x:v>lstm-soil-v1</x:v>
      </x:c>
    </x:row>
    <x:row r="1754">
      <x:c r="A1754" s="38" t="str">
        <x:v>7月30日现场数据</x:v>
      </x:c>
      <x:c r="B1754" s="39" t="str">
        <x:v>2026-08-02T02:00:00</x:v>
      </x:c>
      <x:c r="C1754" s="39" t="str">
        <x:v>2026-08-02T02:30:00</x:v>
      </x:c>
      <x:c r="D1754" s="47" t="n">
        <x:v>30</x:v>
      </x:c>
      <x:c r="E1754" s="40" t="n">
        <x:v>15.9</x:v>
      </x:c>
      <x:c r="F1754" s="40" t="n">
        <x:v>14.720207214355469</x:v>
      </x:c>
      <x:c r="G1754" s="40" t="n">
        <x:v>15.9</x:v>
      </x:c>
      <x:c r="H1754" s="40" t="n">
        <x:f>F1754-E1754</x:f>
        <x:v>-1.1797927856445316</x:v>
      </x:c>
      <x:c r="I1754" s="40" t="n">
        <x:f>ABS(H1754)</x:f>
        <x:v>1.1797927856445316</x:v>
      </x:c>
      <x:c r="J1754" s="40" t="n">
        <x:f>H1754^2</x:f>
        <x:v>1.3919110170588838</x:v>
      </x:c>
      <x:c r="K1754" s="40" t="n">
        <x:f>G1754-E1754</x:f>
        <x:v>0</x:v>
      </x:c>
      <x:c r="L1754" s="40" t="n">
        <x:f>ABS(K1754)</x:f>
        <x:v>0</x:v>
      </x:c>
      <x:c r="M1754" s="41" t="str">
        <x:v>lstm-soil-v1</x:v>
      </x:c>
    </x:row>
    <x:row r="1755">
      <x:c r="A1755" s="38" t="str">
        <x:v>7月30日现场数据</x:v>
      </x:c>
      <x:c r="B1755" s="39" t="str">
        <x:v>2026-08-02T02:00:00</x:v>
      </x:c>
      <x:c r="C1755" s="39" t="str">
        <x:v>2026-08-02T03:00:00</x:v>
      </x:c>
      <x:c r="D1755" s="47" t="n">
        <x:v>60</x:v>
      </x:c>
      <x:c r="E1755" s="40" t="n">
        <x:v>15.9</x:v>
      </x:c>
      <x:c r="F1755" s="40" t="n">
        <x:v>16.32476043701172</x:v>
      </x:c>
      <x:c r="G1755" s="40" t="n">
        <x:v>15.9</x:v>
      </x:c>
      <x:c r="H1755" s="40" t="n">
        <x:f>F1755-E1755</x:f>
        <x:v>0.4247604370117184</x:v>
      </x:c>
      <x:c r="I1755" s="40" t="n">
        <x:f>ABS(H1755)</x:f>
        <x:v>0.4247604370117184</x:v>
      </x:c>
      <x:c r="J1755" s="40" t="n">
        <x:f>H1755^2</x:f>
        <x:v>0.18042142885038598</x:v>
      </x:c>
      <x:c r="K1755" s="40" t="n">
        <x:f>G1755-E1755</x:f>
        <x:v>0</x:v>
      </x:c>
      <x:c r="L1755" s="40" t="n">
        <x:f>ABS(K1755)</x:f>
        <x:v>0</x:v>
      </x:c>
      <x:c r="M1755" s="41" t="str">
        <x:v>lstm-soil-v1</x:v>
      </x:c>
    </x:row>
    <x:row r="1756">
      <x:c r="A1756" s="38" t="str">
        <x:v>7月30日现场数据</x:v>
      </x:c>
      <x:c r="B1756" s="39" t="str">
        <x:v>2026-08-02T02:05:00</x:v>
      </x:c>
      <x:c r="C1756" s="39" t="str">
        <x:v>2026-08-02T02:10:00</x:v>
      </x:c>
      <x:c r="D1756" s="47" t="n">
        <x:v>5</x:v>
      </x:c>
      <x:c r="E1756" s="40" t="n">
        <x:v>15.9</x:v>
      </x:c>
      <x:c r="F1756" s="40" t="n">
        <x:v>14.223026275634766</x:v>
      </x:c>
      <x:c r="G1756" s="40" t="n">
        <x:v>15.9</x:v>
      </x:c>
      <x:c r="H1756" s="40" t="n">
        <x:f>F1756-E1756</x:f>
        <x:v>-1.6769737243652347</x:v>
      </x:c>
      <x:c r="I1756" s="40" t="n">
        <x:f>ABS(H1756)</x:f>
        <x:v>1.6769737243652347</x:v>
      </x:c>
      <x:c r="J1756" s="40" t="n">
        <x:f>H1756^2</x:f>
        <x:v>2.8122408722114063</x:v>
      </x:c>
      <x:c r="K1756" s="40" t="n">
        <x:f>G1756-E1756</x:f>
        <x:v>0</x:v>
      </x:c>
      <x:c r="L1756" s="40" t="n">
        <x:f>ABS(K1756)</x:f>
        <x:v>0</x:v>
      </x:c>
      <x:c r="M1756" s="41" t="str">
        <x:v>lstm-soil-v1</x:v>
      </x:c>
    </x:row>
    <x:row r="1757">
      <x:c r="A1757" s="38" t="str">
        <x:v>7月30日现场数据</x:v>
      </x:c>
      <x:c r="B1757" s="39" t="str">
        <x:v>2026-08-02T02:05:00</x:v>
      </x:c>
      <x:c r="C1757" s="39" t="str">
        <x:v>2026-08-02T02:20:00</x:v>
      </x:c>
      <x:c r="D1757" s="47" t="n">
        <x:v>15</x:v>
      </x:c>
      <x:c r="E1757" s="40" t="n">
        <x:v>15.9</x:v>
      </x:c>
      <x:c r="F1757" s="40" t="n">
        <x:v>14.295421600341797</x:v>
      </x:c>
      <x:c r="G1757" s="40" t="n">
        <x:v>15.9</x:v>
      </x:c>
      <x:c r="H1757" s="40" t="n">
        <x:f>F1757-E1757</x:f>
        <x:v>-1.6045783996582035</x:v>
      </x:c>
      <x:c r="I1757" s="40" t="n">
        <x:f>ABS(H1757)</x:f>
        <x:v>1.6045783996582035</x:v>
      </x:c>
      <x:c r="J1757" s="40" t="n">
        <x:f>H1757^2</x:f>
        <x:v>2.5746718406496814</x:v>
      </x:c>
      <x:c r="K1757" s="40" t="n">
        <x:f>G1757-E1757</x:f>
        <x:v>0</x:v>
      </x:c>
      <x:c r="L1757" s="40" t="n">
        <x:f>ABS(K1757)</x:f>
        <x:v>0</x:v>
      </x:c>
      <x:c r="M1757" s="41" t="str">
        <x:v>lstm-soil-v1</x:v>
      </x:c>
    </x:row>
    <x:row r="1758">
      <x:c r="A1758" s="38" t="str">
        <x:v>7月30日现场数据</x:v>
      </x:c>
      <x:c r="B1758" s="39" t="str">
        <x:v>2026-08-02T02:05:00</x:v>
      </x:c>
      <x:c r="C1758" s="39" t="str">
        <x:v>2026-08-02T02:35:00</x:v>
      </x:c>
      <x:c r="D1758" s="47" t="n">
        <x:v>30</x:v>
      </x:c>
      <x:c r="E1758" s="40" t="n">
        <x:v>15.9</x:v>
      </x:c>
      <x:c r="F1758" s="40" t="n">
        <x:v>14.719200134277344</x:v>
      </x:c>
      <x:c r="G1758" s="40" t="n">
        <x:v>15.9</x:v>
      </x:c>
      <x:c r="H1758" s="40" t="n">
        <x:f>F1758-E1758</x:f>
        <x:v>-1.1807998657226566</x:v>
      </x:c>
      <x:c r="I1758" s="40" t="n">
        <x:f>ABS(H1758)</x:f>
        <x:v>1.1807998657226566</x:v>
      </x:c>
      <x:c r="J1758" s="40" t="n">
        <x:f>H1758^2</x:f>
        <x:v>1.394288322890644</x:v>
      </x:c>
      <x:c r="K1758" s="40" t="n">
        <x:f>G1758-E1758</x:f>
        <x:v>0</x:v>
      </x:c>
      <x:c r="L1758" s="40" t="n">
        <x:f>ABS(K1758)</x:f>
        <x:v>0</x:v>
      </x:c>
      <x:c r="M1758" s="41" t="str">
        <x:v>lstm-soil-v1</x:v>
      </x:c>
    </x:row>
    <x:row r="1759">
      <x:c r="A1759" s="38" t="str">
        <x:v>7月30日现场数据</x:v>
      </x:c>
      <x:c r="B1759" s="39" t="str">
        <x:v>2026-08-02T02:05:00</x:v>
      </x:c>
      <x:c r="C1759" s="39" t="str">
        <x:v>2026-08-02T03:05:00</x:v>
      </x:c>
      <x:c r="D1759" s="47" t="n">
        <x:v>60</x:v>
      </x:c>
      <x:c r="E1759" s="40" t="n">
        <x:v>15.9</x:v>
      </x:c>
      <x:c r="F1759" s="40" t="n">
        <x:v>16.320358276367188</x:v>
      </x:c>
      <x:c r="G1759" s="40" t="n">
        <x:v>15.9</x:v>
      </x:c>
      <x:c r="H1759" s="40" t="n">
        <x:f>F1759-E1759</x:f>
        <x:v>0.42035827636718714</x:v>
      </x:c>
      <x:c r="I1759" s="40" t="n">
        <x:f>ABS(H1759)</x:f>
        <x:v>0.42035827636718714</x:v>
      </x:c>
      <x:c r="J1759" s="40" t="n">
        <x:f>H1759^2</x:f>
        <x:v>0.1767010805103925</x:v>
      </x:c>
      <x:c r="K1759" s="40" t="n">
        <x:f>G1759-E1759</x:f>
        <x:v>0</x:v>
      </x:c>
      <x:c r="L1759" s="40" t="n">
        <x:f>ABS(K1759)</x:f>
        <x:v>0</x:v>
      </x:c>
      <x:c r="M1759" s="41" t="str">
        <x:v>lstm-soil-v1</x:v>
      </x:c>
    </x:row>
    <x:row r="1760">
      <x:c r="A1760" s="38" t="str">
        <x:v>7月30日现场数据</x:v>
      </x:c>
      <x:c r="B1760" s="39" t="str">
        <x:v>2026-08-02T02:10:00</x:v>
      </x:c>
      <x:c r="C1760" s="39" t="str">
        <x:v>2026-08-02T02:15:00</x:v>
      </x:c>
      <x:c r="D1760" s="47" t="n">
        <x:v>5</x:v>
      </x:c>
      <x:c r="E1760" s="40" t="n">
        <x:v>15.9</x:v>
      </x:c>
      <x:c r="F1760" s="40" t="n">
        <x:v>14.222358703613281</x:v>
      </x:c>
      <x:c r="G1760" s="40" t="n">
        <x:v>15.9</x:v>
      </x:c>
      <x:c r="H1760" s="40" t="n">
        <x:f>F1760-E1760</x:f>
        <x:v>-1.677641296386719</x:v>
      </x:c>
      <x:c r="I1760" s="40" t="n">
        <x:f>ABS(H1760)</x:f>
        <x:v>1.677641296386719</x:v>
      </x:c>
      <x:c r="J1760" s="40" t="n">
        <x:f>H1760^2</x:f>
        <x:v>2.8144803193421115</x:v>
      </x:c>
      <x:c r="K1760" s="40" t="n">
        <x:f>G1760-E1760</x:f>
        <x:v>0</x:v>
      </x:c>
      <x:c r="L1760" s="40" t="n">
        <x:f>ABS(K1760)</x:f>
        <x:v>0</x:v>
      </x:c>
      <x:c r="M1760" s="41" t="str">
        <x:v>lstm-soil-v1</x:v>
      </x:c>
    </x:row>
    <x:row r="1761">
      <x:c r="A1761" s="38" t="str">
        <x:v>7月30日现场数据</x:v>
      </x:c>
      <x:c r="B1761" s="39" t="str">
        <x:v>2026-08-02T02:10:00</x:v>
      </x:c>
      <x:c r="C1761" s="39" t="str">
        <x:v>2026-08-02T02:25:00</x:v>
      </x:c>
      <x:c r="D1761" s="47" t="n">
        <x:v>15</x:v>
      </x:c>
      <x:c r="E1761" s="40" t="n">
        <x:v>15.9</x:v>
      </x:c>
      <x:c r="F1761" s="40" t="n">
        <x:v>14.294910430908203</x:v>
      </x:c>
      <x:c r="G1761" s="40" t="n">
        <x:v>15.9</x:v>
      </x:c>
      <x:c r="H1761" s="40" t="n">
        <x:f>F1761-E1761</x:f>
        <x:v>-1.6050895690917972</x:v>
      </x:c>
      <x:c r="I1761" s="40" t="n">
        <x:f>ABS(H1761)</x:f>
        <x:v>1.6050895690917972</x:v>
      </x:c>
      <x:c r="J1761" s="40" t="n">
        <x:f>H1761^2</x:f>
        <x:v>2.576312524807291</x:v>
      </x:c>
      <x:c r="K1761" s="40" t="n">
        <x:f>G1761-E1761</x:f>
        <x:v>0</x:v>
      </x:c>
      <x:c r="L1761" s="40" t="n">
        <x:f>ABS(K1761)</x:f>
        <x:v>0</x:v>
      </x:c>
      <x:c r="M1761" s="41" t="str">
        <x:v>lstm-soil-v1</x:v>
      </x:c>
    </x:row>
    <x:row r="1762">
      <x:c r="A1762" s="38" t="str">
        <x:v>7月30日现场数据</x:v>
      </x:c>
      <x:c r="B1762" s="39" t="str">
        <x:v>2026-08-02T02:10:00</x:v>
      </x:c>
      <x:c r="C1762" s="39" t="str">
        <x:v>2026-08-02T02:40:00</x:v>
      </x:c>
      <x:c r="D1762" s="47" t="n">
        <x:v>30</x:v>
      </x:c>
      <x:c r="E1762" s="40" t="n">
        <x:v>15.9</x:v>
      </x:c>
      <x:c r="F1762" s="40" t="n">
        <x:v>14.720001220703125</x:v>
      </x:c>
      <x:c r="G1762" s="40" t="n">
        <x:v>15.9</x:v>
      </x:c>
      <x:c r="H1762" s="40" t="n">
        <x:f>F1762-E1762</x:f>
        <x:v>-1.1799987792968754</x:v>
      </x:c>
      <x:c r="I1762" s="40" t="n">
        <x:f>ABS(H1762)</x:f>
        <x:v>1.1799987792968754</x:v>
      </x:c>
      <x:c r="J1762" s="40" t="n">
        <x:f>H1762^2</x:f>
        <x:v>1.392397119142116</x:v>
      </x:c>
      <x:c r="K1762" s="40" t="n">
        <x:f>G1762-E1762</x:f>
        <x:v>0</x:v>
      </x:c>
      <x:c r="L1762" s="40" t="n">
        <x:f>ABS(K1762)</x:f>
        <x:v>0</x:v>
      </x:c>
      <x:c r="M1762" s="41" t="str">
        <x:v>lstm-soil-v1</x:v>
      </x:c>
    </x:row>
    <x:row r="1763">
      <x:c r="A1763" s="38" t="str">
        <x:v>7月30日现场数据</x:v>
      </x:c>
      <x:c r="B1763" s="39" t="str">
        <x:v>2026-08-02T02:10:00</x:v>
      </x:c>
      <x:c r="C1763" s="39" t="str">
        <x:v>2026-08-02T03:10:00</x:v>
      </x:c>
      <x:c r="D1763" s="47" t="n">
        <x:v>60</x:v>
      </x:c>
      <x:c r="E1763" s="40" t="n">
        <x:v>15.9</x:v>
      </x:c>
      <x:c r="F1763" s="40" t="n">
        <x:v>16.31835174560547</x:v>
      </x:c>
      <x:c r="G1763" s="40" t="n">
        <x:v>15.9</x:v>
      </x:c>
      <x:c r="H1763" s="40" t="n">
        <x:f>F1763-E1763</x:f>
        <x:v>0.4183517456054684</x:v>
      </x:c>
      <x:c r="I1763" s="40" t="n">
        <x:f>ABS(H1763)</x:f>
        <x:v>0.4183517456054684</x:v>
      </x:c>
      <x:c r="J1763" s="40" t="n">
        <x:f>H1763^2</x:f>
        <x:v>0.17501818305114256</x:v>
      </x:c>
      <x:c r="K1763" s="40" t="n">
        <x:f>G1763-E1763</x:f>
        <x:v>0</x:v>
      </x:c>
      <x:c r="L1763" s="40" t="n">
        <x:f>ABS(K1763)</x:f>
        <x:v>0</x:v>
      </x:c>
      <x:c r="M1763" s="41" t="str">
        <x:v>lstm-soil-v1</x:v>
      </x:c>
    </x:row>
    <x:row r="1764">
      <x:c r="A1764" s="38" t="str">
        <x:v>7月30日现场数据</x:v>
      </x:c>
      <x:c r="B1764" s="39" t="str">
        <x:v>2026-08-02T02:15:00</x:v>
      </x:c>
      <x:c r="C1764" s="39" t="str">
        <x:v>2026-08-02T02:20:00</x:v>
      </x:c>
      <x:c r="D1764" s="47" t="n">
        <x:v>5</x:v>
      </x:c>
      <x:c r="E1764" s="40" t="n">
        <x:v>15.9</x:v>
      </x:c>
      <x:c r="F1764" s="40" t="n">
        <x:v>14.222583770751953</x:v>
      </x:c>
      <x:c r="G1764" s="40" t="n">
        <x:v>15.9</x:v>
      </x:c>
      <x:c r="H1764" s="40" t="n">
        <x:f>F1764-E1764</x:f>
        <x:v>-1.6774162292480472</x:v>
      </x:c>
      <x:c r="I1764" s="40" t="n">
        <x:f>ABS(H1764)</x:f>
        <x:v>1.6774162292480472</x:v>
      </x:c>
      <x:c r="J1764" s="40" t="n">
        <x:f>H1764^2</x:f>
        <x:v>2.8137252061447375</x:v>
      </x:c>
      <x:c r="K1764" s="40" t="n">
        <x:f>G1764-E1764</x:f>
        <x:v>0</x:v>
      </x:c>
      <x:c r="L1764" s="40" t="n">
        <x:f>ABS(K1764)</x:f>
        <x:v>0</x:v>
      </x:c>
      <x:c r="M1764" s="41" t="str">
        <x:v>lstm-soil-v1</x:v>
      </x:c>
    </x:row>
    <x:row r="1765">
      <x:c r="A1765" s="38" t="str">
        <x:v>7月30日现场数据</x:v>
      </x:c>
      <x:c r="B1765" s="39" t="str">
        <x:v>2026-08-02T02:15:00</x:v>
      </x:c>
      <x:c r="C1765" s="39" t="str">
        <x:v>2026-08-02T02:30:00</x:v>
      </x:c>
      <x:c r="D1765" s="47" t="n">
        <x:v>15</x:v>
      </x:c>
      <x:c r="E1765" s="40" t="n">
        <x:v>15.9</x:v>
      </x:c>
      <x:c r="F1765" s="40" t="n">
        <x:v>14.295154571533203</x:v>
      </x:c>
      <x:c r="G1765" s="40" t="n">
        <x:v>15.9</x:v>
      </x:c>
      <x:c r="H1765" s="40" t="n">
        <x:f>F1765-E1765</x:f>
        <x:v>-1.6048454284667972</x:v>
      </x:c>
      <x:c r="I1765" s="40" t="n">
        <x:f>ABS(H1765)</x:f>
        <x:v>1.6048454284667972</x:v>
      </x:c>
      <x:c r="J1765" s="40" t="n">
        <x:f>H1765^2</x:f>
        <x:v>2.575528849270778</x:v>
      </x:c>
      <x:c r="K1765" s="40" t="n">
        <x:f>G1765-E1765</x:f>
        <x:v>0</x:v>
      </x:c>
      <x:c r="L1765" s="40" t="n">
        <x:f>ABS(K1765)</x:f>
        <x:v>0</x:v>
      </x:c>
      <x:c r="M1765" s="41" t="str">
        <x:v>lstm-soil-v1</x:v>
      </x:c>
    </x:row>
    <x:row r="1766">
      <x:c r="A1766" s="38" t="str">
        <x:v>7月30日现场数据</x:v>
      </x:c>
      <x:c r="B1766" s="39" t="str">
        <x:v>2026-08-02T02:15:00</x:v>
      </x:c>
      <x:c r="C1766" s="39" t="str">
        <x:v>2026-08-02T02:45:00</x:v>
      </x:c>
      <x:c r="D1766" s="47" t="n">
        <x:v>30</x:v>
      </x:c>
      <x:c r="E1766" s="40" t="n">
        <x:v>15.9</x:v>
      </x:c>
      <x:c r="F1766" s="40" t="n">
        <x:v>14.721916198730469</x:v>
      </x:c>
      <x:c r="G1766" s="40" t="n">
        <x:v>15.9</x:v>
      </x:c>
      <x:c r="H1766" s="40" t="n">
        <x:f>F1766-E1766</x:f>
        <x:v>-1.1780838012695316</x:v>
      </x:c>
      <x:c r="I1766" s="40" t="n">
        <x:f>ABS(H1766)</x:f>
        <x:v>1.1780838012695316</x:v>
      </x:c>
      <x:c r="J1766" s="40" t="n">
        <x:f>H1766^2</x:f>
        <x:v>1.3878814428136692</x:v>
      </x:c>
      <x:c r="K1766" s="40" t="n">
        <x:f>G1766-E1766</x:f>
        <x:v>0</x:v>
      </x:c>
      <x:c r="L1766" s="40" t="n">
        <x:f>ABS(K1766)</x:f>
        <x:v>0</x:v>
      </x:c>
      <x:c r="M1766" s="41" t="str">
        <x:v>lstm-soil-v1</x:v>
      </x:c>
    </x:row>
    <x:row r="1767">
      <x:c r="A1767" s="38" t="str">
        <x:v>7月30日现场数据</x:v>
      </x:c>
      <x:c r="B1767" s="39" t="str">
        <x:v>2026-08-02T02:15:00</x:v>
      </x:c>
      <x:c r="C1767" s="39" t="str">
        <x:v>2026-08-02T03:15:00</x:v>
      </x:c>
      <x:c r="D1767" s="47" t="n">
        <x:v>60</x:v>
      </x:c>
      <x:c r="E1767" s="40" t="n">
        <x:v>15.9</x:v>
      </x:c>
      <x:c r="F1767" s="40" t="n">
        <x:v>16.317737579345703</x:v>
      </x:c>
      <x:c r="G1767" s="40" t="n">
        <x:v>15.9</x:v>
      </x:c>
      <x:c r="H1767" s="40" t="n">
        <x:f>F1767-E1767</x:f>
        <x:v>0.41773757934570277</x:v>
      </x:c>
      <x:c r="I1767" s="40" t="n">
        <x:f>ABS(H1767)</x:f>
        <x:v>0.41773757934570277</x:v>
      </x:c>
      <x:c r="J1767" s="40" t="n">
        <x:f>H1767^2</x:f>
        <x:v>0.1745046851976073</x:v>
      </x:c>
      <x:c r="K1767" s="40" t="n">
        <x:f>G1767-E1767</x:f>
        <x:v>0</x:v>
      </x:c>
      <x:c r="L1767" s="40" t="n">
        <x:f>ABS(K1767)</x:f>
        <x:v>0</x:v>
      </x:c>
      <x:c r="M1767" s="41" t="str">
        <x:v>lstm-soil-v1</x:v>
      </x:c>
    </x:row>
    <x:row r="1768">
      <x:c r="A1768" s="38" t="str">
        <x:v>7月30日现场数据</x:v>
      </x:c>
      <x:c r="B1768" s="39" t="str">
        <x:v>2026-08-02T02:20:00</x:v>
      </x:c>
      <x:c r="C1768" s="39" t="str">
        <x:v>2026-08-02T02:25:00</x:v>
      </x:c>
      <x:c r="D1768" s="47" t="n">
        <x:v>5</x:v>
      </x:c>
      <x:c r="E1768" s="40" t="n">
        <x:v>15.9</x:v>
      </x:c>
      <x:c r="F1768" s="40" t="n">
        <x:v>14.223236083984375</x:v>
      </x:c>
      <x:c r="G1768" s="40" t="n">
        <x:v>15.9</x:v>
      </x:c>
      <x:c r="H1768" s="40" t="n">
        <x:f>F1768-E1768</x:f>
        <x:v>-1.6767639160156254</x:v>
      </x:c>
      <x:c r="I1768" s="40" t="n">
        <x:f>ABS(H1768)</x:f>
        <x:v>1.6767639160156254</x:v>
      </x:c>
      <x:c r="J1768" s="40" t="n">
        <x:f>H1768^2</x:f>
        <x:v>2.811537230052055</x:v>
      </x:c>
      <x:c r="K1768" s="40" t="n">
        <x:f>G1768-E1768</x:f>
        <x:v>0</x:v>
      </x:c>
      <x:c r="L1768" s="40" t="n">
        <x:f>ABS(K1768)</x:f>
        <x:v>0</x:v>
      </x:c>
      <x:c r="M1768" s="41" t="str">
        <x:v>lstm-soil-v1</x:v>
      </x:c>
    </x:row>
    <x:row r="1769">
      <x:c r="A1769" s="38" t="str">
        <x:v>7月30日现场数据</x:v>
      </x:c>
      <x:c r="B1769" s="39" t="str">
        <x:v>2026-08-02T02:20:00</x:v>
      </x:c>
      <x:c r="C1769" s="39" t="str">
        <x:v>2026-08-02T02:35:00</x:v>
      </x:c>
      <x:c r="D1769" s="47" t="n">
        <x:v>15</x:v>
      </x:c>
      <x:c r="E1769" s="40" t="n">
        <x:v>15.9</x:v>
      </x:c>
      <x:c r="F1769" s="40" t="n">
        <x:v>14.295677185058594</x:v>
      </x:c>
      <x:c r="G1769" s="40" t="n">
        <x:v>15.9</x:v>
      </x:c>
      <x:c r="H1769" s="40" t="n">
        <x:f>F1769-E1769</x:f>
        <x:v>-1.6043228149414066</x:v>
      </x:c>
      <x:c r="I1769" s="40" t="n">
        <x:f>ABS(H1769)</x:f>
        <x:v>1.6043228149414066</x:v>
      </x:c>
      <x:c r="J1769" s="40" t="n">
        <x:f>H1769^2</x:f>
        <x:v>2.573851694541519</x:v>
      </x:c>
      <x:c r="K1769" s="40" t="n">
        <x:f>G1769-E1769</x:f>
        <x:v>0</x:v>
      </x:c>
      <x:c r="L1769" s="40" t="n">
        <x:f>ABS(K1769)</x:f>
        <x:v>0</x:v>
      </x:c>
      <x:c r="M1769" s="41" t="str">
        <x:v>lstm-soil-v1</x:v>
      </x:c>
    </x:row>
    <x:row r="1770">
      <x:c r="A1770" s="38" t="str">
        <x:v>7月30日现场数据</x:v>
      </x:c>
      <x:c r="B1770" s="39" t="str">
        <x:v>2026-08-02T02:20:00</x:v>
      </x:c>
      <x:c r="C1770" s="39" t="str">
        <x:v>2026-08-02T02:50:00</x:v>
      </x:c>
      <x:c r="D1770" s="47" t="n">
        <x:v>30</x:v>
      </x:c>
      <x:c r="E1770" s="40" t="n">
        <x:v>15.9</x:v>
      </x:c>
      <x:c r="F1770" s="40" t="n">
        <x:v>14.723686218261719</x:v>
      </x:c>
      <x:c r="G1770" s="40" t="n">
        <x:v>15.9</x:v>
      </x:c>
      <x:c r="H1770" s="40" t="n">
        <x:f>F1770-E1770</x:f>
        <x:v>-1.1763137817382816</x:v>
      </x:c>
      <x:c r="I1770" s="40" t="n">
        <x:f>ABS(H1770)</x:f>
        <x:v>1.1763137817382816</x:v>
      </x:c>
      <x:c r="J1770" s="40" t="n">
        <x:f>H1770^2</x:f>
        <x:v>1.3837141131074175</x:v>
      </x:c>
      <x:c r="K1770" s="40" t="n">
        <x:f>G1770-E1770</x:f>
        <x:v>0</x:v>
      </x:c>
      <x:c r="L1770" s="40" t="n">
        <x:f>ABS(K1770)</x:f>
        <x:v>0</x:v>
      </x:c>
      <x:c r="M1770" s="41" t="str">
        <x:v>lstm-soil-v1</x:v>
      </x:c>
    </x:row>
    <x:row r="1771">
      <x:c r="A1771" s="38" t="str">
        <x:v>7月30日现场数据</x:v>
      </x:c>
      <x:c r="B1771" s="39" t="str">
        <x:v>2026-08-02T02:20:00</x:v>
      </x:c>
      <x:c r="C1771" s="39" t="str">
        <x:v>2026-08-02T03:20:00</x:v>
      </x:c>
      <x:c r="D1771" s="47" t="n">
        <x:v>60</x:v>
      </x:c>
      <x:c r="E1771" s="40" t="n">
        <x:v>15.9</x:v>
      </x:c>
      <x:c r="F1771" s="40" t="n">
        <x:v>16.317378997802734</x:v>
      </x:c>
      <x:c r="G1771" s="40" t="n">
        <x:v>15.9</x:v>
      </x:c>
      <x:c r="H1771" s="40" t="n">
        <x:f>F1771-E1771</x:f>
        <x:v>0.417378997802734</x:v>
      </x:c>
      <x:c r="I1771" s="40" t="n">
        <x:f>ABS(H1771)</x:f>
        <x:v>0.417378997802734</x:v>
      </x:c>
      <x:c r="J1771" s="40" t="n">
        <x:f>H1771^2</x:f>
        <x:v>0.17420522780681466</x:v>
      </x:c>
      <x:c r="K1771" s="40" t="n">
        <x:f>G1771-E1771</x:f>
        <x:v>0</x:v>
      </x:c>
      <x:c r="L1771" s="40" t="n">
        <x:f>ABS(K1771)</x:f>
        <x:v>0</x:v>
      </x:c>
      <x:c r="M1771" s="41" t="str">
        <x:v>lstm-soil-v1</x:v>
      </x:c>
    </x:row>
    <x:row r="1772">
      <x:c r="A1772" s="38" t="str">
        <x:v>7月30日现场数据</x:v>
      </x:c>
      <x:c r="B1772" s="39" t="str">
        <x:v>2026-08-02T02:25:00</x:v>
      </x:c>
      <x:c r="C1772" s="39" t="str">
        <x:v>2026-08-02T02:30:00</x:v>
      </x:c>
      <x:c r="D1772" s="47" t="n">
        <x:v>5</x:v>
      </x:c>
      <x:c r="E1772" s="40" t="n">
        <x:v>15.9</x:v>
      </x:c>
      <x:c r="F1772" s="40" t="n">
        <x:v>14.223644256591797</x:v>
      </x:c>
      <x:c r="G1772" s="40" t="n">
        <x:v>15.9</x:v>
      </x:c>
      <x:c r="H1772" s="40" t="n">
        <x:f>F1772-E1772</x:f>
        <x:v>-1.6763557434082035</x:v>
      </x:c>
      <x:c r="I1772" s="40" t="n">
        <x:f>ABS(H1772)</x:f>
        <x:v>1.6763557434082035</x:v>
      </x:c>
      <x:c r="J1772" s="40" t="n">
        <x:f>H1772^2</x:f>
        <x:v>2.8101685784576707</x:v>
      </x:c>
      <x:c r="K1772" s="40" t="n">
        <x:f>G1772-E1772</x:f>
        <x:v>0</x:v>
      </x:c>
      <x:c r="L1772" s="40" t="n">
        <x:f>ABS(K1772)</x:f>
        <x:v>0</x:v>
      </x:c>
      <x:c r="M1772" s="41" t="str">
        <x:v>lstm-soil-v1</x:v>
      </x:c>
    </x:row>
    <x:row r="1773">
      <x:c r="A1773" s="38" t="str">
        <x:v>7月30日现场数据</x:v>
      </x:c>
      <x:c r="B1773" s="39" t="str">
        <x:v>2026-08-02T02:25:00</x:v>
      </x:c>
      <x:c r="C1773" s="39" t="str">
        <x:v>2026-08-02T02:40:00</x:v>
      </x:c>
      <x:c r="D1773" s="47" t="n">
        <x:v>15</x:v>
      </x:c>
      <x:c r="E1773" s="40" t="n">
        <x:v>15.9</x:v>
      </x:c>
      <x:c r="F1773" s="40" t="n">
        <x:v>14.295673370361328</x:v>
      </x:c>
      <x:c r="G1773" s="40" t="n">
        <x:v>15.9</x:v>
      </x:c>
      <x:c r="H1773" s="40" t="n">
        <x:f>F1773-E1773</x:f>
        <x:v>-1.6043266296386722</x:v>
      </x:c>
      <x:c r="I1773" s="40" t="n">
        <x:f>ABS(H1773)</x:f>
        <x:v>1.6043266296386722</x:v>
      </x:c>
      <x:c r="J1773" s="40" t="n">
        <x:f>H1773^2</x:f>
        <x:v>2.573863934567781</x:v>
      </x:c>
      <x:c r="K1773" s="40" t="n">
        <x:f>G1773-E1773</x:f>
        <x:v>0</x:v>
      </x:c>
      <x:c r="L1773" s="40" t="n">
        <x:f>ABS(K1773)</x:f>
        <x:v>0</x:v>
      </x:c>
      <x:c r="M1773" s="41" t="str">
        <x:v>lstm-soil-v1</x:v>
      </x:c>
    </x:row>
    <x:row r="1774">
      <x:c r="A1774" s="38" t="str">
        <x:v>7月30日现场数据</x:v>
      </x:c>
      <x:c r="B1774" s="39" t="str">
        <x:v>2026-08-02T02:25:00</x:v>
      </x:c>
      <x:c r="C1774" s="39" t="str">
        <x:v>2026-08-02T02:55:00</x:v>
      </x:c>
      <x:c r="D1774" s="47" t="n">
        <x:v>30</x:v>
      </x:c>
      <x:c r="E1774" s="40" t="n">
        <x:v>15.9</x:v>
      </x:c>
      <x:c r="F1774" s="40" t="n">
        <x:v>14.725101470947266</x:v>
      </x:c>
      <x:c r="G1774" s="40" t="n">
        <x:v>15.9</x:v>
      </x:c>
      <x:c r="H1774" s="40" t="n">
        <x:f>F1774-E1774</x:f>
        <x:v>-1.1748985290527347</x:v>
      </x:c>
      <x:c r="I1774" s="40" t="n">
        <x:f>ABS(H1774)</x:f>
        <x:v>1.1748985290527347</x:v>
      </x:c>
      <x:c r="J1774" s="40" t="n">
        <x:f>H1774^2</x:f>
        <x:v>1.3803865535702797</x:v>
      </x:c>
      <x:c r="K1774" s="40" t="n">
        <x:f>G1774-E1774</x:f>
        <x:v>0</x:v>
      </x:c>
      <x:c r="L1774" s="40" t="n">
        <x:f>ABS(K1774)</x:f>
        <x:v>0</x:v>
      </x:c>
      <x:c r="M1774" s="41" t="str">
        <x:v>lstm-soil-v1</x:v>
      </x:c>
    </x:row>
    <x:row r="1775">
      <x:c r="A1775" s="38" t="str">
        <x:v>7月30日现场数据</x:v>
      </x:c>
      <x:c r="B1775" s="39" t="str">
        <x:v>2026-08-02T02:25:00</x:v>
      </x:c>
      <x:c r="C1775" s="39" t="str">
        <x:v>2026-08-02T03:25:00</x:v>
      </x:c>
      <x:c r="D1775" s="47" t="n">
        <x:v>60</x:v>
      </x:c>
      <x:c r="E1775" s="40" t="n">
        <x:v>15.9</x:v>
      </x:c>
      <x:c r="F1775" s="40" t="n">
        <x:v>16.317413330078125</x:v>
      </x:c>
      <x:c r="G1775" s="40" t="n">
        <x:v>15.9</x:v>
      </x:c>
      <x:c r="H1775" s="40" t="n">
        <x:f>F1775-E1775</x:f>
        <x:v>0.41741333007812464</x:v>
      </x:c>
      <x:c r="I1775" s="40" t="n">
        <x:f>ABS(H1775)</x:f>
        <x:v>0.41741333007812464</x:v>
      </x:c>
      <x:c r="J1775" s="40" t="n">
        <x:f>H1775^2</x:f>
        <x:v>0.17423388812690943</x:v>
      </x:c>
      <x:c r="K1775" s="40" t="n">
        <x:f>G1775-E1775</x:f>
        <x:v>0</x:v>
      </x:c>
      <x:c r="L1775" s="40" t="n">
        <x:f>ABS(K1775)</x:f>
        <x:v>0</x:v>
      </x:c>
      <x:c r="M1775" s="41" t="str">
        <x:v>lstm-soil-v1</x:v>
      </x:c>
    </x:row>
    <x:row r="1776">
      <x:c r="A1776" s="38" t="str">
        <x:v>7月30日现场数据</x:v>
      </x:c>
      <x:c r="B1776" s="39" t="str">
        <x:v>2026-08-02T02:30:00</x:v>
      </x:c>
      <x:c r="C1776" s="39" t="str">
        <x:v>2026-08-02T02:35:00</x:v>
      </x:c>
      <x:c r="D1776" s="47" t="n">
        <x:v>5</x:v>
      </x:c>
      <x:c r="E1776" s="40" t="n">
        <x:v>15.9</x:v>
      </x:c>
      <x:c r="F1776" s="40" t="n">
        <x:v>14.224117279052734</x:v>
      </x:c>
      <x:c r="G1776" s="40" t="n">
        <x:v>15.9</x:v>
      </x:c>
      <x:c r="H1776" s="40" t="n">
        <x:f>F1776-E1776</x:f>
        <x:v>-1.675882720947266</x:v>
      </x:c>
      <x:c r="I1776" s="40" t="n">
        <x:f>ABS(H1776)</x:f>
        <x:v>1.675882720947266</x:v>
      </x:c>
      <x:c r="J1776" s="40" t="n">
        <x:f>H1776^2</x:f>
        <x:v>2.8085828943696116</x:v>
      </x:c>
      <x:c r="K1776" s="40" t="n">
        <x:f>G1776-E1776</x:f>
        <x:v>0</x:v>
      </x:c>
      <x:c r="L1776" s="40" t="n">
        <x:f>ABS(K1776)</x:f>
        <x:v>0</x:v>
      </x:c>
      <x:c r="M1776" s="41" t="str">
        <x:v>lstm-soil-v1</x:v>
      </x:c>
    </x:row>
    <x:row r="1777">
      <x:c r="A1777" s="38" t="str">
        <x:v>7月30日现场数据</x:v>
      </x:c>
      <x:c r="B1777" s="39" t="str">
        <x:v>2026-08-02T02:30:00</x:v>
      </x:c>
      <x:c r="C1777" s="39" t="str">
        <x:v>2026-08-02T02:45:00</x:v>
      </x:c>
      <x:c r="D1777" s="47" t="n">
        <x:v>15</x:v>
      </x:c>
      <x:c r="E1777" s="40" t="n">
        <x:v>15.9</x:v>
      </x:c>
      <x:c r="F1777" s="40" t="n">
        <x:v>14.295597076416016</x:v>
      </x:c>
      <x:c r="G1777" s="40" t="n">
        <x:v>15.9</x:v>
      </x:c>
      <x:c r="H1777" s="40" t="n">
        <x:f>F1777-E1777</x:f>
        <x:v>-1.6044029235839847</x:v>
      </x:c>
      <x:c r="I1777" s="40" t="n">
        <x:f>ABS(H1777)</x:f>
        <x:v>1.6044029235839847</x:v>
      </x:c>
      <x:c r="J1777" s="40" t="n">
        <x:f>H1777^2</x:f>
        <x:v>2.5741087412048373</x:v>
      </x:c>
      <x:c r="K1777" s="40" t="n">
        <x:f>G1777-E1777</x:f>
        <x:v>0</x:v>
      </x:c>
      <x:c r="L1777" s="40" t="n">
        <x:f>ABS(K1777)</x:f>
        <x:v>0</x:v>
      </x:c>
      <x:c r="M1777" s="41" t="str">
        <x:v>lstm-soil-v1</x:v>
      </x:c>
    </x:row>
    <x:row r="1778">
      <x:c r="A1778" s="38" t="str">
        <x:v>7月30日现场数据</x:v>
      </x:c>
      <x:c r="B1778" s="39" t="str">
        <x:v>2026-08-02T02:30:00</x:v>
      </x:c>
      <x:c r="C1778" s="39" t="str">
        <x:v>2026-08-02T03:00:00</x:v>
      </x:c>
      <x:c r="D1778" s="47" t="n">
        <x:v>30</x:v>
      </x:c>
      <x:c r="E1778" s="40" t="n">
        <x:v>15.9</x:v>
      </x:c>
      <x:c r="F1778" s="40" t="n">
        <x:v>14.726493835449219</x:v>
      </x:c>
      <x:c r="G1778" s="40" t="n">
        <x:v>15.9</x:v>
      </x:c>
      <x:c r="H1778" s="40" t="n">
        <x:f>F1778-E1778</x:f>
        <x:v>-1.1735061645507816</x:v>
      </x:c>
      <x:c r="I1778" s="40" t="n">
        <x:f>ABS(H1778)</x:f>
        <x:v>1.1735061645507816</x:v>
      </x:c>
      <x:c r="J1778" s="40" t="n">
        <x:f>H1778^2</x:f>
        <x:v>1.377116718238686</x:v>
      </x:c>
      <x:c r="K1778" s="40" t="n">
        <x:f>G1778-E1778</x:f>
        <x:v>0</x:v>
      </x:c>
      <x:c r="L1778" s="40" t="n">
        <x:f>ABS(K1778)</x:f>
        <x:v>0</x:v>
      </x:c>
      <x:c r="M1778" s="41" t="str">
        <x:v>lstm-soil-v1</x:v>
      </x:c>
    </x:row>
    <x:row r="1779">
      <x:c r="A1779" s="38" t="str">
        <x:v>7月30日现场数据</x:v>
      </x:c>
      <x:c r="B1779" s="39" t="str">
        <x:v>2026-08-02T02:30:00</x:v>
      </x:c>
      <x:c r="C1779" s="39" t="str">
        <x:v>2026-08-02T03:30:00</x:v>
      </x:c>
      <x:c r="D1779" s="47" t="n">
        <x:v>60</x:v>
      </x:c>
      <x:c r="E1779" s="40" t="n">
        <x:v>15.9</x:v>
      </x:c>
      <x:c r="F1779" s="40" t="n">
        <x:v>16.31778335571289</x:v>
      </x:c>
      <x:c r="G1779" s="40" t="n">
        <x:v>15.9</x:v>
      </x:c>
      <x:c r="H1779" s="40" t="n">
        <x:f>F1779-E1779</x:f>
        <x:v>0.41778335571289027</x:v>
      </x:c>
      <x:c r="I1779" s="40" t="n">
        <x:f>ABS(H1779)</x:f>
        <x:v>0.41778335571289027</x:v>
      </x:c>
      <x:c r="J1779" s="40" t="n">
        <x:f>H1779^2</x:f>
        <x:v>0.1745429323107234</x:v>
      </x:c>
      <x:c r="K1779" s="40" t="n">
        <x:f>G1779-E1779</x:f>
        <x:v>0</x:v>
      </x:c>
      <x:c r="L1779" s="40" t="n">
        <x:f>ABS(K1779)</x:f>
        <x:v>0</x:v>
      </x:c>
      <x:c r="M1779" s="41" t="str">
        <x:v>lstm-soil-v1</x:v>
      </x:c>
    </x:row>
    <x:row r="1780">
      <x:c r="A1780" s="38" t="str">
        <x:v>7月30日现场数据</x:v>
      </x:c>
      <x:c r="B1780" s="39" t="str">
        <x:v>2026-08-02T02:35:00</x:v>
      </x:c>
      <x:c r="C1780" s="39" t="str">
        <x:v>2026-08-02T02:40:00</x:v>
      </x:c>
      <x:c r="D1780" s="47" t="n">
        <x:v>5</x:v>
      </x:c>
      <x:c r="E1780" s="40" t="n">
        <x:v>15.9</x:v>
      </x:c>
      <x:c r="F1780" s="40" t="n">
        <x:v>14.22446060180664</x:v>
      </x:c>
      <x:c r="G1780" s="40" t="n">
        <x:v>15.9</x:v>
      </x:c>
      <x:c r="H1780" s="40" t="n">
        <x:f>F1780-E1780</x:f>
        <x:v>-1.6755393981933597</x:v>
      </x:c>
      <x:c r="I1780" s="40" t="n">
        <x:f>ABS(H1780)</x:f>
        <x:v>1.6755393981933597</x:v>
      </x:c>
      <x:c r="J1780" s="40" t="n">
        <x:f>H1780^2</x:f>
        <x:v>2.807432274898166</x:v>
      </x:c>
      <x:c r="K1780" s="40" t="n">
        <x:f>G1780-E1780</x:f>
        <x:v>0</x:v>
      </x:c>
      <x:c r="L1780" s="40" t="n">
        <x:f>ABS(K1780)</x:f>
        <x:v>0</x:v>
      </x:c>
      <x:c r="M1780" s="41" t="str">
        <x:v>lstm-soil-v1</x:v>
      </x:c>
    </x:row>
    <x:row r="1781">
      <x:c r="A1781" s="38" t="str">
        <x:v>7月30日现场数据</x:v>
      </x:c>
      <x:c r="B1781" s="39" t="str">
        <x:v>2026-08-02T02:35:00</x:v>
      </x:c>
      <x:c r="C1781" s="39" t="str">
        <x:v>2026-08-02T02:50:00</x:v>
      </x:c>
      <x:c r="D1781" s="47" t="n">
        <x:v>15</x:v>
      </x:c>
      <x:c r="E1781" s="40" t="n">
        <x:v>15.9</x:v>
      </x:c>
      <x:c r="F1781" s="40" t="n">
        <x:v>14.29547119140625</x:v>
      </x:c>
      <x:c r="G1781" s="40" t="n">
        <x:v>15.9</x:v>
      </x:c>
      <x:c r="H1781" s="40" t="n">
        <x:f>F1781-E1781</x:f>
        <x:v>-1.6045288085937504</x:v>
      </x:c>
      <x:c r="I1781" s="40" t="n">
        <x:f>ABS(H1781)</x:f>
        <x:v>1.6045288085937504</x:v>
      </x:c>
      <x:c r="J1781" s="40" t="n">
        <x:f>H1781^2</x:f>
        <x:v>2.57451269760728</x:v>
      </x:c>
      <x:c r="K1781" s="40" t="n">
        <x:f>G1781-E1781</x:f>
        <x:v>0</x:v>
      </x:c>
      <x:c r="L1781" s="40" t="n">
        <x:f>ABS(K1781)</x:f>
        <x:v>0</x:v>
      </x:c>
      <x:c r="M1781" s="41" t="str">
        <x:v>lstm-soil-v1</x:v>
      </x:c>
    </x:row>
    <x:row r="1782">
      <x:c r="A1782" s="38" t="str">
        <x:v>7月30日现场数据</x:v>
      </x:c>
      <x:c r="B1782" s="39" t="str">
        <x:v>2026-08-02T02:35:00</x:v>
      </x:c>
      <x:c r="C1782" s="39" t="str">
        <x:v>2026-08-02T03:05:00</x:v>
      </x:c>
      <x:c r="D1782" s="47" t="n">
        <x:v>30</x:v>
      </x:c>
      <x:c r="E1782" s="40" t="n">
        <x:v>15.9</x:v>
      </x:c>
      <x:c r="F1782" s="40" t="n">
        <x:v>14.727588653564453</x:v>
      </x:c>
      <x:c r="G1782" s="40" t="n">
        <x:v>15.9</x:v>
      </x:c>
      <x:c r="H1782" s="40" t="n">
        <x:f>F1782-E1782</x:f>
        <x:v>-1.1724113464355472</x:v>
      </x:c>
      <x:c r="I1782" s="40" t="n">
        <x:f>ABS(H1782)</x:f>
        <x:v>1.1724113464355472</x:v>
      </x:c>
      <x:c r="J1782" s="40" t="n">
        <x:f>H1782^2</x:f>
        <x:v>1.3745483652508128</x:v>
      </x:c>
      <x:c r="K1782" s="40" t="n">
        <x:f>G1782-E1782</x:f>
        <x:v>0</x:v>
      </x:c>
      <x:c r="L1782" s="40" t="n">
        <x:f>ABS(K1782)</x:f>
        <x:v>0</x:v>
      </x:c>
      <x:c r="M1782" s="41" t="str">
        <x:v>lstm-soil-v1</x:v>
      </x:c>
    </x:row>
    <x:row r="1783">
      <x:c r="A1783" s="38" t="str">
        <x:v>7月30日现场数据</x:v>
      </x:c>
      <x:c r="B1783" s="39" t="str">
        <x:v>2026-08-02T02:35:00</x:v>
      </x:c>
      <x:c r="C1783" s="39" t="str">
        <x:v>2026-08-02T03:35:00</x:v>
      </x:c>
      <x:c r="D1783" s="47" t="n">
        <x:v>60</x:v>
      </x:c>
      <x:c r="E1783" s="40" t="n">
        <x:v>15.9</x:v>
      </x:c>
      <x:c r="F1783" s="40" t="n">
        <x:v>16.318164825439453</x:v>
      </x:c>
      <x:c r="G1783" s="40" t="n">
        <x:v>15.9</x:v>
      </x:c>
      <x:c r="H1783" s="40" t="n">
        <x:f>F1783-E1783</x:f>
        <x:v>0.41816482543945277</x:v>
      </x:c>
      <x:c r="I1783" s="40" t="n">
        <x:f>ABS(H1783)</x:f>
        <x:v>0.41816482543945277</x:v>
      </x:c>
      <x:c r="J1783" s="40" t="n">
        <x:f>H1783^2</x:f>
        <x:v>0.174861821234808</x:v>
      </x:c>
      <x:c r="K1783" s="40" t="n">
        <x:f>G1783-E1783</x:f>
        <x:v>0</x:v>
      </x:c>
      <x:c r="L1783" s="40" t="n">
        <x:f>ABS(K1783)</x:f>
        <x:v>0</x:v>
      </x:c>
      <x:c r="M1783" s="41" t="str">
        <x:v>lstm-soil-v1</x:v>
      </x:c>
    </x:row>
    <x:row r="1784">
      <x:c r="A1784" s="38" t="str">
        <x:v>7月30日现场数据</x:v>
      </x:c>
      <x:c r="B1784" s="39" t="str">
        <x:v>2026-08-02T02:40:00</x:v>
      </x:c>
      <x:c r="C1784" s="39" t="str">
        <x:v>2026-08-02T02:45:00</x:v>
      </x:c>
      <x:c r="D1784" s="47" t="n">
        <x:v>5</x:v>
      </x:c>
      <x:c r="E1784" s="40" t="n">
        <x:v>15.9</x:v>
      </x:c>
      <x:c r="F1784" s="40" t="n">
        <x:v>14.224735260009766</x:v>
      </x:c>
      <x:c r="G1784" s="40" t="n">
        <x:v>15.9</x:v>
      </x:c>
      <x:c r="H1784" s="40" t="n">
        <x:f>F1784-E1784</x:f>
        <x:v>-1.6752647399902347</x:v>
      </x:c>
      <x:c r="I1784" s="40" t="n">
        <x:f>ABS(H1784)</x:f>
        <x:v>1.6752647399902347</x:v>
      </x:c>
      <x:c r="J1784" s="40" t="n">
        <x:f>H1784^2</x:f>
        <x:v>2.8065119490545487</x:v>
      </x:c>
      <x:c r="K1784" s="40" t="n">
        <x:f>G1784-E1784</x:f>
        <x:v>0</x:v>
      </x:c>
      <x:c r="L1784" s="40" t="n">
        <x:f>ABS(K1784)</x:f>
        <x:v>0</x:v>
      </x:c>
      <x:c r="M1784" s="41" t="str">
        <x:v>lstm-soil-v1</x:v>
      </x:c>
    </x:row>
    <x:row r="1785">
      <x:c r="A1785" s="38" t="str">
        <x:v>7月30日现场数据</x:v>
      </x:c>
      <x:c r="B1785" s="39" t="str">
        <x:v>2026-08-02T02:40:00</x:v>
      </x:c>
      <x:c r="C1785" s="39" t="str">
        <x:v>2026-08-02T02:55:00</x:v>
      </x:c>
      <x:c r="D1785" s="47" t="n">
        <x:v>15</x:v>
      </x:c>
      <x:c r="E1785" s="40" t="n">
        <x:v>15.9</x:v>
      </x:c>
      <x:c r="F1785" s="40" t="n">
        <x:v>14.295398712158203</x:v>
      </x:c>
      <x:c r="G1785" s="40" t="n">
        <x:v>15.9</x:v>
      </x:c>
      <x:c r="H1785" s="40" t="n">
        <x:f>F1785-E1785</x:f>
        <x:v>-1.6046012878417972</x:v>
      </x:c>
      <x:c r="I1785" s="40" t="n">
        <x:f>ABS(H1785)</x:f>
        <x:v>1.6046012878417972</x:v>
      </x:c>
      <x:c r="J1785" s="40" t="n">
        <x:f>H1785^2</x:f>
        <x:v>2.5747452929435544</x:v>
      </x:c>
      <x:c r="K1785" s="40" t="n">
        <x:f>G1785-E1785</x:f>
        <x:v>0</x:v>
      </x:c>
      <x:c r="L1785" s="40" t="n">
        <x:f>ABS(K1785)</x:f>
        <x:v>0</x:v>
      </x:c>
      <x:c r="M1785" s="41" t="str">
        <x:v>lstm-soil-v1</x:v>
      </x:c>
    </x:row>
    <x:row r="1786">
      <x:c r="A1786" s="38" t="str">
        <x:v>7月30日现场数据</x:v>
      </x:c>
      <x:c r="B1786" s="39" t="str">
        <x:v>2026-08-02T02:40:00</x:v>
      </x:c>
      <x:c r="C1786" s="39" t="str">
        <x:v>2026-08-02T03:10:00</x:v>
      </x:c>
      <x:c r="D1786" s="47" t="n">
        <x:v>30</x:v>
      </x:c>
      <x:c r="E1786" s="40" t="n">
        <x:v>15.9</x:v>
      </x:c>
      <x:c r="F1786" s="40" t="n">
        <x:v>14.728496551513672</x:v>
      </x:c>
      <x:c r="G1786" s="40" t="n">
        <x:v>15.9</x:v>
      </x:c>
      <x:c r="H1786" s="40" t="n">
        <x:f>F1786-E1786</x:f>
        <x:v>-1.1715034484863285</x:v>
      </x:c>
      <x:c r="I1786" s="40" t="n">
        <x:f>ABS(H1786)</x:f>
        <x:v>1.1715034484863285</x:v>
      </x:c>
      <x:c r="J1786" s="40" t="n">
        <x:f>H1786^2</x:f>
        <x:v>1.3724203298153597</x:v>
      </x:c>
      <x:c r="K1786" s="40" t="n">
        <x:f>G1786-E1786</x:f>
        <x:v>0</x:v>
      </x:c>
      <x:c r="L1786" s="40" t="n">
        <x:f>ABS(K1786)</x:f>
        <x:v>0</x:v>
      </x:c>
      <x:c r="M1786" s="41" t="str">
        <x:v>lstm-soil-v1</x:v>
      </x:c>
    </x:row>
    <x:row r="1787">
      <x:c r="A1787" s="38" t="str">
        <x:v>7月30日现场数据</x:v>
      </x:c>
      <x:c r="B1787" s="39" t="str">
        <x:v>2026-08-02T02:40:00</x:v>
      </x:c>
      <x:c r="C1787" s="39" t="str">
        <x:v>2026-08-02T03:40:00</x:v>
      </x:c>
      <x:c r="D1787" s="47" t="n">
        <x:v>60</x:v>
      </x:c>
      <x:c r="E1787" s="40" t="n">
        <x:v>15.8</x:v>
      </x:c>
      <x:c r="F1787" s="40" t="n">
        <x:v>16.318519592285156</x:v>
      </x:c>
      <x:c r="G1787" s="40" t="n">
        <x:v>15.9</x:v>
      </x:c>
      <x:c r="H1787" s="40" t="n">
        <x:f>F1787-E1787</x:f>
        <x:v>0.5185195922851555</x:v>
      </x:c>
      <x:c r="I1787" s="40" t="n">
        <x:f>ABS(H1787)</x:f>
        <x:v>0.5185195922851555</x:v>
      </x:c>
      <x:c r="J1787" s="40" t="n">
        <x:f>H1787^2</x:f>
        <x:v>0.2688625675835639</x:v>
      </x:c>
      <x:c r="K1787" s="40" t="n">
        <x:f>G1787-E1787</x:f>
        <x:v>0.09999999999999964</x:v>
      </x:c>
      <x:c r="L1787" s="40" t="n">
        <x:f>ABS(K1787)</x:f>
        <x:v>0.09999999999999964</x:v>
      </x:c>
      <x:c r="M1787" s="41" t="str">
        <x:v>lstm-soil-v1</x:v>
      </x:c>
    </x:row>
    <x:row r="1788">
      <x:c r="A1788" s="38" t="str">
        <x:v>7月30日现场数据</x:v>
      </x:c>
      <x:c r="B1788" s="39" t="str">
        <x:v>2026-08-02T02:45:00</x:v>
      </x:c>
      <x:c r="C1788" s="39" t="str">
        <x:v>2026-08-02T02:50:00</x:v>
      </x:c>
      <x:c r="D1788" s="47" t="n">
        <x:v>5</x:v>
      </x:c>
      <x:c r="E1788" s="40" t="n">
        <x:v>15.9</x:v>
      </x:c>
      <x:c r="F1788" s="40" t="n">
        <x:v>14.224872589111328</x:v>
      </x:c>
      <x:c r="G1788" s="40" t="n">
        <x:v>15.9</x:v>
      </x:c>
      <x:c r="H1788" s="40" t="n">
        <x:f>F1788-E1788</x:f>
        <x:v>-1.6751274108886722</x:v>
      </x:c>
      <x:c r="I1788" s="40" t="n">
        <x:f>ABS(H1788)</x:f>
        <x:v>1.6751274108886722</x:v>
      </x:c>
      <x:c r="J1788" s="40" t="n">
        <x:f>H1788^2</x:f>
        <x:v>2.8060518427105867</x:v>
      </x:c>
      <x:c r="K1788" s="40" t="n">
        <x:f>G1788-E1788</x:f>
        <x:v>0</x:v>
      </x:c>
      <x:c r="L1788" s="40" t="n">
        <x:f>ABS(K1788)</x:f>
        <x:v>0</x:v>
      </x:c>
      <x:c r="M1788" s="41" t="str">
        <x:v>lstm-soil-v1</x:v>
      </x:c>
    </x:row>
    <x:row r="1789">
      <x:c r="A1789" s="38" t="str">
        <x:v>7月30日现场数据</x:v>
      </x:c>
      <x:c r="B1789" s="39" t="str">
        <x:v>2026-08-02T02:45:00</x:v>
      </x:c>
      <x:c r="C1789" s="39" t="str">
        <x:v>2026-08-02T03:00:00</x:v>
      </x:c>
      <x:c r="D1789" s="47" t="n">
        <x:v>15</x:v>
      </x:c>
      <x:c r="E1789" s="40" t="n">
        <x:v>15.9</x:v>
      </x:c>
      <x:c r="F1789" s="40" t="n">
        <x:v>14.295352935791016</x:v>
      </x:c>
      <x:c r="G1789" s="40" t="n">
        <x:v>15.9</x:v>
      </x:c>
      <x:c r="H1789" s="40" t="n">
        <x:f>F1789-E1789</x:f>
        <x:v>-1.6046470642089847</x:v>
      </x:c>
      <x:c r="I1789" s="40" t="n">
        <x:f>ABS(H1789)</x:f>
        <x:v>1.6046470642089847</x:v>
      </x:c>
      <x:c r="J1789" s="40" t="n">
        <x:f>H1789^2</x:f>
        <x:v>2.5748922006745136</x:v>
      </x:c>
      <x:c r="K1789" s="40" t="n">
        <x:f>G1789-E1789</x:f>
        <x:v>0</x:v>
      </x:c>
      <x:c r="L1789" s="40" t="n">
        <x:f>ABS(K1789)</x:f>
        <x:v>0</x:v>
      </x:c>
      <x:c r="M1789" s="41" t="str">
        <x:v>lstm-soil-v1</x:v>
      </x:c>
    </x:row>
    <x:row r="1790">
      <x:c r="A1790" s="38" t="str">
        <x:v>7月30日现场数据</x:v>
      </x:c>
      <x:c r="B1790" s="39" t="str">
        <x:v>2026-08-02T02:45:00</x:v>
      </x:c>
      <x:c r="C1790" s="39" t="str">
        <x:v>2026-08-02T03:15:00</x:v>
      </x:c>
      <x:c r="D1790" s="47" t="n">
        <x:v>30</x:v>
      </x:c>
      <x:c r="E1790" s="40" t="n">
        <x:v>15.9</x:v>
      </x:c>
      <x:c r="F1790" s="40" t="n">
        <x:v>14.729141235351562</x:v>
      </x:c>
      <x:c r="G1790" s="40" t="n">
        <x:v>15.9</x:v>
      </x:c>
      <x:c r="H1790" s="40" t="n">
        <x:f>F1790-E1790</x:f>
        <x:v>-1.1708587646484379</x:v>
      </x:c>
      <x:c r="I1790" s="40" t="n">
        <x:f>ABS(H1790)</x:f>
        <x:v>1.1708587646484379</x:v>
      </x:c>
      <x:c r="J1790" s="40" t="n">
        <x:f>H1790^2</x:f>
        <x:v>1.370910246754066</x:v>
      </x:c>
      <x:c r="K1790" s="40" t="n">
        <x:f>G1790-E1790</x:f>
        <x:v>0</x:v>
      </x:c>
      <x:c r="L1790" s="40" t="n">
        <x:f>ABS(K1790)</x:f>
        <x:v>0</x:v>
      </x:c>
      <x:c r="M1790" s="41" t="str">
        <x:v>lstm-soil-v1</x:v>
      </x:c>
    </x:row>
    <x:row r="1791">
      <x:c r="A1791" s="38" t="str">
        <x:v>7月30日现场数据</x:v>
      </x:c>
      <x:c r="B1791" s="39" t="str">
        <x:v>2026-08-02T02:45:00</x:v>
      </x:c>
      <x:c r="C1791" s="39" t="str">
        <x:v>2026-08-02T03:45:00</x:v>
      </x:c>
      <x:c r="D1791" s="47" t="n">
        <x:v>60</x:v>
      </x:c>
      <x:c r="E1791" s="40" t="n">
        <x:v>15.9</x:v>
      </x:c>
      <x:c r="F1791" s="40" t="n">
        <x:v>16.31873321533203</x:v>
      </x:c>
      <x:c r="G1791" s="40" t="n">
        <x:v>15.9</x:v>
      </x:c>
      <x:c r="H1791" s="40" t="n">
        <x:f>F1791-E1791</x:f>
        <x:v>0.4187332153320309</x:v>
      </x:c>
      <x:c r="I1791" s="40" t="n">
        <x:f>ABS(H1791)</x:f>
        <x:v>0.4187332153320309</x:v>
      </x:c>
      <x:c r="J1791" s="40" t="n">
        <x:f>H1791^2</x:f>
        <x:v>0.17533750562230097</x:v>
      </x:c>
      <x:c r="K1791" s="40" t="n">
        <x:f>G1791-E1791</x:f>
        <x:v>0</x:v>
      </x:c>
      <x:c r="L1791" s="40" t="n">
        <x:f>ABS(K1791)</x:f>
        <x:v>0</x:v>
      </x:c>
      <x:c r="M1791" s="41" t="str">
        <x:v>lstm-soil-v1</x:v>
      </x:c>
    </x:row>
    <x:row r="1792">
      <x:c r="A1792" s="38" t="str">
        <x:v>7月30日现场数据</x:v>
      </x:c>
      <x:c r="B1792" s="39" t="str">
        <x:v>2026-08-02T02:50:00</x:v>
      </x:c>
      <x:c r="C1792" s="39" t="str">
        <x:v>2026-08-02T02:55:00</x:v>
      </x:c>
      <x:c r="D1792" s="47" t="n">
        <x:v>5</x:v>
      </x:c>
      <x:c r="E1792" s="40" t="n">
        <x:v>15.9</x:v>
      </x:c>
      <x:c r="F1792" s="40" t="n">
        <x:v>14.225067138671875</x:v>
      </x:c>
      <x:c r="G1792" s="40" t="n">
        <x:v>15.9</x:v>
      </x:c>
      <x:c r="H1792" s="40" t="n">
        <x:f>F1792-E1792</x:f>
        <x:v>-1.6749328613281254</x:v>
      </x:c>
      <x:c r="I1792" s="40" t="n">
        <x:f>ABS(H1792)</x:f>
        <x:v>1.6749328613281254</x:v>
      </x:c>
      <x:c r="J1792" s="40" t="n">
        <x:f>H1792^2</x:f>
        <x:v>2.805400089956821</x:v>
      </x:c>
      <x:c r="K1792" s="40" t="n">
        <x:f>G1792-E1792</x:f>
        <x:v>0</x:v>
      </x:c>
      <x:c r="L1792" s="40" t="n">
        <x:f>ABS(K1792)</x:f>
        <x:v>0</x:v>
      </x:c>
      <x:c r="M1792" s="41" t="str">
        <x:v>lstm-soil-v1</x:v>
      </x:c>
    </x:row>
    <x:row r="1793">
      <x:c r="A1793" s="38" t="str">
        <x:v>7月30日现场数据</x:v>
      </x:c>
      <x:c r="B1793" s="39" t="str">
        <x:v>2026-08-02T02:50:00</x:v>
      </x:c>
      <x:c r="C1793" s="39" t="str">
        <x:v>2026-08-02T03:05:00</x:v>
      </x:c>
      <x:c r="D1793" s="47" t="n">
        <x:v>15</x:v>
      </x:c>
      <x:c r="E1793" s="40" t="n">
        <x:v>15.9</x:v>
      </x:c>
      <x:c r="F1793" s="40" t="n">
        <x:v>14.295604705810547</x:v>
      </x:c>
      <x:c r="G1793" s="40" t="n">
        <x:v>15.9</x:v>
      </x:c>
      <x:c r="H1793" s="40" t="n">
        <x:f>F1793-E1793</x:f>
        <x:v>-1.6043952941894535</x:v>
      </x:c>
      <x:c r="I1793" s="40" t="n">
        <x:f>ABS(H1793)</x:f>
        <x:v>1.6043952941894535</x:v>
      </x:c>
      <x:c r="J1793" s="40" t="n">
        <x:f>H1793^2</x:f>
        <x:v>2.574084260017263</x:v>
      </x:c>
      <x:c r="K1793" s="40" t="n">
        <x:f>G1793-E1793</x:f>
        <x:v>0</x:v>
      </x:c>
      <x:c r="L1793" s="40" t="n">
        <x:f>ABS(K1793)</x:f>
        <x:v>0</x:v>
      </x:c>
      <x:c r="M1793" s="41" t="str">
        <x:v>lstm-soil-v1</x:v>
      </x:c>
    </x:row>
    <x:row r="1794">
      <x:c r="A1794" s="38" t="str">
        <x:v>7月30日现场数据</x:v>
      </x:c>
      <x:c r="B1794" s="39" t="str">
        <x:v>2026-08-02T02:50:00</x:v>
      </x:c>
      <x:c r="C1794" s="39" t="str">
        <x:v>2026-08-02T03:20:00</x:v>
      </x:c>
      <x:c r="D1794" s="47" t="n">
        <x:v>30</x:v>
      </x:c>
      <x:c r="E1794" s="40" t="n">
        <x:v>15.9</x:v>
      </x:c>
      <x:c r="F1794" s="40" t="n">
        <x:v>14.730247497558594</x:v>
      </x:c>
      <x:c r="G1794" s="40" t="n">
        <x:v>15.9</x:v>
      </x:c>
      <x:c r="H1794" s="40" t="n">
        <x:f>F1794-E1794</x:f>
        <x:v>-1.1697525024414066</x:v>
      </x:c>
      <x:c r="I1794" s="40" t="n">
        <x:f>ABS(H1794)</x:f>
        <x:v>1.1697525024414066</x:v>
      </x:c>
      <x:c r="J1794" s="40" t="n">
        <x:f>H1794^2</x:f>
        <x:v>1.368320916967933</x:v>
      </x:c>
      <x:c r="K1794" s="40" t="n">
        <x:f>G1794-E1794</x:f>
        <x:v>0</x:v>
      </x:c>
      <x:c r="L1794" s="40" t="n">
        <x:f>ABS(K1794)</x:f>
        <x:v>0</x:v>
      </x:c>
      <x:c r="M1794" s="41" t="str">
        <x:v>lstm-soil-v1</x:v>
      </x:c>
    </x:row>
    <x:row r="1795">
      <x:c r="A1795" s="38" t="str">
        <x:v>7月30日现场数据</x:v>
      </x:c>
      <x:c r="B1795" s="39" t="str">
        <x:v>2026-08-02T02:50:00</x:v>
      </x:c>
      <x:c r="C1795" s="39" t="str">
        <x:v>2026-08-02T03:50:00</x:v>
      </x:c>
      <x:c r="D1795" s="47" t="n">
        <x:v>60</x:v>
      </x:c>
      <x:c r="E1795" s="40" t="n">
        <x:v>15.8</x:v>
      </x:c>
      <x:c r="F1795" s="40" t="n">
        <x:v>16.32003402709961</x:v>
      </x:c>
      <x:c r="G1795" s="40" t="n">
        <x:v>15.9</x:v>
      </x:c>
      <x:c r="H1795" s="40" t="n">
        <x:f>F1795-E1795</x:f>
        <x:v>0.5200340270996087</x:v>
      </x:c>
      <x:c r="I1795" s="40" t="n">
        <x:f>ABS(H1795)</x:f>
        <x:v>0.5200340270996087</x:v>
      </x:c>
      <x:c r="J1795" s="40" t="n">
        <x:f>H1795^2</x:f>
        <x:v>0.2704353893414365</x:v>
      </x:c>
      <x:c r="K1795" s="40" t="n">
        <x:f>G1795-E1795</x:f>
        <x:v>0.09999999999999964</x:v>
      </x:c>
      <x:c r="L1795" s="40" t="n">
        <x:f>ABS(K1795)</x:f>
        <x:v>0.09999999999999964</x:v>
      </x:c>
      <x:c r="M1795" s="41" t="str">
        <x:v>lstm-soil-v1</x:v>
      </x:c>
    </x:row>
    <x:row r="1796">
      <x:c r="A1796" s="38" t="str">
        <x:v>7月30日现场数据</x:v>
      </x:c>
      <x:c r="B1796" s="39" t="str">
        <x:v>2026-08-02T02:55:00</x:v>
      </x:c>
      <x:c r="C1796" s="39" t="str">
        <x:v>2026-08-02T03:00:00</x:v>
      </x:c>
      <x:c r="D1796" s="47" t="n">
        <x:v>5</x:v>
      </x:c>
      <x:c r="E1796" s="40" t="n">
        <x:v>15.9</x:v>
      </x:c>
      <x:c r="F1796" s="40" t="n">
        <x:v>14.224647521972656</x:v>
      </x:c>
      <x:c r="G1796" s="40" t="n">
        <x:v>15.9</x:v>
      </x:c>
      <x:c r="H1796" s="40" t="n">
        <x:f>F1796-E1796</x:f>
        <x:v>-1.675352478027344</x:v>
      </x:c>
      <x:c r="I1796" s="40" t="n">
        <x:f>ABS(H1796)</x:f>
        <x:v>1.675352478027344</x:v>
      </x:c>
      <x:c r="J1796" s="40" t="n">
        <x:f>H1796^2</x:f>
        <x:v>2.8068059256323625</x:v>
      </x:c>
      <x:c r="K1796" s="40" t="n">
        <x:f>G1796-E1796</x:f>
        <x:v>0</x:v>
      </x:c>
      <x:c r="L1796" s="40" t="n">
        <x:f>ABS(K1796)</x:f>
        <x:v>0</x:v>
      </x:c>
      <x:c r="M1796" s="41" t="str">
        <x:v>lstm-soil-v1</x:v>
      </x:c>
    </x:row>
    <x:row r="1797">
      <x:c r="A1797" s="38" t="str">
        <x:v>7月30日现场数据</x:v>
      </x:c>
      <x:c r="B1797" s="39" t="str">
        <x:v>2026-08-02T02:55:00</x:v>
      </x:c>
      <x:c r="C1797" s="39" t="str">
        <x:v>2026-08-02T03:10:00</x:v>
      </x:c>
      <x:c r="D1797" s="47" t="n">
        <x:v>15</x:v>
      </x:c>
      <x:c r="E1797" s="40" t="n">
        <x:v>15.9</x:v>
      </x:c>
      <x:c r="F1797" s="40" t="n">
        <x:v>14.295936584472656</x:v>
      </x:c>
      <x:c r="G1797" s="40" t="n">
        <x:v>15.9</x:v>
      </x:c>
      <x:c r="H1797" s="40" t="n">
        <x:f>F1797-E1797</x:f>
        <x:v>-1.604063415527344</x:v>
      </x:c>
      <x:c r="I1797" s="40" t="n">
        <x:f>ABS(H1797)</x:f>
        <x:v>1.604063415527344</x:v>
      </x:c>
      <x:c r="J1797" s="40" t="n">
        <x:f>H1797^2</x:f>
        <x:v>2.573019441033249</x:v>
      </x:c>
      <x:c r="K1797" s="40" t="n">
        <x:f>G1797-E1797</x:f>
        <x:v>0</x:v>
      </x:c>
      <x:c r="L1797" s="40" t="n">
        <x:f>ABS(K1797)</x:f>
        <x:v>0</x:v>
      </x:c>
      <x:c r="M1797" s="41" t="str">
        <x:v>lstm-soil-v1</x:v>
      </x:c>
    </x:row>
    <x:row r="1798">
      <x:c r="A1798" s="38" t="str">
        <x:v>7月30日现场数据</x:v>
      </x:c>
      <x:c r="B1798" s="39" t="str">
        <x:v>2026-08-02T02:55:00</x:v>
      </x:c>
      <x:c r="C1798" s="39" t="str">
        <x:v>2026-08-02T03:25:00</x:v>
      </x:c>
      <x:c r="D1798" s="47" t="n">
        <x:v>30</x:v>
      </x:c>
      <x:c r="E1798" s="40" t="n">
        <x:v>15.9</x:v>
      </x:c>
      <x:c r="F1798" s="40" t="n">
        <x:v>14.729576110839844</x:v>
      </x:c>
      <x:c r="G1798" s="40" t="n">
        <x:v>15.9</x:v>
      </x:c>
      <x:c r="H1798" s="40" t="n">
        <x:f>F1798-E1798</x:f>
        <x:v>-1.1704238891601566</x:v>
      </x:c>
      <x:c r="I1798" s="40" t="n">
        <x:f>ABS(H1798)</x:f>
        <x:v>1.1704238891601566</x:v>
      </x:c>
      <x:c r="J1798" s="40" t="n">
        <x:f>H1798^2</x:f>
        <x:v>1.3698920803167867</x:v>
      </x:c>
      <x:c r="K1798" s="40" t="n">
        <x:f>G1798-E1798</x:f>
        <x:v>0</x:v>
      </x:c>
      <x:c r="L1798" s="40" t="n">
        <x:f>ABS(K1798)</x:f>
        <x:v>0</x:v>
      </x:c>
      <x:c r="M1798" s="41" t="str">
        <x:v>lstm-soil-v1</x:v>
      </x:c>
    </x:row>
    <x:row r="1799">
      <x:c r="A1799" s="38" t="str">
        <x:v>7月30日现场数据</x:v>
      </x:c>
      <x:c r="B1799" s="39" t="str">
        <x:v>2026-08-02T02:55:00</x:v>
      </x:c>
      <x:c r="C1799" s="39" t="str">
        <x:v>2026-08-02T03:55:00</x:v>
      </x:c>
      <x:c r="D1799" s="47" t="n">
        <x:v>60</x:v>
      </x:c>
      <x:c r="E1799" s="40" t="n">
        <x:v>15.8</x:v>
      </x:c>
      <x:c r="F1799" s="40" t="n">
        <x:v>16.318195343017578</x:v>
      </x:c>
      <x:c r="G1799" s="40" t="n">
        <x:v>15.9</x:v>
      </x:c>
      <x:c r="H1799" s="40" t="n">
        <x:f>F1799-E1799</x:f>
        <x:v>0.5181953430175774</x:v>
      </x:c>
      <x:c r="I1799" s="40" t="n">
        <x:f>ABS(H1799)</x:f>
        <x:v>0.5181953430175774</x:v>
      </x:c>
      <x:c r="J1799" s="40" t="n">
        <x:f>H1799^2</x:f>
        <x:v>0.2685264135251047</x:v>
      </x:c>
      <x:c r="K1799" s="40" t="n">
        <x:f>G1799-E1799</x:f>
        <x:v>0.09999999999999964</x:v>
      </x:c>
      <x:c r="L1799" s="40" t="n">
        <x:f>ABS(K1799)</x:f>
        <x:v>0.09999999999999964</x:v>
      </x:c>
      <x:c r="M1799" s="41" t="str">
        <x:v>lstm-soil-v1</x:v>
      </x:c>
    </x:row>
    <x:row r="1800">
      <x:c r="A1800" s="38" t="str">
        <x:v>7月30日现场数据</x:v>
      </x:c>
      <x:c r="B1800" s="39" t="str">
        <x:v>2026-08-02T03:00:00</x:v>
      </x:c>
      <x:c r="C1800" s="39" t="str">
        <x:v>2026-08-02T03:05:00</x:v>
      </x:c>
      <x:c r="D1800" s="47" t="n">
        <x:v>5</x:v>
      </x:c>
      <x:c r="E1800" s="40" t="n">
        <x:v>15.9</x:v>
      </x:c>
      <x:c r="F1800" s="40" t="n">
        <x:v>14.222320556640625</x:v>
      </x:c>
      <x:c r="G1800" s="40" t="n">
        <x:v>15.9</x:v>
      </x:c>
      <x:c r="H1800" s="40" t="n">
        <x:f>F1800-E1800</x:f>
        <x:v>-1.6776794433593754</x:v>
      </x:c>
      <x:c r="I1800" s="40" t="n">
        <x:f>ABS(H1800)</x:f>
        <x:v>1.6776794433593754</x:v>
      </x:c>
      <x:c r="J1800" s="40" t="n">
        <x:f>H1800^2</x:f>
        <x:v>2.8146083146706236</x:v>
      </x:c>
      <x:c r="K1800" s="40" t="n">
        <x:f>G1800-E1800</x:f>
        <x:v>0</x:v>
      </x:c>
      <x:c r="L1800" s="40" t="n">
        <x:f>ABS(K1800)</x:f>
        <x:v>0</x:v>
      </x:c>
      <x:c r="M1800" s="41" t="str">
        <x:v>lstm-soil-v1</x:v>
      </x:c>
    </x:row>
    <x:row r="1801">
      <x:c r="A1801" s="38" t="str">
        <x:v>7月30日现场数据</x:v>
      </x:c>
      <x:c r="B1801" s="39" t="str">
        <x:v>2026-08-02T03:00:00</x:v>
      </x:c>
      <x:c r="C1801" s="39" t="str">
        <x:v>2026-08-02T03:15:00</x:v>
      </x:c>
      <x:c r="D1801" s="47" t="n">
        <x:v>15</x:v>
      </x:c>
      <x:c r="E1801" s="40" t="n">
        <x:v>15.9</x:v>
      </x:c>
      <x:c r="F1801" s="40" t="n">
        <x:v>14.293071746826172</x:v>
      </x:c>
      <x:c r="G1801" s="40" t="n">
        <x:v>15.9</x:v>
      </x:c>
      <x:c r="H1801" s="40" t="n">
        <x:f>F1801-E1801</x:f>
        <x:v>-1.6069282531738285</x:v>
      </x:c>
      <x:c r="I1801" s="40" t="n">
        <x:f>ABS(H1801)</x:f>
        <x:v>1.6069282531738285</x:v>
      </x:c>
      <x:c r="J1801" s="40" t="n">
        <x:f>H1801^2</x:f>
        <x:v>2.582218410848292</x:v>
      </x:c>
      <x:c r="K1801" s="40" t="n">
        <x:f>G1801-E1801</x:f>
        <x:v>0</x:v>
      </x:c>
      <x:c r="L1801" s="40" t="n">
        <x:f>ABS(K1801)</x:f>
        <x:v>0</x:v>
      </x:c>
      <x:c r="M1801" s="41" t="str">
        <x:v>lstm-soil-v1</x:v>
      </x:c>
    </x:row>
    <x:row r="1802">
      <x:c r="A1802" s="38" t="str">
        <x:v>7月30日现场数据</x:v>
      </x:c>
      <x:c r="B1802" s="39" t="str">
        <x:v>2026-08-02T03:00:00</x:v>
      </x:c>
      <x:c r="C1802" s="39" t="str">
        <x:v>2026-08-02T03:30:00</x:v>
      </x:c>
      <x:c r="D1802" s="47" t="n">
        <x:v>30</x:v>
      </x:c>
      <x:c r="E1802" s="40" t="n">
        <x:v>15.9</x:v>
      </x:c>
      <x:c r="F1802" s="40" t="n">
        <x:v>14.72652816772461</x:v>
      </x:c>
      <x:c r="G1802" s="40" t="n">
        <x:v>15.9</x:v>
      </x:c>
      <x:c r="H1802" s="40" t="n">
        <x:f>F1802-E1802</x:f>
        <x:v>-1.173471832275391</x:v>
      </x:c>
      <x:c r="I1802" s="40" t="n">
        <x:f>ABS(H1802)</x:f>
        <x:v>1.173471832275391</x:v>
      </x:c>
      <x:c r="J1802" s="40" t="n">
        <x:f>H1802^2</x:f>
        <x:v>1.3770361411437633</x:v>
      </x:c>
      <x:c r="K1802" s="40" t="n">
        <x:f>G1802-E1802</x:f>
        <x:v>0</x:v>
      </x:c>
      <x:c r="L1802" s="40" t="n">
        <x:f>ABS(K1802)</x:f>
        <x:v>0</x:v>
      </x:c>
      <x:c r="M1802" s="41" t="str">
        <x:v>lstm-soil-v1</x:v>
      </x:c>
    </x:row>
    <x:row r="1803">
      <x:c r="A1803" s="38" t="str">
        <x:v>7月30日现场数据</x:v>
      </x:c>
      <x:c r="B1803" s="39" t="str">
        <x:v>2026-08-02T03:00:00</x:v>
      </x:c>
      <x:c r="C1803" s="39" t="str">
        <x:v>2026-08-02T04:00:00</x:v>
      </x:c>
      <x:c r="D1803" s="47" t="n">
        <x:v>60</x:v>
      </x:c>
      <x:c r="E1803" s="40" t="n">
        <x:v>15.8</x:v>
      </x:c>
      <x:c r="F1803" s="40" t="n">
        <x:v>16.316226959228516</x:v>
      </x:c>
      <x:c r="G1803" s="40" t="n">
        <x:v>15.9</x:v>
      </x:c>
      <x:c r="H1803" s="40" t="n">
        <x:f>F1803-E1803</x:f>
        <x:v>0.5162269592285149</x:v>
      </x:c>
      <x:c r="I1803" s="40" t="n">
        <x:f>ABS(H1803)</x:f>
        <x:v>0.5162269592285149</x:v>
      </x:c>
      <x:c r="J1803" s="40" t="n">
        <x:f>H1803^2</x:f>
        <x:v>0.2664902734343188</x:v>
      </x:c>
      <x:c r="K1803" s="40" t="n">
        <x:f>G1803-E1803</x:f>
        <x:v>0.09999999999999964</x:v>
      </x:c>
      <x:c r="L1803" s="40" t="n">
        <x:f>ABS(K1803)</x:f>
        <x:v>0.09999999999999964</x:v>
      </x:c>
      <x:c r="M1803" s="41" t="str">
        <x:v>lstm-soil-v1</x:v>
      </x:c>
    </x:row>
    <x:row r="1804">
      <x:c r="A1804" s="38" t="str">
        <x:v>7月30日现场数据</x:v>
      </x:c>
      <x:c r="B1804" s="39" t="str">
        <x:v>2026-08-02T03:05:00</x:v>
      </x:c>
      <x:c r="C1804" s="39" t="str">
        <x:v>2026-08-02T03:10:00</x:v>
      </x:c>
      <x:c r="D1804" s="47" t="n">
        <x:v>5</x:v>
      </x:c>
      <x:c r="E1804" s="40" t="n">
        <x:v>15.9</x:v>
      </x:c>
      <x:c r="F1804" s="40" t="n">
        <x:v>14.220966339111328</x:v>
      </x:c>
      <x:c r="G1804" s="40" t="n">
        <x:v>15.9</x:v>
      </x:c>
      <x:c r="H1804" s="40" t="n">
        <x:f>F1804-E1804</x:f>
        <x:v>-1.6790336608886722</x:v>
      </x:c>
      <x:c r="I1804" s="40" t="n">
        <x:f>ABS(H1804)</x:f>
        <x:v>1.6790336608886722</x:v>
      </x:c>
      <x:c r="J1804" s="40" t="n">
        <x:f>H1804^2</x:f>
        <x:v>2.819154034397217</x:v>
      </x:c>
      <x:c r="K1804" s="40" t="n">
        <x:f>G1804-E1804</x:f>
        <x:v>0</x:v>
      </x:c>
      <x:c r="L1804" s="40" t="n">
        <x:f>ABS(K1804)</x:f>
        <x:v>0</x:v>
      </x:c>
      <x:c r="M1804" s="41" t="str">
        <x:v>lstm-soil-v1</x:v>
      </x:c>
    </x:row>
    <x:row r="1805">
      <x:c r="A1805" s="38" t="str">
        <x:v>7月30日现场数据</x:v>
      </x:c>
      <x:c r="B1805" s="39" t="str">
        <x:v>2026-08-02T03:05:00</x:v>
      </x:c>
      <x:c r="C1805" s="39" t="str">
        <x:v>2026-08-02T03:20:00</x:v>
      </x:c>
      <x:c r="D1805" s="47" t="n">
        <x:v>15</x:v>
      </x:c>
      <x:c r="E1805" s="40" t="n">
        <x:v>15.9</x:v>
      </x:c>
      <x:c r="F1805" s="40" t="n">
        <x:v>14.29205322265625</x:v>
      </x:c>
      <x:c r="G1805" s="40" t="n">
        <x:v>15.9</x:v>
      </x:c>
      <x:c r="H1805" s="40" t="n">
        <x:f>F1805-E1805</x:f>
        <x:v>-1.6079467773437504</x:v>
      </x:c>
      <x:c r="I1805" s="40" t="n">
        <x:f>ABS(H1805)</x:f>
        <x:v>1.6079467773437504</x:v>
      </x:c>
      <x:c r="J1805" s="40" t="n">
        <x:f>H1805^2</x:f>
        <x:v>2.5854928387701523</x:v>
      </x:c>
      <x:c r="K1805" s="40" t="n">
        <x:f>G1805-E1805</x:f>
        <x:v>0</x:v>
      </x:c>
      <x:c r="L1805" s="40" t="n">
        <x:f>ABS(K1805)</x:f>
        <x:v>0</x:v>
      </x:c>
      <x:c r="M1805" s="41" t="str">
        <x:v>lstm-soil-v1</x:v>
      </x:c>
    </x:row>
    <x:row r="1806">
      <x:c r="A1806" s="38" t="str">
        <x:v>7月30日现场数据</x:v>
      </x:c>
      <x:c r="B1806" s="39" t="str">
        <x:v>2026-08-02T03:05:00</x:v>
      </x:c>
      <x:c r="C1806" s="39" t="str">
        <x:v>2026-08-02T03:35:00</x:v>
      </x:c>
      <x:c r="D1806" s="47" t="n">
        <x:v>30</x:v>
      </x:c>
      <x:c r="E1806" s="40" t="n">
        <x:v>15.9</x:v>
      </x:c>
      <x:c r="F1806" s="40" t="n">
        <x:v>14.726608276367188</x:v>
      </x:c>
      <x:c r="G1806" s="40" t="n">
        <x:v>15.9</x:v>
      </x:c>
      <x:c r="H1806" s="40" t="n">
        <x:f>F1806-E1806</x:f>
        <x:v>-1.1733917236328129</x:v>
      </x:c>
      <x:c r="I1806" s="40" t="n">
        <x:f>ABS(H1806)</x:f>
        <x:v>1.1733917236328129</x:v>
      </x:c>
      <x:c r="J1806" s="40" t="n">
        <x:f>H1806^2</x:f>
        <x:v>1.3768481370899834</x:v>
      </x:c>
      <x:c r="K1806" s="40" t="n">
        <x:f>G1806-E1806</x:f>
        <x:v>0</x:v>
      </x:c>
      <x:c r="L1806" s="40" t="n">
        <x:f>ABS(K1806)</x:f>
        <x:v>0</x:v>
      </x:c>
      <x:c r="M1806" s="41" t="str">
        <x:v>lstm-soil-v1</x:v>
      </x:c>
    </x:row>
    <x:row r="1807">
      <x:c r="A1807" s="38" t="str">
        <x:v>7月30日现场数据</x:v>
      </x:c>
      <x:c r="B1807" s="39" t="str">
        <x:v>2026-08-02T03:05:00</x:v>
      </x:c>
      <x:c r="C1807" s="39" t="str">
        <x:v>2026-08-02T04:05:00</x:v>
      </x:c>
      <x:c r="D1807" s="47" t="n">
        <x:v>60</x:v>
      </x:c>
      <x:c r="E1807" s="40" t="n">
        <x:v>15.8</x:v>
      </x:c>
      <x:c r="F1807" s="40" t="n">
        <x:v>16.314258575439453</x:v>
      </x:c>
      <x:c r="G1807" s="40" t="n">
        <x:v>15.9</x:v>
      </x:c>
      <x:c r="H1807" s="40" t="n">
        <x:f>F1807-E1807</x:f>
        <x:v>0.5142585754394524</x:v>
      </x:c>
      <x:c r="I1807" s="40" t="n">
        <x:f>ABS(H1807)</x:f>
        <x:v>0.5142585754394524</x:v>
      </x:c>
      <x:c r="J1807" s="40" t="n">
        <x:f>H1807^2</x:f>
        <x:v>0.264461882413015</x:v>
      </x:c>
      <x:c r="K1807" s="40" t="n">
        <x:f>G1807-E1807</x:f>
        <x:v>0.09999999999999964</x:v>
      </x:c>
      <x:c r="L1807" s="40" t="n">
        <x:f>ABS(K1807)</x:f>
        <x:v>0.09999999999999964</x:v>
      </x:c>
      <x:c r="M1807" s="41" t="str">
        <x:v>lstm-soil-v1</x:v>
      </x:c>
    </x:row>
    <x:row r="1808">
      <x:c r="A1808" s="38" t="str">
        <x:v>7月30日现场数据</x:v>
      </x:c>
      <x:c r="B1808" s="39" t="str">
        <x:v>2026-08-02T03:10:00</x:v>
      </x:c>
      <x:c r="C1808" s="39" t="str">
        <x:v>2026-08-02T03:15:00</x:v>
      </x:c>
      <x:c r="D1808" s="47" t="n">
        <x:v>5</x:v>
      </x:c>
      <x:c r="E1808" s="40" t="n">
        <x:v>15.9</x:v>
      </x:c>
      <x:c r="F1808" s="40" t="n">
        <x:v>14.220893859863281</x:v>
      </x:c>
      <x:c r="G1808" s="40" t="n">
        <x:v>15.9</x:v>
      </x:c>
      <x:c r="H1808" s="40" t="n">
        <x:f>F1808-E1808</x:f>
        <x:v>-1.679106140136719</x:v>
      </x:c>
      <x:c r="I1808" s="40" t="n">
        <x:f>ABS(H1808)</x:f>
        <x:v>1.679106140136719</x:v>
      </x:c>
      <x:c r="J1808" s="40" t="n">
        <x:f>H1808^2</x:f>
        <x:v>2.819397429844831</x:v>
      </x:c>
      <x:c r="K1808" s="40" t="n">
        <x:f>G1808-E1808</x:f>
        <x:v>0</x:v>
      </x:c>
      <x:c r="L1808" s="40" t="n">
        <x:f>ABS(K1808)</x:f>
        <x:v>0</x:v>
      </x:c>
      <x:c r="M1808" s="41" t="str">
        <x:v>lstm-soil-v1</x:v>
      </x:c>
    </x:row>
    <x:row r="1809">
      <x:c r="A1809" s="38" t="str">
        <x:v>7月30日现场数据</x:v>
      </x:c>
      <x:c r="B1809" s="39" t="str">
        <x:v>2026-08-02T03:10:00</x:v>
      </x:c>
      <x:c r="C1809" s="39" t="str">
        <x:v>2026-08-02T03:25:00</x:v>
      </x:c>
      <x:c r="D1809" s="47" t="n">
        <x:v>15</x:v>
      </x:c>
      <x:c r="E1809" s="40" t="n">
        <x:v>15.9</x:v>
      </x:c>
      <x:c r="F1809" s="40" t="n">
        <x:v>14.292922973632812</x:v>
      </x:c>
      <x:c r="G1809" s="40" t="n">
        <x:v>15.9</x:v>
      </x:c>
      <x:c r="H1809" s="40" t="n">
        <x:f>F1809-E1809</x:f>
        <x:v>-1.6070770263671879</x:v>
      </x:c>
      <x:c r="I1809" s="40" t="n">
        <x:f>ABS(H1809)</x:f>
        <x:v>1.6070770263671879</x:v>
      </x:c>
      <x:c r="J1809" s="40" t="n">
        <x:f>H1809^2</x:f>
        <x:v>2.582696568677203</x:v>
      </x:c>
      <x:c r="K1809" s="40" t="n">
        <x:f>G1809-E1809</x:f>
        <x:v>0</x:v>
      </x:c>
      <x:c r="L1809" s="40" t="n">
        <x:f>ABS(K1809)</x:f>
        <x:v>0</x:v>
      </x:c>
      <x:c r="M1809" s="41" t="str">
        <x:v>lstm-soil-v1</x:v>
      </x:c>
    </x:row>
    <x:row r="1810">
      <x:c r="A1810" s="38" t="str">
        <x:v>7月30日现场数据</x:v>
      </x:c>
      <x:c r="B1810" s="39" t="str">
        <x:v>2026-08-02T03:10:00</x:v>
      </x:c>
      <x:c r="C1810" s="39" t="str">
        <x:v>2026-08-02T03:40:00</x:v>
      </x:c>
      <x:c r="D1810" s="47" t="n">
        <x:v>30</x:v>
      </x:c>
      <x:c r="E1810" s="40" t="n">
        <x:v>15.8</x:v>
      </x:c>
      <x:c r="F1810" s="40" t="n">
        <x:v>14.729263305664062</x:v>
      </x:c>
      <x:c r="G1810" s="40" t="n">
        <x:v>15.9</x:v>
      </x:c>
      <x:c r="H1810" s="40" t="n">
        <x:f>F1810-E1810</x:f>
        <x:v>-1.0707366943359382</x:v>
      </x:c>
      <x:c r="I1810" s="40" t="n">
        <x:f>ABS(H1810)</x:f>
        <x:v>1.0707366943359382</x:v>
      </x:c>
      <x:c r="J1810" s="40" t="n">
        <x:f>H1810^2</x:f>
        <x:v>1.1464770685974524</x:v>
      </x:c>
      <x:c r="K1810" s="40" t="n">
        <x:f>G1810-E1810</x:f>
        <x:v>0.09999999999999964</x:v>
      </x:c>
      <x:c r="L1810" s="40" t="n">
        <x:f>ABS(K1810)</x:f>
        <x:v>0.09999999999999964</x:v>
      </x:c>
      <x:c r="M1810" s="41" t="str">
        <x:v>lstm-soil-v1</x:v>
      </x:c>
    </x:row>
    <x:row r="1811">
      <x:c r="A1811" s="38" t="str">
        <x:v>7月30日现场数据</x:v>
      </x:c>
      <x:c r="B1811" s="39" t="str">
        <x:v>2026-08-02T03:10:00</x:v>
      </x:c>
      <x:c r="C1811" s="39" t="str">
        <x:v>2026-08-02T04:10:00</x:v>
      </x:c>
      <x:c r="D1811" s="47" t="n">
        <x:v>60</x:v>
      </x:c>
      <x:c r="E1811" s="40" t="n">
        <x:v>15.8</x:v>
      </x:c>
      <x:c r="F1811" s="40" t="n">
        <x:v>16.315670013427734</x:v>
      </x:c>
      <x:c r="G1811" s="40" t="n">
        <x:v>15.9</x:v>
      </x:c>
      <x:c r="H1811" s="40" t="n">
        <x:f>F1811-E1811</x:f>
        <x:v>0.5156700134277337</x:v>
      </x:c>
      <x:c r="I1811" s="40" t="n">
        <x:f>ABS(H1811)</x:f>
        <x:v>0.5156700134277337</x:v>
      </x:c>
      <x:c r="J1811" s="40" t="n">
        <x:f>H1811^2</x:f>
        <x:v>0.26591556274855904</x:v>
      </x:c>
      <x:c r="K1811" s="40" t="n">
        <x:f>G1811-E1811</x:f>
        <x:v>0.09999999999999964</x:v>
      </x:c>
      <x:c r="L1811" s="40" t="n">
        <x:f>ABS(K1811)</x:f>
        <x:v>0.09999999999999964</x:v>
      </x:c>
      <x:c r="M1811" s="41" t="str">
        <x:v>lstm-soil-v1</x:v>
      </x:c>
    </x:row>
    <x:row r="1812">
      <x:c r="A1812" s="38" t="str">
        <x:v>7月30日现场数据</x:v>
      </x:c>
      <x:c r="B1812" s="39" t="str">
        <x:v>2026-08-02T03:15:00</x:v>
      </x:c>
      <x:c r="C1812" s="39" t="str">
        <x:v>2026-08-02T03:20:00</x:v>
      </x:c>
      <x:c r="D1812" s="47" t="n">
        <x:v>5</x:v>
      </x:c>
      <x:c r="E1812" s="40" t="n">
        <x:v>15.9</x:v>
      </x:c>
      <x:c r="F1812" s="40" t="n">
        <x:v>14.219902038574219</x:v>
      </x:c>
      <x:c r="G1812" s="40" t="n">
        <x:v>15.9</x:v>
      </x:c>
      <x:c r="H1812" s="40" t="n">
        <x:f>F1812-E1812</x:f>
        <x:v>-1.6800979614257816</x:v>
      </x:c>
      <x:c r="I1812" s="40" t="n">
        <x:f>ABS(H1812)</x:f>
        <x:v>1.6800979614257816</x:v>
      </x:c>
      <x:c r="J1812" s="40" t="n">
        <x:f>H1812^2</x:f>
        <x:v>2.822729159987067</x:v>
      </x:c>
      <x:c r="K1812" s="40" t="n">
        <x:f>G1812-E1812</x:f>
        <x:v>0</x:v>
      </x:c>
      <x:c r="L1812" s="40" t="n">
        <x:f>ABS(K1812)</x:f>
        <x:v>0</x:v>
      </x:c>
      <x:c r="M1812" s="41" t="str">
        <x:v>lstm-soil-v1</x:v>
      </x:c>
    </x:row>
    <x:row r="1813">
      <x:c r="A1813" s="38" t="str">
        <x:v>7月30日现场数据</x:v>
      </x:c>
      <x:c r="B1813" s="39" t="str">
        <x:v>2026-08-02T03:15:00</x:v>
      </x:c>
      <x:c r="C1813" s="39" t="str">
        <x:v>2026-08-02T03:30:00</x:v>
      </x:c>
      <x:c r="D1813" s="47" t="n">
        <x:v>15</x:v>
      </x:c>
      <x:c r="E1813" s="40" t="n">
        <x:v>15.9</x:v>
      </x:c>
      <x:c r="F1813" s="40" t="n">
        <x:v>14.29376220703125</x:v>
      </x:c>
      <x:c r="G1813" s="40" t="n">
        <x:v>15.9</x:v>
      </x:c>
      <x:c r="H1813" s="40" t="n">
        <x:f>F1813-E1813</x:f>
        <x:v>-1.6062377929687504</x:v>
      </x:c>
      <x:c r="I1813" s="40" t="n">
        <x:f>ABS(H1813)</x:f>
        <x:v>1.6062377929687504</x:v>
      </x:c>
      <x:c r="J1813" s="40" t="n">
        <x:f>H1813^2</x:f>
        <x:v>2.579999847561122</x:v>
      </x:c>
      <x:c r="K1813" s="40" t="n">
        <x:f>G1813-E1813</x:f>
        <x:v>0</x:v>
      </x:c>
      <x:c r="L1813" s="40" t="n">
        <x:f>ABS(K1813)</x:f>
        <x:v>0</x:v>
      </x:c>
      <x:c r="M1813" s="41" t="str">
        <x:v>lstm-soil-v1</x:v>
      </x:c>
    </x:row>
    <x:row r="1814">
      <x:c r="A1814" s="38" t="str">
        <x:v>7月30日现场数据</x:v>
      </x:c>
      <x:c r="B1814" s="39" t="str">
        <x:v>2026-08-02T03:15:00</x:v>
      </x:c>
      <x:c r="C1814" s="39" t="str">
        <x:v>2026-08-02T03:45:00</x:v>
      </x:c>
      <x:c r="D1814" s="47" t="n">
        <x:v>30</x:v>
      </x:c>
      <x:c r="E1814" s="40" t="n">
        <x:v>15.9</x:v>
      </x:c>
      <x:c r="F1814" s="40" t="n">
        <x:v>14.728347778320312</x:v>
      </x:c>
      <x:c r="G1814" s="40" t="n">
        <x:v>15.9</x:v>
      </x:c>
      <x:c r="H1814" s="40" t="n">
        <x:f>F1814-E1814</x:f>
        <x:v>-1.1716522216796879</x:v>
      </x:c>
      <x:c r="I1814" s="40" t="n">
        <x:f>ABS(H1814)</x:f>
        <x:v>1.1716522216796879</x:v>
      </x:c>
      <x:c r="J1814" s="40" t="n">
        <x:f>H1814^2</x:f>
        <x:v>1.3727689285669484</x:v>
      </x:c>
      <x:c r="K1814" s="40" t="n">
        <x:f>G1814-E1814</x:f>
        <x:v>0</x:v>
      </x:c>
      <x:c r="L1814" s="40" t="n">
        <x:f>ABS(K1814)</x:f>
        <x:v>0</x:v>
      </x:c>
      <x:c r="M1814" s="41" t="str">
        <x:v>lstm-soil-v1</x:v>
      </x:c>
    </x:row>
    <x:row r="1815">
      <x:c r="A1815" s="38" t="str">
        <x:v>7月30日现场数据</x:v>
      </x:c>
      <x:c r="B1815" s="39" t="str">
        <x:v>2026-08-02T03:15:00</x:v>
      </x:c>
      <x:c r="C1815" s="39" t="str">
        <x:v>2026-08-02T04:15:00</x:v>
      </x:c>
      <x:c r="D1815" s="47" t="n">
        <x:v>60</x:v>
      </x:c>
      <x:c r="E1815" s="40" t="n">
        <x:v>15.8</x:v>
      </x:c>
      <x:c r="F1815" s="40" t="n">
        <x:v>16.311084747314453</x:v>
      </x:c>
      <x:c r="G1815" s="40" t="n">
        <x:v>15.9</x:v>
      </x:c>
      <x:c r="H1815" s="40" t="n">
        <x:f>F1815-E1815</x:f>
        <x:v>0.5110847473144524</x:v>
      </x:c>
      <x:c r="I1815" s="40" t="n">
        <x:f>ABS(H1815)</x:f>
        <x:v>0.5110847473144524</x:v>
      </x:c>
      <x:c r="J1815" s="40" t="n">
        <x:f>H1815^2</x:f>
        <x:v>0.2612076189374777</x:v>
      </x:c>
      <x:c r="K1815" s="40" t="n">
        <x:f>G1815-E1815</x:f>
        <x:v>0.09999999999999964</x:v>
      </x:c>
      <x:c r="L1815" s="40" t="n">
        <x:f>ABS(K1815)</x:f>
        <x:v>0.09999999999999964</x:v>
      </x:c>
      <x:c r="M1815" s="41" t="str">
        <x:v>lstm-soil-v1</x:v>
      </x:c>
    </x:row>
    <x:row r="1816">
      <x:c r="A1816" s="38" t="str">
        <x:v>7月30日现场数据</x:v>
      </x:c>
      <x:c r="B1816" s="39" t="str">
        <x:v>2026-08-02T03:20:00</x:v>
      </x:c>
      <x:c r="C1816" s="39" t="str">
        <x:v>2026-08-02T03:25:00</x:v>
      </x:c>
      <x:c r="D1816" s="47" t="n">
        <x:v>5</x:v>
      </x:c>
      <x:c r="E1816" s="40" t="n">
        <x:v>15.9</x:v>
      </x:c>
      <x:c r="F1816" s="40" t="n">
        <x:v>14.220409393310547</x:v>
      </x:c>
      <x:c r="G1816" s="40" t="n">
        <x:v>15.9</x:v>
      </x:c>
      <x:c r="H1816" s="40" t="n">
        <x:f>F1816-E1816</x:f>
        <x:v>-1.6795906066894535</x:v>
      </x:c>
      <x:c r="I1816" s="40" t="n">
        <x:f>ABS(H1816)</x:f>
        <x:v>1.6795906066894535</x:v>
      </x:c>
      <x:c r="J1816" s="40" t="n">
        <x:f>H1816^2</x:f>
        <x:v>2.8210246060794466</x:v>
      </x:c>
      <x:c r="K1816" s="40" t="n">
        <x:f>G1816-E1816</x:f>
        <x:v>0</x:v>
      </x:c>
      <x:c r="L1816" s="40" t="n">
        <x:f>ABS(K1816)</x:f>
        <x:v>0</x:v>
      </x:c>
      <x:c r="M1816" s="41" t="str">
        <x:v>lstm-soil-v1</x:v>
      </x:c>
    </x:row>
    <x:row r="1817">
      <x:c r="A1817" s="38" t="str">
        <x:v>7月30日现场数据</x:v>
      </x:c>
      <x:c r="B1817" s="39" t="str">
        <x:v>2026-08-02T03:20:00</x:v>
      </x:c>
      <x:c r="C1817" s="39" t="str">
        <x:v>2026-08-02T03:35:00</x:v>
      </x:c>
      <x:c r="D1817" s="47" t="n">
        <x:v>15</x:v>
      </x:c>
      <x:c r="E1817" s="40" t="n">
        <x:v>15.9</x:v>
      </x:c>
      <x:c r="F1817" s="40" t="n">
        <x:v>14.293327331542969</x:v>
      </x:c>
      <x:c r="G1817" s="40" t="n">
        <x:v>15.9</x:v>
      </x:c>
      <x:c r="H1817" s="40" t="n">
        <x:f>F1817-E1817</x:f>
        <x:v>-1.6066726684570316</x:v>
      </x:c>
      <x:c r="I1817" s="40" t="n">
        <x:f>ABS(H1817)</x:f>
        <x:v>1.6066726684570316</x:v>
      </x:c>
      <x:c r="J1817" s="40" t="n">
        <x:f>H1817^2</x:f>
        <x:v>2.5813970635668384</x:v>
      </x:c>
      <x:c r="K1817" s="40" t="n">
        <x:f>G1817-E1817</x:f>
        <x:v>0</x:v>
      </x:c>
      <x:c r="L1817" s="40" t="n">
        <x:f>ABS(K1817)</x:f>
        <x:v>0</x:v>
      </x:c>
      <x:c r="M1817" s="41" t="str">
        <x:v>lstm-soil-v1</x:v>
      </x:c>
    </x:row>
    <x:row r="1818">
      <x:c r="A1818" s="38" t="str">
        <x:v>7月30日现场数据</x:v>
      </x:c>
      <x:c r="B1818" s="39" t="str">
        <x:v>2026-08-02T03:20:00</x:v>
      </x:c>
      <x:c r="C1818" s="39" t="str">
        <x:v>2026-08-02T03:50:00</x:v>
      </x:c>
      <x:c r="D1818" s="47" t="n">
        <x:v>30</x:v>
      </x:c>
      <x:c r="E1818" s="40" t="n">
        <x:v>15.8</x:v>
      </x:c>
      <x:c r="F1818" s="40" t="n">
        <x:v>14.729095458984375</x:v>
      </x:c>
      <x:c r="G1818" s="40" t="n">
        <x:v>15.9</x:v>
      </x:c>
      <x:c r="H1818" s="40" t="n">
        <x:f>F1818-E1818</x:f>
        <x:v>-1.0709045410156257</x:v>
      </x:c>
      <x:c r="I1818" s="40" t="n">
        <x:f>ABS(H1818)</x:f>
        <x:v>1.0709045410156257</x:v>
      </x:c>
      <x:c r="J1818" s="40" t="n">
        <x:f>H1818^2</x:f>
        <x:v>1.146836535967888</x:v>
      </x:c>
      <x:c r="K1818" s="40" t="n">
        <x:f>G1818-E1818</x:f>
        <x:v>0.09999999999999964</x:v>
      </x:c>
      <x:c r="L1818" s="40" t="n">
        <x:f>ABS(K1818)</x:f>
        <x:v>0.09999999999999964</x:v>
      </x:c>
      <x:c r="M1818" s="41" t="str">
        <x:v>lstm-soil-v1</x:v>
      </x:c>
    </x:row>
    <x:row r="1819">
      <x:c r="A1819" s="38" t="str">
        <x:v>7月30日现场数据</x:v>
      </x:c>
      <x:c r="B1819" s="39" t="str">
        <x:v>2026-08-02T03:20:00</x:v>
      </x:c>
      <x:c r="C1819" s="39" t="str">
        <x:v>2026-08-02T04:20:00</x:v>
      </x:c>
      <x:c r="D1819" s="47" t="n">
        <x:v>60</x:v>
      </x:c>
      <x:c r="E1819" s="40" t="n">
        <x:v>15.8</x:v>
      </x:c>
      <x:c r="F1819" s="40" t="n">
        <x:v>16.311573028564453</x:v>
      </x:c>
      <x:c r="G1819" s="40" t="n">
        <x:v>15.9</x:v>
      </x:c>
      <x:c r="H1819" s="40" t="n">
        <x:f>F1819-E1819</x:f>
        <x:v>0.5115730285644524</x:v>
      </x:c>
      <x:c r="I1819" s="40" t="n">
        <x:f>ABS(H1819)</x:f>
        <x:v>0.5115730285644524</x:v>
      </x:c>
      <x:c r="J1819" s="40" t="n">
        <x:f>H1819^2</x:f>
        <x:v>0.26170696355460604</x:v>
      </x:c>
      <x:c r="K1819" s="40" t="n">
        <x:f>G1819-E1819</x:f>
        <x:v>0.09999999999999964</x:v>
      </x:c>
      <x:c r="L1819" s="40" t="n">
        <x:f>ABS(K1819)</x:f>
        <x:v>0.09999999999999964</x:v>
      </x:c>
      <x:c r="M1819" s="41" t="str">
        <x:v>lstm-soil-v1</x:v>
      </x:c>
    </x:row>
    <x:row r="1820">
      <x:c r="A1820" s="38" t="str">
        <x:v>7月30日现场数据</x:v>
      </x:c>
      <x:c r="B1820" s="39" t="str">
        <x:v>2026-08-02T03:25:00</x:v>
      </x:c>
      <x:c r="C1820" s="39" t="str">
        <x:v>2026-08-02T03:30:00</x:v>
      </x:c>
      <x:c r="D1820" s="47" t="n">
        <x:v>5</x:v>
      </x:c>
      <x:c r="E1820" s="40" t="n">
        <x:v>15.9</x:v>
      </x:c>
      <x:c r="F1820" s="40" t="n">
        <x:v>14.221187591552734</x:v>
      </x:c>
      <x:c r="G1820" s="40" t="n">
        <x:v>15.9</x:v>
      </x:c>
      <x:c r="H1820" s="40" t="n">
        <x:f>F1820-E1820</x:f>
        <x:v>-1.678812408447266</x:v>
      </x:c>
      <x:c r="I1820" s="40" t="n">
        <x:f>ABS(H1820)</x:f>
        <x:v>1.678812408447266</x:v>
      </x:c>
      <x:c r="J1820" s="40" t="n">
        <x:f>H1820^2</x:f>
        <x:v>2.8184111027565097</x:v>
      </x:c>
      <x:c r="K1820" s="40" t="n">
        <x:f>G1820-E1820</x:f>
        <x:v>0</x:v>
      </x:c>
      <x:c r="L1820" s="40" t="n">
        <x:f>ABS(K1820)</x:f>
        <x:v>0</x:v>
      </x:c>
      <x:c r="M1820" s="41" t="str">
        <x:v>lstm-soil-v1</x:v>
      </x:c>
    </x:row>
    <x:row r="1821">
      <x:c r="A1821" s="38" t="str">
        <x:v>7月30日现场数据</x:v>
      </x:c>
      <x:c r="B1821" s="39" t="str">
        <x:v>2026-08-02T03:25:00</x:v>
      </x:c>
      <x:c r="C1821" s="39" t="str">
        <x:v>2026-08-02T03:40:00</x:v>
      </x:c>
      <x:c r="D1821" s="47" t="n">
        <x:v>15</x:v>
      </x:c>
      <x:c r="E1821" s="40" t="n">
        <x:v>15.8</x:v>
      </x:c>
      <x:c r="F1821" s="40" t="n">
        <x:v>14.29327392578125</x:v>
      </x:c>
      <x:c r="G1821" s="40" t="n">
        <x:v>15.9</x:v>
      </x:c>
      <x:c r="H1821" s="40" t="n">
        <x:f>F1821-E1821</x:f>
        <x:v>-1.5067260742187507</x:v>
      </x:c>
      <x:c r="I1821" s="40" t="n">
        <x:f>ABS(H1821)</x:f>
        <x:v>1.5067260742187507</x:v>
      </x:c>
      <x:c r="J1821" s="40" t="n">
        <x:f>H1821^2</x:f>
        <x:v>2.270223462730648</x:v>
      </x:c>
      <x:c r="K1821" s="40" t="n">
        <x:f>G1821-E1821</x:f>
        <x:v>0.09999999999999964</x:v>
      </x:c>
      <x:c r="L1821" s="40" t="n">
        <x:f>ABS(K1821)</x:f>
        <x:v>0.09999999999999964</x:v>
      </x:c>
      <x:c r="M1821" s="41" t="str">
        <x:v>lstm-soil-v1</x:v>
      </x:c>
    </x:row>
    <x:row r="1822">
      <x:c r="A1822" s="38" t="str">
        <x:v>7月30日现场数据</x:v>
      </x:c>
      <x:c r="B1822" s="39" t="str">
        <x:v>2026-08-02T03:25:00</x:v>
      </x:c>
      <x:c r="C1822" s="39" t="str">
        <x:v>2026-08-02T03:55:00</x:v>
      </x:c>
      <x:c r="D1822" s="47" t="n">
        <x:v>30</x:v>
      </x:c>
      <x:c r="E1822" s="40" t="n">
        <x:v>15.8</x:v>
      </x:c>
      <x:c r="F1822" s="40" t="n">
        <x:v>14.730606079101562</x:v>
      </x:c>
      <x:c r="G1822" s="40" t="n">
        <x:v>15.9</x:v>
      </x:c>
      <x:c r="H1822" s="40" t="n">
        <x:f>F1822-E1822</x:f>
        <x:v>-1.0693939208984382</x:v>
      </x:c>
      <x:c r="I1822" s="40" t="n">
        <x:f>ABS(H1822)</x:f>
        <x:v>1.0693939208984382</x:v>
      </x:c>
      <x:c r="J1822" s="40" t="n">
        <x:f>H1822^2</x:f>
        <x:v>1.143603358054535</x:v>
      </x:c>
      <x:c r="K1822" s="40" t="n">
        <x:f>G1822-E1822</x:f>
        <x:v>0.09999999999999964</x:v>
      </x:c>
      <x:c r="L1822" s="40" t="n">
        <x:f>ABS(K1822)</x:f>
        <x:v>0.09999999999999964</x:v>
      </x:c>
      <x:c r="M1822" s="41" t="str">
        <x:v>lstm-soil-v1</x:v>
      </x:c>
    </x:row>
    <x:row r="1823">
      <x:c r="A1823" s="38" t="str">
        <x:v>7月30日现场数据</x:v>
      </x:c>
      <x:c r="B1823" s="39" t="str">
        <x:v>2026-08-02T03:25:00</x:v>
      </x:c>
      <x:c r="C1823" s="39" t="str">
        <x:v>2026-08-02T04:25:00</x:v>
      </x:c>
      <x:c r="D1823" s="47" t="n">
        <x:v>60</x:v>
      </x:c>
      <x:c r="E1823" s="40" t="n">
        <x:v>15.8</x:v>
      </x:c>
      <x:c r="F1823" s="40" t="n">
        <x:v>16.312416076660156</x:v>
      </x:c>
      <x:c r="G1823" s="40" t="n">
        <x:v>15.9</x:v>
      </x:c>
      <x:c r="H1823" s="40" t="n">
        <x:f>F1823-E1823</x:f>
        <x:v>0.5124160766601555</x:v>
      </x:c>
      <x:c r="I1823" s="40" t="n">
        <x:f>ABS(H1823)</x:f>
        <x:v>0.5124160766601555</x:v>
      </x:c>
      <x:c r="J1823" s="40" t="n">
        <x:f>H1823^2</x:f>
        <x:v>0.2625702356197864</x:v>
      </x:c>
      <x:c r="K1823" s="40" t="n">
        <x:f>G1823-E1823</x:f>
        <x:v>0.09999999999999964</x:v>
      </x:c>
      <x:c r="L1823" s="40" t="n">
        <x:f>ABS(K1823)</x:f>
        <x:v>0.09999999999999964</x:v>
      </x:c>
      <x:c r="M1823" s="41" t="str">
        <x:v>lstm-soil-v1</x:v>
      </x:c>
    </x:row>
    <x:row r="1824">
      <x:c r="A1824" s="38" t="str">
        <x:v>7月30日现场数据</x:v>
      </x:c>
      <x:c r="B1824" s="39" t="str">
        <x:v>2026-08-02T03:30:00</x:v>
      </x:c>
      <x:c r="C1824" s="39" t="str">
        <x:v>2026-08-02T03:35:00</x:v>
      </x:c>
      <x:c r="D1824" s="47" t="n">
        <x:v>5</x:v>
      </x:c>
      <x:c r="E1824" s="40" t="n">
        <x:v>15.9</x:v>
      </x:c>
      <x:c r="F1824" s="40" t="n">
        <x:v>14.22195816040039</x:v>
      </x:c>
      <x:c r="G1824" s="40" t="n">
        <x:v>15.9</x:v>
      </x:c>
      <x:c r="H1824" s="40" t="n">
        <x:f>F1824-E1824</x:f>
        <x:v>-1.6780418395996097</x:v>
      </x:c>
      <x:c r="I1824" s="40" t="n">
        <x:f>ABS(H1824)</x:f>
        <x:v>1.6780418395996097</x:v>
      </x:c>
      <x:c r="J1824" s="40" t="n">
        <x:f>H1824^2</x:f>
        <x:v>2.8158244154468424</x:v>
      </x:c>
      <x:c r="K1824" s="40" t="n">
        <x:f>G1824-E1824</x:f>
        <x:v>0</x:v>
      </x:c>
      <x:c r="L1824" s="40" t="n">
        <x:f>ABS(K1824)</x:f>
        <x:v>0</x:v>
      </x:c>
      <x:c r="M1824" s="41" t="str">
        <x:v>lstm-soil-v1</x:v>
      </x:c>
    </x:row>
    <x:row r="1825">
      <x:c r="A1825" s="38" t="str">
        <x:v>7月30日现场数据</x:v>
      </x:c>
      <x:c r="B1825" s="39" t="str">
        <x:v>2026-08-02T03:30:00</x:v>
      </x:c>
      <x:c r="C1825" s="39" t="str">
        <x:v>2026-08-02T03:45:00</x:v>
      </x:c>
      <x:c r="D1825" s="47" t="n">
        <x:v>15</x:v>
      </x:c>
      <x:c r="E1825" s="40" t="n">
        <x:v>15.9</x:v>
      </x:c>
      <x:c r="F1825" s="40" t="n">
        <x:v>14.293392181396484</x:v>
      </x:c>
      <x:c r="G1825" s="40" t="n">
        <x:v>15.9</x:v>
      </x:c>
      <x:c r="H1825" s="40" t="n">
        <x:f>F1825-E1825</x:f>
        <x:v>-1.606607818603516</x:v>
      </x:c>
      <x:c r="I1825" s="40" t="n">
        <x:f>ABS(H1825)</x:f>
        <x:v>1.606607818603516</x:v>
      </x:c>
      <x:c r="J1825" s="40" t="n">
        <x:f>H1825^2</x:f>
        <x:v>2.581188682797948</x:v>
      </x:c>
      <x:c r="K1825" s="40" t="n">
        <x:f>G1825-E1825</x:f>
        <x:v>0</x:v>
      </x:c>
      <x:c r="L1825" s="40" t="n">
        <x:f>ABS(K1825)</x:f>
        <x:v>0</x:v>
      </x:c>
      <x:c r="M1825" s="41" t="str">
        <x:v>lstm-soil-v1</x:v>
      </x:c>
    </x:row>
    <x:row r="1826">
      <x:c r="A1826" s="38" t="str">
        <x:v>7月30日现场数据</x:v>
      </x:c>
      <x:c r="B1826" s="39" t="str">
        <x:v>2026-08-02T03:30:00</x:v>
      </x:c>
      <x:c r="C1826" s="39" t="str">
        <x:v>2026-08-02T04:00:00</x:v>
      </x:c>
      <x:c r="D1826" s="47" t="n">
        <x:v>30</x:v>
      </x:c>
      <x:c r="E1826" s="40" t="n">
        <x:v>15.8</x:v>
      </x:c>
      <x:c r="F1826" s="40" t="n">
        <x:v>14.732120513916016</x:v>
      </x:c>
      <x:c r="G1826" s="40" t="n">
        <x:v>15.9</x:v>
      </x:c>
      <x:c r="H1826" s="40" t="n">
        <x:f>F1826-E1826</x:f>
        <x:v>-1.067879486083985</x:v>
      </x:c>
      <x:c r="I1826" s="40" t="n">
        <x:f>ABS(H1826)</x:f>
        <x:v>1.067879486083985</x:v>
      </x:c>
      <x:c r="J1826" s="40" t="n">
        <x:f>H1826^2</x:f>
        <x:v>1.140366596798996</x:v>
      </x:c>
      <x:c r="K1826" s="40" t="n">
        <x:f>G1826-E1826</x:f>
        <x:v>0.09999999999999964</x:v>
      </x:c>
      <x:c r="L1826" s="40" t="n">
        <x:f>ABS(K1826)</x:f>
        <x:v>0.09999999999999964</x:v>
      </x:c>
      <x:c r="M1826" s="41" t="str">
        <x:v>lstm-soil-v1</x:v>
      </x:c>
    </x:row>
    <x:row r="1827">
      <x:c r="A1827" s="38" t="str">
        <x:v>7月30日现场数据</x:v>
      </x:c>
      <x:c r="B1827" s="39" t="str">
        <x:v>2026-08-02T03:30:00</x:v>
      </x:c>
      <x:c r="C1827" s="39" t="str">
        <x:v>2026-08-02T04:30:00</x:v>
      </x:c>
      <x:c r="D1827" s="47" t="n">
        <x:v>60</x:v>
      </x:c>
      <x:c r="E1827" s="40" t="n">
        <x:v>15.8</x:v>
      </x:c>
      <x:c r="F1827" s="40" t="n">
        <x:v>16.313419342041016</x:v>
      </x:c>
      <x:c r="G1827" s="40" t="n">
        <x:v>15.9</x:v>
      </x:c>
      <x:c r="H1827" s="40" t="n">
        <x:f>F1827-E1827</x:f>
        <x:v>0.5134193420410149</x:v>
      </x:c>
      <x:c r="I1827" s="40" t="n">
        <x:f>ABS(H1827)</x:f>
        <x:v>0.5134193420410149</x:v>
      </x:c>
      <x:c r="J1827" s="40" t="n">
        <x:f>H1827^2</x:f>
        <x:v>0.2635994207818287</x:v>
      </x:c>
      <x:c r="K1827" s="40" t="n">
        <x:f>G1827-E1827</x:f>
        <x:v>0.09999999999999964</x:v>
      </x:c>
      <x:c r="L1827" s="40" t="n">
        <x:f>ABS(K1827)</x:f>
        <x:v>0.09999999999999964</x:v>
      </x:c>
      <x:c r="M1827" s="41" t="str">
        <x:v>lstm-soil-v1</x:v>
      </x:c>
    </x:row>
    <x:row r="1828">
      <x:c r="A1828" s="38" t="str">
        <x:v>7月30日现场数据</x:v>
      </x:c>
      <x:c r="B1828" s="39" t="str">
        <x:v>2026-08-02T03:35:00</x:v>
      </x:c>
      <x:c r="C1828" s="39" t="str">
        <x:v>2026-08-02T03:40:00</x:v>
      </x:c>
      <x:c r="D1828" s="47" t="n">
        <x:v>5</x:v>
      </x:c>
      <x:c r="E1828" s="40" t="n">
        <x:v>15.8</x:v>
      </x:c>
      <x:c r="F1828" s="40" t="n">
        <x:v>14.222660064697266</x:v>
      </x:c>
      <x:c r="G1828" s="40" t="n">
        <x:v>15.9</x:v>
      </x:c>
      <x:c r="H1828" s="40" t="n">
        <x:f>F1828-E1828</x:f>
        <x:v>-1.577339935302735</x:v>
      </x:c>
      <x:c r="I1828" s="40" t="n">
        <x:f>ABS(H1828)</x:f>
        <x:v>1.577339935302735</x:v>
      </x:c>
      <x:c r="J1828" s="40" t="n">
        <x:f>H1828^2</x:f>
        <x:v>2.4880012715008366</x:v>
      </x:c>
      <x:c r="K1828" s="40" t="n">
        <x:f>G1828-E1828</x:f>
        <x:v>0.09999999999999964</x:v>
      </x:c>
      <x:c r="L1828" s="40" t="n">
        <x:f>ABS(K1828)</x:f>
        <x:v>0.09999999999999964</x:v>
      </x:c>
      <x:c r="M1828" s="41" t="str">
        <x:v>lstm-soil-v1</x:v>
      </x:c>
    </x:row>
    <x:row r="1829">
      <x:c r="A1829" s="38" t="str">
        <x:v>7月30日现场数据</x:v>
      </x:c>
      <x:c r="B1829" s="39" t="str">
        <x:v>2026-08-02T03:35:00</x:v>
      </x:c>
      <x:c r="C1829" s="39" t="str">
        <x:v>2026-08-02T03:50:00</x:v>
      </x:c>
      <x:c r="D1829" s="47" t="n">
        <x:v>15</x:v>
      </x:c>
      <x:c r="E1829" s="40" t="n">
        <x:v>15.8</x:v>
      </x:c>
      <x:c r="F1829" s="40" t="n">
        <x:v>14.29364013671875</x:v>
      </x:c>
      <x:c r="G1829" s="40" t="n">
        <x:v>15.9</x:v>
      </x:c>
      <x:c r="H1829" s="40" t="n">
        <x:f>F1829-E1829</x:f>
        <x:v>-1.5063598632812507</x:v>
      </x:c>
      <x:c r="I1829" s="40" t="n">
        <x:f>ABS(H1829)</x:f>
        <x:v>1.5063598632812507</x:v>
      </x:c>
      <x:c r="J1829" s="40" t="n">
        <x:f>H1829^2</x:f>
        <x:v>2.2691200377047083</x:v>
      </x:c>
      <x:c r="K1829" s="40" t="n">
        <x:f>G1829-E1829</x:f>
        <x:v>0.09999999999999964</x:v>
      </x:c>
      <x:c r="L1829" s="40" t="n">
        <x:f>ABS(K1829)</x:f>
        <x:v>0.09999999999999964</x:v>
      </x:c>
      <x:c r="M1829" s="41" t="str">
        <x:v>lstm-soil-v1</x:v>
      </x:c>
    </x:row>
    <x:row r="1830">
      <x:c r="A1830" s="38" t="str">
        <x:v>7月30日现场数据</x:v>
      </x:c>
      <x:c r="B1830" s="39" t="str">
        <x:v>2026-08-02T03:35:00</x:v>
      </x:c>
      <x:c r="C1830" s="39" t="str">
        <x:v>2026-08-02T04:05:00</x:v>
      </x:c>
      <x:c r="D1830" s="47" t="n">
        <x:v>30</x:v>
      </x:c>
      <x:c r="E1830" s="40" t="n">
        <x:v>15.8</x:v>
      </x:c>
      <x:c r="F1830" s="40" t="n">
        <x:v>14.73345947265625</x:v>
      </x:c>
      <x:c r="G1830" s="40" t="n">
        <x:v>15.9</x:v>
      </x:c>
      <x:c r="H1830" s="40" t="n">
        <x:f>F1830-E1830</x:f>
        <x:v>-1.0665405273437507</x:v>
      </x:c>
      <x:c r="I1830" s="40" t="n">
        <x:f>ABS(H1830)</x:f>
        <x:v>1.0665405273437507</x:v>
      </x:c>
      <x:c r="J1830" s="40" t="n">
        <x:f>H1830^2</x:f>
        <x:v>1.1375086964666858</x:v>
      </x:c>
      <x:c r="K1830" s="40" t="n">
        <x:f>G1830-E1830</x:f>
        <x:v>0.09999999999999964</x:v>
      </x:c>
      <x:c r="L1830" s="40" t="n">
        <x:f>ABS(K1830)</x:f>
        <x:v>0.09999999999999964</x:v>
      </x:c>
      <x:c r="M1830" s="41" t="str">
        <x:v>lstm-soil-v1</x:v>
      </x:c>
    </x:row>
    <x:row r="1831">
      <x:c r="A1831" s="38" t="str">
        <x:v>7月30日现场数据</x:v>
      </x:c>
      <x:c r="B1831" s="39" t="str">
        <x:v>2026-08-02T03:35:00</x:v>
      </x:c>
      <x:c r="C1831" s="39" t="str">
        <x:v>2026-08-02T04:35:00</x:v>
      </x:c>
      <x:c r="D1831" s="47" t="n">
        <x:v>60</x:v>
      </x:c>
      <x:c r="E1831" s="40" t="n">
        <x:v>15.8</x:v>
      </x:c>
      <x:c r="F1831" s="40" t="n">
        <x:v>16.314373016357422</x:v>
      </x:c>
      <x:c r="G1831" s="40" t="n">
        <x:v>15.9</x:v>
      </x:c>
      <x:c r="H1831" s="40" t="n">
        <x:f>F1831-E1831</x:f>
        <x:v>0.5143730163574212</x:v>
      </x:c>
      <x:c r="I1831" s="40" t="n">
        <x:f>ABS(H1831)</x:f>
        <x:v>0.5143730163574212</x:v>
      </x:c>
      <x:c r="J1831" s="40" t="n">
        <x:f>H1831^2</x:f>
        <x:v>0.2645795999566319</x:v>
      </x:c>
      <x:c r="K1831" s="40" t="n">
        <x:f>G1831-E1831</x:f>
        <x:v>0.09999999999999964</x:v>
      </x:c>
      <x:c r="L1831" s="40" t="n">
        <x:f>ABS(K1831)</x:f>
        <x:v>0.09999999999999964</x:v>
      </x:c>
      <x:c r="M1831" s="41" t="str">
        <x:v>lstm-soil-v1</x:v>
      </x:c>
    </x:row>
    <x:row r="1832">
      <x:c r="A1832" s="38" t="str">
        <x:v>7月30日现场数据</x:v>
      </x:c>
      <x:c r="B1832" s="39" t="str">
        <x:v>2026-08-02T03:40:00</x:v>
      </x:c>
      <x:c r="C1832" s="39" t="str">
        <x:v>2026-08-02T03:45:00</x:v>
      </x:c>
      <x:c r="D1832" s="47" t="n">
        <x:v>5</x:v>
      </x:c>
      <x:c r="E1832" s="40" t="n">
        <x:v>15.9</x:v>
      </x:c>
      <x:c r="F1832" s="40" t="n">
        <x:v>14.112922668457031</x:v>
      </x:c>
      <x:c r="G1832" s="40" t="n">
        <x:v>15.8</x:v>
      </x:c>
      <x:c r="H1832" s="40" t="n">
        <x:f>F1832-E1832</x:f>
        <x:v>-1.787077331542969</x:v>
      </x:c>
      <x:c r="I1832" s="40" t="n">
        <x:f>ABS(H1832)</x:f>
        <x:v>1.787077331542969</x:v>
      </x:c>
      <x:c r="J1832" s="40" t="n">
        <x:f>H1832^2</x:f>
        <x:v>3.193645388914739</x:v>
      </x:c>
      <x:c r="K1832" s="40" t="n">
        <x:f>G1832-E1832</x:f>
        <x:v>-0.09999999999999964</x:v>
      </x:c>
      <x:c r="L1832" s="40" t="n">
        <x:f>ABS(K1832)</x:f>
        <x:v>0.09999999999999964</x:v>
      </x:c>
      <x:c r="M1832" s="41" t="str">
        <x:v>lstm-soil-v1</x:v>
      </x:c>
    </x:row>
    <x:row r="1833">
      <x:c r="A1833" s="38" t="str">
        <x:v>7月30日现场数据</x:v>
      </x:c>
      <x:c r="B1833" s="39" t="str">
        <x:v>2026-08-02T03:40:00</x:v>
      </x:c>
      <x:c r="C1833" s="39" t="str">
        <x:v>2026-08-02T03:55:00</x:v>
      </x:c>
      <x:c r="D1833" s="47" t="n">
        <x:v>15</x:v>
      </x:c>
      <x:c r="E1833" s="40" t="n">
        <x:v>15.8</x:v>
      </x:c>
      <x:c r="F1833" s="40" t="n">
        <x:v>14.18362045288086</x:v>
      </x:c>
      <x:c r="G1833" s="40" t="n">
        <x:v>15.8</x:v>
      </x:c>
      <x:c r="H1833" s="40" t="n">
        <x:f>F1833-E1833</x:f>
        <x:v>-1.6163795471191413</x:v>
      </x:c>
      <x:c r="I1833" s="40" t="n">
        <x:f>ABS(H1833)</x:f>
        <x:v>1.6163795471191413</x:v>
      </x:c>
      <x:c r="J1833" s="40" t="n">
        <x:f>H1833^2</x:f>
        <x:v>2.6126828403450806</x:v>
      </x:c>
      <x:c r="K1833" s="40" t="n">
        <x:f>G1833-E1833</x:f>
        <x:v>0</x:v>
      </x:c>
      <x:c r="L1833" s="40" t="n">
        <x:f>ABS(K1833)</x:f>
        <x:v>0</x:v>
      </x:c>
      <x:c r="M1833" s="41" t="str">
        <x:v>lstm-soil-v1</x:v>
      </x:c>
    </x:row>
    <x:row r="1834">
      <x:c r="A1834" s="38" t="str">
        <x:v>7月30日现场数据</x:v>
      </x:c>
      <x:c r="B1834" s="39" t="str">
        <x:v>2026-08-02T03:40:00</x:v>
      </x:c>
      <x:c r="C1834" s="39" t="str">
        <x:v>2026-08-02T04:10:00</x:v>
      </x:c>
      <x:c r="D1834" s="47" t="n">
        <x:v>30</x:v>
      </x:c>
      <x:c r="E1834" s="40" t="n">
        <x:v>15.8</x:v>
      </x:c>
      <x:c r="F1834" s="40" t="n">
        <x:v>14.62424087524414</x:v>
      </x:c>
      <x:c r="G1834" s="40" t="n">
        <x:v>15.8</x:v>
      </x:c>
      <x:c r="H1834" s="40" t="n">
        <x:f>F1834-E1834</x:f>
        <x:v>-1.17575912475586</x:v>
      </x:c>
      <x:c r="I1834" s="40" t="n">
        <x:f>ABS(H1834)</x:f>
        <x:v>1.17575912475586</x:v>
      </x:c>
      <x:c r="J1834" s="40" t="n">
        <x:f>H1834^2</x:f>
        <x:v>1.3824095194466661</x:v>
      </x:c>
      <x:c r="K1834" s="40" t="n">
        <x:f>G1834-E1834</x:f>
        <x:v>0</x:v>
      </x:c>
      <x:c r="L1834" s="40" t="n">
        <x:f>ABS(K1834)</x:f>
        <x:v>0</x:v>
      </x:c>
      <x:c r="M1834" s="41" t="str">
        <x:v>lstm-soil-v1</x:v>
      </x:c>
    </x:row>
    <x:row r="1835">
      <x:c r="A1835" s="38" t="str">
        <x:v>7月30日现场数据</x:v>
      </x:c>
      <x:c r="B1835" s="39" t="str">
        <x:v>2026-08-02T03:40:00</x:v>
      </x:c>
      <x:c r="C1835" s="39" t="str">
        <x:v>2026-08-02T04:40:00</x:v>
      </x:c>
      <x:c r="D1835" s="47" t="n">
        <x:v>60</x:v>
      </x:c>
      <x:c r="E1835" s="40" t="n">
        <x:v>15.8</x:v>
      </x:c>
      <x:c r="F1835" s="40" t="n">
        <x:v>16.204914093017578</x:v>
      </x:c>
      <x:c r="G1835" s="40" t="n">
        <x:v>15.8</x:v>
      </x:c>
      <x:c r="H1835" s="40" t="n">
        <x:f>F1835-E1835</x:f>
        <x:v>0.4049140930175774</x:v>
      </x:c>
      <x:c r="I1835" s="40" t="n">
        <x:f>ABS(H1835)</x:f>
        <x:v>0.4049140930175774</x:v>
      </x:c>
      <x:c r="J1835" s="40" t="n">
        <x:f>H1835^2</x:f>
        <x:v>0.16395542272424735</x:v>
      </x:c>
      <x:c r="K1835" s="40" t="n">
        <x:f>G1835-E1835</x:f>
        <x:v>0</x:v>
      </x:c>
      <x:c r="L1835" s="40" t="n">
        <x:f>ABS(K1835)</x:f>
        <x:v>0</x:v>
      </x:c>
      <x:c r="M1835" s="41" t="str">
        <x:v>lstm-soil-v1</x:v>
      </x:c>
    </x:row>
    <x:row r="1836">
      <x:c r="A1836" s="38" t="str">
        <x:v>7月30日现场数据</x:v>
      </x:c>
      <x:c r="B1836" s="39" t="str">
        <x:v>2026-08-02T03:45:00</x:v>
      </x:c>
      <x:c r="C1836" s="39" t="str">
        <x:v>2026-08-02T03:50:00</x:v>
      </x:c>
      <x:c r="D1836" s="47" t="n">
        <x:v>5</x:v>
      </x:c>
      <x:c r="E1836" s="40" t="n">
        <x:v>15.8</x:v>
      </x:c>
      <x:c r="F1836" s="40" t="n">
        <x:v>14.223472595214844</x:v>
      </x:c>
      <x:c r="G1836" s="40" t="n">
        <x:v>15.9</x:v>
      </x:c>
      <x:c r="H1836" s="40" t="n">
        <x:f>F1836-E1836</x:f>
        <x:v>-1.576527404785157</x:v>
      </x:c>
      <x:c r="I1836" s="40" t="n">
        <x:f>ABS(H1836)</x:f>
        <x:v>1.576527404785157</x:v>
      </x:c>
      <x:c r="J1836" s="40" t="n">
        <x:f>H1836^2</x:f>
        <x:v>2.485438658038622</x:v>
      </x:c>
      <x:c r="K1836" s="40" t="n">
        <x:f>G1836-E1836</x:f>
        <x:v>0.09999999999999964</x:v>
      </x:c>
      <x:c r="L1836" s="40" t="n">
        <x:f>ABS(K1836)</x:f>
        <x:v>0.09999999999999964</x:v>
      </x:c>
      <x:c r="M1836" s="41" t="str">
        <x:v>lstm-soil-v1</x:v>
      </x:c>
    </x:row>
    <x:row r="1837">
      <x:c r="A1837" s="38" t="str">
        <x:v>7月30日现场数据</x:v>
      </x:c>
      <x:c r="B1837" s="39" t="str">
        <x:v>2026-08-02T03:45:00</x:v>
      </x:c>
      <x:c r="C1837" s="39" t="str">
        <x:v>2026-08-02T04:00:00</x:v>
      </x:c>
      <x:c r="D1837" s="47" t="n">
        <x:v>15</x:v>
      </x:c>
      <x:c r="E1837" s="40" t="n">
        <x:v>15.8</x:v>
      </x:c>
      <x:c r="F1837" s="40" t="n">
        <x:v>14.293937683105469</x:v>
      </x:c>
      <x:c r="G1837" s="40" t="n">
        <x:v>15.9</x:v>
      </x:c>
      <x:c r="H1837" s="40" t="n">
        <x:f>F1837-E1837</x:f>
        <x:v>-1.506062316894532</x:v>
      </x:c>
      <x:c r="I1837" s="40" t="n">
        <x:f>ABS(H1837)</x:f>
        <x:v>1.506062316894532</x:v>
      </x:c>
      <x:c r="J1837" s="40" t="n">
        <x:f>H1837^2</x:f>
        <x:v>2.268223702369726</x:v>
      </x:c>
      <x:c r="K1837" s="40" t="n">
        <x:f>G1837-E1837</x:f>
        <x:v>0.09999999999999964</x:v>
      </x:c>
      <x:c r="L1837" s="40" t="n">
        <x:f>ABS(K1837)</x:f>
        <x:v>0.09999999999999964</x:v>
      </x:c>
      <x:c r="M1837" s="41" t="str">
        <x:v>lstm-soil-v1</x:v>
      </x:c>
    </x:row>
    <x:row r="1838">
      <x:c r="A1838" s="38" t="str">
        <x:v>7月30日现场数据</x:v>
      </x:c>
      <x:c r="B1838" s="39" t="str">
        <x:v>2026-08-02T03:45:00</x:v>
      </x:c>
      <x:c r="C1838" s="39" t="str">
        <x:v>2026-08-02T04:15:00</x:v>
      </x:c>
      <x:c r="D1838" s="47" t="n">
        <x:v>30</x:v>
      </x:c>
      <x:c r="E1838" s="40" t="n">
        <x:v>15.8</x:v>
      </x:c>
      <x:c r="F1838" s="40" t="n">
        <x:v>14.735187530517578</x:v>
      </x:c>
      <x:c r="G1838" s="40" t="n">
        <x:v>15.9</x:v>
      </x:c>
      <x:c r="H1838" s="40" t="n">
        <x:f>F1838-E1838</x:f>
        <x:v>-1.0648124694824226</x:v>
      </x:c>
      <x:c r="I1838" s="40" t="n">
        <x:f>ABS(H1838)</x:f>
        <x:v>1.0648124694824226</x:v>
      </x:c>
      <x:c r="J1838" s="40" t="n">
        <x:f>H1838^2</x:f>
        <x:v>1.1338255951652552</x:v>
      </x:c>
      <x:c r="K1838" s="40" t="n">
        <x:f>G1838-E1838</x:f>
        <x:v>0.09999999999999964</x:v>
      </x:c>
      <x:c r="L1838" s="40" t="n">
        <x:f>ABS(K1838)</x:f>
        <x:v>0.09999999999999964</x:v>
      </x:c>
      <x:c r="M1838" s="41" t="str">
        <x:v>lstm-soil-v1</x:v>
      </x:c>
    </x:row>
    <x:row r="1839">
      <x:c r="A1839" s="38" t="str">
        <x:v>7月30日现场数据</x:v>
      </x:c>
      <x:c r="B1839" s="39" t="str">
        <x:v>2026-08-02T03:45:00</x:v>
      </x:c>
      <x:c r="C1839" s="39" t="str">
        <x:v>2026-08-02T04:45:00</x:v>
      </x:c>
      <x:c r="D1839" s="47" t="n">
        <x:v>60</x:v>
      </x:c>
      <x:c r="E1839" s="40" t="n">
        <x:v>15.8</x:v>
      </x:c>
      <x:c r="F1839" s="40" t="n">
        <x:v>16.31588363647461</x:v>
      </x:c>
      <x:c r="G1839" s="40" t="n">
        <x:v>15.9</x:v>
      </x:c>
      <x:c r="H1839" s="40" t="n">
        <x:f>F1839-E1839</x:f>
        <x:v>0.5158836364746087</x:v>
      </x:c>
      <x:c r="I1839" s="40" t="n">
        <x:f>ABS(H1839)</x:f>
        <x:v>0.5158836364746087</x:v>
      </x:c>
      <x:c r="J1839" s="40" t="n">
        <x:f>H1839^2</x:f>
        <x:v>0.2661359263822662</x:v>
      </x:c>
      <x:c r="K1839" s="40" t="n">
        <x:f>G1839-E1839</x:f>
        <x:v>0.09999999999999964</x:v>
      </x:c>
      <x:c r="L1839" s="40" t="n">
        <x:f>ABS(K1839)</x:f>
        <x:v>0.09999999999999964</x:v>
      </x:c>
      <x:c r="M1839" s="41" t="str">
        <x:v>lstm-soil-v1</x:v>
      </x:c>
    </x:row>
    <x:row r="1840">
      <x:c r="A1840" s="38" t="str">
        <x:v>7月30日现场数据</x:v>
      </x:c>
      <x:c r="B1840" s="39" t="str">
        <x:v>2026-08-02T03:50:00</x:v>
      </x:c>
      <x:c r="C1840" s="39" t="str">
        <x:v>2026-08-02T03:55:00</x:v>
      </x:c>
      <x:c r="D1840" s="47" t="n">
        <x:v>5</x:v>
      </x:c>
      <x:c r="E1840" s="40" t="n">
        <x:v>15.8</x:v>
      </x:c>
      <x:c r="F1840" s="40" t="n">
        <x:v>14.11349105834961</x:v>
      </x:c>
      <x:c r="G1840" s="40" t="n">
        <x:v>15.8</x:v>
      </x:c>
      <x:c r="H1840" s="40" t="n">
        <x:f>F1840-E1840</x:f>
        <x:v>-1.6865089416503913</x:v>
      </x:c>
      <x:c r="I1840" s="40" t="n">
        <x:f>ABS(H1840)</x:f>
        <x:v>1.6865089416503913</x:v>
      </x:c>
      <x:c r="J1840" s="40" t="n">
        <x:f>H1840^2</x:f>
        <x:v>2.844312410266723</x:v>
      </x:c>
      <x:c r="K1840" s="40" t="n">
        <x:f>G1840-E1840</x:f>
        <x:v>0</x:v>
      </x:c>
      <x:c r="L1840" s="40" t="n">
        <x:f>ABS(K1840)</x:f>
        <x:v>0</x:v>
      </x:c>
      <x:c r="M1840" s="41" t="str">
        <x:v>lstm-soil-v1</x:v>
      </x:c>
    </x:row>
    <x:row r="1841">
      <x:c r="A1841" s="38" t="str">
        <x:v>7月30日现场数据</x:v>
      </x:c>
      <x:c r="B1841" s="39" t="str">
        <x:v>2026-08-02T03:50:00</x:v>
      </x:c>
      <x:c r="C1841" s="39" t="str">
        <x:v>2026-08-02T04:05:00</x:v>
      </x:c>
      <x:c r="D1841" s="47" t="n">
        <x:v>15</x:v>
      </x:c>
      <x:c r="E1841" s="40" t="n">
        <x:v>15.8</x:v>
      </x:c>
      <x:c r="F1841" s="40" t="n">
        <x:v>14.18399429321289</x:v>
      </x:c>
      <x:c r="G1841" s="40" t="n">
        <x:v>15.8</x:v>
      </x:c>
      <x:c r="H1841" s="40" t="n">
        <x:f>F1841-E1841</x:f>
        <x:v>-1.61600570678711</x:v>
      </x:c>
      <x:c r="I1841" s="40" t="n">
        <x:f>ABS(H1841)</x:f>
        <x:v>1.61600570678711</x:v>
      </x:c>
      <x:c r="J1841" s="40" t="n">
        <x:f>H1841^2</x:f>
        <x:v>2.611474444368507</x:v>
      </x:c>
      <x:c r="K1841" s="40" t="n">
        <x:f>G1841-E1841</x:f>
        <x:v>0</x:v>
      </x:c>
      <x:c r="L1841" s="40" t="n">
        <x:f>ABS(K1841)</x:f>
        <x:v>0</x:v>
      </x:c>
      <x:c r="M1841" s="41" t="str">
        <x:v>lstm-soil-v1</x:v>
      </x:c>
    </x:row>
    <x:row r="1842">
      <x:c r="A1842" s="38" t="str">
        <x:v>7月30日现场数据</x:v>
      </x:c>
      <x:c r="B1842" s="39" t="str">
        <x:v>2026-08-02T03:50:00</x:v>
      </x:c>
      <x:c r="C1842" s="39" t="str">
        <x:v>2026-08-02T04:20:00</x:v>
      </x:c>
      <x:c r="D1842" s="47" t="n">
        <x:v>30</x:v>
      </x:c>
      <x:c r="E1842" s="40" t="n">
        <x:v>15.8</x:v>
      </x:c>
      <x:c r="F1842" s="40" t="n">
        <x:v>14.625389099121094</x:v>
      </x:c>
      <x:c r="G1842" s="40" t="n">
        <x:v>15.8</x:v>
      </x:c>
      <x:c r="H1842" s="40" t="n">
        <x:f>F1842-E1842</x:f>
        <x:v>-1.174610900878907</x:v>
      </x:c>
      <x:c r="I1842" s="40" t="n">
        <x:f>ABS(H1842)</x:f>
        <x:v>1.174610900878907</x:v>
      </x:c>
      <x:c r="J1842" s="40" t="n">
        <x:f>H1842^2</x:f>
        <x:v>1.3797107684635574</x:v>
      </x:c>
      <x:c r="K1842" s="40" t="n">
        <x:f>G1842-E1842</x:f>
        <x:v>0</x:v>
      </x:c>
      <x:c r="L1842" s="40" t="n">
        <x:f>ABS(K1842)</x:f>
        <x:v>0</x:v>
      </x:c>
      <x:c r="M1842" s="41" t="str">
        <x:v>lstm-soil-v1</x:v>
      </x:c>
    </x:row>
    <x:row r="1843">
      <x:c r="A1843" s="38" t="str">
        <x:v>7月30日现场数据</x:v>
      </x:c>
      <x:c r="B1843" s="39" t="str">
        <x:v>2026-08-02T03:50:00</x:v>
      </x:c>
      <x:c r="C1843" s="39" t="str">
        <x:v>2026-08-02T04:50:00</x:v>
      </x:c>
      <x:c r="D1843" s="47" t="n">
        <x:v>60</x:v>
      </x:c>
      <x:c r="E1843" s="40" t="n">
        <x:v>15.8</x:v>
      </x:c>
      <x:c r="F1843" s="40" t="n">
        <x:v>16.205921173095703</x:v>
      </x:c>
      <x:c r="G1843" s="40" t="n">
        <x:v>15.8</x:v>
      </x:c>
      <x:c r="H1843" s="40" t="n">
        <x:f>F1843-E1843</x:f>
        <x:v>0.4059211730957024</x:v>
      </x:c>
      <x:c r="I1843" s="40" t="n">
        <x:f>ABS(H1843)</x:f>
        <x:v>0.4059211730957024</x:v>
      </x:c>
      <x:c r="J1843" s="40" t="n">
        <x:f>H1843^2</x:f>
        <x:v>0.1647719987673912</x:v>
      </x:c>
      <x:c r="K1843" s="40" t="n">
        <x:f>G1843-E1843</x:f>
        <x:v>0</x:v>
      </x:c>
      <x:c r="L1843" s="40" t="n">
        <x:f>ABS(K1843)</x:f>
        <x:v>0</x:v>
      </x:c>
      <x:c r="M1843" s="41" t="str">
        <x:v>lstm-soil-v1</x:v>
      </x:c>
    </x:row>
    <x:row r="1844">
      <x:c r="A1844" s="38" t="str">
        <x:v>7月30日现场数据</x:v>
      </x:c>
      <x:c r="B1844" s="39" t="str">
        <x:v>2026-08-02T03:55:00</x:v>
      </x:c>
      <x:c r="C1844" s="39" t="str">
        <x:v>2026-08-02T04:00:00</x:v>
      </x:c>
      <x:c r="D1844" s="47" t="n">
        <x:v>5</x:v>
      </x:c>
      <x:c r="E1844" s="40" t="n">
        <x:v>15.8</x:v>
      </x:c>
      <x:c r="F1844" s="40" t="n">
        <x:v>14.113574981689453</x:v>
      </x:c>
      <x:c r="G1844" s="40" t="n">
        <x:v>15.8</x:v>
      </x:c>
      <x:c r="H1844" s="40" t="n">
        <x:f>F1844-E1844</x:f>
        <x:v>-1.6864250183105476</x:v>
      </x:c>
      <x:c r="I1844" s="40" t="n">
        <x:f>ABS(H1844)</x:f>
        <x:v>1.6864250183105476</x:v>
      </x:c>
      <x:c r="J1844" s="40" t="n">
        <x:f>H1844^2</x:f>
        <x:v>2.8440293423837306</x:v>
      </x:c>
      <x:c r="K1844" s="40" t="n">
        <x:f>G1844-E1844</x:f>
        <x:v>0</x:v>
      </x:c>
      <x:c r="L1844" s="40" t="n">
        <x:f>ABS(K1844)</x:f>
        <x:v>0</x:v>
      </x:c>
      <x:c r="M1844" s="41" t="str">
        <x:v>lstm-soil-v1</x:v>
      </x:c>
    </x:row>
    <x:row r="1845">
      <x:c r="A1845" s="38" t="str">
        <x:v>7月30日现场数据</x:v>
      </x:c>
      <x:c r="B1845" s="39" t="str">
        <x:v>2026-08-02T03:55:00</x:v>
      </x:c>
      <x:c r="C1845" s="39" t="str">
        <x:v>2026-08-02T04:10:00</x:v>
      </x:c>
      <x:c r="D1845" s="47" t="n">
        <x:v>15</x:v>
      </x:c>
      <x:c r="E1845" s="40" t="n">
        <x:v>15.8</x:v>
      </x:c>
      <x:c r="F1845" s="40" t="n">
        <x:v>14.183948516845703</x:v>
      </x:c>
      <x:c r="G1845" s="40" t="n">
        <x:v>15.8</x:v>
      </x:c>
      <x:c r="H1845" s="40" t="n">
        <x:f>F1845-E1845</x:f>
        <x:v>-1.6160514831542976</x:v>
      </x:c>
      <x:c r="I1845" s="40" t="n">
        <x:f>ABS(H1845)</x:f>
        <x:v>1.6160514831542976</x:v>
      </x:c>
      <x:c r="J1845" s="40" t="n">
        <x:f>H1845^2</x:f>
        <x:v>2.6116223962052048</x:v>
      </x:c>
      <x:c r="K1845" s="40" t="n">
        <x:f>G1845-E1845</x:f>
        <x:v>0</x:v>
      </x:c>
      <x:c r="L1845" s="40" t="n">
        <x:f>ABS(K1845)</x:f>
        <x:v>0</x:v>
      </x:c>
      <x:c r="M1845" s="41" t="str">
        <x:v>lstm-soil-v1</x:v>
      </x:c>
    </x:row>
    <x:row r="1846">
      <x:c r="A1846" s="38" t="str">
        <x:v>7月30日现场数据</x:v>
      </x:c>
      <x:c r="B1846" s="39" t="str">
        <x:v>2026-08-02T03:55:00</x:v>
      </x:c>
      <x:c r="C1846" s="39" t="str">
        <x:v>2026-08-02T04:25:00</x:v>
      </x:c>
      <x:c r="D1846" s="47" t="n">
        <x:v>30</x:v>
      </x:c>
      <x:c r="E1846" s="40" t="n">
        <x:v>15.8</x:v>
      </x:c>
      <x:c r="F1846" s="40" t="n">
        <x:v>14.625602722167969</x:v>
      </x:c>
      <x:c r="G1846" s="40" t="n">
        <x:v>15.8</x:v>
      </x:c>
      <x:c r="H1846" s="40" t="n">
        <x:f>F1846-E1846</x:f>
        <x:v>-1.174397277832032</x:v>
      </x:c>
      <x:c r="I1846" s="40" t="n">
        <x:f>ABS(H1846)</x:f>
        <x:v>1.174397277832032</x:v>
      </x:c>
      <x:c r="J1846" s="40" t="n">
        <x:f>H1846^2</x:f>
        <x:v>1.3792089661792868</x:v>
      </x:c>
      <x:c r="K1846" s="40" t="n">
        <x:f>G1846-E1846</x:f>
        <x:v>0</x:v>
      </x:c>
      <x:c r="L1846" s="40" t="n">
        <x:f>ABS(K1846)</x:f>
        <x:v>0</x:v>
      </x:c>
      <x:c r="M1846" s="41" t="str">
        <x:v>lstm-soil-v1</x:v>
      </x:c>
    </x:row>
    <x:row r="1847">
      <x:c r="A1847" s="38" t="str">
        <x:v>7月30日现场数据</x:v>
      </x:c>
      <x:c r="B1847" s="39" t="str">
        <x:v>2026-08-02T03:55:00</x:v>
      </x:c>
      <x:c r="C1847" s="39" t="str">
        <x:v>2026-08-02T04:55:00</x:v>
      </x:c>
      <x:c r="D1847" s="47" t="n">
        <x:v>60</x:v>
      </x:c>
      <x:c r="E1847" s="40" t="n">
        <x:v>15.8</x:v>
      </x:c>
      <x:c r="F1847" s="40" t="n">
        <x:v>16.206275939941406</x:v>
      </x:c>
      <x:c r="G1847" s="40" t="n">
        <x:v>15.8</x:v>
      </x:c>
      <x:c r="H1847" s="40" t="n">
        <x:f>F1847-E1847</x:f>
        <x:v>0.40627593994140554</x:v>
      </x:c>
      <x:c r="I1847" s="40" t="n">
        <x:f>ABS(H1847)</x:f>
        <x:v>0.40627593994140554</x:v>
      </x:c>
      <x:c r="J1847" s="40" t="n">
        <x:f>H1847^2</x:f>
        <x:v>0.16506013937527256</x:v>
      </x:c>
      <x:c r="K1847" s="40" t="n">
        <x:f>G1847-E1847</x:f>
        <x:v>0</x:v>
      </x:c>
      <x:c r="L1847" s="40" t="n">
        <x:f>ABS(K1847)</x:f>
        <x:v>0</x:v>
      </x:c>
      <x:c r="M1847" s="41" t="str">
        <x:v>lstm-soil-v1</x:v>
      </x:c>
    </x:row>
    <x:row r="1848">
      <x:c r="A1848" s="38" t="str">
        <x:v>7月30日现场数据</x:v>
      </x:c>
      <x:c r="B1848" s="39" t="str">
        <x:v>2026-08-02T04:00:00</x:v>
      </x:c>
      <x:c r="C1848" s="39" t="str">
        <x:v>2026-08-02T04:05:00</x:v>
      </x:c>
      <x:c r="D1848" s="47" t="n">
        <x:v>5</x:v>
      </x:c>
      <x:c r="E1848" s="40" t="n">
        <x:v>15.8</x:v>
      </x:c>
      <x:c r="F1848" s="40" t="n">
        <x:v>14.1119384765625</x:v>
      </x:c>
      <x:c r="G1848" s="40" t="n">
        <x:v>15.8</x:v>
      </x:c>
      <x:c r="H1848" s="40" t="n">
        <x:f>F1848-E1848</x:f>
        <x:v>-1.6880615234375007</x:v>
      </x:c>
      <x:c r="I1848" s="40" t="n">
        <x:f>ABS(H1848)</x:f>
        <x:v>1.6880615234375007</x:v>
      </x:c>
      <x:c r="J1848" s="40" t="n">
        <x:f>H1848^2</x:f>
        <x:v>2.8495517069101357</x:v>
      </x:c>
      <x:c r="K1848" s="40" t="n">
        <x:f>G1848-E1848</x:f>
        <x:v>0</x:v>
      </x:c>
      <x:c r="L1848" s="40" t="n">
        <x:f>ABS(K1848)</x:f>
        <x:v>0</x:v>
      </x:c>
      <x:c r="M1848" s="41" t="str">
        <x:v>lstm-soil-v1</x:v>
      </x:c>
    </x:row>
    <x:row r="1849">
      <x:c r="A1849" s="38" t="str">
        <x:v>7月30日现场数据</x:v>
      </x:c>
      <x:c r="B1849" s="39" t="str">
        <x:v>2026-08-02T04:00:00</x:v>
      </x:c>
      <x:c r="C1849" s="39" t="str">
        <x:v>2026-08-02T04:15:00</x:v>
      </x:c>
      <x:c r="D1849" s="47" t="n">
        <x:v>15</x:v>
      </x:c>
      <x:c r="E1849" s="40" t="n">
        <x:v>15.8</x:v>
      </x:c>
      <x:c r="F1849" s="40" t="n">
        <x:v>14.181900024414062</x:v>
      </x:c>
      <x:c r="G1849" s="40" t="n">
        <x:v>15.8</x:v>
      </x:c>
      <x:c r="H1849" s="40" t="n">
        <x:f>F1849-E1849</x:f>
        <x:v>-1.6180999755859382</x:v>
      </x:c>
      <x:c r="I1849" s="40" t="n">
        <x:f>ABS(H1849)</x:f>
        <x:v>1.6180999755859382</x:v>
      </x:c>
      <x:c r="J1849" s="40" t="n">
        <x:f>H1849^2</x:f>
        <x:v>2.618247530991214</x:v>
      </x:c>
      <x:c r="K1849" s="40" t="n">
        <x:f>G1849-E1849</x:f>
        <x:v>0</x:v>
      </x:c>
      <x:c r="L1849" s="40" t="n">
        <x:f>ABS(K1849)</x:f>
        <x:v>0</x:v>
      </x:c>
      <x:c r="M1849" s="41" t="str">
        <x:v>lstm-soil-v1</x:v>
      </x:c>
    </x:row>
    <x:row r="1850">
      <x:c r="A1850" s="38" t="str">
        <x:v>7月30日现场数据</x:v>
      </x:c>
      <x:c r="B1850" s="39" t="str">
        <x:v>2026-08-02T04:00:00</x:v>
      </x:c>
      <x:c r="C1850" s="39" t="str">
        <x:v>2026-08-02T04:30:00</x:v>
      </x:c>
      <x:c r="D1850" s="47" t="n">
        <x:v>30</x:v>
      </x:c>
      <x:c r="E1850" s="40" t="n">
        <x:v>15.8</x:v>
      </x:c>
      <x:c r="F1850" s="40" t="n">
        <x:v>14.623619079589844</x:v>
      </x:c>
      <x:c r="G1850" s="40" t="n">
        <x:v>15.8</x:v>
      </x:c>
      <x:c r="H1850" s="40" t="n">
        <x:f>F1850-E1850</x:f>
        <x:v>-1.176380920410157</x:v>
      </x:c>
      <x:c r="I1850" s="40" t="n">
        <x:f>ABS(H1850)</x:f>
        <x:v>1.176380920410157</x:v>
      </x:c>
      <x:c r="J1850" s="40" t="n">
        <x:f>H1850^2</x:f>
        <x:v>1.383872069905048</x:v>
      </x:c>
      <x:c r="K1850" s="40" t="n">
        <x:f>G1850-E1850</x:f>
        <x:v>0</x:v>
      </x:c>
      <x:c r="L1850" s="40" t="n">
        <x:f>ABS(K1850)</x:f>
        <x:v>0</x:v>
      </x:c>
      <x:c r="M1850" s="41" t="str">
        <x:v>lstm-soil-v1</x:v>
      </x:c>
    </x:row>
    <x:row r="1851">
      <x:c r="A1851" s="38" t="str">
        <x:v>7月30日现场数据</x:v>
      </x:c>
      <x:c r="B1851" s="39" t="str">
        <x:v>2026-08-02T04:00:00</x:v>
      </x:c>
      <x:c r="C1851" s="39" t="str">
        <x:v>2026-08-02T05:00:00</x:v>
      </x:c>
      <x:c r="D1851" s="47" t="n">
        <x:v>60</x:v>
      </x:c>
      <x:c r="E1851" s="40" t="n">
        <x:v>15.8</x:v>
      </x:c>
      <x:c r="F1851" s="40" t="n">
        <x:v>16.206298828125</x:v>
      </x:c>
      <x:c r="G1851" s="40" t="n">
        <x:v>15.8</x:v>
      </x:c>
      <x:c r="H1851" s="40" t="n">
        <x:f>F1851-E1851</x:f>
        <x:v>0.4062988281249993</x:v>
      </x:c>
      <x:c r="I1851" s="40" t="n">
        <x:f>ABS(H1851)</x:f>
        <x:v>0.4062988281249993</x:v>
      </x:c>
      <x:c r="J1851" s="40" t="n">
        <x:f>H1851^2</x:f>
        <x:v>0.16507873773574772</x:v>
      </x:c>
      <x:c r="K1851" s="40" t="n">
        <x:f>G1851-E1851</x:f>
        <x:v>0</x:v>
      </x:c>
      <x:c r="L1851" s="40" t="n">
        <x:f>ABS(K1851)</x:f>
        <x:v>0</x:v>
      </x:c>
      <x:c r="M1851" s="41" t="str">
        <x:v>lstm-soil-v1</x:v>
      </x:c>
    </x:row>
    <x:row r="1852">
      <x:c r="A1852" s="38" t="str">
        <x:v>7月30日现场数据</x:v>
      </x:c>
      <x:c r="B1852" s="39" t="str">
        <x:v>2026-08-02T04:05:00</x:v>
      </x:c>
      <x:c r="C1852" s="39" t="str">
        <x:v>2026-08-02T04:10:00</x:v>
      </x:c>
      <x:c r="D1852" s="47" t="n">
        <x:v>5</x:v>
      </x:c>
      <x:c r="E1852" s="40" t="n">
        <x:v>15.8</x:v>
      </x:c>
      <x:c r="F1852" s="40" t="n">
        <x:v>14.110942840576172</x:v>
      </x:c>
      <x:c r="G1852" s="40" t="n">
        <x:v>15.8</x:v>
      </x:c>
      <x:c r="H1852" s="40" t="n">
        <x:f>F1852-E1852</x:f>
        <x:v>-1.6890571594238288</x:v>
      </x:c>
      <x:c r="I1852" s="40" t="n">
        <x:f>ABS(H1852)</x:f>
        <x:v>1.6890571594238288</x:v>
      </x:c>
      <x:c r="J1852" s="40" t="n">
        <x:f>H1852^2</x:f>
        <x:v>2.8529140878008934</x:v>
      </x:c>
      <x:c r="K1852" s="40" t="n">
        <x:f>G1852-E1852</x:f>
        <x:v>0</x:v>
      </x:c>
      <x:c r="L1852" s="40" t="n">
        <x:f>ABS(K1852)</x:f>
        <x:v>0</x:v>
      </x:c>
      <x:c r="M1852" s="41" t="str">
        <x:v>lstm-soil-v1</x:v>
      </x:c>
    </x:row>
    <x:row r="1853">
      <x:c r="A1853" s="38" t="str">
        <x:v>7月30日现场数据</x:v>
      </x:c>
      <x:c r="B1853" s="39" t="str">
        <x:v>2026-08-02T04:05:00</x:v>
      </x:c>
      <x:c r="C1853" s="39" t="str">
        <x:v>2026-08-02T04:20:00</x:v>
      </x:c>
      <x:c r="D1853" s="47" t="n">
        <x:v>15</x:v>
      </x:c>
      <x:c r="E1853" s="40" t="n">
        <x:v>15.8</x:v>
      </x:c>
      <x:c r="F1853" s="40" t="n">
        <x:v>14.181537628173828</x:v>
      </x:c>
      <x:c r="G1853" s="40" t="n">
        <x:v>15.8</x:v>
      </x:c>
      <x:c r="H1853" s="40" t="n">
        <x:f>F1853-E1853</x:f>
        <x:v>-1.6184623718261726</x:v>
      </x:c>
      <x:c r="I1853" s="40" t="n">
        <x:f>ABS(H1853)</x:f>
        <x:v>1.6184623718261726</x:v>
      </x:c>
      <x:c r="J1853" s="40" t="n">
        <x:f>H1853^2</x:f>
        <x:v>2.6194204490172</x:v>
      </x:c>
      <x:c r="K1853" s="40" t="n">
        <x:f>G1853-E1853</x:f>
        <x:v>0</x:v>
      </x:c>
      <x:c r="L1853" s="40" t="n">
        <x:f>ABS(K1853)</x:f>
        <x:v>0</x:v>
      </x:c>
      <x:c r="M1853" s="41" t="str">
        <x:v>lstm-soil-v1</x:v>
      </x:c>
    </x:row>
    <x:row r="1854">
      <x:c r="A1854" s="38" t="str">
        <x:v>7月30日现场数据</x:v>
      </x:c>
      <x:c r="B1854" s="39" t="str">
        <x:v>2026-08-02T04:05:00</x:v>
      </x:c>
      <x:c r="C1854" s="39" t="str">
        <x:v>2026-08-02T04:35:00</x:v>
      </x:c>
      <x:c r="D1854" s="47" t="n">
        <x:v>30</x:v>
      </x:c>
      <x:c r="E1854" s="40" t="n">
        <x:v>15.8</x:v>
      </x:c>
      <x:c r="F1854" s="40" t="n">
        <x:v>14.623851776123047</x:v>
      </x:c>
      <x:c r="G1854" s="40" t="n">
        <x:v>15.8</x:v>
      </x:c>
      <x:c r="H1854" s="40" t="n">
        <x:f>F1854-E1854</x:f>
        <x:v>-1.1761482238769538</x:v>
      </x:c>
      <x:c r="I1854" s="40" t="n">
        <x:f>ABS(H1854)</x:f>
        <x:v>1.1761482238769538</x:v>
      </x:c>
      <x:c r="J1854" s="40" t="n">
        <x:f>H1854^2</x:f>
        <x:v>1.3833246445289131</x:v>
      </x:c>
      <x:c r="K1854" s="40" t="n">
        <x:f>G1854-E1854</x:f>
        <x:v>0</x:v>
      </x:c>
      <x:c r="L1854" s="40" t="n">
        <x:f>ABS(K1854)</x:f>
        <x:v>0</x:v>
      </x:c>
      <x:c r="M1854" s="41" t="str">
        <x:v>lstm-soil-v1</x:v>
      </x:c>
    </x:row>
    <x:row r="1855">
      <x:c r="A1855" s="38" t="str">
        <x:v>7月30日现场数据</x:v>
      </x:c>
      <x:c r="B1855" s="39" t="str">
        <x:v>2026-08-02T04:05:00</x:v>
      </x:c>
      <x:c r="C1855" s="39" t="str">
        <x:v>2026-08-02T05:05:00</x:v>
      </x:c>
      <x:c r="D1855" s="47" t="n">
        <x:v>60</x:v>
      </x:c>
      <x:c r="E1855" s="40" t="n">
        <x:v>15.8</x:v>
      </x:c>
      <x:c r="F1855" s="40" t="n">
        <x:v>16.205707550048828</x:v>
      </x:c>
      <x:c r="G1855" s="40" t="n">
        <x:v>15.8</x:v>
      </x:c>
      <x:c r="H1855" s="40" t="n">
        <x:f>F1855-E1855</x:f>
        <x:v>0.4057075500488274</x:v>
      </x:c>
      <x:c r="I1855" s="40" t="n">
        <x:f>ABS(H1855)</x:f>
        <x:v>0.4057075500488274</x:v>
      </x:c>
      <x:c r="J1855" s="40" t="n">
        <x:f>H1855^2</x:f>
        <x:v>0.1645986161666218</x:v>
      </x:c>
      <x:c r="K1855" s="40" t="n">
        <x:f>G1855-E1855</x:f>
        <x:v>0</x:v>
      </x:c>
      <x:c r="L1855" s="40" t="n">
        <x:f>ABS(K1855)</x:f>
        <x:v>0</x:v>
      </x:c>
      <x:c r="M1855" s="41" t="str">
        <x:v>lstm-soil-v1</x:v>
      </x:c>
    </x:row>
    <x:row r="1856">
      <x:c r="A1856" s="38" t="str">
        <x:v>7月30日现场数据</x:v>
      </x:c>
      <x:c r="B1856" s="39" t="str">
        <x:v>2026-08-02T04:10:00</x:v>
      </x:c>
      <x:c r="C1856" s="39" t="str">
        <x:v>2026-08-02T04:15:00</x:v>
      </x:c>
      <x:c r="D1856" s="47" t="n">
        <x:v>5</x:v>
      </x:c>
      <x:c r="E1856" s="40" t="n">
        <x:v>15.8</x:v>
      </x:c>
      <x:c r="F1856" s="40" t="n">
        <x:v>14.110797882080078</x:v>
      </x:c>
      <x:c r="G1856" s="40" t="n">
        <x:v>15.8</x:v>
      </x:c>
      <x:c r="H1856" s="40" t="n">
        <x:f>F1856-E1856</x:f>
        <x:v>-1.6892021179199226</x:v>
      </x:c>
      <x:c r="I1856" s="40" t="n">
        <x:f>ABS(H1856)</x:f>
        <x:v>1.6892021179199226</x:v>
      </x:c>
      <x:c r="J1856" s="40" t="n">
        <x:f>H1856^2</x:f>
        <x:v>2.853403795185152</x:v>
      </x:c>
      <x:c r="K1856" s="40" t="n">
        <x:f>G1856-E1856</x:f>
        <x:v>0</x:v>
      </x:c>
      <x:c r="L1856" s="40" t="n">
        <x:f>ABS(K1856)</x:f>
        <x:v>0</x:v>
      </x:c>
      <x:c r="M1856" s="41" t="str">
        <x:v>lstm-soil-v1</x:v>
      </x:c>
    </x:row>
    <x:row r="1857">
      <x:c r="A1857" s="38" t="str">
        <x:v>7月30日现场数据</x:v>
      </x:c>
      <x:c r="B1857" s="39" t="str">
        <x:v>2026-08-02T04:10:00</x:v>
      </x:c>
      <x:c r="C1857" s="39" t="str">
        <x:v>2026-08-02T04:25:00</x:v>
      </x:c>
      <x:c r="D1857" s="47" t="n">
        <x:v>15</x:v>
      </x:c>
      <x:c r="E1857" s="40" t="n">
        <x:v>15.8</x:v>
      </x:c>
      <x:c r="F1857" s="40" t="n">
        <x:v>14.181941986083984</x:v>
      </x:c>
      <x:c r="G1857" s="40" t="n">
        <x:v>15.8</x:v>
      </x:c>
      <x:c r="H1857" s="40" t="n">
        <x:f>F1857-E1857</x:f>
        <x:v>-1.6180580139160163</x:v>
      </x:c>
      <x:c r="I1857" s="40" t="n">
        <x:f>ABS(H1857)</x:f>
        <x:v>1.6180580139160163</x:v>
      </x:c>
      <x:c r="J1857" s="40" t="n">
        <x:f>H1857^2</x:f>
        <x:v>2.6181117363978434</x:v>
      </x:c>
      <x:c r="K1857" s="40" t="n">
        <x:f>G1857-E1857</x:f>
        <x:v>0</x:v>
      </x:c>
      <x:c r="L1857" s="40" t="n">
        <x:f>ABS(K1857)</x:f>
        <x:v>0</x:v>
      </x:c>
      <x:c r="M1857" s="41" t="str">
        <x:v>lstm-soil-v1</x:v>
      </x:c>
    </x:row>
    <x:row r="1858">
      <x:c r="A1858" s="38" t="str">
        <x:v>7月30日现场数据</x:v>
      </x:c>
      <x:c r="B1858" s="39" t="str">
        <x:v>2026-08-02T04:10:00</x:v>
      </x:c>
      <x:c r="C1858" s="39" t="str">
        <x:v>2026-08-02T04:40:00</x:v>
      </x:c>
      <x:c r="D1858" s="47" t="n">
        <x:v>30</x:v>
      </x:c>
      <x:c r="E1858" s="40" t="n">
        <x:v>15.8</x:v>
      </x:c>
      <x:c r="F1858" s="40" t="n">
        <x:v>14.624927520751953</x:v>
      </x:c>
      <x:c r="G1858" s="40" t="n">
        <x:v>15.8</x:v>
      </x:c>
      <x:c r="H1858" s="40" t="n">
        <x:f>F1858-E1858</x:f>
        <x:v>-1.1750724792480476</x:v>
      </x:c>
      <x:c r="I1858" s="40" t="n">
        <x:f>ABS(H1858)</x:f>
        <x:v>1.1750724792480476</x:v>
      </x:c>
      <x:c r="J1858" s="40" t="n">
        <x:f>H1858^2</x:f>
        <x:v>1.3807953314861532</x:v>
      </x:c>
      <x:c r="K1858" s="40" t="n">
        <x:f>G1858-E1858</x:f>
        <x:v>0</x:v>
      </x:c>
      <x:c r="L1858" s="40" t="n">
        <x:f>ABS(K1858)</x:f>
        <x:v>0</x:v>
      </x:c>
      <x:c r="M1858" s="41" t="str">
        <x:v>lstm-soil-v1</x:v>
      </x:c>
    </x:row>
    <x:row r="1859">
      <x:c r="A1859" s="38" t="str">
        <x:v>7月30日现场数据</x:v>
      </x:c>
      <x:c r="B1859" s="39" t="str">
        <x:v>2026-08-02T04:10:00</x:v>
      </x:c>
      <x:c r="C1859" s="39" t="str">
        <x:v>2026-08-02T05:10:00</x:v>
      </x:c>
      <x:c r="D1859" s="47" t="n">
        <x:v>60</x:v>
      </x:c>
      <x:c r="E1859" s="40" t="n">
        <x:v>15.8</x:v>
      </x:c>
      <x:c r="F1859" s="40" t="n">
        <x:v>16.20566177368164</x:v>
      </x:c>
      <x:c r="G1859" s="40" t="n">
        <x:v>15.8</x:v>
      </x:c>
      <x:c r="H1859" s="40" t="n">
        <x:f>F1859-E1859</x:f>
        <x:v>0.4056617736816399</x:v>
      </x:c>
      <x:c r="I1859" s="40" t="n">
        <x:f>ABS(H1859)</x:f>
        <x:v>0.4056617736816399</x:v>
      </x:c>
      <x:c r="J1859" s="40" t="n">
        <x:f>H1859^2</x:f>
        <x:v>0.16456147462653403</x:v>
      </x:c>
      <x:c r="K1859" s="40" t="n">
        <x:f>G1859-E1859</x:f>
        <x:v>0</x:v>
      </x:c>
      <x:c r="L1859" s="40" t="n">
        <x:f>ABS(K1859)</x:f>
        <x:v>0</x:v>
      </x:c>
      <x:c r="M1859" s="41" t="str">
        <x:v>lstm-soil-v1</x:v>
      </x:c>
    </x:row>
    <x:row r="1860">
      <x:c r="A1860" s="38" t="str">
        <x:v>7月30日现场数据</x:v>
      </x:c>
      <x:c r="B1860" s="39" t="str">
        <x:v>2026-08-02T04:15:00</x:v>
      </x:c>
      <x:c r="C1860" s="39" t="str">
        <x:v>2026-08-02T04:20:00</x:v>
      </x:c>
      <x:c r="D1860" s="47" t="n">
        <x:v>5</x:v>
      </x:c>
      <x:c r="E1860" s="40" t="n">
        <x:v>15.8</x:v>
      </x:c>
      <x:c r="F1860" s="40" t="n">
        <x:v>14.11114501953125</x:v>
      </x:c>
      <x:c r="G1860" s="40" t="n">
        <x:v>15.8</x:v>
      </x:c>
      <x:c r="H1860" s="40" t="n">
        <x:f>F1860-E1860</x:f>
        <x:v>-1.6888549804687507</x:v>
      </x:c>
      <x:c r="I1860" s="40" t="n">
        <x:f>ABS(H1860)</x:f>
        <x:v>1.6888549804687507</x:v>
      </x:c>
      <x:c r="J1860" s="40" t="n">
        <x:f>H1860^2</x:f>
        <x:v>2.8522311450541045</x:v>
      </x:c>
      <x:c r="K1860" s="40" t="n">
        <x:f>G1860-E1860</x:f>
        <x:v>0</x:v>
      </x:c>
      <x:c r="L1860" s="40" t="n">
        <x:f>ABS(K1860)</x:f>
        <x:v>0</x:v>
      </x:c>
      <x:c r="M1860" s="41" t="str">
        <x:v>lstm-soil-v1</x:v>
      </x:c>
    </x:row>
    <x:row r="1861">
      <x:c r="A1861" s="38" t="str">
        <x:v>7月30日现场数据</x:v>
      </x:c>
      <x:c r="B1861" s="39" t="str">
        <x:v>2026-08-02T04:15:00</x:v>
      </x:c>
      <x:c r="C1861" s="39" t="str">
        <x:v>2026-08-02T04:30:00</x:v>
      </x:c>
      <x:c r="D1861" s="47" t="n">
        <x:v>15</x:v>
      </x:c>
      <x:c r="E1861" s="40" t="n">
        <x:v>15.8</x:v>
      </x:c>
      <x:c r="F1861" s="40" t="n">
        <x:v>14.182613372802734</x:v>
      </x:c>
      <x:c r="G1861" s="40" t="n">
        <x:v>15.8</x:v>
      </x:c>
      <x:c r="H1861" s="40" t="n">
        <x:f>F1861-E1861</x:f>
        <x:v>-1.6173866271972663</x:v>
      </x:c>
      <x:c r="I1861" s="40" t="n">
        <x:f>ABS(H1861)</x:f>
        <x:v>1.6173866271972663</x:v>
      </x:c>
      <x:c r="J1861" s="40" t="n">
        <x:f>H1861^2</x:f>
        <x:v>2.6159395018365488</x:v>
      </x:c>
      <x:c r="K1861" s="40" t="n">
        <x:f>G1861-E1861</x:f>
        <x:v>0</x:v>
      </x:c>
      <x:c r="L1861" s="40" t="n">
        <x:f>ABS(K1861)</x:f>
        <x:v>0</x:v>
      </x:c>
      <x:c r="M1861" s="41" t="str">
        <x:v>lstm-soil-v1</x:v>
      </x:c>
    </x:row>
    <x:row r="1862">
      <x:c r="A1862" s="38" t="str">
        <x:v>7月30日现场数据</x:v>
      </x:c>
      <x:c r="B1862" s="39" t="str">
        <x:v>2026-08-02T04:15:00</x:v>
      </x:c>
      <x:c r="C1862" s="39" t="str">
        <x:v>2026-08-02T04:45:00</x:v>
      </x:c>
      <x:c r="D1862" s="47" t="n">
        <x:v>30</x:v>
      </x:c>
      <x:c r="E1862" s="40" t="n">
        <x:v>15.8</x:v>
      </x:c>
      <x:c r="F1862" s="40" t="n">
        <x:v>14.626239776611328</x:v>
      </x:c>
      <x:c r="G1862" s="40" t="n">
        <x:v>15.8</x:v>
      </x:c>
      <x:c r="H1862" s="40" t="n">
        <x:f>F1862-E1862</x:f>
        <x:v>-1.1737602233886726</x:v>
      </x:c>
      <x:c r="I1862" s="40" t="n">
        <x:f>ABS(H1862)</x:f>
        <x:v>1.1737602233886726</x:v>
      </x:c>
      <x:c r="J1862" s="40" t="n">
        <x:f>H1862^2</x:f>
        <x:v>1.3777130620094267</x:v>
      </x:c>
      <x:c r="K1862" s="40" t="n">
        <x:f>G1862-E1862</x:f>
        <x:v>0</x:v>
      </x:c>
      <x:c r="L1862" s="40" t="n">
        <x:f>ABS(K1862)</x:f>
        <x:v>0</x:v>
      </x:c>
      <x:c r="M1862" s="41" t="str">
        <x:v>lstm-soil-v1</x:v>
      </x:c>
    </x:row>
    <x:row r="1863">
      <x:c r="A1863" s="38" t="str">
        <x:v>7月30日现场数据</x:v>
      </x:c>
      <x:c r="B1863" s="39" t="str">
        <x:v>2026-08-02T04:15:00</x:v>
      </x:c>
      <x:c r="C1863" s="39" t="str">
        <x:v>2026-08-02T05:15:00</x:v>
      </x:c>
      <x:c r="D1863" s="47" t="n">
        <x:v>60</x:v>
      </x:c>
      <x:c r="E1863" s="40" t="n">
        <x:v>15.8</x:v>
      </x:c>
      <x:c r="F1863" s="40" t="n">
        <x:v>16.20600128173828</x:v>
      </x:c>
      <x:c r="G1863" s="40" t="n">
        <x:v>15.8</x:v>
      </x:c>
      <x:c r="H1863" s="40" t="n">
        <x:f>F1863-E1863</x:f>
        <x:v>0.40600128173828054</x:v>
      </x:c>
      <x:c r="I1863" s="40" t="n">
        <x:f>ABS(H1863)</x:f>
        <x:v>0.40600128173828054</x:v>
      </x:c>
      <x:c r="J1863" s="40" t="n">
        <x:f>H1863^2</x:f>
        <x:v>0.16483704077312666</x:v>
      </x:c>
      <x:c r="K1863" s="40" t="n">
        <x:f>G1863-E1863</x:f>
        <x:v>0</x:v>
      </x:c>
      <x:c r="L1863" s="40" t="n">
        <x:f>ABS(K1863)</x:f>
        <x:v>0</x:v>
      </x:c>
      <x:c r="M1863" s="41" t="str">
        <x:v>lstm-soil-v1</x:v>
      </x:c>
    </x:row>
    <x:row r="1864">
      <x:c r="A1864" s="38" t="str">
        <x:v>7月30日现场数据</x:v>
      </x:c>
      <x:c r="B1864" s="39" t="str">
        <x:v>2026-08-02T04:20:00</x:v>
      </x:c>
      <x:c r="C1864" s="39" t="str">
        <x:v>2026-08-02T04:25:00</x:v>
      </x:c>
      <x:c r="D1864" s="47" t="n">
        <x:v>5</x:v>
      </x:c>
      <x:c r="E1864" s="40" t="n">
        <x:v>15.8</x:v>
      </x:c>
      <x:c r="F1864" s="40" t="n">
        <x:v>14.111644744873047</x:v>
      </x:c>
      <x:c r="G1864" s="40" t="n">
        <x:v>15.8</x:v>
      </x:c>
      <x:c r="H1864" s="40" t="n">
        <x:f>F1864-E1864</x:f>
        <x:v>-1.6883552551269538</x:v>
      </x:c>
      <x:c r="I1864" s="40" t="n">
        <x:f>ABS(H1864)</x:f>
        <x:v>1.6883552551269538</x:v>
      </x:c>
      <x:c r="J1864" s="40" t="n">
        <x:f>H1864^2</x:f>
        <x:v>2.8505434675148016</x:v>
      </x:c>
      <x:c r="K1864" s="40" t="n">
        <x:f>G1864-E1864</x:f>
        <x:v>0</x:v>
      </x:c>
      <x:c r="L1864" s="40" t="n">
        <x:f>ABS(K1864)</x:f>
        <x:v>0</x:v>
      </x:c>
      <x:c r="M1864" s="41" t="str">
        <x:v>lstm-soil-v1</x:v>
      </x:c>
    </x:row>
    <x:row r="1865">
      <x:c r="A1865" s="38" t="str">
        <x:v>7月30日现场数据</x:v>
      </x:c>
      <x:c r="B1865" s="39" t="str">
        <x:v>2026-08-02T04:20:00</x:v>
      </x:c>
      <x:c r="C1865" s="39" t="str">
        <x:v>2026-08-02T04:35:00</x:v>
      </x:c>
      <x:c r="D1865" s="47" t="n">
        <x:v>15</x:v>
      </x:c>
      <x:c r="E1865" s="40" t="n">
        <x:v>15.8</x:v>
      </x:c>
      <x:c r="F1865" s="40" t="n">
        <x:v>14.183231353759766</x:v>
      </x:c>
      <x:c r="G1865" s="40" t="n">
        <x:v>15.8</x:v>
      </x:c>
      <x:c r="H1865" s="40" t="n">
        <x:f>F1865-E1865</x:f>
        <x:v>-1.616768646240235</x:v>
      </x:c>
      <x:c r="I1865" s="40" t="n">
        <x:f>ABS(H1865)</x:f>
        <x:v>1.616768646240235</x:v>
      </x:c>
      <x:c r="J1865" s="40" t="n">
        <x:f>H1865^2</x:f>
        <x:v>2.6139408554654824</x:v>
      </x:c>
      <x:c r="K1865" s="40" t="n">
        <x:f>G1865-E1865</x:f>
        <x:v>0</x:v>
      </x:c>
      <x:c r="L1865" s="40" t="n">
        <x:f>ABS(K1865)</x:f>
        <x:v>0</x:v>
      </x:c>
      <x:c r="M1865" s="41" t="str">
        <x:v>lstm-soil-v1</x:v>
      </x:c>
    </x:row>
    <x:row r="1866">
      <x:c r="A1866" s="38" t="str">
        <x:v>7月30日现场数据</x:v>
      </x:c>
      <x:c r="B1866" s="39" t="str">
        <x:v>2026-08-02T04:20:00</x:v>
      </x:c>
      <x:c r="C1866" s="39" t="str">
        <x:v>2026-08-02T04:50:00</x:v>
      </x:c>
      <x:c r="D1866" s="47" t="n">
        <x:v>30</x:v>
      </x:c>
      <x:c r="E1866" s="40" t="n">
        <x:v>15.8</x:v>
      </x:c>
      <x:c r="F1866" s="40" t="n">
        <x:v>14.62738037109375</x:v>
      </x:c>
      <x:c r="G1866" s="40" t="n">
        <x:v>15.8</x:v>
      </x:c>
      <x:c r="H1866" s="40" t="n">
        <x:f>F1866-E1866</x:f>
        <x:v>-1.1726196289062507</x:v>
      </x:c>
      <x:c r="I1866" s="40" t="n">
        <x:f>ABS(H1866)</x:f>
        <x:v>1.1726196289062507</x:v>
      </x:c>
      <x:c r="J1866" s="40" t="n">
        <x:f>H1866^2</x:f>
        <x:v>1.3750367940962331</x:v>
      </x:c>
      <x:c r="K1866" s="40" t="n">
        <x:f>G1866-E1866</x:f>
        <x:v>0</x:v>
      </x:c>
      <x:c r="L1866" s="40" t="n">
        <x:f>ABS(K1866)</x:f>
        <x:v>0</x:v>
      </x:c>
      <x:c r="M1866" s="41" t="str">
        <x:v>lstm-soil-v1</x:v>
      </x:c>
    </x:row>
    <x:row r="1867">
      <x:c r="A1867" s="38" t="str">
        <x:v>7月30日现场数据</x:v>
      </x:c>
      <x:c r="B1867" s="39" t="str">
        <x:v>2026-08-02T04:20:00</x:v>
      </x:c>
      <x:c r="C1867" s="39" t="str">
        <x:v>2026-08-02T05:20:00</x:v>
      </x:c>
      <x:c r="D1867" s="47" t="n">
        <x:v>60</x:v>
      </x:c>
      <x:c r="E1867" s="40" t="n">
        <x:v>15.8</x:v>
      </x:c>
      <x:c r="F1867" s="40" t="n">
        <x:v>16.206512451171875</x:v>
      </x:c>
      <x:c r="G1867" s="40" t="n">
        <x:v>15.8</x:v>
      </x:c>
      <x:c r="H1867" s="40" t="n">
        <x:f>F1867-E1867</x:f>
        <x:v>0.4065124511718743</x:v>
      </x:c>
      <x:c r="I1867" s="40" t="n">
        <x:f>ABS(H1867)</x:f>
        <x:v>0.4065124511718743</x:v>
      </x:c>
      <x:c r="J1867" s="40" t="n">
        <x:f>H1867^2</x:f>
        <x:v>0.1652523729577655</x:v>
      </x:c>
      <x:c r="K1867" s="40" t="n">
        <x:f>G1867-E1867</x:f>
        <x:v>0</x:v>
      </x:c>
      <x:c r="L1867" s="40" t="n">
        <x:f>ABS(K1867)</x:f>
        <x:v>0</x:v>
      </x:c>
      <x:c r="M1867" s="41" t="str">
        <x:v>lstm-soil-v1</x:v>
      </x:c>
    </x:row>
    <x:row r="1868">
      <x:c r="A1868" s="38" t="str">
        <x:v>7月30日现场数据</x:v>
      </x:c>
      <x:c r="B1868" s="39" t="str">
        <x:v>2026-08-02T04:25:00</x:v>
      </x:c>
      <x:c r="C1868" s="39" t="str">
        <x:v>2026-08-02T04:30:00</x:v>
      </x:c>
      <x:c r="D1868" s="47" t="n">
        <x:v>5</x:v>
      </x:c>
      <x:c r="E1868" s="40" t="n">
        <x:v>15.8</x:v>
      </x:c>
      <x:c r="F1868" s="40" t="n">
        <x:v>14.112125396728516</x:v>
      </x:c>
      <x:c r="G1868" s="40" t="n">
        <x:v>15.8</x:v>
      </x:c>
      <x:c r="H1868" s="40" t="n">
        <x:f>F1868-E1868</x:f>
        <x:v>-1.687874603271485</x:v>
      </x:c>
      <x:c r="I1868" s="40" t="n">
        <x:f>ABS(H1868)</x:f>
        <x:v>1.687874603271485</x:v>
      </x:c>
      <x:c r="J1868" s="40" t="n">
        <x:f>H1868^2</x:f>
        <x:v>2.848920676368873</x:v>
      </x:c>
      <x:c r="K1868" s="40" t="n">
        <x:f>G1868-E1868</x:f>
        <x:v>0</x:v>
      </x:c>
      <x:c r="L1868" s="40" t="n">
        <x:f>ABS(K1868)</x:f>
        <x:v>0</x:v>
      </x:c>
      <x:c r="M1868" s="41" t="str">
        <x:v>lstm-soil-v1</x:v>
      </x:c>
    </x:row>
    <x:row r="1869">
      <x:c r="A1869" s="38" t="str">
        <x:v>7月30日现场数据</x:v>
      </x:c>
      <x:c r="B1869" s="39" t="str">
        <x:v>2026-08-02T04:25:00</x:v>
      </x:c>
      <x:c r="C1869" s="39" t="str">
        <x:v>2026-08-02T04:40:00</x:v>
      </x:c>
      <x:c r="D1869" s="47" t="n">
        <x:v>15</x:v>
      </x:c>
      <x:c r="E1869" s="40" t="n">
        <x:v>15.8</x:v>
      </x:c>
      <x:c r="F1869" s="40" t="n">
        <x:v>14.183723449707031</x:v>
      </x:c>
      <x:c r="G1869" s="40" t="n">
        <x:v>15.8</x:v>
      </x:c>
      <x:c r="H1869" s="40" t="n">
        <x:f>F1869-E1869</x:f>
        <x:v>-1.6162765502929695</x:v>
      </x:c>
      <x:c r="I1869" s="40" t="n">
        <x:f>ABS(H1869)</x:f>
        <x:v>1.6162765502929695</x:v>
      </x:c>
      <x:c r="J1869" s="40" t="n">
        <x:f>H1869^2</x:f>
        <x:v>2.6123498870269417</x:v>
      </x:c>
      <x:c r="K1869" s="40" t="n">
        <x:f>G1869-E1869</x:f>
        <x:v>0</x:v>
      </x:c>
      <x:c r="L1869" s="40" t="n">
        <x:f>ABS(K1869)</x:f>
        <x:v>0</x:v>
      </x:c>
      <x:c r="M1869" s="41" t="str">
        <x:v>lstm-soil-v1</x:v>
      </x:c>
    </x:row>
    <x:row r="1870">
      <x:c r="A1870" s="38" t="str">
        <x:v>7月30日现场数据</x:v>
      </x:c>
      <x:c r="B1870" s="39" t="str">
        <x:v>2026-08-02T04:25:00</x:v>
      </x:c>
      <x:c r="C1870" s="39" t="str">
        <x:v>2026-08-02T04:55:00</x:v>
      </x:c>
      <x:c r="D1870" s="47" t="n">
        <x:v>30</x:v>
      </x:c>
      <x:c r="E1870" s="40" t="n">
        <x:v>15.8</x:v>
      </x:c>
      <x:c r="F1870" s="40" t="n">
        <x:v>14.628242492675781</x:v>
      </x:c>
      <x:c r="G1870" s="40" t="n">
        <x:v>15.8</x:v>
      </x:c>
      <x:c r="H1870" s="40" t="n">
        <x:f>F1870-E1870</x:f>
        <x:v>-1.1717575073242195</x:v>
      </x:c>
      <x:c r="I1870" s="40" t="n">
        <x:f>ABS(H1870)</x:f>
        <x:v>1.1717575073242195</x:v>
      </x:c>
      <x:c r="J1870" s="40" t="n">
        <x:f>H1870^2</x:f>
        <x:v>1.3730156559706683</x:v>
      </x:c>
      <x:c r="K1870" s="40" t="n">
        <x:f>G1870-E1870</x:f>
        <x:v>0</x:v>
      </x:c>
      <x:c r="L1870" s="40" t="n">
        <x:f>ABS(K1870)</x:f>
        <x:v>0</x:v>
      </x:c>
      <x:c r="M1870" s="41" t="str">
        <x:v>lstm-soil-v1</x:v>
      </x:c>
    </x:row>
    <x:row r="1871">
      <x:c r="A1871" s="38" t="str">
        <x:v>7月30日现场数据</x:v>
      </x:c>
      <x:c r="B1871" s="39" t="str">
        <x:v>2026-08-02T04:25:00</x:v>
      </x:c>
      <x:c r="C1871" s="39" t="str">
        <x:v>2026-08-02T05:25:00</x:v>
      </x:c>
      <x:c r="D1871" s="47" t="n">
        <x:v>60</x:v>
      </x:c>
      <x:c r="E1871" s="40" t="n">
        <x:v>15.8</x:v>
      </x:c>
      <x:c r="F1871" s="40" t="n">
        <x:v>16.207050323486328</x:v>
      </x:c>
      <x:c r="G1871" s="40" t="n">
        <x:v>15.8</x:v>
      </x:c>
      <x:c r="H1871" s="40" t="n">
        <x:f>F1871-E1871</x:f>
        <x:v>0.4070503234863274</x:v>
      </x:c>
      <x:c r="I1871" s="40" t="n">
        <x:f>ABS(H1871)</x:f>
        <x:v>0.4070503234863274</x:v>
      </x:c>
      <x:c r="J1871" s="40" t="n">
        <x:f>H1871^2</x:f>
        <x:v>0.16568996585032378</x:v>
      </x:c>
      <x:c r="K1871" s="40" t="n">
        <x:f>G1871-E1871</x:f>
        <x:v>0</x:v>
      </x:c>
      <x:c r="L1871" s="40" t="n">
        <x:f>ABS(K1871)</x:f>
        <x:v>0</x:v>
      </x:c>
      <x:c r="M1871" s="41" t="str">
        <x:v>lstm-soil-v1</x:v>
      </x:c>
    </x:row>
    <x:row r="1872">
      <x:c r="A1872" s="38" t="str">
        <x:v>7月30日现场数据</x:v>
      </x:c>
      <x:c r="B1872" s="39" t="str">
        <x:v>2026-08-02T04:30:00</x:v>
      </x:c>
      <x:c r="C1872" s="39" t="str">
        <x:v>2026-08-02T04:35:00</x:v>
      </x:c>
      <x:c r="D1872" s="47" t="n">
        <x:v>5</x:v>
      </x:c>
      <x:c r="E1872" s="40" t="n">
        <x:v>15.8</x:v>
      </x:c>
      <x:c r="F1872" s="40" t="n">
        <x:v>14.112350463867188</x:v>
      </x:c>
      <x:c r="G1872" s="40" t="n">
        <x:v>15.8</x:v>
      </x:c>
      <x:c r="H1872" s="40" t="n">
        <x:f>F1872-E1872</x:f>
        <x:v>-1.6876495361328132</x:v>
      </x:c>
      <x:c r="I1872" s="40" t="n">
        <x:f>ABS(H1872)</x:f>
        <x:v>1.6876495361328132</x:v>
      </x:c>
      <x:c r="J1872" s="40" t="n">
        <x:f>H1872^2</x:f>
        <x:v>2.8481609568093</x:v>
      </x:c>
      <x:c r="K1872" s="40" t="n">
        <x:f>G1872-E1872</x:f>
        <x:v>0</x:v>
      </x:c>
      <x:c r="L1872" s="40" t="n">
        <x:f>ABS(K1872)</x:f>
        <x:v>0</x:v>
      </x:c>
      <x:c r="M1872" s="41" t="str">
        <x:v>lstm-soil-v1</x:v>
      </x:c>
    </x:row>
    <x:row r="1873">
      <x:c r="A1873" s="38" t="str">
        <x:v>7月30日现场数据</x:v>
      </x:c>
      <x:c r="B1873" s="39" t="str">
        <x:v>2026-08-02T04:30:00</x:v>
      </x:c>
      <x:c r="C1873" s="39" t="str">
        <x:v>2026-08-02T04:45:00</x:v>
      </x:c>
      <x:c r="D1873" s="47" t="n">
        <x:v>15</x:v>
      </x:c>
      <x:c r="E1873" s="40" t="n">
        <x:v>15.8</x:v>
      </x:c>
      <x:c r="F1873" s="40" t="n">
        <x:v>14.185237884521484</x:v>
      </x:c>
      <x:c r="G1873" s="40" t="n">
        <x:v>15.8</x:v>
      </x:c>
      <x:c r="H1873" s="40" t="n">
        <x:f>F1873-E1873</x:f>
        <x:v>-1.6147621154785163</x:v>
      </x:c>
      <x:c r="I1873" s="40" t="n">
        <x:f>ABS(H1873)</x:f>
        <x:v>1.6147621154785163</x:v>
      </x:c>
      <x:c r="J1873" s="40" t="n">
        <x:f>H1873^2</x:f>
        <x:v>2.6074566895846534</x:v>
      </x:c>
      <x:c r="K1873" s="40" t="n">
        <x:f>G1873-E1873</x:f>
        <x:v>0</x:v>
      </x:c>
      <x:c r="L1873" s="40" t="n">
        <x:f>ABS(K1873)</x:f>
        <x:v>0</x:v>
      </x:c>
      <x:c r="M1873" s="41" t="str">
        <x:v>lstm-soil-v1</x:v>
      </x:c>
    </x:row>
    <x:row r="1874">
      <x:c r="A1874" s="38" t="str">
        <x:v>7月30日现场数据</x:v>
      </x:c>
      <x:c r="B1874" s="39" t="str">
        <x:v>2026-08-02T04:30:00</x:v>
      </x:c>
      <x:c r="C1874" s="39" t="str">
        <x:v>2026-08-02T05:00:00</x:v>
      </x:c>
      <x:c r="D1874" s="47" t="n">
        <x:v>30</x:v>
      </x:c>
      <x:c r="E1874" s="40" t="n">
        <x:v>15.8</x:v>
      </x:c>
      <x:c r="F1874" s="40" t="n">
        <x:v>14.62991714477539</x:v>
      </x:c>
      <x:c r="G1874" s="40" t="n">
        <x:v>15.8</x:v>
      </x:c>
      <x:c r="H1874" s="40" t="n">
        <x:f>F1874-E1874</x:f>
        <x:v>-1.17008285522461</x:v>
      </x:c>
      <x:c r="I1874" s="40" t="n">
        <x:f>ABS(H1874)</x:f>
        <x:v>1.17008285522461</x:v>
      </x:c>
      <x:c r="J1874" s="40" t="n">
        <x:f>H1874^2</x:f>
        <x:v>1.3690938880905759</x:v>
      </x:c>
      <x:c r="K1874" s="40" t="n">
        <x:f>G1874-E1874</x:f>
        <x:v>0</x:v>
      </x:c>
      <x:c r="L1874" s="40" t="n">
        <x:f>ABS(K1874)</x:f>
        <x:v>0</x:v>
      </x:c>
      <x:c r="M1874" s="41" t="str">
        <x:v>lstm-soil-v1</x:v>
      </x:c>
    </x:row>
    <x:row r="1875">
      <x:c r="A1875" s="38" t="str">
        <x:v>7月30日现场数据</x:v>
      </x:c>
      <x:c r="B1875" s="39" t="str">
        <x:v>2026-08-02T04:30:00</x:v>
      </x:c>
      <x:c r="C1875" s="39" t="str">
        <x:v>2026-08-02T05:30:00</x:v>
      </x:c>
      <x:c r="D1875" s="47" t="n">
        <x:v>60</x:v>
      </x:c>
      <x:c r="E1875" s="40" t="n">
        <x:v>15.8</x:v>
      </x:c>
      <x:c r="F1875" s="40" t="n">
        <x:v>16.20972442626953</x:v>
      </x:c>
      <x:c r="G1875" s="40" t="n">
        <x:v>15.8</x:v>
      </x:c>
      <x:c r="H1875" s="40" t="n">
        <x:f>F1875-E1875</x:f>
        <x:v>0.40972442626953054</x:v>
      </x:c>
      <x:c r="I1875" s="40" t="n">
        <x:f>ABS(H1875)</x:f>
        <x:v>0.40972442626953054</x:v>
      </x:c>
      <x:c r="J1875" s="40" t="n">
        <x:f>H1875^2</x:f>
        <x:v>0.16787410548189596</x:v>
      </x:c>
      <x:c r="K1875" s="40" t="n">
        <x:f>G1875-E1875</x:f>
        <x:v>0</x:v>
      </x:c>
      <x:c r="L1875" s="40" t="n">
        <x:f>ABS(K1875)</x:f>
        <x:v>0</x:v>
      </x:c>
      <x:c r="M1875" s="41" t="str">
        <x:v>lstm-soil-v1</x:v>
      </x:c>
    </x:row>
    <x:row r="1876">
      <x:c r="A1876" s="38" t="str">
        <x:v>7月30日现场数据</x:v>
      </x:c>
      <x:c r="B1876" s="39" t="str">
        <x:v>2026-08-02T04:35:00</x:v>
      </x:c>
      <x:c r="C1876" s="39" t="str">
        <x:v>2026-08-02T04:40:00</x:v>
      </x:c>
      <x:c r="D1876" s="47" t="n">
        <x:v>5</x:v>
      </x:c>
      <x:c r="E1876" s="40" t="n">
        <x:v>15.8</x:v>
      </x:c>
      <x:c r="F1876" s="40" t="n">
        <x:v>14.110992431640625</x:v>
      </x:c>
      <x:c r="G1876" s="40" t="n">
        <x:v>15.8</x:v>
      </x:c>
      <x:c r="H1876" s="40" t="n">
        <x:f>F1876-E1876</x:f>
        <x:v>-1.6890075683593757</x:v>
      </x:c>
      <x:c r="I1876" s="40" t="n">
        <x:f>ABS(H1876)</x:f>
        <x:v>1.6890075683593757</x:v>
      </x:c>
      <x:c r="J1876" s="40" t="n">
        <x:f>H1876^2</x:f>
        <x:v>2.8527465659752513</x:v>
      </x:c>
      <x:c r="K1876" s="40" t="n">
        <x:f>G1876-E1876</x:f>
        <x:v>0</x:v>
      </x:c>
      <x:c r="L1876" s="40" t="n">
        <x:f>ABS(K1876)</x:f>
        <x:v>0</x:v>
      </x:c>
      <x:c r="M1876" s="41" t="str">
        <x:v>lstm-soil-v1</x:v>
      </x:c>
    </x:row>
    <x:row r="1877">
      <x:c r="A1877" s="38" t="str">
        <x:v>7月30日现场数据</x:v>
      </x:c>
      <x:c r="B1877" s="39" t="str">
        <x:v>2026-08-02T04:35:00</x:v>
      </x:c>
      <x:c r="C1877" s="39" t="str">
        <x:v>2026-08-02T04:50:00</x:v>
      </x:c>
      <x:c r="D1877" s="47" t="n">
        <x:v>15</x:v>
      </x:c>
      <x:c r="E1877" s="40" t="n">
        <x:v>15.8</x:v>
      </x:c>
      <x:c r="F1877" s="40" t="n">
        <x:v>14.185890197753906</x:v>
      </x:c>
      <x:c r="G1877" s="40" t="n">
        <x:v>15.8</x:v>
      </x:c>
      <x:c r="H1877" s="40" t="n">
        <x:f>F1877-E1877</x:f>
        <x:v>-1.6141098022460945</x:v>
      </x:c>
      <x:c r="I1877" s="40" t="n">
        <x:f>ABS(H1877)</x:f>
        <x:v>1.6141098022460945</x:v>
      </x:c>
      <x:c r="J1877" s="40" t="n">
        <x:f>H1877^2</x:f>
        <x:v>2.6053504537069263</x:v>
      </x:c>
      <x:c r="K1877" s="40" t="n">
        <x:f>G1877-E1877</x:f>
        <x:v>0</x:v>
      </x:c>
      <x:c r="L1877" s="40" t="n">
        <x:f>ABS(K1877)</x:f>
        <x:v>0</x:v>
      </x:c>
      <x:c r="M1877" s="41" t="str">
        <x:v>lstm-soil-v1</x:v>
      </x:c>
    </x:row>
    <x:row r="1878">
      <x:c r="A1878" s="38" t="str">
        <x:v>7月30日现场数据</x:v>
      </x:c>
      <x:c r="B1878" s="39" t="str">
        <x:v>2026-08-02T04:35:00</x:v>
      </x:c>
      <x:c r="C1878" s="39" t="str">
        <x:v>2026-08-02T05:05:00</x:v>
      </x:c>
      <x:c r="D1878" s="47" t="n">
        <x:v>30</x:v>
      </x:c>
      <x:c r="E1878" s="40" t="n">
        <x:v>15.8</x:v>
      </x:c>
      <x:c r="F1878" s="40" t="n">
        <x:v>14.626972198486328</x:v>
      </x:c>
      <x:c r="G1878" s="40" t="n">
        <x:v>15.8</x:v>
      </x:c>
      <x:c r="H1878" s="40" t="n">
        <x:f>F1878-E1878</x:f>
        <x:v>-1.1730278015136726</x:v>
      </x:c>
      <x:c r="I1878" s="40" t="n">
        <x:f>ABS(H1878)</x:f>
        <x:v>1.1730278015136726</x:v>
      </x:c>
      <x:c r="J1878" s="40" t="n">
        <x:f>H1878^2</x:f>
        <x:v>1.375994223124</x:v>
      </x:c>
      <x:c r="K1878" s="40" t="n">
        <x:f>G1878-E1878</x:f>
        <x:v>0</x:v>
      </x:c>
      <x:c r="L1878" s="40" t="n">
        <x:f>ABS(K1878)</x:f>
        <x:v>0</x:v>
      </x:c>
      <x:c r="M1878" s="41" t="str">
        <x:v>lstm-soil-v1</x:v>
      </x:c>
    </x:row>
    <x:row r="1879">
      <x:c r="A1879" s="38" t="str">
        <x:v>7月30日现场数据</x:v>
      </x:c>
      <x:c r="B1879" s="39" t="str">
        <x:v>2026-08-02T04:35:00</x:v>
      </x:c>
      <x:c r="C1879" s="39" t="str">
        <x:v>2026-08-02T05:35:00</x:v>
      </x:c>
      <x:c r="D1879" s="47" t="n">
        <x:v>60</x:v>
      </x:c>
      <x:c r="E1879" s="40" t="n">
        <x:v>15.8</x:v>
      </x:c>
      <x:c r="F1879" s="40" t="n">
        <x:v>16.204769134521484</x:v>
      </x:c>
      <x:c r="G1879" s="40" t="n">
        <x:v>15.8</x:v>
      </x:c>
      <x:c r="H1879" s="40" t="n">
        <x:f>F1879-E1879</x:f>
        <x:v>0.40476913452148366</x:v>
      </x:c>
      <x:c r="I1879" s="40" t="n">
        <x:f>ABS(H1879)</x:f>
        <x:v>0.40476913452148366</x:v>
      </x:c>
      <x:c r="J1879" s="40" t="n">
        <x:f>H1879^2</x:f>
        <x:v>0.16383805226127093</x:v>
      </x:c>
      <x:c r="K1879" s="40" t="n">
        <x:f>G1879-E1879</x:f>
        <x:v>0</x:v>
      </x:c>
      <x:c r="L1879" s="40" t="n">
        <x:f>ABS(K1879)</x:f>
        <x:v>0</x:v>
      </x:c>
      <x:c r="M1879" s="41" t="str">
        <x:v>lstm-soil-v1</x:v>
      </x:c>
    </x:row>
    <x:row r="1880">
      <x:c r="A1880" s="38" t="str">
        <x:v>7月30日现场数据</x:v>
      </x:c>
      <x:c r="B1880" s="39" t="str">
        <x:v>2026-08-02T04:40:00</x:v>
      </x:c>
      <x:c r="C1880" s="39" t="str">
        <x:v>2026-08-02T04:45:00</x:v>
      </x:c>
      <x:c r="D1880" s="47" t="n">
        <x:v>5</x:v>
      </x:c>
      <x:c r="E1880" s="40" t="n">
        <x:v>15.8</x:v>
      </x:c>
      <x:c r="F1880" s="40" t="n">
        <x:v>14.111263275146484</x:v>
      </x:c>
      <x:c r="G1880" s="40" t="n">
        <x:v>15.8</x:v>
      </x:c>
      <x:c r="H1880" s="40" t="n">
        <x:f>F1880-E1880</x:f>
        <x:v>-1.6887367248535163</x:v>
      </x:c>
      <x:c r="I1880" s="40" t="n">
        <x:f>ABS(H1880)</x:f>
        <x:v>1.6887367248535163</x:v>
      </x:c>
      <x:c r="J1880" s="40" t="n">
        <x:f>H1880^2</x:f>
        <x:v>2.851831725868981</x:v>
      </x:c>
      <x:c r="K1880" s="40" t="n">
        <x:f>G1880-E1880</x:f>
        <x:v>0</x:v>
      </x:c>
      <x:c r="L1880" s="40" t="n">
        <x:f>ABS(K1880)</x:f>
        <x:v>0</x:v>
      </x:c>
      <x:c r="M1880" s="41" t="str">
        <x:v>lstm-soil-v1</x:v>
      </x:c>
    </x:row>
    <x:row r="1881">
      <x:c r="A1881" s="38" t="str">
        <x:v>7月30日现场数据</x:v>
      </x:c>
      <x:c r="B1881" s="39" t="str">
        <x:v>2026-08-02T04:40:00</x:v>
      </x:c>
      <x:c r="C1881" s="39" t="str">
        <x:v>2026-08-02T04:55:00</x:v>
      </x:c>
      <x:c r="D1881" s="47" t="n">
        <x:v>15</x:v>
      </x:c>
      <x:c r="E1881" s="40" t="n">
        <x:v>15.8</x:v>
      </x:c>
      <x:c r="F1881" s="40" t="n">
        <x:v>14.184955596923828</x:v>
      </x:c>
      <x:c r="G1881" s="40" t="n">
        <x:v>15.8</x:v>
      </x:c>
      <x:c r="H1881" s="40" t="n">
        <x:f>F1881-E1881</x:f>
        <x:v>-1.6150444030761726</x:v>
      </x:c>
      <x:c r="I1881" s="40" t="n">
        <x:f>ABS(H1881)</x:f>
        <x:v>1.6150444030761726</x:v>
      </x:c>
      <x:c r="J1881" s="40" t="n">
        <x:f>H1881^2</x:f>
        <x:v>2.6083684239076708</x:v>
      </x:c>
      <x:c r="K1881" s="40" t="n">
        <x:f>G1881-E1881</x:f>
        <x:v>0</x:v>
      </x:c>
      <x:c r="L1881" s="40" t="n">
        <x:f>ABS(K1881)</x:f>
        <x:v>0</x:v>
      </x:c>
      <x:c r="M1881" s="41" t="str">
        <x:v>lstm-soil-v1</x:v>
      </x:c>
    </x:row>
    <x:row r="1882">
      <x:c r="A1882" s="38" t="str">
        <x:v>7月30日现场数据</x:v>
      </x:c>
      <x:c r="B1882" s="39" t="str">
        <x:v>2026-08-02T04:40:00</x:v>
      </x:c>
      <x:c r="C1882" s="39" t="str">
        <x:v>2026-08-02T05:10:00</x:v>
      </x:c>
      <x:c r="D1882" s="47" t="n">
        <x:v>30</x:v>
      </x:c>
      <x:c r="E1882" s="40" t="n">
        <x:v>15.8</x:v>
      </x:c>
      <x:c r="F1882" s="40" t="n">
        <x:v>14.62615966796875</x:v>
      </x:c>
      <x:c r="G1882" s="40" t="n">
        <x:v>15.8</x:v>
      </x:c>
      <x:c r="H1882" s="40" t="n">
        <x:f>F1882-E1882</x:f>
        <x:v>-1.1738403320312507</x:v>
      </x:c>
      <x:c r="I1882" s="40" t="n">
        <x:f>ABS(H1882)</x:f>
        <x:v>1.1738403320312507</x:v>
      </x:c>
      <x:c r="J1882" s="40" t="n">
        <x:f>H1882^2</x:f>
        <x:v>1.377901125103237</x:v>
      </x:c>
      <x:c r="K1882" s="40" t="n">
        <x:f>G1882-E1882</x:f>
        <x:v>0</x:v>
      </x:c>
      <x:c r="L1882" s="40" t="n">
        <x:f>ABS(K1882)</x:f>
        <x:v>0</x:v>
      </x:c>
      <x:c r="M1882" s="41" t="str">
        <x:v>lstm-soil-v1</x:v>
      </x:c>
    </x:row>
    <x:row r="1883">
      <x:c r="A1883" s="38" t="str">
        <x:v>7月30日现场数据</x:v>
      </x:c>
      <x:c r="B1883" s="39" t="str">
        <x:v>2026-08-02T04:40:00</x:v>
      </x:c>
      <x:c r="C1883" s="39" t="str">
        <x:v>2026-08-02T05:40:00</x:v>
      </x:c>
      <x:c r="D1883" s="47" t="n">
        <x:v>60</x:v>
      </x:c>
      <x:c r="E1883" s="40" t="n">
        <x:v>15.8</x:v>
      </x:c>
      <x:c r="F1883" s="40" t="n">
        <x:v>16.205379486083984</x:v>
      </x:c>
      <x:c r="G1883" s="40" t="n">
        <x:v>15.8</x:v>
      </x:c>
      <x:c r="H1883" s="40" t="n">
        <x:f>F1883-E1883</x:f>
        <x:v>0.40537948608398366</x:v>
      </x:c>
      <x:c r="I1883" s="40" t="n">
        <x:f>ABS(H1883)</x:f>
        <x:v>0.40537948608398366</x:v>
      </x:c>
      <x:c r="J1883" s="40" t="n">
        <x:f>H1883^2</x:f>
        <x:v>0.1643325277377147</x:v>
      </x:c>
      <x:c r="K1883" s="40" t="n">
        <x:f>G1883-E1883</x:f>
        <x:v>0</x:v>
      </x:c>
      <x:c r="L1883" s="40" t="n">
        <x:f>ABS(K1883)</x:f>
        <x:v>0</x:v>
      </x:c>
      <x:c r="M1883" s="41" t="str">
        <x:v>lstm-soil-v1</x:v>
      </x:c>
    </x:row>
    <x:row r="1884">
      <x:c r="A1884" s="38" t="str">
        <x:v>7月30日现场数据</x:v>
      </x:c>
      <x:c r="B1884" s="39" t="str">
        <x:v>2026-08-02T04:45:00</x:v>
      </x:c>
      <x:c r="C1884" s="39" t="str">
        <x:v>2026-08-02T04:50:00</x:v>
      </x:c>
      <x:c r="D1884" s="47" t="n">
        <x:v>5</x:v>
      </x:c>
      <x:c r="E1884" s="40" t="n">
        <x:v>15.8</x:v>
      </x:c>
      <x:c r="F1884" s="40" t="n">
        <x:v>14.111698150634766</x:v>
      </x:c>
      <x:c r="G1884" s="40" t="n">
        <x:v>15.8</x:v>
      </x:c>
      <x:c r="H1884" s="40" t="n">
        <x:f>F1884-E1884</x:f>
        <x:v>-1.688301849365235</x:v>
      </x:c>
      <x:c r="I1884" s="40" t="n">
        <x:f>ABS(H1884)</x:f>
        <x:v>1.688301849365235</x:v>
      </x:c>
      <x:c r="J1884" s="40" t="n">
        <x:f>H1884^2</x:f>
        <x:v>2.850363134570073</x:v>
      </x:c>
      <x:c r="K1884" s="40" t="n">
        <x:f>G1884-E1884</x:f>
        <x:v>0</x:v>
      </x:c>
      <x:c r="L1884" s="40" t="n">
        <x:f>ABS(K1884)</x:f>
        <x:v>0</x:v>
      </x:c>
      <x:c r="M1884" s="41" t="str">
        <x:v>lstm-soil-v1</x:v>
      </x:c>
    </x:row>
    <x:row r="1885">
      <x:c r="A1885" s="38" t="str">
        <x:v>7月30日现场数据</x:v>
      </x:c>
      <x:c r="B1885" s="39" t="str">
        <x:v>2026-08-02T04:45:00</x:v>
      </x:c>
      <x:c r="C1885" s="39" t="str">
        <x:v>2026-08-02T05:00:00</x:v>
      </x:c>
      <x:c r="D1885" s="47" t="n">
        <x:v>15</x:v>
      </x:c>
      <x:c r="E1885" s="40" t="n">
        <x:v>15.8</x:v>
      </x:c>
      <x:c r="F1885" s="40" t="n">
        <x:v>14.184455871582031</x:v>
      </x:c>
      <x:c r="G1885" s="40" t="n">
        <x:v>15.8</x:v>
      </x:c>
      <x:c r="H1885" s="40" t="n">
        <x:f>F1885-E1885</x:f>
        <x:v>-1.6155441284179695</x:v>
      </x:c>
      <x:c r="I1885" s="40" t="n">
        <x:f>ABS(H1885)</x:f>
        <x:v>1.6155441284179695</x:v>
      </x:c>
      <x:c r="J1885" s="40" t="n">
        <x:f>H1885^2</x:f>
        <x:v>2.6099828308657766</x:v>
      </x:c>
      <x:c r="K1885" s="40" t="n">
        <x:f>G1885-E1885</x:f>
        <x:v>0</x:v>
      </x:c>
      <x:c r="L1885" s="40" t="n">
        <x:f>ABS(K1885)</x:f>
        <x:v>0</x:v>
      </x:c>
      <x:c r="M1885" s="41" t="str">
        <x:v>lstm-soil-v1</x:v>
      </x:c>
    </x:row>
    <x:row r="1886">
      <x:c r="A1886" s="38" t="str">
        <x:v>7月30日现场数据</x:v>
      </x:c>
      <x:c r="B1886" s="39" t="str">
        <x:v>2026-08-02T04:45:00</x:v>
      </x:c>
      <x:c r="C1886" s="39" t="str">
        <x:v>2026-08-02T05:15:00</x:v>
      </x:c>
      <x:c r="D1886" s="47" t="n">
        <x:v>30</x:v>
      </x:c>
      <x:c r="E1886" s="40" t="n">
        <x:v>15.8</x:v>
      </x:c>
      <x:c r="F1886" s="40" t="n">
        <x:v>14.626396179199219</x:v>
      </x:c>
      <x:c r="G1886" s="40" t="n">
        <x:v>15.8</x:v>
      </x:c>
      <x:c r="H1886" s="40" t="n">
        <x:f>F1886-E1886</x:f>
        <x:v>-1.173603820800782</x:v>
      </x:c>
      <x:c r="I1886" s="40" t="n">
        <x:f>ABS(H1886)</x:f>
        <x:v>1.173603820800782</x:v>
      </x:c>
      <x:c r="J1886" s="40" t="n">
        <x:f>H1886^2</x:f>
        <x:v>1.377345928198194</x:v>
      </x:c>
      <x:c r="K1886" s="40" t="n">
        <x:f>G1886-E1886</x:f>
        <x:v>0</x:v>
      </x:c>
      <x:c r="L1886" s="40" t="n">
        <x:f>ABS(K1886)</x:f>
        <x:v>0</x:v>
      </x:c>
      <x:c r="M1886" s="41" t="str">
        <x:v>lstm-soil-v1</x:v>
      </x:c>
    </x:row>
    <x:row r="1887">
      <x:c r="A1887" s="38" t="str">
        <x:v>7月30日现场数据</x:v>
      </x:c>
      <x:c r="B1887" s="39" t="str">
        <x:v>2026-08-02T04:45:00</x:v>
      </x:c>
      <x:c r="C1887" s="39" t="str">
        <x:v>2026-08-02T05:45:00</x:v>
      </x:c>
      <x:c r="D1887" s="47" t="n">
        <x:v>60</x:v>
      </x:c>
      <x:c r="E1887" s="40" t="n">
        <x:v>15.8</x:v>
      </x:c>
      <x:c r="F1887" s="40" t="n">
        <x:v>16.206069946289062</x:v>
      </x:c>
      <x:c r="G1887" s="40" t="n">
        <x:v>15.8</x:v>
      </x:c>
      <x:c r="H1887" s="40" t="n">
        <x:f>F1887-E1887</x:f>
        <x:v>0.4060699462890618</x:v>
      </x:c>
      <x:c r="I1887" s="40" t="n">
        <x:f>ABS(H1887)</x:f>
        <x:v>0.4060699462890618</x:v>
      </x:c>
      <x:c r="J1887" s="40" t="n">
        <x:f>H1887^2</x:f>
        <x:v>0.16489280127920153</x:v>
      </x:c>
      <x:c r="K1887" s="40" t="n">
        <x:f>G1887-E1887</x:f>
        <x:v>0</x:v>
      </x:c>
      <x:c r="L1887" s="40" t="n">
        <x:f>ABS(K1887)</x:f>
        <x:v>0</x:v>
      </x:c>
      <x:c r="M1887" s="41" t="str">
        <x:v>lstm-soil-v1</x:v>
      </x:c>
    </x:row>
    <x:row r="1888">
      <x:c r="A1888" s="38" t="str">
        <x:v>7月30日现场数据</x:v>
      </x:c>
      <x:c r="B1888" s="39" t="str">
        <x:v>2026-08-02T04:50:00</x:v>
      </x:c>
      <x:c r="C1888" s="39" t="str">
        <x:v>2026-08-02T04:55:00</x:v>
      </x:c>
      <x:c r="D1888" s="47" t="n">
        <x:v>5</x:v>
      </x:c>
      <x:c r="E1888" s="40" t="n">
        <x:v>15.8</x:v>
      </x:c>
      <x:c r="F1888" s="40" t="n">
        <x:v>14.112186431884766</x:v>
      </x:c>
      <x:c r="G1888" s="40" t="n">
        <x:v>15.8</x:v>
      </x:c>
      <x:c r="H1888" s="40" t="n">
        <x:f>F1888-E1888</x:f>
        <x:v>-1.687813568115235</x:v>
      </x:c>
      <x:c r="I1888" s="40" t="n">
        <x:f>ABS(H1888)</x:f>
        <x:v>1.687813568115235</x:v>
      </x:c>
      <x:c r="J1888" s="40" t="n">
        <x:f>H1888^2</x:f>
        <x:v>2.8487146407138813</x:v>
      </x:c>
      <x:c r="K1888" s="40" t="n">
        <x:f>G1888-E1888</x:f>
        <x:v>0</x:v>
      </x:c>
      <x:c r="L1888" s="40" t="n">
        <x:f>ABS(K1888)</x:f>
        <x:v>0</x:v>
      </x:c>
      <x:c r="M1888" s="41" t="str">
        <x:v>lstm-soil-v1</x:v>
      </x:c>
    </x:row>
    <x:row r="1889">
      <x:c r="A1889" s="38" t="str">
        <x:v>7月30日现场数据</x:v>
      </x:c>
      <x:c r="B1889" s="39" t="str">
        <x:v>2026-08-02T04:50:00</x:v>
      </x:c>
      <x:c r="C1889" s="39" t="str">
        <x:v>2026-08-02T05:05:00</x:v>
      </x:c>
      <x:c r="D1889" s="47" t="n">
        <x:v>15</x:v>
      </x:c>
      <x:c r="E1889" s="40" t="n">
        <x:v>15.8</x:v>
      </x:c>
      <x:c r="F1889" s="40" t="n">
        <x:v>14.18429183959961</x:v>
      </x:c>
      <x:c r="G1889" s="40" t="n">
        <x:v>15.8</x:v>
      </x:c>
      <x:c r="H1889" s="40" t="n">
        <x:f>F1889-E1889</x:f>
        <x:v>-1.6157081604003913</x:v>
      </x:c>
      <x:c r="I1889" s="40" t="n">
        <x:f>ABS(H1889)</x:f>
        <x:v>1.6157081604003913</x:v>
      </x:c>
      <x:c r="J1889" s="40" t="n">
        <x:f>H1889^2</x:f>
        <x:v>2.6105128595844165</x:v>
      </x:c>
      <x:c r="K1889" s="40" t="n">
        <x:f>G1889-E1889</x:f>
        <x:v>0</x:v>
      </x:c>
      <x:c r="L1889" s="40" t="n">
        <x:f>ABS(K1889)</x:f>
        <x:v>0</x:v>
      </x:c>
      <x:c r="M1889" s="41" t="str">
        <x:v>lstm-soil-v1</x:v>
      </x:c>
    </x:row>
    <x:row r="1890">
      <x:c r="A1890" s="38" t="str">
        <x:v>7月30日现场数据</x:v>
      </x:c>
      <x:c r="B1890" s="39" t="str">
        <x:v>2026-08-02T04:50:00</x:v>
      </x:c>
      <x:c r="C1890" s="39" t="str">
        <x:v>2026-08-02T05:20:00</x:v>
      </x:c>
      <x:c r="D1890" s="47" t="n">
        <x:v>30</x:v>
      </x:c>
      <x:c r="E1890" s="40" t="n">
        <x:v>15.8</x:v>
      </x:c>
      <x:c r="F1890" s="40" t="n">
        <x:v>14.627025604248047</x:v>
      </x:c>
      <x:c r="G1890" s="40" t="n">
        <x:v>15.8</x:v>
      </x:c>
      <x:c r="H1890" s="40" t="n">
        <x:f>F1890-E1890</x:f>
        <x:v>-1.1729743957519538</x:v>
      </x:c>
      <x:c r="I1890" s="40" t="n">
        <x:f>ABS(H1890)</x:f>
        <x:v>1.1729743957519538</x:v>
      </x:c>
      <x:c r="J1890" s="40" t="n">
        <x:f>H1890^2</x:f>
        <x:v>1.3758689330896612</x:v>
      </x:c>
      <x:c r="K1890" s="40" t="n">
        <x:f>G1890-E1890</x:f>
        <x:v>0</x:v>
      </x:c>
      <x:c r="L1890" s="40" t="n">
        <x:f>ABS(K1890)</x:f>
        <x:v>0</x:v>
      </x:c>
      <x:c r="M1890" s="41" t="str">
        <x:v>lstm-soil-v1</x:v>
      </x:c>
    </x:row>
    <x:row r="1891">
      <x:c r="A1891" s="38" t="str">
        <x:v>7月30日现场数据</x:v>
      </x:c>
      <x:c r="B1891" s="39" t="str">
        <x:v>2026-08-02T04:50:00</x:v>
      </x:c>
      <x:c r="C1891" s="39" t="str">
        <x:v>2026-08-02T05:50:00</x:v>
      </x:c>
      <x:c r="D1891" s="47" t="n">
        <x:v>60</x:v>
      </x:c>
      <x:c r="E1891" s="40" t="n">
        <x:v>15.8</x:v>
      </x:c>
      <x:c r="F1891" s="40" t="n">
        <x:v>16.20687484741211</x:v>
      </x:c>
      <x:c r="G1891" s="40" t="n">
        <x:v>15.8</x:v>
      </x:c>
      <x:c r="H1891" s="40" t="n">
        <x:f>F1891-E1891</x:f>
        <x:v>0.40687484741210866</x:v>
      </x:c>
      <x:c r="I1891" s="40" t="n">
        <x:f>ABS(H1891)</x:f>
        <x:v>0.40687484741210866</x:v>
      </x:c>
      <x:c r="J1891" s="40" t="n">
        <x:f>H1891^2</x:f>
        <x:v>0.16554714145662672</x:v>
      </x:c>
      <x:c r="K1891" s="40" t="n">
        <x:f>G1891-E1891</x:f>
        <x:v>0</x:v>
      </x:c>
      <x:c r="L1891" s="40" t="n">
        <x:f>ABS(K1891)</x:f>
        <x:v>0</x:v>
      </x:c>
      <x:c r="M1891" s="41" t="str">
        <x:v>lstm-soil-v1</x:v>
      </x:c>
    </x:row>
    <x:row r="1892">
      <x:c r="A1892" s="38" t="str">
        <x:v>7月30日现场数据</x:v>
      </x:c>
      <x:c r="B1892" s="39" t="str">
        <x:v>2026-08-02T04:55:00</x:v>
      </x:c>
      <x:c r="C1892" s="39" t="str">
        <x:v>2026-08-02T05:00:00</x:v>
      </x:c>
      <x:c r="D1892" s="47" t="n">
        <x:v>5</x:v>
      </x:c>
      <x:c r="E1892" s="40" t="n">
        <x:v>15.8</x:v>
      </x:c>
      <x:c r="F1892" s="40" t="n">
        <x:v>14.112598419189453</x:v>
      </x:c>
      <x:c r="G1892" s="40" t="n">
        <x:v>15.8</x:v>
      </x:c>
      <x:c r="H1892" s="40" t="n">
        <x:f>F1892-E1892</x:f>
        <x:v>-1.6874015808105476</x:v>
      </x:c>
      <x:c r="I1892" s="40" t="n">
        <x:f>ABS(H1892)</x:f>
        <x:v>1.6874015808105476</x:v>
      </x:c>
      <x:c r="J1892" s="40" t="n">
        <x:f>H1892^2</x:f>
        <x:v>2.847324094921935</x:v>
      </x:c>
      <x:c r="K1892" s="40" t="n">
        <x:f>G1892-E1892</x:f>
        <x:v>0</x:v>
      </x:c>
      <x:c r="L1892" s="40" t="n">
        <x:f>ABS(K1892)</x:f>
        <x:v>0</x:v>
      </x:c>
      <x:c r="M1892" s="41" t="str">
        <x:v>lstm-soil-v1</x:v>
      </x:c>
    </x:row>
    <x:row r="1893">
      <x:c r="A1893" s="38" t="str">
        <x:v>7月30日现场数据</x:v>
      </x:c>
      <x:c r="B1893" s="39" t="str">
        <x:v>2026-08-02T04:55:00</x:v>
      </x:c>
      <x:c r="C1893" s="39" t="str">
        <x:v>2026-08-02T05:10:00</x:v>
      </x:c>
      <x:c r="D1893" s="47" t="n">
        <x:v>15</x:v>
      </x:c>
      <x:c r="E1893" s="40" t="n">
        <x:v>15.8</x:v>
      </x:c>
      <x:c r="F1893" s="40" t="n">
        <x:v>14.18429183959961</x:v>
      </x:c>
      <x:c r="G1893" s="40" t="n">
        <x:v>15.8</x:v>
      </x:c>
      <x:c r="H1893" s="40" t="n">
        <x:f>F1893-E1893</x:f>
        <x:v>-1.6157081604003913</x:v>
      </x:c>
      <x:c r="I1893" s="40" t="n">
        <x:f>ABS(H1893)</x:f>
        <x:v>1.6157081604003913</x:v>
      </x:c>
      <x:c r="J1893" s="40" t="n">
        <x:f>H1893^2</x:f>
        <x:v>2.6105128595844165</x:v>
      </x:c>
      <x:c r="K1893" s="40" t="n">
        <x:f>G1893-E1893</x:f>
        <x:v>0</x:v>
      </x:c>
      <x:c r="L1893" s="40" t="n">
        <x:f>ABS(K1893)</x:f>
        <x:v>0</x:v>
      </x:c>
      <x:c r="M1893" s="41" t="str">
        <x:v>lstm-soil-v1</x:v>
      </x:c>
    </x:row>
    <x:row r="1894">
      <x:c r="A1894" s="38" t="str">
        <x:v>7月30日现场数据</x:v>
      </x:c>
      <x:c r="B1894" s="39" t="str">
        <x:v>2026-08-02T04:55:00</x:v>
      </x:c>
      <x:c r="C1894" s="39" t="str">
        <x:v>2026-08-02T05:25:00</x:v>
      </x:c>
      <x:c r="D1894" s="47" t="n">
        <x:v>30</x:v>
      </x:c>
      <x:c r="E1894" s="40" t="n">
        <x:v>15.8</x:v>
      </x:c>
      <x:c r="F1894" s="40" t="n">
        <x:v>14.627613067626953</x:v>
      </x:c>
      <x:c r="G1894" s="40" t="n">
        <x:v>15.8</x:v>
      </x:c>
      <x:c r="H1894" s="40" t="n">
        <x:f>F1894-E1894</x:f>
        <x:v>-1.1723869323730476</x:v>
      </x:c>
      <x:c r="I1894" s="40" t="n">
        <x:f>ABS(H1894)</x:f>
        <x:v>1.1723869323730476</x:v>
      </x:c>
      <x:c r="J1894" s="40" t="n">
        <x:f>H1894^2</x:f>
        <x:v>1.374491119199085</x:v>
      </x:c>
      <x:c r="K1894" s="40" t="n">
        <x:f>G1894-E1894</x:f>
        <x:v>0</x:v>
      </x:c>
      <x:c r="L1894" s="40" t="n">
        <x:f>ABS(K1894)</x:f>
        <x:v>0</x:v>
      </x:c>
      <x:c r="M1894" s="41" t="str">
        <x:v>lstm-soil-v1</x:v>
      </x:c>
    </x:row>
    <x:row r="1895">
      <x:c r="A1895" s="38" t="str">
        <x:v>7月30日现场数据</x:v>
      </x:c>
      <x:c r="B1895" s="39" t="str">
        <x:v>2026-08-02T04:55:00</x:v>
      </x:c>
      <x:c r="C1895" s="39" t="str">
        <x:v>2026-08-02T05:55:00</x:v>
      </x:c>
      <x:c r="D1895" s="47" t="n">
        <x:v>60</x:v>
      </x:c>
      <x:c r="E1895" s="40" t="n">
        <x:v>15.7</x:v>
      </x:c>
      <x:c r="F1895" s="40" t="n">
        <x:v>16.207584381103516</x:v>
      </x:c>
      <x:c r="G1895" s="40" t="n">
        <x:v>15.8</x:v>
      </x:c>
      <x:c r="H1895" s="40" t="n">
        <x:f>F1895-E1895</x:f>
        <x:v>0.5075843811035163</x:v>
      </x:c>
      <x:c r="I1895" s="40" t="n">
        <x:f>ABS(H1895)</x:f>
        <x:v>0.5075843811035163</x:v>
      </x:c>
      <x:c r="J1895" s="40" t="n">
        <x:f>H1895^2</x:f>
        <x:v>0.2576419039402397</x:v>
      </x:c>
      <x:c r="K1895" s="40" t="n">
        <x:f>G1895-E1895</x:f>
        <x:v>0.10000000000000142</x:v>
      </x:c>
      <x:c r="L1895" s="40" t="n">
        <x:f>ABS(K1895)</x:f>
        <x:v>0.10000000000000142</x:v>
      </x:c>
      <x:c r="M1895" s="41" t="str">
        <x:v>lstm-soil-v1</x:v>
      </x:c>
    </x:row>
    <x:row r="1896">
      <x:c r="A1896" s="38" t="str">
        <x:v>7月30日现场数据</x:v>
      </x:c>
      <x:c r="B1896" s="39" t="str">
        <x:v>2026-08-02T05:00:00</x:v>
      </x:c>
      <x:c r="C1896" s="39" t="str">
        <x:v>2026-08-02T05:05:00</x:v>
      </x:c>
      <x:c r="D1896" s="47" t="n">
        <x:v>5</x:v>
      </x:c>
      <x:c r="E1896" s="40" t="n">
        <x:v>15.8</x:v>
      </x:c>
      <x:c r="F1896" s="40" t="n">
        <x:v>14.112113952636719</x:v>
      </x:c>
      <x:c r="G1896" s="40" t="n">
        <x:v>15.8</x:v>
      </x:c>
      <x:c r="H1896" s="40" t="n">
        <x:f>F1896-E1896</x:f>
        <x:v>-1.687886047363282</x:v>
      </x:c>
      <x:c r="I1896" s="40" t="n">
        <x:f>ABS(H1896)</x:f>
        <x:v>1.687886047363282</x:v>
      </x:c>
      <x:c r="J1896" s="40" t="n">
        <x:f>H1896^2</x:f>
        <x:v>2.8489593088836433</x:v>
      </x:c>
      <x:c r="K1896" s="40" t="n">
        <x:f>G1896-E1896</x:f>
        <x:v>0</x:v>
      </x:c>
      <x:c r="L1896" s="40" t="n">
        <x:f>ABS(K1896)</x:f>
        <x:v>0</x:v>
      </x:c>
      <x:c r="M1896" s="41" t="str">
        <x:v>lstm-soil-v1</x:v>
      </x:c>
    </x:row>
    <x:row r="1897">
      <x:c r="A1897" s="38" t="str">
        <x:v>7月30日现场数据</x:v>
      </x:c>
      <x:c r="B1897" s="39" t="str">
        <x:v>2026-08-02T05:00:00</x:v>
      </x:c>
      <x:c r="C1897" s="39" t="str">
        <x:v>2026-08-02T05:15:00</x:v>
      </x:c>
      <x:c r="D1897" s="47" t="n">
        <x:v>15</x:v>
      </x:c>
      <x:c r="E1897" s="40" t="n">
        <x:v>15.8</x:v>
      </x:c>
      <x:c r="F1897" s="40" t="n">
        <x:v>14.183021545410156</x:v>
      </x:c>
      <x:c r="G1897" s="40" t="n">
        <x:v>15.8</x:v>
      </x:c>
      <x:c r="H1897" s="40" t="n">
        <x:f>F1897-E1897</x:f>
        <x:v>-1.6169784545898445</x:v>
      </x:c>
      <x:c r="I1897" s="40" t="n">
        <x:f>ABS(H1897)</x:f>
        <x:v>1.6169784545898445</x:v>
      </x:c>
      <x:c r="J1897" s="40" t="n">
        <x:f>H1897^2</x:f>
        <x:v>2.6146193226077616</x:v>
      </x:c>
      <x:c r="K1897" s="40" t="n">
        <x:f>G1897-E1897</x:f>
        <x:v>0</x:v>
      </x:c>
      <x:c r="L1897" s="40" t="n">
        <x:f>ABS(K1897)</x:f>
        <x:v>0</x:v>
      </x:c>
      <x:c r="M1897" s="41" t="str">
        <x:v>lstm-soil-v1</x:v>
      </x:c>
    </x:row>
    <x:row r="1898">
      <x:c r="A1898" s="38" t="str">
        <x:v>7月30日现场数据</x:v>
      </x:c>
      <x:c r="B1898" s="39" t="str">
        <x:v>2026-08-02T05:00:00</x:v>
      </x:c>
      <x:c r="C1898" s="39" t="str">
        <x:v>2026-08-02T05:30:00</x:v>
      </x:c>
      <x:c r="D1898" s="47" t="n">
        <x:v>30</x:v>
      </x:c>
      <x:c r="E1898" s="40" t="n">
        <x:v>15.8</x:v>
      </x:c>
      <x:c r="F1898" s="40" t="n">
        <x:v>14.627033233642578</x:v>
      </x:c>
      <x:c r="G1898" s="40" t="n">
        <x:v>15.8</x:v>
      </x:c>
      <x:c r="H1898" s="40" t="n">
        <x:f>F1898-E1898</x:f>
        <x:v>-1.1729667663574226</x:v>
      </x:c>
      <x:c r="I1898" s="40" t="n">
        <x:f>ABS(H1898)</x:f>
        <x:v>1.1729667663574226</x:v>
      </x:c>
      <x:c r="J1898" s="40" t="n">
        <x:f>H1898^2</x:f>
        <x:v>1.3758510349789883</x:v>
      </x:c>
      <x:c r="K1898" s="40" t="n">
        <x:f>G1898-E1898</x:f>
        <x:v>0</x:v>
      </x:c>
      <x:c r="L1898" s="40" t="n">
        <x:f>ABS(K1898)</x:f>
        <x:v>0</x:v>
      </x:c>
      <x:c r="M1898" s="41" t="str">
        <x:v>lstm-soil-v1</x:v>
      </x:c>
    </x:row>
    <x:row r="1899">
      <x:c r="A1899" s="38" t="str">
        <x:v>7月30日现场数据</x:v>
      </x:c>
      <x:c r="B1899" s="39" t="str">
        <x:v>2026-08-02T05:00:00</x:v>
      </x:c>
      <x:c r="C1899" s="39" t="str">
        <x:v>2026-08-02T06:00:00</x:v>
      </x:c>
      <x:c r="D1899" s="47" t="n">
        <x:v>60</x:v>
      </x:c>
      <x:c r="E1899" s="40" t="n">
        <x:v>15.8</x:v>
      </x:c>
      <x:c r="F1899" s="40" t="n">
        <x:v>16.209796905517578</x:v>
      </x:c>
      <x:c r="G1899" s="40" t="n">
        <x:v>15.8</x:v>
      </x:c>
      <x:c r="H1899" s="40" t="n">
        <x:f>F1899-E1899</x:f>
        <x:v>0.4097969055175774</x:v>
      </x:c>
      <x:c r="I1899" s="40" t="n">
        <x:f>ABS(H1899)</x:f>
        <x:v>0.4097969055175774</x:v>
      </x:c>
      <x:c r="J1899" s="40" t="n">
        <x:f>H1899^2</x:f>
        <x:v>0.16793350377178226</x:v>
      </x:c>
      <x:c r="K1899" s="40" t="n">
        <x:f>G1899-E1899</x:f>
        <x:v>0</x:v>
      </x:c>
      <x:c r="L1899" s="40" t="n">
        <x:f>ABS(K1899)</x:f>
        <x:v>0</x:v>
      </x:c>
      <x:c r="M1899" s="41" t="str">
        <x:v>lstm-soil-v1</x:v>
      </x:c>
    </x:row>
    <x:row r="1900">
      <x:c r="A1900" s="38" t="str">
        <x:v>7月30日现场数据</x:v>
      </x:c>
      <x:c r="B1900" s="39" t="str">
        <x:v>2026-08-02T05:05:00</x:v>
      </x:c>
      <x:c r="C1900" s="39" t="str">
        <x:v>2026-08-02T05:10:00</x:v>
      </x:c>
      <x:c r="D1900" s="47" t="n">
        <x:v>5</x:v>
      </x:c>
      <x:c r="E1900" s="40" t="n">
        <x:v>15.8</x:v>
      </x:c>
      <x:c r="F1900" s="40" t="n">
        <x:v>14.111907958984375</x:v>
      </x:c>
      <x:c r="G1900" s="40" t="n">
        <x:v>15.8</x:v>
      </x:c>
      <x:c r="H1900" s="40" t="n">
        <x:f>F1900-E1900</x:f>
        <x:v>-1.6880920410156257</x:v>
      </x:c>
      <x:c r="I1900" s="40" t="n">
        <x:f>ABS(H1900)</x:f>
        <x:v>1.6880920410156257</x:v>
      </x:c>
      <x:c r="J1900" s="40" t="n">
        <x:f>H1900^2</x:f>
        <x:v>2.849654738940301</x:v>
      </x:c>
      <x:c r="K1900" s="40" t="n">
        <x:f>G1900-E1900</x:f>
        <x:v>0</x:v>
      </x:c>
      <x:c r="L1900" s="40" t="n">
        <x:f>ABS(K1900)</x:f>
        <x:v>0</x:v>
      </x:c>
      <x:c r="M1900" s="41" t="str">
        <x:v>lstm-soil-v1</x:v>
      </x:c>
    </x:row>
    <x:row r="1901">
      <x:c r="A1901" s="38" t="str">
        <x:v>7月30日现场数据</x:v>
      </x:c>
      <x:c r="B1901" s="39" t="str">
        <x:v>2026-08-02T05:05:00</x:v>
      </x:c>
      <x:c r="C1901" s="39" t="str">
        <x:v>2026-08-02T05:20:00</x:v>
      </x:c>
      <x:c r="D1901" s="47" t="n">
        <x:v>15</x:v>
      </x:c>
      <x:c r="E1901" s="40" t="n">
        <x:v>15.8</x:v>
      </x:c>
      <x:c r="F1901" s="40" t="n">
        <x:v>14.183368682861328</x:v>
      </x:c>
      <x:c r="G1901" s="40" t="n">
        <x:v>15.8</x:v>
      </x:c>
      <x:c r="H1901" s="40" t="n">
        <x:f>F1901-E1901</x:f>
        <x:v>-1.6166313171386726</x:v>
      </x:c>
      <x:c r="I1901" s="40" t="n">
        <x:f>ABS(H1901)</x:f>
        <x:v>1.6166313171386726</x:v>
      </x:c>
      <x:c r="J1901" s="40" t="n">
        <x:f>H1901^2</x:f>
        <x:v>2.6134968155535194</x:v>
      </x:c>
      <x:c r="K1901" s="40" t="n">
        <x:f>G1901-E1901</x:f>
        <x:v>0</x:v>
      </x:c>
      <x:c r="L1901" s="40" t="n">
        <x:f>ABS(K1901)</x:f>
        <x:v>0</x:v>
      </x:c>
      <x:c r="M1901" s="41" t="str">
        <x:v>lstm-soil-v1</x:v>
      </x:c>
    </x:row>
    <x:row r="1902">
      <x:c r="A1902" s="38" t="str">
        <x:v>7月30日现场数据</x:v>
      </x:c>
      <x:c r="B1902" s="39" t="str">
        <x:v>2026-08-02T05:05:00</x:v>
      </x:c>
      <x:c r="C1902" s="39" t="str">
        <x:v>2026-08-02T05:35:00</x:v>
      </x:c>
      <x:c r="D1902" s="47" t="n">
        <x:v>30</x:v>
      </x:c>
      <x:c r="E1902" s="40" t="n">
        <x:v>15.8</x:v>
      </x:c>
      <x:c r="F1902" s="40" t="n">
        <x:v>14.627899169921875</x:v>
      </x:c>
      <x:c r="G1902" s="40" t="n">
        <x:v>15.8</x:v>
      </x:c>
      <x:c r="H1902" s="40" t="n">
        <x:f>F1902-E1902</x:f>
        <x:v>-1.1721008300781257</x:v>
      </x:c>
      <x:c r="I1902" s="40" t="n">
        <x:f>ABS(H1902)</x:f>
        <x:v>1.1721008300781257</x:v>
      </x:c>
      <x:c r="J1902" s="40" t="n">
        <x:f>H1902^2</x:f>
        <x:v>1.3738203558698314</x:v>
      </x:c>
      <x:c r="K1902" s="40" t="n">
        <x:f>G1902-E1902</x:f>
        <x:v>0</x:v>
      </x:c>
      <x:c r="L1902" s="40" t="n">
        <x:f>ABS(K1902)</x:f>
        <x:v>0</x:v>
      </x:c>
      <x:c r="M1902" s="41" t="str">
        <x:v>lstm-soil-v1</x:v>
      </x:c>
    </x:row>
    <x:row r="1903">
      <x:c r="A1903" s="38" t="str">
        <x:v>7月30日现场数据</x:v>
      </x:c>
      <x:c r="B1903" s="39" t="str">
        <x:v>2026-08-02T05:05:00</x:v>
      </x:c>
      <x:c r="C1903" s="39" t="str">
        <x:v>2026-08-02T06:05:00</x:v>
      </x:c>
      <x:c r="D1903" s="47" t="n">
        <x:v>60</x:v>
      </x:c>
      <x:c r="E1903" s="40" t="n">
        <x:v>15.8</x:v>
      </x:c>
      <x:c r="F1903" s="40" t="n">
        <x:v>16.21084976196289</x:v>
      </x:c>
      <x:c r="G1903" s="40" t="n">
        <x:v>15.8</x:v>
      </x:c>
      <x:c r="H1903" s="40" t="n">
        <x:f>F1903-E1903</x:f>
        <x:v>0.4108497619628899</x:v>
      </x:c>
      <x:c r="I1903" s="40" t="n">
        <x:f>ABS(H1903)</x:f>
        <x:v>0.4108497619628899</x:v>
      </x:c>
      <x:c r="J1903" s="40" t="n">
        <x:f>H1903^2</x:f>
        <x:v>0.1687975269049633</x:v>
      </x:c>
      <x:c r="K1903" s="40" t="n">
        <x:f>G1903-E1903</x:f>
        <x:v>0</x:v>
      </x:c>
      <x:c r="L1903" s="40" t="n">
        <x:f>ABS(K1903)</x:f>
        <x:v>0</x:v>
      </x:c>
      <x:c r="M1903" s="41" t="str">
        <x:v>lstm-soil-v1</x:v>
      </x:c>
    </x:row>
    <x:row r="1904">
      <x:c r="A1904" s="38" t="str">
        <x:v>7月30日现场数据</x:v>
      </x:c>
      <x:c r="B1904" s="39" t="str">
        <x:v>2026-08-02T05:10:00</x:v>
      </x:c>
      <x:c r="C1904" s="39" t="str">
        <x:v>2026-08-02T05:15:00</x:v>
      </x:c>
      <x:c r="D1904" s="47" t="n">
        <x:v>5</x:v>
      </x:c>
      <x:c r="E1904" s="40" t="n">
        <x:v>15.8</x:v>
      </x:c>
      <x:c r="F1904" s="40" t="n">
        <x:v>14.11233139038086</x:v>
      </x:c>
      <x:c r="G1904" s="40" t="n">
        <x:v>15.8</x:v>
      </x:c>
      <x:c r="H1904" s="40" t="n">
        <x:f>F1904-E1904</x:f>
        <x:v>-1.6876686096191413</x:v>
      </x:c>
      <x:c r="I1904" s="40" t="n">
        <x:f>ABS(H1904)</x:f>
        <x:v>1.6876686096191413</x:v>
      </x:c>
      <x:c r="J1904" s="40" t="n">
        <x:f>H1904^2</x:f>
        <x:v>2.848225335893806</x:v>
      </x:c>
      <x:c r="K1904" s="40" t="n">
        <x:f>G1904-E1904</x:f>
        <x:v>0</x:v>
      </x:c>
      <x:c r="L1904" s="40" t="n">
        <x:f>ABS(K1904)</x:f>
        <x:v>0</x:v>
      </x:c>
      <x:c r="M1904" s="41" t="str">
        <x:v>lstm-soil-v1</x:v>
      </x:c>
    </x:row>
    <x:row r="1905">
      <x:c r="A1905" s="38" t="str">
        <x:v>7月30日现场数据</x:v>
      </x:c>
      <x:c r="B1905" s="39" t="str">
        <x:v>2026-08-02T05:10:00</x:v>
      </x:c>
      <x:c r="C1905" s="39" t="str">
        <x:v>2026-08-02T05:25:00</x:v>
      </x:c>
      <x:c r="D1905" s="47" t="n">
        <x:v>15</x:v>
      </x:c>
      <x:c r="E1905" s="40" t="n">
        <x:v>15.8</x:v>
      </x:c>
      <x:c r="F1905" s="40" t="n">
        <x:v>14.184402465820312</x:v>
      </x:c>
      <x:c r="G1905" s="40" t="n">
        <x:v>15.8</x:v>
      </x:c>
      <x:c r="H1905" s="40" t="n">
        <x:f>F1905-E1905</x:f>
        <x:v>-1.6155975341796882</x:v>
      </x:c>
      <x:c r="I1905" s="40" t="n">
        <x:f>ABS(H1905)</x:f>
        <x:v>1.6155975341796882</x:v>
      </x:c>
      <x:c r="J1905" s="40" t="n">
        <x:f>H1905^2</x:f>
        <x:v>2.610155392447489</x:v>
      </x:c>
      <x:c r="K1905" s="40" t="n">
        <x:f>G1905-E1905</x:f>
        <x:v>0</x:v>
      </x:c>
      <x:c r="L1905" s="40" t="n">
        <x:f>ABS(K1905)</x:f>
        <x:v>0</x:v>
      </x:c>
      <x:c r="M1905" s="41" t="str">
        <x:v>lstm-soil-v1</x:v>
      </x:c>
    </x:row>
    <x:row r="1906">
      <x:c r="A1906" s="38" t="str">
        <x:v>7月30日现场数据</x:v>
      </x:c>
      <x:c r="B1906" s="39" t="str">
        <x:v>2026-08-02T05:10:00</x:v>
      </x:c>
      <x:c r="C1906" s="39" t="str">
        <x:v>2026-08-02T05:40:00</x:v>
      </x:c>
      <x:c r="D1906" s="47" t="n">
        <x:v>30</x:v>
      </x:c>
      <x:c r="E1906" s="40" t="n">
        <x:v>15.8</x:v>
      </x:c>
      <x:c r="F1906" s="40" t="n">
        <x:v>14.629280090332031</x:v>
      </x:c>
      <x:c r="G1906" s="40" t="n">
        <x:v>15.8</x:v>
      </x:c>
      <x:c r="H1906" s="40" t="n">
        <x:f>F1906-E1906</x:f>
        <x:v>-1.1707199096679695</x:v>
      </x:c>
      <x:c r="I1906" s="40" t="n">
        <x:f>ABS(H1906)</x:f>
        <x:v>1.1707199096679695</x:v>
      </x:c>
      <x:c r="J1906" s="40" t="n">
        <x:f>H1906^2</x:f>
        <x:v>1.3705851068929786</x:v>
      </x:c>
      <x:c r="K1906" s="40" t="n">
        <x:f>G1906-E1906</x:f>
        <x:v>0</x:v>
      </x:c>
      <x:c r="L1906" s="40" t="n">
        <x:f>ABS(K1906)</x:f>
        <x:v>0</x:v>
      </x:c>
      <x:c r="M1906" s="41" t="str">
        <x:v>lstm-soil-v1</x:v>
      </x:c>
    </x:row>
    <x:row r="1907">
      <x:c r="A1907" s="38" t="str">
        <x:v>7月30日现场数据</x:v>
      </x:c>
      <x:c r="B1907" s="39" t="str">
        <x:v>2026-08-02T05:10:00</x:v>
      </x:c>
      <x:c r="C1907" s="39" t="str">
        <x:v>2026-08-02T06:10:00</x:v>
      </x:c>
      <x:c r="D1907" s="47" t="n">
        <x:v>60</x:v>
      </x:c>
      <x:c r="E1907" s="40" t="n">
        <x:v>15.7</x:v>
      </x:c>
      <x:c r="F1907" s="40" t="n">
        <x:v>16.211952209472656</x:v>
      </x:c>
      <x:c r="G1907" s="40" t="n">
        <x:v>15.8</x:v>
      </x:c>
      <x:c r="H1907" s="40" t="n">
        <x:f>F1907-E1907</x:f>
        <x:v>0.511952209472657</x:v>
      </x:c>
      <x:c r="I1907" s="40" t="n">
        <x:f>ABS(H1907)</x:f>
        <x:v>0.511952209472657</x:v>
      </x:c>
      <x:c r="J1907" s="40" t="n">
        <x:f>H1907^2</x:f>
        <x:v>0.26209506478393524</x:v>
      </x:c>
      <x:c r="K1907" s="40" t="n">
        <x:f>G1907-E1907</x:f>
        <x:v>0.10000000000000142</x:v>
      </x:c>
      <x:c r="L1907" s="40" t="n">
        <x:f>ABS(K1907)</x:f>
        <x:v>0.10000000000000142</x:v>
      </x:c>
      <x:c r="M1907" s="41" t="str">
        <x:v>lstm-soil-v1</x:v>
      </x:c>
    </x:row>
    <x:row r="1908">
      <x:c r="A1908" s="38" t="str">
        <x:v>7月30日现场数据</x:v>
      </x:c>
      <x:c r="B1908" s="39" t="str">
        <x:v>2026-08-02T05:15:00</x:v>
      </x:c>
      <x:c r="C1908" s="39" t="str">
        <x:v>2026-08-02T05:20:00</x:v>
      </x:c>
      <x:c r="D1908" s="47" t="n">
        <x:v>5</x:v>
      </x:c>
      <x:c r="E1908" s="40" t="n">
        <x:v>15.8</x:v>
      </x:c>
      <x:c r="F1908" s="40" t="n">
        <x:v>14.112930297851562</x:v>
      </x:c>
      <x:c r="G1908" s="40" t="n">
        <x:v>15.8</x:v>
      </x:c>
      <x:c r="H1908" s="40" t="n">
        <x:f>F1908-E1908</x:f>
        <x:v>-1.6870697021484382</x:v>
      </x:c>
      <x:c r="I1908" s="40" t="n">
        <x:f>ABS(H1908)</x:f>
        <x:v>1.6870697021484382</x:v>
      </x:c>
      <x:c r="J1908" s="40" t="n">
        <x:f>H1908^2</x:f>
        <x:v>2.84620417990722</x:v>
      </x:c>
      <x:c r="K1908" s="40" t="n">
        <x:f>G1908-E1908</x:f>
        <x:v>0</x:v>
      </x:c>
      <x:c r="L1908" s="40" t="n">
        <x:f>ABS(K1908)</x:f>
        <x:v>0</x:v>
      </x:c>
      <x:c r="M1908" s="41" t="str">
        <x:v>lstm-soil-v1</x:v>
      </x:c>
    </x:row>
    <x:row r="1909">
      <x:c r="A1909" s="38" t="str">
        <x:v>7月30日现场数据</x:v>
      </x:c>
      <x:c r="B1909" s="39" t="str">
        <x:v>2026-08-02T05:15:00</x:v>
      </x:c>
      <x:c r="C1909" s="39" t="str">
        <x:v>2026-08-02T05:30:00</x:v>
      </x:c>
      <x:c r="D1909" s="47" t="n">
        <x:v>15</x:v>
      </x:c>
      <x:c r="E1909" s="40" t="n">
        <x:v>15.8</x:v>
      </x:c>
      <x:c r="F1909" s="40" t="n">
        <x:v>14.185527801513672</x:v>
      </x:c>
      <x:c r="G1909" s="40" t="n">
        <x:v>15.8</x:v>
      </x:c>
      <x:c r="H1909" s="40" t="n">
        <x:f>F1909-E1909</x:f>
        <x:v>-1.6144721984863288</x:v>
      </x:c>
      <x:c r="I1909" s="40" t="n">
        <x:f>ABS(H1909)</x:f>
        <x:v>1.6144721984863288</x:v>
      </x:c>
      <x:c r="J1909" s="40" t="n">
        <x:f>H1909^2</x:f>
        <x:v>2.60652047968528</x:v>
      </x:c>
      <x:c r="K1909" s="40" t="n">
        <x:f>G1909-E1909</x:f>
        <x:v>0</x:v>
      </x:c>
      <x:c r="L1909" s="40" t="n">
        <x:f>ABS(K1909)</x:f>
        <x:v>0</x:v>
      </x:c>
      <x:c r="M1909" s="41" t="str">
        <x:v>lstm-soil-v1</x:v>
      </x:c>
    </x:row>
    <x:row r="1910">
      <x:c r="A1910" s="38" t="str">
        <x:v>7月30日现场数据</x:v>
      </x:c>
      <x:c r="B1910" s="39" t="str">
        <x:v>2026-08-02T05:15:00</x:v>
      </x:c>
      <x:c r="C1910" s="39" t="str">
        <x:v>2026-08-02T05:45:00</x:v>
      </x:c>
      <x:c r="D1910" s="47" t="n">
        <x:v>30</x:v>
      </x:c>
      <x:c r="E1910" s="40" t="n">
        <x:v>15.8</x:v>
      </x:c>
      <x:c r="F1910" s="40" t="n">
        <x:v>14.630546569824219</x:v>
      </x:c>
      <x:c r="G1910" s="40" t="n">
        <x:v>15.8</x:v>
      </x:c>
      <x:c r="H1910" s="40" t="n">
        <x:f>F1910-E1910</x:f>
        <x:v>-1.169453430175782</x:v>
      </x:c>
      <x:c r="I1910" s="40" t="n">
        <x:f>ABS(H1910)</x:f>
        <x:v>1.169453430175782</x:v>
      </x:c>
      <x:c r="J1910" s="40" t="n">
        <x:f>H1910^2</x:f>
        <x:v>1.3676213253499026</x:v>
      </x:c>
      <x:c r="K1910" s="40" t="n">
        <x:f>G1910-E1910</x:f>
        <x:v>0</x:v>
      </x:c>
      <x:c r="L1910" s="40" t="n">
        <x:f>ABS(K1910)</x:f>
        <x:v>0</x:v>
      </x:c>
      <x:c r="M1910" s="41" t="str">
        <x:v>lstm-soil-v1</x:v>
      </x:c>
    </x:row>
    <x:row r="1911">
      <x:c r="A1911" s="38" t="str">
        <x:v>7月30日现场数据</x:v>
      </x:c>
      <x:c r="B1911" s="39" t="str">
        <x:v>2026-08-02T05:15:00</x:v>
      </x:c>
      <x:c r="C1911" s="39" t="str">
        <x:v>2026-08-02T06:15:00</x:v>
      </x:c>
      <x:c r="D1911" s="47" t="n">
        <x:v>60</x:v>
      </x:c>
      <x:c r="E1911" s="40" t="n">
        <x:v>15.8</x:v>
      </x:c>
      <x:c r="F1911" s="40" t="n">
        <x:v>16.212844848632812</x:v>
      </x:c>
      <x:c r="G1911" s="40" t="n">
        <x:v>15.8</x:v>
      </x:c>
      <x:c r="H1911" s="40" t="n">
        <x:f>F1911-E1911</x:f>
        <x:v>0.4128448486328118</x:v>
      </x:c>
      <x:c r="I1911" s="40" t="n">
        <x:f>ABS(H1911)</x:f>
        <x:v>0.4128448486328118</x:v>
      </x:c>
      <x:c r="J1911" s="40" t="n">
        <x:f>H1911^2</x:f>
        <x:v>0.17044086904264927</x:v>
      </x:c>
      <x:c r="K1911" s="40" t="n">
        <x:f>G1911-E1911</x:f>
        <x:v>0</x:v>
      </x:c>
      <x:c r="L1911" s="40" t="n">
        <x:f>ABS(K1911)</x:f>
        <x:v>0</x:v>
      </x:c>
      <x:c r="M1911" s="41" t="str">
        <x:v>lstm-soil-v1</x:v>
      </x:c>
    </x:row>
    <x:row r="1912">
      <x:c r="A1912" s="38" t="str">
        <x:v>7月30日现场数据</x:v>
      </x:c>
      <x:c r="B1912" s="39" t="str">
        <x:v>2026-08-02T05:20:00</x:v>
      </x:c>
      <x:c r="C1912" s="39" t="str">
        <x:v>2026-08-02T05:25:00</x:v>
      </x:c>
      <x:c r="D1912" s="47" t="n">
        <x:v>5</x:v>
      </x:c>
      <x:c r="E1912" s="40" t="n">
        <x:v>15.8</x:v>
      </x:c>
      <x:c r="F1912" s="40" t="n">
        <x:v>14.113067626953125</x:v>
      </x:c>
      <x:c r="G1912" s="40" t="n">
        <x:v>15.8</x:v>
      </x:c>
      <x:c r="H1912" s="40" t="n">
        <x:f>F1912-E1912</x:f>
        <x:v>-1.6869323730468757</x:v>
      </x:c>
      <x:c r="I1912" s="40" t="n">
        <x:f>ABS(H1912)</x:f>
        <x:v>1.6869323730468757</x:v>
      </x:c>
      <x:c r="J1912" s="40" t="n">
        <x:f>H1912^2</x:f>
        <x:v>2.8457408312335635</x:v>
      </x:c>
      <x:c r="K1912" s="40" t="n">
        <x:f>G1912-E1912</x:f>
        <x:v>0</x:v>
      </x:c>
      <x:c r="L1912" s="40" t="n">
        <x:f>ABS(K1912)</x:f>
        <x:v>0</x:v>
      </x:c>
      <x:c r="M1912" s="41" t="str">
        <x:v>lstm-soil-v1</x:v>
      </x:c>
    </x:row>
    <x:row r="1913">
      <x:c r="A1913" s="38" t="str">
        <x:v>7月30日现场数据</x:v>
      </x:c>
      <x:c r="B1913" s="39" t="str">
        <x:v>2026-08-02T05:20:00</x:v>
      </x:c>
      <x:c r="C1913" s="39" t="str">
        <x:v>2026-08-02T05:35:00</x:v>
      </x:c>
      <x:c r="D1913" s="47" t="n">
        <x:v>15</x:v>
      </x:c>
      <x:c r="E1913" s="40" t="n">
        <x:v>15.8</x:v>
      </x:c>
      <x:c r="F1913" s="40" t="n">
        <x:v>14.186813354492188</x:v>
      </x:c>
      <x:c r="G1913" s="40" t="n">
        <x:v>15.8</x:v>
      </x:c>
      <x:c r="H1913" s="40" t="n">
        <x:f>F1913-E1913</x:f>
        <x:v>-1.6131866455078132</x:v>
      </x:c>
      <x:c r="I1913" s="40" t="n">
        <x:f>ABS(H1913)</x:f>
        <x:v>1.6131866455078132</x:v>
      </x:c>
      <x:c r="J1913" s="40" t="n">
        <x:f>H1913^2</x:f>
        <x:v>2.602371153244751</x:v>
      </x:c>
      <x:c r="K1913" s="40" t="n">
        <x:f>G1913-E1913</x:f>
        <x:v>0</x:v>
      </x:c>
      <x:c r="L1913" s="40" t="n">
        <x:f>ABS(K1913)</x:f>
        <x:v>0</x:v>
      </x:c>
      <x:c r="M1913" s="41" t="str">
        <x:v>lstm-soil-v1</x:v>
      </x:c>
    </x:row>
    <x:row r="1914">
      <x:c r="A1914" s="38" t="str">
        <x:v>7月30日现场数据</x:v>
      </x:c>
      <x:c r="B1914" s="39" t="str">
        <x:v>2026-08-02T05:20:00</x:v>
      </x:c>
      <x:c r="C1914" s="39" t="str">
        <x:v>2026-08-02T05:50:00</x:v>
      </x:c>
      <x:c r="D1914" s="47" t="n">
        <x:v>30</x:v>
      </x:c>
      <x:c r="E1914" s="40" t="n">
        <x:v>15.8</x:v>
      </x:c>
      <x:c r="F1914" s="40" t="n">
        <x:v>14.631656646728516</x:v>
      </x:c>
      <x:c r="G1914" s="40" t="n">
        <x:v>15.8</x:v>
      </x:c>
      <x:c r="H1914" s="40" t="n">
        <x:f>F1914-E1914</x:f>
        <x:v>-1.168343353271485</x:v>
      </x:c>
      <x:c r="I1914" s="40" t="n">
        <x:f>ABS(H1914)</x:f>
        <x:v>1.168343353271485</x:v>
      </x:c>
      <x:c r="J1914" s="40" t="n">
        <x:f>H1914^2</x:f>
        <x:v>1.3650261911336583</x:v>
      </x:c>
      <x:c r="K1914" s="40" t="n">
        <x:f>G1914-E1914</x:f>
        <x:v>0</x:v>
      </x:c>
      <x:c r="L1914" s="40" t="n">
        <x:f>ABS(K1914)</x:f>
        <x:v>0</x:v>
      </x:c>
      <x:c r="M1914" s="41" t="str">
        <x:v>lstm-soil-v1</x:v>
      </x:c>
    </x:row>
    <x:row r="1915">
      <x:c r="A1915" s="38" t="str">
        <x:v>7月30日现场数据</x:v>
      </x:c>
      <x:c r="B1915" s="39" t="str">
        <x:v>2026-08-02T05:20:00</x:v>
      </x:c>
      <x:c r="C1915" s="39" t="str">
        <x:v>2026-08-02T06:20:00</x:v>
      </x:c>
      <x:c r="D1915" s="47" t="n">
        <x:v>60</x:v>
      </x:c>
      <x:c r="E1915" s="40" t="n">
        <x:v>15.8</x:v>
      </x:c>
      <x:c r="F1915" s="40" t="n">
        <x:v>16.21434783935547</x:v>
      </x:c>
      <x:c r="G1915" s="40" t="n">
        <x:v>15.8</x:v>
      </x:c>
      <x:c r="H1915" s="40" t="n">
        <x:f>F1915-E1915</x:f>
        <x:v>0.41434783935546804</x:v>
      </x:c>
      <x:c r="I1915" s="40" t="n">
        <x:f>ABS(H1915)</x:f>
        <x:v>0.41434783935546804</x:v>
      </x:c>
      <x:c r="J1915" s="40" t="n">
        <x:f>H1915^2</x:f>
        <x:v>0.17168413197854476</x:v>
      </x:c>
      <x:c r="K1915" s="40" t="n">
        <x:f>G1915-E1915</x:f>
        <x:v>0</x:v>
      </x:c>
      <x:c r="L1915" s="40" t="n">
        <x:f>ABS(K1915)</x:f>
        <x:v>0</x:v>
      </x:c>
      <x:c r="M1915" s="41" t="str">
        <x:v>lstm-soil-v1</x:v>
      </x:c>
    </x:row>
    <x:row r="1916">
      <x:c r="A1916" s="38" t="str">
        <x:v>7月30日现场数据</x:v>
      </x:c>
      <x:c r="B1916" s="39" t="str">
        <x:v>2026-08-02T05:25:00</x:v>
      </x:c>
      <x:c r="C1916" s="39" t="str">
        <x:v>2026-08-02T05:30:00</x:v>
      </x:c>
      <x:c r="D1916" s="47" t="n">
        <x:v>5</x:v>
      </x:c>
      <x:c r="E1916" s="40" t="n">
        <x:v>15.8</x:v>
      </x:c>
      <x:c r="F1916" s="40" t="n">
        <x:v>14.11307144165039</x:v>
      </x:c>
      <x:c r="G1916" s="40" t="n">
        <x:v>15.8</x:v>
      </x:c>
      <x:c r="H1916" s="40" t="n">
        <x:f>F1916-E1916</x:f>
        <x:v>-1.68692855834961</x:v>
      </x:c>
      <x:c r="I1916" s="40" t="n">
        <x:f>ABS(H1916)</x:f>
        <x:v>1.68692855834961</x:v>
      </x:c>
      <x:c r="J1916" s="40" t="n">
        <x:f>H1916^2</x:f>
        <x:v>2.845727960975494</x:v>
      </x:c>
      <x:c r="K1916" s="40" t="n">
        <x:f>G1916-E1916</x:f>
        <x:v>0</x:v>
      </x:c>
      <x:c r="L1916" s="40" t="n">
        <x:f>ABS(K1916)</x:f>
        <x:v>0</x:v>
      </x:c>
      <x:c r="M1916" s="41" t="str">
        <x:v>lstm-soil-v1</x:v>
      </x:c>
    </x:row>
    <x:row r="1917">
      <x:c r="A1917" s="38" t="str">
        <x:v>7月30日现场数据</x:v>
      </x:c>
      <x:c r="B1917" s="39" t="str">
        <x:v>2026-08-02T05:25:00</x:v>
      </x:c>
      <x:c r="C1917" s="39" t="str">
        <x:v>2026-08-02T05:40:00</x:v>
      </x:c>
      <x:c r="D1917" s="47" t="n">
        <x:v>15</x:v>
      </x:c>
      <x:c r="E1917" s="40" t="n">
        <x:v>15.8</x:v>
      </x:c>
      <x:c r="F1917" s="40" t="n">
        <x:v>14.187847137451172</x:v>
      </x:c>
      <x:c r="G1917" s="40" t="n">
        <x:v>15.8</x:v>
      </x:c>
      <x:c r="H1917" s="40" t="n">
        <x:f>F1917-E1917</x:f>
        <x:v>-1.6121528625488288</x:v>
      </x:c>
      <x:c r="I1917" s="40" t="n">
        <x:f>ABS(H1917)</x:f>
        <x:v>1.6121528625488288</x:v>
      </x:c>
      <x:c r="J1917" s="40" t="n">
        <x:f>H1917^2</x:f>
        <x:v>2.599036852224383</x:v>
      </x:c>
      <x:c r="K1917" s="40" t="n">
        <x:f>G1917-E1917</x:f>
        <x:v>0</x:v>
      </x:c>
      <x:c r="L1917" s="40" t="n">
        <x:f>ABS(K1917)</x:f>
        <x:v>0</x:v>
      </x:c>
      <x:c r="M1917" s="41" t="str">
        <x:v>lstm-soil-v1</x:v>
      </x:c>
    </x:row>
    <x:row r="1918">
      <x:c r="A1918" s="38" t="str">
        <x:v>7月30日现场数据</x:v>
      </x:c>
      <x:c r="B1918" s="39" t="str">
        <x:v>2026-08-02T05:25:00</x:v>
      </x:c>
      <x:c r="C1918" s="39" t="str">
        <x:v>2026-08-02T05:55:00</x:v>
      </x:c>
      <x:c r="D1918" s="47" t="n">
        <x:v>30</x:v>
      </x:c>
      <x:c r="E1918" s="40" t="n">
        <x:v>15.7</x:v>
      </x:c>
      <x:c r="F1918" s="40" t="n">
        <x:v>14.631175994873047</x:v>
      </x:c>
      <x:c r="G1918" s="40" t="n">
        <x:v>15.8</x:v>
      </x:c>
      <x:c r="H1918" s="40" t="n">
        <x:f>F1918-E1918</x:f>
        <x:v>-1.0688240051269524</x:v>
      </x:c>
      <x:c r="I1918" s="40" t="n">
        <x:f>ABS(H1918)</x:f>
        <x:v>1.0688240051269524</x:v>
      </x:c>
      <x:c r="J1918" s="40" t="n">
        <x:f>H1918^2</x:f>
        <x:v>1.1423847539356196</x:v>
      </x:c>
      <x:c r="K1918" s="40" t="n">
        <x:f>G1918-E1918</x:f>
        <x:v>0.10000000000000142</x:v>
      </x:c>
      <x:c r="L1918" s="40" t="n">
        <x:f>ABS(K1918)</x:f>
        <x:v>0.10000000000000142</x:v>
      </x:c>
      <x:c r="M1918" s="41" t="str">
        <x:v>lstm-soil-v1</x:v>
      </x:c>
    </x:row>
    <x:row r="1919">
      <x:c r="A1919" s="38" t="str">
        <x:v>7月30日现场数据</x:v>
      </x:c>
      <x:c r="B1919" s="39" t="str">
        <x:v>2026-08-02T05:25:00</x:v>
      </x:c>
      <x:c r="C1919" s="39" t="str">
        <x:v>2026-08-02T06:25:00</x:v>
      </x:c>
      <x:c r="D1919" s="47" t="n">
        <x:v>60</x:v>
      </x:c>
      <x:c r="E1919" s="40" t="n">
        <x:v>15.7</x:v>
      </x:c>
      <x:c r="F1919" s="40" t="n">
        <x:v>16.21274185180664</x:v>
      </x:c>
      <x:c r="G1919" s="40" t="n">
        <x:v>15.8</x:v>
      </x:c>
      <x:c r="H1919" s="40" t="n">
        <x:f>F1919-E1919</x:f>
        <x:v>0.5127418518066413</x:v>
      </x:c>
      <x:c r="I1919" s="40" t="n">
        <x:f>ABS(H1919)</x:f>
        <x:v>0.5127418518066413</x:v>
      </x:c>
      <x:c r="J1919" s="40" t="n">
        <x:f>H1919^2</x:f>
        <x:v>0.26290420659410374</x:v>
      </x:c>
      <x:c r="K1919" s="40" t="n">
        <x:f>G1919-E1919</x:f>
        <x:v>0.10000000000000142</x:v>
      </x:c>
      <x:c r="L1919" s="40" t="n">
        <x:f>ABS(K1919)</x:f>
        <x:v>0.10000000000000142</x:v>
      </x:c>
      <x:c r="M1919" s="41" t="str">
        <x:v>lstm-soil-v1</x:v>
      </x:c>
    </x:row>
    <x:row r="1920">
      <x:c r="A1920" s="38" t="str">
        <x:v>7月30日现场数据</x:v>
      </x:c>
      <x:c r="B1920" s="39" t="str">
        <x:v>2026-08-02T05:30:00</x:v>
      </x:c>
      <x:c r="C1920" s="39" t="str">
        <x:v>2026-08-02T05:35:00</x:v>
      </x:c>
      <x:c r="D1920" s="47" t="n">
        <x:v>5</x:v>
      </x:c>
      <x:c r="E1920" s="40" t="n">
        <x:v>15.8</x:v>
      </x:c>
      <x:c r="F1920" s="40" t="n">
        <x:v>14.113750457763672</x:v>
      </x:c>
      <x:c r="G1920" s="40" t="n">
        <x:v>15.8</x:v>
      </x:c>
      <x:c r="H1920" s="40" t="n">
        <x:f>F1920-E1920</x:f>
        <x:v>-1.6862495422363288</x:v>
      </x:c>
      <x:c r="I1920" s="40" t="n">
        <x:f>ABS(H1920)</x:f>
        <x:v>1.6862495422363288</x:v>
      </x:c>
      <x:c r="J1920" s="40" t="n">
        <x:f>H1920^2</x:f>
        <x:v>2.8434375186922285</x:v>
      </x:c>
      <x:c r="K1920" s="40" t="n">
        <x:f>G1920-E1920</x:f>
        <x:v>0</x:v>
      </x:c>
      <x:c r="L1920" s="40" t="n">
        <x:f>ABS(K1920)</x:f>
        <x:v>0</x:v>
      </x:c>
      <x:c r="M1920" s="41" t="str">
        <x:v>lstm-soil-v1</x:v>
      </x:c>
    </x:row>
    <x:row r="1921">
      <x:c r="A1921" s="38" t="str">
        <x:v>7月30日现场数据</x:v>
      </x:c>
      <x:c r="B1921" s="39" t="str">
        <x:v>2026-08-02T05:30:00</x:v>
      </x:c>
      <x:c r="C1921" s="39" t="str">
        <x:v>2026-08-02T05:45:00</x:v>
      </x:c>
      <x:c r="D1921" s="47" t="n">
        <x:v>15</x:v>
      </x:c>
      <x:c r="E1921" s="40" t="n">
        <x:v>15.8</x:v>
      </x:c>
      <x:c r="F1921" s="40" t="n">
        <x:v>14.18796157836914</x:v>
      </x:c>
      <x:c r="G1921" s="40" t="n">
        <x:v>15.8</x:v>
      </x:c>
      <x:c r="H1921" s="40" t="n">
        <x:f>F1921-E1921</x:f>
        <x:v>-1.61203842163086</x:v>
      </x:c>
      <x:c r="I1921" s="40" t="n">
        <x:f>ABS(H1921)</x:f>
        <x:v>1.61203842163086</x:v>
      </x:c>
      <x:c r="J1921" s="40" t="n">
        <x:f>H1921^2</x:f>
        <x:v>2.5986678728141146</x:v>
      </x:c>
      <x:c r="K1921" s="40" t="n">
        <x:f>G1921-E1921</x:f>
        <x:v>0</x:v>
      </x:c>
      <x:c r="L1921" s="40" t="n">
        <x:f>ABS(K1921)</x:f>
        <x:v>0</x:v>
      </x:c>
      <x:c r="M1921" s="41" t="str">
        <x:v>lstm-soil-v1</x:v>
      </x:c>
    </x:row>
    <x:row r="1922">
      <x:c r="A1922" s="38" t="str">
        <x:v>7月30日现场数据</x:v>
      </x:c>
      <x:c r="B1922" s="39" t="str">
        <x:v>2026-08-02T05:30:00</x:v>
      </x:c>
      <x:c r="C1922" s="39" t="str">
        <x:v>2026-08-02T06:00:00</x:v>
      </x:c>
      <x:c r="D1922" s="47" t="n">
        <x:v>30</x:v>
      </x:c>
      <x:c r="E1922" s="40" t="n">
        <x:v>15.8</x:v>
      </x:c>
      <x:c r="F1922" s="40" t="n">
        <x:v>14.631462097167969</x:v>
      </x:c>
      <x:c r="G1922" s="40" t="n">
        <x:v>15.8</x:v>
      </x:c>
      <x:c r="H1922" s="40" t="n">
        <x:f>F1922-E1922</x:f>
        <x:v>-1.168537902832032</x:v>
      </x:c>
      <x:c r="I1922" s="40" t="n">
        <x:f>ABS(H1922)</x:f>
        <x:v>1.168537902832032</x:v>
      </x:c>
      <x:c r="J1922" s="40" t="n">
        <x:f>H1922^2</x:f>
        <x:v>1.3654808303550834</x:v>
      </x:c>
      <x:c r="K1922" s="40" t="n">
        <x:f>G1922-E1922</x:f>
        <x:v>0</x:v>
      </x:c>
      <x:c r="L1922" s="40" t="n">
        <x:f>ABS(K1922)</x:f>
        <x:v>0</x:v>
      </x:c>
      <x:c r="M1922" s="41" t="str">
        <x:v>lstm-soil-v1</x:v>
      </x:c>
    </x:row>
    <x:row r="1923">
      <x:c r="A1923" s="38" t="str">
        <x:v>7月30日现场数据</x:v>
      </x:c>
      <x:c r="B1923" s="39" t="str">
        <x:v>2026-08-02T05:30:00</x:v>
      </x:c>
      <x:c r="C1923" s="39" t="str">
        <x:v>2026-08-02T06:30:00</x:v>
      </x:c>
      <x:c r="D1923" s="47" t="n">
        <x:v>60</x:v>
      </x:c>
      <x:c r="E1923" s="40" t="n">
        <x:v>15.7</x:v>
      </x:c>
      <x:c r="F1923" s="40" t="n">
        <x:v>16.213600158691406</x:v>
      </x:c>
      <x:c r="G1923" s="40" t="n">
        <x:v>15.8</x:v>
      </x:c>
      <x:c r="H1923" s="40" t="n">
        <x:f>F1923-E1923</x:f>
        <x:v>0.513600158691407</x:v>
      </x:c>
      <x:c r="I1923" s="40" t="n">
        <x:f>ABS(H1923)</x:f>
        <x:v>0.513600158691407</x:v>
      </x:c>
      <x:c r="J1923" s="40" t="n">
        <x:f>H1923^2</x:f>
        <x:v>0.2637851230078384</x:v>
      </x:c>
      <x:c r="K1923" s="40" t="n">
        <x:f>G1923-E1923</x:f>
        <x:v>0.10000000000000142</x:v>
      </x:c>
      <x:c r="L1923" s="40" t="n">
        <x:f>ABS(K1923)</x:f>
        <x:v>0.10000000000000142</x:v>
      </x:c>
      <x:c r="M1923" s="41" t="str">
        <x:v>lstm-soil-v1</x:v>
      </x:c>
    </x:row>
    <x:row r="1924">
      <x:c r="A1924" s="38" t="str">
        <x:v>7月30日现场数据</x:v>
      </x:c>
      <x:c r="B1924" s="39" t="str">
        <x:v>2026-08-02T05:35:00</x:v>
      </x:c>
      <x:c r="C1924" s="39" t="str">
        <x:v>2026-08-02T05:40:00</x:v>
      </x:c>
      <x:c r="D1924" s="47" t="n">
        <x:v>5</x:v>
      </x:c>
      <x:c r="E1924" s="40" t="n">
        <x:v>15.8</x:v>
      </x:c>
      <x:c r="F1924" s="40" t="n">
        <x:v>14.114387512207031</x:v>
      </x:c>
      <x:c r="G1924" s="40" t="n">
        <x:v>15.8</x:v>
      </x:c>
      <x:c r="H1924" s="40" t="n">
        <x:f>F1924-E1924</x:f>
        <x:v>-1.6856124877929695</x:v>
      </x:c>
      <x:c r="I1924" s="40" t="n">
        <x:f>ABS(H1924)</x:f>
        <x:v>1.6856124877929695</x:v>
      </x:c>
      <x:c r="J1924" s="40" t="n">
        <x:f>H1924^2</x:f>
        <x:v>2.8412894590036037</x:v>
      </x:c>
      <x:c r="K1924" s="40" t="n">
        <x:f>G1924-E1924</x:f>
        <x:v>0</x:v>
      </x:c>
      <x:c r="L1924" s="40" t="n">
        <x:f>ABS(K1924)</x:f>
        <x:v>0</x:v>
      </x:c>
      <x:c r="M1924" s="41" t="str">
        <x:v>lstm-soil-v1</x:v>
      </x:c>
    </x:row>
    <x:row r="1925">
      <x:c r="A1925" s="38" t="str">
        <x:v>7月30日现场数据</x:v>
      </x:c>
      <x:c r="B1925" s="39" t="str">
        <x:v>2026-08-02T05:35:00</x:v>
      </x:c>
      <x:c r="C1925" s="39" t="str">
        <x:v>2026-08-02T05:50:00</x:v>
      </x:c>
      <x:c r="D1925" s="47" t="n">
        <x:v>15</x:v>
      </x:c>
      <x:c r="E1925" s="40" t="n">
        <x:v>15.8</x:v>
      </x:c>
      <x:c r="F1925" s="40" t="n">
        <x:v>14.188102722167969</x:v>
      </x:c>
      <x:c r="G1925" s="40" t="n">
        <x:v>15.8</x:v>
      </x:c>
      <x:c r="H1925" s="40" t="n">
        <x:f>F1925-E1925</x:f>
        <x:v>-1.611897277832032</x:v>
      </x:c>
      <x:c r="I1925" s="40" t="n">
        <x:f>ABS(H1925)</x:f>
        <x:v>1.611897277832032</x:v>
      </x:c>
      <x:c r="J1925" s="40" t="n">
        <x:f>H1925^2</x:f>
        <x:v>2.598212834282315</x:v>
      </x:c>
      <x:c r="K1925" s="40" t="n">
        <x:f>G1925-E1925</x:f>
        <x:v>0</x:v>
      </x:c>
      <x:c r="L1925" s="40" t="n">
        <x:f>ABS(K1925)</x:f>
        <x:v>0</x:v>
      </x:c>
      <x:c r="M1925" s="41" t="str">
        <x:v>lstm-soil-v1</x:v>
      </x:c>
    </x:row>
    <x:row r="1926">
      <x:c r="A1926" s="38" t="str">
        <x:v>7月30日现场数据</x:v>
      </x:c>
      <x:c r="B1926" s="39" t="str">
        <x:v>2026-08-02T05:35:00</x:v>
      </x:c>
      <x:c r="C1926" s="39" t="str">
        <x:v>2026-08-02T06:05:00</x:v>
      </x:c>
      <x:c r="D1926" s="47" t="n">
        <x:v>30</x:v>
      </x:c>
      <x:c r="E1926" s="40" t="n">
        <x:v>15.8</x:v>
      </x:c>
      <x:c r="F1926" s="40" t="n">
        <x:v>14.632011413574219</x:v>
      </x:c>
      <x:c r="G1926" s="40" t="n">
        <x:v>15.8</x:v>
      </x:c>
      <x:c r="H1926" s="40" t="n">
        <x:f>F1926-E1926</x:f>
        <x:v>-1.167988586425782</x:v>
      </x:c>
      <x:c r="I1926" s="40" t="n">
        <x:f>ABS(H1926)</x:f>
        <x:v>1.167988586425782</x:v>
      </x:c>
      <x:c r="J1926" s="40" t="n">
        <x:f>H1926^2</x:f>
        <x:v>1.3641973380208963</x:v>
      </x:c>
      <x:c r="K1926" s="40" t="n">
        <x:f>G1926-E1926</x:f>
        <x:v>0</x:v>
      </x:c>
      <x:c r="L1926" s="40" t="n">
        <x:f>ABS(K1926)</x:f>
        <x:v>0</x:v>
      </x:c>
      <x:c r="M1926" s="41" t="str">
        <x:v>lstm-soil-v1</x:v>
      </x:c>
    </x:row>
    <x:row r="1927">
      <x:c r="A1927" s="38" t="str">
        <x:v>7月30日现场数据</x:v>
      </x:c>
      <x:c r="B1927" s="39" t="str">
        <x:v>2026-08-02T05:35:00</x:v>
      </x:c>
      <x:c r="C1927" s="39" t="str">
        <x:v>2026-08-02T06:35:00</x:v>
      </x:c>
      <x:c r="D1927" s="47" t="n">
        <x:v>60</x:v>
      </x:c>
      <x:c r="E1927" s="40" t="n">
        <x:v>15.7</x:v>
      </x:c>
      <x:c r="F1927" s="40" t="n">
        <x:v>16.214397430419922</x:v>
      </x:c>
      <x:c r="G1927" s="40" t="n">
        <x:v>15.8</x:v>
      </x:c>
      <x:c r="H1927" s="40" t="n">
        <x:f>F1927-E1927</x:f>
        <x:v>0.5143974304199226</x:v>
      </x:c>
      <x:c r="I1927" s="40" t="n">
        <x:f>ABS(H1927)</x:f>
        <x:v>0.5143974304199226</x:v>
      </x:c>
      <x:c r="J1927" s="40" t="n">
        <x:f>H1927^2</x:f>
        <x:v>0.2646047164226191</x:v>
      </x:c>
      <x:c r="K1927" s="40" t="n">
        <x:f>G1927-E1927</x:f>
        <x:v>0.10000000000000142</x:v>
      </x:c>
      <x:c r="L1927" s="40" t="n">
        <x:f>ABS(K1927)</x:f>
        <x:v>0.10000000000000142</x:v>
      </x:c>
      <x:c r="M1927" s="41" t="str">
        <x:v>lstm-soil-v1</x:v>
      </x:c>
    </x:row>
    <x:row r="1928">
      <x:c r="A1928" s="38" t="str">
        <x:v>7月30日现场数据</x:v>
      </x:c>
      <x:c r="B1928" s="39" t="str">
        <x:v>2026-08-02T05:40:00</x:v>
      </x:c>
      <x:c r="C1928" s="39" t="str">
        <x:v>2026-08-02T05:45:00</x:v>
      </x:c>
      <x:c r="D1928" s="47" t="n">
        <x:v>5</x:v>
      </x:c>
      <x:c r="E1928" s="40" t="n">
        <x:v>15.8</x:v>
      </x:c>
      <x:c r="F1928" s="40" t="n">
        <x:v>14.114898681640625</x:v>
      </x:c>
      <x:c r="G1928" s="40" t="n">
        <x:v>15.8</x:v>
      </x:c>
      <x:c r="H1928" s="40" t="n">
        <x:f>F1928-E1928</x:f>
        <x:v>-1.6851013183593757</x:v>
      </x:c>
      <x:c r="I1928" s="40" t="n">
        <x:f>ABS(H1928)</x:f>
        <x:v>1.6851013183593757</x:v>
      </x:c>
      <x:c r="J1928" s="40" t="n">
        <x:f>H1928^2</x:f>
        <x:v>2.839566453136506</x:v>
      </x:c>
      <x:c r="K1928" s="40" t="n">
        <x:f>G1928-E1928</x:f>
        <x:v>0</x:v>
      </x:c>
      <x:c r="L1928" s="40" t="n">
        <x:f>ABS(K1928)</x:f>
        <x:v>0</x:v>
      </x:c>
      <x:c r="M1928" s="41" t="str">
        <x:v>lstm-soil-v1</x:v>
      </x:c>
    </x:row>
    <x:row r="1929">
      <x:c r="A1929" s="38" t="str">
        <x:v>7月30日现场数据</x:v>
      </x:c>
      <x:c r="B1929" s="39" t="str">
        <x:v>2026-08-02T05:40:00</x:v>
      </x:c>
      <x:c r="C1929" s="39" t="str">
        <x:v>2026-08-02T05:55:00</x:v>
      </x:c>
      <x:c r="D1929" s="47" t="n">
        <x:v>15</x:v>
      </x:c>
      <x:c r="E1929" s="40" t="n">
        <x:v>15.7</x:v>
      </x:c>
      <x:c r="F1929" s="40" t="n">
        <x:v>14.18829345703125</x:v>
      </x:c>
      <x:c r="G1929" s="40" t="n">
        <x:v>15.8</x:v>
      </x:c>
      <x:c r="H1929" s="40" t="n">
        <x:f>F1929-E1929</x:f>
        <x:v>-1.5117065429687493</x:v>
      </x:c>
      <x:c r="I1929" s="40" t="n">
        <x:f>ABS(H1929)</x:f>
        <x:v>1.5117065429687493</x:v>
      </x:c>
      <x:c r="J1929" s="40" t="n">
        <x:f>H1929^2</x:f>
        <x:v>2.285256672054527</x:v>
      </x:c>
      <x:c r="K1929" s="40" t="n">
        <x:f>G1929-E1929</x:f>
        <x:v>0.10000000000000142</x:v>
      </x:c>
      <x:c r="L1929" s="40" t="n">
        <x:f>ABS(K1929)</x:f>
        <x:v>0.10000000000000142</x:v>
      </x:c>
      <x:c r="M1929" s="41" t="str">
        <x:v>lstm-soil-v1</x:v>
      </x:c>
    </x:row>
    <x:row r="1930">
      <x:c r="A1930" s="38" t="str">
        <x:v>7月30日现场数据</x:v>
      </x:c>
      <x:c r="B1930" s="39" t="str">
        <x:v>2026-08-02T05:40:00</x:v>
      </x:c>
      <x:c r="C1930" s="39" t="str">
        <x:v>2026-08-02T06:10:00</x:v>
      </x:c>
      <x:c r="D1930" s="47" t="n">
        <x:v>30</x:v>
      </x:c>
      <x:c r="E1930" s="40" t="n">
        <x:v>15.7</x:v>
      </x:c>
      <x:c r="F1930" s="40" t="n">
        <x:v>14.632553100585938</x:v>
      </x:c>
      <x:c r="G1930" s="40" t="n">
        <x:v>15.8</x:v>
      </x:c>
      <x:c r="H1930" s="40" t="n">
        <x:f>F1930-E1930</x:f>
        <x:v>-1.0674468994140618</x:v>
      </x:c>
      <x:c r="I1930" s="40" t="n">
        <x:f>ABS(H1930)</x:f>
        <x:v>1.0674468994140618</x:v>
      </x:c>
      <x:c r="J1930" s="40" t="n">
        <x:f>H1930^2</x:f>
        <x:v>1.1394428830686942</x:v>
      </x:c>
      <x:c r="K1930" s="40" t="n">
        <x:f>G1930-E1930</x:f>
        <x:v>0.10000000000000142</x:v>
      </x:c>
      <x:c r="L1930" s="40" t="n">
        <x:f>ABS(K1930)</x:f>
        <x:v>0.10000000000000142</x:v>
      </x:c>
      <x:c r="M1930" s="41" t="str">
        <x:v>lstm-soil-v1</x:v>
      </x:c>
    </x:row>
    <x:row r="1931">
      <x:c r="A1931" s="38" t="str">
        <x:v>7月30日现场数据</x:v>
      </x:c>
      <x:c r="B1931" s="39" t="str">
        <x:v>2026-08-02T05:40:00</x:v>
      </x:c>
      <x:c r="C1931" s="39" t="str">
        <x:v>2026-08-02T06:40:00</x:v>
      </x:c>
      <x:c r="D1931" s="47" t="n">
        <x:v>60</x:v>
      </x:c>
      <x:c r="E1931" s="40" t="n">
        <x:v>15.7</x:v>
      </x:c>
      <x:c r="F1931" s="40" t="n">
        <x:v>16.215065002441406</x:v>
      </x:c>
      <x:c r="G1931" s="40" t="n">
        <x:v>15.8</x:v>
      </x:c>
      <x:c r="H1931" s="40" t="n">
        <x:f>F1931-E1931</x:f>
        <x:v>0.515065002441407</x:v>
      </x:c>
      <x:c r="I1931" s="40" t="n">
        <x:f>ABS(H1931)</x:f>
        <x:v>0.515065002441407</x:v>
      </x:c>
      <x:c r="J1931" s="40" t="n">
        <x:f>H1931^2</x:f>
        <x:v>0.2652919567399666</x:v>
      </x:c>
      <x:c r="K1931" s="40" t="n">
        <x:f>G1931-E1931</x:f>
        <x:v>0.10000000000000142</x:v>
      </x:c>
      <x:c r="L1931" s="40" t="n">
        <x:f>ABS(K1931)</x:f>
        <x:v>0.10000000000000142</x:v>
      </x:c>
      <x:c r="M1931" s="41" t="str">
        <x:v>lstm-soil-v1</x:v>
      </x:c>
    </x:row>
    <x:row r="1932">
      <x:c r="A1932" s="38" t="str">
        <x:v>7月30日现场数据</x:v>
      </x:c>
      <x:c r="B1932" s="39" t="str">
        <x:v>2026-08-02T05:45:00</x:v>
      </x:c>
      <x:c r="C1932" s="39" t="str">
        <x:v>2026-08-02T05:50:00</x:v>
      </x:c>
      <x:c r="D1932" s="47" t="n">
        <x:v>5</x:v>
      </x:c>
      <x:c r="E1932" s="40" t="n">
        <x:v>15.8</x:v>
      </x:c>
      <x:c r="F1932" s="40" t="n">
        <x:v>14.115291595458984</x:v>
      </x:c>
      <x:c r="G1932" s="40" t="n">
        <x:v>15.8</x:v>
      </x:c>
      <x:c r="H1932" s="40" t="n">
        <x:f>F1932-E1932</x:f>
        <x:v>-1.6847084045410163</x:v>
      </x:c>
      <x:c r="I1932" s="40" t="n">
        <x:f>ABS(H1932)</x:f>
        <x:v>1.6847084045410163</x:v>
      </x:c>
      <x:c r="J1932" s="40" t="n">
        <x:f>H1932^2</x:f>
        <x:v>2.8382424083311366</x:v>
      </x:c>
      <x:c r="K1932" s="40" t="n">
        <x:f>G1932-E1932</x:f>
        <x:v>0</x:v>
      </x:c>
      <x:c r="L1932" s="40" t="n">
        <x:f>ABS(K1932)</x:f>
        <x:v>0</x:v>
      </x:c>
      <x:c r="M1932" s="41" t="str">
        <x:v>lstm-soil-v1</x:v>
      </x:c>
    </x:row>
    <x:row r="1933">
      <x:c r="A1933" s="38" t="str">
        <x:v>7月30日现场数据</x:v>
      </x:c>
      <x:c r="B1933" s="39" t="str">
        <x:v>2026-08-02T05:45:00</x:v>
      </x:c>
      <x:c r="C1933" s="39" t="str">
        <x:v>2026-08-02T06:00:00</x:v>
      </x:c>
      <x:c r="D1933" s="47" t="n">
        <x:v>15</x:v>
      </x:c>
      <x:c r="E1933" s="40" t="n">
        <x:v>15.8</x:v>
      </x:c>
      <x:c r="F1933" s="40" t="n">
        <x:v>14.188514709472656</x:v>
      </x:c>
      <x:c r="G1933" s="40" t="n">
        <x:v>15.8</x:v>
      </x:c>
      <x:c r="H1933" s="40" t="n">
        <x:f>F1933-E1933</x:f>
        <x:v>-1.6114852905273445</x:v>
      </x:c>
      <x:c r="I1933" s="40" t="n">
        <x:f>ABS(H1933)</x:f>
        <x:v>1.6114852905273445</x:v>
      </x:c>
      <x:c r="J1933" s="40" t="n">
        <x:f>H1933^2</x:f>
        <x:v>2.5968848415859997</x:v>
      </x:c>
      <x:c r="K1933" s="40" t="n">
        <x:f>G1933-E1933</x:f>
        <x:v>0</x:v>
      </x:c>
      <x:c r="L1933" s="40" t="n">
        <x:f>ABS(K1933)</x:f>
        <x:v>0</x:v>
      </x:c>
      <x:c r="M1933" s="41" t="str">
        <x:v>lstm-soil-v1</x:v>
      </x:c>
    </x:row>
    <x:row r="1934">
      <x:c r="A1934" s="38" t="str">
        <x:v>7月30日现场数据</x:v>
      </x:c>
      <x:c r="B1934" s="39" t="str">
        <x:v>2026-08-02T05:45:00</x:v>
      </x:c>
      <x:c r="C1934" s="39" t="str">
        <x:v>2026-08-02T06:15:00</x:v>
      </x:c>
      <x:c r="D1934" s="47" t="n">
        <x:v>30</x:v>
      </x:c>
      <x:c r="E1934" s="40" t="n">
        <x:v>15.8</x:v>
      </x:c>
      <x:c r="F1934" s="40" t="n">
        <x:v>14.63299560546875</x:v>
      </x:c>
      <x:c r="G1934" s="40" t="n">
        <x:v>15.8</x:v>
      </x:c>
      <x:c r="H1934" s="40" t="n">
        <x:f>F1934-E1934</x:f>
        <x:v>-1.1670043945312507</x:v>
      </x:c>
      <x:c r="I1934" s="40" t="n">
        <x:f>ABS(H1934)</x:f>
        <x:v>1.1670043945312507</x:v>
      </x:c>
      <x:c r="J1934" s="40" t="n">
        <x:f>H1934^2</x:f>
        <x:v>1.361899256855251</x:v>
      </x:c>
      <x:c r="K1934" s="40" t="n">
        <x:f>G1934-E1934</x:f>
        <x:v>0</x:v>
      </x:c>
      <x:c r="L1934" s="40" t="n">
        <x:f>ABS(K1934)</x:f>
        <x:v>0</x:v>
      </x:c>
      <x:c r="M1934" s="41" t="str">
        <x:v>lstm-soil-v1</x:v>
      </x:c>
    </x:row>
    <x:row r="1935">
      <x:c r="A1935" s="38" t="str">
        <x:v>7月30日现场数据</x:v>
      </x:c>
      <x:c r="B1935" s="39" t="str">
        <x:v>2026-08-02T05:45:00</x:v>
      </x:c>
      <x:c r="C1935" s="39" t="str">
        <x:v>2026-08-02T06:45:00</x:v>
      </x:c>
      <x:c r="D1935" s="47" t="n">
        <x:v>60</x:v>
      </x:c>
      <x:c r="E1935" s="40" t="n">
        <x:v>15.7</x:v>
      </x:c>
      <x:c r="F1935" s="40" t="n">
        <x:v>16.21556854248047</x:v>
      </x:c>
      <x:c r="G1935" s="40" t="n">
        <x:v>15.8</x:v>
      </x:c>
      <x:c r="H1935" s="40" t="n">
        <x:f>F1935-E1935</x:f>
        <x:v>0.5155685424804695</x:v>
      </x:c>
      <x:c r="I1935" s="40" t="n">
        <x:f>ABS(H1935)</x:f>
        <x:v>0.5155685424804695</x:v>
      </x:c>
      <x:c r="J1935" s="40" t="n">
        <x:f>H1935^2</x:f>
        <x:v>0.26581092199543566</x:v>
      </x:c>
      <x:c r="K1935" s="40" t="n">
        <x:f>G1935-E1935</x:f>
        <x:v>0.10000000000000142</x:v>
      </x:c>
      <x:c r="L1935" s="40" t="n">
        <x:f>ABS(K1935)</x:f>
        <x:v>0.10000000000000142</x:v>
      </x:c>
      <x:c r="M1935" s="41" t="str">
        <x:v>lstm-soil-v1</x:v>
      </x:c>
    </x:row>
    <x:row r="1936">
      <x:c r="A1936" s="38" t="str">
        <x:v>7月30日现场数据</x:v>
      </x:c>
      <x:c r="B1936" s="39" t="str">
        <x:v>2026-08-02T05:50:00</x:v>
      </x:c>
      <x:c r="C1936" s="39" t="str">
        <x:v>2026-08-02T05:55:00</x:v>
      </x:c>
      <x:c r="D1936" s="47" t="n">
        <x:v>5</x:v>
      </x:c>
      <x:c r="E1936" s="40" t="n">
        <x:v>15.7</x:v>
      </x:c>
      <x:c r="F1936" s="40" t="n">
        <x:v>14.11556625366211</x:v>
      </x:c>
      <x:c r="G1936" s="40" t="n">
        <x:v>15.8</x:v>
      </x:c>
      <x:c r="H1936" s="40" t="n">
        <x:f>F1936-E1936</x:f>
        <x:v>-1.58443374633789</x:v>
      </x:c>
      <x:c r="I1936" s="40" t="n">
        <x:f>ABS(H1936)</x:f>
        <x:v>1.58443374633789</x:v>
      </x:c>
      <x:c r="J1936" s="40" t="n">
        <x:f>H1936^2</x:f>
        <x:v>2.510430296534321</x:v>
      </x:c>
      <x:c r="K1936" s="40" t="n">
        <x:f>G1936-E1936</x:f>
        <x:v>0.10000000000000142</x:v>
      </x:c>
      <x:c r="L1936" s="40" t="n">
        <x:f>ABS(K1936)</x:f>
        <x:v>0.10000000000000142</x:v>
      </x:c>
      <x:c r="M1936" s="41" t="str">
        <x:v>lstm-soil-v1</x:v>
      </x:c>
    </x:row>
    <x:row r="1937">
      <x:c r="A1937" s="38" t="str">
        <x:v>7月30日现场数据</x:v>
      </x:c>
      <x:c r="B1937" s="39" t="str">
        <x:v>2026-08-02T05:50:00</x:v>
      </x:c>
      <x:c r="C1937" s="39" t="str">
        <x:v>2026-08-02T06:05:00</x:v>
      </x:c>
      <x:c r="D1937" s="47" t="n">
        <x:v>15</x:v>
      </x:c>
      <x:c r="E1937" s="40" t="n">
        <x:v>15.8</x:v>
      </x:c>
      <x:c r="F1937" s="40" t="n">
        <x:v>14.188716888427734</x:v>
      </x:c>
      <x:c r="G1937" s="40" t="n">
        <x:v>15.8</x:v>
      </x:c>
      <x:c r="H1937" s="40" t="n">
        <x:f>F1937-E1937</x:f>
        <x:v>-1.6112831115722663</x:v>
      </x:c>
      <x:c r="I1937" s="40" t="n">
        <x:f>ABS(H1937)</x:f>
        <x:v>1.6112831115722663</x:v>
      </x:c>
      <x:c r="J1937" s="40" t="n">
        <x:f>H1937^2</x:f>
        <x:v>2.5962332656380043</x:v>
      </x:c>
      <x:c r="K1937" s="40" t="n">
        <x:f>G1937-E1937</x:f>
        <x:v>0</x:v>
      </x:c>
      <x:c r="L1937" s="40" t="n">
        <x:f>ABS(K1937)</x:f>
        <x:v>0</x:v>
      </x:c>
      <x:c r="M1937" s="41" t="str">
        <x:v>lstm-soil-v1</x:v>
      </x:c>
    </x:row>
    <x:row r="1938">
      <x:c r="A1938" s="38" t="str">
        <x:v>7月30日现场数据</x:v>
      </x:c>
      <x:c r="B1938" s="39" t="str">
        <x:v>2026-08-02T05:50:00</x:v>
      </x:c>
      <x:c r="C1938" s="39" t="str">
        <x:v>2026-08-02T06:20:00</x:v>
      </x:c>
      <x:c r="D1938" s="47" t="n">
        <x:v>30</x:v>
      </x:c>
      <x:c r="E1938" s="40" t="n">
        <x:v>15.8</x:v>
      </x:c>
      <x:c r="F1938" s="40" t="n">
        <x:v>14.633319854736328</x:v>
      </x:c>
      <x:c r="G1938" s="40" t="n">
        <x:v>15.8</x:v>
      </x:c>
      <x:c r="H1938" s="40" t="n">
        <x:f>F1938-E1938</x:f>
        <x:v>-1.1666801452636726</x:v>
      </x:c>
      <x:c r="I1938" s="40" t="n">
        <x:f>ABS(H1938)</x:f>
        <x:v>1.1666801452636726</x:v>
      </x:c>
      <x:c r="J1938" s="40" t="n">
        <x:f>H1938^2</x:f>
        <x:v>1.3611425613524641</x:v>
      </x:c>
      <x:c r="K1938" s="40" t="n">
        <x:f>G1938-E1938</x:f>
        <x:v>0</x:v>
      </x:c>
      <x:c r="L1938" s="40" t="n">
        <x:f>ABS(K1938)</x:f>
        <x:v>0</x:v>
      </x:c>
      <x:c r="M1938" s="41" t="str">
        <x:v>lstm-soil-v1</x:v>
      </x:c>
    </x:row>
    <x:row r="1939">
      <x:c r="A1939" s="38" t="str">
        <x:v>7月30日现场数据</x:v>
      </x:c>
      <x:c r="B1939" s="39" t="str">
        <x:v>2026-08-02T05:50:00</x:v>
      </x:c>
      <x:c r="C1939" s="39" t="str">
        <x:v>2026-08-02T06:50:00</x:v>
      </x:c>
      <x:c r="D1939" s="47" t="n">
        <x:v>60</x:v>
      </x:c>
      <x:c r="E1939" s="40" t="n">
        <x:v>15.7</x:v>
      </x:c>
      <x:c r="F1939" s="40" t="n">
        <x:v>16.21597671508789</x:v>
      </x:c>
      <x:c r="G1939" s="40" t="n">
        <x:v>15.8</x:v>
      </x:c>
      <x:c r="H1939" s="40" t="n">
        <x:f>F1939-E1939</x:f>
        <x:v>0.5159767150878913</x:v>
      </x:c>
      <x:c r="I1939" s="40" t="n">
        <x:f>ABS(H1939)</x:f>
        <x:v>0.5159767150878913</x:v>
      </x:c>
      <x:c r="J1939" s="40" t="n">
        <x:f>H1939^2</x:f>
        <x:v>0.266231970512891</x:v>
      </x:c>
      <x:c r="K1939" s="40" t="n">
        <x:f>G1939-E1939</x:f>
        <x:v>0.10000000000000142</x:v>
      </x:c>
      <x:c r="L1939" s="40" t="n">
        <x:f>ABS(K1939)</x:f>
        <x:v>0.10000000000000142</x:v>
      </x:c>
      <x:c r="M1939" s="41" t="str">
        <x:v>lstm-soil-v1</x:v>
      </x:c>
    </x:row>
    <x:row r="1940">
      <x:c r="A1940" s="38" t="str">
        <x:v>7月30日现场数据</x:v>
      </x:c>
      <x:c r="B1940" s="39" t="str">
        <x:v>2026-08-02T05:55:00</x:v>
      </x:c>
      <x:c r="C1940" s="39" t="str">
        <x:v>2026-08-02T06:00:00</x:v>
      </x:c>
      <x:c r="D1940" s="47" t="n">
        <x:v>5</x:v>
      </x:c>
      <x:c r="E1940" s="40" t="n">
        <x:v>15.8</x:v>
      </x:c>
      <x:c r="F1940" s="40" t="n">
        <x:v>14.005474090576172</x:v>
      </x:c>
      <x:c r="G1940" s="40" t="n">
        <x:v>15.7</x:v>
      </x:c>
      <x:c r="H1940" s="40" t="n">
        <x:f>F1940-E1940</x:f>
        <x:v>-1.7945259094238288</x:v>
      </x:c>
      <x:c r="I1940" s="40" t="n">
        <x:f>ABS(H1940)</x:f>
        <x:v>1.7945259094238288</x:v>
      </x:c>
      <x:c r="J1940" s="40" t="n">
        <x:f>H1940^2</x:f>
        <x:v>3.22032323959342</x:v>
      </x:c>
      <x:c r="K1940" s="40" t="n">
        <x:f>G1940-E1940</x:f>
        <x:v>-0.10000000000000142</x:v>
      </x:c>
      <x:c r="L1940" s="40" t="n">
        <x:f>ABS(K1940)</x:f>
        <x:v>0.10000000000000142</x:v>
      </x:c>
      <x:c r="M1940" s="41" t="str">
        <x:v>lstm-soil-v1</x:v>
      </x:c>
    </x:row>
    <x:row r="1941">
      <x:c r="A1941" s="38" t="str">
        <x:v>7月30日现场数据</x:v>
      </x:c>
      <x:c r="B1941" s="39" t="str">
        <x:v>2026-08-02T05:55:00</x:v>
      </x:c>
      <x:c r="C1941" s="39" t="str">
        <x:v>2026-08-02T06:10:00</x:v>
      </x:c>
      <x:c r="D1941" s="47" t="n">
        <x:v>15</x:v>
      </x:c>
      <x:c r="E1941" s="40" t="n">
        <x:v>15.7</x:v>
      </x:c>
      <x:c r="F1941" s="40" t="n">
        <x:v>14.078685760498047</x:v>
      </x:c>
      <x:c r="G1941" s="40" t="n">
        <x:v>15.7</x:v>
      </x:c>
      <x:c r="H1941" s="40" t="n">
        <x:f>F1941-E1941</x:f>
        <x:v>-1.6213142395019524</x:v>
      </x:c>
      <x:c r="I1941" s="40" t="n">
        <x:f>ABS(H1941)</x:f>
        <x:v>1.6213142395019524</x:v>
      </x:c>
      <x:c r="J1941" s="40" t="n">
        <x:f>H1941^2</x:f>
        <x:v>2.6286598632117943</x:v>
      </x:c>
      <x:c r="K1941" s="40" t="n">
        <x:f>G1941-E1941</x:f>
        <x:v>0</x:v>
      </x:c>
      <x:c r="L1941" s="40" t="n">
        <x:f>ABS(K1941)</x:f>
        <x:v>0</x:v>
      </x:c>
      <x:c r="M1941" s="41" t="str">
        <x:v>lstm-soil-v1</x:v>
      </x:c>
    </x:row>
    <x:row r="1942">
      <x:c r="A1942" s="38" t="str">
        <x:v>7月30日现场数据</x:v>
      </x:c>
      <x:c r="B1942" s="39" t="str">
        <x:v>2026-08-02T05:55:00</x:v>
      </x:c>
      <x:c r="C1942" s="39" t="str">
        <x:v>2026-08-02T06:25:00</x:v>
      </x:c>
      <x:c r="D1942" s="47" t="n">
        <x:v>30</x:v>
      </x:c>
      <x:c r="E1942" s="40" t="n">
        <x:v>15.7</x:v>
      </x:c>
      <x:c r="F1942" s="40" t="n">
        <x:v>14.523319244384766</x:v>
      </x:c>
      <x:c r="G1942" s="40" t="n">
        <x:v>15.7</x:v>
      </x:c>
      <x:c r="H1942" s="40" t="n">
        <x:f>F1942-E1942</x:f>
        <x:v>-1.1766807556152337</x:v>
      </x:c>
      <x:c r="I1942" s="40" t="n">
        <x:f>ABS(H1942)</x:f>
        <x:v>1.1766807556152337</x:v>
      </x:c>
      <x:c r="J1942" s="40" t="n">
        <x:f>H1942^2</x:f>
        <x:v>1.3845776006352373</x:v>
      </x:c>
      <x:c r="K1942" s="40" t="n">
        <x:f>G1942-E1942</x:f>
        <x:v>0</x:v>
      </x:c>
      <x:c r="L1942" s="40" t="n">
        <x:f>ABS(K1942)</x:f>
        <x:v>0</x:v>
      </x:c>
      <x:c r="M1942" s="41" t="str">
        <x:v>lstm-soil-v1</x:v>
      </x:c>
    </x:row>
    <x:row r="1943">
      <x:c r="A1943" s="38" t="str">
        <x:v>7月30日现场数据</x:v>
      </x:c>
      <x:c r="B1943" s="39" t="str">
        <x:v>2026-08-02T05:55:00</x:v>
      </x:c>
      <x:c r="C1943" s="39" t="str">
        <x:v>2026-08-02T06:55:00</x:v>
      </x:c>
      <x:c r="D1943" s="47" t="n">
        <x:v>60</x:v>
      </x:c>
      <x:c r="E1943" s="40" t="n">
        <x:v>15.7</x:v>
      </x:c>
      <x:c r="F1943" s="40" t="n">
        <x:v>16.105850219726562</x:v>
      </x:c>
      <x:c r="G1943" s="40" t="n">
        <x:v>15.7</x:v>
      </x:c>
      <x:c r="H1943" s="40" t="n">
        <x:f>F1943-E1943</x:f>
        <x:v>0.4058502197265632</x:v>
      </x:c>
      <x:c r="I1943" s="40" t="n">
        <x:f>ABS(H1943)</x:f>
        <x:v>0.4058502197265632</x:v>
      </x:c>
      <x:c r="J1943" s="40" t="n">
        <x:f>H1943^2</x:f>
        <x:v>0.16471440085209962</x:v>
      </x:c>
      <x:c r="K1943" s="40" t="n">
        <x:f>G1943-E1943</x:f>
        <x:v>0</x:v>
      </x:c>
      <x:c r="L1943" s="40" t="n">
        <x:f>ABS(K1943)</x:f>
        <x:v>0</x:v>
      </x:c>
      <x:c r="M1943" s="41" t="str">
        <x:v>lstm-soil-v1</x:v>
      </x:c>
    </x:row>
    <x:row r="1944">
      <x:c r="A1944" s="38" t="str">
        <x:v>7月30日现场数据</x:v>
      </x:c>
      <x:c r="B1944" s="39" t="str">
        <x:v>2026-08-02T06:00:00</x:v>
      </x:c>
      <x:c r="C1944" s="39" t="str">
        <x:v>2026-08-02T06:05:00</x:v>
      </x:c>
      <x:c r="D1944" s="47" t="n">
        <x:v>5</x:v>
      </x:c>
      <x:c r="E1944" s="40" t="n">
        <x:v>15.8</x:v>
      </x:c>
      <x:c r="F1944" s="40" t="n">
        <x:v>14.11581039428711</x:v>
      </x:c>
      <x:c r="G1944" s="40" t="n">
        <x:v>15.8</x:v>
      </x:c>
      <x:c r="H1944" s="40" t="n">
        <x:f>F1944-E1944</x:f>
        <x:v>-1.6841896057128913</x:v>
      </x:c>
      <x:c r="I1944" s="40" t="n">
        <x:f>ABS(H1944)</x:f>
        <x:v>1.6841896057128913</x:v>
      </x:c>
      <x:c r="J1944" s="40" t="n">
        <x:f>H1944^2</x:f>
        <x:v>2.8364946279913443</x:v>
      </x:c>
      <x:c r="K1944" s="40" t="n">
        <x:f>G1944-E1944</x:f>
        <x:v>0</x:v>
      </x:c>
      <x:c r="L1944" s="40" t="n">
        <x:f>ABS(K1944)</x:f>
        <x:v>0</x:v>
      </x:c>
      <x:c r="M1944" s="41" t="str">
        <x:v>lstm-soil-v1</x:v>
      </x:c>
    </x:row>
    <x:row r="1945">
      <x:c r="A1945" s="38" t="str">
        <x:v>7月30日现场数据</x:v>
      </x:c>
      <x:c r="B1945" s="39" t="str">
        <x:v>2026-08-02T06:00:00</x:v>
      </x:c>
      <x:c r="C1945" s="39" t="str">
        <x:v>2026-08-02T06:15:00</x:v>
      </x:c>
      <x:c r="D1945" s="47" t="n">
        <x:v>15</x:v>
      </x:c>
      <x:c r="E1945" s="40" t="n">
        <x:v>15.8</x:v>
      </x:c>
      <x:c r="F1945" s="40" t="n">
        <x:v>14.188362121582031</x:v>
      </x:c>
      <x:c r="G1945" s="40" t="n">
        <x:v>15.8</x:v>
      </x:c>
      <x:c r="H1945" s="40" t="n">
        <x:f>F1945-E1945</x:f>
        <x:v>-1.6116378784179695</x:v>
      </x:c>
      <x:c r="I1945" s="40" t="n">
        <x:f>ABS(H1945)</x:f>
        <x:v>1.6116378784179695</x:v>
      </x:c>
      <x:c r="J1945" s="40" t="n">
        <x:f>H1945^2</x:f>
        <x:v>2.5973766511515737</x:v>
      </x:c>
      <x:c r="K1945" s="40" t="n">
        <x:f>G1945-E1945</x:f>
        <x:v>0</x:v>
      </x:c>
      <x:c r="L1945" s="40" t="n">
        <x:f>ABS(K1945)</x:f>
        <x:v>0</x:v>
      </x:c>
      <x:c r="M1945" s="41" t="str">
        <x:v>lstm-soil-v1</x:v>
      </x:c>
    </x:row>
    <x:row r="1946">
      <x:c r="A1946" s="38" t="str">
        <x:v>7月30日现场数据</x:v>
      </x:c>
      <x:c r="B1946" s="39" t="str">
        <x:v>2026-08-02T06:00:00</x:v>
      </x:c>
      <x:c r="C1946" s="39" t="str">
        <x:v>2026-08-02T06:30:00</x:v>
      </x:c>
      <x:c r="D1946" s="47" t="n">
        <x:v>30</x:v>
      </x:c>
      <x:c r="E1946" s="40" t="n">
        <x:v>15.7</x:v>
      </x:c>
      <x:c r="F1946" s="40" t="n">
        <x:v>14.633720397949219</x:v>
      </x:c>
      <x:c r="G1946" s="40" t="n">
        <x:v>15.8</x:v>
      </x:c>
      <x:c r="H1946" s="40" t="n">
        <x:f>F1946-E1946</x:f>
        <x:v>-1.0662796020507805</x:v>
      </x:c>
      <x:c r="I1946" s="40" t="n">
        <x:f>ABS(H1946)</x:f>
        <x:v>1.0662796020507805</x:v>
      </x:c>
      <x:c r="J1946" s="40" t="n">
        <x:f>H1946^2</x:f>
        <x:v>1.136952189749571</x:v>
      </x:c>
      <x:c r="K1946" s="40" t="n">
        <x:f>G1946-E1946</x:f>
        <x:v>0.10000000000000142</x:v>
      </x:c>
      <x:c r="L1946" s="40" t="n">
        <x:f>ABS(K1946)</x:f>
        <x:v>0.10000000000000142</x:v>
      </x:c>
      <x:c r="M1946" s="41" t="str">
        <x:v>lstm-soil-v1</x:v>
      </x:c>
    </x:row>
    <x:row r="1947">
      <x:c r="A1947" s="38" t="str">
        <x:v>7月30日现场数据</x:v>
      </x:c>
      <x:c r="B1947" s="39" t="str">
        <x:v>2026-08-02T06:00:00</x:v>
      </x:c>
      <x:c r="C1947" s="39" t="str">
        <x:v>2026-08-02T07:00:00</x:v>
      </x:c>
      <x:c r="D1947" s="47" t="n">
        <x:v>60</x:v>
      </x:c>
      <x:c r="E1947" s="40" t="n">
        <x:v>15.7</x:v>
      </x:c>
      <x:c r="F1947" s="40" t="n">
        <x:v>16.219486236572266</x:v>
      </x:c>
      <x:c r="G1947" s="40" t="n">
        <x:v>15.8</x:v>
      </x:c>
      <x:c r="H1947" s="40" t="n">
        <x:f>F1947-E1947</x:f>
        <x:v>0.5194862365722663</x:v>
      </x:c>
      <x:c r="I1947" s="40" t="n">
        <x:f>ABS(H1947)</x:f>
        <x:v>0.5194862365722663</x:v>
      </x:c>
      <x:c r="J1947" s="40" t="n">
        <x:f>H1947^2</x:f>
        <x:v>0.26986594998801666</x:v>
      </x:c>
      <x:c r="K1947" s="40" t="n">
        <x:f>G1947-E1947</x:f>
        <x:v>0.10000000000000142</x:v>
      </x:c>
      <x:c r="L1947" s="40" t="n">
        <x:f>ABS(K1947)</x:f>
        <x:v>0.10000000000000142</x:v>
      </x:c>
      <x:c r="M1947" s="41" t="str">
        <x:v>lstm-soil-v1</x:v>
      </x:c>
    </x:row>
    <x:row r="1948">
      <x:c r="A1948" s="38" t="str">
        <x:v>7月30日现场数据</x:v>
      </x:c>
      <x:c r="B1948" s="39" t="str">
        <x:v>2026-08-02T06:05:00</x:v>
      </x:c>
      <x:c r="C1948" s="39" t="str">
        <x:v>2026-08-02T06:10:00</x:v>
      </x:c>
      <x:c r="D1948" s="47" t="n">
        <x:v>5</x:v>
      </x:c>
      <x:c r="E1948" s="40" t="n">
        <x:v>15.7</x:v>
      </x:c>
      <x:c r="F1948" s="40" t="n">
        <x:v>14.116264343261719</x:v>
      </x:c>
      <x:c r="G1948" s="40" t="n">
        <x:v>15.8</x:v>
      </x:c>
      <x:c r="H1948" s="40" t="n">
        <x:f>F1948-E1948</x:f>
        <x:v>-1.5837356567382805</x:v>
      </x:c>
      <x:c r="I1948" s="40" t="n">
        <x:f>ABS(H1948)</x:f>
        <x:v>1.5837356567382805</x:v>
      </x:c>
      <x:c r="J1948" s="40" t="n">
        <x:f>H1948^2</x:f>
        <x:v>2.5082186304242327</x:v>
      </x:c>
      <x:c r="K1948" s="40" t="n">
        <x:f>G1948-E1948</x:f>
        <x:v>0.10000000000000142</x:v>
      </x:c>
      <x:c r="L1948" s="40" t="n">
        <x:f>ABS(K1948)</x:f>
        <x:v>0.10000000000000142</x:v>
      </x:c>
      <x:c r="M1948" s="41" t="str">
        <x:v>lstm-soil-v1</x:v>
      </x:c>
    </x:row>
    <x:row r="1949">
      <x:c r="A1949" s="38" t="str">
        <x:v>7月30日现场数据</x:v>
      </x:c>
      <x:c r="B1949" s="39" t="str">
        <x:v>2026-08-02T06:05:00</x:v>
      </x:c>
      <x:c r="C1949" s="39" t="str">
        <x:v>2026-08-02T06:20:00</x:v>
      </x:c>
      <x:c r="D1949" s="47" t="n">
        <x:v>15</x:v>
      </x:c>
      <x:c r="E1949" s="40" t="n">
        <x:v>15.8</x:v>
      </x:c>
      <x:c r="F1949" s="40" t="n">
        <x:v>14.189422607421875</x:v>
      </x:c>
      <x:c r="G1949" s="40" t="n">
        <x:v>15.8</x:v>
      </x:c>
      <x:c r="H1949" s="40" t="n">
        <x:f>F1949-E1949</x:f>
        <x:v>-1.6105773925781257</x:v>
      </x:c>
      <x:c r="I1949" s="40" t="n">
        <x:f>ABS(H1949)</x:f>
        <x:v>1.6105773925781257</x:v>
      </x:c>
      <x:c r="J1949" s="40" t="n">
        <x:f>H1949^2</x:f>
        <x:v>2.593959537483754</x:v>
      </x:c>
      <x:c r="K1949" s="40" t="n">
        <x:f>G1949-E1949</x:f>
        <x:v>0</x:v>
      </x:c>
      <x:c r="L1949" s="40" t="n">
        <x:f>ABS(K1949)</x:f>
        <x:v>0</x:v>
      </x:c>
      <x:c r="M1949" s="41" t="str">
        <x:v>lstm-soil-v1</x:v>
      </x:c>
    </x:row>
    <x:row r="1950">
      <x:c r="A1950" s="38" t="str">
        <x:v>7月30日现场数据</x:v>
      </x:c>
      <x:c r="B1950" s="39" t="str">
        <x:v>2026-08-02T06:05:00</x:v>
      </x:c>
      <x:c r="C1950" s="39" t="str">
        <x:v>2026-08-02T06:35:00</x:v>
      </x:c>
      <x:c r="D1950" s="47" t="n">
        <x:v>30</x:v>
      </x:c>
      <x:c r="E1950" s="40" t="n">
        <x:v>15.7</x:v>
      </x:c>
      <x:c r="F1950" s="40" t="n">
        <x:v>14.634986877441406</x:v>
      </x:c>
      <x:c r="G1950" s="40" t="n">
        <x:v>15.8</x:v>
      </x:c>
      <x:c r="H1950" s="40" t="n">
        <x:f>F1950-E1950</x:f>
        <x:v>-1.065013122558593</x:v>
      </x:c>
      <x:c r="I1950" s="40" t="n">
        <x:f>ABS(H1950)</x:f>
        <x:v>1.065013122558593</x:v>
      </x:c>
      <x:c r="J1950" s="40" t="n">
        <x:f>H1950^2</x:f>
        <x:v>1.1342529512220048</x:v>
      </x:c>
      <x:c r="K1950" s="40" t="n">
        <x:f>G1950-E1950</x:f>
        <x:v>0.10000000000000142</x:v>
      </x:c>
      <x:c r="L1950" s="40" t="n">
        <x:f>ABS(K1950)</x:f>
        <x:v>0.10000000000000142</x:v>
      </x:c>
      <x:c r="M1950" s="41" t="str">
        <x:v>lstm-soil-v1</x:v>
      </x:c>
    </x:row>
    <x:row r="1951">
      <x:c r="A1951" s="38" t="str">
        <x:v>7月30日现场数据</x:v>
      </x:c>
      <x:c r="B1951" s="39" t="str">
        <x:v>2026-08-02T06:05:00</x:v>
      </x:c>
      <x:c r="C1951" s="39" t="str">
        <x:v>2026-08-02T07:05:00</x:v>
      </x:c>
      <x:c r="D1951" s="47" t="n">
        <x:v>60</x:v>
      </x:c>
      <x:c r="E1951" s="40" t="n">
        <x:v>15.7</x:v>
      </x:c>
      <x:c r="F1951" s="40" t="n">
        <x:v>16.221824645996094</x:v>
      </x:c>
      <x:c r="G1951" s="40" t="n">
        <x:v>15.8</x:v>
      </x:c>
      <x:c r="H1951" s="40" t="n">
        <x:f>F1951-E1951</x:f>
        <x:v>0.5218246459960945</x:v>
      </x:c>
      <x:c r="I1951" s="40" t="n">
        <x:f>ABS(H1951)</x:f>
        <x:v>0.5218246459960945</x:v>
      </x:c>
      <x:c r="J1951" s="40" t="n">
        <x:f>H1951^2</x:f>
        <x:v>0.2723009611689493</x:v>
      </x:c>
      <x:c r="K1951" s="40" t="n">
        <x:f>G1951-E1951</x:f>
        <x:v>0.10000000000000142</x:v>
      </x:c>
      <x:c r="L1951" s="40" t="n">
        <x:f>ABS(K1951)</x:f>
        <x:v>0.10000000000000142</x:v>
      </x:c>
      <x:c r="M1951" s="41" t="str">
        <x:v>lstm-soil-v1</x:v>
      </x:c>
    </x:row>
    <x:row r="1952">
      <x:c r="A1952" s="38" t="str">
        <x:v>7月30日现场数据</x:v>
      </x:c>
      <x:c r="B1952" s="39" t="str">
        <x:v>2026-08-02T06:10:00</x:v>
      </x:c>
      <x:c r="C1952" s="39" t="str">
        <x:v>2026-08-02T06:15:00</x:v>
      </x:c>
      <x:c r="D1952" s="47" t="n">
        <x:v>5</x:v>
      </x:c>
      <x:c r="E1952" s="40" t="n">
        <x:v>15.8</x:v>
      </x:c>
      <x:c r="F1952" s="40" t="n">
        <x:v>14.006477355957031</x:v>
      </x:c>
      <x:c r="G1952" s="40" t="n">
        <x:v>15.7</x:v>
      </x:c>
      <x:c r="H1952" s="40" t="n">
        <x:f>F1952-E1952</x:f>
        <x:v>-1.7935226440429695</x:v>
      </x:c>
      <x:c r="I1952" s="40" t="n">
        <x:f>ABS(H1952)</x:f>
        <x:v>1.7935226440429695</x:v>
      </x:c>
      <x:c r="J1952" s="40" t="n">
        <x:f>H1952^2</x:f>
        <x:v>3.2167234746948843</x:v>
      </x:c>
      <x:c r="K1952" s="40" t="n">
        <x:f>G1952-E1952</x:f>
        <x:v>-0.10000000000000142</x:v>
      </x:c>
      <x:c r="L1952" s="40" t="n">
        <x:f>ABS(K1952)</x:f>
        <x:v>0.10000000000000142</x:v>
      </x:c>
      <x:c r="M1952" s="41" t="str">
        <x:v>lstm-soil-v1</x:v>
      </x:c>
    </x:row>
    <x:row r="1953">
      <x:c r="A1953" s="38" t="str">
        <x:v>7月30日现场数据</x:v>
      </x:c>
      <x:c r="B1953" s="39" t="str">
        <x:v>2026-08-02T06:10:00</x:v>
      </x:c>
      <x:c r="C1953" s="39" t="str">
        <x:v>2026-08-02T06:25:00</x:v>
      </x:c>
      <x:c r="D1953" s="47" t="n">
        <x:v>15</x:v>
      </x:c>
      <x:c r="E1953" s="40" t="n">
        <x:v>15.7</x:v>
      </x:c>
      <x:c r="F1953" s="40" t="n">
        <x:v>14.080482482910156</x:v>
      </x:c>
      <x:c r="G1953" s="40" t="n">
        <x:v>15.7</x:v>
      </x:c>
      <x:c r="H1953" s="40" t="n">
        <x:f>F1953-E1953</x:f>
        <x:v>-1.619517517089843</x:v>
      </x:c>
      <x:c r="I1953" s="40" t="n">
        <x:f>ABS(H1953)</x:f>
        <x:v>1.619517517089843</x:v>
      </x:c>
      <x:c r="J1953" s="40" t="n">
        <x:f>H1953^2</x:f>
        <x:v>2.62283698816085</x:v>
      </x:c>
      <x:c r="K1953" s="40" t="n">
        <x:f>G1953-E1953</x:f>
        <x:v>0</x:v>
      </x:c>
      <x:c r="L1953" s="40" t="n">
        <x:f>ABS(K1953)</x:f>
        <x:v>0</x:v>
      </x:c>
      <x:c r="M1953" s="41" t="str">
        <x:v>lstm-soil-v1</x:v>
      </x:c>
    </x:row>
    <x:row r="1954">
      <x:c r="A1954" s="38" t="str">
        <x:v>7月30日现场数据</x:v>
      </x:c>
      <x:c r="B1954" s="39" t="str">
        <x:v>2026-08-02T06:10:00</x:v>
      </x:c>
      <x:c r="C1954" s="39" t="str">
        <x:v>2026-08-02T06:40:00</x:v>
      </x:c>
      <x:c r="D1954" s="47" t="n">
        <x:v>30</x:v>
      </x:c>
      <x:c r="E1954" s="40" t="n">
        <x:v>15.7</x:v>
      </x:c>
      <x:c r="F1954" s="40" t="n">
        <x:v>14.525619506835938</x:v>
      </x:c>
      <x:c r="G1954" s="40" t="n">
        <x:v>15.7</x:v>
      </x:c>
      <x:c r="H1954" s="40" t="n">
        <x:f>F1954-E1954</x:f>
        <x:v>-1.1743804931640618</x:v>
      </x:c>
      <x:c r="I1954" s="40" t="n">
        <x:f>ABS(H1954)</x:f>
        <x:v>1.1743804931640618</x:v>
      </x:c>
      <x:c r="J1954" s="40" t="n">
        <x:f>H1954^2</x:f>
        <x:v>1.379169542724265</x:v>
      </x:c>
      <x:c r="K1954" s="40" t="n">
        <x:f>G1954-E1954</x:f>
        <x:v>0</x:v>
      </x:c>
      <x:c r="L1954" s="40" t="n">
        <x:f>ABS(K1954)</x:f>
        <x:v>0</x:v>
      </x:c>
      <x:c r="M1954" s="41" t="str">
        <x:v>lstm-soil-v1</x:v>
      </x:c>
    </x:row>
    <x:row r="1955">
      <x:c r="A1955" s="38" t="str">
        <x:v>7月30日现场数据</x:v>
      </x:c>
      <x:c r="B1955" s="39" t="str">
        <x:v>2026-08-02T06:10:00</x:v>
      </x:c>
      <x:c r="C1955" s="39" t="str">
        <x:v>2026-08-02T07:10:00</x:v>
      </x:c>
      <x:c r="D1955" s="47" t="n">
        <x:v>60</x:v>
      </x:c>
      <x:c r="E1955" s="40" t="n">
        <x:v>15.7</x:v>
      </x:c>
      <x:c r="F1955" s="40" t="n">
        <x:v>16.112918853759766</x:v>
      </x:c>
      <x:c r="G1955" s="40" t="n">
        <x:v>15.7</x:v>
      </x:c>
      <x:c r="H1955" s="40" t="n">
        <x:f>F1955-E1955</x:f>
        <x:v>0.41291885375976634</x:v>
      </x:c>
      <x:c r="I1955" s="40" t="n">
        <x:f>ABS(H1955)</x:f>
        <x:v>0.41291885375976634</x:v>
      </x:c>
      <x:c r="J1955" s="40" t="n">
        <x:f>H1955^2</x:f>
        <x:v>0.17050197979027928</x:v>
      </x:c>
      <x:c r="K1955" s="40" t="n">
        <x:f>G1955-E1955</x:f>
        <x:v>0</x:v>
      </x:c>
      <x:c r="L1955" s="40" t="n">
        <x:f>ABS(K1955)</x:f>
        <x:v>0</x:v>
      </x:c>
      <x:c r="M1955" s="41" t="str">
        <x:v>lstm-soil-v1</x:v>
      </x:c>
    </x:row>
    <x:row r="1956">
      <x:c r="A1956" s="38" t="str">
        <x:v>7月30日现场数据</x:v>
      </x:c>
      <x:c r="B1956" s="39" t="str">
        <x:v>2026-08-02T06:15:00</x:v>
      </x:c>
      <x:c r="C1956" s="39" t="str">
        <x:v>2026-08-02T06:20:00</x:v>
      </x:c>
      <x:c r="D1956" s="47" t="n">
        <x:v>5</x:v>
      </x:c>
      <x:c r="E1956" s="40" t="n">
        <x:v>15.8</x:v>
      </x:c>
      <x:c r="F1956" s="40" t="n">
        <x:v>14.117362976074219</x:v>
      </x:c>
      <x:c r="G1956" s="40" t="n">
        <x:v>15.8</x:v>
      </x:c>
      <x:c r="H1956" s="40" t="n">
        <x:f>F1956-E1956</x:f>
        <x:v>-1.682637023925782</x:v>
      </x:c>
      <x:c r="I1956" s="40" t="n">
        <x:f>ABS(H1956)</x:f>
        <x:v>1.682637023925782</x:v>
      </x:c>
      <x:c r="J1956" s="40" t="n">
        <x:f>H1956^2</x:f>
        <x:v>2.8312673542858127</x:v>
      </x:c>
      <x:c r="K1956" s="40" t="n">
        <x:f>G1956-E1956</x:f>
        <x:v>0</x:v>
      </x:c>
      <x:c r="L1956" s="40" t="n">
        <x:f>ABS(K1956)</x:f>
        <x:v>0</x:v>
      </x:c>
      <x:c r="M1956" s="41" t="str">
        <x:v>lstm-soil-v1</x:v>
      </x:c>
    </x:row>
    <x:row r="1957">
      <x:c r="A1957" s="38" t="str">
        <x:v>7月30日现场数据</x:v>
      </x:c>
      <x:c r="B1957" s="39" t="str">
        <x:v>2026-08-02T06:15:00</x:v>
      </x:c>
      <x:c r="C1957" s="39" t="str">
        <x:v>2026-08-02T06:30:00</x:v>
      </x:c>
      <x:c r="D1957" s="47" t="n">
        <x:v>15</x:v>
      </x:c>
      <x:c r="E1957" s="40" t="n">
        <x:v>15.7</x:v>
      </x:c>
      <x:c r="F1957" s="40" t="n">
        <x:v>14.191703796386719</x:v>
      </x:c>
      <x:c r="G1957" s="40" t="n">
        <x:v>15.8</x:v>
      </x:c>
      <x:c r="H1957" s="40" t="n">
        <x:f>F1957-E1957</x:f>
        <x:v>-1.5082962036132805</x:v>
      </x:c>
      <x:c r="I1957" s="40" t="n">
        <x:f>ABS(H1957)</x:f>
        <x:v>1.5082962036132805</x:v>
      </x:c>
      <x:c r="J1957" s="40" t="n">
        <x:f>H1957^2</x:f>
        <x:v>2.2749574378342348</x:v>
      </x:c>
      <x:c r="K1957" s="40" t="n">
        <x:f>G1957-E1957</x:f>
        <x:v>0.10000000000000142</x:v>
      </x:c>
      <x:c r="L1957" s="40" t="n">
        <x:f>ABS(K1957)</x:f>
        <x:v>0.10000000000000142</x:v>
      </x:c>
      <x:c r="M1957" s="41" t="str">
        <x:v>lstm-soil-v1</x:v>
      </x:c>
    </x:row>
    <x:row r="1958">
      <x:c r="A1958" s="38" t="str">
        <x:v>7月30日现场数据</x:v>
      </x:c>
      <x:c r="B1958" s="39" t="str">
        <x:v>2026-08-02T06:15:00</x:v>
      </x:c>
      <x:c r="C1958" s="39" t="str">
        <x:v>2026-08-02T06:45:00</x:v>
      </x:c>
      <x:c r="D1958" s="47" t="n">
        <x:v>30</x:v>
      </x:c>
      <x:c r="E1958" s="40" t="n">
        <x:v>15.7</x:v>
      </x:c>
      <x:c r="F1958" s="40" t="n">
        <x:v>14.636951446533203</x:v>
      </x:c>
      <x:c r="G1958" s="40" t="n">
        <x:v>15.8</x:v>
      </x:c>
      <x:c r="H1958" s="40" t="n">
        <x:f>F1958-E1958</x:f>
        <x:v>-1.0630485534667962</x:v>
      </x:c>
      <x:c r="I1958" s="40" t="n">
        <x:f>ABS(H1958)</x:f>
        <x:v>1.0630485534667962</x:v>
      </x:c>
      <x:c r="J1958" s="40" t="n">
        <x:f>H1958^2</x:f>
        <x:v>1.1300722270278478</x:v>
      </x:c>
      <x:c r="K1958" s="40" t="n">
        <x:f>G1958-E1958</x:f>
        <x:v>0.10000000000000142</x:v>
      </x:c>
      <x:c r="L1958" s="40" t="n">
        <x:f>ABS(K1958)</x:f>
        <x:v>0.10000000000000142</x:v>
      </x:c>
      <x:c r="M1958" s="41" t="str">
        <x:v>lstm-soil-v1</x:v>
      </x:c>
    </x:row>
    <x:row r="1959">
      <x:c r="A1959" s="38" t="str">
        <x:v>7月30日现场数据</x:v>
      </x:c>
      <x:c r="B1959" s="39" t="str">
        <x:v>2026-08-02T06:15:00</x:v>
      </x:c>
      <x:c r="C1959" s="39" t="str">
        <x:v>2026-08-02T07:15:00</x:v>
      </x:c>
      <x:c r="D1959" s="47" t="n">
        <x:v>60</x:v>
      </x:c>
      <x:c r="E1959" s="40" t="n">
        <x:v>15.7</x:v>
      </x:c>
      <x:c r="F1959" s="40" t="n">
        <x:v>16.224685668945312</x:v>
      </x:c>
      <x:c r="G1959" s="40" t="n">
        <x:v>15.8</x:v>
      </x:c>
      <x:c r="H1959" s="40" t="n">
        <x:f>F1959-E1959</x:f>
        <x:v>0.5246856689453132</x:v>
      </x:c>
      <x:c r="I1959" s="40" t="n">
        <x:f>ABS(H1959)</x:f>
        <x:v>0.5246856689453132</x:v>
      </x:c>
      <x:c r="J1959" s="40" t="n">
        <x:f>H1959^2</x:f>
        <x:v>0.2752950511965908</x:v>
      </x:c>
      <x:c r="K1959" s="40" t="n">
        <x:f>G1959-E1959</x:f>
        <x:v>0.10000000000000142</x:v>
      </x:c>
      <x:c r="L1959" s="40" t="n">
        <x:f>ABS(K1959)</x:f>
        <x:v>0.10000000000000142</x:v>
      </x:c>
      <x:c r="M1959" s="41" t="str">
        <x:v>lstm-soil-v1</x:v>
      </x:c>
    </x:row>
    <x:row r="1960">
      <x:c r="A1960" s="38" t="str">
        <x:v>7月30日现场数据</x:v>
      </x:c>
      <x:c r="B1960" s="39" t="str">
        <x:v>2026-08-02T06:20:00</x:v>
      </x:c>
      <x:c r="C1960" s="39" t="str">
        <x:v>2026-08-02T06:25:00</x:v>
      </x:c>
      <x:c r="D1960" s="47" t="n">
        <x:v>5</x:v>
      </x:c>
      <x:c r="E1960" s="40" t="n">
        <x:v>15.7</x:v>
      </x:c>
      <x:c r="F1960" s="40" t="n">
        <x:v>14.118179321289062</x:v>
      </x:c>
      <x:c r="G1960" s="40" t="n">
        <x:v>15.8</x:v>
      </x:c>
      <x:c r="H1960" s="40" t="n">
        <x:f>F1960-E1960</x:f>
        <x:v>-1.5818206787109368</x:v>
      </x:c>
      <x:c r="I1960" s="40" t="n">
        <x:f>ABS(H1960)</x:f>
        <x:v>1.5818206787109368</x:v>
      </x:c>
      <x:c r="J1960" s="40" t="n">
        <x:f>H1960^2</x:f>
        <x:v>2.502156659597529</x:v>
      </x:c>
      <x:c r="K1960" s="40" t="n">
        <x:f>G1960-E1960</x:f>
        <x:v>0.10000000000000142</x:v>
      </x:c>
      <x:c r="L1960" s="40" t="n">
        <x:f>ABS(K1960)</x:f>
        <x:v>0.10000000000000142</x:v>
      </x:c>
      <x:c r="M1960" s="41" t="str">
        <x:v>lstm-soil-v1</x:v>
      </x:c>
    </x:row>
    <x:row r="1961">
      <x:c r="A1961" s="38" t="str">
        <x:v>7月30日现场数据</x:v>
      </x:c>
      <x:c r="B1961" s="39" t="str">
        <x:v>2026-08-02T06:20:00</x:v>
      </x:c>
      <x:c r="C1961" s="39" t="str">
        <x:v>2026-08-02T06:35:00</x:v>
      </x:c>
      <x:c r="D1961" s="47" t="n">
        <x:v>15</x:v>
      </x:c>
      <x:c r="E1961" s="40" t="n">
        <x:v>15.7</x:v>
      </x:c>
      <x:c r="F1961" s="40" t="n">
        <x:v>14.192924499511719</x:v>
      </x:c>
      <x:c r="G1961" s="40" t="n">
        <x:v>15.8</x:v>
      </x:c>
      <x:c r="H1961" s="40" t="n">
        <x:f>F1961-E1961</x:f>
        <x:v>-1.5070755004882805</x:v>
      </x:c>
      <x:c r="I1961" s="40" t="n">
        <x:f>ABS(H1961)</x:f>
        <x:v>1.5070755004882805</x:v>
      </x:c>
      <x:c r="J1961" s="40" t="n">
        <x:f>H1961^2</x:f>
        <x:v>2.2712765641720014</x:v>
      </x:c>
      <x:c r="K1961" s="40" t="n">
        <x:f>G1961-E1961</x:f>
        <x:v>0.10000000000000142</x:v>
      </x:c>
      <x:c r="L1961" s="40" t="n">
        <x:f>ABS(K1961)</x:f>
        <x:v>0.10000000000000142</x:v>
      </x:c>
      <x:c r="M1961" s="41" t="str">
        <x:v>lstm-soil-v1</x:v>
      </x:c>
    </x:row>
    <x:row r="1962">
      <x:c r="A1962" s="38" t="str">
        <x:v>7月30日现场数据</x:v>
      </x:c>
      <x:c r="B1962" s="39" t="str">
        <x:v>2026-08-02T06:20:00</x:v>
      </x:c>
      <x:c r="C1962" s="39" t="str">
        <x:v>2026-08-02T06:50:00</x:v>
      </x:c>
      <x:c r="D1962" s="47" t="n">
        <x:v>30</x:v>
      </x:c>
      <x:c r="E1962" s="40" t="n">
        <x:v>15.7</x:v>
      </x:c>
      <x:c r="F1962" s="40" t="n">
        <x:v>14.637901306152344</x:v>
      </x:c>
      <x:c r="G1962" s="40" t="n">
        <x:v>15.8</x:v>
      </x:c>
      <x:c r="H1962" s="40" t="n">
        <x:f>F1962-E1962</x:f>
        <x:v>-1.0620986938476555</x:v>
      </x:c>
      <x:c r="I1962" s="40" t="n">
        <x:f>ABS(H1962)</x:f>
        <x:v>1.0620986938476555</x:v>
      </x:c>
      <x:c r="J1962" s="40" t="n">
        <x:f>H1962^2</x:f>
        <x:v>1.1280536354728958</x:v>
      </x:c>
      <x:c r="K1962" s="40" t="n">
        <x:f>G1962-E1962</x:f>
        <x:v>0.10000000000000142</x:v>
      </x:c>
      <x:c r="L1962" s="40" t="n">
        <x:f>ABS(K1962)</x:f>
        <x:v>0.10000000000000142</x:v>
      </x:c>
      <x:c r="M1962" s="41" t="str">
        <x:v>lstm-soil-v1</x:v>
      </x:c>
    </x:row>
    <x:row r="1963">
      <x:c r="A1963" s="38" t="str">
        <x:v>7月30日现场数据</x:v>
      </x:c>
      <x:c r="B1963" s="39" t="str">
        <x:v>2026-08-02T06:20:00</x:v>
      </x:c>
      <x:c r="C1963" s="39" t="str">
        <x:v>2026-08-02T07:20:00</x:v>
      </x:c>
      <x:c r="D1963" s="47" t="n">
        <x:v>60</x:v>
      </x:c>
      <x:c r="E1963" s="40" t="n">
        <x:v>15.7</x:v>
      </x:c>
      <x:c r="F1963" s="40" t="n">
        <x:v>16.225811004638672</x:v>
      </x:c>
      <x:c r="G1963" s="40" t="n">
        <x:v>15.8</x:v>
      </x:c>
      <x:c r="H1963" s="40" t="n">
        <x:f>F1963-E1963</x:f>
        <x:v>0.5258110046386726</x:v>
      </x:c>
      <x:c r="I1963" s="40" t="n">
        <x:f>ABS(H1963)</x:f>
        <x:v>0.5258110046386726</x:v>
      </x:c>
      <x:c r="J1963" s="40" t="n">
        <x:f>H1963^2</x:f>
        <x:v>0.27647721259913016</x:v>
      </x:c>
      <x:c r="K1963" s="40" t="n">
        <x:f>G1963-E1963</x:f>
        <x:v>0.10000000000000142</x:v>
      </x:c>
      <x:c r="L1963" s="40" t="n">
        <x:f>ABS(K1963)</x:f>
        <x:v>0.10000000000000142</x:v>
      </x:c>
      <x:c r="M1963" s="41" t="str">
        <x:v>lstm-soil-v1</x:v>
      </x:c>
    </x:row>
    <x:row r="1964">
      <x:c r="A1964" s="38" t="str">
        <x:v>7月30日现场数据</x:v>
      </x:c>
      <x:c r="B1964" s="39" t="str">
        <x:v>2026-08-02T06:25:00</x:v>
      </x:c>
      <x:c r="C1964" s="39" t="str">
        <x:v>2026-08-02T06:30:00</x:v>
      </x:c>
      <x:c r="D1964" s="47" t="n">
        <x:v>5</x:v>
      </x:c>
      <x:c r="E1964" s="40" t="n">
        <x:v>15.7</x:v>
      </x:c>
      <x:c r="F1964" s="40" t="n">
        <x:v>14.00836181640625</x:v>
      </x:c>
      <x:c r="G1964" s="40" t="n">
        <x:v>15.7</x:v>
      </x:c>
      <x:c r="H1964" s="40" t="n">
        <x:f>F1964-E1964</x:f>
        <x:v>-1.6916381835937493</x:v>
      </x:c>
      <x:c r="I1964" s="40" t="n">
        <x:f>ABS(H1964)</x:f>
        <x:v>1.6916381835937493</x:v>
      </x:c>
      <x:c r="J1964" s="40" t="n">
        <x:f>H1964^2</x:f>
        <x:v>2.8616397441923596</x:v>
      </x:c>
      <x:c r="K1964" s="40" t="n">
        <x:f>G1964-E1964</x:f>
        <x:v>0</x:v>
      </x:c>
      <x:c r="L1964" s="40" t="n">
        <x:f>ABS(K1964)</x:f>
        <x:v>0</x:v>
      </x:c>
      <x:c r="M1964" s="41" t="str">
        <x:v>lstm-soil-v1</x:v>
      </x:c>
    </x:row>
    <x:row r="1965">
      <x:c r="A1965" s="38" t="str">
        <x:v>7月30日现场数据</x:v>
      </x:c>
      <x:c r="B1965" s="39" t="str">
        <x:v>2026-08-02T06:25:00</x:v>
      </x:c>
      <x:c r="C1965" s="39" t="str">
        <x:v>2026-08-02T06:40:00</x:v>
      </x:c>
      <x:c r="D1965" s="47" t="n">
        <x:v>15</x:v>
      </x:c>
      <x:c r="E1965" s="40" t="n">
        <x:v>15.7</x:v>
      </x:c>
      <x:c r="F1965" s="40" t="n">
        <x:v>14.08343505859375</x:v>
      </x:c>
      <x:c r="G1965" s="40" t="n">
        <x:v>15.7</x:v>
      </x:c>
      <x:c r="H1965" s="40" t="n">
        <x:f>F1965-E1965</x:f>
        <x:v>-1.6165649414062493</x:v>
      </x:c>
      <x:c r="I1965" s="40" t="n">
        <x:f>ABS(H1965)</x:f>
        <x:v>1.6165649414062493</x:v>
      </x:c>
      <x:c r="J1965" s="40" t="n">
        <x:f>H1965^2</x:f>
        <x:v>2.61328220978379</x:v>
      </x:c>
      <x:c r="K1965" s="40" t="n">
        <x:f>G1965-E1965</x:f>
        <x:v>0</x:v>
      </x:c>
      <x:c r="L1965" s="40" t="n">
        <x:f>ABS(K1965)</x:f>
        <x:v>0</x:v>
      </x:c>
      <x:c r="M1965" s="41" t="str">
        <x:v>lstm-soil-v1</x:v>
      </x:c>
    </x:row>
    <x:row r="1966">
      <x:c r="A1966" s="38" t="str">
        <x:v>7月30日现场数据</x:v>
      </x:c>
      <x:c r="B1966" s="39" t="str">
        <x:v>2026-08-02T06:25:00</x:v>
      </x:c>
      <x:c r="C1966" s="39" t="str">
        <x:v>2026-08-02T06:55:00</x:v>
      </x:c>
      <x:c r="D1966" s="47" t="n">
        <x:v>30</x:v>
      </x:c>
      <x:c r="E1966" s="40" t="n">
        <x:v>15.7</x:v>
      </x:c>
      <x:c r="F1966" s="40" t="n">
        <x:v>14.527828216552734</x:v>
      </x:c>
      <x:c r="G1966" s="40" t="n">
        <x:v>15.7</x:v>
      </x:c>
      <x:c r="H1966" s="40" t="n">
        <x:f>F1966-E1966</x:f>
        <x:v>-1.172171783447265</x:v>
      </x:c>
      <x:c r="I1966" s="40" t="n">
        <x:f>ABS(H1966)</x:f>
        <x:v>1.172171783447265</x:v>
      </x:c>
      <x:c r="J1966" s="40" t="n">
        <x:f>H1966^2</x:f>
        <x:v>1.3739866899099418</x:v>
      </x:c>
      <x:c r="K1966" s="40" t="n">
        <x:f>G1966-E1966</x:f>
        <x:v>0</x:v>
      </x:c>
      <x:c r="L1966" s="40" t="n">
        <x:f>ABS(K1966)</x:f>
        <x:v>0</x:v>
      </x:c>
      <x:c r="M1966" s="41" t="str">
        <x:v>lstm-soil-v1</x:v>
      </x:c>
    </x:row>
    <x:row r="1967">
      <x:c r="A1967" s="38" t="str">
        <x:v>7月30日现场数据</x:v>
      </x:c>
      <x:c r="B1967" s="39" t="str">
        <x:v>2026-08-02T06:25:00</x:v>
      </x:c>
      <x:c r="C1967" s="39" t="str">
        <x:v>2026-08-02T07:25:00</x:v>
      </x:c>
      <x:c r="D1967" s="47" t="n">
        <x:v>60</x:v>
      </x:c>
      <x:c r="E1967" s="40" t="n">
        <x:v>15.7</x:v>
      </x:c>
      <x:c r="F1967" s="40" t="n">
        <x:v>16.115840911865234</x:v>
      </x:c>
      <x:c r="G1967" s="40" t="n">
        <x:v>15.7</x:v>
      </x:c>
      <x:c r="H1967" s="40" t="n">
        <x:f>F1967-E1967</x:f>
        <x:v>0.4158409118652351</x:v>
      </x:c>
      <x:c r="I1967" s="40" t="n">
        <x:f>ABS(H1967)</x:f>
        <x:v>0.4158409118652351</x:v>
      </x:c>
      <x:c r="J1967" s="40" t="n">
        <x:f>H1967^2</x:f>
        <x:v>0.17292366398091022</x:v>
      </x:c>
      <x:c r="K1967" s="40" t="n">
        <x:f>G1967-E1967</x:f>
        <x:v>0</x:v>
      </x:c>
      <x:c r="L1967" s="40" t="n">
        <x:f>ABS(K1967)</x:f>
        <x:v>0</x:v>
      </x:c>
      <x:c r="M1967" s="41" t="str">
        <x:v>lstm-soil-v1</x:v>
      </x:c>
    </x:row>
    <x:row r="1968">
      <x:c r="A1968" s="38" t="str">
        <x:v>7月30日现场数据</x:v>
      </x:c>
      <x:c r="B1968" s="39" t="str">
        <x:v>2026-08-02T06:30:00</x:v>
      </x:c>
      <x:c r="C1968" s="39" t="str">
        <x:v>2026-08-02T06:35:00</x:v>
      </x:c>
      <x:c r="D1968" s="47" t="n">
        <x:v>5</x:v>
      </x:c>
      <x:c r="E1968" s="40" t="n">
        <x:v>15.7</x:v>
      </x:c>
      <x:c r="F1968" s="40" t="n">
        <x:v>14.008373260498047</x:v>
      </x:c>
      <x:c r="G1968" s="40" t="n">
        <x:v>15.7</x:v>
      </x:c>
      <x:c r="H1968" s="40" t="n">
        <x:f>F1968-E1968</x:f>
        <x:v>-1.6916267395019524</x:v>
      </x:c>
      <x:c r="I1968" s="40" t="n">
        <x:f>ABS(H1968)</x:f>
        <x:v>1.6916267395019524</x:v>
      </x:c>
      <x:c r="J1968" s="40" t="n">
        <x:f>H1968^2</x:f>
        <x:v>2.8616010257980062</x:v>
      </x:c>
      <x:c r="K1968" s="40" t="n">
        <x:f>G1968-E1968</x:f>
        <x:v>0</x:v>
      </x:c>
      <x:c r="L1968" s="40" t="n">
        <x:f>ABS(K1968)</x:f>
        <x:v>0</x:v>
      </x:c>
      <x:c r="M1968" s="41" t="str">
        <x:v>lstm-soil-v1</x:v>
      </x:c>
    </x:row>
    <x:row r="1969">
      <x:c r="A1969" s="38" t="str">
        <x:v>7月30日现场数据</x:v>
      </x:c>
      <x:c r="B1969" s="39" t="str">
        <x:v>2026-08-02T06:30:00</x:v>
      </x:c>
      <x:c r="C1969" s="39" t="str">
        <x:v>2026-08-02T06:45:00</x:v>
      </x:c>
      <x:c r="D1969" s="47" t="n">
        <x:v>15</x:v>
      </x:c>
      <x:c r="E1969" s="40" t="n">
        <x:v>15.7</x:v>
      </x:c>
      <x:c r="F1969" s="40" t="n">
        <x:v>14.08346939086914</x:v>
      </x:c>
      <x:c r="G1969" s="40" t="n">
        <x:v>15.7</x:v>
      </x:c>
      <x:c r="H1969" s="40" t="n">
        <x:f>F1969-E1969</x:f>
        <x:v>-1.6165306091308587</x:v>
      </x:c>
      <x:c r="I1969" s="40" t="n">
        <x:f>ABS(H1969)</x:f>
        <x:v>1.6165306091308587</x:v>
      </x:c>
      <x:c r="J1969" s="40" t="n">
        <x:f>H1969^2</x:f>
        <x:v>2.613171210256985</x:v>
      </x:c>
      <x:c r="K1969" s="40" t="n">
        <x:f>G1969-E1969</x:f>
        <x:v>0</x:v>
      </x:c>
      <x:c r="L1969" s="40" t="n">
        <x:f>ABS(K1969)</x:f>
        <x:v>0</x:v>
      </x:c>
      <x:c r="M1969" s="41" t="str">
        <x:v>lstm-soil-v1</x:v>
      </x:c>
    </x:row>
    <x:row r="1970">
      <x:c r="A1970" s="38" t="str">
        <x:v>7月30日现场数据</x:v>
      </x:c>
      <x:c r="B1970" s="39" t="str">
        <x:v>2026-08-02T06:30:00</x:v>
      </x:c>
      <x:c r="C1970" s="39" t="str">
        <x:v>2026-08-02T07:00:00</x:v>
      </x:c>
      <x:c r="D1970" s="47" t="n">
        <x:v>30</x:v>
      </x:c>
      <x:c r="E1970" s="40" t="n">
        <x:v>15.7</x:v>
      </x:c>
      <x:c r="F1970" s="40" t="n">
        <x:v>14.527660369873047</x:v>
      </x:c>
      <x:c r="G1970" s="40" t="n">
        <x:v>15.7</x:v>
      </x:c>
      <x:c r="H1970" s="40" t="n">
        <x:f>F1970-E1970</x:f>
        <x:v>-1.1723396301269524</x:v>
      </x:c>
      <x:c r="I1970" s="40" t="n">
        <x:f>ABS(H1970)</x:f>
        <x:v>1.1723396301269524</x:v>
      </x:c>
      <x:c r="J1970" s="40" t="n">
        <x:f>H1970^2</x:f>
        <x:v>1.3743802083661996</x:v>
      </x:c>
      <x:c r="K1970" s="40" t="n">
        <x:f>G1970-E1970</x:f>
        <x:v>0</x:v>
      </x:c>
      <x:c r="L1970" s="40" t="n">
        <x:f>ABS(K1970)</x:f>
        <x:v>0</x:v>
      </x:c>
      <x:c r="M1970" s="41" t="str">
        <x:v>lstm-soil-v1</x:v>
      </x:c>
    </x:row>
    <x:row r="1971">
      <x:c r="A1971" s="38" t="str">
        <x:v>7月30日现场数据</x:v>
      </x:c>
      <x:c r="B1971" s="39" t="str">
        <x:v>2026-08-02T06:30:00</x:v>
      </x:c>
      <x:c r="C1971" s="39" t="str">
        <x:v>2026-08-02T07:30:00</x:v>
      </x:c>
      <x:c r="D1971" s="47" t="n">
        <x:v>60</x:v>
      </x:c>
      <x:c r="E1971" s="40" t="n">
        <x:v>15.7</x:v>
      </x:c>
      <x:c r="F1971" s="40" t="n">
        <x:v>16.115875244140625</x:v>
      </x:c>
      <x:c r="G1971" s="40" t="n">
        <x:v>15.7</x:v>
      </x:c>
      <x:c r="H1971" s="40" t="n">
        <x:f>F1971-E1971</x:f>
        <x:v>0.4158752441406257</x:v>
      </x:c>
      <x:c r="I1971" s="40" t="n">
        <x:f>ABS(H1971)</x:f>
        <x:v>0.4158752441406257</x:v>
      </x:c>
      <x:c r="J1971" s="40" t="n">
        <x:f>H1971^2</x:f>
        <x:v>0.17295221868902505</x:v>
      </x:c>
      <x:c r="K1971" s="40" t="n">
        <x:f>G1971-E1971</x:f>
        <x:v>0</x:v>
      </x:c>
      <x:c r="L1971" s="40" t="n">
        <x:f>ABS(K1971)</x:f>
        <x:v>0</x:v>
      </x:c>
      <x:c r="M1971" s="41" t="str">
        <x:v>lstm-soil-v1</x:v>
      </x:c>
    </x:row>
    <x:row r="1972">
      <x:c r="A1972" s="38" t="str">
        <x:v>7月30日现场数据</x:v>
      </x:c>
      <x:c r="B1972" s="39" t="str">
        <x:v>2026-08-02T06:35:00</x:v>
      </x:c>
      <x:c r="C1972" s="39" t="str">
        <x:v>2026-08-02T06:40:00</x:v>
      </x:c>
      <x:c r="D1972" s="47" t="n">
        <x:v>5</x:v>
      </x:c>
      <x:c r="E1972" s="40" t="n">
        <x:v>15.7</x:v>
      </x:c>
      <x:c r="F1972" s="40" t="n">
        <x:v>14.008377075195312</x:v>
      </x:c>
      <x:c r="G1972" s="40" t="n">
        <x:v>15.7</x:v>
      </x:c>
      <x:c r="H1972" s="40" t="n">
        <x:f>F1972-E1972</x:f>
        <x:v>-1.6916229248046868</x:v>
      </x:c>
      <x:c r="I1972" s="40" t="n">
        <x:f>ABS(H1972)</x:f>
        <x:v>1.6916229248046868</x:v>
      </x:c>
      <x:c r="J1972" s="40" t="n">
        <x:f>H1972^2</x:f>
        <x:v>2.8615881197247632</x:v>
      </x:c>
      <x:c r="K1972" s="40" t="n">
        <x:f>G1972-E1972</x:f>
        <x:v>0</x:v>
      </x:c>
      <x:c r="L1972" s="40" t="n">
        <x:f>ABS(K1972)</x:f>
        <x:v>0</x:v>
      </x:c>
      <x:c r="M1972" s="41" t="str">
        <x:v>lstm-soil-v1</x:v>
      </x:c>
    </x:row>
    <x:row r="1973">
      <x:c r="A1973" s="38" t="str">
        <x:v>7月30日现场数据</x:v>
      </x:c>
      <x:c r="B1973" s="39" t="str">
        <x:v>2026-08-02T06:35:00</x:v>
      </x:c>
      <x:c r="C1973" s="39" t="str">
        <x:v>2026-08-02T06:50:00</x:v>
      </x:c>
      <x:c r="D1973" s="47" t="n">
        <x:v>15</x:v>
      </x:c>
      <x:c r="E1973" s="40" t="n">
        <x:v>15.7</x:v>
      </x:c>
      <x:c r="F1973" s="40" t="n">
        <x:v>14.083358764648438</x:v>
      </x:c>
      <x:c r="G1973" s="40" t="n">
        <x:v>15.7</x:v>
      </x:c>
      <x:c r="H1973" s="40" t="n">
        <x:f>F1973-E1973</x:f>
        <x:v>-1.6166412353515618</x:v>
      </x:c>
      <x:c r="I1973" s="40" t="n">
        <x:f>ABS(H1973)</x:f>
        <x:v>1.6166412353515618</x:v>
      </x:c>
      <x:c r="J1973" s="40" t="n">
        <x:f>H1973^2</x:f>
        <x:v>2.613528883839024</x:v>
      </x:c>
      <x:c r="K1973" s="40" t="n">
        <x:f>G1973-E1973</x:f>
        <x:v>0</x:v>
      </x:c>
      <x:c r="L1973" s="40" t="n">
        <x:f>ABS(K1973)</x:f>
        <x:v>0</x:v>
      </x:c>
      <x:c r="M1973" s="41" t="str">
        <x:v>lstm-soil-v1</x:v>
      </x:c>
    </x:row>
    <x:row r="1974">
      <x:c r="A1974" s="38" t="str">
        <x:v>7月30日现场数据</x:v>
      </x:c>
      <x:c r="B1974" s="39" t="str">
        <x:v>2026-08-02T06:35:00</x:v>
      </x:c>
      <x:c r="C1974" s="39" t="str">
        <x:v>2026-08-02T07:05:00</x:v>
      </x:c>
      <x:c r="D1974" s="47" t="n">
        <x:v>30</x:v>
      </x:c>
      <x:c r="E1974" s="40" t="n">
        <x:v>15.7</x:v>
      </x:c>
      <x:c r="F1974" s="40" t="n">
        <x:v>14.527565002441406</x:v>
      </x:c>
      <x:c r="G1974" s="40" t="n">
        <x:v>15.7</x:v>
      </x:c>
      <x:c r="H1974" s="40" t="n">
        <x:f>F1974-E1974</x:f>
        <x:v>-1.172434997558593</x:v>
      </x:c>
      <x:c r="I1974" s="40" t="n">
        <x:f>ABS(H1974)</x:f>
        <x:v>1.172434997558593</x:v>
      </x:c>
      <x:c r="J1974" s="40" t="n">
        <x:f>H1974^2</x:f>
        <x:v>1.374603823500218</x:v>
      </x:c>
      <x:c r="K1974" s="40" t="n">
        <x:f>G1974-E1974</x:f>
        <x:v>0</x:v>
      </x:c>
      <x:c r="L1974" s="40" t="n">
        <x:f>ABS(K1974)</x:f>
        <x:v>0</x:v>
      </x:c>
      <x:c r="M1974" s="41" t="str">
        <x:v>lstm-soil-v1</x:v>
      </x:c>
    </x:row>
    <x:row r="1975">
      <x:c r="A1975" s="38" t="str">
        <x:v>7月30日现场数据</x:v>
      </x:c>
      <x:c r="B1975" s="39" t="str">
        <x:v>2026-08-02T06:35:00</x:v>
      </x:c>
      <x:c r="C1975" s="39" t="str">
        <x:v>2026-08-02T07:35:00</x:v>
      </x:c>
      <x:c r="D1975" s="47" t="n">
        <x:v>60</x:v>
      </x:c>
      <x:c r="E1975" s="40" t="n">
        <x:v>15.7</x:v>
      </x:c>
      <x:c r="F1975" s="40" t="n">
        <x:v>16.115921020507812</x:v>
      </x:c>
      <x:c r="G1975" s="40" t="n">
        <x:v>15.7</x:v>
      </x:c>
      <x:c r="H1975" s="40" t="n">
        <x:f>F1975-E1975</x:f>
        <x:v>0.4159210205078132</x:v>
      </x:c>
      <x:c r="I1975" s="40" t="n">
        <x:f>ABS(H1975)</x:f>
        <x:v>0.4159210205078132</x:v>
      </x:c>
      <x:c r="J1975" s="40" t="n">
        <x:f>H1975^2</x:f>
        <x:v>0.17299029530026078</x:v>
      </x:c>
      <x:c r="K1975" s="40" t="n">
        <x:f>G1975-E1975</x:f>
        <x:v>0</x:v>
      </x:c>
      <x:c r="L1975" s="40" t="n">
        <x:f>ABS(K1975)</x:f>
        <x:v>0</x:v>
      </x:c>
      <x:c r="M1975" s="41" t="str">
        <x:v>lstm-soil-v1</x:v>
      </x:c>
    </x:row>
    <x:row r="1976">
      <x:c r="A1976" s="38" t="str">
        <x:v>7月30日现场数据</x:v>
      </x:c>
      <x:c r="B1976" s="39" t="str">
        <x:v>2026-08-02T06:40:00</x:v>
      </x:c>
      <x:c r="C1976" s="39" t="str">
        <x:v>2026-08-02T06:45:00</x:v>
      </x:c>
      <x:c r="D1976" s="47" t="n">
        <x:v>5</x:v>
      </x:c>
      <x:c r="E1976" s="40" t="n">
        <x:v>15.7</x:v>
      </x:c>
      <x:c r="F1976" s="40" t="n">
        <x:v>14.008411407470703</x:v>
      </x:c>
      <x:c r="G1976" s="40" t="n">
        <x:v>15.7</x:v>
      </x:c>
      <x:c r="H1976" s="40" t="n">
        <x:f>F1976-E1976</x:f>
        <x:v>-1.6915885925292962</x:v>
      </x:c>
      <x:c r="I1976" s="40" t="n">
        <x:f>ABS(H1976)</x:f>
        <x:v>1.6915885925292962</x:v>
      </x:c>
      <x:c r="J1976" s="40" t="n">
        <x:f>H1976^2</x:f>
        <x:v>2.861471966375245</x:v>
      </x:c>
      <x:c r="K1976" s="40" t="n">
        <x:f>G1976-E1976</x:f>
        <x:v>0</x:v>
      </x:c>
      <x:c r="L1976" s="40" t="n">
        <x:f>ABS(K1976)</x:f>
        <x:v>0</x:v>
      </x:c>
      <x:c r="M1976" s="41" t="str">
        <x:v>lstm-soil-v1</x:v>
      </x:c>
    </x:row>
    <x:row r="1977">
      <x:c r="A1977" s="38" t="str">
        <x:v>7月30日现场数据</x:v>
      </x:c>
      <x:c r="B1977" s="39" t="str">
        <x:v>2026-08-02T06:40:00</x:v>
      </x:c>
      <x:c r="C1977" s="39" t="str">
        <x:v>2026-08-02T06:55:00</x:v>
      </x:c>
      <x:c r="D1977" s="47" t="n">
        <x:v>15</x:v>
      </x:c>
      <x:c r="E1977" s="40" t="n">
        <x:v>15.7</x:v>
      </x:c>
      <x:c r="F1977" s="40" t="n">
        <x:v>14.083240509033203</x:v>
      </x:c>
      <x:c r="G1977" s="40" t="n">
        <x:v>15.7</x:v>
      </x:c>
      <x:c r="H1977" s="40" t="n">
        <x:f>F1977-E1977</x:f>
        <x:v>-1.6167594909667962</x:v>
      </x:c>
      <x:c r="I1977" s="40" t="n">
        <x:f>ABS(H1977)</x:f>
        <x:v>1.6167594909667962</x:v>
      </x:c>
      <x:c r="J1977" s="40" t="n">
        <x:f>H1977^2</x:f>
        <x:v>2.613911251631214</x:v>
      </x:c>
      <x:c r="K1977" s="40" t="n">
        <x:f>G1977-E1977</x:f>
        <x:v>0</x:v>
      </x:c>
      <x:c r="L1977" s="40" t="n">
        <x:f>ABS(K1977)</x:f>
        <x:v>0</x:v>
      </x:c>
      <x:c r="M1977" s="41" t="str">
        <x:v>lstm-soil-v1</x:v>
      </x:c>
    </x:row>
    <x:row r="1978">
      <x:c r="A1978" s="38" t="str">
        <x:v>7月30日现场数据</x:v>
      </x:c>
      <x:c r="B1978" s="39" t="str">
        <x:v>2026-08-02T06:40:00</x:v>
      </x:c>
      <x:c r="C1978" s="39" t="str">
        <x:v>2026-08-02T07:10:00</x:v>
      </x:c>
      <x:c r="D1978" s="47" t="n">
        <x:v>30</x:v>
      </x:c>
      <x:c r="E1978" s="40" t="n">
        <x:v>15.7</x:v>
      </x:c>
      <x:c r="F1978" s="40" t="n">
        <x:v>14.527599334716797</x:v>
      </x:c>
      <x:c r="G1978" s="40" t="n">
        <x:v>15.7</x:v>
      </x:c>
      <x:c r="H1978" s="40" t="n">
        <x:f>F1978-E1978</x:f>
        <x:v>-1.1724006652832024</x:v>
      </x:c>
      <x:c r="I1978" s="40" t="n">
        <x:f>ABS(H1978)</x:f>
        <x:v>1.1724006652832024</x:v>
      </x:c>
      <x:c r="J1978" s="40" t="n">
        <x:f>H1978^2</x:f>
        <x:v>1.3745233199564957</x:v>
      </x:c>
      <x:c r="K1978" s="40" t="n">
        <x:f>G1978-E1978</x:f>
        <x:v>0</x:v>
      </x:c>
      <x:c r="L1978" s="40" t="n">
        <x:f>ABS(K1978)</x:f>
        <x:v>0</x:v>
      </x:c>
      <x:c r="M1978" s="41" t="str">
        <x:v>lstm-soil-v1</x:v>
      </x:c>
    </x:row>
    <x:row r="1979">
      <x:c r="A1979" s="38" t="str">
        <x:v>7月30日现场数据</x:v>
      </x:c>
      <x:c r="B1979" s="39" t="str">
        <x:v>2026-08-02T06:40:00</x:v>
      </x:c>
      <x:c r="C1979" s="39" t="str">
        <x:v>2026-08-02T07:40:00</x:v>
      </x:c>
      <x:c r="D1979" s="47" t="n">
        <x:v>60</x:v>
      </x:c>
      <x:c r="E1979" s="40" t="n">
        <x:v>15.7</x:v>
      </x:c>
      <x:c r="F1979" s="40" t="n">
        <x:v>16.115997314453125</x:v>
      </x:c>
      <x:c r="G1979" s="40" t="n">
        <x:v>15.7</x:v>
      </x:c>
      <x:c r="H1979" s="40" t="n">
        <x:f>F1979-E1979</x:f>
        <x:v>0.4159973144531257</x:v>
      </x:c>
      <x:c r="I1979" s="40" t="n">
        <x:f>ABS(H1979)</x:f>
        <x:v>0.4159973144531257</x:v>
      </x:c>
      <x:c r="J1979" s="40" t="n">
        <x:f>H1979^2</x:f>
        <x:v>0.17305376563221275</x:v>
      </x:c>
      <x:c r="K1979" s="40" t="n">
        <x:f>G1979-E1979</x:f>
        <x:v>0</x:v>
      </x:c>
      <x:c r="L1979" s="40" t="n">
        <x:f>ABS(K1979)</x:f>
        <x:v>0</x:v>
      </x:c>
      <x:c r="M1979" s="41" t="str">
        <x:v>lstm-soil-v1</x:v>
      </x:c>
    </x:row>
    <x:row r="1980">
      <x:c r="A1980" s="38" t="str">
        <x:v>7月30日现场数据</x:v>
      </x:c>
      <x:c r="B1980" s="39" t="str">
        <x:v>2026-08-02T06:45:00</x:v>
      </x:c>
      <x:c r="C1980" s="39" t="str">
        <x:v>2026-08-02T06:50:00</x:v>
      </x:c>
      <x:c r="D1980" s="47" t="n">
        <x:v>5</x:v>
      </x:c>
      <x:c r="E1980" s="40" t="n">
        <x:v>15.7</x:v>
      </x:c>
      <x:c r="F1980" s="40" t="n">
        <x:v>14.008468627929688</x:v>
      </x:c>
      <x:c r="G1980" s="40" t="n">
        <x:v>15.7</x:v>
      </x:c>
      <x:c r="H1980" s="40" t="n">
        <x:f>F1980-E1980</x:f>
        <x:v>-1.6915313720703118</x:v>
      </x:c>
      <x:c r="I1980" s="40" t="n">
        <x:f>ABS(H1980)</x:f>
        <x:v>1.6915313720703118</x:v>
      </x:c>
      <x:c r="J1980" s="40" t="n">
        <x:f>H1980^2</x:f>
        <x:v>2.8612783826980714</x:v>
      </x:c>
      <x:c r="K1980" s="40" t="n">
        <x:f>G1980-E1980</x:f>
        <x:v>0</x:v>
      </x:c>
      <x:c r="L1980" s="40" t="n">
        <x:f>ABS(K1980)</x:f>
        <x:v>0</x:v>
      </x:c>
      <x:c r="M1980" s="41" t="str">
        <x:v>lstm-soil-v1</x:v>
      </x:c>
    </x:row>
    <x:row r="1981">
      <x:c r="A1981" s="38" t="str">
        <x:v>7月30日现场数据</x:v>
      </x:c>
      <x:c r="B1981" s="39" t="str">
        <x:v>2026-08-02T06:45:00</x:v>
      </x:c>
      <x:c r="C1981" s="39" t="str">
        <x:v>2026-08-02T07:00:00</x:v>
      </x:c>
      <x:c r="D1981" s="47" t="n">
        <x:v>15</x:v>
      </x:c>
      <x:c r="E1981" s="40" t="n">
        <x:v>15.7</x:v>
      </x:c>
      <x:c r="F1981" s="40" t="n">
        <x:v>14.083152770996094</x:v>
      </x:c>
      <x:c r="G1981" s="40" t="n">
        <x:v>15.7</x:v>
      </x:c>
      <x:c r="H1981" s="40" t="n">
        <x:f>F1981-E1981</x:f>
        <x:v>-1.6168472290039055</x:v>
      </x:c>
      <x:c r="I1981" s="40" t="n">
        <x:f>ABS(H1981)</x:f>
        <x:v>1.6168472290039055</x:v>
      </x:c>
      <x:c r="J1981" s="40" t="n">
        <x:f>H1981^2</x:f>
        <x:v>2.6141949619376077</x:v>
      </x:c>
      <x:c r="K1981" s="40" t="n">
        <x:f>G1981-E1981</x:f>
        <x:v>0</x:v>
      </x:c>
      <x:c r="L1981" s="40" t="n">
        <x:f>ABS(K1981)</x:f>
        <x:v>0</x:v>
      </x:c>
      <x:c r="M1981" s="41" t="str">
        <x:v>lstm-soil-v1</x:v>
      </x:c>
    </x:row>
    <x:row r="1982">
      <x:c r="A1982" s="38" t="str">
        <x:v>7月30日现场数据</x:v>
      </x:c>
      <x:c r="B1982" s="39" t="str">
        <x:v>2026-08-02T06:45:00</x:v>
      </x:c>
      <x:c r="C1982" s="39" t="str">
        <x:v>2026-08-02T07:15:00</x:v>
      </x:c>
      <x:c r="D1982" s="47" t="n">
        <x:v>30</x:v>
      </x:c>
      <x:c r="E1982" s="40" t="n">
        <x:v>15.7</x:v>
      </x:c>
      <x:c r="F1982" s="40" t="n">
        <x:v>14.527717590332031</x:v>
      </x:c>
      <x:c r="G1982" s="40" t="n">
        <x:v>15.7</x:v>
      </x:c>
      <x:c r="H1982" s="40" t="n">
        <x:f>F1982-E1982</x:f>
        <x:v>-1.172282409667968</x:v>
      </x:c>
      <x:c r="I1982" s="40" t="n">
        <x:f>ABS(H1982)</x:f>
        <x:v>1.172282409667968</x:v>
      </x:c>
      <x:c r="J1982" s="40" t="n">
        <x:f>H1982^2</x:f>
        <x:v>1.3742460480169376</x:v>
      </x:c>
      <x:c r="K1982" s="40" t="n">
        <x:f>G1982-E1982</x:f>
        <x:v>0</x:v>
      </x:c>
      <x:c r="L1982" s="40" t="n">
        <x:f>ABS(K1982)</x:f>
        <x:v>0</x:v>
      </x:c>
      <x:c r="M1982" s="41" t="str">
        <x:v>lstm-soil-v1</x:v>
      </x:c>
    </x:row>
    <x:row r="1983">
      <x:c r="A1983" s="38" t="str">
        <x:v>7月30日现场数据</x:v>
      </x:c>
      <x:c r="B1983" s="39" t="str">
        <x:v>2026-08-02T06:45:00</x:v>
      </x:c>
      <x:c r="C1983" s="39" t="str">
        <x:v>2026-08-02T07:45:00</x:v>
      </x:c>
      <x:c r="D1983" s="47" t="n">
        <x:v>60</x:v>
      </x:c>
      <x:c r="E1983" s="40" t="n">
        <x:v>15.7</x:v>
      </x:c>
      <x:c r="F1983" s="40" t="n">
        <x:v>16.11606216430664</x:v>
      </x:c>
      <x:c r="G1983" s="40" t="n">
        <x:v>15.7</x:v>
      </x:c>
      <x:c r="H1983" s="40" t="n">
        <x:f>F1983-E1983</x:f>
        <x:v>0.41606216430664134</x:v>
      </x:c>
      <x:c r="I1983" s="40" t="n">
        <x:f>ABS(H1983)</x:f>
        <x:v>0.41606216430664134</x:v>
      </x:c>
      <x:c r="J1983" s="40" t="n">
        <x:f>H1983^2</x:f>
        <x:v>0.1731077245675266</x:v>
      </x:c>
      <x:c r="K1983" s="40" t="n">
        <x:f>G1983-E1983</x:f>
        <x:v>0</x:v>
      </x:c>
      <x:c r="L1983" s="40" t="n">
        <x:f>ABS(K1983)</x:f>
        <x:v>0</x:v>
      </x:c>
      <x:c r="M1983" s="41" t="str">
        <x:v>lstm-soil-v1</x:v>
      </x:c>
    </x:row>
    <x:row r="1984">
      <x:c r="A1984" s="38" t="str">
        <x:v>7月30日现场数据</x:v>
      </x:c>
      <x:c r="B1984" s="39" t="str">
        <x:v>2026-08-02T06:50:00</x:v>
      </x:c>
      <x:c r="C1984" s="39" t="str">
        <x:v>2026-08-02T06:55:00</x:v>
      </x:c>
      <x:c r="D1984" s="47" t="n">
        <x:v>5</x:v>
      </x:c>
      <x:c r="E1984" s="40" t="n">
        <x:v>15.7</x:v>
      </x:c>
      <x:c r="F1984" s="40" t="n">
        <x:v>14.007816314697266</x:v>
      </x:c>
      <x:c r="G1984" s="40" t="n">
        <x:v>15.7</x:v>
      </x:c>
      <x:c r="H1984" s="40" t="n">
        <x:f>F1984-E1984</x:f>
        <x:v>-1.6921836853027337</x:v>
      </x:c>
      <x:c r="I1984" s="40" t="n">
        <x:f>ABS(H1984)</x:f>
        <x:v>1.6921836853027337</x:v>
      </x:c>
      <x:c r="J1984" s="40" t="n">
        <x:f>H1984^2</x:f>
        <x:v>2.863485624804741</x:v>
      </x:c>
      <x:c r="K1984" s="40" t="n">
        <x:f>G1984-E1984</x:f>
        <x:v>0</x:v>
      </x:c>
      <x:c r="L1984" s="40" t="n">
        <x:f>ABS(K1984)</x:f>
        <x:v>0</x:v>
      </x:c>
      <x:c r="M1984" s="41" t="str">
        <x:v>lstm-soil-v1</x:v>
      </x:c>
    </x:row>
    <x:row r="1985">
      <x:c r="A1985" s="38" t="str">
        <x:v>7月30日现场数据</x:v>
      </x:c>
      <x:c r="B1985" s="39" t="str">
        <x:v>2026-08-02T06:50:00</x:v>
      </x:c>
      <x:c r="C1985" s="39" t="str">
        <x:v>2026-08-02T07:05:00</x:v>
      </x:c>
      <x:c r="D1985" s="47" t="n">
        <x:v>15</x:v>
      </x:c>
      <x:c r="E1985" s="40" t="n">
        <x:v>15.7</x:v>
      </x:c>
      <x:c r="F1985" s="40" t="n">
        <x:v>14.083808898925781</x:v>
      </x:c>
      <x:c r="G1985" s="40" t="n">
        <x:v>15.7</x:v>
      </x:c>
      <x:c r="H1985" s="40" t="n">
        <x:f>F1985-E1985</x:f>
        <x:v>-1.616191101074218</x:v>
      </x:c>
      <x:c r="I1985" s="40" t="n">
        <x:f>ABS(H1985)</x:f>
        <x:v>1.616191101074218</x:v>
      </x:c>
      <x:c r="J1985" s="40" t="n">
        <x:f>H1985^2</x:f>
        <x:v>2.6120736751914935</x:v>
      </x:c>
      <x:c r="K1985" s="40" t="n">
        <x:f>G1985-E1985</x:f>
        <x:v>0</x:v>
      </x:c>
      <x:c r="L1985" s="40" t="n">
        <x:f>ABS(K1985)</x:f>
        <x:v>0</x:v>
      </x:c>
      <x:c r="M1985" s="41" t="str">
        <x:v>lstm-soil-v1</x:v>
      </x:c>
    </x:row>
    <x:row r="1986">
      <x:c r="A1986" s="38" t="str">
        <x:v>7月30日现场数据</x:v>
      </x:c>
      <x:c r="B1986" s="39" t="str">
        <x:v>2026-08-02T06:50:00</x:v>
      </x:c>
      <x:c r="C1986" s="39" t="str">
        <x:v>2026-08-02T07:20:00</x:v>
      </x:c>
      <x:c r="D1986" s="47" t="n">
        <x:v>30</x:v>
      </x:c>
      <x:c r="E1986" s="40" t="n">
        <x:v>15.7</x:v>
      </x:c>
      <x:c r="F1986" s="40" t="n">
        <x:v>14.527946472167969</x:v>
      </x:c>
      <x:c r="G1986" s="40" t="n">
        <x:v>15.7</x:v>
      </x:c>
      <x:c r="H1986" s="40" t="n">
        <x:f>F1986-E1986</x:f>
        <x:v>-1.1720535278320305</x:v>
      </x:c>
      <x:c r="I1986" s="40" t="n">
        <x:f>ABS(H1986)</x:f>
        <x:v>1.1720535278320305</x:v>
      </x:c>
      <x:c r="J1986" s="40" t="n">
        <x:f>H1986^2</x:f>
        <x:v>1.3737094721035084</x:v>
      </x:c>
      <x:c r="K1986" s="40" t="n">
        <x:f>G1986-E1986</x:f>
        <x:v>0</x:v>
      </x:c>
      <x:c r="L1986" s="40" t="n">
        <x:f>ABS(K1986)</x:f>
        <x:v>0</x:v>
      </x:c>
      <x:c r="M1986" s="41" t="str">
        <x:v>lstm-soil-v1</x:v>
      </x:c>
    </x:row>
    <x:row r="1987">
      <x:c r="A1987" s="38" t="str">
        <x:v>7月30日现场数据</x:v>
      </x:c>
      <x:c r="B1987" s="39" t="str">
        <x:v>2026-08-02T06:50:00</x:v>
      </x:c>
      <x:c r="C1987" s="39" t="str">
        <x:v>2026-08-02T07:50:00</x:v>
      </x:c>
      <x:c r="D1987" s="47" t="n">
        <x:v>60</x:v>
      </x:c>
      <x:c r="E1987" s="40" t="n">
        <x:v>15.7</x:v>
      </x:c>
      <x:c r="F1987" s="40" t="n">
        <x:v>16.116756439208984</x:v>
      </x:c>
      <x:c r="G1987" s="40" t="n">
        <x:v>15.7</x:v>
      </x:c>
      <x:c r="H1987" s="40" t="n">
        <x:f>F1987-E1987</x:f>
        <x:v>0.4167564392089851</x:v>
      </x:c>
      <x:c r="I1987" s="40" t="n">
        <x:f>ABS(H1987)</x:f>
        <x:v>0.4167564392089851</x:v>
      </x:c>
      <x:c r="J1987" s="40" t="n">
        <x:f>H1987^2</x:f>
        <x:v>0.17368592962215249</x:v>
      </x:c>
      <x:c r="K1987" s="40" t="n">
        <x:f>G1987-E1987</x:f>
        <x:v>0</x:v>
      </x:c>
      <x:c r="L1987" s="40" t="n">
        <x:f>ABS(K1987)</x:f>
        <x:v>0</x:v>
      </x:c>
      <x:c r="M1987" s="41" t="str">
        <x:v>lstm-soil-v1</x:v>
      </x:c>
    </x:row>
    <x:row r="1988">
      <x:c r="A1988" s="38" t="str">
        <x:v>7月30日现场数据</x:v>
      </x:c>
      <x:c r="B1988" s="39" t="str">
        <x:v>2026-08-02T06:55:00</x:v>
      </x:c>
      <x:c r="C1988" s="39" t="str">
        <x:v>2026-08-02T07:00:00</x:v>
      </x:c>
      <x:c r="D1988" s="47" t="n">
        <x:v>5</x:v>
      </x:c>
      <x:c r="E1988" s="40" t="n">
        <x:v>15.7</x:v>
      </x:c>
      <x:c r="F1988" s="40" t="n">
        <x:v>14.00699234008789</x:v>
      </x:c>
      <x:c r="G1988" s="40" t="n">
        <x:v>15.7</x:v>
      </x:c>
      <x:c r="H1988" s="40" t="n">
        <x:f>F1988-E1988</x:f>
        <x:v>-1.6930076599121087</x:v>
      </x:c>
      <x:c r="I1988" s="40" t="n">
        <x:f>ABS(H1988)</x:f>
        <x:v>1.6930076599121087</x:v>
      </x:c>
      <x:c r="J1988" s="40" t="n">
        <x:f>H1988^2</x:f>
        <x:v>2.8662749365210742</x:v>
      </x:c>
      <x:c r="K1988" s="40" t="n">
        <x:f>G1988-E1988</x:f>
        <x:v>0</x:v>
      </x:c>
      <x:c r="L1988" s="40" t="n">
        <x:f>ABS(K1988)</x:f>
        <x:v>0</x:v>
      </x:c>
      <x:c r="M1988" s="41" t="str">
        <x:v>lstm-soil-v1</x:v>
      </x:c>
    </x:row>
    <x:row r="1989">
      <x:c r="A1989" s="38" t="str">
        <x:v>7月30日现场数据</x:v>
      </x:c>
      <x:c r="B1989" s="39" t="str">
        <x:v>2026-08-02T06:55:00</x:v>
      </x:c>
      <x:c r="C1989" s="39" t="str">
        <x:v>2026-08-02T07:10:00</x:v>
      </x:c>
      <x:c r="D1989" s="47" t="n">
        <x:v>15</x:v>
      </x:c>
      <x:c r="E1989" s="40" t="n">
        <x:v>15.7</x:v>
      </x:c>
      <x:c r="F1989" s="40" t="n">
        <x:v>14.084041595458984</x:v>
      </x:c>
      <x:c r="G1989" s="40" t="n">
        <x:v>15.7</x:v>
      </x:c>
      <x:c r="H1989" s="40" t="n">
        <x:f>F1989-E1989</x:f>
        <x:v>-1.615958404541015</x:v>
      </x:c>
      <x:c r="I1989" s="40" t="n">
        <x:f>ABS(H1989)</x:f>
        <x:v>1.615958404541015</x:v>
      </x:c>
      <x:c r="J1989" s="40" t="n">
        <x:f>H1989^2</x:f>
        <x:v>2.6113215652067425</x:v>
      </x:c>
      <x:c r="K1989" s="40" t="n">
        <x:f>G1989-E1989</x:f>
        <x:v>0</x:v>
      </x:c>
      <x:c r="L1989" s="40" t="n">
        <x:f>ABS(K1989)</x:f>
        <x:v>0</x:v>
      </x:c>
      <x:c r="M1989" s="41" t="str">
        <x:v>lstm-soil-v1</x:v>
      </x:c>
    </x:row>
    <x:row r="1990">
      <x:c r="A1990" s="38" t="str">
        <x:v>7月30日现场数据</x:v>
      </x:c>
      <x:c r="B1990" s="39" t="str">
        <x:v>2026-08-02T06:55:00</x:v>
      </x:c>
      <x:c r="C1990" s="39" t="str">
        <x:v>2026-08-02T07:25:00</x:v>
      </x:c>
      <x:c r="D1990" s="47" t="n">
        <x:v>30</x:v>
      </x:c>
      <x:c r="E1990" s="40" t="n">
        <x:v>15.7</x:v>
      </x:c>
      <x:c r="F1990" s="40" t="n">
        <x:v>14.526496887207031</x:v>
      </x:c>
      <x:c r="G1990" s="40" t="n">
        <x:v>15.7</x:v>
      </x:c>
      <x:c r="H1990" s="40" t="n">
        <x:f>F1990-E1990</x:f>
        <x:v>-1.173503112792968</x:v>
      </x:c>
      <x:c r="I1990" s="40" t="n">
        <x:f>ABS(H1990)</x:f>
        <x:v>1.173503112792968</x:v>
      </x:c>
      <x:c r="J1990" s="40" t="n">
        <x:f>H1990^2</x:f>
        <x:v>1.3771095557347854</x:v>
      </x:c>
      <x:c r="K1990" s="40" t="n">
        <x:f>G1990-E1990</x:f>
        <x:v>0</x:v>
      </x:c>
      <x:c r="L1990" s="40" t="n">
        <x:f>ABS(K1990)</x:f>
        <x:v>0</x:v>
      </x:c>
      <x:c r="M1990" s="41" t="str">
        <x:v>lstm-soil-v1</x:v>
      </x:c>
    </x:row>
    <x:row r="1991">
      <x:c r="A1991" s="38" t="str">
        <x:v>7月30日现场数据</x:v>
      </x:c>
      <x:c r="B1991" s="39" t="str">
        <x:v>2026-08-02T06:55:00</x:v>
      </x:c>
      <x:c r="C1991" s="39" t="str">
        <x:v>2026-08-02T07:55:00</x:v>
      </x:c>
      <x:c r="D1991" s="47" t="n">
        <x:v>60</x:v>
      </x:c>
      <x:c r="E1991" s="40" t="n">
        <x:v>15.7</x:v>
      </x:c>
      <x:c r="F1991" s="40" t="n">
        <x:v>16.113792419433594</x:v>
      </x:c>
      <x:c r="G1991" s="40" t="n">
        <x:v>15.7</x:v>
      </x:c>
      <x:c r="H1991" s="40" t="n">
        <x:f>F1991-E1991</x:f>
        <x:v>0.41379241943359446</x:v>
      </x:c>
      <x:c r="I1991" s="40" t="n">
        <x:f>ABS(H1991)</x:f>
        <x:v>0.41379241943359446</x:v>
      </x:c>
      <x:c r="J1991" s="40" t="n">
        <x:f>H1991^2</x:f>
        <x:v>0.17122416638070775</x:v>
      </x:c>
      <x:c r="K1991" s="40" t="n">
        <x:f>G1991-E1991</x:f>
        <x:v>0</x:v>
      </x:c>
      <x:c r="L1991" s="40" t="n">
        <x:f>ABS(K1991)</x:f>
        <x:v>0</x:v>
      </x:c>
      <x:c r="M1991" s="41" t="str">
        <x:v>lstm-soil-v1</x:v>
      </x:c>
    </x:row>
    <x:row r="1992">
      <x:c r="A1992" s="38" t="str">
        <x:v>7月30日现场数据</x:v>
      </x:c>
      <x:c r="B1992" s="39" t="str">
        <x:v>2026-08-02T07:00:00</x:v>
      </x:c>
      <x:c r="C1992" s="39" t="str">
        <x:v>2026-08-02T07:05:00</x:v>
      </x:c>
      <x:c r="D1992" s="47" t="n">
        <x:v>5</x:v>
      </x:c>
      <x:c r="E1992" s="40" t="n">
        <x:v>15.7</x:v>
      </x:c>
      <x:c r="F1992" s="40" t="n">
        <x:v>14.008609771728516</x:v>
      </x:c>
      <x:c r="G1992" s="40" t="n">
        <x:v>15.7</x:v>
      </x:c>
      <x:c r="H1992" s="40" t="n">
        <x:f>F1992-E1992</x:f>
        <x:v>-1.6913902282714837</x:v>
      </x:c>
      <x:c r="I1992" s="40" t="n">
        <x:f>ABS(H1992)</x:f>
        <x:v>1.6913902282714837</x:v>
      </x:c>
      <x:c r="J1992" s="40" t="n">
        <x:f>H1992^2</x:f>
        <x:v>2.8608009042922617</x:v>
      </x:c>
      <x:c r="K1992" s="40" t="n">
        <x:f>G1992-E1992</x:f>
        <x:v>0</x:v>
      </x:c>
      <x:c r="L1992" s="40" t="n">
        <x:f>ABS(K1992)</x:f>
        <x:v>0</x:v>
      </x:c>
      <x:c r="M1992" s="41" t="str">
        <x:v>lstm-soil-v1</x:v>
      </x:c>
    </x:row>
    <x:row r="1993">
      <x:c r="A1993" s="38" t="str">
        <x:v>7月30日现场数据</x:v>
      </x:c>
      <x:c r="B1993" s="39" t="str">
        <x:v>2026-08-02T07:00:00</x:v>
      </x:c>
      <x:c r="C1993" s="39" t="str">
        <x:v>2026-08-02T07:15:00</x:v>
      </x:c>
      <x:c r="D1993" s="47" t="n">
        <x:v>15</x:v>
      </x:c>
      <x:c r="E1993" s="40" t="n">
        <x:v>15.7</x:v>
      </x:c>
      <x:c r="F1993" s="40" t="n">
        <x:v>14.08419418334961</x:v>
      </x:c>
      <x:c r="G1993" s="40" t="n">
        <x:v>15.7</x:v>
      </x:c>
      <x:c r="H1993" s="40" t="n">
        <x:f>F1993-E1993</x:f>
        <x:v>-1.61580581665039</x:v>
      </x:c>
      <x:c r="I1993" s="40" t="n">
        <x:f>ABS(H1993)</x:f>
        <x:v>1.61580581665039</x:v>
      </x:c>
      <x:c r="J1993" s="40" t="n">
        <x:f>H1993^2</x:f>
        <x:v>2.6108284371212336</x:v>
      </x:c>
      <x:c r="K1993" s="40" t="n">
        <x:f>G1993-E1993</x:f>
        <x:v>0</x:v>
      </x:c>
      <x:c r="L1993" s="40" t="n">
        <x:f>ABS(K1993)</x:f>
        <x:v>0</x:v>
      </x:c>
      <x:c r="M1993" s="41" t="str">
        <x:v>lstm-soil-v1</x:v>
      </x:c>
    </x:row>
    <x:row r="1994">
      <x:c r="A1994" s="38" t="str">
        <x:v>7月30日现场数据</x:v>
      </x:c>
      <x:c r="B1994" s="39" t="str">
        <x:v>2026-08-02T07:00:00</x:v>
      </x:c>
      <x:c r="C1994" s="39" t="str">
        <x:v>2026-08-02T07:30:00</x:v>
      </x:c>
      <x:c r="D1994" s="47" t="n">
        <x:v>30</x:v>
      </x:c>
      <x:c r="E1994" s="40" t="n">
        <x:v>15.7</x:v>
      </x:c>
      <x:c r="F1994" s="40" t="n">
        <x:v>14.52834701538086</x:v>
      </x:c>
      <x:c r="G1994" s="40" t="n">
        <x:v>15.7</x:v>
      </x:c>
      <x:c r="H1994" s="40" t="n">
        <x:f>F1994-E1994</x:f>
        <x:v>-1.17165298461914</x:v>
      </x:c>
      <x:c r="I1994" s="40" t="n">
        <x:f>ABS(H1994)</x:f>
        <x:v>1.17165298461914</x:v>
      </x:c>
      <x:c r="J1994" s="40" t="n">
        <x:f>H1994^2</x:f>
        <x:v>1.3727707163669385</x:v>
      </x:c>
      <x:c r="K1994" s="40" t="n">
        <x:f>G1994-E1994</x:f>
        <x:v>0</x:v>
      </x:c>
      <x:c r="L1994" s="40" t="n">
        <x:f>ABS(K1994)</x:f>
        <x:v>0</x:v>
      </x:c>
      <x:c r="M1994" s="41" t="str">
        <x:v>lstm-soil-v1</x:v>
      </x:c>
    </x:row>
    <x:row r="1995">
      <x:c r="A1995" s="38" t="str">
        <x:v>7月30日现场数据</x:v>
      </x:c>
      <x:c r="B1995" s="39" t="str">
        <x:v>2026-08-02T07:00:00</x:v>
      </x:c>
      <x:c r="C1995" s="39" t="str">
        <x:v>2026-08-02T08:00:00</x:v>
      </x:c>
      <x:c r="D1995" s="47" t="n">
        <x:v>60</x:v>
      </x:c>
      <x:c r="E1995" s="40" t="n">
        <x:v>15.7</x:v>
      </x:c>
      <x:c r="F1995" s="40" t="n">
        <x:v>16.11990737915039</x:v>
      </x:c>
      <x:c r="G1995" s="40" t="n">
        <x:v>15.7</x:v>
      </x:c>
      <x:c r="H1995" s="40" t="n">
        <x:f>F1995-E1995</x:f>
        <x:v>0.41990737915039134</x:v>
      </x:c>
      <x:c r="I1995" s="40" t="n">
        <x:f>ABS(H1995)</x:f>
        <x:v>0.41990737915039134</x:v>
      </x:c>
      <x:c r="J1995" s="40" t="n">
        <x:f>H1995^2</x:f>
        <x:v>0.1763222070649505</x:v>
      </x:c>
      <x:c r="K1995" s="40" t="n">
        <x:f>G1995-E1995</x:f>
        <x:v>0</x:v>
      </x:c>
      <x:c r="L1995" s="40" t="n">
        <x:f>ABS(K1995)</x:f>
        <x:v>0</x:v>
      </x:c>
      <x:c r="M1995" s="41" t="str">
        <x:v>lstm-soil-v1</x:v>
      </x:c>
    </x:row>
    <x:row r="1996">
      <x:c r="A1996" s="38" t="str">
        <x:v>7月30日现场数据</x:v>
      </x:c>
      <x:c r="B1996" s="39" t="str">
        <x:v>2026-08-02T07:05:00</x:v>
      </x:c>
      <x:c r="C1996" s="39" t="str">
        <x:v>2026-08-02T07:10:00</x:v>
      </x:c>
      <x:c r="D1996" s="47" t="n">
        <x:v>5</x:v>
      </x:c>
      <x:c r="E1996" s="40" t="n">
        <x:v>15.7</x:v>
      </x:c>
      <x:c r="F1996" s="40" t="n">
        <x:v>14.009963989257812</x:v>
      </x:c>
      <x:c r="G1996" s="40" t="n">
        <x:v>15.7</x:v>
      </x:c>
      <x:c r="H1996" s="40" t="n">
        <x:f>F1996-E1996</x:f>
        <x:v>-1.6900360107421868</x:v>
      </x:c>
      <x:c r="I1996" s="40" t="n">
        <x:f>ABS(H1996)</x:f>
        <x:v>1.6900360107421868</x:v>
      </x:c>
      <x:c r="J1996" s="40" t="n">
        <x:f>H1996^2</x:f>
        <x:v>2.856221717605365</x:v>
      </x:c>
      <x:c r="K1996" s="40" t="n">
        <x:f>G1996-E1996</x:f>
        <x:v>0</x:v>
      </x:c>
      <x:c r="L1996" s="40" t="n">
        <x:f>ABS(K1996)</x:f>
        <x:v>0</x:v>
      </x:c>
      <x:c r="M1996" s="41" t="str">
        <x:v>lstm-soil-v1</x:v>
      </x:c>
    </x:row>
    <x:row r="1997">
      <x:c r="A1997" s="38" t="str">
        <x:v>7月30日现场数据</x:v>
      </x:c>
      <x:c r="B1997" s="39" t="str">
        <x:v>2026-08-02T07:05:00</x:v>
      </x:c>
      <x:c r="C1997" s="39" t="str">
        <x:v>2026-08-02T07:20:00</x:v>
      </x:c>
      <x:c r="D1997" s="47" t="n">
        <x:v>15</x:v>
      </x:c>
      <x:c r="E1997" s="40" t="n">
        <x:v>15.7</x:v>
      </x:c>
      <x:c r="F1997" s="40" t="n">
        <x:v>14.08590316772461</x:v>
      </x:c>
      <x:c r="G1997" s="40" t="n">
        <x:v>15.7</x:v>
      </x:c>
      <x:c r="H1997" s="40" t="n">
        <x:f>F1997-E1997</x:f>
        <x:v>-1.61409683227539</x:v>
      </x:c>
      <x:c r="I1997" s="40" t="n">
        <x:f>ABS(H1997)</x:f>
        <x:v>1.61409683227539</x:v>
      </x:c>
      <x:c r="J1997" s="40" t="n">
        <x:f>H1997^2</x:f>
        <x:v>2.605308583961448</x:v>
      </x:c>
      <x:c r="K1997" s="40" t="n">
        <x:f>G1997-E1997</x:f>
        <x:v>0</x:v>
      </x:c>
      <x:c r="L1997" s="40" t="n">
        <x:f>ABS(K1997)</x:f>
        <x:v>0</x:v>
      </x:c>
      <x:c r="M1997" s="41" t="str">
        <x:v>lstm-soil-v1</x:v>
      </x:c>
    </x:row>
    <x:row r="1998">
      <x:c r="A1998" s="38" t="str">
        <x:v>7月30日现场数据</x:v>
      </x:c>
      <x:c r="B1998" s="39" t="str">
        <x:v>2026-08-02T07:05:00</x:v>
      </x:c>
      <x:c r="C1998" s="39" t="str">
        <x:v>2026-08-02T07:35:00</x:v>
      </x:c>
      <x:c r="D1998" s="47" t="n">
        <x:v>30</x:v>
      </x:c>
      <x:c r="E1998" s="40" t="n">
        <x:v>15.7</x:v>
      </x:c>
      <x:c r="F1998" s="40" t="n">
        <x:v>14.5299072265625</x:v>
      </x:c>
      <x:c r="G1998" s="40" t="n">
        <x:v>15.7</x:v>
      </x:c>
      <x:c r="H1998" s="40" t="n">
        <x:f>F1998-E1998</x:f>
        <x:v>-1.1700927734374993</x:v>
      </x:c>
      <x:c r="I1998" s="40" t="n">
        <x:f>ABS(H1998)</x:f>
        <x:v>1.1700927734374993</x:v>
      </x:c>
      <x:c r="J1998" s="40" t="n">
        <x:f>H1998^2</x:f>
        <x:v>1.369117098450659</x:v>
      </x:c>
      <x:c r="K1998" s="40" t="n">
        <x:f>G1998-E1998</x:f>
        <x:v>0</x:v>
      </x:c>
      <x:c r="L1998" s="40" t="n">
        <x:f>ABS(K1998)</x:f>
        <x:v>0</x:v>
      </x:c>
      <x:c r="M1998" s="41" t="str">
        <x:v>lstm-soil-v1</x:v>
      </x:c>
    </x:row>
    <x:row r="1999">
      <x:c r="A1999" s="38" t="str">
        <x:v>7月30日现场数据</x:v>
      </x:c>
      <x:c r="B1999" s="39" t="str">
        <x:v>2026-08-02T07:05:00</x:v>
      </x:c>
      <x:c r="C1999" s="39" t="str">
        <x:v>2026-08-02T08:05:00</x:v>
      </x:c>
      <x:c r="D1999" s="47" t="n">
        <x:v>60</x:v>
      </x:c>
      <x:c r="E1999" s="40" t="n">
        <x:v>15.7</x:v>
      </x:c>
      <x:c r="F1999" s="40" t="n">
        <x:v>16.123332977294922</x:v>
      </x:c>
      <x:c r="G1999" s="40" t="n">
        <x:v>15.7</x:v>
      </x:c>
      <x:c r="H1999" s="40" t="n">
        <x:f>F1999-E1999</x:f>
        <x:v>0.4233329772949226</x:v>
      </x:c>
      <x:c r="I1999" s="40" t="n">
        <x:f>ABS(H1999)</x:f>
        <x:v>0.4233329772949226</x:v>
      </x:c>
      <x:c r="J1999" s="40" t="n">
        <x:f>H1999^2</x:f>
        <x:v>0.17921080966538344</x:v>
      </x:c>
      <x:c r="K1999" s="40" t="n">
        <x:f>G1999-E1999</x:f>
        <x:v>0</x:v>
      </x:c>
      <x:c r="L1999" s="40" t="n">
        <x:f>ABS(K1999)</x:f>
        <x:v>0</x:v>
      </x:c>
      <x:c r="M1999" s="41" t="str">
        <x:v>lstm-soil-v1</x:v>
      </x:c>
    </x:row>
    <x:row r="2000">
      <x:c r="A2000" s="38" t="str">
        <x:v>7月30日现场数据</x:v>
      </x:c>
      <x:c r="B2000" s="39" t="str">
        <x:v>2026-08-02T07:10:00</x:v>
      </x:c>
      <x:c r="C2000" s="39" t="str">
        <x:v>2026-08-02T07:15:00</x:v>
      </x:c>
      <x:c r="D2000" s="47" t="n">
        <x:v>5</x:v>
      </x:c>
      <x:c r="E2000" s="40" t="n">
        <x:v>15.7</x:v>
      </x:c>
      <x:c r="F2000" s="40" t="n">
        <x:v>14.011253356933594</x:v>
      </x:c>
      <x:c r="G2000" s="40" t="n">
        <x:v>15.7</x:v>
      </x:c>
      <x:c r="H2000" s="40" t="n">
        <x:f>F2000-E2000</x:f>
        <x:v>-1.6887466430664055</x:v>
      </x:c>
      <x:c r="I2000" s="40" t="n">
        <x:f>ABS(H2000)</x:f>
        <x:v>1.6887466430664055</x:v>
      </x:c>
      <x:c r="J2000" s="40" t="n">
        <x:f>H2000^2</x:f>
        <x:v>2.8518652244680536</x:v>
      </x:c>
      <x:c r="K2000" s="40" t="n">
        <x:f>G2000-E2000</x:f>
        <x:v>0</x:v>
      </x:c>
      <x:c r="L2000" s="40" t="n">
        <x:f>ABS(K2000)</x:f>
        <x:v>0</x:v>
      </x:c>
      <x:c r="M2000" s="41" t="str">
        <x:v>lstm-soil-v1</x:v>
      </x:c>
    </x:row>
    <x:row r="2001">
      <x:c r="A2001" s="38" t="str">
        <x:v>7月30日现场数据</x:v>
      </x:c>
      <x:c r="B2001" s="39" t="str">
        <x:v>2026-08-02T07:10:00</x:v>
      </x:c>
      <x:c r="C2001" s="39" t="str">
        <x:v>2026-08-02T07:25:00</x:v>
      </x:c>
      <x:c r="D2001" s="47" t="n">
        <x:v>15</x:v>
      </x:c>
      <x:c r="E2001" s="40" t="n">
        <x:v>15.7</x:v>
      </x:c>
      <x:c r="F2001" s="40" t="n">
        <x:v>14.087512969970703</x:v>
      </x:c>
      <x:c r="G2001" s="40" t="n">
        <x:v>15.7</x:v>
      </x:c>
      <x:c r="H2001" s="40" t="n">
        <x:f>F2001-E2001</x:f>
        <x:v>-1.6124870300292962</x:v>
      </x:c>
      <x:c r="I2001" s="40" t="n">
        <x:f>ABS(H2001)</x:f>
        <x:v>1.6124870300292962</x:v>
      </x:c>
      <x:c r="J2001" s="40" t="n">
        <x:f>H2001^2</x:f>
        <x:v>2.6001144220127004</x:v>
      </x:c>
      <x:c r="K2001" s="40" t="n">
        <x:f>G2001-E2001</x:f>
        <x:v>0</x:v>
      </x:c>
      <x:c r="L2001" s="40" t="n">
        <x:f>ABS(K2001)</x:f>
        <x:v>0</x:v>
      </x:c>
      <x:c r="M2001" s="41" t="str">
        <x:v>lstm-soil-v1</x:v>
      </x:c>
    </x:row>
    <x:row r="2002">
      <x:c r="A2002" s="38" t="str">
        <x:v>7月30日现场数据</x:v>
      </x:c>
      <x:c r="B2002" s="39" t="str">
        <x:v>2026-08-02T07:10:00</x:v>
      </x:c>
      <x:c r="C2002" s="39" t="str">
        <x:v>2026-08-02T07:40:00</x:v>
      </x:c>
      <x:c r="D2002" s="47" t="n">
        <x:v>30</x:v>
      </x:c>
      <x:c r="E2002" s="40" t="n">
        <x:v>15.7</x:v>
      </x:c>
      <x:c r="F2002" s="40" t="n">
        <x:v>14.531326293945312</x:v>
      </x:c>
      <x:c r="G2002" s="40" t="n">
        <x:v>15.7</x:v>
      </x:c>
      <x:c r="H2002" s="40" t="n">
        <x:f>F2002-E2002</x:f>
        <x:v>-1.1686737060546868</x:v>
      </x:c>
      <x:c r="I2002" s="40" t="n">
        <x:f>ABS(H2002)</x:f>
        <x:v>1.1686737060546868</x:v>
      </x:c>
      <x:c r="J2002" s="40" t="n">
        <x:f>H2002^2</x:f>
        <x:v>1.3657982312235966</x:v>
      </x:c>
      <x:c r="K2002" s="40" t="n">
        <x:f>G2002-E2002</x:f>
        <x:v>0</x:v>
      </x:c>
      <x:c r="L2002" s="40" t="n">
        <x:f>ABS(K2002)</x:f>
        <x:v>0</x:v>
      </x:c>
      <x:c r="M2002" s="41" t="str">
        <x:v>lstm-soil-v1</x:v>
      </x:c>
    </x:row>
    <x:row r="2003">
      <x:c r="A2003" s="38" t="str">
        <x:v>7月30日现场数据</x:v>
      </x:c>
      <x:c r="B2003" s="39" t="str">
        <x:v>2026-08-02T07:10:00</x:v>
      </x:c>
      <x:c r="C2003" s="39" t="str">
        <x:v>2026-08-02T08:10:00</x:v>
      </x:c>
      <x:c r="D2003" s="47" t="n">
        <x:v>60</x:v>
      </x:c>
      <x:c r="E2003" s="40" t="n">
        <x:v>15.7</x:v>
      </x:c>
      <x:c r="F2003" s="40" t="n">
        <x:v>16.12628173828125</x:v>
      </x:c>
      <x:c r="G2003" s="40" t="n">
        <x:v>15.7</x:v>
      </x:c>
      <x:c r="H2003" s="40" t="n">
        <x:f>F2003-E2003</x:f>
        <x:v>0.4262817382812507</x:v>
      </x:c>
      <x:c r="I2003" s="40" t="n">
        <x:f>ABS(H2003)</x:f>
        <x:v>0.4262817382812507</x:v>
      </x:c>
      <x:c r="J2003" s="40" t="n">
        <x:f>H2003^2</x:f>
        <x:v>0.18171612039208473</x:v>
      </x:c>
      <x:c r="K2003" s="40" t="n">
        <x:f>G2003-E2003</x:f>
        <x:v>0</x:v>
      </x:c>
      <x:c r="L2003" s="40" t="n">
        <x:f>ABS(K2003)</x:f>
        <x:v>0</x:v>
      </x:c>
      <x:c r="M2003" s="41" t="str">
        <x:v>lstm-soil-v1</x:v>
      </x:c>
    </x:row>
    <x:row r="2004">
      <x:c r="A2004" s="38" t="str">
        <x:v>7月30日现场数据</x:v>
      </x:c>
      <x:c r="B2004" s="39" t="str">
        <x:v>2026-08-02T07:15:00</x:v>
      </x:c>
      <x:c r="C2004" s="39" t="str">
        <x:v>2026-08-02T07:20:00</x:v>
      </x:c>
      <x:c r="D2004" s="47" t="n">
        <x:v>5</x:v>
      </x:c>
      <x:c r="E2004" s="40" t="n">
        <x:v>15.7</x:v>
      </x:c>
      <x:c r="F2004" s="40" t="n">
        <x:v>14.012454986572266</x:v>
      </x:c>
      <x:c r="G2004" s="40" t="n">
        <x:v>15.7</x:v>
      </x:c>
      <x:c r="H2004" s="40" t="n">
        <x:f>F2004-E2004</x:f>
        <x:v>-1.6875450134277337</x:v>
      </x:c>
      <x:c r="I2004" s="40" t="n">
        <x:f>ABS(H2004)</x:f>
        <x:v>1.6875450134277337</x:v>
      </x:c>
      <x:c r="J2004" s="40" t="n">
        <x:f>H2004^2</x:f>
        <x:v>2.8478081723448097</x:v>
      </x:c>
      <x:c r="K2004" s="40" t="n">
        <x:f>G2004-E2004</x:f>
        <x:v>0</x:v>
      </x:c>
      <x:c r="L2004" s="40" t="n">
        <x:f>ABS(K2004)</x:f>
        <x:v>0</x:v>
      </x:c>
      <x:c r="M2004" s="41" t="str">
        <x:v>lstm-soil-v1</x:v>
      </x:c>
    </x:row>
    <x:row r="2005">
      <x:c r="A2005" s="38" t="str">
        <x:v>7月30日现场数据</x:v>
      </x:c>
      <x:c r="B2005" s="39" t="str">
        <x:v>2026-08-02T07:15:00</x:v>
      </x:c>
      <x:c r="C2005" s="39" t="str">
        <x:v>2026-08-02T07:30:00</x:v>
      </x:c>
      <x:c r="D2005" s="47" t="n">
        <x:v>15</x:v>
      </x:c>
      <x:c r="E2005" s="40" t="n">
        <x:v>15.7</x:v>
      </x:c>
      <x:c r="F2005" s="40" t="n">
        <x:v>14.08892822265625</x:v>
      </x:c>
      <x:c r="G2005" s="40" t="n">
        <x:v>15.7</x:v>
      </x:c>
      <x:c r="H2005" s="40" t="n">
        <x:f>F2005-E2005</x:f>
        <x:v>-1.6110717773437493</x:v>
      </x:c>
      <x:c r="I2005" s="40" t="n">
        <x:f>ABS(H2005)</x:f>
        <x:v>1.6110717773437493</x:v>
      </x:c>
      <x:c r="J2005" s="40" t="n">
        <x:f>H2005^2</x:f>
        <x:v>2.5955522717535473</x:v>
      </x:c>
      <x:c r="K2005" s="40" t="n">
        <x:f>G2005-E2005</x:f>
        <x:v>0</x:v>
      </x:c>
      <x:c r="L2005" s="40" t="n">
        <x:f>ABS(K2005)</x:f>
        <x:v>0</x:v>
      </x:c>
      <x:c r="M2005" s="41" t="str">
        <x:v>lstm-soil-v1</x:v>
      </x:c>
    </x:row>
    <x:row r="2006">
      <x:c r="A2006" s="38" t="str">
        <x:v>7月30日现场数据</x:v>
      </x:c>
      <x:c r="B2006" s="39" t="str">
        <x:v>2026-08-02T07:15:00</x:v>
      </x:c>
      <x:c r="C2006" s="39" t="str">
        <x:v>2026-08-02T07:45:00</x:v>
      </x:c>
      <x:c r="D2006" s="47" t="n">
        <x:v>30</x:v>
      </x:c>
      <x:c r="E2006" s="40" t="n">
        <x:v>15.7</x:v>
      </x:c>
      <x:c r="F2006" s="40" t="n">
        <x:v>14.53249740600586</x:v>
      </x:c>
      <x:c r="G2006" s="40" t="n">
        <x:v>15.7</x:v>
      </x:c>
      <x:c r="H2006" s="40" t="n">
        <x:f>F2006-E2006</x:f>
        <x:v>-1.16750259399414</x:v>
      </x:c>
      <x:c r="I2006" s="40" t="n">
        <x:f>ABS(H2006)</x:f>
        <x:v>1.16750259399414</x:v>
      </x:c>
      <x:c r="J2006" s="40" t="n">
        <x:f>H2006^2</x:f>
        <x:v>1.3630623069830454</x:v>
      </x:c>
      <x:c r="K2006" s="40" t="n">
        <x:f>G2006-E2006</x:f>
        <x:v>0</x:v>
      </x:c>
      <x:c r="L2006" s="40" t="n">
        <x:f>ABS(K2006)</x:f>
        <x:v>0</x:v>
      </x:c>
      <x:c r="M2006" s="41" t="str">
        <x:v>lstm-soil-v1</x:v>
      </x:c>
    </x:row>
    <x:row r="2007">
      <x:c r="A2007" s="38" t="str">
        <x:v>7月30日现场数据</x:v>
      </x:c>
      <x:c r="B2007" s="39" t="str">
        <x:v>2026-08-02T07:15:00</x:v>
      </x:c>
      <x:c r="C2007" s="39" t="str">
        <x:v>2026-08-02T08:15:00</x:v>
      </x:c>
      <x:c r="D2007" s="47" t="n">
        <x:v>60</x:v>
      </x:c>
      <x:c r="E2007" s="40" t="n">
        <x:v>15.7</x:v>
      </x:c>
      <x:c r="F2007" s="40" t="n">
        <x:v>16.128467559814453</x:v>
      </x:c>
      <x:c r="G2007" s="40" t="n">
        <x:v>15.7</x:v>
      </x:c>
      <x:c r="H2007" s="40" t="n">
        <x:f>F2007-E2007</x:f>
        <x:v>0.42846755981445384</x:v>
      </x:c>
      <x:c r="I2007" s="40" t="n">
        <x:f>ABS(H2007)</x:f>
        <x:v>0.42846755981445384</x:v>
      </x:c>
      <x:c r="J2007" s="40" t="n">
        <x:f>H2007^2</x:f>
        <x:v>0.18358444981335256</x:v>
      </x:c>
      <x:c r="K2007" s="40" t="n">
        <x:f>G2007-E2007</x:f>
        <x:v>0</x:v>
      </x:c>
      <x:c r="L2007" s="40" t="n">
        <x:f>ABS(K2007)</x:f>
        <x:v>0</x:v>
      </x:c>
      <x:c r="M2007" s="41" t="str">
        <x:v>lstm-soil-v1</x:v>
      </x:c>
    </x:row>
    <x:row r="2008">
      <x:c r="A2008" s="38" t="str">
        <x:v>7月30日现场数据</x:v>
      </x:c>
      <x:c r="B2008" s="39" t="str">
        <x:v>2026-08-02T07:20:00</x:v>
      </x:c>
      <x:c r="C2008" s="39" t="str">
        <x:v>2026-08-02T07:25:00</x:v>
      </x:c>
      <x:c r="D2008" s="47" t="n">
        <x:v>5</x:v>
      </x:c>
      <x:c r="E2008" s="40" t="n">
        <x:v>15.7</x:v>
      </x:c>
      <x:c r="F2008" s="40" t="n">
        <x:v>14.013484954833984</x:v>
      </x:c>
      <x:c r="G2008" s="40" t="n">
        <x:v>15.7</x:v>
      </x:c>
      <x:c r="H2008" s="40" t="n">
        <x:f>F2008-E2008</x:f>
        <x:v>-1.686515045166015</x:v>
      </x:c>
      <x:c r="I2008" s="40" t="n">
        <x:f>ABS(H2008)</x:f>
        <x:v>1.686515045166015</x:v>
      </x:c>
      <x:c r="J2008" s="40" t="n">
        <x:f>H2008^2</x:f>
        <x:v>2.844332997571325</x:v>
      </x:c>
      <x:c r="K2008" s="40" t="n">
        <x:f>G2008-E2008</x:f>
        <x:v>0</x:v>
      </x:c>
      <x:c r="L2008" s="40" t="n">
        <x:f>ABS(K2008)</x:f>
        <x:v>0</x:v>
      </x:c>
      <x:c r="M2008" s="41" t="str">
        <x:v>lstm-soil-v1</x:v>
      </x:c>
    </x:row>
    <x:row r="2009">
      <x:c r="A2009" s="38" t="str">
        <x:v>7月30日现场数据</x:v>
      </x:c>
      <x:c r="B2009" s="39" t="str">
        <x:v>2026-08-02T07:20:00</x:v>
      </x:c>
      <x:c r="C2009" s="39" t="str">
        <x:v>2026-08-02T07:35:00</x:v>
      </x:c>
      <x:c r="D2009" s="47" t="n">
        <x:v>15</x:v>
      </x:c>
      <x:c r="E2009" s="40" t="n">
        <x:v>15.7</x:v>
      </x:c>
      <x:c r="F2009" s="40" t="n">
        <x:v>14.090091705322266</x:v>
      </x:c>
      <x:c r="G2009" s="40" t="n">
        <x:v>15.7</x:v>
      </x:c>
      <x:c r="H2009" s="40" t="n">
        <x:f>F2009-E2009</x:f>
        <x:v>-1.6099082946777337</x:v>
      </x:c>
      <x:c r="I2009" s="40" t="n">
        <x:f>ABS(H2009)</x:f>
        <x:v>1.6099082946777337</x:v>
      </x:c>
      <x:c r="J2009" s="40" t="n">
        <x:f>H2009^2</x:f>
        <x:v>2.5918047172721685</x:v>
      </x:c>
      <x:c r="K2009" s="40" t="n">
        <x:f>G2009-E2009</x:f>
        <x:v>0</x:v>
      </x:c>
      <x:c r="L2009" s="40" t="n">
        <x:f>ABS(K2009)</x:f>
        <x:v>0</x:v>
      </x:c>
      <x:c r="M2009" s="41" t="str">
        <x:v>lstm-soil-v1</x:v>
      </x:c>
    </x:row>
    <x:row r="2010">
      <x:c r="A2010" s="38" t="str">
        <x:v>7月30日现场数据</x:v>
      </x:c>
      <x:c r="B2010" s="39" t="str">
        <x:v>2026-08-02T07:20:00</x:v>
      </x:c>
      <x:c r="C2010" s="39" t="str">
        <x:v>2026-08-02T07:50:00</x:v>
      </x:c>
      <x:c r="D2010" s="47" t="n">
        <x:v>30</x:v>
      </x:c>
      <x:c r="E2010" s="40" t="n">
        <x:v>15.7</x:v>
      </x:c>
      <x:c r="F2010" s="40" t="n">
        <x:v>14.533462524414062</x:v>
      </x:c>
      <x:c r="G2010" s="40" t="n">
        <x:v>15.7</x:v>
      </x:c>
      <x:c r="H2010" s="40" t="n">
        <x:f>F2010-E2010</x:f>
        <x:v>-1.1665374755859368</x:v>
      </x:c>
      <x:c r="I2010" s="40" t="n">
        <x:f>ABS(H2010)</x:f>
        <x:v>1.1665374755859368</x:v>
      </x:c>
      <x:c r="J2010" s="40" t="n">
        <x:f>H2010^2</x:f>
        <x:v>1.3608096819464102</x:v>
      </x:c>
      <x:c r="K2010" s="40" t="n">
        <x:f>G2010-E2010</x:f>
        <x:v>0</x:v>
      </x:c>
      <x:c r="L2010" s="40" t="n">
        <x:f>ABS(K2010)</x:f>
        <x:v>0</x:v>
      </x:c>
      <x:c r="M2010" s="41" t="str">
        <x:v>lstm-soil-v1</x:v>
      </x:c>
    </x:row>
    <x:row r="2011">
      <x:c r="A2011" s="38" t="str">
        <x:v>7月30日现场数据</x:v>
      </x:c>
      <x:c r="B2011" s="39" t="str">
        <x:v>2026-08-02T07:20:00</x:v>
      </x:c>
      <x:c r="C2011" s="39" t="str">
        <x:v>2026-08-02T08:20:00</x:v>
      </x:c>
      <x:c r="D2011" s="47" t="n">
        <x:v>60</x:v>
      </x:c>
      <x:c r="E2011" s="40" t="n">
        <x:v>15.7</x:v>
      </x:c>
      <x:c r="F2011" s="40" t="n">
        <x:v>16.1300048828125</x:v>
      </x:c>
      <x:c r="G2011" s="40" t="n">
        <x:v>15.7</x:v>
      </x:c>
      <x:c r="H2011" s="40" t="n">
        <x:f>F2011-E2011</x:f>
        <x:v>0.4300048828125007</x:v>
      </x:c>
      <x:c r="I2011" s="40" t="n">
        <x:f>ABS(H2011)</x:f>
        <x:v>0.4300048828125007</x:v>
      </x:c>
      <x:c r="J2011" s="40" t="n">
        <x:f>H2011^2</x:f>
        <x:v>0.18490419924259247</x:v>
      </x:c>
      <x:c r="K2011" s="40" t="n">
        <x:f>G2011-E2011</x:f>
        <x:v>0</x:v>
      </x:c>
      <x:c r="L2011" s="40" t="n">
        <x:f>ABS(K2011)</x:f>
        <x:v>0</x:v>
      </x:c>
      <x:c r="M2011" s="41" t="str">
        <x:v>lstm-soil-v1</x:v>
      </x:c>
    </x:row>
    <x:row r="2012">
      <x:c r="A2012" s="38" t="str">
        <x:v>7月30日现场数据</x:v>
      </x:c>
      <x:c r="B2012" s="39" t="str">
        <x:v>2026-08-02T07:25:00</x:v>
      </x:c>
      <x:c r="C2012" s="39" t="str">
        <x:v>2026-08-02T07:30:00</x:v>
      </x:c>
      <x:c r="D2012" s="47" t="n">
        <x:v>5</x:v>
      </x:c>
      <x:c r="E2012" s="40" t="n">
        <x:v>15.7</x:v>
      </x:c>
      <x:c r="F2012" s="40" t="n">
        <x:v>14.014312744140625</x:v>
      </x:c>
      <x:c r="G2012" s="40" t="n">
        <x:v>15.7</x:v>
      </x:c>
      <x:c r="H2012" s="40" t="n">
        <x:f>F2012-E2012</x:f>
        <x:v>-1.6856872558593743</x:v>
      </x:c>
      <x:c r="I2012" s="40" t="n">
        <x:f>ABS(H2012)</x:f>
        <x:v>1.6856872558593743</x:v>
      </x:c>
      <x:c r="J2012" s="40" t="n">
        <x:f>H2012^2</x:f>
        <x:v>2.8415415245667077</x:v>
      </x:c>
      <x:c r="K2012" s="40" t="n">
        <x:f>G2012-E2012</x:f>
        <x:v>0</x:v>
      </x:c>
      <x:c r="L2012" s="40" t="n">
        <x:f>ABS(K2012)</x:f>
        <x:v>0</x:v>
      </x:c>
      <x:c r="M2012" s="41" t="str">
        <x:v>lstm-soil-v1</x:v>
      </x:c>
    </x:row>
    <x:row r="2013">
      <x:c r="A2013" s="38" t="str">
        <x:v>7月30日现场数据</x:v>
      </x:c>
      <x:c r="B2013" s="39" t="str">
        <x:v>2026-08-02T07:25:00</x:v>
      </x:c>
      <x:c r="C2013" s="39" t="str">
        <x:v>2026-08-02T07:40:00</x:v>
      </x:c>
      <x:c r="D2013" s="47" t="n">
        <x:v>15</x:v>
      </x:c>
      <x:c r="E2013" s="40" t="n">
        <x:v>15.7</x:v>
      </x:c>
      <x:c r="F2013" s="40" t="n">
        <x:v>14.090991973876953</x:v>
      </x:c>
      <x:c r="G2013" s="40" t="n">
        <x:v>15.7</x:v>
      </x:c>
      <x:c r="H2013" s="40" t="n">
        <x:f>F2013-E2013</x:f>
        <x:v>-1.6090080261230462</x:v>
      </x:c>
      <x:c r="I2013" s="40" t="n">
        <x:f>ABS(H2013)</x:f>
        <x:v>1.6090080261230462</x:v>
      </x:c>
      <x:c r="J2013" s="40" t="n">
        <x:f>H2013^2</x:f>
        <x:v>2.588906828128381</x:v>
      </x:c>
      <x:c r="K2013" s="40" t="n">
        <x:f>G2013-E2013</x:f>
        <x:v>0</x:v>
      </x:c>
      <x:c r="L2013" s="40" t="n">
        <x:f>ABS(K2013)</x:f>
        <x:v>0</x:v>
      </x:c>
      <x:c r="M2013" s="41" t="str">
        <x:v>lstm-soil-v1</x:v>
      </x:c>
    </x:row>
    <x:row r="2014">
      <x:c r="A2014" s="38" t="str">
        <x:v>7月30日现场数据</x:v>
      </x:c>
      <x:c r="B2014" s="39" t="str">
        <x:v>2026-08-02T07:25:00</x:v>
      </x:c>
      <x:c r="C2014" s="39" t="str">
        <x:v>2026-08-02T07:55:00</x:v>
      </x:c>
      <x:c r="D2014" s="47" t="n">
        <x:v>30</x:v>
      </x:c>
      <x:c r="E2014" s="40" t="n">
        <x:v>15.7</x:v>
      </x:c>
      <x:c r="F2014" s="40" t="n">
        <x:v>14.53420639038086</x:v>
      </x:c>
      <x:c r="G2014" s="40" t="n">
        <x:v>15.7</x:v>
      </x:c>
      <x:c r="H2014" s="40" t="n">
        <x:f>F2014-E2014</x:f>
        <x:v>-1.16579360961914</x:v>
      </x:c>
      <x:c r="I2014" s="40" t="n">
        <x:f>ABS(H2014)</x:f>
        <x:v>1.16579360961914</x:v>
      </x:c>
      <x:c r="J2014" s="40" t="n">
        <x:f>H2014^2</x:f>
        <x:v>1.3590747402288237</x:v>
      </x:c>
      <x:c r="K2014" s="40" t="n">
        <x:f>G2014-E2014</x:f>
        <x:v>0</x:v>
      </x:c>
      <x:c r="L2014" s="40" t="n">
        <x:f>ABS(K2014)</x:f>
        <x:v>0</x:v>
      </x:c>
      <x:c r="M2014" s="41" t="str">
        <x:v>lstm-soil-v1</x:v>
      </x:c>
    </x:row>
    <x:row r="2015">
      <x:c r="A2015" s="38" t="str">
        <x:v>7月30日现场数据</x:v>
      </x:c>
      <x:c r="B2015" s="39" t="str">
        <x:v>2026-08-02T07:25:00</x:v>
      </x:c>
      <x:c r="C2015" s="39" t="str">
        <x:v>2026-08-02T08:25:00</x:v>
      </x:c>
      <x:c r="D2015" s="47" t="n">
        <x:v>60</x:v>
      </x:c>
      <x:c r="E2015" s="40" t="n">
        <x:v>15.7</x:v>
      </x:c>
      <x:c r="F2015" s="40" t="n">
        <x:v>16.13105010986328</x:v>
      </x:c>
      <x:c r="G2015" s="40" t="n">
        <x:v>15.7</x:v>
      </x:c>
      <x:c r="H2015" s="40" t="n">
        <x:f>F2015-E2015</x:f>
        <x:v>0.43105010986328196</x:v>
      </x:c>
      <x:c r="I2015" s="40" t="n">
        <x:f>ABS(H2015)</x:f>
        <x:v>0.43105010986328196</x:v>
      </x:c>
      <x:c r="J2015" s="40" t="n">
        <x:f>H2015^2</x:f>
        <x:v>0.18580419721314745</x:v>
      </x:c>
      <x:c r="K2015" s="40" t="n">
        <x:f>G2015-E2015</x:f>
        <x:v>0</x:v>
      </x:c>
      <x:c r="L2015" s="40" t="n">
        <x:f>ABS(K2015)</x:f>
        <x:v>0</x:v>
      </x:c>
      <x:c r="M2015" s="41" t="str">
        <x:v>lstm-soil-v1</x:v>
      </x:c>
    </x:row>
    <x:row r="2016">
      <x:c r="A2016" s="38" t="str">
        <x:v>7月30日现场数据</x:v>
      </x:c>
      <x:c r="B2016" s="39" t="str">
        <x:v>2026-08-02T07:30:00</x:v>
      </x:c>
      <x:c r="C2016" s="39" t="str">
        <x:v>2026-08-02T07:35:00</x:v>
      </x:c>
      <x:c r="D2016" s="47" t="n">
        <x:v>5</x:v>
      </x:c>
      <x:c r="E2016" s="40" t="n">
        <x:v>15.7</x:v>
      </x:c>
      <x:c r="F2016" s="40" t="n">
        <x:v>14.014999389648438</x:v>
      </x:c>
      <x:c r="G2016" s="40" t="n">
        <x:v>15.7</x:v>
      </x:c>
      <x:c r="H2016" s="40" t="n">
        <x:f>F2016-E2016</x:f>
        <x:v>-1.6850006103515618</x:v>
      </x:c>
      <x:c r="I2016" s="40" t="n">
        <x:f>ABS(H2016)</x:f>
        <x:v>1.6850006103515618</x:v>
      </x:c>
      <x:c r="J2016" s="40" t="n">
        <x:f>H2016^2</x:f>
        <x:v>2.839227056885136</x:v>
      </x:c>
      <x:c r="K2016" s="40" t="n">
        <x:f>G2016-E2016</x:f>
        <x:v>0</x:v>
      </x:c>
      <x:c r="L2016" s="40" t="n">
        <x:f>ABS(K2016)</x:f>
        <x:v>0</x:v>
      </x:c>
      <x:c r="M2016" s="41" t="str">
        <x:v>lstm-soil-v1</x:v>
      </x:c>
    </x:row>
    <x:row r="2017">
      <x:c r="A2017" s="38" t="str">
        <x:v>7月30日现场数据</x:v>
      </x:c>
      <x:c r="B2017" s="39" t="str">
        <x:v>2026-08-02T07:30:00</x:v>
      </x:c>
      <x:c r="C2017" s="39" t="str">
        <x:v>2026-08-02T07:45:00</x:v>
      </x:c>
      <x:c r="D2017" s="47" t="n">
        <x:v>15</x:v>
      </x:c>
      <x:c r="E2017" s="40" t="n">
        <x:v>15.7</x:v>
      </x:c>
      <x:c r="F2017" s="40" t="n">
        <x:v>14.091724395751953</x:v>
      </x:c>
      <x:c r="G2017" s="40" t="n">
        <x:v>15.7</x:v>
      </x:c>
      <x:c r="H2017" s="40" t="n">
        <x:f>F2017-E2017</x:f>
        <x:v>-1.6082756042480462</x:v>
      </x:c>
      <x:c r="I2017" s="40" t="n">
        <x:f>ABS(H2017)</x:f>
        <x:v>1.6082756042480462</x:v>
      </x:c>
      <x:c r="J2017" s="40" t="n">
        <x:f>H2017^2</x:f>
        <x:v>2.586550419219418</x:v>
      </x:c>
      <x:c r="K2017" s="40" t="n">
        <x:f>G2017-E2017</x:f>
        <x:v>0</x:v>
      </x:c>
      <x:c r="L2017" s="40" t="n">
        <x:f>ABS(K2017)</x:f>
        <x:v>0</x:v>
      </x:c>
      <x:c r="M2017" s="41" t="str">
        <x:v>lstm-soil-v1</x:v>
      </x:c>
    </x:row>
    <x:row r="2018">
      <x:c r="A2018" s="38" t="str">
        <x:v>7月30日现场数据</x:v>
      </x:c>
      <x:c r="B2018" s="39" t="str">
        <x:v>2026-08-02T07:30:00</x:v>
      </x:c>
      <x:c r="C2018" s="39" t="str">
        <x:v>2026-08-02T08:00:00</x:v>
      </x:c>
      <x:c r="D2018" s="47" t="n">
        <x:v>30</x:v>
      </x:c>
      <x:c r="E2018" s="40" t="n">
        <x:v>15.7</x:v>
      </x:c>
      <x:c r="F2018" s="40" t="n">
        <x:v>14.534862518310547</x:v>
      </x:c>
      <x:c r="G2018" s="40" t="n">
        <x:v>15.7</x:v>
      </x:c>
      <x:c r="H2018" s="40" t="n">
        <x:f>F2018-E2018</x:f>
        <x:v>-1.1651374816894524</x:v>
      </x:c>
      <x:c r="I2018" s="40" t="n">
        <x:f>ABS(H2018)</x:f>
        <x:v>1.1651374816894524</x:v>
      </x:c>
      <x:c r="J2018" s="40" t="n">
        <x:f>H2018^2</x:f>
        <x:v>1.357545351237639</x:v>
      </x:c>
      <x:c r="K2018" s="40" t="n">
        <x:f>G2018-E2018</x:f>
        <x:v>0</x:v>
      </x:c>
      <x:c r="L2018" s="40" t="n">
        <x:f>ABS(K2018)</x:f>
        <x:v>0</x:v>
      </x:c>
      <x:c r="M2018" s="41" t="str">
        <x:v>lstm-soil-v1</x:v>
      </x:c>
    </x:row>
    <x:row r="2019">
      <x:c r="A2019" s="38" t="str">
        <x:v>7月30日现场数据</x:v>
      </x:c>
      <x:c r="B2019" s="39" t="str">
        <x:v>2026-08-02T07:30:00</x:v>
      </x:c>
      <x:c r="C2019" s="39" t="str">
        <x:v>2026-08-02T08:30:00</x:v>
      </x:c>
      <x:c r="D2019" s="47" t="n">
        <x:v>60</x:v>
      </x:c>
      <x:c r="E2019" s="40" t="n">
        <x:v>15.7</x:v>
      </x:c>
      <x:c r="F2019" s="40" t="n">
        <x:v>16.131771087646484</x:v>
      </x:c>
      <x:c r="G2019" s="40" t="n">
        <x:v>15.7</x:v>
      </x:c>
      <x:c r="H2019" s="40" t="n">
        <x:f>F2019-E2019</x:f>
        <x:v>0.4317710876464851</x:v>
      </x:c>
      <x:c r="I2019" s="40" t="n">
        <x:f>ABS(H2019)</x:f>
        <x:v>0.4317710876464851</x:v>
      </x:c>
      <x:c r="J2019" s="40" t="n">
        <x:f>H2019^2</x:f>
        <x:v>0.1864262721274287</x:v>
      </x:c>
      <x:c r="K2019" s="40" t="n">
        <x:f>G2019-E2019</x:f>
        <x:v>0</x:v>
      </x:c>
      <x:c r="L2019" s="40" t="n">
        <x:f>ABS(K2019)</x:f>
        <x:v>0</x:v>
      </x:c>
      <x:c r="M2019" s="41" t="str">
        <x:v>lstm-soil-v1</x:v>
      </x:c>
    </x:row>
    <x:row r="2020">
      <x:c r="A2020" s="38" t="str">
        <x:v>7月30日现场数据</x:v>
      </x:c>
      <x:c r="B2020" s="39" t="str">
        <x:v>2026-08-02T07:35:00</x:v>
      </x:c>
      <x:c r="C2020" s="39" t="str">
        <x:v>2026-08-02T07:40:00</x:v>
      </x:c>
      <x:c r="D2020" s="47" t="n">
        <x:v>5</x:v>
      </x:c>
      <x:c r="E2020" s="40" t="n">
        <x:v>15.7</x:v>
      </x:c>
      <x:c r="F2020" s="40" t="n">
        <x:v>14.015731811523438</x:v>
      </x:c>
      <x:c r="G2020" s="40" t="n">
        <x:v>15.7</x:v>
      </x:c>
      <x:c r="H2020" s="40" t="n">
        <x:f>F2020-E2020</x:f>
        <x:v>-1.6842681884765618</x:v>
      </x:c>
      <x:c r="I2020" s="40" t="n">
        <x:f>ABS(H2020)</x:f>
        <x:v>1.6842681884765618</x:v>
      </x:c>
      <x:c r="J2020" s="40" t="n">
        <x:f>H2020^2</x:f>
        <x:v>2.836759330714119</x:v>
      </x:c>
      <x:c r="K2020" s="40" t="n">
        <x:f>G2020-E2020</x:f>
        <x:v>0</x:v>
      </x:c>
      <x:c r="L2020" s="40" t="n">
        <x:f>ABS(K2020)</x:f>
        <x:v>0</x:v>
      </x:c>
      <x:c r="M2020" s="41" t="str">
        <x:v>lstm-soil-v1</x:v>
      </x:c>
    </x:row>
    <x:row r="2021">
      <x:c r="A2021" s="38" t="str">
        <x:v>7月30日现场数据</x:v>
      </x:c>
      <x:c r="B2021" s="39" t="str">
        <x:v>2026-08-02T07:35:00</x:v>
      </x:c>
      <x:c r="C2021" s="39" t="str">
        <x:v>2026-08-02T07:50:00</x:v>
      </x:c>
      <x:c r="D2021" s="47" t="n">
        <x:v>15</x:v>
      </x:c>
      <x:c r="E2021" s="40" t="n">
        <x:v>15.7</x:v>
      </x:c>
      <x:c r="F2021" s="40" t="n">
        <x:v>14.092533111572266</x:v>
      </x:c>
      <x:c r="G2021" s="40" t="n">
        <x:v>15.7</x:v>
      </x:c>
      <x:c r="H2021" s="40" t="n">
        <x:f>F2021-E2021</x:f>
        <x:v>-1.6074668884277337</x:v>
      </x:c>
      <x:c r="I2021" s="40" t="n">
        <x:f>ABS(H2021)</x:f>
        <x:v>1.6074668884277337</x:v>
      </x:c>
      <x:c r="J2021" s="40" t="n">
        <x:f>H2021^2</x:f>
        <x:v>2.58394979739154</x:v>
      </x:c>
      <x:c r="K2021" s="40" t="n">
        <x:f>G2021-E2021</x:f>
        <x:v>0</x:v>
      </x:c>
      <x:c r="L2021" s="40" t="n">
        <x:f>ABS(K2021)</x:f>
        <x:v>0</x:v>
      </x:c>
      <x:c r="M2021" s="41" t="str">
        <x:v>lstm-soil-v1</x:v>
      </x:c>
    </x:row>
    <x:row r="2022">
      <x:c r="A2022" s="38" t="str">
        <x:v>7月30日现场数据</x:v>
      </x:c>
      <x:c r="B2022" s="39" t="str">
        <x:v>2026-08-02T07:35:00</x:v>
      </x:c>
      <x:c r="C2022" s="39" t="str">
        <x:v>2026-08-02T08:05:00</x:v>
      </x:c>
      <x:c r="D2022" s="47" t="n">
        <x:v>30</x:v>
      </x:c>
      <x:c r="E2022" s="40" t="n">
        <x:v>15.7</x:v>
      </x:c>
      <x:c r="F2022" s="40" t="n">
        <x:v>14.535820007324219</x:v>
      </x:c>
      <x:c r="G2022" s="40" t="n">
        <x:v>15.7</x:v>
      </x:c>
      <x:c r="H2022" s="40" t="n">
        <x:f>F2022-E2022</x:f>
        <x:v>-1.1641799926757805</x:v>
      </x:c>
      <x:c r="I2022" s="40" t="n">
        <x:f>ABS(H2022)</x:f>
        <x:v>1.1641799926757805</x:v>
      </x:c>
      <x:c r="J2022" s="40" t="n">
        <x:f>H2022^2</x:f>
        <x:v>1.3553150553465805</x:v>
      </x:c>
      <x:c r="K2022" s="40" t="n">
        <x:f>G2022-E2022</x:f>
        <x:v>0</x:v>
      </x:c>
      <x:c r="L2022" s="40" t="n">
        <x:f>ABS(K2022)</x:f>
        <x:v>0</x:v>
      </x:c>
      <x:c r="M2022" s="41" t="str">
        <x:v>lstm-soil-v1</x:v>
      </x:c>
    </x:row>
    <x:row r="2023">
      <x:c r="A2023" s="38" t="str">
        <x:v>7月30日现场数据</x:v>
      </x:c>
      <x:c r="B2023" s="39" t="str">
        <x:v>2026-08-02T07:35:00</x:v>
      </x:c>
      <x:c r="C2023" s="39" t="str">
        <x:v>2026-08-02T08:35:00</x:v>
      </x:c>
      <x:c r="D2023" s="47" t="n">
        <x:v>60</x:v>
      </x:c>
      <x:c r="E2023" s="40" t="n">
        <x:v>15.7</x:v>
      </x:c>
      <x:c r="F2023" s="40" t="n">
        <x:v>16.132770538330078</x:v>
      </x:c>
      <x:c r="G2023" s="40" t="n">
        <x:v>15.7</x:v>
      </x:c>
      <x:c r="H2023" s="40" t="n">
        <x:f>F2023-E2023</x:f>
        <x:v>0.43277053833007884</x:v>
      </x:c>
      <x:c r="I2023" s="40" t="n">
        <x:f>ABS(H2023)</x:f>
        <x:v>0.43277053833007884</x:v>
      </x:c>
      <x:c r="J2023" s="40" t="n">
        <x:f>H2023^2</x:f>
        <x:v>0.18729033884650623</x:v>
      </x:c>
      <x:c r="K2023" s="40" t="n">
        <x:f>G2023-E2023</x:f>
        <x:v>0</x:v>
      </x:c>
      <x:c r="L2023" s="40" t="n">
        <x:f>ABS(K2023)</x:f>
        <x:v>0</x:v>
      </x:c>
      <x:c r="M2023" s="41" t="str">
        <x:v>lstm-soil-v1</x:v>
      </x:c>
    </x:row>
    <x:row r="2024">
      <x:c r="A2024" s="38" t="str">
        <x:v>7月30日现场数据</x:v>
      </x:c>
      <x:c r="B2024" s="39" t="str">
        <x:v>2026-08-02T07:40:00</x:v>
      </x:c>
      <x:c r="C2024" s="39" t="str">
        <x:v>2026-08-02T07:45:00</x:v>
      </x:c>
      <x:c r="D2024" s="47" t="n">
        <x:v>5</x:v>
      </x:c>
      <x:c r="E2024" s="40" t="n">
        <x:v>15.7</x:v>
      </x:c>
      <x:c r="F2024" s="40" t="n">
        <x:v>14.016487121582031</x:v>
      </x:c>
      <x:c r="G2024" s="40" t="n">
        <x:v>15.7</x:v>
      </x:c>
      <x:c r="H2024" s="40" t="n">
        <x:f>F2024-E2024</x:f>
        <x:v>-1.683512878417968</x:v>
      </x:c>
      <x:c r="I2024" s="40" t="n">
        <x:f>ABS(H2024)</x:f>
        <x:v>1.683512878417968</x:v>
      </x:c>
      <x:c r="J2024" s="40" t="n">
        <x:f>H2024^2</x:f>
        <x:v>2.834215611799152</x:v>
      </x:c>
      <x:c r="K2024" s="40" t="n">
        <x:f>G2024-E2024</x:f>
        <x:v>0</x:v>
      </x:c>
      <x:c r="L2024" s="40" t="n">
        <x:f>ABS(K2024)</x:f>
        <x:v>0</x:v>
      </x:c>
      <x:c r="M2024" s="41" t="str">
        <x:v>lstm-soil-v1</x:v>
      </x:c>
    </x:row>
    <x:row r="2025">
      <x:c r="A2025" s="38" t="str">
        <x:v>7月30日现场数据</x:v>
      </x:c>
      <x:c r="B2025" s="39" t="str">
        <x:v>2026-08-02T07:40:00</x:v>
      </x:c>
      <x:c r="C2025" s="39" t="str">
        <x:v>2026-08-02T07:55:00</x:v>
      </x:c>
      <x:c r="D2025" s="47" t="n">
        <x:v>15</x:v>
      </x:c>
      <x:c r="E2025" s="40" t="n">
        <x:v>15.7</x:v>
      </x:c>
      <x:c r="F2025" s="40" t="n">
        <x:v>14.093570709228516</x:v>
      </x:c>
      <x:c r="G2025" s="40" t="n">
        <x:v>15.7</x:v>
      </x:c>
      <x:c r="H2025" s="40" t="n">
        <x:f>F2025-E2025</x:f>
        <x:v>-1.6064292907714837</x:v>
      </x:c>
      <x:c r="I2025" s="40" t="n">
        <x:f>ABS(H2025)</x:f>
        <x:v>1.6064292907714837</x:v>
      </x:c>
      <x:c r="J2025" s="40" t="n">
        <x:f>H2025^2</x:f>
        <x:v>2.580615066248572</x:v>
      </x:c>
      <x:c r="K2025" s="40" t="n">
        <x:f>G2025-E2025</x:f>
        <x:v>0</x:v>
      </x:c>
      <x:c r="L2025" s="40" t="n">
        <x:f>ABS(K2025)</x:f>
        <x:v>0</x:v>
      </x:c>
      <x:c r="M2025" s="41" t="str">
        <x:v>lstm-soil-v1</x:v>
      </x:c>
    </x:row>
    <x:row r="2026">
      <x:c r="A2026" s="38" t="str">
        <x:v>7月30日现场数据</x:v>
      </x:c>
      <x:c r="B2026" s="39" t="str">
        <x:v>2026-08-02T07:40:00</x:v>
      </x:c>
      <x:c r="C2026" s="39" t="str">
        <x:v>2026-08-02T08:10:00</x:v>
      </x:c>
      <x:c r="D2026" s="47" t="n">
        <x:v>30</x:v>
      </x:c>
      <x:c r="E2026" s="40" t="n">
        <x:v>15.7</x:v>
      </x:c>
      <x:c r="F2026" s="40" t="n">
        <x:v>14.536705017089844</x:v>
      </x:c>
      <x:c r="G2026" s="40" t="n">
        <x:v>15.7</x:v>
      </x:c>
      <x:c r="H2026" s="40" t="n">
        <x:f>F2026-E2026</x:f>
        <x:v>-1.1632949829101555</x:v>
      </x:c>
      <x:c r="I2026" s="40" t="n">
        <x:f>ABS(H2026)</x:f>
        <x:v>1.1632949829101555</x:v>
      </x:c>
      <x:c r="J2026" s="40" t="n">
        <x:f>H2026^2</x:f>
        <x:v>1.3532552172639392</x:v>
      </x:c>
      <x:c r="K2026" s="40" t="n">
        <x:f>G2026-E2026</x:f>
        <x:v>0</x:v>
      </x:c>
      <x:c r="L2026" s="40" t="n">
        <x:f>ABS(K2026)</x:f>
        <x:v>0</x:v>
      </x:c>
      <x:c r="M2026" s="41" t="str">
        <x:v>lstm-soil-v1</x:v>
      </x:c>
    </x:row>
    <x:row r="2027">
      <x:c r="A2027" s="38" t="str">
        <x:v>7月30日现场数据</x:v>
      </x:c>
      <x:c r="B2027" s="39" t="str">
        <x:v>2026-08-02T07:40:00</x:v>
      </x:c>
      <x:c r="C2027" s="39" t="str">
        <x:v>2026-08-02T08:40:00</x:v>
      </x:c>
      <x:c r="D2027" s="47" t="n">
        <x:v>60</x:v>
      </x:c>
      <x:c r="E2027" s="40" t="n">
        <x:v>15.8</x:v>
      </x:c>
      <x:c r="F2027" s="40" t="n">
        <x:v>16.133460998535156</x:v>
      </x:c>
      <x:c r="G2027" s="40" t="n">
        <x:v>15.7</x:v>
      </x:c>
      <x:c r="H2027" s="40" t="n">
        <x:f>F2027-E2027</x:f>
        <x:v>0.33346099853515554</x:v>
      </x:c>
      <x:c r="I2027" s="40" t="n">
        <x:f>ABS(H2027)</x:f>
        <x:v>0.33346099853515554</x:v>
      </x:c>
      <x:c r="J2027" s="40" t="n">
        <x:f>H2027^2</x:f>
        <x:v>0.111196237544063</x:v>
      </x:c>
      <x:c r="K2027" s="40" t="n">
        <x:f>G2027-E2027</x:f>
        <x:v>-0.10000000000000142</x:v>
      </x:c>
      <x:c r="L2027" s="40" t="n">
        <x:f>ABS(K2027)</x:f>
        <x:v>0.10000000000000142</x:v>
      </x:c>
      <x:c r="M2027" s="41" t="str">
        <x:v>lstm-soil-v1</x:v>
      </x:c>
    </x:row>
    <x:row r="2028">
      <x:c r="A2028" s="38" t="str">
        <x:v>7月30日现场数据</x:v>
      </x:c>
      <x:c r="B2028" s="39" t="str">
        <x:v>2026-08-02T07:45:00</x:v>
      </x:c>
      <x:c r="C2028" s="39" t="str">
        <x:v>2026-08-02T07:50:00</x:v>
      </x:c>
      <x:c r="D2028" s="47" t="n">
        <x:v>5</x:v>
      </x:c>
      <x:c r="E2028" s="40" t="n">
        <x:v>15.7</x:v>
      </x:c>
      <x:c r="F2028" s="40" t="n">
        <x:v>14.017265319824219</x:v>
      </x:c>
      <x:c r="G2028" s="40" t="n">
        <x:v>15.7</x:v>
      </x:c>
      <x:c r="H2028" s="40" t="n">
        <x:f>F2028-E2028</x:f>
        <x:v>-1.6827346801757805</x:v>
      </x:c>
      <x:c r="I2028" s="40" t="n">
        <x:f>ABS(H2028)</x:f>
        <x:v>1.6827346801757805</x:v>
      </x:c>
      <x:c r="J2028" s="40" t="n">
        <x:f>H2028^2</x:f>
        <x:v>2.8315960038662866</x:v>
      </x:c>
      <x:c r="K2028" s="40" t="n">
        <x:f>G2028-E2028</x:f>
        <x:v>0</x:v>
      </x:c>
      <x:c r="L2028" s="40" t="n">
        <x:f>ABS(K2028)</x:f>
        <x:v>0</x:v>
      </x:c>
      <x:c r="M2028" s="41" t="str">
        <x:v>lstm-soil-v1</x:v>
      </x:c>
    </x:row>
    <x:row r="2029">
      <x:c r="A2029" s="38" t="str">
        <x:v>7月30日现场数据</x:v>
      </x:c>
      <x:c r="B2029" s="39" t="str">
        <x:v>2026-08-02T07:45:00</x:v>
      </x:c>
      <x:c r="C2029" s="39" t="str">
        <x:v>2026-08-02T08:00:00</x:v>
      </x:c>
      <x:c r="D2029" s="47" t="n">
        <x:v>15</x:v>
      </x:c>
      <x:c r="E2029" s="40" t="n">
        <x:v>15.7</x:v>
      </x:c>
      <x:c r="F2029" s="40" t="n">
        <x:v>14.094589233398438</x:v>
      </x:c>
      <x:c r="G2029" s="40" t="n">
        <x:v>15.7</x:v>
      </x:c>
      <x:c r="H2029" s="40" t="n">
        <x:f>F2029-E2029</x:f>
        <x:v>-1.6054107666015618</x:v>
      </x:c>
      <x:c r="I2029" s="40" t="n">
        <x:f>ABS(H2029)</x:f>
        <x:v>1.6054107666015618</x:v>
      </x:c>
      <x:c r="J2029" s="40" t="n">
        <x:f>H2029^2</x:f>
        <x:v>2.5773437295202144</x:v>
      </x:c>
      <x:c r="K2029" s="40" t="n">
        <x:f>G2029-E2029</x:f>
        <x:v>0</x:v>
      </x:c>
      <x:c r="L2029" s="40" t="n">
        <x:f>ABS(K2029)</x:f>
        <x:v>0</x:v>
      </x:c>
      <x:c r="M2029" s="41" t="str">
        <x:v>lstm-soil-v1</x:v>
      </x:c>
    </x:row>
    <x:row r="2030">
      <x:c r="A2030" s="38" t="str">
        <x:v>7月30日现场数据</x:v>
      </x:c>
      <x:c r="B2030" s="39" t="str">
        <x:v>2026-08-02T07:45:00</x:v>
      </x:c>
      <x:c r="C2030" s="39" t="str">
        <x:v>2026-08-02T08:15:00</x:v>
      </x:c>
      <x:c r="D2030" s="47" t="n">
        <x:v>30</x:v>
      </x:c>
      <x:c r="E2030" s="40" t="n">
        <x:v>15.7</x:v>
      </x:c>
      <x:c r="F2030" s="40" t="n">
        <x:v>14.537601470947266</x:v>
      </x:c>
      <x:c r="G2030" s="40" t="n">
        <x:v>15.7</x:v>
      </x:c>
      <x:c r="H2030" s="40" t="n">
        <x:f>F2030-E2030</x:f>
        <x:v>-1.1623985290527337</x:v>
      </x:c>
      <x:c r="I2030" s="40" t="n">
        <x:f>ABS(H2030)</x:f>
        <x:v>1.1623985290527337</x:v>
      </x:c>
      <x:c r="J2030" s="40" t="n">
        <x:f>H2030^2</x:f>
        <x:v>1.351170340343959</x:v>
      </x:c>
      <x:c r="K2030" s="40" t="n">
        <x:f>G2030-E2030</x:f>
        <x:v>0</x:v>
      </x:c>
      <x:c r="L2030" s="40" t="n">
        <x:f>ABS(K2030)</x:f>
        <x:v>0</x:v>
      </x:c>
      <x:c r="M2030" s="41" t="str">
        <x:v>lstm-soil-v1</x:v>
      </x:c>
    </x:row>
    <x:row r="2031">
      <x:c r="A2031" s="38" t="str">
        <x:v>7月30日现场数据</x:v>
      </x:c>
      <x:c r="B2031" s="39" t="str">
        <x:v>2026-08-02T07:45:00</x:v>
      </x:c>
      <x:c r="C2031" s="39" t="str">
        <x:v>2026-08-02T08:45:00</x:v>
      </x:c>
      <x:c r="D2031" s="47" t="n">
        <x:v>60</x:v>
      </x:c>
      <x:c r="E2031" s="40" t="n">
        <x:v>15.9</x:v>
      </x:c>
      <x:c r="F2031" s="40" t="n">
        <x:v>16.134166717529297</x:v>
      </x:c>
      <x:c r="G2031" s="40" t="n">
        <x:v>15.7</x:v>
      </x:c>
      <x:c r="H2031" s="40" t="n">
        <x:f>F2031-E2031</x:f>
        <x:v>0.23416671752929652</x:v>
      </x:c>
      <x:c r="I2031" s="40" t="n">
        <x:f>ABS(H2031)</x:f>
        <x:v>0.23416671752929652</x:v>
      </x:c>
      <x:c r="J2031" s="40" t="n">
        <x:f>H2031^2</x:f>
        <x:v>0.054834051598445344</x:v>
      </x:c>
      <x:c r="K2031" s="40" t="n">
        <x:f>G2031-E2031</x:f>
        <x:v>-0.20000000000000107</x:v>
      </x:c>
      <x:c r="L2031" s="40" t="n">
        <x:f>ABS(K2031)</x:f>
        <x:v>0.20000000000000107</x:v>
      </x:c>
      <x:c r="M2031" s="41" t="str">
        <x:v>lstm-soil-v1</x:v>
      </x:c>
    </x:row>
    <x:row r="2032">
      <x:c r="A2032" s="38" t="str">
        <x:v>7月30日现场数据</x:v>
      </x:c>
      <x:c r="B2032" s="39" t="str">
        <x:v>2026-08-02T07:50:00</x:v>
      </x:c>
      <x:c r="C2032" s="39" t="str">
        <x:v>2026-08-02T07:55:00</x:v>
      </x:c>
      <x:c r="D2032" s="47" t="n">
        <x:v>5</x:v>
      </x:c>
      <x:c r="E2032" s="40" t="n">
        <x:v>15.7</x:v>
      </x:c>
      <x:c r="F2032" s="40" t="n">
        <x:v>14.018165588378906</x:v>
      </x:c>
      <x:c r="G2032" s="40" t="n">
        <x:v>15.7</x:v>
      </x:c>
      <x:c r="H2032" s="40" t="n">
        <x:f>F2032-E2032</x:f>
        <x:v>-1.681834411621093</x:v>
      </x:c>
      <x:c r="I2032" s="40" t="n">
        <x:f>ABS(H2032)</x:f>
        <x:v>1.681834411621093</x:v>
      </x:c>
      <x:c r="J2032" s="40" t="n">
        <x:f>H2032^2</x:f>
        <x:v>2.8285669881128683</x:v>
      </x:c>
      <x:c r="K2032" s="40" t="n">
        <x:f>G2032-E2032</x:f>
        <x:v>0</x:v>
      </x:c>
      <x:c r="L2032" s="40" t="n">
        <x:f>ABS(K2032)</x:f>
        <x:v>0</x:v>
      </x:c>
      <x:c r="M2032" s="41" t="str">
        <x:v>lstm-soil-v1</x:v>
      </x:c>
    </x:row>
    <x:row r="2033">
      <x:c r="A2033" s="38" t="str">
        <x:v>7月30日现场数据</x:v>
      </x:c>
      <x:c r="B2033" s="39" t="str">
        <x:v>2026-08-02T07:50:00</x:v>
      </x:c>
      <x:c r="C2033" s="39" t="str">
        <x:v>2026-08-02T08:05:00</x:v>
      </x:c>
      <x:c r="D2033" s="47" t="n">
        <x:v>15</x:v>
      </x:c>
      <x:c r="E2033" s="40" t="n">
        <x:v>15.7</x:v>
      </x:c>
      <x:c r="F2033" s="40" t="n">
        <x:v>14.095558166503906</x:v>
      </x:c>
      <x:c r="G2033" s="40" t="n">
        <x:v>15.7</x:v>
      </x:c>
      <x:c r="H2033" s="40" t="n">
        <x:f>F2033-E2033</x:f>
        <x:v>-1.604441833496093</x:v>
      </x:c>
      <x:c r="I2033" s="40" t="n">
        <x:f>ABS(H2033)</x:f>
        <x:v>1.604441833496093</x:v>
      </x:c>
      <x:c r="J2033" s="40" t="n">
        <x:f>H2033^2</x:f>
        <x:v>2.574233597072305</x:v>
      </x:c>
      <x:c r="K2033" s="40" t="n">
        <x:f>G2033-E2033</x:f>
        <x:v>0</x:v>
      </x:c>
      <x:c r="L2033" s="40" t="n">
        <x:f>ABS(K2033)</x:f>
        <x:v>0</x:v>
      </x:c>
      <x:c r="M2033" s="41" t="str">
        <x:v>lstm-soil-v1</x:v>
      </x:c>
    </x:row>
    <x:row r="2034">
      <x:c r="A2034" s="38" t="str">
        <x:v>7月30日现场数据</x:v>
      </x:c>
      <x:c r="B2034" s="39" t="str">
        <x:v>2026-08-02T07:50:00</x:v>
      </x:c>
      <x:c r="C2034" s="39" t="str">
        <x:v>2026-08-02T08:20:00</x:v>
      </x:c>
      <x:c r="D2034" s="47" t="n">
        <x:v>30</x:v>
      </x:c>
      <x:c r="E2034" s="40" t="n">
        <x:v>15.7</x:v>
      </x:c>
      <x:c r="F2034" s="40" t="n">
        <x:v>14.538726806640625</x:v>
      </x:c>
      <x:c r="G2034" s="40" t="n">
        <x:v>15.7</x:v>
      </x:c>
      <x:c r="H2034" s="40" t="n">
        <x:f>F2034-E2034</x:f>
        <x:v>-1.1612731933593743</x:v>
      </x:c>
      <x:c r="I2034" s="40" t="n">
        <x:f>ABS(H2034)</x:f>
        <x:v>1.1612731933593743</x:v>
      </x:c>
      <x:c r="J2034" s="40" t="n">
        <x:f>H2034^2</x:f>
        <x:v>1.3485554296150788</x:v>
      </x:c>
      <x:c r="K2034" s="40" t="n">
        <x:f>G2034-E2034</x:f>
        <x:v>0</x:v>
      </x:c>
      <x:c r="L2034" s="40" t="n">
        <x:f>ABS(K2034)</x:f>
        <x:v>0</x:v>
      </x:c>
      <x:c r="M2034" s="41" t="str">
        <x:v>lstm-soil-v1</x:v>
      </x:c>
    </x:row>
    <x:row r="2035">
      <x:c r="A2035" s="38" t="str">
        <x:v>7月30日现场数据</x:v>
      </x:c>
      <x:c r="B2035" s="39" t="str">
        <x:v>2026-08-02T07:50:00</x:v>
      </x:c>
      <x:c r="C2035" s="39" t="str">
        <x:v>2026-08-02T08:50:00</x:v>
      </x:c>
      <x:c r="D2035" s="47" t="n">
        <x:v>60</x:v>
      </x:c>
      <x:c r="E2035" s="40" t="n">
        <x:v>15.9</x:v>
      </x:c>
      <x:c r="F2035" s="40" t="n">
        <x:v>16.135040283203125</x:v>
      </x:c>
      <x:c r="G2035" s="40" t="n">
        <x:v>15.7</x:v>
      </x:c>
      <x:c r="H2035" s="40" t="n">
        <x:f>F2035-E2035</x:f>
        <x:v>0.23504028320312464</x:v>
      </x:c>
      <x:c r="I2035" s="40" t="n">
        <x:f>ABS(H2035)</x:f>
        <x:v>0.23504028320312464</x:v>
      </x:c>
      <x:c r="J2035" s="40" t="n">
        <x:f>H2035^2</x:f>
        <x:v>0.05524393472820504</x:v>
      </x:c>
      <x:c r="K2035" s="40" t="n">
        <x:f>G2035-E2035</x:f>
        <x:v>-0.20000000000000107</x:v>
      </x:c>
      <x:c r="L2035" s="40" t="n">
        <x:f>ABS(K2035)</x:f>
        <x:v>0.20000000000000107</x:v>
      </x:c>
      <x:c r="M2035" s="41" t="str">
        <x:v>lstm-soil-v1</x:v>
      </x:c>
    </x:row>
    <x:row r="2036">
      <x:c r="A2036" s="38" t="str">
        <x:v>7月30日现场数据</x:v>
      </x:c>
      <x:c r="B2036" s="39" t="str">
        <x:v>2026-08-02T07:55:00</x:v>
      </x:c>
      <x:c r="C2036" s="39" t="str">
        <x:v>2026-08-02T08:00:00</x:v>
      </x:c>
      <x:c r="D2036" s="47" t="n">
        <x:v>5</x:v>
      </x:c>
      <x:c r="E2036" s="40" t="n">
        <x:v>15.7</x:v>
      </x:c>
      <x:c r="F2036" s="40" t="n">
        <x:v>14.019004821777344</x:v>
      </x:c>
      <x:c r="G2036" s="40" t="n">
        <x:v>15.7</x:v>
      </x:c>
      <x:c r="H2036" s="40" t="n">
        <x:f>F2036-E2036</x:f>
        <x:v>-1.6809951782226555</x:v>
      </x:c>
      <x:c r="I2036" s="40" t="n">
        <x:f>ABS(H2036)</x:f>
        <x:v>1.6809951782226555</x:v>
      </x:c>
      <x:c r="J2036" s="40" t="n">
        <x:f>H2036^2</x:f>
        <x:v>2.8257447892078176</x:v>
      </x:c>
      <x:c r="K2036" s="40" t="n">
        <x:f>G2036-E2036</x:f>
        <x:v>0</x:v>
      </x:c>
      <x:c r="L2036" s="40" t="n">
        <x:f>ABS(K2036)</x:f>
        <x:v>0</x:v>
      </x:c>
      <x:c r="M2036" s="41" t="str">
        <x:v>lstm-soil-v1</x:v>
      </x:c>
    </x:row>
    <x:row r="2037">
      <x:c r="A2037" s="38" t="str">
        <x:v>7月30日现场数据</x:v>
      </x:c>
      <x:c r="B2037" s="39" t="str">
        <x:v>2026-08-02T07:55:00</x:v>
      </x:c>
      <x:c r="C2037" s="39" t="str">
        <x:v>2026-08-02T08:10:00</x:v>
      </x:c>
      <x:c r="D2037" s="47" t="n">
        <x:v>15</x:v>
      </x:c>
      <x:c r="E2037" s="40" t="n">
        <x:v>15.7</x:v>
      </x:c>
      <x:c r="F2037" s="40" t="n">
        <x:v>14.096527099609375</x:v>
      </x:c>
      <x:c r="G2037" s="40" t="n">
        <x:v>15.7</x:v>
      </x:c>
      <x:c r="H2037" s="40" t="n">
        <x:f>F2037-E2037</x:f>
        <x:v>-1.6034729003906243</x:v>
      </x:c>
      <x:c r="I2037" s="40" t="n">
        <x:f>ABS(H2037)</x:f>
        <x:v>1.6034729003906243</x:v>
      </x:c>
      <x:c r="J2037" s="40" t="n">
        <x:f>H2037^2</x:f>
        <x:v>2.5711253422871208</x:v>
      </x:c>
      <x:c r="K2037" s="40" t="n">
        <x:f>G2037-E2037</x:f>
        <x:v>0</x:v>
      </x:c>
      <x:c r="L2037" s="40" t="n">
        <x:f>ABS(K2037)</x:f>
        <x:v>0</x:v>
      </x:c>
      <x:c r="M2037" s="41" t="str">
        <x:v>lstm-soil-v1</x:v>
      </x:c>
    </x:row>
    <x:row r="2038">
      <x:c r="A2038" s="38" t="str">
        <x:v>7月30日现场数据</x:v>
      </x:c>
      <x:c r="B2038" s="39" t="str">
        <x:v>2026-08-02T07:55:00</x:v>
      </x:c>
      <x:c r="C2038" s="39" t="str">
        <x:v>2026-08-02T08:25:00</x:v>
      </x:c>
      <x:c r="D2038" s="47" t="n">
        <x:v>30</x:v>
      </x:c>
      <x:c r="E2038" s="40" t="n">
        <x:v>15.7</x:v>
      </x:c>
      <x:c r="F2038" s="40" t="n">
        <x:v>14.5400390625</x:v>
      </x:c>
      <x:c r="G2038" s="40" t="n">
        <x:v>15.7</x:v>
      </x:c>
      <x:c r="H2038" s="40" t="n">
        <x:f>F2038-E2038</x:f>
        <x:v>-1.1599609374999993</x:v>
      </x:c>
      <x:c r="I2038" s="40" t="n">
        <x:f>ABS(H2038)</x:f>
        <x:v>1.1599609374999993</x:v>
      </x:c>
      <x:c r="J2038" s="40" t="n">
        <x:f>H2038^2</x:f>
        <x:v>1.3455093765258772</x:v>
      </x:c>
      <x:c r="K2038" s="40" t="n">
        <x:f>G2038-E2038</x:f>
        <x:v>0</x:v>
      </x:c>
      <x:c r="L2038" s="40" t="n">
        <x:f>ABS(K2038)</x:f>
        <x:v>0</x:v>
      </x:c>
      <x:c r="M2038" s="41" t="str">
        <x:v>lstm-soil-v1</x:v>
      </x:c>
    </x:row>
    <x:row r="2039">
      <x:c r="A2039" s="38" t="str">
        <x:v>7月30日现场数据</x:v>
      </x:c>
      <x:c r="B2039" s="39" t="str">
        <x:v>2026-08-02T07:55:00</x:v>
      </x:c>
      <x:c r="C2039" s="39" t="str">
        <x:v>2026-08-02T08:55:00</x:v>
      </x:c>
      <x:c r="D2039" s="47" t="n">
        <x:v>60</x:v>
      </x:c>
      <x:c r="E2039" s="40" t="n">
        <x:v>15.9</x:v>
      </x:c>
      <x:c r="F2039" s="40" t="n">
        <x:v>16.136180877685547</x:v>
      </x:c>
      <x:c r="G2039" s="40" t="n">
        <x:v>15.7</x:v>
      </x:c>
      <x:c r="H2039" s="40" t="n">
        <x:f>F2039-E2039</x:f>
        <x:v>0.23618087768554652</x:v>
      </x:c>
      <x:c r="I2039" s="40" t="n">
        <x:f>ABS(H2039)</x:f>
        <x:v>0.23618087768554652</x:v>
      </x:c>
      <x:c r="J2039" s="40" t="n">
        <x:f>H2039^2</x:f>
        <x:v>0.055781406984315086</x:v>
      </x:c>
      <x:c r="K2039" s="40" t="n">
        <x:f>G2039-E2039</x:f>
        <x:v>-0.20000000000000107</x:v>
      </x:c>
      <x:c r="L2039" s="40" t="n">
        <x:f>ABS(K2039)</x:f>
        <x:v>0.20000000000000107</x:v>
      </x:c>
      <x:c r="M2039" s="41" t="str">
        <x:v>lstm-soil-v1</x:v>
      </x:c>
    </x:row>
    <x:row r="2040">
      <x:c r="A2040" s="38" t="str">
        <x:v>7月30日现场数据</x:v>
      </x:c>
      <x:c r="B2040" s="39" t="str">
        <x:v>2026-08-02T08:00:00</x:v>
      </x:c>
      <x:c r="C2040" s="39" t="str">
        <x:v>2026-08-02T08:05:00</x:v>
      </x:c>
      <x:c r="D2040" s="47" t="n">
        <x:v>5</x:v>
      </x:c>
      <x:c r="E2040" s="40" t="n">
        <x:v>15.7</x:v>
      </x:c>
      <x:c r="F2040" s="40" t="n">
        <x:v>14.021526336669922</x:v>
      </x:c>
      <x:c r="G2040" s="40" t="n">
        <x:v>15.7</x:v>
      </x:c>
      <x:c r="H2040" s="40" t="n">
        <x:f>F2040-E2040</x:f>
        <x:v>-1.6784736633300774</x:v>
      </x:c>
      <x:c r="I2040" s="40" t="n">
        <x:f>ABS(H2040)</x:f>
        <x:v>1.6784736633300774</x:v>
      </x:c>
      <x:c r="J2040" s="40" t="n">
        <x:f>H2040^2</x:f>
        <x:v>2.81727383849269</x:v>
      </x:c>
      <x:c r="K2040" s="40" t="n">
        <x:f>G2040-E2040</x:f>
        <x:v>0</x:v>
      </x:c>
      <x:c r="L2040" s="40" t="n">
        <x:f>ABS(K2040)</x:f>
        <x:v>0</x:v>
      </x:c>
      <x:c r="M2040" s="41" t="str">
        <x:v>lstm-soil-v1</x:v>
      </x:c>
    </x:row>
    <x:row r="2041">
      <x:c r="A2041" s="38" t="str">
        <x:v>7月30日现场数据</x:v>
      </x:c>
      <x:c r="B2041" s="39" t="str">
        <x:v>2026-08-02T08:00:00</x:v>
      </x:c>
      <x:c r="C2041" s="39" t="str">
        <x:v>2026-08-02T08:15:00</x:v>
      </x:c>
      <x:c r="D2041" s="47" t="n">
        <x:v>15</x:v>
      </x:c>
      <x:c r="E2041" s="40" t="n">
        <x:v>15.7</x:v>
      </x:c>
      <x:c r="F2041" s="40" t="n">
        <x:v>14.0985107421875</x:v>
      </x:c>
      <x:c r="G2041" s="40" t="n">
        <x:v>15.7</x:v>
      </x:c>
      <x:c r="H2041" s="40" t="n">
        <x:f>F2041-E2041</x:f>
        <x:v>-1.6014892578124993</x:v>
      </x:c>
      <x:c r="I2041" s="40" t="n">
        <x:f>ABS(H2041)</x:f>
        <x:v>1.6014892578124993</x:v>
      </x:c>
      <x:c r="J2041" s="40" t="n">
        <x:f>H2041^2</x:f>
        <x:v>2.5647678428888296</x:v>
      </x:c>
      <x:c r="K2041" s="40" t="n">
        <x:f>G2041-E2041</x:f>
        <x:v>0</x:v>
      </x:c>
      <x:c r="L2041" s="40" t="n">
        <x:f>ABS(K2041)</x:f>
        <x:v>0</x:v>
      </x:c>
      <x:c r="M2041" s="41" t="str">
        <x:v>lstm-soil-v1</x:v>
      </x:c>
    </x:row>
    <x:row r="2042">
      <x:c r="A2042" s="38" t="str">
        <x:v>7月30日现场数据</x:v>
      </x:c>
      <x:c r="B2042" s="39" t="str">
        <x:v>2026-08-02T08:00:00</x:v>
      </x:c>
      <x:c r="C2042" s="39" t="str">
        <x:v>2026-08-02T08:30:00</x:v>
      </x:c>
      <x:c r="D2042" s="47" t="n">
        <x:v>30</x:v>
      </x:c>
      <x:c r="E2042" s="40" t="n">
        <x:v>15.7</x:v>
      </x:c>
      <x:c r="F2042" s="40" t="n">
        <x:v>14.543270111083984</x:v>
      </x:c>
      <x:c r="G2042" s="40" t="n">
        <x:v>15.7</x:v>
      </x:c>
      <x:c r="H2042" s="40" t="n">
        <x:f>F2042-E2042</x:f>
        <x:v>-1.156729888916015</x:v>
      </x:c>
      <x:c r="I2042" s="40" t="n">
        <x:f>ABS(H2042)</x:f>
        <x:v>1.156729888916015</x:v>
      </x:c>
      <x:c r="J2042" s="40" t="n">
        <x:f>H2042^2</x:f>
        <x:v>1.3380240359116562</x:v>
      </x:c>
      <x:c r="K2042" s="40" t="n">
        <x:f>G2042-E2042</x:f>
        <x:v>0</x:v>
      </x:c>
      <x:c r="L2042" s="40" t="n">
        <x:f>ABS(K2042)</x:f>
        <x:v>0</x:v>
      </x:c>
      <x:c r="M2042" s="41" t="str">
        <x:v>lstm-soil-v1</x:v>
      </x:c>
    </x:row>
    <x:row r="2043">
      <x:c r="A2043" s="38" t="str">
        <x:v>7月30日现场数据</x:v>
      </x:c>
      <x:c r="B2043" s="39" t="str">
        <x:v>2026-08-02T08:00:00</x:v>
      </x:c>
      <x:c r="C2043" s="39" t="str">
        <x:v>2026-08-02T09:00:00</x:v>
      </x:c>
      <x:c r="D2043" s="47" t="n">
        <x:v>60</x:v>
      </x:c>
      <x:c r="E2043" s="40" t="n">
        <x:v>15.9</x:v>
      </x:c>
      <x:c r="F2043" s="40" t="n">
        <x:v>16.143051147460938</x:v>
      </x:c>
      <x:c r="G2043" s="40" t="n">
        <x:v>15.7</x:v>
      </x:c>
      <x:c r="H2043" s="40" t="n">
        <x:f>F2043-E2043</x:f>
        <x:v>0.24305114746093714</x:v>
      </x:c>
      <x:c r="I2043" s="40" t="n">
        <x:f>ABS(H2043)</x:f>
        <x:v>0.24305114746093714</x:v>
      </x:c>
      <x:c r="J2043" s="40" t="n">
        <x:f>H2043^2</x:f>
        <x:v>0.059073860282078214</x:v>
      </x:c>
      <x:c r="K2043" s="40" t="n">
        <x:f>G2043-E2043</x:f>
        <x:v>-0.20000000000000107</x:v>
      </x:c>
      <x:c r="L2043" s="40" t="n">
        <x:f>ABS(K2043)</x:f>
        <x:v>0.20000000000000107</x:v>
      </x:c>
      <x:c r="M2043" s="41" t="str">
        <x:v>lstm-soil-v1</x:v>
      </x:c>
    </x:row>
    <x:row r="2044">
      <x:c r="A2044" s="38" t="str">
        <x:v>7月30日现场数据</x:v>
      </x:c>
      <x:c r="B2044" s="39" t="str">
        <x:v>2026-08-02T08:05:00</x:v>
      </x:c>
      <x:c r="C2044" s="39" t="str">
        <x:v>2026-08-02T08:10:00</x:v>
      </x:c>
      <x:c r="D2044" s="47" t="n">
        <x:v>5</x:v>
      </x:c>
      <x:c r="E2044" s="40" t="n">
        <x:v>15.7</x:v>
      </x:c>
      <x:c r="F2044" s="40" t="n">
        <x:v>14.023994445800781</x:v>
      </x:c>
      <x:c r="G2044" s="40" t="n">
        <x:v>15.7</x:v>
      </x:c>
      <x:c r="H2044" s="40" t="n">
        <x:f>F2044-E2044</x:f>
        <x:v>-1.676005554199218</x:v>
      </x:c>
      <x:c r="I2044" s="40" t="n">
        <x:f>ABS(H2044)</x:f>
        <x:v>1.676005554199218</x:v>
      </x:c>
      <x:c r="J2044" s="40" t="n">
        <x:f>H2044^2</x:f>
        <x:v>2.808994617706628</x:v>
      </x:c>
      <x:c r="K2044" s="40" t="n">
        <x:f>G2044-E2044</x:f>
        <x:v>0</x:v>
      </x:c>
      <x:c r="L2044" s="40" t="n">
        <x:f>ABS(K2044)</x:f>
        <x:v>0</x:v>
      </x:c>
      <x:c r="M2044" s="41" t="str">
        <x:v>lstm-soil-v1</x:v>
      </x:c>
    </x:row>
    <x:row r="2045">
      <x:c r="A2045" s="38" t="str">
        <x:v>7月30日现场数据</x:v>
      </x:c>
      <x:c r="B2045" s="39" t="str">
        <x:v>2026-08-02T08:05:00</x:v>
      </x:c>
      <x:c r="C2045" s="39" t="str">
        <x:v>2026-08-02T08:20:00</x:v>
      </x:c>
      <x:c r="D2045" s="47" t="n">
        <x:v>15</x:v>
      </x:c>
      <x:c r="E2045" s="40" t="n">
        <x:v>15.7</x:v>
      </x:c>
      <x:c r="F2045" s="40" t="n">
        <x:v>14.101078033447266</x:v>
      </x:c>
      <x:c r="G2045" s="40" t="n">
        <x:v>15.7</x:v>
      </x:c>
      <x:c r="H2045" s="40" t="n">
        <x:f>F2045-E2045</x:f>
        <x:v>-1.5989219665527337</x:v>
      </x:c>
      <x:c r="I2045" s="40" t="n">
        <x:f>ABS(H2045)</x:f>
        <x:v>1.5989219665527337</x:v>
      </x:c>
      <x:c r="J2045" s="40" t="n">
        <x:f>H2045^2</x:f>
        <x:v>2.556551455124861</x:v>
      </x:c>
      <x:c r="K2045" s="40" t="n">
        <x:f>G2045-E2045</x:f>
        <x:v>0</x:v>
      </x:c>
      <x:c r="L2045" s="40" t="n">
        <x:f>ABS(K2045)</x:f>
        <x:v>0</x:v>
      </x:c>
      <x:c r="M2045" s="41" t="str">
        <x:v>lstm-soil-v1</x:v>
      </x:c>
    </x:row>
    <x:row r="2046">
      <x:c r="A2046" s="38" t="str">
        <x:v>7月30日现场数据</x:v>
      </x:c>
      <x:c r="B2046" s="39" t="str">
        <x:v>2026-08-02T08:05:00</x:v>
      </x:c>
      <x:c r="C2046" s="39" t="str">
        <x:v>2026-08-02T08:35:00</x:v>
      </x:c>
      <x:c r="D2046" s="47" t="n">
        <x:v>30</x:v>
      </x:c>
      <x:c r="E2046" s="40" t="n">
        <x:v>15.7</x:v>
      </x:c>
      <x:c r="F2046" s="40" t="n">
        <x:v>14.545989990234375</x:v>
      </x:c>
      <x:c r="G2046" s="40" t="n">
        <x:v>15.7</x:v>
      </x:c>
      <x:c r="H2046" s="40" t="n">
        <x:f>F2046-E2046</x:f>
        <x:v>-1.1540100097656243</x:v>
      </x:c>
      <x:c r="I2046" s="40" t="n">
        <x:f>ABS(H2046)</x:f>
        <x:v>1.1540100097656243</x:v>
      </x:c>
      <x:c r="J2046" s="40" t="n">
        <x:f>H2046^2</x:f>
        <x:v>1.3317391026392562</x:v>
      </x:c>
      <x:c r="K2046" s="40" t="n">
        <x:f>G2046-E2046</x:f>
        <x:v>0</x:v>
      </x:c>
      <x:c r="L2046" s="40" t="n">
        <x:f>ABS(K2046)</x:f>
        <x:v>0</x:v>
      </x:c>
      <x:c r="M2046" s="41" t="str">
        <x:v>lstm-soil-v1</x:v>
      </x:c>
    </x:row>
    <x:row r="2047">
      <x:c r="A2047" s="38" t="str">
        <x:v>7月30日现场数据</x:v>
      </x:c>
      <x:c r="B2047" s="39" t="str">
        <x:v>2026-08-02T08:05:00</x:v>
      </x:c>
      <x:c r="C2047" s="39" t="str">
        <x:v>2026-08-02T09:05:00</x:v>
      </x:c>
      <x:c r="D2047" s="47" t="n">
        <x:v>60</x:v>
      </x:c>
      <x:c r="E2047" s="40" t="n">
        <x:v>15.9</x:v>
      </x:c>
      <x:c r="F2047" s="40" t="n">
        <x:v>16.14852523803711</x:v>
      </x:c>
      <x:c r="G2047" s="40" t="n">
        <x:v>15.7</x:v>
      </x:c>
      <x:c r="H2047" s="40" t="n">
        <x:f>F2047-E2047</x:f>
        <x:v>0.24852523803710902</x:v>
      </x:c>
      <x:c r="I2047" s="40" t="n">
        <x:f>ABS(H2047)</x:f>
        <x:v>0.24852523803710902</x:v>
      </x:c>
      <x:c r="J2047" s="40" t="n">
        <x:f>H2047^2</x:f>
        <x:v>0.0617647939414017</x:v>
      </x:c>
      <x:c r="K2047" s="40" t="n">
        <x:f>G2047-E2047</x:f>
        <x:v>-0.20000000000000107</x:v>
      </x:c>
      <x:c r="L2047" s="40" t="n">
        <x:f>ABS(K2047)</x:f>
        <x:v>0.20000000000000107</x:v>
      </x:c>
      <x:c r="M2047" s="41" t="str">
        <x:v>lstm-soil-v1</x:v>
      </x:c>
    </x:row>
    <x:row r="2048">
      <x:c r="A2048" s="38" t="str">
        <x:v>7月30日现场数据</x:v>
      </x:c>
      <x:c r="B2048" s="39" t="str">
        <x:v>2026-08-02T08:10:00</x:v>
      </x:c>
      <x:c r="C2048" s="39" t="str">
        <x:v>2026-08-02T08:15:00</x:v>
      </x:c>
      <x:c r="D2048" s="47" t="n">
        <x:v>5</x:v>
      </x:c>
      <x:c r="E2048" s="40" t="n">
        <x:v>15.7</x:v>
      </x:c>
      <x:c r="F2048" s="40" t="n">
        <x:v>14.026748657226562</x:v>
      </x:c>
      <x:c r="G2048" s="40" t="n">
        <x:v>15.7</x:v>
      </x:c>
      <x:c r="H2048" s="40" t="n">
        <x:f>F2048-E2048</x:f>
        <x:v>-1.6732513427734368</x:v>
      </x:c>
      <x:c r="I2048" s="40" t="n">
        <x:f>ABS(H2048)</x:f>
        <x:v>1.6732513427734368</x:v>
      </x:c>
      <x:c r="J2048" s="40" t="n">
        <x:f>H2048^2</x:f>
        <x:v>2.7997700560931094</x:v>
      </x:c>
      <x:c r="K2048" s="40" t="n">
        <x:f>G2048-E2048</x:f>
        <x:v>0</x:v>
      </x:c>
      <x:c r="L2048" s="40" t="n">
        <x:f>ABS(K2048)</x:f>
        <x:v>0</x:v>
      </x:c>
      <x:c r="M2048" s="41" t="str">
        <x:v>lstm-soil-v1</x:v>
      </x:c>
    </x:row>
    <x:row r="2049">
      <x:c r="A2049" s="38" t="str">
        <x:v>7月30日现场数据</x:v>
      </x:c>
      <x:c r="B2049" s="39" t="str">
        <x:v>2026-08-02T08:10:00</x:v>
      </x:c>
      <x:c r="C2049" s="39" t="str">
        <x:v>2026-08-02T08:25:00</x:v>
      </x:c>
      <x:c r="D2049" s="47" t="n">
        <x:v>15</x:v>
      </x:c>
      <x:c r="E2049" s="40" t="n">
        <x:v>15.7</x:v>
      </x:c>
      <x:c r="F2049" s="40" t="n">
        <x:v>14.104042053222656</x:v>
      </x:c>
      <x:c r="G2049" s="40" t="n">
        <x:v>15.7</x:v>
      </x:c>
      <x:c r="H2049" s="40" t="n">
        <x:f>F2049-E2049</x:f>
        <x:v>-1.595957946777343</x:v>
      </x:c>
      <x:c r="I2049" s="40" t="n">
        <x:f>ABS(H2049)</x:f>
        <x:v>1.595957946777343</x:v>
      </x:c>
      <x:c r="J2049" s="40" t="n">
        <x:f>H2049^2</x:f>
        <x:v>2.5470817678817523</x:v>
      </x:c>
      <x:c r="K2049" s="40" t="n">
        <x:f>G2049-E2049</x:f>
        <x:v>0</x:v>
      </x:c>
      <x:c r="L2049" s="40" t="n">
        <x:f>ABS(K2049)</x:f>
        <x:v>0</x:v>
      </x:c>
      <x:c r="M2049" s="41" t="str">
        <x:v>lstm-soil-v1</x:v>
      </x:c>
    </x:row>
    <x:row r="2050">
      <x:c r="A2050" s="38" t="str">
        <x:v>7月30日现场数据</x:v>
      </x:c>
      <x:c r="B2050" s="39" t="str">
        <x:v>2026-08-02T08:10:00</x:v>
      </x:c>
      <x:c r="C2050" s="39" t="str">
        <x:v>2026-08-02T08:40:00</x:v>
      </x:c>
      <x:c r="D2050" s="47" t="n">
        <x:v>30</x:v>
      </x:c>
      <x:c r="E2050" s="40" t="n">
        <x:v>15.8</x:v>
      </x:c>
      <x:c r="F2050" s="40" t="n">
        <x:v>14.549251556396484</x:v>
      </x:c>
      <x:c r="G2050" s="40" t="n">
        <x:v>15.7</x:v>
      </x:c>
      <x:c r="H2050" s="40" t="n">
        <x:f>F2050-E2050</x:f>
        <x:v>-1.2507484436035163</x:v>
      </x:c>
      <x:c r="I2050" s="40" t="n">
        <x:f>ABS(H2050)</x:f>
        <x:v>1.2507484436035163</x:v>
      </x:c>
      <x:c r="J2050" s="40" t="n">
        <x:f>H2050^2</x:f>
        <x:v>1.5643716691766185</x:v>
      </x:c>
      <x:c r="K2050" s="40" t="n">
        <x:f>G2050-E2050</x:f>
        <x:v>-0.10000000000000142</x:v>
      </x:c>
      <x:c r="L2050" s="40" t="n">
        <x:f>ABS(K2050)</x:f>
        <x:v>0.10000000000000142</x:v>
      </x:c>
      <x:c r="M2050" s="41" t="str">
        <x:v>lstm-soil-v1</x:v>
      </x:c>
    </x:row>
    <x:row r="2051">
      <x:c r="A2051" s="38" t="str">
        <x:v>7月30日现场数据</x:v>
      </x:c>
      <x:c r="B2051" s="39" t="str">
        <x:v>2026-08-02T08:10:00</x:v>
      </x:c>
      <x:c r="C2051" s="39" t="str">
        <x:v>2026-08-02T09:10:00</x:v>
      </x:c>
      <x:c r="D2051" s="47" t="n">
        <x:v>60</x:v>
      </x:c>
      <x:c r="E2051" s="40" t="n">
        <x:v>15.9</x:v>
      </x:c>
      <x:c r="F2051" s="40" t="n">
        <x:v>16.15438461303711</x:v>
      </x:c>
      <x:c r="G2051" s="40" t="n">
        <x:v>15.7</x:v>
      </x:c>
      <x:c r="H2051" s="40" t="n">
        <x:f>F2051-E2051</x:f>
        <x:v>0.254384613037109</x:v>
      </x:c>
      <x:c r="I2051" s="40" t="n">
        <x:f>ABS(H2051)</x:f>
        <x:v>0.254384613037109</x:v>
      </x:c>
      <x:c r="J2051" s="40" t="n">
        <x:f>H2051^2</x:f>
        <x:v>0.0647115313500397</x:v>
      </x:c>
      <x:c r="K2051" s="40" t="n">
        <x:f>G2051-E2051</x:f>
        <x:v>-0.20000000000000107</x:v>
      </x:c>
      <x:c r="L2051" s="40" t="n">
        <x:f>ABS(K2051)</x:f>
        <x:v>0.20000000000000107</x:v>
      </x:c>
      <x:c r="M2051" s="41" t="str">
        <x:v>lstm-soil-v1</x:v>
      </x:c>
    </x:row>
    <x:row r="2052">
      <x:c r="A2052" s="38" t="str">
        <x:v>7月30日现场数据</x:v>
      </x:c>
      <x:c r="B2052" s="39" t="str">
        <x:v>2026-08-02T08:15:00</x:v>
      </x:c>
      <x:c r="C2052" s="39" t="str">
        <x:v>2026-08-02T08:20:00</x:v>
      </x:c>
      <x:c r="D2052" s="47" t="n">
        <x:v>5</x:v>
      </x:c>
      <x:c r="E2052" s="40" t="n">
        <x:v>15.7</x:v>
      </x:c>
      <x:c r="F2052" s="40" t="n">
        <x:v>14.029499053955078</x:v>
      </x:c>
      <x:c r="G2052" s="40" t="n">
        <x:v>15.7</x:v>
      </x:c>
      <x:c r="H2052" s="40" t="n">
        <x:f>F2052-E2052</x:f>
        <x:v>-1.6705009460449212</x:v>
      </x:c>
      <x:c r="I2052" s="40" t="n">
        <x:f>ABS(H2052)</x:f>
        <x:v>1.6705009460449212</x:v>
      </x:c>
      <x:c r="J2052" s="40" t="n">
        <x:f>H2052^2</x:f>
        <x:v>2.7905734107369766</x:v>
      </x:c>
      <x:c r="K2052" s="40" t="n">
        <x:f>G2052-E2052</x:f>
        <x:v>0</x:v>
      </x:c>
      <x:c r="L2052" s="40" t="n">
        <x:f>ABS(K2052)</x:f>
        <x:v>0</x:v>
      </x:c>
      <x:c r="M2052" s="41" t="str">
        <x:v>lstm-soil-v1</x:v>
      </x:c>
    </x:row>
    <x:row r="2053">
      <x:c r="A2053" s="38" t="str">
        <x:v>7月30日现场数据</x:v>
      </x:c>
      <x:c r="B2053" s="39" t="str">
        <x:v>2026-08-02T08:15:00</x:v>
      </x:c>
      <x:c r="C2053" s="39" t="str">
        <x:v>2026-08-02T08:30:00</x:v>
      </x:c>
      <x:c r="D2053" s="47" t="n">
        <x:v>15</x:v>
      </x:c>
      <x:c r="E2053" s="40" t="n">
        <x:v>15.7</x:v>
      </x:c>
      <x:c r="F2053" s="40" t="n">
        <x:v>14.106876373291016</x:v>
      </x:c>
      <x:c r="G2053" s="40" t="n">
        <x:v>15.7</x:v>
      </x:c>
      <x:c r="H2053" s="40" t="n">
        <x:f>F2053-E2053</x:f>
        <x:v>-1.5931236267089837</x:v>
      </x:c>
      <x:c r="I2053" s="40" t="n">
        <x:f>ABS(H2053)</x:f>
        <x:v>1.5931236267089837</x:v>
      </x:c>
      <x:c r="J2053" s="40" t="n">
        <x:f>H2053^2</x:f>
        <x:v>2.538042889978385</x:v>
      </x:c>
      <x:c r="K2053" s="40" t="n">
        <x:f>G2053-E2053</x:f>
        <x:v>0</x:v>
      </x:c>
      <x:c r="L2053" s="40" t="n">
        <x:f>ABS(K2053)</x:f>
        <x:v>0</x:v>
      </x:c>
      <x:c r="M2053" s="41" t="str">
        <x:v>lstm-soil-v1</x:v>
      </x:c>
    </x:row>
    <x:row r="2054">
      <x:c r="A2054" s="38" t="str">
        <x:v>7月30日现场数据</x:v>
      </x:c>
      <x:c r="B2054" s="39" t="str">
        <x:v>2026-08-02T08:15:00</x:v>
      </x:c>
      <x:c r="C2054" s="39" t="str">
        <x:v>2026-08-02T08:45:00</x:v>
      </x:c>
      <x:c r="D2054" s="47" t="n">
        <x:v>30</x:v>
      </x:c>
      <x:c r="E2054" s="40" t="n">
        <x:v>15.9</x:v>
      </x:c>
      <x:c r="F2054" s="40" t="n">
        <x:v>14.551979064941406</x:v>
      </x:c>
      <x:c r="G2054" s="40" t="n">
        <x:v>15.7</x:v>
      </x:c>
      <x:c r="H2054" s="40" t="n">
        <x:f>F2054-E2054</x:f>
        <x:v>-1.348020935058594</x:v>
      </x:c>
      <x:c r="I2054" s="40" t="n">
        <x:f>ABS(H2054)</x:f>
        <x:v>1.348020935058594</x:v>
      </x:c>
      <x:c r="J2054" s="40" t="n">
        <x:f>H2054^2</x:f>
        <x:v>1.8171604413562463</x:v>
      </x:c>
      <x:c r="K2054" s="40" t="n">
        <x:f>G2054-E2054</x:f>
        <x:v>-0.20000000000000107</x:v>
      </x:c>
      <x:c r="L2054" s="40" t="n">
        <x:f>ABS(K2054)</x:f>
        <x:v>0.20000000000000107</x:v>
      </x:c>
      <x:c r="M2054" s="41" t="str">
        <x:v>lstm-soil-v1</x:v>
      </x:c>
    </x:row>
    <x:row r="2055">
      <x:c r="A2055" s="38" t="str">
        <x:v>7月30日现场数据</x:v>
      </x:c>
      <x:c r="B2055" s="39" t="str">
        <x:v>2026-08-02T08:15:00</x:v>
      </x:c>
      <x:c r="C2055" s="39" t="str">
        <x:v>2026-08-02T09:15:00</x:v>
      </x:c>
      <x:c r="D2055" s="47" t="n">
        <x:v>60</x:v>
      </x:c>
      <x:c r="E2055" s="40" t="n">
        <x:v>15.8</x:v>
      </x:c>
      <x:c r="F2055" s="40" t="n">
        <x:v>16.158321380615234</x:v>
      </x:c>
      <x:c r="G2055" s="40" t="n">
        <x:v>15.7</x:v>
      </x:c>
      <x:c r="H2055" s="40" t="n">
        <x:f>F2055-E2055</x:f>
        <x:v>0.35832138061523366</x:v>
      </x:c>
      <x:c r="I2055" s="40" t="n">
        <x:f>ABS(H2055)</x:f>
        <x:v>0.35832138061523366</x:v>
      </x:c>
      <x:c r="J2055" s="40" t="n">
        <x:f>H2055^2</x:f>
        <x:v>0.12839421180600716</x:v>
      </x:c>
      <x:c r="K2055" s="40" t="n">
        <x:f>G2055-E2055</x:f>
        <x:v>-0.10000000000000142</x:v>
      </x:c>
      <x:c r="L2055" s="40" t="n">
        <x:f>ABS(K2055)</x:f>
        <x:v>0.10000000000000142</x:v>
      </x:c>
      <x:c r="M2055" s="41" t="str">
        <x:v>lstm-soil-v1</x:v>
      </x:c>
    </x:row>
    <x:row r="2056">
      <x:c r="A2056" s="38" t="str">
        <x:v>7月30日现场数据</x:v>
      </x:c>
      <x:c r="B2056" s="39" t="str">
        <x:v>2026-08-02T08:20:00</x:v>
      </x:c>
      <x:c r="C2056" s="39" t="str">
        <x:v>2026-08-02T08:25:00</x:v>
      </x:c>
      <x:c r="D2056" s="47" t="n">
        <x:v>5</x:v>
      </x:c>
      <x:c r="E2056" s="40" t="n">
        <x:v>15.7</x:v>
      </x:c>
      <x:c r="F2056" s="40" t="n">
        <x:v>14.03219223022461</x:v>
      </x:c>
      <x:c r="G2056" s="40" t="n">
        <x:v>15.7</x:v>
      </x:c>
      <x:c r="H2056" s="40" t="n">
        <x:f>F2056-E2056</x:f>
        <x:v>-1.66780776977539</x:v>
      </x:c>
      <x:c r="I2056" s="40" t="n">
        <x:f>ABS(H2056)</x:f>
        <x:v>1.66780776977539</x:v>
      </x:c>
      <x:c r="J2056" s="40" t="n">
        <x:f>H2056^2</x:f>
        <x:v>2.78158275692316</x:v>
      </x:c>
      <x:c r="K2056" s="40" t="n">
        <x:f>G2056-E2056</x:f>
        <x:v>0</x:v>
      </x:c>
      <x:c r="L2056" s="40" t="n">
        <x:f>ABS(K2056)</x:f>
        <x:v>0</x:v>
      </x:c>
      <x:c r="M2056" s="41" t="str">
        <x:v>lstm-soil-v1</x:v>
      </x:c>
    </x:row>
    <x:row r="2057">
      <x:c r="A2057" s="38" t="str">
        <x:v>7月30日现场数据</x:v>
      </x:c>
      <x:c r="B2057" s="39" t="str">
        <x:v>2026-08-02T08:20:00</x:v>
      </x:c>
      <x:c r="C2057" s="39" t="str">
        <x:v>2026-08-02T08:35:00</x:v>
      </x:c>
      <x:c r="D2057" s="47" t="n">
        <x:v>15</x:v>
      </x:c>
      <x:c r="E2057" s="40" t="n">
        <x:v>15.7</x:v>
      </x:c>
      <x:c r="F2057" s="40" t="n">
        <x:v>14.108890533447266</x:v>
      </x:c>
      <x:c r="G2057" s="40" t="n">
        <x:v>15.7</x:v>
      </x:c>
      <x:c r="H2057" s="40" t="n">
        <x:f>F2057-E2057</x:f>
        <x:v>-1.5911094665527337</x:v>
      </x:c>
      <x:c r="I2057" s="40" t="n">
        <x:f>ABS(H2057)</x:f>
        <x:v>1.5911094665527337</x:v>
      </x:c>
      <x:c r="J2057" s="40" t="n">
        <x:f>H2057^2</x:f>
        <x:v>2.531629334553725</x:v>
      </x:c>
      <x:c r="K2057" s="40" t="n">
        <x:f>G2057-E2057</x:f>
        <x:v>0</x:v>
      </x:c>
      <x:c r="L2057" s="40" t="n">
        <x:f>ABS(K2057)</x:f>
        <x:v>0</x:v>
      </x:c>
      <x:c r="M2057" s="41" t="str">
        <x:v>lstm-soil-v1</x:v>
      </x:c>
    </x:row>
    <x:row r="2058">
      <x:c r="A2058" s="38" t="str">
        <x:v>7月30日现场数据</x:v>
      </x:c>
      <x:c r="B2058" s="39" t="str">
        <x:v>2026-08-02T08:20:00</x:v>
      </x:c>
      <x:c r="C2058" s="39" t="str">
        <x:v>2026-08-02T08:50:00</x:v>
      </x:c>
      <x:c r="D2058" s="47" t="n">
        <x:v>30</x:v>
      </x:c>
      <x:c r="E2058" s="40" t="n">
        <x:v>15.9</x:v>
      </x:c>
      <x:c r="F2058" s="40" t="n">
        <x:v>14.554718017578125</x:v>
      </x:c>
      <x:c r="G2058" s="40" t="n">
        <x:v>15.7</x:v>
      </x:c>
      <x:c r="H2058" s="40" t="n">
        <x:f>F2058-E2058</x:f>
        <x:v>-1.3452819824218754</x:v>
      </x:c>
      <x:c r="I2058" s="40" t="n">
        <x:f>ABS(H2058)</x:f>
        <x:v>1.3452819824218754</x:v>
      </x:c>
      <x:c r="J2058" s="40" t="n">
        <x:f>H2058^2</x:f>
        <x:v>1.809783612228931</x:v>
      </x:c>
      <x:c r="K2058" s="40" t="n">
        <x:f>G2058-E2058</x:f>
        <x:v>-0.20000000000000107</x:v>
      </x:c>
      <x:c r="L2058" s="40" t="n">
        <x:f>ABS(K2058)</x:f>
        <x:v>0.20000000000000107</x:v>
      </x:c>
      <x:c r="M2058" s="41" t="str">
        <x:v>lstm-soil-v1</x:v>
      </x:c>
    </x:row>
    <x:row r="2059">
      <x:c r="A2059" s="38" t="str">
        <x:v>7月30日现场数据</x:v>
      </x:c>
      <x:c r="B2059" s="39" t="str">
        <x:v>2026-08-02T08:20:00</x:v>
      </x:c>
      <x:c r="C2059" s="39" t="str">
        <x:v>2026-08-02T09:20:00</x:v>
      </x:c>
      <x:c r="D2059" s="47" t="n">
        <x:v>60</x:v>
      </x:c>
      <x:c r="E2059" s="40" t="n">
        <x:v>15.8</x:v>
      </x:c>
      <x:c r="F2059" s="40" t="n">
        <x:v>16.161895751953125</x:v>
      </x:c>
      <x:c r="G2059" s="40" t="n">
        <x:v>15.7</x:v>
      </x:c>
      <x:c r="H2059" s="40" t="n">
        <x:f>F2059-E2059</x:f>
        <x:v>0.3618957519531243</x:v>
      </x:c>
      <x:c r="I2059" s="40" t="n">
        <x:f>ABS(H2059)</x:f>
        <x:v>0.3618957519531243</x:v>
      </x:c>
      <x:c r="J2059" s="40" t="n">
        <x:f>H2059^2</x:f>
        <x:v>0.13096853528171726</x:v>
      </x:c>
      <x:c r="K2059" s="40" t="n">
        <x:f>G2059-E2059</x:f>
        <x:v>-0.10000000000000142</x:v>
      </x:c>
      <x:c r="L2059" s="40" t="n">
        <x:f>ABS(K2059)</x:f>
        <x:v>0.10000000000000142</x:v>
      </x:c>
      <x:c r="M2059" s="41" t="str">
        <x:v>lstm-soil-v1</x:v>
      </x:c>
    </x:row>
    <x:row r="2060">
      <x:c r="A2060" s="38" t="str">
        <x:v>7月30日现场数据</x:v>
      </x:c>
      <x:c r="B2060" s="39" t="str">
        <x:v>2026-08-02T08:25:00</x:v>
      </x:c>
      <x:c r="C2060" s="39" t="str">
        <x:v>2026-08-02T08:30:00</x:v>
      </x:c>
      <x:c r="D2060" s="47" t="n">
        <x:v>5</x:v>
      </x:c>
      <x:c r="E2060" s="40" t="n">
        <x:v>15.7</x:v>
      </x:c>
      <x:c r="F2060" s="40" t="n">
        <x:v>14.033897399902344</x:v>
      </x:c>
      <x:c r="G2060" s="40" t="n">
        <x:v>15.7</x:v>
      </x:c>
      <x:c r="H2060" s="40" t="n">
        <x:f>F2060-E2060</x:f>
        <x:v>-1.6661026000976555</x:v>
      </x:c>
      <x:c r="I2060" s="40" t="n">
        <x:f>ABS(H2060)</x:f>
        <x:v>1.6661026000976555</x:v>
      </x:c>
      <x:c r="J2060" s="40" t="n">
        <x:f>H2060^2</x:f>
        <x:v>2.7758978740521685</x:v>
      </x:c>
      <x:c r="K2060" s="40" t="n">
        <x:f>G2060-E2060</x:f>
        <x:v>0</x:v>
      </x:c>
      <x:c r="L2060" s="40" t="n">
        <x:f>ABS(K2060)</x:f>
        <x:v>0</x:v>
      </x:c>
      <x:c r="M2060" s="41" t="str">
        <x:v>lstm-soil-v1</x:v>
      </x:c>
    </x:row>
    <x:row r="2061">
      <x:c r="A2061" s="38" t="str">
        <x:v>7月30日现场数据</x:v>
      </x:c>
      <x:c r="B2061" s="39" t="str">
        <x:v>2026-08-02T08:25:00</x:v>
      </x:c>
      <x:c r="C2061" s="39" t="str">
        <x:v>2026-08-02T08:40:00</x:v>
      </x:c>
      <x:c r="D2061" s="47" t="n">
        <x:v>15</x:v>
      </x:c>
      <x:c r="E2061" s="40" t="n">
        <x:v>15.8</x:v>
      </x:c>
      <x:c r="F2061" s="40" t="n">
        <x:v>14.11032485961914</x:v>
      </x:c>
      <x:c r="G2061" s="40" t="n">
        <x:v>15.7</x:v>
      </x:c>
      <x:c r="H2061" s="40" t="n">
        <x:f>F2061-E2061</x:f>
        <x:v>-1.68967514038086</x:v>
      </x:c>
      <x:c r="I2061" s="40" t="n">
        <x:f>ABS(H2061)</x:f>
        <x:v>1.68967514038086</x:v>
      </x:c>
      <x:c r="J2061" s="40" t="n">
        <x:f>H2061^2</x:f>
        <x:v>2.8550020800210794</x:v>
      </x:c>
      <x:c r="K2061" s="40" t="n">
        <x:f>G2061-E2061</x:f>
        <x:v>-0.10000000000000142</x:v>
      </x:c>
      <x:c r="L2061" s="40" t="n">
        <x:f>ABS(K2061)</x:f>
        <x:v>0.10000000000000142</x:v>
      </x:c>
      <x:c r="M2061" s="41" t="str">
        <x:v>lstm-soil-v1</x:v>
      </x:c>
    </x:row>
    <x:row r="2062">
      <x:c r="A2062" s="38" t="str">
        <x:v>7月30日现场数据</x:v>
      </x:c>
      <x:c r="B2062" s="39" t="str">
        <x:v>2026-08-02T08:25:00</x:v>
      </x:c>
      <x:c r="C2062" s="39" t="str">
        <x:v>2026-08-02T08:55:00</x:v>
      </x:c>
      <x:c r="D2062" s="47" t="n">
        <x:v>30</x:v>
      </x:c>
      <x:c r="E2062" s="40" t="n">
        <x:v>15.9</x:v>
      </x:c>
      <x:c r="F2062" s="40" t="n">
        <x:v>14.556941986083984</x:v>
      </x:c>
      <x:c r="G2062" s="40" t="n">
        <x:v>15.7</x:v>
      </x:c>
      <x:c r="H2062" s="40" t="n">
        <x:f>F2062-E2062</x:f>
        <x:v>-1.343058013916016</x:v>
      </x:c>
      <x:c r="I2062" s="40" t="n">
        <x:f>ABS(H2062)</x:f>
        <x:v>1.343058013916016</x:v>
      </x:c>
      <x:c r="J2062" s="40" t="n">
        <x:f>H2062^2</x:f>
        <x:v>1.8038048287440334</x:v>
      </x:c>
      <x:c r="K2062" s="40" t="n">
        <x:f>G2062-E2062</x:f>
        <x:v>-0.20000000000000107</x:v>
      </x:c>
      <x:c r="L2062" s="40" t="n">
        <x:f>ABS(K2062)</x:f>
        <x:v>0.20000000000000107</x:v>
      </x:c>
      <x:c r="M2062" s="41" t="str">
        <x:v>lstm-soil-v1</x:v>
      </x:c>
    </x:row>
    <x:row r="2063">
      <x:c r="A2063" s="38" t="str">
        <x:v>7月30日现场数据</x:v>
      </x:c>
      <x:c r="B2063" s="39" t="str">
        <x:v>2026-08-02T08:25:00</x:v>
      </x:c>
      <x:c r="C2063" s="39" t="str">
        <x:v>2026-08-02T09:25:00</x:v>
      </x:c>
      <x:c r="D2063" s="47" t="n">
        <x:v>60</x:v>
      </x:c>
      <x:c r="E2063" s="40" t="n">
        <x:v>15.8</x:v>
      </x:c>
      <x:c r="F2063" s="40" t="n">
        <x:v>16.16455841064453</x:v>
      </x:c>
      <x:c r="G2063" s="40" t="n">
        <x:v>15.7</x:v>
      </x:c>
      <x:c r="H2063" s="40" t="n">
        <x:f>F2063-E2063</x:f>
        <x:v>0.36455841064453054</x:v>
      </x:c>
      <x:c r="I2063" s="40" t="n">
        <x:f>ABS(H2063)</x:f>
        <x:v>0.36455841064453054</x:v>
      </x:c>
      <x:c r="J2063" s="40" t="n">
        <x:f>H2063^2</x:f>
        <x:v>0.13290283477166615</x:v>
      </x:c>
      <x:c r="K2063" s="40" t="n">
        <x:f>G2063-E2063</x:f>
        <x:v>-0.10000000000000142</x:v>
      </x:c>
      <x:c r="L2063" s="40" t="n">
        <x:f>ABS(K2063)</x:f>
        <x:v>0.10000000000000142</x:v>
      </x:c>
      <x:c r="M2063" s="41" t="str">
        <x:v>lstm-soil-v1</x:v>
      </x:c>
    </x:row>
    <x:row r="2064">
      <x:c r="A2064" s="38" t="str">
        <x:v>7月30日现场数据</x:v>
      </x:c>
      <x:c r="B2064" s="39" t="str">
        <x:v>2026-08-02T08:30:00</x:v>
      </x:c>
      <x:c r="C2064" s="39" t="str">
        <x:v>2026-08-02T08:35:00</x:v>
      </x:c>
      <x:c r="D2064" s="47" t="n">
        <x:v>5</x:v>
      </x:c>
      <x:c r="E2064" s="40" t="n">
        <x:v>15.7</x:v>
      </x:c>
      <x:c r="F2064" s="40" t="n">
        <x:v>14.069622039794922</x:v>
      </x:c>
      <x:c r="G2064" s="40" t="n">
        <x:v>15.7</x:v>
      </x:c>
      <x:c r="H2064" s="40" t="n">
        <x:f>F2064-E2064</x:f>
        <x:v>-1.6303779602050774</x:v>
      </x:c>
      <x:c r="I2064" s="40" t="n">
        <x:f>ABS(H2064)</x:f>
        <x:v>1.6303779602050774</x:v>
      </x:c>
      <x:c r="J2064" s="40" t="n">
        <x:f>H2064^2</x:f>
        <x:v>2.658132293122469</x:v>
      </x:c>
      <x:c r="K2064" s="40" t="n">
        <x:f>G2064-E2064</x:f>
        <x:v>0</x:v>
      </x:c>
      <x:c r="L2064" s="40" t="n">
        <x:f>ABS(K2064)</x:f>
        <x:v>0</x:v>
      </x:c>
      <x:c r="M2064" s="41" t="str">
        <x:v>lstm-soil-v1</x:v>
      </x:c>
    </x:row>
    <x:row r="2065">
      <x:c r="A2065" s="38" t="str">
        <x:v>7月30日现场数据</x:v>
      </x:c>
      <x:c r="B2065" s="39" t="str">
        <x:v>2026-08-02T08:30:00</x:v>
      </x:c>
      <x:c r="C2065" s="39" t="str">
        <x:v>2026-08-02T08:45:00</x:v>
      </x:c>
      <x:c r="D2065" s="47" t="n">
        <x:v>15</x:v>
      </x:c>
      <x:c r="E2065" s="40" t="n">
        <x:v>15.9</x:v>
      </x:c>
      <x:c r="F2065" s="40" t="n">
        <x:v>14.1102294921875</x:v>
      </x:c>
      <x:c r="G2065" s="40" t="n">
        <x:v>15.7</x:v>
      </x:c>
      <x:c r="H2065" s="40" t="n">
        <x:f>F2065-E2065</x:f>
        <x:v>-1.7897705078125004</x:v>
      </x:c>
      <x:c r="I2065" s="40" t="n">
        <x:f>ABS(H2065)</x:f>
        <x:v>1.7897705078125004</x:v>
      </x:c>
      <x:c r="J2065" s="40" t="n">
        <x:f>H2065^2</x:f>
        <x:v>3.2032784706354156</x:v>
      </x:c>
      <x:c r="K2065" s="40" t="n">
        <x:f>G2065-E2065</x:f>
        <x:v>-0.20000000000000107</x:v>
      </x:c>
      <x:c r="L2065" s="40" t="n">
        <x:f>ABS(K2065)</x:f>
        <x:v>0.20000000000000107</x:v>
      </x:c>
      <x:c r="M2065" s="41" t="str">
        <x:v>lstm-soil-v1</x:v>
      </x:c>
    </x:row>
    <x:row r="2066">
      <x:c r="A2066" s="38" t="str">
        <x:v>7月30日现场数据</x:v>
      </x:c>
      <x:c r="B2066" s="39" t="str">
        <x:v>2026-08-02T08:30:00</x:v>
      </x:c>
      <x:c r="C2066" s="39" t="str">
        <x:v>2026-08-02T09:00:00</x:v>
      </x:c>
      <x:c r="D2066" s="47" t="n">
        <x:v>30</x:v>
      </x:c>
      <x:c r="E2066" s="40" t="n">
        <x:v>15.9</x:v>
      </x:c>
      <x:c r="F2066" s="40" t="n">
        <x:v>14.600788116455078</x:v>
      </x:c>
      <x:c r="G2066" s="40" t="n">
        <x:v>15.7</x:v>
      </x:c>
      <x:c r="H2066" s="40" t="n">
        <x:f>F2066-E2066</x:f>
        <x:v>-1.2992118835449222</x:v>
      </x:c>
      <x:c r="I2066" s="40" t="n">
        <x:f>ABS(H2066)</x:f>
        <x:v>1.2992118835449222</x:v>
      </x:c>
      <x:c r="J2066" s="40" t="n">
        <x:f>H2066^2</x:f>
        <x:v>1.6879515183443445</x:v>
      </x:c>
      <x:c r="K2066" s="40" t="n">
        <x:f>G2066-E2066</x:f>
        <x:v>-0.20000000000000107</x:v>
      </x:c>
      <x:c r="L2066" s="40" t="n">
        <x:f>ABS(K2066)</x:f>
        <x:v>0.20000000000000107</x:v>
      </x:c>
      <x:c r="M2066" s="41" t="str">
        <x:v>lstm-soil-v1</x:v>
      </x:c>
    </x:row>
    <x:row r="2067">
      <x:c r="A2067" s="38" t="str">
        <x:v>7月30日现场数据</x:v>
      </x:c>
      <x:c r="B2067" s="39" t="str">
        <x:v>2026-08-02T08:30:00</x:v>
      </x:c>
      <x:c r="C2067" s="39" t="str">
        <x:v>2026-08-02T09:30:00</x:v>
      </x:c>
      <x:c r="D2067" s="47" t="n">
        <x:v>60</x:v>
      </x:c>
      <x:c r="E2067" s="40" t="n">
        <x:v>15.8</x:v>
      </x:c>
      <x:c r="F2067" s="40" t="n">
        <x:v>16.254314422607422</x:v>
      </x:c>
      <x:c r="G2067" s="40" t="n">
        <x:v>15.7</x:v>
      </x:c>
      <x:c r="H2067" s="40" t="n">
        <x:f>F2067-E2067</x:f>
        <x:v>0.45431442260742116</x:v>
      </x:c>
      <x:c r="I2067" s="40" t="n">
        <x:f>ABS(H2067)</x:f>
        <x:v>0.45431442260742116</x:v>
      </x:c>
      <x:c r="J2067" s="40" t="n">
        <x:f>H2067^2</x:f>
        <x:v>0.20640159458911447</x:v>
      </x:c>
      <x:c r="K2067" s="40" t="n">
        <x:f>G2067-E2067</x:f>
        <x:v>-0.10000000000000142</x:v>
      </x:c>
      <x:c r="L2067" s="40" t="n">
        <x:f>ABS(K2067)</x:f>
        <x:v>0.10000000000000142</x:v>
      </x:c>
      <x:c r="M2067" s="41" t="str">
        <x:v>lstm-soil-v1</x:v>
      </x:c>
    </x:row>
    <x:row r="2068">
      <x:c r="A2068" s="38" t="str">
        <x:v>7月30日现场数据</x:v>
      </x:c>
      <x:c r="B2068" s="39" t="str">
        <x:v>2026-08-02T08:35:00</x:v>
      </x:c>
      <x:c r="C2068" s="39" t="str">
        <x:v>2026-08-02T08:40:00</x:v>
      </x:c>
      <x:c r="D2068" s="47" t="n">
        <x:v>5</x:v>
      </x:c>
      <x:c r="E2068" s="40" t="n">
        <x:v>15.8</x:v>
      </x:c>
      <x:c r="F2068" s="40" t="n">
        <x:v>14.088523864746094</x:v>
      </x:c>
      <x:c r="G2068" s="40" t="n">
        <x:v>15.7</x:v>
      </x:c>
      <x:c r="H2068" s="40" t="n">
        <x:f>F2068-E2068</x:f>
        <x:v>-1.711476135253907</x:v>
      </x:c>
      <x:c r="I2068" s="40" t="n">
        <x:f>ABS(H2068)</x:f>
        <x:v>1.711476135253907</x:v>
      </x:c>
      <x:c r="J2068" s="40" t="n">
        <x:f>H2068^2</x:f>
        <x:v>2.9291505615436497</x:v>
      </x:c>
      <x:c r="K2068" s="40" t="n">
        <x:f>G2068-E2068</x:f>
        <x:v>-0.10000000000000142</x:v>
      </x:c>
      <x:c r="L2068" s="40" t="n">
        <x:f>ABS(K2068)</x:f>
        <x:v>0.10000000000000142</x:v>
      </x:c>
      <x:c r="M2068" s="41" t="str">
        <x:v>lstm-soil-v1</x:v>
      </x:c>
    </x:row>
    <x:row r="2069">
      <x:c r="A2069" s="38" t="str">
        <x:v>7月30日现场数据</x:v>
      </x:c>
      <x:c r="B2069" s="39" t="str">
        <x:v>2026-08-02T08:35:00</x:v>
      </x:c>
      <x:c r="C2069" s="39" t="str">
        <x:v>2026-08-02T08:50:00</x:v>
      </x:c>
      <x:c r="D2069" s="47" t="n">
        <x:v>15</x:v>
      </x:c>
      <x:c r="E2069" s="40" t="n">
        <x:v>15.9</x:v>
      </x:c>
      <x:c r="F2069" s="40" t="n">
        <x:v>14.115863800048828</x:v>
      </x:c>
      <x:c r="G2069" s="40" t="n">
        <x:v>15.7</x:v>
      </x:c>
      <x:c r="H2069" s="40" t="n">
        <x:f>F2069-E2069</x:f>
        <x:v>-1.7841361999511722</x:v>
      </x:c>
      <x:c r="I2069" s="40" t="n">
        <x:f>ABS(H2069)</x:f>
        <x:v>1.7841361999511722</x:v>
      </x:c>
      <x:c r="J2069" s="40" t="n">
        <x:f>H2069^2</x:f>
        <x:v>3.183141979976209</x:v>
      </x:c>
      <x:c r="K2069" s="40" t="n">
        <x:f>G2069-E2069</x:f>
        <x:v>-0.20000000000000107</x:v>
      </x:c>
      <x:c r="L2069" s="40" t="n">
        <x:f>ABS(K2069)</x:f>
        <x:v>0.20000000000000107</x:v>
      </x:c>
      <x:c r="M2069" s="41" t="str">
        <x:v>lstm-soil-v1</x:v>
      </x:c>
    </x:row>
    <x:row r="2070">
      <x:c r="A2070" s="38" t="str">
        <x:v>7月30日现场数据</x:v>
      </x:c>
      <x:c r="B2070" s="39" t="str">
        <x:v>2026-08-02T08:35:00</x:v>
      </x:c>
      <x:c r="C2070" s="39" t="str">
        <x:v>2026-08-02T09:05:00</x:v>
      </x:c>
      <x:c r="D2070" s="47" t="n">
        <x:v>30</x:v>
      </x:c>
      <x:c r="E2070" s="40" t="n">
        <x:v>15.9</x:v>
      </x:c>
      <x:c r="F2070" s="40" t="n">
        <x:v>14.64712905883789</x:v>
      </x:c>
      <x:c r="G2070" s="40" t="n">
        <x:v>15.7</x:v>
      </x:c>
      <x:c r="H2070" s="40" t="n">
        <x:f>F2070-E2070</x:f>
        <x:v>-1.2528709411621097</x:v>
      </x:c>
      <x:c r="I2070" s="40" t="n">
        <x:f>ABS(H2070)</x:f>
        <x:v>1.2528709411621097</x:v>
      </x:c>
      <x:c r="J2070" s="40" t="n">
        <x:f>H2070^2</x:f>
        <x:v>1.5696855952084305</x:v>
      </x:c>
      <x:c r="K2070" s="40" t="n">
        <x:f>G2070-E2070</x:f>
        <x:v>-0.20000000000000107</x:v>
      </x:c>
      <x:c r="L2070" s="40" t="n">
        <x:f>ABS(K2070)</x:f>
        <x:v>0.20000000000000107</x:v>
      </x:c>
      <x:c r="M2070" s="41" t="str">
        <x:v>lstm-soil-v1</x:v>
      </x:c>
    </x:row>
    <x:row r="2071">
      <x:c r="A2071" s="38" t="str">
        <x:v>7月30日现场数据</x:v>
      </x:c>
      <x:c r="B2071" s="39" t="str">
        <x:v>2026-08-02T08:35:00</x:v>
      </x:c>
      <x:c r="C2071" s="39" t="str">
        <x:v>2026-08-02T09:35:00</x:v>
      </x:c>
      <x:c r="D2071" s="47" t="n">
        <x:v>60</x:v>
      </x:c>
      <x:c r="E2071" s="40" t="n">
        <x:v>15.8</x:v>
      </x:c>
      <x:c r="F2071" s="40" t="n">
        <x:v>16.344173431396484</x:v>
      </x:c>
      <x:c r="G2071" s="40" t="n">
        <x:v>15.7</x:v>
      </x:c>
      <x:c r="H2071" s="40" t="n">
        <x:f>F2071-E2071</x:f>
        <x:v>0.5441734313964837</x:v>
      </x:c>
      <x:c r="I2071" s="40" t="n">
        <x:f>ABS(H2071)</x:f>
        <x:v>0.5441734313964837</x:v>
      </x:c>
      <x:c r="J2071" s="40" t="n">
        <x:f>H2071^2</x:f>
        <x:v>0.29612472343782353</x:v>
      </x:c>
      <x:c r="K2071" s="40" t="n">
        <x:f>G2071-E2071</x:f>
        <x:v>-0.10000000000000142</x:v>
      </x:c>
      <x:c r="L2071" s="40" t="n">
        <x:f>ABS(K2071)</x:f>
        <x:v>0.10000000000000142</x:v>
      </x:c>
      <x:c r="M2071" s="41" t="str">
        <x:v>lstm-soil-v1</x:v>
      </x:c>
    </x:row>
    <x:row r="2072">
      <x:c r="A2072" s="38" t="str">
        <x:v>7月30日现场数据</x:v>
      </x:c>
      <x:c r="B2072" s="39" t="str">
        <x:v>2026-08-02T08:40:00</x:v>
      </x:c>
      <x:c r="C2072" s="39" t="str">
        <x:v>2026-08-02T08:45:00</x:v>
      </x:c>
      <x:c r="D2072" s="47" t="n">
        <x:v>5</x:v>
      </x:c>
      <x:c r="E2072" s="40" t="n">
        <x:v>15.9</x:v>
      </x:c>
      <x:c r="F2072" s="40" t="n">
        <x:v>14.210796356201172</x:v>
      </x:c>
      <x:c r="G2072" s="40" t="n">
        <x:v>15.8</x:v>
      </x:c>
      <x:c r="H2072" s="40" t="n">
        <x:f>F2072-E2072</x:f>
        <x:v>-1.6892036437988285</x:v>
      </x:c>
      <x:c r="I2072" s="40" t="n">
        <x:f>ABS(H2072)</x:f>
        <x:v>1.6892036437988285</x:v>
      </x:c>
      <x:c r="J2072" s="40" t="n">
        <x:f>H2072^2</x:f>
        <x:v>2.8534089502232396</x:v>
      </x:c>
      <x:c r="K2072" s="40" t="n">
        <x:f>G2072-E2072</x:f>
        <x:v>-0.09999999999999964</x:v>
      </x:c>
      <x:c r="L2072" s="40" t="n">
        <x:f>ABS(K2072)</x:f>
        <x:v>0.09999999999999964</x:v>
      </x:c>
      <x:c r="M2072" s="41" t="str">
        <x:v>lstm-soil-v1</x:v>
      </x:c>
    </x:row>
    <x:row r="2073">
      <x:c r="A2073" s="38" t="str">
        <x:v>7月30日现场数据</x:v>
      </x:c>
      <x:c r="B2073" s="39" t="str">
        <x:v>2026-08-02T08:40:00</x:v>
      </x:c>
      <x:c r="C2073" s="39" t="str">
        <x:v>2026-08-02T08:55:00</x:v>
      </x:c>
      <x:c r="D2073" s="47" t="n">
        <x:v>15</x:v>
      </x:c>
      <x:c r="E2073" s="40" t="n">
        <x:v>15.9</x:v>
      </x:c>
      <x:c r="F2073" s="40" t="n">
        <x:v>14.232139587402344</x:v>
      </x:c>
      <x:c r="G2073" s="40" t="n">
        <x:v>15.8</x:v>
      </x:c>
      <x:c r="H2073" s="40" t="n">
        <x:f>F2073-E2073</x:f>
        <x:v>-1.6678604125976566</x:v>
      </x:c>
      <x:c r="I2073" s="40" t="n">
        <x:f>ABS(H2073)</x:f>
        <x:v>1.6678604125976566</x:v>
      </x:c>
      <x:c r="J2073" s="40" t="n">
        <x:f>H2073^2</x:f>
        <x:v>2.7817583559104255</x:v>
      </x:c>
      <x:c r="K2073" s="40" t="n">
        <x:f>G2073-E2073</x:f>
        <x:v>-0.09999999999999964</x:v>
      </x:c>
      <x:c r="L2073" s="40" t="n">
        <x:f>ABS(K2073)</x:f>
        <x:v>0.09999999999999964</x:v>
      </x:c>
      <x:c r="M2073" s="41" t="str">
        <x:v>lstm-soil-v1</x:v>
      </x:c>
    </x:row>
    <x:row r="2074">
      <x:c r="A2074" s="38" t="str">
        <x:v>7月30日现场数据</x:v>
      </x:c>
      <x:c r="B2074" s="39" t="str">
        <x:v>2026-08-02T08:40:00</x:v>
      </x:c>
      <x:c r="C2074" s="39" t="str">
        <x:v>2026-08-02T09:10:00</x:v>
      </x:c>
      <x:c r="D2074" s="47" t="n">
        <x:v>30</x:v>
      </x:c>
      <x:c r="E2074" s="40" t="n">
        <x:v>15.9</x:v>
      </x:c>
      <x:c r="F2074" s="40" t="n">
        <x:v>14.790584564208984</x:v>
      </x:c>
      <x:c r="G2074" s="40" t="n">
        <x:v>15.8</x:v>
      </x:c>
      <x:c r="H2074" s="40" t="n">
        <x:f>F2074-E2074</x:f>
        <x:v>-1.109415435791016</x:v>
      </x:c>
      <x:c r="I2074" s="40" t="n">
        <x:f>ABS(H2074)</x:f>
        <x:v>1.109415435791016</x:v>
      </x:c>
      <x:c r="J2074" s="40" t="n">
        <x:f>H2074^2</x:f>
        <x:v>1.23080260917137</x:v>
      </x:c>
      <x:c r="K2074" s="40" t="n">
        <x:f>G2074-E2074</x:f>
        <x:v>-0.09999999999999964</x:v>
      </x:c>
      <x:c r="L2074" s="40" t="n">
        <x:f>ABS(K2074)</x:f>
        <x:v>0.09999999999999964</x:v>
      </x:c>
      <x:c r="M2074" s="41" t="str">
        <x:v>lstm-soil-v1</x:v>
      </x:c>
    </x:row>
    <x:row r="2075">
      <x:c r="A2075" s="38" t="str">
        <x:v>7月30日现场数据</x:v>
      </x:c>
      <x:c r="B2075" s="39" t="str">
        <x:v>2026-08-02T08:40:00</x:v>
      </x:c>
      <x:c r="C2075" s="39" t="str">
        <x:v>2026-08-02T09:40:00</x:v>
      </x:c>
      <x:c r="D2075" s="47" t="n">
        <x:v>60</x:v>
      </x:c>
      <x:c r="E2075" s="40" t="n">
        <x:v>15.8</x:v>
      </x:c>
      <x:c r="F2075" s="40" t="n">
        <x:v>16.52334976196289</x:v>
      </x:c>
      <x:c r="G2075" s="40" t="n">
        <x:v>15.8</x:v>
      </x:c>
      <x:c r="H2075" s="40" t="n">
        <x:f>F2075-E2075</x:f>
        <x:v>0.7233497619628899</x:v>
      </x:c>
      <x:c r="I2075" s="40" t="n">
        <x:f>ABS(H2075)</x:f>
        <x:v>0.7233497619628899</x:v>
      </x:c>
      <x:c r="J2075" s="40" t="n">
        <x:f>H2075^2</x:f>
        <x:v>0.5232348781317695</x:v>
      </x:c>
      <x:c r="K2075" s="40" t="n">
        <x:f>G2075-E2075</x:f>
        <x:v>0</x:v>
      </x:c>
      <x:c r="L2075" s="40" t="n">
        <x:f>ABS(K2075)</x:f>
        <x:v>0</x:v>
      </x:c>
      <x:c r="M2075" s="41" t="str">
        <x:v>lstm-soil-v1</x:v>
      </x:c>
    </x:row>
    <x:row r="2076">
      <x:c r="A2076" s="38" t="str">
        <x:v>7月30日现场数据</x:v>
      </x:c>
      <x:c r="B2076" s="39" t="str">
        <x:v>2026-08-02T08:45:00</x:v>
      </x:c>
      <x:c r="C2076" s="39" t="str">
        <x:v>2026-08-02T08:50:00</x:v>
      </x:c>
      <x:c r="D2076" s="47" t="n">
        <x:v>5</x:v>
      </x:c>
      <x:c r="E2076" s="40" t="n">
        <x:v>15.9</x:v>
      </x:c>
      <x:c r="F2076" s="40" t="n">
        <x:v>14.33074951171875</x:v>
      </x:c>
      <x:c r="G2076" s="40" t="n">
        <x:v>15.9</x:v>
      </x:c>
      <x:c r="H2076" s="40" t="n">
        <x:f>F2076-E2076</x:f>
        <x:v>-1.5692504882812504</x:v>
      </x:c>
      <x:c r="I2076" s="40" t="n">
        <x:f>ABS(H2076)</x:f>
        <x:v>1.5692504882812504</x:v>
      </x:c>
      <x:c r="J2076" s="40" t="n">
        <x:f>H2076^2</x:f>
        <x:v>2.4625470949709425</x:v>
      </x:c>
      <x:c r="K2076" s="40" t="n">
        <x:f>G2076-E2076</x:f>
        <x:v>0</x:v>
      </x:c>
      <x:c r="L2076" s="40" t="n">
        <x:f>ABS(K2076)</x:f>
        <x:v>0</x:v>
      </x:c>
      <x:c r="M2076" s="41" t="str">
        <x:v>lstm-soil-v1</x:v>
      </x:c>
    </x:row>
    <x:row r="2077">
      <x:c r="A2077" s="38" t="str">
        <x:v>7月30日现场数据</x:v>
      </x:c>
      <x:c r="B2077" s="39" t="str">
        <x:v>2026-08-02T08:45:00</x:v>
      </x:c>
      <x:c r="C2077" s="39" t="str">
        <x:v>2026-08-02T09:00:00</x:v>
      </x:c>
      <x:c r="D2077" s="47" t="n">
        <x:v>15</x:v>
      </x:c>
      <x:c r="E2077" s="40" t="n">
        <x:v>15.9</x:v>
      </x:c>
      <x:c r="F2077" s="40" t="n">
        <x:v>14.344047546386719</x:v>
      </x:c>
      <x:c r="G2077" s="40" t="n">
        <x:v>15.9</x:v>
      </x:c>
      <x:c r="H2077" s="40" t="n">
        <x:f>F2077-E2077</x:f>
        <x:v>-1.5559524536132816</x:v>
      </x:c>
      <x:c r="I2077" s="40" t="n">
        <x:f>ABS(H2077)</x:f>
        <x:v>1.5559524536132816</x:v>
      </x:c>
      <x:c r="J2077" s="40" t="n">
        <x:f>H2077^2</x:f>
        <x:v>2.4209880379051913</x:v>
      </x:c>
      <x:c r="K2077" s="40" t="n">
        <x:f>G2077-E2077</x:f>
        <x:v>0</x:v>
      </x:c>
      <x:c r="L2077" s="40" t="n">
        <x:f>ABS(K2077)</x:f>
        <x:v>0</x:v>
      </x:c>
      <x:c r="M2077" s="41" t="str">
        <x:v>lstm-soil-v1</x:v>
      </x:c>
    </x:row>
    <x:row r="2078">
      <x:c r="A2078" s="38" t="str">
        <x:v>7月30日现场数据</x:v>
      </x:c>
      <x:c r="B2078" s="39" t="str">
        <x:v>2026-08-02T08:45:00</x:v>
      </x:c>
      <x:c r="C2078" s="39" t="str">
        <x:v>2026-08-02T09:15:00</x:v>
      </x:c>
      <x:c r="D2078" s="47" t="n">
        <x:v>30</x:v>
      </x:c>
      <x:c r="E2078" s="40" t="n">
        <x:v>15.8</x:v>
      </x:c>
      <x:c r="F2078" s="40" t="n">
        <x:v>14.923881530761719</x:v>
      </x:c>
      <x:c r="G2078" s="40" t="n">
        <x:v>15.9</x:v>
      </x:c>
      <x:c r="H2078" s="40" t="n">
        <x:f>F2078-E2078</x:f>
        <x:v>-0.876118469238282</x:v>
      </x:c>
      <x:c r="I2078" s="40" t="n">
        <x:f>ABS(H2078)</x:f>
        <x:v>0.876118469238282</x:v>
      </x:c>
      <x:c r="J2078" s="40" t="n">
        <x:f>H2078^2</x:f>
        <x:v>0.7675835721404304</x:v>
      </x:c>
      <x:c r="K2078" s="40" t="n">
        <x:f>G2078-E2078</x:f>
        <x:v>0.09999999999999964</x:v>
      </x:c>
      <x:c r="L2078" s="40" t="n">
        <x:f>ABS(K2078)</x:f>
        <x:v>0.09999999999999964</x:v>
      </x:c>
      <x:c r="M2078" s="41" t="str">
        <x:v>lstm-soil-v1</x:v>
      </x:c>
    </x:row>
    <x:row r="2079">
      <x:c r="A2079" s="38" t="str">
        <x:v>7月30日现场数据</x:v>
      </x:c>
      <x:c r="B2079" s="39" t="str">
        <x:v>2026-08-02T08:45:00</x:v>
      </x:c>
      <x:c r="C2079" s="39" t="str">
        <x:v>2026-08-02T09:45:00</x:v>
      </x:c>
      <x:c r="D2079" s="47" t="n">
        <x:v>60</x:v>
      </x:c>
      <x:c r="E2079" s="40" t="n">
        <x:v>15.8</x:v>
      </x:c>
      <x:c r="F2079" s="40" t="n">
        <x:v>16.672622680664062</x:v>
      </x:c>
      <x:c r="G2079" s="40" t="n">
        <x:v>15.9</x:v>
      </x:c>
      <x:c r="H2079" s="40" t="n">
        <x:f>F2079-E2079</x:f>
        <x:v>0.8726226806640618</x:v>
      </x:c>
      <x:c r="I2079" s="40" t="n">
        <x:f>ABS(H2079)</x:f>
        <x:v>0.8726226806640618</x:v>
      </x:c>
      <x:c r="J2079" s="40" t="n">
        <x:f>H2079^2</x:f>
        <x:v>0.7614703428093331</x:v>
      </x:c>
      <x:c r="K2079" s="40" t="n">
        <x:f>G2079-E2079</x:f>
        <x:v>0.09999999999999964</x:v>
      </x:c>
      <x:c r="L2079" s="40" t="n">
        <x:f>ABS(K2079)</x:f>
        <x:v>0.09999999999999964</x:v>
      </x:c>
      <x:c r="M2079" s="41" t="str">
        <x:v>lstm-soil-v1</x:v>
      </x:c>
    </x:row>
    <x:row r="2080">
      <x:c r="A2080" s="38" t="str">
        <x:v>7月30日现场数据</x:v>
      </x:c>
      <x:c r="B2080" s="39" t="str">
        <x:v>2026-08-02T08:50:00</x:v>
      </x:c>
      <x:c r="C2080" s="39" t="str">
        <x:v>2026-08-02T08:55:00</x:v>
      </x:c>
      <x:c r="D2080" s="47" t="n">
        <x:v>5</x:v>
      </x:c>
      <x:c r="E2080" s="40" t="n">
        <x:v>15.9</x:v>
      </x:c>
      <x:c r="F2080" s="40" t="n">
        <x:v>14.337020874023438</x:v>
      </x:c>
      <x:c r="G2080" s="40" t="n">
        <x:v>15.9</x:v>
      </x:c>
      <x:c r="H2080" s="40" t="n">
        <x:f>F2080-E2080</x:f>
        <x:v>-1.5629791259765629</x:v>
      </x:c>
      <x:c r="I2080" s="40" t="n">
        <x:f>ABS(H2080)</x:f>
        <x:v>1.5629791259765629</x:v>
      </x:c>
      <x:c r="J2080" s="40" t="n">
        <x:f>H2080^2</x:f>
        <x:v>2.4429037482384603</x:v>
      </x:c>
      <x:c r="K2080" s="40" t="n">
        <x:f>G2080-E2080</x:f>
        <x:v>0</x:v>
      </x:c>
      <x:c r="L2080" s="40" t="n">
        <x:f>ABS(K2080)</x:f>
        <x:v>0</x:v>
      </x:c>
      <x:c r="M2080" s="41" t="str">
        <x:v>lstm-soil-v1</x:v>
      </x:c>
    </x:row>
    <x:row r="2081">
      <x:c r="A2081" s="38" t="str">
        <x:v>7月30日现场数据</x:v>
      </x:c>
      <x:c r="B2081" s="39" t="str">
        <x:v>2026-08-02T08:50:00</x:v>
      </x:c>
      <x:c r="C2081" s="39" t="str">
        <x:v>2026-08-02T09:05:00</x:v>
      </x:c>
      <x:c r="D2081" s="47" t="n">
        <x:v>15</x:v>
      </x:c>
      <x:c r="E2081" s="40" t="n">
        <x:v>15.9</x:v>
      </x:c>
      <x:c r="F2081" s="40" t="n">
        <x:v>14.347782135009766</x:v>
      </x:c>
      <x:c r="G2081" s="40" t="n">
        <x:v>15.9</x:v>
      </x:c>
      <x:c r="H2081" s="40" t="n">
        <x:f>F2081-E2081</x:f>
        <x:v>-1.5522178649902347</x:v>
      </x:c>
      <x:c r="I2081" s="40" t="n">
        <x:f>ABS(H2081)</x:f>
        <x:v>1.5522178649902347</x:v>
      </x:c>
      <x:c r="J2081" s="40" t="n">
        <x:f>H2081^2</x:f>
        <x:v>2.4093803003948424</x:v>
      </x:c>
      <x:c r="K2081" s="40" t="n">
        <x:f>G2081-E2081</x:f>
        <x:v>0</x:v>
      </x:c>
      <x:c r="L2081" s="40" t="n">
        <x:f>ABS(K2081)</x:f>
        <x:v>0</x:v>
      </x:c>
      <x:c r="M2081" s="41" t="str">
        <x:v>lstm-soil-v1</x:v>
      </x:c>
    </x:row>
    <x:row r="2082">
      <x:c r="A2082" s="38" t="str">
        <x:v>7月30日现场数据</x:v>
      </x:c>
      <x:c r="B2082" s="39" t="str">
        <x:v>2026-08-02T08:50:00</x:v>
      </x:c>
      <x:c r="C2082" s="39" t="str">
        <x:v>2026-08-02T09:20:00</x:v>
      </x:c>
      <x:c r="D2082" s="47" t="n">
        <x:v>30</x:v>
      </x:c>
      <x:c r="E2082" s="40" t="n">
        <x:v>15.8</x:v>
      </x:c>
      <x:c r="F2082" s="40" t="n">
        <x:v>14.940135955810547</x:v>
      </x:c>
      <x:c r="G2082" s="40" t="n">
        <x:v>15.9</x:v>
      </x:c>
      <x:c r="H2082" s="40" t="n">
        <x:f>F2082-E2082</x:f>
        <x:v>-0.8598640441894538</x:v>
      </x:c>
      <x:c r="I2082" s="40" t="n">
        <x:f>ABS(H2082)</x:f>
        <x:v>0.8598640441894538</x:v>
      </x:c>
      <x:c r="J2082" s="40" t="n">
        <x:f>H2082^2</x:f>
        <x:v>0.739366174489843</x:v>
      </x:c>
      <x:c r="K2082" s="40" t="n">
        <x:f>G2082-E2082</x:f>
        <x:v>0.09999999999999964</x:v>
      </x:c>
      <x:c r="L2082" s="40" t="n">
        <x:f>ABS(K2082)</x:f>
        <x:v>0.09999999999999964</x:v>
      </x:c>
      <x:c r="M2082" s="41" t="str">
        <x:v>lstm-soil-v1</x:v>
      </x:c>
    </x:row>
    <x:row r="2083">
      <x:c r="A2083" s="38" t="str">
        <x:v>7月30日现场数据</x:v>
      </x:c>
      <x:c r="B2083" s="39" t="str">
        <x:v>2026-08-02T08:50:00</x:v>
      </x:c>
      <x:c r="C2083" s="39" t="str">
        <x:v>2026-08-02T09:50:00</x:v>
      </x:c>
      <x:c r="D2083" s="47" t="n">
        <x:v>60</x:v>
      </x:c>
      <x:c r="E2083" s="40" t="n">
        <x:v>15.8</x:v>
      </x:c>
      <x:c r="F2083" s="40" t="n">
        <x:v>16.698230743408203</x:v>
      </x:c>
      <x:c r="G2083" s="40" t="n">
        <x:v>15.9</x:v>
      </x:c>
      <x:c r="H2083" s="40" t="n">
        <x:f>F2083-E2083</x:f>
        <x:v>0.8982307434082024</x:v>
      </x:c>
      <x:c r="I2083" s="40" t="n">
        <x:f>ABS(H2083)</x:f>
        <x:v>0.8982307434082024</x:v>
      </x:c>
      <x:c r="J2083" s="40" t="n">
        <x:f>H2083^2</x:f>
        <x:v>0.806818468403652</x:v>
      </x:c>
      <x:c r="K2083" s="40" t="n">
        <x:f>G2083-E2083</x:f>
        <x:v>0.09999999999999964</x:v>
      </x:c>
      <x:c r="L2083" s="40" t="n">
        <x:f>ABS(K2083)</x:f>
        <x:v>0.09999999999999964</x:v>
      </x:c>
      <x:c r="M2083" s="41" t="str">
        <x:v>lstm-soil-v1</x:v>
      </x:c>
    </x:row>
    <x:row r="2084">
      <x:c r="A2084" s="38" t="str">
        <x:v>7月30日现场数据</x:v>
      </x:c>
      <x:c r="B2084" s="39" t="str">
        <x:v>2026-08-02T08:55:00</x:v>
      </x:c>
      <x:c r="C2084" s="39" t="str">
        <x:v>2026-08-02T09:00:00</x:v>
      </x:c>
      <x:c r="D2084" s="47" t="n">
        <x:v>5</x:v>
      </x:c>
      <x:c r="E2084" s="40" t="n">
        <x:v>15.9</x:v>
      </x:c>
      <x:c r="F2084" s="40" t="n">
        <x:v>14.340923309326172</x:v>
      </x:c>
      <x:c r="G2084" s="40" t="n">
        <x:v>15.9</x:v>
      </x:c>
      <x:c r="H2084" s="40" t="n">
        <x:f>F2084-E2084</x:f>
        <x:v>-1.5590766906738285</x:v>
      </x:c>
      <x:c r="I2084" s="40" t="n">
        <x:f>ABS(H2084)</x:f>
        <x:v>1.5590766906738285</x:v>
      </x:c>
      <x:c r="J2084" s="40" t="n">
        <x:f>H2084^2</x:f>
        <x:v>2.4307201274024566</x:v>
      </x:c>
      <x:c r="K2084" s="40" t="n">
        <x:f>G2084-E2084</x:f>
        <x:v>0</x:v>
      </x:c>
      <x:c r="L2084" s="40" t="n">
        <x:f>ABS(K2084)</x:f>
        <x:v>0</x:v>
      </x:c>
      <x:c r="M2084" s="41" t="str">
        <x:v>lstm-soil-v1</x:v>
      </x:c>
    </x:row>
    <x:row r="2085">
      <x:c r="A2085" s="38" t="str">
        <x:v>7月30日现场数据</x:v>
      </x:c>
      <x:c r="B2085" s="39" t="str">
        <x:v>2026-08-02T08:55:00</x:v>
      </x:c>
      <x:c r="C2085" s="39" t="str">
        <x:v>2026-08-02T09:10:00</x:v>
      </x:c>
      <x:c r="D2085" s="47" t="n">
        <x:v>15</x:v>
      </x:c>
      <x:c r="E2085" s="40" t="n">
        <x:v>15.9</x:v>
      </x:c>
      <x:c r="F2085" s="40" t="n">
        <x:v>14.352313995361328</x:v>
      </x:c>
      <x:c r="G2085" s="40" t="n">
        <x:v>15.9</x:v>
      </x:c>
      <x:c r="H2085" s="40" t="n">
        <x:f>F2085-E2085</x:f>
        <x:v>-1.5476860046386722</x:v>
      </x:c>
      <x:c r="I2085" s="40" t="n">
        <x:f>ABS(H2085)</x:f>
        <x:v>1.5476860046386722</x:v>
      </x:c>
      <x:c r="J2085" s="40" t="n">
        <x:f>H2085^2</x:f>
        <x:v>2.3953319689544164</x:v>
      </x:c>
      <x:c r="K2085" s="40" t="n">
        <x:f>G2085-E2085</x:f>
        <x:v>0</x:v>
      </x:c>
      <x:c r="L2085" s="40" t="n">
        <x:f>ABS(K2085)</x:f>
        <x:v>0</x:v>
      </x:c>
      <x:c r="M2085" s="41" t="str">
        <x:v>lstm-soil-v1</x:v>
      </x:c>
    </x:row>
    <x:row r="2086">
      <x:c r="A2086" s="38" t="str">
        <x:v>7月30日现场数据</x:v>
      </x:c>
      <x:c r="B2086" s="39" t="str">
        <x:v>2026-08-02T08:55:00</x:v>
      </x:c>
      <x:c r="C2086" s="39" t="str">
        <x:v>2026-08-02T09:25:00</x:v>
      </x:c>
      <x:c r="D2086" s="47" t="n">
        <x:v>30</x:v>
      </x:c>
      <x:c r="E2086" s="40" t="n">
        <x:v>15.8</x:v>
      </x:c>
      <x:c r="F2086" s="40" t="n">
        <x:v>14.95174789428711</x:v>
      </x:c>
      <x:c r="G2086" s="40" t="n">
        <x:v>15.9</x:v>
      </x:c>
      <x:c r="H2086" s="40" t="n">
        <x:f>F2086-E2086</x:f>
        <x:v>-0.8482521057128913</x:v>
      </x:c>
      <x:c r="I2086" s="40" t="n">
        <x:f>ABS(H2086)</x:f>
        <x:v>0.8482521057128913</x:v>
      </x:c>
      <x:c r="J2086" s="40" t="n">
        <x:f>H2086^2</x:f>
        <x:v>0.7195316348463542</x:v>
      </x:c>
      <x:c r="K2086" s="40" t="n">
        <x:f>G2086-E2086</x:f>
        <x:v>0.09999999999999964</x:v>
      </x:c>
      <x:c r="L2086" s="40" t="n">
        <x:f>ABS(K2086)</x:f>
        <x:v>0.09999999999999964</x:v>
      </x:c>
      <x:c r="M2086" s="41" t="str">
        <x:v>lstm-soil-v1</x:v>
      </x:c>
    </x:row>
    <x:row r="2087">
      <x:c r="A2087" s="38" t="str">
        <x:v>7月30日现场数据</x:v>
      </x:c>
      <x:c r="B2087" s="39" t="str">
        <x:v>2026-08-02T08:55:00</x:v>
      </x:c>
      <x:c r="C2087" s="39" t="str">
        <x:v>2026-08-02T09:55:00</x:v>
      </x:c>
      <x:c r="D2087" s="47" t="n">
        <x:v>60</x:v>
      </x:c>
      <x:c r="E2087" s="40" t="n">
        <x:v>15.8</x:v>
      </x:c>
      <x:c r="F2087" s="40" t="n">
        <x:v>16.715892791748047</x:v>
      </x:c>
      <x:c r="G2087" s="40" t="n">
        <x:v>15.9</x:v>
      </x:c>
      <x:c r="H2087" s="40" t="n">
        <x:f>F2087-E2087</x:f>
        <x:v>0.9158927917480462</x:v>
      </x:c>
      <x:c r="I2087" s="40" t="n">
        <x:f>ABS(H2087)</x:f>
        <x:v>0.9158927917480462</x:v>
      </x:c>
      <x:c r="J2087" s="40" t="n">
        <x:f>H2087^2</x:f>
        <x:v>0.8388596059760298</x:v>
      </x:c>
      <x:c r="K2087" s="40" t="n">
        <x:f>G2087-E2087</x:f>
        <x:v>0.09999999999999964</x:v>
      </x:c>
      <x:c r="L2087" s="40" t="n">
        <x:f>ABS(K2087)</x:f>
        <x:v>0.09999999999999964</x:v>
      </x:c>
      <x:c r="M2087" s="41" t="str">
        <x:v>lstm-soil-v1</x:v>
      </x:c>
    </x:row>
    <x:row r="2088">
      <x:c r="A2088" s="38" t="str">
        <x:v>7月30日现场数据</x:v>
      </x:c>
      <x:c r="B2088" s="39" t="str">
        <x:v>2026-08-02T09:00:00</x:v>
      </x:c>
      <x:c r="C2088" s="39" t="str">
        <x:v>2026-08-02T09:05:00</x:v>
      </x:c>
      <x:c r="D2088" s="47" t="n">
        <x:v>5</x:v>
      </x:c>
      <x:c r="E2088" s="40" t="n">
        <x:v>15.9</x:v>
      </x:c>
      <x:c r="F2088" s="40" t="n">
        <x:v>14.343254089355469</x:v>
      </x:c>
      <x:c r="G2088" s="40" t="n">
        <x:v>15.9</x:v>
      </x:c>
      <x:c r="H2088" s="40" t="n">
        <x:f>F2088-E2088</x:f>
        <x:v>-1.5567459106445316</x:v>
      </x:c>
      <x:c r="I2088" s="40" t="n">
        <x:f>ABS(H2088)</x:f>
        <x:v>1.5567459106445316</x:v>
      </x:c>
      <x:c r="J2088" s="40" t="n">
        <x:f>H2088^2</x:f>
        <x:v>2.423457830308472</x:v>
      </x:c>
      <x:c r="K2088" s="40" t="n">
        <x:f>G2088-E2088</x:f>
        <x:v>0</x:v>
      </x:c>
      <x:c r="L2088" s="40" t="n">
        <x:f>ABS(K2088)</x:f>
        <x:v>0</x:v>
      </x:c>
      <x:c r="M2088" s="41" t="str">
        <x:v>lstm-soil-v1</x:v>
      </x:c>
    </x:row>
    <x:row r="2089">
      <x:c r="A2089" s="38" t="str">
        <x:v>7月30日现场数据</x:v>
      </x:c>
      <x:c r="B2089" s="39" t="str">
        <x:v>2026-08-02T09:00:00</x:v>
      </x:c>
      <x:c r="C2089" s="39" t="str">
        <x:v>2026-08-02T09:15:00</x:v>
      </x:c>
      <x:c r="D2089" s="47" t="n">
        <x:v>15</x:v>
      </x:c>
      <x:c r="E2089" s="40" t="n">
        <x:v>15.8</x:v>
      </x:c>
      <x:c r="F2089" s="40" t="n">
        <x:v>14.35525131225586</x:v>
      </x:c>
      <x:c r="G2089" s="40" t="n">
        <x:v>15.9</x:v>
      </x:c>
      <x:c r="H2089" s="40" t="n">
        <x:f>F2089-E2089</x:f>
        <x:v>-1.4447486877441413</x:v>
      </x:c>
      <x:c r="I2089" s="40" t="n">
        <x:f>ABS(H2089)</x:f>
        <x:v>1.4447486877441413</x:v>
      </x:c>
      <x:c r="J2089" s="40" t="n">
        <x:f>H2089^2</x:f>
        <x:v>2.0872987707384185</x:v>
      </x:c>
      <x:c r="K2089" s="40" t="n">
        <x:f>G2089-E2089</x:f>
        <x:v>0.09999999999999964</x:v>
      </x:c>
      <x:c r="L2089" s="40" t="n">
        <x:f>ABS(K2089)</x:f>
        <x:v>0.09999999999999964</x:v>
      </x:c>
      <x:c r="M2089" s="41" t="str">
        <x:v>lstm-soil-v1</x:v>
      </x:c>
    </x:row>
    <x:row r="2090">
      <x:c r="A2090" s="38" t="str">
        <x:v>7月30日现场数据</x:v>
      </x:c>
      <x:c r="B2090" s="39" t="str">
        <x:v>2026-08-02T09:00:00</x:v>
      </x:c>
      <x:c r="C2090" s="39" t="str">
        <x:v>2026-08-02T09:30:00</x:v>
      </x:c>
      <x:c r="D2090" s="47" t="n">
        <x:v>30</x:v>
      </x:c>
      <x:c r="E2090" s="40" t="n">
        <x:v>15.8</x:v>
      </x:c>
      <x:c r="F2090" s="40" t="n">
        <x:v>14.960819244384766</x:v>
      </x:c>
      <x:c r="G2090" s="40" t="n">
        <x:v>15.9</x:v>
      </x:c>
      <x:c r="H2090" s="40" t="n">
        <x:f>F2090-E2090</x:f>
        <x:v>-0.8391807556152351</x:v>
      </x:c>
      <x:c r="I2090" s="40" t="n">
        <x:f>ABS(H2090)</x:f>
        <x:v>0.8391807556152351</x:v>
      </x:c>
      <x:c r="J2090" s="40" t="n">
        <x:f>H2090^2</x:f>
        <x:v>0.7042243405949569</x:v>
      </x:c>
      <x:c r="K2090" s="40" t="n">
        <x:f>G2090-E2090</x:f>
        <x:v>0.09999999999999964</x:v>
      </x:c>
      <x:c r="L2090" s="40" t="n">
        <x:f>ABS(K2090)</x:f>
        <x:v>0.09999999999999964</x:v>
      </x:c>
      <x:c r="M2090" s="41" t="str">
        <x:v>lstm-soil-v1</x:v>
      </x:c>
    </x:row>
    <x:row r="2091">
      <x:c r="A2091" s="38" t="str">
        <x:v>7月30日现场数据</x:v>
      </x:c>
      <x:c r="B2091" s="39" t="str">
        <x:v>2026-08-02T09:00:00</x:v>
      </x:c>
      <x:c r="C2091" s="39" t="str">
        <x:v>2026-08-02T10:00:00</x:v>
      </x:c>
      <x:c r="D2091" s="47" t="n">
        <x:v>60</x:v>
      </x:c>
      <x:c r="E2091" s="40" t="n">
        <x:v>15.8</x:v>
      </x:c>
      <x:c r="F2091" s="40" t="n">
        <x:v>16.733291625976562</x:v>
      </x:c>
      <x:c r="G2091" s="40" t="n">
        <x:v>15.9</x:v>
      </x:c>
      <x:c r="H2091" s="40" t="n">
        <x:f>F2091-E2091</x:f>
        <x:v>0.9332916259765618</x:v>
      </x:c>
      <x:c r="I2091" s="40" t="n">
        <x:f>ABS(H2091)</x:f>
        <x:v>0.9332916259765618</x:v>
      </x:c>
      <x:c r="J2091" s="40" t="n">
        <x:f>H2091^2</x:f>
        <x:v>0.8710332591179745</x:v>
      </x:c>
      <x:c r="K2091" s="40" t="n">
        <x:f>G2091-E2091</x:f>
        <x:v>0.09999999999999964</x:v>
      </x:c>
      <x:c r="L2091" s="40" t="n">
        <x:f>ABS(K2091)</x:f>
        <x:v>0.09999999999999964</x:v>
      </x:c>
      <x:c r="M2091" s="41" t="str">
        <x:v>lstm-soil-v1</x:v>
      </x:c>
    </x:row>
    <x:row r="2092">
      <x:c r="A2092" s="38" t="str">
        <x:v>7月30日现场数据</x:v>
      </x:c>
      <x:c r="B2092" s="39" t="str">
        <x:v>2026-08-02T09:05:00</x:v>
      </x:c>
      <x:c r="C2092" s="39" t="str">
        <x:v>2026-08-02T09:10:00</x:v>
      </x:c>
      <x:c r="D2092" s="47" t="n">
        <x:v>5</x:v>
      </x:c>
      <x:c r="E2092" s="40" t="n">
        <x:v>15.9</x:v>
      </x:c>
      <x:c r="F2092" s="40" t="n">
        <x:v>14.344051361083984</x:v>
      </x:c>
      <x:c r="G2092" s="40" t="n">
        <x:v>15.9</x:v>
      </x:c>
      <x:c r="H2092" s="40" t="n">
        <x:f>F2092-E2092</x:f>
        <x:v>-1.555948638916016</x:v>
      </x:c>
      <x:c r="I2092" s="40" t="n">
        <x:f>ABS(H2092)</x:f>
        <x:v>1.555948638916016</x:v>
      </x:c>
      <x:c r="J2092" s="40" t="n">
        <x:f>H2092^2</x:f>
        <x:v>2.4209761669446026</x:v>
      </x:c>
      <x:c r="K2092" s="40" t="n">
        <x:f>G2092-E2092</x:f>
        <x:v>0</x:v>
      </x:c>
      <x:c r="L2092" s="40" t="n">
        <x:f>ABS(K2092)</x:f>
        <x:v>0</x:v>
      </x:c>
      <x:c r="M2092" s="41" t="str">
        <x:v>lstm-soil-v1</x:v>
      </x:c>
    </x:row>
    <x:row r="2093">
      <x:c r="A2093" s="38" t="str">
        <x:v>7月30日现场数据</x:v>
      </x:c>
      <x:c r="B2093" s="39" t="str">
        <x:v>2026-08-02T09:05:00</x:v>
      </x:c>
      <x:c r="C2093" s="39" t="str">
        <x:v>2026-08-02T09:20:00</x:v>
      </x:c>
      <x:c r="D2093" s="47" t="n">
        <x:v>15</x:v>
      </x:c>
      <x:c r="E2093" s="40" t="n">
        <x:v>15.8</x:v>
      </x:c>
      <x:c r="F2093" s="40" t="n">
        <x:v>14.35848617553711</x:v>
      </x:c>
      <x:c r="G2093" s="40" t="n">
        <x:v>15.9</x:v>
      </x:c>
      <x:c r="H2093" s="40" t="n">
        <x:f>F2093-E2093</x:f>
        <x:v>-1.4415138244628913</x:v>
      </x:c>
      <x:c r="I2093" s="40" t="n">
        <x:f>ABS(H2093)</x:f>
        <x:v>1.4415138244628913</x:v>
      </x:c>
      <x:c r="J2093" s="40" t="n">
        <x:f>H2093^2</x:f>
        <x:v>2.0779621061176314</x:v>
      </x:c>
      <x:c r="K2093" s="40" t="n">
        <x:f>G2093-E2093</x:f>
        <x:v>0.09999999999999964</x:v>
      </x:c>
      <x:c r="L2093" s="40" t="n">
        <x:f>ABS(K2093)</x:f>
        <x:v>0.09999999999999964</x:v>
      </x:c>
      <x:c r="M2093" s="41" t="str">
        <x:v>lstm-soil-v1</x:v>
      </x:c>
    </x:row>
    <x:row r="2094">
      <x:c r="A2094" s="38" t="str">
        <x:v>7月30日现场数据</x:v>
      </x:c>
      <x:c r="B2094" s="39" t="str">
        <x:v>2026-08-02T09:05:00</x:v>
      </x:c>
      <x:c r="C2094" s="39" t="str">
        <x:v>2026-08-02T09:35:00</x:v>
      </x:c>
      <x:c r="D2094" s="47" t="n">
        <x:v>30</x:v>
      </x:c>
      <x:c r="E2094" s="40" t="n">
        <x:v>15.8</x:v>
      </x:c>
      <x:c r="F2094" s="40" t="n">
        <x:v>14.96728515625</x:v>
      </x:c>
      <x:c r="G2094" s="40" t="n">
        <x:v>15.9</x:v>
      </x:c>
      <x:c r="H2094" s="40" t="n">
        <x:f>F2094-E2094</x:f>
        <x:v>-0.8327148437500007</x:v>
      </x:c>
      <x:c r="I2094" s="40" t="n">
        <x:f>ABS(H2094)</x:f>
        <x:v>0.8327148437500007</x:v>
      </x:c>
      <x:c r="J2094" s="40" t="n">
        <x:f>H2094^2</x:f>
        <x:v>0.6934140110015881</x:v>
      </x:c>
      <x:c r="K2094" s="40" t="n">
        <x:f>G2094-E2094</x:f>
        <x:v>0.09999999999999964</x:v>
      </x:c>
      <x:c r="L2094" s="40" t="n">
        <x:f>ABS(K2094)</x:f>
        <x:v>0.09999999999999964</x:v>
      </x:c>
      <x:c r="M2094" s="41" t="str">
        <x:v>lstm-soil-v1</x:v>
      </x:c>
    </x:row>
    <x:row r="2095">
      <x:c r="A2095" s="38" t="str">
        <x:v>7月30日现场数据</x:v>
      </x:c>
      <x:c r="B2095" s="39" t="str">
        <x:v>2026-08-02T09:05:00</x:v>
      </x:c>
      <x:c r="C2095" s="39" t="str">
        <x:v>2026-08-02T10:05:00</x:v>
      </x:c>
      <x:c r="D2095" s="47" t="n">
        <x:v>60</x:v>
      </x:c>
      <x:c r="E2095" s="40" t="n">
        <x:v>15.8</x:v>
      </x:c>
      <x:c r="F2095" s="40" t="n">
        <x:v>16.744983673095703</x:v>
      </x:c>
      <x:c r="G2095" s="40" t="n">
        <x:v>15.9</x:v>
      </x:c>
      <x:c r="H2095" s="40" t="n">
        <x:f>F2095-E2095</x:f>
        <x:v>0.9449836730957024</x:v>
      </x:c>
      <x:c r="I2095" s="40" t="n">
        <x:f>ABS(H2095)</x:f>
        <x:v>0.9449836730957024</x:v>
      </x:c>
      <x:c r="J2095" s="40" t="n">
        <x:f>H2095^2</x:f>
        <x:v>0.8929941424174453</x:v>
      </x:c>
      <x:c r="K2095" s="40" t="n">
        <x:f>G2095-E2095</x:f>
        <x:v>0.09999999999999964</x:v>
      </x:c>
      <x:c r="L2095" s="40" t="n">
        <x:f>ABS(K2095)</x:f>
        <x:v>0.09999999999999964</x:v>
      </x:c>
      <x:c r="M2095" s="41" t="str">
        <x:v>lstm-soil-v1</x:v>
      </x:c>
    </x:row>
    <x:row r="2096">
      <x:c r="A2096" s="38" t="str">
        <x:v>7月30日现场数据</x:v>
      </x:c>
      <x:c r="B2096" s="39" t="str">
        <x:v>2026-08-02T09:10:00</x:v>
      </x:c>
      <x:c r="C2096" s="39" t="str">
        <x:v>2026-08-02T09:15:00</x:v>
      </x:c>
      <x:c r="D2096" s="47" t="n">
        <x:v>5</x:v>
      </x:c>
      <x:c r="E2096" s="40" t="n">
        <x:v>15.8</x:v>
      </x:c>
      <x:c r="F2096" s="40" t="n">
        <x:v>14.345653533935547</x:v>
      </x:c>
      <x:c r="G2096" s="40" t="n">
        <x:v>15.9</x:v>
      </x:c>
      <x:c r="H2096" s="40" t="n">
        <x:f>F2096-E2096</x:f>
        <x:v>-1.4543464660644538</x:v>
      </x:c>
      <x:c r="I2096" s="40" t="n">
        <x:f>ABS(H2096)</x:f>
        <x:v>1.4543464660644538</x:v>
      </x:c>
      <x:c r="J2096" s="40" t="n">
        <x:f>H2096^2</x:f>
        <x:v>2.1151236433541656</x:v>
      </x:c>
      <x:c r="K2096" s="40" t="n">
        <x:f>G2096-E2096</x:f>
        <x:v>0.09999999999999964</x:v>
      </x:c>
      <x:c r="L2096" s="40" t="n">
        <x:f>ABS(K2096)</x:f>
        <x:v>0.09999999999999964</x:v>
      </x:c>
      <x:c r="M2096" s="41" t="str">
        <x:v>lstm-soil-v1</x:v>
      </x:c>
    </x:row>
    <x:row r="2097">
      <x:c r="A2097" s="38" t="str">
        <x:v>7月30日现场数据</x:v>
      </x:c>
      <x:c r="B2097" s="39" t="str">
        <x:v>2026-08-02T09:10:00</x:v>
      </x:c>
      <x:c r="C2097" s="39" t="str">
        <x:v>2026-08-02T09:25:00</x:v>
      </x:c>
      <x:c r="D2097" s="47" t="n">
        <x:v>15</x:v>
      </x:c>
      <x:c r="E2097" s="40" t="n">
        <x:v>15.8</x:v>
      </x:c>
      <x:c r="F2097" s="40" t="n">
        <x:v>14.360660552978516</x:v>
      </x:c>
      <x:c r="G2097" s="40" t="n">
        <x:v>15.9</x:v>
      </x:c>
      <x:c r="H2097" s="40" t="n">
        <x:f>F2097-E2097</x:f>
        <x:v>-1.439339447021485</x:v>
      </x:c>
      <x:c r="I2097" s="40" t="n">
        <x:f>ABS(H2097)</x:f>
        <x:v>1.439339447021485</x:v>
      </x:c>
      <x:c r="J2097" s="40" t="n">
        <x:f>H2097^2</x:f>
        <x:v>2.0716980437521144</x:v>
      </x:c>
      <x:c r="K2097" s="40" t="n">
        <x:f>G2097-E2097</x:f>
        <x:v>0.09999999999999964</x:v>
      </x:c>
      <x:c r="L2097" s="40" t="n">
        <x:f>ABS(K2097)</x:f>
        <x:v>0.09999999999999964</x:v>
      </x:c>
      <x:c r="M2097" s="41" t="str">
        <x:v>lstm-soil-v1</x:v>
      </x:c>
    </x:row>
    <x:row r="2098">
      <x:c r="A2098" s="38" t="str">
        <x:v>7月30日现场数据</x:v>
      </x:c>
      <x:c r="B2098" s="39" t="str">
        <x:v>2026-08-02T09:10:00</x:v>
      </x:c>
      <x:c r="C2098" s="39" t="str">
        <x:v>2026-08-02T09:40:00</x:v>
      </x:c>
      <x:c r="D2098" s="47" t="n">
        <x:v>30</x:v>
      </x:c>
      <x:c r="E2098" s="40" t="n">
        <x:v>15.8</x:v>
      </x:c>
      <x:c r="F2098" s="40" t="n">
        <x:v>14.972969055175781</x:v>
      </x:c>
      <x:c r="G2098" s="40" t="n">
        <x:v>15.9</x:v>
      </x:c>
      <x:c r="H2098" s="40" t="n">
        <x:f>F2098-E2098</x:f>
        <x:v>-0.8270309448242195</x:v>
      </x:c>
      <x:c r="I2098" s="40" t="n">
        <x:f>ABS(H2098)</x:f>
        <x:v>0.8270309448242195</x:v>
      </x:c>
      <x:c r="J2098" s="40" t="n">
        <x:f>H2098^2</x:f>
        <x:v>0.6839801836968411</x:v>
      </x:c>
      <x:c r="K2098" s="40" t="n">
        <x:f>G2098-E2098</x:f>
        <x:v>0.09999999999999964</x:v>
      </x:c>
      <x:c r="L2098" s="40" t="n">
        <x:f>ABS(K2098)</x:f>
        <x:v>0.09999999999999964</x:v>
      </x:c>
      <x:c r="M2098" s="41" t="str">
        <x:v>lstm-soil-v1</x:v>
      </x:c>
    </x:row>
    <x:row r="2099">
      <x:c r="A2099" s="38" t="str">
        <x:v>7月30日现场数据</x:v>
      </x:c>
      <x:c r="B2099" s="39" t="str">
        <x:v>2026-08-02T09:10:00</x:v>
      </x:c>
      <x:c r="C2099" s="39" t="str">
        <x:v>2026-08-02T10:10:00</x:v>
      </x:c>
      <x:c r="D2099" s="47" t="n">
        <x:v>60</x:v>
      </x:c>
      <x:c r="E2099" s="40" t="n">
        <x:v>15.7</x:v>
      </x:c>
      <x:c r="F2099" s="40" t="n">
        <x:v>16.754558563232422</x:v>
      </x:c>
      <x:c r="G2099" s="40" t="n">
        <x:v>15.9</x:v>
      </x:c>
      <x:c r="H2099" s="40" t="n">
        <x:f>F2099-E2099</x:f>
        <x:v>1.0545585632324226</x:v>
      </x:c>
      <x:c r="I2099" s="40" t="n">
        <x:f>ABS(H2099)</x:f>
        <x:v>1.0545585632324226</x:v>
      </x:c>
      <x:c r="J2099" s="40" t="n">
        <x:f>H2099^2</x:f>
        <x:v>1.1120937632868315</x:v>
      </x:c>
      <x:c r="K2099" s="40" t="n">
        <x:f>G2099-E2099</x:f>
        <x:v>0.20000000000000107</x:v>
      </x:c>
      <x:c r="L2099" s="40" t="n">
        <x:f>ABS(K2099)</x:f>
        <x:v>0.20000000000000107</x:v>
      </x:c>
      <x:c r="M2099" s="41" t="str">
        <x:v>lstm-soil-v1</x:v>
      </x:c>
    </x:row>
    <x:row r="2100">
      <x:c r="A2100" s="38" t="str">
        <x:v>7月30日现场数据</x:v>
      </x:c>
      <x:c r="B2100" s="39" t="str">
        <x:v>2026-08-02T09:15:00</x:v>
      </x:c>
      <x:c r="C2100" s="39" t="str">
        <x:v>2026-08-02T09:20:00</x:v>
      </x:c>
      <x:c r="D2100" s="47" t="n">
        <x:v>5</x:v>
      </x:c>
      <x:c r="E2100" s="40" t="n">
        <x:v>15.8</x:v>
      </x:c>
      <x:c r="F2100" s="40" t="n">
        <x:v>14.236553192138672</x:v>
      </x:c>
      <x:c r="G2100" s="40" t="n">
        <x:v>15.8</x:v>
      </x:c>
      <x:c r="H2100" s="40" t="n">
        <x:f>F2100-E2100</x:f>
        <x:v>-1.5634468078613288</x:v>
      </x:c>
      <x:c r="I2100" s="40" t="n">
        <x:f>ABS(H2100)</x:f>
        <x:v>1.5634468078613288</x:v>
      </x:c>
      <x:c r="J2100" s="40" t="n">
        <x:f>H2100^2</x:f>
        <x:v>2.4443659210117787</x:v>
      </x:c>
      <x:c r="K2100" s="40" t="n">
        <x:f>G2100-E2100</x:f>
        <x:v>0</x:v>
      </x:c>
      <x:c r="L2100" s="40" t="n">
        <x:f>ABS(K2100)</x:f>
        <x:v>0</x:v>
      </x:c>
      <x:c r="M2100" s="41" t="str">
        <x:v>lstm-soil-v1</x:v>
      </x:c>
    </x:row>
    <x:row r="2101">
      <x:c r="A2101" s="38" t="str">
        <x:v>7月30日现场数据</x:v>
      </x:c>
      <x:c r="B2101" s="39" t="str">
        <x:v>2026-08-02T09:15:00</x:v>
      </x:c>
      <x:c r="C2101" s="39" t="str">
        <x:v>2026-08-02T09:30:00</x:v>
      </x:c>
      <x:c r="D2101" s="47" t="n">
        <x:v>15</x:v>
      </x:c>
      <x:c r="E2101" s="40" t="n">
        <x:v>15.8</x:v>
      </x:c>
      <x:c r="F2101" s="40" t="n">
        <x:v>14.251842498779297</x:v>
      </x:c>
      <x:c r="G2101" s="40" t="n">
        <x:v>15.8</x:v>
      </x:c>
      <x:c r="H2101" s="40" t="n">
        <x:f>F2101-E2101</x:f>
        <x:v>-1.5481575012207038</x:v>
      </x:c>
      <x:c r="I2101" s="40" t="n">
        <x:f>ABS(H2101)</x:f>
        <x:v>1.5481575012207038</x:v>
      </x:c>
      <x:c r="J2101" s="40" t="n">
        <x:f>H2101^2</x:f>
        <x:v>2.3967916485859337</x:v>
      </x:c>
      <x:c r="K2101" s="40" t="n">
        <x:f>G2101-E2101</x:f>
        <x:v>0</x:v>
      </x:c>
      <x:c r="L2101" s="40" t="n">
        <x:f>ABS(K2101)</x:f>
        <x:v>0</x:v>
      </x:c>
      <x:c r="M2101" s="41" t="str">
        <x:v>lstm-soil-v1</x:v>
      </x:c>
    </x:row>
    <x:row r="2102">
      <x:c r="A2102" s="38" t="str">
        <x:v>7月30日现场数据</x:v>
      </x:c>
      <x:c r="B2102" s="39" t="str">
        <x:v>2026-08-02T09:15:00</x:v>
      </x:c>
      <x:c r="C2102" s="39" t="str">
        <x:v>2026-08-02T09:45:00</x:v>
      </x:c>
      <x:c r="D2102" s="47" t="n">
        <x:v>30</x:v>
      </x:c>
      <x:c r="E2102" s="40" t="n">
        <x:v>15.8</x:v>
      </x:c>
      <x:c r="F2102" s="40" t="n">
        <x:v>14.86883544921875</x:v>
      </x:c>
      <x:c r="G2102" s="40" t="n">
        <x:v>15.8</x:v>
      </x:c>
      <x:c r="H2102" s="40" t="n">
        <x:f>F2102-E2102</x:f>
        <x:v>-0.9311645507812507</x:v>
      </x:c>
      <x:c r="I2102" s="40" t="n">
        <x:f>ABS(H2102)</x:f>
        <x:v>0.9311645507812507</x:v>
      </x:c>
      <x:c r="J2102" s="40" t="n">
        <x:f>H2102^2</x:f>
        <x:v>0.8670674206316484</x:v>
      </x:c>
      <x:c r="K2102" s="40" t="n">
        <x:f>G2102-E2102</x:f>
        <x:v>0</x:v>
      </x:c>
      <x:c r="L2102" s="40" t="n">
        <x:f>ABS(K2102)</x:f>
        <x:v>0</x:v>
      </x:c>
      <x:c r="M2102" s="41" t="str">
        <x:v>lstm-soil-v1</x:v>
      </x:c>
    </x:row>
    <x:row r="2103">
      <x:c r="A2103" s="38" t="str">
        <x:v>7月30日现场数据</x:v>
      </x:c>
      <x:c r="B2103" s="39" t="str">
        <x:v>2026-08-02T09:15:00</x:v>
      </x:c>
      <x:c r="C2103" s="39" t="str">
        <x:v>2026-08-02T10:15:00</x:v>
      </x:c>
      <x:c r="D2103" s="47" t="n">
        <x:v>60</x:v>
      </x:c>
      <x:c r="E2103" s="40" t="n">
        <x:v>15.7</x:v>
      </x:c>
      <x:c r="F2103" s="40" t="n">
        <x:v>16.650894165039062</x:v>
      </x:c>
      <x:c r="G2103" s="40" t="n">
        <x:v>15.8</x:v>
      </x:c>
      <x:c r="H2103" s="40" t="n">
        <x:f>F2103-E2103</x:f>
        <x:v>0.9508941650390632</x:v>
      </x:c>
      <x:c r="I2103" s="40" t="n">
        <x:f>ABS(H2103)</x:f>
        <x:v>0.9508941650390632</x:v>
      </x:c>
      <x:c r="J2103" s="40" t="n">
        <x:f>H2103^2</x:f>
        <x:v>0.9041997131053372</x:v>
      </x:c>
      <x:c r="K2103" s="40" t="n">
        <x:f>G2103-E2103</x:f>
        <x:v>0.10000000000000142</x:v>
      </x:c>
      <x:c r="L2103" s="40" t="n">
        <x:f>ABS(K2103)</x:f>
        <x:v>0.10000000000000142</x:v>
      </x:c>
      <x:c r="M2103" s="41" t="str">
        <x:v>lstm-soil-v1</x:v>
      </x:c>
    </x:row>
    <x:row r="2104">
      <x:c r="A2104" s="38" t="str">
        <x:v>7月30日现场数据</x:v>
      </x:c>
      <x:c r="B2104" s="39" t="str">
        <x:v>2026-08-02T09:20:00</x:v>
      </x:c>
      <x:c r="C2104" s="39" t="str">
        <x:v>2026-08-02T09:25:00</x:v>
      </x:c>
      <x:c r="D2104" s="47" t="n">
        <x:v>5</x:v>
      </x:c>
      <x:c r="E2104" s="40" t="n">
        <x:v>15.8</x:v>
      </x:c>
      <x:c r="F2104" s="40" t="n">
        <x:v>14.23746109008789</x:v>
      </x:c>
      <x:c r="G2104" s="40" t="n">
        <x:v>15.8</x:v>
      </x:c>
      <x:c r="H2104" s="40" t="n">
        <x:f>F2104-E2104</x:f>
        <x:v>-1.56253890991211</x:v>
      </x:c>
      <x:c r="I2104" s="40" t="n">
        <x:f>ABS(H2104)</x:f>
        <x:v>1.56253890991211</x:v>
      </x:c>
      <x:c r="J2104" s="40" t="n">
        <x:f>H2104^2</x:f>
        <x:v>2.4415278449893254</x:v>
      </x:c>
      <x:c r="K2104" s="40" t="n">
        <x:f>G2104-E2104</x:f>
        <x:v>0</x:v>
      </x:c>
      <x:c r="L2104" s="40" t="n">
        <x:f>ABS(K2104)</x:f>
        <x:v>0</x:v>
      </x:c>
      <x:c r="M2104" s="41" t="str">
        <x:v>lstm-soil-v1</x:v>
      </x:c>
    </x:row>
    <x:row r="2105">
      <x:c r="A2105" s="38" t="str">
        <x:v>7月30日现场数据</x:v>
      </x:c>
      <x:c r="B2105" s="39" t="str">
        <x:v>2026-08-02T09:20:00</x:v>
      </x:c>
      <x:c r="C2105" s="39" t="str">
        <x:v>2026-08-02T09:35:00</x:v>
      </x:c>
      <x:c r="D2105" s="47" t="n">
        <x:v>15</x:v>
      </x:c>
      <x:c r="E2105" s="40" t="n">
        <x:v>15.8</x:v>
      </x:c>
      <x:c r="F2105" s="40" t="n">
        <x:v>14.252662658691406</x:v>
      </x:c>
      <x:c r="G2105" s="40" t="n">
        <x:v>15.8</x:v>
      </x:c>
      <x:c r="H2105" s="40" t="n">
        <x:f>F2105-E2105</x:f>
        <x:v>-1.5473373413085945</x:v>
      </x:c>
      <x:c r="I2105" s="40" t="n">
        <x:f>ABS(H2105)</x:f>
        <x:v>1.5473373413085945</x:v>
      </x:c>
      <x:c r="J2105" s="40" t="n">
        <x:f>H2105^2</x:f>
        <x:v>2.39425284780795</x:v>
      </x:c>
      <x:c r="K2105" s="40" t="n">
        <x:f>G2105-E2105</x:f>
        <x:v>0</x:v>
      </x:c>
      <x:c r="L2105" s="40" t="n">
        <x:f>ABS(K2105)</x:f>
        <x:v>0</x:v>
      </x:c>
      <x:c r="M2105" s="41" t="str">
        <x:v>lstm-soil-v1</x:v>
      </x:c>
    </x:row>
    <x:row r="2106">
      <x:c r="A2106" s="38" t="str">
        <x:v>7月30日现场数据</x:v>
      </x:c>
      <x:c r="B2106" s="39" t="str">
        <x:v>2026-08-02T09:20:00</x:v>
      </x:c>
      <x:c r="C2106" s="39" t="str">
        <x:v>2026-08-02T09:50:00</x:v>
      </x:c>
      <x:c r="D2106" s="47" t="n">
        <x:v>30</x:v>
      </x:c>
      <x:c r="E2106" s="40" t="n">
        <x:v>15.8</x:v>
      </x:c>
      <x:c r="F2106" s="40" t="n">
        <x:v>14.87393569946289</x:v>
      </x:c>
      <x:c r="G2106" s="40" t="n">
        <x:v>15.8</x:v>
      </x:c>
      <x:c r="H2106" s="40" t="n">
        <x:f>F2106-E2106</x:f>
        <x:v>-0.9260643005371101</x:v>
      </x:c>
      <x:c r="I2106" s="40" t="n">
        <x:f>ABS(H2106)</x:f>
        <x:v>0.9260643005371101</x:v>
      </x:c>
      <x:c r="J2106" s="40" t="n">
        <x:f>H2106^2</x:f>
        <x:v>0.8575950887292869</x:v>
      </x:c>
      <x:c r="K2106" s="40" t="n">
        <x:f>G2106-E2106</x:f>
        <x:v>0</x:v>
      </x:c>
      <x:c r="L2106" s="40" t="n">
        <x:f>ABS(K2106)</x:f>
        <x:v>0</x:v>
      </x:c>
      <x:c r="M2106" s="41" t="str">
        <x:v>lstm-soil-v1</x:v>
      </x:c>
    </x:row>
    <x:row r="2107">
      <x:c r="A2107" s="38" t="str">
        <x:v>7月30日现场数据</x:v>
      </x:c>
      <x:c r="B2107" s="39" t="str">
        <x:v>2026-08-02T09:20:00</x:v>
      </x:c>
      <x:c r="C2107" s="39" t="str">
        <x:v>2026-08-02T10:20:00</x:v>
      </x:c>
      <x:c r="D2107" s="47" t="n">
        <x:v>60</x:v>
      </x:c>
      <x:c r="E2107" s="40" t="n">
        <x:v>15.7</x:v>
      </x:c>
      <x:c r="F2107" s="40" t="n">
        <x:v>16.656448364257812</x:v>
      </x:c>
      <x:c r="G2107" s="40" t="n">
        <x:v>15.8</x:v>
      </x:c>
      <x:c r="H2107" s="40" t="n">
        <x:f>F2107-E2107</x:f>
        <x:v>0.9564483642578132</x:v>
      </x:c>
      <x:c r="I2107" s="40" t="n">
        <x:f>ABS(H2107)</x:f>
        <x:v>0.9564483642578132</x:v>
      </x:c>
      <x:c r="J2107" s="40" t="n">
        <x:f>H2107^2</x:f>
        <x:v>0.9147934734914466</x:v>
      </x:c>
      <x:c r="K2107" s="40" t="n">
        <x:f>G2107-E2107</x:f>
        <x:v>0.10000000000000142</x:v>
      </x:c>
      <x:c r="L2107" s="40" t="n">
        <x:f>ABS(K2107)</x:f>
        <x:v>0.10000000000000142</x:v>
      </x:c>
      <x:c r="M2107" s="41" t="str">
        <x:v>lstm-soil-v1</x:v>
      </x:c>
    </x:row>
    <x:row r="2108">
      <x:c r="A2108" s="38" t="str">
        <x:v>7月30日现场数据</x:v>
      </x:c>
      <x:c r="B2108" s="39" t="str">
        <x:v>2026-08-02T09:25:00</x:v>
      </x:c>
      <x:c r="C2108" s="39" t="str">
        <x:v>2026-08-02T09:30:00</x:v>
      </x:c>
      <x:c r="D2108" s="47" t="n">
        <x:v>5</x:v>
      </x:c>
      <x:c r="E2108" s="40" t="n">
        <x:v>15.8</x:v>
      </x:c>
      <x:c r="F2108" s="40" t="n">
        <x:v>14.238140106201172</x:v>
      </x:c>
      <x:c r="G2108" s="40" t="n">
        <x:v>15.8</x:v>
      </x:c>
      <x:c r="H2108" s="40" t="n">
        <x:f>F2108-E2108</x:f>
        <x:v>-1.5618598937988288</x:v>
      </x:c>
      <x:c r="I2108" s="40" t="n">
        <x:f>ABS(H2108)</x:f>
        <x:v>1.5618598937988288</x:v>
      </x:c>
      <x:c r="J2108" s="40" t="n">
        <x:f>H2108^2</x:f>
        <x:v>2.439406327857289</x:v>
      </x:c>
      <x:c r="K2108" s="40" t="n">
        <x:f>G2108-E2108</x:f>
        <x:v>0</x:v>
      </x:c>
      <x:c r="L2108" s="40" t="n">
        <x:f>ABS(K2108)</x:f>
        <x:v>0</x:v>
      </x:c>
      <x:c r="M2108" s="41" t="str">
        <x:v>lstm-soil-v1</x:v>
      </x:c>
    </x:row>
    <x:row r="2109">
      <x:c r="A2109" s="38" t="str">
        <x:v>7月30日现场数据</x:v>
      </x:c>
      <x:c r="B2109" s="39" t="str">
        <x:v>2026-08-02T09:25:00</x:v>
      </x:c>
      <x:c r="C2109" s="39" t="str">
        <x:v>2026-08-02T09:40:00</x:v>
      </x:c>
      <x:c r="D2109" s="47" t="n">
        <x:v>15</x:v>
      </x:c>
      <x:c r="E2109" s="40" t="n">
        <x:v>15.8</x:v>
      </x:c>
      <x:c r="F2109" s="40" t="n">
        <x:v>14.253047943115234</x:v>
      </x:c>
      <x:c r="G2109" s="40" t="n">
        <x:v>15.8</x:v>
      </x:c>
      <x:c r="H2109" s="40" t="n">
        <x:f>F2109-E2109</x:f>
        <x:v>-1.5469520568847663</x:v>
      </x:c>
      <x:c r="I2109" s="40" t="n">
        <x:f>ABS(H2109)</x:f>
        <x:v>1.5469520568847663</x:v>
      </x:c>
      <x:c r="J2109" s="40" t="n">
        <x:f>H2109^2</x:f>
        <x:v>2.393060666300009</x:v>
      </x:c>
      <x:c r="K2109" s="40" t="n">
        <x:f>G2109-E2109</x:f>
        <x:v>0</x:v>
      </x:c>
      <x:c r="L2109" s="40" t="n">
        <x:f>ABS(K2109)</x:f>
        <x:v>0</x:v>
      </x:c>
      <x:c r="M2109" s="41" t="str">
        <x:v>lstm-soil-v1</x:v>
      </x:c>
    </x:row>
    <x:row r="2110">
      <x:c r="A2110" s="38" t="str">
        <x:v>7月30日现场数据</x:v>
      </x:c>
      <x:c r="B2110" s="39" t="str">
        <x:v>2026-08-02T09:25:00</x:v>
      </x:c>
      <x:c r="C2110" s="39" t="str">
        <x:v>2026-08-02T09:55:00</x:v>
      </x:c>
      <x:c r="D2110" s="47" t="n">
        <x:v>30</x:v>
      </x:c>
      <x:c r="E2110" s="40" t="n">
        <x:v>15.8</x:v>
      </x:c>
      <x:c r="F2110" s="40" t="n">
        <x:v>14.87786865234375</x:v>
      </x:c>
      <x:c r="G2110" s="40" t="n">
        <x:v>15.8</x:v>
      </x:c>
      <x:c r="H2110" s="40" t="n">
        <x:f>F2110-E2110</x:f>
        <x:v>-0.9221313476562507</x:v>
      </x:c>
      <x:c r="I2110" s="40" t="n">
        <x:f>ABS(H2110)</x:f>
        <x:v>0.9221313476562507</x:v>
      </x:c>
      <x:c r="J2110" s="40" t="n">
        <x:f>H2110^2</x:f>
        <x:v>0.8503262223303331</x:v>
      </x:c>
      <x:c r="K2110" s="40" t="n">
        <x:f>G2110-E2110</x:f>
        <x:v>0</x:v>
      </x:c>
      <x:c r="L2110" s="40" t="n">
        <x:f>ABS(K2110)</x:f>
        <x:v>0</x:v>
      </x:c>
      <x:c r="M2110" s="41" t="str">
        <x:v>lstm-soil-v1</x:v>
      </x:c>
    </x:row>
    <x:row r="2111">
      <x:c r="A2111" s="38" t="str">
        <x:v>7月30日现场数据</x:v>
      </x:c>
      <x:c r="B2111" s="39" t="str">
        <x:v>2026-08-02T09:25:00</x:v>
      </x:c>
      <x:c r="C2111" s="39" t="str">
        <x:v>2026-08-02T10:25:00</x:v>
      </x:c>
      <x:c r="D2111" s="47" t="n">
        <x:v>60</x:v>
      </x:c>
      <x:c r="E2111" s="40" t="n">
        <x:v>15.7</x:v>
      </x:c>
      <x:c r="F2111" s="40" t="n">
        <x:v>16.661067962646484</x:v>
      </x:c>
      <x:c r="G2111" s="40" t="n">
        <x:v>15.8</x:v>
      </x:c>
      <x:c r="H2111" s="40" t="n">
        <x:f>F2111-E2111</x:f>
        <x:v>0.9610679626464851</x:v>
      </x:c>
      <x:c r="I2111" s="40" t="n">
        <x:f>ABS(H2111)</x:f>
        <x:v>0.9610679626464851</x:v>
      </x:c>
      <x:c r="J2111" s="40" t="n">
        <x:f>H2111^2</x:f>
        <x:v>0.9236516288254657</x:v>
      </x:c>
      <x:c r="K2111" s="40" t="n">
        <x:f>G2111-E2111</x:f>
        <x:v>0.10000000000000142</x:v>
      </x:c>
      <x:c r="L2111" s="40" t="n">
        <x:f>ABS(K2111)</x:f>
        <x:v>0.10000000000000142</x:v>
      </x:c>
      <x:c r="M2111" s="41" t="str">
        <x:v>lstm-soil-v1</x:v>
      </x:c>
    </x:row>
    <x:row r="2112">
      <x:c r="A2112" s="38" t="str">
        <x:v>7月30日现场数据</x:v>
      </x:c>
      <x:c r="B2112" s="39" t="str">
        <x:v>2026-08-02T09:30:00</x:v>
      </x:c>
      <x:c r="C2112" s="39" t="str">
        <x:v>2026-08-02T09:35:00</x:v>
      </x:c>
      <x:c r="D2112" s="47" t="n">
        <x:v>5</x:v>
      </x:c>
      <x:c r="E2112" s="40" t="n">
        <x:v>15.8</x:v>
      </x:c>
      <x:c r="F2112" s="40" t="n">
        <x:v>14.238563537597656</x:v>
      </x:c>
      <x:c r="G2112" s="40" t="n">
        <x:v>15.8</x:v>
      </x:c>
      <x:c r="H2112" s="40" t="n">
        <x:f>F2112-E2112</x:f>
        <x:v>-1.5614364624023445</x:v>
      </x:c>
      <x:c r="I2112" s="40" t="n">
        <x:f>ABS(H2112)</x:f>
        <x:v>1.5614364624023445</x:v>
      </x:c>
      <x:c r="J2112" s="40" t="n">
        <x:f>H2112^2</x:f>
        <x:v>2.438083826119548</x:v>
      </x:c>
      <x:c r="K2112" s="40" t="n">
        <x:f>G2112-E2112</x:f>
        <x:v>0</x:v>
      </x:c>
      <x:c r="L2112" s="40" t="n">
        <x:f>ABS(K2112)</x:f>
        <x:v>0</x:v>
      </x:c>
      <x:c r="M2112" s="41" t="str">
        <x:v>lstm-soil-v1</x:v>
      </x:c>
    </x:row>
    <x:row r="2113">
      <x:c r="A2113" s="38" t="str">
        <x:v>7月30日现场数据</x:v>
      </x:c>
      <x:c r="B2113" s="39" t="str">
        <x:v>2026-08-02T09:30:00</x:v>
      </x:c>
      <x:c r="C2113" s="39" t="str">
        <x:v>2026-08-02T09:45:00</x:v>
      </x:c>
      <x:c r="D2113" s="47" t="n">
        <x:v>15</x:v>
      </x:c>
      <x:c r="E2113" s="40" t="n">
        <x:v>15.8</x:v>
      </x:c>
      <x:c r="F2113" s="40" t="n">
        <x:v>14.253192901611328</x:v>
      </x:c>
      <x:c r="G2113" s="40" t="n">
        <x:v>15.8</x:v>
      </x:c>
      <x:c r="H2113" s="40" t="n">
        <x:f>F2113-E2113</x:f>
        <x:v>-1.5468070983886726</x:v>
      </x:c>
      <x:c r="I2113" s="40" t="n">
        <x:f>ABS(H2113)</x:f>
        <x:v>1.5468070983886726</x:v>
      </x:c>
      <x:c r="J2113" s="40" t="n">
        <x:f>H2113^2</x:f>
        <x:v>2.3926121996255847</x:v>
      </x:c>
      <x:c r="K2113" s="40" t="n">
        <x:f>G2113-E2113</x:f>
        <x:v>0</x:v>
      </x:c>
      <x:c r="L2113" s="40" t="n">
        <x:f>ABS(K2113)</x:f>
        <x:v>0</x:v>
      </x:c>
      <x:c r="M2113" s="41" t="str">
        <x:v>lstm-soil-v1</x:v>
      </x:c>
    </x:row>
    <x:row r="2114">
      <x:c r="A2114" s="38" t="str">
        <x:v>7月30日现场数据</x:v>
      </x:c>
      <x:c r="B2114" s="39" t="str">
        <x:v>2026-08-02T09:30:00</x:v>
      </x:c>
      <x:c r="C2114" s="39" t="str">
        <x:v>2026-08-02T10:00:00</x:v>
      </x:c>
      <x:c r="D2114" s="47" t="n">
        <x:v>30</x:v>
      </x:c>
      <x:c r="E2114" s="40" t="n">
        <x:v>15.8</x:v>
      </x:c>
      <x:c r="F2114" s="40" t="n">
        <x:v>14.88119888305664</x:v>
      </x:c>
      <x:c r="G2114" s="40" t="n">
        <x:v>15.8</x:v>
      </x:c>
      <x:c r="H2114" s="40" t="n">
        <x:f>F2114-E2114</x:f>
        <x:v>-0.9188011169433601</x:v>
      </x:c>
      <x:c r="I2114" s="40" t="n">
        <x:f>ABS(H2114)</x:f>
        <x:v>0.9188011169433601</x:v>
      </x:c>
      <x:c r="J2114" s="40" t="n">
        <x:f>H2114^2</x:f>
        <x:v>0.844195492496366</x:v>
      </x:c>
      <x:c r="K2114" s="40" t="n">
        <x:f>G2114-E2114</x:f>
        <x:v>0</x:v>
      </x:c>
      <x:c r="L2114" s="40" t="n">
        <x:f>ABS(K2114)</x:f>
        <x:v>0</x:v>
      </x:c>
      <x:c r="M2114" s="41" t="str">
        <x:v>lstm-soil-v1</x:v>
      </x:c>
    </x:row>
    <x:row r="2115">
      <x:c r="A2115" s="38" t="str">
        <x:v>7月30日现场数据</x:v>
      </x:c>
      <x:c r="B2115" s="39" t="str">
        <x:v>2026-08-02T09:30:00</x:v>
      </x:c>
      <x:c r="C2115" s="39" t="str">
        <x:v>2026-08-02T10:30:00</x:v>
      </x:c>
      <x:c r="D2115" s="47" t="n">
        <x:v>60</x:v>
      </x:c>
      <x:c r="E2115" s="40" t="n">
        <x:v>15.7</x:v>
      </x:c>
      <x:c r="F2115" s="40" t="n">
        <x:v>16.664997100830078</x:v>
      </x:c>
      <x:c r="G2115" s="40" t="n">
        <x:v>15.8</x:v>
      </x:c>
      <x:c r="H2115" s="40" t="n">
        <x:f>F2115-E2115</x:f>
        <x:v>0.9649971008300788</x:v>
      </x:c>
      <x:c r="I2115" s="40" t="n">
        <x:f>ABS(H2115)</x:f>
        <x:v>0.9649971008300788</x:v>
      </x:c>
      <x:c r="J2115" s="40" t="n">
        <x:f>H2115^2</x:f>
        <x:v>0.9312194046104574</x:v>
      </x:c>
      <x:c r="K2115" s="40" t="n">
        <x:f>G2115-E2115</x:f>
        <x:v>0.10000000000000142</x:v>
      </x:c>
      <x:c r="L2115" s="40" t="n">
        <x:f>ABS(K2115)</x:f>
        <x:v>0.10000000000000142</x:v>
      </x:c>
      <x:c r="M2115" s="41" t="str">
        <x:v>lstm-soil-v1</x:v>
      </x:c>
    </x:row>
    <x:row r="2116">
      <x:c r="A2116" s="38" t="str">
        <x:v>7月30日现场数据</x:v>
      </x:c>
      <x:c r="B2116" s="39" t="str">
        <x:v>2026-08-02T09:35:00</x:v>
      </x:c>
      <x:c r="C2116" s="39" t="str">
        <x:v>2026-08-02T09:40:00</x:v>
      </x:c>
      <x:c r="D2116" s="47" t="n">
        <x:v>5</x:v>
      </x:c>
      <x:c r="E2116" s="40" t="n">
        <x:v>15.8</x:v>
      </x:c>
      <x:c r="F2116" s="40" t="n">
        <x:v>14.238853454589844</x:v>
      </x:c>
      <x:c r="G2116" s="40" t="n">
        <x:v>15.8</x:v>
      </x:c>
      <x:c r="H2116" s="40" t="n">
        <x:f>F2116-E2116</x:f>
        <x:v>-1.561146545410157</x:v>
      </x:c>
      <x:c r="I2116" s="40" t="n">
        <x:f>ABS(H2116)</x:f>
        <x:v>1.561146545410157</x:v>
      </x:c>
      <x:c r="J2116" s="40" t="n">
        <x:f>H2116^2</x:f>
        <x:v>2.4371785362460674</x:v>
      </x:c>
      <x:c r="K2116" s="40" t="n">
        <x:f>G2116-E2116</x:f>
        <x:v>0</x:v>
      </x:c>
      <x:c r="L2116" s="40" t="n">
        <x:f>ABS(K2116)</x:f>
        <x:v>0</x:v>
      </x:c>
      <x:c r="M2116" s="41" t="str">
        <x:v>lstm-soil-v1</x:v>
      </x:c>
    </x:row>
    <x:row r="2117">
      <x:c r="A2117" s="38" t="str">
        <x:v>7月30日现场数据</x:v>
      </x:c>
      <x:c r="B2117" s="39" t="str">
        <x:v>2026-08-02T09:35:00</x:v>
      </x:c>
      <x:c r="C2117" s="39" t="str">
        <x:v>2026-08-02T09:50:00</x:v>
      </x:c>
      <x:c r="D2117" s="47" t="n">
        <x:v>15</x:v>
      </x:c>
      <x:c r="E2117" s="40" t="n">
        <x:v>15.8</x:v>
      </x:c>
      <x:c r="F2117" s="40" t="n">
        <x:v>14.253280639648438</x:v>
      </x:c>
      <x:c r="G2117" s="40" t="n">
        <x:v>15.8</x:v>
      </x:c>
      <x:c r="H2117" s="40" t="n">
        <x:f>F2117-E2117</x:f>
        <x:v>-1.5467193603515632</x:v>
      </x:c>
      <x:c r="I2117" s="40" t="n">
        <x:f>ABS(H2117)</x:f>
        <x:v>1.5467193603515632</x:v>
      </x:c>
      <x:c r="J2117" s="40" t="n">
        <x:f>H2117^2</x:f>
        <x:v>2.3923407796863487</x:v>
      </x:c>
      <x:c r="K2117" s="40" t="n">
        <x:f>G2117-E2117</x:f>
        <x:v>0</x:v>
      </x:c>
      <x:c r="L2117" s="40" t="n">
        <x:f>ABS(K2117)</x:f>
        <x:v>0</x:v>
      </x:c>
      <x:c r="M2117" s="41" t="str">
        <x:v>lstm-soil-v1</x:v>
      </x:c>
    </x:row>
    <x:row r="2118">
      <x:c r="A2118" s="38" t="str">
        <x:v>7月30日现场数据</x:v>
      </x:c>
      <x:c r="B2118" s="39" t="str">
        <x:v>2026-08-02T09:35:00</x:v>
      </x:c>
      <x:c r="C2118" s="39" t="str">
        <x:v>2026-08-02T10:05:00</x:v>
      </x:c>
      <x:c r="D2118" s="47" t="n">
        <x:v>30</x:v>
      </x:c>
      <x:c r="E2118" s="40" t="n">
        <x:v>15.8</x:v>
      </x:c>
      <x:c r="F2118" s="40" t="n">
        <x:v>14.884204864501953</x:v>
      </x:c>
      <x:c r="G2118" s="40" t="n">
        <x:v>15.8</x:v>
      </x:c>
      <x:c r="H2118" s="40" t="n">
        <x:f>F2118-E2118</x:f>
        <x:v>-0.9157951354980476</x:v>
      </x:c>
      <x:c r="I2118" s="40" t="n">
        <x:f>ABS(H2118)</x:f>
        <x:v>0.9157951354980476</x:v>
      </x:c>
      <x:c r="J2118" s="40" t="n">
        <x:f>H2118^2</x:f>
        <x:v>0.8386807302018874</x:v>
      </x:c>
      <x:c r="K2118" s="40" t="n">
        <x:f>G2118-E2118</x:f>
        <x:v>0</x:v>
      </x:c>
      <x:c r="L2118" s="40" t="n">
        <x:f>ABS(K2118)</x:f>
        <x:v>0</x:v>
      </x:c>
      <x:c r="M2118" s="41" t="str">
        <x:v>lstm-soil-v1</x:v>
      </x:c>
    </x:row>
    <x:row r="2119">
      <x:c r="A2119" s="38" t="str">
        <x:v>7月30日现场数据</x:v>
      </x:c>
      <x:c r="B2119" s="39" t="str">
        <x:v>2026-08-02T09:35:00</x:v>
      </x:c>
      <x:c r="C2119" s="39" t="str">
        <x:v>2026-08-02T10:35:00</x:v>
      </x:c>
      <x:c r="D2119" s="47" t="n">
        <x:v>60</x:v>
      </x:c>
      <x:c r="E2119" s="40" t="n">
        <x:v>15.7</x:v>
      </x:c>
      <x:c r="F2119" s="40" t="n">
        <x:v>16.668426513671875</x:v>
      </x:c>
      <x:c r="G2119" s="40" t="n">
        <x:v>15.8</x:v>
      </x:c>
      <x:c r="H2119" s="40" t="n">
        <x:f>F2119-E2119</x:f>
        <x:v>0.9684265136718757</x:v>
      </x:c>
      <x:c r="I2119" s="40" t="n">
        <x:f>ABS(H2119)</x:f>
        <x:v>0.9684265136718757</x:v>
      </x:c>
      <x:c r="J2119" s="40" t="n">
        <x:f>H2119^2</x:f>
        <x:v>0.9378499123826637</x:v>
      </x:c>
      <x:c r="K2119" s="40" t="n">
        <x:f>G2119-E2119</x:f>
        <x:v>0.10000000000000142</x:v>
      </x:c>
      <x:c r="L2119" s="40" t="n">
        <x:f>ABS(K2119)</x:f>
        <x:v>0.10000000000000142</x:v>
      </x:c>
      <x:c r="M2119" s="41" t="str">
        <x:v>lstm-soil-v1</x:v>
      </x:c>
    </x:row>
    <x:row r="2120">
      <x:c r="A2120" s="38" t="str">
        <x:v>7月30日现场数据</x:v>
      </x:c>
      <x:c r="B2120" s="39" t="str">
        <x:v>2026-08-02T09:40:00</x:v>
      </x:c>
      <x:c r="C2120" s="39" t="str">
        <x:v>2026-08-02T09:45:00</x:v>
      </x:c>
      <x:c r="D2120" s="47" t="n">
        <x:v>5</x:v>
      </x:c>
      <x:c r="E2120" s="40" t="n">
        <x:v>15.8</x:v>
      </x:c>
      <x:c r="F2120" s="40" t="n">
        <x:v>14.238300323486328</x:v>
      </x:c>
      <x:c r="G2120" s="40" t="n">
        <x:v>15.8</x:v>
      </x:c>
      <x:c r="H2120" s="40" t="n">
        <x:f>F2120-E2120</x:f>
        <x:v>-1.5616996765136726</x:v>
      </x:c>
      <x:c r="I2120" s="40" t="n">
        <x:f>ABS(H2120)</x:f>
        <x:v>1.5616996765136726</x:v>
      </x:c>
      <x:c r="J2120" s="40" t="n">
        <x:f>H2120^2</x:f>
        <x:v>2.4389058796229097</x:v>
      </x:c>
      <x:c r="K2120" s="40" t="n">
        <x:f>G2120-E2120</x:f>
        <x:v>0</x:v>
      </x:c>
      <x:c r="L2120" s="40" t="n">
        <x:f>ABS(K2120)</x:f>
        <x:v>0</x:v>
      </x:c>
      <x:c r="M2120" s="41" t="str">
        <x:v>lstm-soil-v1</x:v>
      </x:c>
    </x:row>
    <x:row r="2121">
      <x:c r="A2121" s="38" t="str">
        <x:v>7月30日现场数据</x:v>
      </x:c>
      <x:c r="B2121" s="39" t="str">
        <x:v>2026-08-02T09:40:00</x:v>
      </x:c>
      <x:c r="C2121" s="39" t="str">
        <x:v>2026-08-02T09:55:00</x:v>
      </x:c>
      <x:c r="D2121" s="47" t="n">
        <x:v>15</x:v>
      </x:c>
      <x:c r="E2121" s="40" t="n">
        <x:v>15.8</x:v>
      </x:c>
      <x:c r="F2121" s="40" t="n">
        <x:v>14.253456115722656</x:v>
      </x:c>
      <x:c r="G2121" s="40" t="n">
        <x:v>15.8</x:v>
      </x:c>
      <x:c r="H2121" s="40" t="n">
        <x:f>F2121-E2121</x:f>
        <x:v>-1.5465438842773445</x:v>
      </x:c>
      <x:c r="I2121" s="40" t="n">
        <x:f>ABS(H2121)</x:f>
        <x:v>1.5465438842773445</x:v>
      </x:c>
      <x:c r="J2121" s="40" t="n">
        <x:f>H2121^2</x:f>
        <x:v>2.391797985995656</x:v>
      </x:c>
      <x:c r="K2121" s="40" t="n">
        <x:f>G2121-E2121</x:f>
        <x:v>0</x:v>
      </x:c>
      <x:c r="L2121" s="40" t="n">
        <x:f>ABS(K2121)</x:f>
        <x:v>0</x:v>
      </x:c>
      <x:c r="M2121" s="41" t="str">
        <x:v>lstm-soil-v1</x:v>
      </x:c>
    </x:row>
    <x:row r="2122">
      <x:c r="A2122" s="38" t="str">
        <x:v>7月30日现场数据</x:v>
      </x:c>
      <x:c r="B2122" s="39" t="str">
        <x:v>2026-08-02T09:40:00</x:v>
      </x:c>
      <x:c r="C2122" s="39" t="str">
        <x:v>2026-08-02T10:10:00</x:v>
      </x:c>
      <x:c r="D2122" s="47" t="n">
        <x:v>30</x:v>
      </x:c>
      <x:c r="E2122" s="40" t="n">
        <x:v>15.7</x:v>
      </x:c>
      <x:c r="F2122" s="40" t="n">
        <x:v>14.886192321777344</x:v>
      </x:c>
      <x:c r="G2122" s="40" t="n">
        <x:v>15.8</x:v>
      </x:c>
      <x:c r="H2122" s="40" t="n">
        <x:f>F2122-E2122</x:f>
        <x:v>-0.8138076782226555</x:v>
      </x:c>
      <x:c r="I2122" s="40" t="n">
        <x:f>ABS(H2122)</x:f>
        <x:v>0.8138076782226555</x:v>
      </x:c>
      <x:c r="J2122" s="40" t="n">
        <x:f>H2122^2</x:f>
        <x:v>0.6622829371341492</x:v>
      </x:c>
      <x:c r="K2122" s="40" t="n">
        <x:f>G2122-E2122</x:f>
        <x:v>0.10000000000000142</x:v>
      </x:c>
      <x:c r="L2122" s="40" t="n">
        <x:f>ABS(K2122)</x:f>
        <x:v>0.10000000000000142</x:v>
      </x:c>
      <x:c r="M2122" s="41" t="str">
        <x:v>lstm-soil-v1</x:v>
      </x:c>
    </x:row>
    <x:row r="2123">
      <x:c r="A2123" s="38" t="str">
        <x:v>7月30日现场数据</x:v>
      </x:c>
      <x:c r="B2123" s="39" t="str">
        <x:v>2026-08-02T09:40:00</x:v>
      </x:c>
      <x:c r="C2123" s="39" t="str">
        <x:v>2026-08-02T10:40:00</x:v>
      </x:c>
      <x:c r="D2123" s="47" t="n">
        <x:v>60</x:v>
      </x:c>
      <x:c r="E2123" s="40" t="n">
        <x:v>15.6</x:v>
      </x:c>
      <x:c r="F2123" s="40" t="n">
        <x:v>16.67072296142578</x:v>
      </x:c>
      <x:c r="G2123" s="40" t="n">
        <x:v>15.8</x:v>
      </x:c>
      <x:c r="H2123" s="40" t="n">
        <x:f>F2123-E2123</x:f>
        <x:v>1.0707229614257816</x:v>
      </x:c>
      <x:c r="I2123" s="40" t="n">
        <x:f>ABS(H2123)</x:f>
        <x:v>1.0707229614257816</x:v>
      </x:c>
      <x:c r="J2123" s="40" t="n">
        <x:f>H2123^2</x:f>
        <x:v>1.1464476601243958</x:v>
      </x:c>
      <x:c r="K2123" s="40" t="n">
        <x:f>G2123-E2123</x:f>
        <x:v>0.20000000000000107</x:v>
      </x:c>
      <x:c r="L2123" s="40" t="n">
        <x:f>ABS(K2123)</x:f>
        <x:v>0.20000000000000107</x:v>
      </x:c>
      <x:c r="M2123" s="41" t="str">
        <x:v>lstm-soil-v1</x:v>
      </x:c>
    </x:row>
    <x:row r="2124">
      <x:c r="A2124" s="38" t="str">
        <x:v>7月30日现场数据</x:v>
      </x:c>
      <x:c r="B2124" s="39" t="str">
        <x:v>2026-08-02T09:45:00</x:v>
      </x:c>
      <x:c r="C2124" s="39" t="str">
        <x:v>2026-08-02T09:50:00</x:v>
      </x:c>
      <x:c r="D2124" s="47" t="n">
        <x:v>5</x:v>
      </x:c>
      <x:c r="E2124" s="40" t="n">
        <x:v>15.8</x:v>
      </x:c>
      <x:c r="F2124" s="40" t="n">
        <x:v>14.23659896850586</x:v>
      </x:c>
      <x:c r="G2124" s="40" t="n">
        <x:v>15.8</x:v>
      </x:c>
      <x:c r="H2124" s="40" t="n">
        <x:f>F2124-E2124</x:f>
        <x:v>-1.5634010314941413</x:v>
      </x:c>
      <x:c r="I2124" s="40" t="n">
        <x:f>ABS(H2124)</x:f>
        <x:v>1.5634010314941413</x:v>
      </x:c>
      <x:c r="J2124" s="40" t="n">
        <x:f>H2124^2</x:f>
        <x:v>2.444222785276945</x:v>
      </x:c>
      <x:c r="K2124" s="40" t="n">
        <x:f>G2124-E2124</x:f>
        <x:v>0</x:v>
      </x:c>
      <x:c r="L2124" s="40" t="n">
        <x:f>ABS(K2124)</x:f>
        <x:v>0</x:v>
      </x:c>
      <x:c r="M2124" s="41" t="str">
        <x:v>lstm-soil-v1</x:v>
      </x:c>
    </x:row>
    <x:row r="2125">
      <x:c r="A2125" s="38" t="str">
        <x:v>7月30日现场数据</x:v>
      </x:c>
      <x:c r="B2125" s="39" t="str">
        <x:v>2026-08-02T09:45:00</x:v>
      </x:c>
      <x:c r="C2125" s="39" t="str">
        <x:v>2026-08-02T10:00:00</x:v>
      </x:c>
      <x:c r="D2125" s="47" t="n">
        <x:v>15</x:v>
      </x:c>
      <x:c r="E2125" s="40" t="n">
        <x:v>15.8</x:v>
      </x:c>
      <x:c r="F2125" s="40" t="n">
        <x:v>14.25436019897461</x:v>
      </x:c>
      <x:c r="G2125" s="40" t="n">
        <x:v>15.8</x:v>
      </x:c>
      <x:c r="H2125" s="40" t="n">
        <x:f>F2125-E2125</x:f>
        <x:v>-1.5456398010253913</x:v>
      </x:c>
      <x:c r="I2125" s="40" t="n">
        <x:f>ABS(H2125)</x:f>
        <x:v>1.5456398010253913</x:v>
      </x:c>
      <x:c r="J2125" s="40" t="n">
        <x:f>H2125^2</x:f>
        <x:v>2.3890023945138115</x:v>
      </x:c>
      <x:c r="K2125" s="40" t="n">
        <x:f>G2125-E2125</x:f>
        <x:v>0</x:v>
      </x:c>
      <x:c r="L2125" s="40" t="n">
        <x:f>ABS(K2125)</x:f>
        <x:v>0</x:v>
      </x:c>
      <x:c r="M2125" s="41" t="str">
        <x:v>lstm-soil-v1</x:v>
      </x:c>
    </x:row>
    <x:row r="2126">
      <x:c r="A2126" s="38" t="str">
        <x:v>7月30日现场数据</x:v>
      </x:c>
      <x:c r="B2126" s="39" t="str">
        <x:v>2026-08-02T09:45:00</x:v>
      </x:c>
      <x:c r="C2126" s="39" t="str">
        <x:v>2026-08-02T10:15:00</x:v>
      </x:c>
      <x:c r="D2126" s="47" t="n">
        <x:v>30</x:v>
      </x:c>
      <x:c r="E2126" s="40" t="n">
        <x:v>15.7</x:v>
      </x:c>
      <x:c r="F2126" s="40" t="n">
        <x:v>14.887466430664062</x:v>
      </x:c>
      <x:c r="G2126" s="40" t="n">
        <x:v>15.8</x:v>
      </x:c>
      <x:c r="H2126" s="40" t="n">
        <x:f>F2126-E2126</x:f>
        <x:v>-0.8125335693359368</x:v>
      </x:c>
      <x:c r="I2126" s="40" t="n">
        <x:f>ABS(H2126)</x:f>
        <x:v>0.8125335693359368</x:v>
      </x:c>
      <x:c r="J2126" s="40" t="n">
        <x:f>H2126^2</x:f>
        <x:v>0.6602108012977976</x:v>
      </x:c>
      <x:c r="K2126" s="40" t="n">
        <x:f>G2126-E2126</x:f>
        <x:v>0.10000000000000142</x:v>
      </x:c>
      <x:c r="L2126" s="40" t="n">
        <x:f>ABS(K2126)</x:f>
        <x:v>0.10000000000000142</x:v>
      </x:c>
      <x:c r="M2126" s="41" t="str">
        <x:v>lstm-soil-v1</x:v>
      </x:c>
    </x:row>
    <x:row r="2127">
      <x:c r="A2127" s="38" t="str">
        <x:v>7月30日现场数据</x:v>
      </x:c>
      <x:c r="B2127" s="39" t="str">
        <x:v>2026-08-02T09:45:00</x:v>
      </x:c>
      <x:c r="C2127" s="39" t="str">
        <x:v>2026-08-02T10:45:00</x:v>
      </x:c>
      <x:c r="D2127" s="47" t="n">
        <x:v>60</x:v>
      </x:c>
      <x:c r="E2127" s="40" t="n">
        <x:v>15.6</x:v>
      </x:c>
      <x:c r="F2127" s="40" t="n">
        <x:v>16.6715087890625</x:v>
      </x:c>
      <x:c r="G2127" s="40" t="n">
        <x:v>15.8</x:v>
      </x:c>
      <x:c r="H2127" s="40" t="n">
        <x:f>F2127-E2127</x:f>
        <x:v>1.0715087890625004</x:v>
      </x:c>
      <x:c r="I2127" s="40" t="n">
        <x:f>ABS(H2127)</x:f>
        <x:v>1.0715087890625004</x:v>
      </x:c>
      <x:c r="J2127" s="40" t="n">
        <x:f>H2127^2</x:f>
        <x:v>1.1481310850381858</x:v>
      </x:c>
      <x:c r="K2127" s="40" t="n">
        <x:f>G2127-E2127</x:f>
        <x:v>0.20000000000000107</x:v>
      </x:c>
      <x:c r="L2127" s="40" t="n">
        <x:f>ABS(K2127)</x:f>
        <x:v>0.20000000000000107</x:v>
      </x:c>
      <x:c r="M2127" s="41" t="str">
        <x:v>lstm-soil-v1</x:v>
      </x:c>
    </x:row>
    <x:row r="2128">
      <x:c r="A2128" s="38" t="str">
        <x:v>7月30日现场数据</x:v>
      </x:c>
      <x:c r="B2128" s="39" t="str">
        <x:v>2026-08-02T09:50:00</x:v>
      </x:c>
      <x:c r="C2128" s="39" t="str">
        <x:v>2026-08-02T09:55:00</x:v>
      </x:c>
      <x:c r="D2128" s="47" t="n">
        <x:v>5</x:v>
      </x:c>
      <x:c r="E2128" s="40" t="n">
        <x:v>15.8</x:v>
      </x:c>
      <x:c r="F2128" s="40" t="n">
        <x:v>14.235519409179688</x:v>
      </x:c>
      <x:c r="G2128" s="40" t="n">
        <x:v>15.8</x:v>
      </x:c>
      <x:c r="H2128" s="40" t="n">
        <x:f>F2128-E2128</x:f>
        <x:v>-1.5644805908203132</x:v>
      </x:c>
      <x:c r="I2128" s="40" t="n">
        <x:f>ABS(H2128)</x:f>
        <x:v>1.5644805908203132</x:v>
      </x:c>
      <x:c r="J2128" s="40" t="n">
        <x:f>H2128^2</x:f>
        <x:v>2.4475995190534765</x:v>
      </x:c>
      <x:c r="K2128" s="40" t="n">
        <x:f>G2128-E2128</x:f>
        <x:v>0</x:v>
      </x:c>
      <x:c r="L2128" s="40" t="n">
        <x:f>ABS(K2128)</x:f>
        <x:v>0</x:v>
      </x:c>
      <x:c r="M2128" s="41" t="str">
        <x:v>lstm-soil-v1</x:v>
      </x:c>
    </x:row>
    <x:row r="2129">
      <x:c r="A2129" s="38" t="str">
        <x:v>7月30日现场数据</x:v>
      </x:c>
      <x:c r="B2129" s="39" t="str">
        <x:v>2026-08-02T09:50:00</x:v>
      </x:c>
      <x:c r="C2129" s="39" t="str">
        <x:v>2026-08-02T10:05:00</x:v>
      </x:c>
      <x:c r="D2129" s="47" t="n">
        <x:v>15</x:v>
      </x:c>
      <x:c r="E2129" s="40" t="n">
        <x:v>15.8</x:v>
      </x:c>
      <x:c r="F2129" s="40" t="n">
        <x:v>14.255401611328125</x:v>
      </x:c>
      <x:c r="G2129" s="40" t="n">
        <x:v>15.8</x:v>
      </x:c>
      <x:c r="H2129" s="40" t="n">
        <x:f>F2129-E2129</x:f>
        <x:v>-1.5445983886718757</x:v>
      </x:c>
      <x:c r="I2129" s="40" t="n">
        <x:f>ABS(H2129)</x:f>
        <x:v>1.5445983886718757</x:v>
      </x:c>
      <x:c r="J2129" s="40" t="n">
        <x:f>H2129^2</x:f>
        <x:v>2.385784182287755</x:v>
      </x:c>
      <x:c r="K2129" s="40" t="n">
        <x:f>G2129-E2129</x:f>
        <x:v>0</x:v>
      </x:c>
      <x:c r="L2129" s="40" t="n">
        <x:f>ABS(K2129)</x:f>
        <x:v>0</x:v>
      </x:c>
      <x:c r="M2129" s="41" t="str">
        <x:v>lstm-soil-v1</x:v>
      </x:c>
    </x:row>
    <x:row r="2130">
      <x:c r="A2130" s="38" t="str">
        <x:v>7月30日现场数据</x:v>
      </x:c>
      <x:c r="B2130" s="39" t="str">
        <x:v>2026-08-02T09:50:00</x:v>
      </x:c>
      <x:c r="C2130" s="39" t="str">
        <x:v>2026-08-02T10:20:00</x:v>
      </x:c>
      <x:c r="D2130" s="47" t="n">
        <x:v>30</x:v>
      </x:c>
      <x:c r="E2130" s="40" t="n">
        <x:v>15.7</x:v>
      </x:c>
      <x:c r="F2130" s="40" t="n">
        <x:v>14.889266967773438</x:v>
      </x:c>
      <x:c r="G2130" s="40" t="n">
        <x:v>15.8</x:v>
      </x:c>
      <x:c r="H2130" s="40" t="n">
        <x:f>F2130-E2130</x:f>
        <x:v>-0.8107330322265618</x:v>
      </x:c>
      <x:c r="I2130" s="40" t="n">
        <x:f>ABS(H2130)</x:f>
        <x:v>0.8107330322265618</x:v>
      </x:c>
      <x:c r="J2130" s="40" t="n">
        <x:f>H2130^2</x:f>
        <x:v>0.6572880495432752</x:v>
      </x:c>
      <x:c r="K2130" s="40" t="n">
        <x:f>G2130-E2130</x:f>
        <x:v>0.10000000000000142</x:v>
      </x:c>
      <x:c r="L2130" s="40" t="n">
        <x:f>ABS(K2130)</x:f>
        <x:v>0.10000000000000142</x:v>
      </x:c>
      <x:c r="M2130" s="41" t="str">
        <x:v>lstm-soil-v1</x:v>
      </x:c>
    </x:row>
    <x:row r="2131">
      <x:c r="A2131" s="38" t="str">
        <x:v>7月30日现场数据</x:v>
      </x:c>
      <x:c r="B2131" s="39" t="str">
        <x:v>2026-08-02T09:50:00</x:v>
      </x:c>
      <x:c r="C2131" s="39" t="str">
        <x:v>2026-08-02T10:50:00</x:v>
      </x:c>
      <x:c r="D2131" s="47" t="n">
        <x:v>60</x:v>
      </x:c>
      <x:c r="E2131" s="40" t="n">
        <x:v>15.6</x:v>
      </x:c>
      <x:c r="F2131" s="40" t="n">
        <x:v>16.673274993896484</x:v>
      </x:c>
      <x:c r="G2131" s="40" t="n">
        <x:v>15.8</x:v>
      </x:c>
      <x:c r="H2131" s="40" t="n">
        <x:f>F2131-E2131</x:f>
        <x:v>1.0732749938964847</x:v>
      </x:c>
      <x:c r="I2131" s="40" t="n">
        <x:f>ABS(H2131)</x:f>
        <x:v>1.0732749938964847</x:v>
      </x:c>
      <x:c r="J2131" s="40" t="n">
        <x:f>H2131^2</x:f>
        <x:v>1.1519192125234994</x:v>
      </x:c>
      <x:c r="K2131" s="40" t="n">
        <x:f>G2131-E2131</x:f>
        <x:v>0.20000000000000107</x:v>
      </x:c>
      <x:c r="L2131" s="40" t="n">
        <x:f>ABS(K2131)</x:f>
        <x:v>0.20000000000000107</x:v>
      </x:c>
      <x:c r="M2131" s="41" t="str">
        <x:v>lstm-soil-v1</x:v>
      </x:c>
    </x:row>
    <x:row r="2132">
      <x:c r="A2132" s="38" t="str">
        <x:v>7月30日现场数据</x:v>
      </x:c>
      <x:c r="B2132" s="39" t="str">
        <x:v>2026-08-02T09:55:00</x:v>
      </x:c>
      <x:c r="C2132" s="39" t="str">
        <x:v>2026-08-02T10:00:00</x:v>
      </x:c>
      <x:c r="D2132" s="47" t="n">
        <x:v>5</x:v>
      </x:c>
      <x:c r="E2132" s="40" t="n">
        <x:v>15.8</x:v>
      </x:c>
      <x:c r="F2132" s="40" t="n">
        <x:v>14.230548858642578</x:v>
      </x:c>
      <x:c r="G2132" s="40" t="n">
        <x:v>15.8</x:v>
      </x:c>
      <x:c r="H2132" s="40" t="n">
        <x:f>F2132-E2132</x:f>
        <x:v>-1.5694511413574226</x:v>
      </x:c>
      <x:c r="I2132" s="40" t="n">
        <x:f>ABS(H2132)</x:f>
        <x:v>1.5694511413574226</x:v>
      </x:c>
      <x:c r="J2132" s="40" t="n">
        <x:f>H2132^2</x:f>
        <x:v>2.4631768851081164</x:v>
      </x:c>
      <x:c r="K2132" s="40" t="n">
        <x:f>G2132-E2132</x:f>
        <x:v>0</x:v>
      </x:c>
      <x:c r="L2132" s="40" t="n">
        <x:f>ABS(K2132)</x:f>
        <x:v>0</x:v>
      </x:c>
      <x:c r="M2132" s="41" t="str">
        <x:v>lstm-soil-v1</x:v>
      </x:c>
    </x:row>
    <x:row r="2133">
      <x:c r="A2133" s="38" t="str">
        <x:v>7月30日现场数据</x:v>
      </x:c>
      <x:c r="B2133" s="39" t="str">
        <x:v>2026-08-02T09:55:00</x:v>
      </x:c>
      <x:c r="C2133" s="39" t="str">
        <x:v>2026-08-02T10:10:00</x:v>
      </x:c>
      <x:c r="D2133" s="47" t="n">
        <x:v>15</x:v>
      </x:c>
      <x:c r="E2133" s="40" t="n">
        <x:v>15.7</x:v>
      </x:c>
      <x:c r="F2133" s="40" t="n">
        <x:v>14.284652709960938</x:v>
      </x:c>
      <x:c r="G2133" s="40" t="n">
        <x:v>15.8</x:v>
      </x:c>
      <x:c r="H2133" s="40" t="n">
        <x:f>F2133-E2133</x:f>
        <x:v>-1.4153472900390618</x:v>
      </x:c>
      <x:c r="I2133" s="40" t="n">
        <x:f>ABS(H2133)</x:f>
        <x:v>1.4153472900390618</x:v>
      </x:c>
      <x:c r="J2133" s="40" t="n">
        <x:f>H2133^2</x:f>
        <x:v>2.003207951420916</x:v>
      </x:c>
      <x:c r="K2133" s="40" t="n">
        <x:f>G2133-E2133</x:f>
        <x:v>0.10000000000000142</x:v>
      </x:c>
      <x:c r="L2133" s="40" t="n">
        <x:f>ABS(K2133)</x:f>
        <x:v>0.10000000000000142</x:v>
      </x:c>
      <x:c r="M2133" s="41" t="str">
        <x:v>lstm-soil-v1</x:v>
      </x:c>
    </x:row>
    <x:row r="2134">
      <x:c r="A2134" s="38" t="str">
        <x:v>7月30日现场数据</x:v>
      </x:c>
      <x:c r="B2134" s="39" t="str">
        <x:v>2026-08-02T09:55:00</x:v>
      </x:c>
      <x:c r="C2134" s="39" t="str">
        <x:v>2026-08-02T10:25:00</x:v>
      </x:c>
      <x:c r="D2134" s="47" t="n">
        <x:v>30</x:v>
      </x:c>
      <x:c r="E2134" s="40" t="n">
        <x:v>15.7</x:v>
      </x:c>
      <x:c r="F2134" s="40" t="n">
        <x:v>14.855541229248047</x:v>
      </x:c>
      <x:c r="G2134" s="40" t="n">
        <x:v>15.8</x:v>
      </x:c>
      <x:c r="H2134" s="40" t="n">
        <x:f>F2134-E2134</x:f>
        <x:v>-0.8444587707519524</x:v>
      </x:c>
      <x:c r="I2134" s="40" t="n">
        <x:f>ABS(H2134)</x:f>
        <x:v>0.8444587707519524</x:v>
      </x:c>
      <x:c r="J2134" s="40" t="n">
        <x:f>H2134^2</x:f>
        <x:v>0.7131106154998985</x:v>
      </x:c>
      <x:c r="K2134" s="40" t="n">
        <x:f>G2134-E2134</x:f>
        <x:v>0.10000000000000142</x:v>
      </x:c>
      <x:c r="L2134" s="40" t="n">
        <x:f>ABS(K2134)</x:f>
        <x:v>0.10000000000000142</x:v>
      </x:c>
      <x:c r="M2134" s="41" t="str">
        <x:v>lstm-soil-v1</x:v>
      </x:c>
    </x:row>
    <x:row r="2135">
      <x:c r="A2135" s="38" t="str">
        <x:v>7月30日现场数据</x:v>
      </x:c>
      <x:c r="B2135" s="39" t="str">
        <x:v>2026-08-02T09:55:00</x:v>
      </x:c>
      <x:c r="C2135" s="39" t="str">
        <x:v>2026-08-02T10:55:00</x:v>
      </x:c>
      <x:c r="D2135" s="47" t="n">
        <x:v>60</x:v>
      </x:c>
      <x:c r="E2135" s="40" t="n">
        <x:v>15.6</x:v>
      </x:c>
      <x:c r="F2135" s="40" t="n">
        <x:v>16.59930419921875</x:v>
      </x:c>
      <x:c r="G2135" s="40" t="n">
        <x:v>15.8</x:v>
      </x:c>
      <x:c r="H2135" s="40" t="n">
        <x:f>F2135-E2135</x:f>
        <x:v>0.9993041992187504</x:v>
      </x:c>
      <x:c r="I2135" s="40" t="n">
        <x:f>ABS(H2135)</x:f>
        <x:v>0.9993041992187504</x:v>
      </x:c>
      <x:c r="J2135" s="40" t="n">
        <x:f>H2135^2</x:f>
        <x:v>0.9986088825762279</x:v>
      </x:c>
      <x:c r="K2135" s="40" t="n">
        <x:f>G2135-E2135</x:f>
        <x:v>0.20000000000000107</x:v>
      </x:c>
      <x:c r="L2135" s="40" t="n">
        <x:f>ABS(K2135)</x:f>
        <x:v>0.20000000000000107</x:v>
      </x:c>
      <x:c r="M2135" s="41" t="str">
        <x:v>lstm-soil-v1</x:v>
      </x:c>
    </x:row>
    <x:row r="2136">
      <x:c r="A2136" s="38" t="str">
        <x:v>7月30日现场数据</x:v>
      </x:c>
      <x:c r="B2136" s="39" t="str">
        <x:v>2026-08-02T10:00:00</x:v>
      </x:c>
      <x:c r="C2136" s="39" t="str">
        <x:v>2026-08-02T10:05:00</x:v>
      </x:c>
      <x:c r="D2136" s="47" t="n">
        <x:v>5</x:v>
      </x:c>
      <x:c r="E2136" s="40" t="n">
        <x:v>15.8</x:v>
      </x:c>
      <x:c r="F2136" s="40" t="n">
        <x:v>14.205802917480469</x:v>
      </x:c>
      <x:c r="G2136" s="40" t="n">
        <x:v>15.8</x:v>
      </x:c>
      <x:c r="H2136" s="40" t="n">
        <x:f>F2136-E2136</x:f>
        <x:v>-1.594197082519532</x:v>
      </x:c>
      <x:c r="I2136" s="40" t="n">
        <x:f>ABS(H2136)</x:f>
        <x:v>1.594197082519532</x:v>
      </x:c>
      <x:c r="J2136" s="40" t="n">
        <x:f>H2136^2</x:f>
        <x:v>2.5414643379137876</x:v>
      </x:c>
      <x:c r="K2136" s="40" t="n">
        <x:f>G2136-E2136</x:f>
        <x:v>0</x:v>
      </x:c>
      <x:c r="L2136" s="40" t="n">
        <x:f>ABS(K2136)</x:f>
        <x:v>0</x:v>
      </x:c>
      <x:c r="M2136" s="41" t="str">
        <x:v>lstm-soil-v1</x:v>
      </x:c>
    </x:row>
    <x:row r="2137">
      <x:c r="A2137" s="38" t="str">
        <x:v>7月30日现场数据</x:v>
      </x:c>
      <x:c r="B2137" s="39" t="str">
        <x:v>2026-08-02T10:00:00</x:v>
      </x:c>
      <x:c r="C2137" s="39" t="str">
        <x:v>2026-08-02T10:15:00</x:v>
      </x:c>
      <x:c r="D2137" s="47" t="n">
        <x:v>15</x:v>
      </x:c>
      <x:c r="E2137" s="40" t="n">
        <x:v>15.7</x:v>
      </x:c>
      <x:c r="F2137" s="40" t="n">
        <x:v>14.290546417236328</x:v>
      </x:c>
      <x:c r="G2137" s="40" t="n">
        <x:v>15.8</x:v>
      </x:c>
      <x:c r="H2137" s="40" t="n">
        <x:f>F2137-E2137</x:f>
        <x:v>-1.4094535827636712</x:v>
      </x:c>
      <x:c r="I2137" s="40" t="n">
        <x:f>ABS(H2137)</x:f>
        <x:v>1.4094535827636712</x:v>
      </x:c>
      <x:c r="J2137" s="40" t="n">
        <x:f>H2137^2</x:f>
        <x:v>1.9865594019653487</x:v>
      </x:c>
      <x:c r="K2137" s="40" t="n">
        <x:f>G2137-E2137</x:f>
        <x:v>0.10000000000000142</x:v>
      </x:c>
      <x:c r="L2137" s="40" t="n">
        <x:f>ABS(K2137)</x:f>
        <x:v>0.10000000000000142</x:v>
      </x:c>
      <x:c r="M2137" s="41" t="str">
        <x:v>lstm-soil-v1</x:v>
      </x:c>
    </x:row>
    <x:row r="2138">
      <x:c r="A2138" s="38" t="str">
        <x:v>7月30日现场数据</x:v>
      </x:c>
      <x:c r="B2138" s="39" t="str">
        <x:v>2026-08-02T10:00:00</x:v>
      </x:c>
      <x:c r="C2138" s="39" t="str">
        <x:v>2026-08-02T10:30:00</x:v>
      </x:c>
      <x:c r="D2138" s="47" t="n">
        <x:v>30</x:v>
      </x:c>
      <x:c r="E2138" s="40" t="n">
        <x:v>15.7</x:v>
      </x:c>
      <x:c r="F2138" s="40" t="n">
        <x:v>14.801826477050781</x:v>
      </x:c>
      <x:c r="G2138" s="40" t="n">
        <x:v>15.8</x:v>
      </x:c>
      <x:c r="H2138" s="40" t="n">
        <x:f>F2138-E2138</x:f>
        <x:v>-0.898173522949218</x:v>
      </x:c>
      <x:c r="I2138" s="40" t="n">
        <x:f>ABS(H2138)</x:f>
        <x:v>0.898173522949218</x:v>
      </x:c>
      <x:c r="J2138" s="40" t="n">
        <x:f>H2138^2</x:f>
        <x:v>0.8067156773270096</x:v>
      </x:c>
      <x:c r="K2138" s="40" t="n">
        <x:f>G2138-E2138</x:f>
        <x:v>0.10000000000000142</x:v>
      </x:c>
      <x:c r="L2138" s="40" t="n">
        <x:f>ABS(K2138)</x:f>
        <x:v>0.10000000000000142</x:v>
      </x:c>
      <x:c r="M2138" s="41" t="str">
        <x:v>lstm-soil-v1</x:v>
      </x:c>
    </x:row>
    <x:row r="2139">
      <x:c r="A2139" s="38" t="str">
        <x:v>7月30日现场数据</x:v>
      </x:c>
      <x:c r="B2139" s="39" t="str">
        <x:v>2026-08-02T10:00:00</x:v>
      </x:c>
      <x:c r="C2139" s="39" t="str">
        <x:v>2026-08-02T11:00:00</x:v>
      </x:c>
      <x:c r="D2139" s="47" t="n">
        <x:v>60</x:v>
      </x:c>
      <x:c r="E2139" s="40" t="n">
        <x:v>15.6</x:v>
      </x:c>
      <x:c r="F2139" s="40" t="n">
        <x:v>16.514610290527344</x:v>
      </x:c>
      <x:c r="G2139" s="40" t="n">
        <x:v>15.8</x:v>
      </x:c>
      <x:c r="H2139" s="40" t="n">
        <x:f>F2139-E2139</x:f>
        <x:v>0.9146102905273441</x:v>
      </x:c>
      <x:c r="I2139" s="40" t="n">
        <x:f>ABS(H2139)</x:f>
        <x:v>0.9146102905273441</x:v>
      </x:c>
      <x:c r="J2139" s="40" t="n">
        <x:f>H2139^2</x:f>
        <x:v>0.8365119835385127</x:v>
      </x:c>
      <x:c r="K2139" s="40" t="n">
        <x:f>G2139-E2139</x:f>
        <x:v>0.20000000000000107</x:v>
      </x:c>
      <x:c r="L2139" s="40" t="n">
        <x:f>ABS(K2139)</x:f>
        <x:v>0.20000000000000107</x:v>
      </x:c>
      <x:c r="M2139" s="41" t="str">
        <x:v>lstm-soil-v1</x:v>
      </x:c>
    </x:row>
    <x:row r="2140">
      <x:c r="A2140" s="38" t="str">
        <x:v>7月30日现场数据</x:v>
      </x:c>
      <x:c r="B2140" s="39" t="str">
        <x:v>2026-08-02T10:05:00</x:v>
      </x:c>
      <x:c r="C2140" s="39" t="str">
        <x:v>2026-08-02T10:10:00</x:v>
      </x:c>
      <x:c r="D2140" s="47" t="n">
        <x:v>5</x:v>
      </x:c>
      <x:c r="E2140" s="40" t="n">
        <x:v>15.7</x:v>
      </x:c>
      <x:c r="F2140" s="40" t="n">
        <x:v>14.189159393310547</x:v>
      </x:c>
      <x:c r="G2140" s="40" t="n">
        <x:v>15.8</x:v>
      </x:c>
      <x:c r="H2140" s="40" t="n">
        <x:f>F2140-E2140</x:f>
        <x:v>-1.5108406066894524</x:v>
      </x:c>
      <x:c r="I2140" s="40" t="n">
        <x:f>ABS(H2140)</x:f>
        <x:v>1.5108406066894524</x:v>
      </x:c>
      <x:c r="J2140" s="40" t="n">
        <x:f>H2140^2</x:f>
        <x:v>2.2826393388217525</x:v>
      </x:c>
      <x:c r="K2140" s="40" t="n">
        <x:f>G2140-E2140</x:f>
        <x:v>0.10000000000000142</x:v>
      </x:c>
      <x:c r="L2140" s="40" t="n">
        <x:f>ABS(K2140)</x:f>
        <x:v>0.10000000000000142</x:v>
      </x:c>
      <x:c r="M2140" s="41" t="str">
        <x:v>lstm-soil-v1</x:v>
      </x:c>
    </x:row>
    <x:row r="2141">
      <x:c r="A2141" s="38" t="str">
        <x:v>7月30日现场数据</x:v>
      </x:c>
      <x:c r="B2141" s="39" t="str">
        <x:v>2026-08-02T10:05:00</x:v>
      </x:c>
      <x:c r="C2141" s="39" t="str">
        <x:v>2026-08-02T10:20:00</x:v>
      </x:c>
      <x:c r="D2141" s="47" t="n">
        <x:v>15</x:v>
      </x:c>
      <x:c r="E2141" s="40" t="n">
        <x:v>15.7</x:v>
      </x:c>
      <x:c r="F2141" s="40" t="n">
        <x:v>14.288990020751953</x:v>
      </x:c>
      <x:c r="G2141" s="40" t="n">
        <x:v>15.8</x:v>
      </x:c>
      <x:c r="H2141" s="40" t="n">
        <x:f>F2141-E2141</x:f>
        <x:v>-1.4110099792480462</x:v>
      </x:c>
      <x:c r="I2141" s="40" t="n">
        <x:f>ABS(H2141)</x:f>
        <x:v>1.4110099792480462</x:v>
      </x:c>
      <x:c r="J2141" s="40" t="n">
        <x:f>H2141^2</x:f>
        <x:v>1.9909491615375716</x:v>
      </x:c>
      <x:c r="K2141" s="40" t="n">
        <x:f>G2141-E2141</x:f>
        <x:v>0.10000000000000142</x:v>
      </x:c>
      <x:c r="L2141" s="40" t="n">
        <x:f>ABS(K2141)</x:f>
        <x:v>0.10000000000000142</x:v>
      </x:c>
      <x:c r="M2141" s="41" t="str">
        <x:v>lstm-soil-v1</x:v>
      </x:c>
    </x:row>
    <x:row r="2142">
      <x:c r="A2142" s="38" t="str">
        <x:v>7月30日现场数据</x:v>
      </x:c>
      <x:c r="B2142" s="39" t="str">
        <x:v>2026-08-02T10:05:00</x:v>
      </x:c>
      <x:c r="C2142" s="39" t="str">
        <x:v>2026-08-02T10:35:00</x:v>
      </x:c>
      <x:c r="D2142" s="47" t="n">
        <x:v>30</x:v>
      </x:c>
      <x:c r="E2142" s="40" t="n">
        <x:v>15.7</x:v>
      </x:c>
      <x:c r="F2142" s="40" t="n">
        <x:v>14.757221221923828</x:v>
      </x:c>
      <x:c r="G2142" s="40" t="n">
        <x:v>15.8</x:v>
      </x:c>
      <x:c r="H2142" s="40" t="n">
        <x:f>F2142-E2142</x:f>
        <x:v>-0.9427787780761712</x:v>
      </x:c>
      <x:c r="I2142" s="40" t="n">
        <x:f>ABS(H2142)</x:f>
        <x:v>0.9427787780761712</x:v>
      </x:c>
      <x:c r="J2142" s="40" t="n">
        <x:f>H2142^2</x:f>
        <x:v>0.8888318243907984</x:v>
      </x:c>
      <x:c r="K2142" s="40" t="n">
        <x:f>G2142-E2142</x:f>
        <x:v>0.10000000000000142</x:v>
      </x:c>
      <x:c r="L2142" s="40" t="n">
        <x:f>ABS(K2142)</x:f>
        <x:v>0.10000000000000142</x:v>
      </x:c>
      <x:c r="M2142" s="41" t="str">
        <x:v>lstm-soil-v1</x:v>
      </x:c>
    </x:row>
    <x:row r="2143">
      <x:c r="A2143" s="38" t="str">
        <x:v>7月30日现场数据</x:v>
      </x:c>
      <x:c r="B2143" s="39" t="str">
        <x:v>2026-08-02T10:05:00</x:v>
      </x:c>
      <x:c r="C2143" s="39" t="str">
        <x:v>2026-08-02T11:05:00</x:v>
      </x:c>
      <x:c r="D2143" s="47" t="n">
        <x:v>60</x:v>
      </x:c>
      <x:c r="E2143" s="40" t="n">
        <x:v>15.6</x:v>
      </x:c>
      <x:c r="F2143" s="40" t="n">
        <x:v>16.445110321044922</x:v>
      </x:c>
      <x:c r="G2143" s="40" t="n">
        <x:v>15.8</x:v>
      </x:c>
      <x:c r="H2143" s="40" t="n">
        <x:f>F2143-E2143</x:f>
        <x:v>0.8451103210449222</x:v>
      </x:c>
      <x:c r="I2143" s="40" t="n">
        <x:f>ABS(H2143)</x:f>
        <x:v>0.8451103210449222</x:v>
      </x:c>
      <x:c r="J2143" s="40" t="n">
        <x:f>H2143^2</x:f>
        <x:v>0.7142114547366515</x:v>
      </x:c>
      <x:c r="K2143" s="40" t="n">
        <x:f>G2143-E2143</x:f>
        <x:v>0.20000000000000107</x:v>
      </x:c>
      <x:c r="L2143" s="40" t="n">
        <x:f>ABS(K2143)</x:f>
        <x:v>0.20000000000000107</x:v>
      </x:c>
      <x:c r="M2143" s="41" t="str">
        <x:v>lstm-soil-v1</x:v>
      </x:c>
    </x:row>
    <x:row r="2144">
      <x:c r="A2144" s="38" t="str">
        <x:v>7月30日现场数据</x:v>
      </x:c>
      <x:c r="B2144" s="39" t="str">
        <x:v>2026-08-02T10:10:00</x:v>
      </x:c>
      <x:c r="C2144" s="39" t="str">
        <x:v>2026-08-02T10:15:00</x:v>
      </x:c>
      <x:c r="D2144" s="47" t="n">
        <x:v>5</x:v>
      </x:c>
      <x:c r="E2144" s="40" t="n">
        <x:v>15.7</x:v>
      </x:c>
      <x:c r="F2144" s="40" t="n">
        <x:v>14.069934844970703</x:v>
      </x:c>
      <x:c r="G2144" s="40" t="n">
        <x:v>15.7</x:v>
      </x:c>
      <x:c r="H2144" s="40" t="n">
        <x:f>F2144-E2144</x:f>
        <x:v>-1.6300651550292962</x:v>
      </x:c>
      <x:c r="I2144" s="40" t="n">
        <x:f>ABS(H2144)</x:f>
        <x:v>1.6300651550292962</x:v>
      </x:c>
      <x:c r="J2144" s="40" t="n">
        <x:f>H2144^2</x:f>
        <x:v>2.6571124096406833</x:v>
      </x:c>
      <x:c r="K2144" s="40" t="n">
        <x:f>G2144-E2144</x:f>
        <x:v>0</x:v>
      </x:c>
      <x:c r="L2144" s="40" t="n">
        <x:f>ABS(K2144)</x:f>
        <x:v>0</x:v>
      </x:c>
      <x:c r="M2144" s="41" t="str">
        <x:v>lstm-soil-v1</x:v>
      </x:c>
    </x:row>
    <x:row r="2145">
      <x:c r="A2145" s="38" t="str">
        <x:v>7月30日现场数据</x:v>
      </x:c>
      <x:c r="B2145" s="39" t="str">
        <x:v>2026-08-02T10:10:00</x:v>
      </x:c>
      <x:c r="C2145" s="39" t="str">
        <x:v>2026-08-02T10:25:00</x:v>
      </x:c>
      <x:c r="D2145" s="47" t="n">
        <x:v>15</x:v>
      </x:c>
      <x:c r="E2145" s="40" t="n">
        <x:v>15.7</x:v>
      </x:c>
      <x:c r="F2145" s="40" t="n">
        <x:v>14.16910171508789</x:v>
      </x:c>
      <x:c r="G2145" s="40" t="n">
        <x:v>15.7</x:v>
      </x:c>
      <x:c r="H2145" s="40" t="n">
        <x:f>F2145-E2145</x:f>
        <x:v>-1.5308982849121087</x:v>
      </x:c>
      <x:c r="I2145" s="40" t="n">
        <x:f>ABS(H2145)</x:f>
        <x:v>1.5308982849121087</x:v>
      </x:c>
      <x:c r="J2145" s="40" t="n">
        <x:f>H2145^2</x:f>
        <x:v>2.343649558746836</x:v>
      </x:c>
      <x:c r="K2145" s="40" t="n">
        <x:f>G2145-E2145</x:f>
        <x:v>0</x:v>
      </x:c>
      <x:c r="L2145" s="40" t="n">
        <x:f>ABS(K2145)</x:f>
        <x:v>0</x:v>
      </x:c>
      <x:c r="M2145" s="41" t="str">
        <x:v>lstm-soil-v1</x:v>
      </x:c>
    </x:row>
    <x:row r="2146">
      <x:c r="A2146" s="38" t="str">
        <x:v>7月30日现场数据</x:v>
      </x:c>
      <x:c r="B2146" s="39" t="str">
        <x:v>2026-08-02T10:10:00</x:v>
      </x:c>
      <x:c r="C2146" s="39" t="str">
        <x:v>2026-08-02T10:40:00</x:v>
      </x:c>
      <x:c r="D2146" s="47" t="n">
        <x:v>30</x:v>
      </x:c>
      <x:c r="E2146" s="40" t="n">
        <x:v>15.6</x:v>
      </x:c>
      <x:c r="F2146" s="40" t="n">
        <x:v>14.61501693725586</x:v>
      </x:c>
      <x:c r="G2146" s="40" t="n">
        <x:v>15.7</x:v>
      </x:c>
      <x:c r="H2146" s="40" t="n">
        <x:f>F2146-E2146</x:f>
        <x:v>-0.9849830627441403</x:v>
      </x:c>
      <x:c r="I2146" s="40" t="n">
        <x:f>ABS(H2146)</x:f>
        <x:v>0.9849830627441403</x:v>
      </x:c>
      <x:c r="J2146" s="40" t="n">
        <x:f>H2146^2</x:f>
        <x:v>0.9701916338928269</x:v>
      </x:c>
      <x:c r="K2146" s="40" t="n">
        <x:f>G2146-E2146</x:f>
        <x:v>0.09999999999999964</x:v>
      </x:c>
      <x:c r="L2146" s="40" t="n">
        <x:f>ABS(K2146)</x:f>
        <x:v>0.09999999999999964</x:v>
      </x:c>
      <x:c r="M2146" s="41" t="str">
        <x:v>lstm-soil-v1</x:v>
      </x:c>
    </x:row>
    <x:row r="2147">
      <x:c r="A2147" s="38" t="str">
        <x:v>7月30日现场数据</x:v>
      </x:c>
      <x:c r="B2147" s="39" t="str">
        <x:v>2026-08-02T10:10:00</x:v>
      </x:c>
      <x:c r="C2147" s="39" t="str">
        <x:v>2026-08-02T11:10:00</x:v>
      </x:c>
      <x:c r="D2147" s="47" t="n">
        <x:v>60</x:v>
      </x:c>
      <x:c r="E2147" s="40" t="n">
        <x:v>15.6</x:v>
      </x:c>
      <x:c r="F2147" s="40" t="n">
        <x:v>16.270912170410156</x:v>
      </x:c>
      <x:c r="G2147" s="40" t="n">
        <x:v>15.7</x:v>
      </x:c>
      <x:c r="H2147" s="40" t="n">
        <x:f>F2147-E2147</x:f>
        <x:v>0.6709121704101566</x:v>
      </x:c>
      <x:c r="I2147" s="40" t="n">
        <x:f>ABS(H2147)</x:f>
        <x:v>0.6709121704101566</x:v>
      </x:c>
      <x:c r="J2147" s="40" t="n">
        <x:f>H2147^2</x:f>
        <x:v>0.450123140404467</x:v>
      </x:c>
      <x:c r="K2147" s="40" t="n">
        <x:f>G2147-E2147</x:f>
        <x:v>0.09999999999999964</x:v>
      </x:c>
      <x:c r="L2147" s="40" t="n">
        <x:f>ABS(K2147)</x:f>
        <x:v>0.09999999999999964</x:v>
      </x:c>
      <x:c r="M2147" s="41" t="str">
        <x:v>lstm-soil-v1</x:v>
      </x:c>
    </x:row>
    <x:row r="2148">
      <x:c r="A2148" s="38" t="str">
        <x:v>7月30日现场数据</x:v>
      </x:c>
      <x:c r="B2148" s="39" t="str">
        <x:v>2026-08-02T10:15:00</x:v>
      </x:c>
      <x:c r="C2148" s="39" t="str">
        <x:v>2026-08-02T10:20:00</x:v>
      </x:c>
      <x:c r="D2148" s="47" t="n">
        <x:v>5</x:v>
      </x:c>
      <x:c r="E2148" s="40" t="n">
        <x:v>15.7</x:v>
      </x:c>
      <x:c r="F2148" s="40" t="n">
        <x:v>14.06326675415039</x:v>
      </x:c>
      <x:c r="G2148" s="40" t="n">
        <x:v>15.7</x:v>
      </x:c>
      <x:c r="H2148" s="40" t="n">
        <x:f>F2148-E2148</x:f>
        <x:v>-1.6367332458496087</x:v>
      </x:c>
      <x:c r="I2148" s="40" t="n">
        <x:f>ABS(H2148)</x:f>
        <x:v>1.6367332458496087</x:v>
      </x:c>
      <x:c r="J2148" s="40" t="n">
        <x:f>H2148^2</x:f>
        <x:v>2.6788957180693953</x:v>
      </x:c>
      <x:c r="K2148" s="40" t="n">
        <x:f>G2148-E2148</x:f>
        <x:v>0</x:v>
      </x:c>
      <x:c r="L2148" s="40" t="n">
        <x:f>ABS(K2148)</x:f>
        <x:v>0</x:v>
      </x:c>
      <x:c r="M2148" s="41" t="str">
        <x:v>lstm-soil-v1</x:v>
      </x:c>
    </x:row>
    <x:row r="2149">
      <x:c r="A2149" s="38" t="str">
        <x:v>7月30日现场数据</x:v>
      </x:c>
      <x:c r="B2149" s="39" t="str">
        <x:v>2026-08-02T10:15:00</x:v>
      </x:c>
      <x:c r="C2149" s="39" t="str">
        <x:v>2026-08-02T10:30:00</x:v>
      </x:c>
      <x:c r="D2149" s="47" t="n">
        <x:v>15</x:v>
      </x:c>
      <x:c r="E2149" s="40" t="n">
        <x:v>15.7</x:v>
      </x:c>
      <x:c r="F2149" s="40" t="n">
        <x:v>14.160633087158203</x:v>
      </x:c>
      <x:c r="G2149" s="40" t="n">
        <x:v>15.7</x:v>
      </x:c>
      <x:c r="H2149" s="40" t="n">
        <x:f>F2149-E2149</x:f>
        <x:v>-1.5393669128417962</x:v>
      </x:c>
      <x:c r="I2149" s="40" t="n">
        <x:f>ABS(H2149)</x:f>
        <x:v>1.5393669128417962</x:v>
      </x:c>
      <x:c r="J2149" s="40" t="n">
        <x:f>H2149^2</x:f>
        <x:v>2.3696504923520822</x:v>
      </x:c>
      <x:c r="K2149" s="40" t="n">
        <x:f>G2149-E2149</x:f>
        <x:v>0</x:v>
      </x:c>
      <x:c r="L2149" s="40" t="n">
        <x:f>ABS(K2149)</x:f>
        <x:v>0</x:v>
      </x:c>
      <x:c r="M2149" s="41" t="str">
        <x:v>lstm-soil-v1</x:v>
      </x:c>
    </x:row>
    <x:row r="2150">
      <x:c r="A2150" s="38" t="str">
        <x:v>7月30日现场数据</x:v>
      </x:c>
      <x:c r="B2150" s="39" t="str">
        <x:v>2026-08-02T10:15:00</x:v>
      </x:c>
      <x:c r="C2150" s="39" t="str">
        <x:v>2026-08-02T10:45:00</x:v>
      </x:c>
      <x:c r="D2150" s="47" t="n">
        <x:v>30</x:v>
      </x:c>
      <x:c r="E2150" s="40" t="n">
        <x:v>15.6</x:v>
      </x:c>
      <x:c r="F2150" s="40" t="n">
        <x:v>14.59225082397461</x:v>
      </x:c>
      <x:c r="G2150" s="40" t="n">
        <x:v>15.7</x:v>
      </x:c>
      <x:c r="H2150" s="40" t="n">
        <x:f>F2150-E2150</x:f>
        <x:v>-1.0077491760253903</x:v>
      </x:c>
      <x:c r="I2150" s="40" t="n">
        <x:f>ABS(H2150)</x:f>
        <x:v>1.0077491760253903</x:v>
      </x:c>
      <x:c r="J2150" s="40" t="n">
        <x:f>H2150^2</x:f>
        <x:v>1.0155584017798531</x:v>
      </x:c>
      <x:c r="K2150" s="40" t="n">
        <x:f>G2150-E2150</x:f>
        <x:v>0.09999999999999964</x:v>
      </x:c>
      <x:c r="L2150" s="40" t="n">
        <x:f>ABS(K2150)</x:f>
        <x:v>0.09999999999999964</x:v>
      </x:c>
      <x:c r="M2150" s="41" t="str">
        <x:v>lstm-soil-v1</x:v>
      </x:c>
    </x:row>
    <x:row r="2151">
      <x:c r="A2151" s="38" t="str">
        <x:v>7月30日现场数据</x:v>
      </x:c>
      <x:c r="B2151" s="39" t="str">
        <x:v>2026-08-02T10:15:00</x:v>
      </x:c>
      <x:c r="C2151" s="39" t="str">
        <x:v>2026-08-02T11:15:00</x:v>
      </x:c>
      <x:c r="D2151" s="47" t="n">
        <x:v>60</x:v>
      </x:c>
      <x:c r="E2151" s="40" t="n">
        <x:v>15.5</x:v>
      </x:c>
      <x:c r="F2151" s="40" t="n">
        <x:v>16.223270416259766</x:v>
      </x:c>
      <x:c r="G2151" s="40" t="n">
        <x:v>15.7</x:v>
      </x:c>
      <x:c r="H2151" s="40" t="n">
        <x:f>F2151-E2151</x:f>
        <x:v>0.7232704162597656</x:v>
      </x:c>
      <x:c r="I2151" s="40" t="n">
        <x:f>ABS(H2151)</x:f>
        <x:v>0.7232704162597656</x:v>
      </x:c>
      <x:c r="J2151" s="40" t="n">
        <x:f>H2151^2</x:f>
        <x:v>0.5231200950365746</x:v>
      </x:c>
      <x:c r="K2151" s="40" t="n">
        <x:f>G2151-E2151</x:f>
        <x:v>0.1999999999999993</x:v>
      </x:c>
      <x:c r="L2151" s="40" t="n">
        <x:f>ABS(K2151)</x:f>
        <x:v>0.1999999999999993</x:v>
      </x:c>
      <x:c r="M2151" s="41" t="str">
        <x:v>lstm-soil-v1</x:v>
      </x:c>
    </x:row>
    <x:row r="2152">
      <x:c r="A2152" s="38" t="str">
        <x:v>7月30日现场数据</x:v>
      </x:c>
      <x:c r="B2152" s="39" t="str">
        <x:v>2026-08-02T10:20:00</x:v>
      </x:c>
      <x:c r="C2152" s="39" t="str">
        <x:v>2026-08-02T10:25:00</x:v>
      </x:c>
      <x:c r="D2152" s="47" t="n">
        <x:v>5</x:v>
      </x:c>
      <x:c r="E2152" s="40" t="n">
        <x:v>15.7</x:v>
      </x:c>
      <x:c r="F2152" s="40" t="n">
        <x:v>14.058170318603516</x:v>
      </x:c>
      <x:c r="G2152" s="40" t="n">
        <x:v>15.7</x:v>
      </x:c>
      <x:c r="H2152" s="40" t="n">
        <x:f>F2152-E2152</x:f>
        <x:v>-1.6418296813964837</x:v>
      </x:c>
      <x:c r="I2152" s="40" t="n">
        <x:f>ABS(H2152)</x:f>
        <x:v>1.6418296813964837</x:v>
      </x:c>
      <x:c r="J2152" s="40" t="n">
        <x:f>H2152^2</x:f>
        <x:v>2.695604702714479</x:v>
      </x:c>
      <x:c r="K2152" s="40" t="n">
        <x:f>G2152-E2152</x:f>
        <x:v>0</x:v>
      </x:c>
      <x:c r="L2152" s="40" t="n">
        <x:f>ABS(K2152)</x:f>
        <x:v>0</x:v>
      </x:c>
      <x:c r="M2152" s="41" t="str">
        <x:v>lstm-soil-v1</x:v>
      </x:c>
    </x:row>
    <x:row r="2153">
      <x:c r="A2153" s="38" t="str">
        <x:v>7月30日现场数据</x:v>
      </x:c>
      <x:c r="B2153" s="39" t="str">
        <x:v>2026-08-02T10:20:00</x:v>
      </x:c>
      <x:c r="C2153" s="39" t="str">
        <x:v>2026-08-02T10:35:00</x:v>
      </x:c>
      <x:c r="D2153" s="47" t="n">
        <x:v>15</x:v>
      </x:c>
      <x:c r="E2153" s="40" t="n">
        <x:v>15.7</x:v>
      </x:c>
      <x:c r="F2153" s="40" t="n">
        <x:v>14.152816772460938</x:v>
      </x:c>
      <x:c r="G2153" s="40" t="n">
        <x:v>15.7</x:v>
      </x:c>
      <x:c r="H2153" s="40" t="n">
        <x:f>F2153-E2153</x:f>
        <x:v>-1.5471832275390618</x:v>
      </x:c>
      <x:c r="I2153" s="40" t="n">
        <x:f>ABS(H2153)</x:f>
        <x:v>1.5471832275390618</x:v>
      </x:c>
      <x:c r="J2153" s="40" t="n">
        <x:f>H2153^2</x:f>
        <x:v>2.3937759395781883</x:v>
      </x:c>
      <x:c r="K2153" s="40" t="n">
        <x:f>G2153-E2153</x:f>
        <x:v>0</x:v>
      </x:c>
      <x:c r="L2153" s="40" t="n">
        <x:f>ABS(K2153)</x:f>
        <x:v>0</x:v>
      </x:c>
      <x:c r="M2153" s="41" t="str">
        <x:v>lstm-soil-v1</x:v>
      </x:c>
    </x:row>
    <x:row r="2154">
      <x:c r="A2154" s="38" t="str">
        <x:v>7月30日现场数据</x:v>
      </x:c>
      <x:c r="B2154" s="39" t="str">
        <x:v>2026-08-02T10:20:00</x:v>
      </x:c>
      <x:c r="C2154" s="39" t="str">
        <x:v>2026-08-02T10:50:00</x:v>
      </x:c>
      <x:c r="D2154" s="47" t="n">
        <x:v>30</x:v>
      </x:c>
      <x:c r="E2154" s="40" t="n">
        <x:v>15.6</x:v>
      </x:c>
      <x:c r="F2154" s="40" t="n">
        <x:v>14.577617645263672</x:v>
      </x:c>
      <x:c r="G2154" s="40" t="n">
        <x:v>15.7</x:v>
      </x:c>
      <x:c r="H2154" s="40" t="n">
        <x:f>F2154-E2154</x:f>
        <x:v>-1.0223823547363278</x:v>
      </x:c>
      <x:c r="I2154" s="40" t="n">
        <x:f>ABS(H2154)</x:f>
        <x:v>1.0223823547363278</x:v>
      </x:c>
      <x:c r="J2154" s="40" t="n">
        <x:f>H2154^2</x:f>
        <x:v>1.0452656792761983</x:v>
      </x:c>
      <x:c r="K2154" s="40" t="n">
        <x:f>G2154-E2154</x:f>
        <x:v>0.09999999999999964</x:v>
      </x:c>
      <x:c r="L2154" s="40" t="n">
        <x:f>ABS(K2154)</x:f>
        <x:v>0.09999999999999964</x:v>
      </x:c>
      <x:c r="M2154" s="41" t="str">
        <x:v>lstm-soil-v1</x:v>
      </x:c>
    </x:row>
    <x:row r="2155">
      <x:c r="A2155" s="38" t="str">
        <x:v>7月30日现场数据</x:v>
      </x:c>
      <x:c r="B2155" s="39" t="str">
        <x:v>2026-08-02T10:20:00</x:v>
      </x:c>
      <x:c r="C2155" s="39" t="str">
        <x:v>2026-08-02T11:20:00</x:v>
      </x:c>
      <x:c r="D2155" s="47" t="n">
        <x:v>60</x:v>
      </x:c>
      <x:c r="E2155" s="40" t="n">
        <x:v>15.5</x:v>
      </x:c>
      <x:c r="F2155" s="40" t="n">
        <x:v>16.195804595947266</x:v>
      </x:c>
      <x:c r="G2155" s="40" t="n">
        <x:v>15.7</x:v>
      </x:c>
      <x:c r="H2155" s="40" t="n">
        <x:f>F2155-E2155</x:f>
        <x:v>0.6958045959472656</x:v>
      </x:c>
      <x:c r="I2155" s="40" t="n">
        <x:f>ABS(H2155)</x:f>
        <x:v>0.6958045959472656</x:v>
      </x:c>
      <x:c r="J2155" s="40" t="n">
        <x:f>H2155^2</x:f>
        <x:v>0.4841440357413376</x:v>
      </x:c>
      <x:c r="K2155" s="40" t="n">
        <x:f>G2155-E2155</x:f>
        <x:v>0.1999999999999993</x:v>
      </x:c>
      <x:c r="L2155" s="40" t="n">
        <x:f>ABS(K2155)</x:f>
        <x:v>0.1999999999999993</x:v>
      </x:c>
      <x:c r="M2155" s="41" t="str">
        <x:v>lstm-soil-v1</x:v>
      </x:c>
    </x:row>
    <x:row r="2156">
      <x:c r="A2156" s="38" t="str">
        <x:v>7月30日现场数据</x:v>
      </x:c>
      <x:c r="B2156" s="39" t="str">
        <x:v>2026-08-02T10:25:00</x:v>
      </x:c>
      <x:c r="C2156" s="39" t="str">
        <x:v>2026-08-02T10:30:00</x:v>
      </x:c>
      <x:c r="D2156" s="47" t="n">
        <x:v>5</x:v>
      </x:c>
      <x:c r="E2156" s="40" t="n">
        <x:v>15.7</x:v>
      </x:c>
      <x:c r="F2156" s="40" t="n">
        <x:v>14.051216125488281</x:v>
      </x:c>
      <x:c r="G2156" s="40" t="n">
        <x:v>15.7</x:v>
      </x:c>
      <x:c r="H2156" s="40" t="n">
        <x:f>F2156-E2156</x:f>
        <x:v>-1.648783874511718</x:v>
      </x:c>
      <x:c r="I2156" s="40" t="n">
        <x:f>ABS(H2156)</x:f>
        <x:v>1.648783874511718</x:v>
      </x:c>
      <x:c r="J2156" s="40" t="n">
        <x:f>H2156^2</x:f>
        <x:v>2.718488264849873</x:v>
      </x:c>
      <x:c r="K2156" s="40" t="n">
        <x:f>G2156-E2156</x:f>
        <x:v>0</x:v>
      </x:c>
      <x:c r="L2156" s="40" t="n">
        <x:f>ABS(K2156)</x:f>
        <x:v>0</x:v>
      </x:c>
      <x:c r="M2156" s="41" t="str">
        <x:v>lstm-soil-v1</x:v>
      </x:c>
    </x:row>
    <x:row r="2157">
      <x:c r="A2157" s="38" t="str">
        <x:v>7月30日现场数据</x:v>
      </x:c>
      <x:c r="B2157" s="39" t="str">
        <x:v>2026-08-02T10:25:00</x:v>
      </x:c>
      <x:c r="C2157" s="39" t="str">
        <x:v>2026-08-02T10:40:00</x:v>
      </x:c>
      <x:c r="D2157" s="47" t="n">
        <x:v>15</x:v>
      </x:c>
      <x:c r="E2157" s="40" t="n">
        <x:v>15.6</x:v>
      </x:c>
      <x:c r="F2157" s="40" t="n">
        <x:v>14.150253295898438</x:v>
      </x:c>
      <x:c r="G2157" s="40" t="n">
        <x:v>15.7</x:v>
      </x:c>
      <x:c r="H2157" s="40" t="n">
        <x:f>F2157-E2157</x:f>
        <x:v>-1.4497467041015621</x:v>
      </x:c>
      <x:c r="I2157" s="40" t="n">
        <x:f>ABS(H2157)</x:f>
        <x:v>1.4497467041015621</x:v>
      </x:c>
      <x:c r="J2157" s="40" t="n">
        <x:f>H2157^2</x:f>
        <x:v>2.1017655060533422</x:v>
      </x:c>
      <x:c r="K2157" s="40" t="n">
        <x:f>G2157-E2157</x:f>
        <x:v>0.09999999999999964</x:v>
      </x:c>
      <x:c r="L2157" s="40" t="n">
        <x:f>ABS(K2157)</x:f>
        <x:v>0.09999999999999964</x:v>
      </x:c>
      <x:c r="M2157" s="41" t="str">
        <x:v>lstm-soil-v1</x:v>
      </x:c>
    </x:row>
    <x:row r="2158">
      <x:c r="A2158" s="38" t="str">
        <x:v>7月30日现场数据</x:v>
      </x:c>
      <x:c r="B2158" s="39" t="str">
        <x:v>2026-08-02T10:25:00</x:v>
      </x:c>
      <x:c r="C2158" s="39" t="str">
        <x:v>2026-08-02T10:55:00</x:v>
      </x:c>
      <x:c r="D2158" s="47" t="n">
        <x:v>30</x:v>
      </x:c>
      <x:c r="E2158" s="40" t="n">
        <x:v>15.6</x:v>
      </x:c>
      <x:c r="F2158" s="40" t="n">
        <x:v>14.567691802978516</x:v>
      </x:c>
      <x:c r="G2158" s="40" t="n">
        <x:v>15.7</x:v>
      </x:c>
      <x:c r="H2158" s="40" t="n">
        <x:f>F2158-E2158</x:f>
        <x:v>-1.032308197021484</x:v>
      </x:c>
      <x:c r="I2158" s="40" t="n">
        <x:f>ABS(H2158)</x:f>
        <x:v>1.032308197021484</x:v>
      </x:c>
      <x:c r="J2158" s="40" t="n">
        <x:f>H2158^2</x:f>
        <x:v>1.065660213637747</x:v>
      </x:c>
      <x:c r="K2158" s="40" t="n">
        <x:f>G2158-E2158</x:f>
        <x:v>0.09999999999999964</x:v>
      </x:c>
      <x:c r="L2158" s="40" t="n">
        <x:f>ABS(K2158)</x:f>
        <x:v>0.09999999999999964</x:v>
      </x:c>
      <x:c r="M2158" s="41" t="str">
        <x:v>lstm-soil-v1</x:v>
      </x:c>
    </x:row>
    <x:row r="2159">
      <x:c r="A2159" s="38" t="str">
        <x:v>7月30日现场数据</x:v>
      </x:c>
      <x:c r="B2159" s="39" t="str">
        <x:v>2026-08-02T10:25:00</x:v>
      </x:c>
      <x:c r="C2159" s="39" t="str">
        <x:v>2026-08-02T11:25:00</x:v>
      </x:c>
      <x:c r="D2159" s="47" t="n">
        <x:v>60</x:v>
      </x:c>
      <x:c r="E2159" s="40" t="n">
        <x:v>15.5</x:v>
      </x:c>
      <x:c r="F2159" s="40" t="n">
        <x:v>16.174575805664062</x:v>
      </x:c>
      <x:c r="G2159" s="40" t="n">
        <x:v>15.7</x:v>
      </x:c>
      <x:c r="H2159" s="40" t="n">
        <x:f>F2159-E2159</x:f>
        <x:v>0.6745758056640625</x:v>
      </x:c>
      <x:c r="I2159" s="40" t="n">
        <x:f>ABS(H2159)</x:f>
        <x:v>0.6745758056640625</x:v>
      </x:c>
      <x:c r="J2159" s="40" t="n">
        <x:f>H2159^2</x:f>
        <x:v>0.455052517587319</x:v>
      </x:c>
      <x:c r="K2159" s="40" t="n">
        <x:f>G2159-E2159</x:f>
        <x:v>0.1999999999999993</x:v>
      </x:c>
      <x:c r="L2159" s="40" t="n">
        <x:f>ABS(K2159)</x:f>
        <x:v>0.1999999999999993</x:v>
      </x:c>
      <x:c r="M2159" s="41" t="str">
        <x:v>lstm-soil-v1</x:v>
      </x:c>
    </x:row>
    <x:row r="2160">
      <x:c r="A2160" s="38" t="str">
        <x:v>7月30日现场数据</x:v>
      </x:c>
      <x:c r="B2160" s="39" t="str">
        <x:v>2026-08-02T10:30:00</x:v>
      </x:c>
      <x:c r="C2160" s="39" t="str">
        <x:v>2026-08-02T10:35:00</x:v>
      </x:c>
      <x:c r="D2160" s="47" t="n">
        <x:v>5</x:v>
      </x:c>
      <x:c r="E2160" s="40" t="n">
        <x:v>15.7</x:v>
      </x:c>
      <x:c r="F2160" s="40" t="n">
        <x:v>14.044548034667969</x:v>
      </x:c>
      <x:c r="G2160" s="40" t="n">
        <x:v>15.7</x:v>
      </x:c>
      <x:c r="H2160" s="40" t="n">
        <x:f>F2160-E2160</x:f>
        <x:v>-1.6554519653320305</x:v>
      </x:c>
      <x:c r="I2160" s="40" t="n">
        <x:f>ABS(H2160)</x:f>
        <x:v>1.6554519653320305</x:v>
      </x:c>
      <x:c r="J2160" s="40" t="n">
        <x:f>H2160^2</x:f>
        <x:v>2.7405212095216824</x:v>
      </x:c>
      <x:c r="K2160" s="40" t="n">
        <x:f>G2160-E2160</x:f>
        <x:v>0</x:v>
      </x:c>
      <x:c r="L2160" s="40" t="n">
        <x:f>ABS(K2160)</x:f>
        <x:v>0</x:v>
      </x:c>
      <x:c r="M2160" s="41" t="str">
        <x:v>lstm-soil-v1</x:v>
      </x:c>
    </x:row>
    <x:row r="2161">
      <x:c r="A2161" s="38" t="str">
        <x:v>7月30日现场数据</x:v>
      </x:c>
      <x:c r="B2161" s="39" t="str">
        <x:v>2026-08-02T10:30:00</x:v>
      </x:c>
      <x:c r="C2161" s="39" t="str">
        <x:v>2026-08-02T10:45:00</x:v>
      </x:c>
      <x:c r="D2161" s="47" t="n">
        <x:v>15</x:v>
      </x:c>
      <x:c r="E2161" s="40" t="n">
        <x:v>15.6</x:v>
      </x:c>
      <x:c r="F2161" s="40" t="n">
        <x:v>14.146965026855469</x:v>
      </x:c>
      <x:c r="G2161" s="40" t="n">
        <x:v>15.7</x:v>
      </x:c>
      <x:c r="H2161" s="40" t="n">
        <x:f>F2161-E2161</x:f>
        <x:v>-1.453034973144531</x:v>
      </x:c>
      <x:c r="I2161" s="40" t="n">
        <x:f>ABS(H2161)</x:f>
        <x:v>1.453034973144531</x:v>
      </x:c>
      <x:c r="J2161" s="40" t="n">
        <x:f>H2161^2</x:f>
        <x:v>2.1113106331811275</x:v>
      </x:c>
      <x:c r="K2161" s="40" t="n">
        <x:f>G2161-E2161</x:f>
        <x:v>0.09999999999999964</x:v>
      </x:c>
      <x:c r="L2161" s="40" t="n">
        <x:f>ABS(K2161)</x:f>
        <x:v>0.09999999999999964</x:v>
      </x:c>
      <x:c r="M2161" s="41" t="str">
        <x:v>lstm-soil-v1</x:v>
      </x:c>
    </x:row>
    <x:row r="2162">
      <x:c r="A2162" s="38" t="str">
        <x:v>7月30日现场数据</x:v>
      </x:c>
      <x:c r="B2162" s="39" t="str">
        <x:v>2026-08-02T10:30:00</x:v>
      </x:c>
      <x:c r="C2162" s="39" t="str">
        <x:v>2026-08-02T11:00:00</x:v>
      </x:c>
      <x:c r="D2162" s="47" t="n">
        <x:v>30</x:v>
      </x:c>
      <x:c r="E2162" s="40" t="n">
        <x:v>15.6</x:v>
      </x:c>
      <x:c r="F2162" s="40" t="n">
        <x:v>14.5579833984375</x:v>
      </x:c>
      <x:c r="G2162" s="40" t="n">
        <x:v>15.7</x:v>
      </x:c>
      <x:c r="H2162" s="40" t="n">
        <x:f>F2162-E2162</x:f>
        <x:v>-1.0420166015624996</x:v>
      </x:c>
      <x:c r="I2162" s="40" t="n">
        <x:f>ABS(H2162)</x:f>
        <x:v>1.0420166015624996</x:v>
      </x:c>
      <x:c r="J2162" s="40" t="n">
        <x:f>H2162^2</x:f>
        <x:v>1.0857985979318612</x:v>
      </x:c>
      <x:c r="K2162" s="40" t="n">
        <x:f>G2162-E2162</x:f>
        <x:v>0.09999999999999964</x:v>
      </x:c>
      <x:c r="L2162" s="40" t="n">
        <x:f>ABS(K2162)</x:f>
        <x:v>0.09999999999999964</x:v>
      </x:c>
      <x:c r="M2162" s="41" t="str">
        <x:v>lstm-soil-v1</x:v>
      </x:c>
    </x:row>
    <x:row r="2163">
      <x:c r="A2163" s="38" t="str">
        <x:v>7月30日现场数据</x:v>
      </x:c>
      <x:c r="B2163" s="39" t="str">
        <x:v>2026-08-02T10:30:00</x:v>
      </x:c>
      <x:c r="C2163" s="39" t="str">
        <x:v>2026-08-02T11:30:00</x:v>
      </x:c>
      <x:c r="D2163" s="47" t="n">
        <x:v>60</x:v>
      </x:c>
      <x:c r="E2163" s="40" t="n">
        <x:v>15.5</x:v>
      </x:c>
      <x:c r="F2163" s="40" t="n">
        <x:v>16.156585693359375</x:v>
      </x:c>
      <x:c r="G2163" s="40" t="n">
        <x:v>15.7</x:v>
      </x:c>
      <x:c r="H2163" s="40" t="n">
        <x:f>F2163-E2163</x:f>
        <x:v>0.656585693359375</x:v>
      </x:c>
      <x:c r="I2163" s="40" t="n">
        <x:f>ABS(H2163)</x:f>
        <x:v>0.656585693359375</x:v>
      </x:c>
      <x:c r="J2163" s="40" t="n">
        <x:f>H2163^2</x:f>
        <x:v>0.4311047727242112</x:v>
      </x:c>
      <x:c r="K2163" s="40" t="n">
        <x:f>G2163-E2163</x:f>
        <x:v>0.1999999999999993</x:v>
      </x:c>
      <x:c r="L2163" s="40" t="n">
        <x:f>ABS(K2163)</x:f>
        <x:v>0.1999999999999993</x:v>
      </x:c>
      <x:c r="M2163" s="41" t="str">
        <x:v>lstm-soil-v1</x:v>
      </x:c>
    </x:row>
    <x:row r="2164">
      <x:c r="A2164" s="38" t="str">
        <x:v>7月30日现场数据</x:v>
      </x:c>
      <x:c r="B2164" s="39" t="str">
        <x:v>2026-08-02T10:35:00</x:v>
      </x:c>
      <x:c r="C2164" s="39" t="str">
        <x:v>2026-08-02T10:40:00</x:v>
      </x:c>
      <x:c r="D2164" s="47" t="n">
        <x:v>5</x:v>
      </x:c>
      <x:c r="E2164" s="40" t="n">
        <x:v>15.6</x:v>
      </x:c>
      <x:c r="F2164" s="40" t="n">
        <x:v>14.045299530029297</x:v>
      </x:c>
      <x:c r="G2164" s="40" t="n">
        <x:v>15.7</x:v>
      </x:c>
      <x:c r="H2164" s="40" t="n">
        <x:f>F2164-E2164</x:f>
        <x:v>-1.5547004699707028</x:v>
      </x:c>
      <x:c r="I2164" s="40" t="n">
        <x:f>ABS(H2164)</x:f>
        <x:v>1.5547004699707028</x:v>
      </x:c>
      <x:c r="J2164" s="40" t="n">
        <x:f>H2164^2</x:f>
        <x:v>2.417093551327124</x:v>
      </x:c>
      <x:c r="K2164" s="40" t="n">
        <x:f>G2164-E2164</x:f>
        <x:v>0.09999999999999964</x:v>
      </x:c>
      <x:c r="L2164" s="40" t="n">
        <x:f>ABS(K2164)</x:f>
        <x:v>0.09999999999999964</x:v>
      </x:c>
      <x:c r="M2164" s="41" t="str">
        <x:v>lstm-soil-v1</x:v>
      </x:c>
    </x:row>
    <x:row r="2165">
      <x:c r="A2165" s="38" t="str">
        <x:v>7月30日现场数据</x:v>
      </x:c>
      <x:c r="B2165" s="39" t="str">
        <x:v>2026-08-02T10:35:00</x:v>
      </x:c>
      <x:c r="C2165" s="39" t="str">
        <x:v>2026-08-02T10:50:00</x:v>
      </x:c>
      <x:c r="D2165" s="47" t="n">
        <x:v>15</x:v>
      </x:c>
      <x:c r="E2165" s="40" t="n">
        <x:v>15.6</x:v>
      </x:c>
      <x:c r="F2165" s="40" t="n">
        <x:v>14.139476776123047</x:v>
      </x:c>
      <x:c r="G2165" s="40" t="n">
        <x:v>15.7</x:v>
      </x:c>
      <x:c r="H2165" s="40" t="n">
        <x:f>F2165-E2165</x:f>
        <x:v>-1.4605232238769528</x:v>
      </x:c>
      <x:c r="I2165" s="40" t="n">
        <x:f>ABS(H2165)</x:f>
        <x:v>1.4605232238769528</x:v>
      </x:c>
      <x:c r="J2165" s="40" t="n">
        <x:f>H2165^2</x:f>
        <x:v>2.1331280874839273</x:v>
      </x:c>
      <x:c r="K2165" s="40" t="n">
        <x:f>G2165-E2165</x:f>
        <x:v>0.09999999999999964</x:v>
      </x:c>
      <x:c r="L2165" s="40" t="n">
        <x:f>ABS(K2165)</x:f>
        <x:v>0.09999999999999964</x:v>
      </x:c>
      <x:c r="M2165" s="41" t="str">
        <x:v>lstm-soil-v1</x:v>
      </x:c>
    </x:row>
    <x:row r="2166">
      <x:c r="A2166" s="38" t="str">
        <x:v>7月30日现场数据</x:v>
      </x:c>
      <x:c r="B2166" s="39" t="str">
        <x:v>2026-08-02T10:35:00</x:v>
      </x:c>
      <x:c r="C2166" s="39" t="str">
        <x:v>2026-08-02T11:05:00</x:v>
      </x:c>
      <x:c r="D2166" s="47" t="n">
        <x:v>30</x:v>
      </x:c>
      <x:c r="E2166" s="40" t="n">
        <x:v>15.6</x:v>
      </x:c>
      <x:c r="F2166" s="40" t="n">
        <x:v>14.55780029296875</x:v>
      </x:c>
      <x:c r="G2166" s="40" t="n">
        <x:v>15.7</x:v>
      </x:c>
      <x:c r="H2166" s="40" t="n">
        <x:f>F2166-E2166</x:f>
        <x:v>-1.0421997070312496</x:v>
      </x:c>
      <x:c r="I2166" s="40" t="n">
        <x:f>ABS(H2166)</x:f>
        <x:v>1.0421997070312496</x:v>
      </x:c>
      <x:c r="J2166" s="40" t="n">
        <x:f>H2166^2</x:f>
        <x:v>1.0861802293360225</x:v>
      </x:c>
      <x:c r="K2166" s="40" t="n">
        <x:f>G2166-E2166</x:f>
        <x:v>0.09999999999999964</x:v>
      </x:c>
      <x:c r="L2166" s="40" t="n">
        <x:f>ABS(K2166)</x:f>
        <x:v>0.09999999999999964</x:v>
      </x:c>
      <x:c r="M2166" s="41" t="str">
        <x:v>lstm-soil-v1</x:v>
      </x:c>
    </x:row>
    <x:row r="2167">
      <x:c r="A2167" s="38" t="str">
        <x:v>7月30日现场数据</x:v>
      </x:c>
      <x:c r="B2167" s="39" t="str">
        <x:v>2026-08-02T10:35:00</x:v>
      </x:c>
      <x:c r="C2167" s="39" t="str">
        <x:v>2026-08-02T11:35:00</x:v>
      </x:c>
      <x:c r="D2167" s="47" t="n">
        <x:v>60</x:v>
      </x:c>
      <x:c r="E2167" s="40" t="n">
        <x:v>15.5</x:v>
      </x:c>
      <x:c r="F2167" s="40" t="n">
        <x:v>16.163650512695312</x:v>
      </x:c>
      <x:c r="G2167" s="40" t="n">
        <x:v>15.7</x:v>
      </x:c>
      <x:c r="H2167" s="40" t="n">
        <x:f>F2167-E2167</x:f>
        <x:v>0.6636505126953125</x:v>
      </x:c>
      <x:c r="I2167" s="40" t="n">
        <x:f>ABS(H2167)</x:f>
        <x:v>0.6636505126953125</x:v>
      </x:c>
      <x:c r="J2167" s="40" t="n">
        <x:f>H2167^2</x:f>
        <x:v>0.44043200300075114</x:v>
      </x:c>
      <x:c r="K2167" s="40" t="n">
        <x:f>G2167-E2167</x:f>
        <x:v>0.1999999999999993</x:v>
      </x:c>
      <x:c r="L2167" s="40" t="n">
        <x:f>ABS(K2167)</x:f>
        <x:v>0.1999999999999993</x:v>
      </x:c>
      <x:c r="M2167" s="41" t="str">
        <x:v>lstm-soil-v1</x:v>
      </x:c>
    </x:row>
    <x:row r="2168">
      <x:c r="A2168" s="38" t="str">
        <x:v>7月30日现场数据</x:v>
      </x:c>
      <x:c r="B2168" s="39" t="str">
        <x:v>2026-08-02T10:40:00</x:v>
      </x:c>
      <x:c r="C2168" s="39" t="str">
        <x:v>2026-08-02T10:45:00</x:v>
      </x:c>
      <x:c r="D2168" s="47" t="n">
        <x:v>5</x:v>
      </x:c>
      <x:c r="E2168" s="40" t="n">
        <x:v>15.6</x:v>
      </x:c>
      <x:c r="F2168" s="40" t="n">
        <x:v>13.93301010131836</x:v>
      </x:c>
      <x:c r="G2168" s="40" t="n">
        <x:v>15.6</x:v>
      </x:c>
      <x:c r="H2168" s="40" t="n">
        <x:f>F2168-E2168</x:f>
        <x:v>-1.6669898986816403</x:v>
      </x:c>
      <x:c r="I2168" s="40" t="n">
        <x:f>ABS(H2168)</x:f>
        <x:v>1.6669898986816403</x:v>
      </x:c>
      <x:c r="J2168" s="40" t="n">
        <x:f>H2168^2</x:f>
        <x:v>2.7788553223066255</x:v>
      </x:c>
      <x:c r="K2168" s="40" t="n">
        <x:f>G2168-E2168</x:f>
        <x:v>0</x:v>
      </x:c>
      <x:c r="L2168" s="40" t="n">
        <x:f>ABS(K2168)</x:f>
        <x:v>0</x:v>
      </x:c>
      <x:c r="M2168" s="41" t="str">
        <x:v>lstm-soil-v1</x:v>
      </x:c>
    </x:row>
    <x:row r="2169">
      <x:c r="A2169" s="38" t="str">
        <x:v>7月30日现场数据</x:v>
      </x:c>
      <x:c r="B2169" s="39" t="str">
        <x:v>2026-08-02T10:40:00</x:v>
      </x:c>
      <x:c r="C2169" s="39" t="str">
        <x:v>2026-08-02T10:55:00</x:v>
      </x:c>
      <x:c r="D2169" s="47" t="n">
        <x:v>15</x:v>
      </x:c>
      <x:c r="E2169" s="40" t="n">
        <x:v>15.6</x:v>
      </x:c>
      <x:c r="F2169" s="40" t="n">
        <x:v>14.030448913574219</x:v>
      </x:c>
      <x:c r="G2169" s="40" t="n">
        <x:v>15.6</x:v>
      </x:c>
      <x:c r="H2169" s="40" t="n">
        <x:f>F2169-E2169</x:f>
        <x:v>-1.569551086425781</x:v>
      </x:c>
      <x:c r="I2169" s="40" t="n">
        <x:f>ABS(H2169)</x:f>
        <x:v>1.569551086425781</x:v>
      </x:c>
      <x:c r="J2169" s="40" t="n">
        <x:f>H2169^2</x:f>
        <x:v>2.4634906129003493</x:v>
      </x:c>
      <x:c r="K2169" s="40" t="n">
        <x:f>G2169-E2169</x:f>
        <x:v>0</x:v>
      </x:c>
      <x:c r="L2169" s="40" t="n">
        <x:f>ABS(K2169)</x:f>
        <x:v>0</x:v>
      </x:c>
      <x:c r="M2169" s="41" t="str">
        <x:v>lstm-soil-v1</x:v>
      </x:c>
    </x:row>
    <x:row r="2170">
      <x:c r="A2170" s="38" t="str">
        <x:v>7月30日现场数据</x:v>
      </x:c>
      <x:c r="B2170" s="39" t="str">
        <x:v>2026-08-02T10:40:00</x:v>
      </x:c>
      <x:c r="C2170" s="39" t="str">
        <x:v>2026-08-02T11:10:00</x:v>
      </x:c>
      <x:c r="D2170" s="47" t="n">
        <x:v>30</x:v>
      </x:c>
      <x:c r="E2170" s="40" t="n">
        <x:v>15.6</x:v>
      </x:c>
      <x:c r="F2170" s="40" t="n">
        <x:v>14.450054168701172</x:v>
      </x:c>
      <x:c r="G2170" s="40" t="n">
        <x:v>15.6</x:v>
      </x:c>
      <x:c r="H2170" s="40" t="n">
        <x:f>F2170-E2170</x:f>
        <x:v>-1.1499458312988278</x:v>
      </x:c>
      <x:c r="I2170" s="40" t="n">
        <x:f>ABS(H2170)</x:f>
        <x:v>1.1499458312988278</x:v>
      </x:c>
      <x:c r="J2170" s="40" t="n">
        <x:f>H2170^2</x:f>
        <x:v>1.322375414921552</x:v>
      </x:c>
      <x:c r="K2170" s="40" t="n">
        <x:f>G2170-E2170</x:f>
        <x:v>0</x:v>
      </x:c>
      <x:c r="L2170" s="40" t="n">
        <x:f>ABS(K2170)</x:f>
        <x:v>0</x:v>
      </x:c>
      <x:c r="M2170" s="41" t="str">
        <x:v>lstm-soil-v1</x:v>
      </x:c>
    </x:row>
    <x:row r="2171">
      <x:c r="A2171" s="38" t="str">
        <x:v>7月30日现场数据</x:v>
      </x:c>
      <x:c r="B2171" s="39" t="str">
        <x:v>2026-08-02T10:40:00</x:v>
      </x:c>
      <x:c r="C2171" s="39" t="str">
        <x:v>2026-08-02T11:40:00</x:v>
      </x:c>
      <x:c r="D2171" s="47" t="n">
        <x:v>60</x:v>
      </x:c>
      <x:c r="E2171" s="40" t="n">
        <x:v>15.5</x:v>
      </x:c>
      <x:c r="F2171" s="40" t="n">
        <x:v>16.049488067626953</x:v>
      </x:c>
      <x:c r="G2171" s="40" t="n">
        <x:v>15.6</x:v>
      </x:c>
      <x:c r="H2171" s="40" t="n">
        <x:f>F2171-E2171</x:f>
        <x:v>0.5494880676269531</x:v>
      </x:c>
      <x:c r="I2171" s="40" t="n">
        <x:f>ABS(H2171)</x:f>
        <x:v>0.5494880676269531</x:v>
      </x:c>
      <x:c r="J2171" s="40" t="n">
        <x:f>H2171^2</x:f>
        <x:v>0.301937136464403</x:v>
      </x:c>
      <x:c r="K2171" s="40" t="n">
        <x:f>G2171-E2171</x:f>
        <x:v>0.09999999999999964</x:v>
      </x:c>
      <x:c r="L2171" s="40" t="n">
        <x:f>ABS(K2171)</x:f>
        <x:v>0.09999999999999964</x:v>
      </x:c>
      <x:c r="M2171" s="41" t="str">
        <x:v>lstm-soil-v1</x:v>
      </x:c>
    </x:row>
    <x:row r="2172">
      <x:c r="A2172" s="38" t="str">
        <x:v>7月30日现场数据</x:v>
      </x:c>
      <x:c r="B2172" s="39" t="str">
        <x:v>2026-08-02T10:45:00</x:v>
      </x:c>
      <x:c r="C2172" s="39" t="str">
        <x:v>2026-08-02T10:50:00</x:v>
      </x:c>
      <x:c r="D2172" s="47" t="n">
        <x:v>5</x:v>
      </x:c>
      <x:c r="E2172" s="40" t="n">
        <x:v>15.6</x:v>
      </x:c>
      <x:c r="F2172" s="40" t="n">
        <x:v>13.93039321899414</x:v>
      </x:c>
      <x:c r="G2172" s="40" t="n">
        <x:v>15.6</x:v>
      </x:c>
      <x:c r="H2172" s="40" t="n">
        <x:f>F2172-E2172</x:f>
        <x:v>-1.669606781005859</x:v>
      </x:c>
      <x:c r="I2172" s="40" t="n">
        <x:f>ABS(H2172)</x:f>
        <x:v>1.669606781005859</x:v>
      </x:c>
      <x:c r="J2172" s="40" t="n">
        <x:f>H2172^2</x:f>
        <x:v>2.7875868031807465</x:v>
      </x:c>
      <x:c r="K2172" s="40" t="n">
        <x:f>G2172-E2172</x:f>
        <x:v>0</x:v>
      </x:c>
      <x:c r="L2172" s="40" t="n">
        <x:f>ABS(K2172)</x:f>
        <x:v>0</x:v>
      </x:c>
      <x:c r="M2172" s="41" t="str">
        <x:v>lstm-soil-v1</x:v>
      </x:c>
    </x:row>
    <x:row r="2173">
      <x:c r="A2173" s="38" t="str">
        <x:v>7月30日现场数据</x:v>
      </x:c>
      <x:c r="B2173" s="39" t="str">
        <x:v>2026-08-02T10:45:00</x:v>
      </x:c>
      <x:c r="C2173" s="39" t="str">
        <x:v>2026-08-02T11:00:00</x:v>
      </x:c>
      <x:c r="D2173" s="47" t="n">
        <x:v>15</x:v>
      </x:c>
      <x:c r="E2173" s="40" t="n">
        <x:v>15.6</x:v>
      </x:c>
      <x:c r="F2173" s="40" t="n">
        <x:v>14.029067993164062</x:v>
      </x:c>
      <x:c r="G2173" s="40" t="n">
        <x:v>15.6</x:v>
      </x:c>
      <x:c r="H2173" s="40" t="n">
        <x:f>F2173-E2173</x:f>
        <x:v>-1.5709320068359371</x:v>
      </x:c>
      <x:c r="I2173" s="40" t="n">
        <x:f>ABS(H2173)</x:f>
        <x:v>1.5709320068359371</x:v>
      </x:c>
      <x:c r="J2173" s="40" t="n">
        <x:f>H2173^2</x:f>
        <x:v>2.4678273701015847</x:v>
      </x:c>
      <x:c r="K2173" s="40" t="n">
        <x:f>G2173-E2173</x:f>
        <x:v>0</x:v>
      </x:c>
      <x:c r="L2173" s="40" t="n">
        <x:f>ABS(K2173)</x:f>
        <x:v>0</x:v>
      </x:c>
      <x:c r="M2173" s="41" t="str">
        <x:v>lstm-soil-v1</x:v>
      </x:c>
    </x:row>
    <x:row r="2174">
      <x:c r="A2174" s="38" t="str">
        <x:v>7月30日现场数据</x:v>
      </x:c>
      <x:c r="B2174" s="39" t="str">
        <x:v>2026-08-02T10:45:00</x:v>
      </x:c>
      <x:c r="C2174" s="39" t="str">
        <x:v>2026-08-02T11:15:00</x:v>
      </x:c>
      <x:c r="D2174" s="47" t="n">
        <x:v>30</x:v>
      </x:c>
      <x:c r="E2174" s="40" t="n">
        <x:v>15.5</x:v>
      </x:c>
      <x:c r="F2174" s="40" t="n">
        <x:v>14.448158264160156</x:v>
      </x:c>
      <x:c r="G2174" s="40" t="n">
        <x:v>15.6</x:v>
      </x:c>
      <x:c r="H2174" s="40" t="n">
        <x:f>F2174-E2174</x:f>
        <x:v>-1.0518417358398438</x:v>
      </x:c>
      <x:c r="I2174" s="40" t="n">
        <x:f>ABS(H2174)</x:f>
        <x:v>1.0518417358398438</x:v>
      </x:c>
      <x:c r="J2174" s="40" t="n">
        <x:f>H2174^2</x:f>
        <x:v>1.1063710372545756</x:v>
      </x:c>
      <x:c r="K2174" s="40" t="n">
        <x:f>G2174-E2174</x:f>
        <x:v>0.09999999999999964</x:v>
      </x:c>
      <x:c r="L2174" s="40" t="n">
        <x:f>ABS(K2174)</x:f>
        <x:v>0.09999999999999964</x:v>
      </x:c>
      <x:c r="M2174" s="41" t="str">
        <x:v>lstm-soil-v1</x:v>
      </x:c>
    </x:row>
    <x:row r="2175">
      <x:c r="A2175" s="38" t="str">
        <x:v>7月30日现场数据</x:v>
      </x:c>
      <x:c r="B2175" s="39" t="str">
        <x:v>2026-08-02T10:45:00</x:v>
      </x:c>
      <x:c r="C2175" s="39" t="str">
        <x:v>2026-08-02T11:45:00</x:v>
      </x:c>
      <x:c r="D2175" s="47" t="n">
        <x:v>60</x:v>
      </x:c>
      <x:c r="E2175" s="40" t="n">
        <x:v>15.4</x:v>
      </x:c>
      <x:c r="F2175" s="40" t="n">
        <x:v>16.04653549194336</x:v>
      </x:c>
      <x:c r="G2175" s="40" t="n">
        <x:v>15.6</x:v>
      </x:c>
      <x:c r="H2175" s="40" t="n">
        <x:f>F2175-E2175</x:f>
        <x:v>0.646535491943359</x:v>
      </x:c>
      <x:c r="I2175" s="40" t="n">
        <x:f>ABS(H2175)</x:f>
        <x:v>0.646535491943359</x:v>
      </x:c>
      <x:c r="J2175" s="40" t="n">
        <x:f>H2175^2</x:f>
        <x:v>0.41800814234244127</x:v>
      </x:c>
      <x:c r="K2175" s="40" t="n">
        <x:f>G2175-E2175</x:f>
        <x:v>0.1999999999999993</x:v>
      </x:c>
      <x:c r="L2175" s="40" t="n">
        <x:f>ABS(K2175)</x:f>
        <x:v>0.1999999999999993</x:v>
      </x:c>
      <x:c r="M2175" s="41" t="str">
        <x:v>lstm-soil-v1</x:v>
      </x:c>
    </x:row>
    <x:row r="2176">
      <x:c r="A2176" s="38" t="str">
        <x:v>7月30日现场数据</x:v>
      </x:c>
      <x:c r="B2176" s="39" t="str">
        <x:v>2026-08-02T10:50:00</x:v>
      </x:c>
      <x:c r="C2176" s="39" t="str">
        <x:v>2026-08-02T10:55:00</x:v>
      </x:c>
      <x:c r="D2176" s="47" t="n">
        <x:v>5</x:v>
      </x:c>
      <x:c r="E2176" s="40" t="n">
        <x:v>15.6</x:v>
      </x:c>
      <x:c r="F2176" s="40" t="n">
        <x:v>13.938308715820312</x:v>
      </x:c>
      <x:c r="G2176" s="40" t="n">
        <x:v>15.6</x:v>
      </x:c>
      <x:c r="H2176" s="40" t="n">
        <x:f>F2176-E2176</x:f>
        <x:v>-1.6616912841796871</x:v>
      </x:c>
      <x:c r="I2176" s="40" t="n">
        <x:f>ABS(H2176)</x:f>
        <x:v>1.6616912841796871</x:v>
      </x:c>
      <x:c r="J2176" s="40" t="n">
        <x:f>H2176^2</x:f>
        <x:v>2.7612179239187378</x:v>
      </x:c>
      <x:c r="K2176" s="40" t="n">
        <x:f>G2176-E2176</x:f>
        <x:v>0</x:v>
      </x:c>
      <x:c r="L2176" s="40" t="n">
        <x:f>ABS(K2176)</x:f>
        <x:v>0</x:v>
      </x:c>
      <x:c r="M2176" s="41" t="str">
        <x:v>lstm-soil-v1</x:v>
      </x:c>
    </x:row>
    <x:row r="2177">
      <x:c r="A2177" s="38" t="str">
        <x:v>7月30日现场数据</x:v>
      </x:c>
      <x:c r="B2177" s="39" t="str">
        <x:v>2026-08-02T10:50:00</x:v>
      </x:c>
      <x:c r="C2177" s="39" t="str">
        <x:v>2026-08-02T11:05:00</x:v>
      </x:c>
      <x:c r="D2177" s="47" t="n">
        <x:v>15</x:v>
      </x:c>
      <x:c r="E2177" s="40" t="n">
        <x:v>15.6</x:v>
      </x:c>
      <x:c r="F2177" s="40" t="n">
        <x:v>14.02008056640625</x:v>
      </x:c>
      <x:c r="G2177" s="40" t="n">
        <x:v>15.6</x:v>
      </x:c>
      <x:c r="H2177" s="40" t="n">
        <x:f>F2177-E2177</x:f>
        <x:v>-1.5799194335937496</x:v>
      </x:c>
      <x:c r="I2177" s="40" t="n">
        <x:f>ABS(H2177)</x:f>
        <x:v>1.5799194335937496</x:v>
      </x:c>
      <x:c r="J2177" s="40" t="n">
        <x:f>H2177^2</x:f>
        <x:v>2.496145416647195</x:v>
      </x:c>
      <x:c r="K2177" s="40" t="n">
        <x:f>G2177-E2177</x:f>
        <x:v>0</x:v>
      </x:c>
      <x:c r="L2177" s="40" t="n">
        <x:f>ABS(K2177)</x:f>
        <x:v>0</x:v>
      </x:c>
      <x:c r="M2177" s="41" t="str">
        <x:v>lstm-soil-v1</x:v>
      </x:c>
    </x:row>
    <x:row r="2178">
      <x:c r="A2178" s="38" t="str">
        <x:v>7月30日现场数据</x:v>
      </x:c>
      <x:c r="B2178" s="39" t="str">
        <x:v>2026-08-02T10:50:00</x:v>
      </x:c>
      <x:c r="C2178" s="39" t="str">
        <x:v>2026-08-02T11:20:00</x:v>
      </x:c>
      <x:c r="D2178" s="47" t="n">
        <x:v>30</x:v>
      </x:c>
      <x:c r="E2178" s="40" t="n">
        <x:v>15.5</x:v>
      </x:c>
      <x:c r="F2178" s="40" t="n">
        <x:v>14.45772933959961</x:v>
      </x:c>
      <x:c r="G2178" s="40" t="n">
        <x:v>15.6</x:v>
      </x:c>
      <x:c r="H2178" s="40" t="n">
        <x:f>F2178-E2178</x:f>
        <x:v>-1.0422706604003906</x:v>
      </x:c>
      <x:c r="I2178" s="40" t="n">
        <x:f>ABS(H2178)</x:f>
        <x:v>1.0422706604003906</x:v>
      </x:c>
      <x:c r="J2178" s="40" t="n">
        <x:f>H2178^2</x:f>
        <x:v>1.0863281295314664</x:v>
      </x:c>
      <x:c r="K2178" s="40" t="n">
        <x:f>G2178-E2178</x:f>
        <x:v>0.09999999999999964</x:v>
      </x:c>
      <x:c r="L2178" s="40" t="n">
        <x:f>ABS(K2178)</x:f>
        <x:v>0.09999999999999964</x:v>
      </x:c>
      <x:c r="M2178" s="41" t="str">
        <x:v>lstm-soil-v1</x:v>
      </x:c>
    </x:row>
    <x:row r="2179">
      <x:c r="A2179" s="38" t="str">
        <x:v>7月30日现场数据</x:v>
      </x:c>
      <x:c r="B2179" s="39" t="str">
        <x:v>2026-08-02T10:50:00</x:v>
      </x:c>
      <x:c r="C2179" s="39" t="str">
        <x:v>2026-08-02T11:50:00</x:v>
      </x:c>
      <x:c r="D2179" s="47" t="n">
        <x:v>60</x:v>
      </x:c>
      <x:c r="E2179" s="40" t="n">
        <x:v>15.4</x:v>
      </x:c>
      <x:c r="F2179" s="40" t="n">
        <x:v>16.078445434570312</x:v>
      </x:c>
      <x:c r="G2179" s="40" t="n">
        <x:v>15.6</x:v>
      </x:c>
      <x:c r="H2179" s="40" t="n">
        <x:f>F2179-E2179</x:f>
        <x:v>0.6784454345703121</x:v>
      </x:c>
      <x:c r="I2179" s="40" t="n">
        <x:f>ABS(H2179)</x:f>
        <x:v>0.6784454345703121</x:v>
      </x:c>
      <x:c r="J2179" s="40" t="n">
        <x:f>H2179^2</x:f>
        <x:v>0.4602882076892997</x:v>
      </x:c>
      <x:c r="K2179" s="40" t="n">
        <x:f>G2179-E2179</x:f>
        <x:v>0.1999999999999993</x:v>
      </x:c>
      <x:c r="L2179" s="40" t="n">
        <x:f>ABS(K2179)</x:f>
        <x:v>0.1999999999999993</x:v>
      </x:c>
      <x:c r="M2179" s="41" t="str">
        <x:v>lstm-soil-v1</x:v>
      </x:c>
    </x:row>
    <x:row r="2180">
      <x:c r="A2180" s="38" t="str">
        <x:v>7月30日现场数据</x:v>
      </x:c>
      <x:c r="B2180" s="39" t="str">
        <x:v>2026-08-02T10:55:00</x:v>
      </x:c>
      <x:c r="C2180" s="39" t="str">
        <x:v>2026-08-02T11:00:00</x:v>
      </x:c>
      <x:c r="D2180" s="47" t="n">
        <x:v>5</x:v>
      </x:c>
      <x:c r="E2180" s="40" t="n">
        <x:v>15.6</x:v>
      </x:c>
      <x:c r="F2180" s="40" t="n">
        <x:v>13.940872192382812</x:v>
      </x:c>
      <x:c r="G2180" s="40" t="n">
        <x:v>15.6</x:v>
      </x:c>
      <x:c r="H2180" s="40" t="n">
        <x:f>F2180-E2180</x:f>
        <x:v>-1.6591278076171871</x:v>
      </x:c>
      <x:c r="I2180" s="40" t="n">
        <x:f>ABS(H2180)</x:f>
        <x:v>1.6591278076171871</x:v>
      </x:c>
      <x:c r="J2180" s="40" t="n">
        <x:f>H2180^2</x:f>
        <x:v>2.752705082008614</x:v>
      </x:c>
      <x:c r="K2180" s="40" t="n">
        <x:f>G2180-E2180</x:f>
        <x:v>0</x:v>
      </x:c>
      <x:c r="L2180" s="40" t="n">
        <x:f>ABS(K2180)</x:f>
        <x:v>0</x:v>
      </x:c>
      <x:c r="M2180" s="41" t="str">
        <x:v>lstm-soil-v1</x:v>
      </x:c>
    </x:row>
    <x:row r="2181">
      <x:c r="A2181" s="38" t="str">
        <x:v>7月30日现场数据</x:v>
      </x:c>
      <x:c r="B2181" s="39" t="str">
        <x:v>2026-08-02T10:55:00</x:v>
      </x:c>
      <x:c r="C2181" s="39" t="str">
        <x:v>2026-08-02T11:10:00</x:v>
      </x:c>
      <x:c r="D2181" s="47" t="n">
        <x:v>15</x:v>
      </x:c>
      <x:c r="E2181" s="40" t="n">
        <x:v>15.6</x:v>
      </x:c>
      <x:c r="F2181" s="40" t="n">
        <x:v>14.021102905273438</x:v>
      </x:c>
      <x:c r="G2181" s="40" t="n">
        <x:v>15.6</x:v>
      </x:c>
      <x:c r="H2181" s="40" t="n">
        <x:f>F2181-E2181</x:f>
        <x:v>-1.5788970947265621</x:v>
      </x:c>
      <x:c r="I2181" s="40" t="n">
        <x:f>ABS(H2181)</x:f>
        <x:v>1.5788970947265621</x:v>
      </x:c>
      <x:c r="J2181" s="40" t="n">
        <x:f>H2181^2</x:f>
        <x:v>2.4929160357359788</x:v>
      </x:c>
      <x:c r="K2181" s="40" t="n">
        <x:f>G2181-E2181</x:f>
        <x:v>0</x:v>
      </x:c>
      <x:c r="L2181" s="40" t="n">
        <x:f>ABS(K2181)</x:f>
        <x:v>0</x:v>
      </x:c>
      <x:c r="M2181" s="41" t="str">
        <x:v>lstm-soil-v1</x:v>
      </x:c>
    </x:row>
    <x:row r="2182">
      <x:c r="A2182" s="38" t="str">
        <x:v>7月30日现场数据</x:v>
      </x:c>
      <x:c r="B2182" s="39" t="str">
        <x:v>2026-08-02T10:55:00</x:v>
      </x:c>
      <x:c r="C2182" s="39" t="str">
        <x:v>2026-08-02T11:25:00</x:v>
      </x:c>
      <x:c r="D2182" s="47" t="n">
        <x:v>30</x:v>
      </x:c>
      <x:c r="E2182" s="40" t="n">
        <x:v>15.5</x:v>
      </x:c>
      <x:c r="F2182" s="40" t="n">
        <x:v>14.470954895019531</x:v>
      </x:c>
      <x:c r="G2182" s="40" t="n">
        <x:v>15.6</x:v>
      </x:c>
      <x:c r="H2182" s="40" t="n">
        <x:f>F2182-E2182</x:f>
        <x:v>-1.0290451049804688</x:v>
      </x:c>
      <x:c r="I2182" s="40" t="n">
        <x:f>ABS(H2182)</x:f>
        <x:v>1.0290451049804688</x:v>
      </x:c>
      <x:c r="J2182" s="40" t="n">
        <x:f>H2182^2</x:f>
        <x:v>1.058933828084264</x:v>
      </x:c>
      <x:c r="K2182" s="40" t="n">
        <x:f>G2182-E2182</x:f>
        <x:v>0.09999999999999964</x:v>
      </x:c>
      <x:c r="L2182" s="40" t="n">
        <x:f>ABS(K2182)</x:f>
        <x:v>0.09999999999999964</x:v>
      </x:c>
      <x:c r="M2182" s="41" t="str">
        <x:v>lstm-soil-v1</x:v>
      </x:c>
    </x:row>
    <x:row r="2183">
      <x:c r="A2183" s="38" t="str">
        <x:v>7月30日现场数据</x:v>
      </x:c>
      <x:c r="B2183" s="39" t="str">
        <x:v>2026-08-02T10:55:00</x:v>
      </x:c>
      <x:c r="C2183" s="39" t="str">
        <x:v>2026-08-02T11:55:00</x:v>
      </x:c>
      <x:c r="D2183" s="47" t="n">
        <x:v>60</x:v>
      </x:c>
      <x:c r="E2183" s="40" t="n">
        <x:v>15.4</x:v>
      </x:c>
      <x:c r="F2183" s="40" t="n">
        <x:v>16.1029052734375</x:v>
      </x:c>
      <x:c r="G2183" s="40" t="n">
        <x:v>15.6</x:v>
      </x:c>
      <x:c r="H2183" s="40" t="n">
        <x:f>F2183-E2183</x:f>
        <x:v>0.7029052734374996</x:v>
      </x:c>
      <x:c r="I2183" s="40" t="n">
        <x:f>ABS(H2183)</x:f>
        <x:v>0.7029052734374996</x:v>
      </x:c>
      <x:c r="J2183" s="40" t="n">
        <x:f>H2183^2</x:f>
        <x:v>0.4940758234262461</x:v>
      </x:c>
      <x:c r="K2183" s="40" t="n">
        <x:f>G2183-E2183</x:f>
        <x:v>0.1999999999999993</x:v>
      </x:c>
      <x:c r="L2183" s="40" t="n">
        <x:f>ABS(K2183)</x:f>
        <x:v>0.1999999999999993</x:v>
      </x:c>
      <x:c r="M2183" s="41" t="str">
        <x:v>lstm-soil-v1</x:v>
      </x:c>
    </x:row>
    <x:row r="2184">
      <x:c r="A2184" s="38" t="str">
        <x:v>7月30日现场数据</x:v>
      </x:c>
      <x:c r="B2184" s="39" t="str">
        <x:v>2026-08-02T11:00:00</x:v>
      </x:c>
      <x:c r="C2184" s="39" t="str">
        <x:v>2026-08-02T11:05:00</x:v>
      </x:c>
      <x:c r="D2184" s="47" t="n">
        <x:v>5</x:v>
      </x:c>
      <x:c r="E2184" s="40" t="n">
        <x:v>15.6</x:v>
      </x:c>
      <x:c r="F2184" s="40" t="n">
        <x:v>13.944602966308594</x:v>
      </x:c>
      <x:c r="G2184" s="40" t="n">
        <x:v>15.6</x:v>
      </x:c>
      <x:c r="H2184" s="40" t="n">
        <x:f>F2184-E2184</x:f>
        <x:v>-1.655397033691406</x:v>
      </x:c>
      <x:c r="I2184" s="40" t="n">
        <x:f>ABS(H2184)</x:f>
        <x:v>1.655397033691406</x:v>
      </x:c>
      <x:c r="J2184" s="40" t="n">
        <x:f>H2184^2</x:f>
        <x:v>2.7403393391543056</x:v>
      </x:c>
      <x:c r="K2184" s="40" t="n">
        <x:f>G2184-E2184</x:f>
        <x:v>0</x:v>
      </x:c>
      <x:c r="L2184" s="40" t="n">
        <x:f>ABS(K2184)</x:f>
        <x:v>0</x:v>
      </x:c>
      <x:c r="M2184" s="41" t="str">
        <x:v>lstm-soil-v1</x:v>
      </x:c>
    </x:row>
    <x:row r="2185">
      <x:c r="A2185" s="38" t="str">
        <x:v>7月30日现场数据</x:v>
      </x:c>
      <x:c r="B2185" s="39" t="str">
        <x:v>2026-08-02T11:00:00</x:v>
      </x:c>
      <x:c r="C2185" s="39" t="str">
        <x:v>2026-08-02T11:15:00</x:v>
      </x:c>
      <x:c r="D2185" s="47" t="n">
        <x:v>15</x:v>
      </x:c>
      <x:c r="E2185" s="40" t="n">
        <x:v>15.5</x:v>
      </x:c>
      <x:c r="F2185" s="40" t="n">
        <x:v>14.02304458618164</x:v>
      </x:c>
      <x:c r="G2185" s="40" t="n">
        <x:v>15.6</x:v>
      </x:c>
      <x:c r="H2185" s="40" t="n">
        <x:f>F2185-E2185</x:f>
        <x:v>-1.4769554138183594</x:v>
      </x:c>
      <x:c r="I2185" s="40" t="n">
        <x:f>ABS(H2185)</x:f>
        <x:v>1.4769554138183594</x:v>
      </x:c>
      <x:c r="J2185" s="40" t="n">
        <x:f>H2185^2</x:f>
        <x:v>2.181397294407361</x:v>
      </x:c>
      <x:c r="K2185" s="40" t="n">
        <x:f>G2185-E2185</x:f>
        <x:v>0.09999999999999964</x:v>
      </x:c>
      <x:c r="L2185" s="40" t="n">
        <x:f>ABS(K2185)</x:f>
        <x:v>0.09999999999999964</x:v>
      </x:c>
      <x:c r="M2185" s="41" t="str">
        <x:v>lstm-soil-v1</x:v>
      </x:c>
    </x:row>
    <x:row r="2186">
      <x:c r="A2186" s="38" t="str">
        <x:v>7月30日现场数据</x:v>
      </x:c>
      <x:c r="B2186" s="39" t="str">
        <x:v>2026-08-02T11:00:00</x:v>
      </x:c>
      <x:c r="C2186" s="39" t="str">
        <x:v>2026-08-02T11:30:00</x:v>
      </x:c>
      <x:c r="D2186" s="47" t="n">
        <x:v>30</x:v>
      </x:c>
      <x:c r="E2186" s="40" t="n">
        <x:v>15.5</x:v>
      </x:c>
      <x:c r="F2186" s="40" t="n">
        <x:v>14.48431396484375</x:v>
      </x:c>
      <x:c r="G2186" s="40" t="n">
        <x:v>15.6</x:v>
      </x:c>
      <x:c r="H2186" s="40" t="n">
        <x:f>F2186-E2186</x:f>
        <x:v>-1.01568603515625</x:v>
      </x:c>
      <x:c r="I2186" s="40" t="n">
        <x:f>ABS(H2186)</x:f>
        <x:v>1.01568603515625</x:v>
      </x:c>
      <x:c r="J2186" s="40" t="n">
        <x:f>H2186^2</x:f>
        <x:v>1.031618122011423</x:v>
      </x:c>
      <x:c r="K2186" s="40" t="n">
        <x:f>G2186-E2186</x:f>
        <x:v>0.09999999999999964</x:v>
      </x:c>
      <x:c r="L2186" s="40" t="n">
        <x:f>ABS(K2186)</x:f>
        <x:v>0.09999999999999964</x:v>
      </x:c>
      <x:c r="M2186" s="41" t="str">
        <x:v>lstm-soil-v1</x:v>
      </x:c>
    </x:row>
    <x:row r="2187">
      <x:c r="A2187" s="38" t="str">
        <x:v>7月30日现场数据</x:v>
      </x:c>
      <x:c r="B2187" s="39" t="str">
        <x:v>2026-08-02T11:00:00</x:v>
      </x:c>
      <x:c r="C2187" s="39" t="str">
        <x:v>2026-08-02T12:00:00</x:v>
      </x:c>
      <x:c r="D2187" s="47" t="n">
        <x:v>60</x:v>
      </x:c>
      <x:c r="E2187" s="40" t="n">
        <x:v>15.4</x:v>
      </x:c>
      <x:c r="F2187" s="40" t="n">
        <x:v>16.135929107666016</x:v>
      </x:c>
      <x:c r="G2187" s="40" t="n">
        <x:v>15.6</x:v>
      </x:c>
      <x:c r="H2187" s="40" t="n">
        <x:f>F2187-E2187</x:f>
        <x:v>0.7359291076660153</x:v>
      </x:c>
      <x:c r="I2187" s="40" t="n">
        <x:f>ABS(H2187)</x:f>
        <x:v>0.7359291076660153</x:v>
      </x:c>
      <x:c r="J2187" s="40" t="n">
        <x:f>H2187^2</x:f>
        <x:v>0.5415916515100975</x:v>
      </x:c>
      <x:c r="K2187" s="40" t="n">
        <x:f>G2187-E2187</x:f>
        <x:v>0.1999999999999993</x:v>
      </x:c>
      <x:c r="L2187" s="40" t="n">
        <x:f>ABS(K2187)</x:f>
        <x:v>0.1999999999999993</x:v>
      </x:c>
      <x:c r="M2187" s="41" t="str">
        <x:v>lstm-soil-v1</x:v>
      </x:c>
    </x:row>
    <x:row r="2188">
      <x:c r="A2188" s="38" t="str">
        <x:v>7月30日现场数据</x:v>
      </x:c>
      <x:c r="B2188" s="39" t="str">
        <x:v>2026-08-02T11:05:00</x:v>
      </x:c>
      <x:c r="C2188" s="39" t="str">
        <x:v>2026-08-02T11:10:00</x:v>
      </x:c>
      <x:c r="D2188" s="47" t="n">
        <x:v>5</x:v>
      </x:c>
      <x:c r="E2188" s="40" t="n">
        <x:v>15.6</x:v>
      </x:c>
      <x:c r="F2188" s="40" t="n">
        <x:v>13.947746276855469</x:v>
      </x:c>
      <x:c r="G2188" s="40" t="n">
        <x:v>15.6</x:v>
      </x:c>
      <x:c r="H2188" s="40" t="n">
        <x:f>F2188-E2188</x:f>
        <x:v>-1.652253723144531</x:v>
      </x:c>
      <x:c r="I2188" s="40" t="n">
        <x:f>ABS(H2188)</x:f>
        <x:v>1.652253723144531</x:v>
      </x:c>
      <x:c r="J2188" s="40" t="n">
        <x:f>H2188^2</x:f>
        <x:v>2.729942365644964</x:v>
      </x:c>
      <x:c r="K2188" s="40" t="n">
        <x:f>G2188-E2188</x:f>
        <x:v>0</x:v>
      </x:c>
      <x:c r="L2188" s="40" t="n">
        <x:f>ABS(K2188)</x:f>
        <x:v>0</x:v>
      </x:c>
      <x:c r="M2188" s="41" t="str">
        <x:v>lstm-soil-v1</x:v>
      </x:c>
    </x:row>
    <x:row r="2189">
      <x:c r="A2189" s="38" t="str">
        <x:v>7月30日现场数据</x:v>
      </x:c>
      <x:c r="B2189" s="39" t="str">
        <x:v>2026-08-02T11:05:00</x:v>
      </x:c>
      <x:c r="C2189" s="39" t="str">
        <x:v>2026-08-02T11:20:00</x:v>
      </x:c>
      <x:c r="D2189" s="47" t="n">
        <x:v>15</x:v>
      </x:c>
      <x:c r="E2189" s="40" t="n">
        <x:v>15.5</x:v>
      </x:c>
      <x:c r="F2189" s="40" t="n">
        <x:v>14.025882720947266</x:v>
      </x:c>
      <x:c r="G2189" s="40" t="n">
        <x:v>15.6</x:v>
      </x:c>
      <x:c r="H2189" s="40" t="n">
        <x:f>F2189-E2189</x:f>
        <x:v>-1.4741172790527344</x:v>
      </x:c>
      <x:c r="I2189" s="40" t="n">
        <x:f>ABS(H2189)</x:f>
        <x:v>1.4741172790527344</x:v>
      </x:c>
      <x:c r="J2189" s="40" t="n">
        <x:f>H2189^2</x:f>
        <x:v>2.173021752401837</x:v>
      </x:c>
      <x:c r="K2189" s="40" t="n">
        <x:f>G2189-E2189</x:f>
        <x:v>0.09999999999999964</x:v>
      </x:c>
      <x:c r="L2189" s="40" t="n">
        <x:f>ABS(K2189)</x:f>
        <x:v>0.09999999999999964</x:v>
      </x:c>
      <x:c r="M2189" s="41" t="str">
        <x:v>lstm-soil-v1</x:v>
      </x:c>
    </x:row>
    <x:row r="2190">
      <x:c r="A2190" s="38" t="str">
        <x:v>7月30日现场数据</x:v>
      </x:c>
      <x:c r="B2190" s="39" t="str">
        <x:v>2026-08-02T11:05:00</x:v>
      </x:c>
      <x:c r="C2190" s="39" t="str">
        <x:v>2026-08-02T11:35:00</x:v>
      </x:c>
      <x:c r="D2190" s="47" t="n">
        <x:v>30</x:v>
      </x:c>
      <x:c r="E2190" s="40" t="n">
        <x:v>15.5</x:v>
      </x:c>
      <x:c r="F2190" s="40" t="n">
        <x:v>14.494972229003906</x:v>
      </x:c>
      <x:c r="G2190" s="40" t="n">
        <x:v>15.6</x:v>
      </x:c>
      <x:c r="H2190" s="40" t="n">
        <x:f>F2190-E2190</x:f>
        <x:v>-1.0050277709960938</x:v>
      </x:c>
      <x:c r="I2190" s="40" t="n">
        <x:f>ABS(H2190)</x:f>
        <x:v>1.0050277709960938</x:v>
      </x:c>
      <x:c r="J2190" s="40" t="n">
        <x:f>H2190^2</x:f>
        <x:v>1.0100808204733767</x:v>
      </x:c>
      <x:c r="K2190" s="40" t="n">
        <x:f>G2190-E2190</x:f>
        <x:v>0.09999999999999964</x:v>
      </x:c>
      <x:c r="L2190" s="40" t="n">
        <x:f>ABS(K2190)</x:f>
        <x:v>0.09999999999999964</x:v>
      </x:c>
      <x:c r="M2190" s="41" t="str">
        <x:v>lstm-soil-v1</x:v>
      </x:c>
    </x:row>
    <x:row r="2191">
      <x:c r="A2191" s="38" t="str">
        <x:v>7月30日现场数据</x:v>
      </x:c>
      <x:c r="B2191" s="39" t="str">
        <x:v>2026-08-02T11:05:00</x:v>
      </x:c>
      <x:c r="C2191" s="39" t="str">
        <x:v>2026-08-02T12:05:00</x:v>
      </x:c>
      <x:c r="D2191" s="47" t="n">
        <x:v>60</x:v>
      </x:c>
      <x:c r="E2191" s="40" t="n">
        <x:v>15.4</x:v>
      </x:c>
      <x:c r="F2191" s="40" t="n">
        <x:v>16.165802001953125</x:v>
      </x:c>
      <x:c r="G2191" s="40" t="n">
        <x:v>15.6</x:v>
      </x:c>
      <x:c r="H2191" s="40" t="n">
        <x:f>F2191-E2191</x:f>
        <x:v>0.7658020019531246</x:v>
      </x:c>
      <x:c r="I2191" s="40" t="n">
        <x:f>ABS(H2191)</x:f>
        <x:v>0.7658020019531246</x:v>
      </x:c>
      <x:c r="J2191" s="40" t="n">
        <x:f>H2191^2</x:f>
        <x:v>0.5864527061954136</x:v>
      </x:c>
      <x:c r="K2191" s="40" t="n">
        <x:f>G2191-E2191</x:f>
        <x:v>0.1999999999999993</x:v>
      </x:c>
      <x:c r="L2191" s="40" t="n">
        <x:f>ABS(K2191)</x:f>
        <x:v>0.1999999999999993</x:v>
      </x:c>
      <x:c r="M2191" s="41" t="str">
        <x:v>lstm-soil-v1</x:v>
      </x:c>
    </x:row>
    <x:row r="2192">
      <x:c r="A2192" s="38" t="str">
        <x:v>7月30日现场数据</x:v>
      </x:c>
      <x:c r="B2192" s="39" t="str">
        <x:v>2026-08-02T11:10:00</x:v>
      </x:c>
      <x:c r="C2192" s="39" t="str">
        <x:v>2026-08-02T11:15:00</x:v>
      </x:c>
      <x:c r="D2192" s="47" t="n">
        <x:v>5</x:v>
      </x:c>
      <x:c r="E2192" s="40" t="n">
        <x:v>15.5</x:v>
      </x:c>
      <x:c r="F2192" s="40" t="n">
        <x:v>13.947895050048828</x:v>
      </x:c>
      <x:c r="G2192" s="40" t="n">
        <x:v>15.6</x:v>
      </x:c>
      <x:c r="H2192" s="40" t="n">
        <x:f>F2192-E2192</x:f>
        <x:v>-1.5521049499511719</x:v>
      </x:c>
      <x:c r="I2192" s="40" t="n">
        <x:f>ABS(H2192)</x:f>
        <x:v>1.5521049499511719</x:v>
      </x:c>
      <x:c r="J2192" s="40" t="n">
        <x:f>H2192^2</x:f>
        <x:v>2.4090297756629298</x:v>
      </x:c>
      <x:c r="K2192" s="40" t="n">
        <x:f>G2192-E2192</x:f>
        <x:v>0.09999999999999964</x:v>
      </x:c>
      <x:c r="L2192" s="40" t="n">
        <x:f>ABS(K2192)</x:f>
        <x:v>0.09999999999999964</x:v>
      </x:c>
      <x:c r="M2192" s="41" t="str">
        <x:v>lstm-soil-v1</x:v>
      </x:c>
    </x:row>
    <x:row r="2193">
      <x:c r="A2193" s="38" t="str">
        <x:v>7月30日现场数据</x:v>
      </x:c>
      <x:c r="B2193" s="39" t="str">
        <x:v>2026-08-02T11:10:00</x:v>
      </x:c>
      <x:c r="C2193" s="39" t="str">
        <x:v>2026-08-02T11:25:00</x:v>
      </x:c>
      <x:c r="D2193" s="47" t="n">
        <x:v>15</x:v>
      </x:c>
      <x:c r="E2193" s="40" t="n">
        <x:v>15.5</x:v>
      </x:c>
      <x:c r="F2193" s="40" t="n">
        <x:v>14.030925750732422</x:v>
      </x:c>
      <x:c r="G2193" s="40" t="n">
        <x:v>15.6</x:v>
      </x:c>
      <x:c r="H2193" s="40" t="n">
        <x:f>F2193-E2193</x:f>
        <x:v>-1.4690742492675781</x:v>
      </x:c>
      <x:c r="I2193" s="40" t="n">
        <x:f>ABS(H2193)</x:f>
        <x:v>1.4690742492675781</x:v>
      </x:c>
      <x:c r="J2193" s="40" t="n">
        <x:f>H2193^2</x:f>
        <x:v>2.1581791498610983</x:v>
      </x:c>
      <x:c r="K2193" s="40" t="n">
        <x:f>G2193-E2193</x:f>
        <x:v>0.09999999999999964</x:v>
      </x:c>
      <x:c r="L2193" s="40" t="n">
        <x:f>ABS(K2193)</x:f>
        <x:v>0.09999999999999964</x:v>
      </x:c>
      <x:c r="M2193" s="41" t="str">
        <x:v>lstm-soil-v1</x:v>
      </x:c>
    </x:row>
    <x:row r="2194">
      <x:c r="A2194" s="38" t="str">
        <x:v>7月30日现场数据</x:v>
      </x:c>
      <x:c r="B2194" s="39" t="str">
        <x:v>2026-08-02T11:10:00</x:v>
      </x:c>
      <x:c r="C2194" s="39" t="str">
        <x:v>2026-08-02T11:40:00</x:v>
      </x:c>
      <x:c r="D2194" s="47" t="n">
        <x:v>30</x:v>
      </x:c>
      <x:c r="E2194" s="40" t="n">
        <x:v>15.5</x:v>
      </x:c>
      <x:c r="F2194" s="40" t="n">
        <x:v>14.493404388427734</x:v>
      </x:c>
      <x:c r="G2194" s="40" t="n">
        <x:v>15.6</x:v>
      </x:c>
      <x:c r="H2194" s="40" t="n">
        <x:f>F2194-E2194</x:f>
        <x:v>-1.0065956115722656</x:v>
      </x:c>
      <x:c r="I2194" s="40" t="n">
        <x:f>ABS(H2194)</x:f>
        <x:v>1.0065956115722656</x:v>
      </x:c>
      <x:c r="J2194" s="40" t="n">
        <x:f>H2194^2</x:f>
        <x:v>1.0132347252365435</x:v>
      </x:c>
      <x:c r="K2194" s="40" t="n">
        <x:f>G2194-E2194</x:f>
        <x:v>0.09999999999999964</x:v>
      </x:c>
      <x:c r="L2194" s="40" t="n">
        <x:f>ABS(K2194)</x:f>
        <x:v>0.09999999999999964</x:v>
      </x:c>
      <x:c r="M2194" s="41" t="str">
        <x:v>lstm-soil-v1</x:v>
      </x:c>
    </x:row>
    <x:row r="2195">
      <x:c r="A2195" s="38" t="str">
        <x:v>7月30日现场数据</x:v>
      </x:c>
      <x:c r="B2195" s="39" t="str">
        <x:v>2026-08-02T11:10:00</x:v>
      </x:c>
      <x:c r="C2195" s="39" t="str">
        <x:v>2026-08-02T12:10:00</x:v>
      </x:c>
      <x:c r="D2195" s="47" t="n">
        <x:v>60</x:v>
      </x:c>
      <x:c r="E2195" s="40" t="n">
        <x:v>15.4</x:v>
      </x:c>
      <x:c r="F2195" s="40" t="n">
        <x:v>16.15228271484375</x:v>
      </x:c>
      <x:c r="G2195" s="40" t="n">
        <x:v>15.6</x:v>
      </x:c>
      <x:c r="H2195" s="40" t="n">
        <x:f>F2195-E2195</x:f>
        <x:v>0.7522827148437496</x:v>
      </x:c>
      <x:c r="I2195" s="40" t="n">
        <x:f>ABS(H2195)</x:f>
        <x:v>0.7522827148437496</x:v>
      </x:c>
      <x:c r="J2195" s="40" t="n">
        <x:f>H2195^2</x:f>
        <x:v>0.5659292830526823</x:v>
      </x:c>
      <x:c r="K2195" s="40" t="n">
        <x:f>G2195-E2195</x:f>
        <x:v>0.1999999999999993</x:v>
      </x:c>
      <x:c r="L2195" s="40" t="n">
        <x:f>ABS(K2195)</x:f>
        <x:v>0.1999999999999993</x:v>
      </x:c>
      <x:c r="M2195" s="41" t="str">
        <x:v>lstm-soil-v1</x:v>
      </x:c>
    </x:row>
    <x:row r="2196">
      <x:c r="A2196" s="38" t="str">
        <x:v>7月30日现场数据</x:v>
      </x:c>
      <x:c r="B2196" s="39" t="str">
        <x:v>2026-08-02T11:15:00</x:v>
      </x:c>
      <x:c r="C2196" s="39" t="str">
        <x:v>2026-08-02T11:20:00</x:v>
      </x:c>
      <x:c r="D2196" s="47" t="n">
        <x:v>5</x:v>
      </x:c>
      <x:c r="E2196" s="40" t="n">
        <x:v>15.5</x:v>
      </x:c>
      <x:c r="F2196" s="40" t="n">
        <x:v>13.83724594116211</x:v>
      </x:c>
      <x:c r="G2196" s="40" t="n">
        <x:v>15.5</x:v>
      </x:c>
      <x:c r="H2196" s="40" t="n">
        <x:f>F2196-E2196</x:f>
        <x:v>-1.6627540588378906</x:v>
      </x:c>
      <x:c r="I2196" s="40" t="n">
        <x:f>ABS(H2196)</x:f>
        <x:v>1.6627540588378906</x:v>
      </x:c>
      <x:c r="J2196" s="40" t="n">
        <x:f>H2196^2</x:f>
        <x:v>2.7647510601818794</x:v>
      </x:c>
      <x:c r="K2196" s="40" t="n">
        <x:f>G2196-E2196</x:f>
        <x:v>0</x:v>
      </x:c>
      <x:c r="L2196" s="40" t="n">
        <x:f>ABS(K2196)</x:f>
        <x:v>0</x:v>
      </x:c>
      <x:c r="M2196" s="41" t="str">
        <x:v>lstm-soil-v1</x:v>
      </x:c>
    </x:row>
    <x:row r="2197">
      <x:c r="A2197" s="38" t="str">
        <x:v>7月30日现场数据</x:v>
      </x:c>
      <x:c r="B2197" s="39" t="str">
        <x:v>2026-08-02T11:15:00</x:v>
      </x:c>
      <x:c r="C2197" s="39" t="str">
        <x:v>2026-08-02T11:30:00</x:v>
      </x:c>
      <x:c r="D2197" s="47" t="n">
        <x:v>15</x:v>
      </x:c>
      <x:c r="E2197" s="40" t="n">
        <x:v>15.5</x:v>
      </x:c>
      <x:c r="F2197" s="40" t="n">
        <x:v>13.920780181884766</x:v>
      </x:c>
      <x:c r="G2197" s="40" t="n">
        <x:v>15.5</x:v>
      </x:c>
      <x:c r="H2197" s="40" t="n">
        <x:f>F2197-E2197</x:f>
        <x:v>-1.5792198181152344</x:v>
      </x:c>
      <x:c r="I2197" s="40" t="n">
        <x:f>ABS(H2197)</x:f>
        <x:v>1.5792198181152344</x:v>
      </x:c>
      <x:c r="J2197" s="40" t="n">
        <x:f>H2197^2</x:f>
        <x:v>2.493935233927914</x:v>
      </x:c>
      <x:c r="K2197" s="40" t="n">
        <x:f>G2197-E2197</x:f>
        <x:v>0</x:v>
      </x:c>
      <x:c r="L2197" s="40" t="n">
        <x:f>ABS(K2197)</x:f>
        <x:v>0</x:v>
      </x:c>
      <x:c r="M2197" s="41" t="str">
        <x:v>lstm-soil-v1</x:v>
      </x:c>
    </x:row>
    <x:row r="2198">
      <x:c r="A2198" s="38" t="str">
        <x:v>7月30日现场数据</x:v>
      </x:c>
      <x:c r="B2198" s="39" t="str">
        <x:v>2026-08-02T11:15:00</x:v>
      </x:c>
      <x:c r="C2198" s="39" t="str">
        <x:v>2026-08-02T11:45:00</x:v>
      </x:c>
      <x:c r="D2198" s="47" t="n">
        <x:v>30</x:v>
      </x:c>
      <x:c r="E2198" s="40" t="n">
        <x:v>15.4</x:v>
      </x:c>
      <x:c r="F2198" s="40" t="n">
        <x:v>14.375480651855469</x:v>
      </x:c>
      <x:c r="G2198" s="40" t="n">
        <x:v>15.5</x:v>
      </x:c>
      <x:c r="H2198" s="40" t="n">
        <x:f>F2198-E2198</x:f>
        <x:v>-1.0245193481445316</x:v>
      </x:c>
      <x:c r="I2198" s="40" t="n">
        <x:f>ABS(H2198)</x:f>
        <x:v>1.0245193481445316</x:v>
      </x:c>
      <x:c r="J2198" s="40" t="n">
        <x:f>H2198^2</x:f>
        <x:v>1.0496398947224959</x:v>
      </x:c>
      <x:c r="K2198" s="40" t="n">
        <x:f>G2198-E2198</x:f>
        <x:v>0.09999999999999964</x:v>
      </x:c>
      <x:c r="L2198" s="40" t="n">
        <x:f>ABS(K2198)</x:f>
        <x:v>0.09999999999999964</x:v>
      </x:c>
      <x:c r="M2198" s="41" t="str">
        <x:v>lstm-soil-v1</x:v>
      </x:c>
    </x:row>
    <x:row r="2199">
      <x:c r="A2199" s="38" t="str">
        <x:v>7月30日现场数据</x:v>
      </x:c>
      <x:c r="B2199" s="39" t="str">
        <x:v>2026-08-02T11:15:00</x:v>
      </x:c>
      <x:c r="C2199" s="39" t="str">
        <x:v>2026-08-02T12:15:00</x:v>
      </x:c>
      <x:c r="D2199" s="47" t="n">
        <x:v>60</x:v>
      </x:c>
      <x:c r="E2199" s="40" t="n">
        <x:v>15.3</x:v>
      </x:c>
      <x:c r="F2199" s="40" t="n">
        <x:v>16.031097412109375</x:v>
      </x:c>
      <x:c r="G2199" s="40" t="n">
        <x:v>15.5</x:v>
      </x:c>
      <x:c r="H2199" s="40" t="n">
        <x:f>F2199-E2199</x:f>
        <x:v>0.7310974121093743</x:v>
      </x:c>
      <x:c r="I2199" s="40" t="n">
        <x:f>ABS(H2199)</x:f>
        <x:v>0.7310974121093743</x:v>
      </x:c>
      <x:c r="J2199" s="40" t="n">
        <x:f>H2199^2</x:f>
        <x:v>0.5345034259930243</x:v>
      </x:c>
      <x:c r="K2199" s="40" t="n">
        <x:f>G2199-E2199</x:f>
        <x:v>0.1999999999999993</x:v>
      </x:c>
      <x:c r="L2199" s="40" t="n">
        <x:f>ABS(K2199)</x:f>
        <x:v>0.1999999999999993</x:v>
      </x:c>
      <x:c r="M2199" s="41" t="str">
        <x:v>lstm-soil-v1</x:v>
      </x:c>
    </x:row>
    <x:row r="2200">
      <x:c r="A2200" s="38" t="str">
        <x:v>7月30日现场数据</x:v>
      </x:c>
      <x:c r="B2200" s="39" t="str">
        <x:v>2026-08-02T11:20:00</x:v>
      </x:c>
      <x:c r="C2200" s="39" t="str">
        <x:v>2026-08-02T11:25:00</x:v>
      </x:c>
      <x:c r="D2200" s="47" t="n">
        <x:v>5</x:v>
      </x:c>
      <x:c r="E2200" s="40" t="n">
        <x:v>15.5</x:v>
      </x:c>
      <x:c r="F2200" s="40" t="n">
        <x:v>13.83968734741211</x:v>
      </x:c>
      <x:c r="G2200" s="40" t="n">
        <x:v>15.5</x:v>
      </x:c>
      <x:c r="H2200" s="40" t="n">
        <x:f>F2200-E2200</x:f>
        <x:v>-1.6603126525878906</x:v>
      </x:c>
      <x:c r="I2200" s="40" t="n">
        <x:f>ABS(H2200)</x:f>
        <x:v>1.6603126525878906</x:v>
      </x:c>
      <x:c r="J2200" s="40" t="n">
        <x:f>H2200^2</x:f>
        <x:v>2.7566381043434376</x:v>
      </x:c>
      <x:c r="K2200" s="40" t="n">
        <x:f>G2200-E2200</x:f>
        <x:v>0</x:v>
      </x:c>
      <x:c r="L2200" s="40" t="n">
        <x:f>ABS(K2200)</x:f>
        <x:v>0</x:v>
      </x:c>
      <x:c r="M2200" s="41" t="str">
        <x:v>lstm-soil-v1</x:v>
      </x:c>
    </x:row>
    <x:row r="2201">
      <x:c r="A2201" s="38" t="str">
        <x:v>7月30日现场数据</x:v>
      </x:c>
      <x:c r="B2201" s="39" t="str">
        <x:v>2026-08-02T11:20:00</x:v>
      </x:c>
      <x:c r="C2201" s="39" t="str">
        <x:v>2026-08-02T11:35:00</x:v>
      </x:c>
      <x:c r="D2201" s="47" t="n">
        <x:v>15</x:v>
      </x:c>
      <x:c r="E2201" s="40" t="n">
        <x:v>15.5</x:v>
      </x:c>
      <x:c r="F2201" s="40" t="n">
        <x:v>13.917144775390625</x:v>
      </x:c>
      <x:c r="G2201" s="40" t="n">
        <x:v>15.5</x:v>
      </x:c>
      <x:c r="H2201" s="40" t="n">
        <x:f>F2201-E2201</x:f>
        <x:v>-1.582855224609375</x:v>
      </x:c>
      <x:c r="I2201" s="40" t="n">
        <x:f>ABS(H2201)</x:f>
        <x:v>1.582855224609375</x:v>
      </x:c>
      <x:c r="J2201" s="40" t="n">
        <x:f>H2201^2</x:f>
        <x:v>2.505430662073195</x:v>
      </x:c>
      <x:c r="K2201" s="40" t="n">
        <x:f>G2201-E2201</x:f>
        <x:v>0</x:v>
      </x:c>
      <x:c r="L2201" s="40" t="n">
        <x:f>ABS(K2201)</x:f>
        <x:v>0</x:v>
      </x:c>
      <x:c r="M2201" s="41" t="str">
        <x:v>lstm-soil-v1</x:v>
      </x:c>
    </x:row>
    <x:row r="2202">
      <x:c r="A2202" s="38" t="str">
        <x:v>7月30日现场数据</x:v>
      </x:c>
      <x:c r="B2202" s="39" t="str">
        <x:v>2026-08-02T11:20:00</x:v>
      </x:c>
      <x:c r="C2202" s="39" t="str">
        <x:v>2026-08-02T11:50:00</x:v>
      </x:c>
      <x:c r="D2202" s="47" t="n">
        <x:v>30</x:v>
      </x:c>
      <x:c r="E2202" s="40" t="n">
        <x:v>15.4</x:v>
      </x:c>
      <x:c r="F2202" s="40" t="n">
        <x:v>14.375385284423828</x:v>
      </x:c>
      <x:c r="G2202" s="40" t="n">
        <x:v>15.5</x:v>
      </x:c>
      <x:c r="H2202" s="40" t="n">
        <x:f>F2202-E2202</x:f>
        <x:v>-1.0246147155761722</x:v>
      </x:c>
      <x:c r="I2202" s="40" t="n">
        <x:f>ABS(H2202)</x:f>
        <x:v>1.0246147155761722</x:v>
      </x:c>
      <x:c r="J2202" s="40" t="n">
        <x:f>H2202^2</x:f>
        <x:v>1.0498353153752402</x:v>
      </x:c>
      <x:c r="K2202" s="40" t="n">
        <x:f>G2202-E2202</x:f>
        <x:v>0.09999999999999964</x:v>
      </x:c>
      <x:c r="L2202" s="40" t="n">
        <x:f>ABS(K2202)</x:f>
        <x:v>0.09999999999999964</x:v>
      </x:c>
      <x:c r="M2202" s="41" t="str">
        <x:v>lstm-soil-v1</x:v>
      </x:c>
    </x:row>
    <x:row r="2203">
      <x:c r="A2203" s="38" t="str">
        <x:v>7月30日现场数据</x:v>
      </x:c>
      <x:c r="B2203" s="39" t="str">
        <x:v>2026-08-02T11:20:00</x:v>
      </x:c>
      <x:c r="C2203" s="39" t="str">
        <x:v>2026-08-02T12:20:00</x:v>
      </x:c>
      <x:c r="D2203" s="47" t="n">
        <x:v>60</x:v>
      </x:c>
      <x:c r="E2203" s="40" t="n">
        <x:v>15.3</x:v>
      </x:c>
      <x:c r="F2203" s="40" t="n">
        <x:v>16.046844482421875</x:v>
      </x:c>
      <x:c r="G2203" s="40" t="n">
        <x:v>15.5</x:v>
      </x:c>
      <x:c r="H2203" s="40" t="n">
        <x:f>F2203-E2203</x:f>
        <x:v>0.7468444824218743</x:v>
      </x:c>
      <x:c r="I2203" s="40" t="n">
        <x:f>ABS(H2203)</x:f>
        <x:v>0.7468444824218743</x:v>
      </x:c>
      <x:c r="J2203" s="40" t="n">
        <x:f>H2203^2</x:f>
        <x:v>0.5577766809239973</x:v>
      </x:c>
      <x:c r="K2203" s="40" t="n">
        <x:f>G2203-E2203</x:f>
        <x:v>0.1999999999999993</x:v>
      </x:c>
      <x:c r="L2203" s="40" t="n">
        <x:f>ABS(K2203)</x:f>
        <x:v>0.1999999999999993</x:v>
      </x:c>
      <x:c r="M2203" s="41" t="str">
        <x:v>lstm-soil-v1</x:v>
      </x:c>
    </x:row>
    <x:row r="2204">
      <x:c r="A2204" s="38" t="str">
        <x:v>7月30日现场数据</x:v>
      </x:c>
      <x:c r="B2204" s="39" t="str">
        <x:v>2026-08-02T11:25:00</x:v>
      </x:c>
      <x:c r="C2204" s="39" t="str">
        <x:v>2026-08-02T11:30:00</x:v>
      </x:c>
      <x:c r="D2204" s="47" t="n">
        <x:v>5</x:v>
      </x:c>
      <x:c r="E2204" s="40" t="n">
        <x:v>15.5</x:v>
      </x:c>
      <x:c r="F2204" s="40" t="n">
        <x:v>13.841320037841797</x:v>
      </x:c>
      <x:c r="G2204" s="40" t="n">
        <x:v>15.5</x:v>
      </x:c>
      <x:c r="H2204" s="40" t="n">
        <x:f>F2204-E2204</x:f>
        <x:v>-1.6586799621582031</x:v>
      </x:c>
      <x:c r="I2204" s="40" t="n">
        <x:f>ABS(H2204)</x:f>
        <x:v>1.6586799621582031</x:v>
      </x:c>
      <x:c r="J2204" s="40" t="n">
        <x:f>H2204^2</x:f>
        <x:v>2.751219216865138</x:v>
      </x:c>
      <x:c r="K2204" s="40" t="n">
        <x:f>G2204-E2204</x:f>
        <x:v>0</x:v>
      </x:c>
      <x:c r="L2204" s="40" t="n">
        <x:f>ABS(K2204)</x:f>
        <x:v>0</x:v>
      </x:c>
      <x:c r="M2204" s="41" t="str">
        <x:v>lstm-soil-v1</x:v>
      </x:c>
    </x:row>
    <x:row r="2205">
      <x:c r="A2205" s="38" t="str">
        <x:v>7月30日现场数据</x:v>
      </x:c>
      <x:c r="B2205" s="39" t="str">
        <x:v>2026-08-02T11:25:00</x:v>
      </x:c>
      <x:c r="C2205" s="39" t="str">
        <x:v>2026-08-02T11:40:00</x:v>
      </x:c>
      <x:c r="D2205" s="47" t="n">
        <x:v>15</x:v>
      </x:c>
      <x:c r="E2205" s="40" t="n">
        <x:v>15.5</x:v>
      </x:c>
      <x:c r="F2205" s="40" t="n">
        <x:v>13.919109344482422</x:v>
      </x:c>
      <x:c r="G2205" s="40" t="n">
        <x:v>15.5</x:v>
      </x:c>
      <x:c r="H2205" s="40" t="n">
        <x:f>F2205-E2205</x:f>
        <x:v>-1.5808906555175781</x:v>
      </x:c>
      <x:c r="I2205" s="40" t="n">
        <x:f>ABS(H2205)</x:f>
        <x:v>1.5808906555175781</x:v>
      </x:c>
      <x:c r="J2205" s="40" t="n">
        <x:f>H2205^2</x:f>
        <x:v>2.499215264702798</x:v>
      </x:c>
      <x:c r="K2205" s="40" t="n">
        <x:f>G2205-E2205</x:f>
        <x:v>0</x:v>
      </x:c>
      <x:c r="L2205" s="40" t="n">
        <x:f>ABS(K2205)</x:f>
        <x:v>0</x:v>
      </x:c>
      <x:c r="M2205" s="41" t="str">
        <x:v>lstm-soil-v1</x:v>
      </x:c>
    </x:row>
    <x:row r="2206">
      <x:c r="A2206" s="38" t="str">
        <x:v>7月30日现场数据</x:v>
      </x:c>
      <x:c r="B2206" s="39" t="str">
        <x:v>2026-08-02T11:25:00</x:v>
      </x:c>
      <x:c r="C2206" s="39" t="str">
        <x:v>2026-08-02T11:55:00</x:v>
      </x:c>
      <x:c r="D2206" s="47" t="n">
        <x:v>30</x:v>
      </x:c>
      <x:c r="E2206" s="40" t="n">
        <x:v>15.4</x:v>
      </x:c>
      <x:c r="F2206" s="40" t="n">
        <x:v>14.377727508544922</x:v>
      </x:c>
      <x:c r="G2206" s="40" t="n">
        <x:v>15.5</x:v>
      </x:c>
      <x:c r="H2206" s="40" t="n">
        <x:f>F2206-E2206</x:f>
        <x:v>-1.0222724914550785</x:v>
      </x:c>
      <x:c r="I2206" s="40" t="n">
        <x:f>ABS(H2206)</x:f>
        <x:v>1.0222724914550785</x:v>
      </x:c>
      <x:c r="J2206" s="40" t="n">
        <x:f>H2206^2</x:f>
        <x:v>1.0450410467857736</x:v>
      </x:c>
      <x:c r="K2206" s="40" t="n">
        <x:f>G2206-E2206</x:f>
        <x:v>0.09999999999999964</x:v>
      </x:c>
      <x:c r="L2206" s="40" t="n">
        <x:f>ABS(K2206)</x:f>
        <x:v>0.09999999999999964</x:v>
      </x:c>
      <x:c r="M2206" s="41" t="str">
        <x:v>lstm-soil-v1</x:v>
      </x:c>
    </x:row>
    <x:row r="2207">
      <x:c r="A2207" s="38" t="str">
        <x:v>7月30日现场数据</x:v>
      </x:c>
      <x:c r="B2207" s="39" t="str">
        <x:v>2026-08-02T11:25:00</x:v>
      </x:c>
      <x:c r="C2207" s="39" t="str">
        <x:v>2026-08-02T12:25:00</x:v>
      </x:c>
      <x:c r="D2207" s="47" t="n">
        <x:v>60</x:v>
      </x:c>
      <x:c r="E2207" s="40" t="n">
        <x:v>15.3</x:v>
      </x:c>
      <x:c r="F2207" s="40" t="n">
        <x:v>16.046653747558594</x:v>
      </x:c>
      <x:c r="G2207" s="40" t="n">
        <x:v>15.5</x:v>
      </x:c>
      <x:c r="H2207" s="40" t="n">
        <x:f>F2207-E2207</x:f>
        <x:v>0.746653747558593</x:v>
      </x:c>
      <x:c r="I2207" s="40" t="n">
        <x:f>ABS(H2207)</x:f>
        <x:v>0.746653747558593</x:v>
      </x:c>
      <x:c r="J2207" s="40" t="n">
        <x:f>H2207^2</x:f>
        <x:v>0.5574918187432912</x:v>
      </x:c>
      <x:c r="K2207" s="40" t="n">
        <x:f>G2207-E2207</x:f>
        <x:v>0.1999999999999993</x:v>
      </x:c>
      <x:c r="L2207" s="40" t="n">
        <x:f>ABS(K2207)</x:f>
        <x:v>0.1999999999999993</x:v>
      </x:c>
      <x:c r="M2207" s="41" t="str">
        <x:v>lstm-soil-v1</x:v>
      </x:c>
    </x:row>
    <x:row r="2208">
      <x:c r="A2208" s="38" t="str">
        <x:v>7月30日现场数据</x:v>
      </x:c>
      <x:c r="B2208" s="39" t="str">
        <x:v>2026-08-02T11:30:00</x:v>
      </x:c>
      <x:c r="C2208" s="39" t="str">
        <x:v>2026-08-02T11:35:00</x:v>
      </x:c>
      <x:c r="D2208" s="47" t="n">
        <x:v>5</x:v>
      </x:c>
      <x:c r="E2208" s="40" t="n">
        <x:v>15.5</x:v>
      </x:c>
      <x:c r="F2208" s="40" t="n">
        <x:v>13.84085464477539</x:v>
      </x:c>
      <x:c r="G2208" s="40" t="n">
        <x:v>15.5</x:v>
      </x:c>
      <x:c r="H2208" s="40" t="n">
        <x:f>F2208-E2208</x:f>
        <x:v>-1.6591453552246094</x:v>
      </x:c>
      <x:c r="I2208" s="40" t="n">
        <x:f>ABS(H2208)</x:f>
        <x:v>1.6591453552246094</x:v>
      </x:c>
      <x:c r="J2208" s="40" t="n">
        <x:f>H2208^2</x:f>
        <x:v>2.7527633097633952</x:v>
      </x:c>
      <x:c r="K2208" s="40" t="n">
        <x:f>G2208-E2208</x:f>
        <x:v>0</x:v>
      </x:c>
      <x:c r="L2208" s="40" t="n">
        <x:f>ABS(K2208)</x:f>
        <x:v>0</x:v>
      </x:c>
      <x:c r="M2208" s="41" t="str">
        <x:v>lstm-soil-v1</x:v>
      </x:c>
    </x:row>
    <x:row r="2209">
      <x:c r="A2209" s="38" t="str">
        <x:v>7月30日现场数据</x:v>
      </x:c>
      <x:c r="B2209" s="39" t="str">
        <x:v>2026-08-02T11:30:00</x:v>
      </x:c>
      <x:c r="C2209" s="39" t="str">
        <x:v>2026-08-02T11:45:00</x:v>
      </x:c>
      <x:c r="D2209" s="47" t="n">
        <x:v>15</x:v>
      </x:c>
      <x:c r="E2209" s="40" t="n">
        <x:v>15.4</x:v>
      </x:c>
      <x:c r="F2209" s="40" t="n">
        <x:v>13.920047760009766</x:v>
      </x:c>
      <x:c r="G2209" s="40" t="n">
        <x:v>15.5</x:v>
      </x:c>
      <x:c r="H2209" s="40" t="n">
        <x:f>F2209-E2209</x:f>
        <x:v>-1.4799522399902347</x:v>
      </x:c>
      <x:c r="I2209" s="40" t="n">
        <x:f>ABS(H2209)</x:f>
        <x:v>1.4799522399902347</x:v>
      </x:c>
      <x:c r="J2209" s="40" t="n">
        <x:f>H2209^2</x:f>
        <x:v>2.1902586326521134</x:v>
      </x:c>
      <x:c r="K2209" s="40" t="n">
        <x:f>G2209-E2209</x:f>
        <x:v>0.09999999999999964</x:v>
      </x:c>
      <x:c r="L2209" s="40" t="n">
        <x:f>ABS(K2209)</x:f>
        <x:v>0.09999999999999964</x:v>
      </x:c>
      <x:c r="M2209" s="41" t="str">
        <x:v>lstm-soil-v1</x:v>
      </x:c>
    </x:row>
    <x:row r="2210">
      <x:c r="A2210" s="38" t="str">
        <x:v>7月30日现场数据</x:v>
      </x:c>
      <x:c r="B2210" s="39" t="str">
        <x:v>2026-08-02T11:30:00</x:v>
      </x:c>
      <x:c r="C2210" s="39" t="str">
        <x:v>2026-08-02T12:00:00</x:v>
      </x:c>
      <x:c r="D2210" s="47" t="n">
        <x:v>30</x:v>
      </x:c>
      <x:c r="E2210" s="40" t="n">
        <x:v>15.4</x:v>
      </x:c>
      <x:c r="F2210" s="40" t="n">
        <x:v>14.374740600585938</x:v>
      </x:c>
      <x:c r="G2210" s="40" t="n">
        <x:v>15.5</x:v>
      </x:c>
      <x:c r="H2210" s="40" t="n">
        <x:f>F2210-E2210</x:f>
        <x:v>-1.0252593994140629</x:v>
      </x:c>
      <x:c r="I2210" s="40" t="n">
        <x:f>ABS(H2210)</x:f>
        <x:v>1.0252593994140629</x:v>
      </x:c>
      <x:c r="J2210" s="40" t="n">
        <x:f>H2210^2</x:f>
        <x:v>1.0511568360868848</x:v>
      </x:c>
      <x:c r="K2210" s="40" t="n">
        <x:f>G2210-E2210</x:f>
        <x:v>0.09999999999999964</x:v>
      </x:c>
      <x:c r="L2210" s="40" t="n">
        <x:f>ABS(K2210)</x:f>
        <x:v>0.09999999999999964</x:v>
      </x:c>
      <x:c r="M2210" s="41" t="str">
        <x:v>lstm-soil-v1</x:v>
      </x:c>
    </x:row>
    <x:row r="2211">
      <x:c r="A2211" s="38" t="str">
        <x:v>7月30日现场数据</x:v>
      </x:c>
      <x:c r="B2211" s="39" t="str">
        <x:v>2026-08-02T11:30:00</x:v>
      </x:c>
      <x:c r="C2211" s="39" t="str">
        <x:v>2026-08-02T12:30:00</x:v>
      </x:c>
      <x:c r="D2211" s="47" t="n">
        <x:v>60</x:v>
      </x:c>
      <x:c r="E2211" s="40" t="n">
        <x:v>15.3</x:v>
      </x:c>
      <x:c r="F2211" s="40" t="n">
        <x:v>16.038345336914062</x:v>
      </x:c>
      <x:c r="G2211" s="40" t="n">
        <x:v>15.5</x:v>
      </x:c>
      <x:c r="H2211" s="40" t="n">
        <x:f>F2211-E2211</x:f>
        <x:v>0.7383453369140618</x:v>
      </x:c>
      <x:c r="I2211" s="40" t="n">
        <x:f>ABS(H2211)</x:f>
        <x:v>0.7383453369140618</x:v>
      </x:c>
      <x:c r="J2211" s="40" t="n">
        <x:f>H2211^2</x:f>
        <x:v>0.5451538365427394</x:v>
      </x:c>
      <x:c r="K2211" s="40" t="n">
        <x:f>G2211-E2211</x:f>
        <x:v>0.1999999999999993</x:v>
      </x:c>
      <x:c r="L2211" s="40" t="n">
        <x:f>ABS(K2211)</x:f>
        <x:v>0.1999999999999993</x:v>
      </x:c>
      <x:c r="M2211" s="41" t="str">
        <x:v>lstm-soil-v1</x:v>
      </x:c>
    </x:row>
    <x:row r="2212">
      <x:c r="A2212" s="38" t="str">
        <x:v>7月30日现场数据</x:v>
      </x:c>
      <x:c r="B2212" s="39" t="str">
        <x:v>2026-08-02T11:35:00</x:v>
      </x:c>
      <x:c r="C2212" s="39" t="str">
        <x:v>2026-08-02T11:40:00</x:v>
      </x:c>
      <x:c r="D2212" s="47" t="n">
        <x:v>5</x:v>
      </x:c>
      <x:c r="E2212" s="40" t="n">
        <x:v>15.5</x:v>
      </x:c>
      <x:c r="F2212" s="40" t="n">
        <x:v>13.84024429321289</x:v>
      </x:c>
      <x:c r="G2212" s="40" t="n">
        <x:v>15.5</x:v>
      </x:c>
      <x:c r="H2212" s="40" t="n">
        <x:f>F2212-E2212</x:f>
        <x:v>-1.6597557067871094</x:v>
      </x:c>
      <x:c r="I2212" s="40" t="n">
        <x:f>ABS(H2212)</x:f>
        <x:v>1.6597557067871094</x:v>
      </x:c>
      <x:c r="J2212" s="40" t="n">
        <x:f>H2212^2</x:f>
        <x:v>2.754789006212377</x:v>
      </x:c>
      <x:c r="K2212" s="40" t="n">
        <x:f>G2212-E2212</x:f>
        <x:v>0</x:v>
      </x:c>
      <x:c r="L2212" s="40" t="n">
        <x:f>ABS(K2212)</x:f>
        <x:v>0</x:v>
      </x:c>
      <x:c r="M2212" s="41" t="str">
        <x:v>lstm-soil-v1</x:v>
      </x:c>
    </x:row>
    <x:row r="2213">
      <x:c r="A2213" s="38" t="str">
        <x:v>7月30日现场数据</x:v>
      </x:c>
      <x:c r="B2213" s="39" t="str">
        <x:v>2026-08-02T11:35:00</x:v>
      </x:c>
      <x:c r="C2213" s="39" t="str">
        <x:v>2026-08-02T11:50:00</x:v>
      </x:c>
      <x:c r="D2213" s="47" t="n">
        <x:v>15</x:v>
      </x:c>
      <x:c r="E2213" s="40" t="n">
        <x:v>15.4</x:v>
      </x:c>
      <x:c r="F2213" s="40" t="n">
        <x:v>13.919902801513672</x:v>
      </x:c>
      <x:c r="G2213" s="40" t="n">
        <x:v>15.5</x:v>
      </x:c>
      <x:c r="H2213" s="40" t="n">
        <x:f>F2213-E2213</x:f>
        <x:v>-1.4800971984863285</x:v>
      </x:c>
      <x:c r="I2213" s="40" t="n">
        <x:f>ABS(H2213)</x:f>
        <x:v>1.4800971984863285</x:v>
      </x:c>
      <x:c r="J2213" s="40" t="n">
        <x:f>H2213^2</x:f>
        <x:v>2.190687716967078</x:v>
      </x:c>
      <x:c r="K2213" s="40" t="n">
        <x:f>G2213-E2213</x:f>
        <x:v>0.09999999999999964</x:v>
      </x:c>
      <x:c r="L2213" s="40" t="n">
        <x:f>ABS(K2213)</x:f>
        <x:v>0.09999999999999964</x:v>
      </x:c>
      <x:c r="M2213" s="41" t="str">
        <x:v>lstm-soil-v1</x:v>
      </x:c>
    </x:row>
    <x:row r="2214">
      <x:c r="A2214" s="38" t="str">
        <x:v>7月30日现场数据</x:v>
      </x:c>
      <x:c r="B2214" s="39" t="str">
        <x:v>2026-08-02T11:35:00</x:v>
      </x:c>
      <x:c r="C2214" s="39" t="str">
        <x:v>2026-08-02T12:05:00</x:v>
      </x:c>
      <x:c r="D2214" s="47" t="n">
        <x:v>30</x:v>
      </x:c>
      <x:c r="E2214" s="40" t="n">
        <x:v>15.4</x:v>
      </x:c>
      <x:c r="F2214" s="40" t="n">
        <x:v>14.370094299316406</x:v>
      </x:c>
      <x:c r="G2214" s="40" t="n">
        <x:v>15.5</x:v>
      </x:c>
      <x:c r="H2214" s="40" t="n">
        <x:f>F2214-E2214</x:f>
        <x:v>-1.029905700683594</x:v>
      </x:c>
      <x:c r="I2214" s="40" t="n">
        <x:f>ABS(H2214)</x:f>
        <x:v>1.029905700683594</x:v>
      </x:c>
      <x:c r="J2214" s="40" t="n">
        <x:f>H2214^2</x:f>
        <x:v>1.060705752300565</x:v>
      </x:c>
      <x:c r="K2214" s="40" t="n">
        <x:f>G2214-E2214</x:f>
        <x:v>0.09999999999999964</x:v>
      </x:c>
      <x:c r="L2214" s="40" t="n">
        <x:f>ABS(K2214)</x:f>
        <x:v>0.09999999999999964</x:v>
      </x:c>
      <x:c r="M2214" s="41" t="str">
        <x:v>lstm-soil-v1</x:v>
      </x:c>
    </x:row>
    <x:row r="2215">
      <x:c r="A2215" s="38" t="str">
        <x:v>7月30日现场数据</x:v>
      </x:c>
      <x:c r="B2215" s="39" t="str">
        <x:v>2026-08-02T11:35:00</x:v>
      </x:c>
      <x:c r="C2215" s="39" t="str">
        <x:v>2026-08-02T12:35:00</x:v>
      </x:c>
      <x:c r="D2215" s="47" t="n">
        <x:v>60</x:v>
      </x:c>
      <x:c r="E2215" s="40" t="n">
        <x:v>15.3</x:v>
      </x:c>
      <x:c r="F2215" s="40" t="n">
        <x:v>16.029876708984375</x:v>
      </x:c>
      <x:c r="G2215" s="40" t="n">
        <x:v>15.5</x:v>
      </x:c>
      <x:c r="H2215" s="40" t="n">
        <x:f>F2215-E2215</x:f>
        <x:v>0.7298767089843743</x:v>
      </x:c>
      <x:c r="I2215" s="40" t="n">
        <x:f>ABS(H2215)</x:f>
        <x:v>0.7298767089843743</x:v>
      </x:c>
      <x:c r="J2215" s="40" t="n">
        <x:f>H2215^2</x:f>
        <x:v>0.532720010317861</x:v>
      </x:c>
      <x:c r="K2215" s="40" t="n">
        <x:f>G2215-E2215</x:f>
        <x:v>0.1999999999999993</x:v>
      </x:c>
      <x:c r="L2215" s="40" t="n">
        <x:f>ABS(K2215)</x:f>
        <x:v>0.1999999999999993</x:v>
      </x:c>
      <x:c r="M2215" s="41" t="str">
        <x:v>lstm-soil-v1</x:v>
      </x:c>
    </x:row>
    <x:row r="2216">
      <x:c r="A2216" s="38" t="str">
        <x:v>7月30日现场数据</x:v>
      </x:c>
      <x:c r="B2216" s="39" t="str">
        <x:v>2026-08-02T11:40:00</x:v>
      </x:c>
      <x:c r="C2216" s="39" t="str">
        <x:v>2026-08-02T11:45:00</x:v>
      </x:c>
      <x:c r="D2216" s="47" t="n">
        <x:v>5</x:v>
      </x:c>
      <x:c r="E2216" s="40" t="n">
        <x:v>15.4</x:v>
      </x:c>
      <x:c r="F2216" s="40" t="n">
        <x:v>13.839786529541016</x:v>
      </x:c>
      <x:c r="G2216" s="40" t="n">
        <x:v>15.5</x:v>
      </x:c>
      <x:c r="H2216" s="40" t="n">
        <x:f>F2216-E2216</x:f>
        <x:v>-1.5602134704589847</x:v>
      </x:c>
      <x:c r="I2216" s="40" t="n">
        <x:f>ABS(H2216)</x:f>
        <x:v>1.5602134704589847</x:v>
      </x:c>
      <x:c r="J2216" s="40" t="n">
        <x:f>H2216^2</x:f>
        <x:v>2.4342660734016692</x:v>
      </x:c>
      <x:c r="K2216" s="40" t="n">
        <x:f>G2216-E2216</x:f>
        <x:v>0.09999999999999964</x:v>
      </x:c>
      <x:c r="L2216" s="40" t="n">
        <x:f>ABS(K2216)</x:f>
        <x:v>0.09999999999999964</x:v>
      </x:c>
      <x:c r="M2216" s="41" t="str">
        <x:v>lstm-soil-v1</x:v>
      </x:c>
    </x:row>
    <x:row r="2217">
      <x:c r="A2217" s="38" t="str">
        <x:v>7月30日现场数据</x:v>
      </x:c>
      <x:c r="B2217" s="39" t="str">
        <x:v>2026-08-02T11:40:00</x:v>
      </x:c>
      <x:c r="C2217" s="39" t="str">
        <x:v>2026-08-02T11:55:00</x:v>
      </x:c>
      <x:c r="D2217" s="47" t="n">
        <x:v>15</x:v>
      </x:c>
      <x:c r="E2217" s="40" t="n">
        <x:v>15.4</x:v>
      </x:c>
      <x:c r="F2217" s="40" t="n">
        <x:v>13.920177459716797</x:v>
      </x:c>
      <x:c r="G2217" s="40" t="n">
        <x:v>15.5</x:v>
      </x:c>
      <x:c r="H2217" s="40" t="n">
        <x:f>F2217-E2217</x:f>
        <x:v>-1.4798225402832035</x:v>
      </x:c>
      <x:c r="I2217" s="40" t="n">
        <x:f>ABS(H2217)</x:f>
        <x:v>1.4798225402832035</x:v>
      </x:c>
      <x:c r="J2217" s="40" t="n">
        <x:f>H2217^2</x:f>
        <x:v>2.189874750730233</x:v>
      </x:c>
      <x:c r="K2217" s="40" t="n">
        <x:f>G2217-E2217</x:f>
        <x:v>0.09999999999999964</x:v>
      </x:c>
      <x:c r="L2217" s="40" t="n">
        <x:f>ABS(K2217)</x:f>
        <x:v>0.09999999999999964</x:v>
      </x:c>
      <x:c r="M2217" s="41" t="str">
        <x:v>lstm-soil-v1</x:v>
      </x:c>
    </x:row>
    <x:row r="2218">
      <x:c r="A2218" s="38" t="str">
        <x:v>7月30日现场数据</x:v>
      </x:c>
      <x:c r="B2218" s="39" t="str">
        <x:v>2026-08-02T11:40:00</x:v>
      </x:c>
      <x:c r="C2218" s="39" t="str">
        <x:v>2026-08-02T12:10:00</x:v>
      </x:c>
      <x:c r="D2218" s="47" t="n">
        <x:v>30</x:v>
      </x:c>
      <x:c r="E2218" s="40" t="n">
        <x:v>15.4</x:v>
      </x:c>
      <x:c r="F2218" s="40" t="n">
        <x:v>14.365669250488281</x:v>
      </x:c>
      <x:c r="G2218" s="40" t="n">
        <x:v>15.5</x:v>
      </x:c>
      <x:c r="H2218" s="40" t="n">
        <x:f>F2218-E2218</x:f>
        <x:v>-1.034330749511719</x:v>
      </x:c>
      <x:c r="I2218" s="40" t="n">
        <x:f>ABS(H2218)</x:f>
        <x:v>1.034330749511719</x:v>
      </x:c>
      <x:c r="J2218" s="40" t="n">
        <x:f>H2218^2</x:f>
        <x:v>1.0698400993854746</x:v>
      </x:c>
      <x:c r="K2218" s="40" t="n">
        <x:f>G2218-E2218</x:f>
        <x:v>0.09999999999999964</x:v>
      </x:c>
      <x:c r="L2218" s="40" t="n">
        <x:f>ABS(K2218)</x:f>
        <x:v>0.09999999999999964</x:v>
      </x:c>
      <x:c r="M2218" s="41" t="str">
        <x:v>lstm-soil-v1</x:v>
      </x:c>
    </x:row>
    <x:row r="2219">
      <x:c r="A2219" s="38" t="str">
        <x:v>7月30日现场数据</x:v>
      </x:c>
      <x:c r="B2219" s="39" t="str">
        <x:v>2026-08-02T11:40:00</x:v>
      </x:c>
      <x:c r="C2219" s="39" t="str">
        <x:v>2026-08-02T12:40:00</x:v>
      </x:c>
      <x:c r="D2219" s="47" t="n">
        <x:v>60</x:v>
      </x:c>
      <x:c r="E2219" s="40" t="n">
        <x:v>15.3</x:v>
      </x:c>
      <x:c r="F2219" s="40" t="n">
        <x:v>16.019515991210938</x:v>
      </x:c>
      <x:c r="G2219" s="40" t="n">
        <x:v>15.5</x:v>
      </x:c>
      <x:c r="H2219" s="40" t="n">
        <x:f>F2219-E2219</x:f>
        <x:v>0.7195159912109368</x:v>
      </x:c>
      <x:c r="I2219" s="40" t="n">
        <x:f>ABS(H2219)</x:f>
        <x:v>0.7195159912109368</x:v>
      </x:c>
      <x:c r="J2219" s="40" t="n">
        <x:f>H2219^2</x:f>
        <x:v>0.5177032616082569</x:v>
      </x:c>
      <x:c r="K2219" s="40" t="n">
        <x:f>G2219-E2219</x:f>
        <x:v>0.1999999999999993</x:v>
      </x:c>
      <x:c r="L2219" s="40" t="n">
        <x:f>ABS(K2219)</x:f>
        <x:v>0.1999999999999993</x:v>
      </x:c>
      <x:c r="M2219" s="41" t="str">
        <x:v>lstm-soil-v1</x:v>
      </x:c>
    </x:row>
    <x:row r="2220">
      <x:c r="A2220" s="38" t="str">
        <x:v>7月30日现场数据</x:v>
      </x:c>
      <x:c r="B2220" s="39" t="str">
        <x:v>2026-08-02T11:45:00</x:v>
      </x:c>
      <x:c r="C2220" s="39" t="str">
        <x:v>2026-08-02T11:50:00</x:v>
      </x:c>
      <x:c r="D2220" s="47" t="n">
        <x:v>5</x:v>
      </x:c>
      <x:c r="E2220" s="40" t="n">
        <x:v>15.4</x:v>
      </x:c>
      <x:c r="F2220" s="40" t="n">
        <x:v>13.729259490966797</x:v>
      </x:c>
      <x:c r="G2220" s="40" t="n">
        <x:v>15.4</x:v>
      </x:c>
      <x:c r="H2220" s="40" t="n">
        <x:f>F2220-E2220</x:f>
        <x:v>-1.6707405090332035</x:v>
      </x:c>
      <x:c r="I2220" s="40" t="n">
        <x:f>ABS(H2220)</x:f>
        <x:v>1.6707405090332035</x:v>
      </x:c>
      <x:c r="J2220" s="40" t="n">
        <x:f>H2220^2</x:f>
        <x:v>2.791373848524528</x:v>
      </x:c>
      <x:c r="K2220" s="40" t="n">
        <x:f>G2220-E2220</x:f>
        <x:v>0</x:v>
      </x:c>
      <x:c r="L2220" s="40" t="n">
        <x:f>ABS(K2220)</x:f>
        <x:v>0</x:v>
      </x:c>
      <x:c r="M2220" s="41" t="str">
        <x:v>lstm-soil-v1</x:v>
      </x:c>
    </x:row>
    <x:row r="2221">
      <x:c r="A2221" s="38" t="str">
        <x:v>7月30日现场数据</x:v>
      </x:c>
      <x:c r="B2221" s="39" t="str">
        <x:v>2026-08-02T11:45:00</x:v>
      </x:c>
      <x:c r="C2221" s="39" t="str">
        <x:v>2026-08-02T12:00:00</x:v>
      </x:c>
      <x:c r="D2221" s="47" t="n">
        <x:v>15</x:v>
      </x:c>
      <x:c r="E2221" s="40" t="n">
        <x:v>15.4</x:v>
      </x:c>
      <x:c r="F2221" s="40" t="n">
        <x:v>13.809513092041016</x:v>
      </x:c>
      <x:c r="G2221" s="40" t="n">
        <x:v>15.4</x:v>
      </x:c>
      <x:c r="H2221" s="40" t="n">
        <x:f>F2221-E2221</x:f>
        <x:v>-1.5904869079589847</x:v>
      </x:c>
      <x:c r="I2221" s="40" t="n">
        <x:f>ABS(H2221)</x:f>
        <x:v>1.5904869079589847</x:v>
      </x:c>
      <x:c r="J2221" s="40" t="n">
        <x:f>H2221^2</x:f>
        <x:v>2.529648604388932</x:v>
      </x:c>
      <x:c r="K2221" s="40" t="n">
        <x:f>G2221-E2221</x:f>
        <x:v>0</x:v>
      </x:c>
      <x:c r="L2221" s="40" t="n">
        <x:f>ABS(K2221)</x:f>
        <x:v>0</x:v>
      </x:c>
      <x:c r="M2221" s="41" t="str">
        <x:v>lstm-soil-v1</x:v>
      </x:c>
    </x:row>
    <x:row r="2222">
      <x:c r="A2222" s="38" t="str">
        <x:v>7月30日现场数据</x:v>
      </x:c>
      <x:c r="B2222" s="39" t="str">
        <x:v>2026-08-02T11:45:00</x:v>
      </x:c>
      <x:c r="C2222" s="39" t="str">
        <x:v>2026-08-02T12:15:00</x:v>
      </x:c>
      <x:c r="D2222" s="47" t="n">
        <x:v>30</x:v>
      </x:c>
      <x:c r="E2222" s="40" t="n">
        <x:v>15.3</x:v>
      </x:c>
      <x:c r="F2222" s="40" t="n">
        <x:v>14.250965118408203</x:v>
      </x:c>
      <x:c r="G2222" s="40" t="n">
        <x:v>15.4</x:v>
      </x:c>
      <x:c r="H2222" s="40" t="n">
        <x:f>F2222-E2222</x:f>
        <x:v>-1.0490348815917976</x:v>
      </x:c>
      <x:c r="I2222" s="40" t="n">
        <x:f>ABS(H2222)</x:f>
        <x:v>1.0490348815917976</x:v>
      </x:c>
      <x:c r="J2222" s="40" t="n">
        <x:f>H2222^2</x:f>
        <x:v>1.1004741827963167</x:v>
      </x:c>
      <x:c r="K2222" s="40" t="n">
        <x:f>G2222-E2222</x:f>
        <x:v>0.09999999999999964</x:v>
      </x:c>
      <x:c r="L2222" s="40" t="n">
        <x:f>ABS(K2222)</x:f>
        <x:v>0.09999999999999964</x:v>
      </x:c>
      <x:c r="M2222" s="41" t="str">
        <x:v>lstm-soil-v1</x:v>
      </x:c>
    </x:row>
    <x:row r="2223">
      <x:c r="A2223" s="38" t="str">
        <x:v>7月30日现场数据</x:v>
      </x:c>
      <x:c r="B2223" s="39" t="str">
        <x:v>2026-08-02T11:45:00</x:v>
      </x:c>
      <x:c r="C2223" s="39" t="str">
        <x:v>2026-08-02T12:45:00</x:v>
      </x:c>
      <x:c r="D2223" s="47" t="n">
        <x:v>60</x:v>
      </x:c>
      <x:c r="E2223" s="40" t="n">
        <x:v>15.3</x:v>
      </x:c>
      <x:c r="F2223" s="40" t="n">
        <x:v>15.900154113769531</x:v>
      </x:c>
      <x:c r="G2223" s="40" t="n">
        <x:v>15.4</x:v>
      </x:c>
      <x:c r="H2223" s="40" t="n">
        <x:f>F2223-E2223</x:f>
        <x:v>0.6001541137695305</x:v>
      </x:c>
      <x:c r="I2223" s="40" t="n">
        <x:f>ABS(H2223)</x:f>
        <x:v>0.6001541137695305</x:v>
      </x:c>
      <x:c r="J2223" s="40" t="n">
        <x:f>H2223^2</x:f>
        <x:v>0.3601849602744906</x:v>
      </x:c>
      <x:c r="K2223" s="40" t="n">
        <x:f>G2223-E2223</x:f>
        <x:v>0.09999999999999964</x:v>
      </x:c>
      <x:c r="L2223" s="40" t="n">
        <x:f>ABS(K2223)</x:f>
        <x:v>0.09999999999999964</x:v>
      </x:c>
      <x:c r="M2223" s="41" t="str">
        <x:v>lstm-soil-v1</x:v>
      </x:c>
    </x:row>
    <x:row r="2224">
      <x:c r="A2224" s="38" t="str">
        <x:v>7月30日现场数据</x:v>
      </x:c>
      <x:c r="B2224" s="39" t="str">
        <x:v>2026-08-02T11:50:00</x:v>
      </x:c>
      <x:c r="C2224" s="39" t="str">
        <x:v>2026-08-02T11:55:00</x:v>
      </x:c>
      <x:c r="D2224" s="47" t="n">
        <x:v>5</x:v>
      </x:c>
      <x:c r="E2224" s="40" t="n">
        <x:v>15.4</x:v>
      </x:c>
      <x:c r="F2224" s="40" t="n">
        <x:v>13.729106903076172</x:v>
      </x:c>
      <x:c r="G2224" s="40" t="n">
        <x:v>15.4</x:v>
      </x:c>
      <x:c r="H2224" s="40" t="n">
        <x:f>F2224-E2224</x:f>
        <x:v>-1.6708930969238285</x:v>
      </x:c>
      <x:c r="I2224" s="40" t="n">
        <x:f>ABS(H2224)</x:f>
        <x:v>1.6708930969238285</x:v>
      </x:c>
      <x:c r="J2224" s="40" t="n">
        <x:f>H2224^2</x:f>
        <x:v>2.7918837413477027</x:v>
      </x:c>
      <x:c r="K2224" s="40" t="n">
        <x:f>G2224-E2224</x:f>
        <x:v>0</x:v>
      </x:c>
      <x:c r="L2224" s="40" t="n">
        <x:f>ABS(K2224)</x:f>
        <x:v>0</x:v>
      </x:c>
      <x:c r="M2224" s="41" t="str">
        <x:v>lstm-soil-v1</x:v>
      </x:c>
    </x:row>
    <x:row r="2225">
      <x:c r="A2225" s="38" t="str">
        <x:v>7月30日现场数据</x:v>
      </x:c>
      <x:c r="B2225" s="39" t="str">
        <x:v>2026-08-02T11:50:00</x:v>
      </x:c>
      <x:c r="C2225" s="39" t="str">
        <x:v>2026-08-02T12:05:00</x:v>
      </x:c>
      <x:c r="D2225" s="47" t="n">
        <x:v>15</x:v>
      </x:c>
      <x:c r="E2225" s="40" t="n">
        <x:v>15.4</x:v>
      </x:c>
      <x:c r="F2225" s="40" t="n">
        <x:v>13.808841705322266</x:v>
      </x:c>
      <x:c r="G2225" s="40" t="n">
        <x:v>15.4</x:v>
      </x:c>
      <x:c r="H2225" s="40" t="n">
        <x:f>F2225-E2225</x:f>
        <x:v>-1.5911582946777347</x:v>
      </x:c>
      <x:c r="I2225" s="40" t="n">
        <x:f>ABS(H2225)</x:f>
        <x:v>1.5911582946777347</x:v>
      </x:c>
      <x:c r="J2225" s="40" t="n">
        <x:f>H2225^2</x:f>
        <x:v>2.531784718721757</x:v>
      </x:c>
      <x:c r="K2225" s="40" t="n">
        <x:f>G2225-E2225</x:f>
        <x:v>0</x:v>
      </x:c>
      <x:c r="L2225" s="40" t="n">
        <x:f>ABS(K2225)</x:f>
        <x:v>0</x:v>
      </x:c>
      <x:c r="M2225" s="41" t="str">
        <x:v>lstm-soil-v1</x:v>
      </x:c>
    </x:row>
    <x:row r="2226">
      <x:c r="A2226" s="38" t="str">
        <x:v>7月30日现场数据</x:v>
      </x:c>
      <x:c r="B2226" s="39" t="str">
        <x:v>2026-08-02T11:50:00</x:v>
      </x:c>
      <x:c r="C2226" s="39" t="str">
        <x:v>2026-08-02T12:20:00</x:v>
      </x:c>
      <x:c r="D2226" s="47" t="n">
        <x:v>30</x:v>
      </x:c>
      <x:c r="E2226" s="40" t="n">
        <x:v>15.3</x:v>
      </x:c>
      <x:c r="F2226" s="40" t="n">
        <x:v>14.246986389160156</x:v>
      </x:c>
      <x:c r="G2226" s="40" t="n">
        <x:v>15.4</x:v>
      </x:c>
      <x:c r="H2226" s="40" t="n">
        <x:f>F2226-E2226</x:f>
        <x:v>-1.0530136108398445</x:v>
      </x:c>
      <x:c r="I2226" s="40" t="n">
        <x:f>ABS(H2226)</x:f>
        <x:v>1.0530136108398445</x:v>
      </x:c>
      <x:c r="J2226" s="40" t="n">
        <x:f>H2226^2</x:f>
        <x:v>1.1088376646139675</x:v>
      </x:c>
      <x:c r="K2226" s="40" t="n">
        <x:f>G2226-E2226</x:f>
        <x:v>0.09999999999999964</x:v>
      </x:c>
      <x:c r="L2226" s="40" t="n">
        <x:f>ABS(K2226)</x:f>
        <x:v>0.09999999999999964</x:v>
      </x:c>
      <x:c r="M2226" s="41" t="str">
        <x:v>lstm-soil-v1</x:v>
      </x:c>
    </x:row>
    <x:row r="2227">
      <x:c r="A2227" s="38" t="str">
        <x:v>7月30日现场数据</x:v>
      </x:c>
      <x:c r="B2227" s="39" t="str">
        <x:v>2026-08-02T11:50:00</x:v>
      </x:c>
      <x:c r="C2227" s="39" t="str">
        <x:v>2026-08-02T12:50:00</x:v>
      </x:c>
      <x:c r="D2227" s="47" t="n">
        <x:v>60</x:v>
      </x:c>
      <x:c r="E2227" s="40" t="n">
        <x:v>15.3</x:v>
      </x:c>
      <x:c r="F2227" s="40" t="n">
        <x:v>15.891902923583984</x:v>
      </x:c>
      <x:c r="G2227" s="40" t="n">
        <x:v>15.4</x:v>
      </x:c>
      <x:c r="H2227" s="40" t="n">
        <x:f>F2227-E2227</x:f>
        <x:v>0.5919029235839837</x:v>
      </x:c>
      <x:c r="I2227" s="40" t="n">
        <x:f>ABS(H2227)</x:f>
        <x:v>0.5919029235839837</x:v>
      </x:c>
      <x:c r="J2227" s="40" t="n">
        <x:f>H2227^2</x:f>
        <x:v>0.3503490709472672</x:v>
      </x:c>
      <x:c r="K2227" s="40" t="n">
        <x:f>G2227-E2227</x:f>
        <x:v>0.09999999999999964</x:v>
      </x:c>
      <x:c r="L2227" s="40" t="n">
        <x:f>ABS(K2227)</x:f>
        <x:v>0.09999999999999964</x:v>
      </x:c>
      <x:c r="M2227" s="41" t="str">
        <x:v>lstm-soil-v1</x:v>
      </x:c>
    </x:row>
    <x:row r="2228">
      <x:c r="A2228" s="38" t="str">
        <x:v>7月30日现场数据</x:v>
      </x:c>
      <x:c r="B2228" s="39" t="str">
        <x:v>2026-08-02T11:55:00</x:v>
      </x:c>
      <x:c r="C2228" s="39" t="str">
        <x:v>2026-08-02T12:00:00</x:v>
      </x:c>
      <x:c r="D2228" s="47" t="n">
        <x:v>5</x:v>
      </x:c>
      <x:c r="E2228" s="40" t="n">
        <x:v>15.4</x:v>
      </x:c>
      <x:c r="F2228" s="40" t="n">
        <x:v>13.728256225585938</x:v>
      </x:c>
      <x:c r="G2228" s="40" t="n">
        <x:v>15.4</x:v>
      </x:c>
      <x:c r="H2228" s="40" t="n">
        <x:f>F2228-E2228</x:f>
        <x:v>-1.6717437744140629</x:v>
      </x:c>
      <x:c r="I2228" s="40" t="n">
        <x:f>ABS(H2228)</x:f>
        <x:v>1.6717437744140629</x:v>
      </x:c>
      <x:c r="J2228" s="40" t="n">
        <x:f>H2228^2</x:f>
        <x:v>2.794727247292177</x:v>
      </x:c>
      <x:c r="K2228" s="40" t="n">
        <x:f>G2228-E2228</x:f>
        <x:v>0</x:v>
      </x:c>
      <x:c r="L2228" s="40" t="n">
        <x:f>ABS(K2228)</x:f>
        <x:v>0</x:v>
      </x:c>
      <x:c r="M2228" s="41" t="str">
        <x:v>lstm-soil-v1</x:v>
      </x:c>
    </x:row>
    <x:row r="2229">
      <x:c r="A2229" s="38" t="str">
        <x:v>7月30日现场数据</x:v>
      </x:c>
      <x:c r="B2229" s="39" t="str">
        <x:v>2026-08-02T11:55:00</x:v>
      </x:c>
      <x:c r="C2229" s="39" t="str">
        <x:v>2026-08-02T12:10:00</x:v>
      </x:c>
      <x:c r="D2229" s="47" t="n">
        <x:v>15</x:v>
      </x:c>
      <x:c r="E2229" s="40" t="n">
        <x:v>15.4</x:v>
      </x:c>
      <x:c r="F2229" s="40" t="n">
        <x:v>13.808170318603516</x:v>
      </x:c>
      <x:c r="G2229" s="40" t="n">
        <x:v>15.4</x:v>
      </x:c>
      <x:c r="H2229" s="40" t="n">
        <x:f>F2229-E2229</x:f>
        <x:v>-1.5918296813964847</x:v>
      </x:c>
      <x:c r="I2229" s="40" t="n">
        <x:f>ABS(H2229)</x:f>
        <x:v>1.5918296813964847</x:v>
      </x:c>
      <x:c r="J2229" s="40" t="n">
        <x:f>H2229^2</x:f>
        <x:v>2.533921734574834</x:v>
      </x:c>
      <x:c r="K2229" s="40" t="n">
        <x:f>G2229-E2229</x:f>
        <x:v>0</x:v>
      </x:c>
      <x:c r="L2229" s="40" t="n">
        <x:f>ABS(K2229)</x:f>
        <x:v>0</x:v>
      </x:c>
      <x:c r="M2229" s="41" t="str">
        <x:v>lstm-soil-v1</x:v>
      </x:c>
    </x:row>
    <x:row r="2230">
      <x:c r="A2230" s="38" t="str">
        <x:v>7月30日现场数据</x:v>
      </x:c>
      <x:c r="B2230" s="39" t="str">
        <x:v>2026-08-02T11:55:00</x:v>
      </x:c>
      <x:c r="C2230" s="39" t="str">
        <x:v>2026-08-02T12:25:00</x:v>
      </x:c>
      <x:c r="D2230" s="47" t="n">
        <x:v>30</x:v>
      </x:c>
      <x:c r="E2230" s="40" t="n">
        <x:v>15.3</x:v>
      </x:c>
      <x:c r="F2230" s="40" t="n">
        <x:v>14.243293762207031</x:v>
      </x:c>
      <x:c r="G2230" s="40" t="n">
        <x:v>15.4</x:v>
      </x:c>
      <x:c r="H2230" s="40" t="n">
        <x:f>F2230-E2230</x:f>
        <x:v>-1.0567062377929695</x:v>
      </x:c>
      <x:c r="I2230" s="40" t="n">
        <x:f>ABS(H2230)</x:f>
        <x:v>1.0567062377929695</x:v>
      </x:c>
      <x:c r="J2230" s="40" t="n">
        <x:f>H2230^2</x:f>
        <x:v>1.1166280729905718</x:v>
      </x:c>
      <x:c r="K2230" s="40" t="n">
        <x:f>G2230-E2230</x:f>
        <x:v>0.09999999999999964</x:v>
      </x:c>
      <x:c r="L2230" s="40" t="n">
        <x:f>ABS(K2230)</x:f>
        <x:v>0.09999999999999964</x:v>
      </x:c>
      <x:c r="M2230" s="41" t="str">
        <x:v>lstm-soil-v1</x:v>
      </x:c>
    </x:row>
    <x:row r="2231">
      <x:c r="A2231" s="38" t="str">
        <x:v>7月30日现场数据</x:v>
      </x:c>
      <x:c r="B2231" s="39" t="str">
        <x:v>2026-08-02T11:55:00</x:v>
      </x:c>
      <x:c r="C2231" s="39" t="str">
        <x:v>2026-08-02T12:55:00</x:v>
      </x:c>
      <x:c r="D2231" s="47" t="n">
        <x:v>60</x:v>
      </x:c>
      <x:c r="E2231" s="40" t="n">
        <x:v>15.3</x:v>
      </x:c>
      <x:c r="F2231" s="40" t="n">
        <x:v>15.886852264404297</x:v>
      </x:c>
      <x:c r="G2231" s="40" t="n">
        <x:v>15.4</x:v>
      </x:c>
      <x:c r="H2231" s="40" t="n">
        <x:f>F2231-E2231</x:f>
        <x:v>0.5868522644042962</x:v>
      </x:c>
      <x:c r="I2231" s="40" t="n">
        <x:f>ABS(H2231)</x:f>
        <x:v>0.5868522644042962</x:v>
      </x:c>
      <x:c r="J2231" s="40" t="n">
        <x:f>H2231^2</x:f>
        <x:v>0.34439558023644995</x:v>
      </x:c>
      <x:c r="K2231" s="40" t="n">
        <x:f>G2231-E2231</x:f>
        <x:v>0.09999999999999964</x:v>
      </x:c>
      <x:c r="L2231" s="40" t="n">
        <x:f>ABS(K2231)</x:f>
        <x:v>0.09999999999999964</x:v>
      </x:c>
      <x:c r="M2231" s="41" t="str">
        <x:v>lstm-soil-v1</x:v>
      </x:c>
    </x:row>
    <x:row r="2232">
      <x:c r="A2232" s="38" t="str">
        <x:v>7月30日现场数据</x:v>
      </x:c>
      <x:c r="B2232" s="39" t="str">
        <x:v>2026-08-02T12:00:00</x:v>
      </x:c>
      <x:c r="C2232" s="39" t="str">
        <x:v>2026-08-02T12:05:00</x:v>
      </x:c>
      <x:c r="D2232" s="47" t="n">
        <x:v>5</x:v>
      </x:c>
      <x:c r="E2232" s="40" t="n">
        <x:v>15.4</x:v>
      </x:c>
      <x:c r="F2232" s="40" t="n">
        <x:v>13.731616973876953</x:v>
      </x:c>
      <x:c r="G2232" s="40" t="n">
        <x:v>15.4</x:v>
      </x:c>
      <x:c r="H2232" s="40" t="n">
        <x:f>F2232-E2232</x:f>
        <x:v>-1.6683830261230472</x:v>
      </x:c>
      <x:c r="I2232" s="40" t="n">
        <x:f>ABS(H2232)</x:f>
        <x:v>1.6683830261230472</x:v>
      </x:c>
      <x:c r="J2232" s="40" t="n">
        <x:f>H2232^2</x:f>
        <x:v>2.7835019218554966</x:v>
      </x:c>
      <x:c r="K2232" s="40" t="n">
        <x:f>G2232-E2232</x:f>
        <x:v>0</x:v>
      </x:c>
      <x:c r="L2232" s="40" t="n">
        <x:f>ABS(K2232)</x:f>
        <x:v>0</x:v>
      </x:c>
      <x:c r="M2232" s="41" t="str">
        <x:v>lstm-soil-v1</x:v>
      </x:c>
    </x:row>
    <x:row r="2233">
      <x:c r="A2233" s="38" t="str">
        <x:v>7月30日现场数据</x:v>
      </x:c>
      <x:c r="B2233" s="39" t="str">
        <x:v>2026-08-02T12:00:00</x:v>
      </x:c>
      <x:c r="C2233" s="39" t="str">
        <x:v>2026-08-02T12:15:00</x:v>
      </x:c>
      <x:c r="D2233" s="47" t="n">
        <x:v>15</x:v>
      </x:c>
      <x:c r="E2233" s="40" t="n">
        <x:v>15.3</x:v>
      </x:c>
      <x:c r="F2233" s="40" t="n">
        <x:v>13.808971405029297</x:v>
      </x:c>
      <x:c r="G2233" s="40" t="n">
        <x:v>15.4</x:v>
      </x:c>
      <x:c r="H2233" s="40" t="n">
        <x:f>F2233-E2233</x:f>
        <x:v>-1.4910285949707038</x:v>
      </x:c>
      <x:c r="I2233" s="40" t="n">
        <x:f>ABS(H2233)</x:f>
        <x:v>1.4910285949707038</x:v>
      </x:c>
      <x:c r="J2233" s="40" t="n">
        <x:f>H2233^2</x:f>
        <x:v>2.223166271020311</x:v>
      </x:c>
      <x:c r="K2233" s="40" t="n">
        <x:f>G2233-E2233</x:f>
        <x:v>0.09999999999999964</x:v>
      </x:c>
      <x:c r="L2233" s="40" t="n">
        <x:f>ABS(K2233)</x:f>
        <x:v>0.09999999999999964</x:v>
      </x:c>
      <x:c r="M2233" s="41" t="str">
        <x:v>lstm-soil-v1</x:v>
      </x:c>
    </x:row>
    <x:row r="2234">
      <x:c r="A2234" s="38" t="str">
        <x:v>7月30日现场数据</x:v>
      </x:c>
      <x:c r="B2234" s="39" t="str">
        <x:v>2026-08-02T12:00:00</x:v>
      </x:c>
      <x:c r="C2234" s="39" t="str">
        <x:v>2026-08-02T12:30:00</x:v>
      </x:c>
      <x:c r="D2234" s="47" t="n">
        <x:v>30</x:v>
      </x:c>
      <x:c r="E2234" s="40" t="n">
        <x:v>15.3</x:v>
      </x:c>
      <x:c r="F2234" s="40" t="n">
        <x:v>14.244255065917969</x:v>
      </x:c>
      <x:c r="G2234" s="40" t="n">
        <x:v>15.4</x:v>
      </x:c>
      <x:c r="H2234" s="40" t="n">
        <x:f>F2234-E2234</x:f>
        <x:v>-1.055744934082032</x:v>
      </x:c>
      <x:c r="I2234" s="40" t="n">
        <x:f>ABS(H2234)</x:f>
        <x:v>1.055744934082032</x:v>
      </x:c>
      <x:c r="J2234" s="40" t="n">
        <x:f>H2234^2</x:f>
        <x:v>1.114597365839874</x:v>
      </x:c>
      <x:c r="K2234" s="40" t="n">
        <x:f>G2234-E2234</x:f>
        <x:v>0.09999999999999964</x:v>
      </x:c>
      <x:c r="L2234" s="40" t="n">
        <x:f>ABS(K2234)</x:f>
        <x:v>0.09999999999999964</x:v>
      </x:c>
      <x:c r="M2234" s="41" t="str">
        <x:v>lstm-soil-v1</x:v>
      </x:c>
    </x:row>
    <x:row r="2235">
      <x:c r="A2235" s="38" t="str">
        <x:v>7月30日现场数据</x:v>
      </x:c>
      <x:c r="B2235" s="39" t="str">
        <x:v>2026-08-02T12:00:00</x:v>
      </x:c>
      <x:c r="C2235" s="39" t="str">
        <x:v>2026-08-02T13:00:00</x:v>
      </x:c>
      <x:c r="D2235" s="47" t="n">
        <x:v>60</x:v>
      </x:c>
      <x:c r="E2235" s="40" t="n">
        <x:v>15.2</x:v>
      </x:c>
      <x:c r="F2235" s="40" t="n">
        <x:v>15.891056060791016</x:v>
      </x:c>
      <x:c r="G2235" s="40" t="n">
        <x:v>15.4</x:v>
      </x:c>
      <x:c r="H2235" s="40" t="n">
        <x:f>F2235-E2235</x:f>
        <x:v>0.6910560607910163</x:v>
      </x:c>
      <x:c r="I2235" s="40" t="n">
        <x:f>ABS(H2235)</x:f>
        <x:v>0.6910560607910163</x:v>
      </x:c>
      <x:c r="J2235" s="40" t="n">
        <x:f>H2235^2</x:f>
        <x:v>0.47755847915599686</x:v>
      </x:c>
      <x:c r="K2235" s="40" t="n">
        <x:f>G2235-E2235</x:f>
        <x:v>0.20000000000000107</x:v>
      </x:c>
      <x:c r="L2235" s="40" t="n">
        <x:f>ABS(K2235)</x:f>
        <x:v>0.20000000000000107</x:v>
      </x:c>
      <x:c r="M2235" s="41" t="str">
        <x:v>lstm-soil-v1</x:v>
      </x:c>
    </x:row>
    <x:row r="2236">
      <x:c r="A2236" s="38" t="str">
        <x:v>7月30日现场数据</x:v>
      </x:c>
      <x:c r="B2236" s="39" t="str">
        <x:v>2026-08-02T12:05:00</x:v>
      </x:c>
      <x:c r="C2236" s="39" t="str">
        <x:v>2026-08-02T12:10:00</x:v>
      </x:c>
      <x:c r="D2236" s="47" t="n">
        <x:v>5</x:v>
      </x:c>
      <x:c r="E2236" s="40" t="n">
        <x:v>15.4</x:v>
      </x:c>
      <x:c r="F2236" s="40" t="n">
        <x:v>13.73526382446289</x:v>
      </x:c>
      <x:c r="G2236" s="40" t="n">
        <x:v>15.4</x:v>
      </x:c>
      <x:c r="H2236" s="40" t="n">
        <x:f>F2236-E2236</x:f>
        <x:v>-1.6647361755371097</x:v>
      </x:c>
      <x:c r="I2236" s="40" t="n">
        <x:f>ABS(H2236)</x:f>
        <x:v>1.6647361755371097</x:v>
      </x:c>
      <x:c r="J2236" s="40" t="n">
        <x:f>H2236^2</x:f>
        <x:v>2.7713465341419226</x:v>
      </x:c>
      <x:c r="K2236" s="40" t="n">
        <x:f>G2236-E2236</x:f>
        <x:v>0</x:v>
      </x:c>
      <x:c r="L2236" s="40" t="n">
        <x:f>ABS(K2236)</x:f>
        <x:v>0</x:v>
      </x:c>
      <x:c r="M2236" s="41" t="str">
        <x:v>lstm-soil-v1</x:v>
      </x:c>
    </x:row>
    <x:row r="2237">
      <x:c r="A2237" s="38" t="str">
        <x:v>7月30日现场数据</x:v>
      </x:c>
      <x:c r="B2237" s="39" t="str">
        <x:v>2026-08-02T12:05:00</x:v>
      </x:c>
      <x:c r="C2237" s="39" t="str">
        <x:v>2026-08-02T12:20:00</x:v>
      </x:c>
      <x:c r="D2237" s="47" t="n">
        <x:v>15</x:v>
      </x:c>
      <x:c r="E2237" s="40" t="n">
        <x:v>15.3</x:v>
      </x:c>
      <x:c r="F2237" s="40" t="n">
        <x:v>13.810794830322266</x:v>
      </x:c>
      <x:c r="G2237" s="40" t="n">
        <x:v>15.4</x:v>
      </x:c>
      <x:c r="H2237" s="40" t="n">
        <x:f>F2237-E2237</x:f>
        <x:v>-1.489205169677735</x:v>
      </x:c>
      <x:c r="I2237" s="40" t="n">
        <x:f>ABS(H2237)</x:f>
        <x:v>1.489205169677735</x:v>
      </x:c>
      <x:c r="J2237" s="40" t="n">
        <x:f>H2237^2</x:f>
        <x:v>2.217732037394892</x:v>
      </x:c>
      <x:c r="K2237" s="40" t="n">
        <x:f>G2237-E2237</x:f>
        <x:v>0.09999999999999964</x:v>
      </x:c>
      <x:c r="L2237" s="40" t="n">
        <x:f>ABS(K2237)</x:f>
        <x:v>0.09999999999999964</x:v>
      </x:c>
      <x:c r="M2237" s="41" t="str">
        <x:v>lstm-soil-v1</x:v>
      </x:c>
    </x:row>
    <x:row r="2238">
      <x:c r="A2238" s="38" t="str">
        <x:v>7月30日现场数据</x:v>
      </x:c>
      <x:c r="B2238" s="39" t="str">
        <x:v>2026-08-02T12:05:00</x:v>
      </x:c>
      <x:c r="C2238" s="39" t="str">
        <x:v>2026-08-02T12:35:00</x:v>
      </x:c>
      <x:c r="D2238" s="47" t="n">
        <x:v>30</x:v>
      </x:c>
      <x:c r="E2238" s="40" t="n">
        <x:v>15.3</x:v>
      </x:c>
      <x:c r="F2238" s="40" t="n">
        <x:v>14.245414733886719</x:v>
      </x:c>
      <x:c r="G2238" s="40" t="n">
        <x:v>15.4</x:v>
      </x:c>
      <x:c r="H2238" s="40" t="n">
        <x:f>F2238-E2238</x:f>
        <x:v>-1.054585266113282</x:v>
      </x:c>
      <x:c r="I2238" s="40" t="n">
        <x:f>ABS(H2238)</x:f>
        <x:v>1.054585266113282</x:v>
      </x:c>
      <x:c r="J2238" s="40" t="n">
        <x:f>H2238^2</x:f>
        <x:v>1.1121500835032216</x:v>
      </x:c>
      <x:c r="K2238" s="40" t="n">
        <x:f>G2238-E2238</x:f>
        <x:v>0.09999999999999964</x:v>
      </x:c>
      <x:c r="L2238" s="40" t="n">
        <x:f>ABS(K2238)</x:f>
        <x:v>0.09999999999999964</x:v>
      </x:c>
      <x:c r="M2238" s="41" t="str">
        <x:v>lstm-soil-v1</x:v>
      </x:c>
    </x:row>
    <x:row r="2239">
      <x:c r="A2239" s="38" t="str">
        <x:v>7月30日现场数据</x:v>
      </x:c>
      <x:c r="B2239" s="39" t="str">
        <x:v>2026-08-02T12:05:00</x:v>
      </x:c>
      <x:c r="C2239" s="39" t="str">
        <x:v>2026-08-02T13:05:00</x:v>
      </x:c>
      <x:c r="D2239" s="47" t="n">
        <x:v>60</x:v>
      </x:c>
      <x:c r="E2239" s="40" t="n">
        <x:v>15.2</x:v>
      </x:c>
      <x:c r="F2239" s="40" t="n">
        <x:v>15.901481628417969</x:v>
      </x:c>
      <x:c r="G2239" s="40" t="n">
        <x:v>15.4</x:v>
      </x:c>
      <x:c r="H2239" s="40" t="n">
        <x:f>F2239-E2239</x:f>
        <x:v>0.7014816284179695</x:v>
      </x:c>
      <x:c r="I2239" s="40" t="n">
        <x:f>ABS(H2239)</x:f>
        <x:v>0.7014816284179695</x:v>
      </x:c>
      <x:c r="J2239" s="40" t="n">
        <x:f>H2239^2</x:f>
        <x:v>0.4920764750079262</x:v>
      </x:c>
      <x:c r="K2239" s="40" t="n">
        <x:f>G2239-E2239</x:f>
        <x:v>0.20000000000000107</x:v>
      </x:c>
      <x:c r="L2239" s="40" t="n">
        <x:f>ABS(K2239)</x:f>
        <x:v>0.20000000000000107</x:v>
      </x:c>
      <x:c r="M2239" s="41" t="str">
        <x:v>lstm-soil-v1</x:v>
      </x:c>
    </x:row>
    <x:row r="2240">
      <x:c r="A2240" s="38" t="str">
        <x:v>7月30日现场数据</x:v>
      </x:c>
      <x:c r="B2240" s="39" t="str">
        <x:v>2026-08-02T12:10:00</x:v>
      </x:c>
      <x:c r="C2240" s="39" t="str">
        <x:v>2026-08-02T12:15:00</x:v>
      </x:c>
      <x:c r="D2240" s="47" t="n">
        <x:v>5</x:v>
      </x:c>
      <x:c r="E2240" s="40" t="n">
        <x:v>15.3</x:v>
      </x:c>
      <x:c r="F2240" s="40" t="n">
        <x:v>13.734149932861328</x:v>
      </x:c>
      <x:c r="G2240" s="40" t="n">
        <x:v>15.4</x:v>
      </x:c>
      <x:c r="H2240" s="40" t="n">
        <x:f>F2240-E2240</x:f>
        <x:v>-1.5658500671386726</x:v>
      </x:c>
      <x:c r="I2240" s="40" t="n">
        <x:f>ABS(H2240)</x:f>
        <x:v>1.5658500671386726</x:v>
      </x:c>
      <x:c r="J2240" s="40" t="n">
        <x:f>H2240^2</x:f>
        <x:v>2.4518864327581853</x:v>
      </x:c>
      <x:c r="K2240" s="40" t="n">
        <x:f>G2240-E2240</x:f>
        <x:v>0.09999999999999964</x:v>
      </x:c>
      <x:c r="L2240" s="40" t="n">
        <x:f>ABS(K2240)</x:f>
        <x:v>0.09999999999999964</x:v>
      </x:c>
      <x:c r="M2240" s="41" t="str">
        <x:v>lstm-soil-v1</x:v>
      </x:c>
    </x:row>
    <x:row r="2241">
      <x:c r="A2241" s="38" t="str">
        <x:v>7月30日现场数据</x:v>
      </x:c>
      <x:c r="B2241" s="39" t="str">
        <x:v>2026-08-02T12:10:00</x:v>
      </x:c>
      <x:c r="C2241" s="39" t="str">
        <x:v>2026-08-02T12:25:00</x:v>
      </x:c>
      <x:c r="D2241" s="47" t="n">
        <x:v>15</x:v>
      </x:c>
      <x:c r="E2241" s="40" t="n">
        <x:v>15.3</x:v>
      </x:c>
      <x:c r="F2241" s="40" t="n">
        <x:v>13.812026977539062</x:v>
      </x:c>
      <x:c r="G2241" s="40" t="n">
        <x:v>15.4</x:v>
      </x:c>
      <x:c r="H2241" s="40" t="n">
        <x:f>F2241-E2241</x:f>
        <x:v>-1.4879730224609382</x:v>
      </x:c>
      <x:c r="I2241" s="40" t="n">
        <x:f>ABS(H2241)</x:f>
        <x:v>1.4879730224609382</x:v>
      </x:c>
      <x:c r="J2241" s="40" t="n">
        <x:f>H2241^2</x:f>
        <x:v>2.2140637155715397</x:v>
      </x:c>
      <x:c r="K2241" s="40" t="n">
        <x:f>G2241-E2241</x:f>
        <x:v>0.09999999999999964</x:v>
      </x:c>
      <x:c r="L2241" s="40" t="n">
        <x:f>ABS(K2241)</x:f>
        <x:v>0.09999999999999964</x:v>
      </x:c>
      <x:c r="M2241" s="41" t="str">
        <x:v>lstm-soil-v1</x:v>
      </x:c>
    </x:row>
    <x:row r="2242">
      <x:c r="A2242" s="38" t="str">
        <x:v>7月30日现场数据</x:v>
      </x:c>
      <x:c r="B2242" s="39" t="str">
        <x:v>2026-08-02T12:10:00</x:v>
      </x:c>
      <x:c r="C2242" s="39" t="str">
        <x:v>2026-08-02T12:40:00</x:v>
      </x:c>
      <x:c r="D2242" s="47" t="n">
        <x:v>30</x:v>
      </x:c>
      <x:c r="E2242" s="40" t="n">
        <x:v>15.3</x:v>
      </x:c>
      <x:c r="F2242" s="40" t="n">
        <x:v>14.241222381591797</x:v>
      </x:c>
      <x:c r="G2242" s="40" t="n">
        <x:v>15.4</x:v>
      </x:c>
      <x:c r="H2242" s="40" t="n">
        <x:f>F2242-E2242</x:f>
        <x:v>-1.0587776184082038</x:v>
      </x:c>
      <x:c r="I2242" s="40" t="n">
        <x:f>ABS(H2242)</x:f>
        <x:v>1.0587776184082038</x:v>
      </x:c>
      <x:c r="J2242" s="40" t="n">
        <x:f>H2242^2</x:f>
        <x:v>1.121010045242148</x:v>
      </x:c>
      <x:c r="K2242" s="40" t="n">
        <x:f>G2242-E2242</x:f>
        <x:v>0.09999999999999964</x:v>
      </x:c>
      <x:c r="L2242" s="40" t="n">
        <x:f>ABS(K2242)</x:f>
        <x:v>0.09999999999999964</x:v>
      </x:c>
      <x:c r="M2242" s="41" t="str">
        <x:v>lstm-soil-v1</x:v>
      </x:c>
    </x:row>
    <x:row r="2243">
      <x:c r="A2243" s="38" t="str">
        <x:v>7月30日现场数据</x:v>
      </x:c>
      <x:c r="B2243" s="39" t="str">
        <x:v>2026-08-02T12:10:00</x:v>
      </x:c>
      <x:c r="C2243" s="39" t="str">
        <x:v>2026-08-02T13:10:00</x:v>
      </x:c>
      <x:c r="D2243" s="47" t="n">
        <x:v>60</x:v>
      </x:c>
      <x:c r="E2243" s="40" t="n">
        <x:v>15.2</x:v>
      </x:c>
      <x:c r="F2243" s="40" t="n">
        <x:v>15.89621353149414</x:v>
      </x:c>
      <x:c r="G2243" s="40" t="n">
        <x:v>15.4</x:v>
      </x:c>
      <x:c r="H2243" s="40" t="n">
        <x:f>F2243-E2243</x:f>
        <x:v>0.6962135314941413</x:v>
      </x:c>
      <x:c r="I2243" s="40" t="n">
        <x:f>ABS(H2243)</x:f>
        <x:v>0.6962135314941413</x:v>
      </x:c>
      <x:c r="J2243" s="40" t="n">
        <x:f>H2243^2</x:f>
        <x:v>0.4847132814355437</x:v>
      </x:c>
      <x:c r="K2243" s="40" t="n">
        <x:f>G2243-E2243</x:f>
        <x:v>0.20000000000000107</x:v>
      </x:c>
      <x:c r="L2243" s="40" t="n">
        <x:f>ABS(K2243)</x:f>
        <x:v>0.20000000000000107</x:v>
      </x:c>
      <x:c r="M2243" s="41" t="str">
        <x:v>lstm-soil-v1</x:v>
      </x:c>
    </x:row>
    <x:row r="2244">
      <x:c r="A2244" s="38" t="str">
        <x:v>7月30日现场数据</x:v>
      </x:c>
      <x:c r="B2244" s="39" t="str">
        <x:v>2026-08-02T12:15:00</x:v>
      </x:c>
      <x:c r="C2244" s="39" t="str">
        <x:v>2026-08-02T12:20:00</x:v>
      </x:c>
      <x:c r="D2244" s="47" t="n">
        <x:v>5</x:v>
      </x:c>
      <x:c r="E2244" s="40" t="n">
        <x:v>15.3</x:v>
      </x:c>
      <x:c r="F2244" s="40" t="n">
        <x:v>13.62520980834961</x:v>
      </x:c>
      <x:c r="G2244" s="40" t="n">
        <x:v>15.3</x:v>
      </x:c>
      <x:c r="H2244" s="40" t="n">
        <x:f>F2244-E2244</x:f>
        <x:v>-1.6747901916503913</x:v>
      </x:c>
      <x:c r="I2244" s="40" t="n">
        <x:f>ABS(H2244)</x:f>
        <x:v>1.6747901916503913</x:v>
      </x:c>
      <x:c r="J2244" s="40" t="n">
        <x:f>H2244^2</x:f>
        <x:v>2.8049221860483544</x:v>
      </x:c>
      <x:c r="K2244" s="40" t="n">
        <x:f>G2244-E2244</x:f>
        <x:v>0</x:v>
      </x:c>
      <x:c r="L2244" s="40" t="n">
        <x:f>ABS(K2244)</x:f>
        <x:v>0</x:v>
      </x:c>
      <x:c r="M2244" s="41" t="str">
        <x:v>lstm-soil-v1</x:v>
      </x:c>
    </x:row>
    <x:row r="2245">
      <x:c r="A2245" s="38" t="str">
        <x:v>7月30日现场数据</x:v>
      </x:c>
      <x:c r="B2245" s="39" t="str">
        <x:v>2026-08-02T12:15:00</x:v>
      </x:c>
      <x:c r="C2245" s="39" t="str">
        <x:v>2026-08-02T12:30:00</x:v>
      </x:c>
      <x:c r="D2245" s="47" t="n">
        <x:v>15</x:v>
      </x:c>
      <x:c r="E2245" s="40" t="n">
        <x:v>15.3</x:v>
      </x:c>
      <x:c r="F2245" s="40" t="n">
        <x:v>13.703392028808594</x:v>
      </x:c>
      <x:c r="G2245" s="40" t="n">
        <x:v>15.3</x:v>
      </x:c>
      <x:c r="H2245" s="40" t="n">
        <x:f>F2245-E2245</x:f>
        <x:v>-1.596607971191407</x:v>
      </x:c>
      <x:c r="I2245" s="40" t="n">
        <x:f>ABS(H2245)</x:f>
        <x:v>1.596607971191407</x:v>
      </x:c>
      <x:c r="J2245" s="40" t="n">
        <x:f>H2245^2</x:f>
        <x:v>2.5491570136719406</x:v>
      </x:c>
      <x:c r="K2245" s="40" t="n">
        <x:f>G2245-E2245</x:f>
        <x:v>0</x:v>
      </x:c>
      <x:c r="L2245" s="40" t="n">
        <x:f>ABS(K2245)</x:f>
        <x:v>0</x:v>
      </x:c>
      <x:c r="M2245" s="41" t="str">
        <x:v>lstm-soil-v1</x:v>
      </x:c>
    </x:row>
    <x:row r="2246">
      <x:c r="A2246" s="38" t="str">
        <x:v>7月30日现场数据</x:v>
      </x:c>
      <x:c r="B2246" s="39" t="str">
        <x:v>2026-08-02T12:15:00</x:v>
      </x:c>
      <x:c r="C2246" s="39" t="str">
        <x:v>2026-08-02T12:45:00</x:v>
      </x:c>
      <x:c r="D2246" s="47" t="n">
        <x:v>30</x:v>
      </x:c>
      <x:c r="E2246" s="40" t="n">
        <x:v>15.3</x:v>
      </x:c>
      <x:c r="F2246" s="40" t="n">
        <x:v>14.129997253417969</x:v>
      </x:c>
      <x:c r="G2246" s="40" t="n">
        <x:v>15.3</x:v>
      </x:c>
      <x:c r="H2246" s="40" t="n">
        <x:f>F2246-E2246</x:f>
        <x:v>-1.170002746582032</x:v>
      </x:c>
      <x:c r="I2246" s="40" t="n">
        <x:f>ABS(H2246)</x:f>
        <x:v>1.170002746582032</x:v>
      </x:c>
      <x:c r="J2246" s="40" t="n">
        <x:f>H2246^2</x:f>
        <x:v>1.3689064270094986</x:v>
      </x:c>
      <x:c r="K2246" s="40" t="n">
        <x:f>G2246-E2246</x:f>
        <x:v>0</x:v>
      </x:c>
      <x:c r="L2246" s="40" t="n">
        <x:f>ABS(K2246)</x:f>
        <x:v>0</x:v>
      </x:c>
      <x:c r="M2246" s="41" t="str">
        <x:v>lstm-soil-v1</x:v>
      </x:c>
    </x:row>
    <x:row r="2247">
      <x:c r="A2247" s="38" t="str">
        <x:v>7月30日现场数据</x:v>
      </x:c>
      <x:c r="B2247" s="39" t="str">
        <x:v>2026-08-02T12:15:00</x:v>
      </x:c>
      <x:c r="C2247" s="39" t="str">
        <x:v>2026-08-02T13:15:00</x:v>
      </x:c>
      <x:c r="D2247" s="47" t="n">
        <x:v>60</x:v>
      </x:c>
      <x:c r="E2247" s="40" t="n">
        <x:v>15.2</x:v>
      </x:c>
      <x:c r="F2247" s="40" t="n">
        <x:v>15.791152954101562</x:v>
      </x:c>
      <x:c r="G2247" s="40" t="n">
        <x:v>15.3</x:v>
      </x:c>
      <x:c r="H2247" s="40" t="n">
        <x:f>F2247-E2247</x:f>
        <x:v>0.5911529541015632</x:v>
      </x:c>
      <x:c r="I2247" s="40" t="n">
        <x:f>ABS(H2247)</x:f>
        <x:v>0.5911529541015632</x:v>
      </x:c>
      <x:c r="J2247" s="40" t="n">
        <x:f>H2247^2</x:f>
        <x:v>0.3494618151430049</x:v>
      </x:c>
      <x:c r="K2247" s="40" t="n">
        <x:f>G2247-E2247</x:f>
        <x:v>0.10000000000000142</x:v>
      </x:c>
      <x:c r="L2247" s="40" t="n">
        <x:f>ABS(K2247)</x:f>
        <x:v>0.10000000000000142</x:v>
      </x:c>
      <x:c r="M2247" s="41" t="str">
        <x:v>lstm-soil-v1</x:v>
      </x:c>
    </x:row>
    <x:row r="2248">
      <x:c r="A2248" s="38" t="str">
        <x:v>7月30日现场数据</x:v>
      </x:c>
      <x:c r="B2248" s="39" t="str">
        <x:v>2026-08-02T12:20:00</x:v>
      </x:c>
      <x:c r="C2248" s="39" t="str">
        <x:v>2026-08-02T12:25:00</x:v>
      </x:c>
      <x:c r="D2248" s="47" t="n">
        <x:v>5</x:v>
      </x:c>
      <x:c r="E2248" s="40" t="n">
        <x:v>15.3</x:v>
      </x:c>
      <x:c r="F2248" s="40" t="n">
        <x:v>13.622806549072266</x:v>
      </x:c>
      <x:c r="G2248" s="40" t="n">
        <x:v>15.3</x:v>
      </x:c>
      <x:c r="H2248" s="40" t="n">
        <x:f>F2248-E2248</x:f>
        <x:v>-1.677193450927735</x:v>
      </x:c>
      <x:c r="I2248" s="40" t="n">
        <x:f>ABS(H2248)</x:f>
        <x:v>1.677193450927735</x:v>
      </x:c>
      <x:c r="J2248" s="40" t="n">
        <x:f>H2248^2</x:f>
        <x:v>2.812977871834885</x:v>
      </x:c>
      <x:c r="K2248" s="40" t="n">
        <x:f>G2248-E2248</x:f>
        <x:v>0</x:v>
      </x:c>
      <x:c r="L2248" s="40" t="n">
        <x:f>ABS(K2248)</x:f>
        <x:v>0</x:v>
      </x:c>
      <x:c r="M2248" s="41" t="str">
        <x:v>lstm-soil-v1</x:v>
      </x:c>
    </x:row>
    <x:row r="2249">
      <x:c r="A2249" s="38" t="str">
        <x:v>7月30日现场数据</x:v>
      </x:c>
      <x:c r="B2249" s="39" t="str">
        <x:v>2026-08-02T12:20:00</x:v>
      </x:c>
      <x:c r="C2249" s="39" t="str">
        <x:v>2026-08-02T12:35:00</x:v>
      </x:c>
      <x:c r="D2249" s="47" t="n">
        <x:v>15</x:v>
      </x:c>
      <x:c r="E2249" s="40" t="n">
        <x:v>15.3</x:v>
      </x:c>
      <x:c r="F2249" s="40" t="n">
        <x:v>13.702396392822266</x:v>
      </x:c>
      <x:c r="G2249" s="40" t="n">
        <x:v>15.3</x:v>
      </x:c>
      <x:c r="H2249" s="40" t="n">
        <x:f>F2249-E2249</x:f>
        <x:v>-1.597603607177735</x:v>
      </x:c>
      <x:c r="I2249" s="40" t="n">
        <x:f>ABS(H2249)</x:f>
        <x:v>1.597603607177735</x:v>
      </x:c>
      <x:c r="J2249" s="40" t="n">
        <x:f>H2249^2</x:f>
        <x:v>2.5523372856673108</x:v>
      </x:c>
      <x:c r="K2249" s="40" t="n">
        <x:f>G2249-E2249</x:f>
        <x:v>0</x:v>
      </x:c>
      <x:c r="L2249" s="40" t="n">
        <x:f>ABS(K2249)</x:f>
        <x:v>0</x:v>
      </x:c>
      <x:c r="M2249" s="41" t="str">
        <x:v>lstm-soil-v1</x:v>
      </x:c>
    </x:row>
    <x:row r="2250">
      <x:c r="A2250" s="38" t="str">
        <x:v>7月30日现场数据</x:v>
      </x:c>
      <x:c r="B2250" s="39" t="str">
        <x:v>2026-08-02T12:20:00</x:v>
      </x:c>
      <x:c r="C2250" s="39" t="str">
        <x:v>2026-08-02T12:50:00</x:v>
      </x:c>
      <x:c r="D2250" s="47" t="n">
        <x:v>30</x:v>
      </x:c>
      <x:c r="E2250" s="40" t="n">
        <x:v>15.3</x:v>
      </x:c>
      <x:c r="F2250" s="40" t="n">
        <x:v>14.124870300292969</x:v>
      </x:c>
      <x:c r="G2250" s="40" t="n">
        <x:v>15.3</x:v>
      </x:c>
      <x:c r="H2250" s="40" t="n">
        <x:f>F2250-E2250</x:f>
        <x:v>-1.175129699707032</x:v>
      </x:c>
      <x:c r="I2250" s="40" t="n">
        <x:f>ABS(H2250)</x:f>
        <x:v>1.175129699707032</x:v>
      </x:c>
      <x:c r="J2250" s="40" t="n">
        <x:f>H2250^2</x:f>
        <x:v>1.380929811133539</x:v>
      </x:c>
      <x:c r="K2250" s="40" t="n">
        <x:f>G2250-E2250</x:f>
        <x:v>0</x:v>
      </x:c>
      <x:c r="L2250" s="40" t="n">
        <x:f>ABS(K2250)</x:f>
        <x:v>0</x:v>
      </x:c>
      <x:c r="M2250" s="41" t="str">
        <x:v>lstm-soil-v1</x:v>
      </x:c>
    </x:row>
    <x:row r="2251">
      <x:c r="A2251" s="38" t="str">
        <x:v>7月30日现场数据</x:v>
      </x:c>
      <x:c r="B2251" s="39" t="str">
        <x:v>2026-08-02T12:20:00</x:v>
      </x:c>
      <x:c r="C2251" s="39" t="str">
        <x:v>2026-08-02T13:20:00</x:v>
      </x:c>
      <x:c r="D2251" s="47" t="n">
        <x:v>60</x:v>
      </x:c>
      <x:c r="E2251" s="40" t="n">
        <x:v>15.2</x:v>
      </x:c>
      <x:c r="F2251" s="40" t="n">
        <x:v>15.784957885742188</x:v>
      </x:c>
      <x:c r="G2251" s="40" t="n">
        <x:v>15.3</x:v>
      </x:c>
      <x:c r="H2251" s="40" t="n">
        <x:f>F2251-E2251</x:f>
        <x:v>0.5849578857421882</x:v>
      </x:c>
      <x:c r="I2251" s="40" t="n">
        <x:f>ABS(H2251)</x:f>
        <x:v>0.5849578857421882</x:v>
      </x:c>
      <x:c r="J2251" s="40" t="n">
        <x:f>H2251^2</x:f>
        <x:v>0.34217572809197094</x:v>
      </x:c>
      <x:c r="K2251" s="40" t="n">
        <x:f>G2251-E2251</x:f>
        <x:v>0.10000000000000142</x:v>
      </x:c>
      <x:c r="L2251" s="40" t="n">
        <x:f>ABS(K2251)</x:f>
        <x:v>0.10000000000000142</x:v>
      </x:c>
      <x:c r="M2251" s="41" t="str">
        <x:v>lstm-soil-v1</x:v>
      </x:c>
    </x:row>
    <x:row r="2252">
      <x:c r="A2252" s="38" t="str">
        <x:v>7月30日现场数据</x:v>
      </x:c>
      <x:c r="B2252" s="39" t="str">
        <x:v>2026-08-02T12:25:00</x:v>
      </x:c>
      <x:c r="C2252" s="39" t="str">
        <x:v>2026-08-02T12:30:00</x:v>
      </x:c>
      <x:c r="D2252" s="47" t="n">
        <x:v>5</x:v>
      </x:c>
      <x:c r="E2252" s="40" t="n">
        <x:v>15.3</x:v>
      </x:c>
      <x:c r="F2252" s="40" t="n">
        <x:v>13.623237609863281</x:v>
      </x:c>
      <x:c r="G2252" s="40" t="n">
        <x:v>15.3</x:v>
      </x:c>
      <x:c r="H2252" s="40" t="n">
        <x:f>F2252-E2252</x:f>
        <x:v>-1.6767623901367195</x:v>
      </x:c>
      <x:c r="I2252" s="40" t="n">
        <x:f>ABS(H2252)</x:f>
        <x:v>1.6767623901367195</x:v>
      </x:c>
      <x:c r="J2252" s="40" t="n">
        <x:f>H2252^2</x:f>
        <x:v>2.8115321129770043</x:v>
      </x:c>
      <x:c r="K2252" s="40" t="n">
        <x:f>G2252-E2252</x:f>
        <x:v>0</x:v>
      </x:c>
      <x:c r="L2252" s="40" t="n">
        <x:f>ABS(K2252)</x:f>
        <x:v>0</x:v>
      </x:c>
      <x:c r="M2252" s="41" t="str">
        <x:v>lstm-soil-v1</x:v>
      </x:c>
    </x:row>
    <x:row r="2253">
      <x:c r="A2253" s="38" t="str">
        <x:v>7月30日现场数据</x:v>
      </x:c>
      <x:c r="B2253" s="39" t="str">
        <x:v>2026-08-02T12:25:00</x:v>
      </x:c>
      <x:c r="C2253" s="39" t="str">
        <x:v>2026-08-02T12:40:00</x:v>
      </x:c>
      <x:c r="D2253" s="47" t="n">
        <x:v>15</x:v>
      </x:c>
      <x:c r="E2253" s="40" t="n">
        <x:v>15.3</x:v>
      </x:c>
      <x:c r="F2253" s="40" t="n">
        <x:v>13.70101547241211</x:v>
      </x:c>
      <x:c r="G2253" s="40" t="n">
        <x:v>15.3</x:v>
      </x:c>
      <x:c r="H2253" s="40" t="n">
        <x:f>F2253-E2253</x:f>
        <x:v>-1.5989845275878913</x:v>
      </x:c>
      <x:c r="I2253" s="40" t="n">
        <x:f>ABS(H2253)</x:f>
        <x:v>1.5989845275878913</x:v>
      </x:c>
      <x:c r="J2253" s="40" t="n">
        <x:f>H2253^2</x:f>
        <x:v>2.556751519465472</x:v>
      </x:c>
      <x:c r="K2253" s="40" t="n">
        <x:f>G2253-E2253</x:f>
        <x:v>0</x:v>
      </x:c>
      <x:c r="L2253" s="40" t="n">
        <x:f>ABS(K2253)</x:f>
        <x:v>0</x:v>
      </x:c>
      <x:c r="M2253" s="41" t="str">
        <x:v>lstm-soil-v1</x:v>
      </x:c>
    </x:row>
    <x:row r="2254">
      <x:c r="A2254" s="38" t="str">
        <x:v>7月30日现场数据</x:v>
      </x:c>
      <x:c r="B2254" s="39" t="str">
        <x:v>2026-08-02T12:25:00</x:v>
      </x:c>
      <x:c r="C2254" s="39" t="str">
        <x:v>2026-08-02T12:55:00</x:v>
      </x:c>
      <x:c r="D2254" s="47" t="n">
        <x:v>30</x:v>
      </x:c>
      <x:c r="E2254" s="40" t="n">
        <x:v>15.3</x:v>
      </x:c>
      <x:c r="F2254" s="40" t="n">
        <x:v>14.123798370361328</x:v>
      </x:c>
      <x:c r="G2254" s="40" t="n">
        <x:v>15.3</x:v>
      </x:c>
      <x:c r="H2254" s="40" t="n">
        <x:f>F2254-E2254</x:f>
        <x:v>-1.1762016296386726</x:v>
      </x:c>
      <x:c r="I2254" s="40" t="n">
        <x:f>ABS(H2254)</x:f>
        <x:v>1.1762016296386726</x:v>
      </x:c>
      <x:c r="J2254" s="40" t="n">
        <x:f>H2254^2</x:f>
        <x:v>1.3834502735646692</x:v>
      </x:c>
      <x:c r="K2254" s="40" t="n">
        <x:f>G2254-E2254</x:f>
        <x:v>0</x:v>
      </x:c>
      <x:c r="L2254" s="40" t="n">
        <x:f>ABS(K2254)</x:f>
        <x:v>0</x:v>
      </x:c>
      <x:c r="M2254" s="41" t="str">
        <x:v>lstm-soil-v1</x:v>
      </x:c>
    </x:row>
    <x:row r="2255">
      <x:c r="A2255" s="38" t="str">
        <x:v>7月30日现场数据</x:v>
      </x:c>
      <x:c r="B2255" s="39" t="str">
        <x:v>2026-08-02T12:25:00</x:v>
      </x:c>
      <x:c r="C2255" s="39" t="str">
        <x:v>2026-08-02T13:25:00</x:v>
      </x:c>
      <x:c r="D2255" s="47" t="n">
        <x:v>60</x:v>
      </x:c>
      <x:c r="E2255" s="40" t="n">
        <x:v>15.2</x:v>
      </x:c>
      <x:c r="F2255" s="40" t="n">
        <x:v>15.785903930664062</x:v>
      </x:c>
      <x:c r="G2255" s="40" t="n">
        <x:v>15.3</x:v>
      </x:c>
      <x:c r="H2255" s="40" t="n">
        <x:f>F2255-E2255</x:f>
        <x:v>0.5859039306640632</x:v>
      </x:c>
      <x:c r="I2255" s="40" t="n">
        <x:f>ABS(H2255)</x:f>
        <x:v>0.5859039306640632</x:v>
      </x:c>
      <x:c r="J2255" s="40" t="n">
        <x:f>H2255^2</x:f>
        <x:v>0.34328341596759937</x:v>
      </x:c>
      <x:c r="K2255" s="40" t="n">
        <x:f>G2255-E2255</x:f>
        <x:v>0.10000000000000142</x:v>
      </x:c>
      <x:c r="L2255" s="40" t="n">
        <x:f>ABS(K2255)</x:f>
        <x:v>0.10000000000000142</x:v>
      </x:c>
      <x:c r="M2255" s="41" t="str">
        <x:v>lstm-soil-v1</x:v>
      </x:c>
    </x:row>
    <x:row r="2256">
      <x:c r="A2256" s="38" t="str">
        <x:v>7月30日现场数据</x:v>
      </x:c>
      <x:c r="B2256" s="39" t="str">
        <x:v>2026-08-02T12:30:00</x:v>
      </x:c>
      <x:c r="C2256" s="39" t="str">
        <x:v>2026-08-02T12:35:00</x:v>
      </x:c>
      <x:c r="D2256" s="47" t="n">
        <x:v>5</x:v>
      </x:c>
      <x:c r="E2256" s="40" t="n">
        <x:v>15.3</x:v>
      </x:c>
      <x:c r="F2256" s="40" t="n">
        <x:v>13.624374389648438</x:v>
      </x:c>
      <x:c r="G2256" s="40" t="n">
        <x:v>15.3</x:v>
      </x:c>
      <x:c r="H2256" s="40" t="n">
        <x:f>F2256-E2256</x:f>
        <x:v>-1.6756256103515632</x:v>
      </x:c>
      <x:c r="I2256" s="40" t="n">
        <x:f>ABS(H2256)</x:f>
        <x:v>1.6756256103515632</x:v>
      </x:c>
      <x:c r="J2256" s="40" t="n">
        <x:f>H2256^2</x:f>
        <x:v>2.8077211860660487</x:v>
      </x:c>
      <x:c r="K2256" s="40" t="n">
        <x:f>G2256-E2256</x:f>
        <x:v>0</x:v>
      </x:c>
      <x:c r="L2256" s="40" t="n">
        <x:f>ABS(K2256)</x:f>
        <x:v>0</x:v>
      </x:c>
      <x:c r="M2256" s="41" t="str">
        <x:v>lstm-soil-v1</x:v>
      </x:c>
    </x:row>
    <x:row r="2257">
      <x:c r="A2257" s="38" t="str">
        <x:v>7月30日现场数据</x:v>
      </x:c>
      <x:c r="B2257" s="39" t="str">
        <x:v>2026-08-02T12:30:00</x:v>
      </x:c>
      <x:c r="C2257" s="39" t="str">
        <x:v>2026-08-02T12:45:00</x:v>
      </x:c>
      <x:c r="D2257" s="47" t="n">
        <x:v>15</x:v>
      </x:c>
      <x:c r="E2257" s="40" t="n">
        <x:v>15.3</x:v>
      </x:c>
      <x:c r="F2257" s="40" t="n">
        <x:v>13.702594757080078</x:v>
      </x:c>
      <x:c r="G2257" s="40" t="n">
        <x:v>15.3</x:v>
      </x:c>
      <x:c r="H2257" s="40" t="n">
        <x:f>F2257-E2257</x:f>
        <x:v>-1.5974052429199226</x:v>
      </x:c>
      <x:c r="I2257" s="40" t="n">
        <x:f>ABS(H2257)</x:f>
        <x:v>1.5974052429199226</x:v>
      </x:c>
      <x:c r="J2257" s="40" t="n">
        <x:f>H2257^2</x:f>
        <x:v>2.551703510108057</x:v>
      </x:c>
      <x:c r="K2257" s="40" t="n">
        <x:f>G2257-E2257</x:f>
        <x:v>0</x:v>
      </x:c>
      <x:c r="L2257" s="40" t="n">
        <x:f>ABS(K2257)</x:f>
        <x:v>0</x:v>
      </x:c>
      <x:c r="M2257" s="41" t="str">
        <x:v>lstm-soil-v1</x:v>
      </x:c>
    </x:row>
    <x:row r="2258">
      <x:c r="A2258" s="38" t="str">
        <x:v>7月30日现场数据</x:v>
      </x:c>
      <x:c r="B2258" s="39" t="str">
        <x:v>2026-08-02T12:30:00</x:v>
      </x:c>
      <x:c r="C2258" s="39" t="str">
        <x:v>2026-08-02T13:00:00</x:v>
      </x:c>
      <x:c r="D2258" s="47" t="n">
        <x:v>30</x:v>
      </x:c>
      <x:c r="E2258" s="40" t="n">
        <x:v>15.2</x:v>
      </x:c>
      <x:c r="F2258" s="40" t="n">
        <x:v>14.125564575195312</x:v>
      </x:c>
      <x:c r="G2258" s="40" t="n">
        <x:v>15.3</x:v>
      </x:c>
      <x:c r="H2258" s="40" t="n">
        <x:f>F2258-E2258</x:f>
        <x:v>-1.0744354248046868</x:v>
      </x:c>
      <x:c r="I2258" s="40" t="n">
        <x:f>ABS(H2258)</x:f>
        <x:v>1.0744354248046868</x:v>
      </x:c>
      <x:c r="J2258" s="40" t="n">
        <x:f>H2258^2</x:f>
        <x:v>1.1544114820752278</x:v>
      </x:c>
      <x:c r="K2258" s="40" t="n">
        <x:f>G2258-E2258</x:f>
        <x:v>0.10000000000000142</x:v>
      </x:c>
      <x:c r="L2258" s="40" t="n">
        <x:f>ABS(K2258)</x:f>
        <x:v>0.10000000000000142</x:v>
      </x:c>
      <x:c r="M2258" s="41" t="str">
        <x:v>lstm-soil-v1</x:v>
      </x:c>
    </x:row>
    <x:row r="2259">
      <x:c r="A2259" s="38" t="str">
        <x:v>7月30日现场数据</x:v>
      </x:c>
      <x:c r="B2259" s="39" t="str">
        <x:v>2026-08-02T12:30:00</x:v>
      </x:c>
      <x:c r="C2259" s="39" t="str">
        <x:v>2026-08-02T13:30:00</x:v>
      </x:c>
      <x:c r="D2259" s="47" t="n">
        <x:v>60</x:v>
      </x:c>
      <x:c r="E2259" s="40" t="n">
        <x:v>15.2</x:v>
      </x:c>
      <x:c r="F2259" s="40" t="n">
        <x:v>15.791927337646484</x:v>
      </x:c>
      <x:c r="G2259" s="40" t="n">
        <x:v>15.3</x:v>
      </x:c>
      <x:c r="H2259" s="40" t="n">
        <x:f>F2259-E2259</x:f>
        <x:v>0.5919273376464851</x:v>
      </x:c>
      <x:c r="I2259" s="40" t="n">
        <x:f>ABS(H2259)</x:f>
        <x:v>0.5919273376464851</x:v>
      </x:c>
      <x:c r="J2259" s="40" t="n">
        <x:f>H2259^2</x:f>
        <x:v>0.35037797305325596</x:v>
      </x:c>
      <x:c r="K2259" s="40" t="n">
        <x:f>G2259-E2259</x:f>
        <x:v>0.10000000000000142</x:v>
      </x:c>
      <x:c r="L2259" s="40" t="n">
        <x:f>ABS(K2259)</x:f>
        <x:v>0.10000000000000142</x:v>
      </x:c>
      <x:c r="M2259" s="41" t="str">
        <x:v>lstm-soil-v1</x:v>
      </x:c>
    </x:row>
    <x:row r="2260">
      <x:c r="A2260" s="38" t="str">
        <x:v>7月30日现场数据</x:v>
      </x:c>
      <x:c r="B2260" s="39" t="str">
        <x:v>2026-08-02T12:35:00</x:v>
      </x:c>
      <x:c r="C2260" s="39" t="str">
        <x:v>2026-08-02T12:40:00</x:v>
      </x:c>
      <x:c r="D2260" s="47" t="n">
        <x:v>5</x:v>
      </x:c>
      <x:c r="E2260" s="40" t="n">
        <x:v>15.3</x:v>
      </x:c>
      <x:c r="F2260" s="40" t="n">
        <x:v>13.6221923828125</x:v>
      </x:c>
      <x:c r="G2260" s="40" t="n">
        <x:v>15.3</x:v>
      </x:c>
      <x:c r="H2260" s="40" t="n">
        <x:f>F2260-E2260</x:f>
        <x:v>-1.6778076171875007</x:v>
      </x:c>
      <x:c r="I2260" s="40" t="n">
        <x:f>ABS(H2260)</x:f>
        <x:v>1.6778076171875007</x:v>
      </x:c>
      <x:c r="J2260" s="40" t="n">
        <x:f>H2260^2</x:f>
        <x:v>2.8150384002923987</x:v>
      </x:c>
      <x:c r="K2260" s="40" t="n">
        <x:f>G2260-E2260</x:f>
        <x:v>0</x:v>
      </x:c>
      <x:c r="L2260" s="40" t="n">
        <x:f>ABS(K2260)</x:f>
        <x:v>0</x:v>
      </x:c>
      <x:c r="M2260" s="41" t="str">
        <x:v>lstm-soil-v1</x:v>
      </x:c>
    </x:row>
    <x:row r="2261">
      <x:c r="A2261" s="38" t="str">
        <x:v>7月30日现场数据</x:v>
      </x:c>
      <x:c r="B2261" s="39" t="str">
        <x:v>2026-08-02T12:35:00</x:v>
      </x:c>
      <x:c r="C2261" s="39" t="str">
        <x:v>2026-08-02T12:50:00</x:v>
      </x:c>
      <x:c r="D2261" s="47" t="n">
        <x:v>15</x:v>
      </x:c>
      <x:c r="E2261" s="40" t="n">
        <x:v>15.3</x:v>
      </x:c>
      <x:c r="F2261" s="40" t="n">
        <x:v>13.702503204345703</x:v>
      </x:c>
      <x:c r="G2261" s="40" t="n">
        <x:v>15.3</x:v>
      </x:c>
      <x:c r="H2261" s="40" t="n">
        <x:f>F2261-E2261</x:f>
        <x:v>-1.5974967956542976</x:v>
      </x:c>
      <x:c r="I2261" s="40" t="n">
        <x:f>ABS(H2261)</x:f>
        <x:v>1.5974967956542976</x:v>
      </x:c>
      <x:c r="J2261" s="40" t="n">
        <x:f>H2261^2</x:f>
        <x:v>2.551996012125749</x:v>
      </x:c>
      <x:c r="K2261" s="40" t="n">
        <x:f>G2261-E2261</x:f>
        <x:v>0</x:v>
      </x:c>
      <x:c r="L2261" s="40" t="n">
        <x:f>ABS(K2261)</x:f>
        <x:v>0</x:v>
      </x:c>
      <x:c r="M2261" s="41" t="str">
        <x:v>lstm-soil-v1</x:v>
      </x:c>
    </x:row>
    <x:row r="2262">
      <x:c r="A2262" s="38" t="str">
        <x:v>7月30日现场数据</x:v>
      </x:c>
      <x:c r="B2262" s="39" t="str">
        <x:v>2026-08-02T12:35:00</x:v>
      </x:c>
      <x:c r="C2262" s="39" t="str">
        <x:v>2026-08-02T13:05:00</x:v>
      </x:c>
      <x:c r="D2262" s="47" t="n">
        <x:v>30</x:v>
      </x:c>
      <x:c r="E2262" s="40" t="n">
        <x:v>15.2</x:v>
      </x:c>
      <x:c r="F2262" s="40" t="n">
        <x:v>14.122821807861328</x:v>
      </x:c>
      <x:c r="G2262" s="40" t="n">
        <x:v>15.3</x:v>
      </x:c>
      <x:c r="H2262" s="40" t="n">
        <x:f>F2262-E2262</x:f>
        <x:v>-1.0771781921386712</x:v>
      </x:c>
      <x:c r="I2262" s="40" t="n">
        <x:f>ABS(H2262)</x:f>
        <x:v>1.0771781921386712</x:v>
      </x:c>
      <x:c r="J2262" s="40" t="n">
        <x:f>H2262^2</x:f>
        <x:v>1.160312857619136</x:v>
      </x:c>
      <x:c r="K2262" s="40" t="n">
        <x:f>G2262-E2262</x:f>
        <x:v>0.10000000000000142</x:v>
      </x:c>
      <x:c r="L2262" s="40" t="n">
        <x:f>ABS(K2262)</x:f>
        <x:v>0.10000000000000142</x:v>
      </x:c>
      <x:c r="M2262" s="41" t="str">
        <x:v>lstm-soil-v1</x:v>
      </x:c>
    </x:row>
    <x:row r="2263">
      <x:c r="A2263" s="38" t="str">
        <x:v>7月30日现场数据</x:v>
      </x:c>
      <x:c r="B2263" s="39" t="str">
        <x:v>2026-08-02T12:35:00</x:v>
      </x:c>
      <x:c r="C2263" s="39" t="str">
        <x:v>2026-08-02T13:35:00</x:v>
      </x:c>
      <x:c r="D2263" s="47" t="n">
        <x:v>60</x:v>
      </x:c>
      <x:c r="E2263" s="40" t="n">
        <x:v>15.2</x:v>
      </x:c>
      <x:c r="F2263" s="40" t="n">
        <x:v>15.785568237304688</x:v>
      </x:c>
      <x:c r="G2263" s="40" t="n">
        <x:v>15.3</x:v>
      </x:c>
      <x:c r="H2263" s="40" t="n">
        <x:f>F2263-E2263</x:f>
        <x:v>0.5855682373046882</x:v>
      </x:c>
      <x:c r="I2263" s="40" t="n">
        <x:f>ABS(H2263)</x:f>
        <x:v>0.5855682373046882</x:v>
      </x:c>
      <x:c r="J2263" s="40" t="n">
        <x:f>H2263^2</x:f>
        <x:v>0.34289016054011967</x:v>
      </x:c>
      <x:c r="K2263" s="40" t="n">
        <x:f>G2263-E2263</x:f>
        <x:v>0.10000000000000142</x:v>
      </x:c>
      <x:c r="L2263" s="40" t="n">
        <x:f>ABS(K2263)</x:f>
        <x:v>0.10000000000000142</x:v>
      </x:c>
      <x:c r="M2263" s="41" t="str">
        <x:v>lstm-soil-v1</x:v>
      </x:c>
    </x:row>
    <x:row r="2264">
      <x:c r="A2264" s="38" t="str">
        <x:v>7月30日现场数据</x:v>
      </x:c>
      <x:c r="B2264" s="39" t="str">
        <x:v>2026-08-02T12:40:00</x:v>
      </x:c>
      <x:c r="C2264" s="39" t="str">
        <x:v>2026-08-02T12:45:00</x:v>
      </x:c>
      <x:c r="D2264" s="47" t="n">
        <x:v>5</x:v>
      </x:c>
      <x:c r="E2264" s="40" t="n">
        <x:v>15.3</x:v>
      </x:c>
      <x:c r="F2264" s="40" t="n">
        <x:v>13.622329711914062</x:v>
      </x:c>
      <x:c r="G2264" s="40" t="n">
        <x:v>15.3</x:v>
      </x:c>
      <x:c r="H2264" s="40" t="n">
        <x:f>F2264-E2264</x:f>
        <x:v>-1.6776702880859382</x:v>
      </x:c>
      <x:c r="I2264" s="40" t="n">
        <x:f>ABS(H2264)</x:f>
        <x:v>1.6776702880859382</x:v>
      </x:c>
      <x:c r="J2264" s="40" t="n">
        <x:f>H2264^2</x:f>
        <x:v>2.814577595526355</x:v>
      </x:c>
      <x:c r="K2264" s="40" t="n">
        <x:f>G2264-E2264</x:f>
        <x:v>0</x:v>
      </x:c>
      <x:c r="L2264" s="40" t="n">
        <x:f>ABS(K2264)</x:f>
        <x:v>0</x:v>
      </x:c>
      <x:c r="M2264" s="41" t="str">
        <x:v>lstm-soil-v1</x:v>
      </x:c>
    </x:row>
    <x:row r="2265">
      <x:c r="A2265" s="38" t="str">
        <x:v>7月30日现场数据</x:v>
      </x:c>
      <x:c r="B2265" s="39" t="str">
        <x:v>2026-08-02T12:40:00</x:v>
      </x:c>
      <x:c r="C2265" s="39" t="str">
        <x:v>2026-08-02T12:55:00</x:v>
      </x:c>
      <x:c r="D2265" s="47" t="n">
        <x:v>15</x:v>
      </x:c>
      <x:c r="E2265" s="40" t="n">
        <x:v>15.3</x:v>
      </x:c>
      <x:c r="F2265" s="40" t="n">
        <x:v>13.701671600341797</x:v>
      </x:c>
      <x:c r="G2265" s="40" t="n">
        <x:v>15.3</x:v>
      </x:c>
      <x:c r="H2265" s="40" t="n">
        <x:f>F2265-E2265</x:f>
        <x:v>-1.5983283996582038</x:v>
      </x:c>
      <x:c r="I2265" s="40" t="n">
        <x:f>ABS(H2265)</x:f>
        <x:v>1.5983283996582038</x:v>
      </x:c>
      <x:c r="J2265" s="40" t="n">
        <x:f>H2265^2</x:f>
        <x:v>2.554653673153955</x:v>
      </x:c>
      <x:c r="K2265" s="40" t="n">
        <x:f>G2265-E2265</x:f>
        <x:v>0</x:v>
      </x:c>
      <x:c r="L2265" s="40" t="n">
        <x:f>ABS(K2265)</x:f>
        <x:v>0</x:v>
      </x:c>
      <x:c r="M2265" s="41" t="str">
        <x:v>lstm-soil-v1</x:v>
      </x:c>
    </x:row>
    <x:row r="2266">
      <x:c r="A2266" s="38" t="str">
        <x:v>7月30日现场数据</x:v>
      </x:c>
      <x:c r="B2266" s="39" t="str">
        <x:v>2026-08-02T12:40:00</x:v>
      </x:c>
      <x:c r="C2266" s="39" t="str">
        <x:v>2026-08-02T13:10:00</x:v>
      </x:c>
      <x:c r="D2266" s="47" t="n">
        <x:v>30</x:v>
      </x:c>
      <x:c r="E2266" s="40" t="n">
        <x:v>15.2</x:v>
      </x:c>
      <x:c r="F2266" s="40" t="n">
        <x:v>14.122268676757812</x:v>
      </x:c>
      <x:c r="G2266" s="40" t="n">
        <x:v>15.3</x:v>
      </x:c>
      <x:c r="H2266" s="40" t="n">
        <x:f>F2266-E2266</x:f>
        <x:v>-1.0777313232421868</x:v>
      </x:c>
      <x:c r="I2266" s="40" t="n">
        <x:f>ABS(H2266)</x:f>
        <x:v>1.0777313232421868</x:v>
      </x:c>
      <x:c r="J2266" s="40" t="n">
        <x:f>H2266^2</x:f>
        <x:v>1.1615048050973549</x:v>
      </x:c>
      <x:c r="K2266" s="40" t="n">
        <x:f>G2266-E2266</x:f>
        <x:v>0.10000000000000142</x:v>
      </x:c>
      <x:c r="L2266" s="40" t="n">
        <x:f>ABS(K2266)</x:f>
        <x:v>0.10000000000000142</x:v>
      </x:c>
      <x:c r="M2266" s="41" t="str">
        <x:v>lstm-soil-v1</x:v>
      </x:c>
    </x:row>
    <x:row r="2267">
      <x:c r="A2267" s="38" t="str">
        <x:v>7月30日现场数据</x:v>
      </x:c>
      <x:c r="B2267" s="39" t="str">
        <x:v>2026-08-02T12:40:00</x:v>
      </x:c>
      <x:c r="C2267" s="39" t="str">
        <x:v>2026-08-02T13:40:00</x:v>
      </x:c>
      <x:c r="D2267" s="47" t="n">
        <x:v>60</x:v>
      </x:c>
      <x:c r="E2267" s="40" t="n">
        <x:v>15.2</x:v>
      </x:c>
      <x:c r="F2267" s="40" t="n">
        <x:v>15.785411834716797</x:v>
      </x:c>
      <x:c r="G2267" s="40" t="n">
        <x:v>15.3</x:v>
      </x:c>
      <x:c r="H2267" s="40" t="n">
        <x:f>F2267-E2267</x:f>
        <x:v>0.5854118347167976</x:v>
      </x:c>
      <x:c r="I2267" s="40" t="n">
        <x:f>ABS(H2267)</x:f>
        <x:v>0.5854118347167976</x:v>
      </x:c>
      <x:c r="J2267" s="40" t="n">
        <x:f>H2267^2</x:f>
        <x:v>0.34270701622648714</x:v>
      </x:c>
      <x:c r="K2267" s="40" t="n">
        <x:f>G2267-E2267</x:f>
        <x:v>0.10000000000000142</x:v>
      </x:c>
      <x:c r="L2267" s="40" t="n">
        <x:f>ABS(K2267)</x:f>
        <x:v>0.10000000000000142</x:v>
      </x:c>
      <x:c r="M2267" s="41" t="str">
        <x:v>lstm-soil-v1</x:v>
      </x:c>
    </x:row>
    <x:row r="2268">
      <x:c r="A2268" s="38" t="str">
        <x:v>7月30日现场数据</x:v>
      </x:c>
      <x:c r="B2268" s="39" t="str">
        <x:v>2026-08-02T12:45:00</x:v>
      </x:c>
      <x:c r="C2268" s="39" t="str">
        <x:v>2026-08-02T12:50:00</x:v>
      </x:c>
      <x:c r="D2268" s="47" t="n">
        <x:v>5</x:v>
      </x:c>
      <x:c r="E2268" s="40" t="n">
        <x:v>15.3</x:v>
      </x:c>
      <x:c r="F2268" s="40" t="n">
        <x:v>13.623401641845703</x:v>
      </x:c>
      <x:c r="G2268" s="40" t="n">
        <x:v>15.3</x:v>
      </x:c>
      <x:c r="H2268" s="40" t="n">
        <x:f>F2268-E2268</x:f>
        <x:v>-1.6765983581542976</x:v>
      </x:c>
      <x:c r="I2268" s="40" t="n">
        <x:f>ABS(H2268)</x:f>
        <x:v>1.6765983581542976</x:v>
      </x:c>
      <x:c r="J2268" s="40" t="n">
        <x:f>H2268^2</x:f>
        <x:v>2.8109820545656863</x:v>
      </x:c>
      <x:c r="K2268" s="40" t="n">
        <x:f>G2268-E2268</x:f>
        <x:v>0</x:v>
      </x:c>
      <x:c r="L2268" s="40" t="n">
        <x:f>ABS(K2268)</x:f>
        <x:v>0</x:v>
      </x:c>
      <x:c r="M2268" s="41" t="str">
        <x:v>lstm-soil-v1</x:v>
      </x:c>
    </x:row>
    <x:row r="2269">
      <x:c r="A2269" s="38" t="str">
        <x:v>7月30日现场数据</x:v>
      </x:c>
      <x:c r="B2269" s="39" t="str">
        <x:v>2026-08-02T12:45:00</x:v>
      </x:c>
      <x:c r="C2269" s="39" t="str">
        <x:v>2026-08-02T13:00:00</x:v>
      </x:c>
      <x:c r="D2269" s="47" t="n">
        <x:v>15</x:v>
      </x:c>
      <x:c r="E2269" s="40" t="n">
        <x:v>15.2</x:v>
      </x:c>
      <x:c r="F2269" s="40" t="n">
        <x:v>13.701679229736328</x:v>
      </x:c>
      <x:c r="G2269" s="40" t="n">
        <x:v>15.3</x:v>
      </x:c>
      <x:c r="H2269" s="40" t="n">
        <x:f>F2269-E2269</x:f>
        <x:v>-1.4983207702636712</x:v>
      </x:c>
      <x:c r="I2269" s="40" t="n">
        <x:f>ABS(H2269)</x:f>
        <x:v>1.4983207702636712</x:v>
      </x:c>
      <x:c r="J2269" s="40" t="n">
        <x:f>H2269^2</x:f>
        <x:v>2.244965130603521</x:v>
      </x:c>
      <x:c r="K2269" s="40" t="n">
        <x:f>G2269-E2269</x:f>
        <x:v>0.10000000000000142</x:v>
      </x:c>
      <x:c r="L2269" s="40" t="n">
        <x:f>ABS(K2269)</x:f>
        <x:v>0.10000000000000142</x:v>
      </x:c>
      <x:c r="M2269" s="41" t="str">
        <x:v>lstm-soil-v1</x:v>
      </x:c>
    </x:row>
    <x:row r="2270">
      <x:c r="A2270" s="38" t="str">
        <x:v>7月30日现场数据</x:v>
      </x:c>
      <x:c r="B2270" s="39" t="str">
        <x:v>2026-08-02T12:45:00</x:v>
      </x:c>
      <x:c r="C2270" s="39" t="str">
        <x:v>2026-08-02T13:15:00</x:v>
      </x:c>
      <x:c r="D2270" s="47" t="n">
        <x:v>30</x:v>
      </x:c>
      <x:c r="E2270" s="40" t="n">
        <x:v>15.2</x:v>
      </x:c>
      <x:c r="F2270" s="40" t="n">
        <x:v>14.123359680175781</x:v>
      </x:c>
      <x:c r="G2270" s="40" t="n">
        <x:v>15.3</x:v>
      </x:c>
      <x:c r="H2270" s="40" t="n">
        <x:f>F2270-E2270</x:f>
        <x:v>-1.076640319824218</x:v>
      </x:c>
      <x:c r="I2270" s="40" t="n">
        <x:f>ABS(H2270)</x:f>
        <x:v>1.076640319824218</x:v>
      </x:c>
      <x:c r="J2270" s="40" t="n">
        <x:f>H2270^2</x:f>
        <x:v>1.1591543782711946</x:v>
      </x:c>
      <x:c r="K2270" s="40" t="n">
        <x:f>G2270-E2270</x:f>
        <x:v>0.10000000000000142</x:v>
      </x:c>
      <x:c r="L2270" s="40" t="n">
        <x:f>ABS(K2270)</x:f>
        <x:v>0.10000000000000142</x:v>
      </x:c>
      <x:c r="M2270" s="41" t="str">
        <x:v>lstm-soil-v1</x:v>
      </x:c>
    </x:row>
    <x:row r="2271">
      <x:c r="A2271" s="38" t="str">
        <x:v>7月30日现场数据</x:v>
      </x:c>
      <x:c r="B2271" s="39" t="str">
        <x:v>2026-08-02T12:45:00</x:v>
      </x:c>
      <x:c r="C2271" s="39" t="str">
        <x:v>2026-08-02T13:45:00</x:v>
      </x:c>
      <x:c r="D2271" s="47" t="n">
        <x:v>60</x:v>
      </x:c>
      <x:c r="E2271" s="40" t="n">
        <x:v>15.2</x:v>
      </x:c>
      <x:c r="F2271" s="40" t="n">
        <x:v>15.786422729492188</x:v>
      </x:c>
      <x:c r="G2271" s="40" t="n">
        <x:v>15.3</x:v>
      </x:c>
      <x:c r="H2271" s="40" t="n">
        <x:f>F2271-E2271</x:f>
        <x:v>0.5864227294921882</x:v>
      </x:c>
      <x:c r="I2271" s="40" t="n">
        <x:f>ABS(H2271)</x:f>
        <x:v>0.5864227294921882</x:v>
      </x:c>
      <x:c r="J2271" s="40" t="n">
        <x:f>H2271^2</x:f>
        <x:v>0.34389161766506815</x:v>
      </x:c>
      <x:c r="K2271" s="40" t="n">
        <x:f>G2271-E2271</x:f>
        <x:v>0.10000000000000142</x:v>
      </x:c>
      <x:c r="L2271" s="40" t="n">
        <x:f>ABS(K2271)</x:f>
        <x:v>0.10000000000000142</x:v>
      </x:c>
      <x:c r="M2271" s="41" t="str">
        <x:v>lstm-soil-v1</x:v>
      </x:c>
    </x:row>
    <x:row r="2272">
      <x:c r="A2272" s="38" t="str">
        <x:v>7月30日现场数据</x:v>
      </x:c>
      <x:c r="B2272" s="39" t="str">
        <x:v>2026-08-02T12:50:00</x:v>
      </x:c>
      <x:c r="C2272" s="39" t="str">
        <x:v>2026-08-02T12:55:00</x:v>
      </x:c>
      <x:c r="D2272" s="47" t="n">
        <x:v>5</x:v>
      </x:c>
      <x:c r="E2272" s="40" t="n">
        <x:v>15.3</x:v>
      </x:c>
      <x:c r="F2272" s="40" t="n">
        <x:v>13.623477935791016</x:v>
      </x:c>
      <x:c r="G2272" s="40" t="n">
        <x:v>15.3</x:v>
      </x:c>
      <x:c r="H2272" s="40" t="n">
        <x:f>F2272-E2272</x:f>
        <x:v>-1.676522064208985</x:v>
      </x:c>
      <x:c r="I2272" s="40" t="n">
        <x:f>ABS(H2272)</x:f>
        <x:v>1.676522064208985</x:v>
      </x:c>
      <x:c r="J2272" s="40" t="n">
        <x:f>H2272^2</x:f>
        <x:v>2.8107262317795563</x:v>
      </x:c>
      <x:c r="K2272" s="40" t="n">
        <x:f>G2272-E2272</x:f>
        <x:v>0</x:v>
      </x:c>
      <x:c r="L2272" s="40" t="n">
        <x:f>ABS(K2272)</x:f>
        <x:v>0</x:v>
      </x:c>
      <x:c r="M2272" s="41" t="str">
        <x:v>lstm-soil-v1</x:v>
      </x:c>
    </x:row>
    <x:row r="2273">
      <x:c r="A2273" s="38" t="str">
        <x:v>7月30日现场数据</x:v>
      </x:c>
      <x:c r="B2273" s="39" t="str">
        <x:v>2026-08-02T12:50:00</x:v>
      </x:c>
      <x:c r="C2273" s="39" t="str">
        <x:v>2026-08-02T13:05:00</x:v>
      </x:c>
      <x:c r="D2273" s="47" t="n">
        <x:v>15</x:v>
      </x:c>
      <x:c r="E2273" s="40" t="n">
        <x:v>15.2</x:v>
      </x:c>
      <x:c r="F2273" s="40" t="n">
        <x:v>13.703239440917969</x:v>
      </x:c>
      <x:c r="G2273" s="40" t="n">
        <x:v>15.3</x:v>
      </x:c>
      <x:c r="H2273" s="40" t="n">
        <x:f>F2273-E2273</x:f>
        <x:v>-1.4967605590820305</x:v>
      </x:c>
      <x:c r="I2273" s="40" t="n">
        <x:f>ABS(H2273)</x:f>
        <x:v>1.4967605590820305</x:v>
      </x:c>
      <x:c r="J2273" s="40" t="n">
        <x:f>H2273^2</x:f>
        <x:v>2.240292171223553</x:v>
      </x:c>
      <x:c r="K2273" s="40" t="n">
        <x:f>G2273-E2273</x:f>
        <x:v>0.10000000000000142</x:v>
      </x:c>
      <x:c r="L2273" s="40" t="n">
        <x:f>ABS(K2273)</x:f>
        <x:v>0.10000000000000142</x:v>
      </x:c>
      <x:c r="M2273" s="41" t="str">
        <x:v>lstm-soil-v1</x:v>
      </x:c>
    </x:row>
    <x:row r="2274">
      <x:c r="A2274" s="38" t="str">
        <x:v>7月30日现场数据</x:v>
      </x:c>
      <x:c r="B2274" s="39" t="str">
        <x:v>2026-08-02T12:50:00</x:v>
      </x:c>
      <x:c r="C2274" s="39" t="str">
        <x:v>2026-08-02T13:20:00</x:v>
      </x:c>
      <x:c r="D2274" s="47" t="n">
        <x:v>30</x:v>
      </x:c>
      <x:c r="E2274" s="40" t="n">
        <x:v>15.2</x:v>
      </x:c>
      <x:c r="F2274" s="40" t="n">
        <x:v>14.123271942138672</x:v>
      </x:c>
      <x:c r="G2274" s="40" t="n">
        <x:v>15.3</x:v>
      </x:c>
      <x:c r="H2274" s="40" t="n">
        <x:f>F2274-E2274</x:f>
        <x:v>-1.0767280578613274</x:v>
      </x:c>
      <x:c r="I2274" s="40" t="n">
        <x:f>ABS(H2274)</x:f>
        <x:v>1.0767280578613274</x:v>
      </x:c>
      <x:c r="J2274" s="40" t="n">
        <x:f>H2274^2</x:f>
        <x:v>1.159343310585826</x:v>
      </x:c>
      <x:c r="K2274" s="40" t="n">
        <x:f>G2274-E2274</x:f>
        <x:v>0.10000000000000142</x:v>
      </x:c>
      <x:c r="L2274" s="40" t="n">
        <x:f>ABS(K2274)</x:f>
        <x:v>0.10000000000000142</x:v>
      </x:c>
      <x:c r="M2274" s="41" t="str">
        <x:v>lstm-soil-v1</x:v>
      </x:c>
    </x:row>
    <x:row r="2275">
      <x:c r="A2275" s="38" t="str">
        <x:v>7月30日现场数据</x:v>
      </x:c>
      <x:c r="B2275" s="39" t="str">
        <x:v>2026-08-02T12:50:00</x:v>
      </x:c>
      <x:c r="C2275" s="39" t="str">
        <x:v>2026-08-02T13:50:00</x:v>
      </x:c>
      <x:c r="D2275" s="47" t="n">
        <x:v>60</x:v>
      </x:c>
      <x:c r="E2275" s="40" t="n">
        <x:v>15.2</x:v>
      </x:c>
      <x:c r="F2275" s="40" t="n">
        <x:v>15.78329086303711</x:v>
      </x:c>
      <x:c r="G2275" s="40" t="n">
        <x:v>15.3</x:v>
      </x:c>
      <x:c r="H2275" s="40" t="n">
        <x:f>F2275-E2275</x:f>
        <x:v>0.5832908630371101</x:v>
      </x:c>
      <x:c r="I2275" s="40" t="n">
        <x:f>ABS(H2275)</x:f>
        <x:v>0.5832908630371101</x:v>
      </x:c>
      <x:c r="J2275" s="40" t="n">
        <x:f>H2275^2</x:f>
        <x:v>0.3402282309025767</x:v>
      </x:c>
      <x:c r="K2275" s="40" t="n">
        <x:f>G2275-E2275</x:f>
        <x:v>0.10000000000000142</x:v>
      </x:c>
      <x:c r="L2275" s="40" t="n">
        <x:f>ABS(K2275)</x:f>
        <x:v>0.10000000000000142</x:v>
      </x:c>
      <x:c r="M2275" s="41" t="str">
        <x:v>lstm-soil-v1</x:v>
      </x:c>
    </x:row>
    <x:row r="2276">
      <x:c r="A2276" s="38" t="str">
        <x:v>7月30日现场数据</x:v>
      </x:c>
      <x:c r="B2276" s="39" t="str">
        <x:v>2026-08-02T12:55:00</x:v>
      </x:c>
      <x:c r="C2276" s="39" t="str">
        <x:v>2026-08-02T13:00:00</x:v>
      </x:c>
      <x:c r="D2276" s="47" t="n">
        <x:v>5</x:v>
      </x:c>
      <x:c r="E2276" s="40" t="n">
        <x:v>15.2</x:v>
      </x:c>
      <x:c r="F2276" s="40" t="n">
        <x:v>13.622611999511719</x:v>
      </x:c>
      <x:c r="G2276" s="40" t="n">
        <x:v>15.3</x:v>
      </x:c>
      <x:c r="H2276" s="40" t="n">
        <x:f>F2276-E2276</x:f>
        <x:v>-1.5773880004882805</x:v>
      </x:c>
      <x:c r="I2276" s="40" t="n">
        <x:f>ABS(H2276)</x:f>
        <x:v>1.5773880004882805</x:v>
      </x:c>
      <x:c r="J2276" s="40" t="n">
        <x:f>H2276^2</x:f>
        <x:v>2.4881529040844157</x:v>
      </x:c>
      <x:c r="K2276" s="40" t="n">
        <x:f>G2276-E2276</x:f>
        <x:v>0.10000000000000142</x:v>
      </x:c>
      <x:c r="L2276" s="40" t="n">
        <x:f>ABS(K2276)</x:f>
        <x:v>0.10000000000000142</x:v>
      </x:c>
      <x:c r="M2276" s="41" t="str">
        <x:v>lstm-soil-v1</x:v>
      </x:c>
    </x:row>
    <x:row r="2277">
      <x:c r="A2277" s="38" t="str">
        <x:v>7月30日现场数据</x:v>
      </x:c>
      <x:c r="B2277" s="39" t="str">
        <x:v>2026-08-02T12:55:00</x:v>
      </x:c>
      <x:c r="C2277" s="39" t="str">
        <x:v>2026-08-02T13:10:00</x:v>
      </x:c>
      <x:c r="D2277" s="47" t="n">
        <x:v>15</x:v>
      </x:c>
      <x:c r="E2277" s="40" t="n">
        <x:v>15.2</x:v>
      </x:c>
      <x:c r="F2277" s="40" t="n">
        <x:v>13.703376770019531</x:v>
      </x:c>
      <x:c r="G2277" s="40" t="n">
        <x:v>15.3</x:v>
      </x:c>
      <x:c r="H2277" s="40" t="n">
        <x:f>F2277-E2277</x:f>
        <x:v>-1.496623229980468</x:v>
      </x:c>
      <x:c r="I2277" s="40" t="n">
        <x:f>ABS(H2277)</x:f>
        <x:v>1.496623229980468</x:v>
      </x:c>
      <x:c r="J2277" s="40" t="n">
        <x:f>H2277^2</x:f>
        <x:v>2.239881092517169</x:v>
      </x:c>
      <x:c r="K2277" s="40" t="n">
        <x:f>G2277-E2277</x:f>
        <x:v>0.10000000000000142</x:v>
      </x:c>
      <x:c r="L2277" s="40" t="n">
        <x:f>ABS(K2277)</x:f>
        <x:v>0.10000000000000142</x:v>
      </x:c>
      <x:c r="M2277" s="41" t="str">
        <x:v>lstm-soil-v1</x:v>
      </x:c>
    </x:row>
    <x:row r="2278">
      <x:c r="A2278" s="38" t="str">
        <x:v>7月30日现场数据</x:v>
      </x:c>
      <x:c r="B2278" s="39" t="str">
        <x:v>2026-08-02T12:55:00</x:v>
      </x:c>
      <x:c r="C2278" s="39" t="str">
        <x:v>2026-08-02T13:25:00</x:v>
      </x:c>
      <x:c r="D2278" s="47" t="n">
        <x:v>30</x:v>
      </x:c>
      <x:c r="E2278" s="40" t="n">
        <x:v>15.2</x:v>
      </x:c>
      <x:c r="F2278" s="40" t="n">
        <x:v>14.121105194091797</x:v>
      </x:c>
      <x:c r="G2278" s="40" t="n">
        <x:v>15.3</x:v>
      </x:c>
      <x:c r="H2278" s="40" t="n">
        <x:f>F2278-E2278</x:f>
        <x:v>-1.0788948059082024</x:v>
      </x:c>
      <x:c r="I2278" s="40" t="n">
        <x:f>ABS(H2278)</x:f>
        <x:v>1.0788948059082024</x:v>
      </x:c>
      <x:c r="J2278" s="40" t="n">
        <x:f>H2278^2</x:f>
        <x:v>1.1640140022156977</x:v>
      </x:c>
      <x:c r="K2278" s="40" t="n">
        <x:f>G2278-E2278</x:f>
        <x:v>0.10000000000000142</x:v>
      </x:c>
      <x:c r="L2278" s="40" t="n">
        <x:f>ABS(K2278)</x:f>
        <x:v>0.10000000000000142</x:v>
      </x:c>
      <x:c r="M2278" s="41" t="str">
        <x:v>lstm-soil-v1</x:v>
      </x:c>
    </x:row>
    <x:row r="2279">
      <x:c r="A2279" s="38" t="str">
        <x:v>7月30日现场数据</x:v>
      </x:c>
      <x:c r="B2279" s="39" t="str">
        <x:v>2026-08-02T12:55:00</x:v>
      </x:c>
      <x:c r="C2279" s="39" t="str">
        <x:v>2026-08-02T13:55:00</x:v>
      </x:c>
      <x:c r="D2279" s="47" t="n">
        <x:v>60</x:v>
      </x:c>
      <x:c r="E2279" s="40" t="n">
        <x:v>15.1</x:v>
      </x:c>
      <x:c r="F2279" s="40" t="n">
        <x:v>15.780540466308594</x:v>
      </x:c>
      <x:c r="G2279" s="40" t="n">
        <x:v>15.3</x:v>
      </x:c>
      <x:c r="H2279" s="40" t="n">
        <x:f>F2279-E2279</x:f>
        <x:v>0.6805404663085941</x:v>
      </x:c>
      <x:c r="I2279" s="40" t="n">
        <x:f>ABS(H2279)</x:f>
        <x:v>0.6805404663085941</x:v>
      </x:c>
      <x:c r="J2279" s="40" t="n">
        <x:f>H2279^2</x:f>
        <x:v>0.4631353262835187</x:v>
      </x:c>
      <x:c r="K2279" s="40" t="n">
        <x:f>G2279-E2279</x:f>
        <x:v>0.20000000000000107</x:v>
      </x:c>
      <x:c r="L2279" s="40" t="n">
        <x:f>ABS(K2279)</x:f>
        <x:v>0.20000000000000107</x:v>
      </x:c>
      <x:c r="M2279" s="41" t="str">
        <x:v>lstm-soil-v1</x:v>
      </x:c>
    </x:row>
    <x:row r="2280">
      <x:c r="A2280" s="38" t="str">
        <x:v>7月30日现场数据</x:v>
      </x:c>
      <x:c r="B2280" s="39" t="str">
        <x:v>2026-08-02T13:00:00</x:v>
      </x:c>
      <x:c r="C2280" s="39" t="str">
        <x:v>2026-08-02T13:05:00</x:v>
      </x:c>
      <x:c r="D2280" s="47" t="n">
        <x:v>5</x:v>
      </x:c>
      <x:c r="E2280" s="40" t="n">
        <x:v>15.2</x:v>
      </x:c>
      <x:c r="F2280" s="40" t="n">
        <x:v>13.514999389648438</x:v>
      </x:c>
      <x:c r="G2280" s="40" t="n">
        <x:v>15.2</x:v>
      </x:c>
      <x:c r="H2280" s="40" t="n">
        <x:f>F2280-E2280</x:f>
        <x:v>-1.6850006103515618</x:v>
      </x:c>
      <x:c r="I2280" s="40" t="n">
        <x:f>ABS(H2280)</x:f>
        <x:v>1.6850006103515618</x:v>
      </x:c>
      <x:c r="J2280" s="40" t="n">
        <x:f>H2280^2</x:f>
        <x:v>2.839227056885136</x:v>
      </x:c>
      <x:c r="K2280" s="40" t="n">
        <x:f>G2280-E2280</x:f>
        <x:v>0</x:v>
      </x:c>
      <x:c r="L2280" s="40" t="n">
        <x:f>ABS(K2280)</x:f>
        <x:v>0</x:v>
      </x:c>
      <x:c r="M2280" s="41" t="str">
        <x:v>lstm-soil-v1</x:v>
      </x:c>
    </x:row>
    <x:row r="2281">
      <x:c r="A2281" s="38" t="str">
        <x:v>7月30日现场数据</x:v>
      </x:c>
      <x:c r="B2281" s="39" t="str">
        <x:v>2026-08-02T13:00:00</x:v>
      </x:c>
      <x:c r="C2281" s="39" t="str">
        <x:v>2026-08-02T13:15:00</x:v>
      </x:c>
      <x:c r="D2281" s="47" t="n">
        <x:v>15</x:v>
      </x:c>
      <x:c r="E2281" s="40" t="n">
        <x:v>15.2</x:v>
      </x:c>
      <x:c r="F2281" s="40" t="n">
        <x:v>13.594295501708984</x:v>
      </x:c>
      <x:c r="G2281" s="40" t="n">
        <x:v>15.2</x:v>
      </x:c>
      <x:c r="H2281" s="40" t="n">
        <x:f>F2281-E2281</x:f>
        <x:v>-1.605704498291015</x:v>
      </x:c>
      <x:c r="I2281" s="40" t="n">
        <x:f>ABS(H2281)</x:f>
        <x:v>1.605704498291015</x:v>
      </x:c>
      <x:c r="J2281" s="40" t="n">
        <x:f>H2281^2</x:f>
        <x:v>2.5782869358319997</x:v>
      </x:c>
      <x:c r="K2281" s="40" t="n">
        <x:f>G2281-E2281</x:f>
        <x:v>0</x:v>
      </x:c>
      <x:c r="L2281" s="40" t="n">
        <x:f>ABS(K2281)</x:f>
        <x:v>0</x:v>
      </x:c>
      <x:c r="M2281" s="41" t="str">
        <x:v>lstm-soil-v1</x:v>
      </x:c>
    </x:row>
    <x:row r="2282">
      <x:c r="A2282" s="38" t="str">
        <x:v>7月30日现场数据</x:v>
      </x:c>
      <x:c r="B2282" s="39" t="str">
        <x:v>2026-08-02T13:00:00</x:v>
      </x:c>
      <x:c r="C2282" s="39" t="str">
        <x:v>2026-08-02T13:30:00</x:v>
      </x:c>
      <x:c r="D2282" s="47" t="n">
        <x:v>30</x:v>
      </x:c>
      <x:c r="E2282" s="40" t="n">
        <x:v>15.2</x:v>
      </x:c>
      <x:c r="F2282" s="40" t="n">
        <x:v>14.011768341064453</x:v>
      </x:c>
      <x:c r="G2282" s="40" t="n">
        <x:v>15.2</x:v>
      </x:c>
      <x:c r="H2282" s="40" t="n">
        <x:f>F2282-E2282</x:f>
        <x:v>-1.1882316589355462</x:v>
      </x:c>
      <x:c r="I2282" s="40" t="n">
        <x:f>ABS(H2282)</x:f>
        <x:v>1.1882316589355462</x:v>
      </x:c>
      <x:c r="J2282" s="40" t="n">
        <x:f>H2282^2</x:f>
        <x:v>1.4118944752967202</x:v>
      </x:c>
      <x:c r="K2282" s="40" t="n">
        <x:f>G2282-E2282</x:f>
        <x:v>0</x:v>
      </x:c>
      <x:c r="L2282" s="40" t="n">
        <x:f>ABS(K2282)</x:f>
        <x:v>0</x:v>
      </x:c>
      <x:c r="M2282" s="41" t="str">
        <x:v>lstm-soil-v1</x:v>
      </x:c>
    </x:row>
    <x:row r="2283">
      <x:c r="A2283" s="38" t="str">
        <x:v>7月30日现场数据</x:v>
      </x:c>
      <x:c r="B2283" s="39" t="str">
        <x:v>2026-08-02T13:00:00</x:v>
      </x:c>
      <x:c r="C2283" s="39" t="str">
        <x:v>2026-08-02T14:00:00</x:v>
      </x:c>
      <x:c r="D2283" s="47" t="n">
        <x:v>60</x:v>
      </x:c>
      <x:c r="E2283" s="40" t="n">
        <x:v>15.1</x:v>
      </x:c>
      <x:c r="F2283" s="40" t="n">
        <x:v>15.674461364746094</x:v>
      </x:c>
      <x:c r="G2283" s="40" t="n">
        <x:v>15.2</x:v>
      </x:c>
      <x:c r="H2283" s="40" t="n">
        <x:f>F2283-E2283</x:f>
        <x:v>0.5744613647460941</x:v>
      </x:c>
      <x:c r="I2283" s="40" t="n">
        <x:f>ABS(H2283)</x:f>
        <x:v>0.5744613647460941</x:v>
      </x:c>
      <x:c r="J2283" s="40" t="n">
        <x:f>H2283^2</x:f>
        <x:v>0.33000585958594497</x:v>
      </x:c>
      <x:c r="K2283" s="40" t="n">
        <x:f>G2283-E2283</x:f>
        <x:v>0.09999999999999964</x:v>
      </x:c>
      <x:c r="L2283" s="40" t="n">
        <x:f>ABS(K2283)</x:f>
        <x:v>0.09999999999999964</x:v>
      </x:c>
      <x:c r="M2283" s="41" t="str">
        <x:v>lstm-soil-v1</x:v>
      </x:c>
    </x:row>
    <x:row r="2284">
      <x:c r="A2284" s="38" t="str">
        <x:v>7月30日现场数据</x:v>
      </x:c>
      <x:c r="B2284" s="39" t="str">
        <x:v>2026-08-02T13:05:00</x:v>
      </x:c>
      <x:c r="C2284" s="39" t="str">
        <x:v>2026-08-02T13:10:00</x:v>
      </x:c>
      <x:c r="D2284" s="47" t="n">
        <x:v>5</x:v>
      </x:c>
      <x:c r="E2284" s="40" t="n">
        <x:v>15.2</x:v>
      </x:c>
      <x:c r="F2284" s="40" t="n">
        <x:v>13.516555786132812</x:v>
      </x:c>
      <x:c r="G2284" s="40" t="n">
        <x:v>15.2</x:v>
      </x:c>
      <x:c r="H2284" s="40" t="n">
        <x:f>F2284-E2284</x:f>
        <x:v>-1.6834442138671868</x:v>
      </x:c>
      <x:c r="I2284" s="40" t="n">
        <x:f>ABS(H2284)</x:f>
        <x:v>1.6834442138671868</x:v>
      </x:c>
      <x:c r="J2284" s="40" t="n">
        <x:f>H2284^2</x:f>
        <x:v>2.8339844212029104</x:v>
      </x:c>
      <x:c r="K2284" s="40" t="n">
        <x:f>G2284-E2284</x:f>
        <x:v>0</x:v>
      </x:c>
      <x:c r="L2284" s="40" t="n">
        <x:f>ABS(K2284)</x:f>
        <x:v>0</x:v>
      </x:c>
      <x:c r="M2284" s="41" t="str">
        <x:v>lstm-soil-v1</x:v>
      </x:c>
    </x:row>
    <x:row r="2285">
      <x:c r="A2285" s="38" t="str">
        <x:v>7月30日现场数据</x:v>
      </x:c>
      <x:c r="B2285" s="39" t="str">
        <x:v>2026-08-02T13:05:00</x:v>
      </x:c>
      <x:c r="C2285" s="39" t="str">
        <x:v>2026-08-02T13:20:00</x:v>
      </x:c>
      <x:c r="D2285" s="47" t="n">
        <x:v>15</x:v>
      </x:c>
      <x:c r="E2285" s="40" t="n">
        <x:v>15.2</x:v>
      </x:c>
      <x:c r="F2285" s="40" t="n">
        <x:v>13.593936920166016</x:v>
      </x:c>
      <x:c r="G2285" s="40" t="n">
        <x:v>15.2</x:v>
      </x:c>
      <x:c r="H2285" s="40" t="n">
        <x:f>F2285-E2285</x:f>
        <x:v>-1.6060630798339837</x:v>
      </x:c>
      <x:c r="I2285" s="40" t="n">
        <x:f>ABS(H2285)</x:f>
        <x:v>1.6060630798339837</x:v>
      </x:c>
      <x:c r="J2285" s="40" t="n">
        <x:f>H2285^2</x:f>
        <x:v>2.579438616405821</x:v>
      </x:c>
      <x:c r="K2285" s="40" t="n">
        <x:f>G2285-E2285</x:f>
        <x:v>0</x:v>
      </x:c>
      <x:c r="L2285" s="40" t="n">
        <x:f>ABS(K2285)</x:f>
        <x:v>0</x:v>
      </x:c>
      <x:c r="M2285" s="41" t="str">
        <x:v>lstm-soil-v1</x:v>
      </x:c>
    </x:row>
    <x:row r="2286">
      <x:c r="A2286" s="38" t="str">
        <x:v>7月30日现场数据</x:v>
      </x:c>
      <x:c r="B2286" s="39" t="str">
        <x:v>2026-08-02T13:05:00</x:v>
      </x:c>
      <x:c r="C2286" s="39" t="str">
        <x:v>2026-08-02T13:35:00</x:v>
      </x:c>
      <x:c r="D2286" s="47" t="n">
        <x:v>30</x:v>
      </x:c>
      <x:c r="E2286" s="40" t="n">
        <x:v>15.2</x:v>
      </x:c>
      <x:c r="F2286" s="40" t="n">
        <x:v>14.009475708007812</x:v>
      </x:c>
      <x:c r="G2286" s="40" t="n">
        <x:v>15.2</x:v>
      </x:c>
      <x:c r="H2286" s="40" t="n">
        <x:f>F2286-E2286</x:f>
        <x:v>-1.1905242919921868</x:v>
      </x:c>
      <x:c r="I2286" s="40" t="n">
        <x:f>ABS(H2286)</x:f>
        <x:v>1.1905242919921868</x:v>
      </x:c>
      <x:c r="J2286" s="40" t="n">
        <x:f>H2286^2</x:f>
        <x:v>1.4173480898234976</x:v>
      </x:c>
      <x:c r="K2286" s="40" t="n">
        <x:f>G2286-E2286</x:f>
        <x:v>0</x:v>
      </x:c>
      <x:c r="L2286" s="40" t="n">
        <x:f>ABS(K2286)</x:f>
        <x:v>0</x:v>
      </x:c>
      <x:c r="M2286" s="41" t="str">
        <x:v>lstm-soil-v1</x:v>
      </x:c>
    </x:row>
    <x:row r="2287">
      <x:c r="A2287" s="38" t="str">
        <x:v>7月30日现场数据</x:v>
      </x:c>
      <x:c r="B2287" s="39" t="str">
        <x:v>2026-08-02T13:05:00</x:v>
      </x:c>
      <x:c r="C2287" s="39" t="str">
        <x:v>2026-08-02T14:05:00</x:v>
      </x:c>
      <x:c r="D2287" s="47" t="n">
        <x:v>60</x:v>
      </x:c>
      <x:c r="E2287" s="40" t="n">
        <x:v>15.1</x:v>
      </x:c>
      <x:c r="F2287" s="40" t="n">
        <x:v>15.678291320800781</x:v>
      </x:c>
      <x:c r="G2287" s="40" t="n">
        <x:v>15.2</x:v>
      </x:c>
      <x:c r="H2287" s="40" t="n">
        <x:f>F2287-E2287</x:f>
        <x:v>0.5782913208007816</x:v>
      </x:c>
      <x:c r="I2287" s="40" t="n">
        <x:f>ABS(H2287)</x:f>
        <x:v>0.5782913208007816</x:v>
      </x:c>
      <x:c r="J2287" s="40" t="n">
        <x:f>H2287^2</x:f>
        <x:v>0.3344208517135125</x:v>
      </x:c>
      <x:c r="K2287" s="40" t="n">
        <x:f>G2287-E2287</x:f>
        <x:v>0.09999999999999964</x:v>
      </x:c>
      <x:c r="L2287" s="40" t="n">
        <x:f>ABS(K2287)</x:f>
        <x:v>0.09999999999999964</x:v>
      </x:c>
      <x:c r="M2287" s="41" t="str">
        <x:v>lstm-soil-v1</x:v>
      </x:c>
    </x:row>
    <x:row r="2288">
      <x:c r="A2288" s="38" t="str">
        <x:v>7月30日现场数据</x:v>
      </x:c>
      <x:c r="B2288" s="39" t="str">
        <x:v>2026-08-02T13:10:00</x:v>
      </x:c>
      <x:c r="C2288" s="39" t="str">
        <x:v>2026-08-02T13:15:00</x:v>
      </x:c>
      <x:c r="D2288" s="47" t="n">
        <x:v>5</x:v>
      </x:c>
      <x:c r="E2288" s="40" t="n">
        <x:v>15.2</x:v>
      </x:c>
      <x:c r="F2288" s="40" t="n">
        <x:v>13.52035903930664</x:v>
      </x:c>
      <x:c r="G2288" s="40" t="n">
        <x:v>15.2</x:v>
      </x:c>
      <x:c r="H2288" s="40" t="n">
        <x:f>F2288-E2288</x:f>
        <x:v>-1.6796409606933587</x:v>
      </x:c>
      <x:c r="I2288" s="40" t="n">
        <x:f>ABS(H2288)</x:f>
        <x:v>1.6796409606933587</x:v>
      </x:c>
      <x:c r="J2288" s="40" t="n">
        <x:f>H2288^2</x:f>
        <x:v>2.821193756838909</x:v>
      </x:c>
      <x:c r="K2288" s="40" t="n">
        <x:f>G2288-E2288</x:f>
        <x:v>0</x:v>
      </x:c>
      <x:c r="L2288" s="40" t="n">
        <x:f>ABS(K2288)</x:f>
        <x:v>0</x:v>
      </x:c>
      <x:c r="M2288" s="41" t="str">
        <x:v>lstm-soil-v1</x:v>
      </x:c>
    </x:row>
    <x:row r="2289">
      <x:c r="A2289" s="38" t="str">
        <x:v>7月30日现场数据</x:v>
      </x:c>
      <x:c r="B2289" s="39" t="str">
        <x:v>2026-08-02T13:10:00</x:v>
      </x:c>
      <x:c r="C2289" s="39" t="str">
        <x:v>2026-08-02T13:25:00</x:v>
      </x:c>
      <x:c r="D2289" s="47" t="n">
        <x:v>15</x:v>
      </x:c>
      <x:c r="E2289" s="40" t="n">
        <x:v>15.2</x:v>
      </x:c>
      <x:c r="F2289" s="40" t="n">
        <x:v>13.593341827392578</x:v>
      </x:c>
      <x:c r="G2289" s="40" t="n">
        <x:v>15.2</x:v>
      </x:c>
      <x:c r="H2289" s="40" t="n">
        <x:f>F2289-E2289</x:f>
        <x:v>-1.6066581726074212</x:v>
      </x:c>
      <x:c r="I2289" s="40" t="n">
        <x:f>ABS(H2289)</x:f>
        <x:v>1.6066581726074212</x:v>
      </x:c>
      <x:c r="J2289" s="40" t="n">
        <x:f>H2289^2</x:f>
        <x:v>2.5813504836062178</x:v>
      </x:c>
      <x:c r="K2289" s="40" t="n">
        <x:f>G2289-E2289</x:f>
        <x:v>0</x:v>
      </x:c>
      <x:c r="L2289" s="40" t="n">
        <x:f>ABS(K2289)</x:f>
        <x:v>0</x:v>
      </x:c>
      <x:c r="M2289" s="41" t="str">
        <x:v>lstm-soil-v1</x:v>
      </x:c>
    </x:row>
    <x:row r="2290">
      <x:c r="A2290" s="38" t="str">
        <x:v>7月30日现场数据</x:v>
      </x:c>
      <x:c r="B2290" s="39" t="str">
        <x:v>2026-08-02T13:10:00</x:v>
      </x:c>
      <x:c r="C2290" s="39" t="str">
        <x:v>2026-08-02T13:40:00</x:v>
      </x:c>
      <x:c r="D2290" s="47" t="n">
        <x:v>30</x:v>
      </x:c>
      <x:c r="E2290" s="40" t="n">
        <x:v>15.2</x:v>
      </x:c>
      <x:c r="F2290" s="40" t="n">
        <x:v>14.009998321533203</x:v>
      </x:c>
      <x:c r="G2290" s="40" t="n">
        <x:v>15.2</x:v>
      </x:c>
      <x:c r="H2290" s="40" t="n">
        <x:f>F2290-E2290</x:f>
        <x:v>-1.1900016784667962</x:v>
      </x:c>
      <x:c r="I2290" s="40" t="n">
        <x:f>ABS(H2290)</x:f>
        <x:v>1.1900016784667962</x:v>
      </x:c>
      <x:c r="J2290" s="40" t="n">
        <x:f>H2290^2</x:f>
        <x:v>1.4161039947537921</x:v>
      </x:c>
      <x:c r="K2290" s="40" t="n">
        <x:f>G2290-E2290</x:f>
        <x:v>0</x:v>
      </x:c>
      <x:c r="L2290" s="40" t="n">
        <x:f>ABS(K2290)</x:f>
        <x:v>0</x:v>
      </x:c>
      <x:c r="M2290" s="41" t="str">
        <x:v>lstm-soil-v1</x:v>
      </x:c>
    </x:row>
    <x:row r="2291">
      <x:c r="A2291" s="38" t="str">
        <x:v>7月30日现场数据</x:v>
      </x:c>
      <x:c r="B2291" s="39" t="str">
        <x:v>2026-08-02T13:10:00</x:v>
      </x:c>
      <x:c r="C2291" s="39" t="str">
        <x:v>2026-08-02T14:10:00</x:v>
      </x:c>
      <x:c r="D2291" s="47" t="n">
        <x:v>60</x:v>
      </x:c>
      <x:c r="E2291" s="40" t="n">
        <x:v>15.1</x:v>
      </x:c>
      <x:c r="F2291" s="40" t="n">
        <x:v>15.686019897460938</x:v>
      </x:c>
      <x:c r="G2291" s="40" t="n">
        <x:v>15.2</x:v>
      </x:c>
      <x:c r="H2291" s="40" t="n">
        <x:f>F2291-E2291</x:f>
        <x:v>0.5860198974609379</x:v>
      </x:c>
      <x:c r="I2291" s="40" t="n">
        <x:f>ABS(H2291)</x:f>
        <x:v>0.5860198974609379</x:v>
      </x:c>
      <x:c r="J2291" s="40" t="n">
        <x:f>H2291^2</x:f>
        <x:v>0.3434193202201281</x:v>
      </x:c>
      <x:c r="K2291" s="40" t="n">
        <x:f>G2291-E2291</x:f>
        <x:v>0.09999999999999964</x:v>
      </x:c>
      <x:c r="L2291" s="40" t="n">
        <x:f>ABS(K2291)</x:f>
        <x:v>0.09999999999999964</x:v>
      </x:c>
      <x:c r="M2291" s="41" t="str">
        <x:v>lstm-soil-v1</x:v>
      </x:c>
    </x:row>
    <x:row r="2292">
      <x:c r="A2292" s="38" t="str">
        <x:v>7月30日现场数据</x:v>
      </x:c>
      <x:c r="B2292" s="39" t="str">
        <x:v>2026-08-02T13:15:00</x:v>
      </x:c>
      <x:c r="C2292" s="39" t="str">
        <x:v>2026-08-02T13:20:00</x:v>
      </x:c>
      <x:c r="D2292" s="47" t="n">
        <x:v>5</x:v>
      </x:c>
      <x:c r="E2292" s="40" t="n">
        <x:v>15.2</x:v>
      </x:c>
      <x:c r="F2292" s="40" t="n">
        <x:v>13.541248321533203</x:v>
      </x:c>
      <x:c r="G2292" s="40" t="n">
        <x:v>15.2</x:v>
      </x:c>
      <x:c r="H2292" s="40" t="n">
        <x:f>F2292-E2292</x:f>
        <x:v>-1.6587516784667962</x:v>
      </x:c>
      <x:c r="I2292" s="40" t="n">
        <x:f>ABS(H2292)</x:f>
        <x:v>1.6587516784667962</x:v>
      </x:c>
      <x:c r="J2292" s="40" t="n">
        <x:f>H2292^2</x:f>
        <x:v>2.7514571308164135</x:v>
      </x:c>
      <x:c r="K2292" s="40" t="n">
        <x:f>G2292-E2292</x:f>
        <x:v>0</x:v>
      </x:c>
      <x:c r="L2292" s="40" t="n">
        <x:f>ABS(K2292)</x:f>
        <x:v>0</x:v>
      </x:c>
      <x:c r="M2292" s="41" t="str">
        <x:v>lstm-soil-v1</x:v>
      </x:c>
    </x:row>
    <x:row r="2293">
      <x:c r="A2293" s="38" t="str">
        <x:v>7月30日现场数据</x:v>
      </x:c>
      <x:c r="B2293" s="39" t="str">
        <x:v>2026-08-02T13:15:00</x:v>
      </x:c>
      <x:c r="C2293" s="39" t="str">
        <x:v>2026-08-02T13:30:00</x:v>
      </x:c>
      <x:c r="D2293" s="47" t="n">
        <x:v>15</x:v>
      </x:c>
      <x:c r="E2293" s="40" t="n">
        <x:v>15.2</x:v>
      </x:c>
      <x:c r="F2293" s="40" t="n">
        <x:v>13.58938980102539</x:v>
      </x:c>
      <x:c r="G2293" s="40" t="n">
        <x:v>15.2</x:v>
      </x:c>
      <x:c r="H2293" s="40" t="n">
        <x:f>F2293-E2293</x:f>
        <x:v>-1.6106101989746087</x:v>
      </x:c>
      <x:c r="I2293" s="40" t="n">
        <x:f>ABS(H2293)</x:f>
        <x:v>1.6106101989746087</x:v>
      </x:c>
      <x:c r="J2293" s="40" t="n">
        <x:f>H2293^2</x:f>
        <x:v>2.5940652130410284</x:v>
      </x:c>
      <x:c r="K2293" s="40" t="n">
        <x:f>G2293-E2293</x:f>
        <x:v>0</x:v>
      </x:c>
      <x:c r="L2293" s="40" t="n">
        <x:f>ABS(K2293)</x:f>
        <x:v>0</x:v>
      </x:c>
      <x:c r="M2293" s="41" t="str">
        <x:v>lstm-soil-v1</x:v>
      </x:c>
    </x:row>
    <x:row r="2294">
      <x:c r="A2294" s="38" t="str">
        <x:v>7月30日现场数据</x:v>
      </x:c>
      <x:c r="B2294" s="39" t="str">
        <x:v>2026-08-02T13:15:00</x:v>
      </x:c>
      <x:c r="C2294" s="39" t="str">
        <x:v>2026-08-02T13:45:00</x:v>
      </x:c>
      <x:c r="D2294" s="47" t="n">
        <x:v>30</x:v>
      </x:c>
      <x:c r="E2294" s="40" t="n">
        <x:v>15.2</x:v>
      </x:c>
      <x:c r="F2294" s="40" t="n">
        <x:v>14.035308837890625</x:v>
      </x:c>
      <x:c r="G2294" s="40" t="n">
        <x:v>15.2</x:v>
      </x:c>
      <x:c r="H2294" s="40" t="n">
        <x:f>F2294-E2294</x:f>
        <x:v>-1.1646911621093743</x:v>
      </x:c>
      <x:c r="I2294" s="40" t="n">
        <x:f>ABS(H2294)</x:f>
        <x:v>1.1646911621093743</x:v>
      </x:c>
      <x:c r="J2294" s="40" t="n">
        <x:f>H2294^2</x:f>
        <x:v>1.3565055030956847</x:v>
      </x:c>
      <x:c r="K2294" s="40" t="n">
        <x:f>G2294-E2294</x:f>
        <x:v>0</x:v>
      </x:c>
      <x:c r="L2294" s="40" t="n">
        <x:f>ABS(K2294)</x:f>
        <x:v>0</x:v>
      </x:c>
      <x:c r="M2294" s="41" t="str">
        <x:v>lstm-soil-v1</x:v>
      </x:c>
    </x:row>
    <x:row r="2295">
      <x:c r="A2295" s="38" t="str">
        <x:v>7月30日现场数据</x:v>
      </x:c>
      <x:c r="B2295" s="39" t="str">
        <x:v>2026-08-02T13:15:00</x:v>
      </x:c>
      <x:c r="C2295" s="39" t="str">
        <x:v>2026-08-02T14:15:00</x:v>
      </x:c>
      <x:c r="D2295" s="47" t="n">
        <x:v>60</x:v>
      </x:c>
      <x:c r="E2295" s="40" t="n">
        <x:v>15.1</x:v>
      </x:c>
      <x:c r="F2295" s="40" t="n">
        <x:v>15.74526596069336</x:v>
      </x:c>
      <x:c r="G2295" s="40" t="n">
        <x:v>15.2</x:v>
      </x:c>
      <x:c r="H2295" s="40" t="n">
        <x:f>F2295-E2295</x:f>
        <x:v>0.6452659606933597</x:v>
      </x:c>
      <x:c r="I2295" s="40" t="n">
        <x:f>ABS(H2295)</x:f>
        <x:v>0.6452659606933597</x:v>
      </x:c>
      <x:c r="J2295" s="40" t="n">
        <x:f>H2295^2</x:f>
        <x:v>0.4163681600295245</x:v>
      </x:c>
      <x:c r="K2295" s="40" t="n">
        <x:f>G2295-E2295</x:f>
        <x:v>0.09999999999999964</x:v>
      </x:c>
      <x:c r="L2295" s="40" t="n">
        <x:f>ABS(K2295)</x:f>
        <x:v>0.09999999999999964</x:v>
      </x:c>
      <x:c r="M2295" s="41" t="str">
        <x:v>lstm-soil-v1</x:v>
      </x:c>
    </x:row>
    <x:row r="2296">
      <x:c r="A2296" s="38" t="str">
        <x:v>7月30日现场数据</x:v>
      </x:c>
      <x:c r="B2296" s="39" t="str">
        <x:v>2026-08-02T13:20:00</x:v>
      </x:c>
      <x:c r="C2296" s="39" t="str">
        <x:v>2026-08-02T13:25:00</x:v>
      </x:c>
      <x:c r="D2296" s="47" t="n">
        <x:v>5</x:v>
      </x:c>
      <x:c r="E2296" s="40" t="n">
        <x:v>15.2</x:v>
      </x:c>
      <x:c r="F2296" s="40" t="n">
        <x:v>13.543434143066406</x:v>
      </x:c>
      <x:c r="G2296" s="40" t="n">
        <x:v>15.2</x:v>
      </x:c>
      <x:c r="H2296" s="40" t="n">
        <x:f>F2296-E2296</x:f>
        <x:v>-1.656565856933593</x:v>
      </x:c>
      <x:c r="I2296" s="40" t="n">
        <x:f>ABS(H2296)</x:f>
        <x:v>1.656565856933593</x:v>
      </x:c>
      <x:c r="J2296" s="40" t="n">
        <x:f>H2296^2</x:f>
        <x:v>2.7442104383581296</x:v>
      </x:c>
      <x:c r="K2296" s="40" t="n">
        <x:f>G2296-E2296</x:f>
        <x:v>0</x:v>
      </x:c>
      <x:c r="L2296" s="40" t="n">
        <x:f>ABS(K2296)</x:f>
        <x:v>0</x:v>
      </x:c>
      <x:c r="M2296" s="41" t="str">
        <x:v>lstm-soil-v1</x:v>
      </x:c>
    </x:row>
    <x:row r="2297">
      <x:c r="A2297" s="38" t="str">
        <x:v>7月30日现场数据</x:v>
      </x:c>
      <x:c r="B2297" s="39" t="str">
        <x:v>2026-08-02T13:20:00</x:v>
      </x:c>
      <x:c r="C2297" s="39" t="str">
        <x:v>2026-08-02T13:35:00</x:v>
      </x:c>
      <x:c r="D2297" s="47" t="n">
        <x:v>15</x:v>
      </x:c>
      <x:c r="E2297" s="40" t="n">
        <x:v>15.2</x:v>
      </x:c>
      <x:c r="F2297" s="40" t="n">
        <x:v>13.598068237304688</x:v>
      </x:c>
      <x:c r="G2297" s="40" t="n">
        <x:v>15.2</x:v>
      </x:c>
      <x:c r="H2297" s="40" t="n">
        <x:f>F2297-E2297</x:f>
        <x:v>-1.6019317626953118</x:v>
      </x:c>
      <x:c r="I2297" s="40" t="n">
        <x:f>ABS(H2297)</x:f>
        <x:v>1.6019317626953118</x:v>
      </x:c>
      <x:c r="J2297" s="40" t="n">
        <x:f>H2297^2</x:f>
        <x:v>2.5661853723321086</x:v>
      </x:c>
      <x:c r="K2297" s="40" t="n">
        <x:f>G2297-E2297</x:f>
        <x:v>0</x:v>
      </x:c>
      <x:c r="L2297" s="40" t="n">
        <x:f>ABS(K2297)</x:f>
        <x:v>0</x:v>
      </x:c>
      <x:c r="M2297" s="41" t="str">
        <x:v>lstm-soil-v1</x:v>
      </x:c>
    </x:row>
    <x:row r="2298">
      <x:c r="A2298" s="38" t="str">
        <x:v>7月30日现场数据</x:v>
      </x:c>
      <x:c r="B2298" s="39" t="str">
        <x:v>2026-08-02T13:20:00</x:v>
      </x:c>
      <x:c r="C2298" s="39" t="str">
        <x:v>2026-08-02T13:50:00</x:v>
      </x:c>
      <x:c r="D2298" s="47" t="n">
        <x:v>30</x:v>
      </x:c>
      <x:c r="E2298" s="40" t="n">
        <x:v>15.2</x:v>
      </x:c>
      <x:c r="F2298" s="40" t="n">
        <x:v>14.044609069824219</x:v>
      </x:c>
      <x:c r="G2298" s="40" t="n">
        <x:v>15.2</x:v>
      </x:c>
      <x:c r="H2298" s="40" t="n">
        <x:f>F2298-E2298</x:f>
        <x:v>-1.1553909301757805</x:v>
      </x:c>
      <x:c r="I2298" s="40" t="n">
        <x:f>ABS(H2298)</x:f>
        <x:v>1.1553909301757805</x:v>
      </x:c>
      <x:c r="J2298" s="40" t="n">
        <x:f>H2298^2</x:f>
        <x:v>1.3349282015324553</x:v>
      </x:c>
      <x:c r="K2298" s="40" t="n">
        <x:f>G2298-E2298</x:f>
        <x:v>0</x:v>
      </x:c>
      <x:c r="L2298" s="40" t="n">
        <x:f>ABS(K2298)</x:f>
        <x:v>0</x:v>
      </x:c>
      <x:c r="M2298" s="41" t="str">
        <x:v>lstm-soil-v1</x:v>
      </x:c>
    </x:row>
    <x:row r="2299">
      <x:c r="A2299" s="38" t="str">
        <x:v>7月30日现场数据</x:v>
      </x:c>
      <x:c r="B2299" s="39" t="str">
        <x:v>2026-08-02T13:20:00</x:v>
      </x:c>
      <x:c r="C2299" s="39" t="str">
        <x:v>2026-08-02T14:20:00</x:v>
      </x:c>
      <x:c r="D2299" s="47" t="n">
        <x:v>60</x:v>
      </x:c>
      <x:c r="E2299" s="40" t="n">
        <x:v>15.1</x:v>
      </x:c>
      <x:c r="F2299" s="40" t="n">
        <x:v>15.739421844482422</x:v>
      </x:c>
      <x:c r="G2299" s="40" t="n">
        <x:v>15.2</x:v>
      </x:c>
      <x:c r="H2299" s="40" t="n">
        <x:f>F2299-E2299</x:f>
        <x:v>0.6394218444824222</x:v>
      </x:c>
      <x:c r="I2299" s="40" t="n">
        <x:f>ABS(H2299)</x:f>
        <x:v>0.6394218444824222</x:v>
      </x:c>
      <x:c r="J2299" s="40" t="n">
        <x:f>H2299^2</x:f>
        <x:v>0.40886029520130296</x:v>
      </x:c>
      <x:c r="K2299" s="40" t="n">
        <x:f>G2299-E2299</x:f>
        <x:v>0.09999999999999964</x:v>
      </x:c>
      <x:c r="L2299" s="40" t="n">
        <x:f>ABS(K2299)</x:f>
        <x:v>0.09999999999999964</x:v>
      </x:c>
      <x:c r="M2299" s="41" t="str">
        <x:v>lstm-soil-v1</x:v>
      </x:c>
    </x:row>
    <x:row r="2300">
      <x:c r="A2300" s="38" t="str">
        <x:v>7月30日现场数据</x:v>
      </x:c>
      <x:c r="B2300" s="39" t="str">
        <x:v>2026-08-02T13:25:00</x:v>
      </x:c>
      <x:c r="C2300" s="39" t="str">
        <x:v>2026-08-02T13:30:00</x:v>
      </x:c>
      <x:c r="D2300" s="47" t="n">
        <x:v>5</x:v>
      </x:c>
      <x:c r="E2300" s="40" t="n">
        <x:v>15.2</x:v>
      </x:c>
      <x:c r="F2300" s="40" t="n">
        <x:v>13.5394287109375</x:v>
      </x:c>
      <x:c r="G2300" s="40" t="n">
        <x:v>15.2</x:v>
      </x:c>
      <x:c r="H2300" s="40" t="n">
        <x:f>F2300-E2300</x:f>
        <x:v>-1.6605712890624993</x:v>
      </x:c>
      <x:c r="I2300" s="40" t="n">
        <x:f>ABS(H2300)</x:f>
        <x:v>1.6605712890624993</x:v>
      </x:c>
      <x:c r="J2300" s="40" t="n">
        <x:f>H2300^2</x:f>
        <x:v>2.7574970060586907</x:v>
      </x:c>
      <x:c r="K2300" s="40" t="n">
        <x:f>G2300-E2300</x:f>
        <x:v>0</x:v>
      </x:c>
      <x:c r="L2300" s="40" t="n">
        <x:f>ABS(K2300)</x:f>
        <x:v>0</x:v>
      </x:c>
      <x:c r="M2300" s="41" t="str">
        <x:v>lstm-soil-v1</x:v>
      </x:c>
    </x:row>
    <x:row r="2301">
      <x:c r="A2301" s="38" t="str">
        <x:v>7月30日现场数据</x:v>
      </x:c>
      <x:c r="B2301" s="39" t="str">
        <x:v>2026-08-02T13:25:00</x:v>
      </x:c>
      <x:c r="C2301" s="39" t="str">
        <x:v>2026-08-02T13:40:00</x:v>
      </x:c>
      <x:c r="D2301" s="47" t="n">
        <x:v>15</x:v>
      </x:c>
      <x:c r="E2301" s="40" t="n">
        <x:v>15.2</x:v>
      </x:c>
      <x:c r="F2301" s="40" t="n">
        <x:v>13.599578857421875</x:v>
      </x:c>
      <x:c r="G2301" s="40" t="n">
        <x:v>15.2</x:v>
      </x:c>
      <x:c r="H2301" s="40" t="n">
        <x:f>F2301-E2301</x:f>
        <x:v>-1.6004211425781243</x:v>
      </x:c>
      <x:c r="I2301" s="40" t="n">
        <x:f>ABS(H2301)</x:f>
        <x:v>1.6004211425781243</x:v>
      </x:c>
      <x:c r="J2301" s="40" t="n">
        <x:f>H2301^2</x:f>
        <x:v>2.5613478336110687</x:v>
      </x:c>
      <x:c r="K2301" s="40" t="n">
        <x:f>G2301-E2301</x:f>
        <x:v>0</x:v>
      </x:c>
      <x:c r="L2301" s="40" t="n">
        <x:f>ABS(K2301)</x:f>
        <x:v>0</x:v>
      </x:c>
      <x:c r="M2301" s="41" t="str">
        <x:v>lstm-soil-v1</x:v>
      </x:c>
    </x:row>
    <x:row r="2302">
      <x:c r="A2302" s="38" t="str">
        <x:v>7月30日现场数据</x:v>
      </x:c>
      <x:c r="B2302" s="39" t="str">
        <x:v>2026-08-02T13:25:00</x:v>
      </x:c>
      <x:c r="C2302" s="39" t="str">
        <x:v>2026-08-02T13:55:00</x:v>
      </x:c>
      <x:c r="D2302" s="47" t="n">
        <x:v>30</x:v>
      </x:c>
      <x:c r="E2302" s="40" t="n">
        <x:v>15.1</x:v>
      </x:c>
      <x:c r="F2302" s="40" t="n">
        <x:v>14.038379669189453</x:v>
      </x:c>
      <x:c r="G2302" s="40" t="n">
        <x:v>15.2</x:v>
      </x:c>
      <x:c r="H2302" s="40" t="n">
        <x:f>F2302-E2302</x:f>
        <x:v>-1.0616203308105465</x:v>
      </x:c>
      <x:c r="I2302" s="40" t="n">
        <x:f>ABS(H2302)</x:f>
        <x:v>1.0616203308105465</x:v>
      </x:c>
      <x:c r="J2302" s="40" t="n">
        <x:f>H2302^2</x:f>
        <x:v>1.1270377267902942</x:v>
      </x:c>
      <x:c r="K2302" s="40" t="n">
        <x:f>G2302-E2302</x:f>
        <x:v>0.09999999999999964</x:v>
      </x:c>
      <x:c r="L2302" s="40" t="n">
        <x:f>ABS(K2302)</x:f>
        <x:v>0.09999999999999964</x:v>
      </x:c>
      <x:c r="M2302" s="41" t="str">
        <x:v>lstm-soil-v1</x:v>
      </x:c>
    </x:row>
    <x:row r="2303">
      <x:c r="A2303" s="38" t="str">
        <x:v>7月30日现场数据</x:v>
      </x:c>
      <x:c r="B2303" s="39" t="str">
        <x:v>2026-08-02T13:25:00</x:v>
      </x:c>
      <x:c r="C2303" s="39" t="str">
        <x:v>2026-08-02T14:25:00</x:v>
      </x:c>
      <x:c r="D2303" s="47" t="n">
        <x:v>60</x:v>
      </x:c>
      <x:c r="E2303" s="40" t="n">
        <x:v>15.1</x:v>
      </x:c>
      <x:c r="F2303" s="40" t="n">
        <x:v>15.729705810546875</x:v>
      </x:c>
      <x:c r="G2303" s="40" t="n">
        <x:v>15.2</x:v>
      </x:c>
      <x:c r="H2303" s="40" t="n">
        <x:f>F2303-E2303</x:f>
        <x:v>0.6297058105468754</x:v>
      </x:c>
      <x:c r="I2303" s="40" t="n">
        <x:f>ABS(H2303)</x:f>
        <x:v>0.6297058105468754</x:v>
      </x:c>
      <x:c r="J2303" s="40" t="n">
        <x:f>H2303^2</x:f>
        <x:v>0.39652940783649726</x:v>
      </x:c>
      <x:c r="K2303" s="40" t="n">
        <x:f>G2303-E2303</x:f>
        <x:v>0.09999999999999964</x:v>
      </x:c>
      <x:c r="L2303" s="40" t="n">
        <x:f>ABS(K2303)</x:f>
        <x:v>0.09999999999999964</x:v>
      </x:c>
      <x:c r="M2303" s="41" t="str">
        <x:v>lstm-soil-v1</x:v>
      </x:c>
    </x:row>
    <x:row r="2304">
      <x:c r="A2304" s="38" t="str">
        <x:v>7月30日现场数据</x:v>
      </x:c>
      <x:c r="B2304" s="39" t="str">
        <x:v>2026-08-02T13:30:00</x:v>
      </x:c>
      <x:c r="C2304" s="39" t="str">
        <x:v>2026-08-02T13:35:00</x:v>
      </x:c>
      <x:c r="D2304" s="47" t="n">
        <x:v>5</x:v>
      </x:c>
      <x:c r="E2304" s="40" t="n">
        <x:v>15.2</x:v>
      </x:c>
      <x:c r="F2304" s="40" t="n">
        <x:v>13.535484313964844</x:v>
      </x:c>
      <x:c r="G2304" s="40" t="n">
        <x:v>15.2</x:v>
      </x:c>
      <x:c r="H2304" s="40" t="n">
        <x:f>F2304-E2304</x:f>
        <x:v>-1.6645156860351555</x:v>
      </x:c>
      <x:c r="I2304" s="40" t="n">
        <x:f>ABS(H2304)</x:f>
        <x:v>1.6645156860351555</x:v>
      </x:c>
      <x:c r="J2304" s="40" t="n">
        <x:f>H2304^2</x:f>
        <x:v>2.7706124690570846</x:v>
      </x:c>
      <x:c r="K2304" s="40" t="n">
        <x:f>G2304-E2304</x:f>
        <x:v>0</x:v>
      </x:c>
      <x:c r="L2304" s="40" t="n">
        <x:f>ABS(K2304)</x:f>
        <x:v>0</x:v>
      </x:c>
      <x:c r="M2304" s="41" t="str">
        <x:v>lstm-soil-v1</x:v>
      </x:c>
    </x:row>
    <x:row r="2305">
      <x:c r="A2305" s="38" t="str">
        <x:v>7月30日现场数据</x:v>
      </x:c>
      <x:c r="B2305" s="39" t="str">
        <x:v>2026-08-02T13:30:00</x:v>
      </x:c>
      <x:c r="C2305" s="39" t="str">
        <x:v>2026-08-02T13:45:00</x:v>
      </x:c>
      <x:c r="D2305" s="47" t="n">
        <x:v>15</x:v>
      </x:c>
      <x:c r="E2305" s="40" t="n">
        <x:v>15.2</x:v>
      </x:c>
      <x:c r="F2305" s="40" t="n">
        <x:v>13.60089111328125</x:v>
      </x:c>
      <x:c r="G2305" s="40" t="n">
        <x:v>15.2</x:v>
      </x:c>
      <x:c r="H2305" s="40" t="n">
        <x:f>F2305-E2305</x:f>
        <x:v>-1.5991088867187493</x:v>
      </x:c>
      <x:c r="I2305" s="40" t="n">
        <x:f>ABS(H2305)</x:f>
        <x:v>1.5991088867187493</x:v>
      </x:c>
      <x:c r="J2305" s="40" t="n">
        <x:f>H2305^2</x:f>
        <x:v>2.5571492315828777</x:v>
      </x:c>
      <x:c r="K2305" s="40" t="n">
        <x:f>G2305-E2305</x:f>
        <x:v>0</x:v>
      </x:c>
      <x:c r="L2305" s="40" t="n">
        <x:f>ABS(K2305)</x:f>
        <x:v>0</x:v>
      </x:c>
      <x:c r="M2305" s="41" t="str">
        <x:v>lstm-soil-v1</x:v>
      </x:c>
    </x:row>
    <x:row r="2306">
      <x:c r="A2306" s="38" t="str">
        <x:v>7月30日现场数据</x:v>
      </x:c>
      <x:c r="B2306" s="39" t="str">
        <x:v>2026-08-02T13:30:00</x:v>
      </x:c>
      <x:c r="C2306" s="39" t="str">
        <x:v>2026-08-02T14:00:00</x:v>
      </x:c>
      <x:c r="D2306" s="47" t="n">
        <x:v>30</x:v>
      </x:c>
      <x:c r="E2306" s="40" t="n">
        <x:v>15.1</x:v>
      </x:c>
      <x:c r="F2306" s="40" t="n">
        <x:v>14.031936645507812</x:v>
      </x:c>
      <x:c r="G2306" s="40" t="n">
        <x:v>15.2</x:v>
      </x:c>
      <x:c r="H2306" s="40" t="n">
        <x:f>F2306-E2306</x:f>
        <x:v>-1.0680633544921871</x:v>
      </x:c>
      <x:c r="I2306" s="40" t="n">
        <x:f>ABS(H2306)</x:f>
        <x:v>1.0680633544921871</x:v>
      </x:c>
      <x:c r="J2306" s="40" t="n">
        <x:f>H2306^2</x:f>
        <x:v>1.1407593292091034</x:v>
      </x:c>
      <x:c r="K2306" s="40" t="n">
        <x:f>G2306-E2306</x:f>
        <x:v>0.09999999999999964</x:v>
      </x:c>
      <x:c r="L2306" s="40" t="n">
        <x:f>ABS(K2306)</x:f>
        <x:v>0.09999999999999964</x:v>
      </x:c>
      <x:c r="M2306" s="41" t="str">
        <x:v>lstm-soil-v1</x:v>
      </x:c>
    </x:row>
    <x:row r="2307">
      <x:c r="A2307" s="38" t="str">
        <x:v>7月30日现场数据</x:v>
      </x:c>
      <x:c r="B2307" s="39" t="str">
        <x:v>2026-08-02T13:30:00</x:v>
      </x:c>
      <x:c r="C2307" s="39" t="str">
        <x:v>2026-08-02T14:30:00</x:v>
      </x:c>
      <x:c r="D2307" s="47" t="n">
        <x:v>60</x:v>
      </x:c>
      <x:c r="E2307" s="40" t="n">
        <x:v>15</x:v>
      </x:c>
      <x:c r="F2307" s="40" t="n">
        <x:v>15.721527099609375</x:v>
      </x:c>
      <x:c r="G2307" s="40" t="n">
        <x:v>15.2</x:v>
      </x:c>
      <x:c r="H2307" s="40" t="n">
        <x:f>F2307-E2307</x:f>
        <x:v>0.721527099609375</x:v>
      </x:c>
      <x:c r="I2307" s="40" t="n">
        <x:f>ABS(H2307)</x:f>
        <x:v>0.721527099609375</x:v>
      </x:c>
      <x:c r="J2307" s="40" t="n">
        <x:f>H2307^2</x:f>
        <x:v>0.520601355470717</x:v>
      </x:c>
      <x:c r="K2307" s="40" t="n">
        <x:f>G2307-E2307</x:f>
        <x:v>0.1999999999999993</x:v>
      </x:c>
      <x:c r="L2307" s="40" t="n">
        <x:f>ABS(K2307)</x:f>
        <x:v>0.1999999999999993</x:v>
      </x:c>
      <x:c r="M2307" s="41" t="str">
        <x:v>lstm-soil-v1</x:v>
      </x:c>
    </x:row>
    <x:row r="2308">
      <x:c r="A2308" s="38" t="str">
        <x:v>7月30日现场数据</x:v>
      </x:c>
      <x:c r="B2308" s="39" t="str">
        <x:v>2026-08-02T13:35:00</x:v>
      </x:c>
      <x:c r="C2308" s="39" t="str">
        <x:v>2026-08-02T13:40:00</x:v>
      </x:c>
      <x:c r="D2308" s="47" t="n">
        <x:v>5</x:v>
      </x:c>
      <x:c r="E2308" s="40" t="n">
        <x:v>15.2</x:v>
      </x:c>
      <x:c r="F2308" s="40" t="n">
        <x:v>13.532535552978516</x:v>
      </x:c>
      <x:c r="G2308" s="40" t="n">
        <x:v>15.2</x:v>
      </x:c>
      <x:c r="H2308" s="40" t="n">
        <x:f>F2308-E2308</x:f>
        <x:v>-1.6674644470214837</x:v>
      </x:c>
      <x:c r="I2308" s="40" t="n">
        <x:f>ABS(H2308)</x:f>
        <x:v>1.6674644470214837</x:v>
      </x:c>
      <x:c r="J2308" s="40" t="n">
        <x:f>H2308^2</x:f>
        <x:v>2.780437682080662</x:v>
      </x:c>
      <x:c r="K2308" s="40" t="n">
        <x:f>G2308-E2308</x:f>
        <x:v>0</x:v>
      </x:c>
      <x:c r="L2308" s="40" t="n">
        <x:f>ABS(K2308)</x:f>
        <x:v>0</x:v>
      </x:c>
      <x:c r="M2308" s="41" t="str">
        <x:v>lstm-soil-v1</x:v>
      </x:c>
    </x:row>
    <x:row r="2309">
      <x:c r="A2309" s="38" t="str">
        <x:v>7月30日现场数据</x:v>
      </x:c>
      <x:c r="B2309" s="39" t="str">
        <x:v>2026-08-02T13:35:00</x:v>
      </x:c>
      <x:c r="C2309" s="39" t="str">
        <x:v>2026-08-02T13:50:00</x:v>
      </x:c>
      <x:c r="D2309" s="47" t="n">
        <x:v>15</x:v>
      </x:c>
      <x:c r="E2309" s="40" t="n">
        <x:v>15.2</x:v>
      </x:c>
      <x:c r="F2309" s="40" t="n">
        <x:v>13.600982666015625</x:v>
      </x:c>
      <x:c r="G2309" s="40" t="n">
        <x:v>15.2</x:v>
      </x:c>
      <x:c r="H2309" s="40" t="n">
        <x:f>F2309-E2309</x:f>
        <x:v>-1.5990173339843743</x:v>
      </x:c>
      <x:c r="I2309" s="40" t="n">
        <x:f>ABS(H2309)</x:f>
        <x:v>1.5990173339843743</x:v>
      </x:c>
      <x:c r="J2309" s="40" t="n">
        <x:f>H2309^2</x:f>
        <x:v>2.556856434382496</x:v>
      </x:c>
      <x:c r="K2309" s="40" t="n">
        <x:f>G2309-E2309</x:f>
        <x:v>0</x:v>
      </x:c>
      <x:c r="L2309" s="40" t="n">
        <x:f>ABS(K2309)</x:f>
        <x:v>0</x:v>
      </x:c>
      <x:c r="M2309" s="41" t="str">
        <x:v>lstm-soil-v1</x:v>
      </x:c>
    </x:row>
    <x:row r="2310">
      <x:c r="A2310" s="38" t="str">
        <x:v>7月30日现场数据</x:v>
      </x:c>
      <x:c r="B2310" s="39" t="str">
        <x:v>2026-08-02T13:35:00</x:v>
      </x:c>
      <x:c r="C2310" s="39" t="str">
        <x:v>2026-08-02T14:05:00</x:v>
      </x:c>
      <x:c r="D2310" s="47" t="n">
        <x:v>30</x:v>
      </x:c>
      <x:c r="E2310" s="40" t="n">
        <x:v>15.1</x:v>
      </x:c>
      <x:c r="F2310" s="40" t="n">
        <x:v>14.02688980102539</x:v>
      </x:c>
      <x:c r="G2310" s="40" t="n">
        <x:v>15.2</x:v>
      </x:c>
      <x:c r="H2310" s="40" t="n">
        <x:f>F2310-E2310</x:f>
        <x:v>-1.073110198974609</x:v>
      </x:c>
      <x:c r="I2310" s="40" t="n">
        <x:f>ABS(H2310)</x:f>
        <x:v>1.073110198974609</x:v>
      </x:c>
      <x:c r="J2310" s="40" t="n">
        <x:f>H2310^2</x:f>
        <x:v>1.151565499143325</x:v>
      </x:c>
      <x:c r="K2310" s="40" t="n">
        <x:f>G2310-E2310</x:f>
        <x:v>0.09999999999999964</x:v>
      </x:c>
      <x:c r="L2310" s="40" t="n">
        <x:f>ABS(K2310)</x:f>
        <x:v>0.09999999999999964</x:v>
      </x:c>
      <x:c r="M2310" s="41" t="str">
        <x:v>lstm-soil-v1</x:v>
      </x:c>
    </x:row>
    <x:row r="2311">
      <x:c r="A2311" s="38" t="str">
        <x:v>7月30日现场数据</x:v>
      </x:c>
      <x:c r="B2311" s="39" t="str">
        <x:v>2026-08-02T13:35:00</x:v>
      </x:c>
      <x:c r="C2311" s="39" t="str">
        <x:v>2026-08-02T14:35:00</x:v>
      </x:c>
      <x:c r="D2311" s="47" t="n">
        <x:v>60</x:v>
      </x:c>
      <x:c r="E2311" s="40" t="n">
        <x:v>15</x:v>
      </x:c>
      <x:c r="F2311" s="40" t="n">
        <x:v>15.715019226074219</x:v>
      </x:c>
      <x:c r="G2311" s="40" t="n">
        <x:v>15.2</x:v>
      </x:c>
      <x:c r="H2311" s="40" t="n">
        <x:f>F2311-E2311</x:f>
        <x:v>0.7150192260742188</x:v>
      </x:c>
      <x:c r="I2311" s="40" t="n">
        <x:f>ABS(H2311)</x:f>
        <x:v>0.7150192260742188</x:v>
      </x:c>
      <x:c r="J2311" s="40" t="n">
        <x:f>H2311^2</x:f>
        <x:v>0.5112524936557747</x:v>
      </x:c>
      <x:c r="K2311" s="40" t="n">
        <x:f>G2311-E2311</x:f>
        <x:v>0.1999999999999993</x:v>
      </x:c>
      <x:c r="L2311" s="40" t="n">
        <x:f>ABS(K2311)</x:f>
        <x:v>0.1999999999999993</x:v>
      </x:c>
      <x:c r="M2311" s="41" t="str">
        <x:v>lstm-soil-v1</x:v>
      </x:c>
    </x:row>
    <x:row r="2312">
      <x:c r="A2312" s="38" t="str">
        <x:v>7月30日现场数据</x:v>
      </x:c>
      <x:c r="B2312" s="39" t="str">
        <x:v>2026-08-02T13:40:00</x:v>
      </x:c>
      <x:c r="C2312" s="39" t="str">
        <x:v>2026-08-02T13:45:00</x:v>
      </x:c>
      <x:c r="D2312" s="47" t="n">
        <x:v>5</x:v>
      </x:c>
      <x:c r="E2312" s="40" t="n">
        <x:v>15.2</x:v>
      </x:c>
      <x:c r="F2312" s="40" t="n">
        <x:v>13.527847290039062</x:v>
      </x:c>
      <x:c r="G2312" s="40" t="n">
        <x:v>15.2</x:v>
      </x:c>
      <x:c r="H2312" s="40" t="n">
        <x:f>F2312-E2312</x:f>
        <x:v>-1.6721527099609368</x:v>
      </x:c>
      <x:c r="I2312" s="40" t="n">
        <x:f>ABS(H2312)</x:f>
        <x:v>1.6721527099609368</x:v>
      </x:c>
      <x:c r="J2312" s="40" t="n">
        <x:f>H2312^2</x:f>
        <x:v>2.7960946854297046</x:v>
      </x:c>
      <x:c r="K2312" s="40" t="n">
        <x:f>G2312-E2312</x:f>
        <x:v>0</x:v>
      </x:c>
      <x:c r="L2312" s="40" t="n">
        <x:f>ABS(K2312)</x:f>
        <x:v>0</x:v>
      </x:c>
      <x:c r="M2312" s="41" t="str">
        <x:v>lstm-soil-v1</x:v>
      </x:c>
    </x:row>
    <x:row r="2313">
      <x:c r="A2313" s="38" t="str">
        <x:v>7月30日现场数据</x:v>
      </x:c>
      <x:c r="B2313" s="39" t="str">
        <x:v>2026-08-02T13:40:00</x:v>
      </x:c>
      <x:c r="C2313" s="39" t="str">
        <x:v>2026-08-02T13:55:00</x:v>
      </x:c>
      <x:c r="D2313" s="47" t="n">
        <x:v>15</x:v>
      </x:c>
      <x:c r="E2313" s="40" t="n">
        <x:v>15.1</x:v>
      </x:c>
      <x:c r="F2313" s="40" t="n">
        <x:v>13.600364685058594</x:v>
      </x:c>
      <x:c r="G2313" s="40" t="n">
        <x:v>15.2</x:v>
      </x:c>
      <x:c r="H2313" s="40" t="n">
        <x:f>F2313-E2313</x:f>
        <x:v>-1.499635314941406</x:v>
      </x:c>
      <x:c r="I2313" s="40" t="n">
        <x:f>ABS(H2313)</x:f>
        <x:v>1.499635314941406</x:v>
      </x:c>
      <x:c r="J2313" s="40" t="n">
        <x:f>H2313^2</x:f>
        <x:v>2.2489060778194094</x:v>
      </x:c>
      <x:c r="K2313" s="40" t="n">
        <x:f>G2313-E2313</x:f>
        <x:v>0.09999999999999964</x:v>
      </x:c>
      <x:c r="L2313" s="40" t="n">
        <x:f>ABS(K2313)</x:f>
        <x:v>0.09999999999999964</x:v>
      </x:c>
      <x:c r="M2313" s="41" t="str">
        <x:v>lstm-soil-v1</x:v>
      </x:c>
    </x:row>
    <x:row r="2314">
      <x:c r="A2314" s="38" t="str">
        <x:v>7月30日现场数据</x:v>
      </x:c>
      <x:c r="B2314" s="39" t="str">
        <x:v>2026-08-02T13:40:00</x:v>
      </x:c>
      <x:c r="C2314" s="39" t="str">
        <x:v>2026-08-02T14:10:00</x:v>
      </x:c>
      <x:c r="D2314" s="47" t="n">
        <x:v>30</x:v>
      </x:c>
      <x:c r="E2314" s="40" t="n">
        <x:v>15.1</x:v>
      </x:c>
      <x:c r="F2314" s="40" t="n">
        <x:v>14.020610809326172</x:v>
      </x:c>
      <x:c r="G2314" s="40" t="n">
        <x:v>15.2</x:v>
      </x:c>
      <x:c r="H2314" s="40" t="n">
        <x:f>F2314-E2314</x:f>
        <x:v>-1.0793891906738278</x:v>
      </x:c>
      <x:c r="I2314" s="40" t="n">
        <x:f>ABS(H2314)</x:f>
        <x:v>1.0793891906738278</x:v>
      </x:c>
      <x:c r="J2314" s="40" t="n">
        <x:f>H2314^2</x:f>
        <x:v>1.1650810249435009</x:v>
      </x:c>
      <x:c r="K2314" s="40" t="n">
        <x:f>G2314-E2314</x:f>
        <x:v>0.09999999999999964</x:v>
      </x:c>
      <x:c r="L2314" s="40" t="n">
        <x:f>ABS(K2314)</x:f>
        <x:v>0.09999999999999964</x:v>
      </x:c>
      <x:c r="M2314" s="41" t="str">
        <x:v>lstm-soil-v1</x:v>
      </x:c>
    </x:row>
    <x:row r="2315">
      <x:c r="A2315" s="38" t="str">
        <x:v>7月30日现场数据</x:v>
      </x:c>
      <x:c r="B2315" s="39" t="str">
        <x:v>2026-08-02T13:40:00</x:v>
      </x:c>
      <x:c r="C2315" s="39" t="str">
        <x:v>2026-08-02T14:40:00</x:v>
      </x:c>
      <x:c r="D2315" s="47" t="n">
        <x:v>60</x:v>
      </x:c>
      <x:c r="E2315" s="40" t="n">
        <x:v>15</x:v>
      </x:c>
      <x:c r="F2315" s="40" t="n">
        <x:v>15.706462860107422</x:v>
      </x:c>
      <x:c r="G2315" s="40" t="n">
        <x:v>15.2</x:v>
      </x:c>
      <x:c r="H2315" s="40" t="n">
        <x:f>F2315-E2315</x:f>
        <x:v>0.7064628601074219</x:v>
      </x:c>
      <x:c r="I2315" s="40" t="n">
        <x:f>ABS(H2315)</x:f>
        <x:v>0.7064628601074219</x:v>
      </x:c>
      <x:c r="J2315" s="40" t="n">
        <x:f>H2315^2</x:f>
        <x:v>0.49908977271115873</x:v>
      </x:c>
      <x:c r="K2315" s="40" t="n">
        <x:f>G2315-E2315</x:f>
        <x:v>0.1999999999999993</x:v>
      </x:c>
      <x:c r="L2315" s="40" t="n">
        <x:f>ABS(K2315)</x:f>
        <x:v>0.1999999999999993</x:v>
      </x:c>
      <x:c r="M2315" s="41" t="str">
        <x:v>lstm-soil-v1</x:v>
      </x:c>
    </x:row>
    <x:row r="2316">
      <x:c r="A2316" s="38" t="str">
        <x:v>7月30日现场数据</x:v>
      </x:c>
      <x:c r="B2316" s="39" t="str">
        <x:v>2026-08-02T13:45:00</x:v>
      </x:c>
      <x:c r="C2316" s="39" t="str">
        <x:v>2026-08-02T13:50:00</x:v>
      </x:c>
      <x:c r="D2316" s="47" t="n">
        <x:v>5</x:v>
      </x:c>
      <x:c r="E2316" s="40" t="n">
        <x:v>15.2</x:v>
      </x:c>
      <x:c r="F2316" s="40" t="n">
        <x:v>13.523162841796875</x:v>
      </x:c>
      <x:c r="G2316" s="40" t="n">
        <x:v>15.2</x:v>
      </x:c>
      <x:c r="H2316" s="40" t="n">
        <x:f>F2316-E2316</x:f>
        <x:v>-1.6768371582031243</x:v>
      </x:c>
      <x:c r="I2316" s="40" t="n">
        <x:f>ABS(H2316)</x:f>
        <x:v>1.6768371582031243</x:v>
      </x:c>
      <x:c r="J2316" s="40" t="n">
        <x:f>H2316^2</x:f>
        <x:v>2.81178285513073</x:v>
      </x:c>
      <x:c r="K2316" s="40" t="n">
        <x:f>G2316-E2316</x:f>
        <x:v>0</x:v>
      </x:c>
      <x:c r="L2316" s="40" t="n">
        <x:f>ABS(K2316)</x:f>
        <x:v>0</x:v>
      </x:c>
      <x:c r="M2316" s="41" t="str">
        <x:v>lstm-soil-v1</x:v>
      </x:c>
    </x:row>
    <x:row r="2317">
      <x:c r="A2317" s="38" t="str">
        <x:v>7月30日现场数据</x:v>
      </x:c>
      <x:c r="B2317" s="39" t="str">
        <x:v>2026-08-02T13:45:00</x:v>
      </x:c>
      <x:c r="C2317" s="39" t="str">
        <x:v>2026-08-02T14:00:00</x:v>
      </x:c>
      <x:c r="D2317" s="47" t="n">
        <x:v>15</x:v>
      </x:c>
      <x:c r="E2317" s="40" t="n">
        <x:v>15.1</x:v>
      </x:c>
      <x:c r="F2317" s="40" t="n">
        <x:v>13.599296569824219</x:v>
      </x:c>
      <x:c r="G2317" s="40" t="n">
        <x:v>15.2</x:v>
      </x:c>
      <x:c r="H2317" s="40" t="n">
        <x:f>F2317-E2317</x:f>
        <x:v>-1.500703430175781</x:v>
      </x:c>
      <x:c r="I2317" s="40" t="n">
        <x:f>ABS(H2317)</x:f>
        <x:v>1.500703430175781</x:v>
      </x:c>
      <x:c r="J2317" s="40" t="n">
        <x:f>H2317^2</x:f>
        <x:v>2.2521107853413547</x:v>
      </x:c>
      <x:c r="K2317" s="40" t="n">
        <x:f>G2317-E2317</x:f>
        <x:v>0.09999999999999964</x:v>
      </x:c>
      <x:c r="L2317" s="40" t="n">
        <x:f>ABS(K2317)</x:f>
        <x:v>0.09999999999999964</x:v>
      </x:c>
      <x:c r="M2317" s="41" t="str">
        <x:v>lstm-soil-v1</x:v>
      </x:c>
    </x:row>
    <x:row r="2318">
      <x:c r="A2318" s="38" t="str">
        <x:v>7月30日现场数据</x:v>
      </x:c>
      <x:c r="B2318" s="39" t="str">
        <x:v>2026-08-02T13:45:00</x:v>
      </x:c>
      <x:c r="C2318" s="39" t="str">
        <x:v>2026-08-02T14:15:00</x:v>
      </x:c>
      <x:c r="D2318" s="47" t="n">
        <x:v>30</x:v>
      </x:c>
      <x:c r="E2318" s="40" t="n">
        <x:v>15.1</x:v>
      </x:c>
      <x:c r="F2318" s="40" t="n">
        <x:v>14.013908386230469</x:v>
      </x:c>
      <x:c r="G2318" s="40" t="n">
        <x:v>15.2</x:v>
      </x:c>
      <x:c r="H2318" s="40" t="n">
        <x:f>F2318-E2318</x:f>
        <x:v>-1.086091613769531</x:v>
      </x:c>
      <x:c r="I2318" s="40" t="n">
        <x:f>ABS(H2318)</x:f>
        <x:v>1.086091613769531</x:v>
      </x:c>
      <x:c r="J2318" s="40" t="n">
        <x:f>H2318^2</x:f>
        <x:v>1.179594993500504</x:v>
      </x:c>
      <x:c r="K2318" s="40" t="n">
        <x:f>G2318-E2318</x:f>
        <x:v>0.09999999999999964</x:v>
      </x:c>
      <x:c r="L2318" s="40" t="n">
        <x:f>ABS(K2318)</x:f>
        <x:v>0.09999999999999964</x:v>
      </x:c>
      <x:c r="M2318" s="41" t="str">
        <x:v>lstm-soil-v1</x:v>
      </x:c>
    </x:row>
    <x:row r="2319">
      <x:c r="A2319" s="38" t="str">
        <x:v>7月30日现场数据</x:v>
      </x:c>
      <x:c r="B2319" s="39" t="str">
        <x:v>2026-08-02T13:45:00</x:v>
      </x:c>
      <x:c r="C2319" s="39" t="str">
        <x:v>2026-08-02T14:45:00</x:v>
      </x:c>
      <x:c r="D2319" s="47" t="n">
        <x:v>60</x:v>
      </x:c>
      <x:c r="E2319" s="40" t="n">
        <x:v>15</x:v>
      </x:c>
      <x:c r="F2319" s="40" t="n">
        <x:v>15.697845458984375</x:v>
      </x:c>
      <x:c r="G2319" s="40" t="n">
        <x:v>15.2</x:v>
      </x:c>
      <x:c r="H2319" s="40" t="n">
        <x:f>F2319-E2319</x:f>
        <x:v>0.697845458984375</x:v>
      </x:c>
      <x:c r="I2319" s="40" t="n">
        <x:f>ABS(H2319)</x:f>
        <x:v>0.697845458984375</x:v>
      </x:c>
      <x:c r="J2319" s="40" t="n">
        <x:f>H2319^2</x:f>
        <x:v>0.486988284625113</x:v>
      </x:c>
      <x:c r="K2319" s="40" t="n">
        <x:f>G2319-E2319</x:f>
        <x:v>0.1999999999999993</x:v>
      </x:c>
      <x:c r="L2319" s="40" t="n">
        <x:f>ABS(K2319)</x:f>
        <x:v>0.1999999999999993</x:v>
      </x:c>
      <x:c r="M2319" s="41" t="str">
        <x:v>lstm-soil-v1</x:v>
      </x:c>
    </x:row>
    <x:row r="2320">
      <x:c r="A2320" s="38" t="str">
        <x:v>7月30日现场数据</x:v>
      </x:c>
      <x:c r="B2320" s="39" t="str">
        <x:v>2026-08-02T13:50:00</x:v>
      </x:c>
      <x:c r="C2320" s="39" t="str">
        <x:v>2026-08-02T13:55:00</x:v>
      </x:c>
      <x:c r="D2320" s="47" t="n">
        <x:v>5</x:v>
      </x:c>
      <x:c r="E2320" s="40" t="n">
        <x:v>15.1</x:v>
      </x:c>
      <x:c r="F2320" s="40" t="n">
        <x:v>13.519027709960938</x:v>
      </x:c>
      <x:c r="G2320" s="40" t="n">
        <x:v>15.2</x:v>
      </x:c>
      <x:c r="H2320" s="40" t="n">
        <x:f>F2320-E2320</x:f>
        <x:v>-1.5809722900390621</x:v>
      </x:c>
      <x:c r="I2320" s="40" t="n">
        <x:f>ABS(H2320)</x:f>
        <x:v>1.5809722900390621</x:v>
      </x:c>
      <x:c r="J2320" s="40" t="n">
        <x:f>H2320^2</x:f>
        <x:v>2.4994733818713564</x:v>
      </x:c>
      <x:c r="K2320" s="40" t="n">
        <x:f>G2320-E2320</x:f>
        <x:v>0.09999999999999964</x:v>
      </x:c>
      <x:c r="L2320" s="40" t="n">
        <x:f>ABS(K2320)</x:f>
        <x:v>0.09999999999999964</x:v>
      </x:c>
      <x:c r="M2320" s="41" t="str">
        <x:v>lstm-soil-v1</x:v>
      </x:c>
    </x:row>
    <x:row r="2321">
      <x:c r="A2321" s="38" t="str">
        <x:v>7月30日现场数据</x:v>
      </x:c>
      <x:c r="B2321" s="39" t="str">
        <x:v>2026-08-02T13:50:00</x:v>
      </x:c>
      <x:c r="C2321" s="39" t="str">
        <x:v>2026-08-02T14:05:00</x:v>
      </x:c>
      <x:c r="D2321" s="47" t="n">
        <x:v>15</x:v>
      </x:c>
      <x:c r="E2321" s="40" t="n">
        <x:v>15.1</x:v>
      </x:c>
      <x:c r="F2321" s="40" t="n">
        <x:v>13.597900390625</x:v>
      </x:c>
      <x:c r="G2321" s="40" t="n">
        <x:v>15.2</x:v>
      </x:c>
      <x:c r="H2321" s="40" t="n">
        <x:f>F2321-E2321</x:f>
        <x:v>-1.5020996093749996</x:v>
      </x:c>
      <x:c r="I2321" s="40" t="n">
        <x:f>ABS(H2321)</x:f>
        <x:v>1.5020996093749996</x:v>
      </x:c>
      <x:c r="J2321" s="40" t="n">
        <x:f>H2321^2</x:f>
        <x:v>2.2563032364845266</x:v>
      </x:c>
      <x:c r="K2321" s="40" t="n">
        <x:f>G2321-E2321</x:f>
        <x:v>0.09999999999999964</x:v>
      </x:c>
      <x:c r="L2321" s="40" t="n">
        <x:f>ABS(K2321)</x:f>
        <x:v>0.09999999999999964</x:v>
      </x:c>
      <x:c r="M2321" s="41" t="str">
        <x:v>lstm-soil-v1</x:v>
      </x:c>
    </x:row>
    <x:row r="2322">
      <x:c r="A2322" s="38" t="str">
        <x:v>7月30日现场数据</x:v>
      </x:c>
      <x:c r="B2322" s="39" t="str">
        <x:v>2026-08-02T13:50:00</x:v>
      </x:c>
      <x:c r="C2322" s="39" t="str">
        <x:v>2026-08-02T14:20:00</x:v>
      </x:c>
      <x:c r="D2322" s="47" t="n">
        <x:v>30</x:v>
      </x:c>
      <x:c r="E2322" s="40" t="n">
        <x:v>15.1</x:v>
      </x:c>
      <x:c r="F2322" s="40" t="n">
        <x:v>14.007427215576172</x:v>
      </x:c>
      <x:c r="G2322" s="40" t="n">
        <x:v>15.2</x:v>
      </x:c>
      <x:c r="H2322" s="40" t="n">
        <x:f>F2322-E2322</x:f>
        <x:v>-1.0925727844238278</x:v>
      </x:c>
      <x:c r="I2322" s="40" t="n">
        <x:f>ABS(H2322)</x:f>
        <x:v>1.0925727844238278</x:v>
      </x:c>
      <x:c r="J2322" s="40" t="n">
        <x:f>H2322^2</x:f>
        <x:v>1.193715289263636</x:v>
      </x:c>
      <x:c r="K2322" s="40" t="n">
        <x:f>G2322-E2322</x:f>
        <x:v>0.09999999999999964</x:v>
      </x:c>
      <x:c r="L2322" s="40" t="n">
        <x:f>ABS(K2322)</x:f>
        <x:v>0.09999999999999964</x:v>
      </x:c>
      <x:c r="M2322" s="41" t="str">
        <x:v>lstm-soil-v1</x:v>
      </x:c>
    </x:row>
    <x:row r="2323">
      <x:c r="A2323" s="38" t="str">
        <x:v>7月30日现场数据</x:v>
      </x:c>
      <x:c r="B2323" s="39" t="str">
        <x:v>2026-08-02T13:50:00</x:v>
      </x:c>
      <x:c r="C2323" s="39" t="str">
        <x:v>2026-08-02T14:50:00</x:v>
      </x:c>
      <x:c r="D2323" s="47" t="n">
        <x:v>60</x:v>
      </x:c>
      <x:c r="E2323" s="40" t="n">
        <x:v>15</x:v>
      </x:c>
      <x:c r="F2323" s="40" t="n">
        <x:v>15.69003677368164</x:v>
      </x:c>
      <x:c r="G2323" s="40" t="n">
        <x:v>15.2</x:v>
      </x:c>
      <x:c r="H2323" s="40" t="n">
        <x:f>F2323-E2323</x:f>
        <x:v>0.6900367736816406</x:v>
      </x:c>
      <x:c r="I2323" s="40" t="n">
        <x:f>ABS(H2323)</x:f>
        <x:v>0.6900367736816406</x:v>
      </x:c>
      <x:c r="J2323" s="40" t="n">
        <x:f>H2323^2</x:f>
        <x:v>0.4761507490329677</x:v>
      </x:c>
      <x:c r="K2323" s="40" t="n">
        <x:f>G2323-E2323</x:f>
        <x:v>0.1999999999999993</x:v>
      </x:c>
      <x:c r="L2323" s="40" t="n">
        <x:f>ABS(K2323)</x:f>
        <x:v>0.1999999999999993</x:v>
      </x:c>
      <x:c r="M2323" s="41" t="str">
        <x:v>lstm-soil-v1</x:v>
      </x:c>
    </x:row>
    <x:row r="2324">
      <x:c r="A2324" s="38" t="str">
        <x:v>7月30日现场数据</x:v>
      </x:c>
      <x:c r="B2324" s="39" t="str">
        <x:v>2026-08-02T13:55:00</x:v>
      </x:c>
      <x:c r="C2324" s="39" t="str">
        <x:v>2026-08-02T14:00:00</x:v>
      </x:c>
      <x:c r="D2324" s="47" t="n">
        <x:v>5</x:v>
      </x:c>
      <x:c r="E2324" s="40" t="n">
        <x:v>15.1</x:v>
      </x:c>
      <x:c r="F2324" s="40" t="n">
        <x:v>13.405670166015625</x:v>
      </x:c>
      <x:c r="G2324" s="40" t="n">
        <x:v>15.1</x:v>
      </x:c>
      <x:c r="H2324" s="40" t="n">
        <x:f>F2324-E2324</x:f>
        <x:v>-1.6943298339843746</x:v>
      </x:c>
      <x:c r="I2324" s="40" t="n">
        <x:f>ABS(H2324)</x:f>
        <x:v>1.6943298339843746</x:v>
      </x:c>
      <x:c r="J2324" s="40" t="n">
        <x:f>H2324^2</x:f>
        <x:v>2.8707535863295184</x:v>
      </x:c>
      <x:c r="K2324" s="40" t="n">
        <x:f>G2324-E2324</x:f>
        <x:v>0</x:v>
      </x:c>
      <x:c r="L2324" s="40" t="n">
        <x:f>ABS(K2324)</x:f>
        <x:v>0</x:v>
      </x:c>
      <x:c r="M2324" s="41" t="str">
        <x:v>lstm-soil-v1</x:v>
      </x:c>
    </x:row>
    <x:row r="2325">
      <x:c r="A2325" s="38" t="str">
        <x:v>7月30日现场数据</x:v>
      </x:c>
      <x:c r="B2325" s="39" t="str">
        <x:v>2026-08-02T13:55:00</x:v>
      </x:c>
      <x:c r="C2325" s="39" t="str">
        <x:v>2026-08-02T14:10:00</x:v>
      </x:c>
      <x:c r="D2325" s="47" t="n">
        <x:v>15</x:v>
      </x:c>
      <x:c r="E2325" s="40" t="n">
        <x:v>15.1</x:v>
      </x:c>
      <x:c r="F2325" s="40" t="n">
        <x:v>13.48590087890625</x:v>
      </x:c>
      <x:c r="G2325" s="40" t="n">
        <x:v>15.1</x:v>
      </x:c>
      <x:c r="H2325" s="40" t="n">
        <x:f>F2325-E2325</x:f>
        <x:v>-1.6140991210937496</x:v>
      </x:c>
      <x:c r="I2325" s="40" t="n">
        <x:f>ABS(H2325)</x:f>
        <x:v>1.6140991210937496</x:v>
      </x:c>
      <x:c r="J2325" s="40" t="n">
        <x:f>H2325^2</x:f>
        <x:v>2.605315972715615</x:v>
      </x:c>
      <x:c r="K2325" s="40" t="n">
        <x:f>G2325-E2325</x:f>
        <x:v>0</x:v>
      </x:c>
      <x:c r="L2325" s="40" t="n">
        <x:f>ABS(K2325)</x:f>
        <x:v>0</x:v>
      </x:c>
      <x:c r="M2325" s="41" t="str">
        <x:v>lstm-soil-v1</x:v>
      </x:c>
    </x:row>
    <x:row r="2326">
      <x:c r="A2326" s="38" t="str">
        <x:v>7月30日现场数据</x:v>
      </x:c>
      <x:c r="B2326" s="39" t="str">
        <x:v>2026-08-02T13:55:00</x:v>
      </x:c>
      <x:c r="C2326" s="39" t="str">
        <x:v>2026-08-02T14:25:00</x:v>
      </x:c>
      <x:c r="D2326" s="47" t="n">
        <x:v>30</x:v>
      </x:c>
      <x:c r="E2326" s="40" t="n">
        <x:v>15.1</x:v>
      </x:c>
      <x:c r="F2326" s="40" t="n">
        <x:v>13.891536712646484</x:v>
      </x:c>
      <x:c r="G2326" s="40" t="n">
        <x:v>15.1</x:v>
      </x:c>
      <x:c r="H2326" s="40" t="n">
        <x:f>F2326-E2326</x:f>
        <x:v>-1.2084632873535153</x:v>
      </x:c>
      <x:c r="I2326" s="40" t="n">
        <x:f>ABS(H2326)</x:f>
        <x:v>1.2084632873535153</x:v>
      </x:c>
      <x:c r="J2326" s="40" t="n">
        <x:f>H2326^2</x:f>
        <x:v>1.4603835168812649</x:v>
      </x:c>
      <x:c r="K2326" s="40" t="n">
        <x:f>G2326-E2326</x:f>
        <x:v>0</x:v>
      </x:c>
      <x:c r="L2326" s="40" t="n">
        <x:f>ABS(K2326)</x:f>
        <x:v>0</x:v>
      </x:c>
      <x:c r="M2326" s="41" t="str">
        <x:v>lstm-soil-v1</x:v>
      </x:c>
    </x:row>
    <x:row r="2327">
      <x:c r="A2327" s="38" t="str">
        <x:v>7月30日现场数据</x:v>
      </x:c>
      <x:c r="B2327" s="39" t="str">
        <x:v>2026-08-02T13:55:00</x:v>
      </x:c>
      <x:c r="C2327" s="39" t="str">
        <x:v>2026-08-02T14:55:00</x:v>
      </x:c>
      <x:c r="D2327" s="47" t="n">
        <x:v>60</x:v>
      </x:c>
      <x:c r="E2327" s="40" t="n">
        <x:v>15</x:v>
      </x:c>
      <x:c r="F2327" s="40" t="n">
        <x:v>15.573978424072266</x:v>
      </x:c>
      <x:c r="G2327" s="40" t="n">
        <x:v>15.1</x:v>
      </x:c>
      <x:c r="H2327" s="40" t="n">
        <x:f>F2327-E2327</x:f>
        <x:v>0.5739784240722656</x:v>
      </x:c>
      <x:c r="I2327" s="40" t="n">
        <x:f>ABS(H2327)</x:f>
        <x:v>0.5739784240722656</x:v>
      </x:c>
      <x:c r="J2327" s="40" t="n">
        <x:f>H2327^2</x:f>
        <x:v>0.3294512313004816</x:v>
      </x:c>
      <x:c r="K2327" s="40" t="n">
        <x:f>G2327-E2327</x:f>
        <x:v>0.09999999999999964</x:v>
      </x:c>
      <x:c r="L2327" s="40" t="n">
        <x:f>ABS(K2327)</x:f>
        <x:v>0.09999999999999964</x:v>
      </x:c>
      <x:c r="M2327" s="41" t="str">
        <x:v>lstm-soil-v1</x:v>
      </x:c>
    </x:row>
    <x:row r="2328">
      <x:c r="A2328" s="38" t="str">
        <x:v>7月30日现场数据</x:v>
      </x:c>
      <x:c r="B2328" s="39" t="str">
        <x:v>2026-08-02T14:00:00</x:v>
      </x:c>
      <x:c r="C2328" s="39" t="str">
        <x:v>2026-08-02T14:05:00</x:v>
      </x:c>
      <x:c r="D2328" s="47" t="n">
        <x:v>5</x:v>
      </x:c>
      <x:c r="E2328" s="40" t="n">
        <x:v>15.1</x:v>
      </x:c>
      <x:c r="F2328" s="40" t="n">
        <x:v>13.409748077392578</x:v>
      </x:c>
      <x:c r="G2328" s="40" t="n">
        <x:v>15.1</x:v>
      </x:c>
      <x:c r="H2328" s="40" t="n">
        <x:f>F2328-E2328</x:f>
        <x:v>-1.6902519226074215</x:v>
      </x:c>
      <x:c r="I2328" s="40" t="n">
        <x:f>ABS(H2328)</x:f>
        <x:v>1.6902519226074215</x:v>
      </x:c>
      <x:c r="J2328" s="40" t="n">
        <x:f>H2328^2</x:f>
        <x:v>2.856951561878085</x:v>
      </x:c>
      <x:c r="K2328" s="40" t="n">
        <x:f>G2328-E2328</x:f>
        <x:v>0</x:v>
      </x:c>
      <x:c r="L2328" s="40" t="n">
        <x:f>ABS(K2328)</x:f>
        <x:v>0</x:v>
      </x:c>
      <x:c r="M2328" s="41" t="str">
        <x:v>lstm-soil-v1</x:v>
      </x:c>
    </x:row>
    <x:row r="2329">
      <x:c r="A2329" s="38" t="str">
        <x:v>7月30日现场数据</x:v>
      </x:c>
      <x:c r="B2329" s="39" t="str">
        <x:v>2026-08-02T14:00:00</x:v>
      </x:c>
      <x:c r="C2329" s="39" t="str">
        <x:v>2026-08-02T14:15:00</x:v>
      </x:c>
      <x:c r="D2329" s="47" t="n">
        <x:v>15</x:v>
      </x:c>
      <x:c r="E2329" s="40" t="n">
        <x:v>15.1</x:v>
      </x:c>
      <x:c r="F2329" s="40" t="n">
        <x:v>13.485992431640625</x:v>
      </x:c>
      <x:c r="G2329" s="40" t="n">
        <x:v>15.1</x:v>
      </x:c>
      <x:c r="H2329" s="40" t="n">
        <x:f>F2329-E2329</x:f>
        <x:v>-1.6140075683593746</x:v>
      </x:c>
      <x:c r="I2329" s="40" t="n">
        <x:f>ABS(H2329)</x:f>
        <x:v>1.6140075683593746</x:v>
      </x:c>
      <x:c r="J2329" s="40" t="n">
        <x:f>H2329^2</x:f>
        <x:v>2.6050204307213414</x:v>
      </x:c>
      <x:c r="K2329" s="40" t="n">
        <x:f>G2329-E2329</x:f>
        <x:v>0</x:v>
      </x:c>
      <x:c r="L2329" s="40" t="n">
        <x:f>ABS(K2329)</x:f>
        <x:v>0</x:v>
      </x:c>
      <x:c r="M2329" s="41" t="str">
        <x:v>lstm-soil-v1</x:v>
      </x:c>
    </x:row>
    <x:row r="2330">
      <x:c r="A2330" s="38" t="str">
        <x:v>7月30日现场数据</x:v>
      </x:c>
      <x:c r="B2330" s="39" t="str">
        <x:v>2026-08-02T14:00:00</x:v>
      </x:c>
      <x:c r="C2330" s="39" t="str">
        <x:v>2026-08-02T14:30:00</x:v>
      </x:c>
      <x:c r="D2330" s="47" t="n">
        <x:v>30</x:v>
      </x:c>
      <x:c r="E2330" s="40" t="n">
        <x:v>15</x:v>
      </x:c>
      <x:c r="F2330" s="40" t="n">
        <x:v>13.894020080566406</x:v>
      </x:c>
      <x:c r="G2330" s="40" t="n">
        <x:v>15.1</x:v>
      </x:c>
      <x:c r="H2330" s="40" t="n">
        <x:f>F2330-E2330</x:f>
        <x:v>-1.1059799194335938</x:v>
      </x:c>
      <x:c r="I2330" s="40" t="n">
        <x:f>ABS(H2330)</x:f>
        <x:v>1.1059799194335938</x:v>
      </x:c>
      <x:c r="J2330" s="40" t="n">
        <x:f>H2330^2</x:f>
        <x:v>1.2231915821903385</x:v>
      </x:c>
      <x:c r="K2330" s="40" t="n">
        <x:f>G2330-E2330</x:f>
        <x:v>0.09999999999999964</x:v>
      </x:c>
      <x:c r="L2330" s="40" t="n">
        <x:f>ABS(K2330)</x:f>
        <x:v>0.09999999999999964</x:v>
      </x:c>
      <x:c r="M2330" s="41" t="str">
        <x:v>lstm-soil-v1</x:v>
      </x:c>
    </x:row>
    <x:row r="2331">
      <x:c r="A2331" s="38" t="str">
        <x:v>7月30日现场数据</x:v>
      </x:c>
      <x:c r="B2331" s="39" t="str">
        <x:v>2026-08-02T14:00:00</x:v>
      </x:c>
      <x:c r="C2331" s="39" t="str">
        <x:v>2026-08-02T15:00:00</x:v>
      </x:c>
      <x:c r="D2331" s="47" t="n">
        <x:v>60</x:v>
      </x:c>
      <x:c r="E2331" s="40" t="n">
        <x:v>15</x:v>
      </x:c>
      <x:c r="F2331" s="40" t="n">
        <x:v>15.579696655273438</x:v>
      </x:c>
      <x:c r="G2331" s="40" t="n">
        <x:v>15.1</x:v>
      </x:c>
      <x:c r="H2331" s="40" t="n">
        <x:f>F2331-E2331</x:f>
        <x:v>0.5796966552734375</x:v>
      </x:c>
      <x:c r="I2331" s="40" t="n">
        <x:f>ABS(H2331)</x:f>
        <x:v>0.5796966552734375</x:v>
      </x:c>
      <x:c r="J2331" s="40" t="n">
        <x:f>H2331^2</x:f>
        <x:v>0.33604821213521063</x:v>
      </x:c>
      <x:c r="K2331" s="40" t="n">
        <x:f>G2331-E2331</x:f>
        <x:v>0.09999999999999964</x:v>
      </x:c>
      <x:c r="L2331" s="40" t="n">
        <x:f>ABS(K2331)</x:f>
        <x:v>0.09999999999999964</x:v>
      </x:c>
      <x:c r="M2331" s="41" t="str">
        <x:v>lstm-soil-v1</x:v>
      </x:c>
    </x:row>
    <x:row r="2332">
      <x:c r="A2332" s="38" t="str">
        <x:v>7月30日现场数据</x:v>
      </x:c>
      <x:c r="B2332" s="39" t="str">
        <x:v>2026-08-02T14:05:00</x:v>
      </x:c>
      <x:c r="C2332" s="39" t="str">
        <x:v>2026-08-02T14:10:00</x:v>
      </x:c>
      <x:c r="D2332" s="47" t="n">
        <x:v>5</x:v>
      </x:c>
      <x:c r="E2332" s="40" t="n">
        <x:v>15.1</x:v>
      </x:c>
      <x:c r="F2332" s="40" t="n">
        <x:v>13.412208557128906</x:v>
      </x:c>
      <x:c r="G2332" s="40" t="n">
        <x:v>15.1</x:v>
      </x:c>
      <x:c r="H2332" s="40" t="n">
        <x:f>F2332-E2332</x:f>
        <x:v>-1.6877914428710934</x:v>
      </x:c>
      <x:c r="I2332" s="40" t="n">
        <x:f>ABS(H2332)</x:f>
        <x:v>1.6877914428710934</x:v>
      </x:c>
      <x:c r="J2332" s="40" t="n">
        <x:f>H2332^2</x:f>
        <x:v>2.8486399546288874</x:v>
      </x:c>
      <x:c r="K2332" s="40" t="n">
        <x:f>G2332-E2332</x:f>
        <x:v>0</x:v>
      </x:c>
      <x:c r="L2332" s="40" t="n">
        <x:f>ABS(K2332)</x:f>
        <x:v>0</x:v>
      </x:c>
      <x:c r="M2332" s="41" t="str">
        <x:v>lstm-soil-v1</x:v>
      </x:c>
    </x:row>
    <x:row r="2333">
      <x:c r="A2333" s="38" t="str">
        <x:v>7月30日现场数据</x:v>
      </x:c>
      <x:c r="B2333" s="39" t="str">
        <x:v>2026-08-02T14:05:00</x:v>
      </x:c>
      <x:c r="C2333" s="39" t="str">
        <x:v>2026-08-02T14:20:00</x:v>
      </x:c>
      <x:c r="D2333" s="47" t="n">
        <x:v>15</x:v>
      </x:c>
      <x:c r="E2333" s="40" t="n">
        <x:v>15.1</x:v>
      </x:c>
      <x:c r="F2333" s="40" t="n">
        <x:v>13.486011505126953</x:v>
      </x:c>
      <x:c r="G2333" s="40" t="n">
        <x:v>15.1</x:v>
      </x:c>
      <x:c r="H2333" s="40" t="n">
        <x:f>F2333-E2333</x:f>
        <x:v>-1.6139884948730465</x:v>
      </x:c>
      <x:c r="I2333" s="40" t="n">
        <x:f>ABS(H2333)</x:f>
        <x:v>1.6139884948730465</x:v>
      </x:c>
      <x:c r="J2333" s="40" t="n">
        <x:f>H2333^2</x:f>
        <x:v>2.604958861582562</x:v>
      </x:c>
      <x:c r="K2333" s="40" t="n">
        <x:f>G2333-E2333</x:f>
        <x:v>0</x:v>
      </x:c>
      <x:c r="L2333" s="40" t="n">
        <x:f>ABS(K2333)</x:f>
        <x:v>0</x:v>
      </x:c>
      <x:c r="M2333" s="41" t="str">
        <x:v>lstm-soil-v1</x:v>
      </x:c>
    </x:row>
    <x:row r="2334">
      <x:c r="A2334" s="38" t="str">
        <x:v>7月30日现场数据</x:v>
      </x:c>
      <x:c r="B2334" s="39" t="str">
        <x:v>2026-08-02T14:05:00</x:v>
      </x:c>
      <x:c r="C2334" s="39" t="str">
        <x:v>2026-08-02T14:35:00</x:v>
      </x:c>
      <x:c r="D2334" s="47" t="n">
        <x:v>30</x:v>
      </x:c>
      <x:c r="E2334" s="40" t="n">
        <x:v>15</x:v>
      </x:c>
      <x:c r="F2334" s="40" t="n">
        <x:v>13.894359588623047</x:v>
      </x:c>
      <x:c r="G2334" s="40" t="n">
        <x:v>15.1</x:v>
      </x:c>
      <x:c r="H2334" s="40" t="n">
        <x:f>F2334-E2334</x:f>
        <x:v>-1.1056404113769531</x:v>
      </x:c>
      <x:c r="I2334" s="40" t="n">
        <x:f>ABS(H2334)</x:f>
        <x:v>1.1056404113769531</x:v>
      </x:c>
      <x:c r="J2334" s="40" t="n">
        <x:f>H2334^2</x:f>
        <x:v>1.2224407192697981</x:v>
      </x:c>
      <x:c r="K2334" s="40" t="n">
        <x:f>G2334-E2334</x:f>
        <x:v>0.09999999999999964</x:v>
      </x:c>
      <x:c r="L2334" s="40" t="n">
        <x:f>ABS(K2334)</x:f>
        <x:v>0.09999999999999964</x:v>
      </x:c>
      <x:c r="M2334" s="41" t="str">
        <x:v>lstm-soil-v1</x:v>
      </x:c>
    </x:row>
    <x:row r="2335">
      <x:c r="A2335" s="38" t="str">
        <x:v>7月30日现场数据</x:v>
      </x:c>
      <x:c r="B2335" s="39" t="str">
        <x:v>2026-08-02T14:05:00</x:v>
      </x:c>
      <x:c r="C2335" s="39" t="str">
        <x:v>2026-08-02T15:05:00</x:v>
      </x:c>
      <x:c r="D2335" s="47" t="n">
        <x:v>60</x:v>
      </x:c>
      <x:c r="E2335" s="40" t="n">
        <x:v>14.9</x:v>
      </x:c>
      <x:c r="F2335" s="40" t="n">
        <x:v>15.584220886230469</x:v>
      </x:c>
      <x:c r="G2335" s="40" t="n">
        <x:v>15.1</x:v>
      </x:c>
      <x:c r="H2335" s="40" t="n">
        <x:f>F2335-E2335</x:f>
        <x:v>0.6842208862304684</x:v>
      </x:c>
      <x:c r="I2335" s="40" t="n">
        <x:f>ABS(H2335)</x:f>
        <x:v>0.6842208862304684</x:v>
      </x:c>
      <x:c r="J2335" s="40" t="n">
        <x:f>H2335^2</x:f>
        <x:v>0.46815822115400757</x:v>
      </x:c>
      <x:c r="K2335" s="40" t="n">
        <x:f>G2335-E2335</x:f>
        <x:v>0.1999999999999993</x:v>
      </x:c>
      <x:c r="L2335" s="40" t="n">
        <x:f>ABS(K2335)</x:f>
        <x:v>0.1999999999999993</x:v>
      </x:c>
      <x:c r="M2335" s="41" t="str">
        <x:v>lstm-soil-v1</x:v>
      </x:c>
    </x:row>
    <x:row r="2336">
      <x:c r="A2336" s="38" t="str">
        <x:v>7月30日现场数据</x:v>
      </x:c>
      <x:c r="B2336" s="39" t="str">
        <x:v>2026-08-02T14:10:00</x:v>
      </x:c>
      <x:c r="C2336" s="39" t="str">
        <x:v>2026-08-02T14:15:00</x:v>
      </x:c>
      <x:c r="D2336" s="47" t="n">
        <x:v>5</x:v>
      </x:c>
      <x:c r="E2336" s="40" t="n">
        <x:v>15.1</x:v>
      </x:c>
      <x:c r="F2336" s="40" t="n">
        <x:v>13.409542083740234</x:v>
      </x:c>
      <x:c r="G2336" s="40" t="n">
        <x:v>15.1</x:v>
      </x:c>
      <x:c r="H2336" s="40" t="n">
        <x:f>F2336-E2336</x:f>
        <x:v>-1.6904579162597653</x:v>
      </x:c>
      <x:c r="I2336" s="40" t="n">
        <x:f>ABS(H2336)</x:f>
        <x:v>1.6904579162597653</x:v>
      </x:c>
      <x:c r="J2336" s="40" t="n">
        <x:f>H2336^2</x:f>
        <x:v>2.8576479666453074</x:v>
      </x:c>
      <x:c r="K2336" s="40" t="n">
        <x:f>G2336-E2336</x:f>
        <x:v>0</x:v>
      </x:c>
      <x:c r="L2336" s="40" t="n">
        <x:f>ABS(K2336)</x:f>
        <x:v>0</x:v>
      </x:c>
      <x:c r="M2336" s="41" t="str">
        <x:v>lstm-soil-v1</x:v>
      </x:c>
    </x:row>
    <x:row r="2337">
      <x:c r="A2337" s="38" t="str">
        <x:v>7月30日现场数据</x:v>
      </x:c>
      <x:c r="B2337" s="39" t="str">
        <x:v>2026-08-02T14:10:00</x:v>
      </x:c>
      <x:c r="C2337" s="39" t="str">
        <x:v>2026-08-02T14:25:00</x:v>
      </x:c>
      <x:c r="D2337" s="47" t="n">
        <x:v>15</x:v>
      </x:c>
      <x:c r="E2337" s="40" t="n">
        <x:v>15.1</x:v>
      </x:c>
      <x:c r="F2337" s="40" t="n">
        <x:v>13.485652923583984</x:v>
      </x:c>
      <x:c r="G2337" s="40" t="n">
        <x:v>15.1</x:v>
      </x:c>
      <x:c r="H2337" s="40" t="n">
        <x:f>F2337-E2337</x:f>
        <x:v>-1.6143470764160153</x:v>
      </x:c>
      <x:c r="I2337" s="40" t="n">
        <x:f>ABS(H2337)</x:f>
        <x:v>1.6143470764160153</x:v>
      </x:c>
      <x:c r="J2337" s="40" t="n">
        <x:f>H2337^2</x:f>
        <x:v>2.606116483132936</x:v>
      </x:c>
      <x:c r="K2337" s="40" t="n">
        <x:f>G2337-E2337</x:f>
        <x:v>0</x:v>
      </x:c>
      <x:c r="L2337" s="40" t="n">
        <x:f>ABS(K2337)</x:f>
        <x:v>0</x:v>
      </x:c>
      <x:c r="M2337" s="41" t="str">
        <x:v>lstm-soil-v1</x:v>
      </x:c>
    </x:row>
    <x:row r="2338">
      <x:c r="A2338" s="38" t="str">
        <x:v>7月30日现场数据</x:v>
      </x:c>
      <x:c r="B2338" s="39" t="str">
        <x:v>2026-08-02T14:10:00</x:v>
      </x:c>
      <x:c r="C2338" s="39" t="str">
        <x:v>2026-08-02T14:40:00</x:v>
      </x:c>
      <x:c r="D2338" s="47" t="n">
        <x:v>30</x:v>
      </x:c>
      <x:c r="E2338" s="40" t="n">
        <x:v>15</x:v>
      </x:c>
      <x:c r="F2338" s="40" t="n">
        <x:v>13.889511108398438</x:v>
      </x:c>
      <x:c r="G2338" s="40" t="n">
        <x:v>15.1</x:v>
      </x:c>
      <x:c r="H2338" s="40" t="n">
        <x:f>F2338-E2338</x:f>
        <x:v>-1.1104888916015625</x:v>
      </x:c>
      <x:c r="I2338" s="40" t="n">
        <x:f>ABS(H2338)</x:f>
        <x:v>1.1104888916015625</x:v>
      </x:c>
      <x:c r="J2338" s="40" t="n">
        <x:f>H2338^2</x:f>
        <x:v>1.2331855783704668</x:v>
      </x:c>
      <x:c r="K2338" s="40" t="n">
        <x:f>G2338-E2338</x:f>
        <x:v>0.09999999999999964</x:v>
      </x:c>
      <x:c r="L2338" s="40" t="n">
        <x:f>ABS(K2338)</x:f>
        <x:v>0.09999999999999964</x:v>
      </x:c>
      <x:c r="M2338" s="41" t="str">
        <x:v>lstm-soil-v1</x:v>
      </x:c>
    </x:row>
    <x:row r="2339">
      <x:c r="A2339" s="38" t="str">
        <x:v>7月30日现场数据</x:v>
      </x:c>
      <x:c r="B2339" s="39" t="str">
        <x:v>2026-08-02T14:10:00</x:v>
      </x:c>
      <x:c r="C2339" s="39" t="str">
        <x:v>2026-08-02T15:10:00</x:v>
      </x:c>
      <x:c r="D2339" s="47" t="n">
        <x:v>60</x:v>
      </x:c>
      <x:c r="E2339" s="40" t="n">
        <x:v>15</x:v>
      </x:c>
      <x:c r="F2339" s="40" t="n">
        <x:v>15.581283569335938</x:v>
      </x:c>
      <x:c r="G2339" s="40" t="n">
        <x:v>15.1</x:v>
      </x:c>
      <x:c r="H2339" s="40" t="n">
        <x:f>F2339-E2339</x:f>
        <x:v>0.5812835693359375</x:v>
      </x:c>
      <x:c r="I2339" s="40" t="n">
        <x:f>ABS(H2339)</x:f>
        <x:v>0.5812835693359375</x:v>
      </x:c>
      <x:c r="J2339" s="40" t="n">
        <x:f>H2339^2</x:f>
        <x:v>0.33789058797992766</x:v>
      </x:c>
      <x:c r="K2339" s="40" t="n">
        <x:f>G2339-E2339</x:f>
        <x:v>0.09999999999999964</x:v>
      </x:c>
      <x:c r="L2339" s="40" t="n">
        <x:f>ABS(K2339)</x:f>
        <x:v>0.09999999999999964</x:v>
      </x:c>
      <x:c r="M2339" s="41" t="str">
        <x:v>lstm-soil-v1</x:v>
      </x:c>
    </x:row>
    <x:row r="2340">
      <x:c r="A2340" s="38" t="str">
        <x:v>7月30日现场数据</x:v>
      </x:c>
      <x:c r="B2340" s="39" t="str">
        <x:v>2026-08-02T14:15:00</x:v>
      </x:c>
      <x:c r="C2340" s="39" t="str">
        <x:v>2026-08-02T14:20:00</x:v>
      </x:c>
      <x:c r="D2340" s="47" t="n">
        <x:v>5</x:v>
      </x:c>
      <x:c r="E2340" s="40" t="n">
        <x:v>15.1</x:v>
      </x:c>
      <x:c r="F2340" s="40" t="n">
        <x:v>13.406173706054688</x:v>
      </x:c>
      <x:c r="G2340" s="40" t="n">
        <x:v>15.1</x:v>
      </x:c>
      <x:c r="H2340" s="40" t="n">
        <x:f>F2340-E2340</x:f>
        <x:v>-1.6938262939453121</x:v>
      </x:c>
      <x:c r="I2340" s="40" t="n">
        <x:f>ABS(H2340)</x:f>
        <x:v>1.6938262939453121</x:v>
      </x:c>
      <x:c r="J2340" s="40" t="n">
        <x:f>H2340^2</x:f>
        <x:v>2.869047514060511</x:v>
      </x:c>
      <x:c r="K2340" s="40" t="n">
        <x:f>G2340-E2340</x:f>
        <x:v>0</x:v>
      </x:c>
      <x:c r="L2340" s="40" t="n">
        <x:f>ABS(K2340)</x:f>
        <x:v>0</x:v>
      </x:c>
      <x:c r="M2340" s="41" t="str">
        <x:v>lstm-soil-v1</x:v>
      </x:c>
    </x:row>
    <x:row r="2341">
      <x:c r="A2341" s="38" t="str">
        <x:v>7月30日现场数据</x:v>
      </x:c>
      <x:c r="B2341" s="39" t="str">
        <x:v>2026-08-02T14:15:00</x:v>
      </x:c>
      <x:c r="C2341" s="39" t="str">
        <x:v>2026-08-02T14:30:00</x:v>
      </x:c>
      <x:c r="D2341" s="47" t="n">
        <x:v>15</x:v>
      </x:c>
      <x:c r="E2341" s="40" t="n">
        <x:v>15</x:v>
      </x:c>
      <x:c r="F2341" s="40" t="n">
        <x:v>13.484046936035156</x:v>
      </x:c>
      <x:c r="G2341" s="40" t="n">
        <x:v>15.1</x:v>
      </x:c>
      <x:c r="H2341" s="40" t="n">
        <x:f>F2341-E2341</x:f>
        <x:v>-1.5159530639648438</x:v>
      </x:c>
      <x:c r="I2341" s="40" t="n">
        <x:f>ABS(H2341)</x:f>
        <x:v>1.5159530639648438</x:v>
      </x:c>
      <x:c r="J2341" s="40" t="n">
        <x:f>H2341^2</x:f>
        <x:v>2.2981136921443976</x:v>
      </x:c>
      <x:c r="K2341" s="40" t="n">
        <x:f>G2341-E2341</x:f>
        <x:v>0.09999999999999964</x:v>
      </x:c>
      <x:c r="L2341" s="40" t="n">
        <x:f>ABS(K2341)</x:f>
        <x:v>0.09999999999999964</x:v>
      </x:c>
      <x:c r="M2341" s="41" t="str">
        <x:v>lstm-soil-v1</x:v>
      </x:c>
    </x:row>
    <x:row r="2342">
      <x:c r="A2342" s="38" t="str">
        <x:v>7月30日现场数据</x:v>
      </x:c>
      <x:c r="B2342" s="39" t="str">
        <x:v>2026-08-02T14:15:00</x:v>
      </x:c>
      <x:c r="C2342" s="39" t="str">
        <x:v>2026-08-02T14:45:00</x:v>
      </x:c>
      <x:c r="D2342" s="47" t="n">
        <x:v>30</x:v>
      </x:c>
      <x:c r="E2342" s="40" t="n">
        <x:v>15</x:v>
      </x:c>
      <x:c r="F2342" s="40" t="n">
        <x:v>13.882736206054688</x:v>
      </x:c>
      <x:c r="G2342" s="40" t="n">
        <x:v>15.1</x:v>
      </x:c>
      <x:c r="H2342" s="40" t="n">
        <x:f>F2342-E2342</x:f>
        <x:v>-1.1172637939453125</x:v>
      </x:c>
      <x:c r="I2342" s="40" t="n">
        <x:f>ABS(H2342)</x:f>
        <x:v>1.1172637939453125</x:v>
      </x:c>
      <x:c r="J2342" s="40" t="n">
        <x:f>H2342^2</x:f>
        <x:v>1.2482783852610737</x:v>
      </x:c>
      <x:c r="K2342" s="40" t="n">
        <x:f>G2342-E2342</x:f>
        <x:v>0.09999999999999964</x:v>
      </x:c>
      <x:c r="L2342" s="40" t="n">
        <x:f>ABS(K2342)</x:f>
        <x:v>0.09999999999999964</x:v>
      </x:c>
      <x:c r="M2342" s="41" t="str">
        <x:v>lstm-soil-v1</x:v>
      </x:c>
    </x:row>
    <x:row r="2343">
      <x:c r="A2343" s="38" t="str">
        <x:v>7月30日现场数据</x:v>
      </x:c>
      <x:c r="B2343" s="39" t="str">
        <x:v>2026-08-02T14:15:00</x:v>
      </x:c>
      <x:c r="C2343" s="39" t="str">
        <x:v>2026-08-02T15:15:00</x:v>
      </x:c>
      <x:c r="D2343" s="47" t="n">
        <x:v>60</x:v>
      </x:c>
      <x:c r="E2343" s="40" t="n">
        <x:v>15</x:v>
      </x:c>
      <x:c r="F2343" s="40" t="n">
        <x:v>15.57741928100586</x:v>
      </x:c>
      <x:c r="G2343" s="40" t="n">
        <x:v>15.1</x:v>
      </x:c>
      <x:c r="H2343" s="40" t="n">
        <x:f>F2343-E2343</x:f>
        <x:v>0.5774192810058594</x:v>
      </x:c>
      <x:c r="I2343" s="40" t="n">
        <x:f>ABS(H2343)</x:f>
        <x:v>0.5774192810058594</x:v>
      </x:c>
      <x:c r="J2343" s="40" t="n">
        <x:f>H2343^2</x:f>
        <x:v>0.3334130260773236</x:v>
      </x:c>
      <x:c r="K2343" s="40" t="n">
        <x:f>G2343-E2343</x:f>
        <x:v>0.09999999999999964</x:v>
      </x:c>
      <x:c r="L2343" s="40" t="n">
        <x:f>ABS(K2343)</x:f>
        <x:v>0.09999999999999964</x:v>
      </x:c>
      <x:c r="M2343" s="41" t="str">
        <x:v>lstm-soil-v1</x:v>
      </x:c>
    </x:row>
    <x:row r="2344">
      <x:c r="A2344" s="38" t="str">
        <x:v>7月30日现场数据</x:v>
      </x:c>
      <x:c r="B2344" s="39" t="str">
        <x:v>2026-08-02T14:20:00</x:v>
      </x:c>
      <x:c r="C2344" s="39" t="str">
        <x:v>2026-08-02T14:25:00</x:v>
      </x:c>
      <x:c r="D2344" s="47" t="n">
        <x:v>5</x:v>
      </x:c>
      <x:c r="E2344" s="40" t="n">
        <x:v>15.1</x:v>
      </x:c>
      <x:c r="F2344" s="40" t="n">
        <x:v>13.403850555419922</x:v>
      </x:c>
      <x:c r="G2344" s="40" t="n">
        <x:v>15.1</x:v>
      </x:c>
      <x:c r="H2344" s="40" t="n">
        <x:f>F2344-E2344</x:f>
        <x:v>-1.6961494445800778</x:v>
      </x:c>
      <x:c r="I2344" s="40" t="n">
        <x:f>ABS(H2344)</x:f>
        <x:v>1.6961494445800778</x:v>
      </x:c>
      <x:c r="J2344" s="40" t="n">
        <x:f>H2344^2</x:f>
        <x:v>2.8769229383493062</x:v>
      </x:c>
      <x:c r="K2344" s="40" t="n">
        <x:f>G2344-E2344</x:f>
        <x:v>0</x:v>
      </x:c>
      <x:c r="L2344" s="40" t="n">
        <x:f>ABS(K2344)</x:f>
        <x:v>0</x:v>
      </x:c>
      <x:c r="M2344" s="41" t="str">
        <x:v>lstm-soil-v1</x:v>
      </x:c>
    </x:row>
    <x:row r="2345">
      <x:c r="A2345" s="38" t="str">
        <x:v>7月30日现场数据</x:v>
      </x:c>
      <x:c r="B2345" s="39" t="str">
        <x:v>2026-08-02T14:20:00</x:v>
      </x:c>
      <x:c r="C2345" s="39" t="str">
        <x:v>2026-08-02T14:35:00</x:v>
      </x:c>
      <x:c r="D2345" s="47" t="n">
        <x:v>15</x:v>
      </x:c>
      <x:c r="E2345" s="40" t="n">
        <x:v>15</x:v>
      </x:c>
      <x:c r="F2345" s="40" t="n">
        <x:v>13.482250213623047</x:v>
      </x:c>
      <x:c r="G2345" s="40" t="n">
        <x:v>15.1</x:v>
      </x:c>
      <x:c r="H2345" s="40" t="n">
        <x:f>F2345-E2345</x:f>
        <x:v>-1.5177497863769531</x:v>
      </x:c>
      <x:c r="I2345" s="40" t="n">
        <x:f>ABS(H2345)</x:f>
        <x:v>1.5177497863769531</x:v>
      </x:c>
      <x:c r="J2345" s="40" t="n">
        <x:f>H2345^2</x:f>
        <x:v>2.303564414047287</x:v>
      </x:c>
      <x:c r="K2345" s="40" t="n">
        <x:f>G2345-E2345</x:f>
        <x:v>0.09999999999999964</x:v>
      </x:c>
      <x:c r="L2345" s="40" t="n">
        <x:f>ABS(K2345)</x:f>
        <x:v>0.09999999999999964</x:v>
      </x:c>
      <x:c r="M2345" s="41" t="str">
        <x:v>lstm-soil-v1</x:v>
      </x:c>
    </x:row>
    <x:row r="2346">
      <x:c r="A2346" s="38" t="str">
        <x:v>7月30日现场数据</x:v>
      </x:c>
      <x:c r="B2346" s="39" t="str">
        <x:v>2026-08-02T14:20:00</x:v>
      </x:c>
      <x:c r="C2346" s="39" t="str">
        <x:v>2026-08-02T14:50:00</x:v>
      </x:c>
      <x:c r="D2346" s="47" t="n">
        <x:v>30</x:v>
      </x:c>
      <x:c r="E2346" s="40" t="n">
        <x:v>15</x:v>
      </x:c>
      <x:c r="F2346" s="40" t="n">
        <x:v>13.87704849243164</x:v>
      </x:c>
      <x:c r="G2346" s="40" t="n">
        <x:v>15.1</x:v>
      </x:c>
      <x:c r="H2346" s="40" t="n">
        <x:f>F2346-E2346</x:f>
        <x:v>-1.1229515075683594</x:v>
      </x:c>
      <x:c r="I2346" s="40" t="n">
        <x:f>ABS(H2346)</x:f>
        <x:v>1.1229515075683594</x:v>
      </x:c>
      <x:c r="J2346" s="40" t="n">
        <x:f>H2346^2</x:f>
        <x:v>1.261020088350051</x:v>
      </x:c>
      <x:c r="K2346" s="40" t="n">
        <x:f>G2346-E2346</x:f>
        <x:v>0.09999999999999964</x:v>
      </x:c>
      <x:c r="L2346" s="40" t="n">
        <x:f>ABS(K2346)</x:f>
        <x:v>0.09999999999999964</x:v>
      </x:c>
      <x:c r="M2346" s="41" t="str">
        <x:v>lstm-soil-v1</x:v>
      </x:c>
    </x:row>
    <x:row r="2347">
      <x:c r="A2347" s="38" t="str">
        <x:v>7月30日现场数据</x:v>
      </x:c>
      <x:c r="B2347" s="39" t="str">
        <x:v>2026-08-02T14:20:00</x:v>
      </x:c>
      <x:c r="C2347" s="39" t="str">
        <x:v>2026-08-02T15:20:00</x:v>
      </x:c>
      <x:c r="D2347" s="47" t="n">
        <x:v>60</x:v>
      </x:c>
      <x:c r="E2347" s="40" t="n">
        <x:v>14.9</x:v>
      </x:c>
      <x:c r="F2347" s="40" t="n">
        <x:v>15.574588775634766</x:v>
      </x:c>
      <x:c r="G2347" s="40" t="n">
        <x:v>15.1</x:v>
      </x:c>
      <x:c r="H2347" s="40" t="n">
        <x:f>F2347-E2347</x:f>
        <x:v>0.6745887756347653</x:v>
      </x:c>
      <x:c r="I2347" s="40" t="n">
        <x:f>ABS(H2347)</x:f>
        <x:v>0.6745887756347653</x:v>
      </x:c>
      <x:c r="J2347" s="40" t="n">
        <x:f>H2347^2</x:f>
        <x:v>0.45507001621241167</x:v>
      </x:c>
      <x:c r="K2347" s="40" t="n">
        <x:f>G2347-E2347</x:f>
        <x:v>0.1999999999999993</x:v>
      </x:c>
      <x:c r="L2347" s="40" t="n">
        <x:f>ABS(K2347)</x:f>
        <x:v>0.1999999999999993</x:v>
      </x:c>
      <x:c r="M2347" s="41" t="str">
        <x:v>lstm-soil-v1</x:v>
      </x:c>
    </x:row>
    <x:row r="2348">
      <x:c r="A2348" s="38" t="str">
        <x:v>7月30日现场数据</x:v>
      </x:c>
      <x:c r="B2348" s="39" t="str">
        <x:v>2026-08-02T14:25:00</x:v>
      </x:c>
      <x:c r="C2348" s="39" t="str">
        <x:v>2026-08-02T14:30:00</x:v>
      </x:c>
      <x:c r="D2348" s="47" t="n">
        <x:v>5</x:v>
      </x:c>
      <x:c r="E2348" s="40" t="n">
        <x:v>15</x:v>
      </x:c>
      <x:c r="F2348" s="40" t="n">
        <x:v>13.401859283447266</x:v>
      </x:c>
      <x:c r="G2348" s="40" t="n">
        <x:v>15.1</x:v>
      </x:c>
      <x:c r="H2348" s="40" t="n">
        <x:f>F2348-E2348</x:f>
        <x:v>-1.5981407165527344</x:v>
      </x:c>
      <x:c r="I2348" s="40" t="n">
        <x:f>ABS(H2348)</x:f>
        <x:v>1.5981407165527344</x:v>
      </x:c>
      <x:c r="J2348" s="40" t="n">
        <x:f>H2348^2</x:f>
        <x:v>2.5540537499036873</x:v>
      </x:c>
      <x:c r="K2348" s="40" t="n">
        <x:f>G2348-E2348</x:f>
        <x:v>0.09999999999999964</x:v>
      </x:c>
      <x:c r="L2348" s="40" t="n">
        <x:f>ABS(K2348)</x:f>
        <x:v>0.09999999999999964</x:v>
      </x:c>
      <x:c r="M2348" s="41" t="str">
        <x:v>lstm-soil-v1</x:v>
      </x:c>
    </x:row>
    <x:row r="2349">
      <x:c r="A2349" s="38" t="str">
        <x:v>7月30日现场数据</x:v>
      </x:c>
      <x:c r="B2349" s="39" t="str">
        <x:v>2026-08-02T14:25:00</x:v>
      </x:c>
      <x:c r="C2349" s="39" t="str">
        <x:v>2026-08-02T14:40:00</x:v>
      </x:c>
      <x:c r="D2349" s="47" t="n">
        <x:v>15</x:v>
      </x:c>
      <x:c r="E2349" s="40" t="n">
        <x:v>15</x:v>
      </x:c>
      <x:c r="F2349" s="40" t="n">
        <x:v>13.48055648803711</x:v>
      </x:c>
      <x:c r="G2349" s="40" t="n">
        <x:v>15.1</x:v>
      </x:c>
      <x:c r="H2349" s="40" t="n">
        <x:f>F2349-E2349</x:f>
        <x:v>-1.5194435119628906</x:v>
      </x:c>
      <x:c r="I2349" s="40" t="n">
        <x:f>ABS(H2349)</x:f>
        <x:v>1.5194435119628906</x:v>
      </x:c>
      <x:c r="J2349" s="40" t="n">
        <x:f>H2349^2</x:f>
        <x:v>2.308708586046123</x:v>
      </x:c>
      <x:c r="K2349" s="40" t="n">
        <x:f>G2349-E2349</x:f>
        <x:v>0.09999999999999964</x:v>
      </x:c>
      <x:c r="L2349" s="40" t="n">
        <x:f>ABS(K2349)</x:f>
        <x:v>0.09999999999999964</x:v>
      </x:c>
      <x:c r="M2349" s="41" t="str">
        <x:v>lstm-soil-v1</x:v>
      </x:c>
    </x:row>
    <x:row r="2350">
      <x:c r="A2350" s="38" t="str">
        <x:v>7月30日现场数据</x:v>
      </x:c>
      <x:c r="B2350" s="39" t="str">
        <x:v>2026-08-02T14:25:00</x:v>
      </x:c>
      <x:c r="C2350" s="39" t="str">
        <x:v>2026-08-02T14:55:00</x:v>
      </x:c>
      <x:c r="D2350" s="47" t="n">
        <x:v>30</x:v>
      </x:c>
      <x:c r="E2350" s="40" t="n">
        <x:v>15</x:v>
      </x:c>
      <x:c r="F2350" s="40" t="n">
        <x:v>13.872329711914062</x:v>
      </x:c>
      <x:c r="G2350" s="40" t="n">
        <x:v>15.1</x:v>
      </x:c>
      <x:c r="H2350" s="40" t="n">
        <x:f>F2350-E2350</x:f>
        <x:v>-1.1276702880859375</x:v>
      </x:c>
      <x:c r="I2350" s="40" t="n">
        <x:f>ABS(H2350)</x:f>
        <x:v>1.1276702880859375</x:v>
      </x:c>
      <x:c r="J2350" s="40" t="n">
        <x:f>H2350^2</x:f>
        <x:v>1.2716402786318213</x:v>
      </x:c>
      <x:c r="K2350" s="40" t="n">
        <x:f>G2350-E2350</x:f>
        <x:v>0.09999999999999964</x:v>
      </x:c>
      <x:c r="L2350" s="40" t="n">
        <x:f>ABS(K2350)</x:f>
        <x:v>0.09999999999999964</x:v>
      </x:c>
      <x:c r="M2350" s="41" t="str">
        <x:v>lstm-soil-v1</x:v>
      </x:c>
    </x:row>
    <x:row r="2351">
      <x:c r="A2351" s="38" t="str">
        <x:v>7月30日现场数据</x:v>
      </x:c>
      <x:c r="B2351" s="39" t="str">
        <x:v>2026-08-02T14:25:00</x:v>
      </x:c>
      <x:c r="C2351" s="39" t="str">
        <x:v>2026-08-02T15:25:00</x:v>
      </x:c>
      <x:c r="D2351" s="47" t="n">
        <x:v>60</x:v>
      </x:c>
      <x:c r="E2351" s="40" t="n">
        <x:v>14.9</x:v>
      </x:c>
      <x:c r="F2351" s="40" t="n">
        <x:v>15.571971893310547</x:v>
      </x:c>
      <x:c r="G2351" s="40" t="n">
        <x:v>15.1</x:v>
      </x:c>
      <x:c r="H2351" s="40" t="n">
        <x:f>F2351-E2351</x:f>
        <x:v>0.6719718933105465</x:v>
      </x:c>
      <x:c r="I2351" s="40" t="n">
        <x:f>ABS(H2351)</x:f>
        <x:v>0.6719718933105465</x:v>
      </x:c>
      <x:c r="J2351" s="40" t="n">
        <x:f>H2351^2</x:f>
        <x:v>0.4515462253993605</x:v>
      </x:c>
      <x:c r="K2351" s="40" t="n">
        <x:f>G2351-E2351</x:f>
        <x:v>0.1999999999999993</x:v>
      </x:c>
      <x:c r="L2351" s="40" t="n">
        <x:f>ABS(K2351)</x:f>
        <x:v>0.1999999999999993</x:v>
      </x:c>
      <x:c r="M2351" s="41" t="str">
        <x:v>lstm-soil-v1</x:v>
      </x:c>
    </x:row>
    <x:row r="2352">
      <x:c r="A2352" s="38" t="str">
        <x:v>7月30日现场数据</x:v>
      </x:c>
      <x:c r="B2352" s="39" t="str">
        <x:v>2026-08-02T14:30:00</x:v>
      </x:c>
      <x:c r="C2352" s="39" t="str">
        <x:v>2026-08-02T14:35:00</x:v>
      </x:c>
      <x:c r="D2352" s="47" t="n">
        <x:v>5</x:v>
      </x:c>
      <x:c r="E2352" s="40" t="n">
        <x:v>15</x:v>
      </x:c>
      <x:c r="F2352" s="40" t="n">
        <x:v>13.289981842041016</x:v>
      </x:c>
      <x:c r="G2352" s="40" t="n">
        <x:v>15</x:v>
      </x:c>
      <x:c r="H2352" s="40" t="n">
        <x:f>F2352-E2352</x:f>
        <x:v>-1.7100181579589844</x:v>
      </x:c>
      <x:c r="I2352" s="40" t="n">
        <x:f>ABS(H2352)</x:f>
        <x:v>1.7100181579589844</x:v>
      </x:c>
      <x:c r="J2352" s="40" t="n">
        <x:f>H2352^2</x:f>
        <x:v>2.924162100549438</x:v>
      </x:c>
      <x:c r="K2352" s="40" t="n">
        <x:f>G2352-E2352</x:f>
        <x:v>0</x:v>
      </x:c>
      <x:c r="L2352" s="40" t="n">
        <x:f>ABS(K2352)</x:f>
        <x:v>0</x:v>
      </x:c>
      <x:c r="M2352" s="41" t="str">
        <x:v>lstm-soil-v1</x:v>
      </x:c>
    </x:row>
    <x:row r="2353">
      <x:c r="A2353" s="38" t="str">
        <x:v>7月30日现场数据</x:v>
      </x:c>
      <x:c r="B2353" s="39" t="str">
        <x:v>2026-08-02T14:30:00</x:v>
      </x:c>
      <x:c r="C2353" s="39" t="str">
        <x:v>2026-08-02T14:45:00</x:v>
      </x:c>
      <x:c r="D2353" s="47" t="n">
        <x:v>15</x:v>
      </x:c>
      <x:c r="E2353" s="40" t="n">
        <x:v>15</x:v>
      </x:c>
      <x:c r="F2353" s="40" t="n">
        <x:v>13.368995666503906</x:v>
      </x:c>
      <x:c r="G2353" s="40" t="n">
        <x:v>15</x:v>
      </x:c>
      <x:c r="H2353" s="40" t="n">
        <x:f>F2353-E2353</x:f>
        <x:v>-1.6310043334960938</x:v>
      </x:c>
      <x:c r="I2353" s="40" t="n">
        <x:f>ABS(H2353)</x:f>
        <x:v>1.6310043334960938</x:v>
      </x:c>
      <x:c r="J2353" s="40" t="n">
        <x:f>H2353^2</x:f>
        <x:v>2.660175135883037</x:v>
      </x:c>
      <x:c r="K2353" s="40" t="n">
        <x:f>G2353-E2353</x:f>
        <x:v>0</x:v>
      </x:c>
      <x:c r="L2353" s="40" t="n">
        <x:f>ABS(K2353)</x:f>
        <x:v>0</x:v>
      </x:c>
      <x:c r="M2353" s="41" t="str">
        <x:v>lstm-soil-v1</x:v>
      </x:c>
    </x:row>
    <x:row r="2354">
      <x:c r="A2354" s="38" t="str">
        <x:v>7月30日现场数据</x:v>
      </x:c>
      <x:c r="B2354" s="39" t="str">
        <x:v>2026-08-02T14:30:00</x:v>
      </x:c>
      <x:c r="C2354" s="39" t="str">
        <x:v>2026-08-02T15:00:00</x:v>
      </x:c>
      <x:c r="D2354" s="47" t="n">
        <x:v>30</x:v>
      </x:c>
      <x:c r="E2354" s="40" t="n">
        <x:v>15</x:v>
      </x:c>
      <x:c r="F2354" s="40" t="n">
        <x:v>13.75848388671875</x:v>
      </x:c>
      <x:c r="G2354" s="40" t="n">
        <x:v>15</x:v>
      </x:c>
      <x:c r="H2354" s="40" t="n">
        <x:f>F2354-E2354</x:f>
        <x:v>-1.24151611328125</x:v>
      </x:c>
      <x:c r="I2354" s="40" t="n">
        <x:f>ABS(H2354)</x:f>
        <x:v>1.24151611328125</x:v>
      </x:c>
      <x:c r="J2354" s="40" t="n">
        <x:f>H2354^2</x:f>
        <x:v>1.5413622595369816</x:v>
      </x:c>
      <x:c r="K2354" s="40" t="n">
        <x:f>G2354-E2354</x:f>
        <x:v>0</x:v>
      </x:c>
      <x:c r="L2354" s="40" t="n">
        <x:f>ABS(K2354)</x:f>
        <x:v>0</x:v>
      </x:c>
      <x:c r="M2354" s="41" t="str">
        <x:v>lstm-soil-v1</x:v>
      </x:c>
    </x:row>
    <x:row r="2355">
      <x:c r="A2355" s="38" t="str">
        <x:v>7月30日现场数据</x:v>
      </x:c>
      <x:c r="B2355" s="39" t="str">
        <x:v>2026-08-02T14:30:00</x:v>
      </x:c>
      <x:c r="C2355" s="39" t="str">
        <x:v>2026-08-02T15:30:00</x:v>
      </x:c>
      <x:c r="D2355" s="47" t="n">
        <x:v>60</x:v>
      </x:c>
      <x:c r="E2355" s="40" t="n">
        <x:v>14.9</x:v>
      </x:c>
      <x:c r="F2355" s="40" t="n">
        <x:v>15.459686279296875</x:v>
      </x:c>
      <x:c r="G2355" s="40" t="n">
        <x:v>15</x:v>
      </x:c>
      <x:c r="H2355" s="40" t="n">
        <x:f>F2355-E2355</x:f>
        <x:v>0.5596862792968746</x:v>
      </x:c>
      <x:c r="I2355" s="40" t="n">
        <x:f>ABS(H2355)</x:f>
        <x:v>0.5596862792968746</x:v>
      </x:c>
      <x:c r="J2355" s="40" t="n">
        <x:f>H2355^2</x:f>
        <x:v>0.31324873123317915</x:v>
      </x:c>
      <x:c r="K2355" s="40" t="n">
        <x:f>G2355-E2355</x:f>
        <x:v>0.09999999999999964</x:v>
      </x:c>
      <x:c r="L2355" s="40" t="n">
        <x:f>ABS(K2355)</x:f>
        <x:v>0.09999999999999964</x:v>
      </x:c>
      <x:c r="M2355" s="41" t="str">
        <x:v>lstm-soil-v1</x:v>
      </x:c>
    </x:row>
    <x:row r="2356">
      <x:c r="A2356" s="38" t="str">
        <x:v>7月30日现场数据</x:v>
      </x:c>
      <x:c r="B2356" s="39" t="str">
        <x:v>2026-08-02T14:35:00</x:v>
      </x:c>
      <x:c r="C2356" s="39" t="str">
        <x:v>2026-08-02T14:40:00</x:v>
      </x:c>
      <x:c r="D2356" s="47" t="n">
        <x:v>5</x:v>
      </x:c>
      <x:c r="E2356" s="40" t="n">
        <x:v>15</x:v>
      </x:c>
      <x:c r="F2356" s="40" t="n">
        <x:v>13.287792205810547</x:v>
      </x:c>
      <x:c r="G2356" s="40" t="n">
        <x:v>15</x:v>
      </x:c>
      <x:c r="H2356" s="40" t="n">
        <x:f>F2356-E2356</x:f>
        <x:v>-1.7122077941894531</x:v>
      </x:c>
      <x:c r="I2356" s="40" t="n">
        <x:f>ABS(H2356)</x:f>
        <x:v>1.7122077941894531</x:v>
      </x:c>
      <x:c r="J2356" s="40" t="n">
        <x:f>H2356^2</x:f>
        <x:v>2.9316555304831127</x:v>
      </x:c>
      <x:c r="K2356" s="40" t="n">
        <x:f>G2356-E2356</x:f>
        <x:v>0</x:v>
      </x:c>
      <x:c r="L2356" s="40" t="n">
        <x:f>ABS(K2356)</x:f>
        <x:v>0</x:v>
      </x:c>
      <x:c r="M2356" s="41" t="str">
        <x:v>lstm-soil-v1</x:v>
      </x:c>
    </x:row>
    <x:row r="2357">
      <x:c r="A2357" s="38" t="str">
        <x:v>7月30日现场数据</x:v>
      </x:c>
      <x:c r="B2357" s="39" t="str">
        <x:v>2026-08-02T14:35:00</x:v>
      </x:c>
      <x:c r="C2357" s="39" t="str">
        <x:v>2026-08-02T14:50:00</x:v>
      </x:c>
      <x:c r="D2357" s="47" t="n">
        <x:v>15</x:v>
      </x:c>
      <x:c r="E2357" s="40" t="n">
        <x:v>15</x:v>
      </x:c>
      <x:c r="F2357" s="40" t="n">
        <x:v>13.367637634277344</x:v>
      </x:c>
      <x:c r="G2357" s="40" t="n">
        <x:v>15</x:v>
      </x:c>
      <x:c r="H2357" s="40" t="n">
        <x:f>F2357-E2357</x:f>
        <x:v>-1.6323623657226562</x:v>
      </x:c>
      <x:c r="I2357" s="40" t="n">
        <x:f>ABS(H2357)</x:f>
        <x:v>1.6323623657226562</x:v>
      </x:c>
      <x:c r="J2357" s="40" t="n">
        <x:f>H2357^2</x:f>
        <x:v>2.664606893027667</x:v>
      </x:c>
      <x:c r="K2357" s="40" t="n">
        <x:f>G2357-E2357</x:f>
        <x:v>0</x:v>
      </x:c>
      <x:c r="L2357" s="40" t="n">
        <x:f>ABS(K2357)</x:f>
        <x:v>0</x:v>
      </x:c>
      <x:c r="M2357" s="41" t="str">
        <x:v>lstm-soil-v1</x:v>
      </x:c>
    </x:row>
    <x:row r="2358">
      <x:c r="A2358" s="38" t="str">
        <x:v>7月30日现场数据</x:v>
      </x:c>
      <x:c r="B2358" s="39" t="str">
        <x:v>2026-08-02T14:35:00</x:v>
      </x:c>
      <x:c r="C2358" s="39" t="str">
        <x:v>2026-08-02T15:05:00</x:v>
      </x:c>
      <x:c r="D2358" s="47" t="n">
        <x:v>30</x:v>
      </x:c>
      <x:c r="E2358" s="40" t="n">
        <x:v>14.9</x:v>
      </x:c>
      <x:c r="F2358" s="40" t="n">
        <x:v>13.754287719726562</x:v>
      </x:c>
      <x:c r="G2358" s="40" t="n">
        <x:v>15</x:v>
      </x:c>
      <x:c r="H2358" s="40" t="n">
        <x:f>F2358-E2358</x:f>
        <x:v>-1.1457122802734379</x:v>
      </x:c>
      <x:c r="I2358" s="40" t="n">
        <x:f>ABS(H2358)</x:f>
        <x:v>1.1457122802734379</x:v>
      </x:c>
      <x:c r="J2358" s="40" t="n">
        <x:f>H2358^2</x:f>
        <x:v>1.3126566291693607</x:v>
      </x:c>
      <x:c r="K2358" s="40" t="n">
        <x:f>G2358-E2358</x:f>
        <x:v>0.09999999999999964</x:v>
      </x:c>
      <x:c r="L2358" s="40" t="n">
        <x:f>ABS(K2358)</x:f>
        <x:v>0.09999999999999964</x:v>
      </x:c>
      <x:c r="M2358" s="41" t="str">
        <x:v>lstm-soil-v1</x:v>
      </x:c>
    </x:row>
    <x:row r="2359">
      <x:c r="A2359" s="38" t="str">
        <x:v>7月30日现场数据</x:v>
      </x:c>
      <x:c r="B2359" s="39" t="str">
        <x:v>2026-08-02T14:35:00</x:v>
      </x:c>
      <x:c r="C2359" s="39" t="str">
        <x:v>2026-08-02T15:35:00</x:v>
      </x:c>
      <x:c r="D2359" s="47" t="n">
        <x:v>60</x:v>
      </x:c>
      <x:c r="E2359" s="40" t="n">
        <x:v>14.8</x:v>
      </x:c>
      <x:c r="F2359" s="40" t="n">
        <x:v>15.456512451171875</x:v>
      </x:c>
      <x:c r="G2359" s="40" t="n">
        <x:v>15</x:v>
      </x:c>
      <x:c r="H2359" s="40" t="n">
        <x:f>F2359-E2359</x:f>
        <x:v>0.6565124511718743</x:v>
      </x:c>
      <x:c r="I2359" s="40" t="n">
        <x:f>ABS(H2359)</x:f>
        <x:v>0.6565124511718743</x:v>
      </x:c>
      <x:c r="J2359" s="40" t="n">
        <x:f>H2359^2</x:f>
        <x:v>0.4310085985437026</x:v>
      </x:c>
      <x:c r="K2359" s="40" t="n">
        <x:f>G2359-E2359</x:f>
        <x:v>0.1999999999999993</x:v>
      </x:c>
      <x:c r="L2359" s="40" t="n">
        <x:f>ABS(K2359)</x:f>
        <x:v>0.1999999999999993</x:v>
      </x:c>
      <x:c r="M2359" s="41" t="str">
        <x:v>lstm-soil-v1</x:v>
      </x:c>
    </x:row>
    <x:row r="2360">
      <x:c r="A2360" s="38" t="str">
        <x:v>7月30日现场数据</x:v>
      </x:c>
      <x:c r="B2360" s="39" t="str">
        <x:v>2026-08-02T14:40:00</x:v>
      </x:c>
      <x:c r="C2360" s="39" t="str">
        <x:v>2026-08-02T14:45:00</x:v>
      </x:c>
      <x:c r="D2360" s="47" t="n">
        <x:v>5</x:v>
      </x:c>
      <x:c r="E2360" s="40" t="n">
        <x:v>15</x:v>
      </x:c>
      <x:c r="F2360" s="40" t="n">
        <x:v>13.285820007324219</x:v>
      </x:c>
      <x:c r="G2360" s="40" t="n">
        <x:v>15</x:v>
      </x:c>
      <x:c r="H2360" s="40" t="n">
        <x:f>F2360-E2360</x:f>
        <x:v>-1.7141799926757812</x:v>
      </x:c>
      <x:c r="I2360" s="40" t="n">
        <x:f>ABS(H2360)</x:f>
        <x:v>1.7141799926757812</x:v>
      </x:c>
      <x:c r="J2360" s="40" t="n">
        <x:f>H2360^2</x:f>
        <x:v>2.9384130472899415</x:v>
      </x:c>
      <x:c r="K2360" s="40" t="n">
        <x:f>G2360-E2360</x:f>
        <x:v>0</x:v>
      </x:c>
      <x:c r="L2360" s="40" t="n">
        <x:f>ABS(K2360)</x:f>
        <x:v>0</x:v>
      </x:c>
      <x:c r="M2360" s="41" t="str">
        <x:v>lstm-soil-v1</x:v>
      </x:c>
    </x:row>
    <x:row r="2361">
      <x:c r="A2361" s="38" t="str">
        <x:v>7月30日现场数据</x:v>
      </x:c>
      <x:c r="B2361" s="39" t="str">
        <x:v>2026-08-02T14:40:00</x:v>
      </x:c>
      <x:c r="C2361" s="39" t="str">
        <x:v>2026-08-02T14:55:00</x:v>
      </x:c>
      <x:c r="D2361" s="47" t="n">
        <x:v>15</x:v>
      </x:c>
      <x:c r="E2361" s="40" t="n">
        <x:v>15</x:v>
      </x:c>
      <x:c r="F2361" s="40" t="n">
        <x:v>13.366397857666016</x:v>
      </x:c>
      <x:c r="G2361" s="40" t="n">
        <x:v>15</x:v>
      </x:c>
      <x:c r="H2361" s="40" t="n">
        <x:f>F2361-E2361</x:f>
        <x:v>-1.6336021423339844</x:v>
      </x:c>
      <x:c r="I2361" s="40" t="n">
        <x:f>ABS(H2361)</x:f>
        <x:v>1.6336021423339844</x:v>
      </x:c>
      <x:c r="J2361" s="40" t="n">
        <x:f>H2361^2</x:f>
        <x:v>2.6686559594381833</x:v>
      </x:c>
      <x:c r="K2361" s="40" t="n">
        <x:f>G2361-E2361</x:f>
        <x:v>0</x:v>
      </x:c>
      <x:c r="L2361" s="40" t="n">
        <x:f>ABS(K2361)</x:f>
        <x:v>0</x:v>
      </x:c>
      <x:c r="M2361" s="41" t="str">
        <x:v>lstm-soil-v1</x:v>
      </x:c>
    </x:row>
    <x:row r="2362">
      <x:c r="A2362" s="38" t="str">
        <x:v>7月30日现场数据</x:v>
      </x:c>
      <x:c r="B2362" s="39" t="str">
        <x:v>2026-08-02T14:40:00</x:v>
      </x:c>
      <x:c r="C2362" s="39" t="str">
        <x:v>2026-08-02T15:10:00</x:v>
      </x:c>
      <x:c r="D2362" s="47" t="n">
        <x:v>30</x:v>
      </x:c>
      <x:c r="E2362" s="40" t="n">
        <x:v>15</x:v>
      </x:c>
      <x:c r="F2362" s="40" t="n">
        <x:v>13.750617980957031</x:v>
      </x:c>
      <x:c r="G2362" s="40" t="n">
        <x:v>15</x:v>
      </x:c>
      <x:c r="H2362" s="40" t="n">
        <x:f>F2362-E2362</x:f>
        <x:v>-1.2493820190429688</x:v>
      </x:c>
      <x:c r="I2362" s="40" t="n">
        <x:f>ABS(H2362)</x:f>
        <x:v>1.2493820190429688</x:v>
      </x:c>
      <x:c r="J2362" s="40" t="n">
        <x:f>H2362^2</x:f>
        <x:v>1.5609554295078851</x:v>
      </x:c>
      <x:c r="K2362" s="40" t="n">
        <x:f>G2362-E2362</x:f>
        <x:v>0</x:v>
      </x:c>
      <x:c r="L2362" s="40" t="n">
        <x:f>ABS(K2362)</x:f>
        <x:v>0</x:v>
      </x:c>
      <x:c r="M2362" s="41" t="str">
        <x:v>lstm-soil-v1</x:v>
      </x:c>
    </x:row>
    <x:row r="2363">
      <x:c r="A2363" s="38" t="str">
        <x:v>7月30日现场数据</x:v>
      </x:c>
      <x:c r="B2363" s="39" t="str">
        <x:v>2026-08-02T14:40:00</x:v>
      </x:c>
      <x:c r="C2363" s="39" t="str">
        <x:v>2026-08-02T15:40:00</x:v>
      </x:c>
      <x:c r="D2363" s="47" t="n">
        <x:v>60</x:v>
      </x:c>
      <x:c r="E2363" s="40" t="n">
        <x:v>14.8</x:v>
      </x:c>
      <x:c r="F2363" s="40" t="n">
        <x:v>15.453727722167969</x:v>
      </x:c>
      <x:c r="G2363" s="40" t="n">
        <x:v>15</x:v>
      </x:c>
      <x:c r="H2363" s="40" t="n">
        <x:f>F2363-E2363</x:f>
        <x:v>0.653727722167968</x:v>
      </x:c>
      <x:c r="I2363" s="40" t="n">
        <x:f>ABS(H2363)</x:f>
        <x:v>0.653727722167968</x:v>
      </x:c>
      <x:c r="J2363" s="40" t="n">
        <x:f>H2363^2</x:f>
        <x:v>0.42735993473092</x:v>
      </x:c>
      <x:c r="K2363" s="40" t="n">
        <x:f>G2363-E2363</x:f>
        <x:v>0.1999999999999993</x:v>
      </x:c>
      <x:c r="L2363" s="40" t="n">
        <x:f>ABS(K2363)</x:f>
        <x:v>0.1999999999999993</x:v>
      </x:c>
      <x:c r="M2363" s="41" t="str">
        <x:v>lstm-soil-v1</x:v>
      </x:c>
    </x:row>
    <x:row r="2364">
      <x:c r="A2364" s="38" t="str">
        <x:v>7月30日现场数据</x:v>
      </x:c>
      <x:c r="B2364" s="39" t="str">
        <x:v>2026-08-02T14:45:00</x:v>
      </x:c>
      <x:c r="C2364" s="39" t="str">
        <x:v>2026-08-02T14:50:00</x:v>
      </x:c>
      <x:c r="D2364" s="47" t="n">
        <x:v>5</x:v>
      </x:c>
      <x:c r="E2364" s="40" t="n">
        <x:v>15</x:v>
      </x:c>
      <x:c r="F2364" s="40" t="n">
        <x:v>13.284114837646484</x:v>
      </x:c>
      <x:c r="G2364" s="40" t="n">
        <x:v>15</x:v>
      </x:c>
      <x:c r="H2364" s="40" t="n">
        <x:f>F2364-E2364</x:f>
        <x:v>-1.7158851623535156</x:v>
      </x:c>
      <x:c r="I2364" s="40" t="n">
        <x:f>ABS(H2364)</x:f>
        <x:v>1.7158851623535156</x:v>
      </x:c>
      <x:c r="J2364" s="40" t="n">
        <x:f>H2364^2</x:f>
        <x:v>2.9442618903849507</x:v>
      </x:c>
      <x:c r="K2364" s="40" t="n">
        <x:f>G2364-E2364</x:f>
        <x:v>0</x:v>
      </x:c>
      <x:c r="L2364" s="40" t="n">
        <x:f>ABS(K2364)</x:f>
        <x:v>0</x:v>
      </x:c>
      <x:c r="M2364" s="41" t="str">
        <x:v>lstm-soil-v1</x:v>
      </x:c>
    </x:row>
    <x:row r="2365">
      <x:c r="A2365" s="38" t="str">
        <x:v>7月30日现场数据</x:v>
      </x:c>
      <x:c r="B2365" s="39" t="str">
        <x:v>2026-08-02T14:45:00</x:v>
      </x:c>
      <x:c r="C2365" s="39" t="str">
        <x:v>2026-08-02T15:00:00</x:v>
      </x:c>
      <x:c r="D2365" s="47" t="n">
        <x:v>15</x:v>
      </x:c>
      <x:c r="E2365" s="40" t="n">
        <x:v>15</x:v>
      </x:c>
      <x:c r="F2365" s="40" t="n">
        <x:v>13.365142822265625</x:v>
      </x:c>
      <x:c r="G2365" s="40" t="n">
        <x:v>15</x:v>
      </x:c>
      <x:c r="H2365" s="40" t="n">
        <x:f>F2365-E2365</x:f>
        <x:v>-1.634857177734375</x:v>
      </x:c>
      <x:c r="I2365" s="40" t="n">
        <x:f>ABS(H2365)</x:f>
        <x:v>1.634857177734375</x:v>
      </x:c>
      <x:c r="J2365" s="40" t="n">
        <x:f>H2365^2</x:f>
        <x:v>2.672757991589606</x:v>
      </x:c>
      <x:c r="K2365" s="40" t="n">
        <x:f>G2365-E2365</x:f>
        <x:v>0</x:v>
      </x:c>
      <x:c r="L2365" s="40" t="n">
        <x:f>ABS(K2365)</x:f>
        <x:v>0</x:v>
      </x:c>
      <x:c r="M2365" s="41" t="str">
        <x:v>lstm-soil-v1</x:v>
      </x:c>
    </x:row>
    <x:row r="2366">
      <x:c r="A2366" s="38" t="str">
        <x:v>7月30日现场数据</x:v>
      </x:c>
      <x:c r="B2366" s="39" t="str">
        <x:v>2026-08-02T14:45:00</x:v>
      </x:c>
      <x:c r="C2366" s="39" t="str">
        <x:v>2026-08-02T15:15:00</x:v>
      </x:c>
      <x:c r="D2366" s="47" t="n">
        <x:v>30</x:v>
      </x:c>
      <x:c r="E2366" s="40" t="n">
        <x:v>15</x:v>
      </x:c>
      <x:c r="F2366" s="40" t="n">
        <x:v>13.747306823730469</x:v>
      </x:c>
      <x:c r="G2366" s="40" t="n">
        <x:v>15</x:v>
      </x:c>
      <x:c r="H2366" s="40" t="n">
        <x:f>F2366-E2366</x:f>
        <x:v>-1.2526931762695312</x:v>
      </x:c>
      <x:c r="I2366" s="40" t="n">
        <x:f>ABS(H2366)</x:f>
        <x:v>1.2526931762695312</x:v>
      </x:c>
      <x:c r="J2366" s="40" t="n">
        <x:f>H2366^2</x:f>
        <x:v>1.569240193872247</x:v>
      </x:c>
      <x:c r="K2366" s="40" t="n">
        <x:f>G2366-E2366</x:f>
        <x:v>0</x:v>
      </x:c>
      <x:c r="L2366" s="40" t="n">
        <x:f>ABS(K2366)</x:f>
        <x:v>0</x:v>
      </x:c>
      <x:c r="M2366" s="41" t="str">
        <x:v>lstm-soil-v1</x:v>
      </x:c>
    </x:row>
    <x:row r="2367">
      <x:c r="A2367" s="38" t="str">
        <x:v>7月30日现场数据</x:v>
      </x:c>
      <x:c r="B2367" s="39" t="str">
        <x:v>2026-08-02T14:45:00</x:v>
      </x:c>
      <x:c r="C2367" s="39" t="str">
        <x:v>2026-08-02T15:45:00</x:v>
      </x:c>
      <x:c r="D2367" s="47" t="n">
        <x:v>60</x:v>
      </x:c>
      <x:c r="E2367" s="40" t="n">
        <x:v>14.9</x:v>
      </x:c>
      <x:c r="F2367" s="40" t="n">
        <x:v>15.451332092285156</x:v>
      </x:c>
      <x:c r="G2367" s="40" t="n">
        <x:v>15</x:v>
      </x:c>
      <x:c r="H2367" s="40" t="n">
        <x:f>F2367-E2367</x:f>
        <x:v>0.5513320922851559</x:v>
      </x:c>
      <x:c r="I2367" s="40" t="n">
        <x:f>ABS(H2367)</x:f>
        <x:v>0.5513320922851559</x:v>
      </x:c>
      <x:c r="J2367" s="40" t="n">
        <x:f>H2367^2</x:f>
        <x:v>0.3039670759835277</x:v>
      </x:c>
      <x:c r="K2367" s="40" t="n">
        <x:f>G2367-E2367</x:f>
        <x:v>0.09999999999999964</x:v>
      </x:c>
      <x:c r="L2367" s="40" t="n">
        <x:f>ABS(K2367)</x:f>
        <x:v>0.09999999999999964</x:v>
      </x:c>
      <x:c r="M2367" s="41" t="str">
        <x:v>lstm-soil-v1</x:v>
      </x:c>
    </x:row>
    <x:row r="2368">
      <x:c r="A2368" s="38" t="str">
        <x:v>7月30日现场数据</x:v>
      </x:c>
      <x:c r="B2368" s="39" t="str">
        <x:v>2026-08-02T14:50:00</x:v>
      </x:c>
      <x:c r="C2368" s="39" t="str">
        <x:v>2026-08-02T14:55:00</x:v>
      </x:c>
      <x:c r="D2368" s="47" t="n">
        <x:v>5</x:v>
      </x:c>
      <x:c r="E2368" s="40" t="n">
        <x:v>15</x:v>
      </x:c>
      <x:c r="F2368" s="40" t="n">
        <x:v>13.282779693603516</x:v>
      </x:c>
      <x:c r="G2368" s="40" t="n">
        <x:v>15</x:v>
      </x:c>
      <x:c r="H2368" s="40" t="n">
        <x:f>F2368-E2368</x:f>
        <x:v>-1.7172203063964844</x:v>
      </x:c>
      <x:c r="I2368" s="40" t="n">
        <x:f>ABS(H2368)</x:f>
        <x:v>1.7172203063964844</x:v>
      </x:c>
      <x:c r="J2368" s="40" t="n">
        <x:f>H2368^2</x:f>
        <x:v>2.9488455807004357</x:v>
      </x:c>
      <x:c r="K2368" s="40" t="n">
        <x:f>G2368-E2368</x:f>
        <x:v>0</x:v>
      </x:c>
      <x:c r="L2368" s="40" t="n">
        <x:f>ABS(K2368)</x:f>
        <x:v>0</x:v>
      </x:c>
      <x:c r="M2368" s="41" t="str">
        <x:v>lstm-soil-v1</x:v>
      </x:c>
    </x:row>
    <x:row r="2369">
      <x:c r="A2369" s="38" t="str">
        <x:v>7月30日现场数据</x:v>
      </x:c>
      <x:c r="B2369" s="39" t="str">
        <x:v>2026-08-02T14:50:00</x:v>
      </x:c>
      <x:c r="C2369" s="39" t="str">
        <x:v>2026-08-02T15:05:00</x:v>
      </x:c>
      <x:c r="D2369" s="47" t="n">
        <x:v>15</x:v>
      </x:c>
      <x:c r="E2369" s="40" t="n">
        <x:v>14.9</x:v>
      </x:c>
      <x:c r="F2369" s="40" t="n">
        <x:v>13.363941192626953</x:v>
      </x:c>
      <x:c r="G2369" s="40" t="n">
        <x:v>15</x:v>
      </x:c>
      <x:c r="H2369" s="40" t="n">
        <x:f>F2369-E2369</x:f>
        <x:v>-1.5360588073730472</x:v>
      </x:c>
      <x:c r="I2369" s="40" t="n">
        <x:f>ABS(H2369)</x:f>
        <x:v>1.5360588073730472</x:v>
      </x:c>
      <x:c r="J2369" s="40" t="n">
        <x:f>H2369^2</x:f>
        <x:v>2.3594766597083083</x:v>
      </x:c>
      <x:c r="K2369" s="40" t="n">
        <x:f>G2369-E2369</x:f>
        <x:v>0.09999999999999964</x:v>
      </x:c>
      <x:c r="L2369" s="40" t="n">
        <x:f>ABS(K2369)</x:f>
        <x:v>0.09999999999999964</x:v>
      </x:c>
      <x:c r="M2369" s="41" t="str">
        <x:v>lstm-soil-v1</x:v>
      </x:c>
    </x:row>
    <x:row r="2370">
      <x:c r="A2370" s="38" t="str">
        <x:v>7月30日现场数据</x:v>
      </x:c>
      <x:c r="B2370" s="39" t="str">
        <x:v>2026-08-02T14:50:00</x:v>
      </x:c>
      <x:c r="C2370" s="39" t="str">
        <x:v>2026-08-02T15:20:00</x:v>
      </x:c>
      <x:c r="D2370" s="47" t="n">
        <x:v>30</x:v>
      </x:c>
      <x:c r="E2370" s="40" t="n">
        <x:v>14.9</x:v>
      </x:c>
      <x:c r="F2370" s="40" t="n">
        <x:v>13.744426727294922</x:v>
      </x:c>
      <x:c r="G2370" s="40" t="n">
        <x:v>15</x:v>
      </x:c>
      <x:c r="H2370" s="40" t="n">
        <x:f>F2370-E2370</x:f>
        <x:v>-1.1555732727050785</x:v>
      </x:c>
      <x:c r="I2370" s="40" t="n">
        <x:f>ABS(H2370)</x:f>
        <x:v>1.1555732727050785</x:v>
      </x:c>
      <x:c r="J2370" s="40" t="n">
        <x:f>H2370^2</x:f>
        <x:v>1.3353495885903257</x:v>
      </x:c>
      <x:c r="K2370" s="40" t="n">
        <x:f>G2370-E2370</x:f>
        <x:v>0.09999999999999964</x:v>
      </x:c>
      <x:c r="L2370" s="40" t="n">
        <x:f>ABS(K2370)</x:f>
        <x:v>0.09999999999999964</x:v>
      </x:c>
      <x:c r="M2370" s="41" t="str">
        <x:v>lstm-soil-v1</x:v>
      </x:c>
    </x:row>
    <x:row r="2371">
      <x:c r="A2371" s="38" t="str">
        <x:v>7月30日现场数据</x:v>
      </x:c>
      <x:c r="B2371" s="39" t="str">
        <x:v>2026-08-02T14:50:00</x:v>
      </x:c>
      <x:c r="C2371" s="39" t="str">
        <x:v>2026-08-02T15:50:00</x:v>
      </x:c>
      <x:c r="D2371" s="47" t="n">
        <x:v>60</x:v>
      </x:c>
      <x:c r="E2371" s="40" t="n">
        <x:v>14.8</x:v>
      </x:c>
      <x:c r="F2371" s="40" t="n">
        <x:v>15.44940185546875</x:v>
      </x:c>
      <x:c r="G2371" s="40" t="n">
        <x:v>15</x:v>
      </x:c>
      <x:c r="H2371" s="40" t="n">
        <x:f>F2371-E2371</x:f>
        <x:v>0.6494018554687493</x:v>
      </x:c>
      <x:c r="I2371" s="40" t="n">
        <x:f>ABS(H2371)</x:f>
        <x:v>0.6494018554687493</x:v>
      </x:c>
      <x:c r="J2371" s="40" t="n">
        <x:f>H2371^2</x:f>
        <x:v>0.42172276988625435</x:v>
      </x:c>
      <x:c r="K2371" s="40" t="n">
        <x:f>G2371-E2371</x:f>
        <x:v>0.1999999999999993</x:v>
      </x:c>
      <x:c r="L2371" s="40" t="n">
        <x:f>ABS(K2371)</x:f>
        <x:v>0.1999999999999993</x:v>
      </x:c>
      <x:c r="M2371" s="41" t="str">
        <x:v>lstm-soil-v1</x:v>
      </x:c>
    </x:row>
    <x:row r="2372">
      <x:c r="A2372" s="38" t="str">
        <x:v>7月30日现场数据</x:v>
      </x:c>
      <x:c r="B2372" s="39" t="str">
        <x:v>2026-08-02T14:55:00</x:v>
      </x:c>
      <x:c r="C2372" s="39" t="str">
        <x:v>2026-08-02T15:00:00</x:v>
      </x:c>
      <x:c r="D2372" s="47" t="n">
        <x:v>5</x:v>
      </x:c>
      <x:c r="E2372" s="40" t="n">
        <x:v>15</x:v>
      </x:c>
      <x:c r="F2372" s="40" t="n">
        <x:v>13.281715393066406</x:v>
      </x:c>
      <x:c r="G2372" s="40" t="n">
        <x:v>15</x:v>
      </x:c>
      <x:c r="H2372" s="40" t="n">
        <x:f>F2372-E2372</x:f>
        <x:v>-1.7182846069335938</x:v>
      </x:c>
      <x:c r="I2372" s="40" t="n">
        <x:f>ABS(H2372)</x:f>
        <x:v>1.7182846069335938</x:v>
      </x:c>
      <x:c r="J2372" s="40" t="n">
        <x:f>H2372^2</x:f>
        <x:v>2.9525019904249348</x:v>
      </x:c>
      <x:c r="K2372" s="40" t="n">
        <x:f>G2372-E2372</x:f>
        <x:v>0</x:v>
      </x:c>
      <x:c r="L2372" s="40" t="n">
        <x:f>ABS(K2372)</x:f>
        <x:v>0</x:v>
      </x:c>
      <x:c r="M2372" s="41" t="str">
        <x:v>lstm-soil-v1</x:v>
      </x:c>
    </x:row>
    <x:row r="2373">
      <x:c r="A2373" s="38" t="str">
        <x:v>7月30日现场数据</x:v>
      </x:c>
      <x:c r="B2373" s="39" t="str">
        <x:v>2026-08-02T14:55:00</x:v>
      </x:c>
      <x:c r="C2373" s="39" t="str">
        <x:v>2026-08-02T15:10:00</x:v>
      </x:c>
      <x:c r="D2373" s="47" t="n">
        <x:v>15</x:v>
      </x:c>
      <x:c r="E2373" s="40" t="n">
        <x:v>15</x:v>
      </x:c>
      <x:c r="F2373" s="40" t="n">
        <x:v>13.362873077392578</x:v>
      </x:c>
      <x:c r="G2373" s="40" t="n">
        <x:v>15</x:v>
      </x:c>
      <x:c r="H2373" s="40" t="n">
        <x:f>F2373-E2373</x:f>
        <x:v>-1.6371269226074219</x:v>
      </x:c>
      <x:c r="I2373" s="40" t="n">
        <x:f>ABS(H2373)</x:f>
        <x:v>1.6371269226074219</x:v>
      </x:c>
      <x:c r="J2373" s="40" t="n">
        <x:f>H2373^2</x:f>
        <x:v>2.6801845607260475</x:v>
      </x:c>
      <x:c r="K2373" s="40" t="n">
        <x:f>G2373-E2373</x:f>
        <x:v>0</x:v>
      </x:c>
      <x:c r="L2373" s="40" t="n">
        <x:f>ABS(K2373)</x:f>
        <x:v>0</x:v>
      </x:c>
      <x:c r="M2373" s="41" t="str">
        <x:v>lstm-soil-v1</x:v>
      </x:c>
    </x:row>
    <x:row r="2374">
      <x:c r="A2374" s="38" t="str">
        <x:v>7月30日现场数据</x:v>
      </x:c>
      <x:c r="B2374" s="39" t="str">
        <x:v>2026-08-02T14:55:00</x:v>
      </x:c>
      <x:c r="C2374" s="39" t="str">
        <x:v>2026-08-02T15:25:00</x:v>
      </x:c>
      <x:c r="D2374" s="47" t="n">
        <x:v>30</x:v>
      </x:c>
      <x:c r="E2374" s="40" t="n">
        <x:v>14.9</x:v>
      </x:c>
      <x:c r="F2374" s="40" t="n">
        <x:v>13.741985321044922</x:v>
      </x:c>
      <x:c r="G2374" s="40" t="n">
        <x:v>15</x:v>
      </x:c>
      <x:c r="H2374" s="40" t="n">
        <x:f>F2374-E2374</x:f>
        <x:v>-1.1580146789550785</x:v>
      </x:c>
      <x:c r="I2374" s="40" t="n">
        <x:f>ABS(H2374)</x:f>
        <x:v>1.1580146789550785</x:v>
      </x:c>
      <x:c r="J2374" s="40" t="n">
        <x:f>H2374^2</x:f>
        <x:v>1.3409979966754335</x:v>
      </x:c>
      <x:c r="K2374" s="40" t="n">
        <x:f>G2374-E2374</x:f>
        <x:v>0.09999999999999964</x:v>
      </x:c>
      <x:c r="L2374" s="40" t="n">
        <x:f>ABS(K2374)</x:f>
        <x:v>0.09999999999999964</x:v>
      </x:c>
      <x:c r="M2374" s="41" t="str">
        <x:v>lstm-soil-v1</x:v>
      </x:c>
    </x:row>
    <x:row r="2375">
      <x:c r="A2375" s="38" t="str">
        <x:v>7月30日现场数据</x:v>
      </x:c>
      <x:c r="B2375" s="39" t="str">
        <x:v>2026-08-02T14:55:00</x:v>
      </x:c>
      <x:c r="C2375" s="39" t="str">
        <x:v>2026-08-02T15:55:00</x:v>
      </x:c>
      <x:c r="D2375" s="47" t="n">
        <x:v>60</x:v>
      </x:c>
      <x:c r="E2375" s="40" t="n">
        <x:v>14.8</x:v>
      </x:c>
      <x:c r="F2375" s="40" t="n">
        <x:v>15.447868347167969</x:v>
      </x:c>
      <x:c r="G2375" s="40" t="n">
        <x:v>15</x:v>
      </x:c>
      <x:c r="H2375" s="40" t="n">
        <x:f>F2375-E2375</x:f>
        <x:v>0.647868347167968</x:v>
      </x:c>
      <x:c r="I2375" s="40" t="n">
        <x:f>ABS(H2375)</x:f>
        <x:v>0.647868347167968</x:v>
      </x:c>
      <x:c r="J2375" s="40" t="n">
        <x:f>H2375^2</x:f>
        <x:v>0.41973339526215475</x:v>
      </x:c>
      <x:c r="K2375" s="40" t="n">
        <x:f>G2375-E2375</x:f>
        <x:v>0.1999999999999993</x:v>
      </x:c>
      <x:c r="L2375" s="40" t="n">
        <x:f>ABS(K2375)</x:f>
        <x:v>0.1999999999999993</x:v>
      </x:c>
      <x:c r="M2375" s="41" t="str">
        <x:v>lstm-soil-v1</x:v>
      </x:c>
    </x:row>
    <x:row r="2376">
      <x:c r="A2376" s="38" t="str">
        <x:v>7月30日现场数据</x:v>
      </x:c>
      <x:c r="B2376" s="39" t="str">
        <x:v>2026-08-02T15:00:00</x:v>
      </x:c>
      <x:c r="C2376" s="39" t="str">
        <x:v>2026-08-02T15:05:00</x:v>
      </x:c>
      <x:c r="D2376" s="47" t="n">
        <x:v>5</x:v>
      </x:c>
      <x:c r="E2376" s="40" t="n">
        <x:v>14.9</x:v>
      </x:c>
      <x:c r="F2376" s="40" t="n">
        <x:v>13.283679962158203</x:v>
      </x:c>
      <x:c r="G2376" s="40" t="n">
        <x:v>15</x:v>
      </x:c>
      <x:c r="H2376" s="40" t="n">
        <x:f>F2376-E2376</x:f>
        <x:v>-1.6163200378417972</x:v>
      </x:c>
      <x:c r="I2376" s="40" t="n">
        <x:f>ABS(H2376)</x:f>
        <x:v>1.6163200378417972</x:v>
      </x:c>
      <x:c r="J2376" s="40" t="n">
        <x:f>H2376^2</x:f>
        <x:v>2.612490464728909</x:v>
      </x:c>
      <x:c r="K2376" s="40" t="n">
        <x:f>G2376-E2376</x:f>
        <x:v>0.09999999999999964</x:v>
      </x:c>
      <x:c r="L2376" s="40" t="n">
        <x:f>ABS(K2376)</x:f>
        <x:v>0.09999999999999964</x:v>
      </x:c>
      <x:c r="M2376" s="41" t="str">
        <x:v>lstm-soil-v1</x:v>
      </x:c>
    </x:row>
    <x:row r="2377">
      <x:c r="A2377" s="38" t="str">
        <x:v>7月30日现场数据</x:v>
      </x:c>
      <x:c r="B2377" s="39" t="str">
        <x:v>2026-08-02T15:00:00</x:v>
      </x:c>
      <x:c r="C2377" s="39" t="str">
        <x:v>2026-08-02T15:15:00</x:v>
      </x:c>
      <x:c r="D2377" s="47" t="n">
        <x:v>15</x:v>
      </x:c>
      <x:c r="E2377" s="40" t="n">
        <x:v>15</x:v>
      </x:c>
      <x:c r="F2377" s="40" t="n">
        <x:v>13.363651275634766</x:v>
      </x:c>
      <x:c r="G2377" s="40" t="n">
        <x:v>15</x:v>
      </x:c>
      <x:c r="H2377" s="40" t="n">
        <x:f>F2377-E2377</x:f>
        <x:v>-1.6363487243652344</x:v>
      </x:c>
      <x:c r="I2377" s="40" t="n">
        <x:f>ABS(H2377)</x:f>
        <x:v>1.6363487243652344</x:v>
      </x:c>
      <x:c r="J2377" s="40" t="n">
        <x:f>H2377^2</x:f>
        <x:v>2.67763714773173</x:v>
      </x:c>
      <x:c r="K2377" s="40" t="n">
        <x:f>G2377-E2377</x:f>
        <x:v>0</x:v>
      </x:c>
      <x:c r="L2377" s="40" t="n">
        <x:f>ABS(K2377)</x:f>
        <x:v>0</x:v>
      </x:c>
      <x:c r="M2377" s="41" t="str">
        <x:v>lstm-soil-v1</x:v>
      </x:c>
    </x:row>
    <x:row r="2378">
      <x:c r="A2378" s="38" t="str">
        <x:v>7月30日现场数据</x:v>
      </x:c>
      <x:c r="B2378" s="39" t="str">
        <x:v>2026-08-02T15:00:00</x:v>
      </x:c>
      <x:c r="C2378" s="39" t="str">
        <x:v>2026-08-02T15:30:00</x:v>
      </x:c>
      <x:c r="D2378" s="47" t="n">
        <x:v>30</x:v>
      </x:c>
      <x:c r="E2378" s="40" t="n">
        <x:v>14.9</x:v>
      </x:c>
      <x:c r="F2378" s="40" t="n">
        <x:v>13.743522644042969</x:v>
      </x:c>
      <x:c r="G2378" s="40" t="n">
        <x:v>15</x:v>
      </x:c>
      <x:c r="H2378" s="40" t="n">
        <x:f>F2378-E2378</x:f>
        <x:v>-1.1564773559570316</x:v>
      </x:c>
      <x:c r="I2378" s="40" t="n">
        <x:f>ABS(H2378)</x:f>
        <x:v>1.1564773559570316</x:v>
      </x:c>
      <x:c r="J2378" s="40" t="n">
        <x:f>H2378^2</x:f>
        <x:v>1.3374398748413667</x:v>
      </x:c>
      <x:c r="K2378" s="40" t="n">
        <x:f>G2378-E2378</x:f>
        <x:v>0.09999999999999964</x:v>
      </x:c>
      <x:c r="L2378" s="40" t="n">
        <x:f>ABS(K2378)</x:f>
        <x:v>0.09999999999999964</x:v>
      </x:c>
      <x:c r="M2378" s="41" t="str">
        <x:v>lstm-soil-v1</x:v>
      </x:c>
    </x:row>
    <x:row r="2379">
      <x:c r="A2379" s="38" t="str">
        <x:v>7月30日现场数据</x:v>
      </x:c>
      <x:c r="B2379" s="39" t="str">
        <x:v>2026-08-02T15:00:00</x:v>
      </x:c>
      <x:c r="C2379" s="39" t="str">
        <x:v>2026-08-02T16:00:00</x:v>
      </x:c>
      <x:c r="D2379" s="47" t="n">
        <x:v>60</x:v>
      </x:c>
      <x:c r="E2379" s="40" t="n">
        <x:v>14.8</x:v>
      </x:c>
      <x:c r="F2379" s="40" t="n">
        <x:v>15.450069427490234</x:v>
      </x:c>
      <x:c r="G2379" s="40" t="n">
        <x:v>15</x:v>
      </x:c>
      <x:c r="H2379" s="40" t="n">
        <x:f>F2379-E2379</x:f>
        <x:v>0.6500694274902337</x:v>
      </x:c>
      <x:c r="I2379" s="40" t="n">
        <x:f>ABS(H2379)</x:f>
        <x:v>0.6500694274902337</x:v>
      </x:c>
      <x:c r="J2379" s="40" t="n">
        <x:f>H2379^2</x:f>
        <x:v>0.42259026055748017</x:v>
      </x:c>
      <x:c r="K2379" s="40" t="n">
        <x:f>G2379-E2379</x:f>
        <x:v>0.1999999999999993</x:v>
      </x:c>
      <x:c r="L2379" s="40" t="n">
        <x:f>ABS(K2379)</x:f>
        <x:v>0.1999999999999993</x:v>
      </x:c>
      <x:c r="M2379" s="41" t="str">
        <x:v>lstm-soil-v1</x:v>
      </x:c>
    </x:row>
    <x:row r="2380">
      <x:c r="A2380" s="38" t="str">
        <x:v>7月30日现场数据</x:v>
      </x:c>
      <x:c r="B2380" s="39" t="str">
        <x:v>2026-08-02T15:05:00</x:v>
      </x:c>
      <x:c r="C2380" s="39" t="str">
        <x:v>2026-08-02T15:10:00</x:v>
      </x:c>
      <x:c r="D2380" s="47" t="n">
        <x:v>5</x:v>
      </x:c>
      <x:c r="E2380" s="40" t="n">
        <x:v>15</x:v>
      </x:c>
      <x:c r="F2380" s="40" t="n">
        <x:v>13.17416763305664</x:v>
      </x:c>
      <x:c r="G2380" s="40" t="n">
        <x:v>14.9</x:v>
      </x:c>
      <x:c r="H2380" s="40" t="n">
        <x:f>F2380-E2380</x:f>
        <x:v>-1.8258323669433594</x:v>
      </x:c>
      <x:c r="I2380" s="40" t="n">
        <x:f>ABS(H2380)</x:f>
        <x:v>1.8258323669433594</x:v>
      </x:c>
      <x:c r="J2380" s="40" t="n">
        <x:f>H2380^2</x:f>
        <x:v>3.33366383217799</x:v>
      </x:c>
      <x:c r="K2380" s="40" t="n">
        <x:f>G2380-E2380</x:f>
        <x:v>-0.09999999999999964</x:v>
      </x:c>
      <x:c r="L2380" s="40" t="n">
        <x:f>ABS(K2380)</x:f>
        <x:v>0.09999999999999964</x:v>
      </x:c>
      <x:c r="M2380" s="41" t="str">
        <x:v>lstm-soil-v1</x:v>
      </x:c>
    </x:row>
    <x:row r="2381">
      <x:c r="A2381" s="38" t="str">
        <x:v>7月30日现场数据</x:v>
      </x:c>
      <x:c r="B2381" s="39" t="str">
        <x:v>2026-08-02T15:05:00</x:v>
      </x:c>
      <x:c r="C2381" s="39" t="str">
        <x:v>2026-08-02T15:20:00</x:v>
      </x:c>
      <x:c r="D2381" s="47" t="n">
        <x:v>15</x:v>
      </x:c>
      <x:c r="E2381" s="40" t="n">
        <x:v>14.9</x:v>
      </x:c>
      <x:c r="F2381" s="40" t="n">
        <x:v>13.25333023071289</x:v>
      </x:c>
      <x:c r="G2381" s="40" t="n">
        <x:v>14.9</x:v>
      </x:c>
      <x:c r="H2381" s="40" t="n">
        <x:f>F2381-E2381</x:f>
        <x:v>-1.6466697692871097</x:v>
      </x:c>
      <x:c r="I2381" s="40" t="n">
        <x:f>ABS(H2381)</x:f>
        <x:v>1.6466697692871097</x:v>
      </x:c>
      <x:c r="J2381" s="40" t="n">
        <x:f>H2381^2</x:f>
        <x:v>2.7115213290840634</x:v>
      </x:c>
      <x:c r="K2381" s="40" t="n">
        <x:f>G2381-E2381</x:f>
        <x:v>0</x:v>
      </x:c>
      <x:c r="L2381" s="40" t="n">
        <x:f>ABS(K2381)</x:f>
        <x:v>0</x:v>
      </x:c>
      <x:c r="M2381" s="41" t="str">
        <x:v>lstm-soil-v1</x:v>
      </x:c>
    </x:row>
    <x:row r="2382">
      <x:c r="A2382" s="38" t="str">
        <x:v>7月30日现场数据</x:v>
      </x:c>
      <x:c r="B2382" s="39" t="str">
        <x:v>2026-08-02T15:05:00</x:v>
      </x:c>
      <x:c r="C2382" s="39" t="str">
        <x:v>2026-08-02T15:35:00</x:v>
      </x:c>
      <x:c r="D2382" s="47" t="n">
        <x:v>30</x:v>
      </x:c>
      <x:c r="E2382" s="40" t="n">
        <x:v>14.8</x:v>
      </x:c>
      <x:c r="F2382" s="40" t="n">
        <x:v>13.631607055664062</x:v>
      </x:c>
      <x:c r="G2382" s="40" t="n">
        <x:v>14.9</x:v>
      </x:c>
      <x:c r="H2382" s="40" t="n">
        <x:f>F2382-E2382</x:f>
        <x:v>-1.1683929443359382</x:v>
      </x:c>
      <x:c r="I2382" s="40" t="n">
        <x:f>ABS(H2382)</x:f>
        <x:v>1.1683929443359382</x:v>
      </x:c>
      <x:c r="J2382" s="40" t="n">
        <x:f>H2382^2</x:f>
        <x:v>1.3651420723740029</x:v>
      </x:c>
      <x:c r="K2382" s="40" t="n">
        <x:f>G2382-E2382</x:f>
        <x:v>0.09999999999999964</x:v>
      </x:c>
      <x:c r="L2382" s="40" t="n">
        <x:f>ABS(K2382)</x:f>
        <x:v>0.09999999999999964</x:v>
      </x:c>
      <x:c r="M2382" s="41" t="str">
        <x:v>lstm-soil-v1</x:v>
      </x:c>
    </x:row>
    <x:row r="2383">
      <x:c r="A2383" s="38" t="str">
        <x:v>7月30日现场数据</x:v>
      </x:c>
      <x:c r="B2383" s="39" t="str">
        <x:v>2026-08-02T15:05:00</x:v>
      </x:c>
      <x:c r="C2383" s="39" t="str">
        <x:v>2026-08-02T16:05:00</x:v>
      </x:c>
      <x:c r="D2383" s="47" t="n">
        <x:v>60</x:v>
      </x:c>
      <x:c r="E2383" s="40" t="n">
        <x:v>14.8</x:v>
      </x:c>
      <x:c r="F2383" s="40" t="n">
        <x:v>15.341197967529297</x:v>
      </x:c>
      <x:c r="G2383" s="40" t="n">
        <x:v>14.9</x:v>
      </x:c>
      <x:c r="H2383" s="40" t="n">
        <x:f>F2383-E2383</x:f>
        <x:v>0.5411979675292962</x:v>
      </x:c>
      <x:c r="I2383" s="40" t="n">
        <x:f>ABS(H2383)</x:f>
        <x:v>0.5411979675292962</x:v>
      </x:c>
      <x:c r="J2383" s="40" t="n">
        <x:f>H2383^2</x:f>
        <x:v>0.2928952400578411</x:v>
      </x:c>
      <x:c r="K2383" s="40" t="n">
        <x:f>G2383-E2383</x:f>
        <x:v>0.09999999999999964</x:v>
      </x:c>
      <x:c r="L2383" s="40" t="n">
        <x:f>ABS(K2383)</x:f>
        <x:v>0.09999999999999964</x:v>
      </x:c>
      <x:c r="M2383" s="41" t="str">
        <x:v>lstm-soil-v1</x:v>
      </x:c>
    </x:row>
    <x:row r="2384">
      <x:c r="A2384" s="38" t="str">
        <x:v>7月30日现场数据</x:v>
      </x:c>
      <x:c r="B2384" s="39" t="str">
        <x:v>2026-08-02T15:10:00</x:v>
      </x:c>
      <x:c r="C2384" s="39" t="str">
        <x:v>2026-08-02T15:15:00</x:v>
      </x:c>
      <x:c r="D2384" s="47" t="n">
        <x:v>5</x:v>
      </x:c>
      <x:c r="E2384" s="40" t="n">
        <x:v>15</x:v>
      </x:c>
      <x:c r="F2384" s="40" t="n">
        <x:v>13.283638000488281</x:v>
      </x:c>
      <x:c r="G2384" s="40" t="n">
        <x:v>15</x:v>
      </x:c>
      <x:c r="H2384" s="40" t="n">
        <x:f>F2384-E2384</x:f>
        <x:v>-1.7163619995117188</x:v>
      </x:c>
      <x:c r="I2384" s="40" t="n">
        <x:f>ABS(H2384)</x:f>
        <x:v>1.7163619995117188</x:v>
      </x:c>
      <x:c r="J2384" s="40" t="n">
        <x:f>H2384^2</x:f>
        <x:v>2.9458985133678652</x:v>
      </x:c>
      <x:c r="K2384" s="40" t="n">
        <x:f>G2384-E2384</x:f>
        <x:v>0</x:v>
      </x:c>
      <x:c r="L2384" s="40" t="n">
        <x:f>ABS(K2384)</x:f>
        <x:v>0</x:v>
      </x:c>
      <x:c r="M2384" s="41" t="str">
        <x:v>lstm-soil-v1</x:v>
      </x:c>
    </x:row>
    <x:row r="2385">
      <x:c r="A2385" s="38" t="str">
        <x:v>7月30日现场数据</x:v>
      </x:c>
      <x:c r="B2385" s="39" t="str">
        <x:v>2026-08-02T15:10:00</x:v>
      </x:c>
      <x:c r="C2385" s="39" t="str">
        <x:v>2026-08-02T15:25:00</x:v>
      </x:c>
      <x:c r="D2385" s="47" t="n">
        <x:v>15</x:v>
      </x:c>
      <x:c r="E2385" s="40" t="n">
        <x:v>14.9</x:v>
      </x:c>
      <x:c r="F2385" s="40" t="n">
        <x:v>13.36264419555664</x:v>
      </x:c>
      <x:c r="G2385" s="40" t="n">
        <x:v>15</x:v>
      </x:c>
      <x:c r="H2385" s="40" t="n">
        <x:f>F2385-E2385</x:f>
        <x:v>-1.5373558044433597</x:v>
      </x:c>
      <x:c r="I2385" s="40" t="n">
        <x:f>ABS(H2385)</x:f>
        <x:v>1.5373558044433597</x:v>
      </x:c>
      <x:c r="J2385" s="40" t="n">
        <x:f>H2385^2</x:f>
        <x:v>2.36346286945569</x:v>
      </x:c>
      <x:c r="K2385" s="40" t="n">
        <x:f>G2385-E2385</x:f>
        <x:v>0.09999999999999964</x:v>
      </x:c>
      <x:c r="L2385" s="40" t="n">
        <x:f>ABS(K2385)</x:f>
        <x:v>0.09999999999999964</x:v>
      </x:c>
      <x:c r="M2385" s="41" t="str">
        <x:v>lstm-soil-v1</x:v>
      </x:c>
    </x:row>
    <x:row r="2386">
      <x:c r="A2386" s="38" t="str">
        <x:v>7月30日现场数据</x:v>
      </x:c>
      <x:c r="B2386" s="39" t="str">
        <x:v>2026-08-02T15:10:00</x:v>
      </x:c>
      <x:c r="C2386" s="39" t="str">
        <x:v>2026-08-02T15:40:00</x:v>
      </x:c>
      <x:c r="D2386" s="47" t="n">
        <x:v>30</x:v>
      </x:c>
      <x:c r="E2386" s="40" t="n">
        <x:v>14.8</x:v>
      </x:c>
      <x:c r="F2386" s="40" t="n">
        <x:v>13.738357543945312</x:v>
      </x:c>
      <x:c r="G2386" s="40" t="n">
        <x:v>15</x:v>
      </x:c>
      <x:c r="H2386" s="40" t="n">
        <x:f>F2386-E2386</x:f>
        <x:v>-1.0616424560546882</x:v>
      </x:c>
      <x:c r="I2386" s="40" t="n">
        <x:f>ABS(H2386)</x:f>
        <x:v>1.0616424560546882</x:v>
      </x:c>
      <x:c r="J2386" s="40" t="n">
        <x:f>H2386^2</x:f>
        <x:v>1.1270847044978305</x:v>
      </x:c>
      <x:c r="K2386" s="40" t="n">
        <x:f>G2386-E2386</x:f>
        <x:v>0.1999999999999993</x:v>
      </x:c>
      <x:c r="L2386" s="40" t="n">
        <x:f>ABS(K2386)</x:f>
        <x:v>0.1999999999999993</x:v>
      </x:c>
      <x:c r="M2386" s="41" t="str">
        <x:v>lstm-soil-v1</x:v>
      </x:c>
    </x:row>
    <x:row r="2387">
      <x:c r="A2387" s="38" t="str">
        <x:v>7月30日现场数据</x:v>
      </x:c>
      <x:c r="B2387" s="39" t="str">
        <x:v>2026-08-02T15:10:00</x:v>
      </x:c>
      <x:c r="C2387" s="39" t="str">
        <x:v>2026-08-02T16:10:00</x:v>
      </x:c>
      <x:c r="D2387" s="47" t="n">
        <x:v>60</x:v>
      </x:c>
      <x:c r="E2387" s="40" t="n">
        <x:v>14.8</x:v>
      </x:c>
      <x:c r="F2387" s="40" t="n">
        <x:v>15.451061248779297</x:v>
      </x:c>
      <x:c r="G2387" s="40" t="n">
        <x:v>15</x:v>
      </x:c>
      <x:c r="H2387" s="40" t="n">
        <x:f>F2387-E2387</x:f>
        <x:v>0.6510612487792962</x:v>
      </x:c>
      <x:c r="I2387" s="40" t="n">
        <x:f>ABS(H2387)</x:f>
        <x:v>0.6510612487792962</x:v>
      </x:c>
      <x:c r="J2387" s="40" t="n">
        <x:f>H2387^2</x:f>
        <x:v>0.4238807496620566</x:v>
      </x:c>
      <x:c r="K2387" s="40" t="n">
        <x:f>G2387-E2387</x:f>
        <x:v>0.1999999999999993</x:v>
      </x:c>
      <x:c r="L2387" s="40" t="n">
        <x:f>ABS(K2387)</x:f>
        <x:v>0.1999999999999993</x:v>
      </x:c>
      <x:c r="M2387" s="41" t="str">
        <x:v>lstm-soil-v1</x:v>
      </x:c>
    </x:row>
    <x:row r="2388">
      <x:c r="A2388" s="38" t="str">
        <x:v>7月30日现场数据</x:v>
      </x:c>
      <x:c r="B2388" s="39" t="str">
        <x:v>2026-08-02T15:15:00</x:v>
      </x:c>
      <x:c r="C2388" s="39" t="str">
        <x:v>2026-08-02T15:20:00</x:v>
      </x:c>
      <x:c r="D2388" s="47" t="n">
        <x:v>5</x:v>
      </x:c>
      <x:c r="E2388" s="40" t="n">
        <x:v>14.9</x:v>
      </x:c>
      <x:c r="F2388" s="40" t="n">
        <x:v>13.282711029052734</x:v>
      </x:c>
      <x:c r="G2388" s="40" t="n">
        <x:v>15</x:v>
      </x:c>
      <x:c r="H2388" s="40" t="n">
        <x:f>F2388-E2388</x:f>
        <x:v>-1.617288970947266</x:v>
      </x:c>
      <x:c r="I2388" s="40" t="n">
        <x:f>ABS(H2388)</x:f>
        <x:v>1.617288970947266</x:v>
      </x:c>
      <x:c r="J2388" s="40" t="n">
        <x:f>H2388^2</x:f>
        <x:v>2.6156236155476664</x:v>
      </x:c>
      <x:c r="K2388" s="40" t="n">
        <x:f>G2388-E2388</x:f>
        <x:v>0.09999999999999964</x:v>
      </x:c>
      <x:c r="L2388" s="40" t="n">
        <x:f>ABS(K2388)</x:f>
        <x:v>0.09999999999999964</x:v>
      </x:c>
      <x:c r="M2388" s="41" t="str">
        <x:v>lstm-soil-v1</x:v>
      </x:c>
    </x:row>
    <x:row r="2389">
      <x:c r="A2389" s="38" t="str">
        <x:v>7月30日现场数据</x:v>
      </x:c>
      <x:c r="B2389" s="39" t="str">
        <x:v>2026-08-02T15:15:00</x:v>
      </x:c>
      <x:c r="C2389" s="39" t="str">
        <x:v>2026-08-02T15:30:00</x:v>
      </x:c>
      <x:c r="D2389" s="47" t="n">
        <x:v>15</x:v>
      </x:c>
      <x:c r="E2389" s="40" t="n">
        <x:v>14.9</x:v>
      </x:c>
      <x:c r="F2389" s="40" t="n">
        <x:v>13.361671447753906</x:v>
      </x:c>
      <x:c r="G2389" s="40" t="n">
        <x:v>15</x:v>
      </x:c>
      <x:c r="H2389" s="40" t="n">
        <x:f>F2389-E2389</x:f>
        <x:v>-1.538328552246094</x:v>
      </x:c>
      <x:c r="I2389" s="40" t="n">
        <x:f>ABS(H2389)</x:f>
        <x:v>1.538328552246094</x:v>
      </x:c>
      <x:c r="J2389" s="40" t="n">
        <x:f>H2389^2</x:f>
        <x:v>2.366454734655564</x:v>
      </x:c>
      <x:c r="K2389" s="40" t="n">
        <x:f>G2389-E2389</x:f>
        <x:v>0.09999999999999964</x:v>
      </x:c>
      <x:c r="L2389" s="40" t="n">
        <x:f>ABS(K2389)</x:f>
        <x:v>0.09999999999999964</x:v>
      </x:c>
      <x:c r="M2389" s="41" t="str">
        <x:v>lstm-soil-v1</x:v>
      </x:c>
    </x:row>
    <x:row r="2390">
      <x:c r="A2390" s="38" t="str">
        <x:v>7月30日现场数据</x:v>
      </x:c>
      <x:c r="B2390" s="39" t="str">
        <x:v>2026-08-02T15:15:00</x:v>
      </x:c>
      <x:c r="C2390" s="39" t="str">
        <x:v>2026-08-02T15:45:00</x:v>
      </x:c>
      <x:c r="D2390" s="47" t="n">
        <x:v>30</x:v>
      </x:c>
      <x:c r="E2390" s="40" t="n">
        <x:v>14.9</x:v>
      </x:c>
      <x:c r="F2390" s="40" t="n">
        <x:v>13.735145568847656</x:v>
      </x:c>
      <x:c r="G2390" s="40" t="n">
        <x:v>15</x:v>
      </x:c>
      <x:c r="H2390" s="40" t="n">
        <x:f>F2390-E2390</x:f>
        <x:v>-1.164854431152344</x:v>
      </x:c>
      <x:c r="I2390" s="40" t="n">
        <x:f>ABS(H2390)</x:f>
        <x:v>1.164854431152344</x:v>
      </x:c>
      <x:c r="J2390" s="40" t="n">
        <x:f>H2390^2</x:f>
        <x:v>1.356885845775251</x:v>
      </x:c>
      <x:c r="K2390" s="40" t="n">
        <x:f>G2390-E2390</x:f>
        <x:v>0.09999999999999964</x:v>
      </x:c>
      <x:c r="L2390" s="40" t="n">
        <x:f>ABS(K2390)</x:f>
        <x:v>0.09999999999999964</x:v>
      </x:c>
      <x:c r="M2390" s="41" t="str">
        <x:v>lstm-soil-v1</x:v>
      </x:c>
    </x:row>
    <x:row r="2391">
      <x:c r="A2391" s="38" t="str">
        <x:v>7月30日现场数据</x:v>
      </x:c>
      <x:c r="B2391" s="39" t="str">
        <x:v>2026-08-02T15:15:00</x:v>
      </x:c>
      <x:c r="C2391" s="39" t="str">
        <x:v>2026-08-02T16:15:00</x:v>
      </x:c>
      <x:c r="D2391" s="47" t="n">
        <x:v>60</x:v>
      </x:c>
      <x:c r="E2391" s="40" t="n">
        <x:v>14.8</x:v>
      </x:c>
      <x:c r="F2391" s="40" t="n">
        <x:v>15.450687408447266</x:v>
      </x:c>
      <x:c r="G2391" s="40" t="n">
        <x:v>15</x:v>
      </x:c>
      <x:c r="H2391" s="40" t="n">
        <x:f>F2391-E2391</x:f>
        <x:v>0.6506874084472649</x:v>
      </x:c>
      <x:c r="I2391" s="40" t="n">
        <x:f>ABS(H2391)</x:f>
        <x:v>0.6506874084472649</x:v>
      </x:c>
      <x:c r="J2391" s="40" t="n">
        <x:f>H2391^2</x:f>
        <x:v>0.4233941035118178</x:v>
      </x:c>
      <x:c r="K2391" s="40" t="n">
        <x:f>G2391-E2391</x:f>
        <x:v>0.1999999999999993</x:v>
      </x:c>
      <x:c r="L2391" s="40" t="n">
        <x:f>ABS(K2391)</x:f>
        <x:v>0.1999999999999993</x:v>
      </x:c>
      <x:c r="M2391" s="41" t="str">
        <x:v>lstm-soil-v1</x:v>
      </x:c>
    </x:row>
    <x:row r="2392">
      <x:c r="A2392" s="38" t="str">
        <x:v>7月30日现场数据</x:v>
      </x:c>
      <x:c r="B2392" s="39" t="str">
        <x:v>2026-08-02T15:20:00</x:v>
      </x:c>
      <x:c r="C2392" s="39" t="str">
        <x:v>2026-08-02T15:25:00</x:v>
      </x:c>
      <x:c r="D2392" s="47" t="n">
        <x:v>5</x:v>
      </x:c>
      <x:c r="E2392" s="40" t="n">
        <x:v>14.9</x:v>
      </x:c>
      <x:c r="F2392" s="40" t="n">
        <x:v>13.17169189453125</x:v>
      </x:c>
      <x:c r="G2392" s="40" t="n">
        <x:v>14.9</x:v>
      </x:c>
      <x:c r="H2392" s="40" t="n">
        <x:f>F2392-E2392</x:f>
        <x:v>-1.7283081054687504</x:v>
      </x:c>
      <x:c r="I2392" s="40" t="n">
        <x:f>ABS(H2392)</x:f>
        <x:v>1.7283081054687504</x:v>
      </x:c>
      <x:c r="J2392" s="40" t="n">
        <x:f>H2392^2</x:f>
        <x:v>2.987048907428981</x:v>
      </x:c>
      <x:c r="K2392" s="40" t="n">
        <x:f>G2392-E2392</x:f>
        <x:v>0</x:v>
      </x:c>
      <x:c r="L2392" s="40" t="n">
        <x:f>ABS(K2392)</x:f>
        <x:v>0</x:v>
      </x:c>
      <x:c r="M2392" s="41" t="str">
        <x:v>lstm-soil-v1</x:v>
      </x:c>
    </x:row>
    <x:row r="2393">
      <x:c r="A2393" s="38" t="str">
        <x:v>7月30日现场数据</x:v>
      </x:c>
      <x:c r="B2393" s="39" t="str">
        <x:v>2026-08-02T15:20:00</x:v>
      </x:c>
      <x:c r="C2393" s="39" t="str">
        <x:v>2026-08-02T15:35:00</x:v>
      </x:c>
      <x:c r="D2393" s="47" t="n">
        <x:v>15</x:v>
      </x:c>
      <x:c r="E2393" s="40" t="n">
        <x:v>14.8</x:v>
      </x:c>
      <x:c r="F2393" s="40" t="n">
        <x:v>13.250701904296875</x:v>
      </x:c>
      <x:c r="G2393" s="40" t="n">
        <x:v>14.9</x:v>
      </x:c>
      <x:c r="H2393" s="40" t="n">
        <x:f>F2393-E2393</x:f>
        <x:v>-1.5492980957031257</x:v>
      </x:c>
      <x:c r="I2393" s="40" t="n">
        <x:f>ABS(H2393)</x:f>
        <x:v>1.5492980957031257</x:v>
      </x:c>
      <x:c r="J2393" s="40" t="n">
        <x:f>H2393^2</x:f>
        <x:v>2.4003245893493315</x:v>
      </x:c>
      <x:c r="K2393" s="40" t="n">
        <x:f>G2393-E2393</x:f>
        <x:v>0.09999999999999964</x:v>
      </x:c>
      <x:c r="L2393" s="40" t="n">
        <x:f>ABS(K2393)</x:f>
        <x:v>0.09999999999999964</x:v>
      </x:c>
      <x:c r="M2393" s="41" t="str">
        <x:v>lstm-soil-v1</x:v>
      </x:c>
    </x:row>
    <x:row r="2394">
      <x:c r="A2394" s="38" t="str">
        <x:v>7月30日现场数据</x:v>
      </x:c>
      <x:c r="B2394" s="39" t="str">
        <x:v>2026-08-02T15:20:00</x:v>
      </x:c>
      <x:c r="C2394" s="39" t="str">
        <x:v>2026-08-02T15:50:00</x:v>
      </x:c>
      <x:c r="D2394" s="47" t="n">
        <x:v>30</x:v>
      </x:c>
      <x:c r="E2394" s="40" t="n">
        <x:v>14.8</x:v>
      </x:c>
      <x:c r="F2394" s="40" t="n">
        <x:v>13.622699737548828</x:v>
      </x:c>
      <x:c r="G2394" s="40" t="n">
        <x:v>14.9</x:v>
      </x:c>
      <x:c r="H2394" s="40" t="n">
        <x:f>F2394-E2394</x:f>
        <x:v>-1.1773002624511726</x:v>
      </x:c>
      <x:c r="I2394" s="40" t="n">
        <x:f>ABS(H2394)</x:f>
        <x:v>1.1773002624511726</x:v>
      </x:c>
      <x:c r="J2394" s="40" t="n">
        <x:f>H2394^2</x:f>
        <x:v>1.3860359079676</x:v>
      </x:c>
      <x:c r="K2394" s="40" t="n">
        <x:f>G2394-E2394</x:f>
        <x:v>0.09999999999999964</x:v>
      </x:c>
      <x:c r="L2394" s="40" t="n">
        <x:f>ABS(K2394)</x:f>
        <x:v>0.09999999999999964</x:v>
      </x:c>
      <x:c r="M2394" s="41" t="str">
        <x:v>lstm-soil-v1</x:v>
      </x:c>
    </x:row>
    <x:row r="2395">
      <x:c r="A2395" s="38" t="str">
        <x:v>7月30日现场数据</x:v>
      </x:c>
      <x:c r="B2395" s="39" t="str">
        <x:v>2026-08-02T15:20:00</x:v>
      </x:c>
      <x:c r="C2395" s="39" t="str">
        <x:v>2026-08-02T16:20:00</x:v>
      </x:c>
      <x:c r="D2395" s="47" t="n">
        <x:v>60</x:v>
      </x:c>
      <x:c r="E2395" s="40" t="n">
        <x:v>14.8</x:v>
      </x:c>
      <x:c r="F2395" s="40" t="n">
        <x:v>15.340442657470703</x:v>
      </x:c>
      <x:c r="G2395" s="40" t="n">
        <x:v>14.9</x:v>
      </x:c>
      <x:c r="H2395" s="40" t="n">
        <x:f>F2395-E2395</x:f>
        <x:v>0.5404426574707024</x:v>
      </x:c>
      <x:c r="I2395" s="40" t="n">
        <x:f>ABS(H2395)</x:f>
        <x:v>0.5404426574707024</x:v>
      </x:c>
      <x:c r="J2395" s="40" t="n">
        <x:f>H2395^2</x:f>
        <x:v>0.292078266013995</x:v>
      </x:c>
      <x:c r="K2395" s="40" t="n">
        <x:f>G2395-E2395</x:f>
        <x:v>0.09999999999999964</x:v>
      </x:c>
      <x:c r="L2395" s="40" t="n">
        <x:f>ABS(K2395)</x:f>
        <x:v>0.09999999999999964</x:v>
      </x:c>
      <x:c r="M2395" s="41" t="str">
        <x:v>lstm-soil-v1</x:v>
      </x:c>
    </x:row>
    <x:row r="2396">
      <x:c r="A2396" s="38" t="str">
        <x:v>7月30日现场数据</x:v>
      </x:c>
      <x:c r="B2396" s="39" t="str">
        <x:v>2026-08-02T15:25:00</x:v>
      </x:c>
      <x:c r="C2396" s="39" t="str">
        <x:v>2026-08-02T15:30:00</x:v>
      </x:c>
      <x:c r="D2396" s="47" t="n">
        <x:v>5</x:v>
      </x:c>
      <x:c r="E2396" s="40" t="n">
        <x:v>14.9</x:v>
      </x:c>
      <x:c r="F2396" s="40" t="n">
        <x:v>13.170341491699219</x:v>
      </x:c>
      <x:c r="G2396" s="40" t="n">
        <x:v>14.9</x:v>
      </x:c>
      <x:c r="H2396" s="40" t="n">
        <x:f>F2396-E2396</x:f>
        <x:v>-1.7296585083007816</x:v>
      </x:c>
      <x:c r="I2396" s="40" t="n">
        <x:f>ABS(H2396)</x:f>
        <x:v>1.7296585083007816</x:v>
      </x:c>
      <x:c r="J2396" s="40" t="n">
        <x:f>H2396^2</x:f>
        <x:v>2.991718555337285</x:v>
      </x:c>
      <x:c r="K2396" s="40" t="n">
        <x:f>G2396-E2396</x:f>
        <x:v>0</x:v>
      </x:c>
      <x:c r="L2396" s="40" t="n">
        <x:f>ABS(K2396)</x:f>
        <x:v>0</x:v>
      </x:c>
      <x:c r="M2396" s="41" t="str">
        <x:v>lstm-soil-v1</x:v>
      </x:c>
    </x:row>
    <x:row r="2397">
      <x:c r="A2397" s="38" t="str">
        <x:v>7月30日现场数据</x:v>
      </x:c>
      <x:c r="B2397" s="39" t="str">
        <x:v>2026-08-02T15:25:00</x:v>
      </x:c>
      <x:c r="C2397" s="39" t="str">
        <x:v>2026-08-02T15:40:00</x:v>
      </x:c>
      <x:c r="D2397" s="47" t="n">
        <x:v>15</x:v>
      </x:c>
      <x:c r="E2397" s="40" t="n">
        <x:v>14.8</x:v>
      </x:c>
      <x:c r="F2397" s="40" t="n">
        <x:v>13.249614715576172</x:v>
      </x:c>
      <x:c r="G2397" s="40" t="n">
        <x:v>14.9</x:v>
      </x:c>
      <x:c r="H2397" s="40" t="n">
        <x:f>F2397-E2397</x:f>
        <x:v>-1.5503852844238288</x:v>
      </x:c>
      <x:c r="I2397" s="40" t="n">
        <x:f>ABS(H2397)</x:f>
        <x:v>1.5503852844238288</x:v>
      </x:c>
      <x:c r="J2397" s="40" t="n">
        <x:f>H2397^2</x:f>
        <x:v>2.4036945301579564</x:v>
      </x:c>
      <x:c r="K2397" s="40" t="n">
        <x:f>G2397-E2397</x:f>
        <x:v>0.09999999999999964</x:v>
      </x:c>
      <x:c r="L2397" s="40" t="n">
        <x:f>ABS(K2397)</x:f>
        <x:v>0.09999999999999964</x:v>
      </x:c>
      <x:c r="M2397" s="41" t="str">
        <x:v>lstm-soil-v1</x:v>
      </x:c>
    </x:row>
    <x:row r="2398">
      <x:c r="A2398" s="38" t="str">
        <x:v>7月30日现场数据</x:v>
      </x:c>
      <x:c r="B2398" s="39" t="str">
        <x:v>2026-08-02T15:25:00</x:v>
      </x:c>
      <x:c r="C2398" s="39" t="str">
        <x:v>2026-08-02T15:55:00</x:v>
      </x:c>
      <x:c r="D2398" s="47" t="n">
        <x:v>30</x:v>
      </x:c>
      <x:c r="E2398" s="40" t="n">
        <x:v>14.8</x:v>
      </x:c>
      <x:c r="F2398" s="40" t="n">
        <x:v>13.619884490966797</x:v>
      </x:c>
      <x:c r="G2398" s="40" t="n">
        <x:v>14.9</x:v>
      </x:c>
      <x:c r="H2398" s="40" t="n">
        <x:f>F2398-E2398</x:f>
        <x:v>-1.1801155090332038</x:v>
      </x:c>
      <x:c r="I2398" s="40" t="n">
        <x:f>ABS(H2398)</x:f>
        <x:v>1.1801155090332038</x:v>
      </x:c>
      <x:c r="J2398" s="40" t="n">
        <x:f>H2398^2</x:f>
        <x:v>1.3926726146606978</x:v>
      </x:c>
      <x:c r="K2398" s="40" t="n">
        <x:f>G2398-E2398</x:f>
        <x:v>0.09999999999999964</x:v>
      </x:c>
      <x:c r="L2398" s="40" t="n">
        <x:f>ABS(K2398)</x:f>
        <x:v>0.09999999999999964</x:v>
      </x:c>
      <x:c r="M2398" s="41" t="str">
        <x:v>lstm-soil-v1</x:v>
      </x:c>
    </x:row>
    <x:row r="2399">
      <x:c r="A2399" s="38" t="str">
        <x:v>7月30日现场数据</x:v>
      </x:c>
      <x:c r="B2399" s="39" t="str">
        <x:v>2026-08-02T15:25:00</x:v>
      </x:c>
      <x:c r="C2399" s="39" t="str">
        <x:v>2026-08-02T16:25:00</x:v>
      </x:c>
      <x:c r="D2399" s="47" t="n">
        <x:v>60</x:v>
      </x:c>
      <x:c r="E2399" s="40" t="n">
        <x:v>14.8</x:v>
      </x:c>
      <x:c r="F2399" s="40" t="n">
        <x:v>15.339469909667969</x:v>
      </x:c>
      <x:c r="G2399" s="40" t="n">
        <x:v>14.9</x:v>
      </x:c>
      <x:c r="H2399" s="40" t="n">
        <x:f>F2399-E2399</x:f>
        <x:v>0.539469909667968</x:v>
      </x:c>
      <x:c r="I2399" s="40" t="n">
        <x:f>ABS(H2399)</x:f>
        <x:v>0.539469909667968</x:v>
      </x:c>
      <x:c r="J2399" s="40" t="n">
        <x:f>H2399^2</x:f>
        <x:v>0.2910277834371656</x:v>
      </x:c>
      <x:c r="K2399" s="40" t="n">
        <x:f>G2399-E2399</x:f>
        <x:v>0.09999999999999964</x:v>
      </x:c>
      <x:c r="L2399" s="40" t="n">
        <x:f>ABS(K2399)</x:f>
        <x:v>0.09999999999999964</x:v>
      </x:c>
      <x:c r="M2399" s="41" t="str">
        <x:v>lstm-soil-v1</x:v>
      </x:c>
    </x:row>
    <x:row r="2400">
      <x:c r="A2400" s="38" t="str">
        <x:v>7月30日现场数据</x:v>
      </x:c>
      <x:c r="B2400" s="39" t="str">
        <x:v>2026-08-02T15:30:00</x:v>
      </x:c>
      <x:c r="C2400" s="39" t="str">
        <x:v>2026-08-02T15:35:00</x:v>
      </x:c>
      <x:c r="D2400" s="47" t="n">
        <x:v>5</x:v>
      </x:c>
      <x:c r="E2400" s="40" t="n">
        <x:v>14.8</x:v>
      </x:c>
      <x:c r="F2400" s="40" t="n">
        <x:v>13.168983459472656</x:v>
      </x:c>
      <x:c r="G2400" s="40" t="n">
        <x:v>14.9</x:v>
      </x:c>
      <x:c r="H2400" s="40" t="n">
        <x:f>F2400-E2400</x:f>
        <x:v>-1.6310165405273445</x:v>
      </x:c>
      <x:c r="I2400" s="40" t="n">
        <x:f>ABS(H2400)</x:f>
        <x:v>1.6310165405273445</x:v>
      </x:c>
      <x:c r="J2400" s="40" t="n">
        <x:f>H2400^2</x:f>
        <x:v>2.6602149554737866</x:v>
      </x:c>
      <x:c r="K2400" s="40" t="n">
        <x:f>G2400-E2400</x:f>
        <x:v>0.09999999999999964</x:v>
      </x:c>
      <x:c r="L2400" s="40" t="n">
        <x:f>ABS(K2400)</x:f>
        <x:v>0.09999999999999964</x:v>
      </x:c>
      <x:c r="M2400" s="41" t="str">
        <x:v>lstm-soil-v1</x:v>
      </x:c>
    </x:row>
    <x:row r="2401">
      <x:c r="A2401" s="38" t="str">
        <x:v>7月30日现场数据</x:v>
      </x:c>
      <x:c r="B2401" s="39" t="str">
        <x:v>2026-08-02T15:30:00</x:v>
      </x:c>
      <x:c r="C2401" s="39" t="str">
        <x:v>2026-08-02T15:45:00</x:v>
      </x:c>
      <x:c r="D2401" s="47" t="n">
        <x:v>15</x:v>
      </x:c>
      <x:c r="E2401" s="40" t="n">
        <x:v>14.9</x:v>
      </x:c>
      <x:c r="F2401" s="40" t="n">
        <x:v>13.248405456542969</x:v>
      </x:c>
      <x:c r="G2401" s="40" t="n">
        <x:v>14.9</x:v>
      </x:c>
      <x:c r="H2401" s="40" t="n">
        <x:f>F2401-E2401</x:f>
        <x:v>-1.6515945434570316</x:v>
      </x:c>
      <x:c r="I2401" s="40" t="n">
        <x:f>ABS(H2401)</x:f>
        <x:v>1.6515945434570316</x:v>
      </x:c>
      <x:c r="J2401" s="40" t="n">
        <x:f>H2401^2</x:f>
        <x:v>2.7277645359770406</x:v>
      </x:c>
      <x:c r="K2401" s="40" t="n">
        <x:f>G2401-E2401</x:f>
        <x:v>0</x:v>
      </x:c>
      <x:c r="L2401" s="40" t="n">
        <x:f>ABS(K2401)</x:f>
        <x:v>0</x:v>
      </x:c>
      <x:c r="M2401" s="41" t="str">
        <x:v>lstm-soil-v1</x:v>
      </x:c>
    </x:row>
    <x:row r="2402">
      <x:c r="A2402" s="38" t="str">
        <x:v>7月30日现场数据</x:v>
      </x:c>
      <x:c r="B2402" s="39" t="str">
        <x:v>2026-08-02T15:30:00</x:v>
      </x:c>
      <x:c r="C2402" s="39" t="str">
        <x:v>2026-08-02T16:00:00</x:v>
      </x:c>
      <x:c r="D2402" s="47" t="n">
        <x:v>30</x:v>
      </x:c>
      <x:c r="E2402" s="40" t="n">
        <x:v>14.8</x:v>
      </x:c>
      <x:c r="F2402" s="40" t="n">
        <x:v>13.617118835449219</x:v>
      </x:c>
      <x:c r="G2402" s="40" t="n">
        <x:v>14.9</x:v>
      </x:c>
      <x:c r="H2402" s="40" t="n">
        <x:f>F2402-E2402</x:f>
        <x:v>-1.182881164550782</x:v>
      </x:c>
      <x:c r="I2402" s="40" t="n">
        <x:f>ABS(H2402)</x:f>
        <x:v>1.182881164550782</x:v>
      </x:c>
      <x:c r="J2402" s="40" t="n">
        <x:f>H2402^2</x:f>
        <x:v>1.399207849449014</x:v>
      </x:c>
      <x:c r="K2402" s="40" t="n">
        <x:f>G2402-E2402</x:f>
        <x:v>0.09999999999999964</x:v>
      </x:c>
      <x:c r="L2402" s="40" t="n">
        <x:f>ABS(K2402)</x:f>
        <x:v>0.09999999999999964</x:v>
      </x:c>
      <x:c r="M2402" s="41" t="str">
        <x:v>lstm-soil-v1</x:v>
      </x:c>
    </x:row>
    <x:row r="2403">
      <x:c r="A2403" s="38" t="str">
        <x:v>7月30日现场数据</x:v>
      </x:c>
      <x:c r="B2403" s="39" t="str">
        <x:v>2026-08-02T15:30:00</x:v>
      </x:c>
      <x:c r="C2403" s="39" t="str">
        <x:v>2026-08-02T16:30:00</x:v>
      </x:c>
      <x:c r="D2403" s="47" t="n">
        <x:v>60</x:v>
      </x:c>
      <x:c r="E2403" s="40" t="n">
        <x:v>14.8</x:v>
      </x:c>
      <x:c r="F2403" s="40" t="n">
        <x:v>15.338451385498047</x:v>
      </x:c>
      <x:c r="G2403" s="40" t="n">
        <x:v>14.9</x:v>
      </x:c>
      <x:c r="H2403" s="40" t="n">
        <x:f>F2403-E2403</x:f>
        <x:v>0.5384513854980462</x:v>
      </x:c>
      <x:c r="I2403" s="40" t="n">
        <x:f>ABS(H2403)</x:f>
        <x:v>0.5384513854980462</x:v>
      </x:c>
      <x:c r="J2403" s="40" t="n">
        <x:f>H2403^2</x:f>
        <x:v>0.28992989454476553</x:v>
      </x:c>
      <x:c r="K2403" s="40" t="n">
        <x:f>G2403-E2403</x:f>
        <x:v>0.09999999999999964</x:v>
      </x:c>
      <x:c r="L2403" s="40" t="n">
        <x:f>ABS(K2403)</x:f>
        <x:v>0.09999999999999964</x:v>
      </x:c>
      <x:c r="M2403" s="41" t="str">
        <x:v>lstm-soil-v1</x:v>
      </x:c>
    </x:row>
    <x:row r="2404">
      <x:c r="A2404" s="38" t="str">
        <x:v>7月30日现场数据</x:v>
      </x:c>
      <x:c r="B2404" s="39" t="str">
        <x:v>2026-08-02T15:35:00</x:v>
      </x:c>
      <x:c r="C2404" s="39" t="str">
        <x:v>2026-08-02T15:40:00</x:v>
      </x:c>
      <x:c r="D2404" s="47" t="n">
        <x:v>5</x:v>
      </x:c>
      <x:c r="E2404" s="40" t="n">
        <x:v>14.8</x:v>
      </x:c>
      <x:c r="F2404" s="40" t="n">
        <x:v>13.058021545410156</x:v>
      </x:c>
      <x:c r="G2404" s="40" t="n">
        <x:v>14.8</x:v>
      </x:c>
      <x:c r="H2404" s="40" t="n">
        <x:f>F2404-E2404</x:f>
        <x:v>-1.7419784545898445</x:v>
      </x:c>
      <x:c r="I2404" s="40" t="n">
        <x:f>ABS(H2404)</x:f>
        <x:v>1.7419784545898445</x:v>
      </x:c>
      <x:c r="J2404" s="40" t="n">
        <x:f>H2404^2</x:f>
        <x:v>3.0344889362552228</x:v>
      </x:c>
      <x:c r="K2404" s="40" t="n">
        <x:f>G2404-E2404</x:f>
        <x:v>0</x:v>
      </x:c>
      <x:c r="L2404" s="40" t="n">
        <x:f>ABS(K2404)</x:f>
        <x:v>0</x:v>
      </x:c>
      <x:c r="M2404" s="41" t="str">
        <x:v>lstm-soil-v1</x:v>
      </x:c>
    </x:row>
    <x:row r="2405">
      <x:c r="A2405" s="38" t="str">
        <x:v>7月30日现场数据</x:v>
      </x:c>
      <x:c r="B2405" s="39" t="str">
        <x:v>2026-08-02T15:35:00</x:v>
      </x:c>
      <x:c r="C2405" s="39" t="str">
        <x:v>2026-08-02T15:50:00</x:v>
      </x:c>
      <x:c r="D2405" s="47" t="n">
        <x:v>15</x:v>
      </x:c>
      <x:c r="E2405" s="40" t="n">
        <x:v>14.8</x:v>
      </x:c>
      <x:c r="F2405" s="40" t="n">
        <x:v>13.137306213378906</x:v>
      </x:c>
      <x:c r="G2405" s="40" t="n">
        <x:v>14.8</x:v>
      </x:c>
      <x:c r="H2405" s="40" t="n">
        <x:f>F2405-E2405</x:f>
        <x:v>-1.6626937866210945</x:v>
      </x:c>
      <x:c r="I2405" s="40" t="n">
        <x:f>ABS(H2405)</x:f>
        <x:v>1.6626937866210945</x:v>
      </x:c>
      <x:c r="J2405" s="40" t="n">
        <x:f>H2405^2</x:f>
        <x:v>2.7645506280683936</x:v>
      </x:c>
      <x:c r="K2405" s="40" t="n">
        <x:f>G2405-E2405</x:f>
        <x:v>0</x:v>
      </x:c>
      <x:c r="L2405" s="40" t="n">
        <x:f>ABS(K2405)</x:f>
        <x:v>0</x:v>
      </x:c>
      <x:c r="M2405" s="41" t="str">
        <x:v>lstm-soil-v1</x:v>
      </x:c>
    </x:row>
    <x:row r="2406">
      <x:c r="A2406" s="38" t="str">
        <x:v>7月30日现场数据</x:v>
      </x:c>
      <x:c r="B2406" s="39" t="str">
        <x:v>2026-08-02T15:35:00</x:v>
      </x:c>
      <x:c r="C2406" s="39" t="str">
        <x:v>2026-08-02T16:05:00</x:v>
      </x:c>
      <x:c r="D2406" s="47" t="n">
        <x:v>30</x:v>
      </x:c>
      <x:c r="E2406" s="40" t="n">
        <x:v>14.8</x:v>
      </x:c>
      <x:c r="F2406" s="40" t="n">
        <x:v>13.5054931640625</x:v>
      </x:c>
      <x:c r="G2406" s="40" t="n">
        <x:v>14.8</x:v>
      </x:c>
      <x:c r="H2406" s="40" t="n">
        <x:f>F2406-E2406</x:f>
        <x:v>-1.2945068359375007</x:v>
      </x:c>
      <x:c r="I2406" s="40" t="n">
        <x:f>ABS(H2406)</x:f>
        <x:v>1.2945068359375007</x:v>
      </x:c>
      <x:c r="J2406" s="40" t="n">
        <x:f>H2406^2</x:f>
        <x:v>1.6757479482889195</x:v>
      </x:c>
      <x:c r="K2406" s="40" t="n">
        <x:f>G2406-E2406</x:f>
        <x:v>0</x:v>
      </x:c>
      <x:c r="L2406" s="40" t="n">
        <x:f>ABS(K2406)</x:f>
        <x:v>0</x:v>
      </x:c>
      <x:c r="M2406" s="41" t="str">
        <x:v>lstm-soil-v1</x:v>
      </x:c>
    </x:row>
    <x:row r="2407">
      <x:c r="A2407" s="38" t="str">
        <x:v>7月30日现场数据</x:v>
      </x:c>
      <x:c r="B2407" s="39" t="str">
        <x:v>2026-08-02T15:35:00</x:v>
      </x:c>
      <x:c r="C2407" s="39" t="str">
        <x:v>2026-08-02T16:35:00</x:v>
      </x:c>
      <x:c r="D2407" s="47" t="n">
        <x:v>60</x:v>
      </x:c>
      <x:c r="E2407" s="40" t="n">
        <x:v>14.8</x:v>
      </x:c>
      <x:c r="F2407" s="40" t="n">
        <x:v>15.228279113769531</x:v>
      </x:c>
      <x:c r="G2407" s="40" t="n">
        <x:v>14.8</x:v>
      </x:c>
      <x:c r="H2407" s="40" t="n">
        <x:f>F2407-E2407</x:f>
        <x:v>0.42827911376953054</x:v>
      </x:c>
      <x:c r="I2407" s="40" t="n">
        <x:f>ABS(H2407)</x:f>
        <x:v>0.42827911376953054</x:v>
      </x:c>
      <x:c r="J2407" s="40" t="n">
        <x:f>H2407^2</x:f>
        <x:v>0.18342299929121447</x:v>
      </x:c>
      <x:c r="K2407" s="40" t="n">
        <x:f>G2407-E2407</x:f>
        <x:v>0</x:v>
      </x:c>
      <x:c r="L2407" s="40" t="n">
        <x:f>ABS(K2407)</x:f>
        <x:v>0</x:v>
      </x:c>
      <x:c r="M2407" s="41" t="str">
        <x:v>lstm-soil-v1</x:v>
      </x:c>
    </x:row>
    <x:row r="2408">
      <x:c r="A2408" s="38" t="str">
        <x:v>7月30日现场数据</x:v>
      </x:c>
      <x:c r="B2408" s="39" t="str">
        <x:v>2026-08-02T15:40:00</x:v>
      </x:c>
      <x:c r="C2408" s="39" t="str">
        <x:v>2026-08-02T15:45:00</x:v>
      </x:c>
      <x:c r="D2408" s="47" t="n">
        <x:v>5</x:v>
      </x:c>
      <x:c r="E2408" s="40" t="n">
        <x:v>14.9</x:v>
      </x:c>
      <x:c r="F2408" s="40" t="n">
        <x:v>13.057064056396484</x:v>
      </x:c>
      <x:c r="G2408" s="40" t="n">
        <x:v>14.8</x:v>
      </x:c>
      <x:c r="H2408" s="40" t="n">
        <x:f>F2408-E2408</x:f>
        <x:v>-1.842935943603516</x:v>
      </x:c>
      <x:c r="I2408" s="40" t="n">
        <x:f>ABS(H2408)</x:f>
        <x:v>1.842935943603516</x:v>
      </x:c>
      <x:c r="J2408" s="40" t="n">
        <x:f>H2408^2</x:f>
        <x:v>3.396412892225782</x:v>
      </x:c>
      <x:c r="K2408" s="40" t="n">
        <x:f>G2408-E2408</x:f>
        <x:v>-0.09999999999999964</x:v>
      </x:c>
      <x:c r="L2408" s="40" t="n">
        <x:f>ABS(K2408)</x:f>
        <x:v>0.09999999999999964</x:v>
      </x:c>
      <x:c r="M2408" s="41" t="str">
        <x:v>lstm-soil-v1</x:v>
      </x:c>
    </x:row>
    <x:row r="2409">
      <x:c r="A2409" s="38" t="str">
        <x:v>7月30日现场数据</x:v>
      </x:c>
      <x:c r="B2409" s="39" t="str">
        <x:v>2026-08-02T15:40:00</x:v>
      </x:c>
      <x:c r="C2409" s="39" t="str">
        <x:v>2026-08-02T15:55:00</x:v>
      </x:c>
      <x:c r="D2409" s="47" t="n">
        <x:v>15</x:v>
      </x:c>
      <x:c r="E2409" s="40" t="n">
        <x:v>14.8</x:v>
      </x:c>
      <x:c r="F2409" s="40" t="n">
        <x:v>13.136192321777344</x:v>
      </x:c>
      <x:c r="G2409" s="40" t="n">
        <x:v>14.8</x:v>
      </x:c>
      <x:c r="H2409" s="40" t="n">
        <x:f>F2409-E2409</x:f>
        <x:v>-1.663807678222657</x:v>
      </x:c>
      <x:c r="I2409" s="40" t="n">
        <x:f>ABS(H2409)</x:f>
        <x:v>1.663807678222657</x:v>
      </x:c>
      <x:c r="J2409" s="40" t="n">
        <x:f>H2409^2</x:f>
        <x:v>2.768255990112668</x:v>
      </x:c>
      <x:c r="K2409" s="40" t="n">
        <x:f>G2409-E2409</x:f>
        <x:v>0</x:v>
      </x:c>
      <x:c r="L2409" s="40" t="n">
        <x:f>ABS(K2409)</x:f>
        <x:v>0</x:v>
      </x:c>
      <x:c r="M2409" s="41" t="str">
        <x:v>lstm-soil-v1</x:v>
      </x:c>
    </x:row>
    <x:row r="2410">
      <x:c r="A2410" s="38" t="str">
        <x:v>7月30日现场数据</x:v>
      </x:c>
      <x:c r="B2410" s="39" t="str">
        <x:v>2026-08-02T15:40:00</x:v>
      </x:c>
      <x:c r="C2410" s="39" t="str">
        <x:v>2026-08-02T16:10:00</x:v>
      </x:c>
      <x:c r="D2410" s="47" t="n">
        <x:v>30</x:v>
      </x:c>
      <x:c r="E2410" s="40" t="n">
        <x:v>14.8</x:v>
      </x:c>
      <x:c r="F2410" s="40" t="n">
        <x:v>13.503734588623047</x:v>
      </x:c>
      <x:c r="G2410" s="40" t="n">
        <x:v>14.8</x:v>
      </x:c>
      <x:c r="H2410" s="40" t="n">
        <x:f>F2410-E2410</x:f>
        <x:v>-1.2962654113769538</x:v>
      </x:c>
      <x:c r="I2410" s="40" t="n">
        <x:f>ABS(H2410)</x:f>
        <x:v>1.2962654113769538</x:v>
      </x:c>
      <x:c r="J2410" s="40" t="n">
        <x:f>H2410^2</x:f>
        <x:v>1.6803040167322634</x:v>
      </x:c>
      <x:c r="K2410" s="40" t="n">
        <x:f>G2410-E2410</x:f>
        <x:v>0</x:v>
      </x:c>
      <x:c r="L2410" s="40" t="n">
        <x:f>ABS(K2410)</x:f>
        <x:v>0</x:v>
      </x:c>
      <x:c r="M2410" s="41" t="str">
        <x:v>lstm-soil-v1</x:v>
      </x:c>
    </x:row>
    <x:row r="2411">
      <x:c r="A2411" s="38" t="str">
        <x:v>7月30日现场数据</x:v>
      </x:c>
      <x:c r="B2411" s="39" t="str">
        <x:v>2026-08-02T15:40:00</x:v>
      </x:c>
      <x:c r="C2411" s="39" t="str">
        <x:v>2026-08-02T16:40:00</x:v>
      </x:c>
      <x:c r="D2411" s="47" t="n">
        <x:v>60</x:v>
      </x:c>
      <x:c r="E2411" s="40" t="n">
        <x:v>14.8</x:v>
      </x:c>
      <x:c r="F2411" s="40" t="n">
        <x:v>15.227897644042969</x:v>
      </x:c>
      <x:c r="G2411" s="40" t="n">
        <x:v>14.8</x:v>
      </x:c>
      <x:c r="H2411" s="40" t="n">
        <x:f>F2411-E2411</x:f>
        <x:v>0.42789764404296804</x:v>
      </x:c>
      <x:c r="I2411" s="40" t="n">
        <x:f>ABS(H2411)</x:f>
        <x:v>0.42789764404296804</x:v>
      </x:c>
      <x:c r="J2411" s="40" t="n">
        <x:f>H2411^2</x:f>
        <x:v>0.18309639377752257</x:v>
      </x:c>
      <x:c r="K2411" s="40" t="n">
        <x:f>G2411-E2411</x:f>
        <x:v>0</x:v>
      </x:c>
      <x:c r="L2411" s="40" t="n">
        <x:f>ABS(K2411)</x:f>
        <x:v>0</x:v>
      </x:c>
      <x:c r="M2411" s="41" t="str">
        <x:v>lstm-soil-v1</x:v>
      </x:c>
    </x:row>
    <x:row r="2412">
      <x:c r="A2412" s="38" t="str">
        <x:v>7月30日现场数据</x:v>
      </x:c>
      <x:c r="B2412" s="39" t="str">
        <x:v>2026-08-02T15:45:00</x:v>
      </x:c>
      <x:c r="C2412" s="39" t="str">
        <x:v>2026-08-02T15:50:00</x:v>
      </x:c>
      <x:c r="D2412" s="47" t="n">
        <x:v>5</x:v>
      </x:c>
      <x:c r="E2412" s="40" t="n">
        <x:v>14.8</x:v>
      </x:c>
      <x:c r="F2412" s="40" t="n">
        <x:v>13.166900634765625</x:v>
      </x:c>
      <x:c r="G2412" s="40" t="n">
        <x:v>14.9</x:v>
      </x:c>
      <x:c r="H2412" s="40" t="n">
        <x:f>F2412-E2412</x:f>
        <x:v>-1.6330993652343757</x:v>
      </x:c>
      <x:c r="I2412" s="40" t="n">
        <x:f>ABS(H2412)</x:f>
        <x:v>1.6330993652343757</x:v>
      </x:c>
      <x:c r="J2412" s="40" t="n">
        <x:f>H2412^2</x:f>
        <x:v>2.6670135367289207</x:v>
      </x:c>
      <x:c r="K2412" s="40" t="n">
        <x:f>G2412-E2412</x:f>
        <x:v>0.09999999999999964</x:v>
      </x:c>
      <x:c r="L2412" s="40" t="n">
        <x:f>ABS(K2412)</x:f>
        <x:v>0.09999999999999964</x:v>
      </x:c>
      <x:c r="M2412" s="41" t="str">
        <x:v>lstm-soil-v1</x:v>
      </x:c>
    </x:row>
    <x:row r="2413">
      <x:c r="A2413" s="38" t="str">
        <x:v>7月30日现场数据</x:v>
      </x:c>
      <x:c r="B2413" s="39" t="str">
        <x:v>2026-08-02T15:45:00</x:v>
      </x:c>
      <x:c r="C2413" s="39" t="str">
        <x:v>2026-08-02T16:00:00</x:v>
      </x:c>
      <x:c r="D2413" s="47" t="n">
        <x:v>15</x:v>
      </x:c>
      <x:c r="E2413" s="40" t="n">
        <x:v>14.8</x:v>
      </x:c>
      <x:c r="F2413" s="40" t="n">
        <x:v>13.245403289794922</x:v>
      </x:c>
      <x:c r="G2413" s="40" t="n">
        <x:v>14.9</x:v>
      </x:c>
      <x:c r="H2413" s="40" t="n">
        <x:f>F2413-E2413</x:f>
        <x:v>-1.5545967102050788</x:v>
      </x:c>
      <x:c r="I2413" s="40" t="n">
        <x:f>ABS(H2413)</x:f>
        <x:v>1.5545967102050788</x:v>
      </x:c>
      <x:c r="J2413" s="40" t="n">
        <x:f>H2413^2</x:f>
        <x:v>2.4167709313804537</x:v>
      </x:c>
      <x:c r="K2413" s="40" t="n">
        <x:f>G2413-E2413</x:f>
        <x:v>0.09999999999999964</x:v>
      </x:c>
      <x:c r="L2413" s="40" t="n">
        <x:f>ABS(K2413)</x:f>
        <x:v>0.09999999999999964</x:v>
      </x:c>
      <x:c r="M2413" s="41" t="str">
        <x:v>lstm-soil-v1</x:v>
      </x:c>
    </x:row>
    <x:row r="2414">
      <x:c r="A2414" s="38" t="str">
        <x:v>7月30日现场数据</x:v>
      </x:c>
      <x:c r="B2414" s="39" t="str">
        <x:v>2026-08-02T15:45:00</x:v>
      </x:c>
      <x:c r="C2414" s="39" t="str">
        <x:v>2026-08-02T16:15:00</x:v>
      </x:c>
      <x:c r="D2414" s="47" t="n">
        <x:v>30</x:v>
      </x:c>
      <x:c r="E2414" s="40" t="n">
        <x:v>14.8</x:v>
      </x:c>
      <x:c r="F2414" s="40" t="n">
        <x:v>13.612922668457031</x:v>
      </x:c>
      <x:c r="G2414" s="40" t="n">
        <x:v>14.9</x:v>
      </x:c>
      <x:c r="H2414" s="40" t="n">
        <x:f>F2414-E2414</x:f>
        <x:v>-1.1870773315429695</x:v>
      </x:c>
      <x:c r="I2414" s="40" t="n">
        <x:f>ABS(H2414)</x:f>
        <x:v>1.1870773315429695</x:v>
      </x:c>
      <x:c r="J2414" s="40" t="n">
        <x:f>H2414^2</x:f>
        <x:v>1.409152591063177</x:v>
      </x:c>
      <x:c r="K2414" s="40" t="n">
        <x:f>G2414-E2414</x:f>
        <x:v>0.09999999999999964</x:v>
      </x:c>
      <x:c r="L2414" s="40" t="n">
        <x:f>ABS(K2414)</x:f>
        <x:v>0.09999999999999964</x:v>
      </x:c>
      <x:c r="M2414" s="41" t="str">
        <x:v>lstm-soil-v1</x:v>
      </x:c>
    </x:row>
    <x:row r="2415">
      <x:c r="A2415" s="38" t="str">
        <x:v>7月30日现场数据</x:v>
      </x:c>
      <x:c r="B2415" s="39" t="str">
        <x:v>2026-08-02T15:45:00</x:v>
      </x:c>
      <x:c r="C2415" s="39" t="str">
        <x:v>2026-08-02T16:45:00</x:v>
      </x:c>
      <x:c r="D2415" s="47" t="n">
        <x:v>60</x:v>
      </x:c>
      <x:c r="E2415" s="40" t="n">
        <x:v>14.8</x:v>
      </x:c>
      <x:c r="F2415" s="40" t="n">
        <x:v>15.338470458984375</x:v>
      </x:c>
      <x:c r="G2415" s="40" t="n">
        <x:v>14.9</x:v>
      </x:c>
      <x:c r="H2415" s="40" t="n">
        <x:f>F2415-E2415</x:f>
        <x:v>0.5384704589843743</x:v>
      </x:c>
      <x:c r="I2415" s="40" t="n">
        <x:f>ABS(H2415)</x:f>
        <x:v>0.5384704589843743</x:v>
      </x:c>
      <x:c r="J2415" s="40" t="n">
        <x:f>H2415^2</x:f>
        <x:v>0.2899504351988427</x:v>
      </x:c>
      <x:c r="K2415" s="40" t="n">
        <x:f>G2415-E2415</x:f>
        <x:v>0.09999999999999964</x:v>
      </x:c>
      <x:c r="L2415" s="40" t="n">
        <x:f>ABS(K2415)</x:f>
        <x:v>0.09999999999999964</x:v>
      </x:c>
      <x:c r="M2415" s="41" t="str">
        <x:v>lstm-soil-v1</x:v>
      </x:c>
    </x:row>
    <x:row r="2416">
      <x:c r="A2416" s="38" t="str">
        <x:v>7月30日现场数据</x:v>
      </x:c>
      <x:c r="B2416" s="39" t="str">
        <x:v>2026-08-02T15:50:00</x:v>
      </x:c>
      <x:c r="C2416" s="39" t="str">
        <x:v>2026-08-02T15:55:00</x:v>
      </x:c>
      <x:c r="D2416" s="47" t="n">
        <x:v>5</x:v>
      </x:c>
      <x:c r="E2416" s="40" t="n">
        <x:v>14.8</x:v>
      </x:c>
      <x:c r="F2416" s="40" t="n">
        <x:v>13.05645751953125</x:v>
      </x:c>
      <x:c r="G2416" s="40" t="n">
        <x:v>14.8</x:v>
      </x:c>
      <x:c r="H2416" s="40" t="n">
        <x:f>F2416-E2416</x:f>
        <x:v>-1.7435424804687507</x:v>
      </x:c>
      <x:c r="I2416" s="40" t="n">
        <x:f>ABS(H2416)</x:f>
        <x:v>1.7435424804687507</x:v>
      </x:c>
      <x:c r="J2416" s="40" t="n">
        <x:f>H2416^2</x:f>
        <x:v>3.039940381199124</x:v>
      </x:c>
      <x:c r="K2416" s="40" t="n">
        <x:f>G2416-E2416</x:f>
        <x:v>0</x:v>
      </x:c>
      <x:c r="L2416" s="40" t="n">
        <x:f>ABS(K2416)</x:f>
        <x:v>0</x:v>
      </x:c>
      <x:c r="M2416" s="41" t="str">
        <x:v>lstm-soil-v1</x:v>
      </x:c>
    </x:row>
    <x:row r="2417">
      <x:c r="A2417" s="38" t="str">
        <x:v>7月30日现场数据</x:v>
      </x:c>
      <x:c r="B2417" s="39" t="str">
        <x:v>2026-08-02T15:50:00</x:v>
      </x:c>
      <x:c r="C2417" s="39" t="str">
        <x:v>2026-08-02T16:05:00</x:v>
      </x:c>
      <x:c r="D2417" s="47" t="n">
        <x:v>15</x:v>
      </x:c>
      <x:c r="E2417" s="40" t="n">
        <x:v>14.8</x:v>
      </x:c>
      <x:c r="F2417" s="40" t="n">
        <x:v>13.134395599365234</x:v>
      </x:c>
      <x:c r="G2417" s="40" t="n">
        <x:v>14.8</x:v>
      </x:c>
      <x:c r="H2417" s="40" t="n">
        <x:f>F2417-E2417</x:f>
        <x:v>-1.6656044006347663</x:v>
      </x:c>
      <x:c r="I2417" s="40" t="n">
        <x:f>ABS(H2417)</x:f>
        <x:v>1.6656044006347663</x:v>
      </x:c>
      <x:c r="J2417" s="40" t="n">
        <x:f>H2417^2</x:f>
        <x:v>2.7742380194138994</x:v>
      </x:c>
      <x:c r="K2417" s="40" t="n">
        <x:f>G2417-E2417</x:f>
        <x:v>0</x:v>
      </x:c>
      <x:c r="L2417" s="40" t="n">
        <x:f>ABS(K2417)</x:f>
        <x:v>0</x:v>
      </x:c>
      <x:c r="M2417" s="41" t="str">
        <x:v>lstm-soil-v1</x:v>
      </x:c>
    </x:row>
    <x:row r="2418">
      <x:c r="A2418" s="38" t="str">
        <x:v>7月30日现场数据</x:v>
      </x:c>
      <x:c r="B2418" s="39" t="str">
        <x:v>2026-08-02T15:50:00</x:v>
      </x:c>
      <x:c r="C2418" s="39" t="str">
        <x:v>2026-08-02T16:20:00</x:v>
      </x:c>
      <x:c r="D2418" s="47" t="n">
        <x:v>30</x:v>
      </x:c>
      <x:c r="E2418" s="40" t="n">
        <x:v>14.8</x:v>
      </x:c>
      <x:c r="F2418" s="40" t="n">
        <x:v>13.501937866210938</x:v>
      </x:c>
      <x:c r="G2418" s="40" t="n">
        <x:v>14.8</x:v>
      </x:c>
      <x:c r="H2418" s="40" t="n">
        <x:f>F2418-E2418</x:f>
        <x:v>-1.2980621337890632</x:v>
      </x:c>
      <x:c r="I2418" s="40" t="n">
        <x:f>ABS(H2418)</x:f>
        <x:v>1.2980621337890632</x:v>
      </x:c>
      <x:c r="J2418" s="40" t="n">
        <x:f>H2418^2</x:f>
        <x:v>1.6849653031770158</x:v>
      </x:c>
      <x:c r="K2418" s="40" t="n">
        <x:f>G2418-E2418</x:f>
        <x:v>0</x:v>
      </x:c>
      <x:c r="L2418" s="40" t="n">
        <x:f>ABS(K2418)</x:f>
        <x:v>0</x:v>
      </x:c>
      <x:c r="M2418" s="41" t="str">
        <x:v>lstm-soil-v1</x:v>
      </x:c>
    </x:row>
    <x:row r="2419">
      <x:c r="A2419" s="38" t="str">
        <x:v>7月30日现场数据</x:v>
      </x:c>
      <x:c r="B2419" s="39" t="str">
        <x:v>2026-08-02T15:50:00</x:v>
      </x:c>
      <x:c r="C2419" s="39" t="str">
        <x:v>2026-08-02T16:50:00</x:v>
      </x:c>
      <x:c r="D2419" s="47" t="n">
        <x:v>60</x:v>
      </x:c>
      <x:c r="E2419" s="40" t="n">
        <x:v>14.8</x:v>
      </x:c>
      <x:c r="F2419" s="40" t="n">
        <x:v>15.228775024414062</x:v>
      </x:c>
      <x:c r="G2419" s="40" t="n">
        <x:v>14.8</x:v>
      </x:c>
      <x:c r="H2419" s="40" t="n">
        <x:f>F2419-E2419</x:f>
        <x:v>0.4287750244140618</x:v>
      </x:c>
      <x:c r="I2419" s="40" t="n">
        <x:f>ABS(H2419)</x:f>
        <x:v>0.4287750244140618</x:v>
      </x:c>
      <x:c r="J2419" s="40" t="n">
        <x:f>H2419^2</x:f>
        <x:v>0.18384802156127927</x:v>
      </x:c>
      <x:c r="K2419" s="40" t="n">
        <x:f>G2419-E2419</x:f>
        <x:v>0</x:v>
      </x:c>
      <x:c r="L2419" s="40" t="n">
        <x:f>ABS(K2419)</x:f>
        <x:v>0</x:v>
      </x:c>
      <x:c r="M2419" s="41" t="str">
        <x:v>lstm-soil-v1</x:v>
      </x:c>
    </x:row>
    <x:row r="2420">
      <x:c r="A2420" s="38" t="str">
        <x:v>7月30日现场数据</x:v>
      </x:c>
      <x:c r="B2420" s="39" t="str">
        <x:v>2026-08-02T15:55:00</x:v>
      </x:c>
      <x:c r="C2420" s="39" t="str">
        <x:v>2026-08-02T16:00:00</x:v>
      </x:c>
      <x:c r="D2420" s="47" t="n">
        <x:v>5</x:v>
      </x:c>
      <x:c r="E2420" s="40" t="n">
        <x:v>14.8</x:v>
      </x:c>
      <x:c r="F2420" s="40" t="n">
        <x:v>13.05654525756836</x:v>
      </x:c>
      <x:c r="G2420" s="40" t="n">
        <x:v>14.8</x:v>
      </x:c>
      <x:c r="H2420" s="40" t="n">
        <x:f>F2420-E2420</x:f>
        <x:v>-1.7434547424316413</x:v>
      </x:c>
      <x:c r="I2420" s="40" t="n">
        <x:f>ABS(H2420)</x:f>
        <x:v>1.7434547424316413</x:v>
      </x:c>
      <x:c r="J2420" s="40" t="n">
        <x:f>H2420^2</x:f>
        <x:v>3.0396344389073806</x:v>
      </x:c>
      <x:c r="K2420" s="40" t="n">
        <x:f>G2420-E2420</x:f>
        <x:v>0</x:v>
      </x:c>
      <x:c r="L2420" s="40" t="n">
        <x:f>ABS(K2420)</x:f>
        <x:v>0</x:v>
      </x:c>
      <x:c r="M2420" s="41" t="str">
        <x:v>lstm-soil-v1</x:v>
      </x:c>
    </x:row>
    <x:row r="2421">
      <x:c r="A2421" s="38" t="str">
        <x:v>7月30日现场数据</x:v>
      </x:c>
      <x:c r="B2421" s="39" t="str">
        <x:v>2026-08-02T15:55:00</x:v>
      </x:c>
      <x:c r="C2421" s="39" t="str">
        <x:v>2026-08-02T16:10:00</x:v>
      </x:c>
      <x:c r="D2421" s="47" t="n">
        <x:v>15</x:v>
      </x:c>
      <x:c r="E2421" s="40" t="n">
        <x:v>14.8</x:v>
      </x:c>
      <x:c r="F2421" s="40" t="n">
        <x:v>13.133865356445312</x:v>
      </x:c>
      <x:c r="G2421" s="40" t="n">
        <x:v>14.8</x:v>
      </x:c>
      <x:c r="H2421" s="40" t="n">
        <x:f>F2421-E2421</x:f>
        <x:v>-1.6661346435546882</x:v>
      </x:c>
      <x:c r="I2421" s="40" t="n">
        <x:f>ABS(H2421)</x:f>
        <x:v>1.6661346435546882</x:v>
      </x:c>
      <x:c r="J2421" s="40" t="n">
        <x:f>H2421^2</x:f>
        <x:v>2.7760046504531077</x:v>
      </x:c>
      <x:c r="K2421" s="40" t="n">
        <x:f>G2421-E2421</x:f>
        <x:v>0</x:v>
      </x:c>
      <x:c r="L2421" s="40" t="n">
        <x:f>ABS(K2421)</x:f>
        <x:v>0</x:v>
      </x:c>
      <x:c r="M2421" s="41" t="str">
        <x:v>lstm-soil-v1</x:v>
      </x:c>
    </x:row>
    <x:row r="2422">
      <x:c r="A2422" s="38" t="str">
        <x:v>7月30日现场数据</x:v>
      </x:c>
      <x:c r="B2422" s="39" t="str">
        <x:v>2026-08-02T15:55:00</x:v>
      </x:c>
      <x:c r="C2422" s="39" t="str">
        <x:v>2026-08-02T16:25:00</x:v>
      </x:c>
      <x:c r="D2422" s="47" t="n">
        <x:v>30</x:v>
      </x:c>
      <x:c r="E2422" s="40" t="n">
        <x:v>14.8</x:v>
      </x:c>
      <x:c r="F2422" s="40" t="n">
        <x:v>13.501884460449219</x:v>
      </x:c>
      <x:c r="G2422" s="40" t="n">
        <x:v>14.8</x:v>
      </x:c>
      <x:c r="H2422" s="40" t="n">
        <x:f>F2422-E2422</x:f>
        <x:v>-1.298115539550782</x:v>
      </x:c>
      <x:c r="I2422" s="40" t="n">
        <x:f>ABS(H2422)</x:f>
        <x:v>1.298115539550782</x:v>
      </x:c>
      <x:c r="J2422" s="40" t="n">
        <x:f>H2422^2</x:f>
        <x:v>1.6851039540232178</x:v>
      </x:c>
      <x:c r="K2422" s="40" t="n">
        <x:f>G2422-E2422</x:f>
        <x:v>0</x:v>
      </x:c>
      <x:c r="L2422" s="40" t="n">
        <x:f>ABS(K2422)</x:f>
        <x:v>0</x:v>
      </x:c>
      <x:c r="M2422" s="41" t="str">
        <x:v>lstm-soil-v1</x:v>
      </x:c>
    </x:row>
    <x:row r="2423">
      <x:c r="A2423" s="38" t="str">
        <x:v>7月30日现场数据</x:v>
      </x:c>
      <x:c r="B2423" s="39" t="str">
        <x:v>2026-08-02T15:55:00</x:v>
      </x:c>
      <x:c r="C2423" s="39" t="str">
        <x:v>2026-08-02T16:55:00</x:v>
      </x:c>
      <x:c r="D2423" s="47" t="n">
        <x:v>60</x:v>
      </x:c>
      <x:c r="E2423" s="40" t="n">
        <x:v>14.8</x:v>
      </x:c>
      <x:c r="F2423" s="40" t="n">
        <x:v>15.229717254638672</x:v>
      </x:c>
      <x:c r="G2423" s="40" t="n">
        <x:v>14.8</x:v>
      </x:c>
      <x:c r="H2423" s="40" t="n">
        <x:f>F2423-E2423</x:f>
        <x:v>0.42971725463867116</x:v>
      </x:c>
      <x:c r="I2423" s="40" t="n">
        <x:f>ABS(H2423)</x:f>
        <x:v>0.42971725463867116</x:v>
      </x:c>
      <x:c r="J2423" s="40" t="n">
        <x:f>H2423^2</x:f>
        <x:v>0.18465691893419656</x:v>
      </x:c>
      <x:c r="K2423" s="40" t="n">
        <x:f>G2423-E2423</x:f>
        <x:v>0</x:v>
      </x:c>
      <x:c r="L2423" s="40" t="n">
        <x:f>ABS(K2423)</x:f>
        <x:v>0</x:v>
      </x:c>
      <x:c r="M2423" s="41" t="str">
        <x:v>lstm-soil-v1</x:v>
      </x:c>
    </x:row>
    <x:row r="2424">
      <x:c r="A2424" s="38" t="str">
        <x:v>7月30日现场数据</x:v>
      </x:c>
      <x:c r="B2424" s="39" t="str">
        <x:v>2026-08-02T16:00:00</x:v>
      </x:c>
      <x:c r="C2424" s="39" t="str">
        <x:v>2026-08-02T16:05:00</x:v>
      </x:c>
      <x:c r="D2424" s="47" t="n">
        <x:v>5</x:v>
      </x:c>
      <x:c r="E2424" s="40" t="n">
        <x:v>14.8</x:v>
      </x:c>
      <x:c r="F2424" s="40" t="n">
        <x:v>13.057979583740234</x:v>
      </x:c>
      <x:c r="G2424" s="40" t="n">
        <x:v>14.8</x:v>
      </x:c>
      <x:c r="H2424" s="40" t="n">
        <x:f>F2424-E2424</x:f>
        <x:v>-1.7420204162597663</x:v>
      </x:c>
      <x:c r="I2424" s="40" t="n">
        <x:f>ABS(H2424)</x:f>
        <x:v>1.7420204162597663</x:v>
      </x:c>
      <x:c r="J2424" s="40" t="n">
        <x:f>H2424^2</x:f>
        <x:v>3.0346351306658494</x:v>
      </x:c>
      <x:c r="K2424" s="40" t="n">
        <x:f>G2424-E2424</x:f>
        <x:v>0</x:v>
      </x:c>
      <x:c r="L2424" s="40" t="n">
        <x:f>ABS(K2424)</x:f>
        <x:v>0</x:v>
      </x:c>
      <x:c r="M2424" s="41" t="str">
        <x:v>lstm-soil-v1</x:v>
      </x:c>
    </x:row>
    <x:row r="2425">
      <x:c r="A2425" s="38" t="str">
        <x:v>7月30日现场数据</x:v>
      </x:c>
      <x:c r="B2425" s="39" t="str">
        <x:v>2026-08-02T16:00:00</x:v>
      </x:c>
      <x:c r="C2425" s="39" t="str">
        <x:v>2026-08-02T16:15:00</x:v>
      </x:c>
      <x:c r="D2425" s="47" t="n">
        <x:v>15</x:v>
      </x:c>
      <x:c r="E2425" s="40" t="n">
        <x:v>14.8</x:v>
      </x:c>
      <x:c r="F2425" s="40" t="n">
        <x:v>13.134651184082031</x:v>
      </x:c>
      <x:c r="G2425" s="40" t="n">
        <x:v>14.8</x:v>
      </x:c>
      <x:c r="H2425" s="40" t="n">
        <x:f>F2425-E2425</x:f>
        <x:v>-1.6653488159179695</x:v>
      </x:c>
      <x:c r="I2425" s="40" t="n">
        <x:f>ABS(H2425)</x:f>
        <x:v>1.6653488159179695</x:v>
      </x:c>
      <x:c r="J2425" s="40" t="n">
        <x:f>H2425^2</x:f>
        <x:v>2.773386678679383</x:v>
      </x:c>
      <x:c r="K2425" s="40" t="n">
        <x:f>G2425-E2425</x:f>
        <x:v>0</x:v>
      </x:c>
      <x:c r="L2425" s="40" t="n">
        <x:f>ABS(K2425)</x:f>
        <x:v>0</x:v>
      </x:c>
      <x:c r="M2425" s="41" t="str">
        <x:v>lstm-soil-v1</x:v>
      </x:c>
    </x:row>
    <x:row r="2426">
      <x:c r="A2426" s="38" t="str">
        <x:v>7月30日现场数据</x:v>
      </x:c>
      <x:c r="B2426" s="39" t="str">
        <x:v>2026-08-02T16:00:00</x:v>
      </x:c>
      <x:c r="C2426" s="39" t="str">
        <x:v>2026-08-02T16:30:00</x:v>
      </x:c>
      <x:c r="D2426" s="47" t="n">
        <x:v>30</x:v>
      </x:c>
      <x:c r="E2426" s="40" t="n">
        <x:v>14.8</x:v>
      </x:c>
      <x:c r="F2426" s="40" t="n">
        <x:v>13.503833770751953</x:v>
      </x:c>
      <x:c r="G2426" s="40" t="n">
        <x:v>14.8</x:v>
      </x:c>
      <x:c r="H2426" s="40" t="n">
        <x:f>F2426-E2426</x:f>
        <x:v>-1.2961662292480476</x:v>
      </x:c>
      <x:c r="I2426" s="40" t="n">
        <x:f>ABS(H2426)</x:f>
        <x:v>1.2961662292480476</x:v>
      </x:c>
      <x:c r="J2426" s="40" t="n">
        <x:f>H2426^2</x:f>
        <x:v>1.6800468938431024</x:v>
      </x:c>
      <x:c r="K2426" s="40" t="n">
        <x:f>G2426-E2426</x:f>
        <x:v>0</x:v>
      </x:c>
      <x:c r="L2426" s="40" t="n">
        <x:f>ABS(K2426)</x:f>
        <x:v>0</x:v>
      </x:c>
      <x:c r="M2426" s="41" t="str">
        <x:v>lstm-soil-v1</x:v>
      </x:c>
    </x:row>
    <x:row r="2427">
      <x:c r="A2427" s="38" t="str">
        <x:v>7月30日现场数据</x:v>
      </x:c>
      <x:c r="B2427" s="39" t="str">
        <x:v>2026-08-02T16:00:00</x:v>
      </x:c>
      <x:c r="C2427" s="39" t="str">
        <x:v>2026-08-02T17:00:00</x:v>
      </x:c>
      <x:c r="D2427" s="47" t="n">
        <x:v>60</x:v>
      </x:c>
      <x:c r="E2427" s="40" t="n">
        <x:v>14.7</x:v>
      </x:c>
      <x:c r="F2427" s="40" t="n">
        <x:v>15.231060028076172</x:v>
      </x:c>
      <x:c r="G2427" s="40" t="n">
        <x:v>14.8</x:v>
      </x:c>
      <x:c r="H2427" s="40" t="n">
        <x:f>F2427-E2427</x:f>
        <x:v>0.5310600280761726</x:v>
      </x:c>
      <x:c r="I2427" s="40" t="n">
        <x:f>ABS(H2427)</x:f>
        <x:v>0.5310600280761726</x:v>
      </x:c>
      <x:c r="J2427" s="40" t="n">
        <x:f>H2427^2</x:f>
        <x:v>0.28202475342026523</x:v>
      </x:c>
      <x:c r="K2427" s="40" t="n">
        <x:f>G2427-E2427</x:f>
        <x:v>0.10000000000000142</x:v>
      </x:c>
      <x:c r="L2427" s="40" t="n">
        <x:f>ABS(K2427)</x:f>
        <x:v>0.10000000000000142</x:v>
      </x:c>
      <x:c r="M2427" s="41" t="str">
        <x:v>lstm-soil-v1</x:v>
      </x:c>
    </x:row>
    <x:row r="2428">
      <x:c r="A2428" s="38" t="str">
        <x:v>7月30日现场数据</x:v>
      </x:c>
      <x:c r="B2428" s="39" t="str">
        <x:v>2026-08-02T16:05:00</x:v>
      </x:c>
      <x:c r="C2428" s="39" t="str">
        <x:v>2026-08-02T16:10:00</x:v>
      </x:c>
      <x:c r="D2428" s="47" t="n">
        <x:v>5</x:v>
      </x:c>
      <x:c r="E2428" s="40" t="n">
        <x:v>14.8</x:v>
      </x:c>
      <x:c r="F2428" s="40" t="n">
        <x:v>13.058692932128906</x:v>
      </x:c>
      <x:c r="G2428" s="40" t="n">
        <x:v>14.8</x:v>
      </x:c>
      <x:c r="H2428" s="40" t="n">
        <x:f>F2428-E2428</x:f>
        <x:v>-1.7413070678710945</x:v>
      </x:c>
      <x:c r="I2428" s="40" t="n">
        <x:f>ABS(H2428)</x:f>
        <x:v>1.7413070678710945</x:v>
      </x:c>
      <x:c r="J2428" s="40" t="n">
        <x:f>H2428^2</x:f>
        <x:v>3.0321503046178284</x:v>
      </x:c>
      <x:c r="K2428" s="40" t="n">
        <x:f>G2428-E2428</x:f>
        <x:v>0</x:v>
      </x:c>
      <x:c r="L2428" s="40" t="n">
        <x:f>ABS(K2428)</x:f>
        <x:v>0</x:v>
      </x:c>
      <x:c r="M2428" s="41" t="str">
        <x:v>lstm-soil-v1</x:v>
      </x:c>
    </x:row>
    <x:row r="2429">
      <x:c r="A2429" s="38" t="str">
        <x:v>7月30日现场数据</x:v>
      </x:c>
      <x:c r="B2429" s="39" t="str">
        <x:v>2026-08-02T16:05:00</x:v>
      </x:c>
      <x:c r="C2429" s="39" t="str">
        <x:v>2026-08-02T16:20:00</x:v>
      </x:c>
      <x:c r="D2429" s="47" t="n">
        <x:v>15</x:v>
      </x:c>
      <x:c r="E2429" s="40" t="n">
        <x:v>14.8</x:v>
      </x:c>
      <x:c r="F2429" s="40" t="n">
        <x:v>13.134651184082031</x:v>
      </x:c>
      <x:c r="G2429" s="40" t="n">
        <x:v>14.8</x:v>
      </x:c>
      <x:c r="H2429" s="40" t="n">
        <x:f>F2429-E2429</x:f>
        <x:v>-1.6653488159179695</x:v>
      </x:c>
      <x:c r="I2429" s="40" t="n">
        <x:f>ABS(H2429)</x:f>
        <x:v>1.6653488159179695</x:v>
      </x:c>
      <x:c r="J2429" s="40" t="n">
        <x:f>H2429^2</x:f>
        <x:v>2.773386678679383</x:v>
      </x:c>
      <x:c r="K2429" s="40" t="n">
        <x:f>G2429-E2429</x:f>
        <x:v>0</x:v>
      </x:c>
      <x:c r="L2429" s="40" t="n">
        <x:f>ABS(K2429)</x:f>
        <x:v>0</x:v>
      </x:c>
      <x:c r="M2429" s="41" t="str">
        <x:v>lstm-soil-v1</x:v>
      </x:c>
    </x:row>
    <x:row r="2430">
      <x:c r="A2430" s="38" t="str">
        <x:v>7月30日现场数据</x:v>
      </x:c>
      <x:c r="B2430" s="39" t="str">
        <x:v>2026-08-02T16:05:00</x:v>
      </x:c>
      <x:c r="C2430" s="39" t="str">
        <x:v>2026-08-02T16:35:00</x:v>
      </x:c>
      <x:c r="D2430" s="47" t="n">
        <x:v>30</x:v>
      </x:c>
      <x:c r="E2430" s="40" t="n">
        <x:v>14.8</x:v>
      </x:c>
      <x:c r="F2430" s="40" t="n">
        <x:v>13.503307342529297</x:v>
      </x:c>
      <x:c r="G2430" s="40" t="n">
        <x:v>14.8</x:v>
      </x:c>
      <x:c r="H2430" s="40" t="n">
        <x:f>F2430-E2430</x:f>
        <x:v>-1.2966926574707038</x:v>
      </x:c>
      <x:c r="I2430" s="40" t="n">
        <x:f>ABS(H2430)</x:f>
        <x:v>1.2966926574707038</x:v>
      </x:c>
      <x:c r="J2430" s="40" t="n">
        <x:f>H2430^2</x:f>
        <x:v>1.6814118479384361</x:v>
      </x:c>
      <x:c r="K2430" s="40" t="n">
        <x:f>G2430-E2430</x:f>
        <x:v>0</x:v>
      </x:c>
      <x:c r="L2430" s="40" t="n">
        <x:f>ABS(K2430)</x:f>
        <x:v>0</x:v>
      </x:c>
      <x:c r="M2430" s="41" t="str">
        <x:v>lstm-soil-v1</x:v>
      </x:c>
    </x:row>
    <x:row r="2431">
      <x:c r="A2431" s="38" t="str">
        <x:v>7月30日现场数据</x:v>
      </x:c>
      <x:c r="B2431" s="39" t="str">
        <x:v>2026-08-02T16:05:00</x:v>
      </x:c>
      <x:c r="C2431" s="39" t="str">
        <x:v>2026-08-02T17:05:00</x:v>
      </x:c>
      <x:c r="D2431" s="47" t="n">
        <x:v>60</x:v>
      </x:c>
      <x:c r="E2431" s="40" t="n">
        <x:v>14.8</x:v>
      </x:c>
      <x:c r="F2431" s="40" t="n">
        <x:v>15.232189178466797</x:v>
      </x:c>
      <x:c r="G2431" s="40" t="n">
        <x:v>14.8</x:v>
      </x:c>
      <x:c r="H2431" s="40" t="n">
        <x:f>F2431-E2431</x:f>
        <x:v>0.43218917846679616</x:v>
      </x:c>
      <x:c r="I2431" s="40" t="n">
        <x:f>ABS(H2431)</x:f>
        <x:v>0.43218917846679616</x:v>
      </x:c>
      <x:c r="J2431" s="40" t="n">
        <x:f>H2431^2</x:f>
        <x:v>0.18678748598380418</x:v>
      </x:c>
      <x:c r="K2431" s="40" t="n">
        <x:f>G2431-E2431</x:f>
        <x:v>0</x:v>
      </x:c>
      <x:c r="L2431" s="40" t="n">
        <x:f>ABS(K2431)</x:f>
        <x:v>0</x:v>
      </x:c>
      <x:c r="M2431" s="41" t="str">
        <x:v>lstm-soil-v1</x:v>
      </x:c>
    </x:row>
    <x:row r="2432">
      <x:c r="A2432" s="38" t="str">
        <x:v>7月30日现场数据</x:v>
      </x:c>
      <x:c r="B2432" s="39" t="str">
        <x:v>2026-08-02T16:10:00</x:v>
      </x:c>
      <x:c r="C2432" s="39" t="str">
        <x:v>2026-08-02T16:15:00</x:v>
      </x:c>
      <x:c r="D2432" s="47" t="n">
        <x:v>5</x:v>
      </x:c>
      <x:c r="E2432" s="40" t="n">
        <x:v>14.8</x:v>
      </x:c>
      <x:c r="F2432" s="40" t="n">
        <x:v>13.059532165527344</x:v>
      </x:c>
      <x:c r="G2432" s="40" t="n">
        <x:v>14.8</x:v>
      </x:c>
      <x:c r="H2432" s="40" t="n">
        <x:f>F2432-E2432</x:f>
        <x:v>-1.740467834472657</x:v>
      </x:c>
      <x:c r="I2432" s="40" t="n">
        <x:f>ABS(H2432)</x:f>
        <x:v>1.740467834472657</x:v>
      </x:c>
      <x:c r="J2432" s="40" t="n">
        <x:f>H2432^2</x:f>
        <x:v>3.02922828283394</x:v>
      </x:c>
      <x:c r="K2432" s="40" t="n">
        <x:f>G2432-E2432</x:f>
        <x:v>0</x:v>
      </x:c>
      <x:c r="L2432" s="40" t="n">
        <x:f>ABS(K2432)</x:f>
        <x:v>0</x:v>
      </x:c>
      <x:c r="M2432" s="41" t="str">
        <x:v>lstm-soil-v1</x:v>
      </x:c>
    </x:row>
    <x:row r="2433">
      <x:c r="A2433" s="38" t="str">
        <x:v>7月30日现场数据</x:v>
      </x:c>
      <x:c r="B2433" s="39" t="str">
        <x:v>2026-08-02T16:10:00</x:v>
      </x:c>
      <x:c r="C2433" s="39" t="str">
        <x:v>2026-08-02T16:25:00</x:v>
      </x:c>
      <x:c r="D2433" s="47" t="n">
        <x:v>15</x:v>
      </x:c>
      <x:c r="E2433" s="40" t="n">
        <x:v>14.8</x:v>
      </x:c>
      <x:c r="F2433" s="40" t="n">
        <x:v>13.138053894042969</x:v>
      </x:c>
      <x:c r="G2433" s="40" t="n">
        <x:v>14.8</x:v>
      </x:c>
      <x:c r="H2433" s="40" t="n">
        <x:f>F2433-E2433</x:f>
        <x:v>-1.661946105957032</x:v>
      </x:c>
      <x:c r="I2433" s="40" t="n">
        <x:f>ABS(H2433)</x:f>
        <x:v>1.661946105957032</x:v>
      </x:c>
      <x:c r="J2433" s="40" t="n">
        <x:f>H2433^2</x:f>
        <x:v>2.762064859105742</x:v>
      </x:c>
      <x:c r="K2433" s="40" t="n">
        <x:f>G2433-E2433</x:f>
        <x:v>0</x:v>
      </x:c>
      <x:c r="L2433" s="40" t="n">
        <x:f>ABS(K2433)</x:f>
        <x:v>0</x:v>
      </x:c>
      <x:c r="M2433" s="41" t="str">
        <x:v>lstm-soil-v1</x:v>
      </x:c>
    </x:row>
    <x:row r="2434">
      <x:c r="A2434" s="38" t="str">
        <x:v>7月30日现场数据</x:v>
      </x:c>
      <x:c r="B2434" s="39" t="str">
        <x:v>2026-08-02T16:10:00</x:v>
      </x:c>
      <x:c r="C2434" s="39" t="str">
        <x:v>2026-08-02T16:40:00</x:v>
      </x:c>
      <x:c r="D2434" s="47" t="n">
        <x:v>30</x:v>
      </x:c>
      <x:c r="E2434" s="40" t="n">
        <x:v>14.8</x:v>
      </x:c>
      <x:c r="F2434" s="40" t="n">
        <x:v>13.503215789794922</x:v>
      </x:c>
      <x:c r="G2434" s="40" t="n">
        <x:v>14.8</x:v>
      </x:c>
      <x:c r="H2434" s="40" t="n">
        <x:f>F2434-E2434</x:f>
        <x:v>-1.2967842102050788</x:v>
      </x:c>
      <x:c r="I2434" s="40" t="n">
        <x:f>ABS(H2434)</x:f>
        <x:v>1.2967842102050788</x:v>
      </x:c>
      <x:c r="J2434" s="40" t="n">
        <x:f>H2434^2</x:f>
        <x:v>1.68164928783721</x:v>
      </x:c>
      <x:c r="K2434" s="40" t="n">
        <x:f>G2434-E2434</x:f>
        <x:v>0</x:v>
      </x:c>
      <x:c r="L2434" s="40" t="n">
        <x:f>ABS(K2434)</x:f>
        <x:v>0</x:v>
      </x:c>
      <x:c r="M2434" s="41" t="str">
        <x:v>lstm-soil-v1</x:v>
      </x:c>
    </x:row>
    <x:row r="2435">
      <x:c r="A2435" s="38" t="str">
        <x:v>7月30日现场数据</x:v>
      </x:c>
      <x:c r="B2435" s="39" t="str">
        <x:v>2026-08-02T16:10:00</x:v>
      </x:c>
      <x:c r="C2435" s="39" t="str">
        <x:v>2026-08-02T17:10:00</x:v>
      </x:c>
      <x:c r="D2435" s="47" t="n">
        <x:v>60</x:v>
      </x:c>
      <x:c r="E2435" s="40" t="n">
        <x:v>14.8</x:v>
      </x:c>
      <x:c r="F2435" s="40" t="n">
        <x:v>15.236766815185547</x:v>
      </x:c>
      <x:c r="G2435" s="40" t="n">
        <x:v>14.8</x:v>
      </x:c>
      <x:c r="H2435" s="40" t="n">
        <x:f>F2435-E2435</x:f>
        <x:v>0.43676681518554616</x:v>
      </x:c>
      <x:c r="I2435" s="40" t="n">
        <x:f>ABS(H2435)</x:f>
        <x:v>0.43676681518554616</x:v>
      </x:c>
      <x:c r="J2435" s="40" t="n">
        <x:f>H2435^2</x:f>
        <x:v>0.19076525084732504</x:v>
      </x:c>
      <x:c r="K2435" s="40" t="n">
        <x:f>G2435-E2435</x:f>
        <x:v>0</x:v>
      </x:c>
      <x:c r="L2435" s="40" t="n">
        <x:f>ABS(K2435)</x:f>
        <x:v>0</x:v>
      </x:c>
      <x:c r="M2435" s="41" t="str">
        <x:v>lstm-soil-v1</x:v>
      </x:c>
    </x:row>
    <x:row r="2436">
      <x:c r="A2436" s="38" t="str">
        <x:v>7月30日现场数据</x:v>
      </x:c>
      <x:c r="B2436" s="39" t="str">
        <x:v>2026-08-02T16:15:00</x:v>
      </x:c>
      <x:c r="C2436" s="39" t="str">
        <x:v>2026-08-02T16:20:00</x:v>
      </x:c>
      <x:c r="D2436" s="47" t="n">
        <x:v>5</x:v>
      </x:c>
      <x:c r="E2436" s="40" t="n">
        <x:v>14.8</x:v>
      </x:c>
      <x:c r="F2436" s="40" t="n">
        <x:v>13.05502700805664</x:v>
      </x:c>
      <x:c r="G2436" s="40" t="n">
        <x:v>14.8</x:v>
      </x:c>
      <x:c r="H2436" s="40" t="n">
        <x:f>F2436-E2436</x:f>
        <x:v>-1.74497299194336</x:v>
      </x:c>
      <x:c r="I2436" s="40" t="n">
        <x:f>ABS(H2436)</x:f>
        <x:v>1.74497299194336</x:v>
      </x:c>
      <x:c r="J2436" s="40" t="n">
        <x:f>H2436^2</x:f>
        <x:v>3.0449307426117618</x:v>
      </x:c>
      <x:c r="K2436" s="40" t="n">
        <x:f>G2436-E2436</x:f>
        <x:v>0</x:v>
      </x:c>
      <x:c r="L2436" s="40" t="n">
        <x:f>ABS(K2436)</x:f>
        <x:v>0</x:v>
      </x:c>
      <x:c r="M2436" s="41" t="str">
        <x:v>lstm-soil-v1</x:v>
      </x:c>
    </x:row>
    <x:row r="2437">
      <x:c r="A2437" s="38" t="str">
        <x:v>7月30日现场数据</x:v>
      </x:c>
      <x:c r="B2437" s="39" t="str">
        <x:v>2026-08-02T16:15:00</x:v>
      </x:c>
      <x:c r="C2437" s="39" t="str">
        <x:v>2026-08-02T16:30:00</x:v>
      </x:c>
      <x:c r="D2437" s="47" t="n">
        <x:v>15</x:v>
      </x:c>
      <x:c r="E2437" s="40" t="n">
        <x:v>14.8</x:v>
      </x:c>
      <x:c r="F2437" s="40" t="n">
        <x:v>13.13601303100586</x:v>
      </x:c>
      <x:c r="G2437" s="40" t="n">
        <x:v>14.8</x:v>
      </x:c>
      <x:c r="H2437" s="40" t="n">
        <x:f>F2437-E2437</x:f>
        <x:v>-1.6639869689941413</x:v>
      </x:c>
      <x:c r="I2437" s="40" t="n">
        <x:f>ABS(H2437)</x:f>
        <x:v>1.6639869689941413</x:v>
      </x:c>
      <x:c r="J2437" s="40" t="n">
        <x:f>H2437^2</x:f>
        <x:v>2.7688526329823095</x:v>
      </x:c>
      <x:c r="K2437" s="40" t="n">
        <x:f>G2437-E2437</x:f>
        <x:v>0</x:v>
      </x:c>
      <x:c r="L2437" s="40" t="n">
        <x:f>ABS(K2437)</x:f>
        <x:v>0</x:v>
      </x:c>
      <x:c r="M2437" s="41" t="str">
        <x:v>lstm-soil-v1</x:v>
      </x:c>
    </x:row>
    <x:row r="2438">
      <x:c r="A2438" s="38" t="str">
        <x:v>7月30日现场数据</x:v>
      </x:c>
      <x:c r="B2438" s="39" t="str">
        <x:v>2026-08-02T16:15:00</x:v>
      </x:c>
      <x:c r="C2438" s="39" t="str">
        <x:v>2026-08-02T16:45:00</x:v>
      </x:c>
      <x:c r="D2438" s="47" t="n">
        <x:v>30</x:v>
      </x:c>
      <x:c r="E2438" s="40" t="n">
        <x:v>14.8</x:v>
      </x:c>
      <x:c r="F2438" s="40" t="n">
        <x:v>13.496585845947266</x:v>
      </x:c>
      <x:c r="G2438" s="40" t="n">
        <x:v>14.8</x:v>
      </x:c>
      <x:c r="H2438" s="40" t="n">
        <x:f>F2438-E2438</x:f>
        <x:v>-1.303414154052735</x:v>
      </x:c>
      <x:c r="I2438" s="40" t="n">
        <x:f>ABS(H2438)</x:f>
        <x:v>1.303414154052735</x:v>
      </x:c>
      <x:c r="J2438" s="40" t="n">
        <x:f>H2438^2</x:f>
        <x:v>1.6988884569850071</x:v>
      </x:c>
      <x:c r="K2438" s="40" t="n">
        <x:f>G2438-E2438</x:f>
        <x:v>0</x:v>
      </x:c>
      <x:c r="L2438" s="40" t="n">
        <x:f>ABS(K2438)</x:f>
        <x:v>0</x:v>
      </x:c>
      <x:c r="M2438" s="41" t="str">
        <x:v>lstm-soil-v1</x:v>
      </x:c>
    </x:row>
    <x:row r="2439">
      <x:c r="A2439" s="38" t="str">
        <x:v>7月30日现场数据</x:v>
      </x:c>
      <x:c r="B2439" s="39" t="str">
        <x:v>2026-08-02T16:15:00</x:v>
      </x:c>
      <x:c r="C2439" s="39" t="str">
        <x:v>2026-08-02T17:15:00</x:v>
      </x:c>
      <x:c r="D2439" s="47" t="n">
        <x:v>60</x:v>
      </x:c>
      <x:c r="E2439" s="40" t="n">
        <x:v>14.7</x:v>
      </x:c>
      <x:c r="F2439" s="40" t="n">
        <x:v>15.228931427001953</x:v>
      </x:c>
      <x:c r="G2439" s="40" t="n">
        <x:v>14.8</x:v>
      </x:c>
      <x:c r="H2439" s="40" t="n">
        <x:f>F2439-E2439</x:f>
        <x:v>0.5289314270019538</x:v>
      </x:c>
      <x:c r="I2439" s="40" t="n">
        <x:f>ABS(H2439)</x:f>
        <x:v>0.5289314270019538</x:v>
      </x:c>
      <x:c r="J2439" s="40" t="n">
        <x:f>H2439^2</x:f>
        <x:v>0.2797684544703232</x:v>
      </x:c>
      <x:c r="K2439" s="40" t="n">
        <x:f>G2439-E2439</x:f>
        <x:v>0.10000000000000142</x:v>
      </x:c>
      <x:c r="L2439" s="40" t="n">
        <x:f>ABS(K2439)</x:f>
        <x:v>0.10000000000000142</x:v>
      </x:c>
      <x:c r="M2439" s="41" t="str">
        <x:v>lstm-soil-v1</x:v>
      </x:c>
    </x:row>
    <x:row r="2440">
      <x:c r="A2440" s="38" t="str">
        <x:v>7月30日现场数据</x:v>
      </x:c>
      <x:c r="B2440" s="39" t="str">
        <x:v>2026-08-02T16:20:00</x:v>
      </x:c>
      <x:c r="C2440" s="39" t="str">
        <x:v>2026-08-02T16:25:00</x:v>
      </x:c>
      <x:c r="D2440" s="47" t="n">
        <x:v>5</x:v>
      </x:c>
      <x:c r="E2440" s="40" t="n">
        <x:v>14.8</x:v>
      </x:c>
      <x:c r="F2440" s="40" t="n">
        <x:v>13.054122924804688</x:v>
      </x:c>
      <x:c r="G2440" s="40" t="n">
        <x:v>14.8</x:v>
      </x:c>
      <x:c r="H2440" s="40" t="n">
        <x:f>F2440-E2440</x:f>
        <x:v>-1.7458770751953132</x:v>
      </x:c>
      <x:c r="I2440" s="40" t="n">
        <x:f>ABS(H2440)</x:f>
        <x:v>1.7458770751953132</x:v>
      </x:c>
      <x:c r="J2440" s="40" t="n">
        <x:f>H2440^2</x:f>
        <x:v>3.0480867616925416</x:v>
      </x:c>
      <x:c r="K2440" s="40" t="n">
        <x:f>G2440-E2440</x:f>
        <x:v>0</x:v>
      </x:c>
      <x:c r="L2440" s="40" t="n">
        <x:f>ABS(K2440)</x:f>
        <x:v>0</x:v>
      </x:c>
      <x:c r="M2440" s="41" t="str">
        <x:v>lstm-soil-v1</x:v>
      </x:c>
    </x:row>
    <x:row r="2441">
      <x:c r="A2441" s="38" t="str">
        <x:v>7月30日现场数据</x:v>
      </x:c>
      <x:c r="B2441" s="39" t="str">
        <x:v>2026-08-02T16:20:00</x:v>
      </x:c>
      <x:c r="C2441" s="39" t="str">
        <x:v>2026-08-02T16:35:00</x:v>
      </x:c>
      <x:c r="D2441" s="47" t="n">
        <x:v>15</x:v>
      </x:c>
      <x:c r="E2441" s="40" t="n">
        <x:v>14.8</x:v>
      </x:c>
      <x:c r="F2441" s="40" t="n">
        <x:v>13.134296417236328</x:v>
      </x:c>
      <x:c r="G2441" s="40" t="n">
        <x:v>14.8</x:v>
      </x:c>
      <x:c r="H2441" s="40" t="n">
        <x:f>F2441-E2441</x:f>
        <x:v>-1.6657035827636726</x:v>
      </x:c>
      <x:c r="I2441" s="40" t="n">
        <x:f>ABS(H2441)</x:f>
        <x:v>1.6657035827636726</x:v>
      </x:c>
      <x:c r="J2441" s="40" t="n">
        <x:f>H2441^2</x:f>
        <x:v>2.774568425631735</x:v>
      </x:c>
      <x:c r="K2441" s="40" t="n">
        <x:f>G2441-E2441</x:f>
        <x:v>0</x:v>
      </x:c>
      <x:c r="L2441" s="40" t="n">
        <x:f>ABS(K2441)</x:f>
        <x:v>0</x:v>
      </x:c>
      <x:c r="M2441" s="41" t="str">
        <x:v>lstm-soil-v1</x:v>
      </x:c>
    </x:row>
    <x:row r="2442">
      <x:c r="A2442" s="38" t="str">
        <x:v>7月30日现场数据</x:v>
      </x:c>
      <x:c r="B2442" s="39" t="str">
        <x:v>2026-08-02T16:20:00</x:v>
      </x:c>
      <x:c r="C2442" s="39" t="str">
        <x:v>2026-08-02T16:50:00</x:v>
      </x:c>
      <x:c r="D2442" s="47" t="n">
        <x:v>30</x:v>
      </x:c>
      <x:c r="E2442" s="40" t="n">
        <x:v>14.8</x:v>
      </x:c>
      <x:c r="F2442" s="40" t="n">
        <x:v>13.494857788085938</x:v>
      </x:c>
      <x:c r="G2442" s="40" t="n">
        <x:v>14.8</x:v>
      </x:c>
      <x:c r="H2442" s="40" t="n">
        <x:f>F2442-E2442</x:f>
        <x:v>-1.3051422119140632</x:v>
      </x:c>
      <x:c r="I2442" s="40" t="n">
        <x:f>ABS(H2442)</x:f>
        <x:v>1.3051422119140632</x:v>
      </x:c>
      <x:c r="J2442" s="40" t="n">
        <x:f>H2442^2</x:f>
        <x:v>1.7033961933199335</x:v>
      </x:c>
      <x:c r="K2442" s="40" t="n">
        <x:f>G2442-E2442</x:f>
        <x:v>0</x:v>
      </x:c>
      <x:c r="L2442" s="40" t="n">
        <x:f>ABS(K2442)</x:f>
        <x:v>0</x:v>
      </x:c>
      <x:c r="M2442" s="41" t="str">
        <x:v>lstm-soil-v1</x:v>
      </x:c>
    </x:row>
    <x:row r="2443">
      <x:c r="A2443" s="38" t="str">
        <x:v>7月30日现场数据</x:v>
      </x:c>
      <x:c r="B2443" s="39" t="str">
        <x:v>2026-08-02T16:20:00</x:v>
      </x:c>
      <x:c r="C2443" s="39" t="str">
        <x:v>2026-08-02T17:20:00</x:v>
      </x:c>
      <x:c r="D2443" s="47" t="n">
        <x:v>60</x:v>
      </x:c>
      <x:c r="E2443" s="40" t="n">
        <x:v>14.8</x:v>
      </x:c>
      <x:c r="F2443" s="40" t="n">
        <x:v>15.228565216064453</x:v>
      </x:c>
      <x:c r="G2443" s="40" t="n">
        <x:v>14.8</x:v>
      </x:c>
      <x:c r="H2443" s="40" t="n">
        <x:f>F2443-E2443</x:f>
        <x:v>0.4285652160644524</x:v>
      </x:c>
      <x:c r="I2443" s="40" t="n">
        <x:f>ABS(H2443)</x:f>
        <x:v>0.4285652160644524</x:v>
      </x:c>
      <x:c r="J2443" s="40" t="n">
        <x:f>H2443^2</x:f>
        <x:v>0.18366814442037077</x:v>
      </x:c>
      <x:c r="K2443" s="40" t="n">
        <x:f>G2443-E2443</x:f>
        <x:v>0</x:v>
      </x:c>
      <x:c r="L2443" s="40" t="n">
        <x:f>ABS(K2443)</x:f>
        <x:v>0</x:v>
      </x:c>
      <x:c r="M2443" s="41" t="str">
        <x:v>lstm-soil-v1</x:v>
      </x:c>
    </x:row>
    <x:row r="2444">
      <x:c r="A2444" s="38" t="str">
        <x:v>7月30日现场数据</x:v>
      </x:c>
      <x:c r="B2444" s="39" t="str">
        <x:v>2026-08-02T16:25:00</x:v>
      </x:c>
      <x:c r="C2444" s="39" t="str">
        <x:v>2026-08-02T16:30:00</x:v>
      </x:c>
      <x:c r="D2444" s="47" t="n">
        <x:v>5</x:v>
      </x:c>
      <x:c r="E2444" s="40" t="n">
        <x:v>14.8</x:v>
      </x:c>
      <x:c r="F2444" s="40" t="n">
        <x:v>13.053688049316406</x:v>
      </x:c>
      <x:c r="G2444" s="40" t="n">
        <x:v>14.8</x:v>
      </x:c>
      <x:c r="H2444" s="40" t="n">
        <x:f>F2444-E2444</x:f>
        <x:v>-1.7463119506835945</x:v>
      </x:c>
      <x:c r="I2444" s="40" t="n">
        <x:f>ABS(H2444)</x:f>
        <x:v>1.7463119506835945</x:v>
      </x:c>
      <x:c r="J2444" s="40" t="n">
        <x:f>H2444^2</x:f>
        <x:v>3.0496054291003407</x:v>
      </x:c>
      <x:c r="K2444" s="40" t="n">
        <x:f>G2444-E2444</x:f>
        <x:v>0</x:v>
      </x:c>
      <x:c r="L2444" s="40" t="n">
        <x:f>ABS(K2444)</x:f>
        <x:v>0</x:v>
      </x:c>
      <x:c r="M2444" s="41" t="str">
        <x:v>lstm-soil-v1</x:v>
      </x:c>
    </x:row>
    <x:row r="2445">
      <x:c r="A2445" s="38" t="str">
        <x:v>7月30日现场数据</x:v>
      </x:c>
      <x:c r="B2445" s="39" t="str">
        <x:v>2026-08-02T16:25:00</x:v>
      </x:c>
      <x:c r="C2445" s="39" t="str">
        <x:v>2026-08-02T16:40:00</x:v>
      </x:c>
      <x:c r="D2445" s="47" t="n">
        <x:v>15</x:v>
      </x:c>
      <x:c r="E2445" s="40" t="n">
        <x:v>14.8</x:v>
      </x:c>
      <x:c r="F2445" s="40" t="n">
        <x:v>13.133132934570312</x:v>
      </x:c>
      <x:c r="G2445" s="40" t="n">
        <x:v>14.8</x:v>
      </x:c>
      <x:c r="H2445" s="40" t="n">
        <x:f>F2445-E2445</x:f>
        <x:v>-1.6668670654296882</x:v>
      </x:c>
      <x:c r="I2445" s="40" t="n">
        <x:f>ABS(H2445)</x:f>
        <x:v>1.6668670654296882</x:v>
      </x:c>
      <x:c r="J2445" s="40" t="n">
        <x:f>H2445^2</x:f>
        <x:v>2.7784458138141805</x:v>
      </x:c>
      <x:c r="K2445" s="40" t="n">
        <x:f>G2445-E2445</x:f>
        <x:v>0</x:v>
      </x:c>
      <x:c r="L2445" s="40" t="n">
        <x:f>ABS(K2445)</x:f>
        <x:v>0</x:v>
      </x:c>
      <x:c r="M2445" s="41" t="str">
        <x:v>lstm-soil-v1</x:v>
      </x:c>
    </x:row>
    <x:row r="2446">
      <x:c r="A2446" s="38" t="str">
        <x:v>7月30日现场数据</x:v>
      </x:c>
      <x:c r="B2446" s="39" t="str">
        <x:v>2026-08-02T16:25:00</x:v>
      </x:c>
      <x:c r="C2446" s="39" t="str">
        <x:v>2026-08-02T16:55:00</x:v>
      </x:c>
      <x:c r="D2446" s="47" t="n">
        <x:v>30</x:v>
      </x:c>
      <x:c r="E2446" s="40" t="n">
        <x:v>14.8</x:v>
      </x:c>
      <x:c r="F2446" s="40" t="n">
        <x:v>13.494098663330078</x:v>
      </x:c>
      <x:c r="G2446" s="40" t="n">
        <x:v>14.8</x:v>
      </x:c>
      <x:c r="H2446" s="40" t="n">
        <x:f>F2446-E2446</x:f>
        <x:v>-1.3059013366699226</x:v>
      </x:c>
      <x:c r="I2446" s="40" t="n">
        <x:f>ABS(H2446)</x:f>
        <x:v>1.3059013366699226</x:v>
      </x:c>
      <x:c r="J2446" s="40" t="n">
        <x:f>H2446^2</x:f>
        <x:v>1.7053783011162904</x:v>
      </x:c>
      <x:c r="K2446" s="40" t="n">
        <x:f>G2446-E2446</x:f>
        <x:v>0</x:v>
      </x:c>
      <x:c r="L2446" s="40" t="n">
        <x:f>ABS(K2446)</x:f>
        <x:v>0</x:v>
      </x:c>
      <x:c r="M2446" s="41" t="str">
        <x:v>lstm-soil-v1</x:v>
      </x:c>
    </x:row>
    <x:row r="2447">
      <x:c r="A2447" s="38" t="str">
        <x:v>7月30日现场数据</x:v>
      </x:c>
      <x:c r="B2447" s="39" t="str">
        <x:v>2026-08-02T16:25:00</x:v>
      </x:c>
      <x:c r="C2447" s="39" t="str">
        <x:v>2026-08-02T17:25:00</x:v>
      </x:c>
      <x:c r="D2447" s="47" t="n">
        <x:v>60</x:v>
      </x:c>
      <x:c r="E2447" s="40" t="n">
        <x:v>14.8</x:v>
      </x:c>
      <x:c r="F2447" s="40" t="n">
        <x:v>15.228530883789062</x:v>
      </x:c>
      <x:c r="G2447" s="40" t="n">
        <x:v>14.8</x:v>
      </x:c>
      <x:c r="H2447" s="40" t="n">
        <x:f>F2447-E2447</x:f>
        <x:v>0.4285308837890618</x:v>
      </x:c>
      <x:c r="I2447" s="40" t="n">
        <x:f>ABS(H2447)</x:f>
        <x:v>0.4285308837890618</x:v>
      </x:c>
      <x:c r="J2447" s="40" t="n">
        <x:f>H2447^2</x:f>
        <x:v>0.18363871836103438</x:v>
      </x:c>
      <x:c r="K2447" s="40" t="n">
        <x:f>G2447-E2447</x:f>
        <x:v>0</x:v>
      </x:c>
      <x:c r="L2447" s="40" t="n">
        <x:f>ABS(K2447)</x:f>
        <x:v>0</x:v>
      </x:c>
      <x:c r="M2447" s="41" t="str">
        <x:v>lstm-soil-v1</x:v>
      </x:c>
    </x:row>
    <x:row r="2448">
      <x:c r="A2448" s="38" t="str">
        <x:v>7月30日现场数据</x:v>
      </x:c>
      <x:c r="B2448" s="39" t="str">
        <x:v>2026-08-02T16:30:00</x:v>
      </x:c>
      <x:c r="C2448" s="39" t="str">
        <x:v>2026-08-02T16:35:00</x:v>
      </x:c>
      <x:c r="D2448" s="47" t="n">
        <x:v>5</x:v>
      </x:c>
      <x:c r="E2448" s="40" t="n">
        <x:v>14.8</x:v>
      </x:c>
      <x:c r="F2448" s="40" t="n">
        <x:v>13.053962707519531</x:v>
      </x:c>
      <x:c r="G2448" s="40" t="n">
        <x:v>14.8</x:v>
      </x:c>
      <x:c r="H2448" s="40" t="n">
        <x:f>F2448-E2448</x:f>
        <x:v>-1.7460372924804695</x:v>
      </x:c>
      <x:c r="I2448" s="40" t="n">
        <x:f>ABS(H2448)</x:f>
        <x:v>1.7460372924804695</x:v>
      </x:c>
      <x:c r="J2448" s="40" t="n">
        <x:f>H2448^2</x:f>
        <x:v>3.0486462267325285</x:v>
      </x:c>
      <x:c r="K2448" s="40" t="n">
        <x:f>G2448-E2448</x:f>
        <x:v>0</x:v>
      </x:c>
      <x:c r="L2448" s="40" t="n">
        <x:f>ABS(K2448)</x:f>
        <x:v>0</x:v>
      </x:c>
      <x:c r="M2448" s="41" t="str">
        <x:v>lstm-soil-v1</x:v>
      </x:c>
    </x:row>
    <x:row r="2449">
      <x:c r="A2449" s="38" t="str">
        <x:v>7月30日现场数据</x:v>
      </x:c>
      <x:c r="B2449" s="39" t="str">
        <x:v>2026-08-02T16:30:00</x:v>
      </x:c>
      <x:c r="C2449" s="39" t="str">
        <x:v>2026-08-02T16:45:00</x:v>
      </x:c>
      <x:c r="D2449" s="47" t="n">
        <x:v>15</x:v>
      </x:c>
      <x:c r="E2449" s="40" t="n">
        <x:v>14.8</x:v>
      </x:c>
      <x:c r="F2449" s="40" t="n">
        <x:v>13.132514953613281</x:v>
      </x:c>
      <x:c r="G2449" s="40" t="n">
        <x:v>14.8</x:v>
      </x:c>
      <x:c r="H2449" s="40" t="n">
        <x:f>F2449-E2449</x:f>
        <x:v>-1.6674850463867195</x:v>
      </x:c>
      <x:c r="I2449" s="40" t="n">
        <x:f>ABS(H2449)</x:f>
        <x:v>1.6674850463867195</x:v>
      </x:c>
      <x:c r="J2449" s="40" t="n">
        <x:f>H2449^2</x:f>
        <x:v>2.78050637992332</x:v>
      </x:c>
      <x:c r="K2449" s="40" t="n">
        <x:f>G2449-E2449</x:f>
        <x:v>0</x:v>
      </x:c>
      <x:c r="L2449" s="40" t="n">
        <x:f>ABS(K2449)</x:f>
        <x:v>0</x:v>
      </x:c>
      <x:c r="M2449" s="41" t="str">
        <x:v>lstm-soil-v1</x:v>
      </x:c>
    </x:row>
    <x:row r="2450">
      <x:c r="A2450" s="38" t="str">
        <x:v>7月30日现场数据</x:v>
      </x:c>
      <x:c r="B2450" s="39" t="str">
        <x:v>2026-08-02T16:30:00</x:v>
      </x:c>
      <x:c r="C2450" s="39" t="str">
        <x:v>2026-08-02T17:00:00</x:v>
      </x:c>
      <x:c r="D2450" s="47" t="n">
        <x:v>30</x:v>
      </x:c>
      <x:c r="E2450" s="40" t="n">
        <x:v>14.7</x:v>
      </x:c>
      <x:c r="F2450" s="40" t="n">
        <x:v>13.494483947753906</x:v>
      </x:c>
      <x:c r="G2450" s="40" t="n">
        <x:v>14.8</x:v>
      </x:c>
      <x:c r="H2450" s="40" t="n">
        <x:f>F2450-E2450</x:f>
        <x:v>-1.205516052246093</x:v>
      </x:c>
      <x:c r="I2450" s="40" t="n">
        <x:f>ABS(H2450)</x:f>
        <x:v>1.205516052246093</x:v>
      </x:c>
      <x:c r="J2450" s="40" t="n">
        <x:f>H2450^2</x:f>
        <x:v>1.453268952223005</x:v>
      </x:c>
      <x:c r="K2450" s="40" t="n">
        <x:f>G2450-E2450</x:f>
        <x:v>0.10000000000000142</x:v>
      </x:c>
      <x:c r="L2450" s="40" t="n">
        <x:f>ABS(K2450)</x:f>
        <x:v>0.10000000000000142</x:v>
      </x:c>
      <x:c r="M2450" s="41" t="str">
        <x:v>lstm-soil-v1</x:v>
      </x:c>
    </x:row>
    <x:row r="2451">
      <x:c r="A2451" s="38" t="str">
        <x:v>7月30日现场数据</x:v>
      </x:c>
      <x:c r="B2451" s="39" t="str">
        <x:v>2026-08-02T16:30:00</x:v>
      </x:c>
      <x:c r="C2451" s="39" t="str">
        <x:v>2026-08-02T17:30:00</x:v>
      </x:c>
      <x:c r="D2451" s="47" t="n">
        <x:v>60</x:v>
      </x:c>
      <x:c r="E2451" s="40" t="n">
        <x:v>14.8</x:v>
      </x:c>
      <x:c r="F2451" s="40" t="n">
        <x:v>15.229755401611328</x:v>
      </x:c>
      <x:c r="G2451" s="40" t="n">
        <x:v>14.8</x:v>
      </x:c>
      <x:c r="H2451" s="40" t="n">
        <x:f>F2451-E2451</x:f>
        <x:v>0.4297554016113274</x:v>
      </x:c>
      <x:c r="I2451" s="40" t="n">
        <x:f>ABS(H2451)</x:f>
        <x:v>0.4297554016113274</x:v>
      </x:c>
      <x:c r="J2451" s="40" t="n">
        <x:f>H2451^2</x:f>
        <x:v>0.18468970521411332</x:v>
      </x:c>
      <x:c r="K2451" s="40" t="n">
        <x:f>G2451-E2451</x:f>
        <x:v>0</x:v>
      </x:c>
      <x:c r="L2451" s="40" t="n">
        <x:f>ABS(K2451)</x:f>
        <x:v>0</x:v>
      </x:c>
      <x:c r="M2451" s="41" t="str">
        <x:v>lstm-soil-v1</x:v>
      </x:c>
    </x:row>
    <x:row r="2452">
      <x:c r="A2452" s="38" t="str">
        <x:v>7月30日现场数据</x:v>
      </x:c>
      <x:c r="B2452" s="39" t="str">
        <x:v>2026-08-02T16:35:00</x:v>
      </x:c>
      <x:c r="C2452" s="39" t="str">
        <x:v>2026-08-02T16:40:00</x:v>
      </x:c>
      <x:c r="D2452" s="47" t="n">
        <x:v>5</x:v>
      </x:c>
      <x:c r="E2452" s="40" t="n">
        <x:v>14.8</x:v>
      </x:c>
      <x:c r="F2452" s="40" t="n">
        <x:v>13.053840637207031</x:v>
      </x:c>
      <x:c r="G2452" s="40" t="n">
        <x:v>14.8</x:v>
      </x:c>
      <x:c r="H2452" s="40" t="n">
        <x:f>F2452-E2452</x:f>
        <x:v>-1.7461593627929695</x:v>
      </x:c>
      <x:c r="I2452" s="40" t="n">
        <x:f>ABS(H2452)</x:f>
        <x:v>1.7461593627929695</x:v>
      </x:c>
      <x:c r="J2452" s="40" t="n">
        <x:f>H2452^2</x:f>
        <x:v>3.049072520269549</x:v>
      </x:c>
      <x:c r="K2452" s="40" t="n">
        <x:f>G2452-E2452</x:f>
        <x:v>0</x:v>
      </x:c>
      <x:c r="L2452" s="40" t="n">
        <x:f>ABS(K2452)</x:f>
        <x:v>0</x:v>
      </x:c>
      <x:c r="M2452" s="41" t="str">
        <x:v>lstm-soil-v1</x:v>
      </x:c>
    </x:row>
    <x:row r="2453">
      <x:c r="A2453" s="38" t="str">
        <x:v>7月30日现场数据</x:v>
      </x:c>
      <x:c r="B2453" s="39" t="str">
        <x:v>2026-08-02T16:35:00</x:v>
      </x:c>
      <x:c r="C2453" s="39" t="str">
        <x:v>2026-08-02T16:50:00</x:v>
      </x:c>
      <x:c r="D2453" s="47" t="n">
        <x:v>15</x:v>
      </x:c>
      <x:c r="E2453" s="40" t="n">
        <x:v>14.8</x:v>
      </x:c>
      <x:c r="F2453" s="40" t="n">
        <x:v>13.13201904296875</x:v>
      </x:c>
      <x:c r="G2453" s="40" t="n">
        <x:v>14.8</x:v>
      </x:c>
      <x:c r="H2453" s="40" t="n">
        <x:f>F2453-E2453</x:f>
        <x:v>-1.6679809570312507</x:v>
      </x:c>
      <x:c r="I2453" s="40" t="n">
        <x:f>ABS(H2453)</x:f>
        <x:v>1.6679809570312507</x:v>
      </x:c>
      <x:c r="J2453" s="40" t="n">
        <x:f>H2453^2</x:f>
        <x:v>2.782160473018887</x:v>
      </x:c>
      <x:c r="K2453" s="40" t="n">
        <x:f>G2453-E2453</x:f>
        <x:v>0</x:v>
      </x:c>
      <x:c r="L2453" s="40" t="n">
        <x:f>ABS(K2453)</x:f>
        <x:v>0</x:v>
      </x:c>
      <x:c r="M2453" s="41" t="str">
        <x:v>lstm-soil-v1</x:v>
      </x:c>
    </x:row>
    <x:row r="2454">
      <x:c r="A2454" s="38" t="str">
        <x:v>7月30日现场数据</x:v>
      </x:c>
      <x:c r="B2454" s="39" t="str">
        <x:v>2026-08-02T16:35:00</x:v>
      </x:c>
      <x:c r="C2454" s="39" t="str">
        <x:v>2026-08-02T17:05:00</x:v>
      </x:c>
      <x:c r="D2454" s="47" t="n">
        <x:v>30</x:v>
      </x:c>
      <x:c r="E2454" s="40" t="n">
        <x:v>14.8</x:v>
      </x:c>
      <x:c r="F2454" s="40" t="n">
        <x:v>13.494400024414062</x:v>
      </x:c>
      <x:c r="G2454" s="40" t="n">
        <x:v>14.8</x:v>
      </x:c>
      <x:c r="H2454" s="40" t="n">
        <x:f>F2454-E2454</x:f>
        <x:v>-1.3055999755859382</x:v>
      </x:c>
      <x:c r="I2454" s="40" t="n">
        <x:f>ABS(H2454)</x:f>
        <x:v>1.3055999755859382</x:v>
      </x:c>
      <x:c r="J2454" s="40" t="n">
        <x:f>H2454^2</x:f>
        <x:v>1.7045912962500025</x:v>
      </x:c>
      <x:c r="K2454" s="40" t="n">
        <x:f>G2454-E2454</x:f>
        <x:v>0</x:v>
      </x:c>
      <x:c r="L2454" s="40" t="n">
        <x:f>ABS(K2454)</x:f>
        <x:v>0</x:v>
      </x:c>
      <x:c r="M2454" s="41" t="str">
        <x:v>lstm-soil-v1</x:v>
      </x:c>
    </x:row>
    <x:row r="2455">
      <x:c r="A2455" s="38" t="str">
        <x:v>7月30日现场数据</x:v>
      </x:c>
      <x:c r="B2455" s="39" t="str">
        <x:v>2026-08-02T16:35:00</x:v>
      </x:c>
      <x:c r="C2455" s="39" t="str">
        <x:v>2026-08-02T17:35:00</x:v>
      </x:c>
      <x:c r="D2455" s="47" t="n">
        <x:v>60</x:v>
      </x:c>
      <x:c r="E2455" s="40" t="n">
        <x:v>14.8</x:v>
      </x:c>
      <x:c r="F2455" s="40" t="n">
        <x:v>15.230239868164062</x:v>
      </x:c>
      <x:c r="G2455" s="40" t="n">
        <x:v>14.8</x:v>
      </x:c>
      <x:c r="H2455" s="40" t="n">
        <x:f>F2455-E2455</x:f>
        <x:v>0.4302398681640618</x:v>
      </x:c>
      <x:c r="I2455" s="40" t="n">
        <x:f>ABS(H2455)</x:f>
        <x:v>0.4302398681640618</x:v>
      </x:c>
      <x:c r="J2455" s="40" t="n">
        <x:f>H2455^2</x:f>
        <x:v>0.18510634415782926</x:v>
      </x:c>
      <x:c r="K2455" s="40" t="n">
        <x:f>G2455-E2455</x:f>
        <x:v>0</x:v>
      </x:c>
      <x:c r="L2455" s="40" t="n">
        <x:f>ABS(K2455)</x:f>
        <x:v>0</x:v>
      </x:c>
      <x:c r="M2455" s="41" t="str">
        <x:v>lstm-soil-v1</x:v>
      </x:c>
    </x:row>
    <x:row r="2456">
      <x:c r="A2456" s="38" t="str">
        <x:v>7月30日现场数据</x:v>
      </x:c>
      <x:c r="B2456" s="39" t="str">
        <x:v>2026-08-02T16:40:00</x:v>
      </x:c>
      <x:c r="C2456" s="39" t="str">
        <x:v>2026-08-02T16:45:00</x:v>
      </x:c>
      <x:c r="D2456" s="47" t="n">
        <x:v>5</x:v>
      </x:c>
      <x:c r="E2456" s="40" t="n">
        <x:v>14.8</x:v>
      </x:c>
      <x:c r="F2456" s="40" t="n">
        <x:v>13.053718566894531</x:v>
      </x:c>
      <x:c r="G2456" s="40" t="n">
        <x:v>14.8</x:v>
      </x:c>
      <x:c r="H2456" s="40" t="n">
        <x:f>F2456-E2456</x:f>
        <x:v>-1.7462814331054695</x:v>
      </x:c>
      <x:c r="I2456" s="40" t="n">
        <x:f>ABS(H2456)</x:f>
        <x:v>1.7462814331054695</x:v>
      </x:c>
      <x:c r="J2456" s="40" t="n">
        <x:f>H2456^2</x:f>
        <x:v>3.0494988436088923</x:v>
      </x:c>
      <x:c r="K2456" s="40" t="n">
        <x:f>G2456-E2456</x:f>
        <x:v>0</x:v>
      </x:c>
      <x:c r="L2456" s="40" t="n">
        <x:f>ABS(K2456)</x:f>
        <x:v>0</x:v>
      </x:c>
      <x:c r="M2456" s="41" t="str">
        <x:v>lstm-soil-v1</x:v>
      </x:c>
    </x:row>
    <x:row r="2457">
      <x:c r="A2457" s="38" t="str">
        <x:v>7月30日现场数据</x:v>
      </x:c>
      <x:c r="B2457" s="39" t="str">
        <x:v>2026-08-02T16:40:00</x:v>
      </x:c>
      <x:c r="C2457" s="39" t="str">
        <x:v>2026-08-02T16:55:00</x:v>
      </x:c>
      <x:c r="D2457" s="47" t="n">
        <x:v>15</x:v>
      </x:c>
      <x:c r="E2457" s="40" t="n">
        <x:v>14.8</x:v>
      </x:c>
      <x:c r="F2457" s="40" t="n">
        <x:v>13.131694793701172</x:v>
      </x:c>
      <x:c r="G2457" s="40" t="n">
        <x:v>14.8</x:v>
      </x:c>
      <x:c r="H2457" s="40" t="n">
        <x:f>F2457-E2457</x:f>
        <x:v>-1.6683052062988288</x:v>
      </x:c>
      <x:c r="I2457" s="40" t="n">
        <x:f>ABS(H2457)</x:f>
        <x:v>1.6683052062988288</x:v>
      </x:c>
      <x:c r="J2457" s="40" t="n">
        <x:f>H2457^2</x:f>
        <x:v>2.7832422613637777</x:v>
      </x:c>
      <x:c r="K2457" s="40" t="n">
        <x:f>G2457-E2457</x:f>
        <x:v>0</x:v>
      </x:c>
      <x:c r="L2457" s="40" t="n">
        <x:f>ABS(K2457)</x:f>
        <x:v>0</x:v>
      </x:c>
      <x:c r="M2457" s="41" t="str">
        <x:v>lstm-soil-v1</x:v>
      </x:c>
    </x:row>
    <x:row r="2458">
      <x:c r="A2458" s="38" t="str">
        <x:v>7月30日现场数据</x:v>
      </x:c>
      <x:c r="B2458" s="39" t="str">
        <x:v>2026-08-02T16:40:00</x:v>
      </x:c>
      <x:c r="C2458" s="39" t="str">
        <x:v>2026-08-02T17:10:00</x:v>
      </x:c>
      <x:c r="D2458" s="47" t="n">
        <x:v>30</x:v>
      </x:c>
      <x:c r="E2458" s="40" t="n">
        <x:v>14.8</x:v>
      </x:c>
      <x:c r="F2458" s="40" t="n">
        <x:v>13.49444580078125</x:v>
      </x:c>
      <x:c r="G2458" s="40" t="n">
        <x:v>14.8</x:v>
      </x:c>
      <x:c r="H2458" s="40" t="n">
        <x:f>F2458-E2458</x:f>
        <x:v>-1.3055541992187507</x:v>
      </x:c>
      <x:c r="I2458" s="40" t="n">
        <x:f>ABS(H2458)</x:f>
        <x:v>1.3055541992187507</x:v>
      </x:c>
      <x:c r="J2458" s="40" t="n">
        <x:f>H2458^2</x:f>
        <x:v>1.7044717670977134</x:v>
      </x:c>
      <x:c r="K2458" s="40" t="n">
        <x:f>G2458-E2458</x:f>
        <x:v>0</x:v>
      </x:c>
      <x:c r="L2458" s="40" t="n">
        <x:f>ABS(K2458)</x:f>
        <x:v>0</x:v>
      </x:c>
      <x:c r="M2458" s="41" t="str">
        <x:v>lstm-soil-v1</x:v>
      </x:c>
    </x:row>
    <x:row r="2459">
      <x:c r="A2459" s="38" t="str">
        <x:v>7月30日现场数据</x:v>
      </x:c>
      <x:c r="B2459" s="39" t="str">
        <x:v>2026-08-02T16:40:00</x:v>
      </x:c>
      <x:c r="C2459" s="39" t="str">
        <x:v>2026-08-02T17:40:00</x:v>
      </x:c>
      <x:c r="D2459" s="47" t="n">
        <x:v>60</x:v>
      </x:c>
      <x:c r="E2459" s="40" t="n">
        <x:v>14.8</x:v>
      </x:c>
      <x:c r="F2459" s="40" t="n">
        <x:v>15.230670928955078</x:v>
      </x:c>
      <x:c r="G2459" s="40" t="n">
        <x:v>14.8</x:v>
      </x:c>
      <x:c r="H2459" s="40" t="n">
        <x:f>F2459-E2459</x:f>
        <x:v>0.4306709289550774</x:v>
      </x:c>
      <x:c r="I2459" s="40" t="n">
        <x:f>ABS(H2459)</x:f>
        <x:v>0.4306709289550774</x:v>
      </x:c>
      <x:c r="J2459" s="40" t="n">
        <x:f>H2459^2</x:f>
        <x:v>0.18547744904702934</x:v>
      </x:c>
      <x:c r="K2459" s="40" t="n">
        <x:f>G2459-E2459</x:f>
        <x:v>0</x:v>
      </x:c>
      <x:c r="L2459" s="40" t="n">
        <x:f>ABS(K2459)</x:f>
        <x:v>0</x:v>
      </x:c>
      <x:c r="M2459" s="41" t="str">
        <x:v>lstm-soil-v1</x:v>
      </x:c>
    </x:row>
    <x:row r="2460">
      <x:c r="A2460" s="38" t="str">
        <x:v>7月30日现场数据</x:v>
      </x:c>
      <x:c r="B2460" s="39" t="str">
        <x:v>2026-08-02T16:45:00</x:v>
      </x:c>
      <x:c r="C2460" s="39" t="str">
        <x:v>2026-08-02T16:50:00</x:v>
      </x:c>
      <x:c r="D2460" s="47" t="n">
        <x:v>5</x:v>
      </x:c>
      <x:c r="E2460" s="40" t="n">
        <x:v>14.8</x:v>
      </x:c>
      <x:c r="F2460" s="40" t="n">
        <x:v>13.053390502929688</x:v>
      </x:c>
      <x:c r="G2460" s="40" t="n">
        <x:v>14.8</x:v>
      </x:c>
      <x:c r="H2460" s="40" t="n">
        <x:f>F2460-E2460</x:f>
        <x:v>-1.7466094970703132</x:v>
      </x:c>
      <x:c r="I2460" s="40" t="n">
        <x:f>ABS(H2460)</x:f>
        <x:v>1.7466094970703132</x:v>
      </x:c>
      <x:c r="J2460" s="40" t="n">
        <x:f>H2460^2</x:f>
        <x:v>3.0506447352562125</x:v>
      </x:c>
      <x:c r="K2460" s="40" t="n">
        <x:f>G2460-E2460</x:f>
        <x:v>0</x:v>
      </x:c>
      <x:c r="L2460" s="40" t="n">
        <x:f>ABS(K2460)</x:f>
        <x:v>0</x:v>
      </x:c>
      <x:c r="M2460" s="41" t="str">
        <x:v>lstm-soil-v1</x:v>
      </x:c>
    </x:row>
    <x:row r="2461">
      <x:c r="A2461" s="38" t="str">
        <x:v>7月30日现场数据</x:v>
      </x:c>
      <x:c r="B2461" s="39" t="str">
        <x:v>2026-08-02T16:45:00</x:v>
      </x:c>
      <x:c r="C2461" s="39" t="str">
        <x:v>2026-08-02T17:00:00</x:v>
      </x:c>
      <x:c r="D2461" s="47" t="n">
        <x:v>15</x:v>
      </x:c>
      <x:c r="E2461" s="40" t="n">
        <x:v>14.7</x:v>
      </x:c>
      <x:c r="F2461" s="40" t="n">
        <x:v>13.131427764892578</x:v>
      </x:c>
      <x:c r="G2461" s="40" t="n">
        <x:v>14.8</x:v>
      </x:c>
      <x:c r="H2461" s="40" t="n">
        <x:f>F2461-E2461</x:f>
        <x:v>-1.5685722351074212</x:v>
      </x:c>
      <x:c r="I2461" s="40" t="n">
        <x:f>ABS(H2461)</x:f>
        <x:v>1.5685722351074212</x:v>
      </x:c>
      <x:c r="J2461" s="40" t="n">
        <x:f>H2461^2</x:f>
        <x:v>2.460418856749891</x:v>
      </x:c>
      <x:c r="K2461" s="40" t="n">
        <x:f>G2461-E2461</x:f>
        <x:v>0.10000000000000142</x:v>
      </x:c>
      <x:c r="L2461" s="40" t="n">
        <x:f>ABS(K2461)</x:f>
        <x:v>0.10000000000000142</x:v>
      </x:c>
      <x:c r="M2461" s="41" t="str">
        <x:v>lstm-soil-v1</x:v>
      </x:c>
    </x:row>
    <x:row r="2462">
      <x:c r="A2462" s="38" t="str">
        <x:v>7月30日现场数据</x:v>
      </x:c>
      <x:c r="B2462" s="39" t="str">
        <x:v>2026-08-02T16:45:00</x:v>
      </x:c>
      <x:c r="C2462" s="39" t="str">
        <x:v>2026-08-02T17:15:00</x:v>
      </x:c>
      <x:c r="D2462" s="47" t="n">
        <x:v>30</x:v>
      </x:c>
      <x:c r="E2462" s="40" t="n">
        <x:v>14.7</x:v>
      </x:c>
      <x:c r="F2462" s="40" t="n">
        <x:v>13.49432373046875</x:v>
      </x:c>
      <x:c r="G2462" s="40" t="n">
        <x:v>14.8</x:v>
      </x:c>
      <x:c r="H2462" s="40" t="n">
        <x:f>F2462-E2462</x:f>
        <x:v>-1.2056762695312493</x:v>
      </x:c>
      <x:c r="I2462" s="40" t="n">
        <x:f>ABS(H2462)</x:f>
        <x:v>1.2056762695312493</x:v>
      </x:c>
      <x:c r="J2462" s="40" t="n">
        <x:f>H2462^2</x:f>
        <x:v>1.4536552669107896</x:v>
      </x:c>
      <x:c r="K2462" s="40" t="n">
        <x:f>G2462-E2462</x:f>
        <x:v>0.10000000000000142</x:v>
      </x:c>
      <x:c r="L2462" s="40" t="n">
        <x:f>ABS(K2462)</x:f>
        <x:v>0.10000000000000142</x:v>
      </x:c>
      <x:c r="M2462" s="41" t="str">
        <x:v>lstm-soil-v1</x:v>
      </x:c>
    </x:row>
    <x:row r="2463">
      <x:c r="A2463" s="38" t="str">
        <x:v>7月30日现场数据</x:v>
      </x:c>
      <x:c r="B2463" s="39" t="str">
        <x:v>2026-08-02T16:45:00</x:v>
      </x:c>
      <x:c r="C2463" s="39" t="str">
        <x:v>2026-08-02T17:45:00</x:v>
      </x:c>
      <x:c r="D2463" s="47" t="n">
        <x:v>60</x:v>
      </x:c>
      <x:c r="E2463" s="40" t="n">
        <x:v>14.7</x:v>
      </x:c>
      <x:c r="F2463" s="40" t="n">
        <x:v>15.2305908203125</x:v>
      </x:c>
      <x:c r="G2463" s="40" t="n">
        <x:v>14.8</x:v>
      </x:c>
      <x:c r="H2463" s="40" t="n">
        <x:f>F2463-E2463</x:f>
        <x:v>0.5305908203125007</x:v>
      </x:c>
      <x:c r="I2463" s="40" t="n">
        <x:f>ABS(H2463)</x:f>
        <x:v>0.5305908203125007</x:v>
      </x:c>
      <x:c r="J2463" s="40" t="n">
        <x:f>H2463^2</x:f>
        <x:v>0.2815266185998924</x:v>
      </x:c>
      <x:c r="K2463" s="40" t="n">
        <x:f>G2463-E2463</x:f>
        <x:v>0.10000000000000142</x:v>
      </x:c>
      <x:c r="L2463" s="40" t="n">
        <x:f>ABS(K2463)</x:f>
        <x:v>0.10000000000000142</x:v>
      </x:c>
      <x:c r="M2463" s="41" t="str">
        <x:v>lstm-soil-v1</x:v>
      </x:c>
    </x:row>
    <x:row r="2464">
      <x:c r="A2464" s="38" t="str">
        <x:v>7月30日现场数据</x:v>
      </x:c>
      <x:c r="B2464" s="39" t="str">
        <x:v>2026-08-02T16:50:00</x:v>
      </x:c>
      <x:c r="C2464" s="39" t="str">
        <x:v>2026-08-02T16:55:00</x:v>
      </x:c>
      <x:c r="D2464" s="47" t="n">
        <x:v>5</x:v>
      </x:c>
      <x:c r="E2464" s="40" t="n">
        <x:v>14.8</x:v>
      </x:c>
      <x:c r="F2464" s="40" t="n">
        <x:v>13.053062438964844</x:v>
      </x:c>
      <x:c r="G2464" s="40" t="n">
        <x:v>14.8</x:v>
      </x:c>
      <x:c r="H2464" s="40" t="n">
        <x:f>F2464-E2464</x:f>
        <x:v>-1.746937561035157</x:v>
      </x:c>
      <x:c r="I2464" s="40" t="n">
        <x:f>ABS(H2464)</x:f>
        <x:v>1.746937561035157</x:v>
      </x:c>
      <x:c r="J2464" s="40" t="n">
        <x:f>H2464^2</x:f>
        <x:v>3.0517908421554627</x:v>
      </x:c>
      <x:c r="K2464" s="40" t="n">
        <x:f>G2464-E2464</x:f>
        <x:v>0</x:v>
      </x:c>
      <x:c r="L2464" s="40" t="n">
        <x:f>ABS(K2464)</x:f>
        <x:v>0</x:v>
      </x:c>
      <x:c r="M2464" s="41" t="str">
        <x:v>lstm-soil-v1</x:v>
      </x:c>
    </x:row>
    <x:row r="2465">
      <x:c r="A2465" s="38" t="str">
        <x:v>7月30日现场数据</x:v>
      </x:c>
      <x:c r="B2465" s="39" t="str">
        <x:v>2026-08-02T16:50:00</x:v>
      </x:c>
      <x:c r="C2465" s="39" t="str">
        <x:v>2026-08-02T17:05:00</x:v>
      </x:c>
      <x:c r="D2465" s="47" t="n">
        <x:v>15</x:v>
      </x:c>
      <x:c r="E2465" s="40" t="n">
        <x:v>14.8</x:v>
      </x:c>
      <x:c r="F2465" s="40" t="n">
        <x:v>13.131229400634766</x:v>
      </x:c>
      <x:c r="G2465" s="40" t="n">
        <x:v>14.8</x:v>
      </x:c>
      <x:c r="H2465" s="40" t="n">
        <x:f>F2465-E2465</x:f>
        <x:v>-1.668770599365235</x:v>
      </x:c>
      <x:c r="I2465" s="40" t="n">
        <x:f>ABS(H2465)</x:f>
        <x:v>1.668770599365235</x:v>
      </x:c>
      <x:c r="J2465" s="40" t="n">
        <x:f>H2465^2</x:f>
        <x:v>2.784795313305806</x:v>
      </x:c>
      <x:c r="K2465" s="40" t="n">
        <x:f>G2465-E2465</x:f>
        <x:v>0</x:v>
      </x:c>
      <x:c r="L2465" s="40" t="n">
        <x:f>ABS(K2465)</x:f>
        <x:v>0</x:v>
      </x:c>
      <x:c r="M2465" s="41" t="str">
        <x:v>lstm-soil-v1</x:v>
      </x:c>
    </x:row>
    <x:row r="2466">
      <x:c r="A2466" s="38" t="str">
        <x:v>7月30日现场数据</x:v>
      </x:c>
      <x:c r="B2466" s="39" t="str">
        <x:v>2026-08-02T16:50:00</x:v>
      </x:c>
      <x:c r="C2466" s="39" t="str">
        <x:v>2026-08-02T17:20:00</x:v>
      </x:c>
      <x:c r="D2466" s="47" t="n">
        <x:v>30</x:v>
      </x:c>
      <x:c r="E2466" s="40" t="n">
        <x:v>14.8</x:v>
      </x:c>
      <x:c r="F2466" s="40" t="n">
        <x:v>13.494190216064453</x:v>
      </x:c>
      <x:c r="G2466" s="40" t="n">
        <x:v>14.8</x:v>
      </x:c>
      <x:c r="H2466" s="40" t="n">
        <x:f>F2466-E2466</x:f>
        <x:v>-1.3058097839355476</x:v>
      </x:c>
      <x:c r="I2466" s="40" t="n">
        <x:f>ABS(H2466)</x:f>
        <x:v>1.3058097839355476</x:v>
      </x:c>
      <x:c r="J2466" s="40" t="n">
        <x:f>H2466^2</x:f>
        <x:v>1.7051391918218015</x:v>
      </x:c>
      <x:c r="K2466" s="40" t="n">
        <x:f>G2466-E2466</x:f>
        <x:v>0</x:v>
      </x:c>
      <x:c r="L2466" s="40" t="n">
        <x:f>ABS(K2466)</x:f>
        <x:v>0</x:v>
      </x:c>
      <x:c r="M2466" s="41" t="str">
        <x:v>lstm-soil-v1</x:v>
      </x:c>
    </x:row>
    <x:row r="2467">
      <x:c r="A2467" s="38" t="str">
        <x:v>7月30日现场数据</x:v>
      </x:c>
      <x:c r="B2467" s="39" t="str">
        <x:v>2026-08-02T16:50:00</x:v>
      </x:c>
      <x:c r="C2467" s="39" t="str">
        <x:v>2026-08-02T17:50:00</x:v>
      </x:c>
      <x:c r="D2467" s="47" t="n">
        <x:v>60</x:v>
      </x:c>
      <x:c r="E2467" s="40" t="n">
        <x:v>14.7</x:v>
      </x:c>
      <x:c r="F2467" s="40" t="n">
        <x:v>15.230358123779297</x:v>
      </x:c>
      <x:c r="G2467" s="40" t="n">
        <x:v>14.8</x:v>
      </x:c>
      <x:c r="H2467" s="40" t="n">
        <x:f>F2467-E2467</x:f>
        <x:v>0.5303581237792976</x:v>
      </x:c>
      <x:c r="I2467" s="40" t="n">
        <x:f>ABS(H2467)</x:f>
        <x:v>0.5303581237792976</x:v>
      </x:c>
      <x:c r="J2467" s="40" t="n">
        <x:f>H2467^2</x:f>
        <x:v>0.2812797394586967</x:v>
      </x:c>
      <x:c r="K2467" s="40" t="n">
        <x:f>G2467-E2467</x:f>
        <x:v>0.10000000000000142</x:v>
      </x:c>
      <x:c r="L2467" s="40" t="n">
        <x:f>ABS(K2467)</x:f>
        <x:v>0.10000000000000142</x:v>
      </x:c>
      <x:c r="M2467" s="41" t="str">
        <x:v>lstm-soil-v1</x:v>
      </x:c>
    </x:row>
    <x:row r="2468">
      <x:c r="A2468" s="38" t="str">
        <x:v>7月30日现场数据</x:v>
      </x:c>
      <x:c r="B2468" s="39" t="str">
        <x:v>2026-08-02T16:55:00</x:v>
      </x:c>
      <x:c r="C2468" s="39" t="str">
        <x:v>2026-08-02T17:00:00</x:v>
      </x:c>
      <x:c r="D2468" s="47" t="n">
        <x:v>5</x:v>
      </x:c>
      <x:c r="E2468" s="40" t="n">
        <x:v>14.7</x:v>
      </x:c>
      <x:c r="F2468" s="40" t="n">
        <x:v>13.052864074707031</x:v>
      </x:c>
      <x:c r="G2468" s="40" t="n">
        <x:v>14.8</x:v>
      </x:c>
      <x:c r="H2468" s="40" t="n">
        <x:f>F2468-E2468</x:f>
        <x:v>-1.647135925292968</x:v>
      </x:c>
      <x:c r="I2468" s="40" t="n">
        <x:f>ABS(H2468)</x:f>
        <x:v>1.647135925292968</x:v>
      </x:c>
      <x:c r="J2468" s="40" t="n">
        <x:f>H2468^2</x:f>
        <x:v>2.713056756390722</x:v>
      </x:c>
      <x:c r="K2468" s="40" t="n">
        <x:f>G2468-E2468</x:f>
        <x:v>0.10000000000000142</x:v>
      </x:c>
      <x:c r="L2468" s="40" t="n">
        <x:f>ABS(K2468)</x:f>
        <x:v>0.10000000000000142</x:v>
      </x:c>
      <x:c r="M2468" s="41" t="str">
        <x:v>lstm-soil-v1</x:v>
      </x:c>
    </x:row>
    <x:row r="2469">
      <x:c r="A2469" s="38" t="str">
        <x:v>7月30日现场数据</x:v>
      </x:c>
      <x:c r="B2469" s="39" t="str">
        <x:v>2026-08-02T16:55:00</x:v>
      </x:c>
      <x:c r="C2469" s="39" t="str">
        <x:v>2026-08-02T17:10:00</x:v>
      </x:c>
      <x:c r="D2469" s="47" t="n">
        <x:v>15</x:v>
      </x:c>
      <x:c r="E2469" s="40" t="n">
        <x:v>14.8</x:v>
      </x:c>
      <x:c r="F2469" s="40" t="n">
        <x:v>13.131034851074219</x:v>
      </x:c>
      <x:c r="G2469" s="40" t="n">
        <x:v>14.8</x:v>
      </x:c>
      <x:c r="H2469" s="40" t="n">
        <x:f>F2469-E2469</x:f>
        <x:v>-1.668965148925782</x:v>
      </x:c>
      <x:c r="I2469" s="40" t="n">
        <x:f>ABS(H2469)</x:f>
        <x:v>1.668965148925782</x:v>
      </x:c>
      <x:c r="J2469" s="40" t="n">
        <x:f>H2469^2</x:f>
        <x:v>2.7854446683288576</x:v>
      </x:c>
      <x:c r="K2469" s="40" t="n">
        <x:f>G2469-E2469</x:f>
        <x:v>0</x:v>
      </x:c>
      <x:c r="L2469" s="40" t="n">
        <x:f>ABS(K2469)</x:f>
        <x:v>0</x:v>
      </x:c>
      <x:c r="M2469" s="41" t="str">
        <x:v>lstm-soil-v1</x:v>
      </x:c>
    </x:row>
    <x:row r="2470">
      <x:c r="A2470" s="38" t="str">
        <x:v>7月30日现场数据</x:v>
      </x:c>
      <x:c r="B2470" s="39" t="str">
        <x:v>2026-08-02T16:55:00</x:v>
      </x:c>
      <x:c r="C2470" s="39" t="str">
        <x:v>2026-08-02T17:25:00</x:v>
      </x:c>
      <x:c r="D2470" s="47" t="n">
        <x:v>30</x:v>
      </x:c>
      <x:c r="E2470" s="40" t="n">
        <x:v>14.8</x:v>
      </x:c>
      <x:c r="F2470" s="40" t="n">
        <x:v>13.494098663330078</x:v>
      </x:c>
      <x:c r="G2470" s="40" t="n">
        <x:v>14.8</x:v>
      </x:c>
      <x:c r="H2470" s="40" t="n">
        <x:f>F2470-E2470</x:f>
        <x:v>-1.3059013366699226</x:v>
      </x:c>
      <x:c r="I2470" s="40" t="n">
        <x:f>ABS(H2470)</x:f>
        <x:v>1.3059013366699226</x:v>
      </x:c>
      <x:c r="J2470" s="40" t="n">
        <x:f>H2470^2</x:f>
        <x:v>1.7053783011162904</x:v>
      </x:c>
      <x:c r="K2470" s="40" t="n">
        <x:f>G2470-E2470</x:f>
        <x:v>0</x:v>
      </x:c>
      <x:c r="L2470" s="40" t="n">
        <x:f>ABS(K2470)</x:f>
        <x:v>0</x:v>
      </x:c>
      <x:c r="M2470" s="41" t="str">
        <x:v>lstm-soil-v1</x:v>
      </x:c>
    </x:row>
    <x:row r="2471">
      <x:c r="A2471" s="38" t="str">
        <x:v>7月30日现场数据</x:v>
      </x:c>
      <x:c r="B2471" s="39" t="str">
        <x:v>2026-08-02T16:55:00</x:v>
      </x:c>
      <x:c r="C2471" s="39" t="str">
        <x:v>2026-08-02T17:55:00</x:v>
      </x:c>
      <x:c r="D2471" s="47" t="n">
        <x:v>60</x:v>
      </x:c>
      <x:c r="E2471" s="40" t="n">
        <x:v>14.7</x:v>
      </x:c>
      <x:c r="F2471" s="40" t="n">
        <x:v>15.230213165283203</x:v>
      </x:c>
      <x:c r="G2471" s="40" t="n">
        <x:v>14.8</x:v>
      </x:c>
      <x:c r="H2471" s="40" t="n">
        <x:f>F2471-E2471</x:f>
        <x:v>0.5302131652832038</x:v>
      </x:c>
      <x:c r="I2471" s="40" t="n">
        <x:f>ABS(H2471)</x:f>
        <x:v>0.5302131652832038</x:v>
      </x:c>
      <x:c r="J2471" s="40" t="n">
        <x:f>H2471^2</x:f>
        <x:v>0.28112600063963405</x:v>
      </x:c>
      <x:c r="K2471" s="40" t="n">
        <x:f>G2471-E2471</x:f>
        <x:v>0.10000000000000142</x:v>
      </x:c>
      <x:c r="L2471" s="40" t="n">
        <x:f>ABS(K2471)</x:f>
        <x:v>0.10000000000000142</x:v>
      </x:c>
      <x:c r="M2471" s="41" t="str">
        <x:v>lstm-soil-v1</x:v>
      </x:c>
    </x:row>
    <x:row r="2472">
      <x:c r="A2472" s="38" t="str">
        <x:v>7月30日现场数据</x:v>
      </x:c>
      <x:c r="B2472" s="39" t="str">
        <x:v>2026-08-02T17:00:00</x:v>
      </x:c>
      <x:c r="C2472" s="39" t="str">
        <x:v>2026-08-02T17:05:00</x:v>
      </x:c>
      <x:c r="D2472" s="47" t="n">
        <x:v>5</x:v>
      </x:c>
      <x:c r="E2472" s="40" t="n">
        <x:v>14.8</x:v>
      </x:c>
      <x:c r="F2472" s="40" t="n">
        <x:v>12.942489624023438</x:v>
      </x:c>
      <x:c r="G2472" s="40" t="n">
        <x:v>14.7</x:v>
      </x:c>
      <x:c r="H2472" s="40" t="n">
        <x:f>F2472-E2472</x:f>
        <x:v>-1.8575103759765632</x:v>
      </x:c>
      <x:c r="I2472" s="40" t="n">
        <x:f>ABS(H2472)</x:f>
        <x:v>1.8575103759765632</x:v>
      </x:c>
      <x:c r="J2472" s="40" t="n">
        <x:f>H2472^2</x:f>
        <x:v>3.4503447968605934</x:v>
      </x:c>
      <x:c r="K2472" s="40" t="n">
        <x:f>G2472-E2472</x:f>
        <x:v>-0.10000000000000142</x:v>
      </x:c>
      <x:c r="L2472" s="40" t="n">
        <x:f>ABS(K2472)</x:f>
        <x:v>0.10000000000000142</x:v>
      </x:c>
      <x:c r="M2472" s="41" t="str">
        <x:v>lstm-soil-v1</x:v>
      </x:c>
    </x:row>
    <x:row r="2473">
      <x:c r="A2473" s="38" t="str">
        <x:v>7月30日现场数据</x:v>
      </x:c>
      <x:c r="B2473" s="39" t="str">
        <x:v>2026-08-02T17:00:00</x:v>
      </x:c>
      <x:c r="C2473" s="39" t="str">
        <x:v>2026-08-02T17:15:00</x:v>
      </x:c>
      <x:c r="D2473" s="47" t="n">
        <x:v>15</x:v>
      </x:c>
      <x:c r="E2473" s="40" t="n">
        <x:v>14.7</x:v>
      </x:c>
      <x:c r="F2473" s="40" t="n">
        <x:v>13.021366119384766</x:v>
      </x:c>
      <x:c r="G2473" s="40" t="n">
        <x:v>14.7</x:v>
      </x:c>
      <x:c r="H2473" s="40" t="n">
        <x:f>F2473-E2473</x:f>
        <x:v>-1.6786338806152337</x:v>
      </x:c>
      <x:c r="I2473" s="40" t="n">
        <x:f>ABS(H2473)</x:f>
        <x:v>1.6786338806152337</x:v>
      </x:c>
      <x:c r="J2473" s="40" t="n">
        <x:f>H2473^2</x:f>
        <x:v>2.8178117051493587</x:v>
      </x:c>
      <x:c r="K2473" s="40" t="n">
        <x:f>G2473-E2473</x:f>
        <x:v>0</x:v>
      </x:c>
      <x:c r="L2473" s="40" t="n">
        <x:f>ABS(K2473)</x:f>
        <x:v>0</x:v>
      </x:c>
      <x:c r="M2473" s="41" t="str">
        <x:v>lstm-soil-v1</x:v>
      </x:c>
    </x:row>
    <x:row r="2474">
      <x:c r="A2474" s="38" t="str">
        <x:v>7月30日现场数据</x:v>
      </x:c>
      <x:c r="B2474" s="39" t="str">
        <x:v>2026-08-02T17:00:00</x:v>
      </x:c>
      <x:c r="C2474" s="39" t="str">
        <x:v>2026-08-02T17:30:00</x:v>
      </x:c>
      <x:c r="D2474" s="47" t="n">
        <x:v>30</x:v>
      </x:c>
      <x:c r="E2474" s="40" t="n">
        <x:v>14.8</x:v>
      </x:c>
      <x:c r="F2474" s="40" t="n">
        <x:v>13.384761810302734</x:v>
      </x:c>
      <x:c r="G2474" s="40" t="n">
        <x:v>14.7</x:v>
      </x:c>
      <x:c r="H2474" s="40" t="n">
        <x:f>F2474-E2474</x:f>
        <x:v>-1.4152381896972663</x:v>
      </x:c>
      <x:c r="I2474" s="40" t="n">
        <x:f>ABS(H2474)</x:f>
        <x:v>1.4152381896972663</x:v>
      </x:c>
      <x:c r="J2474" s="40" t="n">
        <x:f>H2474^2</x:f>
        <x:v>2.0028991335775954</x:v>
      </x:c>
      <x:c r="K2474" s="40" t="n">
        <x:f>G2474-E2474</x:f>
        <x:v>-0.10000000000000142</x:v>
      </x:c>
      <x:c r="L2474" s="40" t="n">
        <x:f>ABS(K2474)</x:f>
        <x:v>0.10000000000000142</x:v>
      </x:c>
      <x:c r="M2474" s="41" t="str">
        <x:v>lstm-soil-v1</x:v>
      </x:c>
    </x:row>
    <x:row r="2475">
      <x:c r="A2475" s="38" t="str">
        <x:v>7月30日现场数据</x:v>
      </x:c>
      <x:c r="B2475" s="39" t="str">
        <x:v>2026-08-02T17:00:00</x:v>
      </x:c>
      <x:c r="C2475" s="39" t="str">
        <x:v>2026-08-02T18:00:00</x:v>
      </x:c>
      <x:c r="D2475" s="47" t="n">
        <x:v>60</x:v>
      </x:c>
      <x:c r="E2475" s="40" t="n">
        <x:v>14.7</x:v>
      </x:c>
      <x:c r="F2475" s="40" t="n">
        <x:v>15.118194580078125</x:v>
      </x:c>
      <x:c r="G2475" s="40" t="n">
        <x:v>14.7</x:v>
      </x:c>
      <x:c r="H2475" s="40" t="n">
        <x:f>F2475-E2475</x:f>
        <x:v>0.4181945800781257</x:v>
      </x:c>
      <x:c r="I2475" s="40" t="n">
        <x:f>ABS(H2475)</x:f>
        <x:v>0.4181945800781257</x:v>
      </x:c>
      <x:c r="J2475" s="40" t="n">
        <x:f>H2475^2</x:f>
        <x:v>0.1748867068067199</x:v>
      </x:c>
      <x:c r="K2475" s="40" t="n">
        <x:f>G2475-E2475</x:f>
        <x:v>0</x:v>
      </x:c>
      <x:c r="L2475" s="40" t="n">
        <x:f>ABS(K2475)</x:f>
        <x:v>0</x:v>
      </x:c>
      <x:c r="M2475" s="41" t="str">
        <x:v>lstm-soil-v1</x:v>
      </x:c>
    </x:row>
    <x:row r="2476">
      <x:c r="A2476" s="38" t="str">
        <x:v>7月30日现场数据</x:v>
      </x:c>
      <x:c r="B2476" s="39" t="str">
        <x:v>2026-08-02T17:05:00</x:v>
      </x:c>
      <x:c r="C2476" s="39" t="str">
        <x:v>2026-08-02T17:10:00</x:v>
      </x:c>
      <x:c r="D2476" s="47" t="n">
        <x:v>5</x:v>
      </x:c>
      <x:c r="E2476" s="40" t="n">
        <x:v>14.8</x:v>
      </x:c>
      <x:c r="F2476" s="40" t="n">
        <x:v>13.052845001220703</x:v>
      </x:c>
      <x:c r="G2476" s="40" t="n">
        <x:v>14.8</x:v>
      </x:c>
      <x:c r="H2476" s="40" t="n">
        <x:f>F2476-E2476</x:f>
        <x:v>-1.7471549987792976</x:v>
      </x:c>
      <x:c r="I2476" s="40" t="n">
        <x:f>ABS(H2476)</x:f>
        <x:v>1.7471549987792976</x:v>
      </x:c>
      <x:c r="J2476" s="40" t="n">
        <x:f>H2476^2</x:f>
        <x:v>3.0525505897594876</x:v>
      </x:c>
      <x:c r="K2476" s="40" t="n">
        <x:f>G2476-E2476</x:f>
        <x:v>0</x:v>
      </x:c>
      <x:c r="L2476" s="40" t="n">
        <x:f>ABS(K2476)</x:f>
        <x:v>0</x:v>
      </x:c>
      <x:c r="M2476" s="41" t="str">
        <x:v>lstm-soil-v1</x:v>
      </x:c>
    </x:row>
    <x:row r="2477">
      <x:c r="A2477" s="38" t="str">
        <x:v>7月30日现场数据</x:v>
      </x:c>
      <x:c r="B2477" s="39" t="str">
        <x:v>2026-08-02T17:05:00</x:v>
      </x:c>
      <x:c r="C2477" s="39" t="str">
        <x:v>2026-08-02T17:20:00</x:v>
      </x:c>
      <x:c r="D2477" s="47" t="n">
        <x:v>15</x:v>
      </x:c>
      <x:c r="E2477" s="40" t="n">
        <x:v>14.8</x:v>
      </x:c>
      <x:c r="F2477" s="40" t="n">
        <x:v>13.131828308105469</x:v>
      </x:c>
      <x:c r="G2477" s="40" t="n">
        <x:v>14.8</x:v>
      </x:c>
      <x:c r="H2477" s="40" t="n">
        <x:f>F2477-E2477</x:f>
        <x:v>-1.668171691894532</x:v>
      </x:c>
      <x:c r="I2477" s="40" t="n">
        <x:f>ABS(H2477)</x:f>
        <x:v>1.668171691894532</x:v>
      </x:c>
      <x:c r="J2477" s="40" t="n">
        <x:f>H2477^2</x:f>
        <x:v>2.782796793638265</x:v>
      </x:c>
      <x:c r="K2477" s="40" t="n">
        <x:f>G2477-E2477</x:f>
        <x:v>0</x:v>
      </x:c>
      <x:c r="L2477" s="40" t="n">
        <x:f>ABS(K2477)</x:f>
        <x:v>0</x:v>
      </x:c>
      <x:c r="M2477" s="41" t="str">
        <x:v>lstm-soil-v1</x:v>
      </x:c>
    </x:row>
    <x:row r="2478">
      <x:c r="A2478" s="38" t="str">
        <x:v>7月30日现场数据</x:v>
      </x:c>
      <x:c r="B2478" s="39" t="str">
        <x:v>2026-08-02T17:05:00</x:v>
      </x:c>
      <x:c r="C2478" s="39" t="str">
        <x:v>2026-08-02T17:35:00</x:v>
      </x:c>
      <x:c r="D2478" s="47" t="n">
        <x:v>30</x:v>
      </x:c>
      <x:c r="E2478" s="40" t="n">
        <x:v>14.8</x:v>
      </x:c>
      <x:c r="F2478" s="40" t="n">
        <x:v>13.49542236328125</x:v>
      </x:c>
      <x:c r="G2478" s="40" t="n">
        <x:v>14.8</x:v>
      </x:c>
      <x:c r="H2478" s="40" t="n">
        <x:f>F2478-E2478</x:f>
        <x:v>-1.3045776367187507</x:v>
      </x:c>
      <x:c r="I2478" s="40" t="n">
        <x:f>ABS(H2478)</x:f>
        <x:v>1.3045776367187507</x:v>
      </x:c>
      <x:c r="J2478" s="40" t="n">
        <x:f>H2478^2</x:f>
        <x:v>1.7019228102266808</x:v>
      </x:c>
      <x:c r="K2478" s="40" t="n">
        <x:f>G2478-E2478</x:f>
        <x:v>0</x:v>
      </x:c>
      <x:c r="L2478" s="40" t="n">
        <x:f>ABS(K2478)</x:f>
        <x:v>0</x:v>
      </x:c>
      <x:c r="M2478" s="41" t="str">
        <x:v>lstm-soil-v1</x:v>
      </x:c>
    </x:row>
    <x:row r="2479">
      <x:c r="A2479" s="38" t="str">
        <x:v>7月30日现场数据</x:v>
      </x:c>
      <x:c r="B2479" s="39" t="str">
        <x:v>2026-08-02T17:05:00</x:v>
      </x:c>
      <x:c r="C2479" s="39" t="str">
        <x:v>2026-08-02T18:05:00</x:v>
      </x:c>
      <x:c r="D2479" s="47" t="n">
        <x:v>60</x:v>
      </x:c>
      <x:c r="E2479" s="40" t="n">
        <x:v>14.7</x:v>
      </x:c>
      <x:c r="F2479" s="40" t="n">
        <x:v>15.227874755859375</x:v>
      </x:c>
      <x:c r="G2479" s="40" t="n">
        <x:v>14.8</x:v>
      </x:c>
      <x:c r="H2479" s="40" t="n">
        <x:f>F2479-E2479</x:f>
        <x:v>0.5278747558593757</x:v>
      </x:c>
      <x:c r="I2479" s="40" t="n">
        <x:f>ABS(H2479)</x:f>
        <x:v>0.5278747558593757</x:v>
      </x:c>
      <x:c r="J2479" s="40" t="n">
        <x:f>H2479^2</x:f>
        <x:v>0.27865175787359553</x:v>
      </x:c>
      <x:c r="K2479" s="40" t="n">
        <x:f>G2479-E2479</x:f>
        <x:v>0.10000000000000142</x:v>
      </x:c>
      <x:c r="L2479" s="40" t="n">
        <x:f>ABS(K2479)</x:f>
        <x:v>0.10000000000000142</x:v>
      </x:c>
      <x:c r="M2479" s="41" t="str">
        <x:v>lstm-soil-v1</x:v>
      </x:c>
    </x:row>
    <x:row r="2480">
      <x:c r="A2480" s="38" t="str">
        <x:v>7月30日现场数据</x:v>
      </x:c>
      <x:c r="B2480" s="39" t="str">
        <x:v>2026-08-02T17:10:00</x:v>
      </x:c>
      <x:c r="C2480" s="39" t="str">
        <x:v>2026-08-02T17:15:00</x:v>
      </x:c>
      <x:c r="D2480" s="47" t="n">
        <x:v>5</x:v>
      </x:c>
      <x:c r="E2480" s="40" t="n">
        <x:v>14.7</x:v>
      </x:c>
      <x:c r="F2480" s="40" t="n">
        <x:v>13.052337646484375</x:v>
      </x:c>
      <x:c r="G2480" s="40" t="n">
        <x:v>14.8</x:v>
      </x:c>
      <x:c r="H2480" s="40" t="n">
        <x:f>F2480-E2480</x:f>
        <x:v>-1.6476623535156243</x:v>
      </x:c>
      <x:c r="I2480" s="40" t="n">
        <x:f>ABS(H2480)</x:f>
        <x:v>1.6476623535156243</x:v>
      </x:c>
      <x:c r="J2480" s="40" t="n">
        <x:f>H2480^2</x:f>
        <x:v>2.714791231192646</x:v>
      </x:c>
      <x:c r="K2480" s="40" t="n">
        <x:f>G2480-E2480</x:f>
        <x:v>0.10000000000000142</x:v>
      </x:c>
      <x:c r="L2480" s="40" t="n">
        <x:f>ABS(K2480)</x:f>
        <x:v>0.10000000000000142</x:v>
      </x:c>
      <x:c r="M2480" s="41" t="str">
        <x:v>lstm-soil-v1</x:v>
      </x:c>
    </x:row>
    <x:row r="2481">
      <x:c r="A2481" s="38" t="str">
        <x:v>7月30日现场数据</x:v>
      </x:c>
      <x:c r="B2481" s="39" t="str">
        <x:v>2026-08-02T17:10:00</x:v>
      </x:c>
      <x:c r="C2481" s="39" t="str">
        <x:v>2026-08-02T17:25:00</x:v>
      </x:c>
      <x:c r="D2481" s="47" t="n">
        <x:v>15</x:v>
      </x:c>
      <x:c r="E2481" s="40" t="n">
        <x:v>14.8</x:v>
      </x:c>
      <x:c r="F2481" s="40" t="n">
        <x:v>13.13165283203125</x:v>
      </x:c>
      <x:c r="G2481" s="40" t="n">
        <x:v>14.8</x:v>
      </x:c>
      <x:c r="H2481" s="40" t="n">
        <x:f>F2481-E2481</x:f>
        <x:v>-1.6683471679687507</x:v>
      </x:c>
      <x:c r="I2481" s="40" t="n">
        <x:f>ABS(H2481)</x:f>
        <x:v>1.6683471679687507</x:v>
      </x:c>
      <x:c r="J2481" s="40" t="n">
        <x:f>H2481^2</x:f>
        <x:v>2.7833822728693507</x:v>
      </x:c>
      <x:c r="K2481" s="40" t="n">
        <x:f>G2481-E2481</x:f>
        <x:v>0</x:v>
      </x:c>
      <x:c r="L2481" s="40" t="n">
        <x:f>ABS(K2481)</x:f>
        <x:v>0</x:v>
      </x:c>
      <x:c r="M2481" s="41" t="str">
        <x:v>lstm-soil-v1</x:v>
      </x:c>
    </x:row>
    <x:row r="2482">
      <x:c r="A2482" s="38" t="str">
        <x:v>7月30日现场数据</x:v>
      </x:c>
      <x:c r="B2482" s="39" t="str">
        <x:v>2026-08-02T17:10:00</x:v>
      </x:c>
      <x:c r="C2482" s="39" t="str">
        <x:v>2026-08-02T17:40:00</x:v>
      </x:c>
      <x:c r="D2482" s="47" t="n">
        <x:v>30</x:v>
      </x:c>
      <x:c r="E2482" s="40" t="n">
        <x:v>14.8</x:v>
      </x:c>
      <x:c r="F2482" s="40" t="n">
        <x:v>13.494766235351562</x:v>
      </x:c>
      <x:c r="G2482" s="40" t="n">
        <x:v>14.8</x:v>
      </x:c>
      <x:c r="H2482" s="40" t="n">
        <x:f>F2482-E2482</x:f>
        <x:v>-1.3052337646484382</x:v>
      </x:c>
      <x:c r="I2482" s="40" t="n">
        <x:f>ABS(H2482)</x:f>
        <x:v>1.3052337646484382</x:v>
      </x:c>
      <x:c r="J2482" s="40" t="n">
        <x:f>H2482^2</x:f>
        <x:v>1.7036351803783345</x:v>
      </x:c>
      <x:c r="K2482" s="40" t="n">
        <x:f>G2482-E2482</x:f>
        <x:v>0</x:v>
      </x:c>
      <x:c r="L2482" s="40" t="n">
        <x:f>ABS(K2482)</x:f>
        <x:v>0</x:v>
      </x:c>
      <x:c r="M2482" s="41" t="str">
        <x:v>lstm-soil-v1</x:v>
      </x:c>
    </x:row>
    <x:row r="2483">
      <x:c r="A2483" s="38" t="str">
        <x:v>7月30日现场数据</x:v>
      </x:c>
      <x:c r="B2483" s="39" t="str">
        <x:v>2026-08-02T17:10:00</x:v>
      </x:c>
      <x:c r="C2483" s="39" t="str">
        <x:v>2026-08-02T18:10:00</x:v>
      </x:c>
      <x:c r="D2483" s="47" t="n">
        <x:v>60</x:v>
      </x:c>
      <x:c r="E2483" s="40" t="n">
        <x:v>14.7</x:v>
      </x:c>
      <x:c r="F2483" s="40" t="n">
        <x:v>15.226947784423828</x:v>
      </x:c>
      <x:c r="G2483" s="40" t="n">
        <x:v>14.8</x:v>
      </x:c>
      <x:c r="H2483" s="40" t="n">
        <x:f>F2483-E2483</x:f>
        <x:v>0.5269477844238288</x:v>
      </x:c>
      <x:c r="I2483" s="40" t="n">
        <x:f>ABS(H2483)</x:f>
        <x:v>0.5269477844238288</x:v>
      </x:c>
      <x:c r="J2483" s="40" t="n">
        <x:f>H2483^2</x:f>
        <x:v>0.277673967509182</x:v>
      </x:c>
      <x:c r="K2483" s="40" t="n">
        <x:f>G2483-E2483</x:f>
        <x:v>0.10000000000000142</x:v>
      </x:c>
      <x:c r="L2483" s="40" t="n">
        <x:f>ABS(K2483)</x:f>
        <x:v>0.10000000000000142</x:v>
      </x:c>
      <x:c r="M2483" s="41" t="str">
        <x:v>lstm-soil-v1</x:v>
      </x:c>
    </x:row>
    <x:row r="2484">
      <x:c r="A2484" s="38" t="str">
        <x:v>7月30日现场数据</x:v>
      </x:c>
      <x:c r="B2484" s="39" t="str">
        <x:v>2026-08-02T17:15:00</x:v>
      </x:c>
      <x:c r="C2484" s="39" t="str">
        <x:v>2026-08-02T17:20:00</x:v>
      </x:c>
      <x:c r="D2484" s="47" t="n">
        <x:v>5</x:v>
      </x:c>
      <x:c r="E2484" s="40" t="n">
        <x:v>14.8</x:v>
      </x:c>
      <x:c r="F2484" s="40" t="n">
        <x:v>12.9417724609375</x:v>
      </x:c>
      <x:c r="G2484" s="40" t="n">
        <x:v>14.7</x:v>
      </x:c>
      <x:c r="H2484" s="40" t="n">
        <x:f>F2484-E2484</x:f>
        <x:v>-1.8582275390625007</x:v>
      </x:c>
      <x:c r="I2484" s="40" t="n">
        <x:f>ABS(H2484)</x:f>
        <x:v>1.8582275390625007</x:v>
      </x:c>
      <x:c r="J2484" s="40" t="n">
        <x:f>H2484^2</x:f>
        <x:v>3.4530095869302775</x:v>
      </x:c>
      <x:c r="K2484" s="40" t="n">
        <x:f>G2484-E2484</x:f>
        <x:v>-0.10000000000000142</x:v>
      </x:c>
      <x:c r="L2484" s="40" t="n">
        <x:f>ABS(K2484)</x:f>
        <x:v>0.10000000000000142</x:v>
      </x:c>
      <x:c r="M2484" s="41" t="str">
        <x:v>lstm-soil-v1</x:v>
      </x:c>
    </x:row>
    <x:row r="2485">
      <x:c r="A2485" s="38" t="str">
        <x:v>7月30日现场数据</x:v>
      </x:c>
      <x:c r="B2485" s="39" t="str">
        <x:v>2026-08-02T17:15:00</x:v>
      </x:c>
      <x:c r="C2485" s="39" t="str">
        <x:v>2026-08-02T17:30:00</x:v>
      </x:c>
      <x:c r="D2485" s="47" t="n">
        <x:v>15</x:v>
      </x:c>
      <x:c r="E2485" s="40" t="n">
        <x:v>14.8</x:v>
      </x:c>
      <x:c r="F2485" s="40" t="n">
        <x:v>13.02286148071289</x:v>
      </x:c>
      <x:c r="G2485" s="40" t="n">
        <x:v>14.7</x:v>
      </x:c>
      <x:c r="H2485" s="40" t="n">
        <x:f>F2485-E2485</x:f>
        <x:v>-1.77713851928711</x:v>
      </x:c>
      <x:c r="I2485" s="40" t="n">
        <x:f>ABS(H2485)</x:f>
        <x:v>1.77713851928711</x:v>
      </x:c>
      <x:c r="J2485" s="40" t="n">
        <x:f>H2485^2</x:f>
        <x:v>3.1582213167339823</x:v>
      </x:c>
      <x:c r="K2485" s="40" t="n">
        <x:f>G2485-E2485</x:f>
        <x:v>-0.10000000000000142</x:v>
      </x:c>
      <x:c r="L2485" s="40" t="n">
        <x:f>ABS(K2485)</x:f>
        <x:v>0.10000000000000142</x:v>
      </x:c>
      <x:c r="M2485" s="41" t="str">
        <x:v>lstm-soil-v1</x:v>
      </x:c>
    </x:row>
    <x:row r="2486">
      <x:c r="A2486" s="38" t="str">
        <x:v>7月30日现场数据</x:v>
      </x:c>
      <x:c r="B2486" s="39" t="str">
        <x:v>2026-08-02T17:15:00</x:v>
      </x:c>
      <x:c r="C2486" s="39" t="str">
        <x:v>2026-08-02T17:45:00</x:v>
      </x:c>
      <x:c r="D2486" s="47" t="n">
        <x:v>30</x:v>
      </x:c>
      <x:c r="E2486" s="40" t="n">
        <x:v>14.7</x:v>
      </x:c>
      <x:c r="F2486" s="40" t="n">
        <x:v>13.384410858154297</x:v>
      </x:c>
      <x:c r="G2486" s="40" t="n">
        <x:v>14.7</x:v>
      </x:c>
      <x:c r="H2486" s="40" t="n">
        <x:f>F2486-E2486</x:f>
        <x:v>-1.3155891418457024</x:v>
      </x:c>
      <x:c r="I2486" s="40" t="n">
        <x:f>ABS(H2486)</x:f>
        <x:v>1.3155891418457024</x:v>
      </x:c>
      <x:c r="J2486" s="40" t="n">
        <x:f>H2486^2</x:f>
        <x:v>1.7307747901423116</x:v>
      </x:c>
      <x:c r="K2486" s="40" t="n">
        <x:f>G2486-E2486</x:f>
        <x:v>0</x:v>
      </x:c>
      <x:c r="L2486" s="40" t="n">
        <x:f>ABS(K2486)</x:f>
        <x:v>0</x:v>
      </x:c>
      <x:c r="M2486" s="41" t="str">
        <x:v>lstm-soil-v1</x:v>
      </x:c>
    </x:row>
    <x:row r="2487">
      <x:c r="A2487" s="38" t="str">
        <x:v>7月30日现场数据</x:v>
      </x:c>
      <x:c r="B2487" s="39" t="str">
        <x:v>2026-08-02T17:15:00</x:v>
      </x:c>
      <x:c r="C2487" s="39" t="str">
        <x:v>2026-08-02T18:15:00</x:v>
      </x:c>
      <x:c r="D2487" s="47" t="n">
        <x:v>60</x:v>
      </x:c>
      <x:c r="E2487" s="40" t="n">
        <x:v>14.7</x:v>
      </x:c>
      <x:c r="F2487" s="40" t="n">
        <x:v>15.118484497070312</x:v>
      </x:c>
      <x:c r="G2487" s="40" t="n">
        <x:v>14.7</x:v>
      </x:c>
      <x:c r="H2487" s="40" t="n">
        <x:f>F2487-E2487</x:f>
        <x:v>0.4184844970703132</x:v>
      </x:c>
      <x:c r="I2487" s="40" t="n">
        <x:f>ABS(H2487)</x:f>
        <x:v>0.4184844970703132</x:v>
      </x:c>
      <x:c r="J2487" s="40" t="n">
        <x:f>H2487^2</x:f>
        <x:v>0.175129274288193</x:v>
      </x:c>
      <x:c r="K2487" s="40" t="n">
        <x:f>G2487-E2487</x:f>
        <x:v>0</x:v>
      </x:c>
      <x:c r="L2487" s="40" t="n">
        <x:f>ABS(K2487)</x:f>
        <x:v>0</x:v>
      </x:c>
      <x:c r="M2487" s="41" t="str">
        <x:v>lstm-soil-v1</x:v>
      </x:c>
    </x:row>
    <x:row r="2488">
      <x:c r="A2488" s="38" t="str">
        <x:v>7月30日现场数据</x:v>
      </x:c>
      <x:c r="B2488" s="39" t="str">
        <x:v>2026-08-02T17:20:00</x:v>
      </x:c>
      <x:c r="C2488" s="39" t="str">
        <x:v>2026-08-02T17:25:00</x:v>
      </x:c>
      <x:c r="D2488" s="47" t="n">
        <x:v>5</x:v>
      </x:c>
      <x:c r="E2488" s="40" t="n">
        <x:v>14.8</x:v>
      </x:c>
      <x:c r="F2488" s="40" t="n">
        <x:v>13.049697875976562</x:v>
      </x:c>
      <x:c r="G2488" s="40" t="n">
        <x:v>14.8</x:v>
      </x:c>
      <x:c r="H2488" s="40" t="n">
        <x:f>F2488-E2488</x:f>
        <x:v>-1.7503021240234382</x:v>
      </x:c>
      <x:c r="I2488" s="40" t="n">
        <x:f>ABS(H2488)</x:f>
        <x:v>1.7503021240234382</x:v>
      </x:c>
      <x:c r="J2488" s="40" t="n">
        <x:f>H2488^2</x:f>
        <x:v>3.0635575253609595</x:v>
      </x:c>
      <x:c r="K2488" s="40" t="n">
        <x:f>G2488-E2488</x:f>
        <x:v>0</x:v>
      </x:c>
      <x:c r="L2488" s="40" t="n">
        <x:f>ABS(K2488)</x:f>
        <x:v>0</x:v>
      </x:c>
      <x:c r="M2488" s="41" t="str">
        <x:v>lstm-soil-v1</x:v>
      </x:c>
    </x:row>
    <x:row r="2489">
      <x:c r="A2489" s="38" t="str">
        <x:v>7月30日现场数据</x:v>
      </x:c>
      <x:c r="B2489" s="39" t="str">
        <x:v>2026-08-02T17:20:00</x:v>
      </x:c>
      <x:c r="C2489" s="39" t="str">
        <x:v>2026-08-02T17:35:00</x:v>
      </x:c>
      <x:c r="D2489" s="47" t="n">
        <x:v>15</x:v>
      </x:c>
      <x:c r="E2489" s="40" t="n">
        <x:v>14.8</x:v>
      </x:c>
      <x:c r="F2489" s="40" t="n">
        <x:v>13.133419036865234</x:v>
      </x:c>
      <x:c r="G2489" s="40" t="n">
        <x:v>14.8</x:v>
      </x:c>
      <x:c r="H2489" s="40" t="n">
        <x:f>F2489-E2489</x:f>
        <x:v>-1.6665809631347663</x:v>
      </x:c>
      <x:c r="I2489" s="40" t="n">
        <x:f>ABS(H2489)</x:f>
        <x:v>1.6665809631347663</x:v>
      </x:c>
      <x:c r="J2489" s="40" t="n">
        <x:f>H2489^2</x:f>
        <x:v>2.7774921066832055</x:v>
      </x:c>
      <x:c r="K2489" s="40" t="n">
        <x:f>G2489-E2489</x:f>
        <x:v>0</x:v>
      </x:c>
      <x:c r="L2489" s="40" t="n">
        <x:f>ABS(K2489)</x:f>
        <x:v>0</x:v>
      </x:c>
      <x:c r="M2489" s="41" t="str">
        <x:v>lstm-soil-v1</x:v>
      </x:c>
    </x:row>
    <x:row r="2490">
      <x:c r="A2490" s="38" t="str">
        <x:v>7月30日现场数据</x:v>
      </x:c>
      <x:c r="B2490" s="39" t="str">
        <x:v>2026-08-02T17:20:00</x:v>
      </x:c>
      <x:c r="C2490" s="39" t="str">
        <x:v>2026-08-02T17:50:00</x:v>
      </x:c>
      <x:c r="D2490" s="47" t="n">
        <x:v>30</x:v>
      </x:c>
      <x:c r="E2490" s="40" t="n">
        <x:v>14.7</x:v>
      </x:c>
      <x:c r="F2490" s="40" t="n">
        <x:v>13.491943359375</x:v>
      </x:c>
      <x:c r="G2490" s="40" t="n">
        <x:v>14.8</x:v>
      </x:c>
      <x:c r="H2490" s="40" t="n">
        <x:f>F2490-E2490</x:f>
        <x:v>-1.2080566406249993</x:v>
      </x:c>
      <x:c r="I2490" s="40" t="n">
        <x:f>ABS(H2490)</x:f>
        <x:v>1.2080566406249993</x:v>
      </x:c>
      <x:c r="J2490" s="40" t="n">
        <x:f>H2490^2</x:f>
        <x:v>1.4594008469581587</x:v>
      </x:c>
      <x:c r="K2490" s="40" t="n">
        <x:f>G2490-E2490</x:f>
        <x:v>0.10000000000000142</x:v>
      </x:c>
      <x:c r="L2490" s="40" t="n">
        <x:f>ABS(K2490)</x:f>
        <x:v>0.10000000000000142</x:v>
      </x:c>
      <x:c r="M2490" s="41" t="str">
        <x:v>lstm-soil-v1</x:v>
      </x:c>
    </x:row>
    <x:row r="2491">
      <x:c r="A2491" s="38" t="str">
        <x:v>7月30日现场数据</x:v>
      </x:c>
      <x:c r="B2491" s="39" t="str">
        <x:v>2026-08-02T17:20:00</x:v>
      </x:c>
      <x:c r="C2491" s="39" t="str">
        <x:v>2026-08-02T18:20:00</x:v>
      </x:c>
      <x:c r="D2491" s="47" t="n">
        <x:v>60</x:v>
      </x:c>
      <x:c r="E2491" s="40" t="n">
        <x:v>14.6</x:v>
      </x:c>
      <x:c r="F2491" s="40" t="n">
        <x:v>15.226081848144531</x:v>
      </x:c>
      <x:c r="G2491" s="40" t="n">
        <x:v>14.8</x:v>
      </x:c>
      <x:c r="H2491" s="40" t="n">
        <x:f>F2491-E2491</x:f>
        <x:v>0.6260818481445316</x:v>
      </x:c>
      <x:c r="I2491" s="40" t="n">
        <x:f>ABS(H2491)</x:f>
        <x:v>0.6260818481445316</x:v>
      </x:c>
      <x:c r="J2491" s="40" t="n">
        <x:f>H2491^2</x:f>
        <x:v>0.3919784805760723</x:v>
      </x:c>
      <x:c r="K2491" s="40" t="n">
        <x:f>G2491-E2491</x:f>
        <x:v>0.20000000000000107</x:v>
      </x:c>
      <x:c r="L2491" s="40" t="n">
        <x:f>ABS(K2491)</x:f>
        <x:v>0.20000000000000107</x:v>
      </x:c>
      <x:c r="M2491" s="41" t="str">
        <x:v>lstm-soil-v1</x:v>
      </x:c>
    </x:row>
    <x:row r="2492">
      <x:c r="A2492" s="38" t="str">
        <x:v>7月30日现场数据</x:v>
      </x:c>
      <x:c r="B2492" s="39" t="str">
        <x:v>2026-08-02T17:25:00</x:v>
      </x:c>
      <x:c r="C2492" s="39" t="str">
        <x:v>2026-08-02T17:30:00</x:v>
      </x:c>
      <x:c r="D2492" s="47" t="n">
        <x:v>5</x:v>
      </x:c>
      <x:c r="E2492" s="40" t="n">
        <x:v>14.8</x:v>
      </x:c>
      <x:c r="F2492" s="40" t="n">
        <x:v>13.05160140991211</x:v>
      </x:c>
      <x:c r="G2492" s="40" t="n">
        <x:v>14.8</x:v>
      </x:c>
      <x:c r="H2492" s="40" t="n">
        <x:f>F2492-E2492</x:f>
        <x:v>-1.7483985900878913</x:v>
      </x:c>
      <x:c r="I2492" s="40" t="n">
        <x:f>ABS(H2492)</x:f>
        <x:v>1.7483985900878913</x:v>
      </x:c>
      <x:c r="J2492" s="40" t="n">
        <x:f>H2492^2</x:f>
        <x:v>3.0568976298213264</x:v>
      </x:c>
      <x:c r="K2492" s="40" t="n">
        <x:f>G2492-E2492</x:f>
        <x:v>0</x:v>
      </x:c>
      <x:c r="L2492" s="40" t="n">
        <x:f>ABS(K2492)</x:f>
        <x:v>0</x:v>
      </x:c>
      <x:c r="M2492" s="41" t="str">
        <x:v>lstm-soil-v1</x:v>
      </x:c>
    </x:row>
    <x:row r="2493">
      <x:c r="A2493" s="38" t="str">
        <x:v>7月30日现场数据</x:v>
      </x:c>
      <x:c r="B2493" s="39" t="str">
        <x:v>2026-08-02T17:25:00</x:v>
      </x:c>
      <x:c r="C2493" s="39" t="str">
        <x:v>2026-08-02T17:40:00</x:v>
      </x:c>
      <x:c r="D2493" s="47" t="n">
        <x:v>15</x:v>
      </x:c>
      <x:c r="E2493" s="40" t="n">
        <x:v>14.8</x:v>
      </x:c>
      <x:c r="F2493" s="40" t="n">
        <x:v>13.139644622802734</x:v>
      </x:c>
      <x:c r="G2493" s="40" t="n">
        <x:v>14.8</x:v>
      </x:c>
      <x:c r="H2493" s="40" t="n">
        <x:f>F2493-E2493</x:f>
        <x:v>-1.6603553771972663</x:v>
      </x:c>
      <x:c r="I2493" s="40" t="n">
        <x:f>ABS(H2493)</x:f>
        <x:v>1.6603553771972663</x:v>
      </x:c>
      <x:c r="J2493" s="40" t="n">
        <x:f>H2493^2</x:f>
        <x:v>2.7567799785878764</x:v>
      </x:c>
      <x:c r="K2493" s="40" t="n">
        <x:f>G2493-E2493</x:f>
        <x:v>0</x:v>
      </x:c>
      <x:c r="L2493" s="40" t="n">
        <x:f>ABS(K2493)</x:f>
        <x:v>0</x:v>
      </x:c>
      <x:c r="M2493" s="41" t="str">
        <x:v>lstm-soil-v1</x:v>
      </x:c>
    </x:row>
    <x:row r="2494">
      <x:c r="A2494" s="38" t="str">
        <x:v>7月30日现场数据</x:v>
      </x:c>
      <x:c r="B2494" s="39" t="str">
        <x:v>2026-08-02T17:25:00</x:v>
      </x:c>
      <x:c r="C2494" s="39" t="str">
        <x:v>2026-08-02T17:55:00</x:v>
      </x:c>
      <x:c r="D2494" s="47" t="n">
        <x:v>30</x:v>
      </x:c>
      <x:c r="E2494" s="40" t="n">
        <x:v>14.7</x:v>
      </x:c>
      <x:c r="F2494" s="40" t="n">
        <x:v>13.492591857910156</x:v>
      </x:c>
      <x:c r="G2494" s="40" t="n">
        <x:v>14.8</x:v>
      </x:c>
      <x:c r="H2494" s="40" t="n">
        <x:f>F2494-E2494</x:f>
        <x:v>-1.207408142089843</x:v>
      </x:c>
      <x:c r="I2494" s="40" t="n">
        <x:f>ABS(H2494)</x:f>
        <x:v>1.207408142089843</x:v>
      </x:c>
      <x:c r="J2494" s="40" t="n">
        <x:f>H2494^2</x:f>
        <x:v>1.4578344215848467</x:v>
      </x:c>
      <x:c r="K2494" s="40" t="n">
        <x:f>G2494-E2494</x:f>
        <x:v>0.10000000000000142</x:v>
      </x:c>
      <x:c r="L2494" s="40" t="n">
        <x:f>ABS(K2494)</x:f>
        <x:v>0.10000000000000142</x:v>
      </x:c>
      <x:c r="M2494" s="41" t="str">
        <x:v>lstm-soil-v1</x:v>
      </x:c>
    </x:row>
    <x:row r="2495">
      <x:c r="A2495" s="38" t="str">
        <x:v>7月30日现场数据</x:v>
      </x:c>
      <x:c r="B2495" s="39" t="str">
        <x:v>2026-08-02T17:25:00</x:v>
      </x:c>
      <x:c r="C2495" s="39" t="str">
        <x:v>2026-08-02T18:25:00</x:v>
      </x:c>
      <x:c r="D2495" s="47" t="n">
        <x:v>60</x:v>
      </x:c>
      <x:c r="E2495" s="40" t="n">
        <x:v>14.7</x:v>
      </x:c>
      <x:c r="F2495" s="40" t="n">
        <x:v>15.230232238769531</x:v>
      </x:c>
      <x:c r="G2495" s="40" t="n">
        <x:v>14.8</x:v>
      </x:c>
      <x:c r="H2495" s="40" t="n">
        <x:f>F2495-E2495</x:f>
        <x:v>0.530232238769532</x:v>
      </x:c>
      <x:c r="I2495" s="40" t="n">
        <x:f>ABS(H2495)</x:f>
        <x:v>0.530232238769532</x:v>
      </x:c>
      <x:c r="J2495" s="40" t="n">
        <x:f>H2495^2</x:f>
        <x:v>0.28114622703055</x:v>
      </x:c>
      <x:c r="K2495" s="40" t="n">
        <x:f>G2495-E2495</x:f>
        <x:v>0.10000000000000142</x:v>
      </x:c>
      <x:c r="L2495" s="40" t="n">
        <x:f>ABS(K2495)</x:f>
        <x:v>0.10000000000000142</x:v>
      </x:c>
      <x:c r="M2495" s="41" t="str">
        <x:v>lstm-soil-v1</x:v>
      </x:c>
    </x:row>
    <x:row r="2496">
      <x:c r="A2496" s="38" t="str">
        <x:v>7月30日现场数据</x:v>
      </x:c>
      <x:c r="B2496" s="39" t="str">
        <x:v>2026-08-02T17:30:00</x:v>
      </x:c>
      <x:c r="C2496" s="39" t="str">
        <x:v>2026-08-02T17:35:00</x:v>
      </x:c>
      <x:c r="D2496" s="47" t="n">
        <x:v>5</x:v>
      </x:c>
      <x:c r="E2496" s="40" t="n">
        <x:v>14.8</x:v>
      </x:c>
      <x:c r="F2496" s="40" t="n">
        <x:v>13.043792724609375</x:v>
      </x:c>
      <x:c r="G2496" s="40" t="n">
        <x:v>14.8</x:v>
      </x:c>
      <x:c r="H2496" s="40" t="n">
        <x:f>F2496-E2496</x:f>
        <x:v>-1.7562072753906257</x:v>
      </x:c>
      <x:c r="I2496" s="40" t="n">
        <x:f>ABS(H2496)</x:f>
        <x:v>1.7562072753906257</x:v>
      </x:c>
      <x:c r="J2496" s="40" t="n">
        <x:f>H2496^2</x:f>
        <x:v>3.084263994134965</x:v>
      </x:c>
      <x:c r="K2496" s="40" t="n">
        <x:f>G2496-E2496</x:f>
        <x:v>0</x:v>
      </x:c>
      <x:c r="L2496" s="40" t="n">
        <x:f>ABS(K2496)</x:f>
        <x:v>0</x:v>
      </x:c>
      <x:c r="M2496" s="41" t="str">
        <x:v>lstm-soil-v1</x:v>
      </x:c>
    </x:row>
    <x:row r="2497">
      <x:c r="A2497" s="38" t="str">
        <x:v>7月30日现场数据</x:v>
      </x:c>
      <x:c r="B2497" s="39" t="str">
        <x:v>2026-08-02T17:30:00</x:v>
      </x:c>
      <x:c r="C2497" s="39" t="str">
        <x:v>2026-08-02T17:45:00</x:v>
      </x:c>
      <x:c r="D2497" s="47" t="n">
        <x:v>15</x:v>
      </x:c>
      <x:c r="E2497" s="40" t="n">
        <x:v>14.7</x:v>
      </x:c>
      <x:c r="F2497" s="40" t="n">
        <x:v>13.134544372558594</x:v>
      </x:c>
      <x:c r="G2497" s="40" t="n">
        <x:v>14.8</x:v>
      </x:c>
      <x:c r="H2497" s="40" t="n">
        <x:f>F2497-E2497</x:f>
        <x:v>-1.5654556274414055</x:v>
      </x:c>
      <x:c r="I2497" s="40" t="n">
        <x:f>ABS(H2497)</x:f>
        <x:v>1.5654556274414055</x:v>
      </x:c>
      <x:c r="J2497" s="40" t="n">
        <x:f>H2497^2</x:f>
        <x:v>2.450651321487965</x:v>
      </x:c>
      <x:c r="K2497" s="40" t="n">
        <x:f>G2497-E2497</x:f>
        <x:v>0.10000000000000142</x:v>
      </x:c>
      <x:c r="L2497" s="40" t="n">
        <x:f>ABS(K2497)</x:f>
        <x:v>0.10000000000000142</x:v>
      </x:c>
      <x:c r="M2497" s="41" t="str">
        <x:v>lstm-soil-v1</x:v>
      </x:c>
    </x:row>
    <x:row r="2498">
      <x:c r="A2498" s="38" t="str">
        <x:v>7月30日现场数据</x:v>
      </x:c>
      <x:c r="B2498" s="39" t="str">
        <x:v>2026-08-02T17:30:00</x:v>
      </x:c>
      <x:c r="C2498" s="39" t="str">
        <x:v>2026-08-02T18:00:00</x:v>
      </x:c>
      <x:c r="D2498" s="47" t="n">
        <x:v>30</x:v>
      </x:c>
      <x:c r="E2498" s="40" t="n">
        <x:v>14.7</x:v>
      </x:c>
      <x:c r="F2498" s="40" t="n">
        <x:v>13.48263168334961</x:v>
      </x:c>
      <x:c r="G2498" s="40" t="n">
        <x:v>14.8</x:v>
      </x:c>
      <x:c r="H2498" s="40" t="n">
        <x:f>F2498-E2498</x:f>
        <x:v>-1.21736831665039</x:v>
      </x:c>
      <x:c r="I2498" s="40" t="n">
        <x:f>ABS(H2498)</x:f>
        <x:v>1.21736831665039</x:v>
      </x:c>
      <x:c r="J2498" s="40" t="n">
        <x:f>H2498^2</x:f>
        <x:v>1.481985618384204</x:v>
      </x:c>
      <x:c r="K2498" s="40" t="n">
        <x:f>G2498-E2498</x:f>
        <x:v>0.10000000000000142</x:v>
      </x:c>
      <x:c r="L2498" s="40" t="n">
        <x:f>ABS(K2498)</x:f>
        <x:v>0.10000000000000142</x:v>
      </x:c>
      <x:c r="M2498" s="41" t="str">
        <x:v>lstm-soil-v1</x:v>
      </x:c>
    </x:row>
    <x:row r="2499">
      <x:c r="A2499" s="38" t="str">
        <x:v>7月30日现场数据</x:v>
      </x:c>
      <x:c r="B2499" s="39" t="str">
        <x:v>2026-08-02T17:30:00</x:v>
      </x:c>
      <x:c r="C2499" s="39" t="str">
        <x:v>2026-08-02T18:30:00</x:v>
      </x:c>
      <x:c r="D2499" s="47" t="n">
        <x:v>60</x:v>
      </x:c>
      <x:c r="E2499" s="40" t="n">
        <x:v>14.7</x:v>
      </x:c>
      <x:c r="F2499" s="40" t="n">
        <x:v>15.216995239257812</x:v>
      </x:c>
      <x:c r="G2499" s="40" t="n">
        <x:v>14.8</x:v>
      </x:c>
      <x:c r="H2499" s="40" t="n">
        <x:f>F2499-E2499</x:f>
        <x:v>0.5169952392578132</x:v>
      </x:c>
      <x:c r="I2499" s="40" t="n">
        <x:f>ABS(H2499)</x:f>
        <x:v>0.5169952392578132</x:v>
      </x:c>
      <x:c r="J2499" s="40" t="n">
        <x:f>H2499^2</x:f>
        <x:v>0.2672840774152435</x:v>
      </x:c>
      <x:c r="K2499" s="40" t="n">
        <x:f>G2499-E2499</x:f>
        <x:v>0.10000000000000142</x:v>
      </x:c>
      <x:c r="L2499" s="40" t="n">
        <x:f>ABS(K2499)</x:f>
        <x:v>0.10000000000000142</x:v>
      </x:c>
      <x:c r="M2499" s="41" t="str">
        <x:v>lstm-soil-v1</x:v>
      </x:c>
    </x:row>
    <x:row r="2500">
      <x:c r="A2500" s="38" t="str">
        <x:v>7月30日现场数据</x:v>
      </x:c>
      <x:c r="B2500" s="39" t="str">
        <x:v>2026-08-02T17:35:00</x:v>
      </x:c>
      <x:c r="C2500" s="39" t="str">
        <x:v>2026-08-02T17:40:00</x:v>
      </x:c>
      <x:c r="D2500" s="47" t="n">
        <x:v>5</x:v>
      </x:c>
      <x:c r="E2500" s="40" t="n">
        <x:v>14.8</x:v>
      </x:c>
      <x:c r="F2500" s="40" t="n">
        <x:v>13.043296813964844</x:v>
      </x:c>
      <x:c r="G2500" s="40" t="n">
        <x:v>14.8</x:v>
      </x:c>
      <x:c r="H2500" s="40" t="n">
        <x:f>F2500-E2500</x:f>
        <x:v>-1.756703186035157</x:v>
      </x:c>
      <x:c r="I2500" s="40" t="n">
        <x:f>ABS(H2500)</x:f>
        <x:v>1.756703186035157</x:v>
      </x:c>
      <x:c r="J2500" s="40" t="n">
        <x:f>H2500^2</x:f>
        <x:v>3.0860060838260712</x:v>
      </x:c>
      <x:c r="K2500" s="40" t="n">
        <x:f>G2500-E2500</x:f>
        <x:v>0</x:v>
      </x:c>
      <x:c r="L2500" s="40" t="n">
        <x:f>ABS(K2500)</x:f>
        <x:v>0</x:v>
      </x:c>
      <x:c r="M2500" s="41" t="str">
        <x:v>lstm-soil-v1</x:v>
      </x:c>
    </x:row>
    <x:row r="2501">
      <x:c r="A2501" s="38" t="str">
        <x:v>7月30日现场数据</x:v>
      </x:c>
      <x:c r="B2501" s="39" t="str">
        <x:v>2026-08-02T17:35:00</x:v>
      </x:c>
      <x:c r="C2501" s="39" t="str">
        <x:v>2026-08-02T17:50:00</x:v>
      </x:c>
      <x:c r="D2501" s="47" t="n">
        <x:v>15</x:v>
      </x:c>
      <x:c r="E2501" s="40" t="n">
        <x:v>14.7</x:v>
      </x:c>
      <x:c r="F2501" s="40" t="n">
        <x:v>13.130443572998047</x:v>
      </x:c>
      <x:c r="G2501" s="40" t="n">
        <x:v>14.8</x:v>
      </x:c>
      <x:c r="H2501" s="40" t="n">
        <x:f>F2501-E2501</x:f>
        <x:v>-1.5695564270019524</x:v>
      </x:c>
      <x:c r="I2501" s="40" t="n">
        <x:f>ABS(H2501)</x:f>
        <x:v>1.5695564270019524</x:v>
      </x:c>
      <x:c r="J2501" s="40" t="n">
        <x:f>H2501^2</x:f>
        <x:v>2.4635073775431353</x:v>
      </x:c>
      <x:c r="K2501" s="40" t="n">
        <x:f>G2501-E2501</x:f>
        <x:v>0.10000000000000142</x:v>
      </x:c>
      <x:c r="L2501" s="40" t="n">
        <x:f>ABS(K2501)</x:f>
        <x:v>0.10000000000000142</x:v>
      </x:c>
      <x:c r="M2501" s="41" t="str">
        <x:v>lstm-soil-v1</x:v>
      </x:c>
    </x:row>
    <x:row r="2502">
      <x:c r="A2502" s="38" t="str">
        <x:v>7月30日现场数据</x:v>
      </x:c>
      <x:c r="B2502" s="39" t="str">
        <x:v>2026-08-02T17:35:00</x:v>
      </x:c>
      <x:c r="C2502" s="39" t="str">
        <x:v>2026-08-02T18:05:00</x:v>
      </x:c>
      <x:c r="D2502" s="47" t="n">
        <x:v>30</x:v>
      </x:c>
      <x:c r="E2502" s="40" t="n">
        <x:v>14.7</x:v>
      </x:c>
      <x:c r="F2502" s="40" t="n">
        <x:v>13.482337951660156</x:v>
      </x:c>
      <x:c r="G2502" s="40" t="n">
        <x:v>14.8</x:v>
      </x:c>
      <x:c r="H2502" s="40" t="n">
        <x:f>F2502-E2502</x:f>
        <x:v>-1.217662048339843</x:v>
      </x:c>
      <x:c r="I2502" s="40" t="n">
        <x:f>ABS(H2502)</x:f>
        <x:v>1.217662048339843</x:v>
      </x:c>
      <x:c r="J2502" s="40" t="n">
        <x:f>H2502^2</x:f>
        <x:v>1.4827008639671821</x:v>
      </x:c>
      <x:c r="K2502" s="40" t="n">
        <x:f>G2502-E2502</x:f>
        <x:v>0.10000000000000142</x:v>
      </x:c>
      <x:c r="L2502" s="40" t="n">
        <x:f>ABS(K2502)</x:f>
        <x:v>0.10000000000000142</x:v>
      </x:c>
      <x:c r="M2502" s="41" t="str">
        <x:v>lstm-soil-v1</x:v>
      </x:c>
    </x:row>
    <x:row r="2503">
      <x:c r="A2503" s="38" t="str">
        <x:v>7月30日现场数据</x:v>
      </x:c>
      <x:c r="B2503" s="39" t="str">
        <x:v>2026-08-02T17:35:00</x:v>
      </x:c>
      <x:c r="C2503" s="39" t="str">
        <x:v>2026-08-02T18:35:00</x:v>
      </x:c>
      <x:c r="D2503" s="47" t="n">
        <x:v>60</x:v>
      </x:c>
      <x:c r="E2503" s="40" t="n">
        <x:v>14.7</x:v>
      </x:c>
      <x:c r="F2503" s="40" t="n">
        <x:v>15.216472625732422</x:v>
      </x:c>
      <x:c r="G2503" s="40" t="n">
        <x:v>14.8</x:v>
      </x:c>
      <x:c r="H2503" s="40" t="n">
        <x:f>F2503-E2503</x:f>
        <x:v>0.5164726257324226</x:v>
      </x:c>
      <x:c r="I2503" s="40" t="n">
        <x:f>ABS(H2503)</x:f>
        <x:v>0.5164726257324226</x:v>
      </x:c>
      <x:c r="J2503" s="40" t="n">
        <x:f>H2503^2</x:f>
        <x:v>0.26674397313094306</x:v>
      </x:c>
      <x:c r="K2503" s="40" t="n">
        <x:f>G2503-E2503</x:f>
        <x:v>0.10000000000000142</x:v>
      </x:c>
      <x:c r="L2503" s="40" t="n">
        <x:f>ABS(K2503)</x:f>
        <x:v>0.10000000000000142</x:v>
      </x:c>
      <x:c r="M2503" s="41" t="str">
        <x:v>lstm-soil-v1</x:v>
      </x:c>
    </x:row>
    <x:row r="2504">
      <x:c r="A2504" s="38" t="str">
        <x:v>7月30日现场数据</x:v>
      </x:c>
      <x:c r="B2504" s="39" t="str">
        <x:v>2026-08-02T17:40:00</x:v>
      </x:c>
      <x:c r="C2504" s="39" t="str">
        <x:v>2026-08-02T17:45:00</x:v>
      </x:c>
      <x:c r="D2504" s="47" t="n">
        <x:v>5</x:v>
      </x:c>
      <x:c r="E2504" s="40" t="n">
        <x:v>14.7</x:v>
      </x:c>
      <x:c r="F2504" s="40" t="n">
        <x:v>13.043914794921875</x:v>
      </x:c>
      <x:c r="G2504" s="40" t="n">
        <x:v>14.8</x:v>
      </x:c>
      <x:c r="H2504" s="40" t="n">
        <x:f>F2504-E2504</x:f>
        <x:v>-1.6560852050781243</x:v>
      </x:c>
      <x:c r="I2504" s="40" t="n">
        <x:f>ABS(H2504)</x:f>
        <x:v>1.6560852050781243</x:v>
      </x:c>
      <x:c r="J2504" s="40" t="n">
        <x:f>H2504^2</x:f>
        <x:v>2.742618206478653</x:v>
      </x:c>
      <x:c r="K2504" s="40" t="n">
        <x:f>G2504-E2504</x:f>
        <x:v>0.10000000000000142</x:v>
      </x:c>
      <x:c r="L2504" s="40" t="n">
        <x:f>ABS(K2504)</x:f>
        <x:v>0.10000000000000142</x:v>
      </x:c>
      <x:c r="M2504" s="41" t="str">
        <x:v>lstm-soil-v1</x:v>
      </x:c>
    </x:row>
    <x:row r="2505">
      <x:c r="A2505" s="38" t="str">
        <x:v>7月30日现场数据</x:v>
      </x:c>
      <x:c r="B2505" s="39" t="str">
        <x:v>2026-08-02T17:40:00</x:v>
      </x:c>
      <x:c r="C2505" s="39" t="str">
        <x:v>2026-08-02T17:55:00</x:v>
      </x:c>
      <x:c r="D2505" s="47" t="n">
        <x:v>15</x:v>
      </x:c>
      <x:c r="E2505" s="40" t="n">
        <x:v>14.7</x:v>
      </x:c>
      <x:c r="F2505" s="40" t="n">
        <x:v>13.128204345703125</x:v>
      </x:c>
      <x:c r="G2505" s="40" t="n">
        <x:v>14.8</x:v>
      </x:c>
      <x:c r="H2505" s="40" t="n">
        <x:f>F2505-E2505</x:f>
        <x:v>-1.5717956542968743</x:v>
      </x:c>
      <x:c r="I2505" s="40" t="n">
        <x:f>ABS(H2505)</x:f>
        <x:v>1.5717956542968743</x:v>
      </x:c>
      <x:c r="J2505" s="40" t="n">
        <x:f>H2505^2</x:f>
        <x:v>2.470541578866539</x:v>
      </x:c>
      <x:c r="K2505" s="40" t="n">
        <x:f>G2505-E2505</x:f>
        <x:v>0.10000000000000142</x:v>
      </x:c>
      <x:c r="L2505" s="40" t="n">
        <x:f>ABS(K2505)</x:f>
        <x:v>0.10000000000000142</x:v>
      </x:c>
      <x:c r="M2505" s="41" t="str">
        <x:v>lstm-soil-v1</x:v>
      </x:c>
    </x:row>
    <x:row r="2506">
      <x:c r="A2506" s="38" t="str">
        <x:v>7月30日现场数据</x:v>
      </x:c>
      <x:c r="B2506" s="39" t="str">
        <x:v>2026-08-02T17:40:00</x:v>
      </x:c>
      <x:c r="C2506" s="39" t="str">
        <x:v>2026-08-02T18:10:00</x:v>
      </x:c>
      <x:c r="D2506" s="47" t="n">
        <x:v>30</x:v>
      </x:c>
      <x:c r="E2506" s="40" t="n">
        <x:v>14.7</x:v>
      </x:c>
      <x:c r="F2506" s="40" t="n">
        <x:v>13.48379898071289</x:v>
      </x:c>
      <x:c r="G2506" s="40" t="n">
        <x:v>14.8</x:v>
      </x:c>
      <x:c r="H2506" s="40" t="n">
        <x:f>F2506-E2506</x:f>
        <x:v>-1.2162010192871087</x:v>
      </x:c>
      <x:c r="I2506" s="40" t="n">
        <x:f>ABS(H2506)</x:f>
        <x:v>1.2162010192871087</x:v>
      </x:c>
      <x:c r="J2506" s="40" t="n">
        <x:f>H2506^2</x:f>
        <x:v>1.4791449193150021</x:v>
      </x:c>
      <x:c r="K2506" s="40" t="n">
        <x:f>G2506-E2506</x:f>
        <x:v>0.10000000000000142</x:v>
      </x:c>
      <x:c r="L2506" s="40" t="n">
        <x:f>ABS(K2506)</x:f>
        <x:v>0.10000000000000142</x:v>
      </x:c>
      <x:c r="M2506" s="41" t="str">
        <x:v>lstm-soil-v1</x:v>
      </x:c>
    </x:row>
    <x:row r="2507">
      <x:c r="A2507" s="38" t="str">
        <x:v>7月30日现场数据</x:v>
      </x:c>
      <x:c r="B2507" s="39" t="str">
        <x:v>2026-08-02T17:40:00</x:v>
      </x:c>
      <x:c r="C2507" s="39" t="str">
        <x:v>2026-08-02T18:40:00</x:v>
      </x:c>
      <x:c r="D2507" s="47" t="n">
        <x:v>60</x:v>
      </x:c>
      <x:c r="E2507" s="40" t="n">
        <x:v>14.7</x:v>
      </x:c>
      <x:c r="F2507" s="40" t="n">
        <x:v>15.217536926269531</x:v>
      </x:c>
      <x:c r="G2507" s="40" t="n">
        <x:v>14.8</x:v>
      </x:c>
      <x:c r="H2507" s="40" t="n">
        <x:f>F2507-E2507</x:f>
        <x:v>0.517536926269532</x:v>
      </x:c>
      <x:c r="I2507" s="40" t="n">
        <x:f>ABS(H2507)</x:f>
        <x:v>0.517536926269532</x:v>
      </x:c>
      <x:c r="J2507" s="40" t="n">
        <x:f>H2507^2</x:f>
        <x:v>0.26784447005251494</x:v>
      </x:c>
      <x:c r="K2507" s="40" t="n">
        <x:f>G2507-E2507</x:f>
        <x:v>0.10000000000000142</x:v>
      </x:c>
      <x:c r="L2507" s="40" t="n">
        <x:f>ABS(K2507)</x:f>
        <x:v>0.10000000000000142</x:v>
      </x:c>
      <x:c r="M2507" s="41" t="str">
        <x:v>lstm-soil-v1</x:v>
      </x:c>
    </x:row>
    <x:row r="2508">
      <x:c r="A2508" s="38" t="str">
        <x:v>7月30日现场数据</x:v>
      </x:c>
      <x:c r="B2508" s="39" t="str">
        <x:v>2026-08-02T17:45:00</x:v>
      </x:c>
      <x:c r="C2508" s="39" t="str">
        <x:v>2026-08-02T17:50:00</x:v>
      </x:c>
      <x:c r="D2508" s="47" t="n">
        <x:v>5</x:v>
      </x:c>
      <x:c r="E2508" s="40" t="n">
        <x:v>14.7</x:v>
      </x:c>
      <x:c r="F2508" s="40" t="n">
        <x:v>12.934772491455078</x:v>
      </x:c>
      <x:c r="G2508" s="40" t="n">
        <x:v>14.7</x:v>
      </x:c>
      <x:c r="H2508" s="40" t="n">
        <x:f>F2508-E2508</x:f>
        <x:v>-1.7652275085449212</x:v>
      </x:c>
      <x:c r="I2508" s="40" t="n">
        <x:f>ABS(H2508)</x:f>
        <x:v>1.7652275085449212</x:v>
      </x:c>
      <x:c r="J2508" s="40" t="n">
        <x:f>H2508^2</x:f>
        <x:v>3.1160281569237096</x:v>
      </x:c>
      <x:c r="K2508" s="40" t="n">
        <x:f>G2508-E2508</x:f>
        <x:v>0</x:v>
      </x:c>
      <x:c r="L2508" s="40" t="n">
        <x:f>ABS(K2508)</x:f>
        <x:v>0</x:v>
      </x:c>
      <x:c r="M2508" s="41" t="str">
        <x:v>lstm-soil-v1</x:v>
      </x:c>
    </x:row>
    <x:row r="2509">
      <x:c r="A2509" s="38" t="str">
        <x:v>7月30日现场数据</x:v>
      </x:c>
      <x:c r="B2509" s="39" t="str">
        <x:v>2026-08-02T17:45:00</x:v>
      </x:c>
      <x:c r="C2509" s="39" t="str">
        <x:v>2026-08-02T18:00:00</x:v>
      </x:c>
      <x:c r="D2509" s="47" t="n">
        <x:v>15</x:v>
      </x:c>
      <x:c r="E2509" s="40" t="n">
        <x:v>14.7</x:v>
      </x:c>
      <x:c r="F2509" s="40" t="n">
        <x:v>13.017261505126953</x:v>
      </x:c>
      <x:c r="G2509" s="40" t="n">
        <x:v>14.7</x:v>
      </x:c>
      <x:c r="H2509" s="40" t="n">
        <x:f>F2509-E2509</x:f>
        <x:v>-1.6827384948730462</x:v>
      </x:c>
      <x:c r="I2509" s="40" t="n">
        <x:f>ABS(H2509)</x:f>
        <x:v>1.6827384948730462</x:v>
      </x:c>
      <x:c r="J2509" s="40" t="n">
        <x:f>H2509^2</x:f>
        <x:v>2.8316088421276047</x:v>
      </x:c>
      <x:c r="K2509" s="40" t="n">
        <x:f>G2509-E2509</x:f>
        <x:v>0</x:v>
      </x:c>
      <x:c r="L2509" s="40" t="n">
        <x:f>ABS(K2509)</x:f>
        <x:v>0</x:v>
      </x:c>
      <x:c r="M2509" s="41" t="str">
        <x:v>lstm-soil-v1</x:v>
      </x:c>
    </x:row>
    <x:row r="2510">
      <x:c r="A2510" s="38" t="str">
        <x:v>7月30日现场数据</x:v>
      </x:c>
      <x:c r="B2510" s="39" t="str">
        <x:v>2026-08-02T17:45:00</x:v>
      </x:c>
      <x:c r="C2510" s="39" t="str">
        <x:v>2026-08-02T18:15:00</x:v>
      </x:c>
      <x:c r="D2510" s="47" t="n">
        <x:v>30</x:v>
      </x:c>
      <x:c r="E2510" s="40" t="n">
        <x:v>14.7</x:v>
      </x:c>
      <x:c r="F2510" s="40" t="n">
        <x:v>13.375991821289062</x:v>
      </x:c>
      <x:c r="G2510" s="40" t="n">
        <x:v>14.7</x:v>
      </x:c>
      <x:c r="H2510" s="40" t="n">
        <x:f>F2510-E2510</x:f>
        <x:v>-1.3240081787109368</x:v>
      </x:c>
      <x:c r="I2510" s="40" t="n">
        <x:f>ABS(H2510)</x:f>
        <x:v>1.3240081787109368</x:v>
      </x:c>
      <x:c r="J2510" s="40" t="n">
        <x:f>H2510^2</x:f>
        <x:v>1.752997657293452</x:v>
      </x:c>
      <x:c r="K2510" s="40" t="n">
        <x:f>G2510-E2510</x:f>
        <x:v>0</x:v>
      </x:c>
      <x:c r="L2510" s="40" t="n">
        <x:f>ABS(K2510)</x:f>
        <x:v>0</x:v>
      </x:c>
      <x:c r="M2510" s="41" t="str">
        <x:v>lstm-soil-v1</x:v>
      </x:c>
    </x:row>
    <x:row r="2511">
      <x:c r="A2511" s="38" t="str">
        <x:v>7月30日现场数据</x:v>
      </x:c>
      <x:c r="B2511" s="39" t="str">
        <x:v>2026-08-02T17:45:00</x:v>
      </x:c>
      <x:c r="C2511" s="39" t="str">
        <x:v>2026-08-02T18:45:00</x:v>
      </x:c>
      <x:c r="D2511" s="47" t="n">
        <x:v>60</x:v>
      </x:c>
      <x:c r="E2511" s="40" t="n">
        <x:v>14.7</x:v>
      </x:c>
      <x:c r="F2511" s="40" t="n">
        <x:v>15.109352111816406</x:v>
      </x:c>
      <x:c r="G2511" s="40" t="n">
        <x:v>14.7</x:v>
      </x:c>
      <x:c r="H2511" s="40" t="n">
        <x:f>F2511-E2511</x:f>
        <x:v>0.40935211181640696</x:v>
      </x:c>
      <x:c r="I2511" s="40" t="n">
        <x:f>ABS(H2511)</x:f>
        <x:v>0.40935211181640696</x:v>
      </x:c>
      <x:c r="J2511" s="40" t="n">
        <x:f>H2511^2</x:f>
        <x:v>0.16756915144855214</x:v>
      </x:c>
      <x:c r="K2511" s="40" t="n">
        <x:f>G2511-E2511</x:f>
        <x:v>0</x:v>
      </x:c>
      <x:c r="L2511" s="40" t="n">
        <x:f>ABS(K2511)</x:f>
        <x:v>0</x:v>
      </x:c>
      <x:c r="M2511" s="41" t="str">
        <x:v>lstm-soil-v1</x:v>
      </x:c>
    </x:row>
    <x:row r="2512">
      <x:c r="A2512" s="38" t="str">
        <x:v>7月30日现场数据</x:v>
      </x:c>
      <x:c r="B2512" s="39" t="str">
        <x:v>2026-08-02T17:50:00</x:v>
      </x:c>
      <x:c r="C2512" s="39" t="str">
        <x:v>2026-08-02T17:55:00</x:v>
      </x:c>
      <x:c r="D2512" s="47" t="n">
        <x:v>5</x:v>
      </x:c>
      <x:c r="E2512" s="40" t="n">
        <x:v>14.7</x:v>
      </x:c>
      <x:c r="F2512" s="40" t="n">
        <x:v>12.935791015625</x:v>
      </x:c>
      <x:c r="G2512" s="40" t="n">
        <x:v>14.7</x:v>
      </x:c>
      <x:c r="H2512" s="40" t="n">
        <x:f>F2512-E2512</x:f>
        <x:v>-1.7642089843749993</x:v>
      </x:c>
      <x:c r="I2512" s="40" t="n">
        <x:f>ABS(H2512)</x:f>
        <x:v>1.7642089843749993</x:v>
      </x:c>
      <x:c r="J2512" s="40" t="n">
        <x:f>H2512^2</x:f>
        <x:v>3.1124333405494666</x:v>
      </x:c>
      <x:c r="K2512" s="40" t="n">
        <x:f>G2512-E2512</x:f>
        <x:v>0</x:v>
      </x:c>
      <x:c r="L2512" s="40" t="n">
        <x:f>ABS(K2512)</x:f>
        <x:v>0</x:v>
      </x:c>
      <x:c r="M2512" s="41" t="str">
        <x:v>lstm-soil-v1</x:v>
      </x:c>
    </x:row>
    <x:row r="2513">
      <x:c r="A2513" s="38" t="str">
        <x:v>7月30日现场数据</x:v>
      </x:c>
      <x:c r="B2513" s="39" t="str">
        <x:v>2026-08-02T17:50:00</x:v>
      </x:c>
      <x:c r="C2513" s="39" t="str">
        <x:v>2026-08-02T18:05:00</x:v>
      </x:c>
      <x:c r="D2513" s="47" t="n">
        <x:v>15</x:v>
      </x:c>
      <x:c r="E2513" s="40" t="n">
        <x:v>14.7</x:v>
      </x:c>
      <x:c r="F2513" s="40" t="n">
        <x:v>13.017303466796875</x:v>
      </x:c>
      <x:c r="G2513" s="40" t="n">
        <x:v>14.7</x:v>
      </x:c>
      <x:c r="H2513" s="40" t="n">
        <x:f>F2513-E2513</x:f>
        <x:v>-1.6826965332031243</x:v>
      </x:c>
      <x:c r="I2513" s="40" t="n">
        <x:f>ABS(H2513)</x:f>
        <x:v>1.6826965332031243</x:v>
      </x:c>
      <x:c r="J2513" s="40" t="n">
        <x:f>H2513^2</x:f>
        <x:v>2.8314676228538134</x:v>
      </x:c>
      <x:c r="K2513" s="40" t="n">
        <x:f>G2513-E2513</x:f>
        <x:v>0</x:v>
      </x:c>
      <x:c r="L2513" s="40" t="n">
        <x:f>ABS(K2513)</x:f>
        <x:v>0</x:v>
      </x:c>
      <x:c r="M2513" s="41" t="str">
        <x:v>lstm-soil-v1</x:v>
      </x:c>
    </x:row>
    <x:row r="2514">
      <x:c r="A2514" s="38" t="str">
        <x:v>7月30日现场数据</x:v>
      </x:c>
      <x:c r="B2514" s="39" t="str">
        <x:v>2026-08-02T17:50:00</x:v>
      </x:c>
      <x:c r="C2514" s="39" t="str">
        <x:v>2026-08-02T18:20:00</x:v>
      </x:c>
      <x:c r="D2514" s="47" t="n">
        <x:v>30</x:v>
      </x:c>
      <x:c r="E2514" s="40" t="n">
        <x:v>14.6</x:v>
      </x:c>
      <x:c r="F2514" s="40" t="n">
        <x:v>13.37808609008789</x:v>
      </x:c>
      <x:c r="G2514" s="40" t="n">
        <x:v>14.7</x:v>
      </x:c>
      <x:c r="H2514" s="40" t="n">
        <x:f>F2514-E2514</x:f>
        <x:v>-1.221913909912109</x:v>
      </x:c>
      <x:c r="I2514" s="40" t="n">
        <x:f>ABS(H2514)</x:f>
        <x:v>1.221913909912109</x:v>
      </x:c>
      <x:c r="J2514" s="40" t="n">
        <x:f>H2514^2</x:f>
        <x:v>1.4930736032366976</x:v>
      </x:c>
      <x:c r="K2514" s="40" t="n">
        <x:f>G2514-E2514</x:f>
        <x:v>0.09999999999999964</x:v>
      </x:c>
      <x:c r="L2514" s="40" t="n">
        <x:f>ABS(K2514)</x:f>
        <x:v>0.09999999999999964</x:v>
      </x:c>
      <x:c r="M2514" s="41" t="str">
        <x:v>lstm-soil-v1</x:v>
      </x:c>
    </x:row>
    <x:row r="2515">
      <x:c r="A2515" s="38" t="str">
        <x:v>7月30日现场数据</x:v>
      </x:c>
      <x:c r="B2515" s="39" t="str">
        <x:v>2026-08-02T17:50:00</x:v>
      </x:c>
      <x:c r="C2515" s="39" t="str">
        <x:v>2026-08-02T18:50:00</x:v>
      </x:c>
      <x:c r="D2515" s="47" t="n">
        <x:v>60</x:v>
      </x:c>
      <x:c r="E2515" s="40" t="n">
        <x:v>14.7</x:v>
      </x:c>
      <x:c r="F2515" s="40" t="n">
        <x:v>15.11111068725586</x:v>
      </x:c>
      <x:c r="G2515" s="40" t="n">
        <x:v>14.7</x:v>
      </x:c>
      <x:c r="H2515" s="40" t="n">
        <x:f>F2515-E2515</x:f>
        <x:v>0.4111106872558601</x:v>
      </x:c>
      <x:c r="I2515" s="40" t="n">
        <x:f>ABS(H2515)</x:f>
        <x:v>0.4111106872558601</x:v>
      </x:c>
      <x:c r="J2515" s="40" t="n">
        <x:f>H2515^2</x:f>
        <x:v>0.1690119971759856</x:v>
      </x:c>
      <x:c r="K2515" s="40" t="n">
        <x:f>G2515-E2515</x:f>
        <x:v>0</x:v>
      </x:c>
      <x:c r="L2515" s="40" t="n">
        <x:f>ABS(K2515)</x:f>
        <x:v>0</x:v>
      </x:c>
      <x:c r="M2515" s="41" t="str">
        <x:v>lstm-soil-v1</x:v>
      </x:c>
    </x:row>
    <x:row r="2516">
      <x:c r="A2516" s="38" t="str">
        <x:v>7月30日现场数据</x:v>
      </x:c>
      <x:c r="B2516" s="39" t="str">
        <x:v>2026-08-02T17:55:00</x:v>
      </x:c>
      <x:c r="C2516" s="39" t="str">
        <x:v>2026-08-02T18:00:00</x:v>
      </x:c>
      <x:c r="D2516" s="47" t="n">
        <x:v>5</x:v>
      </x:c>
      <x:c r="E2516" s="40" t="n">
        <x:v>14.7</x:v>
      </x:c>
      <x:c r="F2516" s="40" t="n">
        <x:v>12.936664581298828</x:v>
      </x:c>
      <x:c r="G2516" s="40" t="n">
        <x:v>14.7</x:v>
      </x:c>
      <x:c r="H2516" s="40" t="n">
        <x:f>F2516-E2516</x:f>
        <x:v>-1.7633354187011712</x:v>
      </x:c>
      <x:c r="I2516" s="40" t="n">
        <x:f>ABS(H2516)</x:f>
        <x:v>1.7633354187011712</x:v>
      </x:c>
      <x:c r="J2516" s="40" t="n">
        <x:f>H2516^2</x:f>
        <x:v>3.1093517988460344</x:v>
      </x:c>
      <x:c r="K2516" s="40" t="n">
        <x:f>G2516-E2516</x:f>
        <x:v>0</x:v>
      </x:c>
      <x:c r="L2516" s="40" t="n">
        <x:f>ABS(K2516)</x:f>
        <x:v>0</x:v>
      </x:c>
      <x:c r="M2516" s="41" t="str">
        <x:v>lstm-soil-v1</x:v>
      </x:c>
    </x:row>
    <x:row r="2517">
      <x:c r="A2517" s="38" t="str">
        <x:v>7月30日现场数据</x:v>
      </x:c>
      <x:c r="B2517" s="39" t="str">
        <x:v>2026-08-02T17:55:00</x:v>
      </x:c>
      <x:c r="C2517" s="39" t="str">
        <x:v>2026-08-02T18:10:00</x:v>
      </x:c>
      <x:c r="D2517" s="47" t="n">
        <x:v>15</x:v>
      </x:c>
      <x:c r="E2517" s="40" t="n">
        <x:v>14.7</x:v>
      </x:c>
      <x:c r="F2517" s="40" t="n">
        <x:v>13.017784118652344</x:v>
      </x:c>
      <x:c r="G2517" s="40" t="n">
        <x:v>14.7</x:v>
      </x:c>
      <x:c r="H2517" s="40" t="n">
        <x:f>F2517-E2517</x:f>
        <x:v>-1.6822158813476555</x:v>
      </x:c>
      <x:c r="I2517" s="40" t="n">
        <x:f>ABS(H2517)</x:f>
        <x:v>1.6822158813476555</x:v>
      </x:c>
      <x:c r="J2517" s="40" t="n">
        <x:f>H2517^2</x:f>
        <x:v>2.8298502714582696</x:v>
      </x:c>
      <x:c r="K2517" s="40" t="n">
        <x:f>G2517-E2517</x:f>
        <x:v>0</x:v>
      </x:c>
      <x:c r="L2517" s="40" t="n">
        <x:f>ABS(K2517)</x:f>
        <x:v>0</x:v>
      </x:c>
      <x:c r="M2517" s="41" t="str">
        <x:v>lstm-soil-v1</x:v>
      </x:c>
    </x:row>
    <x:row r="2518">
      <x:c r="A2518" s="38" t="str">
        <x:v>7月30日现场数据</x:v>
      </x:c>
      <x:c r="B2518" s="39" t="str">
        <x:v>2026-08-02T17:55:00</x:v>
      </x:c>
      <x:c r="C2518" s="39" t="str">
        <x:v>2026-08-02T18:25:00</x:v>
      </x:c>
      <x:c r="D2518" s="47" t="n">
        <x:v>30</x:v>
      </x:c>
      <x:c r="E2518" s="40" t="n">
        <x:v>14.7</x:v>
      </x:c>
      <x:c r="F2518" s="40" t="n">
        <x:v>13.379791259765625</x:v>
      </x:c>
      <x:c r="G2518" s="40" t="n">
        <x:v>14.7</x:v>
      </x:c>
      <x:c r="H2518" s="40" t="n">
        <x:f>F2518-E2518</x:f>
        <x:v>-1.3202087402343743</x:v>
      </x:c>
      <x:c r="I2518" s="40" t="n">
        <x:f>ABS(H2518)</x:f>
        <x:v>1.3202087402343743</x:v>
      </x:c>
      <x:c r="J2518" s="40" t="n">
        <x:f>H2518^2</x:f>
        <x:v>1.7429511177912336</x:v>
      </x:c>
      <x:c r="K2518" s="40" t="n">
        <x:f>G2518-E2518</x:f>
        <x:v>0</x:v>
      </x:c>
      <x:c r="L2518" s="40" t="n">
        <x:f>ABS(K2518)</x:f>
        <x:v>0</x:v>
      </x:c>
      <x:c r="M2518" s="41" t="str">
        <x:v>lstm-soil-v1</x:v>
      </x:c>
    </x:row>
    <x:row r="2519">
      <x:c r="A2519" s="38" t="str">
        <x:v>7月30日现场数据</x:v>
      </x:c>
      <x:c r="B2519" s="39" t="str">
        <x:v>2026-08-02T17:55:00</x:v>
      </x:c>
      <x:c r="C2519" s="39" t="str">
        <x:v>2026-08-02T18:55:00</x:v>
      </x:c>
      <x:c r="D2519" s="47" t="n">
        <x:v>60</x:v>
      </x:c>
      <x:c r="E2519" s="40" t="n">
        <x:v>14.7</x:v>
      </x:c>
      <x:c r="F2519" s="40" t="n">
        <x:v>15.112503051757812</x:v>
      </x:c>
      <x:c r="G2519" s="40" t="n">
        <x:v>14.7</x:v>
      </x:c>
      <x:c r="H2519" s="40" t="n">
        <x:f>F2519-E2519</x:f>
        <x:v>0.4125030517578132</x:v>
      </x:c>
      <x:c r="I2519" s="40" t="n">
        <x:f>ABS(H2519)</x:f>
        <x:v>0.4125030517578132</x:v>
      </x:c>
      <x:c r="J2519" s="40" t="n">
        <x:f>H2519^2</x:f>
        <x:v>0.17015876770950913</x:v>
      </x:c>
      <x:c r="K2519" s="40" t="n">
        <x:f>G2519-E2519</x:f>
        <x:v>0</x:v>
      </x:c>
      <x:c r="L2519" s="40" t="n">
        <x:f>ABS(K2519)</x:f>
        <x:v>0</x:v>
      </x:c>
      <x:c r="M2519" s="41" t="str">
        <x:v>lstm-soil-v1</x:v>
      </x:c>
    </x:row>
    <x:row r="2520">
      <x:c r="A2520" s="38" t="str">
        <x:v>7月30日现场数据</x:v>
      </x:c>
      <x:c r="B2520" s="39" t="str">
        <x:v>2026-08-02T18:00:00</x:v>
      </x:c>
      <x:c r="C2520" s="39" t="str">
        <x:v>2026-08-02T18:05:00</x:v>
      </x:c>
      <x:c r="D2520" s="47" t="n">
        <x:v>5</x:v>
      </x:c>
      <x:c r="E2520" s="40" t="n">
        <x:v>14.7</x:v>
      </x:c>
      <x:c r="F2520" s="40" t="n">
        <x:v>12.936756134033203</x:v>
      </x:c>
      <x:c r="G2520" s="40" t="n">
        <x:v>14.7</x:v>
      </x:c>
      <x:c r="H2520" s="40" t="n">
        <x:f>F2520-E2520</x:f>
        <x:v>-1.7632438659667962</x:v>
      </x:c>
      <x:c r="I2520" s="40" t="n">
        <x:f>ABS(H2520)</x:f>
        <x:v>1.7632438659667962</x:v>
      </x:c>
      <x:c r="J2520" s="40" t="n">
        <x:f>H2520^2</x:f>
        <x:v>3.109028930869533</x:v>
      </x:c>
      <x:c r="K2520" s="40" t="n">
        <x:f>G2520-E2520</x:f>
        <x:v>0</x:v>
      </x:c>
      <x:c r="L2520" s="40" t="n">
        <x:f>ABS(K2520)</x:f>
        <x:v>0</x:v>
      </x:c>
      <x:c r="M2520" s="41" t="str">
        <x:v>lstm-soil-v1</x:v>
      </x:c>
    </x:row>
    <x:row r="2521">
      <x:c r="A2521" s="38" t="str">
        <x:v>7月30日现场数据</x:v>
      </x:c>
      <x:c r="B2521" s="39" t="str">
        <x:v>2026-08-02T18:00:00</x:v>
      </x:c>
      <x:c r="C2521" s="39" t="str">
        <x:v>2026-08-02T18:15:00</x:v>
      </x:c>
      <x:c r="D2521" s="47" t="n">
        <x:v>15</x:v>
      </x:c>
      <x:c r="E2521" s="40" t="n">
        <x:v>14.7</x:v>
      </x:c>
      <x:c r="F2521" s="40" t="n">
        <x:v>13.018157958984375</x:v>
      </x:c>
      <x:c r="G2521" s="40" t="n">
        <x:v>14.7</x:v>
      </x:c>
      <x:c r="H2521" s="40" t="n">
        <x:f>F2521-E2521</x:f>
        <x:v>-1.6818420410156243</x:v>
      </x:c>
      <x:c r="I2521" s="40" t="n">
        <x:f>ABS(H2521)</x:f>
        <x:v>1.6818420410156243</x:v>
      </x:c>
      <x:c r="J2521" s="40" t="n">
        <x:f>H2521^2</x:f>
        <x:v>2.8285926509276007</x:v>
      </x:c>
      <x:c r="K2521" s="40" t="n">
        <x:f>G2521-E2521</x:f>
        <x:v>0</x:v>
      </x:c>
      <x:c r="L2521" s="40" t="n">
        <x:f>ABS(K2521)</x:f>
        <x:v>0</x:v>
      </x:c>
      <x:c r="M2521" s="41" t="str">
        <x:v>lstm-soil-v1</x:v>
      </x:c>
    </x:row>
    <x:row r="2522">
      <x:c r="A2522" s="38" t="str">
        <x:v>7月30日现场数据</x:v>
      </x:c>
      <x:c r="B2522" s="39" t="str">
        <x:v>2026-08-02T18:00:00</x:v>
      </x:c>
      <x:c r="C2522" s="39" t="str">
        <x:v>2026-08-02T18:30:00</x:v>
      </x:c>
      <x:c r="D2522" s="47" t="n">
        <x:v>30</x:v>
      </x:c>
      <x:c r="E2522" s="40" t="n">
        <x:v>14.7</x:v>
      </x:c>
      <x:c r="F2522" s="40" t="n">
        <x:v>13.381629943847656</x:v>
      </x:c>
      <x:c r="G2522" s="40" t="n">
        <x:v>14.7</x:v>
      </x:c>
      <x:c r="H2522" s="40" t="n">
        <x:f>F2522-E2522</x:f>
        <x:v>-1.318370056152343</x:v>
      </x:c>
      <x:c r="I2522" s="40" t="n">
        <x:f>ABS(H2522)</x:f>
        <x:v>1.318370056152343</x:v>
      </x:c>
      <x:c r="J2522" s="40" t="n">
        <x:f>H2522^2</x:f>
        <x:v>1.7380996049591322</x:v>
      </x:c>
      <x:c r="K2522" s="40" t="n">
        <x:f>G2522-E2522</x:f>
        <x:v>0</x:v>
      </x:c>
      <x:c r="L2522" s="40" t="n">
        <x:f>ABS(K2522)</x:f>
        <x:v>0</x:v>
      </x:c>
      <x:c r="M2522" s="41" t="str">
        <x:v>lstm-soil-v1</x:v>
      </x:c>
    </x:row>
    <x:row r="2523">
      <x:c r="A2523" s="38" t="str">
        <x:v>7月30日现场数据</x:v>
      </x:c>
      <x:c r="B2523" s="39" t="str">
        <x:v>2026-08-02T18:00:00</x:v>
      </x:c>
      <x:c r="C2523" s="39" t="str">
        <x:v>2026-08-02T19:00:00</x:v>
      </x:c>
      <x:c r="D2523" s="47" t="n">
        <x:v>60</x:v>
      </x:c>
      <x:c r="E2523" s="40" t="n">
        <x:v>14.7</x:v>
      </x:c>
      <x:c r="F2523" s="40" t="n">
        <x:v>15.110126495361328</x:v>
      </x:c>
      <x:c r="G2523" s="40" t="n">
        <x:v>14.7</x:v>
      </x:c>
      <x:c r="H2523" s="40" t="n">
        <x:f>F2523-E2523</x:f>
        <x:v>0.41012649536132884</x:v>
      </x:c>
      <x:c r="I2523" s="40" t="n">
        <x:f>ABS(H2523)</x:f>
        <x:v>0.41012649536132884</x:v>
      </x:c>
      <x:c r="J2523" s="40" t="n">
        <x:f>H2523^2</x:f>
        <x:v>0.16820374219736609</x:v>
      </x:c>
      <x:c r="K2523" s="40" t="n">
        <x:f>G2523-E2523</x:f>
        <x:v>0</x:v>
      </x:c>
      <x:c r="L2523" s="40" t="n">
        <x:f>ABS(K2523)</x:f>
        <x:v>0</x:v>
      </x:c>
      <x:c r="M2523" s="41" t="str">
        <x:v>lstm-soil-v1</x:v>
      </x:c>
    </x:row>
    <x:row r="2524">
      <x:c r="A2524" s="38" t="str">
        <x:v>7月30日现场数据</x:v>
      </x:c>
      <x:c r="B2524" s="39" t="str">
        <x:v>2026-08-02T18:05:00</x:v>
      </x:c>
      <x:c r="C2524" s="39" t="str">
        <x:v>2026-08-02T18:10:00</x:v>
      </x:c>
      <x:c r="D2524" s="47" t="n">
        <x:v>5</x:v>
      </x:c>
      <x:c r="E2524" s="40" t="n">
        <x:v>14.7</x:v>
      </x:c>
      <x:c r="F2524" s="40" t="n">
        <x:v>12.93691635131836</x:v>
      </x:c>
      <x:c r="G2524" s="40" t="n">
        <x:v>14.7</x:v>
      </x:c>
      <x:c r="H2524" s="40" t="n">
        <x:f>F2524-E2524</x:f>
        <x:v>-1.76308364868164</x:v>
      </x:c>
      <x:c r="I2524" s="40" t="n">
        <x:f>ABS(H2524)</x:f>
        <x:v>1.76308364868164</x:v>
      </x:c>
      <x:c r="J2524" s="40" t="n">
        <x:f>H2524^2</x:f>
        <x:v>3.1084639522485644</x:v>
      </x:c>
      <x:c r="K2524" s="40" t="n">
        <x:f>G2524-E2524</x:f>
        <x:v>0</x:v>
      </x:c>
      <x:c r="L2524" s="40" t="n">
        <x:f>ABS(K2524)</x:f>
        <x:v>0</x:v>
      </x:c>
      <x:c r="M2524" s="41" t="str">
        <x:v>lstm-soil-v1</x:v>
      </x:c>
    </x:row>
    <x:row r="2525">
      <x:c r="A2525" s="38" t="str">
        <x:v>7月30日现场数据</x:v>
      </x:c>
      <x:c r="B2525" s="39" t="str">
        <x:v>2026-08-02T18:05:00</x:v>
      </x:c>
      <x:c r="C2525" s="39" t="str">
        <x:v>2026-08-02T18:20:00</x:v>
      </x:c>
      <x:c r="D2525" s="47" t="n">
        <x:v>15</x:v>
      </x:c>
      <x:c r="E2525" s="40" t="n">
        <x:v>14.6</x:v>
      </x:c>
      <x:c r="F2525" s="40" t="n">
        <x:v>13.017818450927734</x:v>
      </x:c>
      <x:c r="G2525" s="40" t="n">
        <x:v>14.7</x:v>
      </x:c>
      <x:c r="H2525" s="40" t="n">
        <x:f>F2525-E2525</x:f>
        <x:v>-1.5821815490722653</x:v>
      </x:c>
      <x:c r="I2525" s="40" t="n">
        <x:f>ABS(H2525)</x:f>
        <x:v>1.5821815490722653</x:v>
      </x:c>
      <x:c r="J2525" s="40" t="n">
        <x:f>H2525^2</x:f>
        <x:v>2.503298454224713</x:v>
      </x:c>
      <x:c r="K2525" s="40" t="n">
        <x:f>G2525-E2525</x:f>
        <x:v>0.09999999999999964</x:v>
      </x:c>
      <x:c r="L2525" s="40" t="n">
        <x:f>ABS(K2525)</x:f>
        <x:v>0.09999999999999964</x:v>
      </x:c>
      <x:c r="M2525" s="41" t="str">
        <x:v>lstm-soil-v1</x:v>
      </x:c>
    </x:row>
    <x:row r="2526">
      <x:c r="A2526" s="38" t="str">
        <x:v>7月30日现场数据</x:v>
      </x:c>
      <x:c r="B2526" s="39" t="str">
        <x:v>2026-08-02T18:05:00</x:v>
      </x:c>
      <x:c r="C2526" s="39" t="str">
        <x:v>2026-08-02T18:35:00</x:v>
      </x:c>
      <x:c r="D2526" s="47" t="n">
        <x:v>30</x:v>
      </x:c>
      <x:c r="E2526" s="40" t="n">
        <x:v>14.7</x:v>
      </x:c>
      <x:c r="F2526" s="40" t="n">
        <x:v>13.38238525390625</x:v>
      </x:c>
      <x:c r="G2526" s="40" t="n">
        <x:v>14.7</x:v>
      </x:c>
      <x:c r="H2526" s="40" t="n">
        <x:f>F2526-E2526</x:f>
        <x:v>-1.3176147460937493</x:v>
      </x:c>
      <x:c r="I2526" s="40" t="n">
        <x:f>ABS(H2526)</x:f>
        <x:v>1.3176147460937493</x:v>
      </x:c>
      <x:c r="J2526" s="40" t="n">
        <x:f>H2526^2</x:f>
        <x:v>1.7361086191236954</x:v>
      </x:c>
      <x:c r="K2526" s="40" t="n">
        <x:f>G2526-E2526</x:f>
        <x:v>0</x:v>
      </x:c>
      <x:c r="L2526" s="40" t="n">
        <x:f>ABS(K2526)</x:f>
        <x:v>0</x:v>
      </x:c>
      <x:c r="M2526" s="41" t="str">
        <x:v>lstm-soil-v1</x:v>
      </x:c>
    </x:row>
    <x:row r="2527">
      <x:c r="A2527" s="38" t="str">
        <x:v>7月30日现场数据</x:v>
      </x:c>
      <x:c r="B2527" s="39" t="str">
        <x:v>2026-08-02T18:05:00</x:v>
      </x:c>
      <x:c r="C2527" s="39" t="str">
        <x:v>2026-08-02T19:05:00</x:v>
      </x:c>
      <x:c r="D2527" s="47" t="n">
        <x:v>60</x:v>
      </x:c>
      <x:c r="E2527" s="40" t="n">
        <x:v>14.7</x:v>
      </x:c>
      <x:c r="F2527" s="40" t="n">
        <x:v>15.108272552490234</x:v>
      </x:c>
      <x:c r="G2527" s="40" t="n">
        <x:v>14.7</x:v>
      </x:c>
      <x:c r="H2527" s="40" t="n">
        <x:f>F2527-E2527</x:f>
        <x:v>0.4082725524902351</x:v>
      </x:c>
      <x:c r="I2527" s="40" t="n">
        <x:f>ABS(H2527)</x:f>
        <x:v>0.4082725524902351</x:v>
      </x:c>
      <x:c r="J2527" s="40" t="n">
        <x:f>H2527^2</x:f>
        <x:v>0.16668647711689177</x:v>
      </x:c>
      <x:c r="K2527" s="40" t="n">
        <x:f>G2527-E2527</x:f>
        <x:v>0</x:v>
      </x:c>
      <x:c r="L2527" s="40" t="n">
        <x:f>ABS(K2527)</x:f>
        <x:v>0</x:v>
      </x:c>
      <x:c r="M2527" s="41" t="str">
        <x:v>lstm-soil-v1</x:v>
      </x:c>
    </x:row>
    <x:row r="2528">
      <x:c r="A2528" s="38" t="str">
        <x:v>7月30日现场数据</x:v>
      </x:c>
      <x:c r="B2528" s="39" t="str">
        <x:v>2026-08-02T18:10:00</x:v>
      </x:c>
      <x:c r="C2528" s="39" t="str">
        <x:v>2026-08-02T18:15:00</x:v>
      </x:c>
      <x:c r="D2528" s="47" t="n">
        <x:v>5</x:v>
      </x:c>
      <x:c r="E2528" s="40" t="n">
        <x:v>14.7</x:v>
      </x:c>
      <x:c r="F2528" s="40" t="n">
        <x:v>12.936798095703125</x:v>
      </x:c>
      <x:c r="G2528" s="40" t="n">
        <x:v>14.7</x:v>
      </x:c>
      <x:c r="H2528" s="40" t="n">
        <x:f>F2528-E2528</x:f>
        <x:v>-1.7632019042968743</x:v>
      </x:c>
      <x:c r="I2528" s="40" t="n">
        <x:f>ABS(H2528)</x:f>
        <x:v>1.7632019042968743</x:v>
      </x:c>
      <x:c r="J2528" s="40" t="n">
        <x:f>H2528^2</x:f>
        <x:v>3.1088809553161236</x:v>
      </x:c>
      <x:c r="K2528" s="40" t="n">
        <x:f>G2528-E2528</x:f>
        <x:v>0</x:v>
      </x:c>
      <x:c r="L2528" s="40" t="n">
        <x:f>ABS(K2528)</x:f>
        <x:v>0</x:v>
      </x:c>
      <x:c r="M2528" s="41" t="str">
        <x:v>lstm-soil-v1</x:v>
      </x:c>
    </x:row>
    <x:row r="2529">
      <x:c r="A2529" s="38" t="str">
        <x:v>7月30日现场数据</x:v>
      </x:c>
      <x:c r="B2529" s="39" t="str">
        <x:v>2026-08-02T18:10:00</x:v>
      </x:c>
      <x:c r="C2529" s="39" t="str">
        <x:v>2026-08-02T18:25:00</x:v>
      </x:c>
      <x:c r="D2529" s="47" t="n">
        <x:v>15</x:v>
      </x:c>
      <x:c r="E2529" s="40" t="n">
        <x:v>14.7</x:v>
      </x:c>
      <x:c r="F2529" s="40" t="n">
        <x:v>13.017169952392578</x:v>
      </x:c>
      <x:c r="G2529" s="40" t="n">
        <x:v>14.7</x:v>
      </x:c>
      <x:c r="H2529" s="40" t="n">
        <x:f>F2529-E2529</x:f>
        <x:v>-1.6828300476074212</x:v>
      </x:c>
      <x:c r="I2529" s="40" t="n">
        <x:f>ABS(H2529)</x:f>
        <x:v>1.6828300476074212</x:v>
      </x:c>
      <x:c r="J2529" s="40" t="n">
        <x:f>H2529^2</x:f>
        <x:v>2.8319169691303956</x:v>
      </x:c>
      <x:c r="K2529" s="40" t="n">
        <x:f>G2529-E2529</x:f>
        <x:v>0</x:v>
      </x:c>
      <x:c r="L2529" s="40" t="n">
        <x:f>ABS(K2529)</x:f>
        <x:v>0</x:v>
      </x:c>
      <x:c r="M2529" s="41" t="str">
        <x:v>lstm-soil-v1</x:v>
      </x:c>
    </x:row>
    <x:row r="2530">
      <x:c r="A2530" s="38" t="str">
        <x:v>7月30日现场数据</x:v>
      </x:c>
      <x:c r="B2530" s="39" t="str">
        <x:v>2026-08-02T18:10:00</x:v>
      </x:c>
      <x:c r="C2530" s="39" t="str">
        <x:v>2026-08-02T18:40:00</x:v>
      </x:c>
      <x:c r="D2530" s="47" t="n">
        <x:v>30</x:v>
      </x:c>
      <x:c r="E2530" s="40" t="n">
        <x:v>14.7</x:v>
      </x:c>
      <x:c r="F2530" s="40" t="n">
        <x:v>13.382957458496094</x:v>
      </x:c>
      <x:c r="G2530" s="40" t="n">
        <x:v>14.7</x:v>
      </x:c>
      <x:c r="H2530" s="40" t="n">
        <x:f>F2530-E2530</x:f>
        <x:v>-1.3170425415039055</x:v>
      </x:c>
      <x:c r="I2530" s="40" t="n">
        <x:f>ABS(H2530)</x:f>
        <x:v>1.3170425415039055</x:v>
      </x:c>
      <x:c r="J2530" s="40" t="n">
        <x:f>H2530^2</x:f>
        <x:v>1.7346010561310667</x:v>
      </x:c>
      <x:c r="K2530" s="40" t="n">
        <x:f>G2530-E2530</x:f>
        <x:v>0</x:v>
      </x:c>
      <x:c r="L2530" s="40" t="n">
        <x:f>ABS(K2530)</x:f>
        <x:v>0</x:v>
      </x:c>
      <x:c r="M2530" s="41" t="str">
        <x:v>lstm-soil-v1</x:v>
      </x:c>
    </x:row>
    <x:row r="2531">
      <x:c r="A2531" s="38" t="str">
        <x:v>7月30日现场数据</x:v>
      </x:c>
      <x:c r="B2531" s="39" t="str">
        <x:v>2026-08-02T18:10:00</x:v>
      </x:c>
      <x:c r="C2531" s="39" t="str">
        <x:v>2026-08-02T19:10:00</x:v>
      </x:c>
      <x:c r="D2531" s="47" t="n">
        <x:v>60</x:v>
      </x:c>
      <x:c r="E2531" s="40" t="n">
        <x:v>14.7</x:v>
      </x:c>
      <x:c r="F2531" s="40" t="n">
        <x:v>15.106964111328125</x:v>
      </x:c>
      <x:c r="G2531" s="40" t="n">
        <x:v>14.7</x:v>
      </x:c>
      <x:c r="H2531" s="40" t="n">
        <x:f>F2531-E2531</x:f>
        <x:v>0.4069641113281257</x:v>
      </x:c>
      <x:c r="I2531" s="40" t="n">
        <x:f>ABS(H2531)</x:f>
        <x:v>0.4069641113281257</x:v>
      </x:c>
      <x:c r="J2531" s="40" t="n">
        <x:f>H2531^2</x:f>
        <x:v>0.1656197879090911</x:v>
      </x:c>
      <x:c r="K2531" s="40" t="n">
        <x:f>G2531-E2531</x:f>
        <x:v>0</x:v>
      </x:c>
      <x:c r="L2531" s="40" t="n">
        <x:f>ABS(K2531)</x:f>
        <x:v>0</x:v>
      </x:c>
      <x:c r="M2531" s="41" t="str">
        <x:v>lstm-soil-v1</x:v>
      </x:c>
    </x:row>
    <x:row r="2532">
      <x:c r="A2532" s="38" t="str">
        <x:v>7月30日现场数据</x:v>
      </x:c>
      <x:c r="B2532" s="39" t="str">
        <x:v>2026-08-02T18:15:00</x:v>
      </x:c>
      <x:c r="C2532" s="39" t="str">
        <x:v>2026-08-02T18:20:00</x:v>
      </x:c>
      <x:c r="D2532" s="47" t="n">
        <x:v>5</x:v>
      </x:c>
      <x:c r="E2532" s="40" t="n">
        <x:v>14.6</x:v>
      </x:c>
      <x:c r="F2532" s="40" t="n">
        <x:v>12.936508178710938</x:v>
      </x:c>
      <x:c r="G2532" s="40" t="n">
        <x:v>14.7</x:v>
      </x:c>
      <x:c r="H2532" s="40" t="n">
        <x:f>F2532-E2532</x:f>
        <x:v>-1.6634918212890621</x:v>
      </x:c>
      <x:c r="I2532" s="40" t="n">
        <x:f>ABS(H2532)</x:f>
        <x:v>1.6634918212890621</x:v>
      </x:c>
      <x:c r="J2532" s="40" t="n">
        <x:f>H2532^2</x:f>
        <x:v>2.767205039495601</x:v>
      </x:c>
      <x:c r="K2532" s="40" t="n">
        <x:f>G2532-E2532</x:f>
        <x:v>0.09999999999999964</x:v>
      </x:c>
      <x:c r="L2532" s="40" t="n">
        <x:f>ABS(K2532)</x:f>
        <x:v>0.09999999999999964</x:v>
      </x:c>
      <x:c r="M2532" s="41" t="str">
        <x:v>lstm-soil-v1</x:v>
      </x:c>
    </x:row>
    <x:row r="2533">
      <x:c r="A2533" s="38" t="str">
        <x:v>7月30日现场数据</x:v>
      </x:c>
      <x:c r="B2533" s="39" t="str">
        <x:v>2026-08-02T18:15:00</x:v>
      </x:c>
      <x:c r="C2533" s="39" t="str">
        <x:v>2026-08-02T18:30:00</x:v>
      </x:c>
      <x:c r="D2533" s="47" t="n">
        <x:v>15</x:v>
      </x:c>
      <x:c r="E2533" s="40" t="n">
        <x:v>14.7</x:v>
      </x:c>
      <x:c r="F2533" s="40" t="n">
        <x:v>13.016490936279297</x:v>
      </x:c>
      <x:c r="G2533" s="40" t="n">
        <x:v>14.7</x:v>
      </x:c>
      <x:c r="H2533" s="40" t="n">
        <x:f>F2533-E2533</x:f>
        <x:v>-1.6835090637207024</x:v>
      </x:c>
      <x:c r="I2533" s="40" t="n">
        <x:f>ABS(H2533)</x:f>
        <x:v>1.6835090637207024</x:v>
      </x:c>
      <x:c r="J2533" s="40" t="n">
        <x:f>H2533^2</x:f>
        <x:v>2.834202767629756</x:v>
      </x:c>
      <x:c r="K2533" s="40" t="n">
        <x:f>G2533-E2533</x:f>
        <x:v>0</x:v>
      </x:c>
      <x:c r="L2533" s="40" t="n">
        <x:f>ABS(K2533)</x:f>
        <x:v>0</x:v>
      </x:c>
      <x:c r="M2533" s="41" t="str">
        <x:v>lstm-soil-v1</x:v>
      </x:c>
    </x:row>
    <x:row r="2534">
      <x:c r="A2534" s="38" t="str">
        <x:v>7月30日现场数据</x:v>
      </x:c>
      <x:c r="B2534" s="39" t="str">
        <x:v>2026-08-02T18:15:00</x:v>
      </x:c>
      <x:c r="C2534" s="39" t="str">
        <x:v>2026-08-02T18:45:00</x:v>
      </x:c>
      <x:c r="D2534" s="47" t="n">
        <x:v>30</x:v>
      </x:c>
      <x:c r="E2534" s="40" t="n">
        <x:v>14.7</x:v>
      </x:c>
      <x:c r="F2534" s="40" t="n">
        <x:v>13.38348388671875</x:v>
      </x:c>
      <x:c r="G2534" s="40" t="n">
        <x:v>14.7</x:v>
      </x:c>
      <x:c r="H2534" s="40" t="n">
        <x:f>F2534-E2534</x:f>
        <x:v>-1.3165161132812493</x:v>
      </x:c>
      <x:c r="I2534" s="40" t="n">
        <x:f>ABS(H2534)</x:f>
        <x:v>1.3165161132812493</x:v>
      </x:c>
      <x:c r="J2534" s="40" t="n">
        <x:f>H2534^2</x:f>
        <x:v>1.7332146765291672</x:v>
      </x:c>
      <x:c r="K2534" s="40" t="n">
        <x:f>G2534-E2534</x:f>
        <x:v>0</x:v>
      </x:c>
      <x:c r="L2534" s="40" t="n">
        <x:f>ABS(K2534)</x:f>
        <x:v>0</x:v>
      </x:c>
      <x:c r="M2534" s="41" t="str">
        <x:v>lstm-soil-v1</x:v>
      </x:c>
    </x:row>
    <x:row r="2535">
      <x:c r="A2535" s="38" t="str">
        <x:v>7月30日现场数据</x:v>
      </x:c>
      <x:c r="B2535" s="39" t="str">
        <x:v>2026-08-02T18:15:00</x:v>
      </x:c>
      <x:c r="C2535" s="39" t="str">
        <x:v>2026-08-02T19:15:00</x:v>
      </x:c>
      <x:c r="D2535" s="47" t="n">
        <x:v>60</x:v>
      </x:c>
      <x:c r="E2535" s="40" t="n">
        <x:v>14.6</x:v>
      </x:c>
      <x:c r="F2535" s="40" t="n">
        <x:v>15.10622787475586</x:v>
      </x:c>
      <x:c r="G2535" s="40" t="n">
        <x:v>14.7</x:v>
      </x:c>
      <x:c r="H2535" s="40" t="n">
        <x:f>F2535-E2535</x:f>
        <x:v>0.5062278747558597</x:v>
      </x:c>
      <x:c r="I2535" s="40" t="n">
        <x:f>ABS(H2535)</x:f>
        <x:v>0.5062278747558597</x:v>
      </x:c>
      <x:c r="J2535" s="40" t="n">
        <x:f>H2535^2</x:f>
        <x:v>0.25626666117983443</x:v>
      </x:c>
      <x:c r="K2535" s="40" t="n">
        <x:f>G2535-E2535</x:f>
        <x:v>0.09999999999999964</x:v>
      </x:c>
      <x:c r="L2535" s="40" t="n">
        <x:f>ABS(K2535)</x:f>
        <x:v>0.09999999999999964</x:v>
      </x:c>
      <x:c r="M2535" s="41" t="str">
        <x:v>lstm-soil-v1</x:v>
      </x:c>
    </x:row>
    <x:row r="2536">
      <x:c r="A2536" s="38" t="str">
        <x:v>7月30日现场数据</x:v>
      </x:c>
      <x:c r="B2536" s="39" t="str">
        <x:v>2026-08-02T18:20:00</x:v>
      </x:c>
      <x:c r="C2536" s="39" t="str">
        <x:v>2026-08-02T18:25:00</x:v>
      </x:c>
      <x:c r="D2536" s="47" t="n">
        <x:v>5</x:v>
      </x:c>
      <x:c r="E2536" s="40" t="n">
        <x:v>14.7</x:v>
      </x:c>
      <x:c r="F2536" s="40" t="n">
        <x:v>12.825809478759766</x:v>
      </x:c>
      <x:c r="G2536" s="40" t="n">
        <x:v>14.6</x:v>
      </x:c>
      <x:c r="H2536" s="40" t="n">
        <x:f>F2536-E2536</x:f>
        <x:v>-1.8741905212402337</x:v>
      </x:c>
      <x:c r="I2536" s="40" t="n">
        <x:f>ABS(H2536)</x:f>
        <x:v>1.8741905212402337</x:v>
      </x:c>
      <x:c r="J2536" s="40" t="n">
        <x:f>H2536^2</x:f>
        <x:v>3.5125901099067387</x:v>
      </x:c>
      <x:c r="K2536" s="40" t="n">
        <x:f>G2536-E2536</x:f>
        <x:v>-0.09999999999999964</x:v>
      </x:c>
      <x:c r="L2536" s="40" t="n">
        <x:f>ABS(K2536)</x:f>
        <x:v>0.09999999999999964</x:v>
      </x:c>
      <x:c r="M2536" s="41" t="str">
        <x:v>lstm-soil-v1</x:v>
      </x:c>
    </x:row>
    <x:row r="2537">
      <x:c r="A2537" s="38" t="str">
        <x:v>7月30日现场数据</x:v>
      </x:c>
      <x:c r="B2537" s="39" t="str">
        <x:v>2026-08-02T18:20:00</x:v>
      </x:c>
      <x:c r="C2537" s="39" t="str">
        <x:v>2026-08-02T18:35:00</x:v>
      </x:c>
      <x:c r="D2537" s="47" t="n">
        <x:v>15</x:v>
      </x:c>
      <x:c r="E2537" s="40" t="n">
        <x:v>14.7</x:v>
      </x:c>
      <x:c r="F2537" s="40" t="n">
        <x:v>12.905948638916016</x:v>
      </x:c>
      <x:c r="G2537" s="40" t="n">
        <x:v>14.6</x:v>
      </x:c>
      <x:c r="H2537" s="40" t="n">
        <x:f>F2537-E2537</x:f>
        <x:v>-1.7940513610839837</x:v>
      </x:c>
      <x:c r="I2537" s="40" t="n">
        <x:f>ABS(H2537)</x:f>
        <x:v>1.7940513610839837</x:v>
      </x:c>
      <x:c r="J2537" s="40" t="n">
        <x:f>H2537^2</x:f>
        <x:v>3.2186202862072943</x:v>
      </x:c>
      <x:c r="K2537" s="40" t="n">
        <x:f>G2537-E2537</x:f>
        <x:v>-0.09999999999999964</x:v>
      </x:c>
      <x:c r="L2537" s="40" t="n">
        <x:f>ABS(K2537)</x:f>
        <x:v>0.09999999999999964</x:v>
      </x:c>
      <x:c r="M2537" s="41" t="str">
        <x:v>lstm-soil-v1</x:v>
      </x:c>
    </x:row>
    <x:row r="2538">
      <x:c r="A2538" s="38" t="str">
        <x:v>7月30日现场数据</x:v>
      </x:c>
      <x:c r="B2538" s="39" t="str">
        <x:v>2026-08-02T18:20:00</x:v>
      </x:c>
      <x:c r="C2538" s="39" t="str">
        <x:v>2026-08-02T18:50:00</x:v>
      </x:c>
      <x:c r="D2538" s="47" t="n">
        <x:v>30</x:v>
      </x:c>
      <x:c r="E2538" s="40" t="n">
        <x:v>14.7</x:v>
      </x:c>
      <x:c r="F2538" s="40" t="n">
        <x:v>13.273735046386719</x:v>
      </x:c>
      <x:c r="G2538" s="40" t="n">
        <x:v>14.6</x:v>
      </x:c>
      <x:c r="H2538" s="40" t="n">
        <x:f>F2538-E2538</x:f>
        <x:v>-1.4262649536132805</x:v>
      </x:c>
      <x:c r="I2538" s="40" t="n">
        <x:f>ABS(H2538)</x:f>
        <x:v>1.4262649536132805</x:v>
      </x:c>
      <x:c r="J2538" s="40" t="n">
        <x:f>H2538^2</x:f>
        <x:v>2.0342317179054934</x:v>
      </x:c>
      <x:c r="K2538" s="40" t="n">
        <x:f>G2538-E2538</x:f>
        <x:v>-0.09999999999999964</x:v>
      </x:c>
      <x:c r="L2538" s="40" t="n">
        <x:f>ABS(K2538)</x:f>
        <x:v>0.09999999999999964</x:v>
      </x:c>
      <x:c r="M2538" s="41" t="str">
        <x:v>lstm-soil-v1</x:v>
      </x:c>
    </x:row>
    <x:row r="2539">
      <x:c r="A2539" s="38" t="str">
        <x:v>7月30日现场数据</x:v>
      </x:c>
      <x:c r="B2539" s="39" t="str">
        <x:v>2026-08-02T18:20:00</x:v>
      </x:c>
      <x:c r="C2539" s="39" t="str">
        <x:v>2026-08-02T19:20:00</x:v>
      </x:c>
      <x:c r="D2539" s="47" t="n">
        <x:v>60</x:v>
      </x:c>
      <x:c r="E2539" s="40" t="n">
        <x:v>14.7</x:v>
      </x:c>
      <x:c r="F2539" s="40" t="n">
        <x:v>14.995933532714844</x:v>
      </x:c>
      <x:c r="G2539" s="40" t="n">
        <x:v>14.6</x:v>
      </x:c>
      <x:c r="H2539" s="40" t="n">
        <x:f>F2539-E2539</x:f>
        <x:v>0.29593353271484446</x:v>
      </x:c>
      <x:c r="I2539" s="40" t="n">
        <x:f>ABS(H2539)</x:f>
        <x:v>0.29593353271484446</x:v>
      </x:c>
      <x:c r="J2539" s="40" t="n">
        <x:f>H2539^2</x:f>
        <x:v>0.08757665578508791</x:v>
      </x:c>
      <x:c r="K2539" s="40" t="n">
        <x:f>G2539-E2539</x:f>
        <x:v>-0.09999999999999964</x:v>
      </x:c>
      <x:c r="L2539" s="40" t="n">
        <x:f>ABS(K2539)</x:f>
        <x:v>0.09999999999999964</x:v>
      </x:c>
      <x:c r="M2539" s="41" t="str">
        <x:v>lstm-soil-v1</x:v>
      </x:c>
    </x:row>
    <x:row r="2540">
      <x:c r="A2540" s="38" t="str">
        <x:v>7月30日现场数据</x:v>
      </x:c>
      <x:c r="B2540" s="39" t="str">
        <x:v>2026-08-02T18:25:00</x:v>
      </x:c>
      <x:c r="C2540" s="39" t="str">
        <x:v>2026-08-02T18:30:00</x:v>
      </x:c>
      <x:c r="D2540" s="47" t="n">
        <x:v>5</x:v>
      </x:c>
      <x:c r="E2540" s="40" t="n">
        <x:v>14.7</x:v>
      </x:c>
      <x:c r="F2540" s="40" t="n">
        <x:v>12.935279846191406</x:v>
      </x:c>
      <x:c r="G2540" s="40" t="n">
        <x:v>14.7</x:v>
      </x:c>
      <x:c r="H2540" s="40" t="n">
        <x:f>F2540-E2540</x:f>
        <x:v>-1.764720153808593</x:v>
      </x:c>
      <x:c r="I2540" s="40" t="n">
        <x:f>ABS(H2540)</x:f>
        <x:v>1.764720153808593</x:v>
      </x:c>
      <x:c r="J2540" s="40" t="n">
        <x:f>H2540^2</x:f>
        <x:v>3.1142372212582243</x:v>
      </x:c>
      <x:c r="K2540" s="40" t="n">
        <x:f>G2540-E2540</x:f>
        <x:v>0</x:v>
      </x:c>
      <x:c r="L2540" s="40" t="n">
        <x:f>ABS(K2540)</x:f>
        <x:v>0</x:v>
      </x:c>
      <x:c r="M2540" s="41" t="str">
        <x:v>lstm-soil-v1</x:v>
      </x:c>
    </x:row>
    <x:row r="2541">
      <x:c r="A2541" s="38" t="str">
        <x:v>7月30日现场数据</x:v>
      </x:c>
      <x:c r="B2541" s="39" t="str">
        <x:v>2026-08-02T18:25:00</x:v>
      </x:c>
      <x:c r="C2541" s="39" t="str">
        <x:v>2026-08-02T18:40:00</x:v>
      </x:c>
      <x:c r="D2541" s="47" t="n">
        <x:v>15</x:v>
      </x:c>
      <x:c r="E2541" s="40" t="n">
        <x:v>14.7</x:v>
      </x:c>
      <x:c r="F2541" s="40" t="n">
        <x:v>13.015499114990234</x:v>
      </x:c>
      <x:c r="G2541" s="40" t="n">
        <x:v>14.7</x:v>
      </x:c>
      <x:c r="H2541" s="40" t="n">
        <x:f>F2541-E2541</x:f>
        <x:v>-1.684500885009765</x:v>
      </x:c>
      <x:c r="I2541" s="40" t="n">
        <x:f>ABS(H2541)</x:f>
        <x:v>1.684500885009765</x:v>
      </x:c>
      <x:c r="J2541" s="40" t="n">
        <x:f>H2541^2</x:f>
        <x:v>2.8375432315986813</x:v>
      </x:c>
      <x:c r="K2541" s="40" t="n">
        <x:f>G2541-E2541</x:f>
        <x:v>0</x:v>
      </x:c>
      <x:c r="L2541" s="40" t="n">
        <x:f>ABS(K2541)</x:f>
        <x:v>0</x:v>
      </x:c>
      <x:c r="M2541" s="41" t="str">
        <x:v>lstm-soil-v1</x:v>
      </x:c>
    </x:row>
    <x:row r="2542">
      <x:c r="A2542" s="38" t="str">
        <x:v>7月30日现场数据</x:v>
      </x:c>
      <x:c r="B2542" s="39" t="str">
        <x:v>2026-08-02T18:25:00</x:v>
      </x:c>
      <x:c r="C2542" s="39" t="str">
        <x:v>2026-08-02T18:55:00</x:v>
      </x:c>
      <x:c r="D2542" s="47" t="n">
        <x:v>30</x:v>
      </x:c>
      <x:c r="E2542" s="40" t="n">
        <x:v>14.7</x:v>
      </x:c>
      <x:c r="F2542" s="40" t="n">
        <x:v>13.383838653564453</x:v>
      </x:c>
      <x:c r="G2542" s="40" t="n">
        <x:v>14.7</x:v>
      </x:c>
      <x:c r="H2542" s="40" t="n">
        <x:f>F2542-E2542</x:f>
        <x:v>-1.3161613464355462</x:v>
      </x:c>
      <x:c r="I2542" s="40" t="n">
        <x:f>ABS(H2542)</x:f>
        <x:v>1.3161613464355462</x:v>
      </x:c>
      <x:c r="J2542" s="40" t="n">
        <x:f>H2542^2</x:f>
        <x:v>1.7322806898510297</x:v>
      </x:c>
      <x:c r="K2542" s="40" t="n">
        <x:f>G2542-E2542</x:f>
        <x:v>0</x:v>
      </x:c>
      <x:c r="L2542" s="40" t="n">
        <x:f>ABS(K2542)</x:f>
        <x:v>0</x:v>
      </x:c>
      <x:c r="M2542" s="41" t="str">
        <x:v>lstm-soil-v1</x:v>
      </x:c>
    </x:row>
    <x:row r="2543">
      <x:c r="A2543" s="38" t="str">
        <x:v>7月30日现场数据</x:v>
      </x:c>
      <x:c r="B2543" s="39" t="str">
        <x:v>2026-08-02T18:25:00</x:v>
      </x:c>
      <x:c r="C2543" s="39" t="str">
        <x:v>2026-08-02T19:25:00</x:v>
      </x:c>
      <x:c r="D2543" s="47" t="n">
        <x:v>60</x:v>
      </x:c>
      <x:c r="E2543" s="40" t="n">
        <x:v>14.7</x:v>
      </x:c>
      <x:c r="F2543" s="40" t="n">
        <x:v>15.105049133300781</x:v>
      </x:c>
      <x:c r="G2543" s="40" t="n">
        <x:v>14.7</x:v>
      </x:c>
      <x:c r="H2543" s="40" t="n">
        <x:f>F2543-E2543</x:f>
        <x:v>0.40504913330078196</x:v>
      </x:c>
      <x:c r="I2543" s="40" t="n">
        <x:f>ABS(H2543)</x:f>
        <x:v>0.40504913330078196</x:v>
      </x:c>
      <x:c r="J2543" s="40" t="n">
        <x:f>H2543^2</x:f>
        <x:v>0.16406480038771462</x:v>
      </x:c>
      <x:c r="K2543" s="40" t="n">
        <x:f>G2543-E2543</x:f>
        <x:v>0</x:v>
      </x:c>
      <x:c r="L2543" s="40" t="n">
        <x:f>ABS(K2543)</x:f>
        <x:v>0</x:v>
      </x:c>
      <x:c r="M2543" s="41" t="str">
        <x:v>lstm-soil-v1</x:v>
      </x:c>
    </x:row>
    <x:row r="2544">
      <x:c r="A2544" s="38" t="str">
        <x:v>7月30日现场数据</x:v>
      </x:c>
      <x:c r="B2544" s="39" t="str">
        <x:v>2026-08-02T18:30:00</x:v>
      </x:c>
      <x:c r="C2544" s="39" t="str">
        <x:v>2026-08-02T18:35:00</x:v>
      </x:c>
      <x:c r="D2544" s="47" t="n">
        <x:v>5</x:v>
      </x:c>
      <x:c r="E2544" s="40" t="n">
        <x:v>14.7</x:v>
      </x:c>
      <x:c r="F2544" s="40" t="n">
        <x:v>12.935161590576172</x:v>
      </x:c>
      <x:c r="G2544" s="40" t="n">
        <x:v>14.7</x:v>
      </x:c>
      <x:c r="H2544" s="40" t="n">
        <x:f>F2544-E2544</x:f>
        <x:v>-1.7648384094238274</x:v>
      </x:c>
      <x:c r="I2544" s="40" t="n">
        <x:f>ABS(H2544)</x:f>
        <x:v>1.7648384094238274</x:v>
      </x:c>
      <x:c r="J2544" s="40" t="n">
        <x:f>H2544^2</x:f>
        <x:v>3.1146546113776252</x:v>
      </x:c>
      <x:c r="K2544" s="40" t="n">
        <x:f>G2544-E2544</x:f>
        <x:v>0</x:v>
      </x:c>
      <x:c r="L2544" s="40" t="n">
        <x:f>ABS(K2544)</x:f>
        <x:v>0</x:v>
      </x:c>
      <x:c r="M2544" s="41" t="str">
        <x:v>lstm-soil-v1</x:v>
      </x:c>
    </x:row>
    <x:row r="2545">
      <x:c r="A2545" s="38" t="str">
        <x:v>7月30日现场数据</x:v>
      </x:c>
      <x:c r="B2545" s="39" t="str">
        <x:v>2026-08-02T18:30:00</x:v>
      </x:c>
      <x:c r="C2545" s="39" t="str">
        <x:v>2026-08-02T18:45:00</x:v>
      </x:c>
      <x:c r="D2545" s="47" t="n">
        <x:v>15</x:v>
      </x:c>
      <x:c r="E2545" s="40" t="n">
        <x:v>14.7</x:v>
      </x:c>
      <x:c r="F2545" s="40" t="n">
        <x:v>13.015083312988281</x:v>
      </x:c>
      <x:c r="G2545" s="40" t="n">
        <x:v>14.7</x:v>
      </x:c>
      <x:c r="H2545" s="40" t="n">
        <x:f>F2545-E2545</x:f>
        <x:v>-1.684916687011718</x:v>
      </x:c>
      <x:c r="I2545" s="40" t="n">
        <x:f>ABS(H2545)</x:f>
        <x:v>1.684916687011718</x:v>
      </x:c>
      <x:c r="J2545" s="40" t="n">
        <x:f>H2545^2</x:f>
        <x:v>2.8389442421705438</x:v>
      </x:c>
      <x:c r="K2545" s="40" t="n">
        <x:f>G2545-E2545</x:f>
        <x:v>0</x:v>
      </x:c>
      <x:c r="L2545" s="40" t="n">
        <x:f>ABS(K2545)</x:f>
        <x:v>0</x:v>
      </x:c>
      <x:c r="M2545" s="41" t="str">
        <x:v>lstm-soil-v1</x:v>
      </x:c>
    </x:row>
    <x:row r="2546">
      <x:c r="A2546" s="38" t="str">
        <x:v>7月30日现场数据</x:v>
      </x:c>
      <x:c r="B2546" s="39" t="str">
        <x:v>2026-08-02T18:30:00</x:v>
      </x:c>
      <x:c r="C2546" s="39" t="str">
        <x:v>2026-08-02T19:00:00</x:v>
      </x:c>
      <x:c r="D2546" s="47" t="n">
        <x:v>30</x:v>
      </x:c>
      <x:c r="E2546" s="40" t="n">
        <x:v>14.7</x:v>
      </x:c>
      <x:c r="F2546" s="40" t="n">
        <x:v>13.384330749511719</x:v>
      </x:c>
      <x:c r="G2546" s="40" t="n">
        <x:v>14.7</x:v>
      </x:c>
      <x:c r="H2546" s="40" t="n">
        <x:f>F2546-E2546</x:f>
        <x:v>-1.3156692504882805</x:v>
      </x:c>
      <x:c r="I2546" s="40" t="n">
        <x:f>ABS(H2546)</x:f>
        <x:v>1.3156692504882805</x:v>
      </x:c>
      <x:c r="J2546" s="40" t="n">
        <x:f>H2546^2</x:f>
        <x:v>1.7309855766803939</x:v>
      </x:c>
      <x:c r="K2546" s="40" t="n">
        <x:f>G2546-E2546</x:f>
        <x:v>0</x:v>
      </x:c>
      <x:c r="L2546" s="40" t="n">
        <x:f>ABS(K2546)</x:f>
        <x:v>0</x:v>
      </x:c>
      <x:c r="M2546" s="41" t="str">
        <x:v>lstm-soil-v1</x:v>
      </x:c>
    </x:row>
    <x:row r="2547">
      <x:c r="A2547" s="38" t="str">
        <x:v>7月30日现场数据</x:v>
      </x:c>
      <x:c r="B2547" s="39" t="str">
        <x:v>2026-08-02T18:30:00</x:v>
      </x:c>
      <x:c r="C2547" s="39" t="str">
        <x:v>2026-08-02T19:30:00</x:v>
      </x:c>
      <x:c r="D2547" s="47" t="n">
        <x:v>60</x:v>
      </x:c>
      <x:c r="E2547" s="40" t="n">
        <x:v>14.7</x:v>
      </x:c>
      <x:c r="F2547" s="40" t="n">
        <x:v>15.105152130126953</x:v>
      </x:c>
      <x:c r="G2547" s="40" t="n">
        <x:v>14.7</x:v>
      </x:c>
      <x:c r="H2547" s="40" t="n">
        <x:f>F2547-E2547</x:f>
        <x:v>0.40515213012695384</x:v>
      </x:c>
      <x:c r="I2547" s="40" t="n">
        <x:f>ABS(H2547)</x:f>
        <x:v>0.40515213012695384</x:v>
      </x:c>
      <x:c r="J2547" s="40" t="n">
        <x:f>H2547^2</x:f>
        <x:v>0.16414824854640814</x:v>
      </x:c>
      <x:c r="K2547" s="40" t="n">
        <x:f>G2547-E2547</x:f>
        <x:v>0</x:v>
      </x:c>
      <x:c r="L2547" s="40" t="n">
        <x:f>ABS(K2547)</x:f>
        <x:v>0</x:v>
      </x:c>
      <x:c r="M2547" s="41" t="str">
        <x:v>lstm-soil-v1</x:v>
      </x:c>
    </x:row>
    <x:row r="2548">
      <x:c r="A2548" s="38" t="str">
        <x:v>7月30日现场数据</x:v>
      </x:c>
      <x:c r="B2548" s="39" t="str">
        <x:v>2026-08-02T18:35:00</x:v>
      </x:c>
      <x:c r="C2548" s="39" t="str">
        <x:v>2026-08-02T18:40:00</x:v>
      </x:c>
      <x:c r="D2548" s="47" t="n">
        <x:v>5</x:v>
      </x:c>
      <x:c r="E2548" s="40" t="n">
        <x:v>14.7</x:v>
      </x:c>
      <x:c r="F2548" s="40" t="n">
        <x:v>12.935123443603516</x:v>
      </x:c>
      <x:c r="G2548" s="40" t="n">
        <x:v>14.7</x:v>
      </x:c>
      <x:c r="H2548" s="40" t="n">
        <x:f>F2548-E2548</x:f>
        <x:v>-1.7648765563964837</x:v>
      </x:c>
      <x:c r="I2548" s="40" t="n">
        <x:f>ABS(H2548)</x:f>
        <x:v>1.7648765563964837</x:v>
      </x:c>
      <x:c r="J2548" s="40" t="n">
        <x:f>H2548^2</x:f>
        <x:v>3.1147892593179107</x:v>
      </x:c>
      <x:c r="K2548" s="40" t="n">
        <x:f>G2548-E2548</x:f>
        <x:v>0</x:v>
      </x:c>
      <x:c r="L2548" s="40" t="n">
        <x:f>ABS(K2548)</x:f>
        <x:v>0</x:v>
      </x:c>
      <x:c r="M2548" s="41" t="str">
        <x:v>lstm-soil-v1</x:v>
      </x:c>
    </x:row>
    <x:row r="2549">
      <x:c r="A2549" s="38" t="str">
        <x:v>7月30日现场数据</x:v>
      </x:c>
      <x:c r="B2549" s="39" t="str">
        <x:v>2026-08-02T18:35:00</x:v>
      </x:c>
      <x:c r="C2549" s="39" t="str">
        <x:v>2026-08-02T18:50:00</x:v>
      </x:c>
      <x:c r="D2549" s="47" t="n">
        <x:v>15</x:v>
      </x:c>
      <x:c r="E2549" s="40" t="n">
        <x:v>14.7</x:v>
      </x:c>
      <x:c r="F2549" s="40" t="n">
        <x:v>13.01479721069336</x:v>
      </x:c>
      <x:c r="G2549" s="40" t="n">
        <x:v>14.7</x:v>
      </x:c>
      <x:c r="H2549" s="40" t="n">
        <x:f>F2549-E2549</x:f>
        <x:v>-1.68520278930664</x:v>
      </x:c>
      <x:c r="I2549" s="40" t="n">
        <x:f>ABS(H2549)</x:f>
        <x:v>1.68520278930664</x:v>
      </x:c>
      <x:c r="J2549" s="40" t="n">
        <x:f>H2549^2</x:f>
        <x:v>2.8399084410868793</x:v>
      </x:c>
      <x:c r="K2549" s="40" t="n">
        <x:f>G2549-E2549</x:f>
        <x:v>0</x:v>
      </x:c>
      <x:c r="L2549" s="40" t="n">
        <x:f>ABS(K2549)</x:f>
        <x:v>0</x:v>
      </x:c>
      <x:c r="M2549" s="41" t="str">
        <x:v>lstm-soil-v1</x:v>
      </x:c>
    </x:row>
    <x:row r="2550">
      <x:c r="A2550" s="38" t="str">
        <x:v>7月30日现场数据</x:v>
      </x:c>
      <x:c r="B2550" s="39" t="str">
        <x:v>2026-08-02T18:35:00</x:v>
      </x:c>
      <x:c r="C2550" s="39" t="str">
        <x:v>2026-08-02T19:05:00</x:v>
      </x:c>
      <x:c r="D2550" s="47" t="n">
        <x:v>30</x:v>
      </x:c>
      <x:c r="E2550" s="40" t="n">
        <x:v>14.7</x:v>
      </x:c>
      <x:c r="F2550" s="40" t="n">
        <x:v>13.384761810302734</x:v>
      </x:c>
      <x:c r="G2550" s="40" t="n">
        <x:v>14.7</x:v>
      </x:c>
      <x:c r="H2550" s="40" t="n">
        <x:f>F2550-E2550</x:f>
        <x:v>-1.315238189697265</x:v>
      </x:c>
      <x:c r="I2550" s="40" t="n">
        <x:f>ABS(H2550)</x:f>
        <x:v>1.315238189697265</x:v>
      </x:c>
      <x:c r="J2550" s="40" t="n">
        <x:f>H2550^2</x:f>
        <x:v>1.7298514956381386</x:v>
      </x:c>
      <x:c r="K2550" s="40" t="n">
        <x:f>G2550-E2550</x:f>
        <x:v>0</x:v>
      </x:c>
      <x:c r="L2550" s="40" t="n">
        <x:f>ABS(K2550)</x:f>
        <x:v>0</x:v>
      </x:c>
      <x:c r="M2550" s="41" t="str">
        <x:v>lstm-soil-v1</x:v>
      </x:c>
    </x:row>
    <x:row r="2551">
      <x:c r="A2551" s="38" t="str">
        <x:v>7月30日现场数据</x:v>
      </x:c>
      <x:c r="B2551" s="39" t="str">
        <x:v>2026-08-02T18:35:00</x:v>
      </x:c>
      <x:c r="C2551" s="39" t="str">
        <x:v>2026-08-02T19:35:00</x:v>
      </x:c>
      <x:c r="D2551" s="47" t="n">
        <x:v>60</x:v>
      </x:c>
      <x:c r="E2551" s="40" t="n">
        <x:v>14.7</x:v>
      </x:c>
      <x:c r="F2551" s="40" t="n">
        <x:v>15.105396270751953</x:v>
      </x:c>
      <x:c r="G2551" s="40" t="n">
        <x:v>14.7</x:v>
      </x:c>
      <x:c r="H2551" s="40" t="n">
        <x:f>F2551-E2551</x:f>
        <x:v>0.40539627075195384</x:v>
      </x:c>
      <x:c r="I2551" s="40" t="n">
        <x:f>ABS(H2551)</x:f>
        <x:v>0.40539627075195384</x:v>
      </x:c>
      <x:c r="J2551" s="40" t="n">
        <x:f>H2551^2</x:f>
        <x:v>0.16434613633959147</x:v>
      </x:c>
      <x:c r="K2551" s="40" t="n">
        <x:f>G2551-E2551</x:f>
        <x:v>0</x:v>
      </x:c>
      <x:c r="L2551" s="40" t="n">
        <x:f>ABS(K2551)</x:f>
        <x:v>0</x:v>
      </x:c>
      <x:c r="M2551" s="41" t="str">
        <x:v>lstm-soil-v1</x:v>
      </x:c>
    </x:row>
    <x:row r="2552">
      <x:c r="A2552" s="38" t="str">
        <x:v>7月30日现场数据</x:v>
      </x:c>
      <x:c r="B2552" s="39" t="str">
        <x:v>2026-08-02T18:40:00</x:v>
      </x:c>
      <x:c r="C2552" s="39" t="str">
        <x:v>2026-08-02T18:45:00</x:v>
      </x:c>
      <x:c r="D2552" s="47" t="n">
        <x:v>5</x:v>
      </x:c>
      <x:c r="E2552" s="40" t="n">
        <x:v>14.7</x:v>
      </x:c>
      <x:c r="F2552" s="40" t="n">
        <x:v>12.935356140136719</x:v>
      </x:c>
      <x:c r="G2552" s="40" t="n">
        <x:v>14.7</x:v>
      </x:c>
      <x:c r="H2552" s="40" t="n">
        <x:f>F2552-E2552</x:f>
        <x:v>-1.7646438598632805</x:v>
      </x:c>
      <x:c r="I2552" s="40" t="n">
        <x:f>ABS(H2552)</x:f>
        <x:v>1.7646438598632805</x:v>
      </x:c>
      <x:c r="J2552" s="40" t="n">
        <x:f>H2552^2</x:f>
        <x:v>3.1139679521531773</x:v>
      </x:c>
      <x:c r="K2552" s="40" t="n">
        <x:f>G2552-E2552</x:f>
        <x:v>0</x:v>
      </x:c>
      <x:c r="L2552" s="40" t="n">
        <x:f>ABS(K2552)</x:f>
        <x:v>0</x:v>
      </x:c>
      <x:c r="M2552" s="41" t="str">
        <x:v>lstm-soil-v1</x:v>
      </x:c>
    </x:row>
    <x:row r="2553">
      <x:c r="A2553" s="38" t="str">
        <x:v>7月30日现场数据</x:v>
      </x:c>
      <x:c r="B2553" s="39" t="str">
        <x:v>2026-08-02T18:40:00</x:v>
      </x:c>
      <x:c r="C2553" s="39" t="str">
        <x:v>2026-08-02T18:55:00</x:v>
      </x:c>
      <x:c r="D2553" s="47" t="n">
        <x:v>15</x:v>
      </x:c>
      <x:c r="E2553" s="40" t="n">
        <x:v>14.7</x:v>
      </x:c>
      <x:c r="F2553" s="40" t="n">
        <x:v>13.01553726196289</x:v>
      </x:c>
      <x:c r="G2553" s="40" t="n">
        <x:v>14.7</x:v>
      </x:c>
      <x:c r="H2553" s="40" t="n">
        <x:f>F2553-E2553</x:f>
        <x:v>-1.6844627380371087</x:v>
      </x:c>
      <x:c r="I2553" s="40" t="n">
        <x:f>ABS(H2553)</x:f>
        <x:v>1.6844627380371087</x:v>
      </x:c>
      <x:c r="J2553" s="40" t="n">
        <x:f>H2553^2</x:f>
        <x:v>2.837414715835473</x:v>
      </x:c>
      <x:c r="K2553" s="40" t="n">
        <x:f>G2553-E2553</x:f>
        <x:v>0</x:v>
      </x:c>
      <x:c r="L2553" s="40" t="n">
        <x:f>ABS(K2553)</x:f>
        <x:v>0</x:v>
      </x:c>
      <x:c r="M2553" s="41" t="str">
        <x:v>lstm-soil-v1</x:v>
      </x:c>
    </x:row>
    <x:row r="2554">
      <x:c r="A2554" s="38" t="str">
        <x:v>7月30日现场数据</x:v>
      </x:c>
      <x:c r="B2554" s="39" t="str">
        <x:v>2026-08-02T18:40:00</x:v>
      </x:c>
      <x:c r="C2554" s="39" t="str">
        <x:v>2026-08-02T19:10:00</x:v>
      </x:c>
      <x:c r="D2554" s="47" t="n">
        <x:v>30</x:v>
      </x:c>
      <x:c r="E2554" s="40" t="n">
        <x:v>14.7</x:v>
      </x:c>
      <x:c r="F2554" s="40" t="n">
        <x:v>13.385383605957031</x:v>
      </x:c>
      <x:c r="G2554" s="40" t="n">
        <x:v>14.7</x:v>
      </x:c>
      <x:c r="H2554" s="40" t="n">
        <x:f>F2554-E2554</x:f>
        <x:v>-1.314616394042968</x:v>
      </x:c>
      <x:c r="I2554" s="40" t="n">
        <x:f>ABS(H2554)</x:f>
        <x:v>1.314616394042968</x:v>
      </x:c>
      <x:c r="J2554" s="40" t="n">
        <x:f>H2554^2</x:f>
        <x:v>1.7282162634865361</x:v>
      </x:c>
      <x:c r="K2554" s="40" t="n">
        <x:f>G2554-E2554</x:f>
        <x:v>0</x:v>
      </x:c>
      <x:c r="L2554" s="40" t="n">
        <x:f>ABS(K2554)</x:f>
        <x:v>0</x:v>
      </x:c>
      <x:c r="M2554" s="41" t="str">
        <x:v>lstm-soil-v1</x:v>
      </x:c>
    </x:row>
    <x:row r="2555">
      <x:c r="A2555" s="38" t="str">
        <x:v>7月30日现场数据</x:v>
      </x:c>
      <x:c r="B2555" s="39" t="str">
        <x:v>2026-08-02T18:40:00</x:v>
      </x:c>
      <x:c r="C2555" s="39" t="str">
        <x:v>2026-08-02T19:40:00</x:v>
      </x:c>
      <x:c r="D2555" s="47" t="n">
        <x:v>60</x:v>
      </x:c>
      <x:c r="E2555" s="40" t="n">
        <x:v>14.7</x:v>
      </x:c>
      <x:c r="F2555" s="40" t="n">
        <x:v>15.107173919677734</x:v>
      </x:c>
      <x:c r="G2555" s="40" t="n">
        <x:v>14.7</x:v>
      </x:c>
      <x:c r="H2555" s="40" t="n">
        <x:f>F2555-E2555</x:f>
        <x:v>0.4071739196777351</x:v>
      </x:c>
      <x:c r="I2555" s="40" t="n">
        <x:f>ABS(H2555)</x:f>
        <x:v>0.4071739196777351</x:v>
      </x:c>
      <x:c r="J2555" s="40" t="n">
        <x:f>H2555^2</x:f>
        <x:v>0.16579060086573066</x:v>
      </x:c>
      <x:c r="K2555" s="40" t="n">
        <x:f>G2555-E2555</x:f>
        <x:v>0</x:v>
      </x:c>
      <x:c r="L2555" s="40" t="n">
        <x:f>ABS(K2555)</x:f>
        <x:v>0</x:v>
      </x:c>
      <x:c r="M2555" s="41" t="str">
        <x:v>lstm-soil-v1</x:v>
      </x:c>
    </x:row>
    <x:row r="2556">
      <x:c r="A2556" s="38" t="str">
        <x:v>7月30日现场数据</x:v>
      </x:c>
      <x:c r="B2556" s="39" t="str">
        <x:v>2026-08-02T18:45:00</x:v>
      </x:c>
      <x:c r="C2556" s="39" t="str">
        <x:v>2026-08-02T18:50:00</x:v>
      </x:c>
      <x:c r="D2556" s="47" t="n">
        <x:v>5</x:v>
      </x:c>
      <x:c r="E2556" s="40" t="n">
        <x:v>14.7</x:v>
      </x:c>
      <x:c r="F2556" s="40" t="n">
        <x:v>12.934394836425781</x:v>
      </x:c>
      <x:c r="G2556" s="40" t="n">
        <x:v>14.7</x:v>
      </x:c>
      <x:c r="H2556" s="40" t="n">
        <x:f>F2556-E2556</x:f>
        <x:v>-1.765605163574218</x:v>
      </x:c>
      <x:c r="I2556" s="40" t="n">
        <x:f>ABS(H2556)</x:f>
        <x:v>1.765605163574218</x:v>
      </x:c>
      <x:c r="J2556" s="40" t="n">
        <x:f>H2556^2</x:f>
        <x:v>3.117361593639941</x:v>
      </x:c>
      <x:c r="K2556" s="40" t="n">
        <x:f>G2556-E2556</x:f>
        <x:v>0</x:v>
      </x:c>
      <x:c r="L2556" s="40" t="n">
        <x:f>ABS(K2556)</x:f>
        <x:v>0</x:v>
      </x:c>
      <x:c r="M2556" s="41" t="str">
        <x:v>lstm-soil-v1</x:v>
      </x:c>
    </x:row>
    <x:row r="2557">
      <x:c r="A2557" s="38" t="str">
        <x:v>7月30日现场数据</x:v>
      </x:c>
      <x:c r="B2557" s="39" t="str">
        <x:v>2026-08-02T18:45:00</x:v>
      </x:c>
      <x:c r="C2557" s="39" t="str">
        <x:v>2026-08-02T19:00:00</x:v>
      </x:c>
      <x:c r="D2557" s="47" t="n">
        <x:v>15</x:v>
      </x:c>
      <x:c r="E2557" s="40" t="n">
        <x:v>14.7</x:v>
      </x:c>
      <x:c r="F2557" s="40" t="n">
        <x:v>13.015094757080078</x:v>
      </x:c>
      <x:c r="G2557" s="40" t="n">
        <x:v>14.7</x:v>
      </x:c>
      <x:c r="H2557" s="40" t="n">
        <x:f>F2557-E2557</x:f>
        <x:v>-1.6849052429199212</x:v>
      </x:c>
      <x:c r="I2557" s="40" t="n">
        <x:f>ABS(H2557)</x:f>
        <x:v>1.6849052429199212</x:v>
      </x:c>
      <x:c r="J2557" s="40" t="n">
        <x:f>H2557^2</x:f>
        <x:v>2.8389056776190387</x:v>
      </x:c>
      <x:c r="K2557" s="40" t="n">
        <x:f>G2557-E2557</x:f>
        <x:v>0</x:v>
      </x:c>
      <x:c r="L2557" s="40" t="n">
        <x:f>ABS(K2557)</x:f>
        <x:v>0</x:v>
      </x:c>
      <x:c r="M2557" s="41" t="str">
        <x:v>lstm-soil-v1</x:v>
      </x:c>
    </x:row>
    <x:row r="2558">
      <x:c r="A2558" s="38" t="str">
        <x:v>7月30日现场数据</x:v>
      </x:c>
      <x:c r="B2558" s="39" t="str">
        <x:v>2026-08-02T18:45:00</x:v>
      </x:c>
      <x:c r="C2558" s="39" t="str">
        <x:v>2026-08-02T19:15:00</x:v>
      </x:c>
      <x:c r="D2558" s="47" t="n">
        <x:v>30</x:v>
      </x:c>
      <x:c r="E2558" s="40" t="n">
        <x:v>14.6</x:v>
      </x:c>
      <x:c r="F2558" s="40" t="n">
        <x:v>13.384239196777344</x:v>
      </x:c>
      <x:c r="G2558" s="40" t="n">
        <x:v>14.7</x:v>
      </x:c>
      <x:c r="H2558" s="40" t="n">
        <x:f>F2558-E2558</x:f>
        <x:v>-1.215760803222656</x:v>
      </x:c>
      <x:c r="I2558" s="40" t="n">
        <x:f>ABS(H2558)</x:f>
        <x:v>1.215760803222656</x:v>
      </x:c>
      <x:c r="J2558" s="40" t="n">
        <x:f>H2558^2</x:f>
        <x:v>1.4780743306525974</x:v>
      </x:c>
      <x:c r="K2558" s="40" t="n">
        <x:f>G2558-E2558</x:f>
        <x:v>0.09999999999999964</x:v>
      </x:c>
      <x:c r="L2558" s="40" t="n">
        <x:f>ABS(K2558)</x:f>
        <x:v>0.09999999999999964</x:v>
      </x:c>
      <x:c r="M2558" s="41" t="str">
        <x:v>lstm-soil-v1</x:v>
      </x:c>
    </x:row>
    <x:row r="2559">
      <x:c r="A2559" s="38" t="str">
        <x:v>7月30日现场数据</x:v>
      </x:c>
      <x:c r="B2559" s="39" t="str">
        <x:v>2026-08-02T18:45:00</x:v>
      </x:c>
      <x:c r="C2559" s="39" t="str">
        <x:v>2026-08-02T19:45:00</x:v>
      </x:c>
      <x:c r="D2559" s="47" t="n">
        <x:v>60</x:v>
      </x:c>
      <x:c r="E2559" s="40" t="n">
        <x:v>14.7</x:v>
      </x:c>
      <x:c r="F2559" s="40" t="n">
        <x:v>15.104949951171875</x:v>
      </x:c>
      <x:c r="G2559" s="40" t="n">
        <x:v>14.7</x:v>
      </x:c>
      <x:c r="H2559" s="40" t="n">
        <x:f>F2559-E2559</x:f>
        <x:v>0.4049499511718757</x:v>
      </x:c>
      <x:c r="I2559" s="40" t="n">
        <x:f>ABS(H2559)</x:f>
        <x:v>0.4049499511718757</x:v>
      </x:c>
      <x:c r="J2559" s="40" t="n">
        <x:f>H2559^2</x:f>
        <x:v>0.16398446295410452</x:v>
      </x:c>
      <x:c r="K2559" s="40" t="n">
        <x:f>G2559-E2559</x:f>
        <x:v>0</x:v>
      </x:c>
      <x:c r="L2559" s="40" t="n">
        <x:f>ABS(K2559)</x:f>
        <x:v>0</x:v>
      </x:c>
      <x:c r="M2559" s="41" t="str">
        <x:v>lstm-soil-v1</x:v>
      </x:c>
    </x:row>
    <x:row r="2560">
      <x:c r="A2560" s="38" t="str">
        <x:v>7月30日现场数据</x:v>
      </x:c>
      <x:c r="B2560" s="39" t="str">
        <x:v>2026-08-02T18:50:00</x:v>
      </x:c>
      <x:c r="C2560" s="39" t="str">
        <x:v>2026-08-02T18:55:00</x:v>
      </x:c>
      <x:c r="D2560" s="47" t="n">
        <x:v>5</x:v>
      </x:c>
      <x:c r="E2560" s="40" t="n">
        <x:v>14.7</x:v>
      </x:c>
      <x:c r="F2560" s="40" t="n">
        <x:v>12.934123992919922</x:v>
      </x:c>
      <x:c r="G2560" s="40" t="n">
        <x:v>14.7</x:v>
      </x:c>
      <x:c r="H2560" s="40" t="n">
        <x:f>F2560-E2560</x:f>
        <x:v>-1.7658760070800774</x:v>
      </x:c>
      <x:c r="I2560" s="40" t="n">
        <x:f>ABS(H2560)</x:f>
        <x:v>1.7658760070800774</x:v>
      </x:c>
      <x:c r="J2560" s="40" t="n">
        <x:f>H2560^2</x:f>
        <x:v>3.1183180723810775</x:v>
      </x:c>
      <x:c r="K2560" s="40" t="n">
        <x:f>G2560-E2560</x:f>
        <x:v>0</x:v>
      </x:c>
      <x:c r="L2560" s="40" t="n">
        <x:f>ABS(K2560)</x:f>
        <x:v>0</x:v>
      </x:c>
      <x:c r="M2560" s="41" t="str">
        <x:v>lstm-soil-v1</x:v>
      </x:c>
    </x:row>
    <x:row r="2561">
      <x:c r="A2561" s="38" t="str">
        <x:v>7月30日现场数据</x:v>
      </x:c>
      <x:c r="B2561" s="39" t="str">
        <x:v>2026-08-02T18:50:00</x:v>
      </x:c>
      <x:c r="C2561" s="39" t="str">
        <x:v>2026-08-02T19:05:00</x:v>
      </x:c>
      <x:c r="D2561" s="47" t="n">
        <x:v>15</x:v>
      </x:c>
      <x:c r="E2561" s="40" t="n">
        <x:v>14.7</x:v>
      </x:c>
      <x:c r="F2561" s="40" t="n">
        <x:v>13.014163970947266</x:v>
      </x:c>
      <x:c r="G2561" s="40" t="n">
        <x:v>14.7</x:v>
      </x:c>
      <x:c r="H2561" s="40" t="n">
        <x:f>F2561-E2561</x:f>
        <x:v>-1.6858360290527337</x:v>
      </x:c>
      <x:c r="I2561" s="40" t="n">
        <x:f>ABS(H2561)</x:f>
        <x:v>1.6858360290527337</x:v>
      </x:c>
      <x:c r="J2561" s="40" t="n">
        <x:f>H2561^2</x:f>
        <x:v>2.8420431168522895</x:v>
      </x:c>
      <x:c r="K2561" s="40" t="n">
        <x:f>G2561-E2561</x:f>
        <x:v>0</x:v>
      </x:c>
      <x:c r="L2561" s="40" t="n">
        <x:f>ABS(K2561)</x:f>
        <x:v>0</x:v>
      </x:c>
      <x:c r="M2561" s="41" t="str">
        <x:v>lstm-soil-v1</x:v>
      </x:c>
    </x:row>
    <x:row r="2562">
      <x:c r="A2562" s="38" t="str">
        <x:v>7月30日现场数据</x:v>
      </x:c>
      <x:c r="B2562" s="39" t="str">
        <x:v>2026-08-02T18:50:00</x:v>
      </x:c>
      <x:c r="C2562" s="39" t="str">
        <x:v>2026-08-02T19:20:00</x:v>
      </x:c>
      <x:c r="D2562" s="47" t="n">
        <x:v>30</x:v>
      </x:c>
      <x:c r="E2562" s="40" t="n">
        <x:v>14.7</x:v>
      </x:c>
      <x:c r="F2562" s="40" t="n">
        <x:v>13.383735656738281</x:v>
      </x:c>
      <x:c r="G2562" s="40" t="n">
        <x:v>14.7</x:v>
      </x:c>
      <x:c r="H2562" s="40" t="n">
        <x:f>F2562-E2562</x:f>
        <x:v>-1.316264343261718</x:v>
      </x:c>
      <x:c r="I2562" s="40" t="n">
        <x:f>ABS(H2562)</x:f>
        <x:v>1.316264343261718</x:v>
      </x:c>
      <x:c r="J2562" s="40" t="n">
        <x:f>H2562^2</x:f>
        <x:v>1.732551821342202</x:v>
      </x:c>
      <x:c r="K2562" s="40" t="n">
        <x:f>G2562-E2562</x:f>
        <x:v>0</x:v>
      </x:c>
      <x:c r="L2562" s="40" t="n">
        <x:f>ABS(K2562)</x:f>
        <x:v>0</x:v>
      </x:c>
      <x:c r="M2562" s="41" t="str">
        <x:v>lstm-soil-v1</x:v>
      </x:c>
    </x:row>
    <x:row r="2563">
      <x:c r="A2563" s="38" t="str">
        <x:v>7月30日现场数据</x:v>
      </x:c>
      <x:c r="B2563" s="39" t="str">
        <x:v>2026-08-02T18:50:00</x:v>
      </x:c>
      <x:c r="C2563" s="39" t="str">
        <x:v>2026-08-02T19:50:00</x:v>
      </x:c>
      <x:c r="D2563" s="47" t="n">
        <x:v>60</x:v>
      </x:c>
      <x:c r="E2563" s="40" t="n">
        <x:v>14.7</x:v>
      </x:c>
      <x:c r="F2563" s="40" t="n">
        <x:v>15.104686737060547</x:v>
      </x:c>
      <x:c r="G2563" s="40" t="n">
        <x:v>14.7</x:v>
      </x:c>
      <x:c r="H2563" s="40" t="n">
        <x:f>F2563-E2563</x:f>
        <x:v>0.4046867370605476</x:v>
      </x:c>
      <x:c r="I2563" s="40" t="n">
        <x:f>ABS(H2563)</x:f>
        <x:v>0.4046867370605476</x:v>
      </x:c>
      <x:c r="J2563" s="40" t="n">
        <x:f>H2563^2</x:f>
        <x:v>0.16377135515271277</x:v>
      </x:c>
      <x:c r="K2563" s="40" t="n">
        <x:f>G2563-E2563</x:f>
        <x:v>0</x:v>
      </x:c>
      <x:c r="L2563" s="40" t="n">
        <x:f>ABS(K2563)</x:f>
        <x:v>0</x:v>
      </x:c>
      <x:c r="M2563" s="41" t="str">
        <x:v>lstm-soil-v1</x:v>
      </x:c>
    </x:row>
    <x:row r="2564">
      <x:c r="A2564" s="38" t="str">
        <x:v>7月30日现场数据</x:v>
      </x:c>
      <x:c r="B2564" s="39" t="str">
        <x:v>2026-08-02T18:55:00</x:v>
      </x:c>
      <x:c r="C2564" s="39" t="str">
        <x:v>2026-08-02T19:00:00</x:v>
      </x:c>
      <x:c r="D2564" s="47" t="n">
        <x:v>5</x:v>
      </x:c>
      <x:c r="E2564" s="40" t="n">
        <x:v>14.7</x:v>
      </x:c>
      <x:c r="F2564" s="40" t="n">
        <x:v>12.934032440185547</x:v>
      </x:c>
      <x:c r="G2564" s="40" t="n">
        <x:v>14.7</x:v>
      </x:c>
      <x:c r="H2564" s="40" t="n">
        <x:f>F2564-E2564</x:f>
        <x:v>-1.7659675598144524</x:v>
      </x:c>
      <x:c r="I2564" s="40" t="n">
        <x:f>ABS(H2564)</x:f>
        <x:v>1.7659675598144524</x:v>
      </x:c>
      <x:c r="J2564" s="40" t="n">
        <x:f>H2564^2</x:f>
        <x:v>3.1186414223170114</x:v>
      </x:c>
      <x:c r="K2564" s="40" t="n">
        <x:f>G2564-E2564</x:f>
        <x:v>0</x:v>
      </x:c>
      <x:c r="L2564" s="40" t="n">
        <x:f>ABS(K2564)</x:f>
        <x:v>0</x:v>
      </x:c>
      <x:c r="M2564" s="41" t="str">
        <x:v>lstm-soil-v1</x:v>
      </x:c>
    </x:row>
    <x:row r="2565">
      <x:c r="A2565" s="38" t="str">
        <x:v>7月30日现场数据</x:v>
      </x:c>
      <x:c r="B2565" s="39" t="str">
        <x:v>2026-08-02T18:55:00</x:v>
      </x:c>
      <x:c r="C2565" s="39" t="str">
        <x:v>2026-08-02T19:10:00</x:v>
      </x:c>
      <x:c r="D2565" s="47" t="n">
        <x:v>15</x:v>
      </x:c>
      <x:c r="E2565" s="40" t="n">
        <x:v>14.7</x:v>
      </x:c>
      <x:c r="F2565" s="40" t="n">
        <x:v>13.013427734375</x:v>
      </x:c>
      <x:c r="G2565" s="40" t="n">
        <x:v>14.7</x:v>
      </x:c>
      <x:c r="H2565" s="40" t="n">
        <x:f>F2565-E2565</x:f>
        <x:v>-1.6865722656249993</x:v>
      </x:c>
      <x:c r="I2565" s="40" t="n">
        <x:f>ABS(H2565)</x:f>
        <x:v>1.6865722656249993</x:v>
      </x:c>
      <x:c r="J2565" s="40" t="n">
        <x:f>H2565^2</x:f>
        <x:v>2.844526007175443</x:v>
      </x:c>
      <x:c r="K2565" s="40" t="n">
        <x:f>G2565-E2565</x:f>
        <x:v>0</x:v>
      </x:c>
      <x:c r="L2565" s="40" t="n">
        <x:f>ABS(K2565)</x:f>
        <x:v>0</x:v>
      </x:c>
      <x:c r="M2565" s="41" t="str">
        <x:v>lstm-soil-v1</x:v>
      </x:c>
    </x:row>
    <x:row r="2566">
      <x:c r="A2566" s="38" t="str">
        <x:v>7月30日现场数据</x:v>
      </x:c>
      <x:c r="B2566" s="39" t="str">
        <x:v>2026-08-02T18:55:00</x:v>
      </x:c>
      <x:c r="C2566" s="39" t="str">
        <x:v>2026-08-02T19:25:00</x:v>
      </x:c>
      <x:c r="D2566" s="47" t="n">
        <x:v>30</x:v>
      </x:c>
      <x:c r="E2566" s="40" t="n">
        <x:v>14.7</x:v>
      </x:c>
      <x:c r="F2566" s="40" t="n">
        <x:v>13.383647918701172</x:v>
      </x:c>
      <x:c r="G2566" s="40" t="n">
        <x:v>14.7</x:v>
      </x:c>
      <x:c r="H2566" s="40" t="n">
        <x:f>F2566-E2566</x:f>
        <x:v>-1.3163520812988274</x:v>
      </x:c>
      <x:c r="I2566" s="40" t="n">
        <x:f>ABS(H2566)</x:f>
        <x:v>1.3163520812988274</x:v>
      </x:c>
      <x:c r="J2566" s="40" t="n">
        <x:f>H2566^2</x:f>
        <x:v>1.7327828019397546</x:v>
      </x:c>
      <x:c r="K2566" s="40" t="n">
        <x:f>G2566-E2566</x:f>
        <x:v>0</x:v>
      </x:c>
      <x:c r="L2566" s="40" t="n">
        <x:f>ABS(K2566)</x:f>
        <x:v>0</x:v>
      </x:c>
      <x:c r="M2566" s="41" t="str">
        <x:v>lstm-soil-v1</x:v>
      </x:c>
    </x:row>
    <x:row r="2567">
      <x:c r="A2567" s="38" t="str">
        <x:v>7月30日现场数据</x:v>
      </x:c>
      <x:c r="B2567" s="39" t="str">
        <x:v>2026-08-02T18:55:00</x:v>
      </x:c>
      <x:c r="C2567" s="39" t="str">
        <x:v>2026-08-02T19:55:00</x:v>
      </x:c>
      <x:c r="D2567" s="47" t="n">
        <x:v>60</x:v>
      </x:c>
      <x:c r="E2567" s="40" t="n">
        <x:v>14.6</x:v>
      </x:c>
      <x:c r="F2567" s="40" t="n">
        <x:v>15.104812622070312</x:v>
      </x:c>
      <x:c r="G2567" s="40" t="n">
        <x:v>14.7</x:v>
      </x:c>
      <x:c r="H2567" s="40" t="n">
        <x:f>F2567-E2567</x:f>
        <x:v>0.5048126220703129</x:v>
      </x:c>
      <x:c r="I2567" s="40" t="n">
        <x:f>ABS(H2567)</x:f>
        <x:v>0.5048126220703129</x:v>
      </x:c>
      <x:c r="J2567" s="40" t="n">
        <x:f>H2567^2</x:f>
        <x:v>0.25483578340150453</x:v>
      </x:c>
      <x:c r="K2567" s="40" t="n">
        <x:f>G2567-E2567</x:f>
        <x:v>0.09999999999999964</x:v>
      </x:c>
      <x:c r="L2567" s="40" t="n">
        <x:f>ABS(K2567)</x:f>
        <x:v>0.09999999999999964</x:v>
      </x:c>
      <x:c r="M2567" s="41" t="str">
        <x:v>lstm-soil-v1</x:v>
      </x:c>
    </x:row>
    <x:row r="2568">
      <x:c r="A2568" s="38" t="str">
        <x:v>7月30日现场数据</x:v>
      </x:c>
      <x:c r="B2568" s="39" t="str">
        <x:v>2026-08-02T19:00:00</x:v>
      </x:c>
      <x:c r="C2568" s="39" t="str">
        <x:v>2026-08-02T19:05:00</x:v>
      </x:c>
      <x:c r="D2568" s="47" t="n">
        <x:v>5</x:v>
      </x:c>
      <x:c r="E2568" s="40" t="n">
        <x:v>14.7</x:v>
      </x:c>
      <x:c r="F2568" s="40" t="n">
        <x:v>12.932144165039062</x:v>
      </x:c>
      <x:c r="G2568" s="40" t="n">
        <x:v>14.7</x:v>
      </x:c>
      <x:c r="H2568" s="40" t="n">
        <x:f>F2568-E2568</x:f>
        <x:v>-1.7678558349609368</x:v>
      </x:c>
      <x:c r="I2568" s="40" t="n">
        <x:f>ABS(H2568)</x:f>
        <x:v>1.7678558349609368</x:v>
      </x:c>
      <x:c r="J2568" s="40" t="n">
        <x:f>H2568^2</x:f>
        <x:v>3.1253142532054308</x:v>
      </x:c>
      <x:c r="K2568" s="40" t="n">
        <x:f>G2568-E2568</x:f>
        <x:v>0</x:v>
      </x:c>
      <x:c r="L2568" s="40" t="n">
        <x:f>ABS(K2568)</x:f>
        <x:v>0</x:v>
      </x:c>
      <x:c r="M2568" s="41" t="str">
        <x:v>lstm-soil-v1</x:v>
      </x:c>
    </x:row>
    <x:row r="2569">
      <x:c r="A2569" s="38" t="str">
        <x:v>7月30日现场数据</x:v>
      </x:c>
      <x:c r="B2569" s="39" t="str">
        <x:v>2026-08-02T19:00:00</x:v>
      </x:c>
      <x:c r="C2569" s="39" t="str">
        <x:v>2026-08-02T19:15:00</x:v>
      </x:c>
      <x:c r="D2569" s="47" t="n">
        <x:v>15</x:v>
      </x:c>
      <x:c r="E2569" s="40" t="n">
        <x:v>14.6</x:v>
      </x:c>
      <x:c r="F2569" s="40" t="n">
        <x:v>13.011821746826172</x:v>
      </x:c>
      <x:c r="G2569" s="40" t="n">
        <x:v>14.7</x:v>
      </x:c>
      <x:c r="H2569" s="40" t="n">
        <x:f>F2569-E2569</x:f>
        <x:v>-1.5881782531738278</x:v>
      </x:c>
      <x:c r="I2569" s="40" t="n">
        <x:f>ABS(H2569)</x:f>
        <x:v>1.5881782531738278</x:v>
      </x:c>
      <x:c r="J2569" s="40" t="n">
        <x:f>H2569^2</x:f>
        <x:v>2.522310163854271</x:v>
      </x:c>
      <x:c r="K2569" s="40" t="n">
        <x:f>G2569-E2569</x:f>
        <x:v>0.09999999999999964</x:v>
      </x:c>
      <x:c r="L2569" s="40" t="n">
        <x:f>ABS(K2569)</x:f>
        <x:v>0.09999999999999964</x:v>
      </x:c>
      <x:c r="M2569" s="41" t="str">
        <x:v>lstm-soil-v1</x:v>
      </x:c>
    </x:row>
    <x:row r="2570">
      <x:c r="A2570" s="38" t="str">
        <x:v>7月30日现场数据</x:v>
      </x:c>
      <x:c r="B2570" s="39" t="str">
        <x:v>2026-08-02T19:00:00</x:v>
      </x:c>
      <x:c r="C2570" s="39" t="str">
        <x:v>2026-08-02T19:30:00</x:v>
      </x:c>
      <x:c r="D2570" s="47" t="n">
        <x:v>30</x:v>
      </x:c>
      <x:c r="E2570" s="40" t="n">
        <x:v>14.7</x:v>
      </x:c>
      <x:c r="F2570" s="40" t="n">
        <x:v>13.382637023925781</x:v>
      </x:c>
      <x:c r="G2570" s="40" t="n">
        <x:v>14.7</x:v>
      </x:c>
      <x:c r="H2570" s="40" t="n">
        <x:f>F2570-E2570</x:f>
        <x:v>-1.317362976074218</x:v>
      </x:c>
      <x:c r="I2570" s="40" t="n">
        <x:f>ABS(H2570)</x:f>
        <x:v>1.317362976074218</x:v>
      </x:c>
      <x:c r="J2570" s="40" t="n">
        <x:f>H2570^2</x:f>
        <x:v>1.7354452107311207</x:v>
      </x:c>
      <x:c r="K2570" s="40" t="n">
        <x:f>G2570-E2570</x:f>
        <x:v>0</x:v>
      </x:c>
      <x:c r="L2570" s="40" t="n">
        <x:f>ABS(K2570)</x:f>
        <x:v>0</x:v>
      </x:c>
      <x:c r="M2570" s="41" t="str">
        <x:v>lstm-soil-v1</x:v>
      </x:c>
    </x:row>
    <x:row r="2571">
      <x:c r="A2571" s="38" t="str">
        <x:v>7月30日现场数据</x:v>
      </x:c>
      <x:c r="B2571" s="39" t="str">
        <x:v>2026-08-02T19:00:00</x:v>
      </x:c>
      <x:c r="C2571" s="39" t="str">
        <x:v>2026-08-02T20:00:00</x:v>
      </x:c>
      <x:c r="D2571" s="47" t="n">
        <x:v>60</x:v>
      </x:c>
      <x:c r="E2571" s="40" t="n">
        <x:v>14.6</x:v>
      </x:c>
      <x:c r="F2571" s="40" t="n">
        <x:v>15.099449157714844</x:v>
      </x:c>
      <x:c r="G2571" s="40" t="n">
        <x:v>14.7</x:v>
      </x:c>
      <x:c r="H2571" s="40" t="n">
        <x:f>F2571-E2571</x:f>
        <x:v>0.4994491577148441</x:v>
      </x:c>
      <x:c r="I2571" s="40" t="n">
        <x:f>ABS(H2571)</x:f>
        <x:v>0.4994491577148441</x:v>
      </x:c>
      <x:c r="J2571" s="40" t="n">
        <x:f>H2571^2</x:f>
        <x:v>0.24944946114206723</x:v>
      </x:c>
      <x:c r="K2571" s="40" t="n">
        <x:f>G2571-E2571</x:f>
        <x:v>0.09999999999999964</x:v>
      </x:c>
      <x:c r="L2571" s="40" t="n">
        <x:f>ABS(K2571)</x:f>
        <x:v>0.09999999999999964</x:v>
      </x:c>
      <x:c r="M2571" s="41" t="str">
        <x:v>lstm-soil-v1</x:v>
      </x:c>
    </x:row>
    <x:row r="2572">
      <x:c r="A2572" s="38" t="str">
        <x:v>7月30日现场数据</x:v>
      </x:c>
      <x:c r="B2572" s="39" t="str">
        <x:v>2026-08-02T19:05:00</x:v>
      </x:c>
      <x:c r="C2572" s="39" t="str">
        <x:v>2026-08-02T19:10:00</x:v>
      </x:c>
      <x:c r="D2572" s="47" t="n">
        <x:v>5</x:v>
      </x:c>
      <x:c r="E2572" s="40" t="n">
        <x:v>14.7</x:v>
      </x:c>
      <x:c r="F2572" s="40" t="n">
        <x:v>12.931346893310547</x:v>
      </x:c>
      <x:c r="G2572" s="40" t="n">
        <x:v>14.7</x:v>
      </x:c>
      <x:c r="H2572" s="40" t="n">
        <x:f>F2572-E2572</x:f>
        <x:v>-1.7686531066894524</x:v>
      </x:c>
      <x:c r="I2572" s="40" t="n">
        <x:f>ABS(H2572)</x:f>
        <x:v>1.7686531066894524</x:v>
      </x:c>
      <x:c r="J2572" s="40" t="n">
        <x:f>H2572^2</x:f>
        <x:v>3.1281338118022517</x:v>
      </x:c>
      <x:c r="K2572" s="40" t="n">
        <x:f>G2572-E2572</x:f>
        <x:v>0</x:v>
      </x:c>
      <x:c r="L2572" s="40" t="n">
        <x:f>ABS(K2572)</x:f>
        <x:v>0</x:v>
      </x:c>
      <x:c r="M2572" s="41" t="str">
        <x:v>lstm-soil-v1</x:v>
      </x:c>
    </x:row>
    <x:row r="2573">
      <x:c r="A2573" s="38" t="str">
        <x:v>7月30日现场数据</x:v>
      </x:c>
      <x:c r="B2573" s="39" t="str">
        <x:v>2026-08-02T19:05:00</x:v>
      </x:c>
      <x:c r="C2573" s="39" t="str">
        <x:v>2026-08-02T19:20:00</x:v>
      </x:c>
      <x:c r="D2573" s="47" t="n">
        <x:v>15</x:v>
      </x:c>
      <x:c r="E2573" s="40" t="n">
        <x:v>14.7</x:v>
      </x:c>
      <x:c r="F2573" s="40" t="n">
        <x:v>13.01019287109375</x:v>
      </x:c>
      <x:c r="G2573" s="40" t="n">
        <x:v>14.7</x:v>
      </x:c>
      <x:c r="H2573" s="40" t="n">
        <x:f>F2573-E2573</x:f>
        <x:v>-1.6898071289062493</x:v>
      </x:c>
      <x:c r="I2573" s="40" t="n">
        <x:f>ABS(H2573)</x:f>
        <x:v>1.6898071289062493</x:v>
      </x:c>
      <x:c r="J2573" s="40" t="n">
        <x:f>H2573^2</x:f>
        <x:v>2.8554481329023815</x:v>
      </x:c>
      <x:c r="K2573" s="40" t="n">
        <x:f>G2573-E2573</x:f>
        <x:v>0</x:v>
      </x:c>
      <x:c r="L2573" s="40" t="n">
        <x:f>ABS(K2573)</x:f>
        <x:v>0</x:v>
      </x:c>
      <x:c r="M2573" s="41" t="str">
        <x:v>lstm-soil-v1</x:v>
      </x:c>
    </x:row>
    <x:row r="2574">
      <x:c r="A2574" s="38" t="str">
        <x:v>7月30日现场数据</x:v>
      </x:c>
      <x:c r="B2574" s="39" t="str">
        <x:v>2026-08-02T19:05:00</x:v>
      </x:c>
      <x:c r="C2574" s="39" t="str">
        <x:v>2026-08-02T19:35:00</x:v>
      </x:c>
      <x:c r="D2574" s="47" t="n">
        <x:v>30</x:v>
      </x:c>
      <x:c r="E2574" s="40" t="n">
        <x:v>14.7</x:v>
      </x:c>
      <x:c r="F2574" s="40" t="n">
        <x:v>13.382766723632812</x:v>
      </x:c>
      <x:c r="G2574" s="40" t="n">
        <x:v>14.7</x:v>
      </x:c>
      <x:c r="H2574" s="40" t="n">
        <x:f>F2574-E2574</x:f>
        <x:v>-1.3172332763671868</x:v>
      </x:c>
      <x:c r="I2574" s="40" t="n">
        <x:f>ABS(H2574)</x:f>
        <x:v>1.3172332763671868</x:v>
      </x:c>
      <x:c r="J2574" s="40" t="n">
        <x:f>H2574^2</x:f>
        <x:v>1.7351035043690335</x:v>
      </x:c>
      <x:c r="K2574" s="40" t="n">
        <x:f>G2574-E2574</x:f>
        <x:v>0</x:v>
      </x:c>
      <x:c r="L2574" s="40" t="n">
        <x:f>ABS(K2574)</x:f>
        <x:v>0</x:v>
      </x:c>
      <x:c r="M2574" s="41" t="str">
        <x:v>lstm-soil-v1</x:v>
      </x:c>
    </x:row>
    <x:row r="2575">
      <x:c r="A2575" s="38" t="str">
        <x:v>7月30日现场数据</x:v>
      </x:c>
      <x:c r="B2575" s="39" t="str">
        <x:v>2026-08-02T19:05:00</x:v>
      </x:c>
      <x:c r="C2575" s="39" t="str">
        <x:v>2026-08-02T20:05:00</x:v>
      </x:c>
      <x:c r="D2575" s="47" t="n">
        <x:v>60</x:v>
      </x:c>
      <x:c r="E2575" s="40" t="n">
        <x:v>14.7</x:v>
      </x:c>
      <x:c r="F2575" s="40" t="n">
        <x:v>15.09621810913086</x:v>
      </x:c>
      <x:c r="G2575" s="40" t="n">
        <x:v>14.7</x:v>
      </x:c>
      <x:c r="H2575" s="40" t="n">
        <x:f>F2575-E2575</x:f>
        <x:v>0.3962181091308601</x:v>
      </x:c>
      <x:c r="I2575" s="40" t="n">
        <x:f>ABS(H2575)</x:f>
        <x:v>0.3962181091308601</x:v>
      </x:c>
      <x:c r="J2575" s="40" t="n">
        <x:f>H2575^2</x:f>
        <x:v>0.15698879000323415</x:v>
      </x:c>
      <x:c r="K2575" s="40" t="n">
        <x:f>G2575-E2575</x:f>
        <x:v>0</x:v>
      </x:c>
      <x:c r="L2575" s="40" t="n">
        <x:f>ABS(K2575)</x:f>
        <x:v>0</x:v>
      </x:c>
      <x:c r="M2575" s="41" t="str">
        <x:v>lstm-soil-v1</x:v>
      </x:c>
    </x:row>
    <x:row r="2576">
      <x:c r="A2576" s="38" t="str">
        <x:v>7月30日现场数据</x:v>
      </x:c>
      <x:c r="B2576" s="39" t="str">
        <x:v>2026-08-02T19:10:00</x:v>
      </x:c>
      <x:c r="C2576" s="39" t="str">
        <x:v>2026-08-02T19:15:00</x:v>
      </x:c>
      <x:c r="D2576" s="47" t="n">
        <x:v>5</x:v>
      </x:c>
      <x:c r="E2576" s="40" t="n">
        <x:v>14.6</x:v>
      </x:c>
      <x:c r="F2576" s="40" t="n">
        <x:v>12.930610656738281</x:v>
      </x:c>
      <x:c r="G2576" s="40" t="n">
        <x:v>14.7</x:v>
      </x:c>
      <x:c r="H2576" s="40" t="n">
        <x:f>F2576-E2576</x:f>
        <x:v>-1.6693893432617184</x:v>
      </x:c>
      <x:c r="I2576" s="40" t="n">
        <x:f>ABS(H2576)</x:f>
        <x:v>1.6693893432617184</x:v>
      </x:c>
      <x:c r="J2576" s="40" t="n">
        <x:f>H2576^2</x:f>
        <x:v>2.7868607793957914</x:v>
      </x:c>
      <x:c r="K2576" s="40" t="n">
        <x:f>G2576-E2576</x:f>
        <x:v>0.09999999999999964</x:v>
      </x:c>
      <x:c r="L2576" s="40" t="n">
        <x:f>ABS(K2576)</x:f>
        <x:v>0.09999999999999964</x:v>
      </x:c>
      <x:c r="M2576" s="41" t="str">
        <x:v>lstm-soil-v1</x:v>
      </x:c>
    </x:row>
    <x:row r="2577">
      <x:c r="A2577" s="38" t="str">
        <x:v>7月30日现场数据</x:v>
      </x:c>
      <x:c r="B2577" s="39" t="str">
        <x:v>2026-08-02T19:10:00</x:v>
      </x:c>
      <x:c r="C2577" s="39" t="str">
        <x:v>2026-08-02T19:25:00</x:v>
      </x:c>
      <x:c r="D2577" s="47" t="n">
        <x:v>15</x:v>
      </x:c>
      <x:c r="E2577" s="40" t="n">
        <x:v>14.7</x:v>
      </x:c>
      <x:c r="F2577" s="40" t="n">
        <x:v>13.008674621582031</x:v>
      </x:c>
      <x:c r="G2577" s="40" t="n">
        <x:v>14.7</x:v>
      </x:c>
      <x:c r="H2577" s="40" t="n">
        <x:f>F2577-E2577</x:f>
        <x:v>-1.691325378417968</x:v>
      </x:c>
      <x:c r="I2577" s="40" t="n">
        <x:f>ABS(H2577)</x:f>
        <x:v>1.691325378417968</x:v>
      </x:c>
      <x:c r="J2577" s="40" t="n">
        <x:f>H2577^2</x:f>
        <x:v>2.8605815356806827</x:v>
      </x:c>
      <x:c r="K2577" s="40" t="n">
        <x:f>G2577-E2577</x:f>
        <x:v>0</x:v>
      </x:c>
      <x:c r="L2577" s="40" t="n">
        <x:f>ABS(K2577)</x:f>
        <x:v>0</x:v>
      </x:c>
      <x:c r="M2577" s="41" t="str">
        <x:v>lstm-soil-v1</x:v>
      </x:c>
    </x:row>
    <x:row r="2578">
      <x:c r="A2578" s="38" t="str">
        <x:v>7月30日现场数据</x:v>
      </x:c>
      <x:c r="B2578" s="39" t="str">
        <x:v>2026-08-02T19:10:00</x:v>
      </x:c>
      <x:c r="C2578" s="39" t="str">
        <x:v>2026-08-02T19:40:00</x:v>
      </x:c>
      <x:c r="D2578" s="47" t="n">
        <x:v>30</x:v>
      </x:c>
      <x:c r="E2578" s="40" t="n">
        <x:v>14.7</x:v>
      </x:c>
      <x:c r="F2578" s="40" t="n">
        <x:v>13.383110046386719</x:v>
      </x:c>
      <x:c r="G2578" s="40" t="n">
        <x:v>14.7</x:v>
      </x:c>
      <x:c r="H2578" s="40" t="n">
        <x:f>F2578-E2578</x:f>
        <x:v>-1.3168899536132805</x:v>
      </x:c>
      <x:c r="I2578" s="40" t="n">
        <x:f>ABS(H2578)</x:f>
        <x:v>1.3168899536132805</x:v>
      </x:c>
      <x:c r="J2578" s="40" t="n">
        <x:f>H2578^2</x:f>
        <x:v>1.7341991499275882</x:v>
      </x:c>
      <x:c r="K2578" s="40" t="n">
        <x:f>G2578-E2578</x:f>
        <x:v>0</x:v>
      </x:c>
      <x:c r="L2578" s="40" t="n">
        <x:f>ABS(K2578)</x:f>
        <x:v>0</x:v>
      </x:c>
      <x:c r="M2578" s="41" t="str">
        <x:v>lstm-soil-v1</x:v>
      </x:c>
    </x:row>
    <x:row r="2579">
      <x:c r="A2579" s="38" t="str">
        <x:v>7月30日现场数据</x:v>
      </x:c>
      <x:c r="B2579" s="39" t="str">
        <x:v>2026-08-02T19:10:00</x:v>
      </x:c>
      <x:c r="C2579" s="39" t="str">
        <x:v>2026-08-02T20:10:00</x:v>
      </x:c>
      <x:c r="D2579" s="47" t="n">
        <x:v>60</x:v>
      </x:c>
      <x:c r="E2579" s="40" t="n">
        <x:v>14.6</x:v>
      </x:c>
      <x:c r="F2579" s="40" t="n">
        <x:v>15.093936920166016</x:v>
      </x:c>
      <x:c r="G2579" s="40" t="n">
        <x:v>14.7</x:v>
      </x:c>
      <x:c r="H2579" s="40" t="n">
        <x:f>F2579-E2579</x:f>
        <x:v>0.493936920166016</x:v>
      </x:c>
      <x:c r="I2579" s="40" t="n">
        <x:f>ABS(H2579)</x:f>
        <x:v>0.493936920166016</x:v>
      </x:c>
      <x:c r="J2579" s="40" t="n">
        <x:f>H2579^2</x:f>
        <x:v>0.24397368110308926</x:v>
      </x:c>
      <x:c r="K2579" s="40" t="n">
        <x:f>G2579-E2579</x:f>
        <x:v>0.09999999999999964</x:v>
      </x:c>
      <x:c r="L2579" s="40" t="n">
        <x:f>ABS(K2579)</x:f>
        <x:v>0.09999999999999964</x:v>
      </x:c>
      <x:c r="M2579" s="41" t="str">
        <x:v>lstm-soil-v1</x:v>
      </x:c>
    </x:row>
    <x:row r="2580">
      <x:c r="A2580" s="38" t="str">
        <x:v>7月30日现场数据</x:v>
      </x:c>
      <x:c r="B2580" s="39" t="str">
        <x:v>2026-08-02T19:15:00</x:v>
      </x:c>
      <x:c r="C2580" s="39" t="str">
        <x:v>2026-08-02T19:20:00</x:v>
      </x:c>
      <x:c r="D2580" s="47" t="n">
        <x:v>5</x:v>
      </x:c>
      <x:c r="E2580" s="40" t="n">
        <x:v>14.7</x:v>
      </x:c>
      <x:c r="F2580" s="40" t="n">
        <x:v>12.819622039794922</x:v>
      </x:c>
      <x:c r="G2580" s="40" t="n">
        <x:v>14.6</x:v>
      </x:c>
      <x:c r="H2580" s="40" t="n">
        <x:f>F2580-E2580</x:f>
        <x:v>-1.8803779602050774</x:v>
      </x:c>
      <x:c r="I2580" s="40" t="n">
        <x:f>ABS(H2580)</x:f>
        <x:v>1.8803779602050774</x:v>
      </x:c>
      <x:c r="J2580" s="40" t="n">
        <x:f>H2580^2</x:f>
        <x:v>3.535821273225008</x:v>
      </x:c>
      <x:c r="K2580" s="40" t="n">
        <x:f>G2580-E2580</x:f>
        <x:v>-0.09999999999999964</x:v>
      </x:c>
      <x:c r="L2580" s="40" t="n">
        <x:f>ABS(K2580)</x:f>
        <x:v>0.09999999999999964</x:v>
      </x:c>
      <x:c r="M2580" s="41" t="str">
        <x:v>lstm-soil-v1</x:v>
      </x:c>
    </x:row>
    <x:row r="2581">
      <x:c r="A2581" s="38" t="str">
        <x:v>7月30日现场数据</x:v>
      </x:c>
      <x:c r="B2581" s="39" t="str">
        <x:v>2026-08-02T19:15:00</x:v>
      </x:c>
      <x:c r="C2581" s="39" t="str">
        <x:v>2026-08-02T19:30:00</x:v>
      </x:c>
      <x:c r="D2581" s="47" t="n">
        <x:v>15</x:v>
      </x:c>
      <x:c r="E2581" s="40" t="n">
        <x:v>14.7</x:v>
      </x:c>
      <x:c r="F2581" s="40" t="n">
        <x:v>12.89712905883789</x:v>
      </x:c>
      <x:c r="G2581" s="40" t="n">
        <x:v>14.6</x:v>
      </x:c>
      <x:c r="H2581" s="40" t="n">
        <x:f>F2581-E2581</x:f>
        <x:v>-1.8028709411621087</x:v>
      </x:c>
      <x:c r="I2581" s="40" t="n">
        <x:f>ABS(H2581)</x:f>
        <x:v>1.8028709411621087</x:v>
      </x:c>
      <x:c r="J2581" s="40" t="n">
        <x:f>H2581^2</x:f>
        <x:v>3.2503436304867477</x:v>
      </x:c>
      <x:c r="K2581" s="40" t="n">
        <x:f>G2581-E2581</x:f>
        <x:v>-0.09999999999999964</x:v>
      </x:c>
      <x:c r="L2581" s="40" t="n">
        <x:f>ABS(K2581)</x:f>
        <x:v>0.09999999999999964</x:v>
      </x:c>
      <x:c r="M2581" s="41" t="str">
        <x:v>lstm-soil-v1</x:v>
      </x:c>
    </x:row>
    <x:row r="2582">
      <x:c r="A2582" s="38" t="str">
        <x:v>7月30日现场数据</x:v>
      </x:c>
      <x:c r="B2582" s="39" t="str">
        <x:v>2026-08-02T19:15:00</x:v>
      </x:c>
      <x:c r="C2582" s="39" t="str">
        <x:v>2026-08-02T19:45:00</x:v>
      </x:c>
      <x:c r="D2582" s="47" t="n">
        <x:v>30</x:v>
      </x:c>
      <x:c r="E2582" s="40" t="n">
        <x:v>14.7</x:v>
      </x:c>
      <x:c r="F2582" s="40" t="n">
        <x:v>13.273284912109375</x:v>
      </x:c>
      <x:c r="G2582" s="40" t="n">
        <x:v>14.6</x:v>
      </x:c>
      <x:c r="H2582" s="40" t="n">
        <x:f>F2582-E2582</x:f>
        <x:v>-1.4267150878906243</x:v>
      </x:c>
      <x:c r="I2582" s="40" t="n">
        <x:f>ABS(H2582)</x:f>
        <x:v>1.4267150878906243</x:v>
      </x:c>
      <x:c r="J2582" s="40" t="n">
        <x:f>H2582^2</x:f>
        <x:v>2.0355159420147517</x:v>
      </x:c>
      <x:c r="K2582" s="40" t="n">
        <x:f>G2582-E2582</x:f>
        <x:v>-0.09999999999999964</x:v>
      </x:c>
      <x:c r="L2582" s="40" t="n">
        <x:f>ABS(K2582)</x:f>
        <x:v>0.09999999999999964</x:v>
      </x:c>
      <x:c r="M2582" s="41" t="str">
        <x:v>lstm-soil-v1</x:v>
      </x:c>
    </x:row>
    <x:row r="2583">
      <x:c r="A2583" s="38" t="str">
        <x:v>7月30日现场数据</x:v>
      </x:c>
      <x:c r="B2583" s="39" t="str">
        <x:v>2026-08-02T19:15:00</x:v>
      </x:c>
      <x:c r="C2583" s="39" t="str">
        <x:v>2026-08-02T20:15:00</x:v>
      </x:c>
      <x:c r="D2583" s="47" t="n">
        <x:v>60</x:v>
      </x:c>
      <x:c r="E2583" s="40" t="n">
        <x:v>14.7</x:v>
      </x:c>
      <x:c r="F2583" s="40" t="n">
        <x:v>14.982223510742188</x:v>
      </x:c>
      <x:c r="G2583" s="40" t="n">
        <x:v>14.6</x:v>
      </x:c>
      <x:c r="H2583" s="40" t="n">
        <x:f>F2583-E2583</x:f>
        <x:v>0.2822235107421882</x:v>
      </x:c>
      <x:c r="I2583" s="40" t="n">
        <x:f>ABS(H2583)</x:f>
        <x:v>0.2822235107421882</x:v>
      </x:c>
      <x:c r="J2583" s="40" t="n">
        <x:f>H2583^2</x:f>
        <x:v>0.07965011001564602</x:v>
      </x:c>
      <x:c r="K2583" s="40" t="n">
        <x:f>G2583-E2583</x:f>
        <x:v>-0.09999999999999964</x:v>
      </x:c>
      <x:c r="L2583" s="40" t="n">
        <x:f>ABS(K2583)</x:f>
        <x:v>0.09999999999999964</x:v>
      </x:c>
      <x:c r="M2583" s="41" t="str">
        <x:v>lstm-soil-v1</x:v>
      </x:c>
    </x:row>
    <x:row r="2584">
      <x:c r="A2584" s="38" t="str">
        <x:v>7月30日现场数据</x:v>
      </x:c>
      <x:c r="B2584" s="39" t="str">
        <x:v>2026-08-02T19:20:00</x:v>
      </x:c>
      <x:c r="C2584" s="39" t="str">
        <x:v>2026-08-02T19:25:00</x:v>
      </x:c>
      <x:c r="D2584" s="47" t="n">
        <x:v>5</x:v>
      </x:c>
      <x:c r="E2584" s="40" t="n">
        <x:v>14.7</x:v>
      </x:c>
      <x:c r="F2584" s="40" t="n">
        <x:v>12.929290771484375</x:v>
      </x:c>
      <x:c r="G2584" s="40" t="n">
        <x:v>14.7</x:v>
      </x:c>
      <x:c r="H2584" s="40" t="n">
        <x:f>F2584-E2584</x:f>
        <x:v>-1.7707092285156243</x:v>
      </x:c>
      <x:c r="I2584" s="40" t="n">
        <x:f>ABS(H2584)</x:f>
        <x:v>1.7707092285156243</x:v>
      </x:c>
      <x:c r="J2584" s="40" t="n">
        <x:f>H2584^2</x:f>
        <x:v>3.1354111719503974</x:v>
      </x:c>
      <x:c r="K2584" s="40" t="n">
        <x:f>G2584-E2584</x:f>
        <x:v>0</x:v>
      </x:c>
      <x:c r="L2584" s="40" t="n">
        <x:f>ABS(K2584)</x:f>
        <x:v>0</x:v>
      </x:c>
      <x:c r="M2584" s="41" t="str">
        <x:v>lstm-soil-v1</x:v>
      </x:c>
    </x:row>
    <x:row r="2585">
      <x:c r="A2585" s="38" t="str">
        <x:v>7月30日现场数据</x:v>
      </x:c>
      <x:c r="B2585" s="39" t="str">
        <x:v>2026-08-02T19:20:00</x:v>
      </x:c>
      <x:c r="C2585" s="39" t="str">
        <x:v>2026-08-02T19:35:00</x:v>
      </x:c>
      <x:c r="D2585" s="47" t="n">
        <x:v>15</x:v>
      </x:c>
      <x:c r="E2585" s="40" t="n">
        <x:v>14.7</x:v>
      </x:c>
      <x:c r="F2585" s="40" t="n">
        <x:v>13.00625991821289</x:v>
      </x:c>
      <x:c r="G2585" s="40" t="n">
        <x:v>14.7</x:v>
      </x:c>
      <x:c r="H2585" s="40" t="n">
        <x:f>F2585-E2585</x:f>
        <x:v>-1.6937400817871087</x:v>
      </x:c>
      <x:c r="I2585" s="40" t="n">
        <x:f>ABS(H2585)</x:f>
        <x:v>1.6937400817871087</x:v>
      </x:c>
      <x:c r="J2585" s="40" t="n">
        <x:f>H2585^2</x:f>
        <x:v>2.8687554646522018</x:v>
      </x:c>
      <x:c r="K2585" s="40" t="n">
        <x:f>G2585-E2585</x:f>
        <x:v>0</x:v>
      </x:c>
      <x:c r="L2585" s="40" t="n">
        <x:f>ABS(K2585)</x:f>
        <x:v>0</x:v>
      </x:c>
      <x:c r="M2585" s="41" t="str">
        <x:v>lstm-soil-v1</x:v>
      </x:c>
    </x:row>
    <x:row r="2586">
      <x:c r="A2586" s="38" t="str">
        <x:v>7月30日现场数据</x:v>
      </x:c>
      <x:c r="B2586" s="39" t="str">
        <x:v>2026-08-02T19:20:00</x:v>
      </x:c>
      <x:c r="C2586" s="39" t="str">
        <x:v>2026-08-02T19:50:00</x:v>
      </x:c>
      <x:c r="D2586" s="47" t="n">
        <x:v>30</x:v>
      </x:c>
      <x:c r="E2586" s="40" t="n">
        <x:v>14.7</x:v>
      </x:c>
      <x:c r="F2586" s="40" t="n">
        <x:v>13.384037017822266</x:v>
      </x:c>
      <x:c r="G2586" s="40" t="n">
        <x:v>14.7</x:v>
      </x:c>
      <x:c r="H2586" s="40" t="n">
        <x:f>F2586-E2586</x:f>
        <x:v>-1.3159629821777337</x:v>
      </x:c>
      <x:c r="I2586" s="40" t="n">
        <x:f>ABS(H2586)</x:f>
        <x:v>1.3159629821777337</x:v>
      </x:c>
      <x:c r="J2586" s="40" t="n">
        <x:f>H2586^2</x:f>
        <x:v>1.7317585704621141</x:v>
      </x:c>
      <x:c r="K2586" s="40" t="n">
        <x:f>G2586-E2586</x:f>
        <x:v>0</x:v>
      </x:c>
      <x:c r="L2586" s="40" t="n">
        <x:f>ABS(K2586)</x:f>
        <x:v>0</x:v>
      </x:c>
      <x:c r="M2586" s="41" t="str">
        <x:v>lstm-soil-v1</x:v>
      </x:c>
    </x:row>
    <x:row r="2587">
      <x:c r="A2587" s="38" t="str">
        <x:v>7月30日现场数据</x:v>
      </x:c>
      <x:c r="B2587" s="39" t="str">
        <x:v>2026-08-02T19:20:00</x:v>
      </x:c>
      <x:c r="C2587" s="39" t="str">
        <x:v>2026-08-02T20:20:00</x:v>
      </x:c>
      <x:c r="D2587" s="47" t="n">
        <x:v>60</x:v>
      </x:c>
      <x:c r="E2587" s="40" t="n">
        <x:v>14.6</x:v>
      </x:c>
      <x:c r="F2587" s="40" t="n">
        <x:v>15.091682434082031</x:v>
      </x:c>
      <x:c r="G2587" s="40" t="n">
        <x:v>14.7</x:v>
      </x:c>
      <x:c r="H2587" s="40" t="n">
        <x:f>F2587-E2587</x:f>
        <x:v>0.4916824340820316</x:v>
      </x:c>
      <x:c r="I2587" s="40" t="n">
        <x:f>ABS(H2587)</x:f>
        <x:v>0.4916824340820316</x:v>
      </x:c>
      <x:c r="J2587" s="40" t="n">
        <x:f>H2587^2</x:f>
        <x:v>0.24175161598483136</x:v>
      </x:c>
      <x:c r="K2587" s="40" t="n">
        <x:f>G2587-E2587</x:f>
        <x:v>0.09999999999999964</x:v>
      </x:c>
      <x:c r="L2587" s="40" t="n">
        <x:f>ABS(K2587)</x:f>
        <x:v>0.09999999999999964</x:v>
      </x:c>
      <x:c r="M2587" s="41" t="str">
        <x:v>lstm-soil-v1</x:v>
      </x:c>
    </x:row>
    <x:row r="2588">
      <x:c r="A2588" s="38" t="str">
        <x:v>7月30日现场数据</x:v>
      </x:c>
      <x:c r="B2588" s="39" t="str">
        <x:v>2026-08-02T19:25:00</x:v>
      </x:c>
      <x:c r="C2588" s="39" t="str">
        <x:v>2026-08-02T19:30:00</x:v>
      </x:c>
      <x:c r="D2588" s="47" t="n">
        <x:v>5</x:v>
      </x:c>
      <x:c r="E2588" s="40" t="n">
        <x:v>14.7</x:v>
      </x:c>
      <x:c r="F2588" s="40" t="n">
        <x:v>12.929107666015625</x:v>
      </x:c>
      <x:c r="G2588" s="40" t="n">
        <x:v>14.7</x:v>
      </x:c>
      <x:c r="H2588" s="40" t="n">
        <x:f>F2588-E2588</x:f>
        <x:v>-1.7708923339843743</x:v>
      </x:c>
      <x:c r="I2588" s="40" t="n">
        <x:f>ABS(H2588)</x:f>
        <x:v>1.7708923339843743</x:v>
      </x:c>
      <x:c r="J2588" s="40" t="n">
        <x:f>H2588^2</x:f>
        <x:v>3.1360596585646245</x:v>
      </x:c>
      <x:c r="K2588" s="40" t="n">
        <x:f>G2588-E2588</x:f>
        <x:v>0</x:v>
      </x:c>
      <x:c r="L2588" s="40" t="n">
        <x:f>ABS(K2588)</x:f>
        <x:v>0</x:v>
      </x:c>
      <x:c r="M2588" s="41" t="str">
        <x:v>lstm-soil-v1</x:v>
      </x:c>
    </x:row>
    <x:row r="2589">
      <x:c r="A2589" s="38" t="str">
        <x:v>7月30日现场数据</x:v>
      </x:c>
      <x:c r="B2589" s="39" t="str">
        <x:v>2026-08-02T19:25:00</x:v>
      </x:c>
      <x:c r="C2589" s="39" t="str">
        <x:v>2026-08-02T19:40:00</x:v>
      </x:c>
      <x:c r="D2589" s="47" t="n">
        <x:v>15</x:v>
      </x:c>
      <x:c r="E2589" s="40" t="n">
        <x:v>14.7</x:v>
      </x:c>
      <x:c r="F2589" s="40" t="n">
        <x:v>13.005664825439453</x:v>
      </x:c>
      <x:c r="G2589" s="40" t="n">
        <x:v>14.7</x:v>
      </x:c>
      <x:c r="H2589" s="40" t="n">
        <x:f>F2589-E2589</x:f>
        <x:v>-1.6943351745605462</x:v>
      </x:c>
      <x:c r="I2589" s="40" t="n">
        <x:f>ABS(H2589)</x:f>
        <x:v>1.6943351745605462</x:v>
      </x:c>
      <x:c r="J2589" s="40" t="n">
        <x:f>H2589^2</x:f>
        <x:v>2.8707716837531163</x:v>
      </x:c>
      <x:c r="K2589" s="40" t="n">
        <x:f>G2589-E2589</x:f>
        <x:v>0</x:v>
      </x:c>
      <x:c r="L2589" s="40" t="n">
        <x:f>ABS(K2589)</x:f>
        <x:v>0</x:v>
      </x:c>
      <x:c r="M2589" s="41" t="str">
        <x:v>lstm-soil-v1</x:v>
      </x:c>
    </x:row>
    <x:row r="2590">
      <x:c r="A2590" s="38" t="str">
        <x:v>7月30日现场数据</x:v>
      </x:c>
      <x:c r="B2590" s="39" t="str">
        <x:v>2026-08-02T19:25:00</x:v>
      </x:c>
      <x:c r="C2590" s="39" t="str">
        <x:v>2026-08-02T19:55:00</x:v>
      </x:c>
      <x:c r="D2590" s="47" t="n">
        <x:v>30</x:v>
      </x:c>
      <x:c r="E2590" s="40" t="n">
        <x:v>14.6</x:v>
      </x:c>
      <x:c r="F2590" s="40" t="n">
        <x:v>13.384788513183594</x:v>
      </x:c>
      <x:c r="G2590" s="40" t="n">
        <x:v>14.7</x:v>
      </x:c>
      <x:c r="H2590" s="40" t="n">
        <x:f>F2590-E2590</x:f>
        <x:v>-1.215211486816406</x:v>
      </x:c>
      <x:c r="I2590" s="40" t="n">
        <x:f>ABS(H2590)</x:f>
        <x:v>1.215211486816406</x:v>
      </x:c>
      <x:c r="J2590" s="40" t="n">
        <x:f>H2590^2</x:f>
        <x:v>1.4767389576905399</x:v>
      </x:c>
      <x:c r="K2590" s="40" t="n">
        <x:f>G2590-E2590</x:f>
        <x:v>0.09999999999999964</x:v>
      </x:c>
      <x:c r="L2590" s="40" t="n">
        <x:f>ABS(K2590)</x:f>
        <x:v>0.09999999999999964</x:v>
      </x:c>
      <x:c r="M2590" s="41" t="str">
        <x:v>lstm-soil-v1</x:v>
      </x:c>
    </x:row>
    <x:row r="2591">
      <x:c r="A2591" s="38" t="str">
        <x:v>7月30日现场数据</x:v>
      </x:c>
      <x:c r="B2591" s="39" t="str">
        <x:v>2026-08-02T19:25:00</x:v>
      </x:c>
      <x:c r="C2591" s="39" t="str">
        <x:v>2026-08-02T20:25:00</x:v>
      </x:c>
      <x:c r="D2591" s="47" t="n">
        <x:v>60</x:v>
      </x:c>
      <x:c r="E2591" s="40" t="n">
        <x:v>14.6</x:v>
      </x:c>
      <x:c r="F2591" s="40" t="n">
        <x:v>15.091548919677734</x:v>
      </x:c>
      <x:c r="G2591" s="40" t="n">
        <x:v>14.7</x:v>
      </x:c>
      <x:c r="H2591" s="40" t="n">
        <x:f>F2591-E2591</x:f>
        <x:v>0.49154891967773473</x:v>
      </x:c>
      <x:c r="I2591" s="40" t="n">
        <x:f>ABS(H2591)</x:f>
        <x:v>0.49154891967773473</x:v>
      </x:c>
      <x:c r="J2591" s="40" t="n">
        <x:f>H2591^2</x:f>
        <x:v>0.2416203404363481</x:v>
      </x:c>
      <x:c r="K2591" s="40" t="n">
        <x:f>G2591-E2591</x:f>
        <x:v>0.09999999999999964</x:v>
      </x:c>
      <x:c r="L2591" s="40" t="n">
        <x:f>ABS(K2591)</x:f>
        <x:v>0.09999999999999964</x:v>
      </x:c>
      <x:c r="M2591" s="41" t="str">
        <x:v>lstm-soil-v1</x:v>
      </x:c>
    </x:row>
    <x:row r="2592">
      <x:c r="A2592" s="38" t="str">
        <x:v>7月30日现场数据</x:v>
      </x:c>
      <x:c r="B2592" s="39" t="str">
        <x:v>2026-08-02T19:30:00</x:v>
      </x:c>
      <x:c r="C2592" s="39" t="str">
        <x:v>2026-08-02T19:35:00</x:v>
      </x:c>
      <x:c r="D2592" s="47" t="n">
        <x:v>5</x:v>
      </x:c>
      <x:c r="E2592" s="40" t="n">
        <x:v>14.7</x:v>
      </x:c>
      <x:c r="F2592" s="40" t="n">
        <x:v>12.929073333740234</x:v>
      </x:c>
      <x:c r="G2592" s="40" t="n">
        <x:v>14.7</x:v>
      </x:c>
      <x:c r="H2592" s="40" t="n">
        <x:f>F2592-E2592</x:f>
        <x:v>-1.770926666259765</x:v>
      </x:c>
      <x:c r="I2592" s="40" t="n">
        <x:f>ABS(H2592)</x:f>
        <x:v>1.770926666259765</x:v>
      </x:c>
      <x:c r="J2592" s="40" t="n">
        <x:f>H2592^2</x:f>
        <x:v>3.1361812572699246</x:v>
      </x:c>
      <x:c r="K2592" s="40" t="n">
        <x:f>G2592-E2592</x:f>
        <x:v>0</x:v>
      </x:c>
      <x:c r="L2592" s="40" t="n">
        <x:f>ABS(K2592)</x:f>
        <x:v>0</x:v>
      </x:c>
      <x:c r="M2592" s="41" t="str">
        <x:v>lstm-soil-v1</x:v>
      </x:c>
    </x:row>
    <x:row r="2593">
      <x:c r="A2593" s="38" t="str">
        <x:v>7月30日现场数据</x:v>
      </x:c>
      <x:c r="B2593" s="39" t="str">
        <x:v>2026-08-02T19:30:00</x:v>
      </x:c>
      <x:c r="C2593" s="39" t="str">
        <x:v>2026-08-02T19:45:00</x:v>
      </x:c>
      <x:c r="D2593" s="47" t="n">
        <x:v>15</x:v>
      </x:c>
      <x:c r="E2593" s="40" t="n">
        <x:v>14.7</x:v>
      </x:c>
      <x:c r="F2593" s="40" t="n">
        <x:v>13.005260467529297</x:v>
      </x:c>
      <x:c r="G2593" s="40" t="n">
        <x:v>14.7</x:v>
      </x:c>
      <x:c r="H2593" s="40" t="n">
        <x:f>F2593-E2593</x:f>
        <x:v>-1.6947395324707024</x:v>
      </x:c>
      <x:c r="I2593" s="40" t="n">
        <x:f>ABS(H2593)</x:f>
        <x:v>1.6947395324707024</x:v>
      </x:c>
      <x:c r="J2593" s="40" t="n">
        <x:f>H2593^2</x:f>
        <x:v>2.872142082919015</x:v>
      </x:c>
      <x:c r="K2593" s="40" t="n">
        <x:f>G2593-E2593</x:f>
        <x:v>0</x:v>
      </x:c>
      <x:c r="L2593" s="40" t="n">
        <x:f>ABS(K2593)</x:f>
        <x:v>0</x:v>
      </x:c>
      <x:c r="M2593" s="41" t="str">
        <x:v>lstm-soil-v1</x:v>
      </x:c>
    </x:row>
    <x:row r="2594">
      <x:c r="A2594" s="38" t="str">
        <x:v>7月30日现场数据</x:v>
      </x:c>
      <x:c r="B2594" s="39" t="str">
        <x:v>2026-08-02T19:30:00</x:v>
      </x:c>
      <x:c r="C2594" s="39" t="str">
        <x:v>2026-08-02T20:00:00</x:v>
      </x:c>
      <x:c r="D2594" s="47" t="n">
        <x:v>30</x:v>
      </x:c>
      <x:c r="E2594" s="40" t="n">
        <x:v>14.6</x:v>
      </x:c>
      <x:c r="F2594" s="40" t="n">
        <x:v>13.385459899902344</x:v>
      </x:c>
      <x:c r="G2594" s="40" t="n">
        <x:v>14.7</x:v>
      </x:c>
      <x:c r="H2594" s="40" t="n">
        <x:f>F2594-E2594</x:f>
        <x:v>-1.214540100097656</x:v>
      </x:c>
      <x:c r="I2594" s="40" t="n">
        <x:f>ABS(H2594)</x:f>
        <x:v>1.214540100097656</x:v>
      </x:c>
      <x:c r="J2594" s="40" t="n">
        <x:f>H2594^2</x:f>
        <x:v>1.475107654745224</x:v>
      </x:c>
      <x:c r="K2594" s="40" t="n">
        <x:f>G2594-E2594</x:f>
        <x:v>0.09999999999999964</x:v>
      </x:c>
      <x:c r="L2594" s="40" t="n">
        <x:f>ABS(K2594)</x:f>
        <x:v>0.09999999999999964</x:v>
      </x:c>
      <x:c r="M2594" s="41" t="str">
        <x:v>lstm-soil-v1</x:v>
      </x:c>
    </x:row>
    <x:row r="2595">
      <x:c r="A2595" s="38" t="str">
        <x:v>7月30日现场数据</x:v>
      </x:c>
      <x:c r="B2595" s="39" t="str">
        <x:v>2026-08-02T19:30:00</x:v>
      </x:c>
      <x:c r="C2595" s="39" t="str">
        <x:v>2026-08-02T20:30:00</x:v>
      </x:c>
      <x:c r="D2595" s="47" t="n">
        <x:v>60</x:v>
      </x:c>
      <x:c r="E2595" s="40" t="n">
        <x:v>14.7</x:v>
      </x:c>
      <x:c r="F2595" s="40" t="n">
        <x:v>15.0916748046875</x:v>
      </x:c>
      <x:c r="G2595" s="40" t="n">
        <x:v>14.7</x:v>
      </x:c>
      <x:c r="H2595" s="40" t="n">
        <x:f>F2595-E2595</x:f>
        <x:v>0.3916748046875007</x:v>
      </x:c>
      <x:c r="I2595" s="40" t="n">
        <x:f>ABS(H2595)</x:f>
        <x:v>0.3916748046875007</x:v>
      </x:c>
      <x:c r="J2595" s="40" t="n">
        <x:f>H2595^2</x:f>
        <x:v>0.15340915262699184</x:v>
      </x:c>
      <x:c r="K2595" s="40" t="n">
        <x:f>G2595-E2595</x:f>
        <x:v>0</x:v>
      </x:c>
      <x:c r="L2595" s="40" t="n">
        <x:f>ABS(K2595)</x:f>
        <x:v>0</x:v>
      </x:c>
      <x:c r="M2595" s="41" t="str">
        <x:v>lstm-soil-v1</x:v>
      </x:c>
    </x:row>
    <x:row r="2596">
      <x:c r="A2596" s="38" t="str">
        <x:v>7月30日现场数据</x:v>
      </x:c>
      <x:c r="B2596" s="39" t="str">
        <x:v>2026-08-02T19:35:00</x:v>
      </x:c>
      <x:c r="C2596" s="39" t="str">
        <x:v>2026-08-02T19:40:00</x:v>
      </x:c>
      <x:c r="D2596" s="47" t="n">
        <x:v>5</x:v>
      </x:c>
      <x:c r="E2596" s="40" t="n">
        <x:v>14.7</x:v>
      </x:c>
      <x:c r="F2596" s="40" t="n">
        <x:v>12.929046630859375</x:v>
      </x:c>
      <x:c r="G2596" s="40" t="n">
        <x:v>14.7</x:v>
      </x:c>
      <x:c r="H2596" s="40" t="n">
        <x:f>F2596-E2596</x:f>
        <x:v>-1.7709533691406243</x:v>
      </x:c>
      <x:c r="I2596" s="40" t="n">
        <x:f>ABS(H2596)</x:f>
        <x:v>1.7709533691406243</x:v>
      </x:c>
      <x:c r="J2596" s="40" t="n">
        <x:f>H2596^2</x:f>
        <x:v>3.1362758356705283</x:v>
      </x:c>
      <x:c r="K2596" s="40" t="n">
        <x:f>G2596-E2596</x:f>
        <x:v>0</x:v>
      </x:c>
      <x:c r="L2596" s="40" t="n">
        <x:f>ABS(K2596)</x:f>
        <x:v>0</x:v>
      </x:c>
      <x:c r="M2596" s="41" t="str">
        <x:v>lstm-soil-v1</x:v>
      </x:c>
    </x:row>
    <x:row r="2597">
      <x:c r="A2597" s="38" t="str">
        <x:v>7月30日现场数据</x:v>
      </x:c>
      <x:c r="B2597" s="39" t="str">
        <x:v>2026-08-02T19:35:00</x:v>
      </x:c>
      <x:c r="C2597" s="39" t="str">
        <x:v>2026-08-02T19:50:00</x:v>
      </x:c>
      <x:c r="D2597" s="47" t="n">
        <x:v>15</x:v>
      </x:c>
      <x:c r="E2597" s="40" t="n">
        <x:v>14.7</x:v>
      </x:c>
      <x:c r="F2597" s="40" t="n">
        <x:v>13.00497055053711</x:v>
      </x:c>
      <x:c r="G2597" s="40" t="n">
        <x:v>14.7</x:v>
      </x:c>
      <x:c r="H2597" s="40" t="n">
        <x:f>F2597-E2597</x:f>
        <x:v>-1.69502944946289</x:v>
      </x:c>
      <x:c r="I2597" s="40" t="n">
        <x:f>ABS(H2597)</x:f>
        <x:v>1.69502944946289</x:v>
      </x:c>
      <x:c r="J2597" s="40" t="n">
        <x:f>H2597^2</x:f>
        <x:v>2.8731248345464677</x:v>
      </x:c>
      <x:c r="K2597" s="40" t="n">
        <x:f>G2597-E2597</x:f>
        <x:v>0</x:v>
      </x:c>
      <x:c r="L2597" s="40" t="n">
        <x:f>ABS(K2597)</x:f>
        <x:v>0</x:v>
      </x:c>
      <x:c r="M2597" s="41" t="str">
        <x:v>lstm-soil-v1</x:v>
      </x:c>
    </x:row>
    <x:row r="2598">
      <x:c r="A2598" s="38" t="str">
        <x:v>7月30日现场数据</x:v>
      </x:c>
      <x:c r="B2598" s="39" t="str">
        <x:v>2026-08-02T19:35:00</x:v>
      </x:c>
      <x:c r="C2598" s="39" t="str">
        <x:v>2026-08-02T20:05:00</x:v>
      </x:c>
      <x:c r="D2598" s="47" t="n">
        <x:v>30</x:v>
      </x:c>
      <x:c r="E2598" s="40" t="n">
        <x:v>14.7</x:v>
      </x:c>
      <x:c r="F2598" s="40" t="n">
        <x:v>13.385936737060547</x:v>
      </x:c>
      <x:c r="G2598" s="40" t="n">
        <x:v>14.7</x:v>
      </x:c>
      <x:c r="H2598" s="40" t="n">
        <x:f>F2598-E2598</x:f>
        <x:v>-1.3140632629394524</x:v>
      </x:c>
      <x:c r="I2598" s="40" t="n">
        <x:f>ABS(H2598)</x:f>
        <x:v>1.3140632629394524</x:v>
      </x:c>
      <x:c r="J2598" s="40" t="n">
        <x:f>H2598^2</x:f>
        <x:v>1.7267622590070804</x:v>
      </x:c>
      <x:c r="K2598" s="40" t="n">
        <x:f>G2598-E2598</x:f>
        <x:v>0</x:v>
      </x:c>
      <x:c r="L2598" s="40" t="n">
        <x:f>ABS(K2598)</x:f>
        <x:v>0</x:v>
      </x:c>
      <x:c r="M2598" s="41" t="str">
        <x:v>lstm-soil-v1</x:v>
      </x:c>
    </x:row>
    <x:row r="2599">
      <x:c r="A2599" s="38" t="str">
        <x:v>7月30日现场数据</x:v>
      </x:c>
      <x:c r="B2599" s="39" t="str">
        <x:v>2026-08-02T19:35:00</x:v>
      </x:c>
      <x:c r="C2599" s="39" t="str">
        <x:v>2026-08-02T20:35:00</x:v>
      </x:c>
      <x:c r="D2599" s="47" t="n">
        <x:v>60</x:v>
      </x:c>
      <x:c r="E2599" s="40" t="n">
        <x:v>14.6</x:v>
      </x:c>
      <x:c r="F2599" s="40" t="n">
        <x:v>15.091842651367188</x:v>
      </x:c>
      <x:c r="G2599" s="40" t="n">
        <x:v>14.7</x:v>
      </x:c>
      <x:c r="H2599" s="40" t="n">
        <x:f>F2599-E2599</x:f>
        <x:v>0.49184265136718786</x:v>
      </x:c>
      <x:c r="I2599" s="40" t="n">
        <x:f>ABS(H2599)</x:f>
        <x:v>0.49184265136718786</x:v>
      </x:c>
      <x:c r="J2599" s="40" t="n">
        <x:f>H2599^2</x:f>
        <x:v>0.2419091937039051</x:v>
      </x:c>
      <x:c r="K2599" s="40" t="n">
        <x:f>G2599-E2599</x:f>
        <x:v>0.09999999999999964</x:v>
      </x:c>
      <x:c r="L2599" s="40" t="n">
        <x:f>ABS(K2599)</x:f>
        <x:v>0.09999999999999964</x:v>
      </x:c>
      <x:c r="M2599" s="41" t="str">
        <x:v>lstm-soil-v1</x:v>
      </x:c>
    </x:row>
    <x:row r="2600">
      <x:c r="A2600" s="38" t="str">
        <x:v>7月30日现场数据</x:v>
      </x:c>
      <x:c r="B2600" s="39" t="str">
        <x:v>2026-08-02T19:40:00</x:v>
      </x:c>
      <x:c r="C2600" s="39" t="str">
        <x:v>2026-08-02T19:45:00</x:v>
      </x:c>
      <x:c r="D2600" s="47" t="n">
        <x:v>5</x:v>
      </x:c>
      <x:c r="E2600" s="40" t="n">
        <x:v>14.7</x:v>
      </x:c>
      <x:c r="F2600" s="40" t="n">
        <x:v>12.929092407226562</x:v>
      </x:c>
      <x:c r="G2600" s="40" t="n">
        <x:v>14.7</x:v>
      </x:c>
      <x:c r="H2600" s="40" t="n">
        <x:f>F2600-E2600</x:f>
        <x:v>-1.7709075927734368</x:v>
      </x:c>
      <x:c r="I2600" s="40" t="n">
        <x:f>ABS(H2600)</x:f>
        <x:v>1.7709075927734368</x:v>
      </x:c>
      <x:c r="J2600" s="40" t="n">
        <x:f>H2600^2</x:f>
        <x:v>3.1361137021426084</x:v>
      </x:c>
      <x:c r="K2600" s="40" t="n">
        <x:f>G2600-E2600</x:f>
        <x:v>0</x:v>
      </x:c>
      <x:c r="L2600" s="40" t="n">
        <x:f>ABS(K2600)</x:f>
        <x:v>0</x:v>
      </x:c>
      <x:c r="M2600" s="41" t="str">
        <x:v>lstm-soil-v1</x:v>
      </x:c>
    </x:row>
    <x:row r="2601">
      <x:c r="A2601" s="38" t="str">
        <x:v>7月30日现场数据</x:v>
      </x:c>
      <x:c r="B2601" s="39" t="str">
        <x:v>2026-08-02T19:40:00</x:v>
      </x:c>
      <x:c r="C2601" s="39" t="str">
        <x:v>2026-08-02T19:55:00</x:v>
      </x:c>
      <x:c r="D2601" s="47" t="n">
        <x:v>15</x:v>
      </x:c>
      <x:c r="E2601" s="40" t="n">
        <x:v>14.6</x:v>
      </x:c>
      <x:c r="F2601" s="40" t="n">
        <x:v>13.004837036132812</x:v>
      </x:c>
      <x:c r="G2601" s="40" t="n">
        <x:v>14.7</x:v>
      </x:c>
      <x:c r="H2601" s="40" t="n">
        <x:f>F2601-E2601</x:f>
        <x:v>-1.5951629638671871</x:v>
      </x:c>
      <x:c r="I2601" s="40" t="n">
        <x:f>ABS(H2601)</x:f>
        <x:v>1.5951629638671871</x:v>
      </x:c>
      <x:c r="J2601" s="40" t="n">
        <x:f>H2601^2</x:f>
        <x:v>2.544544881293549</x:v>
      </x:c>
      <x:c r="K2601" s="40" t="n">
        <x:f>G2601-E2601</x:f>
        <x:v>0.09999999999999964</x:v>
      </x:c>
      <x:c r="L2601" s="40" t="n">
        <x:f>ABS(K2601)</x:f>
        <x:v>0.09999999999999964</x:v>
      </x:c>
      <x:c r="M2601" s="41" t="str">
        <x:v>lstm-soil-v1</x:v>
      </x:c>
    </x:row>
    <x:row r="2602">
      <x:c r="A2602" s="38" t="str">
        <x:v>7月30日现场数据</x:v>
      </x:c>
      <x:c r="B2602" s="39" t="str">
        <x:v>2026-08-02T19:40:00</x:v>
      </x:c>
      <x:c r="C2602" s="39" t="str">
        <x:v>2026-08-02T20:10:00</x:v>
      </x:c>
      <x:c r="D2602" s="47" t="n">
        <x:v>30</x:v>
      </x:c>
      <x:c r="E2602" s="40" t="n">
        <x:v>14.6</x:v>
      </x:c>
      <x:c r="F2602" s="40" t="n">
        <x:v>13.386417388916016</x:v>
      </x:c>
      <x:c r="G2602" s="40" t="n">
        <x:v>14.7</x:v>
      </x:c>
      <x:c r="H2602" s="40" t="n">
        <x:f>F2602-E2602</x:f>
        <x:v>-1.213582611083984</x:v>
      </x:c>
      <x:c r="I2602" s="40" t="n">
        <x:f>ABS(H2602)</x:f>
        <x:v>1.213582611083984</x:v>
      </x:c>
      <x:c r="J2602" s="40" t="n">
        <x:f>H2602^2</x:f>
        <x:v>1.4727827539254204</x:v>
      </x:c>
      <x:c r="K2602" s="40" t="n">
        <x:f>G2602-E2602</x:f>
        <x:v>0.09999999999999964</x:v>
      </x:c>
      <x:c r="L2602" s="40" t="n">
        <x:f>ABS(K2602)</x:f>
        <x:v>0.09999999999999964</x:v>
      </x:c>
      <x:c r="M2602" s="41" t="str">
        <x:v>lstm-soil-v1</x:v>
      </x:c>
    </x:row>
    <x:row r="2603">
      <x:c r="A2603" s="38" t="str">
        <x:v>7月30日现场数据</x:v>
      </x:c>
      <x:c r="B2603" s="39" t="str">
        <x:v>2026-08-02T19:40:00</x:v>
      </x:c>
      <x:c r="C2603" s="39" t="str">
        <x:v>2026-08-02T20:40:00</x:v>
      </x:c>
      <x:c r="D2603" s="47" t="n">
        <x:v>60</x:v>
      </x:c>
      <x:c r="E2603" s="40" t="n">
        <x:v>14.6</x:v>
      </x:c>
      <x:c r="F2603" s="40" t="n">
        <x:v>15.092079162597656</x:v>
      </x:c>
      <x:c r="G2603" s="40" t="n">
        <x:v>14.7</x:v>
      </x:c>
      <x:c r="H2603" s="40" t="n">
        <x:f>F2603-E2603</x:f>
        <x:v>0.4920791625976566</x:v>
      </x:c>
      <x:c r="I2603" s="40" t="n">
        <x:f>ABS(H2603)</x:f>
        <x:v>0.4920791625976566</x:v>
      </x:c>
      <x:c r="J2603" s="40" t="n">
        <x:f>H2603^2</x:f>
        <x:v>0.24214190226281096</x:v>
      </x:c>
      <x:c r="K2603" s="40" t="n">
        <x:f>G2603-E2603</x:f>
        <x:v>0.09999999999999964</x:v>
      </x:c>
      <x:c r="L2603" s="40" t="n">
        <x:f>ABS(K2603)</x:f>
        <x:v>0.09999999999999964</x:v>
      </x:c>
      <x:c r="M2603" s="41" t="str">
        <x:v>lstm-soil-v1</x:v>
      </x:c>
    </x:row>
    <x:row r="2604">
      <x:c r="A2604" s="38" t="str">
        <x:v>7月30日现场数据</x:v>
      </x:c>
      <x:c r="B2604" s="39" t="str">
        <x:v>2026-08-02T19:45:00</x:v>
      </x:c>
      <x:c r="C2604" s="39" t="str">
        <x:v>2026-08-02T19:50:00</x:v>
      </x:c>
      <x:c r="D2604" s="47" t="n">
        <x:v>5</x:v>
      </x:c>
      <x:c r="E2604" s="40" t="n">
        <x:v>14.7</x:v>
      </x:c>
      <x:c r="F2604" s="40" t="n">
        <x:v>12.929107666015625</x:v>
      </x:c>
      <x:c r="G2604" s="40" t="n">
        <x:v>14.7</x:v>
      </x:c>
      <x:c r="H2604" s="40" t="n">
        <x:f>F2604-E2604</x:f>
        <x:v>-1.7708923339843743</x:v>
      </x:c>
      <x:c r="I2604" s="40" t="n">
        <x:f>ABS(H2604)</x:f>
        <x:v>1.7708923339843743</x:v>
      </x:c>
      <x:c r="J2604" s="40" t="n">
        <x:f>H2604^2</x:f>
        <x:v>3.1360596585646245</x:v>
      </x:c>
      <x:c r="K2604" s="40" t="n">
        <x:f>G2604-E2604</x:f>
        <x:v>0</x:v>
      </x:c>
      <x:c r="L2604" s="40" t="n">
        <x:f>ABS(K2604)</x:f>
        <x:v>0</x:v>
      </x:c>
      <x:c r="M2604" s="41" t="str">
        <x:v>lstm-soil-v1</x:v>
      </x:c>
    </x:row>
    <x:row r="2605">
      <x:c r="A2605" s="38" t="str">
        <x:v>7月30日现场数据</x:v>
      </x:c>
      <x:c r="B2605" s="39" t="str">
        <x:v>2026-08-02T19:45:00</x:v>
      </x:c>
      <x:c r="C2605" s="39" t="str">
        <x:v>2026-08-02T20:00:00</x:v>
      </x:c>
      <x:c r="D2605" s="47" t="n">
        <x:v>15</x:v>
      </x:c>
      <x:c r="E2605" s="40" t="n">
        <x:v>14.6</x:v>
      </x:c>
      <x:c r="F2605" s="40" t="n">
        <x:v>13.004707336425781</x:v>
      </x:c>
      <x:c r="G2605" s="40" t="n">
        <x:v>14.7</x:v>
      </x:c>
      <x:c r="H2605" s="40" t="n">
        <x:f>F2605-E2605</x:f>
        <x:v>-1.5952926635742184</x:v>
      </x:c>
      <x:c r="I2605" s="40" t="n">
        <x:f>ABS(H2605)</x:f>
        <x:v>1.5952926635742184</x:v>
      </x:c>
      <x:c r="J2605" s="40" t="n">
        <x:f>H2605^2</x:f>
        <x:v>2.5449586824537245</x:v>
      </x:c>
      <x:c r="K2605" s="40" t="n">
        <x:f>G2605-E2605</x:f>
        <x:v>0.09999999999999964</x:v>
      </x:c>
      <x:c r="L2605" s="40" t="n">
        <x:f>ABS(K2605)</x:f>
        <x:v>0.09999999999999964</x:v>
      </x:c>
      <x:c r="M2605" s="41" t="str">
        <x:v>lstm-soil-v1</x:v>
      </x:c>
    </x:row>
    <x:row r="2606">
      <x:c r="A2606" s="38" t="str">
        <x:v>7月30日现场数据</x:v>
      </x:c>
      <x:c r="B2606" s="39" t="str">
        <x:v>2026-08-02T19:45:00</x:v>
      </x:c>
      <x:c r="C2606" s="39" t="str">
        <x:v>2026-08-02T20:15:00</x:v>
      </x:c>
      <x:c r="D2606" s="47" t="n">
        <x:v>30</x:v>
      </x:c>
      <x:c r="E2606" s="40" t="n">
        <x:v>14.7</x:v>
      </x:c>
      <x:c r="F2606" s="40" t="n">
        <x:v>13.386722564697266</x:v>
      </x:c>
      <x:c r="G2606" s="40" t="n">
        <x:v>14.7</x:v>
      </x:c>
      <x:c r="H2606" s="40" t="n">
        <x:f>F2606-E2606</x:f>
        <x:v>-1.3132774353027337</x:v>
      </x:c>
      <x:c r="I2606" s="40" t="n">
        <x:f>ABS(H2606)</x:f>
        <x:v>1.3132774353027337</x:v>
      </x:c>
      <x:c r="J2606" s="40" t="n">
        <x:f>H2606^2</x:f>
        <x:v>1.7246976220753258</x:v>
      </x:c>
      <x:c r="K2606" s="40" t="n">
        <x:f>G2606-E2606</x:f>
        <x:v>0</x:v>
      </x:c>
      <x:c r="L2606" s="40" t="n">
        <x:f>ABS(K2606)</x:f>
        <x:v>0</x:v>
      </x:c>
      <x:c r="M2606" s="41" t="str">
        <x:v>lstm-soil-v1</x:v>
      </x:c>
    </x:row>
    <x:row r="2607">
      <x:c r="A2607" s="38" t="str">
        <x:v>7月30日现场数据</x:v>
      </x:c>
      <x:c r="B2607" s="39" t="str">
        <x:v>2026-08-02T19:45:00</x:v>
      </x:c>
      <x:c r="C2607" s="39" t="str">
        <x:v>2026-08-02T20:45:00</x:v>
      </x:c>
      <x:c r="D2607" s="47" t="n">
        <x:v>60</x:v>
      </x:c>
      <x:c r="E2607" s="40" t="n">
        <x:v>14.7</x:v>
      </x:c>
      <x:c r="F2607" s="40" t="n">
        <x:v>15.092296600341797</x:v>
      </x:c>
      <x:c r="G2607" s="40" t="n">
        <x:v>14.7</x:v>
      </x:c>
      <x:c r="H2607" s="40" t="n">
        <x:f>F2607-E2607</x:f>
        <x:v>0.3922966003417976</x:v>
      </x:c>
      <x:c r="I2607" s="40" t="n">
        <x:f>ABS(H2607)</x:f>
        <x:v>0.3922966003417976</x:v>
      </x:c>
      <x:c r="J2607" s="40" t="n">
        <x:f>H2607^2</x:f>
        <x:v>0.15389662263973206</x:v>
      </x:c>
      <x:c r="K2607" s="40" t="n">
        <x:f>G2607-E2607</x:f>
        <x:v>0</x:v>
      </x:c>
      <x:c r="L2607" s="40" t="n">
        <x:f>ABS(K2607)</x:f>
        <x:v>0</x:v>
      </x:c>
      <x:c r="M2607" s="41" t="str">
        <x:v>lstm-soil-v1</x:v>
      </x:c>
    </x:row>
    <x:row r="2608">
      <x:c r="A2608" s="38" t="str">
        <x:v>7月30日现场数据</x:v>
      </x:c>
      <x:c r="B2608" s="39" t="str">
        <x:v>2026-08-02T19:50:00</x:v>
      </x:c>
      <x:c r="C2608" s="39" t="str">
        <x:v>2026-08-02T19:55:00</x:v>
      </x:c>
      <x:c r="D2608" s="47" t="n">
        <x:v>5</x:v>
      </x:c>
      <x:c r="E2608" s="40" t="n">
        <x:v>14.6</x:v>
      </x:c>
      <x:c r="F2608" s="40" t="n">
        <x:v>12.928913116455078</x:v>
      </x:c>
      <x:c r="G2608" s="40" t="n">
        <x:v>14.7</x:v>
      </x:c>
      <x:c r="H2608" s="40" t="n">
        <x:f>F2608-E2608</x:f>
        <x:v>-1.6710868835449215</x:v>
      </x:c>
      <x:c r="I2608" s="40" t="n">
        <x:f>ABS(H2608)</x:f>
        <x:v>1.6710868835449215</x:v>
      </x:c>
      <x:c r="J2608" s="40" t="n">
        <x:f>H2608^2</x:f>
        <x:v>2.792531372355878</x:v>
      </x:c>
      <x:c r="K2608" s="40" t="n">
        <x:f>G2608-E2608</x:f>
        <x:v>0.09999999999999964</x:v>
      </x:c>
      <x:c r="L2608" s="40" t="n">
        <x:f>ABS(K2608)</x:f>
        <x:v>0.09999999999999964</x:v>
      </x:c>
      <x:c r="M2608" s="41" t="str">
        <x:v>lstm-soil-v1</x:v>
      </x:c>
    </x:row>
    <x:row r="2609">
      <x:c r="A2609" s="38" t="str">
        <x:v>7月30日现场数据</x:v>
      </x:c>
      <x:c r="B2609" s="39" t="str">
        <x:v>2026-08-02T19:50:00</x:v>
      </x:c>
      <x:c r="C2609" s="39" t="str">
        <x:v>2026-08-02T20:05:00</x:v>
      </x:c>
      <x:c r="D2609" s="47" t="n">
        <x:v>15</x:v>
      </x:c>
      <x:c r="E2609" s="40" t="n">
        <x:v>14.7</x:v>
      </x:c>
      <x:c r="F2609" s="40" t="n">
        <x:v>13.004383087158203</x:v>
      </x:c>
      <x:c r="G2609" s="40" t="n">
        <x:v>14.7</x:v>
      </x:c>
      <x:c r="H2609" s="40" t="n">
        <x:f>F2609-E2609</x:f>
        <x:v>-1.6956169128417962</x:v>
      </x:c>
      <x:c r="I2609" s="40" t="n">
        <x:f>ABS(H2609)</x:f>
        <x:v>1.6956169128417962</x:v>
      </x:c>
      <x:c r="J2609" s="40" t="n">
        <x:f>H2609^2</x:f>
        <x:v>2.8751167151151433</x:v>
      </x:c>
      <x:c r="K2609" s="40" t="n">
        <x:f>G2609-E2609</x:f>
        <x:v>0</x:v>
      </x:c>
      <x:c r="L2609" s="40" t="n">
        <x:f>ABS(K2609)</x:f>
        <x:v>0</x:v>
      </x:c>
      <x:c r="M2609" s="41" t="str">
        <x:v>lstm-soil-v1</x:v>
      </x:c>
    </x:row>
    <x:row r="2610">
      <x:c r="A2610" s="38" t="str">
        <x:v>7月30日现场数据</x:v>
      </x:c>
      <x:c r="B2610" s="39" t="str">
        <x:v>2026-08-02T19:50:00</x:v>
      </x:c>
      <x:c r="C2610" s="39" t="str">
        <x:v>2026-08-02T20:20:00</x:v>
      </x:c>
      <x:c r="D2610" s="47" t="n">
        <x:v>30</x:v>
      </x:c>
      <x:c r="E2610" s="40" t="n">
        <x:v>14.6</x:v>
      </x:c>
      <x:c r="F2610" s="40" t="n">
        <x:v>13.386466979980469</x:v>
      </x:c>
      <x:c r="G2610" s="40" t="n">
        <x:v>14.7</x:v>
      </x:c>
      <x:c r="H2610" s="40" t="n">
        <x:f>F2610-E2610</x:f>
        <x:v>-1.213533020019531</x:v>
      </x:c>
      <x:c r="I2610" s="40" t="n">
        <x:f>ABS(H2610)</x:f>
        <x:v>1.213533020019531</x:v>
      </x:c>
      <x:c r="J2610" s="40" t="n">
        <x:f>H2610^2</x:f>
        <x:v>1.4726623906777232</x:v>
      </x:c>
      <x:c r="K2610" s="40" t="n">
        <x:f>G2610-E2610</x:f>
        <x:v>0.09999999999999964</x:v>
      </x:c>
      <x:c r="L2610" s="40" t="n">
        <x:f>ABS(K2610)</x:f>
        <x:v>0.09999999999999964</x:v>
      </x:c>
      <x:c r="M2610" s="41" t="str">
        <x:v>lstm-soil-v1</x:v>
      </x:c>
    </x:row>
    <x:row r="2611">
      <x:c r="A2611" s="38" t="str">
        <x:v>7月30日现场数据</x:v>
      </x:c>
      <x:c r="B2611" s="39" t="str">
        <x:v>2026-08-02T19:50:00</x:v>
      </x:c>
      <x:c r="C2611" s="39" t="str">
        <x:v>2026-08-02T20:50:00</x:v>
      </x:c>
      <x:c r="D2611" s="47" t="n">
        <x:v>60</x:v>
      </x:c>
      <x:c r="E2611" s="40" t="n">
        <x:v>14.6</x:v>
      </x:c>
      <x:c r="F2611" s="40" t="n">
        <x:v>15.092151641845703</x:v>
      </x:c>
      <x:c r="G2611" s="40" t="n">
        <x:v>14.7</x:v>
      </x:c>
      <x:c r="H2611" s="40" t="n">
        <x:f>F2611-E2611</x:f>
        <x:v>0.4921516418457035</x:v>
      </x:c>
      <x:c r="I2611" s="40" t="n">
        <x:f>ABS(H2611)</x:f>
        <x:v>0.4921516418457035</x:v>
      </x:c>
      <x:c r="J2611" s="40" t="n">
        <x:f>H2611^2</x:f>
        <x:v>0.2422132385714216</x:v>
      </x:c>
      <x:c r="K2611" s="40" t="n">
        <x:f>G2611-E2611</x:f>
        <x:v>0.09999999999999964</x:v>
      </x:c>
      <x:c r="L2611" s="40" t="n">
        <x:f>ABS(K2611)</x:f>
        <x:v>0.09999999999999964</x:v>
      </x:c>
      <x:c r="M2611" s="41" t="str">
        <x:v>lstm-soil-v1</x:v>
      </x:c>
    </x:row>
    <x:row r="2612">
      <x:c r="A2612" s="38" t="str">
        <x:v>7月30日现场数据</x:v>
      </x:c>
      <x:c r="B2612" s="39" t="str">
        <x:v>2026-08-02T19:55:00</x:v>
      </x:c>
      <x:c r="C2612" s="39" t="str">
        <x:v>2026-08-02T20:00:00</x:v>
      </x:c>
      <x:c r="D2612" s="47" t="n">
        <x:v>5</x:v>
      </x:c>
      <x:c r="E2612" s="40" t="n">
        <x:v>14.6</x:v>
      </x:c>
      <x:c r="F2612" s="40" t="n">
        <x:v>12.81839370727539</x:v>
      </x:c>
      <x:c r="G2612" s="40" t="n">
        <x:v>14.6</x:v>
      </x:c>
      <x:c r="H2612" s="40" t="n">
        <x:f>F2612-E2612</x:f>
        <x:v>-1.781606292724609</x:v>
      </x:c>
      <x:c r="I2612" s="40" t="n">
        <x:f>ABS(H2612)</x:f>
        <x:v>1.781606292724609</x:v>
      </x:c>
      <x:c r="J2612" s="40" t="n">
        <x:f>H2612^2</x:f>
        <x:v>3.1741209822759253</x:v>
      </x:c>
      <x:c r="K2612" s="40" t="n">
        <x:f>G2612-E2612</x:f>
        <x:v>0</x:v>
      </x:c>
      <x:c r="L2612" s="40" t="n">
        <x:f>ABS(K2612)</x:f>
        <x:v>0</x:v>
      </x:c>
      <x:c r="M2612" s="41" t="str">
        <x:v>lstm-soil-v1</x:v>
      </x:c>
    </x:row>
    <x:row r="2613">
      <x:c r="A2613" s="38" t="str">
        <x:v>7月30日现场数据</x:v>
      </x:c>
      <x:c r="B2613" s="39" t="str">
        <x:v>2026-08-02T19:55:00</x:v>
      </x:c>
      <x:c r="C2613" s="39" t="str">
        <x:v>2026-08-02T20:10:00</x:v>
      </x:c>
      <x:c r="D2613" s="47" t="n">
        <x:v>15</x:v>
      </x:c>
      <x:c r="E2613" s="40" t="n">
        <x:v>14.6</x:v>
      </x:c>
      <x:c r="F2613" s="40" t="n">
        <x:v>12.893722534179688</x:v>
      </x:c>
      <x:c r="G2613" s="40" t="n">
        <x:v>14.6</x:v>
      </x:c>
      <x:c r="H2613" s="40" t="n">
        <x:f>F2613-E2613</x:f>
        <x:v>-1.7062774658203121</x:v>
      </x:c>
      <x:c r="I2613" s="40" t="n">
        <x:f>ABS(H2613)</x:f>
        <x:v>1.7062774658203121</x:v>
      </x:c>
      <x:c r="J2613" s="40" t="n">
        <x:f>H2613^2</x:f>
        <x:v>2.9113827903661864</x:v>
      </x:c>
      <x:c r="K2613" s="40" t="n">
        <x:f>G2613-E2613</x:f>
        <x:v>0</x:v>
      </x:c>
      <x:c r="L2613" s="40" t="n">
        <x:f>ABS(K2613)</x:f>
        <x:v>0</x:v>
      </x:c>
      <x:c r="M2613" s="41" t="str">
        <x:v>lstm-soil-v1</x:v>
      </x:c>
    </x:row>
    <x:row r="2614">
      <x:c r="A2614" s="38" t="str">
        <x:v>7月30日现场数据</x:v>
      </x:c>
      <x:c r="B2614" s="39" t="str">
        <x:v>2026-08-02T19:55:00</x:v>
      </x:c>
      <x:c r="C2614" s="39" t="str">
        <x:v>2026-08-02T20:25:00</x:v>
      </x:c>
      <x:c r="D2614" s="47" t="n">
        <x:v>30</x:v>
      </x:c>
      <x:c r="E2614" s="40" t="n">
        <x:v>14.6</x:v>
      </x:c>
      <x:c r="F2614" s="40" t="n">
        <x:v>13.276065826416016</x:v>
      </x:c>
      <x:c r="G2614" s="40" t="n">
        <x:v>14.6</x:v>
      </x:c>
      <x:c r="H2614" s="40" t="n">
        <x:f>F2614-E2614</x:f>
        <x:v>-1.323934173583984</x:v>
      </x:c>
      <x:c r="I2614" s="40" t="n">
        <x:f>ABS(H2614)</x:f>
        <x:v>1.323934173583984</x:v>
      </x:c>
      <x:c r="J2614" s="40" t="n">
        <x:f>H2614^2</x:f>
        <x:v>1.7528016959835067</x:v>
      </x:c>
      <x:c r="K2614" s="40" t="n">
        <x:f>G2614-E2614</x:f>
        <x:v>0</x:v>
      </x:c>
      <x:c r="L2614" s="40" t="n">
        <x:f>ABS(K2614)</x:f>
        <x:v>0</x:v>
      </x:c>
      <x:c r="M2614" s="41" t="str">
        <x:v>lstm-soil-v1</x:v>
      </x:c>
    </x:row>
    <x:row r="2615">
      <x:c r="A2615" s="38" t="str">
        <x:v>7月30日现场数据</x:v>
      </x:c>
      <x:c r="B2615" s="39" t="str">
        <x:v>2026-08-02T19:55:00</x:v>
      </x:c>
      <x:c r="C2615" s="39" t="str">
        <x:v>2026-08-02T20:55:00</x:v>
      </x:c>
      <x:c r="D2615" s="47" t="n">
        <x:v>60</x:v>
      </x:c>
      <x:c r="E2615" s="40" t="n">
        <x:v>14.6</x:v>
      </x:c>
      <x:c r="F2615" s="40" t="n">
        <x:v>14.981815338134766</x:v>
      </x:c>
      <x:c r="G2615" s="40" t="n">
        <x:v>14.6</x:v>
      </x:c>
      <x:c r="H2615" s="40" t="n">
        <x:f>F2615-E2615</x:f>
        <x:v>0.381815338134766</x:v>
      </x:c>
      <x:c r="I2615" s="40" t="n">
        <x:f>ABS(H2615)</x:f>
        <x:v>0.381815338134766</x:v>
      </x:c>
      <x:c r="J2615" s="40" t="n">
        <x:f>H2615^2</x:f>
        <x:v>0.14578295243496567</x:v>
      </x:c>
      <x:c r="K2615" s="40" t="n">
        <x:f>G2615-E2615</x:f>
        <x:v>0</x:v>
      </x:c>
      <x:c r="L2615" s="40" t="n">
        <x:f>ABS(K2615)</x:f>
        <x:v>0</x:v>
      </x:c>
      <x:c r="M2615" s="41" t="str">
        <x:v>lstm-soil-v1</x:v>
      </x:c>
    </x:row>
    <x:row r="2616">
      <x:c r="A2616" s="38" t="str">
        <x:v>7月30日现场数据</x:v>
      </x:c>
      <x:c r="B2616" s="39" t="str">
        <x:v>2026-08-02T20:00:00</x:v>
      </x:c>
      <x:c r="C2616" s="39" t="str">
        <x:v>2026-08-02T20:05:00</x:v>
      </x:c>
      <x:c r="D2616" s="47" t="n">
        <x:v>5</x:v>
      </x:c>
      <x:c r="E2616" s="40" t="n">
        <x:v>14.7</x:v>
      </x:c>
      <x:c r="F2616" s="40" t="n">
        <x:v>12.815399169921875</x:v>
      </x:c>
      <x:c r="G2616" s="40" t="n">
        <x:v>14.6</x:v>
      </x:c>
      <x:c r="H2616" s="40" t="n">
        <x:f>F2616-E2616</x:f>
        <x:v>-1.8846008300781243</x:v>
      </x:c>
      <x:c r="I2616" s="40" t="n">
        <x:f>ABS(H2616)</x:f>
        <x:v>1.8846008300781243</x:v>
      </x:c>
      <x:c r="J2616" s="40" t="n">
        <x:f>H2616^2</x:f>
        <x:v>3.551720288731155</x:v>
      </x:c>
      <x:c r="K2616" s="40" t="n">
        <x:f>G2616-E2616</x:f>
        <x:v>-0.09999999999999964</x:v>
      </x:c>
      <x:c r="L2616" s="40" t="n">
        <x:f>ABS(K2616)</x:f>
        <x:v>0.09999999999999964</x:v>
      </x:c>
      <x:c r="M2616" s="41" t="str">
        <x:v>lstm-soil-v1</x:v>
      </x:c>
    </x:row>
    <x:row r="2617">
      <x:c r="A2617" s="38" t="str">
        <x:v>7月30日现场数据</x:v>
      </x:c>
      <x:c r="B2617" s="39" t="str">
        <x:v>2026-08-02T20:00:00</x:v>
      </x:c>
      <x:c r="C2617" s="39" t="str">
        <x:v>2026-08-02T20:15:00</x:v>
      </x:c>
      <x:c r="D2617" s="47" t="n">
        <x:v>15</x:v>
      </x:c>
      <x:c r="E2617" s="40" t="n">
        <x:v>14.7</x:v>
      </x:c>
      <x:c r="F2617" s="40" t="n">
        <x:v>12.891658782958984</x:v>
      </x:c>
      <x:c r="G2617" s="40" t="n">
        <x:v>14.6</x:v>
      </x:c>
      <x:c r="H2617" s="40" t="n">
        <x:f>F2617-E2617</x:f>
        <x:v>-1.808341217041015</x:v>
      </x:c>
      <x:c r="I2617" s="40" t="n">
        <x:f>ABS(H2617)</x:f>
        <x:v>1.808341217041015</x:v>
      </x:c>
      <x:c r="J2617" s="40" t="n">
        <x:f>H2617^2</x:f>
        <x:v>3.270097957249379</x:v>
      </x:c>
      <x:c r="K2617" s="40" t="n">
        <x:f>G2617-E2617</x:f>
        <x:v>-0.09999999999999964</x:v>
      </x:c>
      <x:c r="L2617" s="40" t="n">
        <x:f>ABS(K2617)</x:f>
        <x:v>0.09999999999999964</x:v>
      </x:c>
      <x:c r="M2617" s="41" t="str">
        <x:v>lstm-soil-v1</x:v>
      </x:c>
    </x:row>
    <x:row r="2618">
      <x:c r="A2618" s="38" t="str">
        <x:v>7月30日现场数据</x:v>
      </x:c>
      <x:c r="B2618" s="39" t="str">
        <x:v>2026-08-02T20:00:00</x:v>
      </x:c>
      <x:c r="C2618" s="39" t="str">
        <x:v>2026-08-02T20:30:00</x:v>
      </x:c>
      <x:c r="D2618" s="47" t="n">
        <x:v>30</x:v>
      </x:c>
      <x:c r="E2618" s="40" t="n">
        <x:v>14.7</x:v>
      </x:c>
      <x:c r="F2618" s="40" t="n">
        <x:v>13.273876190185547</x:v>
      </x:c>
      <x:c r="G2618" s="40" t="n">
        <x:v>14.6</x:v>
      </x:c>
      <x:c r="H2618" s="40" t="n">
        <x:f>F2618-E2618</x:f>
        <x:v>-1.4261238098144524</x:v>
      </x:c>
      <x:c r="I2618" s="40" t="n">
        <x:f>ABS(H2618)</x:f>
        <x:v>1.4261238098144524</x:v>
      </x:c>
      <x:c r="J2618" s="40" t="n">
        <x:f>H2618^2</x:f>
        <x:v>2.0338291209196884</x:v>
      </x:c>
      <x:c r="K2618" s="40" t="n">
        <x:f>G2618-E2618</x:f>
        <x:v>-0.09999999999999964</x:v>
      </x:c>
      <x:c r="L2618" s="40" t="n">
        <x:f>ABS(K2618)</x:f>
        <x:v>0.09999999999999964</x:v>
      </x:c>
      <x:c r="M2618" s="41" t="str">
        <x:v>lstm-soil-v1</x:v>
      </x:c>
    </x:row>
    <x:row r="2619">
      <x:c r="A2619" s="38" t="str">
        <x:v>7月30日现场数据</x:v>
      </x:c>
      <x:c r="B2619" s="39" t="str">
        <x:v>2026-08-02T20:00:00</x:v>
      </x:c>
      <x:c r="C2619" s="39" t="str">
        <x:v>2026-08-02T21:00:00</x:v>
      </x:c>
      <x:c r="D2619" s="47" t="n">
        <x:v>60</x:v>
      </x:c>
      <x:c r="E2619" s="40" t="n">
        <x:v>14.6</x:v>
      </x:c>
      <x:c r="F2619" s="40" t="n">
        <x:v>14.974617004394531</x:v>
      </x:c>
      <x:c r="G2619" s="40" t="n">
        <x:v>14.6</x:v>
      </x:c>
      <x:c r="H2619" s="40" t="n">
        <x:f>F2619-E2619</x:f>
        <x:v>0.3746170043945316</x:v>
      </x:c>
      <x:c r="I2619" s="40" t="n">
        <x:f>ABS(H2619)</x:f>
        <x:v>0.3746170043945316</x:v>
      </x:c>
      <x:c r="J2619" s="40" t="n">
        <x:f>H2619^2</x:f>
        <x:v>0.1403378999815325</x:v>
      </x:c>
      <x:c r="K2619" s="40" t="n">
        <x:f>G2619-E2619</x:f>
        <x:v>0</x:v>
      </x:c>
      <x:c r="L2619" s="40" t="n">
        <x:f>ABS(K2619)</x:f>
        <x:v>0</x:v>
      </x:c>
      <x:c r="M2619" s="41" t="str">
        <x:v>lstm-soil-v1</x:v>
      </x:c>
    </x:row>
    <x:row r="2620">
      <x:c r="A2620" s="38" t="str">
        <x:v>7月30日现场数据</x:v>
      </x:c>
      <x:c r="B2620" s="39" t="str">
        <x:v>2026-08-02T20:05:00</x:v>
      </x:c>
      <x:c r="C2620" s="39" t="str">
        <x:v>2026-08-02T20:10:00</x:v>
      </x:c>
      <x:c r="D2620" s="47" t="n">
        <x:v>5</x:v>
      </x:c>
      <x:c r="E2620" s="40" t="n">
        <x:v>14.6</x:v>
      </x:c>
      <x:c r="F2620" s="40" t="n">
        <x:v>12.924297332763672</x:v>
      </x:c>
      <x:c r="G2620" s="40" t="n">
        <x:v>14.7</x:v>
      </x:c>
      <x:c r="H2620" s="40" t="n">
        <x:f>F2620-E2620</x:f>
        <x:v>-1.6757026672363278</x:v>
      </x:c>
      <x:c r="I2620" s="40" t="n">
        <x:f>ABS(H2620)</x:f>
        <x:v>1.6757026672363278</x:v>
      </x:c>
      <x:c r="J2620" s="40" t="n">
        <x:f>H2620^2</x:f>
        <x:v>2.807979428982943</x:v>
      </x:c>
      <x:c r="K2620" s="40" t="n">
        <x:f>G2620-E2620</x:f>
        <x:v>0.09999999999999964</x:v>
      </x:c>
      <x:c r="L2620" s="40" t="n">
        <x:f>ABS(K2620)</x:f>
        <x:v>0.09999999999999964</x:v>
      </x:c>
      <x:c r="M2620" s="41" t="str">
        <x:v>lstm-soil-v1</x:v>
      </x:c>
    </x:row>
    <x:row r="2621">
      <x:c r="A2621" s="38" t="str">
        <x:v>7月30日现场数据</x:v>
      </x:c>
      <x:c r="B2621" s="39" t="str">
        <x:v>2026-08-02T20:05:00</x:v>
      </x:c>
      <x:c r="C2621" s="39" t="str">
        <x:v>2026-08-02T20:20:00</x:v>
      </x:c>
      <x:c r="D2621" s="47" t="n">
        <x:v>15</x:v>
      </x:c>
      <x:c r="E2621" s="40" t="n">
        <x:v>14.6</x:v>
      </x:c>
      <x:c r="F2621" s="40" t="n">
        <x:v>13.000106811523438</x:v>
      </x:c>
      <x:c r="G2621" s="40" t="n">
        <x:v>14.7</x:v>
      </x:c>
      <x:c r="H2621" s="40" t="n">
        <x:f>F2621-E2621</x:f>
        <x:v>-1.5998931884765621</x:v>
      </x:c>
      <x:c r="I2621" s="40" t="n">
        <x:f>ABS(H2621)</x:f>
        <x:v>1.5998931884765621</x:v>
      </x:c>
      <x:c r="J2621" s="40" t="n">
        <x:f>H2621^2</x:f>
        <x:v>2.5596582145337003</x:v>
      </x:c>
      <x:c r="K2621" s="40" t="n">
        <x:f>G2621-E2621</x:f>
        <x:v>0.09999999999999964</x:v>
      </x:c>
      <x:c r="L2621" s="40" t="n">
        <x:f>ABS(K2621)</x:f>
        <x:v>0.09999999999999964</x:v>
      </x:c>
      <x:c r="M2621" s="41" t="str">
        <x:v>lstm-soil-v1</x:v>
      </x:c>
    </x:row>
    <x:row r="2622">
      <x:c r="A2622" s="38" t="str">
        <x:v>7月30日现场数据</x:v>
      </x:c>
      <x:c r="B2622" s="39" t="str">
        <x:v>2026-08-02T20:05:00</x:v>
      </x:c>
      <x:c r="C2622" s="39" t="str">
        <x:v>2026-08-02T20:35:00</x:v>
      </x:c>
      <x:c r="D2622" s="47" t="n">
        <x:v>30</x:v>
      </x:c>
      <x:c r="E2622" s="40" t="n">
        <x:v>14.6</x:v>
      </x:c>
      <x:c r="F2622" s="40" t="n">
        <x:v>13.384132385253906</x:v>
      </x:c>
      <x:c r="G2622" s="40" t="n">
        <x:v>14.7</x:v>
      </x:c>
      <x:c r="H2622" s="40" t="n">
        <x:f>F2622-E2622</x:f>
        <x:v>-1.2158676147460934</x:v>
      </x:c>
      <x:c r="I2622" s="40" t="n">
        <x:f>ABS(H2622)</x:f>
        <x:v>1.2158676147460934</x:v>
      </x:c>
      <x:c r="J2622" s="40" t="n">
        <x:f>H2622^2</x:f>
        <x:v>1.4783340565883545</x:v>
      </x:c>
      <x:c r="K2622" s="40" t="n">
        <x:f>G2622-E2622</x:f>
        <x:v>0.09999999999999964</x:v>
      </x:c>
      <x:c r="L2622" s="40" t="n">
        <x:f>ABS(K2622)</x:f>
        <x:v>0.09999999999999964</x:v>
      </x:c>
      <x:c r="M2622" s="41" t="str">
        <x:v>lstm-soil-v1</x:v>
      </x:c>
    </x:row>
    <x:row r="2623">
      <x:c r="A2623" s="38" t="str">
        <x:v>7月30日现场数据</x:v>
      </x:c>
      <x:c r="B2623" s="39" t="str">
        <x:v>2026-08-02T20:05:00</x:v>
      </x:c>
      <x:c r="C2623" s="39" t="str">
        <x:v>2026-08-02T21:05:00</x:v>
      </x:c>
      <x:c r="D2623" s="47" t="n">
        <x:v>60</x:v>
      </x:c>
      <x:c r="E2623" s="40" t="n">
        <x:v>14.7</x:v>
      </x:c>
      <x:c r="F2623" s="40" t="n">
        <x:v>15.080509185791016</x:v>
      </x:c>
      <x:c r="G2623" s="40" t="n">
        <x:v>14.7</x:v>
      </x:c>
      <x:c r="H2623" s="40" t="n">
        <x:f>F2623-E2623</x:f>
        <x:v>0.38050918579101634</x:v>
      </x:c>
      <x:c r="I2623" s="40" t="n">
        <x:f>ABS(H2623)</x:f>
        <x:v>0.38050918579101634</x:v>
      </x:c>
      <x:c r="J2623" s="40" t="n">
        <x:f>H2623^2</x:f>
        <x:v>0.1447872404713422</x:v>
      </x:c>
      <x:c r="K2623" s="40" t="n">
        <x:f>G2623-E2623</x:f>
        <x:v>0</x:v>
      </x:c>
      <x:c r="L2623" s="40" t="n">
        <x:f>ABS(K2623)</x:f>
        <x:v>0</x:v>
      </x:c>
      <x:c r="M2623" s="41" t="str">
        <x:v>lstm-soil-v1</x:v>
      </x:c>
    </x:row>
    <x:row r="2624">
      <x:c r="A2624" s="38" t="str">
        <x:v>7月30日现场数据</x:v>
      </x:c>
      <x:c r="B2624" s="39" t="str">
        <x:v>2026-08-02T20:10:00</x:v>
      </x:c>
      <x:c r="C2624" s="39" t="str">
        <x:v>2026-08-02T20:15:00</x:v>
      </x:c>
      <x:c r="D2624" s="47" t="n">
        <x:v>5</x:v>
      </x:c>
      <x:c r="E2624" s="40" t="n">
        <x:v>14.7</x:v>
      </x:c>
      <x:c r="F2624" s="40" t="n">
        <x:v>12.81320571899414</x:v>
      </x:c>
      <x:c r="G2624" s="40" t="n">
        <x:v>14.6</x:v>
      </x:c>
      <x:c r="H2624" s="40" t="n">
        <x:f>F2624-E2624</x:f>
        <x:v>-1.8867942810058587</x:v>
      </x:c>
      <x:c r="I2624" s="40" t="n">
        <x:f>ABS(H2624)</x:f>
        <x:v>1.8867942810058587</x:v>
      </x:c>
      <x:c r="J2624" s="40" t="n">
        <x:f>H2624^2</x:f>
        <x:v>3.559992658836415</x:v>
      </x:c>
      <x:c r="K2624" s="40" t="n">
        <x:f>G2624-E2624</x:f>
        <x:v>-0.09999999999999964</x:v>
      </x:c>
      <x:c r="L2624" s="40" t="n">
        <x:f>ABS(K2624)</x:f>
        <x:v>0.09999999999999964</x:v>
      </x:c>
      <x:c r="M2624" s="41" t="str">
        <x:v>lstm-soil-v1</x:v>
      </x:c>
    </x:row>
    <x:row r="2625">
      <x:c r="A2625" s="38" t="str">
        <x:v>7月30日现场数据</x:v>
      </x:c>
      <x:c r="B2625" s="39" t="str">
        <x:v>2026-08-02T20:10:00</x:v>
      </x:c>
      <x:c r="C2625" s="39" t="str">
        <x:v>2026-08-02T20:25:00</x:v>
      </x:c>
      <x:c r="D2625" s="47" t="n">
        <x:v>15</x:v>
      </x:c>
      <x:c r="E2625" s="40" t="n">
        <x:v>14.6</x:v>
      </x:c>
      <x:c r="F2625" s="40" t="n">
        <x:v>12.888484954833984</x:v>
      </x:c>
      <x:c r="G2625" s="40" t="n">
        <x:v>14.6</x:v>
      </x:c>
      <x:c r="H2625" s="40" t="n">
        <x:f>F2625-E2625</x:f>
        <x:v>-1.7115150451660153</x:v>
      </x:c>
      <x:c r="I2625" s="40" t="n">
        <x:f>ABS(H2625)</x:f>
        <x:v>1.7115150451660153</x:v>
      </x:c>
      <x:c r="J2625" s="40" t="n">
        <x:f>H2625^2</x:f>
        <x:v>2.929283749829627</x:v>
      </x:c>
      <x:c r="K2625" s="40" t="n">
        <x:f>G2625-E2625</x:f>
        <x:v>0</x:v>
      </x:c>
      <x:c r="L2625" s="40" t="n">
        <x:f>ABS(K2625)</x:f>
        <x:v>0</x:v>
      </x:c>
      <x:c r="M2625" s="41" t="str">
        <x:v>lstm-soil-v1</x:v>
      </x:c>
    </x:row>
    <x:row r="2626">
      <x:c r="A2626" s="38" t="str">
        <x:v>7月30日现场数据</x:v>
      </x:c>
      <x:c r="B2626" s="39" t="str">
        <x:v>2026-08-02T20:10:00</x:v>
      </x:c>
      <x:c r="C2626" s="39" t="str">
        <x:v>2026-08-02T20:40:00</x:v>
      </x:c>
      <x:c r="D2626" s="47" t="n">
        <x:v>30</x:v>
      </x:c>
      <x:c r="E2626" s="40" t="n">
        <x:v>14.6</x:v>
      </x:c>
      <x:c r="F2626" s="40" t="n">
        <x:v>13.274669647216797</x:v>
      </x:c>
      <x:c r="G2626" s="40" t="n">
        <x:v>14.6</x:v>
      </x:c>
      <x:c r="H2626" s="40" t="n">
        <x:f>F2626-E2626</x:f>
        <x:v>-1.3253303527832028</x:v>
      </x:c>
      <x:c r="I2626" s="40" t="n">
        <x:f>ABS(H2626)</x:f>
        <x:v>1.3253303527832028</x:v>
      </x:c>
      <x:c r="J2626" s="40" t="n">
        <x:f>H2626^2</x:f>
        <x:v>1.7565005440084487</x:v>
      </x:c>
      <x:c r="K2626" s="40" t="n">
        <x:f>G2626-E2626</x:f>
        <x:v>0</x:v>
      </x:c>
      <x:c r="L2626" s="40" t="n">
        <x:f>ABS(K2626)</x:f>
        <x:v>0</x:v>
      </x:c>
      <x:c r="M2626" s="41" t="str">
        <x:v>lstm-soil-v1</x:v>
      </x:c>
    </x:row>
    <x:row r="2627">
      <x:c r="A2627" s="38" t="str">
        <x:v>7月30日现场数据</x:v>
      </x:c>
      <x:c r="B2627" s="39" t="str">
        <x:v>2026-08-02T20:10:00</x:v>
      </x:c>
      <x:c r="C2627" s="39" t="str">
        <x:v>2026-08-02T21:10:00</x:v>
      </x:c>
      <x:c r="D2627" s="47" t="n">
        <x:v>60</x:v>
      </x:c>
      <x:c r="E2627" s="40" t="n">
        <x:v>14.6</x:v>
      </x:c>
      <x:c r="F2627" s="40" t="n">
        <x:v>14.967430114746094</x:v>
      </x:c>
      <x:c r="G2627" s="40" t="n">
        <x:v>14.6</x:v>
      </x:c>
      <x:c r="H2627" s="40" t="n">
        <x:f>F2627-E2627</x:f>
        <x:v>0.3674301147460941</x:v>
      </x:c>
      <x:c r="I2627" s="40" t="n">
        <x:f>ABS(H2627)</x:f>
        <x:v>0.3674301147460941</x:v>
      </x:c>
      <x:c r="J2627" s="40" t="n">
        <x:f>H2627^2</x:f>
        <x:v>0.13500488922232787</x:v>
      </x:c>
      <x:c r="K2627" s="40" t="n">
        <x:f>G2627-E2627</x:f>
        <x:v>0</x:v>
      </x:c>
      <x:c r="L2627" s="40" t="n">
        <x:f>ABS(K2627)</x:f>
        <x:v>0</x:v>
      </x:c>
      <x:c r="M2627" s="41" t="str">
        <x:v>lstm-soil-v1</x:v>
      </x:c>
    </x:row>
    <x:row r="2628">
      <x:c r="A2628" s="38" t="str">
        <x:v>7月30日现场数据</x:v>
      </x:c>
      <x:c r="B2628" s="39" t="str">
        <x:v>2026-08-02T20:15:00</x:v>
      </x:c>
      <x:c r="C2628" s="39" t="str">
        <x:v>2026-08-02T20:20:00</x:v>
      </x:c>
      <x:c r="D2628" s="47" t="n">
        <x:v>5</x:v>
      </x:c>
      <x:c r="E2628" s="40" t="n">
        <x:v>14.6</x:v>
      </x:c>
      <x:c r="F2628" s="40" t="n">
        <x:v>12.922855377197266</x:v>
      </x:c>
      <x:c r="G2628" s="40" t="n">
        <x:v>14.7</x:v>
      </x:c>
      <x:c r="H2628" s="40" t="n">
        <x:f>F2628-E2628</x:f>
        <x:v>-1.677144622802734</x:v>
      </x:c>
      <x:c r="I2628" s="40" t="n">
        <x:f>ABS(H2628)</x:f>
        <x:v>1.677144622802734</x:v>
      </x:c>
      <x:c r="J2628" s="40" t="n">
        <x:f>H2628^2</x:f>
        <x:v>2.812814085796125</x:v>
      </x:c>
      <x:c r="K2628" s="40" t="n">
        <x:f>G2628-E2628</x:f>
        <x:v>0.09999999999999964</x:v>
      </x:c>
      <x:c r="L2628" s="40" t="n">
        <x:f>ABS(K2628)</x:f>
        <x:v>0.09999999999999964</x:v>
      </x:c>
      <x:c r="M2628" s="41" t="str">
        <x:v>lstm-soil-v1</x:v>
      </x:c>
    </x:row>
    <x:row r="2629">
      <x:c r="A2629" s="38" t="str">
        <x:v>7月30日现场数据</x:v>
      </x:c>
      <x:c r="B2629" s="39" t="str">
        <x:v>2026-08-02T20:15:00</x:v>
      </x:c>
      <x:c r="C2629" s="39" t="str">
        <x:v>2026-08-02T20:30:00</x:v>
      </x:c>
      <x:c r="D2629" s="47" t="n">
        <x:v>15</x:v>
      </x:c>
      <x:c r="E2629" s="40" t="n">
        <x:v>14.7</x:v>
      </x:c>
      <x:c r="F2629" s="40" t="n">
        <x:v>12.997455596923828</x:v>
      </x:c>
      <x:c r="G2629" s="40" t="n">
        <x:v>14.7</x:v>
      </x:c>
      <x:c r="H2629" s="40" t="n">
        <x:f>F2629-E2629</x:f>
        <x:v>-1.7025444030761712</x:v>
      </x:c>
      <x:c r="I2629" s="40" t="n">
        <x:f>ABS(H2629)</x:f>
        <x:v>1.7025444030761712</x:v>
      </x:c>
      <x:c r="J2629" s="40" t="n">
        <x:f>H2629^2</x:f>
        <x:v>2.898657444445996</x:v>
      </x:c>
      <x:c r="K2629" s="40" t="n">
        <x:f>G2629-E2629</x:f>
        <x:v>0</x:v>
      </x:c>
      <x:c r="L2629" s="40" t="n">
        <x:f>ABS(K2629)</x:f>
        <x:v>0</x:v>
      </x:c>
      <x:c r="M2629" s="41" t="str">
        <x:v>lstm-soil-v1</x:v>
      </x:c>
    </x:row>
    <x:row r="2630">
      <x:c r="A2630" s="38" t="str">
        <x:v>7月30日现场数据</x:v>
      </x:c>
      <x:c r="B2630" s="39" t="str">
        <x:v>2026-08-02T20:15:00</x:v>
      </x:c>
      <x:c r="C2630" s="39" t="str">
        <x:v>2026-08-02T20:45:00</x:v>
      </x:c>
      <x:c r="D2630" s="47" t="n">
        <x:v>30</x:v>
      </x:c>
      <x:c r="E2630" s="40" t="n">
        <x:v>14.7</x:v>
      </x:c>
      <x:c r="F2630" s="40" t="n">
        <x:v>13.38580322265625</x:v>
      </x:c>
      <x:c r="G2630" s="40" t="n">
        <x:v>14.7</x:v>
      </x:c>
      <x:c r="H2630" s="40" t="n">
        <x:f>F2630-E2630</x:f>
        <x:v>-1.3141967773437493</x:v>
      </x:c>
      <x:c r="I2630" s="40" t="n">
        <x:f>ABS(H2630)</x:f>
        <x:v>1.3141967773437493</x:v>
      </x:c>
      <x:c r="J2630" s="40" t="n">
        <x:f>H2630^2</x:f>
        <x:v>1.727113169580696</x:v>
      </x:c>
      <x:c r="K2630" s="40" t="n">
        <x:f>G2630-E2630</x:f>
        <x:v>0</x:v>
      </x:c>
      <x:c r="L2630" s="40" t="n">
        <x:f>ABS(K2630)</x:f>
        <x:v>0</x:v>
      </x:c>
      <x:c r="M2630" s="41" t="str">
        <x:v>lstm-soil-v1</x:v>
      </x:c>
    </x:row>
    <x:row r="2631">
      <x:c r="A2631" s="38" t="str">
        <x:v>7月30日现场数据</x:v>
      </x:c>
      <x:c r="B2631" s="39" t="str">
        <x:v>2026-08-02T20:15:00</x:v>
      </x:c>
      <x:c r="C2631" s="39" t="str">
        <x:v>2026-08-02T21:15:00</x:v>
      </x:c>
      <x:c r="D2631" s="47" t="n">
        <x:v>60</x:v>
      </x:c>
      <x:c r="E2631" s="40" t="n">
        <x:v>14.6</x:v>
      </x:c>
      <x:c r="F2631" s="40" t="n">
        <x:v>15.076068878173828</x:v>
      </x:c>
      <x:c r="G2631" s="40" t="n">
        <x:v>14.7</x:v>
      </x:c>
      <x:c r="H2631" s="40" t="n">
        <x:f>F2631-E2631</x:f>
        <x:v>0.4760688781738285</x:v>
      </x:c>
      <x:c r="I2631" s="40" t="n">
        <x:f>ABS(H2631)</x:f>
        <x:v>0.4760688781738285</x:v>
      </x:c>
      <x:c r="J2631" s="40" t="n">
        <x:f>H2631^2</x:f>
        <x:v>0.22664157676568755</x:v>
      </x:c>
      <x:c r="K2631" s="40" t="n">
        <x:f>G2631-E2631</x:f>
        <x:v>0.09999999999999964</x:v>
      </x:c>
      <x:c r="L2631" s="40" t="n">
        <x:f>ABS(K2631)</x:f>
        <x:v>0.09999999999999964</x:v>
      </x:c>
      <x:c r="M2631" s="41" t="str">
        <x:v>lstm-soil-v1</x:v>
      </x:c>
    </x:row>
    <x:row r="2632">
      <x:c r="A2632" s="38" t="str">
        <x:v>7月30日现场数据</x:v>
      </x:c>
      <x:c r="B2632" s="39" t="str">
        <x:v>2026-08-02T20:20:00</x:v>
      </x:c>
      <x:c r="C2632" s="39" t="str">
        <x:v>2026-08-02T20:25:00</x:v>
      </x:c>
      <x:c r="D2632" s="47" t="n">
        <x:v>5</x:v>
      </x:c>
      <x:c r="E2632" s="40" t="n">
        <x:v>14.6</x:v>
      </x:c>
      <x:c r="F2632" s="40" t="n">
        <x:v>12.812370300292969</x:v>
      </x:c>
      <x:c r="G2632" s="40" t="n">
        <x:v>14.6</x:v>
      </x:c>
      <x:c r="H2632" s="40" t="n">
        <x:f>F2632-E2632</x:f>
        <x:v>-1.787629699707031</x:v>
      </x:c>
      <x:c r="I2632" s="40" t="n">
        <x:f>ABS(H2632)</x:f>
        <x:v>1.787629699707031</x:v>
      </x:c>
      <x:c r="J2632" s="40" t="n">
        <x:f>H2632^2</x:f>
        <x:v>3.1956199432746493</x:v>
      </x:c>
      <x:c r="K2632" s="40" t="n">
        <x:f>G2632-E2632</x:f>
        <x:v>0</x:v>
      </x:c>
      <x:c r="L2632" s="40" t="n">
        <x:f>ABS(K2632)</x:f>
        <x:v>0</x:v>
      </x:c>
      <x:c r="M2632" s="41" t="str">
        <x:v>lstm-soil-v1</x:v>
      </x:c>
    </x:row>
    <x:row r="2633">
      <x:c r="A2633" s="38" t="str">
        <x:v>7月30日现场数据</x:v>
      </x:c>
      <x:c r="B2633" s="39" t="str">
        <x:v>2026-08-02T20:20:00</x:v>
      </x:c>
      <x:c r="C2633" s="39" t="str">
        <x:v>2026-08-02T20:35:00</x:v>
      </x:c>
      <x:c r="D2633" s="47" t="n">
        <x:v>15</x:v>
      </x:c>
      <x:c r="E2633" s="40" t="n">
        <x:v>14.6</x:v>
      </x:c>
      <x:c r="F2633" s="40" t="n">
        <x:v>12.886466979980469</x:v>
      </x:c>
      <x:c r="G2633" s="40" t="n">
        <x:v>14.6</x:v>
      </x:c>
      <x:c r="H2633" s="40" t="n">
        <x:f>F2633-E2633</x:f>
        <x:v>-1.713533020019531</x:v>
      </x:c>
      <x:c r="I2633" s="40" t="n">
        <x:f>ABS(H2633)</x:f>
        <x:v>1.713533020019531</x:v>
      </x:c>
      <x:c r="J2633" s="40" t="n">
        <x:f>H2633^2</x:f>
        <x:v>2.936195410697254</x:v>
      </x:c>
      <x:c r="K2633" s="40" t="n">
        <x:f>G2633-E2633</x:f>
        <x:v>0</x:v>
      </x:c>
      <x:c r="L2633" s="40" t="n">
        <x:f>ABS(K2633)</x:f>
        <x:v>0</x:v>
      </x:c>
      <x:c r="M2633" s="41" t="str">
        <x:v>lstm-soil-v1</x:v>
      </x:c>
    </x:row>
    <x:row r="2634">
      <x:c r="A2634" s="38" t="str">
        <x:v>7月30日现场数据</x:v>
      </x:c>
      <x:c r="B2634" s="39" t="str">
        <x:v>2026-08-02T20:20:00</x:v>
      </x:c>
      <x:c r="C2634" s="39" t="str">
        <x:v>2026-08-02T20:50:00</x:v>
      </x:c>
      <x:c r="D2634" s="47" t="n">
        <x:v>30</x:v>
      </x:c>
      <x:c r="E2634" s="40" t="n">
        <x:v>14.6</x:v>
      </x:c>
      <x:c r="F2634" s="40" t="n">
        <x:v>13.276718139648438</x:v>
      </x:c>
      <x:c r="G2634" s="40" t="n">
        <x:v>14.6</x:v>
      </x:c>
      <x:c r="H2634" s="40" t="n">
        <x:f>F2634-E2634</x:f>
        <x:v>-1.3232818603515621</x:v>
      </x:c>
      <x:c r="I2634" s="40" t="n">
        <x:f>ABS(H2634)</x:f>
        <x:v>1.3232818603515621</x:v>
      </x:c>
      <x:c r="J2634" s="40" t="n">
        <x:f>H2634^2</x:f>
        <x:v>1.7510748819354913</x:v>
      </x:c>
      <x:c r="K2634" s="40" t="n">
        <x:f>G2634-E2634</x:f>
        <x:v>0</x:v>
      </x:c>
      <x:c r="L2634" s="40" t="n">
        <x:f>ABS(K2634)</x:f>
        <x:v>0</x:v>
      </x:c>
      <x:c r="M2634" s="41" t="str">
        <x:v>lstm-soil-v1</x:v>
      </x:c>
    </x:row>
    <x:row r="2635">
      <x:c r="A2635" s="38" t="str">
        <x:v>7月30日现场数据</x:v>
      </x:c>
      <x:c r="B2635" s="39" t="str">
        <x:v>2026-08-02T20:20:00</x:v>
      </x:c>
      <x:c r="C2635" s="39" t="str">
        <x:v>2026-08-02T21:20:00</x:v>
      </x:c>
      <x:c r="D2635" s="47" t="n">
        <x:v>60</x:v>
      </x:c>
      <x:c r="E2635" s="40" t="n">
        <x:v>14.7</x:v>
      </x:c>
      <x:c r="F2635" s="40" t="n">
        <x:v>14.96518325805664</x:v>
      </x:c>
      <x:c r="G2635" s="40" t="n">
        <x:v>14.6</x:v>
      </x:c>
      <x:c r="H2635" s="40" t="n">
        <x:f>F2635-E2635</x:f>
        <x:v>0.26518325805664134</x:v>
      </x:c>
      <x:c r="I2635" s="40" t="n">
        <x:f>ABS(H2635)</x:f>
        <x:v>0.26518325805664134</x:v>
      </x:c>
      <x:c r="J2635" s="40" t="n">
        <x:f>H2635^2</x:f>
        <x:v>0.07032216035353524</x:v>
      </x:c>
      <x:c r="K2635" s="40" t="n">
        <x:f>G2635-E2635</x:f>
        <x:v>-0.09999999999999964</x:v>
      </x:c>
      <x:c r="L2635" s="40" t="n">
        <x:f>ABS(K2635)</x:f>
        <x:v>0.09999999999999964</x:v>
      </x:c>
      <x:c r="M2635" s="41" t="str">
        <x:v>lstm-soil-v1</x:v>
      </x:c>
    </x:row>
    <x:row r="2636">
      <x:c r="A2636" s="38" t="str">
        <x:v>7月30日现场数据</x:v>
      </x:c>
      <x:c r="B2636" s="39" t="str">
        <x:v>2026-08-02T20:25:00</x:v>
      </x:c>
      <x:c r="C2636" s="39" t="str">
        <x:v>2026-08-02T20:30:00</x:v>
      </x:c>
      <x:c r="D2636" s="47" t="n">
        <x:v>5</x:v>
      </x:c>
      <x:c r="E2636" s="40" t="n">
        <x:v>14.7</x:v>
      </x:c>
      <x:c r="F2636" s="40" t="n">
        <x:v>12.812122344970703</x:v>
      </x:c>
      <x:c r="G2636" s="40" t="n">
        <x:v>14.6</x:v>
      </x:c>
      <x:c r="H2636" s="40" t="n">
        <x:f>F2636-E2636</x:f>
        <x:v>-1.8878776550292962</x:v>
      </x:c>
      <x:c r="I2636" s="40" t="n">
        <x:f>ABS(H2636)</x:f>
        <x:v>1.8878776550292962</x:v>
      </x:c>
      <x:c r="J2636" s="40" t="n">
        <x:f>H2636^2</x:f>
        <x:v>3.564082040358914</x:v>
      </x:c>
      <x:c r="K2636" s="40" t="n">
        <x:f>G2636-E2636</x:f>
        <x:v>-0.09999999999999964</x:v>
      </x:c>
      <x:c r="L2636" s="40" t="n">
        <x:f>ABS(K2636)</x:f>
        <x:v>0.09999999999999964</x:v>
      </x:c>
      <x:c r="M2636" s="41" t="str">
        <x:v>lstm-soil-v1</x:v>
      </x:c>
    </x:row>
    <x:row r="2637">
      <x:c r="A2637" s="38" t="str">
        <x:v>7月30日现场数据</x:v>
      </x:c>
      <x:c r="B2637" s="39" t="str">
        <x:v>2026-08-02T20:25:00</x:v>
      </x:c>
      <x:c r="C2637" s="39" t="str">
        <x:v>2026-08-02T20:40:00</x:v>
      </x:c>
      <x:c r="D2637" s="47" t="n">
        <x:v>15</x:v>
      </x:c>
      <x:c r="E2637" s="40" t="n">
        <x:v>14.6</x:v>
      </x:c>
      <x:c r="F2637" s="40" t="n">
        <x:v>12.885765075683594</x:v>
      </x:c>
      <x:c r="G2637" s="40" t="n">
        <x:v>14.6</x:v>
      </x:c>
      <x:c r="H2637" s="40" t="n">
        <x:f>F2637-E2637</x:f>
        <x:v>-1.714234924316406</x:v>
      </x:c>
      <x:c r="I2637" s="40" t="n">
        <x:f>ABS(H2637)</x:f>
        <x:v>1.714234924316406</x:v>
      </x:c>
      <x:c r="J2637" s="40" t="n">
        <x:f>H2637^2</x:f>
        <x:v>2.938601375746074</x:v>
      </x:c>
      <x:c r="K2637" s="40" t="n">
        <x:f>G2637-E2637</x:f>
        <x:v>0</x:v>
      </x:c>
      <x:c r="L2637" s="40" t="n">
        <x:f>ABS(K2637)</x:f>
        <x:v>0</x:v>
      </x:c>
      <x:c r="M2637" s="41" t="str">
        <x:v>lstm-soil-v1</x:v>
      </x:c>
    </x:row>
    <x:row r="2638">
      <x:c r="A2638" s="38" t="str">
        <x:v>7月30日现场数据</x:v>
      </x:c>
      <x:c r="B2638" s="39" t="str">
        <x:v>2026-08-02T20:25:00</x:v>
      </x:c>
      <x:c r="C2638" s="39" t="str">
        <x:v>2026-08-02T20:55:00</x:v>
      </x:c>
      <x:c r="D2638" s="47" t="n">
        <x:v>30</x:v>
      </x:c>
      <x:c r="E2638" s="40" t="n">
        <x:v>14.6</x:v>
      </x:c>
      <x:c r="F2638" s="40" t="n">
        <x:v>13.277652740478516</x:v>
      </x:c>
      <x:c r="G2638" s="40" t="n">
        <x:v>14.6</x:v>
      </x:c>
      <x:c r="H2638" s="40" t="n">
        <x:f>F2638-E2638</x:f>
        <x:v>-1.322347259521484</x:v>
      </x:c>
      <x:c r="I2638" s="40" t="n">
        <x:f>ABS(H2638)</x:f>
        <x:v>1.322347259521484</x:v>
      </x:c>
      <x:c r="J2638" s="40" t="n">
        <x:f>H2638^2</x:f>
        <x:v>1.7486022747639791</x:v>
      </x:c>
      <x:c r="K2638" s="40" t="n">
        <x:f>G2638-E2638</x:f>
        <x:v>0</x:v>
      </x:c>
      <x:c r="L2638" s="40" t="n">
        <x:f>ABS(K2638)</x:f>
        <x:v>0</x:v>
      </x:c>
      <x:c r="M2638" s="41" t="str">
        <x:v>lstm-soil-v1</x:v>
      </x:c>
    </x:row>
    <x:row r="2639">
      <x:c r="A2639" s="38" t="str">
        <x:v>7月30日现场数据</x:v>
      </x:c>
      <x:c r="B2639" s="39" t="str">
        <x:v>2026-08-02T20:25:00</x:v>
      </x:c>
      <x:c r="C2639" s="39" t="str">
        <x:v>2026-08-02T21:25:00</x:v>
      </x:c>
      <x:c r="D2639" s="47" t="n">
        <x:v>60</x:v>
      </x:c>
      <x:c r="E2639" s="40" t="n">
        <x:v>14.6</x:v>
      </x:c>
      <x:c r="F2639" s="40" t="n">
        <x:v>14.964908599853516</x:v>
      </x:c>
      <x:c r="G2639" s="40" t="n">
        <x:v>14.6</x:v>
      </x:c>
      <x:c r="H2639" s="40" t="n">
        <x:f>F2639-E2639</x:f>
        <x:v>0.364908599853516</x:v>
      </x:c>
      <x:c r="I2639" s="40" t="n">
        <x:f>ABS(H2639)</x:f>
        <x:v>0.364908599853516</x:v>
      </x:c>
      <x:c r="J2639" s="40" t="n">
        <x:f>H2639^2</x:f>
        <x:v>0.13315828624705345</x:v>
      </x:c>
      <x:c r="K2639" s="40" t="n">
        <x:f>G2639-E2639</x:f>
        <x:v>0</x:v>
      </x:c>
      <x:c r="L2639" s="40" t="n">
        <x:f>ABS(K2639)</x:f>
        <x:v>0</x:v>
      </x:c>
      <x:c r="M2639" s="41" t="str">
        <x:v>lstm-soil-v1</x:v>
      </x:c>
    </x:row>
    <x:row r="2640">
      <x:c r="A2640" s="38" t="str">
        <x:v>7月30日现场数据</x:v>
      </x:c>
      <x:c r="B2640" s="39" t="str">
        <x:v>2026-08-02T20:30:00</x:v>
      </x:c>
      <x:c r="C2640" s="39" t="str">
        <x:v>2026-08-02T20:35:00</x:v>
      </x:c>
      <x:c r="D2640" s="47" t="n">
        <x:v>5</x:v>
      </x:c>
      <x:c r="E2640" s="40" t="n">
        <x:v>14.6</x:v>
      </x:c>
      <x:c r="F2640" s="40" t="n">
        <x:v>12.92242431640625</x:v>
      </x:c>
      <x:c r="G2640" s="40" t="n">
        <x:v>14.7</x:v>
      </x:c>
      <x:c r="H2640" s="40" t="n">
        <x:f>F2640-E2640</x:f>
        <x:v>-1.6775756835937496</x:v>
      </x:c>
      <x:c r="I2640" s="40" t="n">
        <x:f>ABS(H2640)</x:f>
        <x:v>1.6775756835937496</x:v>
      </x:c>
      <x:c r="J2640" s="40" t="n">
        <x:f>H2640^2</x:f>
        <x:v>2.8142601741850366</x:v>
      </x:c>
      <x:c r="K2640" s="40" t="n">
        <x:f>G2640-E2640</x:f>
        <x:v>0.09999999999999964</x:v>
      </x:c>
      <x:c r="L2640" s="40" t="n">
        <x:f>ABS(K2640)</x:f>
        <x:v>0.09999999999999964</x:v>
      </x:c>
      <x:c r="M2640" s="41" t="str">
        <x:v>lstm-soil-v1</x:v>
      </x:c>
    </x:row>
    <x:row r="2641">
      <x:c r="A2641" s="38" t="str">
        <x:v>7月30日现场数据</x:v>
      </x:c>
      <x:c r="B2641" s="39" t="str">
        <x:v>2026-08-02T20:30:00</x:v>
      </x:c>
      <x:c r="C2641" s="39" t="str">
        <x:v>2026-08-02T20:45:00</x:v>
      </x:c>
      <x:c r="D2641" s="47" t="n">
        <x:v>15</x:v>
      </x:c>
      <x:c r="E2641" s="40" t="n">
        <x:v>14.7</x:v>
      </x:c>
      <x:c r="F2641" s="40" t="n">
        <x:v>12.995594024658203</x:v>
      </x:c>
      <x:c r="G2641" s="40" t="n">
        <x:v>14.7</x:v>
      </x:c>
      <x:c r="H2641" s="40" t="n">
        <x:f>F2641-E2641</x:f>
        <x:v>-1.7044059753417962</x:v>
      </x:c>
      <x:c r="I2641" s="40" t="n">
        <x:f>ABS(H2641)</x:f>
        <x:v>1.7044059753417962</x:v>
      </x:c>
      <x:c r="J2641" s="40" t="n">
        <x:f>H2641^2</x:f>
        <x:v>2.9049997287808194</x:v>
      </x:c>
      <x:c r="K2641" s="40" t="n">
        <x:f>G2641-E2641</x:f>
        <x:v>0</x:v>
      </x:c>
      <x:c r="L2641" s="40" t="n">
        <x:f>ABS(K2641)</x:f>
        <x:v>0</x:v>
      </x:c>
      <x:c r="M2641" s="41" t="str">
        <x:v>lstm-soil-v1</x:v>
      </x:c>
    </x:row>
    <x:row r="2642">
      <x:c r="A2642" s="38" t="str">
        <x:v>7月30日现场数据</x:v>
      </x:c>
      <x:c r="B2642" s="39" t="str">
        <x:v>2026-08-02T20:30:00</x:v>
      </x:c>
      <x:c r="C2642" s="39" t="str">
        <x:v>2026-08-02T21:00:00</x:v>
      </x:c>
      <x:c r="D2642" s="47" t="n">
        <x:v>30</x:v>
      </x:c>
      <x:c r="E2642" s="40" t="n">
        <x:v>14.6</x:v>
      </x:c>
      <x:c r="F2642" s="40" t="n">
        <x:v>13.388885498046875</x:v>
      </x:c>
      <x:c r="G2642" s="40" t="n">
        <x:v>14.7</x:v>
      </x:c>
      <x:c r="H2642" s="40" t="n">
        <x:f>F2642-E2642</x:f>
        <x:v>-1.2111145019531246</x:v>
      </x:c>
      <x:c r="I2642" s="40" t="n">
        <x:f>ABS(H2642)</x:f>
        <x:v>1.2111145019531246</x:v>
      </x:c>
      <x:c r="J2642" s="40" t="n">
        <x:f>H2642^2</x:f>
        <x:v>1.4667983368411652</x:v>
      </x:c>
      <x:c r="K2642" s="40" t="n">
        <x:f>G2642-E2642</x:f>
        <x:v>0.09999999999999964</x:v>
      </x:c>
      <x:c r="L2642" s="40" t="n">
        <x:f>ABS(K2642)</x:f>
        <x:v>0.09999999999999964</x:v>
      </x:c>
      <x:c r="M2642" s="41" t="str">
        <x:v>lstm-soil-v1</x:v>
      </x:c>
    </x:row>
    <x:row r="2643">
      <x:c r="A2643" s="38" t="str">
        <x:v>7月30日现场数据</x:v>
      </x:c>
      <x:c r="B2643" s="39" t="str">
        <x:v>2026-08-02T20:30:00</x:v>
      </x:c>
      <x:c r="C2643" s="39" t="str">
        <x:v>2026-08-02T21:30:00</x:v>
      </x:c>
      <x:c r="D2643" s="47" t="n">
        <x:v>60</x:v>
      </x:c>
      <x:c r="E2643" s="40" t="n">
        <x:v>14.6</x:v>
      </x:c>
      <x:c r="F2643" s="40" t="n">
        <x:v>15.075332641601562</x:v>
      </x:c>
      <x:c r="G2643" s="40" t="n">
        <x:v>14.7</x:v>
      </x:c>
      <x:c r="H2643" s="40" t="n">
        <x:f>F2643-E2643</x:f>
        <x:v>0.47533264160156286</x:v>
      </x:c>
      <x:c r="I2643" s="40" t="n">
        <x:f>ABS(H2643)</x:f>
        <x:v>0.47533264160156286</x:v>
      </x:c>
      <x:c r="J2643" s="40" t="n">
        <x:f>H2643^2</x:f>
        <x:v>0.2259411201719198</x:v>
      </x:c>
      <x:c r="K2643" s="40" t="n">
        <x:f>G2643-E2643</x:f>
        <x:v>0.09999999999999964</x:v>
      </x:c>
      <x:c r="L2643" s="40" t="n">
        <x:f>ABS(K2643)</x:f>
        <x:v>0.09999999999999964</x:v>
      </x:c>
      <x:c r="M2643" s="41" t="str">
        <x:v>lstm-soil-v1</x:v>
      </x:c>
    </x:row>
    <x:row r="2644">
      <x:c r="A2644" s="38" t="str">
        <x:v>7月30日现场数据</x:v>
      </x:c>
      <x:c r="B2644" s="39" t="str">
        <x:v>2026-08-02T20:35:00</x:v>
      </x:c>
      <x:c r="C2644" s="39" t="str">
        <x:v>2026-08-02T20:40:00</x:v>
      </x:c>
      <x:c r="D2644" s="47" t="n">
        <x:v>5</x:v>
      </x:c>
      <x:c r="E2644" s="40" t="n">
        <x:v>14.6</x:v>
      </x:c>
      <x:c r="F2644" s="40" t="n">
        <x:v>12.812347412109375</x:v>
      </x:c>
      <x:c r="G2644" s="40" t="n">
        <x:v>14.6</x:v>
      </x:c>
      <x:c r="H2644" s="40" t="n">
        <x:f>F2644-E2644</x:f>
        <x:v>-1.7876525878906246</x:v>
      </x:c>
      <x:c r="I2644" s="40" t="n">
        <x:f>ABS(H2644)</x:f>
        <x:v>1.7876525878906246</x:v>
      </x:c>
      <x:c r="J2644" s="40" t="n">
        <x:f>H2644^2</x:f>
        <x:v>3.1957017749920476</x:v>
      </x:c>
      <x:c r="K2644" s="40" t="n">
        <x:f>G2644-E2644</x:f>
        <x:v>0</x:v>
      </x:c>
      <x:c r="L2644" s="40" t="n">
        <x:f>ABS(K2644)</x:f>
        <x:v>0</x:v>
      </x:c>
      <x:c r="M2644" s="41" t="str">
        <x:v>lstm-soil-v1</x:v>
      </x:c>
    </x:row>
    <x:row r="2645">
      <x:c r="A2645" s="38" t="str">
        <x:v>7月30日现场数据</x:v>
      </x:c>
      <x:c r="B2645" s="39" t="str">
        <x:v>2026-08-02T20:35:00</x:v>
      </x:c>
      <x:c r="C2645" s="39" t="str">
        <x:v>2026-08-02T20:50:00</x:v>
      </x:c>
      <x:c r="D2645" s="47" t="n">
        <x:v>15</x:v>
      </x:c>
      <x:c r="E2645" s="40" t="n">
        <x:v>14.6</x:v>
      </x:c>
      <x:c r="F2645" s="40" t="n">
        <x:v>12.885238647460938</x:v>
      </x:c>
      <x:c r="G2645" s="40" t="n">
        <x:v>14.6</x:v>
      </x:c>
      <x:c r="H2645" s="40" t="n">
        <x:f>F2645-E2645</x:f>
        <x:v>-1.7147613525390621</x:v>
      </x:c>
      <x:c r="I2645" s="40" t="n">
        <x:f>ABS(H2645)</x:f>
        <x:v>1.7147613525390621</x:v>
      </x:c>
      <x:c r="J2645" s="40" t="n">
        <x:f>H2645^2</x:f>
        <x:v>2.940406496161594</x:v>
      </x:c>
      <x:c r="K2645" s="40" t="n">
        <x:f>G2645-E2645</x:f>
        <x:v>0</x:v>
      </x:c>
      <x:c r="L2645" s="40" t="n">
        <x:f>ABS(K2645)</x:f>
        <x:v>0</x:v>
      </x:c>
      <x:c r="M2645" s="41" t="str">
        <x:v>lstm-soil-v1</x:v>
      </x:c>
    </x:row>
    <x:row r="2646">
      <x:c r="A2646" s="38" t="str">
        <x:v>7月30日现场数据</x:v>
      </x:c>
      <x:c r="B2646" s="39" t="str">
        <x:v>2026-08-02T20:35:00</x:v>
      </x:c>
      <x:c r="C2646" s="39" t="str">
        <x:v>2026-08-02T21:05:00</x:v>
      </x:c>
      <x:c r="D2646" s="47" t="n">
        <x:v>30</x:v>
      </x:c>
      <x:c r="E2646" s="40" t="n">
        <x:v>14.7</x:v>
      </x:c>
      <x:c r="F2646" s="40" t="n">
        <x:v>13.279571533203125</x:v>
      </x:c>
      <x:c r="G2646" s="40" t="n">
        <x:v>14.6</x:v>
      </x:c>
      <x:c r="H2646" s="40" t="n">
        <x:f>F2646-E2646</x:f>
        <x:v>-1.4204284667968743</x:v>
      </x:c>
      <x:c r="I2646" s="40" t="n">
        <x:f>ABS(H2646)</x:f>
        <x:v>1.4204284667968743</x:v>
      </x:c>
      <x:c r="J2646" s="40" t="n">
        <x:f>H2646^2</x:f>
        <x:v>2.017617029286919</x:v>
      </x:c>
      <x:c r="K2646" s="40" t="n">
        <x:f>G2646-E2646</x:f>
        <x:v>-0.09999999999999964</x:v>
      </x:c>
      <x:c r="L2646" s="40" t="n">
        <x:f>ABS(K2646)</x:f>
        <x:v>0.09999999999999964</x:v>
      </x:c>
      <x:c r="M2646" s="41" t="str">
        <x:v>lstm-soil-v1</x:v>
      </x:c>
    </x:row>
    <x:row r="2647">
      <x:c r="A2647" s="38" t="str">
        <x:v>7月30日现场数据</x:v>
      </x:c>
      <x:c r="B2647" s="39" t="str">
        <x:v>2026-08-02T20:35:00</x:v>
      </x:c>
      <x:c r="C2647" s="39" t="str">
        <x:v>2026-08-02T21:35:00</x:v>
      </x:c>
      <x:c r="D2647" s="47" t="n">
        <x:v>60</x:v>
      </x:c>
      <x:c r="E2647" s="40" t="n">
        <x:v>14.6</x:v>
      </x:c>
      <x:c r="F2647" s="40" t="n">
        <x:v>14.965435028076172</x:v>
      </x:c>
      <x:c r="G2647" s="40" t="n">
        <x:v>14.6</x:v>
      </x:c>
      <x:c r="H2647" s="40" t="n">
        <x:f>F2647-E2647</x:f>
        <x:v>0.36543502807617223</x:v>
      </x:c>
      <x:c r="I2647" s="40" t="n">
        <x:f>ABS(H2647)</x:f>
        <x:v>0.36543502807617223</x:v>
      </x:c>
      <x:c r="J2647" s="40" t="n">
        <x:f>H2647^2</x:f>
        <x:v>0.1335427597450328</x:v>
      </x:c>
      <x:c r="K2647" s="40" t="n">
        <x:f>G2647-E2647</x:f>
        <x:v>0</x:v>
      </x:c>
      <x:c r="L2647" s="40" t="n">
        <x:f>ABS(K2647)</x:f>
        <x:v>0</x:v>
      </x:c>
      <x:c r="M2647" s="41" t="str">
        <x:v>lstm-soil-v1</x:v>
      </x:c>
    </x:row>
    <x:row r="2648">
      <x:c r="A2648" s="38" t="str">
        <x:v>7月30日现场数据</x:v>
      </x:c>
      <x:c r="B2648" s="39" t="str">
        <x:v>2026-08-02T20:40:00</x:v>
      </x:c>
      <x:c r="C2648" s="39" t="str">
        <x:v>2026-08-02T20:45:00</x:v>
      </x:c>
      <x:c r="D2648" s="47" t="n">
        <x:v>5</x:v>
      </x:c>
      <x:c r="E2648" s="40" t="n">
        <x:v>14.7</x:v>
      </x:c>
      <x:c r="F2648" s="40" t="n">
        <x:v>12.81235122680664</x:v>
      </x:c>
      <x:c r="G2648" s="40" t="n">
        <x:v>14.6</x:v>
      </x:c>
      <x:c r="H2648" s="40" t="n">
        <x:f>F2648-E2648</x:f>
        <x:v>-1.8876487731933587</x:v>
      </x:c>
      <x:c r="I2648" s="40" t="n">
        <x:f>ABS(H2648)</x:f>
        <x:v>1.8876487731933587</x:v>
      </x:c>
      <x:c r="J2648" s="40" t="n">
        <x:f>H2648^2</x:f>
        <x:v>3.563217890938392</x:v>
      </x:c>
      <x:c r="K2648" s="40" t="n">
        <x:f>G2648-E2648</x:f>
        <x:v>-0.09999999999999964</x:v>
      </x:c>
      <x:c r="L2648" s="40" t="n">
        <x:f>ABS(K2648)</x:f>
        <x:v>0.09999999999999964</x:v>
      </x:c>
      <x:c r="M2648" s="41" t="str">
        <x:v>lstm-soil-v1</x:v>
      </x:c>
    </x:row>
    <x:row r="2649">
      <x:c r="A2649" s="38" t="str">
        <x:v>7月30日现场数据</x:v>
      </x:c>
      <x:c r="B2649" s="39" t="str">
        <x:v>2026-08-02T20:40:00</x:v>
      </x:c>
      <x:c r="C2649" s="39" t="str">
        <x:v>2026-08-02T20:55:00</x:v>
      </x:c>
      <x:c r="D2649" s="47" t="n">
        <x:v>15</x:v>
      </x:c>
      <x:c r="E2649" s="40" t="n">
        <x:v>14.6</x:v>
      </x:c>
      <x:c r="F2649" s="40" t="n">
        <x:v>12.885025024414062</x:v>
      </x:c>
      <x:c r="G2649" s="40" t="n">
        <x:v>14.6</x:v>
      </x:c>
      <x:c r="H2649" s="40" t="n">
        <x:f>F2649-E2649</x:f>
        <x:v>-1.7149749755859371</x:v>
      </x:c>
      <x:c r="I2649" s="40" t="n">
        <x:f>ABS(H2649)</x:f>
        <x:v>1.7149749755859371</x:v>
      </x:c>
      <x:c r="J2649" s="40" t="n">
        <x:f>H2649^2</x:f>
        <x:v>2.9411391668859856</x:v>
      </x:c>
      <x:c r="K2649" s="40" t="n">
        <x:f>G2649-E2649</x:f>
        <x:v>0</x:v>
      </x:c>
      <x:c r="L2649" s="40" t="n">
        <x:f>ABS(K2649)</x:f>
        <x:v>0</x:v>
      </x:c>
      <x:c r="M2649" s="41" t="str">
        <x:v>lstm-soil-v1</x:v>
      </x:c>
    </x:row>
    <x:row r="2650">
      <x:c r="A2650" s="38" t="str">
        <x:v>7月30日现场数据</x:v>
      </x:c>
      <x:c r="B2650" s="39" t="str">
        <x:v>2026-08-02T20:40:00</x:v>
      </x:c>
      <x:c r="C2650" s="39" t="str">
        <x:v>2026-08-02T21:10:00</x:v>
      </x:c>
      <x:c r="D2650" s="47" t="n">
        <x:v>30</x:v>
      </x:c>
      <x:c r="E2650" s="40" t="n">
        <x:v>14.6</x:v>
      </x:c>
      <x:c r="F2650" s="40" t="n">
        <x:v>13.280208587646484</x:v>
      </x:c>
      <x:c r="G2650" s="40" t="n">
        <x:v>14.6</x:v>
      </x:c>
      <x:c r="H2650" s="40" t="n">
        <x:f>F2650-E2650</x:f>
        <x:v>-1.3197914123535153</x:v>
      </x:c>
      <x:c r="I2650" s="40" t="n">
        <x:f>ABS(H2650)</x:f>
        <x:v>1.3197914123535153</x:v>
      </x:c>
      <x:c r="J2650" s="40" t="n">
        <x:f>H2650^2</x:f>
        <x:v>1.7418493721220867</x:v>
      </x:c>
      <x:c r="K2650" s="40" t="n">
        <x:f>G2650-E2650</x:f>
        <x:v>0</x:v>
      </x:c>
      <x:c r="L2650" s="40" t="n">
        <x:f>ABS(K2650)</x:f>
        <x:v>0</x:v>
      </x:c>
      <x:c r="M2650" s="41" t="str">
        <x:v>lstm-soil-v1</x:v>
      </x:c>
    </x:row>
    <x:row r="2651">
      <x:c r="A2651" s="38" t="str">
        <x:v>7月30日现场数据</x:v>
      </x:c>
      <x:c r="B2651" s="39" t="str">
        <x:v>2026-08-02T20:40:00</x:v>
      </x:c>
      <x:c r="C2651" s="39" t="str">
        <x:v>2026-08-02T21:40:00</x:v>
      </x:c>
      <x:c r="D2651" s="47" t="n">
        <x:v>60</x:v>
      </x:c>
      <x:c r="E2651" s="40" t="n">
        <x:v>14.6</x:v>
      </x:c>
      <x:c r="F2651" s="40" t="n">
        <x:v>14.965648651123047</x:v>
      </x:c>
      <x:c r="G2651" s="40" t="n">
        <x:v>14.6</x:v>
      </x:c>
      <x:c r="H2651" s="40" t="n">
        <x:f>F2651-E2651</x:f>
        <x:v>0.36564865112304723</x:v>
      </x:c>
      <x:c r="I2651" s="40" t="n">
        <x:f>ABS(H2651)</x:f>
        <x:v>0.36564865112304723</x:v>
      </x:c>
      <x:c r="J2651" s="40" t="n">
        <x:f>H2651^2</x:f>
        <x:v>0.1336989360681039</x:v>
      </x:c>
      <x:c r="K2651" s="40" t="n">
        <x:f>G2651-E2651</x:f>
        <x:v>0</x:v>
      </x:c>
      <x:c r="L2651" s="40" t="n">
        <x:f>ABS(K2651)</x:f>
        <x:v>0</x:v>
      </x:c>
      <x:c r="M2651" s="41" t="str">
        <x:v>lstm-soil-v1</x:v>
      </x:c>
    </x:row>
    <x:row r="2652">
      <x:c r="A2652" s="38" t="str">
        <x:v>7月30日现场数据</x:v>
      </x:c>
      <x:c r="B2652" s="39" t="str">
        <x:v>2026-08-02T20:45:00</x:v>
      </x:c>
      <x:c r="C2652" s="39" t="str">
        <x:v>2026-08-02T20:50:00</x:v>
      </x:c>
      <x:c r="D2652" s="47" t="n">
        <x:v>5</x:v>
      </x:c>
      <x:c r="E2652" s="40" t="n">
        <x:v>14.6</x:v>
      </x:c>
      <x:c r="F2652" s="40" t="n">
        <x:v>12.92276382446289</x:v>
      </x:c>
      <x:c r="G2652" s="40" t="n">
        <x:v>14.7</x:v>
      </x:c>
      <x:c r="H2652" s="40" t="n">
        <x:f>F2652-E2652</x:f>
        <x:v>-1.677236175537109</x:v>
      </x:c>
      <x:c r="I2652" s="40" t="n">
        <x:f>ABS(H2652)</x:f>
        <x:v>1.677236175537109</x:v>
      </x:c>
      <x:c r="J2652" s="40" t="n">
        <x:f>H2652^2</x:f>
        <x:v>2.813121188530348</x:v>
      </x:c>
      <x:c r="K2652" s="40" t="n">
        <x:f>G2652-E2652</x:f>
        <x:v>0.09999999999999964</x:v>
      </x:c>
      <x:c r="L2652" s="40" t="n">
        <x:f>ABS(K2652)</x:f>
        <x:v>0.09999999999999964</x:v>
      </x:c>
      <x:c r="M2652" s="41" t="str">
        <x:v>lstm-soil-v1</x:v>
      </x:c>
    </x:row>
    <x:row r="2653">
      <x:c r="A2653" s="38" t="str">
        <x:v>7月30日现场数据</x:v>
      </x:c>
      <x:c r="B2653" s="39" t="str">
        <x:v>2026-08-02T20:45:00</x:v>
      </x:c>
      <x:c r="C2653" s="39" t="str">
        <x:v>2026-08-02T21:00:00</x:v>
      </x:c>
      <x:c r="D2653" s="47" t="n">
        <x:v>15</x:v>
      </x:c>
      <x:c r="E2653" s="40" t="n">
        <x:v>14.6</x:v>
      </x:c>
      <x:c r="F2653" s="40" t="n">
        <x:v>12.995159149169922</x:v>
      </x:c>
      <x:c r="G2653" s="40" t="n">
        <x:v>14.7</x:v>
      </x:c>
      <x:c r="H2653" s="40" t="n">
        <x:f>F2653-E2653</x:f>
        <x:v>-1.6048408508300778</x:v>
      </x:c>
      <x:c r="I2653" s="40" t="n">
        <x:f>ABS(H2653)</x:f>
        <x:v>1.6048408508300778</x:v>
      </x:c>
      <x:c r="J2653" s="40" t="n">
        <x:f>H2653^2</x:f>
        <x:v>2.575514156493008</x:v>
      </x:c>
      <x:c r="K2653" s="40" t="n">
        <x:f>G2653-E2653</x:f>
        <x:v>0.09999999999999964</x:v>
      </x:c>
      <x:c r="L2653" s="40" t="n">
        <x:f>ABS(K2653)</x:f>
        <x:v>0.09999999999999964</x:v>
      </x:c>
      <x:c r="M2653" s="41" t="str">
        <x:v>lstm-soil-v1</x:v>
      </x:c>
    </x:row>
    <x:row r="2654">
      <x:c r="A2654" s="38" t="str">
        <x:v>7月30日现场数据</x:v>
      </x:c>
      <x:c r="B2654" s="39" t="str">
        <x:v>2026-08-02T20:45:00</x:v>
      </x:c>
      <x:c r="C2654" s="39" t="str">
        <x:v>2026-08-02T21:15:00</x:v>
      </x:c>
      <x:c r="D2654" s="47" t="n">
        <x:v>30</x:v>
      </x:c>
      <x:c r="E2654" s="40" t="n">
        <x:v>14.6</x:v>
      </x:c>
      <x:c r="F2654" s="40" t="n">
        <x:v>13.391071319580078</x:v>
      </x:c>
      <x:c r="G2654" s="40" t="n">
        <x:v>14.7</x:v>
      </x:c>
      <x:c r="H2654" s="40" t="n">
        <x:f>F2654-E2654</x:f>
        <x:v>-1.2089286804199215</x:v>
      </x:c>
      <x:c r="I2654" s="40" t="n">
        <x:f>ABS(H2654)</x:f>
        <x:v>1.2089286804199215</x:v>
      </x:c>
      <x:c r="J2654" s="40" t="n">
        <x:f>H2654^2</x:f>
        <x:v>1.4615085543418527</x:v>
      </x:c>
      <x:c r="K2654" s="40" t="n">
        <x:f>G2654-E2654</x:f>
        <x:v>0.09999999999999964</x:v>
      </x:c>
      <x:c r="L2654" s="40" t="n">
        <x:f>ABS(K2654)</x:f>
        <x:v>0.09999999999999964</x:v>
      </x:c>
      <x:c r="M2654" s="41" t="str">
        <x:v>lstm-soil-v1</x:v>
      </x:c>
    </x:row>
    <x:row r="2655">
      <x:c r="A2655" s="38" t="str">
        <x:v>7月30日现场数据</x:v>
      </x:c>
      <x:c r="B2655" s="39" t="str">
        <x:v>2026-08-02T20:45:00</x:v>
      </x:c>
      <x:c r="C2655" s="39" t="str">
        <x:v>2026-08-02T21:45:00</x:v>
      </x:c>
      <x:c r="D2655" s="47" t="n">
        <x:v>60</x:v>
      </x:c>
      <x:c r="E2655" s="40" t="n">
        <x:v>14.6</x:v>
      </x:c>
      <x:c r="F2655" s="40" t="n">
        <x:v>15.076244354248047</x:v>
      </x:c>
      <x:c r="G2655" s="40" t="n">
        <x:v>14.7</x:v>
      </x:c>
      <x:c r="H2655" s="40" t="n">
        <x:f>F2655-E2655</x:f>
        <x:v>0.47624435424804723</x:v>
      </x:c>
      <x:c r="I2655" s="40" t="n">
        <x:f>ABS(H2655)</x:f>
        <x:v>0.47624435424804723</x:v>
      </x:c>
      <x:c r="J2655" s="40" t="n">
        <x:f>H2655^2</x:f>
        <x:v>0.2268086849531395</x:v>
      </x:c>
      <x:c r="K2655" s="40" t="n">
        <x:f>G2655-E2655</x:f>
        <x:v>0.09999999999999964</x:v>
      </x:c>
      <x:c r="L2655" s="40" t="n">
        <x:f>ABS(K2655)</x:f>
        <x:v>0.09999999999999964</x:v>
      </x:c>
      <x:c r="M2655" s="41" t="str">
        <x:v>lstm-soil-v1</x:v>
      </x:c>
    </x:row>
    <x:row r="2656">
      <x:c r="A2656" s="38" t="str">
        <x:v>7月30日现场数据</x:v>
      </x:c>
      <x:c r="B2656" s="39" t="str">
        <x:v>2026-08-02T20:50:00</x:v>
      </x:c>
      <x:c r="C2656" s="39" t="str">
        <x:v>2026-08-02T20:55:00</x:v>
      </x:c>
      <x:c r="D2656" s="47" t="n">
        <x:v>5</x:v>
      </x:c>
      <x:c r="E2656" s="40" t="n">
        <x:v>14.6</x:v>
      </x:c>
      <x:c r="F2656" s="40" t="n">
        <x:v>12.812820434570312</x:v>
      </x:c>
      <x:c r="G2656" s="40" t="n">
        <x:v>14.6</x:v>
      </x:c>
      <x:c r="H2656" s="40" t="n">
        <x:f>F2656-E2656</x:f>
        <x:v>-1.7871795654296871</x:v>
      </x:c>
      <x:c r="I2656" s="40" t="n">
        <x:f>ABS(H2656)</x:f>
        <x:v>1.7871795654296871</x:v>
      </x:c>
      <x:c r="J2656" s="40" t="n">
        <x:f>H2656^2</x:f>
        <x:v>3.1940107990894453</x:v>
      </x:c>
      <x:c r="K2656" s="40" t="n">
        <x:f>G2656-E2656</x:f>
        <x:v>0</x:v>
      </x:c>
      <x:c r="L2656" s="40" t="n">
        <x:f>ABS(K2656)</x:f>
        <x:v>0</x:v>
      </x:c>
      <x:c r="M2656" s="41" t="str">
        <x:v>lstm-soil-v1</x:v>
      </x:c>
    </x:row>
    <x:row r="2657">
      <x:c r="A2657" s="38" t="str">
        <x:v>7月30日现场数据</x:v>
      </x:c>
      <x:c r="B2657" s="39" t="str">
        <x:v>2026-08-02T20:50:00</x:v>
      </x:c>
      <x:c r="C2657" s="39" t="str">
        <x:v>2026-08-02T21:05:00</x:v>
      </x:c>
      <x:c r="D2657" s="47" t="n">
        <x:v>15</x:v>
      </x:c>
      <x:c r="E2657" s="40" t="n">
        <x:v>14.7</x:v>
      </x:c>
      <x:c r="F2657" s="40" t="n">
        <x:v>12.885135650634766</x:v>
      </x:c>
      <x:c r="G2657" s="40" t="n">
        <x:v>14.6</x:v>
      </x:c>
      <x:c r="H2657" s="40" t="n">
        <x:f>F2657-E2657</x:f>
        <x:v>-1.8148643493652337</x:v>
      </x:c>
      <x:c r="I2657" s="40" t="n">
        <x:f>ABS(H2657)</x:f>
        <x:v>1.8148643493652337</x:v>
      </x:c>
      <x:c r="J2657" s="40" t="n">
        <x:f>H2657^2</x:f>
        <x:v>3.293732606596893</x:v>
      </x:c>
      <x:c r="K2657" s="40" t="n">
        <x:f>G2657-E2657</x:f>
        <x:v>-0.09999999999999964</x:v>
      </x:c>
      <x:c r="L2657" s="40" t="n">
        <x:f>ABS(K2657)</x:f>
        <x:v>0.09999999999999964</x:v>
      </x:c>
      <x:c r="M2657" s="41" t="str">
        <x:v>lstm-soil-v1</x:v>
      </x:c>
    </x:row>
    <x:row r="2658">
      <x:c r="A2658" s="38" t="str">
        <x:v>7月30日现场数据</x:v>
      </x:c>
      <x:c r="B2658" s="39" t="str">
        <x:v>2026-08-02T20:50:00</x:v>
      </x:c>
      <x:c r="C2658" s="39" t="str">
        <x:v>2026-08-02T21:20:00</x:v>
      </x:c>
      <x:c r="D2658" s="47" t="n">
        <x:v>30</x:v>
      </x:c>
      <x:c r="E2658" s="40" t="n">
        <x:v>14.7</x:v>
      </x:c>
      <x:c r="F2658" s="40" t="n">
        <x:v>13.281547546386719</x:v>
      </x:c>
      <x:c r="G2658" s="40" t="n">
        <x:v>14.6</x:v>
      </x:c>
      <x:c r="H2658" s="40" t="n">
        <x:f>F2658-E2658</x:f>
        <x:v>-1.4184524536132805</x:v>
      </x:c>
      <x:c r="I2658" s="40" t="n">
        <x:f>ABS(H2658)</x:f>
        <x:v>1.4184524536132805</x:v>
      </x:c>
      <x:c r="J2658" s="40" t="n">
        <x:f>H2658^2</x:f>
        <x:v>2.0120073631615356</x:v>
      </x:c>
      <x:c r="K2658" s="40" t="n">
        <x:f>G2658-E2658</x:f>
        <x:v>-0.09999999999999964</x:v>
      </x:c>
      <x:c r="L2658" s="40" t="n">
        <x:f>ABS(K2658)</x:f>
        <x:v>0.09999999999999964</x:v>
      </x:c>
      <x:c r="M2658" s="41" t="str">
        <x:v>lstm-soil-v1</x:v>
      </x:c>
    </x:row>
    <x:row r="2659">
      <x:c r="A2659" s="38" t="str">
        <x:v>7月30日现场数据</x:v>
      </x:c>
      <x:c r="B2659" s="39" t="str">
        <x:v>2026-08-02T20:50:00</x:v>
      </x:c>
      <x:c r="C2659" s="39" t="str">
        <x:v>2026-08-02T21:50:00</x:v>
      </x:c>
      <x:c r="D2659" s="47" t="n">
        <x:v>60</x:v>
      </x:c>
      <x:c r="E2659" s="40" t="n">
        <x:v>14.6</x:v>
      </x:c>
      <x:c r="F2659" s="40" t="n">
        <x:v>14.96664810180664</x:v>
      </x:c>
      <x:c r="G2659" s="40" t="n">
        <x:v>14.6</x:v>
      </x:c>
      <x:c r="H2659" s="40" t="n">
        <x:f>F2659-E2659</x:f>
        <x:v>0.366648101806641</x:v>
      </x:c>
      <x:c r="I2659" s="40" t="n">
        <x:f>ABS(H2659)</x:f>
        <x:v>0.366648101806641</x:v>
      </x:c>
      <x:c r="J2659" s="40" t="n">
        <x:f>H2659^2</x:f>
        <x:v>0.13443083055841296</x:v>
      </x:c>
      <x:c r="K2659" s="40" t="n">
        <x:f>G2659-E2659</x:f>
        <x:v>0</x:v>
      </x:c>
      <x:c r="L2659" s="40" t="n">
        <x:f>ABS(K2659)</x:f>
        <x:v>0</x:v>
      </x:c>
      <x:c r="M2659" s="41" t="str">
        <x:v>lstm-soil-v1</x:v>
      </x:c>
    </x:row>
    <x:row r="2660">
      <x:c r="A2660" s="38" t="str">
        <x:v>7月30日现场数据</x:v>
      </x:c>
      <x:c r="B2660" s="39" t="str">
        <x:v>2026-08-02T20:55:00</x:v>
      </x:c>
      <x:c r="C2660" s="39" t="str">
        <x:v>2026-08-02T21:00:00</x:v>
      </x:c>
      <x:c r="D2660" s="47" t="n">
        <x:v>5</x:v>
      </x:c>
      <x:c r="E2660" s="40" t="n">
        <x:v>14.6</x:v>
      </x:c>
      <x:c r="F2660" s="40" t="n">
        <x:v>12.812705993652344</x:v>
      </x:c>
      <x:c r="G2660" s="40" t="n">
        <x:v>14.6</x:v>
      </x:c>
      <x:c r="H2660" s="40" t="n">
        <x:f>F2660-E2660</x:f>
        <x:v>-1.787294006347656</x:v>
      </x:c>
      <x:c r="I2660" s="40" t="n">
        <x:f>ABS(H2660)</x:f>
        <x:v>1.787294006347656</x:v>
      </x:c>
      <x:c r="J2660" s="40" t="n">
        <x:f>H2660^2</x:f>
        <x:v>3.1944198651262545</x:v>
      </x:c>
      <x:c r="K2660" s="40" t="n">
        <x:f>G2660-E2660</x:f>
        <x:v>0</x:v>
      </x:c>
      <x:c r="L2660" s="40" t="n">
        <x:f>ABS(K2660)</x:f>
        <x:v>0</x:v>
      </x:c>
      <x:c r="M2660" s="41" t="str">
        <x:v>lstm-soil-v1</x:v>
      </x:c>
    </x:row>
    <x:row r="2661">
      <x:c r="A2661" s="38" t="str">
        <x:v>7月30日现场数据</x:v>
      </x:c>
      <x:c r="B2661" s="39" t="str">
        <x:v>2026-08-02T20:55:00</x:v>
      </x:c>
      <x:c r="C2661" s="39" t="str">
        <x:v>2026-08-02T21:10:00</x:v>
      </x:c>
      <x:c r="D2661" s="47" t="n">
        <x:v>15</x:v>
      </x:c>
      <x:c r="E2661" s="40" t="n">
        <x:v>14.6</x:v>
      </x:c>
      <x:c r="F2661" s="40" t="n">
        <x:v>12.885032653808594</x:v>
      </x:c>
      <x:c r="G2661" s="40" t="n">
        <x:v>14.6</x:v>
      </x:c>
      <x:c r="H2661" s="40" t="n">
        <x:f>F2661-E2661</x:f>
        <x:v>-1.714967346191406</x:v>
      </x:c>
      <x:c r="I2661" s="40" t="n">
        <x:f>ABS(H2661)</x:f>
        <x:v>1.714967346191406</x:v>
      </x:c>
      <x:c r="J2661" s="40" t="n">
        <x:f>H2661^2</x:f>
        <x:v>2.9411129985027933</x:v>
      </x:c>
      <x:c r="K2661" s="40" t="n">
        <x:f>G2661-E2661</x:f>
        <x:v>0</x:v>
      </x:c>
      <x:c r="L2661" s="40" t="n">
        <x:f>ABS(K2661)</x:f>
        <x:v>0</x:v>
      </x:c>
      <x:c r="M2661" s="41" t="str">
        <x:v>lstm-soil-v1</x:v>
      </x:c>
    </x:row>
    <x:row r="2662">
      <x:c r="A2662" s="38" t="str">
        <x:v>7月30日现场数据</x:v>
      </x:c>
      <x:c r="B2662" s="39" t="str">
        <x:v>2026-08-02T20:55:00</x:v>
      </x:c>
      <x:c r="C2662" s="39" t="str">
        <x:v>2026-08-02T21:25:00</x:v>
      </x:c>
      <x:c r="D2662" s="47" t="n">
        <x:v>30</x:v>
      </x:c>
      <x:c r="E2662" s="40" t="n">
        <x:v>14.6</x:v>
      </x:c>
      <x:c r="F2662" s="40" t="n">
        <x:v>13.281684875488281</x:v>
      </x:c>
      <x:c r="G2662" s="40" t="n">
        <x:v>14.6</x:v>
      </x:c>
      <x:c r="H2662" s="40" t="n">
        <x:f>F2662-E2662</x:f>
        <x:v>-1.3183151245117184</x:v>
      </x:c>
      <x:c r="I2662" s="40" t="n">
        <x:f>ABS(H2662)</x:f>
        <x:v>1.3183151245117184</x:v>
      </x:c>
      <x:c r="J2662" s="40" t="n">
        <x:f>H2662^2</x:f>
        <x:v>1.7379547675163476</x:v>
      </x:c>
      <x:c r="K2662" s="40" t="n">
        <x:f>G2662-E2662</x:f>
        <x:v>0</x:v>
      </x:c>
      <x:c r="L2662" s="40" t="n">
        <x:f>ABS(K2662)</x:f>
        <x:v>0</x:v>
      </x:c>
      <x:c r="M2662" s="41" t="str">
        <x:v>lstm-soil-v1</x:v>
      </x:c>
    </x:row>
    <x:row r="2663">
      <x:c r="A2663" s="38" t="str">
        <x:v>7月30日现场数据</x:v>
      </x:c>
      <x:c r="B2663" s="39" t="str">
        <x:v>2026-08-02T20:55:00</x:v>
      </x:c>
      <x:c r="C2663" s="39" t="str">
        <x:v>2026-08-02T21:55:00</x:v>
      </x:c>
      <x:c r="D2663" s="47" t="n">
        <x:v>60</x:v>
      </x:c>
      <x:c r="E2663" s="40" t="n">
        <x:v>14.6</x:v>
      </x:c>
      <x:c r="F2663" s="40" t="n">
        <x:v>14.96649169921875</x:v>
      </x:c>
      <x:c r="G2663" s="40" t="n">
        <x:v>14.6</x:v>
      </x:c>
      <x:c r="H2663" s="40" t="n">
        <x:f>F2663-E2663</x:f>
        <x:v>0.36649169921875036</x:v>
      </x:c>
      <x:c r="I2663" s="40" t="n">
        <x:f>ABS(H2663)</x:f>
        <x:v>0.36649169921875036</x:v>
      </x:c>
      <x:c r="J2663" s="40" t="n">
        <x:f>H2663^2</x:f>
        <x:v>0.13431616559624698</x:v>
      </x:c>
      <x:c r="K2663" s="40" t="n">
        <x:f>G2663-E2663</x:f>
        <x:v>0</x:v>
      </x:c>
      <x:c r="L2663" s="40" t="n">
        <x:f>ABS(K2663)</x:f>
        <x:v>0</x:v>
      </x:c>
      <x:c r="M2663" s="41" t="str">
        <x:v>lstm-soil-v1</x:v>
      </x:c>
    </x:row>
    <x:row r="2664">
      <x:c r="A2664" s="38" t="str">
        <x:v>7月30日现场数据</x:v>
      </x:c>
      <x:c r="B2664" s="39" t="str">
        <x:v>2026-08-02T21:00:00</x:v>
      </x:c>
      <x:c r="C2664" s="39" t="str">
        <x:v>2026-08-02T21:05:00</x:v>
      </x:c>
      <x:c r="D2664" s="47" t="n">
        <x:v>5</x:v>
      </x:c>
      <x:c r="E2664" s="40" t="n">
        <x:v>14.7</x:v>
      </x:c>
      <x:c r="F2664" s="40" t="n">
        <x:v>12.80960464477539</x:v>
      </x:c>
      <x:c r="G2664" s="40" t="n">
        <x:v>14.6</x:v>
      </x:c>
      <x:c r="H2664" s="40" t="n">
        <x:f>F2664-E2664</x:f>
        <x:v>-1.8903953552246087</x:v>
      </x:c>
      <x:c r="I2664" s="40" t="n">
        <x:f>ABS(H2664)</x:f>
        <x:v>1.8903953552246087</x:v>
      </x:c>
      <x:c r="J2664" s="40" t="n">
        <x:f>H2664^2</x:f>
        <x:v>3.573594599054774</x:v>
      </x:c>
      <x:c r="K2664" s="40" t="n">
        <x:f>G2664-E2664</x:f>
        <x:v>-0.09999999999999964</x:v>
      </x:c>
      <x:c r="L2664" s="40" t="n">
        <x:f>ABS(K2664)</x:f>
        <x:v>0.09999999999999964</x:v>
      </x:c>
      <x:c r="M2664" s="41" t="str">
        <x:v>lstm-soil-v1</x:v>
      </x:c>
    </x:row>
    <x:row r="2665">
      <x:c r="A2665" s="38" t="str">
        <x:v>7月30日现场数据</x:v>
      </x:c>
      <x:c r="B2665" s="39" t="str">
        <x:v>2026-08-02T21:00:00</x:v>
      </x:c>
      <x:c r="C2665" s="39" t="str">
        <x:v>2026-08-02T21:15:00</x:v>
      </x:c>
      <x:c r="D2665" s="47" t="n">
        <x:v>15</x:v>
      </x:c>
      <x:c r="E2665" s="40" t="n">
        <x:v>14.6</x:v>
      </x:c>
      <x:c r="F2665" s="40" t="n">
        <x:v>12.883052825927734</x:v>
      </x:c>
      <x:c r="G2665" s="40" t="n">
        <x:v>14.6</x:v>
      </x:c>
      <x:c r="H2665" s="40" t="n">
        <x:f>F2665-E2665</x:f>
        <x:v>-1.7169471740722653</x:v>
      </x:c>
      <x:c r="I2665" s="40" t="n">
        <x:f>ABS(H2665)</x:f>
        <x:v>1.7169471740722653</x:v>
      </x:c>
      <x:c r="J2665" s="40" t="n">
        <x:f>H2665^2</x:f>
        <x:v>2.9479075985547376</x:v>
      </x:c>
      <x:c r="K2665" s="40" t="n">
        <x:f>G2665-E2665</x:f>
        <x:v>0</x:v>
      </x:c>
      <x:c r="L2665" s="40" t="n">
        <x:f>ABS(K2665)</x:f>
        <x:v>0</x:v>
      </x:c>
      <x:c r="M2665" s="41" t="str">
        <x:v>lstm-soil-v1</x:v>
      </x:c>
    </x:row>
    <x:row r="2666">
      <x:c r="A2666" s="38" t="str">
        <x:v>7月30日现场数据</x:v>
      </x:c>
      <x:c r="B2666" s="39" t="str">
        <x:v>2026-08-02T21:00:00</x:v>
      </x:c>
      <x:c r="C2666" s="39" t="str">
        <x:v>2026-08-02T21:30:00</x:v>
      </x:c>
      <x:c r="D2666" s="47" t="n">
        <x:v>30</x:v>
      </x:c>
      <x:c r="E2666" s="40" t="n">
        <x:v>14.6</x:v>
      </x:c>
      <x:c r="F2666" s="40" t="n">
        <x:v>13.279109954833984</x:v>
      </x:c>
      <x:c r="G2666" s="40" t="n">
        <x:v>14.6</x:v>
      </x:c>
      <x:c r="H2666" s="40" t="n">
        <x:f>F2666-E2666</x:f>
        <x:v>-1.3208900451660153</x:v>
      </x:c>
      <x:c r="I2666" s="40" t="n">
        <x:f>ABS(H2666)</x:f>
        <x:v>1.3208900451660153</x:v>
      </x:c>
      <x:c r="J2666" s="40" t="n">
        <x:f>H2666^2</x:f>
        <x:v>1.7447505114186779</x:v>
      </x:c>
      <x:c r="K2666" s="40" t="n">
        <x:f>G2666-E2666</x:f>
        <x:v>0</x:v>
      </x:c>
      <x:c r="L2666" s="40" t="n">
        <x:f>ABS(K2666)</x:f>
        <x:v>0</x:v>
      </x:c>
      <x:c r="M2666" s="41" t="str">
        <x:v>lstm-soil-v1</x:v>
      </x:c>
    </x:row>
    <x:row r="2667">
      <x:c r="A2667" s="38" t="str">
        <x:v>7月30日现场数据</x:v>
      </x:c>
      <x:c r="B2667" s="39" t="str">
        <x:v>2026-08-02T21:00:00</x:v>
      </x:c>
      <x:c r="C2667" s="39" t="str">
        <x:v>2026-08-02T22:00:00</x:v>
      </x:c>
      <x:c r="D2667" s="47" t="n">
        <x:v>60</x:v>
      </x:c>
      <x:c r="E2667" s="40" t="n">
        <x:v>14.6</x:v>
      </x:c>
      <x:c r="F2667" s="40" t="n">
        <x:v>14.958740234375</x:v>
      </x:c>
      <x:c r="G2667" s="40" t="n">
        <x:v>14.6</x:v>
      </x:c>
      <x:c r="H2667" s="40" t="n">
        <x:f>F2667-E2667</x:f>
        <x:v>0.35874023437500036</x:v>
      </x:c>
      <x:c r="I2667" s="40" t="n">
        <x:f>ABS(H2667)</x:f>
        <x:v>0.35874023437500036</x:v>
      </x:c>
      <x:c r="J2667" s="40" t="n">
        <x:f>H2667^2</x:f>
        <x:v>0.12869455575943017</x:v>
      </x:c>
      <x:c r="K2667" s="40" t="n">
        <x:f>G2667-E2667</x:f>
        <x:v>0</x:v>
      </x:c>
      <x:c r="L2667" s="40" t="n">
        <x:f>ABS(K2667)</x:f>
        <x:v>0</x:v>
      </x:c>
      <x:c r="M2667" s="41" t="str">
        <x:v>lstm-soil-v1</x:v>
      </x:c>
    </x:row>
    <x:row r="2668">
      <x:c r="A2668" s="38" t="str">
        <x:v>7月30日现场数据</x:v>
      </x:c>
      <x:c r="B2668" s="39" t="str">
        <x:v>2026-08-02T21:05:00</x:v>
      </x:c>
      <x:c r="C2668" s="39" t="str">
        <x:v>2026-08-02T21:10:00</x:v>
      </x:c>
      <x:c r="D2668" s="47" t="n">
        <x:v>5</x:v>
      </x:c>
      <x:c r="E2668" s="40" t="n">
        <x:v>14.6</x:v>
      </x:c>
      <x:c r="F2668" s="40" t="n">
        <x:v>12.918399810791016</x:v>
      </x:c>
      <x:c r="G2668" s="40" t="n">
        <x:v>14.7</x:v>
      </x:c>
      <x:c r="H2668" s="40" t="n">
        <x:f>F2668-E2668</x:f>
        <x:v>-1.681600189208984</x:v>
      </x:c>
      <x:c r="I2668" s="40" t="n">
        <x:f>ABS(H2668)</x:f>
        <x:v>1.681600189208984</x:v>
      </x:c>
      <x:c r="J2668" s="40" t="n">
        <x:f>H2668^2</x:f>
        <x:v>2.827779196347691</x:v>
      </x:c>
      <x:c r="K2668" s="40" t="n">
        <x:f>G2668-E2668</x:f>
        <x:v>0.09999999999999964</x:v>
      </x:c>
      <x:c r="L2668" s="40" t="n">
        <x:f>ABS(K2668)</x:f>
        <x:v>0.09999999999999964</x:v>
      </x:c>
      <x:c r="M2668" s="41" t="str">
        <x:v>lstm-soil-v1</x:v>
      </x:c>
    </x:row>
    <x:row r="2669">
      <x:c r="A2669" s="38" t="str">
        <x:v>7月30日现场数据</x:v>
      </x:c>
      <x:c r="B2669" s="39" t="str">
        <x:v>2026-08-02T21:05:00</x:v>
      </x:c>
      <x:c r="C2669" s="39" t="str">
        <x:v>2026-08-02T21:20:00</x:v>
      </x:c>
      <x:c r="D2669" s="47" t="n">
        <x:v>15</x:v>
      </x:c>
      <x:c r="E2669" s="40" t="n">
        <x:v>14.7</x:v>
      </x:c>
      <x:c r="F2669" s="40" t="n">
        <x:v>12.99178695678711</x:v>
      </x:c>
      <x:c r="G2669" s="40" t="n">
        <x:v>14.7</x:v>
      </x:c>
      <x:c r="H2669" s="40" t="n">
        <x:f>F2669-E2669</x:f>
        <x:v>-1.70821304321289</x:v>
      </x:c>
      <x:c r="I2669" s="40" t="n">
        <x:f>ABS(H2669)</x:f>
        <x:v>1.70821304321289</x:v>
      </x:c>
      <x:c r="J2669" s="40" t="n">
        <x:f>H2669^2</x:f>
        <x:v>2.9179918010026427</x:v>
      </x:c>
      <x:c r="K2669" s="40" t="n">
        <x:f>G2669-E2669</x:f>
        <x:v>0</x:v>
      </x:c>
      <x:c r="L2669" s="40" t="n">
        <x:f>ABS(K2669)</x:f>
        <x:v>0</x:v>
      </x:c>
      <x:c r="M2669" s="41" t="str">
        <x:v>lstm-soil-v1</x:v>
      </x:c>
    </x:row>
    <x:row r="2670">
      <x:c r="A2670" s="38" t="str">
        <x:v>7月30日现场数据</x:v>
      </x:c>
      <x:c r="B2670" s="39" t="str">
        <x:v>2026-08-02T21:05:00</x:v>
      </x:c>
      <x:c r="C2670" s="39" t="str">
        <x:v>2026-08-02T21:35:00</x:v>
      </x:c>
      <x:c r="D2670" s="47" t="n">
        <x:v>30</x:v>
      </x:c>
      <x:c r="E2670" s="40" t="n">
        <x:v>14.6</x:v>
      </x:c>
      <x:c r="F2670" s="40" t="n">
        <x:v>13.389396667480469</x:v>
      </x:c>
      <x:c r="G2670" s="40" t="n">
        <x:v>14.7</x:v>
      </x:c>
      <x:c r="H2670" s="40" t="n">
        <x:f>F2670-E2670</x:f>
        <x:v>-1.210603332519531</x:v>
      </x:c>
      <x:c r="I2670" s="40" t="n">
        <x:f>ABS(H2670)</x:f>
        <x:v>1.210603332519531</x:v>
      </x:c>
      <x:c r="J2670" s="40" t="n">
        <x:f>H2670^2</x:f>
        <x:v>1.4655604287073938</x:v>
      </x:c>
      <x:c r="K2670" s="40" t="n">
        <x:f>G2670-E2670</x:f>
        <x:v>0.09999999999999964</x:v>
      </x:c>
      <x:c r="L2670" s="40" t="n">
        <x:f>ABS(K2670)</x:f>
        <x:v>0.09999999999999964</x:v>
      </x:c>
      <x:c r="M2670" s="41" t="str">
        <x:v>lstm-soil-v1</x:v>
      </x:c>
    </x:row>
    <x:row r="2671">
      <x:c r="A2671" s="38" t="str">
        <x:v>7月30日现场数据</x:v>
      </x:c>
      <x:c r="B2671" s="39" t="str">
        <x:v>2026-08-02T21:05:00</x:v>
      </x:c>
      <x:c r="C2671" s="39" t="str">
        <x:v>2026-08-02T22:05:00</x:v>
      </x:c>
      <x:c r="D2671" s="47" t="n">
        <x:v>60</x:v>
      </x:c>
      <x:c r="E2671" s="40" t="n">
        <x:v>14.6</x:v>
      </x:c>
      <x:c r="F2671" s="40" t="n">
        <x:v>15.064144134521484</x:v>
      </x:c>
      <x:c r="G2671" s="40" t="n">
        <x:v>14.7</x:v>
      </x:c>
      <x:c r="H2671" s="40" t="n">
        <x:f>F2671-E2671</x:f>
        <x:v>0.46414413452148473</x:v>
      </x:c>
      <x:c r="I2671" s="40" t="n">
        <x:f>ABS(H2671)</x:f>
        <x:v>0.46414413452148473</x:v>
      </x:c>
      <x:c r="J2671" s="40" t="n">
        <x:f>H2671^2</x:f>
        <x:v>0.21542977761069812</x:v>
      </x:c>
      <x:c r="K2671" s="40" t="n">
        <x:f>G2671-E2671</x:f>
        <x:v>0.09999999999999964</x:v>
      </x:c>
      <x:c r="L2671" s="40" t="n">
        <x:f>ABS(K2671)</x:f>
        <x:v>0.09999999999999964</x:v>
      </x:c>
      <x:c r="M2671" s="41" t="str">
        <x:v>lstm-soil-v1</x:v>
      </x:c>
    </x:row>
    <x:row r="2672">
      <x:c r="A2672" s="38" t="str">
        <x:v>7月30日现场数据</x:v>
      </x:c>
      <x:c r="B2672" s="39" t="str">
        <x:v>2026-08-02T21:10:00</x:v>
      </x:c>
      <x:c r="C2672" s="39" t="str">
        <x:v>2026-08-02T21:15:00</x:v>
      </x:c>
      <x:c r="D2672" s="47" t="n">
        <x:v>5</x:v>
      </x:c>
      <x:c r="E2672" s="40" t="n">
        <x:v>14.6</x:v>
      </x:c>
      <x:c r="F2672" s="40" t="n">
        <x:v>12.807441711425781</x:v>
      </x:c>
      <x:c r="G2672" s="40" t="n">
        <x:v>14.6</x:v>
      </x:c>
      <x:c r="H2672" s="40" t="n">
        <x:f>F2672-E2672</x:f>
        <x:v>-1.7925582885742184</x:v>
      </x:c>
      <x:c r="I2672" s="40" t="n">
        <x:f>ABS(H2672)</x:f>
        <x:v>1.7925582885742184</x:v>
      </x:c>
      <x:c r="J2672" s="40" t="n">
        <x:f>H2672^2</x:f>
        <x:v>3.2132652179361307</x:v>
      </x:c>
      <x:c r="K2672" s="40" t="n">
        <x:f>G2672-E2672</x:f>
        <x:v>0</x:v>
      </x:c>
      <x:c r="L2672" s="40" t="n">
        <x:f>ABS(K2672)</x:f>
        <x:v>0</x:v>
      </x:c>
      <x:c r="M2672" s="41" t="str">
        <x:v>lstm-soil-v1</x:v>
      </x:c>
    </x:row>
    <x:row r="2673">
      <x:c r="A2673" s="38" t="str">
        <x:v>7月30日现场数据</x:v>
      </x:c>
      <x:c r="B2673" s="39" t="str">
        <x:v>2026-08-02T21:10:00</x:v>
      </x:c>
      <x:c r="C2673" s="39" t="str">
        <x:v>2026-08-02T21:25:00</x:v>
      </x:c>
      <x:c r="D2673" s="47" t="n">
        <x:v>15</x:v>
      </x:c>
      <x:c r="E2673" s="40" t="n">
        <x:v>14.6</x:v>
      </x:c>
      <x:c r="F2673" s="40" t="n">
        <x:v>12.880558013916016</x:v>
      </x:c>
      <x:c r="G2673" s="40" t="n">
        <x:v>14.6</x:v>
      </x:c>
      <x:c r="H2673" s="40" t="n">
        <x:f>F2673-E2673</x:f>
        <x:v>-1.719441986083984</x:v>
      </x:c>
      <x:c r="I2673" s="40" t="n">
        <x:f>ABS(H2673)</x:f>
        <x:v>1.719441986083984</x:v>
      </x:c>
      <x:c r="J2673" s="40" t="n">
        <x:f>H2673^2</x:f>
        <x:v>2.9564807435084357</x:v>
      </x:c>
      <x:c r="K2673" s="40" t="n">
        <x:f>G2673-E2673</x:f>
        <x:v>0</x:v>
      </x:c>
      <x:c r="L2673" s="40" t="n">
        <x:f>ABS(K2673)</x:f>
        <x:v>0</x:v>
      </x:c>
      <x:c r="M2673" s="41" t="str">
        <x:v>lstm-soil-v1</x:v>
      </x:c>
    </x:row>
    <x:row r="2674">
      <x:c r="A2674" s="38" t="str">
        <x:v>7月30日现场数据</x:v>
      </x:c>
      <x:c r="B2674" s="39" t="str">
        <x:v>2026-08-02T21:10:00</x:v>
      </x:c>
      <x:c r="C2674" s="39" t="str">
        <x:v>2026-08-02T21:40:00</x:v>
      </x:c>
      <x:c r="D2674" s="47" t="n">
        <x:v>30</x:v>
      </x:c>
      <x:c r="E2674" s="40" t="n">
        <x:v>14.6</x:v>
      </x:c>
      <x:c r="F2674" s="40" t="n">
        <x:v>13.280254364013672</x:v>
      </x:c>
      <x:c r="G2674" s="40" t="n">
        <x:v>14.6</x:v>
      </x:c>
      <x:c r="H2674" s="40" t="n">
        <x:f>F2674-E2674</x:f>
        <x:v>-1.3197456359863278</x:v>
      </x:c>
      <x:c r="I2674" s="40" t="n">
        <x:f>ABS(H2674)</x:f>
        <x:v>1.3197456359863278</x:v>
      </x:c>
      <x:c r="J2674" s="40" t="n">
        <x:f>H2674^2</x:f>
        <x:v>1.7417285437049568</x:v>
      </x:c>
      <x:c r="K2674" s="40" t="n">
        <x:f>G2674-E2674</x:f>
        <x:v>0</x:v>
      </x:c>
      <x:c r="L2674" s="40" t="n">
        <x:f>ABS(K2674)</x:f>
        <x:v>0</x:v>
      </x:c>
      <x:c r="M2674" s="41" t="str">
        <x:v>lstm-soil-v1</x:v>
      </x:c>
    </x:row>
    <x:row r="2675">
      <x:c r="A2675" s="38" t="str">
        <x:v>7月30日现场数据</x:v>
      </x:c>
      <x:c r="B2675" s="39" t="str">
        <x:v>2026-08-02T21:10:00</x:v>
      </x:c>
      <x:c r="C2675" s="39" t="str">
        <x:v>2026-08-02T22:10:00</x:v>
      </x:c>
      <x:c r="D2675" s="47" t="n">
        <x:v>60</x:v>
      </x:c>
      <x:c r="E2675" s="40" t="n">
        <x:v>14.6</x:v>
      </x:c>
      <x:c r="F2675" s="40" t="n">
        <x:v>14.950870513916016</x:v>
      </x:c>
      <x:c r="G2675" s="40" t="n">
        <x:v>14.6</x:v>
      </x:c>
      <x:c r="H2675" s="40" t="n">
        <x:f>F2675-E2675</x:f>
        <x:v>0.350870513916016</x:v>
      </x:c>
      <x:c r="I2675" s="40" t="n">
        <x:f>ABS(H2675)</x:f>
        <x:v>0.350870513916016</x:v>
      </x:c>
      <x:c r="J2675" s="40" t="n">
        <x:f>H2675^2</x:f>
        <x:v>0.12311011753568916</x:v>
      </x:c>
      <x:c r="K2675" s="40" t="n">
        <x:f>G2675-E2675</x:f>
        <x:v>0</x:v>
      </x:c>
      <x:c r="L2675" s="40" t="n">
        <x:f>ABS(K2675)</x:f>
        <x:v>0</x:v>
      </x:c>
      <x:c r="M2675" s="41" t="str">
        <x:v>lstm-soil-v1</x:v>
      </x:c>
    </x:row>
    <x:row r="2676">
      <x:c r="A2676" s="38" t="str">
        <x:v>7月30日现场数据</x:v>
      </x:c>
      <x:c r="B2676" s="39" t="str">
        <x:v>2026-08-02T21:15:00</x:v>
      </x:c>
      <x:c r="C2676" s="39" t="str">
        <x:v>2026-08-02T21:20:00</x:v>
      </x:c>
      <x:c r="D2676" s="47" t="n">
        <x:v>5</x:v>
      </x:c>
      <x:c r="E2676" s="40" t="n">
        <x:v>14.7</x:v>
      </x:c>
      <x:c r="F2676" s="40" t="n">
        <x:v>12.807003021240234</x:v>
      </x:c>
      <x:c r="G2676" s="40" t="n">
        <x:v>14.6</x:v>
      </x:c>
      <x:c r="H2676" s="40" t="n">
        <x:f>F2676-E2676</x:f>
        <x:v>-1.892996978759765</x:v>
      </x:c>
      <x:c r="I2676" s="40" t="n">
        <x:f>ABS(H2676)</x:f>
        <x:v>1.892996978759765</x:v>
      </x:c>
      <x:c r="J2676" s="40" t="n">
        <x:f>H2676^2</x:f>
        <x:v>3.583437561593598</x:v>
      </x:c>
      <x:c r="K2676" s="40" t="n">
        <x:f>G2676-E2676</x:f>
        <x:v>-0.09999999999999964</x:v>
      </x:c>
      <x:c r="L2676" s="40" t="n">
        <x:f>ABS(K2676)</x:f>
        <x:v>0.09999999999999964</x:v>
      </x:c>
      <x:c r="M2676" s="41" t="str">
        <x:v>lstm-soil-v1</x:v>
      </x:c>
    </x:row>
    <x:row r="2677">
      <x:c r="A2677" s="38" t="str">
        <x:v>7月30日现场数据</x:v>
      </x:c>
      <x:c r="B2677" s="39" t="str">
        <x:v>2026-08-02T21:15:00</x:v>
      </x:c>
      <x:c r="C2677" s="39" t="str">
        <x:v>2026-08-02T21:30:00</x:v>
      </x:c>
      <x:c r="D2677" s="47" t="n">
        <x:v>15</x:v>
      </x:c>
      <x:c r="E2677" s="40" t="n">
        <x:v>14.6</x:v>
      </x:c>
      <x:c r="F2677" s="40" t="n">
        <x:v>12.879646301269531</x:v>
      </x:c>
      <x:c r="G2677" s="40" t="n">
        <x:v>14.6</x:v>
      </x:c>
      <x:c r="H2677" s="40" t="n">
        <x:f>F2677-E2677</x:f>
        <x:v>-1.7203536987304684</x:v>
      </x:c>
      <x:c r="I2677" s="40" t="n">
        <x:f>ABS(H2677)</x:f>
        <x:v>1.7203536987304684</x:v>
      </x:c>
      <x:c r="J2677" s="40" t="n">
        <x:f>H2677^2</x:f>
        <x:v>2.959616848735603</x:v>
      </x:c>
      <x:c r="K2677" s="40" t="n">
        <x:f>G2677-E2677</x:f>
        <x:v>0</x:v>
      </x:c>
      <x:c r="L2677" s="40" t="n">
        <x:f>ABS(K2677)</x:f>
        <x:v>0</x:v>
      </x:c>
      <x:c r="M2677" s="41" t="str">
        <x:v>lstm-soil-v1</x:v>
      </x:c>
    </x:row>
    <x:row r="2678">
      <x:c r="A2678" s="38" t="str">
        <x:v>7月30日现场数据</x:v>
      </x:c>
      <x:c r="B2678" s="39" t="str">
        <x:v>2026-08-02T21:15:00</x:v>
      </x:c>
      <x:c r="C2678" s="39" t="str">
        <x:v>2026-08-02T21:45:00</x:v>
      </x:c>
      <x:c r="D2678" s="47" t="n">
        <x:v>30</x:v>
      </x:c>
      <x:c r="E2678" s="40" t="n">
        <x:v>14.6</x:v>
      </x:c>
      <x:c r="F2678" s="40" t="n">
        <x:v>13.281536102294922</x:v>
      </x:c>
      <x:c r="G2678" s="40" t="n">
        <x:v>14.6</x:v>
      </x:c>
      <x:c r="H2678" s="40" t="n">
        <x:f>F2678-E2678</x:f>
        <x:v>-1.3184638977050778</x:v>
      </x:c>
      <x:c r="I2678" s="40" t="n">
        <x:f>ABS(H2678)</x:f>
        <x:v>1.3184638977050778</x:v>
      </x:c>
      <x:c r="J2678" s="40" t="n">
        <x:f>H2678^2</x:f>
        <x:v>1.7383470495516657</x:v>
      </x:c>
      <x:c r="K2678" s="40" t="n">
        <x:f>G2678-E2678</x:f>
        <x:v>0</x:v>
      </x:c>
      <x:c r="L2678" s="40" t="n">
        <x:f>ABS(K2678)</x:f>
        <x:v>0</x:v>
      </x:c>
      <x:c r="M2678" s="41" t="str">
        <x:v>lstm-soil-v1</x:v>
      </x:c>
    </x:row>
    <x:row r="2679">
      <x:c r="A2679" s="38" t="str">
        <x:v>7月30日现场数据</x:v>
      </x:c>
      <x:c r="B2679" s="39" t="str">
        <x:v>2026-08-02T21:15:00</x:v>
      </x:c>
      <x:c r="C2679" s="39" t="str">
        <x:v>2026-08-02T22:15:00</x:v>
      </x:c>
      <x:c r="D2679" s="47" t="n">
        <x:v>60</x:v>
      </x:c>
      <x:c r="E2679" s="40" t="n">
        <x:v>14.6</x:v>
      </x:c>
      <x:c r="F2679" s="40" t="n">
        <x:v>14.94921875</x:v>
      </x:c>
      <x:c r="G2679" s="40" t="n">
        <x:v>14.6</x:v>
      </x:c>
      <x:c r="H2679" s="40" t="n">
        <x:f>F2679-E2679</x:f>
        <x:v>0.34921875000000036</x:v>
      </x:c>
      <x:c r="I2679" s="40" t="n">
        <x:f>ABS(H2679)</x:f>
        <x:v>0.34921875000000036</x:v>
      </x:c>
      <x:c r="J2679" s="40" t="n">
        <x:f>H2679^2</x:f>
        <x:v>0.12195373535156274</x:v>
      </x:c>
      <x:c r="K2679" s="40" t="n">
        <x:f>G2679-E2679</x:f>
        <x:v>0</x:v>
      </x:c>
      <x:c r="L2679" s="40" t="n">
        <x:f>ABS(K2679)</x:f>
        <x:v>0</x:v>
      </x:c>
      <x:c r="M2679" s="41" t="str">
        <x:v>lstm-soil-v1</x:v>
      </x:c>
    </x:row>
    <x:row r="2680">
      <x:c r="A2680" s="38" t="str">
        <x:v>7月30日现场数据</x:v>
      </x:c>
      <x:c r="B2680" s="39" t="str">
        <x:v>2026-08-02T21:20:00</x:v>
      </x:c>
      <x:c r="C2680" s="39" t="str">
        <x:v>2026-08-02T21:25:00</x:v>
      </x:c>
      <x:c r="D2680" s="47" t="n">
        <x:v>5</x:v>
      </x:c>
      <x:c r="E2680" s="40" t="n">
        <x:v>14.6</x:v>
      </x:c>
      <x:c r="F2680" s="40" t="n">
        <x:v>12.917346954345703</x:v>
      </x:c>
      <x:c r="G2680" s="40" t="n">
        <x:v>14.7</x:v>
      </x:c>
      <x:c r="H2680" s="40" t="n">
        <x:f>F2680-E2680</x:f>
        <x:v>-1.6826530456542965</x:v>
      </x:c>
      <x:c r="I2680" s="40" t="n">
        <x:f>ABS(H2680)</x:f>
        <x:v>1.6826530456542965</x:v>
      </x:c>
      <x:c r="J2680" s="40" t="n">
        <x:f>H2680^2</x:f>
        <x:v>2.83132127204968</x:v>
      </x:c>
      <x:c r="K2680" s="40" t="n">
        <x:f>G2680-E2680</x:f>
        <x:v>0.09999999999999964</x:v>
      </x:c>
      <x:c r="L2680" s="40" t="n">
        <x:f>ABS(K2680)</x:f>
        <x:v>0.09999999999999964</x:v>
      </x:c>
      <x:c r="M2680" s="41" t="str">
        <x:v>lstm-soil-v1</x:v>
      </x:c>
    </x:row>
    <x:row r="2681">
      <x:c r="A2681" s="38" t="str">
        <x:v>7月30日现场数据</x:v>
      </x:c>
      <x:c r="B2681" s="39" t="str">
        <x:v>2026-08-02T21:20:00</x:v>
      </x:c>
      <x:c r="C2681" s="39" t="str">
        <x:v>2026-08-02T21:35:00</x:v>
      </x:c>
      <x:c r="D2681" s="47" t="n">
        <x:v>15</x:v>
      </x:c>
      <x:c r="E2681" s="40" t="n">
        <x:v>14.6</x:v>
      </x:c>
      <x:c r="F2681" s="40" t="n">
        <x:v>12.989307403564453</x:v>
      </x:c>
      <x:c r="G2681" s="40" t="n">
        <x:v>14.7</x:v>
      </x:c>
      <x:c r="H2681" s="40" t="n">
        <x:f>F2681-E2681</x:f>
        <x:v>-1.6106925964355465</x:v>
      </x:c>
      <x:c r="I2681" s="40" t="n">
        <x:f>ABS(H2681)</x:f>
        <x:v>1.6106925964355465</x:v>
      </x:c>
      <x:c r="J2681" s="40" t="n">
        <x:f>H2681^2</x:f>
        <x:v>2.5943306402122825</x:v>
      </x:c>
      <x:c r="K2681" s="40" t="n">
        <x:f>G2681-E2681</x:f>
        <x:v>0.09999999999999964</x:v>
      </x:c>
      <x:c r="L2681" s="40" t="n">
        <x:f>ABS(K2681)</x:f>
        <x:v>0.09999999999999964</x:v>
      </x:c>
      <x:c r="M2681" s="41" t="str">
        <x:v>lstm-soil-v1</x:v>
      </x:c>
    </x:row>
    <x:row r="2682">
      <x:c r="A2682" s="38" t="str">
        <x:v>7月30日现场数据</x:v>
      </x:c>
      <x:c r="B2682" s="39" t="str">
        <x:v>2026-08-02T21:20:00</x:v>
      </x:c>
      <x:c r="C2682" s="39" t="str">
        <x:v>2026-08-02T21:50:00</x:v>
      </x:c>
      <x:c r="D2682" s="47" t="n">
        <x:v>30</x:v>
      </x:c>
      <x:c r="E2682" s="40" t="n">
        <x:v>14.6</x:v>
      </x:c>
      <x:c r="F2682" s="40" t="n">
        <x:v>13.39327621459961</x:v>
      </x:c>
      <x:c r="G2682" s="40" t="n">
        <x:v>14.7</x:v>
      </x:c>
      <x:c r="H2682" s="40" t="n">
        <x:f>F2682-E2682</x:f>
        <x:v>-1.2067237854003903</x:v>
      </x:c>
      <x:c r="I2682" s="40" t="n">
        <x:f>ABS(H2682)</x:f>
        <x:v>1.2067237854003903</x:v>
      </x:c>
      <x:c r="J2682" s="40" t="n">
        <x:f>H2682^2</x:f>
        <x:v>1.4561822942510472</x:v>
      </x:c>
      <x:c r="K2682" s="40" t="n">
        <x:f>G2682-E2682</x:f>
        <x:v>0.09999999999999964</x:v>
      </x:c>
      <x:c r="L2682" s="40" t="n">
        <x:f>ABS(K2682)</x:f>
        <x:v>0.09999999999999964</x:v>
      </x:c>
      <x:c r="M2682" s="41" t="str">
        <x:v>lstm-soil-v1</x:v>
      </x:c>
    </x:row>
    <x:row r="2683">
      <x:c r="A2683" s="38" t="str">
        <x:v>7月30日现场数据</x:v>
      </x:c>
      <x:c r="B2683" s="39" t="str">
        <x:v>2026-08-02T21:20:00</x:v>
      </x:c>
      <x:c r="C2683" s="39" t="str">
        <x:v>2026-08-02T22:20:00</x:v>
      </x:c>
      <x:c r="D2683" s="47" t="n">
        <x:v>60</x:v>
      </x:c>
      <x:c r="E2683" s="40" t="n">
        <x:v>14.6</x:v>
      </x:c>
      <x:c r="F2683" s="40" t="n">
        <x:v>15.059028625488281</x:v>
      </x:c>
      <x:c r="G2683" s="40" t="n">
        <x:v>14.7</x:v>
      </x:c>
      <x:c r="H2683" s="40" t="n">
        <x:f>F2683-E2683</x:f>
        <x:v>0.4590286254882816</x:v>
      </x:c>
      <x:c r="I2683" s="40" t="n">
        <x:f>ABS(H2683)</x:f>
        <x:v>0.4590286254882816</x:v>
      </x:c>
      <x:c r="J2683" s="40" t="n">
        <x:f>H2683^2</x:f>
        <x:v>0.2107072790176611</x:v>
      </x:c>
      <x:c r="K2683" s="40" t="n">
        <x:f>G2683-E2683</x:f>
        <x:v>0.09999999999999964</x:v>
      </x:c>
      <x:c r="L2683" s="40" t="n">
        <x:f>ABS(K2683)</x:f>
        <x:v>0.09999999999999964</x:v>
      </x:c>
      <x:c r="M2683" s="41" t="str">
        <x:v>lstm-soil-v1</x:v>
      </x:c>
    </x:row>
    <x:row r="2684">
      <x:c r="A2684" s="38" t="str">
        <x:v>7月30日现场数据</x:v>
      </x:c>
      <x:c r="B2684" s="39" t="str">
        <x:v>2026-08-02T21:25:00</x:v>
      </x:c>
      <x:c r="C2684" s="39" t="str">
        <x:v>2026-08-02T21:30:00</x:v>
      </x:c>
      <x:c r="D2684" s="47" t="n">
        <x:v>5</x:v>
      </x:c>
      <x:c r="E2684" s="40" t="n">
        <x:v>14.6</x:v>
      </x:c>
      <x:c r="F2684" s="40" t="n">
        <x:v>12.807361602783203</x:v>
      </x:c>
      <x:c r="G2684" s="40" t="n">
        <x:v>14.6</x:v>
      </x:c>
      <x:c r="H2684" s="40" t="n">
        <x:f>F2684-E2684</x:f>
        <x:v>-1.7926383972167965</x:v>
      </x:c>
      <x:c r="I2684" s="40" t="n">
        <x:f>ABS(H2684)</x:f>
        <x:v>1.7926383972167965</x:v>
      </x:c>
      <x:c r="J2684" s="40" t="n">
        <x:f>H2684^2</x:f>
        <x:v>3.2135524231760053</x:v>
      </x:c>
      <x:c r="K2684" s="40" t="n">
        <x:f>G2684-E2684</x:f>
        <x:v>0</x:v>
      </x:c>
      <x:c r="L2684" s="40" t="n">
        <x:f>ABS(K2684)</x:f>
        <x:v>0</x:v>
      </x:c>
      <x:c r="M2684" s="41" t="str">
        <x:v>lstm-soil-v1</x:v>
      </x:c>
    </x:row>
    <x:row r="2685">
      <x:c r="A2685" s="38" t="str">
        <x:v>7月30日现场数据</x:v>
      </x:c>
      <x:c r="B2685" s="39" t="str">
        <x:v>2026-08-02T21:25:00</x:v>
      </x:c>
      <x:c r="C2685" s="39" t="str">
        <x:v>2026-08-02T21:40:00</x:v>
      </x:c>
      <x:c r="D2685" s="47" t="n">
        <x:v>15</x:v>
      </x:c>
      <x:c r="E2685" s="40" t="n">
        <x:v>14.6</x:v>
      </x:c>
      <x:c r="F2685" s="40" t="n">
        <x:v>12.878829956054688</x:v>
      </x:c>
      <x:c r="G2685" s="40" t="n">
        <x:v>14.6</x:v>
      </x:c>
      <x:c r="H2685" s="40" t="n">
        <x:f>F2685-E2685</x:f>
        <x:v>-1.7211700439453121</x:v>
      </x:c>
      <x:c r="I2685" s="40" t="n">
        <x:f>ABS(H2685)</x:f>
        <x:v>1.7211700439453121</x:v>
      </x:c>
      <x:c r="J2685" s="40" t="n">
        <x:f>H2685^2</x:f>
        <x:v>2.962426320174708</x:v>
      </x:c>
      <x:c r="K2685" s="40" t="n">
        <x:f>G2685-E2685</x:f>
        <x:v>0</x:v>
      </x:c>
      <x:c r="L2685" s="40" t="n">
        <x:f>ABS(K2685)</x:f>
        <x:v>0</x:v>
      </x:c>
      <x:c r="M2685" s="41" t="str">
        <x:v>lstm-soil-v1</x:v>
      </x:c>
    </x:row>
    <x:row r="2686">
      <x:c r="A2686" s="38" t="str">
        <x:v>7月30日现场数据</x:v>
      </x:c>
      <x:c r="B2686" s="39" t="str">
        <x:v>2026-08-02T21:25:00</x:v>
      </x:c>
      <x:c r="C2686" s="39" t="str">
        <x:v>2026-08-02T21:55:00</x:v>
      </x:c>
      <x:c r="D2686" s="47" t="n">
        <x:v>30</x:v>
      </x:c>
      <x:c r="E2686" s="40" t="n">
        <x:v>14.6</x:v>
      </x:c>
      <x:c r="F2686" s="40" t="n">
        <x:v>13.284408569335938</x:v>
      </x:c>
      <x:c r="G2686" s="40" t="n">
        <x:v>14.6</x:v>
      </x:c>
      <x:c r="H2686" s="40" t="n">
        <x:f>F2686-E2686</x:f>
        <x:v>-1.3155914306640621</x:v>
      </x:c>
      <x:c r="I2686" s="40" t="n">
        <x:f>ABS(H2686)</x:f>
        <x:v>1.3155914306640621</x:v>
      </x:c>
      <x:c r="J2686" s="40" t="n">
        <x:f>H2686^2</x:f>
        <x:v>1.730780812436714</x:v>
      </x:c>
      <x:c r="K2686" s="40" t="n">
        <x:f>G2686-E2686</x:f>
        <x:v>0</x:v>
      </x:c>
      <x:c r="L2686" s="40" t="n">
        <x:f>ABS(K2686)</x:f>
        <x:v>0</x:v>
      </x:c>
      <x:c r="M2686" s="41" t="str">
        <x:v>lstm-soil-v1</x:v>
      </x:c>
    </x:row>
    <x:row r="2687">
      <x:c r="A2687" s="38" t="str">
        <x:v>7月30日现场数据</x:v>
      </x:c>
      <x:c r="B2687" s="39" t="str">
        <x:v>2026-08-02T21:25:00</x:v>
      </x:c>
      <x:c r="C2687" s="39" t="str">
        <x:v>2026-08-02T22:25:00</x:v>
      </x:c>
      <x:c r="D2687" s="47" t="n">
        <x:v>60</x:v>
      </x:c>
      <x:c r="E2687" s="40" t="n">
        <x:v>14.6</x:v>
      </x:c>
      <x:c r="F2687" s="40" t="n">
        <x:v>14.948894500732422</x:v>
      </x:c>
      <x:c r="G2687" s="40" t="n">
        <x:v>14.6</x:v>
      </x:c>
      <x:c r="H2687" s="40" t="n">
        <x:f>F2687-E2687</x:f>
        <x:v>0.34889450073242223</x:v>
      </x:c>
      <x:c r="I2687" s="40" t="n">
        <x:f>ABS(H2687)</x:f>
        <x:v>0.34889450073242223</x:v>
      </x:c>
      <x:c r="J2687" s="40" t="n">
        <x:f>H2687^2</x:f>
        <x:v>0.12172737264132617</x:v>
      </x:c>
      <x:c r="K2687" s="40" t="n">
        <x:f>G2687-E2687</x:f>
        <x:v>0</x:v>
      </x:c>
      <x:c r="L2687" s="40" t="n">
        <x:f>ABS(K2687)</x:f>
        <x:v>0</x:v>
      </x:c>
      <x:c r="M2687" s="41" t="str">
        <x:v>lstm-soil-v1</x:v>
      </x:c>
    </x:row>
    <x:row r="2688">
      <x:c r="A2688" s="38" t="str">
        <x:v>7月30日现场数据</x:v>
      </x:c>
      <x:c r="B2688" s="39" t="str">
        <x:v>2026-08-02T21:30:00</x:v>
      </x:c>
      <x:c r="C2688" s="39" t="str">
        <x:v>2026-08-02T21:35:00</x:v>
      </x:c>
      <x:c r="D2688" s="47" t="n">
        <x:v>5</x:v>
      </x:c>
      <x:c r="E2688" s="40" t="n">
        <x:v>14.6</x:v>
      </x:c>
      <x:c r="F2688" s="40" t="n">
        <x:v>12.807491302490234</x:v>
      </x:c>
      <x:c r="G2688" s="40" t="n">
        <x:v>14.6</x:v>
      </x:c>
      <x:c r="H2688" s="40" t="n">
        <x:f>F2688-E2688</x:f>
        <x:v>-1.7925086975097653</x:v>
      </x:c>
      <x:c r="I2688" s="40" t="n">
        <x:f>ABS(H2688)</x:f>
        <x:v>1.7925086975097653</x:v>
      </x:c>
      <x:c r="J2688" s="40" t="n">
        <x:f>H2688^2</x:f>
        <x:v>3.213087430648155</x:v>
      </x:c>
      <x:c r="K2688" s="40" t="n">
        <x:f>G2688-E2688</x:f>
        <x:v>0</x:v>
      </x:c>
      <x:c r="L2688" s="40" t="n">
        <x:f>ABS(K2688)</x:f>
        <x:v>0</x:v>
      </x:c>
      <x:c r="M2688" s="41" t="str">
        <x:v>lstm-soil-v1</x:v>
      </x:c>
    </x:row>
    <x:row r="2689">
      <x:c r="A2689" s="38" t="str">
        <x:v>7月30日现场数据</x:v>
      </x:c>
      <x:c r="B2689" s="39" t="str">
        <x:v>2026-08-02T21:30:00</x:v>
      </x:c>
      <x:c r="C2689" s="39" t="str">
        <x:v>2026-08-02T21:45:00</x:v>
      </x:c>
      <x:c r="D2689" s="47" t="n">
        <x:v>15</x:v>
      </x:c>
      <x:c r="E2689" s="40" t="n">
        <x:v>14.6</x:v>
      </x:c>
      <x:c r="F2689" s="40" t="n">
        <x:v>12.878555297851562</x:v>
      </x:c>
      <x:c r="G2689" s="40" t="n">
        <x:v>14.6</x:v>
      </x:c>
      <x:c r="H2689" s="40" t="n">
        <x:f>F2689-E2689</x:f>
        <x:v>-1.7214447021484371</x:v>
      </x:c>
      <x:c r="I2689" s="40" t="n">
        <x:f>ABS(H2689)</x:f>
        <x:v>1.7214447021484371</x:v>
      </x:c>
      <x:c r="J2689" s="40" t="n">
        <x:f>H2689^2</x:f>
        <x:v>2.9633718625549217</x:v>
      </x:c>
      <x:c r="K2689" s="40" t="n">
        <x:f>G2689-E2689</x:f>
        <x:v>0</x:v>
      </x:c>
      <x:c r="L2689" s="40" t="n">
        <x:f>ABS(K2689)</x:f>
        <x:v>0</x:v>
      </x:c>
      <x:c r="M2689" s="41" t="str">
        <x:v>lstm-soil-v1</x:v>
      </x:c>
    </x:row>
    <x:row r="2690">
      <x:c r="A2690" s="38" t="str">
        <x:v>7月30日现场数据</x:v>
      </x:c>
      <x:c r="B2690" s="39" t="str">
        <x:v>2026-08-02T21:30:00</x:v>
      </x:c>
      <x:c r="C2690" s="39" t="str">
        <x:v>2026-08-02T22:00:00</x:v>
      </x:c>
      <x:c r="D2690" s="47" t="n">
        <x:v>30</x:v>
      </x:c>
      <x:c r="E2690" s="40" t="n">
        <x:v>14.6</x:v>
      </x:c>
      <x:c r="F2690" s="40" t="n">
        <x:v>13.285446166992188</x:v>
      </x:c>
      <x:c r="G2690" s="40" t="n">
        <x:v>14.6</x:v>
      </x:c>
      <x:c r="H2690" s="40" t="n">
        <x:f>F2690-E2690</x:f>
        <x:v>-1.3145538330078121</x:v>
      </x:c>
      <x:c r="I2690" s="40" t="n">
        <x:f>ABS(H2690)</x:f>
        <x:v>1.3145538330078121</x:v>
      </x:c>
      <x:c r="J2690" s="40" t="n">
        <x:f>H2690^2</x:f>
        <x:v>1.7280517798755308</x:v>
      </x:c>
      <x:c r="K2690" s="40" t="n">
        <x:f>G2690-E2690</x:f>
        <x:v>0</x:v>
      </x:c>
      <x:c r="L2690" s="40" t="n">
        <x:f>ABS(K2690)</x:f>
        <x:v>0</x:v>
      </x:c>
      <x:c r="M2690" s="41" t="str">
        <x:v>lstm-soil-v1</x:v>
      </x:c>
    </x:row>
    <x:row r="2691">
      <x:c r="A2691" s="38" t="str">
        <x:v>7月30日现场数据</x:v>
      </x:c>
      <x:c r="B2691" s="39" t="str">
        <x:v>2026-08-02T21:30:00</x:v>
      </x:c>
      <x:c r="C2691" s="39" t="str">
        <x:v>2026-08-02T22:30:00</x:v>
      </x:c>
      <x:c r="D2691" s="47" t="n">
        <x:v>60</x:v>
      </x:c>
      <x:c r="E2691" s="40" t="n">
        <x:v>14.6</x:v>
      </x:c>
      <x:c r="F2691" s="40" t="n">
        <x:v>14.949104309082031</x:v>
      </x:c>
      <x:c r="G2691" s="40" t="n">
        <x:v>14.6</x:v>
      </x:c>
      <x:c r="H2691" s="40" t="n">
        <x:f>F2691-E2691</x:f>
        <x:v>0.3491043090820316</x:v>
      </x:c>
      <x:c r="I2691" s="40" t="n">
        <x:f>ABS(H2691)</x:f>
        <x:v>0.3491043090820316</x:v>
      </x:c>
      <x:c r="J2691" s="40" t="n">
        <x:f>H2691^2</x:f>
        <x:v>0.12187381861964265</x:v>
      </x:c>
      <x:c r="K2691" s="40" t="n">
        <x:f>G2691-E2691</x:f>
        <x:v>0</x:v>
      </x:c>
      <x:c r="L2691" s="40" t="n">
        <x:f>ABS(K2691)</x:f>
        <x:v>0</x:v>
      </x:c>
      <x:c r="M2691" s="41" t="str">
        <x:v>lstm-soil-v1</x:v>
      </x:c>
    </x:row>
    <x:row r="2692">
      <x:c r="A2692" s="38" t="str">
        <x:v>7月30日现场数据</x:v>
      </x:c>
      <x:c r="B2692" s="39" t="str">
        <x:v>2026-08-02T21:35:00</x:v>
      </x:c>
      <x:c r="C2692" s="39" t="str">
        <x:v>2026-08-02T21:40:00</x:v>
      </x:c>
      <x:c r="D2692" s="47" t="n">
        <x:v>5</x:v>
      </x:c>
      <x:c r="E2692" s="40" t="n">
        <x:v>14.6</x:v>
      </x:c>
      <x:c r="F2692" s="40" t="n">
        <x:v>12.808792114257812</x:v>
      </x:c>
      <x:c r="G2692" s="40" t="n">
        <x:v>14.6</x:v>
      </x:c>
      <x:c r="H2692" s="40" t="n">
        <x:f>F2692-E2692</x:f>
        <x:v>-1.7912078857421871</x:v>
      </x:c>
      <x:c r="I2692" s="40" t="n">
        <x:f>ABS(H2692)</x:f>
        <x:v>1.7912078857421871</x:v>
      </x:c>
      <x:c r="J2692" s="40" t="n">
        <x:f>H2692^2</x:f>
        <x:v>3.2084256899449963</x:v>
      </x:c>
      <x:c r="K2692" s="40" t="n">
        <x:f>G2692-E2692</x:f>
        <x:v>0</x:v>
      </x:c>
      <x:c r="L2692" s="40" t="n">
        <x:f>ABS(K2692)</x:f>
        <x:v>0</x:v>
      </x:c>
      <x:c r="M2692" s="41" t="str">
        <x:v>lstm-soil-v1</x:v>
      </x:c>
    </x:row>
    <x:row r="2693">
      <x:c r="A2693" s="38" t="str">
        <x:v>7月30日现场数据</x:v>
      </x:c>
      <x:c r="B2693" s="39" t="str">
        <x:v>2026-08-02T21:35:00</x:v>
      </x:c>
      <x:c r="C2693" s="39" t="str">
        <x:v>2026-08-02T21:50:00</x:v>
      </x:c>
      <x:c r="D2693" s="47" t="n">
        <x:v>15</x:v>
      </x:c>
      <x:c r="E2693" s="40" t="n">
        <x:v>14.6</x:v>
      </x:c>
      <x:c r="F2693" s="40" t="n">
        <x:v>12.87982177734375</x:v>
      </x:c>
      <x:c r="G2693" s="40" t="n">
        <x:v>14.6</x:v>
      </x:c>
      <x:c r="H2693" s="40" t="n">
        <x:f>F2693-E2693</x:f>
        <x:v>-1.7201782226562496</x:v>
      </x:c>
      <x:c r="I2693" s="40" t="n">
        <x:f>ABS(H2693)</x:f>
        <x:v>1.7201782226562496</x:v>
      </x:c>
      <x:c r="J2693" s="40" t="n">
        <x:f>H2693^2</x:f>
        <x:v>2.959013117700814</x:v>
      </x:c>
      <x:c r="K2693" s="40" t="n">
        <x:f>G2693-E2693</x:f>
        <x:v>0</x:v>
      </x:c>
      <x:c r="L2693" s="40" t="n">
        <x:f>ABS(K2693)</x:f>
        <x:v>0</x:v>
      </x:c>
      <x:c r="M2693" s="41" t="str">
        <x:v>lstm-soil-v1</x:v>
      </x:c>
    </x:row>
    <x:row r="2694">
      <x:c r="A2694" s="38" t="str">
        <x:v>7月30日现场数据</x:v>
      </x:c>
      <x:c r="B2694" s="39" t="str">
        <x:v>2026-08-02T21:35:00</x:v>
      </x:c>
      <x:c r="C2694" s="39" t="str">
        <x:v>2026-08-02T22:05:00</x:v>
      </x:c>
      <x:c r="D2694" s="47" t="n">
        <x:v>30</x:v>
      </x:c>
      <x:c r="E2694" s="40" t="n">
        <x:v>14.6</x:v>
      </x:c>
      <x:c r="F2694" s="40" t="n">
        <x:v>13.287681579589844</x:v>
      </x:c>
      <x:c r="G2694" s="40" t="n">
        <x:v>14.6</x:v>
      </x:c>
      <x:c r="H2694" s="40" t="n">
        <x:f>F2694-E2694</x:f>
        <x:v>-1.312318420410156</x:v>
      </x:c>
      <x:c r="I2694" s="40" t="n">
        <x:f>ABS(H2694)</x:f>
        <x:v>1.312318420410156</x:v>
      </x:c>
      <x:c r="J2694" s="40" t="n">
        <x:f>H2694^2</x:f>
        <x:v>1.7221796365478066</x:v>
      </x:c>
      <x:c r="K2694" s="40" t="n">
        <x:f>G2694-E2694</x:f>
        <x:v>0</x:v>
      </x:c>
      <x:c r="L2694" s="40" t="n">
        <x:f>ABS(K2694)</x:f>
        <x:v>0</x:v>
      </x:c>
      <x:c r="M2694" s="41" t="str">
        <x:v>lstm-soil-v1</x:v>
      </x:c>
    </x:row>
    <x:row r="2695">
      <x:c r="A2695" s="38" t="str">
        <x:v>7月30日现场数据</x:v>
      </x:c>
      <x:c r="B2695" s="39" t="str">
        <x:v>2026-08-02T21:35:00</x:v>
      </x:c>
      <x:c r="C2695" s="39" t="str">
        <x:v>2026-08-02T22:35:00</x:v>
      </x:c>
      <x:c r="D2695" s="47" t="n">
        <x:v>60</x:v>
      </x:c>
      <x:c r="E2695" s="40" t="n">
        <x:v>14.6</x:v>
      </x:c>
      <x:c r="F2695" s="40" t="n">
        <x:v>14.952407836914062</x:v>
      </x:c>
      <x:c r="G2695" s="40" t="n">
        <x:v>14.6</x:v>
      </x:c>
      <x:c r="H2695" s="40" t="n">
        <x:f>F2695-E2695</x:f>
        <x:v>0.35240783691406286</x:v>
      </x:c>
      <x:c r="I2695" s="40" t="n">
        <x:f>ABS(H2695)</x:f>
        <x:v>0.35240783691406286</x:v>
      </x:c>
      <x:c r="J2695" s="40" t="n">
        <x:f>H2695^2</x:f>
        <x:v>0.12419128351844873</x:v>
      </x:c>
      <x:c r="K2695" s="40" t="n">
        <x:f>G2695-E2695</x:f>
        <x:v>0</x:v>
      </x:c>
      <x:c r="L2695" s="40" t="n">
        <x:f>ABS(K2695)</x:f>
        <x:v>0</x:v>
      </x:c>
      <x:c r="M2695" s="41" t="str">
        <x:v>lstm-soil-v1</x:v>
      </x:c>
    </x:row>
    <x:row r="2696">
      <x:c r="A2696" s="38" t="str">
        <x:v>7月30日现场数据</x:v>
      </x:c>
      <x:c r="B2696" s="39" t="str">
        <x:v>2026-08-02T21:40:00</x:v>
      </x:c>
      <x:c r="C2696" s="39" t="str">
        <x:v>2026-08-02T21:45:00</x:v>
      </x:c>
      <x:c r="D2696" s="47" t="n">
        <x:v>5</x:v>
      </x:c>
      <x:c r="E2696" s="40" t="n">
        <x:v>14.6</x:v>
      </x:c>
      <x:c r="F2696" s="40" t="n">
        <x:v>12.807491302490234</x:v>
      </x:c>
      <x:c r="G2696" s="40" t="n">
        <x:v>14.6</x:v>
      </x:c>
      <x:c r="H2696" s="40" t="n">
        <x:f>F2696-E2696</x:f>
        <x:v>-1.7925086975097653</x:v>
      </x:c>
      <x:c r="I2696" s="40" t="n">
        <x:f>ABS(H2696)</x:f>
        <x:v>1.7925086975097653</x:v>
      </x:c>
      <x:c r="J2696" s="40" t="n">
        <x:f>H2696^2</x:f>
        <x:v>3.213087430648155</x:v>
      </x:c>
      <x:c r="K2696" s="40" t="n">
        <x:f>G2696-E2696</x:f>
        <x:v>0</x:v>
      </x:c>
      <x:c r="L2696" s="40" t="n">
        <x:f>ABS(K2696)</x:f>
        <x:v>0</x:v>
      </x:c>
      <x:c r="M2696" s="41" t="str">
        <x:v>lstm-soil-v1</x:v>
      </x:c>
    </x:row>
    <x:row r="2697">
      <x:c r="A2697" s="38" t="str">
        <x:v>7月30日现场数据</x:v>
      </x:c>
      <x:c r="B2697" s="39" t="str">
        <x:v>2026-08-02T21:40:00</x:v>
      </x:c>
      <x:c r="C2697" s="39" t="str">
        <x:v>2026-08-02T21:55:00</x:v>
      </x:c>
      <x:c r="D2697" s="47" t="n">
        <x:v>15</x:v>
      </x:c>
      <x:c r="E2697" s="40" t="n">
        <x:v>14.6</x:v>
      </x:c>
      <x:c r="F2697" s="40" t="n">
        <x:v>12.879627227783203</x:v>
      </x:c>
      <x:c r="G2697" s="40" t="n">
        <x:v>14.6</x:v>
      </x:c>
      <x:c r="H2697" s="40" t="n">
        <x:f>F2697-E2697</x:f>
        <x:v>-1.7203727722167965</x:v>
      </x:c>
      <x:c r="I2697" s="40" t="n">
        <x:f>ABS(H2697)</x:f>
        <x:v>1.7203727722167965</x:v>
      </x:c>
      <x:c r="J2697" s="40" t="n">
        <x:f>H2697^2</x:f>
        <x:v>2.9596824753849056</x:v>
      </x:c>
      <x:c r="K2697" s="40" t="n">
        <x:f>G2697-E2697</x:f>
        <x:v>0</x:v>
      </x:c>
      <x:c r="L2697" s="40" t="n">
        <x:f>ABS(K2697)</x:f>
        <x:v>0</x:v>
      </x:c>
      <x:c r="M2697" s="41" t="str">
        <x:v>lstm-soil-v1</x:v>
      </x:c>
    </x:row>
    <x:row r="2698">
      <x:c r="A2698" s="38" t="str">
        <x:v>7月30日现场数据</x:v>
      </x:c>
      <x:c r="B2698" s="39" t="str">
        <x:v>2026-08-02T21:40:00</x:v>
      </x:c>
      <x:c r="C2698" s="39" t="str">
        <x:v>2026-08-02T22:10:00</x:v>
      </x:c>
      <x:c r="D2698" s="47" t="n">
        <x:v>30</x:v>
      </x:c>
      <x:c r="E2698" s="40" t="n">
        <x:v>14.6</x:v>
      </x:c>
      <x:c r="F2698" s="40" t="n">
        <x:v>13.286003112792969</x:v>
      </x:c>
      <x:c r="G2698" s="40" t="n">
        <x:v>14.6</x:v>
      </x:c>
      <x:c r="H2698" s="40" t="n">
        <x:f>F2698-E2698</x:f>
        <x:v>-1.313996887207031</x:v>
      </x:c>
      <x:c r="I2698" s="40" t="n">
        <x:f>ABS(H2698)</x:f>
        <x:v>1.313996887207031</x:v>
      </x:c>
      <x:c r="J2698" s="40" t="n">
        <x:f>H2698^2</x:f>
        <x:v>1.7265878195897666</x:v>
      </x:c>
      <x:c r="K2698" s="40" t="n">
        <x:f>G2698-E2698</x:f>
        <x:v>0</x:v>
      </x:c>
      <x:c r="L2698" s="40" t="n">
        <x:f>ABS(K2698)</x:f>
        <x:v>0</x:v>
      </x:c>
      <x:c r="M2698" s="41" t="str">
        <x:v>lstm-soil-v1</x:v>
      </x:c>
    </x:row>
    <x:row r="2699">
      <x:c r="A2699" s="38" t="str">
        <x:v>7月30日现场数据</x:v>
      </x:c>
      <x:c r="B2699" s="39" t="str">
        <x:v>2026-08-02T21:40:00</x:v>
      </x:c>
      <x:c r="C2699" s="39" t="str">
        <x:v>2026-08-02T22:40:00</x:v>
      </x:c>
      <x:c r="D2699" s="47" t="n">
        <x:v>60</x:v>
      </x:c>
      <x:c r="E2699" s="40" t="n">
        <x:v>14.6</x:v>
      </x:c>
      <x:c r="F2699" s="40" t="n">
        <x:v>14.94873046875</x:v>
      </x:c>
      <x:c r="G2699" s="40" t="n">
        <x:v>14.6</x:v>
      </x:c>
      <x:c r="H2699" s="40" t="n">
        <x:f>F2699-E2699</x:f>
        <x:v>0.34873046875000036</x:v>
      </x:c>
      <x:c r="I2699" s="40" t="n">
        <x:f>ABS(H2699)</x:f>
        <x:v>0.34873046875000036</x:v>
      </x:c>
      <x:c r="J2699" s="40" t="n">
        <x:f>H2699^2</x:f>
        <x:v>0.12161293983459498</x:v>
      </x:c>
      <x:c r="K2699" s="40" t="n">
        <x:f>G2699-E2699</x:f>
        <x:v>0</x:v>
      </x:c>
      <x:c r="L2699" s="40" t="n">
        <x:f>ABS(K2699)</x:f>
        <x:v>0</x:v>
      </x:c>
      <x:c r="M2699" s="41" t="str">
        <x:v>lstm-soil-v1</x:v>
      </x:c>
    </x:row>
    <x:row r="2700">
      <x:c r="A2700" s="38" t="str">
        <x:v>7月30日现场数据</x:v>
      </x:c>
      <x:c r="B2700" s="39" t="str">
        <x:v>2026-08-02T21:45:00</x:v>
      </x:c>
      <x:c r="C2700" s="39" t="str">
        <x:v>2026-08-02T21:50:00</x:v>
      </x:c>
      <x:c r="D2700" s="47" t="n">
        <x:v>5</x:v>
      </x:c>
      <x:c r="E2700" s="40" t="n">
        <x:v>14.6</x:v>
      </x:c>
      <x:c r="F2700" s="40" t="n">
        <x:v>12.807483673095703</x:v>
      </x:c>
      <x:c r="G2700" s="40" t="n">
        <x:v>14.6</x:v>
      </x:c>
      <x:c r="H2700" s="40" t="n">
        <x:f>F2700-E2700</x:f>
        <x:v>-1.7925163269042965</x:v>
      </x:c>
      <x:c r="I2700" s="40" t="n">
        <x:f>ABS(H2700)</x:f>
        <x:v>1.7925163269042965</x:v>
      </x:c>
      <x:c r="J2700" s="40" t="n">
        <x:f>H2700^2</x:f>
        <x:v>3.213114782218471</x:v>
      </x:c>
      <x:c r="K2700" s="40" t="n">
        <x:f>G2700-E2700</x:f>
        <x:v>0</x:v>
      </x:c>
      <x:c r="L2700" s="40" t="n">
        <x:f>ABS(K2700)</x:f>
        <x:v>0</x:v>
      </x:c>
      <x:c r="M2700" s="41" t="str">
        <x:v>lstm-soil-v1</x:v>
      </x:c>
    </x:row>
    <x:row r="2701">
      <x:c r="A2701" s="38" t="str">
        <x:v>7月30日现场数据</x:v>
      </x:c>
      <x:c r="B2701" s="39" t="str">
        <x:v>2026-08-02T21:45:00</x:v>
      </x:c>
      <x:c r="C2701" s="39" t="str">
        <x:v>2026-08-02T22:00:00</x:v>
      </x:c>
      <x:c r="D2701" s="47" t="n">
        <x:v>15</x:v>
      </x:c>
      <x:c r="E2701" s="40" t="n">
        <x:v>14.6</x:v>
      </x:c>
      <x:c r="F2701" s="40" t="n">
        <x:v>12.878715515136719</x:v>
      </x:c>
      <x:c r="G2701" s="40" t="n">
        <x:v>14.6</x:v>
      </x:c>
      <x:c r="H2701" s="40" t="n">
        <x:f>F2701-E2701</x:f>
        <x:v>-1.721284484863281</x:v>
      </x:c>
      <x:c r="I2701" s="40" t="n">
        <x:f>ABS(H2701)</x:f>
        <x:v>1.721284484863281</x:v>
      </x:c>
      <x:c r="J2701" s="40" t="n">
        <x:f>H2701^2</x:f>
        <x:v>2.9628202778310504</x:v>
      </x:c>
      <x:c r="K2701" s="40" t="n">
        <x:f>G2701-E2701</x:f>
        <x:v>0</x:v>
      </x:c>
      <x:c r="L2701" s="40" t="n">
        <x:f>ABS(K2701)</x:f>
        <x:v>0</x:v>
      </x:c>
      <x:c r="M2701" s="41" t="str">
        <x:v>lstm-soil-v1</x:v>
      </x:c>
    </x:row>
    <x:row r="2702">
      <x:c r="A2702" s="38" t="str">
        <x:v>7月30日现场数据</x:v>
      </x:c>
      <x:c r="B2702" s="39" t="str">
        <x:v>2026-08-02T21:45:00</x:v>
      </x:c>
      <x:c r="C2702" s="39" t="str">
        <x:v>2026-08-02T22:15:00</x:v>
      </x:c>
      <x:c r="D2702" s="47" t="n">
        <x:v>30</x:v>
      </x:c>
      <x:c r="E2702" s="40" t="n">
        <x:v>14.6</x:v>
      </x:c>
      <x:c r="F2702" s="40" t="n">
        <x:v>13.286109924316406</x:v>
      </x:c>
      <x:c r="G2702" s="40" t="n">
        <x:v>14.6</x:v>
      </x:c>
      <x:c r="H2702" s="40" t="n">
        <x:f>F2702-E2702</x:f>
        <x:v>-1.3138900756835934</x:v>
      </x:c>
      <x:c r="I2702" s="40" t="n">
        <x:f>ABS(H2702)</x:f>
        <x:v>1.3138900756835934</x:v>
      </x:c>
      <x:c r="J2702" s="40" t="n">
        <x:f>H2702^2</x:f>
        <x:v>1.7263071309798388</x:v>
      </x:c>
      <x:c r="K2702" s="40" t="n">
        <x:f>G2702-E2702</x:f>
        <x:v>0</x:v>
      </x:c>
      <x:c r="L2702" s="40" t="n">
        <x:f>ABS(K2702)</x:f>
        <x:v>0</x:v>
      </x:c>
      <x:c r="M2702" s="41" t="str">
        <x:v>lstm-soil-v1</x:v>
      </x:c>
    </x:row>
    <x:row r="2703">
      <x:c r="A2703" s="38" t="str">
        <x:v>7月30日现场数据</x:v>
      </x:c>
      <x:c r="B2703" s="39" t="str">
        <x:v>2026-08-02T21:45:00</x:v>
      </x:c>
      <x:c r="C2703" s="39" t="str">
        <x:v>2026-08-02T22:45:00</x:v>
      </x:c>
      <x:c r="D2703" s="47" t="n">
        <x:v>60</x:v>
      </x:c>
      <x:c r="E2703" s="40" t="n">
        <x:v>14.6</x:v>
      </x:c>
      <x:c r="F2703" s="40" t="n">
        <x:v>14.94894027709961</x:v>
      </x:c>
      <x:c r="G2703" s="40" t="n">
        <x:v>14.6</x:v>
      </x:c>
      <x:c r="H2703" s="40" t="n">
        <x:f>F2703-E2703</x:f>
        <x:v>0.34894027709960973</x:v>
      </x:c>
      <x:c r="I2703" s="40" t="n">
        <x:f>ABS(H2703)</x:f>
        <x:v>0.34894027709960973</x:v>
      </x:c>
      <x:c r="J2703" s="40" t="n">
        <x:f>H2703^2</x:f>
        <x:v>0.12175931698235243</x:v>
      </x:c>
      <x:c r="K2703" s="40" t="n">
        <x:f>G2703-E2703</x:f>
        <x:v>0</x:v>
      </x:c>
      <x:c r="L2703" s="40" t="n">
        <x:f>ABS(K2703)</x:f>
        <x:v>0</x:v>
      </x:c>
      <x:c r="M2703" s="41" t="str">
        <x:v>lstm-soil-v1</x:v>
      </x:c>
    </x:row>
    <x:row r="2704">
      <x:c r="A2704" s="38" t="str">
        <x:v>7月30日现场数据</x:v>
      </x:c>
      <x:c r="B2704" s="39" t="str">
        <x:v>2026-08-02T21:50:00</x:v>
      </x:c>
      <x:c r="C2704" s="39" t="str">
        <x:v>2026-08-02T21:55:00</x:v>
      </x:c>
      <x:c r="D2704" s="47" t="n">
        <x:v>5</x:v>
      </x:c>
      <x:c r="E2704" s="40" t="n">
        <x:v>14.6</x:v>
      </x:c>
      <x:c r="F2704" s="40" t="n">
        <x:v>12.807899475097656</x:v>
      </x:c>
      <x:c r="G2704" s="40" t="n">
        <x:v>14.6</x:v>
      </x:c>
      <x:c r="H2704" s="40" t="n">
        <x:f>F2704-E2704</x:f>
        <x:v>-1.7921005249023434</x:v>
      </x:c>
      <x:c r="I2704" s="40" t="n">
        <x:f>ABS(H2704)</x:f>
        <x:v>1.7921005249023434</x:v>
      </x:c>
      <x:c r="J2704" s="40" t="n">
        <x:f>H2704^2</x:f>
        <x:v>3.2116242913552546</x:v>
      </x:c>
      <x:c r="K2704" s="40" t="n">
        <x:f>G2704-E2704</x:f>
        <x:v>0</x:v>
      </x:c>
      <x:c r="L2704" s="40" t="n">
        <x:f>ABS(K2704)</x:f>
        <x:v>0</x:v>
      </x:c>
      <x:c r="M2704" s="41" t="str">
        <x:v>lstm-soil-v1</x:v>
      </x:c>
    </x:row>
    <x:row r="2705">
      <x:c r="A2705" s="38" t="str">
        <x:v>7月30日现场数据</x:v>
      </x:c>
      <x:c r="B2705" s="39" t="str">
        <x:v>2026-08-02T21:50:00</x:v>
      </x:c>
      <x:c r="C2705" s="39" t="str">
        <x:v>2026-08-02T22:05:00</x:v>
      </x:c>
      <x:c r="D2705" s="47" t="n">
        <x:v>15</x:v>
      </x:c>
      <x:c r="E2705" s="40" t="n">
        <x:v>14.6</x:v>
      </x:c>
      <x:c r="F2705" s="40" t="n">
        <x:v>12.878543853759766</x:v>
      </x:c>
      <x:c r="G2705" s="40" t="n">
        <x:v>14.6</x:v>
      </x:c>
      <x:c r="H2705" s="40" t="n">
        <x:f>F2705-E2705</x:f>
        <x:v>-1.721456146240234</x:v>
      </x:c>
      <x:c r="I2705" s="40" t="n">
        <x:f>ABS(H2705)</x:f>
        <x:v>1.721456146240234</x:v>
      </x:c>
      <x:c r="J2705" s="40" t="n">
        <x:f>H2705^2</x:f>
        <x:v>2.963411263428278</x:v>
      </x:c>
      <x:c r="K2705" s="40" t="n">
        <x:f>G2705-E2705</x:f>
        <x:v>0</x:v>
      </x:c>
      <x:c r="L2705" s="40" t="n">
        <x:f>ABS(K2705)</x:f>
        <x:v>0</x:v>
      </x:c>
      <x:c r="M2705" s="41" t="str">
        <x:v>lstm-soil-v1</x:v>
      </x:c>
    </x:row>
    <x:row r="2706">
      <x:c r="A2706" s="38" t="str">
        <x:v>7月30日现场数据</x:v>
      </x:c>
      <x:c r="B2706" s="39" t="str">
        <x:v>2026-08-02T21:50:00</x:v>
      </x:c>
      <x:c r="C2706" s="39" t="str">
        <x:v>2026-08-02T22:20:00</x:v>
      </x:c>
      <x:c r="D2706" s="47" t="n">
        <x:v>30</x:v>
      </x:c>
      <x:c r="E2706" s="40" t="n">
        <x:v>14.6</x:v>
      </x:c>
      <x:c r="F2706" s="40" t="n">
        <x:v>13.287063598632812</x:v>
      </x:c>
      <x:c r="G2706" s="40" t="n">
        <x:v>14.6</x:v>
      </x:c>
      <x:c r="H2706" s="40" t="n">
        <x:f>F2706-E2706</x:f>
        <x:v>-1.3129364013671871</x:v>
      </x:c>
      <x:c r="I2706" s="40" t="n">
        <x:f>ABS(H2706)</x:f>
        <x:v>1.3129364013671871</x:v>
      </x:c>
      <x:c r="J2706" s="40" t="n">
        <x:f>H2706^2</x:f>
        <x:v>1.7238019940350195</x:v>
      </x:c>
      <x:c r="K2706" s="40" t="n">
        <x:f>G2706-E2706</x:f>
        <x:v>0</x:v>
      </x:c>
      <x:c r="L2706" s="40" t="n">
        <x:f>ABS(K2706)</x:f>
        <x:v>0</x:v>
      </x:c>
      <x:c r="M2706" s="41" t="str">
        <x:v>lstm-soil-v1</x:v>
      </x:c>
    </x:row>
    <x:row r="2707">
      <x:c r="A2707" s="38" t="str">
        <x:v>7月30日现场数据</x:v>
      </x:c>
      <x:c r="B2707" s="39" t="str">
        <x:v>2026-08-02T21:50:00</x:v>
      </x:c>
      <x:c r="C2707" s="39" t="str">
        <x:v>2026-08-02T22:50:00</x:v>
      </x:c>
      <x:c r="D2707" s="47" t="n">
        <x:v>60</x:v>
      </x:c>
      <x:c r="E2707" s="40" t="n">
        <x:v>14.6</x:v>
      </x:c>
      <x:c r="F2707" s="40" t="n">
        <x:v>14.950119018554688</x:v>
      </x:c>
      <x:c r="G2707" s="40" t="n">
        <x:v>14.6</x:v>
      </x:c>
      <x:c r="H2707" s="40" t="n">
        <x:f>F2707-E2707</x:f>
        <x:v>0.35011901855468786</x:v>
      </x:c>
      <x:c r="I2707" s="40" t="n">
        <x:f>ABS(H2707)</x:f>
        <x:v>0.35011901855468786</x:v>
      </x:c>
      <x:c r="J2707" s="40" t="n">
        <x:f>H2707^2</x:f>
        <x:v>0.12258332715369785</x:v>
      </x:c>
      <x:c r="K2707" s="40" t="n">
        <x:f>G2707-E2707</x:f>
        <x:v>0</x:v>
      </x:c>
      <x:c r="L2707" s="40" t="n">
        <x:f>ABS(K2707)</x:f>
        <x:v>0</x:v>
      </x:c>
      <x:c r="M2707" s="41" t="str">
        <x:v>lstm-soil-v1</x:v>
      </x:c>
    </x:row>
    <x:row r="2708">
      <x:c r="A2708" s="38" t="str">
        <x:v>7月30日现场数据</x:v>
      </x:c>
      <x:c r="B2708" s="39" t="str">
        <x:v>2026-08-02T21:55:00</x:v>
      </x:c>
      <x:c r="C2708" s="39" t="str">
        <x:v>2026-08-02T22:00:00</x:v>
      </x:c>
      <x:c r="D2708" s="47" t="n">
        <x:v>5</x:v>
      </x:c>
      <x:c r="E2708" s="40" t="n">
        <x:v>14.6</x:v>
      </x:c>
      <x:c r="F2708" s="40" t="n">
        <x:v>12.807811737060547</x:v>
      </x:c>
      <x:c r="G2708" s="40" t="n">
        <x:v>14.6</x:v>
      </x:c>
      <x:c r="H2708" s="40" t="n">
        <x:f>F2708-E2708</x:f>
        <x:v>-1.7921882629394528</x:v>
      </x:c>
      <x:c r="I2708" s="40" t="n">
        <x:f>ABS(H2708)</x:f>
        <x:v>1.7921882629394528</x:v>
      </x:c>
      <x:c r="J2708" s="40" t="n">
        <x:f>H2708^2</x:f>
        <x:v>3.211938769817933</x:v>
      </x:c>
      <x:c r="K2708" s="40" t="n">
        <x:f>G2708-E2708</x:f>
        <x:v>0</x:v>
      </x:c>
      <x:c r="L2708" s="40" t="n">
        <x:f>ABS(K2708)</x:f>
        <x:v>0</x:v>
      </x:c>
      <x:c r="M2708" s="41" t="str">
        <x:v>lstm-soil-v1</x:v>
      </x:c>
    </x:row>
    <x:row r="2709">
      <x:c r="A2709" s="38" t="str">
        <x:v>7月30日现场数据</x:v>
      </x:c>
      <x:c r="B2709" s="39" t="str">
        <x:v>2026-08-02T21:55:00</x:v>
      </x:c>
      <x:c r="C2709" s="39" t="str">
        <x:v>2026-08-02T22:10:00</x:v>
      </x:c>
      <x:c r="D2709" s="47" t="n">
        <x:v>15</x:v>
      </x:c>
      <x:c r="E2709" s="40" t="n">
        <x:v>14.6</x:v>
      </x:c>
      <x:c r="F2709" s="40" t="n">
        <x:v>12.878372192382812</x:v>
      </x:c>
      <x:c r="G2709" s="40" t="n">
        <x:v>14.6</x:v>
      </x:c>
      <x:c r="H2709" s="40" t="n">
        <x:f>F2709-E2709</x:f>
        <x:v>-1.7216278076171871</x:v>
      </x:c>
      <x:c r="I2709" s="40" t="n">
        <x:f>ABS(H2709)</x:f>
        <x:v>1.7216278076171871</x:v>
      </x:c>
      <x:c r="J2709" s="40" t="n">
        <x:f>H2709^2</x:f>
        <x:v>2.9640023079607625</x:v>
      </x:c>
      <x:c r="K2709" s="40" t="n">
        <x:f>G2709-E2709</x:f>
        <x:v>0</x:v>
      </x:c>
      <x:c r="L2709" s="40" t="n">
        <x:f>ABS(K2709)</x:f>
        <x:v>0</x:v>
      </x:c>
      <x:c r="M2709" s="41" t="str">
        <x:v>lstm-soil-v1</x:v>
      </x:c>
    </x:row>
    <x:row r="2710">
      <x:c r="A2710" s="38" t="str">
        <x:v>7月30日现场数据</x:v>
      </x:c>
      <x:c r="B2710" s="39" t="str">
        <x:v>2026-08-02T21:55:00</x:v>
      </x:c>
      <x:c r="C2710" s="39" t="str">
        <x:v>2026-08-02T22:25:00</x:v>
      </x:c>
      <x:c r="D2710" s="47" t="n">
        <x:v>30</x:v>
      </x:c>
      <x:c r="E2710" s="40" t="n">
        <x:v>14.6</x:v>
      </x:c>
      <x:c r="F2710" s="40" t="n">
        <x:v>13.287300109863281</x:v>
      </x:c>
      <x:c r="G2710" s="40" t="n">
        <x:v>14.6</x:v>
      </x:c>
      <x:c r="H2710" s="40" t="n">
        <x:f>F2710-E2710</x:f>
        <x:v>-1.3126998901367184</x:v>
      </x:c>
      <x:c r="I2710" s="40" t="n">
        <x:f>ABS(H2710)</x:f>
        <x:v>1.3126998901367184</x:v>
      </x:c>
      <x:c r="J2710" s="40" t="n">
        <x:f>H2710^2</x:f>
        <x:v>1.7231810015649525</x:v>
      </x:c>
      <x:c r="K2710" s="40" t="n">
        <x:f>G2710-E2710</x:f>
        <x:v>0</x:v>
      </x:c>
      <x:c r="L2710" s="40" t="n">
        <x:f>ABS(K2710)</x:f>
        <x:v>0</x:v>
      </x:c>
      <x:c r="M2710" s="41" t="str">
        <x:v>lstm-soil-v1</x:v>
      </x:c>
    </x:row>
    <x:row r="2711">
      <x:c r="A2711" s="38" t="str">
        <x:v>7月30日现场数据</x:v>
      </x:c>
      <x:c r="B2711" s="39" t="str">
        <x:v>2026-08-02T21:55:00</x:v>
      </x:c>
      <x:c r="C2711" s="39" t="str">
        <x:v>2026-08-02T22:55:00</x:v>
      </x:c>
      <x:c r="D2711" s="47" t="n">
        <x:v>60</x:v>
      </x:c>
      <x:c r="E2711" s="40" t="n">
        <x:v>14.6</x:v>
      </x:c>
      <x:c r="F2711" s="40" t="n">
        <x:v>14.949638366699219</x:v>
      </x:c>
      <x:c r="G2711" s="40" t="n">
        <x:v>14.6</x:v>
      </x:c>
      <x:c r="H2711" s="40" t="n">
        <x:f>F2711-E2711</x:f>
        <x:v>0.3496383666992191</x:v>
      </x:c>
      <x:c r="I2711" s="40" t="n">
        <x:f>ABS(H2711)</x:f>
        <x:v>0.3496383666992191</x:v>
      </x:c>
      <x:c r="J2711" s="40" t="n">
        <x:f>H2711^2</x:f>
        <x:v>0.1222469874680976</x:v>
      </x:c>
      <x:c r="K2711" s="40" t="n">
        <x:f>G2711-E2711</x:f>
        <x:v>0</x:v>
      </x:c>
      <x:c r="L2711" s="40" t="n">
        <x:f>ABS(K2711)</x:f>
        <x:v>0</x:v>
      </x:c>
      <x:c r="M2711" s="41" t="str">
        <x:v>lstm-soil-v1</x:v>
      </x:c>
    </x:row>
    <x:row r="2712">
      <x:c r="A2712" s="38" t="str">
        <x:v>7月30日现场数据</x:v>
      </x:c>
      <x:c r="B2712" s="39" t="str">
        <x:v>2026-08-02T22:00:00</x:v>
      </x:c>
      <x:c r="C2712" s="39" t="str">
        <x:v>2026-08-02T22:05:00</x:v>
      </x:c>
      <x:c r="D2712" s="47" t="n">
        <x:v>5</x:v>
      </x:c>
      <x:c r="E2712" s="40" t="n">
        <x:v>14.6</x:v>
      </x:c>
      <x:c r="F2712" s="40" t="n">
        <x:v>12.804588317871094</x:v>
      </x:c>
      <x:c r="G2712" s="40" t="n">
        <x:v>14.6</x:v>
      </x:c>
      <x:c r="H2712" s="40" t="n">
        <x:f>F2712-E2712</x:f>
        <x:v>-1.795411682128906</x:v>
      </x:c>
      <x:c r="I2712" s="40" t="n">
        <x:f>ABS(H2712)</x:f>
        <x:v>1.795411682128906</x:v>
      </x:c>
      <x:c r="J2712" s="40" t="n">
        <x:f>H2712^2</x:f>
        <x:v>3.2235031083249472</x:v>
      </x:c>
      <x:c r="K2712" s="40" t="n">
        <x:f>G2712-E2712</x:f>
        <x:v>0</x:v>
      </x:c>
      <x:c r="L2712" s="40" t="n">
        <x:f>ABS(K2712)</x:f>
        <x:v>0</x:v>
      </x:c>
      <x:c r="M2712" s="41" t="str">
        <x:v>lstm-soil-v1</x:v>
      </x:c>
    </x:row>
    <x:row r="2713">
      <x:c r="A2713" s="38" t="str">
        <x:v>7月30日现场数据</x:v>
      </x:c>
      <x:c r="B2713" s="39" t="str">
        <x:v>2026-08-02T22:00:00</x:v>
      </x:c>
      <x:c r="C2713" s="39" t="str">
        <x:v>2026-08-02T22:15:00</x:v>
      </x:c>
      <x:c r="D2713" s="47" t="n">
        <x:v>15</x:v>
      </x:c>
      <x:c r="E2713" s="40" t="n">
        <x:v>14.6</x:v>
      </x:c>
      <x:c r="F2713" s="40" t="n">
        <x:v>12.875926971435547</x:v>
      </x:c>
      <x:c r="G2713" s="40" t="n">
        <x:v>14.6</x:v>
      </x:c>
      <x:c r="H2713" s="40" t="n">
        <x:f>F2713-E2713</x:f>
        <x:v>-1.7240730285644528</x:v>
      </x:c>
      <x:c r="I2713" s="40" t="n">
        <x:f>ABS(H2713)</x:f>
        <x:v>1.7240730285644528</x:v>
      </x:c>
      <x:c r="J2713" s="40" t="n">
        <x:f>H2713^2</x:f>
        <x:v>2.9724278078234043</x:v>
      </x:c>
      <x:c r="K2713" s="40" t="n">
        <x:f>G2713-E2713</x:f>
        <x:v>0</x:v>
      </x:c>
      <x:c r="L2713" s="40" t="n">
        <x:f>ABS(K2713)</x:f>
        <x:v>0</x:v>
      </x:c>
      <x:c r="M2713" s="41" t="str">
        <x:v>lstm-soil-v1</x:v>
      </x:c>
    </x:row>
    <x:row r="2714">
      <x:c r="A2714" s="38" t="str">
        <x:v>7月30日现场数据</x:v>
      </x:c>
      <x:c r="B2714" s="39" t="str">
        <x:v>2026-08-02T22:00:00</x:v>
      </x:c>
      <x:c r="C2714" s="39" t="str">
        <x:v>2026-08-02T22:30:00</x:v>
      </x:c>
      <x:c r="D2714" s="47" t="n">
        <x:v>30</x:v>
      </x:c>
      <x:c r="E2714" s="40" t="n">
        <x:v>14.6</x:v>
      </x:c>
      <x:c r="F2714" s="40" t="n">
        <x:v>13.284355163574219</x:v>
      </x:c>
      <x:c r="G2714" s="40" t="n">
        <x:v>14.6</x:v>
      </x:c>
      <x:c r="H2714" s="40" t="n">
        <x:f>F2714-E2714</x:f>
        <x:v>-1.315644836425781</x:v>
      </x:c>
      <x:c r="I2714" s="40" t="n">
        <x:f>ABS(H2714)</x:f>
        <x:v>1.315644836425781</x:v>
      </x:c>
      <x:c r="J2714" s="40" t="n">
        <x:f>H2714^2</x:f>
        <x:v>1.7309213356138198</x:v>
      </x:c>
      <x:c r="K2714" s="40" t="n">
        <x:f>G2714-E2714</x:f>
        <x:v>0</x:v>
      </x:c>
      <x:c r="L2714" s="40" t="n">
        <x:f>ABS(K2714)</x:f>
        <x:v>0</x:v>
      </x:c>
      <x:c r="M2714" s="41" t="str">
        <x:v>lstm-soil-v1</x:v>
      </x:c>
    </x:row>
    <x:row r="2715">
      <x:c r="A2715" s="38" t="str">
        <x:v>7月30日现场数据</x:v>
      </x:c>
      <x:c r="B2715" s="39" t="str">
        <x:v>2026-08-02T22:00:00</x:v>
      </x:c>
      <x:c r="C2715" s="39" t="str">
        <x:v>2026-08-02T23:00:00</x:v>
      </x:c>
      <x:c r="D2715" s="47" t="n">
        <x:v>60</x:v>
      </x:c>
      <x:c r="E2715" s="40" t="n">
        <x:v>14.5</x:v>
      </x:c>
      <x:c r="F2715" s="40" t="n">
        <x:v>14.941883087158203</x:v>
      </x:c>
      <x:c r="G2715" s="40" t="n">
        <x:v>14.6</x:v>
      </x:c>
      <x:c r="H2715" s="40" t="n">
        <x:f>F2715-E2715</x:f>
        <x:v>0.4418830871582031</x:v>
      </x:c>
      <x:c r="I2715" s="40" t="n">
        <x:f>ABS(H2715)</x:f>
        <x:v>0.4418830871582031</x:v>
      </x:c>
      <x:c r="J2715" s="40" t="n">
        <x:f>H2715^2</x:f>
        <x:v>0.19526066271646414</x:v>
      </x:c>
      <x:c r="K2715" s="40" t="n">
        <x:f>G2715-E2715</x:f>
        <x:v>0.09999999999999964</x:v>
      </x:c>
      <x:c r="L2715" s="40" t="n">
        <x:f>ABS(K2715)</x:f>
        <x:v>0.09999999999999964</x:v>
      </x:c>
      <x:c r="M2715" s="41" t="str">
        <x:v>lstm-soil-v1</x:v>
      </x:c>
    </x:row>
    <x:row r="2716">
      <x:c r="A2716" s="38" t="str">
        <x:v>7月30日现场数据</x:v>
      </x:c>
      <x:c r="B2716" s="39" t="str">
        <x:v>2026-08-02T22:05:00</x:v>
      </x:c>
      <x:c r="C2716" s="39" t="str">
        <x:v>2026-08-02T22:10:00</x:v>
      </x:c>
      <x:c r="D2716" s="47" t="n">
        <x:v>5</x:v>
      </x:c>
      <x:c r="E2716" s="40" t="n">
        <x:v>14.6</x:v>
      </x:c>
      <x:c r="F2716" s="40" t="n">
        <x:v>12.802970886230469</x:v>
      </x:c>
      <x:c r="G2716" s="40" t="n">
        <x:v>14.6</x:v>
      </x:c>
      <x:c r="H2716" s="40" t="n">
        <x:f>F2716-E2716</x:f>
        <x:v>-1.797029113769531</x:v>
      </x:c>
      <x:c r="I2716" s="40" t="n">
        <x:f>ABS(H2716)</x:f>
        <x:v>1.797029113769531</x:v>
      </x:c>
      <x:c r="J2716" s="40" t="n">
        <x:f>H2716^2</x:f>
        <x:v>3.2293136357353056</x:v>
      </x:c>
      <x:c r="K2716" s="40" t="n">
        <x:f>G2716-E2716</x:f>
        <x:v>0</x:v>
      </x:c>
      <x:c r="L2716" s="40" t="n">
        <x:f>ABS(K2716)</x:f>
        <x:v>0</x:v>
      </x:c>
      <x:c r="M2716" s="41" t="str">
        <x:v>lstm-soil-v1</x:v>
      </x:c>
    </x:row>
    <x:row r="2717">
      <x:c r="A2717" s="38" t="str">
        <x:v>7月30日现场数据</x:v>
      </x:c>
      <x:c r="B2717" s="39" t="str">
        <x:v>2026-08-02T22:05:00</x:v>
      </x:c>
      <x:c r="C2717" s="39" t="str">
        <x:v>2026-08-02T22:20:00</x:v>
      </x:c>
      <x:c r="D2717" s="47" t="n">
        <x:v>15</x:v>
      </x:c>
      <x:c r="E2717" s="40" t="n">
        <x:v>14.6</x:v>
      </x:c>
      <x:c r="F2717" s="40" t="n">
        <x:v>12.874385833740234</x:v>
      </x:c>
      <x:c r="G2717" s="40" t="n">
        <x:v>14.6</x:v>
      </x:c>
      <x:c r="H2717" s="40" t="n">
        <x:f>F2717-E2717</x:f>
        <x:v>-1.7256141662597653</x:v>
      </x:c>
      <x:c r="I2717" s="40" t="n">
        <x:f>ABS(H2717)</x:f>
        <x:v>1.7256141662597653</x:v>
      </x:c>
      <x:c r="J2717" s="40" t="n">
        <x:f>H2717^2</x:f>
        <x:v>2.977744250796385</x:v>
      </x:c>
      <x:c r="K2717" s="40" t="n">
        <x:f>G2717-E2717</x:f>
        <x:v>0</x:v>
      </x:c>
      <x:c r="L2717" s="40" t="n">
        <x:f>ABS(K2717)</x:f>
        <x:v>0</x:v>
      </x:c>
      <x:c r="M2717" s="41" t="str">
        <x:v>lstm-soil-v1</x:v>
      </x:c>
    </x:row>
    <x:row r="2718">
      <x:c r="A2718" s="38" t="str">
        <x:v>7月30日现场数据</x:v>
      </x:c>
      <x:c r="B2718" s="39" t="str">
        <x:v>2026-08-02T22:05:00</x:v>
      </x:c>
      <x:c r="C2718" s="39" t="str">
        <x:v>2026-08-02T22:35:00</x:v>
      </x:c>
      <x:c r="D2718" s="47" t="n">
        <x:v>30</x:v>
      </x:c>
      <x:c r="E2718" s="40" t="n">
        <x:v>14.6</x:v>
      </x:c>
      <x:c r="F2718" s="40" t="n">
        <x:v>13.284515380859375</x:v>
      </x:c>
      <x:c r="G2718" s="40" t="n">
        <x:v>14.6</x:v>
      </x:c>
      <x:c r="H2718" s="40" t="n">
        <x:f>F2718-E2718</x:f>
        <x:v>-1.3154846191406246</x:v>
      </x:c>
      <x:c r="I2718" s="40" t="n">
        <x:f>ABS(H2718)</x:f>
        <x:v>1.3154846191406246</x:v>
      </x:c>
      <x:c r="J2718" s="40" t="n">
        <x:f>H2718^2</x:f>
        <x:v>1.7304997831955542</x:v>
      </x:c>
      <x:c r="K2718" s="40" t="n">
        <x:f>G2718-E2718</x:f>
        <x:v>0</x:v>
      </x:c>
      <x:c r="L2718" s="40" t="n">
        <x:f>ABS(K2718)</x:f>
        <x:v>0</x:v>
      </x:c>
      <x:c r="M2718" s="41" t="str">
        <x:v>lstm-soil-v1</x:v>
      </x:c>
    </x:row>
    <x:row r="2719">
      <x:c r="A2719" s="38" t="str">
        <x:v>7月30日现场数据</x:v>
      </x:c>
      <x:c r="B2719" s="39" t="str">
        <x:v>2026-08-02T22:05:00</x:v>
      </x:c>
      <x:c r="C2719" s="39" t="str">
        <x:v>2026-08-02T23:05:00</x:v>
      </x:c>
      <x:c r="D2719" s="47" t="n">
        <x:v>60</x:v>
      </x:c>
      <x:c r="E2719" s="40" t="n">
        <x:v>14.6</x:v>
      </x:c>
      <x:c r="F2719" s="40" t="n">
        <x:v>14.936847686767578</x:v>
      </x:c>
      <x:c r="G2719" s="40" t="n">
        <x:v>14.6</x:v>
      </x:c>
      <x:c r="H2719" s="40" t="n">
        <x:f>F2719-E2719</x:f>
        <x:v>0.3368476867675785</x:v>
      </x:c>
      <x:c r="I2719" s="40" t="n">
        <x:f>ABS(H2719)</x:f>
        <x:v>0.3368476867675785</x:v>
      </x:c>
      <x:c r="J2719" s="40" t="n">
        <x:f>H2719^2</x:f>
        <x:v>0.11346636408066867</x:v>
      </x:c>
      <x:c r="K2719" s="40" t="n">
        <x:f>G2719-E2719</x:f>
        <x:v>0</x:v>
      </x:c>
      <x:c r="L2719" s="40" t="n">
        <x:f>ABS(K2719)</x:f>
        <x:v>0</x:v>
      </x:c>
      <x:c r="M2719" s="41" t="str">
        <x:v>lstm-soil-v1</x:v>
      </x:c>
    </x:row>
    <x:row r="2720">
      <x:c r="A2720" s="38" t="str">
        <x:v>7月30日现场数据</x:v>
      </x:c>
      <x:c r="B2720" s="39" t="str">
        <x:v>2026-08-02T22:10:00</x:v>
      </x:c>
      <x:c r="C2720" s="39" t="str">
        <x:v>2026-08-02T22:15:00</x:v>
      </x:c>
      <x:c r="D2720" s="47" t="n">
        <x:v>5</x:v>
      </x:c>
      <x:c r="E2720" s="40" t="n">
        <x:v>14.6</x:v>
      </x:c>
      <x:c r="F2720" s="40" t="n">
        <x:v>12.802253723144531</x:v>
      </x:c>
      <x:c r="G2720" s="40" t="n">
        <x:v>14.6</x:v>
      </x:c>
      <x:c r="H2720" s="40" t="n">
        <x:f>F2720-E2720</x:f>
        <x:v>-1.7977462768554684</x:v>
      </x:c>
      <x:c r="I2720" s="40" t="n">
        <x:f>ABS(H2720)</x:f>
        <x:v>1.7977462768554684</x:v>
      </x:c>
      <x:c r="J2720" s="40" t="n">
        <x:f>H2720^2</x:f>
        <x:v>3.2318916759476983</x:v>
      </x:c>
      <x:c r="K2720" s="40" t="n">
        <x:f>G2720-E2720</x:f>
        <x:v>0</x:v>
      </x:c>
      <x:c r="L2720" s="40" t="n">
        <x:f>ABS(K2720)</x:f>
        <x:v>0</x:v>
      </x:c>
      <x:c r="M2720" s="41" t="str">
        <x:v>lstm-soil-v1</x:v>
      </x:c>
    </x:row>
    <x:row r="2721">
      <x:c r="A2721" s="38" t="str">
        <x:v>7月30日现场数据</x:v>
      </x:c>
      <x:c r="B2721" s="39" t="str">
        <x:v>2026-08-02T22:10:00</x:v>
      </x:c>
      <x:c r="C2721" s="39" t="str">
        <x:v>2026-08-02T22:25:00</x:v>
      </x:c>
      <x:c r="D2721" s="47" t="n">
        <x:v>15</x:v>
      </x:c>
      <x:c r="E2721" s="40" t="n">
        <x:v>14.6</x:v>
      </x:c>
      <x:c r="F2721" s="40" t="n">
        <x:v>12.87343978881836</x:v>
      </x:c>
      <x:c r="G2721" s="40" t="n">
        <x:v>14.6</x:v>
      </x:c>
      <x:c r="H2721" s="40" t="n">
        <x:f>F2721-E2721</x:f>
        <x:v>-1.7265602111816403</x:v>
      </x:c>
      <x:c r="I2721" s="40" t="n">
        <x:f>ABS(H2721)</x:f>
        <x:v>1.7265602111816403</x:v>
      </x:c>
      <x:c r="J2721" s="40" t="n">
        <x:f>H2721^2</x:f>
        <x:v>2.9810101628355903</x:v>
      </x:c>
      <x:c r="K2721" s="40" t="n">
        <x:f>G2721-E2721</x:f>
        <x:v>0</x:v>
      </x:c>
      <x:c r="L2721" s="40" t="n">
        <x:f>ABS(K2721)</x:f>
        <x:v>0</x:v>
      </x:c>
      <x:c r="M2721" s="41" t="str">
        <x:v>lstm-soil-v1</x:v>
      </x:c>
    </x:row>
    <x:row r="2722">
      <x:c r="A2722" s="38" t="str">
        <x:v>7月30日现场数据</x:v>
      </x:c>
      <x:c r="B2722" s="39" t="str">
        <x:v>2026-08-02T22:10:00</x:v>
      </x:c>
      <x:c r="C2722" s="39" t="str">
        <x:v>2026-08-02T22:40:00</x:v>
      </x:c>
      <x:c r="D2722" s="47" t="n">
        <x:v>30</x:v>
      </x:c>
      <x:c r="E2722" s="40" t="n">
        <x:v>14.6</x:v>
      </x:c>
      <x:c r="F2722" s="40" t="n">
        <x:v>13.285911560058594</x:v>
      </x:c>
      <x:c r="G2722" s="40" t="n">
        <x:v>14.6</x:v>
      </x:c>
      <x:c r="H2722" s="40" t="n">
        <x:f>F2722-E2722</x:f>
        <x:v>-1.314088439941406</x:v>
      </x:c>
      <x:c r="I2722" s="40" t="n">
        <x:f>ABS(H2722)</x:f>
        <x:v>1.314088439941406</x:v>
      </x:c>
      <x:c r="J2722" s="40" t="n">
        <x:f>H2722^2</x:f>
        <x:v>1.726828427987638</x:v>
      </x:c>
      <x:c r="K2722" s="40" t="n">
        <x:f>G2722-E2722</x:f>
        <x:v>0</x:v>
      </x:c>
      <x:c r="L2722" s="40" t="n">
        <x:f>ABS(K2722)</x:f>
        <x:v>0</x:v>
      </x:c>
      <x:c r="M2722" s="41" t="str">
        <x:v>lstm-soil-v1</x:v>
      </x:c>
    </x:row>
    <x:row r="2723">
      <x:c r="A2723" s="38" t="str">
        <x:v>7月30日现场数据</x:v>
      </x:c>
      <x:c r="B2723" s="39" t="str">
        <x:v>2026-08-02T22:10:00</x:v>
      </x:c>
      <x:c r="C2723" s="39" t="str">
        <x:v>2026-08-02T23:10:00</x:v>
      </x:c>
      <x:c r="D2723" s="47" t="n">
        <x:v>60</x:v>
      </x:c>
      <x:c r="E2723" s="40" t="n">
        <x:v>14.6</x:v>
      </x:c>
      <x:c r="F2723" s="40" t="n">
        <x:v>14.933753967285156</x:v>
      </x:c>
      <x:c r="G2723" s="40" t="n">
        <x:v>14.6</x:v>
      </x:c>
      <x:c r="H2723" s="40" t="n">
        <x:f>F2723-E2723</x:f>
        <x:v>0.3337539672851566</x:v>
      </x:c>
      <x:c r="I2723" s="40" t="n">
        <x:f>ABS(H2723)</x:f>
        <x:v>0.3337539672851566</x:v>
      </x:c>
      <x:c r="J2723" s="40" t="n">
        <x:f>H2723^2</x:f>
        <x:v>0.11139171067858139</x:v>
      </x:c>
      <x:c r="K2723" s="40" t="n">
        <x:f>G2723-E2723</x:f>
        <x:v>0</x:v>
      </x:c>
      <x:c r="L2723" s="40" t="n">
        <x:f>ABS(K2723)</x:f>
        <x:v>0</x:v>
      </x:c>
      <x:c r="M2723" s="41" t="str">
        <x:v>lstm-soil-v1</x:v>
      </x:c>
    </x:row>
    <x:row r="2724">
      <x:c r="A2724" s="38" t="str">
        <x:v>7月30日现场数据</x:v>
      </x:c>
      <x:c r="B2724" s="39" t="str">
        <x:v>2026-08-02T22:15:00</x:v>
      </x:c>
      <x:c r="C2724" s="39" t="str">
        <x:v>2026-08-02T22:20:00</x:v>
      </x:c>
      <x:c r="D2724" s="47" t="n">
        <x:v>5</x:v>
      </x:c>
      <x:c r="E2724" s="40" t="n">
        <x:v>14.6</x:v>
      </x:c>
      <x:c r="F2724" s="40" t="n">
        <x:v>12.802177429199219</x:v>
      </x:c>
      <x:c r="G2724" s="40" t="n">
        <x:v>14.6</x:v>
      </x:c>
      <x:c r="H2724" s="40" t="n">
        <x:f>F2724-E2724</x:f>
        <x:v>-1.797822570800781</x:v>
      </x:c>
      <x:c r="I2724" s="40" t="n">
        <x:f>ABS(H2724)</x:f>
        <x:v>1.797822570800781</x:v>
      </x:c>
      <x:c r="J2724" s="40" t="n">
        <x:f>H2724^2</x:f>
        <x:v>3.2321659960807287</x:v>
      </x:c>
      <x:c r="K2724" s="40" t="n">
        <x:f>G2724-E2724</x:f>
        <x:v>0</x:v>
      </x:c>
      <x:c r="L2724" s="40" t="n">
        <x:f>ABS(K2724)</x:f>
        <x:v>0</x:v>
      </x:c>
      <x:c r="M2724" s="41" t="str">
        <x:v>lstm-soil-v1</x:v>
      </x:c>
    </x:row>
    <x:row r="2725">
      <x:c r="A2725" s="38" t="str">
        <x:v>7月30日现场数据</x:v>
      </x:c>
      <x:c r="B2725" s="39" t="str">
        <x:v>2026-08-02T22:15:00</x:v>
      </x:c>
      <x:c r="C2725" s="39" t="str">
        <x:v>2026-08-02T22:30:00</x:v>
      </x:c>
      <x:c r="D2725" s="47" t="n">
        <x:v>15</x:v>
      </x:c>
      <x:c r="E2725" s="40" t="n">
        <x:v>14.6</x:v>
      </x:c>
      <x:c r="F2725" s="40" t="n">
        <x:v>12.872852325439453</x:v>
      </x:c>
      <x:c r="G2725" s="40" t="n">
        <x:v>14.6</x:v>
      </x:c>
      <x:c r="H2725" s="40" t="n">
        <x:f>F2725-E2725</x:f>
        <x:v>-1.7271476745605465</x:v>
      </x:c>
      <x:c r="I2725" s="40" t="n">
        <x:f>ABS(H2725)</x:f>
        <x:v>1.7271476745605465</x:v>
      </x:c>
      <x:c r="J2725" s="40" t="n">
        <x:f>H2725^2</x:f>
        <x:v>2.9830390897399037</x:v>
      </x:c>
      <x:c r="K2725" s="40" t="n">
        <x:f>G2725-E2725</x:f>
        <x:v>0</x:v>
      </x:c>
      <x:c r="L2725" s="40" t="n">
        <x:f>ABS(K2725)</x:f>
        <x:v>0</x:v>
      </x:c>
      <x:c r="M2725" s="41" t="str">
        <x:v>lstm-soil-v1</x:v>
      </x:c>
    </x:row>
    <x:row r="2726">
      <x:c r="A2726" s="38" t="str">
        <x:v>7月30日现场数据</x:v>
      </x:c>
      <x:c r="B2726" s="39" t="str">
        <x:v>2026-08-02T22:15:00</x:v>
      </x:c>
      <x:c r="C2726" s="39" t="str">
        <x:v>2026-08-02T22:45:00</x:v>
      </x:c>
      <x:c r="D2726" s="47" t="n">
        <x:v>30</x:v>
      </x:c>
      <x:c r="E2726" s="40" t="n">
        <x:v>14.6</x:v>
      </x:c>
      <x:c r="F2726" s="40" t="n">
        <x:v>13.287750244140625</x:v>
      </x:c>
      <x:c r="G2726" s="40" t="n">
        <x:v>14.6</x:v>
      </x:c>
      <x:c r="H2726" s="40" t="n">
        <x:f>F2726-E2726</x:f>
        <x:v>-1.3122497558593746</x:v>
      </x:c>
      <x:c r="I2726" s="40" t="n">
        <x:f>ABS(H2726)</x:f>
        <x:v>1.3122497558593746</x:v>
      </x:c>
      <x:c r="J2726" s="40" t="n">
        <x:f>H2726^2</x:f>
        <x:v>1.7219994217529884</x:v>
      </x:c>
      <x:c r="K2726" s="40" t="n">
        <x:f>G2726-E2726</x:f>
        <x:v>0</x:v>
      </x:c>
      <x:c r="L2726" s="40" t="n">
        <x:f>ABS(K2726)</x:f>
        <x:v>0</x:v>
      </x:c>
      <x:c r="M2726" s="41" t="str">
        <x:v>lstm-soil-v1</x:v>
      </x:c>
    </x:row>
    <x:row r="2727">
      <x:c r="A2727" s="38" t="str">
        <x:v>7月30日现场数据</x:v>
      </x:c>
      <x:c r="B2727" s="39" t="str">
        <x:v>2026-08-02T22:15:00</x:v>
      </x:c>
      <x:c r="C2727" s="39" t="str">
        <x:v>2026-08-02T23:15:00</x:v>
      </x:c>
      <x:c r="D2727" s="47" t="n">
        <x:v>60</x:v>
      </x:c>
      <x:c r="E2727" s="40" t="n">
        <x:v>14.6</x:v>
      </x:c>
      <x:c r="F2727" s="40" t="n">
        <x:v>14.93233871459961</x:v>
      </x:c>
      <x:c r="G2727" s="40" t="n">
        <x:v>14.6</x:v>
      </x:c>
      <x:c r="H2727" s="40" t="n">
        <x:f>F2727-E2727</x:f>
        <x:v>0.33233871459960973</x:v>
      </x:c>
      <x:c r="I2727" s="40" t="n">
        <x:f>ABS(H2727)</x:f>
        <x:v>0.33233871459960973</x:v>
      </x:c>
      <x:c r="J2727" s="40" t="n">
        <x:f>H2727^2</x:f>
        <x:v>0.11044902122172084</x:v>
      </x:c>
      <x:c r="K2727" s="40" t="n">
        <x:f>G2727-E2727</x:f>
        <x:v>0</x:v>
      </x:c>
      <x:c r="L2727" s="40" t="n">
        <x:f>ABS(K2727)</x:f>
        <x:v>0</x:v>
      </x:c>
      <x:c r="M2727" s="41" t="str">
        <x:v>lstm-soil-v1</x:v>
      </x:c>
    </x:row>
    <x:row r="2728">
      <x:c r="A2728" s="38" t="str">
        <x:v>7月30日现场数据</x:v>
      </x:c>
      <x:c r="B2728" s="39" t="str">
        <x:v>2026-08-02T22:20:00</x:v>
      </x:c>
      <x:c r="C2728" s="39" t="str">
        <x:v>2026-08-02T22:25:00</x:v>
      </x:c>
      <x:c r="D2728" s="47" t="n">
        <x:v>5</x:v>
      </x:c>
      <x:c r="E2728" s="40" t="n">
        <x:v>14.6</x:v>
      </x:c>
      <x:c r="F2728" s="40" t="n">
        <x:v>12.802532196044922</x:v>
      </x:c>
      <x:c r="G2728" s="40" t="n">
        <x:v>14.6</x:v>
      </x:c>
      <x:c r="H2728" s="40" t="n">
        <x:f>F2728-E2728</x:f>
        <x:v>-1.7974678039550778</x:v>
      </x:c>
      <x:c r="I2728" s="40" t="n">
        <x:f>ABS(H2728)</x:f>
        <x:v>1.7974678039550778</x:v>
      </x:c>
      <x:c r="J2728" s="40" t="n">
        <x:f>H2728^2</x:f>
        <x:v>3.23089050625509</x:v>
      </x:c>
      <x:c r="K2728" s="40" t="n">
        <x:f>G2728-E2728</x:f>
        <x:v>0</x:v>
      </x:c>
      <x:c r="L2728" s="40" t="n">
        <x:f>ABS(K2728)</x:f>
        <x:v>0</x:v>
      </x:c>
      <x:c r="M2728" s="41" t="str">
        <x:v>lstm-soil-v1</x:v>
      </x:c>
    </x:row>
    <x:row r="2729">
      <x:c r="A2729" s="38" t="str">
        <x:v>7月30日现场数据</x:v>
      </x:c>
      <x:c r="B2729" s="39" t="str">
        <x:v>2026-08-02T22:20:00</x:v>
      </x:c>
      <x:c r="C2729" s="39" t="str">
        <x:v>2026-08-02T22:35:00</x:v>
      </x:c>
      <x:c r="D2729" s="47" t="n">
        <x:v>15</x:v>
      </x:c>
      <x:c r="E2729" s="40" t="n">
        <x:v>14.6</x:v>
      </x:c>
      <x:c r="F2729" s="40" t="n">
        <x:v>12.872722625732422</x:v>
      </x:c>
      <x:c r="G2729" s="40" t="n">
        <x:v>14.6</x:v>
      </x:c>
      <x:c r="H2729" s="40" t="n">
        <x:f>F2729-E2729</x:f>
        <x:v>-1.7272773742675778</x:v>
      </x:c>
      <x:c r="I2729" s="40" t="n">
        <x:f>ABS(H2729)</x:f>
        <x:v>1.7272773742675778</x:v>
      </x:c>
      <x:c r="J2729" s="40" t="n">
        <x:f>H2729^2</x:f>
        <x:v>2.983487127656698</x:v>
      </x:c>
      <x:c r="K2729" s="40" t="n">
        <x:f>G2729-E2729</x:f>
        <x:v>0</x:v>
      </x:c>
      <x:c r="L2729" s="40" t="n">
        <x:f>ABS(K2729)</x:f>
        <x:v>0</x:v>
      </x:c>
      <x:c r="M2729" s="41" t="str">
        <x:v>lstm-soil-v1</x:v>
      </x:c>
    </x:row>
    <x:row r="2730">
      <x:c r="A2730" s="38" t="str">
        <x:v>7月30日现场数据</x:v>
      </x:c>
      <x:c r="B2730" s="39" t="str">
        <x:v>2026-08-02T22:20:00</x:v>
      </x:c>
      <x:c r="C2730" s="39" t="str">
        <x:v>2026-08-02T22:50:00</x:v>
      </x:c>
      <x:c r="D2730" s="47" t="n">
        <x:v>30</x:v>
      </x:c>
      <x:c r="E2730" s="40" t="n">
        <x:v>14.6</x:v>
      </x:c>
      <x:c r="F2730" s="40" t="n">
        <x:v>13.289886474609375</x:v>
      </x:c>
      <x:c r="G2730" s="40" t="n">
        <x:v>14.6</x:v>
      </x:c>
      <x:c r="H2730" s="40" t="n">
        <x:f>F2730-E2730</x:f>
        <x:v>-1.3101135253906246</x:v>
      </x:c>
      <x:c r="I2730" s="40" t="n">
        <x:f>ABS(H2730)</x:f>
        <x:v>1.3101135253906246</x:v>
      </x:c>
      <x:c r="J2730" s="40" t="n">
        <x:f>H2730^2</x:f>
        <x:v>1.716397449411451</x:v>
      </x:c>
      <x:c r="K2730" s="40" t="n">
        <x:f>G2730-E2730</x:f>
        <x:v>0</x:v>
      </x:c>
      <x:c r="L2730" s="40" t="n">
        <x:f>ABS(K2730)</x:f>
        <x:v>0</x:v>
      </x:c>
      <x:c r="M2730" s="41" t="str">
        <x:v>lstm-soil-v1</x:v>
      </x:c>
    </x:row>
    <x:row r="2731">
      <x:c r="A2731" s="38" t="str">
        <x:v>7月30日现场数据</x:v>
      </x:c>
      <x:c r="B2731" s="39" t="str">
        <x:v>2026-08-02T22:20:00</x:v>
      </x:c>
      <x:c r="C2731" s="39" t="str">
        <x:v>2026-08-02T23:20:00</x:v>
      </x:c>
      <x:c r="D2731" s="47" t="n">
        <x:v>60</x:v>
      </x:c>
      <x:c r="E2731" s="40" t="n">
        <x:v>14.6</x:v>
      </x:c>
      <x:c r="F2731" s="40" t="n">
        <x:v>14.932079315185547</x:v>
      </x:c>
      <x:c r="G2731" s="40" t="n">
        <x:v>14.6</x:v>
      </x:c>
      <x:c r="H2731" s="40" t="n">
        <x:f>F2731-E2731</x:f>
        <x:v>0.33207931518554723</x:v>
      </x:c>
      <x:c r="I2731" s="40" t="n">
        <x:f>ABS(H2731)</x:f>
        <x:v>0.33207931518554723</x:v>
      </x:c>
      <x:c r="J2731" s="40" t="n">
        <x:f>H2731^2</x:f>
        <x:v>0.11027667157410202</x:v>
      </x:c>
      <x:c r="K2731" s="40" t="n">
        <x:f>G2731-E2731</x:f>
        <x:v>0</x:v>
      </x:c>
      <x:c r="L2731" s="40" t="n">
        <x:f>ABS(K2731)</x:f>
        <x:v>0</x:v>
      </x:c>
      <x:c r="M2731" s="41" t="str">
        <x:v>lstm-soil-v1</x:v>
      </x:c>
    </x:row>
    <x:row r="2732">
      <x:c r="A2732" s="38" t="str">
        <x:v>7月30日现场数据</x:v>
      </x:c>
      <x:c r="B2732" s="39" t="str">
        <x:v>2026-08-02T22:25:00</x:v>
      </x:c>
      <x:c r="C2732" s="39" t="str">
        <x:v>2026-08-02T22:30:00</x:v>
      </x:c>
      <x:c r="D2732" s="47" t="n">
        <x:v>5</x:v>
      </x:c>
      <x:c r="E2732" s="40" t="n">
        <x:v>14.6</x:v>
      </x:c>
      <x:c r="F2732" s="40" t="n">
        <x:v>12.80300521850586</x:v>
      </x:c>
      <x:c r="G2732" s="40" t="n">
        <x:v>14.6</x:v>
      </x:c>
      <x:c r="H2732" s="40" t="n">
        <x:f>F2732-E2732</x:f>
        <x:v>-1.7969947814941403</x:v>
      </x:c>
      <x:c r="I2732" s="40" t="n">
        <x:f>ABS(H2732)</x:f>
        <x:v>1.7969947814941403</x:v>
      </x:c>
      <x:c r="J2732" s="40" t="n">
        <x:f>H2732^2</x:f>
        <x:v>3.2291902447171728</x:v>
      </x:c>
      <x:c r="K2732" s="40" t="n">
        <x:f>G2732-E2732</x:f>
        <x:v>0</x:v>
      </x:c>
      <x:c r="L2732" s="40" t="n">
        <x:f>ABS(K2732)</x:f>
        <x:v>0</x:v>
      </x:c>
      <x:c r="M2732" s="41" t="str">
        <x:v>lstm-soil-v1</x:v>
      </x:c>
    </x:row>
    <x:row r="2733">
      <x:c r="A2733" s="38" t="str">
        <x:v>7月30日现场数据</x:v>
      </x:c>
      <x:c r="B2733" s="39" t="str">
        <x:v>2026-08-02T22:25:00</x:v>
      </x:c>
      <x:c r="C2733" s="39" t="str">
        <x:v>2026-08-02T22:40:00</x:v>
      </x:c>
      <x:c r="D2733" s="47" t="n">
        <x:v>15</x:v>
      </x:c>
      <x:c r="E2733" s="40" t="n">
        <x:v>14.6</x:v>
      </x:c>
      <x:c r="F2733" s="40" t="n">
        <x:v>12.872814178466797</x:v>
      </x:c>
      <x:c r="G2733" s="40" t="n">
        <x:v>14.6</x:v>
      </x:c>
      <x:c r="H2733" s="40" t="n">
        <x:f>F2733-E2733</x:f>
        <x:v>-1.7271858215332028</x:v>
      </x:c>
      <x:c r="I2733" s="40" t="n">
        <x:f>ABS(H2733)</x:f>
        <x:v>1.7271858215332028</x:v>
      </x:c>
      <x:c r="J2733" s="40" t="n">
        <x:f>H2733^2</x:f>
        <x:v>2.983170862105325</x:v>
      </x:c>
      <x:c r="K2733" s="40" t="n">
        <x:f>G2733-E2733</x:f>
        <x:v>0</x:v>
      </x:c>
      <x:c r="L2733" s="40" t="n">
        <x:f>ABS(K2733)</x:f>
        <x:v>0</x:v>
      </x:c>
      <x:c r="M2733" s="41" t="str">
        <x:v>lstm-soil-v1</x:v>
      </x:c>
    </x:row>
    <x:row r="2734">
      <x:c r="A2734" s="38" t="str">
        <x:v>7月30日现场数据</x:v>
      </x:c>
      <x:c r="B2734" s="39" t="str">
        <x:v>2026-08-02T22:25:00</x:v>
      </x:c>
      <x:c r="C2734" s="39" t="str">
        <x:v>2026-08-02T22:55:00</x:v>
      </x:c>
      <x:c r="D2734" s="47" t="n">
        <x:v>30</x:v>
      </x:c>
      <x:c r="E2734" s="40" t="n">
        <x:v>14.6</x:v>
      </x:c>
      <x:c r="F2734" s="40" t="n">
        <x:v>13.291542053222656</x:v>
      </x:c>
      <x:c r="G2734" s="40" t="n">
        <x:v>14.6</x:v>
      </x:c>
      <x:c r="H2734" s="40" t="n">
        <x:f>F2734-E2734</x:f>
        <x:v>-1.3084579467773434</x:v>
      </x:c>
      <x:c r="I2734" s="40" t="n">
        <x:f>ABS(H2734)</x:f>
        <x:v>1.3084579467773434</x:v>
      </x:c>
      <x:c r="J2734" s="40" t="n">
        <x:f>H2734^2</x:f>
        <x:v>1.7120621984847813</x:v>
      </x:c>
      <x:c r="K2734" s="40" t="n">
        <x:f>G2734-E2734</x:f>
        <x:v>0</x:v>
      </x:c>
      <x:c r="L2734" s="40" t="n">
        <x:f>ABS(K2734)</x:f>
        <x:v>0</x:v>
      </x:c>
      <x:c r="M2734" s="41" t="str">
        <x:v>lstm-soil-v1</x:v>
      </x:c>
    </x:row>
    <x:row r="2735">
      <x:c r="A2735" s="38" t="str">
        <x:v>7月30日现场数据</x:v>
      </x:c>
      <x:c r="B2735" s="39" t="str">
        <x:v>2026-08-02T22:25:00</x:v>
      </x:c>
      <x:c r="C2735" s="39" t="str">
        <x:v>2026-08-02T23:25:00</x:v>
      </x:c>
      <x:c r="D2735" s="47" t="n">
        <x:v>60</x:v>
      </x:c>
      <x:c r="E2735" s="40" t="n">
        <x:v>14.6</x:v>
      </x:c>
      <x:c r="F2735" s="40" t="n">
        <x:v>14.932201385498047</x:v>
      </x:c>
      <x:c r="G2735" s="40" t="n">
        <x:v>14.6</x:v>
      </x:c>
      <x:c r="H2735" s="40" t="n">
        <x:f>F2735-E2735</x:f>
        <x:v>0.33220138549804723</x:v>
      </x:c>
      <x:c r="I2735" s="40" t="n">
        <x:f>ABS(H2735)</x:f>
        <x:v>0.33220138549804723</x:v>
      </x:c>
      <x:c r="J2735" s="40" t="n">
        <x:f>H2735^2</x:f>
        <x:v>0.11035776052682218</x:v>
      </x:c>
      <x:c r="K2735" s="40" t="n">
        <x:f>G2735-E2735</x:f>
        <x:v>0</x:v>
      </x:c>
      <x:c r="L2735" s="40" t="n">
        <x:f>ABS(K2735)</x:f>
        <x:v>0</x:v>
      </x:c>
      <x:c r="M2735" s="41" t="str">
        <x:v>lstm-soil-v1</x:v>
      </x:c>
    </x:row>
    <x:row r="2736">
      <x:c r="A2736" s="38" t="str">
        <x:v>7月30日现场数据</x:v>
      </x:c>
      <x:c r="B2736" s="39" t="str">
        <x:v>2026-08-02T22:30:00</x:v>
      </x:c>
      <x:c r="C2736" s="39" t="str">
        <x:v>2026-08-02T22:35:00</x:v>
      </x:c>
      <x:c r="D2736" s="47" t="n">
        <x:v>5</x:v>
      </x:c>
      <x:c r="E2736" s="40" t="n">
        <x:v>14.6</x:v>
      </x:c>
      <x:c r="F2736" s="40" t="n">
        <x:v>12.803417205810547</x:v>
      </x:c>
      <x:c r="G2736" s="40" t="n">
        <x:v>14.6</x:v>
      </x:c>
      <x:c r="H2736" s="40" t="n">
        <x:f>F2736-E2736</x:f>
        <x:v>-1.7965827941894528</x:v>
      </x:c>
      <x:c r="I2736" s="40" t="n">
        <x:f>ABS(H2736)</x:f>
        <x:v>1.7965827941894528</x:v>
      </x:c>
      <x:c r="J2736" s="40" t="n">
        <x:f>H2736^2</x:f>
        <x:v>3.2277097363775815</x:v>
      </x:c>
      <x:c r="K2736" s="40" t="n">
        <x:f>G2736-E2736</x:f>
        <x:v>0</x:v>
      </x:c>
      <x:c r="L2736" s="40" t="n">
        <x:f>ABS(K2736)</x:f>
        <x:v>0</x:v>
      </x:c>
      <x:c r="M2736" s="41" t="str">
        <x:v>lstm-soil-v1</x:v>
      </x:c>
    </x:row>
    <x:row r="2737">
      <x:c r="A2737" s="38" t="str">
        <x:v>7月30日现场数据</x:v>
      </x:c>
      <x:c r="B2737" s="39" t="str">
        <x:v>2026-08-02T22:30:00</x:v>
      </x:c>
      <x:c r="C2737" s="39" t="str">
        <x:v>2026-08-02T22:45:00</x:v>
      </x:c>
      <x:c r="D2737" s="47" t="n">
        <x:v>15</x:v>
      </x:c>
      <x:c r="E2737" s="40" t="n">
        <x:v>14.6</x:v>
      </x:c>
      <x:c r="F2737" s="40" t="n">
        <x:v>12.872810363769531</x:v>
      </x:c>
      <x:c r="G2737" s="40" t="n">
        <x:v>14.6</x:v>
      </x:c>
      <x:c r="H2737" s="40" t="n">
        <x:f>F2737-E2737</x:f>
        <x:v>-1.7271896362304684</x:v>
      </x:c>
      <x:c r="I2737" s="40" t="n">
        <x:f>ABS(H2737)</x:f>
        <x:v>1.7271896362304684</x:v>
      </x:c>
      <x:c r="J2737" s="40" t="n">
        <x:f>H2737^2</x:f>
        <x:v>2.983184039501938</x:v>
      </x:c>
      <x:c r="K2737" s="40" t="n">
        <x:f>G2737-E2737</x:f>
        <x:v>0</x:v>
      </x:c>
      <x:c r="L2737" s="40" t="n">
        <x:f>ABS(K2737)</x:f>
        <x:v>0</x:v>
      </x:c>
      <x:c r="M2737" s="41" t="str">
        <x:v>lstm-soil-v1</x:v>
      </x:c>
    </x:row>
    <x:row r="2738">
      <x:c r="A2738" s="38" t="str">
        <x:v>7月30日现场数据</x:v>
      </x:c>
      <x:c r="B2738" s="39" t="str">
        <x:v>2026-08-02T22:30:00</x:v>
      </x:c>
      <x:c r="C2738" s="39" t="str">
        <x:v>2026-08-02T23:00:00</x:v>
      </x:c>
      <x:c r="D2738" s="47" t="n">
        <x:v>30</x:v>
      </x:c>
      <x:c r="E2738" s="40" t="n">
        <x:v>14.5</x:v>
      </x:c>
      <x:c r="F2738" s="40" t="n">
        <x:v>13.29287338256836</x:v>
      </x:c>
      <x:c r="G2738" s="40" t="n">
        <x:v>14.6</x:v>
      </x:c>
      <x:c r="H2738" s="40" t="n">
        <x:f>F2738-E2738</x:f>
        <x:v>-1.2071266174316406</x:v>
      </x:c>
      <x:c r="I2738" s="40" t="n">
        <x:f>ABS(H2738)</x:f>
        <x:v>1.2071266174316406</x:v>
      </x:c>
      <x:c r="J2738" s="40" t="n">
        <x:f>H2738^2</x:f>
        <x:v>1.4571546705119545</x:v>
      </x:c>
      <x:c r="K2738" s="40" t="n">
        <x:f>G2738-E2738</x:f>
        <x:v>0.09999999999999964</x:v>
      </x:c>
      <x:c r="L2738" s="40" t="n">
        <x:f>ABS(K2738)</x:f>
        <x:v>0.09999999999999964</x:v>
      </x:c>
      <x:c r="M2738" s="41" t="str">
        <x:v>lstm-soil-v1</x:v>
      </x:c>
    </x:row>
    <x:row r="2739">
      <x:c r="A2739" s="38" t="str">
        <x:v>7月30日现场数据</x:v>
      </x:c>
      <x:c r="B2739" s="39" t="str">
        <x:v>2026-08-02T22:30:00</x:v>
      </x:c>
      <x:c r="C2739" s="39" t="str">
        <x:v>2026-08-02T23:30:00</x:v>
      </x:c>
      <x:c r="D2739" s="47" t="n">
        <x:v>60</x:v>
      </x:c>
      <x:c r="E2739" s="40" t="n">
        <x:v>14.6</x:v>
      </x:c>
      <x:c r="F2739" s="40" t="n">
        <x:v>14.932575225830078</x:v>
      </x:c>
      <x:c r="G2739" s="40" t="n">
        <x:v>14.6</x:v>
      </x:c>
      <x:c r="H2739" s="40" t="n">
        <x:f>F2739-E2739</x:f>
        <x:v>0.3325752258300785</x:v>
      </x:c>
      <x:c r="I2739" s="40" t="n">
        <x:f>ABS(H2739)</x:f>
        <x:v>0.3325752258300785</x:v>
      </x:c>
      <x:c r="J2739" s="40" t="n">
        <x:f>H2739^2</x:f>
        <x:v>0.1106062808359277</x:v>
      </x:c>
      <x:c r="K2739" s="40" t="n">
        <x:f>G2739-E2739</x:f>
        <x:v>0</x:v>
      </x:c>
      <x:c r="L2739" s="40" t="n">
        <x:f>ABS(K2739)</x:f>
        <x:v>0</x:v>
      </x:c>
      <x:c r="M2739" s="41" t="str">
        <x:v>lstm-soil-v1</x:v>
      </x:c>
    </x:row>
    <x:row r="2740">
      <x:c r="A2740" s="38" t="str">
        <x:v>7月30日现场数据</x:v>
      </x:c>
      <x:c r="B2740" s="39" t="str">
        <x:v>2026-08-02T22:35:00</x:v>
      </x:c>
      <x:c r="C2740" s="39" t="str">
        <x:v>2026-08-02T22:40:00</x:v>
      </x:c>
      <x:c r="D2740" s="47" t="n">
        <x:v>5</x:v>
      </x:c>
      <x:c r="E2740" s="40" t="n">
        <x:v>14.6</x:v>
      </x:c>
      <x:c r="F2740" s="40" t="n">
        <x:v>12.80377197265625</x:v>
      </x:c>
      <x:c r="G2740" s="40" t="n">
        <x:v>14.6</x:v>
      </x:c>
      <x:c r="H2740" s="40" t="n">
        <x:f>F2740-E2740</x:f>
        <x:v>-1.7962280273437496</x:v>
      </x:c>
      <x:c r="I2740" s="40" t="n">
        <x:f>ABS(H2740)</x:f>
        <x:v>1.7962280273437496</x:v>
      </x:c>
      <x:c r="J2740" s="40" t="n">
        <x:f>H2740^2</x:f>
        <x:v>3.226435126215218</x:v>
      </x:c>
      <x:c r="K2740" s="40" t="n">
        <x:f>G2740-E2740</x:f>
        <x:v>0</x:v>
      </x:c>
      <x:c r="L2740" s="40" t="n">
        <x:f>ABS(K2740)</x:f>
        <x:v>0</x:v>
      </x:c>
      <x:c r="M2740" s="41" t="str">
        <x:v>lstm-soil-v1</x:v>
      </x:c>
    </x:row>
    <x:row r="2741">
      <x:c r="A2741" s="38" t="str">
        <x:v>7月30日现场数据</x:v>
      </x:c>
      <x:c r="B2741" s="39" t="str">
        <x:v>2026-08-02T22:35:00</x:v>
      </x:c>
      <x:c r="C2741" s="39" t="str">
        <x:v>2026-08-02T22:50:00</x:v>
      </x:c>
      <x:c r="D2741" s="47" t="n">
        <x:v>15</x:v>
      </x:c>
      <x:c r="E2741" s="40" t="n">
        <x:v>14.6</x:v>
      </x:c>
      <x:c r="F2741" s="40" t="n">
        <x:v>12.872779846191406</x:v>
      </x:c>
      <x:c r="G2741" s="40" t="n">
        <x:v>14.6</x:v>
      </x:c>
      <x:c r="H2741" s="40" t="n">
        <x:f>F2741-E2741</x:f>
        <x:v>-1.7272201538085934</x:v>
      </x:c>
      <x:c r="I2741" s="40" t="n">
        <x:f>ABS(H2741)</x:f>
        <x:v>1.7272201538085934</x:v>
      </x:c>
      <x:c r="J2741" s="40" t="n">
        <x:f>H2741^2</x:f>
        <x:v>2.983289459722581</x:v>
      </x:c>
      <x:c r="K2741" s="40" t="n">
        <x:f>G2741-E2741</x:f>
        <x:v>0</x:v>
      </x:c>
      <x:c r="L2741" s="40" t="n">
        <x:f>ABS(K2741)</x:f>
        <x:v>0</x:v>
      </x:c>
      <x:c r="M2741" s="41" t="str">
        <x:v>lstm-soil-v1</x:v>
      </x:c>
    </x:row>
    <x:row r="2742">
      <x:c r="A2742" s="38" t="str">
        <x:v>7月30日现场数据</x:v>
      </x:c>
      <x:c r="B2742" s="39" t="str">
        <x:v>2026-08-02T22:35:00</x:v>
      </x:c>
      <x:c r="C2742" s="39" t="str">
        <x:v>2026-08-02T23:05:00</x:v>
      </x:c>
      <x:c r="D2742" s="47" t="n">
        <x:v>30</x:v>
      </x:c>
      <x:c r="E2742" s="40" t="n">
        <x:v>14.6</x:v>
      </x:c>
      <x:c r="F2742" s="40" t="n">
        <x:v>13.293930053710938</x:v>
      </x:c>
      <x:c r="G2742" s="40" t="n">
        <x:v>14.6</x:v>
      </x:c>
      <x:c r="H2742" s="40" t="n">
        <x:f>F2742-E2742</x:f>
        <x:v>-1.3060699462890621</x:v>
      </x:c>
      <x:c r="I2742" s="40" t="n">
        <x:f>ABS(H2742)</x:f>
        <x:v>1.3060699462890621</x:v>
      </x:c>
      <x:c r="J2742" s="40" t="n">
        <x:f>H2742^2</x:f>
        <x:v>1.7058187045995137</x:v>
      </x:c>
      <x:c r="K2742" s="40" t="n">
        <x:f>G2742-E2742</x:f>
        <x:v>0</x:v>
      </x:c>
      <x:c r="L2742" s="40" t="n">
        <x:f>ABS(K2742)</x:f>
        <x:v>0</x:v>
      </x:c>
      <x:c r="M2742" s="41" t="str">
        <x:v>lstm-soil-v1</x:v>
      </x:c>
    </x:row>
    <x:row r="2743">
      <x:c r="A2743" s="38" t="str">
        <x:v>7月30日现场数据</x:v>
      </x:c>
      <x:c r="B2743" s="39" t="str">
        <x:v>2026-08-02T22:35:00</x:v>
      </x:c>
      <x:c r="C2743" s="39" t="str">
        <x:v>2026-08-02T23:35:00</x:v>
      </x:c>
      <x:c r="D2743" s="47" t="n">
        <x:v>60</x:v>
      </x:c>
      <x:c r="E2743" s="40" t="n">
        <x:v>14.5</x:v>
      </x:c>
      <x:c r="F2743" s="40" t="n">
        <x:v>14.93304443359375</x:v>
      </x:c>
      <x:c r="G2743" s="40" t="n">
        <x:v>14.6</x:v>
      </x:c>
      <x:c r="H2743" s="40" t="n">
        <x:f>F2743-E2743</x:f>
        <x:v>0.43304443359375</x:v>
      </x:c>
      <x:c r="I2743" s="40" t="n">
        <x:f>ABS(H2743)</x:f>
        <x:v>0.43304443359375</x:v>
      </x:c>
      <x:c r="J2743" s="40" t="n">
        <x:f>H2743^2</x:f>
        <x:v>0.18752748146653175</x:v>
      </x:c>
      <x:c r="K2743" s="40" t="n">
        <x:f>G2743-E2743</x:f>
        <x:v>0.09999999999999964</x:v>
      </x:c>
      <x:c r="L2743" s="40" t="n">
        <x:f>ABS(K2743)</x:f>
        <x:v>0.09999999999999964</x:v>
      </x:c>
      <x:c r="M2743" s="41" t="str">
        <x:v>lstm-soil-v1</x:v>
      </x:c>
    </x:row>
    <x:row r="2744">
      <x:c r="A2744" s="38" t="str">
        <x:v>7月30日现场数据</x:v>
      </x:c>
      <x:c r="B2744" s="39" t="str">
        <x:v>2026-08-02T22:40:00</x:v>
      </x:c>
      <x:c r="C2744" s="39" t="str">
        <x:v>2026-08-02T22:45:00</x:v>
      </x:c>
      <x:c r="D2744" s="47" t="n">
        <x:v>5</x:v>
      </x:c>
      <x:c r="E2744" s="40" t="n">
        <x:v>14.6</x:v>
      </x:c>
      <x:c r="F2744" s="40" t="n">
        <x:v>12.804096221923828</x:v>
      </x:c>
      <x:c r="G2744" s="40" t="n">
        <x:v>14.6</x:v>
      </x:c>
      <x:c r="H2744" s="40" t="n">
        <x:f>F2744-E2744</x:f>
        <x:v>-1.7959037780761715</x:v>
      </x:c>
      <x:c r="I2744" s="40" t="n">
        <x:f>ABS(H2744)</x:f>
        <x:v>1.7959037780761715</x:v>
      </x:c>
      <x:c r="J2744" s="40" t="n">
        <x:f>H2744^2</x:f>
        <x:v>3.2252703801082667</x:v>
      </x:c>
      <x:c r="K2744" s="40" t="n">
        <x:f>G2744-E2744</x:f>
        <x:v>0</x:v>
      </x:c>
      <x:c r="L2744" s="40" t="n">
        <x:f>ABS(K2744)</x:f>
        <x:v>0</x:v>
      </x:c>
      <x:c r="M2744" s="41" t="str">
        <x:v>lstm-soil-v1</x:v>
      </x:c>
    </x:row>
    <x:row r="2745">
      <x:c r="A2745" s="38" t="str">
        <x:v>7月30日现场数据</x:v>
      </x:c>
      <x:c r="B2745" s="39" t="str">
        <x:v>2026-08-02T22:40:00</x:v>
      </x:c>
      <x:c r="C2745" s="39" t="str">
        <x:v>2026-08-02T22:55:00</x:v>
      </x:c>
      <x:c r="D2745" s="47" t="n">
        <x:v>15</x:v>
      </x:c>
      <x:c r="E2745" s="40" t="n">
        <x:v>14.6</x:v>
      </x:c>
      <x:c r="F2745" s="40" t="n">
        <x:v>12.872791290283203</x:v>
      </x:c>
      <x:c r="G2745" s="40" t="n">
        <x:v>14.6</x:v>
      </x:c>
      <x:c r="H2745" s="40" t="n">
        <x:f>F2745-E2745</x:f>
        <x:v>-1.7272087097167965</x:v>
      </x:c>
      <x:c r="I2745" s="40" t="n">
        <x:f>ABS(H2745)</x:f>
        <x:v>1.7272087097167965</x:v>
      </x:c>
      <x:c r="J2745" s="40" t="n">
        <x:f>H2745^2</x:f>
        <x:v>2.983249926921561</x:v>
      </x:c>
      <x:c r="K2745" s="40" t="n">
        <x:f>G2745-E2745</x:f>
        <x:v>0</x:v>
      </x:c>
      <x:c r="L2745" s="40" t="n">
        <x:f>ABS(K2745)</x:f>
        <x:v>0</x:v>
      </x:c>
      <x:c r="M2745" s="41" t="str">
        <x:v>lstm-soil-v1</x:v>
      </x:c>
    </x:row>
    <x:row r="2746">
      <x:c r="A2746" s="38" t="str">
        <x:v>7月30日现场数据</x:v>
      </x:c>
      <x:c r="B2746" s="39" t="str">
        <x:v>2026-08-02T22:40:00</x:v>
      </x:c>
      <x:c r="C2746" s="39" t="str">
        <x:v>2026-08-02T23:10:00</x:v>
      </x:c>
      <x:c r="D2746" s="47" t="n">
        <x:v>30</x:v>
      </x:c>
      <x:c r="E2746" s="40" t="n">
        <x:v>14.6</x:v>
      </x:c>
      <x:c r="F2746" s="40" t="n">
        <x:v>13.294841766357422</x:v>
      </x:c>
      <x:c r="G2746" s="40" t="n">
        <x:v>14.6</x:v>
      </x:c>
      <x:c r="H2746" s="40" t="n">
        <x:f>F2746-E2746</x:f>
        <x:v>-1.3051582336425778</x:v>
      </x:c>
      <x:c r="I2746" s="40" t="n">
        <x:f>ABS(H2746)</x:f>
        <x:v>1.3051582336425778</x:v>
      </x:c>
      <x:c r="J2746" s="40" t="n">
        <x:f>H2746^2</x:f>
        <x:v>1.7034380148450137</x:v>
      </x:c>
      <x:c r="K2746" s="40" t="n">
        <x:f>G2746-E2746</x:f>
        <x:v>0</x:v>
      </x:c>
      <x:c r="L2746" s="40" t="n">
        <x:f>ABS(K2746)</x:f>
        <x:v>0</x:v>
      </x:c>
      <x:c r="M2746" s="41" t="str">
        <x:v>lstm-soil-v1</x:v>
      </x:c>
    </x:row>
    <x:row r="2747">
      <x:c r="A2747" s="38" t="str">
        <x:v>7月30日现场数据</x:v>
      </x:c>
      <x:c r="B2747" s="39" t="str">
        <x:v>2026-08-02T22:40:00</x:v>
      </x:c>
      <x:c r="C2747" s="39" t="str">
        <x:v>2026-08-02T23:40:00</x:v>
      </x:c>
      <x:c r="D2747" s="47" t="n">
        <x:v>60</x:v>
      </x:c>
      <x:c r="E2747" s="40" t="n">
        <x:v>14.6</x:v>
      </x:c>
      <x:c r="F2747" s="40" t="n">
        <x:v>14.933547973632812</x:v>
      </x:c>
      <x:c r="G2747" s="40" t="n">
        <x:v>14.6</x:v>
      </x:c>
      <x:c r="H2747" s="40" t="n">
        <x:f>F2747-E2747</x:f>
        <x:v>0.33354797363281286</x:v>
      </x:c>
      <x:c r="I2747" s="40" t="n">
        <x:f>ABS(H2747)</x:f>
        <x:v>0.33354797363281286</x:v>
      </x:c>
      <x:c r="J2747" s="40" t="n">
        <x:f>H2747^2</x:f>
        <x:v>0.11125425071455562</x:v>
      </x:c>
      <x:c r="K2747" s="40" t="n">
        <x:f>G2747-E2747</x:f>
        <x:v>0</x:v>
      </x:c>
      <x:c r="L2747" s="40" t="n">
        <x:f>ABS(K2747)</x:f>
        <x:v>0</x:v>
      </x:c>
      <x:c r="M2747" s="41" t="str">
        <x:v>lstm-soil-v1</x:v>
      </x:c>
    </x:row>
    <x:row r="2748">
      <x:c r="A2748" s="38" t="str">
        <x:v>7月30日现场数据</x:v>
      </x:c>
      <x:c r="B2748" s="39" t="str">
        <x:v>2026-08-02T22:45:00</x:v>
      </x:c>
      <x:c r="C2748" s="39" t="str">
        <x:v>2026-08-02T22:50:00</x:v>
      </x:c>
      <x:c r="D2748" s="47" t="n">
        <x:v>5</x:v>
      </x:c>
      <x:c r="E2748" s="40" t="n">
        <x:v>14.6</x:v>
      </x:c>
      <x:c r="F2748" s="40" t="n">
        <x:v>12.804363250732422</x:v>
      </x:c>
      <x:c r="G2748" s="40" t="n">
        <x:v>14.6</x:v>
      </x:c>
      <x:c r="H2748" s="40" t="n">
        <x:f>F2748-E2748</x:f>
        <x:v>-1.7956367492675778</x:v>
      </x:c>
      <x:c r="I2748" s="40" t="n">
        <x:f>ABS(H2748)</x:f>
        <x:v>1.7956367492675778</x:v>
      </x:c>
      <x:c r="J2748" s="40" t="n">
        <x:f>H2748^2</x:f>
        <x:v>3.224311335320234</x:v>
      </x:c>
      <x:c r="K2748" s="40" t="n">
        <x:f>G2748-E2748</x:f>
        <x:v>0</x:v>
      </x:c>
      <x:c r="L2748" s="40" t="n">
        <x:f>ABS(K2748)</x:f>
        <x:v>0</x:v>
      </x:c>
      <x:c r="M2748" s="41" t="str">
        <x:v>lstm-soil-v1</x:v>
      </x:c>
    </x:row>
    <x:row r="2749">
      <x:c r="A2749" s="38" t="str">
        <x:v>7月30日现场数据</x:v>
      </x:c>
      <x:c r="B2749" s="39" t="str">
        <x:v>2026-08-02T22:45:00</x:v>
      </x:c>
      <x:c r="C2749" s="39" t="str">
        <x:v>2026-08-02T23:00:00</x:v>
      </x:c>
      <x:c r="D2749" s="47" t="n">
        <x:v>15</x:v>
      </x:c>
      <x:c r="E2749" s="40" t="n">
        <x:v>14.5</x:v>
      </x:c>
      <x:c r="F2749" s="40" t="n">
        <x:v>12.872798919677734</x:v>
      </x:c>
      <x:c r="G2749" s="40" t="n">
        <x:v>14.6</x:v>
      </x:c>
      <x:c r="H2749" s="40" t="n">
        <x:f>F2749-E2749</x:f>
        <x:v>-1.6272010803222656</x:v>
      </x:c>
      <x:c r="I2749" s="40" t="n">
        <x:f>ABS(H2749)</x:f>
        <x:v>1.6272010803222656</x:v>
      </x:c>
      <x:c r="J2749" s="40" t="n">
        <x:f>H2749^2</x:f>
        <x:v>2.6477833558019483</x:v>
      </x:c>
      <x:c r="K2749" s="40" t="n">
        <x:f>G2749-E2749</x:f>
        <x:v>0.09999999999999964</x:v>
      </x:c>
      <x:c r="L2749" s="40" t="n">
        <x:f>ABS(K2749)</x:f>
        <x:v>0.09999999999999964</x:v>
      </x:c>
      <x:c r="M2749" s="41" t="str">
        <x:v>lstm-soil-v1</x:v>
      </x:c>
    </x:row>
    <x:row r="2750">
      <x:c r="A2750" s="38" t="str">
        <x:v>7月30日现场数据</x:v>
      </x:c>
      <x:c r="B2750" s="39" t="str">
        <x:v>2026-08-02T22:45:00</x:v>
      </x:c>
      <x:c r="C2750" s="39" t="str">
        <x:v>2026-08-02T23:15:00</x:v>
      </x:c>
      <x:c r="D2750" s="47" t="n">
        <x:v>30</x:v>
      </x:c>
      <x:c r="E2750" s="40" t="n">
        <x:v>14.6</x:v>
      </x:c>
      <x:c r="F2750" s="40" t="n">
        <x:v>13.29556655883789</x:v>
      </x:c>
      <x:c r="G2750" s="40" t="n">
        <x:v>14.6</x:v>
      </x:c>
      <x:c r="H2750" s="40" t="n">
        <x:f>F2750-E2750</x:f>
        <x:v>-1.304433441162109</x:v>
      </x:c>
      <x:c r="I2750" s="40" t="n">
        <x:f>ABS(H2750)</x:f>
        <x:v>1.304433441162109</x:v>
      </x:c>
      <x:c r="J2750" s="40" t="n">
        <x:f>H2750^2</x:f>
        <x:v>1.7015466024220214</x:v>
      </x:c>
      <x:c r="K2750" s="40" t="n">
        <x:f>G2750-E2750</x:f>
        <x:v>0</x:v>
      </x:c>
      <x:c r="L2750" s="40" t="n">
        <x:f>ABS(K2750)</x:f>
        <x:v>0</x:v>
      </x:c>
      <x:c r="M2750" s="41" t="str">
        <x:v>lstm-soil-v1</x:v>
      </x:c>
    </x:row>
    <x:row r="2751">
      <x:c r="A2751" s="38" t="str">
        <x:v>7月30日现场数据</x:v>
      </x:c>
      <x:c r="B2751" s="39" t="str">
        <x:v>2026-08-02T22:45:00</x:v>
      </x:c>
      <x:c r="C2751" s="39" t="str">
        <x:v>2026-08-02T23:45:00</x:v>
      </x:c>
      <x:c r="D2751" s="47" t="n">
        <x:v>60</x:v>
      </x:c>
      <x:c r="E2751" s="40" t="n">
        <x:v>14.5</x:v>
      </x:c>
      <x:c r="F2751" s="40" t="n">
        <x:v>14.934013366699219</x:v>
      </x:c>
      <x:c r="G2751" s="40" t="n">
        <x:v>14.6</x:v>
      </x:c>
      <x:c r="H2751" s="40" t="n">
        <x:f>F2751-E2751</x:f>
        <x:v>0.43401336669921875</x:v>
      </x:c>
      <x:c r="I2751" s="40" t="n">
        <x:f>ABS(H2751)</x:f>
        <x:v>0.43401336669921875</x:v>
      </x:c>
      <x:c r="J2751" s="40" t="n">
        <x:f>H2751^2</x:f>
        <x:v>0.18836760247359052</x:v>
      </x:c>
      <x:c r="K2751" s="40" t="n">
        <x:f>G2751-E2751</x:f>
        <x:v>0.09999999999999964</x:v>
      </x:c>
      <x:c r="L2751" s="40" t="n">
        <x:f>ABS(K2751)</x:f>
        <x:v>0.09999999999999964</x:v>
      </x:c>
      <x:c r="M2751" s="41" t="str">
        <x:v>lstm-soil-v1</x:v>
      </x:c>
    </x:row>
    <x:row r="2752">
      <x:c r="A2752" s="38" t="str">
        <x:v>7月30日现场数据</x:v>
      </x:c>
      <x:c r="B2752" s="39" t="str">
        <x:v>2026-08-02T22:50:00</x:v>
      </x:c>
      <x:c r="C2752" s="39" t="str">
        <x:v>2026-08-02T22:55:00</x:v>
      </x:c>
      <x:c r="D2752" s="47" t="n">
        <x:v>5</x:v>
      </x:c>
      <x:c r="E2752" s="40" t="n">
        <x:v>14.6</x:v>
      </x:c>
      <x:c r="F2752" s="40" t="n">
        <x:v>12.804557800292969</x:v>
      </x:c>
      <x:c r="G2752" s="40" t="n">
        <x:v>14.6</x:v>
      </x:c>
      <x:c r="H2752" s="40" t="n">
        <x:f>F2752-E2752</x:f>
        <x:v>-1.795442199707031</x:v>
      </x:c>
      <x:c r="I2752" s="40" t="n">
        <x:f>ABS(H2752)</x:f>
        <x:v>1.795442199707031</x:v>
      </x:c>
      <x:c r="J2752" s="40" t="n">
        <x:f>H2752^2</x:f>
        <x:v>3.223612692488822</x:v>
      </x:c>
      <x:c r="K2752" s="40" t="n">
        <x:f>G2752-E2752</x:f>
        <x:v>0</x:v>
      </x:c>
      <x:c r="L2752" s="40" t="n">
        <x:f>ABS(K2752)</x:f>
        <x:v>0</x:v>
      </x:c>
      <x:c r="M2752" s="41" t="str">
        <x:v>lstm-soil-v1</x:v>
      </x:c>
    </x:row>
    <x:row r="2753">
      <x:c r="A2753" s="38" t="str">
        <x:v>7月30日现场数据</x:v>
      </x:c>
      <x:c r="B2753" s="39" t="str">
        <x:v>2026-08-02T22:50:00</x:v>
      </x:c>
      <x:c r="C2753" s="39" t="str">
        <x:v>2026-08-02T23:05:00</x:v>
      </x:c>
      <x:c r="D2753" s="47" t="n">
        <x:v>15</x:v>
      </x:c>
      <x:c r="E2753" s="40" t="n">
        <x:v>14.6</x:v>
      </x:c>
      <x:c r="F2753" s="40" t="n">
        <x:v>12.872787475585938</x:v>
      </x:c>
      <x:c r="G2753" s="40" t="n">
        <x:v>14.6</x:v>
      </x:c>
      <x:c r="H2753" s="40" t="n">
        <x:f>F2753-E2753</x:f>
        <x:v>-1.7272125244140621</x:v>
      </x:c>
      <x:c r="I2753" s="40" t="n">
        <x:f>ABS(H2753)</x:f>
        <x:v>1.7272125244140621</x:v>
      </x:c>
      <x:c r="J2753" s="40" t="n">
        <x:f>H2753^2</x:f>
        <x:v>2.983263104492797</x:v>
      </x:c>
      <x:c r="K2753" s="40" t="n">
        <x:f>G2753-E2753</x:f>
        <x:v>0</x:v>
      </x:c>
      <x:c r="L2753" s="40" t="n">
        <x:f>ABS(K2753)</x:f>
        <x:v>0</x:v>
      </x:c>
      <x:c r="M2753" s="41" t="str">
        <x:v>lstm-soil-v1</x:v>
      </x:c>
    </x:row>
    <x:row r="2754">
      <x:c r="A2754" s="38" t="str">
        <x:v>7月30日现场数据</x:v>
      </x:c>
      <x:c r="B2754" s="39" t="str">
        <x:v>2026-08-02T22:50:00</x:v>
      </x:c>
      <x:c r="C2754" s="39" t="str">
        <x:v>2026-08-02T23:20:00</x:v>
      </x:c>
      <x:c r="D2754" s="47" t="n">
        <x:v>30</x:v>
      </x:c>
      <x:c r="E2754" s="40" t="n">
        <x:v>14.6</x:v>
      </x:c>
      <x:c r="F2754" s="40" t="n">
        <x:v>13.296085357666016</x:v>
      </x:c>
      <x:c r="G2754" s="40" t="n">
        <x:v>14.6</x:v>
      </x:c>
      <x:c r="H2754" s="40" t="n">
        <x:f>F2754-E2754</x:f>
        <x:v>-1.303914642333984</x:v>
      </x:c>
      <x:c r="I2754" s="40" t="n">
        <x:f>ABS(H2754)</x:f>
        <x:v>1.303914642333984</x:v>
      </x:c>
      <x:c r="J2754" s="40" t="n">
        <x:f>H2754^2</x:f>
        <x:v>1.7001933944929615</x:v>
      </x:c>
      <x:c r="K2754" s="40" t="n">
        <x:f>G2754-E2754</x:f>
        <x:v>0</x:v>
      </x:c>
      <x:c r="L2754" s="40" t="n">
        <x:f>ABS(K2754)</x:f>
        <x:v>0</x:v>
      </x:c>
      <x:c r="M2754" s="41" t="str">
        <x:v>lstm-soil-v1</x:v>
      </x:c>
    </x:row>
    <x:row r="2755">
      <x:c r="A2755" s="38" t="str">
        <x:v>7月30日现场数据</x:v>
      </x:c>
      <x:c r="B2755" s="39" t="str">
        <x:v>2026-08-02T22:50:00</x:v>
      </x:c>
      <x:c r="C2755" s="39" t="str">
        <x:v>2026-08-02T23:50:00</x:v>
      </x:c>
      <x:c r="D2755" s="47" t="n">
        <x:v>60</x:v>
      </x:c>
      <x:c r="E2755" s="40" t="n">
        <x:v>14.6</x:v>
      </x:c>
      <x:c r="F2755" s="40" t="n">
        <x:v>14.934406280517578</x:v>
      </x:c>
      <x:c r="G2755" s="40" t="n">
        <x:v>14.6</x:v>
      </x:c>
      <x:c r="H2755" s="40" t="n">
        <x:f>F2755-E2755</x:f>
        <x:v>0.3344062805175785</x:v>
      </x:c>
      <x:c r="I2755" s="40" t="n">
        <x:f>ABS(H2755)</x:f>
        <x:v>0.3344062805175785</x:v>
      </x:c>
      <x:c r="J2755" s="40" t="n">
        <x:f>H2755^2</x:f>
        <x:v>0.11182756044960139</x:v>
      </x:c>
      <x:c r="K2755" s="40" t="n">
        <x:f>G2755-E2755</x:f>
        <x:v>0</x:v>
      </x:c>
      <x:c r="L2755" s="40" t="n">
        <x:f>ABS(K2755)</x:f>
        <x:v>0</x:v>
      </x:c>
      <x:c r="M2755" s="41" t="str">
        <x:v>lstm-soil-v1</x:v>
      </x:c>
    </x:row>
    <x:row r="2756">
      <x:c r="A2756" s="38" t="str">
        <x:v>7月30日现场数据</x:v>
      </x:c>
      <x:c r="B2756" s="39" t="str">
        <x:v>2026-08-02T22:55:00</x:v>
      </x:c>
      <x:c r="C2756" s="39" t="str">
        <x:v>2026-08-02T23:00:00</x:v>
      </x:c>
      <x:c r="D2756" s="47" t="n">
        <x:v>5</x:v>
      </x:c>
      <x:c r="E2756" s="40" t="n">
        <x:v>14.5</x:v>
      </x:c>
      <x:c r="F2756" s="40" t="n">
        <x:v>12.804847717285156</x:v>
      </x:c>
      <x:c r="G2756" s="40" t="n">
        <x:v>14.6</x:v>
      </x:c>
      <x:c r="H2756" s="40" t="n">
        <x:f>F2756-E2756</x:f>
        <x:v>-1.6951522827148438</x:v>
      </x:c>
      <x:c r="I2756" s="40" t="n">
        <x:f>ABS(H2756)</x:f>
        <x:v>1.6951522827148438</x:v>
      </x:c>
      <x:c r="J2756" s="40" t="n">
        <x:f>H2756^2</x:f>
        <x:v>2.8735412615933456</x:v>
      </x:c>
      <x:c r="K2756" s="40" t="n">
        <x:f>G2756-E2756</x:f>
        <x:v>0.09999999999999964</x:v>
      </x:c>
      <x:c r="L2756" s="40" t="n">
        <x:f>ABS(K2756)</x:f>
        <x:v>0.09999999999999964</x:v>
      </x:c>
      <x:c r="M2756" s="41" t="str">
        <x:v>lstm-soil-v1</x:v>
      </x:c>
    </x:row>
    <x:row r="2757">
      <x:c r="A2757" s="38" t="str">
        <x:v>7月30日现场数据</x:v>
      </x:c>
      <x:c r="B2757" s="39" t="str">
        <x:v>2026-08-02T22:55:00</x:v>
      </x:c>
      <x:c r="C2757" s="39" t="str">
        <x:v>2026-08-02T23:10:00</x:v>
      </x:c>
      <x:c r="D2757" s="47" t="n">
        <x:v>15</x:v>
      </x:c>
      <x:c r="E2757" s="40" t="n">
        <x:v>14.6</x:v>
      </x:c>
      <x:c r="F2757" s="40" t="n">
        <x:v>12.872974395751953</x:v>
      </x:c>
      <x:c r="G2757" s="40" t="n">
        <x:v>14.6</x:v>
      </x:c>
      <x:c r="H2757" s="40" t="n">
        <x:f>F2757-E2757</x:f>
        <x:v>-1.7270256042480465</x:v>
      </x:c>
      <x:c r="I2757" s="40" t="n">
        <x:f>ABS(H2757)</x:f>
        <x:v>1.7270256042480465</x:v>
      </x:c>
      <x:c r="J2757" s="40" t="n">
        <x:f>H2757^2</x:f>
        <x:v>2.9826174377283303</x:v>
      </x:c>
      <x:c r="K2757" s="40" t="n">
        <x:f>G2757-E2757</x:f>
        <x:v>0</x:v>
      </x:c>
      <x:c r="L2757" s="40" t="n">
        <x:f>ABS(K2757)</x:f>
        <x:v>0</x:v>
      </x:c>
      <x:c r="M2757" s="41" t="str">
        <x:v>lstm-soil-v1</x:v>
      </x:c>
    </x:row>
    <x:row r="2758">
      <x:c r="A2758" s="38" t="str">
        <x:v>7月30日现场数据</x:v>
      </x:c>
      <x:c r="B2758" s="39" t="str">
        <x:v>2026-08-02T22:55:00</x:v>
      </x:c>
      <x:c r="C2758" s="39" t="str">
        <x:v>2026-08-02T23:25:00</x:v>
      </x:c>
      <x:c r="D2758" s="47" t="n">
        <x:v>30</x:v>
      </x:c>
      <x:c r="E2758" s="40" t="n">
        <x:v>14.6</x:v>
      </x:c>
      <x:c r="F2758" s="40" t="n">
        <x:v>13.296825408935547</x:v>
      </x:c>
      <x:c r="G2758" s="40" t="n">
        <x:v>14.6</x:v>
      </x:c>
      <x:c r="H2758" s="40" t="n">
        <x:f>F2758-E2758</x:f>
        <x:v>-1.3031745910644528</x:v>
      </x:c>
      <x:c r="I2758" s="40" t="n">
        <x:f>ABS(H2758)</x:f>
        <x:v>1.3031745910644528</x:v>
      </x:c>
      <x:c r="J2758" s="40" t="n">
        <x:f>H2758^2</x:f>
        <x:v>1.6982640147960038</x:v>
      </x:c>
      <x:c r="K2758" s="40" t="n">
        <x:f>G2758-E2758</x:f>
        <x:v>0</x:v>
      </x:c>
      <x:c r="L2758" s="40" t="n">
        <x:f>ABS(K2758)</x:f>
        <x:v>0</x:v>
      </x:c>
      <x:c r="M2758" s="41" t="str">
        <x:v>lstm-soil-v1</x:v>
      </x:c>
    </x:row>
    <x:row r="2759">
      <x:c r="A2759" s="38" t="str">
        <x:v>7月30日现场数据</x:v>
      </x:c>
      <x:c r="B2759" s="39" t="str">
        <x:v>2026-08-02T22:55:00</x:v>
      </x:c>
      <x:c r="C2759" s="39" t="str">
        <x:v>2026-08-02T23:55:00</x:v>
      </x:c>
      <x:c r="D2759" s="47" t="n">
        <x:v>60</x:v>
      </x:c>
      <x:c r="E2759" s="40" t="n">
        <x:v>14.6</x:v>
      </x:c>
      <x:c r="F2759" s="40" t="n">
        <x:v>14.93490982055664</x:v>
      </x:c>
      <x:c r="G2759" s="40" t="n">
        <x:v>14.6</x:v>
      </x:c>
      <x:c r="H2759" s="40" t="n">
        <x:f>F2759-E2759</x:f>
        <x:v>0.334909820556641</x:v>
      </x:c>
      <x:c r="I2759" s="40" t="n">
        <x:f>ABS(H2759)</x:f>
        <x:v>0.334909820556641</x:v>
      </x:c>
      <x:c r="J2759" s="40" t="n">
        <x:f>H2759^2</x:f>
        <x:v>0.11216458790528146</x:v>
      </x:c>
      <x:c r="K2759" s="40" t="n">
        <x:f>G2759-E2759</x:f>
        <x:v>0</x:v>
      </x:c>
      <x:c r="L2759" s="40" t="n">
        <x:f>ABS(K2759)</x:f>
        <x:v>0</x:v>
      </x:c>
      <x:c r="M2759" s="41" t="str">
        <x:v>lstm-soil-v1</x:v>
      </x:c>
    </x:row>
    <x:row r="2760">
      <x:c r="A2760" s="38" t="str">
        <x:v>7月30日现场数据</x:v>
      </x:c>
      <x:c r="B2760" s="39" t="str">
        <x:v>2026-08-02T23:00:00</x:v>
      </x:c>
      <x:c r="C2760" s="39" t="str">
        <x:v>2026-08-02T23:05:00</x:v>
      </x:c>
      <x:c r="D2760" s="47" t="n">
        <x:v>5</x:v>
      </x:c>
      <x:c r="E2760" s="40" t="n">
        <x:v>14.6</x:v>
      </x:c>
      <x:c r="F2760" s="40" t="n">
        <x:v>12.691230773925781</x:v>
      </x:c>
      <x:c r="G2760" s="40" t="n">
        <x:v>14.5</x:v>
      </x:c>
      <x:c r="H2760" s="40" t="n">
        <x:f>F2760-E2760</x:f>
        <x:v>-1.9087692260742184</x:v>
      </x:c>
      <x:c r="I2760" s="40" t="n">
        <x:f>ABS(H2760)</x:f>
        <x:v>1.9087692260742184</x:v>
      </x:c>
      <x:c r="J2760" s="40" t="n">
        <x:f>H2760^2</x:f>
        <x:v>3.643399958407971</x:v>
      </x:c>
      <x:c r="K2760" s="40" t="n">
        <x:f>G2760-E2760</x:f>
        <x:v>-0.09999999999999964</x:v>
      </x:c>
      <x:c r="L2760" s="40" t="n">
        <x:f>ABS(K2760)</x:f>
        <x:v>0.09999999999999964</x:v>
      </x:c>
      <x:c r="M2760" s="41" t="str">
        <x:v>lstm-soil-v1</x:v>
      </x:c>
    </x:row>
    <x:row r="2761">
      <x:c r="A2761" s="38" t="str">
        <x:v>7月30日现场数据</x:v>
      </x:c>
      <x:c r="B2761" s="39" t="str">
        <x:v>2026-08-02T23:00:00</x:v>
      </x:c>
      <x:c r="C2761" s="39" t="str">
        <x:v>2026-08-02T23:15:00</x:v>
      </x:c>
      <x:c r="D2761" s="47" t="n">
        <x:v>15</x:v>
      </x:c>
      <x:c r="E2761" s="40" t="n">
        <x:v>14.6</x:v>
      </x:c>
      <x:c r="F2761" s="40" t="n">
        <x:v>12.760440826416016</x:v>
      </x:c>
      <x:c r="G2761" s="40" t="n">
        <x:v>14.5</x:v>
      </x:c>
      <x:c r="H2761" s="40" t="n">
        <x:f>F2761-E2761</x:f>
        <x:v>-1.839559173583984</x:v>
      </x:c>
      <x:c r="I2761" s="40" t="n">
        <x:f>ABS(H2761)</x:f>
        <x:v>1.839559173583984</x:v>
      </x:c>
      <x:c r="J2761" s="40" t="n">
        <x:f>H2761^2</x:f>
        <x:v>3.3839779531169905</x:v>
      </x:c>
      <x:c r="K2761" s="40" t="n">
        <x:f>G2761-E2761</x:f>
        <x:v>-0.09999999999999964</x:v>
      </x:c>
      <x:c r="L2761" s="40" t="n">
        <x:f>ABS(K2761)</x:f>
        <x:v>0.09999999999999964</x:v>
      </x:c>
      <x:c r="M2761" s="41" t="str">
        <x:v>lstm-soil-v1</x:v>
      </x:c>
    </x:row>
    <x:row r="2762">
      <x:c r="A2762" s="38" t="str">
        <x:v>7月30日现场数据</x:v>
      </x:c>
      <x:c r="B2762" s="39" t="str">
        <x:v>2026-08-02T23:00:00</x:v>
      </x:c>
      <x:c r="C2762" s="39" t="str">
        <x:v>2026-08-02T23:30:00</x:v>
      </x:c>
      <x:c r="D2762" s="47" t="n">
        <x:v>30</x:v>
      </x:c>
      <x:c r="E2762" s="40" t="n">
        <x:v>14.6</x:v>
      </x:c>
      <x:c r="F2762" s="40" t="n">
        <x:v>13.182884216308594</x:v>
      </x:c>
      <x:c r="G2762" s="40" t="n">
        <x:v>14.5</x:v>
      </x:c>
      <x:c r="H2762" s="40" t="n">
        <x:f>F2762-E2762</x:f>
        <x:v>-1.417115783691406</x:v>
      </x:c>
      <x:c r="I2762" s="40" t="n">
        <x:f>ABS(H2762)</x:f>
        <x:v>1.417115783691406</x:v>
      </x:c>
      <x:c r="J2762" s="40" t="n">
        <x:f>H2762^2</x:f>
        <x:v>2.0082171443873076</x:v>
      </x:c>
      <x:c r="K2762" s="40" t="n">
        <x:f>G2762-E2762</x:f>
        <x:v>-0.09999999999999964</x:v>
      </x:c>
      <x:c r="L2762" s="40" t="n">
        <x:f>ABS(K2762)</x:f>
        <x:v>0.09999999999999964</x:v>
      </x:c>
      <x:c r="M2762" s="41" t="str">
        <x:v>lstm-soil-v1</x:v>
      </x:c>
    </x:row>
    <x:row r="2763">
      <x:c r="A2763" s="38" t="str">
        <x:v>7月30日现场数据</x:v>
      </x:c>
      <x:c r="B2763" s="39" t="str">
        <x:v>2026-08-02T23:00:00</x:v>
      </x:c>
      <x:c r="C2763" s="39" t="str">
        <x:v>2026-08-03T00:00:00</x:v>
      </x:c>
      <x:c r="D2763" s="47" t="n">
        <x:v>60</x:v>
      </x:c>
      <x:c r="E2763" s="40" t="n">
        <x:v>14.6</x:v>
      </x:c>
      <x:c r="F2763" s="40" t="n">
        <x:v>14.816997528076172</x:v>
      </x:c>
      <x:c r="G2763" s="40" t="n">
        <x:v>14.5</x:v>
      </x:c>
      <x:c r="H2763" s="40" t="n">
        <x:f>F2763-E2763</x:f>
        <x:v>0.21699752807617223</x:v>
      </x:c>
      <x:c r="I2763" s="40" t="n">
        <x:f>ABS(H2763)</x:f>
        <x:v>0.21699752807617223</x:v>
      </x:c>
      <x:c r="J2763" s="40" t="n">
        <x:f>H2763^2</x:f>
        <x:v>0.04708792719116916</x:v>
      </x:c>
      <x:c r="K2763" s="40" t="n">
        <x:f>G2763-E2763</x:f>
        <x:v>-0.09999999999999964</x:v>
      </x:c>
      <x:c r="L2763" s="40" t="n">
        <x:f>ABS(K2763)</x:f>
        <x:v>0.09999999999999964</x:v>
      </x:c>
      <x:c r="M2763" s="41" t="str">
        <x:v>lstm-soil-v1</x:v>
      </x:c>
    </x:row>
    <x:row r="2764">
      <x:c r="A2764" s="38" t="str">
        <x:v>7月30日现场数据</x:v>
      </x:c>
      <x:c r="B2764" s="39" t="str">
        <x:v>2026-08-02T23:05:00</x:v>
      </x:c>
      <x:c r="C2764" s="39" t="str">
        <x:v>2026-08-02T23:10:00</x:v>
      </x:c>
      <x:c r="D2764" s="47" t="n">
        <x:v>5</x:v>
      </x:c>
      <x:c r="E2764" s="40" t="n">
        <x:v>14.6</x:v>
      </x:c>
      <x:c r="F2764" s="40" t="n">
        <x:v>12.799507141113281</x:v>
      </x:c>
      <x:c r="G2764" s="40" t="n">
        <x:v>14.6</x:v>
      </x:c>
      <x:c r="H2764" s="40" t="n">
        <x:f>F2764-E2764</x:f>
        <x:v>-1.8004928588867184</x:v>
      </x:c>
      <x:c r="I2764" s="40" t="n">
        <x:f>ABS(H2764)</x:f>
        <x:v>1.8004928588867184</x:v>
      </x:c>
      <x:c r="J2764" s="40" t="n">
        <x:f>H2764^2</x:f>
        <x:v>3.2417745349020683</x:v>
      </x:c>
      <x:c r="K2764" s="40" t="n">
        <x:f>G2764-E2764</x:f>
        <x:v>0</x:v>
      </x:c>
      <x:c r="L2764" s="40" t="n">
        <x:f>ABS(K2764)</x:f>
        <x:v>0</x:v>
      </x:c>
      <x:c r="M2764" s="41" t="str">
        <x:v>lstm-soil-v1</x:v>
      </x:c>
    </x:row>
    <x:row r="2765">
      <x:c r="A2765" s="38" t="str">
        <x:v>7月30日现场数据</x:v>
      </x:c>
      <x:c r="B2765" s="39" t="str">
        <x:v>2026-08-02T23:05:00</x:v>
      </x:c>
      <x:c r="C2765" s="39" t="str">
        <x:v>2026-08-02T23:20:00</x:v>
      </x:c>
      <x:c r="D2765" s="47" t="n">
        <x:v>15</x:v>
      </x:c>
      <x:c r="E2765" s="40" t="n">
        <x:v>14.6</x:v>
      </x:c>
      <x:c r="F2765" s="40" t="n">
        <x:v>12.869022369384766</x:v>
      </x:c>
      <x:c r="G2765" s="40" t="n">
        <x:v>14.6</x:v>
      </x:c>
      <x:c r="H2765" s="40" t="n">
        <x:f>F2765-E2765</x:f>
        <x:v>-1.730977630615234</x:v>
      </x:c>
      <x:c r="I2765" s="40" t="n">
        <x:f>ABS(H2765)</x:f>
        <x:v>1.730977630615234</x:v>
      </x:c>
      <x:c r="J2765" s="40" t="n">
        <x:f>H2765^2</x:f>
        <x:v>2.9962835576903295</x:v>
      </x:c>
      <x:c r="K2765" s="40" t="n">
        <x:f>G2765-E2765</x:f>
        <x:v>0</x:v>
      </x:c>
      <x:c r="L2765" s="40" t="n">
        <x:f>ABS(K2765)</x:f>
        <x:v>0</x:v>
      </x:c>
      <x:c r="M2765" s="41" t="str">
        <x:v>lstm-soil-v1</x:v>
      </x:c>
    </x:row>
    <x:row r="2766">
      <x:c r="A2766" s="38" t="str">
        <x:v>7月30日现场数据</x:v>
      </x:c>
      <x:c r="B2766" s="39" t="str">
        <x:v>2026-08-02T23:05:00</x:v>
      </x:c>
      <x:c r="C2766" s="39" t="str">
        <x:v>2026-08-02T23:35:00</x:v>
      </x:c>
      <x:c r="D2766" s="47" t="n">
        <x:v>30</x:v>
      </x:c>
      <x:c r="E2766" s="40" t="n">
        <x:v>14.5</x:v>
      </x:c>
      <x:c r="F2766" s="40" t="n">
        <x:v>13.292522430419922</x:v>
      </x:c>
      <x:c r="G2766" s="40" t="n">
        <x:v>14.6</x:v>
      </x:c>
      <x:c r="H2766" s="40" t="n">
        <x:f>F2766-E2766</x:f>
        <x:v>-1.2074775695800781</x:v>
      </x:c>
      <x:c r="I2766" s="40" t="n">
        <x:f>ABS(H2766)</x:f>
        <x:v>1.2074775695800781</x:v>
      </x:c>
      <x:c r="J2766" s="40" t="n">
        <x:f>H2766^2</x:f>
        <x:v>1.4580020810390124</x:v>
      </x:c>
      <x:c r="K2766" s="40" t="n">
        <x:f>G2766-E2766</x:f>
        <x:v>0.09999999999999964</x:v>
      </x:c>
      <x:c r="L2766" s="40" t="n">
        <x:f>ABS(K2766)</x:f>
        <x:v>0.09999999999999964</x:v>
      </x:c>
      <x:c r="M2766" s="41" t="str">
        <x:v>lstm-soil-v1</x:v>
      </x:c>
    </x:row>
    <x:row r="2767">
      <x:c r="A2767" s="38" t="str">
        <x:v>7月30日现场数据</x:v>
      </x:c>
      <x:c r="B2767" s="39" t="str">
        <x:v>2026-08-02T23:05:00</x:v>
      </x:c>
      <x:c r="C2767" s="39" t="str">
        <x:v>2026-08-03T00:05:00</x:v>
      </x:c>
      <x:c r="D2767" s="47" t="n">
        <x:v>60</x:v>
      </x:c>
      <x:c r="E2767" s="40" t="n">
        <x:v>14.6</x:v>
      </x:c>
      <x:c r="F2767" s="40" t="n">
        <x:v>14.921958923339844</x:v>
      </x:c>
      <x:c r="G2767" s="40" t="n">
        <x:v>14.6</x:v>
      </x:c>
      <x:c r="H2767" s="40" t="n">
        <x:f>F2767-E2767</x:f>
        <x:v>0.3219589233398441</x:v>
      </x:c>
      <x:c r="I2767" s="40" t="n">
        <x:f>ABS(H2767)</x:f>
        <x:v>0.3219589233398441</x:v>
      </x:c>
      <x:c r="J2767" s="40" t="n">
        <x:f>H2767^2</x:f>
        <x:v>0.10365754831815162</x:v>
      </x:c>
      <x:c r="K2767" s="40" t="n">
        <x:f>G2767-E2767</x:f>
        <x:v>0</x:v>
      </x:c>
      <x:c r="L2767" s="40" t="n">
        <x:f>ABS(K2767)</x:f>
        <x:v>0</x:v>
      </x:c>
      <x:c r="M2767" s="41" t="str">
        <x:v>lstm-soil-v1</x:v>
      </x:c>
    </x:row>
    <x:row r="2768">
      <x:c r="A2768" s="38" t="str">
        <x:v>7月30日现场数据</x:v>
      </x:c>
      <x:c r="B2768" s="39" t="str">
        <x:v>2026-08-02T23:10:00</x:v>
      </x:c>
      <x:c r="C2768" s="39" t="str">
        <x:v>2026-08-02T23:15:00</x:v>
      </x:c>
      <x:c r="D2768" s="47" t="n">
        <x:v>5</x:v>
      </x:c>
      <x:c r="E2768" s="40" t="n">
        <x:v>14.6</x:v>
      </x:c>
      <x:c r="F2768" s="40" t="n">
        <x:v>12.798744201660156</x:v>
      </x:c>
      <x:c r="G2768" s="40" t="n">
        <x:v>14.6</x:v>
      </x:c>
      <x:c r="H2768" s="40" t="n">
        <x:f>F2768-E2768</x:f>
        <x:v>-1.8012557983398434</x:v>
      </x:c>
      <x:c r="I2768" s="40" t="n">
        <x:f>ABS(H2768)</x:f>
        <x:v>1.8012557983398434</x:v>
      </x:c>
      <x:c r="J2768" s="40" t="n">
        <x:f>H2768^2</x:f>
        <x:v>3.2445224510529065</x:v>
      </x:c>
      <x:c r="K2768" s="40" t="n">
        <x:f>G2768-E2768</x:f>
        <x:v>0</x:v>
      </x:c>
      <x:c r="L2768" s="40" t="n">
        <x:f>ABS(K2768)</x:f>
        <x:v>0</x:v>
      </x:c>
      <x:c r="M2768" s="41" t="str">
        <x:v>lstm-soil-v1</x:v>
      </x:c>
    </x:row>
    <x:row r="2769">
      <x:c r="A2769" s="38" t="str">
        <x:v>7月30日现场数据</x:v>
      </x:c>
      <x:c r="B2769" s="39" t="str">
        <x:v>2026-08-02T23:10:00</x:v>
      </x:c>
      <x:c r="C2769" s="39" t="str">
        <x:v>2026-08-02T23:25:00</x:v>
      </x:c>
      <x:c r="D2769" s="47" t="n">
        <x:v>15</x:v>
      </x:c>
      <x:c r="E2769" s="40" t="n">
        <x:v>14.6</x:v>
      </x:c>
      <x:c r="F2769" s="40" t="n">
        <x:v>12.868114471435547</x:v>
      </x:c>
      <x:c r="G2769" s="40" t="n">
        <x:v>14.6</x:v>
      </x:c>
      <x:c r="H2769" s="40" t="n">
        <x:f>F2769-E2769</x:f>
        <x:v>-1.7318855285644528</x:v>
      </x:c>
      <x:c r="I2769" s="40" t="n">
        <x:f>ABS(H2769)</x:f>
        <x:v>1.7318855285644528</x:v>
      </x:c>
      <x:c r="J2769" s="40" t="n">
        <x:f>H2769^2</x:f>
        <x:v>2.999427484050974</x:v>
      </x:c>
      <x:c r="K2769" s="40" t="n">
        <x:f>G2769-E2769</x:f>
        <x:v>0</x:v>
      </x:c>
      <x:c r="L2769" s="40" t="n">
        <x:f>ABS(K2769)</x:f>
        <x:v>0</x:v>
      </x:c>
      <x:c r="M2769" s="41" t="str">
        <x:v>lstm-soil-v1</x:v>
      </x:c>
    </x:row>
    <x:row r="2770">
      <x:c r="A2770" s="38" t="str">
        <x:v>7月30日现场数据</x:v>
      </x:c>
      <x:c r="B2770" s="39" t="str">
        <x:v>2026-08-02T23:10:00</x:v>
      </x:c>
      <x:c r="C2770" s="39" t="str">
        <x:v>2026-08-02T23:40:00</x:v>
      </x:c>
      <x:c r="D2770" s="47" t="n">
        <x:v>30</x:v>
      </x:c>
      <x:c r="E2770" s="40" t="n">
        <x:v>14.6</x:v>
      </x:c>
      <x:c r="F2770" s="40" t="n">
        <x:v>13.293464660644531</x:v>
      </x:c>
      <x:c r="G2770" s="40" t="n">
        <x:v>14.6</x:v>
      </x:c>
      <x:c r="H2770" s="40" t="n">
        <x:f>F2770-E2770</x:f>
        <x:v>-1.3065353393554684</x:v>
      </x:c>
      <x:c r="I2770" s="40" t="n">
        <x:f>ABS(H2770)</x:f>
        <x:v>1.3065353393554684</x:v>
      </x:c>
      <x:c r="J2770" s="40" t="n">
        <x:f>H2770^2</x:f>
        <x:v>1.707034592984709</x:v>
      </x:c>
      <x:c r="K2770" s="40" t="n">
        <x:f>G2770-E2770</x:f>
        <x:v>0</x:v>
      </x:c>
      <x:c r="L2770" s="40" t="n">
        <x:f>ABS(K2770)</x:f>
        <x:v>0</x:v>
      </x:c>
      <x:c r="M2770" s="41" t="str">
        <x:v>lstm-soil-v1</x:v>
      </x:c>
    </x:row>
    <x:row r="2771">
      <x:c r="A2771" s="38" t="str">
        <x:v>7月30日现场数据</x:v>
      </x:c>
      <x:c r="B2771" s="39" t="str">
        <x:v>2026-08-02T23:10:00</x:v>
      </x:c>
      <x:c r="C2771" s="39" t="str">
        <x:v>2026-08-03T00:10:00</x:v>
      </x:c>
      <x:c r="D2771" s="47" t="n">
        <x:v>60</x:v>
      </x:c>
      <x:c r="E2771" s="40" t="n">
        <x:v>14.6</x:v>
      </x:c>
      <x:c r="F2771" s="40" t="n">
        <x:v>14.918853759765625</x:v>
      </x:c>
      <x:c r="G2771" s="40" t="n">
        <x:v>14.6</x:v>
      </x:c>
      <x:c r="H2771" s="40" t="n">
        <x:f>F2771-E2771</x:f>
        <x:v>0.31885375976562536</x:v>
      </x:c>
      <x:c r="I2771" s="40" t="n">
        <x:f>ABS(H2771)</x:f>
        <x:v>0.31885375976562536</x:v>
      </x:c>
      <x:c r="J2771" s="40" t="n">
        <x:f>H2771^2</x:f>
        <x:v>0.10166772011667513</x:v>
      </x:c>
      <x:c r="K2771" s="40" t="n">
        <x:f>G2771-E2771</x:f>
        <x:v>0</x:v>
      </x:c>
      <x:c r="L2771" s="40" t="n">
        <x:f>ABS(K2771)</x:f>
        <x:v>0</x:v>
      </x:c>
      <x:c r="M2771" s="41" t="str">
        <x:v>lstm-soil-v1</x:v>
      </x:c>
    </x:row>
    <x:row r="2772">
      <x:c r="A2772" s="38" t="str">
        <x:v>7月30日现场数据</x:v>
      </x:c>
      <x:c r="B2772" s="39" t="str">
        <x:v>2026-08-02T23:15:00</x:v>
      </x:c>
      <x:c r="C2772" s="39" t="str">
        <x:v>2026-08-02T23:20:00</x:v>
      </x:c>
      <x:c r="D2772" s="47" t="n">
        <x:v>5</x:v>
      </x:c>
      <x:c r="E2772" s="40" t="n">
        <x:v>14.6</x:v>
      </x:c>
      <x:c r="F2772" s="40" t="n">
        <x:v>12.798595428466797</x:v>
      </x:c>
      <x:c r="G2772" s="40" t="n">
        <x:v>14.6</x:v>
      </x:c>
      <x:c r="H2772" s="40" t="n">
        <x:f>F2772-E2772</x:f>
        <x:v>-1.8014045715332028</x:v>
      </x:c>
      <x:c r="I2772" s="40" t="n">
        <x:f>ABS(H2772)</x:f>
        <x:v>1.8014045715332028</x:v>
      </x:c>
      <x:c r="J2772" s="40" t="n">
        <x:f>H2772^2</x:f>
        <x:v>3.245058430340722</x:v>
      </x:c>
      <x:c r="K2772" s="40" t="n">
        <x:f>G2772-E2772</x:f>
        <x:v>0</x:v>
      </x:c>
      <x:c r="L2772" s="40" t="n">
        <x:f>ABS(K2772)</x:f>
        <x:v>0</x:v>
      </x:c>
      <x:c r="M2772" s="41" t="str">
        <x:v>lstm-soil-v1</x:v>
      </x:c>
    </x:row>
    <x:row r="2773">
      <x:c r="A2773" s="38" t="str">
        <x:v>7月30日现场数据</x:v>
      </x:c>
      <x:c r="B2773" s="39" t="str">
        <x:v>2026-08-02T23:15:00</x:v>
      </x:c>
      <x:c r="C2773" s="39" t="str">
        <x:v>2026-08-02T23:30:00</x:v>
      </x:c>
      <x:c r="D2773" s="47" t="n">
        <x:v>15</x:v>
      </x:c>
      <x:c r="E2773" s="40" t="n">
        <x:v>14.6</x:v>
      </x:c>
      <x:c r="F2773" s="40" t="n">
        <x:v>12.867557525634766</x:v>
      </x:c>
      <x:c r="G2773" s="40" t="n">
        <x:v>14.6</x:v>
      </x:c>
      <x:c r="H2773" s="40" t="n">
        <x:f>F2773-E2773</x:f>
        <x:v>-1.732442474365234</x:v>
      </x:c>
      <x:c r="I2773" s="40" t="n">
        <x:f>ABS(H2773)</x:f>
        <x:v>1.732442474365234</x:v>
      </x:c>
      <x:c r="J2773" s="40" t="n">
        <x:f>H2773^2</x:f>
        <x:v>3.0013569269847347</x:v>
      </x:c>
      <x:c r="K2773" s="40" t="n">
        <x:f>G2773-E2773</x:f>
        <x:v>0</x:v>
      </x:c>
      <x:c r="L2773" s="40" t="n">
        <x:f>ABS(K2773)</x:f>
        <x:v>0</x:v>
      </x:c>
      <x:c r="M2773" s="41" t="str">
        <x:v>lstm-soil-v1</x:v>
      </x:c>
    </x:row>
    <x:row r="2774">
      <x:c r="A2774" s="38" t="str">
        <x:v>7月30日现场数据</x:v>
      </x:c>
      <x:c r="B2774" s="39" t="str">
        <x:v>2026-08-02T23:15:00</x:v>
      </x:c>
      <x:c r="C2774" s="39" t="str">
        <x:v>2026-08-02T23:45:00</x:v>
      </x:c>
      <x:c r="D2774" s="47" t="n">
        <x:v>30</x:v>
      </x:c>
      <x:c r="E2774" s="40" t="n">
        <x:v>14.5</x:v>
      </x:c>
      <x:c r="F2774" s="40" t="n">
        <x:v>13.294921875</x:v>
      </x:c>
      <x:c r="G2774" s="40" t="n">
        <x:v>14.6</x:v>
      </x:c>
      <x:c r="H2774" s="40" t="n">
        <x:f>F2774-E2774</x:f>
        <x:v>-1.205078125</x:v>
      </x:c>
      <x:c r="I2774" s="40" t="n">
        <x:f>ABS(H2774)</x:f>
        <x:v>1.205078125</x:v>
      </x:c>
      <x:c r="J2774" s="40" t="n">
        <x:f>H2774^2</x:f>
        <x:v>1.4522132873535156</x:v>
      </x:c>
      <x:c r="K2774" s="40" t="n">
        <x:f>G2774-E2774</x:f>
        <x:v>0.09999999999999964</x:v>
      </x:c>
      <x:c r="L2774" s="40" t="n">
        <x:f>ABS(K2774)</x:f>
        <x:v>0.09999999999999964</x:v>
      </x:c>
      <x:c r="M2774" s="41" t="str">
        <x:v>lstm-soil-v1</x:v>
      </x:c>
    </x:row>
    <x:row r="2775">
      <x:c r="A2775" s="38" t="str">
        <x:v>7月30日现场数据</x:v>
      </x:c>
      <x:c r="B2775" s="39" t="str">
        <x:v>2026-08-02T23:15:00</x:v>
      </x:c>
      <x:c r="C2775" s="39" t="str">
        <x:v>2026-08-03T00:15:00</x:v>
      </x:c>
      <x:c r="D2775" s="47" t="n">
        <x:v>60</x:v>
      </x:c>
      <x:c r="E2775" s="40" t="n">
        <x:v>14.6</x:v>
      </x:c>
      <x:c r="F2775" s="40" t="n">
        <x:v>14.917339324951172</x:v>
      </x:c>
      <x:c r="G2775" s="40" t="n">
        <x:v>14.6</x:v>
      </x:c>
      <x:c r="H2775" s="40" t="n">
        <x:f>F2775-E2775</x:f>
        <x:v>0.31733932495117223</x:v>
      </x:c>
      <x:c r="I2775" s="40" t="n">
        <x:f>ABS(H2775)</x:f>
        <x:v>0.31733932495117223</x:v>
      </x:c>
      <x:c r="J2775" s="40" t="n">
        <x:f>H2775^2</x:f>
        <x:v>0.10070424716046568</x:v>
      </x:c>
      <x:c r="K2775" s="40" t="n">
        <x:f>G2775-E2775</x:f>
        <x:v>0</x:v>
      </x:c>
      <x:c r="L2775" s="40" t="n">
        <x:f>ABS(K2775)</x:f>
        <x:v>0</x:v>
      </x:c>
      <x:c r="M2775" s="41" t="str">
        <x:v>lstm-soil-v1</x:v>
      </x:c>
    </x:row>
    <x:row r="2776">
      <x:c r="A2776" s="38" t="str">
        <x:v>7月30日现场数据</x:v>
      </x:c>
      <x:c r="B2776" s="39" t="str">
        <x:v>2026-08-02T23:20:00</x:v>
      </x:c>
      <x:c r="C2776" s="39" t="str">
        <x:v>2026-08-02T23:25:00</x:v>
      </x:c>
      <x:c r="D2776" s="47" t="n">
        <x:v>5</x:v>
      </x:c>
      <x:c r="E2776" s="40" t="n">
        <x:v>14.6</x:v>
      </x:c>
      <x:c r="F2776" s="40" t="n">
        <x:v>12.798851013183594</x:v>
      </x:c>
      <x:c r="G2776" s="40" t="n">
        <x:v>14.6</x:v>
      </x:c>
      <x:c r="H2776" s="40" t="n">
        <x:f>F2776-E2776</x:f>
        <x:v>-1.801148986816406</x:v>
      </x:c>
      <x:c r="I2776" s="40" t="n">
        <x:f>ABS(H2776)</x:f>
        <x:v>1.801148986816406</x:v>
      </x:c>
      <x:c r="J2776" s="40" t="n">
        <x:f>H2776^2</x:f>
        <x:v>3.2441376727097655</x:v>
      </x:c>
      <x:c r="K2776" s="40" t="n">
        <x:f>G2776-E2776</x:f>
        <x:v>0</x:v>
      </x:c>
      <x:c r="L2776" s="40" t="n">
        <x:f>ABS(K2776)</x:f>
        <x:v>0</x:v>
      </x:c>
      <x:c r="M2776" s="41" t="str">
        <x:v>lstm-soil-v1</x:v>
      </x:c>
    </x:row>
    <x:row r="2777">
      <x:c r="A2777" s="38" t="str">
        <x:v>7月30日现场数据</x:v>
      </x:c>
      <x:c r="B2777" s="39" t="str">
        <x:v>2026-08-02T23:20:00</x:v>
      </x:c>
      <x:c r="C2777" s="39" t="str">
        <x:v>2026-08-02T23:35:00</x:v>
      </x:c>
      <x:c r="D2777" s="47" t="n">
        <x:v>15</x:v>
      </x:c>
      <x:c r="E2777" s="40" t="n">
        <x:v>14.5</x:v>
      </x:c>
      <x:c r="F2777" s="40" t="n">
        <x:v>12.867229461669922</x:v>
      </x:c>
      <x:c r="G2777" s="40" t="n">
        <x:v>14.6</x:v>
      </x:c>
      <x:c r="H2777" s="40" t="n">
        <x:f>F2777-E2777</x:f>
        <x:v>-1.6327705383300781</x:v>
      </x:c>
      <x:c r="I2777" s="40" t="n">
        <x:f>ABS(H2777)</x:f>
        <x:v>1.6327705383300781</x:v>
      </x:c>
      <x:c r="J2777" s="40" t="n">
        <x:f>H2777^2</x:f>
        <x:v>2.665939630838693</x:v>
      </x:c>
      <x:c r="K2777" s="40" t="n">
        <x:f>G2777-E2777</x:f>
        <x:v>0.09999999999999964</x:v>
      </x:c>
      <x:c r="L2777" s="40" t="n">
        <x:f>ABS(K2777)</x:f>
        <x:v>0.09999999999999964</x:v>
      </x:c>
      <x:c r="M2777" s="41" t="str">
        <x:v>lstm-soil-v1</x:v>
      </x:c>
    </x:row>
    <x:row r="2778">
      <x:c r="A2778" s="38" t="str">
        <x:v>7月30日现场数据</x:v>
      </x:c>
      <x:c r="B2778" s="39" t="str">
        <x:v>2026-08-02T23:20:00</x:v>
      </x:c>
      <x:c r="C2778" s="39" t="str">
        <x:v>2026-08-02T23:50:00</x:v>
      </x:c>
      <x:c r="D2778" s="47" t="n">
        <x:v>30</x:v>
      </x:c>
      <x:c r="E2778" s="40" t="n">
        <x:v>14.6</x:v>
      </x:c>
      <x:c r="F2778" s="40" t="n">
        <x:v>13.296493530273438</x:v>
      </x:c>
      <x:c r="G2778" s="40" t="n">
        <x:v>14.6</x:v>
      </x:c>
      <x:c r="H2778" s="40" t="n">
        <x:f>F2778-E2778</x:f>
        <x:v>-1.3035064697265621</x:v>
      </x:c>
      <x:c r="I2778" s="40" t="n">
        <x:f>ABS(H2778)</x:f>
        <x:v>1.3035064697265621</x:v>
      </x:c>
      <x:c r="J2778" s="40" t="n">
        <x:f>H2778^2</x:f>
        <x:v>1.6991291166190048</x:v>
      </x:c>
      <x:c r="K2778" s="40" t="n">
        <x:f>G2778-E2778</x:f>
        <x:v>0</x:v>
      </x:c>
      <x:c r="L2778" s="40" t="n">
        <x:f>ABS(K2778)</x:f>
        <x:v>0</x:v>
      </x:c>
      <x:c r="M2778" s="41" t="str">
        <x:v>lstm-soil-v1</x:v>
      </x:c>
    </x:row>
    <x:row r="2779">
      <x:c r="A2779" s="38" t="str">
        <x:v>7月30日现场数据</x:v>
      </x:c>
      <x:c r="B2779" s="39" t="str">
        <x:v>2026-08-02T23:20:00</x:v>
      </x:c>
      <x:c r="C2779" s="39" t="str">
        <x:v>2026-08-03T00:20:00</x:v>
      </x:c>
      <x:c r="D2779" s="47" t="n">
        <x:v>60</x:v>
      </x:c>
      <x:c r="E2779" s="40" t="n">
        <x:v>14.6</x:v>
      </x:c>
      <x:c r="F2779" s="40" t="n">
        <x:v>14.916900634765625</x:v>
      </x:c>
      <x:c r="G2779" s="40" t="n">
        <x:v>14.6</x:v>
      </x:c>
      <x:c r="H2779" s="40" t="n">
        <x:f>F2779-E2779</x:f>
        <x:v>0.31690063476562536</x:v>
      </x:c>
      <x:c r="I2779" s="40" t="n">
        <x:f>ABS(H2779)</x:f>
        <x:v>0.31690063476562536</x:v>
      </x:c>
      <x:c r="J2779" s="40" t="n">
        <x:f>H2779^2</x:f>
        <x:v>0.10042601231485627</x:v>
      </x:c>
      <x:c r="K2779" s="40" t="n">
        <x:f>G2779-E2779</x:f>
        <x:v>0</x:v>
      </x:c>
      <x:c r="L2779" s="40" t="n">
        <x:f>ABS(K2779)</x:f>
        <x:v>0</x:v>
      </x:c>
      <x:c r="M2779" s="41" t="str">
        <x:v>lstm-soil-v1</x:v>
      </x:c>
    </x:row>
    <x:row r="2780">
      <x:c r="A2780" s="38" t="str">
        <x:v>7月30日现场数据</x:v>
      </x:c>
      <x:c r="B2780" s="39" t="str">
        <x:v>2026-08-02T23:25:00</x:v>
      </x:c>
      <x:c r="C2780" s="39" t="str">
        <x:v>2026-08-02T23:30:00</x:v>
      </x:c>
      <x:c r="D2780" s="47" t="n">
        <x:v>5</x:v>
      </x:c>
      <x:c r="E2780" s="40" t="n">
        <x:v>14.6</x:v>
      </x:c>
      <x:c r="F2780" s="40" t="n">
        <x:v>12.799232482910156</x:v>
      </x:c>
      <x:c r="G2780" s="40" t="n">
        <x:v>14.6</x:v>
      </x:c>
      <x:c r="H2780" s="40" t="n">
        <x:f>F2780-E2780</x:f>
        <x:v>-1.8007675170898434</x:v>
      </x:c>
      <x:c r="I2780" s="40" t="n">
        <x:f>ABS(H2780)</x:f>
        <x:v>1.8007675170898434</x:v>
      </x:c>
      <x:c r="J2780" s="40" t="n">
        <x:f>H2780^2</x:f>
        <x:v>3.2427636506059194</x:v>
      </x:c>
      <x:c r="K2780" s="40" t="n">
        <x:f>G2780-E2780</x:f>
        <x:v>0</x:v>
      </x:c>
      <x:c r="L2780" s="40" t="n">
        <x:f>ABS(K2780)</x:f>
        <x:v>0</x:v>
      </x:c>
      <x:c r="M2780" s="41" t="str">
        <x:v>lstm-soil-v1</x:v>
      </x:c>
    </x:row>
    <x:row r="2781">
      <x:c r="A2781" s="38" t="str">
        <x:v>7月30日现场数据</x:v>
      </x:c>
      <x:c r="B2781" s="39" t="str">
        <x:v>2026-08-02T23:25:00</x:v>
      </x:c>
      <x:c r="C2781" s="39" t="str">
        <x:v>2026-08-02T23:40:00</x:v>
      </x:c>
      <x:c r="D2781" s="47" t="n">
        <x:v>15</x:v>
      </x:c>
      <x:c r="E2781" s="40" t="n">
        <x:v>14.6</x:v>
      </x:c>
      <x:c r="F2781" s="40" t="n">
        <x:v>12.867073059082031</x:v>
      </x:c>
      <x:c r="G2781" s="40" t="n">
        <x:v>14.6</x:v>
      </x:c>
      <x:c r="H2781" s="40" t="n">
        <x:f>F2781-E2781</x:f>
        <x:v>-1.7329269409179684</x:v>
      </x:c>
      <x:c r="I2781" s="40" t="n">
        <x:f>ABS(H2781)</x:f>
        <x:v>1.7329269409179684</x:v>
      </x:c>
      <x:c r="J2781" s="40" t="n">
        <x:f>H2781^2</x:f>
        <x:v>3.003035782559308</x:v>
      </x:c>
      <x:c r="K2781" s="40" t="n">
        <x:f>G2781-E2781</x:f>
        <x:v>0</x:v>
      </x:c>
      <x:c r="L2781" s="40" t="n">
        <x:f>ABS(K2781)</x:f>
        <x:v>0</x:v>
      </x:c>
      <x:c r="M2781" s="41" t="str">
        <x:v>lstm-soil-v1</x:v>
      </x:c>
    </x:row>
    <x:row r="2782">
      <x:c r="A2782" s="38" t="str">
        <x:v>7月30日现场数据</x:v>
      </x:c>
      <x:c r="B2782" s="39" t="str">
        <x:v>2026-08-02T23:25:00</x:v>
      </x:c>
      <x:c r="C2782" s="39" t="str">
        <x:v>2026-08-02T23:55:00</x:v>
      </x:c>
      <x:c r="D2782" s="47" t="n">
        <x:v>30</x:v>
      </x:c>
      <x:c r="E2782" s="40" t="n">
        <x:v>14.6</x:v>
      </x:c>
      <x:c r="F2782" s="40" t="n">
        <x:v>13.297908782958984</x:v>
      </x:c>
      <x:c r="G2782" s="40" t="n">
        <x:v>14.6</x:v>
      </x:c>
      <x:c r="H2782" s="40" t="n">
        <x:f>F2782-E2782</x:f>
        <x:v>-1.3020912170410153</x:v>
      </x:c>
      <x:c r="I2782" s="40" t="n">
        <x:f>ABS(H2782)</x:f>
        <x:v>1.3020912170410153</x:v>
      </x:c>
      <x:c r="J2782" s="40" t="n">
        <x:f>H2782^2</x:f>
        <x:v>1.6954415374953524</x:v>
      </x:c>
      <x:c r="K2782" s="40" t="n">
        <x:f>G2782-E2782</x:f>
        <x:v>0</x:v>
      </x:c>
      <x:c r="L2782" s="40" t="n">
        <x:f>ABS(K2782)</x:f>
        <x:v>0</x:v>
      </x:c>
      <x:c r="M2782" s="41" t="str">
        <x:v>lstm-soil-v1</x:v>
      </x:c>
    </x:row>
    <x:row r="2783">
      <x:c r="A2783" s="38" t="str">
        <x:v>7月30日现场数据</x:v>
      </x:c>
      <x:c r="B2783" s="39" t="str">
        <x:v>2026-08-02T23:25:00</x:v>
      </x:c>
      <x:c r="C2783" s="39" t="str">
        <x:v>2026-08-03T00:25:00</x:v>
      </x:c>
      <x:c r="D2783" s="47" t="n">
        <x:v>60</x:v>
      </x:c>
      <x:c r="E2783" s="40" t="n">
        <x:v>14.5</x:v>
      </x:c>
      <x:c r="F2783" s="40" t="n">
        <x:v>14.916988372802734</x:v>
      </x:c>
      <x:c r="G2783" s="40" t="n">
        <x:v>14.6</x:v>
      </x:c>
      <x:c r="H2783" s="40" t="n">
        <x:f>F2783-E2783</x:f>
        <x:v>0.4169883728027344</x:v>
      </x:c>
      <x:c r="I2783" s="40" t="n">
        <x:f>ABS(H2783)</x:f>
        <x:v>0.4169883728027344</x:v>
      </x:c>
      <x:c r="J2783" s="40" t="n">
        <x:f>H2783^2</x:f>
        <x:v>0.17387930305267219</x:v>
      </x:c>
      <x:c r="K2783" s="40" t="n">
        <x:f>G2783-E2783</x:f>
        <x:v>0.09999999999999964</x:v>
      </x:c>
      <x:c r="L2783" s="40" t="n">
        <x:f>ABS(K2783)</x:f>
        <x:v>0.09999999999999964</x:v>
      </x:c>
      <x:c r="M2783" s="41" t="str">
        <x:v>lstm-soil-v1</x:v>
      </x:c>
    </x:row>
    <x:row r="2784">
      <x:c r="A2784" s="38" t="str">
        <x:v>7月30日现场数据</x:v>
      </x:c>
      <x:c r="B2784" s="39" t="str">
        <x:v>2026-08-02T23:30:00</x:v>
      </x:c>
      <x:c r="C2784" s="39" t="str">
        <x:v>2026-08-02T23:35:00</x:v>
      </x:c>
      <x:c r="D2784" s="47" t="n">
        <x:v>5</x:v>
      </x:c>
      <x:c r="E2784" s="40" t="n">
        <x:v>14.5</x:v>
      </x:c>
      <x:c r="F2784" s="40" t="n">
        <x:v>12.799613952636719</x:v>
      </x:c>
      <x:c r="G2784" s="40" t="n">
        <x:v>14.6</x:v>
      </x:c>
      <x:c r="H2784" s="40" t="n">
        <x:f>F2784-E2784</x:f>
        <x:v>-1.7003860473632812</x:v>
      </x:c>
      <x:c r="I2784" s="40" t="n">
        <x:f>ABS(H2784)</x:f>
        <x:v>1.7003860473632812</x:v>
      </x:c>
      <x:c r="J2784" s="40" t="n">
        <x:f>H2784^2</x:f>
        <x:v>2.891312710067723</x:v>
      </x:c>
      <x:c r="K2784" s="40" t="n">
        <x:f>G2784-E2784</x:f>
        <x:v>0.09999999999999964</x:v>
      </x:c>
      <x:c r="L2784" s="40" t="n">
        <x:f>ABS(K2784)</x:f>
        <x:v>0.09999999999999964</x:v>
      </x:c>
      <x:c r="M2784" s="41" t="str">
        <x:v>lstm-soil-v1</x:v>
      </x:c>
    </x:row>
    <x:row r="2785">
      <x:c r="A2785" s="38" t="str">
        <x:v>7月30日现场数据</x:v>
      </x:c>
      <x:c r="B2785" s="39" t="str">
        <x:v>2026-08-02T23:30:00</x:v>
      </x:c>
      <x:c r="C2785" s="39" t="str">
        <x:v>2026-08-02T23:45:00</x:v>
      </x:c>
      <x:c r="D2785" s="47" t="n">
        <x:v>15</x:v>
      </x:c>
      <x:c r="E2785" s="40" t="n">
        <x:v>14.5</x:v>
      </x:c>
      <x:c r="F2785" s="40" t="n">
        <x:v>12.867000579833984</x:v>
      </x:c>
      <x:c r="G2785" s="40" t="n">
        <x:v>14.6</x:v>
      </x:c>
      <x:c r="H2785" s="40" t="n">
        <x:f>F2785-E2785</x:f>
        <x:v>-1.6329994201660156</x:v>
      </x:c>
      <x:c r="I2785" s="40" t="n">
        <x:f>ABS(H2785)</x:f>
        <x:v>1.6329994201660156</x:v>
      </x:c>
      <x:c r="J2785" s="40" t="n">
        <x:f>H2785^2</x:f>
        <x:v>2.6666871062625432</x:v>
      </x:c>
      <x:c r="K2785" s="40" t="n">
        <x:f>G2785-E2785</x:f>
        <x:v>0.09999999999999964</x:v>
      </x:c>
      <x:c r="L2785" s="40" t="n">
        <x:f>ABS(K2785)</x:f>
        <x:v>0.09999999999999964</x:v>
      </x:c>
      <x:c r="M2785" s="41" t="str">
        <x:v>lstm-soil-v1</x:v>
      </x:c>
    </x:row>
    <x:row r="2786">
      <x:c r="A2786" s="38" t="str">
        <x:v>7月30日现场数据</x:v>
      </x:c>
      <x:c r="B2786" s="39" t="str">
        <x:v>2026-08-02T23:30:00</x:v>
      </x:c>
      <x:c r="C2786" s="39" t="str">
        <x:v>2026-08-03T00:00:00</x:v>
      </x:c>
      <x:c r="D2786" s="47" t="n">
        <x:v>30</x:v>
      </x:c>
      <x:c r="E2786" s="40" t="n">
        <x:v>14.6</x:v>
      </x:c>
      <x:c r="F2786" s="40" t="n">
        <x:v>13.299072265625</x:v>
      </x:c>
      <x:c r="G2786" s="40" t="n">
        <x:v>14.6</x:v>
      </x:c>
      <x:c r="H2786" s="40" t="n">
        <x:f>F2786-E2786</x:f>
        <x:v>-1.3009277343749996</x:v>
      </x:c>
      <x:c r="I2786" s="40" t="n">
        <x:f>ABS(H2786)</x:f>
        <x:v>1.3009277343749996</x:v>
      </x:c>
      <x:c r="J2786" s="40" t="n">
        <x:f>H2786^2</x:f>
        <x:v>1.6924129700660697</x:v>
      </x:c>
      <x:c r="K2786" s="40" t="n">
        <x:f>G2786-E2786</x:f>
        <x:v>0</x:v>
      </x:c>
      <x:c r="L2786" s="40" t="n">
        <x:f>ABS(K2786)</x:f>
        <x:v>0</x:v>
      </x:c>
      <x:c r="M2786" s="41" t="str">
        <x:v>lstm-soil-v1</x:v>
      </x:c>
    </x:row>
    <x:row r="2787">
      <x:c r="A2787" s="38" t="str">
        <x:v>7月30日现场数据</x:v>
      </x:c>
      <x:c r="B2787" s="39" t="str">
        <x:v>2026-08-02T23:30:00</x:v>
      </x:c>
      <x:c r="C2787" s="39" t="str">
        <x:v>2026-08-03T00:30:00</x:v>
      </x:c>
      <x:c r="D2787" s="47" t="n">
        <x:v>60</x:v>
      </x:c>
      <x:c r="E2787" s="40" t="n">
        <x:v>14.6</x:v>
      </x:c>
      <x:c r="F2787" s="40" t="n">
        <x:v>14.917285919189453</x:v>
      </x:c>
      <x:c r="G2787" s="40" t="n">
        <x:v>14.6</x:v>
      </x:c>
      <x:c r="H2787" s="40" t="n">
        <x:f>F2787-E2787</x:f>
        <x:v>0.3172859191894535</x:v>
      </x:c>
      <x:c r="I2787" s="40" t="n">
        <x:f>ABS(H2787)</x:f>
        <x:v>0.3172859191894535</x:v>
      </x:c>
      <x:c r="J2787" s="40" t="n">
        <x:f>H2787^2</x:f>
        <x:v>0.1006703545158964</x:v>
      </x:c>
      <x:c r="K2787" s="40" t="n">
        <x:f>G2787-E2787</x:f>
        <x:v>0</x:v>
      </x:c>
      <x:c r="L2787" s="40" t="n">
        <x:f>ABS(K2787)</x:f>
        <x:v>0</x:v>
      </x:c>
      <x:c r="M2787" s="41" t="str">
        <x:v>lstm-soil-v1</x:v>
      </x:c>
    </x:row>
    <x:row r="2788">
      <x:c r="A2788" s="38" t="str">
        <x:v>7月30日现场数据</x:v>
      </x:c>
      <x:c r="B2788" s="39" t="str">
        <x:v>2026-08-02T23:35:00</x:v>
      </x:c>
      <x:c r="C2788" s="39" t="str">
        <x:v>2026-08-02T23:40:00</x:v>
      </x:c>
      <x:c r="D2788" s="47" t="n">
        <x:v>5</x:v>
      </x:c>
      <x:c r="E2788" s="40" t="n">
        <x:v>14.6</x:v>
      </x:c>
      <x:c r="F2788" s="40" t="n">
        <x:v>12.68966293334961</x:v>
      </x:c>
      <x:c r="G2788" s="40" t="n">
        <x:v>14.5</x:v>
      </x:c>
      <x:c r="H2788" s="40" t="n">
        <x:f>F2788-E2788</x:f>
        <x:v>-1.9103370666503903</x:v>
      </x:c>
      <x:c r="I2788" s="40" t="n">
        <x:f>ABS(H2788)</x:f>
        <x:v>1.9103370666503903</x:v>
      </x:c>
      <x:c r="J2788" s="40" t="n">
        <x:f>H2788^2</x:f>
        <x:v>3.6493877082184176</x:v>
      </x:c>
      <x:c r="K2788" s="40" t="n">
        <x:f>G2788-E2788</x:f>
        <x:v>-0.09999999999999964</x:v>
      </x:c>
      <x:c r="L2788" s="40" t="n">
        <x:f>ABS(K2788)</x:f>
        <x:v>0.09999999999999964</x:v>
      </x:c>
      <x:c r="M2788" s="41" t="str">
        <x:v>lstm-soil-v1</x:v>
      </x:c>
    </x:row>
    <x:row r="2789">
      <x:c r="A2789" s="38" t="str">
        <x:v>7月30日现场数据</x:v>
      </x:c>
      <x:c r="B2789" s="39" t="str">
        <x:v>2026-08-02T23:35:00</x:v>
      </x:c>
      <x:c r="C2789" s="39" t="str">
        <x:v>2026-08-02T23:50:00</x:v>
      </x:c>
      <x:c r="D2789" s="47" t="n">
        <x:v>15</x:v>
      </x:c>
      <x:c r="E2789" s="40" t="n">
        <x:v>14.6</x:v>
      </x:c>
      <x:c r="F2789" s="40" t="n">
        <x:v>12.756778717041016</x:v>
      </x:c>
      <x:c r="G2789" s="40" t="n">
        <x:v>14.5</x:v>
      </x:c>
      <x:c r="H2789" s="40" t="n">
        <x:f>F2789-E2789</x:f>
        <x:v>-1.843221282958984</x:v>
      </x:c>
      <x:c r="I2789" s="40" t="n">
        <x:f>ABS(H2789)</x:f>
        <x:v>1.843221282958984</x:v>
      </x:c>
      <x:c r="J2789" s="40" t="n">
        <x:f>H2789^2</x:f>
        <x:v>3.3974646979529632</x:v>
      </x:c>
      <x:c r="K2789" s="40" t="n">
        <x:f>G2789-E2789</x:f>
        <x:v>-0.09999999999999964</x:v>
      </x:c>
      <x:c r="L2789" s="40" t="n">
        <x:f>ABS(K2789)</x:f>
        <x:v>0.09999999999999964</x:v>
      </x:c>
      <x:c r="M2789" s="41" t="str">
        <x:v>lstm-soil-v1</x:v>
      </x:c>
    </x:row>
    <x:row r="2790">
      <x:c r="A2790" s="38" t="str">
        <x:v>7月30日现场数据</x:v>
      </x:c>
      <x:c r="B2790" s="39" t="str">
        <x:v>2026-08-02T23:35:00</x:v>
      </x:c>
      <x:c r="C2790" s="39" t="str">
        <x:v>2026-08-03T00:05:00</x:v>
      </x:c>
      <x:c r="D2790" s="47" t="n">
        <x:v>30</x:v>
      </x:c>
      <x:c r="E2790" s="40" t="n">
        <x:v>14.6</x:v>
      </x:c>
      <x:c r="F2790" s="40" t="n">
        <x:v>13.189823150634766</x:v>
      </x:c>
      <x:c r="G2790" s="40" t="n">
        <x:v>14.5</x:v>
      </x:c>
      <x:c r="H2790" s="40" t="n">
        <x:f>F2790-E2790</x:f>
        <x:v>-1.410176849365234</x:v>
      </x:c>
      <x:c r="I2790" s="40" t="n">
        <x:f>ABS(H2790)</x:f>
        <x:v>1.410176849365234</x:v>
      </x:c>
      <x:c r="J2790" s="40" t="n">
        <x:f>H2790^2</x:f>
        <x:v>1.9885987464856578</x:v>
      </x:c>
      <x:c r="K2790" s="40" t="n">
        <x:f>G2790-E2790</x:f>
        <x:v>-0.09999999999999964</x:v>
      </x:c>
      <x:c r="L2790" s="40" t="n">
        <x:f>ABS(K2790)</x:f>
        <x:v>0.09999999999999964</x:v>
      </x:c>
      <x:c r="M2790" s="41" t="str">
        <x:v>lstm-soil-v1</x:v>
      </x:c>
    </x:row>
    <x:row r="2791">
      <x:c r="A2791" s="38" t="str">
        <x:v>7月30日现场数据</x:v>
      </x:c>
      <x:c r="B2791" s="39" t="str">
        <x:v>2026-08-02T23:35:00</x:v>
      </x:c>
      <x:c r="C2791" s="39" t="str">
        <x:v>2026-08-03T00:35:00</x:v>
      </x:c>
      <x:c r="D2791" s="47" t="n">
        <x:v>60</x:v>
      </x:c>
      <x:c r="E2791" s="40" t="n">
        <x:v>14.6</x:v>
      </x:c>
      <x:c r="F2791" s="40" t="n">
        <x:v>14.807380676269531</x:v>
      </x:c>
      <x:c r="G2791" s="40" t="n">
        <x:v>14.5</x:v>
      </x:c>
      <x:c r="H2791" s="40" t="n">
        <x:f>F2791-E2791</x:f>
        <x:v>0.2073806762695316</x:v>
      </x:c>
      <x:c r="I2791" s="40" t="n">
        <x:f>ABS(H2791)</x:f>
        <x:v>0.2073806762695316</x:v>
      </x:c>
      <x:c r="J2791" s="40" t="n">
        <x:f>H2791^2</x:f>
        <x:v>0.04300674489000827</x:v>
      </x:c>
      <x:c r="K2791" s="40" t="n">
        <x:f>G2791-E2791</x:f>
        <x:v>-0.09999999999999964</x:v>
      </x:c>
      <x:c r="L2791" s="40" t="n">
        <x:f>ABS(K2791)</x:f>
        <x:v>0.09999999999999964</x:v>
      </x:c>
      <x:c r="M2791" s="41" t="str">
        <x:v>lstm-soil-v1</x:v>
      </x:c>
    </x:row>
    <x:row r="2792">
      <x:c r="A2792" s="38" t="str">
        <x:v>7月30日现场数据</x:v>
      </x:c>
      <x:c r="B2792" s="39" t="str">
        <x:v>2026-08-02T23:40:00</x:v>
      </x:c>
      <x:c r="C2792" s="39" t="str">
        <x:v>2026-08-02T23:45:00</x:v>
      </x:c>
      <x:c r="D2792" s="47" t="n">
        <x:v>5</x:v>
      </x:c>
      <x:c r="E2792" s="40" t="n">
        <x:v>14.5</x:v>
      </x:c>
      <x:c r="F2792" s="40" t="n">
        <x:v>12.800125122070312</x:v>
      </x:c>
      <x:c r="G2792" s="40" t="n">
        <x:v>14.6</x:v>
      </x:c>
      <x:c r="H2792" s="40" t="n">
        <x:f>F2792-E2792</x:f>
        <x:v>-1.6998748779296875</x:v>
      </x:c>
      <x:c r="I2792" s="40" t="n">
        <x:f>ABS(H2792)</x:f>
        <x:v>1.6998748779296875</x:v>
      </x:c>
      <x:c r="J2792" s="40" t="n">
        <x:f>H2792^2</x:f>
        <x:v>2.88957460061647</x:v>
      </x:c>
      <x:c r="K2792" s="40" t="n">
        <x:f>G2792-E2792</x:f>
        <x:v>0.09999999999999964</x:v>
      </x:c>
      <x:c r="L2792" s="40" t="n">
        <x:f>ABS(K2792)</x:f>
        <x:v>0.09999999999999964</x:v>
      </x:c>
      <x:c r="M2792" s="41" t="str">
        <x:v>lstm-soil-v1</x:v>
      </x:c>
    </x:row>
    <x:row r="2793">
      <x:c r="A2793" s="38" t="str">
        <x:v>7月30日现场数据</x:v>
      </x:c>
      <x:c r="B2793" s="39" t="str">
        <x:v>2026-08-02T23:40:00</x:v>
      </x:c>
      <x:c r="C2793" s="39" t="str">
        <x:v>2026-08-02T23:55:00</x:v>
      </x:c>
      <x:c r="D2793" s="47" t="n">
        <x:v>15</x:v>
      </x:c>
      <x:c r="E2793" s="40" t="n">
        <x:v>14.6</x:v>
      </x:c>
      <x:c r="F2793" s="40" t="n">
        <x:v>12.866897583007812</x:v>
      </x:c>
      <x:c r="G2793" s="40" t="n">
        <x:v>14.6</x:v>
      </x:c>
      <x:c r="H2793" s="40" t="n">
        <x:f>F2793-E2793</x:f>
        <x:v>-1.7331024169921871</x:v>
      </x:c>
      <x:c r="I2793" s="40" t="n">
        <x:f>ABS(H2793)</x:f>
        <x:v>1.7331024169921871</x:v>
      </x:c>
      <x:c r="J2793" s="40" t="n">
        <x:f>H2793^2</x:f>
        <x:v>3.003643987784161</x:v>
      </x:c>
      <x:c r="K2793" s="40" t="n">
        <x:f>G2793-E2793</x:f>
        <x:v>0</x:v>
      </x:c>
      <x:c r="L2793" s="40" t="n">
        <x:f>ABS(K2793)</x:f>
        <x:v>0</x:v>
      </x:c>
      <x:c r="M2793" s="41" t="str">
        <x:v>lstm-soil-v1</x:v>
      </x:c>
    </x:row>
    <x:row r="2794">
      <x:c r="A2794" s="38" t="str">
        <x:v>7月30日现场数据</x:v>
      </x:c>
      <x:c r="B2794" s="39" t="str">
        <x:v>2026-08-02T23:40:00</x:v>
      </x:c>
      <x:c r="C2794" s="39" t="str">
        <x:v>2026-08-03T00:10:00</x:v>
      </x:c>
      <x:c r="D2794" s="47" t="n">
        <x:v>30</x:v>
      </x:c>
      <x:c r="E2794" s="40" t="n">
        <x:v>14.6</x:v>
      </x:c>
      <x:c r="F2794" s="40" t="n">
        <x:v>13.300800323486328</x:v>
      </x:c>
      <x:c r="G2794" s="40" t="n">
        <x:v>14.6</x:v>
      </x:c>
      <x:c r="H2794" s="40" t="n">
        <x:f>F2794-E2794</x:f>
        <x:v>-1.2991996765136715</x:v>
      </x:c>
      <x:c r="I2794" s="40" t="n">
        <x:f>ABS(H2794)</x:f>
        <x:v>1.2991996765136715</x:v>
      </x:c>
      <x:c r="J2794" s="40" t="n">
        <x:f>H2794^2</x:f>
        <x:v>1.6879197994532287</x:v>
      </x:c>
      <x:c r="K2794" s="40" t="n">
        <x:f>G2794-E2794</x:f>
        <x:v>0</x:v>
      </x:c>
      <x:c r="L2794" s="40" t="n">
        <x:f>ABS(K2794)</x:f>
        <x:v>0</x:v>
      </x:c>
      <x:c r="M2794" s="41" t="str">
        <x:v>lstm-soil-v1</x:v>
      </x:c>
    </x:row>
    <x:row r="2795">
      <x:c r="A2795" s="38" t="str">
        <x:v>7月30日现场数据</x:v>
      </x:c>
      <x:c r="B2795" s="39" t="str">
        <x:v>2026-08-02T23:40:00</x:v>
      </x:c>
      <x:c r="C2795" s="39" t="str">
        <x:v>2026-08-03T00:40:00</x:v>
      </x:c>
      <x:c r="D2795" s="47" t="n">
        <x:v>60</x:v>
      </x:c>
      <x:c r="E2795" s="40" t="n">
        <x:v>14.6</x:v>
      </x:c>
      <x:c r="F2795" s="40" t="n">
        <x:v>14.917961120605469</x:v>
      </x:c>
      <x:c r="G2795" s="40" t="n">
        <x:v>14.6</x:v>
      </x:c>
      <x:c r="H2795" s="40" t="n">
        <x:f>F2795-E2795</x:f>
        <x:v>0.3179611206054691</x:v>
      </x:c>
      <x:c r="I2795" s="40" t="n">
        <x:f>ABS(H2795)</x:f>
        <x:v>0.3179611206054691</x:v>
      </x:c>
      <x:c r="J2795" s="40" t="n">
        <x:f>H2795^2</x:f>
        <x:v>0.10109927421668567</x:v>
      </x:c>
      <x:c r="K2795" s="40" t="n">
        <x:f>G2795-E2795</x:f>
        <x:v>0</x:v>
      </x:c>
      <x:c r="L2795" s="40" t="n">
        <x:f>ABS(K2795)</x:f>
        <x:v>0</x:v>
      </x:c>
      <x:c r="M2795" s="41" t="str">
        <x:v>lstm-soil-v1</x:v>
      </x:c>
    </x:row>
    <x:row r="2796">
      <x:c r="A2796" s="38" t="str">
        <x:v>7月30日现场数据</x:v>
      </x:c>
      <x:c r="B2796" s="39" t="str">
        <x:v>2026-08-02T23:45:00</x:v>
      </x:c>
      <x:c r="C2796" s="39" t="str">
        <x:v>2026-08-02T23:50:00</x:v>
      </x:c>
      <x:c r="D2796" s="47" t="n">
        <x:v>5</x:v>
      </x:c>
      <x:c r="E2796" s="40" t="n">
        <x:v>14.6</x:v>
      </x:c>
      <x:c r="F2796" s="40" t="n">
        <x:v>12.69015884399414</x:v>
      </x:c>
      <x:c r="G2796" s="40" t="n">
        <x:v>14.5</x:v>
      </x:c>
      <x:c r="H2796" s="40" t="n">
        <x:f>F2796-E2796</x:f>
        <x:v>-1.909841156005859</x:v>
      </x:c>
      <x:c r="I2796" s="40" t="n">
        <x:f>ABS(H2796)</x:f>
        <x:v>1.909841156005859</x:v>
      </x:c>
      <x:c r="J2796" s="40" t="n">
        <x:f>H2796^2</x:f>
        <x:v>3.647493241173796</x:v>
      </x:c>
      <x:c r="K2796" s="40" t="n">
        <x:f>G2796-E2796</x:f>
        <x:v>-0.09999999999999964</x:v>
      </x:c>
      <x:c r="L2796" s="40" t="n">
        <x:f>ABS(K2796)</x:f>
        <x:v>0.09999999999999964</x:v>
      </x:c>
      <x:c r="M2796" s="41" t="str">
        <x:v>lstm-soil-v1</x:v>
      </x:c>
    </x:row>
    <x:row r="2797">
      <x:c r="A2797" s="38" t="str">
        <x:v>7月30日现场数据</x:v>
      </x:c>
      <x:c r="B2797" s="39" t="str">
        <x:v>2026-08-02T23:45:00</x:v>
      </x:c>
      <x:c r="C2797" s="39" t="str">
        <x:v>2026-08-03T00:00:00</x:v>
      </x:c>
      <x:c r="D2797" s="47" t="n">
        <x:v>15</x:v>
      </x:c>
      <x:c r="E2797" s="40" t="n">
        <x:v>14.6</x:v>
      </x:c>
      <x:c r="F2797" s="40" t="n">
        <x:v>12.756755828857422</x:v>
      </x:c>
      <x:c r="G2797" s="40" t="n">
        <x:v>14.5</x:v>
      </x:c>
      <x:c r="H2797" s="40" t="n">
        <x:f>F2797-E2797</x:f>
        <x:v>-1.8432441711425778</x:v>
      </x:c>
      <x:c r="I2797" s="40" t="n">
        <x:f>ABS(H2797)</x:f>
        <x:v>1.8432441711425778</x:v>
      </x:c>
      <x:c r="J2797" s="40" t="n">
        <x:f>H2797^2</x:f>
        <x:v>3.3975490744510886</x:v>
      </x:c>
      <x:c r="K2797" s="40" t="n">
        <x:f>G2797-E2797</x:f>
        <x:v>-0.09999999999999964</x:v>
      </x:c>
      <x:c r="L2797" s="40" t="n">
        <x:f>ABS(K2797)</x:f>
        <x:v>0.09999999999999964</x:v>
      </x:c>
      <x:c r="M2797" s="41" t="str">
        <x:v>lstm-soil-v1</x:v>
      </x:c>
    </x:row>
    <x:row r="2798">
      <x:c r="A2798" s="38" t="str">
        <x:v>7月30日现场数据</x:v>
      </x:c>
      <x:c r="B2798" s="39" t="str">
        <x:v>2026-08-02T23:45:00</x:v>
      </x:c>
      <x:c r="C2798" s="39" t="str">
        <x:v>2026-08-03T00:15:00</x:v>
      </x:c>
      <x:c r="D2798" s="47" t="n">
        <x:v>30</x:v>
      </x:c>
      <x:c r="E2798" s="40" t="n">
        <x:v>14.6</x:v>
      </x:c>
      <x:c r="F2798" s="40" t="n">
        <x:v>13.191280364990234</x:v>
      </x:c>
      <x:c r="G2798" s="40" t="n">
        <x:v>14.5</x:v>
      </x:c>
      <x:c r="H2798" s="40" t="n">
        <x:f>F2798-E2798</x:f>
        <x:v>-1.4087196350097653</x:v>
      </x:c>
      <x:c r="I2798" s="40" t="n">
        <x:f>ABS(H2798)</x:f>
        <x:v>1.4087196350097653</x:v>
      </x:c>
      <x:c r="J2798" s="40" t="n">
        <x:f>H2798^2</x:f>
        <x:v>1.9844910100620463</x:v>
      </x:c>
      <x:c r="K2798" s="40" t="n">
        <x:f>G2798-E2798</x:f>
        <x:v>-0.09999999999999964</x:v>
      </x:c>
      <x:c r="L2798" s="40" t="n">
        <x:f>ABS(K2798)</x:f>
        <x:v>0.09999999999999964</x:v>
      </x:c>
      <x:c r="M2798" s="41" t="str">
        <x:v>lstm-soil-v1</x:v>
      </x:c>
    </x:row>
    <x:row r="2799">
      <x:c r="A2799" s="38" t="str">
        <x:v>7月30日现场数据</x:v>
      </x:c>
      <x:c r="B2799" s="39" t="str">
        <x:v>2026-08-02T23:45:00</x:v>
      </x:c>
      <x:c r="C2799" s="39" t="str">
        <x:v>2026-08-03T00:45:00</x:v>
      </x:c>
      <x:c r="D2799" s="47" t="n">
        <x:v>60</x:v>
      </x:c>
      <x:c r="E2799" s="40" t="n">
        <x:v>14.5</x:v>
      </x:c>
      <x:c r="F2799" s="40" t="n">
        <x:v>14.808124542236328</x:v>
      </x:c>
      <x:c r="G2799" s="40" t="n">
        <x:v>14.5</x:v>
      </x:c>
      <x:c r="H2799" s="40" t="n">
        <x:f>F2799-E2799</x:f>
        <x:v>0.3081245422363281</x:v>
      </x:c>
      <x:c r="I2799" s="40" t="n">
        <x:f>ABS(H2799)</x:f>
        <x:v>0.3081245422363281</x:v>
      </x:c>
      <x:c r="J2799" s="40" t="n">
        <x:f>H2799^2</x:f>
        <x:v>0.09494073352834675</x:v>
      </x:c>
      <x:c r="K2799" s="40" t="n">
        <x:f>G2799-E2799</x:f>
        <x:v>0</x:v>
      </x:c>
      <x:c r="L2799" s="40" t="n">
        <x:f>ABS(K2799)</x:f>
        <x:v>0</x:v>
      </x:c>
      <x:c r="M2799" s="41" t="str">
        <x:v>lstm-soil-v1</x:v>
      </x:c>
    </x:row>
    <x:row r="2800">
      <x:c r="A2800" s="38" t="str">
        <x:v>7月30日现场数据</x:v>
      </x:c>
      <x:c r="B2800" s="39" t="str">
        <x:v>2026-08-02T23:50:00</x:v>
      </x:c>
      <x:c r="C2800" s="39" t="str">
        <x:v>2026-08-02T23:55:00</x:v>
      </x:c>
      <x:c r="D2800" s="47" t="n">
        <x:v>5</x:v>
      </x:c>
      <x:c r="E2800" s="40" t="n">
        <x:v>14.6</x:v>
      </x:c>
      <x:c r="F2800" s="40" t="n">
        <x:v>12.800559997558594</x:v>
      </x:c>
      <x:c r="G2800" s="40" t="n">
        <x:v>14.6</x:v>
      </x:c>
      <x:c r="H2800" s="40" t="n">
        <x:f>F2800-E2800</x:f>
        <x:v>-1.799440002441406</x:v>
      </x:c>
      <x:c r="I2800" s="40" t="n">
        <x:f>ABS(H2800)</x:f>
        <x:v>1.799440002441406</x:v>
      </x:c>
      <x:c r="J2800" s="40" t="n">
        <x:f>H2800^2</x:f>
        <x:v>3.237984322386327</x:v>
      </x:c>
      <x:c r="K2800" s="40" t="n">
        <x:f>G2800-E2800</x:f>
        <x:v>0</x:v>
      </x:c>
      <x:c r="L2800" s="40" t="n">
        <x:f>ABS(K2800)</x:f>
        <x:v>0</x:v>
      </x:c>
      <x:c r="M2800" s="41" t="str">
        <x:v>lstm-soil-v1</x:v>
      </x:c>
    </x:row>
    <x:row r="2801">
      <x:c r="A2801" s="38" t="str">
        <x:v>7月30日现场数据</x:v>
      </x:c>
      <x:c r="B2801" s="39" t="str">
        <x:v>2026-08-02T23:50:00</x:v>
      </x:c>
      <x:c r="C2801" s="39" t="str">
        <x:v>2026-08-03T00:05:00</x:v>
      </x:c>
      <x:c r="D2801" s="47" t="n">
        <x:v>15</x:v>
      </x:c>
      <x:c r="E2801" s="40" t="n">
        <x:v>14.6</x:v>
      </x:c>
      <x:c r="F2801" s="40" t="n">
        <x:v>12.866912841796875</x:v>
      </x:c>
      <x:c r="G2801" s="40" t="n">
        <x:v>14.6</x:v>
      </x:c>
      <x:c r="H2801" s="40" t="n">
        <x:f>F2801-E2801</x:f>
        <x:v>-1.7330871582031246</x:v>
      </x:c>
      <x:c r="I2801" s="40" t="n">
        <x:f>ABS(H2801)</x:f>
        <x:v>1.7330871582031246</x:v>
      </x:c>
      <x:c r="J2801" s="40" t="n">
        <x:f>H2801^2</x:f>
        <x:v>3.0035910979285823</x:v>
      </x:c>
      <x:c r="K2801" s="40" t="n">
        <x:f>G2801-E2801</x:f>
        <x:v>0</x:v>
      </x:c>
      <x:c r="L2801" s="40" t="n">
        <x:f>ABS(K2801)</x:f>
        <x:v>0</x:v>
      </x:c>
      <x:c r="M2801" s="41" t="str">
        <x:v>lstm-soil-v1</x:v>
      </x:c>
    </x:row>
    <x:row r="2802">
      <x:c r="A2802" s="38" t="str">
        <x:v>7月30日现场数据</x:v>
      </x:c>
      <x:c r="B2802" s="39" t="str">
        <x:v>2026-08-02T23:50:00</x:v>
      </x:c>
      <x:c r="C2802" s="39" t="str">
        <x:v>2026-08-03T00:20:00</x:v>
      </x:c>
      <x:c r="D2802" s="47" t="n">
        <x:v>30</x:v>
      </x:c>
      <x:c r="E2802" s="40" t="n">
        <x:v>14.6</x:v>
      </x:c>
      <x:c r="F2802" s="40" t="n">
        <x:v>13.301982879638672</x:v>
      </x:c>
      <x:c r="G2802" s="40" t="n">
        <x:v>14.6</x:v>
      </x:c>
      <x:c r="H2802" s="40" t="n">
        <x:f>F2802-E2802</x:f>
        <x:v>-1.2980171203613278</x:v>
      </x:c>
      <x:c r="I2802" s="40" t="n">
        <x:f>ABS(H2802)</x:f>
        <x:v>1.2980171203613278</x:v>
      </x:c>
      <x:c r="J2802" s="40" t="n">
        <x:f>H2802^2</x:f>
        <x:v>1.6848484447511136</x:v>
      </x:c>
      <x:c r="K2802" s="40" t="n">
        <x:f>G2802-E2802</x:f>
        <x:v>0</x:v>
      </x:c>
      <x:c r="L2802" s="40" t="n">
        <x:f>ABS(K2802)</x:f>
        <x:v>0</x:v>
      </x:c>
      <x:c r="M2802" s="41" t="str">
        <x:v>lstm-soil-v1</x:v>
      </x:c>
    </x:row>
    <x:row r="2803">
      <x:c r="A2803" s="38" t="str">
        <x:v>7月30日现场数据</x:v>
      </x:c>
      <x:c r="B2803" s="39" t="str">
        <x:v>2026-08-02T23:50:00</x:v>
      </x:c>
      <x:c r="C2803" s="39" t="str">
        <x:v>2026-08-03T00:50:00</x:v>
      </x:c>
      <x:c r="D2803" s="47" t="n">
        <x:v>60</x:v>
      </x:c>
      <x:c r="E2803" s="40" t="n">
        <x:v>14.5</x:v>
      </x:c>
      <x:c r="F2803" s="40" t="n">
        <x:v>14.918663024902344</x:v>
      </x:c>
      <x:c r="G2803" s="40" t="n">
        <x:v>14.6</x:v>
      </x:c>
      <x:c r="H2803" s="40" t="n">
        <x:f>F2803-E2803</x:f>
        <x:v>0.41866302490234375</x:v>
      </x:c>
      <x:c r="I2803" s="40" t="n">
        <x:f>ABS(H2803)</x:f>
        <x:v>0.41866302490234375</x:v>
      </x:c>
      <x:c r="J2803" s="40" t="n">
        <x:f>H2803^2</x:f>
        <x:v>0.1752787284203805</x:v>
      </x:c>
      <x:c r="K2803" s="40" t="n">
        <x:f>G2803-E2803</x:f>
        <x:v>0.09999999999999964</x:v>
      </x:c>
      <x:c r="L2803" s="40" t="n">
        <x:f>ABS(K2803)</x:f>
        <x:v>0.09999999999999964</x:v>
      </x:c>
      <x:c r="M2803" s="41" t="str">
        <x:v>lstm-soil-v1</x:v>
      </x:c>
    </x:row>
    <x:row r="2804">
      <x:c r="A2804" s="38" t="str">
        <x:v>7月30日现场数据</x:v>
      </x:c>
      <x:c r="B2804" s="39" t="str">
        <x:v>2026-08-02T23:55:00</x:v>
      </x:c>
      <x:c r="C2804" s="39" t="str">
        <x:v>2026-08-03T00:00:00</x:v>
      </x:c>
      <x:c r="D2804" s="47" t="n">
        <x:v>5</x:v>
      </x:c>
      <x:c r="E2804" s="40" t="n">
        <x:v>14.6</x:v>
      </x:c>
      <x:c r="F2804" s="40" t="n">
        <x:v>12.800857543945312</x:v>
      </x:c>
      <x:c r="G2804" s="40" t="n">
        <x:v>14.6</x:v>
      </x:c>
      <x:c r="H2804" s="40" t="n">
        <x:f>F2804-E2804</x:f>
        <x:v>-1.7991424560546871</x:v>
      </x:c>
      <x:c r="I2804" s="40" t="n">
        <x:f>ABS(H2804)</x:f>
        <x:v>1.7991424560546871</x:v>
      </x:c>
      <x:c r="J2804" s="40" t="n">
        <x:f>H2804^2</x:f>
        <x:v>3.236913577178492</x:v>
      </x:c>
      <x:c r="K2804" s="40" t="n">
        <x:f>G2804-E2804</x:f>
        <x:v>0</x:v>
      </x:c>
      <x:c r="L2804" s="40" t="n">
        <x:f>ABS(K2804)</x:f>
        <x:v>0</x:v>
      </x:c>
      <x:c r="M2804" s="41" t="str">
        <x:v>lstm-soil-v1</x:v>
      </x:c>
    </x:row>
    <x:row r="2805">
      <x:c r="A2805" s="38" t="str">
        <x:v>7月30日现场数据</x:v>
      </x:c>
      <x:c r="B2805" s="39" t="str">
        <x:v>2026-08-02T23:55:00</x:v>
      </x:c>
      <x:c r="C2805" s="39" t="str">
        <x:v>2026-08-03T00:10:00</x:v>
      </x:c>
      <x:c r="D2805" s="47" t="n">
        <x:v>15</x:v>
      </x:c>
      <x:c r="E2805" s="40" t="n">
        <x:v>14.6</x:v>
      </x:c>
      <x:c r="F2805" s="40" t="n">
        <x:v>12.867034912109375</x:v>
      </x:c>
      <x:c r="G2805" s="40" t="n">
        <x:v>14.6</x:v>
      </x:c>
      <x:c r="H2805" s="40" t="n">
        <x:f>F2805-E2805</x:f>
        <x:v>-1.7329650878906246</x:v>
      </x:c>
      <x:c r="I2805" s="40" t="n">
        <x:f>ABS(H2805)</x:f>
        <x:v>1.7329650878906246</x:v>
      </x:c>
      <x:c r="J2805" s="40" t="n">
        <x:f>H2805^2</x:f>
        <x:v>3.0031679958477606</x:v>
      </x:c>
      <x:c r="K2805" s="40" t="n">
        <x:f>G2805-E2805</x:f>
        <x:v>0</x:v>
      </x:c>
      <x:c r="L2805" s="40" t="n">
        <x:f>ABS(K2805)</x:f>
        <x:v>0</x:v>
      </x:c>
      <x:c r="M2805" s="41" t="str">
        <x:v>lstm-soil-v1</x:v>
      </x:c>
    </x:row>
    <x:row r="2806">
      <x:c r="A2806" s="38" t="str">
        <x:v>7月30日现场数据</x:v>
      </x:c>
      <x:c r="B2806" s="39" t="str">
        <x:v>2026-08-02T23:55:00</x:v>
      </x:c>
      <x:c r="C2806" s="39" t="str">
        <x:v>2026-08-03T00:25:00</x:v>
      </x:c>
      <x:c r="D2806" s="47" t="n">
        <x:v>30</x:v>
      </x:c>
      <x:c r="E2806" s="40" t="n">
        <x:v>14.5</x:v>
      </x:c>
      <x:c r="F2806" s="40" t="n">
        <x:v>13.302486419677734</x:v>
      </x:c>
      <x:c r="G2806" s="40" t="n">
        <x:v>14.6</x:v>
      </x:c>
      <x:c r="H2806" s="40" t="n">
        <x:f>F2806-E2806</x:f>
        <x:v>-1.1975135803222656</x:v>
      </x:c>
      <x:c r="I2806" s="40" t="n">
        <x:f>ABS(H2806)</x:f>
        <x:v>1.1975135803222656</x:v>
      </x:c>
      <x:c r="J2806" s="40" t="n">
        <x:f>H2806^2</x:f>
        <x:v>1.4340387750562513</x:v>
      </x:c>
      <x:c r="K2806" s="40" t="n">
        <x:f>G2806-E2806</x:f>
        <x:v>0.09999999999999964</x:v>
      </x:c>
      <x:c r="L2806" s="40" t="n">
        <x:f>ABS(K2806)</x:f>
        <x:v>0.09999999999999964</x:v>
      </x:c>
      <x:c r="M2806" s="41" t="str">
        <x:v>lstm-soil-v1</x:v>
      </x:c>
    </x:row>
    <x:row r="2807">
      <x:c r="A2807" s="38" t="str">
        <x:v>7月30日现场数据</x:v>
      </x:c>
      <x:c r="B2807" s="39" t="str">
        <x:v>2026-08-02T23:55:00</x:v>
      </x:c>
      <x:c r="C2807" s="39" t="str">
        <x:v>2026-08-03T00:55:00</x:v>
      </x:c>
      <x:c r="D2807" s="47" t="n">
        <x:v>60</x:v>
      </x:c>
      <x:c r="E2807" s="40" t="n">
        <x:v>14.6</x:v>
      </x:c>
      <x:c r="F2807" s="40" t="n">
        <x:v>14.919059753417969</x:v>
      </x:c>
      <x:c r="G2807" s="40" t="n">
        <x:v>14.6</x:v>
      </x:c>
      <x:c r="H2807" s="40" t="n">
        <x:f>F2807-E2807</x:f>
        <x:v>0.3190597534179691</x:v>
      </x:c>
      <x:c r="I2807" s="40" t="n">
        <x:f>ABS(H2807)</x:f>
        <x:v>0.3190597534179691</x:v>
      </x:c>
      <x:c r="J2807" s="40" t="n">
        <x:f>H2807^2</x:f>
        <x:v>0.10179912625113524</x:v>
      </x:c>
      <x:c r="K2807" s="40" t="n">
        <x:f>G2807-E2807</x:f>
        <x:v>0</x:v>
      </x:c>
      <x:c r="L2807" s="40" t="n">
        <x:f>ABS(K2807)</x:f>
        <x:v>0</x:v>
      </x:c>
      <x:c r="M2807" s="41" t="str">
        <x:v>lstm-soil-v1</x:v>
      </x:c>
    </x:row>
    <x:row r="2808">
      <x:c r="A2808" s="38" t="str">
        <x:v>7月30日现场数据</x:v>
      </x:c>
      <x:c r="B2808" s="39" t="str">
        <x:v>2026-08-03T00:00:00</x:v>
      </x:c>
      <x:c r="C2808" s="39" t="str">
        <x:v>2026-08-03T00:05:00</x:v>
      </x:c>
      <x:c r="D2808" s="47" t="n">
        <x:v>5</x:v>
      </x:c>
      <x:c r="E2808" s="40" t="n">
        <x:v>14.6</x:v>
      </x:c>
      <x:c r="F2808" s="40" t="n">
        <x:v>12.797557830810547</x:v>
      </x:c>
      <x:c r="G2808" s="40" t="n">
        <x:v>14.6</x:v>
      </x:c>
      <x:c r="H2808" s="40" t="n">
        <x:f>F2808-E2808</x:f>
        <x:v>-1.8024421691894528</x:v>
      </x:c>
      <x:c r="I2808" s="40" t="n">
        <x:f>ABS(H2808)</x:f>
        <x:v>1.8024421691894528</x:v>
      </x:c>
      <x:c r="J2808" s="40" t="n">
        <x:f>H2808^2</x:f>
        <x:v>3.24879777327238</x:v>
      </x:c>
      <x:c r="K2808" s="40" t="n">
        <x:f>G2808-E2808</x:f>
        <x:v>0</x:v>
      </x:c>
      <x:c r="L2808" s="40" t="n">
        <x:f>ABS(K2808)</x:f>
        <x:v>0</x:v>
      </x:c>
      <x:c r="M2808" s="41" t="str">
        <x:v>lstm-soil-v1</x:v>
      </x:c>
    </x:row>
    <x:row r="2809">
      <x:c r="A2809" s="38" t="str">
        <x:v>7月30日现场数据</x:v>
      </x:c>
      <x:c r="B2809" s="39" t="str">
        <x:v>2026-08-03T00:00:00</x:v>
      </x:c>
      <x:c r="C2809" s="39" t="str">
        <x:v>2026-08-03T00:15:00</x:v>
      </x:c>
      <x:c r="D2809" s="47" t="n">
        <x:v>15</x:v>
      </x:c>
      <x:c r="E2809" s="40" t="n">
        <x:v>14.6</x:v>
      </x:c>
      <x:c r="F2809" s="40" t="n">
        <x:v>12.864418029785156</x:v>
      </x:c>
      <x:c r="G2809" s="40" t="n">
        <x:v>14.6</x:v>
      </x:c>
      <x:c r="H2809" s="40" t="n">
        <x:f>F2809-E2809</x:f>
        <x:v>-1.7355819702148434</x:v>
      </x:c>
      <x:c r="I2809" s="40" t="n">
        <x:f>ABS(H2809)</x:f>
        <x:v>1.7355819702148434</x:v>
      </x:c>
      <x:c r="J2809" s="40" t="n">
        <x:f>H2809^2</x:f>
        <x:v>3.0122447753348376</x:v>
      </x:c>
      <x:c r="K2809" s="40" t="n">
        <x:f>G2809-E2809</x:f>
        <x:v>0</x:v>
      </x:c>
      <x:c r="L2809" s="40" t="n">
        <x:f>ABS(K2809)</x:f>
        <x:v>0</x:v>
      </x:c>
      <x:c r="M2809" s="41" t="str">
        <x:v>lstm-soil-v1</x:v>
      </x:c>
    </x:row>
    <x:row r="2810">
      <x:c r="A2810" s="38" t="str">
        <x:v>7月30日现场数据</x:v>
      </x:c>
      <x:c r="B2810" s="39" t="str">
        <x:v>2026-08-03T00:00:00</x:v>
      </x:c>
      <x:c r="C2810" s="39" t="str">
        <x:v>2026-08-03T00:30:00</x:v>
      </x:c>
      <x:c r="D2810" s="47" t="n">
        <x:v>30</x:v>
      </x:c>
      <x:c r="E2810" s="40" t="n">
        <x:v>14.6</x:v>
      </x:c>
      <x:c r="F2810" s="40" t="n">
        <x:v>13.29861831665039</x:v>
      </x:c>
      <x:c r="G2810" s="40" t="n">
        <x:v>14.6</x:v>
      </x:c>
      <x:c r="H2810" s="40" t="n">
        <x:f>F2810-E2810</x:f>
        <x:v>-1.301381683349609</x:v>
      </x:c>
      <x:c r="I2810" s="40" t="n">
        <x:f>ABS(H2810)</x:f>
        <x:v>1.301381683349609</x:v>
      </x:c>
      <x:c r="J2810" s="40" t="n">
        <x:f>H2810^2</x:f>
        <x:v>1.693594285757862</x:v>
      </x:c>
      <x:c r="K2810" s="40" t="n">
        <x:f>G2810-E2810</x:f>
        <x:v>0</x:v>
      </x:c>
      <x:c r="L2810" s="40" t="n">
        <x:f>ABS(K2810)</x:f>
        <x:v>0</x:v>
      </x:c>
      <x:c r="M2810" s="41" t="str">
        <x:v>lstm-soil-v1</x:v>
      </x:c>
    </x:row>
    <x:row r="2811">
      <x:c r="A2811" s="38" t="str">
        <x:v>7月30日现场数据</x:v>
      </x:c>
      <x:c r="B2811" s="39" t="str">
        <x:v>2026-08-03T00:00:00</x:v>
      </x:c>
      <x:c r="C2811" s="39" t="str">
        <x:v>2026-08-03T01:00:00</x:v>
      </x:c>
      <x:c r="D2811" s="47" t="n">
        <x:v>60</x:v>
      </x:c>
      <x:c r="E2811" s="40" t="n">
        <x:v>14.5</x:v>
      </x:c>
      <x:c r="F2811" s="40" t="n">
        <x:v>14.91229248046875</x:v>
      </x:c>
      <x:c r="G2811" s="40" t="n">
        <x:v>14.6</x:v>
      </x:c>
      <x:c r="H2811" s="40" t="n">
        <x:f>F2811-E2811</x:f>
        <x:v>0.41229248046875</x:v>
      </x:c>
      <x:c r="I2811" s="40" t="n">
        <x:f>ABS(H2811)</x:f>
        <x:v>0.41229248046875</x:v>
      </x:c>
      <x:c r="J2811" s="40" t="n">
        <x:f>H2811^2</x:f>
        <x:v>0.1699850894510746</x:v>
      </x:c>
      <x:c r="K2811" s="40" t="n">
        <x:f>G2811-E2811</x:f>
        <x:v>0.09999999999999964</x:v>
      </x:c>
      <x:c r="L2811" s="40" t="n">
        <x:f>ABS(K2811)</x:f>
        <x:v>0.09999999999999964</x:v>
      </x:c>
      <x:c r="M2811" s="41" t="str">
        <x:v>lstm-soil-v1</x:v>
      </x:c>
    </x:row>
    <x:row r="2812">
      <x:c r="A2812" s="38" t="str">
        <x:v>7月30日现场数据</x:v>
      </x:c>
      <x:c r="B2812" s="39" t="str">
        <x:v>2026-08-03T00:05:00</x:v>
      </x:c>
      <x:c r="C2812" s="39" t="str">
        <x:v>2026-08-03T00:10:00</x:v>
      </x:c>
      <x:c r="D2812" s="47" t="n">
        <x:v>5</x:v>
      </x:c>
      <x:c r="E2812" s="40" t="n">
        <x:v>14.6</x:v>
      </x:c>
      <x:c r="F2812" s="40" t="n">
        <x:v>12.795646667480469</x:v>
      </x:c>
      <x:c r="G2812" s="40" t="n">
        <x:v>14.6</x:v>
      </x:c>
      <x:c r="H2812" s="40" t="n">
        <x:f>F2812-E2812</x:f>
        <x:v>-1.804353332519531</x:v>
      </x:c>
      <x:c r="I2812" s="40" t="n">
        <x:f>ABS(H2812)</x:f>
        <x:v>1.804353332519531</x:v>
      </x:c>
      <x:c r="J2812" s="40" t="n">
        <x:f>H2812^2</x:f>
        <x:v>3.255690948574337</x:v>
      </x:c>
      <x:c r="K2812" s="40" t="n">
        <x:f>G2812-E2812</x:f>
        <x:v>0</x:v>
      </x:c>
      <x:c r="L2812" s="40" t="n">
        <x:f>ABS(K2812)</x:f>
        <x:v>0</x:v>
      </x:c>
      <x:c r="M2812" s="41" t="str">
        <x:v>lstm-soil-v1</x:v>
      </x:c>
    </x:row>
    <x:row r="2813">
      <x:c r="A2813" s="38" t="str">
        <x:v>7月30日现场数据</x:v>
      </x:c>
      <x:c r="B2813" s="39" t="str">
        <x:v>2026-08-03T00:05:00</x:v>
      </x:c>
      <x:c r="C2813" s="39" t="str">
        <x:v>2026-08-03T00:20:00</x:v>
      </x:c>
      <x:c r="D2813" s="47" t="n">
        <x:v>15</x:v>
      </x:c>
      <x:c r="E2813" s="40" t="n">
        <x:v>14.6</x:v>
      </x:c>
      <x:c r="F2813" s="40" t="n">
        <x:v>12.86300277709961</x:v>
      </x:c>
      <x:c r="G2813" s="40" t="n">
        <x:v>14.6</x:v>
      </x:c>
      <x:c r="H2813" s="40" t="n">
        <x:f>F2813-E2813</x:f>
        <x:v>-1.7369972229003903</x:v>
      </x:c>
      <x:c r="I2813" s="40" t="n">
        <x:f>ABS(H2813)</x:f>
        <x:v>1.7369972229003903</x:v>
      </x:c>
      <x:c r="J2813" s="40" t="n">
        <x:f>H2813^2</x:f>
        <x:v>3.017159352363668</x:v>
      </x:c>
      <x:c r="K2813" s="40" t="n">
        <x:f>G2813-E2813</x:f>
        <x:v>0</x:v>
      </x:c>
      <x:c r="L2813" s="40" t="n">
        <x:f>ABS(K2813)</x:f>
        <x:v>0</x:v>
      </x:c>
      <x:c r="M2813" s="41" t="str">
        <x:v>lstm-soil-v1</x:v>
      </x:c>
    </x:row>
    <x:row r="2814">
      <x:c r="A2814" s="38" t="str">
        <x:v>7月30日现场数据</x:v>
      </x:c>
      <x:c r="B2814" s="39" t="str">
        <x:v>2026-08-03T00:05:00</x:v>
      </x:c>
      <x:c r="C2814" s="39" t="str">
        <x:v>2026-08-03T00:35:00</x:v>
      </x:c>
      <x:c r="D2814" s="47" t="n">
        <x:v>30</x:v>
      </x:c>
      <x:c r="E2814" s="40" t="n">
        <x:v>14.6</x:v>
      </x:c>
      <x:c r="F2814" s="40" t="n">
        <x:v>13.29800796508789</x:v>
      </x:c>
      <x:c r="G2814" s="40" t="n">
        <x:v>14.6</x:v>
      </x:c>
      <x:c r="H2814" s="40" t="n">
        <x:f>F2814-E2814</x:f>
        <x:v>-1.301992034912109</x:v>
      </x:c>
      <x:c r="I2814" s="40" t="n">
        <x:f>ABS(H2814)</x:f>
        <x:v>1.301992034912109</x:v>
      </x:c>
      <x:c r="J2814" s="40" t="n">
        <x:f>H2814^2</x:f>
        <x:v>1.6951832589745746</x:v>
      </x:c>
      <x:c r="K2814" s="40" t="n">
        <x:f>G2814-E2814</x:f>
        <x:v>0</x:v>
      </x:c>
      <x:c r="L2814" s="40" t="n">
        <x:f>ABS(K2814)</x:f>
        <x:v>0</x:v>
      </x:c>
      <x:c r="M2814" s="41" t="str">
        <x:v>lstm-soil-v1</x:v>
      </x:c>
    </x:row>
    <x:row r="2815">
      <x:c r="A2815" s="38" t="str">
        <x:v>7月30日现场数据</x:v>
      </x:c>
      <x:c r="B2815" s="39" t="str">
        <x:v>2026-08-03T00:05:00</x:v>
      </x:c>
      <x:c r="C2815" s="39" t="str">
        <x:v>2026-08-03T01:05:00</x:v>
      </x:c>
      <x:c r="D2815" s="47" t="n">
        <x:v>60</x:v>
      </x:c>
      <x:c r="E2815" s="40" t="n">
        <x:v>14.5</x:v>
      </x:c>
      <x:c r="F2815" s="40" t="n">
        <x:v>14.907394409179688</x:v>
      </x:c>
      <x:c r="G2815" s="40" t="n">
        <x:v>14.6</x:v>
      </x:c>
      <x:c r="H2815" s="40" t="n">
        <x:f>F2815-E2815</x:f>
        <x:v>0.4073944091796875</x:v>
      </x:c>
      <x:c r="I2815" s="40" t="n">
        <x:f>ABS(H2815)</x:f>
        <x:v>0.4073944091796875</x:v>
      </x:c>
      <x:c r="J2815" s="40" t="n">
        <x:f>H2815^2</x:f>
        <x:v>0.16597020463086665</x:v>
      </x:c>
      <x:c r="K2815" s="40" t="n">
        <x:f>G2815-E2815</x:f>
        <x:v>0.09999999999999964</x:v>
      </x:c>
      <x:c r="L2815" s="40" t="n">
        <x:f>ABS(K2815)</x:f>
        <x:v>0.09999999999999964</x:v>
      </x:c>
      <x:c r="M2815" s="41" t="str">
        <x:v>lstm-soil-v1</x:v>
      </x:c>
    </x:row>
    <x:row r="2816">
      <x:c r="A2816" s="38" t="str">
        <x:v>7月30日现场数据</x:v>
      </x:c>
      <x:c r="B2816" s="39" t="str">
        <x:v>2026-08-03T00:10:00</x:v>
      </x:c>
      <x:c r="C2816" s="39" t="str">
        <x:v>2026-08-03T00:15:00</x:v>
      </x:c>
      <x:c r="D2816" s="47" t="n">
        <x:v>5</x:v>
      </x:c>
      <x:c r="E2816" s="40" t="n">
        <x:v>14.6</x:v>
      </x:c>
      <x:c r="F2816" s="40" t="n">
        <x:v>12.794837951660156</x:v>
      </x:c>
      <x:c r="G2816" s="40" t="n">
        <x:v>14.6</x:v>
      </x:c>
      <x:c r="H2816" s="40" t="n">
        <x:f>F2816-E2816</x:f>
        <x:v>-1.8051620483398434</x:v>
      </x:c>
      <x:c r="I2816" s="40" t="n">
        <x:f>ABS(H2816)</x:f>
        <x:v>1.8051620483398434</x:v>
      </x:c>
      <x:c r="J2816" s="40" t="n">
        <x:f>H2816^2</x:f>
        <x:v>3.258610020766499</x:v>
      </x:c>
      <x:c r="K2816" s="40" t="n">
        <x:f>G2816-E2816</x:f>
        <x:v>0</x:v>
      </x:c>
      <x:c r="L2816" s="40" t="n">
        <x:f>ABS(K2816)</x:f>
        <x:v>0</x:v>
      </x:c>
      <x:c r="M2816" s="41" t="str">
        <x:v>lstm-soil-v1</x:v>
      </x:c>
    </x:row>
    <x:row r="2817">
      <x:c r="A2817" s="38" t="str">
        <x:v>7月30日现场数据</x:v>
      </x:c>
      <x:c r="B2817" s="39" t="str">
        <x:v>2026-08-03T00:10:00</x:v>
      </x:c>
      <x:c r="C2817" s="39" t="str">
        <x:v>2026-08-03T00:25:00</x:v>
      </x:c>
      <x:c r="D2817" s="47" t="n">
        <x:v>15</x:v>
      </x:c>
      <x:c r="E2817" s="40" t="n">
        <x:v>14.5</x:v>
      </x:c>
      <x:c r="F2817" s="40" t="n">
        <x:v>12.862323760986328</x:v>
      </x:c>
      <x:c r="G2817" s="40" t="n">
        <x:v>14.6</x:v>
      </x:c>
      <x:c r="H2817" s="40" t="n">
        <x:f>F2817-E2817</x:f>
        <x:v>-1.6376762390136719</x:v>
      </x:c>
      <x:c r="I2817" s="40" t="n">
        <x:f>ABS(H2817)</x:f>
        <x:v>1.6376762390136719</x:v>
      </x:c>
      <x:c r="J2817" s="40" t="n">
        <x:f>H2817^2</x:f>
        <x:v>2.6819834638299653</x:v>
      </x:c>
      <x:c r="K2817" s="40" t="n">
        <x:f>G2817-E2817</x:f>
        <x:v>0.09999999999999964</x:v>
      </x:c>
      <x:c r="L2817" s="40" t="n">
        <x:f>ABS(K2817)</x:f>
        <x:v>0.09999999999999964</x:v>
      </x:c>
      <x:c r="M2817" s="41" t="str">
        <x:v>lstm-soil-v1</x:v>
      </x:c>
    </x:row>
    <x:row r="2818">
      <x:c r="A2818" s="38" t="str">
        <x:v>7月30日现场数据</x:v>
      </x:c>
      <x:c r="B2818" s="39" t="str">
        <x:v>2026-08-03T00:10:00</x:v>
      </x:c>
      <x:c r="C2818" s="39" t="str">
        <x:v>2026-08-03T00:40:00</x:v>
      </x:c>
      <x:c r="D2818" s="47" t="n">
        <x:v>30</x:v>
      </x:c>
      <x:c r="E2818" s="40" t="n">
        <x:v>14.6</x:v>
      </x:c>
      <x:c r="F2818" s="40" t="n">
        <x:v>13.298912048339844</x:v>
      </x:c>
      <x:c r="G2818" s="40" t="n">
        <x:v>14.6</x:v>
      </x:c>
      <x:c r="H2818" s="40" t="n">
        <x:f>F2818-E2818</x:f>
        <x:v>-1.301087951660156</x:v>
      </x:c>
      <x:c r="I2818" s="40" t="n">
        <x:f>ABS(H2818)</x:f>
        <x:v>1.301087951660156</x:v>
      </x:c>
      <x:c r="J2818" s="40" t="n">
        <x:f>H2818^2</x:f>
        <x:v>1.6928298579552201</x:v>
      </x:c>
      <x:c r="K2818" s="40" t="n">
        <x:f>G2818-E2818</x:f>
        <x:v>0</x:v>
      </x:c>
      <x:c r="L2818" s="40" t="n">
        <x:f>ABS(K2818)</x:f>
        <x:v>0</x:v>
      </x:c>
      <x:c r="M2818" s="41" t="str">
        <x:v>lstm-soil-v1</x:v>
      </x:c>
    </x:row>
    <x:row r="2819">
      <x:c r="A2819" s="38" t="str">
        <x:v>7月30日现场数据</x:v>
      </x:c>
      <x:c r="B2819" s="39" t="str">
        <x:v>2026-08-03T00:10:00</x:v>
      </x:c>
      <x:c r="C2819" s="39" t="str">
        <x:v>2026-08-03T01:10:00</x:v>
      </x:c>
      <x:c r="D2819" s="47" t="n">
        <x:v>60</x:v>
      </x:c>
      <x:c r="E2819" s="40" t="n">
        <x:v>14.6</x:v>
      </x:c>
      <x:c r="F2819" s="40" t="n">
        <x:v>14.90433120727539</x:v>
      </x:c>
      <x:c r="G2819" s="40" t="n">
        <x:v>14.6</x:v>
      </x:c>
      <x:c r="H2819" s="40" t="n">
        <x:f>F2819-E2819</x:f>
        <x:v>0.304331207275391</x:v>
      </x:c>
      <x:c r="I2819" s="40" t="n">
        <x:f>ABS(H2819)</x:f>
        <x:v>0.304331207275391</x:v>
      </x:c>
      <x:c r="J2819" s="40" t="n">
        <x:f>H2819^2</x:f>
        <x:v>0.092617483721697</x:v>
      </x:c>
      <x:c r="K2819" s="40" t="n">
        <x:f>G2819-E2819</x:f>
        <x:v>0</x:v>
      </x:c>
      <x:c r="L2819" s="40" t="n">
        <x:f>ABS(K2819)</x:f>
        <x:v>0</x:v>
      </x:c>
      <x:c r="M2819" s="41" t="str">
        <x:v>lstm-soil-v1</x:v>
      </x:c>
    </x:row>
    <x:row r="2820">
      <x:c r="A2820" s="38" t="str">
        <x:v>7月30日现场数据</x:v>
      </x:c>
      <x:c r="B2820" s="39" t="str">
        <x:v>2026-08-03T00:15:00</x:v>
      </x:c>
      <x:c r="C2820" s="39" t="str">
        <x:v>2026-08-03T00:20:00</x:v>
      </x:c>
      <x:c r="D2820" s="47" t="n">
        <x:v>5</x:v>
      </x:c>
      <x:c r="E2820" s="40" t="n">
        <x:v>14.6</x:v>
      </x:c>
      <x:c r="F2820" s="40" t="n">
        <x:v>12.794807434082031</x:v>
      </x:c>
      <x:c r="G2820" s="40" t="n">
        <x:v>14.6</x:v>
      </x:c>
      <x:c r="H2820" s="40" t="n">
        <x:f>F2820-E2820</x:f>
        <x:v>-1.8051925659179684</x:v>
      </x:c>
      <x:c r="I2820" s="40" t="n">
        <x:f>ABS(H2820)</x:f>
        <x:v>1.8051925659179684</x:v>
      </x:c>
      <x:c r="J2820" s="40" t="n">
        <x:f>H2820^2</x:f>
        <x:v>3.2587202000454987</x:v>
      </x:c>
      <x:c r="K2820" s="40" t="n">
        <x:f>G2820-E2820</x:f>
        <x:v>0</x:v>
      </x:c>
      <x:c r="L2820" s="40" t="n">
        <x:f>ABS(K2820)</x:f>
        <x:v>0</x:v>
      </x:c>
      <x:c r="M2820" s="41" t="str">
        <x:v>lstm-soil-v1</x:v>
      </x:c>
    </x:row>
    <x:row r="2821">
      <x:c r="A2821" s="38" t="str">
        <x:v>7月30日现场数据</x:v>
      </x:c>
      <x:c r="B2821" s="39" t="str">
        <x:v>2026-08-03T00:15:00</x:v>
      </x:c>
      <x:c r="C2821" s="39" t="str">
        <x:v>2026-08-03T00:30:00</x:v>
      </x:c>
      <x:c r="D2821" s="47" t="n">
        <x:v>15</x:v>
      </x:c>
      <x:c r="E2821" s="40" t="n">
        <x:v>14.6</x:v>
      </x:c>
      <x:c r="F2821" s="40" t="n">
        <x:v>12.862171173095703</x:v>
      </x:c>
      <x:c r="G2821" s="40" t="n">
        <x:v>14.6</x:v>
      </x:c>
      <x:c r="H2821" s="40" t="n">
        <x:f>F2821-E2821</x:f>
        <x:v>-1.7378288269042965</x:v>
      </x:c>
      <x:c r="I2821" s="40" t="n">
        <x:f>ABS(H2821)</x:f>
        <x:v>1.7378288269042965</x:v>
      </x:c>
      <x:c r="J2821" s="40" t="n">
        <x:f>H2821^2</x:f>
        <x:v>3.020049031619563</x:v>
      </x:c>
      <x:c r="K2821" s="40" t="n">
        <x:f>G2821-E2821</x:f>
        <x:v>0</x:v>
      </x:c>
      <x:c r="L2821" s="40" t="n">
        <x:f>ABS(K2821)</x:f>
        <x:v>0</x:v>
      </x:c>
      <x:c r="M2821" s="41" t="str">
        <x:v>lstm-soil-v1</x:v>
      </x:c>
    </x:row>
    <x:row r="2822">
      <x:c r="A2822" s="38" t="str">
        <x:v>7月30日现场数据</x:v>
      </x:c>
      <x:c r="B2822" s="39" t="str">
        <x:v>2026-08-03T00:15:00</x:v>
      </x:c>
      <x:c r="C2822" s="39" t="str">
        <x:v>2026-08-03T00:45:00</x:v>
      </x:c>
      <x:c r="D2822" s="47" t="n">
        <x:v>30</x:v>
      </x:c>
      <x:c r="E2822" s="40" t="n">
        <x:v>14.5</x:v>
      </x:c>
      <x:c r="F2822" s="40" t="n">
        <x:v>13.30063247680664</x:v>
      </x:c>
      <x:c r="G2822" s="40" t="n">
        <x:v>14.6</x:v>
      </x:c>
      <x:c r="H2822" s="40" t="n">
        <x:f>F2822-E2822</x:f>
        <x:v>-1.1993675231933594</x:v>
      </x:c>
      <x:c r="I2822" s="40" t="n">
        <x:f>ABS(H2822)</x:f>
        <x:v>1.1993675231933594</x:v>
      </x:c>
      <x:c r="J2822" s="40" t="n">
        <x:f>H2822^2</x:f>
        <x:v>1.4384824556909734</x:v>
      </x:c>
      <x:c r="K2822" s="40" t="n">
        <x:f>G2822-E2822</x:f>
        <x:v>0.09999999999999964</x:v>
      </x:c>
      <x:c r="L2822" s="40" t="n">
        <x:f>ABS(K2822)</x:f>
        <x:v>0.09999999999999964</x:v>
      </x:c>
      <x:c r="M2822" s="41" t="str">
        <x:v>lstm-soil-v1</x:v>
      </x:c>
    </x:row>
    <x:row r="2823">
      <x:c r="A2823" s="38" t="str">
        <x:v>7月30日现场数据</x:v>
      </x:c>
      <x:c r="B2823" s="39" t="str">
        <x:v>2026-08-03T00:15:00</x:v>
      </x:c>
      <x:c r="C2823" s="39" t="str">
        <x:v>2026-08-03T01:15:00</x:v>
      </x:c>
      <x:c r="D2823" s="47" t="n">
        <x:v>60</x:v>
      </x:c>
      <x:c r="E2823" s="40" t="n">
        <x:v>14.5</x:v>
      </x:c>
      <x:c r="F2823" s="40" t="n">
        <x:v>14.90291976928711</x:v>
      </x:c>
      <x:c r="G2823" s="40" t="n">
        <x:v>14.6</x:v>
      </x:c>
      <x:c r="H2823" s="40" t="n">
        <x:f>F2823-E2823</x:f>
        <x:v>0.4029197692871094</x:v>
      </x:c>
      <x:c r="I2823" s="40" t="n">
        <x:f>ABS(H2823)</x:f>
        <x:v>0.4029197692871094</x:v>
      </x:c>
      <x:c r="J2823" s="40" t="n">
        <x:f>H2823^2</x:f>
        <x:v>0.16234434048237745</x:v>
      </x:c>
      <x:c r="K2823" s="40" t="n">
        <x:f>G2823-E2823</x:f>
        <x:v>0.09999999999999964</x:v>
      </x:c>
      <x:c r="L2823" s="40" t="n">
        <x:f>ABS(K2823)</x:f>
        <x:v>0.09999999999999964</x:v>
      </x:c>
      <x:c r="M2823" s="41" t="str">
        <x:v>lstm-soil-v1</x:v>
      </x:c>
    </x:row>
    <x:row r="2824">
      <x:c r="A2824" s="38" t="str">
        <x:v>7月30日现场数据</x:v>
      </x:c>
      <x:c r="B2824" s="39" t="str">
        <x:v>2026-08-03T00:20:00</x:v>
      </x:c>
      <x:c r="C2824" s="39" t="str">
        <x:v>2026-08-03T00:25:00</x:v>
      </x:c>
      <x:c r="D2824" s="47" t="n">
        <x:v>5</x:v>
      </x:c>
      <x:c r="E2824" s="40" t="n">
        <x:v>14.5</x:v>
      </x:c>
      <x:c r="F2824" s="40" t="n">
        <x:v>12.795291900634766</x:v>
      </x:c>
      <x:c r="G2824" s="40" t="n">
        <x:v>14.6</x:v>
      </x:c>
      <x:c r="H2824" s="40" t="n">
        <x:f>F2824-E2824</x:f>
        <x:v>-1.7047080993652344</x:v>
      </x:c>
      <x:c r="I2824" s="40" t="n">
        <x:f>ABS(H2824)</x:f>
        <x:v>1.7047080993652344</x:v>
      </x:c>
      <x:c r="J2824" s="40" t="n">
        <x:f>H2824^2</x:f>
        <x:v>2.90602970404143</x:v>
      </x:c>
      <x:c r="K2824" s="40" t="n">
        <x:f>G2824-E2824</x:f>
        <x:v>0.09999999999999964</x:v>
      </x:c>
      <x:c r="L2824" s="40" t="n">
        <x:f>ABS(K2824)</x:f>
        <x:v>0.09999999999999964</x:v>
      </x:c>
      <x:c r="M2824" s="41" t="str">
        <x:v>lstm-soil-v1</x:v>
      </x:c>
    </x:row>
    <x:row r="2825">
      <x:c r="A2825" s="38" t="str">
        <x:v>7月30日现场数据</x:v>
      </x:c>
      <x:c r="B2825" s="39" t="str">
        <x:v>2026-08-03T00:20:00</x:v>
      </x:c>
      <x:c r="C2825" s="39" t="str">
        <x:v>2026-08-03T00:35:00</x:v>
      </x:c>
      <x:c r="D2825" s="47" t="n">
        <x:v>15</x:v>
      </x:c>
      <x:c r="E2825" s="40" t="n">
        <x:v>14.6</x:v>
      </x:c>
      <x:c r="F2825" s="40" t="n">
        <x:v>12.862419128417969</x:v>
      </x:c>
      <x:c r="G2825" s="40" t="n">
        <x:v>14.6</x:v>
      </x:c>
      <x:c r="H2825" s="40" t="n">
        <x:f>F2825-E2825</x:f>
        <x:v>-1.737580871582031</x:v>
      </x:c>
      <x:c r="I2825" s="40" t="n">
        <x:f>ABS(H2825)</x:f>
        <x:v>1.737580871582031</x:v>
      </x:c>
      <x:c r="J2825" s="40" t="n">
        <x:f>H2825^2</x:f>
        <x:v>3.01918728528777</x:v>
      </x:c>
      <x:c r="K2825" s="40" t="n">
        <x:f>G2825-E2825</x:f>
        <x:v>0</x:v>
      </x:c>
      <x:c r="L2825" s="40" t="n">
        <x:f>ABS(K2825)</x:f>
        <x:v>0</x:v>
      </x:c>
      <x:c r="M2825" s="41" t="str">
        <x:v>lstm-soil-v1</x:v>
      </x:c>
    </x:row>
    <x:row r="2826">
      <x:c r="A2826" s="38" t="str">
        <x:v>7月30日现场数据</x:v>
      </x:c>
      <x:c r="B2826" s="39" t="str">
        <x:v>2026-08-03T00:20:00</x:v>
      </x:c>
      <x:c r="C2826" s="39" t="str">
        <x:v>2026-08-03T00:50:00</x:v>
      </x:c>
      <x:c r="D2826" s="47" t="n">
        <x:v>30</x:v>
      </x:c>
      <x:c r="E2826" s="40" t="n">
        <x:v>14.5</x:v>
      </x:c>
      <x:c r="F2826" s="40" t="n">
        <x:v>13.302387237548828</x:v>
      </x:c>
      <x:c r="G2826" s="40" t="n">
        <x:v>14.6</x:v>
      </x:c>
      <x:c r="H2826" s="40" t="n">
        <x:f>F2826-E2826</x:f>
        <x:v>-1.1976127624511719</x:v>
      </x:c>
      <x:c r="I2826" s="40" t="n">
        <x:f>ABS(H2826)</x:f>
        <x:v>1.1976127624511719</x:v>
      </x:c>
      <x:c r="J2826" s="40" t="n">
        <x:f>H2826^2</x:f>
        <x:v>1.434276328785927</x:v>
      </x:c>
      <x:c r="K2826" s="40" t="n">
        <x:f>G2826-E2826</x:f>
        <x:v>0.09999999999999964</x:v>
      </x:c>
      <x:c r="L2826" s="40" t="n">
        <x:f>ABS(K2826)</x:f>
        <x:v>0.09999999999999964</x:v>
      </x:c>
      <x:c r="M2826" s="41" t="str">
        <x:v>lstm-soil-v1</x:v>
      </x:c>
    </x:row>
    <x:row r="2827">
      <x:c r="A2827" s="38" t="str">
        <x:v>7月30日现场数据</x:v>
      </x:c>
      <x:c r="B2827" s="39" t="str">
        <x:v>2026-08-03T00:20:00</x:v>
      </x:c>
      <x:c r="C2827" s="39" t="str">
        <x:v>2026-08-03T01:20:00</x:v>
      </x:c>
      <x:c r="D2827" s="47" t="n">
        <x:v>60</x:v>
      </x:c>
      <x:c r="E2827" s="40" t="n">
        <x:v>14.5</x:v>
      </x:c>
      <x:c r="F2827" s="40" t="n">
        <x:v>14.902503967285156</x:v>
      </x:c>
      <x:c r="G2827" s="40" t="n">
        <x:v>14.6</x:v>
      </x:c>
      <x:c r="H2827" s="40" t="n">
        <x:f>F2827-E2827</x:f>
        <x:v>0.40250396728515625</x:v>
      </x:c>
      <x:c r="I2827" s="40" t="n">
        <x:f>ABS(H2827)</x:f>
        <x:v>0.40250396728515625</x:v>
      </x:c>
      <x:c r="J2827" s="40" t="n">
        <x:f>H2827^2</x:f>
        <x:v>0.16200944368029013</x:v>
      </x:c>
      <x:c r="K2827" s="40" t="n">
        <x:f>G2827-E2827</x:f>
        <x:v>0.09999999999999964</x:v>
      </x:c>
      <x:c r="L2827" s="40" t="n">
        <x:f>ABS(K2827)</x:f>
        <x:v>0.09999999999999964</x:v>
      </x:c>
      <x:c r="M2827" s="41" t="str">
        <x:v>lstm-soil-v1</x:v>
      </x:c>
    </x:row>
    <x:row r="2828">
      <x:c r="A2828" s="38" t="str">
        <x:v>7月30日现场数据</x:v>
      </x:c>
      <x:c r="B2828" s="39" t="str">
        <x:v>2026-08-03T00:25:00</x:v>
      </x:c>
      <x:c r="C2828" s="39" t="str">
        <x:v>2026-08-03T00:30:00</x:v>
      </x:c>
      <x:c r="D2828" s="47" t="n">
        <x:v>5</x:v>
      </x:c>
      <x:c r="E2828" s="40" t="n">
        <x:v>14.6</x:v>
      </x:c>
      <x:c r="F2828" s="40" t="n">
        <x:v>12.685436248779297</x:v>
      </x:c>
      <x:c r="G2828" s="40" t="n">
        <x:v>14.5</x:v>
      </x:c>
      <x:c r="H2828" s="40" t="n">
        <x:f>F2828-E2828</x:f>
        <x:v>-1.9145637512207028</x:v>
      </x:c>
      <x:c r="I2828" s="40" t="n">
        <x:f>ABS(H2828)</x:f>
        <x:v>1.9145637512207028</x:v>
      </x:c>
      <x:c r="J2828" s="40" t="n">
        <x:f>H2828^2</x:f>
        <x:v>3.665554357488289</x:v>
      </x:c>
      <x:c r="K2828" s="40" t="n">
        <x:f>G2828-E2828</x:f>
        <x:v>-0.09999999999999964</x:v>
      </x:c>
      <x:c r="L2828" s="40" t="n">
        <x:f>ABS(K2828)</x:f>
        <x:v>0.09999999999999964</x:v>
      </x:c>
      <x:c r="M2828" s="41" t="str">
        <x:v>lstm-soil-v1</x:v>
      </x:c>
    </x:row>
    <x:row r="2829">
      <x:c r="A2829" s="38" t="str">
        <x:v>7月30日现场数据</x:v>
      </x:c>
      <x:c r="B2829" s="39" t="str">
        <x:v>2026-08-03T00:25:00</x:v>
      </x:c>
      <x:c r="C2829" s="39" t="str">
        <x:v>2026-08-03T00:40:00</x:v>
      </x:c>
      <x:c r="D2829" s="47" t="n">
        <x:v>15</x:v>
      </x:c>
      <x:c r="E2829" s="40" t="n">
        <x:v>14.6</x:v>
      </x:c>
      <x:c r="F2829" s="40" t="n">
        <x:v>12.752235412597656</x:v>
      </x:c>
      <x:c r="G2829" s="40" t="n">
        <x:v>14.5</x:v>
      </x:c>
      <x:c r="H2829" s="40" t="n">
        <x:f>F2829-E2829</x:f>
        <x:v>-1.8477645874023434</x:v>
      </x:c>
      <x:c r="I2829" s="40" t="n">
        <x:f>ABS(H2829)</x:f>
        <x:v>1.8477645874023434</x:v>
      </x:c>
      <x:c r="J2829" s="40" t="n">
        <x:f>H2829^2</x:f>
        <x:v>3.4142339704581524</x:v>
      </x:c>
      <x:c r="K2829" s="40" t="n">
        <x:f>G2829-E2829</x:f>
        <x:v>-0.09999999999999964</x:v>
      </x:c>
      <x:c r="L2829" s="40" t="n">
        <x:f>ABS(K2829)</x:f>
        <x:v>0.09999999999999964</x:v>
      </x:c>
      <x:c r="M2829" s="41" t="str">
        <x:v>lstm-soil-v1</x:v>
      </x:c>
    </x:row>
    <x:row r="2830">
      <x:c r="A2830" s="38" t="str">
        <x:v>7月30日现场数据</x:v>
      </x:c>
      <x:c r="B2830" s="39" t="str">
        <x:v>2026-08-03T00:25:00</x:v>
      </x:c>
      <x:c r="C2830" s="39" t="str">
        <x:v>2026-08-03T00:55:00</x:v>
      </x:c>
      <x:c r="D2830" s="47" t="n">
        <x:v>30</x:v>
      </x:c>
      <x:c r="E2830" s="40" t="n">
        <x:v>14.6</x:v>
      </x:c>
      <x:c r="F2830" s="40" t="n">
        <x:v>13.193580627441406</x:v>
      </x:c>
      <x:c r="G2830" s="40" t="n">
        <x:v>14.5</x:v>
      </x:c>
      <x:c r="H2830" s="40" t="n">
        <x:f>F2830-E2830</x:f>
        <x:v>-1.4064193725585934</x:v>
      </x:c>
      <x:c r="I2830" s="40" t="n">
        <x:f>ABS(H2830)</x:f>
        <x:v>1.4064193725585934</x:v>
      </x:c>
      <x:c r="J2830" s="40" t="n">
        <x:f>H2830^2</x:f>
        <x:v>1.9780154515081074</x:v>
      </x:c>
      <x:c r="K2830" s="40" t="n">
        <x:f>G2830-E2830</x:f>
        <x:v>-0.09999999999999964</x:v>
      </x:c>
      <x:c r="L2830" s="40" t="n">
        <x:f>ABS(K2830)</x:f>
        <x:v>0.09999999999999964</x:v>
      </x:c>
      <x:c r="M2830" s="41" t="str">
        <x:v>lstm-soil-v1</x:v>
      </x:c>
    </x:row>
    <x:row r="2831">
      <x:c r="A2831" s="38" t="str">
        <x:v>7月30日现场数据</x:v>
      </x:c>
      <x:c r="B2831" s="39" t="str">
        <x:v>2026-08-03T00:25:00</x:v>
      </x:c>
      <x:c r="C2831" s="39" t="str">
        <x:v>2026-08-03T01:25:00</x:v>
      </x:c>
      <x:c r="D2831" s="47" t="n">
        <x:v>60</x:v>
      </x:c>
      <x:c r="E2831" s="40" t="n">
        <x:v>14.5</x:v>
      </x:c>
      <x:c r="F2831" s="40" t="n">
        <x:v>14.79232406616211</x:v>
      </x:c>
      <x:c r="G2831" s="40" t="n">
        <x:v>14.5</x:v>
      </x:c>
      <x:c r="H2831" s="40" t="n">
        <x:f>F2831-E2831</x:f>
        <x:v>0.2923240661621094</x:v>
      </x:c>
      <x:c r="I2831" s="40" t="n">
        <x:f>ABS(H2831)</x:f>
        <x:v>0.2923240661621094</x:v>
      </x:c>
      <x:c r="J2831" s="40" t="n">
        <x:f>H2831^2</x:f>
        <x:v>0.0854533596575493</x:v>
      </x:c>
      <x:c r="K2831" s="40" t="n">
        <x:f>G2831-E2831</x:f>
        <x:v>0</x:v>
      </x:c>
      <x:c r="L2831" s="40" t="n">
        <x:f>ABS(K2831)</x:f>
        <x:v>0</x:v>
      </x:c>
      <x:c r="M2831" s="41" t="str">
        <x:v>lstm-soil-v1</x:v>
      </x:c>
    </x:row>
    <x:row r="2832">
      <x:c r="A2832" s="38" t="str">
        <x:v>7月30日现场数据</x:v>
      </x:c>
      <x:c r="B2832" s="39" t="str">
        <x:v>2026-08-03T00:30:00</x:v>
      </x:c>
      <x:c r="C2832" s="39" t="str">
        <x:v>2026-08-03T00:35:00</x:v>
      </x:c>
      <x:c r="D2832" s="47" t="n">
        <x:v>5</x:v>
      </x:c>
      <x:c r="E2832" s="40" t="n">
        <x:v>14.6</x:v>
      </x:c>
      <x:c r="F2832" s="40" t="n">
        <x:v>12.79610824584961</x:v>
      </x:c>
      <x:c r="G2832" s="40" t="n">
        <x:v>14.6</x:v>
      </x:c>
      <x:c r="H2832" s="40" t="n">
        <x:f>F2832-E2832</x:f>
        <x:v>-1.8038917541503903</x:v>
      </x:c>
      <x:c r="I2832" s="40" t="n">
        <x:f>ABS(H2832)</x:f>
        <x:v>1.8038917541503903</x:v>
      </x:c>
      <x:c r="J2832" s="40" t="n">
        <x:f>H2832^2</x:f>
        <x:v>3.2540254606917722</x:v>
      </x:c>
      <x:c r="K2832" s="40" t="n">
        <x:f>G2832-E2832</x:f>
        <x:v>0</x:v>
      </x:c>
      <x:c r="L2832" s="40" t="n">
        <x:f>ABS(K2832)</x:f>
        <x:v>0</x:v>
      </x:c>
      <x:c r="M2832" s="41" t="str">
        <x:v>lstm-soil-v1</x:v>
      </x:c>
    </x:row>
    <x:row r="2833">
      <x:c r="A2833" s="38" t="str">
        <x:v>7月30日现场数据</x:v>
      </x:c>
      <x:c r="B2833" s="39" t="str">
        <x:v>2026-08-03T00:30:00</x:v>
      </x:c>
      <x:c r="C2833" s="39" t="str">
        <x:v>2026-08-03T00:45:00</x:v>
      </x:c>
      <x:c r="D2833" s="47" t="n">
        <x:v>15</x:v>
      </x:c>
      <x:c r="E2833" s="40" t="n">
        <x:v>14.5</x:v>
      </x:c>
      <x:c r="F2833" s="40" t="n">
        <x:v>12.862342834472656</x:v>
      </x:c>
      <x:c r="G2833" s="40" t="n">
        <x:v>14.6</x:v>
      </x:c>
      <x:c r="H2833" s="40" t="n">
        <x:f>F2833-E2833</x:f>
        <x:v>-1.6376571655273438</x:v>
      </x:c>
      <x:c r="I2833" s="40" t="n">
        <x:f>ABS(H2833)</x:f>
        <x:v>1.6376571655273438</x:v>
      </x:c>
      <x:c r="J2833" s="40" t="n">
        <x:f>H2833^2</x:f>
        <x:v>2.6819209918030538</x:v>
      </x:c>
      <x:c r="K2833" s="40" t="n">
        <x:f>G2833-E2833</x:f>
        <x:v>0.09999999999999964</x:v>
      </x:c>
      <x:c r="L2833" s="40" t="n">
        <x:f>ABS(K2833)</x:f>
        <x:v>0.09999999999999964</x:v>
      </x:c>
      <x:c r="M2833" s="41" t="str">
        <x:v>lstm-soil-v1</x:v>
      </x:c>
    </x:row>
    <x:row r="2834">
      <x:c r="A2834" s="38" t="str">
        <x:v>7月30日现场数据</x:v>
      </x:c>
      <x:c r="B2834" s="39" t="str">
        <x:v>2026-08-03T00:30:00</x:v>
      </x:c>
      <x:c r="C2834" s="39" t="str">
        <x:v>2026-08-03T01:00:00</x:v>
      </x:c>
      <x:c r="D2834" s="47" t="n">
        <x:v>30</x:v>
      </x:c>
      <x:c r="E2834" s="40" t="n">
        <x:v>14.5</x:v>
      </x:c>
      <x:c r="F2834" s="40" t="n">
        <x:v>13.305038452148438</x:v>
      </x:c>
      <x:c r="G2834" s="40" t="n">
        <x:v>14.6</x:v>
      </x:c>
      <x:c r="H2834" s="40" t="n">
        <x:f>F2834-E2834</x:f>
        <x:v>-1.1949615478515625</x:v>
      </x:c>
      <x:c r="I2834" s="40" t="n">
        <x:f>ABS(H2834)</x:f>
        <x:v>1.1949615478515625</x:v>
      </x:c>
      <x:c r="J2834" s="40" t="n">
        <x:f>H2834^2</x:f>
        <x:v>1.427933100843802</x:v>
      </x:c>
      <x:c r="K2834" s="40" t="n">
        <x:f>G2834-E2834</x:f>
        <x:v>0.09999999999999964</x:v>
      </x:c>
      <x:c r="L2834" s="40" t="n">
        <x:f>ABS(K2834)</x:f>
        <x:v>0.09999999999999964</x:v>
      </x:c>
      <x:c r="M2834" s="41" t="str">
        <x:v>lstm-soil-v1</x:v>
      </x:c>
    </x:row>
    <x:row r="2835">
      <x:c r="A2835" s="38" t="str">
        <x:v>7月30日现场数据</x:v>
      </x:c>
      <x:c r="B2835" s="39" t="str">
        <x:v>2026-08-03T00:30:00</x:v>
      </x:c>
      <x:c r="C2835" s="39" t="str">
        <x:v>2026-08-03T01:30:00</x:v>
      </x:c>
      <x:c r="D2835" s="47" t="n">
        <x:v>60</x:v>
      </x:c>
      <x:c r="E2835" s="40" t="n">
        <x:v>14.5</x:v>
      </x:c>
      <x:c r="F2835" s="40" t="n">
        <x:v>14.902950286865234</x:v>
      </x:c>
      <x:c r="G2835" s="40" t="n">
        <x:v>14.6</x:v>
      </x:c>
      <x:c r="H2835" s="40" t="n">
        <x:f>F2835-E2835</x:f>
        <x:v>0.4029502868652344</x:v>
      </x:c>
      <x:c r="I2835" s="40" t="n">
        <x:f>ABS(H2835)</x:f>
        <x:v>0.4029502868652344</x:v>
      </x:c>
      <x:c r="J2835" s="40" t="n">
        <x:f>H2835^2</x:f>
        <x:v>0.16236893368477467</x:v>
      </x:c>
      <x:c r="K2835" s="40" t="n">
        <x:f>G2835-E2835</x:f>
        <x:v>0.09999999999999964</x:v>
      </x:c>
      <x:c r="L2835" s="40" t="n">
        <x:f>ABS(K2835)</x:f>
        <x:v>0.09999999999999964</x:v>
      </x:c>
      <x:c r="M2835" s="41" t="str">
        <x:v>lstm-soil-v1</x:v>
      </x:c>
    </x:row>
    <x:row r="2836">
      <x:c r="A2836" s="38" t="str">
        <x:v>7月30日现场数据</x:v>
      </x:c>
      <x:c r="B2836" s="39" t="str">
        <x:v>2026-08-03T00:35:00</x:v>
      </x:c>
      <x:c r="C2836" s="39" t="str">
        <x:v>2026-08-03T00:40:00</x:v>
      </x:c>
      <x:c r="D2836" s="47" t="n">
        <x:v>5</x:v>
      </x:c>
      <x:c r="E2836" s="40" t="n">
        <x:v>14.6</x:v>
      </x:c>
      <x:c r="F2836" s="40" t="n">
        <x:v>12.79665756225586</x:v>
      </x:c>
      <x:c r="G2836" s="40" t="n">
        <x:v>14.6</x:v>
      </x:c>
      <x:c r="H2836" s="40" t="n">
        <x:f>F2836-E2836</x:f>
        <x:v>-1.8033424377441403</x:v>
      </x:c>
      <x:c r="I2836" s="40" t="n">
        <x:f>ABS(H2836)</x:f>
        <x:v>1.8033424377441403</x:v>
      </x:c>
      <x:c r="J2836" s="40" t="n">
        <x:f>H2836^2</x:f>
        <x:v>3.2520439477689784</x:v>
      </x:c>
      <x:c r="K2836" s="40" t="n">
        <x:f>G2836-E2836</x:f>
        <x:v>0</x:v>
      </x:c>
      <x:c r="L2836" s="40" t="n">
        <x:f>ABS(K2836)</x:f>
        <x:v>0</x:v>
      </x:c>
      <x:c r="M2836" s="41" t="str">
        <x:v>lstm-soil-v1</x:v>
      </x:c>
    </x:row>
    <x:row r="2837">
      <x:c r="A2837" s="38" t="str">
        <x:v>7月30日现场数据</x:v>
      </x:c>
      <x:c r="B2837" s="39" t="str">
        <x:v>2026-08-03T00:35:00</x:v>
      </x:c>
      <x:c r="C2837" s="39" t="str">
        <x:v>2026-08-03T00:50:00</x:v>
      </x:c>
      <x:c r="D2837" s="47" t="n">
        <x:v>15</x:v>
      </x:c>
      <x:c r="E2837" s="40" t="n">
        <x:v>14.5</x:v>
      </x:c>
      <x:c r="F2837" s="40" t="n">
        <x:v>12.862411499023438</x:v>
      </x:c>
      <x:c r="G2837" s="40" t="n">
        <x:v>14.6</x:v>
      </x:c>
      <x:c r="H2837" s="40" t="n">
        <x:f>F2837-E2837</x:f>
        <x:v>-1.6375885009765625</x:v>
      </x:c>
      <x:c r="I2837" s="40" t="n">
        <x:f>ABS(H2837)</x:f>
        <x:v>1.6375885009765625</x:v>
      </x:c>
      <x:c r="J2837" s="40" t="n">
        <x:f>H2837^2</x:f>
        <x:v>2.681696098530665</x:v>
      </x:c>
      <x:c r="K2837" s="40" t="n">
        <x:f>G2837-E2837</x:f>
        <x:v>0.09999999999999964</x:v>
      </x:c>
      <x:c r="L2837" s="40" t="n">
        <x:f>ABS(K2837)</x:f>
        <x:v>0.09999999999999964</x:v>
      </x:c>
      <x:c r="M2837" s="41" t="str">
        <x:v>lstm-soil-v1</x:v>
      </x:c>
    </x:row>
    <x:row r="2838">
      <x:c r="A2838" s="38" t="str">
        <x:v>7月30日现场数据</x:v>
      </x:c>
      <x:c r="B2838" s="39" t="str">
        <x:v>2026-08-03T00:35:00</x:v>
      </x:c>
      <x:c r="C2838" s="39" t="str">
        <x:v>2026-08-03T01:05:00</x:v>
      </x:c>
      <x:c r="D2838" s="47" t="n">
        <x:v>30</x:v>
      </x:c>
      <x:c r="E2838" s="40" t="n">
        <x:v>14.5</x:v>
      </x:c>
      <x:c r="F2838" s="40" t="n">
        <x:v>13.30615234375</x:v>
      </x:c>
      <x:c r="G2838" s="40" t="n">
        <x:v>14.6</x:v>
      </x:c>
      <x:c r="H2838" s="40" t="n">
        <x:f>F2838-E2838</x:f>
        <x:v>-1.19384765625</x:v>
      </x:c>
      <x:c r="I2838" s="40" t="n">
        <x:f>ABS(H2838)</x:f>
        <x:v>1.19384765625</x:v>
      </x:c>
      <x:c r="J2838" s="40" t="n">
        <x:f>H2838^2</x:f>
        <x:v>1.4252722263336182</x:v>
      </x:c>
      <x:c r="K2838" s="40" t="n">
        <x:f>G2838-E2838</x:f>
        <x:v>0.09999999999999964</x:v>
      </x:c>
      <x:c r="L2838" s="40" t="n">
        <x:f>ABS(K2838)</x:f>
        <x:v>0.09999999999999964</x:v>
      </x:c>
      <x:c r="M2838" s="41" t="str">
        <x:v>lstm-soil-v1</x:v>
      </x:c>
    </x:row>
    <x:row r="2839">
      <x:c r="A2839" s="38" t="str">
        <x:v>7月30日现场数据</x:v>
      </x:c>
      <x:c r="B2839" s="39" t="str">
        <x:v>2026-08-03T00:35:00</x:v>
      </x:c>
      <x:c r="C2839" s="39" t="str">
        <x:v>2026-08-03T01:35:00</x:v>
      </x:c>
      <x:c r="D2839" s="47" t="n">
        <x:v>60</x:v>
      </x:c>
      <x:c r="E2839" s="40" t="n">
        <x:v>14.5</x:v>
      </x:c>
      <x:c r="F2839" s="40" t="n">
        <x:v>14.903560638427734</x:v>
      </x:c>
      <x:c r="G2839" s="40" t="n">
        <x:v>14.6</x:v>
      </x:c>
      <x:c r="H2839" s="40" t="n">
        <x:f>F2839-E2839</x:f>
        <x:v>0.4035606384277344</x:v>
      </x:c>
      <x:c r="I2839" s="40" t="n">
        <x:f>ABS(H2839)</x:f>
        <x:v>0.4035606384277344</x:v>
      </x:c>
      <x:c r="J2839" s="40" t="n">
        <x:f>H2839^2</x:f>
        <x:v>0.16286118888820056</x:v>
      </x:c>
      <x:c r="K2839" s="40" t="n">
        <x:f>G2839-E2839</x:f>
        <x:v>0.09999999999999964</x:v>
      </x:c>
      <x:c r="L2839" s="40" t="n">
        <x:f>ABS(K2839)</x:f>
        <x:v>0.09999999999999964</x:v>
      </x:c>
      <x:c r="M2839" s="41" t="str">
        <x:v>lstm-soil-v1</x:v>
      </x:c>
    </x:row>
    <x:row r="2840">
      <x:c r="A2840" s="38" t="str">
        <x:v>7月30日现场数据</x:v>
      </x:c>
      <x:c r="B2840" s="39" t="str">
        <x:v>2026-08-03T00:40:00</x:v>
      </x:c>
      <x:c r="C2840" s="39" t="str">
        <x:v>2026-08-03T00:45:00</x:v>
      </x:c>
      <x:c r="D2840" s="47" t="n">
        <x:v>5</x:v>
      </x:c>
      <x:c r="E2840" s="40" t="n">
        <x:v>14.5</x:v>
      </x:c>
      <x:c r="F2840" s="40" t="n">
        <x:v>12.797077178955078</x:v>
      </x:c>
      <x:c r="G2840" s="40" t="n">
        <x:v>14.6</x:v>
      </x:c>
      <x:c r="H2840" s="40" t="n">
        <x:f>F2840-E2840</x:f>
        <x:v>-1.7029228210449219</x:v>
      </x:c>
      <x:c r="I2840" s="40" t="n">
        <x:f>ABS(H2840)</x:f>
        <x:v>1.7029228210449219</x:v>
      </x:c>
      <x:c r="J2840" s="40" t="n">
        <x:f>H2840^2</x:f>
        <x:v>2.899946134435595</x:v>
      </x:c>
      <x:c r="K2840" s="40" t="n">
        <x:f>G2840-E2840</x:f>
        <x:v>0.09999999999999964</x:v>
      </x:c>
      <x:c r="L2840" s="40" t="n">
        <x:f>ABS(K2840)</x:f>
        <x:v>0.09999999999999964</x:v>
      </x:c>
      <x:c r="M2840" s="41" t="str">
        <x:v>lstm-soil-v1</x:v>
      </x:c>
    </x:row>
    <x:row r="2841">
      <x:c r="A2841" s="38" t="str">
        <x:v>7月30日现场数据</x:v>
      </x:c>
      <x:c r="B2841" s="39" t="str">
        <x:v>2026-08-03T00:40:00</x:v>
      </x:c>
      <x:c r="C2841" s="39" t="str">
        <x:v>2026-08-03T00:55:00</x:v>
      </x:c>
      <x:c r="D2841" s="47" t="n">
        <x:v>15</x:v>
      </x:c>
      <x:c r="E2841" s="40" t="n">
        <x:v>14.6</x:v>
      </x:c>
      <x:c r="F2841" s="40" t="n">
        <x:v>12.862472534179688</x:v>
      </x:c>
      <x:c r="G2841" s="40" t="n">
        <x:v>14.6</x:v>
      </x:c>
      <x:c r="H2841" s="40" t="n">
        <x:f>F2841-E2841</x:f>
        <x:v>-1.7375274658203121</x:v>
      </x:c>
      <x:c r="I2841" s="40" t="n">
        <x:f>ABS(H2841)</x:f>
        <x:v>1.7375274658203121</x:v>
      </x:c>
      <x:c r="J2841" s="40" t="n">
        <x:f>H2841^2</x:f>
        <x:v>3.019001694479956</x:v>
      </x:c>
      <x:c r="K2841" s="40" t="n">
        <x:f>G2841-E2841</x:f>
        <x:v>0</x:v>
      </x:c>
      <x:c r="L2841" s="40" t="n">
        <x:f>ABS(K2841)</x:f>
        <x:v>0</x:v>
      </x:c>
      <x:c r="M2841" s="41" t="str">
        <x:v>lstm-soil-v1</x:v>
      </x:c>
    </x:row>
    <x:row r="2842">
      <x:c r="A2842" s="38" t="str">
        <x:v>7月30日现场数据</x:v>
      </x:c>
      <x:c r="B2842" s="39" t="str">
        <x:v>2026-08-03T00:40:00</x:v>
      </x:c>
      <x:c r="C2842" s="39" t="str">
        <x:v>2026-08-03T01:10:00</x:v>
      </x:c>
      <x:c r="D2842" s="47" t="n">
        <x:v>30</x:v>
      </x:c>
      <x:c r="E2842" s="40" t="n">
        <x:v>14.6</x:v>
      </x:c>
      <x:c r="F2842" s="40" t="n">
        <x:v>13.306983947753906</x:v>
      </x:c>
      <x:c r="G2842" s="40" t="n">
        <x:v>14.6</x:v>
      </x:c>
      <x:c r="H2842" s="40" t="n">
        <x:f>F2842-E2842</x:f>
        <x:v>-1.2930160522460934</x:v>
      </x:c>
      <x:c r="I2842" s="40" t="n">
        <x:f>ABS(H2842)</x:f>
        <x:v>1.2930160522460934</x:v>
      </x:c>
      <x:c r="J2842" s="40" t="n">
        <x:f>H2842^2</x:f>
        <x:v>1.671890511366072</x:v>
      </x:c>
      <x:c r="K2842" s="40" t="n">
        <x:f>G2842-E2842</x:f>
        <x:v>0</x:v>
      </x:c>
      <x:c r="L2842" s="40" t="n">
        <x:f>ABS(K2842)</x:f>
        <x:v>0</x:v>
      </x:c>
      <x:c r="M2842" s="41" t="str">
        <x:v>lstm-soil-v1</x:v>
      </x:c>
    </x:row>
    <x:row r="2843">
      <x:c r="A2843" s="38" t="str">
        <x:v>7月30日现场数据</x:v>
      </x:c>
      <x:c r="B2843" s="39" t="str">
        <x:v>2026-08-03T00:40:00</x:v>
      </x:c>
      <x:c r="C2843" s="39" t="str">
        <x:v>2026-08-03T01:40:00</x:v>
      </x:c>
      <x:c r="D2843" s="47" t="n">
        <x:v>60</x:v>
      </x:c>
      <x:c r="E2843" s="40" t="n">
        <x:v>14.5</x:v>
      </x:c>
      <x:c r="F2843" s="40" t="n">
        <x:v>14.904098510742188</x:v>
      </x:c>
      <x:c r="G2843" s="40" t="n">
        <x:v>14.6</x:v>
      </x:c>
      <x:c r="H2843" s="40" t="n">
        <x:f>F2843-E2843</x:f>
        <x:v>0.4040985107421875</x:v>
      </x:c>
      <x:c r="I2843" s="40" t="n">
        <x:f>ABS(H2843)</x:f>
        <x:v>0.4040985107421875</x:v>
      </x:c>
      <x:c r="J2843" s="40" t="n">
        <x:f>H2843^2</x:f>
        <x:v>0.16329560638405383</x:v>
      </x:c>
      <x:c r="K2843" s="40" t="n">
        <x:f>G2843-E2843</x:f>
        <x:v>0.09999999999999964</x:v>
      </x:c>
      <x:c r="L2843" s="40" t="n">
        <x:f>ABS(K2843)</x:f>
        <x:v>0.09999999999999964</x:v>
      </x:c>
      <x:c r="M2843" s="41" t="str">
        <x:v>lstm-soil-v1</x:v>
      </x:c>
    </x:row>
    <x:row r="2844">
      <x:c r="A2844" s="38" t="str">
        <x:v>7月30日现场数据</x:v>
      </x:c>
      <x:c r="B2844" s="39" t="str">
        <x:v>2026-08-03T00:45:00</x:v>
      </x:c>
      <x:c r="C2844" s="39" t="str">
        <x:v>2026-08-03T00:50:00</x:v>
      </x:c>
      <x:c r="D2844" s="47" t="n">
        <x:v>5</x:v>
      </x:c>
      <x:c r="E2844" s="40" t="n">
        <x:v>14.5</x:v>
      </x:c>
      <x:c r="F2844" s="40" t="n">
        <x:v>12.687057495117188</x:v>
      </x:c>
      <x:c r="G2844" s="40" t="n">
        <x:v>14.5</x:v>
      </x:c>
      <x:c r="H2844" s="40" t="n">
        <x:f>F2844-E2844</x:f>
        <x:v>-1.8129425048828125</x:v>
      </x:c>
      <x:c r="I2844" s="40" t="n">
        <x:f>ABS(H2844)</x:f>
        <x:v>1.8129425048828125</x:v>
      </x:c>
      <x:c r="J2844" s="40" t="n">
        <x:f>H2844^2</x:f>
        <x:v>3.2867605260107666</x:v>
      </x:c>
      <x:c r="K2844" s="40" t="n">
        <x:f>G2844-E2844</x:f>
        <x:v>0</x:v>
      </x:c>
      <x:c r="L2844" s="40" t="n">
        <x:f>ABS(K2844)</x:f>
        <x:v>0</x:v>
      </x:c>
      <x:c r="M2844" s="41" t="str">
        <x:v>lstm-soil-v1</x:v>
      </x:c>
    </x:row>
    <x:row r="2845">
      <x:c r="A2845" s="38" t="str">
        <x:v>7月30日现场数据</x:v>
      </x:c>
      <x:c r="B2845" s="39" t="str">
        <x:v>2026-08-03T00:45:00</x:v>
      </x:c>
      <x:c r="C2845" s="39" t="str">
        <x:v>2026-08-03T01:00:00</x:v>
      </x:c>
      <x:c r="D2845" s="47" t="n">
        <x:v>15</x:v>
      </x:c>
      <x:c r="E2845" s="40" t="n">
        <x:v>14.5</x:v>
      </x:c>
      <x:c r="F2845" s="40" t="n">
        <x:v>12.75229263305664</x:v>
      </x:c>
      <x:c r="G2845" s="40" t="n">
        <x:v>14.5</x:v>
      </x:c>
      <x:c r="H2845" s="40" t="n">
        <x:f>F2845-E2845</x:f>
        <x:v>-1.7477073669433594</x:v>
      </x:c>
      <x:c r="I2845" s="40" t="n">
        <x:f>ABS(H2845)</x:f>
        <x:v>1.7477073669433594</x:v>
      </x:c>
      <x:c r="J2845" s="40" t="n">
        <x:f>H2845^2</x:f>
        <x:v>3.05448104046809</x:v>
      </x:c>
      <x:c r="K2845" s="40" t="n">
        <x:f>G2845-E2845</x:f>
        <x:v>0</x:v>
      </x:c>
      <x:c r="L2845" s="40" t="n">
        <x:f>ABS(K2845)</x:f>
        <x:v>0</x:v>
      </x:c>
      <x:c r="M2845" s="41" t="str">
        <x:v>lstm-soil-v1</x:v>
      </x:c>
    </x:row>
    <x:row r="2846">
      <x:c r="A2846" s="38" t="str">
        <x:v>7月30日现场数据</x:v>
      </x:c>
      <x:c r="B2846" s="39" t="str">
        <x:v>2026-08-03T00:45:00</x:v>
      </x:c>
      <x:c r="C2846" s="39" t="str">
        <x:v>2026-08-03T01:15:00</x:v>
      </x:c>
      <x:c r="D2846" s="47" t="n">
        <x:v>30</x:v>
      </x:c>
      <x:c r="E2846" s="40" t="n">
        <x:v>14.5</x:v>
      </x:c>
      <x:c r="F2846" s="40" t="n">
        <x:v>13.197341918945312</x:v>
      </x:c>
      <x:c r="G2846" s="40" t="n">
        <x:v>14.5</x:v>
      </x:c>
      <x:c r="H2846" s="40" t="n">
        <x:f>F2846-E2846</x:f>
        <x:v>-1.3026580810546875</x:v>
      </x:c>
      <x:c r="I2846" s="40" t="n">
        <x:f>ABS(H2846)</x:f>
        <x:v>1.3026580810546875</x:v>
      </x:c>
      <x:c r="J2846" s="40" t="n">
        <x:f>H2846^2</x:f>
        <x:v>1.6969180761370808</x:v>
      </x:c>
      <x:c r="K2846" s="40" t="n">
        <x:f>G2846-E2846</x:f>
        <x:v>0</x:v>
      </x:c>
      <x:c r="L2846" s="40" t="n">
        <x:f>ABS(K2846)</x:f>
        <x:v>0</x:v>
      </x:c>
      <x:c r="M2846" s="41" t="str">
        <x:v>lstm-soil-v1</x:v>
      </x:c>
    </x:row>
    <x:row r="2847">
      <x:c r="A2847" s="38" t="str">
        <x:v>7月30日现场数据</x:v>
      </x:c>
      <x:c r="B2847" s="39" t="str">
        <x:v>2026-08-03T00:45:00</x:v>
      </x:c>
      <x:c r="C2847" s="39" t="str">
        <x:v>2026-08-03T01:45:00</x:v>
      </x:c>
      <x:c r="D2847" s="47" t="n">
        <x:v>60</x:v>
      </x:c>
      <x:c r="E2847" s="40" t="n">
        <x:v>14.5</x:v>
      </x:c>
      <x:c r="F2847" s="40" t="n">
        <x:v>14.794227600097656</x:v>
      </x:c>
      <x:c r="G2847" s="40" t="n">
        <x:v>14.5</x:v>
      </x:c>
      <x:c r="H2847" s="40" t="n">
        <x:f>F2847-E2847</x:f>
        <x:v>0.29422760009765625</x:v>
      </x:c>
      <x:c r="I2847" s="40" t="n">
        <x:f>ABS(H2847)</x:f>
        <x:v>0.29422760009765625</x:v>
      </x:c>
      <x:c r="J2847" s="40" t="n">
        <x:f>H2847^2</x:f>
        <x:v>0.08656988065922633</x:v>
      </x:c>
      <x:c r="K2847" s="40" t="n">
        <x:f>G2847-E2847</x:f>
        <x:v>0</x:v>
      </x:c>
      <x:c r="L2847" s="40" t="n">
        <x:f>ABS(K2847)</x:f>
        <x:v>0</x:v>
      </x:c>
      <x:c r="M2847" s="41" t="str">
        <x:v>lstm-soil-v1</x:v>
      </x:c>
    </x:row>
    <x:row r="2848">
      <x:c r="A2848" s="38" t="str">
        <x:v>7月30日现场数据</x:v>
      </x:c>
      <x:c r="B2848" s="39" t="str">
        <x:v>2026-08-03T00:50:00</x:v>
      </x:c>
      <x:c r="C2848" s="39" t="str">
        <x:v>2026-08-03T00:55:00</x:v>
      </x:c>
      <x:c r="D2848" s="47" t="n">
        <x:v>5</x:v>
      </x:c>
      <x:c r="E2848" s="40" t="n">
        <x:v>14.6</x:v>
      </x:c>
      <x:c r="F2848" s="40" t="n">
        <x:v>12.687084197998047</x:v>
      </x:c>
      <x:c r="G2848" s="40" t="n">
        <x:v>14.5</x:v>
      </x:c>
      <x:c r="H2848" s="40" t="n">
        <x:f>F2848-E2848</x:f>
        <x:v>-1.9129158020019528</x:v>
      </x:c>
      <x:c r="I2848" s="40" t="n">
        <x:f>ABS(H2848)</x:f>
        <x:v>1.9129158020019528</x:v>
      </x:c>
      <x:c r="J2848" s="40" t="n">
        <x:f>H2848^2</x:f>
        <x:v>3.659246865548774</x:v>
      </x:c>
      <x:c r="K2848" s="40" t="n">
        <x:f>G2848-E2848</x:f>
        <x:v>-0.09999999999999964</x:v>
      </x:c>
      <x:c r="L2848" s="40" t="n">
        <x:f>ABS(K2848)</x:f>
        <x:v>0.09999999999999964</x:v>
      </x:c>
      <x:c r="M2848" s="41" t="str">
        <x:v>lstm-soil-v1</x:v>
      </x:c>
    </x:row>
    <x:row r="2849">
      <x:c r="A2849" s="38" t="str">
        <x:v>7月30日现场数据</x:v>
      </x:c>
      <x:c r="B2849" s="39" t="str">
        <x:v>2026-08-03T00:50:00</x:v>
      </x:c>
      <x:c r="C2849" s="39" t="str">
        <x:v>2026-08-03T01:05:00</x:v>
      </x:c>
      <x:c r="D2849" s="47" t="n">
        <x:v>15</x:v>
      </x:c>
      <x:c r="E2849" s="40" t="n">
        <x:v>14.5</x:v>
      </x:c>
      <x:c r="F2849" s="40" t="n">
        <x:v>12.752166748046875</x:v>
      </x:c>
      <x:c r="G2849" s="40" t="n">
        <x:v>14.5</x:v>
      </x:c>
      <x:c r="H2849" s="40" t="n">
        <x:f>F2849-E2849</x:f>
        <x:v>-1.747833251953125</x:v>
      </x:c>
      <x:c r="I2849" s="40" t="n">
        <x:f>ABS(H2849)</x:f>
        <x:v>1.747833251953125</x:v>
      </x:c>
      <x:c r="J2849" s="40" t="n">
        <x:f>H2849^2</x:f>
        <x:v>3.054921076633036</x:v>
      </x:c>
      <x:c r="K2849" s="40" t="n">
        <x:f>G2849-E2849</x:f>
        <x:v>0</x:v>
      </x:c>
      <x:c r="L2849" s="40" t="n">
        <x:f>ABS(K2849)</x:f>
        <x:v>0</x:v>
      </x:c>
      <x:c r="M2849" s="41" t="str">
        <x:v>lstm-soil-v1</x:v>
      </x:c>
    </x:row>
    <x:row r="2850">
      <x:c r="A2850" s="38" t="str">
        <x:v>7月30日现场数据</x:v>
      </x:c>
      <x:c r="B2850" s="39" t="str">
        <x:v>2026-08-03T00:50:00</x:v>
      </x:c>
      <x:c r="C2850" s="39" t="str">
        <x:v>2026-08-03T01:20:00</x:v>
      </x:c>
      <x:c r="D2850" s="47" t="n">
        <x:v>30</x:v>
      </x:c>
      <x:c r="E2850" s="40" t="n">
        <x:v>14.5</x:v>
      </x:c>
      <x:c r="F2850" s="40" t="n">
        <x:v>13.19769287109375</x:v>
      </x:c>
      <x:c r="G2850" s="40" t="n">
        <x:v>14.5</x:v>
      </x:c>
      <x:c r="H2850" s="40" t="n">
        <x:f>F2850-E2850</x:f>
        <x:v>-1.30230712890625</x:v>
      </x:c>
      <x:c r="I2850" s="40" t="n">
        <x:f>ABS(H2850)</x:f>
        <x:v>1.30230712890625</x:v>
      </x:c>
      <x:c r="J2850" s="40" t="n">
        <x:f>H2850^2</x:f>
        <x:v>1.69600385800004</x:v>
      </x:c>
      <x:c r="K2850" s="40" t="n">
        <x:f>G2850-E2850</x:f>
        <x:v>0</x:v>
      </x:c>
      <x:c r="L2850" s="40" t="n">
        <x:f>ABS(K2850)</x:f>
        <x:v>0</x:v>
      </x:c>
      <x:c r="M2850" s="41" t="str">
        <x:v>lstm-soil-v1</x:v>
      </x:c>
    </x:row>
    <x:row r="2851">
      <x:c r="A2851" s="38" t="str">
        <x:v>7月30日现场数据</x:v>
      </x:c>
      <x:c r="B2851" s="39" t="str">
        <x:v>2026-08-03T00:50:00</x:v>
      </x:c>
      <x:c r="C2851" s="39" t="str">
        <x:v>2026-08-03T01:50:00</x:v>
      </x:c>
      <x:c r="D2851" s="47" t="n">
        <x:v>60</x:v>
      </x:c>
      <x:c r="E2851" s="40" t="n">
        <x:v>14.5</x:v>
      </x:c>
      <x:c r="F2851" s="40" t="n">
        <x:v>14.794425964355469</x:v>
      </x:c>
      <x:c r="G2851" s="40" t="n">
        <x:v>14.5</x:v>
      </x:c>
      <x:c r="H2851" s="40" t="n">
        <x:f>F2851-E2851</x:f>
        <x:v>0.29442596435546875</x:v>
      </x:c>
      <x:c r="I2851" s="40" t="n">
        <x:f>ABS(H2851)</x:f>
        <x:v>0.29442596435546875</x:v>
      </x:c>
      <x:c r="J2851" s="40" t="n">
        <x:f>H2851^2</x:f>
        <x:v>0.08668664848664775</x:v>
      </x:c>
      <x:c r="K2851" s="40" t="n">
        <x:f>G2851-E2851</x:f>
        <x:v>0</x:v>
      </x:c>
      <x:c r="L2851" s="40" t="n">
        <x:f>ABS(K2851)</x:f>
        <x:v>0</x:v>
      </x:c>
      <x:c r="M2851" s="41" t="str">
        <x:v>lstm-soil-v1</x:v>
      </x:c>
    </x:row>
    <x:row r="2852">
      <x:c r="A2852" s="38" t="str">
        <x:v>7月30日现场数据</x:v>
      </x:c>
      <x:c r="B2852" s="39" t="str">
        <x:v>2026-08-03T00:55:00</x:v>
      </x:c>
      <x:c r="C2852" s="39" t="str">
        <x:v>2026-08-03T01:00:00</x:v>
      </x:c>
      <x:c r="D2852" s="47" t="n">
        <x:v>5</x:v>
      </x:c>
      <x:c r="E2852" s="40" t="n">
        <x:v>14.5</x:v>
      </x:c>
      <x:c r="F2852" s="40" t="n">
        <x:v>12.797489166259766</x:v>
      </x:c>
      <x:c r="G2852" s="40" t="n">
        <x:v>14.6</x:v>
      </x:c>
      <x:c r="H2852" s="40" t="n">
        <x:f>F2852-E2852</x:f>
        <x:v>-1.7025108337402344</x:v>
      </x:c>
      <x:c r="I2852" s="40" t="n">
        <x:f>ABS(H2852)</x:f>
        <x:v>1.7025108337402344</x:v>
      </x:c>
      <x:c r="J2852" s="40" t="n">
        <x:f>H2852^2</x:f>
        <x:v>2.898543139002868</x:v>
      </x:c>
      <x:c r="K2852" s="40" t="n">
        <x:f>G2852-E2852</x:f>
        <x:v>0.09999999999999964</x:v>
      </x:c>
      <x:c r="L2852" s="40" t="n">
        <x:f>ABS(K2852)</x:f>
        <x:v>0.09999999999999964</x:v>
      </x:c>
      <x:c r="M2852" s="41" t="str">
        <x:v>lstm-soil-v1</x:v>
      </x:c>
    </x:row>
    <x:row r="2853">
      <x:c r="A2853" s="38" t="str">
        <x:v>7月30日现场数据</x:v>
      </x:c>
      <x:c r="B2853" s="39" t="str">
        <x:v>2026-08-03T00:55:00</x:v>
      </x:c>
      <x:c r="C2853" s="39" t="str">
        <x:v>2026-08-03T01:10:00</x:v>
      </x:c>
      <x:c r="D2853" s="47" t="n">
        <x:v>15</x:v>
      </x:c>
      <x:c r="E2853" s="40" t="n">
        <x:v>14.6</x:v>
      </x:c>
      <x:c r="F2853" s="40" t="n">
        <x:v>12.86233901977539</x:v>
      </x:c>
      <x:c r="G2853" s="40" t="n">
        <x:v>14.6</x:v>
      </x:c>
      <x:c r="H2853" s="40" t="n">
        <x:f>F2853-E2853</x:f>
        <x:v>-1.737660980224609</x:v>
      </x:c>
      <x:c r="I2853" s="40" t="n">
        <x:f>ABS(H2853)</x:f>
        <x:v>1.737660980224609</x:v>
      </x:c>
      <x:c r="J2853" s="40" t="n">
        <x:f>H2853^2</x:f>
        <x:v>3.019465682195149</x:v>
      </x:c>
      <x:c r="K2853" s="40" t="n">
        <x:f>G2853-E2853</x:f>
        <x:v>0</x:v>
      </x:c>
      <x:c r="L2853" s="40" t="n">
        <x:f>ABS(K2853)</x:f>
        <x:v>0</x:v>
      </x:c>
      <x:c r="M2853" s="41" t="str">
        <x:v>lstm-soil-v1</x:v>
      </x:c>
    </x:row>
    <x:row r="2854">
      <x:c r="A2854" s="38" t="str">
        <x:v>7月30日现场数据</x:v>
      </x:c>
      <x:c r="B2854" s="39" t="str">
        <x:v>2026-08-03T00:55:00</x:v>
      </x:c>
      <x:c r="C2854" s="39" t="str">
        <x:v>2026-08-03T01:25:00</x:v>
      </x:c>
      <x:c r="D2854" s="47" t="n">
        <x:v>30</x:v>
      </x:c>
      <x:c r="E2854" s="40" t="n">
        <x:v>14.5</x:v>
      </x:c>
      <x:c r="F2854" s="40" t="n">
        <x:v>13.30831527709961</x:v>
      </x:c>
      <x:c r="G2854" s="40" t="n">
        <x:v>14.6</x:v>
      </x:c>
      <x:c r="H2854" s="40" t="n">
        <x:f>F2854-E2854</x:f>
        <x:v>-1.1916847229003906</x:v>
      </x:c>
      <x:c r="I2854" s="40" t="n">
        <x:f>ABS(H2854)</x:f>
        <x:v>1.1916847229003906</x:v>
      </x:c>
      <x:c r="J2854" s="40" t="n">
        <x:f>H2854^2</x:f>
        <x:v>1.4201124787941808</x:v>
      </x:c>
      <x:c r="K2854" s="40" t="n">
        <x:f>G2854-E2854</x:f>
        <x:v>0.09999999999999964</x:v>
      </x:c>
      <x:c r="L2854" s="40" t="n">
        <x:f>ABS(K2854)</x:f>
        <x:v>0.09999999999999964</x:v>
      </x:c>
      <x:c r="M2854" s="41" t="str">
        <x:v>lstm-soil-v1</x:v>
      </x:c>
    </x:row>
    <x:row r="2855">
      <x:c r="A2855" s="38" t="str">
        <x:v>7月30日现场数据</x:v>
      </x:c>
      <x:c r="B2855" s="39" t="str">
        <x:v>2026-08-03T00:55:00</x:v>
      </x:c>
      <x:c r="C2855" s="39" t="str">
        <x:v>2026-08-03T01:55:00</x:v>
      </x:c>
      <x:c r="D2855" s="47" t="n">
        <x:v>60</x:v>
      </x:c>
      <x:c r="E2855" s="40" t="n">
        <x:v>14.5</x:v>
      </x:c>
      <x:c r="F2855" s="40" t="n">
        <x:v>14.904972076416016</x:v>
      </x:c>
      <x:c r="G2855" s="40" t="n">
        <x:v>14.6</x:v>
      </x:c>
      <x:c r="H2855" s="40" t="n">
        <x:f>F2855-E2855</x:f>
        <x:v>0.4049720764160156</x:v>
      </x:c>
      <x:c r="I2855" s="40" t="n">
        <x:f>ABS(H2855)</x:f>
        <x:v>0.4049720764160156</x:v>
      </x:c>
      <x:c r="J2855" s="40" t="n">
        <x:f>H2855^2</x:f>
        <x:v>0.1640023826766992</x:v>
      </x:c>
      <x:c r="K2855" s="40" t="n">
        <x:f>G2855-E2855</x:f>
        <x:v>0.09999999999999964</x:v>
      </x:c>
      <x:c r="L2855" s="40" t="n">
        <x:f>ABS(K2855)</x:f>
        <x:v>0.09999999999999964</x:v>
      </x:c>
      <x:c r="M2855" s="41" t="str">
        <x:v>lstm-soil-v1</x:v>
      </x:c>
    </x:row>
    <x:row r="2856">
      <x:c r="A2856" s="38" t="str">
        <x:v>7月30日现场数据</x:v>
      </x:c>
      <x:c r="B2856" s="39" t="str">
        <x:v>2026-08-03T01:00:00</x:v>
      </x:c>
      <x:c r="C2856" s="39" t="str">
        <x:v>2026-08-03T01:05:00</x:v>
      </x:c>
      <x:c r="D2856" s="47" t="n">
        <x:v>5</x:v>
      </x:c>
      <x:c r="E2856" s="40" t="n">
        <x:v>14.5</x:v>
      </x:c>
      <x:c r="F2856" s="40" t="n">
        <x:v>12.684185028076172</x:v>
      </x:c>
      <x:c r="G2856" s="40" t="n">
        <x:v>14.5</x:v>
      </x:c>
      <x:c r="H2856" s="40" t="n">
        <x:f>F2856-E2856</x:f>
        <x:v>-1.8158149719238281</x:v>
      </x:c>
      <x:c r="I2856" s="40" t="n">
        <x:f>ABS(H2856)</x:f>
        <x:v>1.8158149719238281</x:v>
      </x:c>
      <x:c r="J2856" s="40" t="n">
        <x:f>H2856^2</x:f>
        <x:v>3.2971840122627327</x:v>
      </x:c>
      <x:c r="K2856" s="40" t="n">
        <x:f>G2856-E2856</x:f>
        <x:v>0</x:v>
      </x:c>
      <x:c r="L2856" s="40" t="n">
        <x:f>ABS(K2856)</x:f>
        <x:v>0</x:v>
      </x:c>
      <x:c r="M2856" s="41" t="str">
        <x:v>lstm-soil-v1</x:v>
      </x:c>
    </x:row>
    <x:row r="2857">
      <x:c r="A2857" s="38" t="str">
        <x:v>7月30日现场数据</x:v>
      </x:c>
      <x:c r="B2857" s="39" t="str">
        <x:v>2026-08-03T01:00:00</x:v>
      </x:c>
      <x:c r="C2857" s="39" t="str">
        <x:v>2026-08-03T01:15:00</x:v>
      </x:c>
      <x:c r="D2857" s="47" t="n">
        <x:v>15</x:v>
      </x:c>
      <x:c r="E2857" s="40" t="n">
        <x:v>14.5</x:v>
      </x:c>
      <x:c r="F2857" s="40" t="n">
        <x:v>12.74942398071289</x:v>
      </x:c>
      <x:c r="G2857" s="40" t="n">
        <x:v>14.5</x:v>
      </x:c>
      <x:c r="H2857" s="40" t="n">
        <x:f>F2857-E2857</x:f>
        <x:v>-1.7505760192871094</x:v>
      </x:c>
      <x:c r="I2857" s="40" t="n">
        <x:f>ABS(H2857)</x:f>
        <x:v>1.7505760192871094</x:v>
      </x:c>
      <x:c r="J2857" s="40" t="n">
        <x:f>H2857^2</x:f>
        <x:v>3.064516399303102</x:v>
      </x:c>
      <x:c r="K2857" s="40" t="n">
        <x:f>G2857-E2857</x:f>
        <x:v>0</x:v>
      </x:c>
      <x:c r="L2857" s="40" t="n">
        <x:f>ABS(K2857)</x:f>
        <x:v>0</x:v>
      </x:c>
      <x:c r="M2857" s="41" t="str">
        <x:v>lstm-soil-v1</x:v>
      </x:c>
    </x:row>
    <x:row r="2858">
      <x:c r="A2858" s="38" t="str">
        <x:v>7月30日现场数据</x:v>
      </x:c>
      <x:c r="B2858" s="39" t="str">
        <x:v>2026-08-03T01:00:00</x:v>
      </x:c>
      <x:c r="C2858" s="39" t="str">
        <x:v>2026-08-03T01:30:00</x:v>
      </x:c>
      <x:c r="D2858" s="47" t="n">
        <x:v>30</x:v>
      </x:c>
      <x:c r="E2858" s="40" t="n">
        <x:v>14.5</x:v>
      </x:c>
      <x:c r="F2858" s="40" t="n">
        <x:v>13.1943359375</x:v>
      </x:c>
      <x:c r="G2858" s="40" t="n">
        <x:v>14.5</x:v>
      </x:c>
      <x:c r="H2858" s="40" t="n">
        <x:f>F2858-E2858</x:f>
        <x:v>-1.3056640625</x:v>
      </x:c>
      <x:c r="I2858" s="40" t="n">
        <x:f>ABS(H2858)</x:f>
        <x:v>1.3056640625</x:v>
      </x:c>
      <x:c r="J2858" s="40" t="n">
        <x:f>H2858^2</x:f>
        <x:v>1.704758644104004</x:v>
      </x:c>
      <x:c r="K2858" s="40" t="n">
        <x:f>G2858-E2858</x:f>
        <x:v>0</x:v>
      </x:c>
      <x:c r="L2858" s="40" t="n">
        <x:f>ABS(K2858)</x:f>
        <x:v>0</x:v>
      </x:c>
      <x:c r="M2858" s="41" t="str">
        <x:v>lstm-soil-v1</x:v>
      </x:c>
    </x:row>
    <x:row r="2859">
      <x:c r="A2859" s="38" t="str">
        <x:v>7月30日现场数据</x:v>
      </x:c>
      <x:c r="B2859" s="39" t="str">
        <x:v>2026-08-03T01:00:00</x:v>
      </x:c>
      <x:c r="C2859" s="39" t="str">
        <x:v>2026-08-03T02:00:00</x:v>
      </x:c>
      <x:c r="D2859" s="47" t="n">
        <x:v>60</x:v>
      </x:c>
      <x:c r="E2859" s="40" t="n">
        <x:v>14.4</x:v>
      </x:c>
      <x:c r="F2859" s="40" t="n">
        <x:v>14.78936767578125</x:v>
      </x:c>
      <x:c r="G2859" s="40" t="n">
        <x:v>14.5</x:v>
      </x:c>
      <x:c r="H2859" s="40" t="n">
        <x:f>F2859-E2859</x:f>
        <x:v>0.38936767578124964</x:v>
      </x:c>
      <x:c r="I2859" s="40" t="n">
        <x:f>ABS(H2859)</x:f>
        <x:v>0.38936767578124964</x:v>
      </x:c>
      <x:c r="J2859" s="40" t="n">
        <x:f>H2859^2</x:f>
        <x:v>0.15160718694329234</x:v>
      </x:c>
      <x:c r="K2859" s="40" t="n">
        <x:f>G2859-E2859</x:f>
        <x:v>0.09999999999999964</x:v>
      </x:c>
      <x:c r="L2859" s="40" t="n">
        <x:f>ABS(K2859)</x:f>
        <x:v>0.09999999999999964</x:v>
      </x:c>
      <x:c r="M2859" s="41" t="str">
        <x:v>lstm-soil-v1</x:v>
      </x:c>
    </x:row>
    <x:row r="2860">
      <x:c r="A2860" s="38" t="str">
        <x:v>7月30日现场数据</x:v>
      </x:c>
      <x:c r="B2860" s="39" t="str">
        <x:v>2026-08-03T01:05:00</x:v>
      </x:c>
      <x:c r="C2860" s="39" t="str">
        <x:v>2026-08-03T01:10:00</x:v>
      </x:c>
      <x:c r="D2860" s="47" t="n">
        <x:v>5</x:v>
      </x:c>
      <x:c r="E2860" s="40" t="n">
        <x:v>14.6</x:v>
      </x:c>
      <x:c r="F2860" s="40" t="n">
        <x:v>12.682212829589844</x:v>
      </x:c>
      <x:c r="G2860" s="40" t="n">
        <x:v>14.5</x:v>
      </x:c>
      <x:c r="H2860" s="40" t="n">
        <x:f>F2860-E2860</x:f>
        <x:v>-1.917787170410156</x:v>
      </x:c>
      <x:c r="I2860" s="40" t="n">
        <x:f>ABS(H2860)</x:f>
        <x:v>1.917787170410156</x:v>
      </x:c>
      <x:c r="J2860" s="40" t="n">
        <x:f>H2860^2</x:f>
        <x:v>3.6779076309897922</x:v>
      </x:c>
      <x:c r="K2860" s="40" t="n">
        <x:f>G2860-E2860</x:f>
        <x:v>-0.09999999999999964</x:v>
      </x:c>
      <x:c r="L2860" s="40" t="n">
        <x:f>ABS(K2860)</x:f>
        <x:v>0.09999999999999964</x:v>
      </x:c>
      <x:c r="M2860" s="41" t="str">
        <x:v>lstm-soil-v1</x:v>
      </x:c>
    </x:row>
    <x:row r="2861">
      <x:c r="A2861" s="38" t="str">
        <x:v>7月30日现场数据</x:v>
      </x:c>
      <x:c r="B2861" s="39" t="str">
        <x:v>2026-08-03T01:05:00</x:v>
      </x:c>
      <x:c r="C2861" s="39" t="str">
        <x:v>2026-08-03T01:20:00</x:v>
      </x:c>
      <x:c r="D2861" s="47" t="n">
        <x:v>15</x:v>
      </x:c>
      <x:c r="E2861" s="40" t="n">
        <x:v>14.5</x:v>
      </x:c>
      <x:c r="F2861" s="40" t="n">
        <x:v>12.747989654541016</x:v>
      </x:c>
      <x:c r="G2861" s="40" t="n">
        <x:v>14.5</x:v>
      </x:c>
      <x:c r="H2861" s="40" t="n">
        <x:f>F2861-E2861</x:f>
        <x:v>-1.7520103454589844</x:v>
      </x:c>
      <x:c r="I2861" s="40" t="n">
        <x:f>ABS(H2861)</x:f>
        <x:v>1.7520103454589844</x:v>
      </x:c>
      <x:c r="J2861" s="40" t="n">
        <x:f>H2861^2</x:f>
        <x:v>3.0695402505953098</x:v>
      </x:c>
      <x:c r="K2861" s="40" t="n">
        <x:f>G2861-E2861</x:f>
        <x:v>0</x:v>
      </x:c>
      <x:c r="L2861" s="40" t="n">
        <x:f>ABS(K2861)</x:f>
        <x:v>0</x:v>
      </x:c>
      <x:c r="M2861" s="41" t="str">
        <x:v>lstm-soil-v1</x:v>
      </x:c>
    </x:row>
    <x:row r="2862">
      <x:c r="A2862" s="38" t="str">
        <x:v>7月30日现场数据</x:v>
      </x:c>
      <x:c r="B2862" s="39" t="str">
        <x:v>2026-08-03T01:05:00</x:v>
      </x:c>
      <x:c r="C2862" s="39" t="str">
        <x:v>2026-08-03T01:35:00</x:v>
      </x:c>
      <x:c r="D2862" s="47" t="n">
        <x:v>30</x:v>
      </x:c>
      <x:c r="E2862" s="40" t="n">
        <x:v>14.5</x:v>
      </x:c>
      <x:c r="F2862" s="40" t="n">
        <x:v>13.19369888305664</x:v>
      </x:c>
      <x:c r="G2862" s="40" t="n">
        <x:v>14.5</x:v>
      </x:c>
      <x:c r="H2862" s="40" t="n">
        <x:f>F2862-E2862</x:f>
        <x:v>-1.3063011169433594</x:v>
      </x:c>
      <x:c r="I2862" s="40" t="n">
        <x:f>ABS(H2862)</x:f>
        <x:v>1.3063011169433594</x:v>
      </x:c>
      <x:c r="J2862" s="40" t="n">
        <x:f>H2862^2</x:f>
        <x:v>1.7064226081274683</x:v>
      </x:c>
      <x:c r="K2862" s="40" t="n">
        <x:f>G2862-E2862</x:f>
        <x:v>0</x:v>
      </x:c>
      <x:c r="L2862" s="40" t="n">
        <x:f>ABS(K2862)</x:f>
        <x:v>0</x:v>
      </x:c>
      <x:c r="M2862" s="41" t="str">
        <x:v>lstm-soil-v1</x:v>
      </x:c>
    </x:row>
    <x:row r="2863">
      <x:c r="A2863" s="38" t="str">
        <x:v>7月30日现场数据</x:v>
      </x:c>
      <x:c r="B2863" s="39" t="str">
        <x:v>2026-08-03T01:05:00</x:v>
      </x:c>
      <x:c r="C2863" s="39" t="str">
        <x:v>2026-08-03T02:05:00</x:v>
      </x:c>
      <x:c r="D2863" s="47" t="n">
        <x:v>60</x:v>
      </x:c>
      <x:c r="E2863" s="40" t="n">
        <x:v>14.5</x:v>
      </x:c>
      <x:c r="F2863" s="40" t="n">
        <x:v>14.785099029541016</x:v>
      </x:c>
      <x:c r="G2863" s="40" t="n">
        <x:v>14.5</x:v>
      </x:c>
      <x:c r="H2863" s="40" t="n">
        <x:f>F2863-E2863</x:f>
        <x:v>0.2850990295410156</x:v>
      </x:c>
      <x:c r="I2863" s="40" t="n">
        <x:f>ABS(H2863)</x:f>
        <x:v>0.2850990295410156</x:v>
      </x:c>
      <x:c r="J2863" s="40" t="n">
        <x:f>H2863^2</x:f>
        <x:v>0.0812814566452289</x:v>
      </x:c>
      <x:c r="K2863" s="40" t="n">
        <x:f>G2863-E2863</x:f>
        <x:v>0</x:v>
      </x:c>
      <x:c r="L2863" s="40" t="n">
        <x:f>ABS(K2863)</x:f>
        <x:v>0</x:v>
      </x:c>
      <x:c r="M2863" s="41" t="str">
        <x:v>lstm-soil-v1</x:v>
      </x:c>
    </x:row>
    <x:row r="2864">
      <x:c r="A2864" s="38" t="str">
        <x:v>7月30日现场数据</x:v>
      </x:c>
      <x:c r="B2864" s="39" t="str">
        <x:v>2026-08-03T01:10:00</x:v>
      </x:c>
      <x:c r="C2864" s="39" t="str">
        <x:v>2026-08-03T01:15:00</x:v>
      </x:c>
      <x:c r="D2864" s="47" t="n">
        <x:v>5</x:v>
      </x:c>
      <x:c r="E2864" s="40" t="n">
        <x:v>14.5</x:v>
      </x:c>
      <x:c r="F2864" s="40" t="n">
        <x:v>12.79177474975586</x:v>
      </x:c>
      <x:c r="G2864" s="40" t="n">
        <x:v>14.6</x:v>
      </x:c>
      <x:c r="H2864" s="40" t="n">
        <x:f>F2864-E2864</x:f>
        <x:v>-1.7082252502441406</x:v>
      </x:c>
      <x:c r="I2864" s="40" t="n">
        <x:f>ABS(H2864)</x:f>
        <x:v>1.7082252502441406</x:v>
      </x:c>
      <x:c r="J2864" s="40" t="n">
        <x:f>H2864^2</x:f>
        <x:v>2.918033505571657</x:v>
      </x:c>
      <x:c r="K2864" s="40" t="n">
        <x:f>G2864-E2864</x:f>
        <x:v>0.09999999999999964</x:v>
      </x:c>
      <x:c r="L2864" s="40" t="n">
        <x:f>ABS(K2864)</x:f>
        <x:v>0.09999999999999964</x:v>
      </x:c>
      <x:c r="M2864" s="41" t="str">
        <x:v>lstm-soil-v1</x:v>
      </x:c>
    </x:row>
    <x:row r="2865">
      <x:c r="A2865" s="38" t="str">
        <x:v>7月30日现场数据</x:v>
      </x:c>
      <x:c r="B2865" s="39" t="str">
        <x:v>2026-08-03T01:10:00</x:v>
      </x:c>
      <x:c r="C2865" s="39" t="str">
        <x:v>2026-08-03T01:25:00</x:v>
      </x:c>
      <x:c r="D2865" s="47" t="n">
        <x:v>15</x:v>
      </x:c>
      <x:c r="E2865" s="40" t="n">
        <x:v>14.5</x:v>
      </x:c>
      <x:c r="F2865" s="40" t="n">
        <x:v>12.857662200927734</x:v>
      </x:c>
      <x:c r="G2865" s="40" t="n">
        <x:v>14.6</x:v>
      </x:c>
      <x:c r="H2865" s="40" t="n">
        <x:f>F2865-E2865</x:f>
        <x:v>-1.6423377990722656</x:v>
      </x:c>
      <x:c r="I2865" s="40" t="n">
        <x:f>ABS(H2865)</x:f>
        <x:v>1.6423377990722656</x:v>
      </x:c>
      <x:c r="J2865" s="40" t="n">
        <x:f>H2865^2</x:f>
        <x:v>2.6972734462615335</x:v>
      </x:c>
      <x:c r="K2865" s="40" t="n">
        <x:f>G2865-E2865</x:f>
        <x:v>0.09999999999999964</x:v>
      </x:c>
      <x:c r="L2865" s="40" t="n">
        <x:f>ABS(K2865)</x:f>
        <x:v>0.09999999999999964</x:v>
      </x:c>
      <x:c r="M2865" s="41" t="str">
        <x:v>lstm-soil-v1</x:v>
      </x:c>
    </x:row>
    <x:row r="2866">
      <x:c r="A2866" s="38" t="str">
        <x:v>7月30日现场数据</x:v>
      </x:c>
      <x:c r="B2866" s="39" t="str">
        <x:v>2026-08-03T01:10:00</x:v>
      </x:c>
      <x:c r="C2866" s="39" t="str">
        <x:v>2026-08-03T01:40:00</x:v>
      </x:c>
      <x:c r="D2866" s="47" t="n">
        <x:v>30</x:v>
      </x:c>
      <x:c r="E2866" s="40" t="n">
        <x:v>14.5</x:v>
      </x:c>
      <x:c r="F2866" s="40" t="n">
        <x:v>13.304916381835938</x:v>
      </x:c>
      <x:c r="G2866" s="40" t="n">
        <x:v>14.6</x:v>
      </x:c>
      <x:c r="H2866" s="40" t="n">
        <x:f>F2866-E2866</x:f>
        <x:v>-1.1950836181640625</x:v>
      </x:c>
      <x:c r="I2866" s="40" t="n">
        <x:f>ABS(H2866)</x:f>
        <x:v>1.1950836181640625</x:v>
      </x:c>
      <x:c r="J2866" s="40" t="n">
        <x:f>H2866^2</x:f>
        <x:v>1.4282248544041067</x:v>
      </x:c>
      <x:c r="K2866" s="40" t="n">
        <x:f>G2866-E2866</x:f>
        <x:v>0.09999999999999964</x:v>
      </x:c>
      <x:c r="L2866" s="40" t="n">
        <x:f>ABS(K2866)</x:f>
        <x:v>0.09999999999999964</x:v>
      </x:c>
      <x:c r="M2866" s="41" t="str">
        <x:v>lstm-soil-v1</x:v>
      </x:c>
    </x:row>
    <x:row r="2867">
      <x:c r="A2867" s="38" t="str">
        <x:v>7月30日现场数据</x:v>
      </x:c>
      <x:c r="B2867" s="39" t="str">
        <x:v>2026-08-03T01:10:00</x:v>
      </x:c>
      <x:c r="C2867" s="39" t="str">
        <x:v>2026-08-03T02:10:00</x:v>
      </x:c>
      <x:c r="D2867" s="47" t="n">
        <x:v>60</x:v>
      </x:c>
      <x:c r="E2867" s="40" t="n">
        <x:v>14.5</x:v>
      </x:c>
      <x:c r="F2867" s="40" t="n">
        <x:v>14.892868041992188</x:v>
      </x:c>
      <x:c r="G2867" s="40" t="n">
        <x:v>14.6</x:v>
      </x:c>
      <x:c r="H2867" s="40" t="n">
        <x:f>F2867-E2867</x:f>
        <x:v>0.3928680419921875</x:v>
      </x:c>
      <x:c r="I2867" s="40" t="n">
        <x:f>ABS(H2867)</x:f>
        <x:v>0.3928680419921875</x:v>
      </x:c>
      <x:c r="J2867" s="40" t="n">
        <x:f>H2867^2</x:f>
        <x:v>0.1543452984187752</x:v>
      </x:c>
      <x:c r="K2867" s="40" t="n">
        <x:f>G2867-E2867</x:f>
        <x:v>0.09999999999999964</x:v>
      </x:c>
      <x:c r="L2867" s="40" t="n">
        <x:f>ABS(K2867)</x:f>
        <x:v>0.09999999999999964</x:v>
      </x:c>
      <x:c r="M2867" s="41" t="str">
        <x:v>lstm-soil-v1</x:v>
      </x:c>
    </x:row>
    <x:row r="2868">
      <x:c r="A2868" s="38" t="str">
        <x:v>7月30日现场数据</x:v>
      </x:c>
      <x:c r="B2868" s="39" t="str">
        <x:v>2026-08-03T01:15:00</x:v>
      </x:c>
      <x:c r="C2868" s="39" t="str">
        <x:v>2026-08-03T01:20:00</x:v>
      </x:c>
      <x:c r="D2868" s="47" t="n">
        <x:v>5</x:v>
      </x:c>
      <x:c r="E2868" s="40" t="n">
        <x:v>14.5</x:v>
      </x:c>
      <x:c r="F2868" s="40" t="n">
        <x:v>12.681632995605469</x:v>
      </x:c>
      <x:c r="G2868" s="40" t="n">
        <x:v>14.5</x:v>
      </x:c>
      <x:c r="H2868" s="40" t="n">
        <x:f>F2868-E2868</x:f>
        <x:v>-1.8183670043945312</x:v>
      </x:c>
      <x:c r="I2868" s="40" t="n">
        <x:f>ABS(H2868)</x:f>
        <x:v>1.8183670043945312</x:v>
      </x:c>
      <x:c r="J2868" s="40" t="n">
        <x:f>H2868^2</x:f>
        <x:v>3.3064585626707412</x:v>
      </x:c>
      <x:c r="K2868" s="40" t="n">
        <x:f>G2868-E2868</x:f>
        <x:v>0</x:v>
      </x:c>
      <x:c r="L2868" s="40" t="n">
        <x:f>ABS(K2868)</x:f>
        <x:v>0</x:v>
      </x:c>
      <x:c r="M2868" s="41" t="str">
        <x:v>lstm-soil-v1</x:v>
      </x:c>
    </x:row>
    <x:row r="2869">
      <x:c r="A2869" s="38" t="str">
        <x:v>7月30日现场数据</x:v>
      </x:c>
      <x:c r="B2869" s="39" t="str">
        <x:v>2026-08-03T01:15:00</x:v>
      </x:c>
      <x:c r="C2869" s="39" t="str">
        <x:v>2026-08-03T01:30:00</x:v>
      </x:c>
      <x:c r="D2869" s="47" t="n">
        <x:v>15</x:v>
      </x:c>
      <x:c r="E2869" s="40" t="n">
        <x:v>14.5</x:v>
      </x:c>
      <x:c r="F2869" s="40" t="n">
        <x:v>12.7474365234375</x:v>
      </x:c>
      <x:c r="G2869" s="40" t="n">
        <x:v>14.5</x:v>
      </x:c>
      <x:c r="H2869" s="40" t="n">
        <x:f>F2869-E2869</x:f>
        <x:v>-1.7525634765625</x:v>
      </x:c>
      <x:c r="I2869" s="40" t="n">
        <x:f>ABS(H2869)</x:f>
        <x:v>1.7525634765625</x:v>
      </x:c>
      <x:c r="J2869" s="40" t="n">
        <x:f>H2869^2</x:f>
        <x:v>3.0714787393808365</x:v>
      </x:c>
      <x:c r="K2869" s="40" t="n">
        <x:f>G2869-E2869</x:f>
        <x:v>0</x:v>
      </x:c>
      <x:c r="L2869" s="40" t="n">
        <x:f>ABS(K2869)</x:f>
        <x:v>0</x:v>
      </x:c>
      <x:c r="M2869" s="41" t="str">
        <x:v>lstm-soil-v1</x:v>
      </x:c>
    </x:row>
    <x:row r="2870">
      <x:c r="A2870" s="38" t="str">
        <x:v>7月30日现场数据</x:v>
      </x:c>
      <x:c r="B2870" s="39" t="str">
        <x:v>2026-08-03T01:15:00</x:v>
      </x:c>
      <x:c r="C2870" s="39" t="str">
        <x:v>2026-08-03T01:45:00</x:v>
      </x:c>
      <x:c r="D2870" s="47" t="n">
        <x:v>30</x:v>
      </x:c>
      <x:c r="E2870" s="40" t="n">
        <x:v>14.5</x:v>
      </x:c>
      <x:c r="F2870" s="40" t="n">
        <x:v>13.196311950683594</x:v>
      </x:c>
      <x:c r="G2870" s="40" t="n">
        <x:v>14.5</x:v>
      </x:c>
      <x:c r="H2870" s="40" t="n">
        <x:f>F2870-E2870</x:f>
        <x:v>-1.3036880493164062</x:v>
      </x:c>
      <x:c r="I2870" s="40" t="n">
        <x:f>ABS(H2870)</x:f>
        <x:v>1.3036880493164062</x:v>
      </x:c>
      <x:c r="J2870" s="40" t="n">
        <x:f>H2870^2</x:f>
        <x:v>1.6996025299304165</x:v>
      </x:c>
      <x:c r="K2870" s="40" t="n">
        <x:f>G2870-E2870</x:f>
        <x:v>0</x:v>
      </x:c>
      <x:c r="L2870" s="40" t="n">
        <x:f>ABS(K2870)</x:f>
        <x:v>0</x:v>
      </x:c>
      <x:c r="M2870" s="41" t="str">
        <x:v>lstm-soil-v1</x:v>
      </x:c>
    </x:row>
    <x:row r="2871">
      <x:c r="A2871" s="38" t="str">
        <x:v>7月30日现场数据</x:v>
      </x:c>
      <x:c r="B2871" s="39" t="str">
        <x:v>2026-08-03T01:15:00</x:v>
      </x:c>
      <x:c r="C2871" s="39" t="str">
        <x:v>2026-08-03T02:15:00</x:v>
      </x:c>
      <x:c r="D2871" s="47" t="n">
        <x:v>60</x:v>
      </x:c>
      <x:c r="E2871" s="40" t="n">
        <x:v>14.5</x:v>
      </x:c>
      <x:c r="F2871" s="40" t="n">
        <x:v>14.78158187866211</x:v>
      </x:c>
      <x:c r="G2871" s="40" t="n">
        <x:v>14.5</x:v>
      </x:c>
      <x:c r="H2871" s="40" t="n">
        <x:f>F2871-E2871</x:f>
        <x:v>0.2815818786621094</x:v>
      </x:c>
      <x:c r="I2871" s="40" t="n">
        <x:f>ABS(H2871)</x:f>
        <x:v>0.2815818786621094</x:v>
      </x:c>
      <x:c r="J2871" s="40" t="n">
        <x:f>H2871^2</x:f>
        <x:v>0.07928835439088289</x:v>
      </x:c>
      <x:c r="K2871" s="40" t="n">
        <x:f>G2871-E2871</x:f>
        <x:v>0</x:v>
      </x:c>
      <x:c r="L2871" s="40" t="n">
        <x:f>ABS(K2871)</x:f>
        <x:v>0</x:v>
      </x:c>
      <x:c r="M2871" s="41" t="str">
        <x:v>lstm-soil-v1</x:v>
      </x:c>
    </x:row>
    <x:row r="2872">
      <x:c r="A2872" s="38" t="str">
        <x:v>7月30日现场数据</x:v>
      </x:c>
      <x:c r="B2872" s="39" t="str">
        <x:v>2026-08-03T01:20:00</x:v>
      </x:c>
      <x:c r="C2872" s="39" t="str">
        <x:v>2026-08-03T01:25:00</x:v>
      </x:c>
      <x:c r="D2872" s="47" t="n">
        <x:v>5</x:v>
      </x:c>
      <x:c r="E2872" s="40" t="n">
        <x:v>14.5</x:v>
      </x:c>
      <x:c r="F2872" s="40" t="n">
        <x:v>12.68191146850586</x:v>
      </x:c>
      <x:c r="G2872" s="40" t="n">
        <x:v>14.5</x:v>
      </x:c>
      <x:c r="H2872" s="40" t="n">
        <x:f>F2872-E2872</x:f>
        <x:v>-1.8180885314941406</x:v>
      </x:c>
      <x:c r="I2872" s="40" t="n">
        <x:f>ABS(H2872)</x:f>
        <x:v>1.8180885314941406</x:v>
      </x:c>
      <x:c r="J2872" s="40" t="n">
        <x:f>H2872^2</x:f>
        <x:v>3.3054459083505208</x:v>
      </x:c>
      <x:c r="K2872" s="40" t="n">
        <x:f>G2872-E2872</x:f>
        <x:v>0</x:v>
      </x:c>
      <x:c r="L2872" s="40" t="n">
        <x:f>ABS(K2872)</x:f>
        <x:v>0</x:v>
      </x:c>
      <x:c r="M2872" s="41" t="str">
        <x:v>lstm-soil-v1</x:v>
      </x:c>
    </x:row>
    <x:row r="2873">
      <x:c r="A2873" s="38" t="str">
        <x:v>7月30日现场数据</x:v>
      </x:c>
      <x:c r="B2873" s="39" t="str">
        <x:v>2026-08-03T01:20:00</x:v>
      </x:c>
      <x:c r="C2873" s="39" t="str">
        <x:v>2026-08-03T01:35:00</x:v>
      </x:c>
      <x:c r="D2873" s="47" t="n">
        <x:v>15</x:v>
      </x:c>
      <x:c r="E2873" s="40" t="n">
        <x:v>14.5</x:v>
      </x:c>
      <x:c r="F2873" s="40" t="n">
        <x:v>12.747444152832031</x:v>
      </x:c>
      <x:c r="G2873" s="40" t="n">
        <x:v>14.5</x:v>
      </x:c>
      <x:c r="H2873" s="40" t="n">
        <x:f>F2873-E2873</x:f>
        <x:v>-1.7525558471679688</x:v>
      </x:c>
      <x:c r="I2873" s="40" t="n">
        <x:f>ABS(H2873)</x:f>
        <x:v>1.7525558471679688</x:v>
      </x:c>
      <x:c r="J2873" s="40" t="n">
        <x:f>H2873^2</x:f>
        <x:v>3.0714519974426366</x:v>
      </x:c>
      <x:c r="K2873" s="40" t="n">
        <x:f>G2873-E2873</x:f>
        <x:v>0</x:v>
      </x:c>
      <x:c r="L2873" s="40" t="n">
        <x:f>ABS(K2873)</x:f>
        <x:v>0</x:v>
      </x:c>
      <x:c r="M2873" s="41" t="str">
        <x:v>lstm-soil-v1</x:v>
      </x:c>
    </x:row>
    <x:row r="2874">
      <x:c r="A2874" s="38" t="str">
        <x:v>7月30日现场数据</x:v>
      </x:c>
      <x:c r="B2874" s="39" t="str">
        <x:v>2026-08-03T01:20:00</x:v>
      </x:c>
      <x:c r="C2874" s="39" t="str">
        <x:v>2026-08-03T01:50:00</x:v>
      </x:c>
      <x:c r="D2874" s="47" t="n">
        <x:v>30</x:v>
      </x:c>
      <x:c r="E2874" s="40" t="n">
        <x:v>14.5</x:v>
      </x:c>
      <x:c r="F2874" s="40" t="n">
        <x:v>13.197872161865234</x:v>
      </x:c>
      <x:c r="G2874" s="40" t="n">
        <x:v>14.5</x:v>
      </x:c>
      <x:c r="H2874" s="40" t="n">
        <x:f>F2874-E2874</x:f>
        <x:v>-1.3021278381347656</x:v>
      </x:c>
      <x:c r="I2874" s="40" t="n">
        <x:f>ABS(H2874)</x:f>
        <x:v>1.3021278381347656</x:v>
      </x:c>
      <x:c r="J2874" s="40" t="n">
        <x:f>H2874^2</x:f>
        <x:v>1.6955369068455184</x:v>
      </x:c>
      <x:c r="K2874" s="40" t="n">
        <x:f>G2874-E2874</x:f>
        <x:v>0</x:v>
      </x:c>
      <x:c r="L2874" s="40" t="n">
        <x:f>ABS(K2874)</x:f>
        <x:v>0</x:v>
      </x:c>
      <x:c r="M2874" s="41" t="str">
        <x:v>lstm-soil-v1</x:v>
      </x:c>
    </x:row>
    <x:row r="2875">
      <x:c r="A2875" s="38" t="str">
        <x:v>7月30日现场数据</x:v>
      </x:c>
      <x:c r="B2875" s="39" t="str">
        <x:v>2026-08-03T01:20:00</x:v>
      </x:c>
      <x:c r="C2875" s="39" t="str">
        <x:v>2026-08-03T02:20:00</x:v>
      </x:c>
      <x:c r="D2875" s="47" t="n">
        <x:v>60</x:v>
      </x:c>
      <x:c r="E2875" s="40" t="n">
        <x:v>14.5</x:v>
      </x:c>
      <x:c r="F2875" s="40" t="n">
        <x:v>14.781246185302734</x:v>
      </x:c>
      <x:c r="G2875" s="40" t="n">
        <x:v>14.5</x:v>
      </x:c>
      <x:c r="H2875" s="40" t="n">
        <x:f>F2875-E2875</x:f>
        <x:v>0.2812461853027344</x:v>
      </x:c>
      <x:c r="I2875" s="40" t="n">
        <x:f>ABS(H2875)</x:f>
        <x:v>0.2812461853027344</x:v>
      </x:c>
      <x:c r="J2875" s="40" t="n">
        <x:f>H2875^2</x:f>
        <x:v>0.07909941674734</x:v>
      </x:c>
      <x:c r="K2875" s="40" t="n">
        <x:f>G2875-E2875</x:f>
        <x:v>0</x:v>
      </x:c>
      <x:c r="L2875" s="40" t="n">
        <x:f>ABS(K2875)</x:f>
        <x:v>0</x:v>
      </x:c>
      <x:c r="M2875" s="41" t="str">
        <x:v>lstm-soil-v1</x:v>
      </x:c>
    </x:row>
    <x:row r="2876">
      <x:c r="A2876" s="38" t="str">
        <x:v>7月30日现场数据</x:v>
      </x:c>
      <x:c r="B2876" s="39" t="str">
        <x:v>2026-08-03T01:25:00</x:v>
      </x:c>
      <x:c r="C2876" s="39" t="str">
        <x:v>2026-08-03T01:30:00</x:v>
      </x:c>
      <x:c r="D2876" s="47" t="n">
        <x:v>5</x:v>
      </x:c>
      <x:c r="E2876" s="40" t="n">
        <x:v>14.5</x:v>
      </x:c>
      <x:c r="F2876" s="40" t="n">
        <x:v>12.683219909667969</x:v>
      </x:c>
      <x:c r="G2876" s="40" t="n">
        <x:v>14.5</x:v>
      </x:c>
      <x:c r="H2876" s="40" t="n">
        <x:f>F2876-E2876</x:f>
        <x:v>-1.8167800903320312</x:v>
      </x:c>
      <x:c r="I2876" s="40" t="n">
        <x:f>ABS(H2876)</x:f>
        <x:v>1.8167800903320312</x:v>
      </x:c>
      <x:c r="J2876" s="40" t="n">
        <x:f>H2876^2</x:f>
        <x:v>3.3006898966268636</x:v>
      </x:c>
      <x:c r="K2876" s="40" t="n">
        <x:f>G2876-E2876</x:f>
        <x:v>0</x:v>
      </x:c>
      <x:c r="L2876" s="40" t="n">
        <x:f>ABS(K2876)</x:f>
        <x:v>0</x:v>
      </x:c>
      <x:c r="M2876" s="41" t="str">
        <x:v>lstm-soil-v1</x:v>
      </x:c>
    </x:row>
    <x:row r="2877">
      <x:c r="A2877" s="38" t="str">
        <x:v>7月30日现场数据</x:v>
      </x:c>
      <x:c r="B2877" s="39" t="str">
        <x:v>2026-08-03T01:25:00</x:v>
      </x:c>
      <x:c r="C2877" s="39" t="str">
        <x:v>2026-08-03T01:40:00</x:v>
      </x:c>
      <x:c r="D2877" s="47" t="n">
        <x:v>15</x:v>
      </x:c>
      <x:c r="E2877" s="40" t="n">
        <x:v>14.5</x:v>
      </x:c>
      <x:c r="F2877" s="40" t="n">
        <x:v>12.748676300048828</x:v>
      </x:c>
      <x:c r="G2877" s="40" t="n">
        <x:v>14.5</x:v>
      </x:c>
      <x:c r="H2877" s="40" t="n">
        <x:f>F2877-E2877</x:f>
        <x:v>-1.7513236999511719</x:v>
      </x:c>
      <x:c r="I2877" s="40" t="n">
        <x:f>ABS(H2877)</x:f>
        <x:v>1.7513236999511719</x:v>
      </x:c>
      <x:c r="J2877" s="40" t="n">
        <x:f>H2877^2</x:f>
        <x:v>3.0671347020106623</x:v>
      </x:c>
      <x:c r="K2877" s="40" t="n">
        <x:f>G2877-E2877</x:f>
        <x:v>0</x:v>
      </x:c>
      <x:c r="L2877" s="40" t="n">
        <x:f>ABS(K2877)</x:f>
        <x:v>0</x:v>
      </x:c>
      <x:c r="M2877" s="41" t="str">
        <x:v>lstm-soil-v1</x:v>
      </x:c>
    </x:row>
    <x:row r="2878">
      <x:c r="A2878" s="38" t="str">
        <x:v>7月30日现场数据</x:v>
      </x:c>
      <x:c r="B2878" s="39" t="str">
        <x:v>2026-08-03T01:25:00</x:v>
      </x:c>
      <x:c r="C2878" s="39" t="str">
        <x:v>2026-08-03T01:55:00</x:v>
      </x:c>
      <x:c r="D2878" s="47" t="n">
        <x:v>30</x:v>
      </x:c>
      <x:c r="E2878" s="40" t="n">
        <x:v>14.5</x:v>
      </x:c>
      <x:c r="F2878" s="40" t="n">
        <x:v>13.201045989990234</x:v>
      </x:c>
      <x:c r="G2878" s="40" t="n">
        <x:v>14.5</x:v>
      </x:c>
      <x:c r="H2878" s="40" t="n">
        <x:f>F2878-E2878</x:f>
        <x:v>-1.2989540100097656</x:v>
      </x:c>
      <x:c r="I2878" s="40" t="n">
        <x:f>ABS(H2878)</x:f>
        <x:v>1.2989540100097656</x:v>
      </x:c>
      <x:c r="J2878" s="40" t="n">
        <x:f>H2878^2</x:f>
        <x:v>1.6872815201204503</x:v>
      </x:c>
      <x:c r="K2878" s="40" t="n">
        <x:f>G2878-E2878</x:f>
        <x:v>0</x:v>
      </x:c>
      <x:c r="L2878" s="40" t="n">
        <x:f>ABS(K2878)</x:f>
        <x:v>0</x:v>
      </x:c>
      <x:c r="M2878" s="41" t="str">
        <x:v>lstm-soil-v1</x:v>
      </x:c>
    </x:row>
    <x:row r="2879">
      <x:c r="A2879" s="38" t="str">
        <x:v>7月30日现场数据</x:v>
      </x:c>
      <x:c r="B2879" s="39" t="str">
        <x:v>2026-08-03T01:25:00</x:v>
      </x:c>
      <x:c r="C2879" s="39" t="str">
        <x:v>2026-08-03T02:25:00</x:v>
      </x:c>
      <x:c r="D2879" s="47" t="n">
        <x:v>60</x:v>
      </x:c>
      <x:c r="E2879" s="40" t="n">
        <x:v>14.5</x:v>
      </x:c>
      <x:c r="F2879" s="40" t="n">
        <x:v>14.784637451171875</x:v>
      </x:c>
      <x:c r="G2879" s="40" t="n">
        <x:v>14.5</x:v>
      </x:c>
      <x:c r="H2879" s="40" t="n">
        <x:f>F2879-E2879</x:f>
        <x:v>0.284637451171875</x:v>
      </x:c>
      <x:c r="I2879" s="40" t="n">
        <x:f>ABS(H2879)</x:f>
        <x:v>0.284637451171875</x:v>
      </x:c>
      <x:c r="J2879" s="40" t="n">
        <x:f>H2879^2</x:f>
        <x:v>0.08101847860962152</x:v>
      </x:c>
      <x:c r="K2879" s="40" t="n">
        <x:f>G2879-E2879</x:f>
        <x:v>0</x:v>
      </x:c>
      <x:c r="L2879" s="40" t="n">
        <x:f>ABS(K2879)</x:f>
        <x:v>0</x:v>
      </x:c>
      <x:c r="M2879" s="41" t="str">
        <x:v>lstm-soil-v1</x:v>
      </x:c>
    </x:row>
    <x:row r="2880">
      <x:c r="A2880" s="38" t="str">
        <x:v>7月30日现场数据</x:v>
      </x:c>
      <x:c r="B2880" s="39" t="str">
        <x:v>2026-08-03T01:30:00</x:v>
      </x:c>
      <x:c r="C2880" s="39" t="str">
        <x:v>2026-08-03T01:35:00</x:v>
      </x:c>
      <x:c r="D2880" s="47" t="n">
        <x:v>5</x:v>
      </x:c>
      <x:c r="E2880" s="40" t="n">
        <x:v>14.5</x:v>
      </x:c>
      <x:c r="F2880" s="40" t="n">
        <x:v>12.682380676269531</x:v>
      </x:c>
      <x:c r="G2880" s="40" t="n">
        <x:v>14.5</x:v>
      </x:c>
      <x:c r="H2880" s="40" t="n">
        <x:f>F2880-E2880</x:f>
        <x:v>-1.8176193237304688</x:v>
      </x:c>
      <x:c r="I2880" s="40" t="n">
        <x:f>ABS(H2880)</x:f>
        <x:v>1.8176193237304688</x:v>
      </x:c>
      <x:c r="J2880" s="40" t="n">
        <x:f>H2880^2</x:f>
        <x:v>3.3037400059984066</x:v>
      </x:c>
      <x:c r="K2880" s="40" t="n">
        <x:f>G2880-E2880</x:f>
        <x:v>0</x:v>
      </x:c>
      <x:c r="L2880" s="40" t="n">
        <x:f>ABS(K2880)</x:f>
        <x:v>0</x:v>
      </x:c>
      <x:c r="M2880" s="41" t="str">
        <x:v>lstm-soil-v1</x:v>
      </x:c>
    </x:row>
    <x:row r="2881">
      <x:c r="A2881" s="38" t="str">
        <x:v>7月30日现场数据</x:v>
      </x:c>
      <x:c r="B2881" s="39" t="str">
        <x:v>2026-08-03T01:30:00</x:v>
      </x:c>
      <x:c r="C2881" s="39" t="str">
        <x:v>2026-08-03T01:45:00</x:v>
      </x:c>
      <x:c r="D2881" s="47" t="n">
        <x:v>15</x:v>
      </x:c>
      <x:c r="E2881" s="40" t="n">
        <x:v>14.5</x:v>
      </x:c>
      <x:c r="F2881" s="40" t="n">
        <x:v>12.749286651611328</x:v>
      </x:c>
      <x:c r="G2881" s="40" t="n">
        <x:v>14.5</x:v>
      </x:c>
      <x:c r="H2881" s="40" t="n">
        <x:f>F2881-E2881</x:f>
        <x:v>-1.7507133483886719</x:v>
      </x:c>
      <x:c r="I2881" s="40" t="n">
        <x:f>ABS(H2881)</x:f>
        <x:v>1.7507133483886719</x:v>
      </x:c>
      <x:c r="J2881" s="40" t="n">
        <x:f>H2881^2</x:f>
        <x:v>3.064997228226275</x:v>
      </x:c>
      <x:c r="K2881" s="40" t="n">
        <x:f>G2881-E2881</x:f>
        <x:v>0</x:v>
      </x:c>
      <x:c r="L2881" s="40" t="n">
        <x:f>ABS(K2881)</x:f>
        <x:v>0</x:v>
      </x:c>
      <x:c r="M2881" s="41" t="str">
        <x:v>lstm-soil-v1</x:v>
      </x:c>
    </x:row>
    <x:row r="2882">
      <x:c r="A2882" s="38" t="str">
        <x:v>7月30日现场数据</x:v>
      </x:c>
      <x:c r="B2882" s="39" t="str">
        <x:v>2026-08-03T01:30:00</x:v>
      </x:c>
      <x:c r="C2882" s="39" t="str">
        <x:v>2026-08-03T02:00:00</x:v>
      </x:c>
      <x:c r="D2882" s="47" t="n">
        <x:v>30</x:v>
      </x:c>
      <x:c r="E2882" s="40" t="n">
        <x:v>14.4</x:v>
      </x:c>
      <x:c r="F2882" s="40" t="n">
        <x:v>13.19967269897461</x:v>
      </x:c>
      <x:c r="G2882" s="40" t="n">
        <x:v>14.5</x:v>
      </x:c>
      <x:c r="H2882" s="40" t="n">
        <x:f>F2882-E2882</x:f>
        <x:v>-1.200327301025391</x:v>
      </x:c>
      <x:c r="I2882" s="40" t="n">
        <x:f>ABS(H2882)</x:f>
        <x:v>1.200327301025391</x:v>
      </x:c>
      <x:c r="J2882" s="40" t="n">
        <x:f>H2882^2</x:f>
        <x:v>1.4407856295868995</x:v>
      </x:c>
      <x:c r="K2882" s="40" t="n">
        <x:f>G2882-E2882</x:f>
        <x:v>0.09999999999999964</x:v>
      </x:c>
      <x:c r="L2882" s="40" t="n">
        <x:f>ABS(K2882)</x:f>
        <x:v>0.09999999999999964</x:v>
      </x:c>
      <x:c r="M2882" s="41" t="str">
        <x:v>lstm-soil-v1</x:v>
      </x:c>
    </x:row>
    <x:row r="2883">
      <x:c r="A2883" s="38" t="str">
        <x:v>7月30日现场数据</x:v>
      </x:c>
      <x:c r="B2883" s="39" t="str">
        <x:v>2026-08-03T01:30:00</x:v>
      </x:c>
      <x:c r="C2883" s="39" t="str">
        <x:v>2026-08-03T02:30:00</x:v>
      </x:c>
      <x:c r="D2883" s="47" t="n">
        <x:v>60</x:v>
      </x:c>
      <x:c r="E2883" s="40" t="n">
        <x:v>14.5</x:v>
      </x:c>
      <x:c r="F2883" s="40" t="n">
        <x:v>14.780479431152344</x:v>
      </x:c>
      <x:c r="G2883" s="40" t="n">
        <x:v>14.5</x:v>
      </x:c>
      <x:c r="H2883" s="40" t="n">
        <x:f>F2883-E2883</x:f>
        <x:v>0.28047943115234375</x:v>
      </x:c>
      <x:c r="I2883" s="40" t="n">
        <x:f>ABS(H2883)</x:f>
        <x:v>0.28047943115234375</x:v>
      </x:c>
      <x:c r="J2883" s="40" t="n">
        <x:f>H2883^2</x:f>
        <x:v>0.07866871129954234</x:v>
      </x:c>
      <x:c r="K2883" s="40" t="n">
        <x:f>G2883-E2883</x:f>
        <x:v>0</x:v>
      </x:c>
      <x:c r="L2883" s="40" t="n">
        <x:f>ABS(K2883)</x:f>
        <x:v>0</x:v>
      </x:c>
      <x:c r="M2883" s="41" t="str">
        <x:v>lstm-soil-v1</x:v>
      </x:c>
    </x:row>
    <x:row r="2884">
      <x:c r="A2884" s="38" t="str">
        <x:v>7月30日现场数据</x:v>
      </x:c>
      <x:c r="B2884" s="39" t="str">
        <x:v>2026-08-03T01:35:00</x:v>
      </x:c>
      <x:c r="C2884" s="39" t="str">
        <x:v>2026-08-03T01:40:00</x:v>
      </x:c>
      <x:c r="D2884" s="47" t="n">
        <x:v>5</x:v>
      </x:c>
      <x:c r="E2884" s="40" t="n">
        <x:v>14.5</x:v>
      </x:c>
      <x:c r="F2884" s="40" t="n">
        <x:v>12.682682037353516</x:v>
      </x:c>
      <x:c r="G2884" s="40" t="n">
        <x:v>14.5</x:v>
      </x:c>
      <x:c r="H2884" s="40" t="n">
        <x:f>F2884-E2884</x:f>
        <x:v>-1.8173179626464844</x:v>
      </x:c>
      <x:c r="I2884" s="40" t="n">
        <x:f>ABS(H2884)</x:f>
        <x:v>1.8173179626464844</x:v>
      </x:c>
      <x:c r="J2884" s="40" t="n">
        <x:f>H2884^2</x:f>
        <x:v>3.302644577357569</x:v>
      </x:c>
      <x:c r="K2884" s="40" t="n">
        <x:f>G2884-E2884</x:f>
        <x:v>0</x:v>
      </x:c>
      <x:c r="L2884" s="40" t="n">
        <x:f>ABS(K2884)</x:f>
        <x:v>0</x:v>
      </x:c>
      <x:c r="M2884" s="41" t="str">
        <x:v>lstm-soil-v1</x:v>
      </x:c>
    </x:row>
    <x:row r="2885">
      <x:c r="A2885" s="38" t="str">
        <x:v>7月30日现场数据</x:v>
      </x:c>
      <x:c r="B2885" s="39" t="str">
        <x:v>2026-08-03T01:35:00</x:v>
      </x:c>
      <x:c r="C2885" s="39" t="str">
        <x:v>2026-08-03T01:50:00</x:v>
      </x:c>
      <x:c r="D2885" s="47" t="n">
        <x:v>15</x:v>
      </x:c>
      <x:c r="E2885" s="40" t="n">
        <x:v>14.5</x:v>
      </x:c>
      <x:c r="F2885" s="40" t="n">
        <x:v>12.748435974121094</x:v>
      </x:c>
      <x:c r="G2885" s="40" t="n">
        <x:v>14.5</x:v>
      </x:c>
      <x:c r="H2885" s="40" t="n">
        <x:f>F2885-E2885</x:f>
        <x:v>-1.7515640258789062</x:v>
      </x:c>
      <x:c r="I2885" s="40" t="n">
        <x:f>ABS(H2885)</x:f>
        <x:v>1.7515640258789062</x:v>
      </x:c>
      <x:c r="J2885" s="40" t="n">
        <x:f>H2885^2</x:f>
        <x:v>3.0679765367531218</x:v>
      </x:c>
      <x:c r="K2885" s="40" t="n">
        <x:f>G2885-E2885</x:f>
        <x:v>0</x:v>
      </x:c>
      <x:c r="L2885" s="40" t="n">
        <x:f>ABS(K2885)</x:f>
        <x:v>0</x:v>
      </x:c>
      <x:c r="M2885" s="41" t="str">
        <x:v>lstm-soil-v1</x:v>
      </x:c>
    </x:row>
    <x:row r="2886">
      <x:c r="A2886" s="38" t="str">
        <x:v>7月30日现场数据</x:v>
      </x:c>
      <x:c r="B2886" s="39" t="str">
        <x:v>2026-08-03T01:35:00</x:v>
      </x:c>
      <x:c r="C2886" s="39" t="str">
        <x:v>2026-08-03T02:05:00</x:v>
      </x:c>
      <x:c r="D2886" s="47" t="n">
        <x:v>30</x:v>
      </x:c>
      <x:c r="E2886" s="40" t="n">
        <x:v>14.5</x:v>
      </x:c>
      <x:c r="F2886" s="40" t="n">
        <x:v>13.199729919433594</x:v>
      </x:c>
      <x:c r="G2886" s="40" t="n">
        <x:v>14.5</x:v>
      </x:c>
      <x:c r="H2886" s="40" t="n">
        <x:f>F2886-E2886</x:f>
        <x:v>-1.3002700805664062</x:v>
      </x:c>
      <x:c r="I2886" s="40" t="n">
        <x:f>ABS(H2886)</x:f>
        <x:v>1.3002700805664062</x:v>
      </x:c>
      <x:c r="J2886" s="40" t="n">
        <x:f>H2886^2</x:f>
        <x:v>1.6907022824161686</x:v>
      </x:c>
      <x:c r="K2886" s="40" t="n">
        <x:f>G2886-E2886</x:f>
        <x:v>0</x:v>
      </x:c>
      <x:c r="L2886" s="40" t="n">
        <x:f>ABS(K2886)</x:f>
        <x:v>0</x:v>
      </x:c>
      <x:c r="M2886" s="41" t="str">
        <x:v>lstm-soil-v1</x:v>
      </x:c>
    </x:row>
    <x:row r="2887">
      <x:c r="A2887" s="38" t="str">
        <x:v>7月30日现场数据</x:v>
      </x:c>
      <x:c r="B2887" s="39" t="str">
        <x:v>2026-08-03T01:35:00</x:v>
      </x:c>
      <x:c r="C2887" s="39" t="str">
        <x:v>2026-08-03T02:35:00</x:v>
      </x:c>
      <x:c r="D2887" s="47" t="n">
        <x:v>60</x:v>
      </x:c>
      <x:c r="E2887" s="40" t="n">
        <x:v>14.5</x:v>
      </x:c>
      <x:c r="F2887" s="40" t="n">
        <x:v>14.781013488769531</x:v>
      </x:c>
      <x:c r="G2887" s="40" t="n">
        <x:v>14.5</x:v>
      </x:c>
      <x:c r="H2887" s="40" t="n">
        <x:f>F2887-E2887</x:f>
        <x:v>0.28101348876953125</x:v>
      </x:c>
      <x:c r="I2887" s="40" t="n">
        <x:f>ABS(H2887)</x:f>
        <x:v>0.28101348876953125</x:v>
      </x:c>
      <x:c r="J2887" s="40" t="n">
        <x:f>H2887^2</x:f>
        <x:v>0.07896858087042347</x:v>
      </x:c>
      <x:c r="K2887" s="40" t="n">
        <x:f>G2887-E2887</x:f>
        <x:v>0</x:v>
      </x:c>
      <x:c r="L2887" s="40" t="n">
        <x:f>ABS(K2887)</x:f>
        <x:v>0</x:v>
      </x:c>
      <x:c r="M2887" s="41" t="str">
        <x:v>lstm-soil-v1</x:v>
      </x:c>
    </x:row>
    <x:row r="2888">
      <x:c r="A2888" s="38" t="str">
        <x:v>7月30日现场数据</x:v>
      </x:c>
      <x:c r="B2888" s="39" t="str">
        <x:v>2026-08-03T01:40:00</x:v>
      </x:c>
      <x:c r="C2888" s="39" t="str">
        <x:v>2026-08-03T01:45:00</x:v>
      </x:c>
      <x:c r="D2888" s="47" t="n">
        <x:v>5</x:v>
      </x:c>
      <x:c r="E2888" s="40" t="n">
        <x:v>14.5</x:v>
      </x:c>
      <x:c r="F2888" s="40" t="n">
        <x:v>12.683094024658203</x:v>
      </x:c>
      <x:c r="G2888" s="40" t="n">
        <x:v>14.5</x:v>
      </x:c>
      <x:c r="H2888" s="40" t="n">
        <x:f>F2888-E2888</x:f>
        <x:v>-1.8169059753417969</x:v>
      </x:c>
      <x:c r="I2888" s="40" t="n">
        <x:f>ABS(H2888)</x:f>
        <x:v>1.8169059753417969</x:v>
      </x:c>
      <x:c r="J2888" s="40" t="n">
        <x:f>H2888^2</x:f>
        <x:v>3.301147323232726</x:v>
      </x:c>
      <x:c r="K2888" s="40" t="n">
        <x:f>G2888-E2888</x:f>
        <x:v>0</x:v>
      </x:c>
      <x:c r="L2888" s="40" t="n">
        <x:f>ABS(K2888)</x:f>
        <x:v>0</x:v>
      </x:c>
      <x:c r="M2888" s="41" t="str">
        <x:v>lstm-soil-v1</x:v>
      </x:c>
    </x:row>
    <x:row r="2889">
      <x:c r="A2889" s="38" t="str">
        <x:v>7月30日现场数据</x:v>
      </x:c>
      <x:c r="B2889" s="39" t="str">
        <x:v>2026-08-03T01:40:00</x:v>
      </x:c>
      <x:c r="C2889" s="39" t="str">
        <x:v>2026-08-03T01:55:00</x:v>
      </x:c>
      <x:c r="D2889" s="47" t="n">
        <x:v>15</x:v>
      </x:c>
      <x:c r="E2889" s="40" t="n">
        <x:v>14.5</x:v>
      </x:c>
      <x:c r="F2889" s="40" t="n">
        <x:v>12.747978210449219</x:v>
      </x:c>
      <x:c r="G2889" s="40" t="n">
        <x:v>14.5</x:v>
      </x:c>
      <x:c r="H2889" s="40" t="n">
        <x:f>F2889-E2889</x:f>
        <x:v>-1.7520217895507812</x:v>
      </x:c>
      <x:c r="I2889" s="40" t="n">
        <x:f>ABS(H2889)</x:f>
        <x:v>1.7520217895507812</x:v>
      </x:c>
      <x:c r="J2889" s="40" t="n">
        <x:f>H2889^2</x:f>
        <x:v>3.069580351060722</x:v>
      </x:c>
      <x:c r="K2889" s="40" t="n">
        <x:f>G2889-E2889</x:f>
        <x:v>0</x:v>
      </x:c>
      <x:c r="L2889" s="40" t="n">
        <x:f>ABS(K2889)</x:f>
        <x:v>0</x:v>
      </x:c>
      <x:c r="M2889" s="41" t="str">
        <x:v>lstm-soil-v1</x:v>
      </x:c>
    </x:row>
    <x:row r="2890">
      <x:c r="A2890" s="38" t="str">
        <x:v>7月30日现场数据</x:v>
      </x:c>
      <x:c r="B2890" s="39" t="str">
        <x:v>2026-08-03T01:40:00</x:v>
      </x:c>
      <x:c r="C2890" s="39" t="str">
        <x:v>2026-08-03T02:10:00</x:v>
      </x:c>
      <x:c r="D2890" s="47" t="n">
        <x:v>30</x:v>
      </x:c>
      <x:c r="E2890" s="40" t="n">
        <x:v>14.5</x:v>
      </x:c>
      <x:c r="F2890" s="40" t="n">
        <x:v>13.200447082519531</x:v>
      </x:c>
      <x:c r="G2890" s="40" t="n">
        <x:v>14.5</x:v>
      </x:c>
      <x:c r="H2890" s="40" t="n">
        <x:f>F2890-E2890</x:f>
        <x:v>-1.2995529174804688</x:v>
      </x:c>
      <x:c r="I2890" s="40" t="n">
        <x:f>ABS(H2890)</x:f>
        <x:v>1.2995529174804688</x:v>
      </x:c>
      <x:c r="J2890" s="40" t="n">
        <x:f>H2890^2</x:f>
        <x:v>1.688837785331998</x:v>
      </x:c>
      <x:c r="K2890" s="40" t="n">
        <x:f>G2890-E2890</x:f>
        <x:v>0</x:v>
      </x:c>
      <x:c r="L2890" s="40" t="n">
        <x:f>ABS(K2890)</x:f>
        <x:v>0</x:v>
      </x:c>
      <x:c r="M2890" s="41" t="str">
        <x:v>lstm-soil-v1</x:v>
      </x:c>
    </x:row>
    <x:row r="2891">
      <x:c r="A2891" s="38" t="str">
        <x:v>7月30日现场数据</x:v>
      </x:c>
      <x:c r="B2891" s="39" t="str">
        <x:v>2026-08-03T01:40:00</x:v>
      </x:c>
      <x:c r="C2891" s="39" t="str">
        <x:v>2026-08-03T02:40:00</x:v>
      </x:c>
      <x:c r="D2891" s="47" t="n">
        <x:v>60</x:v>
      </x:c>
      <x:c r="E2891" s="40" t="n">
        <x:v>14.5</x:v>
      </x:c>
      <x:c r="F2891" s="40" t="n">
        <x:v>14.78164291381836</x:v>
      </x:c>
      <x:c r="G2891" s="40" t="n">
        <x:v>14.5</x:v>
      </x:c>
      <x:c r="H2891" s="40" t="n">
        <x:f>F2891-E2891</x:f>
        <x:v>0.2816429138183594</x:v>
      </x:c>
      <x:c r="I2891" s="40" t="n">
        <x:f>ABS(H2891)</x:f>
        <x:v>0.2816429138183594</x:v>
      </x:c>
      <x:c r="J2891" s="40" t="n">
        <x:f>H2891^2</x:f>
        <x:v>0.0793227309040958</x:v>
      </x:c>
      <x:c r="K2891" s="40" t="n">
        <x:f>G2891-E2891</x:f>
        <x:v>0</x:v>
      </x:c>
      <x:c r="L2891" s="40" t="n">
        <x:f>ABS(K2891)</x:f>
        <x:v>0</x:v>
      </x:c>
      <x:c r="M2891" s="41" t="str">
        <x:v>lstm-soil-v1</x:v>
      </x:c>
    </x:row>
    <x:row r="2892">
      <x:c r="A2892" s="38" t="str">
        <x:v>7月30日现场数据</x:v>
      </x:c>
      <x:c r="B2892" s="39" t="str">
        <x:v>2026-08-03T01:45:00</x:v>
      </x:c>
      <x:c r="C2892" s="39" t="str">
        <x:v>2026-08-03T01:50:00</x:v>
      </x:c>
      <x:c r="D2892" s="47" t="n">
        <x:v>5</x:v>
      </x:c>
      <x:c r="E2892" s="40" t="n">
        <x:v>14.5</x:v>
      </x:c>
      <x:c r="F2892" s="40" t="n">
        <x:v>12.683509826660156</x:v>
      </x:c>
      <x:c r="G2892" s="40" t="n">
        <x:v>14.5</x:v>
      </x:c>
      <x:c r="H2892" s="40" t="n">
        <x:f>F2892-E2892</x:f>
        <x:v>-1.8164901733398438</x:v>
      </x:c>
      <x:c r="I2892" s="40" t="n">
        <x:f>ABS(H2892)</x:f>
        <x:v>1.8164901733398438</x:v>
      </x:c>
      <x:c r="J2892" s="40" t="n">
        <x:f>H2892^2</x:f>
        <x:v>3.2996365498402156</x:v>
      </x:c>
      <x:c r="K2892" s="40" t="n">
        <x:f>G2892-E2892</x:f>
        <x:v>0</x:v>
      </x:c>
      <x:c r="L2892" s="40" t="n">
        <x:f>ABS(K2892)</x:f>
        <x:v>0</x:v>
      </x:c>
      <x:c r="M2892" s="41" t="str">
        <x:v>lstm-soil-v1</x:v>
      </x:c>
    </x:row>
    <x:row r="2893">
      <x:c r="A2893" s="38" t="str">
        <x:v>7月30日现场数据</x:v>
      </x:c>
      <x:c r="B2893" s="39" t="str">
        <x:v>2026-08-03T01:45:00</x:v>
      </x:c>
      <x:c r="C2893" s="39" t="str">
        <x:v>2026-08-03T02:00:00</x:v>
      </x:c>
      <x:c r="D2893" s="47" t="n">
        <x:v>15</x:v>
      </x:c>
      <x:c r="E2893" s="40" t="n">
        <x:v>14.4</x:v>
      </x:c>
      <x:c r="F2893" s="40" t="n">
        <x:v>12.747783660888672</x:v>
      </x:c>
      <x:c r="G2893" s="40" t="n">
        <x:v>14.5</x:v>
      </x:c>
      <x:c r="H2893" s="40" t="n">
        <x:f>F2893-E2893</x:f>
        <x:v>-1.6522163391113285</x:v>
      </x:c>
      <x:c r="I2893" s="40" t="n">
        <x:f>ABS(H2893)</x:f>
        <x:v>1.6522163391113285</x:v>
      </x:c>
      <x:c r="J2893" s="40" t="n">
        <x:f>H2893^2</x:f>
        <x:v>2.7298188312264404</x:v>
      </x:c>
      <x:c r="K2893" s="40" t="n">
        <x:f>G2893-E2893</x:f>
        <x:v>0.09999999999999964</x:v>
      </x:c>
      <x:c r="L2893" s="40" t="n">
        <x:f>ABS(K2893)</x:f>
        <x:v>0.09999999999999964</x:v>
      </x:c>
      <x:c r="M2893" s="41" t="str">
        <x:v>lstm-soil-v1</x:v>
      </x:c>
    </x:row>
    <x:row r="2894">
      <x:c r="A2894" s="38" t="str">
        <x:v>7月30日现场数据</x:v>
      </x:c>
      <x:c r="B2894" s="39" t="str">
        <x:v>2026-08-03T01:45:00</x:v>
      </x:c>
      <x:c r="C2894" s="39" t="str">
        <x:v>2026-08-03T02:15:00</x:v>
      </x:c>
      <x:c r="D2894" s="47" t="n">
        <x:v>30</x:v>
      </x:c>
      <x:c r="E2894" s="40" t="n">
        <x:v>14.5</x:v>
      </x:c>
      <x:c r="F2894" s="40" t="n">
        <x:v>13.201316833496094</x:v>
      </x:c>
      <x:c r="G2894" s="40" t="n">
        <x:v>14.5</x:v>
      </x:c>
      <x:c r="H2894" s="40" t="n">
        <x:f>F2894-E2894</x:f>
        <x:v>-1.2986831665039062</x:v>
      </x:c>
      <x:c r="I2894" s="40" t="n">
        <x:f>ABS(H2894)</x:f>
        <x:v>1.2986831665039062</x:v>
      </x:c>
      <x:c r="J2894" s="40" t="n">
        <x:f>H2894^2</x:f>
        <x:v>1.6865779669606127</x:v>
      </x:c>
      <x:c r="K2894" s="40" t="n">
        <x:f>G2894-E2894</x:f>
        <x:v>0</x:v>
      </x:c>
      <x:c r="L2894" s="40" t="n">
        <x:f>ABS(K2894)</x:f>
        <x:v>0</x:v>
      </x:c>
      <x:c r="M2894" s="41" t="str">
        <x:v>lstm-soil-v1</x:v>
      </x:c>
    </x:row>
    <x:row r="2895">
      <x:c r="A2895" s="38" t="str">
        <x:v>7月30日现场数据</x:v>
      </x:c>
      <x:c r="B2895" s="39" t="str">
        <x:v>2026-08-03T01:45:00</x:v>
      </x:c>
      <x:c r="C2895" s="39" t="str">
        <x:v>2026-08-03T02:45:00</x:v>
      </x:c>
      <x:c r="D2895" s="47" t="n">
        <x:v>60</x:v>
      </x:c>
      <x:c r="E2895" s="40" t="n">
        <x:v>14.5</x:v>
      </x:c>
      <x:c r="F2895" s="40" t="n">
        <x:v>14.782341003417969</x:v>
      </x:c>
      <x:c r="G2895" s="40" t="n">
        <x:v>14.5</x:v>
      </x:c>
      <x:c r="H2895" s="40" t="n">
        <x:f>F2895-E2895</x:f>
        <x:v>0.28234100341796875</x:v>
      </x:c>
      <x:c r="I2895" s="40" t="n">
        <x:f>ABS(H2895)</x:f>
        <x:v>0.28234100341796875</x:v>
      </x:c>
      <x:c r="J2895" s="40" t="n">
        <x:f>H2895^2</x:f>
        <x:v>0.07971644221106544</x:v>
      </x:c>
      <x:c r="K2895" s="40" t="n">
        <x:f>G2895-E2895</x:f>
        <x:v>0</x:v>
      </x:c>
      <x:c r="L2895" s="40" t="n">
        <x:f>ABS(K2895)</x:f>
        <x:v>0</x:v>
      </x:c>
      <x:c r="M2895" s="41" t="str">
        <x:v>lstm-soil-v1</x:v>
      </x:c>
    </x:row>
    <x:row r="2896">
      <x:c r="A2896" s="38" t="str">
        <x:v>7月30日现场数据</x:v>
      </x:c>
      <x:c r="B2896" s="39" t="str">
        <x:v>2026-08-03T01:50:00</x:v>
      </x:c>
      <x:c r="C2896" s="39" t="str">
        <x:v>2026-08-03T01:55:00</x:v>
      </x:c>
      <x:c r="D2896" s="47" t="n">
        <x:v>5</x:v>
      </x:c>
      <x:c r="E2896" s="40" t="n">
        <x:v>14.5</x:v>
      </x:c>
      <x:c r="F2896" s="40" t="n">
        <x:v>12.68389892578125</x:v>
      </x:c>
      <x:c r="G2896" s="40" t="n">
        <x:v>14.5</x:v>
      </x:c>
      <x:c r="H2896" s="40" t="n">
        <x:f>F2896-E2896</x:f>
        <x:v>-1.81610107421875</x:v>
      </x:c>
      <x:c r="I2896" s="40" t="n">
        <x:f>ABS(H2896)</x:f>
        <x:v>1.81610107421875</x:v>
      </x:c>
      <x:c r="J2896" s="40" t="n">
        <x:f>H2896^2</x:f>
        <x:v>3.2982231117784977</x:v>
      </x:c>
      <x:c r="K2896" s="40" t="n">
        <x:f>G2896-E2896</x:f>
        <x:v>0</x:v>
      </x:c>
      <x:c r="L2896" s="40" t="n">
        <x:f>ABS(K2896)</x:f>
        <x:v>0</x:v>
      </x:c>
      <x:c r="M2896" s="41" t="str">
        <x:v>lstm-soil-v1</x:v>
      </x:c>
    </x:row>
    <x:row r="2897">
      <x:c r="A2897" s="38" t="str">
        <x:v>7月30日现场数据</x:v>
      </x:c>
      <x:c r="B2897" s="39" t="str">
        <x:v>2026-08-03T01:50:00</x:v>
      </x:c>
      <x:c r="C2897" s="39" t="str">
        <x:v>2026-08-03T02:05:00</x:v>
      </x:c>
      <x:c r="D2897" s="47" t="n">
        <x:v>15</x:v>
      </x:c>
      <x:c r="E2897" s="40" t="n">
        <x:v>14.5</x:v>
      </x:c>
      <x:c r="F2897" s="40" t="n">
        <x:v>12.74776840209961</x:v>
      </x:c>
      <x:c r="G2897" s="40" t="n">
        <x:v>14.5</x:v>
      </x:c>
      <x:c r="H2897" s="40" t="n">
        <x:f>F2897-E2897</x:f>
        <x:v>-1.7522315979003906</x:v>
      </x:c>
      <x:c r="I2897" s="40" t="n">
        <x:f>ABS(H2897)</x:f>
        <x:v>1.7522315979003906</x:v>
      </x:c>
      <x:c r="J2897" s="40" t="n">
        <x:f>H2897^2</x:f>
        <x:v>3.070315572680556</x:v>
      </x:c>
      <x:c r="K2897" s="40" t="n">
        <x:f>G2897-E2897</x:f>
        <x:v>0</x:v>
      </x:c>
      <x:c r="L2897" s="40" t="n">
        <x:f>ABS(K2897)</x:f>
        <x:v>0</x:v>
      </x:c>
      <x:c r="M2897" s="41" t="str">
        <x:v>lstm-soil-v1</x:v>
      </x:c>
    </x:row>
    <x:row r="2898">
      <x:c r="A2898" s="38" t="str">
        <x:v>7月30日现场数据</x:v>
      </x:c>
      <x:c r="B2898" s="39" t="str">
        <x:v>2026-08-03T01:50:00</x:v>
      </x:c>
      <x:c r="C2898" s="39" t="str">
        <x:v>2026-08-03T02:20:00</x:v>
      </x:c>
      <x:c r="D2898" s="47" t="n">
        <x:v>30</x:v>
      </x:c>
      <x:c r="E2898" s="40" t="n">
        <x:v>14.5</x:v>
      </x:c>
      <x:c r="F2898" s="40" t="n">
        <x:v>13.2021484375</x:v>
      </x:c>
      <x:c r="G2898" s="40" t="n">
        <x:v>14.5</x:v>
      </x:c>
      <x:c r="H2898" s="40" t="n">
        <x:f>F2898-E2898</x:f>
        <x:v>-1.2978515625</x:v>
      </x:c>
      <x:c r="I2898" s="40" t="n">
        <x:f>ABS(H2898)</x:f>
        <x:v>1.2978515625</x:v>
      </x:c>
      <x:c r="J2898" s="40" t="n">
        <x:f>H2898^2</x:f>
        <x:v>1.6844186782836914</x:v>
      </x:c>
      <x:c r="K2898" s="40" t="n">
        <x:f>G2898-E2898</x:f>
        <x:v>0</x:v>
      </x:c>
      <x:c r="L2898" s="40" t="n">
        <x:f>ABS(K2898)</x:f>
        <x:v>0</x:v>
      </x:c>
      <x:c r="M2898" s="41" t="str">
        <x:v>lstm-soil-v1</x:v>
      </x:c>
    </x:row>
    <x:row r="2899">
      <x:c r="A2899" s="38" t="str">
        <x:v>7月30日现场数据</x:v>
      </x:c>
      <x:c r="B2899" s="39" t="str">
        <x:v>2026-08-03T01:50:00</x:v>
      </x:c>
      <x:c r="C2899" s="39" t="str">
        <x:v>2026-08-03T02:50:00</x:v>
      </x:c>
      <x:c r="D2899" s="47" t="n">
        <x:v>60</x:v>
      </x:c>
      <x:c r="E2899" s="40" t="n">
        <x:v>14.5</x:v>
      </x:c>
      <x:c r="F2899" s="40" t="n">
        <x:v>14.78299331665039</x:v>
      </x:c>
      <x:c r="G2899" s="40" t="n">
        <x:v>14.5</x:v>
      </x:c>
      <x:c r="H2899" s="40" t="n">
        <x:f>F2899-E2899</x:f>
        <x:v>0.2829933166503906</x:v>
      </x:c>
      <x:c r="I2899" s="40" t="n">
        <x:f>ABS(H2899)</x:f>
        <x:v>0.2829933166503906</x:v>
      </x:c>
      <x:c r="J2899" s="40" t="n">
        <x:f>H2899^2</x:f>
        <x:v>0.08008521726878826</x:v>
      </x:c>
      <x:c r="K2899" s="40" t="n">
        <x:f>G2899-E2899</x:f>
        <x:v>0</x:v>
      </x:c>
      <x:c r="L2899" s="40" t="n">
        <x:f>ABS(K2899)</x:f>
        <x:v>0</x:v>
      </x:c>
      <x:c r="M2899" s="41" t="str">
        <x:v>lstm-soil-v1</x:v>
      </x:c>
    </x:row>
    <x:row r="2900">
      <x:c r="A2900" s="38" t="str">
        <x:v>7月30日现场数据</x:v>
      </x:c>
      <x:c r="B2900" s="39" t="str">
        <x:v>2026-08-03T01:55:00</x:v>
      </x:c>
      <x:c r="C2900" s="39" t="str">
        <x:v>2026-08-03T02:00:00</x:v>
      </x:c>
      <x:c r="D2900" s="47" t="n">
        <x:v>5</x:v>
      </x:c>
      <x:c r="E2900" s="40" t="n">
        <x:v>14.4</x:v>
      </x:c>
      <x:c r="F2900" s="40" t="n">
        <x:v>12.684223175048828</x:v>
      </x:c>
      <x:c r="G2900" s="40" t="n">
        <x:v>14.5</x:v>
      </x:c>
      <x:c r="H2900" s="40" t="n">
        <x:f>F2900-E2900</x:f>
        <x:v>-1.7157768249511722</x:v>
      </x:c>
      <x:c r="I2900" s="40" t="n">
        <x:f>ABS(H2900)</x:f>
        <x:v>1.7157768249511722</x:v>
      </x:c>
      <x:c r="J2900" s="40" t="n">
        <x:f>H2900^2</x:f>
        <x:v>2.9438901130395254</x:v>
      </x:c>
      <x:c r="K2900" s="40" t="n">
        <x:f>G2900-E2900</x:f>
        <x:v>0.09999999999999964</x:v>
      </x:c>
      <x:c r="L2900" s="40" t="n">
        <x:f>ABS(K2900)</x:f>
        <x:v>0.09999999999999964</x:v>
      </x:c>
      <x:c r="M2900" s="41" t="str">
        <x:v>lstm-soil-v1</x:v>
      </x:c>
    </x:row>
    <x:row r="2901">
      <x:c r="A2901" s="38" t="str">
        <x:v>7月30日现场数据</x:v>
      </x:c>
      <x:c r="B2901" s="39" t="str">
        <x:v>2026-08-03T01:55:00</x:v>
      </x:c>
      <x:c r="C2901" s="39" t="str">
        <x:v>2026-08-03T02:10:00</x:v>
      </x:c>
      <x:c r="D2901" s="47" t="n">
        <x:v>15</x:v>
      </x:c>
      <x:c r="E2901" s="40" t="n">
        <x:v>14.5</x:v>
      </x:c>
      <x:c r="F2901" s="40" t="n">
        <x:v>12.747840881347656</x:v>
      </x:c>
      <x:c r="G2901" s="40" t="n">
        <x:v>14.5</x:v>
      </x:c>
      <x:c r="H2901" s="40" t="n">
        <x:f>F2901-E2901</x:f>
        <x:v>-1.7521591186523438</x:v>
      </x:c>
      <x:c r="I2901" s="40" t="n">
        <x:f>ABS(H2901)</x:f>
        <x:v>1.7521591186523438</x:v>
      </x:c>
      <x:c r="J2901" s="40" t="n">
        <x:f>H2901^2</x:f>
        <x:v>3.070061577076558</x:v>
      </x:c>
      <x:c r="K2901" s="40" t="n">
        <x:f>G2901-E2901</x:f>
        <x:v>0</x:v>
      </x:c>
      <x:c r="L2901" s="40" t="n">
        <x:f>ABS(K2901)</x:f>
        <x:v>0</x:v>
      </x:c>
      <x:c r="M2901" s="41" t="str">
        <x:v>lstm-soil-v1</x:v>
      </x:c>
    </x:row>
    <x:row r="2902">
      <x:c r="A2902" s="38" t="str">
        <x:v>7月30日现场数据</x:v>
      </x:c>
      <x:c r="B2902" s="39" t="str">
        <x:v>2026-08-03T01:55:00</x:v>
      </x:c>
      <x:c r="C2902" s="39" t="str">
        <x:v>2026-08-03T02:25:00</x:v>
      </x:c>
      <x:c r="D2902" s="47" t="n">
        <x:v>30</x:v>
      </x:c>
      <x:c r="E2902" s="40" t="n">
        <x:v>14.5</x:v>
      </x:c>
      <x:c r="F2902" s="40" t="n">
        <x:v>13.202865600585938</x:v>
      </x:c>
      <x:c r="G2902" s="40" t="n">
        <x:v>14.5</x:v>
      </x:c>
      <x:c r="H2902" s="40" t="n">
        <x:f>F2902-E2902</x:f>
        <x:v>-1.2971343994140625</x:v>
      </x:c>
      <x:c r="I2902" s="40" t="n">
        <x:f>ABS(H2902)</x:f>
        <x:v>1.2971343994140625</x:v>
      </x:c>
      <x:c r="J2902" s="40" t="n">
        <x:f>H2902^2</x:f>
        <x:v>1.6825576501432806</x:v>
      </x:c>
      <x:c r="K2902" s="40" t="n">
        <x:f>G2902-E2902</x:f>
        <x:v>0</x:v>
      </x:c>
      <x:c r="L2902" s="40" t="n">
        <x:f>ABS(K2902)</x:f>
        <x:v>0</x:v>
      </x:c>
      <x:c r="M2902" s="41" t="str">
        <x:v>lstm-soil-v1</x:v>
      </x:c>
    </x:row>
    <x:row r="2903">
      <x:c r="A2903" s="38" t="str">
        <x:v>7月30日现场数据</x:v>
      </x:c>
      <x:c r="B2903" s="39" t="str">
        <x:v>2026-08-03T01:55:00</x:v>
      </x:c>
      <x:c r="C2903" s="39" t="str">
        <x:v>2026-08-03T02:55:00</x:v>
      </x:c>
      <x:c r="D2903" s="47" t="n">
        <x:v>60</x:v>
      </x:c>
      <x:c r="E2903" s="40" t="n">
        <x:v>14.5</x:v>
      </x:c>
      <x:c r="F2903" s="40" t="n">
        <x:v>14.783538818359375</x:v>
      </x:c>
      <x:c r="G2903" s="40" t="n">
        <x:v>14.5</x:v>
      </x:c>
      <x:c r="H2903" s="40" t="n">
        <x:f>F2903-E2903</x:f>
        <x:v>0.283538818359375</x:v>
      </x:c>
      <x:c r="I2903" s="40" t="n">
        <x:f>ABS(H2903)</x:f>
        <x:v>0.283538818359375</x:v>
      </x:c>
      <x:c r="J2903" s="40" t="n">
        <x:f>H2903^2</x:f>
        <x:v>0.08039426151663065</x:v>
      </x:c>
      <x:c r="K2903" s="40" t="n">
        <x:f>G2903-E2903</x:f>
        <x:v>0</x:v>
      </x:c>
      <x:c r="L2903" s="40" t="n">
        <x:f>ABS(K2903)</x:f>
        <x:v>0</x:v>
      </x:c>
      <x:c r="M2903" s="41" t="str">
        <x:v>lstm-soil-v1</x:v>
      </x:c>
    </x:row>
    <x:row r="2904">
      <x:c r="A2904" s="38" t="str">
        <x:v>7月30日现场数据</x:v>
      </x:c>
      <x:c r="B2904" s="39" t="str">
        <x:v>2026-08-03T02:00:00</x:v>
      </x:c>
      <x:c r="C2904" s="39" t="str">
        <x:v>2026-08-03T02:05:00</x:v>
      </x:c>
      <x:c r="D2904" s="47" t="n">
        <x:v>5</x:v>
      </x:c>
      <x:c r="E2904" s="40" t="n">
        <x:v>14.5</x:v>
      </x:c>
      <x:c r="F2904" s="40" t="n">
        <x:v>12.57126235961914</x:v>
      </x:c>
      <x:c r="G2904" s="40" t="n">
        <x:v>14.4</x:v>
      </x:c>
      <x:c r="H2904" s="40" t="n">
        <x:f>F2904-E2904</x:f>
        <x:v>-1.9287376403808594</x:v>
      </x:c>
      <x:c r="I2904" s="40" t="n">
        <x:f>ABS(H2904)</x:f>
        <x:v>1.9287376403808594</x:v>
      </x:c>
      <x:c r="J2904" s="40" t="n">
        <x:f>H2904^2</x:f>
        <x:v>3.7200288854219252</x:v>
      </x:c>
      <x:c r="K2904" s="40" t="n">
        <x:f>G2904-E2904</x:f>
        <x:v>-0.09999999999999964</x:v>
      </x:c>
      <x:c r="L2904" s="40" t="n">
        <x:f>ABS(K2904)</x:f>
        <x:v>0.09999999999999964</x:v>
      </x:c>
      <x:c r="M2904" s="41" t="str">
        <x:v>lstm-soil-v1</x:v>
      </x:c>
    </x:row>
    <x:row r="2905">
      <x:c r="A2905" s="38" t="str">
        <x:v>7月30日现场数据</x:v>
      </x:c>
      <x:c r="B2905" s="39" t="str">
        <x:v>2026-08-03T02:00:00</x:v>
      </x:c>
      <x:c r="C2905" s="39" t="str">
        <x:v>2026-08-03T02:15:00</x:v>
      </x:c>
      <x:c r="D2905" s="47" t="n">
        <x:v>15</x:v>
      </x:c>
      <x:c r="E2905" s="40" t="n">
        <x:v>14.5</x:v>
      </x:c>
      <x:c r="F2905" s="40" t="n">
        <x:v>12.634967803955078</x:v>
      </x:c>
      <x:c r="G2905" s="40" t="n">
        <x:v>14.4</x:v>
      </x:c>
      <x:c r="H2905" s="40" t="n">
        <x:f>F2905-E2905</x:f>
        <x:v>-1.8650321960449219</x:v>
      </x:c>
      <x:c r="I2905" s="40" t="n">
        <x:f>ABS(H2905)</x:f>
        <x:v>1.8650321960449219</x:v>
      </x:c>
      <x:c r="J2905" s="40" t="n">
        <x:f>H2905^2</x:f>
        <x:v>3.478345092284144</x:v>
      </x:c>
      <x:c r="K2905" s="40" t="n">
        <x:f>G2905-E2905</x:f>
        <x:v>-0.09999999999999964</x:v>
      </x:c>
      <x:c r="L2905" s="40" t="n">
        <x:f>ABS(K2905)</x:f>
        <x:v>0.09999999999999964</x:v>
      </x:c>
      <x:c r="M2905" s="41" t="str">
        <x:v>lstm-soil-v1</x:v>
      </x:c>
    </x:row>
    <x:row r="2906">
      <x:c r="A2906" s="38" t="str">
        <x:v>7月30日现场数据</x:v>
      </x:c>
      <x:c r="B2906" s="39" t="str">
        <x:v>2026-08-03T02:00:00</x:v>
      </x:c>
      <x:c r="C2906" s="39" t="str">
        <x:v>2026-08-03T02:30:00</x:v>
      </x:c>
      <x:c r="D2906" s="47" t="n">
        <x:v>30</x:v>
      </x:c>
      <x:c r="E2906" s="40" t="n">
        <x:v>14.5</x:v>
      </x:c>
      <x:c r="F2906" s="40" t="n">
        <x:v>13.089363098144531</x:v>
      </x:c>
      <x:c r="G2906" s="40" t="n">
        <x:v>14.4</x:v>
      </x:c>
      <x:c r="H2906" s="40" t="n">
        <x:f>F2906-E2906</x:f>
        <x:v>-1.4106369018554688</x:v>
      </x:c>
      <x:c r="I2906" s="40" t="n">
        <x:f>ABS(H2906)</x:f>
        <x:v>1.4106369018554688</x:v>
      </x:c>
      <x:c r="J2906" s="40" t="n">
        <x:f>H2906^2</x:f>
        <x:v>1.9898964688763954</x:v>
      </x:c>
      <x:c r="K2906" s="40" t="n">
        <x:f>G2906-E2906</x:f>
        <x:v>-0.09999999999999964</x:v>
      </x:c>
      <x:c r="L2906" s="40" t="n">
        <x:f>ABS(K2906)</x:f>
        <x:v>0.09999999999999964</x:v>
      </x:c>
      <x:c r="M2906" s="41" t="str">
        <x:v>lstm-soil-v1</x:v>
      </x:c>
    </x:row>
    <x:row r="2907">
      <x:c r="A2907" s="38" t="str">
        <x:v>7月30日现场数据</x:v>
      </x:c>
      <x:c r="B2907" s="39" t="str">
        <x:v>2026-08-03T02:00:00</x:v>
      </x:c>
      <x:c r="C2907" s="39" t="str">
        <x:v>2026-08-03T03:00:00</x:v>
      </x:c>
      <x:c r="D2907" s="47" t="n">
        <x:v>60</x:v>
      </x:c>
      <x:c r="E2907" s="40" t="n">
        <x:v>14.5</x:v>
      </x:c>
      <x:c r="F2907" s="40" t="n">
        <x:v>14.669658660888672</x:v>
      </x:c>
      <x:c r="G2907" s="40" t="n">
        <x:v>14.4</x:v>
      </x:c>
      <x:c r="H2907" s="40" t="n">
        <x:f>F2907-E2907</x:f>
        <x:v>0.16965866088867188</x:v>
      </x:c>
      <x:c r="I2907" s="40" t="n">
        <x:f>ABS(H2907)</x:f>
        <x:v>0.16965866088867188</x:v>
      </x:c>
      <x:c r="J2907" s="40" t="n">
        <x:f>H2907^2</x:f>
        <x:v>0.02878406121453736</x:v>
      </x:c>
      <x:c r="K2907" s="40" t="n">
        <x:f>G2907-E2907</x:f>
        <x:v>-0.09999999999999964</x:v>
      </x:c>
      <x:c r="L2907" s="40" t="n">
        <x:f>ABS(K2907)</x:f>
        <x:v>0.09999999999999964</x:v>
      </x:c>
      <x:c r="M2907" s="41" t="str">
        <x:v>lstm-soil-v1</x:v>
      </x:c>
    </x:row>
    <x:row r="2908">
      <x:c r="A2908" s="38" t="str">
        <x:v>7月30日现场数据</x:v>
      </x:c>
      <x:c r="B2908" s="39" t="str">
        <x:v>2026-08-03T02:05:00</x:v>
      </x:c>
      <x:c r="C2908" s="39" t="str">
        <x:v>2026-08-03T02:10:00</x:v>
      </x:c>
      <x:c r="D2908" s="47" t="n">
        <x:v>5</x:v>
      </x:c>
      <x:c r="E2908" s="40" t="n">
        <x:v>14.5</x:v>
      </x:c>
      <x:c r="F2908" s="40" t="n">
        <x:v>12.679790496826172</x:v>
      </x:c>
      <x:c r="G2908" s="40" t="n">
        <x:v>14.5</x:v>
      </x:c>
      <x:c r="H2908" s="40" t="n">
        <x:f>F2908-E2908</x:f>
        <x:v>-1.8202095031738281</x:v>
      </x:c>
      <x:c r="I2908" s="40" t="n">
        <x:f>ABS(H2908)</x:f>
        <x:v>1.8202095031738281</x:v>
      </x:c>
      <x:c r="J2908" s="40" t="n">
        <x:f>H2908^2</x:f>
        <x:v>3.313162635444314</x:v>
      </x:c>
      <x:c r="K2908" s="40" t="n">
        <x:f>G2908-E2908</x:f>
        <x:v>0</x:v>
      </x:c>
      <x:c r="L2908" s="40" t="n">
        <x:f>ABS(K2908)</x:f>
        <x:v>0</x:v>
      </x:c>
      <x:c r="M2908" s="41" t="str">
        <x:v>lstm-soil-v1</x:v>
      </x:c>
    </x:row>
    <x:row r="2909">
      <x:c r="A2909" s="38" t="str">
        <x:v>7月30日现场数据</x:v>
      </x:c>
      <x:c r="B2909" s="39" t="str">
        <x:v>2026-08-03T02:05:00</x:v>
      </x:c>
      <x:c r="C2909" s="39" t="str">
        <x:v>2026-08-03T02:20:00</x:v>
      </x:c>
      <x:c r="D2909" s="47" t="n">
        <x:v>15</x:v>
      </x:c>
      <x:c r="E2909" s="40" t="n">
        <x:v>14.5</x:v>
      </x:c>
      <x:c r="F2909" s="40" t="n">
        <x:v>12.74399185180664</x:v>
      </x:c>
      <x:c r="G2909" s="40" t="n">
        <x:v>14.5</x:v>
      </x:c>
      <x:c r="H2909" s="40" t="n">
        <x:f>F2909-E2909</x:f>
        <x:v>-1.7560081481933594</x:v>
      </x:c>
      <x:c r="I2909" s="40" t="n">
        <x:f>ABS(H2909)</x:f>
        <x:v>1.7560081481933594</x:v>
      </x:c>
      <x:c r="J2909" s="40" t="n">
        <x:f>H2909^2</x:f>
        <x:v>3.083564616521471</x:v>
      </x:c>
      <x:c r="K2909" s="40" t="n">
        <x:f>G2909-E2909</x:f>
        <x:v>0</x:v>
      </x:c>
      <x:c r="L2909" s="40" t="n">
        <x:f>ABS(K2909)</x:f>
        <x:v>0</x:v>
      </x:c>
      <x:c r="M2909" s="41" t="str">
        <x:v>lstm-soil-v1</x:v>
      </x:c>
    </x:row>
    <x:row r="2910">
      <x:c r="A2910" s="38" t="str">
        <x:v>7月30日现场数据</x:v>
      </x:c>
      <x:c r="B2910" s="39" t="str">
        <x:v>2026-08-03T02:05:00</x:v>
      </x:c>
      <x:c r="C2910" s="39" t="str">
        <x:v>2026-08-03T02:35:00</x:v>
      </x:c>
      <x:c r="D2910" s="47" t="n">
        <x:v>30</x:v>
      </x:c>
      <x:c r="E2910" s="40" t="n">
        <x:v>14.5</x:v>
      </x:c>
      <x:c r="F2910" s="40" t="n">
        <x:v>13.199249267578125</x:v>
      </x:c>
      <x:c r="G2910" s="40" t="n">
        <x:v>14.5</x:v>
      </x:c>
      <x:c r="H2910" s="40" t="n">
        <x:f>F2910-E2910</x:f>
        <x:v>-1.300750732421875</x:v>
      </x:c>
      <x:c r="I2910" s="40" t="n">
        <x:f>ABS(H2910)</x:f>
        <x:v>1.300750732421875</x:v>
      </x:c>
      <x:c r="J2910" s="40" t="n">
        <x:f>H2910^2</x:f>
        <x:v>1.6919524678960443</x:v>
      </x:c>
      <x:c r="K2910" s="40" t="n">
        <x:f>G2910-E2910</x:f>
        <x:v>0</x:v>
      </x:c>
      <x:c r="L2910" s="40" t="n">
        <x:f>ABS(K2910)</x:f>
        <x:v>0</x:v>
      </x:c>
      <x:c r="M2910" s="41" t="str">
        <x:v>lstm-soil-v1</x:v>
      </x:c>
    </x:row>
    <x:row r="2911">
      <x:c r="A2911" s="38" t="str">
        <x:v>7月30日现场数据</x:v>
      </x:c>
      <x:c r="B2911" s="39" t="str">
        <x:v>2026-08-03T02:05:00</x:v>
      </x:c>
      <x:c r="C2911" s="39" t="str">
        <x:v>2026-08-03T03:05:00</x:v>
      </x:c>
      <x:c r="D2911" s="47" t="n">
        <x:v>60</x:v>
      </x:c>
      <x:c r="E2911" s="40" t="n">
        <x:v>14.5</x:v>
      </x:c>
      <x:c r="F2911" s="40" t="n">
        <x:v>14.776725769042969</x:v>
      </x:c>
      <x:c r="G2911" s="40" t="n">
        <x:v>14.5</x:v>
      </x:c>
      <x:c r="H2911" s="40" t="n">
        <x:f>F2911-E2911</x:f>
        <x:v>0.27672576904296875</x:v>
      </x:c>
      <x:c r="I2911" s="40" t="n">
        <x:f>ABS(H2911)</x:f>
        <x:v>0.27672576904296875</x:v>
      </x:c>
      <x:c r="J2911" s="40" t="n">
        <x:f>H2911^2</x:f>
        <x:v>0.07657715125242248</x:v>
      </x:c>
      <x:c r="K2911" s="40" t="n">
        <x:f>G2911-E2911</x:f>
        <x:v>0</x:v>
      </x:c>
      <x:c r="L2911" s="40" t="n">
        <x:f>ABS(K2911)</x:f>
        <x:v>0</x:v>
      </x:c>
      <x:c r="M2911" s="41" t="str">
        <x:v>lstm-soil-v1</x:v>
      </x:c>
    </x:row>
    <x:row r="2912">
      <x:c r="A2912" s="38" t="str">
        <x:v>7月30日现场数据</x:v>
      </x:c>
      <x:c r="B2912" s="39" t="str">
        <x:v>2026-08-03T02:10:00</x:v>
      </x:c>
      <x:c r="C2912" s="39" t="str">
        <x:v>2026-08-03T02:15:00</x:v>
      </x:c>
      <x:c r="D2912" s="47" t="n">
        <x:v>5</x:v>
      </x:c>
      <x:c r="E2912" s="40" t="n">
        <x:v>14.5</x:v>
      </x:c>
      <x:c r="F2912" s="40" t="n">
        <x:v>12.679351806640625</x:v>
      </x:c>
      <x:c r="G2912" s="40" t="n">
        <x:v>14.5</x:v>
      </x:c>
      <x:c r="H2912" s="40" t="n">
        <x:f>F2912-E2912</x:f>
        <x:v>-1.820648193359375</x:v>
      </x:c>
      <x:c r="I2912" s="40" t="n">
        <x:f>ABS(H2912)</x:f>
        <x:v>1.820648193359375</x:v>
      </x:c>
      <x:c r="J2912" s="40" t="n">
        <x:f>H2912^2</x:f>
        <x:v>3.314759843982756</x:v>
      </x:c>
      <x:c r="K2912" s="40" t="n">
        <x:f>G2912-E2912</x:f>
        <x:v>0</x:v>
      </x:c>
      <x:c r="L2912" s="40" t="n">
        <x:f>ABS(K2912)</x:f>
        <x:v>0</x:v>
      </x:c>
      <x:c r="M2912" s="41" t="str">
        <x:v>lstm-soil-v1</x:v>
      </x:c>
    </x:row>
    <x:row r="2913">
      <x:c r="A2913" s="38" t="str">
        <x:v>7月30日现场数据</x:v>
      </x:c>
      <x:c r="B2913" s="39" t="str">
        <x:v>2026-08-03T02:10:00</x:v>
      </x:c>
      <x:c r="C2913" s="39" t="str">
        <x:v>2026-08-03T02:25:00</x:v>
      </x:c>
      <x:c r="D2913" s="47" t="n">
        <x:v>15</x:v>
      </x:c>
      <x:c r="E2913" s="40" t="n">
        <x:v>14.5</x:v>
      </x:c>
      <x:c r="F2913" s="40" t="n">
        <x:v>12.743831634521484</x:v>
      </x:c>
      <x:c r="G2913" s="40" t="n">
        <x:v>14.5</x:v>
      </x:c>
      <x:c r="H2913" s="40" t="n">
        <x:f>F2913-E2913</x:f>
        <x:v>-1.7561683654785156</x:v>
      </x:c>
      <x:c r="I2913" s="40" t="n">
        <x:f>ABS(H2913)</x:f>
        <x:v>1.7561683654785156</x:v>
      </x:c>
      <x:c r="J2913" s="40" t="n">
        <x:f>H2913^2</x:f>
        <x:v>3.0841273279074812</x:v>
      </x:c>
      <x:c r="K2913" s="40" t="n">
        <x:f>G2913-E2913</x:f>
        <x:v>0</x:v>
      </x:c>
      <x:c r="L2913" s="40" t="n">
        <x:f>ABS(K2913)</x:f>
        <x:v>0</x:v>
      </x:c>
      <x:c r="M2913" s="41" t="str">
        <x:v>lstm-soil-v1</x:v>
      </x:c>
    </x:row>
    <x:row r="2914">
      <x:c r="A2914" s="38" t="str">
        <x:v>7月30日现场数据</x:v>
      </x:c>
      <x:c r="B2914" s="39" t="str">
        <x:v>2026-08-03T02:10:00</x:v>
      </x:c>
      <x:c r="C2914" s="39" t="str">
        <x:v>2026-08-03T02:40:00</x:v>
      </x:c>
      <x:c r="D2914" s="47" t="n">
        <x:v>30</x:v>
      </x:c>
      <x:c r="E2914" s="40" t="n">
        <x:v>14.5</x:v>
      </x:c>
      <x:c r="F2914" s="40" t="n">
        <x:v>13.200408935546875</x:v>
      </x:c>
      <x:c r="G2914" s="40" t="n">
        <x:v>14.5</x:v>
      </x:c>
      <x:c r="H2914" s="40" t="n">
        <x:f>F2914-E2914</x:f>
        <x:v>-1.299591064453125</x:v>
      </x:c>
      <x:c r="I2914" s="40" t="n">
        <x:f>ABS(H2914)</x:f>
        <x:v>1.299591064453125</x:v>
      </x:c>
      <x:c r="J2914" s="40" t="n">
        <x:f>H2914^2</x:f>
        <x:v>1.6889369348064065</x:v>
      </x:c>
      <x:c r="K2914" s="40" t="n">
        <x:f>G2914-E2914</x:f>
        <x:v>0</x:v>
      </x:c>
      <x:c r="L2914" s="40" t="n">
        <x:f>ABS(K2914)</x:f>
        <x:v>0</x:v>
      </x:c>
      <x:c r="M2914" s="41" t="str">
        <x:v>lstm-soil-v1</x:v>
      </x:c>
    </x:row>
    <x:row r="2915">
      <x:c r="A2915" s="38" t="str">
        <x:v>7月30日现场数据</x:v>
      </x:c>
      <x:c r="B2915" s="39" t="str">
        <x:v>2026-08-03T02:10:00</x:v>
      </x:c>
      <x:c r="C2915" s="39" t="str">
        <x:v>2026-08-03T03:10:00</x:v>
      </x:c>
      <x:c r="D2915" s="47" t="n">
        <x:v>60</x:v>
      </x:c>
      <x:c r="E2915" s="40" t="n">
        <x:v>14.4</x:v>
      </x:c>
      <x:c r="F2915" s="40" t="n">
        <x:v>14.775043487548828</x:v>
      </x:c>
      <x:c r="G2915" s="40" t="n">
        <x:v>14.5</x:v>
      </x:c>
      <x:c r="H2915" s="40" t="n">
        <x:f>F2915-E2915</x:f>
        <x:v>0.37504348754882777</x:v>
      </x:c>
      <x:c r="I2915" s="40" t="n">
        <x:f>ABS(H2915)</x:f>
        <x:v>0.37504348754882777</x:v>
      </x:c>
      <x:c r="J2915" s="40" t="n">
        <x:f>H2915^2</x:f>
        <x:v>0.14065761755278772</x:v>
      </x:c>
      <x:c r="K2915" s="40" t="n">
        <x:f>G2915-E2915</x:f>
        <x:v>0.09999999999999964</x:v>
      </x:c>
      <x:c r="L2915" s="40" t="n">
        <x:f>ABS(K2915)</x:f>
        <x:v>0.09999999999999964</x:v>
      </x:c>
      <x:c r="M2915" s="41" t="str">
        <x:v>lstm-soil-v1</x:v>
      </x:c>
    </x:row>
    <x:row r="2916">
      <x:c r="A2916" s="38" t="str">
        <x:v>7月30日现场数据</x:v>
      </x:c>
      <x:c r="B2916" s="39" t="str">
        <x:v>2026-08-03T02:15:00</x:v>
      </x:c>
      <x:c r="C2916" s="39" t="str">
        <x:v>2026-08-03T02:20:00</x:v>
      </x:c>
      <x:c r="D2916" s="47" t="n">
        <x:v>5</x:v>
      </x:c>
      <x:c r="E2916" s="40" t="n">
        <x:v>14.5</x:v>
      </x:c>
      <x:c r="F2916" s="40" t="n">
        <x:v>12.679523468017578</x:v>
      </x:c>
      <x:c r="G2916" s="40" t="n">
        <x:v>14.5</x:v>
      </x:c>
      <x:c r="H2916" s="40" t="n">
        <x:f>F2916-E2916</x:f>
        <x:v>-1.8204765319824219</x:v>
      </x:c>
      <x:c r="I2916" s="40" t="n">
        <x:f>ABS(H2916)</x:f>
        <x:v>1.8204765319824219</x:v>
      </x:c>
      <x:c r="J2916" s="40" t="n">
        <x:f>H2916^2</x:f>
        <x:v>3.314134803498746</x:v>
      </x:c>
      <x:c r="K2916" s="40" t="n">
        <x:f>G2916-E2916</x:f>
        <x:v>0</x:v>
      </x:c>
      <x:c r="L2916" s="40" t="n">
        <x:f>ABS(K2916)</x:f>
        <x:v>0</x:v>
      </x:c>
      <x:c r="M2916" s="41" t="str">
        <x:v>lstm-soil-v1</x:v>
      </x:c>
    </x:row>
    <x:row r="2917">
      <x:c r="A2917" s="38" t="str">
        <x:v>7月30日现场数据</x:v>
      </x:c>
      <x:c r="B2917" s="39" t="str">
        <x:v>2026-08-03T02:15:00</x:v>
      </x:c>
      <x:c r="C2917" s="39" t="str">
        <x:v>2026-08-03T02:30:00</x:v>
      </x:c>
      <x:c r="D2917" s="47" t="n">
        <x:v>15</x:v>
      </x:c>
      <x:c r="E2917" s="40" t="n">
        <x:v>14.5</x:v>
      </x:c>
      <x:c r="F2917" s="40" t="n">
        <x:v>12.744022369384766</x:v>
      </x:c>
      <x:c r="G2917" s="40" t="n">
        <x:v>14.5</x:v>
      </x:c>
      <x:c r="H2917" s="40" t="n">
        <x:f>F2917-E2917</x:f>
        <x:v>-1.7559776306152344</x:v>
      </x:c>
      <x:c r="I2917" s="40" t="n">
        <x:f>ABS(H2917)</x:f>
        <x:v>1.7559776306152344</x:v>
      </x:c>
      <x:c r="J2917" s="40" t="n">
        <x:f>H2917^2</x:f>
        <x:v>3.0834574392210925</x:v>
      </x:c>
      <x:c r="K2917" s="40" t="n">
        <x:f>G2917-E2917</x:f>
        <x:v>0</x:v>
      </x:c>
      <x:c r="L2917" s="40" t="n">
        <x:f>ABS(K2917)</x:f>
        <x:v>0</x:v>
      </x:c>
      <x:c r="M2917" s="41" t="str">
        <x:v>lstm-soil-v1</x:v>
      </x:c>
    </x:row>
    <x:row r="2918">
      <x:c r="A2918" s="38" t="str">
        <x:v>7月30日现场数据</x:v>
      </x:c>
      <x:c r="B2918" s="39" t="str">
        <x:v>2026-08-03T02:15:00</x:v>
      </x:c>
      <x:c r="C2918" s="39" t="str">
        <x:v>2026-08-03T02:45:00</x:v>
      </x:c>
      <x:c r="D2918" s="47" t="n">
        <x:v>30</x:v>
      </x:c>
      <x:c r="E2918" s="40" t="n">
        <x:v>14.5</x:v>
      </x:c>
      <x:c r="F2918" s="40" t="n">
        <x:v>13.201976776123047</x:v>
      </x:c>
      <x:c r="G2918" s="40" t="n">
        <x:v>14.5</x:v>
      </x:c>
      <x:c r="H2918" s="40" t="n">
        <x:f>F2918-E2918</x:f>
        <x:v>-1.2980232238769531</x:v>
      </x:c>
      <x:c r="I2918" s="40" t="n">
        <x:f>ABS(H2918)</x:f>
        <x:v>1.2980232238769531</x:v>
      </x:c>
      <x:c r="J2918" s="40" t="n">
        <x:f>H2918^2</x:f>
        <x:v>1.6848642897239188</x:v>
      </x:c>
      <x:c r="K2918" s="40" t="n">
        <x:f>G2918-E2918</x:f>
        <x:v>0</x:v>
      </x:c>
      <x:c r="L2918" s="40" t="n">
        <x:f>ABS(K2918)</x:f>
        <x:v>0</x:v>
      </x:c>
      <x:c r="M2918" s="41" t="str">
        <x:v>lstm-soil-v1</x:v>
      </x:c>
    </x:row>
    <x:row r="2919">
      <x:c r="A2919" s="38" t="str">
        <x:v>7月30日现场数据</x:v>
      </x:c>
      <x:c r="B2919" s="39" t="str">
        <x:v>2026-08-03T02:15:00</x:v>
      </x:c>
      <x:c r="C2919" s="39" t="str">
        <x:v>2026-08-03T03:15:00</x:v>
      </x:c>
      <x:c r="D2919" s="47" t="n">
        <x:v>60</x:v>
      </x:c>
      <x:c r="E2919" s="40" t="n">
        <x:v>14.5</x:v>
      </x:c>
      <x:c r="F2919" s="40" t="n">
        <x:v>14.774368286132812</x:v>
      </x:c>
      <x:c r="G2919" s="40" t="n">
        <x:v>14.5</x:v>
      </x:c>
      <x:c r="H2919" s="40" t="n">
        <x:f>F2919-E2919</x:f>
        <x:v>0.2743682861328125</x:v>
      </x:c>
      <x:c r="I2919" s="40" t="n">
        <x:f>ABS(H2919)</x:f>
        <x:v>0.2743682861328125</x:v>
      </x:c>
      <x:c r="J2919" s="40" t="n">
        <x:f>H2919^2</x:f>
        <x:v>0.07527795643545687</x:v>
      </x:c>
      <x:c r="K2919" s="40" t="n">
        <x:f>G2919-E2919</x:f>
        <x:v>0</x:v>
      </x:c>
      <x:c r="L2919" s="40" t="n">
        <x:f>ABS(K2919)</x:f>
        <x:v>0</x:v>
      </x:c>
      <x:c r="M2919" s="41" t="str">
        <x:v>lstm-soil-v1</x:v>
      </x:c>
    </x:row>
    <x:row r="2920">
      <x:c r="A2920" s="38" t="str">
        <x:v>7月30日现场数据</x:v>
      </x:c>
      <x:c r="B2920" s="39" t="str">
        <x:v>2026-08-03T02:20:00</x:v>
      </x:c>
      <x:c r="C2920" s="39" t="str">
        <x:v>2026-08-03T02:25:00</x:v>
      </x:c>
      <x:c r="D2920" s="47" t="n">
        <x:v>5</x:v>
      </x:c>
      <x:c r="E2920" s="40" t="n">
        <x:v>14.5</x:v>
      </x:c>
      <x:c r="F2920" s="40" t="n">
        <x:v>12.680061340332031</x:v>
      </x:c>
      <x:c r="G2920" s="40" t="n">
        <x:v>14.5</x:v>
      </x:c>
      <x:c r="H2920" s="40" t="n">
        <x:f>F2920-E2920</x:f>
        <x:v>-1.8199386596679688</x:v>
      </x:c>
      <x:c r="I2920" s="40" t="n">
        <x:f>ABS(H2920)</x:f>
        <x:v>1.8199386596679688</x:v>
      </x:c>
      <x:c r="J2920" s="40" t="n">
        <x:f>H2920^2</x:f>
        <x:v>3.3121767249540426</x:v>
      </x:c>
      <x:c r="K2920" s="40" t="n">
        <x:f>G2920-E2920</x:f>
        <x:v>0</x:v>
      </x:c>
      <x:c r="L2920" s="40" t="n">
        <x:f>ABS(K2920)</x:f>
        <x:v>0</x:v>
      </x:c>
      <x:c r="M2920" s="41" t="str">
        <x:v>lstm-soil-v1</x:v>
      </x:c>
    </x:row>
    <x:row r="2921">
      <x:c r="A2921" s="38" t="str">
        <x:v>7月30日现场数据</x:v>
      </x:c>
      <x:c r="B2921" s="39" t="str">
        <x:v>2026-08-03T02:20:00</x:v>
      </x:c>
      <x:c r="C2921" s="39" t="str">
        <x:v>2026-08-03T02:35:00</x:v>
      </x:c>
      <x:c r="D2921" s="47" t="n">
        <x:v>15</x:v>
      </x:c>
      <x:c r="E2921" s="40" t="n">
        <x:v>14.5</x:v>
      </x:c>
      <x:c r="F2921" s="40" t="n">
        <x:v>12.744335174560547</x:v>
      </x:c>
      <x:c r="G2921" s="40" t="n">
        <x:v>14.5</x:v>
      </x:c>
      <x:c r="H2921" s="40" t="n">
        <x:f>F2921-E2921</x:f>
        <x:v>-1.7556648254394531</x:v>
      </x:c>
      <x:c r="I2921" s="40" t="n">
        <x:f>ABS(H2921)</x:f>
        <x:v>1.7556648254394531</x:v>
      </x:c>
      <x:c r="J2921" s="40" t="n">
        <x:f>H2921^2</x:f>
        <x:v>3.0823589792853454</x:v>
      </x:c>
      <x:c r="K2921" s="40" t="n">
        <x:f>G2921-E2921</x:f>
        <x:v>0</x:v>
      </x:c>
      <x:c r="L2921" s="40" t="n">
        <x:f>ABS(K2921)</x:f>
        <x:v>0</x:v>
      </x:c>
      <x:c r="M2921" s="41" t="str">
        <x:v>lstm-soil-v1</x:v>
      </x:c>
    </x:row>
    <x:row r="2922">
      <x:c r="A2922" s="38" t="str">
        <x:v>7月30日现场数据</x:v>
      </x:c>
      <x:c r="B2922" s="39" t="str">
        <x:v>2026-08-03T02:20:00</x:v>
      </x:c>
      <x:c r="C2922" s="39" t="str">
        <x:v>2026-08-03T02:50:00</x:v>
      </x:c>
      <x:c r="D2922" s="47" t="n">
        <x:v>30</x:v>
      </x:c>
      <x:c r="E2922" s="40" t="n">
        <x:v>14.5</x:v>
      </x:c>
      <x:c r="F2922" s="40" t="n">
        <x:v>13.203624725341797</x:v>
      </x:c>
      <x:c r="G2922" s="40" t="n">
        <x:v>14.5</x:v>
      </x:c>
      <x:c r="H2922" s="40" t="n">
        <x:f>F2922-E2922</x:f>
        <x:v>-1.2963752746582031</x:v>
      </x:c>
      <x:c r="I2922" s="40" t="n">
        <x:f>ABS(H2922)</x:f>
        <x:v>1.2963752746582031</x:v>
      </x:c>
      <x:c r="J2922" s="40" t="n">
        <x:f>H2922^2</x:f>
        <x:v>1.6805888527451316</x:v>
      </x:c>
      <x:c r="K2922" s="40" t="n">
        <x:f>G2922-E2922</x:f>
        <x:v>0</x:v>
      </x:c>
      <x:c r="L2922" s="40" t="n">
        <x:f>ABS(K2922)</x:f>
        <x:v>0</x:v>
      </x:c>
      <x:c r="M2922" s="41" t="str">
        <x:v>lstm-soil-v1</x:v>
      </x:c>
    </x:row>
    <x:row r="2923">
      <x:c r="A2923" s="38" t="str">
        <x:v>7月30日现场数据</x:v>
      </x:c>
      <x:c r="B2923" s="39" t="str">
        <x:v>2026-08-03T02:20:00</x:v>
      </x:c>
      <x:c r="C2923" s="39" t="str">
        <x:v>2026-08-03T03:20:00</x:v>
      </x:c>
      <x:c r="D2923" s="47" t="n">
        <x:v>60</x:v>
      </x:c>
      <x:c r="E2923" s="40" t="n">
        <x:v>14.5</x:v>
      </x:c>
      <x:c r="F2923" s="40" t="n">
        <x:v>14.7744140625</x:v>
      </x:c>
      <x:c r="G2923" s="40" t="n">
        <x:v>14.5</x:v>
      </x:c>
      <x:c r="H2923" s="40" t="n">
        <x:f>F2923-E2923</x:f>
        <x:v>0.2744140625</x:v>
      </x:c>
      <x:c r="I2923" s="40" t="n">
        <x:f>ABS(H2923)</x:f>
        <x:v>0.2744140625</x:v>
      </x:c>
      <x:c r="J2923" s="40" t="n">
        <x:f>H2923^2</x:f>
        <x:v>0.0753030776977539</x:v>
      </x:c>
      <x:c r="K2923" s="40" t="n">
        <x:f>G2923-E2923</x:f>
        <x:v>0</x:v>
      </x:c>
      <x:c r="L2923" s="40" t="n">
        <x:f>ABS(K2923)</x:f>
        <x:v>0</x:v>
      </x:c>
      <x:c r="M2923" s="41" t="str">
        <x:v>lstm-soil-v1</x:v>
      </x:c>
    </x:row>
    <x:row r="2924">
      <x:c r="A2924" s="38" t="str">
        <x:v>7月30日现场数据</x:v>
      </x:c>
      <x:c r="B2924" s="39" t="str">
        <x:v>2026-08-03T02:25:00</x:v>
      </x:c>
      <x:c r="C2924" s="39" t="str">
        <x:v>2026-08-03T02:30:00</x:v>
      </x:c>
      <x:c r="D2924" s="47" t="n">
        <x:v>5</x:v>
      </x:c>
      <x:c r="E2924" s="40" t="n">
        <x:v>14.5</x:v>
      </x:c>
      <x:c r="F2924" s="40" t="n">
        <x:v>12.68062973022461</x:v>
      </x:c>
      <x:c r="G2924" s="40" t="n">
        <x:v>14.5</x:v>
      </x:c>
      <x:c r="H2924" s="40" t="n">
        <x:f>F2924-E2924</x:f>
        <x:v>-1.8193702697753906</x:v>
      </x:c>
      <x:c r="I2924" s="40" t="n">
        <x:f>ABS(H2924)</x:f>
        <x:v>1.8193702697753906</x:v>
      </x:c>
      <x:c r="J2924" s="40" t="n">
        <x:f>H2924^2</x:f>
        <x:v>3.3101081785425777</x:v>
      </x:c>
      <x:c r="K2924" s="40" t="n">
        <x:f>G2924-E2924</x:f>
        <x:v>0</x:v>
      </x:c>
      <x:c r="L2924" s="40" t="n">
        <x:f>ABS(K2924)</x:f>
        <x:v>0</x:v>
      </x:c>
      <x:c r="M2924" s="41" t="str">
        <x:v>lstm-soil-v1</x:v>
      </x:c>
    </x:row>
    <x:row r="2925">
      <x:c r="A2925" s="38" t="str">
        <x:v>7月30日现场数据</x:v>
      </x:c>
      <x:c r="B2925" s="39" t="str">
        <x:v>2026-08-03T02:25:00</x:v>
      </x:c>
      <x:c r="C2925" s="39" t="str">
        <x:v>2026-08-03T02:40:00</x:v>
      </x:c>
      <x:c r="D2925" s="47" t="n">
        <x:v>15</x:v>
      </x:c>
      <x:c r="E2925" s="40" t="n">
        <x:v>14.5</x:v>
      </x:c>
      <x:c r="F2925" s="40" t="n">
        <x:v>12.74462890625</x:v>
      </x:c>
      <x:c r="G2925" s="40" t="n">
        <x:v>14.5</x:v>
      </x:c>
      <x:c r="H2925" s="40" t="n">
        <x:f>F2925-E2925</x:f>
        <x:v>-1.75537109375</x:v>
      </x:c>
      <x:c r="I2925" s="40" t="n">
        <x:f>ABS(H2925)</x:f>
        <x:v>1.75537109375</x:v>
      </x:c>
      <x:c r="J2925" s="40" t="n">
        <x:f>H2925^2</x:f>
        <x:v>3.0813276767730713</x:v>
      </x:c>
      <x:c r="K2925" s="40" t="n">
        <x:f>G2925-E2925</x:f>
        <x:v>0</x:v>
      </x:c>
      <x:c r="L2925" s="40" t="n">
        <x:f>ABS(K2925)</x:f>
        <x:v>0</x:v>
      </x:c>
      <x:c r="M2925" s="41" t="str">
        <x:v>lstm-soil-v1</x:v>
      </x:c>
    </x:row>
    <x:row r="2926">
      <x:c r="A2926" s="38" t="str">
        <x:v>7月30日现场数据</x:v>
      </x:c>
      <x:c r="B2926" s="39" t="str">
        <x:v>2026-08-03T02:25:00</x:v>
      </x:c>
      <x:c r="C2926" s="39" t="str">
        <x:v>2026-08-03T02:55:00</x:v>
      </x:c>
      <x:c r="D2926" s="47" t="n">
        <x:v>30</x:v>
      </x:c>
      <x:c r="E2926" s="40" t="n">
        <x:v>14.5</x:v>
      </x:c>
      <x:c r="F2926" s="40" t="n">
        <x:v>13.20498275756836</x:v>
      </x:c>
      <x:c r="G2926" s="40" t="n">
        <x:v>14.5</x:v>
      </x:c>
      <x:c r="H2926" s="40" t="n">
        <x:f>F2926-E2926</x:f>
        <x:v>-1.2950172424316406</x:v>
      </x:c>
      <x:c r="I2926" s="40" t="n">
        <x:f>ABS(H2926)</x:f>
        <x:v>1.2950172424316406</x:v>
      </x:c>
      <x:c r="J2926" s="40" t="n">
        <x:f>H2926^2</x:f>
        <x:v>1.6770696581952507</x:v>
      </x:c>
      <x:c r="K2926" s="40" t="n">
        <x:f>G2926-E2926</x:f>
        <x:v>0</x:v>
      </x:c>
      <x:c r="L2926" s="40" t="n">
        <x:f>ABS(K2926)</x:f>
        <x:v>0</x:v>
      </x:c>
      <x:c r="M2926" s="41" t="str">
        <x:v>lstm-soil-v1</x:v>
      </x:c>
    </x:row>
    <x:row r="2927">
      <x:c r="A2927" s="38" t="str">
        <x:v>7月30日现场数据</x:v>
      </x:c>
      <x:c r="B2927" s="39" t="str">
        <x:v>2026-08-03T02:25:00</x:v>
      </x:c>
      <x:c r="C2927" s="39" t="str">
        <x:v>2026-08-03T03:25:00</x:v>
      </x:c>
      <x:c r="D2927" s="47" t="n">
        <x:v>60</x:v>
      </x:c>
      <x:c r="E2927" s="40" t="n">
        <x:v>14.5</x:v>
      </x:c>
      <x:c r="F2927" s="40" t="n">
        <x:v>14.774749755859375</x:v>
      </x:c>
      <x:c r="G2927" s="40" t="n">
        <x:v>14.5</x:v>
      </x:c>
      <x:c r="H2927" s="40" t="n">
        <x:f>F2927-E2927</x:f>
        <x:v>0.274749755859375</x:v>
      </x:c>
      <x:c r="I2927" s="40" t="n">
        <x:f>ABS(H2927)</x:f>
        <x:v>0.274749755859375</x:v>
      </x:c>
      <x:c r="J2927" s="40" t="n">
        <x:f>H2927^2</x:f>
        <x:v>0.07548742834478617</x:v>
      </x:c>
      <x:c r="K2927" s="40" t="n">
        <x:f>G2927-E2927</x:f>
        <x:v>0</x:v>
      </x:c>
      <x:c r="L2927" s="40" t="n">
        <x:f>ABS(K2927)</x:f>
        <x:v>0</x:v>
      </x:c>
      <x:c r="M2927" s="41" t="str">
        <x:v>lstm-soil-v1</x:v>
      </x:c>
    </x:row>
    <x:row r="2928">
      <x:c r="A2928" s="38" t="str">
        <x:v>7月30日现场数据</x:v>
      </x:c>
      <x:c r="B2928" s="39" t="str">
        <x:v>2026-08-03T02:30:00</x:v>
      </x:c>
      <x:c r="C2928" s="39" t="str">
        <x:v>2026-08-03T02:35:00</x:v>
      </x:c>
      <x:c r="D2928" s="47" t="n">
        <x:v>5</x:v>
      </x:c>
      <x:c r="E2928" s="40" t="n">
        <x:v>14.5</x:v>
      </x:c>
      <x:c r="F2928" s="40" t="n">
        <x:v>12.68112564086914</x:v>
      </x:c>
      <x:c r="G2928" s="40" t="n">
        <x:v>14.5</x:v>
      </x:c>
      <x:c r="H2928" s="40" t="n">
        <x:f>F2928-E2928</x:f>
        <x:v>-1.8188743591308594</x:v>
      </x:c>
      <x:c r="I2928" s="40" t="n">
        <x:f>ABS(H2928)</x:f>
        <x:v>1.8188743591308594</x:v>
      </x:c>
      <x:c r="J2928" s="40" t="n">
        <x:f>H2928^2</x:f>
        <x:v>3.3083039343036944</x:v>
      </x:c>
      <x:c r="K2928" s="40" t="n">
        <x:f>G2928-E2928</x:f>
        <x:v>0</x:v>
      </x:c>
      <x:c r="L2928" s="40" t="n">
        <x:f>ABS(K2928)</x:f>
        <x:v>0</x:v>
      </x:c>
      <x:c r="M2928" s="41" t="str">
        <x:v>lstm-soil-v1</x:v>
      </x:c>
    </x:row>
    <x:row r="2929">
      <x:c r="A2929" s="38" t="str">
        <x:v>7月30日现场数据</x:v>
      </x:c>
      <x:c r="B2929" s="39" t="str">
        <x:v>2026-08-03T02:30:00</x:v>
      </x:c>
      <x:c r="C2929" s="39" t="str">
        <x:v>2026-08-03T02:45:00</x:v>
      </x:c>
      <x:c r="D2929" s="47" t="n">
        <x:v>15</x:v>
      </x:c>
      <x:c r="E2929" s="40" t="n">
        <x:v>14.5</x:v>
      </x:c>
      <x:c r="F2929" s="40" t="n">
        <x:v>12.744869232177734</x:v>
      </x:c>
      <x:c r="G2929" s="40" t="n">
        <x:v>14.5</x:v>
      </x:c>
      <x:c r="H2929" s="40" t="n">
        <x:f>F2929-E2929</x:f>
        <x:v>-1.7551307678222656</x:v>
      </x:c>
      <x:c r="I2929" s="40" t="n">
        <x:f>ABS(H2929)</x:f>
        <x:v>1.7551307678222656</x:v>
      </x:c>
      <x:c r="J2929" s="40" t="n">
        <x:f>H2929^2</x:f>
        <x:v>3.0804840121563757</x:v>
      </x:c>
      <x:c r="K2929" s="40" t="n">
        <x:f>G2929-E2929</x:f>
        <x:v>0</x:v>
      </x:c>
      <x:c r="L2929" s="40" t="n">
        <x:f>ABS(K2929)</x:f>
        <x:v>0</x:v>
      </x:c>
      <x:c r="M2929" s="41" t="str">
        <x:v>lstm-soil-v1</x:v>
      </x:c>
    </x:row>
    <x:row r="2930">
      <x:c r="A2930" s="38" t="str">
        <x:v>7月30日现场数据</x:v>
      </x:c>
      <x:c r="B2930" s="39" t="str">
        <x:v>2026-08-03T02:30:00</x:v>
      </x:c>
      <x:c r="C2930" s="39" t="str">
        <x:v>2026-08-03T03:00:00</x:v>
      </x:c>
      <x:c r="D2930" s="47" t="n">
        <x:v>30</x:v>
      </x:c>
      <x:c r="E2930" s="40" t="n">
        <x:v>14.5</x:v>
      </x:c>
      <x:c r="F2930" s="40" t="n">
        <x:v>13.20602798461914</x:v>
      </x:c>
      <x:c r="G2930" s="40" t="n">
        <x:v>14.5</x:v>
      </x:c>
      <x:c r="H2930" s="40" t="n">
        <x:f>F2930-E2930</x:f>
        <x:v>-1.2939720153808594</x:v>
      </x:c>
      <x:c r="I2930" s="40" t="n">
        <x:f>ABS(H2930)</x:f>
        <x:v>1.2939720153808594</x:v>
      </x:c>
      <x:c r="J2930" s="40" t="n">
        <x:f>H2930^2</x:f>
        <x:v>1.674363576588803</x:v>
      </x:c>
      <x:c r="K2930" s="40" t="n">
        <x:f>G2930-E2930</x:f>
        <x:v>0</x:v>
      </x:c>
      <x:c r="L2930" s="40" t="n">
        <x:f>ABS(K2930)</x:f>
        <x:v>0</x:v>
      </x:c>
      <x:c r="M2930" s="41" t="str">
        <x:v>lstm-soil-v1</x:v>
      </x:c>
    </x:row>
    <x:row r="2931">
      <x:c r="A2931" s="38" t="str">
        <x:v>7月30日现场数据</x:v>
      </x:c>
      <x:c r="B2931" s="39" t="str">
        <x:v>2026-08-03T02:30:00</x:v>
      </x:c>
      <x:c r="C2931" s="39" t="str">
        <x:v>2026-08-03T03:30:00</x:v>
      </x:c>
      <x:c r="D2931" s="47" t="n">
        <x:v>60</x:v>
      </x:c>
      <x:c r="E2931" s="40" t="n">
        <x:v>14.5</x:v>
      </x:c>
      <x:c r="F2931" s="40" t="n">
        <x:v>14.775177001953125</x:v>
      </x:c>
      <x:c r="G2931" s="40" t="n">
        <x:v>14.5</x:v>
      </x:c>
      <x:c r="H2931" s="40" t="n">
        <x:f>F2931-E2931</x:f>
        <x:v>0.275177001953125</x:v>
      </x:c>
      <x:c r="I2931" s="40" t="n">
        <x:f>ABS(H2931)</x:f>
        <x:v>0.275177001953125</x:v>
      </x:c>
      <x:c r="J2931" s="40" t="n">
        <x:f>H2931^2</x:f>
        <x:v>0.07572238240391016</x:v>
      </x:c>
      <x:c r="K2931" s="40" t="n">
        <x:f>G2931-E2931</x:f>
        <x:v>0</x:v>
      </x:c>
      <x:c r="L2931" s="40" t="n">
        <x:f>ABS(K2931)</x:f>
        <x:v>0</x:v>
      </x:c>
      <x:c r="M2931" s="41" t="str">
        <x:v>lstm-soil-v1</x:v>
      </x:c>
    </x:row>
    <x:row r="2932">
      <x:c r="A2932" s="38" t="str">
        <x:v>7月30日现场数据</x:v>
      </x:c>
      <x:c r="B2932" s="39" t="str">
        <x:v>2026-08-03T02:35:00</x:v>
      </x:c>
      <x:c r="C2932" s="39" t="str">
        <x:v>2026-08-03T02:40:00</x:v>
      </x:c>
      <x:c r="D2932" s="47" t="n">
        <x:v>5</x:v>
      </x:c>
      <x:c r="E2932" s="40" t="n">
        <x:v>14.5</x:v>
      </x:c>
      <x:c r="F2932" s="40" t="n">
        <x:v>12.681587219238281</x:v>
      </x:c>
      <x:c r="G2932" s="40" t="n">
        <x:v>14.5</x:v>
      </x:c>
      <x:c r="H2932" s="40" t="n">
        <x:f>F2932-E2932</x:f>
        <x:v>-1.8184127807617188</x:v>
      </x:c>
      <x:c r="I2932" s="40" t="n">
        <x:f>ABS(H2932)</x:f>
        <x:v>1.8184127807617188</x:v>
      </x:c>
      <x:c r="J2932" s="40" t="n">
        <x:f>H2932^2</x:f>
        <x:v>3.3066250412375666</x:v>
      </x:c>
      <x:c r="K2932" s="40" t="n">
        <x:f>G2932-E2932</x:f>
        <x:v>0</x:v>
      </x:c>
      <x:c r="L2932" s="40" t="n">
        <x:f>ABS(K2932)</x:f>
        <x:v>0</x:v>
      </x:c>
      <x:c r="M2932" s="41" t="str">
        <x:v>lstm-soil-v1</x:v>
      </x:c>
    </x:row>
    <x:row r="2933">
      <x:c r="A2933" s="38" t="str">
        <x:v>7月30日现场数据</x:v>
      </x:c>
      <x:c r="B2933" s="39" t="str">
        <x:v>2026-08-03T02:35:00</x:v>
      </x:c>
      <x:c r="C2933" s="39" t="str">
        <x:v>2026-08-03T02:50:00</x:v>
      </x:c>
      <x:c r="D2933" s="47" t="n">
        <x:v>15</x:v>
      </x:c>
      <x:c r="E2933" s="40" t="n">
        <x:v>14.5</x:v>
      </x:c>
      <x:c r="F2933" s="40" t="n">
        <x:v>12.745182037353516</x:v>
      </x:c>
      <x:c r="G2933" s="40" t="n">
        <x:v>14.5</x:v>
      </x:c>
      <x:c r="H2933" s="40" t="n">
        <x:f>F2933-E2933</x:f>
        <x:v>-1.7548179626464844</x:v>
      </x:c>
      <x:c r="I2933" s="40" t="n">
        <x:f>ABS(H2933)</x:f>
        <x:v>1.7548179626464844</x:v>
      </x:c>
      <x:c r="J2933" s="40" t="n">
        <x:f>H2933^2</x:f>
        <x:v>3.0793860820267582</x:v>
      </x:c>
      <x:c r="K2933" s="40" t="n">
        <x:f>G2933-E2933</x:f>
        <x:v>0</x:v>
      </x:c>
      <x:c r="L2933" s="40" t="n">
        <x:f>ABS(K2933)</x:f>
        <x:v>0</x:v>
      </x:c>
      <x:c r="M2933" s="41" t="str">
        <x:v>lstm-soil-v1</x:v>
      </x:c>
    </x:row>
    <x:row r="2934">
      <x:c r="A2934" s="38" t="str">
        <x:v>7月30日现场数据</x:v>
      </x:c>
      <x:c r="B2934" s="39" t="str">
        <x:v>2026-08-03T02:35:00</x:v>
      </x:c>
      <x:c r="C2934" s="39" t="str">
        <x:v>2026-08-03T03:05:00</x:v>
      </x:c>
      <x:c r="D2934" s="47" t="n">
        <x:v>30</x:v>
      </x:c>
      <x:c r="E2934" s="40" t="n">
        <x:v>14.5</x:v>
      </x:c>
      <x:c r="F2934" s="40" t="n">
        <x:v>13.206985473632812</x:v>
      </x:c>
      <x:c r="G2934" s="40" t="n">
        <x:v>14.5</x:v>
      </x:c>
      <x:c r="H2934" s="40" t="n">
        <x:f>F2934-E2934</x:f>
        <x:v>-1.2930145263671875</x:v>
      </x:c>
      <x:c r="I2934" s="40" t="n">
        <x:f>ABS(H2934)</x:f>
        <x:v>1.2930145263671875</x:v>
      </x:c>
      <x:c r="J2934" s="40" t="n">
        <x:f>H2934^2</x:f>
        <x:v>1.6718865653965622</x:v>
      </x:c>
      <x:c r="K2934" s="40" t="n">
        <x:f>G2934-E2934</x:f>
        <x:v>0</x:v>
      </x:c>
      <x:c r="L2934" s="40" t="n">
        <x:f>ABS(K2934)</x:f>
        <x:v>0</x:v>
      </x:c>
      <x:c r="M2934" s="41" t="str">
        <x:v>lstm-soil-v1</x:v>
      </x:c>
    </x:row>
    <x:row r="2935">
      <x:c r="A2935" s="38" t="str">
        <x:v>7月30日现场数据</x:v>
      </x:c>
      <x:c r="B2935" s="39" t="str">
        <x:v>2026-08-03T02:35:00</x:v>
      </x:c>
      <x:c r="C2935" s="39" t="str">
        <x:v>2026-08-03T03:35:00</x:v>
      </x:c>
      <x:c r="D2935" s="47" t="n">
        <x:v>60</x:v>
      </x:c>
      <x:c r="E2935" s="40" t="n">
        <x:v>14.5</x:v>
      </x:c>
      <x:c r="F2935" s="40" t="n">
        <x:v>14.775646209716797</x:v>
      </x:c>
      <x:c r="G2935" s="40" t="n">
        <x:v>14.5</x:v>
      </x:c>
      <x:c r="H2935" s="40" t="n">
        <x:f>F2935-E2935</x:f>
        <x:v>0.2756462097167969</x:v>
      </x:c>
      <x:c r="I2935" s="40" t="n">
        <x:f>ABS(H2935)</x:f>
        <x:v>0.2756462097167969</x:v>
      </x:c>
      <x:c r="J2935" s="40" t="n">
        <x:f>H2935^2</x:f>
        <x:v>0.07598083293123636</x:v>
      </x:c>
      <x:c r="K2935" s="40" t="n">
        <x:f>G2935-E2935</x:f>
        <x:v>0</x:v>
      </x:c>
      <x:c r="L2935" s="40" t="n">
        <x:f>ABS(K2935)</x:f>
        <x:v>0</x:v>
      </x:c>
      <x:c r="M2935" s="41" t="str">
        <x:v>lstm-soil-v1</x:v>
      </x:c>
    </x:row>
    <x:row r="2936">
      <x:c r="A2936" s="38" t="str">
        <x:v>7月30日现场数据</x:v>
      </x:c>
      <x:c r="B2936" s="39" t="str">
        <x:v>2026-08-03T02:40:00</x:v>
      </x:c>
      <x:c r="C2936" s="39" t="str">
        <x:v>2026-08-03T02:45:00</x:v>
      </x:c>
      <x:c r="D2936" s="47" t="n">
        <x:v>5</x:v>
      </x:c>
      <x:c r="E2936" s="40" t="n">
        <x:v>14.5</x:v>
      </x:c>
      <x:c r="F2936" s="40" t="n">
        <x:v>12.682060241699219</x:v>
      </x:c>
      <x:c r="G2936" s="40" t="n">
        <x:v>14.5</x:v>
      </x:c>
      <x:c r="H2936" s="40" t="n">
        <x:f>F2936-E2936</x:f>
        <x:v>-1.8179397583007812</x:v>
      </x:c>
      <x:c r="I2936" s="40" t="n">
        <x:f>ABS(H2936)</x:f>
        <x:v>1.8179397583007812</x:v>
      </x:c>
      <x:c r="J2936" s="40" t="n">
        <x:f>H2936^2</x:f>
        <x:v>3.304904964810703</x:v>
      </x:c>
      <x:c r="K2936" s="40" t="n">
        <x:f>G2936-E2936</x:f>
        <x:v>0</x:v>
      </x:c>
      <x:c r="L2936" s="40" t="n">
        <x:f>ABS(K2936)</x:f>
        <x:v>0</x:v>
      </x:c>
      <x:c r="M2936" s="41" t="str">
        <x:v>lstm-soil-v1</x:v>
      </x:c>
    </x:row>
    <x:row r="2937">
      <x:c r="A2937" s="38" t="str">
        <x:v>7月30日现场数据</x:v>
      </x:c>
      <x:c r="B2937" s="39" t="str">
        <x:v>2026-08-03T02:40:00</x:v>
      </x:c>
      <x:c r="C2937" s="39" t="str">
        <x:v>2026-08-03T02:55:00</x:v>
      </x:c>
      <x:c r="D2937" s="47" t="n">
        <x:v>15</x:v>
      </x:c>
      <x:c r="E2937" s="40" t="n">
        <x:v>14.5</x:v>
      </x:c>
      <x:c r="F2937" s="40" t="n">
        <x:v>12.74563980102539</x:v>
      </x:c>
      <x:c r="G2937" s="40" t="n">
        <x:v>14.5</x:v>
      </x:c>
      <x:c r="H2937" s="40" t="n">
        <x:f>F2937-E2937</x:f>
        <x:v>-1.7543601989746094</x:v>
      </x:c>
      <x:c r="I2937" s="40" t="n">
        <x:f>ABS(H2937)</x:f>
        <x:v>1.7543601989746094</x:v>
      </x:c>
      <x:c r="J2937" s="40" t="n">
        <x:f>H2937^2</x:f>
        <x:v>3.077779707746231</x:v>
      </x:c>
      <x:c r="K2937" s="40" t="n">
        <x:f>G2937-E2937</x:f>
        <x:v>0</x:v>
      </x:c>
      <x:c r="L2937" s="40" t="n">
        <x:f>ABS(K2937)</x:f>
        <x:v>0</x:v>
      </x:c>
      <x:c r="M2937" s="41" t="str">
        <x:v>lstm-soil-v1</x:v>
      </x:c>
    </x:row>
    <x:row r="2938">
      <x:c r="A2938" s="38" t="str">
        <x:v>7月30日现场数据</x:v>
      </x:c>
      <x:c r="B2938" s="39" t="str">
        <x:v>2026-08-03T02:40:00</x:v>
      </x:c>
      <x:c r="C2938" s="39" t="str">
        <x:v>2026-08-03T03:10:00</x:v>
      </x:c>
      <x:c r="D2938" s="47" t="n">
        <x:v>30</x:v>
      </x:c>
      <x:c r="E2938" s="40" t="n">
        <x:v>14.4</x:v>
      </x:c>
      <x:c r="F2938" s="40" t="n">
        <x:v>13.207595825195312</x:v>
      </x:c>
      <x:c r="G2938" s="40" t="n">
        <x:v>14.5</x:v>
      </x:c>
      <x:c r="H2938" s="40" t="n">
        <x:f>F2938-E2938</x:f>
        <x:v>-1.1924041748046879</x:v>
      </x:c>
      <x:c r="I2938" s="40" t="n">
        <x:f>ABS(H2938)</x:f>
        <x:v>1.1924041748046879</x:v>
      </x:c>
      <x:c r="J2938" s="40" t="n">
        <x:f>H2938^2</x:f>
        <x:v>1.4218277160916486</x:v>
      </x:c>
      <x:c r="K2938" s="40" t="n">
        <x:f>G2938-E2938</x:f>
        <x:v>0.09999999999999964</x:v>
      </x:c>
      <x:c r="L2938" s="40" t="n">
        <x:f>ABS(K2938)</x:f>
        <x:v>0.09999999999999964</x:v>
      </x:c>
      <x:c r="M2938" s="41" t="str">
        <x:v>lstm-soil-v1</x:v>
      </x:c>
    </x:row>
    <x:row r="2939">
      <x:c r="A2939" s="38" t="str">
        <x:v>7月30日现场数据</x:v>
      </x:c>
      <x:c r="B2939" s="39" t="str">
        <x:v>2026-08-03T02:40:00</x:v>
      </x:c>
      <x:c r="C2939" s="39" t="str">
        <x:v>2026-08-03T03:40:00</x:v>
      </x:c>
      <x:c r="D2939" s="47" t="n">
        <x:v>60</x:v>
      </x:c>
      <x:c r="E2939" s="40" t="n">
        <x:v>14.5</x:v>
      </x:c>
      <x:c r="F2939" s="40" t="n">
        <x:v>14.776016235351562</x:v>
      </x:c>
      <x:c r="G2939" s="40" t="n">
        <x:v>14.5</x:v>
      </x:c>
      <x:c r="H2939" s="40" t="n">
        <x:f>F2939-E2939</x:f>
        <x:v>0.2760162353515625</x:v>
      </x:c>
      <x:c r="I2939" s="40" t="n">
        <x:f>ABS(H2939)</x:f>
        <x:v>0.2760162353515625</x:v>
      </x:c>
      <x:c r="J2939" s="40" t="n">
        <x:f>H2939^2</x:f>
        <x:v>0.07618496217764914</x:v>
      </x:c>
      <x:c r="K2939" s="40" t="n">
        <x:f>G2939-E2939</x:f>
        <x:v>0</x:v>
      </x:c>
      <x:c r="L2939" s="40" t="n">
        <x:f>ABS(K2939)</x:f>
        <x:v>0</x:v>
      </x:c>
      <x:c r="M2939" s="41" t="str">
        <x:v>lstm-soil-v1</x:v>
      </x:c>
    </x:row>
    <x:row r="2940">
      <x:c r="A2940" s="38" t="str">
        <x:v>7月30日现场数据</x:v>
      </x:c>
      <x:c r="B2940" s="39" t="str">
        <x:v>2026-08-03T02:45:00</x:v>
      </x:c>
      <x:c r="C2940" s="39" t="str">
        <x:v>2026-08-03T02:50:00</x:v>
      </x:c>
      <x:c r="D2940" s="47" t="n">
        <x:v>5</x:v>
      </x:c>
      <x:c r="E2940" s="40" t="n">
        <x:v>14.5</x:v>
      </x:c>
      <x:c r="F2940" s="40" t="n">
        <x:v>12.682315826416016</x:v>
      </x:c>
      <x:c r="G2940" s="40" t="n">
        <x:v>14.5</x:v>
      </x:c>
      <x:c r="H2940" s="40" t="n">
        <x:f>F2940-E2940</x:f>
        <x:v>-1.8176841735839844</x:v>
      </x:c>
      <x:c r="I2940" s="40" t="n">
        <x:f>ABS(H2940)</x:f>
        <x:v>1.8176841735839844</x:v>
      </x:c>
      <x:c r="J2940" s="40" t="n">
        <x:f>H2940^2</x:f>
        <x:v>3.3039757548976922</x:v>
      </x:c>
      <x:c r="K2940" s="40" t="n">
        <x:f>G2940-E2940</x:f>
        <x:v>0</x:v>
      </x:c>
      <x:c r="L2940" s="40" t="n">
        <x:f>ABS(K2940)</x:f>
        <x:v>0</x:v>
      </x:c>
      <x:c r="M2940" s="41" t="str">
        <x:v>lstm-soil-v1</x:v>
      </x:c>
    </x:row>
    <x:row r="2941">
      <x:c r="A2941" s="38" t="str">
        <x:v>7月30日现场数据</x:v>
      </x:c>
      <x:c r="B2941" s="39" t="str">
        <x:v>2026-08-03T02:45:00</x:v>
      </x:c>
      <x:c r="C2941" s="39" t="str">
        <x:v>2026-08-03T03:00:00</x:v>
      </x:c>
      <x:c r="D2941" s="47" t="n">
        <x:v>15</x:v>
      </x:c>
      <x:c r="E2941" s="40" t="n">
        <x:v>14.5</x:v>
      </x:c>
      <x:c r="F2941" s="40" t="n">
        <x:v>12.74576187133789</x:v>
      </x:c>
      <x:c r="G2941" s="40" t="n">
        <x:v>14.5</x:v>
      </x:c>
      <x:c r="H2941" s="40" t="n">
        <x:f>F2941-E2941</x:f>
        <x:v>-1.7542381286621094</x:v>
      </x:c>
      <x:c r="I2941" s="40" t="n">
        <x:f>ABS(H2941)</x:f>
        <x:v>1.7542381286621094</x:v>
      </x:c>
      <x:c r="J2941" s="40" t="n">
        <x:f>H2941^2</x:f>
        <x:v>3.0773514120519394</x:v>
      </x:c>
      <x:c r="K2941" s="40" t="n">
        <x:f>G2941-E2941</x:f>
        <x:v>0</x:v>
      </x:c>
      <x:c r="L2941" s="40" t="n">
        <x:f>ABS(K2941)</x:f>
        <x:v>0</x:v>
      </x:c>
      <x:c r="M2941" s="41" t="str">
        <x:v>lstm-soil-v1</x:v>
      </x:c>
    </x:row>
    <x:row r="2942">
      <x:c r="A2942" s="38" t="str">
        <x:v>7月30日现场数据</x:v>
      </x:c>
      <x:c r="B2942" s="39" t="str">
        <x:v>2026-08-03T02:45:00</x:v>
      </x:c>
      <x:c r="C2942" s="39" t="str">
        <x:v>2026-08-03T03:15:00</x:v>
      </x:c>
      <x:c r="D2942" s="47" t="n">
        <x:v>30</x:v>
      </x:c>
      <x:c r="E2942" s="40" t="n">
        <x:v>14.5</x:v>
      </x:c>
      <x:c r="F2942" s="40" t="n">
        <x:v>13.207931518554688</x:v>
      </x:c>
      <x:c r="G2942" s="40" t="n">
        <x:v>14.5</x:v>
      </x:c>
      <x:c r="H2942" s="40" t="n">
        <x:f>F2942-E2942</x:f>
        <x:v>-1.2920684814453125</x:v>
      </x:c>
      <x:c r="I2942" s="40" t="n">
        <x:f>ABS(H2942)</x:f>
        <x:v>1.2920684814453125</x:v>
      </x:c>
      <x:c r="J2942" s="40" t="n">
        <x:f>H2942^2</x:f>
        <x:v>1.6694409607443959</x:v>
      </x:c>
      <x:c r="K2942" s="40" t="n">
        <x:f>G2942-E2942</x:f>
        <x:v>0</x:v>
      </x:c>
      <x:c r="L2942" s="40" t="n">
        <x:f>ABS(K2942)</x:f>
        <x:v>0</x:v>
      </x:c>
      <x:c r="M2942" s="41" t="str">
        <x:v>lstm-soil-v1</x:v>
      </x:c>
    </x:row>
    <x:row r="2943">
      <x:c r="A2943" s="38" t="str">
        <x:v>7月30日现场数据</x:v>
      </x:c>
      <x:c r="B2943" s="39" t="str">
        <x:v>2026-08-03T02:45:00</x:v>
      </x:c>
      <x:c r="C2943" s="39" t="str">
        <x:v>2026-08-03T03:45:00</x:v>
      </x:c>
      <x:c r="D2943" s="47" t="n">
        <x:v>60</x:v>
      </x:c>
      <x:c r="E2943" s="40" t="n">
        <x:v>14.5</x:v>
      </x:c>
      <x:c r="F2943" s="40" t="n">
        <x:v>14.77634048461914</x:v>
      </x:c>
      <x:c r="G2943" s="40" t="n">
        <x:v>14.5</x:v>
      </x:c>
      <x:c r="H2943" s="40" t="n">
        <x:f>F2943-E2943</x:f>
        <x:v>0.2763404846191406</x:v>
      </x:c>
      <x:c r="I2943" s="40" t="n">
        <x:f>ABS(H2943)</x:f>
        <x:v>0.2763404846191406</x:v>
      </x:c>
      <x:c r="J2943" s="40" t="n">
        <x:f>H2943^2</x:f>
        <x:v>0.0763640634395415</x:v>
      </x:c>
      <x:c r="K2943" s="40" t="n">
        <x:f>G2943-E2943</x:f>
        <x:v>0</x:v>
      </x:c>
      <x:c r="L2943" s="40" t="n">
        <x:f>ABS(K2943)</x:f>
        <x:v>0</x:v>
      </x:c>
      <x:c r="M2943" s="41" t="str">
        <x:v>lstm-soil-v1</x:v>
      </x:c>
    </x:row>
    <x:row r="2944">
      <x:c r="A2944" s="38" t="str">
        <x:v>7月30日现场数据</x:v>
      </x:c>
      <x:c r="B2944" s="39" t="str">
        <x:v>2026-08-03T02:50:00</x:v>
      </x:c>
      <x:c r="C2944" s="39" t="str">
        <x:v>2026-08-03T02:55:00</x:v>
      </x:c>
      <x:c r="D2944" s="47" t="n">
        <x:v>5</x:v>
      </x:c>
      <x:c r="E2944" s="40" t="n">
        <x:v>14.5</x:v>
      </x:c>
      <x:c r="F2944" s="40" t="n">
        <x:v>12.682472229003906</x:v>
      </x:c>
      <x:c r="G2944" s="40" t="n">
        <x:v>14.5</x:v>
      </x:c>
      <x:c r="H2944" s="40" t="n">
        <x:f>F2944-E2944</x:f>
        <x:v>-1.8175277709960938</x:v>
      </x:c>
      <x:c r="I2944" s="40" t="n">
        <x:f>ABS(H2944)</x:f>
        <x:v>1.8175277709960938</x:v>
      </x:c>
      <x:c r="J2944" s="40" t="n">
        <x:f>H2944^2</x:f>
        <x:v>3.303407198342029</x:v>
      </x:c>
      <x:c r="K2944" s="40" t="n">
        <x:f>G2944-E2944</x:f>
        <x:v>0</x:v>
      </x:c>
      <x:c r="L2944" s="40" t="n">
        <x:f>ABS(K2944)</x:f>
        <x:v>0</x:v>
      </x:c>
      <x:c r="M2944" s="41" t="str">
        <x:v>lstm-soil-v1</x:v>
      </x:c>
    </x:row>
    <x:row r="2945">
      <x:c r="A2945" s="38" t="str">
        <x:v>7月30日现场数据</x:v>
      </x:c>
      <x:c r="B2945" s="39" t="str">
        <x:v>2026-08-03T02:50:00</x:v>
      </x:c>
      <x:c r="C2945" s="39" t="str">
        <x:v>2026-08-03T03:05:00</x:v>
      </x:c>
      <x:c r="D2945" s="47" t="n">
        <x:v>15</x:v>
      </x:c>
      <x:c r="E2945" s="40" t="n">
        <x:v>14.5</x:v>
      </x:c>
      <x:c r="F2945" s="40" t="n">
        <x:v>12.745773315429688</x:v>
      </x:c>
      <x:c r="G2945" s="40" t="n">
        <x:v>14.5</x:v>
      </x:c>
      <x:c r="H2945" s="40" t="n">
        <x:f>F2945-E2945</x:f>
        <x:v>-1.7542266845703125</x:v>
      </x:c>
      <x:c r="I2945" s="40" t="n">
        <x:f>ABS(H2945)</x:f>
        <x:v>1.7542266845703125</x:v>
      </x:c>
      <x:c r="J2945" s="40" t="n">
        <x:f>H2945^2</x:f>
        <x:v>3.0773112608585507</x:v>
      </x:c>
      <x:c r="K2945" s="40" t="n">
        <x:f>G2945-E2945</x:f>
        <x:v>0</x:v>
      </x:c>
      <x:c r="L2945" s="40" t="n">
        <x:f>ABS(K2945)</x:f>
        <x:v>0</x:v>
      </x:c>
      <x:c r="M2945" s="41" t="str">
        <x:v>lstm-soil-v1</x:v>
      </x:c>
    </x:row>
    <x:row r="2946">
      <x:c r="A2946" s="38" t="str">
        <x:v>7月30日现场数据</x:v>
      </x:c>
      <x:c r="B2946" s="39" t="str">
        <x:v>2026-08-03T02:50:00</x:v>
      </x:c>
      <x:c r="C2946" s="39" t="str">
        <x:v>2026-08-03T03:20:00</x:v>
      </x:c>
      <x:c r="D2946" s="47" t="n">
        <x:v>30</x:v>
      </x:c>
      <x:c r="E2946" s="40" t="n">
        <x:v>14.5</x:v>
      </x:c>
      <x:c r="F2946" s="40" t="n">
        <x:v>13.208160400390625</x:v>
      </x:c>
      <x:c r="G2946" s="40" t="n">
        <x:v>14.5</x:v>
      </x:c>
      <x:c r="H2946" s="40" t="n">
        <x:f>F2946-E2946</x:f>
        <x:v>-1.291839599609375</x:v>
      </x:c>
      <x:c r="I2946" s="40" t="n">
        <x:f>ABS(H2946)</x:f>
        <x:v>1.291839599609375</x:v>
      </x:c>
      <x:c r="J2946" s="40" t="n">
        <x:f>H2946^2</x:f>
        <x:v>1.6688495511189103</x:v>
      </x:c>
      <x:c r="K2946" s="40" t="n">
        <x:f>G2946-E2946</x:f>
        <x:v>0</x:v>
      </x:c>
      <x:c r="L2946" s="40" t="n">
        <x:f>ABS(K2946)</x:f>
        <x:v>0</x:v>
      </x:c>
      <x:c r="M2946" s="41" t="str">
        <x:v>lstm-soil-v1</x:v>
      </x:c>
    </x:row>
    <x:row r="2947">
      <x:c r="A2947" s="38" t="str">
        <x:v>7月30日现场数据</x:v>
      </x:c>
      <x:c r="B2947" s="39" t="str">
        <x:v>2026-08-03T02:50:00</x:v>
      </x:c>
      <x:c r="C2947" s="39" t="str">
        <x:v>2026-08-03T03:50:00</x:v>
      </x:c>
      <x:c r="D2947" s="47" t="n">
        <x:v>60</x:v>
      </x:c>
      <x:c r="E2947" s="40" t="n">
        <x:v>14.5</x:v>
      </x:c>
      <x:c r="F2947" s="40" t="n">
        <x:v>14.776607513427734</x:v>
      </x:c>
      <x:c r="G2947" s="40" t="n">
        <x:v>14.5</x:v>
      </x:c>
      <x:c r="H2947" s="40" t="n">
        <x:f>F2947-E2947</x:f>
        <x:v>0.2766075134277344</x:v>
      </x:c>
      <x:c r="I2947" s="40" t="n">
        <x:f>ABS(H2947)</x:f>
        <x:v>0.2766075134277344</x:v>
      </x:c>
      <x:c r="J2947" s="40" t="n">
        <x:f>H2947^2</x:f>
        <x:v>0.07651171648467425</x:v>
      </x:c>
      <x:c r="K2947" s="40" t="n">
        <x:f>G2947-E2947</x:f>
        <x:v>0</x:v>
      </x:c>
      <x:c r="L2947" s="40" t="n">
        <x:f>ABS(K2947)</x:f>
        <x:v>0</x:v>
      </x:c>
      <x:c r="M2947" s="41" t="str">
        <x:v>lstm-soil-v1</x:v>
      </x:c>
    </x:row>
    <x:row r="2948">
      <x:c r="A2948" s="38" t="str">
        <x:v>7月30日现场数据</x:v>
      </x:c>
      <x:c r="B2948" s="39" t="str">
        <x:v>2026-08-03T02:55:00</x:v>
      </x:c>
      <x:c r="C2948" s="39" t="str">
        <x:v>2026-08-03T03:00:00</x:v>
      </x:c>
      <x:c r="D2948" s="47" t="n">
        <x:v>5</x:v>
      </x:c>
      <x:c r="E2948" s="40" t="n">
        <x:v>14.5</x:v>
      </x:c>
      <x:c r="F2948" s="40" t="n">
        <x:v>12.682559967041016</x:v>
      </x:c>
      <x:c r="G2948" s="40" t="n">
        <x:v>14.5</x:v>
      </x:c>
      <x:c r="H2948" s="40" t="n">
        <x:f>F2948-E2948</x:f>
        <x:v>-1.8174400329589844</x:v>
      </x:c>
      <x:c r="I2948" s="40" t="n">
        <x:f>ABS(H2948)</x:f>
        <x:v>1.8174400329589844</x:v>
      </x:c>
      <x:c r="J2948" s="40" t="n">
        <x:f>H2948^2</x:f>
        <x:v>3.303088273401954</x:v>
      </x:c>
      <x:c r="K2948" s="40" t="n">
        <x:f>G2948-E2948</x:f>
        <x:v>0</x:v>
      </x:c>
      <x:c r="L2948" s="40" t="n">
        <x:f>ABS(K2948)</x:f>
        <x:v>0</x:v>
      </x:c>
      <x:c r="M2948" s="41" t="str">
        <x:v>lstm-soil-v1</x:v>
      </x:c>
    </x:row>
    <x:row r="2949">
      <x:c r="A2949" s="38" t="str">
        <x:v>7月30日现场数据</x:v>
      </x:c>
      <x:c r="B2949" s="39" t="str">
        <x:v>2026-08-03T02:55:00</x:v>
      </x:c>
      <x:c r="C2949" s="39" t="str">
        <x:v>2026-08-03T03:10:00</x:v>
      </x:c>
      <x:c r="D2949" s="47" t="n">
        <x:v>15</x:v>
      </x:c>
      <x:c r="E2949" s="40" t="n">
        <x:v>14.4</x:v>
      </x:c>
      <x:c r="F2949" s="40" t="n">
        <x:v>12.745731353759766</x:v>
      </x:c>
      <x:c r="G2949" s="40" t="n">
        <x:v>14.5</x:v>
      </x:c>
      <x:c r="H2949" s="40" t="n">
        <x:f>F2949-E2949</x:f>
        <x:v>-1.6542686462402347</x:v>
      </x:c>
      <x:c r="I2949" s="40" t="n">
        <x:f>ABS(H2949)</x:f>
        <x:v>1.6542686462402347</x:v>
      </x:c>
      <x:c r="J2949" s="40" t="n">
        <x:f>H2949^2</x:f>
        <x:v>2.736604753933499</x:v>
      </x:c>
      <x:c r="K2949" s="40" t="n">
        <x:f>G2949-E2949</x:f>
        <x:v>0.09999999999999964</x:v>
      </x:c>
      <x:c r="L2949" s="40" t="n">
        <x:f>ABS(K2949)</x:f>
        <x:v>0.09999999999999964</x:v>
      </x:c>
      <x:c r="M2949" s="41" t="str">
        <x:v>lstm-soil-v1</x:v>
      </x:c>
    </x:row>
    <x:row r="2950">
      <x:c r="A2950" s="38" t="str">
        <x:v>7月30日现场数据</x:v>
      </x:c>
      <x:c r="B2950" s="39" t="str">
        <x:v>2026-08-03T02:55:00</x:v>
      </x:c>
      <x:c r="C2950" s="39" t="str">
        <x:v>2026-08-03T03:25:00</x:v>
      </x:c>
      <x:c r="D2950" s="47" t="n">
        <x:v>30</x:v>
      </x:c>
      <x:c r="E2950" s="40" t="n">
        <x:v>14.5</x:v>
      </x:c>
      <x:c r="F2950" s="40" t="n">
        <x:v>13.208301544189453</x:v>
      </x:c>
      <x:c r="G2950" s="40" t="n">
        <x:v>14.5</x:v>
      </x:c>
      <x:c r="H2950" s="40" t="n">
        <x:f>F2950-E2950</x:f>
        <x:v>-1.2916984558105469</x:v>
      </x:c>
      <x:c r="I2950" s="40" t="n">
        <x:f>ABS(H2950)</x:f>
        <x:v>1.2916984558105469</x:v>
      </x:c>
      <x:c r="J2950" s="40" t="n">
        <x:f>H2950^2</x:f>
        <x:v>1.6684849007433513</x:v>
      </x:c>
      <x:c r="K2950" s="40" t="n">
        <x:f>G2950-E2950</x:f>
        <x:v>0</x:v>
      </x:c>
      <x:c r="L2950" s="40" t="n">
        <x:f>ABS(K2950)</x:f>
        <x:v>0</x:v>
      </x:c>
      <x:c r="M2950" s="41" t="str">
        <x:v>lstm-soil-v1</x:v>
      </x:c>
    </x:row>
    <x:row r="2951">
      <x:c r="A2951" s="38" t="str">
        <x:v>7月30日现场数据</x:v>
      </x:c>
      <x:c r="B2951" s="39" t="str">
        <x:v>2026-08-03T02:55:00</x:v>
      </x:c>
      <x:c r="C2951" s="39" t="str">
        <x:v>2026-08-03T03:55:00</x:v>
      </x:c>
      <x:c r="D2951" s="47" t="n">
        <x:v>60</x:v>
      </x:c>
      <x:c r="E2951" s="40" t="n">
        <x:v>14.5</x:v>
      </x:c>
      <x:c r="F2951" s="40" t="n">
        <x:v>14.776832580566406</x:v>
      </x:c>
      <x:c r="G2951" s="40" t="n">
        <x:v>14.5</x:v>
      </x:c>
      <x:c r="H2951" s="40" t="n">
        <x:f>F2951-E2951</x:f>
        <x:v>0.27683258056640625</x:v>
      </x:c>
      <x:c r="I2951" s="40" t="n">
        <x:f>ABS(H2951)</x:f>
        <x:v>0.27683258056640625</x:v>
      </x:c>
      <x:c r="J2951" s="40" t="n">
        <x:f>H2951^2</x:f>
        <x:v>0.07663627766305581</x:v>
      </x:c>
      <x:c r="K2951" s="40" t="n">
        <x:f>G2951-E2951</x:f>
        <x:v>0</x:v>
      </x:c>
      <x:c r="L2951" s="40" t="n">
        <x:f>ABS(K2951)</x:f>
        <x:v>0</x:v>
      </x:c>
      <x:c r="M2951" s="41" t="str">
        <x:v>lstm-soil-v1</x:v>
      </x:c>
    </x:row>
    <x:row r="2952">
      <x:c r="A2952" s="38" t="str">
        <x:v>7月30日现场数据</x:v>
      </x:c>
      <x:c r="B2952" s="39" t="str">
        <x:v>2026-08-03T03:00:00</x:v>
      </x:c>
      <x:c r="C2952" s="39" t="str">
        <x:v>2026-08-03T03:05:00</x:v>
      </x:c>
      <x:c r="D2952" s="47" t="n">
        <x:v>5</x:v>
      </x:c>
      <x:c r="E2952" s="40" t="n">
        <x:v>14.5</x:v>
      </x:c>
      <x:c r="F2952" s="40" t="n">
        <x:v>12.680259704589844</x:v>
      </x:c>
      <x:c r="G2952" s="40" t="n">
        <x:v>14.5</x:v>
      </x:c>
      <x:c r="H2952" s="40" t="n">
        <x:f>F2952-E2952</x:f>
        <x:v>-1.8197402954101562</x:v>
      </x:c>
      <x:c r="I2952" s="40" t="n">
        <x:f>ABS(H2952)</x:f>
        <x:v>1.8197402954101562</x:v>
      </x:c>
      <x:c r="J2952" s="40" t="n">
        <x:f>H2952^2</x:f>
        <x:v>3.3114547427394427</x:v>
      </x:c>
      <x:c r="K2952" s="40" t="n">
        <x:f>G2952-E2952</x:f>
        <x:v>0</x:v>
      </x:c>
      <x:c r="L2952" s="40" t="n">
        <x:f>ABS(K2952)</x:f>
        <x:v>0</x:v>
      </x:c>
      <x:c r="M2952" s="41" t="str">
        <x:v>lstm-soil-v1</x:v>
      </x:c>
    </x:row>
    <x:row r="2953">
      <x:c r="A2953" s="38" t="str">
        <x:v>7月30日现场数据</x:v>
      </x:c>
      <x:c r="B2953" s="39" t="str">
        <x:v>2026-08-03T03:00:00</x:v>
      </x:c>
      <x:c r="C2953" s="39" t="str">
        <x:v>2026-08-03T03:15:00</x:v>
      </x:c>
      <x:c r="D2953" s="47" t="n">
        <x:v>15</x:v>
      </x:c>
      <x:c r="E2953" s="40" t="n">
        <x:v>14.5</x:v>
      </x:c>
      <x:c r="F2953" s="40" t="n">
        <x:v>12.74325942993164</x:v>
      </x:c>
      <x:c r="G2953" s="40" t="n">
        <x:v>14.5</x:v>
      </x:c>
      <x:c r="H2953" s="40" t="n">
        <x:f>F2953-E2953</x:f>
        <x:v>-1.7567405700683594</x:v>
      </x:c>
      <x:c r="I2953" s="40" t="n">
        <x:f>ABS(H2953)</x:f>
        <x:v>1.7567405700683594</x:v>
      </x:c>
      <x:c r="J2953" s="40" t="n">
        <x:f>H2953^2</x:f>
        <x:v>3.0861374305241043</x:v>
      </x:c>
      <x:c r="K2953" s="40" t="n">
        <x:f>G2953-E2953</x:f>
        <x:v>0</x:v>
      </x:c>
      <x:c r="L2953" s="40" t="n">
        <x:f>ABS(K2953)</x:f>
        <x:v>0</x:v>
      </x:c>
      <x:c r="M2953" s="41" t="str">
        <x:v>lstm-soil-v1</x:v>
      </x:c>
    </x:row>
    <x:row r="2954">
      <x:c r="A2954" s="38" t="str">
        <x:v>7月30日现场数据</x:v>
      </x:c>
      <x:c r="B2954" s="39" t="str">
        <x:v>2026-08-03T03:00:00</x:v>
      </x:c>
      <x:c r="C2954" s="39" t="str">
        <x:v>2026-08-03T03:30:00</x:v>
      </x:c>
      <x:c r="D2954" s="47" t="n">
        <x:v>30</x:v>
      </x:c>
      <x:c r="E2954" s="40" t="n">
        <x:v>14.5</x:v>
      </x:c>
      <x:c r="F2954" s="40" t="n">
        <x:v>13.205265045166016</x:v>
      </x:c>
      <x:c r="G2954" s="40" t="n">
        <x:v>14.5</x:v>
      </x:c>
      <x:c r="H2954" s="40" t="n">
        <x:f>F2954-E2954</x:f>
        <x:v>-1.2947349548339844</x:v>
      </x:c>
      <x:c r="I2954" s="40" t="n">
        <x:f>ABS(H2954)</x:f>
        <x:v>1.2947349548339844</x:v>
      </x:c>
      <x:c r="J2954" s="40" t="n">
        <x:f>H2954^2</x:f>
        <x:v>1.6763386032689596</x:v>
      </x:c>
      <x:c r="K2954" s="40" t="n">
        <x:f>G2954-E2954</x:f>
        <x:v>0</x:v>
      </x:c>
      <x:c r="L2954" s="40" t="n">
        <x:f>ABS(K2954)</x:f>
        <x:v>0</x:v>
      </x:c>
      <x:c r="M2954" s="41" t="str">
        <x:v>lstm-soil-v1</x:v>
      </x:c>
    </x:row>
    <x:row r="2955">
      <x:c r="A2955" s="38" t="str">
        <x:v>7月30日现场数据</x:v>
      </x:c>
      <x:c r="B2955" s="39" t="str">
        <x:v>2026-08-03T03:00:00</x:v>
      </x:c>
      <x:c r="C2955" s="39" t="str">
        <x:v>2026-08-03T04:00:00</x:v>
      </x:c>
      <x:c r="D2955" s="47" t="n">
        <x:v>60</x:v>
      </x:c>
      <x:c r="E2955" s="40" t="n">
        <x:v>14.5</x:v>
      </x:c>
      <x:c r="F2955" s="40" t="n">
        <x:v>14.774883270263672</x:v>
      </x:c>
      <x:c r="G2955" s="40" t="n">
        <x:v>14.5</x:v>
      </x:c>
      <x:c r="H2955" s="40" t="n">
        <x:f>F2955-E2955</x:f>
        <x:v>0.2748832702636719</x:v>
      </x:c>
      <x:c r="I2955" s="40" t="n">
        <x:f>ABS(H2955)</x:f>
        <x:v>0.2748832702636719</x:v>
      </x:c>
      <x:c r="J2955" s="40" t="n">
        <x:f>H2955^2</x:f>
        <x:v>0.07556081227085087</x:v>
      </x:c>
      <x:c r="K2955" s="40" t="n">
        <x:f>G2955-E2955</x:f>
        <x:v>0</x:v>
      </x:c>
      <x:c r="L2955" s="40" t="n">
        <x:f>ABS(K2955)</x:f>
        <x:v>0</x:v>
      </x:c>
      <x:c r="M2955" s="41" t="str">
        <x:v>lstm-soil-v1</x:v>
      </x:c>
    </x:row>
    <x:row r="2956">
      <x:c r="A2956" s="38" t="str">
        <x:v>7月30日现场数据</x:v>
      </x:c>
      <x:c r="B2956" s="39" t="str">
        <x:v>2026-08-03T03:05:00</x:v>
      </x:c>
      <x:c r="C2956" s="39" t="str">
        <x:v>2026-08-03T03:10:00</x:v>
      </x:c>
      <x:c r="D2956" s="47" t="n">
        <x:v>5</x:v>
      </x:c>
      <x:c r="E2956" s="40" t="n">
        <x:v>14.4</x:v>
      </x:c>
      <x:c r="F2956" s="40" t="n">
        <x:v>12.67877197265625</x:v>
      </x:c>
      <x:c r="G2956" s="40" t="n">
        <x:v>14.5</x:v>
      </x:c>
      <x:c r="H2956" s="40" t="n">
        <x:f>F2956-E2956</x:f>
        <x:v>-1.7212280273437504</x:v>
      </x:c>
      <x:c r="I2956" s="40" t="n">
        <x:f>ABS(H2956)</x:f>
        <x:v>1.7212280273437504</x:v>
      </x:c>
      <x:c r="J2956" s="40" t="n">
        <x:f>H2956^2</x:f>
        <x:v>2.9626259221136584</x:v>
      </x:c>
      <x:c r="K2956" s="40" t="n">
        <x:f>G2956-E2956</x:f>
        <x:v>0.09999999999999964</x:v>
      </x:c>
      <x:c r="L2956" s="40" t="n">
        <x:f>ABS(K2956)</x:f>
        <x:v>0.09999999999999964</x:v>
      </x:c>
      <x:c r="M2956" s="41" t="str">
        <x:v>lstm-soil-v1</x:v>
      </x:c>
    </x:row>
    <x:row r="2957">
      <x:c r="A2957" s="38" t="str">
        <x:v>7月30日现场数据</x:v>
      </x:c>
      <x:c r="B2957" s="39" t="str">
        <x:v>2026-08-03T03:05:00</x:v>
      </x:c>
      <x:c r="C2957" s="39" t="str">
        <x:v>2026-08-03T03:20:00</x:v>
      </x:c>
      <x:c r="D2957" s="47" t="n">
        <x:v>15</x:v>
      </x:c>
      <x:c r="E2957" s="40" t="n">
        <x:v>14.5</x:v>
      </x:c>
      <x:c r="F2957" s="40" t="n">
        <x:v>12.742378234863281</x:v>
      </x:c>
      <x:c r="G2957" s="40" t="n">
        <x:v>14.5</x:v>
      </x:c>
      <x:c r="H2957" s="40" t="n">
        <x:f>F2957-E2957</x:f>
        <x:v>-1.7576217651367188</x:v>
      </x:c>
      <x:c r="I2957" s="40" t="n">
        <x:f>ABS(H2957)</x:f>
        <x:v>1.7576217651367188</x:v>
      </x:c>
      <x:c r="J2957" s="40" t="n">
        <x:f>H2957^2</x:f>
        <x:v>3.089234269282315</x:v>
      </x:c>
      <x:c r="K2957" s="40" t="n">
        <x:f>G2957-E2957</x:f>
        <x:v>0</x:v>
      </x:c>
      <x:c r="L2957" s="40" t="n">
        <x:f>ABS(K2957)</x:f>
        <x:v>0</x:v>
      </x:c>
      <x:c r="M2957" s="41" t="str">
        <x:v>lstm-soil-v1</x:v>
      </x:c>
    </x:row>
    <x:row r="2958">
      <x:c r="A2958" s="38" t="str">
        <x:v>7月30日现场数据</x:v>
      </x:c>
      <x:c r="B2958" s="39" t="str">
        <x:v>2026-08-03T03:05:00</x:v>
      </x:c>
      <x:c r="C2958" s="39" t="str">
        <x:v>2026-08-03T03:35:00</x:v>
      </x:c>
      <x:c r="D2958" s="47" t="n">
        <x:v>30</x:v>
      </x:c>
      <x:c r="E2958" s="40" t="n">
        <x:v>14.5</x:v>
      </x:c>
      <x:c r="F2958" s="40" t="n">
        <x:v>13.204818725585938</x:v>
      </x:c>
      <x:c r="G2958" s="40" t="n">
        <x:v>14.5</x:v>
      </x:c>
      <x:c r="H2958" s="40" t="n">
        <x:f>F2958-E2958</x:f>
        <x:v>-1.2951812744140625</x:v>
      </x:c>
      <x:c r="I2958" s="40" t="n">
        <x:f>ABS(H2958)</x:f>
        <x:v>1.2951812744140625</x:v>
      </x:c>
      <x:c r="J2958" s="40" t="n">
        <x:f>H2958^2</x:f>
        <x:v>1.677494533592835</x:v>
      </x:c>
      <x:c r="K2958" s="40" t="n">
        <x:f>G2958-E2958</x:f>
        <x:v>0</x:v>
      </x:c>
      <x:c r="L2958" s="40" t="n">
        <x:f>ABS(K2958)</x:f>
        <x:v>0</x:v>
      </x:c>
      <x:c r="M2958" s="41" t="str">
        <x:v>lstm-soil-v1</x:v>
      </x:c>
    </x:row>
    <x:row r="2959">
      <x:c r="A2959" s="38" t="str">
        <x:v>7月30日现场数据</x:v>
      </x:c>
      <x:c r="B2959" s="39" t="str">
        <x:v>2026-08-03T03:05:00</x:v>
      </x:c>
      <x:c r="C2959" s="39" t="str">
        <x:v>2026-08-03T04:05:00</x:v>
      </x:c>
      <x:c r="D2959" s="47" t="n">
        <x:v>60</x:v>
      </x:c>
      <x:c r="E2959" s="40" t="n">
        <x:v>14.5</x:v>
      </x:c>
      <x:c r="F2959" s="40" t="n">
        <x:v>14.77279281616211</x:v>
      </x:c>
      <x:c r="G2959" s="40" t="n">
        <x:v>14.5</x:v>
      </x:c>
      <x:c r="H2959" s="40" t="n">
        <x:f>F2959-E2959</x:f>
        <x:v>0.2727928161621094</x:v>
      </x:c>
      <x:c r="I2959" s="40" t="n">
        <x:f>ABS(H2959)</x:f>
        <x:v>0.2727928161621094</x:v>
      </x:c>
      <x:c r="J2959" s="40" t="n">
        <x:f>H2959^2</x:f>
        <x:v>0.0744159205496544</x:v>
      </x:c>
      <x:c r="K2959" s="40" t="n">
        <x:f>G2959-E2959</x:f>
        <x:v>0</x:v>
      </x:c>
      <x:c r="L2959" s="40" t="n">
        <x:f>ABS(K2959)</x:f>
        <x:v>0</x:v>
      </x:c>
      <x:c r="M2959" s="41" t="str">
        <x:v>lstm-soil-v1</x:v>
      </x:c>
    </x:row>
    <x:row r="2960">
      <x:c r="A2960" s="38" t="str">
        <x:v>7月30日现场数据</x:v>
      </x:c>
      <x:c r="B2960" s="39" t="str">
        <x:v>2026-08-03T03:10:00</x:v>
      </x:c>
      <x:c r="C2960" s="39" t="str">
        <x:v>2026-08-03T03:15:00</x:v>
      </x:c>
      <x:c r="D2960" s="47" t="n">
        <x:v>5</x:v>
      </x:c>
      <x:c r="E2960" s="40" t="n">
        <x:v>14.5</x:v>
      </x:c>
      <x:c r="F2960" s="40" t="n">
        <x:v>12.56796646118164</x:v>
      </x:c>
      <x:c r="G2960" s="40" t="n">
        <x:v>14.4</x:v>
      </x:c>
      <x:c r="H2960" s="40" t="n">
        <x:f>F2960-E2960</x:f>
        <x:v>-1.9320335388183594</x:v>
      </x:c>
      <x:c r="I2960" s="40" t="n">
        <x:f>ABS(H2960)</x:f>
        <x:v>1.9320335388183594</x:v>
      </x:c>
      <x:c r="J2960" s="40" t="n">
        <x:f>H2960^2</x:f>
        <x:v>3.732753595118993</x:v>
      </x:c>
      <x:c r="K2960" s="40" t="n">
        <x:f>G2960-E2960</x:f>
        <x:v>-0.09999999999999964</x:v>
      </x:c>
      <x:c r="L2960" s="40" t="n">
        <x:f>ABS(K2960)</x:f>
        <x:v>0.09999999999999964</x:v>
      </x:c>
      <x:c r="M2960" s="41" t="str">
        <x:v>lstm-soil-v1</x:v>
      </x:c>
    </x:row>
    <x:row r="2961">
      <x:c r="A2961" s="38" t="str">
        <x:v>7月30日现场数据</x:v>
      </x:c>
      <x:c r="B2961" s="39" t="str">
        <x:v>2026-08-03T03:10:00</x:v>
      </x:c>
      <x:c r="C2961" s="39" t="str">
        <x:v>2026-08-03T03:25:00</x:v>
      </x:c>
      <x:c r="D2961" s="47" t="n">
        <x:v>15</x:v>
      </x:c>
      <x:c r="E2961" s="40" t="n">
        <x:v>14.5</x:v>
      </x:c>
      <x:c r="F2961" s="40" t="n">
        <x:v>12.632102966308594</x:v>
      </x:c>
      <x:c r="G2961" s="40" t="n">
        <x:v>14.4</x:v>
      </x:c>
      <x:c r="H2961" s="40" t="n">
        <x:f>F2961-E2961</x:f>
        <x:v>-1.8678970336914062</x:v>
      </x:c>
      <x:c r="I2961" s="40" t="n">
        <x:f>ABS(H2961)</x:f>
        <x:v>1.8678970336914062</x:v>
      </x:c>
      <x:c r="J2961" s="40" t="n">
        <x:f>H2961^2</x:f>
        <x:v>3.4890393284731545</x:v>
      </x:c>
      <x:c r="K2961" s="40" t="n">
        <x:f>G2961-E2961</x:f>
        <x:v>-0.09999999999999964</x:v>
      </x:c>
      <x:c r="L2961" s="40" t="n">
        <x:f>ABS(K2961)</x:f>
        <x:v>0.09999999999999964</x:v>
      </x:c>
      <x:c r="M2961" s="41" t="str">
        <x:v>lstm-soil-v1</x:v>
      </x:c>
    </x:row>
    <x:row r="2962">
      <x:c r="A2962" s="38" t="str">
        <x:v>7月30日现场数据</x:v>
      </x:c>
      <x:c r="B2962" s="39" t="str">
        <x:v>2026-08-03T03:10:00</x:v>
      </x:c>
      <x:c r="C2962" s="39" t="str">
        <x:v>2026-08-03T03:40:00</x:v>
      </x:c>
      <x:c r="D2962" s="47" t="n">
        <x:v>30</x:v>
      </x:c>
      <x:c r="E2962" s="40" t="n">
        <x:v>14.5</x:v>
      </x:c>
      <x:c r="F2962" s="40" t="n">
        <x:v>13.095298767089844</x:v>
      </x:c>
      <x:c r="G2962" s="40" t="n">
        <x:v>14.4</x:v>
      </x:c>
      <x:c r="H2962" s="40" t="n">
        <x:f>F2962-E2962</x:f>
        <x:v>-1.4047012329101562</x:v>
      </x:c>
      <x:c r="I2962" s="40" t="n">
        <x:f>ABS(H2962)</x:f>
        <x:v>1.4047012329101562</x:v>
      </x:c>
      <x:c r="J2962" s="40" t="n">
        <x:f>H2962^2</x:f>
        <x:v>1.973185553739313</x:v>
      </x:c>
      <x:c r="K2962" s="40" t="n">
        <x:f>G2962-E2962</x:f>
        <x:v>-0.09999999999999964</x:v>
      </x:c>
      <x:c r="L2962" s="40" t="n">
        <x:f>ABS(K2962)</x:f>
        <x:v>0.09999999999999964</x:v>
      </x:c>
      <x:c r="M2962" s="41" t="str">
        <x:v>lstm-soil-v1</x:v>
      </x:c>
    </x:row>
    <x:row r="2963">
      <x:c r="A2963" s="38" t="str">
        <x:v>7月30日现场数据</x:v>
      </x:c>
      <x:c r="B2963" s="39" t="str">
        <x:v>2026-08-03T03:10:00</x:v>
      </x:c>
      <x:c r="C2963" s="39" t="str">
        <x:v>2026-08-03T04:10:00</x:v>
      </x:c>
      <x:c r="D2963" s="47" t="n">
        <x:v>60</x:v>
      </x:c>
      <x:c r="E2963" s="40" t="n">
        <x:v>14.5</x:v>
      </x:c>
      <x:c r="F2963" s="40" t="n">
        <x:v>14.661338806152344</x:v>
      </x:c>
      <x:c r="G2963" s="40" t="n">
        <x:v>14.4</x:v>
      </x:c>
      <x:c r="H2963" s="40" t="n">
        <x:f>F2963-E2963</x:f>
        <x:v>0.16133880615234375</x:v>
      </x:c>
      <x:c r="I2963" s="40" t="n">
        <x:f>ABS(H2963)</x:f>
        <x:v>0.16133880615234375</x:v>
      </x:c>
      <x:c r="J2963" s="40" t="n">
        <x:f>H2963^2</x:f>
        <x:v>0.026030210370663553</x:v>
      </x:c>
      <x:c r="K2963" s="40" t="n">
        <x:f>G2963-E2963</x:f>
        <x:v>-0.09999999999999964</x:v>
      </x:c>
      <x:c r="L2963" s="40" t="n">
        <x:f>ABS(K2963)</x:f>
        <x:v>0.09999999999999964</x:v>
      </x:c>
      <x:c r="M2963" s="41" t="str">
        <x:v>lstm-soil-v1</x:v>
      </x:c>
    </x:row>
    <x:row r="2964">
      <x:c r="A2964" s="38" t="str">
        <x:v>7月30日现场数据</x:v>
      </x:c>
      <x:c r="B2964" s="39" t="str">
        <x:v>2026-08-03T03:15:00</x:v>
      </x:c>
      <x:c r="C2964" s="39" t="str">
        <x:v>2026-08-03T03:20:00</x:v>
      </x:c>
      <x:c r="D2964" s="47" t="n">
        <x:v>5</x:v>
      </x:c>
      <x:c r="E2964" s="40" t="n">
        <x:v>14.5</x:v>
      </x:c>
      <x:c r="F2964" s="40" t="n">
        <x:v>12.678230285644531</x:v>
      </x:c>
      <x:c r="G2964" s="40" t="n">
        <x:v>14.5</x:v>
      </x:c>
      <x:c r="H2964" s="40" t="n">
        <x:f>F2964-E2964</x:f>
        <x:v>-1.8217697143554688</x:v>
      </x:c>
      <x:c r="I2964" s="40" t="n">
        <x:f>ABS(H2964)</x:f>
        <x:v>1.8217697143554688</x:v>
      </x:c>
      <x:c r="J2964" s="40" t="n">
        <x:f>H2964^2</x:f>
        <x:v>3.318844892142806</x:v>
      </x:c>
      <x:c r="K2964" s="40" t="n">
        <x:f>G2964-E2964</x:f>
        <x:v>0</x:v>
      </x:c>
      <x:c r="L2964" s="40" t="n">
        <x:f>ABS(K2964)</x:f>
        <x:v>0</x:v>
      </x:c>
      <x:c r="M2964" s="41" t="str">
        <x:v>lstm-soil-v1</x:v>
      </x:c>
    </x:row>
    <x:row r="2965">
      <x:c r="A2965" s="38" t="str">
        <x:v>7月30日现场数据</x:v>
      </x:c>
      <x:c r="B2965" s="39" t="str">
        <x:v>2026-08-03T03:15:00</x:v>
      </x:c>
      <x:c r="C2965" s="39" t="str">
        <x:v>2026-08-03T03:30:00</x:v>
      </x:c>
      <x:c r="D2965" s="47" t="n">
        <x:v>15</x:v>
      </x:c>
      <x:c r="E2965" s="40" t="n">
        <x:v>14.5</x:v>
      </x:c>
      <x:c r="F2965" s="40" t="n">
        <x:v>12.742523193359375</x:v>
      </x:c>
      <x:c r="G2965" s="40" t="n">
        <x:v>14.5</x:v>
      </x:c>
      <x:c r="H2965" s="40" t="n">
        <x:f>F2965-E2965</x:f>
        <x:v>-1.757476806640625</x:v>
      </x:c>
      <x:c r="I2965" s="40" t="n">
        <x:f>ABS(H2965)</x:f>
        <x:v>1.757476806640625</x:v>
      </x:c>
      <x:c r="J2965" s="40" t="n">
        <x:f>H2965^2</x:f>
        <x:v>3.088724725879729</x:v>
      </x:c>
      <x:c r="K2965" s="40" t="n">
        <x:f>G2965-E2965</x:f>
        <x:v>0</x:v>
      </x:c>
      <x:c r="L2965" s="40" t="n">
        <x:f>ABS(K2965)</x:f>
        <x:v>0</x:v>
      </x:c>
      <x:c r="M2965" s="41" t="str">
        <x:v>lstm-soil-v1</x:v>
      </x:c>
    </x:row>
    <x:row r="2966">
      <x:c r="A2966" s="38" t="str">
        <x:v>7月30日现场数据</x:v>
      </x:c>
      <x:c r="B2966" s="39" t="str">
        <x:v>2026-08-03T03:15:00</x:v>
      </x:c>
      <x:c r="C2966" s="39" t="str">
        <x:v>2026-08-03T03:45:00</x:v>
      </x:c>
      <x:c r="D2966" s="47" t="n">
        <x:v>30</x:v>
      </x:c>
      <x:c r="E2966" s="40" t="n">
        <x:v>14.5</x:v>
      </x:c>
      <x:c r="F2966" s="40" t="n">
        <x:v>13.206707000732422</x:v>
      </x:c>
      <x:c r="G2966" s="40" t="n">
        <x:v>14.5</x:v>
      </x:c>
      <x:c r="H2966" s="40" t="n">
        <x:f>F2966-E2966</x:f>
        <x:v>-1.2932929992675781</x:v>
      </x:c>
      <x:c r="I2966" s="40" t="n">
        <x:f>ABS(H2966)</x:f>
        <x:v>1.2932929992675781</x:v>
      </x:c>
      <x:c r="J2966" s="40" t="n">
        <x:f>H2966^2</x:f>
        <x:v>1.6726067819545278</x:v>
      </x:c>
      <x:c r="K2966" s="40" t="n">
        <x:f>G2966-E2966</x:f>
        <x:v>0</x:v>
      </x:c>
      <x:c r="L2966" s="40" t="n">
        <x:f>ABS(K2966)</x:f>
        <x:v>0</x:v>
      </x:c>
      <x:c r="M2966" s="41" t="str">
        <x:v>lstm-soil-v1</x:v>
      </x:c>
    </x:row>
    <x:row r="2967">
      <x:c r="A2967" s="38" t="str">
        <x:v>7月30日现场数据</x:v>
      </x:c>
      <x:c r="B2967" s="39" t="str">
        <x:v>2026-08-03T03:15:00</x:v>
      </x:c>
      <x:c r="C2967" s="39" t="str">
        <x:v>2026-08-03T04:15:00</x:v>
      </x:c>
      <x:c r="D2967" s="47" t="n">
        <x:v>60</x:v>
      </x:c>
      <x:c r="E2967" s="40" t="n">
        <x:v>14.5</x:v>
      </x:c>
      <x:c r="F2967" s="40" t="n">
        <x:v>14.771114349365234</x:v>
      </x:c>
      <x:c r="G2967" s="40" t="n">
        <x:v>14.5</x:v>
      </x:c>
      <x:c r="H2967" s="40" t="n">
        <x:f>F2967-E2967</x:f>
        <x:v>0.2711143493652344</x:v>
      </x:c>
      <x:c r="I2967" s="40" t="n">
        <x:f>ABS(H2967)</x:f>
        <x:v>0.2711143493652344</x:v>
      </x:c>
      <x:c r="J2967" s="40" t="n">
        <x:f>H2967^2</x:f>
        <x:v>0.07350299043173436</x:v>
      </x:c>
      <x:c r="K2967" s="40" t="n">
        <x:f>G2967-E2967</x:f>
        <x:v>0</x:v>
      </x:c>
      <x:c r="L2967" s="40" t="n">
        <x:f>ABS(K2967)</x:f>
        <x:v>0</x:v>
      </x:c>
      <x:c r="M2967" s="41" t="str">
        <x:v>lstm-soil-v1</x:v>
      </x:c>
    </x:row>
    <x:row r="2968">
      <x:c r="A2968" s="38" t="str">
        <x:v>7月30日现场数据</x:v>
      </x:c>
      <x:c r="B2968" s="39" t="str">
        <x:v>2026-08-03T03:20:00</x:v>
      </x:c>
      <x:c r="C2968" s="39" t="str">
        <x:v>2026-08-03T03:25:00</x:v>
      </x:c>
      <x:c r="D2968" s="47" t="n">
        <x:v>5</x:v>
      </x:c>
      <x:c r="E2968" s="40" t="n">
        <x:v>14.5</x:v>
      </x:c>
      <x:c r="F2968" s="40" t="n">
        <x:v>12.678703308105469</x:v>
      </x:c>
      <x:c r="G2968" s="40" t="n">
        <x:v>14.5</x:v>
      </x:c>
      <x:c r="H2968" s="40" t="n">
        <x:f>F2968-E2968</x:f>
        <x:v>-1.8212966918945312</x:v>
      </x:c>
      <x:c r="I2968" s="40" t="n">
        <x:f>ABS(H2968)</x:f>
        <x:v>1.8212966918945312</x:v>
      </x:c>
      <x:c r="J2968" s="40" t="n">
        <x:f>H2968^2</x:f>
        <x:v>3.317121639905963</x:v>
      </x:c>
      <x:c r="K2968" s="40" t="n">
        <x:f>G2968-E2968</x:f>
        <x:v>0</x:v>
      </x:c>
      <x:c r="L2968" s="40" t="n">
        <x:f>ABS(K2968)</x:f>
        <x:v>0</x:v>
      </x:c>
      <x:c r="M2968" s="41" t="str">
        <x:v>lstm-soil-v1</x:v>
      </x:c>
    </x:row>
    <x:row r="2969">
      <x:c r="A2969" s="38" t="str">
        <x:v>7月30日现场数据</x:v>
      </x:c>
      <x:c r="B2969" s="39" t="str">
        <x:v>2026-08-03T03:20:00</x:v>
      </x:c>
      <x:c r="C2969" s="39" t="str">
        <x:v>2026-08-03T03:35:00</x:v>
      </x:c>
      <x:c r="D2969" s="47" t="n">
        <x:v>15</x:v>
      </x:c>
      <x:c r="E2969" s="40" t="n">
        <x:v>14.5</x:v>
      </x:c>
      <x:c r="F2969" s="40" t="n">
        <x:v>12.74294662475586</x:v>
      </x:c>
      <x:c r="G2969" s="40" t="n">
        <x:v>14.5</x:v>
      </x:c>
      <x:c r="H2969" s="40" t="n">
        <x:f>F2969-E2969</x:f>
        <x:v>-1.7570533752441406</x:v>
      </x:c>
      <x:c r="I2969" s="40" t="n">
        <x:f>ABS(H2969)</x:f>
        <x:v>1.7570533752441406</x:v>
      </x:c>
      <x:c r="J2969" s="40" t="n">
        <x:f>H2969^2</x:f>
        <x:v>3.087236563456827</x:v>
      </x:c>
      <x:c r="K2969" s="40" t="n">
        <x:f>G2969-E2969</x:f>
        <x:v>0</x:v>
      </x:c>
      <x:c r="L2969" s="40" t="n">
        <x:f>ABS(K2969)</x:f>
        <x:v>0</x:v>
      </x:c>
      <x:c r="M2969" s="41" t="str">
        <x:v>lstm-soil-v1</x:v>
      </x:c>
    </x:row>
    <x:row r="2970">
      <x:c r="A2970" s="38" t="str">
        <x:v>7月30日现场数据</x:v>
      </x:c>
      <x:c r="B2970" s="39" t="str">
        <x:v>2026-08-03T03:20:00</x:v>
      </x:c>
      <x:c r="C2970" s="39" t="str">
        <x:v>2026-08-03T03:50:00</x:v>
      </x:c>
      <x:c r="D2970" s="47" t="n">
        <x:v>30</x:v>
      </x:c>
      <x:c r="E2970" s="40" t="n">
        <x:v>14.5</x:v>
      </x:c>
      <x:c r="F2970" s="40" t="n">
        <x:v>13.208015441894531</x:v>
      </x:c>
      <x:c r="G2970" s="40" t="n">
        <x:v>14.5</x:v>
      </x:c>
      <x:c r="H2970" s="40" t="n">
        <x:f>F2970-E2970</x:f>
        <x:v>-1.2919845581054688</x:v>
      </x:c>
      <x:c r="I2970" s="40" t="n">
        <x:f>ABS(H2970)</x:f>
        <x:v>1.2919845581054688</x:v>
      </x:c>
      <x:c r="J2970" s="40" t="n">
        <x:f>H2970^2</x:f>
        <x:v>1.6692240983829834</x:v>
      </x:c>
      <x:c r="K2970" s="40" t="n">
        <x:f>G2970-E2970</x:f>
        <x:v>0</x:v>
      </x:c>
      <x:c r="L2970" s="40" t="n">
        <x:f>ABS(K2970)</x:f>
        <x:v>0</x:v>
      </x:c>
      <x:c r="M2970" s="41" t="str">
        <x:v>lstm-soil-v1</x:v>
      </x:c>
    </x:row>
    <x:row r="2971">
      <x:c r="A2971" s="38" t="str">
        <x:v>7月30日现场数据</x:v>
      </x:c>
      <x:c r="B2971" s="39" t="str">
        <x:v>2026-08-03T03:20:00</x:v>
      </x:c>
      <x:c r="C2971" s="39" t="str">
        <x:v>2026-08-03T04:20:00</x:v>
      </x:c>
      <x:c r="D2971" s="47" t="n">
        <x:v>60</x:v>
      </x:c>
      <x:c r="E2971" s="40" t="n">
        <x:v>14.5</x:v>
      </x:c>
      <x:c r="F2971" s="40" t="n">
        <x:v>14.77127456665039</x:v>
      </x:c>
      <x:c r="G2971" s="40" t="n">
        <x:v>14.5</x:v>
      </x:c>
      <x:c r="H2971" s="40" t="n">
        <x:f>F2971-E2971</x:f>
        <x:v>0.2712745666503906</x:v>
      </x:c>
      <x:c r="I2971" s="40" t="n">
        <x:f>ABS(H2971)</x:f>
        <x:v>0.2712745666503906</x:v>
      </x:c>
      <x:c r="J2971" s="40" t="n">
        <x:f>H2971^2</x:f>
        <x:v>0.07358989051135723</x:v>
      </x:c>
      <x:c r="K2971" s="40" t="n">
        <x:f>G2971-E2971</x:f>
        <x:v>0</x:v>
      </x:c>
      <x:c r="L2971" s="40" t="n">
        <x:f>ABS(K2971)</x:f>
        <x:v>0</x:v>
      </x:c>
      <x:c r="M2971" s="41" t="str">
        <x:v>lstm-soil-v1</x:v>
      </x:c>
    </x:row>
    <x:row r="2972">
      <x:c r="A2972" s="38" t="str">
        <x:v>7月30日现场数据</x:v>
      </x:c>
      <x:c r="B2972" s="39" t="str">
        <x:v>2026-08-03T03:25:00</x:v>
      </x:c>
      <x:c r="C2972" s="39" t="str">
        <x:v>2026-08-03T03:30:00</x:v>
      </x:c>
      <x:c r="D2972" s="47" t="n">
        <x:v>5</x:v>
      </x:c>
      <x:c r="E2972" s="40" t="n">
        <x:v>14.5</x:v>
      </x:c>
      <x:c r="F2972" s="40" t="n">
        <x:v>12.679290771484375</x:v>
      </x:c>
      <x:c r="G2972" s="40" t="n">
        <x:v>14.5</x:v>
      </x:c>
      <x:c r="H2972" s="40" t="n">
        <x:f>F2972-E2972</x:f>
        <x:v>-1.820709228515625</x:v>
      </x:c>
      <x:c r="I2972" s="40" t="n">
        <x:f>ABS(H2972)</x:f>
        <x:v>1.820709228515625</x:v>
      </x:c>
      <x:c r="J2972" s="40" t="n">
        <x:f>H2972^2</x:f>
        <x:v>3.3149820948019624</x:v>
      </x:c>
      <x:c r="K2972" s="40" t="n">
        <x:f>G2972-E2972</x:f>
        <x:v>0</x:v>
      </x:c>
      <x:c r="L2972" s="40" t="n">
        <x:f>ABS(K2972)</x:f>
        <x:v>0</x:v>
      </x:c>
      <x:c r="M2972" s="41" t="str">
        <x:v>lstm-soil-v1</x:v>
      </x:c>
    </x:row>
    <x:row r="2973">
      <x:c r="A2973" s="38" t="str">
        <x:v>7月30日现场数据</x:v>
      </x:c>
      <x:c r="B2973" s="39" t="str">
        <x:v>2026-08-03T03:25:00</x:v>
      </x:c>
      <x:c r="C2973" s="39" t="str">
        <x:v>2026-08-03T03:40:00</x:v>
      </x:c>
      <x:c r="D2973" s="47" t="n">
        <x:v>15</x:v>
      </x:c>
      <x:c r="E2973" s="40" t="n">
        <x:v>14.5</x:v>
      </x:c>
      <x:c r="F2973" s="40" t="n">
        <x:v>12.743343353271484</x:v>
      </x:c>
      <x:c r="G2973" s="40" t="n">
        <x:v>14.5</x:v>
      </x:c>
      <x:c r="H2973" s="40" t="n">
        <x:f>F2973-E2973</x:f>
        <x:v>-1.7566566467285156</x:v>
      </x:c>
      <x:c r="I2973" s="40" t="n">
        <x:f>ABS(H2973)</x:f>
        <x:v>1.7566566467285156</x:v>
      </x:c>
      <x:c r="J2973" s="40" t="n">
        <x:f>H2973^2</x:f>
        <x:v>3.085842574495473</x:v>
      </x:c>
      <x:c r="K2973" s="40" t="n">
        <x:f>G2973-E2973</x:f>
        <x:v>0</x:v>
      </x:c>
      <x:c r="L2973" s="40" t="n">
        <x:f>ABS(K2973)</x:f>
        <x:v>0</x:v>
      </x:c>
      <x:c r="M2973" s="41" t="str">
        <x:v>lstm-soil-v1</x:v>
      </x:c>
    </x:row>
    <x:row r="2974">
      <x:c r="A2974" s="38" t="str">
        <x:v>7月30日现场数据</x:v>
      </x:c>
      <x:c r="B2974" s="39" t="str">
        <x:v>2026-08-03T03:25:00</x:v>
      </x:c>
      <x:c r="C2974" s="39" t="str">
        <x:v>2026-08-03T03:55:00</x:v>
      </x:c>
      <x:c r="D2974" s="47" t="n">
        <x:v>30</x:v>
      </x:c>
      <x:c r="E2974" s="40" t="n">
        <x:v>14.5</x:v>
      </x:c>
      <x:c r="F2974" s="40" t="n">
        <x:v>13.209217071533203</x:v>
      </x:c>
      <x:c r="G2974" s="40" t="n">
        <x:v>14.5</x:v>
      </x:c>
      <x:c r="H2974" s="40" t="n">
        <x:f>F2974-E2974</x:f>
        <x:v>-1.2907829284667969</x:v>
      </x:c>
      <x:c r="I2974" s="40" t="n">
        <x:f>ABS(H2974)</x:f>
        <x:v>1.2907829284667969</x:v>
      </x:c>
      <x:c r="J2974" s="40" t="n">
        <x:f>H2974^2</x:f>
        <x:v>1.66612056842132</x:v>
      </x:c>
      <x:c r="K2974" s="40" t="n">
        <x:f>G2974-E2974</x:f>
        <x:v>0</x:v>
      </x:c>
      <x:c r="L2974" s="40" t="n">
        <x:f>ABS(K2974)</x:f>
        <x:v>0</x:v>
      </x:c>
      <x:c r="M2974" s="41" t="str">
        <x:v>lstm-soil-v1</x:v>
      </x:c>
    </x:row>
    <x:row r="2975">
      <x:c r="A2975" s="38" t="str">
        <x:v>7月30日现场数据</x:v>
      </x:c>
      <x:c r="B2975" s="39" t="str">
        <x:v>2026-08-03T03:25:00</x:v>
      </x:c>
      <x:c r="C2975" s="39" t="str">
        <x:v>2026-08-03T04:25:00</x:v>
      </x:c>
      <x:c r="D2975" s="47" t="n">
        <x:v>60</x:v>
      </x:c>
      <x:c r="E2975" s="40" t="n">
        <x:v>14.5</x:v>
      </x:c>
      <x:c r="F2975" s="40" t="n">
        <x:v>14.771682739257812</x:v>
      </x:c>
      <x:c r="G2975" s="40" t="n">
        <x:v>14.5</x:v>
      </x:c>
      <x:c r="H2975" s="40" t="n">
        <x:f>F2975-E2975</x:f>
        <x:v>0.2716827392578125</x:v>
      </x:c>
      <x:c r="I2975" s="40" t="n">
        <x:f>ABS(H2975)</x:f>
        <x:v>0.2716827392578125</x:v>
      </x:c>
      <x:c r="J2975" s="40" t="n">
        <x:f>H2975^2</x:f>
        <x:v>0.07381151081062853</x:v>
      </x:c>
      <x:c r="K2975" s="40" t="n">
        <x:f>G2975-E2975</x:f>
        <x:v>0</x:v>
      </x:c>
      <x:c r="L2975" s="40" t="n">
        <x:f>ABS(K2975)</x:f>
        <x:v>0</x:v>
      </x:c>
      <x:c r="M2975" s="41" t="str">
        <x:v>lstm-soil-v1</x:v>
      </x:c>
    </x:row>
    <x:row r="2976">
      <x:c r="A2976" s="38" t="str">
        <x:v>7月30日现场数据</x:v>
      </x:c>
      <x:c r="B2976" s="39" t="str">
        <x:v>2026-08-03T03:30:00</x:v>
      </x:c>
      <x:c r="C2976" s="39" t="str">
        <x:v>2026-08-03T03:35:00</x:v>
      </x:c>
      <x:c r="D2976" s="47" t="n">
        <x:v>5</x:v>
      </x:c>
      <x:c r="E2976" s="40" t="n">
        <x:v>14.5</x:v>
      </x:c>
      <x:c r="F2976" s="40" t="n">
        <x:v>12.679698944091797</x:v>
      </x:c>
      <x:c r="G2976" s="40" t="n">
        <x:v>14.5</x:v>
      </x:c>
      <x:c r="H2976" s="40" t="n">
        <x:f>F2976-E2976</x:f>
        <x:v>-1.8203010559082031</x:v>
      </x:c>
      <x:c r="I2976" s="40" t="n">
        <x:f>ABS(H2976)</x:f>
        <x:v>1.8203010559082031</x:v>
      </x:c>
      <x:c r="J2976" s="40" t="n">
        <x:f>H2976^2</x:f>
        <x:v>3.3134959341405192</x:v>
      </x:c>
      <x:c r="K2976" s="40" t="n">
        <x:f>G2976-E2976</x:f>
        <x:v>0</x:v>
      </x:c>
      <x:c r="L2976" s="40" t="n">
        <x:f>ABS(K2976)</x:f>
        <x:v>0</x:v>
      </x:c>
      <x:c r="M2976" s="41" t="str">
        <x:v>lstm-soil-v1</x:v>
      </x:c>
    </x:row>
    <x:row r="2977">
      <x:c r="A2977" s="38" t="str">
        <x:v>7月30日现场数据</x:v>
      </x:c>
      <x:c r="B2977" s="39" t="str">
        <x:v>2026-08-03T03:30:00</x:v>
      </x:c>
      <x:c r="C2977" s="39" t="str">
        <x:v>2026-08-03T03:45:00</x:v>
      </x:c>
      <x:c r="D2977" s="47" t="n">
        <x:v>15</x:v>
      </x:c>
      <x:c r="E2977" s="40" t="n">
        <x:v>14.5</x:v>
      </x:c>
      <x:c r="F2977" s="40" t="n">
        <x:v>12.74355697631836</x:v>
      </x:c>
      <x:c r="G2977" s="40" t="n">
        <x:v>14.5</x:v>
      </x:c>
      <x:c r="H2977" s="40" t="n">
        <x:f>F2977-E2977</x:f>
        <x:v>-1.7564430236816406</x:v>
      </x:c>
      <x:c r="I2977" s="40" t="n">
        <x:f>ABS(H2977)</x:f>
        <x:v>1.7564430236816406</x:v>
      </x:c>
      <x:c r="J2977" s="40" t="n">
        <x:f>H2977^2</x:f>
        <x:v>3.0850920954399044</x:v>
      </x:c>
      <x:c r="K2977" s="40" t="n">
        <x:f>G2977-E2977</x:f>
        <x:v>0</x:v>
      </x:c>
      <x:c r="L2977" s="40" t="n">
        <x:f>ABS(K2977)</x:f>
        <x:v>0</x:v>
      </x:c>
      <x:c r="M2977" s="41" t="str">
        <x:v>lstm-soil-v1</x:v>
      </x:c>
    </x:row>
    <x:row r="2978">
      <x:c r="A2978" s="38" t="str">
        <x:v>7月30日现场数据</x:v>
      </x:c>
      <x:c r="B2978" s="39" t="str">
        <x:v>2026-08-03T03:30:00</x:v>
      </x:c>
      <x:c r="C2978" s="39" t="str">
        <x:v>2026-08-03T04:00:00</x:v>
      </x:c>
      <x:c r="D2978" s="47" t="n">
        <x:v>30</x:v>
      </x:c>
      <x:c r="E2978" s="40" t="n">
        <x:v>14.5</x:v>
      </x:c>
      <x:c r="F2978" s="40" t="n">
        <x:v>13.210002899169922</x:v>
      </x:c>
      <x:c r="G2978" s="40" t="n">
        <x:v>14.5</x:v>
      </x:c>
      <x:c r="H2978" s="40" t="n">
        <x:f>F2978-E2978</x:f>
        <x:v>-1.2899971008300781</x:v>
      </x:c>
      <x:c r="I2978" s="40" t="n">
        <x:f>ABS(H2978)</x:f>
        <x:v>1.2899971008300781</x:v>
      </x:c>
      <x:c r="J2978" s="40" t="n">
        <x:f>H2978^2</x:f>
        <x:v>1.6640925201500067</x:v>
      </x:c>
      <x:c r="K2978" s="40" t="n">
        <x:f>G2978-E2978</x:f>
        <x:v>0</x:v>
      </x:c>
      <x:c r="L2978" s="40" t="n">
        <x:f>ABS(K2978)</x:f>
        <x:v>0</x:v>
      </x:c>
      <x:c r="M2978" s="41" t="str">
        <x:v>lstm-soil-v1</x:v>
      </x:c>
    </x:row>
    <x:row r="2979">
      <x:c r="A2979" s="38" t="str">
        <x:v>7月30日现场数据</x:v>
      </x:c>
      <x:c r="B2979" s="39" t="str">
        <x:v>2026-08-03T03:30:00</x:v>
      </x:c>
      <x:c r="C2979" s="39" t="str">
        <x:v>2026-08-03T04:30:00</x:v>
      </x:c>
      <x:c r="D2979" s="47" t="n">
        <x:v>60</x:v>
      </x:c>
      <x:c r="E2979" s="40" t="n">
        <x:v>14.5</x:v>
      </x:c>
      <x:c r="F2979" s="40" t="n">
        <x:v>14.77215576171875</x:v>
      </x:c>
      <x:c r="G2979" s="40" t="n">
        <x:v>14.5</x:v>
      </x:c>
      <x:c r="H2979" s="40" t="n">
        <x:f>F2979-E2979</x:f>
        <x:v>0.27215576171875</x:v>
      </x:c>
      <x:c r="I2979" s="40" t="n">
        <x:f>ABS(H2979)</x:f>
        <x:v>0.27215576171875</x:v>
      </x:c>
      <x:c r="J2979" s="40" t="n">
        <x:f>H2979^2</x:f>
        <x:v>0.07406875863671303</x:v>
      </x:c>
      <x:c r="K2979" s="40" t="n">
        <x:f>G2979-E2979</x:f>
        <x:v>0</x:v>
      </x:c>
      <x:c r="L2979" s="40" t="n">
        <x:f>ABS(K2979)</x:f>
        <x:v>0</x:v>
      </x:c>
      <x:c r="M2979" s="41" t="str">
        <x:v>lstm-soil-v1</x:v>
      </x:c>
    </x:row>
    <x:row r="2980">
      <x:c r="A2980" s="38" t="str">
        <x:v>7月30日现场数据</x:v>
      </x:c>
      <x:c r="B2980" s="39" t="str">
        <x:v>2026-08-03T03:35:00</x:v>
      </x:c>
      <x:c r="C2980" s="39" t="str">
        <x:v>2026-08-03T03:40:00</x:v>
      </x:c>
      <x:c r="D2980" s="47" t="n">
        <x:v>5</x:v>
      </x:c>
      <x:c r="E2980" s="40" t="n">
        <x:v>14.5</x:v>
      </x:c>
      <x:c r="F2980" s="40" t="n">
        <x:v>12.679943084716797</x:v>
      </x:c>
      <x:c r="G2980" s="40" t="n">
        <x:v>14.5</x:v>
      </x:c>
      <x:c r="H2980" s="40" t="n">
        <x:f>F2980-E2980</x:f>
        <x:v>-1.8200569152832031</x:v>
      </x:c>
      <x:c r="I2980" s="40" t="n">
        <x:f>ABS(H2980)</x:f>
        <x:v>1.8200569152832031</x:v>
      </x:c>
      <x:c r="J2980" s="40" t="n">
        <x:f>H2980^2</x:f>
        <x:v>3.312607174870209</x:v>
      </x:c>
      <x:c r="K2980" s="40" t="n">
        <x:f>G2980-E2980</x:f>
        <x:v>0</x:v>
      </x:c>
      <x:c r="L2980" s="40" t="n">
        <x:f>ABS(K2980)</x:f>
        <x:v>0</x:v>
      </x:c>
      <x:c r="M2980" s="41" t="str">
        <x:v>lstm-soil-v1</x:v>
      </x:c>
    </x:row>
    <x:row r="2981">
      <x:c r="A2981" s="38" t="str">
        <x:v>7月30日现场数据</x:v>
      </x:c>
      <x:c r="B2981" s="39" t="str">
        <x:v>2026-08-03T03:35:00</x:v>
      </x:c>
      <x:c r="C2981" s="39" t="str">
        <x:v>2026-08-03T03:50:00</x:v>
      </x:c>
      <x:c r="D2981" s="47" t="n">
        <x:v>15</x:v>
      </x:c>
      <x:c r="E2981" s="40" t="n">
        <x:v>14.5</x:v>
      </x:c>
      <x:c r="F2981" s="40" t="n">
        <x:v>12.743629455566406</x:v>
      </x:c>
      <x:c r="G2981" s="40" t="n">
        <x:v>14.5</x:v>
      </x:c>
      <x:c r="H2981" s="40" t="n">
        <x:f>F2981-E2981</x:f>
        <x:v>-1.7563705444335938</x:v>
      </x:c>
      <x:c r="I2981" s="40" t="n">
        <x:f>ABS(H2981)</x:f>
        <x:v>1.7563705444335938</x:v>
      </x:c>
      <x:c r="J2981" s="40" t="n">
        <x:f>H2981^2</x:f>
        <x:v>3.0848374893539585</x:v>
      </x:c>
      <x:c r="K2981" s="40" t="n">
        <x:f>G2981-E2981</x:f>
        <x:v>0</x:v>
      </x:c>
      <x:c r="L2981" s="40" t="n">
        <x:f>ABS(K2981)</x:f>
        <x:v>0</x:v>
      </x:c>
      <x:c r="M2981" s="41" t="str">
        <x:v>lstm-soil-v1</x:v>
      </x:c>
    </x:row>
    <x:row r="2982">
      <x:c r="A2982" s="38" t="str">
        <x:v>7月30日现场数据</x:v>
      </x:c>
      <x:c r="B2982" s="39" t="str">
        <x:v>2026-08-03T03:35:00</x:v>
      </x:c>
      <x:c r="C2982" s="39" t="str">
        <x:v>2026-08-03T04:05:00</x:v>
      </x:c>
      <x:c r="D2982" s="47" t="n">
        <x:v>30</x:v>
      </x:c>
      <x:c r="E2982" s="40" t="n">
        <x:v>14.5</x:v>
      </x:c>
      <x:c r="F2982" s="40" t="n">
        <x:v>13.210498809814453</x:v>
      </x:c>
      <x:c r="G2982" s="40" t="n">
        <x:v>14.5</x:v>
      </x:c>
      <x:c r="H2982" s="40" t="n">
        <x:f>F2982-E2982</x:f>
        <x:v>-1.2895011901855469</x:v>
      </x:c>
      <x:c r="I2982" s="40" t="n">
        <x:f>ABS(H2982)</x:f>
        <x:v>1.2895011901855469</x:v>
      </x:c>
      <x:c r="J2982" s="40" t="n">
        <x:f>H2982^2</x:f>
        <x:v>1.662813319489942</x:v>
      </x:c>
      <x:c r="K2982" s="40" t="n">
        <x:f>G2982-E2982</x:f>
        <x:v>0</x:v>
      </x:c>
      <x:c r="L2982" s="40" t="n">
        <x:f>ABS(K2982)</x:f>
        <x:v>0</x:v>
      </x:c>
      <x:c r="M2982" s="41" t="str">
        <x:v>lstm-soil-v1</x:v>
      </x:c>
    </x:row>
    <x:row r="2983">
      <x:c r="A2983" s="38" t="str">
        <x:v>7月30日现场数据</x:v>
      </x:c>
      <x:c r="B2983" s="39" t="str">
        <x:v>2026-08-03T03:35:00</x:v>
      </x:c>
      <x:c r="C2983" s="39" t="str">
        <x:v>2026-08-03T04:35:00</x:v>
      </x:c>
      <x:c r="D2983" s="47" t="n">
        <x:v>60</x:v>
      </x:c>
      <x:c r="E2983" s="40" t="n">
        <x:v>14.5</x:v>
      </x:c>
      <x:c r="F2983" s="40" t="n">
        <x:v>14.772655487060547</x:v>
      </x:c>
      <x:c r="G2983" s="40" t="n">
        <x:v>14.5</x:v>
      </x:c>
      <x:c r="H2983" s="40" t="n">
        <x:f>F2983-E2983</x:f>
        <x:v>0.2726554870605469</x:v>
      </x:c>
      <x:c r="I2983" s="40" t="n">
        <x:f>ABS(H2983)</x:f>
        <x:v>0.2726554870605469</x:v>
      </x:c>
      <x:c r="J2983" s="40" t="n">
        <x:f>H2983^2</x:f>
        <x:v>0.07434101462422404</x:v>
      </x:c>
      <x:c r="K2983" s="40" t="n">
        <x:f>G2983-E2983</x:f>
        <x:v>0</x:v>
      </x:c>
      <x:c r="L2983" s="40" t="n">
        <x:f>ABS(K2983)</x:f>
        <x:v>0</x:v>
      </x:c>
      <x:c r="M2983" s="41" t="str">
        <x:v>lstm-soil-v1</x:v>
      </x:c>
    </x:row>
    <x:row r="2984">
      <x:c r="A2984" s="38" t="str">
        <x:v>7月30日现场数据</x:v>
      </x:c>
      <x:c r="B2984" s="39" t="str">
        <x:v>2026-08-03T03:40:00</x:v>
      </x:c>
      <x:c r="C2984" s="39" t="str">
        <x:v>2026-08-03T03:45:00</x:v>
      </x:c>
      <x:c r="D2984" s="47" t="n">
        <x:v>5</x:v>
      </x:c>
      <x:c r="E2984" s="40" t="n">
        <x:v>14.5</x:v>
      </x:c>
      <x:c r="F2984" s="40" t="n">
        <x:v>12.680164337158203</x:v>
      </x:c>
      <x:c r="G2984" s="40" t="n">
        <x:v>14.5</x:v>
      </x:c>
      <x:c r="H2984" s="40" t="n">
        <x:f>F2984-E2984</x:f>
        <x:v>-1.8198356628417969</x:v>
      </x:c>
      <x:c r="I2984" s="40" t="n">
        <x:f>ABS(H2984)</x:f>
        <x:v>1.8198356628417969</x:v>
      </x:c>
      <x:c r="J2984" s="40" t="n">
        <x:f>H2984^2</x:f>
        <x:v>3.311801839750842</x:v>
      </x:c>
      <x:c r="K2984" s="40" t="n">
        <x:f>G2984-E2984</x:f>
        <x:v>0</x:v>
      </x:c>
      <x:c r="L2984" s="40" t="n">
        <x:f>ABS(K2984)</x:f>
        <x:v>0</x:v>
      </x:c>
      <x:c r="M2984" s="41" t="str">
        <x:v>lstm-soil-v1</x:v>
      </x:c>
    </x:row>
    <x:row r="2985">
      <x:c r="A2985" s="38" t="str">
        <x:v>7月30日现场数据</x:v>
      </x:c>
      <x:c r="B2985" s="39" t="str">
        <x:v>2026-08-03T03:40:00</x:v>
      </x:c>
      <x:c r="C2985" s="39" t="str">
        <x:v>2026-08-03T03:55:00</x:v>
      </x:c>
      <x:c r="D2985" s="47" t="n">
        <x:v>15</x:v>
      </x:c>
      <x:c r="E2985" s="40" t="n">
        <x:v>14.5</x:v>
      </x:c>
      <x:c r="F2985" s="40" t="n">
        <x:v>12.743724822998047</x:v>
      </x:c>
      <x:c r="G2985" s="40" t="n">
        <x:v>14.5</x:v>
      </x:c>
      <x:c r="H2985" s="40" t="n">
        <x:f>F2985-E2985</x:f>
        <x:v>-1.7562751770019531</x:v>
      </x:c>
      <x:c r="I2985" s="40" t="n">
        <x:f>ABS(H2985)</x:f>
        <x:v>1.7562751770019531</x:v>
      </x:c>
      <x:c r="J2985" s="40" t="n">
        <x:f>H2985^2</x:f>
        <x:v>3.084502497353242</x:v>
      </x:c>
      <x:c r="K2985" s="40" t="n">
        <x:f>G2985-E2985</x:f>
        <x:v>0</x:v>
      </x:c>
      <x:c r="L2985" s="40" t="n">
        <x:f>ABS(K2985)</x:f>
        <x:v>0</x:v>
      </x:c>
      <x:c r="M2985" s="41" t="str">
        <x:v>lstm-soil-v1</x:v>
      </x:c>
    </x:row>
    <x:row r="2986">
      <x:c r="A2986" s="38" t="str">
        <x:v>7月30日现场数据</x:v>
      </x:c>
      <x:c r="B2986" s="39" t="str">
        <x:v>2026-08-03T03:40:00</x:v>
      </x:c>
      <x:c r="C2986" s="39" t="str">
        <x:v>2026-08-03T04:10:00</x:v>
      </x:c>
      <x:c r="D2986" s="47" t="n">
        <x:v>30</x:v>
      </x:c>
      <x:c r="E2986" s="40" t="n">
        <x:v>14.5</x:v>
      </x:c>
      <x:c r="F2986" s="40" t="n">
        <x:v>13.210868835449219</x:v>
      </x:c>
      <x:c r="G2986" s="40" t="n">
        <x:v>14.5</x:v>
      </x:c>
      <x:c r="H2986" s="40" t="n">
        <x:f>F2986-E2986</x:f>
        <x:v>-1.2891311645507812</x:v>
      </x:c>
      <x:c r="I2986" s="40" t="n">
        <x:f>ABS(H2986)</x:f>
        <x:v>1.2891311645507812</x:v>
      </x:c>
      <x:c r="J2986" s="40" t="n">
        <x:f>H2986^2</x:f>
        <x:v>1.6618591594160534</x:v>
      </x:c>
      <x:c r="K2986" s="40" t="n">
        <x:f>G2986-E2986</x:f>
        <x:v>0</x:v>
      </x:c>
      <x:c r="L2986" s="40" t="n">
        <x:f>ABS(K2986)</x:f>
        <x:v>0</x:v>
      </x:c>
      <x:c r="M2986" s="41" t="str">
        <x:v>lstm-soil-v1</x:v>
      </x:c>
    </x:row>
    <x:row r="2987">
      <x:c r="A2987" s="38" t="str">
        <x:v>7月30日现场数据</x:v>
      </x:c>
      <x:c r="B2987" s="39" t="str">
        <x:v>2026-08-03T03:40:00</x:v>
      </x:c>
      <x:c r="C2987" s="39" t="str">
        <x:v>2026-08-03T04:40:00</x:v>
      </x:c>
      <x:c r="D2987" s="47" t="n">
        <x:v>60</x:v>
      </x:c>
      <x:c r="E2987" s="40" t="n">
        <x:v>14.5</x:v>
      </x:c>
      <x:c r="F2987" s="40" t="n">
        <x:v>14.773033142089844</x:v>
      </x:c>
      <x:c r="G2987" s="40" t="n">
        <x:v>14.5</x:v>
      </x:c>
      <x:c r="H2987" s="40" t="n">
        <x:f>F2987-E2987</x:f>
        <x:v>0.27303314208984375</x:v>
      </x:c>
      <x:c r="I2987" s="40" t="n">
        <x:f>ABS(H2987)</x:f>
        <x:v>0.27303314208984375</x:v>
      </x:c>
      <x:c r="J2987" s="40" t="n">
        <x:f>H2987^2</x:f>
        <x:v>0.0745470966794528</x:v>
      </x:c>
      <x:c r="K2987" s="40" t="n">
        <x:f>G2987-E2987</x:f>
        <x:v>0</x:v>
      </x:c>
      <x:c r="L2987" s="40" t="n">
        <x:f>ABS(K2987)</x:f>
        <x:v>0</x:v>
      </x:c>
      <x:c r="M2987" s="41" t="str">
        <x:v>lstm-soil-v1</x:v>
      </x:c>
    </x:row>
    <x:row r="2988">
      <x:c r="A2988" s="38" t="str">
        <x:v>7月30日现场数据</x:v>
      </x:c>
      <x:c r="B2988" s="39" t="str">
        <x:v>2026-08-03T03:45:00</x:v>
      </x:c>
      <x:c r="C2988" s="39" t="str">
        <x:v>2026-08-03T03:50:00</x:v>
      </x:c>
      <x:c r="D2988" s="47" t="n">
        <x:v>5</x:v>
      </x:c>
      <x:c r="E2988" s="40" t="n">
        <x:v>14.5</x:v>
      </x:c>
      <x:c r="F2988" s="40" t="n">
        <x:v>12.680343627929688</x:v>
      </x:c>
      <x:c r="G2988" s="40" t="n">
        <x:v>14.5</x:v>
      </x:c>
      <x:c r="H2988" s="40" t="n">
        <x:f>F2988-E2988</x:f>
        <x:v>-1.8196563720703125</x:v>
      </x:c>
      <x:c r="I2988" s="40" t="n">
        <x:f>ABS(H2988)</x:f>
        <x:v>1.8196563720703125</x:v>
      </x:c>
      <x:c r="J2988" s="40" t="n">
        <x:f>H2988^2</x:f>
        <x:v>3.3111493124160916</x:v>
      </x:c>
      <x:c r="K2988" s="40" t="n">
        <x:f>G2988-E2988</x:f>
        <x:v>0</x:v>
      </x:c>
      <x:c r="L2988" s="40" t="n">
        <x:f>ABS(K2988)</x:f>
        <x:v>0</x:v>
      </x:c>
      <x:c r="M2988" s="41" t="str">
        <x:v>lstm-soil-v1</x:v>
      </x:c>
    </x:row>
    <x:row r="2989">
      <x:c r="A2989" s="38" t="str">
        <x:v>7月30日现场数据</x:v>
      </x:c>
      <x:c r="B2989" s="39" t="str">
        <x:v>2026-08-03T03:45:00</x:v>
      </x:c>
      <x:c r="C2989" s="39" t="str">
        <x:v>2026-08-03T04:00:00</x:v>
      </x:c>
      <x:c r="D2989" s="47" t="n">
        <x:v>15</x:v>
      </x:c>
      <x:c r="E2989" s="40" t="n">
        <x:v>14.5</x:v>
      </x:c>
      <x:c r="F2989" s="40" t="n">
        <x:v>12.743816375732422</x:v>
      </x:c>
      <x:c r="G2989" s="40" t="n">
        <x:v>14.5</x:v>
      </x:c>
      <x:c r="H2989" s="40" t="n">
        <x:f>F2989-E2989</x:f>
        <x:v>-1.7561836242675781</x:v>
      </x:c>
      <x:c r="I2989" s="40" t="n">
        <x:f>ABS(H2989)</x:f>
        <x:v>1.7561836242675781</x:v>
      </x:c>
      <x:c r="J2989" s="40" t="n">
        <x:f>H2989^2</x:f>
        <x:v>3.084180922145606</x:v>
      </x:c>
      <x:c r="K2989" s="40" t="n">
        <x:f>G2989-E2989</x:f>
        <x:v>0</x:v>
      </x:c>
      <x:c r="L2989" s="40" t="n">
        <x:f>ABS(K2989)</x:f>
        <x:v>0</x:v>
      </x:c>
      <x:c r="M2989" s="41" t="str">
        <x:v>lstm-soil-v1</x:v>
      </x:c>
    </x:row>
    <x:row r="2990">
      <x:c r="A2990" s="38" t="str">
        <x:v>7月30日现场数据</x:v>
      </x:c>
      <x:c r="B2990" s="39" t="str">
        <x:v>2026-08-03T03:45:00</x:v>
      </x:c>
      <x:c r="C2990" s="39" t="str">
        <x:v>2026-08-03T04:15:00</x:v>
      </x:c>
      <x:c r="D2990" s="47" t="n">
        <x:v>30</x:v>
      </x:c>
      <x:c r="E2990" s="40" t="n">
        <x:v>14.5</x:v>
      </x:c>
      <x:c r="F2990" s="40" t="n">
        <x:v>13.211124420166016</x:v>
      </x:c>
      <x:c r="G2990" s="40" t="n">
        <x:v>14.5</x:v>
      </x:c>
      <x:c r="H2990" s="40" t="n">
        <x:f>F2990-E2990</x:f>
        <x:v>-1.2888755798339844</x:v>
      </x:c>
      <x:c r="I2990" s="40" t="n">
        <x:f>ABS(H2990)</x:f>
        <x:v>1.2888755798339844</x:v>
      </x:c>
      <x:c r="J2990" s="40" t="n">
        <x:f>H2990^2</x:f>
        <x:v>1.6612002602923894</x:v>
      </x:c>
      <x:c r="K2990" s="40" t="n">
        <x:f>G2990-E2990</x:f>
        <x:v>0</x:v>
      </x:c>
      <x:c r="L2990" s="40" t="n">
        <x:f>ABS(K2990)</x:f>
        <x:v>0</x:v>
      </x:c>
      <x:c r="M2990" s="41" t="str">
        <x:v>lstm-soil-v1</x:v>
      </x:c>
    </x:row>
    <x:row r="2991">
      <x:c r="A2991" s="38" t="str">
        <x:v>7月30日现场数据</x:v>
      </x:c>
      <x:c r="B2991" s="39" t="str">
        <x:v>2026-08-03T03:45:00</x:v>
      </x:c>
      <x:c r="C2991" s="39" t="str">
        <x:v>2026-08-03T04:45:00</x:v>
      </x:c>
      <x:c r="D2991" s="47" t="n">
        <x:v>60</x:v>
      </x:c>
      <x:c r="E2991" s="40" t="n">
        <x:v>14.5</x:v>
      </x:c>
      <x:c r="F2991" s="40" t="n">
        <x:v>14.773300170898438</x:v>
      </x:c>
      <x:c r="G2991" s="40" t="n">
        <x:v>14.5</x:v>
      </x:c>
      <x:c r="H2991" s="40" t="n">
        <x:f>F2991-E2991</x:f>
        <x:v>0.2733001708984375</x:v>
      </x:c>
      <x:c r="I2991" s="40" t="n">
        <x:f>ABS(H2991)</x:f>
        <x:v>0.2733001708984375</x:v>
      </x:c>
      <x:c r="J2991" s="40" t="n">
        <x:f>H2991^2</x:f>
        <x:v>0.07469298341311514</x:v>
      </x:c>
      <x:c r="K2991" s="40" t="n">
        <x:f>G2991-E2991</x:f>
        <x:v>0</x:v>
      </x:c>
      <x:c r="L2991" s="40" t="n">
        <x:f>ABS(K2991)</x:f>
        <x:v>0</x:v>
      </x:c>
      <x:c r="M2991" s="41" t="str">
        <x:v>lstm-soil-v1</x:v>
      </x:c>
    </x:row>
    <x:row r="2992">
      <x:c r="A2992" s="38" t="str">
        <x:v>7月30日现场数据</x:v>
      </x:c>
      <x:c r="B2992" s="39" t="str">
        <x:v>2026-08-03T03:50:00</x:v>
      </x:c>
      <x:c r="C2992" s="39" t="str">
        <x:v>2026-08-03T03:55:00</x:v>
      </x:c>
      <x:c r="D2992" s="47" t="n">
        <x:v>5</x:v>
      </x:c>
      <x:c r="E2992" s="40" t="n">
        <x:v>14.5</x:v>
      </x:c>
      <x:c r="F2992" s="40" t="n">
        <x:v>12.68050765991211</x:v>
      </x:c>
      <x:c r="G2992" s="40" t="n">
        <x:v>14.5</x:v>
      </x:c>
      <x:c r="H2992" s="40" t="n">
        <x:f>F2992-E2992</x:f>
        <x:v>-1.8194923400878906</x:v>
      </x:c>
      <x:c r="I2992" s="40" t="n">
        <x:f>ABS(H2992)</x:f>
        <x:v>1.8194923400878906</x:v>
      </x:c>
      <x:c r="J2992" s="40" t="n">
        <x:f>H2992^2</x:f>
        <x:v>3.3105523756385082</x:v>
      </x:c>
      <x:c r="K2992" s="40" t="n">
        <x:f>G2992-E2992</x:f>
        <x:v>0</x:v>
      </x:c>
      <x:c r="L2992" s="40" t="n">
        <x:f>ABS(K2992)</x:f>
        <x:v>0</x:v>
      </x:c>
      <x:c r="M2992" s="41" t="str">
        <x:v>lstm-soil-v1</x:v>
      </x:c>
    </x:row>
    <x:row r="2993">
      <x:c r="A2993" s="38" t="str">
        <x:v>7月30日现场数据</x:v>
      </x:c>
      <x:c r="B2993" s="39" t="str">
        <x:v>2026-08-03T03:50:00</x:v>
      </x:c>
      <x:c r="C2993" s="39" t="str">
        <x:v>2026-08-03T04:05:00</x:v>
      </x:c>
      <x:c r="D2993" s="47" t="n">
        <x:v>15</x:v>
      </x:c>
      <x:c r="E2993" s="40" t="n">
        <x:v>14.5</x:v>
      </x:c>
      <x:c r="F2993" s="40" t="n">
        <x:v>12.74393081665039</x:v>
      </x:c>
      <x:c r="G2993" s="40" t="n">
        <x:v>14.5</x:v>
      </x:c>
      <x:c r="H2993" s="40" t="n">
        <x:f>F2993-E2993</x:f>
        <x:v>-1.7560691833496094</x:v>
      </x:c>
      <x:c r="I2993" s="40" t="n">
        <x:f>ABS(H2993)</x:f>
        <x:v>1.7560691833496094</x:v>
      </x:c>
      <x:c r="J2993" s="40" t="n">
        <x:f>H2993^2</x:f>
        <x:v>3.083778976710164</x:v>
      </x:c>
      <x:c r="K2993" s="40" t="n">
        <x:f>G2993-E2993</x:f>
        <x:v>0</x:v>
      </x:c>
      <x:c r="L2993" s="40" t="n">
        <x:f>ABS(K2993)</x:f>
        <x:v>0</x:v>
      </x:c>
      <x:c r="M2993" s="41" t="str">
        <x:v>lstm-soil-v1</x:v>
      </x:c>
    </x:row>
    <x:row r="2994">
      <x:c r="A2994" s="38" t="str">
        <x:v>7月30日现场数据</x:v>
      </x:c>
      <x:c r="B2994" s="39" t="str">
        <x:v>2026-08-03T03:50:00</x:v>
      </x:c>
      <x:c r="C2994" s="39" t="str">
        <x:v>2026-08-03T04:20:00</x:v>
      </x:c>
      <x:c r="D2994" s="47" t="n">
        <x:v>30</x:v>
      </x:c>
      <x:c r="E2994" s="40" t="n">
        <x:v>14.5</x:v>
      </x:c>
      <x:c r="F2994" s="40" t="n">
        <x:v>13.211341857910156</x:v>
      </x:c>
      <x:c r="G2994" s="40" t="n">
        <x:v>14.5</x:v>
      </x:c>
      <x:c r="H2994" s="40" t="n">
        <x:f>F2994-E2994</x:f>
        <x:v>-1.2886581420898438</x:v>
      </x:c>
      <x:c r="I2994" s="40" t="n">
        <x:f>ABS(H2994)</x:f>
        <x:v>1.2886581420898438</x:v>
      </x:c>
      <x:c r="J2994" s="40" t="n">
        <x:f>H2994^2</x:f>
        <x:v>1.660639807174448</x:v>
      </x:c>
      <x:c r="K2994" s="40" t="n">
        <x:f>G2994-E2994</x:f>
        <x:v>0</x:v>
      </x:c>
      <x:c r="L2994" s="40" t="n">
        <x:f>ABS(K2994)</x:f>
        <x:v>0</x:v>
      </x:c>
      <x:c r="M2994" s="41" t="str">
        <x:v>lstm-soil-v1</x:v>
      </x:c>
    </x:row>
    <x:row r="2995">
      <x:c r="A2995" s="38" t="str">
        <x:v>7月30日现场数据</x:v>
      </x:c>
      <x:c r="B2995" s="39" t="str">
        <x:v>2026-08-03T03:50:00</x:v>
      </x:c>
      <x:c r="C2995" s="39" t="str">
        <x:v>2026-08-03T04:50:00</x:v>
      </x:c>
      <x:c r="D2995" s="47" t="n">
        <x:v>60</x:v>
      </x:c>
      <x:c r="E2995" s="40" t="n">
        <x:v>14.5</x:v>
      </x:c>
      <x:c r="F2995" s="40" t="n">
        <x:v>14.773502349853516</x:v>
      </x:c>
      <x:c r="G2995" s="40" t="n">
        <x:v>14.5</x:v>
      </x:c>
      <x:c r="H2995" s="40" t="n">
        <x:f>F2995-E2995</x:f>
        <x:v>0.2735023498535156</x:v>
      </x:c>
      <x:c r="I2995" s="40" t="n">
        <x:f>ABS(H2995)</x:f>
        <x:v>0.2735023498535156</x:v>
      </x:c>
      <x:c r="J2995" s="40" t="n">
        <x:f>H2995^2</x:f>
        <x:v>0.07480353537539486</x:v>
      </x:c>
      <x:c r="K2995" s="40" t="n">
        <x:f>G2995-E2995</x:f>
        <x:v>0</x:v>
      </x:c>
      <x:c r="L2995" s="40" t="n">
        <x:f>ABS(K2995)</x:f>
        <x:v>0</x:v>
      </x:c>
      <x:c r="M2995" s="41" t="str">
        <x:v>lstm-soil-v1</x:v>
      </x:c>
    </x:row>
    <x:row r="2996">
      <x:c r="A2996" s="38" t="str">
        <x:v>7月30日现场数据</x:v>
      </x:c>
      <x:c r="B2996" s="39" t="str">
        <x:v>2026-08-03T03:55:00</x:v>
      </x:c>
      <x:c r="C2996" s="39" t="str">
        <x:v>2026-08-03T04:00:00</x:v>
      </x:c>
      <x:c r="D2996" s="47" t="n">
        <x:v>5</x:v>
      </x:c>
      <x:c r="E2996" s="40" t="n">
        <x:v>14.5</x:v>
      </x:c>
      <x:c r="F2996" s="40" t="n">
        <x:v>12.680622100830078</x:v>
      </x:c>
      <x:c r="G2996" s="40" t="n">
        <x:v>14.5</x:v>
      </x:c>
      <x:c r="H2996" s="40" t="n">
        <x:f>F2996-E2996</x:f>
        <x:v>-1.8193778991699219</x:v>
      </x:c>
      <x:c r="I2996" s="40" t="n">
        <x:f>ABS(H2996)</x:f>
        <x:v>1.8193778991699219</x:v>
      </x:c>
      <x:c r="J2996" s="40" t="n">
        <x:f>H2996^2</x:f>
        <x:v>3.3101359399879584</x:v>
      </x:c>
      <x:c r="K2996" s="40" t="n">
        <x:f>G2996-E2996</x:f>
        <x:v>0</x:v>
      </x:c>
      <x:c r="L2996" s="40" t="n">
        <x:f>ABS(K2996)</x:f>
        <x:v>0</x:v>
      </x:c>
      <x:c r="M2996" s="41" t="str">
        <x:v>lstm-soil-v1</x:v>
      </x:c>
    </x:row>
    <x:row r="2997">
      <x:c r="A2997" s="38" t="str">
        <x:v>7月30日现场数据</x:v>
      </x:c>
      <x:c r="B2997" s="39" t="str">
        <x:v>2026-08-03T03:55:00</x:v>
      </x:c>
      <x:c r="C2997" s="39" t="str">
        <x:v>2026-08-03T04:10:00</x:v>
      </x:c>
      <x:c r="D2997" s="47" t="n">
        <x:v>15</x:v>
      </x:c>
      <x:c r="E2997" s="40" t="n">
        <x:v>14.5</x:v>
      </x:c>
      <x:c r="F2997" s="40" t="n">
        <x:v>12.744010925292969</x:v>
      </x:c>
      <x:c r="G2997" s="40" t="n">
        <x:v>14.5</x:v>
      </x:c>
      <x:c r="H2997" s="40" t="n">
        <x:f>F2997-E2997</x:f>
        <x:v>-1.7559890747070312</x:v>
      </x:c>
      <x:c r="I2997" s="40" t="n">
        <x:f>ABS(H2997)</x:f>
        <x:v>1.7559890747070312</x:v>
      </x:c>
      <x:c r="J2997" s="40" t="n">
        <x:f>H2997^2</x:f>
        <x:v>3.0834976304904558</x:v>
      </x:c>
      <x:c r="K2997" s="40" t="n">
        <x:f>G2997-E2997</x:f>
        <x:v>0</x:v>
      </x:c>
      <x:c r="L2997" s="40" t="n">
        <x:f>ABS(K2997)</x:f>
        <x:v>0</x:v>
      </x:c>
      <x:c r="M2997" s="41" t="str">
        <x:v>lstm-soil-v1</x:v>
      </x:c>
    </x:row>
    <x:row r="2998">
      <x:c r="A2998" s="38" t="str">
        <x:v>7月30日现场数据</x:v>
      </x:c>
      <x:c r="B2998" s="39" t="str">
        <x:v>2026-08-03T03:55:00</x:v>
      </x:c>
      <x:c r="C2998" s="39" t="str">
        <x:v>2026-08-03T04:25:00</x:v>
      </x:c>
      <x:c r="D2998" s="47" t="n">
        <x:v>30</x:v>
      </x:c>
      <x:c r="E2998" s="40" t="n">
        <x:v>14.5</x:v>
      </x:c>
      <x:c r="F2998" s="40" t="n">
        <x:v>13.211467742919922</x:v>
      </x:c>
      <x:c r="G2998" s="40" t="n">
        <x:v>14.5</x:v>
      </x:c>
      <x:c r="H2998" s="40" t="n">
        <x:f>F2998-E2998</x:f>
        <x:v>-1.2885322570800781</x:v>
      </x:c>
      <x:c r="I2998" s="40" t="n">
        <x:f>ABS(H2998)</x:f>
        <x:v>1.2885322570800781</x:v>
      </x:c>
      <x:c r="J2998" s="40" t="n">
        <x:f>H2998^2</x:f>
        <x:v>1.6603153775358805</x:v>
      </x:c>
      <x:c r="K2998" s="40" t="n">
        <x:f>G2998-E2998</x:f>
        <x:v>0</x:v>
      </x:c>
      <x:c r="L2998" s="40" t="n">
        <x:f>ABS(K2998)</x:f>
        <x:v>0</x:v>
      </x:c>
      <x:c r="M2998" s="41" t="str">
        <x:v>lstm-soil-v1</x:v>
      </x:c>
    </x:row>
    <x:row r="2999">
      <x:c r="A2999" s="38" t="str">
        <x:v>7月30日现场数据</x:v>
      </x:c>
      <x:c r="B2999" s="39" t="str">
        <x:v>2026-08-03T03:55:00</x:v>
      </x:c>
      <x:c r="C2999" s="39" t="str">
        <x:v>2026-08-03T04:55:00</x:v>
      </x:c>
      <x:c r="D2999" s="47" t="n">
        <x:v>60</x:v>
      </x:c>
      <x:c r="E2999" s="40" t="n">
        <x:v>14.5</x:v>
      </x:c>
      <x:c r="F2999" s="40" t="n">
        <x:v>14.773632049560547</x:v>
      </x:c>
      <x:c r="G2999" s="40" t="n">
        <x:v>14.5</x:v>
      </x:c>
      <x:c r="H2999" s="40" t="n">
        <x:f>F2999-E2999</x:f>
        <x:v>0.2736320495605469</x:v>
      </x:c>
      <x:c r="I2999" s="40" t="n">
        <x:f>ABS(H2999)</x:f>
        <x:v>0.2736320495605469</x:v>
      </x:c>
      <x:c r="J2999" s="40" t="n">
        <x:f>H2999^2</x:f>
        <x:v>0.07487449854670558</x:v>
      </x:c>
      <x:c r="K2999" s="40" t="n">
        <x:f>G2999-E2999</x:f>
        <x:v>0</x:v>
      </x:c>
      <x:c r="L2999" s="40" t="n">
        <x:f>ABS(K2999)</x:f>
        <x:v>0</x:v>
      </x:c>
      <x:c r="M2999" s="41" t="str">
        <x:v>lstm-soil-v1</x:v>
      </x:c>
    </x:row>
    <x:row r="3000">
      <x:c r="A3000" s="38" t="str">
        <x:v>7月30日现场数据</x:v>
      </x:c>
      <x:c r="B3000" s="39" t="str">
        <x:v>2026-08-03T04:00:00</x:v>
      </x:c>
      <x:c r="C3000" s="39" t="str">
        <x:v>2026-08-03T04:05:00</x:v>
      </x:c>
      <x:c r="D3000" s="47" t="n">
        <x:v>5</x:v>
      </x:c>
      <x:c r="E3000" s="40" t="n">
        <x:v>14.5</x:v>
      </x:c>
      <x:c r="F3000" s="40" t="n">
        <x:v>12.679248809814453</x:v>
      </x:c>
      <x:c r="G3000" s="40" t="n">
        <x:v>14.5</x:v>
      </x:c>
      <x:c r="H3000" s="40" t="n">
        <x:f>F3000-E3000</x:f>
        <x:v>-1.8207511901855469</x:v>
      </x:c>
      <x:c r="I3000" s="40" t="n">
        <x:f>ABS(H3000)</x:f>
        <x:v>1.8207511901855469</x:v>
      </x:c>
      <x:c r="J3000" s="40" t="n">
        <x:f>H3000^2</x:f>
        <x:v>3.3151348965620855</x:v>
      </x:c>
      <x:c r="K3000" s="40" t="n">
        <x:f>G3000-E3000</x:f>
        <x:v>0</x:v>
      </x:c>
      <x:c r="L3000" s="40" t="n">
        <x:f>ABS(K3000)</x:f>
        <x:v>0</x:v>
      </x:c>
      <x:c r="M3000" s="41" t="str">
        <x:v>lstm-soil-v1</x:v>
      </x:c>
    </x:row>
    <x:row r="3001">
      <x:c r="A3001" s="38" t="str">
        <x:v>7月30日现场数据</x:v>
      </x:c>
      <x:c r="B3001" s="39" t="str">
        <x:v>2026-08-03T04:00:00</x:v>
      </x:c>
      <x:c r="C3001" s="39" t="str">
        <x:v>2026-08-03T04:15:00</x:v>
      </x:c>
      <x:c r="D3001" s="47" t="n">
        <x:v>15</x:v>
      </x:c>
      <x:c r="E3001" s="40" t="n">
        <x:v>14.5</x:v>
      </x:c>
      <x:c r="F3001" s="40" t="n">
        <x:v>12.742401123046875</x:v>
      </x:c>
      <x:c r="G3001" s="40" t="n">
        <x:v>14.5</x:v>
      </x:c>
      <x:c r="H3001" s="40" t="n">
        <x:f>F3001-E3001</x:f>
        <x:v>-1.757598876953125</x:v>
      </x:c>
      <x:c r="I3001" s="40" t="n">
        <x:f>ABS(H3001)</x:f>
        <x:v>1.757598876953125</x:v>
      </x:c>
      <x:c r="J3001" s="40" t="n">
        <x:f>H3001^2</x:f>
        <x:v>3.0891538122668862</x:v>
      </x:c>
      <x:c r="K3001" s="40" t="n">
        <x:f>G3001-E3001</x:f>
        <x:v>0</x:v>
      </x:c>
      <x:c r="L3001" s="40" t="n">
        <x:f>ABS(K3001)</x:f>
        <x:v>0</x:v>
      </x:c>
      <x:c r="M3001" s="41" t="str">
        <x:v>lstm-soil-v1</x:v>
      </x:c>
    </x:row>
    <x:row r="3002">
      <x:c r="A3002" s="38" t="str">
        <x:v>7月30日现场数据</x:v>
      </x:c>
      <x:c r="B3002" s="39" t="str">
        <x:v>2026-08-03T04:00:00</x:v>
      </x:c>
      <x:c r="C3002" s="39" t="str">
        <x:v>2026-08-03T04:30:00</x:v>
      </x:c>
      <x:c r="D3002" s="47" t="n">
        <x:v>30</x:v>
      </x:c>
      <x:c r="E3002" s="40" t="n">
        <x:v>14.5</x:v>
      </x:c>
      <x:c r="F3002" s="40" t="n">
        <x:v>13.209461212158203</x:v>
      </x:c>
      <x:c r="G3002" s="40" t="n">
        <x:v>14.5</x:v>
      </x:c>
      <x:c r="H3002" s="40" t="n">
        <x:f>F3002-E3002</x:f>
        <x:v>-1.2905387878417969</x:v>
      </x:c>
      <x:c r="I3002" s="40" t="n">
        <x:f>ABS(H3002)</x:f>
        <x:v>1.2905387878417969</x:v>
      </x:c>
      <x:c r="J3002" s="40" t="n">
        <x:f>H3002^2</x:f>
        <x:v>1.6654903629241744</x:v>
      </x:c>
      <x:c r="K3002" s="40" t="n">
        <x:f>G3002-E3002</x:f>
        <x:v>0</x:v>
      </x:c>
      <x:c r="L3002" s="40" t="n">
        <x:f>ABS(K3002)</x:f>
        <x:v>0</x:v>
      </x:c>
      <x:c r="M3002" s="41" t="str">
        <x:v>lstm-soil-v1</x:v>
      </x:c>
    </x:row>
    <x:row r="3003">
      <x:c r="A3003" s="38" t="str">
        <x:v>7月30日现场数据</x:v>
      </x:c>
      <x:c r="B3003" s="39" t="str">
        <x:v>2026-08-03T04:00:00</x:v>
      </x:c>
      <x:c r="C3003" s="39" t="str">
        <x:v>2026-08-03T05:00:00</x:v>
      </x:c>
      <x:c r="D3003" s="47" t="n">
        <x:v>60</x:v>
      </x:c>
      <x:c r="E3003" s="40" t="n">
        <x:v>14.5</x:v>
      </x:c>
      <x:c r="F3003" s="40" t="n">
        <x:v>14.773311614990234</x:v>
      </x:c>
      <x:c r="G3003" s="40" t="n">
        <x:v>14.5</x:v>
      </x:c>
      <x:c r="H3003" s="40" t="n">
        <x:f>F3003-E3003</x:f>
        <x:v>0.2733116149902344</x:v>
      </x:c>
      <x:c r="I3003" s="40" t="n">
        <x:f>ABS(H3003)</x:f>
        <x:v>0.2733116149902344</x:v>
      </x:c>
      <x:c r="J3003" s="40" t="n">
        <x:f>H3003^2</x:f>
        <x:v>0.07469923888857011</x:v>
      </x:c>
      <x:c r="K3003" s="40" t="n">
        <x:f>G3003-E3003</x:f>
        <x:v>0</x:v>
      </x:c>
      <x:c r="L3003" s="40" t="n">
        <x:f>ABS(K3003)</x:f>
        <x:v>0</x:v>
      </x:c>
      <x:c r="M3003" s="41" t="str">
        <x:v>lstm-soil-v1</x:v>
      </x:c>
    </x:row>
    <x:row r="3004">
      <x:c r="A3004" s="38" t="str">
        <x:v>7月30日现场数据</x:v>
      </x:c>
      <x:c r="B3004" s="39" t="str">
        <x:v>2026-08-03T04:05:00</x:v>
      </x:c>
      <x:c r="C3004" s="39" t="str">
        <x:v>2026-08-03T04:10:00</x:v>
      </x:c>
      <x:c r="D3004" s="47" t="n">
        <x:v>5</x:v>
      </x:c>
      <x:c r="E3004" s="40" t="n">
        <x:v>14.5</x:v>
      </x:c>
      <x:c r="F3004" s="40" t="n">
        <x:v>12.677997589111328</x:v>
      </x:c>
      <x:c r="G3004" s="40" t="n">
        <x:v>14.5</x:v>
      </x:c>
      <x:c r="H3004" s="40" t="n">
        <x:f>F3004-E3004</x:f>
        <x:v>-1.8220024108886719</x:v>
      </x:c>
      <x:c r="I3004" s="40" t="n">
        <x:f>ABS(H3004)</x:f>
        <x:v>1.8220024108886719</x:v>
      </x:c>
      <x:c r="J3004" s="40" t="n">
        <x:f>H3004^2</x:f>
        <x:v>3.3196927852841327</x:v>
      </x:c>
      <x:c r="K3004" s="40" t="n">
        <x:f>G3004-E3004</x:f>
        <x:v>0</x:v>
      </x:c>
      <x:c r="L3004" s="40" t="n">
        <x:f>ABS(K3004)</x:f>
        <x:v>0</x:v>
      </x:c>
      <x:c r="M3004" s="41" t="str">
        <x:v>lstm-soil-v1</x:v>
      </x:c>
    </x:row>
    <x:row r="3005">
      <x:c r="A3005" s="38" t="str">
        <x:v>7月30日现场数据</x:v>
      </x:c>
      <x:c r="B3005" s="39" t="str">
        <x:v>2026-08-03T04:05:00</x:v>
      </x:c>
      <x:c r="C3005" s="39" t="str">
        <x:v>2026-08-03T04:20:00</x:v>
      </x:c>
      <x:c r="D3005" s="47" t="n">
        <x:v>15</x:v>
      </x:c>
      <x:c r="E3005" s="40" t="n">
        <x:v>14.5</x:v>
      </x:c>
      <x:c r="F3005" s="40" t="n">
        <x:v>12.743236541748047</x:v>
      </x:c>
      <x:c r="G3005" s="40" t="n">
        <x:v>14.5</x:v>
      </x:c>
      <x:c r="H3005" s="40" t="n">
        <x:f>F3005-E3005</x:f>
        <x:v>-1.7567634582519531</x:v>
      </x:c>
      <x:c r="I3005" s="40" t="n">
        <x:f>ABS(H3005)</x:f>
        <x:v>1.7567634582519531</x:v>
      </x:c>
      <x:c r="J3005" s="40" t="n">
        <x:f>H3005^2</x:f>
        <x:v>3.086217848249362</x:v>
      </x:c>
      <x:c r="K3005" s="40" t="n">
        <x:f>G3005-E3005</x:f>
        <x:v>0</x:v>
      </x:c>
      <x:c r="L3005" s="40" t="n">
        <x:f>ABS(K3005)</x:f>
        <x:v>0</x:v>
      </x:c>
      <x:c r="M3005" s="41" t="str">
        <x:v>lstm-soil-v1</x:v>
      </x:c>
    </x:row>
    <x:row r="3006">
      <x:c r="A3006" s="38" t="str">
        <x:v>7月30日现场数据</x:v>
      </x:c>
      <x:c r="B3006" s="39" t="str">
        <x:v>2026-08-03T04:05:00</x:v>
      </x:c>
      <x:c r="C3006" s="39" t="str">
        <x:v>2026-08-03T04:35:00</x:v>
      </x:c>
      <x:c r="D3006" s="47" t="n">
        <x:v>30</x:v>
      </x:c>
      <x:c r="E3006" s="40" t="n">
        <x:v>14.5</x:v>
      </x:c>
      <x:c r="F3006" s="40" t="n">
        <x:v>13.210338592529297</x:v>
      </x:c>
      <x:c r="G3006" s="40" t="n">
        <x:v>14.5</x:v>
      </x:c>
      <x:c r="H3006" s="40" t="n">
        <x:f>F3006-E3006</x:f>
        <x:v>-1.2896614074707031</x:v>
      </x:c>
      <x:c r="I3006" s="40" t="n">
        <x:f>ABS(H3006)</x:f>
        <x:v>1.2896614074707031</x:v>
      </x:c>
      <x:c r="J3006" s="40" t="n">
        <x:f>H3006^2</x:f>
        <x:v>1.663226545919315</x:v>
      </x:c>
      <x:c r="K3006" s="40" t="n">
        <x:f>G3006-E3006</x:f>
        <x:v>0</x:v>
      </x:c>
      <x:c r="L3006" s="40" t="n">
        <x:f>ABS(K3006)</x:f>
        <x:v>0</x:v>
      </x:c>
      <x:c r="M3006" s="41" t="str">
        <x:v>lstm-soil-v1</x:v>
      </x:c>
    </x:row>
    <x:row r="3007">
      <x:c r="A3007" s="38" t="str">
        <x:v>7月30日现场数据</x:v>
      </x:c>
      <x:c r="B3007" s="39" t="str">
        <x:v>2026-08-03T04:05:00</x:v>
      </x:c>
      <x:c r="C3007" s="39" t="str">
        <x:v>2026-08-03T05:05:00</x:v>
      </x:c>
      <x:c r="D3007" s="47" t="n">
        <x:v>60</x:v>
      </x:c>
      <x:c r="E3007" s="40" t="n">
        <x:v>14.5</x:v>
      </x:c>
      <x:c r="F3007" s="40" t="n">
        <x:v>14.774921417236328</x:v>
      </x:c>
      <x:c r="G3007" s="40" t="n">
        <x:v>14.5</x:v>
      </x:c>
      <x:c r="H3007" s="40" t="n">
        <x:f>F3007-E3007</x:f>
        <x:v>0.2749214172363281</x:v>
      </x:c>
      <x:c r="I3007" s="40" t="n">
        <x:f>ABS(H3007)</x:f>
        <x:v>0.2749214172363281</x:v>
      </x:c>
      <x:c r="J3007" s="40" t="n">
        <x:f>H3007^2</x:f>
        <x:v>0.07558178565523122</x:v>
      </x:c>
      <x:c r="K3007" s="40" t="n">
        <x:f>G3007-E3007</x:f>
        <x:v>0</x:v>
      </x:c>
      <x:c r="L3007" s="40" t="n">
        <x:f>ABS(K3007)</x:f>
        <x:v>0</x:v>
      </x:c>
      <x:c r="M3007" s="41" t="str">
        <x:v>lstm-soil-v1</x:v>
      </x:c>
    </x:row>
    <x:row r="3008">
      <x:c r="A3008" s="38" t="str">
        <x:v>7月30日现场数据</x:v>
      </x:c>
      <x:c r="B3008" s="39" t="str">
        <x:v>2026-08-03T04:10:00</x:v>
      </x:c>
      <x:c r="C3008" s="39" t="str">
        <x:v>2026-08-03T04:15:00</x:v>
      </x:c>
      <x:c r="D3008" s="47" t="n">
        <x:v>5</x:v>
      </x:c>
      <x:c r="E3008" s="40" t="n">
        <x:v>14.5</x:v>
      </x:c>
      <x:c r="F3008" s="40" t="n">
        <x:v>12.676158905029297</x:v>
      </x:c>
      <x:c r="G3008" s="40" t="n">
        <x:v>14.5</x:v>
      </x:c>
      <x:c r="H3008" s="40" t="n">
        <x:f>F3008-E3008</x:f>
        <x:v>-1.8238410949707031</x:v>
      </x:c>
      <x:c r="I3008" s="40" t="n">
        <x:f>ABS(H3008)</x:f>
        <x:v>1.8238410949707031</x:v>
      </x:c>
      <x:c r="J3008" s="40" t="n">
        <x:f>H3008^2</x:f>
        <x:v>3.3263963397039333</x:v>
      </x:c>
      <x:c r="K3008" s="40" t="n">
        <x:f>G3008-E3008</x:f>
        <x:v>0</x:v>
      </x:c>
      <x:c r="L3008" s="40" t="n">
        <x:f>ABS(K3008)</x:f>
        <x:v>0</x:v>
      </x:c>
      <x:c r="M3008" s="41" t="str">
        <x:v>lstm-soil-v1</x:v>
      </x:c>
    </x:row>
    <x:row r="3009">
      <x:c r="A3009" s="38" t="str">
        <x:v>7月30日现场数据</x:v>
      </x:c>
      <x:c r="B3009" s="39" t="str">
        <x:v>2026-08-03T04:10:00</x:v>
      </x:c>
      <x:c r="C3009" s="39" t="str">
        <x:v>2026-08-03T04:25:00</x:v>
      </x:c>
      <x:c r="D3009" s="47" t="n">
        <x:v>15</x:v>
      </x:c>
      <x:c r="E3009" s="40" t="n">
        <x:v>14.5</x:v>
      </x:c>
      <x:c r="F3009" s="40" t="n">
        <x:v>12.743793487548828</x:v>
      </x:c>
      <x:c r="G3009" s="40" t="n">
        <x:v>14.5</x:v>
      </x:c>
      <x:c r="H3009" s="40" t="n">
        <x:f>F3009-E3009</x:f>
        <x:v>-1.7562065124511719</x:v>
      </x:c>
      <x:c r="I3009" s="40" t="n">
        <x:f>ABS(H3009)</x:f>
        <x:v>1.7562065124511719</x:v>
      </x:c>
      <x:c r="J3009" s="40" t="n">
        <x:f>H3009^2</x:f>
        <x:v>3.084261314375908</x:v>
      </x:c>
      <x:c r="K3009" s="40" t="n">
        <x:f>G3009-E3009</x:f>
        <x:v>0</x:v>
      </x:c>
      <x:c r="L3009" s="40" t="n">
        <x:f>ABS(K3009)</x:f>
        <x:v>0</x:v>
      </x:c>
      <x:c r="M3009" s="41" t="str">
        <x:v>lstm-soil-v1</x:v>
      </x:c>
    </x:row>
    <x:row r="3010">
      <x:c r="A3010" s="38" t="str">
        <x:v>7月30日现场数据</x:v>
      </x:c>
      <x:c r="B3010" s="39" t="str">
        <x:v>2026-08-03T04:10:00</x:v>
      </x:c>
      <x:c r="C3010" s="39" t="str">
        <x:v>2026-08-03T04:40:00</x:v>
      </x:c>
      <x:c r="D3010" s="47" t="n">
        <x:v>30</x:v>
      </x:c>
      <x:c r="E3010" s="40" t="n">
        <x:v>14.5</x:v>
      </x:c>
      <x:c r="F3010" s="40" t="n">
        <x:v>13.208187103271484</x:v>
      </x:c>
      <x:c r="G3010" s="40" t="n">
        <x:v>14.5</x:v>
      </x:c>
      <x:c r="H3010" s="40" t="n">
        <x:f>F3010-E3010</x:f>
        <x:v>-1.2918128967285156</x:v>
      </x:c>
      <x:c r="I3010" s="40" t="n">
        <x:f>ABS(H3010)</x:f>
        <x:v>1.2918128967285156</x:v>
      </x:c>
      <x:c r="J3010" s="40" t="n">
        <x:f>H3010^2</x:f>
        <x:v>1.6687805601541186</x:v>
      </x:c>
      <x:c r="K3010" s="40" t="n">
        <x:f>G3010-E3010</x:f>
        <x:v>0</x:v>
      </x:c>
      <x:c r="L3010" s="40" t="n">
        <x:f>ABS(K3010)</x:f>
        <x:v>0</x:v>
      </x:c>
      <x:c r="M3010" s="41" t="str">
        <x:v>lstm-soil-v1</x:v>
      </x:c>
    </x:row>
    <x:row r="3011">
      <x:c r="A3011" s="38" t="str">
        <x:v>7月30日现场数据</x:v>
      </x:c>
      <x:c r="B3011" s="39" t="str">
        <x:v>2026-08-03T04:10:00</x:v>
      </x:c>
      <x:c r="C3011" s="39" t="str">
        <x:v>2026-08-03T05:10:00</x:v>
      </x:c>
      <x:c r="D3011" s="47" t="n">
        <x:v>60</x:v>
      </x:c>
      <x:c r="E3011" s="40" t="n">
        <x:v>14.5</x:v>
      </x:c>
      <x:c r="F3011" s="40" t="n">
        <x:v>14.77011489868164</x:v>
      </x:c>
      <x:c r="G3011" s="40" t="n">
        <x:v>14.5</x:v>
      </x:c>
      <x:c r="H3011" s="40" t="n">
        <x:f>F3011-E3011</x:f>
        <x:v>0.2701148986816406</x:v>
      </x:c>
      <x:c r="I3011" s="40" t="n">
        <x:f>ABS(H3011)</x:f>
        <x:v>0.2701148986816406</x:v>
      </x:c>
      <x:c r="J3011" s="40" t="n">
        <x:f>H3011^2</x:f>
        <x:v>0.07296205848979298</x:v>
      </x:c>
      <x:c r="K3011" s="40" t="n">
        <x:f>G3011-E3011</x:f>
        <x:v>0</x:v>
      </x:c>
      <x:c r="L3011" s="40" t="n">
        <x:f>ABS(K3011)</x:f>
        <x:v>0</x:v>
      </x:c>
      <x:c r="M3011" s="41" t="str">
        <x:v>lstm-soil-v1</x:v>
      </x:c>
    </x:row>
    <x:row r="3012">
      <x:c r="A3012" s="38" t="str">
        <x:v>7月30日现场数据</x:v>
      </x:c>
      <x:c r="B3012" s="39" t="str">
        <x:v>2026-08-03T04:15:00</x:v>
      </x:c>
      <x:c r="C3012" s="39" t="str">
        <x:v>2026-08-03T04:20:00</x:v>
      </x:c>
      <x:c r="D3012" s="47" t="n">
        <x:v>5</x:v>
      </x:c>
      <x:c r="E3012" s="40" t="n">
        <x:v>14.5</x:v>
      </x:c>
      <x:c r="F3012" s="40" t="n">
        <x:v>12.67605972290039</x:v>
      </x:c>
      <x:c r="G3012" s="40" t="n">
        <x:v>14.5</x:v>
      </x:c>
      <x:c r="H3012" s="40" t="n">
        <x:f>F3012-E3012</x:f>
        <x:v>-1.8239402770996094</x:v>
      </x:c>
      <x:c r="I3012" s="40" t="n">
        <x:f>ABS(H3012)</x:f>
        <x:v>1.8239402770996094</x:v>
      </x:c>
      <x:c r="J3012" s="40" t="n">
        <x:f>H3012^2</x:f>
        <x:v>3.3267581344262</x:v>
      </x:c>
      <x:c r="K3012" s="40" t="n">
        <x:f>G3012-E3012</x:f>
        <x:v>0</x:v>
      </x:c>
      <x:c r="L3012" s="40" t="n">
        <x:f>ABS(K3012)</x:f>
        <x:v>0</x:v>
      </x:c>
      <x:c r="M3012" s="41" t="str">
        <x:v>lstm-soil-v1</x:v>
      </x:c>
    </x:row>
    <x:row r="3013">
      <x:c r="A3013" s="38" t="str">
        <x:v>7月30日现场数据</x:v>
      </x:c>
      <x:c r="B3013" s="39" t="str">
        <x:v>2026-08-03T04:15:00</x:v>
      </x:c>
      <x:c r="C3013" s="39" t="str">
        <x:v>2026-08-03T04:30:00</x:v>
      </x:c>
      <x:c r="D3013" s="47" t="n">
        <x:v>15</x:v>
      </x:c>
      <x:c r="E3013" s="40" t="n">
        <x:v>14.5</x:v>
      </x:c>
      <x:c r="F3013" s="40" t="n">
        <x:v>12.74295425415039</x:v>
      </x:c>
      <x:c r="G3013" s="40" t="n">
        <x:v>14.5</x:v>
      </x:c>
      <x:c r="H3013" s="40" t="n">
        <x:f>F3013-E3013</x:f>
        <x:v>-1.7570457458496094</x:v>
      </x:c>
      <x:c r="I3013" s="40" t="n">
        <x:f>ABS(H3013)</x:f>
        <x:v>1.7570457458496094</x:v>
      </x:c>
      <x:c r="J3013" s="40" t="n">
        <x:f>H3013^2</x:f>
        <x:v>3.08720975300821</x:v>
      </x:c>
      <x:c r="K3013" s="40" t="n">
        <x:f>G3013-E3013</x:f>
        <x:v>0</x:v>
      </x:c>
      <x:c r="L3013" s="40" t="n">
        <x:f>ABS(K3013)</x:f>
        <x:v>0</x:v>
      </x:c>
      <x:c r="M3013" s="41" t="str">
        <x:v>lstm-soil-v1</x:v>
      </x:c>
    </x:row>
    <x:row r="3014">
      <x:c r="A3014" s="38" t="str">
        <x:v>7月30日现场数据</x:v>
      </x:c>
      <x:c r="B3014" s="39" t="str">
        <x:v>2026-08-03T04:15:00</x:v>
      </x:c>
      <x:c r="C3014" s="39" t="str">
        <x:v>2026-08-03T04:45:00</x:v>
      </x:c>
      <x:c r="D3014" s="47" t="n">
        <x:v>30</x:v>
      </x:c>
      <x:c r="E3014" s="40" t="n">
        <x:v>14.5</x:v>
      </x:c>
      <x:c r="F3014" s="40" t="n">
        <x:v>13.207923889160156</x:v>
      </x:c>
      <x:c r="G3014" s="40" t="n">
        <x:v>14.5</x:v>
      </x:c>
      <x:c r="H3014" s="40" t="n">
        <x:f>F3014-E3014</x:f>
        <x:v>-1.2920761108398438</x:v>
      </x:c>
      <x:c r="I3014" s="40" t="n">
        <x:f>ABS(H3014)</x:f>
        <x:v>1.2920761108398438</x:v>
      </x:c>
      <x:c r="J3014" s="40" t="n">
        <x:f>H3014^2</x:f>
        <x:v>1.6694606762030162</x:v>
      </x:c>
      <x:c r="K3014" s="40" t="n">
        <x:f>G3014-E3014</x:f>
        <x:v>0</x:v>
      </x:c>
      <x:c r="L3014" s="40" t="n">
        <x:f>ABS(K3014)</x:f>
        <x:v>0</x:v>
      </x:c>
      <x:c r="M3014" s="41" t="str">
        <x:v>lstm-soil-v1</x:v>
      </x:c>
    </x:row>
    <x:row r="3015">
      <x:c r="A3015" s="38" t="str">
        <x:v>7月30日现场数据</x:v>
      </x:c>
      <x:c r="B3015" s="39" t="str">
        <x:v>2026-08-03T04:15:00</x:v>
      </x:c>
      <x:c r="C3015" s="39" t="str">
        <x:v>2026-08-03T05:15:00</x:v>
      </x:c>
      <x:c r="D3015" s="47" t="n">
        <x:v>60</x:v>
      </x:c>
      <x:c r="E3015" s="40" t="n">
        <x:v>14.5</x:v>
      </x:c>
      <x:c r="F3015" s="40" t="n">
        <x:v>14.770740509033203</x:v>
      </x:c>
      <x:c r="G3015" s="40" t="n">
        <x:v>14.5</x:v>
      </x:c>
      <x:c r="H3015" s="40" t="n">
        <x:f>F3015-E3015</x:f>
        <x:v>0.2707405090332031</x:v>
      </x:c>
      <x:c r="I3015" s="40" t="n">
        <x:f>ABS(H3015)</x:f>
        <x:v>0.2707405090332031</x:v>
      </x:c>
      <x:c r="J3015" s="40" t="n">
        <x:f>H3015^2</x:f>
        <x:v>0.07330042323155794</x:v>
      </x:c>
      <x:c r="K3015" s="40" t="n">
        <x:f>G3015-E3015</x:f>
        <x:v>0</x:v>
      </x:c>
      <x:c r="L3015" s="40" t="n">
        <x:f>ABS(K3015)</x:f>
        <x:v>0</x:v>
      </x:c>
      <x:c r="M3015" s="41" t="str">
        <x:v>lstm-soil-v1</x:v>
      </x:c>
    </x:row>
    <x:row r="3016">
      <x:c r="A3016" s="38" t="str">
        <x:v>7月30日现场数据</x:v>
      </x:c>
      <x:c r="B3016" s="39" t="str">
        <x:v>2026-08-03T04:20:00</x:v>
      </x:c>
      <x:c r="C3016" s="39" t="str">
        <x:v>2026-08-03T04:25:00</x:v>
      </x:c>
      <x:c r="D3016" s="47" t="n">
        <x:v>5</x:v>
      </x:c>
      <x:c r="E3016" s="40" t="n">
        <x:v>14.5</x:v>
      </x:c>
      <x:c r="F3016" s="40" t="n">
        <x:v>12.676345825195312</x:v>
      </x:c>
      <x:c r="G3016" s="40" t="n">
        <x:v>14.5</x:v>
      </x:c>
      <x:c r="H3016" s="40" t="n">
        <x:f>F3016-E3016</x:f>
        <x:v>-1.8236541748046875</x:v>
      </x:c>
      <x:c r="I3016" s="40" t="n">
        <x:f>ABS(H3016)</x:f>
        <x:v>1.8236541748046875</x:v>
      </x:c>
      <x:c r="J3016" s="40" t="n">
        <x:f>H3016^2</x:f>
        <x:v>3.3257145492825657</x:v>
      </x:c>
      <x:c r="K3016" s="40" t="n">
        <x:f>G3016-E3016</x:f>
        <x:v>0</x:v>
      </x:c>
      <x:c r="L3016" s="40" t="n">
        <x:f>ABS(K3016)</x:f>
        <x:v>0</x:v>
      </x:c>
      <x:c r="M3016" s="41" t="str">
        <x:v>lstm-soil-v1</x:v>
      </x:c>
    </x:row>
    <x:row r="3017">
      <x:c r="A3017" s="38" t="str">
        <x:v>7月30日现场数据</x:v>
      </x:c>
      <x:c r="B3017" s="39" t="str">
        <x:v>2026-08-03T04:20:00</x:v>
      </x:c>
      <x:c r="C3017" s="39" t="str">
        <x:v>2026-08-03T04:35:00</x:v>
      </x:c>
      <x:c r="D3017" s="47" t="n">
        <x:v>15</x:v>
      </x:c>
      <x:c r="E3017" s="40" t="n">
        <x:v>14.5</x:v>
      </x:c>
      <x:c r="F3017" s="40" t="n">
        <x:v>12.7425537109375</x:v>
      </x:c>
      <x:c r="G3017" s="40" t="n">
        <x:v>14.5</x:v>
      </x:c>
      <x:c r="H3017" s="40" t="n">
        <x:f>F3017-E3017</x:f>
        <x:v>-1.7574462890625</x:v>
      </x:c>
      <x:c r="I3017" s="40" t="n">
        <x:f>ABS(H3017)</x:f>
        <x:v>1.7574462890625</x:v>
      </x:c>
      <x:c r="J3017" s="40" t="n">
        <x:f>H3017^2</x:f>
        <x:v>3.0886174589395523</x:v>
      </x:c>
      <x:c r="K3017" s="40" t="n">
        <x:f>G3017-E3017</x:f>
        <x:v>0</x:v>
      </x:c>
      <x:c r="L3017" s="40" t="n">
        <x:f>ABS(K3017)</x:f>
        <x:v>0</x:v>
      </x:c>
      <x:c r="M3017" s="41" t="str">
        <x:v>lstm-soil-v1</x:v>
      </x:c>
    </x:row>
    <x:row r="3018">
      <x:c r="A3018" s="38" t="str">
        <x:v>7月30日现场数据</x:v>
      </x:c>
      <x:c r="B3018" s="39" t="str">
        <x:v>2026-08-03T04:20:00</x:v>
      </x:c>
      <x:c r="C3018" s="39" t="str">
        <x:v>2026-08-03T04:50:00</x:v>
      </x:c>
      <x:c r="D3018" s="47" t="n">
        <x:v>30</x:v>
      </x:c>
      <x:c r="E3018" s="40" t="n">
        <x:v>14.5</x:v>
      </x:c>
      <x:c r="F3018" s="40" t="n">
        <x:v>13.208564758300781</x:v>
      </x:c>
      <x:c r="G3018" s="40" t="n">
        <x:v>14.5</x:v>
      </x:c>
      <x:c r="H3018" s="40" t="n">
        <x:f>F3018-E3018</x:f>
        <x:v>-1.2914352416992188</x:v>
      </x:c>
      <x:c r="I3018" s="40" t="n">
        <x:f>ABS(H3018)</x:f>
        <x:v>1.2914352416992188</x:v>
      </x:c>
      <x:c r="J3018" s="40" t="n">
        <x:f>H3018^2</x:f>
        <x:v>1.6678049835027196</x:v>
      </x:c>
      <x:c r="K3018" s="40" t="n">
        <x:f>G3018-E3018</x:f>
        <x:v>0</x:v>
      </x:c>
      <x:c r="L3018" s="40" t="n">
        <x:f>ABS(K3018)</x:f>
        <x:v>0</x:v>
      </x:c>
      <x:c r="M3018" s="41" t="str">
        <x:v>lstm-soil-v1</x:v>
      </x:c>
    </x:row>
    <x:row r="3019">
      <x:c r="A3019" s="38" t="str">
        <x:v>7月30日现场数据</x:v>
      </x:c>
      <x:c r="B3019" s="39" t="str">
        <x:v>2026-08-03T04:20:00</x:v>
      </x:c>
      <x:c r="C3019" s="39" t="str">
        <x:v>2026-08-03T05:20:00</x:v>
      </x:c>
      <x:c r="D3019" s="47" t="n">
        <x:v>60</x:v>
      </x:c>
      <x:c r="E3019" s="40" t="n">
        <x:v>14.5</x:v>
      </x:c>
      <x:c r="F3019" s="40" t="n">
        <x:v>14.771598815917969</x:v>
      </x:c>
      <x:c r="G3019" s="40" t="n">
        <x:v>14.5</x:v>
      </x:c>
      <x:c r="H3019" s="40" t="n">
        <x:f>F3019-E3019</x:f>
        <x:v>0.27159881591796875</x:v>
      </x:c>
      <x:c r="I3019" s="40" t="n">
        <x:f>ABS(H3019)</x:f>
        <x:v>0.27159881591796875</x:v>
      </x:c>
      <x:c r="J3019" s="40" t="n">
        <x:f>H3019^2</x:f>
        <x:v>0.07376591680804268</x:v>
      </x:c>
      <x:c r="K3019" s="40" t="n">
        <x:f>G3019-E3019</x:f>
        <x:v>0</x:v>
      </x:c>
      <x:c r="L3019" s="40" t="n">
        <x:f>ABS(K3019)</x:f>
        <x:v>0</x:v>
      </x:c>
      <x:c r="M3019" s="41" t="str">
        <x:v>lstm-soil-v1</x:v>
      </x:c>
    </x:row>
    <x:row r="3020">
      <x:c r="A3020" s="38" t="str">
        <x:v>7月30日现场数据</x:v>
      </x:c>
      <x:c r="B3020" s="39" t="str">
        <x:v>2026-08-03T04:25:00</x:v>
      </x:c>
      <x:c r="C3020" s="39" t="str">
        <x:v>2026-08-03T04:30:00</x:v>
      </x:c>
      <x:c r="D3020" s="47" t="n">
        <x:v>5</x:v>
      </x:c>
      <x:c r="E3020" s="40" t="n">
        <x:v>14.5</x:v>
      </x:c>
      <x:c r="F3020" s="40" t="n">
        <x:v>12.676773071289062</x:v>
      </x:c>
      <x:c r="G3020" s="40" t="n">
        <x:v>14.5</x:v>
      </x:c>
      <x:c r="H3020" s="40" t="n">
        <x:f>F3020-E3020</x:f>
        <x:v>-1.8232269287109375</x:v>
      </x:c>
      <x:c r="I3020" s="40" t="n">
        <x:f>ABS(H3020)</x:f>
        <x:v>1.8232269287109375</x:v>
      </x:c>
      <x:c r="J3020" s="40" t="n">
        <x:f>H3020^2</x:f>
        <x:v>3.324156433576718</x:v>
      </x:c>
      <x:c r="K3020" s="40" t="n">
        <x:f>G3020-E3020</x:f>
        <x:v>0</x:v>
      </x:c>
      <x:c r="L3020" s="40" t="n">
        <x:f>ABS(K3020)</x:f>
        <x:v>0</x:v>
      </x:c>
      <x:c r="M3020" s="41" t="str">
        <x:v>lstm-soil-v1</x:v>
      </x:c>
    </x:row>
    <x:row r="3021">
      <x:c r="A3021" s="38" t="str">
        <x:v>7月30日现场数据</x:v>
      </x:c>
      <x:c r="B3021" s="39" t="str">
        <x:v>2026-08-03T04:25:00</x:v>
      </x:c>
      <x:c r="C3021" s="39" t="str">
        <x:v>2026-08-03T04:40:00</x:v>
      </x:c>
      <x:c r="D3021" s="47" t="n">
        <x:v>15</x:v>
      </x:c>
      <x:c r="E3021" s="40" t="n">
        <x:v>14.5</x:v>
      </x:c>
      <x:c r="F3021" s="40" t="n">
        <x:v>12.742504119873047</x:v>
      </x:c>
      <x:c r="G3021" s="40" t="n">
        <x:v>14.5</x:v>
      </x:c>
      <x:c r="H3021" s="40" t="n">
        <x:f>F3021-E3021</x:f>
        <x:v>-1.7574958801269531</x:v>
      </x:c>
      <x:c r="I3021" s="40" t="n">
        <x:f>ABS(H3021)</x:f>
        <x:v>1.7574958801269531</x:v>
      </x:c>
      <x:c r="J3021" s="40" t="n">
        <x:f>H3021^2</x:f>
        <x:v>3.0887917686632136</x:v>
      </x:c>
      <x:c r="K3021" s="40" t="n">
        <x:f>G3021-E3021</x:f>
        <x:v>0</x:v>
      </x:c>
      <x:c r="L3021" s="40" t="n">
        <x:f>ABS(K3021)</x:f>
        <x:v>0</x:v>
      </x:c>
      <x:c r="M3021" s="41" t="str">
        <x:v>lstm-soil-v1</x:v>
      </x:c>
    </x:row>
    <x:row r="3022">
      <x:c r="A3022" s="38" t="str">
        <x:v>7月30日现场数据</x:v>
      </x:c>
      <x:c r="B3022" s="39" t="str">
        <x:v>2026-08-03T04:25:00</x:v>
      </x:c>
      <x:c r="C3022" s="39" t="str">
        <x:v>2026-08-03T04:55:00</x:v>
      </x:c>
      <x:c r="D3022" s="47" t="n">
        <x:v>30</x:v>
      </x:c>
      <x:c r="E3022" s="40" t="n">
        <x:v>14.5</x:v>
      </x:c>
      <x:c r="F3022" s="40" t="n">
        <x:v>13.209514617919922</x:v>
      </x:c>
      <x:c r="G3022" s="40" t="n">
        <x:v>14.5</x:v>
      </x:c>
      <x:c r="H3022" s="40" t="n">
        <x:f>F3022-E3022</x:f>
        <x:v>-1.2904853820800781</x:v>
      </x:c>
      <x:c r="I3022" s="40" t="n">
        <x:f>ABS(H3022)</x:f>
        <x:v>1.2904853820800781</x:v>
      </x:c>
      <x:c r="J3022" s="40" t="n">
        <x:f>H3022^2</x:f>
        <x:v>1.6653525213623652</x:v>
      </x:c>
      <x:c r="K3022" s="40" t="n">
        <x:f>G3022-E3022</x:f>
        <x:v>0</x:v>
      </x:c>
      <x:c r="L3022" s="40" t="n">
        <x:f>ABS(K3022)</x:f>
        <x:v>0</x:v>
      </x:c>
      <x:c r="M3022" s="41" t="str">
        <x:v>lstm-soil-v1</x:v>
      </x:c>
    </x:row>
    <x:row r="3023">
      <x:c r="A3023" s="38" t="str">
        <x:v>7月30日现场数据</x:v>
      </x:c>
      <x:c r="B3023" s="39" t="str">
        <x:v>2026-08-03T04:25:00</x:v>
      </x:c>
      <x:c r="C3023" s="39" t="str">
        <x:v>2026-08-03T05:25:00</x:v>
      </x:c>
      <x:c r="D3023" s="47" t="n">
        <x:v>60</x:v>
      </x:c>
      <x:c r="E3023" s="40" t="n">
        <x:v>14.5</x:v>
      </x:c>
      <x:c r="F3023" s="40" t="n">
        <x:v>14.772705078125</x:v>
      </x:c>
      <x:c r="G3023" s="40" t="n">
        <x:v>14.5</x:v>
      </x:c>
      <x:c r="H3023" s="40" t="n">
        <x:f>F3023-E3023</x:f>
        <x:v>0.272705078125</x:v>
      </x:c>
      <x:c r="I3023" s="40" t="n">
        <x:f>ABS(H3023)</x:f>
        <x:v>0.272705078125</x:v>
      </x:c>
      <x:c r="J3023" s="40" t="n">
        <x:f>H3023^2</x:f>
        <x:v>0.07436805963516235</x:v>
      </x:c>
      <x:c r="K3023" s="40" t="n">
        <x:f>G3023-E3023</x:f>
        <x:v>0</x:v>
      </x:c>
      <x:c r="L3023" s="40" t="n">
        <x:f>ABS(K3023)</x:f>
        <x:v>0</x:v>
      </x:c>
      <x:c r="M3023" s="41" t="str">
        <x:v>lstm-soil-v1</x:v>
      </x:c>
    </x:row>
    <x:row r="3024">
      <x:c r="A3024" s="38" t="str">
        <x:v>7月30日现场数据</x:v>
      </x:c>
      <x:c r="B3024" s="39" t="str">
        <x:v>2026-08-03T04:30:00</x:v>
      </x:c>
      <x:c r="C3024" s="39" t="str">
        <x:v>2026-08-03T04:35:00</x:v>
      </x:c>
      <x:c r="D3024" s="47" t="n">
        <x:v>5</x:v>
      </x:c>
      <x:c r="E3024" s="40" t="n">
        <x:v>14.5</x:v>
      </x:c>
      <x:c r="F3024" s="40" t="n">
        <x:v>12.67718505859375</x:v>
      </x:c>
      <x:c r="G3024" s="40" t="n">
        <x:v>14.5</x:v>
      </x:c>
      <x:c r="H3024" s="40" t="n">
        <x:f>F3024-E3024</x:f>
        <x:v>-1.82281494140625</x:v>
      </x:c>
      <x:c r="I3024" s="40" t="n">
        <x:f>ABS(H3024)</x:f>
        <x:v>1.82281494140625</x:v>
      </x:c>
      <x:c r="J3024" s="40" t="n">
        <x:f>H3024^2</x:f>
        <x:v>3.3226543106138706</x:v>
      </x:c>
      <x:c r="K3024" s="40" t="n">
        <x:f>G3024-E3024</x:f>
        <x:v>0</x:v>
      </x:c>
      <x:c r="L3024" s="40" t="n">
        <x:f>ABS(K3024)</x:f>
        <x:v>0</x:v>
      </x:c>
      <x:c r="M3024" s="41" t="str">
        <x:v>lstm-soil-v1</x:v>
      </x:c>
    </x:row>
    <x:row r="3025">
      <x:c r="A3025" s="38" t="str">
        <x:v>7月30日现场数据</x:v>
      </x:c>
      <x:c r="B3025" s="39" t="str">
        <x:v>2026-08-03T04:30:00</x:v>
      </x:c>
      <x:c r="C3025" s="39" t="str">
        <x:v>2026-08-03T04:45:00</x:v>
      </x:c>
      <x:c r="D3025" s="47" t="n">
        <x:v>15</x:v>
      </x:c>
      <x:c r="E3025" s="40" t="n">
        <x:v>14.5</x:v>
      </x:c>
      <x:c r="F3025" s="40" t="n">
        <x:v>12.742633819580078</x:v>
      </x:c>
      <x:c r="G3025" s="40" t="n">
        <x:v>14.5</x:v>
      </x:c>
      <x:c r="H3025" s="40" t="n">
        <x:f>F3025-E3025</x:f>
        <x:v>-1.7573661804199219</x:v>
      </x:c>
      <x:c r="I3025" s="40" t="n">
        <x:f>ABS(H3025)</x:f>
        <x:v>1.7573661804199219</x:v>
      </x:c>
      <x:c r="J3025" s="40" t="n">
        <x:f>H3025^2</x:f>
        <x:v>3.0883358920837054</x:v>
      </x:c>
      <x:c r="K3025" s="40" t="n">
        <x:f>G3025-E3025</x:f>
        <x:v>0</x:v>
      </x:c>
      <x:c r="L3025" s="40" t="n">
        <x:f>ABS(K3025)</x:f>
        <x:v>0</x:v>
      </x:c>
      <x:c r="M3025" s="41" t="str">
        <x:v>lstm-soil-v1</x:v>
      </x:c>
    </x:row>
    <x:row r="3026">
      <x:c r="A3026" s="38" t="str">
        <x:v>7月30日现场数据</x:v>
      </x:c>
      <x:c r="B3026" s="39" t="str">
        <x:v>2026-08-03T04:30:00</x:v>
      </x:c>
      <x:c r="C3026" s="39" t="str">
        <x:v>2026-08-03T05:00:00</x:v>
      </x:c>
      <x:c r="D3026" s="47" t="n">
        <x:v>30</x:v>
      </x:c>
      <x:c r="E3026" s="40" t="n">
        <x:v>14.5</x:v>
      </x:c>
      <x:c r="F3026" s="40" t="n">
        <x:v>13.210254669189453</x:v>
      </x:c>
      <x:c r="G3026" s="40" t="n">
        <x:v>14.5</x:v>
      </x:c>
      <x:c r="H3026" s="40" t="n">
        <x:f>F3026-E3026</x:f>
        <x:v>-1.2897453308105469</x:v>
      </x:c>
      <x:c r="I3026" s="40" t="n">
        <x:f>ABS(H3026)</x:f>
        <x:v>1.2897453308105469</x:v>
      </x:c>
      <x:c r="J3026" s="40" t="n">
        <x:f>H3026^2</x:f>
        <x:v>1.663443018347607</x:v>
      </x:c>
      <x:c r="K3026" s="40" t="n">
        <x:f>G3026-E3026</x:f>
        <x:v>0</x:v>
      </x:c>
      <x:c r="L3026" s="40" t="n">
        <x:f>ABS(K3026)</x:f>
        <x:v>0</x:v>
      </x:c>
      <x:c r="M3026" s="41" t="str">
        <x:v>lstm-soil-v1</x:v>
      </x:c>
    </x:row>
    <x:row r="3027">
      <x:c r="A3027" s="38" t="str">
        <x:v>7月30日现场数据</x:v>
      </x:c>
      <x:c r="B3027" s="39" t="str">
        <x:v>2026-08-03T04:30:00</x:v>
      </x:c>
      <x:c r="C3027" s="39" t="str">
        <x:v>2026-08-03T05:30:00</x:v>
      </x:c>
      <x:c r="D3027" s="47" t="n">
        <x:v>60</x:v>
      </x:c>
      <x:c r="E3027" s="40" t="n">
        <x:v>14.5</x:v>
      </x:c>
      <x:c r="F3027" s="40" t="n">
        <x:v>14.77328109741211</x:v>
      </x:c>
      <x:c r="G3027" s="40" t="n">
        <x:v>14.5</x:v>
      </x:c>
      <x:c r="H3027" s="40" t="n">
        <x:f>F3027-E3027</x:f>
        <x:v>0.2732810974121094</x:v>
      </x:c>
      <x:c r="I3027" s="40" t="n">
        <x:f>ABS(H3027)</x:f>
        <x:v>0.2732810974121094</x:v>
      </x:c>
      <x:c r="J3027" s="40" t="n">
        <x:f>H3027^2</x:f>
        <x:v>0.07468255820276681</x:v>
      </x:c>
      <x:c r="K3027" s="40" t="n">
        <x:f>G3027-E3027</x:f>
        <x:v>0</x:v>
      </x:c>
      <x:c r="L3027" s="40" t="n">
        <x:f>ABS(K3027)</x:f>
        <x:v>0</x:v>
      </x:c>
      <x:c r="M3027" s="41" t="str">
        <x:v>lstm-soil-v1</x:v>
      </x:c>
    </x:row>
    <x:row r="3028">
      <x:c r="A3028" s="38" t="str">
        <x:v>7月30日现场数据</x:v>
      </x:c>
      <x:c r="B3028" s="39" t="str">
        <x:v>2026-08-03T04:35:00</x:v>
      </x:c>
      <x:c r="C3028" s="39" t="str">
        <x:v>2026-08-03T04:40:00</x:v>
      </x:c>
      <x:c r="D3028" s="47" t="n">
        <x:v>5</x:v>
      </x:c>
      <x:c r="E3028" s="40" t="n">
        <x:v>14.5</x:v>
      </x:c>
      <x:c r="F3028" s="40" t="n">
        <x:v>12.677692413330078</x:v>
      </x:c>
      <x:c r="G3028" s="40" t="n">
        <x:v>14.5</x:v>
      </x:c>
      <x:c r="H3028" s="40" t="n">
        <x:f>F3028-E3028</x:f>
        <x:v>-1.8223075866699219</x:v>
      </x:c>
      <x:c r="I3028" s="40" t="n">
        <x:f>ABS(H3028)</x:f>
        <x:v>1.8223075866699219</x:v>
      </x:c>
      <x:c r="J3028" s="40" t="n">
        <x:f>H3028^2</x:f>
        <x:v>3.320804940434755</x:v>
      </x:c>
      <x:c r="K3028" s="40" t="n">
        <x:f>G3028-E3028</x:f>
        <x:v>0</x:v>
      </x:c>
      <x:c r="L3028" s="40" t="n">
        <x:f>ABS(K3028)</x:f>
        <x:v>0</x:v>
      </x:c>
      <x:c r="M3028" s="41" t="str">
        <x:v>lstm-soil-v1</x:v>
      </x:c>
    </x:row>
    <x:row r="3029">
      <x:c r="A3029" s="38" t="str">
        <x:v>7月30日现场数据</x:v>
      </x:c>
      <x:c r="B3029" s="39" t="str">
        <x:v>2026-08-03T04:35:00</x:v>
      </x:c>
      <x:c r="C3029" s="39" t="str">
        <x:v>2026-08-03T04:50:00</x:v>
      </x:c>
      <x:c r="D3029" s="47" t="n">
        <x:v>15</x:v>
      </x:c>
      <x:c r="E3029" s="40" t="n">
        <x:v>14.5</x:v>
      </x:c>
      <x:c r="F3029" s="40" t="n">
        <x:v>12.742713928222656</x:v>
      </x:c>
      <x:c r="G3029" s="40" t="n">
        <x:v>14.5</x:v>
      </x:c>
      <x:c r="H3029" s="40" t="n">
        <x:f>F3029-E3029</x:f>
        <x:v>-1.7572860717773438</x:v>
      </x:c>
      <x:c r="I3029" s="40" t="n">
        <x:f>ABS(H3029)</x:f>
        <x:v>1.7572860717773438</x:v>
      </x:c>
      <x:c r="J3029" s="40" t="n">
        <x:f>H3029^2</x:f>
        <x:v>3.0880543380626477</x:v>
      </x:c>
      <x:c r="K3029" s="40" t="n">
        <x:f>G3029-E3029</x:f>
        <x:v>0</x:v>
      </x:c>
      <x:c r="L3029" s="40" t="n">
        <x:f>ABS(K3029)</x:f>
        <x:v>0</x:v>
      </x:c>
      <x:c r="M3029" s="41" t="str">
        <x:v>lstm-soil-v1</x:v>
      </x:c>
    </x:row>
    <x:row r="3030">
      <x:c r="A3030" s="38" t="str">
        <x:v>7月30日现场数据</x:v>
      </x:c>
      <x:c r="B3030" s="39" t="str">
        <x:v>2026-08-03T04:35:00</x:v>
      </x:c>
      <x:c r="C3030" s="39" t="str">
        <x:v>2026-08-03T05:05:00</x:v>
      </x:c>
      <x:c r="D3030" s="47" t="n">
        <x:v>30</x:v>
      </x:c>
      <x:c r="E3030" s="40" t="n">
        <x:v>14.5</x:v>
      </x:c>
      <x:c r="F3030" s="40" t="n">
        <x:v>13.21097183227539</x:v>
      </x:c>
      <x:c r="G3030" s="40" t="n">
        <x:v>14.5</x:v>
      </x:c>
      <x:c r="H3030" s="40" t="n">
        <x:f>F3030-E3030</x:f>
        <x:v>-1.2890281677246094</x:v>
      </x:c>
      <x:c r="I3030" s="40" t="n">
        <x:f>ABS(H3030)</x:f>
        <x:v>1.2890281677246094</x:v>
      </x:c>
      <x:c r="J3030" s="40" t="n">
        <x:f>H3030^2</x:f>
        <x:v>1.6615936171874637</x:v>
      </x:c>
      <x:c r="K3030" s="40" t="n">
        <x:f>G3030-E3030</x:f>
        <x:v>0</x:v>
      </x:c>
      <x:c r="L3030" s="40" t="n">
        <x:f>ABS(K3030)</x:f>
        <x:v>0</x:v>
      </x:c>
      <x:c r="M3030" s="41" t="str">
        <x:v>lstm-soil-v1</x:v>
      </x:c>
    </x:row>
    <x:row r="3031">
      <x:c r="A3031" s="38" t="str">
        <x:v>7月30日现场数据</x:v>
      </x:c>
      <x:c r="B3031" s="39" t="str">
        <x:v>2026-08-03T04:35:00</x:v>
      </x:c>
      <x:c r="C3031" s="39" t="str">
        <x:v>2026-08-03T05:35:00</x:v>
      </x:c>
      <x:c r="D3031" s="47" t="n">
        <x:v>60</x:v>
      </x:c>
      <x:c r="E3031" s="40" t="n">
        <x:v>14.5</x:v>
      </x:c>
      <x:c r="F3031" s="40" t="n">
        <x:v>14.774085998535156</x:v>
      </x:c>
      <x:c r="G3031" s="40" t="n">
        <x:v>14.5</x:v>
      </x:c>
      <x:c r="H3031" s="40" t="n">
        <x:f>F3031-E3031</x:f>
        <x:v>0.27408599853515625</x:v>
      </x:c>
      <x:c r="I3031" s="40" t="n">
        <x:f>ABS(H3031)</x:f>
        <x:v>0.27408599853515625</x:v>
      </x:c>
      <x:c r="J3031" s="40" t="n">
        <x:f>H3031^2</x:f>
        <x:v>0.07512313459301367</x:v>
      </x:c>
      <x:c r="K3031" s="40" t="n">
        <x:f>G3031-E3031</x:f>
        <x:v>0</x:v>
      </x:c>
      <x:c r="L3031" s="40" t="n">
        <x:f>ABS(K3031)</x:f>
        <x:v>0</x:v>
      </x:c>
      <x:c r="M3031" s="41" t="str">
        <x:v>lstm-soil-v1</x:v>
      </x:c>
    </x:row>
    <x:row r="3032">
      <x:c r="A3032" s="38" t="str">
        <x:v>7月30日现场数据</x:v>
      </x:c>
      <x:c r="B3032" s="39" t="str">
        <x:v>2026-08-03T04:40:00</x:v>
      </x:c>
      <x:c r="C3032" s="39" t="str">
        <x:v>2026-08-03T04:45:00</x:v>
      </x:c>
      <x:c r="D3032" s="47" t="n">
        <x:v>5</x:v>
      </x:c>
      <x:c r="E3032" s="40" t="n">
        <x:v>14.5</x:v>
      </x:c>
      <x:c r="F3032" s="40" t="n">
        <x:v>12.678108215332031</x:v>
      </x:c>
      <x:c r="G3032" s="40" t="n">
        <x:v>14.5</x:v>
      </x:c>
      <x:c r="H3032" s="40" t="n">
        <x:f>F3032-E3032</x:f>
        <x:v>-1.8218917846679688</x:v>
      </x:c>
      <x:c r="I3032" s="40" t="n">
        <x:f>ABS(H3032)</x:f>
        <x:v>1.8218917846679688</x:v>
      </x:c>
      <x:c r="J3032" s="40" t="n">
        <x:f>H3032^2</x:f>
        <x:v>3.319289675040636</x:v>
      </x:c>
      <x:c r="K3032" s="40" t="n">
        <x:f>G3032-E3032</x:f>
        <x:v>0</x:v>
      </x:c>
      <x:c r="L3032" s="40" t="n">
        <x:f>ABS(K3032)</x:f>
        <x:v>0</x:v>
      </x:c>
      <x:c r="M3032" s="41" t="str">
        <x:v>lstm-soil-v1</x:v>
      </x:c>
    </x:row>
    <x:row r="3033">
      <x:c r="A3033" s="38" t="str">
        <x:v>7月30日现场数据</x:v>
      </x:c>
      <x:c r="B3033" s="39" t="str">
        <x:v>2026-08-03T04:40:00</x:v>
      </x:c>
      <x:c r="C3033" s="39" t="str">
        <x:v>2026-08-03T04:55:00</x:v>
      </x:c>
      <x:c r="D3033" s="47" t="n">
        <x:v>15</x:v>
      </x:c>
      <x:c r="E3033" s="40" t="n">
        <x:v>14.5</x:v>
      </x:c>
      <x:c r="F3033" s="40" t="n">
        <x:v>12.742870330810547</x:v>
      </x:c>
      <x:c r="G3033" s="40" t="n">
        <x:v>14.5</x:v>
      </x:c>
      <x:c r="H3033" s="40" t="n">
        <x:f>F3033-E3033</x:f>
        <x:v>-1.7571296691894531</x:v>
      </x:c>
      <x:c r="I3033" s="40" t="n">
        <x:f>ABS(H3033)</x:f>
        <x:v>1.7571296691894531</x:v>
      </x:c>
      <x:c r="J3033" s="40" t="n">
        <x:f>H3033^2</x:f>
        <x:v>3.087504674345837</x:v>
      </x:c>
      <x:c r="K3033" s="40" t="n">
        <x:f>G3033-E3033</x:f>
        <x:v>0</x:v>
      </x:c>
      <x:c r="L3033" s="40" t="n">
        <x:f>ABS(K3033)</x:f>
        <x:v>0</x:v>
      </x:c>
      <x:c r="M3033" s="41" t="str">
        <x:v>lstm-soil-v1</x:v>
      </x:c>
    </x:row>
    <x:row r="3034">
      <x:c r="A3034" s="38" t="str">
        <x:v>7月30日现场数据</x:v>
      </x:c>
      <x:c r="B3034" s="39" t="str">
        <x:v>2026-08-03T04:40:00</x:v>
      </x:c>
      <x:c r="C3034" s="39" t="str">
        <x:v>2026-08-03T05:10:00</x:v>
      </x:c>
      <x:c r="D3034" s="47" t="n">
        <x:v>30</x:v>
      </x:c>
      <x:c r="E3034" s="40" t="n">
        <x:v>14.5</x:v>
      </x:c>
      <x:c r="F3034" s="40" t="n">
        <x:v>13.2115478515625</x:v>
      </x:c>
      <x:c r="G3034" s="40" t="n">
        <x:v>14.5</x:v>
      </x:c>
      <x:c r="H3034" s="40" t="n">
        <x:f>F3034-E3034</x:f>
        <x:v>-1.2884521484375</x:v>
      </x:c>
      <x:c r="I3034" s="40" t="n">
        <x:f>ABS(H3034)</x:f>
        <x:v>1.2884521484375</x:v>
      </x:c>
      <x:c r="J3034" s="40" t="n">
        <x:f>H3034^2</x:f>
        <x:v>1.6601089388132095</x:v>
      </x:c>
      <x:c r="K3034" s="40" t="n">
        <x:f>G3034-E3034</x:f>
        <x:v>0</x:v>
      </x:c>
      <x:c r="L3034" s="40" t="n">
        <x:f>ABS(K3034)</x:f>
        <x:v>0</x:v>
      </x:c>
      <x:c r="M3034" s="41" t="str">
        <x:v>lstm-soil-v1</x:v>
      </x:c>
    </x:row>
    <x:row r="3035">
      <x:c r="A3035" s="38" t="str">
        <x:v>7月30日现场数据</x:v>
      </x:c>
      <x:c r="B3035" s="39" t="str">
        <x:v>2026-08-03T04:40:00</x:v>
      </x:c>
      <x:c r="C3035" s="39" t="str">
        <x:v>2026-08-03T05:40:00</x:v>
      </x:c>
      <x:c r="D3035" s="47" t="n">
        <x:v>60</x:v>
      </x:c>
      <x:c r="E3035" s="40" t="n">
        <x:v>14.4</x:v>
      </x:c>
      <x:c r="F3035" s="40" t="n">
        <x:v>14.774658203125</x:v>
      </x:c>
      <x:c r="G3035" s="40" t="n">
        <x:v>14.5</x:v>
      </x:c>
      <x:c r="H3035" s="40" t="n">
        <x:f>F3035-E3035</x:f>
        <x:v>0.37465820312499964</x:v>
      </x:c>
      <x:c r="I3035" s="40" t="n">
        <x:f>ABS(H3035)</x:f>
        <x:v>0.37465820312499964</x:v>
      </x:c>
      <x:c r="J3035" s="40" t="n">
        <x:f>H3035^2</x:f>
        <x:v>0.1403687691688535</x:v>
      </x:c>
      <x:c r="K3035" s="40" t="n">
        <x:f>G3035-E3035</x:f>
        <x:v>0.09999999999999964</x:v>
      </x:c>
      <x:c r="L3035" s="40" t="n">
        <x:f>ABS(K3035)</x:f>
        <x:v>0.09999999999999964</x:v>
      </x:c>
      <x:c r="M3035" s="41" t="str">
        <x:v>lstm-soil-v1</x:v>
      </x:c>
    </x:row>
    <x:row r="3036">
      <x:c r="A3036" s="38" t="str">
        <x:v>7月30日现场数据</x:v>
      </x:c>
      <x:c r="B3036" s="39" t="str">
        <x:v>2026-08-03T04:45:00</x:v>
      </x:c>
      <x:c r="C3036" s="39" t="str">
        <x:v>2026-08-03T04:50:00</x:v>
      </x:c>
      <x:c r="D3036" s="47" t="n">
        <x:v>5</x:v>
      </x:c>
      <x:c r="E3036" s="40" t="n">
        <x:v>14.5</x:v>
      </x:c>
      <x:c r="F3036" s="40" t="n">
        <x:v>12.678413391113281</x:v>
      </x:c>
      <x:c r="G3036" s="40" t="n">
        <x:v>14.5</x:v>
      </x:c>
      <x:c r="H3036" s="40" t="n">
        <x:f>F3036-E3036</x:f>
        <x:v>-1.8215866088867188</x:v>
      </x:c>
      <x:c r="I3036" s="40" t="n">
        <x:f>ABS(H3036)</x:f>
        <x:v>1.8215866088867188</x:v>
      </x:c>
      <x:c r="J3036" s="40" t="n">
        <x:f>H3036^2</x:f>
        <x:v>3.3181777736754157</x:v>
      </x:c>
      <x:c r="K3036" s="40" t="n">
        <x:f>G3036-E3036</x:f>
        <x:v>0</x:v>
      </x:c>
      <x:c r="L3036" s="40" t="n">
        <x:f>ABS(K3036)</x:f>
        <x:v>0</x:v>
      </x:c>
      <x:c r="M3036" s="41" t="str">
        <x:v>lstm-soil-v1</x:v>
      </x:c>
    </x:row>
    <x:row r="3037">
      <x:c r="A3037" s="38" t="str">
        <x:v>7月30日现场数据</x:v>
      </x:c>
      <x:c r="B3037" s="39" t="str">
        <x:v>2026-08-03T04:45:00</x:v>
      </x:c>
      <x:c r="C3037" s="39" t="str">
        <x:v>2026-08-03T05:00:00</x:v>
      </x:c>
      <x:c r="D3037" s="47" t="n">
        <x:v>15</x:v>
      </x:c>
      <x:c r="E3037" s="40" t="n">
        <x:v>14.5</x:v>
      </x:c>
      <x:c r="F3037" s="40" t="n">
        <x:v>12.743026733398438</x:v>
      </x:c>
      <x:c r="G3037" s="40" t="n">
        <x:v>14.5</x:v>
      </x:c>
      <x:c r="H3037" s="40" t="n">
        <x:f>F3037-E3037</x:f>
        <x:v>-1.7569732666015625</x:v>
      </x:c>
      <x:c r="I3037" s="40" t="n">
        <x:f>ABS(H3037)</x:f>
        <x:v>1.7569732666015625</x:v>
      </x:c>
      <x:c r="J3037" s="40" t="n">
        <x:f>H3037^2</x:f>
        <x:v>3.086955059552565</x:v>
      </x:c>
      <x:c r="K3037" s="40" t="n">
        <x:f>G3037-E3037</x:f>
        <x:v>0</x:v>
      </x:c>
      <x:c r="L3037" s="40" t="n">
        <x:f>ABS(K3037)</x:f>
        <x:v>0</x:v>
      </x:c>
      <x:c r="M3037" s="41" t="str">
        <x:v>lstm-soil-v1</x:v>
      </x:c>
    </x:row>
    <x:row r="3038">
      <x:c r="A3038" s="38" t="str">
        <x:v>7月30日现场数据</x:v>
      </x:c>
      <x:c r="B3038" s="39" t="str">
        <x:v>2026-08-03T04:45:00</x:v>
      </x:c>
      <x:c r="C3038" s="39" t="str">
        <x:v>2026-08-03T05:15:00</x:v>
      </x:c>
      <x:c r="D3038" s="47" t="n">
        <x:v>30</x:v>
      </x:c>
      <x:c r="E3038" s="40" t="n">
        <x:v>14.5</x:v>
      </x:c>
      <x:c r="F3038" s="40" t="n">
        <x:v>13.211925506591797</x:v>
      </x:c>
      <x:c r="G3038" s="40" t="n">
        <x:v>14.5</x:v>
      </x:c>
      <x:c r="H3038" s="40" t="n">
        <x:f>F3038-E3038</x:f>
        <x:v>-1.2880744934082031</x:v>
      </x:c>
      <x:c r="I3038" s="40" t="n">
        <x:f>ABS(H3038)</x:f>
        <x:v>1.2880744934082031</x:v>
      </x:c>
      <x:c r="J3038" s="40" t="n">
        <x:f>H3038^2</x:f>
        <x:v>1.6591359005687991</x:v>
      </x:c>
      <x:c r="K3038" s="40" t="n">
        <x:f>G3038-E3038</x:f>
        <x:v>0</x:v>
      </x:c>
      <x:c r="L3038" s="40" t="n">
        <x:f>ABS(K3038)</x:f>
        <x:v>0</x:v>
      </x:c>
      <x:c r="M3038" s="41" t="str">
        <x:v>lstm-soil-v1</x:v>
      </x:c>
    </x:row>
    <x:row r="3039">
      <x:c r="A3039" s="38" t="str">
        <x:v>7月30日现场数据</x:v>
      </x:c>
      <x:c r="B3039" s="39" t="str">
        <x:v>2026-08-03T04:45:00</x:v>
      </x:c>
      <x:c r="C3039" s="39" t="str">
        <x:v>2026-08-03T05:45:00</x:v>
      </x:c>
      <x:c r="D3039" s="47" t="n">
        <x:v>60</x:v>
      </x:c>
      <x:c r="E3039" s="40" t="n">
        <x:v>14.5</x:v>
      </x:c>
      <x:c r="F3039" s="40" t="n">
        <x:v>14.775035858154297</x:v>
      </x:c>
      <x:c r="G3039" s="40" t="n">
        <x:v>14.5</x:v>
      </x:c>
      <x:c r="H3039" s="40" t="n">
        <x:f>F3039-E3039</x:f>
        <x:v>0.2750358581542969</x:v>
      </x:c>
      <x:c r="I3039" s="40" t="n">
        <x:f>ABS(H3039)</x:f>
        <x:v>0.2750358581542969</x:v>
      </x:c>
      <x:c r="J3039" s="40" t="n">
        <x:f>H3039^2</x:f>
        <x:v>0.07564472327067051</x:v>
      </x:c>
      <x:c r="K3039" s="40" t="n">
        <x:f>G3039-E3039</x:f>
        <x:v>0</x:v>
      </x:c>
      <x:c r="L3039" s="40" t="n">
        <x:f>ABS(K3039)</x:f>
        <x:v>0</x:v>
      </x:c>
      <x:c r="M3039" s="41" t="str">
        <x:v>lstm-soil-v1</x:v>
      </x:c>
    </x:row>
    <x:row r="3040">
      <x:c r="A3040" s="38" t="str">
        <x:v>7月30日现场数据</x:v>
      </x:c>
      <x:c r="B3040" s="39" t="str">
        <x:v>2026-08-03T04:50:00</x:v>
      </x:c>
      <x:c r="C3040" s="39" t="str">
        <x:v>2026-08-03T04:55:00</x:v>
      </x:c>
      <x:c r="D3040" s="47" t="n">
        <x:v>5</x:v>
      </x:c>
      <x:c r="E3040" s="40" t="n">
        <x:v>14.5</x:v>
      </x:c>
      <x:c r="F3040" s="40" t="n">
        <x:v>12.678646087646484</x:v>
      </x:c>
      <x:c r="G3040" s="40" t="n">
        <x:v>14.5</x:v>
      </x:c>
      <x:c r="H3040" s="40" t="n">
        <x:f>F3040-E3040</x:f>
        <x:v>-1.8213539123535156</x:v>
      </x:c>
      <x:c r="I3040" s="40" t="n">
        <x:f>ABS(H3040)</x:f>
        <x:v>1.8213539123535156</x:v>
      </x:c>
      <x:c r="J3040" s="40" t="n">
        <x:f>H3040^2</x:f>
        <x:v>3.317330074045458</x:v>
      </x:c>
      <x:c r="K3040" s="40" t="n">
        <x:f>G3040-E3040</x:f>
        <x:v>0</x:v>
      </x:c>
      <x:c r="L3040" s="40" t="n">
        <x:f>ABS(K3040)</x:f>
        <x:v>0</x:v>
      </x:c>
      <x:c r="M3040" s="41" t="str">
        <x:v>lstm-soil-v1</x:v>
      </x:c>
    </x:row>
    <x:row r="3041">
      <x:c r="A3041" s="38" t="str">
        <x:v>7月30日现场数据</x:v>
      </x:c>
      <x:c r="B3041" s="39" t="str">
        <x:v>2026-08-03T04:50:00</x:v>
      </x:c>
      <x:c r="C3041" s="39" t="str">
        <x:v>2026-08-03T05:05:00</x:v>
      </x:c>
      <x:c r="D3041" s="47" t="n">
        <x:v>15</x:v>
      </x:c>
      <x:c r="E3041" s="40" t="n">
        <x:v>14.5</x:v>
      </x:c>
      <x:c r="F3041" s="40" t="n">
        <x:v>12.743183135986328</x:v>
      </x:c>
      <x:c r="G3041" s="40" t="n">
        <x:v>14.5</x:v>
      </x:c>
      <x:c r="H3041" s="40" t="n">
        <x:f>F3041-E3041</x:f>
        <x:v>-1.7568168640136719</x:v>
      </x:c>
      <x:c r="I3041" s="40" t="n">
        <x:f>ABS(H3041)</x:f>
        <x:v>1.7568168640136719</x:v>
      </x:c>
      <x:c r="J3041" s="40" t="n">
        <x:f>H3041^2</x:f>
        <x:v>3.0864054936828325</x:v>
      </x:c>
      <x:c r="K3041" s="40" t="n">
        <x:f>G3041-E3041</x:f>
        <x:v>0</x:v>
      </x:c>
      <x:c r="L3041" s="40" t="n">
        <x:f>ABS(K3041)</x:f>
        <x:v>0</x:v>
      </x:c>
      <x:c r="M3041" s="41" t="str">
        <x:v>lstm-soil-v1</x:v>
      </x:c>
    </x:row>
    <x:row r="3042">
      <x:c r="A3042" s="38" t="str">
        <x:v>7月30日现场数据</x:v>
      </x:c>
      <x:c r="B3042" s="39" t="str">
        <x:v>2026-08-03T04:50:00</x:v>
      </x:c>
      <x:c r="C3042" s="39" t="str">
        <x:v>2026-08-03T05:20:00</x:v>
      </x:c>
      <x:c r="D3042" s="47" t="n">
        <x:v>30</x:v>
      </x:c>
      <x:c r="E3042" s="40" t="n">
        <x:v>14.5</x:v>
      </x:c>
      <x:c r="F3042" s="40" t="n">
        <x:v>13.212196350097656</x:v>
      </x:c>
      <x:c r="G3042" s="40" t="n">
        <x:v>14.5</x:v>
      </x:c>
      <x:c r="H3042" s="40" t="n">
        <x:f>F3042-E3042</x:f>
        <x:v>-1.2878036499023438</x:v>
      </x:c>
      <x:c r="I3042" s="40" t="n">
        <x:f>ABS(H3042)</x:f>
        <x:v>1.2878036499023438</x:v>
      </x:c>
      <x:c r="J3042" s="40" t="n">
        <x:f>H3042^2</x:f>
        <x:v>1.6584382407017983</x:v>
      </x:c>
      <x:c r="K3042" s="40" t="n">
        <x:f>G3042-E3042</x:f>
        <x:v>0</x:v>
      </x:c>
      <x:c r="L3042" s="40" t="n">
        <x:f>ABS(K3042)</x:f>
        <x:v>0</x:v>
      </x:c>
      <x:c r="M3042" s="41" t="str">
        <x:v>lstm-soil-v1</x:v>
      </x:c>
    </x:row>
    <x:row r="3043">
      <x:c r="A3043" s="38" t="str">
        <x:v>7月30日现场数据</x:v>
      </x:c>
      <x:c r="B3043" s="39" t="str">
        <x:v>2026-08-03T04:50:00</x:v>
      </x:c>
      <x:c r="C3043" s="39" t="str">
        <x:v>2026-08-03T05:50:00</x:v>
      </x:c>
      <x:c r="D3043" s="47" t="n">
        <x:v>60</x:v>
      </x:c>
      <x:c r="E3043" s="40" t="n">
        <x:v>14.5</x:v>
      </x:c>
      <x:c r="F3043" s="40" t="n">
        <x:v>14.7752685546875</x:v>
      </x:c>
      <x:c r="G3043" s="40" t="n">
        <x:v>14.5</x:v>
      </x:c>
      <x:c r="H3043" s="40" t="n">
        <x:f>F3043-E3043</x:f>
        <x:v>0.2752685546875</x:v>
      </x:c>
      <x:c r="I3043" s="40" t="n">
        <x:f>ABS(H3043)</x:f>
        <x:v>0.2752685546875</x:v>
      </x:c>
      <x:c r="J3043" s="40" t="n">
        <x:f>H3043^2</x:f>
        <x:v>0.07577277719974518</x:v>
      </x:c>
      <x:c r="K3043" s="40" t="n">
        <x:f>G3043-E3043</x:f>
        <x:v>0</x:v>
      </x:c>
      <x:c r="L3043" s="40" t="n">
        <x:f>ABS(K3043)</x:f>
        <x:v>0</x:v>
      </x:c>
      <x:c r="M3043" s="41" t="str">
        <x:v>lstm-soil-v1</x:v>
      </x:c>
    </x:row>
    <x:row r="3044">
      <x:c r="A3044" s="38" t="str">
        <x:v>7月30日现场数据</x:v>
      </x:c>
      <x:c r="B3044" s="39" t="str">
        <x:v>2026-08-03T04:55:00</x:v>
      </x:c>
      <x:c r="C3044" s="39" t="str">
        <x:v>2026-08-03T05:00:00</x:v>
      </x:c>
      <x:c r="D3044" s="47" t="n">
        <x:v>5</x:v>
      </x:c>
      <x:c r="E3044" s="40" t="n">
        <x:v>14.5</x:v>
      </x:c>
      <x:c r="F3044" s="40" t="n">
        <x:v>12.678821563720703</x:v>
      </x:c>
      <x:c r="G3044" s="40" t="n">
        <x:v>14.5</x:v>
      </x:c>
      <x:c r="H3044" s="40" t="n">
        <x:f>F3044-E3044</x:f>
        <x:v>-1.8211784362792969</x:v>
      </x:c>
      <x:c r="I3044" s="40" t="n">
        <x:f>ABS(H3044)</x:f>
        <x:v>1.8211784362792969</x:v>
      </x:c>
      <x:c r="J3044" s="40" t="n">
        <x:f>H3044^2</x:f>
        <x:v>3.316690896768705</x:v>
      </x:c>
      <x:c r="K3044" s="40" t="n">
        <x:f>G3044-E3044</x:f>
        <x:v>0</x:v>
      </x:c>
      <x:c r="L3044" s="40" t="n">
        <x:f>ABS(K3044)</x:f>
        <x:v>0</x:v>
      </x:c>
      <x:c r="M3044" s="41" t="str">
        <x:v>lstm-soil-v1</x:v>
      </x:c>
    </x:row>
    <x:row r="3045">
      <x:c r="A3045" s="38" t="str">
        <x:v>7月30日现场数据</x:v>
      </x:c>
      <x:c r="B3045" s="39" t="str">
        <x:v>2026-08-03T04:55:00</x:v>
      </x:c>
      <x:c r="C3045" s="39" t="str">
        <x:v>2026-08-03T05:10:00</x:v>
      </x:c>
      <x:c r="D3045" s="47" t="n">
        <x:v>15</x:v>
      </x:c>
      <x:c r="E3045" s="40" t="n">
        <x:v>14.5</x:v>
      </x:c>
      <x:c r="F3045" s="40" t="n">
        <x:v>12.743339538574219</x:v>
      </x:c>
      <x:c r="G3045" s="40" t="n">
        <x:v>14.5</x:v>
      </x:c>
      <x:c r="H3045" s="40" t="n">
        <x:f>F3045-E3045</x:f>
        <x:v>-1.7566604614257812</x:v>
      </x:c>
      <x:c r="I3045" s="40" t="n">
        <x:f>ABS(H3045)</x:f>
        <x:v>1.7566604614257812</x:v>
      </x:c>
      <x:c r="J3045" s="40" t="n">
        <x:f>H3045^2</x:f>
        <x:v>3.0858559767366387</x:v>
      </x:c>
      <x:c r="K3045" s="40" t="n">
        <x:f>G3045-E3045</x:f>
        <x:v>0</x:v>
      </x:c>
      <x:c r="L3045" s="40" t="n">
        <x:f>ABS(K3045)</x:f>
        <x:v>0</x:v>
      </x:c>
      <x:c r="M3045" s="41" t="str">
        <x:v>lstm-soil-v1</x:v>
      </x:c>
    </x:row>
    <x:row r="3046">
      <x:c r="A3046" s="38" t="str">
        <x:v>7月30日现场数据</x:v>
      </x:c>
      <x:c r="B3046" s="39" t="str">
        <x:v>2026-08-03T04:55:00</x:v>
      </x:c>
      <x:c r="C3046" s="39" t="str">
        <x:v>2026-08-03T05:25:00</x:v>
      </x:c>
      <x:c r="D3046" s="47" t="n">
        <x:v>30</x:v>
      </x:c>
      <x:c r="E3046" s="40" t="n">
        <x:v>14.5</x:v>
      </x:c>
      <x:c r="F3046" s="40" t="n">
        <x:v>13.212387084960938</x:v>
      </x:c>
      <x:c r="G3046" s="40" t="n">
        <x:v>14.5</x:v>
      </x:c>
      <x:c r="H3046" s="40" t="n">
        <x:f>F3046-E3046</x:f>
        <x:v>-1.2876129150390625</x:v>
      </x:c>
      <x:c r="I3046" s="40" t="n">
        <x:f>ABS(H3046)</x:f>
        <x:v>1.2876129150390625</x:v>
      </x:c>
      <x:c r="J3046" s="40" t="n">
        <x:f>H3046^2</x:f>
        <x:v>1.657947018975392</x:v>
      </x:c>
      <x:c r="K3046" s="40" t="n">
        <x:f>G3046-E3046</x:f>
        <x:v>0</x:v>
      </x:c>
      <x:c r="L3046" s="40" t="n">
        <x:f>ABS(K3046)</x:f>
        <x:v>0</x:v>
      </x:c>
      <x:c r="M3046" s="41" t="str">
        <x:v>lstm-soil-v1</x:v>
      </x:c>
    </x:row>
    <x:row r="3047">
      <x:c r="A3047" s="38" t="str">
        <x:v>7月30日现场数据</x:v>
      </x:c>
      <x:c r="B3047" s="39" t="str">
        <x:v>2026-08-03T04:55:00</x:v>
      </x:c>
      <x:c r="C3047" s="39" t="str">
        <x:v>2026-08-03T05:55:00</x:v>
      </x:c>
      <x:c r="D3047" s="47" t="n">
        <x:v>60</x:v>
      </x:c>
      <x:c r="E3047" s="40" t="n">
        <x:v>14.5</x:v>
      </x:c>
      <x:c r="F3047" s="40" t="n">
        <x:v>14.775413513183594</x:v>
      </x:c>
      <x:c r="G3047" s="40" t="n">
        <x:v>14.5</x:v>
      </x:c>
      <x:c r="H3047" s="40" t="n">
        <x:f>F3047-E3047</x:f>
        <x:v>0.27541351318359375</x:v>
      </x:c>
      <x:c r="I3047" s="40" t="n">
        <x:f>ABS(H3047)</x:f>
        <x:v>0.27541351318359375</x:v>
      </x:c>
      <x:c r="J3047" s="40" t="n">
        <x:f>H3047^2</x:f>
        <x:v>0.07585260324412957</x:v>
      </x:c>
      <x:c r="K3047" s="40" t="n">
        <x:f>G3047-E3047</x:f>
        <x:v>0</x:v>
      </x:c>
      <x:c r="L3047" s="40" t="n">
        <x:f>ABS(K3047)</x:f>
        <x:v>0</x:v>
      </x:c>
      <x:c r="M3047" s="41" t="str">
        <x:v>lstm-soil-v1</x:v>
      </x:c>
    </x:row>
    <x:row r="3048">
      <x:c r="A3048" s="38" t="str">
        <x:v>7月30日现场数据</x:v>
      </x:c>
      <x:c r="B3048" s="39" t="str">
        <x:v>2026-08-03T05:00:00</x:v>
      </x:c>
      <x:c r="C3048" s="39" t="str">
        <x:v>2026-08-03T05:05:00</x:v>
      </x:c>
      <x:c r="D3048" s="47" t="n">
        <x:v>5</x:v>
      </x:c>
      <x:c r="E3048" s="40" t="n">
        <x:v>14.5</x:v>
      </x:c>
      <x:c r="F3048" s="40" t="n">
        <x:v>12.678260803222656</x:v>
      </x:c>
      <x:c r="G3048" s="40" t="n">
        <x:v>14.5</x:v>
      </x:c>
      <x:c r="H3048" s="40" t="n">
        <x:f>F3048-E3048</x:f>
        <x:v>-1.8217391967773438</x:v>
      </x:c>
      <x:c r="I3048" s="40" t="n">
        <x:f>ABS(H3048)</x:f>
        <x:v>1.8217391967773438</x:v>
      </x:c>
      <x:c r="J3048" s="40" t="n">
        <x:f>H3048^2</x:f>
        <x:v>3.3187337010749616</x:v>
      </x:c>
      <x:c r="K3048" s="40" t="n">
        <x:f>G3048-E3048</x:f>
        <x:v>0</x:v>
      </x:c>
      <x:c r="L3048" s="40" t="n">
        <x:f>ABS(K3048)</x:f>
        <x:v>0</x:v>
      </x:c>
      <x:c r="M3048" s="41" t="str">
        <x:v>lstm-soil-v1</x:v>
      </x:c>
    </x:row>
    <x:row r="3049">
      <x:c r="A3049" s="38" t="str">
        <x:v>7月30日现场数据</x:v>
      </x:c>
      <x:c r="B3049" s="39" t="str">
        <x:v>2026-08-03T05:00:00</x:v>
      </x:c>
      <x:c r="C3049" s="39" t="str">
        <x:v>2026-08-03T05:15:00</x:v>
      </x:c>
      <x:c r="D3049" s="47" t="n">
        <x:v>15</x:v>
      </x:c>
      <x:c r="E3049" s="40" t="n">
        <x:v>14.5</x:v>
      </x:c>
      <x:c r="F3049" s="40" t="n">
        <x:v>12.742378234863281</x:v>
      </x:c>
      <x:c r="G3049" s="40" t="n">
        <x:v>14.5</x:v>
      </x:c>
      <x:c r="H3049" s="40" t="n">
        <x:f>F3049-E3049</x:f>
        <x:v>-1.7576217651367188</x:v>
      </x:c>
      <x:c r="I3049" s="40" t="n">
        <x:f>ABS(H3049)</x:f>
        <x:v>1.7576217651367188</x:v>
      </x:c>
      <x:c r="J3049" s="40" t="n">
        <x:f>H3049^2</x:f>
        <x:v>3.089234269282315</x:v>
      </x:c>
      <x:c r="K3049" s="40" t="n">
        <x:f>G3049-E3049</x:f>
        <x:v>0</x:v>
      </x:c>
      <x:c r="L3049" s="40" t="n">
        <x:f>ABS(K3049)</x:f>
        <x:v>0</x:v>
      </x:c>
      <x:c r="M3049" s="41" t="str">
        <x:v>lstm-soil-v1</x:v>
      </x:c>
    </x:row>
    <x:row r="3050">
      <x:c r="A3050" s="38" t="str">
        <x:v>7月30日现场数据</x:v>
      </x:c>
      <x:c r="B3050" s="39" t="str">
        <x:v>2026-08-03T05:00:00</x:v>
      </x:c>
      <x:c r="C3050" s="39" t="str">
        <x:v>2026-08-03T05:30:00</x:v>
      </x:c>
      <x:c r="D3050" s="47" t="n">
        <x:v>30</x:v>
      </x:c>
      <x:c r="E3050" s="40" t="n">
        <x:v>14.5</x:v>
      </x:c>
      <x:c r="F3050" s="40" t="n">
        <x:v>13.211406707763672</x:v>
      </x:c>
      <x:c r="G3050" s="40" t="n">
        <x:v>14.5</x:v>
      </x:c>
      <x:c r="H3050" s="40" t="n">
        <x:f>F3050-E3050</x:f>
        <x:v>-1.2885932922363281</x:v>
      </x:c>
      <x:c r="I3050" s="40" t="n">
        <x:f>ABS(H3050)</x:f>
        <x:v>1.2885932922363281</x:v>
      </x:c>
      <x:c r="J3050" s="40" t="n">
        <x:f>H3050^2</x:f>
        <x:v>1.660472672796459</x:v>
      </x:c>
      <x:c r="K3050" s="40" t="n">
        <x:f>G3050-E3050</x:f>
        <x:v>0</x:v>
      </x:c>
      <x:c r="L3050" s="40" t="n">
        <x:f>ABS(K3050)</x:f>
        <x:v>0</x:v>
      </x:c>
      <x:c r="M3050" s="41" t="str">
        <x:v>lstm-soil-v1</x:v>
      </x:c>
    </x:row>
    <x:row r="3051">
      <x:c r="A3051" s="38" t="str">
        <x:v>7月30日现场数据</x:v>
      </x:c>
      <x:c r="B3051" s="39" t="str">
        <x:v>2026-08-03T05:00:00</x:v>
      </x:c>
      <x:c r="C3051" s="39" t="str">
        <x:v>2026-08-03T06:00:00</x:v>
      </x:c>
      <x:c r="D3051" s="47" t="n">
        <x:v>60</x:v>
      </x:c>
      <x:c r="E3051" s="40" t="n">
        <x:v>14.5</x:v>
      </x:c>
      <x:c r="F3051" s="40" t="n">
        <x:v>14.777061462402344</x:v>
      </x:c>
      <x:c r="G3051" s="40" t="n">
        <x:v>14.5</x:v>
      </x:c>
      <x:c r="H3051" s="40" t="n">
        <x:f>F3051-E3051</x:f>
        <x:v>0.27706146240234375</x:v>
      </x:c>
      <x:c r="I3051" s="40" t="n">
        <x:f>ABS(H3051)</x:f>
        <x:v>0.27706146240234375</x:v>
      </x:c>
      <x:c r="J3051" s="40" t="n">
        <x:f>H3051^2</x:f>
        <x:v>0.07676305394852534</x:v>
      </x:c>
      <x:c r="K3051" s="40" t="n">
        <x:f>G3051-E3051</x:f>
        <x:v>0</x:v>
      </x:c>
      <x:c r="L3051" s="40" t="n">
        <x:f>ABS(K3051)</x:f>
        <x:v>0</x:v>
      </x:c>
      <x:c r="M3051" s="41" t="str">
        <x:v>lstm-soil-v1</x:v>
      </x:c>
    </x:row>
    <x:row r="3052">
      <x:c r="A3052" s="38" t="str">
        <x:v>7月30日现场数据</x:v>
      </x:c>
      <x:c r="B3052" s="39" t="str">
        <x:v>2026-08-03T05:05:00</x:v>
      </x:c>
      <x:c r="C3052" s="39" t="str">
        <x:v>2026-08-03T05:10:00</x:v>
      </x:c>
      <x:c r="D3052" s="47" t="n">
        <x:v>5</x:v>
      </x:c>
      <x:c r="E3052" s="40" t="n">
        <x:v>14.5</x:v>
      </x:c>
      <x:c r="F3052" s="40" t="n">
        <x:v>12.677555084228516</x:v>
      </x:c>
      <x:c r="G3052" s="40" t="n">
        <x:v>14.5</x:v>
      </x:c>
      <x:c r="H3052" s="40" t="n">
        <x:f>F3052-E3052</x:f>
        <x:v>-1.8224449157714844</x:v>
      </x:c>
      <x:c r="I3052" s="40" t="n">
        <x:f>ABS(H3052)</x:f>
        <x:v>1.8224449157714844</x:v>
      </x:c>
      <x:c r="J3052" s="40" t="n">
        <x:f>H3052^2</x:f>
        <x:v>3.321305471021333</x:v>
      </x:c>
      <x:c r="K3052" s="40" t="n">
        <x:f>G3052-E3052</x:f>
        <x:v>0</x:v>
      </x:c>
      <x:c r="L3052" s="40" t="n">
        <x:f>ABS(K3052)</x:f>
        <x:v>0</x:v>
      </x:c>
      <x:c r="M3052" s="41" t="str">
        <x:v>lstm-soil-v1</x:v>
      </x:c>
    </x:row>
    <x:row r="3053">
      <x:c r="A3053" s="38" t="str">
        <x:v>7月30日现场数据</x:v>
      </x:c>
      <x:c r="B3053" s="39" t="str">
        <x:v>2026-08-03T05:05:00</x:v>
      </x:c>
      <x:c r="C3053" s="39" t="str">
        <x:v>2026-08-03T05:20:00</x:v>
      </x:c>
      <x:c r="D3053" s="47" t="n">
        <x:v>15</x:v>
      </x:c>
      <x:c r="E3053" s="40" t="n">
        <x:v>14.5</x:v>
      </x:c>
      <x:c r="F3053" s="40" t="n">
        <x:v>12.742374420166016</x:v>
      </x:c>
      <x:c r="G3053" s="40" t="n">
        <x:v>14.5</x:v>
      </x:c>
      <x:c r="H3053" s="40" t="n">
        <x:f>F3053-E3053</x:f>
        <x:v>-1.7576255798339844</x:v>
      </x:c>
      <x:c r="I3053" s="40" t="n">
        <x:f>ABS(H3053)</x:f>
        <x:v>1.7576255798339844</x:v>
      </x:c>
      <x:c r="J3053" s="40" t="n">
        <x:f>H3053^2</x:f>
        <x:v>3.08924767888675</x:v>
      </x:c>
      <x:c r="K3053" s="40" t="n">
        <x:f>G3053-E3053</x:f>
        <x:v>0</x:v>
      </x:c>
      <x:c r="L3053" s="40" t="n">
        <x:f>ABS(K3053)</x:f>
        <x:v>0</x:v>
      </x:c>
      <x:c r="M3053" s="41" t="str">
        <x:v>lstm-soil-v1</x:v>
      </x:c>
    </x:row>
    <x:row r="3054">
      <x:c r="A3054" s="38" t="str">
        <x:v>7月30日现场数据</x:v>
      </x:c>
      <x:c r="B3054" s="39" t="str">
        <x:v>2026-08-03T05:05:00</x:v>
      </x:c>
      <x:c r="C3054" s="39" t="str">
        <x:v>2026-08-03T05:35:00</x:v>
      </x:c>
      <x:c r="D3054" s="47" t="n">
        <x:v>30</x:v>
      </x:c>
      <x:c r="E3054" s="40" t="n">
        <x:v>14.5</x:v>
      </x:c>
      <x:c r="F3054" s="40" t="n">
        <x:v>13.211421966552734</x:v>
      </x:c>
      <x:c r="G3054" s="40" t="n">
        <x:v>14.5</x:v>
      </x:c>
      <x:c r="H3054" s="40" t="n">
        <x:f>F3054-E3054</x:f>
        <x:v>-1.2885780334472656</x:v>
      </x:c>
      <x:c r="I3054" s="40" t="n">
        <x:f>ABS(H3054)</x:f>
        <x:v>1.2885780334472656</x:v>
      </x:c>
      <x:c r="J3054" s="40" t="n">
        <x:f>H3054^2</x:f>
        <x:v>1.6604333482828224</x:v>
      </x:c>
      <x:c r="K3054" s="40" t="n">
        <x:f>G3054-E3054</x:f>
        <x:v>0</x:v>
      </x:c>
      <x:c r="L3054" s="40" t="n">
        <x:f>ABS(K3054)</x:f>
        <x:v>0</x:v>
      </x:c>
      <x:c r="M3054" s="41" t="str">
        <x:v>lstm-soil-v1</x:v>
      </x:c>
    </x:row>
    <x:row r="3055">
      <x:c r="A3055" s="38" t="str">
        <x:v>7月30日现场数据</x:v>
      </x:c>
      <x:c r="B3055" s="39" t="str">
        <x:v>2026-08-03T05:05:00</x:v>
      </x:c>
      <x:c r="C3055" s="39" t="str">
        <x:v>2026-08-03T06:05:00</x:v>
      </x:c>
      <x:c r="D3055" s="47" t="n">
        <x:v>60</x:v>
      </x:c>
      <x:c r="E3055" s="40" t="n">
        <x:v>14.5</x:v>
      </x:c>
      <x:c r="F3055" s="40" t="n">
        <x:v>14.777729034423828</x:v>
      </x:c>
      <x:c r="G3055" s="40" t="n">
        <x:v>14.5</x:v>
      </x:c>
      <x:c r="H3055" s="40" t="n">
        <x:f>F3055-E3055</x:f>
        <x:v>0.2777290344238281</x:v>
      </x:c>
      <x:c r="I3055" s="40" t="n">
        <x:f>ABS(H3055)</x:f>
        <x:v>0.2777290344238281</x:v>
      </x:c>
      <x:c r="J3055" s="40" t="n">
        <x:f>H3055^2</x:f>
        <x:v>0.07713341656199191</x:v>
      </x:c>
      <x:c r="K3055" s="40" t="n">
        <x:f>G3055-E3055</x:f>
        <x:v>0</x:v>
      </x:c>
      <x:c r="L3055" s="40" t="n">
        <x:f>ABS(K3055)</x:f>
        <x:v>0</x:v>
      </x:c>
      <x:c r="M3055" s="41" t="str">
        <x:v>lstm-soil-v1</x:v>
      </x:c>
    </x:row>
    <x:row r="3056">
      <x:c r="A3056" s="38" t="str">
        <x:v>7月30日现场数据</x:v>
      </x:c>
      <x:c r="B3056" s="39" t="str">
        <x:v>2026-08-03T05:10:00</x:v>
      </x:c>
      <x:c r="C3056" s="39" t="str">
        <x:v>2026-08-03T05:15:00</x:v>
      </x:c>
      <x:c r="D3056" s="47" t="n">
        <x:v>5</x:v>
      </x:c>
      <x:c r="E3056" s="40" t="n">
        <x:v>14.5</x:v>
      </x:c>
      <x:c r="F3056" s="40" t="n">
        <x:v>12.677406311035156</x:v>
      </x:c>
      <x:c r="G3056" s="40" t="n">
        <x:v>14.5</x:v>
      </x:c>
      <x:c r="H3056" s="40" t="n">
        <x:f>F3056-E3056</x:f>
        <x:v>-1.8225936889648438</x:v>
      </x:c>
      <x:c r="I3056" s="40" t="n">
        <x:f>ABS(H3056)</x:f>
        <x:v>1.8225936889648438</x:v>
      </x:c>
      <x:c r="J3056" s="40" t="n">
        <x:f>H3056^2</x:f>
        <x:v>3.3218477550544776</x:v>
      </x:c>
      <x:c r="K3056" s="40" t="n">
        <x:f>G3056-E3056</x:f>
        <x:v>0</x:v>
      </x:c>
      <x:c r="L3056" s="40" t="n">
        <x:f>ABS(K3056)</x:f>
        <x:v>0</x:v>
      </x:c>
      <x:c r="M3056" s="41" t="str">
        <x:v>lstm-soil-v1</x:v>
      </x:c>
    </x:row>
    <x:row r="3057">
      <x:c r="A3057" s="38" t="str">
        <x:v>7月30日现场数据</x:v>
      </x:c>
      <x:c r="B3057" s="39" t="str">
        <x:v>2026-08-03T05:10:00</x:v>
      </x:c>
      <x:c r="C3057" s="39" t="str">
        <x:v>2026-08-03T05:25:00</x:v>
      </x:c>
      <x:c r="D3057" s="47" t="n">
        <x:v>15</x:v>
      </x:c>
      <x:c r="E3057" s="40" t="n">
        <x:v>14.5</x:v>
      </x:c>
      <x:c r="F3057" s="40" t="n">
        <x:v>12.742851257324219</x:v>
      </x:c>
      <x:c r="G3057" s="40" t="n">
        <x:v>14.5</x:v>
      </x:c>
      <x:c r="H3057" s="40" t="n">
        <x:f>F3057-E3057</x:f>
        <x:v>-1.7571487426757812</x:v>
      </x:c>
      <x:c r="I3057" s="40" t="n">
        <x:f>ABS(H3057)</x:f>
        <x:v>1.7571487426757812</x:v>
      </x:c>
      <x:c r="J3057" s="40" t="n">
        <x:f>H3057^2</x:f>
        <x:v>3.087571703887079</x:v>
      </x:c>
      <x:c r="K3057" s="40" t="n">
        <x:f>G3057-E3057</x:f>
        <x:v>0</x:v>
      </x:c>
      <x:c r="L3057" s="40" t="n">
        <x:f>ABS(K3057)</x:f>
        <x:v>0</x:v>
      </x:c>
      <x:c r="M3057" s="41" t="str">
        <x:v>lstm-soil-v1</x:v>
      </x:c>
    </x:row>
    <x:row r="3058">
      <x:c r="A3058" s="38" t="str">
        <x:v>7月30日现场数据</x:v>
      </x:c>
      <x:c r="B3058" s="39" t="str">
        <x:v>2026-08-03T05:10:00</x:v>
      </x:c>
      <x:c r="C3058" s="39" t="str">
        <x:v>2026-08-03T05:40:00</x:v>
      </x:c>
      <x:c r="D3058" s="47" t="n">
        <x:v>30</x:v>
      </x:c>
      <x:c r="E3058" s="40" t="n">
        <x:v>14.4</x:v>
      </x:c>
      <x:c r="F3058" s="40" t="n">
        <x:v>13.211944580078125</x:v>
      </x:c>
      <x:c r="G3058" s="40" t="n">
        <x:v>14.5</x:v>
      </x:c>
      <x:c r="H3058" s="40" t="n">
        <x:f>F3058-E3058</x:f>
        <x:v>-1.1880554199218754</x:v>
      </x:c>
      <x:c r="I3058" s="40" t="n">
        <x:f>ABS(H3058)</x:f>
        <x:v>1.1880554199218754</x:v>
      </x:c>
      <x:c r="J3058" s="40" t="n">
        <x:f>H3058^2</x:f>
        <x:v>1.4114756808057436</x:v>
      </x:c>
      <x:c r="K3058" s="40" t="n">
        <x:f>G3058-E3058</x:f>
        <x:v>0.09999999999999964</x:v>
      </x:c>
      <x:c r="L3058" s="40" t="n">
        <x:f>ABS(K3058)</x:f>
        <x:v>0.09999999999999964</x:v>
      </x:c>
      <x:c r="M3058" s="41" t="str">
        <x:v>lstm-soil-v1</x:v>
      </x:c>
    </x:row>
    <x:row r="3059">
      <x:c r="A3059" s="38" t="str">
        <x:v>7月30日现场数据</x:v>
      </x:c>
      <x:c r="B3059" s="39" t="str">
        <x:v>2026-08-03T05:10:00</x:v>
      </x:c>
      <x:c r="C3059" s="39" t="str">
        <x:v>2026-08-03T06:10:00</x:v>
      </x:c>
      <x:c r="D3059" s="47" t="n">
        <x:v>60</x:v>
      </x:c>
      <x:c r="E3059" s="40" t="n">
        <x:v>14.5</x:v>
      </x:c>
      <x:c r="F3059" s="40" t="n">
        <x:v>14.778678894042969</x:v>
      </x:c>
      <x:c r="G3059" s="40" t="n">
        <x:v>14.5</x:v>
      </x:c>
      <x:c r="H3059" s="40" t="n">
        <x:f>F3059-E3059</x:f>
        <x:v>0.27867889404296875</x:v>
      </x:c>
      <x:c r="I3059" s="40" t="n">
        <x:f>ABS(H3059)</x:f>
        <x:v>0.27867889404296875</x:v>
      </x:c>
      <x:c r="J3059" s="40" t="n">
        <x:f>H3059^2</x:f>
        <x:v>0.0776619259850122</x:v>
      </x:c>
      <x:c r="K3059" s="40" t="n">
        <x:f>G3059-E3059</x:f>
        <x:v>0</x:v>
      </x:c>
      <x:c r="L3059" s="40" t="n">
        <x:f>ABS(K3059)</x:f>
        <x:v>0</x:v>
      </x:c>
      <x:c r="M3059" s="41" t="str">
        <x:v>lstm-soil-v1</x:v>
      </x:c>
    </x:row>
    <x:row r="3060">
      <x:c r="A3060" s="38" t="str">
        <x:v>7月30日现场数据</x:v>
      </x:c>
      <x:c r="B3060" s="39" t="str">
        <x:v>2026-08-03T05:15:00</x:v>
      </x:c>
      <x:c r="C3060" s="39" t="str">
        <x:v>2026-08-03T05:20:00</x:v>
      </x:c>
      <x:c r="D3060" s="47" t="n">
        <x:v>5</x:v>
      </x:c>
      <x:c r="E3060" s="40" t="n">
        <x:v>14.5</x:v>
      </x:c>
      <x:c r="F3060" s="40" t="n">
        <x:v>12.677635192871094</x:v>
      </x:c>
      <x:c r="G3060" s="40" t="n">
        <x:v>14.5</x:v>
      </x:c>
      <x:c r="H3060" s="40" t="n">
        <x:f>F3060-E3060</x:f>
        <x:v>-1.8223648071289062</x:v>
      </x:c>
      <x:c r="I3060" s="40" t="n">
        <x:f>ABS(H3060)</x:f>
        <x:v>1.8223648071289062</x:v>
      </x:c>
      <x:c r="J3060" s="40" t="n">
        <x:f>H3060^2</x:f>
        <x:v>3.3210134902619757</x:v>
      </x:c>
      <x:c r="K3060" s="40" t="n">
        <x:f>G3060-E3060</x:f>
        <x:v>0</x:v>
      </x:c>
      <x:c r="L3060" s="40" t="n">
        <x:f>ABS(K3060)</x:f>
        <x:v>0</x:v>
      </x:c>
      <x:c r="M3060" s="41" t="str">
        <x:v>lstm-soil-v1</x:v>
      </x:c>
    </x:row>
    <x:row r="3061">
      <x:c r="A3061" s="38" t="str">
        <x:v>7月30日现场数据</x:v>
      </x:c>
      <x:c r="B3061" s="39" t="str">
        <x:v>2026-08-03T05:15:00</x:v>
      </x:c>
      <x:c r="C3061" s="39" t="str">
        <x:v>2026-08-03T05:30:00</x:v>
      </x:c>
      <x:c r="D3061" s="47" t="n">
        <x:v>15</x:v>
      </x:c>
      <x:c r="E3061" s="40" t="n">
        <x:v>14.5</x:v>
      </x:c>
      <x:c r="F3061" s="40" t="n">
        <x:v>12.743473052978516</x:v>
      </x:c>
      <x:c r="G3061" s="40" t="n">
        <x:v>14.5</x:v>
      </x:c>
      <x:c r="H3061" s="40" t="n">
        <x:f>F3061-E3061</x:f>
        <x:v>-1.7565269470214844</x:v>
      </x:c>
      <x:c r="I3061" s="40" t="n">
        <x:f>ABS(H3061)</x:f>
        <x:v>1.7565269470214844</x:v>
      </x:c>
      <x:c r="J3061" s="40" t="n">
        <x:f>H3061^2</x:f>
        <x:v>3.0853869156126166</x:v>
      </x:c>
      <x:c r="K3061" s="40" t="n">
        <x:f>G3061-E3061</x:f>
        <x:v>0</x:v>
      </x:c>
      <x:c r="L3061" s="40" t="n">
        <x:f>ABS(K3061)</x:f>
        <x:v>0</x:v>
      </x:c>
      <x:c r="M3061" s="41" t="str">
        <x:v>lstm-soil-v1</x:v>
      </x:c>
    </x:row>
    <x:row r="3062">
      <x:c r="A3062" s="38" t="str">
        <x:v>7月30日现场数据</x:v>
      </x:c>
      <x:c r="B3062" s="39" t="str">
        <x:v>2026-08-03T05:15:00</x:v>
      </x:c>
      <x:c r="C3062" s="39" t="str">
        <x:v>2026-08-03T05:45:00</x:v>
      </x:c>
      <x:c r="D3062" s="47" t="n">
        <x:v>30</x:v>
      </x:c>
      <x:c r="E3062" s="40" t="n">
        <x:v>14.5</x:v>
      </x:c>
      <x:c r="F3062" s="40" t="n">
        <x:v>13.21267318725586</x:v>
      </x:c>
      <x:c r="G3062" s="40" t="n">
        <x:v>14.5</x:v>
      </x:c>
      <x:c r="H3062" s="40" t="n">
        <x:f>F3062-E3062</x:f>
        <x:v>-1.2873268127441406</x:v>
      </x:c>
      <x:c r="I3062" s="40" t="n">
        <x:f>ABS(H3062)</x:f>
        <x:v>1.2873268127441406</x:v>
      </x:c>
      <x:c r="J3062" s="40" t="n">
        <x:f>H3062^2</x:f>
        <x:v>1.6572103228099877</x:v>
      </x:c>
      <x:c r="K3062" s="40" t="n">
        <x:f>G3062-E3062</x:f>
        <x:v>0</x:v>
      </x:c>
      <x:c r="L3062" s="40" t="n">
        <x:f>ABS(K3062)</x:f>
        <x:v>0</x:v>
      </x:c>
      <x:c r="M3062" s="41" t="str">
        <x:v>lstm-soil-v1</x:v>
      </x:c>
    </x:row>
    <x:row r="3063">
      <x:c r="A3063" s="38" t="str">
        <x:v>7月30日现场数据</x:v>
      </x:c>
      <x:c r="B3063" s="39" t="str">
        <x:v>2026-08-03T05:15:00</x:v>
      </x:c>
      <x:c r="C3063" s="39" t="str">
        <x:v>2026-08-03T06:15:00</x:v>
      </x:c>
      <x:c r="D3063" s="47" t="n">
        <x:v>60</x:v>
      </x:c>
      <x:c r="E3063" s="40" t="n">
        <x:v>14.5</x:v>
      </x:c>
      <x:c r="F3063" s="40" t="n">
        <x:v>14.779655456542969</x:v>
      </x:c>
      <x:c r="G3063" s="40" t="n">
        <x:v>14.5</x:v>
      </x:c>
      <x:c r="H3063" s="40" t="n">
        <x:f>F3063-E3063</x:f>
        <x:v>0.27965545654296875</x:v>
      </x:c>
      <x:c r="I3063" s="40" t="n">
        <x:f>ABS(H3063)</x:f>
        <x:v>0.27965545654296875</x:v>
      </x:c>
      <x:c r="J3063" s="40" t="n">
        <x:f>H3063^2</x:f>
        <x:v>0.07820717437425628</x:v>
      </x:c>
      <x:c r="K3063" s="40" t="n">
        <x:f>G3063-E3063</x:f>
        <x:v>0</x:v>
      </x:c>
      <x:c r="L3063" s="40" t="n">
        <x:f>ABS(K3063)</x:f>
        <x:v>0</x:v>
      </x:c>
      <x:c r="M3063" s="41" t="str">
        <x:v>lstm-soil-v1</x:v>
      </x:c>
    </x:row>
    <x:row r="3064">
      <x:c r="A3064" s="38" t="str">
        <x:v>7月30日现场数据</x:v>
      </x:c>
      <x:c r="B3064" s="39" t="str">
        <x:v>2026-08-03T05:20:00</x:v>
      </x:c>
      <x:c r="C3064" s="39" t="str">
        <x:v>2026-08-03T05:25:00</x:v>
      </x:c>
      <x:c r="D3064" s="47" t="n">
        <x:v>5</x:v>
      </x:c>
      <x:c r="E3064" s="40" t="n">
        <x:v>14.5</x:v>
      </x:c>
      <x:c r="F3064" s="40" t="n">
        <x:v>12.678043365478516</x:v>
      </x:c>
      <x:c r="G3064" s="40" t="n">
        <x:v>14.5</x:v>
      </x:c>
      <x:c r="H3064" s="40" t="n">
        <x:f>F3064-E3064</x:f>
        <x:v>-1.8219566345214844</x:v>
      </x:c>
      <x:c r="I3064" s="40" t="n">
        <x:f>ABS(H3064)</x:f>
        <x:v>1.8219566345214844</x:v>
      </x:c>
      <x:c r="J3064" s="40" t="n">
        <x:f>H3064^2</x:f>
        <x:v>3.319525978076854</x:v>
      </x:c>
      <x:c r="K3064" s="40" t="n">
        <x:f>G3064-E3064</x:f>
        <x:v>0</x:v>
      </x:c>
      <x:c r="L3064" s="40" t="n">
        <x:f>ABS(K3064)</x:f>
        <x:v>0</x:v>
      </x:c>
      <x:c r="M3064" s="41" t="str">
        <x:v>lstm-soil-v1</x:v>
      </x:c>
    </x:row>
    <x:row r="3065">
      <x:c r="A3065" s="38" t="str">
        <x:v>7月30日现场数据</x:v>
      </x:c>
      <x:c r="B3065" s="39" t="str">
        <x:v>2026-08-03T05:20:00</x:v>
      </x:c>
      <x:c r="C3065" s="39" t="str">
        <x:v>2026-08-03T05:35:00</x:v>
      </x:c>
      <x:c r="D3065" s="47" t="n">
        <x:v>15</x:v>
      </x:c>
      <x:c r="E3065" s="40" t="n">
        <x:v>14.5</x:v>
      </x:c>
      <x:c r="F3065" s="40" t="n">
        <x:v>12.7440185546875</x:v>
      </x:c>
      <x:c r="G3065" s="40" t="n">
        <x:v>14.5</x:v>
      </x:c>
      <x:c r="H3065" s="40" t="n">
        <x:f>F3065-E3065</x:f>
        <x:v>-1.7559814453125</x:v>
      </x:c>
      <x:c r="I3065" s="40" t="n">
        <x:f>ABS(H3065)</x:f>
        <x:v>1.7559814453125</x:v>
      </x:c>
      <x:c r="J3065" s="40" t="n">
        <x:f>H3065^2</x:f>
        <x:v>3.0834708362817764</x:v>
      </x:c>
      <x:c r="K3065" s="40" t="n">
        <x:f>G3065-E3065</x:f>
        <x:v>0</x:v>
      </x:c>
      <x:c r="L3065" s="40" t="n">
        <x:f>ABS(K3065)</x:f>
        <x:v>0</x:v>
      </x:c>
      <x:c r="M3065" s="41" t="str">
        <x:v>lstm-soil-v1</x:v>
      </x:c>
    </x:row>
    <x:row r="3066">
      <x:c r="A3066" s="38" t="str">
        <x:v>7月30日现场数据</x:v>
      </x:c>
      <x:c r="B3066" s="39" t="str">
        <x:v>2026-08-03T05:20:00</x:v>
      </x:c>
      <x:c r="C3066" s="39" t="str">
        <x:v>2026-08-03T05:50:00</x:v>
      </x:c>
      <x:c r="D3066" s="47" t="n">
        <x:v>30</x:v>
      </x:c>
      <x:c r="E3066" s="40" t="n">
        <x:v>14.5</x:v>
      </x:c>
      <x:c r="F3066" s="40" t="n">
        <x:v>13.213397979736328</x:v>
      </x:c>
      <x:c r="G3066" s="40" t="n">
        <x:v>14.5</x:v>
      </x:c>
      <x:c r="H3066" s="40" t="n">
        <x:f>F3066-E3066</x:f>
        <x:v>-1.2866020202636719</x:v>
      </x:c>
      <x:c r="I3066" s="40" t="n">
        <x:f>ABS(H3066)</x:f>
        <x:v>1.2866020202636719</x:v>
      </x:c>
      <x:c r="J3066" s="40" t="n">
        <x:f>H3066^2</x:f>
        <x:v>1.655344758546562</x:v>
      </x:c>
      <x:c r="K3066" s="40" t="n">
        <x:f>G3066-E3066</x:f>
        <x:v>0</x:v>
      </x:c>
      <x:c r="L3066" s="40" t="n">
        <x:f>ABS(K3066)</x:f>
        <x:v>0</x:v>
      </x:c>
      <x:c r="M3066" s="41" t="str">
        <x:v>lstm-soil-v1</x:v>
      </x:c>
    </x:row>
    <x:row r="3067">
      <x:c r="A3067" s="38" t="str">
        <x:v>7月30日现场数据</x:v>
      </x:c>
      <x:c r="B3067" s="39" t="str">
        <x:v>2026-08-03T05:20:00</x:v>
      </x:c>
      <x:c r="C3067" s="39" t="str">
        <x:v>2026-08-03T06:20:00</x:v>
      </x:c>
      <x:c r="D3067" s="47" t="n">
        <x:v>60</x:v>
      </x:c>
      <x:c r="E3067" s="40" t="n">
        <x:v>14.5</x:v>
      </x:c>
      <x:c r="F3067" s="40" t="n">
        <x:v>14.780616760253906</x:v>
      </x:c>
      <x:c r="G3067" s="40" t="n">
        <x:v>14.5</x:v>
      </x:c>
      <x:c r="H3067" s="40" t="n">
        <x:f>F3067-E3067</x:f>
        <x:v>0.28061676025390625</x:v>
      </x:c>
      <x:c r="I3067" s="40" t="n">
        <x:f>ABS(H3067)</x:f>
        <x:v>0.28061676025390625</x:v>
      </x:c>
      <x:c r="J3067" s="40" t="n">
        <x:f>H3067^2</x:f>
        <x:v>0.0787457661353983</x:v>
      </x:c>
      <x:c r="K3067" s="40" t="n">
        <x:f>G3067-E3067</x:f>
        <x:v>0</x:v>
      </x:c>
      <x:c r="L3067" s="40" t="n">
        <x:f>ABS(K3067)</x:f>
        <x:v>0</x:v>
      </x:c>
      <x:c r="M3067" s="41" t="str">
        <x:v>lstm-soil-v1</x:v>
      </x:c>
    </x:row>
    <x:row r="3068">
      <x:c r="A3068" s="38" t="str">
        <x:v>7月30日现场数据</x:v>
      </x:c>
      <x:c r="B3068" s="39" t="str">
        <x:v>2026-08-03T05:25:00</x:v>
      </x:c>
      <x:c r="C3068" s="39" t="str">
        <x:v>2026-08-03T05:30:00</x:v>
      </x:c>
      <x:c r="D3068" s="47" t="n">
        <x:v>5</x:v>
      </x:c>
      <x:c r="E3068" s="40" t="n">
        <x:v>14.5</x:v>
      </x:c>
      <x:c r="F3068" s="40" t="n">
        <x:v>12.67850112915039</x:v>
      </x:c>
      <x:c r="G3068" s="40" t="n">
        <x:v>14.5</x:v>
      </x:c>
      <x:c r="H3068" s="40" t="n">
        <x:f>F3068-E3068</x:f>
        <x:v>-1.8214988708496094</x:v>
      </x:c>
      <x:c r="I3068" s="40" t="n">
        <x:f>ABS(H3068)</x:f>
        <x:v>1.8214988708496094</x:v>
      </x:c>
      <x:c r="J3068" s="40" t="n">
        <x:f>H3068^2</x:f>
        <x:v>3.317858136506402</x:v>
      </x:c>
      <x:c r="K3068" s="40" t="n">
        <x:f>G3068-E3068</x:f>
        <x:v>0</x:v>
      </x:c>
      <x:c r="L3068" s="40" t="n">
        <x:f>ABS(K3068)</x:f>
        <x:v>0</x:v>
      </x:c>
      <x:c r="M3068" s="41" t="str">
        <x:v>lstm-soil-v1</x:v>
      </x:c>
    </x:row>
    <x:row r="3069">
      <x:c r="A3069" s="38" t="str">
        <x:v>7月30日现场数据</x:v>
      </x:c>
      <x:c r="B3069" s="39" t="str">
        <x:v>2026-08-03T05:25:00</x:v>
      </x:c>
      <x:c r="C3069" s="39" t="str">
        <x:v>2026-08-03T05:40:00</x:v>
      </x:c>
      <x:c r="D3069" s="47" t="n">
        <x:v>15</x:v>
      </x:c>
      <x:c r="E3069" s="40" t="n">
        <x:v>14.4</x:v>
      </x:c>
      <x:c r="F3069" s="40" t="n">
        <x:v>12.744495391845703</x:v>
      </x:c>
      <x:c r="G3069" s="40" t="n">
        <x:v>14.5</x:v>
      </x:c>
      <x:c r="H3069" s="40" t="n">
        <x:f>F3069-E3069</x:f>
        <x:v>-1.6555046081542972</x:v>
      </x:c>
      <x:c r="I3069" s="40" t="n">
        <x:f>ABS(H3069)</x:f>
        <x:v>1.6555046081542972</x:v>
      </x:c>
      <x:c r="J3069" s="40" t="n">
        <x:f>H3069^2</x:f>
        <x:v>2.740695507620113</x:v>
      </x:c>
      <x:c r="K3069" s="40" t="n">
        <x:f>G3069-E3069</x:f>
        <x:v>0.09999999999999964</x:v>
      </x:c>
      <x:c r="L3069" s="40" t="n">
        <x:f>ABS(K3069)</x:f>
        <x:v>0.09999999999999964</x:v>
      </x:c>
      <x:c r="M3069" s="41" t="str">
        <x:v>lstm-soil-v1</x:v>
      </x:c>
    </x:row>
    <x:row r="3070">
      <x:c r="A3070" s="38" t="str">
        <x:v>7月30日现场数据</x:v>
      </x:c>
      <x:c r="B3070" s="39" t="str">
        <x:v>2026-08-03T05:25:00</x:v>
      </x:c>
      <x:c r="C3070" s="39" t="str">
        <x:v>2026-08-03T05:55:00</x:v>
      </x:c>
      <x:c r="D3070" s="47" t="n">
        <x:v>30</x:v>
      </x:c>
      <x:c r="E3070" s="40" t="n">
        <x:v>14.5</x:v>
      </x:c>
      <x:c r="F3070" s="40" t="n">
        <x:v>13.214092254638672</x:v>
      </x:c>
      <x:c r="G3070" s="40" t="n">
        <x:v>14.5</x:v>
      </x:c>
      <x:c r="H3070" s="40" t="n">
        <x:f>F3070-E3070</x:f>
        <x:v>-1.2859077453613281</x:v>
      </x:c>
      <x:c r="I3070" s="40" t="n">
        <x:f>ABS(H3070)</x:f>
        <x:v>1.2859077453613281</x:v>
      </x:c>
      <x:c r="J3070" s="40" t="n">
        <x:f>H3070^2</x:f>
        <x:v>1.6535587295802543</x:v>
      </x:c>
      <x:c r="K3070" s="40" t="n">
        <x:f>G3070-E3070</x:f>
        <x:v>0</x:v>
      </x:c>
      <x:c r="L3070" s="40" t="n">
        <x:f>ABS(K3070)</x:f>
        <x:v>0</x:v>
      </x:c>
      <x:c r="M3070" s="41" t="str">
        <x:v>lstm-soil-v1</x:v>
      </x:c>
    </x:row>
    <x:row r="3071">
      <x:c r="A3071" s="38" t="str">
        <x:v>7月30日现场数据</x:v>
      </x:c>
      <x:c r="B3071" s="39" t="str">
        <x:v>2026-08-03T05:25:00</x:v>
      </x:c>
      <x:c r="C3071" s="39" t="str">
        <x:v>2026-08-03T06:25:00</x:v>
      </x:c>
      <x:c r="D3071" s="47" t="n">
        <x:v>60</x:v>
      </x:c>
      <x:c r="E3071" s="40" t="n">
        <x:v>14.5</x:v>
      </x:c>
      <x:c r="F3071" s="40" t="n">
        <x:v>14.781455993652344</x:v>
      </x:c>
      <x:c r="G3071" s="40" t="n">
        <x:v>14.5</x:v>
      </x:c>
      <x:c r="H3071" s="40" t="n">
        <x:f>F3071-E3071</x:f>
        <x:v>0.28145599365234375</x:v>
      </x:c>
      <x:c r="I3071" s="40" t="n">
        <x:f>ABS(H3071)</x:f>
        <x:v>0.28145599365234375</x:v>
      </x:c>
      <x:c r="J3071" s="40" t="n">
        <x:f>H3071^2</x:f>
        <x:v>0.07921747636282817</x:v>
      </x:c>
      <x:c r="K3071" s="40" t="n">
        <x:f>G3071-E3071</x:f>
        <x:v>0</x:v>
      </x:c>
      <x:c r="L3071" s="40" t="n">
        <x:f>ABS(K3071)</x:f>
        <x:v>0</x:v>
      </x:c>
      <x:c r="M3071" s="41" t="str">
        <x:v>lstm-soil-v1</x:v>
      </x:c>
    </x:row>
    <x:row r="3072">
      <x:c r="A3072" s="38" t="str">
        <x:v>7月30日现场数据</x:v>
      </x:c>
      <x:c r="B3072" s="39" t="str">
        <x:v>2026-08-03T05:30:00</x:v>
      </x:c>
      <x:c r="C3072" s="39" t="str">
        <x:v>2026-08-03T05:35:00</x:v>
      </x:c>
      <x:c r="D3072" s="47" t="n">
        <x:v>5</x:v>
      </x:c>
      <x:c r="E3072" s="40" t="n">
        <x:v>14.5</x:v>
      </x:c>
      <x:c r="F3072" s="40" t="n">
        <x:v>12.679313659667969</x:v>
      </x:c>
      <x:c r="G3072" s="40" t="n">
        <x:v>14.5</x:v>
      </x:c>
      <x:c r="H3072" s="40" t="n">
        <x:f>F3072-E3072</x:f>
        <x:v>-1.8206863403320312</x:v>
      </x:c>
      <x:c r="I3072" s="40" t="n">
        <x:f>ABS(H3072)</x:f>
        <x:v>1.8206863403320312</x:v>
      </x:c>
      <x:c r="J3072" s="40" t="n">
        <x:f>H3072^2</x:f>
        <x:v>3.314898749871645</x:v>
      </x:c>
      <x:c r="K3072" s="40" t="n">
        <x:f>G3072-E3072</x:f>
        <x:v>0</x:v>
      </x:c>
      <x:c r="L3072" s="40" t="n">
        <x:f>ABS(K3072)</x:f>
        <x:v>0</x:v>
      </x:c>
      <x:c r="M3072" s="41" t="str">
        <x:v>lstm-soil-v1</x:v>
      </x:c>
    </x:row>
    <x:row r="3073">
      <x:c r="A3073" s="38" t="str">
        <x:v>7月30日现场数据</x:v>
      </x:c>
      <x:c r="B3073" s="39" t="str">
        <x:v>2026-08-03T05:30:00</x:v>
      </x:c>
      <x:c r="C3073" s="39" t="str">
        <x:v>2026-08-03T05:45:00</x:v>
      </x:c>
      <x:c r="D3073" s="47" t="n">
        <x:v>15</x:v>
      </x:c>
      <x:c r="E3073" s="40" t="n">
        <x:v>14.5</x:v>
      </x:c>
      <x:c r="F3073" s="40" t="n">
        <x:v>12.745407104492188</x:v>
      </x:c>
      <x:c r="G3073" s="40" t="n">
        <x:v>14.5</x:v>
      </x:c>
      <x:c r="H3073" s="40" t="n">
        <x:f>F3073-E3073</x:f>
        <x:v>-1.7545928955078125</x:v>
      </x:c>
      <x:c r="I3073" s="40" t="n">
        <x:f>ABS(H3073)</x:f>
        <x:v>1.7545928955078125</x:v>
      </x:c>
      <x:c r="J3073" s="40" t="n">
        <x:f>H3073^2</x:f>
        <x:v>3.0785962289664894</x:v>
      </x:c>
      <x:c r="K3073" s="40" t="n">
        <x:f>G3073-E3073</x:f>
        <x:v>0</x:v>
      </x:c>
      <x:c r="L3073" s="40" t="n">
        <x:f>ABS(K3073)</x:f>
        <x:v>0</x:v>
      </x:c>
      <x:c r="M3073" s="41" t="str">
        <x:v>lstm-soil-v1</x:v>
      </x:c>
    </x:row>
    <x:row r="3074">
      <x:c r="A3074" s="38" t="str">
        <x:v>7月30日现场数据</x:v>
      </x:c>
      <x:c r="B3074" s="39" t="str">
        <x:v>2026-08-03T05:30:00</x:v>
      </x:c>
      <x:c r="C3074" s="39" t="str">
        <x:v>2026-08-03T06:00:00</x:v>
      </x:c>
      <x:c r="D3074" s="47" t="n">
        <x:v>30</x:v>
      </x:c>
      <x:c r="E3074" s="40" t="n">
        <x:v>14.5</x:v>
      </x:c>
      <x:c r="F3074" s="40" t="n">
        <x:v>13.215221405029297</x:v>
      </x:c>
      <x:c r="G3074" s="40" t="n">
        <x:v>14.5</x:v>
      </x:c>
      <x:c r="H3074" s="40" t="n">
        <x:f>F3074-E3074</x:f>
        <x:v>-1.2847785949707031</x:v>
      </x:c>
      <x:c r="I3074" s="40" t="n">
        <x:f>ABS(H3074)</x:f>
        <x:v>1.2847785949707031</x:v>
      </x:c>
      <x:c r="J3074" s="40" t="n">
        <x:f>H3074^2</x:f>
        <x:v>1.650656038094894</x:v>
      </x:c>
      <x:c r="K3074" s="40" t="n">
        <x:f>G3074-E3074</x:f>
        <x:v>0</x:v>
      </x:c>
      <x:c r="L3074" s="40" t="n">
        <x:f>ABS(K3074)</x:f>
        <x:v>0</x:v>
      </x:c>
      <x:c r="M3074" s="41" t="str">
        <x:v>lstm-soil-v1</x:v>
      </x:c>
    </x:row>
    <x:row r="3075">
      <x:c r="A3075" s="38" t="str">
        <x:v>7月30日现场数据</x:v>
      </x:c>
      <x:c r="B3075" s="39" t="str">
        <x:v>2026-08-03T05:30:00</x:v>
      </x:c>
      <x:c r="C3075" s="39" t="str">
        <x:v>2026-08-03T06:30:00</x:v>
      </x:c>
      <x:c r="D3075" s="47" t="n">
        <x:v>60</x:v>
      </x:c>
      <x:c r="E3075" s="40" t="n">
        <x:v>14.5</x:v>
      </x:c>
      <x:c r="F3075" s="40" t="n">
        <x:v>14.781986236572266</x:v>
      </x:c>
      <x:c r="G3075" s="40" t="n">
        <x:v>14.5</x:v>
      </x:c>
      <x:c r="H3075" s="40" t="n">
        <x:f>F3075-E3075</x:f>
        <x:v>0.2819862365722656</x:v>
      </x:c>
      <x:c r="I3075" s="40" t="n">
        <x:f>ABS(H3075)</x:f>
        <x:v>0.2819862365722656</x:v>
      </x:c>
      <x:c r="J3075" s="40" t="n">
        <x:f>H3075^2</x:f>
        <x:v>0.07951623761618976</x:v>
      </x:c>
      <x:c r="K3075" s="40" t="n">
        <x:f>G3075-E3075</x:f>
        <x:v>0</x:v>
      </x:c>
      <x:c r="L3075" s="40" t="n">
        <x:f>ABS(K3075)</x:f>
        <x:v>0</x:v>
      </x:c>
      <x:c r="M3075" s="41" t="str">
        <x:v>lstm-soil-v1</x:v>
      </x:c>
    </x:row>
    <x:row r="3076">
      <x:c r="A3076" s="38" t="str">
        <x:v>7月30日现场数据</x:v>
      </x:c>
      <x:c r="B3076" s="39" t="str">
        <x:v>2026-08-03T05:35:00</x:v>
      </x:c>
      <x:c r="C3076" s="39" t="str">
        <x:v>2026-08-03T05:40:00</x:v>
      </x:c>
      <x:c r="D3076" s="47" t="n">
        <x:v>5</x:v>
      </x:c>
      <x:c r="E3076" s="40" t="n">
        <x:v>14.4</x:v>
      </x:c>
      <x:c r="F3076" s="40" t="n">
        <x:v>12.6793212890625</x:v>
      </x:c>
      <x:c r="G3076" s="40" t="n">
        <x:v>14.5</x:v>
      </x:c>
      <x:c r="H3076" s="40" t="n">
        <x:f>F3076-E3076</x:f>
        <x:v>-1.7206787109375004</x:v>
      </x:c>
      <x:c r="I3076" s="40" t="n">
        <x:f>ABS(H3076)</x:f>
        <x:v>1.7206787109375004</x:v>
      </x:c>
      <x:c r="J3076" s="40" t="n">
        <x:f>H3076^2</x:f>
        <x:v>2.960735226273538</x:v>
      </x:c>
      <x:c r="K3076" s="40" t="n">
        <x:f>G3076-E3076</x:f>
        <x:v>0.09999999999999964</x:v>
      </x:c>
      <x:c r="L3076" s="40" t="n">
        <x:f>ABS(K3076)</x:f>
        <x:v>0.09999999999999964</x:v>
      </x:c>
      <x:c r="M3076" s="41" t="str">
        <x:v>lstm-soil-v1</x:v>
      </x:c>
    </x:row>
    <x:row r="3077">
      <x:c r="A3077" s="38" t="str">
        <x:v>7月30日现场数据</x:v>
      </x:c>
      <x:c r="B3077" s="39" t="str">
        <x:v>2026-08-03T05:35:00</x:v>
      </x:c>
      <x:c r="C3077" s="39" t="str">
        <x:v>2026-08-03T05:50:00</x:v>
      </x:c>
      <x:c r="D3077" s="47" t="n">
        <x:v>15</x:v>
      </x:c>
      <x:c r="E3077" s="40" t="n">
        <x:v>14.5</x:v>
      </x:c>
      <x:c r="F3077" s="40" t="n">
        <x:v>12.745429992675781</x:v>
      </x:c>
      <x:c r="G3077" s="40" t="n">
        <x:v>14.5</x:v>
      </x:c>
      <x:c r="H3077" s="40" t="n">
        <x:f>F3077-E3077</x:f>
        <x:v>-1.7545700073242188</x:v>
      </x:c>
      <x:c r="I3077" s="40" t="n">
        <x:f>ABS(H3077)</x:f>
        <x:v>1.7545700073242188</x:v>
      </x:c>
      <x:c r="J3077" s="40" t="n">
        <x:f>H3077^2</x:f>
        <x:v>3.078515910601709</x:v>
      </x:c>
      <x:c r="K3077" s="40" t="n">
        <x:f>G3077-E3077</x:f>
        <x:v>0</x:v>
      </x:c>
      <x:c r="L3077" s="40" t="n">
        <x:f>ABS(K3077)</x:f>
        <x:v>0</x:v>
      </x:c>
      <x:c r="M3077" s="41" t="str">
        <x:v>lstm-soil-v1</x:v>
      </x:c>
    </x:row>
    <x:row r="3078">
      <x:c r="A3078" s="38" t="str">
        <x:v>7月30日现场数据</x:v>
      </x:c>
      <x:c r="B3078" s="39" t="str">
        <x:v>2026-08-03T05:35:00</x:v>
      </x:c>
      <x:c r="C3078" s="39" t="str">
        <x:v>2026-08-03T06:05:00</x:v>
      </x:c>
      <x:c r="D3078" s="47" t="n">
        <x:v>30</x:v>
      </x:c>
      <x:c r="E3078" s="40" t="n">
        <x:v>14.5</x:v>
      </x:c>
      <x:c r="F3078" s="40" t="n">
        <x:v>13.215003967285156</x:v>
      </x:c>
      <x:c r="G3078" s="40" t="n">
        <x:v>14.5</x:v>
      </x:c>
      <x:c r="H3078" s="40" t="n">
        <x:f>F3078-E3078</x:f>
        <x:v>-1.2849960327148438</x:v>
      </x:c>
      <x:c r="I3078" s="40" t="n">
        <x:f>ABS(H3078)</x:f>
        <x:v>1.2849960327148438</x:v>
      </x:c>
      <x:c r="J3078" s="40" t="n">
        <x:f>H3078^2</x:f>
        <x:v>1.6512148040928878</x:v>
      </x:c>
      <x:c r="K3078" s="40" t="n">
        <x:f>G3078-E3078</x:f>
        <x:v>0</x:v>
      </x:c>
      <x:c r="L3078" s="40" t="n">
        <x:f>ABS(K3078)</x:f>
        <x:v>0</x:v>
      </x:c>
      <x:c r="M3078" s="41" t="str">
        <x:v>lstm-soil-v1</x:v>
      </x:c>
    </x:row>
    <x:row r="3079">
      <x:c r="A3079" s="38" t="str">
        <x:v>7月30日现场数据</x:v>
      </x:c>
      <x:c r="B3079" s="39" t="str">
        <x:v>2026-08-03T05:35:00</x:v>
      </x:c>
      <x:c r="C3079" s="39" t="str">
        <x:v>2026-08-03T06:35:00</x:v>
      </x:c>
      <x:c r="D3079" s="47" t="n">
        <x:v>60</x:v>
      </x:c>
      <x:c r="E3079" s="40" t="n">
        <x:v>14.5</x:v>
      </x:c>
      <x:c r="F3079" s="40" t="n">
        <x:v>14.78262710571289</x:v>
      </x:c>
      <x:c r="G3079" s="40" t="n">
        <x:v>14.5</x:v>
      </x:c>
      <x:c r="H3079" s="40" t="n">
        <x:f>F3079-E3079</x:f>
        <x:v>0.2826271057128906</x:v>
      </x:c>
      <x:c r="I3079" s="40" t="n">
        <x:f>ABS(H3079)</x:f>
        <x:v>0.2826271057128906</x:v>
      </x:c>
      <x:c r="J3079" s="40" t="n">
        <x:f>H3079^2</x:f>
        <x:v>0.07987808088364545</x:v>
      </x:c>
      <x:c r="K3079" s="40" t="n">
        <x:f>G3079-E3079</x:f>
        <x:v>0</x:v>
      </x:c>
      <x:c r="L3079" s="40" t="n">
        <x:f>ABS(K3079)</x:f>
        <x:v>0</x:v>
      </x:c>
      <x:c r="M3079" s="41" t="str">
        <x:v>lstm-soil-v1</x:v>
      </x:c>
    </x:row>
    <x:row r="3080">
      <x:c r="A3080" s="38" t="str">
        <x:v>7月30日现场数据</x:v>
      </x:c>
      <x:c r="B3080" s="39" t="str">
        <x:v>2026-08-03T05:40:00</x:v>
      </x:c>
      <x:c r="C3080" s="39" t="str">
        <x:v>2026-08-03T05:45:00</x:v>
      </x:c>
      <x:c r="D3080" s="47" t="n">
        <x:v>5</x:v>
      </x:c>
      <x:c r="E3080" s="40" t="n">
        <x:v>14.5</x:v>
      </x:c>
      <x:c r="F3080" s="40" t="n">
        <x:v>12.568782806396484</x:v>
      </x:c>
      <x:c r="G3080" s="40" t="n">
        <x:v>14.4</x:v>
      </x:c>
      <x:c r="H3080" s="40" t="n">
        <x:f>F3080-E3080</x:f>
        <x:v>-1.9312171936035156</x:v>
      </x:c>
      <x:c r="I3080" s="40" t="n">
        <x:f>ABS(H3080)</x:f>
        <x:v>1.9312171936035156</x:v>
      </x:c>
      <x:c r="J3080" s="40" t="n">
        <x:f>H3080^2</x:f>
        <x:v>3.7295998488698388</x:v>
      </x:c>
      <x:c r="K3080" s="40" t="n">
        <x:f>G3080-E3080</x:f>
        <x:v>-0.09999999999999964</x:v>
      </x:c>
      <x:c r="L3080" s="40" t="n">
        <x:f>ABS(K3080)</x:f>
        <x:v>0.09999999999999964</x:v>
      </x:c>
      <x:c r="M3080" s="41" t="str">
        <x:v>lstm-soil-v1</x:v>
      </x:c>
    </x:row>
    <x:row r="3081">
      <x:c r="A3081" s="38" t="str">
        <x:v>7月30日现场数据</x:v>
      </x:c>
      <x:c r="B3081" s="39" t="str">
        <x:v>2026-08-03T05:40:00</x:v>
      </x:c>
      <x:c r="C3081" s="39" t="str">
        <x:v>2026-08-03T05:55:00</x:v>
      </x:c>
      <x:c r="D3081" s="47" t="n">
        <x:v>15</x:v>
      </x:c>
      <x:c r="E3081" s="40" t="n">
        <x:v>14.5</x:v>
      </x:c>
      <x:c r="F3081" s="40" t="n">
        <x:v>12.634536743164062</x:v>
      </x:c>
      <x:c r="G3081" s="40" t="n">
        <x:v>14.4</x:v>
      </x:c>
      <x:c r="H3081" s="40" t="n">
        <x:f>F3081-E3081</x:f>
        <x:v>-1.8654632568359375</x:v>
      </x:c>
      <x:c r="I3081" s="40" t="n">
        <x:f>ABS(H3081)</x:f>
        <x:v>1.8654632568359375</x:v>
      </x:c>
      <x:c r="J3081" s="40" t="n">
        <x:f>H3081^2</x:f>
        <x:v>3.479953162604943</x:v>
      </x:c>
      <x:c r="K3081" s="40" t="n">
        <x:f>G3081-E3081</x:f>
        <x:v>-0.09999999999999964</x:v>
      </x:c>
      <x:c r="L3081" s="40" t="n">
        <x:f>ABS(K3081)</x:f>
        <x:v>0.09999999999999964</x:v>
      </x:c>
      <x:c r="M3081" s="41" t="str">
        <x:v>lstm-soil-v1</x:v>
      </x:c>
    </x:row>
    <x:row r="3082">
      <x:c r="A3082" s="38" t="str">
        <x:v>7月30日现场数据</x:v>
      </x:c>
      <x:c r="B3082" s="39" t="str">
        <x:v>2026-08-03T05:40:00</x:v>
      </x:c>
      <x:c r="C3082" s="39" t="str">
        <x:v>2026-08-03T06:10:00</x:v>
      </x:c>
      <x:c r="D3082" s="47" t="n">
        <x:v>30</x:v>
      </x:c>
      <x:c r="E3082" s="40" t="n">
        <x:v>14.5</x:v>
      </x:c>
      <x:c r="F3082" s="40" t="n">
        <x:v>13.104488372802734</x:v>
      </x:c>
      <x:c r="G3082" s="40" t="n">
        <x:v>14.4</x:v>
      </x:c>
      <x:c r="H3082" s="40" t="n">
        <x:f>F3082-E3082</x:f>
        <x:v>-1.3955116271972656</x:v>
      </x:c>
      <x:c r="I3082" s="40" t="n">
        <x:f>ABS(H3082)</x:f>
        <x:v>1.3955116271972656</x:v>
      </x:c>
      <x:c r="J3082" s="40" t="n">
        <x:f>H3082^2</x:f>
        <x:v>1.94745270164276</x:v>
      </x:c>
      <x:c r="K3082" s="40" t="n">
        <x:f>G3082-E3082</x:f>
        <x:v>-0.09999999999999964</x:v>
      </x:c>
      <x:c r="L3082" s="40" t="n">
        <x:f>ABS(K3082)</x:f>
        <x:v>0.09999999999999964</x:v>
      </x:c>
      <x:c r="M3082" s="41" t="str">
        <x:v>lstm-soil-v1</x:v>
      </x:c>
    </x:row>
    <x:row r="3083">
      <x:c r="A3083" s="38" t="str">
        <x:v>7月30日现场数据</x:v>
      </x:c>
      <x:c r="B3083" s="39" t="str">
        <x:v>2026-08-03T05:40:00</x:v>
      </x:c>
      <x:c r="C3083" s="39" t="str">
        <x:v>2026-08-03T06:40:00</x:v>
      </x:c>
      <x:c r="D3083" s="47" t="n">
        <x:v>60</x:v>
      </x:c>
      <x:c r="E3083" s="40" t="n">
        <x:v>14.5</x:v>
      </x:c>
      <x:c r="F3083" s="40" t="n">
        <x:v>14.673046112060547</x:v>
      </x:c>
      <x:c r="G3083" s="40" t="n">
        <x:v>14.4</x:v>
      </x:c>
      <x:c r="H3083" s="40" t="n">
        <x:f>F3083-E3083</x:f>
        <x:v>0.17304611206054688</x:v>
      </x:c>
      <x:c r="I3083" s="40" t="n">
        <x:f>ABS(H3083)</x:f>
        <x:v>0.17304611206054688</x:v>
      </x:c>
      <x:c r="J3083" s="40" t="n">
        <x:f>H3083^2</x:f>
        <x:v>0.029944956899271347</x:v>
      </x:c>
      <x:c r="K3083" s="40" t="n">
        <x:f>G3083-E3083</x:f>
        <x:v>-0.09999999999999964</x:v>
      </x:c>
      <x:c r="L3083" s="40" t="n">
        <x:f>ABS(K3083)</x:f>
        <x:v>0.09999999999999964</x:v>
      </x:c>
      <x:c r="M3083" s="41" t="str">
        <x:v>lstm-soil-v1</x:v>
      </x:c>
    </x:row>
    <x:row r="3084">
      <x:c r="A3084" s="38" t="str">
        <x:v>7月30日现场数据</x:v>
      </x:c>
      <x:c r="B3084" s="39" t="str">
        <x:v>2026-08-03T05:45:00</x:v>
      </x:c>
      <x:c r="C3084" s="39" t="str">
        <x:v>2026-08-03T05:50:00</x:v>
      </x:c>
      <x:c r="D3084" s="47" t="n">
        <x:v>5</x:v>
      </x:c>
      <x:c r="E3084" s="40" t="n">
        <x:v>14.5</x:v>
      </x:c>
      <x:c r="F3084" s="40" t="n">
        <x:v>12.67868423461914</x:v>
      </x:c>
      <x:c r="G3084" s="40" t="n">
        <x:v>14.5</x:v>
      </x:c>
      <x:c r="H3084" s="40" t="n">
        <x:f>F3084-E3084</x:f>
        <x:v>-1.8213157653808594</x:v>
      </x:c>
      <x:c r="I3084" s="40" t="n">
        <x:f>ABS(H3084)</x:f>
        <x:v>1.8213157653808594</x:v>
      </x:c>
      <x:c r="J3084" s="40" t="n">
        <x:f>H3084^2</x:f>
        <x:v>3.3171911172248656</x:v>
      </x:c>
      <x:c r="K3084" s="40" t="n">
        <x:f>G3084-E3084</x:f>
        <x:v>0</x:v>
      </x:c>
      <x:c r="L3084" s="40" t="n">
        <x:f>ABS(K3084)</x:f>
        <x:v>0</x:v>
      </x:c>
      <x:c r="M3084" s="41" t="str">
        <x:v>lstm-soil-v1</x:v>
      </x:c>
    </x:row>
    <x:row r="3085">
      <x:c r="A3085" s="38" t="str">
        <x:v>7月30日现场数据</x:v>
      </x:c>
      <x:c r="B3085" s="39" t="str">
        <x:v>2026-08-03T05:45:00</x:v>
      </x:c>
      <x:c r="C3085" s="39" t="str">
        <x:v>2026-08-03T06:00:00</x:v>
      </x:c>
      <x:c r="D3085" s="47" t="n">
        <x:v>15</x:v>
      </x:c>
      <x:c r="E3085" s="40" t="n">
        <x:v>14.5</x:v>
      </x:c>
      <x:c r="F3085" s="40" t="n">
        <x:v>12.743865966796875</x:v>
      </x:c>
      <x:c r="G3085" s="40" t="n">
        <x:v>14.5</x:v>
      </x:c>
      <x:c r="H3085" s="40" t="n">
        <x:f>F3085-E3085</x:f>
        <x:v>-1.756134033203125</x:v>
      </x:c>
      <x:c r="I3085" s="40" t="n">
        <x:f>ABS(H3085)</x:f>
        <x:v>1.756134033203125</x:v>
      </x:c>
      <x:c r="J3085" s="40" t="n">
        <x:f>H3085^2</x:f>
        <x:v>3.0840067425742745</x:v>
      </x:c>
      <x:c r="K3085" s="40" t="n">
        <x:f>G3085-E3085</x:f>
        <x:v>0</x:v>
      </x:c>
      <x:c r="L3085" s="40" t="n">
        <x:f>ABS(K3085)</x:f>
        <x:v>0</x:v>
      </x:c>
      <x:c r="M3085" s="41" t="str">
        <x:v>lstm-soil-v1</x:v>
      </x:c>
    </x:row>
    <x:row r="3086">
      <x:c r="A3086" s="38" t="str">
        <x:v>7月30日现场数据</x:v>
      </x:c>
      <x:c r="B3086" s="39" t="str">
        <x:v>2026-08-03T05:45:00</x:v>
      </x:c>
      <x:c r="C3086" s="39" t="str">
        <x:v>2026-08-03T06:15:00</x:v>
      </x:c>
      <x:c r="D3086" s="47" t="n">
        <x:v>30</x:v>
      </x:c>
      <x:c r="E3086" s="40" t="n">
        <x:v>14.5</x:v>
      </x:c>
      <x:c r="F3086" s="40" t="n">
        <x:v>13.21457290649414</x:v>
      </x:c>
      <x:c r="G3086" s="40" t="n">
        <x:v>14.5</x:v>
      </x:c>
      <x:c r="H3086" s="40" t="n">
        <x:f>F3086-E3086</x:f>
        <x:v>-1.2854270935058594</x:v>
      </x:c>
      <x:c r="I3086" s="40" t="n">
        <x:f>ABS(H3086)</x:f>
        <x:v>1.2854270935058594</x:v>
      </x:c>
      <x:c r="J3086" s="40" t="n">
        <x:f>H3086^2</x:f>
        <x:v>1.6523228127189213</x:v>
      </x:c>
      <x:c r="K3086" s="40" t="n">
        <x:f>G3086-E3086</x:f>
        <x:v>0</x:v>
      </x:c>
      <x:c r="L3086" s="40" t="n">
        <x:f>ABS(K3086)</x:f>
        <x:v>0</x:v>
      </x:c>
      <x:c r="M3086" s="41" t="str">
        <x:v>lstm-soil-v1</x:v>
      </x:c>
    </x:row>
    <x:row r="3087">
      <x:c r="A3087" s="38" t="str">
        <x:v>7月30日现场数据</x:v>
      </x:c>
      <x:c r="B3087" s="39" t="str">
        <x:v>2026-08-03T05:45:00</x:v>
      </x:c>
      <x:c r="C3087" s="39" t="str">
        <x:v>2026-08-03T06:45:00</x:v>
      </x:c>
      <x:c r="D3087" s="47" t="n">
        <x:v>60</x:v>
      </x:c>
      <x:c r="E3087" s="40" t="n">
        <x:v>14.5</x:v>
      </x:c>
      <x:c r="F3087" s="40" t="n">
        <x:v>14.783912658691406</x:v>
      </x:c>
      <x:c r="G3087" s="40" t="n">
        <x:v>14.5</x:v>
      </x:c>
      <x:c r="H3087" s="40" t="n">
        <x:f>F3087-E3087</x:f>
        <x:v>0.28391265869140625</x:v>
      </x:c>
      <x:c r="I3087" s="40" t="n">
        <x:f>ABS(H3087)</x:f>
        <x:v>0.28391265869140625</x:v>
      </x:c>
      <x:c r="J3087" s="40" t="n">
        <x:f>H3087^2</x:f>
        <x:v>0.08060639776522294</x:v>
      </x:c>
      <x:c r="K3087" s="40" t="n">
        <x:f>G3087-E3087</x:f>
        <x:v>0</x:v>
      </x:c>
      <x:c r="L3087" s="40" t="n">
        <x:f>ABS(K3087)</x:f>
        <x:v>0</x:v>
      </x:c>
      <x:c r="M3087" s="41" t="str">
        <x:v>lstm-soil-v1</x:v>
      </x:c>
    </x:row>
    <x:row r="3088">
      <x:c r="A3088" s="38" t="str">
        <x:v>7月30日现场数据</x:v>
      </x:c>
      <x:c r="B3088" s="39" t="str">
        <x:v>2026-08-03T05:50:00</x:v>
      </x:c>
      <x:c r="C3088" s="39" t="str">
        <x:v>2026-08-03T05:55:00</x:v>
      </x:c>
      <x:c r="D3088" s="47" t="n">
        <x:v>5</x:v>
      </x:c>
      <x:c r="E3088" s="40" t="n">
        <x:v>14.5</x:v>
      </x:c>
      <x:c r="F3088" s="40" t="n">
        <x:v>12.67864990234375</x:v>
      </x:c>
      <x:c r="G3088" s="40" t="n">
        <x:v>14.5</x:v>
      </x:c>
      <x:c r="H3088" s="40" t="n">
        <x:f>F3088-E3088</x:f>
        <x:v>-1.82135009765625</x:v>
      </x:c>
      <x:c r="I3088" s="40" t="n">
        <x:f>ABS(H3088)</x:f>
        <x:v>1.82135009765625</x:v>
      </x:c>
      <x:c r="J3088" s="40" t="n">
        <x:f>H3088^2</x:f>
        <x:v>3.3173161782324314</x:v>
      </x:c>
      <x:c r="K3088" s="40" t="n">
        <x:f>G3088-E3088</x:f>
        <x:v>0</x:v>
      </x:c>
      <x:c r="L3088" s="40" t="n">
        <x:f>ABS(K3088)</x:f>
        <x:v>0</x:v>
      </x:c>
      <x:c r="M3088" s="41" t="str">
        <x:v>lstm-soil-v1</x:v>
      </x:c>
    </x:row>
    <x:row r="3089">
      <x:c r="A3089" s="38" t="str">
        <x:v>7月30日现场数据</x:v>
      </x:c>
      <x:c r="B3089" s="39" t="str">
        <x:v>2026-08-03T05:50:00</x:v>
      </x:c>
      <x:c r="C3089" s="39" t="str">
        <x:v>2026-08-03T06:05:00</x:v>
      </x:c>
      <x:c r="D3089" s="47" t="n">
        <x:v>15</x:v>
      </x:c>
      <x:c r="E3089" s="40" t="n">
        <x:v>14.5</x:v>
      </x:c>
      <x:c r="F3089" s="40" t="n">
        <x:v>12.743289947509766</x:v>
      </x:c>
      <x:c r="G3089" s="40" t="n">
        <x:v>14.5</x:v>
      </x:c>
      <x:c r="H3089" s="40" t="n">
        <x:f>F3089-E3089</x:f>
        <x:v>-1.7567100524902344</x:v>
      </x:c>
      <x:c r="I3089" s="40" t="n">
        <x:f>ABS(H3089)</x:f>
        <x:v>1.7567100524902344</x:v>
      </x:c>
      <x:c r="J3089" s="40" t="n">
        <x:f>H3089^2</x:f>
        <x:v>3.086030208520242</x:v>
      </x:c>
      <x:c r="K3089" s="40" t="n">
        <x:f>G3089-E3089</x:f>
        <x:v>0</x:v>
      </x:c>
      <x:c r="L3089" s="40" t="n">
        <x:f>ABS(K3089)</x:f>
        <x:v>0</x:v>
      </x:c>
      <x:c r="M3089" s="41" t="str">
        <x:v>lstm-soil-v1</x:v>
      </x:c>
    </x:row>
    <x:row r="3090">
      <x:c r="A3090" s="38" t="str">
        <x:v>7月30日现场数据</x:v>
      </x:c>
      <x:c r="B3090" s="39" t="str">
        <x:v>2026-08-03T05:50:00</x:v>
      </x:c>
      <x:c r="C3090" s="39" t="str">
        <x:v>2026-08-03T06:20:00</x:v>
      </x:c>
      <x:c r="D3090" s="47" t="n">
        <x:v>30</x:v>
      </x:c>
      <x:c r="E3090" s="40" t="n">
        <x:v>14.5</x:v>
      </x:c>
      <x:c r="F3090" s="40" t="n">
        <x:v>13.21484375</x:v>
      </x:c>
      <x:c r="G3090" s="40" t="n">
        <x:v>14.5</x:v>
      </x:c>
      <x:c r="H3090" s="40" t="n">
        <x:f>F3090-E3090</x:f>
        <x:v>-1.28515625</x:v>
      </x:c>
      <x:c r="I3090" s="40" t="n">
        <x:f>ABS(H3090)</x:f>
        <x:v>1.28515625</x:v>
      </x:c>
      <x:c r="J3090" s="40" t="n">
        <x:f>H3090^2</x:f>
        <x:v>1.6516265869140625</x:v>
      </x:c>
      <x:c r="K3090" s="40" t="n">
        <x:f>G3090-E3090</x:f>
        <x:v>0</x:v>
      </x:c>
      <x:c r="L3090" s="40" t="n">
        <x:f>ABS(K3090)</x:f>
        <x:v>0</x:v>
      </x:c>
      <x:c r="M3090" s="41" t="str">
        <x:v>lstm-soil-v1</x:v>
      </x:c>
    </x:row>
    <x:row r="3091">
      <x:c r="A3091" s="38" t="str">
        <x:v>7月30日现场数据</x:v>
      </x:c>
      <x:c r="B3091" s="39" t="str">
        <x:v>2026-08-03T05:50:00</x:v>
      </x:c>
      <x:c r="C3091" s="39" t="str">
        <x:v>2026-08-03T06:50:00</x:v>
      </x:c>
      <x:c r="D3091" s="47" t="n">
        <x:v>60</x:v>
      </x:c>
      <x:c r="E3091" s="40" t="n">
        <x:v>14.5</x:v>
      </x:c>
      <x:c r="F3091" s="40" t="n">
        <x:v>14.784683227539062</x:v>
      </x:c>
      <x:c r="G3091" s="40" t="n">
        <x:v>14.5</x:v>
      </x:c>
      <x:c r="H3091" s="40" t="n">
        <x:f>F3091-E3091</x:f>
        <x:v>0.2846832275390625</x:v>
      </x:c>
      <x:c r="I3091" s="40" t="n">
        <x:f>ABS(H3091)</x:f>
        <x:v>0.2846832275390625</x:v>
      </x:c>
      <x:c r="J3091" s="40" t="n">
        <x:f>H3091^2</x:f>
        <x:v>0.08104454004205763</x:v>
      </x:c>
      <x:c r="K3091" s="40" t="n">
        <x:f>G3091-E3091</x:f>
        <x:v>0</x:v>
      </x:c>
      <x:c r="L3091" s="40" t="n">
        <x:f>ABS(K3091)</x:f>
        <x:v>0</x:v>
      </x:c>
      <x:c r="M3091" s="41" t="str">
        <x:v>lstm-soil-v1</x:v>
      </x:c>
    </x:row>
    <x:row r="3092">
      <x:c r="A3092" s="38" t="str">
        <x:v>7月30日现场数据</x:v>
      </x:c>
      <x:c r="B3092" s="39" t="str">
        <x:v>2026-08-03T05:55:00</x:v>
      </x:c>
      <x:c r="C3092" s="39" t="str">
        <x:v>2026-08-03T06:00:00</x:v>
      </x:c>
      <x:c r="D3092" s="47" t="n">
        <x:v>5</x:v>
      </x:c>
      <x:c r="E3092" s="40" t="n">
        <x:v>14.5</x:v>
      </x:c>
      <x:c r="F3092" s="40" t="n">
        <x:v>12.67862319946289</x:v>
      </x:c>
      <x:c r="G3092" s="40" t="n">
        <x:v>14.5</x:v>
      </x:c>
      <x:c r="H3092" s="40" t="n">
        <x:f>F3092-E3092</x:f>
        <x:v>-1.8213768005371094</x:v>
      </x:c>
      <x:c r="I3092" s="40" t="n">
        <x:f>ABS(H3092)</x:f>
        <x:v>1.8213768005371094</x:v>
      </x:c>
      <x:c r="J3092" s="40" t="n">
        <x:f>H3092^2</x:f>
        <x:v>3.317413449534797</x:v>
      </x:c>
      <x:c r="K3092" s="40" t="n">
        <x:f>G3092-E3092</x:f>
        <x:v>0</x:v>
      </x:c>
      <x:c r="L3092" s="40" t="n">
        <x:f>ABS(K3092)</x:f>
        <x:v>0</x:v>
      </x:c>
      <x:c r="M3092" s="41" t="str">
        <x:v>lstm-soil-v1</x:v>
      </x:c>
    </x:row>
    <x:row r="3093">
      <x:c r="A3093" s="38" t="str">
        <x:v>7月30日现场数据</x:v>
      </x:c>
      <x:c r="B3093" s="39" t="str">
        <x:v>2026-08-03T05:55:00</x:v>
      </x:c>
      <x:c r="C3093" s="39" t="str">
        <x:v>2026-08-03T06:10:00</x:v>
      </x:c>
      <x:c r="D3093" s="47" t="n">
        <x:v>15</x:v>
      </x:c>
      <x:c r="E3093" s="40" t="n">
        <x:v>14.5</x:v>
      </x:c>
      <x:c r="F3093" s="40" t="n">
        <x:v>12.74285888671875</x:v>
      </x:c>
      <x:c r="G3093" s="40" t="n">
        <x:v>14.5</x:v>
      </x:c>
      <x:c r="H3093" s="40" t="n">
        <x:f>F3093-E3093</x:f>
        <x:v>-1.75714111328125</x:v>
      </x:c>
      <x:c r="I3093" s="40" t="n">
        <x:f>ABS(H3093)</x:f>
        <x:v>1.75714111328125</x:v>
      </x:c>
      <x:c r="J3093" s="40" t="n">
        <x:f>H3093^2</x:f>
        <x:v>3.0875448919832706</x:v>
      </x:c>
      <x:c r="K3093" s="40" t="n">
        <x:f>G3093-E3093</x:f>
        <x:v>0</x:v>
      </x:c>
      <x:c r="L3093" s="40" t="n">
        <x:f>ABS(K3093)</x:f>
        <x:v>0</x:v>
      </x:c>
      <x:c r="M3093" s="41" t="str">
        <x:v>lstm-soil-v1</x:v>
      </x:c>
    </x:row>
    <x:row r="3094">
      <x:c r="A3094" s="38" t="str">
        <x:v>7月30日现场数据</x:v>
      </x:c>
      <x:c r="B3094" s="39" t="str">
        <x:v>2026-08-03T05:55:00</x:v>
      </x:c>
      <x:c r="C3094" s="39" t="str">
        <x:v>2026-08-03T06:25:00</x:v>
      </x:c>
      <x:c r="D3094" s="47" t="n">
        <x:v>30</x:v>
      </x:c>
      <x:c r="E3094" s="40" t="n">
        <x:v>14.5</x:v>
      </x:c>
      <x:c r="F3094" s="40" t="n">
        <x:v>13.215198516845703</x:v>
      </x:c>
      <x:c r="G3094" s="40" t="n">
        <x:v>14.5</x:v>
      </x:c>
      <x:c r="H3094" s="40" t="n">
        <x:f>F3094-E3094</x:f>
        <x:v>-1.2848014831542969</x:v>
      </x:c>
      <x:c r="I3094" s="40" t="n">
        <x:f>ABS(H3094)</x:f>
        <x:v>1.2848014831542969</x:v>
      </x:c>
      <x:c r="J3094" s="40" t="n">
        <x:f>H3094^2</x:f>
        <x:v>1.650714851115481</x:v>
      </x:c>
      <x:c r="K3094" s="40" t="n">
        <x:f>G3094-E3094</x:f>
        <x:v>0</x:v>
      </x:c>
      <x:c r="L3094" s="40" t="n">
        <x:f>ABS(K3094)</x:f>
        <x:v>0</x:v>
      </x:c>
      <x:c r="M3094" s="41" t="str">
        <x:v>lstm-soil-v1</x:v>
      </x:c>
    </x:row>
    <x:row r="3095">
      <x:c r="A3095" s="38" t="str">
        <x:v>7月30日现场数据</x:v>
      </x:c>
      <x:c r="B3095" s="39" t="str">
        <x:v>2026-08-03T05:55:00</x:v>
      </x:c>
      <x:c r="C3095" s="39" t="str">
        <x:v>2026-08-03T06:55:00</x:v>
      </x:c>
      <x:c r="D3095" s="47" t="n">
        <x:v>60</x:v>
      </x:c>
      <x:c r="E3095" s="40" t="n">
        <x:v>14.5</x:v>
      </x:c>
      <x:c r="F3095" s="40" t="n">
        <x:v>14.785297393798828</x:v>
      </x:c>
      <x:c r="G3095" s="40" t="n">
        <x:v>14.5</x:v>
      </x:c>
      <x:c r="H3095" s="40" t="n">
        <x:f>F3095-E3095</x:f>
        <x:v>0.2852973937988281</x:v>
      </x:c>
      <x:c r="I3095" s="40" t="n">
        <x:f>ABS(H3095)</x:f>
        <x:v>0.2852973937988281</x:v>
      </x:c>
      <x:c r="J3095" s="40" t="n">
        <x:f>H3095^2</x:f>
        <x:v>0.08139460290840361</x:v>
      </x:c>
      <x:c r="K3095" s="40" t="n">
        <x:f>G3095-E3095</x:f>
        <x:v>0</x:v>
      </x:c>
      <x:c r="L3095" s="40" t="n">
        <x:f>ABS(K3095)</x:f>
        <x:v>0</x:v>
      </x:c>
      <x:c r="M3095" s="41" t="str">
        <x:v>lstm-soil-v1</x:v>
      </x:c>
    </x:row>
    <x:row r="3096">
      <x:c r="A3096" s="38" t="str">
        <x:v>7月30日现场数据</x:v>
      </x:c>
      <x:c r="B3096" s="39" t="str">
        <x:v>2026-08-03T06:00:00</x:v>
      </x:c>
      <x:c r="C3096" s="39" t="str">
        <x:v>2026-08-03T06:05:00</x:v>
      </x:c>
      <x:c r="D3096" s="47" t="n">
        <x:v>5</x:v>
      </x:c>
      <x:c r="E3096" s="40" t="n">
        <x:v>14.5</x:v>
      </x:c>
      <x:c r="F3096" s="40" t="n">
        <x:v>12.678688049316406</x:v>
      </x:c>
      <x:c r="G3096" s="40" t="n">
        <x:v>14.5</x:v>
      </x:c>
      <x:c r="H3096" s="40" t="n">
        <x:f>F3096-E3096</x:f>
        <x:v>-1.8213119506835938</x:v>
      </x:c>
      <x:c r="I3096" s="40" t="n">
        <x:f>ABS(H3096)</x:f>
        <x:v>1.8213119506835938</x:v>
      </x:c>
      <x:c r="J3096" s="40" t="n">
        <x:f>H3096^2</x:f>
        <x:v>3.3171772217028774</x:v>
      </x:c>
      <x:c r="K3096" s="40" t="n">
        <x:f>G3096-E3096</x:f>
        <x:v>0</x:v>
      </x:c>
      <x:c r="L3096" s="40" t="n">
        <x:f>ABS(K3096)</x:f>
        <x:v>0</x:v>
      </x:c>
      <x:c r="M3096" s="41" t="str">
        <x:v>lstm-soil-v1</x:v>
      </x:c>
    </x:row>
    <x:row r="3097">
      <x:c r="A3097" s="38" t="str">
        <x:v>7月30日现场数据</x:v>
      </x:c>
      <x:c r="B3097" s="39" t="str">
        <x:v>2026-08-03T06:00:00</x:v>
      </x:c>
      <x:c r="C3097" s="39" t="str">
        <x:v>2026-08-03T06:15:00</x:v>
      </x:c>
      <x:c r="D3097" s="47" t="n">
        <x:v>15</x:v>
      </x:c>
      <x:c r="E3097" s="40" t="n">
        <x:v>14.5</x:v>
      </x:c>
      <x:c r="F3097" s="40" t="n">
        <x:v>12.7420654296875</x:v>
      </x:c>
      <x:c r="G3097" s="40" t="n">
        <x:v>14.5</x:v>
      </x:c>
      <x:c r="H3097" s="40" t="n">
        <x:f>F3097-E3097</x:f>
        <x:v>-1.7579345703125</x:v>
      </x:c>
      <x:c r="I3097" s="40" t="n">
        <x:f>ABS(H3097)</x:f>
        <x:v>1.7579345703125</x:v>
      </x:c>
      <x:c r="J3097" s="40" t="n">
        <x:f>H3097^2</x:f>
        <x:v>3.090333953499794</x:v>
      </x:c>
      <x:c r="K3097" s="40" t="n">
        <x:f>G3097-E3097</x:f>
        <x:v>0</x:v>
      </x:c>
      <x:c r="L3097" s="40" t="n">
        <x:f>ABS(K3097)</x:f>
        <x:v>0</x:v>
      </x:c>
      <x:c r="M3097" s="41" t="str">
        <x:v>lstm-soil-v1</x:v>
      </x:c>
    </x:row>
    <x:row r="3098">
      <x:c r="A3098" s="38" t="str">
        <x:v>7月30日现场数据</x:v>
      </x:c>
      <x:c r="B3098" s="39" t="str">
        <x:v>2026-08-03T06:00:00</x:v>
      </x:c>
      <x:c r="C3098" s="39" t="str">
        <x:v>2026-08-03T06:30:00</x:v>
      </x:c>
      <x:c r="D3098" s="47" t="n">
        <x:v>30</x:v>
      </x:c>
      <x:c r="E3098" s="40" t="n">
        <x:v>14.5</x:v>
      </x:c>
      <x:c r="F3098" s="40" t="n">
        <x:v>13.21542739868164</x:v>
      </x:c>
      <x:c r="G3098" s="40" t="n">
        <x:v>14.5</x:v>
      </x:c>
      <x:c r="H3098" s="40" t="n">
        <x:f>F3098-E3098</x:f>
        <x:v>-1.2845726013183594</x:v>
      </x:c>
      <x:c r="I3098" s="40" t="n">
        <x:f>ABS(H3098)</x:f>
        <x:v>1.2845726013183594</x:v>
      </x:c>
      <x:c r="J3098" s="40" t="n">
        <x:f>H3098^2</x:f>
        <x:v>1.6501267680578167</x:v>
      </x:c>
      <x:c r="K3098" s="40" t="n">
        <x:f>G3098-E3098</x:f>
        <x:v>0</x:v>
      </x:c>
      <x:c r="L3098" s="40" t="n">
        <x:f>ABS(K3098)</x:f>
        <x:v>0</x:v>
      </x:c>
      <x:c r="M3098" s="41" t="str">
        <x:v>lstm-soil-v1</x:v>
      </x:c>
    </x:row>
    <x:row r="3099">
      <x:c r="A3099" s="38" t="str">
        <x:v>7月30日现场数据</x:v>
      </x:c>
      <x:c r="B3099" s="39" t="str">
        <x:v>2026-08-03T06:00:00</x:v>
      </x:c>
      <x:c r="C3099" s="39" t="str">
        <x:v>2026-08-03T07:00:00</x:v>
      </x:c>
      <x:c r="D3099" s="47" t="n">
        <x:v>60</x:v>
      </x:c>
      <x:c r="E3099" s="40" t="n">
        <x:v>14.5</x:v>
      </x:c>
      <x:c r="F3099" s="40" t="n">
        <x:v>14.789169311523438</x:v>
      </x:c>
      <x:c r="G3099" s="40" t="n">
        <x:v>14.5</x:v>
      </x:c>
      <x:c r="H3099" s="40" t="n">
        <x:f>F3099-E3099</x:f>
        <x:v>0.2891693115234375</x:v>
      </x:c>
      <x:c r="I3099" s="40" t="n">
        <x:f>ABS(H3099)</x:f>
        <x:v>0.2891693115234375</x:v>
      </x:c>
      <x:c r="J3099" s="40" t="n">
        <x:f>H3099^2</x:f>
        <x:v>0.08361889072693884</x:v>
      </x:c>
      <x:c r="K3099" s="40" t="n">
        <x:f>G3099-E3099</x:f>
        <x:v>0</x:v>
      </x:c>
      <x:c r="L3099" s="40" t="n">
        <x:f>ABS(K3099)</x:f>
        <x:v>0</x:v>
      </x:c>
      <x:c r="M3099" s="41" t="str">
        <x:v>lstm-soil-v1</x:v>
      </x:c>
    </x:row>
    <x:row r="3100">
      <x:c r="A3100" s="38" t="str">
        <x:v>7月30日现场数据</x:v>
      </x:c>
      <x:c r="B3100" s="39" t="str">
        <x:v>2026-08-03T06:05:00</x:v>
      </x:c>
      <x:c r="C3100" s="39" t="str">
        <x:v>2026-08-03T06:10:00</x:v>
      </x:c>
      <x:c r="D3100" s="47" t="n">
        <x:v>5</x:v>
      </x:c>
      <x:c r="E3100" s="40" t="n">
        <x:v>14.5</x:v>
      </x:c>
      <x:c r="F3100" s="40" t="n">
        <x:v>12.678497314453125</x:v>
      </x:c>
      <x:c r="G3100" s="40" t="n">
        <x:v>14.5</x:v>
      </x:c>
      <x:c r="H3100" s="40" t="n">
        <x:f>F3100-E3100</x:f>
        <x:v>-1.821502685546875</x:v>
      </x:c>
      <x:c r="I3100" s="40" t="n">
        <x:f>ABS(H3100)</x:f>
        <x:v>1.821502685546875</x:v>
      </x:c>
      <x:c r="J3100" s="40" t="n">
        <x:f>H3100^2</x:f>
        <x:v>3.317872033454478</x:v>
      </x:c>
      <x:c r="K3100" s="40" t="n">
        <x:f>G3100-E3100</x:f>
        <x:v>0</x:v>
      </x:c>
      <x:c r="L3100" s="40" t="n">
        <x:f>ABS(K3100)</x:f>
        <x:v>0</x:v>
      </x:c>
      <x:c r="M3100" s="41" t="str">
        <x:v>lstm-soil-v1</x:v>
      </x:c>
    </x:row>
    <x:row r="3101">
      <x:c r="A3101" s="38" t="str">
        <x:v>7月30日现场数据</x:v>
      </x:c>
      <x:c r="B3101" s="39" t="str">
        <x:v>2026-08-03T06:05:00</x:v>
      </x:c>
      <x:c r="C3101" s="39" t="str">
        <x:v>2026-08-03T06:20:00</x:v>
      </x:c>
      <x:c r="D3101" s="47" t="n">
        <x:v>15</x:v>
      </x:c>
      <x:c r="E3101" s="40" t="n">
        <x:v>14.5</x:v>
      </x:c>
      <x:c r="F3101" s="40" t="n">
        <x:v>12.742321014404297</x:v>
      </x:c>
      <x:c r="G3101" s="40" t="n">
        <x:v>14.5</x:v>
      </x:c>
      <x:c r="H3101" s="40" t="n">
        <x:f>F3101-E3101</x:f>
        <x:v>-1.7576789855957031</x:v>
      </x:c>
      <x:c r="I3101" s="40" t="n">
        <x:f>ABS(H3101)</x:f>
        <x:v>1.7576789855957031</x:v>
      </x:c>
      <x:c r="J3101" s="40" t="n">
        <x:f>H3101^2</x:f>
        <x:v>3.08943541640474</x:v>
      </x:c>
      <x:c r="K3101" s="40" t="n">
        <x:f>G3101-E3101</x:f>
        <x:v>0</x:v>
      </x:c>
      <x:c r="L3101" s="40" t="n">
        <x:f>ABS(K3101)</x:f>
        <x:v>0</x:v>
      </x:c>
      <x:c r="M3101" s="41" t="str">
        <x:v>lstm-soil-v1</x:v>
      </x:c>
    </x:row>
    <x:row r="3102">
      <x:c r="A3102" s="38" t="str">
        <x:v>7月30日现场数据</x:v>
      </x:c>
      <x:c r="B3102" s="39" t="str">
        <x:v>2026-08-03T06:05:00</x:v>
      </x:c>
      <x:c r="C3102" s="39" t="str">
        <x:v>2026-08-03T06:35:00</x:v>
      </x:c>
      <x:c r="D3102" s="47" t="n">
        <x:v>30</x:v>
      </x:c>
      <x:c r="E3102" s="40" t="n">
        <x:v>14.5</x:v>
      </x:c>
      <x:c r="F3102" s="40" t="n">
        <x:v>13.216121673583984</x:v>
      </x:c>
      <x:c r="G3102" s="40" t="n">
        <x:v>14.5</x:v>
      </x:c>
      <x:c r="H3102" s="40" t="n">
        <x:f>F3102-E3102</x:f>
        <x:v>-1.2838783264160156</x:v>
      </x:c>
      <x:c r="I3102" s="40" t="n">
        <x:f>ABS(H3102)</x:f>
        <x:v>1.2838783264160156</x:v>
      </x:c>
      <x:c r="J3102" s="40" t="n">
        <x:f>H3102^2</x:f>
        <x:v>1.6483435570407892</x:v>
      </x:c>
      <x:c r="K3102" s="40" t="n">
        <x:f>G3102-E3102</x:f>
        <x:v>0</x:v>
      </x:c>
      <x:c r="L3102" s="40" t="n">
        <x:f>ABS(K3102)</x:f>
        <x:v>0</x:v>
      </x:c>
      <x:c r="M3102" s="41" t="str">
        <x:v>lstm-soil-v1</x:v>
      </x:c>
    </x:row>
    <x:row r="3103">
      <x:c r="A3103" s="38" t="str">
        <x:v>7月30日现场数据</x:v>
      </x:c>
      <x:c r="B3103" s="39" t="str">
        <x:v>2026-08-03T06:05:00</x:v>
      </x:c>
      <x:c r="C3103" s="39" t="str">
        <x:v>2026-08-03T07:05:00</x:v>
      </x:c>
      <x:c r="D3103" s="47" t="n">
        <x:v>60</x:v>
      </x:c>
      <x:c r="E3103" s="40" t="n">
        <x:v>14.5</x:v>
      </x:c>
      <x:c r="F3103" s="40" t="n">
        <x:v>14.791572570800781</x:v>
      </x:c>
      <x:c r="G3103" s="40" t="n">
        <x:v>14.5</x:v>
      </x:c>
      <x:c r="H3103" s="40" t="n">
        <x:f>F3103-E3103</x:f>
        <x:v>0.29157257080078125</x:v>
      </x:c>
      <x:c r="I3103" s="40" t="n">
        <x:f>ABS(H3103)</x:f>
        <x:v>0.29157257080078125</x:v>
      </x:c>
      <x:c r="J3103" s="40" t="n">
        <x:f>H3103^2</x:f>
        <x:v>0.0850145640433766</x:v>
      </x:c>
      <x:c r="K3103" s="40" t="n">
        <x:f>G3103-E3103</x:f>
        <x:v>0</x:v>
      </x:c>
      <x:c r="L3103" s="40" t="n">
        <x:f>ABS(K3103)</x:f>
        <x:v>0</x:v>
      </x:c>
      <x:c r="M3103" s="41" t="str">
        <x:v>lstm-soil-v1</x:v>
      </x:c>
    </x:row>
    <x:row r="3104">
      <x:c r="A3104" s="38" t="str">
        <x:v>7月30日现场数据</x:v>
      </x:c>
      <x:c r="B3104" s="39" t="str">
        <x:v>2026-08-03T06:10:00</x:v>
      </x:c>
      <x:c r="C3104" s="39" t="str">
        <x:v>2026-08-03T06:15:00</x:v>
      </x:c>
      <x:c r="D3104" s="47" t="n">
        <x:v>5</x:v>
      </x:c>
      <x:c r="E3104" s="40" t="n">
        <x:v>14.5</x:v>
      </x:c>
      <x:c r="F3104" s="40" t="n">
        <x:v>12.678653717041016</x:v>
      </x:c>
      <x:c r="G3104" s="40" t="n">
        <x:v>14.5</x:v>
      </x:c>
      <x:c r="H3104" s="40" t="n">
        <x:f>F3104-E3104</x:f>
        <x:v>-1.8213462829589844</x:v>
      </x:c>
      <x:c r="I3104" s="40" t="n">
        <x:f>ABS(H3104)</x:f>
        <x:v>1.8213462829589844</x:v>
      </x:c>
      <x:c r="J3104" s="40" t="n">
        <x:f>H3104^2</x:f>
        <x:v>3.3173022824485088</x:v>
      </x:c>
      <x:c r="K3104" s="40" t="n">
        <x:f>G3104-E3104</x:f>
        <x:v>0</x:v>
      </x:c>
      <x:c r="L3104" s="40" t="n">
        <x:f>ABS(K3104)</x:f>
        <x:v>0</x:v>
      </x:c>
      <x:c r="M3104" s="41" t="str">
        <x:v>lstm-soil-v1</x:v>
      </x:c>
    </x:row>
    <x:row r="3105">
      <x:c r="A3105" s="38" t="str">
        <x:v>7月30日现场数据</x:v>
      </x:c>
      <x:c r="B3105" s="39" t="str">
        <x:v>2026-08-03T06:10:00</x:v>
      </x:c>
      <x:c r="C3105" s="39" t="str">
        <x:v>2026-08-03T06:25:00</x:v>
      </x:c>
      <x:c r="D3105" s="47" t="n">
        <x:v>15</x:v>
      </x:c>
      <x:c r="E3105" s="40" t="n">
        <x:v>14.5</x:v>
      </x:c>
      <x:c r="F3105" s="40" t="n">
        <x:v>12.743053436279297</x:v>
      </x:c>
      <x:c r="G3105" s="40" t="n">
        <x:v>14.5</x:v>
      </x:c>
      <x:c r="H3105" s="40" t="n">
        <x:f>F3105-E3105</x:f>
        <x:v>-1.7569465637207031</x:v>
      </x:c>
      <x:c r="I3105" s="40" t="n">
        <x:f>ABS(H3105)</x:f>
        <x:v>1.7569465637207031</x:v>
      </x:c>
      <x:c r="J3105" s="40" t="n">
        <x:f>H3105^2</x:f>
        <x:v>3.0868612277699867</x:v>
      </x:c>
      <x:c r="K3105" s="40" t="n">
        <x:f>G3105-E3105</x:f>
        <x:v>0</x:v>
      </x:c>
      <x:c r="L3105" s="40" t="n">
        <x:f>ABS(K3105)</x:f>
        <x:v>0</x:v>
      </x:c>
      <x:c r="M3105" s="41" t="str">
        <x:v>lstm-soil-v1</x:v>
      </x:c>
    </x:row>
    <x:row r="3106">
      <x:c r="A3106" s="38" t="str">
        <x:v>7月30日现场数据</x:v>
      </x:c>
      <x:c r="B3106" s="39" t="str">
        <x:v>2026-08-03T06:10:00</x:v>
      </x:c>
      <x:c r="C3106" s="39" t="str">
        <x:v>2026-08-03T06:40:00</x:v>
      </x:c>
      <x:c r="D3106" s="47" t="n">
        <x:v>30</x:v>
      </x:c>
      <x:c r="E3106" s="40" t="n">
        <x:v>14.5</x:v>
      </x:c>
      <x:c r="F3106" s="40" t="n">
        <x:v>13.21700668334961</x:v>
      </x:c>
      <x:c r="G3106" s="40" t="n">
        <x:v>14.5</x:v>
      </x:c>
      <x:c r="H3106" s="40" t="n">
        <x:f>F3106-E3106</x:f>
        <x:v>-1.2829933166503906</x:v>
      </x:c>
      <x:c r="I3106" s="40" t="n">
        <x:f>ABS(H3106)</x:f>
        <x:v>1.2829933166503906</x:v>
      </x:c>
      <x:c r="J3106" s="40" t="n">
        <x:f>H3106^2</x:f>
        <x:v>1.6460718505695695</x:v>
      </x:c>
      <x:c r="K3106" s="40" t="n">
        <x:f>G3106-E3106</x:f>
        <x:v>0</x:v>
      </x:c>
      <x:c r="L3106" s="40" t="n">
        <x:f>ABS(K3106)</x:f>
        <x:v>0</x:v>
      </x:c>
      <x:c r="M3106" s="41" t="str">
        <x:v>lstm-soil-v1</x:v>
      </x:c>
    </x:row>
    <x:row r="3107">
      <x:c r="A3107" s="38" t="str">
        <x:v>7月30日现场数据</x:v>
      </x:c>
      <x:c r="B3107" s="39" t="str">
        <x:v>2026-08-03T06:10:00</x:v>
      </x:c>
      <x:c r="C3107" s="39" t="str">
        <x:v>2026-08-03T07:10:00</x:v>
      </x:c>
      <x:c r="D3107" s="47" t="n">
        <x:v>60</x:v>
      </x:c>
      <x:c r="E3107" s="40" t="n">
        <x:v>14.5</x:v>
      </x:c>
      <x:c r="F3107" s="40" t="n">
        <x:v>14.793670654296875</x:v>
      </x:c>
      <x:c r="G3107" s="40" t="n">
        <x:v>14.5</x:v>
      </x:c>
      <x:c r="H3107" s="40" t="n">
        <x:f>F3107-E3107</x:f>
        <x:v>0.293670654296875</x:v>
      </x:c>
      <x:c r="I3107" s="40" t="n">
        <x:f>ABS(H3107)</x:f>
        <x:v>0.293670654296875</x:v>
      </x:c>
      <x:c r="J3107" s="40" t="n">
        <x:f>H3107^2</x:f>
        <x:v>0.08624245319515467</x:v>
      </x:c>
      <x:c r="K3107" s="40" t="n">
        <x:f>G3107-E3107</x:f>
        <x:v>0</x:v>
      </x:c>
      <x:c r="L3107" s="40" t="n">
        <x:f>ABS(K3107)</x:f>
        <x:v>0</x:v>
      </x:c>
      <x:c r="M3107" s="41" t="str">
        <x:v>lstm-soil-v1</x:v>
      </x:c>
    </x:row>
    <x:row r="3108">
      <x:c r="A3108" s="38" t="str">
        <x:v>7月30日现场数据</x:v>
      </x:c>
      <x:c r="B3108" s="39" t="str">
        <x:v>2026-08-03T06:15:00</x:v>
      </x:c>
      <x:c r="C3108" s="39" t="str">
        <x:v>2026-08-03T06:20:00</x:v>
      </x:c>
      <x:c r="D3108" s="47" t="n">
        <x:v>5</x:v>
      </x:c>
      <x:c r="E3108" s="40" t="n">
        <x:v>14.5</x:v>
      </x:c>
      <x:c r="F3108" s="40" t="n">
        <x:v>12.679176330566406</x:v>
      </x:c>
      <x:c r="G3108" s="40" t="n">
        <x:v>14.5</x:v>
      </x:c>
      <x:c r="H3108" s="40" t="n">
        <x:f>F3108-E3108</x:f>
        <x:v>-1.8208236694335938</x:v>
      </x:c>
      <x:c r="I3108" s="40" t="n">
        <x:f>ABS(H3108)</x:f>
        <x:v>1.8208236694335938</x:v>
      </x:c>
      <x:c r="J3108" s="40" t="n">
        <x:f>H3108^2</x:f>
        <x:v>3.315398835169617</x:v>
      </x:c>
      <x:c r="K3108" s="40" t="n">
        <x:f>G3108-E3108</x:f>
        <x:v>0</x:v>
      </x:c>
      <x:c r="L3108" s="40" t="n">
        <x:f>ABS(K3108)</x:f>
        <x:v>0</x:v>
      </x:c>
      <x:c r="M3108" s="41" t="str">
        <x:v>lstm-soil-v1</x:v>
      </x:c>
    </x:row>
    <x:row r="3109">
      <x:c r="A3109" s="38" t="str">
        <x:v>7月30日现场数据</x:v>
      </x:c>
      <x:c r="B3109" s="39" t="str">
        <x:v>2026-08-03T06:15:00</x:v>
      </x:c>
      <x:c r="C3109" s="39" t="str">
        <x:v>2026-08-03T06:30:00</x:v>
      </x:c>
      <x:c r="D3109" s="47" t="n">
        <x:v>15</x:v>
      </x:c>
      <x:c r="E3109" s="40" t="n">
        <x:v>14.5</x:v>
      </x:c>
      <x:c r="F3109" s="40" t="n">
        <x:v>12.743854522705078</x:v>
      </x:c>
      <x:c r="G3109" s="40" t="n">
        <x:v>14.5</x:v>
      </x:c>
      <x:c r="H3109" s="40" t="n">
        <x:f>F3109-E3109</x:f>
        <x:v>-1.7561454772949219</x:v>
      </x:c>
      <x:c r="I3109" s="40" t="n">
        <x:f>ABS(H3109)</x:f>
        <x:v>1.7561454772949219</x:v>
      </x:c>
      <x:c r="J3109" s="40" t="n">
        <x:f>H3109^2</x:f>
        <x:v>3.084046937423409</x:v>
      </x:c>
      <x:c r="K3109" s="40" t="n">
        <x:f>G3109-E3109</x:f>
        <x:v>0</x:v>
      </x:c>
      <x:c r="L3109" s="40" t="n">
        <x:f>ABS(K3109)</x:f>
        <x:v>0</x:v>
      </x:c>
      <x:c r="M3109" s="41" t="str">
        <x:v>lstm-soil-v1</x:v>
      </x:c>
    </x:row>
    <x:row r="3110">
      <x:c r="A3110" s="38" t="str">
        <x:v>7月30日现场数据</x:v>
      </x:c>
      <x:c r="B3110" s="39" t="str">
        <x:v>2026-08-03T06:15:00</x:v>
      </x:c>
      <x:c r="C3110" s="39" t="str">
        <x:v>2026-08-03T06:45:00</x:v>
      </x:c>
      <x:c r="D3110" s="47" t="n">
        <x:v>30</x:v>
      </x:c>
      <x:c r="E3110" s="40" t="n">
        <x:v>14.5</x:v>
      </x:c>
      <x:c r="F3110" s="40" t="n">
        <x:v>13.218135833740234</x:v>
      </x:c>
      <x:c r="G3110" s="40" t="n">
        <x:v>14.5</x:v>
      </x:c>
      <x:c r="H3110" s="40" t="n">
        <x:f>F3110-E3110</x:f>
        <x:v>-1.2818641662597656</x:v>
      </x:c>
      <x:c r="I3110" s="40" t="n">
        <x:f>ABS(H3110)</x:f>
        <x:v>1.2818641662597656</x:v>
      </x:c>
      <x:c r="J3110" s="40" t="n">
        <x:f>H3110^2</x:f>
        <x:v>1.643175740740844</x:v>
      </x:c>
      <x:c r="K3110" s="40" t="n">
        <x:f>G3110-E3110</x:f>
        <x:v>0</x:v>
      </x:c>
      <x:c r="L3110" s="40" t="n">
        <x:f>ABS(K3110)</x:f>
        <x:v>0</x:v>
      </x:c>
      <x:c r="M3110" s="41" t="str">
        <x:v>lstm-soil-v1</x:v>
      </x:c>
    </x:row>
    <x:row r="3111">
      <x:c r="A3111" s="38" t="str">
        <x:v>7月30日现场数据</x:v>
      </x:c>
      <x:c r="B3111" s="39" t="str">
        <x:v>2026-08-03T06:15:00</x:v>
      </x:c>
      <x:c r="C3111" s="39" t="str">
        <x:v>2026-08-03T07:15:00</x:v>
      </x:c>
      <x:c r="D3111" s="47" t="n">
        <x:v>60</x:v>
      </x:c>
      <x:c r="E3111" s="40" t="n">
        <x:v>14.5</x:v>
      </x:c>
      <x:c r="F3111" s="40" t="n">
        <x:v>14.795623779296875</x:v>
      </x:c>
      <x:c r="G3111" s="40" t="n">
        <x:v>14.5</x:v>
      </x:c>
      <x:c r="H3111" s="40" t="n">
        <x:f>F3111-E3111</x:f>
        <x:v>0.295623779296875</x:v>
      </x:c>
      <x:c r="I3111" s="40" t="n">
        <x:f>ABS(H3111)</x:f>
        <x:v>0.295623779296875</x:v>
      </x:c>
      <x:c r="J3111" s="40" t="n">
        <x:f>H3111^2</x:f>
        <x:v>0.08739341888576746</x:v>
      </x:c>
      <x:c r="K3111" s="40" t="n">
        <x:f>G3111-E3111</x:f>
        <x:v>0</x:v>
      </x:c>
      <x:c r="L3111" s="40" t="n">
        <x:f>ABS(K3111)</x:f>
        <x:v>0</x:v>
      </x:c>
      <x:c r="M3111" s="41" t="str">
        <x:v>lstm-soil-v1</x:v>
      </x:c>
    </x:row>
    <x:row r="3112">
      <x:c r="A3112" s="38" t="str">
        <x:v>7月30日现场数据</x:v>
      </x:c>
      <x:c r="B3112" s="39" t="str">
        <x:v>2026-08-03T06:20:00</x:v>
      </x:c>
      <x:c r="C3112" s="39" t="str">
        <x:v>2026-08-03T06:25:00</x:v>
      </x:c>
      <x:c r="D3112" s="47" t="n">
        <x:v>5</x:v>
      </x:c>
      <x:c r="E3112" s="40" t="n">
        <x:v>14.5</x:v>
      </x:c>
      <x:c r="F3112" s="40" t="n">
        <x:v>12.679210662841797</x:v>
      </x:c>
      <x:c r="G3112" s="40" t="n">
        <x:v>14.5</x:v>
      </x:c>
      <x:c r="H3112" s="40" t="n">
        <x:f>F3112-E3112</x:f>
        <x:v>-1.8207893371582031</x:v>
      </x:c>
      <x:c r="I3112" s="40" t="n">
        <x:f>ABS(H3112)</x:f>
        <x:v>1.8207893371582031</x:v>
      </x:c>
      <x:c r="J3112" s="40" t="n">
        <x:f>H3112^2</x:f>
        <x:v>3.3152738103090087</x:v>
      </x:c>
      <x:c r="K3112" s="40" t="n">
        <x:f>G3112-E3112</x:f>
        <x:v>0</x:v>
      </x:c>
      <x:c r="L3112" s="40" t="n">
        <x:f>ABS(K3112)</x:f>
        <x:v>0</x:v>
      </x:c>
      <x:c r="M3112" s="41" t="str">
        <x:v>lstm-soil-v1</x:v>
      </x:c>
    </x:row>
    <x:row r="3113">
      <x:c r="A3113" s="38" t="str">
        <x:v>7月30日现场数据</x:v>
      </x:c>
      <x:c r="B3113" s="39" t="str">
        <x:v>2026-08-03T06:20:00</x:v>
      </x:c>
      <x:c r="C3113" s="39" t="str">
        <x:v>2026-08-03T06:35:00</x:v>
      </x:c>
      <x:c r="D3113" s="47" t="n">
        <x:v>15</x:v>
      </x:c>
      <x:c r="E3113" s="40" t="n">
        <x:v>14.5</x:v>
      </x:c>
      <x:c r="F3113" s="40" t="n">
        <x:v>12.746383666992188</x:v>
      </x:c>
      <x:c r="G3113" s="40" t="n">
        <x:v>14.5</x:v>
      </x:c>
      <x:c r="H3113" s="40" t="n">
        <x:f>F3113-E3113</x:f>
        <x:v>-1.7536163330078125</x:v>
      </x:c>
      <x:c r="I3113" s="40" t="n">
        <x:f>ABS(H3113)</x:f>
        <x:v>1.7536163330078125</x:v>
      </x:c>
      <x:c r="J3113" s="40" t="n">
        <x:f>H3113^2</x:f>
        <x:v>3.075170243391767</x:v>
      </x:c>
      <x:c r="K3113" s="40" t="n">
        <x:f>G3113-E3113</x:f>
        <x:v>0</x:v>
      </x:c>
      <x:c r="L3113" s="40" t="n">
        <x:f>ABS(K3113)</x:f>
        <x:v>0</x:v>
      </x:c>
      <x:c r="M3113" s="41" t="str">
        <x:v>lstm-soil-v1</x:v>
      </x:c>
    </x:row>
    <x:row r="3114">
      <x:c r="A3114" s="38" t="str">
        <x:v>7月30日现场数据</x:v>
      </x:c>
      <x:c r="B3114" s="39" t="str">
        <x:v>2026-08-03T06:20:00</x:v>
      </x:c>
      <x:c r="C3114" s="39" t="str">
        <x:v>2026-08-03T06:50:00</x:v>
      </x:c>
      <x:c r="D3114" s="47" t="n">
        <x:v>30</x:v>
      </x:c>
      <x:c r="E3114" s="40" t="n">
        <x:v>14.5</x:v>
      </x:c>
      <x:c r="F3114" s="40" t="n">
        <x:v>13.220012664794922</x:v>
      </x:c>
      <x:c r="G3114" s="40" t="n">
        <x:v>14.5</x:v>
      </x:c>
      <x:c r="H3114" s="40" t="n">
        <x:f>F3114-E3114</x:f>
        <x:v>-1.2799873352050781</x:v>
      </x:c>
      <x:c r="I3114" s="40" t="n">
        <x:f>ABS(H3114)</x:f>
        <x:v>1.2799873352050781</x:v>
      </x:c>
      <x:c r="J3114" s="40" t="n">
        <x:f>H3114^2</x:f>
        <x:v>1.638367578285397</x:v>
      </x:c>
      <x:c r="K3114" s="40" t="n">
        <x:f>G3114-E3114</x:f>
        <x:v>0</x:v>
      </x:c>
      <x:c r="L3114" s="40" t="n">
        <x:f>ABS(K3114)</x:f>
        <x:v>0</x:v>
      </x:c>
      <x:c r="M3114" s="41" t="str">
        <x:v>lstm-soil-v1</x:v>
      </x:c>
    </x:row>
    <x:row r="3115">
      <x:c r="A3115" s="38" t="str">
        <x:v>7月30日现场数据</x:v>
      </x:c>
      <x:c r="B3115" s="39" t="str">
        <x:v>2026-08-03T06:20:00</x:v>
      </x:c>
      <x:c r="C3115" s="39" t="str">
        <x:v>2026-08-03T07:20:00</x:v>
      </x:c>
      <x:c r="D3115" s="47" t="n">
        <x:v>60</x:v>
      </x:c>
      <x:c r="E3115" s="40" t="n">
        <x:v>14.5</x:v>
      </x:c>
      <x:c r="F3115" s="40" t="n">
        <x:v>14.799457550048828</x:v>
      </x:c>
      <x:c r="G3115" s="40" t="n">
        <x:v>14.5</x:v>
      </x:c>
      <x:c r="H3115" s="40" t="n">
        <x:f>F3115-E3115</x:f>
        <x:v>0.2994575500488281</x:v>
      </x:c>
      <x:c r="I3115" s="40" t="n">
        <x:f>ABS(H3115)</x:f>
        <x:v>0.2994575500488281</x:v>
      </x:c>
      <x:c r="J3115" s="40" t="n">
        <x:f>H3115^2</x:f>
        <x:v>0.0896748242812464</x:v>
      </x:c>
      <x:c r="K3115" s="40" t="n">
        <x:f>G3115-E3115</x:f>
        <x:v>0</x:v>
      </x:c>
      <x:c r="L3115" s="40" t="n">
        <x:f>ABS(K3115)</x:f>
        <x:v>0</x:v>
      </x:c>
      <x:c r="M3115" s="41" t="str">
        <x:v>lstm-soil-v1</x:v>
      </x:c>
    </x:row>
    <x:row r="3116">
      <x:c r="A3116" s="38" t="str">
        <x:v>7月30日现场数据</x:v>
      </x:c>
      <x:c r="B3116" s="39" t="str">
        <x:v>2026-08-03T06:25:00</x:v>
      </x:c>
      <x:c r="C3116" s="39" t="str">
        <x:v>2026-08-03T06:30:00</x:v>
      </x:c>
      <x:c r="D3116" s="47" t="n">
        <x:v>5</x:v>
      </x:c>
      <x:c r="E3116" s="40" t="n">
        <x:v>14.5</x:v>
      </x:c>
      <x:c r="F3116" s="40" t="n">
        <x:v>12.678287506103516</x:v>
      </x:c>
      <x:c r="G3116" s="40" t="n">
        <x:v>14.5</x:v>
      </x:c>
      <x:c r="H3116" s="40" t="n">
        <x:f>F3116-E3116</x:f>
        <x:v>-1.8217124938964844</x:v>
      </x:c>
      <x:c r="I3116" s="40" t="n">
        <x:f>ABS(H3116)</x:f>
        <x:v>1.8217124938964844</x:v>
      </x:c>
      <x:c r="J3116" s="40" t="n">
        <x:f>H3116^2</x:f>
        <x:v>3.3186364104185486</x:v>
      </x:c>
      <x:c r="K3116" s="40" t="n">
        <x:f>G3116-E3116</x:f>
        <x:v>0</x:v>
      </x:c>
      <x:c r="L3116" s="40" t="n">
        <x:f>ABS(K3116)</x:f>
        <x:v>0</x:v>
      </x:c>
      <x:c r="M3116" s="41" t="str">
        <x:v>lstm-soil-v1</x:v>
      </x:c>
    </x:row>
    <x:row r="3117">
      <x:c r="A3117" s="38" t="str">
        <x:v>7月30日现场数据</x:v>
      </x:c>
      <x:c r="B3117" s="39" t="str">
        <x:v>2026-08-03T06:25:00</x:v>
      </x:c>
      <x:c r="C3117" s="39" t="str">
        <x:v>2026-08-03T06:40:00</x:v>
      </x:c>
      <x:c r="D3117" s="47" t="n">
        <x:v>15</x:v>
      </x:c>
      <x:c r="E3117" s="40" t="n">
        <x:v>14.5</x:v>
      </x:c>
      <x:c r="F3117" s="40" t="n">
        <x:v>12.747421264648438</x:v>
      </x:c>
      <x:c r="G3117" s="40" t="n">
        <x:v>14.5</x:v>
      </x:c>
      <x:c r="H3117" s="40" t="n">
        <x:f>F3117-E3117</x:f>
        <x:v>-1.7525787353515625</x:v>
      </x:c>
      <x:c r="I3117" s="40" t="n">
        <x:f>ABS(H3117)</x:f>
        <x:v>1.7525787353515625</x:v>
      </x:c>
      <x:c r="J3117" s="40" t="n">
        <x:f>H3117^2</x:f>
        <x:v>3.071532223606482</x:v>
      </x:c>
      <x:c r="K3117" s="40" t="n">
        <x:f>G3117-E3117</x:f>
        <x:v>0</x:v>
      </x:c>
      <x:c r="L3117" s="40" t="n">
        <x:f>ABS(K3117)</x:f>
        <x:v>0</x:v>
      </x:c>
      <x:c r="M3117" s="41" t="str">
        <x:v>lstm-soil-v1</x:v>
      </x:c>
    </x:row>
    <x:row r="3118">
      <x:c r="A3118" s="38" t="str">
        <x:v>7月30日现场数据</x:v>
      </x:c>
      <x:c r="B3118" s="39" t="str">
        <x:v>2026-08-03T06:25:00</x:v>
      </x:c>
      <x:c r="C3118" s="39" t="str">
        <x:v>2026-08-03T06:55:00</x:v>
      </x:c>
      <x:c r="D3118" s="47" t="n">
        <x:v>30</x:v>
      </x:c>
      <x:c r="E3118" s="40" t="n">
        <x:v>14.5</x:v>
      </x:c>
      <x:c r="F3118" s="40" t="n">
        <x:v>13.218185424804688</x:v>
      </x:c>
      <x:c r="G3118" s="40" t="n">
        <x:v>14.5</x:v>
      </x:c>
      <x:c r="H3118" s="40" t="n">
        <x:f>F3118-E3118</x:f>
        <x:v>-1.2818145751953125</x:v>
      </x:c>
      <x:c r="I3118" s="40" t="n">
        <x:f>ABS(H3118)</x:f>
        <x:v>1.2818145751953125</x:v>
      </x:c>
      <x:c r="J3118" s="40" t="n">
        <x:f>H3118^2</x:f>
        <x:v>1.6430486051831394</x:v>
      </x:c>
      <x:c r="K3118" s="40" t="n">
        <x:f>G3118-E3118</x:f>
        <x:v>0</x:v>
      </x:c>
      <x:c r="L3118" s="40" t="n">
        <x:f>ABS(K3118)</x:f>
        <x:v>0</x:v>
      </x:c>
      <x:c r="M3118" s="41" t="str">
        <x:v>lstm-soil-v1</x:v>
      </x:c>
    </x:row>
    <x:row r="3119">
      <x:c r="A3119" s="38" t="str">
        <x:v>7月30日现场数据</x:v>
      </x:c>
      <x:c r="B3119" s="39" t="str">
        <x:v>2026-08-03T06:25:00</x:v>
      </x:c>
      <x:c r="C3119" s="39" t="str">
        <x:v>2026-08-03T07:25:00</x:v>
      </x:c>
      <x:c r="D3119" s="47" t="n">
        <x:v>60</x:v>
      </x:c>
      <x:c r="E3119" s="40" t="n">
        <x:v>14.5</x:v>
      </x:c>
      <x:c r="F3119" s="40" t="n">
        <x:v>14.795120239257812</x:v>
      </x:c>
      <x:c r="G3119" s="40" t="n">
        <x:v>14.5</x:v>
      </x:c>
      <x:c r="H3119" s="40" t="n">
        <x:f>F3119-E3119</x:f>
        <x:v>0.2951202392578125</x:v>
      </x:c>
      <x:c r="I3119" s="40" t="n">
        <x:f>ABS(H3119)</x:f>
        <x:v>0.2951202392578125</x:v>
      </x:c>
      <x:c r="J3119" s="40" t="n">
        <x:f>H3119^2</x:f>
        <x:v>0.0870959556195885</x:v>
      </x:c>
      <x:c r="K3119" s="40" t="n">
        <x:f>G3119-E3119</x:f>
        <x:v>0</x:v>
      </x:c>
      <x:c r="L3119" s="40" t="n">
        <x:f>ABS(K3119)</x:f>
        <x:v>0</x:v>
      </x:c>
      <x:c r="M3119" s="41" t="str">
        <x:v>lstm-soil-v1</x:v>
      </x:c>
    </x:row>
    <x:row r="3120">
      <x:c r="A3120" s="38" t="str">
        <x:v>7月30日现场数据</x:v>
      </x:c>
      <x:c r="B3120" s="39" t="str">
        <x:v>2026-08-03T06:30:00</x:v>
      </x:c>
      <x:c r="C3120" s="39" t="str">
        <x:v>2026-08-03T06:35:00</x:v>
      </x:c>
      <x:c r="D3120" s="47" t="n">
        <x:v>5</x:v>
      </x:c>
      <x:c r="E3120" s="40" t="n">
        <x:v>14.5</x:v>
      </x:c>
      <x:c r="F3120" s="40" t="n">
        <x:v>12.678947448730469</x:v>
      </x:c>
      <x:c r="G3120" s="40" t="n">
        <x:v>14.5</x:v>
      </x:c>
      <x:c r="H3120" s="40" t="n">
        <x:f>F3120-E3120</x:f>
        <x:v>-1.8210525512695312</x:v>
      </x:c>
      <x:c r="I3120" s="40" t="n">
        <x:f>ABS(H3120)</x:f>
        <x:v>1.8210525512695312</x:v>
      </x:c>
      <x:c r="J3120" s="40" t="n">
        <x:f>H3120^2</x:f>
        <x:v>3.3162323944852687</x:v>
      </x:c>
      <x:c r="K3120" s="40" t="n">
        <x:f>G3120-E3120</x:f>
        <x:v>0</x:v>
      </x:c>
      <x:c r="L3120" s="40" t="n">
        <x:f>ABS(K3120)</x:f>
        <x:v>0</x:v>
      </x:c>
      <x:c r="M3120" s="41" t="str">
        <x:v>lstm-soil-v1</x:v>
      </x:c>
    </x:row>
    <x:row r="3121">
      <x:c r="A3121" s="38" t="str">
        <x:v>7月30日现场数据</x:v>
      </x:c>
      <x:c r="B3121" s="39" t="str">
        <x:v>2026-08-03T06:30:00</x:v>
      </x:c>
      <x:c r="C3121" s="39" t="str">
        <x:v>2026-08-03T06:45:00</x:v>
      </x:c>
      <x:c r="D3121" s="47" t="n">
        <x:v>15</x:v>
      </x:c>
      <x:c r="E3121" s="40" t="n">
        <x:v>14.5</x:v>
      </x:c>
      <x:c r="F3121" s="40" t="n">
        <x:v>12.746810913085938</x:v>
      </x:c>
      <x:c r="G3121" s="40" t="n">
        <x:v>14.5</x:v>
      </x:c>
      <x:c r="H3121" s="40" t="n">
        <x:f>F3121-E3121</x:f>
        <x:v>-1.7531890869140625</x:v>
      </x:c>
      <x:c r="I3121" s="40" t="n">
        <x:f>ABS(H3121)</x:f>
        <x:v>1.7531890869140625</x:v>
      </x:c>
      <x:c r="J3121" s="40" t="n">
        <x:f>H3121^2</x:f>
        <x:v>3.073671974474564</x:v>
      </x:c>
      <x:c r="K3121" s="40" t="n">
        <x:f>G3121-E3121</x:f>
        <x:v>0</x:v>
      </x:c>
      <x:c r="L3121" s="40" t="n">
        <x:f>ABS(K3121)</x:f>
        <x:v>0</x:v>
      </x:c>
      <x:c r="M3121" s="41" t="str">
        <x:v>lstm-soil-v1</x:v>
      </x:c>
    </x:row>
    <x:row r="3122">
      <x:c r="A3122" s="38" t="str">
        <x:v>7月30日现场数据</x:v>
      </x:c>
      <x:c r="B3122" s="39" t="str">
        <x:v>2026-08-03T06:30:00</x:v>
      </x:c>
      <x:c r="C3122" s="39" t="str">
        <x:v>2026-08-03T07:00:00</x:v>
      </x:c>
      <x:c r="D3122" s="47" t="n">
        <x:v>30</x:v>
      </x:c>
      <x:c r="E3122" s="40" t="n">
        <x:v>14.5</x:v>
      </x:c>
      <x:c r="F3122" s="40" t="n">
        <x:v>13.218292236328125</x:v>
      </x:c>
      <x:c r="G3122" s="40" t="n">
        <x:v>14.5</x:v>
      </x:c>
      <x:c r="H3122" s="40" t="n">
        <x:f>F3122-E3122</x:f>
        <x:v>-1.281707763671875</x:v>
      </x:c>
      <x:c r="I3122" s="40" t="n">
        <x:f>ABS(H3122)</x:f>
        <x:v>1.281707763671875</x:v>
      </x:c>
      <x:c r="J3122" s="40" t="n">
        <x:f>H3122^2</x:f>
        <x:v>1.642774791456759</x:v>
      </x:c>
      <x:c r="K3122" s="40" t="n">
        <x:f>G3122-E3122</x:f>
        <x:v>0</x:v>
      </x:c>
      <x:c r="L3122" s="40" t="n">
        <x:f>ABS(K3122)</x:f>
        <x:v>0</x:v>
      </x:c>
      <x:c r="M3122" s="41" t="str">
        <x:v>lstm-soil-v1</x:v>
      </x:c>
    </x:row>
    <x:row r="3123">
      <x:c r="A3123" s="38" t="str">
        <x:v>7月30日现场数据</x:v>
      </x:c>
      <x:c r="B3123" s="39" t="str">
        <x:v>2026-08-03T06:30:00</x:v>
      </x:c>
      <x:c r="C3123" s="39" t="str">
        <x:v>2026-08-03T07:30:00</x:v>
      </x:c>
      <x:c r="D3123" s="47" t="n">
        <x:v>60</x:v>
      </x:c>
      <x:c r="E3123" s="40" t="n">
        <x:v>14.5</x:v>
      </x:c>
      <x:c r="F3123" s="40" t="n">
        <x:v>14.796371459960938</x:v>
      </x:c>
      <x:c r="G3123" s="40" t="n">
        <x:v>14.5</x:v>
      </x:c>
      <x:c r="H3123" s="40" t="n">
        <x:f>F3123-E3123</x:f>
        <x:v>0.2963714599609375</x:v>
      </x:c>
      <x:c r="I3123" s="40" t="n">
        <x:f>ABS(H3123)</x:f>
        <x:v>0.2963714599609375</x:v>
      </x:c>
      <x:c r="J3123" s="40" t="n">
        <x:f>H3123^2</x:f>
        <x:v>0.08783604227937758</x:v>
      </x:c>
      <x:c r="K3123" s="40" t="n">
        <x:f>G3123-E3123</x:f>
        <x:v>0</x:v>
      </x:c>
      <x:c r="L3123" s="40" t="n">
        <x:f>ABS(K3123)</x:f>
        <x:v>0</x:v>
      </x:c>
      <x:c r="M3123" s="41" t="str">
        <x:v>lstm-soil-v1</x:v>
      </x:c>
    </x:row>
    <x:row r="3124">
      <x:c r="A3124" s="38" t="str">
        <x:v>7月30日现场数据</x:v>
      </x:c>
      <x:c r="B3124" s="39" t="str">
        <x:v>2026-08-03T06:35:00</x:v>
      </x:c>
      <x:c r="C3124" s="39" t="str">
        <x:v>2026-08-03T06:40:00</x:v>
      </x:c>
      <x:c r="D3124" s="47" t="n">
        <x:v>5</x:v>
      </x:c>
      <x:c r="E3124" s="40" t="n">
        <x:v>14.5</x:v>
      </x:c>
      <x:c r="F3124" s="40" t="n">
        <x:v>12.679664611816406</x:v>
      </x:c>
      <x:c r="G3124" s="40" t="n">
        <x:v>14.5</x:v>
      </x:c>
      <x:c r="H3124" s="40" t="n">
        <x:f>F3124-E3124</x:f>
        <x:v>-1.8203353881835938</x:v>
      </x:c>
      <x:c r="I3124" s="40" t="n">
        <x:f>ABS(H3124)</x:f>
        <x:v>1.8203353881835938</x:v>
      </x:c>
      <x:c r="J3124" s="40" t="n">
        <x:f>H3124^2</x:f>
        <x:v>3.313620925473515</x:v>
      </x:c>
      <x:c r="K3124" s="40" t="n">
        <x:f>G3124-E3124</x:f>
        <x:v>0</x:v>
      </x:c>
      <x:c r="L3124" s="40" t="n">
        <x:f>ABS(K3124)</x:f>
        <x:v>0</x:v>
      </x:c>
      <x:c r="M3124" s="41" t="str">
        <x:v>lstm-soil-v1</x:v>
      </x:c>
    </x:row>
    <x:row r="3125">
      <x:c r="A3125" s="38" t="str">
        <x:v>7月30日现场数据</x:v>
      </x:c>
      <x:c r="B3125" s="39" t="str">
        <x:v>2026-08-03T06:35:00</x:v>
      </x:c>
      <x:c r="C3125" s="39" t="str">
        <x:v>2026-08-03T06:50:00</x:v>
      </x:c>
      <x:c r="D3125" s="47" t="n">
        <x:v>15</x:v>
      </x:c>
      <x:c r="E3125" s="40" t="n">
        <x:v>14.5</x:v>
      </x:c>
      <x:c r="F3125" s="40" t="n">
        <x:v>12.746387481689453</x:v>
      </x:c>
      <x:c r="G3125" s="40" t="n">
        <x:v>14.5</x:v>
      </x:c>
      <x:c r="H3125" s="40" t="n">
        <x:f>F3125-E3125</x:f>
        <x:v>-1.7536125183105469</x:v>
      </x:c>
      <x:c r="I3125" s="40" t="n">
        <x:f>ABS(H3125)</x:f>
        <x:v>1.7536125183105469</x:v>
      </x:c>
      <x:c r="J3125" s="40" t="n">
        <x:f>H3125^2</x:f>
        <x:v>3.075156864375458</x:v>
      </x:c>
      <x:c r="K3125" s="40" t="n">
        <x:f>G3125-E3125</x:f>
        <x:v>0</x:v>
      </x:c>
      <x:c r="L3125" s="40" t="n">
        <x:f>ABS(K3125)</x:f>
        <x:v>0</x:v>
      </x:c>
      <x:c r="M3125" s="41" t="str">
        <x:v>lstm-soil-v1</x:v>
      </x:c>
    </x:row>
    <x:row r="3126">
      <x:c r="A3126" s="38" t="str">
        <x:v>7月30日现场数据</x:v>
      </x:c>
      <x:c r="B3126" s="39" t="str">
        <x:v>2026-08-03T06:35:00</x:v>
      </x:c>
      <x:c r="C3126" s="39" t="str">
        <x:v>2026-08-03T07:05:00</x:v>
      </x:c>
      <x:c r="D3126" s="47" t="n">
        <x:v>30</x:v>
      </x:c>
      <x:c r="E3126" s="40" t="n">
        <x:v>14.5</x:v>
      </x:c>
      <x:c r="F3126" s="40" t="n">
        <x:v>13.219161987304688</x:v>
      </x:c>
      <x:c r="G3126" s="40" t="n">
        <x:v>14.5</x:v>
      </x:c>
      <x:c r="H3126" s="40" t="n">
        <x:f>F3126-E3126</x:f>
        <x:v>-1.2808380126953125</x:v>
      </x:c>
      <x:c r="I3126" s="40" t="n">
        <x:f>ABS(H3126)</x:f>
        <x:v>1.2808380126953125</x:v>
      </x:c>
      <x:c r="J3126" s="40" t="n">
        <x:f>H3126^2</x:f>
        <x:v>1.6405460147652775</x:v>
      </x:c>
      <x:c r="K3126" s="40" t="n">
        <x:f>G3126-E3126</x:f>
        <x:v>0</x:v>
      </x:c>
      <x:c r="L3126" s="40" t="n">
        <x:f>ABS(K3126)</x:f>
        <x:v>0</x:v>
      </x:c>
      <x:c r="M3126" s="41" t="str">
        <x:v>lstm-soil-v1</x:v>
      </x:c>
    </x:row>
    <x:row r="3127">
      <x:c r="A3127" s="38" t="str">
        <x:v>7月30日现场数据</x:v>
      </x:c>
      <x:c r="B3127" s="39" t="str">
        <x:v>2026-08-03T06:35:00</x:v>
      </x:c>
      <x:c r="C3127" s="39" t="str">
        <x:v>2026-08-03T07:35:00</x:v>
      </x:c>
      <x:c r="D3127" s="47" t="n">
        <x:v>60</x:v>
      </x:c>
      <x:c r="E3127" s="40" t="n">
        <x:v>14.5</x:v>
      </x:c>
      <x:c r="F3127" s="40" t="n">
        <x:v>14.797706604003906</x:v>
      </x:c>
      <x:c r="G3127" s="40" t="n">
        <x:v>14.5</x:v>
      </x:c>
      <x:c r="H3127" s="40" t="n">
        <x:f>F3127-E3127</x:f>
        <x:v>0.29770660400390625</x:v>
      </x:c>
      <x:c r="I3127" s="40" t="n">
        <x:f>ABS(H3127)</x:f>
        <x:v>0.29770660400390625</x:v>
      </x:c>
      <x:c r="J3127" s="40" t="n">
        <x:f>H3127^2</x:f>
        <x:v>0.08862922206753865</x:v>
      </x:c>
      <x:c r="K3127" s="40" t="n">
        <x:f>G3127-E3127</x:f>
        <x:v>0</x:v>
      </x:c>
      <x:c r="L3127" s="40" t="n">
        <x:f>ABS(K3127)</x:f>
        <x:v>0</x:v>
      </x:c>
      <x:c r="M3127" s="41" t="str">
        <x:v>lstm-soil-v1</x:v>
      </x:c>
    </x:row>
    <x:row r="3128">
      <x:c r="A3128" s="38" t="str">
        <x:v>7月30日现场数据</x:v>
      </x:c>
      <x:c r="B3128" s="39" t="str">
        <x:v>2026-08-03T06:40:00</x:v>
      </x:c>
      <x:c r="C3128" s="39" t="str">
        <x:v>2026-08-03T06:45:00</x:v>
      </x:c>
      <x:c r="D3128" s="47" t="n">
        <x:v>5</x:v>
      </x:c>
      <x:c r="E3128" s="40" t="n">
        <x:v>14.5</x:v>
      </x:c>
      <x:c r="F3128" s="40" t="n">
        <x:v>12.68035888671875</x:v>
      </x:c>
      <x:c r="G3128" s="40" t="n">
        <x:v>14.5</x:v>
      </x:c>
      <x:c r="H3128" s="40" t="n">
        <x:f>F3128-E3128</x:f>
        <x:v>-1.81964111328125</x:v>
      </x:c>
      <x:c r="I3128" s="40" t="n">
        <x:f>ABS(H3128)</x:f>
        <x:v>1.81964111328125</x:v>
      </x:c>
      <x:c r="J3128" s="40" t="n">
        <x:f>H3128^2</x:f>
        <x:v>3.311093781143427</x:v>
      </x:c>
      <x:c r="K3128" s="40" t="n">
        <x:f>G3128-E3128</x:f>
        <x:v>0</x:v>
      </x:c>
      <x:c r="L3128" s="40" t="n">
        <x:f>ABS(K3128)</x:f>
        <x:v>0</x:v>
      </x:c>
      <x:c r="M3128" s="41" t="str">
        <x:v>lstm-soil-v1</x:v>
      </x:c>
    </x:row>
    <x:row r="3129">
      <x:c r="A3129" s="38" t="str">
        <x:v>7月30日现场数据</x:v>
      </x:c>
      <x:c r="B3129" s="39" t="str">
        <x:v>2026-08-03T06:40:00</x:v>
      </x:c>
      <x:c r="C3129" s="39" t="str">
        <x:v>2026-08-03T06:55:00</x:v>
      </x:c>
      <x:c r="D3129" s="47" t="n">
        <x:v>15</x:v>
      </x:c>
      <x:c r="E3129" s="40" t="n">
        <x:v>14.5</x:v>
      </x:c>
      <x:c r="F3129" s="40" t="n">
        <x:v>12.746162414550781</x:v>
      </x:c>
      <x:c r="G3129" s="40" t="n">
        <x:v>14.5</x:v>
      </x:c>
      <x:c r="H3129" s="40" t="n">
        <x:f>F3129-E3129</x:f>
        <x:v>-1.7538375854492188</x:v>
      </x:c>
      <x:c r="I3129" s="40" t="n">
        <x:f>ABS(H3129)</x:f>
        <x:v>1.7538375854492188</x:v>
      </x:c>
      <x:c r="J3129" s="40" t="n">
        <x:f>H3129^2</x:f>
        <x:v>3.0759462761343457</x:v>
      </x:c>
      <x:c r="K3129" s="40" t="n">
        <x:f>G3129-E3129</x:f>
        <x:v>0</x:v>
      </x:c>
      <x:c r="L3129" s="40" t="n">
        <x:f>ABS(K3129)</x:f>
        <x:v>0</x:v>
      </x:c>
      <x:c r="M3129" s="41" t="str">
        <x:v>lstm-soil-v1</x:v>
      </x:c>
    </x:row>
    <x:row r="3130">
      <x:c r="A3130" s="38" t="str">
        <x:v>7月30日现场数据</x:v>
      </x:c>
      <x:c r="B3130" s="39" t="str">
        <x:v>2026-08-03T06:40:00</x:v>
      </x:c>
      <x:c r="C3130" s="39" t="str">
        <x:v>2026-08-03T07:10:00</x:v>
      </x:c>
      <x:c r="D3130" s="47" t="n">
        <x:v>30</x:v>
      </x:c>
      <x:c r="E3130" s="40" t="n">
        <x:v>14.5</x:v>
      </x:c>
      <x:c r="F3130" s="40" t="n">
        <x:v>13.220333099365234</x:v>
      </x:c>
      <x:c r="G3130" s="40" t="n">
        <x:v>14.5</x:v>
      </x:c>
      <x:c r="H3130" s="40" t="n">
        <x:f>F3130-E3130</x:f>
        <x:v>-1.2796669006347656</x:v>
      </x:c>
      <x:c r="I3130" s="40" t="n">
        <x:f>ABS(H3130)</x:f>
        <x:v>1.2796669006347656</x:v>
      </x:c>
      <x:c r="J3130" s="40" t="n">
        <x:f>H3130^2</x:f>
        <x:v>1.6375473765801871</x:v>
      </x:c>
      <x:c r="K3130" s="40" t="n">
        <x:f>G3130-E3130</x:f>
        <x:v>0</x:v>
      </x:c>
      <x:c r="L3130" s="40" t="n">
        <x:f>ABS(K3130)</x:f>
        <x:v>0</x:v>
      </x:c>
      <x:c r="M3130" s="41" t="str">
        <x:v>lstm-soil-v1</x:v>
      </x:c>
    </x:row>
    <x:row r="3131">
      <x:c r="A3131" s="38" t="str">
        <x:v>7月30日现场数据</x:v>
      </x:c>
      <x:c r="B3131" s="39" t="str">
        <x:v>2026-08-03T06:40:00</x:v>
      </x:c>
      <x:c r="C3131" s="39" t="str">
        <x:v>2026-08-03T07:40:00</x:v>
      </x:c>
      <x:c r="D3131" s="47" t="n">
        <x:v>60</x:v>
      </x:c>
      <x:c r="E3131" s="40" t="n">
        <x:v>14.5</x:v>
      </x:c>
      <x:c r="F3131" s="40" t="n">
        <x:v>14.799171447753906</x:v>
      </x:c>
      <x:c r="G3131" s="40" t="n">
        <x:v>14.5</x:v>
      </x:c>
      <x:c r="H3131" s="40" t="n">
        <x:f>F3131-E3131</x:f>
        <x:v>0.29917144775390625</x:v>
      </x:c>
      <x:c r="I3131" s="40" t="n">
        <x:f>ABS(H3131)</x:f>
        <x:v>0.29917144775390625</x:v>
      </x:c>
      <x:c r="J3131" s="40" t="n">
        <x:f>H3131^2</x:f>
        <x:v>0.08950355515116826</x:v>
      </x:c>
      <x:c r="K3131" s="40" t="n">
        <x:f>G3131-E3131</x:f>
        <x:v>0</x:v>
      </x:c>
      <x:c r="L3131" s="40" t="n">
        <x:f>ABS(K3131)</x:f>
        <x:v>0</x:v>
      </x:c>
      <x:c r="M3131" s="41" t="str">
        <x:v>lstm-soil-v1</x:v>
      </x:c>
    </x:row>
    <x:row r="3132">
      <x:c r="A3132" s="38" t="str">
        <x:v>7月30日现场数据</x:v>
      </x:c>
      <x:c r="B3132" s="39" t="str">
        <x:v>2026-08-03T06:45:00</x:v>
      </x:c>
      <x:c r="C3132" s="39" t="str">
        <x:v>2026-08-03T06:50:00</x:v>
      </x:c>
      <x:c r="D3132" s="47" t="n">
        <x:v>5</x:v>
      </x:c>
      <x:c r="E3132" s="40" t="n">
        <x:v>14.5</x:v>
      </x:c>
      <x:c r="F3132" s="40" t="n">
        <x:v>12.680709838867188</x:v>
      </x:c>
      <x:c r="G3132" s="40" t="n">
        <x:v>14.5</x:v>
      </x:c>
      <x:c r="H3132" s="40" t="n">
        <x:f>F3132-E3132</x:f>
        <x:v>-1.8192901611328125</x:v>
      </x:c>
      <x:c r="I3132" s="40" t="n">
        <x:f>ABS(H3132)</x:f>
        <x:v>1.8192901611328125</x:v>
      </x:c>
      <x:c r="J3132" s="40" t="n">
        <x:f>H3132^2</x:f>
        <x:v>3.309816690394655</x:v>
      </x:c>
      <x:c r="K3132" s="40" t="n">
        <x:f>G3132-E3132</x:f>
        <x:v>0</x:v>
      </x:c>
      <x:c r="L3132" s="40" t="n">
        <x:f>ABS(K3132)</x:f>
        <x:v>0</x:v>
      </x:c>
      <x:c r="M3132" s="41" t="str">
        <x:v>lstm-soil-v1</x:v>
      </x:c>
    </x:row>
    <x:row r="3133">
      <x:c r="A3133" s="38" t="str">
        <x:v>7月30日现场数据</x:v>
      </x:c>
      <x:c r="B3133" s="39" t="str">
        <x:v>2026-08-03T06:45:00</x:v>
      </x:c>
      <x:c r="C3133" s="39" t="str">
        <x:v>2026-08-03T07:00:00</x:v>
      </x:c>
      <x:c r="D3133" s="47" t="n">
        <x:v>15</x:v>
      </x:c>
      <x:c r="E3133" s="40" t="n">
        <x:v>14.5</x:v>
      </x:c>
      <x:c r="F3133" s="40" t="n">
        <x:v>12.74625015258789</x:v>
      </x:c>
      <x:c r="G3133" s="40" t="n">
        <x:v>14.5</x:v>
      </x:c>
      <x:c r="H3133" s="40" t="n">
        <x:f>F3133-E3133</x:f>
        <x:v>-1.7537498474121094</x:v>
      </x:c>
      <x:c r="I3133" s="40" t="n">
        <x:f>ABS(H3133)</x:f>
        <x:v>1.7537498474121094</x:v>
      </x:c>
      <x:c r="J3133" s="40" t="n">
        <x:f>H3133^2</x:f>
        <x:v>3.075638527297997</x:v>
      </x:c>
      <x:c r="K3133" s="40" t="n">
        <x:f>G3133-E3133</x:f>
        <x:v>0</x:v>
      </x:c>
      <x:c r="L3133" s="40" t="n">
        <x:f>ABS(K3133)</x:f>
        <x:v>0</x:v>
      </x:c>
      <x:c r="M3133" s="41" t="str">
        <x:v>lstm-soil-v1</x:v>
      </x:c>
    </x:row>
    <x:row r="3134">
      <x:c r="A3134" s="38" t="str">
        <x:v>7月30日现场数据</x:v>
      </x:c>
      <x:c r="B3134" s="39" t="str">
        <x:v>2026-08-03T06:45:00</x:v>
      </x:c>
      <x:c r="C3134" s="39" t="str">
        <x:v>2026-08-03T07:15:00</x:v>
      </x:c>
      <x:c r="D3134" s="47" t="n">
        <x:v>30</x:v>
      </x:c>
      <x:c r="E3134" s="40" t="n">
        <x:v>14.5</x:v>
      </x:c>
      <x:c r="F3134" s="40" t="n">
        <x:v>13.221282958984375</x:v>
      </x:c>
      <x:c r="G3134" s="40" t="n">
        <x:v>14.5</x:v>
      </x:c>
      <x:c r="H3134" s="40" t="n">
        <x:f>F3134-E3134</x:f>
        <x:v>-1.278717041015625</x:v>
      </x:c>
      <x:c r="I3134" s="40" t="n">
        <x:f>ABS(H3134)</x:f>
        <x:v>1.278717041015625</x:v>
      </x:c>
      <x:c r="J3134" s="40" t="n">
        <x:f>H3134^2</x:f>
        <x:v>1.6351172709837556</x:v>
      </x:c>
      <x:c r="K3134" s="40" t="n">
        <x:f>G3134-E3134</x:f>
        <x:v>0</x:v>
      </x:c>
      <x:c r="L3134" s="40" t="n">
        <x:f>ABS(K3134)</x:f>
        <x:v>0</x:v>
      </x:c>
      <x:c r="M3134" s="41" t="str">
        <x:v>lstm-soil-v1</x:v>
      </x:c>
    </x:row>
    <x:row r="3135">
      <x:c r="A3135" s="38" t="str">
        <x:v>7月30日现场数据</x:v>
      </x:c>
      <x:c r="B3135" s="39" t="str">
        <x:v>2026-08-03T06:45:00</x:v>
      </x:c>
      <x:c r="C3135" s="39" t="str">
        <x:v>2026-08-03T07:45:00</x:v>
      </x:c>
      <x:c r="D3135" s="47" t="n">
        <x:v>60</x:v>
      </x:c>
      <x:c r="E3135" s="40" t="n">
        <x:v>14.5</x:v>
      </x:c>
      <x:c r="F3135" s="40" t="n">
        <x:v>14.7999267578125</x:v>
      </x:c>
      <x:c r="G3135" s="40" t="n">
        <x:v>14.5</x:v>
      </x:c>
      <x:c r="H3135" s="40" t="n">
        <x:f>F3135-E3135</x:f>
        <x:v>0.2999267578125</x:v>
      </x:c>
      <x:c r="I3135" s="40" t="n">
        <x:f>ABS(H3135)</x:f>
        <x:v>0.2999267578125</x:v>
      </x:c>
      <x:c r="J3135" s="40" t="n">
        <x:f>H3135^2</x:f>
        <x:v>0.08995606005191803</x:v>
      </x:c>
      <x:c r="K3135" s="40" t="n">
        <x:f>G3135-E3135</x:f>
        <x:v>0</x:v>
      </x:c>
      <x:c r="L3135" s="40" t="n">
        <x:f>ABS(K3135)</x:f>
        <x:v>0</x:v>
      </x:c>
      <x:c r="M3135" s="41" t="str">
        <x:v>lstm-soil-v1</x:v>
      </x:c>
    </x:row>
    <x:row r="3136">
      <x:c r="A3136" s="38" t="str">
        <x:v>7月30日现场数据</x:v>
      </x:c>
      <x:c r="B3136" s="39" t="str">
        <x:v>2026-08-03T06:50:00</x:v>
      </x:c>
      <x:c r="C3136" s="39" t="str">
        <x:v>2026-08-03T06:55:00</x:v>
      </x:c>
      <x:c r="D3136" s="47" t="n">
        <x:v>5</x:v>
      </x:c>
      <x:c r="E3136" s="40" t="n">
        <x:v>14.5</x:v>
      </x:c>
      <x:c r="F3136" s="40" t="n">
        <x:v>12.68093490600586</x:v>
      </x:c>
      <x:c r="G3136" s="40" t="n">
        <x:v>14.5</x:v>
      </x:c>
      <x:c r="H3136" s="40" t="n">
        <x:f>F3136-E3136</x:f>
        <x:v>-1.8190650939941406</x:v>
      </x:c>
      <x:c r="I3136" s="40" t="n">
        <x:f>ABS(H3136)</x:f>
        <x:v>1.8190650939941406</x:v>
      </x:c>
      <x:c r="J3136" s="40" t="n">
        <x:f>H3136^2</x:f>
        <x:v>3.3089978161879117</x:v>
      </x:c>
      <x:c r="K3136" s="40" t="n">
        <x:f>G3136-E3136</x:f>
        <x:v>0</x:v>
      </x:c>
      <x:c r="L3136" s="40" t="n">
        <x:f>ABS(K3136)</x:f>
        <x:v>0</x:v>
      </x:c>
      <x:c r="M3136" s="41" t="str">
        <x:v>lstm-soil-v1</x:v>
      </x:c>
    </x:row>
    <x:row r="3137">
      <x:c r="A3137" s="38" t="str">
        <x:v>7月30日现场数据</x:v>
      </x:c>
      <x:c r="B3137" s="39" t="str">
        <x:v>2026-08-03T06:50:00</x:v>
      </x:c>
      <x:c r="C3137" s="39" t="str">
        <x:v>2026-08-03T07:05:00</x:v>
      </x:c>
      <x:c r="D3137" s="47" t="n">
        <x:v>15</x:v>
      </x:c>
      <x:c r="E3137" s="40" t="n">
        <x:v>14.5</x:v>
      </x:c>
      <x:c r="F3137" s="40" t="n">
        <x:v>12.74642562866211</x:v>
      </x:c>
      <x:c r="G3137" s="40" t="n">
        <x:v>14.5</x:v>
      </x:c>
      <x:c r="H3137" s="40" t="n">
        <x:f>F3137-E3137</x:f>
        <x:v>-1.7535743713378906</x:v>
      </x:c>
      <x:c r="I3137" s="40" t="n">
        <x:f>ABS(H3137)</x:f>
        <x:v>1.7535743713378906</x:v>
      </x:c>
      <x:c r="J3137" s="40" t="n">
        <x:f>H3137^2</x:f>
        <x:v>3.0750230758130783</x:v>
      </x:c>
      <x:c r="K3137" s="40" t="n">
        <x:f>G3137-E3137</x:f>
        <x:v>0</x:v>
      </x:c>
      <x:c r="L3137" s="40" t="n">
        <x:f>ABS(K3137)</x:f>
        <x:v>0</x:v>
      </x:c>
      <x:c r="M3137" s="41" t="str">
        <x:v>lstm-soil-v1</x:v>
      </x:c>
    </x:row>
    <x:row r="3138">
      <x:c r="A3138" s="38" t="str">
        <x:v>7月30日现场数据</x:v>
      </x:c>
      <x:c r="B3138" s="39" t="str">
        <x:v>2026-08-03T06:50:00</x:v>
      </x:c>
      <x:c r="C3138" s="39" t="str">
        <x:v>2026-08-03T07:20:00</x:v>
      </x:c>
      <x:c r="D3138" s="47" t="n">
        <x:v>30</x:v>
      </x:c>
      <x:c r="E3138" s="40" t="n">
        <x:v>14.5</x:v>
      </x:c>
      <x:c r="F3138" s="40" t="n">
        <x:v>13.22201156616211</x:v>
      </x:c>
      <x:c r="G3138" s="40" t="n">
        <x:v>14.5</x:v>
      </x:c>
      <x:c r="H3138" s="40" t="n">
        <x:f>F3138-E3138</x:f>
        <x:v>-1.2779884338378906</x:v>
      </x:c>
      <x:c r="I3138" s="40" t="n">
        <x:f>ABS(H3138)</x:f>
        <x:v>1.2779884338378906</x:v>
      </x:c>
      <x:c r="J3138" s="40" t="n">
        <x:f>H3138^2</x:f>
        <x:v>1.6332544370234245</x:v>
      </x:c>
      <x:c r="K3138" s="40" t="n">
        <x:f>G3138-E3138</x:f>
        <x:v>0</x:v>
      </x:c>
      <x:c r="L3138" s="40" t="n">
        <x:f>ABS(K3138)</x:f>
        <x:v>0</x:v>
      </x:c>
      <x:c r="M3138" s="41" t="str">
        <x:v>lstm-soil-v1</x:v>
      </x:c>
    </x:row>
    <x:row r="3139">
      <x:c r="A3139" s="38" t="str">
        <x:v>7月30日现场数据</x:v>
      </x:c>
      <x:c r="B3139" s="39" t="str">
        <x:v>2026-08-03T06:50:00</x:v>
      </x:c>
      <x:c r="C3139" s="39" t="str">
        <x:v>2026-08-03T07:50:00</x:v>
      </x:c>
      <x:c r="D3139" s="47" t="n">
        <x:v>60</x:v>
      </x:c>
      <x:c r="E3139" s="40" t="n">
        <x:v>14.4</x:v>
      </x:c>
      <x:c r="F3139" s="40" t="n">
        <x:v>14.800399780273438</x:v>
      </x:c>
      <x:c r="G3139" s="40" t="n">
        <x:v>14.5</x:v>
      </x:c>
      <x:c r="H3139" s="40" t="n">
        <x:f>F3139-E3139</x:f>
        <x:v>0.40039978027343714</x:v>
      </x:c>
      <x:c r="I3139" s="40" t="n">
        <x:f>ABS(H3139)</x:f>
        <x:v>0.40039978027343714</x:v>
      </x:c>
      <x:c r="J3139" s="40" t="n">
        <x:f>H3139^2</x:f>
        <x:v>0.16031998404301676</x:v>
      </x:c>
      <x:c r="K3139" s="40" t="n">
        <x:f>G3139-E3139</x:f>
        <x:v>0.09999999999999964</x:v>
      </x:c>
      <x:c r="L3139" s="40" t="n">
        <x:f>ABS(K3139)</x:f>
        <x:v>0.09999999999999964</x:v>
      </x:c>
      <x:c r="M3139" s="41" t="str">
        <x:v>lstm-soil-v1</x:v>
      </x:c>
    </x:row>
    <x:row r="3140">
      <x:c r="A3140" s="38" t="str">
        <x:v>7月30日现场数据</x:v>
      </x:c>
      <x:c r="B3140" s="39" t="str">
        <x:v>2026-08-03T06:55:00</x:v>
      </x:c>
      <x:c r="C3140" s="39" t="str">
        <x:v>2026-08-03T07:00:00</x:v>
      </x:c>
      <x:c r="D3140" s="47" t="n">
        <x:v>5</x:v>
      </x:c>
      <x:c r="E3140" s="40" t="n">
        <x:v>14.5</x:v>
      </x:c>
      <x:c r="F3140" s="40" t="n">
        <x:v>12.681209564208984</x:v>
      </x:c>
      <x:c r="G3140" s="40" t="n">
        <x:v>14.5</x:v>
      </x:c>
      <x:c r="H3140" s="40" t="n">
        <x:f>F3140-E3140</x:f>
        <x:v>-1.8187904357910156</x:v>
      </x:c>
      <x:c r="I3140" s="40" t="n">
        <x:f>ABS(H3140)</x:f>
        <x:v>1.8187904357910156</x:v>
      </x:c>
      <x:c r="J3140" s="40" t="n">
        <x:f>H3140^2</x:f>
        <x:v>3.3079986493248725</x:v>
      </x:c>
      <x:c r="K3140" s="40" t="n">
        <x:f>G3140-E3140</x:f>
        <x:v>0</x:v>
      </x:c>
      <x:c r="L3140" s="40" t="n">
        <x:f>ABS(K3140)</x:f>
        <x:v>0</x:v>
      </x:c>
      <x:c r="M3140" s="41" t="str">
        <x:v>lstm-soil-v1</x:v>
      </x:c>
    </x:row>
    <x:row r="3141">
      <x:c r="A3141" s="38" t="str">
        <x:v>7月30日现场数据</x:v>
      </x:c>
      <x:c r="B3141" s="39" t="str">
        <x:v>2026-08-03T06:55:00</x:v>
      </x:c>
      <x:c r="C3141" s="39" t="str">
        <x:v>2026-08-03T07:10:00</x:v>
      </x:c>
      <x:c r="D3141" s="47" t="n">
        <x:v>15</x:v>
      </x:c>
      <x:c r="E3141" s="40" t="n">
        <x:v>14.5</x:v>
      </x:c>
      <x:c r="F3141" s="40" t="n">
        <x:v>12.746543884277344</x:v>
      </x:c>
      <x:c r="G3141" s="40" t="n">
        <x:v>14.5</x:v>
      </x:c>
      <x:c r="H3141" s="40" t="n">
        <x:f>F3141-E3141</x:f>
        <x:v>-1.7534561157226562</x:v>
      </x:c>
      <x:c r="I3141" s="40" t="n">
        <x:f>ABS(H3141)</x:f>
        <x:v>1.7534561157226562</x:v>
      </x:c>
      <x:c r="J3141" s="40" t="n">
        <x:f>H3141^2</x:f>
        <x:v>3.0746083497651853</x:v>
      </x:c>
      <x:c r="K3141" s="40" t="n">
        <x:f>G3141-E3141</x:f>
        <x:v>0</x:v>
      </x:c>
      <x:c r="L3141" s="40" t="n">
        <x:f>ABS(K3141)</x:f>
        <x:v>0</x:v>
      </x:c>
      <x:c r="M3141" s="41" t="str">
        <x:v>lstm-soil-v1</x:v>
      </x:c>
    </x:row>
    <x:row r="3142">
      <x:c r="A3142" s="38" t="str">
        <x:v>7月30日现场数据</x:v>
      </x:c>
      <x:c r="B3142" s="39" t="str">
        <x:v>2026-08-03T06:55:00</x:v>
      </x:c>
      <x:c r="C3142" s="39" t="str">
        <x:v>2026-08-03T07:25:00</x:v>
      </x:c>
      <x:c r="D3142" s="47" t="n">
        <x:v>30</x:v>
      </x:c>
      <x:c r="E3142" s="40" t="n">
        <x:v>14.5</x:v>
      </x:c>
      <x:c r="F3142" s="40" t="n">
        <x:v>13.222705841064453</x:v>
      </x:c>
      <x:c r="G3142" s="40" t="n">
        <x:v>14.5</x:v>
      </x:c>
      <x:c r="H3142" s="40" t="n">
        <x:f>F3142-E3142</x:f>
        <x:v>-1.2772941589355469</x:v>
      </x:c>
      <x:c r="I3142" s="40" t="n">
        <x:f>ABS(H3142)</x:f>
        <x:v>1.2772941589355469</x:v>
      </x:c>
      <x:c r="J3142" s="40" t="n">
        <x:f>H3142^2</x:f>
        <x:v>1.631480368450866</x:v>
      </x:c>
      <x:c r="K3142" s="40" t="n">
        <x:f>G3142-E3142</x:f>
        <x:v>0</x:v>
      </x:c>
      <x:c r="L3142" s="40" t="n">
        <x:f>ABS(K3142)</x:f>
        <x:v>0</x:v>
      </x:c>
      <x:c r="M3142" s="41" t="str">
        <x:v>lstm-soil-v1</x:v>
      </x:c>
    </x:row>
    <x:row r="3143">
      <x:c r="A3143" s="38" t="str">
        <x:v>7月30日现场数据</x:v>
      </x:c>
      <x:c r="B3143" s="39" t="str">
        <x:v>2026-08-03T06:55:00</x:v>
      </x:c>
      <x:c r="C3143" s="39" t="str">
        <x:v>2026-08-03T07:55:00</x:v>
      </x:c>
      <x:c r="D3143" s="47" t="n">
        <x:v>60</x:v>
      </x:c>
      <x:c r="E3143" s="40" t="n">
        <x:v>14.5</x:v>
      </x:c>
      <x:c r="F3143" s="40" t="n">
        <x:v>14.801013946533203</x:v>
      </x:c>
      <x:c r="G3143" s="40" t="n">
        <x:v>14.5</x:v>
      </x:c>
      <x:c r="H3143" s="40" t="n">
        <x:f>F3143-E3143</x:f>
        <x:v>0.3010139465332031</x:v>
      </x:c>
      <x:c r="I3143" s="40" t="n">
        <x:f>ABS(H3143)</x:f>
        <x:v>0.3010139465332031</x:v>
      </x:c>
      <x:c r="J3143" s="40" t="n">
        <x:f>H3143^2</x:f>
        <x:v>0.09060939600749407</x:v>
      </x:c>
      <x:c r="K3143" s="40" t="n">
        <x:f>G3143-E3143</x:f>
        <x:v>0</x:v>
      </x:c>
      <x:c r="L3143" s="40" t="n">
        <x:f>ABS(K3143)</x:f>
        <x:v>0</x:v>
      </x:c>
      <x:c r="M3143" s="41" t="str">
        <x:v>lstm-soil-v1</x:v>
      </x:c>
    </x:row>
    <x:row r="3144">
      <x:c r="A3144" s="38" t="str">
        <x:v>7月30日现场数据</x:v>
      </x:c>
      <x:c r="B3144" s="39" t="str">
        <x:v>2026-08-03T07:00:00</x:v>
      </x:c>
      <x:c r="C3144" s="39" t="str">
        <x:v>2026-08-03T07:05:00</x:v>
      </x:c>
      <x:c r="D3144" s="47" t="n">
        <x:v>5</x:v>
      </x:c>
      <x:c r="E3144" s="40" t="n">
        <x:v>14.5</x:v>
      </x:c>
      <x:c r="F3144" s="40" t="n">
        <x:v>12.682205200195312</x:v>
      </x:c>
      <x:c r="G3144" s="40" t="n">
        <x:v>14.5</x:v>
      </x:c>
      <x:c r="H3144" s="40" t="n">
        <x:f>F3144-E3144</x:f>
        <x:v>-1.8177947998046875</x:v>
      </x:c>
      <x:c r="I3144" s="40" t="n">
        <x:f>ABS(H3144)</x:f>
        <x:v>1.8177947998046875</x:v>
      </x:c>
      <x:c r="J3144" s="40" t="n">
        <x:f>H3144^2</x:f>
        <x:v>3.304377934196964</x:v>
      </x:c>
      <x:c r="K3144" s="40" t="n">
        <x:f>G3144-E3144</x:f>
        <x:v>0</x:v>
      </x:c>
      <x:c r="L3144" s="40" t="n">
        <x:f>ABS(K3144)</x:f>
        <x:v>0</x:v>
      </x:c>
      <x:c r="M3144" s="41" t="str">
        <x:v>lstm-soil-v1</x:v>
      </x:c>
    </x:row>
    <x:row r="3145">
      <x:c r="A3145" s="38" t="str">
        <x:v>7月30日现场数据</x:v>
      </x:c>
      <x:c r="B3145" s="39" t="str">
        <x:v>2026-08-03T07:00:00</x:v>
      </x:c>
      <x:c r="C3145" s="39" t="str">
        <x:v>2026-08-03T07:15:00</x:v>
      </x:c>
      <x:c r="D3145" s="47" t="n">
        <x:v>15</x:v>
      </x:c>
      <x:c r="E3145" s="40" t="n">
        <x:v>14.5</x:v>
      </x:c>
      <x:c r="F3145" s="40" t="n">
        <x:v>12.746868133544922</x:v>
      </x:c>
      <x:c r="G3145" s="40" t="n">
        <x:v>14.5</x:v>
      </x:c>
      <x:c r="H3145" s="40" t="n">
        <x:f>F3145-E3145</x:f>
        <x:v>-1.7531318664550781</x:v>
      </x:c>
      <x:c r="I3145" s="40" t="n">
        <x:f>ABS(H3145)</x:f>
        <x:v>1.7531318664550781</x:v>
      </x:c>
      <x:c r="J3145" s="40" t="n">
        <x:f>H3145^2</x:f>
        <x:v>3.073471341180266</x:v>
      </x:c>
      <x:c r="K3145" s="40" t="n">
        <x:f>G3145-E3145</x:f>
        <x:v>0</x:v>
      </x:c>
      <x:c r="L3145" s="40" t="n">
        <x:f>ABS(K3145)</x:f>
        <x:v>0</x:v>
      </x:c>
      <x:c r="M3145" s="41" t="str">
        <x:v>lstm-soil-v1</x:v>
      </x:c>
    </x:row>
    <x:row r="3146">
      <x:c r="A3146" s="38" t="str">
        <x:v>7月30日现场数据</x:v>
      </x:c>
      <x:c r="B3146" s="39" t="str">
        <x:v>2026-08-03T07:00:00</x:v>
      </x:c>
      <x:c r="C3146" s="39" t="str">
        <x:v>2026-08-03T07:30:00</x:v>
      </x:c>
      <x:c r="D3146" s="47" t="n">
        <x:v>30</x:v>
      </x:c>
      <x:c r="E3146" s="40" t="n">
        <x:v>14.5</x:v>
      </x:c>
      <x:c r="F3146" s="40" t="n">
        <x:v>13.22402572631836</x:v>
      </x:c>
      <x:c r="G3146" s="40" t="n">
        <x:v>14.5</x:v>
      </x:c>
      <x:c r="H3146" s="40" t="n">
        <x:f>F3146-E3146</x:f>
        <x:v>-1.2759742736816406</x:v>
      </x:c>
      <x:c r="I3146" s="40" t="n">
        <x:f>ABS(H3146)</x:f>
        <x:v>1.2759742736816406</x:v>
      </x:c>
      <x:c r="J3146" s="40" t="n">
        <x:f>H3146^2</x:f>
        <x:v>1.6281103470973903</x:v>
      </x:c>
      <x:c r="K3146" s="40" t="n">
        <x:f>G3146-E3146</x:f>
        <x:v>0</x:v>
      </x:c>
      <x:c r="L3146" s="40" t="n">
        <x:f>ABS(K3146)</x:f>
        <x:v>0</x:v>
      </x:c>
      <x:c r="M3146" s="41" t="str">
        <x:v>lstm-soil-v1</x:v>
      </x:c>
    </x:row>
    <x:row r="3147">
      <x:c r="A3147" s="38" t="str">
        <x:v>7月30日现场数据</x:v>
      </x:c>
      <x:c r="B3147" s="39" t="str">
        <x:v>2026-08-03T07:00:00</x:v>
      </x:c>
      <x:c r="C3147" s="39" t="str">
        <x:v>2026-08-03T08:00:00</x:v>
      </x:c>
      <x:c r="D3147" s="47" t="n">
        <x:v>60</x:v>
      </x:c>
      <x:c r="E3147" s="40" t="n">
        <x:v>14.5</x:v>
      </x:c>
      <x:c r="F3147" s="40" t="n">
        <x:v>14.806259155273438</x:v>
      </x:c>
      <x:c r="G3147" s="40" t="n">
        <x:v>14.5</x:v>
      </x:c>
      <x:c r="H3147" s="40" t="n">
        <x:f>F3147-E3147</x:f>
        <x:v>0.3062591552734375</x:v>
      </x:c>
      <x:c r="I3147" s="40" t="n">
        <x:f>ABS(H3147)</x:f>
        <x:v>0.3062591552734375</x:v>
      </x:c>
      <x:c r="J3147" s="40" t="n">
        <x:f>H3147^2</x:f>
        <x:v>0.0937946701887995</x:v>
      </x:c>
      <x:c r="K3147" s="40" t="n">
        <x:f>G3147-E3147</x:f>
        <x:v>0</x:v>
      </x:c>
      <x:c r="L3147" s="40" t="n">
        <x:f>ABS(K3147)</x:f>
        <x:v>0</x:v>
      </x:c>
      <x:c r="M3147" s="41" t="str">
        <x:v>lstm-soil-v1</x:v>
      </x:c>
    </x:row>
    <x:row r="3148">
      <x:c r="A3148" s="38" t="str">
        <x:v>7月30日现场数据</x:v>
      </x:c>
      <x:c r="B3148" s="39" t="str">
        <x:v>2026-08-03T07:05:00</x:v>
      </x:c>
      <x:c r="C3148" s="39" t="str">
        <x:v>2026-08-03T07:10:00</x:v>
      </x:c>
      <x:c r="D3148" s="47" t="n">
        <x:v>5</x:v>
      </x:c>
      <x:c r="E3148" s="40" t="n">
        <x:v>14.5</x:v>
      </x:c>
      <x:c r="F3148" s="40" t="n">
        <x:v>12.68280029296875</x:v>
      </x:c>
      <x:c r="G3148" s="40" t="n">
        <x:v>14.5</x:v>
      </x:c>
      <x:c r="H3148" s="40" t="n">
        <x:f>F3148-E3148</x:f>
        <x:v>-1.81719970703125</x:v>
      </x:c>
      <x:c r="I3148" s="40" t="n">
        <x:f>ABS(H3148)</x:f>
        <x:v>1.81719970703125</x:v>
      </x:c>
      <x:c r="J3148" s="40" t="n">
        <x:f>H3148^2</x:f>
        <x:v>3.302214775234461</x:v>
      </x:c>
      <x:c r="K3148" s="40" t="n">
        <x:f>G3148-E3148</x:f>
        <x:v>0</x:v>
      </x:c>
      <x:c r="L3148" s="40" t="n">
        <x:f>ABS(K3148)</x:f>
        <x:v>0</x:v>
      </x:c>
      <x:c r="M3148" s="41" t="str">
        <x:v>lstm-soil-v1</x:v>
      </x:c>
    </x:row>
    <x:row r="3149">
      <x:c r="A3149" s="38" t="str">
        <x:v>7月30日现场数据</x:v>
      </x:c>
      <x:c r="B3149" s="39" t="str">
        <x:v>2026-08-03T07:05:00</x:v>
      </x:c>
      <x:c r="C3149" s="39" t="str">
        <x:v>2026-08-03T07:20:00</x:v>
      </x:c>
      <x:c r="D3149" s="47" t="n">
        <x:v>15</x:v>
      </x:c>
      <x:c r="E3149" s="40" t="n">
        <x:v>14.5</x:v>
      </x:c>
      <x:c r="F3149" s="40" t="n">
        <x:v>12.748050689697266</x:v>
      </x:c>
      <x:c r="G3149" s="40" t="n">
        <x:v>14.5</x:v>
      </x:c>
      <x:c r="H3149" s="40" t="n">
        <x:f>F3149-E3149</x:f>
        <x:v>-1.7519493103027344</x:v>
      </x:c>
      <x:c r="I3149" s="40" t="n">
        <x:f>ABS(H3149)</x:f>
        <x:v>1.7519493103027344</x:v>
      </x:c>
      <x:c r="J3149" s="40" t="n">
        <x:f>H3149^2</x:f>
        <x:v>3.0693263858702267</x:v>
      </x:c>
      <x:c r="K3149" s="40" t="n">
        <x:f>G3149-E3149</x:f>
        <x:v>0</x:v>
      </x:c>
      <x:c r="L3149" s="40" t="n">
        <x:f>ABS(K3149)</x:f>
        <x:v>0</x:v>
      </x:c>
      <x:c r="M3149" s="41" t="str">
        <x:v>lstm-soil-v1</x:v>
      </x:c>
    </x:row>
    <x:row r="3150">
      <x:c r="A3150" s="38" t="str">
        <x:v>7月30日现场数据</x:v>
      </x:c>
      <x:c r="B3150" s="39" t="str">
        <x:v>2026-08-03T07:05:00</x:v>
      </x:c>
      <x:c r="C3150" s="39" t="str">
        <x:v>2026-08-03T07:35:00</x:v>
      </x:c>
      <x:c r="D3150" s="47" t="n">
        <x:v>30</x:v>
      </x:c>
      <x:c r="E3150" s="40" t="n">
        <x:v>14.5</x:v>
      </x:c>
      <x:c r="F3150" s="40" t="n">
        <x:v>13.225109100341797</x:v>
      </x:c>
      <x:c r="G3150" s="40" t="n">
        <x:v>14.5</x:v>
      </x:c>
      <x:c r="H3150" s="40" t="n">
        <x:f>F3150-E3150</x:f>
        <x:v>-1.2748908996582031</x:v>
      </x:c>
      <x:c r="I3150" s="40" t="n">
        <x:f>ABS(H3150)</x:f>
        <x:v>1.2748908996582031</x:v>
      </x:c>
      <x:c r="J3150" s="40" t="n">
        <x:f>H3150^2</x:f>
        <x:v>1.6253468060313025</x:v>
      </x:c>
      <x:c r="K3150" s="40" t="n">
        <x:f>G3150-E3150</x:f>
        <x:v>0</x:v>
      </x:c>
      <x:c r="L3150" s="40" t="n">
        <x:f>ABS(K3150)</x:f>
        <x:v>0</x:v>
      </x:c>
      <x:c r="M3150" s="41" t="str">
        <x:v>lstm-soil-v1</x:v>
      </x:c>
    </x:row>
    <x:row r="3151">
      <x:c r="A3151" s="38" t="str">
        <x:v>7月30日现场数据</x:v>
      </x:c>
      <x:c r="B3151" s="39" t="str">
        <x:v>2026-08-03T07:05:00</x:v>
      </x:c>
      <x:c r="C3151" s="39" t="str">
        <x:v>2026-08-03T08:05:00</x:v>
      </x:c>
      <x:c r="D3151" s="47" t="n">
        <x:v>60</x:v>
      </x:c>
      <x:c r="E3151" s="40" t="n">
        <x:v>14.5</x:v>
      </x:c>
      <x:c r="F3151" s="40" t="n">
        <x:v>14.809772491455078</x:v>
      </x:c>
      <x:c r="G3151" s="40" t="n">
        <x:v>14.5</x:v>
      </x:c>
      <x:c r="H3151" s="40" t="n">
        <x:f>F3151-E3151</x:f>
        <x:v>0.3097724914550781</x:v>
      </x:c>
      <x:c r="I3151" s="40" t="n">
        <x:f>ABS(H3151)</x:f>
        <x:v>0.3097724914550781</x:v>
      </x:c>
      <x:c r="J3151" s="40" t="n">
        <x:f>H3151^2</x:f>
        <x:v>0.09595899646228645</x:v>
      </x:c>
      <x:c r="K3151" s="40" t="n">
        <x:f>G3151-E3151</x:f>
        <x:v>0</x:v>
      </x:c>
      <x:c r="L3151" s="40" t="n">
        <x:f>ABS(K3151)</x:f>
        <x:v>0</x:v>
      </x:c>
      <x:c r="M3151" s="41" t="str">
        <x:v>lstm-soil-v1</x:v>
      </x:c>
    </x:row>
    <x:row r="3152">
      <x:c r="A3152" s="38" t="str">
        <x:v>7月30日现场数据</x:v>
      </x:c>
      <x:c r="B3152" s="39" t="str">
        <x:v>2026-08-03T07:10:00</x:v>
      </x:c>
      <x:c r="C3152" s="39" t="str">
        <x:v>2026-08-03T07:15:00</x:v>
      </x:c>
      <x:c r="D3152" s="47" t="n">
        <x:v>5</x:v>
      </x:c>
      <x:c r="E3152" s="40" t="n">
        <x:v>14.5</x:v>
      </x:c>
      <x:c r="F3152" s="40" t="n">
        <x:v>12.683586120605469</x:v>
      </x:c>
      <x:c r="G3152" s="40" t="n">
        <x:v>14.5</x:v>
      </x:c>
      <x:c r="H3152" s="40" t="n">
        <x:f>F3152-E3152</x:f>
        <x:v>-1.8164138793945312</x:v>
      </x:c>
      <x:c r="I3152" s="40" t="n">
        <x:f>ABS(H3152)</x:f>
        <x:v>1.8164138793945312</x:v>
      </x:c>
      <x:c r="J3152" s="40" t="n">
        <x:f>H3152^2</x:f>
        <x:v>3.2993593812570907</x:v>
      </x:c>
      <x:c r="K3152" s="40" t="n">
        <x:f>G3152-E3152</x:f>
        <x:v>0</x:v>
      </x:c>
      <x:c r="L3152" s="40" t="n">
        <x:f>ABS(K3152)</x:f>
        <x:v>0</x:v>
      </x:c>
      <x:c r="M3152" s="41" t="str">
        <x:v>lstm-soil-v1</x:v>
      </x:c>
    </x:row>
    <x:row r="3153">
      <x:c r="A3153" s="38" t="str">
        <x:v>7月30日现场数据</x:v>
      </x:c>
      <x:c r="B3153" s="39" t="str">
        <x:v>2026-08-03T07:10:00</x:v>
      </x:c>
      <x:c r="C3153" s="39" t="str">
        <x:v>2026-08-03T07:25:00</x:v>
      </x:c>
      <x:c r="D3153" s="47" t="n">
        <x:v>15</x:v>
      </x:c>
      <x:c r="E3153" s="40" t="n">
        <x:v>14.5</x:v>
      </x:c>
      <x:c r="F3153" s="40" t="n">
        <x:v>12.749561309814453</x:v>
      </x:c>
      <x:c r="G3153" s="40" t="n">
        <x:v>14.5</x:v>
      </x:c>
      <x:c r="H3153" s="40" t="n">
        <x:f>F3153-E3153</x:f>
        <x:v>-1.7504386901855469</x:v>
      </x:c>
      <x:c r="I3153" s="40" t="n">
        <x:f>ABS(H3153)</x:f>
        <x:v>1.7504386901855469</x:v>
      </x:c>
      <x:c r="J3153" s="40" t="n">
        <x:f>H3153^2</x:f>
        <x:v>3.064035608098493</x:v>
      </x:c>
      <x:c r="K3153" s="40" t="n">
        <x:f>G3153-E3153</x:f>
        <x:v>0</x:v>
      </x:c>
      <x:c r="L3153" s="40" t="n">
        <x:f>ABS(K3153)</x:f>
        <x:v>0</x:v>
      </x:c>
      <x:c r="M3153" s="41" t="str">
        <x:v>lstm-soil-v1</x:v>
      </x:c>
    </x:row>
    <x:row r="3154">
      <x:c r="A3154" s="38" t="str">
        <x:v>7月30日现场数据</x:v>
      </x:c>
      <x:c r="B3154" s="39" t="str">
        <x:v>2026-08-03T07:10:00</x:v>
      </x:c>
      <x:c r="C3154" s="39" t="str">
        <x:v>2026-08-03T07:40:00</x:v>
      </x:c>
      <x:c r="D3154" s="47" t="n">
        <x:v>30</x:v>
      </x:c>
      <x:c r="E3154" s="40" t="n">
        <x:v>14.5</x:v>
      </x:c>
      <x:c r="F3154" s="40" t="n">
        <x:v>13.22607421875</x:v>
      </x:c>
      <x:c r="G3154" s="40" t="n">
        <x:v>14.5</x:v>
      </x:c>
      <x:c r="H3154" s="40" t="n">
        <x:f>F3154-E3154</x:f>
        <x:v>-1.27392578125</x:v>
      </x:c>
      <x:c r="I3154" s="40" t="n">
        <x:f>ABS(H3154)</x:f>
        <x:v>1.27392578125</x:v>
      </x:c>
      <x:c r="J3154" s="40" t="n">
        <x:f>H3154^2</x:f>
        <x:v>1.6228868961334229</x:v>
      </x:c>
      <x:c r="K3154" s="40" t="n">
        <x:f>G3154-E3154</x:f>
        <x:v>0</x:v>
      </x:c>
      <x:c r="L3154" s="40" t="n">
        <x:f>ABS(K3154)</x:f>
        <x:v>0</x:v>
      </x:c>
      <x:c r="M3154" s="41" t="str">
        <x:v>lstm-soil-v1</x:v>
      </x:c>
    </x:row>
    <x:row r="3155">
      <x:c r="A3155" s="38" t="str">
        <x:v>7月30日现场数据</x:v>
      </x:c>
      <x:c r="B3155" s="39" t="str">
        <x:v>2026-08-03T07:10:00</x:v>
      </x:c>
      <x:c r="C3155" s="39" t="str">
        <x:v>2026-08-03T08:10:00</x:v>
      </x:c>
      <x:c r="D3155" s="47" t="n">
        <x:v>60</x:v>
      </x:c>
      <x:c r="E3155" s="40" t="n">
        <x:v>14.4</x:v>
      </x:c>
      <x:c r="F3155" s="40" t="n">
        <x:v>14.812522888183594</x:v>
      </x:c>
      <x:c r="G3155" s="40" t="n">
        <x:v>14.5</x:v>
      </x:c>
      <x:c r="H3155" s="40" t="n">
        <x:f>F3155-E3155</x:f>
        <x:v>0.4125228881835934</x:v>
      </x:c>
      <x:c r="I3155" s="40" t="n">
        <x:f>ABS(H3155)</x:f>
        <x:v>0.4125228881835934</x:v>
      </x:c>
      <x:c r="J3155" s="40" t="n">
        <x:f>H3155^2</x:f>
        <x:v>0.1701751332753335</x:v>
      </x:c>
      <x:c r="K3155" s="40" t="n">
        <x:f>G3155-E3155</x:f>
        <x:v>0.09999999999999964</x:v>
      </x:c>
      <x:c r="L3155" s="40" t="n">
        <x:f>ABS(K3155)</x:f>
        <x:v>0.09999999999999964</x:v>
      </x:c>
      <x:c r="M3155" s="41" t="str">
        <x:v>lstm-soil-v1</x:v>
      </x:c>
    </x:row>
    <x:row r="3156">
      <x:c r="A3156" s="38" t="str">
        <x:v>7月30日现场数据</x:v>
      </x:c>
      <x:c r="B3156" s="39" t="str">
        <x:v>2026-08-03T07:15:00</x:v>
      </x:c>
      <x:c r="C3156" s="39" t="str">
        <x:v>2026-08-03T07:20:00</x:v>
      </x:c>
      <x:c r="D3156" s="47" t="n">
        <x:v>5</x:v>
      </x:c>
      <x:c r="E3156" s="40" t="n">
        <x:v>14.5</x:v>
      </x:c>
      <x:c r="F3156" s="40" t="n">
        <x:v>12.684394836425781</x:v>
      </x:c>
      <x:c r="G3156" s="40" t="n">
        <x:v>14.5</x:v>
      </x:c>
      <x:c r="H3156" s="40" t="n">
        <x:f>F3156-E3156</x:f>
        <x:v>-1.8156051635742188</x:v>
      </x:c>
      <x:c r="I3156" s="40" t="n">
        <x:f>ABS(H3156)</x:f>
        <x:v>1.8156051635742188</x:v>
      </x:c>
      <x:c r="J3156" s="40" t="n">
        <x:f>H3156^2</x:f>
        <x:v>3.2964221099973656</x:v>
      </x:c>
      <x:c r="K3156" s="40" t="n">
        <x:f>G3156-E3156</x:f>
        <x:v>0</x:v>
      </x:c>
      <x:c r="L3156" s="40" t="n">
        <x:f>ABS(K3156)</x:f>
        <x:v>0</x:v>
      </x:c>
      <x:c r="M3156" s="41" t="str">
        <x:v>lstm-soil-v1</x:v>
      </x:c>
    </x:row>
    <x:row r="3157">
      <x:c r="A3157" s="38" t="str">
        <x:v>7月30日现场数据</x:v>
      </x:c>
      <x:c r="B3157" s="39" t="str">
        <x:v>2026-08-03T07:15:00</x:v>
      </x:c>
      <x:c r="C3157" s="39" t="str">
        <x:v>2026-08-03T07:30:00</x:v>
      </x:c>
      <x:c r="D3157" s="47" t="n">
        <x:v>15</x:v>
      </x:c>
      <x:c r="E3157" s="40" t="n">
        <x:v>14.5</x:v>
      </x:c>
      <x:c r="F3157" s="40" t="n">
        <x:v>12.75101089477539</x:v>
      </x:c>
      <x:c r="G3157" s="40" t="n">
        <x:v>14.5</x:v>
      </x:c>
      <x:c r="H3157" s="40" t="n">
        <x:f>F3157-E3157</x:f>
        <x:v>-1.7489891052246094</x:v>
      </x:c>
      <x:c r="I3157" s="40" t="n">
        <x:f>ABS(H3157)</x:f>
        <x:v>1.7489891052246094</x:v>
      </x:c>
      <x:c r="J3157" s="40" t="n">
        <x:f>H3157^2</x:f>
        <x:v>3.0589628901943797</x:v>
      </x:c>
      <x:c r="K3157" s="40" t="n">
        <x:f>G3157-E3157</x:f>
        <x:v>0</x:v>
      </x:c>
      <x:c r="L3157" s="40" t="n">
        <x:f>ABS(K3157)</x:f>
        <x:v>0</x:v>
      </x:c>
      <x:c r="M3157" s="41" t="str">
        <x:v>lstm-soil-v1</x:v>
      </x:c>
    </x:row>
    <x:row r="3158">
      <x:c r="A3158" s="38" t="str">
        <x:v>7月30日现场数据</x:v>
      </x:c>
      <x:c r="B3158" s="39" t="str">
        <x:v>2026-08-03T07:15:00</x:v>
      </x:c>
      <x:c r="C3158" s="39" t="str">
        <x:v>2026-08-03T07:45:00</x:v>
      </x:c>
      <x:c r="D3158" s="47" t="n">
        <x:v>30</x:v>
      </x:c>
      <x:c r="E3158" s="40" t="n">
        <x:v>14.5</x:v>
      </x:c>
      <x:c r="F3158" s="40" t="n">
        <x:v>13.226856231689453</x:v>
      </x:c>
      <x:c r="G3158" s="40" t="n">
        <x:v>14.5</x:v>
      </x:c>
      <x:c r="H3158" s="40" t="n">
        <x:f>F3158-E3158</x:f>
        <x:v>-1.2731437683105469</x:v>
      </x:c>
      <x:c r="I3158" s="40" t="n">
        <x:f>ABS(H3158)</x:f>
        <x:v>1.2731437683105469</x:v>
      </x:c>
      <x:c r="J3158" s="40" t="n">
        <x:f>H3158^2</x:f>
        <x:v>1.6208950547879795</x:v>
      </x:c>
      <x:c r="K3158" s="40" t="n">
        <x:f>G3158-E3158</x:f>
        <x:v>0</x:v>
      </x:c>
      <x:c r="L3158" s="40" t="n">
        <x:f>ABS(K3158)</x:f>
        <x:v>0</x:v>
      </x:c>
      <x:c r="M3158" s="41" t="str">
        <x:v>lstm-soil-v1</x:v>
      </x:c>
    </x:row>
    <x:row r="3159">
      <x:c r="A3159" s="38" t="str">
        <x:v>7月30日现场数据</x:v>
      </x:c>
      <x:c r="B3159" s="39" t="str">
        <x:v>2026-08-03T07:15:00</x:v>
      </x:c>
      <x:c r="C3159" s="39" t="str">
        <x:v>2026-08-03T08:15:00</x:v>
      </x:c>
      <x:c r="D3159" s="47" t="n">
        <x:v>60</x:v>
      </x:c>
      <x:c r="E3159" s="40" t="n">
        <x:v>14.4</x:v>
      </x:c>
      <x:c r="F3159" s="40" t="n">
        <x:v>14.81442642211914</x:v>
      </x:c>
      <x:c r="G3159" s="40" t="n">
        <x:v>14.5</x:v>
      </x:c>
      <x:c r="H3159" s="40" t="n">
        <x:f>F3159-E3159</x:f>
        <x:v>0.41442642211914027</x:v>
      </x:c>
      <x:c r="I3159" s="40" t="n">
        <x:f>ABS(H3159)</x:f>
        <x:v>0.41442642211914027</x:v>
      </x:c>
      <x:c r="J3159" s="40" t="n">
        <x:f>H3159^2</x:f>
        <x:v>0.17174925935047183</x:v>
      </x:c>
      <x:c r="K3159" s="40" t="n">
        <x:f>G3159-E3159</x:f>
        <x:v>0.09999999999999964</x:v>
      </x:c>
      <x:c r="L3159" s="40" t="n">
        <x:f>ABS(K3159)</x:f>
        <x:v>0.09999999999999964</x:v>
      </x:c>
      <x:c r="M3159" s="41" t="str">
        <x:v>lstm-soil-v1</x:v>
      </x:c>
    </x:row>
    <x:row r="3160">
      <x:c r="A3160" s="38" t="str">
        <x:v>7月30日现场数据</x:v>
      </x:c>
      <x:c r="B3160" s="39" t="str">
        <x:v>2026-08-03T07:20:00</x:v>
      </x:c>
      <x:c r="C3160" s="39" t="str">
        <x:v>2026-08-03T07:25:00</x:v>
      </x:c>
      <x:c r="D3160" s="47" t="n">
        <x:v>5</x:v>
      </x:c>
      <x:c r="E3160" s="40" t="n">
        <x:v>14.5</x:v>
      </x:c>
      <x:c r="F3160" s="40" t="n">
        <x:v>12.685195922851562</x:v>
      </x:c>
      <x:c r="G3160" s="40" t="n">
        <x:v>14.5</x:v>
      </x:c>
      <x:c r="H3160" s="40" t="n">
        <x:f>F3160-E3160</x:f>
        <x:v>-1.8148040771484375</x:v>
      </x:c>
      <x:c r="I3160" s="40" t="n">
        <x:f>ABS(H3160)</x:f>
        <x:v>1.8148040771484375</x:v>
      </x:c>
      <x:c r="J3160" s="40" t="n">
        <x:f>H3160^2</x:f>
        <x:v>3.293513838434592</x:v>
      </x:c>
      <x:c r="K3160" s="40" t="n">
        <x:f>G3160-E3160</x:f>
        <x:v>0</x:v>
      </x:c>
      <x:c r="L3160" s="40" t="n">
        <x:f>ABS(K3160)</x:f>
        <x:v>0</x:v>
      </x:c>
      <x:c r="M3160" s="41" t="str">
        <x:v>lstm-soil-v1</x:v>
      </x:c>
    </x:row>
    <x:row r="3161">
      <x:c r="A3161" s="38" t="str">
        <x:v>7月30日现场数据</x:v>
      </x:c>
      <x:c r="B3161" s="39" t="str">
        <x:v>2026-08-03T07:20:00</x:v>
      </x:c>
      <x:c r="C3161" s="39" t="str">
        <x:v>2026-08-03T07:35:00</x:v>
      </x:c>
      <x:c r="D3161" s="47" t="n">
        <x:v>15</x:v>
      </x:c>
      <x:c r="E3161" s="40" t="n">
        <x:v>14.5</x:v>
      </x:c>
      <x:c r="F3161" s="40" t="n">
        <x:v>12.752208709716797</x:v>
      </x:c>
      <x:c r="G3161" s="40" t="n">
        <x:v>14.5</x:v>
      </x:c>
      <x:c r="H3161" s="40" t="n">
        <x:f>F3161-E3161</x:f>
        <x:v>-1.7477912902832031</x:v>
      </x:c>
      <x:c r="I3161" s="40" t="n">
        <x:f>ABS(H3161)</x:f>
        <x:v>1.7477912902832031</x:v>
      </x:c>
      <x:c r="J3161" s="40" t="n">
        <x:f>H3161^2</x:f>
        <x:v>3.054774394389824</x:v>
      </x:c>
      <x:c r="K3161" s="40" t="n">
        <x:f>G3161-E3161</x:f>
        <x:v>0</x:v>
      </x:c>
      <x:c r="L3161" s="40" t="n">
        <x:f>ABS(K3161)</x:f>
        <x:v>0</x:v>
      </x:c>
      <x:c r="M3161" s="41" t="str">
        <x:v>lstm-soil-v1</x:v>
      </x:c>
    </x:row>
    <x:row r="3162">
      <x:c r="A3162" s="38" t="str">
        <x:v>7月30日现场数据</x:v>
      </x:c>
      <x:c r="B3162" s="39" t="str">
        <x:v>2026-08-03T07:20:00</x:v>
      </x:c>
      <x:c r="C3162" s="39" t="str">
        <x:v>2026-08-03T07:50:00</x:v>
      </x:c>
      <x:c r="D3162" s="47" t="n">
        <x:v>30</x:v>
      </x:c>
      <x:c r="E3162" s="40" t="n">
        <x:v>14.4</x:v>
      </x:c>
      <x:c r="F3162" s="40" t="n">
        <x:v>13.227558135986328</x:v>
      </x:c>
      <x:c r="G3162" s="40" t="n">
        <x:v>14.5</x:v>
      </x:c>
      <x:c r="H3162" s="40" t="n">
        <x:f>F3162-E3162</x:f>
        <x:v>-1.1724418640136722</x:v>
      </x:c>
      <x:c r="I3162" s="40" t="n">
        <x:f>ABS(H3162)</x:f>
        <x:v>1.1724418640136722</x:v>
      </x:c>
      <x:c r="J3162" s="40" t="n">
        <x:f>H3162^2</x:f>
        <x:v>1.3746199244918542</x:v>
      </x:c>
      <x:c r="K3162" s="40" t="n">
        <x:f>G3162-E3162</x:f>
        <x:v>0.09999999999999964</x:v>
      </x:c>
      <x:c r="L3162" s="40" t="n">
        <x:f>ABS(K3162)</x:f>
        <x:v>0.09999999999999964</x:v>
      </x:c>
      <x:c r="M3162" s="41" t="str">
        <x:v>lstm-soil-v1</x:v>
      </x:c>
    </x:row>
    <x:row r="3163">
      <x:c r="A3163" s="38" t="str">
        <x:v>7月30日现场数据</x:v>
      </x:c>
      <x:c r="B3163" s="39" t="str">
        <x:v>2026-08-03T07:20:00</x:v>
      </x:c>
      <x:c r="C3163" s="39" t="str">
        <x:v>2026-08-03T08:20:00</x:v>
      </x:c>
      <x:c r="D3163" s="47" t="n">
        <x:v>60</x:v>
      </x:c>
      <x:c r="E3163" s="40" t="n">
        <x:v>14.4</x:v>
      </x:c>
      <x:c r="F3163" s="40" t="n">
        <x:v>14.815792083740234</x:v>
      </x:c>
      <x:c r="G3163" s="40" t="n">
        <x:v>14.5</x:v>
      </x:c>
      <x:c r="H3163" s="40" t="n">
        <x:f>F3163-E3163</x:f>
        <x:v>0.415792083740234</x:v>
      </x:c>
      <x:c r="I3163" s="40" t="n">
        <x:f>ABS(H3163)</x:f>
        <x:v>0.415792083740234</x:v>
      </x:c>
      <x:c r="J3163" s="40" t="n">
        <x:f>H3163^2</x:f>
        <x:v>0.17288305690104577</x:v>
      </x:c>
      <x:c r="K3163" s="40" t="n">
        <x:f>G3163-E3163</x:f>
        <x:v>0.09999999999999964</x:v>
      </x:c>
      <x:c r="L3163" s="40" t="n">
        <x:f>ABS(K3163)</x:f>
        <x:v>0.09999999999999964</x:v>
      </x:c>
      <x:c r="M3163" s="41" t="str">
        <x:v>lstm-soil-v1</x:v>
      </x:c>
    </x:row>
    <x:row r="3164">
      <x:c r="A3164" s="38" t="str">
        <x:v>7月30日现场数据</x:v>
      </x:c>
      <x:c r="B3164" s="39" t="str">
        <x:v>2026-08-03T07:25:00</x:v>
      </x:c>
      <x:c r="C3164" s="39" t="str">
        <x:v>2026-08-03T07:30:00</x:v>
      </x:c>
      <x:c r="D3164" s="47" t="n">
        <x:v>5</x:v>
      </x:c>
      <x:c r="E3164" s="40" t="n">
        <x:v>14.5</x:v>
      </x:c>
      <x:c r="F3164" s="40" t="n">
        <x:v>12.685928344726562</x:v>
      </x:c>
      <x:c r="G3164" s="40" t="n">
        <x:v>14.5</x:v>
      </x:c>
      <x:c r="H3164" s="40" t="n">
        <x:f>F3164-E3164</x:f>
        <x:v>-1.8140716552734375</x:v>
      </x:c>
      <x:c r="I3164" s="40" t="n">
        <x:f>ABS(H3164)</x:f>
        <x:v>1.8140716552734375</x:v>
      </x:c>
      <x:c r="J3164" s="40" t="n">
        <x:f>H3164^2</x:f>
        <x:v>3.2908559704665095</x:v>
      </x:c>
      <x:c r="K3164" s="40" t="n">
        <x:f>G3164-E3164</x:f>
        <x:v>0</x:v>
      </x:c>
      <x:c r="L3164" s="40" t="n">
        <x:f>ABS(K3164)</x:f>
        <x:v>0</x:v>
      </x:c>
      <x:c r="M3164" s="41" t="str">
        <x:v>lstm-soil-v1</x:v>
      </x:c>
    </x:row>
    <x:row r="3165">
      <x:c r="A3165" s="38" t="str">
        <x:v>7月30日现场数据</x:v>
      </x:c>
      <x:c r="B3165" s="39" t="str">
        <x:v>2026-08-03T07:25:00</x:v>
      </x:c>
      <x:c r="C3165" s="39" t="str">
        <x:v>2026-08-03T07:40:00</x:v>
      </x:c>
      <x:c r="D3165" s="47" t="n">
        <x:v>15</x:v>
      </x:c>
      <x:c r="E3165" s="40" t="n">
        <x:v>14.5</x:v>
      </x:c>
      <x:c r="F3165" s="40" t="n">
        <x:v>12.753089904785156</x:v>
      </x:c>
      <x:c r="G3165" s="40" t="n">
        <x:v>14.5</x:v>
      </x:c>
      <x:c r="H3165" s="40" t="n">
        <x:f>F3165-E3165</x:f>
        <x:v>-1.7469100952148438</x:v>
      </x:c>
      <x:c r="I3165" s="40" t="n">
        <x:f>ABS(H3165)</x:f>
        <x:v>1.7469100952148438</x:v>
      </x:c>
      <x:c r="J3165" s="40" t="n">
        <x:f>H3165^2</x:f>
        <x:v>3.0516948807635345</x:v>
      </x:c>
      <x:c r="K3165" s="40" t="n">
        <x:f>G3165-E3165</x:f>
        <x:v>0</x:v>
      </x:c>
      <x:c r="L3165" s="40" t="n">
        <x:f>ABS(K3165)</x:f>
        <x:v>0</x:v>
      </x:c>
      <x:c r="M3165" s="41" t="str">
        <x:v>lstm-soil-v1</x:v>
      </x:c>
    </x:row>
    <x:row r="3166">
      <x:c r="A3166" s="38" t="str">
        <x:v>7月30日现场数据</x:v>
      </x:c>
      <x:c r="B3166" s="39" t="str">
        <x:v>2026-08-03T07:25:00</x:v>
      </x:c>
      <x:c r="C3166" s="39" t="str">
        <x:v>2026-08-03T07:55:00</x:v>
      </x:c>
      <x:c r="D3166" s="47" t="n">
        <x:v>30</x:v>
      </x:c>
      <x:c r="E3166" s="40" t="n">
        <x:v>14.5</x:v>
      </x:c>
      <x:c r="F3166" s="40" t="n">
        <x:v>13.228164672851562</x:v>
      </x:c>
      <x:c r="G3166" s="40" t="n">
        <x:v>14.5</x:v>
      </x:c>
      <x:c r="H3166" s="40" t="n">
        <x:f>F3166-E3166</x:f>
        <x:v>-1.2718353271484375</x:v>
      </x:c>
      <x:c r="I3166" s="40" t="n">
        <x:f>ABS(H3166)</x:f>
        <x:v>1.2718353271484375</x:v>
      </x:c>
      <x:c r="J3166" s="40" t="n">
        <x:f>H3166^2</x:f>
        <x:v>1.617565099382773</x:v>
      </x:c>
      <x:c r="K3166" s="40" t="n">
        <x:f>G3166-E3166</x:f>
        <x:v>0</x:v>
      </x:c>
      <x:c r="L3166" s="40" t="n">
        <x:f>ABS(K3166)</x:f>
        <x:v>0</x:v>
      </x:c>
      <x:c r="M3166" s="41" t="str">
        <x:v>lstm-soil-v1</x:v>
      </x:c>
    </x:row>
    <x:row r="3167">
      <x:c r="A3167" s="38" t="str">
        <x:v>7月30日现场数据</x:v>
      </x:c>
      <x:c r="B3167" s="39" t="str">
        <x:v>2026-08-03T07:25:00</x:v>
      </x:c>
      <x:c r="C3167" s="39" t="str">
        <x:v>2026-08-03T08:25:00</x:v>
      </x:c>
      <x:c r="D3167" s="47" t="n">
        <x:v>60</x:v>
      </x:c>
      <x:c r="E3167" s="40" t="n">
        <x:v>14.5</x:v>
      </x:c>
      <x:c r="F3167" s="40" t="n">
        <x:v>14.816879272460938</x:v>
      </x:c>
      <x:c r="G3167" s="40" t="n">
        <x:v>14.5</x:v>
      </x:c>
      <x:c r="H3167" s="40" t="n">
        <x:f>F3167-E3167</x:f>
        <x:v>0.3168792724609375</x:v>
      </x:c>
      <x:c r="I3167" s="40" t="n">
        <x:f>ABS(H3167)</x:f>
        <x:v>0.3168792724609375</x:v>
      </x:c>
      <x:c r="J3167" s="40" t="n">
        <x:f>H3167^2</x:f>
        <x:v>0.10041247331537306</x:v>
      </x:c>
      <x:c r="K3167" s="40" t="n">
        <x:f>G3167-E3167</x:f>
        <x:v>0</x:v>
      </x:c>
      <x:c r="L3167" s="40" t="n">
        <x:f>ABS(K3167)</x:f>
        <x:v>0</x:v>
      </x:c>
      <x:c r="M3167" s="41" t="str">
        <x:v>lstm-soil-v1</x:v>
      </x:c>
    </x:row>
    <x:row r="3168">
      <x:c r="A3168" s="38" t="str">
        <x:v>7月30日现场数据</x:v>
      </x:c>
      <x:c r="B3168" s="39" t="str">
        <x:v>2026-08-03T07:30:00</x:v>
      </x:c>
      <x:c r="C3168" s="39" t="str">
        <x:v>2026-08-03T07:35:00</x:v>
      </x:c>
      <x:c r="D3168" s="47" t="n">
        <x:v>5</x:v>
      </x:c>
      <x:c r="E3168" s="40" t="n">
        <x:v>14.5</x:v>
      </x:c>
      <x:c r="F3168" s="40" t="n">
        <x:v>12.686397552490234</x:v>
      </x:c>
      <x:c r="G3168" s="40" t="n">
        <x:v>14.5</x:v>
      </x:c>
      <x:c r="H3168" s="40" t="n">
        <x:f>F3168-E3168</x:f>
        <x:v>-1.8136024475097656</x:v>
      </x:c>
      <x:c r="I3168" s="40" t="n">
        <x:f>ABS(H3168)</x:f>
        <x:v>1.8136024475097656</x:v>
      </x:c>
      <x:c r="J3168" s="40" t="n">
        <x:f>H3168^2</x:f>
        <x:v>3.289153837613412</x:v>
      </x:c>
      <x:c r="K3168" s="40" t="n">
        <x:f>G3168-E3168</x:f>
        <x:v>0</x:v>
      </x:c>
      <x:c r="L3168" s="40" t="n">
        <x:f>ABS(K3168)</x:f>
        <x:v>0</x:v>
      </x:c>
      <x:c r="M3168" s="41" t="str">
        <x:v>lstm-soil-v1</x:v>
      </x:c>
    </x:row>
    <x:row r="3169">
      <x:c r="A3169" s="38" t="str">
        <x:v>7月30日现场数据</x:v>
      </x:c>
      <x:c r="B3169" s="39" t="str">
        <x:v>2026-08-03T07:30:00</x:v>
      </x:c>
      <x:c r="C3169" s="39" t="str">
        <x:v>2026-08-03T07:45:00</x:v>
      </x:c>
      <x:c r="D3169" s="47" t="n">
        <x:v>15</x:v>
      </x:c>
      <x:c r="E3169" s="40" t="n">
        <x:v>14.5</x:v>
      </x:c>
      <x:c r="F3169" s="40" t="n">
        <x:v>12.753803253173828</x:v>
      </x:c>
      <x:c r="G3169" s="40" t="n">
        <x:v>14.5</x:v>
      </x:c>
      <x:c r="H3169" s="40" t="n">
        <x:f>F3169-E3169</x:f>
        <x:v>-1.7461967468261719</x:v>
      </x:c>
      <x:c r="I3169" s="40" t="n">
        <x:f>ABS(H3169)</x:f>
        <x:v>1.7461967468261719</x:v>
      </x:c>
      <x:c r="J3169" s="40" t="n">
        <x:f>H3169^2</x:f>
        <x:v>3.049203078626306</x:v>
      </x:c>
      <x:c r="K3169" s="40" t="n">
        <x:f>G3169-E3169</x:f>
        <x:v>0</x:v>
      </x:c>
      <x:c r="L3169" s="40" t="n">
        <x:f>ABS(K3169)</x:f>
        <x:v>0</x:v>
      </x:c>
      <x:c r="M3169" s="41" t="str">
        <x:v>lstm-soil-v1</x:v>
      </x:c>
    </x:row>
    <x:row r="3170">
      <x:c r="A3170" s="38" t="str">
        <x:v>7月30日现场数据</x:v>
      </x:c>
      <x:c r="B3170" s="39" t="str">
        <x:v>2026-08-03T07:30:00</x:v>
      </x:c>
      <x:c r="C3170" s="39" t="str">
        <x:v>2026-08-03T08:00:00</x:v>
      </x:c>
      <x:c r="D3170" s="47" t="n">
        <x:v>30</x:v>
      </x:c>
      <x:c r="E3170" s="40" t="n">
        <x:v>14.5</x:v>
      </x:c>
      <x:c r="F3170" s="40" t="n">
        <x:v>13.228599548339844</x:v>
      </x:c>
      <x:c r="G3170" s="40" t="n">
        <x:v>14.5</x:v>
      </x:c>
      <x:c r="H3170" s="40" t="n">
        <x:f>F3170-E3170</x:f>
        <x:v>-1.2714004516601562</x:v>
      </x:c>
      <x:c r="I3170" s="40" t="n">
        <x:f>ABS(H3170)</x:f>
        <x:v>1.2714004516601562</x:v>
      </x:c>
      <x:c r="J3170" s="40" t="n">
        <x:f>H3170^2</x:f>
        <x:v>1.6164591084816493</x:v>
      </x:c>
      <x:c r="K3170" s="40" t="n">
        <x:f>G3170-E3170</x:f>
        <x:v>0</x:v>
      </x:c>
      <x:c r="L3170" s="40" t="n">
        <x:f>ABS(K3170)</x:f>
        <x:v>0</x:v>
      </x:c>
      <x:c r="M3170" s="41" t="str">
        <x:v>lstm-soil-v1</x:v>
      </x:c>
    </x:row>
    <x:row r="3171">
      <x:c r="A3171" s="38" t="str">
        <x:v>7月30日现场数据</x:v>
      </x:c>
      <x:c r="B3171" s="39" t="str">
        <x:v>2026-08-03T07:30:00</x:v>
      </x:c>
      <x:c r="C3171" s="39" t="str">
        <x:v>2026-08-03T08:30:00</x:v>
      </x:c>
      <x:c r="D3171" s="47" t="n">
        <x:v>60</x:v>
      </x:c>
      <x:c r="E3171" s="40" t="n">
        <x:v>14.4</x:v>
      </x:c>
      <x:c r="F3171" s="40" t="n">
        <x:v>14.817501068115234</x:v>
      </x:c>
      <x:c r="G3171" s="40" t="n">
        <x:v>14.5</x:v>
      </x:c>
      <x:c r="H3171" s="40" t="n">
        <x:f>F3171-E3171</x:f>
        <x:v>0.417501068115234</x:v>
      </x:c>
      <x:c r="I3171" s="40" t="n">
        <x:f>ABS(H3171)</x:f>
        <x:v>0.417501068115234</x:v>
      </x:c>
      <x:c r="J3171" s="40" t="n">
        <x:f>H3171^2</x:f>
        <x:v>0.17430714187736127</x:v>
      </x:c>
      <x:c r="K3171" s="40" t="n">
        <x:f>G3171-E3171</x:f>
        <x:v>0.09999999999999964</x:v>
      </x:c>
      <x:c r="L3171" s="40" t="n">
        <x:f>ABS(K3171)</x:f>
        <x:v>0.09999999999999964</x:v>
      </x:c>
      <x:c r="M3171" s="41" t="str">
        <x:v>lstm-soil-v1</x:v>
      </x:c>
    </x:row>
    <x:row r="3172">
      <x:c r="A3172" s="38" t="str">
        <x:v>7月30日现场数据</x:v>
      </x:c>
      <x:c r="B3172" s="39" t="str">
        <x:v>2026-08-03T07:35:00</x:v>
      </x:c>
      <x:c r="C3172" s="39" t="str">
        <x:v>2026-08-03T07:40:00</x:v>
      </x:c>
      <x:c r="D3172" s="47" t="n">
        <x:v>5</x:v>
      </x:c>
      <x:c r="E3172" s="40" t="n">
        <x:v>14.5</x:v>
      </x:c>
      <x:c r="F3172" s="40" t="n">
        <x:v>12.686782836914062</x:v>
      </x:c>
      <x:c r="G3172" s="40" t="n">
        <x:v>14.5</x:v>
      </x:c>
      <x:c r="H3172" s="40" t="n">
        <x:f>F3172-E3172</x:f>
        <x:v>-1.8132171630859375</x:v>
      </x:c>
      <x:c r="I3172" s="40" t="n">
        <x:f>ABS(H3172)</x:f>
        <x:v>1.8132171630859375</x:v>
      </x:c>
      <x:c r="J3172" s="40" t="n">
        <x:f>H3172^2</x:f>
        <x:v>3.2877564805094153</x:v>
      </x:c>
      <x:c r="K3172" s="40" t="n">
        <x:f>G3172-E3172</x:f>
        <x:v>0</x:v>
      </x:c>
      <x:c r="L3172" s="40" t="n">
        <x:f>ABS(K3172)</x:f>
        <x:v>0</x:v>
      </x:c>
      <x:c r="M3172" s="41" t="str">
        <x:v>lstm-soil-v1</x:v>
      </x:c>
    </x:row>
    <x:row r="3173">
      <x:c r="A3173" s="38" t="str">
        <x:v>7月30日现场数据</x:v>
      </x:c>
      <x:c r="B3173" s="39" t="str">
        <x:v>2026-08-03T07:35:00</x:v>
      </x:c>
      <x:c r="C3173" s="39" t="str">
        <x:v>2026-08-03T07:50:00</x:v>
      </x:c>
      <x:c r="D3173" s="47" t="n">
        <x:v>15</x:v>
      </x:c>
      <x:c r="E3173" s="40" t="n">
        <x:v>14.4</x:v>
      </x:c>
      <x:c r="F3173" s="40" t="n">
        <x:v>12.754325866699219</x:v>
      </x:c>
      <x:c r="G3173" s="40" t="n">
        <x:v>14.5</x:v>
      </x:c>
      <x:c r="H3173" s="40" t="n">
        <x:f>F3173-E3173</x:f>
        <x:v>-1.6456741333007816</x:v>
      </x:c>
      <x:c r="I3173" s="40" t="n">
        <x:f>ABS(H3173)</x:f>
        <x:v>1.6456741333007816</x:v>
      </x:c>
      <x:c r="J3173" s="40" t="n">
        <x:f>H3173^2</x:f>
        <x:v>2.7082433530152787</x:v>
      </x:c>
      <x:c r="K3173" s="40" t="n">
        <x:f>G3173-E3173</x:f>
        <x:v>0.09999999999999964</x:v>
      </x:c>
      <x:c r="L3173" s="40" t="n">
        <x:f>ABS(K3173)</x:f>
        <x:v>0.09999999999999964</x:v>
      </x:c>
      <x:c r="M3173" s="41" t="str">
        <x:v>lstm-soil-v1</x:v>
      </x:c>
    </x:row>
    <x:row r="3174">
      <x:c r="A3174" s="38" t="str">
        <x:v>7月30日现场数据</x:v>
      </x:c>
      <x:c r="B3174" s="39" t="str">
        <x:v>2026-08-03T07:35:00</x:v>
      </x:c>
      <x:c r="C3174" s="39" t="str">
        <x:v>2026-08-03T08:05:00</x:v>
      </x:c>
      <x:c r="D3174" s="47" t="n">
        <x:v>30</x:v>
      </x:c>
      <x:c r="E3174" s="40" t="n">
        <x:v>14.5</x:v>
      </x:c>
      <x:c r="F3174" s="40" t="n">
        <x:v>13.228939056396484</x:v>
      </x:c>
      <x:c r="G3174" s="40" t="n">
        <x:v>14.5</x:v>
      </x:c>
      <x:c r="H3174" s="40" t="n">
        <x:f>F3174-E3174</x:f>
        <x:v>-1.2710609436035156</x:v>
      </x:c>
      <x:c r="I3174" s="40" t="n">
        <x:f>ABS(H3174)</x:f>
        <x:v>1.2710609436035156</x:v>
      </x:c>
      <x:c r="J3174" s="40" t="n">
        <x:f>H3174^2</x:f>
        <x:v>1.6155959223542595</x:v>
      </x:c>
      <x:c r="K3174" s="40" t="n">
        <x:f>G3174-E3174</x:f>
        <x:v>0</x:v>
      </x:c>
      <x:c r="L3174" s="40" t="n">
        <x:f>ABS(K3174)</x:f>
        <x:v>0</x:v>
      </x:c>
      <x:c r="M3174" s="41" t="str">
        <x:v>lstm-soil-v1</x:v>
      </x:c>
    </x:row>
    <x:row r="3175">
      <x:c r="A3175" s="38" t="str">
        <x:v>7月30日现场数据</x:v>
      </x:c>
      <x:c r="B3175" s="39" t="str">
        <x:v>2026-08-03T07:35:00</x:v>
      </x:c>
      <x:c r="C3175" s="39" t="str">
        <x:v>2026-08-03T08:35:00</x:v>
      </x:c>
      <x:c r="D3175" s="47" t="n">
        <x:v>60</x:v>
      </x:c>
      <x:c r="E3175" s="40" t="n">
        <x:v>14.5</x:v>
      </x:c>
      <x:c r="F3175" s="40" t="n">
        <x:v>14.817882537841797</x:v>
      </x:c>
      <x:c r="G3175" s="40" t="n">
        <x:v>14.5</x:v>
      </x:c>
      <x:c r="H3175" s="40" t="n">
        <x:f>F3175-E3175</x:f>
        <x:v>0.3178825378417969</x:v>
      </x:c>
      <x:c r="I3175" s="40" t="n">
        <x:f>ABS(H3175)</x:f>
        <x:v>0.3178825378417969</x:v>
      </x:c>
      <x:c r="J3175" s="40" t="n">
        <x:f>H3175^2</x:f>
        <x:v>0.10104930786474142</x:v>
      </x:c>
      <x:c r="K3175" s="40" t="n">
        <x:f>G3175-E3175</x:f>
        <x:v>0</x:v>
      </x:c>
      <x:c r="L3175" s="40" t="n">
        <x:f>ABS(K3175)</x:f>
        <x:v>0</x:v>
      </x:c>
      <x:c r="M3175" s="41" t="str">
        <x:v>lstm-soil-v1</x:v>
      </x:c>
    </x:row>
    <x:row r="3176">
      <x:c r="A3176" s="38" t="str">
        <x:v>7月30日现场数据</x:v>
      </x:c>
      <x:c r="B3176" s="39" t="str">
        <x:v>2026-08-03T07:40:00</x:v>
      </x:c>
      <x:c r="C3176" s="39" t="str">
        <x:v>2026-08-03T07:45:00</x:v>
      </x:c>
      <x:c r="D3176" s="47" t="n">
        <x:v>5</x:v>
      </x:c>
      <x:c r="E3176" s="40" t="n">
        <x:v>14.5</x:v>
      </x:c>
      <x:c r="F3176" s="40" t="n">
        <x:v>12.687126159667969</x:v>
      </x:c>
      <x:c r="G3176" s="40" t="n">
        <x:v>14.5</x:v>
      </x:c>
      <x:c r="H3176" s="40" t="n">
        <x:f>F3176-E3176</x:f>
        <x:v>-1.8128738403320312</x:v>
      </x:c>
      <x:c r="I3176" s="40" t="n">
        <x:f>ABS(H3176)</x:f>
        <x:v>1.8128738403320312</x:v>
      </x:c>
      <x:c r="J3176" s="40" t="n">
        <x:f>H3176^2</x:f>
        <x:v>3.286511560960207</x:v>
      </x:c>
      <x:c r="K3176" s="40" t="n">
        <x:f>G3176-E3176</x:f>
        <x:v>0</x:v>
      </x:c>
      <x:c r="L3176" s="40" t="n">
        <x:f>ABS(K3176)</x:f>
        <x:v>0</x:v>
      </x:c>
      <x:c r="M3176" s="41" t="str">
        <x:v>lstm-soil-v1</x:v>
      </x:c>
    </x:row>
    <x:row r="3177">
      <x:c r="A3177" s="38" t="str">
        <x:v>7月30日现场数据</x:v>
      </x:c>
      <x:c r="B3177" s="39" t="str">
        <x:v>2026-08-03T07:40:00</x:v>
      </x:c>
      <x:c r="C3177" s="39" t="str">
        <x:v>2026-08-03T07:55:00</x:v>
      </x:c>
      <x:c r="D3177" s="47" t="n">
        <x:v>15</x:v>
      </x:c>
      <x:c r="E3177" s="40" t="n">
        <x:v>14.5</x:v>
      </x:c>
      <x:c r="F3177" s="40" t="n">
        <x:v>12.754695892333984</x:v>
      </x:c>
      <x:c r="G3177" s="40" t="n">
        <x:v>14.5</x:v>
      </x:c>
      <x:c r="H3177" s="40" t="n">
        <x:f>F3177-E3177</x:f>
        <x:v>-1.7453041076660156</x:v>
      </x:c>
      <x:c r="I3177" s="40" t="n">
        <x:f>ABS(H3177)</x:f>
        <x:v>1.7453041076660156</x:v>
      </x:c>
      <x:c r="J3177" s="40" t="n">
        <x:f>H3177^2</x:f>
        <x:v>3.046086428235867</x:v>
      </x:c>
      <x:c r="K3177" s="40" t="n">
        <x:f>G3177-E3177</x:f>
        <x:v>0</x:v>
      </x:c>
      <x:c r="L3177" s="40" t="n">
        <x:f>ABS(K3177)</x:f>
        <x:v>0</x:v>
      </x:c>
      <x:c r="M3177" s="41" t="str">
        <x:v>lstm-soil-v1</x:v>
      </x:c>
    </x:row>
    <x:row r="3178">
      <x:c r="A3178" s="38" t="str">
        <x:v>7月30日现场数据</x:v>
      </x:c>
      <x:c r="B3178" s="39" t="str">
        <x:v>2026-08-03T07:40:00</x:v>
      </x:c>
      <x:c r="C3178" s="39" t="str">
        <x:v>2026-08-03T08:10:00</x:v>
      </x:c>
      <x:c r="D3178" s="47" t="n">
        <x:v>30</x:v>
      </x:c>
      <x:c r="E3178" s="40" t="n">
        <x:v>14.4</x:v>
      </x:c>
      <x:c r="F3178" s="40" t="n">
        <x:v>13.229301452636719</x:v>
      </x:c>
      <x:c r="G3178" s="40" t="n">
        <x:v>14.5</x:v>
      </x:c>
      <x:c r="H3178" s="40" t="n">
        <x:f>F3178-E3178</x:f>
        <x:v>-1.1706985473632816</x:v>
      </x:c>
      <x:c r="I3178" s="40" t="n">
        <x:f>ABS(H3178)</x:f>
        <x:v>1.1706985473632816</x:v>
      </x:c>
      <x:c r="J3178" s="40" t="n">
        <x:f>H3178^2</x:f>
        <x:v>1.3705350887984977</x:v>
      </x:c>
      <x:c r="K3178" s="40" t="n">
        <x:f>G3178-E3178</x:f>
        <x:v>0.09999999999999964</x:v>
      </x:c>
      <x:c r="L3178" s="40" t="n">
        <x:f>ABS(K3178)</x:f>
        <x:v>0.09999999999999964</x:v>
      </x:c>
      <x:c r="M3178" s="41" t="str">
        <x:v>lstm-soil-v1</x:v>
      </x:c>
    </x:row>
    <x:row r="3179">
      <x:c r="A3179" s="38" t="str">
        <x:v>7月30日现场数据</x:v>
      </x:c>
      <x:c r="B3179" s="39" t="str">
        <x:v>2026-08-03T07:40:00</x:v>
      </x:c>
      <x:c r="C3179" s="39" t="str">
        <x:v>2026-08-03T08:40:00</x:v>
      </x:c>
      <x:c r="D3179" s="47" t="n">
        <x:v>60</x:v>
      </x:c>
      <x:c r="E3179" s="40" t="n">
        <x:v>14.6</x:v>
      </x:c>
      <x:c r="F3179" s="40" t="n">
        <x:v>14.818294525146484</x:v>
      </x:c>
      <x:c r="G3179" s="40" t="n">
        <x:v>14.5</x:v>
      </x:c>
      <x:c r="H3179" s="40" t="n">
        <x:f>F3179-E3179</x:f>
        <x:v>0.21829452514648473</x:v>
      </x:c>
      <x:c r="I3179" s="40" t="n">
        <x:f>ABS(H3179)</x:f>
        <x:v>0.21829452514648473</x:v>
      </x:c>
      <x:c r="J3179" s="40" t="n">
        <x:f>H3179^2</x:f>
        <x:v>0.047652499708929257</x:v>
      </x:c>
      <x:c r="K3179" s="40" t="n">
        <x:f>G3179-E3179</x:f>
        <x:v>-0.09999999999999964</x:v>
      </x:c>
      <x:c r="L3179" s="40" t="n">
        <x:f>ABS(K3179)</x:f>
        <x:v>0.09999999999999964</x:v>
      </x:c>
      <x:c r="M3179" s="41" t="str">
        <x:v>lstm-soil-v1</x:v>
      </x:c>
    </x:row>
    <x:row r="3180">
      <x:c r="A3180" s="38" t="str">
        <x:v>7月30日现场数据</x:v>
      </x:c>
      <x:c r="B3180" s="39" t="str">
        <x:v>2026-08-03T07:45:00</x:v>
      </x:c>
      <x:c r="C3180" s="39" t="str">
        <x:v>2026-08-03T07:50:00</x:v>
      </x:c>
      <x:c r="D3180" s="47" t="n">
        <x:v>5</x:v>
      </x:c>
      <x:c r="E3180" s="40" t="n">
        <x:v>14.4</x:v>
      </x:c>
      <x:c r="F3180" s="40" t="n">
        <x:v>12.687488555908203</x:v>
      </x:c>
      <x:c r="G3180" s="40" t="n">
        <x:v>14.5</x:v>
      </x:c>
      <x:c r="H3180" s="40" t="n">
        <x:f>F3180-E3180</x:f>
        <x:v>-1.7125114440917972</x:v>
      </x:c>
      <x:c r="I3180" s="40" t="n">
        <x:f>ABS(H3180)</x:f>
        <x:v>1.7125114440917972</x:v>
      </x:c>
      <x:c r="J3180" s="40" t="n">
        <x:f>H3180^2</x:f>
        <x:v>2.932695446145373</x:v>
      </x:c>
      <x:c r="K3180" s="40" t="n">
        <x:f>G3180-E3180</x:f>
        <x:v>0.09999999999999964</x:v>
      </x:c>
      <x:c r="L3180" s="40" t="n">
        <x:f>ABS(K3180)</x:f>
        <x:v>0.09999999999999964</x:v>
      </x:c>
      <x:c r="M3180" s="41" t="str">
        <x:v>lstm-soil-v1</x:v>
      </x:c>
    </x:row>
    <x:row r="3181">
      <x:c r="A3181" s="38" t="str">
        <x:v>7月30日现场数据</x:v>
      </x:c>
      <x:c r="B3181" s="39" t="str">
        <x:v>2026-08-03T07:45:00</x:v>
      </x:c>
      <x:c r="C3181" s="39" t="str">
        <x:v>2026-08-03T08:00:00</x:v>
      </x:c>
      <x:c r="D3181" s="47" t="n">
        <x:v>15</x:v>
      </x:c>
      <x:c r="E3181" s="40" t="n">
        <x:v>14.5</x:v>
      </x:c>
      <x:c r="F3181" s="40" t="n">
        <x:v>12.754886627197266</x:v>
      </x:c>
      <x:c r="G3181" s="40" t="n">
        <x:v>14.5</x:v>
      </x:c>
      <x:c r="H3181" s="40" t="n">
        <x:f>F3181-E3181</x:f>
        <x:v>-1.7451133728027344</x:v>
      </x:c>
      <x:c r="I3181" s="40" t="n">
        <x:f>ABS(H3181)</x:f>
        <x:v>1.7451133728027344</x:v>
      </x:c>
      <x:c r="J3181" s="40" t="n">
        <x:f>H3181^2</x:f>
        <x:v>3.0454206839349354</x:v>
      </x:c>
      <x:c r="K3181" s="40" t="n">
        <x:f>G3181-E3181</x:f>
        <x:v>0</x:v>
      </x:c>
      <x:c r="L3181" s="40" t="n">
        <x:f>ABS(K3181)</x:f>
        <x:v>0</x:v>
      </x:c>
      <x:c r="M3181" s="41" t="str">
        <x:v>lstm-soil-v1</x:v>
      </x:c>
    </x:row>
    <x:row r="3182">
      <x:c r="A3182" s="38" t="str">
        <x:v>7月30日现场数据</x:v>
      </x:c>
      <x:c r="B3182" s="39" t="str">
        <x:v>2026-08-03T07:45:00</x:v>
      </x:c>
      <x:c r="C3182" s="39" t="str">
        <x:v>2026-08-03T08:15:00</x:v>
      </x:c>
      <x:c r="D3182" s="47" t="n">
        <x:v>30</x:v>
      </x:c>
      <x:c r="E3182" s="40" t="n">
        <x:v>14.4</x:v>
      </x:c>
      <x:c r="F3182" s="40" t="n">
        <x:v>13.229732513427734</x:v>
      </x:c>
      <x:c r="G3182" s="40" t="n">
        <x:v>14.5</x:v>
      </x:c>
      <x:c r="H3182" s="40" t="n">
        <x:f>F3182-E3182</x:f>
        <x:v>-1.170267486572266</x:v>
      </x:c>
      <x:c r="I3182" s="40" t="n">
        <x:f>ABS(H3182)</x:f>
        <x:v>1.170267486572266</x:v>
      </x:c>
      <x:c r="J3182" s="40" t="n">
        <x:f>H3182^2</x:f>
        <x:v>1.3695259901281687</x:v>
      </x:c>
      <x:c r="K3182" s="40" t="n">
        <x:f>G3182-E3182</x:f>
        <x:v>0.09999999999999964</x:v>
      </x:c>
      <x:c r="L3182" s="40" t="n">
        <x:f>ABS(K3182)</x:f>
        <x:v>0.09999999999999964</x:v>
      </x:c>
      <x:c r="M3182" s="41" t="str">
        <x:v>lstm-soil-v1</x:v>
      </x:c>
    </x:row>
    <x:row r="3183">
      <x:c r="A3183" s="38" t="str">
        <x:v>7月30日现场数据</x:v>
      </x:c>
      <x:c r="B3183" s="39" t="str">
        <x:v>2026-08-03T07:45:00</x:v>
      </x:c>
      <x:c r="C3183" s="39" t="str">
        <x:v>2026-08-03T08:45:00</x:v>
      </x:c>
      <x:c r="D3183" s="47" t="n">
        <x:v>60</x:v>
      </x:c>
      <x:c r="E3183" s="40" t="n">
        <x:v>14.7</x:v>
      </x:c>
      <x:c r="F3183" s="40" t="n">
        <x:v>14.818927764892578</x:v>
      </x:c>
      <x:c r="G3183" s="40" t="n">
        <x:v>14.5</x:v>
      </x:c>
      <x:c r="H3183" s="40" t="n">
        <x:f>F3183-E3183</x:f>
        <x:v>0.11892776489257884</x:v>
      </x:c>
      <x:c r="I3183" s="40" t="n">
        <x:f>ABS(H3183)</x:f>
        <x:v>0.11892776489257884</x:v>
      </x:c>
      <x:c r="J3183" s="40" t="n">
        <x:f>H3183^2</x:f>
        <x:v>0.014143813262344507</x:v>
      </x:c>
      <x:c r="K3183" s="40" t="n">
        <x:f>G3183-E3183</x:f>
        <x:v>-0.1999999999999993</x:v>
      </x:c>
      <x:c r="L3183" s="40" t="n">
        <x:f>ABS(K3183)</x:f>
        <x:v>0.1999999999999993</x:v>
      </x:c>
      <x:c r="M3183" s="41" t="str">
        <x:v>lstm-soil-v1</x:v>
      </x:c>
    </x:row>
    <x:row r="3184">
      <x:c r="A3184" s="38" t="str">
        <x:v>7月30日现场数据</x:v>
      </x:c>
      <x:c r="B3184" s="39" t="str">
        <x:v>2026-08-03T07:50:00</x:v>
      </x:c>
      <x:c r="C3184" s="39" t="str">
        <x:v>2026-08-03T07:55:00</x:v>
      </x:c>
      <x:c r="D3184" s="47" t="n">
        <x:v>5</x:v>
      </x:c>
      <x:c r="E3184" s="40" t="n">
        <x:v>14.5</x:v>
      </x:c>
      <x:c r="F3184" s="40" t="n">
        <x:v>12.577545166015625</x:v>
      </x:c>
      <x:c r="G3184" s="40" t="n">
        <x:v>14.4</x:v>
      </x:c>
      <x:c r="H3184" s="40" t="n">
        <x:f>F3184-E3184</x:f>
        <x:v>-1.922454833984375</x:v>
      </x:c>
      <x:c r="I3184" s="40" t="n">
        <x:f>ABS(H3184)</x:f>
        <x:v>1.922454833984375</x:v>
      </x:c>
      <x:c r="J3184" s="40" t="n">
        <x:f>H3184^2</x:f>
        <x:v>3.695832588709891</x:v>
      </x:c>
      <x:c r="K3184" s="40" t="n">
        <x:f>G3184-E3184</x:f>
        <x:v>-0.09999999999999964</x:v>
      </x:c>
      <x:c r="L3184" s="40" t="n">
        <x:f>ABS(K3184)</x:f>
        <x:v>0.09999999999999964</x:v>
      </x:c>
      <x:c r="M3184" s="41" t="str">
        <x:v>lstm-soil-v1</x:v>
      </x:c>
    </x:row>
    <x:row r="3185">
      <x:c r="A3185" s="38" t="str">
        <x:v>7月30日现场数据</x:v>
      </x:c>
      <x:c r="B3185" s="39" t="str">
        <x:v>2026-08-03T07:50:00</x:v>
      </x:c>
      <x:c r="C3185" s="39" t="str">
        <x:v>2026-08-03T08:05:00</x:v>
      </x:c>
      <x:c r="D3185" s="47" t="n">
        <x:v>15</x:v>
      </x:c>
      <x:c r="E3185" s="40" t="n">
        <x:v>14.5</x:v>
      </x:c>
      <x:c r="F3185" s="40" t="n">
        <x:v>12.644691467285156</x:v>
      </x:c>
      <x:c r="G3185" s="40" t="n">
        <x:v>14.4</x:v>
      </x:c>
      <x:c r="H3185" s="40" t="n">
        <x:f>F3185-E3185</x:f>
        <x:v>-1.8553085327148438</x:v>
      </x:c>
      <x:c r="I3185" s="40" t="n">
        <x:f>ABS(H3185)</x:f>
        <x:v>1.8553085327148438</x:v>
      </x:c>
      <x:c r="J3185" s="40" t="n">
        <x:f>H3185^2</x:f>
        <x:v>3.4421697515645064</x:v>
      </x:c>
      <x:c r="K3185" s="40" t="n">
        <x:f>G3185-E3185</x:f>
        <x:v>-0.09999999999999964</x:v>
      </x:c>
      <x:c r="L3185" s="40" t="n">
        <x:f>ABS(K3185)</x:f>
        <x:v>0.09999999999999964</x:v>
      </x:c>
      <x:c r="M3185" s="41" t="str">
        <x:v>lstm-soil-v1</x:v>
      </x:c>
    </x:row>
    <x:row r="3186">
      <x:c r="A3186" s="38" t="str">
        <x:v>7月30日现场数据</x:v>
      </x:c>
      <x:c r="B3186" s="39" t="str">
        <x:v>2026-08-03T07:50:00</x:v>
      </x:c>
      <x:c r="C3186" s="39" t="str">
        <x:v>2026-08-03T08:20:00</x:v>
      </x:c>
      <x:c r="D3186" s="47" t="n">
        <x:v>30</x:v>
      </x:c>
      <x:c r="E3186" s="40" t="n">
        <x:v>14.4</x:v>
      </x:c>
      <x:c r="F3186" s="40" t="n">
        <x:v>13.120052337646484</x:v>
      </x:c>
      <x:c r="G3186" s="40" t="n">
        <x:v>14.4</x:v>
      </x:c>
      <x:c r="H3186" s="40" t="n">
        <x:f>F3186-E3186</x:f>
        <x:v>-1.279947662353516</x:v>
      </x:c>
      <x:c r="I3186" s="40" t="n">
        <x:f>ABS(H3186)</x:f>
        <x:v>1.279947662353516</x:v>
      </x:c>
      <x:c r="J3186" s="40" t="n">
        <x:f>H3186^2</x:f>
        <x:v>1.6382660183642301</x:v>
      </x:c>
      <x:c r="K3186" s="40" t="n">
        <x:f>G3186-E3186</x:f>
        <x:v>0</x:v>
      </x:c>
      <x:c r="L3186" s="40" t="n">
        <x:f>ABS(K3186)</x:f>
        <x:v>0</x:v>
      </x:c>
      <x:c r="M3186" s="41" t="str">
        <x:v>lstm-soil-v1</x:v>
      </x:c>
    </x:row>
    <x:row r="3187">
      <x:c r="A3187" s="38" t="str">
        <x:v>7月30日现场数据</x:v>
      </x:c>
      <x:c r="B3187" s="39" t="str">
        <x:v>2026-08-03T07:50:00</x:v>
      </x:c>
      <x:c r="C3187" s="39" t="str">
        <x:v>2026-08-03T08:50:00</x:v>
      </x:c>
      <x:c r="D3187" s="47" t="n">
        <x:v>60</x:v>
      </x:c>
      <x:c r="E3187" s="40" t="n">
        <x:v>14.7</x:v>
      </x:c>
      <x:c r="F3187" s="40" t="n">
        <x:v>14.709514617919922</x:v>
      </x:c>
      <x:c r="G3187" s="40" t="n">
        <x:v>14.4</x:v>
      </x:c>
      <x:c r="H3187" s="40" t="n">
        <x:f>F3187-E3187</x:f>
        <x:v>0.009514617919922586</x:v>
      </x:c>
      <x:c r="I3187" s="40" t="n">
        <x:f>ABS(H3187)</x:f>
        <x:v>0.009514617919922586</x:v>
      </x:c>
      <x:c r="J3187" s="40" t="n">
        <x:f>H3187^2</x:f>
        <x:v>0.00009052795416211199</x:v>
      </x:c>
      <x:c r="K3187" s="40" t="n">
        <x:f>G3187-E3187</x:f>
        <x:v>-0.29999999999999893</x:v>
      </x:c>
      <x:c r="L3187" s="40" t="n">
        <x:f>ABS(K3187)</x:f>
        <x:v>0.29999999999999893</x:v>
      </x:c>
      <x:c r="M3187" s="41" t="str">
        <x:v>lstm-soil-v1</x:v>
      </x:c>
    </x:row>
    <x:row r="3188">
      <x:c r="A3188" s="38" t="str">
        <x:v>7月30日现场数据</x:v>
      </x:c>
      <x:c r="B3188" s="39" t="str">
        <x:v>2026-08-03T07:55:00</x:v>
      </x:c>
      <x:c r="C3188" s="39" t="str">
        <x:v>2026-08-03T08:00:00</x:v>
      </x:c>
      <x:c r="D3188" s="47" t="n">
        <x:v>5</x:v>
      </x:c>
      <x:c r="E3188" s="40" t="n">
        <x:v>14.5</x:v>
      </x:c>
      <x:c r="F3188" s="40" t="n">
        <x:v>12.687816619873047</x:v>
      </x:c>
      <x:c r="G3188" s="40" t="n">
        <x:v>14.5</x:v>
      </x:c>
      <x:c r="H3188" s="40" t="n">
        <x:f>F3188-E3188</x:f>
        <x:v>-1.8121833801269531</x:v>
      </x:c>
      <x:c r="I3188" s="40" t="n">
        <x:f>ABS(H3188)</x:f>
        <x:v>1.8121833801269531</x:v>
      </x:c>
      <x:c r="J3188" s="40" t="n">
        <x:f>H3188^2</x:f>
        <x:v>3.284008603208349</x:v>
      </x:c>
      <x:c r="K3188" s="40" t="n">
        <x:f>G3188-E3188</x:f>
        <x:v>0</x:v>
      </x:c>
      <x:c r="L3188" s="40" t="n">
        <x:f>ABS(K3188)</x:f>
        <x:v>0</x:v>
      </x:c>
      <x:c r="M3188" s="41" t="str">
        <x:v>lstm-soil-v1</x:v>
      </x:c>
    </x:row>
    <x:row r="3189">
      <x:c r="A3189" s="38" t="str">
        <x:v>7月30日现场数据</x:v>
      </x:c>
      <x:c r="B3189" s="39" t="str">
        <x:v>2026-08-03T07:55:00</x:v>
      </x:c>
      <x:c r="C3189" s="39" t="str">
        <x:v>2026-08-03T08:10:00</x:v>
      </x:c>
      <x:c r="D3189" s="47" t="n">
        <x:v>15</x:v>
      </x:c>
      <x:c r="E3189" s="40" t="n">
        <x:v>14.4</x:v>
      </x:c>
      <x:c r="F3189" s="40" t="n">
        <x:v>12.754920959472656</x:v>
      </x:c>
      <x:c r="G3189" s="40" t="n">
        <x:v>14.5</x:v>
      </x:c>
      <x:c r="H3189" s="40" t="n">
        <x:f>F3189-E3189</x:f>
        <x:v>-1.645079040527344</x:v>
      </x:c>
      <x:c r="I3189" s="40" t="n">
        <x:f>ABS(H3189)</x:f>
        <x:v>1.645079040527344</x:v>
      </x:c>
      <x:c r="J3189" s="40" t="n">
        <x:f>H3189^2</x:f>
        <x:v>2.706285049582367</x:v>
      </x:c>
      <x:c r="K3189" s="40" t="n">
        <x:f>G3189-E3189</x:f>
        <x:v>0.09999999999999964</x:v>
      </x:c>
      <x:c r="L3189" s="40" t="n">
        <x:f>ABS(K3189)</x:f>
        <x:v>0.09999999999999964</x:v>
      </x:c>
      <x:c r="M3189" s="41" t="str">
        <x:v>lstm-soil-v1</x:v>
      </x:c>
    </x:row>
    <x:row r="3190">
      <x:c r="A3190" s="38" t="str">
        <x:v>7月30日现场数据</x:v>
      </x:c>
      <x:c r="B3190" s="39" t="str">
        <x:v>2026-08-03T07:55:00</x:v>
      </x:c>
      <x:c r="C3190" s="39" t="str">
        <x:v>2026-08-03T08:25:00</x:v>
      </x:c>
      <x:c r="D3190" s="47" t="n">
        <x:v>30</x:v>
      </x:c>
      <x:c r="E3190" s="40" t="n">
        <x:v>14.5</x:v>
      </x:c>
      <x:c r="F3190" s="40" t="n">
        <x:v>13.231048583984375</x:v>
      </x:c>
      <x:c r="G3190" s="40" t="n">
        <x:v>14.5</x:v>
      </x:c>
      <x:c r="H3190" s="40" t="n">
        <x:f>F3190-E3190</x:f>
        <x:v>-1.268951416015625</x:v>
      </x:c>
      <x:c r="I3190" s="40" t="n">
        <x:f>ABS(H3190)</x:f>
        <x:v>1.268951416015625</x:v>
      </x:c>
      <x:c r="J3190" s="40" t="n">
        <x:f>H3190^2</x:f>
        <x:v>1.6102376962080598</x:v>
      </x:c>
      <x:c r="K3190" s="40" t="n">
        <x:f>G3190-E3190</x:f>
        <x:v>0</x:v>
      </x:c>
      <x:c r="L3190" s="40" t="n">
        <x:f>ABS(K3190)</x:f>
        <x:v>0</x:v>
      </x:c>
      <x:c r="M3190" s="41" t="str">
        <x:v>lstm-soil-v1</x:v>
      </x:c>
    </x:row>
    <x:row r="3191">
      <x:c r="A3191" s="38" t="str">
        <x:v>7月30日现场数据</x:v>
      </x:c>
      <x:c r="B3191" s="39" t="str">
        <x:v>2026-08-03T07:55:00</x:v>
      </x:c>
      <x:c r="C3191" s="39" t="str">
        <x:v>2026-08-03T08:55:00</x:v>
      </x:c>
      <x:c r="D3191" s="47" t="n">
        <x:v>60</x:v>
      </x:c>
      <x:c r="E3191" s="40" t="n">
        <x:v>14.7</x:v>
      </x:c>
      <x:c r="F3191" s="40" t="n">
        <x:v>14.821403503417969</x:v>
      </x:c>
      <x:c r="G3191" s="40" t="n">
        <x:v>14.5</x:v>
      </x:c>
      <x:c r="H3191" s="40" t="n">
        <x:f>F3191-E3191</x:f>
        <x:v>0.12140350341796946</x:v>
      </x:c>
      <x:c r="I3191" s="40" t="n">
        <x:f>ABS(H3191)</x:f>
        <x:v>0.12140350341796946</x:v>
      </x:c>
      <x:c r="J3191" s="40" t="n">
        <x:f>H3191^2</x:f>
        <x:v>0.014738810642156923</x:v>
      </x:c>
      <x:c r="K3191" s="40" t="n">
        <x:f>G3191-E3191</x:f>
        <x:v>-0.1999999999999993</x:v>
      </x:c>
      <x:c r="L3191" s="40" t="n">
        <x:f>ABS(K3191)</x:f>
        <x:v>0.1999999999999993</x:v>
      </x:c>
      <x:c r="M3191" s="41" t="str">
        <x:v>lstm-soil-v1</x:v>
      </x:c>
    </x:row>
    <x:row r="3192">
      <x:c r="A3192" s="38" t="str">
        <x:v>7月30日现场数据</x:v>
      </x:c>
      <x:c r="B3192" s="39" t="str">
        <x:v>2026-08-03T08:00:00</x:v>
      </x:c>
      <x:c r="C3192" s="39" t="str">
        <x:v>2026-08-03T08:05:00</x:v>
      </x:c>
      <x:c r="D3192" s="47" t="n">
        <x:v>5</x:v>
      </x:c>
      <x:c r="E3192" s="40" t="n">
        <x:v>14.5</x:v>
      </x:c>
      <x:c r="F3192" s="40" t="n">
        <x:v>12.689697265625</x:v>
      </x:c>
      <x:c r="G3192" s="40" t="n">
        <x:v>14.5</x:v>
      </x:c>
      <x:c r="H3192" s="40" t="n">
        <x:f>F3192-E3192</x:f>
        <x:v>-1.810302734375</x:v>
      </x:c>
      <x:c r="I3192" s="40" t="n">
        <x:f>ABS(H3192)</x:f>
        <x:v>1.810302734375</x:v>
      </x:c>
      <x:c r="J3192" s="40" t="n">
        <x:f>H3192^2</x:f>
        <x:v>3.277195990085602</x:v>
      </x:c>
      <x:c r="K3192" s="40" t="n">
        <x:f>G3192-E3192</x:f>
        <x:v>0</x:v>
      </x:c>
      <x:c r="L3192" s="40" t="n">
        <x:f>ABS(K3192)</x:f>
        <x:v>0</x:v>
      </x:c>
      <x:c r="M3192" s="41" t="str">
        <x:v>lstm-soil-v1</x:v>
      </x:c>
    </x:row>
    <x:row r="3193">
      <x:c r="A3193" s="38" t="str">
        <x:v>7月30日现场数据</x:v>
      </x:c>
      <x:c r="B3193" s="39" t="str">
        <x:v>2026-08-03T08:00:00</x:v>
      </x:c>
      <x:c r="C3193" s="39" t="str">
        <x:v>2026-08-03T08:15:00</x:v>
      </x:c>
      <x:c r="D3193" s="47" t="n">
        <x:v>15</x:v>
      </x:c>
      <x:c r="E3193" s="40" t="n">
        <x:v>14.4</x:v>
      </x:c>
      <x:c r="F3193" s="40" t="n">
        <x:v>12.755908966064453</x:v>
      </x:c>
      <x:c r="G3193" s="40" t="n">
        <x:v>14.5</x:v>
      </x:c>
      <x:c r="H3193" s="40" t="n">
        <x:f>F3193-E3193</x:f>
        <x:v>-1.6440910339355472</x:v>
      </x:c>
      <x:c r="I3193" s="40" t="n">
        <x:f>ABS(H3193)</x:f>
        <x:v>1.6440910339355472</x:v>
      </x:c>
      <x:c r="J3193" s="40" t="n">
        <x:f>H3193^2</x:f>
        <x:v>2.7030353278672568</x:v>
      </x:c>
      <x:c r="K3193" s="40" t="n">
        <x:f>G3193-E3193</x:f>
        <x:v>0.09999999999999964</x:v>
      </x:c>
      <x:c r="L3193" s="40" t="n">
        <x:f>ABS(K3193)</x:f>
        <x:v>0.09999999999999964</x:v>
      </x:c>
      <x:c r="M3193" s="41" t="str">
        <x:v>lstm-soil-v1</x:v>
      </x:c>
    </x:row>
    <x:row r="3194">
      <x:c r="A3194" s="38" t="str">
        <x:v>7月30日现场数据</x:v>
      </x:c>
      <x:c r="B3194" s="39" t="str">
        <x:v>2026-08-03T08:00:00</x:v>
      </x:c>
      <x:c r="C3194" s="39" t="str">
        <x:v>2026-08-03T08:30:00</x:v>
      </x:c>
      <x:c r="D3194" s="47" t="n">
        <x:v>30</x:v>
      </x:c>
      <x:c r="E3194" s="40" t="n">
        <x:v>14.4</x:v>
      </x:c>
      <x:c r="F3194" s="40" t="n">
        <x:v>13.233253479003906</x:v>
      </x:c>
      <x:c r="G3194" s="40" t="n">
        <x:v>14.5</x:v>
      </x:c>
      <x:c r="H3194" s="40" t="n">
        <x:f>F3194-E3194</x:f>
        <x:v>-1.166746520996094</x:v>
      </x:c>
      <x:c r="I3194" s="40" t="n">
        <x:f>ABS(H3194)</x:f>
        <x:v>1.166746520996094</x:v>
      </x:c>
      <x:c r="J3194" s="40" t="n">
        <x:f>H3194^2</x:f>
        <x:v>1.3612974442564891</x:v>
      </x:c>
      <x:c r="K3194" s="40" t="n">
        <x:f>G3194-E3194</x:f>
        <x:v>0.09999999999999964</x:v>
      </x:c>
      <x:c r="L3194" s="40" t="n">
        <x:f>ABS(K3194)</x:f>
        <x:v>0.09999999999999964</x:v>
      </x:c>
      <x:c r="M3194" s="41" t="str">
        <x:v>lstm-soil-v1</x:v>
      </x:c>
    </x:row>
    <x:row r="3195">
      <x:c r="A3195" s="38" t="str">
        <x:v>7月30日现场数据</x:v>
      </x:c>
      <x:c r="B3195" s="39" t="str">
        <x:v>2026-08-03T08:00:00</x:v>
      </x:c>
      <x:c r="C3195" s="39" t="str">
        <x:v>2026-08-03T09:00:00</x:v>
      </x:c>
      <x:c r="D3195" s="47" t="n">
        <x:v>60</x:v>
      </x:c>
      <x:c r="E3195" s="40" t="n">
        <x:v>14.7</x:v>
      </x:c>
      <x:c r="F3195" s="40" t="n">
        <x:v>14.827919006347656</x:v>
      </x:c>
      <x:c r="G3195" s="40" t="n">
        <x:v>14.5</x:v>
      </x:c>
      <x:c r="H3195" s="40" t="n">
        <x:f>F3195-E3195</x:f>
        <x:v>0.12791900634765696</x:v>
      </x:c>
      <x:c r="I3195" s="40" t="n">
        <x:f>ABS(H3195)</x:f>
        <x:v>0.12791900634765696</x:v>
      </x:c>
      <x:c r="J3195" s="40" t="n">
        <x:f>H3195^2</x:f>
        <x:v>0.0163632721849719</x:v>
      </x:c>
      <x:c r="K3195" s="40" t="n">
        <x:f>G3195-E3195</x:f>
        <x:v>-0.1999999999999993</x:v>
      </x:c>
      <x:c r="L3195" s="40" t="n">
        <x:f>ABS(K3195)</x:f>
        <x:v>0.1999999999999993</x:v>
      </x:c>
      <x:c r="M3195" s="41" t="str">
        <x:v>lstm-soil-v1</x:v>
      </x:c>
    </x:row>
    <x:row r="3196">
      <x:c r="A3196" s="38" t="str">
        <x:v>7月30日现场数据</x:v>
      </x:c>
      <x:c r="B3196" s="39" t="str">
        <x:v>2026-08-03T08:05:00</x:v>
      </x:c>
      <x:c r="C3196" s="39" t="str">
        <x:v>2026-08-03T08:10:00</x:v>
      </x:c>
      <x:c r="D3196" s="47" t="n">
        <x:v>5</x:v>
      </x:c>
      <x:c r="E3196" s="40" t="n">
        <x:v>14.4</x:v>
      </x:c>
      <x:c r="F3196" s="40" t="n">
        <x:v>12.691448211669922</x:v>
      </x:c>
      <x:c r="G3196" s="40" t="n">
        <x:v>14.5</x:v>
      </x:c>
      <x:c r="H3196" s="40" t="n">
        <x:f>F3196-E3196</x:f>
        <x:v>-1.7085517883300785</x:v>
      </x:c>
      <x:c r="I3196" s="40" t="n">
        <x:f>ABS(H3196)</x:f>
        <x:v>1.7085517883300785</x:v>
      </x:c>
      <x:c r="J3196" s="40" t="n">
        <x:f>H3196^2</x:f>
        <x:v>2.9191492134059094</x:v>
      </x:c>
      <x:c r="K3196" s="40" t="n">
        <x:f>G3196-E3196</x:f>
        <x:v>0.09999999999999964</x:v>
      </x:c>
      <x:c r="L3196" s="40" t="n">
        <x:f>ABS(K3196)</x:f>
        <x:v>0.09999999999999964</x:v>
      </x:c>
      <x:c r="M3196" s="41" t="str">
        <x:v>lstm-soil-v1</x:v>
      </x:c>
    </x:row>
    <x:row r="3197">
      <x:c r="A3197" s="38" t="str">
        <x:v>7月30日现场数据</x:v>
      </x:c>
      <x:c r="B3197" s="39" t="str">
        <x:v>2026-08-03T08:05:00</x:v>
      </x:c>
      <x:c r="C3197" s="39" t="str">
        <x:v>2026-08-03T08:20:00</x:v>
      </x:c>
      <x:c r="D3197" s="47" t="n">
        <x:v>15</x:v>
      </x:c>
      <x:c r="E3197" s="40" t="n">
        <x:v>14.4</x:v>
      </x:c>
      <x:c r="F3197" s="40" t="n">
        <x:v>12.75726318359375</x:v>
      </x:c>
      <x:c r="G3197" s="40" t="n">
        <x:v>14.5</x:v>
      </x:c>
      <x:c r="H3197" s="40" t="n">
        <x:f>F3197-E3197</x:f>
        <x:v>-1.6427368164062504</x:v>
      </x:c>
      <x:c r="I3197" s="40" t="n">
        <x:f>ABS(H3197)</x:f>
        <x:v>1.6427368164062504</x:v>
      </x:c>
      <x:c r="J3197" s="40" t="n">
        <x:f>H3197^2</x:f>
        <x:v>2.6985842479765427</x:v>
      </x:c>
      <x:c r="K3197" s="40" t="n">
        <x:f>G3197-E3197</x:f>
        <x:v>0.09999999999999964</x:v>
      </x:c>
      <x:c r="L3197" s="40" t="n">
        <x:f>ABS(K3197)</x:f>
        <x:v>0.09999999999999964</x:v>
      </x:c>
      <x:c r="M3197" s="41" t="str">
        <x:v>lstm-soil-v1</x:v>
      </x:c>
    </x:row>
    <x:row r="3198">
      <x:c r="A3198" s="38" t="str">
        <x:v>7月30日现场数据</x:v>
      </x:c>
      <x:c r="B3198" s="39" t="str">
        <x:v>2026-08-03T08:05:00</x:v>
      </x:c>
      <x:c r="C3198" s="39" t="str">
        <x:v>2026-08-03T08:35:00</x:v>
      </x:c>
      <x:c r="D3198" s="47" t="n">
        <x:v>30</x:v>
      </x:c>
      <x:c r="E3198" s="40" t="n">
        <x:v>14.5</x:v>
      </x:c>
      <x:c r="F3198" s="40" t="n">
        <x:v>13.235084533691406</x:v>
      </x:c>
      <x:c r="G3198" s="40" t="n">
        <x:v>14.5</x:v>
      </x:c>
      <x:c r="H3198" s="40" t="n">
        <x:f>F3198-E3198</x:f>
        <x:v>-1.2649154663085938</x:v>
      </x:c>
      <x:c r="I3198" s="40" t="n">
        <x:f>ABS(H3198)</x:f>
        <x:v>1.2649154663085938</x:v>
      </x:c>
      <x:c r="J3198" s="40" t="n">
        <x:f>H3198^2</x:f>
        <x:v>1.6000111369066872</x:v>
      </x:c>
      <x:c r="K3198" s="40" t="n">
        <x:f>G3198-E3198</x:f>
        <x:v>0</x:v>
      </x:c>
      <x:c r="L3198" s="40" t="n">
        <x:f>ABS(K3198)</x:f>
        <x:v>0</x:v>
      </x:c>
      <x:c r="M3198" s="41" t="str">
        <x:v>lstm-soil-v1</x:v>
      </x:c>
    </x:row>
    <x:row r="3199">
      <x:c r="A3199" s="38" t="str">
        <x:v>7月30日现场数据</x:v>
      </x:c>
      <x:c r="B3199" s="39" t="str">
        <x:v>2026-08-03T08:05:00</x:v>
      </x:c>
      <x:c r="C3199" s="39" t="str">
        <x:v>2026-08-03T09:05:00</x:v>
      </x:c>
      <x:c r="D3199" s="47" t="n">
        <x:v>60</x:v>
      </x:c>
      <x:c r="E3199" s="40" t="n">
        <x:v>14.7</x:v>
      </x:c>
      <x:c r="F3199" s="40" t="n">
        <x:v>14.833946228027344</x:v>
      </x:c>
      <x:c r="G3199" s="40" t="n">
        <x:v>14.5</x:v>
      </x:c>
      <x:c r="H3199" s="40" t="n">
        <x:f>F3199-E3199</x:f>
        <x:v>0.13394622802734446</x:v>
      </x:c>
      <x:c r="I3199" s="40" t="n">
        <x:f>ABS(H3199)</x:f>
        <x:v>0.13394622802734446</x:v>
      </x:c>
      <x:c r="J3199" s="40" t="n">
        <x:f>H3199^2</x:f>
        <x:v>0.01794159200275336</x:v>
      </x:c>
      <x:c r="K3199" s="40" t="n">
        <x:f>G3199-E3199</x:f>
        <x:v>-0.1999999999999993</x:v>
      </x:c>
      <x:c r="L3199" s="40" t="n">
        <x:f>ABS(K3199)</x:f>
        <x:v>0.1999999999999993</x:v>
      </x:c>
      <x:c r="M3199" s="41" t="str">
        <x:v>lstm-soil-v1</x:v>
      </x:c>
    </x:row>
    <x:row r="3200">
      <x:c r="A3200" s="38" t="str">
        <x:v>7月30日现场数据</x:v>
      </x:c>
      <x:c r="B3200" s="39" t="str">
        <x:v>2026-08-03T08:10:00</x:v>
      </x:c>
      <x:c r="C3200" s="39" t="str">
        <x:v>2026-08-03T08:15:00</x:v>
      </x:c>
      <x:c r="D3200" s="47" t="n">
        <x:v>5</x:v>
      </x:c>
      <x:c r="E3200" s="40" t="n">
        <x:v>14.4</x:v>
      </x:c>
      <x:c r="F3200" s="40" t="n">
        <x:v>12.583057403564453</x:v>
      </x:c>
      <x:c r="G3200" s="40" t="n">
        <x:v>14.4</x:v>
      </x:c>
      <x:c r="H3200" s="40" t="n">
        <x:f>F3200-E3200</x:f>
        <x:v>-1.8169425964355472</x:v>
      </x:c>
      <x:c r="I3200" s="40" t="n">
        <x:f>ABS(H3200)</x:f>
        <x:v>1.8169425964355472</x:v>
      </x:c>
      <x:c r="J3200" s="40" t="n">
        <x:f>H3200^2</x:f>
        <x:v>3.3012803987419477</x:v>
      </x:c>
      <x:c r="K3200" s="40" t="n">
        <x:f>G3200-E3200</x:f>
        <x:v>0</x:v>
      </x:c>
      <x:c r="L3200" s="40" t="n">
        <x:f>ABS(K3200)</x:f>
        <x:v>0</x:v>
      </x:c>
      <x:c r="M3200" s="41" t="str">
        <x:v>lstm-soil-v1</x:v>
      </x:c>
    </x:row>
    <x:row r="3201">
      <x:c r="A3201" s="38" t="str">
        <x:v>7月30日现场数据</x:v>
      </x:c>
      <x:c r="B3201" s="39" t="str">
        <x:v>2026-08-03T08:10:00</x:v>
      </x:c>
      <x:c r="C3201" s="39" t="str">
        <x:v>2026-08-03T08:25:00</x:v>
      </x:c>
      <x:c r="D3201" s="47" t="n">
        <x:v>15</x:v>
      </x:c>
      <x:c r="E3201" s="40" t="n">
        <x:v>14.5</x:v>
      </x:c>
      <x:c r="F3201" s="40" t="n">
        <x:v>12.648571014404297</x:v>
      </x:c>
      <x:c r="G3201" s="40" t="n">
        <x:v>14.4</x:v>
      </x:c>
      <x:c r="H3201" s="40" t="n">
        <x:f>F3201-E3201</x:f>
        <x:v>-1.8514289855957031</x:v>
      </x:c>
      <x:c r="I3201" s="40" t="n">
        <x:f>ABS(H3201)</x:f>
        <x:v>1.8514289855957031</x:v>
      </x:c>
      <x:c r="J3201" s="40" t="n">
        <x:f>H3201^2</x:f>
        <x:v>3.4277892887039343</x:v>
      </x:c>
      <x:c r="K3201" s="40" t="n">
        <x:f>G3201-E3201</x:f>
        <x:v>-0.09999999999999964</x:v>
      </x:c>
      <x:c r="L3201" s="40" t="n">
        <x:f>ABS(K3201)</x:f>
        <x:v>0.09999999999999964</x:v>
      </x:c>
      <x:c r="M3201" s="41" t="str">
        <x:v>lstm-soil-v1</x:v>
      </x:c>
    </x:row>
    <x:row r="3202">
      <x:c r="A3202" s="38" t="str">
        <x:v>7月30日现场数据</x:v>
      </x:c>
      <x:c r="B3202" s="39" t="str">
        <x:v>2026-08-03T08:10:00</x:v>
      </x:c>
      <x:c r="C3202" s="39" t="str">
        <x:v>2026-08-03T08:40:00</x:v>
      </x:c>
      <x:c r="D3202" s="47" t="n">
        <x:v>30</x:v>
      </x:c>
      <x:c r="E3202" s="40" t="n">
        <x:v>14.6</x:v>
      </x:c>
      <x:c r="F3202" s="40" t="n">
        <x:v>13.126777648925781</x:v>
      </x:c>
      <x:c r="G3202" s="40" t="n">
        <x:v>14.4</x:v>
      </x:c>
      <x:c r="H3202" s="40" t="n">
        <x:f>F3202-E3202</x:f>
        <x:v>-1.4732223510742184</x:v>
      </x:c>
      <x:c r="I3202" s="40" t="n">
        <x:f>ABS(H3202)</x:f>
        <x:v>1.4732223510742184</x:v>
      </x:c>
      <x:c r="J3202" s="40" t="n">
        <x:f>H3202^2</x:f>
        <x:v>2.1703840957046476</x:v>
      </x:c>
      <x:c r="K3202" s="40" t="n">
        <x:f>G3202-E3202</x:f>
        <x:v>-0.1999999999999993</x:v>
      </x:c>
      <x:c r="L3202" s="40" t="n">
        <x:f>ABS(K3202)</x:f>
        <x:v>0.1999999999999993</x:v>
      </x:c>
      <x:c r="M3202" s="41" t="str">
        <x:v>lstm-soil-v1</x:v>
      </x:c>
    </x:row>
    <x:row r="3203">
      <x:c r="A3203" s="38" t="str">
        <x:v>7月30日现场数据</x:v>
      </x:c>
      <x:c r="B3203" s="39" t="str">
        <x:v>2026-08-03T08:10:00</x:v>
      </x:c>
      <x:c r="C3203" s="39" t="str">
        <x:v>2026-08-03T09:10:00</x:v>
      </x:c>
      <x:c r="D3203" s="47" t="n">
        <x:v>60</x:v>
      </x:c>
      <x:c r="E3203" s="40" t="n">
        <x:v>14.6</x:v>
      </x:c>
      <x:c r="F3203" s="40" t="n">
        <x:v>14.729042053222656</x:v>
      </x:c>
      <x:c r="G3203" s="40" t="n">
        <x:v>14.4</x:v>
      </x:c>
      <x:c r="H3203" s="40" t="n">
        <x:f>F3203-E3203</x:f>
        <x:v>0.1290420532226566</x:v>
      </x:c>
      <x:c r="I3203" s="40" t="n">
        <x:f>ABS(H3203)</x:f>
        <x:v>0.1290420532226566</x:v>
      </x:c>
      <x:c r="J3203" s="40" t="n">
        <x:f>H3203^2</x:f>
        <x:v>0.01665185149991894</x:v>
      </x:c>
      <x:c r="K3203" s="40" t="n">
        <x:f>G3203-E3203</x:f>
        <x:v>-0.1999999999999993</x:v>
      </x:c>
      <x:c r="L3203" s="40" t="n">
        <x:f>ABS(K3203)</x:f>
        <x:v>0.1999999999999993</x:v>
      </x:c>
      <x:c r="M3203" s="41" t="str">
        <x:v>lstm-soil-v1</x:v>
      </x:c>
    </x:row>
    <x:row r="3204">
      <x:c r="A3204" s="38" t="str">
        <x:v>7月30日现场数据</x:v>
      </x:c>
      <x:c r="B3204" s="39" t="str">
        <x:v>2026-08-03T08:15:00</x:v>
      </x:c>
      <x:c r="C3204" s="39" t="str">
        <x:v>2026-08-03T08:20:00</x:v>
      </x:c>
      <x:c r="D3204" s="47" t="n">
        <x:v>5</x:v>
      </x:c>
      <x:c r="E3204" s="40" t="n">
        <x:v>14.4</x:v>
      </x:c>
      <x:c r="F3204" s="40" t="n">
        <x:v>12.584770202636719</x:v>
      </x:c>
      <x:c r="G3204" s="40" t="n">
        <x:v>14.4</x:v>
      </x:c>
      <x:c r="H3204" s="40" t="n">
        <x:f>F3204-E3204</x:f>
        <x:v>-1.8152297973632816</x:v>
      </x:c>
      <x:c r="I3204" s="40" t="n">
        <x:f>ABS(H3204)</x:f>
        <x:v>1.8152297973632816</x:v>
      </x:c>
      <x:c r="J3204" s="40" t="n">
        <x:f>H3204^2</x:f>
        <x:v>3.2950592172355404</x:v>
      </x:c>
      <x:c r="K3204" s="40" t="n">
        <x:f>G3204-E3204</x:f>
        <x:v>0</x:v>
      </x:c>
      <x:c r="L3204" s="40" t="n">
        <x:f>ABS(K3204)</x:f>
        <x:v>0</x:v>
      </x:c>
      <x:c r="M3204" s="41" t="str">
        <x:v>lstm-soil-v1</x:v>
      </x:c>
    </x:row>
    <x:row r="3205">
      <x:c r="A3205" s="38" t="str">
        <x:v>7月30日现场数据</x:v>
      </x:c>
      <x:c r="B3205" s="39" t="str">
        <x:v>2026-08-03T08:15:00</x:v>
      </x:c>
      <x:c r="C3205" s="39" t="str">
        <x:v>2026-08-03T08:30:00</x:v>
      </x:c>
      <x:c r="D3205" s="47" t="n">
        <x:v>15</x:v>
      </x:c>
      <x:c r="E3205" s="40" t="n">
        <x:v>14.4</x:v>
      </x:c>
      <x:c r="F3205" s="40" t="n">
        <x:v>12.649749755859375</x:v>
      </x:c>
      <x:c r="G3205" s="40" t="n">
        <x:v>14.4</x:v>
      </x:c>
      <x:c r="H3205" s="40" t="n">
        <x:f>F3205-E3205</x:f>
        <x:v>-1.7502502441406254</x:v>
      </x:c>
      <x:c r="I3205" s="40" t="n">
        <x:f>ABS(H3205)</x:f>
        <x:v>1.7502502441406254</x:v>
      </x:c>
      <x:c r="J3205" s="40" t="n">
        <x:f>H3205^2</x:f>
        <x:v>3.0633759171143184</x:v>
      </x:c>
      <x:c r="K3205" s="40" t="n">
        <x:f>G3205-E3205</x:f>
        <x:v>0</x:v>
      </x:c>
      <x:c r="L3205" s="40" t="n">
        <x:f>ABS(K3205)</x:f>
        <x:v>0</x:v>
      </x:c>
      <x:c r="M3205" s="41" t="str">
        <x:v>lstm-soil-v1</x:v>
      </x:c>
    </x:row>
    <x:row r="3206">
      <x:c r="A3206" s="38" t="str">
        <x:v>7月30日现场数据</x:v>
      </x:c>
      <x:c r="B3206" s="39" t="str">
        <x:v>2026-08-03T08:15:00</x:v>
      </x:c>
      <x:c r="C3206" s="39" t="str">
        <x:v>2026-08-03T08:45:00</x:v>
      </x:c>
      <x:c r="D3206" s="47" t="n">
        <x:v>30</x:v>
      </x:c>
      <x:c r="E3206" s="40" t="n">
        <x:v>14.7</x:v>
      </x:c>
      <x:c r="F3206" s="40" t="n">
        <x:v>13.128669738769531</x:v>
      </x:c>
      <x:c r="G3206" s="40" t="n">
        <x:v>14.4</x:v>
      </x:c>
      <x:c r="H3206" s="40" t="n">
        <x:f>F3206-E3206</x:f>
        <x:v>-1.571330261230468</x:v>
      </x:c>
      <x:c r="I3206" s="40" t="n">
        <x:f>ABS(H3206)</x:f>
        <x:v>1.571330261230468</x:v>
      </x:c>
      <x:c r="J3206" s="40" t="n">
        <x:f>H3206^2</x:f>
        <x:v>2.469078789858611</x:v>
      </x:c>
      <x:c r="K3206" s="40" t="n">
        <x:f>G3206-E3206</x:f>
        <x:v>-0.29999999999999893</x:v>
      </x:c>
      <x:c r="L3206" s="40" t="n">
        <x:f>ABS(K3206)</x:f>
        <x:v>0.29999999999999893</x:v>
      </x:c>
      <x:c r="M3206" s="41" t="str">
        <x:v>lstm-soil-v1</x:v>
      </x:c>
    </x:row>
    <x:row r="3207">
      <x:c r="A3207" s="38" t="str">
        <x:v>7月30日现场数据</x:v>
      </x:c>
      <x:c r="B3207" s="39" t="str">
        <x:v>2026-08-03T08:15:00</x:v>
      </x:c>
      <x:c r="C3207" s="39" t="str">
        <x:v>2026-08-03T09:15:00</x:v>
      </x:c>
      <x:c r="D3207" s="47" t="n">
        <x:v>60</x:v>
      </x:c>
      <x:c r="E3207" s="40" t="n">
        <x:v>14.7</x:v>
      </x:c>
      <x:c r="F3207" s="40" t="n">
        <x:v>14.733650207519531</x:v>
      </x:c>
      <x:c r="G3207" s="40" t="n">
        <x:v>14.4</x:v>
      </x:c>
      <x:c r="H3207" s="40" t="n">
        <x:f>F3207-E3207</x:f>
        <x:v>0.03365020751953196</x:v>
      </x:c>
      <x:c r="I3207" s="40" t="n">
        <x:f>ABS(H3207)</x:f>
        <x:v>0.03365020751953196</x:v>
      </x:c>
      <x:c r="J3207" s="40" t="n">
        <x:f>H3207^2</x:f>
        <x:v>0.0011323364661075654</x:v>
      </x:c>
      <x:c r="K3207" s="40" t="n">
        <x:f>G3207-E3207</x:f>
        <x:v>-0.29999999999999893</x:v>
      </x:c>
      <x:c r="L3207" s="40" t="n">
        <x:f>ABS(K3207)</x:f>
        <x:v>0.29999999999999893</x:v>
      </x:c>
      <x:c r="M3207" s="41" t="str">
        <x:v>lstm-soil-v1</x:v>
      </x:c>
    </x:row>
    <x:row r="3208">
      <x:c r="A3208" s="38" t="str">
        <x:v>7月30日现场数据</x:v>
      </x:c>
      <x:c r="B3208" s="39" t="str">
        <x:v>2026-08-03T08:20:00</x:v>
      </x:c>
      <x:c r="C3208" s="39" t="str">
        <x:v>2026-08-03T08:25:00</x:v>
      </x:c>
      <x:c r="D3208" s="47" t="n">
        <x:v>5</x:v>
      </x:c>
      <x:c r="E3208" s="40" t="n">
        <x:v>14.5</x:v>
      </x:c>
      <x:c r="F3208" s="40" t="n">
        <x:v>12.586566925048828</x:v>
      </x:c>
      <x:c r="G3208" s="40" t="n">
        <x:v>14.4</x:v>
      </x:c>
      <x:c r="H3208" s="40" t="n">
        <x:f>F3208-E3208</x:f>
        <x:v>-1.9134330749511719</x:v>
      </x:c>
      <x:c r="I3208" s="40" t="n">
        <x:f>ABS(H3208)</x:f>
        <x:v>1.9134330749511719</x:v>
      </x:c>
      <x:c r="J3208" s="40" t="n">
        <x:f>H3208^2</x:f>
        <x:v>3.661226132317097</x:v>
      </x:c>
      <x:c r="K3208" s="40" t="n">
        <x:f>G3208-E3208</x:f>
        <x:v>-0.09999999999999964</x:v>
      </x:c>
      <x:c r="L3208" s="40" t="n">
        <x:f>ABS(K3208)</x:f>
        <x:v>0.09999999999999964</x:v>
      </x:c>
      <x:c r="M3208" s="41" t="str">
        <x:v>lstm-soil-v1</x:v>
      </x:c>
    </x:row>
    <x:row r="3209">
      <x:c r="A3209" s="38" t="str">
        <x:v>7月30日现场数据</x:v>
      </x:c>
      <x:c r="B3209" s="39" t="str">
        <x:v>2026-08-03T08:20:00</x:v>
      </x:c>
      <x:c r="C3209" s="39" t="str">
        <x:v>2026-08-03T08:35:00</x:v>
      </x:c>
      <x:c r="D3209" s="47" t="n">
        <x:v>15</x:v>
      </x:c>
      <x:c r="E3209" s="40" t="n">
        <x:v>14.5</x:v>
      </x:c>
      <x:c r="F3209" s="40" t="n">
        <x:v>12.650581359863281</x:v>
      </x:c>
      <x:c r="G3209" s="40" t="n">
        <x:v>14.4</x:v>
      </x:c>
      <x:c r="H3209" s="40" t="n">
        <x:f>F3209-E3209</x:f>
        <x:v>-1.8494186401367188</x:v>
      </x:c>
      <x:c r="I3209" s="40" t="n">
        <x:f>ABS(H3209)</x:f>
        <x:v>1.8494186401367188</x:v>
      </x:c>
      <x:c r="J3209" s="40" t="n">
        <x:f>H3209^2</x:f>
        <x:v>3.42034930648515</x:v>
      </x:c>
      <x:c r="K3209" s="40" t="n">
        <x:f>G3209-E3209</x:f>
        <x:v>-0.09999999999999964</x:v>
      </x:c>
      <x:c r="L3209" s="40" t="n">
        <x:f>ABS(K3209)</x:f>
        <x:v>0.09999999999999964</x:v>
      </x:c>
      <x:c r="M3209" s="41" t="str">
        <x:v>lstm-soil-v1</x:v>
      </x:c>
    </x:row>
    <x:row r="3210">
      <x:c r="A3210" s="38" t="str">
        <x:v>7月30日现场数据</x:v>
      </x:c>
      <x:c r="B3210" s="39" t="str">
        <x:v>2026-08-03T08:20:00</x:v>
      </x:c>
      <x:c r="C3210" s="39" t="str">
        <x:v>2026-08-03T08:50:00</x:v>
      </x:c>
      <x:c r="D3210" s="47" t="n">
        <x:v>30</x:v>
      </x:c>
      <x:c r="E3210" s="40" t="n">
        <x:v>14.7</x:v>
      </x:c>
      <x:c r="F3210" s="40" t="n">
        <x:v>13.130828857421875</x:v>
      </x:c>
      <x:c r="G3210" s="40" t="n">
        <x:v>14.4</x:v>
      </x:c>
      <x:c r="H3210" s="40" t="n">
        <x:f>F3210-E3210</x:f>
        <x:v>-1.5691711425781243</x:v>
      </x:c>
      <x:c r="I3210" s="40" t="n">
        <x:f>ABS(H3210)</x:f>
        <x:v>1.5691711425781243</x:v>
      </x:c>
      <x:c r="J3210" s="40" t="n">
        <x:f>H3210^2</x:f>
        <x:v>2.462298074699936</x:v>
      </x:c>
      <x:c r="K3210" s="40" t="n">
        <x:f>G3210-E3210</x:f>
        <x:v>-0.29999999999999893</x:v>
      </x:c>
      <x:c r="L3210" s="40" t="n">
        <x:f>ABS(K3210)</x:f>
        <x:v>0.29999999999999893</x:v>
      </x:c>
      <x:c r="M3210" s="41" t="str">
        <x:v>lstm-soil-v1</x:v>
      </x:c>
    </x:row>
    <x:row r="3211">
      <x:c r="A3211" s="38" t="str">
        <x:v>7月30日现场数据</x:v>
      </x:c>
      <x:c r="B3211" s="39" t="str">
        <x:v>2026-08-03T08:20:00</x:v>
      </x:c>
      <x:c r="C3211" s="39" t="str">
        <x:v>2026-08-03T09:20:00</x:v>
      </x:c>
      <x:c r="D3211" s="47" t="n">
        <x:v>60</x:v>
      </x:c>
      <x:c r="E3211" s="40" t="n">
        <x:v>14.6</x:v>
      </x:c>
      <x:c r="F3211" s="40" t="n">
        <x:v>14.73819351196289</x:v>
      </x:c>
      <x:c r="G3211" s="40" t="n">
        <x:v>14.4</x:v>
      </x:c>
      <x:c r="H3211" s="40" t="n">
        <x:f>F3211-E3211</x:f>
        <x:v>0.13819351196289098</x:v>
      </x:c>
      <x:c r="I3211" s="40" t="n">
        <x:f>ABS(H3211)</x:f>
        <x:v>0.13819351196289098</x:v>
      </x:c>
      <x:c r="J3211" s="40" t="n">
        <x:f>H3211^2</x:f>
        <x:v>0.019097446748637694</x:v>
      </x:c>
      <x:c r="K3211" s="40" t="n">
        <x:f>G3211-E3211</x:f>
        <x:v>-0.1999999999999993</x:v>
      </x:c>
      <x:c r="L3211" s="40" t="n">
        <x:f>ABS(K3211)</x:f>
        <x:v>0.1999999999999993</x:v>
      </x:c>
      <x:c r="M3211" s="41" t="str">
        <x:v>lstm-soil-v1</x:v>
      </x:c>
    </x:row>
    <x:row r="3212">
      <x:c r="A3212" s="38" t="str">
        <x:v>7月30日现场数据</x:v>
      </x:c>
      <x:c r="B3212" s="39" t="str">
        <x:v>2026-08-03T08:25:00</x:v>
      </x:c>
      <x:c r="C3212" s="39" t="str">
        <x:v>2026-08-03T08:30:00</x:v>
      </x:c>
      <x:c r="D3212" s="47" t="n">
        <x:v>5</x:v>
      </x:c>
      <x:c r="E3212" s="40" t="n">
        <x:v>14.4</x:v>
      </x:c>
      <x:c r="F3212" s="40" t="n">
        <x:v>12.698360443115234</x:v>
      </x:c>
      <x:c r="G3212" s="40" t="n">
        <x:v>14.5</x:v>
      </x:c>
      <x:c r="H3212" s="40" t="n">
        <x:f>F3212-E3212</x:f>
        <x:v>-1.701639556884766</x:v>
      </x:c>
      <x:c r="I3212" s="40" t="n">
        <x:f>ABS(H3212)</x:f>
        <x:v>1.701639556884766</x:v>
      </x:c>
      <x:c r="J3212" s="40" t="n">
        <x:f>H3212^2</x:f>
        <x:v>2.895577181554983</x:v>
      </x:c>
      <x:c r="K3212" s="40" t="n">
        <x:f>G3212-E3212</x:f>
        <x:v>0.09999999999999964</x:v>
      </x:c>
      <x:c r="L3212" s="40" t="n">
        <x:f>ABS(K3212)</x:f>
        <x:v>0.09999999999999964</x:v>
      </x:c>
      <x:c r="M3212" s="41" t="str">
        <x:v>lstm-soil-v1</x:v>
      </x:c>
    </x:row>
    <x:row r="3213">
      <x:c r="A3213" s="38" t="str">
        <x:v>7月30日现场数据</x:v>
      </x:c>
      <x:c r="B3213" s="39" t="str">
        <x:v>2026-08-03T08:25:00</x:v>
      </x:c>
      <x:c r="C3213" s="39" t="str">
        <x:v>2026-08-03T08:40:00</x:v>
      </x:c>
      <x:c r="D3213" s="47" t="n">
        <x:v>15</x:v>
      </x:c>
      <x:c r="E3213" s="40" t="n">
        <x:v>14.6</x:v>
      </x:c>
      <x:c r="F3213" s="40" t="n">
        <x:v>12.761611938476562</x:v>
      </x:c>
      <x:c r="G3213" s="40" t="n">
        <x:v>14.5</x:v>
      </x:c>
      <x:c r="H3213" s="40" t="n">
        <x:f>F3213-E3213</x:f>
        <x:v>-1.8383880615234371</x:v>
      </x:c>
      <x:c r="I3213" s="40" t="n">
        <x:f>ABS(H3213)</x:f>
        <x:v>1.8383880615234371</x:v>
      </x:c>
      <x:c r="J3213" s="40" t="n">
        <x:f>H3213^2</x:f>
        <x:v>3.379670664751901</x:v>
      </x:c>
      <x:c r="K3213" s="40" t="n">
        <x:f>G3213-E3213</x:f>
        <x:v>-0.09999999999999964</x:v>
      </x:c>
      <x:c r="L3213" s="40" t="n">
        <x:f>ABS(K3213)</x:f>
        <x:v>0.09999999999999964</x:v>
      </x:c>
      <x:c r="M3213" s="41" t="str">
        <x:v>lstm-soil-v1</x:v>
      </x:c>
    </x:row>
    <x:row r="3214">
      <x:c r="A3214" s="38" t="str">
        <x:v>7月30日现场数据</x:v>
      </x:c>
      <x:c r="B3214" s="39" t="str">
        <x:v>2026-08-03T08:25:00</x:v>
      </x:c>
      <x:c r="C3214" s="39" t="str">
        <x:v>2026-08-03T08:55:00</x:v>
      </x:c>
      <x:c r="D3214" s="47" t="n">
        <x:v>30</x:v>
      </x:c>
      <x:c r="E3214" s="40" t="n">
        <x:v>14.7</x:v>
      </x:c>
      <x:c r="F3214" s="40" t="n">
        <x:v>13.243186950683594</x:v>
      </x:c>
      <x:c r="G3214" s="40" t="n">
        <x:v>14.5</x:v>
      </x:c>
      <x:c r="H3214" s="40" t="n">
        <x:f>F3214-E3214</x:f>
        <x:v>-1.4568130493164055</x:v>
      </x:c>
      <x:c r="I3214" s="40" t="n">
        <x:f>ABS(H3214)</x:f>
        <x:v>1.4568130493164055</x:v>
      </x:c>
      <x:c r="J3214" s="40" t="n">
        <x:f>H3214^2</x:f>
        <x:v>2.122304260658564</x:v>
      </x:c>
      <x:c r="K3214" s="40" t="n">
        <x:f>G3214-E3214</x:f>
        <x:v>-0.1999999999999993</x:v>
      </x:c>
      <x:c r="L3214" s="40" t="n">
        <x:f>ABS(K3214)</x:f>
        <x:v>0.1999999999999993</x:v>
      </x:c>
      <x:c r="M3214" s="41" t="str">
        <x:v>lstm-soil-v1</x:v>
      </x:c>
    </x:row>
    <x:row r="3215">
      <x:c r="A3215" s="38" t="str">
        <x:v>7月30日现场数据</x:v>
      </x:c>
      <x:c r="B3215" s="39" t="str">
        <x:v>2026-08-03T08:25:00</x:v>
      </x:c>
      <x:c r="C3215" s="39" t="str">
        <x:v>2026-08-03T09:25:00</x:v>
      </x:c>
      <x:c r="D3215" s="47" t="n">
        <x:v>60</x:v>
      </x:c>
      <x:c r="E3215" s="40" t="n">
        <x:v>14.7</x:v>
      </x:c>
      <x:c r="F3215" s="40" t="n">
        <x:v>14.852176666259766</x:v>
      </x:c>
      <x:c r="G3215" s="40" t="n">
        <x:v>14.5</x:v>
      </x:c>
      <x:c r="H3215" s="40" t="n">
        <x:f>F3215-E3215</x:f>
        <x:v>0.15217666625976634</x:v>
      </x:c>
      <x:c r="I3215" s="40" t="n">
        <x:f>ABS(H3215)</x:f>
        <x:v>0.15217666625976634</x:v>
      </x:c>
      <x:c r="J3215" s="40" t="n">
        <x:f>H3215^2</x:f>
        <x:v>0.023157737753936307</x:v>
      </x:c>
      <x:c r="K3215" s="40" t="n">
        <x:f>G3215-E3215</x:f>
        <x:v>-0.1999999999999993</x:v>
      </x:c>
      <x:c r="L3215" s="40" t="n">
        <x:f>ABS(K3215)</x:f>
        <x:v>0.1999999999999993</x:v>
      </x:c>
      <x:c r="M3215" s="41" t="str">
        <x:v>lstm-soil-v1</x:v>
      </x:c>
    </x:row>
    <x:row r="3216">
      <x:c r="A3216" s="38" t="str">
        <x:v>7月30日现场数据</x:v>
      </x:c>
      <x:c r="B3216" s="39" t="str">
        <x:v>2026-08-03T08:30:00</x:v>
      </x:c>
      <x:c r="C3216" s="39" t="str">
        <x:v>2026-08-03T08:35:00</x:v>
      </x:c>
      <x:c r="D3216" s="47" t="n">
        <x:v>5</x:v>
      </x:c>
      <x:c r="E3216" s="40" t="n">
        <x:v>14.5</x:v>
      </x:c>
      <x:c r="F3216" s="40" t="n">
        <x:v>12.608684539794922</x:v>
      </x:c>
      <x:c r="G3216" s="40" t="n">
        <x:v>14.4</x:v>
      </x:c>
      <x:c r="H3216" s="40" t="n">
        <x:f>F3216-E3216</x:f>
        <x:v>-1.8913154602050781</x:v>
      </x:c>
      <x:c r="I3216" s="40" t="n">
        <x:f>ABS(H3216)</x:f>
        <x:v>1.8913154602050781</x:v>
      </x:c>
      <x:c r="J3216" s="40" t="n">
        <x:f>H3216^2</x:f>
        <x:v>3.5770741700107465</x:v>
      </x:c>
      <x:c r="K3216" s="40" t="n">
        <x:f>G3216-E3216</x:f>
        <x:v>-0.09999999999999964</x:v>
      </x:c>
      <x:c r="L3216" s="40" t="n">
        <x:f>ABS(K3216)</x:f>
        <x:v>0.09999999999999964</x:v>
      </x:c>
      <x:c r="M3216" s="41" t="str">
        <x:v>lstm-soil-v1</x:v>
      </x:c>
    </x:row>
    <x:row r="3217">
      <x:c r="A3217" s="38" t="str">
        <x:v>7月30日现场数据</x:v>
      </x:c>
      <x:c r="B3217" s="39" t="str">
        <x:v>2026-08-03T08:30:00</x:v>
      </x:c>
      <x:c r="C3217" s="39" t="str">
        <x:v>2026-08-03T08:45:00</x:v>
      </x:c>
      <x:c r="D3217" s="47" t="n">
        <x:v>15</x:v>
      </x:c>
      <x:c r="E3217" s="40" t="n">
        <x:v>14.7</x:v>
      </x:c>
      <x:c r="F3217" s="40" t="n">
        <x:v>12.643241882324219</x:v>
      </x:c>
      <x:c r="G3217" s="40" t="n">
        <x:v>14.4</x:v>
      </x:c>
      <x:c r="H3217" s="40" t="n">
        <x:f>F3217-E3217</x:f>
        <x:v>-2.0567581176757805</x:v>
      </x:c>
      <x:c r="I3217" s="40" t="n">
        <x:f>ABS(H3217)</x:f>
        <x:v>2.0567581176757805</x:v>
      </x:c>
      <x:c r="J3217" s="40" t="n">
        <x:f>H3217^2</x:f>
        <x:v>4.23025395462522</x:v>
      </x:c>
      <x:c r="K3217" s="40" t="n">
        <x:f>G3217-E3217</x:f>
        <x:v>-0.29999999999999893</x:v>
      </x:c>
      <x:c r="L3217" s="40" t="n">
        <x:f>ABS(K3217)</x:f>
        <x:v>0.29999999999999893</x:v>
      </x:c>
      <x:c r="M3217" s="41" t="str">
        <x:v>lstm-soil-v1</x:v>
      </x:c>
    </x:row>
    <x:row r="3218">
      <x:c r="A3218" s="38" t="str">
        <x:v>7月30日现场数据</x:v>
      </x:c>
      <x:c r="B3218" s="39" t="str">
        <x:v>2026-08-03T08:30:00</x:v>
      </x:c>
      <x:c r="C3218" s="39" t="str">
        <x:v>2026-08-03T09:00:00</x:v>
      </x:c>
      <x:c r="D3218" s="47" t="n">
        <x:v>30</x:v>
      </x:c>
      <x:c r="E3218" s="40" t="n">
        <x:v>14.7</x:v>
      </x:c>
      <x:c r="F3218" s="40" t="n">
        <x:v>13.164237976074219</x:v>
      </x:c>
      <x:c r="G3218" s="40" t="n">
        <x:v>14.4</x:v>
      </x:c>
      <x:c r="H3218" s="40" t="n">
        <x:f>F3218-E3218</x:f>
        <x:v>-1.5357620239257805</x:v>
      </x:c>
      <x:c r="I3218" s="40" t="n">
        <x:f>ABS(H3218)</x:f>
        <x:v>1.5357620239257805</x:v>
      </x:c>
      <x:c r="J3218" s="40" t="n">
        <x:f>H3218^2</x:f>
        <x:v>2.35856499413261</x:v>
      </x:c>
      <x:c r="K3218" s="40" t="n">
        <x:f>G3218-E3218</x:f>
        <x:v>-0.29999999999999893</x:v>
      </x:c>
      <x:c r="L3218" s="40" t="n">
        <x:f>ABS(K3218)</x:f>
        <x:v>0.29999999999999893</x:v>
      </x:c>
      <x:c r="M3218" s="41" t="str">
        <x:v>lstm-soil-v1</x:v>
      </x:c>
    </x:row>
    <x:row r="3219">
      <x:c r="A3219" s="38" t="str">
        <x:v>7月30日现场数据</x:v>
      </x:c>
      <x:c r="B3219" s="39" t="str">
        <x:v>2026-08-03T08:30:00</x:v>
      </x:c>
      <x:c r="C3219" s="39" t="str">
        <x:v>2026-08-03T09:30:00</x:v>
      </x:c>
      <x:c r="D3219" s="47" t="n">
        <x:v>60</x:v>
      </x:c>
      <x:c r="E3219" s="40" t="n">
        <x:v>14.6</x:v>
      </x:c>
      <x:c r="F3219" s="40" t="n">
        <x:v>14.828239440917969</x:v>
      </x:c>
      <x:c r="G3219" s="40" t="n">
        <x:v>14.4</x:v>
      </x:c>
      <x:c r="H3219" s="40" t="n">
        <x:f>F3219-E3219</x:f>
        <x:v>0.2282394409179691</x:v>
      </x:c>
      <x:c r="I3219" s="40" t="n">
        <x:f>ABS(H3219)</x:f>
        <x:v>0.2282394409179691</x:v>
      </x:c>
      <x:c r="J3219" s="40" t="n">
        <x:f>H3219^2</x:f>
        <x:v>0.052093242390547106</x:v>
      </x:c>
      <x:c r="K3219" s="40" t="n">
        <x:f>G3219-E3219</x:f>
        <x:v>-0.1999999999999993</x:v>
      </x:c>
      <x:c r="L3219" s="40" t="n">
        <x:f>ABS(K3219)</x:f>
        <x:v>0.1999999999999993</x:v>
      </x:c>
      <x:c r="M3219" s="41" t="str">
        <x:v>lstm-soil-v1</x:v>
      </x:c>
    </x:row>
    <x:row r="3220">
      <x:c r="A3220" s="38" t="str">
        <x:v>7月30日现场数据</x:v>
      </x:c>
      <x:c r="B3220" s="39" t="str">
        <x:v>2026-08-03T08:35:00</x:v>
      </x:c>
      <x:c r="C3220" s="39" t="str">
        <x:v>2026-08-03T08:40:00</x:v>
      </x:c>
      <x:c r="D3220" s="47" t="n">
        <x:v>5</x:v>
      </x:c>
      <x:c r="E3220" s="40" t="n">
        <x:v>14.6</x:v>
      </x:c>
      <x:c r="F3220" s="40" t="n">
        <x:v>12.73529052734375</x:v>
      </x:c>
      <x:c r="G3220" s="40" t="n">
        <x:v>14.5</x:v>
      </x:c>
      <x:c r="H3220" s="40" t="n">
        <x:f>F3220-E3220</x:f>
        <x:v>-1.8647094726562496</x:v>
      </x:c>
      <x:c r="I3220" s="40" t="n">
        <x:f>ABS(H3220)</x:f>
        <x:v>1.8647094726562496</x:v>
      </x:c>
      <x:c r="J3220" s="40" t="n">
        <x:f>H3220^2</x:f>
        <x:v>3.4771414174139488</x:v>
      </x:c>
      <x:c r="K3220" s="40" t="n">
        <x:f>G3220-E3220</x:f>
        <x:v>-0.09999999999999964</x:v>
      </x:c>
      <x:c r="L3220" s="40" t="n">
        <x:f>ABS(K3220)</x:f>
        <x:v>0.09999999999999964</x:v>
      </x:c>
      <x:c r="M3220" s="41" t="str">
        <x:v>lstm-soil-v1</x:v>
      </x:c>
    </x:row>
    <x:row r="3221">
      <x:c r="A3221" s="38" t="str">
        <x:v>7月30日现场数据</x:v>
      </x:c>
      <x:c r="B3221" s="39" t="str">
        <x:v>2026-08-03T08:35:00</x:v>
      </x:c>
      <x:c r="C3221" s="39" t="str">
        <x:v>2026-08-03T08:50:00</x:v>
      </x:c>
      <x:c r="D3221" s="47" t="n">
        <x:v>15</x:v>
      </x:c>
      <x:c r="E3221" s="40" t="n">
        <x:v>14.7</x:v>
      </x:c>
      <x:c r="F3221" s="40" t="n">
        <x:v>12.757125854492188</x:v>
      </x:c>
      <x:c r="G3221" s="40" t="n">
        <x:v>14.5</x:v>
      </x:c>
      <x:c r="H3221" s="40" t="n">
        <x:f>F3221-E3221</x:f>
        <x:v>-1.9428741455078118</x:v>
      </x:c>
      <x:c r="I3221" s="40" t="n">
        <x:f>ABS(H3221)</x:f>
        <x:v>1.9428741455078118</x:v>
      </x:c>
      <x:c r="J3221" s="40" t="n">
        <x:f>H3221^2</x:f>
        <x:v>3.77475994528271</x:v>
      </x:c>
      <x:c r="K3221" s="40" t="n">
        <x:f>G3221-E3221</x:f>
        <x:v>-0.1999999999999993</x:v>
      </x:c>
      <x:c r="L3221" s="40" t="n">
        <x:f>ABS(K3221)</x:f>
        <x:v>0.1999999999999993</x:v>
      </x:c>
      <x:c r="M3221" s="41" t="str">
        <x:v>lstm-soil-v1</x:v>
      </x:c>
    </x:row>
    <x:row r="3222">
      <x:c r="A3222" s="38" t="str">
        <x:v>7月30日现场数据</x:v>
      </x:c>
      <x:c r="B3222" s="39" t="str">
        <x:v>2026-08-03T08:35:00</x:v>
      </x:c>
      <x:c r="C3222" s="39" t="str">
        <x:v>2026-08-03T09:05:00</x:v>
      </x:c>
      <x:c r="D3222" s="47" t="n">
        <x:v>30</x:v>
      </x:c>
      <x:c r="E3222" s="40" t="n">
        <x:v>14.7</x:v>
      </x:c>
      <x:c r="F3222" s="40" t="n">
        <x:v>13.317813873291016</x:v>
      </x:c>
      <x:c r="G3222" s="40" t="n">
        <x:v>14.5</x:v>
      </x:c>
      <x:c r="H3222" s="40" t="n">
        <x:f>F3222-E3222</x:f>
        <x:v>-1.3821861267089837</x:v>
      </x:c>
      <x:c r="I3222" s="40" t="n">
        <x:f>ABS(H3222)</x:f>
        <x:v>1.3821861267089837</x:v>
      </x:c>
      <x:c r="J3222" s="40" t="n">
        <x:f>H3222^2</x:f>
        <x:v>1.9104384888667827</x:v>
      </x:c>
      <x:c r="K3222" s="40" t="n">
        <x:f>G3222-E3222</x:f>
        <x:v>-0.1999999999999993</x:v>
      </x:c>
      <x:c r="L3222" s="40" t="n">
        <x:f>ABS(K3222)</x:f>
        <x:v>0.1999999999999993</x:v>
      </x:c>
      <x:c r="M3222" s="41" t="str">
        <x:v>lstm-soil-v1</x:v>
      </x:c>
    </x:row>
    <x:row r="3223">
      <x:c r="A3223" s="38" t="str">
        <x:v>7月30日现场数据</x:v>
      </x:c>
      <x:c r="B3223" s="39" t="str">
        <x:v>2026-08-03T08:35:00</x:v>
      </x:c>
      <x:c r="C3223" s="39" t="str">
        <x:v>2026-08-03T09:35:00</x:v>
      </x:c>
      <x:c r="D3223" s="47" t="n">
        <x:v>60</x:v>
      </x:c>
      <x:c r="E3223" s="40" t="n">
        <x:v>14.5</x:v>
      </x:c>
      <x:c r="F3223" s="40" t="n">
        <x:v>15.0196533203125</x:v>
      </x:c>
      <x:c r="G3223" s="40" t="n">
        <x:v>14.5</x:v>
      </x:c>
      <x:c r="H3223" s="40" t="n">
        <x:f>F3223-E3223</x:f>
        <x:v>0.5196533203125</x:v>
      </x:c>
      <x:c r="I3223" s="40" t="n">
        <x:f>ABS(H3223)</x:f>
        <x:v>0.5196533203125</x:v>
      </x:c>
      <x:c r="J3223" s="40" t="n">
        <x:f>H3223^2</x:f>
        <x:v>0.2700395733118057</x:v>
      </x:c>
      <x:c r="K3223" s="40" t="n">
        <x:f>G3223-E3223</x:f>
        <x:v>0</x:v>
      </x:c>
      <x:c r="L3223" s="40" t="n">
        <x:f>ABS(K3223)</x:f>
        <x:v>0</x:v>
      </x:c>
      <x:c r="M3223" s="41" t="str">
        <x:v>lstm-soil-v1</x:v>
      </x:c>
    </x:row>
    <x:row r="3224">
      <x:c r="A3224" s="38" t="str">
        <x:v>7月30日现场数据</x:v>
      </x:c>
      <x:c r="B3224" s="39" t="str">
        <x:v>2026-08-03T08:40:00</x:v>
      </x:c>
      <x:c r="C3224" s="39" t="str">
        <x:v>2026-08-03T08:45:00</x:v>
      </x:c>
      <x:c r="D3224" s="47" t="n">
        <x:v>5</x:v>
      </x:c>
      <x:c r="E3224" s="40" t="n">
        <x:v>14.7</x:v>
      </x:c>
      <x:c r="F3224" s="40" t="n">
        <x:v>12.85550308227539</x:v>
      </x:c>
      <x:c r="G3224" s="40" t="n">
        <x:v>14.6</x:v>
      </x:c>
      <x:c r="H3224" s="40" t="n">
        <x:f>F3224-E3224</x:f>
        <x:v>-1.8444969177246087</x:v>
      </x:c>
      <x:c r="I3224" s="40" t="n">
        <x:f>ABS(H3224)</x:f>
        <x:v>1.8444969177246087</x:v>
      </x:c>
      <x:c r="J3224" s="40" t="n">
        <x:f>H3224^2</x:f>
        <x:v>3.4021688794955818</x:v>
      </x:c>
      <x:c r="K3224" s="40" t="n">
        <x:f>G3224-E3224</x:f>
        <x:v>-0.09999999999999964</x:v>
      </x:c>
      <x:c r="L3224" s="40" t="n">
        <x:f>ABS(K3224)</x:f>
        <x:v>0.09999999999999964</x:v>
      </x:c>
      <x:c r="M3224" s="41" t="str">
        <x:v>lstm-soil-v1</x:v>
      </x:c>
    </x:row>
    <x:row r="3225">
      <x:c r="A3225" s="38" t="str">
        <x:v>7月30日现场数据</x:v>
      </x:c>
      <x:c r="B3225" s="39" t="str">
        <x:v>2026-08-03T08:40:00</x:v>
      </x:c>
      <x:c r="C3225" s="39" t="str">
        <x:v>2026-08-03T08:55:00</x:v>
      </x:c>
      <x:c r="D3225" s="47" t="n">
        <x:v>15</x:v>
      </x:c>
      <x:c r="E3225" s="40" t="n">
        <x:v>14.7</x:v>
      </x:c>
      <x:c r="F3225" s="40" t="n">
        <x:v>12.871368408203125</x:v>
      </x:c>
      <x:c r="G3225" s="40" t="n">
        <x:v>14.6</x:v>
      </x:c>
      <x:c r="H3225" s="40" t="n">
        <x:f>F3225-E3225</x:f>
        <x:v>-1.8286315917968743</x:v>
      </x:c>
      <x:c r="I3225" s="40" t="n">
        <x:f>ABS(H3225)</x:f>
        <x:v>1.8286315917968743</x:v>
      </x:c>
      <x:c r="J3225" s="40" t="n">
        <x:f>H3225^2</x:f>
        <x:v>3.3438934985175703</x:v>
      </x:c>
      <x:c r="K3225" s="40" t="n">
        <x:f>G3225-E3225</x:f>
        <x:v>-0.09999999999999964</x:v>
      </x:c>
      <x:c r="L3225" s="40" t="n">
        <x:f>ABS(K3225)</x:f>
        <x:v>0.09999999999999964</x:v>
      </x:c>
      <x:c r="M3225" s="41" t="str">
        <x:v>lstm-soil-v1</x:v>
      </x:c>
    </x:row>
    <x:row r="3226">
      <x:c r="A3226" s="38" t="str">
        <x:v>7月30日现场数据</x:v>
      </x:c>
      <x:c r="B3226" s="39" t="str">
        <x:v>2026-08-03T08:40:00</x:v>
      </x:c>
      <x:c r="C3226" s="39" t="str">
        <x:v>2026-08-03T09:10:00</x:v>
      </x:c>
      <x:c r="D3226" s="47" t="n">
        <x:v>30</x:v>
      </x:c>
      <x:c r="E3226" s="40" t="n">
        <x:v>14.6</x:v>
      </x:c>
      <x:c r="F3226" s="40" t="n">
        <x:v>13.459583282470703</x:v>
      </x:c>
      <x:c r="G3226" s="40" t="n">
        <x:v>14.6</x:v>
      </x:c>
      <x:c r="H3226" s="40" t="n">
        <x:f>F3226-E3226</x:f>
        <x:v>-1.1404167175292965</x:v>
      </x:c>
      <x:c r="I3226" s="40" t="n">
        <x:f>ABS(H3226)</x:f>
        <x:v>1.1404167175292965</x:v>
      </x:c>
      <x:c r="J3226" s="40" t="n">
        <x:f>H3226^2</x:f>
        <x:v>1.3005502896202954</x:v>
      </x:c>
      <x:c r="K3226" s="40" t="n">
        <x:f>G3226-E3226</x:f>
        <x:v>0</x:v>
      </x:c>
      <x:c r="L3226" s="40" t="n">
        <x:f>ABS(K3226)</x:f>
        <x:v>0</x:v>
      </x:c>
      <x:c r="M3226" s="41" t="str">
        <x:v>lstm-soil-v1</x:v>
      </x:c>
    </x:row>
    <x:row r="3227">
      <x:c r="A3227" s="38" t="str">
        <x:v>7月30日现场数据</x:v>
      </x:c>
      <x:c r="B3227" s="39" t="str">
        <x:v>2026-08-03T08:40:00</x:v>
      </x:c>
      <x:c r="C3227" s="39" t="str">
        <x:v>2026-08-03T09:40:00</x:v>
      </x:c>
      <x:c r="D3227" s="47" t="n">
        <x:v>60</x:v>
      </x:c>
      <x:c r="E3227" s="40" t="n">
        <x:v>14.5</x:v>
      </x:c>
      <x:c r="F3227" s="40" t="n">
        <x:v>15.192115783691406</x:v>
      </x:c>
      <x:c r="G3227" s="40" t="n">
        <x:v>14.6</x:v>
      </x:c>
      <x:c r="H3227" s="40" t="n">
        <x:f>F3227-E3227</x:f>
        <x:v>0.6921157836914062</x:v>
      </x:c>
      <x:c r="I3227" s="40" t="n">
        <x:f>ABS(H3227)</x:f>
        <x:v>0.6921157836914062</x:v>
      </x:c>
      <x:c r="J3227" s="40" t="n">
        <x:f>H3227^2</x:f>
        <x:v>0.47902425803476945</x:v>
      </x:c>
      <x:c r="K3227" s="40" t="n">
        <x:f>G3227-E3227</x:f>
        <x:v>0.09999999999999964</x:v>
      </x:c>
      <x:c r="L3227" s="40" t="n">
        <x:f>ABS(K3227)</x:f>
        <x:v>0.09999999999999964</x:v>
      </x:c>
      <x:c r="M3227" s="41" t="str">
        <x:v>lstm-soil-v1</x:v>
      </x:c>
    </x:row>
    <x:row r="3228">
      <x:c r="A3228" s="38" t="str">
        <x:v>7月30日现场数据</x:v>
      </x:c>
      <x:c r="B3228" s="39" t="str">
        <x:v>2026-08-03T08:45:00</x:v>
      </x:c>
      <x:c r="C3228" s="39" t="str">
        <x:v>2026-08-03T08:50:00</x:v>
      </x:c>
      <x:c r="D3228" s="47" t="n">
        <x:v>5</x:v>
      </x:c>
      <x:c r="E3228" s="40" t="n">
        <x:v>14.7</x:v>
      </x:c>
      <x:c r="F3228" s="40" t="n">
        <x:v>12.972160339355469</x:v>
      </x:c>
      <x:c r="G3228" s="40" t="n">
        <x:v>14.7</x:v>
      </x:c>
      <x:c r="H3228" s="40" t="n">
        <x:f>F3228-E3228</x:f>
        <x:v>-1.7278396606445305</x:v>
      </x:c>
      <x:c r="I3228" s="40" t="n">
        <x:f>ABS(H3228)</x:f>
        <x:v>1.7278396606445305</x:v>
      </x:c>
      <x:c r="J3228" s="40" t="n">
        <x:f>H3228^2</x:f>
        <x:v>2.9854298928962066</x:v>
      </x:c>
      <x:c r="K3228" s="40" t="n">
        <x:f>G3228-E3228</x:f>
        <x:v>0</x:v>
      </x:c>
      <x:c r="L3228" s="40" t="n">
        <x:f>ABS(K3228)</x:f>
        <x:v>0</x:v>
      </x:c>
      <x:c r="M3228" s="41" t="str">
        <x:v>lstm-soil-v1</x:v>
      </x:c>
    </x:row>
    <x:row r="3229">
      <x:c r="A3229" s="38" t="str">
        <x:v>7月30日现场数据</x:v>
      </x:c>
      <x:c r="B3229" s="39" t="str">
        <x:v>2026-08-03T08:45:00</x:v>
      </x:c>
      <x:c r="C3229" s="39" t="str">
        <x:v>2026-08-03T09:00:00</x:v>
      </x:c>
      <x:c r="D3229" s="47" t="n">
        <x:v>15</x:v>
      </x:c>
      <x:c r="E3229" s="40" t="n">
        <x:v>14.7</x:v>
      </x:c>
      <x:c r="F3229" s="40" t="n">
        <x:v>12.983943939208984</x:v>
      </x:c>
      <x:c r="G3229" s="40" t="n">
        <x:v>14.7</x:v>
      </x:c>
      <x:c r="H3229" s="40" t="n">
        <x:f>F3229-E3229</x:f>
        <x:v>-1.716056060791015</x:v>
      </x:c>
      <x:c r="I3229" s="40" t="n">
        <x:f>ABS(H3229)</x:f>
        <x:v>1.716056060791015</x:v>
      </x:c>
      <x:c r="J3229" s="40" t="n">
        <x:f>H3229^2</x:f>
        <x:v>2.9448484037775753</x:v>
      </x:c>
      <x:c r="K3229" s="40" t="n">
        <x:f>G3229-E3229</x:f>
        <x:v>0</x:v>
      </x:c>
      <x:c r="L3229" s="40" t="n">
        <x:f>ABS(K3229)</x:f>
        <x:v>0</x:v>
      </x:c>
      <x:c r="M3229" s="41" t="str">
        <x:v>lstm-soil-v1</x:v>
      </x:c>
    </x:row>
    <x:row r="3230">
      <x:c r="A3230" s="38" t="str">
        <x:v>7月30日现场数据</x:v>
      </x:c>
      <x:c r="B3230" s="39" t="str">
        <x:v>2026-08-03T08:45:00</x:v>
      </x:c>
      <x:c r="C3230" s="39" t="str">
        <x:v>2026-08-03T09:15:00</x:v>
      </x:c>
      <x:c r="D3230" s="47" t="n">
        <x:v>30</x:v>
      </x:c>
      <x:c r="E3230" s="40" t="n">
        <x:v>14.7</x:v>
      </x:c>
      <x:c r="F3230" s="40" t="n">
        <x:v>13.59109115600586</x:v>
      </x:c>
      <x:c r="G3230" s="40" t="n">
        <x:v>14.7</x:v>
      </x:c>
      <x:c r="H3230" s="40" t="n">
        <x:f>F3230-E3230</x:f>
        <x:v>-1.10890884399414</x:v>
      </x:c>
      <x:c r="I3230" s="40" t="n">
        <x:f>ABS(H3230)</x:f>
        <x:v>1.10890884399414</x:v>
      </x:c>
      <x:c r="J3230" s="40" t="n">
        <x:f>H3230^2</x:f>
        <x:v>1.2296788242884198</x:v>
      </x:c>
      <x:c r="K3230" s="40" t="n">
        <x:f>G3230-E3230</x:f>
        <x:v>0</x:v>
      </x:c>
      <x:c r="L3230" s="40" t="n">
        <x:f>ABS(K3230)</x:f>
        <x:v>0</x:v>
      </x:c>
      <x:c r="M3230" s="41" t="str">
        <x:v>lstm-soil-v1</x:v>
      </x:c>
    </x:row>
    <x:row r="3231">
      <x:c r="A3231" s="38" t="str">
        <x:v>7月30日现场数据</x:v>
      </x:c>
      <x:c r="B3231" s="39" t="str">
        <x:v>2026-08-03T08:45:00</x:v>
      </x:c>
      <x:c r="C3231" s="39" t="str">
        <x:v>2026-08-03T09:45:00</x:v>
      </x:c>
      <x:c r="D3231" s="47" t="n">
        <x:v>60</x:v>
      </x:c>
      <x:c r="E3231" s="40" t="n">
        <x:v>14.5</x:v>
      </x:c>
      <x:c r="F3231" s="40" t="n">
        <x:v>15.340160369873047</x:v>
      </x:c>
      <x:c r="G3231" s="40" t="n">
        <x:v>14.7</x:v>
      </x:c>
      <x:c r="H3231" s="40" t="n">
        <x:f>F3231-E3231</x:f>
        <x:v>0.8401603698730469</x:v>
      </x:c>
      <x:c r="I3231" s="40" t="n">
        <x:f>ABS(H3231)</x:f>
        <x:v>0.8401603698730469</x:v>
      </x:c>
      <x:c r="J3231" s="40" t="n">
        <x:f>H3231^2</x:f>
        <x:v>0.7058694471052149</x:v>
      </x:c>
      <x:c r="K3231" s="40" t="n">
        <x:f>G3231-E3231</x:f>
        <x:v>0.1999999999999993</x:v>
      </x:c>
      <x:c r="L3231" s="40" t="n">
        <x:f>ABS(K3231)</x:f>
        <x:v>0.1999999999999993</x:v>
      </x:c>
      <x:c r="M3231" s="41" t="str">
        <x:v>lstm-soil-v1</x:v>
      </x:c>
    </x:row>
    <x:row r="3232">
      <x:c r="A3232" s="38" t="str">
        <x:v>7月30日现场数据</x:v>
      </x:c>
      <x:c r="B3232" s="39" t="str">
        <x:v>2026-08-03T08:50:00</x:v>
      </x:c>
      <x:c r="C3232" s="39" t="str">
        <x:v>2026-08-03T08:55:00</x:v>
      </x:c>
      <x:c r="D3232" s="47" t="n">
        <x:v>5</x:v>
      </x:c>
      <x:c r="E3232" s="40" t="n">
        <x:v>14.7</x:v>
      </x:c>
      <x:c r="F3232" s="40" t="n">
        <x:v>12.97713851928711</x:v>
      </x:c>
      <x:c r="G3232" s="40" t="n">
        <x:v>14.7</x:v>
      </x:c>
      <x:c r="H3232" s="40" t="n">
        <x:f>F3232-E3232</x:f>
        <x:v>-1.72286148071289</x:v>
      </x:c>
      <x:c r="I3232" s="40" t="n">
        <x:f>ABS(H3232)</x:f>
        <x:v>1.72286148071289</x:v>
      </x:c>
      <x:c r="J3232" s="40" t="n">
        <x:f>H3232^2</x:f>
        <x:v>2.9682516817242117</x:v>
      </x:c>
      <x:c r="K3232" s="40" t="n">
        <x:f>G3232-E3232</x:f>
        <x:v>0</x:v>
      </x:c>
      <x:c r="L3232" s="40" t="n">
        <x:f>ABS(K3232)</x:f>
        <x:v>0</x:v>
      </x:c>
      <x:c r="M3232" s="41" t="str">
        <x:v>lstm-soil-v1</x:v>
      </x:c>
    </x:row>
    <x:row r="3233">
      <x:c r="A3233" s="38" t="str">
        <x:v>7月30日现场数据</x:v>
      </x:c>
      <x:c r="B3233" s="39" t="str">
        <x:v>2026-08-03T08:50:00</x:v>
      </x:c>
      <x:c r="C3233" s="39" t="str">
        <x:v>2026-08-03T09:05:00</x:v>
      </x:c>
      <x:c r="D3233" s="47" t="n">
        <x:v>15</x:v>
      </x:c>
      <x:c r="E3233" s="40" t="n">
        <x:v>14.7</x:v>
      </x:c>
      <x:c r="F3233" s="40" t="n">
        <x:v>12.985126495361328</x:v>
      </x:c>
      <x:c r="G3233" s="40" t="n">
        <x:v>14.7</x:v>
      </x:c>
      <x:c r="H3233" s="40" t="n">
        <x:f>F3233-E3233</x:f>
        <x:v>-1.7148735046386712</x:v>
      </x:c>
      <x:c r="I3233" s="40" t="n">
        <x:f>ABS(H3233)</x:f>
        <x:v>1.7148735046386712</x:v>
      </x:c>
      <x:c r="J3233" s="40" t="n">
        <x:f>H3233^2</x:f>
        <x:v>2.9407911369117183</x:v>
      </x:c>
      <x:c r="K3233" s="40" t="n">
        <x:f>G3233-E3233</x:f>
        <x:v>0</x:v>
      </x:c>
      <x:c r="L3233" s="40" t="n">
        <x:f>ABS(K3233)</x:f>
        <x:v>0</x:v>
      </x:c>
      <x:c r="M3233" s="41" t="str">
        <x:v>lstm-soil-v1</x:v>
      </x:c>
    </x:row>
    <x:row r="3234">
      <x:c r="A3234" s="38" t="str">
        <x:v>7月30日现场数据</x:v>
      </x:c>
      <x:c r="B3234" s="39" t="str">
        <x:v>2026-08-03T08:50:00</x:v>
      </x:c>
      <x:c r="C3234" s="39" t="str">
        <x:v>2026-08-03T09:20:00</x:v>
      </x:c>
      <x:c r="D3234" s="47" t="n">
        <x:v>30</x:v>
      </x:c>
      <x:c r="E3234" s="40" t="n">
        <x:v>14.6</x:v>
      </x:c>
      <x:c r="F3234" s="40" t="n">
        <x:v>13.606975555419922</x:v>
      </x:c>
      <x:c r="G3234" s="40" t="n">
        <x:v>14.7</x:v>
      </x:c>
      <x:c r="H3234" s="40" t="n">
        <x:f>F3234-E3234</x:f>
        <x:v>-0.9930244445800778</x:v>
      </x:c>
      <x:c r="I3234" s="40" t="n">
        <x:f>ABS(H3234)</x:f>
        <x:v>0.9930244445800778</x:v>
      </x:c>
      <x:c r="J3234" s="40" t="n">
        <x:f>H3234^2</x:f>
        <x:v>0.9860975475335719</x:v>
      </x:c>
      <x:c r="K3234" s="40" t="n">
        <x:f>G3234-E3234</x:f>
        <x:v>0.09999999999999964</x:v>
      </x:c>
      <x:c r="L3234" s="40" t="n">
        <x:f>ABS(K3234)</x:f>
        <x:v>0.09999999999999964</x:v>
      </x:c>
      <x:c r="M3234" s="41" t="str">
        <x:v>lstm-soil-v1</x:v>
      </x:c>
    </x:row>
    <x:row r="3235">
      <x:c r="A3235" s="38" t="str">
        <x:v>7月30日现场数据</x:v>
      </x:c>
      <x:c r="B3235" s="39" t="str">
        <x:v>2026-08-03T08:50:00</x:v>
      </x:c>
      <x:c r="C3235" s="39" t="str">
        <x:v>2026-08-03T09:50:00</x:v>
      </x:c>
      <x:c r="D3235" s="47" t="n">
        <x:v>60</x:v>
      </x:c>
      <x:c r="E3235" s="40" t="n">
        <x:v>14.5</x:v>
      </x:c>
      <x:c r="F3235" s="40" t="n">
        <x:v>15.365840911865234</x:v>
      </x:c>
      <x:c r="G3235" s="40" t="n">
        <x:v>14.7</x:v>
      </x:c>
      <x:c r="H3235" s="40" t="n">
        <x:f>F3235-E3235</x:f>
        <x:v>0.8658409118652344</x:v>
      </x:c>
      <x:c r="I3235" s="40" t="n">
        <x:f>ABS(H3235)</x:f>
        <x:v>0.8658409118652344</x:v>
      </x:c>
      <x:c r="J3235" s="40" t="n">
        <x:f>H3235^2</x:f>
        <x:v>0.7496804846596206</x:v>
      </x:c>
      <x:c r="K3235" s="40" t="n">
        <x:f>G3235-E3235</x:f>
        <x:v>0.1999999999999993</x:v>
      </x:c>
      <x:c r="L3235" s="40" t="n">
        <x:f>ABS(K3235)</x:f>
        <x:v>0.1999999999999993</x:v>
      </x:c>
      <x:c r="M3235" s="41" t="str">
        <x:v>lstm-soil-v1</x:v>
      </x:c>
    </x:row>
    <x:row r="3236">
      <x:c r="A3236" s="38" t="str">
        <x:v>7月30日现场数据</x:v>
      </x:c>
      <x:c r="B3236" s="39" t="str">
        <x:v>2026-08-03T08:55:00</x:v>
      </x:c>
      <x:c r="C3236" s="39" t="str">
        <x:v>2026-08-03T09:00:00</x:v>
      </x:c>
      <x:c r="D3236" s="47" t="n">
        <x:v>5</x:v>
      </x:c>
      <x:c r="E3236" s="40" t="n">
        <x:v>14.7</x:v>
      </x:c>
      <x:c r="F3236" s="40" t="n">
        <x:v>12.98061752319336</x:v>
      </x:c>
      <x:c r="G3236" s="40" t="n">
        <x:v>14.7</x:v>
      </x:c>
      <x:c r="H3236" s="40" t="n">
        <x:f>F3236-E3236</x:f>
        <x:v>-1.71938247680664</x:v>
      </x:c>
      <x:c r="I3236" s="40" t="n">
        <x:f>ABS(H3236)</x:f>
        <x:v>1.71938247680664</x:v>
      </x:c>
      <x:c r="J3236" s="40" t="n">
        <x:f>H3236^2</x:f>
        <x:v>2.9562761015497356</x:v>
      </x:c>
      <x:c r="K3236" s="40" t="n">
        <x:f>G3236-E3236</x:f>
        <x:v>0</x:v>
      </x:c>
      <x:c r="L3236" s="40" t="n">
        <x:f>ABS(K3236)</x:f>
        <x:v>0</x:v>
      </x:c>
      <x:c r="M3236" s="41" t="str">
        <x:v>lstm-soil-v1</x:v>
      </x:c>
    </x:row>
    <x:row r="3237">
      <x:c r="A3237" s="38" t="str">
        <x:v>7月30日现场数据</x:v>
      </x:c>
      <x:c r="B3237" s="39" t="str">
        <x:v>2026-08-03T08:55:00</x:v>
      </x:c>
      <x:c r="C3237" s="39" t="str">
        <x:v>2026-08-03T09:10:00</x:v>
      </x:c>
      <x:c r="D3237" s="47" t="n">
        <x:v>15</x:v>
      </x:c>
      <x:c r="E3237" s="40" t="n">
        <x:v>14.6</x:v>
      </x:c>
      <x:c r="F3237" s="40" t="n">
        <x:v>12.988311767578125</x:v>
      </x:c>
      <x:c r="G3237" s="40" t="n">
        <x:v>14.7</x:v>
      </x:c>
      <x:c r="H3237" s="40" t="n">
        <x:f>F3237-E3237</x:f>
        <x:v>-1.6116882324218746</x:v>
      </x:c>
      <x:c r="I3237" s="40" t="n">
        <x:f>ABS(H3237)</x:f>
        <x:v>1.6116882324218746</x:v>
      </x:c>
      <x:c r="J3237" s="40" t="n">
        <x:f>H3237^2</x:f>
        <x:v>2.5975389585271467</x:v>
      </x:c>
      <x:c r="K3237" s="40" t="n">
        <x:f>G3237-E3237</x:f>
        <x:v>0.09999999999999964</x:v>
      </x:c>
      <x:c r="L3237" s="40" t="n">
        <x:f>ABS(K3237)</x:f>
        <x:v>0.09999999999999964</x:v>
      </x:c>
      <x:c r="M3237" s="41" t="str">
        <x:v>lstm-soil-v1</x:v>
      </x:c>
    </x:row>
    <x:row r="3238">
      <x:c r="A3238" s="38" t="str">
        <x:v>7月30日现场数据</x:v>
      </x:c>
      <x:c r="B3238" s="39" t="str">
        <x:v>2026-08-03T08:55:00</x:v>
      </x:c>
      <x:c r="C3238" s="39" t="str">
        <x:v>2026-08-03T09:25:00</x:v>
      </x:c>
      <x:c r="D3238" s="47" t="n">
        <x:v>30</x:v>
      </x:c>
      <x:c r="E3238" s="40" t="n">
        <x:v>14.7</x:v>
      </x:c>
      <x:c r="F3238" s="40" t="n">
        <x:v>13.620044708251953</x:v>
      </x:c>
      <x:c r="G3238" s="40" t="n">
        <x:v>14.7</x:v>
      </x:c>
      <x:c r="H3238" s="40" t="n">
        <x:f>F3238-E3238</x:f>
        <x:v>-1.0799552917480462</x:v>
      </x:c>
      <x:c r="I3238" s="40" t="n">
        <x:f>ABS(H3238)</x:f>
        <x:v>1.0799552917480462</x:v>
      </x:c>
      <x:c r="J3238" s="40" t="n">
        <x:f>H3238^2</x:f>
        <x:v>1.1663034321746075</x:v>
      </x:c>
      <x:c r="K3238" s="40" t="n">
        <x:f>G3238-E3238</x:f>
        <x:v>0</x:v>
      </x:c>
      <x:c r="L3238" s="40" t="n">
        <x:f>ABS(K3238)</x:f>
        <x:v>0</x:v>
      </x:c>
      <x:c r="M3238" s="41" t="str">
        <x:v>lstm-soil-v1</x:v>
      </x:c>
    </x:row>
    <x:row r="3239">
      <x:c r="A3239" s="38" t="str">
        <x:v>7月30日现场数据</x:v>
      </x:c>
      <x:c r="B3239" s="39" t="str">
        <x:v>2026-08-03T08:55:00</x:v>
      </x:c>
      <x:c r="C3239" s="39" t="str">
        <x:v>2026-08-03T09:55:00</x:v>
      </x:c>
      <x:c r="D3239" s="47" t="n">
        <x:v>60</x:v>
      </x:c>
      <x:c r="E3239" s="40" t="n">
        <x:v>14.5</x:v>
      </x:c>
      <x:c r="F3239" s="40" t="n">
        <x:v>15.384384155273438</x:v>
      </x:c>
      <x:c r="G3239" s="40" t="n">
        <x:v>14.7</x:v>
      </x:c>
      <x:c r="H3239" s="40" t="n">
        <x:f>F3239-E3239</x:f>
        <x:v>0.8843841552734375</x:v>
      </x:c>
      <x:c r="I3239" s="40" t="n">
        <x:f>ABS(H3239)</x:f>
        <x:v>0.8843841552734375</x:v>
      </x:c>
      <x:c r="J3239" s="40" t="n">
        <x:f>H3239^2</x:f>
        <x:v>0.7821353340987116</x:v>
      </x:c>
      <x:c r="K3239" s="40" t="n">
        <x:f>G3239-E3239</x:f>
        <x:v>0.1999999999999993</x:v>
      </x:c>
      <x:c r="L3239" s="40" t="n">
        <x:f>ABS(K3239)</x:f>
        <x:v>0.1999999999999993</x:v>
      </x:c>
      <x:c r="M3239" s="41" t="str">
        <x:v>lstm-soil-v1</x:v>
      </x:c>
    </x:row>
    <x:row r="3240">
      <x:c r="A3240" s="38" t="str">
        <x:v>7月30日现场数据</x:v>
      </x:c>
      <x:c r="B3240" s="39" t="str">
        <x:v>2026-08-03T09:00:00</x:v>
      </x:c>
      <x:c r="C3240" s="39" t="str">
        <x:v>2026-08-03T09:05:00</x:v>
      </x:c>
      <x:c r="D3240" s="47" t="n">
        <x:v>5</x:v>
      </x:c>
      <x:c r="E3240" s="40" t="n">
        <x:v>14.7</x:v>
      </x:c>
      <x:c r="F3240" s="40" t="n">
        <x:v>12.979225158691406</x:v>
      </x:c>
      <x:c r="G3240" s="40" t="n">
        <x:v>14.7</x:v>
      </x:c>
      <x:c r="H3240" s="40" t="n">
        <x:f>F3240-E3240</x:f>
        <x:v>-1.720774841308593</x:v>
      </x:c>
      <x:c r="I3240" s="40" t="n">
        <x:f>ABS(H3240)</x:f>
        <x:v>1.720774841308593</x:v>
      </x:c>
      <x:c r="J3240" s="40" t="n">
        <x:f>H3240^2</x:f>
        <x:v>2.9610660544806136</x:v>
      </x:c>
      <x:c r="K3240" s="40" t="n">
        <x:f>G3240-E3240</x:f>
        <x:v>0</x:v>
      </x:c>
      <x:c r="L3240" s="40" t="n">
        <x:f>ABS(K3240)</x:f>
        <x:v>0</x:v>
      </x:c>
      <x:c r="M3240" s="41" t="str">
        <x:v>lstm-soil-v1</x:v>
      </x:c>
    </x:row>
    <x:row r="3241">
      <x:c r="A3241" s="38" t="str">
        <x:v>7月30日现场数据</x:v>
      </x:c>
      <x:c r="B3241" s="39" t="str">
        <x:v>2026-08-03T09:00:00</x:v>
      </x:c>
      <x:c r="C3241" s="39" t="str">
        <x:v>2026-08-03T09:15:00</x:v>
      </x:c>
      <x:c r="D3241" s="47" t="n">
        <x:v>15</x:v>
      </x:c>
      <x:c r="E3241" s="40" t="n">
        <x:v>14.7</x:v>
      </x:c>
      <x:c r="F3241" s="40" t="n">
        <x:v>12.991138458251953</x:v>
      </x:c>
      <x:c r="G3241" s="40" t="n">
        <x:v>14.7</x:v>
      </x:c>
      <x:c r="H3241" s="40" t="n">
        <x:f>F3241-E3241</x:f>
        <x:v>-1.7088615417480462</x:v>
      </x:c>
      <x:c r="I3241" s="40" t="n">
        <x:f>ABS(H3241)</x:f>
        <x:v>1.7088615417480462</x:v>
      </x:c>
      <x:c r="J3241" s="40" t="n">
        <x:f>H3241^2</x:f>
        <x:v>2.9202077688655095</x:v>
      </x:c>
      <x:c r="K3241" s="40" t="n">
        <x:f>G3241-E3241</x:f>
        <x:v>0</x:v>
      </x:c>
      <x:c r="L3241" s="40" t="n">
        <x:f>ABS(K3241)</x:f>
        <x:v>0</x:v>
      </x:c>
      <x:c r="M3241" s="41" t="str">
        <x:v>lstm-soil-v1</x:v>
      </x:c>
    </x:row>
    <x:row r="3242">
      <x:c r="A3242" s="38" t="str">
        <x:v>7月30日现场数据</x:v>
      </x:c>
      <x:c r="B3242" s="39" t="str">
        <x:v>2026-08-03T09:00:00</x:v>
      </x:c>
      <x:c r="C3242" s="39" t="str">
        <x:v>2026-08-03T09:30:00</x:v>
      </x:c>
      <x:c r="D3242" s="47" t="n">
        <x:v>30</x:v>
      </x:c>
      <x:c r="E3242" s="40" t="n">
        <x:v>14.6</x:v>
      </x:c>
      <x:c r="F3242" s="40" t="n">
        <x:v>13.634891510009766</x:v>
      </x:c>
      <x:c r="G3242" s="40" t="n">
        <x:v>14.7</x:v>
      </x:c>
      <x:c r="H3242" s="40" t="n">
        <x:f>F3242-E3242</x:f>
        <x:v>-0.965108489990234</x:v>
      </x:c>
      <x:c r="I3242" s="40" t="n">
        <x:f>ABS(H3242)</x:f>
        <x:v>0.965108489990234</x:v>
      </x:c>
      <x:c r="J3242" s="40" t="n">
        <x:f>H3242^2</x:f>
        <x:v>0.9314343974512297</x:v>
      </x:c>
      <x:c r="K3242" s="40" t="n">
        <x:f>G3242-E3242</x:f>
        <x:v>0.09999999999999964</x:v>
      </x:c>
      <x:c r="L3242" s="40" t="n">
        <x:f>ABS(K3242)</x:f>
        <x:v>0.09999999999999964</x:v>
      </x:c>
      <x:c r="M3242" s="41" t="str">
        <x:v>lstm-soil-v1</x:v>
      </x:c>
    </x:row>
    <x:row r="3243">
      <x:c r="A3243" s="38" t="str">
        <x:v>7月30日现场数据</x:v>
      </x:c>
      <x:c r="B3243" s="39" t="str">
        <x:v>2026-08-03T09:00:00</x:v>
      </x:c>
      <x:c r="C3243" s="39" t="str">
        <x:v>2026-08-03T10:00:00</x:v>
      </x:c>
      <x:c r="D3243" s="47" t="n">
        <x:v>60</x:v>
      </x:c>
      <x:c r="E3243" s="40" t="n">
        <x:v>14.5</x:v>
      </x:c>
      <x:c r="F3243" s="40" t="n">
        <x:v>15.402969360351562</x:v>
      </x:c>
      <x:c r="G3243" s="40" t="n">
        <x:v>14.7</x:v>
      </x:c>
      <x:c r="H3243" s="40" t="n">
        <x:f>F3243-E3243</x:f>
        <x:v>0.9029693603515625</x:v>
      </x:c>
      <x:c r="I3243" s="40" t="n">
        <x:f>ABS(H3243)</x:f>
        <x:v>0.9029693603515625</x:v>
      </x:c>
      <x:c r="J3243" s="40" t="n">
        <x:f>H3243^2</x:f>
        <x:v>0.8153536657337099</x:v>
      </x:c>
      <x:c r="K3243" s="40" t="n">
        <x:f>G3243-E3243</x:f>
        <x:v>0.1999999999999993</x:v>
      </x:c>
      <x:c r="L3243" s="40" t="n">
        <x:f>ABS(K3243)</x:f>
        <x:v>0.1999999999999993</x:v>
      </x:c>
      <x:c r="M3243" s="41" t="str">
        <x:v>lstm-soil-v1</x:v>
      </x:c>
    </x:row>
    <x:row r="3244">
      <x:c r="A3244" s="38" t="str">
        <x:v>7月30日现场数据</x:v>
      </x:c>
      <x:c r="B3244" s="39" t="str">
        <x:v>2026-08-03T09:05:00</x:v>
      </x:c>
      <x:c r="C3244" s="39" t="str">
        <x:v>2026-08-03T09:10:00</x:v>
      </x:c>
      <x:c r="D3244" s="47" t="n">
        <x:v>5</x:v>
      </x:c>
      <x:c r="E3244" s="40" t="n">
        <x:v>14.6</x:v>
      </x:c>
      <x:c r="F3244" s="40" t="n">
        <x:v>12.978042602539062</x:v>
      </x:c>
      <x:c r="G3244" s="40" t="n">
        <x:v>14.7</x:v>
      </x:c>
      <x:c r="H3244" s="40" t="n">
        <x:f>F3244-E3244</x:f>
        <x:v>-1.6219573974609371</x:v>
      </x:c>
      <x:c r="I3244" s="40" t="n">
        <x:f>ABS(H3244)</x:f>
        <x:v>1.6219573974609371</x:v>
      </x:c>
      <x:c r="J3244" s="40" t="n">
        <x:f>H3244^2</x:f>
        <x:v>2.6307457991782566</x:v>
      </x:c>
      <x:c r="K3244" s="40" t="n">
        <x:f>G3244-E3244</x:f>
        <x:v>0.09999999999999964</x:v>
      </x:c>
      <x:c r="L3244" s="40" t="n">
        <x:f>ABS(K3244)</x:f>
        <x:v>0.09999999999999964</x:v>
      </x:c>
      <x:c r="M3244" s="41" t="str">
        <x:v>lstm-soil-v1</x:v>
      </x:c>
    </x:row>
    <x:row r="3245">
      <x:c r="A3245" s="38" t="str">
        <x:v>7月30日现场数据</x:v>
      </x:c>
      <x:c r="B3245" s="39" t="str">
        <x:v>2026-08-03T09:05:00</x:v>
      </x:c>
      <x:c r="C3245" s="39" t="str">
        <x:v>2026-08-03T09:20:00</x:v>
      </x:c>
      <x:c r="D3245" s="47" t="n">
        <x:v>15</x:v>
      </x:c>
      <x:c r="E3245" s="40" t="n">
        <x:v>14.6</x:v>
      </x:c>
      <x:c r="F3245" s="40" t="n">
        <x:v>12.994827270507812</x:v>
      </x:c>
      <x:c r="G3245" s="40" t="n">
        <x:v>14.7</x:v>
      </x:c>
      <x:c r="H3245" s="40" t="n">
        <x:f>F3245-E3245</x:f>
        <x:v>-1.6051727294921871</x:v>
      </x:c>
      <x:c r="I3245" s="40" t="n">
        <x:f>ABS(H3245)</x:f>
        <x:v>1.6051727294921871</x:v>
      </x:c>
      <x:c r="J3245" s="40" t="n">
        <x:f>H3245^2</x:f>
        <x:v>2.5765794915053983</x:v>
      </x:c>
      <x:c r="K3245" s="40" t="n">
        <x:f>G3245-E3245</x:f>
        <x:v>0.09999999999999964</x:v>
      </x:c>
      <x:c r="L3245" s="40" t="n">
        <x:f>ABS(K3245)</x:f>
        <x:v>0.09999999999999964</x:v>
      </x:c>
      <x:c r="M3245" s="41" t="str">
        <x:v>lstm-soil-v1</x:v>
      </x:c>
    </x:row>
    <x:row r="3246">
      <x:c r="A3246" s="38" t="str">
        <x:v>7月30日现场数据</x:v>
      </x:c>
      <x:c r="B3246" s="39" t="str">
        <x:v>2026-08-03T09:05:00</x:v>
      </x:c>
      <x:c r="C3246" s="39" t="str">
        <x:v>2026-08-03T09:35:00</x:v>
      </x:c>
      <x:c r="D3246" s="47" t="n">
        <x:v>30</x:v>
      </x:c>
      <x:c r="E3246" s="40" t="n">
        <x:v>14.5</x:v>
      </x:c>
      <x:c r="F3246" s="40" t="n">
        <x:v>13.642314910888672</x:v>
      </x:c>
      <x:c r="G3246" s="40" t="n">
        <x:v>14.7</x:v>
      </x:c>
      <x:c r="H3246" s="40" t="n">
        <x:f>F3246-E3246</x:f>
        <x:v>-0.8576850891113281</x:v>
      </x:c>
      <x:c r="I3246" s="40" t="n">
        <x:f>ABS(H3246)</x:f>
        <x:v>0.8576850891113281</x:v>
      </x:c>
      <x:c r="J3246" s="40" t="n">
        <x:f>H3246^2</x:f>
        <x:v>0.7356237120839069</x:v>
      </x:c>
      <x:c r="K3246" s="40" t="n">
        <x:f>G3246-E3246</x:f>
        <x:v>0.1999999999999993</x:v>
      </x:c>
      <x:c r="L3246" s="40" t="n">
        <x:f>ABS(K3246)</x:f>
        <x:v>0.1999999999999993</x:v>
      </x:c>
      <x:c r="M3246" s="41" t="str">
        <x:v>lstm-soil-v1</x:v>
      </x:c>
    </x:row>
    <x:row r="3247">
      <x:c r="A3247" s="38" t="str">
        <x:v>7月30日现场数据</x:v>
      </x:c>
      <x:c r="B3247" s="39" t="str">
        <x:v>2026-08-03T09:05:00</x:v>
      </x:c>
      <x:c r="C3247" s="39" t="str">
        <x:v>2026-08-03T10:05:00</x:v>
      </x:c>
      <x:c r="D3247" s="47" t="n">
        <x:v>60</x:v>
      </x:c>
      <x:c r="E3247" s="40" t="n">
        <x:v>14.5</x:v>
      </x:c>
      <x:c r="F3247" s="40" t="n">
        <x:v>15.407054901123047</x:v>
      </x:c>
      <x:c r="G3247" s="40" t="n">
        <x:v>14.7</x:v>
      </x:c>
      <x:c r="H3247" s="40" t="n">
        <x:f>F3247-E3247</x:f>
        <x:v>0.9070549011230469</x:v>
      </x:c>
      <x:c r="I3247" s="40" t="n">
        <x:f>ABS(H3247)</x:f>
        <x:v>0.9070549011230469</x:v>
      </x:c>
      <x:c r="J3247" s="40" t="n">
        <x:f>H3247^2</x:f>
        <x:v>0.8227485936513403</x:v>
      </x:c>
      <x:c r="K3247" s="40" t="n">
        <x:f>G3247-E3247</x:f>
        <x:v>0.1999999999999993</x:v>
      </x:c>
      <x:c r="L3247" s="40" t="n">
        <x:f>ABS(K3247)</x:f>
        <x:v>0.1999999999999993</x:v>
      </x:c>
      <x:c r="M3247" s="41" t="str">
        <x:v>lstm-soil-v1</x:v>
      </x:c>
    </x:row>
    <x:row r="3248">
      <x:c r="A3248" s="38" t="str">
        <x:v>7月30日现场数据</x:v>
      </x:c>
      <x:c r="B3248" s="39" t="str">
        <x:v>2026-08-03T09:10:00</x:v>
      </x:c>
      <x:c r="C3248" s="39" t="str">
        <x:v>2026-08-03T09:15:00</x:v>
      </x:c>
      <x:c r="D3248" s="47" t="n">
        <x:v>5</x:v>
      </x:c>
      <x:c r="E3248" s="40" t="n">
        <x:v>14.7</x:v>
      </x:c>
      <x:c r="F3248" s="40" t="n">
        <x:v>12.867935180664062</x:v>
      </x:c>
      <x:c r="G3248" s="40" t="n">
        <x:v>14.6</x:v>
      </x:c>
      <x:c r="H3248" s="40" t="n">
        <x:f>F3248-E3248</x:f>
        <x:v>-1.8320648193359368</x:v>
      </x:c>
      <x:c r="I3248" s="40" t="n">
        <x:f>ABS(H3248)</x:f>
        <x:v>1.8320648193359368</x:v>
      </x:c>
      <x:c r="J3248" s="40" t="n">
        <x:f>H3248^2</x:f>
        <x:v>3.3564615022484188</x:v>
      </x:c>
      <x:c r="K3248" s="40" t="n">
        <x:f>G3248-E3248</x:f>
        <x:v>-0.09999999999999964</x:v>
      </x:c>
      <x:c r="L3248" s="40" t="n">
        <x:f>ABS(K3248)</x:f>
        <x:v>0.09999999999999964</x:v>
      </x:c>
      <x:c r="M3248" s="41" t="str">
        <x:v>lstm-soil-v1</x:v>
      </x:c>
    </x:row>
    <x:row r="3249">
      <x:c r="A3249" s="38" t="str">
        <x:v>7月30日现场数据</x:v>
      </x:c>
      <x:c r="B3249" s="39" t="str">
        <x:v>2026-08-03T09:10:00</x:v>
      </x:c>
      <x:c r="C3249" s="39" t="str">
        <x:v>2026-08-03T09:25:00</x:v>
      </x:c>
      <x:c r="D3249" s="47" t="n">
        <x:v>15</x:v>
      </x:c>
      <x:c r="E3249" s="40" t="n">
        <x:v>14.7</x:v>
      </x:c>
      <x:c r="F3249" s="40" t="n">
        <x:v>12.886066436767578</x:v>
      </x:c>
      <x:c r="G3249" s="40" t="n">
        <x:v>14.6</x:v>
      </x:c>
      <x:c r="H3249" s="40" t="n">
        <x:f>F3249-E3249</x:f>
        <x:v>-1.8139335632324212</x:v>
      </x:c>
      <x:c r="I3249" s="40" t="n">
        <x:f>ABS(H3249)</x:f>
        <x:v>1.8139335632324212</x:v>
      </x:c>
      <x:c r="J3249" s="40" t="n">
        <x:f>H3249^2</x:f>
        <x:v>3.2903549718210683</x:v>
      </x:c>
      <x:c r="K3249" s="40" t="n">
        <x:f>G3249-E3249</x:f>
        <x:v>-0.09999999999999964</x:v>
      </x:c>
      <x:c r="L3249" s="40" t="n">
        <x:f>ABS(K3249)</x:f>
        <x:v>0.09999999999999964</x:v>
      </x:c>
      <x:c r="M3249" s="41" t="str">
        <x:v>lstm-soil-v1</x:v>
      </x:c>
    </x:row>
    <x:row r="3250">
      <x:c r="A3250" s="38" t="str">
        <x:v>7月30日现场数据</x:v>
      </x:c>
      <x:c r="B3250" s="39" t="str">
        <x:v>2026-08-03T09:10:00</x:v>
      </x:c>
      <x:c r="C3250" s="39" t="str">
        <x:v>2026-08-03T09:40:00</x:v>
      </x:c>
      <x:c r="D3250" s="47" t="n">
        <x:v>30</x:v>
      </x:c>
      <x:c r="E3250" s="40" t="n">
        <x:v>14.5</x:v>
      </x:c>
      <x:c r="F3250" s="40" t="n">
        <x:v>13.537071228027344</x:v>
      </x:c>
      <x:c r="G3250" s="40" t="n">
        <x:v>14.6</x:v>
      </x:c>
      <x:c r="H3250" s="40" t="n">
        <x:f>F3250-E3250</x:f>
        <x:v>-0.9629287719726562</x:v>
      </x:c>
      <x:c r="I3250" s="40" t="n">
        <x:f>ABS(H3250)</x:f>
        <x:v>0.9629287719726562</x:v>
      </x:c>
      <x:c r="J3250" s="40" t="n">
        <x:f>H3250^2</x:f>
        <x:v>0.9272318198927678</x:v>
      </x:c>
      <x:c r="K3250" s="40" t="n">
        <x:f>G3250-E3250</x:f>
        <x:v>0.09999999999999964</x:v>
      </x:c>
      <x:c r="L3250" s="40" t="n">
        <x:f>ABS(K3250)</x:f>
        <x:v>0.09999999999999964</x:v>
      </x:c>
      <x:c r="M3250" s="41" t="str">
        <x:v>lstm-soil-v1</x:v>
      </x:c>
    </x:row>
    <x:row r="3251">
      <x:c r="A3251" s="38" t="str">
        <x:v>7月30日现场数据</x:v>
      </x:c>
      <x:c r="B3251" s="39" t="str">
        <x:v>2026-08-03T09:10:00</x:v>
      </x:c>
      <x:c r="C3251" s="39" t="str">
        <x:v>2026-08-03T10:10:00</x:v>
      </x:c>
      <x:c r="D3251" s="47" t="n">
        <x:v>60</x:v>
      </x:c>
      <x:c r="E3251" s="40" t="n">
        <x:v>14.5</x:v>
      </x:c>
      <x:c r="F3251" s="40" t="n">
        <x:v>15.304557800292969</x:v>
      </x:c>
      <x:c r="G3251" s="40" t="n">
        <x:v>14.6</x:v>
      </x:c>
      <x:c r="H3251" s="40" t="n">
        <x:f>F3251-E3251</x:f>
        <x:v>0.8045578002929688</x:v>
      </x:c>
      <x:c r="I3251" s="40" t="n">
        <x:f>ABS(H3251)</x:f>
        <x:v>0.8045578002929688</x:v>
      </x:c>
      <x:c r="J3251" s="40" t="n">
        <x:f>H3251^2</x:f>
        <x:v>0.6473132540122606</x:v>
      </x:c>
      <x:c r="K3251" s="40" t="n">
        <x:f>G3251-E3251</x:f>
        <x:v>0.09999999999999964</x:v>
      </x:c>
      <x:c r="L3251" s="40" t="n">
        <x:f>ABS(K3251)</x:f>
        <x:v>0.09999999999999964</x:v>
      </x:c>
      <x:c r="M3251" s="41" t="str">
        <x:v>lstm-soil-v1</x:v>
      </x:c>
    </x:row>
    <x:row r="3252">
      <x:c r="A3252" s="38" t="str">
        <x:v>7月30日现场数据</x:v>
      </x:c>
      <x:c r="B3252" s="39" t="str">
        <x:v>2026-08-03T09:15:00</x:v>
      </x:c>
      <x:c r="C3252" s="39" t="str">
        <x:v>2026-08-03T09:20:00</x:v>
      </x:c>
      <x:c r="D3252" s="47" t="n">
        <x:v>5</x:v>
      </x:c>
      <x:c r="E3252" s="40" t="n">
        <x:v>14.6</x:v>
      </x:c>
      <x:c r="F3252" s="40" t="n">
        <x:v>12.977840423583984</x:v>
      </x:c>
      <x:c r="G3252" s="40" t="n">
        <x:v>14.7</x:v>
      </x:c>
      <x:c r="H3252" s="40" t="n">
        <x:f>F3252-E3252</x:f>
        <x:v>-1.6221595764160153</x:v>
      </x:c>
      <x:c r="I3252" s="40" t="n">
        <x:f>ABS(H3252)</x:f>
        <x:v>1.6221595764160153</x:v>
      </x:c>
      <x:c r="J3252" s="40" t="n">
        <x:f>H3252^2</x:f>
        <x:v>2.631401691358186</x:v>
      </x:c>
      <x:c r="K3252" s="40" t="n">
        <x:f>G3252-E3252</x:f>
        <x:v>0.09999999999999964</x:v>
      </x:c>
      <x:c r="L3252" s="40" t="n">
        <x:f>ABS(K3252)</x:f>
        <x:v>0.09999999999999964</x:v>
      </x:c>
      <x:c r="M3252" s="41" t="str">
        <x:v>lstm-soil-v1</x:v>
      </x:c>
    </x:row>
    <x:row r="3253">
      <x:c r="A3253" s="38" t="str">
        <x:v>7月30日现场数据</x:v>
      </x:c>
      <x:c r="B3253" s="39" t="str">
        <x:v>2026-08-03T09:15:00</x:v>
      </x:c>
      <x:c r="C3253" s="39" t="str">
        <x:v>2026-08-03T09:30:00</x:v>
      </x:c>
      <x:c r="D3253" s="47" t="n">
        <x:v>15</x:v>
      </x:c>
      <x:c r="E3253" s="40" t="n">
        <x:v>14.6</x:v>
      </x:c>
      <x:c r="F3253" s="40" t="n">
        <x:v>12.997196197509766</x:v>
      </x:c>
      <x:c r="G3253" s="40" t="n">
        <x:v>14.7</x:v>
      </x:c>
      <x:c r="H3253" s="40" t="n">
        <x:f>F3253-E3253</x:f>
        <x:v>-1.602803802490234</x:v>
      </x:c>
      <x:c r="I3253" s="40" t="n">
        <x:f>ABS(H3253)</x:f>
        <x:v>1.602803802490234</x:v>
      </x:c>
      <x:c r="J3253" s="40" t="n">
        <x:f>H3253^2</x:f>
        <x:v>2.568980029277153</x:v>
      </x:c>
      <x:c r="K3253" s="40" t="n">
        <x:f>G3253-E3253</x:f>
        <x:v>0.09999999999999964</x:v>
      </x:c>
      <x:c r="L3253" s="40" t="n">
        <x:f>ABS(K3253)</x:f>
        <x:v>0.09999999999999964</x:v>
      </x:c>
      <x:c r="M3253" s="41" t="str">
        <x:v>lstm-soil-v1</x:v>
      </x:c>
    </x:row>
    <x:row r="3254">
      <x:c r="A3254" s="38" t="str">
        <x:v>7月30日现场数据</x:v>
      </x:c>
      <x:c r="B3254" s="39" t="str">
        <x:v>2026-08-03T09:15:00</x:v>
      </x:c>
      <x:c r="C3254" s="39" t="str">
        <x:v>2026-08-03T09:45:00</x:v>
      </x:c>
      <x:c r="D3254" s="47" t="n">
        <x:v>30</x:v>
      </x:c>
      <x:c r="E3254" s="40" t="n">
        <x:v>14.5</x:v>
      </x:c>
      <x:c r="F3254" s="40" t="n">
        <x:v>13.650409698486328</x:v>
      </x:c>
      <x:c r="G3254" s="40" t="n">
        <x:v>14.7</x:v>
      </x:c>
      <x:c r="H3254" s="40" t="n">
        <x:f>F3254-E3254</x:f>
        <x:v>-0.8495903015136719</x:v>
      </x:c>
      <x:c r="I3254" s="40" t="n">
        <x:f>ABS(H3254)</x:f>
        <x:v>0.8495903015136719</x:v>
      </x:c>
      <x:c r="J3254" s="40" t="n">
        <x:f>H3254^2</x:f>
        <x:v>0.7218036804260919</x:v>
      </x:c>
      <x:c r="K3254" s="40" t="n">
        <x:f>G3254-E3254</x:f>
        <x:v>0.1999999999999993</x:v>
      </x:c>
      <x:c r="L3254" s="40" t="n">
        <x:f>ABS(K3254)</x:f>
        <x:v>0.1999999999999993</x:v>
      </x:c>
      <x:c r="M3254" s="41" t="str">
        <x:v>lstm-soil-v1</x:v>
      </x:c>
    </x:row>
    <x:row r="3255">
      <x:c r="A3255" s="38" t="str">
        <x:v>7月30日现场数据</x:v>
      </x:c>
      <x:c r="B3255" s="39" t="str">
        <x:v>2026-08-03T09:15:00</x:v>
      </x:c>
      <x:c r="C3255" s="39" t="str">
        <x:v>2026-08-03T10:15:00</x:v>
      </x:c>
      <x:c r="D3255" s="47" t="n">
        <x:v>60</x:v>
      </x:c>
      <x:c r="E3255" s="40" t="n">
        <x:v>14.4</x:v>
      </x:c>
      <x:c r="F3255" s="40" t="n">
        <x:v>15.420581817626953</x:v>
      </x:c>
      <x:c r="G3255" s="40" t="n">
        <x:v>14.7</x:v>
      </x:c>
      <x:c r="H3255" s="40" t="n">
        <x:f>F3255-E3255</x:f>
        <x:v>1.0205818176269528</x:v>
      </x:c>
      <x:c r="I3255" s="40" t="n">
        <x:f>ABS(H3255)</x:f>
        <x:v>1.0205818176269528</x:v>
      </x:c>
      <x:c r="J3255" s="40" t="n">
        <x:f>H3255^2</x:f>
        <x:v>1.0415872464707348</x:v>
      </x:c>
      <x:c r="K3255" s="40" t="n">
        <x:f>G3255-E3255</x:f>
        <x:v>0.29999999999999893</x:v>
      </x:c>
      <x:c r="L3255" s="40" t="n">
        <x:f>ABS(K3255)</x:f>
        <x:v>0.29999999999999893</x:v>
      </x:c>
      <x:c r="M3255" s="41" t="str">
        <x:v>lstm-soil-v1</x:v>
      </x:c>
    </x:row>
    <x:row r="3256">
      <x:c r="A3256" s="38" t="str">
        <x:v>7月30日现场数据</x:v>
      </x:c>
      <x:c r="B3256" s="39" t="str">
        <x:v>2026-08-03T09:20:00</x:v>
      </x:c>
      <x:c r="C3256" s="39" t="str">
        <x:v>2026-08-03T09:25:00</x:v>
      </x:c>
      <x:c r="D3256" s="47" t="n">
        <x:v>5</x:v>
      </x:c>
      <x:c r="E3256" s="40" t="n">
        <x:v>14.7</x:v>
      </x:c>
      <x:c r="F3256" s="40" t="n">
        <x:v>12.867485046386719</x:v>
      </x:c>
      <x:c r="G3256" s="40" t="n">
        <x:v>14.6</x:v>
      </x:c>
      <x:c r="H3256" s="40" t="n">
        <x:f>F3256-E3256</x:f>
        <x:v>-1.8325149536132805</x:v>
      </x:c>
      <x:c r="I3256" s="40" t="n">
        <x:f>ABS(H3256)</x:f>
        <x:v>1.8325149536132805</x:v>
      </x:c>
      <x:c r="J3256" s="40" t="n">
        <x:f>H3256^2</x:f>
        <x:v>3.3581110552162836</x:v>
      </x:c>
      <x:c r="K3256" s="40" t="n">
        <x:f>G3256-E3256</x:f>
        <x:v>-0.09999999999999964</x:v>
      </x:c>
      <x:c r="L3256" s="40" t="n">
        <x:f>ABS(K3256)</x:f>
        <x:v>0.09999999999999964</x:v>
      </x:c>
      <x:c r="M3256" s="41" t="str">
        <x:v>lstm-soil-v1</x:v>
      </x:c>
    </x:row>
    <x:row r="3257">
      <x:c r="A3257" s="38" t="str">
        <x:v>7月30日现场数据</x:v>
      </x:c>
      <x:c r="B3257" s="39" t="str">
        <x:v>2026-08-03T09:20:00</x:v>
      </x:c>
      <x:c r="C3257" s="39" t="str">
        <x:v>2026-08-03T09:35:00</x:v>
      </x:c>
      <x:c r="D3257" s="47" t="n">
        <x:v>15</x:v>
      </x:c>
      <x:c r="E3257" s="40" t="n">
        <x:v>14.5</x:v>
      </x:c>
      <x:c r="F3257" s="40" t="n">
        <x:v>12.888111114501953</x:v>
      </x:c>
      <x:c r="G3257" s="40" t="n">
        <x:v>14.6</x:v>
      </x:c>
      <x:c r="H3257" s="40" t="n">
        <x:f>F3257-E3257</x:f>
        <x:v>-1.6118888854980469</x:v>
      </x:c>
      <x:c r="I3257" s="40" t="n">
        <x:f>ABS(H3257)</x:f>
        <x:v>1.6118888854980469</x:v>
      </x:c>
      <x:c r="J3257" s="40" t="n">
        <x:f>H3257^2</x:f>
        <x:v>2.5981857791921357</x:v>
      </x:c>
      <x:c r="K3257" s="40" t="n">
        <x:f>G3257-E3257</x:f>
        <x:v>0.09999999999999964</x:v>
      </x:c>
      <x:c r="L3257" s="40" t="n">
        <x:f>ABS(K3257)</x:f>
        <x:v>0.09999999999999964</x:v>
      </x:c>
      <x:c r="M3257" s="41" t="str">
        <x:v>lstm-soil-v1</x:v>
      </x:c>
    </x:row>
    <x:row r="3258">
      <x:c r="A3258" s="38" t="str">
        <x:v>7月30日现场数据</x:v>
      </x:c>
      <x:c r="B3258" s="39" t="str">
        <x:v>2026-08-03T09:20:00</x:v>
      </x:c>
      <x:c r="C3258" s="39" t="str">
        <x:v>2026-08-03T09:50:00</x:v>
      </x:c>
      <x:c r="D3258" s="47" t="n">
        <x:v>30</x:v>
      </x:c>
      <x:c r="E3258" s="40" t="n">
        <x:v>14.5</x:v>
      </x:c>
      <x:c r="F3258" s="40" t="n">
        <x:v>13.544063568115234</x:v>
      </x:c>
      <x:c r="G3258" s="40" t="n">
        <x:v>14.6</x:v>
      </x:c>
      <x:c r="H3258" s="40" t="n">
        <x:f>F3258-E3258</x:f>
        <x:v>-0.9559364318847656</x:v>
      </x:c>
      <x:c r="I3258" s="40" t="n">
        <x:f>ABS(H3258)</x:f>
        <x:v>0.9559364318847656</x:v>
      </x:c>
      <x:c r="J3258" s="40" t="n">
        <x:f>H3258^2</x:f>
        <x:v>0.9138144618045771</x:v>
      </x:c>
      <x:c r="K3258" s="40" t="n">
        <x:f>G3258-E3258</x:f>
        <x:v>0.09999999999999964</x:v>
      </x:c>
      <x:c r="L3258" s="40" t="n">
        <x:f>ABS(K3258)</x:f>
        <x:v>0.09999999999999964</x:v>
      </x:c>
      <x:c r="M3258" s="41" t="str">
        <x:v>lstm-soil-v1</x:v>
      </x:c>
    </x:row>
    <x:row r="3259">
      <x:c r="A3259" s="38" t="str">
        <x:v>7月30日现场数据</x:v>
      </x:c>
      <x:c r="B3259" s="39" t="str">
        <x:v>2026-08-03T09:20:00</x:v>
      </x:c>
      <x:c r="C3259" s="39" t="str">
        <x:v>2026-08-03T10:20:00</x:v>
      </x:c>
      <x:c r="D3259" s="47" t="n">
        <x:v>60</x:v>
      </x:c>
      <x:c r="E3259" s="40" t="n">
        <x:v>14.3</x:v>
      </x:c>
      <x:c r="F3259" s="40" t="n">
        <x:v>15.315685272216797</x:v>
      </x:c>
      <x:c r="G3259" s="40" t="n">
        <x:v>14.6</x:v>
      </x:c>
      <x:c r="H3259" s="40" t="n">
        <x:f>F3259-E3259</x:f>
        <x:v>1.0156852722167962</x:v>
      </x:c>
      <x:c r="I3259" s="40" t="n">
        <x:f>ABS(H3259)</x:f>
        <x:v>1.0156852722167962</x:v>
      </x:c>
      <x:c r="J3259" s="40" t="n">
        <x:f>H3259^2</x:f>
        <x:v>1.0316165721981074</x:v>
      </x:c>
      <x:c r="K3259" s="40" t="n">
        <x:f>G3259-E3259</x:f>
        <x:v>0.29999999999999893</x:v>
      </x:c>
      <x:c r="L3259" s="40" t="n">
        <x:f>ABS(K3259)</x:f>
        <x:v>0.29999999999999893</x:v>
      </x:c>
      <x:c r="M3259" s="41" t="str">
        <x:v>lstm-soil-v1</x:v>
      </x:c>
    </x:row>
    <x:row r="3260">
      <x:c r="A3260" s="38" t="str">
        <x:v>7月30日现场数据</x:v>
      </x:c>
      <x:c r="B3260" s="39" t="str">
        <x:v>2026-08-03T09:25:00</x:v>
      </x:c>
      <x:c r="C3260" s="39" t="str">
        <x:v>2026-08-03T09:30:00</x:v>
      </x:c>
      <x:c r="D3260" s="47" t="n">
        <x:v>5</x:v>
      </x:c>
      <x:c r="E3260" s="40" t="n">
        <x:v>14.6</x:v>
      </x:c>
      <x:c r="F3260" s="40" t="n">
        <x:v>12.977588653564453</x:v>
      </x:c>
      <x:c r="G3260" s="40" t="n">
        <x:v>14.7</x:v>
      </x:c>
      <x:c r="H3260" s="40" t="n">
        <x:f>F3260-E3260</x:f>
        <x:v>-1.6224113464355465</x:v>
      </x:c>
      <x:c r="I3260" s="40" t="n">
        <x:f>ABS(H3260)</x:f>
        <x:v>1.6224113464355465</x:v>
      </x:c>
      <x:c r="J3260" s="40" t="n">
        <x:f>H3260^2</x:f>
        <x:v>2.632218577042803</x:v>
      </x:c>
      <x:c r="K3260" s="40" t="n">
        <x:f>G3260-E3260</x:f>
        <x:v>0.09999999999999964</x:v>
      </x:c>
      <x:c r="L3260" s="40" t="n">
        <x:f>ABS(K3260)</x:f>
        <x:v>0.09999999999999964</x:v>
      </x:c>
      <x:c r="M3260" s="41" t="str">
        <x:v>lstm-soil-v1</x:v>
      </x:c>
    </x:row>
    <x:row r="3261">
      <x:c r="A3261" s="38" t="str">
        <x:v>7月30日现场数据</x:v>
      </x:c>
      <x:c r="B3261" s="39" t="str">
        <x:v>2026-08-03T09:25:00</x:v>
      </x:c>
      <x:c r="C3261" s="39" t="str">
        <x:v>2026-08-03T09:40:00</x:v>
      </x:c>
      <x:c r="D3261" s="47" t="n">
        <x:v>15</x:v>
      </x:c>
      <x:c r="E3261" s="40" t="n">
        <x:v>14.5</x:v>
      </x:c>
      <x:c r="F3261" s="40" t="n">
        <x:v>12.999675750732422</x:v>
      </x:c>
      <x:c r="G3261" s="40" t="n">
        <x:v>14.7</x:v>
      </x:c>
      <x:c r="H3261" s="40" t="n">
        <x:f>F3261-E3261</x:f>
        <x:v>-1.5003242492675781</x:v>
      </x:c>
      <x:c r="I3261" s="40" t="n">
        <x:f>ABS(H3261)</x:f>
        <x:v>1.5003242492675781</x:v>
      </x:c>
      <x:c r="J3261" s="40" t="n">
        <x:f>H3261^2</x:f>
        <x:v>2.250972852940322</x:v>
      </x:c>
      <x:c r="K3261" s="40" t="n">
        <x:f>G3261-E3261</x:f>
        <x:v>0.1999999999999993</x:v>
      </x:c>
      <x:c r="L3261" s="40" t="n">
        <x:f>ABS(K3261)</x:f>
        <x:v>0.1999999999999993</x:v>
      </x:c>
      <x:c r="M3261" s="41" t="str">
        <x:v>lstm-soil-v1</x:v>
      </x:c>
    </x:row>
    <x:row r="3262">
      <x:c r="A3262" s="38" t="str">
        <x:v>7月30日现场数据</x:v>
      </x:c>
      <x:c r="B3262" s="39" t="str">
        <x:v>2026-08-03T09:25:00</x:v>
      </x:c>
      <x:c r="C3262" s="39" t="str">
        <x:v>2026-08-03T09:55:00</x:v>
      </x:c>
      <x:c r="D3262" s="47" t="n">
        <x:v>30</x:v>
      </x:c>
      <x:c r="E3262" s="40" t="n">
        <x:v>14.5</x:v>
      </x:c>
      <x:c r="F3262" s="40" t="n">
        <x:v>13.658184051513672</x:v>
      </x:c>
      <x:c r="G3262" s="40" t="n">
        <x:v>14.7</x:v>
      </x:c>
      <x:c r="H3262" s="40" t="n">
        <x:f>F3262-E3262</x:f>
        <x:v>-0.8418159484863281</x:v>
      </x:c>
      <x:c r="I3262" s="40" t="n">
        <x:f>ABS(H3262)</x:f>
        <x:v>0.8418159484863281</x:v>
      </x:c>
      <x:c r="J3262" s="40" t="n">
        <x:f>H3262^2</x:f>
        <x:v>0.7086540911259362</x:v>
      </x:c>
      <x:c r="K3262" s="40" t="n">
        <x:f>G3262-E3262</x:f>
        <x:v>0.1999999999999993</x:v>
      </x:c>
      <x:c r="L3262" s="40" t="n">
        <x:f>ABS(K3262)</x:f>
        <x:v>0.1999999999999993</x:v>
      </x:c>
      <x:c r="M3262" s="41" t="str">
        <x:v>lstm-soil-v1</x:v>
      </x:c>
    </x:row>
    <x:row r="3263">
      <x:c r="A3263" s="38" t="str">
        <x:v>7月30日现场数据</x:v>
      </x:c>
      <x:c r="B3263" s="39" t="str">
        <x:v>2026-08-03T09:25:00</x:v>
      </x:c>
      <x:c r="C3263" s="39" t="str">
        <x:v>2026-08-03T10:25:00</x:v>
      </x:c>
      <x:c r="D3263" s="47" t="n">
        <x:v>60</x:v>
      </x:c>
      <x:c r="E3263" s="40" t="n">
        <x:v>14.3</x:v>
      </x:c>
      <x:c r="F3263" s="40" t="n">
        <x:v>15.42989730834961</x:v>
      </x:c>
      <x:c r="G3263" s="40" t="n">
        <x:v>14.7</x:v>
      </x:c>
      <x:c r="H3263" s="40" t="n">
        <x:f>F3263-E3263</x:f>
        <x:v>1.1298973083496087</x:v>
      </x:c>
      <x:c r="I3263" s="40" t="n">
        <x:f>ABS(H3263)</x:f>
        <x:v>1.1298973083496087</x:v>
      </x:c>
      <x:c r="J3263" s="40" t="n">
        <x:f>H3263^2</x:f>
        <x:v>1.2766679274156907</x:v>
      </x:c>
      <x:c r="K3263" s="40" t="n">
        <x:f>G3263-E3263</x:f>
        <x:v>0.3999999999999986</x:v>
      </x:c>
      <x:c r="L3263" s="40" t="n">
        <x:f>ABS(K3263)</x:f>
        <x:v>0.3999999999999986</x:v>
      </x:c>
      <x:c r="M3263" s="41" t="str">
        <x:v>lstm-soil-v1</x:v>
      </x:c>
    </x:row>
    <x:row r="3264">
      <x:c r="A3264" s="38" t="str">
        <x:v>7月30日现场数据</x:v>
      </x:c>
      <x:c r="B3264" s="39" t="str">
        <x:v>2026-08-03T09:30:00</x:v>
      </x:c>
      <x:c r="C3264" s="39" t="str">
        <x:v>2026-08-03T09:35:00</x:v>
      </x:c>
      <x:c r="D3264" s="47" t="n">
        <x:v>5</x:v>
      </x:c>
      <x:c r="E3264" s="40" t="n">
        <x:v>14.5</x:v>
      </x:c>
      <x:c r="F3264" s="40" t="n">
        <x:v>12.865623474121094</x:v>
      </x:c>
      <x:c r="G3264" s="40" t="n">
        <x:v>14.6</x:v>
      </x:c>
      <x:c r="H3264" s="40" t="n">
        <x:f>F3264-E3264</x:f>
        <x:v>-1.6343765258789062</x:v>
      </x:c>
      <x:c r="I3264" s="40" t="n">
        <x:f>ABS(H3264)</x:f>
        <x:v>1.6343765258789062</x:v>
      </x:c>
      <x:c r="J3264" s="40" t="n">
        <x:f>H3264^2</x:f>
        <x:v>2.671186628344003</x:v>
      </x:c>
      <x:c r="K3264" s="40" t="n">
        <x:f>G3264-E3264</x:f>
        <x:v>0.09999999999999964</x:v>
      </x:c>
      <x:c r="L3264" s="40" t="n">
        <x:f>ABS(K3264)</x:f>
        <x:v>0.09999999999999964</x:v>
      </x:c>
      <x:c r="M3264" s="41" t="str">
        <x:v>lstm-soil-v1</x:v>
      </x:c>
    </x:row>
    <x:row r="3265">
      <x:c r="A3265" s="38" t="str">
        <x:v>7月30日现场数据</x:v>
      </x:c>
      <x:c r="B3265" s="39" t="str">
        <x:v>2026-08-03T09:30:00</x:v>
      </x:c>
      <x:c r="C3265" s="39" t="str">
        <x:v>2026-08-03T09:45:00</x:v>
      </x:c>
      <x:c r="D3265" s="47" t="n">
        <x:v>15</x:v>
      </x:c>
      <x:c r="E3265" s="40" t="n">
        <x:v>14.5</x:v>
      </x:c>
      <x:c r="F3265" s="40" t="n">
        <x:v>12.892356872558594</x:v>
      </x:c>
      <x:c r="G3265" s="40" t="n">
        <x:v>14.6</x:v>
      </x:c>
      <x:c r="H3265" s="40" t="n">
        <x:f>F3265-E3265</x:f>
        <x:v>-1.6076431274414062</x:v>
      </x:c>
      <x:c r="I3265" s="40" t="n">
        <x:f>ABS(H3265)</x:f>
        <x:v>1.6076431274414062</x:v>
      </x:c>
      <x:c r="J3265" s="40" t="n">
        <x:f>H3265^2</x:f>
        <x:v>2.5845164252095856</x:v>
      </x:c>
      <x:c r="K3265" s="40" t="n">
        <x:f>G3265-E3265</x:f>
        <x:v>0.09999999999999964</x:v>
      </x:c>
      <x:c r="L3265" s="40" t="n">
        <x:f>ABS(K3265)</x:f>
        <x:v>0.09999999999999964</x:v>
      </x:c>
      <x:c r="M3265" s="41" t="str">
        <x:v>lstm-soil-v1</x:v>
      </x:c>
    </x:row>
    <x:row r="3266">
      <x:c r="A3266" s="38" t="str">
        <x:v>7月30日现场数据</x:v>
      </x:c>
      <x:c r="B3266" s="39" t="str">
        <x:v>2026-08-03T09:30:00</x:v>
      </x:c>
      <x:c r="C3266" s="39" t="str">
        <x:v>2026-08-03T10:00:00</x:v>
      </x:c>
      <x:c r="D3266" s="47" t="n">
        <x:v>30</x:v>
      </x:c>
      <x:c r="E3266" s="40" t="n">
        <x:v>14.5</x:v>
      </x:c>
      <x:c r="F3266" s="40" t="n">
        <x:v>13.55606460571289</x:v>
      </x:c>
      <x:c r="G3266" s="40" t="n">
        <x:v>14.6</x:v>
      </x:c>
      <x:c r="H3266" s="40" t="n">
        <x:f>F3266-E3266</x:f>
        <x:v>-0.9439353942871094</x:v>
      </x:c>
      <x:c r="I3266" s="40" t="n">
        <x:f>ABS(H3266)</x:f>
        <x:v>0.9439353942871094</x:v>
      </x:c>
      <x:c r="J3266" s="40" t="n">
        <x:f>H3266^2</x:f>
        <x:v>0.8910140285879606</x:v>
      </x:c>
      <x:c r="K3266" s="40" t="n">
        <x:f>G3266-E3266</x:f>
        <x:v>0.09999999999999964</x:v>
      </x:c>
      <x:c r="L3266" s="40" t="n">
        <x:f>ABS(K3266)</x:f>
        <x:v>0.09999999999999964</x:v>
      </x:c>
      <x:c r="M3266" s="41" t="str">
        <x:v>lstm-soil-v1</x:v>
      </x:c>
    </x:row>
    <x:row r="3267">
      <x:c r="A3267" s="38" t="str">
        <x:v>7月30日现场数据</x:v>
      </x:c>
      <x:c r="B3267" s="39" t="str">
        <x:v>2026-08-03T09:30:00</x:v>
      </x:c>
      <x:c r="C3267" s="39" t="str">
        <x:v>2026-08-03T10:30:00</x:v>
      </x:c>
      <x:c r="D3267" s="47" t="n">
        <x:v>60</x:v>
      </x:c>
      <x:c r="E3267" s="40" t="n">
        <x:v>14.4</x:v>
      </x:c>
      <x:c r="F3267" s="40" t="n">
        <x:v>15.325569152832031</x:v>
      </x:c>
      <x:c r="G3267" s="40" t="n">
        <x:v>14.6</x:v>
      </x:c>
      <x:c r="H3267" s="40" t="n">
        <x:f>F3267-E3267</x:f>
        <x:v>0.9255691528320309</x:v>
      </x:c>
      <x:c r="I3267" s="40" t="n">
        <x:f>ABS(H3267)</x:f>
        <x:v>0.9255691528320309</x:v>
      </x:c>
      <x:c r="J3267" s="40" t="n">
        <x:f>H3267^2</x:f>
        <x:v>0.8566782566742034</x:v>
      </x:c>
      <x:c r="K3267" s="40" t="n">
        <x:f>G3267-E3267</x:f>
        <x:v>0.1999999999999993</x:v>
      </x:c>
      <x:c r="L3267" s="40" t="n">
        <x:f>ABS(K3267)</x:f>
        <x:v>0.1999999999999993</x:v>
      </x:c>
      <x:c r="M3267" s="41" t="str">
        <x:v>lstm-soil-v1</x:v>
      </x:c>
    </x:row>
    <x:row r="3268">
      <x:c r="A3268" s="38" t="str">
        <x:v>7月30日现场数据</x:v>
      </x:c>
      <x:c r="B3268" s="39" t="str">
        <x:v>2026-08-03T09:35:00</x:v>
      </x:c>
      <x:c r="C3268" s="39" t="str">
        <x:v>2026-08-03T09:40:00</x:v>
      </x:c>
      <x:c r="D3268" s="47" t="n">
        <x:v>5</x:v>
      </x:c>
      <x:c r="E3268" s="40" t="n">
        <x:v>14.5</x:v>
      </x:c>
      <x:c r="F3268" s="40" t="n">
        <x:v>12.753425598144531</x:v>
      </x:c>
      <x:c r="G3268" s="40" t="n">
        <x:v>14.5</x:v>
      </x:c>
      <x:c r="H3268" s="40" t="n">
        <x:f>F3268-E3268</x:f>
        <x:v>-1.7465744018554688</x:v>
      </x:c>
      <x:c r="I3268" s="40" t="n">
        <x:f>ABS(H3268)</x:f>
        <x:v>1.7465744018554688</x:v>
      </x:c>
      <x:c r="J3268" s="40" t="n">
        <x:f>H3268^2</x:f>
        <x:v>3.0505221412167884</x:v>
      </x:c>
      <x:c r="K3268" s="40" t="n">
        <x:f>G3268-E3268</x:f>
        <x:v>0</x:v>
      </x:c>
      <x:c r="L3268" s="40" t="n">
        <x:f>ABS(K3268)</x:f>
        <x:v>0</x:v>
      </x:c>
      <x:c r="M3268" s="41" t="str">
        <x:v>lstm-soil-v1</x:v>
      </x:c>
    </x:row>
    <x:row r="3269">
      <x:c r="A3269" s="38" t="str">
        <x:v>7月30日现场数据</x:v>
      </x:c>
      <x:c r="B3269" s="39" t="str">
        <x:v>2026-08-03T09:35:00</x:v>
      </x:c>
      <x:c r="C3269" s="39" t="str">
        <x:v>2026-08-03T09:50:00</x:v>
      </x:c>
      <x:c r="D3269" s="47" t="n">
        <x:v>15</x:v>
      </x:c>
      <x:c r="E3269" s="40" t="n">
        <x:v>14.5</x:v>
      </x:c>
      <x:c r="F3269" s="40" t="n">
        <x:v>12.784191131591797</x:v>
      </x:c>
      <x:c r="G3269" s="40" t="n">
        <x:v>14.5</x:v>
      </x:c>
      <x:c r="H3269" s="40" t="n">
        <x:f>F3269-E3269</x:f>
        <x:v>-1.7158088684082031</x:v>
      </x:c>
      <x:c r="I3269" s="40" t="n">
        <x:f>ABS(H3269)</x:f>
        <x:v>1.7158088684082031</x:v>
      </x:c>
      <x:c r="J3269" s="40" t="n">
        <x:f>H3269^2</x:f>
        <x:v>2.9440000729082385</x:v>
      </x:c>
      <x:c r="K3269" s="40" t="n">
        <x:f>G3269-E3269</x:f>
        <x:v>0</x:v>
      </x:c>
      <x:c r="L3269" s="40" t="n">
        <x:f>ABS(K3269)</x:f>
        <x:v>0</x:v>
      </x:c>
      <x:c r="M3269" s="41" t="str">
        <x:v>lstm-soil-v1</x:v>
      </x:c>
    </x:row>
    <x:row r="3270">
      <x:c r="A3270" s="38" t="str">
        <x:v>7月30日现场数据</x:v>
      </x:c>
      <x:c r="B3270" s="39" t="str">
        <x:v>2026-08-03T09:35:00</x:v>
      </x:c>
      <x:c r="C3270" s="39" t="str">
        <x:v>2026-08-03T10:05:00</x:v>
      </x:c>
      <x:c r="D3270" s="47" t="n">
        <x:v>30</x:v>
      </x:c>
      <x:c r="E3270" s="40" t="n">
        <x:v>14.5</x:v>
      </x:c>
      <x:c r="F3270" s="40" t="n">
        <x:v>13.444721221923828</x:v>
      </x:c>
      <x:c r="G3270" s="40" t="n">
        <x:v>14.5</x:v>
      </x:c>
      <x:c r="H3270" s="40" t="n">
        <x:f>F3270-E3270</x:f>
        <x:v>-1.0552787780761719</x:v>
      </x:c>
      <x:c r="I3270" s="40" t="n">
        <x:f>ABS(H3270)</x:f>
        <x:v>1.0552787780761719</x:v>
      </x:c>
      <x:c r="J3270" s="40" t="n">
        <x:f>H3270^2</x:f>
        <x:v>1.1136132994579384</x:v>
      </x:c>
      <x:c r="K3270" s="40" t="n">
        <x:f>G3270-E3270</x:f>
        <x:v>0</x:v>
      </x:c>
      <x:c r="L3270" s="40" t="n">
        <x:f>ABS(K3270)</x:f>
        <x:v>0</x:v>
      </x:c>
      <x:c r="M3270" s="41" t="str">
        <x:v>lstm-soil-v1</x:v>
      </x:c>
    </x:row>
    <x:row r="3271">
      <x:c r="A3271" s="38" t="str">
        <x:v>7月30日现场数据</x:v>
      </x:c>
      <x:c r="B3271" s="39" t="str">
        <x:v>2026-08-03T09:35:00</x:v>
      </x:c>
      <x:c r="C3271" s="39" t="str">
        <x:v>2026-08-03T10:35:00</x:v>
      </x:c>
      <x:c r="D3271" s="47" t="n">
        <x:v>60</x:v>
      </x:c>
      <x:c r="E3271" s="40" t="n">
        <x:v>14.3</x:v>
      </x:c>
      <x:c r="F3271" s="40" t="n">
        <x:v>15.210262298583984</x:v>
      </x:c>
      <x:c r="G3271" s="40" t="n">
        <x:v>14.5</x:v>
      </x:c>
      <x:c r="H3271" s="40" t="n">
        <x:f>F3271-E3271</x:f>
        <x:v>0.9102622985839837</x:v>
      </x:c>
      <x:c r="I3271" s="40" t="n">
        <x:f>ABS(H3271)</x:f>
        <x:v>0.9102622985839837</x:v>
      </x:c>
      <x:c r="J3271" s="40" t="n">
        <x:f>H3271^2</x:f>
        <x:v>0.8285774522233974</x:v>
      </x:c>
      <x:c r="K3271" s="40" t="n">
        <x:f>G3271-E3271</x:f>
        <x:v>0.1999999999999993</x:v>
      </x:c>
      <x:c r="L3271" s="40" t="n">
        <x:f>ABS(K3271)</x:f>
        <x:v>0.1999999999999993</x:v>
      </x:c>
      <x:c r="M3271" s="41" t="str">
        <x:v>lstm-soil-v1</x:v>
      </x:c>
    </x:row>
    <x:row r="3272">
      <x:c r="A3272" s="38" t="str">
        <x:v>7月30日现场数据</x:v>
      </x:c>
      <x:c r="B3272" s="39" t="str">
        <x:v>2026-08-03T09:40:00</x:v>
      </x:c>
      <x:c r="C3272" s="39" t="str">
        <x:v>2026-08-03T09:45:00</x:v>
      </x:c>
      <x:c r="D3272" s="47" t="n">
        <x:v>5</x:v>
      </x:c>
      <x:c r="E3272" s="40" t="n">
        <x:v>14.5</x:v>
      </x:c>
      <x:c r="F3272" s="40" t="n">
        <x:v>12.753883361816406</x:v>
      </x:c>
      <x:c r="G3272" s="40" t="n">
        <x:v>14.5</x:v>
      </x:c>
      <x:c r="H3272" s="40" t="n">
        <x:f>F3272-E3272</x:f>
        <x:v>-1.7461166381835938</x:v>
      </x:c>
      <x:c r="I3272" s="40" t="n">
        <x:f>ABS(H3272)</x:f>
        <x:v>1.7461166381835938</x:v>
      </x:c>
      <x:c r="J3272" s="40" t="n">
        <x:f>H3272^2</x:f>
        <x:v>3.0489233141415752</x:v>
      </x:c>
      <x:c r="K3272" s="40" t="n">
        <x:f>G3272-E3272</x:f>
        <x:v>0</x:v>
      </x:c>
      <x:c r="L3272" s="40" t="n">
        <x:f>ABS(K3272)</x:f>
        <x:v>0</x:v>
      </x:c>
      <x:c r="M3272" s="41" t="str">
        <x:v>lstm-soil-v1</x:v>
      </x:c>
    </x:row>
    <x:row r="3273">
      <x:c r="A3273" s="38" t="str">
        <x:v>7月30日现场数据</x:v>
      </x:c>
      <x:c r="B3273" s="39" t="str">
        <x:v>2026-08-03T09:40:00</x:v>
      </x:c>
      <x:c r="C3273" s="39" t="str">
        <x:v>2026-08-03T09:55:00</x:v>
      </x:c>
      <x:c r="D3273" s="47" t="n">
        <x:v>15</x:v>
      </x:c>
      <x:c r="E3273" s="40" t="n">
        <x:v>14.5</x:v>
      </x:c>
      <x:c r="F3273" s="40" t="n">
        <x:v>12.784038543701172</x:v>
      </x:c>
      <x:c r="G3273" s="40" t="n">
        <x:v>14.5</x:v>
      </x:c>
      <x:c r="H3273" s="40" t="n">
        <x:f>F3273-E3273</x:f>
        <x:v>-1.7159614562988281</x:v>
      </x:c>
      <x:c r="I3273" s="40" t="n">
        <x:f>ABS(H3273)</x:f>
        <x:v>1.7159614562988281</x:v>
      </x:c>
      <x:c r="J3273" s="40" t="n">
        <x:f>H3273^2</x:f>
        <x:v>2.944523719503195</x:v>
      </x:c>
      <x:c r="K3273" s="40" t="n">
        <x:f>G3273-E3273</x:f>
        <x:v>0</x:v>
      </x:c>
      <x:c r="L3273" s="40" t="n">
        <x:f>ABS(K3273)</x:f>
        <x:v>0</x:v>
      </x:c>
      <x:c r="M3273" s="41" t="str">
        <x:v>lstm-soil-v1</x:v>
      </x:c>
    </x:row>
    <x:row r="3274">
      <x:c r="A3274" s="38" t="str">
        <x:v>7月30日现场数据</x:v>
      </x:c>
      <x:c r="B3274" s="39" t="str">
        <x:v>2026-08-03T09:40:00</x:v>
      </x:c>
      <x:c r="C3274" s="39" t="str">
        <x:v>2026-08-03T10:10:00</x:v>
      </x:c>
      <x:c r="D3274" s="47" t="n">
        <x:v>30</x:v>
      </x:c>
      <x:c r="E3274" s="40" t="n">
        <x:v>14.5</x:v>
      </x:c>
      <x:c r="F3274" s="40" t="n">
        <x:v>13.445152282714844</x:v>
      </x:c>
      <x:c r="G3274" s="40" t="n">
        <x:v>14.5</x:v>
      </x:c>
      <x:c r="H3274" s="40" t="n">
        <x:f>F3274-E3274</x:f>
        <x:v>-1.0548477172851562</x:v>
      </x:c>
      <x:c r="I3274" s="40" t="n">
        <x:f>ABS(H3274)</x:f>
        <x:v>1.0548477172851562</x:v>
      </x:c>
      <x:c r="J3274" s="40" t="n">
        <x:f>H3274^2</x:f>
        <x:v>1.112703706661705</x:v>
      </x:c>
      <x:c r="K3274" s="40" t="n">
        <x:f>G3274-E3274</x:f>
        <x:v>0</x:v>
      </x:c>
      <x:c r="L3274" s="40" t="n">
        <x:f>ABS(K3274)</x:f>
        <x:v>0</x:v>
      </x:c>
      <x:c r="M3274" s="41" t="str">
        <x:v>lstm-soil-v1</x:v>
      </x:c>
    </x:row>
    <x:row r="3275">
      <x:c r="A3275" s="38" t="str">
        <x:v>7月30日现场数据</x:v>
      </x:c>
      <x:c r="B3275" s="39" t="str">
        <x:v>2026-08-03T09:40:00</x:v>
      </x:c>
      <x:c r="C3275" s="39" t="str">
        <x:v>2026-08-03T10:40:00</x:v>
      </x:c>
      <x:c r="D3275" s="47" t="n">
        <x:v>60</x:v>
      </x:c>
      <x:c r="E3275" s="40" t="n">
        <x:v>14.2</x:v>
      </x:c>
      <x:c r="F3275" s="40" t="n">
        <x:v>15.21243667602539</x:v>
      </x:c>
      <x:c r="G3275" s="40" t="n">
        <x:v>14.5</x:v>
      </x:c>
      <x:c r="H3275" s="40" t="n">
        <x:f>F3275-E3275</x:f>
        <x:v>1.0124366760253913</x:v>
      </x:c>
      <x:c r="I3275" s="40" t="n">
        <x:f>ABS(H3275)</x:f>
        <x:v>1.0124366760253913</x:v>
      </x:c>
      <x:c r="J3275" s="40" t="n">
        <x:f>H3275^2</x:f>
        <x:v>1.0250280229613433</x:v>
      </x:c>
      <x:c r="K3275" s="40" t="n">
        <x:f>G3275-E3275</x:f>
        <x:v>0.3000000000000007</x:v>
      </x:c>
      <x:c r="L3275" s="40" t="n">
        <x:f>ABS(K3275)</x:f>
        <x:v>0.3000000000000007</x:v>
      </x:c>
      <x:c r="M3275" s="41" t="str">
        <x:v>lstm-soil-v1</x:v>
      </x:c>
    </x:row>
    <x:row r="3276">
      <x:c r="A3276" s="38" t="str">
        <x:v>7月30日现场数据</x:v>
      </x:c>
      <x:c r="B3276" s="39" t="str">
        <x:v>2026-08-03T09:45:00</x:v>
      </x:c>
      <x:c r="C3276" s="39" t="str">
        <x:v>2026-08-03T09:50:00</x:v>
      </x:c>
      <x:c r="D3276" s="47" t="n">
        <x:v>5</x:v>
      </x:c>
      <x:c r="E3276" s="40" t="n">
        <x:v>14.5</x:v>
      </x:c>
      <x:c r="F3276" s="40" t="n">
        <x:v>12.752128601074219</x:v>
      </x:c>
      <x:c r="G3276" s="40" t="n">
        <x:v>14.5</x:v>
      </x:c>
      <x:c r="H3276" s="40" t="n">
        <x:f>F3276-E3276</x:f>
        <x:v>-1.7478713989257812</x:v>
      </x:c>
      <x:c r="I3276" s="40" t="n">
        <x:f>ABS(H3276)</x:f>
        <x:v>1.7478713989257812</x:v>
      </x:c>
      <x:c r="J3276" s="40" t="n">
        <x:f>H3276^2</x:f>
        <x:v>3.0550544271827675</x:v>
      </x:c>
      <x:c r="K3276" s="40" t="n">
        <x:f>G3276-E3276</x:f>
        <x:v>0</x:v>
      </x:c>
      <x:c r="L3276" s="40" t="n">
        <x:f>ABS(K3276)</x:f>
        <x:v>0</x:v>
      </x:c>
      <x:c r="M3276" s="41" t="str">
        <x:v>lstm-soil-v1</x:v>
      </x:c>
    </x:row>
    <x:row r="3277">
      <x:c r="A3277" s="38" t="str">
        <x:v>7月30日现场数据</x:v>
      </x:c>
      <x:c r="B3277" s="39" t="str">
        <x:v>2026-08-03T09:45:00</x:v>
      </x:c>
      <x:c r="C3277" s="39" t="str">
        <x:v>2026-08-03T10:00:00</x:v>
      </x:c>
      <x:c r="D3277" s="47" t="n">
        <x:v>15</x:v>
      </x:c>
      <x:c r="E3277" s="40" t="n">
        <x:v>14.5</x:v>
      </x:c>
      <x:c r="F3277" s="40" t="n">
        <x:v>12.783893585205078</x:v>
      </x:c>
      <x:c r="G3277" s="40" t="n">
        <x:v>14.5</x:v>
      </x:c>
      <x:c r="H3277" s="40" t="n">
        <x:f>F3277-E3277</x:f>
        <x:v>-1.7161064147949219</x:v>
      </x:c>
      <x:c r="I3277" s="40" t="n">
        <x:f>ABS(H3277)</x:f>
        <x:v>1.7161064147949219</x:v>
      </x:c>
      <x:c r="J3277" s="40" t="n">
        <x:f>H3277^2</x:f>
        <x:v>2.9450212269002805</x:v>
      </x:c>
      <x:c r="K3277" s="40" t="n">
        <x:f>G3277-E3277</x:f>
        <x:v>0</x:v>
      </x:c>
      <x:c r="L3277" s="40" t="n">
        <x:f>ABS(K3277)</x:f>
        <x:v>0</x:v>
      </x:c>
      <x:c r="M3277" s="41" t="str">
        <x:v>lstm-soil-v1</x:v>
      </x:c>
    </x:row>
    <x:row r="3278">
      <x:c r="A3278" s="38" t="str">
        <x:v>7月30日现场数据</x:v>
      </x:c>
      <x:c r="B3278" s="39" t="str">
        <x:v>2026-08-03T09:45:00</x:v>
      </x:c>
      <x:c r="C3278" s="39" t="str">
        <x:v>2026-08-03T10:15:00</x:v>
      </x:c>
      <x:c r="D3278" s="47" t="n">
        <x:v>30</x:v>
      </x:c>
      <x:c r="E3278" s="40" t="n">
        <x:v>14.4</x:v>
      </x:c>
      <x:c r="F3278" s="40" t="n">
        <x:v>13.4493408203125</x:v>
      </x:c>
      <x:c r="G3278" s="40" t="n">
        <x:v>14.5</x:v>
      </x:c>
      <x:c r="H3278" s="40" t="n">
        <x:f>F3278-E3278</x:f>
        <x:v>-0.9506591796875004</x:v>
      </x:c>
      <x:c r="I3278" s="40" t="n">
        <x:f>ABS(H3278)</x:f>
        <x:v>0.9506591796875004</x:v>
      </x:c>
      <x:c r="J3278" s="40" t="n">
        <x:f>H3278^2</x:f>
        <x:v>0.9037528759241111</x:v>
      </x:c>
      <x:c r="K3278" s="40" t="n">
        <x:f>G3278-E3278</x:f>
        <x:v>0.09999999999999964</x:v>
      </x:c>
      <x:c r="L3278" s="40" t="n">
        <x:f>ABS(K3278)</x:f>
        <x:v>0.09999999999999964</x:v>
      </x:c>
      <x:c r="M3278" s="41" t="str">
        <x:v>lstm-soil-v1</x:v>
      </x:c>
    </x:row>
    <x:row r="3279">
      <x:c r="A3279" s="38" t="str">
        <x:v>7月30日现场数据</x:v>
      </x:c>
      <x:c r="B3279" s="39" t="str">
        <x:v>2026-08-03T09:45:00</x:v>
      </x:c>
      <x:c r="C3279" s="39" t="str">
        <x:v>2026-08-03T10:45:00</x:v>
      </x:c>
      <x:c r="D3279" s="47" t="n">
        <x:v>60</x:v>
      </x:c>
      <x:c r="E3279" s="40" t="n">
        <x:v>14.2</x:v>
      </x:c>
      <x:c r="F3279" s="40" t="n">
        <x:v>15.21737289428711</x:v>
      </x:c>
      <x:c r="G3279" s="40" t="n">
        <x:v>14.5</x:v>
      </x:c>
      <x:c r="H3279" s="40" t="n">
        <x:f>F3279-E3279</x:f>
        <x:v>1.01737289428711</x:v>
      </x:c>
      <x:c r="I3279" s="40" t="n">
        <x:f>ABS(H3279)</x:f>
        <x:v>1.01737289428711</x:v>
      </x:c>
      <x:c r="J3279" s="40" t="n">
        <x:f>H3279^2</x:f>
        <x:v>1.0350476060301312</x:v>
      </x:c>
      <x:c r="K3279" s="40" t="n">
        <x:f>G3279-E3279</x:f>
        <x:v>0.3000000000000007</x:v>
      </x:c>
      <x:c r="L3279" s="40" t="n">
        <x:f>ABS(K3279)</x:f>
        <x:v>0.3000000000000007</x:v>
      </x:c>
      <x:c r="M3279" s="41" t="str">
        <x:v>lstm-soil-v1</x:v>
      </x:c>
    </x:row>
    <x:row r="3280">
      <x:c r="A3280" s="38" t="str">
        <x:v>7月30日现场数据</x:v>
      </x:c>
      <x:c r="B3280" s="39" t="str">
        <x:v>2026-08-03T09:50:00</x:v>
      </x:c>
      <x:c r="C3280" s="39" t="str">
        <x:v>2026-08-03T09:55:00</x:v>
      </x:c>
      <x:c r="D3280" s="47" t="n">
        <x:v>5</x:v>
      </x:c>
      <x:c r="E3280" s="40" t="n">
        <x:v>14.5</x:v>
      </x:c>
      <x:c r="F3280" s="40" t="n">
        <x:v>12.750324249267578</x:v>
      </x:c>
      <x:c r="G3280" s="40" t="n">
        <x:v>14.5</x:v>
      </x:c>
      <x:c r="H3280" s="40" t="n">
        <x:f>F3280-E3280</x:f>
        <x:v>-1.7496757507324219</x:v>
      </x:c>
      <x:c r="I3280" s="40" t="n">
        <x:f>ABS(H3280)</x:f>
        <x:v>1.7496757507324219</x:v>
      </x:c>
      <x:c r="J3280" s="40" t="n">
        <x:f>H3280^2</x:f>
        <x:v>3.061365232701064</x:v>
      </x:c>
      <x:c r="K3280" s="40" t="n">
        <x:f>G3280-E3280</x:f>
        <x:v>0</x:v>
      </x:c>
      <x:c r="L3280" s="40" t="n">
        <x:f>ABS(K3280)</x:f>
        <x:v>0</x:v>
      </x:c>
      <x:c r="M3280" s="41" t="str">
        <x:v>lstm-soil-v1</x:v>
      </x:c>
    </x:row>
    <x:row r="3281">
      <x:c r="A3281" s="38" t="str">
        <x:v>7月30日现场数据</x:v>
      </x:c>
      <x:c r="B3281" s="39" t="str">
        <x:v>2026-08-03T09:50:00</x:v>
      </x:c>
      <x:c r="C3281" s="39" t="str">
        <x:v>2026-08-03T10:05:00</x:v>
      </x:c>
      <x:c r="D3281" s="47" t="n">
        <x:v>15</x:v>
      </x:c>
      <x:c r="E3281" s="40" t="n">
        <x:v>14.5</x:v>
      </x:c>
      <x:c r="F3281" s="40" t="n">
        <x:v>12.783866882324219</x:v>
      </x:c>
      <x:c r="G3281" s="40" t="n">
        <x:v>14.5</x:v>
      </x:c>
      <x:c r="H3281" s="40" t="n">
        <x:f>F3281-E3281</x:f>
        <x:v>-1.7161331176757812</x:v>
      </x:c>
      <x:c r="I3281" s="40" t="n">
        <x:f>ABS(H3281)</x:f>
        <x:v>1.7161331176757812</x:v>
      </x:c>
      <x:c r="J3281" s="40" t="n">
        <x:f>H3281^2</x:f>
        <x:v>2.945112877583597</x:v>
      </x:c>
      <x:c r="K3281" s="40" t="n">
        <x:f>G3281-E3281</x:f>
        <x:v>0</x:v>
      </x:c>
      <x:c r="L3281" s="40" t="n">
        <x:f>ABS(K3281)</x:f>
        <x:v>0</x:v>
      </x:c>
      <x:c r="M3281" s="41" t="str">
        <x:v>lstm-soil-v1</x:v>
      </x:c>
    </x:row>
    <x:row r="3282">
      <x:c r="A3282" s="38" t="str">
        <x:v>7月30日现场数据</x:v>
      </x:c>
      <x:c r="B3282" s="39" t="str">
        <x:v>2026-08-03T09:50:00</x:v>
      </x:c>
      <x:c r="C3282" s="39" t="str">
        <x:v>2026-08-03T10:20:00</x:v>
      </x:c>
      <x:c r="D3282" s="47" t="n">
        <x:v>30</x:v>
      </x:c>
      <x:c r="E3282" s="40" t="n">
        <x:v>14.3</x:v>
      </x:c>
      <x:c r="F3282" s="40" t="n">
        <x:v>13.448822021484375</x:v>
      </x:c>
      <x:c r="G3282" s="40" t="n">
        <x:v>14.5</x:v>
      </x:c>
      <x:c r="H3282" s="40" t="n">
        <x:f>F3282-E3282</x:f>
        <x:v>-0.8511779785156257</x:v>
      </x:c>
      <x:c r="I3282" s="40" t="n">
        <x:f>ABS(H3282)</x:f>
        <x:v>0.8511779785156257</x:v>
      </x:c>
      <x:c r="J3282" s="40" t="n">
        <x:f>H3282^2</x:f>
        <x:v>0.724503951109947</x:v>
      </x:c>
      <x:c r="K3282" s="40" t="n">
        <x:f>G3282-E3282</x:f>
        <x:v>0.1999999999999993</x:v>
      </x:c>
      <x:c r="L3282" s="40" t="n">
        <x:f>ABS(K3282)</x:f>
        <x:v>0.1999999999999993</x:v>
      </x:c>
      <x:c r="M3282" s="41" t="str">
        <x:v>lstm-soil-v1</x:v>
      </x:c>
    </x:row>
    <x:row r="3283">
      <x:c r="A3283" s="38" t="str">
        <x:v>7月30日现场数据</x:v>
      </x:c>
      <x:c r="B3283" s="39" t="str">
        <x:v>2026-08-03T09:50:00</x:v>
      </x:c>
      <x:c r="C3283" s="39" t="str">
        <x:v>2026-08-03T10:50:00</x:v>
      </x:c>
      <x:c r="D3283" s="47" t="n">
        <x:v>60</x:v>
      </x:c>
      <x:c r="E3283" s="40" t="n">
        <x:v>14.2</x:v>
      </x:c>
      <x:c r="F3283" s="40" t="n">
        <x:v>15.214340209960938</x:v>
      </x:c>
      <x:c r="G3283" s="40" t="n">
        <x:v>14.5</x:v>
      </x:c>
      <x:c r="H3283" s="40" t="n">
        <x:f>F3283-E3283</x:f>
        <x:v>1.0143402099609382</x:v>
      </x:c>
      <x:c r="I3283" s="40" t="n">
        <x:f>ABS(H3283)</x:f>
        <x:v>1.0143402099609382</x:v>
      </x:c>
      <x:c r="J3283" s="40" t="n">
        <x:f>H3283^2</x:f>
        <x:v>1.0288860615436002</x:v>
      </x:c>
      <x:c r="K3283" s="40" t="n">
        <x:f>G3283-E3283</x:f>
        <x:v>0.3000000000000007</x:v>
      </x:c>
      <x:c r="L3283" s="40" t="n">
        <x:f>ABS(K3283)</x:f>
        <x:v>0.3000000000000007</x:v>
      </x:c>
      <x:c r="M3283" s="41" t="str">
        <x:v>lstm-soil-v1</x:v>
      </x:c>
    </x:row>
    <x:row r="3284">
      <x:c r="A3284" s="38" t="str">
        <x:v>7月30日现场数据</x:v>
      </x:c>
      <x:c r="B3284" s="39" t="str">
        <x:v>2026-08-03T09:55:00</x:v>
      </x:c>
      <x:c r="C3284" s="39" t="str">
        <x:v>2026-08-03T10:00:00</x:v>
      </x:c>
      <x:c r="D3284" s="47" t="n">
        <x:v>5</x:v>
      </x:c>
      <x:c r="E3284" s="40" t="n">
        <x:v>14.5</x:v>
      </x:c>
      <x:c r="F3284" s="40" t="n">
        <x:v>12.749561309814453</x:v>
      </x:c>
      <x:c r="G3284" s="40" t="n">
        <x:v>14.5</x:v>
      </x:c>
      <x:c r="H3284" s="40" t="n">
        <x:f>F3284-E3284</x:f>
        <x:v>-1.7504386901855469</x:v>
      </x:c>
      <x:c r="I3284" s="40" t="n">
        <x:f>ABS(H3284)</x:f>
        <x:v>1.7504386901855469</x:v>
      </x:c>
      <x:c r="J3284" s="40" t="n">
        <x:f>H3284^2</x:f>
        <x:v>3.064035608098493</x:v>
      </x:c>
      <x:c r="K3284" s="40" t="n">
        <x:f>G3284-E3284</x:f>
        <x:v>0</x:v>
      </x:c>
      <x:c r="L3284" s="40" t="n">
        <x:f>ABS(K3284)</x:f>
        <x:v>0</x:v>
      </x:c>
      <x:c r="M3284" s="41" t="str">
        <x:v>lstm-soil-v1</x:v>
      </x:c>
    </x:row>
    <x:row r="3285">
      <x:c r="A3285" s="38" t="str">
        <x:v>7月30日现场数据</x:v>
      </x:c>
      <x:c r="B3285" s="39" t="str">
        <x:v>2026-08-03T09:55:00</x:v>
      </x:c>
      <x:c r="C3285" s="39" t="str">
        <x:v>2026-08-03T10:10:00</x:v>
      </x:c>
      <x:c r="D3285" s="47" t="n">
        <x:v>15</x:v>
      </x:c>
      <x:c r="E3285" s="40" t="n">
        <x:v>14.5</x:v>
      </x:c>
      <x:c r="F3285" s="40" t="n">
        <x:v>12.804542541503906</x:v>
      </x:c>
      <x:c r="G3285" s="40" t="n">
        <x:v>14.5</x:v>
      </x:c>
      <x:c r="H3285" s="40" t="n">
        <x:f>F3285-E3285</x:f>
        <x:v>-1.6954574584960938</x:v>
      </x:c>
      <x:c r="I3285" s="40" t="n">
        <x:f>ABS(H3285)</x:f>
        <x:v>1.6954574584960938</x:v>
      </x:c>
      <x:c r="J3285" s="40" t="n">
        <x:f>H3285^2</x:f>
        <x:v>2.8745759935700335</x:v>
      </x:c>
      <x:c r="K3285" s="40" t="n">
        <x:f>G3285-E3285</x:f>
        <x:v>0</x:v>
      </x:c>
      <x:c r="L3285" s="40" t="n">
        <x:f>ABS(K3285)</x:f>
        <x:v>0</x:v>
      </x:c>
      <x:c r="M3285" s="41" t="str">
        <x:v>lstm-soil-v1</x:v>
      </x:c>
    </x:row>
    <x:row r="3286">
      <x:c r="A3286" s="38" t="str">
        <x:v>7月30日现场数据</x:v>
      </x:c>
      <x:c r="B3286" s="39" t="str">
        <x:v>2026-08-03T09:55:00</x:v>
      </x:c>
      <x:c r="C3286" s="39" t="str">
        <x:v>2026-08-03T10:25:00</x:v>
      </x:c>
      <x:c r="D3286" s="47" t="n">
        <x:v>30</x:v>
      </x:c>
      <x:c r="E3286" s="40" t="n">
        <x:v>14.3</x:v>
      </x:c>
      <x:c r="F3286" s="40" t="n">
        <x:v>13.418701171875</x:v>
      </x:c>
      <x:c r="G3286" s="40" t="n">
        <x:v>14.5</x:v>
      </x:c>
      <x:c r="H3286" s="40" t="n">
        <x:f>F3286-E3286</x:f>
        <x:v>-0.8812988281250007</x:v>
      </x:c>
      <x:c r="I3286" s="40" t="n">
        <x:f>ABS(H3286)</x:f>
        <x:v>0.8812988281250007</x:v>
      </x:c>
      <x:c r="J3286" s="40" t="n">
        <x:f>H3286^2</x:f>
        <x:v>0.7766876244544996</x:v>
      </x:c>
      <x:c r="K3286" s="40" t="n">
        <x:f>G3286-E3286</x:f>
        <x:v>0.1999999999999993</x:v>
      </x:c>
      <x:c r="L3286" s="40" t="n">
        <x:f>ABS(K3286)</x:f>
        <x:v>0.1999999999999993</x:v>
      </x:c>
      <x:c r="M3286" s="41" t="str">
        <x:v>lstm-soil-v1</x:v>
      </x:c>
    </x:row>
    <x:row r="3287">
      <x:c r="A3287" s="38" t="str">
        <x:v>7月30日现场数据</x:v>
      </x:c>
      <x:c r="B3287" s="39" t="str">
        <x:v>2026-08-03T09:55:00</x:v>
      </x:c>
      <x:c r="C3287" s="39" t="str">
        <x:v>2026-08-03T10:55:00</x:v>
      </x:c>
      <x:c r="D3287" s="47" t="n">
        <x:v>60</x:v>
      </x:c>
      <x:c r="E3287" s="40" t="n">
        <x:v>14.2</x:v>
      </x:c>
      <x:c r="F3287" s="40" t="n">
        <x:v>15.164997100830078</x:v>
      </x:c>
      <x:c r="G3287" s="40" t="n">
        <x:v>14.5</x:v>
      </x:c>
      <x:c r="H3287" s="40" t="n">
        <x:f>F3287-E3287</x:f>
        <x:v>0.9649971008300788</x:v>
      </x:c>
      <x:c r="I3287" s="40" t="n">
        <x:f>ABS(H3287)</x:f>
        <x:v>0.9649971008300788</x:v>
      </x:c>
      <x:c r="J3287" s="40" t="n">
        <x:f>H3287^2</x:f>
        <x:v>0.9312194046104574</x:v>
      </x:c>
      <x:c r="K3287" s="40" t="n">
        <x:f>G3287-E3287</x:f>
        <x:v>0.3000000000000007</x:v>
      </x:c>
      <x:c r="L3287" s="40" t="n">
        <x:f>ABS(K3287)</x:f>
        <x:v>0.3000000000000007</x:v>
      </x:c>
      <x:c r="M3287" s="41" t="str">
        <x:v>lstm-soil-v1</x:v>
      </x:c>
    </x:row>
    <x:row r="3288">
      <x:c r="A3288" s="38" t="str">
        <x:v>7月30日现场数据</x:v>
      </x:c>
      <x:c r="B3288" s="39" t="str">
        <x:v>2026-08-03T10:00:00</x:v>
      </x:c>
      <x:c r="C3288" s="39" t="str">
        <x:v>2026-08-03T10:05:00</x:v>
      </x:c>
      <x:c r="D3288" s="47" t="n">
        <x:v>5</x:v>
      </x:c>
      <x:c r="E3288" s="40" t="n">
        <x:v>14.5</x:v>
      </x:c>
      <x:c r="F3288" s="40" t="n">
        <x:v>12.729705810546875</x:v>
      </x:c>
      <x:c r="G3288" s="40" t="n">
        <x:v>14.5</x:v>
      </x:c>
      <x:c r="H3288" s="40" t="n">
        <x:f>F3288-E3288</x:f>
        <x:v>-1.770294189453125</x:v>
      </x:c>
      <x:c r="I3288" s="40" t="n">
        <x:f>ABS(H3288)</x:f>
        <x:v>1.770294189453125</x:v>
      </x:c>
      <x:c r="J3288" s="40" t="n">
        <x:f>H3288^2</x:f>
        <x:v>3.133941517211497</x:v>
      </x:c>
      <x:c r="K3288" s="40" t="n">
        <x:f>G3288-E3288</x:f>
        <x:v>0</x:v>
      </x:c>
      <x:c r="L3288" s="40" t="n">
        <x:f>ABS(K3288)</x:f>
        <x:v>0</x:v>
      </x:c>
      <x:c r="M3288" s="41" t="str">
        <x:v>lstm-soil-v1</x:v>
      </x:c>
    </x:row>
    <x:row r="3289">
      <x:c r="A3289" s="38" t="str">
        <x:v>7月30日现场数据</x:v>
      </x:c>
      <x:c r="B3289" s="39" t="str">
        <x:v>2026-08-03T10:00:00</x:v>
      </x:c>
      <x:c r="C3289" s="39" t="str">
        <x:v>2026-08-03T10:15:00</x:v>
      </x:c>
      <x:c r="D3289" s="47" t="n">
        <x:v>15</x:v>
      </x:c>
      <x:c r="E3289" s="40" t="n">
        <x:v>14.4</x:v>
      </x:c>
      <x:c r="F3289" s="40" t="n">
        <x:v>12.817943572998047</x:v>
      </x:c>
      <x:c r="G3289" s="40" t="n">
        <x:v>14.5</x:v>
      </x:c>
      <x:c r="H3289" s="40" t="n">
        <x:f>F3289-E3289</x:f>
        <x:v>-1.5820564270019535</x:v>
      </x:c>
      <x:c r="I3289" s="40" t="n">
        <x:f>ABS(H3289)</x:f>
        <x:v>1.5820564270019535</x:v>
      </x:c>
      <x:c r="J3289" s="40" t="n">
        <x:f>H3289^2</x:f>
        <x:v>2.5029025382181875</x:v>
      </x:c>
      <x:c r="K3289" s="40" t="n">
        <x:f>G3289-E3289</x:f>
        <x:v>0.09999999999999964</x:v>
      </x:c>
      <x:c r="L3289" s="40" t="n">
        <x:f>ABS(K3289)</x:f>
        <x:v>0.09999999999999964</x:v>
      </x:c>
      <x:c r="M3289" s="41" t="str">
        <x:v>lstm-soil-v1</x:v>
      </x:c>
    </x:row>
    <x:row r="3290">
      <x:c r="A3290" s="38" t="str">
        <x:v>7月30日现场数据</x:v>
      </x:c>
      <x:c r="B3290" s="39" t="str">
        <x:v>2026-08-03T10:00:00</x:v>
      </x:c>
      <x:c r="C3290" s="39" t="str">
        <x:v>2026-08-03T10:30:00</x:v>
      </x:c>
      <x:c r="D3290" s="47" t="n">
        <x:v>30</x:v>
      </x:c>
      <x:c r="E3290" s="40" t="n">
        <x:v>14.4</x:v>
      </x:c>
      <x:c r="F3290" s="40" t="n">
        <x:v>13.364776611328125</x:v>
      </x:c>
      <x:c r="G3290" s="40" t="n">
        <x:v>14.5</x:v>
      </x:c>
      <x:c r="H3290" s="40" t="n">
        <x:f>F3290-E3290</x:f>
        <x:v>-1.0352233886718754</x:v>
      </x:c>
      <x:c r="I3290" s="40" t="n">
        <x:f>ABS(H3290)</x:f>
        <x:v>1.0352233886718754</x:v>
      </x:c>
      <x:c r="J3290" s="40" t="n">
        <x:f>H3290^2</x:f>
        <x:v>1.0716874644532808</x:v>
      </x:c>
      <x:c r="K3290" s="40" t="n">
        <x:f>G3290-E3290</x:f>
        <x:v>0.09999999999999964</x:v>
      </x:c>
      <x:c r="L3290" s="40" t="n">
        <x:f>ABS(K3290)</x:f>
        <x:v>0.09999999999999964</x:v>
      </x:c>
      <x:c r="M3290" s="41" t="str">
        <x:v>lstm-soil-v1</x:v>
      </x:c>
    </x:row>
    <x:row r="3291">
      <x:c r="A3291" s="38" t="str">
        <x:v>7月30日现场数据</x:v>
      </x:c>
      <x:c r="B3291" s="39" t="str">
        <x:v>2026-08-03T10:00:00</x:v>
      </x:c>
      <x:c r="C3291" s="39" t="str">
        <x:v>2026-08-03T11:00:00</x:v>
      </x:c>
      <x:c r="D3291" s="47" t="n">
        <x:v>60</x:v>
      </x:c>
      <x:c r="E3291" s="40" t="n">
        <x:v>14.1</x:v>
      </x:c>
      <x:c r="F3291" s="40" t="n">
        <x:v>15.098373413085938</x:v>
      </x:c>
      <x:c r="G3291" s="40" t="n">
        <x:v>14.5</x:v>
      </x:c>
      <x:c r="H3291" s="40" t="n">
        <x:f>F3291-E3291</x:f>
        <x:v>0.9983734130859379</x:v>
      </x:c>
      <x:c r="I3291" s="40" t="n">
        <x:f>ABS(H3291)</x:f>
        <x:v>0.9983734130859379</x:v>
      </x:c>
      <x:c r="J3291" s="40" t="n">
        <x:f>H3291^2</x:f>
        <x:v>0.9967494719568647</x:v>
      </x:c>
      <x:c r="K3291" s="40" t="n">
        <x:f>G3291-E3291</x:f>
        <x:v>0.40000000000000036</x:v>
      </x:c>
      <x:c r="L3291" s="40" t="n">
        <x:f>ABS(K3291)</x:f>
        <x:v>0.40000000000000036</x:v>
      </x:c>
      <x:c r="M3291" s="41" t="str">
        <x:v>lstm-soil-v1</x:v>
      </x:c>
    </x:row>
    <x:row r="3292">
      <x:c r="A3292" s="38" t="str">
        <x:v>7月30日现场数据</x:v>
      </x:c>
      <x:c r="B3292" s="39" t="str">
        <x:v>2026-08-03T10:05:00</x:v>
      </x:c>
      <x:c r="C3292" s="39" t="str">
        <x:v>2026-08-03T10:10:00</x:v>
      </x:c>
      <x:c r="D3292" s="47" t="n">
        <x:v>5</x:v>
      </x:c>
      <x:c r="E3292" s="40" t="n">
        <x:v>14.5</x:v>
      </x:c>
      <x:c r="F3292" s="40" t="n">
        <x:v>12.720611572265625</x:v>
      </x:c>
      <x:c r="G3292" s="40" t="n">
        <x:v>14.5</x:v>
      </x:c>
      <x:c r="H3292" s="40" t="n">
        <x:f>F3292-E3292</x:f>
        <x:v>-1.779388427734375</x:v>
      </x:c>
      <x:c r="I3292" s="40" t="n">
        <x:f>ABS(H3292)</x:f>
        <x:v>1.779388427734375</x:v>
      </x:c>
      <x:c r="J3292" s="40" t="n">
        <x:f>H3292^2</x:f>
        <x:v>3.166223176755011</x:v>
      </x:c>
      <x:c r="K3292" s="40" t="n">
        <x:f>G3292-E3292</x:f>
        <x:v>0</x:v>
      </x:c>
      <x:c r="L3292" s="40" t="n">
        <x:f>ABS(K3292)</x:f>
        <x:v>0</x:v>
      </x:c>
      <x:c r="M3292" s="41" t="str">
        <x:v>lstm-soil-v1</x:v>
      </x:c>
    </x:row>
    <x:row r="3293">
      <x:c r="A3293" s="38" t="str">
        <x:v>7月30日现场数据</x:v>
      </x:c>
      <x:c r="B3293" s="39" t="str">
        <x:v>2026-08-03T10:05:00</x:v>
      </x:c>
      <x:c r="C3293" s="39" t="str">
        <x:v>2026-08-03T10:20:00</x:v>
      </x:c>
      <x:c r="D3293" s="47" t="n">
        <x:v>15</x:v>
      </x:c>
      <x:c r="E3293" s="40" t="n">
        <x:v>14.3</x:v>
      </x:c>
      <x:c r="F3293" s="40" t="n">
        <x:v>12.827655792236328</x:v>
      </x:c>
      <x:c r="G3293" s="40" t="n">
        <x:v>14.5</x:v>
      </x:c>
      <x:c r="H3293" s="40" t="n">
        <x:f>F3293-E3293</x:f>
        <x:v>-1.4723442077636726</x:v>
      </x:c>
      <x:c r="I3293" s="40" t="n">
        <x:f>ABS(H3293)</x:f>
        <x:v>1.4723442077636726</x:v>
      </x:c>
      <x:c r="J3293" s="40" t="n">
        <x:f>H3293^2</x:f>
        <x:v>2.167797466135237</x:v>
      </x:c>
      <x:c r="K3293" s="40" t="n">
        <x:f>G3293-E3293</x:f>
        <x:v>0.1999999999999993</x:v>
      </x:c>
      <x:c r="L3293" s="40" t="n">
        <x:f>ABS(K3293)</x:f>
        <x:v>0.1999999999999993</x:v>
      </x:c>
      <x:c r="M3293" s="41" t="str">
        <x:v>lstm-soil-v1</x:v>
      </x:c>
    </x:row>
    <x:row r="3294">
      <x:c r="A3294" s="38" t="str">
        <x:v>7月30日现场数据</x:v>
      </x:c>
      <x:c r="B3294" s="39" t="str">
        <x:v>2026-08-03T10:05:00</x:v>
      </x:c>
      <x:c r="C3294" s="39" t="str">
        <x:v>2026-08-03T10:35:00</x:v>
      </x:c>
      <x:c r="D3294" s="47" t="n">
        <x:v>30</x:v>
      </x:c>
      <x:c r="E3294" s="40" t="n">
        <x:v>14.3</x:v>
      </x:c>
      <x:c r="F3294" s="40" t="n">
        <x:v>13.335124969482422</x:v>
      </x:c>
      <x:c r="G3294" s="40" t="n">
        <x:v>14.5</x:v>
      </x:c>
      <x:c r="H3294" s="40" t="n">
        <x:f>F3294-E3294</x:f>
        <x:v>-0.9648750305175788</x:v>
      </x:c>
      <x:c r="I3294" s="40" t="n">
        <x:f>ABS(H3294)</x:f>
        <x:v>0.9648750305175788</x:v>
      </x:c>
      <x:c r="J3294" s="40" t="n">
        <x:f>H3294^2</x:f>
        <x:v>0.9309838245162987</x:v>
      </x:c>
      <x:c r="K3294" s="40" t="n">
        <x:f>G3294-E3294</x:f>
        <x:v>0.1999999999999993</x:v>
      </x:c>
      <x:c r="L3294" s="40" t="n">
        <x:f>ABS(K3294)</x:f>
        <x:v>0.1999999999999993</x:v>
      </x:c>
      <x:c r="M3294" s="41" t="str">
        <x:v>lstm-soil-v1</x:v>
      </x:c>
    </x:row>
    <x:row r="3295">
      <x:c r="A3295" s="38" t="str">
        <x:v>7月30日现场数据</x:v>
      </x:c>
      <x:c r="B3295" s="39" t="str">
        <x:v>2026-08-03T10:05:00</x:v>
      </x:c>
      <x:c r="C3295" s="39" t="str">
        <x:v>2026-08-03T11:05:00</x:v>
      </x:c>
      <x:c r="D3295" s="47" t="n">
        <x:v>60</x:v>
      </x:c>
      <x:c r="E3295" s="40" t="n">
        <x:v>14.1</x:v>
      </x:c>
      <x:c r="F3295" s="40" t="n">
        <x:v>15.05246353149414</x:v>
      </x:c>
      <x:c r="G3295" s="40" t="n">
        <x:v>14.5</x:v>
      </x:c>
      <x:c r="H3295" s="40" t="n">
        <x:f>F3295-E3295</x:f>
        <x:v>0.952463531494141</x:v>
      </x:c>
      <x:c r="I3295" s="40" t="n">
        <x:f>ABS(H3295)</x:f>
        <x:v>0.952463531494141</x:v>
      </x:c>
      <x:c r="J3295" s="40" t="n">
        <x:f>H3295^2</x:f>
        <x:v>0.9071867788262905</x:v>
      </x:c>
      <x:c r="K3295" s="40" t="n">
        <x:f>G3295-E3295</x:f>
        <x:v>0.40000000000000036</x:v>
      </x:c>
      <x:c r="L3295" s="40" t="n">
        <x:f>ABS(K3295)</x:f>
        <x:v>0.40000000000000036</x:v>
      </x:c>
      <x:c r="M3295" s="41" t="str">
        <x:v>lstm-soil-v1</x:v>
      </x:c>
    </x:row>
    <x:row r="3296">
      <x:c r="A3296" s="38" t="str">
        <x:v>7月30日现场数据</x:v>
      </x:c>
      <x:c r="B3296" s="39" t="str">
        <x:v>2026-08-03T10:10:00</x:v>
      </x:c>
      <x:c r="C3296" s="39" t="str">
        <x:v>2026-08-03T10:15:00</x:v>
      </x:c>
      <x:c r="D3296" s="47" t="n">
        <x:v>5</x:v>
      </x:c>
      <x:c r="E3296" s="40" t="n">
        <x:v>14.4</x:v>
      </x:c>
      <x:c r="F3296" s="40" t="n">
        <x:v>12.711593627929688</x:v>
      </x:c>
      <x:c r="G3296" s="40" t="n">
        <x:v>14.5</x:v>
      </x:c>
      <x:c r="H3296" s="40" t="n">
        <x:f>F3296-E3296</x:f>
        <x:v>-1.6884063720703129</x:v>
      </x:c>
      <x:c r="I3296" s="40" t="n">
        <x:f>ABS(H3296)</x:f>
        <x:v>1.6884063720703129</x:v>
      </x:c>
      <x:c r="J3296" s="40" t="n">
        <x:f>H3296^2</x:f>
        <x:v>2.8507160772476356</x:v>
      </x:c>
      <x:c r="K3296" s="40" t="n">
        <x:f>G3296-E3296</x:f>
        <x:v>0.09999999999999964</x:v>
      </x:c>
      <x:c r="L3296" s="40" t="n">
        <x:f>ABS(K3296)</x:f>
        <x:v>0.09999999999999964</x:v>
      </x:c>
      <x:c r="M3296" s="41" t="str">
        <x:v>lstm-soil-v1</x:v>
      </x:c>
    </x:row>
    <x:row r="3297">
      <x:c r="A3297" s="38" t="str">
        <x:v>7月30日现场数据</x:v>
      </x:c>
      <x:c r="B3297" s="39" t="str">
        <x:v>2026-08-03T10:10:00</x:v>
      </x:c>
      <x:c r="C3297" s="39" t="str">
        <x:v>2026-08-03T10:25:00</x:v>
      </x:c>
      <x:c r="D3297" s="47" t="n">
        <x:v>15</x:v>
      </x:c>
      <x:c r="E3297" s="40" t="n">
        <x:v>14.3</x:v>
      </x:c>
      <x:c r="F3297" s="40" t="n">
        <x:v>12.818187713623047</x:v>
      </x:c>
      <x:c r="G3297" s="40" t="n">
        <x:v>14.5</x:v>
      </x:c>
      <x:c r="H3297" s="40" t="n">
        <x:f>F3297-E3297</x:f>
        <x:v>-1.4818122863769538</x:v>
      </x:c>
      <x:c r="I3297" s="40" t="n">
        <x:f>ABS(H3297)</x:f>
        <x:v>1.4818122863769538</x:v>
      </x:c>
      <x:c r="J3297" s="40" t="n">
        <x:f>H3297^2</x:f>
        <x:v>2.1957676520576954</x:v>
      </x:c>
      <x:c r="K3297" s="40" t="n">
        <x:f>G3297-E3297</x:f>
        <x:v>0.1999999999999993</x:v>
      </x:c>
      <x:c r="L3297" s="40" t="n">
        <x:f>ABS(K3297)</x:f>
        <x:v>0.1999999999999993</x:v>
      </x:c>
      <x:c r="M3297" s="41" t="str">
        <x:v>lstm-soil-v1</x:v>
      </x:c>
    </x:row>
    <x:row r="3298">
      <x:c r="A3298" s="38" t="str">
        <x:v>7月30日现场数据</x:v>
      </x:c>
      <x:c r="B3298" s="39" t="str">
        <x:v>2026-08-03T10:10:00</x:v>
      </x:c>
      <x:c r="C3298" s="39" t="str">
        <x:v>2026-08-03T10:40:00</x:v>
      </x:c>
      <x:c r="D3298" s="47" t="n">
        <x:v>30</x:v>
      </x:c>
      <x:c r="E3298" s="40" t="n">
        <x:v>14.2</x:v>
      </x:c>
      <x:c r="F3298" s="40" t="n">
        <x:v>13.293315887451172</x:v>
      </x:c>
      <x:c r="G3298" s="40" t="n">
        <x:v>14.5</x:v>
      </x:c>
      <x:c r="H3298" s="40" t="n">
        <x:f>F3298-E3298</x:f>
        <x:v>-0.9066841125488274</x:v>
      </x:c>
      <x:c r="I3298" s="40" t="n">
        <x:f>ABS(H3298)</x:f>
        <x:v>0.9066841125488274</x:v>
      </x:c>
      <x:c r="J3298" s="40" t="n">
        <x:f>H3298^2</x:f>
        <x:v>0.8220760799484548</x:v>
      </x:c>
      <x:c r="K3298" s="40" t="n">
        <x:f>G3298-E3298</x:f>
        <x:v>0.3000000000000007</x:v>
      </x:c>
      <x:c r="L3298" s="40" t="n">
        <x:f>ABS(K3298)</x:f>
        <x:v>0.3000000000000007</x:v>
      </x:c>
      <x:c r="M3298" s="41" t="str">
        <x:v>lstm-soil-v1</x:v>
      </x:c>
    </x:row>
    <x:row r="3299">
      <x:c r="A3299" s="38" t="str">
        <x:v>7月30日现场数据</x:v>
      </x:c>
      <x:c r="B3299" s="39" t="str">
        <x:v>2026-08-03T10:10:00</x:v>
      </x:c>
      <x:c r="C3299" s="39" t="str">
        <x:v>2026-08-03T11:10:00</x:v>
      </x:c>
      <x:c r="D3299" s="47" t="n">
        <x:v>60</x:v>
      </x:c>
      <x:c r="E3299" s="40" t="n">
        <x:v>14</x:v>
      </x:c>
      <x:c r="F3299" s="40" t="n">
        <x:v>14.975833892822266</x:v>
      </x:c>
      <x:c r="G3299" s="40" t="n">
        <x:v>14.5</x:v>
      </x:c>
      <x:c r="H3299" s="40" t="n">
        <x:f>F3299-E3299</x:f>
        <x:v>0.9758338928222656</x:v>
      </x:c>
      <x:c r="I3299" s="40" t="n">
        <x:f>ABS(H3299)</x:f>
        <x:v>0.9758338928222656</x:v>
      </x:c>
      <x:c r="J3299" s="40" t="n">
        <x:f>H3299^2</x:f>
        <x:v>0.952251786380657</x:v>
      </x:c>
      <x:c r="K3299" s="40" t="n">
        <x:f>G3299-E3299</x:f>
        <x:v>0.5</x:v>
      </x:c>
      <x:c r="L3299" s="40" t="n">
        <x:f>ABS(K3299)</x:f>
        <x:v>0.5</x:v>
      </x:c>
      <x:c r="M3299" s="41" t="str">
        <x:v>lstm-soil-v1</x:v>
      </x:c>
    </x:row>
    <x:row r="3300">
      <x:c r="A3300" s="38" t="str">
        <x:v>7月30日现场数据</x:v>
      </x:c>
      <x:c r="B3300" s="39" t="str">
        <x:v>2026-08-03T10:15:00</x:v>
      </x:c>
      <x:c r="C3300" s="39" t="str">
        <x:v>2026-08-03T10:20:00</x:v>
      </x:c>
      <x:c r="D3300" s="47" t="n">
        <x:v>5</x:v>
      </x:c>
      <x:c r="E3300" s="40" t="n">
        <x:v>14.3</x:v>
      </x:c>
      <x:c r="F3300" s="40" t="n">
        <x:v>12.597160339355469</x:v>
      </x:c>
      <x:c r="G3300" s="40" t="n">
        <x:v>14.4</x:v>
      </x:c>
      <x:c r="H3300" s="40" t="n">
        <x:f>F3300-E3300</x:f>
        <x:v>-1.702839660644532</x:v>
      </x:c>
      <x:c r="I3300" s="40" t="n">
        <x:f>ABS(H3300)</x:f>
        <x:v>1.702839660644532</x:v>
      </x:c>
      <x:c r="J3300" s="40" t="n">
        <x:f>H3300^2</x:f>
        <x:v>2.899662909863985</x:v>
      </x:c>
      <x:c r="K3300" s="40" t="n">
        <x:f>G3300-E3300</x:f>
        <x:v>0.09999999999999964</x:v>
      </x:c>
      <x:c r="L3300" s="40" t="n">
        <x:f>ABS(K3300)</x:f>
        <x:v>0.09999999999999964</x:v>
      </x:c>
      <x:c r="M3300" s="41" t="str">
        <x:v>lstm-soil-v1</x:v>
      </x:c>
    </x:row>
    <x:row r="3301">
      <x:c r="A3301" s="38" t="str">
        <x:v>7月30日现场数据</x:v>
      </x:c>
      <x:c r="B3301" s="39" t="str">
        <x:v>2026-08-03T10:15:00</x:v>
      </x:c>
      <x:c r="C3301" s="39" t="str">
        <x:v>2026-08-03T10:30:00</x:v>
      </x:c>
      <x:c r="D3301" s="47" t="n">
        <x:v>15</x:v>
      </x:c>
      <x:c r="E3301" s="40" t="n">
        <x:v>14.4</x:v>
      </x:c>
      <x:c r="F3301" s="40" t="n">
        <x:v>12.700401306152344</x:v>
      </x:c>
      <x:c r="G3301" s="40" t="n">
        <x:v>14.4</x:v>
      </x:c>
      <x:c r="H3301" s="40" t="n">
        <x:f>F3301-E3301</x:f>
        <x:v>-1.6995986938476566</x:v>
      </x:c>
      <x:c r="I3301" s="40" t="n">
        <x:f>ABS(H3301)</x:f>
        <x:v>1.6995986938476566</x:v>
      </x:c>
      <x:c r="J3301" s="40" t="n">
        <x:f>H3301^2</x:f>
        <x:v>2.8886357201286605</x:v>
      </x:c>
      <x:c r="K3301" s="40" t="n">
        <x:f>G3301-E3301</x:f>
        <x:v>0</x:v>
      </x:c>
      <x:c r="L3301" s="40" t="n">
        <x:f>ABS(K3301)</x:f>
        <x:v>0</x:v>
      </x:c>
      <x:c r="M3301" s="41" t="str">
        <x:v>lstm-soil-v1</x:v>
      </x:c>
    </x:row>
    <x:row r="3302">
      <x:c r="A3302" s="38" t="str">
        <x:v>7月30日现场数据</x:v>
      </x:c>
      <x:c r="B3302" s="39" t="str">
        <x:v>2026-08-03T10:15:00</x:v>
      </x:c>
      <x:c r="C3302" s="39" t="str">
        <x:v>2026-08-03T10:45:00</x:v>
      </x:c>
      <x:c r="D3302" s="47" t="n">
        <x:v>30</x:v>
      </x:c>
      <x:c r="E3302" s="40" t="n">
        <x:v>14.2</x:v>
      </x:c>
      <x:c r="F3302" s="40" t="n">
        <x:v>13.159622192382812</x:v>
      </x:c>
      <x:c r="G3302" s="40" t="n">
        <x:v>14.4</x:v>
      </x:c>
      <x:c r="H3302" s="40" t="n">
        <x:f>F3302-E3302</x:f>
        <x:v>-1.0403778076171868</x:v>
      </x:c>
      <x:c r="I3302" s="40" t="n">
        <x:f>ABS(H3302)</x:f>
        <x:v>1.0403778076171868</x:v>
      </x:c>
      <x:c r="J3302" s="40" t="n">
        <x:f>H3302^2</x:f>
        <x:v>1.082385982582344</x:v>
      </x:c>
      <x:c r="K3302" s="40" t="n">
        <x:f>G3302-E3302</x:f>
        <x:v>0.20000000000000107</x:v>
      </x:c>
      <x:c r="L3302" s="40" t="n">
        <x:f>ABS(K3302)</x:f>
        <x:v>0.20000000000000107</x:v>
      </x:c>
      <x:c r="M3302" s="41" t="str">
        <x:v>lstm-soil-v1</x:v>
      </x:c>
    </x:row>
    <x:row r="3303">
      <x:c r="A3303" s="38" t="str">
        <x:v>7月30日现场数据</x:v>
      </x:c>
      <x:c r="B3303" s="39" t="str">
        <x:v>2026-08-03T10:15:00</x:v>
      </x:c>
      <x:c r="C3303" s="39" t="str">
        <x:v>2026-08-03T11:15:00</x:v>
      </x:c>
      <x:c r="D3303" s="47" t="n">
        <x:v>60</x:v>
      </x:c>
      <x:c r="E3303" s="40" t="n">
        <x:v>14</x:v>
      </x:c>
      <x:c r="F3303" s="40" t="n">
        <x:v>14.823768615722656</x:v>
      </x:c>
      <x:c r="G3303" s="40" t="n">
        <x:v>14.4</x:v>
      </x:c>
      <x:c r="H3303" s="40" t="n">
        <x:f>F3303-E3303</x:f>
        <x:v>0.8237686157226562</x:v>
      </x:c>
      <x:c r="I3303" s="40" t="n">
        <x:f>ABS(H3303)</x:f>
        <x:v>0.8237686157226562</x:v>
      </x:c>
      <x:c r="J3303" s="40" t="n">
        <x:f>H3303^2</x:f>
        <x:v>0.6785947322496213</x:v>
      </x:c>
      <x:c r="K3303" s="40" t="n">
        <x:f>G3303-E3303</x:f>
        <x:v>0.40000000000000036</x:v>
      </x:c>
      <x:c r="L3303" s="40" t="n">
        <x:f>ABS(K3303)</x:f>
        <x:v>0.40000000000000036</x:v>
      </x:c>
      <x:c r="M3303" s="41" t="str">
        <x:v>lstm-soil-v1</x:v>
      </x:c>
    </x:row>
    <x:row r="3304">
      <x:c r="A3304" s="38" t="str">
        <x:v>7月30日现场数据</x:v>
      </x:c>
      <x:c r="B3304" s="39" t="str">
        <x:v>2026-08-03T10:20:00</x:v>
      </x:c>
      <x:c r="C3304" s="39" t="str">
        <x:v>2026-08-03T10:25:00</x:v>
      </x:c>
      <x:c r="D3304" s="47" t="n">
        <x:v>5</x:v>
      </x:c>
      <x:c r="E3304" s="40" t="n">
        <x:v>14.3</x:v>
      </x:c>
      <x:c r="F3304" s="40" t="n">
        <x:v>12.483085632324219</x:v>
      </x:c>
      <x:c r="G3304" s="40" t="n">
        <x:v>14.3</x:v>
      </x:c>
      <x:c r="H3304" s="40" t="n">
        <x:f>F3304-E3304</x:f>
        <x:v>-1.816914367675782</x:v>
      </x:c>
      <x:c r="I3304" s="40" t="n">
        <x:f>ABS(H3304)</x:f>
        <x:v>1.816914367675782</x:v>
      </x:c>
      <x:c r="J3304" s="40" t="n">
        <x:f>H3304^2</x:f>
        <x:v>3.3011778194666865</x:v>
      </x:c>
      <x:c r="K3304" s="40" t="n">
        <x:f>G3304-E3304</x:f>
        <x:v>0</x:v>
      </x:c>
      <x:c r="L3304" s="40" t="n">
        <x:f>ABS(K3304)</x:f>
        <x:v>0</x:v>
      </x:c>
      <x:c r="M3304" s="41" t="str">
        <x:v>lstm-soil-v1</x:v>
      </x:c>
    </x:row>
    <x:row r="3305">
      <x:c r="A3305" s="38" t="str">
        <x:v>7月30日现场数据</x:v>
      </x:c>
      <x:c r="B3305" s="39" t="str">
        <x:v>2026-08-03T10:20:00</x:v>
      </x:c>
      <x:c r="C3305" s="39" t="str">
        <x:v>2026-08-03T10:35:00</x:v>
      </x:c>
      <x:c r="D3305" s="47" t="n">
        <x:v>15</x:v>
      </x:c>
      <x:c r="E3305" s="40" t="n">
        <x:v>14.3</x:v>
      </x:c>
      <x:c r="F3305" s="40" t="n">
        <x:v>12.582351684570312</x:v>
      </x:c>
      <x:c r="G3305" s="40" t="n">
        <x:v>14.3</x:v>
      </x:c>
      <x:c r="H3305" s="40" t="n">
        <x:f>F3305-E3305</x:f>
        <x:v>-1.7176483154296882</x:v>
      </x:c>
      <x:c r="I3305" s="40" t="n">
        <x:f>ABS(H3305)</x:f>
        <x:v>1.7176483154296882</x:v>
      </x:c>
      <x:c r="J3305" s="40" t="n">
        <x:f>H3305^2</x:f>
        <x:v>2.9503157354984455</x:v>
      </x:c>
      <x:c r="K3305" s="40" t="n">
        <x:f>G3305-E3305</x:f>
        <x:v>0</x:v>
      </x:c>
      <x:c r="L3305" s="40" t="n">
        <x:f>ABS(K3305)</x:f>
        <x:v>0</x:v>
      </x:c>
      <x:c r="M3305" s="41" t="str">
        <x:v>lstm-soil-v1</x:v>
      </x:c>
    </x:row>
    <x:row r="3306">
      <x:c r="A3306" s="38" t="str">
        <x:v>7月30日现场数据</x:v>
      </x:c>
      <x:c r="B3306" s="39" t="str">
        <x:v>2026-08-03T10:20:00</x:v>
      </x:c>
      <x:c r="C3306" s="39" t="str">
        <x:v>2026-08-03T10:50:00</x:v>
      </x:c>
      <x:c r="D3306" s="47" t="n">
        <x:v>30</x:v>
      </x:c>
      <x:c r="E3306" s="40" t="n">
        <x:v>14.2</x:v>
      </x:c>
      <x:c r="F3306" s="40" t="n">
        <x:v>13.030731201171875</x:v>
      </x:c>
      <x:c r="G3306" s="40" t="n">
        <x:v>14.3</x:v>
      </x:c>
      <x:c r="H3306" s="40" t="n">
        <x:f>F3306-E3306</x:f>
        <x:v>-1.1692687988281243</x:v>
      </x:c>
      <x:c r="I3306" s="40" t="n">
        <x:f>ABS(H3306)</x:f>
        <x:v>1.1692687988281243</x:v>
      </x:c>
      <x:c r="J3306" s="40" t="n">
        <x:f>H3306^2</x:f>
        <x:v>1.3671895239129646</x:v>
      </x:c>
      <x:c r="K3306" s="40" t="n">
        <x:f>G3306-E3306</x:f>
        <x:v>0.10000000000000142</x:v>
      </x:c>
      <x:c r="L3306" s="40" t="n">
        <x:f>ABS(K3306)</x:f>
        <x:v>0.10000000000000142</x:v>
      </x:c>
      <x:c r="M3306" s="41" t="str">
        <x:v>lstm-soil-v1</x:v>
      </x:c>
    </x:row>
    <x:row r="3307">
      <x:c r="A3307" s="38" t="str">
        <x:v>7月30日现场数据</x:v>
      </x:c>
      <x:c r="B3307" s="39" t="str">
        <x:v>2026-08-03T10:20:00</x:v>
      </x:c>
      <x:c r="C3307" s="39" t="str">
        <x:v>2026-08-03T11:20:00</x:v>
      </x:c>
      <x:c r="D3307" s="47" t="n">
        <x:v>60</x:v>
      </x:c>
      <x:c r="E3307" s="40" t="n">
        <x:v>14</x:v>
      </x:c>
      <x:c r="F3307" s="40" t="n">
        <x:v>14.676223754882812</x:v>
      </x:c>
      <x:c r="G3307" s="40" t="n">
        <x:v>14.3</x:v>
      </x:c>
      <x:c r="H3307" s="40" t="n">
        <x:f>F3307-E3307</x:f>
        <x:v>0.6762237548828125</x:v>
      </x:c>
      <x:c r="I3307" s="40" t="n">
        <x:f>ABS(H3307)</x:f>
        <x:v>0.6762237548828125</x:v>
      </x:c>
      <x:c r="J3307" s="40" t="n">
        <x:f>H3307^2</x:f>
        <x:v>0.4572785666678101</x:v>
      </x:c>
      <x:c r="K3307" s="40" t="n">
        <x:f>G3307-E3307</x:f>
        <x:v>0.3000000000000007</x:v>
      </x:c>
      <x:c r="L3307" s="40" t="n">
        <x:f>ABS(K3307)</x:f>
        <x:v>0.3000000000000007</x:v>
      </x:c>
      <x:c r="M3307" s="41" t="str">
        <x:v>lstm-soil-v1</x:v>
      </x:c>
    </x:row>
    <x:row r="3308">
      <x:c r="A3308" s="38" t="str">
        <x:v>7月30日现场数据</x:v>
      </x:c>
      <x:c r="B3308" s="39" t="str">
        <x:v>2026-08-03T10:25:00</x:v>
      </x:c>
      <x:c r="C3308" s="39" t="str">
        <x:v>2026-08-03T10:30:00</x:v>
      </x:c>
      <x:c r="D3308" s="47" t="n">
        <x:v>5</x:v>
      </x:c>
      <x:c r="E3308" s="40" t="n">
        <x:v>14.4</x:v>
      </x:c>
      <x:c r="F3308" s="40" t="n">
        <x:v>12.48165512084961</x:v>
      </x:c>
      <x:c r="G3308" s="40" t="n">
        <x:v>14.3</x:v>
      </x:c>
      <x:c r="H3308" s="40" t="n">
        <x:f>F3308-E3308</x:f>
        <x:v>-1.918344879150391</x:v>
      </x:c>
      <x:c r="I3308" s="40" t="n">
        <x:f>ABS(H3308)</x:f>
        <x:v>1.918344879150391</x:v>
      </x:c>
      <x:c r="J3308" s="40" t="n">
        <x:f>H3308^2</x:f>
        <x:v>3.6800470753625283</x:v>
      </x:c>
      <x:c r="K3308" s="40" t="n">
        <x:f>G3308-E3308</x:f>
        <x:v>-0.09999999999999964</x:v>
      </x:c>
      <x:c r="L3308" s="40" t="n">
        <x:f>ABS(K3308)</x:f>
        <x:v>0.09999999999999964</x:v>
      </x:c>
      <x:c r="M3308" s="41" t="str">
        <x:v>lstm-soil-v1</x:v>
      </x:c>
    </x:row>
    <x:row r="3309">
      <x:c r="A3309" s="38" t="str">
        <x:v>7月30日现场数据</x:v>
      </x:c>
      <x:c r="B3309" s="39" t="str">
        <x:v>2026-08-03T10:25:00</x:v>
      </x:c>
      <x:c r="C3309" s="39" t="str">
        <x:v>2026-08-03T10:40:00</x:v>
      </x:c>
      <x:c r="D3309" s="47" t="n">
        <x:v>15</x:v>
      </x:c>
      <x:c r="E3309" s="40" t="n">
        <x:v>14.2</x:v>
      </x:c>
      <x:c r="F3309" s="40" t="n">
        <x:v>12.57293701171875</x:v>
      </x:c>
      <x:c r="G3309" s="40" t="n">
        <x:v>14.3</x:v>
      </x:c>
      <x:c r="H3309" s="40" t="n">
        <x:f>F3309-E3309</x:f>
        <x:v>-1.6270629882812493</x:v>
      </x:c>
      <x:c r="I3309" s="40" t="n">
        <x:f>ABS(H3309)</x:f>
        <x:v>1.6270629882812493</x:v>
      </x:c>
      <x:c r="J3309" s="40" t="n">
        <x:f>H3309^2</x:f>
        <x:v>2.647333967834709</x:v>
      </x:c>
      <x:c r="K3309" s="40" t="n">
        <x:f>G3309-E3309</x:f>
        <x:v>0.10000000000000142</x:v>
      </x:c>
      <x:c r="L3309" s="40" t="n">
        <x:f>ABS(K3309)</x:f>
        <x:v>0.10000000000000142</x:v>
      </x:c>
      <x:c r="M3309" s="41" t="str">
        <x:v>lstm-soil-v1</x:v>
      </x:c>
    </x:row>
    <x:row r="3310">
      <x:c r="A3310" s="38" t="str">
        <x:v>7月30日现场数据</x:v>
      </x:c>
      <x:c r="B3310" s="39" t="str">
        <x:v>2026-08-03T10:25:00</x:v>
      </x:c>
      <x:c r="C3310" s="39" t="str">
        <x:v>2026-08-03T10:55:00</x:v>
      </x:c>
      <x:c r="D3310" s="47" t="n">
        <x:v>30</x:v>
      </x:c>
      <x:c r="E3310" s="40" t="n">
        <x:v>14.2</x:v>
      </x:c>
      <x:c r="F3310" s="40" t="n">
        <x:v>13.022918701171875</x:v>
      </x:c>
      <x:c r="G3310" s="40" t="n">
        <x:v>14.3</x:v>
      </x:c>
      <x:c r="H3310" s="40" t="n">
        <x:f>F3310-E3310</x:f>
        <x:v>-1.1770812988281243</x:v>
      </x:c>
      <x:c r="I3310" s="40" t="n">
        <x:f>ABS(H3310)</x:f>
        <x:v>1.1770812988281243</x:v>
      </x:c>
      <x:c r="J3310" s="40" t="n">
        <x:f>H3310^2</x:f>
        <x:v>1.385520384050904</x:v>
      </x:c>
      <x:c r="K3310" s="40" t="n">
        <x:f>G3310-E3310</x:f>
        <x:v>0.10000000000000142</x:v>
      </x:c>
      <x:c r="L3310" s="40" t="n">
        <x:f>ABS(K3310)</x:f>
        <x:v>0.10000000000000142</x:v>
      </x:c>
      <x:c r="M3310" s="41" t="str">
        <x:v>lstm-soil-v1</x:v>
      </x:c>
    </x:row>
    <x:row r="3311">
      <x:c r="A3311" s="38" t="str">
        <x:v>7月30日现场数据</x:v>
      </x:c>
      <x:c r="B3311" s="39" t="str">
        <x:v>2026-08-03T10:25:00</x:v>
      </x:c>
      <x:c r="C3311" s="39" t="str">
        <x:v>2026-08-03T11:25:00</x:v>
      </x:c>
      <x:c r="D3311" s="47" t="n">
        <x:v>60</x:v>
      </x:c>
      <x:c r="E3311" s="40" t="n">
        <x:v>13.9</x:v>
      </x:c>
      <x:c r="F3311" s="40" t="n">
        <x:v>14.671092987060547</x:v>
      </x:c>
      <x:c r="G3311" s="40" t="n">
        <x:v>14.3</x:v>
      </x:c>
      <x:c r="H3311" s="40" t="n">
        <x:f>F3311-E3311</x:f>
        <x:v>0.7710929870605465</x:v>
      </x:c>
      <x:c r="I3311" s="40" t="n">
        <x:f>ABS(H3311)</x:f>
        <x:v>0.7710929870605465</x:v>
      </x:c>
      <x:c r="J3311" s="40" t="n">
        <x:f>H3311^2</x:f>
        <x:v>0.5945843946939562</x:v>
      </x:c>
      <x:c r="K3311" s="40" t="n">
        <x:f>G3311-E3311</x:f>
        <x:v>0.40000000000000036</x:v>
      </x:c>
      <x:c r="L3311" s="40" t="n">
        <x:f>ABS(K3311)</x:f>
        <x:v>0.40000000000000036</x:v>
      </x:c>
      <x:c r="M3311" s="41" t="str">
        <x:v>lstm-soil-v1</x:v>
      </x:c>
    </x:row>
    <x:row r="3312">
      <x:c r="A3312" s="38" t="str">
        <x:v>7月30日现场数据</x:v>
      </x:c>
      <x:c r="B3312" s="39" t="str">
        <x:v>2026-08-03T10:30:00</x:v>
      </x:c>
      <x:c r="C3312" s="39" t="str">
        <x:v>2026-08-03T10:35:00</x:v>
      </x:c>
      <x:c r="D3312" s="47" t="n">
        <x:v>5</x:v>
      </x:c>
      <x:c r="E3312" s="40" t="n">
        <x:v>14.3</x:v>
      </x:c>
      <x:c r="F3312" s="40" t="n">
        <x:v>12.590667724609375</x:v>
      </x:c>
      <x:c r="G3312" s="40" t="n">
        <x:v>14.4</x:v>
      </x:c>
      <x:c r="H3312" s="40" t="n">
        <x:f>F3312-E3312</x:f>
        <x:v>-1.7093322753906257</x:v>
      </x:c>
      <x:c r="I3312" s="40" t="n">
        <x:f>ABS(H3312)</x:f>
        <x:v>1.7093322753906257</x:v>
      </x:c>
      <x:c r="J3312" s="40" t="n">
        <x:f>H3312^2</x:f>
        <x:v>2.9218168276920937</x:v>
      </x:c>
      <x:c r="K3312" s="40" t="n">
        <x:f>G3312-E3312</x:f>
        <x:v>0.09999999999999964</x:v>
      </x:c>
      <x:c r="L3312" s="40" t="n">
        <x:f>ABS(K3312)</x:f>
        <x:v>0.09999999999999964</x:v>
      </x:c>
      <x:c r="M3312" s="41" t="str">
        <x:v>lstm-soil-v1</x:v>
      </x:c>
    </x:row>
    <x:row r="3313">
      <x:c r="A3313" s="38" t="str">
        <x:v>7月30日现场数据</x:v>
      </x:c>
      <x:c r="B3313" s="39" t="str">
        <x:v>2026-08-03T10:30:00</x:v>
      </x:c>
      <x:c r="C3313" s="39" t="str">
        <x:v>2026-08-03T10:45:00</x:v>
      </x:c>
      <x:c r="D3313" s="47" t="n">
        <x:v>15</x:v>
      </x:c>
      <x:c r="E3313" s="40" t="n">
        <x:v>14.2</x:v>
      </x:c>
      <x:c r="F3313" s="40" t="n">
        <x:v>12.684585571289062</x:v>
      </x:c>
      <x:c r="G3313" s="40" t="n">
        <x:v>14.4</x:v>
      </x:c>
      <x:c r="H3313" s="40" t="n">
        <x:f>F3313-E3313</x:f>
        <x:v>-1.5154144287109368</x:v>
      </x:c>
      <x:c r="I3313" s="40" t="n">
        <x:f>ABS(H3313)</x:f>
        <x:v>1.5154144287109368</x:v>
      </x:c>
      <x:c r="J3313" s="40" t="n">
        <x:f>H3313^2</x:f>
        <x:v>2.2964808907452947</x:v>
      </x:c>
      <x:c r="K3313" s="40" t="n">
        <x:f>G3313-E3313</x:f>
        <x:v>0.20000000000000107</x:v>
      </x:c>
      <x:c r="L3313" s="40" t="n">
        <x:f>ABS(K3313)</x:f>
        <x:v>0.20000000000000107</x:v>
      </x:c>
      <x:c r="M3313" s="41" t="str">
        <x:v>lstm-soil-v1</x:v>
      </x:c>
    </x:row>
    <x:row r="3314">
      <x:c r="A3314" s="38" t="str">
        <x:v>7月30日现场数据</x:v>
      </x:c>
      <x:c r="B3314" s="39" t="str">
        <x:v>2026-08-03T10:30:00</x:v>
      </x:c>
      <x:c r="C3314" s="39" t="str">
        <x:v>2026-08-03T11:00:00</x:v>
      </x:c>
      <x:c r="D3314" s="47" t="n">
        <x:v>30</x:v>
      </x:c>
      <x:c r="E3314" s="40" t="n">
        <x:v>14.1</x:v>
      </x:c>
      <x:c r="F3314" s="40" t="n">
        <x:v>13.132915496826172</x:v>
      </x:c>
      <x:c r="G3314" s="40" t="n">
        <x:v>14.4</x:v>
      </x:c>
      <x:c r="H3314" s="40" t="n">
        <x:f>F3314-E3314</x:f>
        <x:v>-0.9670845031738278</x:v>
      </x:c>
      <x:c r="I3314" s="40" t="n">
        <x:f>ABS(H3314)</x:f>
        <x:v>0.9670845031738278</x:v>
      </x:c>
      <x:c r="J3314" s="40" t="n">
        <x:f>H3314^2</x:f>
        <x:v>0.9352524362789693</x:v>
      </x:c>
      <x:c r="K3314" s="40" t="n">
        <x:f>G3314-E3314</x:f>
        <x:v>0.3000000000000007</x:v>
      </x:c>
      <x:c r="L3314" s="40" t="n">
        <x:f>ABS(K3314)</x:f>
        <x:v>0.3000000000000007</x:v>
      </x:c>
      <x:c r="M3314" s="41" t="str">
        <x:v>lstm-soil-v1</x:v>
      </x:c>
    </x:row>
    <x:row r="3315">
      <x:c r="A3315" s="38" t="str">
        <x:v>7月30日现场数据</x:v>
      </x:c>
      <x:c r="B3315" s="39" t="str">
        <x:v>2026-08-03T10:30:00</x:v>
      </x:c>
      <x:c r="C3315" s="39" t="str">
        <x:v>2026-08-03T11:30:00</x:v>
      </x:c>
      <x:c r="D3315" s="47" t="n">
        <x:v>60</x:v>
      </x:c>
      <x:c r="E3315" s="40" t="n">
        <x:v>13.9</x:v>
      </x:c>
      <x:c r="F3315" s="40" t="n">
        <x:v>14.773662567138672</x:v>
      </x:c>
      <x:c r="G3315" s="40" t="n">
        <x:v>14.4</x:v>
      </x:c>
      <x:c r="H3315" s="40" t="n">
        <x:f>F3315-E3315</x:f>
        <x:v>0.8736625671386715</x:v>
      </x:c>
      <x:c r="I3315" s="40" t="n">
        <x:f>ABS(H3315)</x:f>
        <x:v>0.8736625671386715</x:v>
      </x:c>
      <x:c r="J3315" s="40" t="n">
        <x:f>H3315^2</x:f>
        <x:v>0.7632862812193337</x:v>
      </x:c>
      <x:c r="K3315" s="40" t="n">
        <x:f>G3315-E3315</x:f>
        <x:v>0.5</x:v>
      </x:c>
      <x:c r="L3315" s="40" t="n">
        <x:f>ABS(K3315)</x:f>
        <x:v>0.5</x:v>
      </x:c>
      <x:c r="M3315" s="41" t="str">
        <x:v>lstm-soil-v1</x:v>
      </x:c>
    </x:row>
    <x:row r="3316">
      <x:c r="A3316" s="38" t="str">
        <x:v>7月30日现场数据</x:v>
      </x:c>
      <x:c r="B3316" s="39" t="str">
        <x:v>2026-08-03T10:35:00</x:v>
      </x:c>
      <x:c r="C3316" s="39" t="str">
        <x:v>2026-08-03T10:40:00</x:v>
      </x:c>
      <x:c r="D3316" s="47" t="n">
        <x:v>5</x:v>
      </x:c>
      <x:c r="E3316" s="40" t="n">
        <x:v>14.2</x:v>
      </x:c>
      <x:c r="F3316" s="40" t="n">
        <x:v>12.477550506591797</x:v>
      </x:c>
      <x:c r="G3316" s="40" t="n">
        <x:v>14.3</x:v>
      </x:c>
      <x:c r="H3316" s="40" t="n">
        <x:f>F3316-E3316</x:f>
        <x:v>-1.7224494934082024</x:v>
      </x:c>
      <x:c r="I3316" s="40" t="n">
        <x:f>ABS(H3316)</x:f>
        <x:v>1.7224494934082024</x:v>
      </x:c>
      <x:c r="J3316" s="40" t="n">
        <x:f>H3316^2</x:f>
        <x:v>2.966832257342173</x:v>
      </x:c>
      <x:c r="K3316" s="40" t="n">
        <x:f>G3316-E3316</x:f>
        <x:v>0.10000000000000142</x:v>
      </x:c>
      <x:c r="L3316" s="40" t="n">
        <x:f>ABS(K3316)</x:f>
        <x:v>0.10000000000000142</x:v>
      </x:c>
      <x:c r="M3316" s="41" t="str">
        <x:v>lstm-soil-v1</x:v>
      </x:c>
    </x:row>
    <x:row r="3317">
      <x:c r="A3317" s="38" t="str">
        <x:v>7月30日现场数据</x:v>
      </x:c>
      <x:c r="B3317" s="39" t="str">
        <x:v>2026-08-03T10:35:00</x:v>
      </x:c>
      <x:c r="C3317" s="39" t="str">
        <x:v>2026-08-03T10:50:00</x:v>
      </x:c>
      <x:c r="D3317" s="47" t="n">
        <x:v>15</x:v>
      </x:c>
      <x:c r="E3317" s="40" t="n">
        <x:v>14.2</x:v>
      </x:c>
      <x:c r="F3317" s="40" t="n">
        <x:v>12.570880889892578</x:v>
      </x:c>
      <x:c r="G3317" s="40" t="n">
        <x:v>14.3</x:v>
      </x:c>
      <x:c r="H3317" s="40" t="n">
        <x:f>F3317-E3317</x:f>
        <x:v>-1.6291191101074212</x:v>
      </x:c>
      <x:c r="I3317" s="40" t="n">
        <x:f>ABS(H3317)</x:f>
        <x:v>1.6291191101074212</x:v>
      </x:c>
      <x:c r="J3317" s="40" t="n">
        <x:f>H3317^2</x:f>
        <x:v>2.654029074917196</x:v>
      </x:c>
      <x:c r="K3317" s="40" t="n">
        <x:f>G3317-E3317</x:f>
        <x:v>0.10000000000000142</x:v>
      </x:c>
      <x:c r="L3317" s="40" t="n">
        <x:f>ABS(K3317)</x:f>
        <x:v>0.10000000000000142</x:v>
      </x:c>
      <x:c r="M3317" s="41" t="str">
        <x:v>lstm-soil-v1</x:v>
      </x:c>
    </x:row>
    <x:row r="3318">
      <x:c r="A3318" s="38" t="str">
        <x:v>7月30日现场数据</x:v>
      </x:c>
      <x:c r="B3318" s="39" t="str">
        <x:v>2026-08-03T10:35:00</x:v>
      </x:c>
      <x:c r="C3318" s="39" t="str">
        <x:v>2026-08-03T11:05:00</x:v>
      </x:c>
      <x:c r="D3318" s="47" t="n">
        <x:v>30</x:v>
      </x:c>
      <x:c r="E3318" s="40" t="n">
        <x:v>14.1</x:v>
      </x:c>
      <x:c r="F3318" s="40" t="n">
        <x:v>13.015026092529297</x:v>
      </x:c>
      <x:c r="G3318" s="40" t="n">
        <x:v>14.3</x:v>
      </x:c>
      <x:c r="H3318" s="40" t="n">
        <x:f>F3318-E3318</x:f>
        <x:v>-1.0849739074707028</x:v>
      </x:c>
      <x:c r="I3318" s="40" t="n">
        <x:f>ABS(H3318)</x:f>
        <x:v>1.0849739074707028</x:v>
      </x:c>
      <x:c r="J3318" s="40" t="n">
        <x:f>H3318^2</x:f>
        <x:v>1.177168379892245</x:v>
      </x:c>
      <x:c r="K3318" s="40" t="n">
        <x:f>G3318-E3318</x:f>
        <x:v>0.20000000000000107</x:v>
      </x:c>
      <x:c r="L3318" s="40" t="n">
        <x:f>ABS(K3318)</x:f>
        <x:v>0.20000000000000107</x:v>
      </x:c>
      <x:c r="M3318" s="41" t="str">
        <x:v>lstm-soil-v1</x:v>
      </x:c>
    </x:row>
    <x:row r="3319">
      <x:c r="A3319" s="38" t="str">
        <x:v>7月30日现场数据</x:v>
      </x:c>
      <x:c r="B3319" s="39" t="str">
        <x:v>2026-08-03T10:35:00</x:v>
      </x:c>
      <x:c r="C3319" s="39" t="str">
        <x:v>2026-08-03T11:35:00</x:v>
      </x:c>
      <x:c r="D3319" s="47" t="n">
        <x:v>60</x:v>
      </x:c>
      <x:c r="E3319" s="40" t="n">
        <x:v>13.8</x:v>
      </x:c>
      <x:c r="F3319" s="40" t="n">
        <x:v>14.647727966308594</x:v>
      </x:c>
      <x:c r="G3319" s="40" t="n">
        <x:v>14.3</x:v>
      </x:c>
      <x:c r="H3319" s="40" t="n">
        <x:f>F3319-E3319</x:f>
        <x:v>0.847727966308593</x:v>
      </x:c>
      <x:c r="I3319" s="40" t="n">
        <x:f>ABS(H3319)</x:f>
        <x:v>0.847727966308593</x:v>
      </x:c>
      <x:c r="J3319" s="40" t="n">
        <x:f>H3319^2</x:f>
        <x:v>0.718642704861703</x:v>
      </x:c>
      <x:c r="K3319" s="40" t="n">
        <x:f>G3319-E3319</x:f>
        <x:v>0.5</x:v>
      </x:c>
      <x:c r="L3319" s="40" t="n">
        <x:f>ABS(K3319)</x:f>
        <x:v>0.5</x:v>
      </x:c>
      <x:c r="M3319" s="41" t="str">
        <x:v>lstm-soil-v1</x:v>
      </x:c>
    </x:row>
    <x:row r="3320">
      <x:c r="A3320" s="38" t="str">
        <x:v>7月30日现场数据</x:v>
      </x:c>
      <x:c r="B3320" s="39" t="str">
        <x:v>2026-08-03T10:40:00</x:v>
      </x:c>
      <x:c r="C3320" s="39" t="str">
        <x:v>2026-08-03T10:45:00</x:v>
      </x:c>
      <x:c r="D3320" s="47" t="n">
        <x:v>5</x:v>
      </x:c>
      <x:c r="E3320" s="40" t="n">
        <x:v>14.2</x:v>
      </x:c>
      <x:c r="F3320" s="40" t="n">
        <x:v>12.364887237548828</x:v>
      </x:c>
      <x:c r="G3320" s="40" t="n">
        <x:v>14.2</x:v>
      </x:c>
      <x:c r="H3320" s="40" t="n">
        <x:f>F3320-E3320</x:f>
        <x:v>-1.8351127624511712</x:v>
      </x:c>
      <x:c r="I3320" s="40" t="n">
        <x:f>ABS(H3320)</x:f>
        <x:v>1.8351127624511712</x:v>
      </x:c>
      <x:c r="J3320" s="40" t="n">
        <x:f>H3320^2</x:f>
        <x:v>3.3676388509111685</x:v>
      </x:c>
      <x:c r="K3320" s="40" t="n">
        <x:f>G3320-E3320</x:f>
        <x:v>0</x:v>
      </x:c>
      <x:c r="L3320" s="40" t="n">
        <x:f>ABS(K3320)</x:f>
        <x:v>0</x:v>
      </x:c>
      <x:c r="M3320" s="41" t="str">
        <x:v>lstm-soil-v1</x:v>
      </x:c>
    </x:row>
    <x:row r="3321">
      <x:c r="A3321" s="38" t="str">
        <x:v>7月30日现场数据</x:v>
      </x:c>
      <x:c r="B3321" s="39" t="str">
        <x:v>2026-08-03T10:40:00</x:v>
      </x:c>
      <x:c r="C3321" s="39" t="str">
        <x:v>2026-08-03T10:55:00</x:v>
      </x:c>
      <x:c r="D3321" s="47" t="n">
        <x:v>15</x:v>
      </x:c>
      <x:c r="E3321" s="40" t="n">
        <x:v>14.2</x:v>
      </x:c>
      <x:c r="F3321" s="40" t="n">
        <x:v>12.458404541015625</x:v>
      </x:c>
      <x:c r="G3321" s="40" t="n">
        <x:v>14.2</x:v>
      </x:c>
      <x:c r="H3321" s="40" t="n">
        <x:f>F3321-E3321</x:f>
        <x:v>-1.7415954589843743</x:v>
      </x:c>
      <x:c r="I3321" s="40" t="n">
        <x:f>ABS(H3321)</x:f>
        <x:v>1.7415954589843743</x:v>
      </x:c>
      <x:c r="J3321" s="40" t="n">
        <x:f>H3321^2</x:f>
        <x:v>3.033154742754993</x:v>
      </x:c>
      <x:c r="K3321" s="40" t="n">
        <x:f>G3321-E3321</x:f>
        <x:v>0</x:v>
      </x:c>
      <x:c r="L3321" s="40" t="n">
        <x:f>ABS(K3321)</x:f>
        <x:v>0</x:v>
      </x:c>
      <x:c r="M3321" s="41" t="str">
        <x:v>lstm-soil-v1</x:v>
      </x:c>
    </x:row>
    <x:row r="3322">
      <x:c r="A3322" s="38" t="str">
        <x:v>7月30日现场数据</x:v>
      </x:c>
      <x:c r="B3322" s="39" t="str">
        <x:v>2026-08-03T10:40:00</x:v>
      </x:c>
      <x:c r="C3322" s="39" t="str">
        <x:v>2026-08-03T11:10:00</x:v>
      </x:c>
      <x:c r="D3322" s="47" t="n">
        <x:v>30</x:v>
      </x:c>
      <x:c r="E3322" s="40" t="n">
        <x:v>14</x:v>
      </x:c>
      <x:c r="F3322" s="40" t="n">
        <x:v>12.900585174560547</x:v>
      </x:c>
      <x:c r="G3322" s="40" t="n">
        <x:v>14.2</x:v>
      </x:c>
      <x:c r="H3322" s="40" t="n">
        <x:f>F3322-E3322</x:f>
        <x:v>-1.0994148254394531</x:v>
      </x:c>
      <x:c r="I3322" s="40" t="n">
        <x:f>ABS(H3322)</x:f>
        <x:v>1.0994148254394531</x:v>
      </x:c>
      <x:c r="J3322" s="40" t="n">
        <x:f>H3322^2</x:f>
        <x:v>1.2087129583960632</x:v>
      </x:c>
      <x:c r="K3322" s="40" t="n">
        <x:f>G3322-E3322</x:f>
        <x:v>0.1999999999999993</x:v>
      </x:c>
      <x:c r="L3322" s="40" t="n">
        <x:f>ABS(K3322)</x:f>
        <x:v>0.1999999999999993</x:v>
      </x:c>
      <x:c r="M3322" s="41" t="str">
        <x:v>lstm-soil-v1</x:v>
      </x:c>
    </x:row>
    <x:row r="3323">
      <x:c r="A3323" s="38" t="str">
        <x:v>7月30日现场数据</x:v>
      </x:c>
      <x:c r="B3323" s="39" t="str">
        <x:v>2026-08-03T10:40:00</x:v>
      </x:c>
      <x:c r="C3323" s="39" t="str">
        <x:v>2026-08-03T11:40:00</x:v>
      </x:c>
      <x:c r="D3323" s="47" t="n">
        <x:v>60</x:v>
      </x:c>
      <x:c r="E3323" s="40" t="n">
        <x:v>13.8</x:v>
      </x:c>
      <x:c r="F3323" s="40" t="n">
        <x:v>14.53145980834961</x:v>
      </x:c>
      <x:c r="G3323" s="40" t="n">
        <x:v>14.2</x:v>
      </x:c>
      <x:c r="H3323" s="40" t="n">
        <x:f>F3323-E3323</x:f>
        <x:v>0.7314598083496087</x:v>
      </x:c>
      <x:c r="I3323" s="40" t="n">
        <x:f>ABS(H3323)</x:f>
        <x:v>0.7314598083496087</x:v>
      </x:c>
      <x:c r="J3323" s="40" t="n">
        <x:f>H3323^2</x:f>
        <x:v>0.5350334512308462</x:v>
      </x:c>
      <x:c r="K3323" s="40" t="n">
        <x:f>G3323-E3323</x:f>
        <x:v>0.3999999999999986</x:v>
      </x:c>
      <x:c r="L3323" s="40" t="n">
        <x:f>ABS(K3323)</x:f>
        <x:v>0.3999999999999986</x:v>
      </x:c>
      <x:c r="M3323" s="41" t="str">
        <x:v>lstm-soil-v1</x:v>
      </x:c>
    </x:row>
    <x:row r="3324">
      <x:c r="A3324" s="38" t="str">
        <x:v>7月30日现场数据</x:v>
      </x:c>
      <x:c r="B3324" s="39" t="str">
        <x:v>2026-08-03T10:45:00</x:v>
      </x:c>
      <x:c r="C3324" s="39" t="str">
        <x:v>2026-08-03T10:50:00</x:v>
      </x:c>
      <x:c r="D3324" s="47" t="n">
        <x:v>5</x:v>
      </x:c>
      <x:c r="E3324" s="40" t="n">
        <x:v>14.2</x:v>
      </x:c>
      <x:c r="F3324" s="40" t="n">
        <x:v>12.366416931152344</x:v>
      </x:c>
      <x:c r="G3324" s="40" t="n">
        <x:v>14.2</x:v>
      </x:c>
      <x:c r="H3324" s="40" t="n">
        <x:f>F3324-E3324</x:f>
        <x:v>-1.8335830688476555</x:v>
      </x:c>
      <x:c r="I3324" s="40" t="n">
        <x:f>ABS(H3324)</x:f>
        <x:v>1.8335830688476555</x:v>
      </x:c>
      <x:c r="J3324" s="40" t="n">
        <x:f>H3324^2</x:f>
        <x:v>3.362026870364786</x:v>
      </x:c>
      <x:c r="K3324" s="40" t="n">
        <x:f>G3324-E3324</x:f>
        <x:v>0</x:v>
      </x:c>
      <x:c r="L3324" s="40" t="n">
        <x:f>ABS(K3324)</x:f>
        <x:v>0</x:v>
      </x:c>
      <x:c r="M3324" s="41" t="str">
        <x:v>lstm-soil-v1</x:v>
      </x:c>
    </x:row>
    <x:row r="3325">
      <x:c r="A3325" s="38" t="str">
        <x:v>7月30日现场数据</x:v>
      </x:c>
      <x:c r="B3325" s="39" t="str">
        <x:v>2026-08-03T10:45:00</x:v>
      </x:c>
      <x:c r="C3325" s="39" t="str">
        <x:v>2026-08-03T11:00:00</x:v>
      </x:c>
      <x:c r="D3325" s="47" t="n">
        <x:v>15</x:v>
      </x:c>
      <x:c r="E3325" s="40" t="n">
        <x:v>14.1</x:v>
      </x:c>
      <x:c r="F3325" s="40" t="n">
        <x:v>12.454116821289062</x:v>
      </x:c>
      <x:c r="G3325" s="40" t="n">
        <x:v>14.2</x:v>
      </x:c>
      <x:c r="H3325" s="40" t="n">
        <x:f>F3325-E3325</x:f>
        <x:v>-1.6458831787109371</x:v>
      </x:c>
      <x:c r="I3325" s="40" t="n">
        <x:f>ABS(H3325)</x:f>
        <x:v>1.6458831787109371</x:v>
      </x:c>
      <x:c r="J3325" s="40" t="n">
        <x:f>H3325^2</x:f>
        <x:v>2.7089314379636185</x:v>
      </x:c>
      <x:c r="K3325" s="40" t="n">
        <x:f>G3325-E3325</x:f>
        <x:v>0.09999999999999964</x:v>
      </x:c>
      <x:c r="L3325" s="40" t="n">
        <x:f>ABS(K3325)</x:f>
        <x:v>0.09999999999999964</x:v>
      </x:c>
      <x:c r="M3325" s="41" t="str">
        <x:v>lstm-soil-v1</x:v>
      </x:c>
    </x:row>
    <x:row r="3326">
      <x:c r="A3326" s="38" t="str">
        <x:v>7月30日现场数据</x:v>
      </x:c>
      <x:c r="B3326" s="39" t="str">
        <x:v>2026-08-03T10:45:00</x:v>
      </x:c>
      <x:c r="C3326" s="39" t="str">
        <x:v>2026-08-03T11:15:00</x:v>
      </x:c>
      <x:c r="D3326" s="47" t="n">
        <x:v>30</x:v>
      </x:c>
      <x:c r="E3326" s="40" t="n">
        <x:v>14</x:v>
      </x:c>
      <x:c r="F3326" s="40" t="n">
        <x:v>12.901805877685547</x:v>
      </x:c>
      <x:c r="G3326" s="40" t="n">
        <x:v>14.2</x:v>
      </x:c>
      <x:c r="H3326" s="40" t="n">
        <x:f>F3326-E3326</x:f>
        <x:v>-1.0981941223144531</x:v>
      </x:c>
      <x:c r="I3326" s="40" t="n">
        <x:f>ABS(H3326)</x:f>
        <x:v>1.0981941223144531</x:v>
      </x:c>
      <x:c r="J3326" s="40" t="n">
        <x:f>H3326^2</x:f>
        <x:v>1.206030330286012</x:v>
      </x:c>
      <x:c r="K3326" s="40" t="n">
        <x:f>G3326-E3326</x:f>
        <x:v>0.1999999999999993</x:v>
      </x:c>
      <x:c r="L3326" s="40" t="n">
        <x:f>ABS(K3326)</x:f>
        <x:v>0.1999999999999993</x:v>
      </x:c>
      <x:c r="M3326" s="41" t="str">
        <x:v>lstm-soil-v1</x:v>
      </x:c>
    </x:row>
    <x:row r="3327">
      <x:c r="A3327" s="38" t="str">
        <x:v>7月30日现场数据</x:v>
      </x:c>
      <x:c r="B3327" s="39" t="str">
        <x:v>2026-08-03T10:45:00</x:v>
      </x:c>
      <x:c r="C3327" s="39" t="str">
        <x:v>2026-08-03T11:45:00</x:v>
      </x:c>
      <x:c r="D3327" s="47" t="n">
        <x:v>60</x:v>
      </x:c>
      <x:c r="E3327" s="40" t="n">
        <x:v>13.7</x:v>
      </x:c>
      <x:c r="F3327" s="40" t="n">
        <x:v>14.537906646728516</x:v>
      </x:c>
      <x:c r="G3327" s="40" t="n">
        <x:v>14.2</x:v>
      </x:c>
      <x:c r="H3327" s="40" t="n">
        <x:f>F3327-E3327</x:f>
        <x:v>0.8379066467285163</x:v>
      </x:c>
      <x:c r="I3327" s="40" t="n">
        <x:f>ABS(H3327)</x:f>
        <x:v>0.8379066467285163</x:v>
      </x:c>
      <x:c r="J3327" s="40" t="n">
        <x:f>H3327^2</x:f>
        <x:v>0.7020875486318267</x:v>
      </x:c>
      <x:c r="K3327" s="40" t="n">
        <x:f>G3327-E3327</x:f>
        <x:v>0.5</x:v>
      </x:c>
      <x:c r="L3327" s="40" t="n">
        <x:f>ABS(K3327)</x:f>
        <x:v>0.5</x:v>
      </x:c>
      <x:c r="M3327" s="41" t="str">
        <x:v>lstm-soil-v1</x:v>
      </x:c>
    </x:row>
    <x:row r="3328">
      <x:c r="A3328" s="38" t="str">
        <x:v>7月30日现场数据</x:v>
      </x:c>
      <x:c r="B3328" s="39" t="str">
        <x:v>2026-08-03T10:50:00</x:v>
      </x:c>
      <x:c r="C3328" s="39" t="str">
        <x:v>2026-08-03T10:55:00</x:v>
      </x:c>
      <x:c r="D3328" s="47" t="n">
        <x:v>5</x:v>
      </x:c>
      <x:c r="E3328" s="40" t="n">
        <x:v>14.2</x:v>
      </x:c>
      <x:c r="F3328" s="40" t="n">
        <x:v>12.374397277832031</x:v>
      </x:c>
      <x:c r="G3328" s="40" t="n">
        <x:v>14.2</x:v>
      </x:c>
      <x:c r="H3328" s="40" t="n">
        <x:f>F3328-E3328</x:f>
        <x:v>-1.825602722167968</x:v>
      </x:c>
      <x:c r="I3328" s="40" t="n">
        <x:f>ABS(H3328)</x:f>
        <x:v>1.825602722167968</x:v>
      </x:c>
      <x:c r="J3328" s="40" t="n">
        <x:f>H3328^2</x:f>
        <x:v>3.3328252991870952</x:v>
      </x:c>
      <x:c r="K3328" s="40" t="n">
        <x:f>G3328-E3328</x:f>
        <x:v>0</x:v>
      </x:c>
      <x:c r="L3328" s="40" t="n">
        <x:f>ABS(K3328)</x:f>
        <x:v>0</x:v>
      </x:c>
      <x:c r="M3328" s="41" t="str">
        <x:v>lstm-soil-v1</x:v>
      </x:c>
    </x:row>
    <x:row r="3329">
      <x:c r="A3329" s="38" t="str">
        <x:v>7月30日现场数据</x:v>
      </x:c>
      <x:c r="B3329" s="39" t="str">
        <x:v>2026-08-03T10:50:00</x:v>
      </x:c>
      <x:c r="C3329" s="39" t="str">
        <x:v>2026-08-03T11:05:00</x:v>
      </x:c>
      <x:c r="D3329" s="47" t="n">
        <x:v>15</x:v>
      </x:c>
      <x:c r="E3329" s="40" t="n">
        <x:v>14.1</x:v>
      </x:c>
      <x:c r="F3329" s="40" t="n">
        <x:v>12.445697784423828</x:v>
      </x:c>
      <x:c r="G3329" s="40" t="n">
        <x:v>14.2</x:v>
      </x:c>
      <x:c r="H3329" s="40" t="n">
        <x:f>F3329-E3329</x:f>
        <x:v>-1.6543022155761715</x:v>
      </x:c>
      <x:c r="I3329" s="40" t="n">
        <x:f>ABS(H3329)</x:f>
        <x:v>1.6543022155761715</x:v>
      </x:c>
      <x:c r="J3329" s="40" t="n">
        <x:f>H3329^2</x:f>
        <x:v>2.7367158204602298</x:v>
      </x:c>
      <x:c r="K3329" s="40" t="n">
        <x:f>G3329-E3329</x:f>
        <x:v>0.09999999999999964</x:v>
      </x:c>
      <x:c r="L3329" s="40" t="n">
        <x:f>ABS(K3329)</x:f>
        <x:v>0.09999999999999964</x:v>
      </x:c>
      <x:c r="M3329" s="41" t="str">
        <x:v>lstm-soil-v1</x:v>
      </x:c>
    </x:row>
    <x:row r="3330">
      <x:c r="A3330" s="38" t="str">
        <x:v>7月30日现场数据</x:v>
      </x:c>
      <x:c r="B3330" s="39" t="str">
        <x:v>2026-08-03T10:50:00</x:v>
      </x:c>
      <x:c r="C3330" s="39" t="str">
        <x:v>2026-08-03T11:20:00</x:v>
      </x:c>
      <x:c r="D3330" s="47" t="n">
        <x:v>30</x:v>
      </x:c>
      <x:c r="E3330" s="40" t="n">
        <x:v>14</x:v>
      </x:c>
      <x:c r="F3330" s="40" t="n">
        <x:v>12.921695709228516</x:v>
      </x:c>
      <x:c r="G3330" s="40" t="n">
        <x:v>14.2</x:v>
      </x:c>
      <x:c r="H3330" s="40" t="n">
        <x:f>F3330-E3330</x:f>
        <x:v>-1.0783042907714844</x:v>
      </x:c>
      <x:c r="I3330" s="40" t="n">
        <x:f>ABS(H3330)</x:f>
        <x:v>1.0783042907714844</x:v>
      </x:c>
      <x:c r="J3330" s="40" t="n">
        <x:f>H3330^2</x:f>
        <x:v>1.162740143496194</x:v>
      </x:c>
      <x:c r="K3330" s="40" t="n">
        <x:f>G3330-E3330</x:f>
        <x:v>0.1999999999999993</x:v>
      </x:c>
      <x:c r="L3330" s="40" t="n">
        <x:f>ABS(K3330)</x:f>
        <x:v>0.1999999999999993</x:v>
      </x:c>
      <x:c r="M3330" s="41" t="str">
        <x:v>lstm-soil-v1</x:v>
      </x:c>
    </x:row>
    <x:row r="3331">
      <x:c r="A3331" s="38" t="str">
        <x:v>7月30日现场数据</x:v>
      </x:c>
      <x:c r="B3331" s="39" t="str">
        <x:v>2026-08-03T10:50:00</x:v>
      </x:c>
      <x:c r="C3331" s="39" t="str">
        <x:v>2026-08-03T11:50:00</x:v>
      </x:c>
      <x:c r="D3331" s="47" t="n">
        <x:v>60</x:v>
      </x:c>
      <x:c r="E3331" s="40" t="n">
        <x:v>13.8</x:v>
      </x:c>
      <x:c r="F3331" s="40" t="n">
        <x:v>14.598464965820312</x:v>
      </x:c>
      <x:c r="G3331" s="40" t="n">
        <x:v>14.2</x:v>
      </x:c>
      <x:c r="H3331" s="40" t="n">
        <x:f>F3331-E3331</x:f>
        <x:v>0.7984649658203118</x:v>
      </x:c>
      <x:c r="I3331" s="40" t="n">
        <x:f>ABS(H3331)</x:f>
        <x:v>0.7984649658203118</x:v>
      </x:c>
      <x:c r="J3331" s="40" t="n">
        <x:f>H3331^2</x:f>
        <x:v>0.6375463016424316</x:v>
      </x:c>
      <x:c r="K3331" s="40" t="n">
        <x:f>G3331-E3331</x:f>
        <x:v>0.3999999999999986</x:v>
      </x:c>
      <x:c r="L3331" s="40" t="n">
        <x:f>ABS(K3331)</x:f>
        <x:v>0.3999999999999986</x:v>
      </x:c>
      <x:c r="M3331" s="41" t="str">
        <x:v>lstm-soil-v1</x:v>
      </x:c>
    </x:row>
    <x:row r="3332">
      <x:c r="A3332" s="38" t="str">
        <x:v>7月30日现场数据</x:v>
      </x:c>
      <x:c r="B3332" s="39" t="str">
        <x:v>2026-08-03T10:55:00</x:v>
      </x:c>
      <x:c r="C3332" s="39" t="str">
        <x:v>2026-08-03T11:00:00</x:v>
      </x:c>
      <x:c r="D3332" s="47" t="n">
        <x:v>5</x:v>
      </x:c>
      <x:c r="E3332" s="40" t="n">
        <x:v>14.1</x:v>
      </x:c>
      <x:c r="F3332" s="40" t="n">
        <x:v>12.384101867675781</x:v>
      </x:c>
      <x:c r="G3332" s="40" t="n">
        <x:v>14.2</x:v>
      </x:c>
      <x:c r="H3332" s="40" t="n">
        <x:f>F3332-E3332</x:f>
        <x:v>-1.7158981323242184</x:v>
      </x:c>
      <x:c r="I3332" s="40" t="n">
        <x:f>ABS(H3332)</x:f>
        <x:v>1.7158981323242184</x:v>
      </x:c>
      <x:c r="J3332" s="40" t="n">
        <x:f>H3332^2</x:f>
        <x:v>2.944306400513741</x:v>
      </x:c>
      <x:c r="K3332" s="40" t="n">
        <x:f>G3332-E3332</x:f>
        <x:v>0.09999999999999964</x:v>
      </x:c>
      <x:c r="L3332" s="40" t="n">
        <x:f>ABS(K3332)</x:f>
        <x:v>0.09999999999999964</x:v>
      </x:c>
      <x:c r="M3332" s="41" t="str">
        <x:v>lstm-soil-v1</x:v>
      </x:c>
    </x:row>
    <x:row r="3333">
      <x:c r="A3333" s="38" t="str">
        <x:v>7月30日现场数据</x:v>
      </x:c>
      <x:c r="B3333" s="39" t="str">
        <x:v>2026-08-03T10:55:00</x:v>
      </x:c>
      <x:c r="C3333" s="39" t="str">
        <x:v>2026-08-03T11:10:00</x:v>
      </x:c>
      <x:c r="D3333" s="47" t="n">
        <x:v>15</x:v>
      </x:c>
      <x:c r="E3333" s="40" t="n">
        <x:v>14</x:v>
      </x:c>
      <x:c r="F3333" s="40" t="n">
        <x:v>12.442794799804688</x:v>
      </x:c>
      <x:c r="G3333" s="40" t="n">
        <x:v>14.2</x:v>
      </x:c>
      <x:c r="H3333" s="40" t="n">
        <x:f>F3333-E3333</x:f>
        <x:v>-1.5572052001953125</x:v>
      </x:c>
      <x:c r="I3333" s="40" t="n">
        <x:f>ABS(H3333)</x:f>
        <x:v>1.5572052001953125</x:v>
      </x:c>
      <x:c r="J3333" s="40" t="n">
        <x:f>H3333^2</x:f>
        <x:v>2.4248880355153233</x:v>
      </x:c>
      <x:c r="K3333" s="40" t="n">
        <x:f>G3333-E3333</x:f>
        <x:v>0.1999999999999993</x:v>
      </x:c>
      <x:c r="L3333" s="40" t="n">
        <x:f>ABS(K3333)</x:f>
        <x:v>0.1999999999999993</x:v>
      </x:c>
      <x:c r="M3333" s="41" t="str">
        <x:v>lstm-soil-v1</x:v>
      </x:c>
    </x:row>
    <x:row r="3334">
      <x:c r="A3334" s="38" t="str">
        <x:v>7月30日现场数据</x:v>
      </x:c>
      <x:c r="B3334" s="39" t="str">
        <x:v>2026-08-03T10:55:00</x:v>
      </x:c>
      <x:c r="C3334" s="39" t="str">
        <x:v>2026-08-03T11:25:00</x:v>
      </x:c>
      <x:c r="D3334" s="47" t="n">
        <x:v>30</x:v>
      </x:c>
      <x:c r="E3334" s="40" t="n">
        <x:v>13.9</x:v>
      </x:c>
      <x:c r="F3334" s="40" t="n">
        <x:v>12.952507019042969</x:v>
      </x:c>
      <x:c r="G3334" s="40" t="n">
        <x:v>14.2</x:v>
      </x:c>
      <x:c r="H3334" s="40" t="n">
        <x:f>F3334-E3334</x:f>
        <x:v>-0.9474929809570316</x:v>
      </x:c>
      <x:c r="I3334" s="40" t="n">
        <x:f>ABS(H3334)</x:f>
        <x:v>0.9474929809570316</x:v>
      </x:c>
      <x:c r="J3334" s="40" t="n">
        <x:f>H3334^2</x:f>
        <x:v>0.8977429489628419</x:v>
      </x:c>
      <x:c r="K3334" s="40" t="n">
        <x:f>G3334-E3334</x:f>
        <x:v>0.29999999999999893</x:v>
      </x:c>
      <x:c r="L3334" s="40" t="n">
        <x:f>ABS(K3334)</x:f>
        <x:v>0.29999999999999893</x:v>
      </x:c>
      <x:c r="M3334" s="41" t="str">
        <x:v>lstm-soil-v1</x:v>
      </x:c>
    </x:row>
    <x:row r="3335">
      <x:c r="A3335" s="38" t="str">
        <x:v>7月30日现场数据</x:v>
      </x:c>
      <x:c r="B3335" s="39" t="str">
        <x:v>2026-08-03T10:55:00</x:v>
      </x:c>
      <x:c r="C3335" s="39" t="str">
        <x:v>2026-08-03T11:55:00</x:v>
      </x:c>
      <x:c r="D3335" s="47" t="n">
        <x:v>60</x:v>
      </x:c>
      <x:c r="E3335" s="40" t="n">
        <x:v>13.8</x:v>
      </x:c>
      <x:c r="F3335" s="40" t="n">
        <x:v>14.655620574951172</x:v>
      </x:c>
      <x:c r="G3335" s="40" t="n">
        <x:v>14.2</x:v>
      </x:c>
      <x:c r="H3335" s="40" t="n">
        <x:f>F3335-E3335</x:f>
        <x:v>0.8556205749511712</x:v>
      </x:c>
      <x:c r="I3335" s="40" t="n">
        <x:f>ABS(H3335)</x:f>
        <x:v>0.8556205749511712</x:v>
      </x:c>
      <x:c r="J3335" s="40" t="n">
        <x:f>H3335^2</x:f>
        <x:v>0.7320865682797727</x:v>
      </x:c>
      <x:c r="K3335" s="40" t="n">
        <x:f>G3335-E3335</x:f>
        <x:v>0.3999999999999986</x:v>
      </x:c>
      <x:c r="L3335" s="40" t="n">
        <x:f>ABS(K3335)</x:f>
        <x:v>0.3999999999999986</x:v>
      </x:c>
      <x:c r="M3335" s="41" t="str">
        <x:v>lstm-soil-v1</x:v>
      </x:c>
    </x:row>
    <x:row r="3336">
      <x:c r="A3336" s="38" t="str">
        <x:v>7月30日现场数据</x:v>
      </x:c>
      <x:c r="B3336" s="39" t="str">
        <x:v>2026-08-03T11:00:00</x:v>
      </x:c>
      <x:c r="C3336" s="39" t="str">
        <x:v>2026-08-03T11:05:00</x:v>
      </x:c>
      <x:c r="D3336" s="47" t="n">
        <x:v>5</x:v>
      </x:c>
      <x:c r="E3336" s="40" t="n">
        <x:v>14.1</x:v>
      </x:c>
      <x:c r="F3336" s="40" t="n">
        <x:v>12.274921417236328</x:v>
      </x:c>
      <x:c r="G3336" s="40" t="n">
        <x:v>14.1</x:v>
      </x:c>
      <x:c r="H3336" s="40" t="n">
        <x:f>F3336-E3336</x:f>
        <x:v>-1.8250785827636715</x:v>
      </x:c>
      <x:c r="I3336" s="40" t="n">
        <x:f>ABS(H3336)</x:f>
        <x:v>1.8250785827636715</x:v>
      </x:c>
      <x:c r="J3336" s="40" t="n">
        <x:f>H3336^2</x:f>
        <x:v>3.3309118332626517</x:v>
      </x:c>
      <x:c r="K3336" s="40" t="n">
        <x:f>G3336-E3336</x:f>
        <x:v>0</x:v>
      </x:c>
      <x:c r="L3336" s="40" t="n">
        <x:f>ABS(K3336)</x:f>
        <x:v>0</x:v>
      </x:c>
      <x:c r="M3336" s="41" t="str">
        <x:v>lstm-soil-v1</x:v>
      </x:c>
    </x:row>
    <x:row r="3337">
      <x:c r="A3337" s="38" t="str">
        <x:v>7月30日现场数据</x:v>
      </x:c>
      <x:c r="B3337" s="39" t="str">
        <x:v>2026-08-03T11:00:00</x:v>
      </x:c>
      <x:c r="C3337" s="39" t="str">
        <x:v>2026-08-03T11:15:00</x:v>
      </x:c>
      <x:c r="D3337" s="47" t="n">
        <x:v>15</x:v>
      </x:c>
      <x:c r="E3337" s="40" t="n">
        <x:v>14</x:v>
      </x:c>
      <x:c r="F3337" s="40" t="n">
        <x:v>12.346328735351562</x:v>
      </x:c>
      <x:c r="G3337" s="40" t="n">
        <x:v>14.1</x:v>
      </x:c>
      <x:c r="H3337" s="40" t="n">
        <x:f>F3337-E3337</x:f>
        <x:v>-1.6536712646484375</x:v>
      </x:c>
      <x:c r="I3337" s="40" t="n">
        <x:f>ABS(H3337)</x:f>
        <x:v>1.6536712646484375</x:v>
      </x:c>
      <x:c r="J3337" s="40" t="n">
        <x:f>H3337^2</x:f>
        <x:v>2.7346286515239626</x:v>
      </x:c>
      <x:c r="K3337" s="40" t="n">
        <x:f>G3337-E3337</x:f>
        <x:v>0.09999999999999964</x:v>
      </x:c>
      <x:c r="L3337" s="40" t="n">
        <x:f>ABS(K3337)</x:f>
        <x:v>0.09999999999999964</x:v>
      </x:c>
      <x:c r="M3337" s="41" t="str">
        <x:v>lstm-soil-v1</x:v>
      </x:c>
    </x:row>
    <x:row r="3338">
      <x:c r="A3338" s="38" t="str">
        <x:v>7月30日现场数据</x:v>
      </x:c>
      <x:c r="B3338" s="39" t="str">
        <x:v>2026-08-03T11:00:00</x:v>
      </x:c>
      <x:c r="C3338" s="39" t="str">
        <x:v>2026-08-03T11:30:00</x:v>
      </x:c>
      <x:c r="D3338" s="47" t="n">
        <x:v>30</x:v>
      </x:c>
      <x:c r="E3338" s="40" t="n">
        <x:v>13.9</x:v>
      </x:c>
      <x:c r="F3338" s="40" t="n">
        <x:v>12.853691101074219</x:v>
      </x:c>
      <x:c r="G3338" s="40" t="n">
        <x:v>14.1</x:v>
      </x:c>
      <x:c r="H3338" s="40" t="n">
        <x:f>F3338-E3338</x:f>
        <x:v>-1.0463088989257816</x:v>
      </x:c>
      <x:c r="I3338" s="40" t="n">
        <x:f>ABS(H3338)</x:f>
        <x:v>1.0463088989257816</x:v>
      </x:c>
      <x:c r="J3338" s="40" t="n">
        <x:f>H3338^2</x:f>
        <x:v>1.0947623119712815</x:v>
      </x:c>
      <x:c r="K3338" s="40" t="n">
        <x:f>G3338-E3338</x:f>
        <x:v>0.1999999999999993</x:v>
      </x:c>
      <x:c r="L3338" s="40" t="n">
        <x:f>ABS(K3338)</x:f>
        <x:v>0.1999999999999993</x:v>
      </x:c>
      <x:c r="M3338" s="41" t="str">
        <x:v>lstm-soil-v1</x:v>
      </x:c>
    </x:row>
    <x:row r="3339">
      <x:c r="A3339" s="38" t="str">
        <x:v>7月30日现场数据</x:v>
      </x:c>
      <x:c r="B3339" s="39" t="str">
        <x:v>2026-08-03T11:00:00</x:v>
      </x:c>
      <x:c r="C3339" s="39" t="str">
        <x:v>2026-08-03T12:00:00</x:v>
      </x:c>
      <x:c r="D3339" s="47" t="n">
        <x:v>60</x:v>
      </x:c>
      <x:c r="E3339" s="40" t="n">
        <x:v>13.7</x:v>
      </x:c>
      <x:c r="F3339" s="40" t="n">
        <x:v>14.54751968383789</x:v>
      </x:c>
      <x:c r="G3339" s="40" t="n">
        <x:v>14.1</x:v>
      </x:c>
      <x:c r="H3339" s="40" t="n">
        <x:f>F3339-E3339</x:f>
        <x:v>0.8475196838378913</x:v>
      </x:c>
      <x:c r="I3339" s="40" t="n">
        <x:f>ABS(H3339)</x:f>
        <x:v>0.8475196838378913</x:v>
      </x:c>
      <x:c r="J3339" s="40" t="n">
        <x:f>H3339^2</x:f>
        <x:v>0.7182896144926793</x:v>
      </x:c>
      <x:c r="K3339" s="40" t="n">
        <x:f>G3339-E3339</x:f>
        <x:v>0.40000000000000036</x:v>
      </x:c>
      <x:c r="L3339" s="40" t="n">
        <x:f>ABS(K3339)</x:f>
        <x:v>0.40000000000000036</x:v>
      </x:c>
      <x:c r="M3339" s="41" t="str">
        <x:v>lstm-soil-v1</x:v>
      </x:c>
    </x:row>
    <x:row r="3340">
      <x:c r="A3340" s="38" t="str">
        <x:v>7月30日现场数据</x:v>
      </x:c>
      <x:c r="B3340" s="39" t="str">
        <x:v>2026-08-03T11:05:00</x:v>
      </x:c>
      <x:c r="C3340" s="39" t="str">
        <x:v>2026-08-03T11:10:00</x:v>
      </x:c>
      <x:c r="D3340" s="47" t="n">
        <x:v>5</x:v>
      </x:c>
      <x:c r="E3340" s="40" t="n">
        <x:v>14</x:v>
      </x:c>
      <x:c r="F3340" s="40" t="n">
        <x:v>12.269485473632812</x:v>
      </x:c>
      <x:c r="G3340" s="40" t="n">
        <x:v>14.1</x:v>
      </x:c>
      <x:c r="H3340" s="40" t="n">
        <x:f>F3340-E3340</x:f>
        <x:v>-1.7305145263671875</x:v>
      </x:c>
      <x:c r="I3340" s="40" t="n">
        <x:f>ABS(H3340)</x:f>
        <x:v>1.7305145263671875</x:v>
      </x:c>
      <x:c r="J3340" s="40" t="n">
        <x:f>H3340^2</x:f>
        <x:v>2.9946805259678513</x:v>
      </x:c>
      <x:c r="K3340" s="40" t="n">
        <x:f>G3340-E3340</x:f>
        <x:v>0.09999999999999964</x:v>
      </x:c>
      <x:c r="L3340" s="40" t="n">
        <x:f>ABS(K3340)</x:f>
        <x:v>0.09999999999999964</x:v>
      </x:c>
      <x:c r="M3340" s="41" t="str">
        <x:v>lstm-soil-v1</x:v>
      </x:c>
    </x:row>
    <x:row r="3341">
      <x:c r="A3341" s="38" t="str">
        <x:v>7月30日现场数据</x:v>
      </x:c>
      <x:c r="B3341" s="39" t="str">
        <x:v>2026-08-03T11:05:00</x:v>
      </x:c>
      <x:c r="C3341" s="39" t="str">
        <x:v>2026-08-03T11:20:00</x:v>
      </x:c>
      <x:c r="D3341" s="47" t="n">
        <x:v>15</x:v>
      </x:c>
      <x:c r="E3341" s="40" t="n">
        <x:v>14</x:v>
      </x:c>
      <x:c r="F3341" s="40" t="n">
        <x:v>12.353702545166016</x:v>
      </x:c>
      <x:c r="G3341" s="40" t="n">
        <x:v>14.1</x:v>
      </x:c>
      <x:c r="H3341" s="40" t="n">
        <x:f>F3341-E3341</x:f>
        <x:v>-1.6462974548339844</x:v>
      </x:c>
      <x:c r="I3341" s="40" t="n">
        <x:f>ABS(H3341)</x:f>
        <x:v>1.6462974548339844</x:v>
      </x:c>
      <x:c r="J3341" s="40" t="n">
        <x:f>H3341^2</x:f>
        <x:v>2.710295309792855</x:v>
      </x:c>
      <x:c r="K3341" s="40" t="n">
        <x:f>G3341-E3341</x:f>
        <x:v>0.09999999999999964</x:v>
      </x:c>
      <x:c r="L3341" s="40" t="n">
        <x:f>ABS(K3341)</x:f>
        <x:v>0.09999999999999964</x:v>
      </x:c>
      <x:c r="M3341" s="41" t="str">
        <x:v>lstm-soil-v1</x:v>
      </x:c>
    </x:row>
    <x:row r="3342">
      <x:c r="A3342" s="38" t="str">
        <x:v>7月30日现场数据</x:v>
      </x:c>
      <x:c r="B3342" s="39" t="str">
        <x:v>2026-08-03T11:05:00</x:v>
      </x:c>
      <x:c r="C3342" s="39" t="str">
        <x:v>2026-08-03T11:35:00</x:v>
      </x:c>
      <x:c r="D3342" s="47" t="n">
        <x:v>30</x:v>
      </x:c>
      <x:c r="E3342" s="40" t="n">
        <x:v>13.8</x:v>
      </x:c>
      <x:c r="F3342" s="40" t="n">
        <x:v>12.838916778564453</x:v>
      </x:c>
      <x:c r="G3342" s="40" t="n">
        <x:v>14.1</x:v>
      </x:c>
      <x:c r="H3342" s="40" t="n">
        <x:f>F3342-E3342</x:f>
        <x:v>-0.9610832214355476</x:v>
      </x:c>
      <x:c r="I3342" s="40" t="n">
        <x:f>ABS(H3342)</x:f>
        <x:v>0.9610832214355476</x:v>
      </x:c>
      <x:c r="J3342" s="40" t="n">
        <x:f>H3342^2</x:f>
        <x:v>0.9236809585249298</x:v>
      </x:c>
      <x:c r="K3342" s="40" t="n">
        <x:f>G3342-E3342</x:f>
        <x:v>0.29999999999999893</x:v>
      </x:c>
      <x:c r="L3342" s="40" t="n">
        <x:f>ABS(K3342)</x:f>
        <x:v>0.29999999999999893</x:v>
      </x:c>
      <x:c r="M3342" s="41" t="str">
        <x:v>lstm-soil-v1</x:v>
      </x:c>
    </x:row>
    <x:row r="3343">
      <x:c r="A3343" s="38" t="str">
        <x:v>7月30日现场数据</x:v>
      </x:c>
      <x:c r="B3343" s="39" t="str">
        <x:v>2026-08-03T11:05:00</x:v>
      </x:c>
      <x:c r="C3343" s="39" t="str">
        <x:v>2026-08-03T12:05:00</x:v>
      </x:c>
      <x:c r="D3343" s="47" t="n">
        <x:v>60</x:v>
      </x:c>
      <x:c r="E3343" s="40" t="n">
        <x:v>13.7</x:v>
      </x:c>
      <x:c r="F3343" s="40" t="n">
        <x:v>14.5242919921875</x:v>
      </x:c>
      <x:c r="G3343" s="40" t="n">
        <x:v>14.1</x:v>
      </x:c>
      <x:c r="H3343" s="40" t="n">
        <x:f>F3343-E3343</x:f>
        <x:v>0.8242919921875007</x:v>
      </x:c>
      <x:c r="I3343" s="40" t="n">
        <x:f>ABS(H3343)</x:f>
        <x:v>0.8242919921875007</x:v>
      </x:c>
      <x:c r="J3343" s="40" t="n">
        <x:f>H3343^2</x:f>
        <x:v>0.6794572883844388</x:v>
      </x:c>
      <x:c r="K3343" s="40" t="n">
        <x:f>G3343-E3343</x:f>
        <x:v>0.40000000000000036</x:v>
      </x:c>
      <x:c r="L3343" s="40" t="n">
        <x:f>ABS(K3343)</x:f>
        <x:v>0.40000000000000036</x:v>
      </x:c>
      <x:c r="M3343" s="41" t="str">
        <x:v>lstm-soil-v1</x:v>
      </x:c>
    </x:row>
    <x:row r="3344">
      <x:c r="A3344" s="38" t="str">
        <x:v>7月30日现场数据</x:v>
      </x:c>
      <x:c r="B3344" s="39" t="str">
        <x:v>2026-08-03T11:10:00</x:v>
      </x:c>
      <x:c r="C3344" s="39" t="str">
        <x:v>2026-08-03T11:15:00</x:v>
      </x:c>
      <x:c r="D3344" s="47" t="n">
        <x:v>5</x:v>
      </x:c>
      <x:c r="E3344" s="40" t="n">
        <x:v>14</x:v>
      </x:c>
      <x:c r="F3344" s="40" t="n">
        <x:v>12.157058715820312</x:v>
      </x:c>
      <x:c r="G3344" s="40" t="n">
        <x:v>14</x:v>
      </x:c>
      <x:c r="H3344" s="40" t="n">
        <x:f>F3344-E3344</x:f>
        <x:v>-1.8429412841796875</x:v>
      </x:c>
      <x:c r="I3344" s="40" t="n">
        <x:f>ABS(H3344)</x:f>
        <x:v>1.8429412841796875</x:v>
      </x:c>
      <x:c r="J3344" s="40" t="n">
        <x:f>H3344^2</x:f>
        <x:v>3.3964325769338757</x:v>
      </x:c>
      <x:c r="K3344" s="40" t="n">
        <x:f>G3344-E3344</x:f>
        <x:v>0</x:v>
      </x:c>
      <x:c r="L3344" s="40" t="n">
        <x:f>ABS(K3344)</x:f>
        <x:v>0</x:v>
      </x:c>
      <x:c r="M3344" s="41" t="str">
        <x:v>lstm-soil-v1</x:v>
      </x:c>
    </x:row>
    <x:row r="3345">
      <x:c r="A3345" s="38" t="str">
        <x:v>7月30日现场数据</x:v>
      </x:c>
      <x:c r="B3345" s="39" t="str">
        <x:v>2026-08-03T11:10:00</x:v>
      </x:c>
      <x:c r="C3345" s="39" t="str">
        <x:v>2026-08-03T11:25:00</x:v>
      </x:c>
      <x:c r="D3345" s="47" t="n">
        <x:v>15</x:v>
      </x:c>
      <x:c r="E3345" s="40" t="n">
        <x:v>13.9</x:v>
      </x:c>
      <x:c r="F3345" s="40" t="n">
        <x:v>12.248043060302734</x:v>
      </x:c>
      <x:c r="G3345" s="40" t="n">
        <x:v>14</x:v>
      </x:c>
      <x:c r="H3345" s="40" t="n">
        <x:f>F3345-E3345</x:f>
        <x:v>-1.651956939697266</x:v>
      </x:c>
      <x:c r="I3345" s="40" t="n">
        <x:f>ABS(H3345)</x:f>
        <x:v>1.651956939697266</x:v>
      </x:c>
      <x:c r="J3345" s="40" t="n">
        <x:f>H3345^2</x:f>
        <x:v>2.7289617306139564</x:v>
      </x:c>
      <x:c r="K3345" s="40" t="n">
        <x:f>G3345-E3345</x:f>
        <x:v>0.09999999999999964</x:v>
      </x:c>
      <x:c r="L3345" s="40" t="n">
        <x:f>ABS(K3345)</x:f>
        <x:v>0.09999999999999964</x:v>
      </x:c>
      <x:c r="M3345" s="41" t="str">
        <x:v>lstm-soil-v1</x:v>
      </x:c>
    </x:row>
    <x:row r="3346">
      <x:c r="A3346" s="38" t="str">
        <x:v>7月30日现场数据</x:v>
      </x:c>
      <x:c r="B3346" s="39" t="str">
        <x:v>2026-08-03T11:10:00</x:v>
      </x:c>
      <x:c r="C3346" s="39" t="str">
        <x:v>2026-08-03T11:40:00</x:v>
      </x:c>
      <x:c r="D3346" s="47" t="n">
        <x:v>30</x:v>
      </x:c>
      <x:c r="E3346" s="40" t="n">
        <x:v>13.8</x:v>
      </x:c>
      <x:c r="F3346" s="40" t="n">
        <x:v>12.714057922363281</x:v>
      </x:c>
      <x:c r="G3346" s="40" t="n">
        <x:v>14</x:v>
      </x:c>
      <x:c r="H3346" s="40" t="n">
        <x:f>F3346-E3346</x:f>
        <x:v>-1.0859420776367195</x:v>
      </x:c>
      <x:c r="I3346" s="40" t="n">
        <x:f>ABS(H3346)</x:f>
        <x:v>1.0859420776367195</x:v>
      </x:c>
      <x:c r="J3346" s="40" t="n">
        <x:f>H3346^2</x:f>
        <x:v>1.179270195981955</x:v>
      </x:c>
      <x:c r="K3346" s="40" t="n">
        <x:f>G3346-E3346</x:f>
        <x:v>0.1999999999999993</x:v>
      </x:c>
      <x:c r="L3346" s="40" t="n">
        <x:f>ABS(K3346)</x:f>
        <x:v>0.1999999999999993</x:v>
      </x:c>
      <x:c r="M3346" s="41" t="str">
        <x:v>lstm-soil-v1</x:v>
      </x:c>
    </x:row>
    <x:row r="3347">
      <x:c r="A3347" s="38" t="str">
        <x:v>7月30日现场数据</x:v>
      </x:c>
      <x:c r="B3347" s="39" t="str">
        <x:v>2026-08-03T11:10:00</x:v>
      </x:c>
      <x:c r="C3347" s="39" t="str">
        <x:v>2026-08-03T12:10:00</x:v>
      </x:c>
      <x:c r="D3347" s="47" t="n">
        <x:v>60</x:v>
      </x:c>
      <x:c r="E3347" s="40" t="n">
        <x:v>13.7</x:v>
      </x:c>
      <x:c r="F3347" s="40" t="n">
        <x:v>14.395698547363281</x:v>
      </x:c>
      <x:c r="G3347" s="40" t="n">
        <x:v>14</x:v>
      </x:c>
      <x:c r="H3347" s="40" t="n">
        <x:f>F3347-E3347</x:f>
        <x:v>0.695698547363282</x:v>
      </x:c>
      <x:c r="I3347" s="40" t="n">
        <x:f>ABS(H3347)</x:f>
        <x:v>0.695698547363282</x:v>
      </x:c>
      <x:c r="J3347" s="40" t="n">
        <x:f>H3347^2</x:f>
        <x:v>0.48399646880338065</x:v>
      </x:c>
      <x:c r="K3347" s="40" t="n">
        <x:f>G3347-E3347</x:f>
        <x:v>0.3000000000000007</x:v>
      </x:c>
      <x:c r="L3347" s="40" t="n">
        <x:f>ABS(K3347)</x:f>
        <x:v>0.3000000000000007</x:v>
      </x:c>
      <x:c r="M3347" s="41" t="str">
        <x:v>lstm-soil-v1</x:v>
      </x:c>
    </x:row>
    <x:row r="3348">
      <x:c r="A3348" s="38" t="str">
        <x:v>7月30日现场数据</x:v>
      </x:c>
      <x:c r="B3348" s="39" t="str">
        <x:v>2026-08-03T11:15:00</x:v>
      </x:c>
      <x:c r="C3348" s="39" t="str">
        <x:v>2026-08-03T11:20:00</x:v>
      </x:c>
      <x:c r="D3348" s="47" t="n">
        <x:v>5</x:v>
      </x:c>
      <x:c r="E3348" s="40" t="n">
        <x:v>14</x:v>
      </x:c>
      <x:c r="F3348" s="40" t="n">
        <x:v>12.156341552734375</x:v>
      </x:c>
      <x:c r="G3348" s="40" t="n">
        <x:v>14</x:v>
      </x:c>
      <x:c r="H3348" s="40" t="n">
        <x:f>F3348-E3348</x:f>
        <x:v>-1.843658447265625</x:v>
      </x:c>
      <x:c r="I3348" s="40" t="n">
        <x:f>ABS(H3348)</x:f>
        <x:v>1.843658447265625</x:v>
      </x:c>
      <x:c r="J3348" s="40" t="n">
        <x:f>H3348^2</x:f>
        <x:v>3.3990764701738954</x:v>
      </x:c>
      <x:c r="K3348" s="40" t="n">
        <x:f>G3348-E3348</x:f>
        <x:v>0</x:v>
      </x:c>
      <x:c r="L3348" s="40" t="n">
        <x:f>ABS(K3348)</x:f>
        <x:v>0</x:v>
      </x:c>
      <x:c r="M3348" s="41" t="str">
        <x:v>lstm-soil-v1</x:v>
      </x:c>
    </x:row>
    <x:row r="3349">
      <x:c r="A3349" s="38" t="str">
        <x:v>7月30日现场数据</x:v>
      </x:c>
      <x:c r="B3349" s="39" t="str">
        <x:v>2026-08-03T11:15:00</x:v>
      </x:c>
      <x:c r="C3349" s="39" t="str">
        <x:v>2026-08-03T11:30:00</x:v>
      </x:c>
      <x:c r="D3349" s="47" t="n">
        <x:v>15</x:v>
      </x:c>
      <x:c r="E3349" s="40" t="n">
        <x:v>13.9</x:v>
      </x:c>
      <x:c r="F3349" s="40" t="n">
        <x:v>12.248210906982422</x:v>
      </x:c>
      <x:c r="G3349" s="40" t="n">
        <x:v>14</x:v>
      </x:c>
      <x:c r="H3349" s="40" t="n">
        <x:f>F3349-E3349</x:f>
        <x:v>-1.6517890930175785</x:v>
      </x:c>
      <x:c r="I3349" s="40" t="n">
        <x:f>ABS(H3349)</x:f>
        <x:v>1.6517890930175785</x:v>
      </x:c>
      <x:c r="J3349" s="40" t="n">
        <x:f>H3349^2</x:f>
        <x:v>2.7284072078118347</x:v>
      </x:c>
      <x:c r="K3349" s="40" t="n">
        <x:f>G3349-E3349</x:f>
        <x:v>0.09999999999999964</x:v>
      </x:c>
      <x:c r="L3349" s="40" t="n">
        <x:f>ABS(K3349)</x:f>
        <x:v>0.09999999999999964</x:v>
      </x:c>
      <x:c r="M3349" s="41" t="str">
        <x:v>lstm-soil-v1</x:v>
      </x:c>
    </x:row>
    <x:row r="3350">
      <x:c r="A3350" s="38" t="str">
        <x:v>7月30日现场数据</x:v>
      </x:c>
      <x:c r="B3350" s="39" t="str">
        <x:v>2026-08-03T11:15:00</x:v>
      </x:c>
      <x:c r="C3350" s="39" t="str">
        <x:v>2026-08-03T11:45:00</x:v>
      </x:c>
      <x:c r="D3350" s="47" t="n">
        <x:v>30</x:v>
      </x:c>
      <x:c r="E3350" s="40" t="n">
        <x:v>13.7</x:v>
      </x:c>
      <x:c r="F3350" s="40" t="n">
        <x:v>12.70309066772461</x:v>
      </x:c>
      <x:c r="G3350" s="40" t="n">
        <x:v>14</x:v>
      </x:c>
      <x:c r="H3350" s="40" t="n">
        <x:f>F3350-E3350</x:f>
        <x:v>-0.9969093322753899</x:v>
      </x:c>
      <x:c r="I3350" s="40" t="n">
        <x:f>ABS(H3350)</x:f>
        <x:v>0.9969093322753899</x:v>
      </x:c>
      <x:c r="J3350" s="40" t="n">
        <x:f>H3350^2</x:f>
        <x:v>0.9938282167777638</x:v>
      </x:c>
      <x:c r="K3350" s="40" t="n">
        <x:f>G3350-E3350</x:f>
        <x:v>0.3000000000000007</x:v>
      </x:c>
      <x:c r="L3350" s="40" t="n">
        <x:f>ABS(K3350)</x:f>
        <x:v>0.3000000000000007</x:v>
      </x:c>
      <x:c r="M3350" s="41" t="str">
        <x:v>lstm-soil-v1</x:v>
      </x:c>
    </x:row>
    <x:row r="3351">
      <x:c r="A3351" s="38" t="str">
        <x:v>7月30日现场数据</x:v>
      </x:c>
      <x:c r="B3351" s="39" t="str">
        <x:v>2026-08-03T11:15:00</x:v>
      </x:c>
      <x:c r="C3351" s="39" t="str">
        <x:v>2026-08-03T12:15:00</x:v>
      </x:c>
      <x:c r="D3351" s="47" t="n">
        <x:v>60</x:v>
      </x:c>
      <x:c r="E3351" s="40" t="n">
        <x:v>13.7</x:v>
      </x:c>
      <x:c r="F3351" s="40" t="n">
        <x:v>14.3829345703125</x:v>
      </x:c>
      <x:c r="G3351" s="40" t="n">
        <x:v>14</x:v>
      </x:c>
      <x:c r="H3351" s="40" t="n">
        <x:f>F3351-E3351</x:f>
        <x:v>0.6829345703125007</x:v>
      </x:c>
      <x:c r="I3351" s="40" t="n">
        <x:f>ABS(H3351)</x:f>
        <x:v>0.6829345703125007</x:v>
      </x:c>
      <x:c r="J3351" s="40" t="n">
        <x:f>H3351^2</x:f>
        <x:v>0.46639962732791995</x:v>
      </x:c>
      <x:c r="K3351" s="40" t="n">
        <x:f>G3351-E3351</x:f>
        <x:v>0.3000000000000007</x:v>
      </x:c>
      <x:c r="L3351" s="40" t="n">
        <x:f>ABS(K3351)</x:f>
        <x:v>0.3000000000000007</x:v>
      </x:c>
      <x:c r="M3351" s="41" t="str">
        <x:v>lstm-soil-v1</x:v>
      </x:c>
    </x:row>
    <x:row r="3352">
      <x:c r="A3352" s="38" t="str">
        <x:v>7月30日现场数据</x:v>
      </x:c>
      <x:c r="B3352" s="39" t="str">
        <x:v>2026-08-03T11:20:00</x:v>
      </x:c>
      <x:c r="C3352" s="39" t="str">
        <x:v>2026-08-03T11:25:00</x:v>
      </x:c>
      <x:c r="D3352" s="47" t="n">
        <x:v>5</x:v>
      </x:c>
      <x:c r="E3352" s="40" t="n">
        <x:v>13.9</x:v>
      </x:c>
      <x:c r="F3352" s="40" t="n">
        <x:v>12.156463623046875</x:v>
      </x:c>
      <x:c r="G3352" s="40" t="n">
        <x:v>14</x:v>
      </x:c>
      <x:c r="H3352" s="40" t="n">
        <x:f>F3352-E3352</x:f>
        <x:v>-1.7435363769531254</x:v>
      </x:c>
      <x:c r="I3352" s="40" t="n">
        <x:f>ABS(H3352)</x:f>
        <x:v>1.7435363769531254</x:v>
      </x:c>
      <x:c r="J3352" s="40" t="n">
        <x:f>H3352^2</x:f>
        <x:v>3.0399190977588306</x:v>
      </x:c>
      <x:c r="K3352" s="40" t="n">
        <x:f>G3352-E3352</x:f>
        <x:v>0.09999999999999964</x:v>
      </x:c>
      <x:c r="L3352" s="40" t="n">
        <x:f>ABS(K3352)</x:f>
        <x:v>0.09999999999999964</x:v>
      </x:c>
      <x:c r="M3352" s="41" t="str">
        <x:v>lstm-soil-v1</x:v>
      </x:c>
    </x:row>
    <x:row r="3353">
      <x:c r="A3353" s="38" t="str">
        <x:v>7月30日现场数据</x:v>
      </x:c>
      <x:c r="B3353" s="39" t="str">
        <x:v>2026-08-03T11:20:00</x:v>
      </x:c>
      <x:c r="C3353" s="39" t="str">
        <x:v>2026-08-03T11:35:00</x:v>
      </x:c>
      <x:c r="D3353" s="47" t="n">
        <x:v>15</x:v>
      </x:c>
      <x:c r="E3353" s="40" t="n">
        <x:v>13.8</x:v>
      </x:c>
      <x:c r="F3353" s="40" t="n">
        <x:v>12.247474670410156</x:v>
      </x:c>
      <x:c r="G3353" s="40" t="n">
        <x:v>14</x:v>
      </x:c>
      <x:c r="H3353" s="40" t="n">
        <x:f>F3353-E3353</x:f>
        <x:v>-1.5525253295898445</x:v>
      </x:c>
      <x:c r="I3353" s="40" t="n">
        <x:f>ABS(H3353)</x:f>
        <x:v>1.5525253295898445</x:v>
      </x:c>
      <x:c r="J3353" s="40" t="n">
        <x:f>H3353^2</x:f>
        <x:v>2.4103348990180553</x:v>
      </x:c>
      <x:c r="K3353" s="40" t="n">
        <x:f>G3353-E3353</x:f>
        <x:v>0.1999999999999993</x:v>
      </x:c>
      <x:c r="L3353" s="40" t="n">
        <x:f>ABS(K3353)</x:f>
        <x:v>0.1999999999999993</x:v>
      </x:c>
      <x:c r="M3353" s="41" t="str">
        <x:v>lstm-soil-v1</x:v>
      </x:c>
    </x:row>
    <x:row r="3354">
      <x:c r="A3354" s="38" t="str">
        <x:v>7月30日现场数据</x:v>
      </x:c>
      <x:c r="B3354" s="39" t="str">
        <x:v>2026-08-03T11:20:00</x:v>
      </x:c>
      <x:c r="C3354" s="39" t="str">
        <x:v>2026-08-03T11:50:00</x:v>
      </x:c>
      <x:c r="D3354" s="47" t="n">
        <x:v>30</x:v>
      </x:c>
      <x:c r="E3354" s="40" t="n">
        <x:v>13.8</x:v>
      </x:c>
      <x:c r="F3354" s="40" t="n">
        <x:v>12.69757080078125</x:v>
      </x:c>
      <x:c r="G3354" s="40" t="n">
        <x:v>14</x:v>
      </x:c>
      <x:c r="H3354" s="40" t="n">
        <x:f>F3354-E3354</x:f>
        <x:v>-1.1024291992187507</x:v>
      </x:c>
      <x:c r="I3354" s="40" t="n">
        <x:f>ABS(H3354)</x:f>
        <x:v>1.1024291992187507</x:v>
      </x:c>
      <x:c r="J3354" s="40" t="n">
        <x:f>H3354^2</x:f>
        <x:v>1.2153501392900958</x:v>
      </x:c>
      <x:c r="K3354" s="40" t="n">
        <x:f>G3354-E3354</x:f>
        <x:v>0.1999999999999993</x:v>
      </x:c>
      <x:c r="L3354" s="40" t="n">
        <x:f>ABS(K3354)</x:f>
        <x:v>0.1999999999999993</x:v>
      </x:c>
      <x:c r="M3354" s="41" t="str">
        <x:v>lstm-soil-v1</x:v>
      </x:c>
    </x:row>
    <x:row r="3355">
      <x:c r="A3355" s="38" t="str">
        <x:v>7月30日现场数据</x:v>
      </x:c>
      <x:c r="B3355" s="39" t="str">
        <x:v>2026-08-03T11:20:00</x:v>
      </x:c>
      <x:c r="C3355" s="39" t="str">
        <x:v>2026-08-03T12:20:00</x:v>
      </x:c>
      <x:c r="D3355" s="47" t="n">
        <x:v>60</x:v>
      </x:c>
      <x:c r="E3355" s="40" t="n">
        <x:v>13.7</x:v>
      </x:c>
      <x:c r="F3355" s="40" t="n">
        <x:v>14.37890625</x:v>
      </x:c>
      <x:c r="G3355" s="40" t="n">
        <x:v>14</x:v>
      </x:c>
      <x:c r="H3355" s="40" t="n">
        <x:f>F3355-E3355</x:f>
        <x:v>0.6789062500000007</x:v>
      </x:c>
      <x:c r="I3355" s="40" t="n">
        <x:f>ABS(H3355)</x:f>
        <x:v>0.6789062500000007</x:v>
      </x:c>
      <x:c r="J3355" s="40" t="n">
        <x:f>H3355^2</x:f>
        <x:v>0.4609136962890635</x:v>
      </x:c>
      <x:c r="K3355" s="40" t="n">
        <x:f>G3355-E3355</x:f>
        <x:v>0.3000000000000007</x:v>
      </x:c>
      <x:c r="L3355" s="40" t="n">
        <x:f>ABS(K3355)</x:f>
        <x:v>0.3000000000000007</x:v>
      </x:c>
      <x:c r="M3355" s="41" t="str">
        <x:v>lstm-soil-v1</x:v>
      </x:c>
    </x:row>
    <x:row r="3356">
      <x:c r="A3356" s="38" t="str">
        <x:v>7月30日现场数据</x:v>
      </x:c>
      <x:c r="B3356" s="39" t="str">
        <x:v>2026-08-03T11:25:00</x:v>
      </x:c>
      <x:c r="C3356" s="39" t="str">
        <x:v>2026-08-03T11:30:00</x:v>
      </x:c>
      <x:c r="D3356" s="47" t="n">
        <x:v>5</x:v>
      </x:c>
      <x:c r="E3356" s="40" t="n">
        <x:v>13.9</x:v>
      </x:c>
      <x:c r="F3356" s="40" t="n">
        <x:v>12.044189453125</x:v>
      </x:c>
      <x:c r="G3356" s="40" t="n">
        <x:v>13.9</x:v>
      </x:c>
      <x:c r="H3356" s="40" t="n">
        <x:f>F3356-E3356</x:f>
        <x:v>-1.8558105468750004</x:v>
      </x:c>
      <x:c r="I3356" s="40" t="n">
        <x:f>ABS(H3356)</x:f>
        <x:v>1.8558105468750004</x:v>
      </x:c>
      <x:c r="J3356" s="40" t="n">
        <x:f>H3356^2</x:f>
        <x:v>3.444032785892488</x:v>
      </x:c>
      <x:c r="K3356" s="40" t="n">
        <x:f>G3356-E3356</x:f>
        <x:v>0</x:v>
      </x:c>
      <x:c r="L3356" s="40" t="n">
        <x:f>ABS(K3356)</x:f>
        <x:v>0</x:v>
      </x:c>
      <x:c r="M3356" s="41" t="str">
        <x:v>lstm-soil-v1</x:v>
      </x:c>
    </x:row>
    <x:row r="3357">
      <x:c r="A3357" s="38" t="str">
        <x:v>7月30日现场数据</x:v>
      </x:c>
      <x:c r="B3357" s="39" t="str">
        <x:v>2026-08-03T11:25:00</x:v>
      </x:c>
      <x:c r="C3357" s="39" t="str">
        <x:v>2026-08-03T11:40:00</x:v>
      </x:c>
      <x:c r="D3357" s="47" t="n">
        <x:v>15</x:v>
      </x:c>
      <x:c r="E3357" s="40" t="n">
        <x:v>13.8</x:v>
      </x:c>
      <x:c r="F3357" s="40" t="n">
        <x:v>12.133609771728516</x:v>
      </x:c>
      <x:c r="G3357" s="40" t="n">
        <x:v>13.9</x:v>
      </x:c>
      <x:c r="H3357" s="40" t="n">
        <x:f>F3357-E3357</x:f>
        <x:v>-1.666390228271485</x:v>
      </x:c>
      <x:c r="I3357" s="40" t="n">
        <x:f>ABS(H3357)</x:f>
        <x:v>1.666390228271485</x:v>
      </x:c>
      <x:c r="J3357" s="40" t="n">
        <x:f>H3357^2</x:f>
        <x:v>2.7768563928786922</x:v>
      </x:c>
      <x:c r="K3357" s="40" t="n">
        <x:f>G3357-E3357</x:f>
        <x:v>0.09999999999999964</x:v>
      </x:c>
      <x:c r="L3357" s="40" t="n">
        <x:f>ABS(K3357)</x:f>
        <x:v>0.09999999999999964</x:v>
      </x:c>
      <x:c r="M3357" s="41" t="str">
        <x:v>lstm-soil-v1</x:v>
      </x:c>
    </x:row>
    <x:row r="3358">
      <x:c r="A3358" s="38" t="str">
        <x:v>7月30日现场数据</x:v>
      </x:c>
      <x:c r="B3358" s="39" t="str">
        <x:v>2026-08-03T11:25:00</x:v>
      </x:c>
      <x:c r="C3358" s="39" t="str">
        <x:v>2026-08-03T11:55:00</x:v>
      </x:c>
      <x:c r="D3358" s="47" t="n">
        <x:v>30</x:v>
      </x:c>
      <x:c r="E3358" s="40" t="n">
        <x:v>13.8</x:v>
      </x:c>
      <x:c r="F3358" s="40" t="n">
        <x:v>12.57781982421875</x:v>
      </x:c>
      <x:c r="G3358" s="40" t="n">
        <x:v>13.9</x:v>
      </x:c>
      <x:c r="H3358" s="40" t="n">
        <x:f>F3358-E3358</x:f>
        <x:v>-1.2221801757812507</x:v>
      </x:c>
      <x:c r="I3358" s="40" t="n">
        <x:f>ABS(H3358)</x:f>
        <x:v>1.2221801757812507</x:v>
      </x:c>
      <x:c r="J3358" s="40" t="n">
        <x:f>H3358^2</x:f>
        <x:v>1.4937243820726889</x:v>
      </x:c>
      <x:c r="K3358" s="40" t="n">
        <x:f>G3358-E3358</x:f>
        <x:v>0.09999999999999964</x:v>
      </x:c>
      <x:c r="L3358" s="40" t="n">
        <x:f>ABS(K3358)</x:f>
        <x:v>0.09999999999999964</x:v>
      </x:c>
      <x:c r="M3358" s="41" t="str">
        <x:v>lstm-soil-v1</x:v>
      </x:c>
    </x:row>
    <x:row r="3359">
      <x:c r="A3359" s="38" t="str">
        <x:v>7月30日现场数据</x:v>
      </x:c>
      <x:c r="B3359" s="39" t="str">
        <x:v>2026-08-03T11:25:00</x:v>
      </x:c>
      <x:c r="C3359" s="39" t="str">
        <x:v>2026-08-03T12:25:00</x:v>
      </x:c>
      <x:c r="D3359" s="47" t="n">
        <x:v>60</x:v>
      </x:c>
      <x:c r="E3359" s="40" t="n">
        <x:v>13.6</x:v>
      </x:c>
      <x:c r="F3359" s="40" t="n">
        <x:v>14.24569320678711</x:v>
      </x:c>
      <x:c r="G3359" s="40" t="n">
        <x:v>13.9</x:v>
      </x:c>
      <x:c r="H3359" s="40" t="n">
        <x:f>F3359-E3359</x:f>
        <x:v>0.6456932067871097</x:v>
      </x:c>
      <x:c r="I3359" s="40" t="n">
        <x:f>ABS(H3359)</x:f>
        <x:v>0.6456932067871097</x:v>
      </x:c>
      <x:c r="J3359" s="40" t="n">
        <x:f>H3359^2</x:f>
        <x:v>0.41691971729102123</x:v>
      </x:c>
      <x:c r="K3359" s="40" t="n">
        <x:f>G3359-E3359</x:f>
        <x:v>0.3000000000000007</x:v>
      </x:c>
      <x:c r="L3359" s="40" t="n">
        <x:f>ABS(K3359)</x:f>
        <x:v>0.3000000000000007</x:v>
      </x:c>
      <x:c r="M3359" s="41" t="str">
        <x:v>lstm-soil-v1</x:v>
      </x:c>
    </x:row>
    <x:row r="3360">
      <x:c r="A3360" s="38" t="str">
        <x:v>7月30日现场数据</x:v>
      </x:c>
      <x:c r="B3360" s="39" t="str">
        <x:v>2026-08-03T11:30:00</x:v>
      </x:c>
      <x:c r="C3360" s="39" t="str">
        <x:v>2026-08-03T11:35:00</x:v>
      </x:c>
      <x:c r="D3360" s="47" t="n">
        <x:v>5</x:v>
      </x:c>
      <x:c r="E3360" s="40" t="n">
        <x:v>13.8</x:v>
      </x:c>
      <x:c r="F3360" s="40" t="n">
        <x:v>12.043487548828125</x:v>
      </x:c>
      <x:c r="G3360" s="40" t="n">
        <x:v>13.9</x:v>
      </x:c>
      <x:c r="H3360" s="40" t="n">
        <x:f>F3360-E3360</x:f>
        <x:v>-1.7565124511718757</x:v>
      </x:c>
      <x:c r="I3360" s="40" t="n">
        <x:f>ABS(H3360)</x:f>
        <x:v>1.7565124511718757</x:v>
      </x:c>
      <x:c r="J3360" s="40" t="n">
        <x:f>H3360^2</x:f>
        <x:v>3.085335991121831</x:v>
      </x:c>
      <x:c r="K3360" s="40" t="n">
        <x:f>G3360-E3360</x:f>
        <x:v>0.09999999999999964</x:v>
      </x:c>
      <x:c r="L3360" s="40" t="n">
        <x:f>ABS(K3360)</x:f>
        <x:v>0.09999999999999964</x:v>
      </x:c>
      <x:c r="M3360" s="41" t="str">
        <x:v>lstm-soil-v1</x:v>
      </x:c>
    </x:row>
    <x:row r="3361">
      <x:c r="A3361" s="38" t="str">
        <x:v>7月30日现场数据</x:v>
      </x:c>
      <x:c r="B3361" s="39" t="str">
        <x:v>2026-08-03T11:30:00</x:v>
      </x:c>
      <x:c r="C3361" s="39" t="str">
        <x:v>2026-08-03T11:45:00</x:v>
      </x:c>
      <x:c r="D3361" s="47" t="n">
        <x:v>15</x:v>
      </x:c>
      <x:c r="E3361" s="40" t="n">
        <x:v>13.7</x:v>
      </x:c>
      <x:c r="F3361" s="40" t="n">
        <x:v>12.134471893310547</x:v>
      </x:c>
      <x:c r="G3361" s="40" t="n">
        <x:v>13.9</x:v>
      </x:c>
      <x:c r="H3361" s="40" t="n">
        <x:f>F3361-E3361</x:f>
        <x:v>-1.5655281066894524</x:v>
      </x:c>
      <x:c r="I3361" s="40" t="n">
        <x:f>ABS(H3361)</x:f>
        <x:v>1.5655281066894524</x:v>
      </x:c>
      <x:c r="J3361" s="40" t="n">
        <x:f>H3361^2</x:f>
        <x:v>2.4508782528346615</x:v>
      </x:c>
      <x:c r="K3361" s="40" t="n">
        <x:f>G3361-E3361</x:f>
        <x:v>0.20000000000000107</x:v>
      </x:c>
      <x:c r="L3361" s="40" t="n">
        <x:f>ABS(K3361)</x:f>
        <x:v>0.20000000000000107</x:v>
      </x:c>
      <x:c r="M3361" s="41" t="str">
        <x:v>lstm-soil-v1</x:v>
      </x:c>
    </x:row>
    <x:row r="3362">
      <x:c r="A3362" s="38" t="str">
        <x:v>7月30日现场数据</x:v>
      </x:c>
      <x:c r="B3362" s="39" t="str">
        <x:v>2026-08-03T11:30:00</x:v>
      </x:c>
      <x:c r="C3362" s="39" t="str">
        <x:v>2026-08-03T12:00:00</x:v>
      </x:c>
      <x:c r="D3362" s="47" t="n">
        <x:v>30</x:v>
      </x:c>
      <x:c r="E3362" s="40" t="n">
        <x:v>13.7</x:v>
      </x:c>
      <x:c r="F3362" s="40" t="n">
        <x:v>12.573455810546875</x:v>
      </x:c>
      <x:c r="G3362" s="40" t="n">
        <x:v>13.9</x:v>
      </x:c>
      <x:c r="H3362" s="40" t="n">
        <x:f>F3362-E3362</x:f>
        <x:v>-1.1265441894531243</x:v>
      </x:c>
      <x:c r="I3362" s="40" t="n">
        <x:f>ABS(H3362)</x:f>
        <x:v>1.1265441894531243</x:v>
      </x:c>
      <x:c r="J3362" s="40" t="n">
        <x:f>H3362^2</x:f>
        <x:v>1.2691018107905967</x:v>
      </x:c>
      <x:c r="K3362" s="40" t="n">
        <x:f>G3362-E3362</x:f>
        <x:v>0.20000000000000107</x:v>
      </x:c>
      <x:c r="L3362" s="40" t="n">
        <x:f>ABS(K3362)</x:f>
        <x:v>0.20000000000000107</x:v>
      </x:c>
      <x:c r="M3362" s="41" t="str">
        <x:v>lstm-soil-v1</x:v>
      </x:c>
    </x:row>
    <x:row r="3363">
      <x:c r="A3363" s="38" t="str">
        <x:v>7月30日现场数据</x:v>
      </x:c>
      <x:c r="B3363" s="39" t="str">
        <x:v>2026-08-03T11:30:00</x:v>
      </x:c>
      <x:c r="C3363" s="39" t="str">
        <x:v>2026-08-03T12:30:00</x:v>
      </x:c>
      <x:c r="D3363" s="47" t="n">
        <x:v>60</x:v>
      </x:c>
      <x:c r="E3363" s="40" t="n">
        <x:v>13.6</x:v>
      </x:c>
      <x:c r="F3363" s="40" t="n">
        <x:v>14.242595672607422</x:v>
      </x:c>
      <x:c r="G3363" s="40" t="n">
        <x:v>13.9</x:v>
      </x:c>
      <x:c r="H3363" s="40" t="n">
        <x:f>F3363-E3363</x:f>
        <x:v>0.6425956726074222</x:v>
      </x:c>
      <x:c r="I3363" s="40" t="n">
        <x:f>ABS(H3363)</x:f>
        <x:v>0.6425956726074222</x:v>
      </x:c>
      <x:c r="J3363" s="40" t="n">
        <x:f>H3363^2</x:f>
        <x:v>0.4129291984537854</x:v>
      </x:c>
      <x:c r="K3363" s="40" t="n">
        <x:f>G3363-E3363</x:f>
        <x:v>0.3000000000000007</x:v>
      </x:c>
      <x:c r="L3363" s="40" t="n">
        <x:f>ABS(K3363)</x:f>
        <x:v>0.3000000000000007</x:v>
      </x:c>
      <x:c r="M3363" s="41" t="str">
        <x:v>lstm-soil-v1</x:v>
      </x:c>
    </x:row>
    <x:row r="3364">
      <x:c r="A3364" s="38" t="str">
        <x:v>7月30日现场数据</x:v>
      </x:c>
      <x:c r="B3364" s="39" t="str">
        <x:v>2026-08-03T11:35:00</x:v>
      </x:c>
      <x:c r="C3364" s="39" t="str">
        <x:v>2026-08-03T11:40:00</x:v>
      </x:c>
      <x:c r="D3364" s="47" t="n">
        <x:v>5</x:v>
      </x:c>
      <x:c r="E3364" s="40" t="n">
        <x:v>13.8</x:v>
      </x:c>
      <x:c r="F3364" s="40" t="n">
        <x:v>11.93393325805664</x:v>
      </x:c>
      <x:c r="G3364" s="40" t="n">
        <x:v>13.8</x:v>
      </x:c>
      <x:c r="H3364" s="40" t="n">
        <x:f>F3364-E3364</x:f>
        <x:v>-1.86606674194336</x:v>
      </x:c>
      <x:c r="I3364" s="40" t="n">
        <x:f>ABS(H3364)</x:f>
        <x:v>1.86606674194336</x:v>
      </x:c>
      <x:c r="J3364" s="40" t="n">
        <x:f>H3364^2</x:f>
        <x:v>3.4822050853871067</x:v>
      </x:c>
      <x:c r="K3364" s="40" t="n">
        <x:f>G3364-E3364</x:f>
        <x:v>0</x:v>
      </x:c>
      <x:c r="L3364" s="40" t="n">
        <x:f>ABS(K3364)</x:f>
        <x:v>0</x:v>
      </x:c>
      <x:c r="M3364" s="41" t="str">
        <x:v>lstm-soil-v1</x:v>
      </x:c>
    </x:row>
    <x:row r="3365">
      <x:c r="A3365" s="38" t="str">
        <x:v>7月30日现场数据</x:v>
      </x:c>
      <x:c r="B3365" s="39" t="str">
        <x:v>2026-08-03T11:35:00</x:v>
      </x:c>
      <x:c r="C3365" s="39" t="str">
        <x:v>2026-08-03T11:50:00</x:v>
      </x:c>
      <x:c r="D3365" s="47" t="n">
        <x:v>15</x:v>
      </x:c>
      <x:c r="E3365" s="40" t="n">
        <x:v>13.8</x:v>
      </x:c>
      <x:c r="F3365" s="40" t="n">
        <x:v>12.026420593261719</x:v>
      </x:c>
      <x:c r="G3365" s="40" t="n">
        <x:v>13.8</x:v>
      </x:c>
      <x:c r="H3365" s="40" t="n">
        <x:f>F3365-E3365</x:f>
        <x:v>-1.773579406738282</x:v>
      </x:c>
      <x:c r="I3365" s="40" t="n">
        <x:f>ABS(H3365)</x:f>
        <x:v>1.773579406738282</x:v>
      </x:c>
      <x:c r="J3365" s="40" t="n">
        <x:f>H3365^2</x:f>
        <x:v>3.145583912006116</x:v>
      </x:c>
      <x:c r="K3365" s="40" t="n">
        <x:f>G3365-E3365</x:f>
        <x:v>0</x:v>
      </x:c>
      <x:c r="L3365" s="40" t="n">
        <x:f>ABS(K3365)</x:f>
        <x:v>0</x:v>
      </x:c>
      <x:c r="M3365" s="41" t="str">
        <x:v>lstm-soil-v1</x:v>
      </x:c>
    </x:row>
    <x:row r="3366">
      <x:c r="A3366" s="38" t="str">
        <x:v>7月30日现场数据</x:v>
      </x:c>
      <x:c r="B3366" s="39" t="str">
        <x:v>2026-08-03T11:35:00</x:v>
      </x:c>
      <x:c r="C3366" s="39" t="str">
        <x:v>2026-08-03T12:05:00</x:v>
      </x:c>
      <x:c r="D3366" s="47" t="n">
        <x:v>30</x:v>
      </x:c>
      <x:c r="E3366" s="40" t="n">
        <x:v>13.7</x:v>
      </x:c>
      <x:c r="F3366" s="40" t="n">
        <x:v>12.461074829101562</x:v>
      </x:c>
      <x:c r="G3366" s="40" t="n">
        <x:v>13.8</x:v>
      </x:c>
      <x:c r="H3366" s="40" t="n">
        <x:f>F3366-E3366</x:f>
        <x:v>-1.2389251708984368</x:v>
      </x:c>
      <x:c r="I3366" s="40" t="n">
        <x:f>ABS(H3366)</x:f>
        <x:v>1.2389251708984368</x:v>
      </x:c>
      <x:c r="J3366" s="40" t="n">
        <x:f>H3366^2</x:f>
        <x:v>1.5349355790857209</x:v>
      </x:c>
      <x:c r="K3366" s="40" t="n">
        <x:f>G3366-E3366</x:f>
        <x:v>0.10000000000000142</x:v>
      </x:c>
      <x:c r="L3366" s="40" t="n">
        <x:f>ABS(K3366)</x:f>
        <x:v>0.10000000000000142</x:v>
      </x:c>
      <x:c r="M3366" s="41" t="str">
        <x:v>lstm-soil-v1</x:v>
      </x:c>
    </x:row>
    <x:row r="3367">
      <x:c r="A3367" s="38" t="str">
        <x:v>7月30日现场数据</x:v>
      </x:c>
      <x:c r="B3367" s="39" t="str">
        <x:v>2026-08-03T11:35:00</x:v>
      </x:c>
      <x:c r="C3367" s="39" t="str">
        <x:v>2026-08-03T12:35:00</x:v>
      </x:c>
      <x:c r="D3367" s="47" t="n">
        <x:v>60</x:v>
      </x:c>
      <x:c r="E3367" s="40" t="n">
        <x:v>13.6</x:v>
      </x:c>
      <x:c r="F3367" s="40" t="n">
        <x:v>14.132720947265625</x:v>
      </x:c>
      <x:c r="G3367" s="40" t="n">
        <x:v>13.8</x:v>
      </x:c>
      <x:c r="H3367" s="40" t="n">
        <x:f>F3367-E3367</x:f>
        <x:v>0.5327209472656254</x:v>
      </x:c>
      <x:c r="I3367" s="40" t="n">
        <x:f>ABS(H3367)</x:f>
        <x:v>0.5327209472656254</x:v>
      </x:c>
      <x:c r="J3367" s="40" t="n">
        <x:f>H3367^2</x:f>
        <x:v>0.2837916076555852</x:v>
      </x:c>
      <x:c r="K3367" s="40" t="n">
        <x:f>G3367-E3367</x:f>
        <x:v>0.20000000000000107</x:v>
      </x:c>
      <x:c r="L3367" s="40" t="n">
        <x:f>ABS(K3367)</x:f>
        <x:v>0.20000000000000107</x:v>
      </x:c>
      <x:c r="M3367" s="41" t="str">
        <x:v>lstm-soil-v1</x:v>
      </x:c>
    </x:row>
    <x:row r="3368">
      <x:c r="A3368" s="38" t="str">
        <x:v>7月30日现场数据</x:v>
      </x:c>
      <x:c r="B3368" s="39" t="str">
        <x:v>2026-08-03T11:40:00</x:v>
      </x:c>
      <x:c r="C3368" s="39" t="str">
        <x:v>2026-08-03T11:45:00</x:v>
      </x:c>
      <x:c r="D3368" s="47" t="n">
        <x:v>5</x:v>
      </x:c>
      <x:c r="E3368" s="40" t="n">
        <x:v>13.7</x:v>
      </x:c>
      <x:c r="F3368" s="40" t="n">
        <x:v>11.935680389404297</x:v>
      </x:c>
      <x:c r="G3368" s="40" t="n">
        <x:v>13.8</x:v>
      </x:c>
      <x:c r="H3368" s="40" t="n">
        <x:f>F3368-E3368</x:f>
        <x:v>-1.7643196105957024</x:v>
      </x:c>
      <x:c r="I3368" s="40" t="n">
        <x:f>ABS(H3368)</x:f>
        <x:v>1.7643196105957024</x:v>
      </x:c>
      <x:c r="J3368" s="40" t="n">
        <x:f>H3368^2</x:f>
        <x:v>3.112823688332571</x:v>
      </x:c>
      <x:c r="K3368" s="40" t="n">
        <x:f>G3368-E3368</x:f>
        <x:v>0.10000000000000142</x:v>
      </x:c>
      <x:c r="L3368" s="40" t="n">
        <x:f>ABS(K3368)</x:f>
        <x:v>0.10000000000000142</x:v>
      </x:c>
      <x:c r="M3368" s="41" t="str">
        <x:v>lstm-soil-v1</x:v>
      </x:c>
    </x:row>
    <x:row r="3369">
      <x:c r="A3369" s="38" t="str">
        <x:v>7月30日现场数据</x:v>
      </x:c>
      <x:c r="B3369" s="39" t="str">
        <x:v>2026-08-03T11:40:00</x:v>
      </x:c>
      <x:c r="C3369" s="39" t="str">
        <x:v>2026-08-03T11:55:00</x:v>
      </x:c>
      <x:c r="D3369" s="47" t="n">
        <x:v>15</x:v>
      </x:c>
      <x:c r="E3369" s="40" t="n">
        <x:v>13.8</x:v>
      </x:c>
      <x:c r="F3369" s="40" t="n">
        <x:v>12.037364959716797</x:v>
      </x:c>
      <x:c r="G3369" s="40" t="n">
        <x:v>13.8</x:v>
      </x:c>
      <x:c r="H3369" s="40" t="n">
        <x:f>F3369-E3369</x:f>
        <x:v>-1.7626350402832038</x:v>
      </x:c>
      <x:c r="I3369" s="40" t="n">
        <x:f>ABS(H3369)</x:f>
        <x:v>1.7626350402832038</x:v>
      </x:c>
      <x:c r="J3369" s="40" t="n">
        <x:f>H3369^2</x:f>
        <x:v>3.1068822852341715</x:v>
      </x:c>
      <x:c r="K3369" s="40" t="n">
        <x:f>G3369-E3369</x:f>
        <x:v>0</x:v>
      </x:c>
      <x:c r="L3369" s="40" t="n">
        <x:f>ABS(K3369)</x:f>
        <x:v>0</x:v>
      </x:c>
      <x:c r="M3369" s="41" t="str">
        <x:v>lstm-soil-v1</x:v>
      </x:c>
    </x:row>
    <x:row r="3370">
      <x:c r="A3370" s="38" t="str">
        <x:v>7月30日现场数据</x:v>
      </x:c>
      <x:c r="B3370" s="39" t="str">
        <x:v>2026-08-03T11:40:00</x:v>
      </x:c>
      <x:c r="C3370" s="39" t="str">
        <x:v>2026-08-03T12:10:00</x:v>
      </x:c>
      <x:c r="D3370" s="47" t="n">
        <x:v>30</x:v>
      </x:c>
      <x:c r="E3370" s="40" t="n">
        <x:v>13.7</x:v>
      </x:c>
      <x:c r="F3370" s="40" t="n">
        <x:v>12.45947265625</x:v>
      </x:c>
      <x:c r="G3370" s="40" t="n">
        <x:v>13.8</x:v>
      </x:c>
      <x:c r="H3370" s="40" t="n">
        <x:f>F3370-E3370</x:f>
        <x:v>-1.2405273437499993</x:v>
      </x:c>
      <x:c r="I3370" s="40" t="n">
        <x:f>ABS(H3370)</x:f>
        <x:v>1.2405273437499993</x:v>
      </x:c>
      <x:c r="J3370" s="40" t="n">
        <x:f>H3370^2</x:f>
        <x:v>1.538908090591429</x:v>
      </x:c>
      <x:c r="K3370" s="40" t="n">
        <x:f>G3370-E3370</x:f>
        <x:v>0.10000000000000142</x:v>
      </x:c>
      <x:c r="L3370" s="40" t="n">
        <x:f>ABS(K3370)</x:f>
        <x:v>0.10000000000000142</x:v>
      </x:c>
      <x:c r="M3370" s="41" t="str">
        <x:v>lstm-soil-v1</x:v>
      </x:c>
    </x:row>
    <x:row r="3371">
      <x:c r="A3371" s="38" t="str">
        <x:v>7月30日现场数据</x:v>
      </x:c>
      <x:c r="B3371" s="39" t="str">
        <x:v>2026-08-03T11:40:00</x:v>
      </x:c>
      <x:c r="C3371" s="39" t="str">
        <x:v>2026-08-03T12:40:00</x:v>
      </x:c>
      <x:c r="D3371" s="47" t="n">
        <x:v>60</x:v>
      </x:c>
      <x:c r="E3371" s="40" t="n">
        <x:v>13.6</x:v>
      </x:c>
      <x:c r="F3371" s="40" t="n">
        <x:v>14.127391815185547</x:v>
      </x:c>
      <x:c r="G3371" s="40" t="n">
        <x:v>13.8</x:v>
      </x:c>
      <x:c r="H3371" s="40" t="n">
        <x:f>F3371-E3371</x:f>
        <x:v>0.5273918151855472</x:v>
      </x:c>
      <x:c r="I3371" s="40" t="n">
        <x:f>ABS(H3371)</x:f>
        <x:v>0.5273918151855472</x:v>
      </x:c>
      <x:c r="J3371" s="40" t="n">
        <x:f>H3371^2</x:f>
        <x:v>0.2781421267247064</x:v>
      </x:c>
      <x:c r="K3371" s="40" t="n">
        <x:f>G3371-E3371</x:f>
        <x:v>0.20000000000000107</x:v>
      </x:c>
      <x:c r="L3371" s="40" t="n">
        <x:f>ABS(K3371)</x:f>
        <x:v>0.20000000000000107</x:v>
      </x:c>
      <x:c r="M3371" s="41" t="str">
        <x:v>lstm-soil-v1</x:v>
      </x:c>
    </x:row>
    <x:row r="3372">
      <x:c r="A3372" s="38" t="str">
        <x:v>7月30日现场数据</x:v>
      </x:c>
      <x:c r="B3372" s="39" t="str">
        <x:v>2026-08-03T11:45:00</x:v>
      </x:c>
      <x:c r="C3372" s="39" t="str">
        <x:v>2026-08-03T11:50:00</x:v>
      </x:c>
      <x:c r="D3372" s="47" t="n">
        <x:v>5</x:v>
      </x:c>
      <x:c r="E3372" s="40" t="n">
        <x:v>13.8</x:v>
      </x:c>
      <x:c r="F3372" s="40" t="n">
        <x:v>11.815113067626953</x:v>
      </x:c>
      <x:c r="G3372" s="40" t="n">
        <x:v>13.7</x:v>
      </x:c>
      <x:c r="H3372" s="40" t="n">
        <x:f>F3372-E3372</x:f>
        <x:v>-1.9848869323730476</x:v>
      </x:c>
      <x:c r="I3372" s="40" t="n">
        <x:f>ABS(H3372)</x:f>
        <x:v>1.9848869323730476</x:v>
      </x:c>
      <x:c r="J3372" s="40" t="n">
        <x:f>H3372^2</x:f>
        <x:v>3.939776134305287</x:v>
      </x:c>
      <x:c r="K3372" s="40" t="n">
        <x:f>G3372-E3372</x:f>
        <x:v>-0.10000000000000142</x:v>
      </x:c>
      <x:c r="L3372" s="40" t="n">
        <x:f>ABS(K3372)</x:f>
        <x:v>0.10000000000000142</x:v>
      </x:c>
      <x:c r="M3372" s="41" t="str">
        <x:v>lstm-soil-v1</x:v>
      </x:c>
    </x:row>
    <x:row r="3373">
      <x:c r="A3373" s="38" t="str">
        <x:v>7月30日现场数据</x:v>
      </x:c>
      <x:c r="B3373" s="39" t="str">
        <x:v>2026-08-03T11:45:00</x:v>
      </x:c>
      <x:c r="C3373" s="39" t="str">
        <x:v>2026-08-03T12:00:00</x:v>
      </x:c>
      <x:c r="D3373" s="47" t="n">
        <x:v>15</x:v>
      </x:c>
      <x:c r="E3373" s="40" t="n">
        <x:v>13.7</x:v>
      </x:c>
      <x:c r="F3373" s="40" t="n">
        <x:v>11.92120361328125</x:v>
      </x:c>
      <x:c r="G3373" s="40" t="n">
        <x:v>13.7</x:v>
      </x:c>
      <x:c r="H3373" s="40" t="n">
        <x:f>F3373-E3373</x:f>
        <x:v>-1.7787963867187493</x:v>
      </x:c>
      <x:c r="I3373" s="40" t="n">
        <x:f>ABS(H3373)</x:f>
        <x:v>1.7787963867187493</x:v>
      </x:c>
      <x:c r="J3373" s="40" t="n">
        <x:f>H3373^2</x:f>
        <x:v>3.1641165854036784</x:v>
      </x:c>
      <x:c r="K3373" s="40" t="n">
        <x:f>G3373-E3373</x:f>
        <x:v>0</x:v>
      </x:c>
      <x:c r="L3373" s="40" t="n">
        <x:f>ABS(K3373)</x:f>
        <x:v>0</x:v>
      </x:c>
      <x:c r="M3373" s="41" t="str">
        <x:v>lstm-soil-v1</x:v>
      </x:c>
    </x:row>
    <x:row r="3374">
      <x:c r="A3374" s="38" t="str">
        <x:v>7月30日现场数据</x:v>
      </x:c>
      <x:c r="B3374" s="39" t="str">
        <x:v>2026-08-03T11:45:00</x:v>
      </x:c>
      <x:c r="C3374" s="39" t="str">
        <x:v>2026-08-03T12:15:00</x:v>
      </x:c>
      <x:c r="D3374" s="47" t="n">
        <x:v>30</x:v>
      </x:c>
      <x:c r="E3374" s="40" t="n">
        <x:v>13.7</x:v>
      </x:c>
      <x:c r="F3374" s="40" t="n">
        <x:v>12.332176208496094</x:v>
      </x:c>
      <x:c r="G3374" s="40" t="n">
        <x:v>13.7</x:v>
      </x:c>
      <x:c r="H3374" s="40" t="n">
        <x:f>F3374-E3374</x:f>
        <x:v>-1.3678237915039055</x:v>
      </x:c>
      <x:c r="I3374" s="40" t="n">
        <x:f>ABS(H3374)</x:f>
        <x:v>1.3678237915039055</x:v>
      </x:c>
      <x:c r="J3374" s="40" t="n">
        <x:f>H3374^2</x:f>
        <x:v>1.8709419246041197</x:v>
      </x:c>
      <x:c r="K3374" s="40" t="n">
        <x:f>G3374-E3374</x:f>
        <x:v>0</x:v>
      </x:c>
      <x:c r="L3374" s="40" t="n">
        <x:f>ABS(K3374)</x:f>
        <x:v>0</x:v>
      </x:c>
      <x:c r="M3374" s="41" t="str">
        <x:v>lstm-soil-v1</x:v>
      </x:c>
    </x:row>
    <x:row r="3375">
      <x:c r="A3375" s="38" t="str">
        <x:v>7月30日现场数据</x:v>
      </x:c>
      <x:c r="B3375" s="39" t="str">
        <x:v>2026-08-03T11:45:00</x:v>
      </x:c>
      <x:c r="C3375" s="39" t="str">
        <x:v>2026-08-03T12:45:00</x:v>
      </x:c>
      <x:c r="D3375" s="47" t="n">
        <x:v>60</x:v>
      </x:c>
      <x:c r="E3375" s="40" t="n">
        <x:v>13.6</x:v>
      </x:c>
      <x:c r="F3375" s="40" t="n">
        <x:v>13.991706848144531</x:v>
      </x:c>
      <x:c r="G3375" s="40" t="n">
        <x:v>13.7</x:v>
      </x:c>
      <x:c r="H3375" s="40" t="n">
        <x:f>F3375-E3375</x:f>
        <x:v>0.3917068481445316</x:v>
      </x:c>
      <x:c r="I3375" s="40" t="n">
        <x:f>ABS(H3375)</x:f>
        <x:v>0.3917068481445316</x:v>
      </x:c>
      <x:c r="J3375" s="40" t="n">
        <x:f>H3375^2</x:f>
        <x:v>0.15343425488332316</x:v>
      </x:c>
      <x:c r="K3375" s="40" t="n">
        <x:f>G3375-E3375</x:f>
        <x:v>0.09999999999999964</x:v>
      </x:c>
      <x:c r="L3375" s="40" t="n">
        <x:f>ABS(K3375)</x:f>
        <x:v>0.09999999999999964</x:v>
      </x:c>
      <x:c r="M3375" s="41" t="str">
        <x:v>lstm-soil-v1</x:v>
      </x:c>
    </x:row>
    <x:row r="3376">
      <x:c r="A3376" s="38" t="str">
        <x:v>7月30日现场数据</x:v>
      </x:c>
      <x:c r="B3376" s="39" t="str">
        <x:v>2026-08-03T11:50:00</x:v>
      </x:c>
      <x:c r="C3376" s="39" t="str">
        <x:v>2026-08-03T11:55:00</x:v>
      </x:c>
      <x:c r="D3376" s="47" t="n">
        <x:v>5</x:v>
      </x:c>
      <x:c r="E3376" s="40" t="n">
        <x:v>13.8</x:v>
      </x:c>
      <x:c r="F3376" s="40" t="n">
        <x:v>11.92340087890625</x:v>
      </x:c>
      <x:c r="G3376" s="40" t="n">
        <x:v>13.8</x:v>
      </x:c>
      <x:c r="H3376" s="40" t="n">
        <x:f>F3376-E3376</x:f>
        <x:v>-1.8765991210937507</x:v>
      </x:c>
      <x:c r="I3376" s="40" t="n">
        <x:f>ABS(H3376)</x:f>
        <x:v>1.8765991210937507</x:v>
      </x:c>
      <x:c r="J3376" s="40" t="n">
        <x:f>H3376^2</x:f>
        <x:v>3.521624261289838</x:v>
      </x:c>
      <x:c r="K3376" s="40" t="n">
        <x:f>G3376-E3376</x:f>
        <x:v>0</x:v>
      </x:c>
      <x:c r="L3376" s="40" t="n">
        <x:f>ABS(K3376)</x:f>
        <x:v>0</x:v>
      </x:c>
      <x:c r="M3376" s="41" t="str">
        <x:v>lstm-soil-v1</x:v>
      </x:c>
    </x:row>
    <x:row r="3377">
      <x:c r="A3377" s="38" t="str">
        <x:v>7月30日现场数据</x:v>
      </x:c>
      <x:c r="B3377" s="39" t="str">
        <x:v>2026-08-03T11:50:00</x:v>
      </x:c>
      <x:c r="C3377" s="39" t="str">
        <x:v>2026-08-03T12:05:00</x:v>
      </x:c>
      <x:c r="D3377" s="47" t="n">
        <x:v>15</x:v>
      </x:c>
      <x:c r="E3377" s="40" t="n">
        <x:v>13.7</x:v>
      </x:c>
      <x:c r="F3377" s="40" t="n">
        <x:v>12.025054931640625</x:v>
      </x:c>
      <x:c r="G3377" s="40" t="n">
        <x:v>13.8</x:v>
      </x:c>
      <x:c r="H3377" s="40" t="n">
        <x:f>F3377-E3377</x:f>
        <x:v>-1.6749450683593743</x:v>
      </x:c>
      <x:c r="I3377" s="40" t="n">
        <x:f>ABS(H3377)</x:f>
        <x:v>1.6749450683593743</x:v>
      </x:c>
      <x:c r="J3377" s="40" t="n">
        <x:f>H3377^2</x:f>
        <x:v>2.805440982021389</x:v>
      </x:c>
      <x:c r="K3377" s="40" t="n">
        <x:f>G3377-E3377</x:f>
        <x:v>0.10000000000000142</x:v>
      </x:c>
      <x:c r="L3377" s="40" t="n">
        <x:f>ABS(K3377)</x:f>
        <x:v>0.10000000000000142</x:v>
      </x:c>
      <x:c r="M3377" s="41" t="str">
        <x:v>lstm-soil-v1</x:v>
      </x:c>
    </x:row>
    <x:row r="3378">
      <x:c r="A3378" s="38" t="str">
        <x:v>7月30日现场数据</x:v>
      </x:c>
      <x:c r="B3378" s="39" t="str">
        <x:v>2026-08-03T11:50:00</x:v>
      </x:c>
      <x:c r="C3378" s="39" t="str">
        <x:v>2026-08-03T12:20:00</x:v>
      </x:c>
      <x:c r="D3378" s="47" t="n">
        <x:v>30</x:v>
      </x:c>
      <x:c r="E3378" s="40" t="n">
        <x:v>13.7</x:v>
      </x:c>
      <x:c r="F3378" s="40" t="n">
        <x:v>12.437076568603516</x:v>
      </x:c>
      <x:c r="G3378" s="40" t="n">
        <x:v>13.8</x:v>
      </x:c>
      <x:c r="H3378" s="40" t="n">
        <x:f>F3378-E3378</x:f>
        <x:v>-1.2629234313964837</x:v>
      </x:c>
      <x:c r="I3378" s="40" t="n">
        <x:f>ABS(H3378)</x:f>
        <x:v>1.2629234313964837</x:v>
      </x:c>
      <x:c r="J3378" s="40" t="n">
        <x:f>H3378^2</x:f>
        <x:v>1.5949755935702687</x:v>
      </x:c>
      <x:c r="K3378" s="40" t="n">
        <x:f>G3378-E3378</x:f>
        <x:v>0.10000000000000142</x:v>
      </x:c>
      <x:c r="L3378" s="40" t="n">
        <x:f>ABS(K3378)</x:f>
        <x:v>0.10000000000000142</x:v>
      </x:c>
      <x:c r="M3378" s="41" t="str">
        <x:v>lstm-soil-v1</x:v>
      </x:c>
    </x:row>
    <x:row r="3379">
      <x:c r="A3379" s="38" t="str">
        <x:v>7月30日现场数据</x:v>
      </x:c>
      <x:c r="B3379" s="39" t="str">
        <x:v>2026-08-03T11:50:00</x:v>
      </x:c>
      <x:c r="C3379" s="39" t="str">
        <x:v>2026-08-03T12:50:00</x:v>
      </x:c>
      <x:c r="D3379" s="47" t="n">
        <x:v>60</x:v>
      </x:c>
      <x:c r="E3379" s="40" t="n">
        <x:v>13.5</x:v>
      </x:c>
      <x:c r="F3379" s="40" t="n">
        <x:v>14.095306396484375</x:v>
      </x:c>
      <x:c r="G3379" s="40" t="n">
        <x:v>13.8</x:v>
      </x:c>
      <x:c r="H3379" s="40" t="n">
        <x:f>F3379-E3379</x:f>
        <x:v>0.595306396484375</x:v>
      </x:c>
      <x:c r="I3379" s="40" t="n">
        <x:f>ABS(H3379)</x:f>
        <x:v>0.595306396484375</x:v>
      </x:c>
      <x:c r="J3379" s="40" t="n">
        <x:f>H3379^2</x:f>
        <x:v>0.3543897056952119</x:v>
      </x:c>
      <x:c r="K3379" s="40" t="n">
        <x:f>G3379-E3379</x:f>
        <x:v>0.3000000000000007</x:v>
      </x:c>
      <x:c r="L3379" s="40" t="n">
        <x:f>ABS(K3379)</x:f>
        <x:v>0.3000000000000007</x:v>
      </x:c>
      <x:c r="M3379" s="41" t="str">
        <x:v>lstm-soil-v1</x:v>
      </x:c>
    </x:row>
    <x:row r="3380">
      <x:c r="A3380" s="38" t="str">
        <x:v>7月30日现场数据</x:v>
      </x:c>
      <x:c r="B3380" s="39" t="str">
        <x:v>2026-08-03T11:55:00</x:v>
      </x:c>
      <x:c r="C3380" s="39" t="str">
        <x:v>2026-08-03T12:00:00</x:v>
      </x:c>
      <x:c r="D3380" s="47" t="n">
        <x:v>5</x:v>
      </x:c>
      <x:c r="E3380" s="40" t="n">
        <x:v>13.7</x:v>
      </x:c>
      <x:c r="F3380" s="40" t="n">
        <x:v>11.925296783447266</x:v>
      </x:c>
      <x:c r="G3380" s="40" t="n">
        <x:v>13.8</x:v>
      </x:c>
      <x:c r="H3380" s="40" t="n">
        <x:f>F3380-E3380</x:f>
        <x:v>-1.7747032165527337</x:v>
      </x:c>
      <x:c r="I3380" s="40" t="n">
        <x:f>ABS(H3380)</x:f>
        <x:v>1.7747032165527337</x:v>
      </x:c>
      <x:c r="J3380" s="40" t="n">
        <x:f>H3380^2</x:f>
        <x:v>3.149571506842619</x:v>
      </x:c>
      <x:c r="K3380" s="40" t="n">
        <x:f>G3380-E3380</x:f>
        <x:v>0.10000000000000142</x:v>
      </x:c>
      <x:c r="L3380" s="40" t="n">
        <x:f>ABS(K3380)</x:f>
        <x:v>0.10000000000000142</x:v>
      </x:c>
      <x:c r="M3380" s="41" t="str">
        <x:v>lstm-soil-v1</x:v>
      </x:c>
    </x:row>
    <x:row r="3381">
      <x:c r="A3381" s="38" t="str">
        <x:v>7月30日现场数据</x:v>
      </x:c>
      <x:c r="B3381" s="39" t="str">
        <x:v>2026-08-03T11:55:00</x:v>
      </x:c>
      <x:c r="C3381" s="39" t="str">
        <x:v>2026-08-03T12:10:00</x:v>
      </x:c>
      <x:c r="D3381" s="47" t="n">
        <x:v>15</x:v>
      </x:c>
      <x:c r="E3381" s="40" t="n">
        <x:v>13.7</x:v>
      </x:c>
      <x:c r="F3381" s="40" t="n">
        <x:v>12.023693084716797</x:v>
      </x:c>
      <x:c r="G3381" s="40" t="n">
        <x:v>13.8</x:v>
      </x:c>
      <x:c r="H3381" s="40" t="n">
        <x:f>F3381-E3381</x:f>
        <x:v>-1.6763069152832024</x:v>
      </x:c>
      <x:c r="I3381" s="40" t="n">
        <x:f>ABS(H3381)</x:f>
        <x:v>1.6763069152832024</x:v>
      </x:c>
      <x:c r="J3381" s="40" t="n">
        <x:f>H3381^2</x:f>
        <x:v>2.8100048742262858</x:v>
      </x:c>
      <x:c r="K3381" s="40" t="n">
        <x:f>G3381-E3381</x:f>
        <x:v>0.10000000000000142</x:v>
      </x:c>
      <x:c r="L3381" s="40" t="n">
        <x:f>ABS(K3381)</x:f>
        <x:v>0.10000000000000142</x:v>
      </x:c>
      <x:c r="M3381" s="41" t="str">
        <x:v>lstm-soil-v1</x:v>
      </x:c>
    </x:row>
    <x:row r="3382">
      <x:c r="A3382" s="38" t="str">
        <x:v>7月30日现场数据</x:v>
      </x:c>
      <x:c r="B3382" s="39" t="str">
        <x:v>2026-08-03T11:55:00</x:v>
      </x:c>
      <x:c r="C3382" s="39" t="str">
        <x:v>2026-08-03T12:25:00</x:v>
      </x:c>
      <x:c r="D3382" s="47" t="n">
        <x:v>30</x:v>
      </x:c>
      <x:c r="E3382" s="40" t="n">
        <x:v>13.6</x:v>
      </x:c>
      <x:c r="F3382" s="40" t="n">
        <x:v>12.439628601074219</x:v>
      </x:c>
      <x:c r="G3382" s="40" t="n">
        <x:v>13.8</x:v>
      </x:c>
      <x:c r="H3382" s="40" t="n">
        <x:f>F3382-E3382</x:f>
        <x:v>-1.160371398925781</x:v>
      </x:c>
      <x:c r="I3382" s="40" t="n">
        <x:f>ABS(H3382)</x:f>
        <x:v>1.160371398925781</x:v>
      </x:c>
      <x:c r="J3382" s="40" t="n">
        <x:f>H3382^2</x:f>
        <x:v>1.3464617834449737</x:v>
      </x:c>
      <x:c r="K3382" s="40" t="n">
        <x:f>G3382-E3382</x:f>
        <x:v>0.20000000000000107</x:v>
      </x:c>
      <x:c r="L3382" s="40" t="n">
        <x:f>ABS(K3382)</x:f>
        <x:v>0.20000000000000107</x:v>
      </x:c>
      <x:c r="M3382" s="41" t="str">
        <x:v>lstm-soil-v1</x:v>
      </x:c>
    </x:row>
    <x:row r="3383">
      <x:c r="A3383" s="38" t="str">
        <x:v>7月30日现场数据</x:v>
      </x:c>
      <x:c r="B3383" s="39" t="str">
        <x:v>2026-08-03T11:55:00</x:v>
      </x:c>
      <x:c r="C3383" s="39" t="str">
        <x:v>2026-08-03T12:55:00</x:v>
      </x:c>
      <x:c r="D3383" s="47" t="n">
        <x:v>60</x:v>
      </x:c>
      <x:c r="E3383" s="40" t="n">
        <x:v>13.8</x:v>
      </x:c>
      <x:c r="F3383" s="40" t="n">
        <x:v>14.100093841552734</x:v>
      </x:c>
      <x:c r="G3383" s="40" t="n">
        <x:v>13.8</x:v>
      </x:c>
      <x:c r="H3383" s="40" t="n">
        <x:f>F3383-E3383</x:f>
        <x:v>0.30009384155273366</x:v>
      </x:c>
      <x:c r="I3383" s="40" t="n">
        <x:f>ABS(H3383)</x:f>
        <x:v>0.30009384155273366</x:v>
      </x:c>
      <x:c r="J3383" s="40" t="n">
        <x:f>H3383^2</x:f>
        <x:v>0.09005631373787722</x:v>
      </x:c>
      <x:c r="K3383" s="40" t="n">
        <x:f>G3383-E3383</x:f>
        <x:v>0</x:v>
      </x:c>
      <x:c r="L3383" s="40" t="n">
        <x:f>ABS(K3383)</x:f>
        <x:v>0</x:v>
      </x:c>
      <x:c r="M3383" s="41" t="str">
        <x:v>lstm-soil-v1</x:v>
      </x:c>
    </x:row>
    <x:row r="3384">
      <x:c r="A3384" s="38" t="str">
        <x:v>7月30日现场数据</x:v>
      </x:c>
      <x:c r="B3384" s="39" t="str">
        <x:v>2026-08-03T12:00:00</x:v>
      </x:c>
      <x:c r="C3384" s="39" t="str">
        <x:v>2026-08-03T12:05:00</x:v>
      </x:c>
      <x:c r="D3384" s="47" t="n">
        <x:v>5</x:v>
      </x:c>
      <x:c r="E3384" s="40" t="n">
        <x:v>13.7</x:v>
      </x:c>
      <x:c r="F3384" s="40" t="n">
        <x:v>11.822498321533203</x:v>
      </x:c>
      <x:c r="G3384" s="40" t="n">
        <x:v>13.7</x:v>
      </x:c>
      <x:c r="H3384" s="40" t="n">
        <x:f>F3384-E3384</x:f>
        <x:v>-1.8775016784667962</x:v>
      </x:c>
      <x:c r="I3384" s="40" t="n">
        <x:f>ABS(H3384)</x:f>
        <x:v>1.8775016784667962</x:v>
      </x:c>
      <x:c r="J3384" s="40" t="n">
        <x:f>H3384^2</x:f>
        <x:v>3.525012552645637</x:v>
      </x:c>
      <x:c r="K3384" s="40" t="n">
        <x:f>G3384-E3384</x:f>
        <x:v>0</x:v>
      </x:c>
      <x:c r="L3384" s="40" t="n">
        <x:f>ABS(K3384)</x:f>
        <x:v>0</x:v>
      </x:c>
      <x:c r="M3384" s="41" t="str">
        <x:v>lstm-soil-v1</x:v>
      </x:c>
    </x:row>
    <x:row r="3385">
      <x:c r="A3385" s="38" t="str">
        <x:v>7月30日现场数据</x:v>
      </x:c>
      <x:c r="B3385" s="39" t="str">
        <x:v>2026-08-03T12:00:00</x:v>
      </x:c>
      <x:c r="C3385" s="39" t="str">
        <x:v>2026-08-03T12:15:00</x:v>
      </x:c>
      <x:c r="D3385" s="47" t="n">
        <x:v>15</x:v>
      </x:c>
      <x:c r="E3385" s="40" t="n">
        <x:v>13.7</x:v>
      </x:c>
      <x:c r="F3385" s="40" t="n">
        <x:v>11.91799545288086</x:v>
      </x:c>
      <x:c r="G3385" s="40" t="n">
        <x:v>13.7</x:v>
      </x:c>
      <x:c r="H3385" s="40" t="n">
        <x:f>F3385-E3385</x:f>
        <x:v>-1.78200454711914</x:v>
      </x:c>
      <x:c r="I3385" s="40" t="n">
        <x:f>ABS(H3385)</x:f>
        <x:v>1.78200454711914</x:v>
      </x:c>
      <x:c r="J3385" s="40" t="n">
        <x:f>H3385^2</x:f>
        <x:v>3.175540205953291</x:v>
      </x:c>
      <x:c r="K3385" s="40" t="n">
        <x:f>G3385-E3385</x:f>
        <x:v>0</x:v>
      </x:c>
      <x:c r="L3385" s="40" t="n">
        <x:f>ABS(K3385)</x:f>
        <x:v>0</x:v>
      </x:c>
      <x:c r="M3385" s="41" t="str">
        <x:v>lstm-soil-v1</x:v>
      </x:c>
    </x:row>
    <x:row r="3386">
      <x:c r="A3386" s="38" t="str">
        <x:v>7月30日现场数据</x:v>
      </x:c>
      <x:c r="B3386" s="39" t="str">
        <x:v>2026-08-03T12:00:00</x:v>
      </x:c>
      <x:c r="C3386" s="39" t="str">
        <x:v>2026-08-03T12:30:00</x:v>
      </x:c>
      <x:c r="D3386" s="47" t="n">
        <x:v>30</x:v>
      </x:c>
      <x:c r="E3386" s="40" t="n">
        <x:v>13.6</x:v>
      </x:c>
      <x:c r="F3386" s="40" t="n">
        <x:v>12.337894439697266</x:v>
      </x:c>
      <x:c r="G3386" s="40" t="n">
        <x:v>13.7</x:v>
      </x:c>
      <x:c r="H3386" s="40" t="n">
        <x:f>F3386-E3386</x:f>
        <x:v>-1.262105560302734</x:v>
      </x:c>
      <x:c r="I3386" s="40" t="n">
        <x:f>ABS(H3386)</x:f>
        <x:v>1.262105560302734</x:v>
      </x:c>
      <x:c r="J3386" s="40" t="n">
        <x:f>H3386^2</x:f>
        <x:v>1.5929104453470782</x:v>
      </x:c>
      <x:c r="K3386" s="40" t="n">
        <x:f>G3386-E3386</x:f>
        <x:v>0.09999999999999964</x:v>
      </x:c>
      <x:c r="L3386" s="40" t="n">
        <x:f>ABS(K3386)</x:f>
        <x:v>0.09999999999999964</x:v>
      </x:c>
      <x:c r="M3386" s="41" t="str">
        <x:v>lstm-soil-v1</x:v>
      </x:c>
    </x:row>
    <x:row r="3387">
      <x:c r="A3387" s="38" t="str">
        <x:v>7月30日现场数据</x:v>
      </x:c>
      <x:c r="B3387" s="39" t="str">
        <x:v>2026-08-03T12:00:00</x:v>
      </x:c>
      <x:c r="C3387" s="39" t="str">
        <x:v>2026-08-03T13:00:00</x:v>
      </x:c>
      <x:c r="D3387" s="47" t="n">
        <x:v>60</x:v>
      </x:c>
      <x:c r="E3387" s="40" t="n">
        <x:v>13.7</x:v>
      </x:c>
      <x:c r="F3387" s="40" t="n">
        <x:v>14.007892608642578</x:v>
      </x:c>
      <x:c r="G3387" s="40" t="n">
        <x:v>13.7</x:v>
      </x:c>
      <x:c r="H3387" s="40" t="n">
        <x:f>F3387-E3387</x:f>
        <x:v>0.30789260864257884</x:v>
      </x:c>
      <x:c r="I3387" s="40" t="n">
        <x:f>ABS(H3387)</x:f>
        <x:v>0.30789260864257884</x:v>
      </x:c>
      <x:c r="J3387" s="40" t="n">
        <x:f>H3387^2</x:f>
        <x:v>0.0947978584567322</x:v>
      </x:c>
      <x:c r="K3387" s="40" t="n">
        <x:f>G3387-E3387</x:f>
        <x:v>0</x:v>
      </x:c>
      <x:c r="L3387" s="40" t="n">
        <x:f>ABS(K3387)</x:f>
        <x:v>0</x:v>
      </x:c>
      <x:c r="M3387" s="41" t="str">
        <x:v>lstm-soil-v1</x:v>
      </x:c>
    </x:row>
    <x:row r="3388">
      <x:c r="A3388" s="38" t="str">
        <x:v>7月30日现场数据</x:v>
      </x:c>
      <x:c r="B3388" s="39" t="str">
        <x:v>2026-08-03T12:05:00</x:v>
      </x:c>
      <x:c r="C3388" s="39" t="str">
        <x:v>2026-08-03T12:10:00</x:v>
      </x:c>
      <x:c r="D3388" s="47" t="n">
        <x:v>5</x:v>
      </x:c>
      <x:c r="E3388" s="40" t="n">
        <x:v>13.7</x:v>
      </x:c>
      <x:c r="F3388" s="40" t="n">
        <x:v>11.824851989746094</x:v>
      </x:c>
      <x:c r="G3388" s="40" t="n">
        <x:v>13.7</x:v>
      </x:c>
      <x:c r="H3388" s="40" t="n">
        <x:f>F3388-E3388</x:f>
        <x:v>-1.8751480102539055</x:v>
      </x:c>
      <x:c r="I3388" s="40" t="n">
        <x:f>ABS(H3388)</x:f>
        <x:v>1.8751480102539055</x:v>
      </x:c>
      <x:c r="J3388" s="40" t="n">
        <x:f>H3388^2</x:f>
        <x:v>3.516180060359181</x:v>
      </x:c>
      <x:c r="K3388" s="40" t="n">
        <x:f>G3388-E3388</x:f>
        <x:v>0</x:v>
      </x:c>
      <x:c r="L3388" s="40" t="n">
        <x:f>ABS(K3388)</x:f>
        <x:v>0</x:v>
      </x:c>
      <x:c r="M3388" s="41" t="str">
        <x:v>lstm-soil-v1</x:v>
      </x:c>
    </x:row>
    <x:row r="3389">
      <x:c r="A3389" s="38" t="str">
        <x:v>7月30日现场数据</x:v>
      </x:c>
      <x:c r="B3389" s="39" t="str">
        <x:v>2026-08-03T12:05:00</x:v>
      </x:c>
      <x:c r="C3389" s="39" t="str">
        <x:v>2026-08-03T12:20:00</x:v>
      </x:c>
      <x:c r="D3389" s="47" t="n">
        <x:v>15</x:v>
      </x:c>
      <x:c r="E3389" s="40" t="n">
        <x:v>13.7</x:v>
      </x:c>
      <x:c r="F3389" s="40" t="n">
        <x:v>11.92013168334961</x:v>
      </x:c>
      <x:c r="G3389" s="40" t="n">
        <x:v>13.7</x:v>
      </x:c>
      <x:c r="H3389" s="40" t="n">
        <x:f>F3389-E3389</x:f>
        <x:v>-1.77986831665039</x:v>
      </x:c>
      <x:c r="I3389" s="40" t="n">
        <x:f>ABS(H3389)</x:f>
        <x:v>1.77986831665039</x:v>
      </x:c>
      <x:c r="J3389" s="40" t="n">
        <x:f>H3389^2</x:f>
        <x:v>3.167931224615893</x:v>
      </x:c>
      <x:c r="K3389" s="40" t="n">
        <x:f>G3389-E3389</x:f>
        <x:v>0</x:v>
      </x:c>
      <x:c r="L3389" s="40" t="n">
        <x:f>ABS(K3389)</x:f>
        <x:v>0</x:v>
      </x:c>
      <x:c r="M3389" s="41" t="str">
        <x:v>lstm-soil-v1</x:v>
      </x:c>
    </x:row>
    <x:row r="3390">
      <x:c r="A3390" s="38" t="str">
        <x:v>7月30日现场数据</x:v>
      </x:c>
      <x:c r="B3390" s="39" t="str">
        <x:v>2026-08-03T12:05:00</x:v>
      </x:c>
      <x:c r="C3390" s="39" t="str">
        <x:v>2026-08-03T12:35:00</x:v>
      </x:c>
      <x:c r="D3390" s="47" t="n">
        <x:v>30</x:v>
      </x:c>
      <x:c r="E3390" s="40" t="n">
        <x:v>13.6</x:v>
      </x:c>
      <x:c r="F3390" s="40" t="n">
        <x:v>12.339427947998047</x:v>
      </x:c>
      <x:c r="G3390" s="40" t="n">
        <x:v>13.7</x:v>
      </x:c>
      <x:c r="H3390" s="40" t="n">
        <x:f>F3390-E3390</x:f>
        <x:v>-1.2605720520019528</x:v>
      </x:c>
      <x:c r="I3390" s="40" t="n">
        <x:f>ABS(H3390)</x:f>
        <x:v>1.2605720520019528</x:v>
      </x:c>
      <x:c r="J3390" s="40" t="n">
        <x:f>H3390^2</x:f>
        <x:v>1.589041898288414</x:v>
      </x:c>
      <x:c r="K3390" s="40" t="n">
        <x:f>G3390-E3390</x:f>
        <x:v>0.09999999999999964</x:v>
      </x:c>
      <x:c r="L3390" s="40" t="n">
        <x:f>ABS(K3390)</x:f>
        <x:v>0.09999999999999964</x:v>
      </x:c>
      <x:c r="M3390" s="41" t="str">
        <x:v>lstm-soil-v1</x:v>
      </x:c>
    </x:row>
    <x:row r="3391">
      <x:c r="A3391" s="38" t="str">
        <x:v>7月30日现场数据</x:v>
      </x:c>
      <x:c r="B3391" s="39" t="str">
        <x:v>2026-08-03T12:05:00</x:v>
      </x:c>
      <x:c r="C3391" s="39" t="str">
        <x:v>2026-08-03T13:05:00</x:v>
      </x:c>
      <x:c r="D3391" s="47" t="n">
        <x:v>60</x:v>
      </x:c>
      <x:c r="E3391" s="40" t="n">
        <x:v>13.7</x:v>
      </x:c>
      <x:c r="F3391" s="40" t="n">
        <x:v>14.015548706054688</x:v>
      </x:c>
      <x:c r="G3391" s="40" t="n">
        <x:v>13.7</x:v>
      </x:c>
      <x:c r="H3391" s="40" t="n">
        <x:f>F3391-E3391</x:f>
        <x:v>0.3155487060546882</x:v>
      </x:c>
      <x:c r="I3391" s="40" t="n">
        <x:f>ABS(H3391)</x:f>
        <x:v>0.3155487060546882</x:v>
      </x:c>
      <x:c r="J3391" s="40" t="n">
        <x:f>H3391^2</x:f>
        <x:v>0.09957098589278802</x:v>
      </x:c>
      <x:c r="K3391" s="40" t="n">
        <x:f>G3391-E3391</x:f>
        <x:v>0</x:v>
      </x:c>
      <x:c r="L3391" s="40" t="n">
        <x:f>ABS(K3391)</x:f>
        <x:v>0</x:v>
      </x:c>
      <x:c r="M3391" s="41" t="str">
        <x:v>lstm-soil-v1</x:v>
      </x:c>
    </x:row>
    <x:row r="3392">
      <x:c r="A3392" s="38" t="str">
        <x:v>7月30日现场数据</x:v>
      </x:c>
      <x:c r="B3392" s="39" t="str">
        <x:v>2026-08-03T12:10:00</x:v>
      </x:c>
      <x:c r="C3392" s="39" t="str">
        <x:v>2026-08-03T12:15:00</x:v>
      </x:c>
      <x:c r="D3392" s="47" t="n">
        <x:v>5</x:v>
      </x:c>
      <x:c r="E3392" s="40" t="n">
        <x:v>13.7</x:v>
      </x:c>
      <x:c r="F3392" s="40" t="n">
        <x:v>11.849308013916016</x:v>
      </x:c>
      <x:c r="G3392" s="40" t="n">
        <x:v>13.7</x:v>
      </x:c>
      <x:c r="H3392" s="40" t="n">
        <x:f>F3392-E3392</x:f>
        <x:v>-1.8506919860839837</x:v>
      </x:c>
      <x:c r="I3392" s="40" t="n">
        <x:f>ABS(H3392)</x:f>
        <x:v>1.8506919860839837</x:v>
      </x:c>
      <x:c r="J3392" s="40" t="n">
        <x:f>H3392^2</x:f>
        <x:v>3.42506082735548</x:v>
      </x:c>
      <x:c r="K3392" s="40" t="n">
        <x:f>G3392-E3392</x:f>
        <x:v>0</x:v>
      </x:c>
      <x:c r="L3392" s="40" t="n">
        <x:f>ABS(K3392)</x:f>
        <x:v>0</x:v>
      </x:c>
      <x:c r="M3392" s="41" t="str">
        <x:v>lstm-soil-v1</x:v>
      </x:c>
    </x:row>
    <x:row r="3393">
      <x:c r="A3393" s="38" t="str">
        <x:v>7月30日现场数据</x:v>
      </x:c>
      <x:c r="B3393" s="39" t="str">
        <x:v>2026-08-03T12:10:00</x:v>
      </x:c>
      <x:c r="C3393" s="39" t="str">
        <x:v>2026-08-03T12:25:00</x:v>
      </x:c>
      <x:c r="D3393" s="47" t="n">
        <x:v>15</x:v>
      </x:c>
      <x:c r="E3393" s="40" t="n">
        <x:v>13.6</x:v>
      </x:c>
      <x:c r="F3393" s="40" t="n">
        <x:v>11.957042694091797</x:v>
      </x:c>
      <x:c r="G3393" s="40" t="n">
        <x:v>13.7</x:v>
      </x:c>
      <x:c r="H3393" s="40" t="n">
        <x:f>F3393-E3393</x:f>
        <x:v>-1.6429573059082028</x:v>
      </x:c>
      <x:c r="I3393" s="40" t="n">
        <x:f>ABS(H3393)</x:f>
        <x:v>1.6429573059082028</x:v>
      </x:c>
      <x:c r="J3393" s="40" t="n">
        <x:f>H3393^2</x:f>
        <x:v>2.69930870903714</x:v>
      </x:c>
      <x:c r="K3393" s="40" t="n">
        <x:f>G3393-E3393</x:f>
        <x:v>0.09999999999999964</x:v>
      </x:c>
      <x:c r="L3393" s="40" t="n">
        <x:f>ABS(K3393)</x:f>
        <x:v>0.09999999999999964</x:v>
      </x:c>
      <x:c r="M3393" s="41" t="str">
        <x:v>lstm-soil-v1</x:v>
      </x:c>
    </x:row>
    <x:row r="3394">
      <x:c r="A3394" s="38" t="str">
        <x:v>7月30日现场数据</x:v>
      </x:c>
      <x:c r="B3394" s="39" t="str">
        <x:v>2026-08-03T12:10:00</x:v>
      </x:c>
      <x:c r="C3394" s="39" t="str">
        <x:v>2026-08-03T12:40:00</x:v>
      </x:c>
      <x:c r="D3394" s="47" t="n">
        <x:v>30</x:v>
      </x:c>
      <x:c r="E3394" s="40" t="n">
        <x:v>13.6</x:v>
      </x:c>
      <x:c r="F3394" s="40" t="n">
        <x:v>12.356498718261719</x:v>
      </x:c>
      <x:c r="G3394" s="40" t="n">
        <x:v>13.7</x:v>
      </x:c>
      <x:c r="H3394" s="40" t="n">
        <x:f>F3394-E3394</x:f>
        <x:v>-1.243501281738281</x:v>
      </x:c>
      <x:c r="I3394" s="40" t="n">
        <x:f>ABS(H3394)</x:f>
        <x:v>1.243501281738281</x:v>
      </x:c>
      <x:c r="J3394" s="40" t="n">
        <x:f>H3394^2</x:f>
        <x:v>1.5462954376847475</x:v>
      </x:c>
      <x:c r="K3394" s="40" t="n">
        <x:f>G3394-E3394</x:f>
        <x:v>0.09999999999999964</x:v>
      </x:c>
      <x:c r="L3394" s="40" t="n">
        <x:f>ABS(K3394)</x:f>
        <x:v>0.09999999999999964</x:v>
      </x:c>
      <x:c r="M3394" s="41" t="str">
        <x:v>lstm-soil-v1</x:v>
      </x:c>
    </x:row>
    <x:row r="3395">
      <x:c r="A3395" s="38" t="str">
        <x:v>7月30日现场数据</x:v>
      </x:c>
      <x:c r="B3395" s="39" t="str">
        <x:v>2026-08-03T12:10:00</x:v>
      </x:c>
      <x:c r="C3395" s="39" t="str">
        <x:v>2026-08-03T13:10:00</x:v>
      </x:c>
      <x:c r="D3395" s="47" t="n">
        <x:v>60</x:v>
      </x:c>
      <x:c r="E3395" s="40" t="n">
        <x:v>13.7</x:v>
      </x:c>
      <x:c r="F3395" s="40" t="n">
        <x:v>14.03363037109375</x:v>
      </x:c>
      <x:c r="G3395" s="40" t="n">
        <x:v>13.7</x:v>
      </x:c>
      <x:c r="H3395" s="40" t="n">
        <x:f>F3395-E3395</x:f>
        <x:v>0.3336303710937507</x:v>
      </x:c>
      <x:c r="I3395" s="40" t="n">
        <x:f>ABS(H3395)</x:f>
        <x:v>0.3336303710937507</x:v>
      </x:c>
      <x:c r="J3395" s="40" t="n">
        <x:f>H3395^2</x:f>
        <x:v>0.11130922451615381</x:v>
      </x:c>
      <x:c r="K3395" s="40" t="n">
        <x:f>G3395-E3395</x:f>
        <x:v>0</x:v>
      </x:c>
      <x:c r="L3395" s="40" t="n">
        <x:f>ABS(K3395)</x:f>
        <x:v>0</x:v>
      </x:c>
      <x:c r="M3395" s="41" t="str">
        <x:v>lstm-soil-v1</x:v>
      </x:c>
    </x:row>
    <x:row r="3396">
      <x:c r="A3396" s="38" t="str">
        <x:v>7月30日现场数据</x:v>
      </x:c>
      <x:c r="B3396" s="39" t="str">
        <x:v>2026-08-03T12:15:00</x:v>
      </x:c>
      <x:c r="C3396" s="39" t="str">
        <x:v>2026-08-03T12:20:00</x:v>
      </x:c>
      <x:c r="D3396" s="47" t="n">
        <x:v>5</x:v>
      </x:c>
      <x:c r="E3396" s="40" t="n">
        <x:v>13.7</x:v>
      </x:c>
      <x:c r="F3396" s="40" t="n">
        <x:v>11.832664489746094</x:v>
      </x:c>
      <x:c r="G3396" s="40" t="n">
        <x:v>13.7</x:v>
      </x:c>
      <x:c r="H3396" s="40" t="n">
        <x:f>F3396-E3396</x:f>
        <x:v>-1.8673355102539055</x:v>
      </x:c>
      <x:c r="I3396" s="40" t="n">
        <x:f>ABS(H3396)</x:f>
        <x:v>1.8673355102539055</x:v>
      </x:c>
      <x:c r="J3396" s="40" t="n">
        <x:f>H3396^2</x:f>
        <x:v>3.486941907855214</x:v>
      </x:c>
      <x:c r="K3396" s="40" t="n">
        <x:f>G3396-E3396</x:f>
        <x:v>0</x:v>
      </x:c>
      <x:c r="L3396" s="40" t="n">
        <x:f>ABS(K3396)</x:f>
        <x:v>0</x:v>
      </x:c>
      <x:c r="M3396" s="41" t="str">
        <x:v>lstm-soil-v1</x:v>
      </x:c>
    </x:row>
    <x:row r="3397">
      <x:c r="A3397" s="38" t="str">
        <x:v>7月30日现场数据</x:v>
      </x:c>
      <x:c r="B3397" s="39" t="str">
        <x:v>2026-08-03T12:15:00</x:v>
      </x:c>
      <x:c r="C3397" s="39" t="str">
        <x:v>2026-08-03T12:30:00</x:v>
      </x:c>
      <x:c r="D3397" s="47" t="n">
        <x:v>15</x:v>
      </x:c>
      <x:c r="E3397" s="40" t="n">
        <x:v>13.6</x:v>
      </x:c>
      <x:c r="F3397" s="40" t="n">
        <x:v>11.951358795166016</x:v>
      </x:c>
      <x:c r="G3397" s="40" t="n">
        <x:v>13.7</x:v>
      </x:c>
      <x:c r="H3397" s="40" t="n">
        <x:f>F3397-E3397</x:f>
        <x:v>-1.648641204833984</x:v>
      </x:c>
      <x:c r="I3397" s="40" t="n">
        <x:f>ABS(H3397)</x:f>
        <x:v>1.648641204833984</x:v>
      </x:c>
      <x:c r="J3397" s="40" t="n">
        <x:f>H3397^2</x:f>
        <x:v>2.7180178222764506</x:v>
      </x:c>
      <x:c r="K3397" s="40" t="n">
        <x:f>G3397-E3397</x:f>
        <x:v>0.09999999999999964</x:v>
      </x:c>
      <x:c r="L3397" s="40" t="n">
        <x:f>ABS(K3397)</x:f>
        <x:v>0.09999999999999964</x:v>
      </x:c>
      <x:c r="M3397" s="41" t="str">
        <x:v>lstm-soil-v1</x:v>
      </x:c>
    </x:row>
    <x:row r="3398">
      <x:c r="A3398" s="38" t="str">
        <x:v>7月30日现场数据</x:v>
      </x:c>
      <x:c r="B3398" s="39" t="str">
        <x:v>2026-08-03T12:15:00</x:v>
      </x:c>
      <x:c r="C3398" s="39" t="str">
        <x:v>2026-08-03T12:45:00</x:v>
      </x:c>
      <x:c r="D3398" s="47" t="n">
        <x:v>30</x:v>
      </x:c>
      <x:c r="E3398" s="40" t="n">
        <x:v>13.6</x:v>
      </x:c>
      <x:c r="F3398" s="40" t="n">
        <x:v>12.32803726196289</x:v>
      </x:c>
      <x:c r="G3398" s="40" t="n">
        <x:v>13.7</x:v>
      </x:c>
      <x:c r="H3398" s="40" t="n">
        <x:f>F3398-E3398</x:f>
        <x:v>-1.271962738037109</x:v>
      </x:c>
      <x:c r="I3398" s="40" t="n">
        <x:f>ABS(H3398)</x:f>
        <x:v>1.271962738037109</x:v>
      </x:c>
      <x:c r="J3398" s="40" t="n">
        <x:f>H3398^2</x:f>
        <x:v>1.6178892069548592</x:v>
      </x:c>
      <x:c r="K3398" s="40" t="n">
        <x:f>G3398-E3398</x:f>
        <x:v>0.09999999999999964</x:v>
      </x:c>
      <x:c r="L3398" s="40" t="n">
        <x:f>ABS(K3398)</x:f>
        <x:v>0.09999999999999964</x:v>
      </x:c>
      <x:c r="M3398" s="41" t="str">
        <x:v>lstm-soil-v1</x:v>
      </x:c>
    </x:row>
    <x:row r="3399">
      <x:c r="A3399" s="38" t="str">
        <x:v>7月30日现场数据</x:v>
      </x:c>
      <x:c r="B3399" s="39" t="str">
        <x:v>2026-08-03T12:15:00</x:v>
      </x:c>
      <x:c r="C3399" s="39" t="str">
        <x:v>2026-08-03T13:15:00</x:v>
      </x:c>
      <x:c r="D3399" s="47" t="n">
        <x:v>60</x:v>
      </x:c>
      <x:c r="E3399" s="40" t="n">
        <x:v>13.7</x:v>
      </x:c>
      <x:c r="F3399" s="40" t="n">
        <x:v>13.998188018798828</x:v>
      </x:c>
      <x:c r="G3399" s="40" t="n">
        <x:v>13.7</x:v>
      </x:c>
      <x:c r="H3399" s="40" t="n">
        <x:f>F3399-E3399</x:f>
        <x:v>0.29818801879882884</x:v>
      </x:c>
      <x:c r="I3399" s="40" t="n">
        <x:f>ABS(H3399)</x:f>
        <x:v>0.29818801879882884</x:v>
      </x:c>
      <x:c r="J3399" s="40" t="n">
        <x:f>H3399^2</x:f>
        <x:v>0.0889160945551707</x:v>
      </x:c>
      <x:c r="K3399" s="40" t="n">
        <x:f>G3399-E3399</x:f>
        <x:v>0</x:v>
      </x:c>
      <x:c r="L3399" s="40" t="n">
        <x:f>ABS(K3399)</x:f>
        <x:v>0</x:v>
      </x:c>
      <x:c r="M3399" s="41" t="str">
        <x:v>lstm-soil-v1</x:v>
      </x:c>
    </x:row>
    <x:row r="3400">
      <x:c r="A3400" s="38" t="str">
        <x:v>7月30日现场数据</x:v>
      </x:c>
      <x:c r="B3400" s="39" t="str">
        <x:v>2026-08-03T12:20:00</x:v>
      </x:c>
      <x:c r="C3400" s="39" t="str">
        <x:v>2026-08-03T12:25:00</x:v>
      </x:c>
      <x:c r="D3400" s="47" t="n">
        <x:v>5</x:v>
      </x:c>
      <x:c r="E3400" s="40" t="n">
        <x:v>13.6</x:v>
      </x:c>
      <x:c r="F3400" s="40" t="n">
        <x:v>11.82309341430664</x:v>
      </x:c>
      <x:c r="G3400" s="40" t="n">
        <x:v>13.7</x:v>
      </x:c>
      <x:c r="H3400" s="40" t="n">
        <x:f>F3400-E3400</x:f>
        <x:v>-1.776906585693359</x:v>
      </x:c>
      <x:c r="I3400" s="40" t="n">
        <x:f>ABS(H3400)</x:f>
        <x:v>1.776906585693359</x:v>
      </x:c>
      <x:c r="J3400" s="40" t="n">
        <x:f>H3400^2</x:f>
        <x:v>3.1573970142804306</x:v>
      </x:c>
      <x:c r="K3400" s="40" t="n">
        <x:f>G3400-E3400</x:f>
        <x:v>0.09999999999999964</x:v>
      </x:c>
      <x:c r="L3400" s="40" t="n">
        <x:f>ABS(K3400)</x:f>
        <x:v>0.09999999999999964</x:v>
      </x:c>
      <x:c r="M3400" s="41" t="str">
        <x:v>lstm-soil-v1</x:v>
      </x:c>
    </x:row>
    <x:row r="3401">
      <x:c r="A3401" s="38" t="str">
        <x:v>7月30日现场数据</x:v>
      </x:c>
      <x:c r="B3401" s="39" t="str">
        <x:v>2026-08-03T12:20:00</x:v>
      </x:c>
      <x:c r="C3401" s="39" t="str">
        <x:v>2026-08-03T12:35:00</x:v>
      </x:c>
      <x:c r="D3401" s="47" t="n">
        <x:v>15</x:v>
      </x:c>
      <x:c r="E3401" s="40" t="n">
        <x:v>13.6</x:v>
      </x:c>
      <x:c r="F3401" s="40" t="n">
        <x:v>11.938549041748047</x:v>
      </x:c>
      <x:c r="G3401" s="40" t="n">
        <x:v>13.7</x:v>
      </x:c>
      <x:c r="H3401" s="40" t="n">
        <x:f>F3401-E3401</x:f>
        <x:v>-1.6614509582519528</x:v>
      </x:c>
      <x:c r="I3401" s="40" t="n">
        <x:f>ABS(H3401)</x:f>
        <x:v>1.6614509582519528</x:v>
      </x:c>
      <x:c r="J3401" s="40" t="n">
        <x:f>H3401^2</x:f>
        <x:v>2.760419286676332</x:v>
      </x:c>
      <x:c r="K3401" s="40" t="n">
        <x:f>G3401-E3401</x:f>
        <x:v>0.09999999999999964</x:v>
      </x:c>
      <x:c r="L3401" s="40" t="n">
        <x:f>ABS(K3401)</x:f>
        <x:v>0.09999999999999964</x:v>
      </x:c>
      <x:c r="M3401" s="41" t="str">
        <x:v>lstm-soil-v1</x:v>
      </x:c>
    </x:row>
    <x:row r="3402">
      <x:c r="A3402" s="38" t="str">
        <x:v>7月30日现场数据</x:v>
      </x:c>
      <x:c r="B3402" s="39" t="str">
        <x:v>2026-08-03T12:20:00</x:v>
      </x:c>
      <x:c r="C3402" s="39" t="str">
        <x:v>2026-08-03T12:50:00</x:v>
      </x:c>
      <x:c r="D3402" s="47" t="n">
        <x:v>30</x:v>
      </x:c>
      <x:c r="E3402" s="40" t="n">
        <x:v>13.5</x:v>
      </x:c>
      <x:c r="F3402" s="40" t="n">
        <x:v>12.31295394897461</x:v>
      </x:c>
      <x:c r="G3402" s="40" t="n">
        <x:v>13.7</x:v>
      </x:c>
      <x:c r="H3402" s="40" t="n">
        <x:f>F3402-E3402</x:f>
        <x:v>-1.1870460510253906</x:v>
      </x:c>
      <x:c r="I3402" s="40" t="n">
        <x:f>ABS(H3402)</x:f>
        <x:v>1.1870460510253906</x:v>
      </x:c>
      <x:c r="J3402" s="40" t="n">
        <x:f>H3402^2</x:f>
        <x:v>1.4090783272549743</x:v>
      </x:c>
      <x:c r="K3402" s="40" t="n">
        <x:f>G3402-E3402</x:f>
        <x:v>0.1999999999999993</x:v>
      </x:c>
      <x:c r="L3402" s="40" t="n">
        <x:f>ABS(K3402)</x:f>
        <x:v>0.1999999999999993</x:v>
      </x:c>
      <x:c r="M3402" s="41" t="str">
        <x:v>lstm-soil-v1</x:v>
      </x:c>
    </x:row>
    <x:row r="3403">
      <x:c r="A3403" s="38" t="str">
        <x:v>7月30日现场数据</x:v>
      </x:c>
      <x:c r="B3403" s="39" t="str">
        <x:v>2026-08-03T12:20:00</x:v>
      </x:c>
      <x:c r="C3403" s="39" t="str">
        <x:v>2026-08-03T13:20:00</x:v>
      </x:c>
      <x:c r="D3403" s="47" t="n">
        <x:v>60</x:v>
      </x:c>
      <x:c r="E3403" s="40" t="n">
        <x:v>13.6</x:v>
      </x:c>
      <x:c r="F3403" s="40" t="n">
        <x:v>13.97894287109375</x:v>
      </x:c>
      <x:c r="G3403" s="40" t="n">
        <x:v>13.7</x:v>
      </x:c>
      <x:c r="H3403" s="40" t="n">
        <x:f>F3403-E3403</x:f>
        <x:v>0.37894287109375036</x:v>
      </x:c>
      <x:c r="I3403" s="40" t="n">
        <x:f>ABS(H3403)</x:f>
        <x:v>0.37894287109375036</x:v>
      </x:c>
      <x:c r="J3403" s="40" t="n">
        <x:f>H3403^2</x:f>
        <x:v>0.1435976995527747</x:v>
      </x:c>
      <x:c r="K3403" s="40" t="n">
        <x:f>G3403-E3403</x:f>
        <x:v>0.09999999999999964</x:v>
      </x:c>
      <x:c r="L3403" s="40" t="n">
        <x:f>ABS(K3403)</x:f>
        <x:v>0.09999999999999964</x:v>
      </x:c>
      <x:c r="M3403" s="41" t="str">
        <x:v>lstm-soil-v1</x:v>
      </x:c>
    </x:row>
    <x:row r="3404">
      <x:c r="A3404" s="38" t="str">
        <x:v>7月30日现场数据</x:v>
      </x:c>
      <x:c r="B3404" s="39" t="str">
        <x:v>2026-08-03T12:25:00</x:v>
      </x:c>
      <x:c r="C3404" s="39" t="str">
        <x:v>2026-08-03T12:30:00</x:v>
      </x:c>
      <x:c r="D3404" s="47" t="n">
        <x:v>5</x:v>
      </x:c>
      <x:c r="E3404" s="40" t="n">
        <x:v>13.6</x:v>
      </x:c>
      <x:c r="F3404" s="40" t="n">
        <x:v>11.71152114868164</x:v>
      </x:c>
      <x:c r="G3404" s="40" t="n">
        <x:v>13.6</x:v>
      </x:c>
      <x:c r="H3404" s="40" t="n">
        <x:f>F3404-E3404</x:f>
        <x:v>-1.888478851318359</x:v>
      </x:c>
      <x:c r="I3404" s="40" t="n">
        <x:f>ABS(H3404)</x:f>
        <x:v>1.888478851318359</x:v>
      </x:c>
      <x:c r="J3404" s="40" t="n">
        <x:f>H3404^2</x:f>
        <x:v>3.5663523718767087</x:v>
      </x:c>
      <x:c r="K3404" s="40" t="n">
        <x:f>G3404-E3404</x:f>
        <x:v>0</x:v>
      </x:c>
      <x:c r="L3404" s="40" t="n">
        <x:f>ABS(K3404)</x:f>
        <x:v>0</x:v>
      </x:c>
      <x:c r="M3404" s="41" t="str">
        <x:v>lstm-soil-v1</x:v>
      </x:c>
    </x:row>
    <x:row r="3405">
      <x:c r="A3405" s="38" t="str">
        <x:v>7月30日现场数据</x:v>
      </x:c>
      <x:c r="B3405" s="39" t="str">
        <x:v>2026-08-03T12:25:00</x:v>
      </x:c>
      <x:c r="C3405" s="39" t="str">
        <x:v>2026-08-03T12:40:00</x:v>
      </x:c>
      <x:c r="D3405" s="47" t="n">
        <x:v>15</x:v>
      </x:c>
      <x:c r="E3405" s="40" t="n">
        <x:v>13.6</x:v>
      </x:c>
      <x:c r="F3405" s="40" t="n">
        <x:v>11.818778991699219</x:v>
      </x:c>
      <x:c r="G3405" s="40" t="n">
        <x:v>13.6</x:v>
      </x:c>
      <x:c r="H3405" s="40" t="n">
        <x:f>F3405-E3405</x:f>
        <x:v>-1.781221008300781</x:v>
      </x:c>
      <x:c r="I3405" s="40" t="n">
        <x:f>ABS(H3405)</x:f>
        <x:v>1.781221008300781</x:v>
      </x:c>
      <x:c r="J3405" s="40" t="n">
        <x:f>H3405^2</x:f>
        <x:v>3.1727482804120504</x:v>
      </x:c>
      <x:c r="K3405" s="40" t="n">
        <x:f>G3405-E3405</x:f>
        <x:v>0</x:v>
      </x:c>
      <x:c r="L3405" s="40" t="n">
        <x:f>ABS(K3405)</x:f>
        <x:v>0</x:v>
      </x:c>
      <x:c r="M3405" s="41" t="str">
        <x:v>lstm-soil-v1</x:v>
      </x:c>
    </x:row>
    <x:row r="3406">
      <x:c r="A3406" s="38" t="str">
        <x:v>7月30日现场数据</x:v>
      </x:c>
      <x:c r="B3406" s="39" t="str">
        <x:v>2026-08-03T12:25:00</x:v>
      </x:c>
      <x:c r="C3406" s="39" t="str">
        <x:v>2026-08-03T12:55:00</x:v>
      </x:c>
      <x:c r="D3406" s="47" t="n">
        <x:v>30</x:v>
      </x:c>
      <x:c r="E3406" s="40" t="n">
        <x:v>13.8</x:v>
      </x:c>
      <x:c r="F3406" s="40" t="n">
        <x:v>12.201370239257812</x:v>
      </x:c>
      <x:c r="G3406" s="40" t="n">
        <x:v>13.6</x:v>
      </x:c>
      <x:c r="H3406" s="40" t="n">
        <x:f>F3406-E3406</x:f>
        <x:v>-1.5986297607421882</x:v>
      </x:c>
      <x:c r="I3406" s="40" t="n">
        <x:f>ABS(H3406)</x:f>
        <x:v>1.5986297607421882</x:v>
      </x:c>
      <x:c r="J3406" s="40" t="n">
        <x:f>H3406^2</x:f>
        <x:v>2.555617111930626</x:v>
      </x:c>
      <x:c r="K3406" s="40" t="n">
        <x:f>G3406-E3406</x:f>
        <x:v>-0.20000000000000107</x:v>
      </x:c>
      <x:c r="L3406" s="40" t="n">
        <x:f>ABS(K3406)</x:f>
        <x:v>0.20000000000000107</x:v>
      </x:c>
      <x:c r="M3406" s="41" t="str">
        <x:v>lstm-soil-v1</x:v>
      </x:c>
    </x:row>
    <x:row r="3407">
      <x:c r="A3407" s="38" t="str">
        <x:v>7月30日现场数据</x:v>
      </x:c>
      <x:c r="B3407" s="39" t="str">
        <x:v>2026-08-03T12:25:00</x:v>
      </x:c>
      <x:c r="C3407" s="39" t="str">
        <x:v>2026-08-03T13:25:00</x:v>
      </x:c>
      <x:c r="D3407" s="47" t="n">
        <x:v>60</x:v>
      </x:c>
      <x:c r="E3407" s="40" t="n">
        <x:v>13.6</x:v>
      </x:c>
      <x:c r="F3407" s="40" t="n">
        <x:v>13.868377685546875</x:v>
      </x:c>
      <x:c r="G3407" s="40" t="n">
        <x:v>13.6</x:v>
      </x:c>
      <x:c r="H3407" s="40" t="n">
        <x:f>F3407-E3407</x:f>
        <x:v>0.26837768554687536</x:v>
      </x:c>
      <x:c r="I3407" s="40" t="n">
        <x:f>ABS(H3407)</x:f>
        <x:v>0.26837768554687536</x:v>
      </x:c>
      <x:c r="J3407" s="40" t="n">
        <x:f>H3407^2</x:f>
        <x:v>0.07202658209949751</x:v>
      </x:c>
      <x:c r="K3407" s="40" t="n">
        <x:f>G3407-E3407</x:f>
        <x:v>0</x:v>
      </x:c>
      <x:c r="L3407" s="40" t="n">
        <x:f>ABS(K3407)</x:f>
        <x:v>0</x:v>
      </x:c>
      <x:c r="M3407" s="41" t="str">
        <x:v>lstm-soil-v1</x:v>
      </x:c>
    </x:row>
    <x:row r="3408">
      <x:c r="A3408" s="38" t="str">
        <x:v>7月30日现场数据</x:v>
      </x:c>
      <x:c r="B3408" s="39" t="str">
        <x:v>2026-08-03T12:30:00</x:v>
      </x:c>
      <x:c r="C3408" s="39" t="str">
        <x:v>2026-08-03T12:35:00</x:v>
      </x:c>
      <x:c r="D3408" s="47" t="n">
        <x:v>5</x:v>
      </x:c>
      <x:c r="E3408" s="40" t="n">
        <x:v>13.6</x:v>
      </x:c>
      <x:c r="F3408" s="40" t="n">
        <x:v>11.712364196777344</x:v>
      </x:c>
      <x:c r="G3408" s="40" t="n">
        <x:v>13.6</x:v>
      </x:c>
      <x:c r="H3408" s="40" t="n">
        <x:f>F3408-E3408</x:f>
        <x:v>-1.887635803222656</x:v>
      </x:c>
      <x:c r="I3408" s="40" t="n">
        <x:f>ABS(H3408)</x:f>
        <x:v>1.887635803222656</x:v>
      </x:c>
      <x:c r="J3408" s="40" t="n">
        <x:f>H3408^2</x:f>
        <x:v>3.5631689256080414</x:v>
      </x:c>
      <x:c r="K3408" s="40" t="n">
        <x:f>G3408-E3408</x:f>
        <x:v>0</x:v>
      </x:c>
      <x:c r="L3408" s="40" t="n">
        <x:f>ABS(K3408)</x:f>
        <x:v>0</x:v>
      </x:c>
      <x:c r="M3408" s="41" t="str">
        <x:v>lstm-soil-v1</x:v>
      </x:c>
    </x:row>
    <x:row r="3409">
      <x:c r="A3409" s="38" t="str">
        <x:v>7月30日现场数据</x:v>
      </x:c>
      <x:c r="B3409" s="39" t="str">
        <x:v>2026-08-03T12:30:00</x:v>
      </x:c>
      <x:c r="C3409" s="39" t="str">
        <x:v>2026-08-03T12:45:00</x:v>
      </x:c>
      <x:c r="D3409" s="47" t="n">
        <x:v>15</x:v>
      </x:c>
      <x:c r="E3409" s="40" t="n">
        <x:v>13.6</x:v>
      </x:c>
      <x:c r="F3409" s="40" t="n">
        <x:v>11.812320709228516</x:v>
      </x:c>
      <x:c r="G3409" s="40" t="n">
        <x:v>13.6</x:v>
      </x:c>
      <x:c r="H3409" s="40" t="n">
        <x:f>F3409-E3409</x:f>
        <x:v>-1.787679290771484</x:v>
      </x:c>
      <x:c r="I3409" s="40" t="n">
        <x:f>ABS(H3409)</x:f>
        <x:v>1.787679290771484</x:v>
      </x:c>
      <x:c r="J3409" s="40" t="n">
        <x:f>H3409^2</x:f>
        <x:v>3.1957972466532363</x:v>
      </x:c>
      <x:c r="K3409" s="40" t="n">
        <x:f>G3409-E3409</x:f>
        <x:v>0</x:v>
      </x:c>
      <x:c r="L3409" s="40" t="n">
        <x:f>ABS(K3409)</x:f>
        <x:v>0</x:v>
      </x:c>
      <x:c r="M3409" s="41" t="str">
        <x:v>lstm-soil-v1</x:v>
      </x:c>
    </x:row>
    <x:row r="3410">
      <x:c r="A3410" s="38" t="str">
        <x:v>7月30日现场数据</x:v>
      </x:c>
      <x:c r="B3410" s="39" t="str">
        <x:v>2026-08-03T12:30:00</x:v>
      </x:c>
      <x:c r="C3410" s="39" t="str">
        <x:v>2026-08-03T13:00:00</x:v>
      </x:c>
      <x:c r="D3410" s="47" t="n">
        <x:v>30</x:v>
      </x:c>
      <x:c r="E3410" s="40" t="n">
        <x:v>13.7</x:v>
      </x:c>
      <x:c r="F3410" s="40" t="n">
        <x:v>12.204643249511719</x:v>
      </x:c>
      <x:c r="G3410" s="40" t="n">
        <x:v>13.6</x:v>
      </x:c>
      <x:c r="H3410" s="40" t="n">
        <x:f>F3410-E3410</x:f>
        <x:v>-1.4953567504882805</x:v>
      </x:c>
      <x:c r="I3410" s="40" t="n">
        <x:f>ABS(H3410)</x:f>
        <x:v>1.4953567504882805</x:v>
      </x:c>
      <x:c r="J3410" s="40" t="n">
        <x:f>H3410^2</x:f>
        <x:v>2.2360918112308696</x:v>
      </x:c>
      <x:c r="K3410" s="40" t="n">
        <x:f>G3410-E3410</x:f>
        <x:v>-0.09999999999999964</x:v>
      </x:c>
      <x:c r="L3410" s="40" t="n">
        <x:f>ABS(K3410)</x:f>
        <x:v>0.09999999999999964</x:v>
      </x:c>
      <x:c r="M3410" s="41" t="str">
        <x:v>lstm-soil-v1</x:v>
      </x:c>
    </x:row>
    <x:row r="3411">
      <x:c r="A3411" s="38" t="str">
        <x:v>7月30日现场数据</x:v>
      </x:c>
      <x:c r="B3411" s="39" t="str">
        <x:v>2026-08-03T12:30:00</x:v>
      </x:c>
      <x:c r="C3411" s="39" t="str">
        <x:v>2026-08-03T13:30:00</x:v>
      </x:c>
      <x:c r="D3411" s="47" t="n">
        <x:v>60</x:v>
      </x:c>
      <x:c r="E3411" s="40" t="n">
        <x:v>13.6</x:v>
      </x:c>
      <x:c r="F3411" s="40" t="n">
        <x:v>13.874282836914062</x:v>
      </x:c>
      <x:c r="G3411" s="40" t="n">
        <x:v>13.6</x:v>
      </x:c>
      <x:c r="H3411" s="40" t="n">
        <x:f>F3411-E3411</x:f>
        <x:v>0.27428283691406286</x:v>
      </x:c>
      <x:c r="I3411" s="40" t="n">
        <x:f>ABS(H3411)</x:f>
        <x:v>0.27428283691406286</x:v>
      </x:c>
      <x:c r="J3411" s="40" t="n">
        <x:f>H3411^2</x:f>
        <x:v>0.0752310746256264</x:v>
      </x:c>
      <x:c r="K3411" s="40" t="n">
        <x:f>G3411-E3411</x:f>
        <x:v>0</x:v>
      </x:c>
      <x:c r="L3411" s="40" t="n">
        <x:f>ABS(K3411)</x:f>
        <x:v>0</x:v>
      </x:c>
      <x:c r="M3411" s="41" t="str">
        <x:v>lstm-soil-v1</x:v>
      </x:c>
    </x:row>
    <x:row r="3412">
      <x:c r="A3412" s="38" t="str">
        <x:v>7月30日现场数据</x:v>
      </x:c>
      <x:c r="B3412" s="39" t="str">
        <x:v>2026-08-03T12:35:00</x:v>
      </x:c>
      <x:c r="C3412" s="39" t="str">
        <x:v>2026-08-03T12:40:00</x:v>
      </x:c>
      <x:c r="D3412" s="47" t="n">
        <x:v>5</x:v>
      </x:c>
      <x:c r="E3412" s="40" t="n">
        <x:v>13.6</x:v>
      </x:c>
      <x:c r="F3412" s="40" t="n">
        <x:v>11.714195251464844</x:v>
      </x:c>
      <x:c r="G3412" s="40" t="n">
        <x:v>13.6</x:v>
      </x:c>
      <x:c r="H3412" s="40" t="n">
        <x:f>F3412-E3412</x:f>
        <x:v>-1.885804748535156</x:v>
      </x:c>
      <x:c r="I3412" s="40" t="n">
        <x:f>ABS(H3412)</x:f>
        <x:v>1.885804748535156</x:v>
      </x:c>
      <x:c r="J3412" s="40" t="n">
        <x:f>H3412^2</x:f>
        <x:v>3.5562595495977427</x:v>
      </x:c>
      <x:c r="K3412" s="40" t="n">
        <x:f>G3412-E3412</x:f>
        <x:v>0</x:v>
      </x:c>
      <x:c r="L3412" s="40" t="n">
        <x:f>ABS(K3412)</x:f>
        <x:v>0</x:v>
      </x:c>
      <x:c r="M3412" s="41" t="str">
        <x:v>lstm-soil-v1</x:v>
      </x:c>
    </x:row>
    <x:row r="3413">
      <x:c r="A3413" s="38" t="str">
        <x:v>7月30日现场数据</x:v>
      </x:c>
      <x:c r="B3413" s="39" t="str">
        <x:v>2026-08-03T12:35:00</x:v>
      </x:c>
      <x:c r="C3413" s="39" t="str">
        <x:v>2026-08-03T12:50:00</x:v>
      </x:c>
      <x:c r="D3413" s="47" t="n">
        <x:v>15</x:v>
      </x:c>
      <x:c r="E3413" s="40" t="n">
        <x:v>13.5</x:v>
      </x:c>
      <x:c r="F3413" s="40" t="n">
        <x:v>11.808414459228516</x:v>
      </x:c>
      <x:c r="G3413" s="40" t="n">
        <x:v>13.6</x:v>
      </x:c>
      <x:c r="H3413" s="40" t="n">
        <x:f>F3413-E3413</x:f>
        <x:v>-1.6915855407714844</x:v>
      </x:c>
      <x:c r="I3413" s="40" t="n">
        <x:f>ABS(H3413)</x:f>
        <x:v>1.6915855407714844</x:v>
      </x:c>
      <x:c r="J3413" s="40" t="n">
        <x:f>H3413^2</x:f>
        <x:v>2.8614616417471552</x:v>
      </x:c>
      <x:c r="K3413" s="40" t="n">
        <x:f>G3413-E3413</x:f>
        <x:v>0.09999999999999964</x:v>
      </x:c>
      <x:c r="L3413" s="40" t="n">
        <x:f>ABS(K3413)</x:f>
        <x:v>0.09999999999999964</x:v>
      </x:c>
      <x:c r="M3413" s="41" t="str">
        <x:v>lstm-soil-v1</x:v>
      </x:c>
    </x:row>
    <x:row r="3414">
      <x:c r="A3414" s="38" t="str">
        <x:v>7月30日现场数据</x:v>
      </x:c>
      <x:c r="B3414" s="39" t="str">
        <x:v>2026-08-03T12:35:00</x:v>
      </x:c>
      <x:c r="C3414" s="39" t="str">
        <x:v>2026-08-03T13:05:00</x:v>
      </x:c>
      <x:c r="D3414" s="47" t="n">
        <x:v>30</x:v>
      </x:c>
      <x:c r="E3414" s="40" t="n">
        <x:v>13.7</x:v>
      </x:c>
      <x:c r="F3414" s="40" t="n">
        <x:v>12.209598541259766</x:v>
      </x:c>
      <x:c r="G3414" s="40" t="n">
        <x:v>13.6</x:v>
      </x:c>
      <x:c r="H3414" s="40" t="n">
        <x:f>F3414-E3414</x:f>
        <x:v>-1.4904014587402337</x:v>
      </x:c>
      <x:c r="I3414" s="40" t="n">
        <x:f>ABS(H3414)</x:f>
        <x:v>1.4904014587402337</x:v>
      </x:c>
      <x:c r="J3414" s="40" t="n">
        <x:f>H3414^2</x:f>
        <x:v>2.2212965082150165</x:v>
      </x:c>
      <x:c r="K3414" s="40" t="n">
        <x:f>G3414-E3414</x:f>
        <x:v>-0.09999999999999964</x:v>
      </x:c>
      <x:c r="L3414" s="40" t="n">
        <x:f>ABS(K3414)</x:f>
        <x:v>0.09999999999999964</x:v>
      </x:c>
      <x:c r="M3414" s="41" t="str">
        <x:v>lstm-soil-v1</x:v>
      </x:c>
    </x:row>
    <x:row r="3415">
      <x:c r="A3415" s="38" t="str">
        <x:v>7月30日现场数据</x:v>
      </x:c>
      <x:c r="B3415" s="39" t="str">
        <x:v>2026-08-03T12:35:00</x:v>
      </x:c>
      <x:c r="C3415" s="39" t="str">
        <x:v>2026-08-03T13:35:00</x:v>
      </x:c>
      <x:c r="D3415" s="47" t="n">
        <x:v>60</x:v>
      </x:c>
      <x:c r="E3415" s="40" t="n">
        <x:v>13.6</x:v>
      </x:c>
      <x:c r="F3415" s="40" t="n">
        <x:v>13.882137298583984</x:v>
      </x:c>
      <x:c r="G3415" s="40" t="n">
        <x:v>13.6</x:v>
      </x:c>
      <x:c r="H3415" s="40" t="n">
        <x:f>F3415-E3415</x:f>
        <x:v>0.28213729858398473</x:v>
      </x:c>
      <x:c r="I3415" s="40" t="n">
        <x:f>ABS(H3415)</x:f>
        <x:v>0.28213729858398473</x:v>
      </x:c>
      <x:c r="J3415" s="40" t="n">
        <x:f>H3415^2</x:f>
        <x:v>0.07960145525226855</x:v>
      </x:c>
      <x:c r="K3415" s="40" t="n">
        <x:f>G3415-E3415</x:f>
        <x:v>0</x:v>
      </x:c>
      <x:c r="L3415" s="40" t="n">
        <x:f>ABS(K3415)</x:f>
        <x:v>0</x:v>
      </x:c>
      <x:c r="M3415" s="41" t="str">
        <x:v>lstm-soil-v1</x:v>
      </x:c>
    </x:row>
    <x:row r="3416">
      <x:c r="A3416" s="38" t="str">
        <x:v>7月30日现场数据</x:v>
      </x:c>
      <x:c r="B3416" s="39" t="str">
        <x:v>2026-08-03T12:40:00</x:v>
      </x:c>
      <x:c r="C3416" s="39" t="str">
        <x:v>2026-08-03T12:45:00</x:v>
      </x:c>
      <x:c r="D3416" s="47" t="n">
        <x:v>5</x:v>
      </x:c>
      <x:c r="E3416" s="40" t="n">
        <x:v>13.6</x:v>
      </x:c>
      <x:c r="F3416" s="40" t="n">
        <x:v>11.716293334960938</x:v>
      </x:c>
      <x:c r="G3416" s="40" t="n">
        <x:v>13.6</x:v>
      </x:c>
      <x:c r="H3416" s="40" t="n">
        <x:f>F3416-E3416</x:f>
        <x:v>-1.8837066650390621</x:v>
      </x:c>
      <x:c r="I3416" s="40" t="n">
        <x:f>ABS(H3416)</x:f>
        <x:v>1.8837066650390621</x:v>
      </x:c>
      <x:c r="J3416" s="40" t="n">
        <x:f>H3416^2</x:f>
        <x:v>3.5483507999125856</x:v>
      </x:c>
      <x:c r="K3416" s="40" t="n">
        <x:f>G3416-E3416</x:f>
        <x:v>0</x:v>
      </x:c>
      <x:c r="L3416" s="40" t="n">
        <x:f>ABS(K3416)</x:f>
        <x:v>0</x:v>
      </x:c>
      <x:c r="M3416" s="41" t="str">
        <x:v>lstm-soil-v1</x:v>
      </x:c>
    </x:row>
    <x:row r="3417">
      <x:c r="A3417" s="38" t="str">
        <x:v>7月30日现场数据</x:v>
      </x:c>
      <x:c r="B3417" s="39" t="str">
        <x:v>2026-08-03T12:40:00</x:v>
      </x:c>
      <x:c r="C3417" s="39" t="str">
        <x:v>2026-08-03T12:55:00</x:v>
      </x:c>
      <x:c r="D3417" s="47" t="n">
        <x:v>15</x:v>
      </x:c>
      <x:c r="E3417" s="40" t="n">
        <x:v>13.8</x:v>
      </x:c>
      <x:c r="F3417" s="40" t="n">
        <x:v>11.806194305419922</x:v>
      </x:c>
      <x:c r="G3417" s="40" t="n">
        <x:v>13.6</x:v>
      </x:c>
      <x:c r="H3417" s="40" t="n">
        <x:f>F3417-E3417</x:f>
        <x:v>-1.9938056945800788</x:v>
      </x:c>
      <x:c r="I3417" s="40" t="n">
        <x:f>ABS(H3417)</x:f>
        <x:v>1.9938056945800788</x:v>
      </x:c>
      <x:c r="J3417" s="40" t="n">
        <x:f>H3417^2</x:f>
        <x:v>3.9752611477399507</x:v>
      </x:c>
      <x:c r="K3417" s="40" t="n">
        <x:f>G3417-E3417</x:f>
        <x:v>-0.20000000000000107</x:v>
      </x:c>
      <x:c r="L3417" s="40" t="n">
        <x:f>ABS(K3417)</x:f>
        <x:v>0.20000000000000107</x:v>
      </x:c>
      <x:c r="M3417" s="41" t="str">
        <x:v>lstm-soil-v1</x:v>
      </x:c>
    </x:row>
    <x:row r="3418">
      <x:c r="A3418" s="38" t="str">
        <x:v>7月30日现场数据</x:v>
      </x:c>
      <x:c r="B3418" s="39" t="str">
        <x:v>2026-08-03T12:40:00</x:v>
      </x:c>
      <x:c r="C3418" s="39" t="str">
        <x:v>2026-08-03T13:10:00</x:v>
      </x:c>
      <x:c r="D3418" s="47" t="n">
        <x:v>30</x:v>
      </x:c>
      <x:c r="E3418" s="40" t="n">
        <x:v>13.7</x:v>
      </x:c>
      <x:c r="F3418" s="40" t="n">
        <x:v>12.21493148803711</x:v>
      </x:c>
      <x:c r="G3418" s="40" t="n">
        <x:v>13.6</x:v>
      </x:c>
      <x:c r="H3418" s="40" t="n">
        <x:f>F3418-E3418</x:f>
        <x:v>-1.48506851196289</x:v>
      </x:c>
      <x:c r="I3418" s="40" t="n">
        <x:f>ABS(H3418)</x:f>
        <x:v>1.48506851196289</x:v>
      </x:c>
      <x:c r="J3418" s="40" t="n">
        <x:f>H3418^2</x:f>
        <x:v>2.2054284852236723</x:v>
      </x:c>
      <x:c r="K3418" s="40" t="n">
        <x:f>G3418-E3418</x:f>
        <x:v>-0.09999999999999964</x:v>
      </x:c>
      <x:c r="L3418" s="40" t="n">
        <x:f>ABS(K3418)</x:f>
        <x:v>0.09999999999999964</x:v>
      </x:c>
      <x:c r="M3418" s="41" t="str">
        <x:v>lstm-soil-v1</x:v>
      </x:c>
    </x:row>
    <x:row r="3419">
      <x:c r="A3419" s="38" t="str">
        <x:v>7月30日现场数据</x:v>
      </x:c>
      <x:c r="B3419" s="39" t="str">
        <x:v>2026-08-03T12:40:00</x:v>
      </x:c>
      <x:c r="C3419" s="39" t="str">
        <x:v>2026-08-03T13:40:00</x:v>
      </x:c>
      <x:c r="D3419" s="47" t="n">
        <x:v>60</x:v>
      </x:c>
      <x:c r="E3419" s="40" t="n">
        <x:v>13.7</x:v>
      </x:c>
      <x:c r="F3419" s="40" t="n">
        <x:v>13.889820098876953</x:v>
      </x:c>
      <x:c r="G3419" s="40" t="n">
        <x:v>13.6</x:v>
      </x:c>
      <x:c r="H3419" s="40" t="n">
        <x:f>F3419-E3419</x:f>
        <x:v>0.18982009887695384</x:v>
      </x:c>
      <x:c r="I3419" s="40" t="n">
        <x:f>ABS(H3419)</x:f>
        <x:v>0.18982009887695384</x:v>
      </x:c>
      <x:c r="J3419" s="40" t="n">
        <x:f>H3419^2</x:f>
        <x:v>0.03603166993765653</x:v>
      </x:c>
      <x:c r="K3419" s="40" t="n">
        <x:f>G3419-E3419</x:f>
        <x:v>-0.09999999999999964</x:v>
      </x:c>
      <x:c r="L3419" s="40" t="n">
        <x:f>ABS(K3419)</x:f>
        <x:v>0.09999999999999964</x:v>
      </x:c>
      <x:c r="M3419" s="41" t="str">
        <x:v>lstm-soil-v1</x:v>
      </x:c>
    </x:row>
    <x:row r="3420">
      <x:c r="A3420" s="38" t="str">
        <x:v>7月30日现场数据</x:v>
      </x:c>
      <x:c r="B3420" s="39" t="str">
        <x:v>2026-08-03T12:45:00</x:v>
      </x:c>
      <x:c r="C3420" s="39" t="str">
        <x:v>2026-08-03T12:50:00</x:v>
      </x:c>
      <x:c r="D3420" s="47" t="n">
        <x:v>5</x:v>
      </x:c>
      <x:c r="E3420" s="40" t="n">
        <x:v>13.5</x:v>
      </x:c>
      <x:c r="F3420" s="40" t="n">
        <x:v>11.718421936035156</x:v>
      </x:c>
      <x:c r="G3420" s="40" t="n">
        <x:v>13.6</x:v>
      </x:c>
      <x:c r="H3420" s="40" t="n">
        <x:f>F3420-E3420</x:f>
        <x:v>-1.7815780639648438</x:v>
      </x:c>
      <x:c r="I3420" s="40" t="n">
        <x:f>ABS(H3420)</x:f>
        <x:v>1.7815780639648438</x:v>
      </x:c>
      <x:c r="J3420" s="40" t="n">
        <x:f>H3420^2</x:f>
        <x:v>3.174020398000721</x:v>
      </x:c>
      <x:c r="K3420" s="40" t="n">
        <x:f>G3420-E3420</x:f>
        <x:v>0.09999999999999964</x:v>
      </x:c>
      <x:c r="L3420" s="40" t="n">
        <x:f>ABS(K3420)</x:f>
        <x:v>0.09999999999999964</x:v>
      </x:c>
      <x:c r="M3420" s="41" t="str">
        <x:v>lstm-soil-v1</x:v>
      </x:c>
    </x:row>
    <x:row r="3421">
      <x:c r="A3421" s="38" t="str">
        <x:v>7月30日现场数据</x:v>
      </x:c>
      <x:c r="B3421" s="39" t="str">
        <x:v>2026-08-03T12:45:00</x:v>
      </x:c>
      <x:c r="C3421" s="39" t="str">
        <x:v>2026-08-03T13:00:00</x:v>
      </x:c>
      <x:c r="D3421" s="47" t="n">
        <x:v>15</x:v>
      </x:c>
      <x:c r="E3421" s="40" t="n">
        <x:v>13.7</x:v>
      </x:c>
      <x:c r="F3421" s="40" t="n">
        <x:v>11.806327819824219</x:v>
      </x:c>
      <x:c r="G3421" s="40" t="n">
        <x:v>13.6</x:v>
      </x:c>
      <x:c r="H3421" s="40" t="n">
        <x:f>F3421-E3421</x:f>
        <x:v>-1.8936721801757805</x:v>
      </x:c>
      <x:c r="I3421" s="40" t="n">
        <x:f>ABS(H3421)</x:f>
        <x:v>1.8936721801757805</x:v>
      </x:c>
      <x:c r="J3421" s="40" t="n">
        <x:f>H3421^2</x:f>
        <x:v>3.585994325971694</x:v>
      </x:c>
      <x:c r="K3421" s="40" t="n">
        <x:f>G3421-E3421</x:f>
        <x:v>-0.09999999999999964</x:v>
      </x:c>
      <x:c r="L3421" s="40" t="n">
        <x:f>ABS(K3421)</x:f>
        <x:v>0.09999999999999964</x:v>
      </x:c>
      <x:c r="M3421" s="41" t="str">
        <x:v>lstm-soil-v1</x:v>
      </x:c>
    </x:row>
    <x:row r="3422">
      <x:c r="A3422" s="38" t="str">
        <x:v>7月30日现场数据</x:v>
      </x:c>
      <x:c r="B3422" s="39" t="str">
        <x:v>2026-08-03T12:45:00</x:v>
      </x:c>
      <x:c r="C3422" s="39" t="str">
        <x:v>2026-08-03T13:15:00</x:v>
      </x:c>
      <x:c r="D3422" s="47" t="n">
        <x:v>30</x:v>
      </x:c>
      <x:c r="E3422" s="40" t="n">
        <x:v>13.7</x:v>
      </x:c>
      <x:c r="F3422" s="40" t="n">
        <x:v>12.220829010009766</x:v>
      </x:c>
      <x:c r="G3422" s="40" t="n">
        <x:v>13.6</x:v>
      </x:c>
      <x:c r="H3422" s="40" t="n">
        <x:f>F3422-E3422</x:f>
        <x:v>-1.4791709899902337</x:v>
      </x:c>
      <x:c r="I3422" s="40" t="n">
        <x:f>ABS(H3422)</x:f>
        <x:v>1.4791709899902337</x:v>
      </x:c>
      <x:c r="J3422" s="40" t="n">
        <x:f>H3422^2</x:f>
        <x:v>2.187946817628688</x:v>
      </x:c>
      <x:c r="K3422" s="40" t="n">
        <x:f>G3422-E3422</x:f>
        <x:v>-0.09999999999999964</x:v>
      </x:c>
      <x:c r="L3422" s="40" t="n">
        <x:f>ABS(K3422)</x:f>
        <x:v>0.09999999999999964</x:v>
      </x:c>
      <x:c r="M3422" s="41" t="str">
        <x:v>lstm-soil-v1</x:v>
      </x:c>
    </x:row>
    <x:row r="3423">
      <x:c r="A3423" s="38" t="str">
        <x:v>7月30日现场数据</x:v>
      </x:c>
      <x:c r="B3423" s="39" t="str">
        <x:v>2026-08-03T12:45:00</x:v>
      </x:c>
      <x:c r="C3423" s="39" t="str">
        <x:v>2026-08-03T13:45:00</x:v>
      </x:c>
      <x:c r="D3423" s="47" t="n">
        <x:v>60</x:v>
      </x:c>
      <x:c r="E3423" s="40" t="n">
        <x:v>13.6</x:v>
      </x:c>
      <x:c r="F3423" s="40" t="n">
        <x:v>13.899028778076172</x:v>
      </x:c>
      <x:c r="G3423" s="40" t="n">
        <x:v>13.6</x:v>
      </x:c>
      <x:c r="H3423" s="40" t="n">
        <x:f>F3423-E3423</x:f>
        <x:v>0.29902877807617223</x:v>
      </x:c>
      <x:c r="I3423" s="40" t="n">
        <x:f>ABS(H3423)</x:f>
        <x:v>0.29902877807617223</x:v>
      </x:c>
      <x:c r="J3423" s="40" t="n">
        <x:f>H3423^2</x:f>
        <x:v>0.08941821011772866</x:v>
      </x:c>
      <x:c r="K3423" s="40" t="n">
        <x:f>G3423-E3423</x:f>
        <x:v>0</x:v>
      </x:c>
      <x:c r="L3423" s="40" t="n">
        <x:f>ABS(K3423)</x:f>
        <x:v>0</x:v>
      </x:c>
      <x:c r="M3423" s="41" t="str">
        <x:v>lstm-soil-v1</x:v>
      </x:c>
    </x:row>
    <x:row r="3424">
      <x:c r="A3424" s="38" t="str">
        <x:v>7月30日现场数据</x:v>
      </x:c>
      <x:c r="B3424" s="39" t="str">
        <x:v>2026-08-03T12:50:00</x:v>
      </x:c>
      <x:c r="C3424" s="39" t="str">
        <x:v>2026-08-03T12:55:00</x:v>
      </x:c>
      <x:c r="D3424" s="47" t="n">
        <x:v>5</x:v>
      </x:c>
      <x:c r="E3424" s="40" t="n">
        <x:v>13.8</x:v>
      </x:c>
      <x:c r="F3424" s="40" t="n">
        <x:v>11.6102294921875</x:v>
      </x:c>
      <x:c r="G3424" s="40" t="n">
        <x:v>13.5</x:v>
      </x:c>
      <x:c r="H3424" s="40" t="n">
        <x:f>F3424-E3424</x:f>
        <x:v>-2.1897705078125007</x:v>
      </x:c>
      <x:c r="I3424" s="40" t="n">
        <x:f>ABS(H3424)</x:f>
        <x:v>2.1897705078125007</x:v>
      </x:c>
      <x:c r="J3424" s="40" t="n">
        <x:f>H3424^2</x:f>
        <x:v>4.795094876885417</x:v>
      </x:c>
      <x:c r="K3424" s="40" t="n">
        <x:f>G3424-E3424</x:f>
        <x:v>-0.3000000000000007</x:v>
      </x:c>
      <x:c r="L3424" s="40" t="n">
        <x:f>ABS(K3424)</x:f>
        <x:v>0.3000000000000007</x:v>
      </x:c>
      <x:c r="M3424" s="41" t="str">
        <x:v>lstm-soil-v1</x:v>
      </x:c>
    </x:row>
    <x:row r="3425">
      <x:c r="A3425" s="38" t="str">
        <x:v>7月30日现场数据</x:v>
      </x:c>
      <x:c r="B3425" s="39" t="str">
        <x:v>2026-08-03T12:50:00</x:v>
      </x:c>
      <x:c r="C3425" s="39" t="str">
        <x:v>2026-08-03T13:05:00</x:v>
      </x:c>
      <x:c r="D3425" s="47" t="n">
        <x:v>15</x:v>
      </x:c>
      <x:c r="E3425" s="40" t="n">
        <x:v>13.7</x:v>
      </x:c>
      <x:c r="F3425" s="40" t="n">
        <x:v>11.700637817382812</x:v>
      </x:c>
      <x:c r="G3425" s="40" t="n">
        <x:v>13.5</x:v>
      </x:c>
      <x:c r="H3425" s="40" t="n">
        <x:f>F3425-E3425</x:f>
        <x:v>-1.9993621826171868</x:v>
      </x:c>
      <x:c r="I3425" s="40" t="n">
        <x:f>ABS(H3425)</x:f>
        <x:v>1.9993621826171868</x:v>
      </x:c>
      <x:c r="J3425" s="40" t="n">
        <x:f>H3425^2</x:f>
        <x:v>3.997449137279761</x:v>
      </x:c>
      <x:c r="K3425" s="40" t="n">
        <x:f>G3425-E3425</x:f>
        <x:v>-0.1999999999999993</x:v>
      </x:c>
      <x:c r="L3425" s="40" t="n">
        <x:f>ABS(K3425)</x:f>
        <x:v>0.1999999999999993</x:v>
      </x:c>
      <x:c r="M3425" s="41" t="str">
        <x:v>lstm-soil-v1</x:v>
      </x:c>
    </x:row>
    <x:row r="3426">
      <x:c r="A3426" s="38" t="str">
        <x:v>7月30日现场数据</x:v>
      </x:c>
      <x:c r="B3426" s="39" t="str">
        <x:v>2026-08-03T12:50:00</x:v>
      </x:c>
      <x:c r="C3426" s="39" t="str">
        <x:v>2026-08-03T13:20:00</x:v>
      </x:c>
      <x:c r="D3426" s="47" t="n">
        <x:v>30</x:v>
      </x:c>
      <x:c r="E3426" s="40" t="n">
        <x:v>13.6</x:v>
      </x:c>
      <x:c r="F3426" s="40" t="n">
        <x:v>12.116092681884766</x:v>
      </x:c>
      <x:c r="G3426" s="40" t="n">
        <x:v>13.5</x:v>
      </x:c>
      <x:c r="H3426" s="40" t="n">
        <x:f>F3426-E3426</x:f>
        <x:v>-1.483907318115234</x:v>
      </x:c>
      <x:c r="I3426" s="40" t="n">
        <x:f>ABS(H3426)</x:f>
        <x:v>1.483907318115234</x:v>
      </x:c>
      <x:c r="J3426" s="40" t="n">
        <x:f>H3426^2</x:f>
        <x:v>2.201980928755946</x:v>
      </x:c>
      <x:c r="K3426" s="40" t="n">
        <x:f>G3426-E3426</x:f>
        <x:v>-0.09999999999999964</x:v>
      </x:c>
      <x:c r="L3426" s="40" t="n">
        <x:f>ABS(K3426)</x:f>
        <x:v>0.09999999999999964</x:v>
      </x:c>
      <x:c r="M3426" s="41" t="str">
        <x:v>lstm-soil-v1</x:v>
      </x:c>
    </x:row>
    <x:row r="3427">
      <x:c r="A3427" s="38" t="str">
        <x:v>7月30日现场数据</x:v>
      </x:c>
      <x:c r="B3427" s="39" t="str">
        <x:v>2026-08-03T12:50:00</x:v>
      </x:c>
      <x:c r="C3427" s="39" t="str">
        <x:v>2026-08-03T13:50:00</x:v>
      </x:c>
      <x:c r="D3427" s="47" t="n">
        <x:v>60</x:v>
      </x:c>
      <x:c r="E3427" s="40" t="n">
        <x:v>13.7</x:v>
      </x:c>
      <x:c r="F3427" s="40" t="n">
        <x:v>13.797027587890625</x:v>
      </x:c>
      <x:c r="G3427" s="40" t="n">
        <x:v>13.5</x:v>
      </x:c>
      <x:c r="H3427" s="40" t="n">
        <x:f>F3427-E3427</x:f>
        <x:v>0.09702758789062571</x:v>
      </x:c>
      <x:c r="I3427" s="40" t="n">
        <x:f>ABS(H3427)</x:f>
        <x:v>0.09702758789062571</x:v>
      </x:c>
      <x:c r="J3427" s="40" t="n">
        <x:f>H3427^2</x:f>
        <x:v>0.009414352811873097</x:v>
      </x:c>
      <x:c r="K3427" s="40" t="n">
        <x:f>G3427-E3427</x:f>
        <x:v>-0.1999999999999993</x:v>
      </x:c>
      <x:c r="L3427" s="40" t="n">
        <x:f>ABS(K3427)</x:f>
        <x:v>0.1999999999999993</x:v>
      </x:c>
      <x:c r="M3427" s="41" t="str">
        <x:v>lstm-soil-v1</x:v>
      </x:c>
    </x:row>
    <x:row r="3428">
      <x:c r="A3428" s="38" t="str">
        <x:v>7月30日现场数据</x:v>
      </x:c>
      <x:c r="B3428" s="39" t="str">
        <x:v>2026-08-03T12:55:00</x:v>
      </x:c>
      <x:c r="C3428" s="39" t="str">
        <x:v>2026-08-03T13:00:00</x:v>
      </x:c>
      <x:c r="D3428" s="47" t="n">
        <x:v>5</x:v>
      </x:c>
      <x:c r="E3428" s="40" t="n">
        <x:v>13.7</x:v>
      </x:c>
      <x:c r="F3428" s="40" t="n">
        <x:v>11.94610595703125</x:v>
      </x:c>
      <x:c r="G3428" s="40" t="n">
        <x:v>13.8</x:v>
      </x:c>
      <x:c r="H3428" s="40" t="n">
        <x:f>F3428-E3428</x:f>
        <x:v>-1.7538940429687493</x:v>
      </x:c>
      <x:c r="I3428" s="40" t="n">
        <x:f>ABS(H3428)</x:f>
        <x:v>1.7538940429687493</x:v>
      </x:c>
      <x:c r="J3428" s="40" t="n">
        <x:f>H3428^2</x:f>
        <x:v>3.076144313961265</x:v>
      </x:c>
      <x:c r="K3428" s="40" t="n">
        <x:f>G3428-E3428</x:f>
        <x:v>0.10000000000000142</x:v>
      </x:c>
      <x:c r="L3428" s="40" t="n">
        <x:f>ABS(K3428)</x:f>
        <x:v>0.10000000000000142</x:v>
      </x:c>
      <x:c r="M3428" s="41" t="str">
        <x:v>lstm-soil-v1</x:v>
      </x:c>
    </x:row>
    <x:row r="3429">
      <x:c r="A3429" s="38" t="str">
        <x:v>7月30日现场数据</x:v>
      </x:c>
      <x:c r="B3429" s="39" t="str">
        <x:v>2026-08-03T12:55:00</x:v>
      </x:c>
      <x:c r="C3429" s="39" t="str">
        <x:v>2026-08-03T13:10:00</x:v>
      </x:c>
      <x:c r="D3429" s="47" t="n">
        <x:v>15</x:v>
      </x:c>
      <x:c r="E3429" s="40" t="n">
        <x:v>13.7</x:v>
      </x:c>
      <x:c r="F3429" s="40" t="n">
        <x:v>12.029911041259766</x:v>
      </x:c>
      <x:c r="G3429" s="40" t="n">
        <x:v>13.8</x:v>
      </x:c>
      <x:c r="H3429" s="40" t="n">
        <x:f>F3429-E3429</x:f>
        <x:v>-1.6700889587402337</x:v>
      </x:c>
      <x:c r="I3429" s="40" t="n">
        <x:f>ABS(H3429)</x:f>
        <x:v>1.6700889587402337</x:v>
      </x:c>
      <x:c r="J3429" s="40" t="n">
        <x:f>H3429^2</x:f>
        <x:v>2.789197130106038</x:v>
      </x:c>
      <x:c r="K3429" s="40" t="n">
        <x:f>G3429-E3429</x:f>
        <x:v>0.10000000000000142</x:v>
      </x:c>
      <x:c r="L3429" s="40" t="n">
        <x:f>ABS(K3429)</x:f>
        <x:v>0.10000000000000142</x:v>
      </x:c>
      <x:c r="M3429" s="41" t="str">
        <x:v>lstm-soil-v1</x:v>
      </x:c>
    </x:row>
    <x:row r="3430">
      <x:c r="A3430" s="38" t="str">
        <x:v>7月30日现场数据</x:v>
      </x:c>
      <x:c r="B3430" s="39" t="str">
        <x:v>2026-08-03T12:55:00</x:v>
      </x:c>
      <x:c r="C3430" s="39" t="str">
        <x:v>2026-08-03T13:25:00</x:v>
      </x:c>
      <x:c r="D3430" s="47" t="n">
        <x:v>30</x:v>
      </x:c>
      <x:c r="E3430" s="40" t="n">
        <x:v>13.6</x:v>
      </x:c>
      <x:c r="F3430" s="40" t="n">
        <x:v>12.455646514892578</x:v>
      </x:c>
      <x:c r="G3430" s="40" t="n">
        <x:v>13.8</x:v>
      </x:c>
      <x:c r="H3430" s="40" t="n">
        <x:f>F3430-E3430</x:f>
        <x:v>-1.1443534851074215</x:v>
      </x:c>
      <x:c r="I3430" s="40" t="n">
        <x:f>ABS(H3430)</x:f>
        <x:v>1.1443534851074215</x:v>
      </x:c>
      <x:c r="J3430" s="40" t="n">
        <x:f>H3430^2</x:f>
        <x:v>1.3095448988775016</x:v>
      </x:c>
      <x:c r="K3430" s="40" t="n">
        <x:f>G3430-E3430</x:f>
        <x:v>0.20000000000000107</x:v>
      </x:c>
      <x:c r="L3430" s="40" t="n">
        <x:f>ABS(K3430)</x:f>
        <x:v>0.20000000000000107</x:v>
      </x:c>
      <x:c r="M3430" s="41" t="str">
        <x:v>lstm-soil-v1</x:v>
      </x:c>
    </x:row>
    <x:row r="3431">
      <x:c r="A3431" s="38" t="str">
        <x:v>7月30日现场数据</x:v>
      </x:c>
      <x:c r="B3431" s="39" t="str">
        <x:v>2026-08-03T12:55:00</x:v>
      </x:c>
      <x:c r="C3431" s="39" t="str">
        <x:v>2026-08-03T13:55:00</x:v>
      </x:c>
      <x:c r="D3431" s="47" t="n">
        <x:v>60</x:v>
      </x:c>
      <x:c r="E3431" s="40" t="n">
        <x:v>13.6</x:v>
      </x:c>
      <x:c r="F3431" s="40" t="n">
        <x:v>14.147735595703125</x:v>
      </x:c>
      <x:c r="G3431" s="40" t="n">
        <x:v>13.8</x:v>
      </x:c>
      <x:c r="H3431" s="40" t="n">
        <x:f>F3431-E3431</x:f>
        <x:v>0.5477355957031254</x:v>
      </x:c>
      <x:c r="I3431" s="40" t="n">
        <x:f>ABS(H3431)</x:f>
        <x:v>0.5477355957031254</x:v>
      </x:c>
      <x:c r="J3431" s="40" t="n">
        <x:f>H3431^2</x:f>
        <x:v>0.3000142828002576</x:v>
      </x:c>
      <x:c r="K3431" s="40" t="n">
        <x:f>G3431-E3431</x:f>
        <x:v>0.20000000000000107</x:v>
      </x:c>
      <x:c r="L3431" s="40" t="n">
        <x:f>ABS(K3431)</x:f>
        <x:v>0.20000000000000107</x:v>
      </x:c>
      <x:c r="M3431" s="41" t="str">
        <x:v>lstm-soil-v1</x:v>
      </x:c>
    </x:row>
    <x:row r="3432">
      <x:c r="A3432" s="38" t="str">
        <x:v>7月30日现场数据</x:v>
      </x:c>
      <x:c r="B3432" s="39" t="str">
        <x:v>2026-08-03T13:00:00</x:v>
      </x:c>
      <x:c r="C3432" s="39" t="str">
        <x:v>2026-08-03T13:05:00</x:v>
      </x:c>
      <x:c r="D3432" s="47" t="n">
        <x:v>5</x:v>
      </x:c>
      <x:c r="E3432" s="40" t="n">
        <x:v>13.7</x:v>
      </x:c>
      <x:c r="F3432" s="40" t="n">
        <x:v>11.839298248291016</x:v>
      </x:c>
      <x:c r="G3432" s="40" t="n">
        <x:v>13.7</x:v>
      </x:c>
      <x:c r="H3432" s="40" t="n">
        <x:f>F3432-E3432</x:f>
        <x:v>-1.8607017517089837</x:v>
      </x:c>
      <x:c r="I3432" s="40" t="n">
        <x:f>ABS(H3432)</x:f>
        <x:v>1.8607017517089837</x:v>
      </x:c>
      <x:c r="J3432" s="40" t="n">
        <x:f>H3432^2</x:f>
        <x:v>3.46221100881288</x:v>
      </x:c>
      <x:c r="K3432" s="40" t="n">
        <x:f>G3432-E3432</x:f>
        <x:v>0</x:v>
      </x:c>
      <x:c r="L3432" s="40" t="n">
        <x:f>ABS(K3432)</x:f>
        <x:v>0</x:v>
      </x:c>
      <x:c r="M3432" s="41" t="str">
        <x:v>lstm-soil-v1</x:v>
      </x:c>
    </x:row>
    <x:row r="3433">
      <x:c r="A3433" s="38" t="str">
        <x:v>7月30日现场数据</x:v>
      </x:c>
      <x:c r="B3433" s="39" t="str">
        <x:v>2026-08-03T13:00:00</x:v>
      </x:c>
      <x:c r="C3433" s="39" t="str">
        <x:v>2026-08-03T13:15:00</x:v>
      </x:c>
      <x:c r="D3433" s="47" t="n">
        <x:v>15</x:v>
      </x:c>
      <x:c r="E3433" s="40" t="n">
        <x:v>13.7</x:v>
      </x:c>
      <x:c r="F3433" s="40" t="n">
        <x:v>11.925228118896484</x:v>
      </x:c>
      <x:c r="G3433" s="40" t="n">
        <x:v>13.7</x:v>
      </x:c>
      <x:c r="H3433" s="40" t="n">
        <x:f>F3433-E3433</x:f>
        <x:v>-1.774771881103515</x:v>
      </x:c>
      <x:c r="I3433" s="40" t="n">
        <x:f>ABS(H3433)</x:f>
        <x:v>1.774771881103515</x:v>
      </x:c>
      <x:c r="J3433" s="40" t="n">
        <x:f>H3433^2</x:f>
        <x:v>3.149815229955709</x:v>
      </x:c>
      <x:c r="K3433" s="40" t="n">
        <x:f>G3433-E3433</x:f>
        <x:v>0</x:v>
      </x:c>
      <x:c r="L3433" s="40" t="n">
        <x:f>ABS(K3433)</x:f>
        <x:v>0</x:v>
      </x:c>
      <x:c r="M3433" s="41" t="str">
        <x:v>lstm-soil-v1</x:v>
      </x:c>
    </x:row>
    <x:row r="3434">
      <x:c r="A3434" s="38" t="str">
        <x:v>7月30日现场数据</x:v>
      </x:c>
      <x:c r="B3434" s="39" t="str">
        <x:v>2026-08-03T13:00:00</x:v>
      </x:c>
      <x:c r="C3434" s="39" t="str">
        <x:v>2026-08-03T13:30:00</x:v>
      </x:c>
      <x:c r="D3434" s="47" t="n">
        <x:v>30</x:v>
      </x:c>
      <x:c r="E3434" s="40" t="n">
        <x:v>13.6</x:v>
      </x:c>
      <x:c r="F3434" s="40" t="n">
        <x:v>12.352733612060547</x:v>
      </x:c>
      <x:c r="G3434" s="40" t="n">
        <x:v>13.7</x:v>
      </x:c>
      <x:c r="H3434" s="40" t="n">
        <x:f>F3434-E3434</x:f>
        <x:v>-1.2472663879394528</x:v>
      </x:c>
      <x:c r="I3434" s="40" t="n">
        <x:f>ABS(H3434)</x:f>
        <x:v>1.2472663879394528</x:v>
      </x:c>
      <x:c r="J3434" s="40" t="n">
        <x:f>H3434^2</x:f>
        <x:v>1.5556734424835295</x:v>
      </x:c>
      <x:c r="K3434" s="40" t="n">
        <x:f>G3434-E3434</x:f>
        <x:v>0.09999999999999964</x:v>
      </x:c>
      <x:c r="L3434" s="40" t="n">
        <x:f>ABS(K3434)</x:f>
        <x:v>0.09999999999999964</x:v>
      </x:c>
      <x:c r="M3434" s="41" t="str">
        <x:v>lstm-soil-v1</x:v>
      </x:c>
    </x:row>
    <x:row r="3435">
      <x:c r="A3435" s="38" t="str">
        <x:v>7月30日现场数据</x:v>
      </x:c>
      <x:c r="B3435" s="39" t="str">
        <x:v>2026-08-03T13:00:00</x:v>
      </x:c>
      <x:c r="C3435" s="39" t="str">
        <x:v>2026-08-03T14:00:00</x:v>
      </x:c>
      <x:c r="D3435" s="47" t="n">
        <x:v>60</x:v>
      </x:c>
      <x:c r="E3435" s="40" t="n">
        <x:v>13.7</x:v>
      </x:c>
      <x:c r="F3435" s="40" t="n">
        <x:v>14.045402526855469</x:v>
      </x:c>
      <x:c r="G3435" s="40" t="n">
        <x:v>13.7</x:v>
      </x:c>
      <x:c r="H3435" s="40" t="n">
        <x:f>F3435-E3435</x:f>
        <x:v>0.34540252685546946</x:v>
      </x:c>
      <x:c r="I3435" s="40" t="n">
        <x:f>ABS(H3435)</x:f>
        <x:v>0.34540252685546946</x:v>
      </x:c>
      <x:c r="J3435" s="40" t="n">
        <x:f>H3435^2</x:f>
        <x:v>0.1193029055581433</x:v>
      </x:c>
      <x:c r="K3435" s="40" t="n">
        <x:f>G3435-E3435</x:f>
        <x:v>0</x:v>
      </x:c>
      <x:c r="L3435" s="40" t="n">
        <x:f>ABS(K3435)</x:f>
        <x:v>0</x:v>
      </x:c>
      <x:c r="M3435" s="41" t="str">
        <x:v>lstm-soil-v1</x:v>
      </x:c>
    </x:row>
    <x:row r="3436">
      <x:c r="A3436" s="38" t="str">
        <x:v>7月30日现场数据</x:v>
      </x:c>
      <x:c r="B3436" s="39" t="str">
        <x:v>2026-08-03T13:05:00</x:v>
      </x:c>
      <x:c r="C3436" s="39" t="str">
        <x:v>2026-08-03T13:10:00</x:v>
      </x:c>
      <x:c r="D3436" s="47" t="n">
        <x:v>5</x:v>
      </x:c>
      <x:c r="E3436" s="40" t="n">
        <x:v>13.7</x:v>
      </x:c>
      <x:c r="F3436" s="40" t="n">
        <x:v>11.837997436523438</x:v>
      </x:c>
      <x:c r="G3436" s="40" t="n">
        <x:v>13.7</x:v>
      </x:c>
      <x:c r="H3436" s="40" t="n">
        <x:f>F3436-E3436</x:f>
        <x:v>-1.8620025634765618</x:v>
      </x:c>
      <x:c r="I3436" s="40" t="n">
        <x:f>ABS(H3436)</x:f>
        <x:v>1.8620025634765618</x:v>
      </x:c>
      <x:c r="J3436" s="40" t="n">
        <x:f>H3436^2</x:f>
        <x:v>3.4670535463932874</x:v>
      </x:c>
      <x:c r="K3436" s="40" t="n">
        <x:f>G3436-E3436</x:f>
        <x:v>0</x:v>
      </x:c>
      <x:c r="L3436" s="40" t="n">
        <x:f>ABS(K3436)</x:f>
        <x:v>0</x:v>
      </x:c>
      <x:c r="M3436" s="41" t="str">
        <x:v>lstm-soil-v1</x:v>
      </x:c>
    </x:row>
    <x:row r="3437">
      <x:c r="A3437" s="38" t="str">
        <x:v>7月30日现场数据</x:v>
      </x:c>
      <x:c r="B3437" s="39" t="str">
        <x:v>2026-08-03T13:05:00</x:v>
      </x:c>
      <x:c r="C3437" s="39" t="str">
        <x:v>2026-08-03T13:20:00</x:v>
      </x:c>
      <x:c r="D3437" s="47" t="n">
        <x:v>15</x:v>
      </x:c>
      <x:c r="E3437" s="40" t="n">
        <x:v>13.6</x:v>
      </x:c>
      <x:c r="F3437" s="40" t="n">
        <x:v>11.9215087890625</x:v>
      </x:c>
      <x:c r="G3437" s="40" t="n">
        <x:v>13.7</x:v>
      </x:c>
      <x:c r="H3437" s="40" t="n">
        <x:f>F3437-E3437</x:f>
        <x:v>-1.6784912109374996</x:v>
      </x:c>
      <x:c r="I3437" s="40" t="n">
        <x:f>ABS(H3437)</x:f>
        <x:v>1.6784912109374996</x:v>
      </x:c>
      <x:c r="J3437" s="40" t="n">
        <x:f>H3437^2</x:f>
        <x:v>2.817332745194434</x:v>
      </x:c>
      <x:c r="K3437" s="40" t="n">
        <x:f>G3437-E3437</x:f>
        <x:v>0.09999999999999964</x:v>
      </x:c>
      <x:c r="L3437" s="40" t="n">
        <x:f>ABS(K3437)</x:f>
        <x:v>0.09999999999999964</x:v>
      </x:c>
      <x:c r="M3437" s="41" t="str">
        <x:v>lstm-soil-v1</x:v>
      </x:c>
    </x:row>
    <x:row r="3438">
      <x:c r="A3438" s="38" t="str">
        <x:v>7月30日现场数据</x:v>
      </x:c>
      <x:c r="B3438" s="39" t="str">
        <x:v>2026-08-03T13:05:00</x:v>
      </x:c>
      <x:c r="C3438" s="39" t="str">
        <x:v>2026-08-03T13:35:00</x:v>
      </x:c>
      <x:c r="D3438" s="47" t="n">
        <x:v>30</x:v>
      </x:c>
      <x:c r="E3438" s="40" t="n">
        <x:v>13.6</x:v>
      </x:c>
      <x:c r="F3438" s="40" t="n">
        <x:v>12.34988784790039</x:v>
      </x:c>
      <x:c r="G3438" s="40" t="n">
        <x:v>13.7</x:v>
      </x:c>
      <x:c r="H3438" s="40" t="n">
        <x:f>F3438-E3438</x:f>
        <x:v>-1.250112152099609</x:v>
      </x:c>
      <x:c r="I3438" s="40" t="n">
        <x:f>ABS(H3438)</x:f>
        <x:v>1.250112152099609</x:v>
      </x:c>
      <x:c r="J3438" s="40" t="n">
        <x:f>H3438^2</x:f>
        <x:v>1.562780392827116</x:v>
      </x:c>
      <x:c r="K3438" s="40" t="n">
        <x:f>G3438-E3438</x:f>
        <x:v>0.09999999999999964</x:v>
      </x:c>
      <x:c r="L3438" s="40" t="n">
        <x:f>ABS(K3438)</x:f>
        <x:v>0.09999999999999964</x:v>
      </x:c>
      <x:c r="M3438" s="41" t="str">
        <x:v>lstm-soil-v1</x:v>
      </x:c>
    </x:row>
    <x:row r="3439">
      <x:c r="A3439" s="38" t="str">
        <x:v>7月30日现场数据</x:v>
      </x:c>
      <x:c r="B3439" s="39" t="str">
        <x:v>2026-08-03T13:05:00</x:v>
      </x:c>
      <x:c r="C3439" s="39" t="str">
        <x:v>2026-08-03T14:05:00</x:v>
      </x:c>
      <x:c r="D3439" s="47" t="n">
        <x:v>60</x:v>
      </x:c>
      <x:c r="E3439" s="40" t="n">
        <x:v>13.7</x:v>
      </x:c>
      <x:c r="F3439" s="40" t="n">
        <x:v>14.044445037841797</x:v>
      </x:c>
      <x:c r="G3439" s="40" t="n">
        <x:v>13.7</x:v>
      </x:c>
      <x:c r="H3439" s="40" t="n">
        <x:f>F3439-E3439</x:f>
        <x:v>0.3444450378417976</x:v>
      </x:c>
      <x:c r="I3439" s="40" t="n">
        <x:f>ABS(H3439)</x:f>
        <x:v>0.3444450378417976</x:v>
      </x:c>
      <x:c r="J3439" s="40" t="n">
        <x:f>H3439^2</x:f>
        <x:v>0.11864238409383737</x:v>
      </x:c>
      <x:c r="K3439" s="40" t="n">
        <x:f>G3439-E3439</x:f>
        <x:v>0</x:v>
      </x:c>
      <x:c r="L3439" s="40" t="n">
        <x:f>ABS(K3439)</x:f>
        <x:v>0</x:v>
      </x:c>
      <x:c r="M3439" s="41" t="str">
        <x:v>lstm-soil-v1</x:v>
      </x:c>
    </x:row>
    <x:row r="3440">
      <x:c r="A3440" s="38" t="str">
        <x:v>7月30日现场数据</x:v>
      </x:c>
      <x:c r="B3440" s="39" t="str">
        <x:v>2026-08-03T13:10:00</x:v>
      </x:c>
      <x:c r="C3440" s="39" t="str">
        <x:v>2026-08-03T13:15:00</x:v>
      </x:c>
      <x:c r="D3440" s="47" t="n">
        <x:v>5</x:v>
      </x:c>
      <x:c r="E3440" s="40" t="n">
        <x:v>13.7</x:v>
      </x:c>
      <x:c r="F3440" s="40" t="n">
        <x:v>11.840862274169922</x:v>
      </x:c>
      <x:c r="G3440" s="40" t="n">
        <x:v>13.7</x:v>
      </x:c>
      <x:c r="H3440" s="40" t="n">
        <x:f>F3440-E3440</x:f>
        <x:v>-1.8591377258300774</x:v>
      </x:c>
      <x:c r="I3440" s="40" t="n">
        <x:f>ABS(H3440)</x:f>
        <x:v>1.8591377258300774</x:v>
      </x:c>
      <x:c r="J3440" s="40" t="n">
        <x:f>H3440^2</x:f>
        <x:v>3.456393083604632</x:v>
      </x:c>
      <x:c r="K3440" s="40" t="n">
        <x:f>G3440-E3440</x:f>
        <x:v>0</x:v>
      </x:c>
      <x:c r="L3440" s="40" t="n">
        <x:f>ABS(K3440)</x:f>
        <x:v>0</x:v>
      </x:c>
      <x:c r="M3440" s="41" t="str">
        <x:v>lstm-soil-v1</x:v>
      </x:c>
    </x:row>
    <x:row r="3441">
      <x:c r="A3441" s="38" t="str">
        <x:v>7月30日现场数据</x:v>
      </x:c>
      <x:c r="B3441" s="39" t="str">
        <x:v>2026-08-03T13:10:00</x:v>
      </x:c>
      <x:c r="C3441" s="39" t="str">
        <x:v>2026-08-03T13:25:00</x:v>
      </x:c>
      <x:c r="D3441" s="47" t="n">
        <x:v>15</x:v>
      </x:c>
      <x:c r="E3441" s="40" t="n">
        <x:v>13.6</x:v>
      </x:c>
      <x:c r="F3441" s="40" t="n">
        <x:v>11.924331665039062</x:v>
      </x:c>
      <x:c r="G3441" s="40" t="n">
        <x:v>13.7</x:v>
      </x:c>
      <x:c r="H3441" s="40" t="n">
        <x:f>F3441-E3441</x:f>
        <x:v>-1.6756683349609371</x:v>
      </x:c>
      <x:c r="I3441" s="40" t="n">
        <x:f>ABS(H3441)</x:f>
        <x:v>1.6756683349609371</x:v>
      </x:c>
      <x:c r="J3441" s="40" t="n">
        <x:f>H3441^2</x:f>
        <x:v>2.8078643687907596</x:v>
      </x:c>
      <x:c r="K3441" s="40" t="n">
        <x:f>G3441-E3441</x:f>
        <x:v>0.09999999999999964</x:v>
      </x:c>
      <x:c r="L3441" s="40" t="n">
        <x:f>ABS(K3441)</x:f>
        <x:v>0.09999999999999964</x:v>
      </x:c>
      <x:c r="M3441" s="41" t="str">
        <x:v>lstm-soil-v1</x:v>
      </x:c>
    </x:row>
    <x:row r="3442">
      <x:c r="A3442" s="38" t="str">
        <x:v>7月30日现场数据</x:v>
      </x:c>
      <x:c r="B3442" s="39" t="str">
        <x:v>2026-08-03T13:10:00</x:v>
      </x:c>
      <x:c r="C3442" s="39" t="str">
        <x:v>2026-08-03T13:40:00</x:v>
      </x:c>
      <x:c r="D3442" s="47" t="n">
        <x:v>30</x:v>
      </x:c>
      <x:c r="E3442" s="40" t="n">
        <x:v>13.7</x:v>
      </x:c>
      <x:c r="F3442" s="40" t="n">
        <x:v>12.351848602294922</x:v>
      </x:c>
      <x:c r="G3442" s="40" t="n">
        <x:v>13.7</x:v>
      </x:c>
      <x:c r="H3442" s="40" t="n">
        <x:f>F3442-E3442</x:f>
        <x:v>-1.3481513977050774</x:v>
      </x:c>
      <x:c r="I3442" s="40" t="n">
        <x:f>ABS(H3442)</x:f>
        <x:v>1.3481513977050774</x:v>
      </x:c>
      <x:c r="J3442" s="40" t="n">
        <x:f>H3442^2</x:f>
        <x:v>1.8175121911341539</x:v>
      </x:c>
      <x:c r="K3442" s="40" t="n">
        <x:f>G3442-E3442</x:f>
        <x:v>0</x:v>
      </x:c>
      <x:c r="L3442" s="40" t="n">
        <x:f>ABS(K3442)</x:f>
        <x:v>0</x:v>
      </x:c>
      <x:c r="M3442" s="41" t="str">
        <x:v>lstm-soil-v1</x:v>
      </x:c>
    </x:row>
    <x:row r="3443">
      <x:c r="A3443" s="38" t="str">
        <x:v>7月30日现场数据</x:v>
      </x:c>
      <x:c r="B3443" s="39" t="str">
        <x:v>2026-08-03T13:10:00</x:v>
      </x:c>
      <x:c r="C3443" s="39" t="str">
        <x:v>2026-08-03T14:10:00</x:v>
      </x:c>
      <x:c r="D3443" s="47" t="n">
        <x:v>60</x:v>
      </x:c>
      <x:c r="E3443" s="40" t="n">
        <x:v>13.6</x:v>
      </x:c>
      <x:c r="F3443" s="40" t="n">
        <x:v>14.051334381103516</x:v>
      </x:c>
      <x:c r="G3443" s="40" t="n">
        <x:v>13.7</x:v>
      </x:c>
      <x:c r="H3443" s="40" t="n">
        <x:f>F3443-E3443</x:f>
        <x:v>0.451334381103516</x:v>
      </x:c>
      <x:c r="I3443" s="40" t="n">
        <x:f>ABS(H3443)</x:f>
        <x:v>0.451334381103516</x:v>
      </x:c>
      <x:c r="J3443" s="40" t="n">
        <x:f>H3443^2</x:f>
        <x:v>0.2037027235660938</x:v>
      </x:c>
      <x:c r="K3443" s="40" t="n">
        <x:f>G3443-E3443</x:f>
        <x:v>0.09999999999999964</x:v>
      </x:c>
      <x:c r="L3443" s="40" t="n">
        <x:f>ABS(K3443)</x:f>
        <x:v>0.09999999999999964</x:v>
      </x:c>
      <x:c r="M3443" s="41" t="str">
        <x:v>lstm-soil-v1</x:v>
      </x:c>
    </x:row>
    <x:row r="3444">
      <x:c r="A3444" s="38" t="str">
        <x:v>7月30日现场数据</x:v>
      </x:c>
      <x:c r="B3444" s="39" t="str">
        <x:v>2026-08-03T13:15:00</x:v>
      </x:c>
      <x:c r="C3444" s="39" t="str">
        <x:v>2026-08-03T13:20:00</x:v>
      </x:c>
      <x:c r="D3444" s="47" t="n">
        <x:v>5</x:v>
      </x:c>
      <x:c r="E3444" s="40" t="n">
        <x:v>13.6</x:v>
      </x:c>
      <x:c r="F3444" s="40" t="n">
        <x:v>11.847148895263672</x:v>
      </x:c>
      <x:c r="G3444" s="40" t="n">
        <x:v>13.7</x:v>
      </x:c>
      <x:c r="H3444" s="40" t="n">
        <x:f>F3444-E3444</x:f>
        <x:v>-1.7528511047363278</x:v>
      </x:c>
      <x:c r="I3444" s="40" t="n">
        <x:f>ABS(H3444)</x:f>
        <x:v>1.7528511047363278</x:v>
      </x:c>
      <x:c r="J3444" s="40" t="n">
        <x:f>H3444^2</x:f>
        <x:v>3.072486995375365</x:v>
      </x:c>
      <x:c r="K3444" s="40" t="n">
        <x:f>G3444-E3444</x:f>
        <x:v>0.09999999999999964</x:v>
      </x:c>
      <x:c r="L3444" s="40" t="n">
        <x:f>ABS(K3444)</x:f>
        <x:v>0.09999999999999964</x:v>
      </x:c>
      <x:c r="M3444" s="41" t="str">
        <x:v>lstm-soil-v1</x:v>
      </x:c>
    </x:row>
    <x:row r="3445">
      <x:c r="A3445" s="38" t="str">
        <x:v>7月30日现场数据</x:v>
      </x:c>
      <x:c r="B3445" s="39" t="str">
        <x:v>2026-08-03T13:15:00</x:v>
      </x:c>
      <x:c r="C3445" s="39" t="str">
        <x:v>2026-08-03T13:30:00</x:v>
      </x:c>
      <x:c r="D3445" s="47" t="n">
        <x:v>15</x:v>
      </x:c>
      <x:c r="E3445" s="40" t="n">
        <x:v>13.6</x:v>
      </x:c>
      <x:c r="F3445" s="40" t="n">
        <x:v>11.931541442871094</x:v>
      </x:c>
      <x:c r="G3445" s="40" t="n">
        <x:v>13.7</x:v>
      </x:c>
      <x:c r="H3445" s="40" t="n">
        <x:f>F3445-E3445</x:f>
        <x:v>-1.668458557128906</x:v>
      </x:c>
      <x:c r="I3445" s="40" t="n">
        <x:f>ABS(H3445)</x:f>
        <x:v>1.668458557128906</x:v>
      </x:c>
      <x:c r="J3445" s="40" t="n">
        <x:f>H3445^2</x:f>
        <x:v>2.7837539568566707</x:v>
      </x:c>
      <x:c r="K3445" s="40" t="n">
        <x:f>G3445-E3445</x:f>
        <x:v>0.09999999999999964</x:v>
      </x:c>
      <x:c r="L3445" s="40" t="n">
        <x:f>ABS(K3445)</x:f>
        <x:v>0.09999999999999964</x:v>
      </x:c>
      <x:c r="M3445" s="41" t="str">
        <x:v>lstm-soil-v1</x:v>
      </x:c>
    </x:row>
    <x:row r="3446">
      <x:c r="A3446" s="38" t="str">
        <x:v>7月30日现场数据</x:v>
      </x:c>
      <x:c r="B3446" s="39" t="str">
        <x:v>2026-08-03T13:15:00</x:v>
      </x:c>
      <x:c r="C3446" s="39" t="str">
        <x:v>2026-08-03T13:45:00</x:v>
      </x:c>
      <x:c r="D3446" s="47" t="n">
        <x:v>30</x:v>
      </x:c>
      <x:c r="E3446" s="40" t="n">
        <x:v>13.6</x:v>
      </x:c>
      <x:c r="F3446" s="40" t="n">
        <x:v>12.356525421142578</x:v>
      </x:c>
      <x:c r="G3446" s="40" t="n">
        <x:v>13.7</x:v>
      </x:c>
      <x:c r="H3446" s="40" t="n">
        <x:f>F3446-E3446</x:f>
        <x:v>-1.2434745788574215</x:v>
      </x:c>
      <x:c r="I3446" s="40" t="n">
        <x:f>ABS(H3446)</x:f>
        <x:v>1.2434745788574215</x:v>
      </x:c>
      <x:c r="J3446" s="40" t="n">
        <x:f>H3446^2</x:f>
        <x:v>1.5462290282646418</x:v>
      </x:c>
      <x:c r="K3446" s="40" t="n">
        <x:f>G3446-E3446</x:f>
        <x:v>0.09999999999999964</x:v>
      </x:c>
      <x:c r="L3446" s="40" t="n">
        <x:f>ABS(K3446)</x:f>
        <x:v>0.09999999999999964</x:v>
      </x:c>
      <x:c r="M3446" s="41" t="str">
        <x:v>lstm-soil-v1</x:v>
      </x:c>
    </x:row>
    <x:row r="3447">
      <x:c r="A3447" s="38" t="str">
        <x:v>7月30日现场数据</x:v>
      </x:c>
      <x:c r="B3447" s="39" t="str">
        <x:v>2026-08-03T13:15:00</x:v>
      </x:c>
      <x:c r="C3447" s="39" t="str">
        <x:v>2026-08-03T14:15:00</x:v>
      </x:c>
      <x:c r="D3447" s="47" t="n">
        <x:v>60</x:v>
      </x:c>
      <x:c r="E3447" s="40" t="n">
        <x:v>13.6</x:v>
      </x:c>
      <x:c r="F3447" s="40" t="n">
        <x:v>14.064472198486328</x:v>
      </x:c>
      <x:c r="G3447" s="40" t="n">
        <x:v>13.7</x:v>
      </x:c>
      <x:c r="H3447" s="40" t="n">
        <x:f>F3447-E3447</x:f>
        <x:v>0.4644721984863285</x:v>
      </x:c>
      <x:c r="I3447" s="40" t="n">
        <x:f>ABS(H3447)</x:f>
        <x:v>0.4644721984863285</x:v>
      </x:c>
      <x:c r="J3447" s="40" t="n">
        <x:f>H3447^2</x:f>
        <x:v>0.2157344231667233</x:v>
      </x:c>
      <x:c r="K3447" s="40" t="n">
        <x:f>G3447-E3447</x:f>
        <x:v>0.09999999999999964</x:v>
      </x:c>
      <x:c r="L3447" s="40" t="n">
        <x:f>ABS(K3447)</x:f>
        <x:v>0.09999999999999964</x:v>
      </x:c>
      <x:c r="M3447" s="41" t="str">
        <x:v>lstm-soil-v1</x:v>
      </x:c>
    </x:row>
    <x:row r="3448">
      <x:c r="A3448" s="38" t="str">
        <x:v>7月30日现场数据</x:v>
      </x:c>
      <x:c r="B3448" s="39" t="str">
        <x:v>2026-08-03T13:20:00</x:v>
      </x:c>
      <x:c r="C3448" s="39" t="str">
        <x:v>2026-08-03T13:25:00</x:v>
      </x:c>
      <x:c r="D3448" s="47" t="n">
        <x:v>5</x:v>
      </x:c>
      <x:c r="E3448" s="40" t="n">
        <x:v>13.6</x:v>
      </x:c>
      <x:c r="F3448" s="40" t="n">
        <x:v>11.730403900146484</x:v>
      </x:c>
      <x:c r="G3448" s="40" t="n">
        <x:v>13.6</x:v>
      </x:c>
      <x:c r="H3448" s="40" t="n">
        <x:f>F3448-E3448</x:f>
        <x:v>-1.8695960998535153</x:v>
      </x:c>
      <x:c r="I3448" s="40" t="n">
        <x:f>ABS(H3448)</x:f>
        <x:v>1.8695960998535153</x:v>
      </x:c>
      <x:c r="J3448" s="40" t="n">
        <x:f>H3448^2</x:f>
        <x:v>3.4953895765874754</x:v>
      </x:c>
      <x:c r="K3448" s="40" t="n">
        <x:f>G3448-E3448</x:f>
        <x:v>0</x:v>
      </x:c>
      <x:c r="L3448" s="40" t="n">
        <x:f>ABS(K3448)</x:f>
        <x:v>0</x:v>
      </x:c>
      <x:c r="M3448" s="41" t="str">
        <x:v>lstm-soil-v1</x:v>
      </x:c>
    </x:row>
    <x:row r="3449">
      <x:c r="A3449" s="38" t="str">
        <x:v>7月30日现场数据</x:v>
      </x:c>
      <x:c r="B3449" s="39" t="str">
        <x:v>2026-08-03T13:20:00</x:v>
      </x:c>
      <x:c r="C3449" s="39" t="str">
        <x:v>2026-08-03T13:35:00</x:v>
      </x:c>
      <x:c r="D3449" s="47" t="n">
        <x:v>15</x:v>
      </x:c>
      <x:c r="E3449" s="40" t="n">
        <x:v>13.6</x:v>
      </x:c>
      <x:c r="F3449" s="40" t="n">
        <x:v>11.821746826171875</x:v>
      </x:c>
      <x:c r="G3449" s="40" t="n">
        <x:v>13.6</x:v>
      </x:c>
      <x:c r="H3449" s="40" t="n">
        <x:f>F3449-E3449</x:f>
        <x:v>-1.7782531738281246</x:v>
      </x:c>
      <x:c r="I3449" s="40" t="n">
        <x:f>ABS(H3449)</x:f>
        <x:v>1.7782531738281246</x:v>
      </x:c>
      <x:c r="J3449" s="40" t="n">
        <x:f>H3449^2</x:f>
        <x:v>3.1621843502297984</x:v>
      </x:c>
      <x:c r="K3449" s="40" t="n">
        <x:f>G3449-E3449</x:f>
        <x:v>0</x:v>
      </x:c>
      <x:c r="L3449" s="40" t="n">
        <x:f>ABS(K3449)</x:f>
        <x:v>0</x:v>
      </x:c>
      <x:c r="M3449" s="41" t="str">
        <x:v>lstm-soil-v1</x:v>
      </x:c>
    </x:row>
    <x:row r="3450">
      <x:c r="A3450" s="38" t="str">
        <x:v>7月30日现场数据</x:v>
      </x:c>
      <x:c r="B3450" s="39" t="str">
        <x:v>2026-08-03T13:20:00</x:v>
      </x:c>
      <x:c r="C3450" s="39" t="str">
        <x:v>2026-08-03T13:50:00</x:v>
      </x:c>
      <x:c r="D3450" s="47" t="n">
        <x:v>30</x:v>
      </x:c>
      <x:c r="E3450" s="40" t="n">
        <x:v>13.7</x:v>
      </x:c>
      <x:c r="F3450" s="40" t="n">
        <x:v>12.236686706542969</x:v>
      </x:c>
      <x:c r="G3450" s="40" t="n">
        <x:v>13.6</x:v>
      </x:c>
      <x:c r="H3450" s="40" t="n">
        <x:f>F3450-E3450</x:f>
        <x:v>-1.4633132934570305</x:v>
      </x:c>
      <x:c r="I3450" s="40" t="n">
        <x:f>ABS(H3450)</x:f>
        <x:v>1.4633132934570305</x:v>
      </x:c>
      <x:c r="J3450" s="40" t="n">
        <x:f>H3450^2</x:f>
        <x:v>2.1412857948080615</x:v>
      </x:c>
      <x:c r="K3450" s="40" t="n">
        <x:f>G3450-E3450</x:f>
        <x:v>-0.09999999999999964</x:v>
      </x:c>
      <x:c r="L3450" s="40" t="n">
        <x:f>ABS(K3450)</x:f>
        <x:v>0.09999999999999964</x:v>
      </x:c>
      <x:c r="M3450" s="41" t="str">
        <x:v>lstm-soil-v1</x:v>
      </x:c>
    </x:row>
    <x:row r="3451">
      <x:c r="A3451" s="38" t="str">
        <x:v>7月30日现场数据</x:v>
      </x:c>
      <x:c r="B3451" s="39" t="str">
        <x:v>2026-08-03T13:20:00</x:v>
      </x:c>
      <x:c r="C3451" s="39" t="str">
        <x:v>2026-08-03T14:20:00</x:v>
      </x:c>
      <x:c r="D3451" s="47" t="n">
        <x:v>60</x:v>
      </x:c>
      <x:c r="E3451" s="40" t="n">
        <x:v>13.6</x:v>
      </x:c>
      <x:c r="F3451" s="40" t="n">
        <x:v>13.938446044921875</x:v>
      </x:c>
      <x:c r="G3451" s="40" t="n">
        <x:v>13.6</x:v>
      </x:c>
      <x:c r="H3451" s="40" t="n">
        <x:f>F3451-E3451</x:f>
        <x:v>0.33844604492187536</x:v>
      </x:c>
      <x:c r="I3451" s="40" t="n">
        <x:f>ABS(H3451)</x:f>
        <x:v>0.33844604492187536</x:v>
      </x:c>
      <x:c r="J3451" s="40" t="n">
        <x:f>H3451^2</x:f>
        <x:v>0.11454572532326007</x:v>
      </x:c>
      <x:c r="K3451" s="40" t="n">
        <x:f>G3451-E3451</x:f>
        <x:v>0</x:v>
      </x:c>
      <x:c r="L3451" s="40" t="n">
        <x:f>ABS(K3451)</x:f>
        <x:v>0</x:v>
      </x:c>
      <x:c r="M3451" s="41" t="str">
        <x:v>lstm-soil-v1</x:v>
      </x:c>
    </x:row>
    <x:row r="3452">
      <x:c r="A3452" s="38" t="str">
        <x:v>7月30日现场数据</x:v>
      </x:c>
      <x:c r="B3452" s="39" t="str">
        <x:v>2026-08-03T13:25:00</x:v>
      </x:c>
      <x:c r="C3452" s="39" t="str">
        <x:v>2026-08-03T13:30:00</x:v>
      </x:c>
      <x:c r="D3452" s="47" t="n">
        <x:v>5</x:v>
      </x:c>
      <x:c r="E3452" s="40" t="n">
        <x:v>13.6</x:v>
      </x:c>
      <x:c r="F3452" s="40" t="n">
        <x:v>11.726009368896484</x:v>
      </x:c>
      <x:c r="G3452" s="40" t="n">
        <x:v>13.6</x:v>
      </x:c>
      <x:c r="H3452" s="40" t="n">
        <x:f>F3452-E3452</x:f>
        <x:v>-1.8739906311035153</x:v>
      </x:c>
      <x:c r="I3452" s="40" t="n">
        <x:f>ABS(H3452)</x:f>
        <x:v>1.8739906311035153</x:v>
      </x:c>
      <x:c r="J3452" s="40" t="n">
        <x:f>H3452^2</x:f>
        <x:v>3.5118408854637515</x:v>
      </x:c>
      <x:c r="K3452" s="40" t="n">
        <x:f>G3452-E3452</x:f>
        <x:v>0</x:v>
      </x:c>
      <x:c r="L3452" s="40" t="n">
        <x:f>ABS(K3452)</x:f>
        <x:v>0</x:v>
      </x:c>
      <x:c r="M3452" s="41" t="str">
        <x:v>lstm-soil-v1</x:v>
      </x:c>
    </x:row>
    <x:row r="3453">
      <x:c r="A3453" s="38" t="str">
        <x:v>7月30日现场数据</x:v>
      </x:c>
      <x:c r="B3453" s="39" t="str">
        <x:v>2026-08-03T13:25:00</x:v>
      </x:c>
      <x:c r="C3453" s="39" t="str">
        <x:v>2026-08-03T13:40:00</x:v>
      </x:c>
      <x:c r="D3453" s="47" t="n">
        <x:v>15</x:v>
      </x:c>
      <x:c r="E3453" s="40" t="n">
        <x:v>13.7</x:v>
      </x:c>
      <x:c r="F3453" s="40" t="n">
        <x:v>11.817047119140625</x:v>
      </x:c>
      <x:c r="G3453" s="40" t="n">
        <x:v>13.6</x:v>
      </x:c>
      <x:c r="H3453" s="40" t="n">
        <x:f>F3453-E3453</x:f>
        <x:v>-1.8829528808593743</x:v>
      </x:c>
      <x:c r="I3453" s="40" t="n">
        <x:f>ABS(H3453)</x:f>
        <x:v>1.8829528808593743</x:v>
      </x:c>
      <x:c r="J3453" s="40" t="n">
        <x:f>H3453^2</x:f>
        <x:v>3.545511551536617</x:v>
      </x:c>
      <x:c r="K3453" s="40" t="n">
        <x:f>G3453-E3453</x:f>
        <x:v>-0.09999999999999964</x:v>
      </x:c>
      <x:c r="L3453" s="40" t="n">
        <x:f>ABS(K3453)</x:f>
        <x:v>0.09999999999999964</x:v>
      </x:c>
      <x:c r="M3453" s="41" t="str">
        <x:v>lstm-soil-v1</x:v>
      </x:c>
    </x:row>
    <x:row r="3454">
      <x:c r="A3454" s="38" t="str">
        <x:v>7月30日现场数据</x:v>
      </x:c>
      <x:c r="B3454" s="39" t="str">
        <x:v>2026-08-03T13:25:00</x:v>
      </x:c>
      <x:c r="C3454" s="39" t="str">
        <x:v>2026-08-03T13:55:00</x:v>
      </x:c>
      <x:c r="D3454" s="47" t="n">
        <x:v>30</x:v>
      </x:c>
      <x:c r="E3454" s="40" t="n">
        <x:v>13.6</x:v>
      </x:c>
      <x:c r="F3454" s="40" t="n">
        <x:v>12.228553771972656</x:v>
      </x:c>
      <x:c r="G3454" s="40" t="n">
        <x:v>13.6</x:v>
      </x:c>
      <x:c r="H3454" s="40" t="n">
        <x:f>F3454-E3454</x:f>
        <x:v>-1.3714462280273434</x:v>
      </x:c>
      <x:c r="I3454" s="40" t="n">
        <x:f>ABS(H3454)</x:f>
        <x:v>1.3714462280273434</x:v>
      </x:c>
      <x:c r="J3454" s="40" t="n">
        <x:f>H3454^2</x:f>
        <x:v>1.880864756370428</x:v>
      </x:c>
      <x:c r="K3454" s="40" t="n">
        <x:f>G3454-E3454</x:f>
        <x:v>0</x:v>
      </x:c>
      <x:c r="L3454" s="40" t="n">
        <x:f>ABS(K3454)</x:f>
        <x:v>0</x:v>
      </x:c>
      <x:c r="M3454" s="41" t="str">
        <x:v>lstm-soil-v1</x:v>
      </x:c>
    </x:row>
    <x:row r="3455">
      <x:c r="A3455" s="38" t="str">
        <x:v>7月30日现场数据</x:v>
      </x:c>
      <x:c r="B3455" s="39" t="str">
        <x:v>2026-08-03T13:25:00</x:v>
      </x:c>
      <x:c r="C3455" s="39" t="str">
        <x:v>2026-08-03T14:25:00</x:v>
      </x:c>
      <x:c r="D3455" s="47" t="n">
        <x:v>60</x:v>
      </x:c>
      <x:c r="E3455" s="40" t="n">
        <x:v>13.6</x:v>
      </x:c>
      <x:c r="F3455" s="40" t="n">
        <x:v>13.926139831542969</x:v>
      </x:c>
      <x:c r="G3455" s="40" t="n">
        <x:v>13.6</x:v>
      </x:c>
      <x:c r="H3455" s="40" t="n">
        <x:f>F3455-E3455</x:f>
        <x:v>0.3261398315429691</x:v>
      </x:c>
      <x:c r="I3455" s="40" t="n">
        <x:f>ABS(H3455)</x:f>
        <x:v>0.3261398315429691</x:v>
      </x:c>
      <x:c r="J3455" s="40" t="n">
        <x:f>H3455^2</x:f>
        <x:v>0.10636718971887626</x:v>
      </x:c>
      <x:c r="K3455" s="40" t="n">
        <x:f>G3455-E3455</x:f>
        <x:v>0</x:v>
      </x:c>
      <x:c r="L3455" s="40" t="n">
        <x:f>ABS(K3455)</x:f>
        <x:v>0</x:v>
      </x:c>
      <x:c r="M3455" s="41" t="str">
        <x:v>lstm-soil-v1</x:v>
      </x:c>
    </x:row>
    <x:row r="3456">
      <x:c r="A3456" s="38" t="str">
        <x:v>7月30日现场数据</x:v>
      </x:c>
      <x:c r="B3456" s="39" t="str">
        <x:v>2026-08-03T13:30:00</x:v>
      </x:c>
      <x:c r="C3456" s="39" t="str">
        <x:v>2026-08-03T13:35:00</x:v>
      </x:c>
      <x:c r="D3456" s="47" t="n">
        <x:v>5</x:v>
      </x:c>
      <x:c r="E3456" s="40" t="n">
        <x:v>13.6</x:v>
      </x:c>
      <x:c r="F3456" s="40" t="n">
        <x:v>11.727603912353516</x:v>
      </x:c>
      <x:c r="G3456" s="40" t="n">
        <x:v>13.6</x:v>
      </x:c>
      <x:c r="H3456" s="40" t="n">
        <x:f>F3456-E3456</x:f>
        <x:v>-1.872396087646484</x:v>
      </x:c>
      <x:c r="I3456" s="40" t="n">
        <x:f>ABS(H3456)</x:f>
        <x:v>1.872396087646484</x:v>
      </x:c>
      <x:c r="J3456" s="40" t="n">
        <x:f>H3456^2</x:f>
        <x:v>3.50586710903386</x:v>
      </x:c>
      <x:c r="K3456" s="40" t="n">
        <x:f>G3456-E3456</x:f>
        <x:v>0</x:v>
      </x:c>
      <x:c r="L3456" s="40" t="n">
        <x:f>ABS(K3456)</x:f>
        <x:v>0</x:v>
      </x:c>
      <x:c r="M3456" s="41" t="str">
        <x:v>lstm-soil-v1</x:v>
      </x:c>
    </x:row>
    <x:row r="3457">
      <x:c r="A3457" s="38" t="str">
        <x:v>7月30日现场数据</x:v>
      </x:c>
      <x:c r="B3457" s="39" t="str">
        <x:v>2026-08-03T13:30:00</x:v>
      </x:c>
      <x:c r="C3457" s="39" t="str">
        <x:v>2026-08-03T13:45:00</x:v>
      </x:c>
      <x:c r="D3457" s="47" t="n">
        <x:v>15</x:v>
      </x:c>
      <x:c r="E3457" s="40" t="n">
        <x:v>13.6</x:v>
      </x:c>
      <x:c r="F3457" s="40" t="n">
        <x:v>11.81760025024414</x:v>
      </x:c>
      <x:c r="G3457" s="40" t="n">
        <x:v>13.6</x:v>
      </x:c>
      <x:c r="H3457" s="40" t="n">
        <x:f>F3457-E3457</x:f>
        <x:v>-1.782399749755859</x:v>
      </x:c>
      <x:c r="I3457" s="40" t="n">
        <x:f>ABS(H3457)</x:f>
        <x:v>1.782399749755859</x:v>
      </x:c>
      <x:c r="J3457" s="40" t="n">
        <x:f>H3457^2</x:f>
        <x:v>3.176948867929749</x:v>
      </x:c>
      <x:c r="K3457" s="40" t="n">
        <x:f>G3457-E3457</x:f>
        <x:v>0</x:v>
      </x:c>
      <x:c r="L3457" s="40" t="n">
        <x:f>ABS(K3457)</x:f>
        <x:v>0</x:v>
      </x:c>
      <x:c r="M3457" s="41" t="str">
        <x:v>lstm-soil-v1</x:v>
      </x:c>
    </x:row>
    <x:row r="3458">
      <x:c r="A3458" s="38" t="str">
        <x:v>7月30日现场数据</x:v>
      </x:c>
      <x:c r="B3458" s="39" t="str">
        <x:v>2026-08-03T13:30:00</x:v>
      </x:c>
      <x:c r="C3458" s="39" t="str">
        <x:v>2026-08-03T14:00:00</x:v>
      </x:c>
      <x:c r="D3458" s="47" t="n">
        <x:v>30</x:v>
      </x:c>
      <x:c r="E3458" s="40" t="n">
        <x:v>13.7</x:v>
      </x:c>
      <x:c r="F3458" s="40" t="n">
        <x:v>12.228893280029297</x:v>
      </x:c>
      <x:c r="G3458" s="40" t="n">
        <x:v>13.6</x:v>
      </x:c>
      <x:c r="H3458" s="40" t="n">
        <x:f>F3458-E3458</x:f>
        <x:v>-1.4711067199707024</x:v>
      </x:c>
      <x:c r="I3458" s="40" t="n">
        <x:f>ABS(H3458)</x:f>
        <x:v>1.4711067199707024</x:v>
      </x:c>
      <x:c r="J3458" s="40" t="n">
        <x:f>H3458^2</x:f>
        <x:v>2.164154981542959</x:v>
      </x:c>
      <x:c r="K3458" s="40" t="n">
        <x:f>G3458-E3458</x:f>
        <x:v>-0.09999999999999964</x:v>
      </x:c>
      <x:c r="L3458" s="40" t="n">
        <x:f>ABS(K3458)</x:f>
        <x:v>0.09999999999999964</x:v>
      </x:c>
      <x:c r="M3458" s="41" t="str">
        <x:v>lstm-soil-v1</x:v>
      </x:c>
    </x:row>
    <x:row r="3459">
      <x:c r="A3459" s="38" t="str">
        <x:v>7月30日现场数据</x:v>
      </x:c>
      <x:c r="B3459" s="39" t="str">
        <x:v>2026-08-03T13:30:00</x:v>
      </x:c>
      <x:c r="C3459" s="39" t="str">
        <x:v>2026-08-03T14:30:00</x:v>
      </x:c>
      <x:c r="D3459" s="47" t="n">
        <x:v>60</x:v>
      </x:c>
      <x:c r="E3459" s="40" t="n">
        <x:v>13.5</x:v>
      </x:c>
      <x:c r="F3459" s="40" t="n">
        <x:v>13.929161071777344</x:v>
      </x:c>
      <x:c r="G3459" s="40" t="n">
        <x:v>13.6</x:v>
      </x:c>
      <x:c r="H3459" s="40" t="n">
        <x:f>F3459-E3459</x:f>
        <x:v>0.42916107177734375</x:v>
      </x:c>
      <x:c r="I3459" s="40" t="n">
        <x:f>ABS(H3459)</x:f>
        <x:v>0.42916107177734375</x:v>
      </x:c>
      <x:c r="J3459" s="40" t="n">
        <x:f>H3459^2</x:f>
        <x:v>0.1841792255290784</x:v>
      </x:c>
      <x:c r="K3459" s="40" t="n">
        <x:f>G3459-E3459</x:f>
        <x:v>0.09999999999999964</x:v>
      </x:c>
      <x:c r="L3459" s="40" t="n">
        <x:f>ABS(K3459)</x:f>
        <x:v>0.09999999999999964</x:v>
      </x:c>
      <x:c r="M3459" s="41" t="str">
        <x:v>lstm-soil-v1</x:v>
      </x:c>
    </x:row>
    <x:row r="3460">
      <x:c r="A3460" s="38" t="str">
        <x:v>7月30日现场数据</x:v>
      </x:c>
      <x:c r="B3460" s="39" t="str">
        <x:v>2026-08-03T13:35:00</x:v>
      </x:c>
      <x:c r="C3460" s="39" t="str">
        <x:v>2026-08-03T13:40:00</x:v>
      </x:c>
      <x:c r="D3460" s="47" t="n">
        <x:v>5</x:v>
      </x:c>
      <x:c r="E3460" s="40" t="n">
        <x:v>13.7</x:v>
      </x:c>
      <x:c r="F3460" s="40" t="n">
        <x:v>11.72634506225586</x:v>
      </x:c>
      <x:c r="G3460" s="40" t="n">
        <x:v>13.6</x:v>
      </x:c>
      <x:c r="H3460" s="40" t="n">
        <x:f>F3460-E3460</x:f>
        <x:v>-1.97365493774414</x:v>
      </x:c>
      <x:c r="I3460" s="40" t="n">
        <x:f>ABS(H3460)</x:f>
        <x:v>1.97365493774414</x:v>
      </x:c>
      <x:c r="J3460" s="40" t="n">
        <x:f>H3460^2</x:f>
        <x:v>3.895313813281825</x:v>
      </x:c>
      <x:c r="K3460" s="40" t="n">
        <x:f>G3460-E3460</x:f>
        <x:v>-0.09999999999999964</x:v>
      </x:c>
      <x:c r="L3460" s="40" t="n">
        <x:f>ABS(K3460)</x:f>
        <x:v>0.09999999999999964</x:v>
      </x:c>
      <x:c r="M3460" s="41" t="str">
        <x:v>lstm-soil-v1</x:v>
      </x:c>
    </x:row>
    <x:row r="3461">
      <x:c r="A3461" s="38" t="str">
        <x:v>7月30日现场数据</x:v>
      </x:c>
      <x:c r="B3461" s="39" t="str">
        <x:v>2026-08-03T13:35:00</x:v>
      </x:c>
      <x:c r="C3461" s="39" t="str">
        <x:v>2026-08-03T13:50:00</x:v>
      </x:c>
      <x:c r="D3461" s="47" t="n">
        <x:v>15</x:v>
      </x:c>
      <x:c r="E3461" s="40" t="n">
        <x:v>13.7</x:v>
      </x:c>
      <x:c r="F3461" s="40" t="n">
        <x:v>11.81783676147461</x:v>
      </x:c>
      <x:c r="G3461" s="40" t="n">
        <x:v>13.6</x:v>
      </x:c>
      <x:c r="H3461" s="40" t="n">
        <x:f>F3461-E3461</x:f>
        <x:v>-1.88216323852539</x:v>
      </x:c>
      <x:c r="I3461" s="40" t="n">
        <x:f>ABS(H3461)</x:f>
        <x:v>1.88216323852539</x:v>
      </x:c>
      <x:c r="J3461" s="40" t="n">
        <x:f>H3461^2</x:f>
        <x:v>3.5425384564563838</x:v>
      </x:c>
      <x:c r="K3461" s="40" t="n">
        <x:f>G3461-E3461</x:f>
        <x:v>-0.09999999999999964</x:v>
      </x:c>
      <x:c r="L3461" s="40" t="n">
        <x:f>ABS(K3461)</x:f>
        <x:v>0.09999999999999964</x:v>
      </x:c>
      <x:c r="M3461" s="41" t="str">
        <x:v>lstm-soil-v1</x:v>
      </x:c>
    </x:row>
    <x:row r="3462">
      <x:c r="A3462" s="38" t="str">
        <x:v>7月30日现场数据</x:v>
      </x:c>
      <x:c r="B3462" s="39" t="str">
        <x:v>2026-08-03T13:35:00</x:v>
      </x:c>
      <x:c r="C3462" s="39" t="str">
        <x:v>2026-08-03T14:05:00</x:v>
      </x:c>
      <x:c r="D3462" s="47" t="n">
        <x:v>30</x:v>
      </x:c>
      <x:c r="E3462" s="40" t="n">
        <x:v>13.7</x:v>
      </x:c>
      <x:c r="F3462" s="40" t="n">
        <x:v>12.22580337524414</x:v>
      </x:c>
      <x:c r="G3462" s="40" t="n">
        <x:v>13.6</x:v>
      </x:c>
      <x:c r="H3462" s="40" t="n">
        <x:f>F3462-E3462</x:f>
        <x:v>-1.4741966247558587</x:v>
      </x:c>
      <x:c r="I3462" s="40" t="n">
        <x:f>ABS(H3462)</x:f>
        <x:v>1.4741966247558587</x:v>
      </x:c>
      <x:c r="J3462" s="40" t="n">
        <x:f>H3462^2</x:f>
        <x:v>2.173255688441566</x:v>
      </x:c>
      <x:c r="K3462" s="40" t="n">
        <x:f>G3462-E3462</x:f>
        <x:v>-0.09999999999999964</x:v>
      </x:c>
      <x:c r="L3462" s="40" t="n">
        <x:f>ABS(K3462)</x:f>
        <x:v>0.09999999999999964</x:v>
      </x:c>
      <x:c r="M3462" s="41" t="str">
        <x:v>lstm-soil-v1</x:v>
      </x:c>
    </x:row>
    <x:row r="3463">
      <x:c r="A3463" s="38" t="str">
        <x:v>7月30日现场数据</x:v>
      </x:c>
      <x:c r="B3463" s="39" t="str">
        <x:v>2026-08-03T13:35:00</x:v>
      </x:c>
      <x:c r="C3463" s="39" t="str">
        <x:v>2026-08-03T14:35:00</x:v>
      </x:c>
      <x:c r="D3463" s="47" t="n">
        <x:v>60</x:v>
      </x:c>
      <x:c r="E3463" s="40" t="n">
        <x:v>13.35</x:v>
      </x:c>
      <x:c r="F3463" s="40" t="n">
        <x:v>13.925163269042969</x:v>
      </x:c>
      <x:c r="G3463" s="40" t="n">
        <x:v>13.6</x:v>
      </x:c>
      <x:c r="H3463" s="40" t="n">
        <x:f>F3463-E3463</x:f>
        <x:v>0.5751632690429691</x:v>
      </x:c>
      <x:c r="I3463" s="40" t="n">
        <x:f>ABS(H3463)</x:f>
        <x:v>0.5751632690429691</x:v>
      </x:c>
      <x:c r="J3463" s="40" t="n">
        <x:f>H3463^2</x:f>
        <x:v>0.33081278605619485</x:v>
      </x:c>
      <x:c r="K3463" s="40" t="n">
        <x:f>G3463-E3463</x:f>
        <x:v>0.25</x:v>
      </x:c>
      <x:c r="L3463" s="40" t="n">
        <x:f>ABS(K3463)</x:f>
        <x:v>0.25</x:v>
      </x:c>
      <x:c r="M3463" s="41" t="str">
        <x:v>lstm-soil-v1</x:v>
      </x:c>
    </x:row>
    <x:row r="3464">
      <x:c r="A3464" s="38" t="str">
        <x:v>7月30日现场数据</x:v>
      </x:c>
      <x:c r="B3464" s="39" t="str">
        <x:v>2026-08-03T13:40:00</x:v>
      </x:c>
      <x:c r="C3464" s="39" t="str">
        <x:v>2026-08-03T13:45:00</x:v>
      </x:c>
      <x:c r="D3464" s="47" t="n">
        <x:v>5</x:v>
      </x:c>
      <x:c r="E3464" s="40" t="n">
        <x:v>13.6</x:v>
      </x:c>
      <x:c r="F3464" s="40" t="n">
        <x:v>11.836193084716797</x:v>
      </x:c>
      <x:c r="G3464" s="40" t="n">
        <x:v>13.7</x:v>
      </x:c>
      <x:c r="H3464" s="40" t="n">
        <x:f>F3464-E3464</x:f>
        <x:v>-1.7638069152832028</x:v>
      </x:c>
      <x:c r="I3464" s="40" t="n">
        <x:f>ABS(H3464)</x:f>
        <x:v>1.7638069152832028</x:v>
      </x:c>
      <x:c r="J3464" s="40" t="n">
        <x:f>H3464^2</x:f>
        <x:v>3.111014834400847</x:v>
      </x:c>
      <x:c r="K3464" s="40" t="n">
        <x:f>G3464-E3464</x:f>
        <x:v>0.09999999999999964</x:v>
      </x:c>
      <x:c r="L3464" s="40" t="n">
        <x:f>ABS(K3464)</x:f>
        <x:v>0.09999999999999964</x:v>
      </x:c>
      <x:c r="M3464" s="41" t="str">
        <x:v>lstm-soil-v1</x:v>
      </x:c>
    </x:row>
    <x:row r="3465">
      <x:c r="A3465" s="38" t="str">
        <x:v>7月30日现场数据</x:v>
      </x:c>
      <x:c r="B3465" s="39" t="str">
        <x:v>2026-08-03T13:40:00</x:v>
      </x:c>
      <x:c r="C3465" s="39" t="str">
        <x:v>2026-08-03T13:55:00</x:v>
      </x:c>
      <x:c r="D3465" s="47" t="n">
        <x:v>15</x:v>
      </x:c>
      <x:c r="E3465" s="40" t="n">
        <x:v>13.6</x:v>
      </x:c>
      <x:c r="F3465" s="40" t="n">
        <x:v>11.92767333984375</x:v>
      </x:c>
      <x:c r="G3465" s="40" t="n">
        <x:v>13.7</x:v>
      </x:c>
      <x:c r="H3465" s="40" t="n">
        <x:f>F3465-E3465</x:f>
        <x:v>-1.6723266601562496</x:v>
      </x:c>
      <x:c r="I3465" s="40" t="n">
        <x:f>ABS(H3465)</x:f>
        <x:v>1.6723266601562496</x:v>
      </x:c>
      <x:c r="J3465" s="40" t="n">
        <x:f>H3465^2</x:f>
        <x:v>2.7966764582693564</x:v>
      </x:c>
      <x:c r="K3465" s="40" t="n">
        <x:f>G3465-E3465</x:f>
        <x:v>0.09999999999999964</x:v>
      </x:c>
      <x:c r="L3465" s="40" t="n">
        <x:f>ABS(K3465)</x:f>
        <x:v>0.09999999999999964</x:v>
      </x:c>
      <x:c r="M3465" s="41" t="str">
        <x:v>lstm-soil-v1</x:v>
      </x:c>
    </x:row>
    <x:row r="3466">
      <x:c r="A3466" s="38" t="str">
        <x:v>7月30日现场数据</x:v>
      </x:c>
      <x:c r="B3466" s="39" t="str">
        <x:v>2026-08-03T13:40:00</x:v>
      </x:c>
      <x:c r="C3466" s="39" t="str">
        <x:v>2026-08-03T14:10:00</x:v>
      </x:c>
      <x:c r="D3466" s="47" t="n">
        <x:v>30</x:v>
      </x:c>
      <x:c r="E3466" s="40" t="n">
        <x:v>13.6</x:v>
      </x:c>
      <x:c r="F3466" s="40" t="n">
        <x:v>12.334453582763672</x:v>
      </x:c>
      <x:c r="G3466" s="40" t="n">
        <x:v>13.7</x:v>
      </x:c>
      <x:c r="H3466" s="40" t="n">
        <x:f>F3466-E3466</x:f>
        <x:v>-1.2655464172363278</x:v>
      </x:c>
      <x:c r="I3466" s="40" t="n">
        <x:f>ABS(H3466)</x:f>
        <x:v>1.2655464172363278</x:v>
      </x:c>
      <x:c r="J3466" s="40" t="n">
        <x:f>H3466^2</x:f>
        <x:v>1.6016077341797055</x:v>
      </x:c>
      <x:c r="K3466" s="40" t="n">
        <x:f>G3466-E3466</x:f>
        <x:v>0.09999999999999964</x:v>
      </x:c>
      <x:c r="L3466" s="40" t="n">
        <x:f>ABS(K3466)</x:f>
        <x:v>0.09999999999999964</x:v>
      </x:c>
      <x:c r="M3466" s="41" t="str">
        <x:v>lstm-soil-v1</x:v>
      </x:c>
    </x:row>
    <x:row r="3467">
      <x:c r="A3467" s="38" t="str">
        <x:v>7月30日现场数据</x:v>
      </x:c>
      <x:c r="B3467" s="39" t="str">
        <x:v>2026-08-03T13:40:00</x:v>
      </x:c>
      <x:c r="C3467" s="39" t="str">
        <x:v>2026-08-03T14:40:00</x:v>
      </x:c>
      <x:c r="D3467" s="47" t="n">
        <x:v>60</x:v>
      </x:c>
      <x:c r="E3467" s="40" t="n">
        <x:v>13.6</x:v>
      </x:c>
      <x:c r="F3467" s="40" t="n">
        <x:v>14.033489227294922</x:v>
      </x:c>
      <x:c r="G3467" s="40" t="n">
        <x:v>13.7</x:v>
      </x:c>
      <x:c r="H3467" s="40" t="n">
        <x:f>F3467-E3467</x:f>
        <x:v>0.43348922729492223</x:v>
      </x:c>
      <x:c r="I3467" s="40" t="n">
        <x:f>ABS(H3467)</x:f>
        <x:v>0.43348922729492223</x:v>
      </x:c>
      <x:c r="J3467" s="40" t="n">
        <x:f>H3467^2</x:f>
        <x:v>0.18791291018074874</x:v>
      </x:c>
      <x:c r="K3467" s="40" t="n">
        <x:f>G3467-E3467</x:f>
        <x:v>0.09999999999999964</x:v>
      </x:c>
      <x:c r="L3467" s="40" t="n">
        <x:f>ABS(K3467)</x:f>
        <x:v>0.09999999999999964</x:v>
      </x:c>
      <x:c r="M3467" s="41" t="str">
        <x:v>lstm-soil-v1</x:v>
      </x:c>
    </x:row>
    <x:row r="3468">
      <x:c r="A3468" s="38" t="str">
        <x:v>7月30日现场数据</x:v>
      </x:c>
      <x:c r="B3468" s="39" t="str">
        <x:v>2026-08-03T13:45:00</x:v>
      </x:c>
      <x:c r="C3468" s="39" t="str">
        <x:v>2026-08-03T13:50:00</x:v>
      </x:c>
      <x:c r="D3468" s="47" t="n">
        <x:v>5</x:v>
      </x:c>
      <x:c r="E3468" s="40" t="n">
        <x:v>13.7</x:v>
      </x:c>
      <x:c r="F3468" s="40" t="n">
        <x:v>11.73114013671875</x:v>
      </x:c>
      <x:c r="G3468" s="40" t="n">
        <x:v>13.6</x:v>
      </x:c>
      <x:c r="H3468" s="40" t="n">
        <x:f>F3468-E3468</x:f>
        <x:v>-1.9688598632812493</x:v>
      </x:c>
      <x:c r="I3468" s="40" t="n">
        <x:f>ABS(H3468)</x:f>
        <x:v>1.9688598632812493</x:v>
      </x:c>
      <x:c r="J3468" s="40" t="n">
        <x:f>H3468^2</x:f>
        <x:v>3.8764091612398595</x:v>
      </x:c>
      <x:c r="K3468" s="40" t="n">
        <x:f>G3468-E3468</x:f>
        <x:v>-0.09999999999999964</x:v>
      </x:c>
      <x:c r="L3468" s="40" t="n">
        <x:f>ABS(K3468)</x:f>
        <x:v>0.09999999999999964</x:v>
      </x:c>
      <x:c r="M3468" s="41" t="str">
        <x:v>lstm-soil-v1</x:v>
      </x:c>
    </x:row>
    <x:row r="3469">
      <x:c r="A3469" s="38" t="str">
        <x:v>7月30日现场数据</x:v>
      </x:c>
      <x:c r="B3469" s="39" t="str">
        <x:v>2026-08-03T13:45:00</x:v>
      </x:c>
      <x:c r="C3469" s="39" t="str">
        <x:v>2026-08-03T14:00:00</x:v>
      </x:c>
      <x:c r="D3469" s="47" t="n">
        <x:v>15</x:v>
      </x:c>
      <x:c r="E3469" s="40" t="n">
        <x:v>13.7</x:v>
      </x:c>
      <x:c r="F3469" s="40" t="n">
        <x:v>11.825580596923828</x:v>
      </x:c>
      <x:c r="G3469" s="40" t="n">
        <x:v>13.6</x:v>
      </x:c>
      <x:c r="H3469" s="40" t="n">
        <x:f>F3469-E3469</x:f>
        <x:v>-1.8744194030761712</x:v>
      </x:c>
      <x:c r="I3469" s="40" t="n">
        <x:f>ABS(H3469)</x:f>
        <x:v>1.8744194030761712</x:v>
      </x:c>
      <x:c r="J3469" s="40" t="n">
        <x:f>H3469^2</x:f>
        <x:v>3.5134480986284298</x:v>
      </x:c>
      <x:c r="K3469" s="40" t="n">
        <x:f>G3469-E3469</x:f>
        <x:v>-0.09999999999999964</x:v>
      </x:c>
      <x:c r="L3469" s="40" t="n">
        <x:f>ABS(K3469)</x:f>
        <x:v>0.09999999999999964</x:v>
      </x:c>
      <x:c r="M3469" s="41" t="str">
        <x:v>lstm-soil-v1</x:v>
      </x:c>
    </x:row>
    <x:row r="3470">
      <x:c r="A3470" s="38" t="str">
        <x:v>7月30日现场数据</x:v>
      </x:c>
      <x:c r="B3470" s="39" t="str">
        <x:v>2026-08-03T13:45:00</x:v>
      </x:c>
      <x:c r="C3470" s="39" t="str">
        <x:v>2026-08-03T14:15:00</x:v>
      </x:c>
      <x:c r="D3470" s="47" t="n">
        <x:v>30</x:v>
      </x:c>
      <x:c r="E3470" s="40" t="n">
        <x:v>13.6</x:v>
      </x:c>
      <x:c r="F3470" s="40" t="n">
        <x:v>12.22848892211914</x:v>
      </x:c>
      <x:c r="G3470" s="40" t="n">
        <x:v>13.6</x:v>
      </x:c>
      <x:c r="H3470" s="40" t="n">
        <x:f>F3470-E3470</x:f>
        <x:v>-1.371511077880859</x:v>
      </x:c>
      <x:c r="I3470" s="40" t="n">
        <x:f>ABS(H3470)</x:f>
        <x:v>1.371511077880859</x:v>
      </x:c>
      <x:c r="J3470" s="40" t="n">
        <x:f>H3470^2</x:f>
        <x:v>1.8810426367499158</x:v>
      </x:c>
      <x:c r="K3470" s="40" t="n">
        <x:f>G3470-E3470</x:f>
        <x:v>0</x:v>
      </x:c>
      <x:c r="L3470" s="40" t="n">
        <x:f>ABS(K3470)</x:f>
        <x:v>0</x:v>
      </x:c>
      <x:c r="M3470" s="41" t="str">
        <x:v>lstm-soil-v1</x:v>
      </x:c>
    </x:row>
    <x:row r="3471">
      <x:c r="A3471" s="38" t="str">
        <x:v>7月30日现场数据</x:v>
      </x:c>
      <x:c r="B3471" s="39" t="str">
        <x:v>2026-08-03T13:45:00</x:v>
      </x:c>
      <x:c r="C3471" s="39" t="str">
        <x:v>2026-08-03T14:45:00</x:v>
      </x:c>
      <x:c r="D3471" s="47" t="n">
        <x:v>60</x:v>
      </x:c>
      <x:c r="E3471" s="40" t="n">
        <x:v>13.7</x:v>
      </x:c>
      <x:c r="F3471" s="40" t="n">
        <x:v>13.930412292480469</x:v>
      </x:c>
      <x:c r="G3471" s="40" t="n">
        <x:v>13.6</x:v>
      </x:c>
      <x:c r="H3471" s="40" t="n">
        <x:f>F3471-E3471</x:f>
        <x:v>0.23041229248046946</x:v>
      </x:c>
      <x:c r="I3471" s="40" t="n">
        <x:f>ABS(H3471)</x:f>
        <x:v>0.23041229248046946</x:v>
      </x:c>
      <x:c r="J3471" s="40" t="n">
        <x:f>H3471^2</x:f>
        <x:v>0.0530898245261054</x:v>
      </x:c>
      <x:c r="K3471" s="40" t="n">
        <x:f>G3471-E3471</x:f>
        <x:v>-0.09999999999999964</x:v>
      </x:c>
      <x:c r="L3471" s="40" t="n">
        <x:f>ABS(K3471)</x:f>
        <x:v>0.09999999999999964</x:v>
      </x:c>
      <x:c r="M3471" s="41" t="str">
        <x:v>lstm-soil-v1</x:v>
      </x:c>
    </x:row>
    <x:row r="3472">
      <x:c r="A3472" s="38" t="str">
        <x:v>7月30日现场数据</x:v>
      </x:c>
      <x:c r="B3472" s="39" t="str">
        <x:v>2026-08-03T13:50:00</x:v>
      </x:c>
      <x:c r="C3472" s="39" t="str">
        <x:v>2026-08-03T13:55:00</x:v>
      </x:c>
      <x:c r="D3472" s="47" t="n">
        <x:v>5</x:v>
      </x:c>
      <x:c r="E3472" s="40" t="n">
        <x:v>13.6</x:v>
      </x:c>
      <x:c r="F3472" s="40" t="n">
        <x:v>11.839336395263672</x:v>
      </x:c>
      <x:c r="G3472" s="40" t="n">
        <x:v>13.7</x:v>
      </x:c>
      <x:c r="H3472" s="40" t="n">
        <x:f>F3472-E3472</x:f>
        <x:v>-1.7606636047363278</x:v>
      </x:c>
      <x:c r="I3472" s="40" t="n">
        <x:f>ABS(H3472)</x:f>
        <x:v>1.7606636047363278</x:v>
      </x:c>
      <x:c r="J3472" s="40" t="n">
        <x:f>H3472^2</x:f>
        <x:v>3.09993632904312</x:v>
      </x:c>
      <x:c r="K3472" s="40" t="n">
        <x:f>G3472-E3472</x:f>
        <x:v>0.09999999999999964</x:v>
      </x:c>
      <x:c r="L3472" s="40" t="n">
        <x:f>ABS(K3472)</x:f>
        <x:v>0.09999999999999964</x:v>
      </x:c>
      <x:c r="M3472" s="41" t="str">
        <x:v>lstm-soil-v1</x:v>
      </x:c>
    </x:row>
    <x:row r="3473">
      <x:c r="A3473" s="38" t="str">
        <x:v>7月30日现场数据</x:v>
      </x:c>
      <x:c r="B3473" s="39" t="str">
        <x:v>2026-08-03T13:50:00</x:v>
      </x:c>
      <x:c r="C3473" s="39" t="str">
        <x:v>2026-08-03T14:05:00</x:v>
      </x:c>
      <x:c r="D3473" s="47" t="n">
        <x:v>15</x:v>
      </x:c>
      <x:c r="E3473" s="40" t="n">
        <x:v>13.7</x:v>
      </x:c>
      <x:c r="F3473" s="40" t="n">
        <x:v>11.925460815429688</x:v>
      </x:c>
      <x:c r="G3473" s="40" t="n">
        <x:v>13.7</x:v>
      </x:c>
      <x:c r="H3473" s="40" t="n">
        <x:f>F3473-E3473</x:f>
        <x:v>-1.7745391845703118</x:v>
      </x:c>
      <x:c r="I3473" s="40" t="n">
        <x:f>ABS(H3473)</x:f>
        <x:v>1.7745391845703118</x:v>
      </x:c>
      <x:c r="J3473" s="40" t="n">
        <x:f>H3473^2</x:f>
        <x:v>3.148989317575467</x:v>
      </x:c>
      <x:c r="K3473" s="40" t="n">
        <x:f>G3473-E3473</x:f>
        <x:v>0</x:v>
      </x:c>
      <x:c r="L3473" s="40" t="n">
        <x:f>ABS(K3473)</x:f>
        <x:v>0</x:v>
      </x:c>
      <x:c r="M3473" s="41" t="str">
        <x:v>lstm-soil-v1</x:v>
      </x:c>
    </x:row>
    <x:row r="3474">
      <x:c r="A3474" s="38" t="str">
        <x:v>7月30日现场数据</x:v>
      </x:c>
      <x:c r="B3474" s="39" t="str">
        <x:v>2026-08-03T13:50:00</x:v>
      </x:c>
      <x:c r="C3474" s="39" t="str">
        <x:v>2026-08-03T14:20:00</x:v>
      </x:c>
      <x:c r="D3474" s="47" t="n">
        <x:v>30</x:v>
      </x:c>
      <x:c r="E3474" s="40" t="n">
        <x:v>13.6</x:v>
      </x:c>
      <x:c r="F3474" s="40" t="n">
        <x:v>12.33633804321289</x:v>
      </x:c>
      <x:c r="G3474" s="40" t="n">
        <x:v>13.7</x:v>
      </x:c>
      <x:c r="H3474" s="40" t="n">
        <x:f>F3474-E3474</x:f>
        <x:v>-1.263661956787109</x:v>
      </x:c>
      <x:c r="I3474" s="40" t="n">
        <x:f>ABS(H3474)</x:f>
        <x:v>1.263661956787109</x:v>
      </x:c>
      <x:c r="J3474" s="40" t="n">
        <x:f>H3474^2</x:f>
        <x:v>1.5968415410310255</x:v>
      </x:c>
      <x:c r="K3474" s="40" t="n">
        <x:f>G3474-E3474</x:f>
        <x:v>0.09999999999999964</x:v>
      </x:c>
      <x:c r="L3474" s="40" t="n">
        <x:f>ABS(K3474)</x:f>
        <x:v>0.09999999999999964</x:v>
      </x:c>
      <x:c r="M3474" s="41" t="str">
        <x:v>lstm-soil-v1</x:v>
      </x:c>
    </x:row>
    <x:row r="3475">
      <x:c r="A3475" s="38" t="str">
        <x:v>7月30日现场数据</x:v>
      </x:c>
      <x:c r="B3475" s="39" t="str">
        <x:v>2026-08-03T13:50:00</x:v>
      </x:c>
      <x:c r="C3475" s="39" t="str">
        <x:v>2026-08-03T14:50:00</x:v>
      </x:c>
      <x:c r="D3475" s="47" t="n">
        <x:v>60</x:v>
      </x:c>
      <x:c r="E3475" s="40" t="n">
        <x:v>13.7</x:v>
      </x:c>
      <x:c r="F3475" s="40" t="n">
        <x:v>14.040382385253906</x:v>
      </x:c>
      <x:c r="G3475" s="40" t="n">
        <x:v>13.7</x:v>
      </x:c>
      <x:c r="H3475" s="40" t="n">
        <x:f>F3475-E3475</x:f>
        <x:v>0.34038238525390696</x:v>
      </x:c>
      <x:c r="I3475" s="40" t="n">
        <x:f>ABS(H3475)</x:f>
        <x:v>0.34038238525390696</x:v>
      </x:c>
      <x:c r="J3475" s="40" t="n">
        <x:f>H3475^2</x:f>
        <x:v>0.11586016819113913</x:v>
      </x:c>
      <x:c r="K3475" s="40" t="n">
        <x:f>G3475-E3475</x:f>
        <x:v>0</x:v>
      </x:c>
      <x:c r="L3475" s="40" t="n">
        <x:f>ABS(K3475)</x:f>
        <x:v>0</x:v>
      </x:c>
      <x:c r="M3475" s="41" t="str">
        <x:v>lstm-soil-v1</x:v>
      </x:c>
    </x:row>
    <x:row r="3476">
      <x:c r="A3476" s="38" t="str">
        <x:v>7月30日现场数据</x:v>
      </x:c>
      <x:c r="B3476" s="39" t="str">
        <x:v>2026-08-03T13:55:00</x:v>
      </x:c>
      <x:c r="C3476" s="39" t="str">
        <x:v>2026-08-03T14:00:00</x:v>
      </x:c>
      <x:c r="D3476" s="47" t="n">
        <x:v>5</x:v>
      </x:c>
      <x:c r="E3476" s="40" t="n">
        <x:v>13.7</x:v>
      </x:c>
      <x:c r="F3476" s="40" t="n">
        <x:v>11.729801177978516</x:v>
      </x:c>
      <x:c r="G3476" s="40" t="n">
        <x:v>13.6</x:v>
      </x:c>
      <x:c r="H3476" s="40" t="n">
        <x:f>F3476-E3476</x:f>
        <x:v>-1.9701988220214837</x:v>
      </x:c>
      <x:c r="I3476" s="40" t="n">
        <x:f>ABS(H3476)</x:f>
        <x:v>1.9701988220214837</x:v>
      </x:c>
      <x:c r="J3476" s="40" t="n">
        <x:f>H3476^2</x:f>
        <x:v>3.8816833982948418</x:v>
      </x:c>
      <x:c r="K3476" s="40" t="n">
        <x:f>G3476-E3476</x:f>
        <x:v>-0.09999999999999964</x:v>
      </x:c>
      <x:c r="L3476" s="40" t="n">
        <x:f>ABS(K3476)</x:f>
        <x:v>0.09999999999999964</x:v>
      </x:c>
      <x:c r="M3476" s="41" t="str">
        <x:v>lstm-soil-v1</x:v>
      </x:c>
    </x:row>
    <x:row r="3477">
      <x:c r="A3477" s="38" t="str">
        <x:v>7月30日现场数据</x:v>
      </x:c>
      <x:c r="B3477" s="39" t="str">
        <x:v>2026-08-03T13:55:00</x:v>
      </x:c>
      <x:c r="C3477" s="39" t="str">
        <x:v>2026-08-03T14:10:00</x:v>
      </x:c>
      <x:c r="D3477" s="47" t="n">
        <x:v>15</x:v>
      </x:c>
      <x:c r="E3477" s="40" t="n">
        <x:v>13.6</x:v>
      </x:c>
      <x:c r="F3477" s="40" t="n">
        <x:v>11.813129425048828</x:v>
      </x:c>
      <x:c r="G3477" s="40" t="n">
        <x:v>13.6</x:v>
      </x:c>
      <x:c r="H3477" s="40" t="n">
        <x:f>F3477-E3477</x:f>
        <x:v>-1.7868705749511715</x:v>
      </x:c>
      <x:c r="I3477" s="40" t="n">
        <x:f>ABS(H3477)</x:f>
        <x:v>1.7868705749511715</x:v>
      </x:c>
      <x:c r="J3477" s="40" t="n">
        <x:f>H3477^2</x:f>
        <x:v>3.1929064516263304</x:v>
      </x:c>
      <x:c r="K3477" s="40" t="n">
        <x:f>G3477-E3477</x:f>
        <x:v>0</x:v>
      </x:c>
      <x:c r="L3477" s="40" t="n">
        <x:f>ABS(K3477)</x:f>
        <x:v>0</x:v>
      </x:c>
      <x:c r="M3477" s="41" t="str">
        <x:v>lstm-soil-v1</x:v>
      </x:c>
    </x:row>
    <x:row r="3478">
      <x:c r="A3478" s="38" t="str">
        <x:v>7月30日现场数据</x:v>
      </x:c>
      <x:c r="B3478" s="39" t="str">
        <x:v>2026-08-03T13:55:00</x:v>
      </x:c>
      <x:c r="C3478" s="39" t="str">
        <x:v>2026-08-03T14:25:00</x:v>
      </x:c>
      <x:c r="D3478" s="47" t="n">
        <x:v>30</x:v>
      </x:c>
      <x:c r="E3478" s="40" t="n">
        <x:v>13.6</x:v>
      </x:c>
      <x:c r="F3478" s="40" t="n">
        <x:v>12.229862213134766</x:v>
      </x:c>
      <x:c r="G3478" s="40" t="n">
        <x:v>13.6</x:v>
      </x:c>
      <x:c r="H3478" s="40" t="n">
        <x:f>F3478-E3478</x:f>
        <x:v>-1.370137786865234</x:v>
      </x:c>
      <x:c r="I3478" s="40" t="n">
        <x:f>ABS(H3478)</x:f>
        <x:v>1.370137786865234</x:v>
      </x:c>
      <x:c r="J3478" s="40" t="n">
        <x:f>H3478^2</x:f>
        <x:v>1.8772775549959615</x:v>
      </x:c>
      <x:c r="K3478" s="40" t="n">
        <x:f>G3478-E3478</x:f>
        <x:v>0</x:v>
      </x:c>
      <x:c r="L3478" s="40" t="n">
        <x:f>ABS(K3478)</x:f>
        <x:v>0</x:v>
      </x:c>
      <x:c r="M3478" s="41" t="str">
        <x:v>lstm-soil-v1</x:v>
      </x:c>
    </x:row>
    <x:row r="3479">
      <x:c r="A3479" s="38" t="str">
        <x:v>7月30日现场数据</x:v>
      </x:c>
      <x:c r="B3479" s="39" t="str">
        <x:v>2026-08-03T13:55:00</x:v>
      </x:c>
      <x:c r="C3479" s="39" t="str">
        <x:v>2026-08-03T14:55:00</x:v>
      </x:c>
      <x:c r="D3479" s="47" t="n">
        <x:v>60</x:v>
      </x:c>
      <x:c r="E3479" s="40" t="n">
        <x:v>13.6</x:v>
      </x:c>
      <x:c r="F3479" s="40" t="n">
        <x:v>13.930767059326172</x:v>
      </x:c>
      <x:c r="G3479" s="40" t="n">
        <x:v>13.6</x:v>
      </x:c>
      <x:c r="H3479" s="40" t="n">
        <x:f>F3479-E3479</x:f>
        <x:v>0.33076705932617223</x:v>
      </x:c>
      <x:c r="I3479" s="40" t="n">
        <x:f>ABS(H3479)</x:f>
        <x:v>0.33076705932617223</x:v>
      </x:c>
      <x:c r="J3479" s="40" t="n">
        <x:f>H3479^2</x:f>
        <x:v>0.10940684753528354</x:v>
      </x:c>
      <x:c r="K3479" s="40" t="n">
        <x:f>G3479-E3479</x:f>
        <x:v>0</x:v>
      </x:c>
      <x:c r="L3479" s="40" t="n">
        <x:f>ABS(K3479)</x:f>
        <x:v>0</x:v>
      </x:c>
      <x:c r="M3479" s="41" t="str">
        <x:v>lstm-soil-v1</x:v>
      </x:c>
    </x:row>
    <x:row r="3480">
      <x:c r="A3480" s="38" t="str">
        <x:v>7月30日现场数据</x:v>
      </x:c>
      <x:c r="B3480" s="39" t="str">
        <x:v>2026-08-03T14:00:00</x:v>
      </x:c>
      <x:c r="C3480" s="39" t="str">
        <x:v>2026-08-03T14:05:00</x:v>
      </x:c>
      <x:c r="D3480" s="47" t="n">
        <x:v>5</x:v>
      </x:c>
      <x:c r="E3480" s="40" t="n">
        <x:v>13.7</x:v>
      </x:c>
      <x:c r="F3480" s="40" t="n">
        <x:v>11.842796325683594</x:v>
      </x:c>
      <x:c r="G3480" s="40" t="n">
        <x:v>13.7</x:v>
      </x:c>
      <x:c r="H3480" s="40" t="n">
        <x:f>F3480-E3480</x:f>
        <x:v>-1.8572036743164055</x:v>
      </x:c>
      <x:c r="I3480" s="40" t="n">
        <x:f>ABS(H3480)</x:f>
        <x:v>1.8572036743164055</x:v>
      </x:c>
      <x:c r="J3480" s="40" t="n">
        <x:f>H3480^2</x:f>
        <x:v>3.4492054878943574</x:v>
      </x:c>
      <x:c r="K3480" s="40" t="n">
        <x:f>G3480-E3480</x:f>
        <x:v>0</x:v>
      </x:c>
      <x:c r="L3480" s="40" t="n">
        <x:f>ABS(K3480)</x:f>
        <x:v>0</x:v>
      </x:c>
      <x:c r="M3480" s="41" t="str">
        <x:v>lstm-soil-v1</x:v>
      </x:c>
    </x:row>
    <x:row r="3481">
      <x:c r="A3481" s="38" t="str">
        <x:v>7月30日现场数据</x:v>
      </x:c>
      <x:c r="B3481" s="39" t="str">
        <x:v>2026-08-03T14:00:00</x:v>
      </x:c>
      <x:c r="C3481" s="39" t="str">
        <x:v>2026-08-03T14:15:00</x:v>
      </x:c>
      <x:c r="D3481" s="47" t="n">
        <x:v>15</x:v>
      </x:c>
      <x:c r="E3481" s="40" t="n">
        <x:v>13.6</x:v>
      </x:c>
      <x:c r="F3481" s="40" t="n">
        <x:v>11.923103332519531</x:v>
      </x:c>
      <x:c r="G3481" s="40" t="n">
        <x:v>13.7</x:v>
      </x:c>
      <x:c r="H3481" s="40" t="n">
        <x:f>F3481-E3481</x:f>
        <x:v>-1.6768966674804684</x:v>
      </x:c>
      <x:c r="I3481" s="40" t="n">
        <x:f>ABS(H3481)</x:f>
        <x:v>1.6768966674804684</x:v>
      </x:c>
      <x:c r="J3481" s="40" t="n">
        <x:f>H3481^2</x:f>
        <x:v>2.8119824334071004</x:v>
      </x:c>
      <x:c r="K3481" s="40" t="n">
        <x:f>G3481-E3481</x:f>
        <x:v>0.09999999999999964</x:v>
      </x:c>
      <x:c r="L3481" s="40" t="n">
        <x:f>ABS(K3481)</x:f>
        <x:v>0.09999999999999964</x:v>
      </x:c>
      <x:c r="M3481" s="41" t="str">
        <x:v>lstm-soil-v1</x:v>
      </x:c>
    </x:row>
    <x:row r="3482">
      <x:c r="A3482" s="38" t="str">
        <x:v>7月30日现场数据</x:v>
      </x:c>
      <x:c r="B3482" s="39" t="str">
        <x:v>2026-08-03T14:00:00</x:v>
      </x:c>
      <x:c r="C3482" s="39" t="str">
        <x:v>2026-08-03T14:30:00</x:v>
      </x:c>
      <x:c r="D3482" s="47" t="n">
        <x:v>30</x:v>
      </x:c>
      <x:c r="E3482" s="40" t="n">
        <x:v>13.5</x:v>
      </x:c>
      <x:c r="F3482" s="40" t="n">
        <x:v>12.343742370605469</x:v>
      </x:c>
      <x:c r="G3482" s="40" t="n">
        <x:v>13.7</x:v>
      </x:c>
      <x:c r="H3482" s="40" t="n">
        <x:f>F3482-E3482</x:f>
        <x:v>-1.1562576293945312</x:v>
      </x:c>
      <x:c r="I3482" s="40" t="n">
        <x:f>ABS(H3482)</x:f>
        <x:v>1.1562576293945312</x:v>
      </x:c>
      <x:c r="J3482" s="40" t="n">
        <x:f>H3482^2</x:f>
        <x:v>1.3369317055330612</x:v>
      </x:c>
      <x:c r="K3482" s="40" t="n">
        <x:f>G3482-E3482</x:f>
        <x:v>0.1999999999999993</x:v>
      </x:c>
      <x:c r="L3482" s="40" t="n">
        <x:f>ABS(K3482)</x:f>
        <x:v>0.1999999999999993</x:v>
      </x:c>
      <x:c r="M3482" s="41" t="str">
        <x:v>lstm-soil-v1</x:v>
      </x:c>
    </x:row>
    <x:row r="3483">
      <x:c r="A3483" s="38" t="str">
        <x:v>7月30日现场数据</x:v>
      </x:c>
      <x:c r="B3483" s="39" t="str">
        <x:v>2026-08-03T14:00:00</x:v>
      </x:c>
      <x:c r="C3483" s="39" t="str">
        <x:v>2026-08-03T15:00:00</x:v>
      </x:c>
      <x:c r="D3483" s="47" t="n">
        <x:v>60</x:v>
      </x:c>
      <x:c r="E3483" s="40" t="n">
        <x:v>13.6</x:v>
      </x:c>
      <x:c r="F3483" s="40" t="n">
        <x:v>14.045448303222656</x:v>
      </x:c>
      <x:c r="G3483" s="40" t="n">
        <x:v>13.7</x:v>
      </x:c>
      <x:c r="H3483" s="40" t="n">
        <x:f>F3483-E3483</x:f>
        <x:v>0.4454483032226566</x:v>
      </x:c>
      <x:c r="I3483" s="40" t="n">
        <x:f>ABS(H3483)</x:f>
        <x:v>0.4454483032226566</x:v>
      </x:c>
      <x:c r="J3483" s="40" t="n">
        <x:f>H3483^2</x:f>
        <x:v>0.19842419084394383</x:v>
      </x:c>
      <x:c r="K3483" s="40" t="n">
        <x:f>G3483-E3483</x:f>
        <x:v>0.09999999999999964</x:v>
      </x:c>
      <x:c r="L3483" s="40" t="n">
        <x:f>ABS(K3483)</x:f>
        <x:v>0.09999999999999964</x:v>
      </x:c>
      <x:c r="M3483" s="41" t="str">
        <x:v>lstm-soil-v1</x:v>
      </x:c>
    </x:row>
    <x:row r="3484">
      <x:c r="A3484" s="38" t="str">
        <x:v>7月30日现场数据</x:v>
      </x:c>
      <x:c r="B3484" s="39" t="str">
        <x:v>2026-08-03T14:05:00</x:v>
      </x:c>
      <x:c r="C3484" s="39" t="str">
        <x:v>2026-08-03T14:10:00</x:v>
      </x:c>
      <x:c r="D3484" s="47" t="n">
        <x:v>5</x:v>
      </x:c>
      <x:c r="E3484" s="40" t="n">
        <x:v>13.6</x:v>
      </x:c>
      <x:c r="F3484" s="40" t="n">
        <x:v>11.847389221191406</x:v>
      </x:c>
      <x:c r="G3484" s="40" t="n">
        <x:v>13.7</x:v>
      </x:c>
      <x:c r="H3484" s="40" t="n">
        <x:f>F3484-E3484</x:f>
        <x:v>-1.7526107788085934</x:v>
      </x:c>
      <x:c r="I3484" s="40" t="n">
        <x:f>ABS(H3484)</x:f>
        <x:v>1.7526107788085934</x:v>
      </x:c>
      <x:c r="J3484" s="40" t="n">
        <x:f>H3484^2</x:f>
        <x:v>3.071644541996064</x:v>
      </x:c>
      <x:c r="K3484" s="40" t="n">
        <x:f>G3484-E3484</x:f>
        <x:v>0.09999999999999964</x:v>
      </x:c>
      <x:c r="L3484" s="40" t="n">
        <x:f>ABS(K3484)</x:f>
        <x:v>0.09999999999999964</x:v>
      </x:c>
      <x:c r="M3484" s="41" t="str">
        <x:v>lstm-soil-v1</x:v>
      </x:c>
    </x:row>
    <x:row r="3485">
      <x:c r="A3485" s="38" t="str">
        <x:v>7月30日现场数据</x:v>
      </x:c>
      <x:c r="B3485" s="39" t="str">
        <x:v>2026-08-03T14:05:00</x:v>
      </x:c>
      <x:c r="C3485" s="39" t="str">
        <x:v>2026-08-03T14:20:00</x:v>
      </x:c>
      <x:c r="D3485" s="47" t="n">
        <x:v>15</x:v>
      </x:c>
      <x:c r="E3485" s="40" t="n">
        <x:v>13.6</x:v>
      </x:c>
      <x:c r="F3485" s="40" t="n">
        <x:v>11.927288055419922</x:v>
      </x:c>
      <x:c r="G3485" s="40" t="n">
        <x:v>13.7</x:v>
      </x:c>
      <x:c r="H3485" s="40" t="n">
        <x:f>F3485-E3485</x:f>
        <x:v>-1.6727119445800778</x:v>
      </x:c>
      <x:c r="I3485" s="40" t="n">
        <x:f>ABS(H3485)</x:f>
        <x:v>1.6727119445800778</x:v>
      </x:c>
      <x:c r="J3485" s="40" t="n">
        <x:f>H3485^2</x:f>
        <x:v>2.7979652495408653</x:v>
      </x:c>
      <x:c r="K3485" s="40" t="n">
        <x:f>G3485-E3485</x:f>
        <x:v>0.09999999999999964</x:v>
      </x:c>
      <x:c r="L3485" s="40" t="n">
        <x:f>ABS(K3485)</x:f>
        <x:v>0.09999999999999964</x:v>
      </x:c>
      <x:c r="M3485" s="41" t="str">
        <x:v>lstm-soil-v1</x:v>
      </x:c>
    </x:row>
    <x:row r="3486">
      <x:c r="A3486" s="38" t="str">
        <x:v>7月30日现场数据</x:v>
      </x:c>
      <x:c r="B3486" s="39" t="str">
        <x:v>2026-08-03T14:05:00</x:v>
      </x:c>
      <x:c r="C3486" s="39" t="str">
        <x:v>2026-08-03T14:35:00</x:v>
      </x:c>
      <x:c r="D3486" s="47" t="n">
        <x:v>30</x:v>
      </x:c>
      <x:c r="E3486" s="40" t="n">
        <x:v>13.35</x:v>
      </x:c>
      <x:c r="F3486" s="40" t="n">
        <x:v>12.347328186035156</x:v>
      </x:c>
      <x:c r="G3486" s="40" t="n">
        <x:v>13.7</x:v>
      </x:c>
      <x:c r="H3486" s="40" t="n">
        <x:f>F3486-E3486</x:f>
        <x:v>-1.0026718139648434</x:v>
      </x:c>
      <x:c r="I3486" s="40" t="n">
        <x:f>ABS(H3486)</x:f>
        <x:v>1.0026718139648434</x:v>
      </x:c>
      <x:c r="J3486" s="40" t="n">
        <x:f>H3486^2</x:f>
        <x:v>1.0053507665195496</x:v>
      </x:c>
      <x:c r="K3486" s="40" t="n">
        <x:f>G3486-E3486</x:f>
        <x:v>0.34999999999999964</x:v>
      </x:c>
      <x:c r="L3486" s="40" t="n">
        <x:f>ABS(K3486)</x:f>
        <x:v>0.34999999999999964</x:v>
      </x:c>
      <x:c r="M3486" s="41" t="str">
        <x:v>lstm-soil-v1</x:v>
      </x:c>
    </x:row>
    <x:row r="3487">
      <x:c r="A3487" s="38" t="str">
        <x:v>7月30日现场数据</x:v>
      </x:c>
      <x:c r="B3487" s="39" t="str">
        <x:v>2026-08-03T14:05:00</x:v>
      </x:c>
      <x:c r="C3487" s="39" t="str">
        <x:v>2026-08-03T15:05:00</x:v>
      </x:c>
      <x:c r="D3487" s="47" t="n">
        <x:v>60</x:v>
      </x:c>
      <x:c r="E3487" s="40" t="n">
        <x:v>13.6</x:v>
      </x:c>
      <x:c r="F3487" s="40" t="n">
        <x:v>14.054813385009766</x:v>
      </x:c>
      <x:c r="G3487" s="40" t="n">
        <x:v>13.7</x:v>
      </x:c>
      <x:c r="H3487" s="40" t="n">
        <x:f>F3487-E3487</x:f>
        <x:v>0.454813385009766</x:v>
      </x:c>
      <x:c r="I3487" s="40" t="n">
        <x:f>ABS(H3487)</x:f>
        <x:v>0.454813385009766</x:v>
      </x:c>
      <x:c r="J3487" s="40" t="n">
        <x:f>H3487^2</x:f>
        <x:v>0.20685521518404162</x:v>
      </x:c>
      <x:c r="K3487" s="40" t="n">
        <x:f>G3487-E3487</x:f>
        <x:v>0.09999999999999964</x:v>
      </x:c>
      <x:c r="L3487" s="40" t="n">
        <x:f>ABS(K3487)</x:f>
        <x:v>0.09999999999999964</x:v>
      </x:c>
      <x:c r="M3487" s="41" t="str">
        <x:v>lstm-soil-v1</x:v>
      </x:c>
    </x:row>
    <x:row r="3488">
      <x:c r="A3488" s="38" t="str">
        <x:v>7月30日现场数据</x:v>
      </x:c>
      <x:c r="B3488" s="39" t="str">
        <x:v>2026-08-03T14:10:00</x:v>
      </x:c>
      <x:c r="C3488" s="39" t="str">
        <x:v>2026-08-03T14:15:00</x:v>
      </x:c>
      <x:c r="D3488" s="47" t="n">
        <x:v>5</x:v>
      </x:c>
      <x:c r="E3488" s="40" t="n">
        <x:v>13.6</x:v>
      </x:c>
      <x:c r="F3488" s="40" t="n">
        <x:v>11.73952865600586</x:v>
      </x:c>
      <x:c r="G3488" s="40" t="n">
        <x:v>13.6</x:v>
      </x:c>
      <x:c r="H3488" s="40" t="n">
        <x:f>F3488-E3488</x:f>
        <x:v>-1.8604713439941403</x:v>
      </x:c>
      <x:c r="I3488" s="40" t="n">
        <x:f>ABS(H3488)</x:f>
        <x:v>1.8604713439941403</x:v>
      </x:c>
      <x:c r="J3488" s="40" t="n">
        <x:f>H3488^2</x:f>
        <x:v>3.4613536218233625</x:v>
      </x:c>
      <x:c r="K3488" s="40" t="n">
        <x:f>G3488-E3488</x:f>
        <x:v>0</x:v>
      </x:c>
      <x:c r="L3488" s="40" t="n">
        <x:f>ABS(K3488)</x:f>
        <x:v>0</x:v>
      </x:c>
      <x:c r="M3488" s="41" t="str">
        <x:v>lstm-soil-v1</x:v>
      </x:c>
    </x:row>
    <x:row r="3489">
      <x:c r="A3489" s="38" t="str">
        <x:v>7月30日现场数据</x:v>
      </x:c>
      <x:c r="B3489" s="39" t="str">
        <x:v>2026-08-03T14:10:00</x:v>
      </x:c>
      <x:c r="C3489" s="39" t="str">
        <x:v>2026-08-03T14:25:00</x:v>
      </x:c>
      <x:c r="D3489" s="47" t="n">
        <x:v>15</x:v>
      </x:c>
      <x:c r="E3489" s="40" t="n">
        <x:v>13.6</x:v>
      </x:c>
      <x:c r="F3489" s="40" t="n">
        <x:v>11.82437515258789</x:v>
      </x:c>
      <x:c r="G3489" s="40" t="n">
        <x:v>13.6</x:v>
      </x:c>
      <x:c r="H3489" s="40" t="n">
        <x:f>F3489-E3489</x:f>
        <x:v>-1.775624847412109</x:v>
      </x:c>
      <x:c r="I3489" s="40" t="n">
        <x:f>ABS(H3489)</x:f>
        <x:v>1.775624847412109</x:v>
      </x:c>
      <x:c r="J3489" s="40" t="n">
        <x:f>H3489^2</x:f>
        <x:v>3.1528435987472756</x:v>
      </x:c>
      <x:c r="K3489" s="40" t="n">
        <x:f>G3489-E3489</x:f>
        <x:v>0</x:v>
      </x:c>
      <x:c r="L3489" s="40" t="n">
        <x:f>ABS(K3489)</x:f>
        <x:v>0</x:v>
      </x:c>
      <x:c r="M3489" s="41" t="str">
        <x:v>lstm-soil-v1</x:v>
      </x:c>
    </x:row>
    <x:row r="3490">
      <x:c r="A3490" s="38" t="str">
        <x:v>7月30日现场数据</x:v>
      </x:c>
      <x:c r="B3490" s="39" t="str">
        <x:v>2026-08-03T14:10:00</x:v>
      </x:c>
      <x:c r="C3490" s="39" t="str">
        <x:v>2026-08-03T14:40:00</x:v>
      </x:c>
      <x:c r="D3490" s="47" t="n">
        <x:v>30</x:v>
      </x:c>
      <x:c r="E3490" s="40" t="n">
        <x:v>13.6</x:v>
      </x:c>
      <x:c r="F3490" s="40" t="n">
        <x:v>12.236831665039062</x:v>
      </x:c>
      <x:c r="G3490" s="40" t="n">
        <x:v>13.6</x:v>
      </x:c>
      <x:c r="H3490" s="40" t="n">
        <x:f>F3490-E3490</x:f>
        <x:v>-1.3631683349609371</x:v>
      </x:c>
      <x:c r="I3490" s="40" t="n">
        <x:f>ABS(H3490)</x:f>
        <x:v>1.3631683349609371</x:v>
      </x:c>
      <x:c r="J3490" s="40" t="n">
        <x:f>H3490^2</x:f>
        <x:v>1.8582279094401737</x:v>
      </x:c>
      <x:c r="K3490" s="40" t="n">
        <x:f>G3490-E3490</x:f>
        <x:v>0</x:v>
      </x:c>
      <x:c r="L3490" s="40" t="n">
        <x:f>ABS(K3490)</x:f>
        <x:v>0</x:v>
      </x:c>
      <x:c r="M3490" s="41" t="str">
        <x:v>lstm-soil-v1</x:v>
      </x:c>
    </x:row>
    <x:row r="3491">
      <x:c r="A3491" s="38" t="str">
        <x:v>7月30日现场数据</x:v>
      </x:c>
      <x:c r="B3491" s="39" t="str">
        <x:v>2026-08-03T14:10:00</x:v>
      </x:c>
      <x:c r="C3491" s="39" t="str">
        <x:v>2026-08-03T15:10:00</x:v>
      </x:c>
      <x:c r="D3491" s="47" t="n">
        <x:v>60</x:v>
      </x:c>
      <x:c r="E3491" s="40" t="n">
        <x:v>13.6</x:v>
      </x:c>
      <x:c r="F3491" s="40" t="n">
        <x:v>13.94598388671875</x:v>
      </x:c>
      <x:c r="G3491" s="40" t="n">
        <x:v>13.6</x:v>
      </x:c>
      <x:c r="H3491" s="40" t="n">
        <x:f>F3491-E3491</x:f>
        <x:v>0.34598388671875036</x:v>
      </x:c>
      <x:c r="I3491" s="40" t="n">
        <x:f>ABS(H3491)</x:f>
        <x:v>0.34598388671875036</x:v>
      </x:c>
      <x:c r="J3491" s="40" t="n">
        <x:f>H3491^2</x:f>
        <x:v>0.11970484986901307</x:v>
      </x:c>
      <x:c r="K3491" s="40" t="n">
        <x:f>G3491-E3491</x:f>
        <x:v>0</x:v>
      </x:c>
      <x:c r="L3491" s="40" t="n">
        <x:f>ABS(K3491)</x:f>
        <x:v>0</x:v>
      </x:c>
      <x:c r="M3491" s="41" t="str">
        <x:v>lstm-soil-v1</x:v>
      </x:c>
    </x:row>
    <x:row r="3492">
      <x:c r="A3492" s="38" t="str">
        <x:v>7月30日现场数据</x:v>
      </x:c>
      <x:c r="B3492" s="39" t="str">
        <x:v>2026-08-03T14:15:00</x:v>
      </x:c>
      <x:c r="C3492" s="39" t="str">
        <x:v>2026-08-03T14:20:00</x:v>
      </x:c>
      <x:c r="D3492" s="47" t="n">
        <x:v>5</x:v>
      </x:c>
      <x:c r="E3492" s="40" t="n">
        <x:v>13.6</x:v>
      </x:c>
      <x:c r="F3492" s="40" t="n">
        <x:v>11.734561920166016</x:v>
      </x:c>
      <x:c r="G3492" s="40" t="n">
        <x:v>13.6</x:v>
      </x:c>
      <x:c r="H3492" s="40" t="n">
        <x:f>F3492-E3492</x:f>
        <x:v>-1.865438079833984</x:v>
      </x:c>
      <x:c r="I3492" s="40" t="n">
        <x:f>ABS(H3492)</x:f>
        <x:v>1.865438079833984</x:v>
      </x:c>
      <x:c r="J3492" s="40" t="n">
        <x:f>H3492^2</x:f>
        <x:v>3.4798592296947013</x:v>
      </x:c>
      <x:c r="K3492" s="40" t="n">
        <x:f>G3492-E3492</x:f>
        <x:v>0</x:v>
      </x:c>
      <x:c r="L3492" s="40" t="n">
        <x:f>ABS(K3492)</x:f>
        <x:v>0</x:v>
      </x:c>
      <x:c r="M3492" s="41" t="str">
        <x:v>lstm-soil-v1</x:v>
      </x:c>
    </x:row>
    <x:row r="3493">
      <x:c r="A3493" s="38" t="str">
        <x:v>7月30日现场数据</x:v>
      </x:c>
      <x:c r="B3493" s="39" t="str">
        <x:v>2026-08-03T14:15:00</x:v>
      </x:c>
      <x:c r="C3493" s="39" t="str">
        <x:v>2026-08-03T14:30:00</x:v>
      </x:c>
      <x:c r="D3493" s="47" t="n">
        <x:v>15</x:v>
      </x:c>
      <x:c r="E3493" s="40" t="n">
        <x:v>13.5</x:v>
      </x:c>
      <x:c r="F3493" s="40" t="n">
        <x:v>11.821613311767578</x:v>
      </x:c>
      <x:c r="G3493" s="40" t="n">
        <x:v>13.6</x:v>
      </x:c>
      <x:c r="H3493" s="40" t="n">
        <x:f>F3493-E3493</x:f>
        <x:v>-1.6783866882324219</x:v>
      </x:c>
      <x:c r="I3493" s="40" t="n">
        <x:f>ABS(H3493)</x:f>
        <x:v>1.6783866882324219</x:v>
      </x:c>
      <x:c r="J3493" s="40" t="n">
        <x:f>H3493^2</x:f>
        <x:v>2.816981875235797</x:v>
      </x:c>
      <x:c r="K3493" s="40" t="n">
        <x:f>G3493-E3493</x:f>
        <x:v>0.09999999999999964</x:v>
      </x:c>
      <x:c r="L3493" s="40" t="n">
        <x:f>ABS(K3493)</x:f>
        <x:v>0.09999999999999964</x:v>
      </x:c>
      <x:c r="M3493" s="41" t="str">
        <x:v>lstm-soil-v1</x:v>
      </x:c>
    </x:row>
    <x:row r="3494">
      <x:c r="A3494" s="38" t="str">
        <x:v>7月30日现场数据</x:v>
      </x:c>
      <x:c r="B3494" s="39" t="str">
        <x:v>2026-08-03T14:15:00</x:v>
      </x:c>
      <x:c r="C3494" s="39" t="str">
        <x:v>2026-08-03T14:45:00</x:v>
      </x:c>
      <x:c r="D3494" s="47" t="n">
        <x:v>30</x:v>
      </x:c>
      <x:c r="E3494" s="40" t="n">
        <x:v>13.7</x:v>
      </x:c>
      <x:c r="F3494" s="40" t="n">
        <x:v>12.22784423828125</x:v>
      </x:c>
      <x:c r="G3494" s="40" t="n">
        <x:v>13.6</x:v>
      </x:c>
      <x:c r="H3494" s="40" t="n">
        <x:f>F3494-E3494</x:f>
        <x:v>-1.4721557617187493</x:v>
      </x:c>
      <x:c r="I3494" s="40" t="n">
        <x:f>ABS(H3494)</x:f>
        <x:v>1.4721557617187493</x:v>
      </x:c>
      <x:c r="J3494" s="40" t="n">
        <x:f>H3494^2</x:f>
        <x:v>2.167242586761711</x:v>
      </x:c>
      <x:c r="K3494" s="40" t="n">
        <x:f>G3494-E3494</x:f>
        <x:v>-0.09999999999999964</x:v>
      </x:c>
      <x:c r="L3494" s="40" t="n">
        <x:f>ABS(K3494)</x:f>
        <x:v>0.09999999999999964</x:v>
      </x:c>
      <x:c r="M3494" s="41" t="str">
        <x:v>lstm-soil-v1</x:v>
      </x:c>
    </x:row>
    <x:row r="3495">
      <x:c r="A3495" s="38" t="str">
        <x:v>7月30日现场数据</x:v>
      </x:c>
      <x:c r="B3495" s="39" t="str">
        <x:v>2026-08-03T14:15:00</x:v>
      </x:c>
      <x:c r="C3495" s="39" t="str">
        <x:v>2026-08-03T15:15:00</x:v>
      </x:c>
      <x:c r="D3495" s="47" t="n">
        <x:v>60</x:v>
      </x:c>
      <x:c r="E3495" s="40" t="n">
        <x:v>13.6</x:v>
      </x:c>
      <x:c r="F3495" s="40" t="n">
        <x:v>13.931171417236328</x:v>
      </x:c>
      <x:c r="G3495" s="40" t="n">
        <x:v>13.6</x:v>
      </x:c>
      <x:c r="H3495" s="40" t="n">
        <x:f>F3495-E3495</x:f>
        <x:v>0.3311714172363285</x:v>
      </x:c>
      <x:c r="I3495" s="40" t="n">
        <x:f>ABS(H3495)</x:f>
        <x:v>0.3311714172363285</x:v>
      </x:c>
      <x:c r="J3495" s="40" t="n">
        <x:f>H3495^2</x:f>
        <x:v>0.10967450759431836</x:v>
      </x:c>
      <x:c r="K3495" s="40" t="n">
        <x:f>G3495-E3495</x:f>
        <x:v>0</x:v>
      </x:c>
      <x:c r="L3495" s="40" t="n">
        <x:f>ABS(K3495)</x:f>
        <x:v>0</x:v>
      </x:c>
      <x:c r="M3495" s="41" t="str">
        <x:v>lstm-soil-v1</x:v>
      </x:c>
    </x:row>
    <x:row r="3496">
      <x:c r="A3496" s="38" t="str">
        <x:v>7月30日现场数据</x:v>
      </x:c>
      <x:c r="B3496" s="39" t="str">
        <x:v>2026-08-03T14:20:00</x:v>
      </x:c>
      <x:c r="C3496" s="39" t="str">
        <x:v>2026-08-03T14:25:00</x:v>
      </x:c>
      <x:c r="D3496" s="47" t="n">
        <x:v>5</x:v>
      </x:c>
      <x:c r="E3496" s="40" t="n">
        <x:v>13.6</x:v>
      </x:c>
      <x:c r="F3496" s="40" t="n">
        <x:v>11.735153198242188</x:v>
      </x:c>
      <x:c r="G3496" s="40" t="n">
        <x:v>13.6</x:v>
      </x:c>
      <x:c r="H3496" s="40" t="n">
        <x:f>F3496-E3496</x:f>
        <x:v>-1.8648468017578121</x:v>
      </x:c>
      <x:c r="I3496" s="40" t="n">
        <x:f>ABS(H3496)</x:f>
        <x:v>1.8648468017578121</x:v>
      </x:c>
      <x:c r="J3496" s="40" t="n">
        <x:f>H3496^2</x:f>
        <x:v>3.4776535940263407</x:v>
      </x:c>
      <x:c r="K3496" s="40" t="n">
        <x:f>G3496-E3496</x:f>
        <x:v>0</x:v>
      </x:c>
      <x:c r="L3496" s="40" t="n">
        <x:f>ABS(K3496)</x:f>
        <x:v>0</x:v>
      </x:c>
      <x:c r="M3496" s="41" t="str">
        <x:v>lstm-soil-v1</x:v>
      </x:c>
    </x:row>
    <x:row r="3497">
      <x:c r="A3497" s="38" t="str">
        <x:v>7月30日现场数据</x:v>
      </x:c>
      <x:c r="B3497" s="39" t="str">
        <x:v>2026-08-03T14:20:00</x:v>
      </x:c>
      <x:c r="C3497" s="39" t="str">
        <x:v>2026-08-03T14:35:00</x:v>
      </x:c>
      <x:c r="D3497" s="47" t="n">
        <x:v>15</x:v>
      </x:c>
      <x:c r="E3497" s="40" t="n">
        <x:v>13.35</x:v>
      </x:c>
      <x:c r="F3497" s="40" t="n">
        <x:v>11.819110870361328</x:v>
      </x:c>
      <x:c r="G3497" s="40" t="n">
        <x:v>13.6</x:v>
      </x:c>
      <x:c r="H3497" s="40" t="n">
        <x:f>F3497-E3497</x:f>
        <x:v>-1.5308891296386715</x:v>
      </x:c>
      <x:c r="I3497" s="40" t="n">
        <x:f>ABS(H3497)</x:f>
        <x:v>1.5308891296386715</x:v>
      </x:c>
      <x:c r="J3497" s="40" t="n">
        <x:f>H3497^2</x:f>
        <x:v>2.3436215272458494</x:v>
      </x:c>
      <x:c r="K3497" s="40" t="n">
        <x:f>G3497-E3497</x:f>
        <x:v>0.25</x:v>
      </x:c>
      <x:c r="L3497" s="40" t="n">
        <x:f>ABS(K3497)</x:f>
        <x:v>0.25</x:v>
      </x:c>
      <x:c r="M3497" s="41" t="str">
        <x:v>lstm-soil-v1</x:v>
      </x:c>
    </x:row>
    <x:row r="3498">
      <x:c r="A3498" s="38" t="str">
        <x:v>7月30日现场数据</x:v>
      </x:c>
      <x:c r="B3498" s="39" t="str">
        <x:v>2026-08-03T14:20:00</x:v>
      </x:c>
      <x:c r="C3498" s="39" t="str">
        <x:v>2026-08-03T14:50:00</x:v>
      </x:c>
      <x:c r="D3498" s="47" t="n">
        <x:v>30</x:v>
      </x:c>
      <x:c r="E3498" s="40" t="n">
        <x:v>13.7</x:v>
      </x:c>
      <x:c r="F3498" s="40" t="n">
        <x:v>12.226333618164062</x:v>
      </x:c>
      <x:c r="G3498" s="40" t="n">
        <x:v>13.6</x:v>
      </x:c>
      <x:c r="H3498" s="40" t="n">
        <x:f>F3498-E3498</x:f>
        <x:v>-1.4736663818359368</x:v>
      </x:c>
      <x:c r="I3498" s="40" t="n">
        <x:f>ABS(H3498)</x:f>
        <x:v>1.4736663818359368</x:v>
      </x:c>
      <x:c r="J3498" s="40" t="n">
        <x:f>H3498^2</x:f>
        <x:v>2.171692604953421</x:v>
      </x:c>
      <x:c r="K3498" s="40" t="n">
        <x:f>G3498-E3498</x:f>
        <x:v>-0.09999999999999964</x:v>
      </x:c>
      <x:c r="L3498" s="40" t="n">
        <x:f>ABS(K3498)</x:f>
        <x:v>0.09999999999999964</x:v>
      </x:c>
      <x:c r="M3498" s="41" t="str">
        <x:v>lstm-soil-v1</x:v>
      </x:c>
    </x:row>
    <x:row r="3499">
      <x:c r="A3499" s="38" t="str">
        <x:v>7月30日现场数据</x:v>
      </x:c>
      <x:c r="B3499" s="39" t="str">
        <x:v>2026-08-03T14:20:00</x:v>
      </x:c>
      <x:c r="C3499" s="39" t="str">
        <x:v>2026-08-03T15:20:00</x:v>
      </x:c>
      <x:c r="D3499" s="47" t="n">
        <x:v>60</x:v>
      </x:c>
      <x:c r="E3499" s="40" t="n">
        <x:v>13.5</x:v>
      </x:c>
      <x:c r="F3499" s="40" t="n">
        <x:v>13.929645538330078</x:v>
      </x:c>
      <x:c r="G3499" s="40" t="n">
        <x:v>13.6</x:v>
      </x:c>
      <x:c r="H3499" s="40" t="n">
        <x:f>F3499-E3499</x:f>
        <x:v>0.4296455383300781</x:v>
      </x:c>
      <x:c r="I3499" s="40" t="n">
        <x:f>ABS(H3499)</x:f>
        <x:v>0.4296455383300781</x:v>
      </x:c>
      <x:c r="J3499" s="40" t="n">
        <x:f>H3499^2</x:f>
        <x:v>0.18459528860694263</x:v>
      </x:c>
      <x:c r="K3499" s="40" t="n">
        <x:f>G3499-E3499</x:f>
        <x:v>0.09999999999999964</x:v>
      </x:c>
      <x:c r="L3499" s="40" t="n">
        <x:f>ABS(K3499)</x:f>
        <x:v>0.09999999999999964</x:v>
      </x:c>
      <x:c r="M3499" s="41" t="str">
        <x:v>lstm-soil-v1</x:v>
      </x:c>
    </x:row>
    <x:row r="3500">
      <x:c r="A3500" s="38" t="str">
        <x:v>7月30日现场数据</x:v>
      </x:c>
      <x:c r="B3500" s="39" t="str">
        <x:v>2026-08-03T14:25:00</x:v>
      </x:c>
      <x:c r="C3500" s="39" t="str">
        <x:v>2026-08-03T14:30:00</x:v>
      </x:c>
      <x:c r="D3500" s="47" t="n">
        <x:v>5</x:v>
      </x:c>
      <x:c r="E3500" s="40" t="n">
        <x:v>13.5</x:v>
      </x:c>
      <x:c r="F3500" s="40" t="n">
        <x:v>11.743541717529297</x:v>
      </x:c>
      <x:c r="G3500" s="40" t="n">
        <x:v>13.6</x:v>
      </x:c>
      <x:c r="H3500" s="40" t="n">
        <x:f>F3500-E3500</x:f>
        <x:v>-1.7564582824707031</x:v>
      </x:c>
      <x:c r="I3500" s="40" t="n">
        <x:f>ABS(H3500)</x:f>
        <x:v>1.7564582824707031</x:v>
      </x:c>
      <x:c r="J3500" s="40" t="n">
        <x:f>H3500^2</x:f>
        <x:v>3.0851456980599323</x:v>
      </x:c>
      <x:c r="K3500" s="40" t="n">
        <x:f>G3500-E3500</x:f>
        <x:v>0.09999999999999964</x:v>
      </x:c>
      <x:c r="L3500" s="40" t="n">
        <x:f>ABS(K3500)</x:f>
        <x:v>0.09999999999999964</x:v>
      </x:c>
      <x:c r="M3500" s="41" t="str">
        <x:v>lstm-soil-v1</x:v>
      </x:c>
    </x:row>
    <x:row r="3501">
      <x:c r="A3501" s="38" t="str">
        <x:v>7月30日现场数据</x:v>
      </x:c>
      <x:c r="B3501" s="39" t="str">
        <x:v>2026-08-03T14:25:00</x:v>
      </x:c>
      <x:c r="C3501" s="39" t="str">
        <x:v>2026-08-03T14:40:00</x:v>
      </x:c>
      <x:c r="D3501" s="47" t="n">
        <x:v>15</x:v>
      </x:c>
      <x:c r="E3501" s="40" t="n">
        <x:v>13.6</x:v>
      </x:c>
      <x:c r="F3501" s="40" t="n">
        <x:v>11.831336975097656</x:v>
      </x:c>
      <x:c r="G3501" s="40" t="n">
        <x:v>13.6</x:v>
      </x:c>
      <x:c r="H3501" s="40" t="n">
        <x:f>F3501-E3501</x:f>
        <x:v>-1.7686630249023434</x:v>
      </x:c>
      <x:c r="I3501" s="40" t="n">
        <x:f>ABS(H3501)</x:f>
        <x:v>1.7686630249023434</x:v>
      </x:c>
      <x:c r="J3501" s="40" t="n">
        <x:f>H3501^2</x:f>
        <x:v>3.1281688956567075</x:v>
      </x:c>
      <x:c r="K3501" s="40" t="n">
        <x:f>G3501-E3501</x:f>
        <x:v>0</x:v>
      </x:c>
      <x:c r="L3501" s="40" t="n">
        <x:f>ABS(K3501)</x:f>
        <x:v>0</x:v>
      </x:c>
      <x:c r="M3501" s="41" t="str">
        <x:v>lstm-soil-v1</x:v>
      </x:c>
    </x:row>
    <x:row r="3502">
      <x:c r="A3502" s="38" t="str">
        <x:v>7月30日现场数据</x:v>
      </x:c>
      <x:c r="B3502" s="39" t="str">
        <x:v>2026-08-03T14:25:00</x:v>
      </x:c>
      <x:c r="C3502" s="39" t="str">
        <x:v>2026-08-03T14:55:00</x:v>
      </x:c>
      <x:c r="D3502" s="47" t="n">
        <x:v>30</x:v>
      </x:c>
      <x:c r="E3502" s="40" t="n">
        <x:v>13.6</x:v>
      </x:c>
      <x:c r="F3502" s="40" t="n">
        <x:v>12.234039306640625</x:v>
      </x:c>
      <x:c r="G3502" s="40" t="n">
        <x:v>13.6</x:v>
      </x:c>
      <x:c r="H3502" s="40" t="n">
        <x:f>F3502-E3502</x:f>
        <x:v>-1.3659606933593746</x:v>
      </x:c>
      <x:c r="I3502" s="40" t="n">
        <x:f>ABS(H3502)</x:f>
        <x:v>1.3659606933593746</x:v>
      </x:c>
      <x:c r="J3502" s="40" t="n">
        <x:f>H3502^2</x:f>
        <x:v>1.8658486158028236</x:v>
      </x:c>
      <x:c r="K3502" s="40" t="n">
        <x:f>G3502-E3502</x:f>
        <x:v>0</x:v>
      </x:c>
      <x:c r="L3502" s="40" t="n">
        <x:f>ABS(K3502)</x:f>
        <x:v>0</x:v>
      </x:c>
      <x:c r="M3502" s="41" t="str">
        <x:v>lstm-soil-v1</x:v>
      </x:c>
    </x:row>
    <x:row r="3503">
      <x:c r="A3503" s="38" t="str">
        <x:v>7月30日现场数据</x:v>
      </x:c>
      <x:c r="B3503" s="39" t="str">
        <x:v>2026-08-03T14:25:00</x:v>
      </x:c>
      <x:c r="C3503" s="39" t="str">
        <x:v>2026-08-03T15:25:00</x:v>
      </x:c>
      <x:c r="D3503" s="47" t="n">
        <x:v>60</x:v>
      </x:c>
      <x:c r="E3503" s="40" t="n">
        <x:v>13.6</x:v>
      </x:c>
      <x:c r="F3503" s="40" t="n">
        <x:v>13.942852020263672</x:v>
      </x:c>
      <x:c r="G3503" s="40" t="n">
        <x:v>13.6</x:v>
      </x:c>
      <x:c r="H3503" s="40" t="n">
        <x:f>F3503-E3503</x:f>
        <x:v>0.34285202026367223</x:v>
      </x:c>
      <x:c r="I3503" s="40" t="n">
        <x:f>ABS(H3503)</x:f>
        <x:v>0.34285202026367223</x:v>
      </x:c>
      <x:c r="J3503" s="40" t="n">
        <x:f>H3503^2</x:f>
        <x:v>0.11754750779888151</x:v>
      </x:c>
      <x:c r="K3503" s="40" t="n">
        <x:f>G3503-E3503</x:f>
        <x:v>0</x:v>
      </x:c>
      <x:c r="L3503" s="40" t="n">
        <x:f>ABS(K3503)</x:f>
        <x:v>0</x:v>
      </x:c>
      <x:c r="M3503" s="41" t="str">
        <x:v>lstm-soil-v1</x:v>
      </x:c>
    </x:row>
    <x:row r="3504">
      <x:c r="A3504" s="38" t="str">
        <x:v>7月30日现场数据</x:v>
      </x:c>
      <x:c r="B3504" s="39" t="str">
        <x:v>2026-08-03T14:30:00</x:v>
      </x:c>
      <x:c r="C3504" s="39" t="str">
        <x:v>2026-08-03T14:35:00</x:v>
      </x:c>
      <x:c r="D3504" s="47" t="n">
        <x:v>5</x:v>
      </x:c>
      <x:c r="E3504" s="40" t="n">
        <x:v>13.35</x:v>
      </x:c>
      <x:c r="F3504" s="40" t="n">
        <x:v>11.625770568847656</x:v>
      </x:c>
      <x:c r="G3504" s="40" t="n">
        <x:v>13.5</x:v>
      </x:c>
      <x:c r="H3504" s="40" t="n">
        <x:f>F3504-E3504</x:f>
        <x:v>-1.7242294311523434</x:v>
      </x:c>
      <x:c r="I3504" s="40" t="n">
        <x:f>ABS(H3504)</x:f>
        <x:v>1.7242294311523434</x:v>
      </x:c>
      <x:c r="J3504" s="40" t="n">
        <x:f>H3504^2</x:f>
        <x:v>2.972967131251934</x:v>
      </x:c>
      <x:c r="K3504" s="40" t="n">
        <x:f>G3504-E3504</x:f>
        <x:v>0.15000000000000036</x:v>
      </x:c>
      <x:c r="L3504" s="40" t="n">
        <x:f>ABS(K3504)</x:f>
        <x:v>0.15000000000000036</x:v>
      </x:c>
      <x:c r="M3504" s="41" t="str">
        <x:v>lstm-soil-v1</x:v>
      </x:c>
    </x:row>
    <x:row r="3505">
      <x:c r="A3505" s="38" t="str">
        <x:v>7月30日现场数据</x:v>
      </x:c>
      <x:c r="B3505" s="39" t="str">
        <x:v>2026-08-03T14:30:00</x:v>
      </x:c>
      <x:c r="C3505" s="39" t="str">
        <x:v>2026-08-03T14:45:00</x:v>
      </x:c>
      <x:c r="D3505" s="47" t="n">
        <x:v>15</x:v>
      </x:c>
      <x:c r="E3505" s="40" t="n">
        <x:v>13.7</x:v>
      </x:c>
      <x:c r="F3505" s="40" t="n">
        <x:v>11.719860076904297</x:v>
      </x:c>
      <x:c r="G3505" s="40" t="n">
        <x:v>13.5</x:v>
      </x:c>
      <x:c r="H3505" s="40" t="n">
        <x:f>F3505-E3505</x:f>
        <x:v>-1.9801399230957024</x:v>
      </x:c>
      <x:c r="I3505" s="40" t="n">
        <x:f>ABS(H3505)</x:f>
        <x:v>1.9801399230957024</x:v>
      </x:c>
      <x:c r="J3505" s="40" t="n">
        <x:f>H3505^2</x:f>
        <x:v>3.9209541150374543</x:v>
      </x:c>
      <x:c r="K3505" s="40" t="n">
        <x:f>G3505-E3505</x:f>
        <x:v>-0.1999999999999993</x:v>
      </x:c>
      <x:c r="L3505" s="40" t="n">
        <x:f>ABS(K3505)</x:f>
        <x:v>0.1999999999999993</x:v>
      </x:c>
      <x:c r="M3505" s="41" t="str">
        <x:v>lstm-soil-v1</x:v>
      </x:c>
    </x:row>
    <x:row r="3506">
      <x:c r="A3506" s="38" t="str">
        <x:v>7月30日现场数据</x:v>
      </x:c>
      <x:c r="B3506" s="39" t="str">
        <x:v>2026-08-03T14:30:00</x:v>
      </x:c>
      <x:c r="C3506" s="39" t="str">
        <x:v>2026-08-03T15:00:00</x:v>
      </x:c>
      <x:c r="D3506" s="47" t="n">
        <x:v>30</x:v>
      </x:c>
      <x:c r="E3506" s="40" t="n">
        <x:v>13.6</x:v>
      </x:c>
      <x:c r="F3506" s="40" t="n">
        <x:v>12.112178802490234</x:v>
      </x:c>
      <x:c r="G3506" s="40" t="n">
        <x:v>13.5</x:v>
      </x:c>
      <x:c r="H3506" s="40" t="n">
        <x:f>F3506-E3506</x:f>
        <x:v>-1.4878211975097653</x:v>
      </x:c>
      <x:c r="I3506" s="40" t="n">
        <x:f>ABS(H3506)</x:f>
        <x:v>1.4878211975097653</x:v>
      </x:c>
      <x:c r="J3506" s="40" t="n">
        <x:f>H3506^2</x:f>
        <x:v>2.213611915759392</x:v>
      </x:c>
      <x:c r="K3506" s="40" t="n">
        <x:f>G3506-E3506</x:f>
        <x:v>-0.09999999999999964</x:v>
      </x:c>
      <x:c r="L3506" s="40" t="n">
        <x:f>ABS(K3506)</x:f>
        <x:v>0.09999999999999964</x:v>
      </x:c>
      <x:c r="M3506" s="41" t="str">
        <x:v>lstm-soil-v1</x:v>
      </x:c>
    </x:row>
    <x:row r="3507">
      <x:c r="A3507" s="38" t="str">
        <x:v>7月30日现场数据</x:v>
      </x:c>
      <x:c r="B3507" s="39" t="str">
        <x:v>2026-08-03T14:30:00</x:v>
      </x:c>
      <x:c r="C3507" s="39" t="str">
        <x:v>2026-08-03T15:30:00</x:v>
      </x:c>
      <x:c r="D3507" s="47" t="n">
        <x:v>60</x:v>
      </x:c>
      <x:c r="E3507" s="40" t="n">
        <x:v>13.6</x:v>
      </x:c>
      <x:c r="F3507" s="40" t="n">
        <x:v>13.81588363647461</x:v>
      </x:c>
      <x:c r="G3507" s="40" t="n">
        <x:v>13.5</x:v>
      </x:c>
      <x:c r="H3507" s="40" t="n">
        <x:f>F3507-E3507</x:f>
        <x:v>0.21588363647460973</x:v>
      </x:c>
      <x:c r="I3507" s="40" t="n">
        <x:f>ABS(H3507)</x:f>
        <x:v>0.21588363647460973</x:v>
      </x:c>
      <x:c r="J3507" s="40" t="n">
        <x:f>H3507^2</x:f>
        <x:v>0.04660574449750145</x:v>
      </x:c>
      <x:c r="K3507" s="40" t="n">
        <x:f>G3507-E3507</x:f>
        <x:v>-0.09999999999999964</x:v>
      </x:c>
      <x:c r="L3507" s="40" t="n">
        <x:f>ABS(K3507)</x:f>
        <x:v>0.09999999999999964</x:v>
      </x:c>
      <x:c r="M3507" s="41" t="str">
        <x:v>lstm-soil-v1</x:v>
      </x:c>
    </x:row>
    <x:row r="3508">
      <x:c r="A3508" s="38" t="str">
        <x:v>7月30日现场数据</x:v>
      </x:c>
      <x:c r="B3508" s="39" t="str">
        <x:v>2026-08-03T14:35:00</x:v>
      </x:c>
      <x:c r="C3508" s="39" t="str">
        <x:v>2026-08-03T14:40:00</x:v>
      </x:c>
      <x:c r="D3508" s="47" t="n">
        <x:v>5</x:v>
      </x:c>
      <x:c r="E3508" s="40" t="n">
        <x:v>13.6</x:v>
      </x:c>
      <x:c r="F3508" s="40" t="n">
        <x:v>11.456565856933594</x:v>
      </x:c>
      <x:c r="G3508" s="40" t="n">
        <x:v>13.35</x:v>
      </x:c>
      <x:c r="H3508" s="40" t="n">
        <x:f>F3508-E3508</x:f>
        <x:v>-2.143434143066406</x:v>
      </x:c>
      <x:c r="I3508" s="40" t="n">
        <x:f>ABS(H3508)</x:f>
        <x:v>2.143434143066406</x:v>
      </x:c>
      <x:c r="J3508" s="40" t="n">
        <x:f>H3508^2</x:f>
        <x:v>4.5943099256628175</x:v>
      </x:c>
      <x:c r="K3508" s="40" t="n">
        <x:f>G3508-E3508</x:f>
        <x:v>-0.25</x:v>
      </x:c>
      <x:c r="L3508" s="40" t="n">
        <x:f>ABS(K3508)</x:f>
        <x:v>0.25</x:v>
      </x:c>
      <x:c r="M3508" s="41" t="str">
        <x:v>lstm-soil-v1</x:v>
      </x:c>
    </x:row>
    <x:row r="3509">
      <x:c r="A3509" s="38" t="str">
        <x:v>7月30日现场数据</x:v>
      </x:c>
      <x:c r="B3509" s="39" t="str">
        <x:v>2026-08-03T14:35:00</x:v>
      </x:c>
      <x:c r="C3509" s="39" t="str">
        <x:v>2026-08-03T14:50:00</x:v>
      </x:c>
      <x:c r="D3509" s="47" t="n">
        <x:v>15</x:v>
      </x:c>
      <x:c r="E3509" s="40" t="n">
        <x:v>13.7</x:v>
      </x:c>
      <x:c r="F3509" s="40" t="n">
        <x:v>11.549560546875</x:v>
      </x:c>
      <x:c r="G3509" s="40" t="n">
        <x:v>13.35</x:v>
      </x:c>
      <x:c r="H3509" s="40" t="n">
        <x:f>F3509-E3509</x:f>
        <x:v>-2.1504394531249993</x:v>
      </x:c>
      <x:c r="I3509" s="40" t="n">
        <x:f>ABS(H3509)</x:f>
        <x:v>2.1504394531249993</x:v>
      </x:c>
      <x:c r="J3509" s="40" t="n">
        <x:f>H3509^2</x:f>
        <x:v>4.624389841556546</x:v>
      </x:c>
      <x:c r="K3509" s="40" t="n">
        <x:f>G3509-E3509</x:f>
        <x:v>-0.34999999999999964</x:v>
      </x:c>
      <x:c r="L3509" s="40" t="n">
        <x:f>ABS(K3509)</x:f>
        <x:v>0.34999999999999964</x:v>
      </x:c>
      <x:c r="M3509" s="41" t="str">
        <x:v>lstm-soil-v1</x:v>
      </x:c>
    </x:row>
    <x:row r="3510">
      <x:c r="A3510" s="38" t="str">
        <x:v>7月30日现场数据</x:v>
      </x:c>
      <x:c r="B3510" s="39" t="str">
        <x:v>2026-08-03T14:35:00</x:v>
      </x:c>
      <x:c r="C3510" s="39" t="str">
        <x:v>2026-08-03T15:05:00</x:v>
      </x:c>
      <x:c r="D3510" s="47" t="n">
        <x:v>30</x:v>
      </x:c>
      <x:c r="E3510" s="40" t="n">
        <x:v>13.6</x:v>
      </x:c>
      <x:c r="F3510" s="40" t="n">
        <x:v>11.941009521484375</x:v>
      </x:c>
      <x:c r="G3510" s="40" t="n">
        <x:v>13.35</x:v>
      </x:c>
      <x:c r="H3510" s="40" t="n">
        <x:f>F3510-E3510</x:f>
        <x:v>-1.6589904785156246</x:v>
      </x:c>
      <x:c r="I3510" s="40" t="n">
        <x:f>ABS(H3510)</x:f>
        <x:v>1.6589904785156246</x:v>
      </x:c>
      <x:c r="J3510" s="40" t="n">
        <x:f>H3510^2</x:f>
        <x:v>2.7522494078055013</x:v>
      </x:c>
      <x:c r="K3510" s="40" t="n">
        <x:f>G3510-E3510</x:f>
        <x:v>-0.25</x:v>
      </x:c>
      <x:c r="L3510" s="40" t="n">
        <x:f>ABS(K3510)</x:f>
        <x:v>0.25</x:v>
      </x:c>
      <x:c r="M3510" s="41" t="str">
        <x:v>lstm-soil-v1</x:v>
      </x:c>
    </x:row>
    <x:row r="3511">
      <x:c r="A3511" s="38" t="str">
        <x:v>7月30日现场数据</x:v>
      </x:c>
      <x:c r="B3511" s="39" t="str">
        <x:v>2026-08-03T14:35:00</x:v>
      </x:c>
      <x:c r="C3511" s="39" t="str">
        <x:v>2026-08-03T15:35:00</x:v>
      </x:c>
      <x:c r="D3511" s="47" t="n">
        <x:v>60</x:v>
      </x:c>
      <x:c r="E3511" s="40" t="n">
        <x:v>13.5</x:v>
      </x:c>
      <x:c r="F3511" s="40" t="n">
        <x:v>13.641746520996094</x:v>
      </x:c>
      <x:c r="G3511" s="40" t="n">
        <x:v>13.35</x:v>
      </x:c>
      <x:c r="H3511" s="40" t="n">
        <x:f>F3511-E3511</x:f>
        <x:v>0.14174652099609375</x:v>
      </x:c>
      <x:c r="I3511" s="40" t="n">
        <x:f>ABS(H3511)</x:f>
        <x:v>0.14174652099609375</x:v>
      </x:c>
      <x:c r="J3511" s="40" t="n">
        <x:f>H3511^2</x:f>
        <x:v>0.020092076214496046</x:v>
      </x:c>
      <x:c r="K3511" s="40" t="n">
        <x:f>G3511-E3511</x:f>
        <x:v>-0.15000000000000036</x:v>
      </x:c>
      <x:c r="L3511" s="40" t="n">
        <x:f>ABS(K3511)</x:f>
        <x:v>0.15000000000000036</x:v>
      </x:c>
      <x:c r="M3511" s="41" t="str">
        <x:v>lstm-soil-v1</x:v>
      </x:c>
    </x:row>
    <x:row r="3512">
      <x:c r="A3512" s="38" t="str">
        <x:v>7月30日现场数据</x:v>
      </x:c>
      <x:c r="B3512" s="39" t="str">
        <x:v>2026-08-03T14:40:00</x:v>
      </x:c>
      <x:c r="C3512" s="39" t="str">
        <x:v>2026-08-03T14:45:00</x:v>
      </x:c>
      <x:c r="D3512" s="47" t="n">
        <x:v>5</x:v>
      </x:c>
      <x:c r="E3512" s="40" t="n">
        <x:v>13.7</x:v>
      </x:c>
      <x:c r="F3512" s="40" t="n">
        <x:v>11.734619140625</x:v>
      </x:c>
      <x:c r="G3512" s="40" t="n">
        <x:v>13.6</x:v>
      </x:c>
      <x:c r="H3512" s="40" t="n">
        <x:f>F3512-E3512</x:f>
        <x:v>-1.9653808593749993</x:v>
      </x:c>
      <x:c r="I3512" s="40" t="n">
        <x:f>ABS(H3512)</x:f>
        <x:v>1.9653808593749993</x:v>
      </x:c>
      <x:c r="J3512" s="40" t="n">
        <x:f>H3512^2</x:f>
        <x:v>3.862721922397611</x:v>
      </x:c>
      <x:c r="K3512" s="40" t="n">
        <x:f>G3512-E3512</x:f>
        <x:v>-0.09999999999999964</x:v>
      </x:c>
      <x:c r="L3512" s="40" t="n">
        <x:f>ABS(K3512)</x:f>
        <x:v>0.09999999999999964</x:v>
      </x:c>
      <x:c r="M3512" s="41" t="str">
        <x:v>lstm-soil-v1</x:v>
      </x:c>
    </x:row>
    <x:row r="3513">
      <x:c r="A3513" s="38" t="str">
        <x:v>7月30日现场数据</x:v>
      </x:c>
      <x:c r="B3513" s="39" t="str">
        <x:v>2026-08-03T14:40:00</x:v>
      </x:c>
      <x:c r="C3513" s="39" t="str">
        <x:v>2026-08-03T14:55:00</x:v>
      </x:c>
      <x:c r="D3513" s="47" t="n">
        <x:v>15</x:v>
      </x:c>
      <x:c r="E3513" s="40" t="n">
        <x:v>13.6</x:v>
      </x:c>
      <x:c r="F3513" s="40" t="n">
        <x:v>11.826045989990234</x:v>
      </x:c>
      <x:c r="G3513" s="40" t="n">
        <x:v>13.6</x:v>
      </x:c>
      <x:c r="H3513" s="40" t="n">
        <x:f>F3513-E3513</x:f>
        <x:v>-1.7739540100097653</x:v>
      </x:c>
      <x:c r="I3513" s="40" t="n">
        <x:f>ABS(H3513)</x:f>
        <x:v>1.7739540100097653</x:v>
      </x:c>
      <x:c r="J3513" s="40" t="n">
        <x:f>H3513^2</x:f>
        <x:v>3.146912829629726</x:v>
      </x:c>
      <x:c r="K3513" s="40" t="n">
        <x:f>G3513-E3513</x:f>
        <x:v>0</x:v>
      </x:c>
      <x:c r="L3513" s="40" t="n">
        <x:f>ABS(K3513)</x:f>
        <x:v>0</x:v>
      </x:c>
      <x:c r="M3513" s="41" t="str">
        <x:v>lstm-soil-v1</x:v>
      </x:c>
    </x:row>
    <x:row r="3514">
      <x:c r="A3514" s="38" t="str">
        <x:v>7月30日现场数据</x:v>
      </x:c>
      <x:c r="B3514" s="39" t="str">
        <x:v>2026-08-03T14:40:00</x:v>
      </x:c>
      <x:c r="C3514" s="39" t="str">
        <x:v>2026-08-03T15:10:00</x:v>
      </x:c>
      <x:c r="D3514" s="47" t="n">
        <x:v>30</x:v>
      </x:c>
      <x:c r="E3514" s="40" t="n">
        <x:v>13.6</x:v>
      </x:c>
      <x:c r="F3514" s="40" t="n">
        <x:v>12.219799041748047</x:v>
      </x:c>
      <x:c r="G3514" s="40" t="n">
        <x:v>13.6</x:v>
      </x:c>
      <x:c r="H3514" s="40" t="n">
        <x:f>F3514-E3514</x:f>
        <x:v>-1.3802009582519528</x:v>
      </x:c>
      <x:c r="I3514" s="40" t="n">
        <x:f>ABS(H3514)</x:f>
        <x:v>1.3802009582519528</x:v>
      </x:c>
      <x:c r="J3514" s="40" t="n">
        <x:f>H3514^2</x:f>
        <x:v>1.9049546851596086</x:v>
      </x:c>
      <x:c r="K3514" s="40" t="n">
        <x:f>G3514-E3514</x:f>
        <x:v>0</x:v>
      </x:c>
      <x:c r="L3514" s="40" t="n">
        <x:f>ABS(K3514)</x:f>
        <x:v>0</x:v>
      </x:c>
      <x:c r="M3514" s="41" t="str">
        <x:v>lstm-soil-v1</x:v>
      </x:c>
    </x:row>
    <x:row r="3515">
      <x:c r="A3515" s="38" t="str">
        <x:v>7月30日现场数据</x:v>
      </x:c>
      <x:c r="B3515" s="39" t="str">
        <x:v>2026-08-03T14:40:00</x:v>
      </x:c>
      <x:c r="C3515" s="39" t="str">
        <x:v>2026-08-03T15:40:00</x:v>
      </x:c>
      <x:c r="D3515" s="47" t="n">
        <x:v>60</x:v>
      </x:c>
      <x:c r="E3515" s="40" t="n">
        <x:v>13.5</x:v>
      </x:c>
      <x:c r="F3515" s="40" t="n">
        <x:v>13.924171447753906</x:v>
      </x:c>
      <x:c r="G3515" s="40" t="n">
        <x:v>13.6</x:v>
      </x:c>
      <x:c r="H3515" s="40" t="n">
        <x:f>F3515-E3515</x:f>
        <x:v>0.42417144775390625</x:v>
      </x:c>
      <x:c r="I3515" s="40" t="n">
        <x:f>ABS(H3515)</x:f>
        <x:v>0.42417144775390625</x:v>
      </x:c>
      <x:c r="J3515" s="40" t="n">
        <x:f>H3515^2</x:f>
        <x:v>0.17992141708964482</x:v>
      </x:c>
      <x:c r="K3515" s="40" t="n">
        <x:f>G3515-E3515</x:f>
        <x:v>0.09999999999999964</x:v>
      </x:c>
      <x:c r="L3515" s="40" t="n">
        <x:f>ABS(K3515)</x:f>
        <x:v>0.09999999999999964</x:v>
      </x:c>
      <x:c r="M3515" s="41" t="str">
        <x:v>lstm-soil-v1</x:v>
      </x:c>
    </x:row>
    <x:row r="3516">
      <x:c r="A3516" s="38" t="str">
        <x:v>7月30日现场数据</x:v>
      </x:c>
      <x:c r="B3516" s="39" t="str">
        <x:v>2026-08-03T14:45:00</x:v>
      </x:c>
      <x:c r="C3516" s="39" t="str">
        <x:v>2026-08-03T14:50:00</x:v>
      </x:c>
      <x:c r="D3516" s="47" t="n">
        <x:v>5</x:v>
      </x:c>
      <x:c r="E3516" s="40" t="n">
        <x:v>13.7</x:v>
      </x:c>
      <x:c r="F3516" s="40" t="n">
        <x:v>11.842853546142578</x:v>
      </x:c>
      <x:c r="G3516" s="40" t="n">
        <x:v>13.7</x:v>
      </x:c>
      <x:c r="H3516" s="40" t="n">
        <x:f>F3516-E3516</x:f>
        <x:v>-1.8571464538574212</x:v>
      </x:c>
      <x:c r="I3516" s="40" t="n">
        <x:f>ABS(H3516)</x:f>
        <x:v>1.8571464538574212</x:v>
      </x:c>
      <x:c r="J3516" s="40" t="n">
        <x:f>H3516^2</x:f>
        <x:v>3.4489929510751947</x:v>
      </x:c>
      <x:c r="K3516" s="40" t="n">
        <x:f>G3516-E3516</x:f>
        <x:v>0</x:v>
      </x:c>
      <x:c r="L3516" s="40" t="n">
        <x:f>ABS(K3516)</x:f>
        <x:v>0</x:v>
      </x:c>
      <x:c r="M3516" s="41" t="str">
        <x:v>lstm-soil-v1</x:v>
      </x:c>
    </x:row>
    <x:row r="3517">
      <x:c r="A3517" s="38" t="str">
        <x:v>7月30日现场数据</x:v>
      </x:c>
      <x:c r="B3517" s="39" t="str">
        <x:v>2026-08-03T14:45:00</x:v>
      </x:c>
      <x:c r="C3517" s="39" t="str">
        <x:v>2026-08-03T15:00:00</x:v>
      </x:c>
      <x:c r="D3517" s="47" t="n">
        <x:v>15</x:v>
      </x:c>
      <x:c r="E3517" s="40" t="n">
        <x:v>13.6</x:v>
      </x:c>
      <x:c r="F3517" s="40" t="n">
        <x:v>11.93438720703125</x:v>
      </x:c>
      <x:c r="G3517" s="40" t="n">
        <x:v>13.7</x:v>
      </x:c>
      <x:c r="H3517" s="40" t="n">
        <x:f>F3517-E3517</x:f>
        <x:v>-1.6656127929687496</x:v>
      </x:c>
      <x:c r="I3517" s="40" t="n">
        <x:f>ABS(H3517)</x:f>
        <x:v>1.6656127929687496</x:v>
      </x:c>
      <x:c r="J3517" s="40" t="n">
        <x:f>H3517^2</x:f>
        <x:v>2.7742659761011588</x:v>
      </x:c>
      <x:c r="K3517" s="40" t="n">
        <x:f>G3517-E3517</x:f>
        <x:v>0.09999999999999964</x:v>
      </x:c>
      <x:c r="L3517" s="40" t="n">
        <x:f>ABS(K3517)</x:f>
        <x:v>0.09999999999999964</x:v>
      </x:c>
      <x:c r="M3517" s="41" t="str">
        <x:v>lstm-soil-v1</x:v>
      </x:c>
    </x:row>
    <x:row r="3518">
      <x:c r="A3518" s="38" t="str">
        <x:v>7月30日现场数据</x:v>
      </x:c>
      <x:c r="B3518" s="39" t="str">
        <x:v>2026-08-03T14:45:00</x:v>
      </x:c>
      <x:c r="C3518" s="39" t="str">
        <x:v>2026-08-03T15:15:00</x:v>
      </x:c>
      <x:c r="D3518" s="47" t="n">
        <x:v>30</x:v>
      </x:c>
      <x:c r="E3518" s="40" t="n">
        <x:v>13.6</x:v>
      </x:c>
      <x:c r="F3518" s="40" t="n">
        <x:v>12.327049255371094</x:v>
      </x:c>
      <x:c r="G3518" s="40" t="n">
        <x:v>13.7</x:v>
      </x:c>
      <x:c r="H3518" s="40" t="n">
        <x:f>F3518-E3518</x:f>
        <x:v>-1.272950744628906</x:v>
      </x:c>
      <x:c r="I3518" s="40" t="n">
        <x:f>ABS(H3518)</x:f>
        <x:v>1.272950744628906</x:v>
      </x:c>
      <x:c r="J3518" s="40" t="n">
        <x:f>H3518^2</x:f>
        <x:v>1.6204035982512859</x:v>
      </x:c>
      <x:c r="K3518" s="40" t="n">
        <x:f>G3518-E3518</x:f>
        <x:v>0.09999999999999964</x:v>
      </x:c>
      <x:c r="L3518" s="40" t="n">
        <x:f>ABS(K3518)</x:f>
        <x:v>0.09999999999999964</x:v>
      </x:c>
      <x:c r="M3518" s="41" t="str">
        <x:v>lstm-soil-v1</x:v>
      </x:c>
    </x:row>
    <x:row r="3519">
      <x:c r="A3519" s="38" t="str">
        <x:v>7月30日现场数据</x:v>
      </x:c>
      <x:c r="B3519" s="39" t="str">
        <x:v>2026-08-03T14:45:00</x:v>
      </x:c>
      <x:c r="C3519" s="39" t="str">
        <x:v>2026-08-03T15:45:00</x:v>
      </x:c>
      <x:c r="D3519" s="47" t="n">
        <x:v>60</x:v>
      </x:c>
      <x:c r="E3519" s="40" t="n">
        <x:v>13.5</x:v>
      </x:c>
      <x:c r="F3519" s="40" t="n">
        <x:v>14.029243469238281</x:v>
      </x:c>
      <x:c r="G3519" s="40" t="n">
        <x:v>13.7</x:v>
      </x:c>
      <x:c r="H3519" s="40" t="n">
        <x:f>F3519-E3519</x:f>
        <x:v>0.5292434692382812</x:v>
      </x:c>
      <x:c r="I3519" s="40" t="n">
        <x:f>ABS(H3519)</x:f>
        <x:v>0.5292434692382812</x:v>
      </x:c>
      <x:c r="J3519" s="40" t="n">
        <x:f>H3519^2</x:f>
        <x:v>0.28009864973137155</x:v>
      </x:c>
      <x:c r="K3519" s="40" t="n">
        <x:f>G3519-E3519</x:f>
        <x:v>0.1999999999999993</x:v>
      </x:c>
      <x:c r="L3519" s="40" t="n">
        <x:f>ABS(K3519)</x:f>
        <x:v>0.1999999999999993</x:v>
      </x:c>
      <x:c r="M3519" s="41" t="str">
        <x:v>lstm-soil-v1</x:v>
      </x:c>
    </x:row>
    <x:row r="3520">
      <x:c r="A3520" s="38" t="str">
        <x:v>7月30日现场数据</x:v>
      </x:c>
      <x:c r="B3520" s="39" t="str">
        <x:v>2026-08-03T14:50:00</x:v>
      </x:c>
      <x:c r="C3520" s="39" t="str">
        <x:v>2026-08-03T14:55:00</x:v>
      </x:c>
      <x:c r="D3520" s="47" t="n">
        <x:v>5</x:v>
      </x:c>
      <x:c r="E3520" s="40" t="n">
        <x:v>13.6</x:v>
      </x:c>
      <x:c r="F3520" s="40" t="n">
        <x:v>11.855449676513672</x:v>
      </x:c>
      <x:c r="G3520" s="40" t="n">
        <x:v>13.7</x:v>
      </x:c>
      <x:c r="H3520" s="40" t="n">
        <x:f>F3520-E3520</x:f>
        <x:v>-1.7445503234863278</x:v>
      </x:c>
      <x:c r="I3520" s="40" t="n">
        <x:f>ABS(H3520)</x:f>
        <x:v>1.7445503234863278</x:v>
      </x:c>
      <x:c r="J3520" s="40" t="n">
        <x:f>H3520^2</x:f>
        <x:v>3.0434558311762507</x:v>
      </x:c>
      <x:c r="K3520" s="40" t="n">
        <x:f>G3520-E3520</x:f>
        <x:v>0.09999999999999964</x:v>
      </x:c>
      <x:c r="L3520" s="40" t="n">
        <x:f>ABS(K3520)</x:f>
        <x:v>0.09999999999999964</x:v>
      </x:c>
      <x:c r="M3520" s="41" t="str">
        <x:v>lstm-soil-v1</x:v>
      </x:c>
    </x:row>
    <x:row r="3521">
      <x:c r="A3521" s="38" t="str">
        <x:v>7月30日现场数据</x:v>
      </x:c>
      <x:c r="B3521" s="39" t="str">
        <x:v>2026-08-03T14:50:00</x:v>
      </x:c>
      <x:c r="C3521" s="39" t="str">
        <x:v>2026-08-03T15:05:00</x:v>
      </x:c>
      <x:c r="D3521" s="47" t="n">
        <x:v>15</x:v>
      </x:c>
      <x:c r="E3521" s="40" t="n">
        <x:v>13.6</x:v>
      </x:c>
      <x:c r="F3521" s="40" t="n">
        <x:v>11.953254699707031</x:v>
      </x:c>
      <x:c r="G3521" s="40" t="n">
        <x:v>13.7</x:v>
      </x:c>
      <x:c r="H3521" s="40" t="n">
        <x:f>F3521-E3521</x:f>
        <x:v>-1.6467453002929684</x:v>
      </x:c>
      <x:c r="I3521" s="40" t="n">
        <x:f>ABS(H3521)</x:f>
        <x:v>1.6467453002929684</x:v>
      </x:c>
      <x:c r="J3521" s="40" t="n">
        <x:f>H3521^2</x:f>
        <x:v>2.7117700840369787</x:v>
      </x:c>
      <x:c r="K3521" s="40" t="n">
        <x:f>G3521-E3521</x:f>
        <x:v>0.09999999999999964</x:v>
      </x:c>
      <x:c r="L3521" s="40" t="n">
        <x:f>ABS(K3521)</x:f>
        <x:v>0.09999999999999964</x:v>
      </x:c>
      <x:c r="M3521" s="41" t="str">
        <x:v>lstm-soil-v1</x:v>
      </x:c>
    </x:row>
    <x:row r="3522">
      <x:c r="A3522" s="38" t="str">
        <x:v>7月30日现场数据</x:v>
      </x:c>
      <x:c r="B3522" s="39" t="str">
        <x:v>2026-08-03T14:50:00</x:v>
      </x:c>
      <x:c r="C3522" s="39" t="str">
        <x:v>2026-08-03T15:20:00</x:v>
      </x:c>
      <x:c r="D3522" s="47" t="n">
        <x:v>30</x:v>
      </x:c>
      <x:c r="E3522" s="40" t="n">
        <x:v>13.5</x:v>
      </x:c>
      <x:c r="F3522" s="40" t="n">
        <x:v>12.337909698486328</x:v>
      </x:c>
      <x:c r="G3522" s="40" t="n">
        <x:v>13.7</x:v>
      </x:c>
      <x:c r="H3522" s="40" t="n">
        <x:f>F3522-E3522</x:f>
        <x:v>-1.1620903015136719</x:v>
      </x:c>
      <x:c r="I3522" s="40" t="n">
        <x:f>ABS(H3522)</x:f>
        <x:v>1.1620903015136719</x:v>
      </x:c>
      <x:c r="J3522" s="40" t="n">
        <x:f>H3522^2</x:f>
        <x:v>1.3504538688721368</x:v>
      </x:c>
      <x:c r="K3522" s="40" t="n">
        <x:f>G3522-E3522</x:f>
        <x:v>0.1999999999999993</x:v>
      </x:c>
      <x:c r="L3522" s="40" t="n">
        <x:f>ABS(K3522)</x:f>
        <x:v>0.1999999999999993</x:v>
      </x:c>
      <x:c r="M3522" s="41" t="str">
        <x:v>lstm-soil-v1</x:v>
      </x:c>
    </x:row>
    <x:row r="3523">
      <x:c r="A3523" s="38" t="str">
        <x:v>7月30日现场数据</x:v>
      </x:c>
      <x:c r="B3523" s="39" t="str">
        <x:v>2026-08-03T14:50:00</x:v>
      </x:c>
      <x:c r="C3523" s="39" t="str">
        <x:v>2026-08-03T15:50:00</x:v>
      </x:c>
      <x:c r="D3523" s="47" t="n">
        <x:v>60</x:v>
      </x:c>
      <x:c r="E3523" s="40" t="n">
        <x:v>13.5</x:v>
      </x:c>
      <x:c r="F3523" s="40" t="n">
        <x:v>14.044315338134766</x:v>
      </x:c>
      <x:c r="G3523" s="40" t="n">
        <x:v>13.7</x:v>
      </x:c>
      <x:c r="H3523" s="40" t="n">
        <x:f>F3523-E3523</x:f>
        <x:v>0.5443153381347656</x:v>
      </x:c>
      <x:c r="I3523" s="40" t="n">
        <x:f>ABS(H3523)</x:f>
        <x:v>0.5443153381347656</x:v>
      </x:c>
      <x:c r="J3523" s="40" t="n">
        <x:f>H3523^2</x:f>
        <x:v>0.29627918732876424</x:v>
      </x:c>
      <x:c r="K3523" s="40" t="n">
        <x:f>G3523-E3523</x:f>
        <x:v>0.1999999999999993</x:v>
      </x:c>
      <x:c r="L3523" s="40" t="n">
        <x:f>ABS(K3523)</x:f>
        <x:v>0.1999999999999993</x:v>
      </x:c>
      <x:c r="M3523" s="41" t="str">
        <x:v>lstm-soil-v1</x:v>
      </x:c>
    </x:row>
    <x:row r="3524">
      <x:c r="A3524" s="38" t="str">
        <x:v>7月30日现场数据</x:v>
      </x:c>
      <x:c r="B3524" s="39" t="str">
        <x:v>2026-08-03T14:55:00</x:v>
      </x:c>
      <x:c r="C3524" s="39" t="str">
        <x:v>2026-08-03T15:00:00</x:v>
      </x:c>
      <x:c r="D3524" s="47" t="n">
        <x:v>5</x:v>
      </x:c>
      <x:c r="E3524" s="40" t="n">
        <x:v>13.6</x:v>
      </x:c>
      <x:c r="F3524" s="40" t="n">
        <x:v>11.728797912597656</x:v>
      </x:c>
      <x:c r="G3524" s="40" t="n">
        <x:v>13.6</x:v>
      </x:c>
      <x:c r="H3524" s="40" t="n">
        <x:f>F3524-E3524</x:f>
        <x:v>-1.8712020874023434</x:v>
      </x:c>
      <x:c r="I3524" s="40" t="n">
        <x:f>ABS(H3524)</x:f>
        <x:v>1.8712020874023434</x:v>
      </x:c>
      <x:c r="J3524" s="40" t="n">
        <x:f>H3524^2</x:f>
        <x:v>3.501397251898887</x:v>
      </x:c>
      <x:c r="K3524" s="40" t="n">
        <x:f>G3524-E3524</x:f>
        <x:v>0</x:v>
      </x:c>
      <x:c r="L3524" s="40" t="n">
        <x:f>ABS(K3524)</x:f>
        <x:v>0</x:v>
      </x:c>
      <x:c r="M3524" s="41" t="str">
        <x:v>lstm-soil-v1</x:v>
      </x:c>
    </x:row>
    <x:row r="3525">
      <x:c r="A3525" s="38" t="str">
        <x:v>7月30日现场数据</x:v>
      </x:c>
      <x:c r="B3525" s="39" t="str">
        <x:v>2026-08-03T14:55:00</x:v>
      </x:c>
      <x:c r="C3525" s="39" t="str">
        <x:v>2026-08-03T15:10:00</x:v>
      </x:c>
      <x:c r="D3525" s="47" t="n">
        <x:v>15</x:v>
      </x:c>
      <x:c r="E3525" s="40" t="n">
        <x:v>13.6</x:v>
      </x:c>
      <x:c r="F3525" s="40" t="n">
        <x:v>11.829341888427734</x:v>
      </x:c>
      <x:c r="G3525" s="40" t="n">
        <x:v>13.6</x:v>
      </x:c>
      <x:c r="H3525" s="40" t="n">
        <x:f>F3525-E3525</x:f>
        <x:v>-1.7706581115722653</x:v>
      </x:c>
      <x:c r="I3525" s="40" t="n">
        <x:f>ABS(H3525)</x:f>
        <x:v>1.7706581115722653</x:v>
      </x:c>
      <x:c r="J3525" s="40" t="n">
        <x:f>H3525^2</x:f>
        <x:v>3.1352301480766607</x:v>
      </x:c>
      <x:c r="K3525" s="40" t="n">
        <x:f>G3525-E3525</x:f>
        <x:v>0</x:v>
      </x:c>
      <x:c r="L3525" s="40" t="n">
        <x:f>ABS(K3525)</x:f>
        <x:v>0</x:v>
      </x:c>
      <x:c r="M3525" s="41" t="str">
        <x:v>lstm-soil-v1</x:v>
      </x:c>
    </x:row>
    <x:row r="3526">
      <x:c r="A3526" s="38" t="str">
        <x:v>7月30日现场数据</x:v>
      </x:c>
      <x:c r="B3526" s="39" t="str">
        <x:v>2026-08-03T14:55:00</x:v>
      </x:c>
      <x:c r="C3526" s="39" t="str">
        <x:v>2026-08-03T15:25:00</x:v>
      </x:c>
      <x:c r="D3526" s="47" t="n">
        <x:v>30</x:v>
      </x:c>
      <x:c r="E3526" s="40" t="n">
        <x:v>13.6</x:v>
      </x:c>
      <x:c r="F3526" s="40" t="n">
        <x:v>12.205638885498047</x:v>
      </x:c>
      <x:c r="G3526" s="40" t="n">
        <x:v>13.6</x:v>
      </x:c>
      <x:c r="H3526" s="40" t="n">
        <x:f>F3526-E3526</x:f>
        <x:v>-1.3943611145019528</x:v>
      </x:c>
      <x:c r="I3526" s="40" t="n">
        <x:f>ABS(H3526)</x:f>
        <x:v>1.3943611145019528</x:v>
      </x:c>
      <x:c r="J3526" s="40" t="n">
        <x:f>H3526^2</x:f>
        <x:v>1.944242917635128</x:v>
      </x:c>
      <x:c r="K3526" s="40" t="n">
        <x:f>G3526-E3526</x:f>
        <x:v>0</x:v>
      </x:c>
      <x:c r="L3526" s="40" t="n">
        <x:f>ABS(K3526)</x:f>
        <x:v>0</x:v>
      </x:c>
      <x:c r="M3526" s="41" t="str">
        <x:v>lstm-soil-v1</x:v>
      </x:c>
    </x:row>
    <x:row r="3527">
      <x:c r="A3527" s="38" t="str">
        <x:v>7月30日现场数据</x:v>
      </x:c>
      <x:c r="B3527" s="39" t="str">
        <x:v>2026-08-03T14:55:00</x:v>
      </x:c>
      <x:c r="C3527" s="39" t="str">
        <x:v>2026-08-03T15:55:00</x:v>
      </x:c>
      <x:c r="D3527" s="47" t="n">
        <x:v>60</x:v>
      </x:c>
      <x:c r="E3527" s="40" t="n">
        <x:v>13.5</x:v>
      </x:c>
      <x:c r="F3527" s="40" t="n">
        <x:v>13.908256530761719</x:v>
      </x:c>
      <x:c r="G3527" s="40" t="n">
        <x:v>13.6</x:v>
      </x:c>
      <x:c r="H3527" s="40" t="n">
        <x:f>F3527-E3527</x:f>
        <x:v>0.40825653076171875</x:v>
      </x:c>
      <x:c r="I3527" s="40" t="n">
        <x:f>ABS(H3527)</x:f>
        <x:v>0.40825653076171875</x:v>
      </x:c>
      <x:c r="J3527" s="40" t="n">
        <x:f>H3527^2</x:f>
        <x:v>0.1666733949095942</x:v>
      </x:c>
      <x:c r="K3527" s="40" t="n">
        <x:f>G3527-E3527</x:f>
        <x:v>0.09999999999999964</x:v>
      </x:c>
      <x:c r="L3527" s="40" t="n">
        <x:f>ABS(K3527)</x:f>
        <x:v>0.09999999999999964</x:v>
      </x:c>
      <x:c r="M3527" s="41" t="str">
        <x:v>lstm-soil-v1</x:v>
      </x:c>
    </x:row>
    <x:row r="3528">
      <x:c r="A3528" s="38" t="str">
        <x:v>7月30日现场数据</x:v>
      </x:c>
      <x:c r="B3528" s="39" t="str">
        <x:v>2026-08-03T15:00:00</x:v>
      </x:c>
      <x:c r="C3528" s="39" t="str">
        <x:v>2026-08-03T15:05:00</x:v>
      </x:c>
      <x:c r="D3528" s="47" t="n">
        <x:v>5</x:v>
      </x:c>
      <x:c r="E3528" s="40" t="n">
        <x:v>13.6</x:v>
      </x:c>
      <x:c r="F3528" s="40" t="n">
        <x:v>11.732307434082031</x:v>
      </x:c>
      <x:c r="G3528" s="40" t="n">
        <x:v>13.6</x:v>
      </x:c>
      <x:c r="H3528" s="40" t="n">
        <x:f>F3528-E3528</x:f>
        <x:v>-1.8676925659179684</x:v>
      </x:c>
      <x:c r="I3528" s="40" t="n">
        <x:f>ABS(H3528)</x:f>
        <x:v>1.8676925659179684</x:v>
      </x:c>
      <x:c r="J3528" s="40" t="n">
        <x:f>H3528^2</x:f>
        <x:v>3.4882755207852445</x:v>
      </x:c>
      <x:c r="K3528" s="40" t="n">
        <x:f>G3528-E3528</x:f>
        <x:v>0</x:v>
      </x:c>
      <x:c r="L3528" s="40" t="n">
        <x:f>ABS(K3528)</x:f>
        <x:v>0</x:v>
      </x:c>
      <x:c r="M3528" s="41" t="str">
        <x:v>lstm-soil-v1</x:v>
      </x:c>
    </x:row>
    <x:row r="3529">
      <x:c r="A3529" s="38" t="str">
        <x:v>7月30日现场数据</x:v>
      </x:c>
      <x:c r="B3529" s="39" t="str">
        <x:v>2026-08-03T15:00:00</x:v>
      </x:c>
      <x:c r="C3529" s="39" t="str">
        <x:v>2026-08-03T15:15:00</x:v>
      </x:c>
      <x:c r="D3529" s="47" t="n">
        <x:v>15</x:v>
      </x:c>
      <x:c r="E3529" s="40" t="n">
        <x:v>13.6</x:v>
      </x:c>
      <x:c r="F3529" s="40" t="n">
        <x:v>11.827213287353516</x:v>
      </x:c>
      <x:c r="G3529" s="40" t="n">
        <x:v>13.6</x:v>
      </x:c>
      <x:c r="H3529" s="40" t="n">
        <x:f>F3529-E3529</x:f>
        <x:v>-1.772786712646484</x:v>
      </x:c>
      <x:c r="I3529" s="40" t="n">
        <x:f>ABS(H3529)</x:f>
        <x:v>1.772786712646484</x:v>
      </x:c>
      <x:c r="J3529" s="40" t="n">
        <x:f>H3529^2</x:f>
        <x:v>3.1427727285359275</x:v>
      </x:c>
      <x:c r="K3529" s="40" t="n">
        <x:f>G3529-E3529</x:f>
        <x:v>0</x:v>
      </x:c>
      <x:c r="L3529" s="40" t="n">
        <x:f>ABS(K3529)</x:f>
        <x:v>0</x:v>
      </x:c>
      <x:c r="M3529" s="41" t="str">
        <x:v>lstm-soil-v1</x:v>
      </x:c>
    </x:row>
    <x:row r="3530">
      <x:c r="A3530" s="38" t="str">
        <x:v>7月30日现场数据</x:v>
      </x:c>
      <x:c r="B3530" s="39" t="str">
        <x:v>2026-08-03T15:00:00</x:v>
      </x:c>
      <x:c r="C3530" s="39" t="str">
        <x:v>2026-08-03T15:30:00</x:v>
      </x:c>
      <x:c r="D3530" s="47" t="n">
        <x:v>30</x:v>
      </x:c>
      <x:c r="E3530" s="40" t="n">
        <x:v>13.6</x:v>
      </x:c>
      <x:c r="F3530" s="40" t="n">
        <x:v>12.20998764038086</x:v>
      </x:c>
      <x:c r="G3530" s="40" t="n">
        <x:v>13.6</x:v>
      </x:c>
      <x:c r="H3530" s="40" t="n">
        <x:f>F3530-E3530</x:f>
        <x:v>-1.3900123596191403</x:v>
      </x:c>
      <x:c r="I3530" s="40" t="n">
        <x:f>ABS(H3530)</x:f>
        <x:v>1.3900123596191403</x:v>
      </x:c>
      <x:c r="J3530" s="40" t="n">
        <x:f>H3530^2</x:f>
        <x:v>1.9321343598939702</x:v>
      </x:c>
      <x:c r="K3530" s="40" t="n">
        <x:f>G3530-E3530</x:f>
        <x:v>0</x:v>
      </x:c>
      <x:c r="L3530" s="40" t="n">
        <x:f>ABS(K3530)</x:f>
        <x:v>0</x:v>
      </x:c>
      <x:c r="M3530" s="41" t="str">
        <x:v>lstm-soil-v1</x:v>
      </x:c>
    </x:row>
    <x:row r="3531">
      <x:c r="A3531" s="38" t="str">
        <x:v>7月30日现场数据</x:v>
      </x:c>
      <x:c r="B3531" s="39" t="str">
        <x:v>2026-08-03T15:00:00</x:v>
      </x:c>
      <x:c r="C3531" s="39" t="str">
        <x:v>2026-08-03T16:00:00</x:v>
      </x:c>
      <x:c r="D3531" s="47" t="n">
        <x:v>60</x:v>
      </x:c>
      <x:c r="E3531" s="40" t="n">
        <x:v>13.5</x:v>
      </x:c>
      <x:c r="F3531" s="40" t="n">
        <x:v>13.915409088134766</x:v>
      </x:c>
      <x:c r="G3531" s="40" t="n">
        <x:v>13.6</x:v>
      </x:c>
      <x:c r="H3531" s="40" t="n">
        <x:f>F3531-E3531</x:f>
        <x:v>0.4154090881347656</x:v>
      </x:c>
      <x:c r="I3531" s="40" t="n">
        <x:f>ABS(H3531)</x:f>
        <x:v>0.4154090881347656</x:v>
      </x:c>
      <x:c r="J3531" s="40" t="n">
        <x:f>H3531^2</x:f>
        <x:v>0.17256471050495747</x:v>
      </x:c>
      <x:c r="K3531" s="40" t="n">
        <x:f>G3531-E3531</x:f>
        <x:v>0.09999999999999964</x:v>
      </x:c>
      <x:c r="L3531" s="40" t="n">
        <x:f>ABS(K3531)</x:f>
        <x:v>0.09999999999999964</x:v>
      </x:c>
      <x:c r="M3531" s="41" t="str">
        <x:v>lstm-soil-v1</x:v>
      </x:c>
    </x:row>
    <x:row r="3532">
      <x:c r="A3532" s="38" t="str">
        <x:v>7月30日现场数据</x:v>
      </x:c>
      <x:c r="B3532" s="39" t="str">
        <x:v>2026-08-03T15:05:00</x:v>
      </x:c>
      <x:c r="C3532" s="39" t="str">
        <x:v>2026-08-03T15:10:00</x:v>
      </x:c>
      <x:c r="D3532" s="47" t="n">
        <x:v>5</x:v>
      </x:c>
      <x:c r="E3532" s="40" t="n">
        <x:v>13.6</x:v>
      </x:c>
      <x:c r="F3532" s="40" t="n">
        <x:v>11.734527587890625</x:v>
      </x:c>
      <x:c r="G3532" s="40" t="n">
        <x:v>13.6</x:v>
      </x:c>
      <x:c r="H3532" s="40" t="n">
        <x:f>F3532-E3532</x:f>
        <x:v>-1.8654724121093746</x:v>
      </x:c>
      <x:c r="I3532" s="40" t="n">
        <x:f>ABS(H3532)</x:f>
        <x:v>1.8654724121093746</x:v>
      </x:c>
      <x:c r="J3532" s="40" t="n">
        <x:f>H3532^2</x:f>
        <x:v>3.4799873203411686</x:v>
      </x:c>
      <x:c r="K3532" s="40" t="n">
        <x:f>G3532-E3532</x:f>
        <x:v>0</x:v>
      </x:c>
      <x:c r="L3532" s="40" t="n">
        <x:f>ABS(K3532)</x:f>
        <x:v>0</x:v>
      </x:c>
      <x:c r="M3532" s="41" t="str">
        <x:v>lstm-soil-v1</x:v>
      </x:c>
    </x:row>
    <x:row r="3533">
      <x:c r="A3533" s="38" t="str">
        <x:v>7月30日现场数据</x:v>
      </x:c>
      <x:c r="B3533" s="39" t="str">
        <x:v>2026-08-03T15:05:00</x:v>
      </x:c>
      <x:c r="C3533" s="39" t="str">
        <x:v>2026-08-03T15:20:00</x:v>
      </x:c>
      <x:c r="D3533" s="47" t="n">
        <x:v>15</x:v>
      </x:c>
      <x:c r="E3533" s="40" t="n">
        <x:v>13.5</x:v>
      </x:c>
      <x:c r="F3533" s="40" t="n">
        <x:v>11.82607650756836</x:v>
      </x:c>
      <x:c r="G3533" s="40" t="n">
        <x:v>13.6</x:v>
      </x:c>
      <x:c r="H3533" s="40" t="n">
        <x:f>F3533-E3533</x:f>
        <x:v>-1.6739234924316406</x:v>
      </x:c>
      <x:c r="I3533" s="40" t="n">
        <x:f>ABS(H3533)</x:f>
        <x:v>1.6739234924316406</x:v>
      </x:c>
      <x:c r="J3533" s="40" t="n">
        <x:f>H3533^2</x:f>
        <x:v>2.802019858514541</x:v>
      </x:c>
      <x:c r="K3533" s="40" t="n">
        <x:f>G3533-E3533</x:f>
        <x:v>0.09999999999999964</x:v>
      </x:c>
      <x:c r="L3533" s="40" t="n">
        <x:f>ABS(K3533)</x:f>
        <x:v>0.09999999999999964</x:v>
      </x:c>
      <x:c r="M3533" s="41" t="str">
        <x:v>lstm-soil-v1</x:v>
      </x:c>
    </x:row>
    <x:row r="3534">
      <x:c r="A3534" s="38" t="str">
        <x:v>7月30日现场数据</x:v>
      </x:c>
      <x:c r="B3534" s="39" t="str">
        <x:v>2026-08-03T15:05:00</x:v>
      </x:c>
      <x:c r="C3534" s="39" t="str">
        <x:v>2026-08-03T15:35:00</x:v>
      </x:c>
      <x:c r="D3534" s="47" t="n">
        <x:v>30</x:v>
      </x:c>
      <x:c r="E3534" s="40" t="n">
        <x:v>13.5</x:v>
      </x:c>
      <x:c r="F3534" s="40" t="n">
        <x:v>12.211883544921875</x:v>
      </x:c>
      <x:c r="G3534" s="40" t="n">
        <x:v>13.6</x:v>
      </x:c>
      <x:c r="H3534" s="40" t="n">
        <x:f>F3534-E3534</x:f>
        <x:v>-1.288116455078125</x:v>
      </x:c>
      <x:c r="I3534" s="40" t="n">
        <x:f>ABS(H3534)</x:f>
        <x:v>1.288116455078125</x:v>
      </x:c>
      <x:c r="J3534" s="40" t="n">
        <x:f>H3534^2</x:f>
        <x:v>1.6592440018430352</x:v>
      </x:c>
      <x:c r="K3534" s="40" t="n">
        <x:f>G3534-E3534</x:f>
        <x:v>0.09999999999999964</x:v>
      </x:c>
      <x:c r="L3534" s="40" t="n">
        <x:f>ABS(K3534)</x:f>
        <x:v>0.09999999999999964</x:v>
      </x:c>
      <x:c r="M3534" s="41" t="str">
        <x:v>lstm-soil-v1</x:v>
      </x:c>
    </x:row>
    <x:row r="3535">
      <x:c r="A3535" s="38" t="str">
        <x:v>7月30日现场数据</x:v>
      </x:c>
      <x:c r="B3535" s="39" t="str">
        <x:v>2026-08-03T15:05:00</x:v>
      </x:c>
      <x:c r="C3535" s="39" t="str">
        <x:v>2026-08-03T16:05:00</x:v>
      </x:c>
      <x:c r="D3535" s="47" t="n">
        <x:v>60</x:v>
      </x:c>
      <x:c r="E3535" s="40" t="n">
        <x:v>13.5</x:v>
      </x:c>
      <x:c r="F3535" s="40" t="n">
        <x:v>13.920310974121094</x:v>
      </x:c>
      <x:c r="G3535" s="40" t="n">
        <x:v>13.6</x:v>
      </x:c>
      <x:c r="H3535" s="40" t="n">
        <x:f>F3535-E3535</x:f>
        <x:v>0.42031097412109375</x:v>
      </x:c>
      <x:c r="I3535" s="40" t="n">
        <x:f>ABS(H3535)</x:f>
        <x:v>0.42031097412109375</x:v>
      </x:c>
      <x:c r="J3535" s="40" t="n">
        <x:f>H3535^2</x:f>
        <x:v>0.17666131496662274</x:v>
      </x:c>
      <x:c r="K3535" s="40" t="n">
        <x:f>G3535-E3535</x:f>
        <x:v>0.09999999999999964</x:v>
      </x:c>
      <x:c r="L3535" s="40" t="n">
        <x:f>ABS(K3535)</x:f>
        <x:v>0.09999999999999964</x:v>
      </x:c>
      <x:c r="M3535" s="41" t="str">
        <x:v>lstm-soil-v1</x:v>
      </x:c>
    </x:row>
    <x:row r="3536">
      <x:c r="A3536" s="38" t="str">
        <x:v>7月30日现场数据</x:v>
      </x:c>
      <x:c r="B3536" s="39" t="str">
        <x:v>2026-08-03T15:10:00</x:v>
      </x:c>
      <x:c r="C3536" s="39" t="str">
        <x:v>2026-08-03T15:15:00</x:v>
      </x:c>
      <x:c r="D3536" s="47" t="n">
        <x:v>5</x:v>
      </x:c>
      <x:c r="E3536" s="40" t="n">
        <x:v>13.6</x:v>
      </x:c>
      <x:c r="F3536" s="40" t="n">
        <x:v>11.733924865722656</x:v>
      </x:c>
      <x:c r="G3536" s="40" t="n">
        <x:v>13.6</x:v>
      </x:c>
      <x:c r="H3536" s="40" t="n">
        <x:f>F3536-E3536</x:f>
        <x:v>-1.8660751342773434</x:v>
      </x:c>
      <x:c r="I3536" s="40" t="n">
        <x:f>ABS(H3536)</x:f>
        <x:v>1.8660751342773434</x:v>
      </x:c>
      <x:c r="J3536" s="40" t="n">
        <x:f>H3536^2</x:f>
        <x:v>3.4822364067682052</x:v>
      </x:c>
      <x:c r="K3536" s="40" t="n">
        <x:f>G3536-E3536</x:f>
        <x:v>0</x:v>
      </x:c>
      <x:c r="L3536" s="40" t="n">
        <x:f>ABS(K3536)</x:f>
        <x:v>0</x:v>
      </x:c>
      <x:c r="M3536" s="41" t="str">
        <x:v>lstm-soil-v1</x:v>
      </x:c>
    </x:row>
    <x:row r="3537">
      <x:c r="A3537" s="38" t="str">
        <x:v>7月30日现场数据</x:v>
      </x:c>
      <x:c r="B3537" s="39" t="str">
        <x:v>2026-08-03T15:10:00</x:v>
      </x:c>
      <x:c r="C3537" s="39" t="str">
        <x:v>2026-08-03T15:25:00</x:v>
      </x:c>
      <x:c r="D3537" s="47" t="n">
        <x:v>15</x:v>
      </x:c>
      <x:c r="E3537" s="40" t="n">
        <x:v>13.6</x:v>
      </x:c>
      <x:c r="F3537" s="40" t="n">
        <x:v>11.822334289550781</x:v>
      </x:c>
      <x:c r="G3537" s="40" t="n">
        <x:v>13.6</x:v>
      </x:c>
      <x:c r="H3537" s="40" t="n">
        <x:f>F3537-E3537</x:f>
        <x:v>-1.7776657104492184</x:v>
      </x:c>
      <x:c r="I3537" s="40" t="n">
        <x:f>ABS(H3537)</x:f>
        <x:v>1.7776657104492184</x:v>
      </x:c>
      <x:c r="J3537" s="40" t="n">
        <x:f>H3537^2</x:f>
        <x:v>3.1600953781069245</x:v>
      </x:c>
      <x:c r="K3537" s="40" t="n">
        <x:f>G3537-E3537</x:f>
        <x:v>0</x:v>
      </x:c>
      <x:c r="L3537" s="40" t="n">
        <x:f>ABS(K3537)</x:f>
        <x:v>0</x:v>
      </x:c>
      <x:c r="M3537" s="41" t="str">
        <x:v>lstm-soil-v1</x:v>
      </x:c>
    </x:row>
    <x:row r="3538">
      <x:c r="A3538" s="38" t="str">
        <x:v>7月30日现场数据</x:v>
      </x:c>
      <x:c r="B3538" s="39" t="str">
        <x:v>2026-08-03T15:10:00</x:v>
      </x:c>
      <x:c r="C3538" s="39" t="str">
        <x:v>2026-08-03T15:40:00</x:v>
      </x:c>
      <x:c r="D3538" s="47" t="n">
        <x:v>30</x:v>
      </x:c>
      <x:c r="E3538" s="40" t="n">
        <x:v>13.5</x:v>
      </x:c>
      <x:c r="F3538" s="40" t="n">
        <x:v>12.21090316772461</x:v>
      </x:c>
      <x:c r="G3538" s="40" t="n">
        <x:v>13.6</x:v>
      </x:c>
      <x:c r="H3538" s="40" t="n">
        <x:f>F3538-E3538</x:f>
        <x:v>-1.2890968322753906</x:v>
      </x:c>
      <x:c r="I3538" s="40" t="n">
        <x:f>ABS(H3538)</x:f>
        <x:v>1.2890968322753906</x:v>
      </x:c>
      <x:c r="J3538" s="40" t="n">
        <x:f>H3538^2</x:f>
        <x:v>1.6617706429824466</x:v>
      </x:c>
      <x:c r="K3538" s="40" t="n">
        <x:f>G3538-E3538</x:f>
        <x:v>0.09999999999999964</x:v>
      </x:c>
      <x:c r="L3538" s="40" t="n">
        <x:f>ABS(K3538)</x:f>
        <x:v>0.09999999999999964</x:v>
      </x:c>
      <x:c r="M3538" s="41" t="str">
        <x:v>lstm-soil-v1</x:v>
      </x:c>
    </x:row>
    <x:row r="3539">
      <x:c r="A3539" s="38" t="str">
        <x:v>7月30日现场数据</x:v>
      </x:c>
      <x:c r="B3539" s="39" t="str">
        <x:v>2026-08-03T15:10:00</x:v>
      </x:c>
      <x:c r="C3539" s="39" t="str">
        <x:v>2026-08-03T16:10:00</x:v>
      </x:c>
      <x:c r="D3539" s="47" t="n">
        <x:v>60</x:v>
      </x:c>
      <x:c r="E3539" s="40" t="n">
        <x:v>13.5</x:v>
      </x:c>
      <x:c r="F3539" s="40" t="n">
        <x:v>13.918869018554688</x:v>
      </x:c>
      <x:c r="G3539" s="40" t="n">
        <x:v>13.6</x:v>
      </x:c>
      <x:c r="H3539" s="40" t="n">
        <x:f>F3539-E3539</x:f>
        <x:v>0.4188690185546875</x:v>
      </x:c>
      <x:c r="I3539" s="40" t="n">
        <x:f>ABS(H3539)</x:f>
        <x:v>0.4188690185546875</x:v>
      </x:c>
      <x:c r="J3539" s="40" t="n">
        <x:f>H3539^2</x:f>
        <x:v>0.17545125470496714</x:v>
      </x:c>
      <x:c r="K3539" s="40" t="n">
        <x:f>G3539-E3539</x:f>
        <x:v>0.09999999999999964</x:v>
      </x:c>
      <x:c r="L3539" s="40" t="n">
        <x:f>ABS(K3539)</x:f>
        <x:v>0.09999999999999964</x:v>
      </x:c>
      <x:c r="M3539" s="41" t="str">
        <x:v>lstm-soil-v1</x:v>
      </x:c>
    </x:row>
    <x:row r="3540">
      <x:c r="A3540" s="38" t="str">
        <x:v>7月30日现场数据</x:v>
      </x:c>
      <x:c r="B3540" s="39" t="str">
        <x:v>2026-08-03T15:15:00</x:v>
      </x:c>
      <x:c r="C3540" s="39" t="str">
        <x:v>2026-08-03T15:20:00</x:v>
      </x:c>
      <x:c r="D3540" s="47" t="n">
        <x:v>5</x:v>
      </x:c>
      <x:c r="E3540" s="40" t="n">
        <x:v>13.5</x:v>
      </x:c>
      <x:c r="F3540" s="40" t="n">
        <x:v>11.736274719238281</x:v>
      </x:c>
      <x:c r="G3540" s="40" t="n">
        <x:v>13.6</x:v>
      </x:c>
      <x:c r="H3540" s="40" t="n">
        <x:f>F3540-E3540</x:f>
        <x:v>-1.7637252807617188</x:v>
      </x:c>
      <x:c r="I3540" s="40" t="n">
        <x:f>ABS(H3540)</x:f>
        <x:v>1.7637252807617188</x:v>
      </x:c>
      <x:c r="J3540" s="40" t="n">
        <x:f>H3540^2</x:f>
        <x:v>3.1107268659980036</x:v>
      </x:c>
      <x:c r="K3540" s="40" t="n">
        <x:f>G3540-E3540</x:f>
        <x:v>0.09999999999999964</x:v>
      </x:c>
      <x:c r="L3540" s="40" t="n">
        <x:f>ABS(K3540)</x:f>
        <x:v>0.09999999999999964</x:v>
      </x:c>
      <x:c r="M3540" s="41" t="str">
        <x:v>lstm-soil-v1</x:v>
      </x:c>
    </x:row>
    <x:row r="3541">
      <x:c r="A3541" s="38" t="str">
        <x:v>7月30日现场数据</x:v>
      </x:c>
      <x:c r="B3541" s="39" t="str">
        <x:v>2026-08-03T15:15:00</x:v>
      </x:c>
      <x:c r="C3541" s="39" t="str">
        <x:v>2026-08-03T15:30:00</x:v>
      </x:c>
      <x:c r="D3541" s="47" t="n">
        <x:v>15</x:v>
      </x:c>
      <x:c r="E3541" s="40" t="n">
        <x:v>13.6</x:v>
      </x:c>
      <x:c r="F3541" s="40" t="n">
        <x:v>11.8193359375</x:v>
      </x:c>
      <x:c r="G3541" s="40" t="n">
        <x:v>13.6</x:v>
      </x:c>
      <x:c r="H3541" s="40" t="n">
        <x:f>F3541-E3541</x:f>
        <x:v>-1.7806640624999996</x:v>
      </x:c>
      <x:c r="I3541" s="40" t="n">
        <x:f>ABS(H3541)</x:f>
        <x:v>1.7806640624999996</x:v>
      </x:c>
      <x:c r="J3541" s="40" t="n">
        <x:f>H3541^2</x:f>
        <x:v>3.1707645034790026</x:v>
      </x:c>
      <x:c r="K3541" s="40" t="n">
        <x:f>G3541-E3541</x:f>
        <x:v>0</x:v>
      </x:c>
      <x:c r="L3541" s="40" t="n">
        <x:f>ABS(K3541)</x:f>
        <x:v>0</x:v>
      </x:c>
      <x:c r="M3541" s="41" t="str">
        <x:v>lstm-soil-v1</x:v>
      </x:c>
    </x:row>
    <x:row r="3542">
      <x:c r="A3542" s="38" t="str">
        <x:v>7月30日现场数据</x:v>
      </x:c>
      <x:c r="B3542" s="39" t="str">
        <x:v>2026-08-03T15:15:00</x:v>
      </x:c>
      <x:c r="C3542" s="39" t="str">
        <x:v>2026-08-03T15:45:00</x:v>
      </x:c>
      <x:c r="D3542" s="47" t="n">
        <x:v>30</x:v>
      </x:c>
      <x:c r="E3542" s="40" t="n">
        <x:v>13.5</x:v>
      </x:c>
      <x:c r="F3542" s="40" t="n">
        <x:v>12.213203430175781</x:v>
      </x:c>
      <x:c r="G3542" s="40" t="n">
        <x:v>13.6</x:v>
      </x:c>
      <x:c r="H3542" s="40" t="n">
        <x:f>F3542-E3542</x:f>
        <x:v>-1.2867965698242188</x:v>
      </x:c>
      <x:c r="I3542" s="40" t="n">
        <x:f>ABS(H3542)</x:f>
        <x:v>1.2867965698242188</x:v>
      </x:c>
      <x:c r="J3542" s="40" t="n">
        <x:f>H3542^2</x:f>
        <x:v>1.6558454121113755</x:v>
      </x:c>
      <x:c r="K3542" s="40" t="n">
        <x:f>G3542-E3542</x:f>
        <x:v>0.09999999999999964</x:v>
      </x:c>
      <x:c r="L3542" s="40" t="n">
        <x:f>ABS(K3542)</x:f>
        <x:v>0.09999999999999964</x:v>
      </x:c>
      <x:c r="M3542" s="41" t="str">
        <x:v>lstm-soil-v1</x:v>
      </x:c>
    </x:row>
    <x:row r="3543">
      <x:c r="A3543" s="38" t="str">
        <x:v>7月30日现场数据</x:v>
      </x:c>
      <x:c r="B3543" s="39" t="str">
        <x:v>2026-08-03T15:15:00</x:v>
      </x:c>
      <x:c r="C3543" s="39" t="str">
        <x:v>2026-08-03T16:15:00</x:v>
      </x:c>
      <x:c r="D3543" s="47" t="n">
        <x:v>60</x:v>
      </x:c>
      <x:c r="E3543" s="40" t="n">
        <x:v>13.5</x:v>
      </x:c>
      <x:c r="F3543" s="40" t="n">
        <x:v>13.92239761352539</x:v>
      </x:c>
      <x:c r="G3543" s="40" t="n">
        <x:v>13.6</x:v>
      </x:c>
      <x:c r="H3543" s="40" t="n">
        <x:f>F3543-E3543</x:f>
        <x:v>0.4223976135253906</x:v>
      </x:c>
      <x:c r="I3543" s="40" t="n">
        <x:f>ABS(H3543)</x:f>
        <x:v>0.4223976135253906</x:v>
      </x:c>
      <x:c r="J3543" s="40" t="n">
        <x:f>H3543^2</x:f>
        <x:v>0.17841974391194526</x:v>
      </x:c>
      <x:c r="K3543" s="40" t="n">
        <x:f>G3543-E3543</x:f>
        <x:v>0.09999999999999964</x:v>
      </x:c>
      <x:c r="L3543" s="40" t="n">
        <x:f>ABS(K3543)</x:f>
        <x:v>0.09999999999999964</x:v>
      </x:c>
      <x:c r="M3543" s="41" t="str">
        <x:v>lstm-soil-v1</x:v>
      </x:c>
    </x:row>
    <x:row r="3544">
      <x:c r="A3544" s="38" t="str">
        <x:v>7月30日现场数据</x:v>
      </x:c>
      <x:c r="B3544" s="39" t="str">
        <x:v>2026-08-03T15:20:00</x:v>
      </x:c>
      <x:c r="C3544" s="39" t="str">
        <x:v>2026-08-03T15:25:00</x:v>
      </x:c>
      <x:c r="D3544" s="47" t="n">
        <x:v>5</x:v>
      </x:c>
      <x:c r="E3544" s="40" t="n">
        <x:v>13.6</x:v>
      </x:c>
      <x:c r="F3544" s="40" t="n">
        <x:v>11.628379821777344</x:v>
      </x:c>
      <x:c r="G3544" s="40" t="n">
        <x:v>13.5</x:v>
      </x:c>
      <x:c r="H3544" s="40" t="n">
        <x:f>F3544-E3544</x:f>
        <x:v>-1.971620178222656</x:v>
      </x:c>
      <x:c r="I3544" s="40" t="n">
        <x:f>ABS(H3544)</x:f>
        <x:v>1.971620178222656</x:v>
      </x:c>
      <x:c r="J3544" s="40" t="n">
        <x:f>H3544^2</x:f>
        <x:v>3.8872861271747374</x:v>
      </x:c>
      <x:c r="K3544" s="40" t="n">
        <x:f>G3544-E3544</x:f>
        <x:v>-0.09999999999999964</x:v>
      </x:c>
      <x:c r="L3544" s="40" t="n">
        <x:f>ABS(K3544)</x:f>
        <x:v>0.09999999999999964</x:v>
      </x:c>
      <x:c r="M3544" s="41" t="str">
        <x:v>lstm-soil-v1</x:v>
      </x:c>
    </x:row>
    <x:row r="3545">
      <x:c r="A3545" s="38" t="str">
        <x:v>7月30日现场数据</x:v>
      </x:c>
      <x:c r="B3545" s="39" t="str">
        <x:v>2026-08-03T15:20:00</x:v>
      </x:c>
      <x:c r="C3545" s="39" t="str">
        <x:v>2026-08-03T15:35:00</x:v>
      </x:c>
      <x:c r="D3545" s="47" t="n">
        <x:v>15</x:v>
      </x:c>
      <x:c r="E3545" s="40" t="n">
        <x:v>13.5</x:v>
      </x:c>
      <x:c r="F3545" s="40" t="n">
        <x:v>11.709110260009766</x:v>
      </x:c>
      <x:c r="G3545" s="40" t="n">
        <x:v>13.5</x:v>
      </x:c>
      <x:c r="H3545" s="40" t="n">
        <x:f>F3545-E3545</x:f>
        <x:v>-1.7908897399902344</x:v>
      </x:c>
      <x:c r="I3545" s="40" t="n">
        <x:f>ABS(H3545)</x:f>
        <x:v>1.7908897399902344</x:v>
      </x:c>
      <x:c r="J3545" s="40" t="n">
        <x:f>H3545^2</x:f>
        <x:v>3.2072860608022893</x:v>
      </x:c>
      <x:c r="K3545" s="40" t="n">
        <x:f>G3545-E3545</x:f>
        <x:v>0</x:v>
      </x:c>
      <x:c r="L3545" s="40" t="n">
        <x:f>ABS(K3545)</x:f>
        <x:v>0</x:v>
      </x:c>
      <x:c r="M3545" s="41" t="str">
        <x:v>lstm-soil-v1</x:v>
      </x:c>
    </x:row>
    <x:row r="3546">
      <x:c r="A3546" s="38" t="str">
        <x:v>7月30日现场数据</x:v>
      </x:c>
      <x:c r="B3546" s="39" t="str">
        <x:v>2026-08-03T15:20:00</x:v>
      </x:c>
      <x:c r="C3546" s="39" t="str">
        <x:v>2026-08-03T15:50:00</x:v>
      </x:c>
      <x:c r="D3546" s="47" t="n">
        <x:v>30</x:v>
      </x:c>
      <x:c r="E3546" s="40" t="n">
        <x:v>13.5</x:v>
      </x:c>
      <x:c r="F3546" s="40" t="n">
        <x:v>12.106067657470703</x:v>
      </x:c>
      <x:c r="G3546" s="40" t="n">
        <x:v>13.5</x:v>
      </x:c>
      <x:c r="H3546" s="40" t="n">
        <x:f>F3546-E3546</x:f>
        <x:v>-1.3939323425292969</x:v>
      </x:c>
      <x:c r="I3546" s="40" t="n">
        <x:f>ABS(H3546)</x:f>
        <x:v>1.3939323425292969</x:v>
      </x:c>
      <x:c r="J3546" s="40" t="n">
        <x:f>H3546^2</x:f>
        <x:v>1.943047375549213</x:v>
      </x:c>
      <x:c r="K3546" s="40" t="n">
        <x:f>G3546-E3546</x:f>
        <x:v>0</x:v>
      </x:c>
      <x:c r="L3546" s="40" t="n">
        <x:f>ABS(K3546)</x:f>
        <x:v>0</x:v>
      </x:c>
      <x:c r="M3546" s="41" t="str">
        <x:v>lstm-soil-v1</x:v>
      </x:c>
    </x:row>
    <x:row r="3547">
      <x:c r="A3547" s="38" t="str">
        <x:v>7月30日现场数据</x:v>
      </x:c>
      <x:c r="B3547" s="39" t="str">
        <x:v>2026-08-03T15:20:00</x:v>
      </x:c>
      <x:c r="C3547" s="39" t="str">
        <x:v>2026-08-03T16:20:00</x:v>
      </x:c>
      <x:c r="D3547" s="47" t="n">
        <x:v>60</x:v>
      </x:c>
      <x:c r="E3547" s="40" t="n">
        <x:v>13.4</x:v>
      </x:c>
      <x:c r="F3547" s="40" t="n">
        <x:v>13.816631317138672</x:v>
      </x:c>
      <x:c r="G3547" s="40" t="n">
        <x:v>13.5</x:v>
      </x:c>
      <x:c r="H3547" s="40" t="n">
        <x:f>F3547-E3547</x:f>
        <x:v>0.4166313171386715</x:v>
      </x:c>
      <x:c r="I3547" s="40" t="n">
        <x:f>ABS(H3547)</x:f>
        <x:v>0.4166313171386715</x:v>
      </x:c>
      <x:c r="J3547" s="40" t="n">
        <x:f>H3547^2</x:f>
        <x:v>0.17358165442070428</x:v>
      </x:c>
      <x:c r="K3547" s="40" t="n">
        <x:f>G3547-E3547</x:f>
        <x:v>0.09999999999999964</x:v>
      </x:c>
      <x:c r="L3547" s="40" t="n">
        <x:f>ABS(K3547)</x:f>
        <x:v>0.09999999999999964</x:v>
      </x:c>
      <x:c r="M3547" s="41" t="str">
        <x:v>lstm-soil-v1</x:v>
      </x:c>
    </x:row>
    <x:row r="3548">
      <x:c r="A3548" s="38" t="str">
        <x:v>7月30日现场数据</x:v>
      </x:c>
      <x:c r="B3548" s="39" t="str">
        <x:v>2026-08-03T15:25:00</x:v>
      </x:c>
      <x:c r="C3548" s="39" t="str">
        <x:v>2026-08-03T15:30:00</x:v>
      </x:c>
      <x:c r="D3548" s="47" t="n">
        <x:v>5</x:v>
      </x:c>
      <x:c r="E3548" s="40" t="n">
        <x:v>13.6</x:v>
      </x:c>
      <x:c r="F3548" s="40" t="n">
        <x:v>11.7393798828125</x:v>
      </x:c>
      <x:c r="G3548" s="40" t="n">
        <x:v>13.6</x:v>
      </x:c>
      <x:c r="H3548" s="40" t="n">
        <x:f>F3548-E3548</x:f>
        <x:v>-1.8606201171874996</x:v>
      </x:c>
      <x:c r="I3548" s="40" t="n">
        <x:f>ABS(H3548)</x:f>
        <x:v>1.8606201171874996</x:v>
      </x:c>
      <x:c r="J3548" s="40" t="n">
        <x:f>H3548^2</x:f>
        <x:v>3.461907220482825</x:v>
      </x:c>
      <x:c r="K3548" s="40" t="n">
        <x:f>G3548-E3548</x:f>
        <x:v>0</x:v>
      </x:c>
      <x:c r="L3548" s="40" t="n">
        <x:f>ABS(K3548)</x:f>
        <x:v>0</x:v>
      </x:c>
      <x:c r="M3548" s="41" t="str">
        <x:v>lstm-soil-v1</x:v>
      </x:c>
    </x:row>
    <x:row r="3549">
      <x:c r="A3549" s="38" t="str">
        <x:v>7月30日现场数据</x:v>
      </x:c>
      <x:c r="B3549" s="39" t="str">
        <x:v>2026-08-03T15:25:00</x:v>
      </x:c>
      <x:c r="C3549" s="39" t="str">
        <x:v>2026-08-03T15:40:00</x:v>
      </x:c>
      <x:c r="D3549" s="47" t="n">
        <x:v>15</x:v>
      </x:c>
      <x:c r="E3549" s="40" t="n">
        <x:v>13.5</x:v>
      </x:c>
      <x:c r="F3549" s="40" t="n">
        <x:v>11.818885803222656</x:v>
      </x:c>
      <x:c r="G3549" s="40" t="n">
        <x:v>13.6</x:v>
      </x:c>
      <x:c r="H3549" s="40" t="n">
        <x:f>F3549-E3549</x:f>
        <x:v>-1.6811141967773438</x:v>
      </x:c>
      <x:c r="I3549" s="40" t="n">
        <x:f>ABS(H3549)</x:f>
        <x:v>1.6811141967773438</x:v>
      </x:c>
      <x:c r="J3549" s="40" t="n">
        <x:f>H3549^2</x:f>
        <x:v>2.8261449426063336</x:v>
      </x:c>
      <x:c r="K3549" s="40" t="n">
        <x:f>G3549-E3549</x:f>
        <x:v>0.09999999999999964</x:v>
      </x:c>
      <x:c r="L3549" s="40" t="n">
        <x:f>ABS(K3549)</x:f>
        <x:v>0.09999999999999964</x:v>
      </x:c>
      <x:c r="M3549" s="41" t="str">
        <x:v>lstm-soil-v1</x:v>
      </x:c>
    </x:row>
    <x:row r="3550">
      <x:c r="A3550" s="38" t="str">
        <x:v>7月30日现场数据</x:v>
      </x:c>
      <x:c r="B3550" s="39" t="str">
        <x:v>2026-08-03T15:25:00</x:v>
      </x:c>
      <x:c r="C3550" s="39" t="str">
        <x:v>2026-08-03T15:55:00</x:v>
      </x:c>
      <x:c r="D3550" s="47" t="n">
        <x:v>30</x:v>
      </x:c>
      <x:c r="E3550" s="40" t="n">
        <x:v>13.5</x:v>
      </x:c>
      <x:c r="F3550" s="40" t="n">
        <x:v>12.217708587646484</x:v>
      </x:c>
      <x:c r="G3550" s="40" t="n">
        <x:v>13.6</x:v>
      </x:c>
      <x:c r="H3550" s="40" t="n">
        <x:f>F3550-E3550</x:f>
        <x:v>-1.2822914123535156</x:v>
      </x:c>
      <x:c r="I3550" s="40" t="n">
        <x:f>ABS(H3550)</x:f>
        <x:v>1.2822914123535156</x:v>
      </x:c>
      <x:c r="J3550" s="40" t="n">
        <x:f>H3550^2</x:f>
        <x:v>1.6442712661955738</x:v>
      </x:c>
      <x:c r="K3550" s="40" t="n">
        <x:f>G3550-E3550</x:f>
        <x:v>0.09999999999999964</x:v>
      </x:c>
      <x:c r="L3550" s="40" t="n">
        <x:f>ABS(K3550)</x:f>
        <x:v>0.09999999999999964</x:v>
      </x:c>
      <x:c r="M3550" s="41" t="str">
        <x:v>lstm-soil-v1</x:v>
      </x:c>
    </x:row>
    <x:row r="3551">
      <x:c r="A3551" s="38" t="str">
        <x:v>7月30日现场数据</x:v>
      </x:c>
      <x:c r="B3551" s="39" t="str">
        <x:v>2026-08-03T15:25:00</x:v>
      </x:c>
      <x:c r="C3551" s="39" t="str">
        <x:v>2026-08-03T16:25:00</x:v>
      </x:c>
      <x:c r="D3551" s="47" t="n">
        <x:v>60</x:v>
      </x:c>
      <x:c r="E3551" s="40" t="n">
        <x:v>13.4</x:v>
      </x:c>
      <x:c r="F3551" s="40" t="n">
        <x:v>13.926902770996094</x:v>
      </x:c>
      <x:c r="G3551" s="40" t="n">
        <x:v>13.6</x:v>
      </x:c>
      <x:c r="H3551" s="40" t="n">
        <x:f>F3551-E3551</x:f>
        <x:v>0.5269027709960934</x:v>
      </x:c>
      <x:c r="I3551" s="40" t="n">
        <x:f>ABS(H3551)</x:f>
        <x:v>0.5269027709960934</x:v>
      </x:c>
      <x:c r="J3551" s="40" t="n">
        <x:f>H3551^2</x:f>
        <x:v>0.27762653008336163</x:v>
      </x:c>
      <x:c r="K3551" s="40" t="n">
        <x:f>G3551-E3551</x:f>
        <x:v>0.1999999999999993</x:v>
      </x:c>
      <x:c r="L3551" s="40" t="n">
        <x:f>ABS(K3551)</x:f>
        <x:v>0.1999999999999993</x:v>
      </x:c>
      <x:c r="M3551" s="41" t="str">
        <x:v>lstm-soil-v1</x:v>
      </x:c>
    </x:row>
    <x:row r="3552">
      <x:c r="A3552" s="38" t="str">
        <x:v>7月30日现场数据</x:v>
      </x:c>
      <x:c r="B3552" s="39" t="str">
        <x:v>2026-08-03T15:30:00</x:v>
      </x:c>
      <x:c r="C3552" s="39" t="str">
        <x:v>2026-08-03T15:35:00</x:v>
      </x:c>
      <x:c r="D3552" s="47" t="n">
        <x:v>5</x:v>
      </x:c>
      <x:c r="E3552" s="40" t="n">
        <x:v>13.5</x:v>
      </x:c>
      <x:c r="F3552" s="40" t="n">
        <x:v>11.745075225830078</x:v>
      </x:c>
      <x:c r="G3552" s="40" t="n">
        <x:v>13.6</x:v>
      </x:c>
      <x:c r="H3552" s="40" t="n">
        <x:f>F3552-E3552</x:f>
        <x:v>-1.7549247741699219</x:v>
      </x:c>
      <x:c r="I3552" s="40" t="n">
        <x:f>ABS(H3552)</x:f>
        <x:v>1.7549247741699219</x:v>
      </x:c>
      <x:c r="J3552" s="40" t="n">
        <x:f>H3552^2</x:f>
        <x:v>3.0797609629953513</x:v>
      </x:c>
      <x:c r="K3552" s="40" t="n">
        <x:f>G3552-E3552</x:f>
        <x:v>0.09999999999999964</x:v>
      </x:c>
      <x:c r="L3552" s="40" t="n">
        <x:f>ABS(K3552)</x:f>
        <x:v>0.09999999999999964</x:v>
      </x:c>
      <x:c r="M3552" s="41" t="str">
        <x:v>lstm-soil-v1</x:v>
      </x:c>
    </x:row>
    <x:row r="3553">
      <x:c r="A3553" s="38" t="str">
        <x:v>7月30日现场数据</x:v>
      </x:c>
      <x:c r="B3553" s="39" t="str">
        <x:v>2026-08-03T15:30:00</x:v>
      </x:c>
      <x:c r="C3553" s="39" t="str">
        <x:v>2026-08-03T15:45:00</x:v>
      </x:c>
      <x:c r="D3553" s="47" t="n">
        <x:v>15</x:v>
      </x:c>
      <x:c r="E3553" s="40" t="n">
        <x:v>13.5</x:v>
      </x:c>
      <x:c r="F3553" s="40" t="n">
        <x:v>11.829559326171875</x:v>
      </x:c>
      <x:c r="G3553" s="40" t="n">
        <x:v>13.6</x:v>
      </x:c>
      <x:c r="H3553" s="40" t="n">
        <x:f>F3553-E3553</x:f>
        <x:v>-1.670440673828125</x:v>
      </x:c>
      <x:c r="I3553" s="40" t="n">
        <x:f>ABS(H3553)</x:f>
        <x:v>1.670440673828125</x:v>
      </x:c>
      <x:c r="J3553" s="40" t="n">
        <x:f>H3553^2</x:f>
        <x:v>2.7903720447793603</x:v>
      </x:c>
      <x:c r="K3553" s="40" t="n">
        <x:f>G3553-E3553</x:f>
        <x:v>0.09999999999999964</x:v>
      </x:c>
      <x:c r="L3553" s="40" t="n">
        <x:f>ABS(K3553)</x:f>
        <x:v>0.09999999999999964</x:v>
      </x:c>
      <x:c r="M3553" s="41" t="str">
        <x:v>lstm-soil-v1</x:v>
      </x:c>
    </x:row>
    <x:row r="3554">
      <x:c r="A3554" s="38" t="str">
        <x:v>7月30日现场数据</x:v>
      </x:c>
      <x:c r="B3554" s="39" t="str">
        <x:v>2026-08-03T15:30:00</x:v>
      </x:c>
      <x:c r="C3554" s="39" t="str">
        <x:v>2026-08-03T16:00:00</x:v>
      </x:c>
      <x:c r="D3554" s="47" t="n">
        <x:v>30</x:v>
      </x:c>
      <x:c r="E3554" s="40" t="n">
        <x:v>13.5</x:v>
      </x:c>
      <x:c r="F3554" s="40" t="n">
        <x:v>12.224845886230469</x:v>
      </x:c>
      <x:c r="G3554" s="40" t="n">
        <x:v>13.6</x:v>
      </x:c>
      <x:c r="H3554" s="40" t="n">
        <x:f>F3554-E3554</x:f>
        <x:v>-1.2751541137695312</x:v>
      </x:c>
      <x:c r="I3554" s="40" t="n">
        <x:f>ABS(H3554)</x:f>
        <x:v>1.2751541137695312</x:v>
      </x:c>
      <x:c r="J3554" s="40" t="n">
        <x:f>H3554^2</x:f>
        <x:v>1.6260180138633586</x:v>
      </x:c>
      <x:c r="K3554" s="40" t="n">
        <x:f>G3554-E3554</x:f>
        <x:v>0.09999999999999964</x:v>
      </x:c>
      <x:c r="L3554" s="40" t="n">
        <x:f>ABS(K3554)</x:f>
        <x:v>0.09999999999999964</x:v>
      </x:c>
      <x:c r="M3554" s="41" t="str">
        <x:v>lstm-soil-v1</x:v>
      </x:c>
    </x:row>
    <x:row r="3555">
      <x:c r="A3555" s="38" t="str">
        <x:v>7月30日现场数据</x:v>
      </x:c>
      <x:c r="B3555" s="39" t="str">
        <x:v>2026-08-03T15:30:00</x:v>
      </x:c>
      <x:c r="C3555" s="39" t="str">
        <x:v>2026-08-03T16:30:00</x:v>
      </x:c>
      <x:c r="D3555" s="47" t="n">
        <x:v>60</x:v>
      </x:c>
      <x:c r="E3555" s="40" t="n">
        <x:v>13.3</x:v>
      </x:c>
      <x:c r="F3555" s="40" t="n">
        <x:v>13.93857192993164</x:v>
      </x:c>
      <x:c r="G3555" s="40" t="n">
        <x:v>13.6</x:v>
      </x:c>
      <x:c r="H3555" s="40" t="n">
        <x:f>F3555-E3555</x:f>
        <x:v>0.6385719299316399</x:v>
      </x:c>
      <x:c r="I3555" s="40" t="n">
        <x:f>ABS(H3555)</x:f>
        <x:v>0.6385719299316399</x:v>
      </x:c>
      <x:c r="J3555" s="40" t="n">
        <x:f>H3555^2</x:f>
        <x:v>0.40777410969661926</x:v>
      </x:c>
      <x:c r="K3555" s="40" t="n">
        <x:f>G3555-E3555</x:f>
        <x:v>0.29999999999999893</x:v>
      </x:c>
      <x:c r="L3555" s="40" t="n">
        <x:f>ABS(K3555)</x:f>
        <x:v>0.29999999999999893</x:v>
      </x:c>
      <x:c r="M3555" s="41" t="str">
        <x:v>lstm-soil-v1</x:v>
      </x:c>
    </x:row>
    <x:row r="3556">
      <x:c r="A3556" s="38" t="str">
        <x:v>7月30日现场数据</x:v>
      </x:c>
      <x:c r="B3556" s="39" t="str">
        <x:v>2026-08-03T15:35:00</x:v>
      </x:c>
      <x:c r="C3556" s="39" t="str">
        <x:v>2026-08-03T15:40:00</x:v>
      </x:c>
      <x:c r="D3556" s="47" t="n">
        <x:v>5</x:v>
      </x:c>
      <x:c r="E3556" s="40" t="n">
        <x:v>13.5</x:v>
      </x:c>
      <x:c r="F3556" s="40" t="n">
        <x:v>11.62771224975586</x:v>
      </x:c>
      <x:c r="G3556" s="40" t="n">
        <x:v>13.5</x:v>
      </x:c>
      <x:c r="H3556" s="40" t="n">
        <x:f>F3556-E3556</x:f>
        <x:v>-1.8722877502441406</x:v>
      </x:c>
      <x:c r="I3556" s="40" t="n">
        <x:f>ABS(H3556)</x:f>
        <x:v>1.8722877502441406</x:v>
      </x:c>
      <x:c r="J3556" s="40" t="n">
        <x:f>H3556^2</x:f>
        <x:v>3.5054614197142655</x:v>
      </x:c>
      <x:c r="K3556" s="40" t="n">
        <x:f>G3556-E3556</x:f>
        <x:v>0</x:v>
      </x:c>
      <x:c r="L3556" s="40" t="n">
        <x:f>ABS(K3556)</x:f>
        <x:v>0</x:v>
      </x:c>
      <x:c r="M3556" s="41" t="str">
        <x:v>lstm-soil-v1</x:v>
      </x:c>
    </x:row>
    <x:row r="3557">
      <x:c r="A3557" s="38" t="str">
        <x:v>7月30日现场数据</x:v>
      </x:c>
      <x:c r="B3557" s="39" t="str">
        <x:v>2026-08-03T15:35:00</x:v>
      </x:c>
      <x:c r="C3557" s="39" t="str">
        <x:v>2026-08-03T15:50:00</x:v>
      </x:c>
      <x:c r="D3557" s="47" t="n">
        <x:v>15</x:v>
      </x:c>
      <x:c r="E3557" s="40" t="n">
        <x:v>13.5</x:v>
      </x:c>
      <x:c r="F3557" s="40" t="n">
        <x:v>11.714862823486328</x:v>
      </x:c>
      <x:c r="G3557" s="40" t="n">
        <x:v>13.5</x:v>
      </x:c>
      <x:c r="H3557" s="40" t="n">
        <x:f>F3557-E3557</x:f>
        <x:v>-1.7851371765136719</x:v>
      </x:c>
      <x:c r="I3557" s="40" t="n">
        <x:f>ABS(H3557)</x:f>
        <x:v>1.7851371765136719</x:v>
      </x:c>
      <x:c r="J3557" s="40" t="n">
        <x:f>H3557^2</x:f>
        <x:v>3.1867147389712045</x:v>
      </x:c>
      <x:c r="K3557" s="40" t="n">
        <x:f>G3557-E3557</x:f>
        <x:v>0</x:v>
      </x:c>
      <x:c r="L3557" s="40" t="n">
        <x:f>ABS(K3557)</x:f>
        <x:v>0</x:v>
      </x:c>
      <x:c r="M3557" s="41" t="str">
        <x:v>lstm-soil-v1</x:v>
      </x:c>
    </x:row>
    <x:row r="3558">
      <x:c r="A3558" s="38" t="str">
        <x:v>7月30日现场数据</x:v>
      </x:c>
      <x:c r="B3558" s="39" t="str">
        <x:v>2026-08-03T15:35:00</x:v>
      </x:c>
      <x:c r="C3558" s="39" t="str">
        <x:v>2026-08-03T16:05:00</x:v>
      </x:c>
      <x:c r="D3558" s="47" t="n">
        <x:v>30</x:v>
      </x:c>
      <x:c r="E3558" s="40" t="n">
        <x:v>13.5</x:v>
      </x:c>
      <x:c r="F3558" s="40" t="n">
        <x:v>12.106101989746094</x:v>
      </x:c>
      <x:c r="G3558" s="40" t="n">
        <x:v>13.5</x:v>
      </x:c>
      <x:c r="H3558" s="40" t="n">
        <x:f>F3558-E3558</x:f>
        <x:v>-1.3938980102539062</x:v>
      </x:c>
      <x:c r="I3558" s="40" t="n">
        <x:f>ABS(H3558)</x:f>
        <x:v>1.3938980102539062</x:v>
      </x:c>
      <x:c r="J3558" s="40" t="n">
        <x:f>H3558^2</x:f>
        <x:v>1.942951662989799</x:v>
      </x:c>
      <x:c r="K3558" s="40" t="n">
        <x:f>G3558-E3558</x:f>
        <x:v>0</x:v>
      </x:c>
      <x:c r="L3558" s="40" t="n">
        <x:f>ABS(K3558)</x:f>
        <x:v>0</x:v>
      </x:c>
      <x:c r="M3558" s="41" t="str">
        <x:v>lstm-soil-v1</x:v>
      </x:c>
    </x:row>
    <x:row r="3559">
      <x:c r="A3559" s="38" t="str">
        <x:v>7月30日现场数据</x:v>
      </x:c>
      <x:c r="B3559" s="39" t="str">
        <x:v>2026-08-03T15:35:00</x:v>
      </x:c>
      <x:c r="C3559" s="39" t="str">
        <x:v>2026-08-03T16:35:00</x:v>
      </x:c>
      <x:c r="D3559" s="47" t="n">
        <x:v>60</x:v>
      </x:c>
      <x:c r="E3559" s="40" t="n">
        <x:v>13.4</x:v>
      </x:c>
      <x:c r="F3559" s="40" t="n">
        <x:v>13.814453125</x:v>
      </x:c>
      <x:c r="G3559" s="40" t="n">
        <x:v>13.5</x:v>
      </x:c>
      <x:c r="H3559" s="40" t="n">
        <x:f>F3559-E3559</x:f>
        <x:v>0.41445312499999964</x:v>
      </x:c>
      <x:c r="I3559" s="40" t="n">
        <x:f>ABS(H3559)</x:f>
        <x:v>0.41445312499999964</x:v>
      </x:c>
      <x:c r="J3559" s="40" t="n">
        <x:f>H3559^2</x:f>
        <x:v>0.17177139282226533</x:v>
      </x:c>
      <x:c r="K3559" s="40" t="n">
        <x:f>G3559-E3559</x:f>
        <x:v>0.09999999999999964</x:v>
      </x:c>
      <x:c r="L3559" s="40" t="n">
        <x:f>ABS(K3559)</x:f>
        <x:v>0.09999999999999964</x:v>
      </x:c>
      <x:c r="M3559" s="41" t="str">
        <x:v>lstm-soil-v1</x:v>
      </x:c>
    </x:row>
    <x:row r="3560">
      <x:c r="A3560" s="38" t="str">
        <x:v>7月30日现场数据</x:v>
      </x:c>
      <x:c r="B3560" s="39" t="str">
        <x:v>2026-08-03T15:40:00</x:v>
      </x:c>
      <x:c r="C3560" s="39" t="str">
        <x:v>2026-08-03T15:45:00</x:v>
      </x:c>
      <x:c r="D3560" s="47" t="n">
        <x:v>5</x:v>
      </x:c>
      <x:c r="E3560" s="40" t="n">
        <x:v>13.5</x:v>
      </x:c>
      <x:c r="F3560" s="40" t="n">
        <x:v>11.630252838134766</x:v>
      </x:c>
      <x:c r="G3560" s="40" t="n">
        <x:v>13.5</x:v>
      </x:c>
      <x:c r="H3560" s="40" t="n">
        <x:f>F3560-E3560</x:f>
        <x:v>-1.8697471618652344</x:v>
      </x:c>
      <x:c r="I3560" s="40" t="n">
        <x:f>ABS(H3560)</x:f>
        <x:v>1.8697471618652344</x:v>
      </x:c>
      <x:c r="J3560" s="40" t="n">
        <x:f>H3560^2</x:f>
        <x:v>3.495954449303099</x:v>
      </x:c>
      <x:c r="K3560" s="40" t="n">
        <x:f>G3560-E3560</x:f>
        <x:v>0</x:v>
      </x:c>
      <x:c r="L3560" s="40" t="n">
        <x:f>ABS(K3560)</x:f>
        <x:v>0</x:v>
      </x:c>
      <x:c r="M3560" s="41" t="str">
        <x:v>lstm-soil-v1</x:v>
      </x:c>
    </x:row>
    <x:row r="3561">
      <x:c r="A3561" s="38" t="str">
        <x:v>7月30日现场数据</x:v>
      </x:c>
      <x:c r="B3561" s="39" t="str">
        <x:v>2026-08-03T15:40:00</x:v>
      </x:c>
      <x:c r="C3561" s="39" t="str">
        <x:v>2026-08-03T15:55:00</x:v>
      </x:c>
      <x:c r="D3561" s="47" t="n">
        <x:v>15</x:v>
      </x:c>
      <x:c r="E3561" s="40" t="n">
        <x:v>13.5</x:v>
      </x:c>
      <x:c r="F3561" s="40" t="n">
        <x:v>11.717071533203125</x:v>
      </x:c>
      <x:c r="G3561" s="40" t="n">
        <x:v>13.5</x:v>
      </x:c>
      <x:c r="H3561" s="40" t="n">
        <x:f>F3561-E3561</x:f>
        <x:v>-1.782928466796875</x:v>
      </x:c>
      <x:c r="I3561" s="40" t="n">
        <x:f>ABS(H3561)</x:f>
        <x:v>1.782928466796875</x:v>
      </x:c>
      <x:c r="J3561" s="40" t="n">
        <x:f>H3561^2</x:f>
        <x:v>3.1788339177146554</x:v>
      </x:c>
      <x:c r="K3561" s="40" t="n">
        <x:f>G3561-E3561</x:f>
        <x:v>0</x:v>
      </x:c>
      <x:c r="L3561" s="40" t="n">
        <x:f>ABS(K3561)</x:f>
        <x:v>0</x:v>
      </x:c>
      <x:c r="M3561" s="41" t="str">
        <x:v>lstm-soil-v1</x:v>
      </x:c>
    </x:row>
    <x:row r="3562">
      <x:c r="A3562" s="38" t="str">
        <x:v>7月30日现场数据</x:v>
      </x:c>
      <x:c r="B3562" s="39" t="str">
        <x:v>2026-08-03T15:40:00</x:v>
      </x:c>
      <x:c r="C3562" s="39" t="str">
        <x:v>2026-08-03T16:10:00</x:v>
      </x:c>
      <x:c r="D3562" s="47" t="n">
        <x:v>30</x:v>
      </x:c>
      <x:c r="E3562" s="40" t="n">
        <x:v>13.5</x:v>
      </x:c>
      <x:c r="F3562" s="40" t="n">
        <x:v>12.109012603759766</x:v>
      </x:c>
      <x:c r="G3562" s="40" t="n">
        <x:v>13.5</x:v>
      </x:c>
      <x:c r="H3562" s="40" t="n">
        <x:f>F3562-E3562</x:f>
        <x:v>-1.3909873962402344</x:v>
      </x:c>
      <x:c r="I3562" s="40" t="n">
        <x:f>ABS(H3562)</x:f>
        <x:v>1.3909873962402344</x:v>
      </x:c>
      <x:c r="J3562" s="40" t="n">
        <x:f>H3562^2</x:f>
        <x:v>1.9348459364991868</x:v>
      </x:c>
      <x:c r="K3562" s="40" t="n">
        <x:f>G3562-E3562</x:f>
        <x:v>0</x:v>
      </x:c>
      <x:c r="L3562" s="40" t="n">
        <x:f>ABS(K3562)</x:f>
        <x:v>0</x:v>
      </x:c>
      <x:c r="M3562" s="41" t="str">
        <x:v>lstm-soil-v1</x:v>
      </x:c>
    </x:row>
    <x:row r="3563">
      <x:c r="A3563" s="38" t="str">
        <x:v>7月30日现场数据</x:v>
      </x:c>
      <x:c r="B3563" s="39" t="str">
        <x:v>2026-08-03T15:40:00</x:v>
      </x:c>
      <x:c r="C3563" s="39" t="str">
        <x:v>2026-08-03T16:40:00</x:v>
      </x:c>
      <x:c r="D3563" s="47" t="n">
        <x:v>60</x:v>
      </x:c>
      <x:c r="E3563" s="40" t="n">
        <x:v>13.4</x:v>
      </x:c>
      <x:c r="F3563" s="40" t="n">
        <x:v>13.821247100830078</x:v>
      </x:c>
      <x:c r="G3563" s="40" t="n">
        <x:v>13.5</x:v>
      </x:c>
      <x:c r="H3563" s="40" t="n">
        <x:f>F3563-E3563</x:f>
        <x:v>0.42124710083007777</x:v>
      </x:c>
      <x:c r="I3563" s="40" t="n">
        <x:f>ABS(H3563)</x:f>
        <x:v>0.42124710083007777</x:v>
      </x:c>
      <x:c r="J3563" s="40" t="n">
        <x:f>H3563^2</x:f>
        <x:v>0.1774491199577457</x:v>
      </x:c>
      <x:c r="K3563" s="40" t="n">
        <x:f>G3563-E3563</x:f>
        <x:v>0.09999999999999964</x:v>
      </x:c>
      <x:c r="L3563" s="40" t="n">
        <x:f>ABS(K3563)</x:f>
        <x:v>0.09999999999999964</x:v>
      </x:c>
      <x:c r="M3563" s="41" t="str">
        <x:v>lstm-soil-v1</x:v>
      </x:c>
    </x:row>
    <x:row r="3564">
      <x:c r="A3564" s="38" t="str">
        <x:v>7月30日现场数据</x:v>
      </x:c>
      <x:c r="B3564" s="39" t="str">
        <x:v>2026-08-03T15:45:00</x:v>
      </x:c>
      <x:c r="C3564" s="39" t="str">
        <x:v>2026-08-03T15:50:00</x:v>
      </x:c>
      <x:c r="D3564" s="47" t="n">
        <x:v>5</x:v>
      </x:c>
      <x:c r="E3564" s="40" t="n">
        <x:v>13.5</x:v>
      </x:c>
      <x:c r="F3564" s="40" t="n">
        <x:v>11.626518249511719</x:v>
      </x:c>
      <x:c r="G3564" s="40" t="n">
        <x:v>13.5</x:v>
      </x:c>
      <x:c r="H3564" s="40" t="n">
        <x:f>F3564-E3564</x:f>
        <x:v>-1.8734817504882812</x:v>
      </x:c>
      <x:c r="I3564" s="40" t="n">
        <x:f>ABS(H3564)</x:f>
        <x:v>1.8734817504882812</x:v>
      </x:c>
      <x:c r="J3564" s="40" t="n">
        <x:f>H3564^2</x:f>
        <x:v>3.5099338694126345</x:v>
      </x:c>
      <x:c r="K3564" s="40" t="n">
        <x:f>G3564-E3564</x:f>
        <x:v>0</x:v>
      </x:c>
      <x:c r="L3564" s="40" t="n">
        <x:f>ABS(K3564)</x:f>
        <x:v>0</x:v>
      </x:c>
      <x:c r="M3564" s="41" t="str">
        <x:v>lstm-soil-v1</x:v>
      </x:c>
    </x:row>
    <x:row r="3565">
      <x:c r="A3565" s="38" t="str">
        <x:v>7月30日现场数据</x:v>
      </x:c>
      <x:c r="B3565" s="39" t="str">
        <x:v>2026-08-03T15:45:00</x:v>
      </x:c>
      <x:c r="C3565" s="39" t="str">
        <x:v>2026-08-03T16:00:00</x:v>
      </x:c>
      <x:c r="D3565" s="47" t="n">
        <x:v>15</x:v>
      </x:c>
      <x:c r="E3565" s="40" t="n">
        <x:v>13.5</x:v>
      </x:c>
      <x:c r="F3565" s="40" t="n">
        <x:v>11.712657928466797</x:v>
      </x:c>
      <x:c r="G3565" s="40" t="n">
        <x:v>13.5</x:v>
      </x:c>
      <x:c r="H3565" s="40" t="n">
        <x:f>F3565-E3565</x:f>
        <x:v>-1.7873420715332031</x:v>
      </x:c>
      <x:c r="I3565" s="40" t="n">
        <x:f>ABS(H3565)</x:f>
        <x:v>1.7873420715332031</x:v>
      </x:c>
      <x:c r="J3565" s="40" t="n">
        <x:f>H3565^2</x:f>
        <x:v>3.194591680672602</x:v>
      </x:c>
      <x:c r="K3565" s="40" t="n">
        <x:f>G3565-E3565</x:f>
        <x:v>0</x:v>
      </x:c>
      <x:c r="L3565" s="40" t="n">
        <x:f>ABS(K3565)</x:f>
        <x:v>0</x:v>
      </x:c>
      <x:c r="M3565" s="41" t="str">
        <x:v>lstm-soil-v1</x:v>
      </x:c>
    </x:row>
    <x:row r="3566">
      <x:c r="A3566" s="38" t="str">
        <x:v>7月30日现场数据</x:v>
      </x:c>
      <x:c r="B3566" s="39" t="str">
        <x:v>2026-08-03T15:45:00</x:v>
      </x:c>
      <x:c r="C3566" s="39" t="str">
        <x:v>2026-08-03T16:15:00</x:v>
      </x:c>
      <x:c r="D3566" s="47" t="n">
        <x:v>30</x:v>
      </x:c>
      <x:c r="E3566" s="40" t="n">
        <x:v>13.5</x:v>
      </x:c>
      <x:c r="F3566" s="40" t="n">
        <x:v>12.105182647705078</x:v>
      </x:c>
      <x:c r="G3566" s="40" t="n">
        <x:v>13.5</x:v>
      </x:c>
      <x:c r="H3566" s="40" t="n">
        <x:f>F3566-E3566</x:f>
        <x:v>-1.3948173522949219</x:v>
      </x:c>
      <x:c r="I3566" s="40" t="n">
        <x:f>ABS(H3566)</x:f>
        <x:v>1.3948173522949219</x:v>
      </x:c>
      <x:c r="J3566" s="40" t="n">
        <x:f>H3566^2</x:f>
        <x:v>1.9455154462630162</x:v>
      </x:c>
      <x:c r="K3566" s="40" t="n">
        <x:f>G3566-E3566</x:f>
        <x:v>0</x:v>
      </x:c>
      <x:c r="L3566" s="40" t="n">
        <x:f>ABS(K3566)</x:f>
        <x:v>0</x:v>
      </x:c>
      <x:c r="M3566" s="41" t="str">
        <x:v>lstm-soil-v1</x:v>
      </x:c>
    </x:row>
    <x:row r="3567">
      <x:c r="A3567" s="38" t="str">
        <x:v>7月30日现场数据</x:v>
      </x:c>
      <x:c r="B3567" s="39" t="str">
        <x:v>2026-08-03T15:45:00</x:v>
      </x:c>
      <x:c r="C3567" s="39" t="str">
        <x:v>2026-08-03T16:45:00</x:v>
      </x:c>
      <x:c r="D3567" s="47" t="n">
        <x:v>60</x:v>
      </x:c>
      <x:c r="E3567" s="40" t="n">
        <x:v>13.4</x:v>
      </x:c>
      <x:c r="F3567" s="40" t="n">
        <x:v>13.813053131103516</x:v>
      </x:c>
      <x:c r="G3567" s="40" t="n">
        <x:v>13.5</x:v>
      </x:c>
      <x:c r="H3567" s="40" t="n">
        <x:f>F3567-E3567</x:f>
        <x:v>0.41305313110351527</x:v>
      </x:c>
      <x:c r="I3567" s="40" t="n">
        <x:f>ABS(H3567)</x:f>
        <x:v>0.41305313110351527</x:v>
      </x:c>
      <x:c r="J3567" s="40" t="n">
        <x:f>H3567^2</x:f>
        <x:v>0.17061288911441777</x:v>
      </x:c>
      <x:c r="K3567" s="40" t="n">
        <x:f>G3567-E3567</x:f>
        <x:v>0.09999999999999964</x:v>
      </x:c>
      <x:c r="L3567" s="40" t="n">
        <x:f>ABS(K3567)</x:f>
        <x:v>0.09999999999999964</x:v>
      </x:c>
      <x:c r="M3567" s="41" t="str">
        <x:v>lstm-soil-v1</x:v>
      </x:c>
    </x:row>
    <x:row r="3568">
      <x:c r="A3568" s="38" t="str">
        <x:v>7月30日现场数据</x:v>
      </x:c>
      <x:c r="B3568" s="39" t="str">
        <x:v>2026-08-03T15:50:00</x:v>
      </x:c>
      <x:c r="C3568" s="39" t="str">
        <x:v>2026-08-03T15:55:00</x:v>
      </x:c>
      <x:c r="D3568" s="47" t="n">
        <x:v>5</x:v>
      </x:c>
      <x:c r="E3568" s="40" t="n">
        <x:v>13.5</x:v>
      </x:c>
      <x:c r="F3568" s="40" t="n">
        <x:v>11.633132934570312</x:v>
      </x:c>
      <x:c r="G3568" s="40" t="n">
        <x:v>13.5</x:v>
      </x:c>
      <x:c r="H3568" s="40" t="n">
        <x:f>F3568-E3568</x:f>
        <x:v>-1.8668670654296875</x:v>
      </x:c>
      <x:c r="I3568" s="40" t="n">
        <x:f>ABS(H3568)</x:f>
        <x:v>1.8668670654296875</x:v>
      </x:c>
      <x:c r="J3568" s="40" t="n">
        <x:f>H3568^2</x:f>
        <x:v>3.485192639986053</x:v>
      </x:c>
      <x:c r="K3568" s="40" t="n">
        <x:f>G3568-E3568</x:f>
        <x:v>0</x:v>
      </x:c>
      <x:c r="L3568" s="40" t="n">
        <x:f>ABS(K3568)</x:f>
        <x:v>0</x:v>
      </x:c>
      <x:c r="M3568" s="41" t="str">
        <x:v>lstm-soil-v1</x:v>
      </x:c>
    </x:row>
    <x:row r="3569">
      <x:c r="A3569" s="38" t="str">
        <x:v>7月30日现场数据</x:v>
      </x:c>
      <x:c r="B3569" s="39" t="str">
        <x:v>2026-08-03T15:50:00</x:v>
      </x:c>
      <x:c r="C3569" s="39" t="str">
        <x:v>2026-08-03T16:05:00</x:v>
      </x:c>
      <x:c r="D3569" s="47" t="n">
        <x:v>15</x:v>
      </x:c>
      <x:c r="E3569" s="40" t="n">
        <x:v>13.5</x:v>
      </x:c>
      <x:c r="F3569" s="40" t="n">
        <x:v>11.709163665771484</x:v>
      </x:c>
      <x:c r="G3569" s="40" t="n">
        <x:v>13.5</x:v>
      </x:c>
      <x:c r="H3569" s="40" t="n">
        <x:f>F3569-E3569</x:f>
        <x:v>-1.7908363342285156</x:v>
      </x:c>
      <x:c r="I3569" s="40" t="n">
        <x:f>ABS(H3569)</x:f>
        <x:v>1.7908363342285156</x:v>
      </x:c>
      <x:c r="J3569" s="40" t="n">
        <x:f>H3569^2</x:f>
        <x:v>3.2070947759930277</x:v>
      </x:c>
      <x:c r="K3569" s="40" t="n">
        <x:f>G3569-E3569</x:f>
        <x:v>0</x:v>
      </x:c>
      <x:c r="L3569" s="40" t="n">
        <x:f>ABS(K3569)</x:f>
        <x:v>0</x:v>
      </x:c>
      <x:c r="M3569" s="41" t="str">
        <x:v>lstm-soil-v1</x:v>
      </x:c>
    </x:row>
    <x:row r="3570">
      <x:c r="A3570" s="38" t="str">
        <x:v>7月30日现场数据</x:v>
      </x:c>
      <x:c r="B3570" s="39" t="str">
        <x:v>2026-08-03T15:50:00</x:v>
      </x:c>
      <x:c r="C3570" s="39" t="str">
        <x:v>2026-08-03T16:20:00</x:v>
      </x:c>
      <x:c r="D3570" s="47" t="n">
        <x:v>30</x:v>
      </x:c>
      <x:c r="E3570" s="40" t="n">
        <x:v>13.4</x:v>
      </x:c>
      <x:c r="F3570" s="40" t="n">
        <x:v>12.114910125732422</x:v>
      </x:c>
      <x:c r="G3570" s="40" t="n">
        <x:v>13.5</x:v>
      </x:c>
      <x:c r="H3570" s="40" t="n">
        <x:f>F3570-E3570</x:f>
        <x:v>-1.2850898742675785</x:v>
      </x:c>
      <x:c r="I3570" s="40" t="n">
        <x:f>ABS(H3570)</x:f>
        <x:v>1.2850898742675785</x:v>
      </x:c>
      <x:c r="J3570" s="40" t="n">
        <x:f>H3570^2</x:f>
        <x:v>1.6514559849450607</x:v>
      </x:c>
      <x:c r="K3570" s="40" t="n">
        <x:f>G3570-E3570</x:f>
        <x:v>0.09999999999999964</x:v>
      </x:c>
      <x:c r="L3570" s="40" t="n">
        <x:f>ABS(K3570)</x:f>
        <x:v>0.09999999999999964</x:v>
      </x:c>
      <x:c r="M3570" s="41" t="str">
        <x:v>lstm-soil-v1</x:v>
      </x:c>
    </x:row>
    <x:row r="3571">
      <x:c r="A3571" s="38" t="str">
        <x:v>7月30日现场数据</x:v>
      </x:c>
      <x:c r="B3571" s="39" t="str">
        <x:v>2026-08-03T15:50:00</x:v>
      </x:c>
      <x:c r="C3571" s="39" t="str">
        <x:v>2026-08-03T16:50:00</x:v>
      </x:c>
      <x:c r="D3571" s="47" t="n">
        <x:v>60</x:v>
      </x:c>
      <x:c r="E3571" s="40" t="n">
        <x:v>13.4</x:v>
      </x:c>
      <x:c r="F3571" s="40" t="n">
        <x:v>13.826465606689453</x:v>
      </x:c>
      <x:c r="G3571" s="40" t="n">
        <x:v>13.5</x:v>
      </x:c>
      <x:c r="H3571" s="40" t="n">
        <x:f>F3571-E3571</x:f>
        <x:v>0.42646560668945277</x:v>
      </x:c>
      <x:c r="I3571" s="40" t="n">
        <x:f>ABS(H3571)</x:f>
        <x:v>0.42646560668945277</x:v>
      </x:c>
      <x:c r="J3571" s="40" t="n">
        <x:f>H3571^2</x:f>
        <x:v>0.18187291368900302</x:v>
      </x:c>
      <x:c r="K3571" s="40" t="n">
        <x:f>G3571-E3571</x:f>
        <x:v>0.09999999999999964</x:v>
      </x:c>
      <x:c r="L3571" s="40" t="n">
        <x:f>ABS(K3571)</x:f>
        <x:v>0.09999999999999964</x:v>
      </x:c>
      <x:c r="M3571" s="41" t="str">
        <x:v>lstm-soil-v1</x:v>
      </x:c>
    </x:row>
    <x:row r="3572">
      <x:c r="A3572" s="38" t="str">
        <x:v>7月30日现场数据</x:v>
      </x:c>
      <x:c r="B3572" s="39" t="str">
        <x:v>2026-08-03T15:55:00</x:v>
      </x:c>
      <x:c r="C3572" s="39" t="str">
        <x:v>2026-08-03T16:00:00</x:v>
      </x:c>
      <x:c r="D3572" s="47" t="n">
        <x:v>5</x:v>
      </x:c>
      <x:c r="E3572" s="40" t="n">
        <x:v>13.5</x:v>
      </x:c>
      <x:c r="F3572" s="40" t="n">
        <x:v>11.640380859375</x:v>
      </x:c>
      <x:c r="G3572" s="40" t="n">
        <x:v>13.5</x:v>
      </x:c>
      <x:c r="H3572" s="40" t="n">
        <x:f>F3572-E3572</x:f>
        <x:v>-1.859619140625</x:v>
      </x:c>
      <x:c r="I3572" s="40" t="n">
        <x:f>ABS(H3572)</x:f>
        <x:v>1.859619140625</x:v>
      </x:c>
      <x:c r="J3572" s="40" t="n">
        <x:f>H3572^2</x:f>
        <x:v>3.4581833481788635</x:v>
      </x:c>
      <x:c r="K3572" s="40" t="n">
        <x:f>G3572-E3572</x:f>
        <x:v>0</x:v>
      </x:c>
      <x:c r="L3572" s="40" t="n">
        <x:f>ABS(K3572)</x:f>
        <x:v>0</x:v>
      </x:c>
      <x:c r="M3572" s="41" t="str">
        <x:v>lstm-soil-v1</x:v>
      </x:c>
    </x:row>
    <x:row r="3573">
      <x:c r="A3573" s="38" t="str">
        <x:v>7月30日现场数据</x:v>
      </x:c>
      <x:c r="B3573" s="39" t="str">
        <x:v>2026-08-03T15:55:00</x:v>
      </x:c>
      <x:c r="C3573" s="39" t="str">
        <x:v>2026-08-03T16:10:00</x:v>
      </x:c>
      <x:c r="D3573" s="47" t="n">
        <x:v>15</x:v>
      </x:c>
      <x:c r="E3573" s="40" t="n">
        <x:v>13.5</x:v>
      </x:c>
      <x:c r="F3573" s="40" t="n">
        <x:v>11.712909698486328</x:v>
      </x:c>
      <x:c r="G3573" s="40" t="n">
        <x:v>13.5</x:v>
      </x:c>
      <x:c r="H3573" s="40" t="n">
        <x:f>F3573-E3573</x:f>
        <x:v>-1.7870903015136719</x:v>
      </x:c>
      <x:c r="I3573" s="40" t="n">
        <x:f>ABS(H3573)</x:f>
        <x:v>1.7870903015136719</x:v>
      </x:c>
      <x:c r="J3573" s="40" t="n">
        <x:f>H3573^2</x:f>
        <x:v>3.1936917457642267</x:v>
      </x:c>
      <x:c r="K3573" s="40" t="n">
        <x:f>G3573-E3573</x:f>
        <x:v>0</x:v>
      </x:c>
      <x:c r="L3573" s="40" t="n">
        <x:f>ABS(K3573)</x:f>
        <x:v>0</x:v>
      </x:c>
      <x:c r="M3573" s="41" t="str">
        <x:v>lstm-soil-v1</x:v>
      </x:c>
    </x:row>
    <x:row r="3574">
      <x:c r="A3574" s="38" t="str">
        <x:v>7月30日现场数据</x:v>
      </x:c>
      <x:c r="B3574" s="39" t="str">
        <x:v>2026-08-03T15:55:00</x:v>
      </x:c>
      <x:c r="C3574" s="39" t="str">
        <x:v>2026-08-03T16:25:00</x:v>
      </x:c>
      <x:c r="D3574" s="47" t="n">
        <x:v>30</x:v>
      </x:c>
      <x:c r="E3574" s="40" t="n">
        <x:v>13.4</x:v>
      </x:c>
      <x:c r="F3574" s="40" t="n">
        <x:v>12.128173828125</x:v>
      </x:c>
      <x:c r="G3574" s="40" t="n">
        <x:v>13.5</x:v>
      </x:c>
      <x:c r="H3574" s="40" t="n">
        <x:f>F3574-E3574</x:f>
        <x:v>-1.2718261718750004</x:v>
      </x:c>
      <x:c r="I3574" s="40" t="n">
        <x:f>ABS(H3574)</x:f>
        <x:v>1.2718261718750004</x:v>
      </x:c>
      <x:c r="J3574" s="40" t="n">
        <x:f>H3574^2</x:f>
        <x:v>1.617541811466218</x:v>
      </x:c>
      <x:c r="K3574" s="40" t="n">
        <x:f>G3574-E3574</x:f>
        <x:v>0.09999999999999964</x:v>
      </x:c>
      <x:c r="L3574" s="40" t="n">
        <x:f>ABS(K3574)</x:f>
        <x:v>0.09999999999999964</x:v>
      </x:c>
      <x:c r="M3574" s="41" t="str">
        <x:v>lstm-soil-v1</x:v>
      </x:c>
    </x:row>
    <x:row r="3575">
      <x:c r="A3575" s="38" t="str">
        <x:v>7月30日现场数据</x:v>
      </x:c>
      <x:c r="B3575" s="39" t="str">
        <x:v>2026-08-03T15:55:00</x:v>
      </x:c>
      <x:c r="C3575" s="39" t="str">
        <x:v>2026-08-03T16:55:00</x:v>
      </x:c>
      <x:c r="D3575" s="47" t="n">
        <x:v>60</x:v>
      </x:c>
      <x:c r="E3575" s="40" t="n">
        <x:v>13.4</x:v>
      </x:c>
      <x:c r="F3575" s="40" t="n">
        <x:v>13.848873138427734</x:v>
      </x:c>
      <x:c r="G3575" s="40" t="n">
        <x:v>13.5</x:v>
      </x:c>
      <x:c r="H3575" s="40" t="n">
        <x:f>F3575-E3575</x:f>
        <x:v>0.448873138427734</x:v>
      </x:c>
      <x:c r="I3575" s="40" t="n">
        <x:f>ABS(H3575)</x:f>
        <x:v>0.448873138427734</x:v>
      </x:c>
      <x:c r="J3575" s="40" t="n">
        <x:f>H3575^2</x:f>
        <x:v>0.20148709440196366</x:v>
      </x:c>
      <x:c r="K3575" s="40" t="n">
        <x:f>G3575-E3575</x:f>
        <x:v>0.09999999999999964</x:v>
      </x:c>
      <x:c r="L3575" s="40" t="n">
        <x:f>ABS(K3575)</x:f>
        <x:v>0.09999999999999964</x:v>
      </x:c>
      <x:c r="M3575" s="41" t="str">
        <x:v>lstm-soil-v1</x:v>
      </x:c>
    </x:row>
    <x:row r="3576">
      <x:c r="A3576" s="38" t="str">
        <x:v>7月30日现场数据</x:v>
      </x:c>
      <x:c r="B3576" s="39" t="str">
        <x:v>2026-08-03T16:00:00</x:v>
      </x:c>
      <x:c r="C3576" s="39" t="str">
        <x:v>2026-08-03T16:05:00</x:v>
      </x:c>
      <x:c r="D3576" s="47" t="n">
        <x:v>5</x:v>
      </x:c>
      <x:c r="E3576" s="40" t="n">
        <x:v>13.5</x:v>
      </x:c>
      <x:c r="F3576" s="40" t="n">
        <x:v>11.64822769165039</x:v>
      </x:c>
      <x:c r="G3576" s="40" t="n">
        <x:v>13.5</x:v>
      </x:c>
      <x:c r="H3576" s="40" t="n">
        <x:f>F3576-E3576</x:f>
        <x:v>-1.8517723083496094</x:v>
      </x:c>
      <x:c r="I3576" s="40" t="n">
        <x:f>ABS(H3576)</x:f>
        <x:v>1.8517723083496094</x:v>
      </x:c>
      <x:c r="J3576" s="40" t="n">
        <x:f>H3576^2</x:f>
        <x:v>3.429060681970441</x:v>
      </x:c>
      <x:c r="K3576" s="40" t="n">
        <x:f>G3576-E3576</x:f>
        <x:v>0</x:v>
      </x:c>
      <x:c r="L3576" s="40" t="n">
        <x:f>ABS(K3576)</x:f>
        <x:v>0</x:v>
      </x:c>
      <x:c r="M3576" s="41" t="str">
        <x:v>lstm-soil-v1</x:v>
      </x:c>
    </x:row>
    <x:row r="3577">
      <x:c r="A3577" s="38" t="str">
        <x:v>7月30日现场数据</x:v>
      </x:c>
      <x:c r="B3577" s="39" t="str">
        <x:v>2026-08-03T16:00:00</x:v>
      </x:c>
      <x:c r="C3577" s="39" t="str">
        <x:v>2026-08-03T16:15:00</x:v>
      </x:c>
      <x:c r="D3577" s="47" t="n">
        <x:v>15</x:v>
      </x:c>
      <x:c r="E3577" s="40" t="n">
        <x:v>13.5</x:v>
      </x:c>
      <x:c r="F3577" s="40" t="n">
        <x:v>11.716136932373047</x:v>
      </x:c>
      <x:c r="G3577" s="40" t="n">
        <x:v>13.5</x:v>
      </x:c>
      <x:c r="H3577" s="40" t="n">
        <x:f>F3577-E3577</x:f>
        <x:v>-1.7838630676269531</x:v>
      </x:c>
      <x:c r="I3577" s="40" t="n">
        <x:f>ABS(H3577)</x:f>
        <x:v>1.7838630676269531</x:v>
      </x:c>
      <x:c r="J3577" s="40" t="n">
        <x:f>H3577^2</x:f>
        <x:v>3.1821674440434435</x:v>
      </x:c>
      <x:c r="K3577" s="40" t="n">
        <x:f>G3577-E3577</x:f>
        <x:v>0</x:v>
      </x:c>
      <x:c r="L3577" s="40" t="n">
        <x:f>ABS(K3577)</x:f>
        <x:v>0</x:v>
      </x:c>
      <x:c r="M3577" s="41" t="str">
        <x:v>lstm-soil-v1</x:v>
      </x:c>
    </x:row>
    <x:row r="3578">
      <x:c r="A3578" s="38" t="str">
        <x:v>7月30日现场数据</x:v>
      </x:c>
      <x:c r="B3578" s="39" t="str">
        <x:v>2026-08-03T16:00:00</x:v>
      </x:c>
      <x:c r="C3578" s="39" t="str">
        <x:v>2026-08-03T16:30:00</x:v>
      </x:c>
      <x:c r="D3578" s="47" t="n">
        <x:v>30</x:v>
      </x:c>
      <x:c r="E3578" s="40" t="n">
        <x:v>13.3</x:v>
      </x:c>
      <x:c r="F3578" s="40" t="n">
        <x:v>12.142589569091797</x:v>
      </x:c>
      <x:c r="G3578" s="40" t="n">
        <x:v>13.5</x:v>
      </x:c>
      <x:c r="H3578" s="40" t="n">
        <x:f>F3578-E3578</x:f>
        <x:v>-1.1574104309082038</x:v>
      </x:c>
      <x:c r="I3578" s="40" t="n">
        <x:f>ABS(H3578)</x:f>
        <x:v>1.1574104309082038</x:v>
      </x:c>
      <x:c r="J3578" s="40" t="n">
        <x:f>H3578^2</x:f>
        <x:v>1.339598905575114</x:v>
      </x:c>
      <x:c r="K3578" s="40" t="n">
        <x:f>G3578-E3578</x:f>
        <x:v>0.1999999999999993</x:v>
      </x:c>
      <x:c r="L3578" s="40" t="n">
        <x:f>ABS(K3578)</x:f>
        <x:v>0.1999999999999993</x:v>
      </x:c>
      <x:c r="M3578" s="41" t="str">
        <x:v>lstm-soil-v1</x:v>
      </x:c>
    </x:row>
    <x:row r="3579">
      <x:c r="A3579" s="38" t="str">
        <x:v>7月30日现场数据</x:v>
      </x:c>
      <x:c r="B3579" s="39" t="str">
        <x:v>2026-08-03T16:00:00</x:v>
      </x:c>
      <x:c r="C3579" s="39" t="str">
        <x:v>2026-08-03T17:00:00</x:v>
      </x:c>
      <x:c r="D3579" s="47" t="n">
        <x:v>60</x:v>
      </x:c>
      <x:c r="E3579" s="40" t="n">
        <x:v>13.4</x:v>
      </x:c>
      <x:c r="F3579" s="40" t="n">
        <x:v>13.870235443115234</x:v>
      </x:c>
      <x:c r="G3579" s="40" t="n">
        <x:v>13.5</x:v>
      </x:c>
      <x:c r="H3579" s="40" t="n">
        <x:f>F3579-E3579</x:f>
        <x:v>0.470235443115234</x:v>
      </x:c>
      <x:c r="I3579" s="40" t="n">
        <x:f>ABS(H3579)</x:f>
        <x:v>0.470235443115234</x:v>
      </x:c>
      <x:c r="J3579" s="40" t="n">
        <x:f>H3579^2</x:f>
        <x:v>0.2211213719617805</x:v>
      </x:c>
      <x:c r="K3579" s="40" t="n">
        <x:f>G3579-E3579</x:f>
        <x:v>0.09999999999999964</x:v>
      </x:c>
      <x:c r="L3579" s="40" t="n">
        <x:f>ABS(K3579)</x:f>
        <x:v>0.09999999999999964</x:v>
      </x:c>
      <x:c r="M3579" s="41" t="str">
        <x:v>lstm-soil-v1</x:v>
      </x:c>
    </x:row>
    <x:row r="3580">
      <x:c r="A3580" s="38" t="str">
        <x:v>7月30日现场数据</x:v>
      </x:c>
      <x:c r="B3580" s="39" t="str">
        <x:v>2026-08-03T16:05:00</x:v>
      </x:c>
      <x:c r="C3580" s="39" t="str">
        <x:v>2026-08-03T16:10:00</x:v>
      </x:c>
      <x:c r="D3580" s="47" t="n">
        <x:v>5</x:v>
      </x:c>
      <x:c r="E3580" s="40" t="n">
        <x:v>13.5</x:v>
      </x:c>
      <x:c r="F3580" s="40" t="n">
        <x:v>11.641124725341797</x:v>
      </x:c>
      <x:c r="G3580" s="40" t="n">
        <x:v>13.5</x:v>
      </x:c>
      <x:c r="H3580" s="40" t="n">
        <x:f>F3580-E3580</x:f>
        <x:v>-1.8588752746582031</x:v>
      </x:c>
      <x:c r="I3580" s="40" t="n">
        <x:f>ABS(H3580)</x:f>
        <x:v>1.8588752746582031</x:v>
      </x:c>
      <x:c r="J3580" s="40" t="n">
        <x:f>H3580^2</x:f>
        <x:v>3.45541728673561</x:v>
      </x:c>
      <x:c r="K3580" s="40" t="n">
        <x:f>G3580-E3580</x:f>
        <x:v>0</x:v>
      </x:c>
      <x:c r="L3580" s="40" t="n">
        <x:f>ABS(K3580)</x:f>
        <x:v>0</x:v>
      </x:c>
      <x:c r="M3580" s="41" t="str">
        <x:v>lstm-soil-v1</x:v>
      </x:c>
    </x:row>
    <x:row r="3581">
      <x:c r="A3581" s="38" t="str">
        <x:v>7月30日现场数据</x:v>
      </x:c>
      <x:c r="B3581" s="39" t="str">
        <x:v>2026-08-03T16:05:00</x:v>
      </x:c>
      <x:c r="C3581" s="39" t="str">
        <x:v>2026-08-03T16:20:00</x:v>
      </x:c>
      <x:c r="D3581" s="47" t="n">
        <x:v>15</x:v>
      </x:c>
      <x:c r="E3581" s="40" t="n">
        <x:v>13.4</x:v>
      </x:c>
      <x:c r="F3581" s="40" t="n">
        <x:v>11.712303161621094</x:v>
      </x:c>
      <x:c r="G3581" s="40" t="n">
        <x:v>13.5</x:v>
      </x:c>
      <x:c r="H3581" s="40" t="n">
        <x:f>F3581-E3581</x:f>
        <x:v>-1.6876968383789066</x:v>
      </x:c>
      <x:c r="I3581" s="40" t="n">
        <x:f>ABS(H3581)</x:f>
        <x:v>1.6876968383789066</x:v>
      </x:c>
      <x:c r="J3581" s="40" t="n">
        <x:f>H3581^2</x:f>
        <x:v>2.8483206182741574</x:v>
      </x:c>
      <x:c r="K3581" s="40" t="n">
        <x:f>G3581-E3581</x:f>
        <x:v>0.09999999999999964</x:v>
      </x:c>
      <x:c r="L3581" s="40" t="n">
        <x:f>ABS(K3581)</x:f>
        <x:v>0.09999999999999964</x:v>
      </x:c>
      <x:c r="M3581" s="41" t="str">
        <x:v>lstm-soil-v1</x:v>
      </x:c>
    </x:row>
    <x:row r="3582">
      <x:c r="A3582" s="38" t="str">
        <x:v>7月30日现场数据</x:v>
      </x:c>
      <x:c r="B3582" s="39" t="str">
        <x:v>2026-08-03T16:05:00</x:v>
      </x:c>
      <x:c r="C3582" s="39" t="str">
        <x:v>2026-08-03T16:35:00</x:v>
      </x:c>
      <x:c r="D3582" s="47" t="n">
        <x:v>30</x:v>
      </x:c>
      <x:c r="E3582" s="40" t="n">
        <x:v>13.4</x:v>
      </x:c>
      <x:c r="F3582" s="40" t="n">
        <x:v>12.138011932373047</x:v>
      </x:c>
      <x:c r="G3582" s="40" t="n">
        <x:v>13.5</x:v>
      </x:c>
      <x:c r="H3582" s="40" t="n">
        <x:f>F3582-E3582</x:f>
        <x:v>-1.2619880676269535</x:v>
      </x:c>
      <x:c r="I3582" s="40" t="n">
        <x:f>ABS(H3582)</x:f>
        <x:v>1.2619880676269535</x:v>
      </x:c>
      <x:c r="J3582" s="40" t="n">
        <x:f>H3582^2</x:f>
        <x:v>1.592613882832812</x:v>
      </x:c>
      <x:c r="K3582" s="40" t="n">
        <x:f>G3582-E3582</x:f>
        <x:v>0.09999999999999964</x:v>
      </x:c>
      <x:c r="L3582" s="40" t="n">
        <x:f>ABS(K3582)</x:f>
        <x:v>0.09999999999999964</x:v>
      </x:c>
      <x:c r="M3582" s="41" t="str">
        <x:v>lstm-soil-v1</x:v>
      </x:c>
    </x:row>
    <x:row r="3583">
      <x:c r="A3583" s="38" t="str">
        <x:v>7月30日现场数据</x:v>
      </x:c>
      <x:c r="B3583" s="39" t="str">
        <x:v>2026-08-03T16:05:00</x:v>
      </x:c>
      <x:c r="C3583" s="39" t="str">
        <x:v>2026-08-03T17:05:00</x:v>
      </x:c>
      <x:c r="D3583" s="47" t="n">
        <x:v>60</x:v>
      </x:c>
      <x:c r="E3583" s="40" t="n">
        <x:v>13.3</x:v>
      </x:c>
      <x:c r="F3583" s="40" t="n">
        <x:v>13.854236602783203</x:v>
      </x:c>
      <x:c r="G3583" s="40" t="n">
        <x:v>13.5</x:v>
      </x:c>
      <x:c r="H3583" s="40" t="n">
        <x:f>F3583-E3583</x:f>
        <x:v>0.5542366027832024</x:v>
      </x:c>
      <x:c r="I3583" s="40" t="n">
        <x:f>ABS(H3583)</x:f>
        <x:v>0.5542366027832024</x:v>
      </x:c>
      <x:c r="J3583" s="40" t="n">
        <x:f>H3583^2</x:f>
        <x:v>0.3071782118646653</x:v>
      </x:c>
      <x:c r="K3583" s="40" t="n">
        <x:f>G3583-E3583</x:f>
        <x:v>0.1999999999999993</x:v>
      </x:c>
      <x:c r="L3583" s="40" t="n">
        <x:f>ABS(K3583)</x:f>
        <x:v>0.1999999999999993</x:v>
      </x:c>
      <x:c r="M3583" s="41" t="str">
        <x:v>lstm-soil-v1</x:v>
      </x:c>
    </x:row>
    <x:row r="3584">
      <x:c r="A3584" s="38" t="str">
        <x:v>7月30日现场数据</x:v>
      </x:c>
      <x:c r="B3584" s="39" t="str">
        <x:v>2026-08-03T16:10:00</x:v>
      </x:c>
      <x:c r="C3584" s="39" t="str">
        <x:v>2026-08-03T16:15:00</x:v>
      </x:c>
      <x:c r="D3584" s="47" t="n">
        <x:v>5</x:v>
      </x:c>
      <x:c r="E3584" s="40" t="n">
        <x:v>13.5</x:v>
      </x:c>
      <x:c r="F3584" s="40" t="n">
        <x:v>11.63824462890625</x:v>
      </x:c>
      <x:c r="G3584" s="40" t="n">
        <x:v>13.5</x:v>
      </x:c>
      <x:c r="H3584" s="40" t="n">
        <x:f>F3584-E3584</x:f>
        <x:v>-1.86175537109375</x:v>
      </x:c>
      <x:c r="I3584" s="40" t="n">
        <x:f>ABS(H3584)</x:f>
        <x:v>1.86175537109375</x:v>
      </x:c>
      <x:c r="J3584" s="40" t="n">
        <x:f>H3584^2</x:f>
        <x:v>3.4661330617964268</x:v>
      </x:c>
      <x:c r="K3584" s="40" t="n">
        <x:f>G3584-E3584</x:f>
        <x:v>0</x:v>
      </x:c>
      <x:c r="L3584" s="40" t="n">
        <x:f>ABS(K3584)</x:f>
        <x:v>0</x:v>
      </x:c>
      <x:c r="M3584" s="41" t="str">
        <x:v>lstm-soil-v1</x:v>
      </x:c>
    </x:row>
    <x:row r="3585">
      <x:c r="A3585" s="38" t="str">
        <x:v>7月30日现场数据</x:v>
      </x:c>
      <x:c r="B3585" s="39" t="str">
        <x:v>2026-08-03T16:10:00</x:v>
      </x:c>
      <x:c r="C3585" s="39" t="str">
        <x:v>2026-08-03T16:25:00</x:v>
      </x:c>
      <x:c r="D3585" s="47" t="n">
        <x:v>15</x:v>
      </x:c>
      <x:c r="E3585" s="40" t="n">
        <x:v>13.4</x:v>
      </x:c>
      <x:c r="F3585" s="40" t="n">
        <x:v>11.709049224853516</x:v>
      </x:c>
      <x:c r="G3585" s="40" t="n">
        <x:v>13.5</x:v>
      </x:c>
      <x:c r="H3585" s="40" t="n">
        <x:f>F3585-E3585</x:f>
        <x:v>-1.6909507751464847</x:v>
      </x:c>
      <x:c r="I3585" s="40" t="n">
        <x:f>ABS(H3585)</x:f>
        <x:v>1.6909507751464847</x:v>
      </x:c>
      <x:c r="J3585" s="40" t="n">
        <x:f>H3585^2</x:f>
        <x:v>2.8593145239684974</x:v>
      </x:c>
      <x:c r="K3585" s="40" t="n">
        <x:f>G3585-E3585</x:f>
        <x:v>0.09999999999999964</x:v>
      </x:c>
      <x:c r="L3585" s="40" t="n">
        <x:f>ABS(K3585)</x:f>
        <x:v>0.09999999999999964</x:v>
      </x:c>
      <x:c r="M3585" s="41" t="str">
        <x:v>lstm-soil-v1</x:v>
      </x:c>
    </x:row>
    <x:row r="3586">
      <x:c r="A3586" s="38" t="str">
        <x:v>7月30日现场数据</x:v>
      </x:c>
      <x:c r="B3586" s="39" t="str">
        <x:v>2026-08-03T16:10:00</x:v>
      </x:c>
      <x:c r="C3586" s="39" t="str">
        <x:v>2026-08-03T16:40:00</x:v>
      </x:c>
      <x:c r="D3586" s="47" t="n">
        <x:v>30</x:v>
      </x:c>
      <x:c r="E3586" s="40" t="n">
        <x:v>13.4</x:v>
      </x:c>
      <x:c r="F3586" s="40" t="n">
        <x:v>12.133167266845703</x:v>
      </x:c>
      <x:c r="G3586" s="40" t="n">
        <x:v>13.5</x:v>
      </x:c>
      <x:c r="H3586" s="40" t="n">
        <x:f>F3586-E3586</x:f>
        <x:v>-1.2668327331542972</x:v>
      </x:c>
      <x:c r="I3586" s="40" t="n">
        <x:f>ABS(H3586)</x:f>
        <x:v>1.2668327331542972</x:v>
      </x:c>
      <x:c r="J3586" s="40" t="n">
        <x:f>H3586^2</x:f>
        <x:v>1.6048651737911868</x:v>
      </x:c>
      <x:c r="K3586" s="40" t="n">
        <x:f>G3586-E3586</x:f>
        <x:v>0.09999999999999964</x:v>
      </x:c>
      <x:c r="L3586" s="40" t="n">
        <x:f>ABS(K3586)</x:f>
        <x:v>0.09999999999999964</x:v>
      </x:c>
      <x:c r="M3586" s="41" t="str">
        <x:v>lstm-soil-v1</x:v>
      </x:c>
    </x:row>
    <x:row r="3587">
      <x:c r="A3587" s="38" t="str">
        <x:v>7月30日现场数据</x:v>
      </x:c>
      <x:c r="B3587" s="39" t="str">
        <x:v>2026-08-03T16:10:00</x:v>
      </x:c>
      <x:c r="C3587" s="39" t="str">
        <x:v>2026-08-03T17:10:00</x:v>
      </x:c>
      <x:c r="D3587" s="47" t="n">
        <x:v>60</x:v>
      </x:c>
      <x:c r="E3587" s="40" t="n">
        <x:v>13.4</x:v>
      </x:c>
      <x:c r="F3587" s="40" t="n">
        <x:v>13.847492218017578</x:v>
      </x:c>
      <x:c r="G3587" s="40" t="n">
        <x:v>13.5</x:v>
      </x:c>
      <x:c r="H3587" s="40" t="n">
        <x:f>F3587-E3587</x:f>
        <x:v>0.44749221801757777</x:v>
      </x:c>
      <x:c r="I3587" s="40" t="n">
        <x:f>ABS(H3587)</x:f>
        <x:v>0.44749221801757777</x:v>
      </x:c>
      <x:c r="J3587" s="40" t="n">
        <x:f>H3587^2</x:f>
        <x:v>0.20024928518629134</x:v>
      </x:c>
      <x:c r="K3587" s="40" t="n">
        <x:f>G3587-E3587</x:f>
        <x:v>0.09999999999999964</x:v>
      </x:c>
      <x:c r="L3587" s="40" t="n">
        <x:f>ABS(K3587)</x:f>
        <x:v>0.09999999999999964</x:v>
      </x:c>
      <x:c r="M3587" s="41" t="str">
        <x:v>lstm-soil-v1</x:v>
      </x:c>
    </x:row>
    <x:row r="3588">
      <x:c r="A3588" s="38" t="str">
        <x:v>7月30日现场数据</x:v>
      </x:c>
      <x:c r="B3588" s="39" t="str">
        <x:v>2026-08-03T16:15:00</x:v>
      </x:c>
      <x:c r="C3588" s="39" t="str">
        <x:v>2026-08-03T16:20:00</x:v>
      </x:c>
      <x:c r="D3588" s="47" t="n">
        <x:v>5</x:v>
      </x:c>
      <x:c r="E3588" s="40" t="n">
        <x:v>13.4</x:v>
      </x:c>
      <x:c r="F3588" s="40" t="n">
        <x:v>11.640266418457031</x:v>
      </x:c>
      <x:c r="G3588" s="40" t="n">
        <x:v>13.5</x:v>
      </x:c>
      <x:c r="H3588" s="40" t="n">
        <x:f>F3588-E3588</x:f>
        <x:v>-1.759733581542969</x:v>
      </x:c>
      <x:c r="I3588" s="40" t="n">
        <x:f>ABS(H3588)</x:f>
        <x:v>1.759733581542969</x:v>
      </x:c>
      <x:c r="J3588" s="40" t="n">
        <x:f>H3588^2</x:f>
        <x:v>3.0966622780100455</x:v>
      </x:c>
      <x:c r="K3588" s="40" t="n">
        <x:f>G3588-E3588</x:f>
        <x:v>0.09999999999999964</x:v>
      </x:c>
      <x:c r="L3588" s="40" t="n">
        <x:f>ABS(K3588)</x:f>
        <x:v>0.09999999999999964</x:v>
      </x:c>
      <x:c r="M3588" s="41" t="str">
        <x:v>lstm-soil-v1</x:v>
      </x:c>
    </x:row>
    <x:row r="3589">
      <x:c r="A3589" s="38" t="str">
        <x:v>7月30日现场数据</x:v>
      </x:c>
      <x:c r="B3589" s="39" t="str">
        <x:v>2026-08-03T16:15:00</x:v>
      </x:c>
      <x:c r="C3589" s="39" t="str">
        <x:v>2026-08-03T16:30:00</x:v>
      </x:c>
      <x:c r="D3589" s="47" t="n">
        <x:v>15</x:v>
      </x:c>
      <x:c r="E3589" s="40" t="n">
        <x:v>13.3</x:v>
      </x:c>
      <x:c r="F3589" s="40" t="n">
        <x:v>11.708061218261719</x:v>
      </x:c>
      <x:c r="G3589" s="40" t="n">
        <x:v>13.5</x:v>
      </x:c>
      <x:c r="H3589" s="40" t="n">
        <x:f>F3589-E3589</x:f>
        <x:v>-1.591938781738282</x:v>
      </x:c>
      <x:c r="I3589" s="40" t="n">
        <x:f>ABS(H3589)</x:f>
        <x:v>1.591938781738282</x:v>
      </x:c>
      <x:c r="J3589" s="40" t="n">
        <x:f>H3589^2</x:f>
        <x:v>2.5342690848023652</x:v>
      </x:c>
      <x:c r="K3589" s="40" t="n">
        <x:f>G3589-E3589</x:f>
        <x:v>0.1999999999999993</x:v>
      </x:c>
      <x:c r="L3589" s="40" t="n">
        <x:f>ABS(K3589)</x:f>
        <x:v>0.1999999999999993</x:v>
      </x:c>
      <x:c r="M3589" s="41" t="str">
        <x:v>lstm-soil-v1</x:v>
      </x:c>
    </x:row>
    <x:row r="3590">
      <x:c r="A3590" s="38" t="str">
        <x:v>7月30日现场数据</x:v>
      </x:c>
      <x:c r="B3590" s="39" t="str">
        <x:v>2026-08-03T16:15:00</x:v>
      </x:c>
      <x:c r="C3590" s="39" t="str">
        <x:v>2026-08-03T16:45:00</x:v>
      </x:c>
      <x:c r="D3590" s="47" t="n">
        <x:v>30</x:v>
      </x:c>
      <x:c r="E3590" s="40" t="n">
        <x:v>13.4</x:v>
      </x:c>
      <x:c r="F3590" s="40" t="n">
        <x:v>12.13443374633789</x:v>
      </x:c>
      <x:c r="G3590" s="40" t="n">
        <x:v>13.5</x:v>
      </x:c>
      <x:c r="H3590" s="40" t="n">
        <x:f>F3590-E3590</x:f>
        <x:v>-1.2655662536621097</x:v>
      </x:c>
      <x:c r="I3590" s="40" t="n">
        <x:f>ABS(H3590)</x:f>
        <x:v>1.2655662536621097</x:v>
      </x:c>
      <x:c r="J3590" s="40" t="n">
        <x:f>H3590^2</x:f>
        <x:v>1.6016579424083475</x:v>
      </x:c>
      <x:c r="K3590" s="40" t="n">
        <x:f>G3590-E3590</x:f>
        <x:v>0.09999999999999964</x:v>
      </x:c>
      <x:c r="L3590" s="40" t="n">
        <x:f>ABS(K3590)</x:f>
        <x:v>0.09999999999999964</x:v>
      </x:c>
      <x:c r="M3590" s="41" t="str">
        <x:v>lstm-soil-v1</x:v>
      </x:c>
    </x:row>
    <x:row r="3591">
      <x:c r="A3591" s="38" t="str">
        <x:v>7月30日现场数据</x:v>
      </x:c>
      <x:c r="B3591" s="39" t="str">
        <x:v>2026-08-03T16:15:00</x:v>
      </x:c>
      <x:c r="C3591" s="39" t="str">
        <x:v>2026-08-03T17:15:00</x:v>
      </x:c>
      <x:c r="D3591" s="47" t="n">
        <x:v>60</x:v>
      </x:c>
      <x:c r="E3591" s="40" t="n">
        <x:v>13.4</x:v>
      </x:c>
      <x:c r="F3591" s="40" t="n">
        <x:v>13.854045867919922</x:v>
      </x:c>
      <x:c r="G3591" s="40" t="n">
        <x:v>13.5</x:v>
      </x:c>
      <x:c r="H3591" s="40" t="n">
        <x:f>F3591-E3591</x:f>
        <x:v>0.4540458679199215</x:v>
      </x:c>
      <x:c r="I3591" s="40" t="n">
        <x:f>ABS(H3591)</x:f>
        <x:v>0.4540458679199215</x:v>
      </x:c>
      <x:c r="J3591" s="40" t="n">
        <x:f>H3591^2</x:f>
        <x:v>0.2061576501751548</x:v>
      </x:c>
      <x:c r="K3591" s="40" t="n">
        <x:f>G3591-E3591</x:f>
        <x:v>0.09999999999999964</x:v>
      </x:c>
      <x:c r="L3591" s="40" t="n">
        <x:f>ABS(K3591)</x:f>
        <x:v>0.09999999999999964</x:v>
      </x:c>
      <x:c r="M3591" s="41" t="str">
        <x:v>lstm-soil-v1</x:v>
      </x:c>
    </x:row>
    <x:row r="3592">
      <x:c r="A3592" s="38" t="str">
        <x:v>7月30日现场数据</x:v>
      </x:c>
      <x:c r="B3592" s="39" t="str">
        <x:v>2026-08-03T16:20:00</x:v>
      </x:c>
      <x:c r="C3592" s="39" t="str">
        <x:v>2026-08-03T16:25:00</x:v>
      </x:c>
      <x:c r="D3592" s="47" t="n">
        <x:v>5</x:v>
      </x:c>
      <x:c r="E3592" s="40" t="n">
        <x:v>13.4</x:v>
      </x:c>
      <x:c r="F3592" s="40" t="n">
        <x:v>11.529624938964844</x:v>
      </x:c>
      <x:c r="G3592" s="40" t="n">
        <x:v>13.4</x:v>
      </x:c>
      <x:c r="H3592" s="40" t="n">
        <x:f>F3592-E3592</x:f>
        <x:v>-1.8703750610351566</x:v>
      </x:c>
      <x:c r="I3592" s="40" t="n">
        <x:f>ABS(H3592)</x:f>
        <x:v>1.8703750610351566</x:v>
      </x:c>
      <x:c r="J3592" s="40" t="n">
        <x:f>H3592^2</x:f>
        <x:v>3.498302868942266</x:v>
      </x:c>
      <x:c r="K3592" s="40" t="n">
        <x:f>G3592-E3592</x:f>
        <x:v>0</x:v>
      </x:c>
      <x:c r="L3592" s="40" t="n">
        <x:f>ABS(K3592)</x:f>
        <x:v>0</x:v>
      </x:c>
      <x:c r="M3592" s="41" t="str">
        <x:v>lstm-soil-v1</x:v>
      </x:c>
    </x:row>
    <x:row r="3593">
      <x:c r="A3593" s="38" t="str">
        <x:v>7月30日现场数据</x:v>
      </x:c>
      <x:c r="B3593" s="39" t="str">
        <x:v>2026-08-03T16:20:00</x:v>
      </x:c>
      <x:c r="C3593" s="39" t="str">
        <x:v>2026-08-03T16:35:00</x:v>
      </x:c>
      <x:c r="D3593" s="47" t="n">
        <x:v>15</x:v>
      </x:c>
      <x:c r="E3593" s="40" t="n">
        <x:v>13.4</x:v>
      </x:c>
      <x:c r="F3593" s="40" t="n">
        <x:v>11.595928192138672</x:v>
      </x:c>
      <x:c r="G3593" s="40" t="n">
        <x:v>13.4</x:v>
      </x:c>
      <x:c r="H3593" s="40" t="n">
        <x:f>F3593-E3593</x:f>
        <x:v>-1.8040718078613285</x:v>
      </x:c>
      <x:c r="I3593" s="40" t="n">
        <x:f>ABS(H3593)</x:f>
        <x:v>1.8040718078613285</x:v>
      </x:c>
      <x:c r="J3593" s="40" t="n">
        <x:f>H3593^2</x:f>
        <x:v>3.254675087920042</x:v>
      </x:c>
      <x:c r="K3593" s="40" t="n">
        <x:f>G3593-E3593</x:f>
        <x:v>0</x:v>
      </x:c>
      <x:c r="L3593" s="40" t="n">
        <x:f>ABS(K3593)</x:f>
        <x:v>0</x:v>
      </x:c>
      <x:c r="M3593" s="41" t="str">
        <x:v>lstm-soil-v1</x:v>
      </x:c>
    </x:row>
    <x:row r="3594">
      <x:c r="A3594" s="38" t="str">
        <x:v>7月30日现场数据</x:v>
      </x:c>
      <x:c r="B3594" s="39" t="str">
        <x:v>2026-08-03T16:20:00</x:v>
      </x:c>
      <x:c r="C3594" s="39" t="str">
        <x:v>2026-08-03T16:50:00</x:v>
      </x:c>
      <x:c r="D3594" s="47" t="n">
        <x:v>30</x:v>
      </x:c>
      <x:c r="E3594" s="40" t="n">
        <x:v>13.4</x:v>
      </x:c>
      <x:c r="F3594" s="40" t="n">
        <x:v>12.023704528808594</x:v>
      </x:c>
      <x:c r="G3594" s="40" t="n">
        <x:v>13.4</x:v>
      </x:c>
      <x:c r="H3594" s="40" t="n">
        <x:f>F3594-E3594</x:f>
        <x:v>-1.3762954711914066</x:v>
      </x:c>
      <x:c r="I3594" s="40" t="n">
        <x:f>ABS(H3594)</x:f>
        <x:v>1.3762954711914066</x:v>
      </x:c>
      <x:c r="J3594" s="40" t="n">
        <x:f>H3594^2</x:f>
        <x:v>1.894189224021976</x:v>
      </x:c>
      <x:c r="K3594" s="40" t="n">
        <x:f>G3594-E3594</x:f>
        <x:v>0</x:v>
      </x:c>
      <x:c r="L3594" s="40" t="n">
        <x:f>ABS(K3594)</x:f>
        <x:v>0</x:v>
      </x:c>
      <x:c r="M3594" s="41" t="str">
        <x:v>lstm-soil-v1</x:v>
      </x:c>
    </x:row>
    <x:row r="3595">
      <x:c r="A3595" s="38" t="str">
        <x:v>7月30日现场数据</x:v>
      </x:c>
      <x:c r="B3595" s="39" t="str">
        <x:v>2026-08-03T16:20:00</x:v>
      </x:c>
      <x:c r="C3595" s="39" t="str">
        <x:v>2026-08-03T17:20:00</x:v>
      </x:c>
      <x:c r="D3595" s="47" t="n">
        <x:v>60</x:v>
      </x:c>
      <x:c r="E3595" s="40" t="n">
        <x:v>13.3</x:v>
      </x:c>
      <x:c r="F3595" s="40" t="n">
        <x:v>13.74161148071289</x:v>
      </x:c>
      <x:c r="G3595" s="40" t="n">
        <x:v>13.4</x:v>
      </x:c>
      <x:c r="H3595" s="40" t="n">
        <x:f>F3595-E3595</x:f>
        <x:v>0.4416114807128899</x:v>
      </x:c>
      <x:c r="I3595" s="40" t="n">
        <x:f>ABS(H3595)</x:f>
        <x:v>0.4416114807128899</x:v>
      </x:c>
      <x:c r="J3595" s="40" t="n">
        <x:f>H3595^2</x:f>
        <x:v>0.19502069989743115</x:v>
      </x:c>
      <x:c r="K3595" s="40" t="n">
        <x:f>G3595-E3595</x:f>
        <x:v>0.09999999999999964</x:v>
      </x:c>
      <x:c r="L3595" s="40" t="n">
        <x:f>ABS(K3595)</x:f>
        <x:v>0.09999999999999964</x:v>
      </x:c>
      <x:c r="M3595" s="41" t="str">
        <x:v>lstm-soil-v1</x:v>
      </x:c>
    </x:row>
    <x:row r="3596">
      <x:c r="A3596" s="38" t="str">
        <x:v>7月30日现场数据</x:v>
      </x:c>
      <x:c r="B3596" s="39" t="str">
        <x:v>2026-08-03T16:25:00</x:v>
      </x:c>
      <x:c r="C3596" s="39" t="str">
        <x:v>2026-08-03T16:30:00</x:v>
      </x:c>
      <x:c r="D3596" s="47" t="n">
        <x:v>5</x:v>
      </x:c>
      <x:c r="E3596" s="40" t="n">
        <x:v>13.3</x:v>
      </x:c>
      <x:c r="F3596" s="40" t="n">
        <x:v>11.53323745727539</x:v>
      </x:c>
      <x:c r="G3596" s="40" t="n">
        <x:v>13.4</x:v>
      </x:c>
      <x:c r="H3596" s="40" t="n">
        <x:f>F3596-E3596</x:f>
        <x:v>-1.76676254272461</x:v>
      </x:c>
      <x:c r="I3596" s="40" t="n">
        <x:f>ABS(H3596)</x:f>
        <x:v>1.76676254272461</x:v>
      </x:c>
      <x:c r="J3596" s="40" t="n">
        <x:f>H3596^2</x:f>
        <x:v>3.12144988237473</x:v>
      </x:c>
      <x:c r="K3596" s="40" t="n">
        <x:f>G3596-E3596</x:f>
        <x:v>0.09999999999999964</x:v>
      </x:c>
      <x:c r="L3596" s="40" t="n">
        <x:f>ABS(K3596)</x:f>
        <x:v>0.09999999999999964</x:v>
      </x:c>
      <x:c r="M3596" s="41" t="str">
        <x:v>lstm-soil-v1</x:v>
      </x:c>
    </x:row>
    <x:row r="3597">
      <x:c r="A3597" s="38" t="str">
        <x:v>7月30日现场数据</x:v>
      </x:c>
      <x:c r="B3597" s="39" t="str">
        <x:v>2026-08-03T16:25:00</x:v>
      </x:c>
      <x:c r="C3597" s="39" t="str">
        <x:v>2026-08-03T16:40:00</x:v>
      </x:c>
      <x:c r="D3597" s="47" t="n">
        <x:v>15</x:v>
      </x:c>
      <x:c r="E3597" s="40" t="n">
        <x:v>13.4</x:v>
      </x:c>
      <x:c r="F3597" s="40" t="n">
        <x:v>11.597023010253906</x:v>
      </x:c>
      <x:c r="G3597" s="40" t="n">
        <x:v>13.4</x:v>
      </x:c>
      <x:c r="H3597" s="40" t="n">
        <x:f>F3597-E3597</x:f>
        <x:v>-1.802976989746094</x:v>
      </x:c>
      <x:c r="I3597" s="40" t="n">
        <x:f>ABS(H3597)</x:f>
        <x:v>1.802976989746094</x:v>
      </x:c>
      <x:c r="J3597" s="40" t="n">
        <x:f>H3597^2</x:f>
        <x:v>3.2507260255538872</x:v>
      </x:c>
      <x:c r="K3597" s="40" t="n">
        <x:f>G3597-E3597</x:f>
        <x:v>0</x:v>
      </x:c>
      <x:c r="L3597" s="40" t="n">
        <x:f>ABS(K3597)</x:f>
        <x:v>0</x:v>
      </x:c>
      <x:c r="M3597" s="41" t="str">
        <x:v>lstm-soil-v1</x:v>
      </x:c>
    </x:row>
    <x:row r="3598">
      <x:c r="A3598" s="38" t="str">
        <x:v>7月30日现场数据</x:v>
      </x:c>
      <x:c r="B3598" s="39" t="str">
        <x:v>2026-08-03T16:25:00</x:v>
      </x:c>
      <x:c r="C3598" s="39" t="str">
        <x:v>2026-08-03T16:55:00</x:v>
      </x:c>
      <x:c r="D3598" s="47" t="n">
        <x:v>30</x:v>
      </x:c>
      <x:c r="E3598" s="40" t="n">
        <x:v>13.4</x:v>
      </x:c>
      <x:c r="F3598" s="40" t="n">
        <x:v>12.029132843017578</x:v>
      </x:c>
      <x:c r="G3598" s="40" t="n">
        <x:v>13.4</x:v>
      </x:c>
      <x:c r="H3598" s="40" t="n">
        <x:f>F3598-E3598</x:f>
        <x:v>-1.3708671569824222</x:v>
      </x:c>
      <x:c r="I3598" s="40" t="n">
        <x:f>ABS(H3598)</x:f>
        <x:v>1.3708671569824222</x:v>
      </x:c>
      <x:c r="J3598" s="40" t="n">
        <x:f>H3598^2</x:f>
        <x:v>1.879276762093069</x:v>
      </x:c>
      <x:c r="K3598" s="40" t="n">
        <x:f>G3598-E3598</x:f>
        <x:v>0</x:v>
      </x:c>
      <x:c r="L3598" s="40" t="n">
        <x:f>ABS(K3598)</x:f>
        <x:v>0</x:v>
      </x:c>
      <x:c r="M3598" s="41" t="str">
        <x:v>lstm-soil-v1</x:v>
      </x:c>
    </x:row>
    <x:row r="3599">
      <x:c r="A3599" s="38" t="str">
        <x:v>7月30日现场数据</x:v>
      </x:c>
      <x:c r="B3599" s="39" t="str">
        <x:v>2026-08-03T16:25:00</x:v>
      </x:c>
      <x:c r="C3599" s="39" t="str">
        <x:v>2026-08-03T17:25:00</x:v>
      </x:c>
      <x:c r="D3599" s="47" t="n">
        <x:v>60</x:v>
      </x:c>
      <x:c r="E3599" s="40" t="n">
        <x:v>13.3</x:v>
      </x:c>
      <x:c r="F3599" s="40" t="n">
        <x:v>13.752716064453125</x:v>
      </x:c>
      <x:c r="G3599" s="40" t="n">
        <x:v>13.4</x:v>
      </x:c>
      <x:c r="H3599" s="40" t="n">
        <x:f>F3599-E3599</x:f>
        <x:v>0.4527160644531243</x:v>
      </x:c>
      <x:c r="I3599" s="40" t="n">
        <x:f>ABS(H3599)</x:f>
        <x:v>0.4527160644531243</x:v>
      </x:c>
      <x:c r="J3599" s="40" t="n">
        <x:f>H3599^2</x:f>
        <x:v>0.2049518350139254</x:v>
      </x:c>
      <x:c r="K3599" s="40" t="n">
        <x:f>G3599-E3599</x:f>
        <x:v>0.09999999999999964</x:v>
      </x:c>
      <x:c r="L3599" s="40" t="n">
        <x:f>ABS(K3599)</x:f>
        <x:v>0.09999999999999964</x:v>
      </x:c>
      <x:c r="M3599" s="41" t="str">
        <x:v>lstm-soil-v1</x:v>
      </x:c>
    </x:row>
    <x:row r="3600">
      <x:c r="A3600" s="38" t="str">
        <x:v>7月30日现场数据</x:v>
      </x:c>
      <x:c r="B3600" s="39" t="str">
        <x:v>2026-08-03T16:30:00</x:v>
      </x:c>
      <x:c r="C3600" s="39" t="str">
        <x:v>2026-08-03T16:35:00</x:v>
      </x:c>
      <x:c r="D3600" s="47" t="n">
        <x:v>5</x:v>
      </x:c>
      <x:c r="E3600" s="40" t="n">
        <x:v>13.4</x:v>
      </x:c>
      <x:c r="F3600" s="40" t="n">
        <x:v>11.420051574707031</x:v>
      </x:c>
      <x:c r="G3600" s="40" t="n">
        <x:v>13.3</x:v>
      </x:c>
      <x:c r="H3600" s="40" t="n">
        <x:f>F3600-E3600</x:f>
        <x:v>-1.979948425292969</x:v>
      </x:c>
      <x:c r="I3600" s="40" t="n">
        <x:f>ABS(H3600)</x:f>
        <x:v>1.979948425292969</x:v>
      </x:c>
      <x:c r="J3600" s="40" t="n">
        <x:f>H3600^2</x:f>
        <x:v>3.920195766820108</x:v>
      </x:c>
      <x:c r="K3600" s="40" t="n">
        <x:f>G3600-E3600</x:f>
        <x:v>-0.09999999999999964</x:v>
      </x:c>
      <x:c r="L3600" s="40" t="n">
        <x:f>ABS(K3600)</x:f>
        <x:v>0.09999999999999964</x:v>
      </x:c>
      <x:c r="M3600" s="41" t="str">
        <x:v>lstm-soil-v1</x:v>
      </x:c>
    </x:row>
    <x:row r="3601">
      <x:c r="A3601" s="38" t="str">
        <x:v>7月30日现场数据</x:v>
      </x:c>
      <x:c r="B3601" s="39" t="str">
        <x:v>2026-08-03T16:30:00</x:v>
      </x:c>
      <x:c r="C3601" s="39" t="str">
        <x:v>2026-08-03T16:45:00</x:v>
      </x:c>
      <x:c r="D3601" s="47" t="n">
        <x:v>15</x:v>
      </x:c>
      <x:c r="E3601" s="40" t="n">
        <x:v>13.4</x:v>
      </x:c>
      <x:c r="F3601" s="40" t="n">
        <x:v>11.490604400634766</x:v>
      </x:c>
      <x:c r="G3601" s="40" t="n">
        <x:v>13.3</x:v>
      </x:c>
      <x:c r="H3601" s="40" t="n">
        <x:f>F3601-E3601</x:f>
        <x:v>-1.9093955993652347</x:v>
      </x:c>
      <x:c r="I3601" s="40" t="n">
        <x:f>ABS(H3601)</x:f>
        <x:v>1.9093955993652347</x:v>
      </x:c>
      <x:c r="J3601" s="40" t="n">
        <x:f>H3601^2</x:f>
        <x:v>3.645791554875324</x:v>
      </x:c>
      <x:c r="K3601" s="40" t="n">
        <x:f>G3601-E3601</x:f>
        <x:v>-0.09999999999999964</x:v>
      </x:c>
      <x:c r="L3601" s="40" t="n">
        <x:f>ABS(K3601)</x:f>
        <x:v>0.09999999999999964</x:v>
      </x:c>
      <x:c r="M3601" s="41" t="str">
        <x:v>lstm-soil-v1</x:v>
      </x:c>
    </x:row>
    <x:row r="3602">
      <x:c r="A3602" s="38" t="str">
        <x:v>7月30日现场数据</x:v>
      </x:c>
      <x:c r="B3602" s="39" t="str">
        <x:v>2026-08-03T16:30:00</x:v>
      </x:c>
      <x:c r="C3602" s="39" t="str">
        <x:v>2026-08-03T17:00:00</x:v>
      </x:c>
      <x:c r="D3602" s="47" t="n">
        <x:v>30</x:v>
      </x:c>
      <x:c r="E3602" s="40" t="n">
        <x:v>13.4</x:v>
      </x:c>
      <x:c r="F3602" s="40" t="n">
        <x:v>11.91556167602539</x:v>
      </x:c>
      <x:c r="G3602" s="40" t="n">
        <x:v>13.3</x:v>
      </x:c>
      <x:c r="H3602" s="40" t="n">
        <x:f>F3602-E3602</x:f>
        <x:v>-1.4844383239746097</x:v>
      </x:c>
      <x:c r="I3602" s="40" t="n">
        <x:f>ABS(H3602)</x:f>
        <x:v>1.4844383239746097</x:v>
      </x:c>
      <x:c r="J3602" s="40" t="n">
        <x:f>H3602^2</x:f>
        <x:v>2.203557137684548</x:v>
      </x:c>
      <x:c r="K3602" s="40" t="n">
        <x:f>G3602-E3602</x:f>
        <x:v>-0.09999999999999964</x:v>
      </x:c>
      <x:c r="L3602" s="40" t="n">
        <x:f>ABS(K3602)</x:f>
        <x:v>0.09999999999999964</x:v>
      </x:c>
      <x:c r="M3602" s="41" t="str">
        <x:v>lstm-soil-v1</x:v>
      </x:c>
    </x:row>
    <x:row r="3603">
      <x:c r="A3603" s="38" t="str">
        <x:v>7月30日现场数据</x:v>
      </x:c>
      <x:c r="B3603" s="39" t="str">
        <x:v>2026-08-03T16:30:00</x:v>
      </x:c>
      <x:c r="C3603" s="39" t="str">
        <x:v>2026-08-03T17:30:00</x:v>
      </x:c>
      <x:c r="D3603" s="47" t="n">
        <x:v>60</x:v>
      </x:c>
      <x:c r="E3603" s="40" t="n">
        <x:v>13.3</x:v>
      </x:c>
      <x:c r="F3603" s="40" t="n">
        <x:v>13.633846282958984</x:v>
      </x:c>
      <x:c r="G3603" s="40" t="n">
        <x:v>13.3</x:v>
      </x:c>
      <x:c r="H3603" s="40" t="n">
        <x:f>F3603-E3603</x:f>
        <x:v>0.33384628295898366</x:v>
      </x:c>
      <x:c r="I3603" s="40" t="n">
        <x:f>ABS(H3603)</x:f>
        <x:v>0.33384628295898366</x:v>
      </x:c>
      <x:c r="J3603" s="40" t="n">
        <x:f>H3603^2</x:f>
        <x:v>0.11145334064552978</x:v>
      </x:c>
      <x:c r="K3603" s="40" t="n">
        <x:f>G3603-E3603</x:f>
        <x:v>0</x:v>
      </x:c>
      <x:c r="L3603" s="40" t="n">
        <x:f>ABS(K3603)</x:f>
        <x:v>0</x:v>
      </x:c>
      <x:c r="M3603" s="41" t="str">
        <x:v>lstm-soil-v1</x:v>
      </x:c>
    </x:row>
    <x:row r="3604">
      <x:c r="A3604" s="38" t="str">
        <x:v>7月30日现场数据</x:v>
      </x:c>
      <x:c r="B3604" s="39" t="str">
        <x:v>2026-08-03T16:35:00</x:v>
      </x:c>
      <x:c r="C3604" s="39" t="str">
        <x:v>2026-08-03T16:40:00</x:v>
      </x:c>
      <x:c r="D3604" s="47" t="n">
        <x:v>5</x:v>
      </x:c>
      <x:c r="E3604" s="40" t="n">
        <x:v>13.4</x:v>
      </x:c>
      <x:c r="F3604" s="40" t="n">
        <x:v>11.525192260742188</x:v>
      </x:c>
      <x:c r="G3604" s="40" t="n">
        <x:v>13.4</x:v>
      </x:c>
      <x:c r="H3604" s="40" t="n">
        <x:f>F3604-E3604</x:f>
        <x:v>-1.8748077392578129</x:v>
      </x:c>
      <x:c r="I3604" s="40" t="n">
        <x:f>ABS(H3604)</x:f>
        <x:v>1.8748077392578129</x:v>
      </x:c>
      <x:c r="J3604" s="40" t="n">
        <x:f>H3604^2</x:f>
        <x:v>3.5149040591809912</x:v>
      </x:c>
      <x:c r="K3604" s="40" t="n">
        <x:f>G3604-E3604</x:f>
        <x:v>0</x:v>
      </x:c>
      <x:c r="L3604" s="40" t="n">
        <x:f>ABS(K3604)</x:f>
        <x:v>0</x:v>
      </x:c>
      <x:c r="M3604" s="41" t="str">
        <x:v>lstm-soil-v1</x:v>
      </x:c>
    </x:row>
    <x:row r="3605">
      <x:c r="A3605" s="38" t="str">
        <x:v>7月30日现场数据</x:v>
      </x:c>
      <x:c r="B3605" s="39" t="str">
        <x:v>2026-08-03T16:35:00</x:v>
      </x:c>
      <x:c r="C3605" s="39" t="str">
        <x:v>2026-08-03T16:50:00</x:v>
      </x:c>
      <x:c r="D3605" s="47" t="n">
        <x:v>15</x:v>
      </x:c>
      <x:c r="E3605" s="40" t="n">
        <x:v>13.4</x:v>
      </x:c>
      <x:c r="F3605" s="40" t="n">
        <x:v>11.599342346191406</x:v>
      </x:c>
      <x:c r="G3605" s="40" t="n">
        <x:v>13.4</x:v>
      </x:c>
      <x:c r="H3605" s="40" t="n">
        <x:f>F3605-E3605</x:f>
        <x:v>-1.800657653808594</x:v>
      </x:c>
      <x:c r="I3605" s="40" t="n">
        <x:f>ABS(H3605)</x:f>
        <x:v>1.800657653808594</x:v>
      </x:c>
      <x:c r="J3605" s="40" t="n">
        <x:f>H3605^2</x:f>
        <x:v>3.2423679862194708</x:v>
      </x:c>
      <x:c r="K3605" s="40" t="n">
        <x:f>G3605-E3605</x:f>
        <x:v>0</x:v>
      </x:c>
      <x:c r="L3605" s="40" t="n">
        <x:f>ABS(K3605)</x:f>
        <x:v>0</x:v>
      </x:c>
      <x:c r="M3605" s="41" t="str">
        <x:v>lstm-soil-v1</x:v>
      </x:c>
    </x:row>
    <x:row r="3606">
      <x:c r="A3606" s="38" t="str">
        <x:v>7月30日现场数据</x:v>
      </x:c>
      <x:c r="B3606" s="39" t="str">
        <x:v>2026-08-03T16:35:00</x:v>
      </x:c>
      <x:c r="C3606" s="39" t="str">
        <x:v>2026-08-03T17:05:00</x:v>
      </x:c>
      <x:c r="D3606" s="47" t="n">
        <x:v>30</x:v>
      </x:c>
      <x:c r="E3606" s="40" t="n">
        <x:v>13.3</x:v>
      </x:c>
      <x:c r="F3606" s="40" t="n">
        <x:v>12.017044067382812</x:v>
      </x:c>
      <x:c r="G3606" s="40" t="n">
        <x:v>13.4</x:v>
      </x:c>
      <x:c r="H3606" s="40" t="n">
        <x:f>F3606-E3606</x:f>
        <x:v>-1.2829559326171882</x:v>
      </x:c>
      <x:c r="I3606" s="40" t="n">
        <x:f>ABS(H3606)</x:f>
        <x:v>1.2829559326171882</x:v>
      </x:c>
      <x:c r="J3606" s="40" t="n">
        <x:f>H3606^2</x:f>
        <x:v>1.6459759250376391</x:v>
      </x:c>
      <x:c r="K3606" s="40" t="n">
        <x:f>G3606-E3606</x:f>
        <x:v>0.09999999999999964</x:v>
      </x:c>
      <x:c r="L3606" s="40" t="n">
        <x:f>ABS(K3606)</x:f>
        <x:v>0.09999999999999964</x:v>
      </x:c>
      <x:c r="M3606" s="41" t="str">
        <x:v>lstm-soil-v1</x:v>
      </x:c>
    </x:row>
    <x:row r="3607">
      <x:c r="A3607" s="38" t="str">
        <x:v>7月30日现场数据</x:v>
      </x:c>
      <x:c r="B3607" s="39" t="str">
        <x:v>2026-08-03T16:35:00</x:v>
      </x:c>
      <x:c r="C3607" s="39" t="str">
        <x:v>2026-08-03T17:35:00</x:v>
      </x:c>
      <x:c r="D3607" s="47" t="n">
        <x:v>60</x:v>
      </x:c>
      <x:c r="E3607" s="40" t="n">
        <x:v>13.3</x:v>
      </x:c>
      <x:c r="F3607" s="40" t="n">
        <x:v>13.729618072509766</x:v>
      </x:c>
      <x:c r="G3607" s="40" t="n">
        <x:v>13.4</x:v>
      </x:c>
      <x:c r="H3607" s="40" t="n">
        <x:f>F3607-E3607</x:f>
        <x:v>0.4296180725097649</x:v>
      </x:c>
      <x:c r="I3607" s="40" t="n">
        <x:f>ABS(H3607)</x:f>
        <x:v>0.4296180725097649</x:v>
      </x:c>
      <x:c r="J3607" s="40" t="n">
        <x:f>H3607^2</x:f>
        <x:v>0.18457168822700562</x:v>
      </x:c>
      <x:c r="K3607" s="40" t="n">
        <x:f>G3607-E3607</x:f>
        <x:v>0.09999999999999964</x:v>
      </x:c>
      <x:c r="L3607" s="40" t="n">
        <x:f>ABS(K3607)</x:f>
        <x:v>0.09999999999999964</x:v>
      </x:c>
      <x:c r="M3607" s="41" t="str">
        <x:v>lstm-soil-v1</x:v>
      </x:c>
    </x:row>
    <x:row r="3608">
      <x:c r="A3608" s="38" t="str">
        <x:v>7月30日现场数据</x:v>
      </x:c>
      <x:c r="B3608" s="39" t="str">
        <x:v>2026-08-03T16:40:00</x:v>
      </x:c>
      <x:c r="C3608" s="39" t="str">
        <x:v>2026-08-03T16:45:00</x:v>
      </x:c>
      <x:c r="D3608" s="47" t="n">
        <x:v>5</x:v>
      </x:c>
      <x:c r="E3608" s="40" t="n">
        <x:v>13.4</x:v>
      </x:c>
      <x:c r="F3608" s="40" t="n">
        <x:v>11.52450180053711</x:v>
      </x:c>
      <x:c r="G3608" s="40" t="n">
        <x:v>13.4</x:v>
      </x:c>
      <x:c r="H3608" s="40" t="n">
        <x:f>F3608-E3608</x:f>
        <x:v>-1.875498199462891</x:v>
      </x:c>
      <x:c r="I3608" s="40" t="n">
        <x:f>ABS(H3608)</x:f>
        <x:v>1.875498199462891</x:v>
      </x:c>
      <x:c r="J3608" s="40" t="n">
        <x:f>H3608^2</x:f>
        <x:v>3.517493496188546</x:v>
      </x:c>
      <x:c r="K3608" s="40" t="n">
        <x:f>G3608-E3608</x:f>
        <x:v>0</x:v>
      </x:c>
      <x:c r="L3608" s="40" t="n">
        <x:f>ABS(K3608)</x:f>
        <x:v>0</x:v>
      </x:c>
      <x:c r="M3608" s="41" t="str">
        <x:v>lstm-soil-v1</x:v>
      </x:c>
    </x:row>
    <x:row r="3609">
      <x:c r="A3609" s="38" t="str">
        <x:v>7月30日现场数据</x:v>
      </x:c>
      <x:c r="B3609" s="39" t="str">
        <x:v>2026-08-03T16:40:00</x:v>
      </x:c>
      <x:c r="C3609" s="39" t="str">
        <x:v>2026-08-03T16:55:00</x:v>
      </x:c>
      <x:c r="D3609" s="47" t="n">
        <x:v>15</x:v>
      </x:c>
      <x:c r="E3609" s="40" t="n">
        <x:v>13.4</x:v>
      </x:c>
      <x:c r="F3609" s="40" t="n">
        <x:v>11.59817123413086</x:v>
      </x:c>
      <x:c r="G3609" s="40" t="n">
        <x:v>13.4</x:v>
      </x:c>
      <x:c r="H3609" s="40" t="n">
        <x:f>F3609-E3609</x:f>
        <x:v>-1.801828765869141</x:v>
      </x:c>
      <x:c r="I3609" s="40" t="n">
        <x:f>ABS(H3609)</x:f>
        <x:v>1.801828765869141</x:v>
      </x:c>
      <x:c r="J3609" s="40" t="n">
        <x:f>H3609^2</x:f>
        <x:v>3.2465869015135116</x:v>
      </x:c>
      <x:c r="K3609" s="40" t="n">
        <x:f>G3609-E3609</x:f>
        <x:v>0</x:v>
      </x:c>
      <x:c r="L3609" s="40" t="n">
        <x:f>ABS(K3609)</x:f>
        <x:v>0</x:v>
      </x:c>
      <x:c r="M3609" s="41" t="str">
        <x:v>lstm-soil-v1</x:v>
      </x:c>
    </x:row>
    <x:row r="3610">
      <x:c r="A3610" s="38" t="str">
        <x:v>7月30日现场数据</x:v>
      </x:c>
      <x:c r="B3610" s="39" t="str">
        <x:v>2026-08-03T16:40:00</x:v>
      </x:c>
      <x:c r="C3610" s="39" t="str">
        <x:v>2026-08-03T17:10:00</x:v>
      </x:c>
      <x:c r="D3610" s="47" t="n">
        <x:v>30</x:v>
      </x:c>
      <x:c r="E3610" s="40" t="n">
        <x:v>13.4</x:v>
      </x:c>
      <x:c r="F3610" s="40" t="n">
        <x:v>12.013816833496094</x:v>
      </x:c>
      <x:c r="G3610" s="40" t="n">
        <x:v>13.4</x:v>
      </x:c>
      <x:c r="H3610" s="40" t="n">
        <x:f>F3610-E3610</x:f>
        <x:v>-1.3861831665039066</x:v>
      </x:c>
      <x:c r="I3610" s="40" t="n">
        <x:f>ABS(H3610)</x:f>
        <x:v>1.3861831665039066</x:v>
      </x:c>
      <x:c r="J3610" s="40" t="n">
        <x:f>H3610^2</x:f>
        <x:v>1.9215037710987972</x:v>
      </x:c>
      <x:c r="K3610" s="40" t="n">
        <x:f>G3610-E3610</x:f>
        <x:v>0</x:v>
      </x:c>
      <x:c r="L3610" s="40" t="n">
        <x:f>ABS(K3610)</x:f>
        <x:v>0</x:v>
      </x:c>
      <x:c r="M3610" s="41" t="str">
        <x:v>lstm-soil-v1</x:v>
      </x:c>
    </x:row>
    <x:row r="3611">
      <x:c r="A3611" s="38" t="str">
        <x:v>7月30日现场数据</x:v>
      </x:c>
      <x:c r="B3611" s="39" t="str">
        <x:v>2026-08-03T16:40:00</x:v>
      </x:c>
      <x:c r="C3611" s="39" t="str">
        <x:v>2026-08-03T17:40:00</x:v>
      </x:c>
      <x:c r="D3611" s="47" t="n">
        <x:v>60</x:v>
      </x:c>
      <x:c r="E3611" s="40" t="n">
        <x:v>13.3</x:v>
      </x:c>
      <x:c r="F3611" s="40" t="n">
        <x:v>13.724529266357422</x:v>
      </x:c>
      <x:c r="G3611" s="40" t="n">
        <x:v>13.4</x:v>
      </x:c>
      <x:c r="H3611" s="40" t="n">
        <x:f>F3611-E3611</x:f>
        <x:v>0.42452926635742116</x:v>
      </x:c>
      <x:c r="I3611" s="40" t="n">
        <x:f>ABS(H3611)</x:f>
        <x:v>0.42452926635742116</x:v>
      </x:c>
      <x:c r="J3611" s="40" t="n">
        <x:f>H3611^2</x:f>
        <x:v>0.18022509799397024</x:v>
      </x:c>
      <x:c r="K3611" s="40" t="n">
        <x:f>G3611-E3611</x:f>
        <x:v>0.09999999999999964</x:v>
      </x:c>
      <x:c r="L3611" s="40" t="n">
        <x:f>ABS(K3611)</x:f>
        <x:v>0.09999999999999964</x:v>
      </x:c>
      <x:c r="M3611" s="41" t="str">
        <x:v>lstm-soil-v1</x:v>
      </x:c>
    </x:row>
    <x:row r="3612">
      <x:c r="A3612" s="38" t="str">
        <x:v>7月30日现场数据</x:v>
      </x:c>
      <x:c r="B3612" s="39" t="str">
        <x:v>2026-08-03T16:45:00</x:v>
      </x:c>
      <x:c r="C3612" s="39" t="str">
        <x:v>2026-08-03T16:50:00</x:v>
      </x:c>
      <x:c r="D3612" s="47" t="n">
        <x:v>5</x:v>
      </x:c>
      <x:c r="E3612" s="40" t="n">
        <x:v>13.4</x:v>
      </x:c>
      <x:c r="F3612" s="40" t="n">
        <x:v>11.525028228759766</x:v>
      </x:c>
      <x:c r="G3612" s="40" t="n">
        <x:v>13.4</x:v>
      </x:c>
      <x:c r="H3612" s="40" t="n">
        <x:f>F3612-E3612</x:f>
        <x:v>-1.8749717712402347</x:v>
      </x:c>
      <x:c r="I3612" s="40" t="n">
        <x:f>ABS(H3612)</x:f>
        <x:v>1.8749717712402347</x:v>
      </x:c>
      <x:c r="J3612" s="40" t="n">
        <x:f>H3612^2</x:f>
        <x:v>3.5155191429477433</x:v>
      </x:c>
      <x:c r="K3612" s="40" t="n">
        <x:f>G3612-E3612</x:f>
        <x:v>0</x:v>
      </x:c>
      <x:c r="L3612" s="40" t="n">
        <x:f>ABS(K3612)</x:f>
        <x:v>0</x:v>
      </x:c>
      <x:c r="M3612" s="41" t="str">
        <x:v>lstm-soil-v1</x:v>
      </x:c>
    </x:row>
    <x:row r="3613">
      <x:c r="A3613" s="38" t="str">
        <x:v>7月30日现场数据</x:v>
      </x:c>
      <x:c r="B3613" s="39" t="str">
        <x:v>2026-08-03T16:45:00</x:v>
      </x:c>
      <x:c r="C3613" s="39" t="str">
        <x:v>2026-08-03T17:00:00</x:v>
      </x:c>
      <x:c r="D3613" s="47" t="n">
        <x:v>15</x:v>
      </x:c>
      <x:c r="E3613" s="40" t="n">
        <x:v>13.4</x:v>
      </x:c>
      <x:c r="F3613" s="40" t="n">
        <x:v>11.597564697265625</x:v>
      </x:c>
      <x:c r="G3613" s="40" t="n">
        <x:v>13.4</x:v>
      </x:c>
      <x:c r="H3613" s="40" t="n">
        <x:f>F3613-E3613</x:f>
        <x:v>-1.8024353027343754</x:v>
      </x:c>
      <x:c r="I3613" s="40" t="n">
        <x:f>ABS(H3613)</x:f>
        <x:v>1.8024353027343754</x:v>
      </x:c>
      <x:c r="J3613" s="40" t="n">
        <x:f>H3613^2</x:f>
        <x:v>3.2487730205431595</x:v>
      </x:c>
      <x:c r="K3613" s="40" t="n">
        <x:f>G3613-E3613</x:f>
        <x:v>0</x:v>
      </x:c>
      <x:c r="L3613" s="40" t="n">
        <x:f>ABS(K3613)</x:f>
        <x:v>0</x:v>
      </x:c>
      <x:c r="M3613" s="41" t="str">
        <x:v>lstm-soil-v1</x:v>
      </x:c>
    </x:row>
    <x:row r="3614">
      <x:c r="A3614" s="38" t="str">
        <x:v>7月30日现场数据</x:v>
      </x:c>
      <x:c r="B3614" s="39" t="str">
        <x:v>2026-08-03T16:45:00</x:v>
      </x:c>
      <x:c r="C3614" s="39" t="str">
        <x:v>2026-08-03T17:15:00</x:v>
      </x:c>
      <x:c r="D3614" s="47" t="n">
        <x:v>30</x:v>
      </x:c>
      <x:c r="E3614" s="40" t="n">
        <x:v>13.4</x:v>
      </x:c>
      <x:c r="F3614" s="40" t="n">
        <x:v>12.012985229492188</x:v>
      </x:c>
      <x:c r="G3614" s="40" t="n">
        <x:v>13.4</x:v>
      </x:c>
      <x:c r="H3614" s="40" t="n">
        <x:f>F3614-E3614</x:f>
        <x:v>-1.3870147705078129</x:v>
      </x:c>
      <x:c r="I3614" s="40" t="n">
        <x:f>ABS(H3614)</x:f>
        <x:v>1.3870147705078129</x:v>
      </x:c>
      <x:c r="J3614" s="40" t="n">
        <x:f>H3614^2</x:f>
        <x:v>1.9238099736068408</x:v>
      </x:c>
      <x:c r="K3614" s="40" t="n">
        <x:f>G3614-E3614</x:f>
        <x:v>0</x:v>
      </x:c>
      <x:c r="L3614" s="40" t="n">
        <x:f>ABS(K3614)</x:f>
        <x:v>0</x:v>
      </x:c>
      <x:c r="M3614" s="41" t="str">
        <x:v>lstm-soil-v1</x:v>
      </x:c>
    </x:row>
    <x:row r="3615">
      <x:c r="A3615" s="38" t="str">
        <x:v>7月30日现场数据</x:v>
      </x:c>
      <x:c r="B3615" s="39" t="str">
        <x:v>2026-08-03T16:45:00</x:v>
      </x:c>
      <x:c r="C3615" s="39" t="str">
        <x:v>2026-08-03T17:45:00</x:v>
      </x:c>
      <x:c r="D3615" s="47" t="n">
        <x:v>60</x:v>
      </x:c>
      <x:c r="E3615" s="40" t="n">
        <x:v>13.3</x:v>
      </x:c>
      <x:c r="F3615" s="40" t="n">
        <x:v>13.722419738769531</x:v>
      </x:c>
      <x:c r="G3615" s="40" t="n">
        <x:v>13.4</x:v>
      </x:c>
      <x:c r="H3615" s="40" t="n">
        <x:f>F3615-E3615</x:f>
        <x:v>0.42241973876953054</x:v>
      </x:c>
      <x:c r="I3615" s="40" t="n">
        <x:f>ABS(H3615)</x:f>
        <x:v>0.42241973876953054</x:v>
      </x:c>
      <x:c r="J3615" s="40" t="n">
        <x:f>H3615^2</x:f>
        <x:v>0.17843843570211843</x:v>
      </x:c>
      <x:c r="K3615" s="40" t="n">
        <x:f>G3615-E3615</x:f>
        <x:v>0.09999999999999964</x:v>
      </x:c>
      <x:c r="L3615" s="40" t="n">
        <x:f>ABS(K3615)</x:f>
        <x:v>0.09999999999999964</x:v>
      </x:c>
      <x:c r="M3615" s="41" t="str">
        <x:v>lstm-soil-v1</x:v>
      </x:c>
    </x:row>
    <x:row r="3616">
      <x:c r="A3616" s="38" t="str">
        <x:v>7月30日现场数据</x:v>
      </x:c>
      <x:c r="B3616" s="39" t="str">
        <x:v>2026-08-03T16:50:00</x:v>
      </x:c>
      <x:c r="C3616" s="39" t="str">
        <x:v>2026-08-03T16:55:00</x:v>
      </x:c>
      <x:c r="D3616" s="47" t="n">
        <x:v>5</x:v>
      </x:c>
      <x:c r="E3616" s="40" t="n">
        <x:v>13.4</x:v>
      </x:c>
      <x:c r="F3616" s="40" t="n">
        <x:v>11.525497436523438</x:v>
      </x:c>
      <x:c r="G3616" s="40" t="n">
        <x:v>13.4</x:v>
      </x:c>
      <x:c r="H3616" s="40" t="n">
        <x:f>F3616-E3616</x:f>
        <x:v>-1.8745025634765629</x:v>
      </x:c>
      <x:c r="I3616" s="40" t="n">
        <x:f>ABS(H3616)</x:f>
        <x:v>1.8745025634765629</x:v>
      </x:c>
      <x:c r="J3616" s="40" t="n">
        <x:f>H3616^2</x:f>
        <x:v>3.5137598604802056</x:v>
      </x:c>
      <x:c r="K3616" s="40" t="n">
        <x:f>G3616-E3616</x:f>
        <x:v>0</x:v>
      </x:c>
      <x:c r="L3616" s="40" t="n">
        <x:f>ABS(K3616)</x:f>
        <x:v>0</x:v>
      </x:c>
      <x:c r="M3616" s="41" t="str">
        <x:v>lstm-soil-v1</x:v>
      </x:c>
    </x:row>
    <x:row r="3617">
      <x:c r="A3617" s="38" t="str">
        <x:v>7月30日现场数据</x:v>
      </x:c>
      <x:c r="B3617" s="39" t="str">
        <x:v>2026-08-03T16:50:00</x:v>
      </x:c>
      <x:c r="C3617" s="39" t="str">
        <x:v>2026-08-03T17:05:00</x:v>
      </x:c>
      <x:c r="D3617" s="47" t="n">
        <x:v>15</x:v>
      </x:c>
      <x:c r="E3617" s="40" t="n">
        <x:v>13.3</x:v>
      </x:c>
      <x:c r="F3617" s="40" t="n">
        <x:v>11.597713470458984</x:v>
      </x:c>
      <x:c r="G3617" s="40" t="n">
        <x:v>13.4</x:v>
      </x:c>
      <x:c r="H3617" s="40" t="n">
        <x:f>F3617-E3617</x:f>
        <x:v>-1.7022865295410163</x:v>
      </x:c>
      <x:c r="I3617" s="40" t="n">
        <x:f>ABS(H3617)</x:f>
        <x:v>1.7022865295410163</x:v>
      </x:c>
      <x:c r="J3617" s="40" t="n">
        <x:f>H3617^2</x:f>
        <x:v>2.8977794286567975</x:v>
      </x:c>
      <x:c r="K3617" s="40" t="n">
        <x:f>G3617-E3617</x:f>
        <x:v>0.09999999999999964</x:v>
      </x:c>
      <x:c r="L3617" s="40" t="n">
        <x:f>ABS(K3617)</x:f>
        <x:v>0.09999999999999964</x:v>
      </x:c>
      <x:c r="M3617" s="41" t="str">
        <x:v>lstm-soil-v1</x:v>
      </x:c>
    </x:row>
    <x:row r="3618">
      <x:c r="A3618" s="38" t="str">
        <x:v>7月30日现场数据</x:v>
      </x:c>
      <x:c r="B3618" s="39" t="str">
        <x:v>2026-08-03T16:50:00</x:v>
      </x:c>
      <x:c r="C3618" s="39" t="str">
        <x:v>2026-08-03T17:20:00</x:v>
      </x:c>
      <x:c r="D3618" s="47" t="n">
        <x:v>30</x:v>
      </x:c>
      <x:c r="E3618" s="40" t="n">
        <x:v>13.3</x:v>
      </x:c>
      <x:c r="F3618" s="40" t="n">
        <x:v>12.012680053710938</x:v>
      </x:c>
      <x:c r="G3618" s="40" t="n">
        <x:v>13.4</x:v>
      </x:c>
      <x:c r="H3618" s="40" t="n">
        <x:f>F3618-E3618</x:f>
        <x:v>-1.2873199462890632</x:v>
      </x:c>
      <x:c r="I3618" s="40" t="n">
        <x:f>ABS(H3618)</x:f>
        <x:v>1.2873199462890632</x:v>
      </x:c>
      <x:c r="J3618" s="40" t="n">
        <x:f>H3618^2</x:f>
        <x:v>1.6571926441136766</x:v>
      </x:c>
      <x:c r="K3618" s="40" t="n">
        <x:f>G3618-E3618</x:f>
        <x:v>0.09999999999999964</x:v>
      </x:c>
      <x:c r="L3618" s="40" t="n">
        <x:f>ABS(K3618)</x:f>
        <x:v>0.09999999999999964</x:v>
      </x:c>
      <x:c r="M3618" s="41" t="str">
        <x:v>lstm-soil-v1</x:v>
      </x:c>
    </x:row>
    <x:row r="3619">
      <x:c r="A3619" s="38" t="str">
        <x:v>7月30日现场数据</x:v>
      </x:c>
      <x:c r="B3619" s="39" t="str">
        <x:v>2026-08-03T16:50:00</x:v>
      </x:c>
      <x:c r="C3619" s="39" t="str">
        <x:v>2026-08-03T17:50:00</x:v>
      </x:c>
      <x:c r="D3619" s="47" t="n">
        <x:v>60</x:v>
      </x:c>
      <x:c r="E3619" s="40" t="n">
        <x:v>13.3</x:v>
      </x:c>
      <x:c r="F3619" s="40" t="n">
        <x:v>13.720603942871094</x:v>
      </x:c>
      <x:c r="G3619" s="40" t="n">
        <x:v>13.4</x:v>
      </x:c>
      <x:c r="H3619" s="40" t="n">
        <x:f>F3619-E3619</x:f>
        <x:v>0.42060394287109304</x:v>
      </x:c>
      <x:c r="I3619" s="40" t="n">
        <x:f>ABS(H3619)</x:f>
        <x:v>0.42060394287109304</x:v>
      </x:c>
      <x:c r="J3619" s="40" t="n">
        <x:f>H3619^2</x:f>
        <x:v>0.1769076767587097</x:v>
      </x:c>
      <x:c r="K3619" s="40" t="n">
        <x:f>G3619-E3619</x:f>
        <x:v>0.09999999999999964</x:v>
      </x:c>
      <x:c r="L3619" s="40" t="n">
        <x:f>ABS(K3619)</x:f>
        <x:v>0.09999999999999964</x:v>
      </x:c>
      <x:c r="M3619" s="41" t="str">
        <x:v>lstm-soil-v1</x:v>
      </x:c>
    </x:row>
    <x:row r="3620">
      <x:c r="A3620" s="38" t="str">
        <x:v>7月30日现场数据</x:v>
      </x:c>
      <x:c r="B3620" s="39" t="str">
        <x:v>2026-08-03T16:55:00</x:v>
      </x:c>
      <x:c r="C3620" s="39" t="str">
        <x:v>2026-08-03T17:00:00</x:v>
      </x:c>
      <x:c r="D3620" s="47" t="n">
        <x:v>5</x:v>
      </x:c>
      <x:c r="E3620" s="40" t="n">
        <x:v>13.4</x:v>
      </x:c>
      <x:c r="F3620" s="40" t="n">
        <x:v>11.524543762207031</x:v>
      </x:c>
      <x:c r="G3620" s="40" t="n">
        <x:v>13.4</x:v>
      </x:c>
      <x:c r="H3620" s="40" t="n">
        <x:f>F3620-E3620</x:f>
        <x:v>-1.875456237792969</x:v>
      </x:c>
      <x:c r="I3620" s="40" t="n">
        <x:f>ABS(H3620)</x:f>
        <x:v>1.875456237792969</x:v>
      </x:c>
      <x:c r="J3620" s="40" t="n">
        <x:f>H3620^2</x:f>
        <x:v>3.517336099876558</x:v>
      </x:c>
      <x:c r="K3620" s="40" t="n">
        <x:f>G3620-E3620</x:f>
        <x:v>0</x:v>
      </x:c>
      <x:c r="L3620" s="40" t="n">
        <x:f>ABS(K3620)</x:f>
        <x:v>0</x:v>
      </x:c>
      <x:c r="M3620" s="41" t="str">
        <x:v>lstm-soil-v1</x:v>
      </x:c>
    </x:row>
    <x:row r="3621">
      <x:c r="A3621" s="38" t="str">
        <x:v>7月30日现场数据</x:v>
      </x:c>
      <x:c r="B3621" s="39" t="str">
        <x:v>2026-08-03T16:55:00</x:v>
      </x:c>
      <x:c r="C3621" s="39" t="str">
        <x:v>2026-08-03T17:10:00</x:v>
      </x:c>
      <x:c r="D3621" s="47" t="n">
        <x:v>15</x:v>
      </x:c>
      <x:c r="E3621" s="40" t="n">
        <x:v>13.4</x:v>
      </x:c>
      <x:c r="F3621" s="40" t="n">
        <x:v>11.597526550292969</x:v>
      </x:c>
      <x:c r="G3621" s="40" t="n">
        <x:v>13.4</x:v>
      </x:c>
      <x:c r="H3621" s="40" t="n">
        <x:f>F3621-E3621</x:f>
        <x:v>-1.8024734497070316</x:v>
      </x:c>
      <x:c r="I3621" s="40" t="n">
        <x:f>ABS(H3621)</x:f>
        <x:v>1.8024734497070316</x:v>
      </x:c>
      <x:c r="J3621" s="40" t="n">
        <x:f>H3621^2</x:f>
        <x:v>3.248910536898767</x:v>
      </x:c>
      <x:c r="K3621" s="40" t="n">
        <x:f>G3621-E3621</x:f>
        <x:v>0</x:v>
      </x:c>
      <x:c r="L3621" s="40" t="n">
        <x:f>ABS(K3621)</x:f>
        <x:v>0</x:v>
      </x:c>
      <x:c r="M3621" s="41" t="str">
        <x:v>lstm-soil-v1</x:v>
      </x:c>
    </x:row>
    <x:row r="3622">
      <x:c r="A3622" s="38" t="str">
        <x:v>7月30日现场数据</x:v>
      </x:c>
      <x:c r="B3622" s="39" t="str">
        <x:v>2026-08-03T16:55:00</x:v>
      </x:c>
      <x:c r="C3622" s="39" t="str">
        <x:v>2026-08-03T17:25:00</x:v>
      </x:c>
      <x:c r="D3622" s="47" t="n">
        <x:v>30</x:v>
      </x:c>
      <x:c r="E3622" s="40" t="n">
        <x:v>13.3</x:v>
      </x:c>
      <x:c r="F3622" s="40" t="n">
        <x:v>12.010780334472656</x:v>
      </x:c>
      <x:c r="G3622" s="40" t="n">
        <x:v>13.4</x:v>
      </x:c>
      <x:c r="H3622" s="40" t="n">
        <x:f>F3622-E3622</x:f>
        <x:v>-1.2892196655273445</x:v>
      </x:c>
      <x:c r="I3622" s="40" t="n">
        <x:f>ABS(H3622)</x:f>
        <x:v>1.2892196655273445</x:v>
      </x:c>
      <x:c r="J3622" s="40" t="n">
        <x:f>H3622^2</x:f>
        <x:v>1.662087345982438</x:v>
      </x:c>
      <x:c r="K3622" s="40" t="n">
        <x:f>G3622-E3622</x:f>
        <x:v>0.09999999999999964</x:v>
      </x:c>
      <x:c r="L3622" s="40" t="n">
        <x:f>ABS(K3622)</x:f>
        <x:v>0.09999999999999964</x:v>
      </x:c>
      <x:c r="M3622" s="41" t="str">
        <x:v>lstm-soil-v1</x:v>
      </x:c>
    </x:row>
    <x:row r="3623">
      <x:c r="A3623" s="38" t="str">
        <x:v>7月30日现场数据</x:v>
      </x:c>
      <x:c r="B3623" s="39" t="str">
        <x:v>2026-08-03T16:55:00</x:v>
      </x:c>
      <x:c r="C3623" s="39" t="str">
        <x:v>2026-08-03T17:55:00</x:v>
      </x:c>
      <x:c r="D3623" s="47" t="n">
        <x:v>60</x:v>
      </x:c>
      <x:c r="E3623" s="40" t="n">
        <x:v>13.3</x:v>
      </x:c>
      <x:c r="F3623" s="40" t="n">
        <x:v>13.718284606933594</x:v>
      </x:c>
      <x:c r="G3623" s="40" t="n">
        <x:v>13.4</x:v>
      </x:c>
      <x:c r="H3623" s="40" t="n">
        <x:f>F3623-E3623</x:f>
        <x:v>0.41828460693359304</x:v>
      </x:c>
      <x:c r="I3623" s="40" t="n">
        <x:f>ABS(H3623)</x:f>
        <x:v>0.41828460693359304</x:v>
      </x:c>
      <x:c r="J3623" s="40" t="n">
        <x:f>H3623^2</x:f>
        <x:v>0.17496201239759043</x:v>
      </x:c>
      <x:c r="K3623" s="40" t="n">
        <x:f>G3623-E3623</x:f>
        <x:v>0.09999999999999964</x:v>
      </x:c>
      <x:c r="L3623" s="40" t="n">
        <x:f>ABS(K3623)</x:f>
        <x:v>0.09999999999999964</x:v>
      </x:c>
      <x:c r="M3623" s="41" t="str">
        <x:v>lstm-soil-v1</x:v>
      </x:c>
    </x:row>
    <x:row r="3624">
      <x:c r="A3624" s="38" t="str">
        <x:v>7月30日现场数据</x:v>
      </x:c>
      <x:c r="B3624" s="39" t="str">
        <x:v>2026-08-03T17:00:00</x:v>
      </x:c>
      <x:c r="C3624" s="39" t="str">
        <x:v>2026-08-03T17:05:00</x:v>
      </x:c>
      <x:c r="D3624" s="47" t="n">
        <x:v>5</x:v>
      </x:c>
      <x:c r="E3624" s="40" t="n">
        <x:v>13.3</x:v>
      </x:c>
      <x:c r="F3624" s="40" t="n">
        <x:v>11.523944854736328</x:v>
      </x:c>
      <x:c r="G3624" s="40" t="n">
        <x:v>13.4</x:v>
      </x:c>
      <x:c r="H3624" s="40" t="n">
        <x:f>F3624-E3624</x:f>
        <x:v>-1.7760551452636726</x:v>
      </x:c>
      <x:c r="I3624" s="40" t="n">
        <x:f>ABS(H3624)</x:f>
        <x:v>1.7760551452636726</x:v>
      </x:c>
      <x:c r="J3624" s="40" t="n">
        <x:f>H3624^2</x:f>
        <x:v>3.154371879017565</x:v>
      </x:c>
      <x:c r="K3624" s="40" t="n">
        <x:f>G3624-E3624</x:f>
        <x:v>0.09999999999999964</x:v>
      </x:c>
      <x:c r="L3624" s="40" t="n">
        <x:f>ABS(K3624)</x:f>
        <x:v>0.09999999999999964</x:v>
      </x:c>
      <x:c r="M3624" s="41" t="str">
        <x:v>lstm-soil-v1</x:v>
      </x:c>
    </x:row>
    <x:row r="3625">
      <x:c r="A3625" s="38" t="str">
        <x:v>7月30日现场数据</x:v>
      </x:c>
      <x:c r="B3625" s="39" t="str">
        <x:v>2026-08-03T17:00:00</x:v>
      </x:c>
      <x:c r="C3625" s="39" t="str">
        <x:v>2026-08-03T17:15:00</x:v>
      </x:c>
      <x:c r="D3625" s="47" t="n">
        <x:v>15</x:v>
      </x:c>
      <x:c r="E3625" s="40" t="n">
        <x:v>13.4</x:v>
      </x:c>
      <x:c r="F3625" s="40" t="n">
        <x:v>11.597557067871094</x:v>
      </x:c>
      <x:c r="G3625" s="40" t="n">
        <x:v>13.4</x:v>
      </x:c>
      <x:c r="H3625" s="40" t="n">
        <x:f>F3625-E3625</x:f>
        <x:v>-1.8024429321289066</x:v>
      </x:c>
      <x:c r="I3625" s="40" t="n">
        <x:f>ABS(H3625)</x:f>
        <x:v>1.8024429321289066</x:v>
      </x:c>
      <x:c r="J3625" s="40" t="n">
        <x:f>H3625^2</x:f>
        <x:v>3.2488005235814503</x:v>
      </x:c>
      <x:c r="K3625" s="40" t="n">
        <x:f>G3625-E3625</x:f>
        <x:v>0</x:v>
      </x:c>
      <x:c r="L3625" s="40" t="n">
        <x:f>ABS(K3625)</x:f>
        <x:v>0</x:v>
      </x:c>
      <x:c r="M3625" s="41" t="str">
        <x:v>lstm-soil-v1</x:v>
      </x:c>
    </x:row>
    <x:row r="3626">
      <x:c r="A3626" s="38" t="str">
        <x:v>7月30日现场数据</x:v>
      </x:c>
      <x:c r="B3626" s="39" t="str">
        <x:v>2026-08-03T17:00:00</x:v>
      </x:c>
      <x:c r="C3626" s="39" t="str">
        <x:v>2026-08-03T17:30:00</x:v>
      </x:c>
      <x:c r="D3626" s="47" t="n">
        <x:v>30</x:v>
      </x:c>
      <x:c r="E3626" s="40" t="n">
        <x:v>13.3</x:v>
      </x:c>
      <x:c r="F3626" s="40" t="n">
        <x:v>12.009967803955078</x:v>
      </x:c>
      <x:c r="G3626" s="40" t="n">
        <x:v>13.4</x:v>
      </x:c>
      <x:c r="H3626" s="40" t="n">
        <x:f>F3626-E3626</x:f>
        <x:v>-1.2900321960449226</x:v>
      </x:c>
      <x:c r="I3626" s="40" t="n">
        <x:f>ABS(H3626)</x:f>
        <x:v>1.2900321960449226</x:v>
      </x:c>
      <x:c r="J3626" s="40" t="n">
        <x:f>H3626^2</x:f>
        <x:v>1.6641830668324855</x:v>
      </x:c>
      <x:c r="K3626" s="40" t="n">
        <x:f>G3626-E3626</x:f>
        <x:v>0.09999999999999964</x:v>
      </x:c>
      <x:c r="L3626" s="40" t="n">
        <x:f>ABS(K3626)</x:f>
        <x:v>0.09999999999999964</x:v>
      </x:c>
      <x:c r="M3626" s="41" t="str">
        <x:v>lstm-soil-v1</x:v>
      </x:c>
    </x:row>
    <x:row r="3627">
      <x:c r="A3627" s="38" t="str">
        <x:v>7月30日现场数据</x:v>
      </x:c>
      <x:c r="B3627" s="39" t="str">
        <x:v>2026-08-03T17:00:00</x:v>
      </x:c>
      <x:c r="C3627" s="39" t="str">
        <x:v>2026-08-03T18:00:00</x:v>
      </x:c>
      <x:c r="D3627" s="47" t="n">
        <x:v>60</x:v>
      </x:c>
      <x:c r="E3627" s="40" t="n">
        <x:v>13.3</x:v>
      </x:c>
      <x:c r="F3627" s="40" t="n">
        <x:v>13.71429443359375</x:v>
      </x:c>
      <x:c r="G3627" s="40" t="n">
        <x:v>13.4</x:v>
      </x:c>
      <x:c r="H3627" s="40" t="n">
        <x:f>F3627-E3627</x:f>
        <x:v>0.4142944335937493</x:v>
      </x:c>
      <x:c r="I3627" s="40" t="n">
        <x:f>ABS(H3627)</x:f>
        <x:v>0.4142944335937493</x:v>
      </x:c>
      <x:c r="J3627" s="40" t="n">
        <x:f>H3627^2</x:f>
        <x:v>0.17163987770676553</x:v>
      </x:c>
      <x:c r="K3627" s="40" t="n">
        <x:f>G3627-E3627</x:f>
        <x:v>0.09999999999999964</x:v>
      </x:c>
      <x:c r="L3627" s="40" t="n">
        <x:f>ABS(K3627)</x:f>
        <x:v>0.09999999999999964</x:v>
      </x:c>
      <x:c r="M3627" s="41" t="str">
        <x:v>lstm-soil-v1</x:v>
      </x:c>
    </x:row>
    <x:row r="3628">
      <x:c r="A3628" s="38" t="str">
        <x:v>7月30日现场数据</x:v>
      </x:c>
      <x:c r="B3628" s="39" t="str">
        <x:v>2026-08-03T17:05:00</x:v>
      </x:c>
      <x:c r="C3628" s="39" t="str">
        <x:v>2026-08-03T17:10:00</x:v>
      </x:c>
      <x:c r="D3628" s="47" t="n">
        <x:v>5</x:v>
      </x:c>
      <x:c r="E3628" s="40" t="n">
        <x:v>13.4</x:v>
      </x:c>
      <x:c r="F3628" s="40" t="n">
        <x:v>11.413105010986328</x:v>
      </x:c>
      <x:c r="G3628" s="40" t="n">
        <x:v>13.3</x:v>
      </x:c>
      <x:c r="H3628" s="40" t="n">
        <x:f>F3628-E3628</x:f>
        <x:v>-1.9868949890136722</x:v>
      </x:c>
      <x:c r="I3628" s="40" t="n">
        <x:f>ABS(H3628)</x:f>
        <x:v>1.9868949890136722</x:v>
      </x:c>
      <x:c r="J3628" s="40" t="n">
        <x:f>H3628^2</x:f>
        <x:v>3.9477516973676408</x:v>
      </x:c>
      <x:c r="K3628" s="40" t="n">
        <x:f>G3628-E3628</x:f>
        <x:v>-0.09999999999999964</x:v>
      </x:c>
      <x:c r="L3628" s="40" t="n">
        <x:f>ABS(K3628)</x:f>
        <x:v>0.09999999999999964</x:v>
      </x:c>
      <x:c r="M3628" s="41" t="str">
        <x:v>lstm-soil-v1</x:v>
      </x:c>
    </x:row>
    <x:row r="3629">
      <x:c r="A3629" s="38" t="str">
        <x:v>7月30日现场数据</x:v>
      </x:c>
      <x:c r="B3629" s="39" t="str">
        <x:v>2026-08-03T17:05:00</x:v>
      </x:c>
      <x:c r="C3629" s="39" t="str">
        <x:v>2026-08-03T17:20:00</x:v>
      </x:c>
      <x:c r="D3629" s="47" t="n">
        <x:v>15</x:v>
      </x:c>
      <x:c r="E3629" s="40" t="n">
        <x:v>13.3</x:v>
      </x:c>
      <x:c r="F3629" s="40" t="n">
        <x:v>11.486480712890625</x:v>
      </x:c>
      <x:c r="G3629" s="40" t="n">
        <x:v>13.3</x:v>
      </x:c>
      <x:c r="H3629" s="40" t="n">
        <x:f>F3629-E3629</x:f>
        <x:v>-1.8135192871093757</x:v>
      </x:c>
      <x:c r="I3629" s="40" t="n">
        <x:f>ABS(H3629)</x:f>
        <x:v>1.8135192871093757</x:v>
      </x:c>
      <x:c r="J3629" s="40" t="n">
        <x:f>H3629^2</x:f>
        <x:v>3.2888522047176982</x:v>
      </x:c>
      <x:c r="K3629" s="40" t="n">
        <x:f>G3629-E3629</x:f>
        <x:v>0</x:v>
      </x:c>
      <x:c r="L3629" s="40" t="n">
        <x:f>ABS(K3629)</x:f>
        <x:v>0</x:v>
      </x:c>
      <x:c r="M3629" s="41" t="str">
        <x:v>lstm-soil-v1</x:v>
      </x:c>
    </x:row>
    <x:row r="3630">
      <x:c r="A3630" s="38" t="str">
        <x:v>7月30日现场数据</x:v>
      </x:c>
      <x:c r="B3630" s="39" t="str">
        <x:v>2026-08-03T17:05:00</x:v>
      </x:c>
      <x:c r="C3630" s="39" t="str">
        <x:v>2026-08-03T17:35:00</x:v>
      </x:c>
      <x:c r="D3630" s="47" t="n">
        <x:v>30</x:v>
      </x:c>
      <x:c r="E3630" s="40" t="n">
        <x:v>13.3</x:v>
      </x:c>
      <x:c r="F3630" s="40" t="n">
        <x:v>11.897785186767578</x:v>
      </x:c>
      <x:c r="G3630" s="40" t="n">
        <x:v>13.3</x:v>
      </x:c>
      <x:c r="H3630" s="40" t="n">
        <x:f>F3630-E3630</x:f>
        <x:v>-1.4022148132324226</x:v>
      </x:c>
      <x:c r="I3630" s="40" t="n">
        <x:f>ABS(H3630)</x:f>
        <x:v>1.4022148132324226</x:v>
      </x:c>
      <x:c r="J3630" s="40" t="n">
        <x:f>H3630^2</x:f>
        <x:v>1.9662063824484377</x:v>
      </x:c>
      <x:c r="K3630" s="40" t="n">
        <x:f>G3630-E3630</x:f>
        <x:v>0</x:v>
      </x:c>
      <x:c r="L3630" s="40" t="n">
        <x:f>ABS(K3630)</x:f>
        <x:v>0</x:v>
      </x:c>
      <x:c r="M3630" s="41" t="str">
        <x:v>lstm-soil-v1</x:v>
      </x:c>
    </x:row>
    <x:row r="3631">
      <x:c r="A3631" s="38" t="str">
        <x:v>7月30日现场数据</x:v>
      </x:c>
      <x:c r="B3631" s="39" t="str">
        <x:v>2026-08-03T17:05:00</x:v>
      </x:c>
      <x:c r="C3631" s="39" t="str">
        <x:v>2026-08-03T18:05:00</x:v>
      </x:c>
      <x:c r="D3631" s="47" t="n">
        <x:v>60</x:v>
      </x:c>
      <x:c r="E3631" s="40" t="n">
        <x:v>13.2</x:v>
      </x:c>
      <x:c r="F3631" s="40" t="n">
        <x:v>13.601062774658203</x:v>
      </x:c>
      <x:c r="G3631" s="40" t="n">
        <x:v>13.3</x:v>
      </x:c>
      <x:c r="H3631" s="40" t="n">
        <x:f>F3631-E3631</x:f>
        <x:v>0.40106277465820384</x:v>
      </x:c>
      <x:c r="I3631" s="40" t="n">
        <x:f>ABS(H3631)</x:f>
        <x:v>0.40106277465820384</x:v>
      </x:c>
      <x:c r="J3631" s="40" t="n">
        <x:f>H3631^2</x:f>
        <x:v>0.16085134921653718</x:v>
      </x:c>
      <x:c r="K3631" s="40" t="n">
        <x:f>G3631-E3631</x:f>
        <x:v>0.10000000000000142</x:v>
      </x:c>
      <x:c r="L3631" s="40" t="n">
        <x:f>ABS(K3631)</x:f>
        <x:v>0.10000000000000142</x:v>
      </x:c>
      <x:c r="M3631" s="41" t="str">
        <x:v>lstm-soil-v1</x:v>
      </x:c>
    </x:row>
    <x:row r="3632">
      <x:c r="A3632" s="38" t="str">
        <x:v>7月30日现场数据</x:v>
      </x:c>
      <x:c r="B3632" s="39" t="str">
        <x:v>2026-08-03T17:10:00</x:v>
      </x:c>
      <x:c r="C3632" s="39" t="str">
        <x:v>2026-08-03T17:15:00</x:v>
      </x:c>
      <x:c r="D3632" s="47" t="n">
        <x:v>5</x:v>
      </x:c>
      <x:c r="E3632" s="40" t="n">
        <x:v>13.4</x:v>
      </x:c>
      <x:c r="F3632" s="40" t="n">
        <x:v>11.522125244140625</x:v>
      </x:c>
      <x:c r="G3632" s="40" t="n">
        <x:v>13.4</x:v>
      </x:c>
      <x:c r="H3632" s="40" t="n">
        <x:f>F3632-E3632</x:f>
        <x:v>-1.8778747558593754</x:v>
      </x:c>
      <x:c r="I3632" s="40" t="n">
        <x:f>ABS(H3632)</x:f>
        <x:v>1.8778747558593754</x:v>
      </x:c>
      <x:c r="J3632" s="40" t="n">
        <x:f>H3632^2</x:f>
        <x:v>3.5264135986939085</x:v>
      </x:c>
      <x:c r="K3632" s="40" t="n">
        <x:f>G3632-E3632</x:f>
        <x:v>0</x:v>
      </x:c>
      <x:c r="L3632" s="40" t="n">
        <x:f>ABS(K3632)</x:f>
        <x:v>0</x:v>
      </x:c>
      <x:c r="M3632" s="41" t="str">
        <x:v>lstm-soil-v1</x:v>
      </x:c>
    </x:row>
    <x:row r="3633">
      <x:c r="A3633" s="38" t="str">
        <x:v>7月30日现场数据</x:v>
      </x:c>
      <x:c r="B3633" s="39" t="str">
        <x:v>2026-08-03T17:10:00</x:v>
      </x:c>
      <x:c r="C3633" s="39" t="str">
        <x:v>2026-08-03T17:25:00</x:v>
      </x:c>
      <x:c r="D3633" s="47" t="n">
        <x:v>15</x:v>
      </x:c>
      <x:c r="E3633" s="40" t="n">
        <x:v>13.3</x:v>
      </x:c>
      <x:c r="F3633" s="40" t="n">
        <x:v>11.595314025878906</x:v>
      </x:c>
      <x:c r="G3633" s="40" t="n">
        <x:v>13.4</x:v>
      </x:c>
      <x:c r="H3633" s="40" t="n">
        <x:f>F3633-E3633</x:f>
        <x:v>-1.7046859741210945</x:v>
      </x:c>
      <x:c r="I3633" s="40" t="n">
        <x:f>ABS(H3633)</x:f>
        <x:v>1.7046859741210945</x:v>
      </x:c>
      <x:c r="J3633" s="40" t="n">
        <x:f>H3633^2</x:f>
        <x:v>2.905954270365185</x:v>
      </x:c>
      <x:c r="K3633" s="40" t="n">
        <x:f>G3633-E3633</x:f>
        <x:v>0.09999999999999964</x:v>
      </x:c>
      <x:c r="L3633" s="40" t="n">
        <x:f>ABS(K3633)</x:f>
        <x:v>0.09999999999999964</x:v>
      </x:c>
      <x:c r="M3633" s="41" t="str">
        <x:v>lstm-soil-v1</x:v>
      </x:c>
    </x:row>
    <x:row r="3634">
      <x:c r="A3634" s="38" t="str">
        <x:v>7月30日现场数据</x:v>
      </x:c>
      <x:c r="B3634" s="39" t="str">
        <x:v>2026-08-03T17:10:00</x:v>
      </x:c>
      <x:c r="C3634" s="39" t="str">
        <x:v>2026-08-03T17:40:00</x:v>
      </x:c>
      <x:c r="D3634" s="47" t="n">
        <x:v>30</x:v>
      </x:c>
      <x:c r="E3634" s="40" t="n">
        <x:v>13.3</x:v>
      </x:c>
      <x:c r="F3634" s="40" t="n">
        <x:v>12.005477905273438</x:v>
      </x:c>
      <x:c r="G3634" s="40" t="n">
        <x:v>13.4</x:v>
      </x:c>
      <x:c r="H3634" s="40" t="n">
        <x:f>F3634-E3634</x:f>
        <x:v>-1.2945220947265632</x:v>
      </x:c>
      <x:c r="I3634" s="40" t="n">
        <x:f>ABS(H3634)</x:f>
        <x:v>1.2945220947265632</x:v>
      </x:c>
      <x:c r="J3634" s="40" t="n">
        <x:f>H3634^2</x:f>
        <x:v>1.675787453735249</x:v>
      </x:c>
      <x:c r="K3634" s="40" t="n">
        <x:f>G3634-E3634</x:f>
        <x:v>0.09999999999999964</x:v>
      </x:c>
      <x:c r="L3634" s="40" t="n">
        <x:f>ABS(K3634)</x:f>
        <x:v>0.09999999999999964</x:v>
      </x:c>
      <x:c r="M3634" s="41" t="str">
        <x:v>lstm-soil-v1</x:v>
      </x:c>
    </x:row>
    <x:row r="3635">
      <x:c r="A3635" s="38" t="str">
        <x:v>7月30日现场数据</x:v>
      </x:c>
      <x:c r="B3635" s="39" t="str">
        <x:v>2026-08-03T17:10:00</x:v>
      </x:c>
      <x:c r="C3635" s="39" t="str">
        <x:v>2026-08-03T18:10:00</x:v>
      </x:c>
      <x:c r="D3635" s="47" t="n">
        <x:v>60</x:v>
      </x:c>
      <x:c r="E3635" s="40" t="n">
        <x:v>13.2</x:v>
      </x:c>
      <x:c r="F3635" s="40" t="n">
        <x:v>13.708370208740234</x:v>
      </x:c>
      <x:c r="G3635" s="40" t="n">
        <x:v>13.4</x:v>
      </x:c>
      <x:c r="H3635" s="40" t="n">
        <x:f>F3635-E3635</x:f>
        <x:v>0.5083702087402351</x:v>
      </x:c>
      <x:c r="I3635" s="40" t="n">
        <x:f>ABS(H3635)</x:f>
        <x:v>0.5083702087402351</x:v>
      </x:c>
      <x:c r="J3635" s="40" t="n">
        <x:f>H3635^2</x:f>
        <x:v>0.2584402691345902</x:v>
      </x:c>
      <x:c r="K3635" s="40" t="n">
        <x:f>G3635-E3635</x:f>
        <x:v>0.20000000000000107</x:v>
      </x:c>
      <x:c r="L3635" s="40" t="n">
        <x:f>ABS(K3635)</x:f>
        <x:v>0.20000000000000107</x:v>
      </x:c>
      <x:c r="M3635" s="41" t="str">
        <x:v>lstm-soil-v1</x:v>
      </x:c>
    </x:row>
    <x:row r="3636">
      <x:c r="A3636" s="38" t="str">
        <x:v>7月30日现场数据</x:v>
      </x:c>
      <x:c r="B3636" s="39" t="str">
        <x:v>2026-08-03T17:15:00</x:v>
      </x:c>
      <x:c r="C3636" s="39" t="str">
        <x:v>2026-08-03T17:20:00</x:v>
      </x:c>
      <x:c r="D3636" s="47" t="n">
        <x:v>5</x:v>
      </x:c>
      <x:c r="E3636" s="40" t="n">
        <x:v>13.3</x:v>
      </x:c>
      <x:c r="F3636" s="40" t="n">
        <x:v>11.520713806152344</x:v>
      </x:c>
      <x:c r="G3636" s="40" t="n">
        <x:v>13.4</x:v>
      </x:c>
      <x:c r="H3636" s="40" t="n">
        <x:f>F3636-E3636</x:f>
        <x:v>-1.779286193847657</x:v>
      </x:c>
      <x:c r="I3636" s="40" t="n">
        <x:f>ABS(H3636)</x:f>
        <x:v>1.779286193847657</x:v>
      </x:c>
      <x:c r="J3636" s="40" t="n">
        <x:f>H3636^2</x:f>
        <x:v>3.165859359616882</x:v>
      </x:c>
      <x:c r="K3636" s="40" t="n">
        <x:f>G3636-E3636</x:f>
        <x:v>0.09999999999999964</x:v>
      </x:c>
      <x:c r="L3636" s="40" t="n">
        <x:f>ABS(K3636)</x:f>
        <x:v>0.09999999999999964</x:v>
      </x:c>
      <x:c r="M3636" s="41" t="str">
        <x:v>lstm-soil-v1</x:v>
      </x:c>
    </x:row>
    <x:row r="3637">
      <x:c r="A3637" s="38" t="str">
        <x:v>7月30日现场数据</x:v>
      </x:c>
      <x:c r="B3637" s="39" t="str">
        <x:v>2026-08-03T17:15:00</x:v>
      </x:c>
      <x:c r="C3637" s="39" t="str">
        <x:v>2026-08-03T17:30:00</x:v>
      </x:c>
      <x:c r="D3637" s="47" t="n">
        <x:v>15</x:v>
      </x:c>
      <x:c r="E3637" s="40" t="n">
        <x:v>13.3</x:v>
      </x:c>
      <x:c r="F3637" s="40" t="n">
        <x:v>11.593982696533203</x:v>
      </x:c>
      <x:c r="G3637" s="40" t="n">
        <x:v>13.4</x:v>
      </x:c>
      <x:c r="H3637" s="40" t="n">
        <x:f>F3637-E3637</x:f>
        <x:v>-1.7060173034667976</x:v>
      </x:c>
      <x:c r="I3637" s="40" t="n">
        <x:f>ABS(H3637)</x:f>
        <x:v>1.7060173034667976</x:v>
      </x:c>
      <x:c r="J3637" s="40" t="n">
        <x:f>H3637^2</x:f>
        <x:v>2.9104950397281235</x:v>
      </x:c>
      <x:c r="K3637" s="40" t="n">
        <x:f>G3637-E3637</x:f>
        <x:v>0.09999999999999964</x:v>
      </x:c>
      <x:c r="L3637" s="40" t="n">
        <x:f>ABS(K3637)</x:f>
        <x:v>0.09999999999999964</x:v>
      </x:c>
      <x:c r="M3637" s="41" t="str">
        <x:v>lstm-soil-v1</x:v>
      </x:c>
    </x:row>
    <x:row r="3638">
      <x:c r="A3638" s="38" t="str">
        <x:v>7月30日现场数据</x:v>
      </x:c>
      <x:c r="B3638" s="39" t="str">
        <x:v>2026-08-03T17:15:00</x:v>
      </x:c>
      <x:c r="C3638" s="39" t="str">
        <x:v>2026-08-03T17:45:00</x:v>
      </x:c>
      <x:c r="D3638" s="47" t="n">
        <x:v>30</x:v>
      </x:c>
      <x:c r="E3638" s="40" t="n">
        <x:v>13.3</x:v>
      </x:c>
      <x:c r="F3638" s="40" t="n">
        <x:v>12.002906799316406</x:v>
      </x:c>
      <x:c r="G3638" s="40" t="n">
        <x:v>13.4</x:v>
      </x:c>
      <x:c r="H3638" s="40" t="n">
        <x:f>F3638-E3638</x:f>
        <x:v>-1.2970932006835945</x:v>
      </x:c>
      <x:c r="I3638" s="40" t="n">
        <x:f>ABS(H3638)</x:f>
        <x:v>1.2970932006835945</x:v>
      </x:c>
      <x:c r="J3638" s="40" t="n">
        <x:f>H3638^2</x:f>
        <x:v>1.6824507712596115</x:v>
      </x:c>
      <x:c r="K3638" s="40" t="n">
        <x:f>G3638-E3638</x:f>
        <x:v>0.09999999999999964</x:v>
      </x:c>
      <x:c r="L3638" s="40" t="n">
        <x:f>ABS(K3638)</x:f>
        <x:v>0.09999999999999964</x:v>
      </x:c>
      <x:c r="M3638" s="41" t="str">
        <x:v>lstm-soil-v1</x:v>
      </x:c>
    </x:row>
    <x:row r="3639">
      <x:c r="A3639" s="38" t="str">
        <x:v>7月30日现场数据</x:v>
      </x:c>
      <x:c r="B3639" s="39" t="str">
        <x:v>2026-08-03T17:15:00</x:v>
      </x:c>
      <x:c r="C3639" s="39" t="str">
        <x:v>2026-08-03T18:15:00</x:v>
      </x:c>
      <x:c r="D3639" s="47" t="n">
        <x:v>60</x:v>
      </x:c>
      <x:c r="E3639" s="40" t="n">
        <x:v>13.2</x:v>
      </x:c>
      <x:c r="F3639" s="40" t="n">
        <x:v>13.705707550048828</x:v>
      </x:c>
      <x:c r="G3639" s="40" t="n">
        <x:v>13.4</x:v>
      </x:c>
      <x:c r="H3639" s="40" t="n">
        <x:f>F3639-E3639</x:f>
        <x:v>0.5057075500488288</x:v>
      </x:c>
      <x:c r="I3639" s="40" t="n">
        <x:f>ABS(H3639)</x:f>
        <x:v>0.5057075500488288</x:v>
      </x:c>
      <x:c r="J3639" s="40" t="n">
        <x:f>H3639^2</x:f>
        <x:v>0.25574012617638875</x:v>
      </x:c>
      <x:c r="K3639" s="40" t="n">
        <x:f>G3639-E3639</x:f>
        <x:v>0.20000000000000107</x:v>
      </x:c>
      <x:c r="L3639" s="40" t="n">
        <x:f>ABS(K3639)</x:f>
        <x:v>0.20000000000000107</x:v>
      </x:c>
      <x:c r="M3639" s="41" t="str">
        <x:v>lstm-soil-v1</x:v>
      </x:c>
    </x:row>
    <x:row r="3640">
      <x:c r="A3640" s="38" t="str">
        <x:v>7月30日现场数据</x:v>
      </x:c>
      <x:c r="B3640" s="39" t="str">
        <x:v>2026-08-03T17:20:00</x:v>
      </x:c>
      <x:c r="C3640" s="39" t="str">
        <x:v>2026-08-03T17:25:00</x:v>
      </x:c>
      <x:c r="D3640" s="47" t="n">
        <x:v>5</x:v>
      </x:c>
      <x:c r="E3640" s="40" t="n">
        <x:v>13.3</x:v>
      </x:c>
      <x:c r="F3640" s="40" t="n">
        <x:v>11.408950805664062</x:v>
      </x:c>
      <x:c r="G3640" s="40" t="n">
        <x:v>13.3</x:v>
      </x:c>
      <x:c r="H3640" s="40" t="n">
        <x:f>F3640-E3640</x:f>
        <x:v>-1.8910491943359382</x:v>
      </x:c>
      <x:c r="I3640" s="40" t="n">
        <x:f>ABS(H3640)</x:f>
        <x:v>1.8910491943359382</x:v>
      </x:c>
      <x:c r="J3640" s="40" t="n">
        <x:f>H3640^2</x:f>
        <x:v>3.576067055398601</x:v>
      </x:c>
      <x:c r="K3640" s="40" t="n">
        <x:f>G3640-E3640</x:f>
        <x:v>0</x:v>
      </x:c>
      <x:c r="L3640" s="40" t="n">
        <x:f>ABS(K3640)</x:f>
        <x:v>0</x:v>
      </x:c>
      <x:c r="M3640" s="41" t="str">
        <x:v>lstm-soil-v1</x:v>
      </x:c>
    </x:row>
    <x:row r="3641">
      <x:c r="A3641" s="38" t="str">
        <x:v>7月30日现场数据</x:v>
      </x:c>
      <x:c r="B3641" s="39" t="str">
        <x:v>2026-08-03T17:20:00</x:v>
      </x:c>
      <x:c r="C3641" s="39" t="str">
        <x:v>2026-08-03T17:35:00</x:v>
      </x:c>
      <x:c r="D3641" s="47" t="n">
        <x:v>15</x:v>
      </x:c>
      <x:c r="E3641" s="40" t="n">
        <x:v>13.3</x:v>
      </x:c>
      <x:c r="F3641" s="40" t="n">
        <x:v>11.482505798339844</x:v>
      </x:c>
      <x:c r="G3641" s="40" t="n">
        <x:v>13.3</x:v>
      </x:c>
      <x:c r="H3641" s="40" t="n">
        <x:f>F3641-E3641</x:f>
        <x:v>-1.817494201660157</x:v>
      </x:c>
      <x:c r="I3641" s="40" t="n">
        <x:f>ABS(H3641)</x:f>
        <x:v>1.817494201660157</x:v>
      </x:c>
      <x:c r="J3641" s="40" t="n">
        <x:f>H3641^2</x:f>
        <x:v>3.3032851730682915</x:v>
      </x:c>
      <x:c r="K3641" s="40" t="n">
        <x:f>G3641-E3641</x:f>
        <x:v>0</x:v>
      </x:c>
      <x:c r="L3641" s="40" t="n">
        <x:f>ABS(K3641)</x:f>
        <x:v>0</x:v>
      </x:c>
      <x:c r="M3641" s="41" t="str">
        <x:v>lstm-soil-v1</x:v>
      </x:c>
    </x:row>
    <x:row r="3642">
      <x:c r="A3642" s="38" t="str">
        <x:v>7月30日现场数据</x:v>
      </x:c>
      <x:c r="B3642" s="39" t="str">
        <x:v>2026-08-03T17:20:00</x:v>
      </x:c>
      <x:c r="C3642" s="39" t="str">
        <x:v>2026-08-03T17:50:00</x:v>
      </x:c>
      <x:c r="D3642" s="47" t="n">
        <x:v>30</x:v>
      </x:c>
      <x:c r="E3642" s="40" t="n">
        <x:v>13.3</x:v>
      </x:c>
      <x:c r="F3642" s="40" t="n">
        <x:v>11.890266418457031</x:v>
      </x:c>
      <x:c r="G3642" s="40" t="n">
        <x:v>13.3</x:v>
      </x:c>
      <x:c r="H3642" s="40" t="n">
        <x:f>F3642-E3642</x:f>
        <x:v>-1.4097335815429695</x:v>
      </x:c>
      <x:c r="I3642" s="40" t="n">
        <x:f>ABS(H3642)</x:f>
        <x:v>1.4097335815429695</x:v>
      </x:c>
      <x:c r="J3642" s="40" t="n">
        <x:f>H3642^2</x:f>
        <x:v>1.9873487709299682</x:v>
      </x:c>
      <x:c r="K3642" s="40" t="n">
        <x:f>G3642-E3642</x:f>
        <x:v>0</x:v>
      </x:c>
      <x:c r="L3642" s="40" t="n">
        <x:f>ABS(K3642)</x:f>
        <x:v>0</x:v>
      </x:c>
      <x:c r="M3642" s="41" t="str">
        <x:v>lstm-soil-v1</x:v>
      </x:c>
    </x:row>
    <x:row r="3643">
      <x:c r="A3643" s="38" t="str">
        <x:v>7月30日现场数据</x:v>
      </x:c>
      <x:c r="B3643" s="39" t="str">
        <x:v>2026-08-03T17:20:00</x:v>
      </x:c>
      <x:c r="C3643" s="39" t="str">
        <x:v>2026-08-03T18:20:00</x:v>
      </x:c>
      <x:c r="D3643" s="47" t="n">
        <x:v>60</x:v>
      </x:c>
      <x:c r="E3643" s="40" t="n">
        <x:v>13.2</x:v>
      </x:c>
      <x:c r="F3643" s="40" t="n">
        <x:v>13.592975616455078</x:v>
      </x:c>
      <x:c r="G3643" s="40" t="n">
        <x:v>13.3</x:v>
      </x:c>
      <x:c r="H3643" s="40" t="n">
        <x:f>F3643-E3643</x:f>
        <x:v>0.39297561645507884</x:v>
      </x:c>
      <x:c r="I3643" s="40" t="n">
        <x:f>ABS(H3643)</x:f>
        <x:v>0.39297561645507884</x:v>
      </x:c>
      <x:c r="J3643" s="40" t="n">
        <x:f>H3643^2</x:f>
        <x:v>0.15442983512824923</x:v>
      </x:c>
      <x:c r="K3643" s="40" t="n">
        <x:f>G3643-E3643</x:f>
        <x:v>0.10000000000000142</x:v>
      </x:c>
      <x:c r="L3643" s="40" t="n">
        <x:f>ABS(K3643)</x:f>
        <x:v>0.10000000000000142</x:v>
      </x:c>
      <x:c r="M3643" s="41" t="str">
        <x:v>lstm-soil-v1</x:v>
      </x:c>
    </x:row>
    <x:row r="3644">
      <x:c r="A3644" s="38" t="str">
        <x:v>7月30日现场数据</x:v>
      </x:c>
      <x:c r="B3644" s="39" t="str">
        <x:v>2026-08-03T17:25:00</x:v>
      </x:c>
      <x:c r="C3644" s="39" t="str">
        <x:v>2026-08-03T17:30:00</x:v>
      </x:c>
      <x:c r="D3644" s="47" t="n">
        <x:v>5</x:v>
      </x:c>
      <x:c r="E3644" s="40" t="n">
        <x:v>13.3</x:v>
      </x:c>
      <x:c r="F3644" s="40" t="n">
        <x:v>11.407794952392578</x:v>
      </x:c>
      <x:c r="G3644" s="40" t="n">
        <x:v>13.3</x:v>
      </x:c>
      <x:c r="H3644" s="40" t="n">
        <x:f>F3644-E3644</x:f>
        <x:v>-1.8922050476074226</x:v>
      </x:c>
      <x:c r="I3644" s="40" t="n">
        <x:f>ABS(H3644)</x:f>
        <x:v>1.8922050476074226</x:v>
      </x:c>
      <x:c r="J3644" s="40" t="n">
        <x:f>H3644^2</x:f>
        <x:v>3.5804399421910085</x:v>
      </x:c>
      <x:c r="K3644" s="40" t="n">
        <x:f>G3644-E3644</x:f>
        <x:v>0</x:v>
      </x:c>
      <x:c r="L3644" s="40" t="n">
        <x:f>ABS(K3644)</x:f>
        <x:v>0</x:v>
      </x:c>
      <x:c r="M3644" s="41" t="str">
        <x:v>lstm-soil-v1</x:v>
      </x:c>
    </x:row>
    <x:row r="3645">
      <x:c r="A3645" s="38" t="str">
        <x:v>7月30日现场数据</x:v>
      </x:c>
      <x:c r="B3645" s="39" t="str">
        <x:v>2026-08-03T17:25:00</x:v>
      </x:c>
      <x:c r="C3645" s="39" t="str">
        <x:v>2026-08-03T17:40:00</x:v>
      </x:c>
      <x:c r="D3645" s="47" t="n">
        <x:v>15</x:v>
      </x:c>
      <x:c r="E3645" s="40" t="n">
        <x:v>13.3</x:v>
      </x:c>
      <x:c r="F3645" s="40" t="n">
        <x:v>11.481487274169922</x:v>
      </x:c>
      <x:c r="G3645" s="40" t="n">
        <x:v>13.3</x:v>
      </x:c>
      <x:c r="H3645" s="40" t="n">
        <x:f>F3645-E3645</x:f>
        <x:v>-1.8185127258300788</x:v>
      </x:c>
      <x:c r="I3645" s="40" t="n">
        <x:f>ABS(H3645)</x:f>
        <x:v>1.8185127258300788</x:v>
      </x:c>
      <x:c r="J3645" s="40" t="n">
        <x:f>H3645^2</x:f>
        <x:v>3.3069885340059435</x:v>
      </x:c>
      <x:c r="K3645" s="40" t="n">
        <x:f>G3645-E3645</x:f>
        <x:v>0</x:v>
      </x:c>
      <x:c r="L3645" s="40" t="n">
        <x:f>ABS(K3645)</x:f>
        <x:v>0</x:v>
      </x:c>
      <x:c r="M3645" s="41" t="str">
        <x:v>lstm-soil-v1</x:v>
      </x:c>
    </x:row>
    <x:row r="3646">
      <x:c r="A3646" s="38" t="str">
        <x:v>7月30日现场数据</x:v>
      </x:c>
      <x:c r="B3646" s="39" t="str">
        <x:v>2026-08-03T17:25:00</x:v>
      </x:c>
      <x:c r="C3646" s="39" t="str">
        <x:v>2026-08-03T17:55:00</x:v>
      </x:c>
      <x:c r="D3646" s="47" t="n">
        <x:v>30</x:v>
      </x:c>
      <x:c r="E3646" s="40" t="n">
        <x:v>13.3</x:v>
      </x:c>
      <x:c r="F3646" s="40" t="n">
        <x:v>11.888740539550781</x:v>
      </x:c>
      <x:c r="G3646" s="40" t="n">
        <x:v>13.3</x:v>
      </x:c>
      <x:c r="H3646" s="40" t="n">
        <x:f>F3646-E3646</x:f>
        <x:v>-1.4112594604492195</x:v>
      </x:c>
      <x:c r="I3646" s="40" t="n">
        <x:f>ABS(H3646)</x:f>
        <x:v>1.4112594604492195</x:v>
      </x:c>
      <x:c r="J3646" s="40" t="n">
        <x:f>H3646^2</x:f>
        <x:v>1.991653264707422</x:v>
      </x:c>
      <x:c r="K3646" s="40" t="n">
        <x:f>G3646-E3646</x:f>
        <x:v>0</x:v>
      </x:c>
      <x:c r="L3646" s="40" t="n">
        <x:f>ABS(K3646)</x:f>
        <x:v>0</x:v>
      </x:c>
      <x:c r="M3646" s="41" t="str">
        <x:v>lstm-soil-v1</x:v>
      </x:c>
    </x:row>
    <x:row r="3647">
      <x:c r="A3647" s="38" t="str">
        <x:v>7月30日现场数据</x:v>
      </x:c>
      <x:c r="B3647" s="39" t="str">
        <x:v>2026-08-03T17:25:00</x:v>
      </x:c>
      <x:c r="C3647" s="39" t="str">
        <x:v>2026-08-03T18:25:00</x:v>
      </x:c>
      <x:c r="D3647" s="47" t="n">
        <x:v>60</x:v>
      </x:c>
      <x:c r="E3647" s="40" t="n">
        <x:v>13.2</x:v>
      </x:c>
      <x:c r="F3647" s="40" t="n">
        <x:v>13.591270446777344</x:v>
      </x:c>
      <x:c r="G3647" s="40" t="n">
        <x:v>13.3</x:v>
      </x:c>
      <x:c r="H3647" s="40" t="n">
        <x:f>F3647-E3647</x:f>
        <x:v>0.39127044677734446</x:v>
      </x:c>
      <x:c r="I3647" s="40" t="n">
        <x:f>ABS(H3647)</x:f>
        <x:v>0.39127044677734446</x:v>
      </x:c>
      <x:c r="J3647" s="40" t="n">
        <x:f>H3647^2</x:f>
        <x:v>0.15309256252134273</x:v>
      </x:c>
      <x:c r="K3647" s="40" t="n">
        <x:f>G3647-E3647</x:f>
        <x:v>0.10000000000000142</x:v>
      </x:c>
      <x:c r="L3647" s="40" t="n">
        <x:f>ABS(K3647)</x:f>
        <x:v>0.10000000000000142</x:v>
      </x:c>
      <x:c r="M3647" s="41" t="str">
        <x:v>lstm-soil-v1</x:v>
      </x:c>
    </x:row>
    <x:row r="3648">
      <x:c r="A3648" s="38" t="str">
        <x:v>7月30日现场数据</x:v>
      </x:c>
      <x:c r="B3648" s="39" t="str">
        <x:v>2026-08-03T17:30:00</x:v>
      </x:c>
      <x:c r="C3648" s="39" t="str">
        <x:v>2026-08-03T17:35:00</x:v>
      </x:c>
      <x:c r="D3648" s="47" t="n">
        <x:v>5</x:v>
      </x:c>
      <x:c r="E3648" s="40" t="n">
        <x:v>13.3</x:v>
      </x:c>
      <x:c r="F3648" s="40" t="n">
        <x:v>11.40658950805664</x:v>
      </x:c>
      <x:c r="G3648" s="40" t="n">
        <x:v>13.3</x:v>
      </x:c>
      <x:c r="H3648" s="40" t="n">
        <x:f>F3648-E3648</x:f>
        <x:v>-1.89341049194336</x:v>
      </x:c>
      <x:c r="I3648" s="40" t="n">
        <x:f>ABS(H3648)</x:f>
        <x:v>1.89341049194336</x:v>
      </x:c>
      <x:c r="J3648" s="40" t="n">
        <x:f>H3648^2</x:f>
        <x:v>3.585003291001197</x:v>
      </x:c>
      <x:c r="K3648" s="40" t="n">
        <x:f>G3648-E3648</x:f>
        <x:v>0</x:v>
      </x:c>
      <x:c r="L3648" s="40" t="n">
        <x:f>ABS(K3648)</x:f>
        <x:v>0</x:v>
      </x:c>
      <x:c r="M3648" s="41" t="str">
        <x:v>lstm-soil-v1</x:v>
      </x:c>
    </x:row>
    <x:row r="3649">
      <x:c r="A3649" s="38" t="str">
        <x:v>7月30日现场数据</x:v>
      </x:c>
      <x:c r="B3649" s="39" t="str">
        <x:v>2026-08-03T17:30:00</x:v>
      </x:c>
      <x:c r="C3649" s="39" t="str">
        <x:v>2026-08-03T17:45:00</x:v>
      </x:c>
      <x:c r="D3649" s="47" t="n">
        <x:v>15</x:v>
      </x:c>
      <x:c r="E3649" s="40" t="n">
        <x:v>13.3</x:v>
      </x:c>
      <x:c r="F3649" s="40" t="n">
        <x:v>11.480682373046875</x:v>
      </x:c>
      <x:c r="G3649" s="40" t="n">
        <x:v>13.3</x:v>
      </x:c>
      <x:c r="H3649" s="40" t="n">
        <x:f>F3649-E3649</x:f>
        <x:v>-1.8193176269531257</x:v>
      </x:c>
      <x:c r="I3649" s="40" t="n">
        <x:f>ABS(H3649)</x:f>
        <x:v>1.8193176269531257</x:v>
      </x:c>
      <x:c r="J3649" s="40" t="n">
        <x:f>H3649^2</x:f>
        <x:v>3.3099166277423526</x:v>
      </x:c>
      <x:c r="K3649" s="40" t="n">
        <x:f>G3649-E3649</x:f>
        <x:v>0</x:v>
      </x:c>
      <x:c r="L3649" s="40" t="n">
        <x:f>ABS(K3649)</x:f>
        <x:v>0</x:v>
      </x:c>
      <x:c r="M3649" s="41" t="str">
        <x:v>lstm-soil-v1</x:v>
      </x:c>
    </x:row>
    <x:row r="3650">
      <x:c r="A3650" s="38" t="str">
        <x:v>7月30日现场数据</x:v>
      </x:c>
      <x:c r="B3650" s="39" t="str">
        <x:v>2026-08-03T17:30:00</x:v>
      </x:c>
      <x:c r="C3650" s="39" t="str">
        <x:v>2026-08-03T18:00:00</x:v>
      </x:c>
      <x:c r="D3650" s="47" t="n">
        <x:v>30</x:v>
      </x:c>
      <x:c r="E3650" s="40" t="n">
        <x:v>13.3</x:v>
      </x:c>
      <x:c r="F3650" s="40" t="n">
        <x:v>11.887298583984375</x:v>
      </x:c>
      <x:c r="G3650" s="40" t="n">
        <x:v>13.3</x:v>
      </x:c>
      <x:c r="H3650" s="40" t="n">
        <x:f>F3650-E3650</x:f>
        <x:v>-1.4127014160156257</x:v>
      </x:c>
      <x:c r="I3650" s="40" t="n">
        <x:f>ABS(H3650)</x:f>
        <x:v>1.4127014160156257</x:v>
      </x:c>
      <x:c r="J3650" s="40" t="n">
        <x:f>H3650^2</x:f>
        <x:v>1.995725290812554</x:v>
      </x:c>
      <x:c r="K3650" s="40" t="n">
        <x:f>G3650-E3650</x:f>
        <x:v>0</x:v>
      </x:c>
      <x:c r="L3650" s="40" t="n">
        <x:f>ABS(K3650)</x:f>
        <x:v>0</x:v>
      </x:c>
      <x:c r="M3650" s="41" t="str">
        <x:v>lstm-soil-v1</x:v>
      </x:c>
    </x:row>
    <x:row r="3651">
      <x:c r="A3651" s="38" t="str">
        <x:v>7月30日现场数据</x:v>
      </x:c>
      <x:c r="B3651" s="39" t="str">
        <x:v>2026-08-03T17:30:00</x:v>
      </x:c>
      <x:c r="C3651" s="39" t="str">
        <x:v>2026-08-03T18:30:00</x:v>
      </x:c>
      <x:c r="D3651" s="47" t="n">
        <x:v>60</x:v>
      </x:c>
      <x:c r="E3651" s="40" t="n">
        <x:v>13.1</x:v>
      </x:c>
      <x:c r="F3651" s="40" t="n">
        <x:v>13.589664459228516</x:v>
      </x:c>
      <x:c r="G3651" s="40" t="n">
        <x:v>13.3</x:v>
      </x:c>
      <x:c r="H3651" s="40" t="n">
        <x:f>F3651-E3651</x:f>
        <x:v>0.489664459228516</x:v>
      </x:c>
      <x:c r="I3651" s="40" t="n">
        <x:f>ABS(H3651)</x:f>
        <x:v>0.489664459228516</x:v>
      </x:c>
      <x:c r="J3651" s="40" t="n">
        <x:f>H3651^2</x:f>
        <x:v>0.23977128263155498</x:v>
      </x:c>
      <x:c r="K3651" s="40" t="n">
        <x:f>G3651-E3651</x:f>
        <x:v>0.20000000000000107</x:v>
      </x:c>
      <x:c r="L3651" s="40" t="n">
        <x:f>ABS(K3651)</x:f>
        <x:v>0.20000000000000107</x:v>
      </x:c>
      <x:c r="M3651" s="41" t="str">
        <x:v>lstm-soil-v1</x:v>
      </x:c>
    </x:row>
    <x:row r="3652">
      <x:c r="A3652" s="38" t="str">
        <x:v>7月30日现场数据</x:v>
      </x:c>
      <x:c r="B3652" s="39" t="str">
        <x:v>2026-08-03T17:35:00</x:v>
      </x:c>
      <x:c r="C3652" s="39" t="str">
        <x:v>2026-08-03T17:40:00</x:v>
      </x:c>
      <x:c r="D3652" s="47" t="n">
        <x:v>5</x:v>
      </x:c>
      <x:c r="E3652" s="40" t="n">
        <x:v>13.3</x:v>
      </x:c>
      <x:c r="F3652" s="40" t="n">
        <x:v>11.405487060546875</x:v>
      </x:c>
      <x:c r="G3652" s="40" t="n">
        <x:v>13.3</x:v>
      </x:c>
      <x:c r="H3652" s="40" t="n">
        <x:f>F3652-E3652</x:f>
        <x:v>-1.8945129394531257</x:v>
      </x:c>
      <x:c r="I3652" s="40" t="n">
        <x:f>ABS(H3652)</x:f>
        <x:v>1.8945129394531257</x:v>
      </x:c>
      <x:c r="J3652" s="40" t="n">
        <x:f>H3652^2</x:f>
        <x:v>3.589179277755323</x:v>
      </x:c>
      <x:c r="K3652" s="40" t="n">
        <x:f>G3652-E3652</x:f>
        <x:v>0</x:v>
      </x:c>
      <x:c r="L3652" s="40" t="n">
        <x:f>ABS(K3652)</x:f>
        <x:v>0</x:v>
      </x:c>
      <x:c r="M3652" s="41" t="str">
        <x:v>lstm-soil-v1</x:v>
      </x:c>
    </x:row>
    <x:row r="3653">
      <x:c r="A3653" s="38" t="str">
        <x:v>7月30日现场数据</x:v>
      </x:c>
      <x:c r="B3653" s="39" t="str">
        <x:v>2026-08-03T17:35:00</x:v>
      </x:c>
      <x:c r="C3653" s="39" t="str">
        <x:v>2026-08-03T17:50:00</x:v>
      </x:c>
      <x:c r="D3653" s="47" t="n">
        <x:v>15</x:v>
      </x:c>
      <x:c r="E3653" s="40" t="n">
        <x:v>13.3</x:v>
      </x:c>
      <x:c r="F3653" s="40" t="n">
        <x:v>11.479930877685547</x:v>
      </x:c>
      <x:c r="G3653" s="40" t="n">
        <x:v>13.3</x:v>
      </x:c>
      <x:c r="H3653" s="40" t="n">
        <x:f>F3653-E3653</x:f>
        <x:v>-1.8200691223144538</x:v>
      </x:c>
      <x:c r="I3653" s="40" t="n">
        <x:f>ABS(H3653)</x:f>
        <x:v>1.8200691223144538</x:v>
      </x:c>
      <x:c r="J3653" s="40" t="n">
        <x:f>H3653^2</x:f>
        <x:v>3.3126516100025065</x:v>
      </x:c>
      <x:c r="K3653" s="40" t="n">
        <x:f>G3653-E3653</x:f>
        <x:v>0</x:v>
      </x:c>
      <x:c r="L3653" s="40" t="n">
        <x:f>ABS(K3653)</x:f>
        <x:v>0</x:v>
      </x:c>
      <x:c r="M3653" s="41" t="str">
        <x:v>lstm-soil-v1</x:v>
      </x:c>
    </x:row>
    <x:row r="3654">
      <x:c r="A3654" s="38" t="str">
        <x:v>7月30日现场数据</x:v>
      </x:c>
      <x:c r="B3654" s="39" t="str">
        <x:v>2026-08-03T17:35:00</x:v>
      </x:c>
      <x:c r="C3654" s="39" t="str">
        <x:v>2026-08-03T18:05:00</x:v>
      </x:c>
      <x:c r="D3654" s="47" t="n">
        <x:v>30</x:v>
      </x:c>
      <x:c r="E3654" s="40" t="n">
        <x:v>13.2</x:v>
      </x:c>
      <x:c r="F3654" s="40" t="n">
        <x:v>11.885738372802734</x:v>
      </x:c>
      <x:c r="G3654" s="40" t="n">
        <x:v>13.3</x:v>
      </x:c>
      <x:c r="H3654" s="40" t="n">
        <x:f>F3654-E3654</x:f>
        <x:v>-1.314261627197265</x:v>
      </x:c>
      <x:c r="I3654" s="40" t="n">
        <x:f>ABS(H3654)</x:f>
        <x:v>1.314261627197265</x:v>
      </x:c>
      <x:c r="J3654" s="40" t="n">
        <x:f>H3654^2</x:f>
        <x:v>1.7272836247232026</x:v>
      </x:c>
      <x:c r="K3654" s="40" t="n">
        <x:f>G3654-E3654</x:f>
        <x:v>0.10000000000000142</x:v>
      </x:c>
      <x:c r="L3654" s="40" t="n">
        <x:f>ABS(K3654)</x:f>
        <x:v>0.10000000000000142</x:v>
      </x:c>
      <x:c r="M3654" s="41" t="str">
        <x:v>lstm-soil-v1</x:v>
      </x:c>
    </x:row>
    <x:row r="3655">
      <x:c r="A3655" s="38" t="str">
        <x:v>7月30日现场数据</x:v>
      </x:c>
      <x:c r="B3655" s="39" t="str">
        <x:v>2026-08-03T17:35:00</x:v>
      </x:c>
      <x:c r="C3655" s="39" t="str">
        <x:v>2026-08-03T18:35:00</x:v>
      </x:c>
      <x:c r="D3655" s="47" t="n">
        <x:v>60</x:v>
      </x:c>
      <x:c r="E3655" s="40" t="n">
        <x:v>13.2</x:v>
      </x:c>
      <x:c r="F3655" s="40" t="n">
        <x:v>13.588272094726562</x:v>
      </x:c>
      <x:c r="G3655" s="40" t="n">
        <x:v>13.3</x:v>
      </x:c>
      <x:c r="H3655" s="40" t="n">
        <x:f>F3655-E3655</x:f>
        <x:v>0.3882720947265632</x:v>
      </x:c>
      <x:c r="I3655" s="40" t="n">
        <x:f>ABS(H3655)</x:f>
        <x:v>0.3882720947265632</x:v>
      </x:c>
      <x:c r="J3655" s="40" t="n">
        <x:f>H3655^2</x:f>
        <x:v>0.15075521954335327</x:v>
      </x:c>
      <x:c r="K3655" s="40" t="n">
        <x:f>G3655-E3655</x:f>
        <x:v>0.10000000000000142</x:v>
      </x:c>
      <x:c r="L3655" s="40" t="n">
        <x:f>ABS(K3655)</x:f>
        <x:v>0.10000000000000142</x:v>
      </x:c>
      <x:c r="M3655" s="41" t="str">
        <x:v>lstm-soil-v1</x:v>
      </x:c>
    </x:row>
    <x:row r="3656">
      <x:c r="A3656" s="38" t="str">
        <x:v>7月30日现场数据</x:v>
      </x:c>
      <x:c r="B3656" s="39" t="str">
        <x:v>2026-08-03T17:40:00</x:v>
      </x:c>
      <x:c r="C3656" s="39" t="str">
        <x:v>2026-08-03T17:45:00</x:v>
      </x:c>
      <x:c r="D3656" s="47" t="n">
        <x:v>5</x:v>
      </x:c>
      <x:c r="E3656" s="40" t="n">
        <x:v>13.3</x:v>
      </x:c>
      <x:c r="F3656" s="40" t="n">
        <x:v>11.404560089111328</x:v>
      </x:c>
      <x:c r="G3656" s="40" t="n">
        <x:v>13.3</x:v>
      </x:c>
      <x:c r="H3656" s="40" t="n">
        <x:f>F3656-E3656</x:f>
        <x:v>-1.8954399108886726</x:v>
      </x:c>
      <x:c r="I3656" s="40" t="n">
        <x:f>ABS(H3656)</x:f>
        <x:v>1.8954399108886726</x:v>
      </x:c>
      <x:c r="J3656" s="40" t="n">
        <x:f>H3656^2</x:f>
        <x:v>3.592692455789659</x:v>
      </x:c>
      <x:c r="K3656" s="40" t="n">
        <x:f>G3656-E3656</x:f>
        <x:v>0</x:v>
      </x:c>
      <x:c r="L3656" s="40" t="n">
        <x:f>ABS(K3656)</x:f>
        <x:v>0</x:v>
      </x:c>
      <x:c r="M3656" s="41" t="str">
        <x:v>lstm-soil-v1</x:v>
      </x:c>
    </x:row>
    <x:row r="3657">
      <x:c r="A3657" s="38" t="str">
        <x:v>7月30日现场数据</x:v>
      </x:c>
      <x:c r="B3657" s="39" t="str">
        <x:v>2026-08-03T17:40:00</x:v>
      </x:c>
      <x:c r="C3657" s="39" t="str">
        <x:v>2026-08-03T17:55:00</x:v>
      </x:c>
      <x:c r="D3657" s="47" t="n">
        <x:v>15</x:v>
      </x:c>
      <x:c r="E3657" s="40" t="n">
        <x:v>13.3</x:v>
      </x:c>
      <x:c r="F3657" s="40" t="n">
        <x:v>11.479267120361328</x:v>
      </x:c>
      <x:c r="G3657" s="40" t="n">
        <x:v>13.3</x:v>
      </x:c>
      <x:c r="H3657" s="40" t="n">
        <x:f>F3657-E3657</x:f>
        <x:v>-1.8207328796386726</x:v>
      </x:c>
      <x:c r="I3657" s="40" t="n">
        <x:f>ABS(H3657)</x:f>
        <x:v>1.8207328796386726</x:v>
      </x:c>
      <x:c r="J3657" s="40" t="n">
        <x:f>H3657^2</x:f>
        <x:v>3.315068218997333</x:v>
      </x:c>
      <x:c r="K3657" s="40" t="n">
        <x:f>G3657-E3657</x:f>
        <x:v>0</x:v>
      </x:c>
      <x:c r="L3657" s="40" t="n">
        <x:f>ABS(K3657)</x:f>
        <x:v>0</x:v>
      </x:c>
      <x:c r="M3657" s="41" t="str">
        <x:v>lstm-soil-v1</x:v>
      </x:c>
    </x:row>
    <x:row r="3658">
      <x:c r="A3658" s="38" t="str">
        <x:v>7月30日现场数据</x:v>
      </x:c>
      <x:c r="B3658" s="39" t="str">
        <x:v>2026-08-03T17:40:00</x:v>
      </x:c>
      <x:c r="C3658" s="39" t="str">
        <x:v>2026-08-03T18:10:00</x:v>
      </x:c>
      <x:c r="D3658" s="47" t="n">
        <x:v>30</x:v>
      </x:c>
      <x:c r="E3658" s="40" t="n">
        <x:v>13.2</x:v>
      </x:c>
      <x:c r="F3658" s="40" t="n">
        <x:v>11.884246826171875</x:v>
      </x:c>
      <x:c r="G3658" s="40" t="n">
        <x:v>13.3</x:v>
      </x:c>
      <x:c r="H3658" s="40" t="n">
        <x:f>F3658-E3658</x:f>
        <x:v>-1.3157531738281243</x:v>
      </x:c>
      <x:c r="I3658" s="40" t="n">
        <x:f>ABS(H3658)</x:f>
        <x:v>1.3157531738281243</x:v>
      </x:c>
      <x:c r="J3658" s="40" t="n">
        <x:f>H3658^2</x:f>
        <x:v>1.7312064144387822</x:v>
      </x:c>
      <x:c r="K3658" s="40" t="n">
        <x:f>G3658-E3658</x:f>
        <x:v>0.10000000000000142</x:v>
      </x:c>
      <x:c r="L3658" s="40" t="n">
        <x:f>ABS(K3658)</x:f>
        <x:v>0.10000000000000142</x:v>
      </x:c>
      <x:c r="M3658" s="41" t="str">
        <x:v>lstm-soil-v1</x:v>
      </x:c>
    </x:row>
    <x:row r="3659">
      <x:c r="A3659" s="38" t="str">
        <x:v>7月30日现场数据</x:v>
      </x:c>
      <x:c r="B3659" s="39" t="str">
        <x:v>2026-08-03T17:40:00</x:v>
      </x:c>
      <x:c r="C3659" s="39" t="str">
        <x:v>2026-08-03T18:40:00</x:v>
      </x:c>
      <x:c r="D3659" s="47" t="n">
        <x:v>60</x:v>
      </x:c>
      <x:c r="E3659" s="40" t="n">
        <x:v>13.2</x:v>
      </x:c>
      <x:c r="F3659" s="40" t="n">
        <x:v>13.587066650390625</x:v>
      </x:c>
      <x:c r="G3659" s="40" t="n">
        <x:v>13.3</x:v>
      </x:c>
      <x:c r="H3659" s="40" t="n">
        <x:f>F3659-E3659</x:f>
        <x:v>0.3870666503906257</x:v>
      </x:c>
      <x:c r="I3659" s="40" t="n">
        <x:f>ABS(H3659)</x:f>
        <x:v>0.3870666503906257</x:v>
      </x:c>
      <x:c r="J3659" s="40" t="n">
        <x:f>H3659^2</x:f>
        <x:v>0.14982059184461888</x:v>
      </x:c>
      <x:c r="K3659" s="40" t="n">
        <x:f>G3659-E3659</x:f>
        <x:v>0.10000000000000142</x:v>
      </x:c>
      <x:c r="L3659" s="40" t="n">
        <x:f>ABS(K3659)</x:f>
        <x:v>0.10000000000000142</x:v>
      </x:c>
      <x:c r="M3659" s="41" t="str">
        <x:v>lstm-soil-v1</x:v>
      </x:c>
    </x:row>
    <x:row r="3660">
      <x:c r="A3660" s="38" t="str">
        <x:v>7月30日现场数据</x:v>
      </x:c>
      <x:c r="B3660" s="39" t="str">
        <x:v>2026-08-03T17:45:00</x:v>
      </x:c>
      <x:c r="C3660" s="39" t="str">
        <x:v>2026-08-03T17:50:00</x:v>
      </x:c>
      <x:c r="D3660" s="47" t="n">
        <x:v>5</x:v>
      </x:c>
      <x:c r="E3660" s="40" t="n">
        <x:v>13.3</x:v>
      </x:c>
      <x:c r="F3660" s="40" t="n">
        <x:v>11.403705596923828</x:v>
      </x:c>
      <x:c r="G3660" s="40" t="n">
        <x:v>13.3</x:v>
      </x:c>
      <x:c r="H3660" s="40" t="n">
        <x:f>F3660-E3660</x:f>
        <x:v>-1.8962944030761726</x:v>
      </x:c>
      <x:c r="I3660" s="40" t="n">
        <x:f>ABS(H3660)</x:f>
        <x:v>1.8962944030761726</x:v>
      </x:c>
      <x:c r="J3660" s="40" t="n">
        <x:f>H3660^2</x:f>
        <x:v>3.5959324631380176</x:v>
      </x:c>
      <x:c r="K3660" s="40" t="n">
        <x:f>G3660-E3660</x:f>
        <x:v>0</x:v>
      </x:c>
      <x:c r="L3660" s="40" t="n">
        <x:f>ABS(K3660)</x:f>
        <x:v>0</x:v>
      </x:c>
      <x:c r="M3660" s="41" t="str">
        <x:v>lstm-soil-v1</x:v>
      </x:c>
    </x:row>
    <x:row r="3661">
      <x:c r="A3661" s="38" t="str">
        <x:v>7月30日现场数据</x:v>
      </x:c>
      <x:c r="B3661" s="39" t="str">
        <x:v>2026-08-03T17:45:00</x:v>
      </x:c>
      <x:c r="C3661" s="39" t="str">
        <x:v>2026-08-03T18:00:00</x:v>
      </x:c>
      <x:c r="D3661" s="47" t="n">
        <x:v>15</x:v>
      </x:c>
      <x:c r="E3661" s="40" t="n">
        <x:v>13.3</x:v>
      </x:c>
      <x:c r="F3661" s="40" t="n">
        <x:v>11.478649139404297</x:v>
      </x:c>
      <x:c r="G3661" s="40" t="n">
        <x:v>13.3</x:v>
      </x:c>
      <x:c r="H3661" s="40" t="n">
        <x:f>F3661-E3661</x:f>
        <x:v>-1.8213508605957038</x:v>
      </x:c>
      <x:c r="I3661" s="40" t="n">
        <x:f>ABS(H3661)</x:f>
        <x:v>1.8213508605957038</x:v>
      </x:c>
      <x:c r="J3661" s="40" t="n">
        <x:f>H3661^2</x:f>
        <x:v>3.317318957392711</x:v>
      </x:c>
      <x:c r="K3661" s="40" t="n">
        <x:f>G3661-E3661</x:f>
        <x:v>0</x:v>
      </x:c>
      <x:c r="L3661" s="40" t="n">
        <x:f>ABS(K3661)</x:f>
        <x:v>0</x:v>
      </x:c>
      <x:c r="M3661" s="41" t="str">
        <x:v>lstm-soil-v1</x:v>
      </x:c>
    </x:row>
    <x:row r="3662">
      <x:c r="A3662" s="38" t="str">
        <x:v>7月30日现场数据</x:v>
      </x:c>
      <x:c r="B3662" s="39" t="str">
        <x:v>2026-08-03T17:45:00</x:v>
      </x:c>
      <x:c r="C3662" s="39" t="str">
        <x:v>2026-08-03T18:15:00</x:v>
      </x:c>
      <x:c r="D3662" s="47" t="n">
        <x:v>30</x:v>
      </x:c>
      <x:c r="E3662" s="40" t="n">
        <x:v>13.2</x:v>
      </x:c>
      <x:c r="F3662" s="40" t="n">
        <x:v>11.882728576660156</x:v>
      </x:c>
      <x:c r="G3662" s="40" t="n">
        <x:v>13.3</x:v>
      </x:c>
      <x:c r="H3662" s="40" t="n">
        <x:f>F3662-E3662</x:f>
        <x:v>-1.317271423339843</x:v>
      </x:c>
      <x:c r="I3662" s="40" t="n">
        <x:f>ABS(H3662)</x:f>
        <x:v>1.317271423339843</x:v>
      </x:c>
      <x:c r="J3662" s="40" t="n">
        <x:f>H3662^2</x:f>
        <x:v>1.735204002747776</x:v>
      </x:c>
      <x:c r="K3662" s="40" t="n">
        <x:f>G3662-E3662</x:f>
        <x:v>0.10000000000000142</x:v>
      </x:c>
      <x:c r="L3662" s="40" t="n">
        <x:f>ABS(K3662)</x:f>
        <x:v>0.10000000000000142</x:v>
      </x:c>
      <x:c r="M3662" s="41" t="str">
        <x:v>lstm-soil-v1</x:v>
      </x:c>
    </x:row>
    <x:row r="3663">
      <x:c r="A3663" s="38" t="str">
        <x:v>7月30日现场数据</x:v>
      </x:c>
      <x:c r="B3663" s="39" t="str">
        <x:v>2026-08-03T17:45:00</x:v>
      </x:c>
      <x:c r="C3663" s="39" t="str">
        <x:v>2026-08-03T18:45:00</x:v>
      </x:c>
      <x:c r="D3663" s="47" t="n">
        <x:v>60</x:v>
      </x:c>
      <x:c r="E3663" s="40" t="n">
        <x:v>13.2</x:v>
      </x:c>
      <x:c r="F3663" s="40" t="n">
        <x:v>13.585956573486328</x:v>
      </x:c>
      <x:c r="G3663" s="40" t="n">
        <x:v>13.3</x:v>
      </x:c>
      <x:c r="H3663" s="40" t="n">
        <x:f>F3663-E3663</x:f>
        <x:v>0.38595657348632884</x:v>
      </x:c>
      <x:c r="I3663" s="40" t="n">
        <x:f>ABS(H3663)</x:f>
        <x:v>0.38595657348632884</x:v>
      </x:c>
      <x:c r="J3663" s="40" t="n">
        <x:f>H3663^2</x:f>
        <x:v>0.14896247661730794</x:v>
      </x:c>
      <x:c r="K3663" s="40" t="n">
        <x:f>G3663-E3663</x:f>
        <x:v>0.10000000000000142</x:v>
      </x:c>
      <x:c r="L3663" s="40" t="n">
        <x:f>ABS(K3663)</x:f>
        <x:v>0.10000000000000142</x:v>
      </x:c>
      <x:c r="M3663" s="41" t="str">
        <x:v>lstm-soil-v1</x:v>
      </x:c>
    </x:row>
    <x:row r="3664">
      <x:c r="A3664" s="38" t="str">
        <x:v>7月30日现场数据</x:v>
      </x:c>
      <x:c r="B3664" s="39" t="str">
        <x:v>2026-08-03T17:50:00</x:v>
      </x:c>
      <x:c r="C3664" s="39" t="str">
        <x:v>2026-08-03T17:55:00</x:v>
      </x:c>
      <x:c r="D3664" s="47" t="n">
        <x:v>5</x:v>
      </x:c>
      <x:c r="E3664" s="40" t="n">
        <x:v>13.3</x:v>
      </x:c>
      <x:c r="F3664" s="40" t="n">
        <x:v>11.402873992919922</x:v>
      </x:c>
      <x:c r="G3664" s="40" t="n">
        <x:v>13.3</x:v>
      </x:c>
      <x:c r="H3664" s="40" t="n">
        <x:f>F3664-E3664</x:f>
        <x:v>-1.8971260070800788</x:v>
      </x:c>
      <x:c r="I3664" s="40" t="n">
        <x:f>ABS(H3664)</x:f>
        <x:v>1.8971260070800788</x:v>
      </x:c>
      <x:c r="J3664" s="40" t="n">
        <x:f>H3664^2</x:f>
        <x:v>3.5990870867396034</x:v>
      </x:c>
      <x:c r="K3664" s="40" t="n">
        <x:f>G3664-E3664</x:f>
        <x:v>0</x:v>
      </x:c>
      <x:c r="L3664" s="40" t="n">
        <x:f>ABS(K3664)</x:f>
        <x:v>0</x:v>
      </x:c>
      <x:c r="M3664" s="41" t="str">
        <x:v>lstm-soil-v1</x:v>
      </x:c>
    </x:row>
    <x:row r="3665">
      <x:c r="A3665" s="38" t="str">
        <x:v>7月30日现场数据</x:v>
      </x:c>
      <x:c r="B3665" s="39" t="str">
        <x:v>2026-08-03T17:50:00</x:v>
      </x:c>
      <x:c r="C3665" s="39" t="str">
        <x:v>2026-08-03T18:05:00</x:v>
      </x:c>
      <x:c r="D3665" s="47" t="n">
        <x:v>15</x:v>
      </x:c>
      <x:c r="E3665" s="40" t="n">
        <x:v>13.2</x:v>
      </x:c>
      <x:c r="F3665" s="40" t="n">
        <x:v>11.478046417236328</x:v>
      </x:c>
      <x:c r="G3665" s="40" t="n">
        <x:v>13.3</x:v>
      </x:c>
      <x:c r="H3665" s="40" t="n">
        <x:f>F3665-E3665</x:f>
        <x:v>-1.7219535827636712</x:v>
      </x:c>
      <x:c r="I3665" s="40" t="n">
        <x:f>ABS(H3665)</x:f>
        <x:v>1.7219535827636712</x:v>
      </x:c>
      <x:c r="J3665" s="40" t="n">
        <x:f>H3665^2</x:f>
        <x:v>2.9651241411926432</x:v>
      </x:c>
      <x:c r="K3665" s="40" t="n">
        <x:f>G3665-E3665</x:f>
        <x:v>0.10000000000000142</x:v>
      </x:c>
      <x:c r="L3665" s="40" t="n">
        <x:f>ABS(K3665)</x:f>
        <x:v>0.10000000000000142</x:v>
      </x:c>
      <x:c r="M3665" s="41" t="str">
        <x:v>lstm-soil-v1</x:v>
      </x:c>
    </x:row>
    <x:row r="3666">
      <x:c r="A3666" s="38" t="str">
        <x:v>7月30日现场数据</x:v>
      </x:c>
      <x:c r="B3666" s="39" t="str">
        <x:v>2026-08-03T17:50:00</x:v>
      </x:c>
      <x:c r="C3666" s="39" t="str">
        <x:v>2026-08-03T18:20:00</x:v>
      </x:c>
      <x:c r="D3666" s="47" t="n">
        <x:v>30</x:v>
      </x:c>
      <x:c r="E3666" s="40" t="n">
        <x:v>13.2</x:v>
      </x:c>
      <x:c r="F3666" s="40" t="n">
        <x:v>11.881126403808594</x:v>
      </x:c>
      <x:c r="G3666" s="40" t="n">
        <x:v>13.3</x:v>
      </x:c>
      <x:c r="H3666" s="40" t="n">
        <x:f>F3666-E3666</x:f>
        <x:v>-1.3188735961914055</x:v>
      </x:c>
      <x:c r="I3666" s="40" t="n">
        <x:f>ABS(H3666)</x:f>
        <x:v>1.3188735961914055</x:v>
      </x:c>
      <x:c r="J3666" s="40" t="n">
        <x:f>H3666^2</x:f>
        <x:v>1.7394275627308506</x:v>
      </x:c>
      <x:c r="K3666" s="40" t="n">
        <x:f>G3666-E3666</x:f>
        <x:v>0.10000000000000142</x:v>
      </x:c>
      <x:c r="L3666" s="40" t="n">
        <x:f>ABS(K3666)</x:f>
        <x:v>0.10000000000000142</x:v>
      </x:c>
      <x:c r="M3666" s="41" t="str">
        <x:v>lstm-soil-v1</x:v>
      </x:c>
    </x:row>
    <x:row r="3667">
      <x:c r="A3667" s="38" t="str">
        <x:v>7月30日现场数据</x:v>
      </x:c>
      <x:c r="B3667" s="39" t="str">
        <x:v>2026-08-03T17:50:00</x:v>
      </x:c>
      <x:c r="C3667" s="39" t="str">
        <x:v>2026-08-03T18:50:00</x:v>
      </x:c>
      <x:c r="D3667" s="47" t="n">
        <x:v>60</x:v>
      </x:c>
      <x:c r="E3667" s="40" t="n">
        <x:v>13.2</x:v>
      </x:c>
      <x:c r="F3667" s="40" t="n">
        <x:v>13.58480453491211</x:v>
      </x:c>
      <x:c r="G3667" s="40" t="n">
        <x:v>13.3</x:v>
      </x:c>
      <x:c r="H3667" s="40" t="n">
        <x:f>F3667-E3667</x:f>
        <x:v>0.3848045349121101</x:v>
      </x:c>
      <x:c r="I3667" s="40" t="n">
        <x:f>ABS(H3667)</x:f>
        <x:v>0.3848045349121101</x:v>
      </x:c>
      <x:c r="J3667" s="40" t="n">
        <x:f>H3667^2</x:f>
        <x:v>0.14807453008892535</x:v>
      </x:c>
      <x:c r="K3667" s="40" t="n">
        <x:f>G3667-E3667</x:f>
        <x:v>0.10000000000000142</x:v>
      </x:c>
      <x:c r="L3667" s="40" t="n">
        <x:f>ABS(K3667)</x:f>
        <x:v>0.10000000000000142</x:v>
      </x:c>
      <x:c r="M3667" s="41" t="str">
        <x:v>lstm-soil-v1</x:v>
      </x:c>
    </x:row>
    <x:row r="3668">
      <x:c r="A3668" s="38" t="str">
        <x:v>7月30日现场数据</x:v>
      </x:c>
      <x:c r="B3668" s="39" t="str">
        <x:v>2026-08-03T17:55:00</x:v>
      </x:c>
      <x:c r="C3668" s="39" t="str">
        <x:v>2026-08-03T18:00:00</x:v>
      </x:c>
      <x:c r="D3668" s="47" t="n">
        <x:v>5</x:v>
      </x:c>
      <x:c r="E3668" s="40" t="n">
        <x:v>13.3</x:v>
      </x:c>
      <x:c r="F3668" s="40" t="n">
        <x:v>11.402225494384766</x:v>
      </x:c>
      <x:c r="G3668" s="40" t="n">
        <x:v>13.3</x:v>
      </x:c>
      <x:c r="H3668" s="40" t="n">
        <x:f>F3668-E3668</x:f>
        <x:v>-1.897774505615235</x:v>
      </x:c>
      <x:c r="I3668" s="40" t="n">
        <x:f>ABS(H3668)</x:f>
        <x:v>1.897774505615235</x:v>
      </x:c>
      <x:c r="J3668" s="40" t="n">
        <x:f>H3668^2</x:f>
        <x:v>3.60154807416315</x:v>
      </x:c>
      <x:c r="K3668" s="40" t="n">
        <x:f>G3668-E3668</x:f>
        <x:v>0</x:v>
      </x:c>
      <x:c r="L3668" s="40" t="n">
        <x:f>ABS(K3668)</x:f>
        <x:v>0</x:v>
      </x:c>
      <x:c r="M3668" s="41" t="str">
        <x:v>lstm-soil-v1</x:v>
      </x:c>
    </x:row>
    <x:row r="3669">
      <x:c r="A3669" s="38" t="str">
        <x:v>7月30日现场数据</x:v>
      </x:c>
      <x:c r="B3669" s="39" t="str">
        <x:v>2026-08-03T17:55:00</x:v>
      </x:c>
      <x:c r="C3669" s="39" t="str">
        <x:v>2026-08-03T18:10:00</x:v>
      </x:c>
      <x:c r="D3669" s="47" t="n">
        <x:v>15</x:v>
      </x:c>
      <x:c r="E3669" s="40" t="n">
        <x:v>13.2</x:v>
      </x:c>
      <x:c r="F3669" s="40" t="n">
        <x:v>11.477619171142578</x:v>
      </x:c>
      <x:c r="G3669" s="40" t="n">
        <x:v>13.3</x:v>
      </x:c>
      <x:c r="H3669" s="40" t="n">
        <x:f>F3669-E3669</x:f>
        <x:v>-1.7223808288574212</x:v>
      </x:c>
      <x:c r="I3669" s="40" t="n">
        <x:f>ABS(H3669)</x:f>
        <x:v>1.7223808288574212</x:v>
      </x:c>
      <x:c r="J3669" s="40" t="n">
        <x:f>H3669^2</x:f>
        <x:v>2.966595719615577</x:v>
      </x:c>
      <x:c r="K3669" s="40" t="n">
        <x:f>G3669-E3669</x:f>
        <x:v>0.10000000000000142</x:v>
      </x:c>
      <x:c r="L3669" s="40" t="n">
        <x:f>ABS(K3669)</x:f>
        <x:v>0.10000000000000142</x:v>
      </x:c>
      <x:c r="M3669" s="41" t="str">
        <x:v>lstm-soil-v1</x:v>
      </x:c>
    </x:row>
    <x:row r="3670">
      <x:c r="A3670" s="38" t="str">
        <x:v>7月30日现场数据</x:v>
      </x:c>
      <x:c r="B3670" s="39" t="str">
        <x:v>2026-08-03T17:55:00</x:v>
      </x:c>
      <x:c r="C3670" s="39" t="str">
        <x:v>2026-08-03T18:25:00</x:v>
      </x:c>
      <x:c r="D3670" s="47" t="n">
        <x:v>30</x:v>
      </x:c>
      <x:c r="E3670" s="40" t="n">
        <x:v>13.2</x:v>
      </x:c>
      <x:c r="F3670" s="40" t="n">
        <x:v>11.879619598388672</x:v>
      </x:c>
      <x:c r="G3670" s="40" t="n">
        <x:v>13.3</x:v>
      </x:c>
      <x:c r="H3670" s="40" t="n">
        <x:f>F3670-E3670</x:f>
        <x:v>-1.3203804016113274</x:v>
      </x:c>
      <x:c r="I3670" s="40" t="n">
        <x:f>ABS(H3670)</x:f>
        <x:v>1.3203804016113274</x:v>
      </x:c>
      <x:c r="J3670" s="40" t="n">
        <x:f>H3670^2</x:f>
        <x:v>1.7434044049592903</x:v>
      </x:c>
      <x:c r="K3670" s="40" t="n">
        <x:f>G3670-E3670</x:f>
        <x:v>0.10000000000000142</x:v>
      </x:c>
      <x:c r="L3670" s="40" t="n">
        <x:f>ABS(K3670)</x:f>
        <x:v>0.10000000000000142</x:v>
      </x:c>
      <x:c r="M3670" s="41" t="str">
        <x:v>lstm-soil-v1</x:v>
      </x:c>
    </x:row>
    <x:row r="3671">
      <x:c r="A3671" s="38" t="str">
        <x:v>7月30日现场数据</x:v>
      </x:c>
      <x:c r="B3671" s="39" t="str">
        <x:v>2026-08-03T17:55:00</x:v>
      </x:c>
      <x:c r="C3671" s="39" t="str">
        <x:v>2026-08-03T18:55:00</x:v>
      </x:c>
      <x:c r="D3671" s="47" t="n">
        <x:v>60</x:v>
      </x:c>
      <x:c r="E3671" s="40" t="n">
        <x:v>13.2</x:v>
      </x:c>
      <x:c r="F3671" s="40" t="n">
        <x:v>13.584041595458984</x:v>
      </x:c>
      <x:c r="G3671" s="40" t="n">
        <x:v>13.3</x:v>
      </x:c>
      <x:c r="H3671" s="40" t="n">
        <x:f>F3671-E3671</x:f>
        <x:v>0.3840415954589851</x:v>
      </x:c>
      <x:c r="I3671" s="40" t="n">
        <x:f>ABS(H3671)</x:f>
        <x:v>0.3840415954589851</x:v>
      </x:c>
      <x:c r="J3671" s="40" t="n">
        <x:f>H3671^2</x:f>
        <x:v>0.14748794704268275</x:v>
      </x:c>
      <x:c r="K3671" s="40" t="n">
        <x:f>G3671-E3671</x:f>
        <x:v>0.10000000000000142</x:v>
      </x:c>
      <x:c r="L3671" s="40" t="n">
        <x:f>ABS(K3671)</x:f>
        <x:v>0.10000000000000142</x:v>
      </x:c>
      <x:c r="M3671" s="41" t="str">
        <x:v>lstm-soil-v1</x:v>
      </x:c>
    </x:row>
    <x:row r="3672">
      <x:c r="A3672" s="38" t="str">
        <x:v>7月30日现场数据</x:v>
      </x:c>
      <x:c r="B3672" s="39" t="str">
        <x:v>2026-08-03T18:00:00</x:v>
      </x:c>
      <x:c r="C3672" s="39" t="str">
        <x:v>2026-08-03T18:05:00</x:v>
      </x:c>
      <x:c r="D3672" s="47" t="n">
        <x:v>5</x:v>
      </x:c>
      <x:c r="E3672" s="40" t="n">
        <x:v>13.2</x:v>
      </x:c>
      <x:c r="F3672" s="40" t="n">
        <x:v>11.400665283203125</x:v>
      </x:c>
      <x:c r="G3672" s="40" t="n">
        <x:v>13.3</x:v>
      </x:c>
      <x:c r="H3672" s="40" t="n">
        <x:f>F3672-E3672</x:f>
        <x:v>-1.7993347167968743</x:v>
      </x:c>
      <x:c r="I3672" s="40" t="n">
        <x:f>ABS(H3672)</x:f>
        <x:v>1.7993347167968743</x:v>
      </x:c>
      <x:c r="J3672" s="40" t="n">
        <x:f>H3672^2</x:f>
        <x:v>3.237605423070488</x:v>
      </x:c>
      <x:c r="K3672" s="40" t="n">
        <x:f>G3672-E3672</x:f>
        <x:v>0.10000000000000142</x:v>
      </x:c>
      <x:c r="L3672" s="40" t="n">
        <x:f>ABS(K3672)</x:f>
        <x:v>0.10000000000000142</x:v>
      </x:c>
      <x:c r="M3672" s="41" t="str">
        <x:v>lstm-soil-v1</x:v>
      </x:c>
    </x:row>
    <x:row r="3673">
      <x:c r="A3673" s="38" t="str">
        <x:v>7月30日现场数据</x:v>
      </x:c>
      <x:c r="B3673" s="39" t="str">
        <x:v>2026-08-03T18:00:00</x:v>
      </x:c>
      <x:c r="C3673" s="39" t="str">
        <x:v>2026-08-03T18:15:00</x:v>
      </x:c>
      <x:c r="D3673" s="47" t="n">
        <x:v>15</x:v>
      </x:c>
      <x:c r="E3673" s="40" t="n">
        <x:v>13.2</x:v>
      </x:c>
      <x:c r="F3673" s="40" t="n">
        <x:v>11.47662353515625</x:v>
      </x:c>
      <x:c r="G3673" s="40" t="n">
        <x:v>13.3</x:v>
      </x:c>
      <x:c r="H3673" s="40" t="n">
        <x:f>F3673-E3673</x:f>
        <x:v>-1.7233764648437493</x:v>
      </x:c>
      <x:c r="I3673" s="40" t="n">
        <x:f>ABS(H3673)</x:f>
        <x:v>1.7233764648437493</x:v>
      </x:c>
      <x:c r="J3673" s="40" t="n">
        <x:f>H3673^2</x:f>
        <x:v>2.970026439577339</x:v>
      </x:c>
      <x:c r="K3673" s="40" t="n">
        <x:f>G3673-E3673</x:f>
        <x:v>0.10000000000000142</x:v>
      </x:c>
      <x:c r="L3673" s="40" t="n">
        <x:f>ABS(K3673)</x:f>
        <x:v>0.10000000000000142</x:v>
      </x:c>
      <x:c r="M3673" s="41" t="str">
        <x:v>lstm-soil-v1</x:v>
      </x:c>
    </x:row>
    <x:row r="3674">
      <x:c r="A3674" s="38" t="str">
        <x:v>7月30日现场数据</x:v>
      </x:c>
      <x:c r="B3674" s="39" t="str">
        <x:v>2026-08-03T18:00:00</x:v>
      </x:c>
      <x:c r="C3674" s="39" t="str">
        <x:v>2026-08-03T18:30:00</x:v>
      </x:c>
      <x:c r="D3674" s="47" t="n">
        <x:v>30</x:v>
      </x:c>
      <x:c r="E3674" s="40" t="n">
        <x:v>13.1</x:v>
      </x:c>
      <x:c r="F3674" s="40" t="n">
        <x:v>11.87823486328125</x:v>
      </x:c>
      <x:c r="G3674" s="40" t="n">
        <x:v>13.3</x:v>
      </x:c>
      <x:c r="H3674" s="40" t="n">
        <x:f>F3674-E3674</x:f>
        <x:v>-1.2217651367187496</x:v>
      </x:c>
      <x:c r="I3674" s="40" t="n">
        <x:f>ABS(H3674)</x:f>
        <x:v>1.2217651367187496</x:v>
      </x:c>
      <x:c r="J3674" s="40" t="n">
        <x:f>H3674^2</x:f>
        <x:v>1.492710049301385</x:v>
      </x:c>
      <x:c r="K3674" s="40" t="n">
        <x:f>G3674-E3674</x:f>
        <x:v>0.20000000000000107</x:v>
      </x:c>
      <x:c r="L3674" s="40" t="n">
        <x:f>ABS(K3674)</x:f>
        <x:v>0.20000000000000107</x:v>
      </x:c>
      <x:c r="M3674" s="41" t="str">
        <x:v>lstm-soil-v1</x:v>
      </x:c>
    </x:row>
    <x:row r="3675">
      <x:c r="A3675" s="38" t="str">
        <x:v>7月30日现场数据</x:v>
      </x:c>
      <x:c r="B3675" s="39" t="str">
        <x:v>2026-08-03T18:00:00</x:v>
      </x:c>
      <x:c r="C3675" s="39" t="str">
        <x:v>2026-08-03T19:00:00</x:v>
      </x:c>
      <x:c r="D3675" s="47" t="n">
        <x:v>60</x:v>
      </x:c>
      <x:c r="E3675" s="40" t="n">
        <x:v>13.2</x:v>
      </x:c>
      <x:c r="F3675" s="40" t="n">
        <x:v>13.578758239746094</x:v>
      </x:c>
      <x:c r="G3675" s="40" t="n">
        <x:v>13.3</x:v>
      </x:c>
      <x:c r="H3675" s="40" t="n">
        <x:f>F3675-E3675</x:f>
        <x:v>0.37875823974609446</x:v>
      </x:c>
      <x:c r="I3675" s="40" t="n">
        <x:f>ABS(H3675)</x:f>
        <x:v>0.37875823974609446</x:v>
      </x:c>
      <x:c r="J3675" s="40" t="n">
        <x:f>H3675^2</x:f>
        <x:v>0.14345780417555998</x:v>
      </x:c>
      <x:c r="K3675" s="40" t="n">
        <x:f>G3675-E3675</x:f>
        <x:v>0.10000000000000142</x:v>
      </x:c>
      <x:c r="L3675" s="40" t="n">
        <x:f>ABS(K3675)</x:f>
        <x:v>0.10000000000000142</x:v>
      </x:c>
      <x:c r="M3675" s="41" t="str">
        <x:v>lstm-soil-v1</x:v>
      </x:c>
    </x:row>
    <x:row r="3676">
      <x:c r="A3676" s="38" t="str">
        <x:v>7月30日现场数据</x:v>
      </x:c>
      <x:c r="B3676" s="39" t="str">
        <x:v>2026-08-03T18:05:00</x:v>
      </x:c>
      <x:c r="C3676" s="39" t="str">
        <x:v>2026-08-03T18:10:00</x:v>
      </x:c>
      <x:c r="D3676" s="47" t="n">
        <x:v>5</x:v>
      </x:c>
      <x:c r="E3676" s="40" t="n">
        <x:v>13.2</x:v>
      </x:c>
      <x:c r="F3676" s="40" t="n">
        <x:v>11.289543151855469</x:v>
      </x:c>
      <x:c r="G3676" s="40" t="n">
        <x:v>13.2</x:v>
      </x:c>
      <x:c r="H3676" s="40" t="n">
        <x:f>F3676-E3676</x:f>
        <x:v>-1.9104568481445305</x:v>
      </x:c>
      <x:c r="I3676" s="40" t="n">
        <x:f>ABS(H3676)</x:f>
        <x:v>1.9104568481445305</x:v>
      </x:c>
      <x:c r="J3676" s="40" t="n">
        <x:f>H3676^2</x:f>
        <x:v>3.649845368622334</x:v>
      </x:c>
      <x:c r="K3676" s="40" t="n">
        <x:f>G3676-E3676</x:f>
        <x:v>0</x:v>
      </x:c>
      <x:c r="L3676" s="40" t="n">
        <x:f>ABS(K3676)</x:f>
        <x:v>0</x:v>
      </x:c>
      <x:c r="M3676" s="41" t="str">
        <x:v>lstm-soil-v1</x:v>
      </x:c>
    </x:row>
    <x:row r="3677">
      <x:c r="A3677" s="38" t="str">
        <x:v>7月30日现场数据</x:v>
      </x:c>
      <x:c r="B3677" s="39" t="str">
        <x:v>2026-08-03T18:05:00</x:v>
      </x:c>
      <x:c r="C3677" s="39" t="str">
        <x:v>2026-08-03T18:20:00</x:v>
      </x:c>
      <x:c r="D3677" s="47" t="n">
        <x:v>15</x:v>
      </x:c>
      <x:c r="E3677" s="40" t="n">
        <x:v>13.2</x:v>
      </x:c>
      <x:c r="F3677" s="40" t="n">
        <x:v>11.364921569824219</x:v>
      </x:c>
      <x:c r="G3677" s="40" t="n">
        <x:v>13.2</x:v>
      </x:c>
      <x:c r="H3677" s="40" t="n">
        <x:f>F3677-E3677</x:f>
        <x:v>-1.8350784301757805</x:v>
      </x:c>
      <x:c r="I3677" s="40" t="n">
        <x:f>ABS(H3677)</x:f>
        <x:v>1.8350784301757805</x:v>
      </x:c>
      <x:c r="J3677" s="40" t="n">
        <x:f>H3677^2</x:f>
        <x:v>3.367512844896407</x:v>
      </x:c>
      <x:c r="K3677" s="40" t="n">
        <x:f>G3677-E3677</x:f>
        <x:v>0</x:v>
      </x:c>
      <x:c r="L3677" s="40" t="n">
        <x:f>ABS(K3677)</x:f>
        <x:v>0</x:v>
      </x:c>
      <x:c r="M3677" s="41" t="str">
        <x:v>lstm-soil-v1</x:v>
      </x:c>
    </x:row>
    <x:row r="3678">
      <x:c r="A3678" s="38" t="str">
        <x:v>7月30日现场数据</x:v>
      </x:c>
      <x:c r="B3678" s="39" t="str">
        <x:v>2026-08-03T18:05:00</x:v>
      </x:c>
      <x:c r="C3678" s="39" t="str">
        <x:v>2026-08-03T18:35:00</x:v>
      </x:c>
      <x:c r="D3678" s="47" t="n">
        <x:v>30</x:v>
      </x:c>
      <x:c r="E3678" s="40" t="n">
        <x:v>13.2</x:v>
      </x:c>
      <x:c r="F3678" s="40" t="n">
        <x:v>11.766815185546875</x:v>
      </x:c>
      <x:c r="G3678" s="40" t="n">
        <x:v>13.2</x:v>
      </x:c>
      <x:c r="H3678" s="40" t="n">
        <x:f>F3678-E3678</x:f>
        <x:v>-1.4331848144531243</x:v>
      </x:c>
      <x:c r="I3678" s="40" t="n">
        <x:f>ABS(H3678)</x:f>
        <x:v>1.4331848144531243</x:v>
      </x:c>
      <x:c r="J3678" s="40" t="n">
        <x:f>H3678^2</x:f>
        <x:v>2.0540187123790363</x:v>
      </x:c>
      <x:c r="K3678" s="40" t="n">
        <x:f>G3678-E3678</x:f>
        <x:v>0</x:v>
      </x:c>
      <x:c r="L3678" s="40" t="n">
        <x:f>ABS(K3678)</x:f>
        <x:v>0</x:v>
      </x:c>
      <x:c r="M3678" s="41" t="str">
        <x:v>lstm-soil-v1</x:v>
      </x:c>
    </x:row>
    <x:row r="3679">
      <x:c r="A3679" s="38" t="str">
        <x:v>7月30日现场数据</x:v>
      </x:c>
      <x:c r="B3679" s="39" t="str">
        <x:v>2026-08-03T18:05:00</x:v>
      </x:c>
      <x:c r="C3679" s="39" t="str">
        <x:v>2026-08-03T19:05:00</x:v>
      </x:c>
      <x:c r="D3679" s="47" t="n">
        <x:v>60</x:v>
      </x:c>
      <x:c r="E3679" s="40" t="n">
        <x:v>13.2</x:v>
      </x:c>
      <x:c r="F3679" s="40" t="n">
        <x:v>13.465316772460938</x:v>
      </x:c>
      <x:c r="G3679" s="40" t="n">
        <x:v>13.2</x:v>
      </x:c>
      <x:c r="H3679" s="40" t="n">
        <x:f>F3679-E3679</x:f>
        <x:v>0.2653167724609382</x:v>
      </x:c>
      <x:c r="I3679" s="40" t="n">
        <x:f>ABS(H3679)</x:f>
        <x:v>0.2653167724609382</x:v>
      </x:c>
      <x:c r="J3679" s="40" t="n">
        <x:f>H3679^2</x:f>
        <x:v>0.07039298974908927</x:v>
      </x:c>
      <x:c r="K3679" s="40" t="n">
        <x:f>G3679-E3679</x:f>
        <x:v>0</x:v>
      </x:c>
      <x:c r="L3679" s="40" t="n">
        <x:f>ABS(K3679)</x:f>
        <x:v>0</x:v>
      </x:c>
      <x:c r="M3679" s="41" t="str">
        <x:v>lstm-soil-v1</x:v>
      </x:c>
    </x:row>
    <x:row r="3680">
      <x:c r="A3680" s="38" t="str">
        <x:v>7月30日现场数据</x:v>
      </x:c>
      <x:c r="B3680" s="39" t="str">
        <x:v>2026-08-03T18:10:00</x:v>
      </x:c>
      <x:c r="C3680" s="39" t="str">
        <x:v>2026-08-03T18:15:00</x:v>
      </x:c>
      <x:c r="D3680" s="47" t="n">
        <x:v>5</x:v>
      </x:c>
      <x:c r="E3680" s="40" t="n">
        <x:v>13.2</x:v>
      </x:c>
      <x:c r="F3680" s="40" t="n">
        <x:v>11.288482666015625</x:v>
      </x:c>
      <x:c r="G3680" s="40" t="n">
        <x:v>13.2</x:v>
      </x:c>
      <x:c r="H3680" s="40" t="n">
        <x:f>F3680-E3680</x:f>
        <x:v>-1.9115173339843743</x:v>
      </x:c>
      <x:c r="I3680" s="40" t="n">
        <x:f>ABS(H3680)</x:f>
        <x:v>1.9115173339843743</x:v>
      </x:c>
      <x:c r="J3680" s="40" t="n">
        <x:f>H3680^2</x:f>
        <x:v>3.65389851812273</x:v>
      </x:c>
      <x:c r="K3680" s="40" t="n">
        <x:f>G3680-E3680</x:f>
        <x:v>0</x:v>
      </x:c>
      <x:c r="L3680" s="40" t="n">
        <x:f>ABS(K3680)</x:f>
        <x:v>0</x:v>
      </x:c>
      <x:c r="M3680" s="41" t="str">
        <x:v>lstm-soil-v1</x:v>
      </x:c>
    </x:row>
    <x:row r="3681">
      <x:c r="A3681" s="38" t="str">
        <x:v>7月30日现场数据</x:v>
      </x:c>
      <x:c r="B3681" s="39" t="str">
        <x:v>2026-08-03T18:10:00</x:v>
      </x:c>
      <x:c r="C3681" s="39" t="str">
        <x:v>2026-08-03T18:25:00</x:v>
      </x:c>
      <x:c r="D3681" s="47" t="n">
        <x:v>15</x:v>
      </x:c>
      <x:c r="E3681" s="40" t="n">
        <x:v>13.2</x:v>
      </x:c>
      <x:c r="F3681" s="40" t="n">
        <x:v>11.363170623779297</x:v>
      </x:c>
      <x:c r="G3681" s="40" t="n">
        <x:v>13.2</x:v>
      </x:c>
      <x:c r="H3681" s="40" t="n">
        <x:f>F3681-E3681</x:f>
        <x:v>-1.8368293762207024</x:v>
      </x:c>
      <x:c r="I3681" s="40" t="n">
        <x:f>ABS(H3681)</x:f>
        <x:v>1.8368293762207024</x:v>
      </x:c>
      <x:c r="J3681" s="40" t="n">
        <x:f>H3681^2</x:f>
        <x:v>3.3739421573473347</x:v>
      </x:c>
      <x:c r="K3681" s="40" t="n">
        <x:f>G3681-E3681</x:f>
        <x:v>0</x:v>
      </x:c>
      <x:c r="L3681" s="40" t="n">
        <x:f>ABS(K3681)</x:f>
        <x:v>0</x:v>
      </x:c>
      <x:c r="M3681" s="41" t="str">
        <x:v>lstm-soil-v1</x:v>
      </x:c>
    </x:row>
    <x:row r="3682">
      <x:c r="A3682" s="38" t="str">
        <x:v>7月30日现场数据</x:v>
      </x:c>
      <x:c r="B3682" s="39" t="str">
        <x:v>2026-08-03T18:10:00</x:v>
      </x:c>
      <x:c r="C3682" s="39" t="str">
        <x:v>2026-08-03T18:40:00</x:v>
      </x:c>
      <x:c r="D3682" s="47" t="n">
        <x:v>30</x:v>
      </x:c>
      <x:c r="E3682" s="40" t="n">
        <x:v>13.2</x:v>
      </x:c>
      <x:c r="F3682" s="40" t="n">
        <x:v>11.76552963256836</x:v>
      </x:c>
      <x:c r="G3682" s="40" t="n">
        <x:v>13.2</x:v>
      </x:c>
      <x:c r="H3682" s="40" t="n">
        <x:f>F3682-E3682</x:f>
        <x:v>-1.43447036743164</x:v>
      </x:c>
      <x:c r="I3682" s="40" t="n">
        <x:f>ABS(H3682)</x:f>
        <x:v>1.43447036743164</x:v>
      </x:c>
      <x:c r="J3682" s="40" t="n">
        <x:f>H3682^2</x:f>
        <x:v>2.0577052350394642</x:v>
      </x:c>
      <x:c r="K3682" s="40" t="n">
        <x:f>G3682-E3682</x:f>
        <x:v>0</x:v>
      </x:c>
      <x:c r="L3682" s="40" t="n">
        <x:f>ABS(K3682)</x:f>
        <x:v>0</x:v>
      </x:c>
      <x:c r="M3682" s="41" t="str">
        <x:v>lstm-soil-v1</x:v>
      </x:c>
    </x:row>
    <x:row r="3683">
      <x:c r="A3683" s="38" t="str">
        <x:v>7月30日现场数据</x:v>
      </x:c>
      <x:c r="B3683" s="39" t="str">
        <x:v>2026-08-03T18:10:00</x:v>
      </x:c>
      <x:c r="C3683" s="39" t="str">
        <x:v>2026-08-03T19:10:00</x:v>
      </x:c>
      <x:c r="D3683" s="47" t="n">
        <x:v>60</x:v>
      </x:c>
      <x:c r="E3683" s="40" t="n">
        <x:v>13.2</x:v>
      </x:c>
      <x:c r="F3683" s="40" t="n">
        <x:v>13.462779998779297</x:v>
      </x:c>
      <x:c r="G3683" s="40" t="n">
        <x:v>13.2</x:v>
      </x:c>
      <x:c r="H3683" s="40" t="n">
        <x:f>F3683-E3683</x:f>
        <x:v>0.2627799987792976</x:v>
      </x:c>
      <x:c r="I3683" s="40" t="n">
        <x:f>ABS(H3683)</x:f>
        <x:v>0.2627799987792976</x:v>
      </x:c>
      <x:c r="J3683" s="40" t="n">
        <x:f>H3683^2</x:f>
        <x:v>0.06905332775844764</x:v>
      </x:c>
      <x:c r="K3683" s="40" t="n">
        <x:f>G3683-E3683</x:f>
        <x:v>0</x:v>
      </x:c>
      <x:c r="L3683" s="40" t="n">
        <x:f>ABS(K3683)</x:f>
        <x:v>0</x:v>
      </x:c>
      <x:c r="M3683" s="41" t="str">
        <x:v>lstm-soil-v1</x:v>
      </x:c>
    </x:row>
    <x:row r="3684">
      <x:c r="A3684" s="38" t="str">
        <x:v>7月30日现场数据</x:v>
      </x:c>
      <x:c r="B3684" s="39" t="str">
        <x:v>2026-08-03T18:15:00</x:v>
      </x:c>
      <x:c r="C3684" s="39" t="str">
        <x:v>2026-08-03T18:20:00</x:v>
      </x:c>
      <x:c r="D3684" s="47" t="n">
        <x:v>5</x:v>
      </x:c>
      <x:c r="E3684" s="40" t="n">
        <x:v>13.2</x:v>
      </x:c>
      <x:c r="F3684" s="40" t="n">
        <x:v>11.287281036376953</x:v>
      </x:c>
      <x:c r="G3684" s="40" t="n">
        <x:v>13.2</x:v>
      </x:c>
      <x:c r="H3684" s="40" t="n">
        <x:f>F3684-E3684</x:f>
        <x:v>-1.9127189636230462</x:v>
      </x:c>
      <x:c r="I3684" s="40" t="n">
        <x:f>ABS(H3684)</x:f>
        <x:v>1.9127189636230462</x:v>
      </x:c>
      <x:c r="J3684" s="40" t="n">
        <x:f>H3684^2</x:f>
        <x:v>3.65849383380322</x:v>
      </x:c>
      <x:c r="K3684" s="40" t="n">
        <x:f>G3684-E3684</x:f>
        <x:v>0</x:v>
      </x:c>
      <x:c r="L3684" s="40" t="n">
        <x:f>ABS(K3684)</x:f>
        <x:v>0</x:v>
      </x:c>
      <x:c r="M3684" s="41" t="str">
        <x:v>lstm-soil-v1</x:v>
      </x:c>
    </x:row>
    <x:row r="3685">
      <x:c r="A3685" s="38" t="str">
        <x:v>7月30日现场数据</x:v>
      </x:c>
      <x:c r="B3685" s="39" t="str">
        <x:v>2026-08-03T18:15:00</x:v>
      </x:c>
      <x:c r="C3685" s="39" t="str">
        <x:v>2026-08-03T18:30:00</x:v>
      </x:c>
      <x:c r="D3685" s="47" t="n">
        <x:v>15</x:v>
      </x:c>
      <x:c r="E3685" s="40" t="n">
        <x:v>13.1</x:v>
      </x:c>
      <x:c r="F3685" s="40" t="n">
        <x:v>11.36147689819336</x:v>
      </x:c>
      <x:c r="G3685" s="40" t="n">
        <x:v>13.2</x:v>
      </x:c>
      <x:c r="H3685" s="40" t="n">
        <x:f>F3685-E3685</x:f>
        <x:v>-1.7385231018066403</x:v>
      </x:c>
      <x:c r="I3685" s="40" t="n">
        <x:f>ABS(H3685)</x:f>
        <x:v>1.7385231018066403</x:v>
      </x:c>
      <x:c r="J3685" s="40" t="n">
        <x:f>H3685^2</x:f>
        <x:v>3.0224625755153816</x:v>
      </x:c>
      <x:c r="K3685" s="40" t="n">
        <x:f>G3685-E3685</x:f>
        <x:v>0.09999999999999964</x:v>
      </x:c>
      <x:c r="L3685" s="40" t="n">
        <x:f>ABS(K3685)</x:f>
        <x:v>0.09999999999999964</x:v>
      </x:c>
      <x:c r="M3685" s="41" t="str">
        <x:v>lstm-soil-v1</x:v>
      </x:c>
    </x:row>
    <x:row r="3686">
      <x:c r="A3686" s="38" t="str">
        <x:v>7月30日现场数据</x:v>
      </x:c>
      <x:c r="B3686" s="39" t="str">
        <x:v>2026-08-03T18:15:00</x:v>
      </x:c>
      <x:c r="C3686" s="39" t="str">
        <x:v>2026-08-03T18:45:00</x:v>
      </x:c>
      <x:c r="D3686" s="47" t="n">
        <x:v>30</x:v>
      </x:c>
      <x:c r="E3686" s="40" t="n">
        <x:v>13.2</x:v>
      </x:c>
      <x:c r="F3686" s="40" t="n">
        <x:v>11.764122009277344</x:v>
      </x:c>
      <x:c r="G3686" s="40" t="n">
        <x:v>13.2</x:v>
      </x:c>
      <x:c r="H3686" s="40" t="n">
        <x:f>F3686-E3686</x:f>
        <x:v>-1.4358779907226555</x:v>
      </x:c>
      <x:c r="I3686" s="40" t="n">
        <x:f>ABS(H3686)</x:f>
        <x:v>1.4358779907226555</x:v>
      </x:c>
      <x:c r="J3686" s="40" t="n">
        <x:f>H3686^2</x:f>
        <x:v>2.0617456042417306</x:v>
      </x:c>
      <x:c r="K3686" s="40" t="n">
        <x:f>G3686-E3686</x:f>
        <x:v>0</x:v>
      </x:c>
      <x:c r="L3686" s="40" t="n">
        <x:f>ABS(K3686)</x:f>
        <x:v>0</x:v>
      </x:c>
      <x:c r="M3686" s="41" t="str">
        <x:v>lstm-soil-v1</x:v>
      </x:c>
    </x:row>
    <x:row r="3687">
      <x:c r="A3687" s="38" t="str">
        <x:v>7月30日现场数据</x:v>
      </x:c>
      <x:c r="B3687" s="39" t="str">
        <x:v>2026-08-03T18:15:00</x:v>
      </x:c>
      <x:c r="C3687" s="39" t="str">
        <x:v>2026-08-03T19:15:00</x:v>
      </x:c>
      <x:c r="D3687" s="47" t="n">
        <x:v>60</x:v>
      </x:c>
      <x:c r="E3687" s="40" t="n">
        <x:v>13.1</x:v>
      </x:c>
      <x:c r="F3687" s="40" t="n">
        <x:v>13.4608154296875</x:v>
      </x:c>
      <x:c r="G3687" s="40" t="n">
        <x:v>13.2</x:v>
      </x:c>
      <x:c r="H3687" s="40" t="n">
        <x:f>F3687-E3687</x:f>
        <x:v>0.36081542968750036</x:v>
      </x:c>
      <x:c r="I3687" s="40" t="n">
        <x:f>ABS(H3687)</x:f>
        <x:v>0.36081542968750036</x:v>
      </x:c>
      <x:c r="J3687" s="40" t="n">
        <x:f>H3687^2</x:f>
        <x:v>0.13018777430057552</x:v>
      </x:c>
      <x:c r="K3687" s="40" t="n">
        <x:f>G3687-E3687</x:f>
        <x:v>0.09999999999999964</x:v>
      </x:c>
      <x:c r="L3687" s="40" t="n">
        <x:f>ABS(K3687)</x:f>
        <x:v>0.09999999999999964</x:v>
      </x:c>
      <x:c r="M3687" s="41" t="str">
        <x:v>lstm-soil-v1</x:v>
      </x:c>
    </x:row>
    <x:row r="3688">
      <x:c r="A3688" s="38" t="str">
        <x:v>7月30日现场数据</x:v>
      </x:c>
      <x:c r="B3688" s="39" t="str">
        <x:v>2026-08-03T18:20:00</x:v>
      </x:c>
      <x:c r="C3688" s="39" t="str">
        <x:v>2026-08-03T18:25:00</x:v>
      </x:c>
      <x:c r="D3688" s="47" t="n">
        <x:v>5</x:v>
      </x:c>
      <x:c r="E3688" s="40" t="n">
        <x:v>13.2</x:v>
      </x:c>
      <x:c r="F3688" s="40" t="n">
        <x:v>11.286327362060547</x:v>
      </x:c>
      <x:c r="G3688" s="40" t="n">
        <x:v>13.2</x:v>
      </x:c>
      <x:c r="H3688" s="40" t="n">
        <x:f>F3688-E3688</x:f>
        <x:v>-1.9136726379394524</x:v>
      </x:c>
      <x:c r="I3688" s="40" t="n">
        <x:f>ABS(H3688)</x:f>
        <x:v>1.9136726379394524</x:v>
      </x:c>
      <x:c r="J3688" s="40" t="n">
        <x:f>H3688^2</x:f>
        <x:v>3.6621429651981425</x:v>
      </x:c>
      <x:c r="K3688" s="40" t="n">
        <x:f>G3688-E3688</x:f>
        <x:v>0</x:v>
      </x:c>
      <x:c r="L3688" s="40" t="n">
        <x:f>ABS(K3688)</x:f>
        <x:v>0</x:v>
      </x:c>
      <x:c r="M3688" s="41" t="str">
        <x:v>lstm-soil-v1</x:v>
      </x:c>
    </x:row>
    <x:row r="3689">
      <x:c r="A3689" s="38" t="str">
        <x:v>7月30日现场数据</x:v>
      </x:c>
      <x:c r="B3689" s="39" t="str">
        <x:v>2026-08-03T18:20:00</x:v>
      </x:c>
      <x:c r="C3689" s="39" t="str">
        <x:v>2026-08-03T18:35:00</x:v>
      </x:c>
      <x:c r="D3689" s="47" t="n">
        <x:v>15</x:v>
      </x:c>
      <x:c r="E3689" s="40" t="n">
        <x:v>13.2</x:v>
      </x:c>
      <x:c r="F3689" s="40" t="n">
        <x:v>11.360088348388672</x:v>
      </x:c>
      <x:c r="G3689" s="40" t="n">
        <x:v>13.2</x:v>
      </x:c>
      <x:c r="H3689" s="40" t="n">
        <x:f>F3689-E3689</x:f>
        <x:v>-1.8399116516113274</x:v>
      </x:c>
      <x:c r="I3689" s="40" t="n">
        <x:f>ABS(H3689)</x:f>
        <x:v>1.8399116516113274</x:v>
      </x:c>
      <x:c r="J3689" s="40" t="n">
        <x:f>H3689^2</x:f>
        <x:v>3.3852748857351225</x:v>
      </x:c>
      <x:c r="K3689" s="40" t="n">
        <x:f>G3689-E3689</x:f>
        <x:v>0</x:v>
      </x:c>
      <x:c r="L3689" s="40" t="n">
        <x:f>ABS(K3689)</x:f>
        <x:v>0</x:v>
      </x:c>
      <x:c r="M3689" s="41" t="str">
        <x:v>lstm-soil-v1</x:v>
      </x:c>
    </x:row>
    <x:row r="3690">
      <x:c r="A3690" s="38" t="str">
        <x:v>7月30日现场数据</x:v>
      </x:c>
      <x:c r="B3690" s="39" t="str">
        <x:v>2026-08-03T18:20:00</x:v>
      </x:c>
      <x:c r="C3690" s="39" t="str">
        <x:v>2026-08-03T18:50:00</x:v>
      </x:c>
      <x:c r="D3690" s="47" t="n">
        <x:v>30</x:v>
      </x:c>
      <x:c r="E3690" s="40" t="n">
        <x:v>13.2</x:v>
      </x:c>
      <x:c r="F3690" s="40" t="n">
        <x:v>11.763015747070312</x:v>
      </x:c>
      <x:c r="G3690" s="40" t="n">
        <x:v>13.2</x:v>
      </x:c>
      <x:c r="H3690" s="40" t="n">
        <x:f>F3690-E3690</x:f>
        <x:v>-1.4369842529296868</x:v>
      </x:c>
      <x:c r="I3690" s="40" t="n">
        <x:f>ABS(H3690)</x:f>
        <x:v>1.4369842529296868</x:v>
      </x:c>
      <x:c r="J3690" s="40" t="n">
        <x:f>H3690^2</x:f>
        <x:v>2.06492374316789</x:v>
      </x:c>
      <x:c r="K3690" s="40" t="n">
        <x:f>G3690-E3690</x:f>
        <x:v>0</x:v>
      </x:c>
      <x:c r="L3690" s="40" t="n">
        <x:f>ABS(K3690)</x:f>
        <x:v>0</x:v>
      </x:c>
      <x:c r="M3690" s="41" t="str">
        <x:v>lstm-soil-v1</x:v>
      </x:c>
    </x:row>
    <x:row r="3691">
      <x:c r="A3691" s="38" t="str">
        <x:v>7月30日现场数据</x:v>
      </x:c>
      <x:c r="B3691" s="39" t="str">
        <x:v>2026-08-03T18:20:00</x:v>
      </x:c>
      <x:c r="C3691" s="39" t="str">
        <x:v>2026-08-03T19:20:00</x:v>
      </x:c>
      <x:c r="D3691" s="47" t="n">
        <x:v>60</x:v>
      </x:c>
      <x:c r="E3691" s="40" t="n">
        <x:v>13.2</x:v>
      </x:c>
      <x:c r="F3691" s="40" t="n">
        <x:v>13.459587097167969</x:v>
      </x:c>
      <x:c r="G3691" s="40" t="n">
        <x:v>13.2</x:v>
      </x:c>
      <x:c r="H3691" s="40" t="n">
        <x:f>F3691-E3691</x:f>
        <x:v>0.25958709716796946</x:v>
      </x:c>
      <x:c r="I3691" s="40" t="n">
        <x:f>ABS(H3691)</x:f>
        <x:v>0.25958709716796946</x:v>
      </x:c>
      <x:c r="J3691" s="40" t="n">
        <x:f>H3691^2</x:f>
        <x:v>0.06738546101609282</x:v>
      </x:c>
      <x:c r="K3691" s="40" t="n">
        <x:f>G3691-E3691</x:f>
        <x:v>0</x:v>
      </x:c>
      <x:c r="L3691" s="40" t="n">
        <x:f>ABS(K3691)</x:f>
        <x:v>0</x:v>
      </x:c>
      <x:c r="M3691" s="41" t="str">
        <x:v>lstm-soil-v1</x:v>
      </x:c>
    </x:row>
    <x:row r="3692">
      <x:c r="A3692" s="38" t="str">
        <x:v>7月30日现场数据</x:v>
      </x:c>
      <x:c r="B3692" s="39" t="str">
        <x:v>2026-08-03T18:25:00</x:v>
      </x:c>
      <x:c r="C3692" s="39" t="str">
        <x:v>2026-08-03T18:30:00</x:v>
      </x:c>
      <x:c r="D3692" s="47" t="n">
        <x:v>5</x:v>
      </x:c>
      <x:c r="E3692" s="40" t="n">
        <x:v>13.1</x:v>
      </x:c>
      <x:c r="F3692" s="40" t="n">
        <x:v>11.285499572753906</x:v>
      </x:c>
      <x:c r="G3692" s="40" t="n">
        <x:v>13.2</x:v>
      </x:c>
      <x:c r="H3692" s="40" t="n">
        <x:f>F3692-E3692</x:f>
        <x:v>-1.8145004272460934</x:v>
      </x:c>
      <x:c r="I3692" s="40" t="n">
        <x:f>ABS(H3692)</x:f>
        <x:v>1.8145004272460934</x:v>
      </x:c>
      <x:c r="J3692" s="40" t="n">
        <x:f>H3692^2</x:f>
        <x:v>3.2924118004762555</x:v>
      </x:c>
      <x:c r="K3692" s="40" t="n">
        <x:f>G3692-E3692</x:f>
        <x:v>0.09999999999999964</x:v>
      </x:c>
      <x:c r="L3692" s="40" t="n">
        <x:f>ABS(K3692)</x:f>
        <x:v>0.09999999999999964</x:v>
      </x:c>
      <x:c r="M3692" s="41" t="str">
        <x:v>lstm-soil-v1</x:v>
      </x:c>
    </x:row>
    <x:row r="3693">
      <x:c r="A3693" s="38" t="str">
        <x:v>7月30日现场数据</x:v>
      </x:c>
      <x:c r="B3693" s="39" t="str">
        <x:v>2026-08-03T18:25:00</x:v>
      </x:c>
      <x:c r="C3693" s="39" t="str">
        <x:v>2026-08-03T18:40:00</x:v>
      </x:c>
      <x:c r="D3693" s="47" t="n">
        <x:v>15</x:v>
      </x:c>
      <x:c r="E3693" s="40" t="n">
        <x:v>13.2</x:v>
      </x:c>
      <x:c r="F3693" s="40" t="n">
        <x:v>11.358932495117188</x:v>
      </x:c>
      <x:c r="G3693" s="40" t="n">
        <x:v>13.2</x:v>
      </x:c>
      <x:c r="H3693" s="40" t="n">
        <x:f>F3693-E3693</x:f>
        <x:v>-1.8410675048828118</x:v>
      </x:c>
      <x:c r="I3693" s="40" t="n">
        <x:f>ABS(H3693)</x:f>
        <x:v>1.8410675048828118</x:v>
      </x:c>
      <x:c r="J3693" s="40" t="n">
        <x:f>H3693^2</x:f>
        <x:v>3.3895295575354223</x:v>
      </x:c>
      <x:c r="K3693" s="40" t="n">
        <x:f>G3693-E3693</x:f>
        <x:v>0</x:v>
      </x:c>
      <x:c r="L3693" s="40" t="n">
        <x:f>ABS(K3693)</x:f>
        <x:v>0</x:v>
      </x:c>
      <x:c r="M3693" s="41" t="str">
        <x:v>lstm-soil-v1</x:v>
      </x:c>
    </x:row>
    <x:row r="3694">
      <x:c r="A3694" s="38" t="str">
        <x:v>7月30日现场数据</x:v>
      </x:c>
      <x:c r="B3694" s="39" t="str">
        <x:v>2026-08-03T18:25:00</x:v>
      </x:c>
      <x:c r="C3694" s="39" t="str">
        <x:v>2026-08-03T18:55:00</x:v>
      </x:c>
      <x:c r="D3694" s="47" t="n">
        <x:v>30</x:v>
      </x:c>
      <x:c r="E3694" s="40" t="n">
        <x:v>13.2</x:v>
      </x:c>
      <x:c r="F3694" s="40" t="n">
        <x:v>11.762020111083984</x:v>
      </x:c>
      <x:c r="G3694" s="40" t="n">
        <x:v>13.2</x:v>
      </x:c>
      <x:c r="H3694" s="40" t="n">
        <x:f>F3694-E3694</x:f>
        <x:v>-1.437979888916015</x:v>
      </x:c>
      <x:c r="I3694" s="40" t="n">
        <x:f>ABS(H3694)</x:f>
        <x:v>1.437979888916015</x:v>
      </x:c>
      <x:c r="J3694" s="40" t="n">
        <x:f>H3694^2</x:f>
        <x:v>2.067786160926915</x:v>
      </x:c>
      <x:c r="K3694" s="40" t="n">
        <x:f>G3694-E3694</x:f>
        <x:v>0</x:v>
      </x:c>
      <x:c r="L3694" s="40" t="n">
        <x:f>ABS(K3694)</x:f>
        <x:v>0</x:v>
      </x:c>
      <x:c r="M3694" s="41" t="str">
        <x:v>lstm-soil-v1</x:v>
      </x:c>
    </x:row>
    <x:row r="3695">
      <x:c r="A3695" s="38" t="str">
        <x:v>7月30日现场数据</x:v>
      </x:c>
      <x:c r="B3695" s="39" t="str">
        <x:v>2026-08-03T18:25:00</x:v>
      </x:c>
      <x:c r="C3695" s="39" t="str">
        <x:v>2026-08-03T19:25:00</x:v>
      </x:c>
      <x:c r="D3695" s="47" t="n">
        <x:v>60</x:v>
      </x:c>
      <x:c r="E3695" s="40" t="n">
        <x:v>13.2</x:v>
      </x:c>
      <x:c r="F3695" s="40" t="n">
        <x:v>13.458698272705078</x:v>
      </x:c>
      <x:c r="G3695" s="40" t="n">
        <x:v>13.2</x:v>
      </x:c>
      <x:c r="H3695" s="40" t="n">
        <x:f>F3695-E3695</x:f>
        <x:v>0.25869827270507884</x:v>
      </x:c>
      <x:c r="I3695" s="40" t="n">
        <x:f>ABS(H3695)</x:f>
        <x:v>0.25869827270507884</x:v>
      </x:c>
      <x:c r="J3695" s="40" t="n">
        <x:f>H3695^2</x:f>
        <x:v>0.06692479630059134</x:v>
      </x:c>
      <x:c r="K3695" s="40" t="n">
        <x:f>G3695-E3695</x:f>
        <x:v>0</x:v>
      </x:c>
      <x:c r="L3695" s="40" t="n">
        <x:f>ABS(K3695)</x:f>
        <x:v>0</x:v>
      </x:c>
      <x:c r="M3695" s="41" t="str">
        <x:v>lstm-soil-v1</x:v>
      </x:c>
    </x:row>
    <x:row r="3696">
      <x:c r="A3696" s="38" t="str">
        <x:v>7月30日现场数据</x:v>
      </x:c>
      <x:c r="B3696" s="39" t="str">
        <x:v>2026-08-03T18:30:00</x:v>
      </x:c>
      <x:c r="C3696" s="39" t="str">
        <x:v>2026-08-03T18:35:00</x:v>
      </x:c>
      <x:c r="D3696" s="47" t="n">
        <x:v>5</x:v>
      </x:c>
      <x:c r="E3696" s="40" t="n">
        <x:v>13.2</x:v>
      </x:c>
      <x:c r="F3696" s="40" t="n">
        <x:v>11.174652099609375</x:v>
      </x:c>
      <x:c r="G3696" s="40" t="n">
        <x:v>13.1</x:v>
      </x:c>
      <x:c r="H3696" s="40" t="n">
        <x:f>F3696-E3696</x:f>
        <x:v>-2.0253479003906243</x:v>
      </x:c>
      <x:c r="I3696" s="40" t="n">
        <x:f>ABS(H3696)</x:f>
        <x:v>2.0253479003906243</x:v>
      </x:c>
      <x:c r="J3696" s="40" t="n">
        <x:f>H3696^2</x:f>
        <x:v>4.10203411761671</x:v>
      </x:c>
      <x:c r="K3696" s="40" t="n">
        <x:f>G3696-E3696</x:f>
        <x:v>-0.09999999999999964</x:v>
      </x:c>
      <x:c r="L3696" s="40" t="n">
        <x:f>ABS(K3696)</x:f>
        <x:v>0.09999999999999964</x:v>
      </x:c>
      <x:c r="M3696" s="41" t="str">
        <x:v>lstm-soil-v1</x:v>
      </x:c>
    </x:row>
    <x:row r="3697">
      <x:c r="A3697" s="38" t="str">
        <x:v>7月30日现场数据</x:v>
      </x:c>
      <x:c r="B3697" s="39" t="str">
        <x:v>2026-08-03T18:30:00</x:v>
      </x:c>
      <x:c r="C3697" s="39" t="str">
        <x:v>2026-08-03T18:45:00</x:v>
      </x:c>
      <x:c r="D3697" s="47" t="n">
        <x:v>15</x:v>
      </x:c>
      <x:c r="E3697" s="40" t="n">
        <x:v>13.2</x:v>
      </x:c>
      <x:c r="F3697" s="40" t="n">
        <x:v>11.24776840209961</x:v>
      </x:c>
      <x:c r="G3697" s="40" t="n">
        <x:v>13.1</x:v>
      </x:c>
      <x:c r="H3697" s="40" t="n">
        <x:f>F3697-E3697</x:f>
        <x:v>-1.95223159790039</x:v>
      </x:c>
      <x:c r="I3697" s="40" t="n">
        <x:f>ABS(H3697)</x:f>
        <x:v>1.95223159790039</x:v>
      </x:c>
      <x:c r="J3697" s="40" t="n">
        <x:f>H3697^2</x:f>
        <x:v>3.8112082118407096</x:v>
      </x:c>
      <x:c r="K3697" s="40" t="n">
        <x:f>G3697-E3697</x:f>
        <x:v>-0.09999999999999964</x:v>
      </x:c>
      <x:c r="L3697" s="40" t="n">
        <x:f>ABS(K3697)</x:f>
        <x:v>0.09999999999999964</x:v>
      </x:c>
      <x:c r="M3697" s="41" t="str">
        <x:v>lstm-soil-v1</x:v>
      </x:c>
    </x:row>
    <x:row r="3698">
      <x:c r="A3698" s="38" t="str">
        <x:v>7月30日现场数据</x:v>
      </x:c>
      <x:c r="B3698" s="39" t="str">
        <x:v>2026-08-03T18:30:00</x:v>
      </x:c>
      <x:c r="C3698" s="39" t="str">
        <x:v>2026-08-03T19:00:00</x:v>
      </x:c>
      <x:c r="D3698" s="47" t="n">
        <x:v>30</x:v>
      </x:c>
      <x:c r="E3698" s="40" t="n">
        <x:v>13.2</x:v>
      </x:c>
      <x:c r="F3698" s="40" t="n">
        <x:v>11.651008605957031</x:v>
      </x:c>
      <x:c r="G3698" s="40" t="n">
        <x:v>13.1</x:v>
      </x:c>
      <x:c r="H3698" s="40" t="n">
        <x:f>F3698-E3698</x:f>
        <x:v>-1.548991394042968</x:v>
      </x:c>
      <x:c r="I3698" s="40" t="n">
        <x:f>ABS(H3698)</x:f>
        <x:v>1.548991394042968</x:v>
      </x:c>
      <x:c r="J3698" s="40" t="n">
        <x:f>H3698^2</x:f>
        <x:v>2.3993743388191775</x:v>
      </x:c>
      <x:c r="K3698" s="40" t="n">
        <x:f>G3698-E3698</x:f>
        <x:v>-0.09999999999999964</x:v>
      </x:c>
      <x:c r="L3698" s="40" t="n">
        <x:f>ABS(K3698)</x:f>
        <x:v>0.09999999999999964</x:v>
      </x:c>
      <x:c r="M3698" s="41" t="str">
        <x:v>lstm-soil-v1</x:v>
      </x:c>
    </x:row>
    <x:row r="3699">
      <x:c r="A3699" s="38" t="str">
        <x:v>7月30日现场数据</x:v>
      </x:c>
      <x:c r="B3699" s="39" t="str">
        <x:v>2026-08-03T18:30:00</x:v>
      </x:c>
      <x:c r="C3699" s="39" t="str">
        <x:v>2026-08-03T19:30:00</x:v>
      </x:c>
      <x:c r="D3699" s="47" t="n">
        <x:v>60</x:v>
      </x:c>
      <x:c r="E3699" s="40" t="n">
        <x:v>13.2</x:v>
      </x:c>
      <x:c r="F3699" s="40" t="n">
        <x:v>13.347930908203125</x:v>
      </x:c>
      <x:c r="G3699" s="40" t="n">
        <x:v>13.1</x:v>
      </x:c>
      <x:c r="H3699" s="40" t="n">
        <x:f>F3699-E3699</x:f>
        <x:v>0.1479309082031257</x:v>
      </x:c>
      <x:c r="I3699" s="40" t="n">
        <x:f>ABS(H3699)</x:f>
        <x:v>0.1479309082031257</x:v>
      </x:c>
      <x:c r="J3699" s="40" t="n">
        <x:f>H3699^2</x:f>
        <x:v>0.021883553601801605</x:v>
      </x:c>
      <x:c r="K3699" s="40" t="n">
        <x:f>G3699-E3699</x:f>
        <x:v>-0.09999999999999964</x:v>
      </x:c>
      <x:c r="L3699" s="40" t="n">
        <x:f>ABS(K3699)</x:f>
        <x:v>0.09999999999999964</x:v>
      </x:c>
      <x:c r="M3699" s="41" t="str">
        <x:v>lstm-soil-v1</x:v>
      </x:c>
    </x:row>
    <x:row r="3700">
      <x:c r="A3700" s="38" t="str">
        <x:v>7月30日现场数据</x:v>
      </x:c>
      <x:c r="B3700" s="39" t="str">
        <x:v>2026-08-03T18:35:00</x:v>
      </x:c>
      <x:c r="C3700" s="39" t="str">
        <x:v>2026-08-03T18:40:00</x:v>
      </x:c>
      <x:c r="D3700" s="47" t="n">
        <x:v>5</x:v>
      </x:c>
      <x:c r="E3700" s="40" t="n">
        <x:v>13.2</x:v>
      </x:c>
      <x:c r="F3700" s="40" t="n">
        <x:v>11.28433609008789</x:v>
      </x:c>
      <x:c r="G3700" s="40" t="n">
        <x:v>13.2</x:v>
      </x:c>
      <x:c r="H3700" s="40" t="n">
        <x:f>F3700-E3700</x:f>
        <x:v>-1.9156639099121087</x:v>
      </x:c>
      <x:c r="I3700" s="40" t="n">
        <x:f>ABS(H3700)</x:f>
        <x:v>1.9156639099121087</x:v>
      </x:c>
      <x:c r="J3700" s="40" t="n">
        <x:f>H3700^2</x:f>
        <x:v>3.6697682157397478</x:v>
      </x:c>
      <x:c r="K3700" s="40" t="n">
        <x:f>G3700-E3700</x:f>
        <x:v>0</x:v>
      </x:c>
      <x:c r="L3700" s="40" t="n">
        <x:f>ABS(K3700)</x:f>
        <x:v>0</x:v>
      </x:c>
      <x:c r="M3700" s="41" t="str">
        <x:v>lstm-soil-v1</x:v>
      </x:c>
    </x:row>
    <x:row r="3701">
      <x:c r="A3701" s="38" t="str">
        <x:v>7月30日现场数据</x:v>
      </x:c>
      <x:c r="B3701" s="39" t="str">
        <x:v>2026-08-03T18:35:00</x:v>
      </x:c>
      <x:c r="C3701" s="39" t="str">
        <x:v>2026-08-03T18:50:00</x:v>
      </x:c>
      <x:c r="D3701" s="47" t="n">
        <x:v>15</x:v>
      </x:c>
      <x:c r="E3701" s="40" t="n">
        <x:v>13.2</x:v>
      </x:c>
      <x:c r="F3701" s="40" t="n">
        <x:v>11.357093811035156</x:v>
      </x:c>
      <x:c r="G3701" s="40" t="n">
        <x:v>13.2</x:v>
      </x:c>
      <x:c r="H3701" s="40" t="n">
        <x:f>F3701-E3701</x:f>
        <x:v>-1.842906188964843</x:v>
      </x:c>
      <x:c r="I3701" s="40" t="n">
        <x:f>ABS(H3701)</x:f>
        <x:v>1.842906188964843</x:v>
      </x:c>
      <x:c r="J3701" s="40" t="n">
        <x:f>H3701^2</x:f>
        <x:v>3.3963032213249216</x:v>
      </x:c>
      <x:c r="K3701" s="40" t="n">
        <x:f>G3701-E3701</x:f>
        <x:v>0</x:v>
      </x:c>
      <x:c r="L3701" s="40" t="n">
        <x:f>ABS(K3701)</x:f>
        <x:v>0</x:v>
      </x:c>
      <x:c r="M3701" s="41" t="str">
        <x:v>lstm-soil-v1</x:v>
      </x:c>
    </x:row>
    <x:row r="3702">
      <x:c r="A3702" s="38" t="str">
        <x:v>7月30日现场数据</x:v>
      </x:c>
      <x:c r="B3702" s="39" t="str">
        <x:v>2026-08-03T18:35:00</x:v>
      </x:c>
      <x:c r="C3702" s="39" t="str">
        <x:v>2026-08-03T19:05:00</x:v>
      </x:c>
      <x:c r="D3702" s="47" t="n">
        <x:v>30</x:v>
      </x:c>
      <x:c r="E3702" s="40" t="n">
        <x:v>13.2</x:v>
      </x:c>
      <x:c r="F3702" s="40" t="n">
        <x:v>11.760444641113281</x:v>
      </x:c>
      <x:c r="G3702" s="40" t="n">
        <x:v>13.2</x:v>
      </x:c>
      <x:c r="H3702" s="40" t="n">
        <x:f>F3702-E3702</x:f>
        <x:v>-1.439555358886718</x:v>
      </x:c>
      <x:c r="I3702" s="40" t="n">
        <x:f>ABS(H3702)</x:f>
        <x:v>1.439555358886718</x:v>
      </x:c>
      <x:c r="J3702" s="40" t="n">
        <x:f>H3702^2</x:f>
        <x:v>2.0723196312994676</x:v>
      </x:c>
      <x:c r="K3702" s="40" t="n">
        <x:f>G3702-E3702</x:f>
        <x:v>0</x:v>
      </x:c>
      <x:c r="L3702" s="40" t="n">
        <x:f>ABS(K3702)</x:f>
        <x:v>0</x:v>
      </x:c>
      <x:c r="M3702" s="41" t="str">
        <x:v>lstm-soil-v1</x:v>
      </x:c>
    </x:row>
    <x:row r="3703">
      <x:c r="A3703" s="38" t="str">
        <x:v>7月30日现场数据</x:v>
      </x:c>
      <x:c r="B3703" s="39" t="str">
        <x:v>2026-08-03T18:35:00</x:v>
      </x:c>
      <x:c r="C3703" s="39" t="str">
        <x:v>2026-08-03T19:35:00</x:v>
      </x:c>
      <x:c r="D3703" s="47" t="n">
        <x:v>60</x:v>
      </x:c>
      <x:c r="E3703" s="40" t="n">
        <x:v>13.2</x:v>
      </x:c>
      <x:c r="F3703" s="40" t="n">
        <x:v>13.457759857177734</x:v>
      </x:c>
      <x:c r="G3703" s="40" t="n">
        <x:v>13.2</x:v>
      </x:c>
      <x:c r="H3703" s="40" t="n">
        <x:f>F3703-E3703</x:f>
        <x:v>0.2577598571777351</x:v>
      </x:c>
      <x:c r="I3703" s="40" t="n">
        <x:f>ABS(H3703)</x:f>
        <x:v>0.2577598571777351</x:v>
      </x:c>
      <x:c r="J3703" s="40" t="n">
        <x:f>H3703^2</x:f>
        <x:v>0.06644014397228638</x:v>
      </x:c>
      <x:c r="K3703" s="40" t="n">
        <x:f>G3703-E3703</x:f>
        <x:v>0</x:v>
      </x:c>
      <x:c r="L3703" s="40" t="n">
        <x:f>ABS(K3703)</x:f>
        <x:v>0</x:v>
      </x:c>
      <x:c r="M3703" s="41" t="str">
        <x:v>lstm-soil-v1</x:v>
      </x:c>
    </x:row>
    <x:row r="3704">
      <x:c r="A3704" s="38" t="str">
        <x:v>7月30日现场数据</x:v>
      </x:c>
      <x:c r="B3704" s="39" t="str">
        <x:v>2026-08-03T18:40:00</x:v>
      </x:c>
      <x:c r="C3704" s="39" t="str">
        <x:v>2026-08-03T18:45:00</x:v>
      </x:c>
      <x:c r="D3704" s="47" t="n">
        <x:v>5</x:v>
      </x:c>
      <x:c r="E3704" s="40" t="n">
        <x:v>13.2</x:v>
      </x:c>
      <x:c r="F3704" s="40" t="n">
        <x:v>11.28411865234375</x:v>
      </x:c>
      <x:c r="G3704" s="40" t="n">
        <x:v>13.2</x:v>
      </x:c>
      <x:c r="H3704" s="40" t="n">
        <x:f>F3704-E3704</x:f>
        <x:v>-1.9158813476562493</x:v>
      </x:c>
      <x:c r="I3704" s="40" t="n">
        <x:f>ABS(H3704)</x:f>
        <x:v>1.9158813476562493</x:v>
      </x:c>
      <x:c r="J3704" s="40" t="n">
        <x:f>H3704^2</x:f>
        <x:v>3.670601338297126</x:v>
      </x:c>
      <x:c r="K3704" s="40" t="n">
        <x:f>G3704-E3704</x:f>
        <x:v>0</x:v>
      </x:c>
      <x:c r="L3704" s="40" t="n">
        <x:f>ABS(K3704)</x:f>
        <x:v>0</x:v>
      </x:c>
      <x:c r="M3704" s="41" t="str">
        <x:v>lstm-soil-v1</x:v>
      </x:c>
    </x:row>
    <x:row r="3705">
      <x:c r="A3705" s="38" t="str">
        <x:v>7月30日现场数据</x:v>
      </x:c>
      <x:c r="B3705" s="39" t="str">
        <x:v>2026-08-03T18:40:00</x:v>
      </x:c>
      <x:c r="C3705" s="39" t="str">
        <x:v>2026-08-03T18:55:00</x:v>
      </x:c>
      <x:c r="D3705" s="47" t="n">
        <x:v>15</x:v>
      </x:c>
      <x:c r="E3705" s="40" t="n">
        <x:v>13.2</x:v>
      </x:c>
      <x:c r="F3705" s="40" t="n">
        <x:v>11.356529235839844</x:v>
      </x:c>
      <x:c r="G3705" s="40" t="n">
        <x:v>13.2</x:v>
      </x:c>
      <x:c r="H3705" s="40" t="n">
        <x:f>F3705-E3705</x:f>
        <x:v>-1.8434707641601555</x:v>
      </x:c>
      <x:c r="I3705" s="40" t="n">
        <x:f>ABS(H3705)</x:f>
        <x:v>1.8434707641601555</x:v>
      </x:c>
      <x:c r="J3705" s="40" t="n">
        <x:f>H3705^2</x:f>
        <x:v>3.398384458313228</x:v>
      </x:c>
      <x:c r="K3705" s="40" t="n">
        <x:f>G3705-E3705</x:f>
        <x:v>0</x:v>
      </x:c>
      <x:c r="L3705" s="40" t="n">
        <x:f>ABS(K3705)</x:f>
        <x:v>0</x:v>
      </x:c>
      <x:c r="M3705" s="41" t="str">
        <x:v>lstm-soil-v1</x:v>
      </x:c>
    </x:row>
    <x:row r="3706">
      <x:c r="A3706" s="38" t="str">
        <x:v>7月30日现场数据</x:v>
      </x:c>
      <x:c r="B3706" s="39" t="str">
        <x:v>2026-08-03T18:40:00</x:v>
      </x:c>
      <x:c r="C3706" s="39" t="str">
        <x:v>2026-08-03T19:10:00</x:v>
      </x:c>
      <x:c r="D3706" s="47" t="n">
        <x:v>30</x:v>
      </x:c>
      <x:c r="E3706" s="40" t="n">
        <x:v>13.2</x:v>
      </x:c>
      <x:c r="F3706" s="40" t="n">
        <x:v>11.759872436523438</x:v>
      </x:c>
      <x:c r="G3706" s="40" t="n">
        <x:v>13.2</x:v>
      </x:c>
      <x:c r="H3706" s="40" t="n">
        <x:f>F3706-E3706</x:f>
        <x:v>-1.4401275634765618</x:v>
      </x:c>
      <x:c r="I3706" s="40" t="n">
        <x:f>ABS(H3706)</x:f>
        <x:v>1.4401275634765618</x:v>
      </x:c>
      <x:c r="J3706" s="40" t="n">
        <x:f>H3706^2</x:f>
        <x:v>2.0739673990849385</x:v>
      </x:c>
      <x:c r="K3706" s="40" t="n">
        <x:f>G3706-E3706</x:f>
        <x:v>0</x:v>
      </x:c>
      <x:c r="L3706" s="40" t="n">
        <x:f>ABS(K3706)</x:f>
        <x:v>0</x:v>
      </x:c>
      <x:c r="M3706" s="41" t="str">
        <x:v>lstm-soil-v1</x:v>
      </x:c>
    </x:row>
    <x:row r="3707">
      <x:c r="A3707" s="38" t="str">
        <x:v>7月30日现场数据</x:v>
      </x:c>
      <x:c r="B3707" s="39" t="str">
        <x:v>2026-08-03T18:40:00</x:v>
      </x:c>
      <x:c r="C3707" s="39" t="str">
        <x:v>2026-08-03T19:40:00</x:v>
      </x:c>
      <x:c r="D3707" s="47" t="n">
        <x:v>60</x:v>
      </x:c>
      <x:c r="E3707" s="40" t="n">
        <x:v>13.2</x:v>
      </x:c>
      <x:c r="F3707" s="40" t="n">
        <x:v>13.457649230957031</x:v>
      </x:c>
      <x:c r="G3707" s="40" t="n">
        <x:v>13.2</x:v>
      </x:c>
      <x:c r="H3707" s="40" t="n">
        <x:f>F3707-E3707</x:f>
        <x:v>0.25764923095703196</x:v>
      </x:c>
      <x:c r="I3707" s="40" t="n">
        <x:f>ABS(H3707)</x:f>
        <x:v>0.25764923095703196</x:v>
      </x:c>
      <x:c r="J3707" s="40" t="n">
        <x:f>H3707^2</x:f>
        <x:v>0.06638312621275</x:v>
      </x:c>
      <x:c r="K3707" s="40" t="n">
        <x:f>G3707-E3707</x:f>
        <x:v>0</x:v>
      </x:c>
      <x:c r="L3707" s="40" t="n">
        <x:f>ABS(K3707)</x:f>
        <x:v>0</x:v>
      </x:c>
      <x:c r="M3707" s="41" t="str">
        <x:v>lstm-soil-v1</x:v>
      </x:c>
    </x:row>
    <x:row r="3708">
      <x:c r="A3708" s="38" t="str">
        <x:v>7月30日现场数据</x:v>
      </x:c>
      <x:c r="B3708" s="39" t="str">
        <x:v>2026-08-03T18:45:00</x:v>
      </x:c>
      <x:c r="C3708" s="39" t="str">
        <x:v>2026-08-03T18:50:00</x:v>
      </x:c>
      <x:c r="D3708" s="47" t="n">
        <x:v>5</x:v>
      </x:c>
      <x:c r="E3708" s="40" t="n">
        <x:v>13.2</x:v>
      </x:c>
      <x:c r="F3708" s="40" t="n">
        <x:v>11.283966064453125</x:v>
      </x:c>
      <x:c r="G3708" s="40" t="n">
        <x:v>13.2</x:v>
      </x:c>
      <x:c r="H3708" s="40" t="n">
        <x:f>F3708-E3708</x:f>
        <x:v>-1.9160339355468743</x:v>
      </x:c>
      <x:c r="I3708" s="40" t="n">
        <x:f>ABS(H3708)</x:f>
        <x:v>1.9160339355468743</x:v>
      </x:c>
      <x:c r="J3708" s="40" t="n">
        <x:f>H3708^2</x:f>
        <x:v>3.6711860421672435</x:v>
      </x:c>
      <x:c r="K3708" s="40" t="n">
        <x:f>G3708-E3708</x:f>
        <x:v>0</x:v>
      </x:c>
      <x:c r="L3708" s="40" t="n">
        <x:f>ABS(K3708)</x:f>
        <x:v>0</x:v>
      </x:c>
      <x:c r="M3708" s="41" t="str">
        <x:v>lstm-soil-v1</x:v>
      </x:c>
    </x:row>
    <x:row r="3709">
      <x:c r="A3709" s="38" t="str">
        <x:v>7月30日现场数据</x:v>
      </x:c>
      <x:c r="B3709" s="39" t="str">
        <x:v>2026-08-03T18:45:00</x:v>
      </x:c>
      <x:c r="C3709" s="39" t="str">
        <x:v>2026-08-03T19:00:00</x:v>
      </x:c>
      <x:c r="D3709" s="47" t="n">
        <x:v>15</x:v>
      </x:c>
      <x:c r="E3709" s="40" t="n">
        <x:v>13.2</x:v>
      </x:c>
      <x:c r="F3709" s="40" t="n">
        <x:v>11.356090545654297</x:v>
      </x:c>
      <x:c r="G3709" s="40" t="n">
        <x:v>13.2</x:v>
      </x:c>
      <x:c r="H3709" s="40" t="n">
        <x:f>F3709-E3709</x:f>
        <x:v>-1.8439094543457024</x:v>
      </x:c>
      <x:c r="I3709" s="40" t="n">
        <x:f>ABS(H3709)</x:f>
        <x:v>1.8439094543457024</x:v>
      </x:c>
      <x:c r="J3709" s="40" t="n">
        <x:f>H3709^2</x:f>
        <x:v>3.400002075825466</x:v>
      </x:c>
      <x:c r="K3709" s="40" t="n">
        <x:f>G3709-E3709</x:f>
        <x:v>0</x:v>
      </x:c>
      <x:c r="L3709" s="40" t="n">
        <x:f>ABS(K3709)</x:f>
        <x:v>0</x:v>
      </x:c>
      <x:c r="M3709" s="41" t="str">
        <x:v>lstm-soil-v1</x:v>
      </x:c>
    </x:row>
    <x:row r="3710">
      <x:c r="A3710" s="38" t="str">
        <x:v>7月30日现场数据</x:v>
      </x:c>
      <x:c r="B3710" s="39" t="str">
        <x:v>2026-08-03T18:45:00</x:v>
      </x:c>
      <x:c r="C3710" s="39" t="str">
        <x:v>2026-08-03T19:15:00</x:v>
      </x:c>
      <x:c r="D3710" s="47" t="n">
        <x:v>30</x:v>
      </x:c>
      <x:c r="E3710" s="40" t="n">
        <x:v>13.1</x:v>
      </x:c>
      <x:c r="F3710" s="40" t="n">
        <x:v>11.759334564208984</x:v>
      </x:c>
      <x:c r="G3710" s="40" t="n">
        <x:v>13.2</x:v>
      </x:c>
      <x:c r="H3710" s="40" t="n">
        <x:f>F3710-E3710</x:f>
        <x:v>-1.3406654357910153</x:v>
      </x:c>
      <x:c r="I3710" s="40" t="n">
        <x:f>ABS(H3710)</x:f>
        <x:v>1.3406654357910153</x:v>
      </x:c>
      <x:c r="J3710" s="40" t="n">
        <x:f>H3710^2</x:f>
        <x:v>1.7973838107247129</x:v>
      </x:c>
      <x:c r="K3710" s="40" t="n">
        <x:f>G3710-E3710</x:f>
        <x:v>0.09999999999999964</x:v>
      </x:c>
      <x:c r="L3710" s="40" t="n">
        <x:f>ABS(K3710)</x:f>
        <x:v>0.09999999999999964</x:v>
      </x:c>
      <x:c r="M3710" s="41" t="str">
        <x:v>lstm-soil-v1</x:v>
      </x:c>
    </x:row>
    <x:row r="3711">
      <x:c r="A3711" s="38" t="str">
        <x:v>7月30日现场数据</x:v>
      </x:c>
      <x:c r="B3711" s="39" t="str">
        <x:v>2026-08-03T18:45:00</x:v>
      </x:c>
      <x:c r="C3711" s="39" t="str">
        <x:v>2026-08-03T19:45:00</x:v>
      </x:c>
      <x:c r="D3711" s="47" t="n">
        <x:v>60</x:v>
      </x:c>
      <x:c r="E3711" s="40" t="n">
        <x:v>13.2</x:v>
      </x:c>
      <x:c r="F3711" s="40" t="n">
        <x:v>13.457618713378906</x:v>
      </x:c>
      <x:c r="G3711" s="40" t="n">
        <x:v>13.2</x:v>
      </x:c>
      <x:c r="H3711" s="40" t="n">
        <x:f>F3711-E3711</x:f>
        <x:v>0.25761871337890696</x:v>
      </x:c>
      <x:c r="I3711" s="40" t="n">
        <x:f>ABS(H3711)</x:f>
        <x:v>0.25761871337890696</x:v>
      </x:c>
      <x:c r="J3711" s="40" t="n">
        <x:f>H3711^2</x:f>
        <x:v>0.06636740148300342</x:v>
      </x:c>
      <x:c r="K3711" s="40" t="n">
        <x:f>G3711-E3711</x:f>
        <x:v>0</x:v>
      </x:c>
      <x:c r="L3711" s="40" t="n">
        <x:f>ABS(K3711)</x:f>
        <x:v>0</x:v>
      </x:c>
      <x:c r="M3711" s="41" t="str">
        <x:v>lstm-soil-v1</x:v>
      </x:c>
    </x:row>
    <x:row r="3712">
      <x:c r="A3712" s="38" t="str">
        <x:v>7月30日现场数据</x:v>
      </x:c>
      <x:c r="B3712" s="39" t="str">
        <x:v>2026-08-03T18:50:00</x:v>
      </x:c>
      <x:c r="C3712" s="39" t="str">
        <x:v>2026-08-03T18:55:00</x:v>
      </x:c>
      <x:c r="D3712" s="47" t="n">
        <x:v>5</x:v>
      </x:c>
      <x:c r="E3712" s="40" t="n">
        <x:v>13.2</x:v>
      </x:c>
      <x:c r="F3712" s="40" t="n">
        <x:v>11.28353500366211</x:v>
      </x:c>
      <x:c r="G3712" s="40" t="n">
        <x:v>13.2</x:v>
      </x:c>
      <x:c r="H3712" s="40" t="n">
        <x:f>F3712-E3712</x:f>
        <x:v>-1.91646499633789</x:v>
      </x:c>
      <x:c r="I3712" s="40" t="n">
        <x:f>ABS(H3712)</x:f>
        <x:v>1.91646499633789</x:v>
      </x:c>
      <x:c r="J3712" s="40" t="n">
        <x:f>H3712^2</x:f>
        <x:v>3.6728380821883886</x:v>
      </x:c>
      <x:c r="K3712" s="40" t="n">
        <x:f>G3712-E3712</x:f>
        <x:v>0</x:v>
      </x:c>
      <x:c r="L3712" s="40" t="n">
        <x:f>ABS(K3712)</x:f>
        <x:v>0</x:v>
      </x:c>
      <x:c r="M3712" s="41" t="str">
        <x:v>lstm-soil-v1</x:v>
      </x:c>
    </x:row>
    <x:row r="3713">
      <x:c r="A3713" s="38" t="str">
        <x:v>7月30日现场数据</x:v>
      </x:c>
      <x:c r="B3713" s="39" t="str">
        <x:v>2026-08-03T18:50:00</x:v>
      </x:c>
      <x:c r="C3713" s="39" t="str">
        <x:v>2026-08-03T19:05:00</x:v>
      </x:c>
      <x:c r="D3713" s="47" t="n">
        <x:v>15</x:v>
      </x:c>
      <x:c r="E3713" s="40" t="n">
        <x:v>13.2</x:v>
      </x:c>
      <x:c r="F3713" s="40" t="n">
        <x:v>11.35546875</x:v>
      </x:c>
      <x:c r="G3713" s="40" t="n">
        <x:v>13.2</x:v>
      </x:c>
      <x:c r="H3713" s="40" t="n">
        <x:f>F3713-E3713</x:f>
        <x:v>-1.8445312499999993</x:v>
      </x:c>
      <x:c r="I3713" s="40" t="n">
        <x:f>ABS(H3713)</x:f>
        <x:v>1.8445312499999993</x:v>
      </x:c>
      <x:c r="J3713" s="40" t="n">
        <x:f>H3713^2</x:f>
        <x:v>3.40229553222656</x:v>
      </x:c>
      <x:c r="K3713" s="40" t="n">
        <x:f>G3713-E3713</x:f>
        <x:v>0</x:v>
      </x:c>
      <x:c r="L3713" s="40" t="n">
        <x:f>ABS(K3713)</x:f>
        <x:v>0</x:v>
      </x:c>
      <x:c r="M3713" s="41" t="str">
        <x:v>lstm-soil-v1</x:v>
      </x:c>
    </x:row>
    <x:row r="3714">
      <x:c r="A3714" s="38" t="str">
        <x:v>7月30日现场数据</x:v>
      </x:c>
      <x:c r="B3714" s="39" t="str">
        <x:v>2026-08-03T18:50:00</x:v>
      </x:c>
      <x:c r="C3714" s="39" t="str">
        <x:v>2026-08-03T19:20:00</x:v>
      </x:c>
      <x:c r="D3714" s="47" t="n">
        <x:v>30</x:v>
      </x:c>
      <x:c r="E3714" s="40" t="n">
        <x:v>13.2</x:v>
      </x:c>
      <x:c r="F3714" s="40" t="n">
        <x:v>11.758209228515625</x:v>
      </x:c>
      <x:c r="G3714" s="40" t="n">
        <x:v>13.2</x:v>
      </x:c>
      <x:c r="H3714" s="40" t="n">
        <x:f>F3714-E3714</x:f>
        <x:v>-1.4417907714843743</x:v>
      </x:c>
      <x:c r="I3714" s="40" t="n">
        <x:f>ABS(H3714)</x:f>
        <x:v>1.4417907714843743</x:v>
      </x:c>
      <x:c r="J3714" s="40" t="n">
        <x:f>H3714^2</x:f>
        <x:v>2.0787606287375073</x:v>
      </x:c>
      <x:c r="K3714" s="40" t="n">
        <x:f>G3714-E3714</x:f>
        <x:v>0</x:v>
      </x:c>
      <x:c r="L3714" s="40" t="n">
        <x:f>ABS(K3714)</x:f>
        <x:v>0</x:v>
      </x:c>
      <x:c r="M3714" s="41" t="str">
        <x:v>lstm-soil-v1</x:v>
      </x:c>
    </x:row>
    <x:row r="3715">
      <x:c r="A3715" s="38" t="str">
        <x:v>7月30日现场数据</x:v>
      </x:c>
      <x:c r="B3715" s="39" t="str">
        <x:v>2026-08-03T18:50:00</x:v>
      </x:c>
      <x:c r="C3715" s="39" t="str">
        <x:v>2026-08-03T19:50:00</x:v>
      </x:c>
      <x:c r="D3715" s="47" t="n">
        <x:v>60</x:v>
      </x:c>
      <x:c r="E3715" s="40" t="n">
        <x:v>13.2</x:v>
      </x:c>
      <x:c r="F3715" s="40" t="n">
        <x:v>13.457267761230469</x:v>
      </x:c>
      <x:c r="G3715" s="40" t="n">
        <x:v>13.2</x:v>
      </x:c>
      <x:c r="H3715" s="40" t="n">
        <x:f>F3715-E3715</x:f>
        <x:v>0.25726776123046946</x:v>
      </x:c>
      <x:c r="I3715" s="40" t="n">
        <x:f>ABS(H3715)</x:f>
        <x:v>0.25726776123046946</x:v>
      </x:c>
      <x:c r="J3715" s="40" t="n">
        <x:f>H3715^2</x:f>
        <x:v>0.06618670096853785</x:v>
      </x:c>
      <x:c r="K3715" s="40" t="n">
        <x:f>G3715-E3715</x:f>
        <x:v>0</x:v>
      </x:c>
      <x:c r="L3715" s="40" t="n">
        <x:f>ABS(K3715)</x:f>
        <x:v>0</x:v>
      </x:c>
      <x:c r="M3715" s="41" t="str">
        <x:v>lstm-soil-v1</x:v>
      </x:c>
    </x:row>
    <x:row r="3716">
      <x:c r="A3716" s="38" t="str">
        <x:v>7月30日现场数据</x:v>
      </x:c>
      <x:c r="B3716" s="39" t="str">
        <x:v>2026-08-03T18:55:00</x:v>
      </x:c>
      <x:c r="C3716" s="39" t="str">
        <x:v>2026-08-03T19:00:00</x:v>
      </x:c>
      <x:c r="D3716" s="47" t="n">
        <x:v>5</x:v>
      </x:c>
      <x:c r="E3716" s="40" t="n">
        <x:v>13.2</x:v>
      </x:c>
      <x:c r="F3716" s="40" t="n">
        <x:v>11.284175872802734</x:v>
      </x:c>
      <x:c r="G3716" s="40" t="n">
        <x:v>13.2</x:v>
      </x:c>
      <x:c r="H3716" s="40" t="n">
        <x:f>F3716-E3716</x:f>
        <x:v>-1.915824127197265</x:v>
      </x:c>
      <x:c r="I3716" s="40" t="n">
        <x:f>ABS(H3716)</x:f>
        <x:v>1.915824127197265</x:v>
      </x:c>
      <x:c r="J3716" s="40" t="n">
        <x:f>H3716^2</x:f>
        <x:v>3.670382086351162</x:v>
      </x:c>
      <x:c r="K3716" s="40" t="n">
        <x:f>G3716-E3716</x:f>
        <x:v>0</x:v>
      </x:c>
      <x:c r="L3716" s="40" t="n">
        <x:f>ABS(K3716)</x:f>
        <x:v>0</x:v>
      </x:c>
      <x:c r="M3716" s="41" t="str">
        <x:v>lstm-soil-v1</x:v>
      </x:c>
    </x:row>
    <x:row r="3717">
      <x:c r="A3717" s="38" t="str">
        <x:v>7月30日现场数据</x:v>
      </x:c>
      <x:c r="B3717" s="39" t="str">
        <x:v>2026-08-03T18:55:00</x:v>
      </x:c>
      <x:c r="C3717" s="39" t="str">
        <x:v>2026-08-03T19:10:00</x:v>
      </x:c>
      <x:c r="D3717" s="47" t="n">
        <x:v>15</x:v>
      </x:c>
      <x:c r="E3717" s="40" t="n">
        <x:v>13.2</x:v>
      </x:c>
      <x:c r="F3717" s="40" t="n">
        <x:v>11.35675048828125</x:v>
      </x:c>
      <x:c r="G3717" s="40" t="n">
        <x:v>13.2</x:v>
      </x:c>
      <x:c r="H3717" s="40" t="n">
        <x:f>F3717-E3717</x:f>
        <x:v>-1.8432495117187493</x:v>
      </x:c>
      <x:c r="I3717" s="40" t="n">
        <x:f>ABS(H3717)</x:f>
        <x:v>1.8432495117187493</x:v>
      </x:c>
      <x:c r="J3717" s="40" t="n">
        <x:f>H3717^2</x:f>
        <x:v>3.3975687624514075</x:v>
      </x:c>
      <x:c r="K3717" s="40" t="n">
        <x:f>G3717-E3717</x:f>
        <x:v>0</x:v>
      </x:c>
      <x:c r="L3717" s="40" t="n">
        <x:f>ABS(K3717)</x:f>
        <x:v>0</x:v>
      </x:c>
      <x:c r="M3717" s="41" t="str">
        <x:v>lstm-soil-v1</x:v>
      </x:c>
    </x:row>
    <x:row r="3718">
      <x:c r="A3718" s="38" t="str">
        <x:v>7月30日现场数据</x:v>
      </x:c>
      <x:c r="B3718" s="39" t="str">
        <x:v>2026-08-03T18:55:00</x:v>
      </x:c>
      <x:c r="C3718" s="39" t="str">
        <x:v>2026-08-03T19:25:00</x:v>
      </x:c>
      <x:c r="D3718" s="47" t="n">
        <x:v>30</x:v>
      </x:c>
      <x:c r="E3718" s="40" t="n">
        <x:v>13.2</x:v>
      </x:c>
      <x:c r="F3718" s="40" t="n">
        <x:v>11.758358001708984</x:v>
      </x:c>
      <x:c r="G3718" s="40" t="n">
        <x:v>13.2</x:v>
      </x:c>
      <x:c r="H3718" s="40" t="n">
        <x:f>F3718-E3718</x:f>
        <x:v>-1.441641998291015</x:v>
      </x:c>
      <x:c r="I3718" s="40" t="n">
        <x:f>ABS(H3718)</x:f>
        <x:v>1.441641998291015</x:v>
      </x:c>
      <x:c r="J3718" s="40" t="n">
        <x:f>H3718^2</x:f>
        <x:v>2.078331651236511</x:v>
      </x:c>
      <x:c r="K3718" s="40" t="n">
        <x:f>G3718-E3718</x:f>
        <x:v>0</x:v>
      </x:c>
      <x:c r="L3718" s="40" t="n">
        <x:f>ABS(K3718)</x:f>
        <x:v>0</x:v>
      </x:c>
      <x:c r="M3718" s="41" t="str">
        <x:v>lstm-soil-v1</x:v>
      </x:c>
    </x:row>
    <x:row r="3719">
      <x:c r="A3719" s="38" t="str">
        <x:v>7月30日现场数据</x:v>
      </x:c>
      <x:c r="B3719" s="39" t="str">
        <x:v>2026-08-03T18:55:00</x:v>
      </x:c>
      <x:c r="C3719" s="39" t="str">
        <x:v>2026-08-03T19:55:00</x:v>
      </x:c>
      <x:c r="D3719" s="47" t="n">
        <x:v>60</x:v>
      </x:c>
      <x:c r="E3719" s="40" t="n">
        <x:v>13.1</x:v>
      </x:c>
      <x:c r="F3719" s="40" t="n">
        <x:v>13.460525512695312</x:v>
      </x:c>
      <x:c r="G3719" s="40" t="n">
        <x:v>13.2</x:v>
      </x:c>
      <x:c r="H3719" s="40" t="n">
        <x:f>F3719-E3719</x:f>
        <x:v>0.36052551269531286</x:v>
      </x:c>
      <x:c r="I3719" s="40" t="n">
        <x:f>ABS(H3719)</x:f>
        <x:v>0.36052551269531286</x:v>
      </x:c>
      <x:c r="J3719" s="40" t="n">
        <x:f>H3719^2</x:f>
        <x:v>0.12997864530421818</x:v>
      </x:c>
      <x:c r="K3719" s="40" t="n">
        <x:f>G3719-E3719</x:f>
        <x:v>0.09999999999999964</x:v>
      </x:c>
      <x:c r="L3719" s="40" t="n">
        <x:f>ABS(K3719)</x:f>
        <x:v>0.09999999999999964</x:v>
      </x:c>
      <x:c r="M3719" s="41" t="str">
        <x:v>lstm-soil-v1</x:v>
      </x:c>
    </x:row>
    <x:row r="3720">
      <x:c r="A3720" s="38" t="str">
        <x:v>7月30日现场数据</x:v>
      </x:c>
      <x:c r="B3720" s="39" t="str">
        <x:v>2026-08-03T19:00:00</x:v>
      </x:c>
      <x:c r="C3720" s="39" t="str">
        <x:v>2026-08-03T19:05:00</x:v>
      </x:c>
      <x:c r="D3720" s="47" t="n">
        <x:v>5</x:v>
      </x:c>
      <x:c r="E3720" s="40" t="n">
        <x:v>13.2</x:v>
      </x:c>
      <x:c r="F3720" s="40" t="n">
        <x:v>11.280460357666016</x:v>
      </x:c>
      <x:c r="G3720" s="40" t="n">
        <x:v>13.2</x:v>
      </x:c>
      <x:c r="H3720" s="40" t="n">
        <x:f>F3720-E3720</x:f>
        <x:v>-1.9195396423339837</x:v>
      </x:c>
      <x:c r="I3720" s="40" t="n">
        <x:f>ABS(H3720)</x:f>
        <x:v>1.9195396423339837</x:v>
      </x:c>
      <x:c r="J3720" s="40" t="n">
        <x:f>H3720^2</x:f>
        <x:v>3.6846324384916778</x:v>
      </x:c>
      <x:c r="K3720" s="40" t="n">
        <x:f>G3720-E3720</x:f>
        <x:v>0</x:v>
      </x:c>
      <x:c r="L3720" s="40" t="n">
        <x:f>ABS(K3720)</x:f>
        <x:v>0</x:v>
      </x:c>
      <x:c r="M3720" s="41" t="str">
        <x:v>lstm-soil-v1</x:v>
      </x:c>
    </x:row>
    <x:row r="3721">
      <x:c r="A3721" s="38" t="str">
        <x:v>7月30日现场数据</x:v>
      </x:c>
      <x:c r="B3721" s="39" t="str">
        <x:v>2026-08-03T19:00:00</x:v>
      </x:c>
      <x:c r="C3721" s="39" t="str">
        <x:v>2026-08-03T19:15:00</x:v>
      </x:c>
      <x:c r="D3721" s="47" t="n">
        <x:v>15</x:v>
      </x:c>
      <x:c r="E3721" s="40" t="n">
        <x:v>13.1</x:v>
      </x:c>
      <x:c r="F3721" s="40" t="n">
        <x:v>11.354541778564453</x:v>
      </x:c>
      <x:c r="G3721" s="40" t="n">
        <x:v>13.2</x:v>
      </x:c>
      <x:c r="H3721" s="40" t="n">
        <x:f>F3721-E3721</x:f>
        <x:v>-1.7454582214355465</x:v>
      </x:c>
      <x:c r="I3721" s="40" t="n">
        <x:f>ABS(H3721)</x:f>
        <x:v>1.7454582214355465</x:v>
      </x:c>
      <x:c r="J3721" s="40" t="n">
        <x:f>H3721^2</x:f>
        <x:v>3.046624402776941</x:v>
      </x:c>
      <x:c r="K3721" s="40" t="n">
        <x:f>G3721-E3721</x:f>
        <x:v>0.09999999999999964</x:v>
      </x:c>
      <x:c r="L3721" s="40" t="n">
        <x:f>ABS(K3721)</x:f>
        <x:v>0.09999999999999964</x:v>
      </x:c>
      <x:c r="M3721" s="41" t="str">
        <x:v>lstm-soil-v1</x:v>
      </x:c>
    </x:row>
    <x:row r="3722">
      <x:c r="A3722" s="38" t="str">
        <x:v>7月30日现场数据</x:v>
      </x:c>
      <x:c r="B3722" s="39" t="str">
        <x:v>2026-08-03T19:00:00</x:v>
      </x:c>
      <x:c r="C3722" s="39" t="str">
        <x:v>2026-08-03T19:30:00</x:v>
      </x:c>
      <x:c r="D3722" s="47" t="n">
        <x:v>30</x:v>
      </x:c>
      <x:c r="E3722" s="40" t="n">
        <x:v>13.2</x:v>
      </x:c>
      <x:c r="F3722" s="40" t="n">
        <x:v>11.754405975341797</x:v>
      </x:c>
      <x:c r="G3722" s="40" t="n">
        <x:v>13.2</x:v>
      </x:c>
      <x:c r="H3722" s="40" t="n">
        <x:f>F3722-E3722</x:f>
        <x:v>-1.4455940246582024</x:v>
      </x:c>
      <x:c r="I3722" s="40" t="n">
        <x:f>ABS(H3722)</x:f>
        <x:v>1.4455940246582024</x:v>
      </x:c>
      <x:c r="J3722" s="40" t="n">
        <x:f>H3722^2</x:f>
        <x:v>2.0897420841274994</x:v>
      </x:c>
      <x:c r="K3722" s="40" t="n">
        <x:f>G3722-E3722</x:f>
        <x:v>0</x:v>
      </x:c>
      <x:c r="L3722" s="40" t="n">
        <x:f>ABS(K3722)</x:f>
        <x:v>0</x:v>
      </x:c>
      <x:c r="M3722" s="41" t="str">
        <x:v>lstm-soil-v1</x:v>
      </x:c>
    </x:row>
    <x:row r="3723">
      <x:c r="A3723" s="38" t="str">
        <x:v>7月30日现场数据</x:v>
      </x:c>
      <x:c r="B3723" s="39" t="str">
        <x:v>2026-08-03T19:00:00</x:v>
      </x:c>
      <x:c r="C3723" s="39" t="str">
        <x:v>2026-08-03T20:00:00</x:v>
      </x:c>
      <x:c r="D3723" s="47" t="n">
        <x:v>60</x:v>
      </x:c>
      <x:c r="E3723" s="40" t="n">
        <x:v>13.2</x:v>
      </x:c>
      <x:c r="F3723" s="40" t="n">
        <x:v>13.45037841796875</x:v>
      </x:c>
      <x:c r="G3723" s="40" t="n">
        <x:v>13.2</x:v>
      </x:c>
      <x:c r="H3723" s="40" t="n">
        <x:f>F3723-E3723</x:f>
        <x:v>0.2503784179687507</x:v>
      </x:c>
      <x:c r="I3723" s="40" t="n">
        <x:f>ABS(H3723)</x:f>
        <x:v>0.2503784179687507</x:v>
      </x:c>
      <x:c r="J3723" s="40" t="n">
        <x:f>H3723^2</x:f>
        <x:v>0.06268935218453443</x:v>
      </x:c>
      <x:c r="K3723" s="40" t="n">
        <x:f>G3723-E3723</x:f>
        <x:v>0</x:v>
      </x:c>
      <x:c r="L3723" s="40" t="n">
        <x:f>ABS(K3723)</x:f>
        <x:v>0</x:v>
      </x:c>
      <x:c r="M3723" s="41" t="str">
        <x:v>lstm-soil-v1</x:v>
      </x:c>
    </x:row>
    <x:row r="3724">
      <x:c r="A3724" s="38" t="str">
        <x:v>7月30日现场数据</x:v>
      </x:c>
      <x:c r="B3724" s="39" t="str">
        <x:v>2026-08-03T19:05:00</x:v>
      </x:c>
      <x:c r="C3724" s="39" t="str">
        <x:v>2026-08-03T19:10:00</x:v>
      </x:c>
      <x:c r="D3724" s="47" t="n">
        <x:v>5</x:v>
      </x:c>
      <x:c r="E3724" s="40" t="n">
        <x:v>13.2</x:v>
      </x:c>
      <x:c r="F3724" s="40" t="n">
        <x:v>11.279285430908203</x:v>
      </x:c>
      <x:c r="G3724" s="40" t="n">
        <x:v>13.2</x:v>
      </x:c>
      <x:c r="H3724" s="40" t="n">
        <x:f>F3724-E3724</x:f>
        <x:v>-1.9207145690917962</x:v>
      </x:c>
      <x:c r="I3724" s="40" t="n">
        <x:f>ABS(H3724)</x:f>
        <x:v>1.9207145690917962</x:v>
      </x:c>
      <x:c r="J3724" s="40" t="n">
        <x:f>H3724^2</x:f>
        <x:v>3.6891444559214843</x:v>
      </x:c>
      <x:c r="K3724" s="40" t="n">
        <x:f>G3724-E3724</x:f>
        <x:v>0</x:v>
      </x:c>
      <x:c r="L3724" s="40" t="n">
        <x:f>ABS(K3724)</x:f>
        <x:v>0</x:v>
      </x:c>
      <x:c r="M3724" s="41" t="str">
        <x:v>lstm-soil-v1</x:v>
      </x:c>
    </x:row>
    <x:row r="3725">
      <x:c r="A3725" s="38" t="str">
        <x:v>7月30日现场数据</x:v>
      </x:c>
      <x:c r="B3725" s="39" t="str">
        <x:v>2026-08-03T19:05:00</x:v>
      </x:c>
      <x:c r="C3725" s="39" t="str">
        <x:v>2026-08-03T19:20:00</x:v>
      </x:c>
      <x:c r="D3725" s="47" t="n">
        <x:v>15</x:v>
      </x:c>
      <x:c r="E3725" s="40" t="n">
        <x:v>13.2</x:v>
      </x:c>
      <x:c r="F3725" s="40" t="n">
        <x:v>11.351913452148438</x:v>
      </x:c>
      <x:c r="G3725" s="40" t="n">
        <x:v>13.2</x:v>
      </x:c>
      <x:c r="H3725" s="40" t="n">
        <x:f>F3725-E3725</x:f>
        <x:v>-1.8480865478515618</x:v>
      </x:c>
      <x:c r="I3725" s="40" t="n">
        <x:f>ABS(H3725)</x:f>
        <x:v>1.8480865478515618</x:v>
      </x:c>
      <x:c r="J3725" s="40" t="n">
        <x:f>H3725^2</x:f>
        <x:v>3.415423888349903</x:v>
      </x:c>
      <x:c r="K3725" s="40" t="n">
        <x:f>G3725-E3725</x:f>
        <x:v>0</x:v>
      </x:c>
      <x:c r="L3725" s="40" t="n">
        <x:f>ABS(K3725)</x:f>
        <x:v>0</x:v>
      </x:c>
      <x:c r="M3725" s="41" t="str">
        <x:v>lstm-soil-v1</x:v>
      </x:c>
    </x:row>
    <x:row r="3726">
      <x:c r="A3726" s="38" t="str">
        <x:v>7月30日现场数据</x:v>
      </x:c>
      <x:c r="B3726" s="39" t="str">
        <x:v>2026-08-03T19:05:00</x:v>
      </x:c>
      <x:c r="C3726" s="39" t="str">
        <x:v>2026-08-03T19:35:00</x:v>
      </x:c>
      <x:c r="D3726" s="47" t="n">
        <x:v>30</x:v>
      </x:c>
      <x:c r="E3726" s="40" t="n">
        <x:v>13.2</x:v>
      </x:c>
      <x:c r="F3726" s="40" t="n">
        <x:v>11.753654479980469</x:v>
      </x:c>
      <x:c r="G3726" s="40" t="n">
        <x:v>13.2</x:v>
      </x:c>
      <x:c r="H3726" s="40" t="n">
        <x:f>F3726-E3726</x:f>
        <x:v>-1.4463455200195305</x:v>
      </x:c>
      <x:c r="I3726" s="40" t="n">
        <x:f>ABS(H3726)</x:f>
        <x:v>1.4463455200195305</x:v>
      </x:c>
      <x:c r="J3726" s="40" t="n">
        <x:f>H3726^2</x:f>
        <x:v>2.0919153632805663</x:v>
      </x:c>
      <x:c r="K3726" s="40" t="n">
        <x:f>G3726-E3726</x:f>
        <x:v>0</x:v>
      </x:c>
      <x:c r="L3726" s="40" t="n">
        <x:f>ABS(K3726)</x:f>
        <x:v>0</x:v>
      </x:c>
      <x:c r="M3726" s="41" t="str">
        <x:v>lstm-soil-v1</x:v>
      </x:c>
    </x:row>
    <x:row r="3727">
      <x:c r="A3727" s="38" t="str">
        <x:v>7月30日现场数据</x:v>
      </x:c>
      <x:c r="B3727" s="39" t="str">
        <x:v>2026-08-03T19:05:00</x:v>
      </x:c>
      <x:c r="C3727" s="39" t="str">
        <x:v>2026-08-03T20:05:00</x:v>
      </x:c>
      <x:c r="D3727" s="47" t="n">
        <x:v>60</x:v>
      </x:c>
      <x:c r="E3727" s="40" t="n">
        <x:v>13.1</x:v>
      </x:c>
      <x:c r="F3727" s="40" t="n">
        <x:v>13.446601867675781</x:v>
      </x:c>
      <x:c r="G3727" s="40" t="n">
        <x:v>13.2</x:v>
      </x:c>
      <x:c r="H3727" s="40" t="n">
        <x:f>F3727-E3727</x:f>
        <x:v>0.3466018676757816</x:v>
      </x:c>
      <x:c r="I3727" s="40" t="n">
        <x:f>ABS(H3727)</x:f>
        <x:v>0.3466018676757816</x:v>
      </x:c>
      <x:c r="J3727" s="40" t="n">
        <x:f>H3727^2</x:f>
        <x:v>0.12013285467634002</x:v>
      </x:c>
      <x:c r="K3727" s="40" t="n">
        <x:f>G3727-E3727</x:f>
        <x:v>0.09999999999999964</x:v>
      </x:c>
      <x:c r="L3727" s="40" t="n">
        <x:f>ABS(K3727)</x:f>
        <x:v>0.09999999999999964</x:v>
      </x:c>
      <x:c r="M3727" s="41" t="str">
        <x:v>lstm-soil-v1</x:v>
      </x:c>
    </x:row>
    <x:row r="3728">
      <x:c r="A3728" s="38" t="str">
        <x:v>7月30日现场数据</x:v>
      </x:c>
      <x:c r="B3728" s="39" t="str">
        <x:v>2026-08-03T19:10:00</x:v>
      </x:c>
      <x:c r="C3728" s="39" t="str">
        <x:v>2026-08-03T19:15:00</x:v>
      </x:c>
      <x:c r="D3728" s="47" t="n">
        <x:v>5</x:v>
      </x:c>
      <x:c r="E3728" s="40" t="n">
        <x:v>13.1</x:v>
      </x:c>
      <x:c r="F3728" s="40" t="n">
        <x:v>11.278369903564453</x:v>
      </x:c>
      <x:c r="G3728" s="40" t="n">
        <x:v>13.2</x:v>
      </x:c>
      <x:c r="H3728" s="40" t="n">
        <x:f>F3728-E3728</x:f>
        <x:v>-1.8216300964355465</x:v>
      </x:c>
      <x:c r="I3728" s="40" t="n">
        <x:f>ABS(H3728)</x:f>
        <x:v>1.8216300964355465</x:v>
      </x:c>
      <x:c r="J3728" s="40" t="n">
        <x:f>H3728^2</x:f>
        <x:v>3.3183362082397787</x:v>
      </x:c>
      <x:c r="K3728" s="40" t="n">
        <x:f>G3728-E3728</x:f>
        <x:v>0.09999999999999964</x:v>
      </x:c>
      <x:c r="L3728" s="40" t="n">
        <x:f>ABS(K3728)</x:f>
        <x:v>0.09999999999999964</x:v>
      </x:c>
      <x:c r="M3728" s="41" t="str">
        <x:v>lstm-soil-v1</x:v>
      </x:c>
    </x:row>
    <x:row r="3729">
      <x:c r="A3729" s="38" t="str">
        <x:v>7月30日现场数据</x:v>
      </x:c>
      <x:c r="B3729" s="39" t="str">
        <x:v>2026-08-03T19:10:00</x:v>
      </x:c>
      <x:c r="C3729" s="39" t="str">
        <x:v>2026-08-03T19:25:00</x:v>
      </x:c>
      <x:c r="D3729" s="47" t="n">
        <x:v>15</x:v>
      </x:c>
      <x:c r="E3729" s="40" t="n">
        <x:v>13.2</x:v>
      </x:c>
      <x:c r="F3729" s="40" t="n">
        <x:v>11.349784851074219</x:v>
      </x:c>
      <x:c r="G3729" s="40" t="n">
        <x:v>13.2</x:v>
      </x:c>
      <x:c r="H3729" s="40" t="n">
        <x:f>F3729-E3729</x:f>
        <x:v>-1.8502151489257805</x:v>
      </x:c>
      <x:c r="I3729" s="40" t="n">
        <x:f>ABS(H3729)</x:f>
        <x:v>1.8502151489257805</x:v>
      </x:c>
      <x:c r="J3729" s="40" t="n">
        <x:f>H3729^2</x:f>
        <x:v>3.423296097314448</x:v>
      </x:c>
      <x:c r="K3729" s="40" t="n">
        <x:f>G3729-E3729</x:f>
        <x:v>0</x:v>
      </x:c>
      <x:c r="L3729" s="40" t="n">
        <x:f>ABS(K3729)</x:f>
        <x:v>0</x:v>
      </x:c>
      <x:c r="M3729" s="41" t="str">
        <x:v>lstm-soil-v1</x:v>
      </x:c>
    </x:row>
    <x:row r="3730">
      <x:c r="A3730" s="38" t="str">
        <x:v>7月30日现场数据</x:v>
      </x:c>
      <x:c r="B3730" s="39" t="str">
        <x:v>2026-08-03T19:10:00</x:v>
      </x:c>
      <x:c r="C3730" s="39" t="str">
        <x:v>2026-08-03T19:40:00</x:v>
      </x:c>
      <x:c r="D3730" s="47" t="n">
        <x:v>30</x:v>
      </x:c>
      <x:c r="E3730" s="40" t="n">
        <x:v>13.2</x:v>
      </x:c>
      <x:c r="F3730" s="40" t="n">
        <x:v>11.753658294677734</x:v>
      </x:c>
      <x:c r="G3730" s="40" t="n">
        <x:v>13.2</x:v>
      </x:c>
      <x:c r="H3730" s="40" t="n">
        <x:f>F3730-E3730</x:f>
        <x:v>-1.446341705322265</x:v>
      </x:c>
      <x:c r="I3730" s="40" t="n">
        <x:f>ABS(H3730)</x:f>
        <x:v>1.446341705322265</x:v>
      </x:c>
      <x:c r="J3730" s="40" t="n">
        <x:f>H3730^2</x:f>
        <x:v>2.0919043285545174</x:v>
      </x:c>
      <x:c r="K3730" s="40" t="n">
        <x:f>G3730-E3730</x:f>
        <x:v>0</x:v>
      </x:c>
      <x:c r="L3730" s="40" t="n">
        <x:f>ABS(K3730)</x:f>
        <x:v>0</x:v>
      </x:c>
      <x:c r="M3730" s="41" t="str">
        <x:v>lstm-soil-v1</x:v>
      </x:c>
    </x:row>
    <x:row r="3731">
      <x:c r="A3731" s="38" t="str">
        <x:v>7月30日现场数据</x:v>
      </x:c>
      <x:c r="B3731" s="39" t="str">
        <x:v>2026-08-03T19:10:00</x:v>
      </x:c>
      <x:c r="C3731" s="39" t="str">
        <x:v>2026-08-03T20:10:00</x:v>
      </x:c>
      <x:c r="D3731" s="47" t="n">
        <x:v>60</x:v>
      </x:c>
      <x:c r="E3731" s="40" t="n">
        <x:v>13.1</x:v>
      </x:c>
      <x:c r="F3731" s="40" t="n">
        <x:v>13.44403076171875</x:v>
      </x:c>
      <x:c r="G3731" s="40" t="n">
        <x:v>13.2</x:v>
      </x:c>
      <x:c r="H3731" s="40" t="n">
        <x:f>F3731-E3731</x:f>
        <x:v>0.34403076171875036</x:v>
      </x:c>
      <x:c r="I3731" s="40" t="n">
        <x:f>ABS(H3731)</x:f>
        <x:v>0.34403076171875036</x:v>
      </x:c>
      <x:c r="J3731" s="40" t="n">
        <x:f>H3731^2</x:f>
        <x:v>0.11835716500878359</x:v>
      </x:c>
      <x:c r="K3731" s="40" t="n">
        <x:f>G3731-E3731</x:f>
        <x:v>0.09999999999999964</x:v>
      </x:c>
      <x:c r="L3731" s="40" t="n">
        <x:f>ABS(K3731)</x:f>
        <x:v>0.09999999999999964</x:v>
      </x:c>
      <x:c r="M3731" s="41" t="str">
        <x:v>lstm-soil-v1</x:v>
      </x:c>
    </x:row>
    <x:row r="3732">
      <x:c r="A3732" s="38" t="str">
        <x:v>7月30日现场数据</x:v>
      </x:c>
      <x:c r="B3732" s="39" t="str">
        <x:v>2026-08-03T19:15:00</x:v>
      </x:c>
      <x:c r="C3732" s="39" t="str">
        <x:v>2026-08-03T19:20:00</x:v>
      </x:c>
      <x:c r="D3732" s="47" t="n">
        <x:v>5</x:v>
      </x:c>
      <x:c r="E3732" s="40" t="n">
        <x:v>13.2</x:v>
      </x:c>
      <x:c r="F3732" s="40" t="n">
        <x:v>11.16756820678711</x:v>
      </x:c>
      <x:c r="G3732" s="40" t="n">
        <x:v>13.1</x:v>
      </x:c>
      <x:c r="H3732" s="40" t="n">
        <x:f>F3732-E3732</x:f>
        <x:v>-2.03243179321289</x:v>
      </x:c>
      <x:c r="I3732" s="40" t="n">
        <x:f>ABS(H3732)</x:f>
        <x:v>2.03243179321289</x:v>
      </x:c>
      <x:c r="J3732" s="40" t="n">
        <x:f>H3732^2</x:f>
        <x:v>4.130778994062563</x:v>
      </x:c>
      <x:c r="K3732" s="40" t="n">
        <x:f>G3732-E3732</x:f>
        <x:v>-0.09999999999999964</x:v>
      </x:c>
      <x:c r="L3732" s="40" t="n">
        <x:f>ABS(K3732)</x:f>
        <x:v>0.09999999999999964</x:v>
      </x:c>
      <x:c r="M3732" s="41" t="str">
        <x:v>lstm-soil-v1</x:v>
      </x:c>
    </x:row>
    <x:row r="3733">
      <x:c r="A3733" s="38" t="str">
        <x:v>7月30日现场数据</x:v>
      </x:c>
      <x:c r="B3733" s="39" t="str">
        <x:v>2026-08-03T19:15:00</x:v>
      </x:c>
      <x:c r="C3733" s="39" t="str">
        <x:v>2026-08-03T19:30:00</x:v>
      </x:c>
      <x:c r="D3733" s="47" t="n">
        <x:v>15</x:v>
      </x:c>
      <x:c r="E3733" s="40" t="n">
        <x:v>13.2</x:v>
      </x:c>
      <x:c r="F3733" s="40" t="n">
        <x:v>11.238143920898438</x:v>
      </x:c>
      <x:c r="G3733" s="40" t="n">
        <x:v>13.1</x:v>
      </x:c>
      <x:c r="H3733" s="40" t="n">
        <x:f>F3733-E3733</x:f>
        <x:v>-1.9618560791015618</x:v>
      </x:c>
      <x:c r="I3733" s="40" t="n">
        <x:f>ABS(H3733)</x:f>
        <x:v>1.9618560791015618</x:v>
      </x:c>
      <x:c r="J3733" s="40" t="n">
        <x:f>H3733^2</x:f>
        <x:v>3.8488792751077536</x:v>
      </x:c>
      <x:c r="K3733" s="40" t="n">
        <x:f>G3733-E3733</x:f>
        <x:v>-0.09999999999999964</x:v>
      </x:c>
      <x:c r="L3733" s="40" t="n">
        <x:f>ABS(K3733)</x:f>
        <x:v>0.09999999999999964</x:v>
      </x:c>
      <x:c r="M3733" s="41" t="str">
        <x:v>lstm-soil-v1</x:v>
      </x:c>
    </x:row>
    <x:row r="3734">
      <x:c r="A3734" s="38" t="str">
        <x:v>7月30日现场数据</x:v>
      </x:c>
      <x:c r="B3734" s="39" t="str">
        <x:v>2026-08-03T19:15:00</x:v>
      </x:c>
      <x:c r="C3734" s="39" t="str">
        <x:v>2026-08-03T19:45:00</x:v>
      </x:c>
      <x:c r="D3734" s="47" t="n">
        <x:v>30</x:v>
      </x:c>
      <x:c r="E3734" s="40" t="n">
        <x:v>13.2</x:v>
      </x:c>
      <x:c r="F3734" s="40" t="n">
        <x:v>11.644020080566406</x:v>
      </x:c>
      <x:c r="G3734" s="40" t="n">
        <x:v>13.1</x:v>
      </x:c>
      <x:c r="H3734" s="40" t="n">
        <x:f>F3734-E3734</x:f>
        <x:v>-1.555979919433593</x:v>
      </x:c>
      <x:c r="I3734" s="40" t="n">
        <x:f>ABS(H3734)</x:f>
        <x:v>1.555979919433593</x:v>
      </x:c>
      <x:c r="J3734" s="40" t="n">
        <x:f>H3734^2</x:f>
        <x:v>2.421073509680571</x:v>
      </x:c>
      <x:c r="K3734" s="40" t="n">
        <x:f>G3734-E3734</x:f>
        <x:v>-0.09999999999999964</x:v>
      </x:c>
      <x:c r="L3734" s="40" t="n">
        <x:f>ABS(K3734)</x:f>
        <x:v>0.09999999999999964</x:v>
      </x:c>
      <x:c r="M3734" s="41" t="str">
        <x:v>lstm-soil-v1</x:v>
      </x:c>
    </x:row>
    <x:row r="3735">
      <x:c r="A3735" s="38" t="str">
        <x:v>7月30日现场数据</x:v>
      </x:c>
      <x:c r="B3735" s="39" t="str">
        <x:v>2026-08-03T19:15:00</x:v>
      </x:c>
      <x:c r="C3735" s="39" t="str">
        <x:v>2026-08-03T20:15:00</x:v>
      </x:c>
      <x:c r="D3735" s="47" t="n">
        <x:v>60</x:v>
      </x:c>
      <x:c r="E3735" s="40" t="n">
        <x:v>13.1</x:v>
      </x:c>
      <x:c r="F3735" s="40" t="n">
        <x:v>13.332817077636719</x:v>
      </x:c>
      <x:c r="G3735" s="40" t="n">
        <x:v>13.1</x:v>
      </x:c>
      <x:c r="H3735" s="40" t="n">
        <x:f>F3735-E3735</x:f>
        <x:v>0.2328170776367191</x:v>
      </x:c>
      <x:c r="I3735" s="40" t="n">
        <x:f>ABS(H3735)</x:f>
        <x:v>0.2328170776367191</x:v>
      </x:c>
      <x:c r="J3735" s="40" t="n">
        <x:f>H3735^2</x:f>
        <x:v>0.05420379163930209</x:v>
      </x:c>
      <x:c r="K3735" s="40" t="n">
        <x:f>G3735-E3735</x:f>
        <x:v>0</x:v>
      </x:c>
      <x:c r="L3735" s="40" t="n">
        <x:f>ABS(K3735)</x:f>
        <x:v>0</x:v>
      </x:c>
      <x:c r="M3735" s="41" t="str">
        <x:v>lstm-soil-v1</x:v>
      </x:c>
    </x:row>
    <x:row r="3736">
      <x:c r="A3736" s="38" t="str">
        <x:v>7月30日现场数据</x:v>
      </x:c>
      <x:c r="B3736" s="39" t="str">
        <x:v>2026-08-03T19:20:00</x:v>
      </x:c>
      <x:c r="C3736" s="39" t="str">
        <x:v>2026-08-03T19:25:00</x:v>
      </x:c>
      <x:c r="D3736" s="47" t="n">
        <x:v>5</x:v>
      </x:c>
      <x:c r="E3736" s="40" t="n">
        <x:v>13.2</x:v>
      </x:c>
      <x:c r="F3736" s="40" t="n">
        <x:v>11.278160095214844</x:v>
      </x:c>
      <x:c r="G3736" s="40" t="n">
        <x:v>13.2</x:v>
      </x:c>
      <x:c r="H3736" s="40" t="n">
        <x:f>F3736-E3736</x:f>
        <x:v>-1.9218399047851555</x:v>
      </x:c>
      <x:c r="I3736" s="40" t="n">
        <x:f>ABS(H3736)</x:f>
        <x:v>1.9218399047851555</x:v>
      </x:c>
      <x:c r="J3736" s="40" t="n">
        <x:f>H3736^2</x:f>
        <x:v>3.693468619624616</x:v>
      </x:c>
      <x:c r="K3736" s="40" t="n">
        <x:f>G3736-E3736</x:f>
        <x:v>0</x:v>
      </x:c>
      <x:c r="L3736" s="40" t="n">
        <x:f>ABS(K3736)</x:f>
        <x:v>0</x:v>
      </x:c>
      <x:c r="M3736" s="41" t="str">
        <x:v>lstm-soil-v1</x:v>
      </x:c>
    </x:row>
    <x:row r="3737">
      <x:c r="A3737" s="38" t="str">
        <x:v>7月30日现场数据</x:v>
      </x:c>
      <x:c r="B3737" s="39" t="str">
        <x:v>2026-08-03T19:20:00</x:v>
      </x:c>
      <x:c r="C3737" s="39" t="str">
        <x:v>2026-08-03T19:35:00</x:v>
      </x:c>
      <x:c r="D3737" s="47" t="n">
        <x:v>15</x:v>
      </x:c>
      <x:c r="E3737" s="40" t="n">
        <x:v>13.2</x:v>
      </x:c>
      <x:c r="F3737" s="40" t="n">
        <x:v>11.348804473876953</x:v>
      </x:c>
      <x:c r="G3737" s="40" t="n">
        <x:v>13.2</x:v>
      </x:c>
      <x:c r="H3737" s="40" t="n">
        <x:f>F3737-E3737</x:f>
        <x:v>-1.8511955261230462</x:v>
      </x:c>
      <x:c r="I3737" s="40" t="n">
        <x:f>ABS(H3737)</x:f>
        <x:v>1.8511955261230462</x:v>
      </x:c>
      <x:c r="J3737" s="40" t="n">
        <x:f>H3737^2</x:f>
        <x:v>3.426924875937982</x:v>
      </x:c>
      <x:c r="K3737" s="40" t="n">
        <x:f>G3737-E3737</x:f>
        <x:v>0</x:v>
      </x:c>
      <x:c r="L3737" s="40" t="n">
        <x:f>ABS(K3737)</x:f>
        <x:v>0</x:v>
      </x:c>
      <x:c r="M3737" s="41" t="str">
        <x:v>lstm-soil-v1</x:v>
      </x:c>
    </x:row>
    <x:row r="3738">
      <x:c r="A3738" s="38" t="str">
        <x:v>7月30日现场数据</x:v>
      </x:c>
      <x:c r="B3738" s="39" t="str">
        <x:v>2026-08-03T19:20:00</x:v>
      </x:c>
      <x:c r="C3738" s="39" t="str">
        <x:v>2026-08-03T19:50:00</x:v>
      </x:c>
      <x:c r="D3738" s="47" t="n">
        <x:v>30</x:v>
      </x:c>
      <x:c r="E3738" s="40" t="n">
        <x:v>13.2</x:v>
      </x:c>
      <x:c r="F3738" s="40" t="n">
        <x:v>11.755630493164062</x:v>
      </x:c>
      <x:c r="G3738" s="40" t="n">
        <x:v>13.2</x:v>
      </x:c>
      <x:c r="H3738" s="40" t="n">
        <x:f>F3738-E3738</x:f>
        <x:v>-1.4443695068359368</x:v>
      </x:c>
      <x:c r="I3738" s="40" t="n">
        <x:f>ABS(H3738)</x:f>
        <x:v>1.4443695068359368</x:v>
      </x:c>
      <x:c r="J3738" s="40" t="n">
        <x:f>H3738^2</x:f>
        <x:v>2.086203272277487</x:v>
      </x:c>
      <x:c r="K3738" s="40" t="n">
        <x:f>G3738-E3738</x:f>
        <x:v>0</x:v>
      </x:c>
      <x:c r="L3738" s="40" t="n">
        <x:f>ABS(K3738)</x:f>
        <x:v>0</x:v>
      </x:c>
      <x:c r="M3738" s="41" t="str">
        <x:v>lstm-soil-v1</x:v>
      </x:c>
    </x:row>
    <x:row r="3739">
      <x:c r="A3739" s="38" t="str">
        <x:v>7月30日现场数据</x:v>
      </x:c>
      <x:c r="B3739" s="39" t="str">
        <x:v>2026-08-03T19:20:00</x:v>
      </x:c>
      <x:c r="C3739" s="39" t="str">
        <x:v>2026-08-03T20:20:00</x:v>
      </x:c>
      <x:c r="D3739" s="47" t="n">
        <x:v>60</x:v>
      </x:c>
      <x:c r="E3739" s="40" t="n">
        <x:v>13.3</x:v>
      </x:c>
      <x:c r="F3739" s="40" t="n">
        <x:v>13.445178985595703</x:v>
      </x:c>
      <x:c r="G3739" s="40" t="n">
        <x:v>13.2</x:v>
      </x:c>
      <x:c r="H3739" s="40" t="n">
        <x:f>F3739-E3739</x:f>
        <x:v>0.14517898559570241</x:v>
      </x:c>
      <x:c r="I3739" s="40" t="n">
        <x:f>ABS(H3739)</x:f>
        <x:v>0.14517898559570241</x:v>
      </x:c>
      <x:c r="J3739" s="40" t="n">
        <x:f>H3739^2</x:f>
        <x:v>0.02107693785859717</x:v>
      </x:c>
      <x:c r="K3739" s="40" t="n">
        <x:f>G3739-E3739</x:f>
        <x:v>-0.10000000000000142</x:v>
      </x:c>
      <x:c r="L3739" s="40" t="n">
        <x:f>ABS(K3739)</x:f>
        <x:v>0.10000000000000142</x:v>
      </x:c>
      <x:c r="M3739" s="41" t="str">
        <x:v>lstm-soil-v1</x:v>
      </x:c>
    </x:row>
    <x:row r="3740">
      <x:c r="A3740" s="38" t="str">
        <x:v>7月30日现场数据</x:v>
      </x:c>
      <x:c r="B3740" s="39" t="str">
        <x:v>2026-08-03T19:25:00</x:v>
      </x:c>
      <x:c r="C3740" s="39" t="str">
        <x:v>2026-08-03T19:30:00</x:v>
      </x:c>
      <x:c r="D3740" s="47" t="n">
        <x:v>5</x:v>
      </x:c>
      <x:c r="E3740" s="40" t="n">
        <x:v>13.2</x:v>
      </x:c>
      <x:c r="F3740" s="40" t="n">
        <x:v>11.276359558105469</x:v>
      </x:c>
      <x:c r="G3740" s="40" t="n">
        <x:v>13.2</x:v>
      </x:c>
      <x:c r="H3740" s="40" t="n">
        <x:f>F3740-E3740</x:f>
        <x:v>-1.9236404418945305</x:v>
      </x:c>
      <x:c r="I3740" s="40" t="n">
        <x:f>ABS(H3740)</x:f>
        <x:v>1.9236404418945305</x:v>
      </x:c>
      <x:c r="J3740" s="40" t="n">
        <x:f>H3740^2</x:f>
        <x:v>3.7003925496921846</x:v>
      </x:c>
      <x:c r="K3740" s="40" t="n">
        <x:f>G3740-E3740</x:f>
        <x:v>0</x:v>
      </x:c>
      <x:c r="L3740" s="40" t="n">
        <x:f>ABS(K3740)</x:f>
        <x:v>0</x:v>
      </x:c>
      <x:c r="M3740" s="41" t="str">
        <x:v>lstm-soil-v1</x:v>
      </x:c>
    </x:row>
    <x:row r="3741">
      <x:c r="A3741" s="38" t="str">
        <x:v>7月30日现场数据</x:v>
      </x:c>
      <x:c r="B3741" s="39" t="str">
        <x:v>2026-08-03T19:25:00</x:v>
      </x:c>
      <x:c r="C3741" s="39" t="str">
        <x:v>2026-08-03T19:40:00</x:v>
      </x:c>
      <x:c r="D3741" s="47" t="n">
        <x:v>15</x:v>
      </x:c>
      <x:c r="E3741" s="40" t="n">
        <x:v>13.2</x:v>
      </x:c>
      <x:c r="F3741" s="40" t="n">
        <x:v>11.347537994384766</x:v>
      </x:c>
      <x:c r="G3741" s="40" t="n">
        <x:v>13.2</x:v>
      </x:c>
      <x:c r="H3741" s="40" t="n">
        <x:f>F3741-E3741</x:f>
        <x:v>-1.8524620056152337</x:v>
      </x:c>
      <x:c r="I3741" s="40" t="n">
        <x:f>ABS(H3741)</x:f>
        <x:v>1.8524620056152337</x:v>
      </x:c>
      <x:c r="J3741" s="40" t="n">
        <x:f>H3741^2</x:f>
        <x:v>3.431615482248014</x:v>
      </x:c>
      <x:c r="K3741" s="40" t="n">
        <x:f>G3741-E3741</x:f>
        <x:v>0</x:v>
      </x:c>
      <x:c r="L3741" s="40" t="n">
        <x:f>ABS(K3741)</x:f>
        <x:v>0</x:v>
      </x:c>
      <x:c r="M3741" s="41" t="str">
        <x:v>lstm-soil-v1</x:v>
      </x:c>
    </x:row>
    <x:row r="3742">
      <x:c r="A3742" s="38" t="str">
        <x:v>7月30日现场数据</x:v>
      </x:c>
      <x:c r="B3742" s="39" t="str">
        <x:v>2026-08-03T19:25:00</x:v>
      </x:c>
      <x:c r="C3742" s="39" t="str">
        <x:v>2026-08-03T19:55:00</x:v>
      </x:c>
      <x:c r="D3742" s="47" t="n">
        <x:v>30</x:v>
      </x:c>
      <x:c r="E3742" s="40" t="n">
        <x:v>13.1</x:v>
      </x:c>
      <x:c r="F3742" s="40" t="n">
        <x:v>11.753852844238281</x:v>
      </x:c>
      <x:c r="G3742" s="40" t="n">
        <x:v>13.2</x:v>
      </x:c>
      <x:c r="H3742" s="40" t="n">
        <x:f>F3742-E3742</x:f>
        <x:v>-1.3461471557617184</x:v>
      </x:c>
      <x:c r="I3742" s="40" t="n">
        <x:f>ABS(H3742)</x:f>
        <x:v>1.3461471557617184</x:v>
      </x:c>
      <x:c r="J3742" s="40" t="n">
        <x:f>H3742^2</x:f>
        <x:v>1.8121121649653642</x:v>
      </x:c>
      <x:c r="K3742" s="40" t="n">
        <x:f>G3742-E3742</x:f>
        <x:v>0.09999999999999964</x:v>
      </x:c>
      <x:c r="L3742" s="40" t="n">
        <x:f>ABS(K3742)</x:f>
        <x:v>0.09999999999999964</x:v>
      </x:c>
      <x:c r="M3742" s="41" t="str">
        <x:v>lstm-soil-v1</x:v>
      </x:c>
    </x:row>
    <x:row r="3743">
      <x:c r="A3743" s="38" t="str">
        <x:v>7月30日现场数据</x:v>
      </x:c>
      <x:c r="B3743" s="39" t="str">
        <x:v>2026-08-03T19:25:00</x:v>
      </x:c>
      <x:c r="C3743" s="39" t="str">
        <x:v>2026-08-03T20:25:00</x:v>
      </x:c>
      <x:c r="D3743" s="47" t="n">
        <x:v>60</x:v>
      </x:c>
      <x:c r="E3743" s="40" t="n">
        <x:v>12.7</x:v>
      </x:c>
      <x:c r="F3743" s="40" t="n">
        <x:v>13.440940856933594</x:v>
      </x:c>
      <x:c r="G3743" s="40" t="n">
        <x:v>13.2</x:v>
      </x:c>
      <x:c r="H3743" s="40" t="n">
        <x:f>F3743-E3743</x:f>
        <x:v>0.7409408569335945</x:v>
      </x:c>
      <x:c r="I3743" s="40" t="n">
        <x:f>ABS(H3743)</x:f>
        <x:v>0.7409408569335945</x:v>
      </x:c>
      <x:c r="J3743" s="40" t="n">
        <x:f>H3743^2</x:f>
        <x:v>0.5489933534734893</x:v>
      </x:c>
      <x:c r="K3743" s="40" t="n">
        <x:f>G3743-E3743</x:f>
        <x:v>0.5</x:v>
      </x:c>
      <x:c r="L3743" s="40" t="n">
        <x:f>ABS(K3743)</x:f>
        <x:v>0.5</x:v>
      </x:c>
      <x:c r="M3743" s="41" t="str">
        <x:v>lstm-soil-v1</x:v>
      </x:c>
    </x:row>
    <x:row r="3744">
      <x:c r="A3744" s="38" t="str">
        <x:v>7月30日现场数据</x:v>
      </x:c>
      <x:c r="B3744" s="39" t="str">
        <x:v>2026-08-03T19:30:00</x:v>
      </x:c>
      <x:c r="C3744" s="39" t="str">
        <x:v>2026-08-03T19:35:00</x:v>
      </x:c>
      <x:c r="D3744" s="47" t="n">
        <x:v>5</x:v>
      </x:c>
      <x:c r="E3744" s="40" t="n">
        <x:v>13.2</x:v>
      </x:c>
      <x:c r="F3744" s="40" t="n">
        <x:v>11.276195526123047</x:v>
      </x:c>
      <x:c r="G3744" s="40" t="n">
        <x:v>13.2</x:v>
      </x:c>
      <x:c r="H3744" s="40" t="n">
        <x:f>F3744-E3744</x:f>
        <x:v>-1.9238044738769524</x:v>
      </x:c>
      <x:c r="I3744" s="40" t="n">
        <x:f>ABS(H3744)</x:f>
        <x:v>1.9238044738769524</x:v>
      </x:c>
      <x:c r="J3744" s="40" t="n">
        <x:f>H3744^2</x:f>
        <x:v>3.701023653708978</x:v>
      </x:c>
      <x:c r="K3744" s="40" t="n">
        <x:f>G3744-E3744</x:f>
        <x:v>0</x:v>
      </x:c>
      <x:c r="L3744" s="40" t="n">
        <x:f>ABS(K3744)</x:f>
        <x:v>0</x:v>
      </x:c>
      <x:c r="M3744" s="41" t="str">
        <x:v>lstm-soil-v1</x:v>
      </x:c>
    </x:row>
    <x:row r="3745">
      <x:c r="A3745" s="38" t="str">
        <x:v>7月30日现场数据</x:v>
      </x:c>
      <x:c r="B3745" s="39" t="str">
        <x:v>2026-08-03T19:30:00</x:v>
      </x:c>
      <x:c r="C3745" s="39" t="str">
        <x:v>2026-08-03T19:45:00</x:v>
      </x:c>
      <x:c r="D3745" s="47" t="n">
        <x:v>15</x:v>
      </x:c>
      <x:c r="E3745" s="40" t="n">
        <x:v>13.2</x:v>
      </x:c>
      <x:c r="F3745" s="40" t="n">
        <x:v>11.346179962158203</x:v>
      </x:c>
      <x:c r="G3745" s="40" t="n">
        <x:v>13.2</x:v>
      </x:c>
      <x:c r="H3745" s="40" t="n">
        <x:f>F3745-E3745</x:f>
        <x:v>-1.8538200378417962</x:v>
      </x:c>
      <x:c r="I3745" s="40" t="n">
        <x:f>ABS(H3745)</x:f>
        <x:v>1.8538200378417962</x:v>
      </x:c>
      <x:c r="J3745" s="40" t="n">
        <x:f>H3745^2</x:f>
        <x:v>3.4366487327037585</x:v>
      </x:c>
      <x:c r="K3745" s="40" t="n">
        <x:f>G3745-E3745</x:f>
        <x:v>0</x:v>
      </x:c>
      <x:c r="L3745" s="40" t="n">
        <x:f>ABS(K3745)</x:f>
        <x:v>0</x:v>
      </x:c>
      <x:c r="M3745" s="41" t="str">
        <x:v>lstm-soil-v1</x:v>
      </x:c>
    </x:row>
    <x:row r="3746">
      <x:c r="A3746" s="38" t="str">
        <x:v>7月30日现场数据</x:v>
      </x:c>
      <x:c r="B3746" s="39" t="str">
        <x:v>2026-08-03T19:30:00</x:v>
      </x:c>
      <x:c r="C3746" s="39" t="str">
        <x:v>2026-08-03T20:00:00</x:v>
      </x:c>
      <x:c r="D3746" s="47" t="n">
        <x:v>30</x:v>
      </x:c>
      <x:c r="E3746" s="40" t="n">
        <x:v>13.2</x:v>
      </x:c>
      <x:c r="F3746" s="40" t="n">
        <x:v>11.754158020019531</x:v>
      </x:c>
      <x:c r="G3746" s="40" t="n">
        <x:v>13.2</x:v>
      </x:c>
      <x:c r="H3746" s="40" t="n">
        <x:f>F3746-E3746</x:f>
        <x:v>-1.445841979980468</x:v>
      </x:c>
      <x:c r="I3746" s="40" t="n">
        <x:f>ABS(H3746)</x:f>
        <x:v>1.445841979980468</x:v>
      </x:c>
      <x:c r="J3746" s="40" t="n">
        <x:f>H3746^2</x:f>
        <x:v>2.09045903107384</x:v>
      </x:c>
      <x:c r="K3746" s="40" t="n">
        <x:f>G3746-E3746</x:f>
        <x:v>0</x:v>
      </x:c>
      <x:c r="L3746" s="40" t="n">
        <x:f>ABS(K3746)</x:f>
        <x:v>0</x:v>
      </x:c>
      <x:c r="M3746" s="41" t="str">
        <x:v>lstm-soil-v1</x:v>
      </x:c>
    </x:row>
    <x:row r="3747">
      <x:c r="A3747" s="38" t="str">
        <x:v>7月30日现场数据</x:v>
      </x:c>
      <x:c r="B3747" s="39" t="str">
        <x:v>2026-08-03T19:30:00</x:v>
      </x:c>
      <x:c r="C3747" s="39" t="str">
        <x:v>2026-08-03T20:30:00</x:v>
      </x:c>
      <x:c r="D3747" s="47" t="n">
        <x:v>60</x:v>
      </x:c>
      <x:c r="E3747" s="40" t="n">
        <x:v>12.7</x:v>
      </x:c>
      <x:c r="F3747" s="40" t="n">
        <x:v>13.44094467163086</x:v>
      </x:c>
      <x:c r="G3747" s="40" t="n">
        <x:v>13.2</x:v>
      </x:c>
      <x:c r="H3747" s="40" t="n">
        <x:f>F3747-E3747</x:f>
        <x:v>0.7409446716308601</x:v>
      </x:c>
      <x:c r="I3747" s="40" t="n">
        <x:f>ABS(H3747)</x:f>
        <x:v>0.7409446716308601</x:v>
      </x:c>
      <x:c r="J3747" s="40" t="n">
        <x:f>H3747^2</x:f>
        <x:v>0.5489990064181631</x:v>
      </x:c>
      <x:c r="K3747" s="40" t="n">
        <x:f>G3747-E3747</x:f>
        <x:v>0.5</x:v>
      </x:c>
      <x:c r="L3747" s="40" t="n">
        <x:f>ABS(K3747)</x:f>
        <x:v>0.5</x:v>
      </x:c>
      <x:c r="M3747" s="41" t="str">
        <x:v>lstm-soil-v1</x:v>
      </x:c>
    </x:row>
    <x:row r="3748">
      <x:c r="A3748" s="38" t="str">
        <x:v>7月30日现场数据</x:v>
      </x:c>
      <x:c r="B3748" s="39" t="str">
        <x:v>2026-08-03T19:35:00</x:v>
      </x:c>
      <x:c r="C3748" s="39" t="str">
        <x:v>2026-08-03T19:40:00</x:v>
      </x:c>
      <x:c r="D3748" s="47" t="n">
        <x:v>5</x:v>
      </x:c>
      <x:c r="E3748" s="40" t="n">
        <x:v>13.2</x:v>
      </x:c>
      <x:c r="F3748" s="40" t="n">
        <x:v>11.276298522949219</x:v>
      </x:c>
      <x:c r="G3748" s="40" t="n">
        <x:v>13.2</x:v>
      </x:c>
      <x:c r="H3748" s="40" t="n">
        <x:f>F3748-E3748</x:f>
        <x:v>-1.9237014770507805</x:v>
      </x:c>
      <x:c r="I3748" s="40" t="n">
        <x:f>ABS(H3748)</x:f>
        <x:v>1.9237014770507805</x:v>
      </x:c>
      <x:c r="J3748" s="40" t="n">
        <x:f>H3748^2</x:f>
        <x:v>3.7006273728073547</x:v>
      </x:c>
      <x:c r="K3748" s="40" t="n">
        <x:f>G3748-E3748</x:f>
        <x:v>0</x:v>
      </x:c>
      <x:c r="L3748" s="40" t="n">
        <x:f>ABS(K3748)</x:f>
        <x:v>0</x:v>
      </x:c>
      <x:c r="M3748" s="41" t="str">
        <x:v>lstm-soil-v1</x:v>
      </x:c>
    </x:row>
    <x:row r="3749">
      <x:c r="A3749" s="38" t="str">
        <x:v>7月30日现场数据</x:v>
      </x:c>
      <x:c r="B3749" s="39" t="str">
        <x:v>2026-08-03T19:35:00</x:v>
      </x:c>
      <x:c r="C3749" s="39" t="str">
        <x:v>2026-08-03T19:50:00</x:v>
      </x:c>
      <x:c r="D3749" s="47" t="n">
        <x:v>15</x:v>
      </x:c>
      <x:c r="E3749" s="40" t="n">
        <x:v>13.2</x:v>
      </x:c>
      <x:c r="F3749" s="40" t="n">
        <x:v>11.345329284667969</x:v>
      </x:c>
      <x:c r="G3749" s="40" t="n">
        <x:v>13.2</x:v>
      </x:c>
      <x:c r="H3749" s="40" t="n">
        <x:f>F3749-E3749</x:f>
        <x:v>-1.8546707153320305</x:v>
      </x:c>
      <x:c r="I3749" s="40" t="n">
        <x:f>ABS(H3749)</x:f>
        <x:v>1.8546707153320305</x:v>
      </x:c>
      <x:c r="J3749" s="40" t="n">
        <x:f>H3749^2</x:f>
        <x:v>3.439803462310226</x:v>
      </x:c>
      <x:c r="K3749" s="40" t="n">
        <x:f>G3749-E3749</x:f>
        <x:v>0</x:v>
      </x:c>
      <x:c r="L3749" s="40" t="n">
        <x:f>ABS(K3749)</x:f>
        <x:v>0</x:v>
      </x:c>
      <x:c r="M3749" s="41" t="str">
        <x:v>lstm-soil-v1</x:v>
      </x:c>
    </x:row>
    <x:row r="3750">
      <x:c r="A3750" s="38" t="str">
        <x:v>7月30日现场数据</x:v>
      </x:c>
      <x:c r="B3750" s="39" t="str">
        <x:v>2026-08-03T19:35:00</x:v>
      </x:c>
      <x:c r="C3750" s="39" t="str">
        <x:v>2026-08-03T20:05:00</x:v>
      </x:c>
      <x:c r="D3750" s="47" t="n">
        <x:v>30</x:v>
      </x:c>
      <x:c r="E3750" s="40" t="n">
        <x:v>13.1</x:v>
      </x:c>
      <x:c r="F3750" s="40" t="n">
        <x:v>11.75478744506836</x:v>
      </x:c>
      <x:c r="G3750" s="40" t="n">
        <x:v>13.2</x:v>
      </x:c>
      <x:c r="H3750" s="40" t="n">
        <x:f>F3750-E3750</x:f>
        <x:v>-1.3452125549316403</x:v>
      </x:c>
      <x:c r="I3750" s="40" t="n">
        <x:f>ABS(H3750)</x:f>
        <x:v>1.3452125549316403</x:v>
      </x:c>
      <x:c r="J3750" s="40" t="n">
        <x:f>H3750^2</x:f>
        <x:v>1.8095968179457114</x:v>
      </x:c>
      <x:c r="K3750" s="40" t="n">
        <x:f>G3750-E3750</x:f>
        <x:v>0.09999999999999964</x:v>
      </x:c>
      <x:c r="L3750" s="40" t="n">
        <x:f>ABS(K3750)</x:f>
        <x:v>0.09999999999999964</x:v>
      </x:c>
      <x:c r="M3750" s="41" t="str">
        <x:v>lstm-soil-v1</x:v>
      </x:c>
    </x:row>
    <x:row r="3751">
      <x:c r="A3751" s="38" t="str">
        <x:v>7月30日现场数据</x:v>
      </x:c>
      <x:c r="B3751" s="39" t="str">
        <x:v>2026-08-03T19:35:00</x:v>
      </x:c>
      <x:c r="C3751" s="39" t="str">
        <x:v>2026-08-03T20:35:00</x:v>
      </x:c>
      <x:c r="D3751" s="47" t="n">
        <x:v>60</x:v>
      </x:c>
      <x:c r="E3751" s="40" t="n">
        <x:v>12.6</x:v>
      </x:c>
      <x:c r="F3751" s="40" t="n">
        <x:v>13.441314697265625</x:v>
      </x:c>
      <x:c r="G3751" s="40" t="n">
        <x:v>13.2</x:v>
      </x:c>
      <x:c r="H3751" s="40" t="n">
        <x:f>F3751-E3751</x:f>
        <x:v>0.8413146972656254</x:v>
      </x:c>
      <x:c r="I3751" s="40" t="n">
        <x:f>ABS(H3751)</x:f>
        <x:v>0.8413146972656254</x:v>
      </x:c>
      <x:c r="J3751" s="40" t="n">
        <x:f>H3751^2</x:f>
        <x:v>0.7078104198351508</x:v>
      </x:c>
      <x:c r="K3751" s="40" t="n">
        <x:f>G3751-E3751</x:f>
        <x:v>0.5999999999999996</x:v>
      </x:c>
      <x:c r="L3751" s="40" t="n">
        <x:f>ABS(K3751)</x:f>
        <x:v>0.5999999999999996</x:v>
      </x:c>
      <x:c r="M3751" s="41" t="str">
        <x:v>lstm-soil-v1</x:v>
      </x:c>
    </x:row>
    <x:row r="3752">
      <x:c r="A3752" s="38" t="str">
        <x:v>7月30日现场数据</x:v>
      </x:c>
      <x:c r="B3752" s="39" t="str">
        <x:v>2026-08-03T19:40:00</x:v>
      </x:c>
      <x:c r="C3752" s="39" t="str">
        <x:v>2026-08-03T19:45:00</x:v>
      </x:c>
      <x:c r="D3752" s="47" t="n">
        <x:v>5</x:v>
      </x:c>
      <x:c r="E3752" s="40" t="n">
        <x:v>13.2</x:v>
      </x:c>
      <x:c r="F3752" s="40" t="n">
        <x:v>11.276615142822266</x:v>
      </x:c>
      <x:c r="G3752" s="40" t="n">
        <x:v>13.2</x:v>
      </x:c>
      <x:c r="H3752" s="40" t="n">
        <x:f>F3752-E3752</x:f>
        <x:v>-1.9233848571777337</x:v>
      </x:c>
      <x:c r="I3752" s="40" t="n">
        <x:f>ABS(H3752)</x:f>
        <x:v>1.9233848571777337</x:v>
      </x:c>
      <x:c r="J3752" s="40" t="n">
        <x:f>H3752^2</x:f>
        <x:v>3.699409308820611</x:v>
      </x:c>
      <x:c r="K3752" s="40" t="n">
        <x:f>G3752-E3752</x:f>
        <x:v>0</x:v>
      </x:c>
      <x:c r="L3752" s="40" t="n">
        <x:f>ABS(K3752)</x:f>
        <x:v>0</x:v>
      </x:c>
      <x:c r="M3752" s="41" t="str">
        <x:v>lstm-soil-v1</x:v>
      </x:c>
    </x:row>
    <x:row r="3753">
      <x:c r="A3753" s="38" t="str">
        <x:v>7月30日现场数据</x:v>
      </x:c>
      <x:c r="B3753" s="39" t="str">
        <x:v>2026-08-03T19:40:00</x:v>
      </x:c>
      <x:c r="C3753" s="39" t="str">
        <x:v>2026-08-03T19:55:00</x:v>
      </x:c>
      <x:c r="D3753" s="47" t="n">
        <x:v>15</x:v>
      </x:c>
      <x:c r="E3753" s="40" t="n">
        <x:v>13.1</x:v>
      </x:c>
      <x:c r="F3753" s="40" t="n">
        <x:v>11.345088958740234</x:v>
      </x:c>
      <x:c r="G3753" s="40" t="n">
        <x:v>13.2</x:v>
      </x:c>
      <x:c r="H3753" s="40" t="n">
        <x:f>F3753-E3753</x:f>
        <x:v>-1.7549110412597653</x:v>
      </x:c>
      <x:c r="I3753" s="40" t="n">
        <x:f>ABS(H3753)</x:f>
        <x:v>1.7549110412597653</x:v>
      </x:c>
      <x:c r="J3753" s="40" t="n">
        <x:f>H3753^2</x:f>
        <x:v>3.0797127627354337</x:v>
      </x:c>
      <x:c r="K3753" s="40" t="n">
        <x:f>G3753-E3753</x:f>
        <x:v>0.09999999999999964</x:v>
      </x:c>
      <x:c r="L3753" s="40" t="n">
        <x:f>ABS(K3753)</x:f>
        <x:v>0.09999999999999964</x:v>
      </x:c>
      <x:c r="M3753" s="41" t="str">
        <x:v>lstm-soil-v1</x:v>
      </x:c>
    </x:row>
    <x:row r="3754">
      <x:c r="A3754" s="38" t="str">
        <x:v>7月30日现场数据</x:v>
      </x:c>
      <x:c r="B3754" s="39" t="str">
        <x:v>2026-08-03T19:40:00</x:v>
      </x:c>
      <x:c r="C3754" s="39" t="str">
        <x:v>2026-08-03T20:10:00</x:v>
      </x:c>
      <x:c r="D3754" s="47" t="n">
        <x:v>30</x:v>
      </x:c>
      <x:c r="E3754" s="40" t="n">
        <x:v>13.1</x:v>
      </x:c>
      <x:c r="F3754" s="40" t="n">
        <x:v>11.755596160888672</x:v>
      </x:c>
      <x:c r="G3754" s="40" t="n">
        <x:v>13.2</x:v>
      </x:c>
      <x:c r="H3754" s="40" t="n">
        <x:f>F3754-E3754</x:f>
        <x:v>-1.3444038391113278</x:v>
      </x:c>
      <x:c r="I3754" s="40" t="n">
        <x:f>ABS(H3754)</x:f>
        <x:v>1.3444038391113278</x:v>
      </x:c>
      <x:c r="J3754" s="40" t="n">
        <x:f>H3754^2</x:f>
        <x:v>1.8074216826172769</x:v>
      </x:c>
      <x:c r="K3754" s="40" t="n">
        <x:f>G3754-E3754</x:f>
        <x:v>0.09999999999999964</x:v>
      </x:c>
      <x:c r="L3754" s="40" t="n">
        <x:f>ABS(K3754)</x:f>
        <x:v>0.09999999999999964</x:v>
      </x:c>
      <x:c r="M3754" s="41" t="str">
        <x:v>lstm-soil-v1</x:v>
      </x:c>
    </x:row>
    <x:row r="3755">
      <x:c r="A3755" s="38" t="str">
        <x:v>7月30日现场数据</x:v>
      </x:c>
      <x:c r="B3755" s="39" t="str">
        <x:v>2026-08-03T19:40:00</x:v>
      </x:c>
      <x:c r="C3755" s="39" t="str">
        <x:v>2026-08-03T20:40:00</x:v>
      </x:c>
      <x:c r="D3755" s="47" t="n">
        <x:v>60</x:v>
      </x:c>
      <x:c r="E3755" s="40" t="n">
        <x:v>12.7</x:v>
      </x:c>
      <x:c r="F3755" s="40" t="n">
        <x:v>13.4423828125</x:v>
      </x:c>
      <x:c r="G3755" s="40" t="n">
        <x:v>13.2</x:v>
      </x:c>
      <x:c r="H3755" s="40" t="n">
        <x:f>F3755-E3755</x:f>
        <x:v>0.7423828125000007</x:v>
      </x:c>
      <x:c r="I3755" s="40" t="n">
        <x:f>ABS(H3755)</x:f>
        <x:v>0.7423828125000007</x:v>
      </x:c>
      <x:c r="J3755" s="40" t="n">
        <x:f>H3755^2</x:f>
        <x:v>0.5511322402954112</x:v>
      </x:c>
      <x:c r="K3755" s="40" t="n">
        <x:f>G3755-E3755</x:f>
        <x:v>0.5</x:v>
      </x:c>
      <x:c r="L3755" s="40" t="n">
        <x:f>ABS(K3755)</x:f>
        <x:v>0.5</x:v>
      </x:c>
      <x:c r="M3755" s="41" t="str">
        <x:v>lstm-soil-v1</x:v>
      </x:c>
    </x:row>
    <x:row r="3756">
      <x:c r="A3756" s="38" t="str">
        <x:v>7月30日现场数据</x:v>
      </x:c>
      <x:c r="B3756" s="39" t="str">
        <x:v>2026-08-03T19:45:00</x:v>
      </x:c>
      <x:c r="C3756" s="39" t="str">
        <x:v>2026-08-03T19:50:00</x:v>
      </x:c>
      <x:c r="D3756" s="47" t="n">
        <x:v>5</x:v>
      </x:c>
      <x:c r="E3756" s="40" t="n">
        <x:v>13.2</x:v>
      </x:c>
      <x:c r="F3756" s="40" t="n">
        <x:v>11.276615142822266</x:v>
      </x:c>
      <x:c r="G3756" s="40" t="n">
        <x:v>13.2</x:v>
      </x:c>
      <x:c r="H3756" s="40" t="n">
        <x:f>F3756-E3756</x:f>
        <x:v>-1.9233848571777337</x:v>
      </x:c>
      <x:c r="I3756" s="40" t="n">
        <x:f>ABS(H3756)</x:f>
        <x:v>1.9233848571777337</x:v>
      </x:c>
      <x:c r="J3756" s="40" t="n">
        <x:f>H3756^2</x:f>
        <x:v>3.699409308820611</x:v>
      </x:c>
      <x:c r="K3756" s="40" t="n">
        <x:f>G3756-E3756</x:f>
        <x:v>0</x:v>
      </x:c>
      <x:c r="L3756" s="40" t="n">
        <x:f>ABS(K3756)</x:f>
        <x:v>0</x:v>
      </x:c>
      <x:c r="M3756" s="41" t="str">
        <x:v>lstm-soil-v1</x:v>
      </x:c>
    </x:row>
    <x:row r="3757">
      <x:c r="A3757" s="38" t="str">
        <x:v>7月30日现场数据</x:v>
      </x:c>
      <x:c r="B3757" s="39" t="str">
        <x:v>2026-08-03T19:45:00</x:v>
      </x:c>
      <x:c r="C3757" s="39" t="str">
        <x:v>2026-08-03T20:00:00</x:v>
      </x:c>
      <x:c r="D3757" s="47" t="n">
        <x:v>15</x:v>
      </x:c>
      <x:c r="E3757" s="40" t="n">
        <x:v>13.2</x:v>
      </x:c>
      <x:c r="F3757" s="40" t="n">
        <x:v>11.344825744628906</x:v>
      </x:c>
      <x:c r="G3757" s="40" t="n">
        <x:v>13.2</x:v>
      </x:c>
      <x:c r="H3757" s="40" t="n">
        <x:f>F3757-E3757</x:f>
        <x:v>-1.855174255371093</x:v>
      </x:c>
      <x:c r="I3757" s="40" t="n">
        <x:f>ABS(H3757)</x:f>
        <x:v>1.855174255371093</x:v>
      </x:c>
      <x:c r="J3757" s="40" t="n">
        <x:f>H3757^2</x:f>
        <x:v>3.4416715177916894</x:v>
      </x:c>
      <x:c r="K3757" s="40" t="n">
        <x:f>G3757-E3757</x:f>
        <x:v>0</x:v>
      </x:c>
      <x:c r="L3757" s="40" t="n">
        <x:f>ABS(K3757)</x:f>
        <x:v>0</x:v>
      </x:c>
      <x:c r="M3757" s="41" t="str">
        <x:v>lstm-soil-v1</x:v>
      </x:c>
    </x:row>
    <x:row r="3758">
      <x:c r="A3758" s="38" t="str">
        <x:v>7月30日现场数据</x:v>
      </x:c>
      <x:c r="B3758" s="39" t="str">
        <x:v>2026-08-03T19:45:00</x:v>
      </x:c>
      <x:c r="C3758" s="39" t="str">
        <x:v>2026-08-03T20:15:00</x:v>
      </x:c>
      <x:c r="D3758" s="47" t="n">
        <x:v>30</x:v>
      </x:c>
      <x:c r="E3758" s="40" t="n">
        <x:v>13.1</x:v>
      </x:c>
      <x:c r="F3758" s="40" t="n">
        <x:v>11.755851745605469</x:v>
      </x:c>
      <x:c r="G3758" s="40" t="n">
        <x:v>13.2</x:v>
      </x:c>
      <x:c r="H3758" s="40" t="n">
        <x:f>F3758-E3758</x:f>
        <x:v>-1.344148254394531</x:v>
      </x:c>
      <x:c r="I3758" s="40" t="n">
        <x:f>ABS(H3758)</x:f>
        <x:v>1.344148254394531</x:v>
      </x:c>
      <x:c r="J3758" s="40" t="n">
        <x:f>H3758^2</x:f>
        <x:v>1.8067345297918644</x:v>
      </x:c>
      <x:c r="K3758" s="40" t="n">
        <x:f>G3758-E3758</x:f>
        <x:v>0.09999999999999964</x:v>
      </x:c>
      <x:c r="L3758" s="40" t="n">
        <x:f>ABS(K3758)</x:f>
        <x:v>0.09999999999999964</x:v>
      </x:c>
      <x:c r="M3758" s="41" t="str">
        <x:v>lstm-soil-v1</x:v>
      </x:c>
    </x:row>
    <x:row r="3759">
      <x:c r="A3759" s="38" t="str">
        <x:v>7月30日现场数据</x:v>
      </x:c>
      <x:c r="B3759" s="39" t="str">
        <x:v>2026-08-03T19:45:00</x:v>
      </x:c>
      <x:c r="C3759" s="39" t="str">
        <x:v>2026-08-03T20:45:00</x:v>
      </x:c>
      <x:c r="D3759" s="47" t="n">
        <x:v>60</x:v>
      </x:c>
      <x:c r="E3759" s="40" t="n">
        <x:v>12.7</x:v>
      </x:c>
      <x:c r="F3759" s="40" t="n">
        <x:v>13.442363739013672</x:v>
      </x:c>
      <x:c r="G3759" s="40" t="n">
        <x:v>13.2</x:v>
      </x:c>
      <x:c r="H3759" s="40" t="n">
        <x:f>F3759-E3759</x:f>
        <x:v>0.7423637390136726</x:v>
      </x:c>
      <x:c r="I3759" s="40" t="n">
        <x:f>ABS(H3759)</x:f>
        <x:v>0.7423637390136726</x:v>
      </x:c>
      <x:c r="J3759" s="40" t="n">
        <x:f>H3759^2</x:f>
        <x:v>0.5511039210023602</x:v>
      </x:c>
      <x:c r="K3759" s="40" t="n">
        <x:f>G3759-E3759</x:f>
        <x:v>0.5</x:v>
      </x:c>
      <x:c r="L3759" s="40" t="n">
        <x:f>ABS(K3759)</x:f>
        <x:v>0.5</x:v>
      </x:c>
      <x:c r="M3759" s="41" t="str">
        <x:v>lstm-soil-v1</x:v>
      </x:c>
    </x:row>
    <x:row r="3760">
      <x:c r="A3760" s="38" t="str">
        <x:v>7月30日现场数据</x:v>
      </x:c>
      <x:c r="B3760" s="39" t="str">
        <x:v>2026-08-03T19:50:00</x:v>
      </x:c>
      <x:c r="C3760" s="39" t="str">
        <x:v>2026-08-03T19:55:00</x:v>
      </x:c>
      <x:c r="D3760" s="47" t="n">
        <x:v>5</x:v>
      </x:c>
      <x:c r="E3760" s="40" t="n">
        <x:v>13.1</x:v>
      </x:c>
      <x:c r="F3760" s="40" t="n">
        <x:v>11.276836395263672</x:v>
      </x:c>
      <x:c r="G3760" s="40" t="n">
        <x:v>13.2</x:v>
      </x:c>
      <x:c r="H3760" s="40" t="n">
        <x:f>F3760-E3760</x:f>
        <x:v>-1.8231636047363278</x:v>
      </x:c>
      <x:c r="I3760" s="40" t="n">
        <x:f>ABS(H3760)</x:f>
        <x:v>1.8231636047363278</x:v>
      </x:c>
      <x:c r="J3760" s="40" t="n">
        <x:f>H3760^2</x:f>
        <x:v>3.3239255296351606</x:v>
      </x:c>
      <x:c r="K3760" s="40" t="n">
        <x:f>G3760-E3760</x:f>
        <x:v>0.09999999999999964</x:v>
      </x:c>
      <x:c r="L3760" s="40" t="n">
        <x:f>ABS(K3760)</x:f>
        <x:v>0.09999999999999964</x:v>
      </x:c>
      <x:c r="M3760" s="41" t="str">
        <x:v>lstm-soil-v1</x:v>
      </x:c>
    </x:row>
    <x:row r="3761">
      <x:c r="A3761" s="38" t="str">
        <x:v>7月30日现场数据</x:v>
      </x:c>
      <x:c r="B3761" s="39" t="str">
        <x:v>2026-08-03T19:50:00</x:v>
      </x:c>
      <x:c r="C3761" s="39" t="str">
        <x:v>2026-08-03T20:05:00</x:v>
      </x:c>
      <x:c r="D3761" s="47" t="n">
        <x:v>15</x:v>
      </x:c>
      <x:c r="E3761" s="40" t="n">
        <x:v>13.1</x:v>
      </x:c>
      <x:c r="F3761" s="40" t="n">
        <x:v>11.34457015991211</x:v>
      </x:c>
      <x:c r="G3761" s="40" t="n">
        <x:v>13.2</x:v>
      </x:c>
      <x:c r="H3761" s="40" t="n">
        <x:f>F3761-E3761</x:f>
        <x:v>-1.7554298400878903</x:v>
      </x:c>
      <x:c r="I3761" s="40" t="n">
        <x:f>ABS(H3761)</x:f>
        <x:v>1.7554298400878903</x:v>
      </x:c>
      <x:c r="J3761" s="40" t="n">
        <x:f>H3761^2</x:f>
        <x:v>3.081533923470996</x:v>
      </x:c>
      <x:c r="K3761" s="40" t="n">
        <x:f>G3761-E3761</x:f>
        <x:v>0.09999999999999964</x:v>
      </x:c>
      <x:c r="L3761" s="40" t="n">
        <x:f>ABS(K3761)</x:f>
        <x:v>0.09999999999999964</x:v>
      </x:c>
      <x:c r="M3761" s="41" t="str">
        <x:v>lstm-soil-v1</x:v>
      </x:c>
    </x:row>
    <x:row r="3762">
      <x:c r="A3762" s="38" t="str">
        <x:v>7月30日现场数据</x:v>
      </x:c>
      <x:c r="B3762" s="39" t="str">
        <x:v>2026-08-03T19:50:00</x:v>
      </x:c>
      <x:c r="C3762" s="39" t="str">
        <x:v>2026-08-03T20:20:00</x:v>
      </x:c>
      <x:c r="D3762" s="47" t="n">
        <x:v>30</x:v>
      </x:c>
      <x:c r="E3762" s="40" t="n">
        <x:v>13.3</x:v>
      </x:c>
      <x:c r="F3762" s="40" t="n">
        <x:v>11.7562255859375</x:v>
      </x:c>
      <x:c r="G3762" s="40" t="n">
        <x:v>13.2</x:v>
      </x:c>
      <x:c r="H3762" s="40" t="n">
        <x:f>F3762-E3762</x:f>
        <x:v>-1.5437744140625007</x:v>
      </x:c>
      <x:c r="I3762" s="40" t="n">
        <x:f>ABS(H3762)</x:f>
        <x:v>1.5437744140625007</x:v>
      </x:c>
      <x:c r="J3762" s="40" t="n">
        <x:f>H3762^2</x:f>
        <x:v>2.3832394415140175</x:v>
      </x:c>
      <x:c r="K3762" s="40" t="n">
        <x:f>G3762-E3762</x:f>
        <x:v>-0.10000000000000142</x:v>
      </x:c>
      <x:c r="L3762" s="40" t="n">
        <x:f>ABS(K3762)</x:f>
        <x:v>0.10000000000000142</x:v>
      </x:c>
      <x:c r="M3762" s="41" t="str">
        <x:v>lstm-soil-v1</x:v>
      </x:c>
    </x:row>
    <x:row r="3763">
      <x:c r="A3763" s="38" t="str">
        <x:v>7月30日现场数据</x:v>
      </x:c>
      <x:c r="B3763" s="39" t="str">
        <x:v>2026-08-03T19:50:00</x:v>
      </x:c>
      <x:c r="C3763" s="39" t="str">
        <x:v>2026-08-03T20:50:00</x:v>
      </x:c>
      <x:c r="D3763" s="47" t="n">
        <x:v>60</x:v>
      </x:c>
      <x:c r="E3763" s="40" t="n">
        <x:v>12.7</x:v>
      </x:c>
      <x:c r="F3763" s="40" t="n">
        <x:v>13.442882537841797</x:v>
      </x:c>
      <x:c r="G3763" s="40" t="n">
        <x:v>13.2</x:v>
      </x:c>
      <x:c r="H3763" s="40" t="n">
        <x:f>F3763-E3763</x:f>
        <x:v>0.7428825378417976</x:v>
      </x:c>
      <x:c r="I3763" s="40" t="n">
        <x:f>ABS(H3763)</x:f>
        <x:v>0.7428825378417976</x:v>
      </x:c>
      <x:c r="J3763" s="40" t="n">
        <x:f>H3763^2</x:f>
        <x:v>0.5518744650302698</x:v>
      </x:c>
      <x:c r="K3763" s="40" t="n">
        <x:f>G3763-E3763</x:f>
        <x:v>0.5</x:v>
      </x:c>
      <x:c r="L3763" s="40" t="n">
        <x:f>ABS(K3763)</x:f>
        <x:v>0.5</x:v>
      </x:c>
      <x:c r="M3763" s="41" t="str">
        <x:v>lstm-soil-v1</x:v>
      </x:c>
    </x:row>
    <x:row r="3764">
      <x:c r="A3764" s="38" t="str">
        <x:v>7月30日现场数据</x:v>
      </x:c>
      <x:c r="B3764" s="39" t="str">
        <x:v>2026-08-03T19:55:00</x:v>
      </x:c>
      <x:c r="C3764" s="39" t="str">
        <x:v>2026-08-03T20:00:00</x:v>
      </x:c>
      <x:c r="D3764" s="47" t="n">
        <x:v>5</x:v>
      </x:c>
      <x:c r="E3764" s="40" t="n">
        <x:v>13.2</x:v>
      </x:c>
      <x:c r="F3764" s="40" t="n">
        <x:v>11.167129516601562</x:v>
      </x:c>
      <x:c r="G3764" s="40" t="n">
        <x:v>13.1</x:v>
      </x:c>
      <x:c r="H3764" s="40" t="n">
        <x:f>F3764-E3764</x:f>
        <x:v>-2.032870483398437</x:v>
      </x:c>
      <x:c r="I3764" s="40" t="n">
        <x:f>ABS(H3764)</x:f>
        <x:v>2.032870483398437</x:v>
      </x:c>
      <x:c r="J3764" s="40" t="n">
        <x:f>H3764^2</x:f>
        <x:v>4.132562402272594</x:v>
      </x:c>
      <x:c r="K3764" s="40" t="n">
        <x:f>G3764-E3764</x:f>
        <x:v>-0.09999999999999964</x:v>
      </x:c>
      <x:c r="L3764" s="40" t="n">
        <x:f>ABS(K3764)</x:f>
        <x:v>0.09999999999999964</x:v>
      </x:c>
      <x:c r="M3764" s="41" t="str">
        <x:v>lstm-soil-v1</x:v>
      </x:c>
    </x:row>
    <x:row r="3765">
      <x:c r="A3765" s="38" t="str">
        <x:v>7月30日现场数据</x:v>
      </x:c>
      <x:c r="B3765" s="39" t="str">
        <x:v>2026-08-03T19:55:00</x:v>
      </x:c>
      <x:c r="C3765" s="39" t="str">
        <x:v>2026-08-03T20:10:00</x:v>
      </x:c>
      <x:c r="D3765" s="47" t="n">
        <x:v>15</x:v>
      </x:c>
      <x:c r="E3765" s="40" t="n">
        <x:v>13.1</x:v>
      </x:c>
      <x:c r="F3765" s="40" t="n">
        <x:v>11.235004425048828</x:v>
      </x:c>
      <x:c r="G3765" s="40" t="n">
        <x:v>13.1</x:v>
      </x:c>
      <x:c r="H3765" s="40" t="n">
        <x:f>F3765-E3765</x:f>
        <x:v>-1.8649955749511715</x:v>
      </x:c>
      <x:c r="I3765" s="40" t="n">
        <x:f>ABS(H3765)</x:f>
        <x:v>1.8649955749511715</x:v>
      </x:c>
      <x:c r="J3765" s="40" t="n">
        <x:f>H3765^2</x:f>
        <x:v>3.478208494587451</x:v>
      </x:c>
      <x:c r="K3765" s="40" t="n">
        <x:f>G3765-E3765</x:f>
        <x:v>0</x:v>
      </x:c>
      <x:c r="L3765" s="40" t="n">
        <x:f>ABS(K3765)</x:f>
        <x:v>0</x:v>
      </x:c>
      <x:c r="M3765" s="41" t="str">
        <x:v>lstm-soil-v1</x:v>
      </x:c>
    </x:row>
    <x:row r="3766">
      <x:c r="A3766" s="38" t="str">
        <x:v>7月30日现场数据</x:v>
      </x:c>
      <x:c r="B3766" s="39" t="str">
        <x:v>2026-08-03T19:55:00</x:v>
      </x:c>
      <x:c r="C3766" s="39" t="str">
        <x:v>2026-08-03T20:25:00</x:v>
      </x:c>
      <x:c r="D3766" s="47" t="n">
        <x:v>30</x:v>
      </x:c>
      <x:c r="E3766" s="40" t="n">
        <x:v>12.7</x:v>
      </x:c>
      <x:c r="F3766" s="40" t="n">
        <x:v>11.64676284790039</x:v>
      </x:c>
      <x:c r="G3766" s="40" t="n">
        <x:v>13.1</x:v>
      </x:c>
      <x:c r="H3766" s="40" t="n">
        <x:f>F3766-E3766</x:f>
        <x:v>-1.0532371520996087</x:v>
      </x:c>
      <x:c r="I3766" s="40" t="n">
        <x:f>ABS(H3766)</x:f>
        <x:v>1.0532371520996087</x:v>
      </x:c>
      <x:c r="J3766" s="40" t="n">
        <x:f>H3766^2</x:f>
        <x:v>1.1093084985628943</x:v>
      </x:c>
      <x:c r="K3766" s="40" t="n">
        <x:f>G3766-E3766</x:f>
        <x:v>0.40000000000000036</x:v>
      </x:c>
      <x:c r="L3766" s="40" t="n">
        <x:f>ABS(K3766)</x:f>
        <x:v>0.40000000000000036</x:v>
      </x:c>
      <x:c r="M3766" s="41" t="str">
        <x:v>lstm-soil-v1</x:v>
      </x:c>
    </x:row>
    <x:row r="3767">
      <x:c r="A3767" s="38" t="str">
        <x:v>7月30日现场数据</x:v>
      </x:c>
      <x:c r="B3767" s="39" t="str">
        <x:v>2026-08-03T19:55:00</x:v>
      </x:c>
      <x:c r="C3767" s="39" t="str">
        <x:v>2026-08-03T20:55:00</x:v>
      </x:c>
      <x:c r="D3767" s="47" t="n">
        <x:v>60</x:v>
      </x:c>
      <x:c r="E3767" s="40" t="n">
        <x:v>12.7</x:v>
      </x:c>
      <x:c r="F3767" s="40" t="n">
        <x:v>13.33462905883789</x:v>
      </x:c>
      <x:c r="G3767" s="40" t="n">
        <x:v>13.1</x:v>
      </x:c>
      <x:c r="H3767" s="40" t="n">
        <x:f>F3767-E3767</x:f>
        <x:v>0.6346290588378913</x:v>
      </x:c>
      <x:c r="I3767" s="40" t="n">
        <x:f>ABS(H3767)</x:f>
        <x:v>0.6346290588378913</x:v>
      </x:c>
      <x:c r="J3767" s="40" t="n">
        <x:f>H3767^2</x:f>
        <x:v>0.4027540423214677</x:v>
      </x:c>
      <x:c r="K3767" s="40" t="n">
        <x:f>G3767-E3767</x:f>
        <x:v>0.40000000000000036</x:v>
      </x:c>
      <x:c r="L3767" s="40" t="n">
        <x:f>ABS(K3767)</x:f>
        <x:v>0.40000000000000036</x:v>
      </x:c>
      <x:c r="M3767" s="41" t="str">
        <x:v>lstm-soil-v1</x:v>
      </x:c>
    </x:row>
    <x:row r="3768">
      <x:c r="A3768" s="38" t="str">
        <x:v>7月30日现场数据</x:v>
      </x:c>
      <x:c r="B3768" s="39" t="str">
        <x:v>2026-08-03T20:00:00</x:v>
      </x:c>
      <x:c r="C3768" s="39" t="str">
        <x:v>2026-08-03T20:05:00</x:v>
      </x:c>
      <x:c r="D3768" s="47" t="n">
        <x:v>5</x:v>
      </x:c>
      <x:c r="E3768" s="40" t="n">
        <x:v>13.1</x:v>
      </x:c>
      <x:c r="F3768" s="40" t="n">
        <x:v>11.274101257324219</x:v>
      </x:c>
      <x:c r="G3768" s="40" t="n">
        <x:v>13.2</x:v>
      </x:c>
      <x:c r="H3768" s="40" t="n">
        <x:f>F3768-E3768</x:f>
        <x:v>-1.825898742675781</x:v>
      </x:c>
      <x:c r="I3768" s="40" t="n">
        <x:f>ABS(H3768)</x:f>
        <x:v>1.825898742675781</x:v>
      </x:c>
      <x:c r="J3768" s="40" t="n">
        <x:f>H3768^2</x:f>
        <x:v>3.3339062185049975</x:v>
      </x:c>
      <x:c r="K3768" s="40" t="n">
        <x:f>G3768-E3768</x:f>
        <x:v>0.09999999999999964</x:v>
      </x:c>
      <x:c r="L3768" s="40" t="n">
        <x:f>ABS(K3768)</x:f>
        <x:v>0.09999999999999964</x:v>
      </x:c>
      <x:c r="M3768" s="41" t="str">
        <x:v>lstm-soil-v1</x:v>
      </x:c>
    </x:row>
    <x:row r="3769">
      <x:c r="A3769" s="38" t="str">
        <x:v>7月30日现场数据</x:v>
      </x:c>
      <x:c r="B3769" s="39" t="str">
        <x:v>2026-08-03T20:00:00</x:v>
      </x:c>
      <x:c r="C3769" s="39" t="str">
        <x:v>2026-08-03T20:15:00</x:v>
      </x:c>
      <x:c r="D3769" s="47" t="n">
        <x:v>15</x:v>
      </x:c>
      <x:c r="E3769" s="40" t="n">
        <x:v>13.1</x:v>
      </x:c>
      <x:c r="F3769" s="40" t="n">
        <x:v>11.343475341796875</x:v>
      </x:c>
      <x:c r="G3769" s="40" t="n">
        <x:v>13.2</x:v>
      </x:c>
      <x:c r="H3769" s="40" t="n">
        <x:f>F3769-E3769</x:f>
        <x:v>-1.7565246582031246</x:v>
      </x:c>
      <x:c r="I3769" s="40" t="n">
        <x:f>ABS(H3769)</x:f>
        <x:v>1.7565246582031246</x:v>
      </x:c>
      <x:c r="J3769" s="40" t="n">
        <x:f>H3769^2</x:f>
        <x:v>3.085378874875604</x:v>
      </x:c>
      <x:c r="K3769" s="40" t="n">
        <x:f>G3769-E3769</x:f>
        <x:v>0.09999999999999964</x:v>
      </x:c>
      <x:c r="L3769" s="40" t="n">
        <x:f>ABS(K3769)</x:f>
        <x:v>0.09999999999999964</x:v>
      </x:c>
      <x:c r="M3769" s="41" t="str">
        <x:v>lstm-soil-v1</x:v>
      </x:c>
    </x:row>
    <x:row r="3770">
      <x:c r="A3770" s="38" t="str">
        <x:v>7月30日现场数据</x:v>
      </x:c>
      <x:c r="B3770" s="39" t="str">
        <x:v>2026-08-03T20:00:00</x:v>
      </x:c>
      <x:c r="C3770" s="39" t="str">
        <x:v>2026-08-03T20:30:00</x:v>
      </x:c>
      <x:c r="D3770" s="47" t="n">
        <x:v>30</x:v>
      </x:c>
      <x:c r="E3770" s="40" t="n">
        <x:v>12.7</x:v>
      </x:c>
      <x:c r="F3770" s="40" t="n">
        <x:v>11.754192352294922</x:v>
      </x:c>
      <x:c r="G3770" s="40" t="n">
        <x:v>13.2</x:v>
      </x:c>
      <x:c r="H3770" s="40" t="n">
        <x:f>F3770-E3770</x:f>
        <x:v>-0.9458076477050774</x:v>
      </x:c>
      <x:c r="I3770" s="40" t="n">
        <x:f>ABS(H3770)</x:f>
        <x:v>0.9458076477050774</x:v>
      </x:c>
      <x:c r="J3770" s="40" t="n">
        <x:f>H3770^2</x:f>
        <x:v>0.8945521064574118</x:v>
      </x:c>
      <x:c r="K3770" s="40" t="n">
        <x:f>G3770-E3770</x:f>
        <x:v>0.5</x:v>
      </x:c>
      <x:c r="L3770" s="40" t="n">
        <x:f>ABS(K3770)</x:f>
        <x:v>0.5</x:v>
      </x:c>
      <x:c r="M3770" s="41" t="str">
        <x:v>lstm-soil-v1</x:v>
      </x:c>
    </x:row>
    <x:row r="3771">
      <x:c r="A3771" s="38" t="str">
        <x:v>7月30日现场数据</x:v>
      </x:c>
      <x:c r="B3771" s="39" t="str">
        <x:v>2026-08-03T20:00:00</x:v>
      </x:c>
      <x:c r="C3771" s="39" t="str">
        <x:v>2026-08-03T21:00:00</x:v>
      </x:c>
      <x:c r="D3771" s="47" t="n">
        <x:v>60</x:v>
      </x:c>
      <x:c r="E3771" s="40" t="n">
        <x:v>12.7</x:v>
      </x:c>
      <x:c r="F3771" s="40" t="n">
        <x:v>13.435836791992188</x:v>
      </x:c>
      <x:c r="G3771" s="40" t="n">
        <x:v>13.2</x:v>
      </x:c>
      <x:c r="H3771" s="40" t="n">
        <x:f>F3771-E3771</x:f>
        <x:v>0.7358367919921882</x:v>
      </x:c>
      <x:c r="I3771" s="40" t="n">
        <x:f>ABS(H3771)</x:f>
        <x:v>0.7358367919921882</x:v>
      </x:c>
      <x:c r="J3771" s="40" t="n">
        <x:f>H3771^2</x:f>
        <x:v>0.5414557844493548</x:v>
      </x:c>
      <x:c r="K3771" s="40" t="n">
        <x:f>G3771-E3771</x:f>
        <x:v>0.5</x:v>
      </x:c>
      <x:c r="L3771" s="40" t="n">
        <x:f>ABS(K3771)</x:f>
        <x:v>0.5</x:v>
      </x:c>
      <x:c r="M3771" s="41" t="str">
        <x:v>lstm-soil-v1</x:v>
      </x:c>
    </x:row>
    <x:row r="3772">
      <x:c r="A3772" s="38" t="str">
        <x:v>7月30日现场数据</x:v>
      </x:c>
      <x:c r="B3772" s="39" t="str">
        <x:v>2026-08-03T20:05:00</x:v>
      </x:c>
      <x:c r="C3772" s="39" t="str">
        <x:v>2026-08-03T20:10:00</x:v>
      </x:c>
      <x:c r="D3772" s="47" t="n">
        <x:v>5</x:v>
      </x:c>
      <x:c r="E3772" s="40" t="n">
        <x:v>13.1</x:v>
      </x:c>
      <x:c r="F3772" s="40" t="n">
        <x:v>11.1629638671875</x:v>
      </x:c>
      <x:c r="G3772" s="40" t="n">
        <x:v>13.1</x:v>
      </x:c>
      <x:c r="H3772" s="40" t="n">
        <x:f>F3772-E3772</x:f>
        <x:v>-1.9370361328124996</x:v>
      </x:c>
      <x:c r="I3772" s="40" t="n">
        <x:f>ABS(H3772)</x:f>
        <x:v>1.9370361328124996</x:v>
      </x:c>
      <x:c r="J3772" s="40" t="n">
        <x:f>H3772^2</x:f>
        <x:v>3.752108979821204</x:v>
      </x:c>
      <x:c r="K3772" s="40" t="n">
        <x:f>G3772-E3772</x:f>
        <x:v>0</x:v>
      </x:c>
      <x:c r="L3772" s="40" t="n">
        <x:f>ABS(K3772)</x:f>
        <x:v>0</x:v>
      </x:c>
      <x:c r="M3772" s="41" t="str">
        <x:v>lstm-soil-v1</x:v>
      </x:c>
    </x:row>
    <x:row r="3773">
      <x:c r="A3773" s="38" t="str">
        <x:v>7月30日现场数据</x:v>
      </x:c>
      <x:c r="B3773" s="39" t="str">
        <x:v>2026-08-03T20:05:00</x:v>
      </x:c>
      <x:c r="C3773" s="39" t="str">
        <x:v>2026-08-03T20:20:00</x:v>
      </x:c>
      <x:c r="D3773" s="47" t="n">
        <x:v>15</x:v>
      </x:c>
      <x:c r="E3773" s="40" t="n">
        <x:v>13.3</x:v>
      </x:c>
      <x:c r="F3773" s="40" t="n">
        <x:v>11.231880187988281</x:v>
      </x:c>
      <x:c r="G3773" s="40" t="n">
        <x:v>13.1</x:v>
      </x:c>
      <x:c r="H3773" s="40" t="n">
        <x:f>F3773-E3773</x:f>
        <x:v>-2.0681198120117195</x:v>
      </x:c>
      <x:c r="I3773" s="40" t="n">
        <x:f>ABS(H3773)</x:f>
        <x:v>2.0681198120117195</x:v>
      </x:c>
      <x:c r="J3773" s="40" t="n">
        <x:f>H3773^2</x:f>
        <x:v>4.27711955683539</x:v>
      </x:c>
      <x:c r="K3773" s="40" t="n">
        <x:f>G3773-E3773</x:f>
        <x:v>-0.20000000000000107</x:v>
      </x:c>
      <x:c r="L3773" s="40" t="n">
        <x:f>ABS(K3773)</x:f>
        <x:v>0.20000000000000107</x:v>
      </x:c>
      <x:c r="M3773" s="41" t="str">
        <x:v>lstm-soil-v1</x:v>
      </x:c>
    </x:row>
    <x:row r="3774">
      <x:c r="A3774" s="38" t="str">
        <x:v>7月30日现场数据</x:v>
      </x:c>
      <x:c r="B3774" s="39" t="str">
        <x:v>2026-08-03T20:05:00</x:v>
      </x:c>
      <x:c r="C3774" s="39" t="str">
        <x:v>2026-08-03T20:35:00</x:v>
      </x:c>
      <x:c r="D3774" s="47" t="n">
        <x:v>30</x:v>
      </x:c>
      <x:c r="E3774" s="40" t="n">
        <x:v>12.6</x:v>
      </x:c>
      <x:c r="F3774" s="40" t="n">
        <x:v>11.64438247680664</x:v>
      </x:c>
      <x:c r="G3774" s="40" t="n">
        <x:v>13.1</x:v>
      </x:c>
      <x:c r="H3774" s="40" t="n">
        <x:f>F3774-E3774</x:f>
        <x:v>-0.955617523193359</x:v>
      </x:c>
      <x:c r="I3774" s="40" t="n">
        <x:f>ABS(H3774)</x:f>
        <x:v>0.955617523193359</x:v>
      </x:c>
      <x:c r="J3774" s="40" t="n">
        <x:f>H3774^2</x:f>
        <x:v>0.9132048506342101</x:v>
      </x:c>
      <x:c r="K3774" s="40" t="n">
        <x:f>G3774-E3774</x:f>
        <x:v>0.5</x:v>
      </x:c>
      <x:c r="L3774" s="40" t="n">
        <x:f>ABS(K3774)</x:f>
        <x:v>0.5</x:v>
      </x:c>
      <x:c r="M3774" s="41" t="str">
        <x:v>lstm-soil-v1</x:v>
      </x:c>
    </x:row>
    <x:row r="3775">
      <x:c r="A3775" s="38" t="str">
        <x:v>7月30日现场数据</x:v>
      </x:c>
      <x:c r="B3775" s="39" t="str">
        <x:v>2026-08-03T20:05:00</x:v>
      </x:c>
      <x:c r="C3775" s="39" t="str">
        <x:v>2026-08-03T21:05:00</x:v>
      </x:c>
      <x:c r="D3775" s="47" t="n">
        <x:v>60</x:v>
      </x:c>
      <x:c r="E3775" s="40" t="n">
        <x:v>12.7</x:v>
      </x:c>
      <x:c r="F3775" s="40" t="n">
        <x:v>13.322086334228516</x:v>
      </x:c>
      <x:c r="G3775" s="40" t="n">
        <x:v>13.1</x:v>
      </x:c>
      <x:c r="H3775" s="40" t="n">
        <x:f>F3775-E3775</x:f>
        <x:v>0.6220863342285163</x:v>
      </x:c>
      <x:c r="I3775" s="40" t="n">
        <x:f>ABS(H3775)</x:f>
        <x:v>0.6220863342285163</x:v>
      </x:c>
      <x:c r="J3775" s="40" t="n">
        <x:f>H3775^2</x:f>
        <x:v>0.3869914072338733</x:v>
      </x:c>
      <x:c r="K3775" s="40" t="n">
        <x:f>G3775-E3775</x:f>
        <x:v>0.40000000000000036</x:v>
      </x:c>
      <x:c r="L3775" s="40" t="n">
        <x:f>ABS(K3775)</x:f>
        <x:v>0.40000000000000036</x:v>
      </x:c>
      <x:c r="M3775" s="41" t="str">
        <x:v>lstm-soil-v1</x:v>
      </x:c>
    </x:row>
    <x:row r="3776">
      <x:c r="A3776" s="38" t="str">
        <x:v>7月30日现场数据</x:v>
      </x:c>
      <x:c r="B3776" s="39" t="str">
        <x:v>2026-08-03T20:10:00</x:v>
      </x:c>
      <x:c r="C3776" s="39" t="str">
        <x:v>2026-08-03T20:15:00</x:v>
      </x:c>
      <x:c r="D3776" s="47" t="n">
        <x:v>5</x:v>
      </x:c>
      <x:c r="E3776" s="40" t="n">
        <x:v>13.1</x:v>
      </x:c>
      <x:c r="F3776" s="40" t="n">
        <x:v>11.161911010742188</x:v>
      </x:c>
      <x:c r="G3776" s="40" t="n">
        <x:v>13.1</x:v>
      </x:c>
      <x:c r="H3776" s="40" t="n">
        <x:f>F3776-E3776</x:f>
        <x:v>-1.9380889892578121</x:v>
      </x:c>
      <x:c r="I3776" s="40" t="n">
        <x:f>ABS(H3776)</x:f>
        <x:v>1.9380889892578121</x:v>
      </x:c>
      <x:c r="J3776" s="40" t="n">
        <x:f>H3776^2</x:f>
        <x:v>3.756188930282368</x:v>
      </x:c>
      <x:c r="K3776" s="40" t="n">
        <x:f>G3776-E3776</x:f>
        <x:v>0</x:v>
      </x:c>
      <x:c r="L3776" s="40" t="n">
        <x:f>ABS(K3776)</x:f>
        <x:v>0</x:v>
      </x:c>
      <x:c r="M3776" s="41" t="str">
        <x:v>lstm-soil-v1</x:v>
      </x:c>
    </x:row>
    <x:row r="3777">
      <x:c r="A3777" s="38" t="str">
        <x:v>7月30日现场数据</x:v>
      </x:c>
      <x:c r="B3777" s="39" t="str">
        <x:v>2026-08-03T20:10:00</x:v>
      </x:c>
      <x:c r="C3777" s="39" t="str">
        <x:v>2026-08-03T20:25:00</x:v>
      </x:c>
      <x:c r="D3777" s="47" t="n">
        <x:v>15</x:v>
      </x:c>
      <x:c r="E3777" s="40" t="n">
        <x:v>12.7</x:v>
      </x:c>
      <x:c r="F3777" s="40" t="n">
        <x:v>11.230411529541016</x:v>
      </x:c>
      <x:c r="G3777" s="40" t="n">
        <x:v>13.1</x:v>
      </x:c>
      <x:c r="H3777" s="40" t="n">
        <x:f>F3777-E3777</x:f>
        <x:v>-1.4695884704589837</x:v>
      </x:c>
      <x:c r="I3777" s="40" t="n">
        <x:f>ABS(H3777)</x:f>
        <x:v>1.4695884704589837</x:v>
      </x:c>
      <x:c r="J3777" s="40" t="n">
        <x:f>H3777^2</x:f>
        <x:v>2.159690272505975</x:v>
      </x:c>
      <x:c r="K3777" s="40" t="n">
        <x:f>G3777-E3777</x:f>
        <x:v>0.40000000000000036</x:v>
      </x:c>
      <x:c r="L3777" s="40" t="n">
        <x:f>ABS(K3777)</x:f>
        <x:v>0.40000000000000036</x:v>
      </x:c>
      <x:c r="M3777" s="41" t="str">
        <x:v>lstm-soil-v1</x:v>
      </x:c>
    </x:row>
    <x:row r="3778">
      <x:c r="A3778" s="38" t="str">
        <x:v>7月30日现场数据</x:v>
      </x:c>
      <x:c r="B3778" s="39" t="str">
        <x:v>2026-08-03T20:10:00</x:v>
      </x:c>
      <x:c r="C3778" s="39" t="str">
        <x:v>2026-08-03T20:40:00</x:v>
      </x:c>
      <x:c r="D3778" s="47" t="n">
        <x:v>30</x:v>
      </x:c>
      <x:c r="E3778" s="40" t="n">
        <x:v>12.7</x:v>
      </x:c>
      <x:c r="F3778" s="40" t="n">
        <x:v>11.644805908203125</x:v>
      </x:c>
      <x:c r="G3778" s="40" t="n">
        <x:v>13.1</x:v>
      </x:c>
      <x:c r="H3778" s="40" t="n">
        <x:f>F3778-E3778</x:f>
        <x:v>-1.0551940917968743</x:v>
      </x:c>
      <x:c r="I3778" s="40" t="n">
        <x:f>ABS(H3778)</x:f>
        <x:v>1.0551940917968743</x:v>
      </x:c>
      <x:c r="J3778" s="40" t="n">
        <x:f>H3778^2</x:f>
        <x:v>1.1134345713630303</x:v>
      </x:c>
      <x:c r="K3778" s="40" t="n">
        <x:f>G3778-E3778</x:f>
        <x:v>0.40000000000000036</x:v>
      </x:c>
      <x:c r="L3778" s="40" t="n">
        <x:f>ABS(K3778)</x:f>
        <x:v>0.40000000000000036</x:v>
      </x:c>
      <x:c r="M3778" s="41" t="str">
        <x:v>lstm-soil-v1</x:v>
      </x:c>
    </x:row>
    <x:row r="3779">
      <x:c r="A3779" s="38" t="str">
        <x:v>7月30日现场数据</x:v>
      </x:c>
      <x:c r="B3779" s="39" t="str">
        <x:v>2026-08-03T20:10:00</x:v>
      </x:c>
      <x:c r="C3779" s="39" t="str">
        <x:v>2026-08-03T21:10:00</x:v>
      </x:c>
      <x:c r="D3779" s="47" t="n">
        <x:v>60</x:v>
      </x:c>
      <x:c r="E3779" s="40" t="n">
        <x:v>12.7</x:v>
      </x:c>
      <x:c r="F3779" s="40" t="n">
        <x:v>13.318580627441406</x:v>
      </x:c>
      <x:c r="G3779" s="40" t="n">
        <x:v>13.1</x:v>
      </x:c>
      <x:c r="H3779" s="40" t="n">
        <x:f>F3779-E3779</x:f>
        <x:v>0.618580627441407</x:v>
      </x:c>
      <x:c r="I3779" s="40" t="n">
        <x:f>ABS(H3779)</x:f>
        <x:v>0.618580627441407</x:v>
      </x:c>
      <x:c r="J3779" s="40" t="n">
        <x:f>H3779^2</x:f>
        <x:v>0.38264199264580473</x:v>
      </x:c>
      <x:c r="K3779" s="40" t="n">
        <x:f>G3779-E3779</x:f>
        <x:v>0.40000000000000036</x:v>
      </x:c>
      <x:c r="L3779" s="40" t="n">
        <x:f>ABS(K3779)</x:f>
        <x:v>0.40000000000000036</x:v>
      </x:c>
      <x:c r="M3779" s="41" t="str">
        <x:v>lstm-soil-v1</x:v>
      </x:c>
    </x:row>
    <x:row r="3780">
      <x:c r="A3780" s="38" t="str">
        <x:v>7月30日现场数据</x:v>
      </x:c>
      <x:c r="B3780" s="39" t="str">
        <x:v>2026-08-03T20:15:00</x:v>
      </x:c>
      <x:c r="C3780" s="39" t="str">
        <x:v>2026-08-03T20:20:00</x:v>
      </x:c>
      <x:c r="D3780" s="47" t="n">
        <x:v>5</x:v>
      </x:c>
      <x:c r="E3780" s="40" t="n">
        <x:v>13.3</x:v>
      </x:c>
      <x:c r="F3780" s="40" t="n">
        <x:v>11.161457061767578</x:v>
      </x:c>
      <x:c r="G3780" s="40" t="n">
        <x:v>13.1</x:v>
      </x:c>
      <x:c r="H3780" s="40" t="n">
        <x:f>F3780-E3780</x:f>
        <x:v>-2.1385429382324226</x:v>
      </x:c>
      <x:c r="I3780" s="40" t="n">
        <x:f>ABS(H3780)</x:f>
        <x:v>2.1385429382324226</x:v>
      </x:c>
      <x:c r="J3780" s="40" t="n">
        <x:f>H3780^2</x:f>
        <x:v>4.573365898663763</x:v>
      </x:c>
      <x:c r="K3780" s="40" t="n">
        <x:f>G3780-E3780</x:f>
        <x:v>-0.20000000000000107</x:v>
      </x:c>
      <x:c r="L3780" s="40" t="n">
        <x:f>ABS(K3780)</x:f>
        <x:v>0.20000000000000107</x:v>
      </x:c>
      <x:c r="M3780" s="41" t="str">
        <x:v>lstm-soil-v1</x:v>
      </x:c>
    </x:row>
    <x:row r="3781">
      <x:c r="A3781" s="38" t="str">
        <x:v>7月30日现场数据</x:v>
      </x:c>
      <x:c r="B3781" s="39" t="str">
        <x:v>2026-08-03T20:15:00</x:v>
      </x:c>
      <x:c r="C3781" s="39" t="str">
        <x:v>2026-08-03T20:30:00</x:v>
      </x:c>
      <x:c r="D3781" s="47" t="n">
        <x:v>15</x:v>
      </x:c>
      <x:c r="E3781" s="40" t="n">
        <x:v>12.7</x:v>
      </x:c>
      <x:c r="F3781" s="40" t="n">
        <x:v>11.229164123535156</x:v>
      </x:c>
      <x:c r="G3781" s="40" t="n">
        <x:v>13.1</x:v>
      </x:c>
      <x:c r="H3781" s="40" t="n">
        <x:f>F3781-E3781</x:f>
        <x:v>-1.470835876464843</x:v>
      </x:c>
      <x:c r="I3781" s="40" t="n">
        <x:f>ABS(H3781)</x:f>
        <x:v>1.470835876464843</x:v>
      </x:c>
      <x:c r="J3781" s="40" t="n">
        <x:f>H3781^2</x:f>
        <x:v>2.163358175496103</x:v>
      </x:c>
      <x:c r="K3781" s="40" t="n">
        <x:f>G3781-E3781</x:f>
        <x:v>0.40000000000000036</x:v>
      </x:c>
      <x:c r="L3781" s="40" t="n">
        <x:f>ABS(K3781)</x:f>
        <x:v>0.40000000000000036</x:v>
      </x:c>
      <x:c r="M3781" s="41" t="str">
        <x:v>lstm-soil-v1</x:v>
      </x:c>
    </x:row>
    <x:row r="3782">
      <x:c r="A3782" s="38" t="str">
        <x:v>7月30日现场数据</x:v>
      </x:c>
      <x:c r="B3782" s="39" t="str">
        <x:v>2026-08-03T20:15:00</x:v>
      </x:c>
      <x:c r="C3782" s="39" t="str">
        <x:v>2026-08-03T20:45:00</x:v>
      </x:c>
      <x:c r="D3782" s="47" t="n">
        <x:v>30</x:v>
      </x:c>
      <x:c r="E3782" s="40" t="n">
        <x:v>12.7</x:v>
      </x:c>
      <x:c r="F3782" s="40" t="n">
        <x:v>11.645877838134766</x:v>
      </x:c>
      <x:c r="G3782" s="40" t="n">
        <x:v>13.1</x:v>
      </x:c>
      <x:c r="H3782" s="40" t="n">
        <x:f>F3782-E3782</x:f>
        <x:v>-1.0541221618652337</x:v>
      </x:c>
      <x:c r="I3782" s="40" t="n">
        <x:f>ABS(H3782)</x:f>
        <x:v>1.0541221618652337</x:v>
      </x:c>
      <x:c r="J3782" s="40" t="n">
        <x:f>H3782^2</x:f>
        <x:v>1.111173532135434</x:v>
      </x:c>
      <x:c r="K3782" s="40" t="n">
        <x:f>G3782-E3782</x:f>
        <x:v>0.40000000000000036</x:v>
      </x:c>
      <x:c r="L3782" s="40" t="n">
        <x:f>ABS(K3782)</x:f>
        <x:v>0.40000000000000036</x:v>
      </x:c>
      <x:c r="M3782" s="41" t="str">
        <x:v>lstm-soil-v1</x:v>
      </x:c>
    </x:row>
    <x:row r="3783">
      <x:c r="A3783" s="38" t="str">
        <x:v>7月30日现场数据</x:v>
      </x:c>
      <x:c r="B3783" s="39" t="str">
        <x:v>2026-08-03T20:15:00</x:v>
      </x:c>
      <x:c r="C3783" s="39" t="str">
        <x:v>2026-08-03T21:15:00</x:v>
      </x:c>
      <x:c r="D3783" s="47" t="n">
        <x:v>60</x:v>
      </x:c>
      <x:c r="E3783" s="40" t="n">
        <x:v>12.7</x:v>
      </x:c>
      <x:c r="F3783" s="40" t="n">
        <x:v>13.317230224609375</x:v>
      </x:c>
      <x:c r="G3783" s="40" t="n">
        <x:v>13.1</x:v>
      </x:c>
      <x:c r="H3783" s="40" t="n">
        <x:f>F3783-E3783</x:f>
        <x:v>0.6172302246093757</x:v>
      </x:c>
      <x:c r="I3783" s="40" t="n">
        <x:f>ABS(H3783)</x:f>
        <x:v>0.6172302246093757</x:v>
      </x:c>
      <x:c r="J3783" s="40" t="n">
        <x:f>H3783^2</x:f>
        <x:v>0.38097315017134037</x:v>
      </x:c>
      <x:c r="K3783" s="40" t="n">
        <x:f>G3783-E3783</x:f>
        <x:v>0.40000000000000036</x:v>
      </x:c>
      <x:c r="L3783" s="40" t="n">
        <x:f>ABS(K3783)</x:f>
        <x:v>0.40000000000000036</x:v>
      </x:c>
      <x:c r="M3783" s="41" t="str">
        <x:v>lstm-soil-v1</x:v>
      </x:c>
    </x:row>
    <x:row r="3784">
      <x:c r="A3784" s="38" t="str">
        <x:v>7月30日现场数据</x:v>
      </x:c>
      <x:c r="B3784" s="39" t="str">
        <x:v>2026-08-03T20:20:00</x:v>
      </x:c>
      <x:c r="C3784" s="39" t="str">
        <x:v>2026-08-03T20:25:00</x:v>
      </x:c>
      <x:c r="D3784" s="47" t="n">
        <x:v>5</x:v>
      </x:c>
      <x:c r="E3784" s="40" t="n">
        <x:v>12.7</x:v>
      </x:c>
      <x:c r="F3784" s="40" t="n">
        <x:v>11.381889343261719</x:v>
      </x:c>
      <x:c r="G3784" s="40" t="n">
        <x:v>13.3</x:v>
      </x:c>
      <x:c r="H3784" s="40" t="n">
        <x:f>F3784-E3784</x:f>
        <x:v>-1.3181106567382805</x:v>
      </x:c>
      <x:c r="I3784" s="40" t="n">
        <x:f>ABS(H3784)</x:f>
        <x:v>1.3181106567382805</x:v>
      </x:c>
      <x:c r="J3784" s="40" t="n">
        <x:f>H3784^2</x:f>
        <x:v>1.7374157034070212</x:v>
      </x:c>
      <x:c r="K3784" s="40" t="n">
        <x:f>G3784-E3784</x:f>
        <x:v>0.6000000000000014</x:v>
      </x:c>
      <x:c r="L3784" s="40" t="n">
        <x:f>ABS(K3784)</x:f>
        <x:v>0.6000000000000014</x:v>
      </x:c>
      <x:c r="M3784" s="41" t="str">
        <x:v>lstm-soil-v1</x:v>
      </x:c>
    </x:row>
    <x:row r="3785">
      <x:c r="A3785" s="38" t="str">
        <x:v>7月30日现场数据</x:v>
      </x:c>
      <x:c r="B3785" s="39" t="str">
        <x:v>2026-08-03T20:20:00</x:v>
      </x:c>
      <x:c r="C3785" s="39" t="str">
        <x:v>2026-08-03T20:35:00</x:v>
      </x:c>
      <x:c r="D3785" s="47" t="n">
        <x:v>15</x:v>
      </x:c>
      <x:c r="E3785" s="40" t="n">
        <x:v>12.6</x:v>
      </x:c>
      <x:c r="F3785" s="40" t="n">
        <x:v>11.44876480102539</x:v>
      </x:c>
      <x:c r="G3785" s="40" t="n">
        <x:v>13.3</x:v>
      </x:c>
      <x:c r="H3785" s="40" t="n">
        <x:f>F3785-E3785</x:f>
        <x:v>-1.151235198974609</x:v>
      </x:c>
      <x:c r="I3785" s="40" t="n">
        <x:f>ABS(H3785)</x:f>
        <x:v>1.151235198974609</x:v>
      </x:c>
      <x:c r="J3785" s="40" t="n">
        <x:f>H3785^2</x:f>
        <x:v>1.3253424833581076</x:v>
      </x:c>
      <x:c r="K3785" s="40" t="n">
        <x:f>G3785-E3785</x:f>
        <x:v>0.7000000000000011</x:v>
      </x:c>
      <x:c r="L3785" s="40" t="n">
        <x:f>ABS(K3785)</x:f>
        <x:v>0.7000000000000011</x:v>
      </x:c>
      <x:c r="M3785" s="41" t="str">
        <x:v>lstm-soil-v1</x:v>
      </x:c>
    </x:row>
    <x:row r="3786">
      <x:c r="A3786" s="38" t="str">
        <x:v>7月30日现场数据</x:v>
      </x:c>
      <x:c r="B3786" s="39" t="str">
        <x:v>2026-08-03T20:20:00</x:v>
      </x:c>
      <x:c r="C3786" s="39" t="str">
        <x:v>2026-08-03T20:50:00</x:v>
      </x:c>
      <x:c r="D3786" s="47" t="n">
        <x:v>30</x:v>
      </x:c>
      <x:c r="E3786" s="40" t="n">
        <x:v>12.7</x:v>
      </x:c>
      <x:c r="F3786" s="40" t="n">
        <x:v>11.867511749267578</x:v>
      </x:c>
      <x:c r="G3786" s="40" t="n">
        <x:v>13.3</x:v>
      </x:c>
      <x:c r="H3786" s="40" t="n">
        <x:f>F3786-E3786</x:f>
        <x:v>-0.8324882507324212</x:v>
      </x:c>
      <x:c r="I3786" s="40" t="n">
        <x:f>ABS(H3786)</x:f>
        <x:v>0.8324882507324212</x:v>
      </x:c>
      <x:c r="J3786" s="40" t="n">
        <x:f>H3786^2</x:f>
        <x:v>0.6930366876075266</x:v>
      </x:c>
      <x:c r="K3786" s="40" t="n">
        <x:f>G3786-E3786</x:f>
        <x:v>0.6000000000000014</x:v>
      </x:c>
      <x:c r="L3786" s="40" t="n">
        <x:f>ABS(K3786)</x:f>
        <x:v>0.6000000000000014</x:v>
      </x:c>
      <x:c r="M3786" s="41" t="str">
        <x:v>lstm-soil-v1</x:v>
      </x:c>
    </x:row>
    <x:row r="3787">
      <x:c r="A3787" s="38" t="str">
        <x:v>7月30日现场数据</x:v>
      </x:c>
      <x:c r="B3787" s="39" t="str">
        <x:v>2026-08-03T20:20:00</x:v>
      </x:c>
      <x:c r="C3787" s="39" t="str">
        <x:v>2026-08-03T21:20:00</x:v>
      </x:c>
      <x:c r="D3787" s="47" t="n">
        <x:v>60</x:v>
      </x:c>
      <x:c r="E3787" s="40" t="n">
        <x:v>12.7</x:v>
      </x:c>
      <x:c r="F3787" s="40" t="n">
        <x:v>13.537372589111328</x:v>
      </x:c>
      <x:c r="G3787" s="40" t="n">
        <x:v>13.3</x:v>
      </x:c>
      <x:c r="H3787" s="40" t="n">
        <x:f>F3787-E3787</x:f>
        <x:v>0.8373725891113288</x:v>
      </x:c>
      <x:c r="I3787" s="40" t="n">
        <x:f>ABS(H3787)</x:f>
        <x:v>0.8373725891113288</x:v>
      </x:c>
      <x:c r="J3787" s="40" t="n">
        <x:f>H3787^2</x:f>
        <x:v>0.7011928529950103</x:v>
      </x:c>
      <x:c r="K3787" s="40" t="n">
        <x:f>G3787-E3787</x:f>
        <x:v>0.6000000000000014</x:v>
      </x:c>
      <x:c r="L3787" s="40" t="n">
        <x:f>ABS(K3787)</x:f>
        <x:v>0.6000000000000014</x:v>
      </x:c>
      <x:c r="M3787" s="41" t="str">
        <x:v>lstm-soil-v1</x:v>
      </x:c>
    </x:row>
    <x:row r="3788">
      <x:c r="A3788" s="38" t="str">
        <x:v>7月30日现场数据</x:v>
      </x:c>
      <x:c r="B3788" s="39" t="str">
        <x:v>2026-08-03T20:25:00</x:v>
      </x:c>
      <x:c r="C3788" s="39" t="str">
        <x:v>2026-08-03T20:30:00</x:v>
      </x:c>
      <x:c r="D3788" s="47" t="n">
        <x:v>5</x:v>
      </x:c>
      <x:c r="E3788" s="40" t="n">
        <x:v>12.7</x:v>
      </x:c>
      <x:c r="F3788" s="40" t="n">
        <x:v>10.720340728759766</x:v>
      </x:c>
      <x:c r="G3788" s="40" t="n">
        <x:v>12.7</x:v>
      </x:c>
      <x:c r="H3788" s="40" t="n">
        <x:f>F3788-E3788</x:f>
        <x:v>-1.9796592712402337</x:v>
      </x:c>
      <x:c r="I3788" s="40" t="n">
        <x:f>ABS(H3788)</x:f>
        <x:v>1.9796592712402337</x:v>
      </x:c>
      <x:c r="J3788" s="40" t="n">
        <x:f>H3788^2</x:f>
        <x:v>3.919050830207413</x:v>
      </x:c>
      <x:c r="K3788" s="40" t="n">
        <x:f>G3788-E3788</x:f>
        <x:v>0</x:v>
      </x:c>
      <x:c r="L3788" s="40" t="n">
        <x:f>ABS(K3788)</x:f>
        <x:v>0</x:v>
      </x:c>
      <x:c r="M3788" s="41" t="str">
        <x:v>lstm-soil-v1</x:v>
      </x:c>
    </x:row>
    <x:row r="3789">
      <x:c r="A3789" s="38" t="str">
        <x:v>7月30日现场数据</x:v>
      </x:c>
      <x:c r="B3789" s="39" t="str">
        <x:v>2026-08-03T20:25:00</x:v>
      </x:c>
      <x:c r="C3789" s="39" t="str">
        <x:v>2026-08-03T20:40:00</x:v>
      </x:c>
      <x:c r="D3789" s="47" t="n">
        <x:v>15</x:v>
      </x:c>
      <x:c r="E3789" s="40" t="n">
        <x:v>12.7</x:v>
      </x:c>
      <x:c r="F3789" s="40" t="n">
        <x:v>10.787094116210938</x:v>
      </x:c>
      <x:c r="G3789" s="40" t="n">
        <x:v>12.7</x:v>
      </x:c>
      <x:c r="H3789" s="40" t="n">
        <x:f>F3789-E3789</x:f>
        <x:v>-1.9129058837890618</x:v>
      </x:c>
      <x:c r="I3789" s="40" t="n">
        <x:f>ABS(H3789)</x:f>
        <x:v>1.9129058837890618</x:v>
      </x:c>
      <x:c r="J3789" s="40" t="n">
        <x:f>H3789^2</x:f>
        <x:v>3.6592089202348115</x:v>
      </x:c>
      <x:c r="K3789" s="40" t="n">
        <x:f>G3789-E3789</x:f>
        <x:v>0</x:v>
      </x:c>
      <x:c r="L3789" s="40" t="n">
        <x:f>ABS(K3789)</x:f>
        <x:v>0</x:v>
      </x:c>
      <x:c r="M3789" s="41" t="str">
        <x:v>lstm-soil-v1</x:v>
      </x:c>
    </x:row>
    <x:row r="3790">
      <x:c r="A3790" s="38" t="str">
        <x:v>7月30日现场数据</x:v>
      </x:c>
      <x:c r="B3790" s="39" t="str">
        <x:v>2026-08-03T20:25:00</x:v>
      </x:c>
      <x:c r="C3790" s="39" t="str">
        <x:v>2026-08-03T20:55:00</x:v>
      </x:c>
      <x:c r="D3790" s="47" t="n">
        <x:v>30</x:v>
      </x:c>
      <x:c r="E3790" s="40" t="n">
        <x:v>12.7</x:v>
      </x:c>
      <x:c r="F3790" s="40" t="n">
        <x:v>11.207298278808594</x:v>
      </x:c>
      <x:c r="G3790" s="40" t="n">
        <x:v>12.7</x:v>
      </x:c>
      <x:c r="H3790" s="40" t="n">
        <x:f>F3790-E3790</x:f>
        <x:v>-1.4927017211914055</x:v>
      </x:c>
      <x:c r="I3790" s="40" t="n">
        <x:f>ABS(H3790)</x:f>
        <x:v>1.4927017211914055</x:v>
      </x:c>
      <x:c r="J3790" s="40" t="n">
        <x:f>H3790^2</x:f>
        <x:v>2.2281584284477844</x:v>
      </x:c>
      <x:c r="K3790" s="40" t="n">
        <x:f>G3790-E3790</x:f>
        <x:v>0</x:v>
      </x:c>
      <x:c r="L3790" s="40" t="n">
        <x:f>ABS(K3790)</x:f>
        <x:v>0</x:v>
      </x:c>
      <x:c r="M3790" s="41" t="str">
        <x:v>lstm-soil-v1</x:v>
      </x:c>
    </x:row>
    <x:row r="3791">
      <x:c r="A3791" s="38" t="str">
        <x:v>7月30日现场数据</x:v>
      </x:c>
      <x:c r="B3791" s="39" t="str">
        <x:v>2026-08-03T20:25:00</x:v>
      </x:c>
      <x:c r="C3791" s="39" t="str">
        <x:v>2026-08-03T21:25:00</x:v>
      </x:c>
      <x:c r="D3791" s="47" t="n">
        <x:v>60</x:v>
      </x:c>
      <x:c r="E3791" s="40" t="n">
        <x:v>12.7</x:v>
      </x:c>
      <x:c r="F3791" s="40" t="n">
        <x:v>12.875869750976562</x:v>
      </x:c>
      <x:c r="G3791" s="40" t="n">
        <x:v>12.7</x:v>
      </x:c>
      <x:c r="H3791" s="40" t="n">
        <x:f>F3791-E3791</x:f>
        <x:v>0.1758697509765632</x:v>
      </x:c>
      <x:c r="I3791" s="40" t="n">
        <x:f>ABS(H3791)</x:f>
        <x:v>0.1758697509765632</x:v>
      </x:c>
      <x:c r="J3791" s="40" t="n">
        <x:f>H3791^2</x:f>
        <x:v>0.030930169308558356</x:v>
      </x:c>
      <x:c r="K3791" s="40" t="n">
        <x:f>G3791-E3791</x:f>
        <x:v>0</x:v>
      </x:c>
      <x:c r="L3791" s="40" t="n">
        <x:f>ABS(K3791)</x:f>
        <x:v>0</x:v>
      </x:c>
      <x:c r="M3791" s="41" t="str">
        <x:v>lstm-soil-v1</x:v>
      </x:c>
    </x:row>
    <x:row r="3792">
      <x:c r="A3792" s="38" t="str">
        <x:v>7月30日现场数据</x:v>
      </x:c>
      <x:c r="B3792" s="39" t="str">
        <x:v>2026-08-03T20:30:00</x:v>
      </x:c>
      <x:c r="C3792" s="39" t="str">
        <x:v>2026-08-03T20:35:00</x:v>
      </x:c>
      <x:c r="D3792" s="47" t="n">
        <x:v>5</x:v>
      </x:c>
      <x:c r="E3792" s="40" t="n">
        <x:v>12.6</x:v>
      </x:c>
      <x:c r="F3792" s="40" t="n">
        <x:v>10.719459533691406</x:v>
      </x:c>
      <x:c r="G3792" s="40" t="n">
        <x:v>12.7</x:v>
      </x:c>
      <x:c r="H3792" s="40" t="n">
        <x:f>F3792-E3792</x:f>
        <x:v>-1.8805404663085934</x:v>
      </x:c>
      <x:c r="I3792" s="40" t="n">
        <x:f>ABS(H3792)</x:f>
        <x:v>1.8805404663085934</x:v>
      </x:c>
      <x:c r="J3792" s="40" t="n">
        <x:f>H3792^2</x:f>
        <x:v>3.536432445424142</x:v>
      </x:c>
      <x:c r="K3792" s="40" t="n">
        <x:f>G3792-E3792</x:f>
        <x:v>0.09999999999999964</x:v>
      </x:c>
      <x:c r="L3792" s="40" t="n">
        <x:f>ABS(K3792)</x:f>
        <x:v>0.09999999999999964</x:v>
      </x:c>
      <x:c r="M3792" s="41" t="str">
        <x:v>lstm-soil-v1</x:v>
      </x:c>
    </x:row>
    <x:row r="3793">
      <x:c r="A3793" s="38" t="str">
        <x:v>7月30日现场数据</x:v>
      </x:c>
      <x:c r="B3793" s="39" t="str">
        <x:v>2026-08-03T20:30:00</x:v>
      </x:c>
      <x:c r="C3793" s="39" t="str">
        <x:v>2026-08-03T20:45:00</x:v>
      </x:c>
      <x:c r="D3793" s="47" t="n">
        <x:v>15</x:v>
      </x:c>
      <x:c r="E3793" s="40" t="n">
        <x:v>12.7</x:v>
      </x:c>
      <x:c r="F3793" s="40" t="n">
        <x:v>10.785926818847656</x:v>
      </x:c>
      <x:c r="G3793" s="40" t="n">
        <x:v>12.7</x:v>
      </x:c>
      <x:c r="H3793" s="40" t="n">
        <x:f>F3793-E3793</x:f>
        <x:v>-1.914073181152343</x:v>
      </x:c>
      <x:c r="I3793" s="40" t="n">
        <x:f>ABS(H3793)</x:f>
        <x:v>1.914073181152343</x:v>
      </x:c>
      <x:c r="J3793" s="40" t="n">
        <x:f>H3793^2</x:f>
        <x:v>3.66367614280665</x:v>
      </x:c>
      <x:c r="K3793" s="40" t="n">
        <x:f>G3793-E3793</x:f>
        <x:v>0</x:v>
      </x:c>
      <x:c r="L3793" s="40" t="n">
        <x:f>ABS(K3793)</x:f>
        <x:v>0</x:v>
      </x:c>
      <x:c r="M3793" s="41" t="str">
        <x:v>lstm-soil-v1</x:v>
      </x:c>
    </x:row>
    <x:row r="3794">
      <x:c r="A3794" s="38" t="str">
        <x:v>7月30日现场数据</x:v>
      </x:c>
      <x:c r="B3794" s="39" t="str">
        <x:v>2026-08-03T20:30:00</x:v>
      </x:c>
      <x:c r="C3794" s="39" t="str">
        <x:v>2026-08-03T21:00:00</x:v>
      </x:c>
      <x:c r="D3794" s="47" t="n">
        <x:v>30</x:v>
      </x:c>
      <x:c r="E3794" s="40" t="n">
        <x:v>12.7</x:v>
      </x:c>
      <x:c r="F3794" s="40" t="n">
        <x:v>11.207565307617188</x:v>
      </x:c>
      <x:c r="G3794" s="40" t="n">
        <x:v>12.7</x:v>
      </x:c>
      <x:c r="H3794" s="40" t="n">
        <x:f>F3794-E3794</x:f>
        <x:v>-1.4924346923828118</x:v>
      </x:c>
      <x:c r="I3794" s="40" t="n">
        <x:f>ABS(H3794)</x:f>
        <x:v>1.4924346923828118</x:v>
      </x:c>
      <x:c r="J3794" s="40" t="n">
        <x:f>H3794^2</x:f>
        <x:v>2.227361311027778</x:v>
      </x:c>
      <x:c r="K3794" s="40" t="n">
        <x:f>G3794-E3794</x:f>
        <x:v>0</x:v>
      </x:c>
      <x:c r="L3794" s="40" t="n">
        <x:f>ABS(K3794)</x:f>
        <x:v>0</x:v>
      </x:c>
      <x:c r="M3794" s="41" t="str">
        <x:v>lstm-soil-v1</x:v>
      </x:c>
    </x:row>
    <x:row r="3795">
      <x:c r="A3795" s="38" t="str">
        <x:v>7月30日现场数据</x:v>
      </x:c>
      <x:c r="B3795" s="39" t="str">
        <x:v>2026-08-03T20:30:00</x:v>
      </x:c>
      <x:c r="C3795" s="39" t="str">
        <x:v>2026-08-03T21:30:00</x:v>
      </x:c>
      <x:c r="D3795" s="47" t="n">
        <x:v>60</x:v>
      </x:c>
      <x:c r="E3795" s="40" t="n">
        <x:v>12.7</x:v>
      </x:c>
      <x:c r="F3795" s="40" t="n">
        <x:v>12.875370025634766</x:v>
      </x:c>
      <x:c r="G3795" s="40" t="n">
        <x:v>12.7</x:v>
      </x:c>
      <x:c r="H3795" s="40" t="n">
        <x:f>F3795-E3795</x:f>
        <x:v>0.17537002563476634</x:v>
      </x:c>
      <x:c r="I3795" s="40" t="n">
        <x:f>ABS(H3795)</x:f>
        <x:v>0.17537002563476634</x:v>
      </x:c>
      <x:c r="J3795" s="40" t="n">
        <x:f>H3795^2</x:f>
        <x:v>0.0307546458911386</x:v>
      </x:c>
      <x:c r="K3795" s="40" t="n">
        <x:f>G3795-E3795</x:f>
        <x:v>0</x:v>
      </x:c>
      <x:c r="L3795" s="40" t="n">
        <x:f>ABS(K3795)</x:f>
        <x:v>0</x:v>
      </x:c>
      <x:c r="M3795" s="41" t="str">
        <x:v>lstm-soil-v1</x:v>
      </x:c>
    </x:row>
    <x:row r="3796">
      <x:c r="A3796" s="38" t="str">
        <x:v>7月30日现场数据</x:v>
      </x:c>
      <x:c r="B3796" s="39" t="str">
        <x:v>2026-08-03T20:35:00</x:v>
      </x:c>
      <x:c r="C3796" s="39" t="str">
        <x:v>2026-08-03T20:40:00</x:v>
      </x:c>
      <x:c r="D3796" s="47" t="n">
        <x:v>5</x:v>
      </x:c>
      <x:c r="E3796" s="40" t="n">
        <x:v>12.7</x:v>
      </x:c>
      <x:c r="F3796" s="40" t="n">
        <x:v>10.608768463134766</x:v>
      </x:c>
      <x:c r="G3796" s="40" t="n">
        <x:v>12.6</x:v>
      </x:c>
      <x:c r="H3796" s="40" t="n">
        <x:f>F3796-E3796</x:f>
        <x:v>-2.0912315368652337</x:v>
      </x:c>
      <x:c r="I3796" s="40" t="n">
        <x:f>ABS(H3796)</x:f>
        <x:v>2.0912315368652337</x:v>
      </x:c>
      <x:c r="J3796" s="40" t="n">
        <x:f>H3796^2</x:f>
        <x:v>4.3732493407797275</x:v>
      </x:c>
      <x:c r="K3796" s="40" t="n">
        <x:f>G3796-E3796</x:f>
        <x:v>-0.09999999999999964</x:v>
      </x:c>
      <x:c r="L3796" s="40" t="n">
        <x:f>ABS(K3796)</x:f>
        <x:v>0.09999999999999964</x:v>
      </x:c>
      <x:c r="M3796" s="41" t="str">
        <x:v>lstm-soil-v1</x:v>
      </x:c>
    </x:row>
    <x:row r="3797">
      <x:c r="A3797" s="38" t="str">
        <x:v>7月30日现场数据</x:v>
      </x:c>
      <x:c r="B3797" s="39" t="str">
        <x:v>2026-08-03T20:35:00</x:v>
      </x:c>
      <x:c r="C3797" s="39" t="str">
        <x:v>2026-08-03T20:50:00</x:v>
      </x:c>
      <x:c r="D3797" s="47" t="n">
        <x:v>15</x:v>
      </x:c>
      <x:c r="E3797" s="40" t="n">
        <x:v>12.7</x:v>
      </x:c>
      <x:c r="F3797" s="40" t="n">
        <x:v>10.674755096435547</x:v>
      </x:c>
      <x:c r="G3797" s="40" t="n">
        <x:v>12.6</x:v>
      </x:c>
      <x:c r="H3797" s="40" t="n">
        <x:f>F3797-E3797</x:f>
        <x:v>-2.0252449035644524</x:v>
      </x:c>
      <x:c r="I3797" s="40" t="n">
        <x:f>ABS(H3797)</x:f>
        <x:v>2.0252449035644524</x:v>
      </x:c>
      <x:c r="J3797" s="40" t="n">
        <x:f>H3797^2</x:f>
        <x:v>4.101616919413789</x:v>
      </x:c>
      <x:c r="K3797" s="40" t="n">
        <x:f>G3797-E3797</x:f>
        <x:v>-0.09999999999999964</x:v>
      </x:c>
      <x:c r="L3797" s="40" t="n">
        <x:f>ABS(K3797)</x:f>
        <x:v>0.09999999999999964</x:v>
      </x:c>
      <x:c r="M3797" s="41" t="str">
        <x:v>lstm-soil-v1</x:v>
      </x:c>
    </x:row>
    <x:row r="3798">
      <x:c r="A3798" s="38" t="str">
        <x:v>7月30日现场数据</x:v>
      </x:c>
      <x:c r="B3798" s="39" t="str">
        <x:v>2026-08-03T20:35:00</x:v>
      </x:c>
      <x:c r="C3798" s="39" t="str">
        <x:v>2026-08-03T21:05:00</x:v>
      </x:c>
      <x:c r="D3798" s="47" t="n">
        <x:v>30</x:v>
      </x:c>
      <x:c r="E3798" s="40" t="n">
        <x:v>12.7</x:v>
      </x:c>
      <x:c r="F3798" s="40" t="n">
        <x:v>11.09811019897461</x:v>
      </x:c>
      <x:c r="G3798" s="40" t="n">
        <x:v>12.6</x:v>
      </x:c>
      <x:c r="H3798" s="40" t="n">
        <x:f>F3798-E3798</x:f>
        <x:v>-1.60188980102539</x:v>
      </x:c>
      <x:c r="I3798" s="40" t="n">
        <x:f>ABS(H3798)</x:f>
        <x:v>1.60188980102539</x:v>
      </x:c>
      <x:c r="J3798" s="40" t="n">
        <x:f>H3798^2</x:f>
        <x:v>2.566050934629163</x:v>
      </x:c>
      <x:c r="K3798" s="40" t="n">
        <x:f>G3798-E3798</x:f>
        <x:v>-0.09999999999999964</x:v>
      </x:c>
      <x:c r="L3798" s="40" t="n">
        <x:f>ABS(K3798)</x:f>
        <x:v>0.09999999999999964</x:v>
      </x:c>
      <x:c r="M3798" s="41" t="str">
        <x:v>lstm-soil-v1</x:v>
      </x:c>
    </x:row>
    <x:row r="3799">
      <x:c r="A3799" s="38" t="str">
        <x:v>7月30日现场数据</x:v>
      </x:c>
      <x:c r="B3799" s="39" t="str">
        <x:v>2026-08-03T20:35:00</x:v>
      </x:c>
      <x:c r="C3799" s="39" t="str">
        <x:v>2026-08-03T21:35:00</x:v>
      </x:c>
      <x:c r="D3799" s="47" t="n">
        <x:v>60</x:v>
      </x:c>
      <x:c r="E3799" s="40" t="n">
        <x:v>12.7</x:v>
      </x:c>
      <x:c r="F3799" s="40" t="n">
        <x:v>12.765331268310547</x:v>
      </x:c>
      <x:c r="G3799" s="40" t="n">
        <x:v>12.6</x:v>
      </x:c>
      <x:c r="H3799" s="40" t="n">
        <x:f>F3799-E3799</x:f>
        <x:v>0.06533126831054759</x:v>
      </x:c>
      <x:c r="I3799" s="40" t="n">
        <x:f>ABS(H3799)</x:f>
        <x:v>0.06533126831054759</x:v>
      </x:c>
      <x:c r="J3799" s="40" t="n">
        <x:f>H3799^2</x:f>
        <x:v>0.004268174619064759</x:v>
      </x:c>
      <x:c r="K3799" s="40" t="n">
        <x:f>G3799-E3799</x:f>
        <x:v>-0.09999999999999964</x:v>
      </x:c>
      <x:c r="L3799" s="40" t="n">
        <x:f>ABS(K3799)</x:f>
        <x:v>0.09999999999999964</x:v>
      </x:c>
      <x:c r="M3799" s="41" t="str">
        <x:v>lstm-soil-v1</x:v>
      </x:c>
    </x:row>
    <x:row r="3800">
      <x:c r="A3800" s="38" t="str">
        <x:v>7月30日现场数据</x:v>
      </x:c>
      <x:c r="B3800" s="39" t="str">
        <x:v>2026-08-03T20:40:00</x:v>
      </x:c>
      <x:c r="C3800" s="39" t="str">
        <x:v>2026-08-03T20:45:00</x:v>
      </x:c>
      <x:c r="D3800" s="47" t="n">
        <x:v>5</x:v>
      </x:c>
      <x:c r="E3800" s="40" t="n">
        <x:v>12.7</x:v>
      </x:c>
      <x:c r="F3800" s="40" t="n">
        <x:v>10.71881103515625</x:v>
      </x:c>
      <x:c r="G3800" s="40" t="n">
        <x:v>12.7</x:v>
      </x:c>
      <x:c r="H3800" s="40" t="n">
        <x:f>F3800-E3800</x:f>
        <x:v>-1.9811889648437493</x:v>
      </x:c>
      <x:c r="I3800" s="40" t="n">
        <x:f>ABS(H3800)</x:f>
        <x:v>1.9811889648437493</x:v>
      </x:c>
      <x:c r="J3800" s="40" t="n">
        <x:f>H3800^2</x:f>
        <x:v>3.925109714418647</x:v>
      </x:c>
      <x:c r="K3800" s="40" t="n">
        <x:f>G3800-E3800</x:f>
        <x:v>0</x:v>
      </x:c>
      <x:c r="L3800" s="40" t="n">
        <x:f>ABS(K3800)</x:f>
        <x:v>0</x:v>
      </x:c>
      <x:c r="M3800" s="41" t="str">
        <x:v>lstm-soil-v1</x:v>
      </x:c>
    </x:row>
    <x:row r="3801">
      <x:c r="A3801" s="38" t="str">
        <x:v>7月30日现场数据</x:v>
      </x:c>
      <x:c r="B3801" s="39" t="str">
        <x:v>2026-08-03T20:40:00</x:v>
      </x:c>
      <x:c r="C3801" s="39" t="str">
        <x:v>2026-08-03T20:55:00</x:v>
      </x:c>
      <x:c r="D3801" s="47" t="n">
        <x:v>15</x:v>
      </x:c>
      <x:c r="E3801" s="40" t="n">
        <x:v>12.7</x:v>
      </x:c>
      <x:c r="F3801" s="40" t="n">
        <x:v>10.78411865234375</x:v>
      </x:c>
      <x:c r="G3801" s="40" t="n">
        <x:v>12.7</x:v>
      </x:c>
      <x:c r="H3801" s="40" t="n">
        <x:f>F3801-E3801</x:f>
        <x:v>-1.9158813476562493</x:v>
      </x:c>
      <x:c r="I3801" s="40" t="n">
        <x:f>ABS(H3801)</x:f>
        <x:v>1.9158813476562493</x:v>
      </x:c>
      <x:c r="J3801" s="40" t="n">
        <x:f>H3801^2</x:f>
        <x:v>3.670601338297126</x:v>
      </x:c>
      <x:c r="K3801" s="40" t="n">
        <x:f>G3801-E3801</x:f>
        <x:v>0</x:v>
      </x:c>
      <x:c r="L3801" s="40" t="n">
        <x:f>ABS(K3801)</x:f>
        <x:v>0</x:v>
      </x:c>
      <x:c r="M3801" s="41" t="str">
        <x:v>lstm-soil-v1</x:v>
      </x:c>
    </x:row>
    <x:row r="3802">
      <x:c r="A3802" s="38" t="str">
        <x:v>7月30日现场数据</x:v>
      </x:c>
      <x:c r="B3802" s="39" t="str">
        <x:v>2026-08-03T20:40:00</x:v>
      </x:c>
      <x:c r="C3802" s="39" t="str">
        <x:v>2026-08-03T21:10:00</x:v>
      </x:c>
      <x:c r="D3802" s="47" t="n">
        <x:v>30</x:v>
      </x:c>
      <x:c r="E3802" s="40" t="n">
        <x:v>12.7</x:v>
      </x:c>
      <x:c r="F3802" s="40" t="n">
        <x:v>11.209270477294922</x:v>
      </x:c>
      <x:c r="G3802" s="40" t="n">
        <x:v>12.7</x:v>
      </x:c>
      <x:c r="H3802" s="40" t="n">
        <x:f>F3802-E3802</x:f>
        <x:v>-1.4907295227050774</x:v>
      </x:c>
      <x:c r="I3802" s="40" t="n">
        <x:f>ABS(H3802)</x:f>
        <x:v>1.4907295227050774</x:v>
      </x:c>
      <x:c r="J3802" s="40" t="n">
        <x:f>H3802^2</x:f>
        <x:v>2.222274509864508</x:v>
      </x:c>
      <x:c r="K3802" s="40" t="n">
        <x:f>G3802-E3802</x:f>
        <x:v>0</x:v>
      </x:c>
      <x:c r="L3802" s="40" t="n">
        <x:f>ABS(K3802)</x:f>
        <x:v>0</x:v>
      </x:c>
      <x:c r="M3802" s="41" t="str">
        <x:v>lstm-soil-v1</x:v>
      </x:c>
    </x:row>
    <x:row r="3803">
      <x:c r="A3803" s="38" t="str">
        <x:v>7月30日现场数据</x:v>
      </x:c>
      <x:c r="B3803" s="39" t="str">
        <x:v>2026-08-03T20:40:00</x:v>
      </x:c>
      <x:c r="C3803" s="39" t="str">
        <x:v>2026-08-03T21:40:00</x:v>
      </x:c>
      <x:c r="D3803" s="47" t="n">
        <x:v>60</x:v>
      </x:c>
      <x:c r="E3803" s="40" t="n">
        <x:v>12.7</x:v>
      </x:c>
      <x:c r="F3803" s="40" t="n">
        <x:v>12.876091003417969</x:v>
      </x:c>
      <x:c r="G3803" s="40" t="n">
        <x:v>12.7</x:v>
      </x:c>
      <x:c r="H3803" s="40" t="n">
        <x:f>F3803-E3803</x:f>
        <x:v>0.17609100341796946</x:v>
      </x:c>
      <x:c r="I3803" s="40" t="n">
        <x:f>ABS(H3803)</x:f>
        <x:v>0.17609100341796946</x:v>
      </x:c>
      <x:c r="J3803" s="40" t="n">
        <x:f>H3803^2</x:f>
        <x:v>0.031008041484747333</x:v>
      </x:c>
      <x:c r="K3803" s="40" t="n">
        <x:f>G3803-E3803</x:f>
        <x:v>0</x:v>
      </x:c>
      <x:c r="L3803" s="40" t="n">
        <x:f>ABS(K3803)</x:f>
        <x:v>0</x:v>
      </x:c>
      <x:c r="M3803" s="41" t="str">
        <x:v>lstm-soil-v1</x:v>
      </x:c>
    </x:row>
    <x:row r="3804">
      <x:c r="A3804" s="38" t="str">
        <x:v>7月30日现场数据</x:v>
      </x:c>
      <x:c r="B3804" s="39" t="str">
        <x:v>2026-08-03T20:45:00</x:v>
      </x:c>
      <x:c r="C3804" s="39" t="str">
        <x:v>2026-08-03T20:50:00</x:v>
      </x:c>
      <x:c r="D3804" s="47" t="n">
        <x:v>5</x:v>
      </x:c>
      <x:c r="E3804" s="40" t="n">
        <x:v>12.7</x:v>
      </x:c>
      <x:c r="F3804" s="40" t="n">
        <x:v>10.718997955322266</x:v>
      </x:c>
      <x:c r="G3804" s="40" t="n">
        <x:v>12.7</x:v>
      </x:c>
      <x:c r="H3804" s="40" t="n">
        <x:f>F3804-E3804</x:f>
        <x:v>-1.9810020446777337</x:v>
      </x:c>
      <x:c r="I3804" s="40" t="n">
        <x:f>ABS(H3804)</x:f>
        <x:v>1.9810020446777337</x:v>
      </x:c>
      <x:c r="J3804" s="40" t="n">
        <x:f>H3804^2</x:f>
        <x:v>3.9243691010173616</x:v>
      </x:c>
      <x:c r="K3804" s="40" t="n">
        <x:f>G3804-E3804</x:f>
        <x:v>0</x:v>
      </x:c>
      <x:c r="L3804" s="40" t="n">
        <x:f>ABS(K3804)</x:f>
        <x:v>0</x:v>
      </x:c>
      <x:c r="M3804" s="41" t="str">
        <x:v>lstm-soil-v1</x:v>
      </x:c>
    </x:row>
    <x:row r="3805">
      <x:c r="A3805" s="38" t="str">
        <x:v>7月30日现场数据</x:v>
      </x:c>
      <x:c r="B3805" s="39" t="str">
        <x:v>2026-08-03T20:45:00</x:v>
      </x:c>
      <x:c r="C3805" s="39" t="str">
        <x:v>2026-08-03T21:00:00</x:v>
      </x:c>
      <x:c r="D3805" s="47" t="n">
        <x:v>15</x:v>
      </x:c>
      <x:c r="E3805" s="40" t="n">
        <x:v>12.7</x:v>
      </x:c>
      <x:c r="F3805" s="40" t="n">
        <x:v>10.783676147460938</x:v>
      </x:c>
      <x:c r="G3805" s="40" t="n">
        <x:v>12.7</x:v>
      </x:c>
      <x:c r="H3805" s="40" t="n">
        <x:f>F3805-E3805</x:f>
        <x:v>-1.9163238525390618</x:v>
      </x:c>
      <x:c r="I3805" s="40" t="n">
        <x:f>ABS(H3805)</x:f>
        <x:v>1.9163238525390618</x:v>
      </x:c>
      <x:c r="J3805" s="40" t="n">
        <x:f>H3805^2</x:f>
        <x:v>3.672297107810152</x:v>
      </x:c>
      <x:c r="K3805" s="40" t="n">
        <x:f>G3805-E3805</x:f>
        <x:v>0</x:v>
      </x:c>
      <x:c r="L3805" s="40" t="n">
        <x:f>ABS(K3805)</x:f>
        <x:v>0</x:v>
      </x:c>
      <x:c r="M3805" s="41" t="str">
        <x:v>lstm-soil-v1</x:v>
      </x:c>
    </x:row>
    <x:row r="3806">
      <x:c r="A3806" s="38" t="str">
        <x:v>7月30日现场数据</x:v>
      </x:c>
      <x:c r="B3806" s="39" t="str">
        <x:v>2026-08-03T20:45:00</x:v>
      </x:c>
      <x:c r="C3806" s="39" t="str">
        <x:v>2026-08-03T21:15:00</x:v>
      </x:c>
      <x:c r="D3806" s="47" t="n">
        <x:v>30</x:v>
      </x:c>
      <x:c r="E3806" s="40" t="n">
        <x:v>12.7</x:v>
      </x:c>
      <x:c r="F3806" s="40" t="n">
        <x:v>11.210472106933594</x:v>
      </x:c>
      <x:c r="G3806" s="40" t="n">
        <x:v>12.7</x:v>
      </x:c>
      <x:c r="H3806" s="40" t="n">
        <x:f>F3806-E3806</x:f>
        <x:v>-1.4895278930664055</x:v>
      </x:c>
      <x:c r="I3806" s="40" t="n">
        <x:f>ABS(H3806)</x:f>
        <x:v>1.4895278930664055</x:v>
      </x:c>
      <x:c r="J3806" s="40" t="n">
        <x:f>H3806^2</x:f>
        <x:v>2.2186933442228454</x:v>
      </x:c>
      <x:c r="K3806" s="40" t="n">
        <x:f>G3806-E3806</x:f>
        <x:v>0</x:v>
      </x:c>
      <x:c r="L3806" s="40" t="n">
        <x:f>ABS(K3806)</x:f>
        <x:v>0</x:v>
      </x:c>
      <x:c r="M3806" s="41" t="str">
        <x:v>lstm-soil-v1</x:v>
      </x:c>
    </x:row>
    <x:row r="3807">
      <x:c r="A3807" s="38" t="str">
        <x:v>7月30日现场数据</x:v>
      </x:c>
      <x:c r="B3807" s="39" t="str">
        <x:v>2026-08-03T20:45:00</x:v>
      </x:c>
      <x:c r="C3807" s="39" t="str">
        <x:v>2026-08-03T21:45:00</x:v>
      </x:c>
      <x:c r="D3807" s="47" t="n">
        <x:v>60</x:v>
      </x:c>
      <x:c r="E3807" s="40" t="n">
        <x:v>12.7</x:v>
      </x:c>
      <x:c r="F3807" s="40" t="n">
        <x:v>12.87692642211914</x:v>
      </x:c>
      <x:c r="G3807" s="40" t="n">
        <x:v>12.7</x:v>
      </x:c>
      <x:c r="H3807" s="40" t="n">
        <x:f>F3807-E3807</x:f>
        <x:v>0.17692642211914134</x:v>
      </x:c>
      <x:c r="I3807" s="40" t="n">
        <x:f>ABS(H3807)</x:f>
        <x:v>0.17692642211914134</x:v>
      </x:c>
      <x:c r="J3807" s="40" t="n">
        <x:f>H3807^2</x:f>
        <x:v>0.03130295884388058</x:v>
      </x:c>
      <x:c r="K3807" s="40" t="n">
        <x:f>G3807-E3807</x:f>
        <x:v>0</x:v>
      </x:c>
      <x:c r="L3807" s="40" t="n">
        <x:f>ABS(K3807)</x:f>
        <x:v>0</x:v>
      </x:c>
      <x:c r="M3807" s="41" t="str">
        <x:v>lstm-soil-v1</x:v>
      </x:c>
    </x:row>
    <x:row r="3808">
      <x:c r="A3808" s="38" t="str">
        <x:v>7月30日现场数据</x:v>
      </x:c>
      <x:c r="B3808" s="39" t="str">
        <x:v>2026-08-03T20:50:00</x:v>
      </x:c>
      <x:c r="C3808" s="39" t="str">
        <x:v>2026-08-03T20:55:00</x:v>
      </x:c>
      <x:c r="D3808" s="47" t="n">
        <x:v>5</x:v>
      </x:c>
      <x:c r="E3808" s="40" t="n">
        <x:v>12.7</x:v>
      </x:c>
      <x:c r="F3808" s="40" t="n">
        <x:v>10.719223022460938</x:v>
      </x:c>
      <x:c r="G3808" s="40" t="n">
        <x:v>12.7</x:v>
      </x:c>
      <x:c r="H3808" s="40" t="n">
        <x:f>F3808-E3808</x:f>
        <x:v>-1.9807769775390618</x:v>
      </x:c>
      <x:c r="I3808" s="40" t="n">
        <x:f>ABS(H3808)</x:f>
        <x:v>1.9807769775390618</x:v>
      </x:c>
      <x:c r="J3808" s="40" t="n">
        <x:f>H3808^2</x:f>
        <x:v>3.923477434748781</x:v>
      </x:c>
      <x:c r="K3808" s="40" t="n">
        <x:f>G3808-E3808</x:f>
        <x:v>0</x:v>
      </x:c>
      <x:c r="L3808" s="40" t="n">
        <x:f>ABS(K3808)</x:f>
        <x:v>0</x:v>
      </x:c>
      <x:c r="M3808" s="41" t="str">
        <x:v>lstm-soil-v1</x:v>
      </x:c>
    </x:row>
    <x:row r="3809">
      <x:c r="A3809" s="38" t="str">
        <x:v>7月30日现场数据</x:v>
      </x:c>
      <x:c r="B3809" s="39" t="str">
        <x:v>2026-08-03T20:50:00</x:v>
      </x:c>
      <x:c r="C3809" s="39" t="str">
        <x:v>2026-08-03T21:05:00</x:v>
      </x:c>
      <x:c r="D3809" s="47" t="n">
        <x:v>15</x:v>
      </x:c>
      <x:c r="E3809" s="40" t="n">
        <x:v>12.7</x:v>
      </x:c>
      <x:c r="F3809" s="40" t="n">
        <x:v>10.783370971679688</x:v>
      </x:c>
      <x:c r="G3809" s="40" t="n">
        <x:v>12.7</x:v>
      </x:c>
      <x:c r="H3809" s="40" t="n">
        <x:f>F3809-E3809</x:f>
        <x:v>-1.9166290283203118</x:v>
      </x:c>
      <x:c r="I3809" s="40" t="n">
        <x:f>ABS(H3809)</x:f>
        <x:v>1.9166290283203118</x:v>
      </x:c>
      <x:c r="J3809" s="40" t="n">
        <x:f>H3809^2</x:f>
        <x:v>3.6734668322000625</x:v>
      </x:c>
      <x:c r="K3809" s="40" t="n">
        <x:f>G3809-E3809</x:f>
        <x:v>0</x:v>
      </x:c>
      <x:c r="L3809" s="40" t="n">
        <x:f>ABS(K3809)</x:f>
        <x:v>0</x:v>
      </x:c>
      <x:c r="M3809" s="41" t="str">
        <x:v>lstm-soil-v1</x:v>
      </x:c>
    </x:row>
    <x:row r="3810">
      <x:c r="A3810" s="38" t="str">
        <x:v>7月30日现场数据</x:v>
      </x:c>
      <x:c r="B3810" s="39" t="str">
        <x:v>2026-08-03T20:50:00</x:v>
      </x:c>
      <x:c r="C3810" s="39" t="str">
        <x:v>2026-08-03T21:20:00</x:v>
      </x:c>
      <x:c r="D3810" s="47" t="n">
        <x:v>30</x:v>
      </x:c>
      <x:c r="E3810" s="40" t="n">
        <x:v>12.7</x:v>
      </x:c>
      <x:c r="F3810" s="40" t="n">
        <x:v>11.211528778076172</x:v>
      </x:c>
      <x:c r="G3810" s="40" t="n">
        <x:v>12.7</x:v>
      </x:c>
      <x:c r="H3810" s="40" t="n">
        <x:f>F3810-E3810</x:f>
        <x:v>-1.4884712219238274</x:v>
      </x:c>
      <x:c r="I3810" s="40" t="n">
        <x:f>ABS(H3810)</x:f>
        <x:v>1.4884712219238274</x:v>
      </x:c>
      <x:c r="J3810" s="40" t="n">
        <x:f>H3810^2</x:f>
        <x:v>2.215546578495412</x:v>
      </x:c>
      <x:c r="K3810" s="40" t="n">
        <x:f>G3810-E3810</x:f>
        <x:v>0</x:v>
      </x:c>
      <x:c r="L3810" s="40" t="n">
        <x:f>ABS(K3810)</x:f>
        <x:v>0</x:v>
      </x:c>
      <x:c r="M3810" s="41" t="str">
        <x:v>lstm-soil-v1</x:v>
      </x:c>
    </x:row>
    <x:row r="3811">
      <x:c r="A3811" s="38" t="str">
        <x:v>7月30日现场数据</x:v>
      </x:c>
      <x:c r="B3811" s="39" t="str">
        <x:v>2026-08-03T20:50:00</x:v>
      </x:c>
      <x:c r="C3811" s="39" t="str">
        <x:v>2026-08-03T21:50:00</x:v>
      </x:c>
      <x:c r="D3811" s="47" t="n">
        <x:v>60</x:v>
      </x:c>
      <x:c r="E3811" s="40" t="n">
        <x:v>12.7</x:v>
      </x:c>
      <x:c r="F3811" s="40" t="n">
        <x:v>12.877731323242188</x:v>
      </x:c>
      <x:c r="G3811" s="40" t="n">
        <x:v>12.7</x:v>
      </x:c>
      <x:c r="H3811" s="40" t="n">
        <x:f>F3811-E3811</x:f>
        <x:v>0.1777313232421882</x:v>
      </x:c>
      <x:c r="I3811" s="40" t="n">
        <x:f>ABS(H3811)</x:f>
        <x:v>0.1777313232421882</x:v>
      </x:c>
      <x:c r="J3811" s="40" t="n">
        <x:f>H3811^2</x:f>
        <x:v>0.03158842326141919</x:v>
      </x:c>
      <x:c r="K3811" s="40" t="n">
        <x:f>G3811-E3811</x:f>
        <x:v>0</x:v>
      </x:c>
      <x:c r="L3811" s="40" t="n">
        <x:f>ABS(K3811)</x:f>
        <x:v>0</x:v>
      </x:c>
      <x:c r="M3811" s="41" t="str">
        <x:v>lstm-soil-v1</x:v>
      </x:c>
    </x:row>
    <x:row r="3812">
      <x:c r="A3812" s="38" t="str">
        <x:v>7月30日现场数据</x:v>
      </x:c>
      <x:c r="B3812" s="39" t="str">
        <x:v>2026-08-03T20:55:00</x:v>
      </x:c>
      <x:c r="C3812" s="39" t="str">
        <x:v>2026-08-03T21:00:00</x:v>
      </x:c>
      <x:c r="D3812" s="47" t="n">
        <x:v>5</x:v>
      </x:c>
      <x:c r="E3812" s="40" t="n">
        <x:v>12.7</x:v>
      </x:c>
      <x:c r="F3812" s="40" t="n">
        <x:v>10.719432830810547</x:v>
      </x:c>
      <x:c r="G3812" s="40" t="n">
        <x:v>12.7</x:v>
      </x:c>
      <x:c r="H3812" s="40" t="n">
        <x:f>F3812-E3812</x:f>
        <x:v>-1.9805671691894524</x:v>
      </x:c>
      <x:c r="I3812" s="40" t="n">
        <x:f>ABS(H3812)</x:f>
        <x:v>1.9805671691894524</x:v>
      </x:c>
      <x:c r="J3812" s="40" t="n">
        <x:f>H3812^2</x:f>
        <x:v>3.922646311671121</x:v>
      </x:c>
      <x:c r="K3812" s="40" t="n">
        <x:f>G3812-E3812</x:f>
        <x:v>0</x:v>
      </x:c>
      <x:c r="L3812" s="40" t="n">
        <x:f>ABS(K3812)</x:f>
        <x:v>0</x:v>
      </x:c>
      <x:c r="M3812" s="41" t="str">
        <x:v>lstm-soil-v1</x:v>
      </x:c>
    </x:row>
    <x:row r="3813">
      <x:c r="A3813" s="38" t="str">
        <x:v>7月30日现场数据</x:v>
      </x:c>
      <x:c r="B3813" s="39" t="str">
        <x:v>2026-08-03T20:55:00</x:v>
      </x:c>
      <x:c r="C3813" s="39" t="str">
        <x:v>2026-08-03T21:10:00</x:v>
      </x:c>
      <x:c r="D3813" s="47" t="n">
        <x:v>15</x:v>
      </x:c>
      <x:c r="E3813" s="40" t="n">
        <x:v>12.7</x:v>
      </x:c>
      <x:c r="F3813" s="40" t="n">
        <x:v>10.783161163330078</x:v>
      </x:c>
      <x:c r="G3813" s="40" t="n">
        <x:v>12.7</x:v>
      </x:c>
      <x:c r="H3813" s="40" t="n">
        <x:f>F3813-E3813</x:f>
        <x:v>-1.9168388366699212</x:v>
      </x:c>
      <x:c r="I3813" s="40" t="n">
        <x:f>ABS(H3813)</x:f>
        <x:v>1.9168388366699212</x:v>
      </x:c>
      <x:c r="J3813" s="40" t="n">
        <x:f>H3813^2</x:f>
        <x:v>3.6742711257660967</x:v>
      </x:c>
      <x:c r="K3813" s="40" t="n">
        <x:f>G3813-E3813</x:f>
        <x:v>0</x:v>
      </x:c>
      <x:c r="L3813" s="40" t="n">
        <x:f>ABS(K3813)</x:f>
        <x:v>0</x:v>
      </x:c>
      <x:c r="M3813" s="41" t="str">
        <x:v>lstm-soil-v1</x:v>
      </x:c>
    </x:row>
    <x:row r="3814">
      <x:c r="A3814" s="38" t="str">
        <x:v>7月30日现场数据</x:v>
      </x:c>
      <x:c r="B3814" s="39" t="str">
        <x:v>2026-08-03T20:55:00</x:v>
      </x:c>
      <x:c r="C3814" s="39" t="str">
        <x:v>2026-08-03T21:25:00</x:v>
      </x:c>
      <x:c r="D3814" s="47" t="n">
        <x:v>30</x:v>
      </x:c>
      <x:c r="E3814" s="40" t="n">
        <x:v>12.7</x:v>
      </x:c>
      <x:c r="F3814" s="40" t="n">
        <x:v>11.212413787841797</x:v>
      </x:c>
      <x:c r="G3814" s="40" t="n">
        <x:v>12.7</x:v>
      </x:c>
      <x:c r="H3814" s="40" t="n">
        <x:f>F3814-E3814</x:f>
        <x:v>-1.4875862121582024</x:v>
      </x:c>
      <x:c r="I3814" s="40" t="n">
        <x:f>ABS(H3814)</x:f>
        <x:v>1.4875862121582024</x:v>
      </x:c>
      <x:c r="J3814" s="40" t="n">
        <x:f>H3814^2</x:f>
        <x:v>2.2129127386031886</x:v>
      </x:c>
      <x:c r="K3814" s="40" t="n">
        <x:f>G3814-E3814</x:f>
        <x:v>0</x:v>
      </x:c>
      <x:c r="L3814" s="40" t="n">
        <x:f>ABS(K3814)</x:f>
        <x:v>0</x:v>
      </x:c>
      <x:c r="M3814" s="41" t="str">
        <x:v>lstm-soil-v1</x:v>
      </x:c>
    </x:row>
    <x:row r="3815">
      <x:c r="A3815" s="38" t="str">
        <x:v>7月30日现场数据</x:v>
      </x:c>
      <x:c r="B3815" s="39" t="str">
        <x:v>2026-08-03T20:55:00</x:v>
      </x:c>
      <x:c r="C3815" s="39" t="str">
        <x:v>2026-08-03T21:55:00</x:v>
      </x:c>
      <x:c r="D3815" s="47" t="n">
        <x:v>60</x:v>
      </x:c>
      <x:c r="E3815" s="40" t="n">
        <x:v>12.7</x:v>
      </x:c>
      <x:c r="F3815" s="40" t="n">
        <x:v>12.878395080566406</x:v>
      </x:c>
      <x:c r="G3815" s="40" t="n">
        <x:v>12.7</x:v>
      </x:c>
      <x:c r="H3815" s="40" t="n">
        <x:f>F3815-E3815</x:f>
        <x:v>0.17839508056640696</x:v>
      </x:c>
      <x:c r="I3815" s="40" t="n">
        <x:f>ABS(H3815)</x:f>
        <x:v>0.17839508056640696</x:v>
      </x:c>
      <x:c r="J3815" s="40" t="n">
        <x:f>H3815^2</x:f>
        <x:v>0.03182480477029483</x:v>
      </x:c>
      <x:c r="K3815" s="40" t="n">
        <x:f>G3815-E3815</x:f>
        <x:v>0</x:v>
      </x:c>
      <x:c r="L3815" s="40" t="n">
        <x:f>ABS(K3815)</x:f>
        <x:v>0</x:v>
      </x:c>
      <x:c r="M3815" s="41" t="str">
        <x:v>lstm-soil-v1</x:v>
      </x:c>
    </x:row>
    <x:row r="3816">
      <x:c r="A3816" s="38" t="str">
        <x:v>7月30日现场数据</x:v>
      </x:c>
      <x:c r="B3816" s="39" t="str">
        <x:v>2026-08-03T21:00:00</x:v>
      </x:c>
      <x:c r="C3816" s="39" t="str">
        <x:v>2026-08-03T21:05:00</x:v>
      </x:c>
      <x:c r="D3816" s="47" t="n">
        <x:v>5</x:v>
      </x:c>
      <x:c r="E3816" s="40" t="n">
        <x:v>12.7</x:v>
      </x:c>
      <x:c r="F3816" s="40" t="n">
        <x:v>10.716564178466797</x:v>
      </x:c>
      <x:c r="G3816" s="40" t="n">
        <x:v>12.7</x:v>
      </x:c>
      <x:c r="H3816" s="40" t="n">
        <x:f>F3816-E3816</x:f>
        <x:v>-1.9834358215332024</x:v>
      </x:c>
      <x:c r="I3816" s="40" t="n">
        <x:f>ABS(H3816)</x:f>
        <x:v>1.9834358215332024</x:v>
      </x:c>
      <x:c r="J3816" s="40" t="n">
        <x:f>H3816^2</x:f>
        <x:v>3.9340176581410895</x:v>
      </x:c>
      <x:c r="K3816" s="40" t="n">
        <x:f>G3816-E3816</x:f>
        <x:v>0</x:v>
      </x:c>
      <x:c r="L3816" s="40" t="n">
        <x:f>ABS(K3816)</x:f>
        <x:v>0</x:v>
      </x:c>
      <x:c r="M3816" s="41" t="str">
        <x:v>lstm-soil-v1</x:v>
      </x:c>
    </x:row>
    <x:row r="3817">
      <x:c r="A3817" s="38" t="str">
        <x:v>7月30日现场数据</x:v>
      </x:c>
      <x:c r="B3817" s="39" t="str">
        <x:v>2026-08-03T21:00:00</x:v>
      </x:c>
      <x:c r="C3817" s="39" t="str">
        <x:v>2026-08-03T21:15:00</x:v>
      </x:c>
      <x:c r="D3817" s="47" t="n">
        <x:v>15</x:v>
      </x:c>
      <x:c r="E3817" s="40" t="n">
        <x:v>12.7</x:v>
      </x:c>
      <x:c r="F3817" s="40" t="n">
        <x:v>10.781303405761719</x:v>
      </x:c>
      <x:c r="G3817" s="40" t="n">
        <x:v>12.7</x:v>
      </x:c>
      <x:c r="H3817" s="40" t="n">
        <x:f>F3817-E3817</x:f>
        <x:v>-1.9186965942382805</x:v>
      </x:c>
      <x:c r="I3817" s="40" t="n">
        <x:f>ABS(H3817)</x:f>
        <x:v>1.9186965942382805</x:v>
      </x:c>
      <x:c r="J3817" s="40" t="n">
        <x:f>H3817^2</x:f>
        <x:v>3.681396620741577</x:v>
      </x:c>
      <x:c r="K3817" s="40" t="n">
        <x:f>G3817-E3817</x:f>
        <x:v>0</x:v>
      </x:c>
      <x:c r="L3817" s="40" t="n">
        <x:f>ABS(K3817)</x:f>
        <x:v>0</x:v>
      </x:c>
      <x:c r="M3817" s="41" t="str">
        <x:v>lstm-soil-v1</x:v>
      </x:c>
    </x:row>
    <x:row r="3818">
      <x:c r="A3818" s="38" t="str">
        <x:v>7月30日现场数据</x:v>
      </x:c>
      <x:c r="B3818" s="39" t="str">
        <x:v>2026-08-03T21:00:00</x:v>
      </x:c>
      <x:c r="C3818" s="39" t="str">
        <x:v>2026-08-03T21:30:00</x:v>
      </x:c>
      <x:c r="D3818" s="47" t="n">
        <x:v>30</x:v>
      </x:c>
      <x:c r="E3818" s="40" t="n">
        <x:v>12.7</x:v>
      </x:c>
      <x:c r="F3818" s="40" t="n">
        <x:v>11.210494995117188</x:v>
      </x:c>
      <x:c r="G3818" s="40" t="n">
        <x:v>12.7</x:v>
      </x:c>
      <x:c r="H3818" s="40" t="n">
        <x:f>F3818-E3818</x:f>
        <x:v>-1.4895050048828118</x:v>
      </x:c>
      <x:c r="I3818" s="40" t="n">
        <x:f>ABS(H3818)</x:f>
        <x:v>1.4895050048828118</x:v>
      </x:c>
      <x:c r="J3818" s="40" t="n">
        <x:f>H3818^2</x:f>
        <x:v>2.218625159570945</x:v>
      </x:c>
      <x:c r="K3818" s="40" t="n">
        <x:f>G3818-E3818</x:f>
        <x:v>0</x:v>
      </x:c>
      <x:c r="L3818" s="40" t="n">
        <x:f>ABS(K3818)</x:f>
        <x:v>0</x:v>
      </x:c>
      <x:c r="M3818" s="41" t="str">
        <x:v>lstm-soil-v1</x:v>
      </x:c>
    </x:row>
    <x:row r="3819">
      <x:c r="A3819" s="38" t="str">
        <x:v>7月30日现场数据</x:v>
      </x:c>
      <x:c r="B3819" s="39" t="str">
        <x:v>2026-08-03T21:00:00</x:v>
      </x:c>
      <x:c r="C3819" s="39" t="str">
        <x:v>2026-08-03T22:00:00</x:v>
      </x:c>
      <x:c r="D3819" s="47" t="n">
        <x:v>60</x:v>
      </x:c>
      <x:c r="E3819" s="40" t="n">
        <x:v>12.6</x:v>
      </x:c>
      <x:c r="F3819" s="40" t="n">
        <x:v>12.870903015136719</x:v>
      </x:c>
      <x:c r="G3819" s="40" t="n">
        <x:v>12.7</x:v>
      </x:c>
      <x:c r="H3819" s="40" t="n">
        <x:f>F3819-E3819</x:f>
        <x:v>0.2709030151367191</x:v>
      </x:c>
      <x:c r="I3819" s="40" t="n">
        <x:f>ABS(H3819)</x:f>
        <x:v>0.2709030151367191</x:v>
      </x:c>
      <x:c r="J3819" s="40" t="n">
        <x:f>H3819^2</x:f>
        <x:v>0.07338844361016546</x:v>
      </x:c>
      <x:c r="K3819" s="40" t="n">
        <x:f>G3819-E3819</x:f>
        <x:v>0.09999999999999964</x:v>
      </x:c>
      <x:c r="L3819" s="40" t="n">
        <x:f>ABS(K3819)</x:f>
        <x:v>0.09999999999999964</x:v>
      </x:c>
      <x:c r="M3819" s="41" t="str">
        <x:v>lstm-soil-v1</x:v>
      </x:c>
    </x:row>
    <x:row r="3820">
      <x:c r="A3820" s="38" t="str">
        <x:v>7月30日现场数据</x:v>
      </x:c>
      <x:c r="B3820" s="39" t="str">
        <x:v>2026-08-03T21:05:00</x:v>
      </x:c>
      <x:c r="C3820" s="39" t="str">
        <x:v>2026-08-03T21:10:00</x:v>
      </x:c>
      <x:c r="D3820" s="47" t="n">
        <x:v>5</x:v>
      </x:c>
      <x:c r="E3820" s="40" t="n">
        <x:v>12.7</x:v>
      </x:c>
      <x:c r="F3820" s="40" t="n">
        <x:v>10.716617584228516</x:v>
      </x:c>
      <x:c r="G3820" s="40" t="n">
        <x:v>12.7</x:v>
      </x:c>
      <x:c r="H3820" s="40" t="n">
        <x:f>F3820-E3820</x:f>
        <x:v>-1.9833824157714837</x:v>
      </x:c>
      <x:c r="I3820" s="40" t="n">
        <x:f>ABS(H3820)</x:f>
        <x:v>1.9833824157714837</x:v>
      </x:c>
      <x:c r="J3820" s="40" t="n">
        <x:f>H3820^2</x:f>
        <x:v>3.9338058071915265</x:v>
      </x:c>
      <x:c r="K3820" s="40" t="n">
        <x:f>G3820-E3820</x:f>
        <x:v>0</x:v>
      </x:c>
      <x:c r="L3820" s="40" t="n">
        <x:f>ABS(K3820)</x:f>
        <x:v>0</x:v>
      </x:c>
      <x:c r="M3820" s="41" t="str">
        <x:v>lstm-soil-v1</x:v>
      </x:c>
    </x:row>
    <x:row r="3821">
      <x:c r="A3821" s="38" t="str">
        <x:v>7月30日现场数据</x:v>
      </x:c>
      <x:c r="B3821" s="39" t="str">
        <x:v>2026-08-03T21:05:00</x:v>
      </x:c>
      <x:c r="C3821" s="39" t="str">
        <x:v>2026-08-03T21:20:00</x:v>
      </x:c>
      <x:c r="D3821" s="47" t="n">
        <x:v>15</x:v>
      </x:c>
      <x:c r="E3821" s="40" t="n">
        <x:v>12.7</x:v>
      </x:c>
      <x:c r="F3821" s="40" t="n">
        <x:v>10.781700134277344</x:v>
      </x:c>
      <x:c r="G3821" s="40" t="n">
        <x:v>12.7</x:v>
      </x:c>
      <x:c r="H3821" s="40" t="n">
        <x:f>F3821-E3821</x:f>
        <x:v>-1.9182998657226555</x:v>
      </x:c>
      <x:c r="I3821" s="40" t="n">
        <x:f>ABS(H3821)</x:f>
        <x:v>1.9182998657226555</x:v>
      </x:c>
      <x:c r="J3821" s="40" t="n">
        <x:f>H3821^2</x:f>
        <x:v>3.679874374831558</x:v>
      </x:c>
      <x:c r="K3821" s="40" t="n">
        <x:f>G3821-E3821</x:f>
        <x:v>0</x:v>
      </x:c>
      <x:c r="L3821" s="40" t="n">
        <x:f>ABS(K3821)</x:f>
        <x:v>0</x:v>
      </x:c>
      <x:c r="M3821" s="41" t="str">
        <x:v>lstm-soil-v1</x:v>
      </x:c>
    </x:row>
    <x:row r="3822">
      <x:c r="A3822" s="38" t="str">
        <x:v>7月30日现场数据</x:v>
      </x:c>
      <x:c r="B3822" s="39" t="str">
        <x:v>2026-08-03T21:05:00</x:v>
      </x:c>
      <x:c r="C3822" s="39" t="str">
        <x:v>2026-08-03T21:35:00</x:v>
      </x:c>
      <x:c r="D3822" s="47" t="n">
        <x:v>30</x:v>
      </x:c>
      <x:c r="E3822" s="40" t="n">
        <x:v>12.7</x:v>
      </x:c>
      <x:c r="F3822" s="40" t="n">
        <x:v>11.212615966796875</x:v>
      </x:c>
      <x:c r="G3822" s="40" t="n">
        <x:v>12.7</x:v>
      </x:c>
      <x:c r="H3822" s="40" t="n">
        <x:f>F3822-E3822</x:f>
        <x:v>-1.4873840332031243</x:v>
      </x:c>
      <x:c r="I3822" s="40" t="n">
        <x:f>ABS(H3822)</x:f>
        <x:v>1.4873840332031243</x:v>
      </x:c>
      <x:c r="J3822" s="40" t="n">
        <x:f>H3822^2</x:f>
        <x:v>2.2123112622275927</x:v>
      </x:c>
      <x:c r="K3822" s="40" t="n">
        <x:f>G3822-E3822</x:f>
        <x:v>0</x:v>
      </x:c>
      <x:c r="L3822" s="40" t="n">
        <x:f>ABS(K3822)</x:f>
        <x:v>0</x:v>
      </x:c>
      <x:c r="M3822" s="41" t="str">
        <x:v>lstm-soil-v1</x:v>
      </x:c>
    </x:row>
    <x:row r="3823">
      <x:c r="A3823" s="38" t="str">
        <x:v>7月30日现场数据</x:v>
      </x:c>
      <x:c r="B3823" s="39" t="str">
        <x:v>2026-08-03T21:05:00</x:v>
      </x:c>
      <x:c r="C3823" s="39" t="str">
        <x:v>2026-08-03T22:05:00</x:v>
      </x:c>
      <x:c r="D3823" s="47" t="n">
        <x:v>60</x:v>
      </x:c>
      <x:c r="E3823" s="40" t="n">
        <x:v>12.7</x:v>
      </x:c>
      <x:c r="F3823" s="40" t="n">
        <x:v>12.870147705078125</x:v>
      </x:c>
      <x:c r="G3823" s="40" t="n">
        <x:v>12.7</x:v>
      </x:c>
      <x:c r="H3823" s="40" t="n">
        <x:f>F3823-E3823</x:f>
        <x:v>0.1701477050781257</x:v>
      </x:c>
      <x:c r="I3823" s="40" t="n">
        <x:f>ABS(H3823)</x:f>
        <x:v>0.1701477050781257</x:v>
      </x:c>
      <x:c r="J3823" s="40" t="n">
        <x:f>H3823^2</x:f>
        <x:v>0.028950241543352847</x:v>
      </x:c>
      <x:c r="K3823" s="40" t="n">
        <x:f>G3823-E3823</x:f>
        <x:v>0</x:v>
      </x:c>
      <x:c r="L3823" s="40" t="n">
        <x:f>ABS(K3823)</x:f>
        <x:v>0</x:v>
      </x:c>
      <x:c r="M3823" s="41" t="str">
        <x:v>lstm-soil-v1</x:v>
      </x:c>
    </x:row>
    <x:row r="3824">
      <x:c r="A3824" s="38" t="str">
        <x:v>7月30日现场数据</x:v>
      </x:c>
      <x:c r="B3824" s="39" t="str">
        <x:v>2026-08-03T21:10:00</x:v>
      </x:c>
      <x:c r="C3824" s="39" t="str">
        <x:v>2026-08-03T21:15:00</x:v>
      </x:c>
      <x:c r="D3824" s="47" t="n">
        <x:v>5</x:v>
      </x:c>
      <x:c r="E3824" s="40" t="n">
        <x:v>12.7</x:v>
      </x:c>
      <x:c r="F3824" s="40" t="n">
        <x:v>10.714134216308594</x:v>
      </x:c>
      <x:c r="G3824" s="40" t="n">
        <x:v>12.7</x:v>
      </x:c>
      <x:c r="H3824" s="40" t="n">
        <x:f>F3824-E3824</x:f>
        <x:v>-1.9858657836914055</x:v>
      </x:c>
      <x:c r="I3824" s="40" t="n">
        <x:f>ABS(H3824)</x:f>
        <x:v>1.9858657836914055</x:v>
      </x:c>
      <x:c r="J3824" s="40" t="n">
        <x:f>H3824^2</x:f>
        <x:v>3.9436629108362804</x:v>
      </x:c>
      <x:c r="K3824" s="40" t="n">
        <x:f>G3824-E3824</x:f>
        <x:v>0</x:v>
      </x:c>
      <x:c r="L3824" s="40" t="n">
        <x:f>ABS(K3824)</x:f>
        <x:v>0</x:v>
      </x:c>
      <x:c r="M3824" s="41" t="str">
        <x:v>lstm-soil-v1</x:v>
      </x:c>
    </x:row>
    <x:row r="3825">
      <x:c r="A3825" s="38" t="str">
        <x:v>7月30日现场数据</x:v>
      </x:c>
      <x:c r="B3825" s="39" t="str">
        <x:v>2026-08-03T21:10:00</x:v>
      </x:c>
      <x:c r="C3825" s="39" t="str">
        <x:v>2026-08-03T21:25:00</x:v>
      </x:c>
      <x:c r="D3825" s="47" t="n">
        <x:v>15</x:v>
      </x:c>
      <x:c r="E3825" s="40" t="n">
        <x:v>12.7</x:v>
      </x:c>
      <x:c r="F3825" s="40" t="n">
        <x:v>10.780525207519531</x:v>
      </x:c>
      <x:c r="G3825" s="40" t="n">
        <x:v>12.7</x:v>
      </x:c>
      <x:c r="H3825" s="40" t="n">
        <x:f>F3825-E3825</x:f>
        <x:v>-1.919474792480468</x:v>
      </x:c>
      <x:c r="I3825" s="40" t="n">
        <x:f>ABS(H3825)</x:f>
        <x:v>1.919474792480468</x:v>
      </x:c>
      <x:c r="J3825" s="40" t="n">
        <x:f>H3825^2</x:f>
        <x:v>3.684383478967936</x:v>
      </x:c>
      <x:c r="K3825" s="40" t="n">
        <x:f>G3825-E3825</x:f>
        <x:v>0</x:v>
      </x:c>
      <x:c r="L3825" s="40" t="n">
        <x:f>ABS(K3825)</x:f>
        <x:v>0</x:v>
      </x:c>
      <x:c r="M3825" s="41" t="str">
        <x:v>lstm-soil-v1</x:v>
      </x:c>
    </x:row>
    <x:row r="3826">
      <x:c r="A3826" s="38" t="str">
        <x:v>7月30日现场数据</x:v>
      </x:c>
      <x:c r="B3826" s="39" t="str">
        <x:v>2026-08-03T21:10:00</x:v>
      </x:c>
      <x:c r="C3826" s="39" t="str">
        <x:v>2026-08-03T21:40:00</x:v>
      </x:c>
      <x:c r="D3826" s="47" t="n">
        <x:v>30</x:v>
      </x:c>
      <x:c r="E3826" s="40" t="n">
        <x:v>12.7</x:v>
      </x:c>
      <x:c r="F3826" s="40" t="n">
        <x:v>11.211078643798828</x:v>
      </x:c>
      <x:c r="G3826" s="40" t="n">
        <x:v>12.7</x:v>
      </x:c>
      <x:c r="H3826" s="40" t="n">
        <x:f>F3826-E3826</x:f>
        <x:v>-1.4889213562011712</x:v>
      </x:c>
      <x:c r="I3826" s="40" t="n">
        <x:f>ABS(H3826)</x:f>
        <x:v>1.4889213562011712</x:v>
      </x:c>
      <x:c r="J3826" s="40" t="n">
        <x:f>H3826^2</x:f>
        <x:v>2.216886804951935</x:v>
      </x:c>
      <x:c r="K3826" s="40" t="n">
        <x:f>G3826-E3826</x:f>
        <x:v>0</x:v>
      </x:c>
      <x:c r="L3826" s="40" t="n">
        <x:f>ABS(K3826)</x:f>
        <x:v>0</x:v>
      </x:c>
      <x:c r="M3826" s="41" t="str">
        <x:v>lstm-soil-v1</x:v>
      </x:c>
    </x:row>
    <x:row r="3827">
      <x:c r="A3827" s="38" t="str">
        <x:v>7月30日现场数据</x:v>
      </x:c>
      <x:c r="B3827" s="39" t="str">
        <x:v>2026-08-03T21:10:00</x:v>
      </x:c>
      <x:c r="C3827" s="39" t="str">
        <x:v>2026-08-03T22:10:00</x:v>
      </x:c>
      <x:c r="D3827" s="47" t="n">
        <x:v>60</x:v>
      </x:c>
      <x:c r="E3827" s="40" t="n">
        <x:v>12.7</x:v>
      </x:c>
      <x:c r="F3827" s="40" t="n">
        <x:v>12.86248779296875</x:v>
      </x:c>
      <x:c r="G3827" s="40" t="n">
        <x:v>12.7</x:v>
      </x:c>
      <x:c r="H3827" s="40" t="n">
        <x:f>F3827-E3827</x:f>
        <x:v>0.1624877929687507</x:v>
      </x:c>
      <x:c r="I3827" s="40" t="n">
        <x:f>ABS(H3827)</x:f>
        <x:v>0.1624877929687507</x:v>
      </x:c>
      <x:c r="J3827" s="40" t="n">
        <x:f>H3827^2</x:f>
        <x:v>0.026402282863855594</x:v>
      </x:c>
      <x:c r="K3827" s="40" t="n">
        <x:f>G3827-E3827</x:f>
        <x:v>0</x:v>
      </x:c>
      <x:c r="L3827" s="40" t="n">
        <x:f>ABS(K3827)</x:f>
        <x:v>0</x:v>
      </x:c>
      <x:c r="M3827" s="41" t="str">
        <x:v>lstm-soil-v1</x:v>
      </x:c>
    </x:row>
    <x:row r="3828">
      <x:c r="A3828" s="38" t="str">
        <x:v>7月30日现场数据</x:v>
      </x:c>
      <x:c r="B3828" s="39" t="str">
        <x:v>2026-08-03T21:15:00</x:v>
      </x:c>
      <x:c r="C3828" s="39" t="str">
        <x:v>2026-08-03T21:20:00</x:v>
      </x:c>
      <x:c r="D3828" s="47" t="n">
        <x:v>5</x:v>
      </x:c>
      <x:c r="E3828" s="40" t="n">
        <x:v>12.7</x:v>
      </x:c>
      <x:c r="F3828" s="40" t="n">
        <x:v>10.713523864746094</x:v>
      </x:c>
      <x:c r="G3828" s="40" t="n">
        <x:v>12.7</x:v>
      </x:c>
      <x:c r="H3828" s="40" t="n">
        <x:f>F3828-E3828</x:f>
        <x:v>-1.9864761352539055</x:v>
      </x:c>
      <x:c r="I3828" s="40" t="n">
        <x:f>ABS(H3828)</x:f>
        <x:v>1.9864761352539055</x:v>
      </x:c>
      <x:c r="J3828" s="40" t="n">
        <x:f>H3828^2</x:f>
        <x:v>3.946087435933293</x:v>
      </x:c>
      <x:c r="K3828" s="40" t="n">
        <x:f>G3828-E3828</x:f>
        <x:v>0</x:v>
      </x:c>
      <x:c r="L3828" s="40" t="n">
        <x:f>ABS(K3828)</x:f>
        <x:v>0</x:v>
      </x:c>
      <x:c r="M3828" s="41" t="str">
        <x:v>lstm-soil-v1</x:v>
      </x:c>
    </x:row>
    <x:row r="3829">
      <x:c r="A3829" s="38" t="str">
        <x:v>7月30日现场数据</x:v>
      </x:c>
      <x:c r="B3829" s="39" t="str">
        <x:v>2026-08-03T21:15:00</x:v>
      </x:c>
      <x:c r="C3829" s="39" t="str">
        <x:v>2026-08-03T21:30:00</x:v>
      </x:c>
      <x:c r="D3829" s="47" t="n">
        <x:v>15</x:v>
      </x:c>
      <x:c r="E3829" s="40" t="n">
        <x:v>12.7</x:v>
      </x:c>
      <x:c r="F3829" s="40" t="n">
        <x:v>10.778759002685547</x:v>
      </x:c>
      <x:c r="G3829" s="40" t="n">
        <x:v>12.7</x:v>
      </x:c>
      <x:c r="H3829" s="40" t="n">
        <x:f>F3829-E3829</x:f>
        <x:v>-1.9212409973144524</x:v>
      </x:c>
      <x:c r="I3829" s="40" t="n">
        <x:f>ABS(H3829)</x:f>
        <x:v>1.9212409973144524</x:v>
      </x:c>
      <x:c r="J3829" s="40" t="n">
        <x:f>H3829^2</x:f>
        <x:v>3.6911669697618317</x:v>
      </x:c>
      <x:c r="K3829" s="40" t="n">
        <x:f>G3829-E3829</x:f>
        <x:v>0</x:v>
      </x:c>
      <x:c r="L3829" s="40" t="n">
        <x:f>ABS(K3829)</x:f>
        <x:v>0</x:v>
      </x:c>
      <x:c r="M3829" s="41" t="str">
        <x:v>lstm-soil-v1</x:v>
      </x:c>
    </x:row>
    <x:row r="3830">
      <x:c r="A3830" s="38" t="str">
        <x:v>7月30日现场数据</x:v>
      </x:c>
      <x:c r="B3830" s="39" t="str">
        <x:v>2026-08-03T21:15:00</x:v>
      </x:c>
      <x:c r="C3830" s="39" t="str">
        <x:v>2026-08-03T21:45:00</x:v>
      </x:c>
      <x:c r="D3830" s="47" t="n">
        <x:v>30</x:v>
      </x:c>
      <x:c r="E3830" s="40" t="n">
        <x:v>12.7</x:v>
      </x:c>
      <x:c r="F3830" s="40" t="n">
        <x:v>11.211860656738281</x:v>
      </x:c>
      <x:c r="G3830" s="40" t="n">
        <x:v>12.7</x:v>
      </x:c>
      <x:c r="H3830" s="40" t="n">
        <x:f>F3830-E3830</x:f>
        <x:v>-1.488139343261718</x:v>
      </x:c>
      <x:c r="I3830" s="40" t="n">
        <x:f>ABS(H3830)</x:f>
        <x:v>1.488139343261718</x:v>
      </x:c>
      <x:c r="J3830" s="40" t="n">
        <x:f>H3830^2</x:f>
        <x:v>2.2145587049634177</x:v>
      </x:c>
      <x:c r="K3830" s="40" t="n">
        <x:f>G3830-E3830</x:f>
        <x:v>0</x:v>
      </x:c>
      <x:c r="L3830" s="40" t="n">
        <x:f>ABS(K3830)</x:f>
        <x:v>0</x:v>
      </x:c>
      <x:c r="M3830" s="41" t="str">
        <x:v>lstm-soil-v1</x:v>
      </x:c>
    </x:row>
    <x:row r="3831">
      <x:c r="A3831" s="38" t="str">
        <x:v>7月30日现场数据</x:v>
      </x:c>
      <x:c r="B3831" s="39" t="str">
        <x:v>2026-08-03T21:15:00</x:v>
      </x:c>
      <x:c r="C3831" s="39" t="str">
        <x:v>2026-08-03T22:15:00</x:v>
      </x:c>
      <x:c r="D3831" s="47" t="n">
        <x:v>60</x:v>
      </x:c>
      <x:c r="E3831" s="40" t="n">
        <x:v>12.6</x:v>
      </x:c>
      <x:c r="F3831" s="40" t="n">
        <x:v>12.86063003540039</x:v>
      </x:c>
      <x:c r="G3831" s="40" t="n">
        <x:v>12.7</x:v>
      </x:c>
      <x:c r="H3831" s="40" t="n">
        <x:f>F3831-E3831</x:f>
        <x:v>0.260630035400391</x:v>
      </x:c>
      <x:c r="I3831" s="40" t="n">
        <x:f>ABS(H3831)</x:f>
        <x:v>0.260630035400391</x:v>
      </x:c>
      <x:c r="J3831" s="40" t="n">
        <x:f>H3831^2</x:f>
        <x:v>0.06792801535280905</x:v>
      </x:c>
      <x:c r="K3831" s="40" t="n">
        <x:f>G3831-E3831</x:f>
        <x:v>0.09999999999999964</x:v>
      </x:c>
      <x:c r="L3831" s="40" t="n">
        <x:f>ABS(K3831)</x:f>
        <x:v>0.09999999999999964</x:v>
      </x:c>
      <x:c r="M3831" s="41" t="str">
        <x:v>lstm-soil-v1</x:v>
      </x:c>
    </x:row>
    <x:row r="3832">
      <x:c r="A3832" s="38" t="str">
        <x:v>7月30日现场数据</x:v>
      </x:c>
      <x:c r="B3832" s="39" t="str">
        <x:v>2026-08-03T21:20:00</x:v>
      </x:c>
      <x:c r="C3832" s="39" t="str">
        <x:v>2026-08-03T21:25:00</x:v>
      </x:c>
      <x:c r="D3832" s="47" t="n">
        <x:v>5</x:v>
      </x:c>
      <x:c r="E3832" s="40" t="n">
        <x:v>12.7</x:v>
      </x:c>
      <x:c r="F3832" s="40" t="n">
        <x:v>10.713481903076172</x:v>
      </x:c>
      <x:c r="G3832" s="40" t="n">
        <x:v>12.7</x:v>
      </x:c>
      <x:c r="H3832" s="40" t="n">
        <x:f>F3832-E3832</x:f>
        <x:v>-1.9865180969238274</x:v>
      </x:c>
      <x:c r="I3832" s="40" t="n">
        <x:f>ABS(H3832)</x:f>
        <x:v>1.9865180969238274</x:v>
      </x:c>
      <x:c r="J3832" s="40" t="n">
        <x:f>H3832^2</x:f>
        <x:v>3.946254149405865</x:v>
      </x:c>
      <x:c r="K3832" s="40" t="n">
        <x:f>G3832-E3832</x:f>
        <x:v>0</x:v>
      </x:c>
      <x:c r="L3832" s="40" t="n">
        <x:f>ABS(K3832)</x:f>
        <x:v>0</x:v>
      </x:c>
      <x:c r="M3832" s="41" t="str">
        <x:v>lstm-soil-v1</x:v>
      </x:c>
    </x:row>
    <x:row r="3833">
      <x:c r="A3833" s="38" t="str">
        <x:v>7月30日现场数据</x:v>
      </x:c>
      <x:c r="B3833" s="39" t="str">
        <x:v>2026-08-03T21:20:00</x:v>
      </x:c>
      <x:c r="C3833" s="39" t="str">
        <x:v>2026-08-03T21:35:00</x:v>
      </x:c>
      <x:c r="D3833" s="47" t="n">
        <x:v>15</x:v>
      </x:c>
      <x:c r="E3833" s="40" t="n">
        <x:v>12.7</x:v>
      </x:c>
      <x:c r="F3833" s="40" t="n">
        <x:v>10.777687072753906</x:v>
      </x:c>
      <x:c r="G3833" s="40" t="n">
        <x:v>12.7</x:v>
      </x:c>
      <x:c r="H3833" s="40" t="n">
        <x:f>F3833-E3833</x:f>
        <x:v>-1.922312927246093</x:v>
      </x:c>
      <x:c r="I3833" s="40" t="n">
        <x:f>ABS(H3833)</x:f>
        <x:v>1.922312927246093</x:v>
      </x:c>
      <x:c r="J3833" s="40" t="n">
        <x:f>H3833^2</x:f>
        <x:v>3.695286990257443</x:v>
      </x:c>
      <x:c r="K3833" s="40" t="n">
        <x:f>G3833-E3833</x:f>
        <x:v>0</x:v>
      </x:c>
      <x:c r="L3833" s="40" t="n">
        <x:f>ABS(K3833)</x:f>
        <x:v>0</x:v>
      </x:c>
      <x:c r="M3833" s="41" t="str">
        <x:v>lstm-soil-v1</x:v>
      </x:c>
    </x:row>
    <x:row r="3834">
      <x:c r="A3834" s="38" t="str">
        <x:v>7月30日现场数据</x:v>
      </x:c>
      <x:c r="B3834" s="39" t="str">
        <x:v>2026-08-03T21:20:00</x:v>
      </x:c>
      <x:c r="C3834" s="39" t="str">
        <x:v>2026-08-03T21:50:00</x:v>
      </x:c>
      <x:c r="D3834" s="47" t="n">
        <x:v>30</x:v>
      </x:c>
      <x:c r="E3834" s="40" t="n">
        <x:v>12.7</x:v>
      </x:c>
      <x:c r="F3834" s="40" t="n">
        <x:v>11.213451385498047</x:v>
      </x:c>
      <x:c r="G3834" s="40" t="n">
        <x:v>12.7</x:v>
      </x:c>
      <x:c r="H3834" s="40" t="n">
        <x:f>F3834-E3834</x:f>
        <x:v>-1.4865486145019524</x:v>
      </x:c>
      <x:c r="I3834" s="40" t="n">
        <x:f>ABS(H3834)</x:f>
        <x:v>1.4865486145019524</x:v>
      </x:c>
      <x:c r="J3834" s="40" t="n">
        <x:f>H3834^2</x:f>
        <x:v>2.2098267832776743</x:v>
      </x:c>
      <x:c r="K3834" s="40" t="n">
        <x:f>G3834-E3834</x:f>
        <x:v>0</x:v>
      </x:c>
      <x:c r="L3834" s="40" t="n">
        <x:f>ABS(K3834)</x:f>
        <x:v>0</x:v>
      </x:c>
      <x:c r="M3834" s="41" t="str">
        <x:v>lstm-soil-v1</x:v>
      </x:c>
    </x:row>
    <x:row r="3835">
      <x:c r="A3835" s="38" t="str">
        <x:v>7月30日现场数据</x:v>
      </x:c>
      <x:c r="B3835" s="39" t="str">
        <x:v>2026-08-03T21:20:00</x:v>
      </x:c>
      <x:c r="C3835" s="39" t="str">
        <x:v>2026-08-03T22:20:00</x:v>
      </x:c>
      <x:c r="D3835" s="47" t="n">
        <x:v>60</x:v>
      </x:c>
      <x:c r="E3835" s="40" t="n">
        <x:v>12.6</x:v>
      </x:c>
      <x:c r="F3835" s="40" t="n">
        <x:v>12.860111236572266</x:v>
      </x:c>
      <x:c r="G3835" s="40" t="n">
        <x:v>12.7</x:v>
      </x:c>
      <x:c r="H3835" s="40" t="n">
        <x:f>F3835-E3835</x:f>
        <x:v>0.260111236572266</x:v>
      </x:c>
      <x:c r="I3835" s="40" t="n">
        <x:f>ABS(H3835)</x:f>
        <x:v>0.260111236572266</x:v>
      </x:c>
      <x:c r="J3835" s="40" t="n">
        <x:f>H3835^2</x:f>
        <x:v>0.06765785539115332</x:v>
      </x:c>
      <x:c r="K3835" s="40" t="n">
        <x:f>G3835-E3835</x:f>
        <x:v>0.09999999999999964</x:v>
      </x:c>
      <x:c r="L3835" s="40" t="n">
        <x:f>ABS(K3835)</x:f>
        <x:v>0.09999999999999964</x:v>
      </x:c>
      <x:c r="M3835" s="41" t="str">
        <x:v>lstm-soil-v1</x:v>
      </x:c>
    </x:row>
    <x:row r="3836">
      <x:c r="A3836" s="38" t="str">
        <x:v>7月30日现场数据</x:v>
      </x:c>
      <x:c r="B3836" s="39" t="str">
        <x:v>2026-08-03T21:25:00</x:v>
      </x:c>
      <x:c r="C3836" s="39" t="str">
        <x:v>2026-08-03T21:30:00</x:v>
      </x:c>
      <x:c r="D3836" s="47" t="n">
        <x:v>5</x:v>
      </x:c>
      <x:c r="E3836" s="40" t="n">
        <x:v>12.7</x:v>
      </x:c>
      <x:c r="F3836" s="40" t="n">
        <x:v>10.713680267333984</x:v>
      </x:c>
      <x:c r="G3836" s="40" t="n">
        <x:v>12.7</x:v>
      </x:c>
      <x:c r="H3836" s="40" t="n">
        <x:f>F3836-E3836</x:f>
        <x:v>-1.986319732666015</x:v>
      </x:c>
      <x:c r="I3836" s="40" t="n">
        <x:f>ABS(H3836)</x:f>
        <x:v>1.986319732666015</x:v>
      </x:c>
      <x:c r="J3836" s="40" t="n">
        <x:f>H3836^2</x:f>
        <x:v>3.945466080378389</x:v>
      </x:c>
      <x:c r="K3836" s="40" t="n">
        <x:f>G3836-E3836</x:f>
        <x:v>0</x:v>
      </x:c>
      <x:c r="L3836" s="40" t="n">
        <x:f>ABS(K3836)</x:f>
        <x:v>0</x:v>
      </x:c>
      <x:c r="M3836" s="41" t="str">
        <x:v>lstm-soil-v1</x:v>
      </x:c>
    </x:row>
    <x:row r="3837">
      <x:c r="A3837" s="38" t="str">
        <x:v>7月30日现场数据</x:v>
      </x:c>
      <x:c r="B3837" s="39" t="str">
        <x:v>2026-08-03T21:25:00</x:v>
      </x:c>
      <x:c r="C3837" s="39" t="str">
        <x:v>2026-08-03T21:40:00</x:v>
      </x:c>
      <x:c r="D3837" s="47" t="n">
        <x:v>15</x:v>
      </x:c>
      <x:c r="E3837" s="40" t="n">
        <x:v>12.7</x:v>
      </x:c>
      <x:c r="F3837" s="40" t="n">
        <x:v>10.777050018310547</x:v>
      </x:c>
      <x:c r="G3837" s="40" t="n">
        <x:v>12.7</x:v>
      </x:c>
      <x:c r="H3837" s="40" t="n">
        <x:f>F3837-E3837</x:f>
        <x:v>-1.9229499816894524</x:v>
      </x:c>
      <x:c r="I3837" s="40" t="n">
        <x:f>ABS(H3837)</x:f>
        <x:v>1.9229499816894524</x:v>
      </x:c>
      <x:c r="J3837" s="40" t="n">
        <x:f>H3837^2</x:f>
        <x:v>3.6977366320794656</x:v>
      </x:c>
      <x:c r="K3837" s="40" t="n">
        <x:f>G3837-E3837</x:f>
        <x:v>0</x:v>
      </x:c>
      <x:c r="L3837" s="40" t="n">
        <x:f>ABS(K3837)</x:f>
        <x:v>0</x:v>
      </x:c>
      <x:c r="M3837" s="41" t="str">
        <x:v>lstm-soil-v1</x:v>
      </x:c>
    </x:row>
    <x:row r="3838">
      <x:c r="A3838" s="38" t="str">
        <x:v>7月30日现场数据</x:v>
      </x:c>
      <x:c r="B3838" s="39" t="str">
        <x:v>2026-08-03T21:25:00</x:v>
      </x:c>
      <x:c r="C3838" s="39" t="str">
        <x:v>2026-08-03T21:55:00</x:v>
      </x:c>
      <x:c r="D3838" s="47" t="n">
        <x:v>30</x:v>
      </x:c>
      <x:c r="E3838" s="40" t="n">
        <x:v>12.7</x:v>
      </x:c>
      <x:c r="F3838" s="40" t="n">
        <x:v>11.215103149414062</x:v>
      </x:c>
      <x:c r="G3838" s="40" t="n">
        <x:v>12.7</x:v>
      </x:c>
      <x:c r="H3838" s="40" t="n">
        <x:f>F3838-E3838</x:f>
        <x:v>-1.4848968505859368</x:v>
      </x:c>
      <x:c r="I3838" s="40" t="n">
        <x:f>ABS(H3838)</x:f>
        <x:v>1.4848968505859368</x:v>
      </x:c>
      <x:c r="J3838" s="40" t="n">
        <x:f>H3838^2</x:f>
        <x:v>2.204918656880034</x:v>
      </x:c>
      <x:c r="K3838" s="40" t="n">
        <x:f>G3838-E3838</x:f>
        <x:v>0</x:v>
      </x:c>
      <x:c r="L3838" s="40" t="n">
        <x:f>ABS(K3838)</x:f>
        <x:v>0</x:v>
      </x:c>
      <x:c r="M3838" s="41" t="str">
        <x:v>lstm-soil-v1</x:v>
      </x:c>
    </x:row>
    <x:row r="3839">
      <x:c r="A3839" s="38" t="str">
        <x:v>7月30日现场数据</x:v>
      </x:c>
      <x:c r="B3839" s="39" t="str">
        <x:v>2026-08-03T21:25:00</x:v>
      </x:c>
      <x:c r="C3839" s="39" t="str">
        <x:v>2026-08-03T22:25:00</x:v>
      </x:c>
      <x:c r="D3839" s="47" t="n">
        <x:v>60</x:v>
      </x:c>
      <x:c r="E3839" s="40" t="n">
        <x:v>12.5</x:v>
      </x:c>
      <x:c r="F3839" s="40" t="n">
        <x:v>12.860328674316406</x:v>
      </x:c>
      <x:c r="G3839" s="40" t="n">
        <x:v>12.7</x:v>
      </x:c>
      <x:c r="H3839" s="40" t="n">
        <x:f>F3839-E3839</x:f>
        <x:v>0.36032867431640625</x:v>
      </x:c>
      <x:c r="I3839" s="40" t="n">
        <x:f>ABS(H3839)</x:f>
        <x:v>0.36032867431640625</x:v>
      </x:c>
      <x:c r="J3839" s="40" t="n">
        <x:f>H3839^2</x:f>
        <x:v>0.12983675353461877</x:v>
      </x:c>
      <x:c r="K3839" s="40" t="n">
        <x:f>G3839-E3839</x:f>
        <x:v>0.1999999999999993</x:v>
      </x:c>
      <x:c r="L3839" s="40" t="n">
        <x:f>ABS(K3839)</x:f>
        <x:v>0.1999999999999993</x:v>
      </x:c>
      <x:c r="M3839" s="41" t="str">
        <x:v>lstm-soil-v1</x:v>
      </x:c>
    </x:row>
    <x:row r="3840">
      <x:c r="A3840" s="38" t="str">
        <x:v>7月30日现场数据</x:v>
      </x:c>
      <x:c r="B3840" s="39" t="str">
        <x:v>2026-08-03T21:30:00</x:v>
      </x:c>
      <x:c r="C3840" s="39" t="str">
        <x:v>2026-08-03T21:35:00</x:v>
      </x:c>
      <x:c r="D3840" s="47" t="n">
        <x:v>5</x:v>
      </x:c>
      <x:c r="E3840" s="40" t="n">
        <x:v>12.7</x:v>
      </x:c>
      <x:c r="F3840" s="40" t="n">
        <x:v>10.714134216308594</x:v>
      </x:c>
      <x:c r="G3840" s="40" t="n">
        <x:v>12.7</x:v>
      </x:c>
      <x:c r="H3840" s="40" t="n">
        <x:f>F3840-E3840</x:f>
        <x:v>-1.9858657836914055</x:v>
      </x:c>
      <x:c r="I3840" s="40" t="n">
        <x:f>ABS(H3840)</x:f>
        <x:v>1.9858657836914055</x:v>
      </x:c>
      <x:c r="J3840" s="40" t="n">
        <x:f>H3840^2</x:f>
        <x:v>3.9436629108362804</x:v>
      </x:c>
      <x:c r="K3840" s="40" t="n">
        <x:f>G3840-E3840</x:f>
        <x:v>0</x:v>
      </x:c>
      <x:c r="L3840" s="40" t="n">
        <x:f>ABS(K3840)</x:f>
        <x:v>0</x:v>
      </x:c>
      <x:c r="M3840" s="41" t="str">
        <x:v>lstm-soil-v1</x:v>
      </x:c>
    </x:row>
    <x:row r="3841">
      <x:c r="A3841" s="38" t="str">
        <x:v>7月30日现场数据</x:v>
      </x:c>
      <x:c r="B3841" s="39" t="str">
        <x:v>2026-08-03T21:30:00</x:v>
      </x:c>
      <x:c r="C3841" s="39" t="str">
        <x:v>2026-08-03T21:45:00</x:v>
      </x:c>
      <x:c r="D3841" s="47" t="n">
        <x:v>15</x:v>
      </x:c>
      <x:c r="E3841" s="40" t="n">
        <x:v>12.7</x:v>
      </x:c>
      <x:c r="F3841" s="40" t="n">
        <x:v>10.776809692382812</x:v>
      </x:c>
      <x:c r="G3841" s="40" t="n">
        <x:v>12.7</x:v>
      </x:c>
      <x:c r="H3841" s="40" t="n">
        <x:f>F3841-E3841</x:f>
        <x:v>-1.9231903076171868</x:v>
      </x:c>
      <x:c r="I3841" s="40" t="n">
        <x:f>ABS(H3841)</x:f>
        <x:v>1.9231903076171868</x:v>
      </x:c>
      <x:c r="J3841" s="40" t="n">
        <x:f>H3841^2</x:f>
        <x:v>3.6986609593126896</x:v>
      </x:c>
      <x:c r="K3841" s="40" t="n">
        <x:f>G3841-E3841</x:f>
        <x:v>0</x:v>
      </x:c>
      <x:c r="L3841" s="40" t="n">
        <x:f>ABS(K3841)</x:f>
        <x:v>0</x:v>
      </x:c>
      <x:c r="M3841" s="41" t="str">
        <x:v>lstm-soil-v1</x:v>
      </x:c>
    </x:row>
    <x:row r="3842">
      <x:c r="A3842" s="38" t="str">
        <x:v>7月30日现场数据</x:v>
      </x:c>
      <x:c r="B3842" s="39" t="str">
        <x:v>2026-08-03T21:30:00</x:v>
      </x:c>
      <x:c r="C3842" s="39" t="str">
        <x:v>2026-08-03T22:00:00</x:v>
      </x:c>
      <x:c r="D3842" s="47" t="n">
        <x:v>30</x:v>
      </x:c>
      <x:c r="E3842" s="40" t="n">
        <x:v>12.6</x:v>
      </x:c>
      <x:c r="F3842" s="40" t="n">
        <x:v>11.216773986816406</x:v>
      </x:c>
      <x:c r="G3842" s="40" t="n">
        <x:v>12.7</x:v>
      </x:c>
      <x:c r="H3842" s="40" t="n">
        <x:f>F3842-E3842</x:f>
        <x:v>-1.3832260131835934</x:v>
      </x:c>
      <x:c r="I3842" s="40" t="n">
        <x:f>ABS(H3842)</x:f>
        <x:v>1.3832260131835934</x:v>
      </x:c>
      <x:c r="J3842" s="40" t="n">
        <x:f>H3842^2</x:f>
        <x:v>1.9133142035477786</x:v>
      </x:c>
      <x:c r="K3842" s="40" t="n">
        <x:f>G3842-E3842</x:f>
        <x:v>0.09999999999999964</x:v>
      </x:c>
      <x:c r="L3842" s="40" t="n">
        <x:f>ABS(K3842)</x:f>
        <x:v>0.09999999999999964</x:v>
      </x:c>
      <x:c r="M3842" s="41" t="str">
        <x:v>lstm-soil-v1</x:v>
      </x:c>
    </x:row>
    <x:row r="3843">
      <x:c r="A3843" s="38" t="str">
        <x:v>7月30日现场数据</x:v>
      </x:c>
      <x:c r="B3843" s="39" t="str">
        <x:v>2026-08-03T21:30:00</x:v>
      </x:c>
      <x:c r="C3843" s="39" t="str">
        <x:v>2026-08-03T22:30:00</x:v>
      </x:c>
      <x:c r="D3843" s="47" t="n">
        <x:v>60</x:v>
      </x:c>
      <x:c r="E3843" s="40" t="n">
        <x:v>12.6</x:v>
      </x:c>
      <x:c r="F3843" s="40" t="n">
        <x:v>12.861003875732422</x:v>
      </x:c>
      <x:c r="G3843" s="40" t="n">
        <x:v>12.7</x:v>
      </x:c>
      <x:c r="H3843" s="40" t="n">
        <x:f>F3843-E3843</x:f>
        <x:v>0.26100387573242223</x:v>
      </x:c>
      <x:c r="I3843" s="40" t="n">
        <x:f>ABS(H3843)</x:f>
        <x:v>0.26100387573242223</x:v>
      </x:c>
      <x:c r="J3843" s="40" t="n">
        <x:f>H3843^2</x:f>
        <x:v>0.06812302314734571</x:v>
      </x:c>
      <x:c r="K3843" s="40" t="n">
        <x:f>G3843-E3843</x:f>
        <x:v>0.09999999999999964</x:v>
      </x:c>
      <x:c r="L3843" s="40" t="n">
        <x:f>ABS(K3843)</x:f>
        <x:v>0.09999999999999964</x:v>
      </x:c>
      <x:c r="M3843" s="41" t="str">
        <x:v>lstm-soil-v1</x:v>
      </x:c>
    </x:row>
    <x:row r="3844">
      <x:c r="A3844" s="38" t="str">
        <x:v>7月30日现场数据</x:v>
      </x:c>
      <x:c r="B3844" s="39" t="str">
        <x:v>2026-08-03T21:35:00</x:v>
      </x:c>
      <x:c r="C3844" s="39" t="str">
        <x:v>2026-08-03T21:40:00</x:v>
      </x:c>
      <x:c r="D3844" s="47" t="n">
        <x:v>5</x:v>
      </x:c>
      <x:c r="E3844" s="40" t="n">
        <x:v>12.7</x:v>
      </x:c>
      <x:c r="F3844" s="40" t="n">
        <x:v>10.714530944824219</x:v>
      </x:c>
      <x:c r="G3844" s="40" t="n">
        <x:v>12.7</x:v>
      </x:c>
      <x:c r="H3844" s="40" t="n">
        <x:f>F3844-E3844</x:f>
        <x:v>-1.9854690551757805</x:v>
      </x:c>
      <x:c r="I3844" s="40" t="n">
        <x:f>ABS(H3844)</x:f>
        <x:v>1.9854690551757805</x:v>
      </x:c>
      <x:c r="J3844" s="40" t="n">
        <x:f>H3844^2</x:f>
        <x:v>3.942087369060607</x:v>
      </x:c>
      <x:c r="K3844" s="40" t="n">
        <x:f>G3844-E3844</x:f>
        <x:v>0</x:v>
      </x:c>
      <x:c r="L3844" s="40" t="n">
        <x:f>ABS(K3844)</x:f>
        <x:v>0</x:v>
      </x:c>
      <x:c r="M3844" s="41" t="str">
        <x:v>lstm-soil-v1</x:v>
      </x:c>
    </x:row>
    <x:row r="3845">
      <x:c r="A3845" s="38" t="str">
        <x:v>7月30日现场数据</x:v>
      </x:c>
      <x:c r="B3845" s="39" t="str">
        <x:v>2026-08-03T21:35:00</x:v>
      </x:c>
      <x:c r="C3845" s="39" t="str">
        <x:v>2026-08-03T21:50:00</x:v>
      </x:c>
      <x:c r="D3845" s="47" t="n">
        <x:v>15</x:v>
      </x:c>
      <x:c r="E3845" s="40" t="n">
        <x:v>12.7</x:v>
      </x:c>
      <x:c r="F3845" s="40" t="n">
        <x:v>10.776710510253906</x:v>
      </x:c>
      <x:c r="G3845" s="40" t="n">
        <x:v>12.7</x:v>
      </x:c>
      <x:c r="H3845" s="40" t="n">
        <x:f>F3845-E3845</x:f>
        <x:v>-1.923289489746093</x:v>
      </x:c>
      <x:c r="I3845" s="40" t="n">
        <x:f>ABS(H3845)</x:f>
        <x:v>1.923289489746093</x:v>
      </x:c>
      <x:c r="J3845" s="40" t="n">
        <x:f>H3845^2</x:f>
        <x:v>3.699042461367787</x:v>
      </x:c>
      <x:c r="K3845" s="40" t="n">
        <x:f>G3845-E3845</x:f>
        <x:v>0</x:v>
      </x:c>
      <x:c r="L3845" s="40" t="n">
        <x:f>ABS(K3845)</x:f>
        <x:v>0</x:v>
      </x:c>
      <x:c r="M3845" s="41" t="str">
        <x:v>lstm-soil-v1</x:v>
      </x:c>
    </x:row>
    <x:row r="3846">
      <x:c r="A3846" s="38" t="str">
        <x:v>7月30日现场数据</x:v>
      </x:c>
      <x:c r="B3846" s="39" t="str">
        <x:v>2026-08-03T21:35:00</x:v>
      </x:c>
      <x:c r="C3846" s="39" t="str">
        <x:v>2026-08-03T22:05:00</x:v>
      </x:c>
      <x:c r="D3846" s="47" t="n">
        <x:v>30</x:v>
      </x:c>
      <x:c r="E3846" s="40" t="n">
        <x:v>12.7</x:v>
      </x:c>
      <x:c r="F3846" s="40" t="n">
        <x:v>11.218082427978516</x:v>
      </x:c>
      <x:c r="G3846" s="40" t="n">
        <x:v>12.7</x:v>
      </x:c>
      <x:c r="H3846" s="40" t="n">
        <x:f>F3846-E3846</x:f>
        <x:v>-1.4819175720214837</x:v>
      </x:c>
      <x:c r="I3846" s="40" t="n">
        <x:f>ABS(H3846)</x:f>
        <x:v>1.4819175720214837</x:v>
      </x:c>
      <x:c r="J3846" s="40" t="n">
        <x:f>H3846^2</x:f>
        <x:v>2.1960796902660493</x:v>
      </x:c>
      <x:c r="K3846" s="40" t="n">
        <x:f>G3846-E3846</x:f>
        <x:v>0</x:v>
      </x:c>
      <x:c r="L3846" s="40" t="n">
        <x:f>ABS(K3846)</x:f>
        <x:v>0</x:v>
      </x:c>
      <x:c r="M3846" s="41" t="str">
        <x:v>lstm-soil-v1</x:v>
      </x:c>
    </x:row>
    <x:row r="3847">
      <x:c r="A3847" s="38" t="str">
        <x:v>7月30日现场数据</x:v>
      </x:c>
      <x:c r="B3847" s="39" t="str">
        <x:v>2026-08-03T21:35:00</x:v>
      </x:c>
      <x:c r="C3847" s="39" t="str">
        <x:v>2026-08-03T22:35:00</x:v>
      </x:c>
      <x:c r="D3847" s="47" t="n">
        <x:v>60</x:v>
      </x:c>
      <x:c r="E3847" s="40" t="n">
        <x:v>12.6</x:v>
      </x:c>
      <x:c r="F3847" s="40" t="n">
        <x:v>12.861701965332031</x:v>
      </x:c>
      <x:c r="G3847" s="40" t="n">
        <x:v>12.7</x:v>
      </x:c>
      <x:c r="H3847" s="40" t="n">
        <x:f>F3847-E3847</x:f>
        <x:v>0.2617019653320316</x:v>
      </x:c>
      <x:c r="I3847" s="40" t="n">
        <x:f>ABS(H3847)</x:f>
        <x:v>0.2617019653320316</x:v>
      </x:c>
      <x:c r="J3847" s="40" t="n">
        <x:f>H3847^2</x:f>
        <x:v>0.06848791865864787</x:v>
      </x:c>
      <x:c r="K3847" s="40" t="n">
        <x:f>G3847-E3847</x:f>
        <x:v>0.09999999999999964</x:v>
      </x:c>
      <x:c r="L3847" s="40" t="n">
        <x:f>ABS(K3847)</x:f>
        <x:v>0.09999999999999964</x:v>
      </x:c>
      <x:c r="M3847" s="41" t="str">
        <x:v>lstm-soil-v1</x:v>
      </x:c>
    </x:row>
    <x:row r="3848">
      <x:c r="A3848" s="38" t="str">
        <x:v>7月30日现场数据</x:v>
      </x:c>
      <x:c r="B3848" s="39" t="str">
        <x:v>2026-08-03T21:40:00</x:v>
      </x:c>
      <x:c r="C3848" s="39" t="str">
        <x:v>2026-08-03T21:45:00</x:v>
      </x:c>
      <x:c r="D3848" s="47" t="n">
        <x:v>5</x:v>
      </x:c>
      <x:c r="E3848" s="40" t="n">
        <x:v>12.7</x:v>
      </x:c>
      <x:c r="F3848" s="40" t="n">
        <x:v>10.714855194091797</x:v>
      </x:c>
      <x:c r="G3848" s="40" t="n">
        <x:v>12.7</x:v>
      </x:c>
      <x:c r="H3848" s="40" t="n">
        <x:f>F3848-E3848</x:f>
        <x:v>-1.9851448059082024</x:v>
      </x:c>
      <x:c r="I3848" s="40" t="n">
        <x:f>ABS(H3848)</x:f>
        <x:v>1.9851448059082024</x:v>
      </x:c>
      <x:c r="J3848" s="40" t="n">
        <x:f>H3848^2</x:f>
        <x:v>3.940799900424315</x:v>
      </x:c>
      <x:c r="K3848" s="40" t="n">
        <x:f>G3848-E3848</x:f>
        <x:v>0</x:v>
      </x:c>
      <x:c r="L3848" s="40" t="n">
        <x:f>ABS(K3848)</x:f>
        <x:v>0</x:v>
      </x:c>
      <x:c r="M3848" s="41" t="str">
        <x:v>lstm-soil-v1</x:v>
      </x:c>
    </x:row>
    <x:row r="3849">
      <x:c r="A3849" s="38" t="str">
        <x:v>7月30日现场数据</x:v>
      </x:c>
      <x:c r="B3849" s="39" t="str">
        <x:v>2026-08-03T21:40:00</x:v>
      </x:c>
      <x:c r="C3849" s="39" t="str">
        <x:v>2026-08-03T21:55:00</x:v>
      </x:c>
      <x:c r="D3849" s="47" t="n">
        <x:v>15</x:v>
      </x:c>
      <x:c r="E3849" s="40" t="n">
        <x:v>12.7</x:v>
      </x:c>
      <x:c r="F3849" s="40" t="n">
        <x:v>10.776691436767578</x:v>
      </x:c>
      <x:c r="G3849" s="40" t="n">
        <x:v>12.7</x:v>
      </x:c>
      <x:c r="H3849" s="40" t="n">
        <x:f>F3849-E3849</x:f>
        <x:v>-1.9233085632324212</x:v>
      </x:c>
      <x:c r="I3849" s="40" t="n">
        <x:f>ABS(H3849)</x:f>
        <x:v>1.9233085632324212</x:v>
      </x:c>
      <x:c r="J3849" s="40" t="n">
        <x:f>H3849^2</x:f>
        <x:v>3.6991158294031603</x:v>
      </x:c>
      <x:c r="K3849" s="40" t="n">
        <x:f>G3849-E3849</x:f>
        <x:v>0</x:v>
      </x:c>
      <x:c r="L3849" s="40" t="n">
        <x:f>ABS(K3849)</x:f>
        <x:v>0</x:v>
      </x:c>
      <x:c r="M3849" s="41" t="str">
        <x:v>lstm-soil-v1</x:v>
      </x:c>
    </x:row>
    <x:row r="3850">
      <x:c r="A3850" s="38" t="str">
        <x:v>7月30日现场数据</x:v>
      </x:c>
      <x:c r="B3850" s="39" t="str">
        <x:v>2026-08-03T21:40:00</x:v>
      </x:c>
      <x:c r="C3850" s="39" t="str">
        <x:v>2026-08-03T22:10:00</x:v>
      </x:c>
      <x:c r="D3850" s="47" t="n">
        <x:v>30</x:v>
      </x:c>
      <x:c r="E3850" s="40" t="n">
        <x:v>12.7</x:v>
      </x:c>
      <x:c r="F3850" s="40" t="n">
        <x:v>11.219108581542969</x:v>
      </x:c>
      <x:c r="G3850" s="40" t="n">
        <x:v>12.7</x:v>
      </x:c>
      <x:c r="H3850" s="40" t="n">
        <x:f>F3850-E3850</x:f>
        <x:v>-1.4808914184570305</x:v>
      </x:c>
      <x:c r="I3850" s="40" t="n">
        <x:f>ABS(H3850)</x:f>
        <x:v>1.4808914184570305</x:v>
      </x:c>
      <x:c r="J3850" s="40" t="n">
        <x:f>H3850^2</x:f>
        <x:v>2.193039393259676</x:v>
      </x:c>
      <x:c r="K3850" s="40" t="n">
        <x:f>G3850-E3850</x:f>
        <x:v>0</x:v>
      </x:c>
      <x:c r="L3850" s="40" t="n">
        <x:f>ABS(K3850)</x:f>
        <x:v>0</x:v>
      </x:c>
      <x:c r="M3850" s="41" t="str">
        <x:v>lstm-soil-v1</x:v>
      </x:c>
    </x:row>
    <x:row r="3851">
      <x:c r="A3851" s="38" t="str">
        <x:v>7月30日现场数据</x:v>
      </x:c>
      <x:c r="B3851" s="39" t="str">
        <x:v>2026-08-03T21:40:00</x:v>
      </x:c>
      <x:c r="C3851" s="39" t="str">
        <x:v>2026-08-03T22:40:00</x:v>
      </x:c>
      <x:c r="D3851" s="47" t="n">
        <x:v>60</x:v>
      </x:c>
      <x:c r="E3851" s="40" t="n">
        <x:v>12.6</x:v>
      </x:c>
      <x:c r="F3851" s="40" t="n">
        <x:v>12.862316131591797</x:v>
      </x:c>
      <x:c r="G3851" s="40" t="n">
        <x:v>12.7</x:v>
      </x:c>
      <x:c r="H3851" s="40" t="n">
        <x:f>F3851-E3851</x:f>
        <x:v>0.26231613159179723</x:v>
      </x:c>
      <x:c r="I3851" s="40" t="n">
        <x:f>ABS(H3851)</x:f>
        <x:v>0.26231613159179723</x:v>
      </x:c>
      <x:c r="J3851" s="40" t="n">
        <x:f>H3851^2</x:f>
        <x:v>0.06880975289328509</x:v>
      </x:c>
      <x:c r="K3851" s="40" t="n">
        <x:f>G3851-E3851</x:f>
        <x:v>0.09999999999999964</x:v>
      </x:c>
      <x:c r="L3851" s="40" t="n">
        <x:f>ABS(K3851)</x:f>
        <x:v>0.09999999999999964</x:v>
      </x:c>
      <x:c r="M3851" s="41" t="str">
        <x:v>lstm-soil-v1</x:v>
      </x:c>
    </x:row>
    <x:row r="3852">
      <x:c r="A3852" s="38" t="str">
        <x:v>7月30日现场数据</x:v>
      </x:c>
      <x:c r="B3852" s="39" t="str">
        <x:v>2026-08-03T21:45:00</x:v>
      </x:c>
      <x:c r="C3852" s="39" t="str">
        <x:v>2026-08-03T21:50:00</x:v>
      </x:c>
      <x:c r="D3852" s="47" t="n">
        <x:v>5</x:v>
      </x:c>
      <x:c r="E3852" s="40" t="n">
        <x:v>12.7</x:v>
      </x:c>
      <x:c r="F3852" s="40" t="n">
        <x:v>10.715156555175781</x:v>
      </x:c>
      <x:c r="G3852" s="40" t="n">
        <x:v>12.7</x:v>
      </x:c>
      <x:c r="H3852" s="40" t="n">
        <x:f>F3852-E3852</x:f>
        <x:v>-1.984843444824218</x:v>
      </x:c>
      <x:c r="I3852" s="40" t="n">
        <x:f>ABS(H3852)</x:f>
        <x:v>1.984843444824218</x:v>
      </x:c>
      <x:c r="J3852" s="40" t="n">
        <x:f>H3852^2</x:f>
        <x:v>3.9396035004616685</x:v>
      </x:c>
      <x:c r="K3852" s="40" t="n">
        <x:f>G3852-E3852</x:f>
        <x:v>0</x:v>
      </x:c>
      <x:c r="L3852" s="40" t="n">
        <x:f>ABS(K3852)</x:f>
        <x:v>0</x:v>
      </x:c>
      <x:c r="M3852" s="41" t="str">
        <x:v>lstm-soil-v1</x:v>
      </x:c>
    </x:row>
    <x:row r="3853">
      <x:c r="A3853" s="38" t="str">
        <x:v>7月30日现场数据</x:v>
      </x:c>
      <x:c r="B3853" s="39" t="str">
        <x:v>2026-08-03T21:45:00</x:v>
      </x:c>
      <x:c r="C3853" s="39" t="str">
        <x:v>2026-08-03T22:00:00</x:v>
      </x:c>
      <x:c r="D3853" s="47" t="n">
        <x:v>15</x:v>
      </x:c>
      <x:c r="E3853" s="40" t="n">
        <x:v>12.6</x:v>
      </x:c>
      <x:c r="F3853" s="40" t="n">
        <x:v>10.776710510253906</x:v>
      </x:c>
      <x:c r="G3853" s="40" t="n">
        <x:v>12.7</x:v>
      </x:c>
      <x:c r="H3853" s="40" t="n">
        <x:f>F3853-E3853</x:f>
        <x:v>-1.8232894897460934</x:v>
      </x:c>
      <x:c r="I3853" s="40" t="n">
        <x:f>ABS(H3853)</x:f>
        <x:v>1.8232894897460934</x:v>
      </x:c>
      <x:c r="J3853" s="40" t="n">
        <x:f>H3853^2</x:f>
        <x:v>3.32438456341857</x:v>
      </x:c>
      <x:c r="K3853" s="40" t="n">
        <x:f>G3853-E3853</x:f>
        <x:v>0.09999999999999964</x:v>
      </x:c>
      <x:c r="L3853" s="40" t="n">
        <x:f>ABS(K3853)</x:f>
        <x:v>0.09999999999999964</x:v>
      </x:c>
      <x:c r="M3853" s="41" t="str">
        <x:v>lstm-soil-v1</x:v>
      </x:c>
    </x:row>
    <x:row r="3854">
      <x:c r="A3854" s="38" t="str">
        <x:v>7月30日现场数据</x:v>
      </x:c>
      <x:c r="B3854" s="39" t="str">
        <x:v>2026-08-03T21:45:00</x:v>
      </x:c>
      <x:c r="C3854" s="39" t="str">
        <x:v>2026-08-03T22:15:00</x:v>
      </x:c>
      <x:c r="D3854" s="47" t="n">
        <x:v>30</x:v>
      </x:c>
      <x:c r="E3854" s="40" t="n">
        <x:v>12.6</x:v>
      </x:c>
      <x:c r="F3854" s="40" t="n">
        <x:v>11.219905853271484</x:v>
      </x:c>
      <x:c r="G3854" s="40" t="n">
        <x:v>12.7</x:v>
      </x:c>
      <x:c r="H3854" s="40" t="n">
        <x:f>F3854-E3854</x:f>
        <x:v>-1.3800941467285153</x:v>
      </x:c>
      <x:c r="I3854" s="40" t="n">
        <x:f>ABS(H3854)</x:f>
        <x:v>1.3800941467285153</x:v>
      </x:c>
      <x:c r="J3854" s="40" t="n">
        <x:f>H3854^2</x:f>
        <x:v>1.9046598538343087</x:v>
      </x:c>
      <x:c r="K3854" s="40" t="n">
        <x:f>G3854-E3854</x:f>
        <x:v>0.09999999999999964</x:v>
      </x:c>
      <x:c r="L3854" s="40" t="n">
        <x:f>ABS(K3854)</x:f>
        <x:v>0.09999999999999964</x:v>
      </x:c>
      <x:c r="M3854" s="41" t="str">
        <x:v>lstm-soil-v1</x:v>
      </x:c>
    </x:row>
    <x:row r="3855">
      <x:c r="A3855" s="38" t="str">
        <x:v>7月30日现场数据</x:v>
      </x:c>
      <x:c r="B3855" s="39" t="str">
        <x:v>2026-08-03T21:45:00</x:v>
      </x:c>
      <x:c r="C3855" s="39" t="str">
        <x:v>2026-08-03T22:45:00</x:v>
      </x:c>
      <x:c r="D3855" s="47" t="n">
        <x:v>60</x:v>
      </x:c>
      <x:c r="E3855" s="40" t="n">
        <x:v>12.6</x:v>
      </x:c>
      <x:c r="F3855" s="40" t="n">
        <x:v>12.862873077392578</x:v>
      </x:c>
      <x:c r="G3855" s="40" t="n">
        <x:v>12.7</x:v>
      </x:c>
      <x:c r="H3855" s="40" t="n">
        <x:f>F3855-E3855</x:f>
        <x:v>0.2628730773925785</x:v>
      </x:c>
      <x:c r="I3855" s="40" t="n">
        <x:f>ABS(H3855)</x:f>
        <x:v>0.2628730773925785</x:v>
      </x:c>
      <x:c r="J3855" s="40" t="n">
        <x:f>H3855^2</x:f>
        <x:v>0.06910225481784456</x:v>
      </x:c>
      <x:c r="K3855" s="40" t="n">
        <x:f>G3855-E3855</x:f>
        <x:v>0.09999999999999964</x:v>
      </x:c>
      <x:c r="L3855" s="40" t="n">
        <x:f>ABS(K3855)</x:f>
        <x:v>0.09999999999999964</x:v>
      </x:c>
      <x:c r="M3855" s="41" t="str">
        <x:v>lstm-soil-v1</x:v>
      </x:c>
    </x:row>
    <x:row r="3856">
      <x:c r="A3856" s="38" t="str">
        <x:v>7月30日现场数据</x:v>
      </x:c>
      <x:c r="B3856" s="39" t="str">
        <x:v>2026-08-03T21:50:00</x:v>
      </x:c>
      <x:c r="C3856" s="39" t="str">
        <x:v>2026-08-03T21:55:00</x:v>
      </x:c>
      <x:c r="D3856" s="47" t="n">
        <x:v>5</x:v>
      </x:c>
      <x:c r="E3856" s="40" t="n">
        <x:v>12.7</x:v>
      </x:c>
      <x:c r="F3856" s="40" t="n">
        <x:v>10.715381622314453</x:v>
      </x:c>
      <x:c r="G3856" s="40" t="n">
        <x:v>12.7</x:v>
      </x:c>
      <x:c r="H3856" s="40" t="n">
        <x:f>F3856-E3856</x:f>
        <x:v>-1.9846183776855462</x:v>
      </x:c>
      <x:c r="I3856" s="40" t="n">
        <x:f>ABS(H3856)</x:f>
        <x:v>1.9846183776855462</x:v>
      </x:c>
      <x:c r="J3856" s="40" t="n">
        <x:f>H3856^2</x:f>
        <x:v>3.938710105047209</x:v>
      </x:c>
      <x:c r="K3856" s="40" t="n">
        <x:f>G3856-E3856</x:f>
        <x:v>0</x:v>
      </x:c>
      <x:c r="L3856" s="40" t="n">
        <x:f>ABS(K3856)</x:f>
        <x:v>0</x:v>
      </x:c>
      <x:c r="M3856" s="41" t="str">
        <x:v>lstm-soil-v1</x:v>
      </x:c>
    </x:row>
    <x:row r="3857">
      <x:c r="A3857" s="38" t="str">
        <x:v>7月30日现场数据</x:v>
      </x:c>
      <x:c r="B3857" s="39" t="str">
        <x:v>2026-08-03T21:50:00</x:v>
      </x:c>
      <x:c r="C3857" s="39" t="str">
        <x:v>2026-08-03T22:05:00</x:v>
      </x:c>
      <x:c r="D3857" s="47" t="n">
        <x:v>15</x:v>
      </x:c>
      <x:c r="E3857" s="40" t="n">
        <x:v>12.7</x:v>
      </x:c>
      <x:c r="F3857" s="40" t="n">
        <x:v>10.776752471923828</x:v>
      </x:c>
      <x:c r="G3857" s="40" t="n">
        <x:v>12.7</x:v>
      </x:c>
      <x:c r="H3857" s="40" t="n">
        <x:f>F3857-E3857</x:f>
        <x:v>-1.9232475280761712</x:v>
      </x:c>
      <x:c r="I3857" s="40" t="n">
        <x:f>ABS(H3857)</x:f>
        <x:v>1.9232475280761712</x:v>
      </x:c>
      <x:c r="J3857" s="40" t="n">
        <x:f>H3857^2</x:f>
        <x:v>3.698881054251103</x:v>
      </x:c>
      <x:c r="K3857" s="40" t="n">
        <x:f>G3857-E3857</x:f>
        <x:v>0</x:v>
      </x:c>
      <x:c r="L3857" s="40" t="n">
        <x:f>ABS(K3857)</x:f>
        <x:v>0</x:v>
      </x:c>
      <x:c r="M3857" s="41" t="str">
        <x:v>lstm-soil-v1</x:v>
      </x:c>
    </x:row>
    <x:row r="3858">
      <x:c r="A3858" s="38" t="str">
        <x:v>7月30日现场数据</x:v>
      </x:c>
      <x:c r="B3858" s="39" t="str">
        <x:v>2026-08-03T21:50:00</x:v>
      </x:c>
      <x:c r="C3858" s="39" t="str">
        <x:v>2026-08-03T22:20:00</x:v>
      </x:c>
      <x:c r="D3858" s="47" t="n">
        <x:v>30</x:v>
      </x:c>
      <x:c r="E3858" s="40" t="n">
        <x:v>12.6</x:v>
      </x:c>
      <x:c r="F3858" s="40" t="n">
        <x:v>11.220489501953125</x:v>
      </x:c>
      <x:c r="G3858" s="40" t="n">
        <x:v>12.7</x:v>
      </x:c>
      <x:c r="H3858" s="40" t="n">
        <x:f>F3858-E3858</x:f>
        <x:v>-1.3795104980468746</x:v>
      </x:c>
      <x:c r="I3858" s="40" t="n">
        <x:f>ABS(H3858)</x:f>
        <x:v>1.3795104980468746</x:v>
      </x:c>
      <x:c r="J3858" s="40" t="n">
        <x:f>H3858^2</x:f>
        <x:v>1.903049214221536</x:v>
      </x:c>
      <x:c r="K3858" s="40" t="n">
        <x:f>G3858-E3858</x:f>
        <x:v>0.09999999999999964</x:v>
      </x:c>
      <x:c r="L3858" s="40" t="n">
        <x:f>ABS(K3858)</x:f>
        <x:v>0.09999999999999964</x:v>
      </x:c>
      <x:c r="M3858" s="41" t="str">
        <x:v>lstm-soil-v1</x:v>
      </x:c>
    </x:row>
    <x:row r="3859">
      <x:c r="A3859" s="38" t="str">
        <x:v>7月30日现场数据</x:v>
      </x:c>
      <x:c r="B3859" s="39" t="str">
        <x:v>2026-08-03T21:50:00</x:v>
      </x:c>
      <x:c r="C3859" s="39" t="str">
        <x:v>2026-08-03T22:50:00</x:v>
      </x:c>
      <x:c r="D3859" s="47" t="n">
        <x:v>60</x:v>
      </x:c>
      <x:c r="E3859" s="40" t="n">
        <x:v>12.6</x:v>
      </x:c>
      <x:c r="F3859" s="40" t="n">
        <x:v>12.863304138183594</x:v>
      </x:c>
      <x:c r="G3859" s="40" t="n">
        <x:v>12.7</x:v>
      </x:c>
      <x:c r="H3859" s="40" t="n">
        <x:f>F3859-E3859</x:f>
        <x:v>0.2633041381835941</x:v>
      </x:c>
      <x:c r="I3859" s="40" t="n">
        <x:f>ABS(H3859)</x:f>
        <x:v>0.2633041381835941</x:v>
      </x:c>
      <x:c r="J3859" s="40" t="n">
        <x:f>H3859^2</x:f>
        <x:v>0.06932906918460521</x:v>
      </x:c>
      <x:c r="K3859" s="40" t="n">
        <x:f>G3859-E3859</x:f>
        <x:v>0.09999999999999964</x:v>
      </x:c>
      <x:c r="L3859" s="40" t="n">
        <x:f>ABS(K3859)</x:f>
        <x:v>0.09999999999999964</x:v>
      </x:c>
      <x:c r="M3859" s="41" t="str">
        <x:v>lstm-soil-v1</x:v>
      </x:c>
    </x:row>
    <x:row r="3860">
      <x:c r="A3860" s="38" t="str">
        <x:v>7月30日现场数据</x:v>
      </x:c>
      <x:c r="B3860" s="39" t="str">
        <x:v>2026-08-03T21:55:00</x:v>
      </x:c>
      <x:c r="C3860" s="39" t="str">
        <x:v>2026-08-03T22:00:00</x:v>
      </x:c>
      <x:c r="D3860" s="47" t="n">
        <x:v>5</x:v>
      </x:c>
      <x:c r="E3860" s="40" t="n">
        <x:v>12.6</x:v>
      </x:c>
      <x:c r="F3860" s="40" t="n">
        <x:v>10.715553283691406</x:v>
      </x:c>
      <x:c r="G3860" s="40" t="n">
        <x:v>12.7</x:v>
      </x:c>
      <x:c r="H3860" s="40" t="n">
        <x:f>F3860-E3860</x:f>
        <x:v>-1.8844467163085934</x:v>
      </x:c>
      <x:c r="I3860" s="40" t="n">
        <x:f>ABS(H3860)</x:f>
        <x:v>1.8844467163085934</x:v>
      </x:c>
      <x:c r="J3860" s="40" t="n">
        <x:f>H3860^2</x:f>
        <x:v>3.55113942660624</x:v>
      </x:c>
      <x:c r="K3860" s="40" t="n">
        <x:f>G3860-E3860</x:f>
        <x:v>0.09999999999999964</x:v>
      </x:c>
      <x:c r="L3860" s="40" t="n">
        <x:f>ABS(K3860)</x:f>
        <x:v>0.09999999999999964</x:v>
      </x:c>
      <x:c r="M3860" s="41" t="str">
        <x:v>lstm-soil-v1</x:v>
      </x:c>
    </x:row>
    <x:row r="3861">
      <x:c r="A3861" s="38" t="str">
        <x:v>7月30日现场数据</x:v>
      </x:c>
      <x:c r="B3861" s="39" t="str">
        <x:v>2026-08-03T21:55:00</x:v>
      </x:c>
      <x:c r="C3861" s="39" t="str">
        <x:v>2026-08-03T22:10:00</x:v>
      </x:c>
      <x:c r="D3861" s="47" t="n">
        <x:v>15</x:v>
      </x:c>
      <x:c r="E3861" s="40" t="n">
        <x:v>12.7</x:v>
      </x:c>
      <x:c r="F3861" s="40" t="n">
        <x:v>10.776809692382812</x:v>
      </x:c>
      <x:c r="G3861" s="40" t="n">
        <x:v>12.7</x:v>
      </x:c>
      <x:c r="H3861" s="40" t="n">
        <x:f>F3861-E3861</x:f>
        <x:v>-1.9231903076171868</x:v>
      </x:c>
      <x:c r="I3861" s="40" t="n">
        <x:f>ABS(H3861)</x:f>
        <x:v>1.9231903076171868</x:v>
      </x:c>
      <x:c r="J3861" s="40" t="n">
        <x:f>H3861^2</x:f>
        <x:v>3.6986609593126896</x:v>
      </x:c>
      <x:c r="K3861" s="40" t="n">
        <x:f>G3861-E3861</x:f>
        <x:v>0</x:v>
      </x:c>
      <x:c r="L3861" s="40" t="n">
        <x:f>ABS(K3861)</x:f>
        <x:v>0</x:v>
      </x:c>
      <x:c r="M3861" s="41" t="str">
        <x:v>lstm-soil-v1</x:v>
      </x:c>
    </x:row>
    <x:row r="3862">
      <x:c r="A3862" s="38" t="str">
        <x:v>7月30日现场数据</x:v>
      </x:c>
      <x:c r="B3862" s="39" t="str">
        <x:v>2026-08-03T21:55:00</x:v>
      </x:c>
      <x:c r="C3862" s="39" t="str">
        <x:v>2026-08-03T22:25:00</x:v>
      </x:c>
      <x:c r="D3862" s="47" t="n">
        <x:v>30</x:v>
      </x:c>
      <x:c r="E3862" s="40" t="n">
        <x:v>12.5</x:v>
      </x:c>
      <x:c r="F3862" s="40" t="n">
        <x:v>11.220932006835938</x:v>
      </x:c>
      <x:c r="G3862" s="40" t="n">
        <x:v>12.7</x:v>
      </x:c>
      <x:c r="H3862" s="40" t="n">
        <x:f>F3862-E3862</x:f>
        <x:v>-1.2790679931640625</x:v>
      </x:c>
      <x:c r="I3862" s="40" t="n">
        <x:f>ABS(H3862)</x:f>
        <x:v>1.2790679931640625</x:v>
      </x:c>
      <x:c r="J3862" s="40" t="n">
        <x:f>H3862^2</x:f>
        <x:v>1.6360149311367422</x:v>
      </x:c>
      <x:c r="K3862" s="40" t="n">
        <x:f>G3862-E3862</x:f>
        <x:v>0.1999999999999993</x:v>
      </x:c>
      <x:c r="L3862" s="40" t="n">
        <x:f>ABS(K3862)</x:f>
        <x:v>0.1999999999999993</x:v>
      </x:c>
      <x:c r="M3862" s="41" t="str">
        <x:v>lstm-soil-v1</x:v>
      </x:c>
    </x:row>
    <x:row r="3863">
      <x:c r="A3863" s="38" t="str">
        <x:v>7月30日现场数据</x:v>
      </x:c>
      <x:c r="B3863" s="39" t="str">
        <x:v>2026-08-03T21:55:00</x:v>
      </x:c>
      <x:c r="C3863" s="39" t="str">
        <x:v>2026-08-03T22:55:00</x:v>
      </x:c>
      <x:c r="D3863" s="47" t="n">
        <x:v>60</x:v>
      </x:c>
      <x:c r="E3863" s="40" t="n">
        <x:v>12.6</x:v>
      </x:c>
      <x:c r="F3863" s="40" t="n">
        <x:v>12.863666534423828</x:v>
      </x:c>
      <x:c r="G3863" s="40" t="n">
        <x:v>12.7</x:v>
      </x:c>
      <x:c r="H3863" s="40" t="n">
        <x:f>F3863-E3863</x:f>
        <x:v>0.2636665344238285</x:v>
      </x:c>
      <x:c r="I3863" s="40" t="n">
        <x:f>ABS(H3863)</x:f>
        <x:v>0.2636665344238285</x:v>
      </x:c>
      <x:c r="J3863" s="40" t="n">
        <x:f>H3863^2</x:f>
        <x:v>0.06952004137507192</x:v>
      </x:c>
      <x:c r="K3863" s="40" t="n">
        <x:f>G3863-E3863</x:f>
        <x:v>0.09999999999999964</x:v>
      </x:c>
      <x:c r="L3863" s="40" t="n">
        <x:f>ABS(K3863)</x:f>
        <x:v>0.09999999999999964</x:v>
      </x:c>
      <x:c r="M3863" s="41" t="str">
        <x:v>lstm-soil-v1</x:v>
      </x:c>
    </x:row>
    <x:row r="3864">
      <x:c r="A3864" s="38" t="str">
        <x:v>7月30日现场数据</x:v>
      </x:c>
      <x:c r="B3864" s="39" t="str">
        <x:v>2026-08-03T22:00:00</x:v>
      </x:c>
      <x:c r="C3864" s="39" t="str">
        <x:v>2026-08-03T22:05:00</x:v>
      </x:c>
      <x:c r="D3864" s="47" t="n">
        <x:v>5</x:v>
      </x:c>
      <x:c r="E3864" s="40" t="n">
        <x:v>12.7</x:v>
      </x:c>
      <x:c r="F3864" s="40" t="n">
        <x:v>10.602001190185547</x:v>
      </x:c>
      <x:c r="G3864" s="40" t="n">
        <x:v>12.6</x:v>
      </x:c>
      <x:c r="H3864" s="40" t="n">
        <x:f>F3864-E3864</x:f>
        <x:v>-2.0979988098144524</x:v>
      </x:c>
      <x:c r="I3864" s="40" t="n">
        <x:f>ABS(H3864)</x:f>
        <x:v>2.0979988098144524</x:v>
      </x:c>
      <x:c r="J3864" s="40" t="n">
        <x:f>H3864^2</x:f>
        <x:v>4.401599005982859</x:v>
      </x:c>
      <x:c r="K3864" s="40" t="n">
        <x:f>G3864-E3864</x:f>
        <x:v>-0.09999999999999964</x:v>
      </x:c>
      <x:c r="L3864" s="40" t="n">
        <x:f>ABS(K3864)</x:f>
        <x:v>0.09999999999999964</x:v>
      </x:c>
      <x:c r="M3864" s="41" t="str">
        <x:v>lstm-soil-v1</x:v>
      </x:c>
    </x:row>
    <x:row r="3865">
      <x:c r="A3865" s="38" t="str">
        <x:v>7月30日现场数据</x:v>
      </x:c>
      <x:c r="B3865" s="39" t="str">
        <x:v>2026-08-03T22:00:00</x:v>
      </x:c>
      <x:c r="C3865" s="39" t="str">
        <x:v>2026-08-03T22:15:00</x:v>
      </x:c>
      <x:c r="D3865" s="47" t="n">
        <x:v>15</x:v>
      </x:c>
      <x:c r="E3865" s="40" t="n">
        <x:v>12.6</x:v>
      </x:c>
      <x:c r="F3865" s="40" t="n">
        <x:v>10.664562225341797</x:v>
      </x:c>
      <x:c r="G3865" s="40" t="n">
        <x:v>12.6</x:v>
      </x:c>
      <x:c r="H3865" s="40" t="n">
        <x:f>F3865-E3865</x:f>
        <x:v>-1.9354377746582028</x:v>
      </x:c>
      <x:c r="I3865" s="40" t="n">
        <x:f>ABS(H3865)</x:f>
        <x:v>1.9354377746582028</x:v>
      </x:c>
      <x:c r="J3865" s="40" t="n">
        <x:f>H3865^2</x:f>
        <x:v>3.745919379573896</x:v>
      </x:c>
      <x:c r="K3865" s="40" t="n">
        <x:f>G3865-E3865</x:f>
        <x:v>0</x:v>
      </x:c>
      <x:c r="L3865" s="40" t="n">
        <x:f>ABS(K3865)</x:f>
        <x:v>0</x:v>
      </x:c>
      <x:c r="M3865" s="41" t="str">
        <x:v>lstm-soil-v1</x:v>
      </x:c>
    </x:row>
    <x:row r="3866">
      <x:c r="A3866" s="38" t="str">
        <x:v>7月30日现场数据</x:v>
      </x:c>
      <x:c r="B3866" s="39" t="str">
        <x:v>2026-08-03T22:00:00</x:v>
      </x:c>
      <x:c r="C3866" s="39" t="str">
        <x:v>2026-08-03T22:30:00</x:v>
      </x:c>
      <x:c r="D3866" s="47" t="n">
        <x:v>30</x:v>
      </x:c>
      <x:c r="E3866" s="40" t="n">
        <x:v>12.6</x:v>
      </x:c>
      <x:c r="F3866" s="40" t="n">
        <x:v>11.107601165771484</x:v>
      </x:c>
      <x:c r="G3866" s="40" t="n">
        <x:v>12.6</x:v>
      </x:c>
      <x:c r="H3866" s="40" t="n">
        <x:f>F3866-E3866</x:f>
        <x:v>-1.4923988342285153</x:v>
      </x:c>
      <x:c r="I3866" s="40" t="n">
        <x:f>ABS(H3866)</x:f>
        <x:v>1.4923988342285153</x:v>
      </x:c>
      <x:c r="J3866" s="40" t="n">
        <x:f>H3866^2</x:f>
        <x:v>2.2272542804066315</x:v>
      </x:c>
      <x:c r="K3866" s="40" t="n">
        <x:f>G3866-E3866</x:f>
        <x:v>0</x:v>
      </x:c>
      <x:c r="L3866" s="40" t="n">
        <x:f>ABS(K3866)</x:f>
        <x:v>0</x:v>
      </x:c>
      <x:c r="M3866" s="41" t="str">
        <x:v>lstm-soil-v1</x:v>
      </x:c>
    </x:row>
    <x:row r="3867">
      <x:c r="A3867" s="38" t="str">
        <x:v>7月30日现场数据</x:v>
      </x:c>
      <x:c r="B3867" s="39" t="str">
        <x:v>2026-08-03T22:00:00</x:v>
      </x:c>
      <x:c r="C3867" s="39" t="str">
        <x:v>2026-08-03T23:00:00</x:v>
      </x:c>
      <x:c r="D3867" s="47" t="n">
        <x:v>60</x:v>
      </x:c>
      <x:c r="E3867" s="40" t="n">
        <x:v>12.6</x:v>
      </x:c>
      <x:c r="F3867" s="40" t="n">
        <x:v>12.74533462524414</x:v>
      </x:c>
      <x:c r="G3867" s="40" t="n">
        <x:v>12.6</x:v>
      </x:c>
      <x:c r="H3867" s="40" t="n">
        <x:f>F3867-E3867</x:f>
        <x:v>0.14533462524414098</x:v>
      </x:c>
      <x:c r="I3867" s="40" t="n">
        <x:f>ABS(H3867)</x:f>
        <x:v>0.14533462524414098</x:v>
      </x:c>
      <x:c r="J3867" s="40" t="n">
        <x:f>H3867^2</x:f>
        <x:v>0.021122153294854902</x:v>
      </x:c>
      <x:c r="K3867" s="40" t="n">
        <x:f>G3867-E3867</x:f>
        <x:v>0</x:v>
      </x:c>
      <x:c r="L3867" s="40" t="n">
        <x:f>ABS(K3867)</x:f>
        <x:v>0</x:v>
      </x:c>
      <x:c r="M3867" s="41" t="str">
        <x:v>lstm-soil-v1</x:v>
      </x:c>
    </x:row>
    <x:row r="3868">
      <x:c r="A3868" s="38" t="str">
        <x:v>7月30日现场数据</x:v>
      </x:c>
      <x:c r="B3868" s="39" t="str">
        <x:v>2026-08-03T22:05:00</x:v>
      </x:c>
      <x:c r="C3868" s="39" t="str">
        <x:v>2026-08-03T22:10:00</x:v>
      </x:c>
      <x:c r="D3868" s="47" t="n">
        <x:v>5</x:v>
      </x:c>
      <x:c r="E3868" s="40" t="n">
        <x:v>12.7</x:v>
      </x:c>
      <x:c r="F3868" s="40" t="n">
        <x:v>10.71048355102539</x:v>
      </x:c>
      <x:c r="G3868" s="40" t="n">
        <x:v>12.7</x:v>
      </x:c>
      <x:c r="H3868" s="40" t="n">
        <x:f>F3868-E3868</x:f>
        <x:v>-1.9895164489746087</x:v>
      </x:c>
      <x:c r="I3868" s="40" t="n">
        <x:f>ABS(H3868)</x:f>
        <x:v>1.9895164489746087</x:v>
      </x:c>
      <x:c r="J3868" s="40" t="n">
        <x:f>H3868^2</x:f>
        <x:v>3.9581757007405365</x:v>
      </x:c>
      <x:c r="K3868" s="40" t="n">
        <x:f>G3868-E3868</x:f>
        <x:v>0</x:v>
      </x:c>
      <x:c r="L3868" s="40" t="n">
        <x:f>ABS(K3868)</x:f>
        <x:v>0</x:v>
      </x:c>
      <x:c r="M3868" s="41" t="str">
        <x:v>lstm-soil-v1</x:v>
      </x:c>
    </x:row>
    <x:row r="3869">
      <x:c r="A3869" s="38" t="str">
        <x:v>7月30日现场数据</x:v>
      </x:c>
      <x:c r="B3869" s="39" t="str">
        <x:v>2026-08-03T22:05:00</x:v>
      </x:c>
      <x:c r="C3869" s="39" t="str">
        <x:v>2026-08-03T22:20:00</x:v>
      </x:c>
      <x:c r="D3869" s="47" t="n">
        <x:v>15</x:v>
      </x:c>
      <x:c r="E3869" s="40" t="n">
        <x:v>12.6</x:v>
      </x:c>
      <x:c r="F3869" s="40" t="n">
        <x:v>10.773380279541016</x:v>
      </x:c>
      <x:c r="G3869" s="40" t="n">
        <x:v>12.7</x:v>
      </x:c>
      <x:c r="H3869" s="40" t="n">
        <x:f>F3869-E3869</x:f>
        <x:v>-1.826619720458984</x:v>
      </x:c>
      <x:c r="I3869" s="40" t="n">
        <x:f>ABS(H3869)</x:f>
        <x:v>1.826619720458984</x:v>
      </x:c>
      <x:c r="J3869" s="40" t="n">
        <x:f>H3869^2</x:f>
        <x:v>3.336539603169657</x:v>
      </x:c>
      <x:c r="K3869" s="40" t="n">
        <x:f>G3869-E3869</x:f>
        <x:v>0.09999999999999964</x:v>
      </x:c>
      <x:c r="L3869" s="40" t="n">
        <x:f>ABS(K3869)</x:f>
        <x:v>0.09999999999999964</x:v>
      </x:c>
      <x:c r="M3869" s="41" t="str">
        <x:v>lstm-soil-v1</x:v>
      </x:c>
    </x:row>
    <x:row r="3870">
      <x:c r="A3870" s="38" t="str">
        <x:v>7月30日现场数据</x:v>
      </x:c>
      <x:c r="B3870" s="39" t="str">
        <x:v>2026-08-03T22:05:00</x:v>
      </x:c>
      <x:c r="C3870" s="39" t="str">
        <x:v>2026-08-03T22:35:00</x:v>
      </x:c>
      <x:c r="D3870" s="47" t="n">
        <x:v>30</x:v>
      </x:c>
      <x:c r="E3870" s="40" t="n">
        <x:v>12.6</x:v>
      </x:c>
      <x:c r="F3870" s="40" t="n">
        <x:v>11.217693328857422</x:v>
      </x:c>
      <x:c r="G3870" s="40" t="n">
        <x:v>12.7</x:v>
      </x:c>
      <x:c r="H3870" s="40" t="n">
        <x:f>F3870-E3870</x:f>
        <x:v>-1.3823066711425778</x:v>
      </x:c>
      <x:c r="I3870" s="40" t="n">
        <x:f>ABS(H3870)</x:f>
        <x:v>1.3823066711425778</x:v>
      </x:c>
      <x:c r="J3870" s="40" t="n">
        <x:f>H3870^2</x:f>
        <x:v>1.9107717330852747</x:v>
      </x:c>
      <x:c r="K3870" s="40" t="n">
        <x:f>G3870-E3870</x:f>
        <x:v>0.09999999999999964</x:v>
      </x:c>
      <x:c r="L3870" s="40" t="n">
        <x:f>ABS(K3870)</x:f>
        <x:v>0.09999999999999964</x:v>
      </x:c>
      <x:c r="M3870" s="41" t="str">
        <x:v>lstm-soil-v1</x:v>
      </x:c>
    </x:row>
    <x:row r="3871">
      <x:c r="A3871" s="38" t="str">
        <x:v>7月30日现场数据</x:v>
      </x:c>
      <x:c r="B3871" s="39" t="str">
        <x:v>2026-08-03T22:05:00</x:v>
      </x:c>
      <x:c r="C3871" s="39" t="str">
        <x:v>2026-08-03T23:05:00</x:v>
      </x:c>
      <x:c r="D3871" s="47" t="n">
        <x:v>60</x:v>
      </x:c>
      <x:c r="E3871" s="40" t="n">
        <x:v>12.6</x:v>
      </x:c>
      <x:c r="F3871" s="40" t="n">
        <x:v>12.85037612915039</x:v>
      </x:c>
      <x:c r="G3871" s="40" t="n">
        <x:v>12.7</x:v>
      </x:c>
      <x:c r="H3871" s="40" t="n">
        <x:f>F3871-E3871</x:f>
        <x:v>0.250376129150391</x:v>
      </x:c>
      <x:c r="I3871" s="40" t="n">
        <x:f>ABS(H3871)</x:f>
        <x:v>0.250376129150391</x:v>
      </x:c>
      <x:c r="J3871" s="40" t="n">
        <x:f>H3871^2</x:f>
        <x:v>0.06268820604833326</x:v>
      </x:c>
      <x:c r="K3871" s="40" t="n">
        <x:f>G3871-E3871</x:f>
        <x:v>0.09999999999999964</x:v>
      </x:c>
      <x:c r="L3871" s="40" t="n">
        <x:f>ABS(K3871)</x:f>
        <x:v>0.09999999999999964</x:v>
      </x:c>
      <x:c r="M3871" s="41" t="str">
        <x:v>lstm-soil-v1</x:v>
      </x:c>
    </x:row>
    <x:row r="3872">
      <x:c r="A3872" s="38" t="str">
        <x:v>7月30日现场数据</x:v>
      </x:c>
      <x:c r="B3872" s="39" t="str">
        <x:v>2026-08-03T22:10:00</x:v>
      </x:c>
      <x:c r="C3872" s="39" t="str">
        <x:v>2026-08-03T22:15:00</x:v>
      </x:c>
      <x:c r="D3872" s="47" t="n">
        <x:v>5</x:v>
      </x:c>
      <x:c r="E3872" s="40" t="n">
        <x:v>12.6</x:v>
      </x:c>
      <x:c r="F3872" s="40" t="n">
        <x:v>10.709823608398438</x:v>
      </x:c>
      <x:c r="G3872" s="40" t="n">
        <x:v>12.7</x:v>
      </x:c>
      <x:c r="H3872" s="40" t="n">
        <x:f>F3872-E3872</x:f>
        <x:v>-1.8901763916015621</x:v>
      </x:c>
      <x:c r="I3872" s="40" t="n">
        <x:f>ABS(H3872)</x:f>
        <x:v>1.8901763916015621</x:v>
      </x:c>
      <x:c r="J3872" s="40" t="n">
        <x:f>H3872^2</x:f>
        <x:v>3.572766791367902</x:v>
      </x:c>
      <x:c r="K3872" s="40" t="n">
        <x:f>G3872-E3872</x:f>
        <x:v>0.09999999999999964</x:v>
      </x:c>
      <x:c r="L3872" s="40" t="n">
        <x:f>ABS(K3872)</x:f>
        <x:v>0.09999999999999964</x:v>
      </x:c>
      <x:c r="M3872" s="41" t="str">
        <x:v>lstm-soil-v1</x:v>
      </x:c>
    </x:row>
    <x:row r="3873">
      <x:c r="A3873" s="38" t="str">
        <x:v>7月30日现场数据</x:v>
      </x:c>
      <x:c r="B3873" s="39" t="str">
        <x:v>2026-08-03T22:10:00</x:v>
      </x:c>
      <x:c r="C3873" s="39" t="str">
        <x:v>2026-08-03T22:25:00</x:v>
      </x:c>
      <x:c r="D3873" s="47" t="n">
        <x:v>15</x:v>
      </x:c>
      <x:c r="E3873" s="40" t="n">
        <x:v>12.5</x:v>
      </x:c>
      <x:c r="F3873" s="40" t="n">
        <x:v>10.772586822509766</x:v>
      </x:c>
      <x:c r="G3873" s="40" t="n">
        <x:v>12.7</x:v>
      </x:c>
      <x:c r="H3873" s="40" t="n">
        <x:f>F3873-E3873</x:f>
        <x:v>-1.7274131774902344</x:v>
      </x:c>
      <x:c r="I3873" s="40" t="n">
        <x:f>ABS(H3873)</x:f>
        <x:v>1.7274131774902344</x:v>
      </x:c>
      <x:c r="J3873" s="40" t="n">
        <x:f>H3873^2</x:f>
        <x:v>2.983956285766908</x:v>
      </x:c>
      <x:c r="K3873" s="40" t="n">
        <x:f>G3873-E3873</x:f>
        <x:v>0.1999999999999993</x:v>
      </x:c>
      <x:c r="L3873" s="40" t="n">
        <x:f>ABS(K3873)</x:f>
        <x:v>0.1999999999999993</x:v>
      </x:c>
      <x:c r="M3873" s="41" t="str">
        <x:v>lstm-soil-v1</x:v>
      </x:c>
    </x:row>
    <x:row r="3874">
      <x:c r="A3874" s="38" t="str">
        <x:v>7月30日现场数据</x:v>
      </x:c>
      <x:c r="B3874" s="39" t="str">
        <x:v>2026-08-03T22:10:00</x:v>
      </x:c>
      <x:c r="C3874" s="39" t="str">
        <x:v>2026-08-03T22:40:00</x:v>
      </x:c>
      <x:c r="D3874" s="47" t="n">
        <x:v>30</x:v>
      </x:c>
      <x:c r="E3874" s="40" t="n">
        <x:v>12.6</x:v>
      </x:c>
      <x:c r="F3874" s="40" t="n">
        <x:v>11.218902587890625</x:v>
      </x:c>
      <x:c r="G3874" s="40" t="n">
        <x:v>12.7</x:v>
      </x:c>
      <x:c r="H3874" s="40" t="n">
        <x:f>F3874-E3874</x:f>
        <x:v>-1.3810974121093746</x:v>
      </x:c>
      <x:c r="I3874" s="40" t="n">
        <x:f>ABS(H3874)</x:f>
        <x:v>1.3810974121093746</x:v>
      </x:c>
      <x:c r="J3874" s="40" t="n">
        <x:f>H3874^2</x:f>
        <x:v>1.9074300617352118</x:v>
      </x:c>
      <x:c r="K3874" s="40" t="n">
        <x:f>G3874-E3874</x:f>
        <x:v>0.09999999999999964</x:v>
      </x:c>
      <x:c r="L3874" s="40" t="n">
        <x:f>ABS(K3874)</x:f>
        <x:v>0.09999999999999964</x:v>
      </x:c>
      <x:c r="M3874" s="41" t="str">
        <x:v>lstm-soil-v1</x:v>
      </x:c>
    </x:row>
    <x:row r="3875">
      <x:c r="A3875" s="38" t="str">
        <x:v>7月30日现场数据</x:v>
      </x:c>
      <x:c r="B3875" s="39" t="str">
        <x:v>2026-08-03T22:10:00</x:v>
      </x:c>
      <x:c r="C3875" s="39" t="str">
        <x:v>2026-08-03T23:10:00</x:v>
      </x:c>
      <x:c r="D3875" s="47" t="n">
        <x:v>60</x:v>
      </x:c>
      <x:c r="E3875" s="40" t="n">
        <x:v>12.6</x:v>
      </x:c>
      <x:c r="F3875" s="40" t="n">
        <x:v>12.847301483154297</x:v>
      </x:c>
      <x:c r="G3875" s="40" t="n">
        <x:v>12.7</x:v>
      </x:c>
      <x:c r="H3875" s="40" t="n">
        <x:f>F3875-E3875</x:f>
        <x:v>0.24730148315429723</x:v>
      </x:c>
      <x:c r="I3875" s="40" t="n">
        <x:f>ABS(H3875)</x:f>
        <x:v>0.24730148315429723</x:v>
      </x:c>
      <x:c r="J3875" s="40" t="n">
        <x:f>H3875^2</x:f>
        <x:v>0.061158023570315155</x:v>
      </x:c>
      <x:c r="K3875" s="40" t="n">
        <x:f>G3875-E3875</x:f>
        <x:v>0.09999999999999964</x:v>
      </x:c>
      <x:c r="L3875" s="40" t="n">
        <x:f>ABS(K3875)</x:f>
        <x:v>0.09999999999999964</x:v>
      </x:c>
      <x:c r="M3875" s="41" t="str">
        <x:v>lstm-soil-v1</x:v>
      </x:c>
    </x:row>
    <x:row r="3876">
      <x:c r="A3876" s="38" t="str">
        <x:v>7月30日现场数据</x:v>
      </x:c>
      <x:c r="B3876" s="39" t="str">
        <x:v>2026-08-03T22:15:00</x:v>
      </x:c>
      <x:c r="C3876" s="39" t="str">
        <x:v>2026-08-03T22:20:00</x:v>
      </x:c>
      <x:c r="D3876" s="47" t="n">
        <x:v>5</x:v>
      </x:c>
      <x:c r="E3876" s="40" t="n">
        <x:v>12.6</x:v>
      </x:c>
      <x:c r="F3876" s="40" t="n">
        <x:v>10.599334716796875</x:v>
      </x:c>
      <x:c r="G3876" s="40" t="n">
        <x:v>12.6</x:v>
      </x:c>
      <x:c r="H3876" s="40" t="n">
        <x:f>F3876-E3876</x:f>
        <x:v>-2.0006652832031246</x:v>
      </x:c>
      <x:c r="I3876" s="40" t="n">
        <x:f>ABS(H3876)</x:f>
        <x:v>2.0006652832031246</x:v>
      </x:c>
      <x:c r="J3876" s="40" t="n">
        <x:f>H3876^2</x:f>
        <x:v>4.002661575414239</x:v>
      </x:c>
      <x:c r="K3876" s="40" t="n">
        <x:f>G3876-E3876</x:f>
        <x:v>0</x:v>
      </x:c>
      <x:c r="L3876" s="40" t="n">
        <x:f>ABS(K3876)</x:f>
        <x:v>0</x:v>
      </x:c>
      <x:c r="M3876" s="41" t="str">
        <x:v>lstm-soil-v1</x:v>
      </x:c>
    </x:row>
    <x:row r="3877">
      <x:c r="A3877" s="38" t="str">
        <x:v>7月30日现场数据</x:v>
      </x:c>
      <x:c r="B3877" s="39" t="str">
        <x:v>2026-08-03T22:15:00</x:v>
      </x:c>
      <x:c r="C3877" s="39" t="str">
        <x:v>2026-08-03T22:30:00</x:v>
      </x:c>
      <x:c r="D3877" s="47" t="n">
        <x:v>15</x:v>
      </x:c>
      <x:c r="E3877" s="40" t="n">
        <x:v>12.6</x:v>
      </x:c>
      <x:c r="F3877" s="40" t="n">
        <x:v>10.661808013916016</x:v>
      </x:c>
      <x:c r="G3877" s="40" t="n">
        <x:v>12.6</x:v>
      </x:c>
      <x:c r="H3877" s="40" t="n">
        <x:f>F3877-E3877</x:f>
        <x:v>-1.938191986083984</x:v>
      </x:c>
      <x:c r="I3877" s="40" t="n">
        <x:f>ABS(H3877)</x:f>
        <x:v>1.938191986083984</x:v>
      </x:c>
      <x:c r="J3877" s="40" t="n">
        <x:f>H3877^2</x:f>
        <x:v>3.7565881749201786</x:v>
      </x:c>
      <x:c r="K3877" s="40" t="n">
        <x:f>G3877-E3877</x:f>
        <x:v>0</x:v>
      </x:c>
      <x:c r="L3877" s="40" t="n">
        <x:f>ABS(K3877)</x:f>
        <x:v>0</x:v>
      </x:c>
      <x:c r="M3877" s="41" t="str">
        <x:v>lstm-soil-v1</x:v>
      </x:c>
    </x:row>
    <x:row r="3878">
      <x:c r="A3878" s="38" t="str">
        <x:v>7月30日现场数据</x:v>
      </x:c>
      <x:c r="B3878" s="39" t="str">
        <x:v>2026-08-03T22:15:00</x:v>
      </x:c>
      <x:c r="C3878" s="39" t="str">
        <x:v>2026-08-03T22:45:00</x:v>
      </x:c>
      <x:c r="D3878" s="47" t="n">
        <x:v>30</x:v>
      </x:c>
      <x:c r="E3878" s="40" t="n">
        <x:v>12.6</x:v>
      </x:c>
      <x:c r="F3878" s="40" t="n">
        <x:v>11.110137939453125</x:v>
      </x:c>
      <x:c r="G3878" s="40" t="n">
        <x:v>12.6</x:v>
      </x:c>
      <x:c r="H3878" s="40" t="n">
        <x:f>F3878-E3878</x:f>
        <x:v>-1.4898620605468746</x:v>
      </x:c>
      <x:c r="I3878" s="40" t="n">
        <x:f>ABS(H3878)</x:f>
        <x:v>1.4898620605468746</x:v>
      </x:c>
      <x:c r="J3878" s="40" t="n">
        <x:f>H3878^2</x:f>
        <x:v>2.2196889594569793</x:v>
      </x:c>
      <x:c r="K3878" s="40" t="n">
        <x:f>G3878-E3878</x:f>
        <x:v>0</x:v>
      </x:c>
      <x:c r="L3878" s="40" t="n">
        <x:f>ABS(K3878)</x:f>
        <x:v>0</x:v>
      </x:c>
      <x:c r="M3878" s="41" t="str">
        <x:v>lstm-soil-v1</x:v>
      </x:c>
    </x:row>
    <x:row r="3879">
      <x:c r="A3879" s="38" t="str">
        <x:v>7月30日现场数据</x:v>
      </x:c>
      <x:c r="B3879" s="39" t="str">
        <x:v>2026-08-03T22:15:00</x:v>
      </x:c>
      <x:c r="C3879" s="39" t="str">
        <x:v>2026-08-03T23:15:00</x:v>
      </x:c>
      <x:c r="D3879" s="47" t="n">
        <x:v>60</x:v>
      </x:c>
      <x:c r="E3879" s="40" t="n">
        <x:v>12.6</x:v>
      </x:c>
      <x:c r="F3879" s="40" t="n">
        <x:v>12.735481262207031</x:v>
      </x:c>
      <x:c r="G3879" s="40" t="n">
        <x:v>12.6</x:v>
      </x:c>
      <x:c r="H3879" s="40" t="n">
        <x:f>F3879-E3879</x:f>
        <x:v>0.1354812622070316</x:v>
      </x:c>
      <x:c r="I3879" s="40" t="n">
        <x:f>ABS(H3879)</x:f>
        <x:v>0.1354812622070316</x:v>
      </x:c>
      <x:c r="J3879" s="40" t="n">
        <x:f>H3879^2</x:f>
        <x:v>0.01835517240921045</x:v>
      </x:c>
      <x:c r="K3879" s="40" t="n">
        <x:f>G3879-E3879</x:f>
        <x:v>0</x:v>
      </x:c>
      <x:c r="L3879" s="40" t="n">
        <x:f>ABS(K3879)</x:f>
        <x:v>0</x:v>
      </x:c>
      <x:c r="M3879" s="41" t="str">
        <x:v>lstm-soil-v1</x:v>
      </x:c>
    </x:row>
    <x:row r="3880">
      <x:c r="A3880" s="38" t="str">
        <x:v>7月30日现场数据</x:v>
      </x:c>
      <x:c r="B3880" s="39" t="str">
        <x:v>2026-08-03T22:20:00</x:v>
      </x:c>
      <x:c r="C3880" s="39" t="str">
        <x:v>2026-08-03T22:25:00</x:v>
      </x:c>
      <x:c r="D3880" s="47" t="n">
        <x:v>5</x:v>
      </x:c>
      <x:c r="E3880" s="40" t="n">
        <x:v>12.5</x:v>
      </x:c>
      <x:c r="F3880" s="40" t="n">
        <x:v>10.599292755126953</x:v>
      </x:c>
      <x:c r="G3880" s="40" t="n">
        <x:v>12.6</x:v>
      </x:c>
      <x:c r="H3880" s="40" t="n">
        <x:f>F3880-E3880</x:f>
        <x:v>-1.9007072448730469</x:v>
      </x:c>
      <x:c r="I3880" s="40" t="n">
        <x:f>ABS(H3880)</x:f>
        <x:v>1.9007072448730469</x:v>
      </x:c>
      <x:c r="J3880" s="40" t="n">
        <x:f>H3880^2</x:f>
        <x:v>3.6126880307128886</x:v>
      </x:c>
      <x:c r="K3880" s="40" t="n">
        <x:f>G3880-E3880</x:f>
        <x:v>0.09999999999999964</x:v>
      </x:c>
      <x:c r="L3880" s="40" t="n">
        <x:f>ABS(K3880)</x:f>
        <x:v>0.09999999999999964</x:v>
      </x:c>
      <x:c r="M3880" s="41" t="str">
        <x:v>lstm-soil-v1</x:v>
      </x:c>
    </x:row>
    <x:row r="3881">
      <x:c r="A3881" s="38" t="str">
        <x:v>7月30日现场数据</x:v>
      </x:c>
      <x:c r="B3881" s="39" t="str">
        <x:v>2026-08-03T22:20:00</x:v>
      </x:c>
      <x:c r="C3881" s="39" t="str">
        <x:v>2026-08-03T22:35:00</x:v>
      </x:c>
      <x:c r="D3881" s="47" t="n">
        <x:v>15</x:v>
      </x:c>
      <x:c r="E3881" s="40" t="n">
        <x:v>12.6</x:v>
      </x:c>
      <x:c r="F3881" s="40" t="n">
        <x:v>10.661296844482422</x:v>
      </x:c>
      <x:c r="G3881" s="40" t="n">
        <x:v>12.6</x:v>
      </x:c>
      <x:c r="H3881" s="40" t="n">
        <x:f>F3881-E3881</x:f>
        <x:v>-1.9387031555175778</x:v>
      </x:c>
      <x:c r="I3881" s="40" t="n">
        <x:f>ABS(H3881)</x:f>
        <x:v>1.9387031555175778</x:v>
      </x:c>
      <x:c r="J3881" s="40" t="n">
        <x:f>H3881^2</x:f>
        <x:v>3.758569925213813</x:v>
      </x:c>
      <x:c r="K3881" s="40" t="n">
        <x:f>G3881-E3881</x:f>
        <x:v>0</x:v>
      </x:c>
      <x:c r="L3881" s="40" t="n">
        <x:f>ABS(K3881)</x:f>
        <x:v>0</x:v>
      </x:c>
      <x:c r="M3881" s="41" t="str">
        <x:v>lstm-soil-v1</x:v>
      </x:c>
    </x:row>
    <x:row r="3882">
      <x:c r="A3882" s="38" t="str">
        <x:v>7月30日现场数据</x:v>
      </x:c>
      <x:c r="B3882" s="39" t="str">
        <x:v>2026-08-03T22:20:00</x:v>
      </x:c>
      <x:c r="C3882" s="39" t="str">
        <x:v>2026-08-03T22:50:00</x:v>
      </x:c>
      <x:c r="D3882" s="47" t="n">
        <x:v>30</x:v>
      </x:c>
      <x:c r="E3882" s="40" t="n">
        <x:v>12.6</x:v>
      </x:c>
      <x:c r="F3882" s="40" t="n">
        <x:v>11.111526489257812</x:v>
      </x:c>
      <x:c r="G3882" s="40" t="n">
        <x:v>12.6</x:v>
      </x:c>
      <x:c r="H3882" s="40" t="n">
        <x:f>F3882-E3882</x:f>
        <x:v>-1.4884735107421871</x:v>
      </x:c>
      <x:c r="I3882" s="40" t="n">
        <x:f>ABS(H3882)</x:f>
        <x:v>1.4884735107421871</x:v>
      </x:c>
      <x:c r="J3882" s="40" t="n">
        <x:f>H3882^2</x:f>
        <x:v>2.215553392181172</x:v>
      </x:c>
      <x:c r="K3882" s="40" t="n">
        <x:f>G3882-E3882</x:f>
        <x:v>0</x:v>
      </x:c>
      <x:c r="L3882" s="40" t="n">
        <x:f>ABS(K3882)</x:f>
        <x:v>0</x:v>
      </x:c>
      <x:c r="M3882" s="41" t="str">
        <x:v>lstm-soil-v1</x:v>
      </x:c>
    </x:row>
    <x:row r="3883">
      <x:c r="A3883" s="38" t="str">
        <x:v>7月30日现场数据</x:v>
      </x:c>
      <x:c r="B3883" s="39" t="str">
        <x:v>2026-08-03T22:20:00</x:v>
      </x:c>
      <x:c r="C3883" s="39" t="str">
        <x:v>2026-08-03T23:20:00</x:v>
      </x:c>
      <x:c r="D3883" s="47" t="n">
        <x:v>60</x:v>
      </x:c>
      <x:c r="E3883" s="40" t="n">
        <x:v>13.4</x:v>
      </x:c>
      <x:c r="F3883" s="40" t="n">
        <x:v>12.734813690185547</x:v>
      </x:c>
      <x:c r="G3883" s="40" t="n">
        <x:v>12.6</x:v>
      </x:c>
      <x:c r="H3883" s="40" t="n">
        <x:f>F3883-E3883</x:f>
        <x:v>-0.6651863098144535</x:v>
      </x:c>
      <x:c r="I3883" s="40" t="n">
        <x:f>ABS(H3883)</x:f>
        <x:v>0.6651863098144535</x:v>
      </x:c>
      <x:c r="J3883" s="40" t="n">
        <x:f>H3883^2</x:f>
        <x:v>0.4424728267645701</x:v>
      </x:c>
      <x:c r="K3883" s="40" t="n">
        <x:f>G3883-E3883</x:f>
        <x:v>-0.8000000000000007</x:v>
      </x:c>
      <x:c r="L3883" s="40" t="n">
        <x:f>ABS(K3883)</x:f>
        <x:v>0.8000000000000007</x:v>
      </x:c>
      <x:c r="M3883" s="41" t="str">
        <x:v>lstm-soil-v1</x:v>
      </x:c>
    </x:row>
    <x:row r="3884">
      <x:c r="A3884" s="38" t="str">
        <x:v>7月30日现场数据</x:v>
      </x:c>
      <x:c r="B3884" s="39" t="str">
        <x:v>2026-08-03T22:25:00</x:v>
      </x:c>
      <x:c r="C3884" s="39" t="str">
        <x:v>2026-08-03T22:30:00</x:v>
      </x:c>
      <x:c r="D3884" s="47" t="n">
        <x:v>5</x:v>
      </x:c>
      <x:c r="E3884" s="40" t="n">
        <x:v>12.6</x:v>
      </x:c>
      <x:c r="F3884" s="40" t="n">
        <x:v>10.491931915283203</x:v>
      </x:c>
      <x:c r="G3884" s="40" t="n">
        <x:v>12.5</x:v>
      </x:c>
      <x:c r="H3884" s="40" t="n">
        <x:f>F3884-E3884</x:f>
        <x:v>-2.1080680847167965</x:v>
      </x:c>
      <x:c r="I3884" s="40" t="n">
        <x:f>ABS(H3884)</x:f>
        <x:v>2.1080680847167965</x:v>
      </x:c>
      <x:c r="J3884" s="40" t="n">
        <x:f>H3884^2</x:f>
        <x:v>4.443951049801543</x:v>
      </x:c>
      <x:c r="K3884" s="40" t="n">
        <x:f>G3884-E3884</x:f>
        <x:v>-0.09999999999999964</x:v>
      </x:c>
      <x:c r="L3884" s="40" t="n">
        <x:f>ABS(K3884)</x:f>
        <x:v>0.09999999999999964</x:v>
      </x:c>
      <x:c r="M3884" s="41" t="str">
        <x:v>lstm-soil-v1</x:v>
      </x:c>
    </x:row>
    <x:row r="3885">
      <x:c r="A3885" s="38" t="str">
        <x:v>7月30日现场数据</x:v>
      </x:c>
      <x:c r="B3885" s="39" t="str">
        <x:v>2026-08-03T22:25:00</x:v>
      </x:c>
      <x:c r="C3885" s="39" t="str">
        <x:v>2026-08-03T22:40:00</x:v>
      </x:c>
      <x:c r="D3885" s="47" t="n">
        <x:v>15</x:v>
      </x:c>
      <x:c r="E3885" s="40" t="n">
        <x:v>12.6</x:v>
      </x:c>
      <x:c r="F3885" s="40" t="n">
        <x:v>10.553939819335938</x:v>
      </x:c>
      <x:c r="G3885" s="40" t="n">
        <x:v>12.5</x:v>
      </x:c>
      <x:c r="H3885" s="40" t="n">
        <x:f>F3885-E3885</x:f>
        <x:v>-2.046060180664062</x:v>
      </x:c>
      <x:c r="I3885" s="40" t="n">
        <x:f>ABS(H3885)</x:f>
        <x:v>2.046060180664062</x:v>
      </x:c>
      <x:c r="J3885" s="40" t="n">
        <x:f>H3885^2</x:f>
        <x:v>4.186362262899054</x:v>
      </x:c>
      <x:c r="K3885" s="40" t="n">
        <x:f>G3885-E3885</x:f>
        <x:v>-0.09999999999999964</x:v>
      </x:c>
      <x:c r="L3885" s="40" t="n">
        <x:f>ABS(K3885)</x:f>
        <x:v>0.09999999999999964</x:v>
      </x:c>
      <x:c r="M3885" s="41" t="str">
        <x:v>lstm-soil-v1</x:v>
      </x:c>
    </x:row>
    <x:row r="3886">
      <x:c r="A3886" s="38" t="str">
        <x:v>7月30日现场数据</x:v>
      </x:c>
      <x:c r="B3886" s="39" t="str">
        <x:v>2026-08-03T22:25:00</x:v>
      </x:c>
      <x:c r="C3886" s="39" t="str">
        <x:v>2026-08-03T22:55:00</x:v>
      </x:c>
      <x:c r="D3886" s="47" t="n">
        <x:v>30</x:v>
      </x:c>
      <x:c r="E3886" s="40" t="n">
        <x:v>12.6</x:v>
      </x:c>
      <x:c r="F3886" s="40" t="n">
        <x:v>11.005882263183594</x:v>
      </x:c>
      <x:c r="G3886" s="40" t="n">
        <x:v>12.5</x:v>
      </x:c>
      <x:c r="H3886" s="40" t="n">
        <x:f>F3886-E3886</x:f>
        <x:v>-1.594117736816406</x:v>
      </x:c>
      <x:c r="I3886" s="40" t="n">
        <x:f>ABS(H3886)</x:f>
        <x:v>1.594117736816406</x:v>
      </x:c>
      <x:c r="J3886" s="40" t="n">
        <x:f>H3886^2</x:f>
        <x:v>2.54121135883266</x:v>
      </x:c>
      <x:c r="K3886" s="40" t="n">
        <x:f>G3886-E3886</x:f>
        <x:v>-0.09999999999999964</x:v>
      </x:c>
      <x:c r="L3886" s="40" t="n">
        <x:f>ABS(K3886)</x:f>
        <x:v>0.09999999999999964</x:v>
      </x:c>
      <x:c r="M3886" s="41" t="str">
        <x:v>lstm-soil-v1</x:v>
      </x:c>
    </x:row>
    <x:row r="3887">
      <x:c r="A3887" s="38" t="str">
        <x:v>7月30日现场数据</x:v>
      </x:c>
      <x:c r="B3887" s="39" t="str">
        <x:v>2026-08-03T22:25:00</x:v>
      </x:c>
      <x:c r="C3887" s="39" t="str">
        <x:v>2026-08-03T23:25:00</x:v>
      </x:c>
      <x:c r="D3887" s="47" t="n">
        <x:v>60</x:v>
      </x:c>
      <x:c r="E3887" s="40" t="n">
        <x:v>13.4</x:v>
      </x:c>
      <x:c r="F3887" s="40" t="n">
        <x:v>12.631114959716797</x:v>
      </x:c>
      <x:c r="G3887" s="40" t="n">
        <x:v>12.5</x:v>
      </x:c>
      <x:c r="H3887" s="40" t="n">
        <x:f>F3887-E3887</x:f>
        <x:v>-0.7688850402832035</x:v>
      </x:c>
      <x:c r="I3887" s="40" t="n">
        <x:f>ABS(H3887)</x:f>
        <x:v>0.7688850402832035</x:v>
      </x:c>
      <x:c r="J3887" s="40" t="n">
        <x:f>H3887^2</x:f>
        <x:v>0.5911842051713034</x:v>
      </x:c>
      <x:c r="K3887" s="40" t="n">
        <x:f>G3887-E3887</x:f>
        <x:v>-0.9000000000000004</x:v>
      </x:c>
      <x:c r="L3887" s="40" t="n">
        <x:f>ABS(K3887)</x:f>
        <x:v>0.9000000000000004</x:v>
      </x:c>
      <x:c r="M3887" s="41" t="str">
        <x:v>lstm-soil-v1</x:v>
      </x:c>
    </x:row>
    <x:row r="3888">
      <x:c r="A3888" s="38" t="str">
        <x:v>7月30日现场数据</x:v>
      </x:c>
      <x:c r="B3888" s="39" t="str">
        <x:v>2026-08-03T22:30:00</x:v>
      </x:c>
      <x:c r="C3888" s="39" t="str">
        <x:v>2026-08-03T22:35:00</x:v>
      </x:c>
      <x:c r="D3888" s="47" t="n">
        <x:v>5</x:v>
      </x:c>
      <x:c r="E3888" s="40" t="n">
        <x:v>12.6</x:v>
      </x:c>
      <x:c r="F3888" s="40" t="n">
        <x:v>10.599308013916016</x:v>
      </x:c>
      <x:c r="G3888" s="40" t="n">
        <x:v>12.6</x:v>
      </x:c>
      <x:c r="H3888" s="40" t="n">
        <x:f>F3888-E3888</x:f>
        <x:v>-2.000691986083984</x:v>
      </x:c>
      <x:c r="I3888" s="40" t="n">
        <x:f>ABS(H3888)</x:f>
        <x:v>2.000691986083984</x:v>
      </x:c>
      <x:c r="J3888" s="40" t="n">
        <x:f>H3888^2</x:f>
        <x:v>4.002768423180677</x:v>
      </x:c>
      <x:c r="K3888" s="40" t="n">
        <x:f>G3888-E3888</x:f>
        <x:v>0</x:v>
      </x:c>
      <x:c r="L3888" s="40" t="n">
        <x:f>ABS(K3888)</x:f>
        <x:v>0</x:v>
      </x:c>
      <x:c r="M3888" s="41" t="str">
        <x:v>lstm-soil-v1</x:v>
      </x:c>
    </x:row>
    <x:row r="3889">
      <x:c r="A3889" s="38" t="str">
        <x:v>7月30日现场数据</x:v>
      </x:c>
      <x:c r="B3889" s="39" t="str">
        <x:v>2026-08-03T22:30:00</x:v>
      </x:c>
      <x:c r="C3889" s="39" t="str">
        <x:v>2026-08-03T22:45:00</x:v>
      </x:c>
      <x:c r="D3889" s="47" t="n">
        <x:v>15</x:v>
      </x:c>
      <x:c r="E3889" s="40" t="n">
        <x:v>12.6</x:v>
      </x:c>
      <x:c r="F3889" s="40" t="n">
        <x:v>10.663684844970703</x:v>
      </x:c>
      <x:c r="G3889" s="40" t="n">
        <x:v>12.6</x:v>
      </x:c>
      <x:c r="H3889" s="40" t="n">
        <x:f>F3889-E3889</x:f>
        <x:v>-1.9363151550292965</x:v>
      </x:c>
      <x:c r="I3889" s="40" t="n">
        <x:f>ABS(H3889)</x:f>
        <x:v>1.9363151550292965</x:v>
      </x:c>
      <x:c r="J3889" s="40" t="n">
        <x:f>H3889^2</x:f>
        <x:v>3.7493163795961286</x:v>
      </x:c>
      <x:c r="K3889" s="40" t="n">
        <x:f>G3889-E3889</x:f>
        <x:v>0</x:v>
      </x:c>
      <x:c r="L3889" s="40" t="n">
        <x:f>ABS(K3889)</x:f>
        <x:v>0</x:v>
      </x:c>
      <x:c r="M3889" s="41" t="str">
        <x:v>lstm-soil-v1</x:v>
      </x:c>
    </x:row>
    <x:row r="3890">
      <x:c r="A3890" s="38" t="str">
        <x:v>7月30日现场数据</x:v>
      </x:c>
      <x:c r="B3890" s="39" t="str">
        <x:v>2026-08-03T22:30:00</x:v>
      </x:c>
      <x:c r="C3890" s="39" t="str">
        <x:v>2026-08-03T23:00:00</x:v>
      </x:c>
      <x:c r="D3890" s="47" t="n">
        <x:v>30</x:v>
      </x:c>
      <x:c r="E3890" s="40" t="n">
        <x:v>12.6</x:v>
      </x:c>
      <x:c r="F3890" s="40" t="n">
        <x:v>11.112174987792969</x:v>
      </x:c>
      <x:c r="G3890" s="40" t="n">
        <x:v>12.6</x:v>
      </x:c>
      <x:c r="H3890" s="40" t="n">
        <x:f>F3890-E3890</x:f>
        <x:v>-1.487825012207031</x:v>
      </x:c>
      <x:c r="I3890" s="40" t="n">
        <x:f>ABS(H3890)</x:f>
        <x:v>1.487825012207031</x:v>
      </x:c>
      <x:c r="J3890" s="40" t="n">
        <x:f>H3890^2</x:f>
        <x:v>2.2136232669488516</x:v>
      </x:c>
      <x:c r="K3890" s="40" t="n">
        <x:f>G3890-E3890</x:f>
        <x:v>0</x:v>
      </x:c>
      <x:c r="L3890" s="40" t="n">
        <x:f>ABS(K3890)</x:f>
        <x:v>0</x:v>
      </x:c>
      <x:c r="M3890" s="41" t="str">
        <x:v>lstm-soil-v1</x:v>
      </x:c>
    </x:row>
    <x:row r="3891">
      <x:c r="A3891" s="38" t="str">
        <x:v>7月30日现场数据</x:v>
      </x:c>
      <x:c r="B3891" s="39" t="str">
        <x:v>2026-08-03T22:30:00</x:v>
      </x:c>
      <x:c r="C3891" s="39" t="str">
        <x:v>2026-08-03T23:30:00</x:v>
      </x:c>
      <x:c r="D3891" s="47" t="n">
        <x:v>60</x:v>
      </x:c>
      <x:c r="E3891" s="40" t="n">
        <x:v>13.3</x:v>
      </x:c>
      <x:c r="F3891" s="40" t="n">
        <x:v>12.733379364013672</x:v>
      </x:c>
      <x:c r="G3891" s="40" t="n">
        <x:v>12.6</x:v>
      </x:c>
      <x:c r="H3891" s="40" t="n">
        <x:f>F3891-E3891</x:f>
        <x:v>-0.5666206359863288</x:v>
      </x:c>
      <x:c r="I3891" s="40" t="n">
        <x:f>ABS(H3891)</x:f>
        <x:v>0.5666206359863288</x:v>
      </x:c>
      <x:c r="J3891" s="40" t="n">
        <x:f>H3891^2</x:f>
        <x:v>0.3210589451255518</x:v>
      </x:c>
      <x:c r="K3891" s="40" t="n">
        <x:f>G3891-E3891</x:f>
        <x:v>-0.7000000000000011</x:v>
      </x:c>
      <x:c r="L3891" s="40" t="n">
        <x:f>ABS(K3891)</x:f>
        <x:v>0.7000000000000011</x:v>
      </x:c>
      <x:c r="M3891" s="41" t="str">
        <x:v>lstm-soil-v1</x:v>
      </x:c>
    </x:row>
    <x:row r="3892">
      <x:c r="A3892" s="38" t="str">
        <x:v>7月30日现场数据</x:v>
      </x:c>
      <x:c r="B3892" s="39" t="str">
        <x:v>2026-08-03T22:35:00</x:v>
      </x:c>
      <x:c r="C3892" s="39" t="str">
        <x:v>2026-08-03T22:40:00</x:v>
      </x:c>
      <x:c r="D3892" s="47" t="n">
        <x:v>5</x:v>
      </x:c>
      <x:c r="E3892" s="40" t="n">
        <x:v>12.6</x:v>
      </x:c>
      <x:c r="F3892" s="40" t="n">
        <x:v>10.599212646484375</x:v>
      </x:c>
      <x:c r="G3892" s="40" t="n">
        <x:v>12.6</x:v>
      </x:c>
      <x:c r="H3892" s="40" t="n">
        <x:f>F3892-E3892</x:f>
        <x:v>-2.0007873535156246</x:v>
      </x:c>
      <x:c r="I3892" s="40" t="n">
        <x:f>ABS(H3892)</x:f>
        <x:v>2.0007873535156246</x:v>
      </x:c>
      <x:c r="J3892" s="40" t="n">
        <x:f>H3892^2</x:f>
        <x:v>4.0031500339880575</x:v>
      </x:c>
      <x:c r="K3892" s="40" t="n">
        <x:f>G3892-E3892</x:f>
        <x:v>0</x:v>
      </x:c>
      <x:c r="L3892" s="40" t="n">
        <x:f>ABS(K3892)</x:f>
        <x:v>0</x:v>
      </x:c>
      <x:c r="M3892" s="41" t="str">
        <x:v>lstm-soil-v1</x:v>
      </x:c>
    </x:row>
    <x:row r="3893">
      <x:c r="A3893" s="38" t="str">
        <x:v>7月30日现场数据</x:v>
      </x:c>
      <x:c r="B3893" s="39" t="str">
        <x:v>2026-08-03T22:35:00</x:v>
      </x:c>
      <x:c r="C3893" s="39" t="str">
        <x:v>2026-08-03T22:50:00</x:v>
      </x:c>
      <x:c r="D3893" s="47" t="n">
        <x:v>15</x:v>
      </x:c>
      <x:c r="E3893" s="40" t="n">
        <x:v>12.6</x:v>
      </x:c>
      <x:c r="F3893" s="40" t="n">
        <x:v>10.661964416503906</x:v>
      </x:c>
      <x:c r="G3893" s="40" t="n">
        <x:v>12.6</x:v>
      </x:c>
      <x:c r="H3893" s="40" t="n">
        <x:f>F3893-E3893</x:f>
        <x:v>-1.9380355834960934</x:v>
      </x:c>
      <x:c r="I3893" s="40" t="n">
        <x:f>ABS(H3893)</x:f>
        <x:v>1.9380355834960934</x:v>
      </x:c>
      <x:c r="J3893" s="40" t="n">
        <x:f>H3893^2</x:f>
        <x:v>3.755981922897043</x:v>
      </x:c>
      <x:c r="K3893" s="40" t="n">
        <x:f>G3893-E3893</x:f>
        <x:v>0</x:v>
      </x:c>
      <x:c r="L3893" s="40" t="n">
        <x:f>ABS(K3893)</x:f>
        <x:v>0</x:v>
      </x:c>
      <x:c r="M3893" s="41" t="str">
        <x:v>lstm-soil-v1</x:v>
      </x:c>
    </x:row>
    <x:row r="3894">
      <x:c r="A3894" s="38" t="str">
        <x:v>7月30日现场数据</x:v>
      </x:c>
      <x:c r="B3894" s="39" t="str">
        <x:v>2026-08-03T22:35:00</x:v>
      </x:c>
      <x:c r="C3894" s="39" t="str">
        <x:v>2026-08-03T23:05:00</x:v>
      </x:c>
      <x:c r="D3894" s="47" t="n">
        <x:v>30</x:v>
      </x:c>
      <x:c r="E3894" s="40" t="n">
        <x:v>12.6</x:v>
      </x:c>
      <x:c r="F3894" s="40" t="n">
        <x:v>11.111953735351562</x:v>
      </x:c>
      <x:c r="G3894" s="40" t="n">
        <x:v>12.6</x:v>
      </x:c>
      <x:c r="H3894" s="40" t="n">
        <x:f>F3894-E3894</x:f>
        <x:v>-1.4880462646484371</x:v>
      </x:c>
      <x:c r="I3894" s="40" t="n">
        <x:f>ABS(H3894)</x:f>
        <x:v>1.4880462646484371</x:v>
      </x:c>
      <x:c r="J3894" s="40" t="n">
        <x:f>H3894^2</x:f>
        <x:v>2.2142816857341665</x:v>
      </x:c>
      <x:c r="K3894" s="40" t="n">
        <x:f>G3894-E3894</x:f>
        <x:v>0</x:v>
      </x:c>
      <x:c r="L3894" s="40" t="n">
        <x:f>ABS(K3894)</x:f>
        <x:v>0</x:v>
      </x:c>
      <x:c r="M3894" s="41" t="str">
        <x:v>lstm-soil-v1</x:v>
      </x:c>
    </x:row>
    <x:row r="3895">
      <x:c r="A3895" s="38" t="str">
        <x:v>7月30日现场数据</x:v>
      </x:c>
      <x:c r="B3895" s="39" t="str">
        <x:v>2026-08-03T22:35:00</x:v>
      </x:c>
      <x:c r="C3895" s="39" t="str">
        <x:v>2026-08-03T23:35:00</x:v>
      </x:c>
      <x:c r="D3895" s="47" t="n">
        <x:v>60</x:v>
      </x:c>
      <x:c r="E3895" s="40" t="n">
        <x:v>13.3</x:v>
      </x:c>
      <x:c r="F3895" s="40" t="n">
        <x:v>12.733570098876953</x:v>
      </x:c>
      <x:c r="G3895" s="40" t="n">
        <x:v>12.6</x:v>
      </x:c>
      <x:c r="H3895" s="40" t="n">
        <x:f>F3895-E3895</x:f>
        <x:v>-0.5664299011230476</x:v>
      </x:c>
      <x:c r="I3895" s="40" t="n">
        <x:f>ABS(H3895)</x:f>
        <x:v>0.5664299011230476</x:v>
      </x:c>
      <x:c r="J3895" s="40" t="n">
        <x:f>H3895^2</x:f>
        <x:v>0.32084283288626547</x:v>
      </x:c>
      <x:c r="K3895" s="40" t="n">
        <x:f>G3895-E3895</x:f>
        <x:v>-0.7000000000000011</x:v>
      </x:c>
      <x:c r="L3895" s="40" t="n">
        <x:f>ABS(K3895)</x:f>
        <x:v>0.7000000000000011</x:v>
      </x:c>
      <x:c r="M3895" s="41" t="str">
        <x:v>lstm-soil-v1</x:v>
      </x:c>
    </x:row>
    <x:row r="3896">
      <x:c r="A3896" s="38" t="str">
        <x:v>7月30日现场数据</x:v>
      </x:c>
      <x:c r="B3896" s="39" t="str">
        <x:v>2026-08-03T22:40:00</x:v>
      </x:c>
      <x:c r="C3896" s="39" t="str">
        <x:v>2026-08-03T22:45:00</x:v>
      </x:c>
      <x:c r="D3896" s="47" t="n">
        <x:v>5</x:v>
      </x:c>
      <x:c r="E3896" s="40" t="n">
        <x:v>12.6</x:v>
      </x:c>
      <x:c r="F3896" s="40" t="n">
        <x:v>10.600292205810547</x:v>
      </x:c>
      <x:c r="G3896" s="40" t="n">
        <x:v>12.6</x:v>
      </x:c>
      <x:c r="H3896" s="40" t="n">
        <x:f>F3896-E3896</x:f>
        <x:v>-1.9997077941894528</x:v>
      </x:c>
      <x:c r="I3896" s="40" t="n">
        <x:f>ABS(H3896)</x:f>
        <x:v>1.9997077941894528</x:v>
      </x:c>
      <x:c r="J3896" s="40" t="n">
        <x:f>H3896^2</x:f>
        <x:v>3.9988312621420468</x:v>
      </x:c>
      <x:c r="K3896" s="40" t="n">
        <x:f>G3896-E3896</x:f>
        <x:v>0</x:v>
      </x:c>
      <x:c r="L3896" s="40" t="n">
        <x:f>ABS(K3896)</x:f>
        <x:v>0</x:v>
      </x:c>
      <x:c r="M3896" s="41" t="str">
        <x:v>lstm-soil-v1</x:v>
      </x:c>
    </x:row>
    <x:row r="3897">
      <x:c r="A3897" s="38" t="str">
        <x:v>7月30日现场数据</x:v>
      </x:c>
      <x:c r="B3897" s="39" t="str">
        <x:v>2026-08-03T22:40:00</x:v>
      </x:c>
      <x:c r="C3897" s="39" t="str">
        <x:v>2026-08-03T22:55:00</x:v>
      </x:c>
      <x:c r="D3897" s="47" t="n">
        <x:v>15</x:v>
      </x:c>
      <x:c r="E3897" s="40" t="n">
        <x:v>12.6</x:v>
      </x:c>
      <x:c r="F3897" s="40" t="n">
        <x:v>10.66201400756836</x:v>
      </x:c>
      <x:c r="G3897" s="40" t="n">
        <x:v>12.6</x:v>
      </x:c>
      <x:c r="H3897" s="40" t="n">
        <x:f>F3897-E3897</x:f>
        <x:v>-1.9379859924316403</x:v>
      </x:c>
      <x:c r="I3897" s="40" t="n">
        <x:f>ABS(H3897)</x:f>
        <x:v>1.9379859924316403</x:v>
      </x:c>
      <x:c r="J3897" s="40" t="n">
        <x:f>H3897^2</x:f>
        <x:v>3.7557897068612496</x:v>
      </x:c>
      <x:c r="K3897" s="40" t="n">
        <x:f>G3897-E3897</x:f>
        <x:v>0</x:v>
      </x:c>
      <x:c r="L3897" s="40" t="n">
        <x:f>ABS(K3897)</x:f>
        <x:v>0</x:v>
      </x:c>
      <x:c r="M3897" s="41" t="str">
        <x:v>lstm-soil-v1</x:v>
      </x:c>
    </x:row>
    <x:row r="3898">
      <x:c r="A3898" s="38" t="str">
        <x:v>7月30日现场数据</x:v>
      </x:c>
      <x:c r="B3898" s="39" t="str">
        <x:v>2026-08-03T22:40:00</x:v>
      </x:c>
      <x:c r="C3898" s="39" t="str">
        <x:v>2026-08-03T23:10:00</x:v>
      </x:c>
      <x:c r="D3898" s="47" t="n">
        <x:v>30</x:v>
      </x:c>
      <x:c r="E3898" s="40" t="n">
        <x:v>12.6</x:v>
      </x:c>
      <x:c r="F3898" s="40" t="n">
        <x:v>11.113937377929688</x:v>
      </x:c>
      <x:c r="G3898" s="40" t="n">
        <x:v>12.6</x:v>
      </x:c>
      <x:c r="H3898" s="40" t="n">
        <x:f>F3898-E3898</x:f>
        <x:v>-1.4860626220703121</x:v>
      </x:c>
      <x:c r="I3898" s="40" t="n">
        <x:f>ABS(H3898)</x:f>
        <x:v>1.4860626220703121</x:v>
      </x:c>
      <x:c r="J3898" s="40" t="n">
        <x:f>H3898^2</x:f>
        <x:v>2.2083821167144913</x:v>
      </x:c>
      <x:c r="K3898" s="40" t="n">
        <x:f>G3898-E3898</x:f>
        <x:v>0</x:v>
      </x:c>
      <x:c r="L3898" s="40" t="n">
        <x:f>ABS(K3898)</x:f>
        <x:v>0</x:v>
      </x:c>
      <x:c r="M3898" s="41" t="str">
        <x:v>lstm-soil-v1</x:v>
      </x:c>
    </x:row>
    <x:row r="3899">
      <x:c r="A3899" s="38" t="str">
        <x:v>7月30日现场数据</x:v>
      </x:c>
      <x:c r="B3899" s="39" t="str">
        <x:v>2026-08-03T22:40:00</x:v>
      </x:c>
      <x:c r="C3899" s="39" t="str">
        <x:v>2026-08-03T23:40:00</x:v>
      </x:c>
      <x:c r="D3899" s="47" t="n">
        <x:v>60</x:v>
      </x:c>
      <x:c r="E3899" s="40" t="n">
        <x:v>13.2</x:v>
      </x:c>
      <x:c r="F3899" s="40" t="n">
        <x:v>12.73659896850586</x:v>
      </x:c>
      <x:c r="G3899" s="40" t="n">
        <x:v>12.6</x:v>
      </x:c>
      <x:c r="H3899" s="40" t="n">
        <x:f>F3899-E3899</x:f>
        <x:v>-0.4634010314941399</x:v>
      </x:c>
      <x:c r="I3899" s="40" t="n">
        <x:f>ABS(H3899)</x:f>
        <x:v>0.4634010314941399</x:v>
      </x:c>
      <x:c r="J3899" s="40" t="n">
        <x:f>H3899^2</x:f>
        <x:v>0.21474051598983285</x:v>
      </x:c>
      <x:c r="K3899" s="40" t="n">
        <x:f>G3899-E3899</x:f>
        <x:v>-0.5999999999999996</x:v>
      </x:c>
      <x:c r="L3899" s="40" t="n">
        <x:f>ABS(K3899)</x:f>
        <x:v>0.5999999999999996</x:v>
      </x:c>
      <x:c r="M3899" s="41" t="str">
        <x:v>lstm-soil-v1</x:v>
      </x:c>
    </x:row>
    <x:row r="3900">
      <x:c r="A3900" s="38" t="str">
        <x:v>7月30日现场数据</x:v>
      </x:c>
      <x:c r="B3900" s="39" t="str">
        <x:v>2026-08-03T22:45:00</x:v>
      </x:c>
      <x:c r="C3900" s="39" t="str">
        <x:v>2026-08-03T22:50:00</x:v>
      </x:c>
      <x:c r="D3900" s="47" t="n">
        <x:v>5</x:v>
      </x:c>
      <x:c r="E3900" s="40" t="n">
        <x:v>12.6</x:v>
      </x:c>
      <x:c r="F3900" s="40" t="n">
        <x:v>10.599685668945312</x:v>
      </x:c>
      <x:c r="G3900" s="40" t="n">
        <x:v>12.6</x:v>
      </x:c>
      <x:c r="H3900" s="40" t="n">
        <x:f>F3900-E3900</x:f>
        <x:v>-2.000314331054687</x:v>
      </x:c>
      <x:c r="I3900" s="40" t="n">
        <x:f>ABS(H3900)</x:f>
        <x:v>2.000314331054687</x:v>
      </x:c>
      <x:c r="J3900" s="40" t="n">
        <x:f>H3900^2</x:f>
        <x:v>4.001257423022761</x:v>
      </x:c>
      <x:c r="K3900" s="40" t="n">
        <x:f>G3900-E3900</x:f>
        <x:v>0</x:v>
      </x:c>
      <x:c r="L3900" s="40" t="n">
        <x:f>ABS(K3900)</x:f>
        <x:v>0</x:v>
      </x:c>
      <x:c r="M3900" s="41" t="str">
        <x:v>lstm-soil-v1</x:v>
      </x:c>
    </x:row>
    <x:row r="3901">
      <x:c r="A3901" s="38" t="str">
        <x:v>7月30日现场数据</x:v>
      </x:c>
      <x:c r="B3901" s="39" t="str">
        <x:v>2026-08-03T22:45:00</x:v>
      </x:c>
      <x:c r="C3901" s="39" t="str">
        <x:v>2026-08-03T23:00:00</x:v>
      </x:c>
      <x:c r="D3901" s="47" t="n">
        <x:v>15</x:v>
      </x:c>
      <x:c r="E3901" s="40" t="n">
        <x:v>12.6</x:v>
      </x:c>
      <x:c r="F3901" s="40" t="n">
        <x:v>10.661674499511719</x:v>
      </x:c>
      <x:c r="G3901" s="40" t="n">
        <x:v>12.6</x:v>
      </x:c>
      <x:c r="H3901" s="40" t="n">
        <x:f>F3901-E3901</x:f>
        <x:v>-1.938325500488281</x:v>
      </x:c>
      <x:c r="I3901" s="40" t="n">
        <x:f>ABS(H3901)</x:f>
        <x:v>1.938325500488281</x:v>
      </x:c>
      <x:c r="J3901" s="40" t="n">
        <x:f>H3901^2</x:f>
        <x:v>3.7571057458431447</x:v>
      </x:c>
      <x:c r="K3901" s="40" t="n">
        <x:f>G3901-E3901</x:f>
        <x:v>0</x:v>
      </x:c>
      <x:c r="L3901" s="40" t="n">
        <x:f>ABS(K3901)</x:f>
        <x:v>0</x:v>
      </x:c>
      <x:c r="M3901" s="41" t="str">
        <x:v>lstm-soil-v1</x:v>
      </x:c>
    </x:row>
    <x:row r="3902">
      <x:c r="A3902" s="38" t="str">
        <x:v>7月30日现场数据</x:v>
      </x:c>
      <x:c r="B3902" s="39" t="str">
        <x:v>2026-08-03T22:45:00</x:v>
      </x:c>
      <x:c r="C3902" s="39" t="str">
        <x:v>2026-08-03T23:15:00</x:v>
      </x:c>
      <x:c r="D3902" s="47" t="n">
        <x:v>30</x:v>
      </x:c>
      <x:c r="E3902" s="40" t="n">
        <x:v>12.6</x:v>
      </x:c>
      <x:c r="F3902" s="40" t="n">
        <x:v>11.113399505615234</x:v>
      </x:c>
      <x:c r="G3902" s="40" t="n">
        <x:v>12.6</x:v>
      </x:c>
      <x:c r="H3902" s="40" t="n">
        <x:f>F3902-E3902</x:f>
        <x:v>-1.4866004943847653</x:v>
      </x:c>
      <x:c r="I3902" s="40" t="n">
        <x:f>ABS(H3902)</x:f>
        <x:v>1.4866004943847653</x:v>
      </x:c>
      <x:c r="J3902" s="40" t="n">
        <x:f>H3902^2</x:f>
        <x:v>2.2099810299050286</x:v>
      </x:c>
      <x:c r="K3902" s="40" t="n">
        <x:f>G3902-E3902</x:f>
        <x:v>0</x:v>
      </x:c>
      <x:c r="L3902" s="40" t="n">
        <x:f>ABS(K3902)</x:f>
        <x:v>0</x:v>
      </x:c>
      <x:c r="M3902" s="41" t="str">
        <x:v>lstm-soil-v1</x:v>
      </x:c>
    </x:row>
    <x:row r="3903">
      <x:c r="A3903" s="38" t="str">
        <x:v>7月30日现场数据</x:v>
      </x:c>
      <x:c r="B3903" s="39" t="str">
        <x:v>2026-08-03T22:45:00</x:v>
      </x:c>
      <x:c r="C3903" s="39" t="str">
        <x:v>2026-08-03T23:45:00</x:v>
      </x:c>
      <x:c r="D3903" s="47" t="n">
        <x:v>60</x:v>
      </x:c>
      <x:c r="E3903" s="40" t="n">
        <x:v>13.3</x:v>
      </x:c>
      <x:c r="F3903" s="40" t="n">
        <x:v>12.734397888183594</x:v>
      </x:c>
      <x:c r="G3903" s="40" t="n">
        <x:v>12.6</x:v>
      </x:c>
      <x:c r="H3903" s="40" t="n">
        <x:f>F3903-E3903</x:f>
        <x:v>-0.565602111816407</x:v>
      </x:c>
      <x:c r="I3903" s="40" t="n">
        <x:f>ABS(H3903)</x:f>
        <x:v>0.565602111816407</x:v>
      </x:c>
      <x:c r="J3903" s="40" t="n">
        <x:f>H3903^2</x:f>
        <x:v>0.31990574889117934</x:v>
      </x:c>
      <x:c r="K3903" s="40" t="n">
        <x:f>G3903-E3903</x:f>
        <x:v>-0.7000000000000011</x:v>
      </x:c>
      <x:c r="L3903" s="40" t="n">
        <x:f>ABS(K3903)</x:f>
        <x:v>0.7000000000000011</x:v>
      </x:c>
      <x:c r="M3903" s="41" t="str">
        <x:v>lstm-soil-v1</x:v>
      </x:c>
    </x:row>
    <x:row r="3904">
      <x:c r="A3904" s="38" t="str">
        <x:v>7月30日现场数据</x:v>
      </x:c>
      <x:c r="B3904" s="39" t="str">
        <x:v>2026-08-03T22:50:00</x:v>
      </x:c>
      <x:c r="C3904" s="39" t="str">
        <x:v>2026-08-03T22:55:00</x:v>
      </x:c>
      <x:c r="D3904" s="47" t="n">
        <x:v>5</x:v>
      </x:c>
      <x:c r="E3904" s="40" t="n">
        <x:v>12.6</x:v>
      </x:c>
      <x:c r="F3904" s="40" t="n">
        <x:v>10.599998474121094</x:v>
      </x:c>
      <x:c r="G3904" s="40" t="n">
        <x:v>12.6</x:v>
      </x:c>
      <x:c r="H3904" s="40" t="n">
        <x:f>F3904-E3904</x:f>
        <x:v>-2.000001525878906</x:v>
      </x:c>
      <x:c r="I3904" s="40" t="n">
        <x:f>ABS(H3904)</x:f>
        <x:v>2.000001525878906</x:v>
      </x:c>
      <x:c r="J3904" s="40" t="n">
        <x:f>H3904^2</x:f>
        <x:v>4.0000061035179515</x:v>
      </x:c>
      <x:c r="K3904" s="40" t="n">
        <x:f>G3904-E3904</x:f>
        <x:v>0</x:v>
      </x:c>
      <x:c r="L3904" s="40" t="n">
        <x:f>ABS(K3904)</x:f>
        <x:v>0</x:v>
      </x:c>
      <x:c r="M3904" s="41" t="str">
        <x:v>lstm-soil-v1</x:v>
      </x:c>
    </x:row>
    <x:row r="3905">
      <x:c r="A3905" s="38" t="str">
        <x:v>7月30日现场数据</x:v>
      </x:c>
      <x:c r="B3905" s="39" t="str">
        <x:v>2026-08-03T22:50:00</x:v>
      </x:c>
      <x:c r="C3905" s="39" t="str">
        <x:v>2026-08-03T23:05:00</x:v>
      </x:c>
      <x:c r="D3905" s="47" t="n">
        <x:v>15</x:v>
      </x:c>
      <x:c r="E3905" s="40" t="n">
        <x:v>12.6</x:v>
      </x:c>
      <x:c r="F3905" s="40" t="n">
        <x:v>10.66094970703125</x:v>
      </x:c>
      <x:c r="G3905" s="40" t="n">
        <x:v>12.6</x:v>
      </x:c>
      <x:c r="H3905" s="40" t="n">
        <x:f>F3905-E3905</x:f>
        <x:v>-1.9390502929687496</x:v>
      </x:c>
      <x:c r="I3905" s="40" t="n">
        <x:f>ABS(H3905)</x:f>
        <x:v>1.9390502929687496</x:v>
      </x:c>
      <x:c r="J3905" s="40" t="n">
        <x:f>H3905^2</x:f>
        <x:v>3.759916038662194</x:v>
      </x:c>
      <x:c r="K3905" s="40" t="n">
        <x:f>G3905-E3905</x:f>
        <x:v>0</x:v>
      </x:c>
      <x:c r="L3905" s="40" t="n">
        <x:f>ABS(K3905)</x:f>
        <x:v>0</x:v>
      </x:c>
      <x:c r="M3905" s="41" t="str">
        <x:v>lstm-soil-v1</x:v>
      </x:c>
    </x:row>
    <x:row r="3906">
      <x:c r="A3906" s="38" t="str">
        <x:v>7月30日现场数据</x:v>
      </x:c>
      <x:c r="B3906" s="39" t="str">
        <x:v>2026-08-03T22:50:00</x:v>
      </x:c>
      <x:c r="C3906" s="39" t="str">
        <x:v>2026-08-03T23:20:00</x:v>
      </x:c>
      <x:c r="D3906" s="47" t="n">
        <x:v>30</x:v>
      </x:c>
      <x:c r="E3906" s="40" t="n">
        <x:v>13.4</x:v>
      </x:c>
      <x:c r="F3906" s="40" t="n">
        <x:v>11.114131927490234</x:v>
      </x:c>
      <x:c r="G3906" s="40" t="n">
        <x:v>12.6</x:v>
      </x:c>
      <x:c r="H3906" s="40" t="n">
        <x:f>F3906-E3906</x:f>
        <x:v>-2.285868072509766</x:v>
      </x:c>
      <x:c r="I3906" s="40" t="n">
        <x:f>ABS(H3906)</x:f>
        <x:v>2.285868072509766</x:v>
      </x:c>
      <x:c r="J3906" s="40" t="n">
        <x:f>H3906^2</x:f>
        <x:v>5.225192844919513</x:v>
      </x:c>
      <x:c r="K3906" s="40" t="n">
        <x:f>G3906-E3906</x:f>
        <x:v>-0.8000000000000007</x:v>
      </x:c>
      <x:c r="L3906" s="40" t="n">
        <x:f>ABS(K3906)</x:f>
        <x:v>0.8000000000000007</x:v>
      </x:c>
      <x:c r="M3906" s="41" t="str">
        <x:v>lstm-soil-v1</x:v>
      </x:c>
    </x:row>
    <x:row r="3907">
      <x:c r="A3907" s="38" t="str">
        <x:v>7月30日现场数据</x:v>
      </x:c>
      <x:c r="B3907" s="39" t="str">
        <x:v>2026-08-03T22:50:00</x:v>
      </x:c>
      <x:c r="C3907" s="39" t="str">
        <x:v>2026-08-03T23:50:00</x:v>
      </x:c>
      <x:c r="D3907" s="47" t="n">
        <x:v>60</x:v>
      </x:c>
      <x:c r="E3907" s="40" t="n">
        <x:v>13.2</x:v>
      </x:c>
      <x:c r="F3907" s="40" t="n">
        <x:v>12.735172271728516</x:v>
      </x:c>
      <x:c r="G3907" s="40" t="n">
        <x:v>12.6</x:v>
      </x:c>
      <x:c r="H3907" s="40" t="n">
        <x:f>F3907-E3907</x:f>
        <x:v>-0.46482772827148366</x:v>
      </x:c>
      <x:c r="I3907" s="40" t="n">
        <x:f>ABS(H3907)</x:f>
        <x:v>0.46482772827148366</x:v>
      </x:c>
      <x:c r="J3907" s="40" t="n">
        <x:f>H3907^2</x:f>
        <x:v>0.21606481697002825</x:v>
      </x:c>
      <x:c r="K3907" s="40" t="n">
        <x:f>G3907-E3907</x:f>
        <x:v>-0.5999999999999996</x:v>
      </x:c>
      <x:c r="L3907" s="40" t="n">
        <x:f>ABS(K3907)</x:f>
        <x:v>0.5999999999999996</x:v>
      </x:c>
      <x:c r="M3907" s="41" t="str">
        <x:v>lstm-soil-v1</x:v>
      </x:c>
    </x:row>
    <x:row r="3908">
      <x:c r="A3908" s="38" t="str">
        <x:v>7月30日现场数据</x:v>
      </x:c>
      <x:c r="B3908" s="39" t="str">
        <x:v>2026-08-03T22:55:00</x:v>
      </x:c>
      <x:c r="C3908" s="39" t="str">
        <x:v>2026-08-03T23:00:00</x:v>
      </x:c>
      <x:c r="D3908" s="47" t="n">
        <x:v>5</x:v>
      </x:c>
      <x:c r="E3908" s="40" t="n">
        <x:v>12.6</x:v>
      </x:c>
      <x:c r="F3908" s="40" t="n">
        <x:v>10.600433349609375</x:v>
      </x:c>
      <x:c r="G3908" s="40" t="n">
        <x:v>12.6</x:v>
      </x:c>
      <x:c r="H3908" s="40" t="n">
        <x:f>F3908-E3908</x:f>
        <x:v>-1.9995666503906246</x:v>
      </x:c>
      <x:c r="I3908" s="40" t="n">
        <x:f>ABS(H3908)</x:f>
        <x:v>1.9995666503906246</x:v>
      </x:c>
      <x:c r="J3908" s="40" t="n">
        <x:f>H3908^2</x:f>
        <x:v>3.9982667893543824</x:v>
      </x:c>
      <x:c r="K3908" s="40" t="n">
        <x:f>G3908-E3908</x:f>
        <x:v>0</x:v>
      </x:c>
      <x:c r="L3908" s="40" t="n">
        <x:f>ABS(K3908)</x:f>
        <x:v>0</x:v>
      </x:c>
      <x:c r="M3908" s="41" t="str">
        <x:v>lstm-soil-v1</x:v>
      </x:c>
    </x:row>
    <x:row r="3909">
      <x:c r="A3909" s="38" t="str">
        <x:v>7月30日现场数据</x:v>
      </x:c>
      <x:c r="B3909" s="39" t="str">
        <x:v>2026-08-03T22:55:00</x:v>
      </x:c>
      <x:c r="C3909" s="39" t="str">
        <x:v>2026-08-03T23:10:00</x:v>
      </x:c>
      <x:c r="D3909" s="47" t="n">
        <x:v>15</x:v>
      </x:c>
      <x:c r="E3909" s="40" t="n">
        <x:v>12.6</x:v>
      </x:c>
      <x:c r="F3909" s="40" t="n">
        <x:v>10.660602569580078</x:v>
      </x:c>
      <x:c r="G3909" s="40" t="n">
        <x:v>12.6</x:v>
      </x:c>
      <x:c r="H3909" s="40" t="n">
        <x:f>F3909-E3909</x:f>
        <x:v>-1.9393974304199215</x:v>
      </x:c>
      <x:c r="I3909" s="40" t="n">
        <x:f>ABS(H3909)</x:f>
        <x:v>1.9393974304199215</x:v>
      </x:c>
      <x:c r="J3909" s="40" t="n">
        <x:f>H3909^2</x:f>
        <x:v>3.7612623931193943</x:v>
      </x:c>
      <x:c r="K3909" s="40" t="n">
        <x:f>G3909-E3909</x:f>
        <x:v>0</x:v>
      </x:c>
      <x:c r="L3909" s="40" t="n">
        <x:f>ABS(K3909)</x:f>
        <x:v>0</x:v>
      </x:c>
      <x:c r="M3909" s="41" t="str">
        <x:v>lstm-soil-v1</x:v>
      </x:c>
    </x:row>
    <x:row r="3910">
      <x:c r="A3910" s="38" t="str">
        <x:v>7月30日现场数据</x:v>
      </x:c>
      <x:c r="B3910" s="39" t="str">
        <x:v>2026-08-03T22:55:00</x:v>
      </x:c>
      <x:c r="C3910" s="39" t="str">
        <x:v>2026-08-03T23:25:00</x:v>
      </x:c>
      <x:c r="D3910" s="47" t="n">
        <x:v>30</x:v>
      </x:c>
      <x:c r="E3910" s="40" t="n">
        <x:v>13.4</x:v>
      </x:c>
      <x:c r="F3910" s="40" t="n">
        <x:v>11.115123748779297</x:v>
      </x:c>
      <x:c r="G3910" s="40" t="n">
        <x:v>12.6</x:v>
      </x:c>
      <x:c r="H3910" s="40" t="n">
        <x:f>F3910-E3910</x:f>
        <x:v>-2.2848762512207035</x:v>
      </x:c>
      <x:c r="I3910" s="40" t="n">
        <x:f>ABS(H3910)</x:f>
        <x:v>2.2848762512207035</x:v>
      </x:c>
      <x:c r="J3910" s="40" t="n">
        <x:f>H3910^2</x:f>
        <x:v>5.220659483392375</x:v>
      </x:c>
      <x:c r="K3910" s="40" t="n">
        <x:f>G3910-E3910</x:f>
        <x:v>-0.8000000000000007</x:v>
      </x:c>
      <x:c r="L3910" s="40" t="n">
        <x:f>ABS(K3910)</x:f>
        <x:v>0.8000000000000007</x:v>
      </x:c>
      <x:c r="M3910" s="41" t="str">
        <x:v>lstm-soil-v1</x:v>
      </x:c>
    </x:row>
    <x:row r="3911">
      <x:c r="A3911" s="38" t="str">
        <x:v>7月30日现场数据</x:v>
      </x:c>
      <x:c r="B3911" s="39" t="str">
        <x:v>2026-08-03T22:55:00</x:v>
      </x:c>
      <x:c r="C3911" s="39" t="str">
        <x:v>2026-08-03T23:55:00</x:v>
      </x:c>
      <x:c r="D3911" s="47" t="n">
        <x:v>60</x:v>
      </x:c>
      <x:c r="E3911" s="40" t="n">
        <x:v>13.2</x:v>
      </x:c>
      <x:c r="F3911" s="40" t="n">
        <x:v>12.736019134521484</x:v>
      </x:c>
      <x:c r="G3911" s="40" t="n">
        <x:v>12.6</x:v>
      </x:c>
      <x:c r="H3911" s="40" t="n">
        <x:f>F3911-E3911</x:f>
        <x:v>-0.4639808654785149</x:v>
      </x:c>
      <x:c r="I3911" s="40" t="n">
        <x:f>ABS(H3911)</x:f>
        <x:v>0.4639808654785149</x:v>
      </x:c>
      <x:c r="J3911" s="40" t="n">
        <x:f>H3911^2</x:f>
        <x:v>0.21527824353019176</x:v>
      </x:c>
      <x:c r="K3911" s="40" t="n">
        <x:f>G3911-E3911</x:f>
        <x:v>-0.5999999999999996</x:v>
      </x:c>
      <x:c r="L3911" s="40" t="n">
        <x:f>ABS(K3911)</x:f>
        <x:v>0.5999999999999996</x:v>
      </x:c>
      <x:c r="M3911" s="41" t="str">
        <x:v>lstm-soil-v1</x:v>
      </x:c>
    </x:row>
    <x:row r="3912">
      <x:c r="A3912" s="38" t="str">
        <x:v>7月30日现场数据</x:v>
      </x:c>
      <x:c r="B3912" s="39" t="str">
        <x:v>2026-08-03T23:00:00</x:v>
      </x:c>
      <x:c r="C3912" s="39" t="str">
        <x:v>2026-08-03T23:05:00</x:v>
      </x:c>
      <x:c r="D3912" s="47" t="n">
        <x:v>5</x:v>
      </x:c>
      <x:c r="E3912" s="40" t="n">
        <x:v>12.6</x:v>
      </x:c>
      <x:c r="F3912" s="40" t="n">
        <x:v>10.597393035888672</x:v>
      </x:c>
      <x:c r="G3912" s="40" t="n">
        <x:v>12.6</x:v>
      </x:c>
      <x:c r="H3912" s="40" t="n">
        <x:f>F3912-E3912</x:f>
        <x:v>-2.0026069641113278</x:v>
      </x:c>
      <x:c r="I3912" s="40" t="n">
        <x:f>ABS(H3912)</x:f>
        <x:v>2.0026069641113278</x:v>
      </x:c>
      <x:c r="J3912" s="40" t="n">
        <x:f>H3912^2</x:f>
        <x:v>4.010434652707189</x:v>
      </x:c>
      <x:c r="K3912" s="40" t="n">
        <x:f>G3912-E3912</x:f>
        <x:v>0</x:v>
      </x:c>
      <x:c r="L3912" s="40" t="n">
        <x:f>ABS(K3912)</x:f>
        <x:v>0</x:v>
      </x:c>
      <x:c r="M3912" s="41" t="str">
        <x:v>lstm-soil-v1</x:v>
      </x:c>
    </x:row>
    <x:row r="3913">
      <x:c r="A3913" s="38" t="str">
        <x:v>7月30日现场数据</x:v>
      </x:c>
      <x:c r="B3913" s="39" t="str">
        <x:v>2026-08-03T23:00:00</x:v>
      </x:c>
      <x:c r="C3913" s="39" t="str">
        <x:v>2026-08-03T23:15:00</x:v>
      </x:c>
      <x:c r="D3913" s="47" t="n">
        <x:v>15</x:v>
      </x:c>
      <x:c r="E3913" s="40" t="n">
        <x:v>12.6</x:v>
      </x:c>
      <x:c r="F3913" s="40" t="n">
        <x:v>10.658184051513672</x:v>
      </x:c>
      <x:c r="G3913" s="40" t="n">
        <x:v>12.6</x:v>
      </x:c>
      <x:c r="H3913" s="40" t="n">
        <x:f>F3913-E3913</x:f>
        <x:v>-1.9418159484863278</x:v>
      </x:c>
      <x:c r="I3913" s="40" t="n">
        <x:f>ABS(H3913)</x:f>
        <x:v>1.9418159484863278</x:v>
      </x:c>
      <x:c r="J3913" s="40" t="n">
        <x:f>H3913^2</x:f>
        <x:v>3.770649177795857</x:v>
      </x:c>
      <x:c r="K3913" s="40" t="n">
        <x:f>G3913-E3913</x:f>
        <x:v>0</x:v>
      </x:c>
      <x:c r="L3913" s="40" t="n">
        <x:f>ABS(K3913)</x:f>
        <x:v>0</x:v>
      </x:c>
      <x:c r="M3913" s="41" t="str">
        <x:v>lstm-soil-v1</x:v>
      </x:c>
    </x:row>
    <x:row r="3914">
      <x:c r="A3914" s="38" t="str">
        <x:v>7月30日现场数据</x:v>
      </x:c>
      <x:c r="B3914" s="39" t="str">
        <x:v>2026-08-03T23:00:00</x:v>
      </x:c>
      <x:c r="C3914" s="39" t="str">
        <x:v>2026-08-03T23:30:00</x:v>
      </x:c>
      <x:c r="D3914" s="47" t="n">
        <x:v>30</x:v>
      </x:c>
      <x:c r="E3914" s="40" t="n">
        <x:v>13.3</x:v>
      </x:c>
      <x:c r="F3914" s="40" t="n">
        <x:v>11.112152099609375</x:v>
      </x:c>
      <x:c r="G3914" s="40" t="n">
        <x:v>12.6</x:v>
      </x:c>
      <x:c r="H3914" s="40" t="n">
        <x:f>F3914-E3914</x:f>
        <x:v>-2.1878479003906257</x:v>
      </x:c>
      <x:c r="I3914" s="40" t="n">
        <x:f>ABS(H3914)</x:f>
        <x:v>2.1878479003906257</x:v>
      </x:c>
      <x:c r="J3914" s="40" t="n">
        <x:f>H3914^2</x:f>
        <x:v>4.786678435243669</x:v>
      </x:c>
      <x:c r="K3914" s="40" t="n">
        <x:f>G3914-E3914</x:f>
        <x:v>-0.7000000000000011</x:v>
      </x:c>
      <x:c r="L3914" s="40" t="n">
        <x:f>ABS(K3914)</x:f>
        <x:v>0.7000000000000011</x:v>
      </x:c>
      <x:c r="M3914" s="41" t="str">
        <x:v>lstm-soil-v1</x:v>
      </x:c>
    </x:row>
    <x:row r="3915">
      <x:c r="A3915" s="38" t="str">
        <x:v>7月30日现场数据</x:v>
      </x:c>
      <x:c r="B3915" s="39" t="str">
        <x:v>2026-08-03T23:00:00</x:v>
      </x:c>
      <x:c r="C3915" s="39" t="str">
        <x:v>2026-08-04T00:00:00</x:v>
      </x:c>
      <x:c r="D3915" s="47" t="n">
        <x:v>60</x:v>
      </x:c>
      <x:c r="E3915" s="40" t="n">
        <x:v>13.2</x:v>
      </x:c>
      <x:c r="F3915" s="40" t="n">
        <x:v>12.728843688964844</x:v>
      </x:c>
      <x:c r="G3915" s="40" t="n">
        <x:v>12.6</x:v>
      </x:c>
      <x:c r="H3915" s="40" t="n">
        <x:f>F3915-E3915</x:f>
        <x:v>-0.47115631103515554</x:v>
      </x:c>
      <x:c r="I3915" s="40" t="n">
        <x:f>ABS(H3915)</x:f>
        <x:v>0.47115631103515554</x:v>
      </x:c>
      <x:c r="J3915" s="40" t="n">
        <x:f>H3915^2</x:f>
        <x:v>0.22198826942825622</x:v>
      </x:c>
      <x:c r="K3915" s="40" t="n">
        <x:f>G3915-E3915</x:f>
        <x:v>-0.5999999999999996</x:v>
      </x:c>
      <x:c r="L3915" s="40" t="n">
        <x:f>ABS(K3915)</x:f>
        <x:v>0.5999999999999996</x:v>
      </x:c>
      <x:c r="M3915" s="41" t="str">
        <x:v>lstm-soil-v1</x:v>
      </x:c>
    </x:row>
    <x:row r="3916">
      <x:c r="A3916" s="38" t="str">
        <x:v>7月30日现场数据</x:v>
      </x:c>
      <x:c r="B3916" s="39" t="str">
        <x:v>2026-08-03T23:05:00</x:v>
      </x:c>
      <x:c r="C3916" s="39" t="str">
        <x:v>2026-08-03T23:10:00</x:v>
      </x:c>
      <x:c r="D3916" s="47" t="n">
        <x:v>5</x:v>
      </x:c>
      <x:c r="E3916" s="40" t="n">
        <x:v>12.6</x:v>
      </x:c>
      <x:c r="F3916" s="40" t="n">
        <x:v>10.595813751220703</x:v>
      </x:c>
      <x:c r="G3916" s="40" t="n">
        <x:v>12.6</x:v>
      </x:c>
      <x:c r="H3916" s="40" t="n">
        <x:f>F3916-E3916</x:f>
        <x:v>-2.0041862487792965</x:v>
      </x:c>
      <x:c r="I3916" s="40" t="n">
        <x:f>ABS(H3916)</x:f>
        <x:v>2.0041862487792965</x:v>
      </x:c>
      <x:c r="J3916" s="40" t="n">
        <x:f>H3916^2</x:f>
        <x:v>4.016762519796028</x:v>
      </x:c>
      <x:c r="K3916" s="40" t="n">
        <x:f>G3916-E3916</x:f>
        <x:v>0</x:v>
      </x:c>
      <x:c r="L3916" s="40" t="n">
        <x:f>ABS(K3916)</x:f>
        <x:v>0</x:v>
      </x:c>
      <x:c r="M3916" s="41" t="str">
        <x:v>lstm-soil-v1</x:v>
      </x:c>
    </x:row>
    <x:row r="3917">
      <x:c r="A3917" s="38" t="str">
        <x:v>7月30日现场数据</x:v>
      </x:c>
      <x:c r="B3917" s="39" t="str">
        <x:v>2026-08-03T23:05:00</x:v>
      </x:c>
      <x:c r="C3917" s="39" t="str">
        <x:v>2026-08-03T23:20:00</x:v>
      </x:c>
      <x:c r="D3917" s="47" t="n">
        <x:v>15</x:v>
      </x:c>
      <x:c r="E3917" s="40" t="n">
        <x:v>13.4</x:v>
      </x:c>
      <x:c r="F3917" s="40" t="n">
        <x:v>10.656852722167969</x:v>
      </x:c>
      <x:c r="G3917" s="40" t="n">
        <x:v>12.6</x:v>
      </x:c>
      <x:c r="H3917" s="40" t="n">
        <x:f>F3917-E3917</x:f>
        <x:v>-2.7431472778320316</x:v>
      </x:c>
      <x:c r="I3917" s="40" t="n">
        <x:f>ABS(H3917)</x:f>
        <x:v>2.7431472778320316</x:v>
      </x:c>
      <x:c r="J3917" s="40" t="n">
        <x:f>H3917^2</x:f>
        <x:v>7.5248569878772855</x:v>
      </x:c>
      <x:c r="K3917" s="40" t="n">
        <x:f>G3917-E3917</x:f>
        <x:v>-0.8000000000000007</x:v>
      </x:c>
      <x:c r="L3917" s="40" t="n">
        <x:f>ABS(K3917)</x:f>
        <x:v>0.8000000000000007</x:v>
      </x:c>
      <x:c r="M3917" s="41" t="str">
        <x:v>lstm-soil-v1</x:v>
      </x:c>
    </x:row>
    <x:row r="3918">
      <x:c r="A3918" s="38" t="str">
        <x:v>7月30日现场数据</x:v>
      </x:c>
      <x:c r="B3918" s="39" t="str">
        <x:v>2026-08-03T23:05:00</x:v>
      </x:c>
      <x:c r="C3918" s="39" t="str">
        <x:v>2026-08-03T23:35:00</x:v>
      </x:c>
      <x:c r="D3918" s="47" t="n">
        <x:v>30</x:v>
      </x:c>
      <x:c r="E3918" s="40" t="n">
        <x:v>13.3</x:v>
      </x:c>
      <x:c r="F3918" s="40" t="n">
        <x:v>11.112255096435547</x:v>
      </x:c>
      <x:c r="G3918" s="40" t="n">
        <x:v>12.6</x:v>
      </x:c>
      <x:c r="H3918" s="40" t="n">
        <x:f>F3918-E3918</x:f>
        <x:v>-2.187744903564454</x:v>
      </x:c>
      <x:c r="I3918" s="40" t="n">
        <x:f>ABS(H3918)</x:f>
        <x:v>2.187744903564454</x:v>
      </x:c>
      <x:c r="J3918" s="40" t="n">
        <x:f>H3918^2</x:f>
        <x:v>4.786227763072241</x:v>
      </x:c>
      <x:c r="K3918" s="40" t="n">
        <x:f>G3918-E3918</x:f>
        <x:v>-0.7000000000000011</x:v>
      </x:c>
      <x:c r="L3918" s="40" t="n">
        <x:f>ABS(K3918)</x:f>
        <x:v>0.7000000000000011</x:v>
      </x:c>
      <x:c r="M3918" s="41" t="str">
        <x:v>lstm-soil-v1</x:v>
      </x:c>
    </x:row>
    <x:row r="3919">
      <x:c r="A3919" s="38" t="str">
        <x:v>7月30日现场数据</x:v>
      </x:c>
      <x:c r="B3919" s="39" t="str">
        <x:v>2026-08-03T23:05:00</x:v>
      </x:c>
      <x:c r="C3919" s="39" t="str">
        <x:v>2026-08-04T00:05:00</x:v>
      </x:c>
      <x:c r="D3919" s="47" t="n">
        <x:v>60</x:v>
      </x:c>
      <x:c r="E3919" s="40" t="n">
        <x:v>13.2</x:v>
      </x:c>
      <x:c r="F3919" s="40" t="n">
        <x:v>12.724136352539062</x:v>
      </x:c>
      <x:c r="G3919" s="40" t="n">
        <x:v>12.6</x:v>
      </x:c>
      <x:c r="H3919" s="40" t="n">
        <x:f>F3919-E3919</x:f>
        <x:v>-0.4758636474609368</x:v>
      </x:c>
      <x:c r="I3919" s="40" t="n">
        <x:f>ABS(H3919)</x:f>
        <x:v>0.4758636474609368</x:v>
      </x:c>
      <x:c r="J3919" s="40" t="n">
        <x:f>H3919^2</x:f>
        <x:v>0.22644621097482673</x:v>
      </x:c>
      <x:c r="K3919" s="40" t="n">
        <x:f>G3919-E3919</x:f>
        <x:v>-0.5999999999999996</x:v>
      </x:c>
      <x:c r="L3919" s="40" t="n">
        <x:f>ABS(K3919)</x:f>
        <x:v>0.5999999999999996</x:v>
      </x:c>
      <x:c r="M3919" s="41" t="str">
        <x:v>lstm-soil-v1</x:v>
      </x:c>
    </x:row>
    <x:row r="3920">
      <x:c r="A3920" s="38" t="str">
        <x:v>7月30日现场数据</x:v>
      </x:c>
      <x:c r="B3920" s="39" t="str">
        <x:v>2026-08-03T23:10:00</x:v>
      </x:c>
      <x:c r="C3920" s="39" t="str">
        <x:v>2026-08-03T23:15:00</x:v>
      </x:c>
      <x:c r="D3920" s="47" t="n">
        <x:v>5</x:v>
      </x:c>
      <x:c r="E3920" s="40" t="n">
        <x:v>12.6</x:v>
      </x:c>
      <x:c r="F3920" s="40" t="n">
        <x:v>10.595157623291016</x:v>
      </x:c>
      <x:c r="G3920" s="40" t="n">
        <x:v>12.6</x:v>
      </x:c>
      <x:c r="H3920" s="40" t="n">
        <x:f>F3920-E3920</x:f>
        <x:v>-2.004842376708984</x:v>
      </x:c>
      <x:c r="I3920" s="40" t="n">
        <x:f>ABS(H3920)</x:f>
        <x:v>2.004842376708984</x:v>
      </x:c>
      <x:c r="J3920" s="40" t="n">
        <x:f>H3920^2</x:f>
        <x:v>4.019392955448128</x:v>
      </x:c>
      <x:c r="K3920" s="40" t="n">
        <x:f>G3920-E3920</x:f>
        <x:v>0</x:v>
      </x:c>
      <x:c r="L3920" s="40" t="n">
        <x:f>ABS(K3920)</x:f>
        <x:v>0</x:v>
      </x:c>
      <x:c r="M3920" s="41" t="str">
        <x:v>lstm-soil-v1</x:v>
      </x:c>
    </x:row>
    <x:row r="3921">
      <x:c r="A3921" s="38" t="str">
        <x:v>7月30日现场数据</x:v>
      </x:c>
      <x:c r="B3921" s="39" t="str">
        <x:v>2026-08-03T23:10:00</x:v>
      </x:c>
      <x:c r="C3921" s="39" t="str">
        <x:v>2026-08-03T23:25:00</x:v>
      </x:c>
      <x:c r="D3921" s="47" t="n">
        <x:v>15</x:v>
      </x:c>
      <x:c r="E3921" s="40" t="n">
        <x:v>13.4</x:v>
      </x:c>
      <x:c r="F3921" s="40" t="n">
        <x:v>10.656185150146484</x:v>
      </x:c>
      <x:c r="G3921" s="40" t="n">
        <x:v>12.6</x:v>
      </x:c>
      <x:c r="H3921" s="40" t="n">
        <x:f>F3921-E3921</x:f>
        <x:v>-2.743814849853516</x:v>
      </x:c>
      <x:c r="I3921" s="40" t="n">
        <x:f>ABS(H3921)</x:f>
        <x:v>2.743814849853516</x:v>
      </x:c>
      <x:c r="J3921" s="40" t="n">
        <x:f>H3921^2</x:f>
        <x:v>7.528519930276673</x:v>
      </x:c>
      <x:c r="K3921" s="40" t="n">
        <x:f>G3921-E3921</x:f>
        <x:v>-0.8000000000000007</x:v>
      </x:c>
      <x:c r="L3921" s="40" t="n">
        <x:f>ABS(K3921)</x:f>
        <x:v>0.8000000000000007</x:v>
      </x:c>
      <x:c r="M3921" s="41" t="str">
        <x:v>lstm-soil-v1</x:v>
      </x:c>
    </x:row>
    <x:row r="3922">
      <x:c r="A3922" s="38" t="str">
        <x:v>7月30日现场数据</x:v>
      </x:c>
      <x:c r="B3922" s="39" t="str">
        <x:v>2026-08-03T23:10:00</x:v>
      </x:c>
      <x:c r="C3922" s="39" t="str">
        <x:v>2026-08-03T23:40:00</x:v>
      </x:c>
      <x:c r="D3922" s="47" t="n">
        <x:v>30</x:v>
      </x:c>
      <x:c r="E3922" s="40" t="n">
        <x:v>13.2</x:v>
      </x:c>
      <x:c r="F3922" s="40" t="n">
        <x:v>11.11361312866211</x:v>
      </x:c>
      <x:c r="G3922" s="40" t="n">
        <x:v>12.6</x:v>
      </x:c>
      <x:c r="H3922" s="40" t="n">
        <x:f>F3922-E3922</x:f>
        <x:v>-2.08638687133789</x:v>
      </x:c>
      <x:c r="I3922" s="40" t="n">
        <x:f>ABS(H3922)</x:f>
        <x:v>2.08638687133789</x:v>
      </x:c>
      <x:c r="J3922" s="40" t="n">
        <x:f>H3922^2</x:f>
        <x:v>4.353010176891109</x:v>
      </x:c>
      <x:c r="K3922" s="40" t="n">
        <x:f>G3922-E3922</x:f>
        <x:v>-0.5999999999999996</x:v>
      </x:c>
      <x:c r="L3922" s="40" t="n">
        <x:f>ABS(K3922)</x:f>
        <x:v>0.5999999999999996</x:v>
      </x:c>
      <x:c r="M3922" s="41" t="str">
        <x:v>lstm-soil-v1</x:v>
      </x:c>
    </x:row>
    <x:row r="3923">
      <x:c r="A3923" s="38" t="str">
        <x:v>7月30日现场数据</x:v>
      </x:c>
      <x:c r="B3923" s="39" t="str">
        <x:v>2026-08-03T23:10:00</x:v>
      </x:c>
      <x:c r="C3923" s="39" t="str">
        <x:v>2026-08-04T00:10:00</x:v>
      </x:c>
      <x:c r="D3923" s="47" t="n">
        <x:v>60</x:v>
      </x:c>
      <x:c r="E3923" s="40" t="n">
        <x:v>13.2</x:v>
      </x:c>
      <x:c r="F3923" s="40" t="n">
        <x:v>12.721210479736328</x:v>
      </x:c>
      <x:c r="G3923" s="40" t="n">
        <x:v>12.6</x:v>
      </x:c>
      <x:c r="H3923" s="40" t="n">
        <x:f>F3923-E3923</x:f>
        <x:v>-0.47878952026367116</x:v>
      </x:c>
      <x:c r="I3923" s="40" t="n">
        <x:f>ABS(H3923)</x:f>
        <x:v>0.47878952026367116</x:v>
      </x:c>
      <x:c r="J3923" s="40" t="n">
        <x:f>H3923^2</x:f>
        <x:v>0.2292394047143164</x:v>
      </x:c>
      <x:c r="K3923" s="40" t="n">
        <x:f>G3923-E3923</x:f>
        <x:v>-0.5999999999999996</x:v>
      </x:c>
      <x:c r="L3923" s="40" t="n">
        <x:f>ABS(K3923)</x:f>
        <x:v>0.5999999999999996</x:v>
      </x:c>
      <x:c r="M3923" s="41" t="str">
        <x:v>lstm-soil-v1</x:v>
      </x:c>
    </x:row>
    <x:row r="3924">
      <x:c r="A3924" s="38" t="str">
        <x:v>7月30日现场数据</x:v>
      </x:c>
      <x:c r="B3924" s="39" t="str">
        <x:v>2026-08-03T23:15:00</x:v>
      </x:c>
      <x:c r="C3924" s="39" t="str">
        <x:v>2026-08-03T23:20:00</x:v>
      </x:c>
      <x:c r="D3924" s="47" t="n">
        <x:v>5</x:v>
      </x:c>
      <x:c r="E3924" s="40" t="n">
        <x:v>13.4</x:v>
      </x:c>
      <x:c r="F3924" s="40" t="n">
        <x:v>10.595149993896484</x:v>
      </x:c>
      <x:c r="G3924" s="40" t="n">
        <x:v>12.6</x:v>
      </x:c>
      <x:c r="H3924" s="40" t="n">
        <x:f>F3924-E3924</x:f>
        <x:v>-2.804850006103516</x:v>
      </x:c>
      <x:c r="I3924" s="40" t="n">
        <x:f>ABS(H3924)</x:f>
        <x:v>2.804850006103516</x:v>
      </x:c>
      <x:c r="J3924" s="40" t="n">
        <x:f>H3924^2</x:f>
        <x:v>7.867183556738894</x:v>
      </x:c>
      <x:c r="K3924" s="40" t="n">
        <x:f>G3924-E3924</x:f>
        <x:v>-0.8000000000000007</x:v>
      </x:c>
      <x:c r="L3924" s="40" t="n">
        <x:f>ABS(K3924)</x:f>
        <x:v>0.8000000000000007</x:v>
      </x:c>
      <x:c r="M3924" s="41" t="str">
        <x:v>lstm-soil-v1</x:v>
      </x:c>
    </x:row>
    <x:row r="3925">
      <x:c r="A3925" s="38" t="str">
        <x:v>7月30日现场数据</x:v>
      </x:c>
      <x:c r="B3925" s="39" t="str">
        <x:v>2026-08-03T23:15:00</x:v>
      </x:c>
      <x:c r="C3925" s="39" t="str">
        <x:v>2026-08-03T23:30:00</x:v>
      </x:c>
      <x:c r="D3925" s="47" t="n">
        <x:v>15</x:v>
      </x:c>
      <x:c r="E3925" s="40" t="n">
        <x:v>13.3</x:v>
      </x:c>
      <x:c r="F3925" s="40" t="n">
        <x:v>10.65582275390625</x:v>
      </x:c>
      <x:c r="G3925" s="40" t="n">
        <x:v>12.6</x:v>
      </x:c>
      <x:c r="H3925" s="40" t="n">
        <x:f>F3925-E3925</x:f>
        <x:v>-2.6441772460937507</x:v>
      </x:c>
      <x:c r="I3925" s="40" t="n">
        <x:f>ABS(H3925)</x:f>
        <x:v>2.6441772460937507</x:v>
      </x:c>
      <x:c r="J3925" s="40" t="n">
        <x:f>H3925^2</x:f>
        <x:v>6.991673308759932</x:v>
      </x:c>
      <x:c r="K3925" s="40" t="n">
        <x:f>G3925-E3925</x:f>
        <x:v>-0.7000000000000011</x:v>
      </x:c>
      <x:c r="L3925" s="40" t="n">
        <x:f>ABS(K3925)</x:f>
        <x:v>0.7000000000000011</x:v>
      </x:c>
      <x:c r="M3925" s="41" t="str">
        <x:v>lstm-soil-v1</x:v>
      </x:c>
    </x:row>
    <x:row r="3926">
      <x:c r="A3926" s="38" t="str">
        <x:v>7月30日现场数据</x:v>
      </x:c>
      <x:c r="B3926" s="39" t="str">
        <x:v>2026-08-03T23:15:00</x:v>
      </x:c>
      <x:c r="C3926" s="39" t="str">
        <x:v>2026-08-03T23:45:00</x:v>
      </x:c>
      <x:c r="D3926" s="47" t="n">
        <x:v>30</x:v>
      </x:c>
      <x:c r="E3926" s="40" t="n">
        <x:v>13.3</x:v>
      </x:c>
      <x:c r="F3926" s="40" t="n">
        <x:v>11.115379333496094</x:v>
      </x:c>
      <x:c r="G3926" s="40" t="n">
        <x:v>12.6</x:v>
      </x:c>
      <x:c r="H3926" s="40" t="n">
        <x:f>F3926-E3926</x:f>
        <x:v>-2.184620666503907</x:v>
      </x:c>
      <x:c r="I3926" s="40" t="n">
        <x:f>ABS(H3926)</x:f>
        <x:v>2.184620666503907</x:v>
      </x:c>
      <x:c r="J3926" s="40" t="n">
        <x:f>H3926^2</x:f>
        <x:v>4.772567456515975</x:v>
      </x:c>
      <x:c r="K3926" s="40" t="n">
        <x:f>G3926-E3926</x:f>
        <x:v>-0.7000000000000011</x:v>
      </x:c>
      <x:c r="L3926" s="40" t="n">
        <x:f>ABS(K3926)</x:f>
        <x:v>0.7000000000000011</x:v>
      </x:c>
      <x:c r="M3926" s="41" t="str">
        <x:v>lstm-soil-v1</x:v>
      </x:c>
    </x:row>
    <x:row r="3927">
      <x:c r="A3927" s="38" t="str">
        <x:v>7月30日现场数据</x:v>
      </x:c>
      <x:c r="B3927" s="39" t="str">
        <x:v>2026-08-03T23:15:00</x:v>
      </x:c>
      <x:c r="C3927" s="39" t="str">
        <x:v>2026-08-04T00:15:00</x:v>
      </x:c>
      <x:c r="D3927" s="47" t="n">
        <x:v>60</x:v>
      </x:c>
      <x:c r="E3927" s="40" t="n">
        <x:v>13.2</x:v>
      </x:c>
      <x:c r="F3927" s="40" t="n">
        <x:v>12.719894409179688</x:v>
      </x:c>
      <x:c r="G3927" s="40" t="n">
        <x:v>12.6</x:v>
      </x:c>
      <x:c r="H3927" s="40" t="n">
        <x:f>F3927-E3927</x:f>
        <x:v>-0.4801055908203118</x:v>
      </x:c>
      <x:c r="I3927" s="40" t="n">
        <x:f>ABS(H3927)</x:f>
        <x:v>0.4801055908203118</x:v>
      </x:c>
      <x:c r="J3927" s="40" t="n">
        <x:f>H3927^2</x:f>
        <x:v>0.23050137833692066</x:v>
      </x:c>
      <x:c r="K3927" s="40" t="n">
        <x:f>G3927-E3927</x:f>
        <x:v>-0.5999999999999996</x:v>
      </x:c>
      <x:c r="L3927" s="40" t="n">
        <x:f>ABS(K3927)</x:f>
        <x:v>0.5999999999999996</x:v>
      </x:c>
      <x:c r="M3927" s="41" t="str">
        <x:v>lstm-soil-v1</x:v>
      </x:c>
    </x:row>
    <x:row r="3928">
      <x:c r="A3928" s="38" t="str">
        <x:v>7月30日现场数据</x:v>
      </x:c>
      <x:c r="B3928" s="39" t="str">
        <x:v>2026-08-03T23:20:00</x:v>
      </x:c>
      <x:c r="C3928" s="39" t="str">
        <x:v>2026-08-03T23:25:00</x:v>
      </x:c>
      <x:c r="D3928" s="47" t="n">
        <x:v>5</x:v>
      </x:c>
      <x:c r="E3928" s="40" t="n">
        <x:v>13.4</x:v>
      </x:c>
      <x:c r="F3928" s="40" t="n">
        <x:v>11.4779052734375</x:v>
      </x:c>
      <x:c r="G3928" s="40" t="n">
        <x:v>13.4</x:v>
      </x:c>
      <x:c r="H3928" s="40" t="n">
        <x:f>F3928-E3928</x:f>
        <x:v>-1.9220947265625004</x:v>
      </x:c>
      <x:c r="I3928" s="40" t="n">
        <x:f>ABS(H3928)</x:f>
        <x:v>1.9220947265625004</x:v>
      </x:c>
      <x:c r="J3928" s="40" t="n">
        <x:f>H3928^2</x:f>
        <x:v>3.694448137879373</x:v>
      </x:c>
      <x:c r="K3928" s="40" t="n">
        <x:f>G3928-E3928</x:f>
        <x:v>0</x:v>
      </x:c>
      <x:c r="L3928" s="40" t="n">
        <x:f>ABS(K3928)</x:f>
        <x:v>0</x:v>
      </x:c>
      <x:c r="M3928" s="41" t="str">
        <x:v>lstm-soil-v1</x:v>
      </x:c>
    </x:row>
    <x:row r="3929">
      <x:c r="A3929" s="38" t="str">
        <x:v>7月30日现场数据</x:v>
      </x:c>
      <x:c r="B3929" s="39" t="str">
        <x:v>2026-08-03T23:20:00</x:v>
      </x:c>
      <x:c r="C3929" s="39" t="str">
        <x:v>2026-08-03T23:35:00</x:v>
      </x:c>
      <x:c r="D3929" s="47" t="n">
        <x:v>15</x:v>
      </x:c>
      <x:c r="E3929" s="40" t="n">
        <x:v>13.3</x:v>
      </x:c>
      <x:c r="F3929" s="40" t="n">
        <x:v>11.537471771240234</x:v>
      </x:c>
      <x:c r="G3929" s="40" t="n">
        <x:v>13.4</x:v>
      </x:c>
      <x:c r="H3929" s="40" t="n">
        <x:f>F3929-E3929</x:f>
        <x:v>-1.7625282287597663</x:v>
      </x:c>
      <x:c r="I3929" s="40" t="n">
        <x:f>ABS(H3929)</x:f>
        <x:v>1.7625282287597663</x:v>
      </x:c>
      <x:c r="J3929" s="40" t="n">
        <x:f>H3929^2</x:f>
        <x:v>3.1065057571750394</x:v>
      </x:c>
      <x:c r="K3929" s="40" t="n">
        <x:f>G3929-E3929</x:f>
        <x:v>0.09999999999999964</x:v>
      </x:c>
      <x:c r="L3929" s="40" t="n">
        <x:f>ABS(K3929)</x:f>
        <x:v>0.09999999999999964</x:v>
      </x:c>
      <x:c r="M3929" s="41" t="str">
        <x:v>lstm-soil-v1</x:v>
      </x:c>
    </x:row>
    <x:row r="3930">
      <x:c r="A3930" s="38" t="str">
        <x:v>7月30日现场数据</x:v>
      </x:c>
      <x:c r="B3930" s="39" t="str">
        <x:v>2026-08-03T23:20:00</x:v>
      </x:c>
      <x:c r="C3930" s="39" t="str">
        <x:v>2026-08-03T23:50:00</x:v>
      </x:c>
      <x:c r="D3930" s="47" t="n">
        <x:v>30</x:v>
      </x:c>
      <x:c r="E3930" s="40" t="n">
        <x:v>13.2</x:v>
      </x:c>
      <x:c r="F3930" s="40" t="n">
        <x:v>11.999019622802734</x:v>
      </x:c>
      <x:c r="G3930" s="40" t="n">
        <x:v>13.4</x:v>
      </x:c>
      <x:c r="H3930" s="40" t="n">
        <x:f>F3930-E3930</x:f>
        <x:v>-1.200980377197265</x:v>
      </x:c>
      <x:c r="I3930" s="40" t="n">
        <x:f>ABS(H3930)</x:f>
        <x:v>1.200980377197265</x:v>
      </x:c>
      <x:c r="J3930" s="40" t="n">
        <x:f>H3930^2</x:f>
        <x:v>1.4423538664128848</x:v>
      </x:c>
      <x:c r="K3930" s="40" t="n">
        <x:f>G3930-E3930</x:f>
        <x:v>0.20000000000000107</x:v>
      </x:c>
      <x:c r="L3930" s="40" t="n">
        <x:f>ABS(K3930)</x:f>
        <x:v>0.20000000000000107</x:v>
      </x:c>
      <x:c r="M3930" s="41" t="str">
        <x:v>lstm-soil-v1</x:v>
      </x:c>
    </x:row>
    <x:row r="3931">
      <x:c r="A3931" s="38" t="str">
        <x:v>7月30日现场数据</x:v>
      </x:c>
      <x:c r="B3931" s="39" t="str">
        <x:v>2026-08-03T23:20:00</x:v>
      </x:c>
      <x:c r="C3931" s="39" t="str">
        <x:v>2026-08-04T00:20:00</x:v>
      </x:c>
      <x:c r="D3931" s="47" t="n">
        <x:v>60</x:v>
      </x:c>
      <x:c r="E3931" s="40" t="n">
        <x:v>13.2</x:v>
      </x:c>
      <x:c r="F3931" s="40" t="n">
        <x:v>13.601860046386719</x:v>
      </x:c>
      <x:c r="G3931" s="40" t="n">
        <x:v>13.4</x:v>
      </x:c>
      <x:c r="H3931" s="40" t="n">
        <x:f>F3931-E3931</x:f>
        <x:v>0.40186004638671946</x:v>
      </x:c>
      <x:c r="I3931" s="40" t="n">
        <x:f>ABS(H3931)</x:f>
        <x:v>0.40186004638671946</x:v>
      </x:c>
      <x:c r="J3931" s="40" t="n">
        <x:f>H3931^2</x:f>
        <x:v>0.16149149688193631</x:v>
      </x:c>
      <x:c r="K3931" s="40" t="n">
        <x:f>G3931-E3931</x:f>
        <x:v>0.20000000000000107</x:v>
      </x:c>
      <x:c r="L3931" s="40" t="n">
        <x:f>ABS(K3931)</x:f>
        <x:v>0.20000000000000107</x:v>
      </x:c>
      <x:c r="M3931" s="41" t="str">
        <x:v>lstm-soil-v1</x:v>
      </x:c>
    </x:row>
    <x:row r="3932">
      <x:c r="A3932" s="38" t="str">
        <x:v>7月30日现场数据</x:v>
      </x:c>
      <x:c r="B3932" s="39" t="str">
        <x:v>2026-08-03T23:25:00</x:v>
      </x:c>
      <x:c r="C3932" s="39" t="str">
        <x:v>2026-08-03T23:30:00</x:v>
      </x:c>
      <x:c r="D3932" s="47" t="n">
        <x:v>5</x:v>
      </x:c>
      <x:c r="E3932" s="40" t="n">
        <x:v>13.3</x:v>
      </x:c>
      <x:c r="F3932" s="40" t="n">
        <x:v>11.479644775390625</x:v>
      </x:c>
      <x:c r="G3932" s="40" t="n">
        <x:v>13.4</x:v>
      </x:c>
      <x:c r="H3932" s="40" t="n">
        <x:f>F3932-E3932</x:f>
        <x:v>-1.8203552246093757</x:v>
      </x:c>
      <x:c r="I3932" s="40" t="n">
        <x:f>ABS(H3932)</x:f>
        <x:v>1.8203552246093757</x:v>
      </x:c>
      <x:c r="J3932" s="40" t="n">
        <x:f>H3932^2</x:f>
        <x:v>3.313693143762651</x:v>
      </x:c>
      <x:c r="K3932" s="40" t="n">
        <x:f>G3932-E3932</x:f>
        <x:v>0.09999999999999964</x:v>
      </x:c>
      <x:c r="L3932" s="40" t="n">
        <x:f>ABS(K3932)</x:f>
        <x:v>0.09999999999999964</x:v>
      </x:c>
      <x:c r="M3932" s="41" t="str">
        <x:v>lstm-soil-v1</x:v>
      </x:c>
    </x:row>
    <x:row r="3933">
      <x:c r="A3933" s="38" t="str">
        <x:v>7月30日现场数据</x:v>
      </x:c>
      <x:c r="B3933" s="39" t="str">
        <x:v>2026-08-03T23:25:00</x:v>
      </x:c>
      <x:c r="C3933" s="39" t="str">
        <x:v>2026-08-03T23:40:00</x:v>
      </x:c>
      <x:c r="D3933" s="47" t="n">
        <x:v>15</x:v>
      </x:c>
      <x:c r="E3933" s="40" t="n">
        <x:v>13.2</x:v>
      </x:c>
      <x:c r="F3933" s="40" t="n">
        <x:v>11.538482666015625</x:v>
      </x:c>
      <x:c r="G3933" s="40" t="n">
        <x:v>13.4</x:v>
      </x:c>
      <x:c r="H3933" s="40" t="n">
        <x:f>F3933-E3933</x:f>
        <x:v>-1.6615173339843743</x:v>
      </x:c>
      <x:c r="I3933" s="40" t="n">
        <x:f>ABS(H3933)</x:f>
        <x:v>1.6615173339843743</x:v>
      </x:c>
      <x:c r="J3933" s="40" t="n">
        <x:f>H3933^2</x:f>
        <x:v>2.7606398511305428</x:v>
      </x:c>
      <x:c r="K3933" s="40" t="n">
        <x:f>G3933-E3933</x:f>
        <x:v>0.20000000000000107</x:v>
      </x:c>
      <x:c r="L3933" s="40" t="n">
        <x:f>ABS(K3933)</x:f>
        <x:v>0.20000000000000107</x:v>
      </x:c>
      <x:c r="M3933" s="41" t="str">
        <x:v>lstm-soil-v1</x:v>
      </x:c>
    </x:row>
    <x:row r="3934">
      <x:c r="A3934" s="38" t="str">
        <x:v>7月30日现场数据</x:v>
      </x:c>
      <x:c r="B3934" s="39" t="str">
        <x:v>2026-08-03T23:25:00</x:v>
      </x:c>
      <x:c r="C3934" s="39" t="str">
        <x:v>2026-08-03T23:55:00</x:v>
      </x:c>
      <x:c r="D3934" s="47" t="n">
        <x:v>30</x:v>
      </x:c>
      <x:c r="E3934" s="40" t="n">
        <x:v>13.2</x:v>
      </x:c>
      <x:c r="F3934" s="40" t="n">
        <x:v>12.000904083251953</x:v>
      </x:c>
      <x:c r="G3934" s="40" t="n">
        <x:v>13.4</x:v>
      </x:c>
      <x:c r="H3934" s="40" t="n">
        <x:f>F3934-E3934</x:f>
        <x:v>-1.1990959167480462</x:v>
      </x:c>
      <x:c r="I3934" s="40" t="n">
        <x:f>ABS(H3934)</x:f>
        <x:v>1.1990959167480462</x:v>
      </x:c>
      <x:c r="J3934" s="40" t="n">
        <x:f>H3934^2</x:f>
        <x:v>1.4378310175618372</x:v>
      </x:c>
      <x:c r="K3934" s="40" t="n">
        <x:f>G3934-E3934</x:f>
        <x:v>0.20000000000000107</x:v>
      </x:c>
      <x:c r="L3934" s="40" t="n">
        <x:f>ABS(K3934)</x:f>
        <x:v>0.20000000000000107</x:v>
      </x:c>
      <x:c r="M3934" s="41" t="str">
        <x:v>lstm-soil-v1</x:v>
      </x:c>
    </x:row>
    <x:row r="3935">
      <x:c r="A3935" s="38" t="str">
        <x:v>7月30日现场数据</x:v>
      </x:c>
      <x:c r="B3935" s="39" t="str">
        <x:v>2026-08-03T23:25:00</x:v>
      </x:c>
      <x:c r="C3935" s="39" t="str">
        <x:v>2026-08-04T00:25:00</x:v>
      </x:c>
      <x:c r="D3935" s="47" t="n">
        <x:v>60</x:v>
      </x:c>
      <x:c r="E3935" s="40" t="n">
        <x:v>13.1</x:v>
      </x:c>
      <x:c r="F3935" s="40" t="n">
        <x:v>13.603023529052734</x:v>
      </x:c>
      <x:c r="G3935" s="40" t="n">
        <x:v>13.4</x:v>
      </x:c>
      <x:c r="H3935" s="40" t="n">
        <x:f>F3935-E3935</x:f>
        <x:v>0.5030235290527347</x:v>
      </x:c>
      <x:c r="I3935" s="40" t="n">
        <x:f>ABS(H3935)</x:f>
        <x:v>0.5030235290527347</x:v>
      </x:c>
      <x:c r="J3935" s="40" t="n">
        <x:f>H3935^2</x:f>
        <x:v>0.25303267078066743</x:v>
      </x:c>
      <x:c r="K3935" s="40" t="n">
        <x:f>G3935-E3935</x:f>
        <x:v>0.3000000000000007</x:v>
      </x:c>
      <x:c r="L3935" s="40" t="n">
        <x:f>ABS(K3935)</x:f>
        <x:v>0.3000000000000007</x:v>
      </x:c>
      <x:c r="M3935" s="41" t="str">
        <x:v>lstm-soil-v1</x:v>
      </x:c>
    </x:row>
    <x:row r="3936">
      <x:c r="A3936" s="38" t="str">
        <x:v>7月30日现场数据</x:v>
      </x:c>
      <x:c r="B3936" s="39" t="str">
        <x:v>2026-08-03T23:30:00</x:v>
      </x:c>
      <x:c r="C3936" s="39" t="str">
        <x:v>2026-08-03T23:35:00</x:v>
      </x:c>
      <x:c r="D3936" s="47" t="n">
        <x:v>5</x:v>
      </x:c>
      <x:c r="E3936" s="40" t="n">
        <x:v>13.3</x:v>
      </x:c>
      <x:c r="F3936" s="40" t="n">
        <x:v>11.3702392578125</x:v>
      </x:c>
      <x:c r="G3936" s="40" t="n">
        <x:v>13.3</x:v>
      </x:c>
      <x:c r="H3936" s="40" t="n">
        <x:f>F3936-E3936</x:f>
        <x:v>-1.9297607421875007</x:v>
      </x:c>
      <x:c r="I3936" s="40" t="n">
        <x:f>ABS(H3936)</x:f>
        <x:v>1.9297607421875007</x:v>
      </x:c>
      <x:c r="J3936" s="40" t="n">
        <x:f>H3936^2</x:f>
        <x:v>3.7239765220880536</x:v>
      </x:c>
      <x:c r="K3936" s="40" t="n">
        <x:f>G3936-E3936</x:f>
        <x:v>0</x:v>
      </x:c>
      <x:c r="L3936" s="40" t="n">
        <x:f>ABS(K3936)</x:f>
        <x:v>0</x:v>
      </x:c>
      <x:c r="M3936" s="41" t="str">
        <x:v>lstm-soil-v1</x:v>
      </x:c>
    </x:row>
    <x:row r="3937">
      <x:c r="A3937" s="38" t="str">
        <x:v>7月30日现场数据</x:v>
      </x:c>
      <x:c r="B3937" s="39" t="str">
        <x:v>2026-08-03T23:30:00</x:v>
      </x:c>
      <x:c r="C3937" s="39" t="str">
        <x:v>2026-08-03T23:45:00</x:v>
      </x:c>
      <x:c r="D3937" s="47" t="n">
        <x:v>15</x:v>
      </x:c>
      <x:c r="E3937" s="40" t="n">
        <x:v>13.3</x:v>
      </x:c>
      <x:c r="F3937" s="40" t="n">
        <x:v>11.42885971069336</x:v>
      </x:c>
      <x:c r="G3937" s="40" t="n">
        <x:v>13.3</x:v>
      </x:c>
      <x:c r="H3937" s="40" t="n">
        <x:f>F3937-E3937</x:f>
        <x:v>-1.8711402893066413</x:v>
      </x:c>
      <x:c r="I3937" s="40" t="n">
        <x:f>ABS(H3937)</x:f>
        <x:v>1.8711402893066413</x:v>
      </x:c>
      <x:c r="J3937" s="40" t="n">
        <x:f>H3937^2</x:f>
        <x:v>3.5011659822665413</x:v>
      </x:c>
      <x:c r="K3937" s="40" t="n">
        <x:f>G3937-E3937</x:f>
        <x:v>0</x:v>
      </x:c>
      <x:c r="L3937" s="40" t="n">
        <x:f>ABS(K3937)</x:f>
        <x:v>0</x:v>
      </x:c>
      <x:c r="M3937" s="41" t="str">
        <x:v>lstm-soil-v1</x:v>
      </x:c>
    </x:row>
    <x:row r="3938">
      <x:c r="A3938" s="38" t="str">
        <x:v>7月30日现场数据</x:v>
      </x:c>
      <x:c r="B3938" s="39" t="str">
        <x:v>2026-08-03T23:30:00</x:v>
      </x:c>
      <x:c r="C3938" s="39" t="str">
        <x:v>2026-08-04T00:00:00</x:v>
      </x:c>
      <x:c r="D3938" s="47" t="n">
        <x:v>30</x:v>
      </x:c>
      <x:c r="E3938" s="40" t="n">
        <x:v>13.2</x:v>
      </x:c>
      <x:c r="F3938" s="40" t="n">
        <x:v>11.891231536865234</x:v>
      </x:c>
      <x:c r="G3938" s="40" t="n">
        <x:v>13.3</x:v>
      </x:c>
      <x:c r="H3938" s="40" t="n">
        <x:f>F3938-E3938</x:f>
        <x:v>-1.308768463134765</x:v>
      </x:c>
      <x:c r="I3938" s="40" t="n">
        <x:f>ABS(H3938)</x:f>
        <x:v>1.308768463134765</x:v>
      </x:c>
      <x:c r="J3938" s="40" t="n">
        <x:f>H3938^2</x:f>
        <x:v>1.7128748900961346</x:v>
      </x:c>
      <x:c r="K3938" s="40" t="n">
        <x:f>G3938-E3938</x:f>
        <x:v>0.10000000000000142</x:v>
      </x:c>
      <x:c r="L3938" s="40" t="n">
        <x:f>ABS(K3938)</x:f>
        <x:v>0.10000000000000142</x:v>
      </x:c>
      <x:c r="M3938" s="41" t="str">
        <x:v>lstm-soil-v1</x:v>
      </x:c>
    </x:row>
    <x:row r="3939">
      <x:c r="A3939" s="38" t="str">
        <x:v>7月30日现场数据</x:v>
      </x:c>
      <x:c r="B3939" s="39" t="str">
        <x:v>2026-08-03T23:30:00</x:v>
      </x:c>
      <x:c r="C3939" s="39" t="str">
        <x:v>2026-08-04T00:30:00</x:v>
      </x:c>
      <x:c r="D3939" s="47" t="n">
        <x:v>60</x:v>
      </x:c>
      <x:c r="E3939" s="40" t="n">
        <x:v>13.1</x:v>
      </x:c>
      <x:c r="F3939" s="40" t="n">
        <x:v>13.493206024169922</x:v>
      </x:c>
      <x:c r="G3939" s="40" t="n">
        <x:v>13.3</x:v>
      </x:c>
      <x:c r="H3939" s="40" t="n">
        <x:f>F3939-E3939</x:f>
        <x:v>0.39320602416992223</x:v>
      </x:c>
      <x:c r="I3939" s="40" t="n">
        <x:f>ABS(H3939)</x:f>
        <x:v>0.39320602416992223</x:v>
      </x:c>
      <x:c r="J3939" s="40" t="n">
        <x:f>H3939^2</x:f>
        <x:v>0.15461097744351746</x:v>
      </x:c>
      <x:c r="K3939" s="40" t="n">
        <x:f>G3939-E3939</x:f>
        <x:v>0.20000000000000107</x:v>
      </x:c>
      <x:c r="L3939" s="40" t="n">
        <x:f>ABS(K3939)</x:f>
        <x:v>0.20000000000000107</x:v>
      </x:c>
      <x:c r="M3939" s="41" t="str">
        <x:v>lstm-soil-v1</x:v>
      </x:c>
    </x:row>
    <x:row r="3940">
      <x:c r="A3940" s="38" t="str">
        <x:v>7月30日现场数据</x:v>
      </x:c>
      <x:c r="B3940" s="39" t="str">
        <x:v>2026-08-03T23:35:00</x:v>
      </x:c>
      <x:c r="C3940" s="39" t="str">
        <x:v>2026-08-03T23:40:00</x:v>
      </x:c>
      <x:c r="D3940" s="47" t="n">
        <x:v>5</x:v>
      </x:c>
      <x:c r="E3940" s="40" t="n">
        <x:v>13.2</x:v>
      </x:c>
      <x:c r="F3940" s="40" t="n">
        <x:v>11.370410919189453</x:v>
      </x:c>
      <x:c r="G3940" s="40" t="n">
        <x:v>13.3</x:v>
      </x:c>
      <x:c r="H3940" s="40" t="n">
        <x:f>F3940-E3940</x:f>
        <x:v>-1.8295890808105462</x:v>
      </x:c>
      <x:c r="I3940" s="40" t="n">
        <x:f>ABS(H3940)</x:f>
        <x:v>1.8295890808105462</x:v>
      </x:c>
      <x:c r="J3940" s="40" t="n">
        <x:f>H3940^2</x:f>
        <x:v>3.3473962046211794</x:v>
      </x:c>
      <x:c r="K3940" s="40" t="n">
        <x:f>G3940-E3940</x:f>
        <x:v>0.10000000000000142</x:v>
      </x:c>
      <x:c r="L3940" s="40" t="n">
        <x:f>ABS(K3940)</x:f>
        <x:v>0.10000000000000142</x:v>
      </x:c>
      <x:c r="M3940" s="41" t="str">
        <x:v>lstm-soil-v1</x:v>
      </x:c>
    </x:row>
    <x:row r="3941">
      <x:c r="A3941" s="38" t="str">
        <x:v>7月30日现场数据</x:v>
      </x:c>
      <x:c r="B3941" s="39" t="str">
        <x:v>2026-08-03T23:35:00</x:v>
      </x:c>
      <x:c r="C3941" s="39" t="str">
        <x:v>2026-08-03T23:50:00</x:v>
      </x:c>
      <x:c r="D3941" s="47" t="n">
        <x:v>15</x:v>
      </x:c>
      <x:c r="E3941" s="40" t="n">
        <x:v>13.2</x:v>
      </x:c>
      <x:c r="F3941" s="40" t="n">
        <x:v>11.429039001464844</x:v>
      </x:c>
      <x:c r="G3941" s="40" t="n">
        <x:v>13.3</x:v>
      </x:c>
      <x:c r="H3941" s="40" t="n">
        <x:f>F3941-E3941</x:f>
        <x:v>-1.7709609985351555</x:v>
      </x:c>
      <x:c r="I3941" s="40" t="n">
        <x:f>ABS(H3941)</x:f>
        <x:v>1.7709609985351555</x:v>
      </x:c>
      <x:c r="J3941" s="40" t="n">
        <x:f>H3941^2</x:f>
        <x:v>3.1363028583326353</x:v>
      </x:c>
      <x:c r="K3941" s="40" t="n">
        <x:f>G3941-E3941</x:f>
        <x:v>0.10000000000000142</x:v>
      </x:c>
      <x:c r="L3941" s="40" t="n">
        <x:f>ABS(K3941)</x:f>
        <x:v>0.10000000000000142</x:v>
      </x:c>
      <x:c r="M3941" s="41" t="str">
        <x:v>lstm-soil-v1</x:v>
      </x:c>
    </x:row>
    <x:row r="3942">
      <x:c r="A3942" s="38" t="str">
        <x:v>7月30日现场数据</x:v>
      </x:c>
      <x:c r="B3942" s="39" t="str">
        <x:v>2026-08-03T23:35:00</x:v>
      </x:c>
      <x:c r="C3942" s="39" t="str">
        <x:v>2026-08-04T00:05:00</x:v>
      </x:c>
      <x:c r="D3942" s="47" t="n">
        <x:v>30</x:v>
      </x:c>
      <x:c r="E3942" s="40" t="n">
        <x:v>13.2</x:v>
      </x:c>
      <x:c r="F3942" s="40" t="n">
        <x:v>11.89096450805664</x:v>
      </x:c>
      <x:c r="G3942" s="40" t="n">
        <x:v>13.3</x:v>
      </x:c>
      <x:c r="H3942" s="40" t="n">
        <x:f>F3942-E3942</x:f>
        <x:v>-1.3090354919433587</x:v>
      </x:c>
      <x:c r="I3942" s="40" t="n">
        <x:f>ABS(H3942)</x:f>
        <x:v>1.3090354919433587</x:v>
      </x:c>
      <x:c r="J3942" s="40" t="n">
        <x:f>H3942^2</x:f>
        <x:v>1.713573919167391</x:v>
      </x:c>
      <x:c r="K3942" s="40" t="n">
        <x:f>G3942-E3942</x:f>
        <x:v>0.10000000000000142</x:v>
      </x:c>
      <x:c r="L3942" s="40" t="n">
        <x:f>ABS(K3942)</x:f>
        <x:v>0.10000000000000142</x:v>
      </x:c>
      <x:c r="M3942" s="41" t="str">
        <x:v>lstm-soil-v1</x:v>
      </x:c>
    </x:row>
    <x:row r="3943">
      <x:c r="A3943" s="38" t="str">
        <x:v>7月30日现场数据</x:v>
      </x:c>
      <x:c r="B3943" s="39" t="str">
        <x:v>2026-08-03T23:35:00</x:v>
      </x:c>
      <x:c r="C3943" s="39" t="str">
        <x:v>2026-08-04T00:35:00</x:v>
      </x:c>
      <x:c r="D3943" s="47" t="n">
        <x:v>60</x:v>
      </x:c>
      <x:c r="E3943" s="40" t="n">
        <x:v>13.1</x:v>
      </x:c>
      <x:c r="F3943" s="40" t="n">
        <x:v>13.493064880371094</x:v>
      </x:c>
      <x:c r="G3943" s="40" t="n">
        <x:v>13.3</x:v>
      </x:c>
      <x:c r="H3943" s="40" t="n">
        <x:f>F3943-E3943</x:f>
        <x:v>0.3930648803710941</x:v>
      </x:c>
      <x:c r="I3943" s="40" t="n">
        <x:f>ABS(H3943)</x:f>
        <x:v>0.3930648803710941</x:v>
      </x:c>
      <x:c r="J3943" s="40" t="n">
        <x:f>H3943^2</x:f>
        <x:v>0.15450000018114252</x:v>
      </x:c>
      <x:c r="K3943" s="40" t="n">
        <x:f>G3943-E3943</x:f>
        <x:v>0.20000000000000107</x:v>
      </x:c>
      <x:c r="L3943" s="40" t="n">
        <x:f>ABS(K3943)</x:f>
        <x:v>0.20000000000000107</x:v>
      </x:c>
      <x:c r="M3943" s="41" t="str">
        <x:v>lstm-soil-v1</x:v>
      </x:c>
    </x:row>
    <x:row r="3944">
      <x:c r="A3944" s="38" t="str">
        <x:v>7月30日现场数据</x:v>
      </x:c>
      <x:c r="B3944" s="39" t="str">
        <x:v>2026-08-03T23:40:00</x:v>
      </x:c>
      <x:c r="C3944" s="39" t="str">
        <x:v>2026-08-03T23:45:00</x:v>
      </x:c>
      <x:c r="D3944" s="47" t="n">
        <x:v>5</x:v>
      </x:c>
      <x:c r="E3944" s="40" t="n">
        <x:v>13.3</x:v>
      </x:c>
      <x:c r="F3944" s="40" t="n">
        <x:v>11.260028839111328</x:v>
      </x:c>
      <x:c r="G3944" s="40" t="n">
        <x:v>13.2</x:v>
      </x:c>
      <x:c r="H3944" s="40" t="n">
        <x:f>F3944-E3944</x:f>
        <x:v>-2.0399711608886726</x:v>
      </x:c>
      <x:c r="I3944" s="40" t="n">
        <x:f>ABS(H3944)</x:f>
        <x:v>2.0399711608886726</x:v>
      </x:c>
      <x:c r="J3944" s="40" t="n">
        <x:f>H3944^2</x:f>
        <x:v>4.161482337257478</x:v>
      </x:c>
      <x:c r="K3944" s="40" t="n">
        <x:f>G3944-E3944</x:f>
        <x:v>-0.10000000000000142</x:v>
      </x:c>
      <x:c r="L3944" s="40" t="n">
        <x:f>ABS(K3944)</x:f>
        <x:v>0.10000000000000142</x:v>
      </x:c>
      <x:c r="M3944" s="41" t="str">
        <x:v>lstm-soil-v1</x:v>
      </x:c>
    </x:row>
    <x:row r="3945">
      <x:c r="A3945" s="38" t="str">
        <x:v>7月30日现场数据</x:v>
      </x:c>
      <x:c r="B3945" s="39" t="str">
        <x:v>2026-08-03T23:40:00</x:v>
      </x:c>
      <x:c r="C3945" s="39" t="str">
        <x:v>2026-08-03T23:55:00</x:v>
      </x:c>
      <x:c r="D3945" s="47" t="n">
        <x:v>15</x:v>
      </x:c>
      <x:c r="E3945" s="40" t="n">
        <x:v>13.2</x:v>
      </x:c>
      <x:c r="F3945" s="40" t="n">
        <x:v>11.318851470947266</x:v>
      </x:c>
      <x:c r="G3945" s="40" t="n">
        <x:v>13.2</x:v>
      </x:c>
      <x:c r="H3945" s="40" t="n">
        <x:f>F3945-E3945</x:f>
        <x:v>-1.8811485290527337</x:v>
      </x:c>
      <x:c r="I3945" s="40" t="n">
        <x:f>ABS(H3945)</x:f>
        <x:v>1.8811485290527337</x:v>
      </x:c>
      <x:c r="J3945" s="40" t="n">
        <x:f>H3945^2</x:f>
        <x:v>3.5387197883572634</x:v>
      </x:c>
      <x:c r="K3945" s="40" t="n">
        <x:f>G3945-E3945</x:f>
        <x:v>0</x:v>
      </x:c>
      <x:c r="L3945" s="40" t="n">
        <x:f>ABS(K3945)</x:f>
        <x:v>0</x:v>
      </x:c>
      <x:c r="M3945" s="41" t="str">
        <x:v>lstm-soil-v1</x:v>
      </x:c>
    </x:row>
    <x:row r="3946">
      <x:c r="A3946" s="38" t="str">
        <x:v>7月30日现场数据</x:v>
      </x:c>
      <x:c r="B3946" s="39" t="str">
        <x:v>2026-08-03T23:40:00</x:v>
      </x:c>
      <x:c r="C3946" s="39" t="str">
        <x:v>2026-08-04T00:10:00</x:v>
      </x:c>
      <x:c r="D3946" s="47" t="n">
        <x:v>30</x:v>
      </x:c>
      <x:c r="E3946" s="40" t="n">
        <x:v>13.2</x:v>
      </x:c>
      <x:c r="F3946" s="40" t="n">
        <x:v>11.780166625976562</x:v>
      </x:c>
      <x:c r="G3946" s="40" t="n">
        <x:v>13.2</x:v>
      </x:c>
      <x:c r="H3946" s="40" t="n">
        <x:f>F3946-E3946</x:f>
        <x:v>-1.4198333740234368</x:v>
      </x:c>
      <x:c r="I3946" s="40" t="n">
        <x:f>ABS(H3946)</x:f>
        <x:v>1.4198333740234368</x:v>
      </x:c>
      <x:c r="J3946" s="40" t="n">
        <x:f>H3946^2</x:f>
        <x:v>2.0159268099907766</x:v>
      </x:c>
      <x:c r="K3946" s="40" t="n">
        <x:f>G3946-E3946</x:f>
        <x:v>0</x:v>
      </x:c>
      <x:c r="L3946" s="40" t="n">
        <x:f>ABS(K3946)</x:f>
        <x:v>0</x:v>
      </x:c>
      <x:c r="M3946" s="41" t="str">
        <x:v>lstm-soil-v1</x:v>
      </x:c>
    </x:row>
    <x:row r="3947">
      <x:c r="A3947" s="38" t="str">
        <x:v>7月30日现场数据</x:v>
      </x:c>
      <x:c r="B3947" s="39" t="str">
        <x:v>2026-08-03T23:40:00</x:v>
      </x:c>
      <x:c r="C3947" s="39" t="str">
        <x:v>2026-08-04T00:40:00</x:v>
      </x:c>
      <x:c r="D3947" s="47" t="n">
        <x:v>60</x:v>
      </x:c>
      <x:c r="E3947" s="40" t="n">
        <x:v>13.1</x:v>
      </x:c>
      <x:c r="F3947" s="40" t="n">
        <x:v>13.38248062133789</x:v>
      </x:c>
      <x:c r="G3947" s="40" t="n">
        <x:v>13.2</x:v>
      </x:c>
      <x:c r="H3947" s="40" t="n">
        <x:f>F3947-E3947</x:f>
        <x:v>0.282480621337891</x:v>
      </x:c>
      <x:c r="I3947" s="40" t="n">
        <x:f>ABS(H3947)</x:f>
        <x:v>0.282480621337891</x:v>
      </x:c>
      <x:c r="J3947" s="40" t="n">
        <x:f>H3947^2</x:f>
        <x:v>0.07979530143144095</x:v>
      </x:c>
      <x:c r="K3947" s="40" t="n">
        <x:f>G3947-E3947</x:f>
        <x:v>0.09999999999999964</x:v>
      </x:c>
      <x:c r="L3947" s="40" t="n">
        <x:f>ABS(K3947)</x:f>
        <x:v>0.09999999999999964</x:v>
      </x:c>
      <x:c r="M3947" s="41" t="str">
        <x:v>lstm-soil-v1</x:v>
      </x:c>
    </x:row>
    <x:row r="3948">
      <x:c r="A3948" s="38" t="str">
        <x:v>7月30日现场数据</x:v>
      </x:c>
      <x:c r="B3948" s="39" t="str">
        <x:v>2026-08-03T23:45:00</x:v>
      </x:c>
      <x:c r="C3948" s="39" t="str">
        <x:v>2026-08-03T23:50:00</x:v>
      </x:c>
      <x:c r="D3948" s="47" t="n">
        <x:v>5</x:v>
      </x:c>
      <x:c r="E3948" s="40" t="n">
        <x:v>13.2</x:v>
      </x:c>
      <x:c r="F3948" s="40" t="n">
        <x:v>11.37005615234375</x:v>
      </x:c>
      <x:c r="G3948" s="40" t="n">
        <x:v>13.3</x:v>
      </x:c>
      <x:c r="H3948" s="40" t="n">
        <x:f>F3948-E3948</x:f>
        <x:v>-1.8299438476562493</x:v>
      </x:c>
      <x:c r="I3948" s="40" t="n">
        <x:f>ABS(H3948)</x:f>
        <x:v>1.8299438476562493</x:v>
      </x:c>
      <x:c r="J3948" s="40" t="n">
        <x:f>H3948^2</x:f>
        <x:v>3.348694485574958</x:v>
      </x:c>
      <x:c r="K3948" s="40" t="n">
        <x:f>G3948-E3948</x:f>
        <x:v>0.10000000000000142</x:v>
      </x:c>
      <x:c r="L3948" s="40" t="n">
        <x:f>ABS(K3948)</x:f>
        <x:v>0.10000000000000142</x:v>
      </x:c>
      <x:c r="M3948" s="41" t="str">
        <x:v>lstm-soil-v1</x:v>
      </x:c>
    </x:row>
    <x:row r="3949">
      <x:c r="A3949" s="38" t="str">
        <x:v>7月30日现场数据</x:v>
      </x:c>
      <x:c r="B3949" s="39" t="str">
        <x:v>2026-08-03T23:45:00</x:v>
      </x:c>
      <x:c r="C3949" s="39" t="str">
        <x:v>2026-08-04T00:00:00</x:v>
      </x:c>
      <x:c r="D3949" s="47" t="n">
        <x:v>15</x:v>
      </x:c>
      <x:c r="E3949" s="40" t="n">
        <x:v>13.2</x:v>
      </x:c>
      <x:c r="F3949" s="40" t="n">
        <x:v>11.428913116455078</x:v>
      </x:c>
      <x:c r="G3949" s="40" t="n">
        <x:v>13.3</x:v>
      </x:c>
      <x:c r="H3949" s="40" t="n">
        <x:f>F3949-E3949</x:f>
        <x:v>-1.7710868835449212</x:v>
      </x:c>
      <x:c r="I3949" s="40" t="n">
        <x:f>ABS(H3949)</x:f>
        <x:v>1.7710868835449212</x:v>
      </x:c>
      <x:c r="J3949" s="40" t="n">
        <x:f>H3949^2</x:f>
        <x:v>3.136748749064861</x:v>
      </x:c>
      <x:c r="K3949" s="40" t="n">
        <x:f>G3949-E3949</x:f>
        <x:v>0.10000000000000142</x:v>
      </x:c>
      <x:c r="L3949" s="40" t="n">
        <x:f>ABS(K3949)</x:f>
        <x:v>0.10000000000000142</x:v>
      </x:c>
      <x:c r="M3949" s="41" t="str">
        <x:v>lstm-soil-v1</x:v>
      </x:c>
    </x:row>
    <x:row r="3950">
      <x:c r="A3950" s="38" t="str">
        <x:v>7月30日现场数据</x:v>
      </x:c>
      <x:c r="B3950" s="39" t="str">
        <x:v>2026-08-03T23:45:00</x:v>
      </x:c>
      <x:c r="C3950" s="39" t="str">
        <x:v>2026-08-04T00:15:00</x:v>
      </x:c>
      <x:c r="D3950" s="47" t="n">
        <x:v>30</x:v>
      </x:c>
      <x:c r="E3950" s="40" t="n">
        <x:v>13.2</x:v>
      </x:c>
      <x:c r="F3950" s="40" t="n">
        <x:v>11.889759063720703</x:v>
      </x:c>
      <x:c r="G3950" s="40" t="n">
        <x:v>13.3</x:v>
      </x:c>
      <x:c r="H3950" s="40" t="n">
        <x:f>F3950-E3950</x:f>
        <x:v>-1.3102409362792962</x:v>
      </x:c>
      <x:c r="I3950" s="40" t="n">
        <x:f>ABS(H3950)</x:f>
        <x:v>1.3102409362792962</x:v>
      </x:c>
      <x:c r="J3950" s="40" t="n">
        <x:f>H3950^2</x:f>
        <x:v>1.7167313111020466</x:v>
      </x:c>
      <x:c r="K3950" s="40" t="n">
        <x:f>G3950-E3950</x:f>
        <x:v>0.10000000000000142</x:v>
      </x:c>
      <x:c r="L3950" s="40" t="n">
        <x:f>ABS(K3950)</x:f>
        <x:v>0.10000000000000142</x:v>
      </x:c>
      <x:c r="M3950" s="41" t="str">
        <x:v>lstm-soil-v1</x:v>
      </x:c>
    </x:row>
    <x:row r="3951">
      <x:c r="A3951" s="38" t="str">
        <x:v>7月30日现场数据</x:v>
      </x:c>
      <x:c r="B3951" s="39" t="str">
        <x:v>2026-08-03T23:45:00</x:v>
      </x:c>
      <x:c r="C3951" s="39" t="str">
        <x:v>2026-08-04T00:45:00</x:v>
      </x:c>
      <x:c r="D3951" s="47" t="n">
        <x:v>60</x:v>
      </x:c>
      <x:c r="E3951" s="40" t="n">
        <x:v>13.1</x:v>
      </x:c>
      <x:c r="F3951" s="40" t="n">
        <x:v>13.492359161376953</x:v>
      </x:c>
      <x:c r="G3951" s="40" t="n">
        <x:v>13.3</x:v>
      </x:c>
      <x:c r="H3951" s="40" t="n">
        <x:f>F3951-E3951</x:f>
        <x:v>0.3923591613769535</x:v>
      </x:c>
      <x:c r="I3951" s="40" t="n">
        <x:f>ABS(H3951)</x:f>
        <x:v>0.3923591613769535</x:v>
      </x:c>
      <x:c r="J3951" s="40" t="n">
        <x:f>H3951^2</x:f>
        <x:v>0.15394571151642622</x:v>
      </x:c>
      <x:c r="K3951" s="40" t="n">
        <x:f>G3951-E3951</x:f>
        <x:v>0.20000000000000107</x:v>
      </x:c>
      <x:c r="L3951" s="40" t="n">
        <x:f>ABS(K3951)</x:f>
        <x:v>0.20000000000000107</x:v>
      </x:c>
      <x:c r="M3951" s="41" t="str">
        <x:v>lstm-soil-v1</x:v>
      </x:c>
    </x:row>
    <x:row r="3952">
      <x:c r="A3952" s="38" t="str">
        <x:v>7月30日现场数据</x:v>
      </x:c>
      <x:c r="B3952" s="39" t="str">
        <x:v>2026-08-03T23:50:00</x:v>
      </x:c>
      <x:c r="C3952" s="39" t="str">
        <x:v>2026-08-03T23:55:00</x:v>
      </x:c>
      <x:c r="D3952" s="47" t="n">
        <x:v>5</x:v>
      </x:c>
      <x:c r="E3952" s="40" t="n">
        <x:v>13.2</x:v>
      </x:c>
      <x:c r="F3952" s="40" t="n">
        <x:v>11.259654998779297</x:v>
      </x:c>
      <x:c r="G3952" s="40" t="n">
        <x:v>13.2</x:v>
      </x:c>
      <x:c r="H3952" s="40" t="n">
        <x:f>F3952-E3952</x:f>
        <x:v>-1.9403450012207024</x:v>
      </x:c>
      <x:c r="I3952" s="40" t="n">
        <x:f>ABS(H3952)</x:f>
        <x:v>1.9403450012207024</x:v>
      </x:c>
      <x:c r="J3952" s="40" t="n">
        <x:f>H3952^2</x:f>
        <x:v>3.764938723762168</x:v>
      </x:c>
      <x:c r="K3952" s="40" t="n">
        <x:f>G3952-E3952</x:f>
        <x:v>0</x:v>
      </x:c>
      <x:c r="L3952" s="40" t="n">
        <x:f>ABS(K3952)</x:f>
        <x:v>0</x:v>
      </x:c>
      <x:c r="M3952" s="41" t="str">
        <x:v>lstm-soil-v1</x:v>
      </x:c>
    </x:row>
    <x:row r="3953">
      <x:c r="A3953" s="38" t="str">
        <x:v>7月30日现场数据</x:v>
      </x:c>
      <x:c r="B3953" s="39" t="str">
        <x:v>2026-08-03T23:50:00</x:v>
      </x:c>
      <x:c r="C3953" s="39" t="str">
        <x:v>2026-08-04T00:05:00</x:v>
      </x:c>
      <x:c r="D3953" s="47" t="n">
        <x:v>15</x:v>
      </x:c>
      <x:c r="E3953" s="40" t="n">
        <x:v>13.2</x:v>
      </x:c>
      <x:c r="F3953" s="40" t="n">
        <x:v>11.318660736083984</x:v>
      </x:c>
      <x:c r="G3953" s="40" t="n">
        <x:v>13.2</x:v>
      </x:c>
      <x:c r="H3953" s="40" t="n">
        <x:f>F3953-E3953</x:f>
        <x:v>-1.881339263916015</x:v>
      </x:c>
      <x:c r="I3953" s="40" t="n">
        <x:f>ABS(H3953)</x:f>
        <x:v>1.881339263916015</x:v>
      </x:c>
      <x:c r="J3953" s="40" t="n">
        <x:f>H3953^2</x:f>
        <x:v>3.5394374259520527</x:v>
      </x:c>
      <x:c r="K3953" s="40" t="n">
        <x:f>G3953-E3953</x:f>
        <x:v>0</x:v>
      </x:c>
      <x:c r="L3953" s="40" t="n">
        <x:f>ABS(K3953)</x:f>
        <x:v>0</x:v>
      </x:c>
      <x:c r="M3953" s="41" t="str">
        <x:v>lstm-soil-v1</x:v>
      </x:c>
    </x:row>
    <x:row r="3954">
      <x:c r="A3954" s="38" t="str">
        <x:v>7月30日现场数据</x:v>
      </x:c>
      <x:c r="B3954" s="39" t="str">
        <x:v>2026-08-03T23:50:00</x:v>
      </x:c>
      <x:c r="C3954" s="39" t="str">
        <x:v>2026-08-04T00:20:00</x:v>
      </x:c>
      <x:c r="D3954" s="47" t="n">
        <x:v>30</x:v>
      </x:c>
      <x:c r="E3954" s="40" t="n">
        <x:v>13.2</x:v>
      </x:c>
      <x:c r="F3954" s="40" t="n">
        <x:v>11.778968811035156</x:v>
      </x:c>
      <x:c r="G3954" s="40" t="n">
        <x:v>13.2</x:v>
      </x:c>
      <x:c r="H3954" s="40" t="n">
        <x:f>F3954-E3954</x:f>
        <x:v>-1.421031188964843</x:v>
      </x:c>
      <x:c r="I3954" s="40" t="n">
        <x:f>ABS(H3954)</x:f>
        <x:v>1.421031188964843</x:v>
      </x:c>
      <x:c r="J3954" s="40" t="n">
        <x:f>H3954^2</x:f>
        <x:v>2.0193296400108354</x:v>
      </x:c>
      <x:c r="K3954" s="40" t="n">
        <x:f>G3954-E3954</x:f>
        <x:v>0</x:v>
      </x:c>
      <x:c r="L3954" s="40" t="n">
        <x:f>ABS(K3954)</x:f>
        <x:v>0</x:v>
      </x:c>
      <x:c r="M3954" s="41" t="str">
        <x:v>lstm-soil-v1</x:v>
      </x:c>
    </x:row>
    <x:row r="3955">
      <x:c r="A3955" s="38" t="str">
        <x:v>7月30日现场数据</x:v>
      </x:c>
      <x:c r="B3955" s="39" t="str">
        <x:v>2026-08-03T23:50:00</x:v>
      </x:c>
      <x:c r="C3955" s="39" t="str">
        <x:v>2026-08-04T00:50:00</x:v>
      </x:c>
      <x:c r="D3955" s="47" t="n">
        <x:v>60</x:v>
      </x:c>
      <x:c r="E3955" s="40" t="n">
        <x:v>13</x:v>
      </x:c>
      <x:c r="F3955" s="40" t="n">
        <x:v>13.381877899169922</x:v>
      </x:c>
      <x:c r="G3955" s="40" t="n">
        <x:v>13.2</x:v>
      </x:c>
      <x:c r="H3955" s="40" t="n">
        <x:f>F3955-E3955</x:f>
        <x:v>0.3818778991699219</x:v>
      </x:c>
      <x:c r="I3955" s="40" t="n">
        <x:f>ABS(H3955)</x:f>
        <x:v>0.3818778991699219</x:v>
      </x:c>
      <x:c r="J3955" s="40" t="n">
        <x:f>H3955^2</x:f>
        <x:v>0.14583072987443302</x:v>
      </x:c>
      <x:c r="K3955" s="40" t="n">
        <x:f>G3955-E3955</x:f>
        <x:v>0.1999999999999993</x:v>
      </x:c>
      <x:c r="L3955" s="40" t="n">
        <x:f>ABS(K3955)</x:f>
        <x:v>0.1999999999999993</x:v>
      </x:c>
      <x:c r="M3955" s="41" t="str">
        <x:v>lstm-soil-v1</x:v>
      </x:c>
    </x:row>
    <x:row r="3956">
      <x:c r="A3956" s="38" t="str">
        <x:v>7月30日现场数据</x:v>
      </x:c>
      <x:c r="B3956" s="39" t="str">
        <x:v>2026-08-03T23:55:00</x:v>
      </x:c>
      <x:c r="C3956" s="39" t="str">
        <x:v>2026-08-04T00:00:00</x:v>
      </x:c>
      <x:c r="D3956" s="47" t="n">
        <x:v>5</x:v>
      </x:c>
      <x:c r="E3956" s="40" t="n">
        <x:v>13.2</x:v>
      </x:c>
      <x:c r="F3956" s="40" t="n">
        <x:v>11.259395599365234</x:v>
      </x:c>
      <x:c r="G3956" s="40" t="n">
        <x:v>13.2</x:v>
      </x:c>
      <x:c r="H3956" s="40" t="n">
        <x:f>F3956-E3956</x:f>
        <x:v>-1.940604400634765</x:v>
      </x:c>
      <x:c r="I3956" s="40" t="n">
        <x:f>ABS(H3956)</x:f>
        <x:v>1.940604400634765</x:v>
      </x:c>
      <x:c r="J3956" s="40" t="n">
        <x:f>H3956^2</x:f>
        <x:v>3.765945439763015</x:v>
      </x:c>
      <x:c r="K3956" s="40" t="n">
        <x:f>G3956-E3956</x:f>
        <x:v>0</x:v>
      </x:c>
      <x:c r="L3956" s="40" t="n">
        <x:f>ABS(K3956)</x:f>
        <x:v>0</x:v>
      </x:c>
      <x:c r="M3956" s="41" t="str">
        <x:v>lstm-soil-v1</x:v>
      </x:c>
    </x:row>
    <x:row r="3957">
      <x:c r="A3957" s="38" t="str">
        <x:v>7月30日现场数据</x:v>
      </x:c>
      <x:c r="B3957" s="39" t="str">
        <x:v>2026-08-03T23:55:00</x:v>
      </x:c>
      <x:c r="C3957" s="39" t="str">
        <x:v>2026-08-04T00:10:00</x:v>
      </x:c>
      <x:c r="D3957" s="47" t="n">
        <x:v>15</x:v>
      </x:c>
      <x:c r="E3957" s="40" t="n">
        <x:v>13.2</x:v>
      </x:c>
      <x:c r="F3957" s="40" t="n">
        <x:v>11.318473815917969</x:v>
      </x:c>
      <x:c r="G3957" s="40" t="n">
        <x:v>13.2</x:v>
      </x:c>
      <x:c r="H3957" s="40" t="n">
        <x:f>F3957-E3957</x:f>
        <x:v>-1.8815261840820305</x:v>
      </x:c>
      <x:c r="I3957" s="40" t="n">
        <x:f>ABS(H3957)</x:f>
        <x:v>1.8815261840820305</x:v>
      </x:c>
      <x:c r="J3957" s="40" t="n">
        <x:f>H3957^2</x:f>
        <x:v>3.540140781386287</x:v>
      </x:c>
      <x:c r="K3957" s="40" t="n">
        <x:f>G3957-E3957</x:f>
        <x:v>0</x:v>
      </x:c>
      <x:c r="L3957" s="40" t="n">
        <x:f>ABS(K3957)</x:f>
        <x:v>0</x:v>
      </x:c>
      <x:c r="M3957" s="41" t="str">
        <x:v>lstm-soil-v1</x:v>
      </x:c>
    </x:row>
    <x:row r="3958">
      <x:c r="A3958" s="38" t="str">
        <x:v>7月30日现场数据</x:v>
      </x:c>
      <x:c r="B3958" s="39" t="str">
        <x:v>2026-08-03T23:55:00</x:v>
      </x:c>
      <x:c r="C3958" s="39" t="str">
        <x:v>2026-08-04T00:25:00</x:v>
      </x:c>
      <x:c r="D3958" s="47" t="n">
        <x:v>30</x:v>
      </x:c>
      <x:c r="E3958" s="40" t="n">
        <x:v>13.1</x:v>
      </x:c>
      <x:c r="F3958" s="40" t="n">
        <x:v>11.778388977050781</x:v>
      </x:c>
      <x:c r="G3958" s="40" t="n">
        <x:v>13.2</x:v>
      </x:c>
      <x:c r="H3958" s="40" t="n">
        <x:f>F3958-E3958</x:f>
        <x:v>-1.3216110229492184</x:v>
      </x:c>
      <x:c r="I3958" s="40" t="n">
        <x:f>ABS(H3958)</x:f>
        <x:v>1.3216110229492184</x:v>
      </x:c>
      <x:c r="J3958" s="40" t="n">
        <x:f>H3958^2</x:f>
        <x:v>1.7466556959808794</x:v>
      </x:c>
      <x:c r="K3958" s="40" t="n">
        <x:f>G3958-E3958</x:f>
        <x:v>0.09999999999999964</x:v>
      </x:c>
      <x:c r="L3958" s="40" t="n">
        <x:f>ABS(K3958)</x:f>
        <x:v>0.09999999999999964</x:v>
      </x:c>
      <x:c r="M3958" s="41" t="str">
        <x:v>lstm-soil-v1</x:v>
      </x:c>
    </x:row>
    <x:row r="3959">
      <x:c r="A3959" s="38" t="str">
        <x:v>7月30日现场数据</x:v>
      </x:c>
      <x:c r="B3959" s="39" t="str">
        <x:v>2026-08-03T23:55:00</x:v>
      </x:c>
      <x:c r="C3959" s="39" t="str">
        <x:v>2026-08-04T00:55:00</x:v>
      </x:c>
      <x:c r="D3959" s="47" t="n">
        <x:v>60</x:v>
      </x:c>
      <x:c r="E3959" s="40" t="n">
        <x:v>13.1</x:v>
      </x:c>
      <x:c r="F3959" s="40" t="n">
        <x:v>13.381580352783203</x:v>
      </x:c>
      <x:c r="G3959" s="40" t="n">
        <x:v>13.2</x:v>
      </x:c>
      <x:c r="H3959" s="40" t="n">
        <x:f>F3959-E3959</x:f>
        <x:v>0.2815803527832035</x:v>
      </x:c>
      <x:c r="I3959" s="40" t="n">
        <x:f>ABS(H3959)</x:f>
        <x:v>0.2815803527832035</x:v>
      </x:c>
      <x:c r="J3959" s="40" t="n">
        <x:f>H3959^2</x:f>
        <x:v>0.07928749507351333</x:v>
      </x:c>
      <x:c r="K3959" s="40" t="n">
        <x:f>G3959-E3959</x:f>
        <x:v>0.09999999999999964</x:v>
      </x:c>
      <x:c r="L3959" s="40" t="n">
        <x:f>ABS(K3959)</x:f>
        <x:v>0.09999999999999964</x:v>
      </x:c>
      <x:c r="M3959" s="41" t="str">
        <x:v>lstm-soil-v1</x:v>
      </x:c>
    </x:row>
    <x:row r="3960">
      <x:c r="A3960" s="38" t="str">
        <x:v>7月30日现场数据</x:v>
      </x:c>
      <x:c r="B3960" s="39" t="str">
        <x:v>2026-08-04T00:00:00</x:v>
      </x:c>
      <x:c r="C3960" s="39" t="str">
        <x:v>2026-08-04T00:05:00</x:v>
      </x:c>
      <x:c r="D3960" s="47" t="n">
        <x:v>5</x:v>
      </x:c>
      <x:c r="E3960" s="40" t="n">
        <x:v>13.2</x:v>
      </x:c>
      <x:c r="F3960" s="40" t="n">
        <x:v>11.255794525146484</x:v>
      </x:c>
      <x:c r="G3960" s="40" t="n">
        <x:v>13.2</x:v>
      </x:c>
      <x:c r="H3960" s="40" t="n">
        <x:f>F3960-E3960</x:f>
        <x:v>-1.944205474853515</x:v>
      </x:c>
      <x:c r="I3960" s="40" t="n">
        <x:f>ABS(H3960)</x:f>
        <x:v>1.944205474853515</x:v>
      </x:c>
      <x:c r="J3960" s="40" t="n">
        <x:f>H3960^2</x:f>
        <x:v>3.7799349284503814</x:v>
      </x:c>
      <x:c r="K3960" s="40" t="n">
        <x:f>G3960-E3960</x:f>
        <x:v>0</x:v>
      </x:c>
      <x:c r="L3960" s="40" t="n">
        <x:f>ABS(K3960)</x:f>
        <x:v>0</x:v>
      </x:c>
      <x:c r="M3960" s="41" t="str">
        <x:v>lstm-soil-v1</x:v>
      </x:c>
    </x:row>
    <x:row r="3961">
      <x:c r="A3961" s="38" t="str">
        <x:v>7月30日现场数据</x:v>
      </x:c>
      <x:c r="B3961" s="39" t="str">
        <x:v>2026-08-04T00:00:00</x:v>
      </x:c>
      <x:c r="C3961" s="39" t="str">
        <x:v>2026-08-04T00:15:00</x:v>
      </x:c>
      <x:c r="D3961" s="47" t="n">
        <x:v>15</x:v>
      </x:c>
      <x:c r="E3961" s="40" t="n">
        <x:v>13.2</x:v>
      </x:c>
      <x:c r="F3961" s="40" t="n">
        <x:v>11.315746307373047</x:v>
      </x:c>
      <x:c r="G3961" s="40" t="n">
        <x:v>13.2</x:v>
      </x:c>
      <x:c r="H3961" s="40" t="n">
        <x:f>F3961-E3961</x:f>
        <x:v>-1.8842536926269524</x:v>
      </x:c>
      <x:c r="I3961" s="40" t="n">
        <x:f>ABS(H3961)</x:f>
        <x:v>1.8842536926269524</x:v>
      </x:c>
      <x:c r="J3961" s="40" t="n">
        <x:f>H3961^2</x:f>
        <x:v>3.5504119781783054</x:v>
      </x:c>
      <x:c r="K3961" s="40" t="n">
        <x:f>G3961-E3961</x:f>
        <x:v>0</x:v>
      </x:c>
      <x:c r="L3961" s="40" t="n">
        <x:f>ABS(K3961)</x:f>
        <x:v>0</x:v>
      </x:c>
      <x:c r="M3961" s="41" t="str">
        <x:v>lstm-soil-v1</x:v>
      </x:c>
    </x:row>
    <x:row r="3962">
      <x:c r="A3962" s="38" t="str">
        <x:v>7月30日现场数据</x:v>
      </x:c>
      <x:c r="B3962" s="39" t="str">
        <x:v>2026-08-04T00:00:00</x:v>
      </x:c>
      <x:c r="C3962" s="39" t="str">
        <x:v>2026-08-04T00:30:00</x:v>
      </x:c>
      <x:c r="D3962" s="47" t="n">
        <x:v>30</x:v>
      </x:c>
      <x:c r="E3962" s="40" t="n">
        <x:v>13.1</x:v>
      </x:c>
      <x:c r="F3962" s="40" t="n">
        <x:v>11.773780822753906</x:v>
      </x:c>
      <x:c r="G3962" s="40" t="n">
        <x:v>13.2</x:v>
      </x:c>
      <x:c r="H3962" s="40" t="n">
        <x:f>F3962-E3962</x:f>
        <x:v>-1.3262191772460934</x:v>
      </x:c>
      <x:c r="I3962" s="40" t="n">
        <x:f>ABS(H3962)</x:f>
        <x:v>1.3262191772460934</x:v>
      </x:c>
      <x:c r="J3962" s="40" t="n">
        <x:f>H3962^2</x:f>
        <x:v>1.758857306095305</x:v>
      </x:c>
      <x:c r="K3962" s="40" t="n">
        <x:f>G3962-E3962</x:f>
        <x:v>0.09999999999999964</x:v>
      </x:c>
      <x:c r="L3962" s="40" t="n">
        <x:f>ABS(K3962)</x:f>
        <x:v>0.09999999999999964</x:v>
      </x:c>
      <x:c r="M3962" s="41" t="str">
        <x:v>lstm-soil-v1</x:v>
      </x:c>
    </x:row>
    <x:row r="3963">
      <x:c r="A3963" s="38" t="str">
        <x:v>7月30日现场数据</x:v>
      </x:c>
      <x:c r="B3963" s="39" t="str">
        <x:v>2026-08-04T00:00:00</x:v>
      </x:c>
      <x:c r="C3963" s="39" t="str">
        <x:v>2026-08-04T01:00:00</x:v>
      </x:c>
      <x:c r="D3963" s="47" t="n">
        <x:v>60</x:v>
      </x:c>
      <x:c r="E3963" s="40" t="n">
        <x:v>13.1</x:v>
      </x:c>
      <x:c r="F3963" s="40" t="n">
        <x:v>13.374351501464844</x:v>
      </x:c>
      <x:c r="G3963" s="40" t="n">
        <x:v>13.2</x:v>
      </x:c>
      <x:c r="H3963" s="40" t="n">
        <x:f>F3963-E3963</x:f>
        <x:v>0.2743515014648441</x:v>
      </x:c>
      <x:c r="I3963" s="40" t="n">
        <x:f>ABS(H3963)</x:f>
        <x:v>0.2743515014648441</x:v>
      </x:c>
      <x:c r="J3963" s="40" t="n">
        <x:f>H3963^2</x:f>
        <x:v>0.07526874635601435</x:v>
      </x:c>
      <x:c r="K3963" s="40" t="n">
        <x:f>G3963-E3963</x:f>
        <x:v>0.09999999999999964</x:v>
      </x:c>
      <x:c r="L3963" s="40" t="n">
        <x:f>ABS(K3963)</x:f>
        <x:v>0.09999999999999964</x:v>
      </x:c>
      <x:c r="M3963" s="41" t="str">
        <x:v>lstm-soil-v1</x:v>
      </x:c>
    </x:row>
    <x:row r="3964">
      <x:c r="A3964" s="38" t="str">
        <x:v>7月30日现场数据</x:v>
      </x:c>
      <x:c r="B3964" s="39" t="str">
        <x:v>2026-08-04T00:05:00</x:v>
      </x:c>
      <x:c r="C3964" s="39" t="str">
        <x:v>2026-08-04T00:10:00</x:v>
      </x:c>
      <x:c r="D3964" s="47" t="n">
        <x:v>5</x:v>
      </x:c>
      <x:c r="E3964" s="40" t="n">
        <x:v>13.2</x:v>
      </x:c>
      <x:c r="F3964" s="40" t="n">
        <x:v>11.253684997558594</x:v>
      </x:c>
      <x:c r="G3964" s="40" t="n">
        <x:v>13.2</x:v>
      </x:c>
      <x:c r="H3964" s="40" t="n">
        <x:f>F3964-E3964</x:f>
        <x:v>-1.9463150024414055</x:v>
      </x:c>
      <x:c r="I3964" s="40" t="n">
        <x:f>ABS(H3964)</x:f>
        <x:v>1.9463150024414055</x:v>
      </x:c>
      <x:c r="J3964" s="40" t="n">
        <x:f>H3964^2</x:f>
        <x:v>3.7881420887284882</x:v>
      </x:c>
      <x:c r="K3964" s="40" t="n">
        <x:f>G3964-E3964</x:f>
        <x:v>0</x:v>
      </x:c>
      <x:c r="L3964" s="40" t="n">
        <x:f>ABS(K3964)</x:f>
        <x:v>0</x:v>
      </x:c>
      <x:c r="M3964" s="41" t="str">
        <x:v>lstm-soil-v1</x:v>
      </x:c>
    </x:row>
    <x:row r="3965">
      <x:c r="A3965" s="38" t="str">
        <x:v>7月30日现场数据</x:v>
      </x:c>
      <x:c r="B3965" s="39" t="str">
        <x:v>2026-08-04T00:05:00</x:v>
      </x:c>
      <x:c r="C3965" s="39" t="str">
        <x:v>2026-08-04T00:20:00</x:v>
      </x:c>
      <x:c r="D3965" s="47" t="n">
        <x:v>15</x:v>
      </x:c>
      <x:c r="E3965" s="40" t="n">
        <x:v>13.2</x:v>
      </x:c>
      <x:c r="F3965" s="40" t="n">
        <x:v>11.31427001953125</x:v>
      </x:c>
      <x:c r="G3965" s="40" t="n">
        <x:v>13.2</x:v>
      </x:c>
      <x:c r="H3965" s="40" t="n">
        <x:f>F3965-E3965</x:f>
        <x:v>-1.8857299804687493</x:v>
      </x:c>
      <x:c r="I3965" s="40" t="n">
        <x:f>ABS(H3965)</x:f>
        <x:v>1.8857299804687493</x:v>
      </x:c>
      <x:c r="J3965" s="40" t="n">
        <x:f>H3965^2</x:f>
        <x:v>3.5559775592386695</x:v>
      </x:c>
      <x:c r="K3965" s="40" t="n">
        <x:f>G3965-E3965</x:f>
        <x:v>0</x:v>
      </x:c>
      <x:c r="L3965" s="40" t="n">
        <x:f>ABS(K3965)</x:f>
        <x:v>0</x:v>
      </x:c>
      <x:c r="M3965" s="41" t="str">
        <x:v>lstm-soil-v1</x:v>
      </x:c>
    </x:row>
    <x:row r="3966">
      <x:c r="A3966" s="38" t="str">
        <x:v>7月30日现场数据</x:v>
      </x:c>
      <x:c r="B3966" s="39" t="str">
        <x:v>2026-08-04T00:05:00</x:v>
      </x:c>
      <x:c r="C3966" s="39" t="str">
        <x:v>2026-08-04T00:35:00</x:v>
      </x:c>
      <x:c r="D3966" s="47" t="n">
        <x:v>30</x:v>
      </x:c>
      <x:c r="E3966" s="40" t="n">
        <x:v>13.1</x:v>
      </x:c>
      <x:c r="F3966" s="40" t="n">
        <x:v>11.772621154785156</x:v>
      </x:c>
      <x:c r="G3966" s="40" t="n">
        <x:v>13.2</x:v>
      </x:c>
      <x:c r="H3966" s="40" t="n">
        <x:f>F3966-E3966</x:f>
        <x:v>-1.3273788452148434</x:v>
      </x:c>
      <x:c r="I3966" s="40" t="n">
        <x:f>ABS(H3966)</x:f>
        <x:v>1.3273788452148434</x:v>
      </x:c>
      <x:c r="J3966" s="40" t="n">
        <x:f>H3966^2</x:f>
        <x:v>1.7619345987238912</x:v>
      </x:c>
      <x:c r="K3966" s="40" t="n">
        <x:f>G3966-E3966</x:f>
        <x:v>0.09999999999999964</x:v>
      </x:c>
      <x:c r="L3966" s="40" t="n">
        <x:f>ABS(K3966)</x:f>
        <x:v>0.09999999999999964</x:v>
      </x:c>
      <x:c r="M3966" s="41" t="str">
        <x:v>lstm-soil-v1</x:v>
      </x:c>
    </x:row>
    <x:row r="3967">
      <x:c r="A3967" s="38" t="str">
        <x:v>7月30日现场数据</x:v>
      </x:c>
      <x:c r="B3967" s="39" t="str">
        <x:v>2026-08-04T00:05:00</x:v>
      </x:c>
      <x:c r="C3967" s="39" t="str">
        <x:v>2026-08-04T01:05:00</x:v>
      </x:c>
      <x:c r="D3967" s="47" t="n">
        <x:v>60</x:v>
      </x:c>
      <x:c r="E3967" s="40" t="n">
        <x:v>13.1</x:v>
      </x:c>
      <x:c r="F3967" s="40" t="n">
        <x:v>13.369243621826172</x:v>
      </x:c>
      <x:c r="G3967" s="40" t="n">
        <x:v>13.2</x:v>
      </x:c>
      <x:c r="H3967" s="40" t="n">
        <x:f>F3967-E3967</x:f>
        <x:v>0.26924362182617223</x:v>
      </x:c>
      <x:c r="I3967" s="40" t="n">
        <x:f>ABS(H3967)</x:f>
        <x:v>0.26924362182617223</x:v>
      </x:c>
      <x:c r="J3967" s="40" t="n">
        <x:f>H3967^2</x:f>
        <x:v>0.07249212789407485</x:v>
      </x:c>
      <x:c r="K3967" s="40" t="n">
        <x:f>G3967-E3967</x:f>
        <x:v>0.09999999999999964</x:v>
      </x:c>
      <x:c r="L3967" s="40" t="n">
        <x:f>ABS(K3967)</x:f>
        <x:v>0.09999999999999964</x:v>
      </x:c>
      <x:c r="M3967" s="41" t="str">
        <x:v>lstm-soil-v1</x:v>
      </x:c>
    </x:row>
    <x:row r="3968">
      <x:c r="A3968" s="38" t="str">
        <x:v>7月30日现场数据</x:v>
      </x:c>
      <x:c r="B3968" s="39" t="str">
        <x:v>2026-08-04T00:10:00</x:v>
      </x:c>
      <x:c r="C3968" s="39" t="str">
        <x:v>2026-08-04T00:15:00</x:v>
      </x:c>
      <x:c r="D3968" s="47" t="n">
        <x:v>5</x:v>
      </x:c>
      <x:c r="E3968" s="40" t="n">
        <x:v>13.2</x:v>
      </x:c>
      <x:c r="F3968" s="40" t="n">
        <x:v>11.252681732177734</x:v>
      </x:c>
      <x:c r="G3968" s="40" t="n">
        <x:v>13.2</x:v>
      </x:c>
      <x:c r="H3968" s="40" t="n">
        <x:f>F3968-E3968</x:f>
        <x:v>-1.947318267822265</x:v>
      </x:c>
      <x:c r="I3968" s="40" t="n">
        <x:f>ABS(H3968)</x:f>
        <x:v>1.947318267822265</x:v>
      </x:c>
      <x:c r="J3968" s="40" t="n">
        <x:f>H3968^2</x:f>
        <x:v>3.7920484361943063</x:v>
      </x:c>
      <x:c r="K3968" s="40" t="n">
        <x:f>G3968-E3968</x:f>
        <x:v>0</x:v>
      </x:c>
      <x:c r="L3968" s="40" t="n">
        <x:f>ABS(K3968)</x:f>
        <x:v>0</x:v>
      </x:c>
      <x:c r="M3968" s="41" t="str">
        <x:v>lstm-soil-v1</x:v>
      </x:c>
    </x:row>
    <x:row r="3969">
      <x:c r="A3969" s="38" t="str">
        <x:v>7月30日现场数据</x:v>
      </x:c>
      <x:c r="B3969" s="39" t="str">
        <x:v>2026-08-04T00:10:00</x:v>
      </x:c>
      <x:c r="C3969" s="39" t="str">
        <x:v>2026-08-04T00:25:00</x:v>
      </x:c>
      <x:c r="D3969" s="47" t="n">
        <x:v>15</x:v>
      </x:c>
      <x:c r="E3969" s="40" t="n">
        <x:v>13.1</x:v>
      </x:c>
      <x:c r="F3969" s="40" t="n">
        <x:v>11.313514709472656</x:v>
      </x:c>
      <x:c r="G3969" s="40" t="n">
        <x:v>13.2</x:v>
      </x:c>
      <x:c r="H3969" s="40" t="n">
        <x:f>F3969-E3969</x:f>
        <x:v>-1.7864852905273434</x:v>
      </x:c>
      <x:c r="I3969" s="40" t="n">
        <x:f>ABS(H3969)</x:f>
        <x:v>1.7864852905273434</x:v>
      </x:c>
      <x:c r="J3969" s="40" t="n">
        <x:f>H3969^2</x:f>
        <x:v>3.1915296932705663</x:v>
      </x:c>
      <x:c r="K3969" s="40" t="n">
        <x:f>G3969-E3969</x:f>
        <x:v>0.09999999999999964</x:v>
      </x:c>
      <x:c r="L3969" s="40" t="n">
        <x:f>ABS(K3969)</x:f>
        <x:v>0.09999999999999964</x:v>
      </x:c>
      <x:c r="M3969" s="41" t="str">
        <x:v>lstm-soil-v1</x:v>
      </x:c>
    </x:row>
    <x:row r="3970">
      <x:c r="A3970" s="38" t="str">
        <x:v>7月30日现场数据</x:v>
      </x:c>
      <x:c r="B3970" s="39" t="str">
        <x:v>2026-08-04T00:10:00</x:v>
      </x:c>
      <x:c r="C3970" s="39" t="str">
        <x:v>2026-08-04T00:40:00</x:v>
      </x:c>
      <x:c r="D3970" s="47" t="n">
        <x:v>30</x:v>
      </x:c>
      <x:c r="E3970" s="40" t="n">
        <x:v>13.1</x:v>
      </x:c>
      <x:c r="F3970" s="40" t="n">
        <x:v>11.773014068603516</x:v>
      </x:c>
      <x:c r="G3970" s="40" t="n">
        <x:v>13.2</x:v>
      </x:c>
      <x:c r="H3970" s="40" t="n">
        <x:f>F3970-E3970</x:f>
        <x:v>-1.326985931396484</x:v>
      </x:c>
      <x:c r="I3970" s="40" t="n">
        <x:f>ABS(H3970)</x:f>
        <x:v>1.326985931396484</x:v>
      </x:c>
      <x:c r="J3970" s="40" t="n">
        <x:f>H3970^2</x:f>
        <x:v>1.7608916621241941</x:v>
      </x:c>
      <x:c r="K3970" s="40" t="n">
        <x:f>G3970-E3970</x:f>
        <x:v>0.09999999999999964</x:v>
      </x:c>
      <x:c r="L3970" s="40" t="n">
        <x:f>ABS(K3970)</x:f>
        <x:v>0.09999999999999964</x:v>
      </x:c>
      <x:c r="M3970" s="41" t="str">
        <x:v>lstm-soil-v1</x:v>
      </x:c>
    </x:row>
    <x:row r="3971">
      <x:c r="A3971" s="38" t="str">
        <x:v>7月30日现场数据</x:v>
      </x:c>
      <x:c r="B3971" s="39" t="str">
        <x:v>2026-08-04T00:10:00</x:v>
      </x:c>
      <x:c r="C3971" s="39" t="str">
        <x:v>2026-08-04T01:10:00</x:v>
      </x:c>
      <x:c r="D3971" s="47" t="n">
        <x:v>60</x:v>
      </x:c>
      <x:c r="E3971" s="40" t="n">
        <x:v>13.1</x:v>
      </x:c>
      <x:c r="F3971" s="40" t="n">
        <x:v>13.366016387939453</x:v>
      </x:c>
      <x:c r="G3971" s="40" t="n">
        <x:v>13.2</x:v>
      </x:c>
      <x:c r="H3971" s="40" t="n">
        <x:f>F3971-E3971</x:f>
        <x:v>0.2660163879394535</x:v>
      </x:c>
      <x:c r="I3971" s="40" t="n">
        <x:f>ABS(H3971)</x:f>
        <x:v>0.2660163879394535</x:v>
      </x:c>
      <x:c r="J3971" s="40" t="n">
        <x:f>H3971^2</x:f>
        <x:v>0.07076471865235381</x:v>
      </x:c>
      <x:c r="K3971" s="40" t="n">
        <x:f>G3971-E3971</x:f>
        <x:v>0.09999999999999964</x:v>
      </x:c>
      <x:c r="L3971" s="40" t="n">
        <x:f>ABS(K3971)</x:f>
        <x:v>0.09999999999999964</x:v>
      </x:c>
      <x:c r="M3971" s="41" t="str">
        <x:v>lstm-soil-v1</x:v>
      </x:c>
    </x:row>
    <x:row r="3972">
      <x:c r="A3972" s="38" t="str">
        <x:v>7月30日现场数据</x:v>
      </x:c>
      <x:c r="B3972" s="39" t="str">
        <x:v>2026-08-04T00:15:00</x:v>
      </x:c>
      <x:c r="C3972" s="39" t="str">
        <x:v>2026-08-04T00:20:00</x:v>
      </x:c>
      <x:c r="D3972" s="47" t="n">
        <x:v>5</x:v>
      </x:c>
      <x:c r="E3972" s="40" t="n">
        <x:v>13.2</x:v>
      </x:c>
      <x:c r="F3972" s="40" t="n">
        <x:v>11.252410888671875</x:v>
      </x:c>
      <x:c r="G3972" s="40" t="n">
        <x:v>13.2</x:v>
      </x:c>
      <x:c r="H3972" s="40" t="n">
        <x:f>F3972-E3972</x:f>
        <x:v>-1.9475891113281243</x:v>
      </x:c>
      <x:c r="I3972" s="40" t="n">
        <x:f>ABS(H3972)</x:f>
        <x:v>1.9475891113281243</x:v>
      </x:c>
      <x:c r="J3972" s="40" t="n">
        <x:f>H3972^2</x:f>
        <x:v>3.793103346563873</x:v>
      </x:c>
      <x:c r="K3972" s="40" t="n">
        <x:f>G3972-E3972</x:f>
        <x:v>0</x:v>
      </x:c>
      <x:c r="L3972" s="40" t="n">
        <x:f>ABS(K3972)</x:f>
        <x:v>0</x:v>
      </x:c>
      <x:c r="M3972" s="41" t="str">
        <x:v>lstm-soil-v1</x:v>
      </x:c>
    </x:row>
    <x:row r="3973">
      <x:c r="A3973" s="38" t="str">
        <x:v>7月30日现场数据</x:v>
      </x:c>
      <x:c r="B3973" s="39" t="str">
        <x:v>2026-08-04T00:15:00</x:v>
      </x:c>
      <x:c r="C3973" s="39" t="str">
        <x:v>2026-08-04T00:30:00</x:v>
      </x:c>
      <x:c r="D3973" s="47" t="n">
        <x:v>15</x:v>
      </x:c>
      <x:c r="E3973" s="40" t="n">
        <x:v>13.1</x:v>
      </x:c>
      <x:c r="F3973" s="40" t="n">
        <x:v>11.313163757324219</x:v>
      </x:c>
      <x:c r="G3973" s="40" t="n">
        <x:v>13.2</x:v>
      </x:c>
      <x:c r="H3973" s="40" t="n">
        <x:f>F3973-E3973</x:f>
        <x:v>-1.786836242675781</x:v>
      </x:c>
      <x:c r="I3973" s="40" t="n">
        <x:f>ABS(H3973)</x:f>
        <x:v>1.786836242675781</x:v>
      </x:c>
      <x:c r="J3973" s="40" t="n">
        <x:f>H3973^2</x:f>
        <x:v>3.192783758139702</x:v>
      </x:c>
      <x:c r="K3973" s="40" t="n">
        <x:f>G3973-E3973</x:f>
        <x:v>0.09999999999999964</x:v>
      </x:c>
      <x:c r="L3973" s="40" t="n">
        <x:f>ABS(K3973)</x:f>
        <x:v>0.09999999999999964</x:v>
      </x:c>
      <x:c r="M3973" s="41" t="str">
        <x:v>lstm-soil-v1</x:v>
      </x:c>
    </x:row>
    <x:row r="3974">
      <x:c r="A3974" s="38" t="str">
        <x:v>7月30日现场数据</x:v>
      </x:c>
      <x:c r="B3974" s="39" t="str">
        <x:v>2026-08-04T00:15:00</x:v>
      </x:c>
      <x:c r="C3974" s="39" t="str">
        <x:v>2026-08-04T00:45:00</x:v>
      </x:c>
      <x:c r="D3974" s="47" t="n">
        <x:v>30</x:v>
      </x:c>
      <x:c r="E3974" s="40" t="n">
        <x:v>13.1</x:v>
      </x:c>
      <x:c r="F3974" s="40" t="n">
        <x:v>11.774089813232422</x:v>
      </x:c>
      <x:c r="G3974" s="40" t="n">
        <x:v>13.2</x:v>
      </x:c>
      <x:c r="H3974" s="40" t="n">
        <x:f>F3974-E3974</x:f>
        <x:v>-1.3259101867675778</x:v>
      </x:c>
      <x:c r="I3974" s="40" t="n">
        <x:f>ABS(H3974)</x:f>
        <x:v>1.3259101867675778</x:v>
      </x:c>
      <x:c r="J3974" s="40" t="n">
        <x:f>H3974^2</x:f>
        <x:v>1.758037823374033</x:v>
      </x:c>
      <x:c r="K3974" s="40" t="n">
        <x:f>G3974-E3974</x:f>
        <x:v>0.09999999999999964</x:v>
      </x:c>
      <x:c r="L3974" s="40" t="n">
        <x:f>ABS(K3974)</x:f>
        <x:v>0.09999999999999964</x:v>
      </x:c>
      <x:c r="M3974" s="41" t="str">
        <x:v>lstm-soil-v1</x:v>
      </x:c>
    </x:row>
    <x:row r="3975">
      <x:c r="A3975" s="38" t="str">
        <x:v>7月30日现场数据</x:v>
      </x:c>
      <x:c r="B3975" s="39" t="str">
        <x:v>2026-08-04T00:15:00</x:v>
      </x:c>
      <x:c r="C3975" s="39" t="str">
        <x:v>2026-08-04T01:15:00</x:v>
      </x:c>
      <x:c r="D3975" s="47" t="n">
        <x:v>60</x:v>
      </x:c>
      <x:c r="E3975" s="40" t="n">
        <x:v>13.1</x:v>
      </x:c>
      <x:c r="F3975" s="40" t="n">
        <x:v>13.364376068115234</x:v>
      </x:c>
      <x:c r="G3975" s="40" t="n">
        <x:v>13.2</x:v>
      </x:c>
      <x:c r="H3975" s="40" t="n">
        <x:f>F3975-E3975</x:f>
        <x:v>0.26437606811523473</x:v>
      </x:c>
      <x:c r="I3975" s="40" t="n">
        <x:f>ABS(H3975)</x:f>
        <x:v>0.26437606811523473</x:v>
      </x:c>
      <x:c r="J3975" s="40" t="n">
        <x:f>H3975^2</x:f>
        <x:v>0.06989470539207124</x:v>
      </x:c>
      <x:c r="K3975" s="40" t="n">
        <x:f>G3975-E3975</x:f>
        <x:v>0.09999999999999964</x:v>
      </x:c>
      <x:c r="L3975" s="40" t="n">
        <x:f>ABS(K3975)</x:f>
        <x:v>0.09999999999999964</x:v>
      </x:c>
      <x:c r="M3975" s="41" t="str">
        <x:v>lstm-soil-v1</x:v>
      </x:c>
    </x:row>
    <x:row r="3976">
      <x:c r="A3976" s="38" t="str">
        <x:v>7月30日现场数据</x:v>
      </x:c>
      <x:c r="B3976" s="39" t="str">
        <x:v>2026-08-04T00:20:00</x:v>
      </x:c>
      <x:c r="C3976" s="39" t="str">
        <x:v>2026-08-04T00:25:00</x:v>
      </x:c>
      <x:c r="D3976" s="47" t="n">
        <x:v>5</x:v>
      </x:c>
      <x:c r="E3976" s="40" t="n">
        <x:v>13.1</x:v>
      </x:c>
      <x:c r="F3976" s="40" t="n">
        <x:v>11.252532958984375</x:v>
      </x:c>
      <x:c r="G3976" s="40" t="n">
        <x:v>13.2</x:v>
      </x:c>
      <x:c r="H3976" s="40" t="n">
        <x:f>F3976-E3976</x:f>
        <x:v>-1.8474670410156246</x:v>
      </x:c>
      <x:c r="I3976" s="40" t="n">
        <x:f>ABS(H3976)</x:f>
        <x:v>1.8474670410156246</x:v>
      </x:c>
      <x:c r="J3976" s="40" t="n">
        <x:f>H3976^2</x:f>
        <x:v>3.413134467639028</x:v>
      </x:c>
      <x:c r="K3976" s="40" t="n">
        <x:f>G3976-E3976</x:f>
        <x:v>0.09999999999999964</x:v>
      </x:c>
      <x:c r="L3976" s="40" t="n">
        <x:f>ABS(K3976)</x:f>
        <x:v>0.09999999999999964</x:v>
      </x:c>
      <x:c r="M3976" s="41" t="str">
        <x:v>lstm-soil-v1</x:v>
      </x:c>
    </x:row>
    <x:row r="3977">
      <x:c r="A3977" s="38" t="str">
        <x:v>7月30日现场数据</x:v>
      </x:c>
      <x:c r="B3977" s="39" t="str">
        <x:v>2026-08-04T00:20:00</x:v>
      </x:c>
      <x:c r="C3977" s="39" t="str">
        <x:v>2026-08-04T00:35:00</x:v>
      </x:c>
      <x:c r="D3977" s="47" t="n">
        <x:v>15</x:v>
      </x:c>
      <x:c r="E3977" s="40" t="n">
        <x:v>13.1</x:v>
      </x:c>
      <x:c r="F3977" s="40" t="n">
        <x:v>11.31302261352539</x:v>
      </x:c>
      <x:c r="G3977" s="40" t="n">
        <x:v>13.2</x:v>
      </x:c>
      <x:c r="H3977" s="40" t="n">
        <x:f>F3977-E3977</x:f>
        <x:v>-1.786977386474609</x:v>
      </x:c>
      <x:c r="I3977" s="40" t="n">
        <x:f>ABS(H3977)</x:f>
        <x:v>1.786977386474609</x:v>
      </x:c>
      <x:c r="J3977" s="40" t="n">
        <x:f>H3977^2</x:f>
        <x:v>3.193288179771624</x:v>
      </x:c>
      <x:c r="K3977" s="40" t="n">
        <x:f>G3977-E3977</x:f>
        <x:v>0.09999999999999964</x:v>
      </x:c>
      <x:c r="L3977" s="40" t="n">
        <x:f>ABS(K3977)</x:f>
        <x:v>0.09999999999999964</x:v>
      </x:c>
      <x:c r="M3977" s="41" t="str">
        <x:v>lstm-soil-v1</x:v>
      </x:c>
    </x:row>
    <x:row r="3978">
      <x:c r="A3978" s="38" t="str">
        <x:v>7月30日现场数据</x:v>
      </x:c>
      <x:c r="B3978" s="39" t="str">
        <x:v>2026-08-04T00:20:00</x:v>
      </x:c>
      <x:c r="C3978" s="39" t="str">
        <x:v>2026-08-04T00:50:00</x:v>
      </x:c>
      <x:c r="D3978" s="47" t="n">
        <x:v>30</x:v>
      </x:c>
      <x:c r="E3978" s="40" t="n">
        <x:v>13</x:v>
      </x:c>
      <x:c r="F3978" s="40" t="n">
        <x:v>11.775352478027344</x:v>
      </x:c>
      <x:c r="G3978" s="40" t="n">
        <x:v>13.2</x:v>
      </x:c>
      <x:c r="H3978" s="40" t="n">
        <x:f>F3978-E3978</x:f>
        <x:v>-1.2246475219726562</x:v>
      </x:c>
      <x:c r="I3978" s="40" t="n">
        <x:f>ABS(H3978)</x:f>
        <x:v>1.2246475219726562</x:v>
      </x:c>
      <x:c r="J3978" s="40" t="n">
        <x:f>H3978^2</x:f>
        <x:v>1.4997615530737676</x:v>
      </x:c>
      <x:c r="K3978" s="40" t="n">
        <x:f>G3978-E3978</x:f>
        <x:v>0.1999999999999993</x:v>
      </x:c>
      <x:c r="L3978" s="40" t="n">
        <x:f>ABS(K3978)</x:f>
        <x:v>0.1999999999999993</x:v>
      </x:c>
      <x:c r="M3978" s="41" t="str">
        <x:v>lstm-soil-v1</x:v>
      </x:c>
    </x:row>
    <x:row r="3979">
      <x:c r="A3979" s="38" t="str">
        <x:v>7月30日现场数据</x:v>
      </x:c>
      <x:c r="B3979" s="39" t="str">
        <x:v>2026-08-04T00:20:00</x:v>
      </x:c>
      <x:c r="C3979" s="39" t="str">
        <x:v>2026-08-04T01:20:00</x:v>
      </x:c>
      <x:c r="D3979" s="47" t="n">
        <x:v>60</x:v>
      </x:c>
      <x:c r="E3979" s="40" t="n">
        <x:v>13</x:v>
      </x:c>
      <x:c r="F3979" s="40" t="n">
        <x:v>13.363773345947266</x:v>
      </x:c>
      <x:c r="G3979" s="40" t="n">
        <x:v>13.2</x:v>
      </x:c>
      <x:c r="H3979" s="40" t="n">
        <x:f>F3979-E3979</x:f>
        <x:v>0.3637733459472656</x:v>
      </x:c>
      <x:c r="I3979" s="40" t="n">
        <x:f>ABS(H3979)</x:f>
        <x:v>0.3637733459472656</x:v>
      </x:c>
      <x:c r="J3979" s="40" t="n">
        <x:f>H3979^2</x:f>
        <x:v>0.132331047221669</x:v>
      </x:c>
      <x:c r="K3979" s="40" t="n">
        <x:f>G3979-E3979</x:f>
        <x:v>0.1999999999999993</x:v>
      </x:c>
      <x:c r="L3979" s="40" t="n">
        <x:f>ABS(K3979)</x:f>
        <x:v>0.1999999999999993</x:v>
      </x:c>
      <x:c r="M3979" s="41" t="str">
        <x:v>lstm-soil-v1</x:v>
      </x:c>
    </x:row>
    <x:row r="3980">
      <x:c r="A3980" s="38" t="str">
        <x:v>7月30日现场数据</x:v>
      </x:c>
      <x:c r="B3980" s="39" t="str">
        <x:v>2026-08-04T00:25:00</x:v>
      </x:c>
      <x:c r="C3980" s="39" t="str">
        <x:v>2026-08-04T00:30:00</x:v>
      </x:c>
      <x:c r="D3980" s="47" t="n">
        <x:v>5</x:v>
      </x:c>
      <x:c r="E3980" s="40" t="n">
        <x:v>13.1</x:v>
      </x:c>
      <x:c r="F3980" s="40" t="n">
        <x:v>11.142024993896484</x:v>
      </x:c>
      <x:c r="G3980" s="40" t="n">
        <x:v>13.1</x:v>
      </x:c>
      <x:c r="H3980" s="40" t="n">
        <x:f>F3980-E3980</x:f>
        <x:v>-1.9579750061035153</x:v>
      </x:c>
      <x:c r="I3980" s="40" t="n">
        <x:f>ABS(H3980)</x:f>
        <x:v>1.9579750061035153</x:v>
      </x:c>
      <x:c r="J3980" s="40" t="n">
        <x:f>H3980^2</x:f>
        <x:v>3.8336661245260606</x:v>
      </x:c>
      <x:c r="K3980" s="40" t="n">
        <x:f>G3980-E3980</x:f>
        <x:v>0</x:v>
      </x:c>
      <x:c r="L3980" s="40" t="n">
        <x:f>ABS(K3980)</x:f>
        <x:v>0</x:v>
      </x:c>
      <x:c r="M3980" s="41" t="str">
        <x:v>lstm-soil-v1</x:v>
      </x:c>
    </x:row>
    <x:row r="3981">
      <x:c r="A3981" s="38" t="str">
        <x:v>7月30日现场数据</x:v>
      </x:c>
      <x:c r="B3981" s="39" t="str">
        <x:v>2026-08-04T00:25:00</x:v>
      </x:c>
      <x:c r="C3981" s="39" t="str">
        <x:v>2026-08-04T00:40:00</x:v>
      </x:c>
      <x:c r="D3981" s="47" t="n">
        <x:v>15</x:v>
      </x:c>
      <x:c r="E3981" s="40" t="n">
        <x:v>13.1</x:v>
      </x:c>
      <x:c r="F3981" s="40" t="n">
        <x:v>11.20217514038086</x:v>
      </x:c>
      <x:c r="G3981" s="40" t="n">
        <x:v>13.1</x:v>
      </x:c>
      <x:c r="H3981" s="40" t="n">
        <x:f>F3981-E3981</x:f>
        <x:v>-1.8978248596191403</x:v>
      </x:c>
      <x:c r="I3981" s="40" t="n">
        <x:f>ABS(H3981)</x:f>
        <x:v>1.8978248596191403</x:v>
      </x:c>
      <x:c r="J3981" s="40" t="n">
        <x:f>H3981^2</x:f>
        <x:v>3.6017391977884095</x:v>
      </x:c>
      <x:c r="K3981" s="40" t="n">
        <x:f>G3981-E3981</x:f>
        <x:v>0</x:v>
      </x:c>
      <x:c r="L3981" s="40" t="n">
        <x:f>ABS(K3981)</x:f>
        <x:v>0</x:v>
      </x:c>
      <x:c r="M3981" s="41" t="str">
        <x:v>lstm-soil-v1</x:v>
      </x:c>
    </x:row>
    <x:row r="3982">
      <x:c r="A3982" s="38" t="str">
        <x:v>7月30日现场数据</x:v>
      </x:c>
      <x:c r="B3982" s="39" t="str">
        <x:v>2026-08-04T00:25:00</x:v>
      </x:c>
      <x:c r="C3982" s="39" t="str">
        <x:v>2026-08-04T00:55:00</x:v>
      </x:c>
      <x:c r="D3982" s="47" t="n">
        <x:v>30</x:v>
      </x:c>
      <x:c r="E3982" s="40" t="n">
        <x:v>13.1</x:v>
      </x:c>
      <x:c r="F3982" s="40" t="n">
        <x:v>11.665782928466797</x:v>
      </x:c>
      <x:c r="G3982" s="40" t="n">
        <x:v>13.1</x:v>
      </x:c>
      <x:c r="H3982" s="40" t="n">
        <x:f>F3982-E3982</x:f>
        <x:v>-1.4342170715332028</x:v>
      </x:c>
      <x:c r="I3982" s="40" t="n">
        <x:f>ABS(H3982)</x:f>
        <x:v>1.4342170715332028</x:v>
      </x:c>
      <x:c r="J3982" s="40" t="n">
        <x:f>H3982^2</x:f>
        <x:v>2.056978608277276</x:v>
      </x:c>
      <x:c r="K3982" s="40" t="n">
        <x:f>G3982-E3982</x:f>
        <x:v>0</x:v>
      </x:c>
      <x:c r="L3982" s="40" t="n">
        <x:f>ABS(K3982)</x:f>
        <x:v>0</x:v>
      </x:c>
      <x:c r="M3982" s="41" t="str">
        <x:v>lstm-soil-v1</x:v>
      </x:c>
    </x:row>
    <x:row r="3983">
      <x:c r="A3983" s="38" t="str">
        <x:v>7月30日现场数据</x:v>
      </x:c>
      <x:c r="B3983" s="39" t="str">
        <x:v>2026-08-04T00:25:00</x:v>
      </x:c>
      <x:c r="C3983" s="39" t="str">
        <x:v>2026-08-04T01:25:00</x:v>
      </x:c>
      <x:c r="D3983" s="47" t="n">
        <x:v>60</x:v>
      </x:c>
      <x:c r="E3983" s="40" t="n">
        <x:v>13</x:v>
      </x:c>
      <x:c r="F3983" s="40" t="n">
        <x:v>13.253829956054688</x:v>
      </x:c>
      <x:c r="G3983" s="40" t="n">
        <x:v>13.1</x:v>
      </x:c>
      <x:c r="H3983" s="40" t="n">
        <x:f>F3983-E3983</x:f>
        <x:v>0.2538299560546875</x:v>
      </x:c>
      <x:c r="I3983" s="40" t="n">
        <x:f>ABS(H3983)</x:f>
        <x:v>0.2538299560546875</x:v>
      </x:c>
      <x:c r="J3983" s="40" t="n">
        <x:f>H3983^2</x:f>
        <x:v>0.06442964659072459</x:v>
      </x:c>
      <x:c r="K3983" s="40" t="n">
        <x:f>G3983-E3983</x:f>
        <x:v>0.09999999999999964</x:v>
      </x:c>
      <x:c r="L3983" s="40" t="n">
        <x:f>ABS(K3983)</x:f>
        <x:v>0.09999999999999964</x:v>
      </x:c>
      <x:c r="M3983" s="41" t="str">
        <x:v>lstm-soil-v1</x:v>
      </x:c>
    </x:row>
    <x:row r="3984">
      <x:c r="A3984" s="38" t="str">
        <x:v>7月30日现场数据</x:v>
      </x:c>
      <x:c r="B3984" s="39" t="str">
        <x:v>2026-08-04T00:30:00</x:v>
      </x:c>
      <x:c r="C3984" s="39" t="str">
        <x:v>2026-08-04T00:35:00</x:v>
      </x:c>
      <x:c r="D3984" s="47" t="n">
        <x:v>5</x:v>
      </x:c>
      <x:c r="E3984" s="40" t="n">
        <x:v>13.1</x:v>
      </x:c>
      <x:c r="F3984" s="40" t="n">
        <x:v>11.141838073730469</x:v>
      </x:c>
      <x:c r="G3984" s="40" t="n">
        <x:v>13.1</x:v>
      </x:c>
      <x:c r="H3984" s="40" t="n">
        <x:f>F3984-E3984</x:f>
        <x:v>-1.958161926269531</x:v>
      </x:c>
      <x:c r="I3984" s="40" t="n">
        <x:f>ABS(H3984)</x:f>
        <x:v>1.958161926269531</x:v>
      </x:c>
      <x:c r="J3984" s="40" t="n">
        <x:f>H3984^2</x:f>
        <x:v>3.8343981294916</x:v>
      </x:c>
      <x:c r="K3984" s="40" t="n">
        <x:f>G3984-E3984</x:f>
        <x:v>0</x:v>
      </x:c>
      <x:c r="L3984" s="40" t="n">
        <x:f>ABS(K3984)</x:f>
        <x:v>0</x:v>
      </x:c>
      <x:c r="M3984" s="41" t="str">
        <x:v>lstm-soil-v1</x:v>
      </x:c>
    </x:row>
    <x:row r="3985">
      <x:c r="A3985" s="38" t="str">
        <x:v>7月30日现场数据</x:v>
      </x:c>
      <x:c r="B3985" s="39" t="str">
        <x:v>2026-08-04T00:30:00</x:v>
      </x:c>
      <x:c r="C3985" s="39" t="str">
        <x:v>2026-08-04T00:45:00</x:v>
      </x:c>
      <x:c r="D3985" s="47" t="n">
        <x:v>15</x:v>
      </x:c>
      <x:c r="E3985" s="40" t="n">
        <x:v>13.1</x:v>
      </x:c>
      <x:c r="F3985" s="40" t="n">
        <x:v>11.201545715332031</x:v>
      </x:c>
      <x:c r="G3985" s="40" t="n">
        <x:v>13.1</x:v>
      </x:c>
      <x:c r="H3985" s="40" t="n">
        <x:f>F3985-E3985</x:f>
        <x:v>-1.8984542846679684</x:v>
      </x:c>
      <x:c r="I3985" s="40" t="n">
        <x:f>ABS(H3985)</x:f>
        <x:v>1.8984542846679684</x:v>
      </x:c>
      <x:c r="J3985" s="40" t="n">
        <x:f>H3985^2</x:f>
        <x:v>3.6041286709741676</x:v>
      </x:c>
      <x:c r="K3985" s="40" t="n">
        <x:f>G3985-E3985</x:f>
        <x:v>0</x:v>
      </x:c>
      <x:c r="L3985" s="40" t="n">
        <x:f>ABS(K3985)</x:f>
        <x:v>0</x:v>
      </x:c>
      <x:c r="M3985" s="41" t="str">
        <x:v>lstm-soil-v1</x:v>
      </x:c>
    </x:row>
    <x:row r="3986">
      <x:c r="A3986" s="38" t="str">
        <x:v>7月30日现场数据</x:v>
      </x:c>
      <x:c r="B3986" s="39" t="str">
        <x:v>2026-08-04T00:30:00</x:v>
      </x:c>
      <x:c r="C3986" s="39" t="str">
        <x:v>2026-08-04T01:00:00</x:v>
      </x:c>
      <x:c r="D3986" s="47" t="n">
        <x:v>30</x:v>
      </x:c>
      <x:c r="E3986" s="40" t="n">
        <x:v>13.1</x:v>
      </x:c>
      <x:c r="F3986" s="40" t="n">
        <x:v>11.66634750366211</x:v>
      </x:c>
      <x:c r="G3986" s="40" t="n">
        <x:v>13.1</x:v>
      </x:c>
      <x:c r="H3986" s="40" t="n">
        <x:f>F3986-E3986</x:f>
        <x:v>-1.4336524963378903</x:v>
      </x:c>
      <x:c r="I3986" s="40" t="n">
        <x:f>ABS(H3986)</x:f>
        <x:v>1.4336524963378903</x:v>
      </x:c>
      <x:c r="J3986" s="40" t="n">
        <x:f>H3986^2</x:f>
        <x:v>2.0553594802558646</x:v>
      </x:c>
      <x:c r="K3986" s="40" t="n">
        <x:f>G3986-E3986</x:f>
        <x:v>0</x:v>
      </x:c>
      <x:c r="L3986" s="40" t="n">
        <x:f>ABS(K3986)</x:f>
        <x:v>0</x:v>
      </x:c>
      <x:c r="M3986" s="41" t="str">
        <x:v>lstm-soil-v1</x:v>
      </x:c>
    </x:row>
    <x:row r="3987">
      <x:c r="A3987" s="38" t="str">
        <x:v>7月30日现场数据</x:v>
      </x:c>
      <x:c r="B3987" s="39" t="str">
        <x:v>2026-08-04T00:30:00</x:v>
      </x:c>
      <x:c r="C3987" s="39" t="str">
        <x:v>2026-08-04T01:30:00</x:v>
      </x:c>
      <x:c r="D3987" s="47" t="n">
        <x:v>60</x:v>
      </x:c>
      <x:c r="E3987" s="40" t="n">
        <x:v>13.1</x:v>
      </x:c>
      <x:c r="F3987" s="40" t="n">
        <x:v>13.254356384277344</x:v>
      </x:c>
      <x:c r="G3987" s="40" t="n">
        <x:v>13.1</x:v>
      </x:c>
      <x:c r="H3987" s="40" t="n">
        <x:f>F3987-E3987</x:f>
        <x:v>0.1543563842773441</x:v>
      </x:c>
      <x:c r="I3987" s="40" t="n">
        <x:f>ABS(H3987)</x:f>
        <x:v>0.1543563842773441</x:v>
      </x:c>
      <x:c r="J3987" s="40" t="n">
        <x:f>H3987^2</x:f>
        <x:v>0.02382589336717512</x:v>
      </x:c>
      <x:c r="K3987" s="40" t="n">
        <x:f>G3987-E3987</x:f>
        <x:v>0</x:v>
      </x:c>
      <x:c r="L3987" s="40" t="n">
        <x:f>ABS(K3987)</x:f>
        <x:v>0</x:v>
      </x:c>
      <x:c r="M3987" s="41" t="str">
        <x:v>lstm-soil-v1</x:v>
      </x:c>
    </x:row>
    <x:row r="3988">
      <x:c r="A3988" s="38" t="str">
        <x:v>7月30日现场数据</x:v>
      </x:c>
      <x:c r="B3988" s="39" t="str">
        <x:v>2026-08-04T00:35:00</x:v>
      </x:c>
      <x:c r="C3988" s="39" t="str">
        <x:v>2026-08-04T00:40:00</x:v>
      </x:c>
      <x:c r="D3988" s="47" t="n">
        <x:v>5</x:v>
      </x:c>
      <x:c r="E3988" s="40" t="n">
        <x:v>13.1</x:v>
      </x:c>
      <x:c r="F3988" s="40" t="n">
        <x:v>11.141777038574219</x:v>
      </x:c>
      <x:c r="G3988" s="40" t="n">
        <x:v>13.1</x:v>
      </x:c>
      <x:c r="H3988" s="40" t="n">
        <x:f>F3988-E3988</x:f>
        <x:v>-1.958222961425781</x:v>
      </x:c>
      <x:c r="I3988" s="40" t="n">
        <x:f>ABS(H3988)</x:f>
        <x:v>1.958222961425781</x:v>
      </x:c>
      <x:c r="J3988" s="40" t="n">
        <x:f>H3988^2</x:f>
        <x:v>3.8346371666551553</x:v>
      </x:c>
      <x:c r="K3988" s="40" t="n">
        <x:f>G3988-E3988</x:f>
        <x:v>0</x:v>
      </x:c>
      <x:c r="L3988" s="40" t="n">
        <x:f>ABS(K3988)</x:f>
        <x:v>0</x:v>
      </x:c>
      <x:c r="M3988" s="41" t="str">
        <x:v>lstm-soil-v1</x:v>
      </x:c>
    </x:row>
    <x:row r="3989">
      <x:c r="A3989" s="38" t="str">
        <x:v>7月30日现场数据</x:v>
      </x:c>
      <x:c r="B3989" s="39" t="str">
        <x:v>2026-08-04T00:35:00</x:v>
      </x:c>
      <x:c r="C3989" s="39" t="str">
        <x:v>2026-08-04T00:50:00</x:v>
      </x:c>
      <x:c r="D3989" s="47" t="n">
        <x:v>15</x:v>
      </x:c>
      <x:c r="E3989" s="40" t="n">
        <x:v>13</x:v>
      </x:c>
      <x:c r="F3989" s="40" t="n">
        <x:v>11.201095581054688</x:v>
      </x:c>
      <x:c r="G3989" s="40" t="n">
        <x:v>13.1</x:v>
      </x:c>
      <x:c r="H3989" s="40" t="n">
        <x:f>F3989-E3989</x:f>
        <x:v>-1.7989044189453125</x:v>
      </x:c>
      <x:c r="I3989" s="40" t="n">
        <x:f>ABS(H3989)</x:f>
        <x:v>1.7989044189453125</x:v>
      </x:c>
      <x:c r="J3989" s="40" t="n">
        <x:f>H3989^2</x:f>
        <x:v>3.2360571085009724</x:v>
      </x:c>
      <x:c r="K3989" s="40" t="n">
        <x:f>G3989-E3989</x:f>
        <x:v>0.09999999999999964</x:v>
      </x:c>
      <x:c r="L3989" s="40" t="n">
        <x:f>ABS(K3989)</x:f>
        <x:v>0.09999999999999964</x:v>
      </x:c>
      <x:c r="M3989" s="41" t="str">
        <x:v>lstm-soil-v1</x:v>
      </x:c>
    </x:row>
    <x:row r="3990">
      <x:c r="A3990" s="38" t="str">
        <x:v>7月30日现场数据</x:v>
      </x:c>
      <x:c r="B3990" s="39" t="str">
        <x:v>2026-08-04T00:35:00</x:v>
      </x:c>
      <x:c r="C3990" s="39" t="str">
        <x:v>2026-08-04T01:05:00</x:v>
      </x:c>
      <x:c r="D3990" s="47" t="n">
        <x:v>30</x:v>
      </x:c>
      <x:c r="E3990" s="40" t="n">
        <x:v>13.1</x:v>
      </x:c>
      <x:c r="F3990" s="40" t="n">
        <x:v>11.666881561279297</x:v>
      </x:c>
      <x:c r="G3990" s="40" t="n">
        <x:v>13.1</x:v>
      </x:c>
      <x:c r="H3990" s="40" t="n">
        <x:f>F3990-E3990</x:f>
        <x:v>-1.4331184387207028</x:v>
      </x:c>
      <x:c r="I3990" s="40" t="n">
        <x:f>ABS(H3990)</x:f>
        <x:v>1.4331184387207028</x:v>
      </x:c>
      <x:c r="J3990" s="40" t="n">
        <x:f>H3990^2</x:f>
        <x:v>2.053828459401265</x:v>
      </x:c>
      <x:c r="K3990" s="40" t="n">
        <x:f>G3990-E3990</x:f>
        <x:v>0</x:v>
      </x:c>
      <x:c r="L3990" s="40" t="n">
        <x:f>ABS(K3990)</x:f>
        <x:v>0</x:v>
      </x:c>
      <x:c r="M3990" s="41" t="str">
        <x:v>lstm-soil-v1</x:v>
      </x:c>
    </x:row>
    <x:row r="3991">
      <x:c r="A3991" s="38" t="str">
        <x:v>7月30日现场数据</x:v>
      </x:c>
      <x:c r="B3991" s="39" t="str">
        <x:v>2026-08-04T00:35:00</x:v>
      </x:c>
      <x:c r="C3991" s="39" t="str">
        <x:v>2026-08-04T01:35:00</x:v>
      </x:c>
      <x:c r="D3991" s="47" t="n">
        <x:v>60</x:v>
      </x:c>
      <x:c r="E3991" s="40" t="n">
        <x:v>13.1</x:v>
      </x:c>
      <x:c r="F3991" s="40" t="n">
        <x:v>13.25497817993164</x:v>
      </x:c>
      <x:c r="G3991" s="40" t="n">
        <x:v>13.1</x:v>
      </x:c>
      <x:c r="H3991" s="40" t="n">
        <x:f>F3991-E3991</x:f>
        <x:v>0.15497817993164098</x:v>
      </x:c>
      <x:c r="I3991" s="40" t="n">
        <x:f>ABS(H3991)</x:f>
        <x:v>0.15497817993164098</x:v>
      </x:c>
      <x:c r="J3991" s="40" t="n">
        <x:f>H3991^2</x:f>
        <x:v>0.024018236254924087</x:v>
      </x:c>
      <x:c r="K3991" s="40" t="n">
        <x:f>G3991-E3991</x:f>
        <x:v>0</x:v>
      </x:c>
      <x:c r="L3991" s="40" t="n">
        <x:f>ABS(K3991)</x:f>
        <x:v>0</x:v>
      </x:c>
      <x:c r="M3991" s="41" t="str">
        <x:v>lstm-soil-v1</x:v>
      </x:c>
    </x:row>
    <x:row r="3992">
      <x:c r="A3992" s="38" t="str">
        <x:v>7月30日现场数据</x:v>
      </x:c>
      <x:c r="B3992" s="39" t="str">
        <x:v>2026-08-04T00:40:00</x:v>
      </x:c>
      <x:c r="C3992" s="39" t="str">
        <x:v>2026-08-04T00:45:00</x:v>
      </x:c>
      <x:c r="D3992" s="47" t="n">
        <x:v>5</x:v>
      </x:c>
      <x:c r="E3992" s="40" t="n">
        <x:v>13.1</x:v>
      </x:c>
      <x:c r="F3992" s="40" t="n">
        <x:v>11.141830444335938</x:v>
      </x:c>
      <x:c r="G3992" s="40" t="n">
        <x:v>13.1</x:v>
      </x:c>
      <x:c r="H3992" s="40" t="n">
        <x:f>F3992-E3992</x:f>
        <x:v>-1.9581695556640621</x:v>
      </x:c>
      <x:c r="I3992" s="40" t="n">
        <x:f>ABS(H3992)</x:f>
        <x:v>1.9581695556640621</x:v>
      </x:c>
      <x:c r="J3992" s="40" t="n">
        <x:f>H3992^2</x:f>
        <x:v>3.8344280087295908</x:v>
      </x:c>
      <x:c r="K3992" s="40" t="n">
        <x:f>G3992-E3992</x:f>
        <x:v>0</x:v>
      </x:c>
      <x:c r="L3992" s="40" t="n">
        <x:f>ABS(K3992)</x:f>
        <x:v>0</x:v>
      </x:c>
      <x:c r="M3992" s="41" t="str">
        <x:v>lstm-soil-v1</x:v>
      </x:c>
    </x:row>
    <x:row r="3993">
      <x:c r="A3993" s="38" t="str">
        <x:v>7月30日现场数据</x:v>
      </x:c>
      <x:c r="B3993" s="39" t="str">
        <x:v>2026-08-04T00:40:00</x:v>
      </x:c>
      <x:c r="C3993" s="39" t="str">
        <x:v>2026-08-04T00:55:00</x:v>
      </x:c>
      <x:c r="D3993" s="47" t="n">
        <x:v>15</x:v>
      </x:c>
      <x:c r="E3993" s="40" t="n">
        <x:v>13.1</x:v>
      </x:c>
      <x:c r="F3993" s="40" t="n">
        <x:v>11.200817108154297</x:v>
      </x:c>
      <x:c r="G3993" s="40" t="n">
        <x:v>13.1</x:v>
      </x:c>
      <x:c r="H3993" s="40" t="n">
        <x:f>F3993-E3993</x:f>
        <x:v>-1.8991828918457028</x:v>
      </x:c>
      <x:c r="I3993" s="40" t="n">
        <x:f>ABS(H3993)</x:f>
        <x:v>1.8991828918457028</x:v>
      </x:c>
      <x:c r="J3993" s="40" t="n">
        <x:f>H3993^2</x:f>
        <x:v>3.606895656679406</x:v>
      </x:c>
      <x:c r="K3993" s="40" t="n">
        <x:f>G3993-E3993</x:f>
        <x:v>0</x:v>
      </x:c>
      <x:c r="L3993" s="40" t="n">
        <x:f>ABS(K3993)</x:f>
        <x:v>0</x:v>
      </x:c>
      <x:c r="M3993" s="41" t="str">
        <x:v>lstm-soil-v1</x:v>
      </x:c>
    </x:row>
    <x:row r="3994">
      <x:c r="A3994" s="38" t="str">
        <x:v>7月30日现场数据</x:v>
      </x:c>
      <x:c r="B3994" s="39" t="str">
        <x:v>2026-08-04T00:40:00</x:v>
      </x:c>
      <x:c r="C3994" s="39" t="str">
        <x:v>2026-08-04T01:10:00</x:v>
      </x:c>
      <x:c r="D3994" s="47" t="n">
        <x:v>30</x:v>
      </x:c>
      <x:c r="E3994" s="40" t="n">
        <x:v>13.1</x:v>
      </x:c>
      <x:c r="F3994" s="40" t="n">
        <x:v>11.667430877685547</x:v>
      </x:c>
      <x:c r="G3994" s="40" t="n">
        <x:v>13.1</x:v>
      </x:c>
      <x:c r="H3994" s="40" t="n">
        <x:f>F3994-E3994</x:f>
        <x:v>-1.4325691223144528</x:v>
      </x:c>
      <x:c r="I3994" s="40" t="n">
        <x:f>ABS(H3994)</x:f>
        <x:v>1.4325691223144528</x:v>
      </x:c>
      <x:c r="J3994" s="40" t="n">
        <x:f>H3994^2</x:f>
        <x:v>2.0522542902088015</x:v>
      </x:c>
      <x:c r="K3994" s="40" t="n">
        <x:f>G3994-E3994</x:f>
        <x:v>0</x:v>
      </x:c>
      <x:c r="L3994" s="40" t="n">
        <x:f>ABS(K3994)</x:f>
        <x:v>0</x:v>
      </x:c>
      <x:c r="M3994" s="41" t="str">
        <x:v>lstm-soil-v1</x:v>
      </x:c>
    </x:row>
    <x:row r="3995">
      <x:c r="A3995" s="38" t="str">
        <x:v>7月30日现场数据</x:v>
      </x:c>
      <x:c r="B3995" s="39" t="str">
        <x:v>2026-08-04T00:40:00</x:v>
      </x:c>
      <x:c r="C3995" s="39" t="str">
        <x:v>2026-08-04T01:40:00</x:v>
      </x:c>
      <x:c r="D3995" s="47" t="n">
        <x:v>60</x:v>
      </x:c>
      <x:c r="E3995" s="40" t="n">
        <x:v>13</x:v>
      </x:c>
      <x:c r="F3995" s="40" t="n">
        <x:v>13.255634307861328</x:v>
      </x:c>
      <x:c r="G3995" s="40" t="n">
        <x:v>13.1</x:v>
      </x:c>
      <x:c r="H3995" s="40" t="n">
        <x:f>F3995-E3995</x:f>
        <x:v>0.2556343078613281</x:v>
      </x:c>
      <x:c r="I3995" s="40" t="n">
        <x:f>ABS(H3995)</x:f>
        <x:v>0.2556343078613281</x:v>
      </x:c>
      <x:c r="J3995" s="40" t="n">
        <x:f>H3995^2</x:f>
        <x:v>0.06534889935574029</x:v>
      </x:c>
      <x:c r="K3995" s="40" t="n">
        <x:f>G3995-E3995</x:f>
        <x:v>0.09999999999999964</x:v>
      </x:c>
      <x:c r="L3995" s="40" t="n">
        <x:f>ABS(K3995)</x:f>
        <x:v>0.09999999999999964</x:v>
      </x:c>
      <x:c r="M3995" s="41" t="str">
        <x:v>lstm-soil-v1</x:v>
      </x:c>
    </x:row>
    <x:row r="3996">
      <x:c r="A3996" s="38" t="str">
        <x:v>7月30日现场数据</x:v>
      </x:c>
      <x:c r="B3996" s="39" t="str">
        <x:v>2026-08-04T00:45:00</x:v>
      </x:c>
      <x:c r="C3996" s="39" t="str">
        <x:v>2026-08-04T00:50:00</x:v>
      </x:c>
      <x:c r="D3996" s="47" t="n">
        <x:v>5</x:v>
      </x:c>
      <x:c r="E3996" s="40" t="n">
        <x:v>13</x:v>
      </x:c>
      <x:c r="F3996" s="40" t="n">
        <x:v>11.141834259033203</x:v>
      </x:c>
      <x:c r="G3996" s="40" t="n">
        <x:v>13.1</x:v>
      </x:c>
      <x:c r="H3996" s="40" t="n">
        <x:f>F3996-E3996</x:f>
        <x:v>-1.8581657409667969</x:v>
      </x:c>
      <x:c r="I3996" s="40" t="n">
        <x:f>ABS(H3996)</x:f>
        <x:v>1.8581657409667969</x:v>
      </x:c>
      <x:c r="J3996" s="40" t="n">
        <x:f>H3996^2</x:f>
        <x:v>3.4527799209026853</x:v>
      </x:c>
      <x:c r="K3996" s="40" t="n">
        <x:f>G3996-E3996</x:f>
        <x:v>0.09999999999999964</x:v>
      </x:c>
      <x:c r="L3996" s="40" t="n">
        <x:f>ABS(K3996)</x:f>
        <x:v>0.09999999999999964</x:v>
      </x:c>
      <x:c r="M3996" s="41" t="str">
        <x:v>lstm-soil-v1</x:v>
      </x:c>
    </x:row>
    <x:row r="3997">
      <x:c r="A3997" s="38" t="str">
        <x:v>7月30日现场数据</x:v>
      </x:c>
      <x:c r="B3997" s="39" t="str">
        <x:v>2026-08-04T00:45:00</x:v>
      </x:c>
      <x:c r="C3997" s="39" t="str">
        <x:v>2026-08-04T01:00:00</x:v>
      </x:c>
      <x:c r="D3997" s="47" t="n">
        <x:v>15</x:v>
      </x:c>
      <x:c r="E3997" s="40" t="n">
        <x:v>13.1</x:v>
      </x:c>
      <x:c r="F3997" s="40" t="n">
        <x:v>11.20062255859375</x:v>
      </x:c>
      <x:c r="G3997" s="40" t="n">
        <x:v>13.1</x:v>
      </x:c>
      <x:c r="H3997" s="40" t="n">
        <x:f>F3997-E3997</x:f>
        <x:v>-1.8993774414062496</x:v>
      </x:c>
      <x:c r="I3997" s="40" t="n">
        <x:f>ABS(H3997)</x:f>
        <x:v>1.8993774414062496</x:v>
      </x:c>
      <x:c r="J3997" s="40" t="n">
        <x:f>H3997^2</x:f>
        <x:v>3.6076346649229514</x:v>
      </x:c>
      <x:c r="K3997" s="40" t="n">
        <x:f>G3997-E3997</x:f>
        <x:v>0</x:v>
      </x:c>
      <x:c r="L3997" s="40" t="n">
        <x:f>ABS(K3997)</x:f>
        <x:v>0</x:v>
      </x:c>
      <x:c r="M3997" s="41" t="str">
        <x:v>lstm-soil-v1</x:v>
      </x:c>
    </x:row>
    <x:row r="3998">
      <x:c r="A3998" s="38" t="str">
        <x:v>7月30日现场数据</x:v>
      </x:c>
      <x:c r="B3998" s="39" t="str">
        <x:v>2026-08-04T00:45:00</x:v>
      </x:c>
      <x:c r="C3998" s="39" t="str">
        <x:v>2026-08-04T01:15:00</x:v>
      </x:c>
      <x:c r="D3998" s="47" t="n">
        <x:v>30</x:v>
      </x:c>
      <x:c r="E3998" s="40" t="n">
        <x:v>13.1</x:v>
      </x:c>
      <x:c r="F3998" s="40" t="n">
        <x:v>11.667835235595703</x:v>
      </x:c>
      <x:c r="G3998" s="40" t="n">
        <x:v>13.1</x:v>
      </x:c>
      <x:c r="H3998" s="40" t="n">
        <x:f>F3998-E3998</x:f>
        <x:v>-1.4321647644042965</x:v>
      </x:c>
      <x:c r="I3998" s="40" t="n">
        <x:f>ABS(H3998)</x:f>
        <x:v>1.4321647644042965</x:v>
      </x:c>
      <x:c r="J3998" s="40" t="n">
        <x:f>H3998^2</x:f>
        <x:v>2.0510959124012142</x:v>
      </x:c>
      <x:c r="K3998" s="40" t="n">
        <x:f>G3998-E3998</x:f>
        <x:v>0</x:v>
      </x:c>
      <x:c r="L3998" s="40" t="n">
        <x:f>ABS(K3998)</x:f>
        <x:v>0</x:v>
      </x:c>
      <x:c r="M3998" s="41" t="str">
        <x:v>lstm-soil-v1</x:v>
      </x:c>
    </x:row>
    <x:row r="3999">
      <x:c r="A3999" s="38" t="str">
        <x:v>7月30日现场数据</x:v>
      </x:c>
      <x:c r="B3999" s="39" t="str">
        <x:v>2026-08-04T00:45:00</x:v>
      </x:c>
      <x:c r="C3999" s="39" t="str">
        <x:v>2026-08-04T01:45:00</x:v>
      </x:c>
      <x:c r="D3999" s="47" t="n">
        <x:v>60</x:v>
      </x:c>
      <x:c r="E3999" s="40" t="n">
        <x:v>13.1</x:v>
      </x:c>
      <x:c r="F3999" s="40" t="n">
        <x:v>13.256134033203125</x:v>
      </x:c>
      <x:c r="G3999" s="40" t="n">
        <x:v>13.1</x:v>
      </x:c>
      <x:c r="H3999" s="40" t="n">
        <x:f>F3999-E3999</x:f>
        <x:v>0.15613403320312536</x:v>
      </x:c>
      <x:c r="I3999" s="40" t="n">
        <x:f>ABS(H3999)</x:f>
        <x:v>0.15613403320312536</x:v>
      </x:c>
      <x:c r="J3999" s="40" t="n">
        <x:f>H3999^2</x:f>
        <x:v>0.024377836324274652</x:v>
      </x:c>
      <x:c r="K3999" s="40" t="n">
        <x:f>G3999-E3999</x:f>
        <x:v>0</x:v>
      </x:c>
      <x:c r="L3999" s="40" t="n">
        <x:f>ABS(K3999)</x:f>
        <x:v>0</x:v>
      </x:c>
      <x:c r="M3999" s="41" t="str">
        <x:v>lstm-soil-v1</x:v>
      </x:c>
    </x:row>
    <x:row r="4000">
      <x:c r="A4000" s="38" t="str">
        <x:v>7月30日现场数据</x:v>
      </x:c>
      <x:c r="B4000" s="39" t="str">
        <x:v>2026-08-04T00:50:00</x:v>
      </x:c>
      <x:c r="C4000" s="39" t="str">
        <x:v>2026-08-04T00:55:00</x:v>
      </x:c>
      <x:c r="D4000" s="47" t="n">
        <x:v>5</x:v>
      </x:c>
      <x:c r="E4000" s="40" t="n">
        <x:v>13.1</x:v>
      </x:c>
      <x:c r="F4000" s="40" t="n">
        <x:v>11.031574249267578</x:v>
      </x:c>
      <x:c r="G4000" s="40" t="n">
        <x:v>13</x:v>
      </x:c>
      <x:c r="H4000" s="40" t="n">
        <x:f>F4000-E4000</x:f>
        <x:v>-2.0684257507324215</x:v>
      </x:c>
      <x:c r="I4000" s="40" t="n">
        <x:f>ABS(H4000)</x:f>
        <x:v>2.0684257507324215</x:v>
      </x:c>
      <x:c r="J4000" s="40" t="n">
        <x:f>H4000^2</x:f>
        <x:v>4.278385086292982</x:v>
      </x:c>
      <x:c r="K4000" s="40" t="n">
        <x:f>G4000-E4000</x:f>
        <x:v>-0.09999999999999964</x:v>
      </x:c>
      <x:c r="L4000" s="40" t="n">
        <x:f>ABS(K4000)</x:f>
        <x:v>0.09999999999999964</x:v>
      </x:c>
      <x:c r="M4000" s="41" t="str">
        <x:v>lstm-soil-v1</x:v>
      </x:c>
    </x:row>
    <x:row r="4001">
      <x:c r="A4001" s="38" t="str">
        <x:v>7月30日现场数据</x:v>
      </x:c>
      <x:c r="B4001" s="39" t="str">
        <x:v>2026-08-04T00:50:00</x:v>
      </x:c>
      <x:c r="C4001" s="39" t="str">
        <x:v>2026-08-04T01:05:00</x:v>
      </x:c>
      <x:c r="D4001" s="47" t="n">
        <x:v>15</x:v>
      </x:c>
      <x:c r="E4001" s="40" t="n">
        <x:v>13.1</x:v>
      </x:c>
      <x:c r="F4001" s="40" t="n">
        <x:v>11.090278625488281</x:v>
      </x:c>
      <x:c r="G4001" s="40" t="n">
        <x:v>13</x:v>
      </x:c>
      <x:c r="H4001" s="40" t="n">
        <x:f>F4001-E4001</x:f>
        <x:v>-2.0097213745117184</x:v>
      </x:c>
      <x:c r="I4001" s="40" t="n">
        <x:f>ABS(H4001)</x:f>
        <x:v>2.0097213745117184</x:v>
      </x:c>
      <x:c r="J4001" s="40" t="n">
        <x:f>H4001^2</x:f>
        <x:v>4.038980003169271</x:v>
      </x:c>
      <x:c r="K4001" s="40" t="n">
        <x:f>G4001-E4001</x:f>
        <x:v>-0.09999999999999964</x:v>
      </x:c>
      <x:c r="L4001" s="40" t="n">
        <x:f>ABS(K4001)</x:f>
        <x:v>0.09999999999999964</x:v>
      </x:c>
      <x:c r="M4001" s="41" t="str">
        <x:v>lstm-soil-v1</x:v>
      </x:c>
    </x:row>
    <x:row r="4002">
      <x:c r="A4002" s="38" t="str">
        <x:v>7月30日现场数据</x:v>
      </x:c>
      <x:c r="B4002" s="39" t="str">
        <x:v>2026-08-04T00:50:00</x:v>
      </x:c>
      <x:c r="C4002" s="39" t="str">
        <x:v>2026-08-04T01:20:00</x:v>
      </x:c>
      <x:c r="D4002" s="47" t="n">
        <x:v>30</x:v>
      </x:c>
      <x:c r="E4002" s="40" t="n">
        <x:v>13</x:v>
      </x:c>
      <x:c r="F4002" s="40" t="n">
        <x:v>11.557994842529297</x:v>
      </x:c>
      <x:c r="G4002" s="40" t="n">
        <x:v>13</x:v>
      </x:c>
      <x:c r="H4002" s="40" t="n">
        <x:f>F4002-E4002</x:f>
        <x:v>-1.4420051574707031</x:v>
      </x:c>
      <x:c r="I4002" s="40" t="n">
        <x:f>ABS(H4002)</x:f>
        <x:v>1.4420051574707031</x:v>
      </x:c>
      <x:c r="J4002" s="40" t="n">
        <x:f>H4002^2</x:f>
        <x:v>2.0793788741721073</x:v>
      </x:c>
      <x:c r="K4002" s="40" t="n">
        <x:f>G4002-E4002</x:f>
        <x:v>0</x:v>
      </x:c>
      <x:c r="L4002" s="40" t="n">
        <x:f>ABS(K4002)</x:f>
        <x:v>0</x:v>
      </x:c>
      <x:c r="M4002" s="41" t="str">
        <x:v>lstm-soil-v1</x:v>
      </x:c>
    </x:row>
    <x:row r="4003">
      <x:c r="A4003" s="38" t="str">
        <x:v>7月30日现场数据</x:v>
      </x:c>
      <x:c r="B4003" s="39" t="str">
        <x:v>2026-08-04T00:50:00</x:v>
      </x:c>
      <x:c r="C4003" s="39" t="str">
        <x:v>2026-08-04T01:50:00</x:v>
      </x:c>
      <x:c r="D4003" s="47" t="n">
        <x:v>60</x:v>
      </x:c>
      <x:c r="E4003" s="40" t="n">
        <x:v>13</x:v>
      </x:c>
      <x:c r="F4003" s="40" t="n">
        <x:v>13.146312713623047</x:v>
      </x:c>
      <x:c r="G4003" s="40" t="n">
        <x:v>13</x:v>
      </x:c>
      <x:c r="H4003" s="40" t="n">
        <x:f>F4003-E4003</x:f>
        <x:v>0.14631271362304688</x:v>
      </x:c>
      <x:c r="I4003" s="40" t="n">
        <x:f>ABS(H4003)</x:f>
        <x:v>0.14631271362304688</x:v>
      </x:c>
      <x:c r="J4003" s="40" t="n">
        <x:f>H4003^2</x:f>
        <x:v>0.021407410167739727</x:v>
      </x:c>
      <x:c r="K4003" s="40" t="n">
        <x:f>G4003-E4003</x:f>
        <x:v>0</x:v>
      </x:c>
      <x:c r="L4003" s="40" t="n">
        <x:f>ABS(K4003)</x:f>
        <x:v>0</x:v>
      </x:c>
      <x:c r="M4003" s="41" t="str">
        <x:v>lstm-soil-v1</x:v>
      </x:c>
    </x:row>
    <x:row r="4004">
      <x:c r="A4004" s="38" t="str">
        <x:v>7月30日现场数据</x:v>
      </x:c>
      <x:c r="B4004" s="39" t="str">
        <x:v>2026-08-04T00:55:00</x:v>
      </x:c>
      <x:c r="C4004" s="39" t="str">
        <x:v>2026-08-04T01:00:00</x:v>
      </x:c>
      <x:c r="D4004" s="47" t="n">
        <x:v>5</x:v>
      </x:c>
      <x:c r="E4004" s="40" t="n">
        <x:v>13.1</x:v>
      </x:c>
      <x:c r="F4004" s="40" t="n">
        <x:v>11.141796112060547</x:v>
      </x:c>
      <x:c r="G4004" s="40" t="n">
        <x:v>13.1</x:v>
      </x:c>
      <x:c r="H4004" s="40" t="n">
        <x:f>F4004-E4004</x:f>
        <x:v>-1.9582038879394528</x:v>
      </x:c>
      <x:c r="I4004" s="40" t="n">
        <x:f>ABS(H4004)</x:f>
        <x:v>1.9582038879394528</x:v>
      </x:c>
      <x:c r="J4004" s="40" t="n">
        <x:f>H4004^2</x:f>
        <x:v>3.834562466741189</x:v>
      </x:c>
      <x:c r="K4004" s="40" t="n">
        <x:f>G4004-E4004</x:f>
        <x:v>0</x:v>
      </x:c>
      <x:c r="L4004" s="40" t="n">
        <x:f>ABS(K4004)</x:f>
        <x:v>0</x:v>
      </x:c>
      <x:c r="M4004" s="41" t="str">
        <x:v>lstm-soil-v1</x:v>
      </x:c>
    </x:row>
    <x:row r="4005">
      <x:c r="A4005" s="38" t="str">
        <x:v>7月30日现场数据</x:v>
      </x:c>
      <x:c r="B4005" s="39" t="str">
        <x:v>2026-08-04T00:55:00</x:v>
      </x:c>
      <x:c r="C4005" s="39" t="str">
        <x:v>2026-08-04T01:10:00</x:v>
      </x:c>
      <x:c r="D4005" s="47" t="n">
        <x:v>15</x:v>
      </x:c>
      <x:c r="E4005" s="40" t="n">
        <x:v>13.1</x:v>
      </x:c>
      <x:c r="F4005" s="40" t="n">
        <x:v>11.20022201538086</x:v>
      </x:c>
      <x:c r="G4005" s="40" t="n">
        <x:v>13.1</x:v>
      </x:c>
      <x:c r="H4005" s="40" t="n">
        <x:f>F4005-E4005</x:f>
        <x:v>-1.8997779846191403</x:v>
      </x:c>
      <x:c r="I4005" s="40" t="n">
        <x:f>ABS(H4005)</x:f>
        <x:v>1.8997779846191403</x:v>
      </x:c>
      <x:c r="J4005" s="40" t="n">
        <x:f>H4005^2</x:f>
        <x:v>3.6091563908435624</x:v>
      </x:c>
      <x:c r="K4005" s="40" t="n">
        <x:f>G4005-E4005</x:f>
        <x:v>0</x:v>
      </x:c>
      <x:c r="L4005" s="40" t="n">
        <x:f>ABS(K4005)</x:f>
        <x:v>0</x:v>
      </x:c>
      <x:c r="M4005" s="41" t="str">
        <x:v>lstm-soil-v1</x:v>
      </x:c>
    </x:row>
    <x:row r="4006">
      <x:c r="A4006" s="38" t="str">
        <x:v>7月30日现场数据</x:v>
      </x:c>
      <x:c r="B4006" s="39" t="str">
        <x:v>2026-08-04T00:55:00</x:v>
      </x:c>
      <x:c r="C4006" s="39" t="str">
        <x:v>2026-08-04T01:25:00</x:v>
      </x:c>
      <x:c r="D4006" s="47" t="n">
        <x:v>30</x:v>
      </x:c>
      <x:c r="E4006" s="40" t="n">
        <x:v>13</x:v>
      </x:c>
      <x:c r="F4006" s="40" t="n">
        <x:v>11.668529510498047</x:v>
      </x:c>
      <x:c r="G4006" s="40" t="n">
        <x:v>13.1</x:v>
      </x:c>
      <x:c r="H4006" s="40" t="n">
        <x:f>F4006-E4006</x:f>
        <x:v>-1.3314704895019531</x:v>
      </x:c>
      <x:c r="I4006" s="40" t="n">
        <x:f>ABS(H4006)</x:f>
        <x:v>1.3314704895019531</x:v>
      </x:c>
      <x:c r="J4006" s="40" t="n">
        <x:f>H4006^2</x:f>
        <x:v>1.7728136644145707</x:v>
      </x:c>
      <x:c r="K4006" s="40" t="n">
        <x:f>G4006-E4006</x:f>
        <x:v>0.09999999999999964</x:v>
      </x:c>
      <x:c r="L4006" s="40" t="n">
        <x:f>ABS(K4006)</x:f>
        <x:v>0.09999999999999964</x:v>
      </x:c>
      <x:c r="M4006" s="41" t="str">
        <x:v>lstm-soil-v1</x:v>
      </x:c>
    </x:row>
    <x:row r="4007">
      <x:c r="A4007" s="38" t="str">
        <x:v>7月30日现场数据</x:v>
      </x:c>
      <x:c r="B4007" s="39" t="str">
        <x:v>2026-08-04T00:55:00</x:v>
      </x:c>
      <x:c r="C4007" s="39" t="str">
        <x:v>2026-08-04T01:55:00</x:v>
      </x:c>
      <x:c r="D4007" s="47" t="n">
        <x:v>60</x:v>
      </x:c>
      <x:c r="E4007" s="40" t="n">
        <x:v>13.1</x:v>
      </x:c>
      <x:c r="F4007" s="40" t="n">
        <x:v>13.25699234008789</x:v>
      </x:c>
      <x:c r="G4007" s="40" t="n">
        <x:v>13.1</x:v>
      </x:c>
      <x:c r="H4007" s="40" t="n">
        <x:f>F4007-E4007</x:f>
        <x:v>0.15699234008789098</x:v>
      </x:c>
      <x:c r="I4007" s="40" t="n">
        <x:f>ABS(H4007)</x:f>
        <x:v>0.15699234008789098</x:v>
      </x:c>
      <x:c r="J4007" s="40" t="n">
        <x:f>H4007^2</x:f>
        <x:v>0.024646594846272022</x:v>
      </x:c>
      <x:c r="K4007" s="40" t="n">
        <x:f>G4007-E4007</x:f>
        <x:v>0</x:v>
      </x:c>
      <x:c r="L4007" s="40" t="n">
        <x:f>ABS(K4007)</x:f>
        <x:v>0</x:v>
      </x:c>
      <x:c r="M4007" s="41" t="str">
        <x:v>lstm-soil-v1</x:v>
      </x:c>
    </x:row>
    <x:row r="4008">
      <x:c r="A4008" s="38" t="str">
        <x:v>7月30日现场数据</x:v>
      </x:c>
      <x:c r="B4008" s="39" t="str">
        <x:v>2026-08-04T01:00:00</x:v>
      </x:c>
      <x:c r="C4008" s="39" t="str">
        <x:v>2026-08-04T01:05:00</x:v>
      </x:c>
      <x:c r="D4008" s="47" t="n">
        <x:v>5</x:v>
      </x:c>
      <x:c r="E4008" s="40" t="n">
        <x:v>13.1</x:v>
      </x:c>
      <x:c r="F4008" s="40" t="n">
        <x:v>11.138980865478516</x:v>
      </x:c>
      <x:c r="G4008" s="40" t="n">
        <x:v>13.1</x:v>
      </x:c>
      <x:c r="H4008" s="40" t="n">
        <x:f>F4008-E4008</x:f>
        <x:v>-1.961019134521484</x:v>
      </x:c>
      <x:c r="I4008" s="40" t="n">
        <x:f>ABS(H4008)</x:f>
        <x:v>1.961019134521484</x:v>
      </x:c>
      <x:c r="J4008" s="40" t="n">
        <x:f>H4008^2</x:f>
        <x:v>3.84559604595939</x:v>
      </x:c>
      <x:c r="K4008" s="40" t="n">
        <x:f>G4008-E4008</x:f>
        <x:v>0</x:v>
      </x:c>
      <x:c r="L4008" s="40" t="n">
        <x:f>ABS(K4008)</x:f>
        <x:v>0</x:v>
      </x:c>
      <x:c r="M4008" s="41" t="str">
        <x:v>lstm-soil-v1</x:v>
      </x:c>
    </x:row>
    <x:row r="4009">
      <x:c r="A4009" s="38" t="str">
        <x:v>7月30日现场数据</x:v>
      </x:c>
      <x:c r="B4009" s="39" t="str">
        <x:v>2026-08-04T01:00:00</x:v>
      </x:c>
      <x:c r="C4009" s="39" t="str">
        <x:v>2026-08-04T01:15:00</x:v>
      </x:c>
      <x:c r="D4009" s="47" t="n">
        <x:v>15</x:v>
      </x:c>
      <x:c r="E4009" s="40" t="n">
        <x:v>13.1</x:v>
      </x:c>
      <x:c r="F4009" s="40" t="n">
        <x:v>11.197708129882812</x:v>
      </x:c>
      <x:c r="G4009" s="40" t="n">
        <x:v>13.1</x:v>
      </x:c>
      <x:c r="H4009" s="40" t="n">
        <x:f>F4009-E4009</x:f>
        <x:v>-1.9022918701171871</x:v>
      </x:c>
      <x:c r="I4009" s="40" t="n">
        <x:f>ABS(H4009)</x:f>
        <x:v>1.9022918701171871</x:v>
      </x:c>
      <x:c r="J4009" s="40" t="n">
        <x:f>H4009^2</x:f>
        <x:v>3.618714359113945</x:v>
      </x:c>
      <x:c r="K4009" s="40" t="n">
        <x:f>G4009-E4009</x:f>
        <x:v>0</x:v>
      </x:c>
      <x:c r="L4009" s="40" t="n">
        <x:f>ABS(K4009)</x:f>
        <x:v>0</x:v>
      </x:c>
      <x:c r="M4009" s="41" t="str">
        <x:v>lstm-soil-v1</x:v>
      </x:c>
    </x:row>
    <x:row r="4010">
      <x:c r="A4010" s="38" t="str">
        <x:v>7月30日现场数据</x:v>
      </x:c>
      <x:c r="B4010" s="39" t="str">
        <x:v>2026-08-04T01:00:00</x:v>
      </x:c>
      <x:c r="C4010" s="39" t="str">
        <x:v>2026-08-04T01:30:00</x:v>
      </x:c>
      <x:c r="D4010" s="47" t="n">
        <x:v>30</x:v>
      </x:c>
      <x:c r="E4010" s="40" t="n">
        <x:v>13.1</x:v>
      </x:c>
      <x:c r="F4010" s="40" t="n">
        <x:v>11.665008544921875</x:v>
      </x:c>
      <x:c r="G4010" s="40" t="n">
        <x:v>13.1</x:v>
      </x:c>
      <x:c r="H4010" s="40" t="n">
        <x:f>F4010-E4010</x:f>
        <x:v>-1.4349914550781246</x:v>
      </x:c>
      <x:c r="I4010" s="40" t="n">
        <x:f>ABS(H4010)</x:f>
        <x:v>1.4349914550781246</x:v>
      </x:c>
      <x:c r="J4010" s="40" t="n">
        <x:f>H4010^2</x:f>
        <x:v>2.0592004761472333</x:v>
      </x:c>
      <x:c r="K4010" s="40" t="n">
        <x:f>G4010-E4010</x:f>
        <x:v>0</x:v>
      </x:c>
      <x:c r="L4010" s="40" t="n">
        <x:f>ABS(K4010)</x:f>
        <x:v>0</x:v>
      </x:c>
      <x:c r="M4010" s="41" t="str">
        <x:v>lstm-soil-v1</x:v>
      </x:c>
    </x:row>
    <x:row r="4011">
      <x:c r="A4011" s="38" t="str">
        <x:v>7月30日现场数据</x:v>
      </x:c>
      <x:c r="B4011" s="39" t="str">
        <x:v>2026-08-04T01:00:00</x:v>
      </x:c>
      <x:c r="C4011" s="39" t="str">
        <x:v>2026-08-04T02:00:00</x:v>
      </x:c>
      <x:c r="D4011" s="47" t="n">
        <x:v>60</x:v>
      </x:c>
      <x:c r="E4011" s="40" t="n">
        <x:v>13</x:v>
      </x:c>
      <x:c r="F4011" s="40" t="n">
        <x:v>13.251731872558594</x:v>
      </x:c>
      <x:c r="G4011" s="40" t="n">
        <x:v>13.1</x:v>
      </x:c>
      <x:c r="H4011" s="40" t="n">
        <x:f>F4011-E4011</x:f>
        <x:v>0.25173187255859375</x:v>
      </x:c>
      <x:c r="I4011" s="40" t="n">
        <x:f>ABS(H4011)</x:f>
        <x:v>0.25173187255859375</x:v>
      </x:c>
      <x:c r="J4011" s="40" t="n">
        <x:f>H4011^2</x:f>
        <x:v>0.06336893566185609</x:v>
      </x:c>
      <x:c r="K4011" s="40" t="n">
        <x:f>G4011-E4011</x:f>
        <x:v>0.09999999999999964</x:v>
      </x:c>
      <x:c r="L4011" s="40" t="n">
        <x:f>ABS(K4011)</x:f>
        <x:v>0.09999999999999964</x:v>
      </x:c>
      <x:c r="M4011" s="41" t="str">
        <x:v>lstm-soil-v1</x:v>
      </x:c>
    </x:row>
    <x:row r="4012">
      <x:c r="A4012" s="38" t="str">
        <x:v>7月30日现场数据</x:v>
      </x:c>
      <x:c r="B4012" s="39" t="str">
        <x:v>2026-08-04T01:05:00</x:v>
      </x:c>
      <x:c r="C4012" s="39" t="str">
        <x:v>2026-08-04T01:10:00</x:v>
      </x:c>
      <x:c r="D4012" s="47" t="n">
        <x:v>5</x:v>
      </x:c>
      <x:c r="E4012" s="40" t="n">
        <x:v>13.1</x:v>
      </x:c>
      <x:c r="F4012" s="40" t="n">
        <x:v>11.136768341064453</x:v>
      </x:c>
      <x:c r="G4012" s="40" t="n">
        <x:v>13.1</x:v>
      </x:c>
      <x:c r="H4012" s="40" t="n">
        <x:f>F4012-E4012</x:f>
        <x:v>-1.9632316589355465</x:v>
      </x:c>
      <x:c r="I4012" s="40" t="n">
        <x:f>ABS(H4012)</x:f>
        <x:v>1.9632316589355465</x:v>
      </x:c>
      <x:c r="J4012" s="40" t="n">
        <x:f>H4012^2</x:f>
        <x:v>3.854278546646818</x:v>
      </x:c>
      <x:c r="K4012" s="40" t="n">
        <x:f>G4012-E4012</x:f>
        <x:v>0</x:v>
      </x:c>
      <x:c r="L4012" s="40" t="n">
        <x:f>ABS(K4012)</x:f>
        <x:v>0</x:v>
      </x:c>
      <x:c r="M4012" s="41" t="str">
        <x:v>lstm-soil-v1</x:v>
      </x:c>
    </x:row>
    <x:row r="4013">
      <x:c r="A4013" s="38" t="str">
        <x:v>7月30日现场数据</x:v>
      </x:c>
      <x:c r="B4013" s="39" t="str">
        <x:v>2026-08-04T01:05:00</x:v>
      </x:c>
      <x:c r="C4013" s="39" t="str">
        <x:v>2026-08-04T01:20:00</x:v>
      </x:c>
      <x:c r="D4013" s="47" t="n">
        <x:v>15</x:v>
      </x:c>
      <x:c r="E4013" s="40" t="n">
        <x:v>13</x:v>
      </x:c>
      <x:c r="F4013" s="40" t="n">
        <x:v>11.195873260498047</x:v>
      </x:c>
      <x:c r="G4013" s="40" t="n">
        <x:v>13.1</x:v>
      </x:c>
      <x:c r="H4013" s="40" t="n">
        <x:f>F4013-E4013</x:f>
        <x:v>-1.8041267395019531</x:v>
      </x:c>
      <x:c r="I4013" s="40" t="n">
        <x:f>ABS(H4013)</x:f>
        <x:v>1.8041267395019531</x:v>
      </x:c>
      <x:c r="J4013" s="40" t="n">
        <x:f>H4013^2</x:f>
        <x:v>3.2548732921859482</x:v>
      </x:c>
      <x:c r="K4013" s="40" t="n">
        <x:f>G4013-E4013</x:f>
        <x:v>0.09999999999999964</x:v>
      </x:c>
      <x:c r="L4013" s="40" t="n">
        <x:f>ABS(K4013)</x:f>
        <x:v>0.09999999999999964</x:v>
      </x:c>
      <x:c r="M4013" s="41" t="str">
        <x:v>lstm-soil-v1</x:v>
      </x:c>
    </x:row>
    <x:row r="4014">
      <x:c r="A4014" s="38" t="str">
        <x:v>7月30日现场数据</x:v>
      </x:c>
      <x:c r="B4014" s="39" t="str">
        <x:v>2026-08-04T01:05:00</x:v>
      </x:c>
      <x:c r="C4014" s="39" t="str">
        <x:v>2026-08-04T01:35:00</x:v>
      </x:c>
      <x:c r="D4014" s="47" t="n">
        <x:v>30</x:v>
      </x:c>
      <x:c r="E4014" s="40" t="n">
        <x:v>13.1</x:v>
      </x:c>
      <x:c r="F4014" s="40" t="n">
        <x:v>11.663921356201172</x:v>
      </x:c>
      <x:c r="G4014" s="40" t="n">
        <x:v>13.1</x:v>
      </x:c>
      <x:c r="H4014" s="40" t="n">
        <x:f>F4014-E4014</x:f>
        <x:v>-1.4360786437988278</x:v>
      </x:c>
      <x:c r="I4014" s="40" t="n">
        <x:f>ABS(H4014)</x:f>
        <x:v>1.4360786437988278</x:v>
      </x:c>
      <x:c r="J4014" s="40" t="n">
        <x:f>H4014^2</x:f>
        <x:v>2.0623218711750804</x:v>
      </x:c>
      <x:c r="K4014" s="40" t="n">
        <x:f>G4014-E4014</x:f>
        <x:v>0</x:v>
      </x:c>
      <x:c r="L4014" s="40" t="n">
        <x:f>ABS(K4014)</x:f>
        <x:v>0</x:v>
      </x:c>
      <x:c r="M4014" s="41" t="str">
        <x:v>lstm-soil-v1</x:v>
      </x:c>
    </x:row>
    <x:row r="4015">
      <x:c r="A4015" s="38" t="str">
        <x:v>7月30日现场数据</x:v>
      </x:c>
      <x:c r="B4015" s="39" t="str">
        <x:v>2026-08-04T01:05:00</x:v>
      </x:c>
      <x:c r="C4015" s="39" t="str">
        <x:v>2026-08-04T02:05:00</x:v>
      </x:c>
      <x:c r="D4015" s="47" t="n">
        <x:v>60</x:v>
      </x:c>
      <x:c r="E4015" s="40" t="n">
        <x:v>13</x:v>
      </x:c>
      <x:c r="F4015" s="40" t="n">
        <x:v>13.2481689453125</x:v>
      </x:c>
      <x:c r="G4015" s="40" t="n">
        <x:v>13.1</x:v>
      </x:c>
      <x:c r="H4015" s="40" t="n">
        <x:f>F4015-E4015</x:f>
        <x:v>0.2481689453125</x:v>
      </x:c>
      <x:c r="I4015" s="40" t="n">
        <x:f>ABS(H4015)</x:f>
        <x:v>0.2481689453125</x:v>
      </x:c>
      <x:c r="J4015" s="40" t="n">
        <x:f>H4015^2</x:f>
        <x:v>0.061587825417518616</x:v>
      </x:c>
      <x:c r="K4015" s="40" t="n">
        <x:f>G4015-E4015</x:f>
        <x:v>0.09999999999999964</x:v>
      </x:c>
      <x:c r="L4015" s="40" t="n">
        <x:f>ABS(K4015)</x:f>
        <x:v>0.09999999999999964</x:v>
      </x:c>
      <x:c r="M4015" s="41" t="str">
        <x:v>lstm-soil-v1</x:v>
      </x:c>
    </x:row>
    <x:row r="4016">
      <x:c r="A4016" s="38" t="str">
        <x:v>7月30日现场数据</x:v>
      </x:c>
      <x:c r="B4016" s="39" t="str">
        <x:v>2026-08-04T01:10:00</x:v>
      </x:c>
      <x:c r="C4016" s="39" t="str">
        <x:v>2026-08-04T01:15:00</x:v>
      </x:c>
      <x:c r="D4016" s="47" t="n">
        <x:v>5</x:v>
      </x:c>
      <x:c r="E4016" s="40" t="n">
        <x:v>13.1</x:v>
      </x:c>
      <x:c r="F4016" s="40" t="n">
        <x:v>11.13534927368164</x:v>
      </x:c>
      <x:c r="G4016" s="40" t="n">
        <x:v>13.1</x:v>
      </x:c>
      <x:c r="H4016" s="40" t="n">
        <x:f>F4016-E4016</x:f>
        <x:v>-1.964650726318359</x:v>
      </x:c>
      <x:c r="I4016" s="40" t="n">
        <x:f>ABS(H4016)</x:f>
        <x:v>1.964650726318359</x:v>
      </x:c>
      <x:c r="J4016" s="40" t="n">
        <x:f>H4016^2</x:f>
        <x:v>3.8598524764232556</x:v>
      </x:c>
      <x:c r="K4016" s="40" t="n">
        <x:f>G4016-E4016</x:f>
        <x:v>0</x:v>
      </x:c>
      <x:c r="L4016" s="40" t="n">
        <x:f>ABS(K4016)</x:f>
        <x:v>0</x:v>
      </x:c>
      <x:c r="M4016" s="41" t="str">
        <x:v>lstm-soil-v1</x:v>
      </x:c>
    </x:row>
    <x:row r="4017">
      <x:c r="A4017" s="38" t="str">
        <x:v>7月30日现场数据</x:v>
      </x:c>
      <x:c r="B4017" s="39" t="str">
        <x:v>2026-08-04T01:10:00</x:v>
      </x:c>
      <x:c r="C4017" s="39" t="str">
        <x:v>2026-08-04T01:25:00</x:v>
      </x:c>
      <x:c r="D4017" s="47" t="n">
        <x:v>15</x:v>
      </x:c>
      <x:c r="E4017" s="40" t="n">
        <x:v>13</x:v>
      </x:c>
      <x:c r="F4017" s="40" t="n">
        <x:v>11.194522857666016</x:v>
      </x:c>
      <x:c r="G4017" s="40" t="n">
        <x:v>13.1</x:v>
      </x:c>
      <x:c r="H4017" s="40" t="n">
        <x:f>F4017-E4017</x:f>
        <x:v>-1.8054771423339844</x:v>
      </x:c>
      <x:c r="I4017" s="40" t="n">
        <x:f>ABS(H4017)</x:f>
        <x:v>1.8054771423339844</x:v>
      </x:c>
      <x:c r="J4017" s="40" t="n">
        <x:f>H4017^2</x:f>
        <x:v>3.2597477114904905</x:v>
      </x:c>
      <x:c r="K4017" s="40" t="n">
        <x:f>G4017-E4017</x:f>
        <x:v>0.09999999999999964</x:v>
      </x:c>
      <x:c r="L4017" s="40" t="n">
        <x:f>ABS(K4017)</x:f>
        <x:v>0.09999999999999964</x:v>
      </x:c>
      <x:c r="M4017" s="41" t="str">
        <x:v>lstm-soil-v1</x:v>
      </x:c>
    </x:row>
    <x:row r="4018">
      <x:c r="A4018" s="38" t="str">
        <x:v>7月30日现场数据</x:v>
      </x:c>
      <x:c r="B4018" s="39" t="str">
        <x:v>2026-08-04T01:10:00</x:v>
      </x:c>
      <x:c r="C4018" s="39" t="str">
        <x:v>2026-08-04T01:40:00</x:v>
      </x:c>
      <x:c r="D4018" s="47" t="n">
        <x:v>30</x:v>
      </x:c>
      <x:c r="E4018" s="40" t="n">
        <x:v>13</x:v>
      </x:c>
      <x:c r="F4018" s="40" t="n">
        <x:v>11.663959503173828</x:v>
      </x:c>
      <x:c r="G4018" s="40" t="n">
        <x:v>13.1</x:v>
      </x:c>
      <x:c r="H4018" s="40" t="n">
        <x:f>F4018-E4018</x:f>
        <x:v>-1.3360404968261719</x:v>
      </x:c>
      <x:c r="I4018" s="40" t="n">
        <x:f>ABS(H4018)</x:f>
        <x:v>1.3360404968261719</x:v>
      </x:c>
      <x:c r="J4018" s="40" t="n">
        <x:f>H4018^2</x:f>
        <x:v>1.7850042091595242</x:v>
      </x:c>
      <x:c r="K4018" s="40" t="n">
        <x:f>G4018-E4018</x:f>
        <x:v>0.09999999999999964</x:v>
      </x:c>
      <x:c r="L4018" s="40" t="n">
        <x:f>ABS(K4018)</x:f>
        <x:v>0.09999999999999964</x:v>
      </x:c>
      <x:c r="M4018" s="41" t="str">
        <x:v>lstm-soil-v1</x:v>
      </x:c>
    </x:row>
    <x:row r="4019">
      <x:c r="A4019" s="38" t="str">
        <x:v>7月30日现场数据</x:v>
      </x:c>
      <x:c r="B4019" s="39" t="str">
        <x:v>2026-08-04T01:10:00</x:v>
      </x:c>
      <x:c r="C4019" s="39" t="str">
        <x:v>2026-08-04T02:10:00</x:v>
      </x:c>
      <x:c r="D4019" s="47" t="n">
        <x:v>60</x:v>
      </x:c>
      <x:c r="E4019" s="40" t="n">
        <x:v>13</x:v>
      </x:c>
      <x:c r="F4019" s="40" t="n">
        <x:v>13.246334075927734</x:v>
      </x:c>
      <x:c r="G4019" s="40" t="n">
        <x:v>13.1</x:v>
      </x:c>
      <x:c r="H4019" s="40" t="n">
        <x:f>F4019-E4019</x:f>
        <x:v>0.24633407592773438</x:v>
      </x:c>
      <x:c r="I4019" s="40" t="n">
        <x:f>ABS(H4019)</x:f>
        <x:v>0.24633407592773438</x:v>
      </x:c>
      <x:c r="J4019" s="40" t="n">
        <x:f>H4019^2</x:f>
        <x:v>0.060680476963170804</x:v>
      </x:c>
      <x:c r="K4019" s="40" t="n">
        <x:f>G4019-E4019</x:f>
        <x:v>0.09999999999999964</x:v>
      </x:c>
      <x:c r="L4019" s="40" t="n">
        <x:f>ABS(K4019)</x:f>
        <x:v>0.09999999999999964</x:v>
      </x:c>
      <x:c r="M4019" s="41" t="str">
        <x:v>lstm-soil-v1</x:v>
      </x:c>
    </x:row>
    <x:row r="4020">
      <x:c r="A4020" s="38" t="str">
        <x:v>7月30日现场数据</x:v>
      </x:c>
      <x:c r="B4020" s="39" t="str">
        <x:v>2026-08-04T01:15:00</x:v>
      </x:c>
      <x:c r="C4020" s="39" t="str">
        <x:v>2026-08-04T01:20:00</x:v>
      </x:c>
      <x:c r="D4020" s="47" t="n">
        <x:v>5</x:v>
      </x:c>
      <x:c r="E4020" s="40" t="n">
        <x:v>13</x:v>
      </x:c>
      <x:c r="F4020" s="40" t="n">
        <x:v>11.134593963623047</x:v>
      </x:c>
      <x:c r="G4020" s="40" t="n">
        <x:v>13.1</x:v>
      </x:c>
      <x:c r="H4020" s="40" t="n">
        <x:f>F4020-E4020</x:f>
        <x:v>-1.8654060363769531</x:v>
      </x:c>
      <x:c r="I4020" s="40" t="n">
        <x:f>ABS(H4020)</x:f>
        <x:v>1.8654060363769531</x:v>
      </x:c>
      <x:c r="J4020" s="40" t="n">
        <x:f>H4020^2</x:f>
        <x:v>3.4797396805515746</x:v>
      </x:c>
      <x:c r="K4020" s="40" t="n">
        <x:f>G4020-E4020</x:f>
        <x:v>0.09999999999999964</x:v>
      </x:c>
      <x:c r="L4020" s="40" t="n">
        <x:f>ABS(K4020)</x:f>
        <x:v>0.09999999999999964</x:v>
      </x:c>
      <x:c r="M4020" s="41" t="str">
        <x:v>lstm-soil-v1</x:v>
      </x:c>
    </x:row>
    <x:row r="4021">
      <x:c r="A4021" s="38" t="str">
        <x:v>7月30日现场数据</x:v>
      </x:c>
      <x:c r="B4021" s="39" t="str">
        <x:v>2026-08-04T01:15:00</x:v>
      </x:c>
      <x:c r="C4021" s="39" t="str">
        <x:v>2026-08-04T01:30:00</x:v>
      </x:c>
      <x:c r="D4021" s="47" t="n">
        <x:v>15</x:v>
      </x:c>
      <x:c r="E4021" s="40" t="n">
        <x:v>13.1</x:v>
      </x:c>
      <x:c r="F4021" s="40" t="n">
        <x:v>11.193553924560547</x:v>
      </x:c>
      <x:c r="G4021" s="40" t="n">
        <x:v>13.1</x:v>
      </x:c>
      <x:c r="H4021" s="40" t="n">
        <x:f>F4021-E4021</x:f>
        <x:v>-1.9064460754394528</x:v>
      </x:c>
      <x:c r="I4021" s="40" t="n">
        <x:f>ABS(H4021)</x:f>
        <x:v>1.9064460754394528</x:v>
      </x:c>
      <x:c r="J4021" s="40" t="n">
        <x:f>H4021^2</x:f>
        <x:v>3.6345366385584916</x:v>
      </x:c>
      <x:c r="K4021" s="40" t="n">
        <x:f>G4021-E4021</x:f>
        <x:v>0</x:v>
      </x:c>
      <x:c r="L4021" s="40" t="n">
        <x:f>ABS(K4021)</x:f>
        <x:v>0</x:v>
      </x:c>
      <x:c r="M4021" s="41" t="str">
        <x:v>lstm-soil-v1</x:v>
      </x:c>
    </x:row>
    <x:row r="4022">
      <x:c r="A4022" s="38" t="str">
        <x:v>7月30日现场数据</x:v>
      </x:c>
      <x:c r="B4022" s="39" t="str">
        <x:v>2026-08-04T01:15:00</x:v>
      </x:c>
      <x:c r="C4022" s="39" t="str">
        <x:v>2026-08-04T01:45:00</x:v>
      </x:c>
      <x:c r="D4022" s="47" t="n">
        <x:v>30</x:v>
      </x:c>
      <x:c r="E4022" s="40" t="n">
        <x:v>13.1</x:v>
      </x:c>
      <x:c r="F4022" s="40" t="n">
        <x:v>11.664566040039062</x:v>
      </x:c>
      <x:c r="G4022" s="40" t="n">
        <x:v>13.1</x:v>
      </x:c>
      <x:c r="H4022" s="40" t="n">
        <x:f>F4022-E4022</x:f>
        <x:v>-1.4354339599609371</x:v>
      </x:c>
      <x:c r="I4022" s="40" t="n">
        <x:f>ABS(H4022)</x:f>
        <x:v>1.4354339599609371</x:v>
      </x:c>
      <x:c r="J4022" s="40" t="n">
        <x:f>H4022^2</x:f>
        <x:v>2.0604706534091375</x:v>
      </x:c>
      <x:c r="K4022" s="40" t="n">
        <x:f>G4022-E4022</x:f>
        <x:v>0</x:v>
      </x:c>
      <x:c r="L4022" s="40" t="n">
        <x:f>ABS(K4022)</x:f>
        <x:v>0</x:v>
      </x:c>
      <x:c r="M4022" s="41" t="str">
        <x:v>lstm-soil-v1</x:v>
      </x:c>
    </x:row>
    <x:row r="4023">
      <x:c r="A4023" s="38" t="str">
        <x:v>7月30日现场数据</x:v>
      </x:c>
      <x:c r="B4023" s="39" t="str">
        <x:v>2026-08-04T01:15:00</x:v>
      </x:c>
      <x:c r="C4023" s="39" t="str">
        <x:v>2026-08-04T02:15:00</x:v>
      </x:c>
      <x:c r="D4023" s="47" t="n">
        <x:v>60</x:v>
      </x:c>
      <x:c r="E4023" s="40" t="n">
        <x:v>13</x:v>
      </x:c>
      <x:c r="F4023" s="40" t="n">
        <x:v>13.245811462402344</x:v>
      </x:c>
      <x:c r="G4023" s="40" t="n">
        <x:v>13.1</x:v>
      </x:c>
      <x:c r="H4023" s="40" t="n">
        <x:f>F4023-E4023</x:f>
        <x:v>0.24581146240234375</x:v>
      </x:c>
      <x:c r="I4023" s="40" t="n">
        <x:f>ABS(H4023)</x:f>
        <x:v>0.24581146240234375</x:v>
      </x:c>
      <x:c r="J4023" s="40" t="n">
        <x:f>H4023^2</x:f>
        <x:v>0.060423275048378855</x:v>
      </x:c>
      <x:c r="K4023" s="40" t="n">
        <x:f>G4023-E4023</x:f>
        <x:v>0.09999999999999964</x:v>
      </x:c>
      <x:c r="L4023" s="40" t="n">
        <x:f>ABS(K4023)</x:f>
        <x:v>0.09999999999999964</x:v>
      </x:c>
      <x:c r="M4023" s="41" t="str">
        <x:v>lstm-soil-v1</x:v>
      </x:c>
    </x:row>
    <x:row r="4024">
      <x:c r="A4024" s="38" t="str">
        <x:v>7月30日现场数据</x:v>
      </x:c>
      <x:c r="B4024" s="39" t="str">
        <x:v>2026-08-04T01:20:00</x:v>
      </x:c>
      <x:c r="C4024" s="39" t="str">
        <x:v>2026-08-04T01:25:00</x:v>
      </x:c>
      <x:c r="D4024" s="47" t="n">
        <x:v>5</x:v>
      </x:c>
      <x:c r="E4024" s="40" t="n">
        <x:v>13</x:v>
      </x:c>
      <x:c r="F4024" s="40" t="n">
        <x:v>11.023975372314453</x:v>
      </x:c>
      <x:c r="G4024" s="40" t="n">
        <x:v>13</x:v>
      </x:c>
      <x:c r="H4024" s="40" t="n">
        <x:f>F4024-E4024</x:f>
        <x:v>-1.9760246276855469</x:v>
      </x:c>
      <x:c r="I4024" s="40" t="n">
        <x:f>ABS(H4024)</x:f>
        <x:v>1.9760246276855469</x:v>
      </x:c>
      <x:c r="J4024" s="40" t="n">
        <x:f>H4024^2</x:f>
        <x:v>3.904673329219804</x:v>
      </x:c>
      <x:c r="K4024" s="40" t="n">
        <x:f>G4024-E4024</x:f>
        <x:v>0</x:v>
      </x:c>
      <x:c r="L4024" s="40" t="n">
        <x:f>ABS(K4024)</x:f>
        <x:v>0</x:v>
      </x:c>
      <x:c r="M4024" s="41" t="str">
        <x:v>lstm-soil-v1</x:v>
      </x:c>
    </x:row>
    <x:row r="4025">
      <x:c r="A4025" s="38" t="str">
        <x:v>7月30日现场数据</x:v>
      </x:c>
      <x:c r="B4025" s="39" t="str">
        <x:v>2026-08-04T01:20:00</x:v>
      </x:c>
      <x:c r="C4025" s="39" t="str">
        <x:v>2026-08-04T01:35:00</x:v>
      </x:c>
      <x:c r="D4025" s="47" t="n">
        <x:v>15</x:v>
      </x:c>
      <x:c r="E4025" s="40" t="n">
        <x:v>13.1</x:v>
      </x:c>
      <x:c r="F4025" s="40" t="n">
        <x:v>11.0826416015625</x:v>
      </x:c>
      <x:c r="G4025" s="40" t="n">
        <x:v>13</x:v>
      </x:c>
      <x:c r="H4025" s="40" t="n">
        <x:f>F4025-E4025</x:f>
        <x:v>-2.0173583984374996</x:v>
      </x:c>
      <x:c r="I4025" s="40" t="n">
        <x:f>ABS(H4025)</x:f>
        <x:v>2.0173583984374996</x:v>
      </x:c>
      <x:c r="J4025" s="40" t="n">
        <x:f>H4025^2</x:f>
        <x:v>4.069734907746313</x:v>
      </x:c>
      <x:c r="K4025" s="40" t="n">
        <x:f>G4025-E4025</x:f>
        <x:v>-0.09999999999999964</x:v>
      </x:c>
      <x:c r="L4025" s="40" t="n">
        <x:f>ABS(K4025)</x:f>
        <x:v>0.09999999999999964</x:v>
      </x:c>
      <x:c r="M4025" s="41" t="str">
        <x:v>lstm-soil-v1</x:v>
      </x:c>
    </x:row>
    <x:row r="4026">
      <x:c r="A4026" s="38" t="str">
        <x:v>7月30日现场数据</x:v>
      </x:c>
      <x:c r="B4026" s="39" t="str">
        <x:v>2026-08-04T01:20:00</x:v>
      </x:c>
      <x:c r="C4026" s="39" t="str">
        <x:v>2026-08-04T01:50:00</x:v>
      </x:c>
      <x:c r="D4026" s="47" t="n">
        <x:v>30</x:v>
      </x:c>
      <x:c r="E4026" s="40" t="n">
        <x:v>13</x:v>
      </x:c>
      <x:c r="F4026" s="40" t="n">
        <x:v>11.555118560791016</x:v>
      </x:c>
      <x:c r="G4026" s="40" t="n">
        <x:v>13</x:v>
      </x:c>
      <x:c r="H4026" s="40" t="n">
        <x:f>F4026-E4026</x:f>
        <x:v>-1.4448814392089844</x:v>
      </x:c>
      <x:c r="I4026" s="40" t="n">
        <x:f>ABS(H4026)</x:f>
        <x:v>1.4448814392089844</x:v>
      </x:c>
      <x:c r="J4026" s="40" t="n">
        <x:f>H4026^2</x:f>
        <x:v>2.087682373370626</x:v>
      </x:c>
      <x:c r="K4026" s="40" t="n">
        <x:f>G4026-E4026</x:f>
        <x:v>0</x:v>
      </x:c>
      <x:c r="L4026" s="40" t="n">
        <x:f>ABS(K4026)</x:f>
        <x:v>0</x:v>
      </x:c>
      <x:c r="M4026" s="41" t="str">
        <x:v>lstm-soil-v1</x:v>
      </x:c>
    </x:row>
    <x:row r="4027">
      <x:c r="A4027" s="38" t="str">
        <x:v>7月30日现场数据</x:v>
      </x:c>
      <x:c r="B4027" s="39" t="str">
        <x:v>2026-08-04T01:20:00</x:v>
      </x:c>
      <x:c r="C4027" s="39" t="str">
        <x:v>2026-08-04T02:20:00</x:v>
      </x:c>
      <x:c r="D4027" s="47" t="n">
        <x:v>60</x:v>
      </x:c>
      <x:c r="E4027" s="40" t="n">
        <x:v>13</x:v>
      </x:c>
      <x:c r="F4027" s="40" t="n">
        <x:v>13.135749816894531</x:v>
      </x:c>
      <x:c r="G4027" s="40" t="n">
        <x:v>13</x:v>
      </x:c>
      <x:c r="H4027" s="40" t="n">
        <x:f>F4027-E4027</x:f>
        <x:v>0.13574981689453125</x:v>
      </x:c>
      <x:c r="I4027" s="40" t="n">
        <x:f>ABS(H4027)</x:f>
        <x:v>0.13574981689453125</x:v>
      </x:c>
      <x:c r="J4027" s="40" t="n">
        <x:f>H4027^2</x:f>
        <x:v>0.018428012786898762</x:v>
      </x:c>
      <x:c r="K4027" s="40" t="n">
        <x:f>G4027-E4027</x:f>
        <x:v>0</x:v>
      </x:c>
      <x:c r="L4027" s="40" t="n">
        <x:f>ABS(K4027)</x:f>
        <x:v>0</x:v>
      </x:c>
      <x:c r="M4027" s="41" t="str">
        <x:v>lstm-soil-v1</x:v>
      </x:c>
    </x:row>
    <x:row r="4028">
      <x:c r="A4028" s="38" t="str">
        <x:v>7月30日现场数据</x:v>
      </x:c>
      <x:c r="B4028" s="39" t="str">
        <x:v>2026-08-04T01:25:00</x:v>
      </x:c>
      <x:c r="C4028" s="39" t="str">
        <x:v>2026-08-04T01:30:00</x:v>
      </x:c>
      <x:c r="D4028" s="47" t="n">
        <x:v>5</x:v>
      </x:c>
      <x:c r="E4028" s="40" t="n">
        <x:v>13.1</x:v>
      </x:c>
      <x:c r="F4028" s="40" t="n">
        <x:v>11.023689270019531</x:v>
      </x:c>
      <x:c r="G4028" s="40" t="n">
        <x:v>13</x:v>
      </x:c>
      <x:c r="H4028" s="40" t="n">
        <x:f>F4028-E4028</x:f>
        <x:v>-2.0763107299804684</x:v>
      </x:c>
      <x:c r="I4028" s="40" t="n">
        <x:f>ABS(H4028)</x:f>
        <x:v>2.0763107299804684</x:v>
      </x:c>
      <x:c r="J4028" s="40" t="n">
        <x:f>H4028^2</x:f>
        <x:v>4.311066247432025</x:v>
      </x:c>
      <x:c r="K4028" s="40" t="n">
        <x:f>G4028-E4028</x:f>
        <x:v>-0.09999999999999964</x:v>
      </x:c>
      <x:c r="L4028" s="40" t="n">
        <x:f>ABS(K4028)</x:f>
        <x:v>0.09999999999999964</x:v>
      </x:c>
      <x:c r="M4028" s="41" t="str">
        <x:v>lstm-soil-v1</x:v>
      </x:c>
    </x:row>
    <x:row r="4029">
      <x:c r="A4029" s="38" t="str">
        <x:v>7月30日现场数据</x:v>
      </x:c>
      <x:c r="B4029" s="39" t="str">
        <x:v>2026-08-04T01:25:00</x:v>
      </x:c>
      <x:c r="C4029" s="39" t="str">
        <x:v>2026-08-04T01:40:00</x:v>
      </x:c>
      <x:c r="D4029" s="47" t="n">
        <x:v>15</x:v>
      </x:c>
      <x:c r="E4029" s="40" t="n">
        <x:v>13</x:v>
      </x:c>
      <x:c r="F4029" s="40" t="n">
        <x:v>11.081981658935547</x:v>
      </x:c>
      <x:c r="G4029" s="40" t="n">
        <x:v>13</x:v>
      </x:c>
      <x:c r="H4029" s="40" t="n">
        <x:f>F4029-E4029</x:f>
        <x:v>-1.9180183410644531</x:v>
      </x:c>
      <x:c r="I4029" s="40" t="n">
        <x:f>ABS(H4029)</x:f>
        <x:v>1.9180183410644531</x:v>
      </x:c>
      <x:c r="J4029" s="40" t="n">
        <x:f>H4029^2</x:f>
        <x:v>3.678794356659637</x:v>
      </x:c>
      <x:c r="K4029" s="40" t="n">
        <x:f>G4029-E4029</x:f>
        <x:v>0</x:v>
      </x:c>
      <x:c r="L4029" s="40" t="n">
        <x:f>ABS(K4029)</x:f>
        <x:v>0</x:v>
      </x:c>
      <x:c r="M4029" s="41" t="str">
        <x:v>lstm-soil-v1</x:v>
      </x:c>
    </x:row>
    <x:row r="4030">
      <x:c r="A4030" s="38" t="str">
        <x:v>7月30日现场数据</x:v>
      </x:c>
      <x:c r="B4030" s="39" t="str">
        <x:v>2026-08-04T01:25:00</x:v>
      </x:c>
      <x:c r="C4030" s="39" t="str">
        <x:v>2026-08-04T01:55:00</x:v>
      </x:c>
      <x:c r="D4030" s="47" t="n">
        <x:v>30</x:v>
      </x:c>
      <x:c r="E4030" s="40" t="n">
        <x:v>13.1</x:v>
      </x:c>
      <x:c r="F4030" s="40" t="n">
        <x:v>11.555816650390625</x:v>
      </x:c>
      <x:c r="G4030" s="40" t="n">
        <x:v>13</x:v>
      </x:c>
      <x:c r="H4030" s="40" t="n">
        <x:f>F4030-E4030</x:f>
        <x:v>-1.5441833496093746</x:v>
      </x:c>
      <x:c r="I4030" s="40" t="n">
        <x:f>ABS(H4030)</x:f>
        <x:v>1.5441833496093746</x:v>
      </x:c>
      <x:c r="J4030" s="40" t="n">
        <x:f>H4030^2</x:f>
        <x:v>2.3845022172108283</x:v>
      </x:c>
      <x:c r="K4030" s="40" t="n">
        <x:f>G4030-E4030</x:f>
        <x:v>-0.09999999999999964</x:v>
      </x:c>
      <x:c r="L4030" s="40" t="n">
        <x:f>ABS(K4030)</x:f>
        <x:v>0.09999999999999964</x:v>
      </x:c>
      <x:c r="M4030" s="41" t="str">
        <x:v>lstm-soil-v1</x:v>
      </x:c>
    </x:row>
    <x:row r="4031">
      <x:c r="A4031" s="38" t="str">
        <x:v>7月30日现场数据</x:v>
      </x:c>
      <x:c r="B4031" s="39" t="str">
        <x:v>2026-08-04T01:25:00</x:v>
      </x:c>
      <x:c r="C4031" s="39" t="str">
        <x:v>2026-08-04T02:25:00</x:v>
      </x:c>
      <x:c r="D4031" s="47" t="n">
        <x:v>60</x:v>
      </x:c>
      <x:c r="E4031" s="40" t="n">
        <x:v>13</x:v>
      </x:c>
      <x:c r="F4031" s="40" t="n">
        <x:v>13.136226654052734</x:v>
      </x:c>
      <x:c r="G4031" s="40" t="n">
        <x:v>13</x:v>
      </x:c>
      <x:c r="H4031" s="40" t="n">
        <x:f>F4031-E4031</x:f>
        <x:v>0.13622665405273438</x:v>
      </x:c>
      <x:c r="I4031" s="40" t="n">
        <x:f>ABS(H4031)</x:f>
        <x:v>0.13622665405273438</x:v>
      </x:c>
      <x:c r="J4031" s="40" t="n">
        <x:f>H4031^2</x:f>
        <x:v>0.01855770127440337</x:v>
      </x:c>
      <x:c r="K4031" s="40" t="n">
        <x:f>G4031-E4031</x:f>
        <x:v>0</x:v>
      </x:c>
      <x:c r="L4031" s="40" t="n">
        <x:f>ABS(K4031)</x:f>
        <x:v>0</x:v>
      </x:c>
      <x:c r="M4031" s="41" t="str">
        <x:v>lstm-soil-v1</x:v>
      </x:c>
    </x:row>
    <x:row r="4032">
      <x:c r="A4032" s="38" t="str">
        <x:v>7月30日现场数据</x:v>
      </x:c>
      <x:c r="B4032" s="39" t="str">
        <x:v>2026-08-04T01:30:00</x:v>
      </x:c>
      <x:c r="C4032" s="39" t="str">
        <x:v>2026-08-04T01:35:00</x:v>
      </x:c>
      <x:c r="D4032" s="47" t="n">
        <x:v>5</x:v>
      </x:c>
      <x:c r="E4032" s="40" t="n">
        <x:v>13.1</x:v>
      </x:c>
      <x:c r="F4032" s="40" t="n">
        <x:v>11.13393783569336</x:v>
      </x:c>
      <x:c r="G4032" s="40" t="n">
        <x:v>13.1</x:v>
      </x:c>
      <x:c r="H4032" s="40" t="n">
        <x:f>F4032-E4032</x:f>
        <x:v>-1.9660621643066403</x:v>
      </x:c>
      <x:c r="I4032" s="40" t="n">
        <x:f>ABS(H4032)</x:f>
        <x:v>1.9660621643066403</x:v>
      </x:c>
      <x:c r="J4032" s="40" t="n">
        <x:f>H4032^2</x:f>
        <x:v>3.8654004339181105</x:v>
      </x:c>
      <x:c r="K4032" s="40" t="n">
        <x:f>G4032-E4032</x:f>
        <x:v>0</x:v>
      </x:c>
      <x:c r="L4032" s="40" t="n">
        <x:f>ABS(K4032)</x:f>
        <x:v>0</x:v>
      </x:c>
      <x:c r="M4032" s="41" t="str">
        <x:v>lstm-soil-v1</x:v>
      </x:c>
    </x:row>
    <x:row r="4033">
      <x:c r="A4033" s="38" t="str">
        <x:v>7月30日现场数据</x:v>
      </x:c>
      <x:c r="B4033" s="39" t="str">
        <x:v>2026-08-04T01:30:00</x:v>
      </x:c>
      <x:c r="C4033" s="39" t="str">
        <x:v>2026-08-04T01:45:00</x:v>
      </x:c>
      <x:c r="D4033" s="47" t="n">
        <x:v>15</x:v>
      </x:c>
      <x:c r="E4033" s="40" t="n">
        <x:v>13.1</x:v>
      </x:c>
      <x:c r="F4033" s="40" t="n">
        <x:v>11.191757202148438</x:v>
      </x:c>
      <x:c r="G4033" s="40" t="n">
        <x:v>13.1</x:v>
      </x:c>
      <x:c r="H4033" s="40" t="n">
        <x:f>F4033-E4033</x:f>
        <x:v>-1.9082427978515621</x:v>
      </x:c>
      <x:c r="I4033" s="40" t="n">
        <x:f>ABS(H4033)</x:f>
        <x:v>1.9082427978515621</x:v>
      </x:c>
      <x:c r="J4033" s="40" t="n">
        <x:f>H4033^2</x:f>
        <x:v>3.6413905755523577</x:v>
      </x:c>
      <x:c r="K4033" s="40" t="n">
        <x:f>G4033-E4033</x:f>
        <x:v>0</x:v>
      </x:c>
      <x:c r="L4033" s="40" t="n">
        <x:f>ABS(K4033)</x:f>
        <x:v>0</x:v>
      </x:c>
      <x:c r="M4033" s="41" t="str">
        <x:v>lstm-soil-v1</x:v>
      </x:c>
    </x:row>
    <x:row r="4034">
      <x:c r="A4034" s="38" t="str">
        <x:v>7月30日现场数据</x:v>
      </x:c>
      <x:c r="B4034" s="39" t="str">
        <x:v>2026-08-04T01:30:00</x:v>
      </x:c>
      <x:c r="C4034" s="39" t="str">
        <x:v>2026-08-04T02:00:00</x:v>
      </x:c>
      <x:c r="D4034" s="47" t="n">
        <x:v>30</x:v>
      </x:c>
      <x:c r="E4034" s="40" t="n">
        <x:v>13</x:v>
      </x:c>
      <x:c r="F4034" s="40" t="n">
        <x:v>11.666828155517578</x:v>
      </x:c>
      <x:c r="G4034" s="40" t="n">
        <x:v>13.1</x:v>
      </x:c>
      <x:c r="H4034" s="40" t="n">
        <x:f>F4034-E4034</x:f>
        <x:v>-1.3331718444824219</x:v>
      </x:c>
      <x:c r="I4034" s="40" t="n">
        <x:f>ABS(H4034)</x:f>
        <x:v>1.3331718444824219</x:v>
      </x:c>
      <x:c r="J4034" s="40" t="n">
        <x:f>H4034^2</x:f>
        <x:v>1.7773471669206629</x:v>
      </x:c>
      <x:c r="K4034" s="40" t="n">
        <x:f>G4034-E4034</x:f>
        <x:v>0.09999999999999964</x:v>
      </x:c>
      <x:c r="L4034" s="40" t="n">
        <x:f>ABS(K4034)</x:f>
        <x:v>0.09999999999999964</x:v>
      </x:c>
      <x:c r="M4034" s="41" t="str">
        <x:v>lstm-soil-v1</x:v>
      </x:c>
    </x:row>
    <x:row r="4035">
      <x:c r="A4035" s="38" t="str">
        <x:v>7月30日现场数据</x:v>
      </x:c>
      <x:c r="B4035" s="39" t="str">
        <x:v>2026-08-04T01:30:00</x:v>
      </x:c>
      <x:c r="C4035" s="39" t="str">
        <x:v>2026-08-04T02:30:00</x:v>
      </x:c>
      <x:c r="D4035" s="47" t="n">
        <x:v>60</x:v>
      </x:c>
      <x:c r="E4035" s="40" t="n">
        <x:v>13</x:v>
      </x:c>
      <x:c r="F4035" s="40" t="n">
        <x:v>13.247238159179688</x:v>
      </x:c>
      <x:c r="G4035" s="40" t="n">
        <x:v>13.1</x:v>
      </x:c>
      <x:c r="H4035" s="40" t="n">
        <x:f>F4035-E4035</x:f>
        <x:v>0.2472381591796875</x:v>
      </x:c>
      <x:c r="I4035" s="40" t="n">
        <x:f>ABS(H4035)</x:f>
        <x:v>0.2472381591796875</x:v>
      </x:c>
      <x:c r="J4035" s="40" t="n">
        <x:f>H4035^2</x:f>
        <x:v>0.061126707354560494</x:v>
      </x:c>
      <x:c r="K4035" s="40" t="n">
        <x:f>G4035-E4035</x:f>
        <x:v>0.09999999999999964</x:v>
      </x:c>
      <x:c r="L4035" s="40" t="n">
        <x:f>ABS(K4035)</x:f>
        <x:v>0.09999999999999964</x:v>
      </x:c>
      <x:c r="M4035" s="41" t="str">
        <x:v>lstm-soil-v1</x:v>
      </x:c>
    </x:row>
    <x:row r="4036">
      <x:c r="A4036" s="38" t="str">
        <x:v>7月30日现场数据</x:v>
      </x:c>
      <x:c r="B4036" s="39" t="str">
        <x:v>2026-08-04T01:35:00</x:v>
      </x:c>
      <x:c r="C4036" s="39" t="str">
        <x:v>2026-08-04T01:40:00</x:v>
      </x:c>
      <x:c r="D4036" s="47" t="n">
        <x:v>5</x:v>
      </x:c>
      <x:c r="E4036" s="40" t="n">
        <x:v>13</x:v>
      </x:c>
      <x:c r="F4036" s="40" t="n">
        <x:v>11.134185791015625</x:v>
      </x:c>
      <x:c r="G4036" s="40" t="n">
        <x:v>13.1</x:v>
      </x:c>
      <x:c r="H4036" s="40" t="n">
        <x:f>F4036-E4036</x:f>
        <x:v>-1.865814208984375</x:v>
      </x:c>
      <x:c r="I4036" s="40" t="n">
        <x:f>ABS(H4036)</x:f>
        <x:v>1.865814208984375</x:v>
      </x:c>
      <x:c r="J4036" s="40" t="n">
        <x:f>H4036^2</x:f>
        <x:v>3.481262662447989</x:v>
      </x:c>
      <x:c r="K4036" s="40" t="n">
        <x:f>G4036-E4036</x:f>
        <x:v>0.09999999999999964</x:v>
      </x:c>
      <x:c r="L4036" s="40" t="n">
        <x:f>ABS(K4036)</x:f>
        <x:v>0.09999999999999964</x:v>
      </x:c>
      <x:c r="M4036" s="41" t="str">
        <x:v>lstm-soil-v1</x:v>
      </x:c>
    </x:row>
    <x:row r="4037">
      <x:c r="A4037" s="38" t="str">
        <x:v>7月30日现场数据</x:v>
      </x:c>
      <x:c r="B4037" s="39" t="str">
        <x:v>2026-08-04T01:35:00</x:v>
      </x:c>
      <x:c r="C4037" s="39" t="str">
        <x:v>2026-08-04T01:50:00</x:v>
      </x:c>
      <x:c r="D4037" s="47" t="n">
        <x:v>15</x:v>
      </x:c>
      <x:c r="E4037" s="40" t="n">
        <x:v>13</x:v>
      </x:c>
      <x:c r="F4037" s="40" t="n">
        <x:v>11.191600799560547</x:v>
      </x:c>
      <x:c r="G4037" s="40" t="n">
        <x:v>13.1</x:v>
      </x:c>
      <x:c r="H4037" s="40" t="n">
        <x:f>F4037-E4037</x:f>
        <x:v>-1.8083992004394531</x:v>
      </x:c>
      <x:c r="I4037" s="40" t="n">
        <x:f>ABS(H4037)</x:f>
        <x:v>1.8083992004394531</x:v>
      </x:c>
      <x:c r="J4037" s="40" t="n">
        <x:f>H4037^2</x:f>
        <x:v>3.2703076681500534</x:v>
      </x:c>
      <x:c r="K4037" s="40" t="n">
        <x:f>G4037-E4037</x:f>
        <x:v>0.09999999999999964</x:v>
      </x:c>
      <x:c r="L4037" s="40" t="n">
        <x:f>ABS(K4037)</x:f>
        <x:v>0.09999999999999964</x:v>
      </x:c>
      <x:c r="M4037" s="41" t="str">
        <x:v>lstm-soil-v1</x:v>
      </x:c>
    </x:row>
    <x:row r="4038">
      <x:c r="A4038" s="38" t="str">
        <x:v>7月30日现场数据</x:v>
      </x:c>
      <x:c r="B4038" s="39" t="str">
        <x:v>2026-08-04T01:35:00</x:v>
      </x:c>
      <x:c r="C4038" s="39" t="str">
        <x:v>2026-08-04T02:05:00</x:v>
      </x:c>
      <x:c r="D4038" s="47" t="n">
        <x:v>30</x:v>
      </x:c>
      <x:c r="E4038" s="40" t="n">
        <x:v>13</x:v>
      </x:c>
      <x:c r="F4038" s="40" t="n">
        <x:v>11.667598724365234</x:v>
      </x:c>
      <x:c r="G4038" s="40" t="n">
        <x:v>13.1</x:v>
      </x:c>
      <x:c r="H4038" s="40" t="n">
        <x:f>F4038-E4038</x:f>
        <x:v>-1.3324012756347656</x:v>
      </x:c>
      <x:c r="I4038" s="40" t="n">
        <x:f>ABS(H4038)</x:f>
        <x:v>1.3324012756347656</x:v>
      </x:c>
      <x:c r="J4038" s="40" t="n">
        <x:f>H4038^2</x:f>
        <x:v>1.7752931593131507</x:v>
      </x:c>
      <x:c r="K4038" s="40" t="n">
        <x:f>G4038-E4038</x:f>
        <x:v>0.09999999999999964</x:v>
      </x:c>
      <x:c r="L4038" s="40" t="n">
        <x:f>ABS(K4038)</x:f>
        <x:v>0.09999999999999964</x:v>
      </x:c>
      <x:c r="M4038" s="41" t="str">
        <x:v>lstm-soil-v1</x:v>
      </x:c>
    </x:row>
    <x:row r="4039">
      <x:c r="A4039" s="38" t="str">
        <x:v>7月30日现场数据</x:v>
      </x:c>
      <x:c r="B4039" s="39" t="str">
        <x:v>2026-08-04T01:35:00</x:v>
      </x:c>
      <x:c r="C4039" s="39" t="str">
        <x:v>2026-08-04T02:35:00</x:v>
      </x:c>
      <x:c r="D4039" s="47" t="n">
        <x:v>60</x:v>
      </x:c>
      <x:c r="E4039" s="40" t="n">
        <x:v>13</x:v>
      </x:c>
      <x:c r="F4039" s="40" t="n">
        <x:v>13.248069763183594</x:v>
      </x:c>
      <x:c r="G4039" s="40" t="n">
        <x:v>13.1</x:v>
      </x:c>
      <x:c r="H4039" s="40" t="n">
        <x:f>F4039-E4039</x:f>
        <x:v>0.24806976318359375</x:v>
      </x:c>
      <x:c r="I4039" s="40" t="n">
        <x:f>ABS(H4039)</x:f>
        <x:v>0.24806976318359375</x:v>
      </x:c>
      <x:c r="J4039" s="40" t="n">
        <x:f>H4039^2</x:f>
        <x:v>0.061538607405964285</x:v>
      </x:c>
      <x:c r="K4039" s="40" t="n">
        <x:f>G4039-E4039</x:f>
        <x:v>0.09999999999999964</x:v>
      </x:c>
      <x:c r="L4039" s="40" t="n">
        <x:f>ABS(K4039)</x:f>
        <x:v>0.09999999999999964</x:v>
      </x:c>
      <x:c r="M4039" s="41" t="str">
        <x:v>lstm-soil-v1</x:v>
      </x:c>
    </x:row>
    <x:row r="4040">
      <x:c r="A4040" s="38" t="str">
        <x:v>7月30日现场数据</x:v>
      </x:c>
      <x:c r="B4040" s="39" t="str">
        <x:v>2026-08-04T01:40:00</x:v>
      </x:c>
      <x:c r="C4040" s="39" t="str">
        <x:v>2026-08-04T01:45:00</x:v>
      </x:c>
      <x:c r="D4040" s="47" t="n">
        <x:v>5</x:v>
      </x:c>
      <x:c r="E4040" s="40" t="n">
        <x:v>13.1</x:v>
      </x:c>
      <x:c r="F4040" s="40" t="n">
        <x:v>11.024169921875</x:v>
      </x:c>
      <x:c r="G4040" s="40" t="n">
        <x:v>13</x:v>
      </x:c>
      <x:c r="H4040" s="40" t="n">
        <x:f>F4040-E4040</x:f>
        <x:v>-2.0758300781249996</x:v>
      </x:c>
      <x:c r="I4040" s="40" t="n">
        <x:f>ABS(H4040)</x:f>
        <x:v>2.0758300781249996</x:v>
      </x:c>
      <x:c r="J4040" s="40" t="n">
        <x:f>H4040^2</x:f>
        <x:v>4.309070513248442</x:v>
      </x:c>
      <x:c r="K4040" s="40" t="n">
        <x:f>G4040-E4040</x:f>
        <x:v>-0.09999999999999964</x:v>
      </x:c>
      <x:c r="L4040" s="40" t="n">
        <x:f>ABS(K4040)</x:f>
        <x:v>0.09999999999999964</x:v>
      </x:c>
      <x:c r="M4040" s="41" t="str">
        <x:v>lstm-soil-v1</x:v>
      </x:c>
    </x:row>
    <x:row r="4041">
      <x:c r="A4041" s="38" t="str">
        <x:v>7月30日现场数据</x:v>
      </x:c>
      <x:c r="B4041" s="39" t="str">
        <x:v>2026-08-04T01:40:00</x:v>
      </x:c>
      <x:c r="C4041" s="39" t="str">
        <x:v>2026-08-04T01:55:00</x:v>
      </x:c>
      <x:c r="D4041" s="47" t="n">
        <x:v>15</x:v>
      </x:c>
      <x:c r="E4041" s="40" t="n">
        <x:v>13.1</x:v>
      </x:c>
      <x:c r="F4041" s="40" t="n">
        <x:v>11.081302642822266</x:v>
      </x:c>
      <x:c r="G4041" s="40" t="n">
        <x:v>13</x:v>
      </x:c>
      <x:c r="H4041" s="40" t="n">
        <x:f>F4041-E4041</x:f>
        <x:v>-2.018697357177734</x:v>
      </x:c>
      <x:c r="I4041" s="40" t="n">
        <x:f>ABS(H4041)</x:f>
        <x:v>2.018697357177734</x:v>
      </x:c>
      <x:c r="J4041" s="40" t="n">
        <x:f>H4041^2</x:f>
        <x:v>4.075139019876368</x:v>
      </x:c>
      <x:c r="K4041" s="40" t="n">
        <x:f>G4041-E4041</x:f>
        <x:v>-0.09999999999999964</x:v>
      </x:c>
      <x:c r="L4041" s="40" t="n">
        <x:f>ABS(K4041)</x:f>
        <x:v>0.09999999999999964</x:v>
      </x:c>
      <x:c r="M4041" s="41" t="str">
        <x:v>lstm-soil-v1</x:v>
      </x:c>
    </x:row>
    <x:row r="4042">
      <x:c r="A4042" s="38" t="str">
        <x:v>7月30日现场数据</x:v>
      </x:c>
      <x:c r="B4042" s="39" t="str">
        <x:v>2026-08-04T01:40:00</x:v>
      </x:c>
      <x:c r="C4042" s="39" t="str">
        <x:v>2026-08-04T02:10:00</x:v>
      </x:c>
      <x:c r="D4042" s="47" t="n">
        <x:v>30</x:v>
      </x:c>
      <x:c r="E4042" s="40" t="n">
        <x:v>13</x:v>
      </x:c>
      <x:c r="F4042" s="40" t="n">
        <x:v>11.558002471923828</x:v>
      </x:c>
      <x:c r="G4042" s="40" t="n">
        <x:v>13</x:v>
      </x:c>
      <x:c r="H4042" s="40" t="n">
        <x:f>F4042-E4042</x:f>
        <x:v>-1.4419975280761719</x:v>
      </x:c>
      <x:c r="I4042" s="40" t="n">
        <x:f>ABS(H4042)</x:f>
        <x:v>1.4419975280761719</x:v>
      </x:c>
      <x:c r="J4042" s="40" t="n">
        <x:f>H4042^2</x:f>
        <x:v>2.07935687097779</x:v>
      </x:c>
      <x:c r="K4042" s="40" t="n">
        <x:f>G4042-E4042</x:f>
        <x:v>0</x:v>
      </x:c>
      <x:c r="L4042" s="40" t="n">
        <x:f>ABS(K4042)</x:f>
        <x:v>0</x:v>
      </x:c>
      <x:c r="M4042" s="41" t="str">
        <x:v>lstm-soil-v1</x:v>
      </x:c>
    </x:row>
    <x:row r="4043">
      <x:c r="A4043" s="38" t="str">
        <x:v>7月30日现场数据</x:v>
      </x:c>
      <x:c r="B4043" s="39" t="str">
        <x:v>2026-08-04T01:40:00</x:v>
      </x:c>
      <x:c r="C4043" s="39" t="str">
        <x:v>2026-08-04T02:40:00</x:v>
      </x:c>
      <x:c r="D4043" s="47" t="n">
        <x:v>60</x:v>
      </x:c>
      <x:c r="E4043" s="40" t="n">
        <x:v>13</x:v>
      </x:c>
      <x:c r="F4043" s="40" t="n">
        <x:v>13.138519287109375</x:v>
      </x:c>
      <x:c r="G4043" s="40" t="n">
        <x:v>13</x:v>
      </x:c>
      <x:c r="H4043" s="40" t="n">
        <x:f>F4043-E4043</x:f>
        <x:v>0.138519287109375</x:v>
      </x:c>
      <x:c r="I4043" s="40" t="n">
        <x:f>ABS(H4043)</x:f>
        <x:v>0.138519287109375</x:v>
      </x:c>
      <x:c r="J4043" s="40" t="n">
        <x:f>H4043^2</x:f>
        <x:v>0.019187592901289463</x:v>
      </x:c>
      <x:c r="K4043" s="40" t="n">
        <x:f>G4043-E4043</x:f>
        <x:v>0</x:v>
      </x:c>
      <x:c r="L4043" s="40" t="n">
        <x:f>ABS(K4043)</x:f>
        <x:v>0</x:v>
      </x:c>
      <x:c r="M4043" s="41" t="str">
        <x:v>lstm-soil-v1</x:v>
      </x:c>
    </x:row>
    <x:row r="4044">
      <x:c r="A4044" s="38" t="str">
        <x:v>7月30日现场数据</x:v>
      </x:c>
      <x:c r="B4044" s="39" t="str">
        <x:v>2026-08-04T01:45:00</x:v>
      </x:c>
      <x:c r="C4044" s="39" t="str">
        <x:v>2026-08-04T01:50:00</x:v>
      </x:c>
      <x:c r="D4044" s="47" t="n">
        <x:v>5</x:v>
      </x:c>
      <x:c r="E4044" s="40" t="n">
        <x:v>13</x:v>
      </x:c>
      <x:c r="F4044" s="40" t="n">
        <x:v>11.134750366210938</x:v>
      </x:c>
      <x:c r="G4044" s="40" t="n">
        <x:v>13.1</x:v>
      </x:c>
      <x:c r="H4044" s="40" t="n">
        <x:f>F4044-E4044</x:f>
        <x:v>-1.8652496337890625</x:v>
      </x:c>
      <x:c r="I4044" s="40" t="n">
        <x:f>ABS(H4044)</x:f>
        <x:v>1.8652496337890625</x:v>
      </x:c>
      <x:c r="J4044" s="40" t="n">
        <x:f>H4044^2</x:f>
        <x:v>3.4791561963502318</x:v>
      </x:c>
      <x:c r="K4044" s="40" t="n">
        <x:f>G4044-E4044</x:f>
        <x:v>0.09999999999999964</x:v>
      </x:c>
      <x:c r="L4044" s="40" t="n">
        <x:f>ABS(K4044)</x:f>
        <x:v>0.09999999999999964</x:v>
      </x:c>
      <x:c r="M4044" s="41" t="str">
        <x:v>lstm-soil-v1</x:v>
      </x:c>
    </x:row>
    <x:row r="4045">
      <x:c r="A4045" s="38" t="str">
        <x:v>7月30日现场数据</x:v>
      </x:c>
      <x:c r="B4045" s="39" t="str">
        <x:v>2026-08-04T01:45:00</x:v>
      </x:c>
      <x:c r="C4045" s="39" t="str">
        <x:v>2026-08-04T02:00:00</x:v>
      </x:c>
      <x:c r="D4045" s="47" t="n">
        <x:v>15</x:v>
      </x:c>
      <x:c r="E4045" s="40" t="n">
        <x:v>13</x:v>
      </x:c>
      <x:c r="F4045" s="40" t="n">
        <x:v>11.191719055175781</x:v>
      </x:c>
      <x:c r="G4045" s="40" t="n">
        <x:v>13.1</x:v>
      </x:c>
      <x:c r="H4045" s="40" t="n">
        <x:f>F4045-E4045</x:f>
        <x:v>-1.8082809448242188</x:v>
      </x:c>
      <x:c r="I4045" s="40" t="n">
        <x:f>ABS(H4045)</x:f>
        <x:v>1.8082809448242188</x:v>
      </x:c>
      <x:c r="J4045" s="40" t="n">
        <x:f>H4045^2</x:f>
        <x:v>3.2698799754143693</x:v>
      </x:c>
      <x:c r="K4045" s="40" t="n">
        <x:f>G4045-E4045</x:f>
        <x:v>0.09999999999999964</x:v>
      </x:c>
      <x:c r="L4045" s="40" t="n">
        <x:f>ABS(K4045)</x:f>
        <x:v>0.09999999999999964</x:v>
      </x:c>
      <x:c r="M4045" s="41" t="str">
        <x:v>lstm-soil-v1</x:v>
      </x:c>
    </x:row>
    <x:row r="4046">
      <x:c r="A4046" s="38" t="str">
        <x:v>7月30日现场数据</x:v>
      </x:c>
      <x:c r="B4046" s="39" t="str">
        <x:v>2026-08-04T01:45:00</x:v>
      </x:c>
      <x:c r="C4046" s="39" t="str">
        <x:v>2026-08-04T02:15:00</x:v>
      </x:c>
      <x:c r="D4046" s="47" t="n">
        <x:v>30</x:v>
      </x:c>
      <x:c r="E4046" s="40" t="n">
        <x:v>13</x:v>
      </x:c>
      <x:c r="F4046" s="40" t="n">
        <x:v>11.669109344482422</x:v>
      </x:c>
      <x:c r="G4046" s="40" t="n">
        <x:v>13.1</x:v>
      </x:c>
      <x:c r="H4046" s="40" t="n">
        <x:f>F4046-E4046</x:f>
        <x:v>-1.3308906555175781</x:v>
      </x:c>
      <x:c r="I4046" s="40" t="n">
        <x:f>ABS(H4046)</x:f>
        <x:v>1.3308906555175781</x:v>
      </x:c>
      <x:c r="J4046" s="40" t="n">
        <x:f>H4046^2</x:f>
        <x:v>1.7712699369440088</x:v>
      </x:c>
      <x:c r="K4046" s="40" t="n">
        <x:f>G4046-E4046</x:f>
        <x:v>0.09999999999999964</x:v>
      </x:c>
      <x:c r="L4046" s="40" t="n">
        <x:f>ABS(K4046)</x:f>
        <x:v>0.09999999999999964</x:v>
      </x:c>
      <x:c r="M4046" s="41" t="str">
        <x:v>lstm-soil-v1</x:v>
      </x:c>
    </x:row>
    <x:row r="4047">
      <x:c r="A4047" s="38" t="str">
        <x:v>7月30日现场数据</x:v>
      </x:c>
      <x:c r="B4047" s="39" t="str">
        <x:v>2026-08-04T01:45:00</x:v>
      </x:c>
      <x:c r="C4047" s="39" t="str">
        <x:v>2026-08-04T02:45:00</x:v>
      </x:c>
      <x:c r="D4047" s="47" t="n">
        <x:v>60</x:v>
      </x:c>
      <x:c r="E4047" s="40" t="n">
        <x:v>13</x:v>
      </x:c>
      <x:c r="F4047" s="40" t="n">
        <x:v>13.25002670288086</x:v>
      </x:c>
      <x:c r="G4047" s="40" t="n">
        <x:v>13.1</x:v>
      </x:c>
      <x:c r="H4047" s="40" t="n">
        <x:f>F4047-E4047</x:f>
        <x:v>0.2500267028808594</x:v>
      </x:c>
      <x:c r="I4047" s="40" t="n">
        <x:f>ABS(H4047)</x:f>
        <x:v>0.2500267028808594</x:v>
      </x:c>
      <x:c r="J4047" s="40" t="n">
        <x:f>H4047^2</x:f>
        <x:v>0.06251335215347353</x:v>
      </x:c>
      <x:c r="K4047" s="40" t="n">
        <x:f>G4047-E4047</x:f>
        <x:v>0.09999999999999964</x:v>
      </x:c>
      <x:c r="L4047" s="40" t="n">
        <x:f>ABS(K4047)</x:f>
        <x:v>0.09999999999999964</x:v>
      </x:c>
      <x:c r="M4047" s="41" t="str">
        <x:v>lstm-soil-v1</x:v>
      </x:c>
    </x:row>
    <x:row r="4048">
      <x:c r="A4048" s="38" t="str">
        <x:v>7月30日现场数据</x:v>
      </x:c>
      <x:c r="B4048" s="39" t="str">
        <x:v>2026-08-04T01:50:00</x:v>
      </x:c>
      <x:c r="C4048" s="39" t="str">
        <x:v>2026-08-04T01:55:00</x:v>
      </x:c>
      <x:c r="D4048" s="47" t="n">
        <x:v>5</x:v>
      </x:c>
      <x:c r="E4048" s="40" t="n">
        <x:v>13.1</x:v>
      </x:c>
      <x:c r="F4048" s="40" t="n">
        <x:v>11.024368286132812</x:v>
      </x:c>
      <x:c r="G4048" s="40" t="n">
        <x:v>13</x:v>
      </x:c>
      <x:c r="H4048" s="40" t="n">
        <x:f>F4048-E4048</x:f>
        <x:v>-2.075631713867187</x:v>
      </x:c>
      <x:c r="I4048" s="40" t="n">
        <x:f>ABS(H4048)</x:f>
        <x:v>2.075631713867187</x:v>
      </x:c>
      <x:c r="J4048" s="40" t="n">
        <x:f>H4048^2</x:f>
        <x:v>4.308247011611237</x:v>
      </x:c>
      <x:c r="K4048" s="40" t="n">
        <x:f>G4048-E4048</x:f>
        <x:v>-0.09999999999999964</x:v>
      </x:c>
      <x:c r="L4048" s="40" t="n">
        <x:f>ABS(K4048)</x:f>
        <x:v>0.09999999999999964</x:v>
      </x:c>
      <x:c r="M4048" s="41" t="str">
        <x:v>lstm-soil-v1</x:v>
      </x:c>
    </x:row>
    <x:row r="4049">
      <x:c r="A4049" s="38" t="str">
        <x:v>7月30日现场数据</x:v>
      </x:c>
      <x:c r="B4049" s="39" t="str">
        <x:v>2026-08-04T01:50:00</x:v>
      </x:c>
      <x:c r="C4049" s="39" t="str">
        <x:v>2026-08-04T02:05:00</x:v>
      </x:c>
      <x:c r="D4049" s="47" t="n">
        <x:v>15</x:v>
      </x:c>
      <x:c r="E4049" s="40" t="n">
        <x:v>13</x:v>
      </x:c>
      <x:c r="F4049" s="40" t="n">
        <x:v>11.081703186035156</x:v>
      </x:c>
      <x:c r="G4049" s="40" t="n">
        <x:v>13</x:v>
      </x:c>
      <x:c r="H4049" s="40" t="n">
        <x:f>F4049-E4049</x:f>
        <x:v>-1.9182968139648438</x:v>
      </x:c>
      <x:c r="I4049" s="40" t="n">
        <x:f>ABS(H4049)</x:f>
        <x:v>1.9182968139648438</x:v>
      </x:c>
      <x:c r="J4049" s="40" t="n">
        <x:f>H4049^2</x:f>
        <x:v>3.6798626664676704</x:v>
      </x:c>
      <x:c r="K4049" s="40" t="n">
        <x:f>G4049-E4049</x:f>
        <x:v>0</x:v>
      </x:c>
      <x:c r="L4049" s="40" t="n">
        <x:f>ABS(K4049)</x:f>
        <x:v>0</x:v>
      </x:c>
      <x:c r="M4049" s="41" t="str">
        <x:v>lstm-soil-v1</x:v>
      </x:c>
    </x:row>
    <x:row r="4050">
      <x:c r="A4050" s="38" t="str">
        <x:v>7月30日现场数据</x:v>
      </x:c>
      <x:c r="B4050" s="39" t="str">
        <x:v>2026-08-04T01:50:00</x:v>
      </x:c>
      <x:c r="C4050" s="39" t="str">
        <x:v>2026-08-04T02:20:00</x:v>
      </x:c>
      <x:c r="D4050" s="47" t="n">
        <x:v>30</x:v>
      </x:c>
      <x:c r="E4050" s="40" t="n">
        <x:v>13</x:v>
      </x:c>
      <x:c r="F4050" s="40" t="n">
        <x:v>11.558658599853516</x:v>
      </x:c>
      <x:c r="G4050" s="40" t="n">
        <x:v>13</x:v>
      </x:c>
      <x:c r="H4050" s="40" t="n">
        <x:f>F4050-E4050</x:f>
        <x:v>-1.4413414001464844</x:v>
      </x:c>
      <x:c r="I4050" s="40" t="n">
        <x:f>ABS(H4050)</x:f>
        <x:v>1.4413414001464844</x:v>
      </x:c>
      <x:c r="J4050" s="40" t="n">
        <x:f>H4050^2</x:f>
        <x:v>2.077465031776228</x:v>
      </x:c>
      <x:c r="K4050" s="40" t="n">
        <x:f>G4050-E4050</x:f>
        <x:v>0</x:v>
      </x:c>
      <x:c r="L4050" s="40" t="n">
        <x:f>ABS(K4050)</x:f>
        <x:v>0</x:v>
      </x:c>
      <x:c r="M4050" s="41" t="str">
        <x:v>lstm-soil-v1</x:v>
      </x:c>
    </x:row>
    <x:row r="4051">
      <x:c r="A4051" s="38" t="str">
        <x:v>7月30日现场数据</x:v>
      </x:c>
      <x:c r="B4051" s="39" t="str">
        <x:v>2026-08-04T01:50:00</x:v>
      </x:c>
      <x:c r="C4051" s="39" t="str">
        <x:v>2026-08-04T02:50:00</x:v>
      </x:c>
      <x:c r="D4051" s="47" t="n">
        <x:v>60</x:v>
      </x:c>
      <x:c r="E4051" s="40" t="n">
        <x:v>13</x:v>
      </x:c>
      <x:c r="F4051" s="40" t="n">
        <x:v>13.139080047607422</x:v>
      </x:c>
      <x:c r="G4051" s="40" t="n">
        <x:v>13</x:v>
      </x:c>
      <x:c r="H4051" s="40" t="n">
        <x:f>F4051-E4051</x:f>
        <x:v>0.13908004760742188</x:v>
      </x:c>
      <x:c r="I4051" s="40" t="n">
        <x:f>ABS(H4051)</x:f>
        <x:v>0.13908004760742188</x:v>
      </x:c>
      <x:c r="J4051" s="40" t="n">
        <x:f>H4051^2</x:f>
        <x:v>0.019343259642482735</x:v>
      </x:c>
      <x:c r="K4051" s="40" t="n">
        <x:f>G4051-E4051</x:f>
        <x:v>0</x:v>
      </x:c>
      <x:c r="L4051" s="40" t="n">
        <x:f>ABS(K4051)</x:f>
        <x:v>0</x:v>
      </x:c>
      <x:c r="M4051" s="41" t="str">
        <x:v>lstm-soil-v1</x:v>
      </x:c>
    </x:row>
    <x:row r="4052">
      <x:c r="A4052" s="38" t="str">
        <x:v>7月30日现场数据</x:v>
      </x:c>
      <x:c r="B4052" s="39" t="str">
        <x:v>2026-08-04T01:55:00</x:v>
      </x:c>
      <x:c r="C4052" s="39" t="str">
        <x:v>2026-08-04T02:00:00</x:v>
      </x:c>
      <x:c r="D4052" s="47" t="n">
        <x:v>5</x:v>
      </x:c>
      <x:c r="E4052" s="40" t="n">
        <x:v>13</x:v>
      </x:c>
      <x:c r="F4052" s="40" t="n">
        <x:v>11.13461685180664</x:v>
      </x:c>
      <x:c r="G4052" s="40" t="n">
        <x:v>13.1</x:v>
      </x:c>
      <x:c r="H4052" s="40" t="n">
        <x:f>F4052-E4052</x:f>
        <x:v>-1.8653831481933594</x:v>
      </x:c>
      <x:c r="I4052" s="40" t="n">
        <x:f>ABS(H4052)</x:f>
        <x:v>1.8653831481933594</x:v>
      </x:c>
      <x:c r="J4052" s="40" t="n">
        <x:f>H4052^2</x:f>
        <x:v>3.4796542895637685</x:v>
      </x:c>
      <x:c r="K4052" s="40" t="n">
        <x:f>G4052-E4052</x:f>
        <x:v>0.09999999999999964</x:v>
      </x:c>
      <x:c r="L4052" s="40" t="n">
        <x:f>ABS(K4052)</x:f>
        <x:v>0.09999999999999964</x:v>
      </x:c>
      <x:c r="M4052" s="41" t="str">
        <x:v>lstm-soil-v1</x:v>
      </x:c>
    </x:row>
    <x:row r="4053">
      <x:c r="A4053" s="38" t="str">
        <x:v>7月30日现场数据</x:v>
      </x:c>
      <x:c r="B4053" s="39" t="str">
        <x:v>2026-08-04T01:55:00</x:v>
      </x:c>
      <x:c r="C4053" s="39" t="str">
        <x:v>2026-08-04T02:10:00</x:v>
      </x:c>
      <x:c r="D4053" s="47" t="n">
        <x:v>15</x:v>
      </x:c>
      <x:c r="E4053" s="40" t="n">
        <x:v>13</x:v>
      </x:c>
      <x:c r="F4053" s="40" t="n">
        <x:v>11.19155502319336</x:v>
      </x:c>
      <x:c r="G4053" s="40" t="n">
        <x:v>13.1</x:v>
      </x:c>
      <x:c r="H4053" s="40" t="n">
        <x:f>F4053-E4053</x:f>
        <x:v>-1.8084449768066406</x:v>
      </x:c>
      <x:c r="I4053" s="40" t="n">
        <x:f>ABS(H4053)</x:f>
        <x:v>1.8084449768066406</x:v>
      </x:c>
      <x:c r="J4053" s="40" t="n">
        <x:f>H4053^2</x:f>
        <x:v>3.270473234137171</x:v>
      </x:c>
      <x:c r="K4053" s="40" t="n">
        <x:f>G4053-E4053</x:f>
        <x:v>0.09999999999999964</x:v>
      </x:c>
      <x:c r="L4053" s="40" t="n">
        <x:f>ABS(K4053)</x:f>
        <x:v>0.09999999999999964</x:v>
      </x:c>
      <x:c r="M4053" s="41" t="str">
        <x:v>lstm-soil-v1</x:v>
      </x:c>
    </x:row>
    <x:row r="4054">
      <x:c r="A4054" s="38" t="str">
        <x:v>7月30日现场数据</x:v>
      </x:c>
      <x:c r="B4054" s="39" t="str">
        <x:v>2026-08-04T01:55:00</x:v>
      </x:c>
      <x:c r="C4054" s="39" t="str">
        <x:v>2026-08-04T02:25:00</x:v>
      </x:c>
      <x:c r="D4054" s="47" t="n">
        <x:v>30</x:v>
      </x:c>
      <x:c r="E4054" s="40" t="n">
        <x:v>13</x:v>
      </x:c>
      <x:c r="F4054" s="40" t="n">
        <x:v>11.668834686279297</x:v>
      </x:c>
      <x:c r="G4054" s="40" t="n">
        <x:v>13.1</x:v>
      </x:c>
      <x:c r="H4054" s="40" t="n">
        <x:f>F4054-E4054</x:f>
        <x:v>-1.3311653137207031</x:v>
      </x:c>
      <x:c r="I4054" s="40" t="n">
        <x:f>ABS(H4054)</x:f>
        <x:v>1.3311653137207031</x:v>
      </x:c>
      <x:c r="J4054" s="40" t="n">
        <x:f>H4054^2</x:f>
        <x:v>1.772001092453138</x:v>
      </x:c>
      <x:c r="K4054" s="40" t="n">
        <x:f>G4054-E4054</x:f>
        <x:v>0.09999999999999964</x:v>
      </x:c>
      <x:c r="L4054" s="40" t="n">
        <x:f>ABS(K4054)</x:f>
        <x:v>0.09999999999999964</x:v>
      </x:c>
      <x:c r="M4054" s="41" t="str">
        <x:v>lstm-soil-v1</x:v>
      </x:c>
    </x:row>
    <x:row r="4055">
      <x:c r="A4055" s="38" t="str">
        <x:v>7月30日现场数据</x:v>
      </x:c>
      <x:c r="B4055" s="39" t="str">
        <x:v>2026-08-04T01:55:00</x:v>
      </x:c>
      <x:c r="C4055" s="39" t="str">
        <x:v>2026-08-04T02:55:00</x:v>
      </x:c>
      <x:c r="D4055" s="47" t="n">
        <x:v>60</x:v>
      </x:c>
      <x:c r="E4055" s="40" t="n">
        <x:v>13</x:v>
      </x:c>
      <x:c r="F4055" s="40" t="n">
        <x:v>13.249618530273438</x:v>
      </x:c>
      <x:c r="G4055" s="40" t="n">
        <x:v>13.1</x:v>
      </x:c>
      <x:c r="H4055" s="40" t="n">
        <x:f>F4055-E4055</x:f>
        <x:v>0.2496185302734375</x:v>
      </x:c>
      <x:c r="I4055" s="40" t="n">
        <x:f>ABS(H4055)</x:f>
        <x:v>0.2496185302734375</x:v>
      </x:c>
      <x:c r="J4055" s="40" t="n">
        <x:f>H4055^2</x:f>
        <x:v>0.062309410655871034</x:v>
      </x:c>
      <x:c r="K4055" s="40" t="n">
        <x:f>G4055-E4055</x:f>
        <x:v>0.09999999999999964</x:v>
      </x:c>
      <x:c r="L4055" s="40" t="n">
        <x:f>ABS(K4055)</x:f>
        <x:v>0.09999999999999964</x:v>
      </x:c>
      <x:c r="M4055" s="41" t="str">
        <x:v>lstm-soil-v1</x:v>
      </x:c>
    </x:row>
    <x:row r="4056">
      <x:c r="A4056" s="38" t="str">
        <x:v>7月30日现场数据</x:v>
      </x:c>
      <x:c r="B4056" s="39" t="str">
        <x:v>2026-08-04T02:00:00</x:v>
      </x:c>
      <x:c r="C4056" s="39" t="str">
        <x:v>2026-08-04T02:05:00</x:v>
      </x:c>
      <x:c r="D4056" s="47" t="n">
        <x:v>5</x:v>
      </x:c>
      <x:c r="E4056" s="40" t="n">
        <x:v>13</x:v>
      </x:c>
      <x:c r="F4056" s="40" t="n">
        <x:v>11.021926879882812</x:v>
      </x:c>
      <x:c r="G4056" s="40" t="n">
        <x:v>13</x:v>
      </x:c>
      <x:c r="H4056" s="40" t="n">
        <x:f>F4056-E4056</x:f>
        <x:v>-1.9780731201171875</x:v>
      </x:c>
      <x:c r="I4056" s="40" t="n">
        <x:f>ABS(H4056)</x:f>
        <x:v>1.9780731201171875</x:v>
      </x:c>
      <x:c r="J4056" s="40" t="n">
        <x:f>H4056^2</x:f>
        <x:v>3.9127732685301453</x:v>
      </x:c>
      <x:c r="K4056" s="40" t="n">
        <x:f>G4056-E4056</x:f>
        <x:v>0</x:v>
      </x:c>
      <x:c r="L4056" s="40" t="n">
        <x:f>ABS(K4056)</x:f>
        <x:v>0</x:v>
      </x:c>
      <x:c r="M4056" s="41" t="str">
        <x:v>lstm-soil-v1</x:v>
      </x:c>
    </x:row>
    <x:row r="4057">
      <x:c r="A4057" s="38" t="str">
        <x:v>7月30日现场数据</x:v>
      </x:c>
      <x:c r="B4057" s="39" t="str">
        <x:v>2026-08-04T02:00:00</x:v>
      </x:c>
      <x:c r="C4057" s="39" t="str">
        <x:v>2026-08-04T02:15:00</x:v>
      </x:c>
      <x:c r="D4057" s="47" t="n">
        <x:v>15</x:v>
      </x:c>
      <x:c r="E4057" s="40" t="n">
        <x:v>13</x:v>
      </x:c>
      <x:c r="F4057" s="40" t="n">
        <x:v>11.078899383544922</x:v>
      </x:c>
      <x:c r="G4057" s="40" t="n">
        <x:v>13</x:v>
      </x:c>
      <x:c r="H4057" s="40" t="n">
        <x:f>F4057-E4057</x:f>
        <x:v>-1.9211006164550781</x:v>
      </x:c>
      <x:c r="I4057" s="40" t="n">
        <x:f>ABS(H4057)</x:f>
        <x:v>1.9211006164550781</x:v>
      </x:c>
      <x:c r="J4057" s="40" t="n">
        <x:f>H4057^2</x:f>
        <x:v>3.690627578544081</x:v>
      </x:c>
      <x:c r="K4057" s="40" t="n">
        <x:f>G4057-E4057</x:f>
        <x:v>0</x:v>
      </x:c>
      <x:c r="L4057" s="40" t="n">
        <x:f>ABS(K4057)</x:f>
        <x:v>0</x:v>
      </x:c>
      <x:c r="M4057" s="41" t="str">
        <x:v>lstm-soil-v1</x:v>
      </x:c>
    </x:row>
    <x:row r="4058">
      <x:c r="A4058" s="38" t="str">
        <x:v>7月30日现场数据</x:v>
      </x:c>
      <x:c r="B4058" s="39" t="str">
        <x:v>2026-08-04T02:00:00</x:v>
      </x:c>
      <x:c r="C4058" s="39" t="str">
        <x:v>2026-08-04T02:30:00</x:v>
      </x:c>
      <x:c r="D4058" s="47" t="n">
        <x:v>30</x:v>
      </x:c>
      <x:c r="E4058" s="40" t="n">
        <x:v>13</x:v>
      </x:c>
      <x:c r="F4058" s="40" t="n">
        <x:v>11.555267333984375</x:v>
      </x:c>
      <x:c r="G4058" s="40" t="n">
        <x:v>13</x:v>
      </x:c>
      <x:c r="H4058" s="40" t="n">
        <x:f>F4058-E4058</x:f>
        <x:v>-1.444732666015625</x:v>
      </x:c>
      <x:c r="I4058" s="40" t="n">
        <x:f>ABS(H4058)</x:f>
        <x:v>1.444732666015625</x:v>
      </x:c>
      <x:c r="J4058" s="40" t="n">
        <x:f>H4058^2</x:f>
        <x:v>2.0872524762526155</x:v>
      </x:c>
      <x:c r="K4058" s="40" t="n">
        <x:f>G4058-E4058</x:f>
        <x:v>0</x:v>
      </x:c>
      <x:c r="L4058" s="40" t="n">
        <x:f>ABS(K4058)</x:f>
        <x:v>0</x:v>
      </x:c>
      <x:c r="M4058" s="41" t="str">
        <x:v>lstm-soil-v1</x:v>
      </x:c>
    </x:row>
    <x:row r="4059">
      <x:c r="A4059" s="38" t="str">
        <x:v>7月30日现场数据</x:v>
      </x:c>
      <x:c r="B4059" s="39" t="str">
        <x:v>2026-08-04T02:00:00</x:v>
      </x:c>
      <x:c r="C4059" s="39" t="str">
        <x:v>2026-08-04T03:00:00</x:v>
      </x:c>
      <x:c r="D4059" s="47" t="n">
        <x:v>60</x:v>
      </x:c>
      <x:c r="E4059" s="40" t="n">
        <x:v>13</x:v>
      </x:c>
      <x:c r="F4059" s="40" t="n">
        <x:v>13.135574340820312</x:v>
      </x:c>
      <x:c r="G4059" s="40" t="n">
        <x:v>13</x:v>
      </x:c>
      <x:c r="H4059" s="40" t="n">
        <x:f>F4059-E4059</x:f>
        <x:v>0.1355743408203125</x:v>
      </x:c>
      <x:c r="I4059" s="40" t="n">
        <x:f>ABS(H4059)</x:f>
        <x:v>0.1355743408203125</x:v>
      </x:c>
      <x:c r="J4059" s="40" t="n">
        <x:f>H4059^2</x:f>
        <x:v>0.018380401888862252</x:v>
      </x:c>
      <x:c r="K4059" s="40" t="n">
        <x:f>G4059-E4059</x:f>
        <x:v>0</x:v>
      </x:c>
      <x:c r="L4059" s="40" t="n">
        <x:f>ABS(K4059)</x:f>
        <x:v>0</x:v>
      </x:c>
      <x:c r="M4059" s="41" t="str">
        <x:v>lstm-soil-v1</x:v>
      </x:c>
    </x:row>
    <x:row r="4060">
      <x:c r="A4060" s="38" t="str">
        <x:v>7月30日现场数据</x:v>
      </x:c>
      <x:c r="B4060" s="39" t="str">
        <x:v>2026-08-04T02:05:00</x:v>
      </x:c>
      <x:c r="C4060" s="39" t="str">
        <x:v>2026-08-04T02:10:00</x:v>
      </x:c>
      <x:c r="D4060" s="47" t="n">
        <x:v>5</x:v>
      </x:c>
      <x:c r="E4060" s="40" t="n">
        <x:v>13</x:v>
      </x:c>
      <x:c r="F4060" s="40" t="n">
        <x:v>11.019752502441406</x:v>
      </x:c>
      <x:c r="G4060" s="40" t="n">
        <x:v>13</x:v>
      </x:c>
      <x:c r="H4060" s="40" t="n">
        <x:f>F4060-E4060</x:f>
        <x:v>-1.9802474975585938</x:v>
      </x:c>
      <x:c r="I4060" s="40" t="n">
        <x:f>ABS(H4060)</x:f>
        <x:v>1.9802474975585938</x:v>
      </x:c>
      <x:c r="J4060" s="40" t="n">
        <x:f>H4060^2</x:f>
        <x:v>3.9213801515870728</x:v>
      </x:c>
      <x:c r="K4060" s="40" t="n">
        <x:f>G4060-E4060</x:f>
        <x:v>0</x:v>
      </x:c>
      <x:c r="L4060" s="40" t="n">
        <x:f>ABS(K4060)</x:f>
        <x:v>0</x:v>
      </x:c>
      <x:c r="M4060" s="41" t="str">
        <x:v>lstm-soil-v1</x:v>
      </x:c>
    </x:row>
    <x:row r="4061">
      <x:c r="A4061" s="38" t="str">
        <x:v>7月30日现场数据</x:v>
      </x:c>
      <x:c r="B4061" s="39" t="str">
        <x:v>2026-08-04T02:05:00</x:v>
      </x:c>
      <x:c r="C4061" s="39" t="str">
        <x:v>2026-08-04T02:20:00</x:v>
      </x:c>
      <x:c r="D4061" s="47" t="n">
        <x:v>15</x:v>
      </x:c>
      <x:c r="E4061" s="40" t="n">
        <x:v>13</x:v>
      </x:c>
      <x:c r="F4061" s="40" t="n">
        <x:v>11.0771484375</x:v>
      </x:c>
      <x:c r="G4061" s="40" t="n">
        <x:v>13</x:v>
      </x:c>
      <x:c r="H4061" s="40" t="n">
        <x:f>F4061-E4061</x:f>
        <x:v>-1.9228515625</x:v>
      </x:c>
      <x:c r="I4061" s="40" t="n">
        <x:f>ABS(H4061)</x:f>
        <x:v>1.9228515625</x:v>
      </x:c>
      <x:c r="J4061" s="40" t="n">
        <x:f>H4061^2</x:f>
        <x:v>3.6973581314086914</x:v>
      </x:c>
      <x:c r="K4061" s="40" t="n">
        <x:f>G4061-E4061</x:f>
        <x:v>0</x:v>
      </x:c>
      <x:c r="L4061" s="40" t="n">
        <x:f>ABS(K4061)</x:f>
        <x:v>0</x:v>
      </x:c>
      <x:c r="M4061" s="41" t="str">
        <x:v>lstm-soil-v1</x:v>
      </x:c>
    </x:row>
    <x:row r="4062">
      <x:c r="A4062" s="38" t="str">
        <x:v>7月30日现场数据</x:v>
      </x:c>
      <x:c r="B4062" s="39" t="str">
        <x:v>2026-08-04T02:05:00</x:v>
      </x:c>
      <x:c r="C4062" s="39" t="str">
        <x:v>2026-08-04T02:35:00</x:v>
      </x:c>
      <x:c r="D4062" s="47" t="n">
        <x:v>30</x:v>
      </x:c>
      <x:c r="E4062" s="40" t="n">
        <x:v>13</x:v>
      </x:c>
      <x:c r="F4062" s="40" t="n">
        <x:v>11.554157257080078</x:v>
      </x:c>
      <x:c r="G4062" s="40" t="n">
        <x:v>13</x:v>
      </x:c>
      <x:c r="H4062" s="40" t="n">
        <x:f>F4062-E4062</x:f>
        <x:v>-1.4458427429199219</x:v>
      </x:c>
      <x:c r="I4062" s="40" t="n">
        <x:f>ABS(H4062)</x:f>
        <x:v>1.4458427429199219</x:v>
      </x:c>
      <x:c r="J4062" s="40" t="n">
        <x:f>H4062^2</x:f>
        <x:v>2.0904612372542033</x:v>
      </x:c>
      <x:c r="K4062" s="40" t="n">
        <x:f>G4062-E4062</x:f>
        <x:v>0</x:v>
      </x:c>
      <x:c r="L4062" s="40" t="n">
        <x:f>ABS(K4062)</x:f>
        <x:v>0</x:v>
      </x:c>
      <x:c r="M4062" s="41" t="str">
        <x:v>lstm-soil-v1</x:v>
      </x:c>
    </x:row>
    <x:row r="4063">
      <x:c r="A4063" s="38" t="str">
        <x:v>7月30日现场数据</x:v>
      </x:c>
      <x:c r="B4063" s="39" t="str">
        <x:v>2026-08-04T02:05:00</x:v>
      </x:c>
      <x:c r="C4063" s="39" t="str">
        <x:v>2026-08-04T03:05:00</x:v>
      </x:c>
      <x:c r="D4063" s="47" t="n">
        <x:v>60</x:v>
      </x:c>
      <x:c r="E4063" s="40" t="n">
        <x:v>13</x:v>
      </x:c>
      <x:c r="F4063" s="40" t="n">
        <x:v>13.132709503173828</x:v>
      </x:c>
      <x:c r="G4063" s="40" t="n">
        <x:v>13</x:v>
      </x:c>
      <x:c r="H4063" s="40" t="n">
        <x:f>F4063-E4063</x:f>
        <x:v>0.13270950317382812</x:v>
      </x:c>
      <x:c r="I4063" s="40" t="n">
        <x:f>ABS(H4063)</x:f>
        <x:v>0.13270950317382812</x:v>
      </x:c>
      <x:c r="J4063" s="40" t="n">
        <x:f>H4063^2</x:f>
        <x:v>0.017611812232644297</x:v>
      </x:c>
      <x:c r="K4063" s="40" t="n">
        <x:f>G4063-E4063</x:f>
        <x:v>0</x:v>
      </x:c>
      <x:c r="L4063" s="40" t="n">
        <x:f>ABS(K4063)</x:f>
        <x:v>0</x:v>
      </x:c>
      <x:c r="M4063" s="41" t="str">
        <x:v>lstm-soil-v1</x:v>
      </x:c>
    </x:row>
    <x:row r="4064">
      <x:c r="A4064" s="38" t="str">
        <x:v>7月30日现场数据</x:v>
      </x:c>
      <x:c r="B4064" s="39" t="str">
        <x:v>2026-08-04T02:10:00</x:v>
      </x:c>
      <x:c r="C4064" s="39" t="str">
        <x:v>2026-08-04T02:15:00</x:v>
      </x:c>
      <x:c r="D4064" s="47" t="n">
        <x:v>5</x:v>
      </x:c>
      <x:c r="E4064" s="40" t="n">
        <x:v>13</x:v>
      </x:c>
      <x:c r="F4064" s="40" t="n">
        <x:v>11.018718719482422</x:v>
      </x:c>
      <x:c r="G4064" s="40" t="n">
        <x:v>13</x:v>
      </x:c>
      <x:c r="H4064" s="40" t="n">
        <x:f>F4064-E4064</x:f>
        <x:v>-1.9812812805175781</x:v>
      </x:c>
      <x:c r="I4064" s="40" t="n">
        <x:f>ABS(H4064)</x:f>
        <x:v>1.9812812805175781</x:v>
      </x:c>
      <x:c r="J4064" s="40" t="n">
        <x:f>H4064^2</x:f>
        <x:v>3.925475512529374</x:v>
      </x:c>
      <x:c r="K4064" s="40" t="n">
        <x:f>G4064-E4064</x:f>
        <x:v>0</x:v>
      </x:c>
      <x:c r="L4064" s="40" t="n">
        <x:f>ABS(K4064)</x:f>
        <x:v>0</x:v>
      </x:c>
      <x:c r="M4064" s="41" t="str">
        <x:v>lstm-soil-v1</x:v>
      </x:c>
    </x:row>
    <x:row r="4065">
      <x:c r="A4065" s="38" t="str">
        <x:v>7月30日现场数据</x:v>
      </x:c>
      <x:c r="B4065" s="39" t="str">
        <x:v>2026-08-04T02:10:00</x:v>
      </x:c>
      <x:c r="C4065" s="39" t="str">
        <x:v>2026-08-04T02:25:00</x:v>
      </x:c>
      <x:c r="D4065" s="47" t="n">
        <x:v>15</x:v>
      </x:c>
      <x:c r="E4065" s="40" t="n">
        <x:v>13</x:v>
      </x:c>
      <x:c r="F4065" s="40" t="n">
        <x:v>11.076404571533203</x:v>
      </x:c>
      <x:c r="G4065" s="40" t="n">
        <x:v>13</x:v>
      </x:c>
      <x:c r="H4065" s="40" t="n">
        <x:f>F4065-E4065</x:f>
        <x:v>-1.9235954284667969</x:v>
      </x:c>
      <x:c r="I4065" s="40" t="n">
        <x:f>ABS(H4065)</x:f>
        <x:v>1.9235954284667969</x:v>
      </x:c>
      <x:c r="J4065" s="40" t="n">
        <x:f>H4065^2</x:f>
        <x:v>3.70021937241836</x:v>
      </x:c>
      <x:c r="K4065" s="40" t="n">
        <x:f>G4065-E4065</x:f>
        <x:v>0</x:v>
      </x:c>
      <x:c r="L4065" s="40" t="n">
        <x:f>ABS(K4065)</x:f>
        <x:v>0</x:v>
      </x:c>
      <x:c r="M4065" s="41" t="str">
        <x:v>lstm-soil-v1</x:v>
      </x:c>
    </x:row>
    <x:row r="4066">
      <x:c r="A4066" s="38" t="str">
        <x:v>7月30日现场数据</x:v>
      </x:c>
      <x:c r="B4066" s="39" t="str">
        <x:v>2026-08-04T02:10:00</x:v>
      </x:c>
      <x:c r="C4066" s="39" t="str">
        <x:v>2026-08-04T02:40:00</x:v>
      </x:c>
      <x:c r="D4066" s="47" t="n">
        <x:v>30</x:v>
      </x:c>
      <x:c r="E4066" s="40" t="n">
        <x:v>13</x:v>
      </x:c>
      <x:c r="F4066" s="40" t="n">
        <x:v>11.554668426513672</x:v>
      </x:c>
      <x:c r="G4066" s="40" t="n">
        <x:v>13</x:v>
      </x:c>
      <x:c r="H4066" s="40" t="n">
        <x:f>F4066-E4066</x:f>
        <x:v>-1.4453315734863281</x:v>
      </x:c>
      <x:c r="I4066" s="40" t="n">
        <x:f>ABS(H4066)</x:f>
        <x:v>1.4453315734863281</x:v>
      </x:c>
      <x:c r="J4066" s="40" t="n">
        <x:f>H4066^2</x:f>
        <x:v>2.088983357316465</x:v>
      </x:c>
      <x:c r="K4066" s="40" t="n">
        <x:f>G4066-E4066</x:f>
        <x:v>0</x:v>
      </x:c>
      <x:c r="L4066" s="40" t="n">
        <x:f>ABS(K4066)</x:f>
        <x:v>0</x:v>
      </x:c>
      <x:c r="M4066" s="41" t="str">
        <x:v>lstm-soil-v1</x:v>
      </x:c>
    </x:row>
    <x:row r="4067">
      <x:c r="A4067" s="38" t="str">
        <x:v>7月30日现场数据</x:v>
      </x:c>
      <x:c r="B4067" s="39" t="str">
        <x:v>2026-08-04T02:10:00</x:v>
      </x:c>
      <x:c r="C4067" s="39" t="str">
        <x:v>2026-08-04T03:10:00</x:v>
      </x:c>
      <x:c r="D4067" s="47" t="n">
        <x:v>60</x:v>
      </x:c>
      <x:c r="E4067" s="40" t="n">
        <x:v>13</x:v>
      </x:c>
      <x:c r="F4067" s="40" t="n">
        <x:v>13.131080627441406</x:v>
      </x:c>
      <x:c r="G4067" s="40" t="n">
        <x:v>13</x:v>
      </x:c>
      <x:c r="H4067" s="40" t="n">
        <x:f>F4067-E4067</x:f>
        <x:v>0.13108062744140625</x:v>
      </x:c>
      <x:c r="I4067" s="40" t="n">
        <x:f>ABS(H4067)</x:f>
        <x:v>0.13108062744140625</x:v>
      </x:c>
      <x:c r="J4067" s="40" t="n">
        <x:f>H4067^2</x:f>
        <x:v>0.017182130890432745</x:v>
      </x:c>
      <x:c r="K4067" s="40" t="n">
        <x:f>G4067-E4067</x:f>
        <x:v>0</x:v>
      </x:c>
      <x:c r="L4067" s="40" t="n">
        <x:f>ABS(K4067)</x:f>
        <x:v>0</x:v>
      </x:c>
      <x:c r="M4067" s="41" t="str">
        <x:v>lstm-soil-v1</x:v>
      </x:c>
    </x:row>
    <x:row r="4068">
      <x:c r="A4068" s="38" t="str">
        <x:v>7月30日现场数据</x:v>
      </x:c>
      <x:c r="B4068" s="39" t="str">
        <x:v>2026-08-04T02:15:00</x:v>
      </x:c>
      <x:c r="C4068" s="39" t="str">
        <x:v>2026-08-04T02:20:00</x:v>
      </x:c>
      <x:c r="D4068" s="47" t="n">
        <x:v>5</x:v>
      </x:c>
      <x:c r="E4068" s="40" t="n">
        <x:v>13</x:v>
      </x:c>
      <x:c r="F4068" s="40" t="n">
        <x:v>11.01815414428711</x:v>
      </x:c>
      <x:c r="G4068" s="40" t="n">
        <x:v>13</x:v>
      </x:c>
      <x:c r="H4068" s="40" t="n">
        <x:f>F4068-E4068</x:f>
        <x:v>-1.9818458557128906</x:v>
      </x:c>
      <x:c r="I4068" s="40" t="n">
        <x:f>ABS(H4068)</x:f>
        <x:v>1.9818458557128906</x:v>
      </x:c>
      <x:c r="J4068" s="40" t="n">
        <x:f>H4068^2</x:f>
        <x:v>3.9277129958063597</x:v>
      </x:c>
      <x:c r="K4068" s="40" t="n">
        <x:f>G4068-E4068</x:f>
        <x:v>0</x:v>
      </x:c>
      <x:c r="L4068" s="40" t="n">
        <x:f>ABS(K4068)</x:f>
        <x:v>0</x:v>
      </x:c>
      <x:c r="M4068" s="41" t="str">
        <x:v>lstm-soil-v1</x:v>
      </x:c>
    </x:row>
    <x:row r="4069">
      <x:c r="A4069" s="38" t="str">
        <x:v>7月30日现场数据</x:v>
      </x:c>
      <x:c r="B4069" s="39" t="str">
        <x:v>2026-08-04T02:15:00</x:v>
      </x:c>
      <x:c r="C4069" s="39" t="str">
        <x:v>2026-08-04T02:30:00</x:v>
      </x:c>
      <x:c r="D4069" s="47" t="n">
        <x:v>15</x:v>
      </x:c>
      <x:c r="E4069" s="40" t="n">
        <x:v>13</x:v>
      </x:c>
      <x:c r="F4069" s="40" t="n">
        <x:v>11.075874328613281</x:v>
      </x:c>
      <x:c r="G4069" s="40" t="n">
        <x:v>13</x:v>
      </x:c>
      <x:c r="H4069" s="40" t="n">
        <x:f>F4069-E4069</x:f>
        <x:v>-1.9241256713867188</x:v>
      </x:c>
      <x:c r="I4069" s="40" t="n">
        <x:f>ABS(H4069)</x:f>
        <x:v>1.9241256713867188</x:v>
      </x:c>
      <x:c r="J4069" s="40" t="n">
        <x:f>H4069^2</x:f>
        <x:v>3.702259599289391</x:v>
      </x:c>
      <x:c r="K4069" s="40" t="n">
        <x:f>G4069-E4069</x:f>
        <x:v>0</x:v>
      </x:c>
      <x:c r="L4069" s="40" t="n">
        <x:f>ABS(K4069)</x:f>
        <x:v>0</x:v>
      </x:c>
      <x:c r="M4069" s="41" t="str">
        <x:v>lstm-soil-v1</x:v>
      </x:c>
    </x:row>
    <x:row r="4070">
      <x:c r="A4070" s="38" t="str">
        <x:v>7月30日现场数据</x:v>
      </x:c>
      <x:c r="B4070" s="39" t="str">
        <x:v>2026-08-04T02:15:00</x:v>
      </x:c>
      <x:c r="C4070" s="39" t="str">
        <x:v>2026-08-04T02:45:00</x:v>
      </x:c>
      <x:c r="D4070" s="47" t="n">
        <x:v>30</x:v>
      </x:c>
      <x:c r="E4070" s="40" t="n">
        <x:v>13</x:v>
      </x:c>
      <x:c r="F4070" s="40" t="n">
        <x:v>11.555301666259766</x:v>
      </x:c>
      <x:c r="G4070" s="40" t="n">
        <x:v>13</x:v>
      </x:c>
      <x:c r="H4070" s="40" t="n">
        <x:f>F4070-E4070</x:f>
        <x:v>-1.4446983337402344</x:v>
      </x:c>
      <x:c r="I4070" s="40" t="n">
        <x:f>ABS(H4070)</x:f>
        <x:v>1.4446983337402344</x:v>
      </x:c>
      <x:c r="J4070" s="40" t="n">
        <x:f>H4070^2</x:f>
        <x:v>2.0871532755118096</x:v>
      </x:c>
      <x:c r="K4070" s="40" t="n">
        <x:f>G4070-E4070</x:f>
        <x:v>0</x:v>
      </x:c>
      <x:c r="L4070" s="40" t="n">
        <x:f>ABS(K4070)</x:f>
        <x:v>0</x:v>
      </x:c>
      <x:c r="M4070" s="41" t="str">
        <x:v>lstm-soil-v1</x:v>
      </x:c>
    </x:row>
    <x:row r="4071">
      <x:c r="A4071" s="38" t="str">
        <x:v>7月30日现场数据</x:v>
      </x:c>
      <x:c r="B4071" s="39" t="str">
        <x:v>2026-08-04T02:15:00</x:v>
      </x:c>
      <x:c r="C4071" s="39" t="str">
        <x:v>2026-08-04T03:15:00</x:v>
      </x:c>
      <x:c r="D4071" s="47" t="n">
        <x:v>60</x:v>
      </x:c>
      <x:c r="E4071" s="40" t="n">
        <x:v>13</x:v>
      </x:c>
      <x:c r="F4071" s="40" t="n">
        <x:v>13.131011962890625</x:v>
      </x:c>
      <x:c r="G4071" s="40" t="n">
        <x:v>13</x:v>
      </x:c>
      <x:c r="H4071" s="40" t="n">
        <x:f>F4071-E4071</x:f>
        <x:v>0.131011962890625</x:v>
      </x:c>
      <x:c r="I4071" s="40" t="n">
        <x:f>ABS(H4071)</x:f>
        <x:v>0.131011962890625</x:v>
      </x:c>
      <x:c r="J4071" s="40" t="n">
        <x:f>H4071^2</x:f>
        <x:v>0.017164134420454502</x:v>
      </x:c>
      <x:c r="K4071" s="40" t="n">
        <x:f>G4071-E4071</x:f>
        <x:v>0</x:v>
      </x:c>
      <x:c r="L4071" s="40" t="n">
        <x:f>ABS(K4071)</x:f>
        <x:v>0</x:v>
      </x:c>
      <x:c r="M4071" s="41" t="str">
        <x:v>lstm-soil-v1</x:v>
      </x:c>
    </x:row>
    <x:row r="4072">
      <x:c r="A4072" s="38" t="str">
        <x:v>7月30日现场数据</x:v>
      </x:c>
      <x:c r="B4072" s="39" t="str">
        <x:v>2026-08-04T02:20:00</x:v>
      </x:c>
      <x:c r="C4072" s="39" t="str">
        <x:v>2026-08-04T02:25:00</x:v>
      </x:c>
      <x:c r="D4072" s="47" t="n">
        <x:v>5</x:v>
      </x:c>
      <x:c r="E4072" s="40" t="n">
        <x:v>13</x:v>
      </x:c>
      <x:c r="F4072" s="40" t="n">
        <x:v>11.01785659790039</x:v>
      </x:c>
      <x:c r="G4072" s="40" t="n">
        <x:v>13</x:v>
      </x:c>
      <x:c r="H4072" s="40" t="n">
        <x:f>F4072-E4072</x:f>
        <x:v>-1.9821434020996094</x:v>
      </x:c>
      <x:c r="I4072" s="40" t="n">
        <x:f>ABS(H4072)</x:f>
        <x:v>1.9821434020996094</x:v>
      </x:c>
      <x:c r="J4072" s="40" t="n">
        <x:f>H4072^2</x:f>
        <x:v>3.9288924664870137</x:v>
      </x:c>
      <x:c r="K4072" s="40" t="n">
        <x:f>G4072-E4072</x:f>
        <x:v>0</x:v>
      </x:c>
      <x:c r="L4072" s="40" t="n">
        <x:f>ABS(K4072)</x:f>
        <x:v>0</x:v>
      </x:c>
      <x:c r="M4072" s="41" t="str">
        <x:v>lstm-soil-v1</x:v>
      </x:c>
    </x:row>
    <x:row r="4073">
      <x:c r="A4073" s="38" t="str">
        <x:v>7月30日现场数据</x:v>
      </x:c>
      <x:c r="B4073" s="39" t="str">
        <x:v>2026-08-04T02:20:00</x:v>
      </x:c>
      <x:c r="C4073" s="39" t="str">
        <x:v>2026-08-04T02:35:00</x:v>
      </x:c>
      <x:c r="D4073" s="47" t="n">
        <x:v>15</x:v>
      </x:c>
      <x:c r="E4073" s="40" t="n">
        <x:v>13</x:v>
      </x:c>
      <x:c r="F4073" s="40" t="n">
        <x:v>11.075286865234375</x:v>
      </x:c>
      <x:c r="G4073" s="40" t="n">
        <x:v>13</x:v>
      </x:c>
      <x:c r="H4073" s="40" t="n">
        <x:f>F4073-E4073</x:f>
        <x:v>-1.924713134765625</x:v>
      </x:c>
      <x:c r="I4073" s="40" t="n">
        <x:f>ABS(H4073)</x:f>
        <x:v>1.924713134765625</x:v>
      </x:c>
      <x:c r="J4073" s="40" t="n">
        <x:f>H4073^2</x:f>
        <x:v>3.704520651139319</x:v>
      </x:c>
      <x:c r="K4073" s="40" t="n">
        <x:f>G4073-E4073</x:f>
        <x:v>0</x:v>
      </x:c>
      <x:c r="L4073" s="40" t="n">
        <x:f>ABS(K4073)</x:f>
        <x:v>0</x:v>
      </x:c>
      <x:c r="M4073" s="41" t="str">
        <x:v>lstm-soil-v1</x:v>
      </x:c>
    </x:row>
    <x:row r="4074">
      <x:c r="A4074" s="38" t="str">
        <x:v>7月30日现场数据</x:v>
      </x:c>
      <x:c r="B4074" s="39" t="str">
        <x:v>2026-08-04T02:20:00</x:v>
      </x:c>
      <x:c r="C4074" s="39" t="str">
        <x:v>2026-08-04T02:50:00</x:v>
      </x:c>
      <x:c r="D4074" s="47" t="n">
        <x:v>30</x:v>
      </x:c>
      <x:c r="E4074" s="40" t="n">
        <x:v>13</x:v>
      </x:c>
      <x:c r="F4074" s="40" t="n">
        <x:v>11.556026458740234</x:v>
      </x:c>
      <x:c r="G4074" s="40" t="n">
        <x:v>13</x:v>
      </x:c>
      <x:c r="H4074" s="40" t="n">
        <x:f>F4074-E4074</x:f>
        <x:v>-1.4439735412597656</x:v>
      </x:c>
      <x:c r="I4074" s="40" t="n">
        <x:f>ABS(H4074)</x:f>
        <x:v>1.4439735412597656</x:v>
      </x:c>
      <x:c r="J4074" s="40" t="n">
        <x:f>H4074^2</x:f>
        <x:v>2.085059587858268</x:v>
      </x:c>
      <x:c r="K4074" s="40" t="n">
        <x:f>G4074-E4074</x:f>
        <x:v>0</x:v>
      </x:c>
      <x:c r="L4074" s="40" t="n">
        <x:f>ABS(K4074)</x:f>
        <x:v>0</x:v>
      </x:c>
      <x:c r="M4074" s="41" t="str">
        <x:v>lstm-soil-v1</x:v>
      </x:c>
    </x:row>
    <x:row r="4075">
      <x:c r="A4075" s="38" t="str">
        <x:v>7月30日现场数据</x:v>
      </x:c>
      <x:c r="B4075" s="39" t="str">
        <x:v>2026-08-04T02:20:00</x:v>
      </x:c>
      <x:c r="C4075" s="39" t="str">
        <x:v>2026-08-04T03:20:00</x:v>
      </x:c>
      <x:c r="D4075" s="47" t="n">
        <x:v>60</x:v>
      </x:c>
      <x:c r="E4075" s="40" t="n">
        <x:v>13</x:v>
      </x:c>
      <x:c r="F4075" s="40" t="n">
        <x:v>13.131584167480469</x:v>
      </x:c>
      <x:c r="G4075" s="40" t="n">
        <x:v>13</x:v>
      </x:c>
      <x:c r="H4075" s="40" t="n">
        <x:f>F4075-E4075</x:f>
        <x:v>0.13158416748046875</x:v>
      </x:c>
      <x:c r="I4075" s="40" t="n">
        <x:f>ABS(H4075)</x:f>
        <x:v>0.13158416748046875</x:v>
      </x:c>
      <x:c r="J4075" s="40" t="n">
        <x:f>H4075^2</x:f>
        <x:v>0.01731439313152805</x:v>
      </x:c>
      <x:c r="K4075" s="40" t="n">
        <x:f>G4075-E4075</x:f>
        <x:v>0</x:v>
      </x:c>
      <x:c r="L4075" s="40" t="n">
        <x:f>ABS(K4075)</x:f>
        <x:v>0</x:v>
      </x:c>
      <x:c r="M4075" s="41" t="str">
        <x:v>lstm-soil-v1</x:v>
      </x:c>
    </x:row>
    <x:row r="4076">
      <x:c r="A4076" s="38" t="str">
        <x:v>7月30日现场数据</x:v>
      </x:c>
      <x:c r="B4076" s="39" t="str">
        <x:v>2026-08-04T02:25:00</x:v>
      </x:c>
      <x:c r="C4076" s="39" t="str">
        <x:v>2026-08-04T02:30:00</x:v>
      </x:c>
      <x:c r="D4076" s="47" t="n">
        <x:v>5</x:v>
      </x:c>
      <x:c r="E4076" s="40" t="n">
        <x:v>13</x:v>
      </x:c>
      <x:c r="F4076" s="40" t="n">
        <x:v>11.01785659790039</x:v>
      </x:c>
      <x:c r="G4076" s="40" t="n">
        <x:v>13</x:v>
      </x:c>
      <x:c r="H4076" s="40" t="n">
        <x:f>F4076-E4076</x:f>
        <x:v>-1.9821434020996094</x:v>
      </x:c>
      <x:c r="I4076" s="40" t="n">
        <x:f>ABS(H4076)</x:f>
        <x:v>1.9821434020996094</x:v>
      </x:c>
      <x:c r="J4076" s="40" t="n">
        <x:f>H4076^2</x:f>
        <x:v>3.9288924664870137</x:v>
      </x:c>
      <x:c r="K4076" s="40" t="n">
        <x:f>G4076-E4076</x:f>
        <x:v>0</x:v>
      </x:c>
      <x:c r="L4076" s="40" t="n">
        <x:f>ABS(K4076)</x:f>
        <x:v>0</x:v>
      </x:c>
      <x:c r="M4076" s="41" t="str">
        <x:v>lstm-soil-v1</x:v>
      </x:c>
    </x:row>
    <x:row r="4077">
      <x:c r="A4077" s="38" t="str">
        <x:v>7月30日现场数据</x:v>
      </x:c>
      <x:c r="B4077" s="39" t="str">
        <x:v>2026-08-04T02:25:00</x:v>
      </x:c>
      <x:c r="C4077" s="39" t="str">
        <x:v>2026-08-04T02:40:00</x:v>
      </x:c>
      <x:c r="D4077" s="47" t="n">
        <x:v>15</x:v>
      </x:c>
      <x:c r="E4077" s="40" t="n">
        <x:v>13</x:v>
      </x:c>
      <x:c r="F4077" s="40" t="n">
        <x:v>11.07479476928711</x:v>
      </x:c>
      <x:c r="G4077" s="40" t="n">
        <x:v>13</x:v>
      </x:c>
      <x:c r="H4077" s="40" t="n">
        <x:f>F4077-E4077</x:f>
        <x:v>-1.9252052307128906</x:v>
      </x:c>
      <x:c r="I4077" s="40" t="n">
        <x:f>ABS(H4077)</x:f>
        <x:v>1.9252052307128906</x:v>
      </x:c>
      <x:c r="J4077" s="40" t="n">
        <x:f>H4077^2</x:f>
        <x:v>3.7064151803642744</x:v>
      </x:c>
      <x:c r="K4077" s="40" t="n">
        <x:f>G4077-E4077</x:f>
        <x:v>0</x:v>
      </x:c>
      <x:c r="L4077" s="40" t="n">
        <x:f>ABS(K4077)</x:f>
        <x:v>0</x:v>
      </x:c>
      <x:c r="M4077" s="41" t="str">
        <x:v>lstm-soil-v1</x:v>
      </x:c>
    </x:row>
    <x:row r="4078">
      <x:c r="A4078" s="38" t="str">
        <x:v>7月30日现场数据</x:v>
      </x:c>
      <x:c r="B4078" s="39" t="str">
        <x:v>2026-08-04T02:25:00</x:v>
      </x:c>
      <x:c r="C4078" s="39" t="str">
        <x:v>2026-08-04T02:55:00</x:v>
      </x:c>
      <x:c r="D4078" s="47" t="n">
        <x:v>30</x:v>
      </x:c>
      <x:c r="E4078" s="40" t="n">
        <x:v>13</x:v>
      </x:c>
      <x:c r="F4078" s="40" t="n">
        <x:v>11.55679702758789</x:v>
      </x:c>
      <x:c r="G4078" s="40" t="n">
        <x:v>13</x:v>
      </x:c>
      <x:c r="H4078" s="40" t="n">
        <x:f>F4078-E4078</x:f>
        <x:v>-1.4432029724121094</x:v>
      </x:c>
      <x:c r="I4078" s="40" t="n">
        <x:f>ABS(H4078)</x:f>
        <x:v>1.4432029724121094</x:v>
      </x:c>
      <x:c r="J4078" s="40" t="n">
        <x:f>H4078^2</x:f>
        <x:v>2.0828348195791477</x:v>
      </x:c>
      <x:c r="K4078" s="40" t="n">
        <x:f>G4078-E4078</x:f>
        <x:v>0</x:v>
      </x:c>
      <x:c r="L4078" s="40" t="n">
        <x:f>ABS(K4078)</x:f>
        <x:v>0</x:v>
      </x:c>
      <x:c r="M4078" s="41" t="str">
        <x:v>lstm-soil-v1</x:v>
      </x:c>
    </x:row>
    <x:row r="4079">
      <x:c r="A4079" s="38" t="str">
        <x:v>7月30日现场数据</x:v>
      </x:c>
      <x:c r="B4079" s="39" t="str">
        <x:v>2026-08-04T02:25:00</x:v>
      </x:c>
      <x:c r="C4079" s="39" t="str">
        <x:v>2026-08-04T03:25:00</x:v>
      </x:c>
      <x:c r="D4079" s="47" t="n">
        <x:v>60</x:v>
      </x:c>
      <x:c r="E4079" s="40" t="n">
        <x:v>13</x:v>
      </x:c>
      <x:c r="F4079" s="40" t="n">
        <x:v>13.132450103759766</x:v>
      </x:c>
      <x:c r="G4079" s="40" t="n">
        <x:v>13</x:v>
      </x:c>
      <x:c r="H4079" s="40" t="n">
        <x:f>F4079-E4079</x:f>
        <x:v>0.13245010375976562</x:v>
      </x:c>
      <x:c r="I4079" s="40" t="n">
        <x:f>ABS(H4079)</x:f>
        <x:v>0.13245010375976562</x:v>
      </x:c>
      <x:c r="J4079" s="40" t="n">
        <x:f>H4079^2</x:f>
        <x:v>0.01754302998597268</x:v>
      </x:c>
      <x:c r="K4079" s="40" t="n">
        <x:f>G4079-E4079</x:f>
        <x:v>0</x:v>
      </x:c>
      <x:c r="L4079" s="40" t="n">
        <x:f>ABS(K4079)</x:f>
        <x:v>0</x:v>
      </x:c>
      <x:c r="M4079" s="41" t="str">
        <x:v>lstm-soil-v1</x:v>
      </x:c>
    </x:row>
    <x:row r="4080">
      <x:c r="A4080" s="38" t="str">
        <x:v>7月30日现场数据</x:v>
      </x:c>
      <x:c r="B4080" s="39" t="str">
        <x:v>2026-08-04T02:30:00</x:v>
      </x:c>
      <x:c r="C4080" s="39" t="str">
        <x:v>2026-08-04T02:35:00</x:v>
      </x:c>
      <x:c r="D4080" s="47" t="n">
        <x:v>5</x:v>
      </x:c>
      <x:c r="E4080" s="40" t="n">
        <x:v>13</x:v>
      </x:c>
      <x:c r="F4080" s="40" t="n">
        <x:v>11.017940521240234</x:v>
      </x:c>
      <x:c r="G4080" s="40" t="n">
        <x:v>13</x:v>
      </x:c>
      <x:c r="H4080" s="40" t="n">
        <x:f>F4080-E4080</x:f>
        <x:v>-1.9820594787597656</x:v>
      </x:c>
      <x:c r="I4080" s="40" t="n">
        <x:f>ABS(H4080)</x:f>
        <x:v>1.9820594787597656</x:v>
      </x:c>
      <x:c r="J4080" s="40" t="n">
        <x:f>H4080^2</x:f>
        <x:v>3.928559777341434</x:v>
      </x:c>
      <x:c r="K4080" s="40" t="n">
        <x:f>G4080-E4080</x:f>
        <x:v>0</x:v>
      </x:c>
      <x:c r="L4080" s="40" t="n">
        <x:f>ABS(K4080)</x:f>
        <x:v>0</x:v>
      </x:c>
      <x:c r="M4080" s="41" t="str">
        <x:v>lstm-soil-v1</x:v>
      </x:c>
    </x:row>
    <x:row r="4081">
      <x:c r="A4081" s="38" t="str">
        <x:v>7月30日现场数据</x:v>
      </x:c>
      <x:c r="B4081" s="39" t="str">
        <x:v>2026-08-04T02:30:00</x:v>
      </x:c>
      <x:c r="C4081" s="39" t="str">
        <x:v>2026-08-04T02:45:00</x:v>
      </x:c>
      <x:c r="D4081" s="47" t="n">
        <x:v>15</x:v>
      </x:c>
      <x:c r="E4081" s="40" t="n">
        <x:v>13</x:v>
      </x:c>
      <x:c r="F4081" s="40" t="n">
        <x:v>11.074462890625</x:v>
      </x:c>
      <x:c r="G4081" s="40" t="n">
        <x:v>13</x:v>
      </x:c>
      <x:c r="H4081" s="40" t="n">
        <x:f>F4081-E4081</x:f>
        <x:v>-1.925537109375</x:v>
      </x:c>
      <x:c r="I4081" s="40" t="n">
        <x:f>ABS(H4081)</x:f>
        <x:v>1.925537109375</x:v>
      </x:c>
      <x:c r="J4081" s="40" t="n">
        <x:f>H4081^2</x:f>
        <x:v>3.7076931595802307</x:v>
      </x:c>
      <x:c r="K4081" s="40" t="n">
        <x:f>G4081-E4081</x:f>
        <x:v>0</x:v>
      </x:c>
      <x:c r="L4081" s="40" t="n">
        <x:f>ABS(K4081)</x:f>
        <x:v>0</x:v>
      </x:c>
      <x:c r="M4081" s="41" t="str">
        <x:v>lstm-soil-v1</x:v>
      </x:c>
    </x:row>
    <x:row r="4082">
      <x:c r="A4082" s="38" t="str">
        <x:v>7月30日现场数据</x:v>
      </x:c>
      <x:c r="B4082" s="39" t="str">
        <x:v>2026-08-04T02:30:00</x:v>
      </x:c>
      <x:c r="C4082" s="39" t="str">
        <x:v>2026-08-04T03:00:00</x:v>
      </x:c>
      <x:c r="D4082" s="47" t="n">
        <x:v>30</x:v>
      </x:c>
      <x:c r="E4082" s="40" t="n">
        <x:v>13</x:v>
      </x:c>
      <x:c r="F4082" s="40" t="n">
        <x:v>11.557476043701172</x:v>
      </x:c>
      <x:c r="G4082" s="40" t="n">
        <x:v>13</x:v>
      </x:c>
      <x:c r="H4082" s="40" t="n">
        <x:f>F4082-E4082</x:f>
        <x:v>-1.4425239562988281</x:v>
      </x:c>
      <x:c r="I4082" s="40" t="n">
        <x:f>ABS(H4082)</x:f>
        <x:v>1.4425239562988281</x:v>
      </x:c>
      <x:c r="J4082" s="40" t="n">
        <x:f>H4082^2</x:f>
        <x:v>2.0808753644960234</x:v>
      </x:c>
      <x:c r="K4082" s="40" t="n">
        <x:f>G4082-E4082</x:f>
        <x:v>0</x:v>
      </x:c>
      <x:c r="L4082" s="40" t="n">
        <x:f>ABS(K4082)</x:f>
        <x:v>0</x:v>
      </x:c>
      <x:c r="M4082" s="41" t="str">
        <x:v>lstm-soil-v1</x:v>
      </x:c>
    </x:row>
    <x:row r="4083">
      <x:c r="A4083" s="38" t="str">
        <x:v>7月30日现场数据</x:v>
      </x:c>
      <x:c r="B4083" s="39" t="str">
        <x:v>2026-08-04T02:30:00</x:v>
      </x:c>
      <x:c r="C4083" s="39" t="str">
        <x:v>2026-08-04T03:30:00</x:v>
      </x:c>
      <x:c r="D4083" s="47" t="n">
        <x:v>60</x:v>
      </x:c>
      <x:c r="E4083" s="40" t="n">
        <x:v>13</x:v>
      </x:c>
      <x:c r="F4083" s="40" t="n">
        <x:v>13.13326644897461</x:v>
      </x:c>
      <x:c r="G4083" s="40" t="n">
        <x:v>13</x:v>
      </x:c>
      <x:c r="H4083" s="40" t="n">
        <x:f>F4083-E4083</x:f>
        <x:v>0.13326644897460938</x:v>
      </x:c>
      <x:c r="I4083" s="40" t="n">
        <x:f>ABS(H4083)</x:f>
        <x:v>0.13326644897460938</x:v>
      </x:c>
      <x:c r="J4083" s="40" t="n">
        <x:f>H4083^2</x:f>
        <x:v>0.017759946422302164</x:v>
      </x:c>
      <x:c r="K4083" s="40" t="n">
        <x:f>G4083-E4083</x:f>
        <x:v>0</x:v>
      </x:c>
      <x:c r="L4083" s="40" t="n">
        <x:f>ABS(K4083)</x:f>
        <x:v>0</x:v>
      </x:c>
      <x:c r="M4083" s="41" t="str">
        <x:v>lstm-soil-v1</x:v>
      </x:c>
    </x:row>
    <x:row r="4084">
      <x:c r="A4084" s="38" t="str">
        <x:v>7月30日现场数据</x:v>
      </x:c>
      <x:c r="B4084" s="39" t="str">
        <x:v>2026-08-04T02:35:00</x:v>
      </x:c>
      <x:c r="C4084" s="39" t="str">
        <x:v>2026-08-04T02:40:00</x:v>
      </x:c>
      <x:c r="D4084" s="47" t="n">
        <x:v>5</x:v>
      </x:c>
      <x:c r="E4084" s="40" t="n">
        <x:v>13</x:v>
      </x:c>
      <x:c r="F4084" s="40" t="n">
        <x:v>11.01806640625</x:v>
      </x:c>
      <x:c r="G4084" s="40" t="n">
        <x:v>13</x:v>
      </x:c>
      <x:c r="H4084" s="40" t="n">
        <x:f>F4084-E4084</x:f>
        <x:v>-1.98193359375</x:v>
      </x:c>
      <x:c r="I4084" s="40" t="n">
        <x:f>ABS(H4084)</x:f>
        <x:v>1.98193359375</x:v>
      </x:c>
      <x:c r="J4084" s="40" t="n">
        <x:f>H4084^2</x:f>
        <x:v>3.92806077003479</x:v>
      </x:c>
      <x:c r="K4084" s="40" t="n">
        <x:f>G4084-E4084</x:f>
        <x:v>0</x:v>
      </x:c>
      <x:c r="L4084" s="40" t="n">
        <x:f>ABS(K4084)</x:f>
        <x:v>0</x:v>
      </x:c>
      <x:c r="M4084" s="41" t="str">
        <x:v>lstm-soil-v1</x:v>
      </x:c>
    </x:row>
    <x:row r="4085">
      <x:c r="A4085" s="38" t="str">
        <x:v>7月30日现场数据</x:v>
      </x:c>
      <x:c r="B4085" s="39" t="str">
        <x:v>2026-08-04T02:35:00</x:v>
      </x:c>
      <x:c r="C4085" s="39" t="str">
        <x:v>2026-08-04T02:50:00</x:v>
      </x:c>
      <x:c r="D4085" s="47" t="n">
        <x:v>15</x:v>
      </x:c>
      <x:c r="E4085" s="40" t="n">
        <x:v>13</x:v>
      </x:c>
      <x:c r="F4085" s="40" t="n">
        <x:v>11.074256896972656</x:v>
      </x:c>
      <x:c r="G4085" s="40" t="n">
        <x:v>13</x:v>
      </x:c>
      <x:c r="H4085" s="40" t="n">
        <x:f>F4085-E4085</x:f>
        <x:v>-1.9257431030273438</x:v>
      </x:c>
      <x:c r="I4085" s="40" t="n">
        <x:f>ABS(H4085)</x:f>
        <x:v>1.9257431030273438</x:v>
      </x:c>
      <x:c r="J4085" s="40" t="n">
        <x:f>H4085^2</x:f>
        <x:v>3.7084864988573827</x:v>
      </x:c>
      <x:c r="K4085" s="40" t="n">
        <x:f>G4085-E4085</x:f>
        <x:v>0</x:v>
      </x:c>
      <x:c r="L4085" s="40" t="n">
        <x:f>ABS(K4085)</x:f>
        <x:v>0</x:v>
      </x:c>
      <x:c r="M4085" s="41" t="str">
        <x:v>lstm-soil-v1</x:v>
      </x:c>
    </x:row>
    <x:row r="4086">
      <x:c r="A4086" s="38" t="str">
        <x:v>7月30日现场数据</x:v>
      </x:c>
      <x:c r="B4086" s="39" t="str">
        <x:v>2026-08-04T02:35:00</x:v>
      </x:c>
      <x:c r="C4086" s="39" t="str">
        <x:v>2026-08-04T03:05:00</x:v>
      </x:c>
      <x:c r="D4086" s="47" t="n">
        <x:v>30</x:v>
      </x:c>
      <x:c r="E4086" s="40" t="n">
        <x:v>13</x:v>
      </x:c>
      <x:c r="F4086" s="40" t="n">
        <x:v>11.558090209960938</x:v>
      </x:c>
      <x:c r="G4086" s="40" t="n">
        <x:v>13</x:v>
      </x:c>
      <x:c r="H4086" s="40" t="n">
        <x:f>F4086-E4086</x:f>
        <x:v>-1.4419097900390625</x:v>
      </x:c>
      <x:c r="I4086" s="40" t="n">
        <x:f>ABS(H4086)</x:f>
        <x:v>1.4419097900390625</x:v>
      </x:c>
      <x:c r="J4086" s="40" t="n">
        <x:f>H4086^2</x:f>
        <x:v>2.0791038426104933</x:v>
      </x:c>
      <x:c r="K4086" s="40" t="n">
        <x:f>G4086-E4086</x:f>
        <x:v>0</x:v>
      </x:c>
      <x:c r="L4086" s="40" t="n">
        <x:f>ABS(K4086)</x:f>
        <x:v>0</x:v>
      </x:c>
      <x:c r="M4086" s="41" t="str">
        <x:v>lstm-soil-v1</x:v>
      </x:c>
    </x:row>
    <x:row r="4087">
      <x:c r="A4087" s="38" t="str">
        <x:v>7月30日现场数据</x:v>
      </x:c>
      <x:c r="B4087" s="39" t="str">
        <x:v>2026-08-04T02:35:00</x:v>
      </x:c>
      <x:c r="C4087" s="39" t="str">
        <x:v>2026-08-04T03:35:00</x:v>
      </x:c>
      <x:c r="D4087" s="47" t="n">
        <x:v>60</x:v>
      </x:c>
      <x:c r="E4087" s="40" t="n">
        <x:v>13</x:v>
      </x:c>
      <x:c r="F4087" s="40" t="n">
        <x:v>13.133987426757812</x:v>
      </x:c>
      <x:c r="G4087" s="40" t="n">
        <x:v>13</x:v>
      </x:c>
      <x:c r="H4087" s="40" t="n">
        <x:f>F4087-E4087</x:f>
        <x:v>0.1339874267578125</x:v>
      </x:c>
      <x:c r="I4087" s="40" t="n">
        <x:f>ABS(H4087)</x:f>
        <x:v>0.1339874267578125</x:v>
      </x:c>
      <x:c r="J4087" s="40" t="n">
        <x:f>H4087^2</x:f>
        <x:v>0.01795263052918017</x:v>
      </x:c>
      <x:c r="K4087" s="40" t="n">
        <x:f>G4087-E4087</x:f>
        <x:v>0</x:v>
      </x:c>
      <x:c r="L4087" s="40" t="n">
        <x:f>ABS(K4087)</x:f>
        <x:v>0</x:v>
      </x:c>
      <x:c r="M4087" s="41" t="str">
        <x:v>lstm-soil-v1</x:v>
      </x:c>
    </x:row>
    <x:row r="4088">
      <x:c r="A4088" s="38" t="str">
        <x:v>7月30日现场数据</x:v>
      </x:c>
      <x:c r="B4088" s="39" t="str">
        <x:v>2026-08-04T02:40:00</x:v>
      </x:c>
      <x:c r="C4088" s="39" t="str">
        <x:v>2026-08-04T02:45:00</x:v>
      </x:c>
      <x:c r="D4088" s="47" t="n">
        <x:v>5</x:v>
      </x:c>
      <x:c r="E4088" s="40" t="n">
        <x:v>13</x:v>
      </x:c>
      <x:c r="F4088" s="40" t="n">
        <x:v>11.018211364746094</x:v>
      </x:c>
      <x:c r="G4088" s="40" t="n">
        <x:v>13</x:v>
      </x:c>
      <x:c r="H4088" s="40" t="n">
        <x:f>F4088-E4088</x:f>
        <x:v>-1.9817886352539062</x:v>
      </x:c>
      <x:c r="I4088" s="40" t="n">
        <x:f>ABS(H4088)</x:f>
        <x:v>1.9817886352539062</x:v>
      </x:c>
      <x:c r="J4088" s="40" t="n">
        <x:f>H4088^2</x:f>
        <x:v>3.9274861948215403</x:v>
      </x:c>
      <x:c r="K4088" s="40" t="n">
        <x:f>G4088-E4088</x:f>
        <x:v>0</x:v>
      </x:c>
      <x:c r="L4088" s="40" t="n">
        <x:f>ABS(K4088)</x:f>
        <x:v>0</x:v>
      </x:c>
      <x:c r="M4088" s="41" t="str">
        <x:v>lstm-soil-v1</x:v>
      </x:c>
    </x:row>
    <x:row r="4089">
      <x:c r="A4089" s="38" t="str">
        <x:v>7月30日现场数据</x:v>
      </x:c>
      <x:c r="B4089" s="39" t="str">
        <x:v>2026-08-04T02:40:00</x:v>
      </x:c>
      <x:c r="C4089" s="39" t="str">
        <x:v>2026-08-04T02:55:00</x:v>
      </x:c>
      <x:c r="D4089" s="47" t="n">
        <x:v>15</x:v>
      </x:c>
      <x:c r="E4089" s="40" t="n">
        <x:v>13</x:v>
      </x:c>
      <x:c r="F4089" s="40" t="n">
        <x:v>11.074142456054688</x:v>
      </x:c>
      <x:c r="G4089" s="40" t="n">
        <x:v>13</x:v>
      </x:c>
      <x:c r="H4089" s="40" t="n">
        <x:f>F4089-E4089</x:f>
        <x:v>-1.9258575439453125</x:v>
      </x:c>
      <x:c r="I4089" s="40" t="n">
        <x:f>ABS(H4089)</x:f>
        <x:v>1.9258575439453125</x:v>
      </x:c>
      <x:c r="J4089" s="40" t="n">
        <x:f>H4089^2</x:f>
        <x:v>3.7089272795710713</x:v>
      </x:c>
      <x:c r="K4089" s="40" t="n">
        <x:f>G4089-E4089</x:f>
        <x:v>0</x:v>
      </x:c>
      <x:c r="L4089" s="40" t="n">
        <x:f>ABS(K4089)</x:f>
        <x:v>0</x:v>
      </x:c>
      <x:c r="M4089" s="41" t="str">
        <x:v>lstm-soil-v1</x:v>
      </x:c>
    </x:row>
    <x:row r="4090">
      <x:c r="A4090" s="38" t="str">
        <x:v>7月30日现场数据</x:v>
      </x:c>
      <x:c r="B4090" s="39" t="str">
        <x:v>2026-08-04T02:40:00</x:v>
      </x:c>
      <x:c r="C4090" s="39" t="str">
        <x:v>2026-08-04T03:10:00</x:v>
      </x:c>
      <x:c r="D4090" s="47" t="n">
        <x:v>30</x:v>
      </x:c>
      <x:c r="E4090" s="40" t="n">
        <x:v>13</x:v>
      </x:c>
      <x:c r="F4090" s="40" t="n">
        <x:v>11.558597564697266</x:v>
      </x:c>
      <x:c r="G4090" s="40" t="n">
        <x:v>13</x:v>
      </x:c>
      <x:c r="H4090" s="40" t="n">
        <x:f>F4090-E4090</x:f>
        <x:v>-1.4414024353027344</x:v>
      </x:c>
      <x:c r="I4090" s="40" t="n">
        <x:f>ABS(H4090)</x:f>
        <x:v>1.4414024353027344</x:v>
      </x:c>
      <x:c r="J4090" s="40" t="n">
        <x:f>H4090^2</x:f>
        <x:v>2.0776409804966534</x:v>
      </x:c>
      <x:c r="K4090" s="40" t="n">
        <x:f>G4090-E4090</x:f>
        <x:v>0</x:v>
      </x:c>
      <x:c r="L4090" s="40" t="n">
        <x:f>ABS(K4090)</x:f>
        <x:v>0</x:v>
      </x:c>
      <x:c r="M4090" s="41" t="str">
        <x:v>lstm-soil-v1</x:v>
      </x:c>
    </x:row>
    <x:row r="4091">
      <x:c r="A4091" s="38" t="str">
        <x:v>7月30日现场数据</x:v>
      </x:c>
      <x:c r="B4091" s="39" t="str">
        <x:v>2026-08-04T02:40:00</x:v>
      </x:c>
      <x:c r="C4091" s="39" t="str">
        <x:v>2026-08-04T03:40:00</x:v>
      </x:c>
      <x:c r="D4091" s="47" t="n">
        <x:v>60</x:v>
      </x:c>
      <x:c r="E4091" s="40" t="n">
        <x:v>13</x:v>
      </x:c>
      <x:c r="F4091" s="40" t="n">
        <x:v>13.13458251953125</x:v>
      </x:c>
      <x:c r="G4091" s="40" t="n">
        <x:v>13</x:v>
      </x:c>
      <x:c r="H4091" s="40" t="n">
        <x:f>F4091-E4091</x:f>
        <x:v>0.13458251953125</x:v>
      </x:c>
      <x:c r="I4091" s="40" t="n">
        <x:f>ABS(H4091)</x:f>
        <x:v>0.13458251953125</x:v>
      </x:c>
      <x:c r="J4091" s="40" t="n">
        <x:f>H4091^2</x:f>
        <x:v>0.018112454563379288</x:v>
      </x:c>
      <x:c r="K4091" s="40" t="n">
        <x:f>G4091-E4091</x:f>
        <x:v>0</x:v>
      </x:c>
      <x:c r="L4091" s="40" t="n">
        <x:f>ABS(K4091)</x:f>
        <x:v>0</x:v>
      </x:c>
      <x:c r="M4091" s="41" t="str">
        <x:v>lstm-soil-v1</x:v>
      </x:c>
    </x:row>
    <x:row r="4092">
      <x:c r="A4092" s="38" t="str">
        <x:v>7月30日现场数据</x:v>
      </x:c>
      <x:c r="B4092" s="39" t="str">
        <x:v>2026-08-04T02:45:00</x:v>
      </x:c>
      <x:c r="C4092" s="39" t="str">
        <x:v>2026-08-04T02:50:00</x:v>
      </x:c>
      <x:c r="D4092" s="47" t="n">
        <x:v>5</x:v>
      </x:c>
      <x:c r="E4092" s="40" t="n">
        <x:v>13</x:v>
      </x:c>
      <x:c r="F4092" s="40" t="n">
        <x:v>11.018341064453125</x:v>
      </x:c>
      <x:c r="G4092" s="40" t="n">
        <x:v>13</x:v>
      </x:c>
      <x:c r="H4092" s="40" t="n">
        <x:f>F4092-E4092</x:f>
        <x:v>-1.981658935546875</x:v>
      </x:c>
      <x:c r="I4092" s="40" t="n">
        <x:f>ABS(H4092)</x:f>
        <x:v>1.981658935546875</x:v>
      </x:c>
      <x:c r="J4092" s="40" t="n">
        <x:f>H4092^2</x:f>
        <x:v>3.9269721368327737</x:v>
      </x:c>
      <x:c r="K4092" s="40" t="n">
        <x:f>G4092-E4092</x:f>
        <x:v>0</x:v>
      </x:c>
      <x:c r="L4092" s="40" t="n">
        <x:f>ABS(K4092)</x:f>
        <x:v>0</x:v>
      </x:c>
      <x:c r="M4092" s="41" t="str">
        <x:v>lstm-soil-v1</x:v>
      </x:c>
    </x:row>
    <x:row r="4093">
      <x:c r="A4093" s="38" t="str">
        <x:v>7月30日现场数据</x:v>
      </x:c>
      <x:c r="B4093" s="39" t="str">
        <x:v>2026-08-04T02:45:00</x:v>
      </x:c>
      <x:c r="C4093" s="39" t="str">
        <x:v>2026-08-04T03:00:00</x:v>
      </x:c>
      <x:c r="D4093" s="47" t="n">
        <x:v>15</x:v>
      </x:c>
      <x:c r="E4093" s="40" t="n">
        <x:v>13</x:v>
      </x:c>
      <x:c r="F4093" s="40" t="n">
        <x:v>11.074081420898438</x:v>
      </x:c>
      <x:c r="G4093" s="40" t="n">
        <x:v>13</x:v>
      </x:c>
      <x:c r="H4093" s="40" t="n">
        <x:f>F4093-E4093</x:f>
        <x:v>-1.9259185791015625</x:v>
      </x:c>
      <x:c r="I4093" s="40" t="n">
        <x:f>ABS(H4093)</x:f>
        <x:v>1.9259185791015625</x:v>
      </x:c>
      <x:c r="J4093" s="40" t="n">
        <x:f>H4093^2</x:f>
        <x:v>3.7091623733285815</x:v>
      </x:c>
      <x:c r="K4093" s="40" t="n">
        <x:f>G4093-E4093</x:f>
        <x:v>0</x:v>
      </x:c>
      <x:c r="L4093" s="40" t="n">
        <x:f>ABS(K4093)</x:f>
        <x:v>0</x:v>
      </x:c>
      <x:c r="M4093" s="41" t="str">
        <x:v>lstm-soil-v1</x:v>
      </x:c>
    </x:row>
    <x:row r="4094">
      <x:c r="A4094" s="38" t="str">
        <x:v>7月30日现场数据</x:v>
      </x:c>
      <x:c r="B4094" s="39" t="str">
        <x:v>2026-08-04T02:45:00</x:v>
      </x:c>
      <x:c r="C4094" s="39" t="str">
        <x:v>2026-08-04T03:15:00</x:v>
      </x:c>
      <x:c r="D4094" s="47" t="n">
        <x:v>30</x:v>
      </x:c>
      <x:c r="E4094" s="40" t="n">
        <x:v>13</x:v>
      </x:c>
      <x:c r="F4094" s="40" t="n">
        <x:v>11.558990478515625</x:v>
      </x:c>
      <x:c r="G4094" s="40" t="n">
        <x:v>13</x:v>
      </x:c>
      <x:c r="H4094" s="40" t="n">
        <x:f>F4094-E4094</x:f>
        <x:v>-1.441009521484375</x:v>
      </x:c>
      <x:c r="I4094" s="40" t="n">
        <x:f>ABS(H4094)</x:f>
        <x:v>1.441009521484375</x:v>
      </x:c>
      <x:c r="J4094" s="40" t="n">
        <x:f>H4094^2</x:f>
        <x:v>2.0765084410086274</x:v>
      </x:c>
      <x:c r="K4094" s="40" t="n">
        <x:f>G4094-E4094</x:f>
        <x:v>0</x:v>
      </x:c>
      <x:c r="L4094" s="40" t="n">
        <x:f>ABS(K4094)</x:f>
        <x:v>0</x:v>
      </x:c>
      <x:c r="M4094" s="41" t="str">
        <x:v>lstm-soil-v1</x:v>
      </x:c>
    </x:row>
    <x:row r="4095">
      <x:c r="A4095" s="38" t="str">
        <x:v>7月30日现场数据</x:v>
      </x:c>
      <x:c r="B4095" s="39" t="str">
        <x:v>2026-08-04T02:45:00</x:v>
      </x:c>
      <x:c r="C4095" s="39" t="str">
        <x:v>2026-08-04T03:45:00</x:v>
      </x:c>
      <x:c r="D4095" s="47" t="n">
        <x:v>60</x:v>
      </x:c>
      <x:c r="E4095" s="40" t="n">
        <x:v>13</x:v>
      </x:c>
      <x:c r="F4095" s="40" t="n">
        <x:v>13.13503646850586</x:v>
      </x:c>
      <x:c r="G4095" s="40" t="n">
        <x:v>13</x:v>
      </x:c>
      <x:c r="H4095" s="40" t="n">
        <x:f>F4095-E4095</x:f>
        <x:v>0.13503646850585938</x:v>
      </x:c>
      <x:c r="I4095" s="40" t="n">
        <x:f>ABS(H4095)</x:f>
        <x:v>0.13503646850585938</x:v>
      </x:c>
      <x:c r="J4095" s="40" t="n">
        <x:f>H4095^2</x:f>
        <x:v>0.01823484782653395</x:v>
      </x:c>
      <x:c r="K4095" s="40" t="n">
        <x:f>G4095-E4095</x:f>
        <x:v>0</x:v>
      </x:c>
      <x:c r="L4095" s="40" t="n">
        <x:f>ABS(K4095)</x:f>
        <x:v>0</x:v>
      </x:c>
      <x:c r="M4095" s="41" t="str">
        <x:v>lstm-soil-v1</x:v>
      </x:c>
    </x:row>
    <x:row r="4096">
      <x:c r="A4096" s="38" t="str">
        <x:v>7月30日现场数据</x:v>
      </x:c>
      <x:c r="B4096" s="39" t="str">
        <x:v>2026-08-04T02:50:00</x:v>
      </x:c>
      <x:c r="C4096" s="39" t="str">
        <x:v>2026-08-04T02:55:00</x:v>
      </x:c>
      <x:c r="D4096" s="47" t="n">
        <x:v>5</x:v>
      </x:c>
      <x:c r="E4096" s="40" t="n">
        <x:v>13</x:v>
      </x:c>
      <x:c r="F4096" s="40" t="n">
        <x:v>11.018447875976562</x:v>
      </x:c>
      <x:c r="G4096" s="40" t="n">
        <x:v>13</x:v>
      </x:c>
      <x:c r="H4096" s="40" t="n">
        <x:f>F4096-E4096</x:f>
        <x:v>-1.9815521240234375</x:v>
      </x:c>
      <x:c r="I4096" s="40" t="n">
        <x:f>ABS(H4096)</x:f>
        <x:v>1.9815521240234375</x:v>
      </x:c>
      <x:c r="J4096" s="40" t="n">
        <x:f>H4096^2</x:f>
        <x:v>3.9265488202217966</x:v>
      </x:c>
      <x:c r="K4096" s="40" t="n">
        <x:f>G4096-E4096</x:f>
        <x:v>0</x:v>
      </x:c>
      <x:c r="L4096" s="40" t="n">
        <x:f>ABS(K4096)</x:f>
        <x:v>0</x:v>
      </x:c>
      <x:c r="M4096" s="41" t="str">
        <x:v>lstm-soil-v1</x:v>
      </x:c>
    </x:row>
    <x:row r="4097">
      <x:c r="A4097" s="38" t="str">
        <x:v>7月30日现场数据</x:v>
      </x:c>
      <x:c r="B4097" s="39" t="str">
        <x:v>2026-08-04T02:50:00</x:v>
      </x:c>
      <x:c r="C4097" s="39" t="str">
        <x:v>2026-08-04T03:05:00</x:v>
      </x:c>
      <x:c r="D4097" s="47" t="n">
        <x:v>15</x:v>
      </x:c>
      <x:c r="E4097" s="40" t="n">
        <x:v>13</x:v>
      </x:c>
      <x:c r="F4097" s="40" t="n">
        <x:v>11.074058532714844</x:v>
      </x:c>
      <x:c r="G4097" s="40" t="n">
        <x:v>13</x:v>
      </x:c>
      <x:c r="H4097" s="40" t="n">
        <x:f>F4097-E4097</x:f>
        <x:v>-1.9259414672851562</x:v>
      </x:c>
      <x:c r="I4097" s="40" t="n">
        <x:f>ABS(H4097)</x:f>
        <x:v>1.9259414672851562</x:v>
      </x:c>
      <x:c r="J4097" s="40" t="n">
        <x:f>H4097^2</x:f>
        <x:v>3.7092505354085006</x:v>
      </x:c>
      <x:c r="K4097" s="40" t="n">
        <x:f>G4097-E4097</x:f>
        <x:v>0</x:v>
      </x:c>
      <x:c r="L4097" s="40" t="n">
        <x:f>ABS(K4097)</x:f>
        <x:v>0</x:v>
      </x:c>
      <x:c r="M4097" s="41" t="str">
        <x:v>lstm-soil-v1</x:v>
      </x:c>
    </x:row>
    <x:row r="4098">
      <x:c r="A4098" s="38" t="str">
        <x:v>7月30日现场数据</x:v>
      </x:c>
      <x:c r="B4098" s="39" t="str">
        <x:v>2026-08-04T02:50:00</x:v>
      </x:c>
      <x:c r="C4098" s="39" t="str">
        <x:v>2026-08-04T03:20:00</x:v>
      </x:c>
      <x:c r="D4098" s="47" t="n">
        <x:v>30</x:v>
      </x:c>
      <x:c r="E4098" s="40" t="n">
        <x:v>13</x:v>
      </x:c>
      <x:c r="F4098" s="40" t="n">
        <x:v>11.559295654296875</x:v>
      </x:c>
      <x:c r="G4098" s="40" t="n">
        <x:v>13</x:v>
      </x:c>
      <x:c r="H4098" s="40" t="n">
        <x:f>F4098-E4098</x:f>
        <x:v>-1.440704345703125</x:v>
      </x:c>
      <x:c r="I4098" s="40" t="n">
        <x:f>ABS(H4098)</x:f>
        <x:v>1.440704345703125</x:v>
      </x:c>
      <x:c r="J4098" s="40" t="n">
        <x:f>H4098^2</x:f>
        <x:v>2.0756290117278695</x:v>
      </x:c>
      <x:c r="K4098" s="40" t="n">
        <x:f>G4098-E4098</x:f>
        <x:v>0</x:v>
      </x:c>
      <x:c r="L4098" s="40" t="n">
        <x:f>ABS(K4098)</x:f>
        <x:v>0</x:v>
      </x:c>
      <x:c r="M4098" s="41" t="str">
        <x:v>lstm-soil-v1</x:v>
      </x:c>
    </x:row>
    <x:row r="4099">
      <x:c r="A4099" s="38" t="str">
        <x:v>7月30日现场数据</x:v>
      </x:c>
      <x:c r="B4099" s="39" t="str">
        <x:v>2026-08-04T02:50:00</x:v>
      </x:c>
      <x:c r="C4099" s="39" t="str">
        <x:v>2026-08-04T03:50:00</x:v>
      </x:c>
      <x:c r="D4099" s="47" t="n">
        <x:v>60</x:v>
      </x:c>
      <x:c r="E4099" s="40" t="n">
        <x:v>13</x:v>
      </x:c>
      <x:c r="F4099" s="40" t="n">
        <x:v>13.1353759765625</x:v>
      </x:c>
      <x:c r="G4099" s="40" t="n">
        <x:v>13</x:v>
      </x:c>
      <x:c r="H4099" s="40" t="n">
        <x:f>F4099-E4099</x:f>
        <x:v>0.1353759765625</x:v>
      </x:c>
      <x:c r="I4099" s="40" t="n">
        <x:f>ABS(H4099)</x:f>
        <x:v>0.1353759765625</x:v>
      </x:c>
      <x:c r="J4099" s="40" t="n">
        <x:f>H4099^2</x:f>
        <x:v>0.01832665503025055</x:v>
      </x:c>
      <x:c r="K4099" s="40" t="n">
        <x:f>G4099-E4099</x:f>
        <x:v>0</x:v>
      </x:c>
      <x:c r="L4099" s="40" t="n">
        <x:f>ABS(K4099)</x:f>
        <x:v>0</x:v>
      </x:c>
      <x:c r="M4099" s="41" t="str">
        <x:v>lstm-soil-v1</x:v>
      </x:c>
    </x:row>
    <x:row r="4100">
      <x:c r="A4100" s="38" t="str">
        <x:v>7月30日现场数据</x:v>
      </x:c>
      <x:c r="B4100" s="39" t="str">
        <x:v>2026-08-04T02:55:00</x:v>
      </x:c>
      <x:c r="C4100" s="39" t="str">
        <x:v>2026-08-04T03:00:00</x:v>
      </x:c>
      <x:c r="D4100" s="47" t="n">
        <x:v>5</x:v>
      </x:c>
      <x:c r="E4100" s="40" t="n">
        <x:v>13</x:v>
      </x:c>
      <x:c r="F4100" s="40" t="n">
        <x:v>11.018543243408203</x:v>
      </x:c>
      <x:c r="G4100" s="40" t="n">
        <x:v>13</x:v>
      </x:c>
      <x:c r="H4100" s="40" t="n">
        <x:f>F4100-E4100</x:f>
        <x:v>-1.9814567565917969</x:v>
      </x:c>
      <x:c r="I4100" s="40" t="n">
        <x:f>ABS(H4100)</x:f>
        <x:v>1.9814567565917969</x:v>
      </x:c>
      <x:c r="J4100" s="40" t="n">
        <x:f>H4100^2</x:f>
        <x:v>3.9261708782432834</x:v>
      </x:c>
      <x:c r="K4100" s="40" t="n">
        <x:f>G4100-E4100</x:f>
        <x:v>0</x:v>
      </x:c>
      <x:c r="L4100" s="40" t="n">
        <x:f>ABS(K4100)</x:f>
        <x:v>0</x:v>
      </x:c>
      <x:c r="M4100" s="41" t="str">
        <x:v>lstm-soil-v1</x:v>
      </x:c>
    </x:row>
    <x:row r="4101">
      <x:c r="A4101" s="38" t="str">
        <x:v>7月30日现场数据</x:v>
      </x:c>
      <x:c r="B4101" s="39" t="str">
        <x:v>2026-08-04T02:55:00</x:v>
      </x:c>
      <x:c r="C4101" s="39" t="str">
        <x:v>2026-08-04T03:10:00</x:v>
      </x:c>
      <x:c r="D4101" s="47" t="n">
        <x:v>15</x:v>
      </x:c>
      <x:c r="E4101" s="40" t="n">
        <x:v>13</x:v>
      </x:c>
      <x:c r="F4101" s="40" t="n">
        <x:v>11.07406234741211</x:v>
      </x:c>
      <x:c r="G4101" s="40" t="n">
        <x:v>13</x:v>
      </x:c>
      <x:c r="H4101" s="40" t="n">
        <x:f>F4101-E4101</x:f>
        <x:v>-1.9259376525878906</x:v>
      </x:c>
      <x:c r="I4101" s="40" t="n">
        <x:f>ABS(H4101)</x:f>
        <x:v>1.9259376525878906</x:v>
      </x:c>
      <x:c r="J4101" s="40" t="n">
        <x:f>H4101^2</x:f>
        <x:v>3.7092358416557545</x:v>
      </x:c>
      <x:c r="K4101" s="40" t="n">
        <x:f>G4101-E4101</x:f>
        <x:v>0</x:v>
      </x:c>
      <x:c r="L4101" s="40" t="n">
        <x:f>ABS(K4101)</x:f>
        <x:v>0</x:v>
      </x:c>
      <x:c r="M4101" s="41" t="str">
        <x:v>lstm-soil-v1</x:v>
      </x:c>
    </x:row>
    <x:row r="4102">
      <x:c r="A4102" s="38" t="str">
        <x:v>7月30日现场数据</x:v>
      </x:c>
      <x:c r="B4102" s="39" t="str">
        <x:v>2026-08-04T02:55:00</x:v>
      </x:c>
      <x:c r="C4102" s="39" t="str">
        <x:v>2026-08-04T03:25:00</x:v>
      </x:c>
      <x:c r="D4102" s="47" t="n">
        <x:v>30</x:v>
      </x:c>
      <x:c r="E4102" s="40" t="n">
        <x:v>13</x:v>
      </x:c>
      <x:c r="F4102" s="40" t="n">
        <x:v>11.559539794921875</x:v>
      </x:c>
      <x:c r="G4102" s="40" t="n">
        <x:v>13</x:v>
      </x:c>
      <x:c r="H4102" s="40" t="n">
        <x:f>F4102-E4102</x:f>
        <x:v>-1.440460205078125</x:v>
      </x:c>
      <x:c r="I4102" s="40" t="n">
        <x:f>ABS(H4102)</x:f>
        <x:v>1.440460205078125</x:v>
      </x:c>
      <x:c r="J4102" s="40" t="n">
        <x:f>H4102^2</x:f>
        <x:v>2.074925602413714</x:v>
      </x:c>
      <x:c r="K4102" s="40" t="n">
        <x:f>G4102-E4102</x:f>
        <x:v>0</x:v>
      </x:c>
      <x:c r="L4102" s="40" t="n">
        <x:f>ABS(K4102)</x:f>
        <x:v>0</x:v>
      </x:c>
      <x:c r="M4102" s="41" t="str">
        <x:v>lstm-soil-v1</x:v>
      </x:c>
    </x:row>
    <x:row r="4103">
      <x:c r="A4103" s="38" t="str">
        <x:v>7月30日现场数据</x:v>
      </x:c>
      <x:c r="B4103" s="39" t="str">
        <x:v>2026-08-04T02:55:00</x:v>
      </x:c>
      <x:c r="C4103" s="39" t="str">
        <x:v>2026-08-04T03:55:00</x:v>
      </x:c>
      <x:c r="D4103" s="47" t="n">
        <x:v>60</x:v>
      </x:c>
      <x:c r="E4103" s="40" t="n">
        <x:v>13</x:v>
      </x:c>
      <x:c r="F4103" s="40" t="n">
        <x:v>13.135635375976562</x:v>
      </x:c>
      <x:c r="G4103" s="40" t="n">
        <x:v>13</x:v>
      </x:c>
      <x:c r="H4103" s="40" t="n">
        <x:f>F4103-E4103</x:f>
        <x:v>0.1356353759765625</x:v>
      </x:c>
      <x:c r="I4103" s="40" t="n">
        <x:f>ABS(H4103)</x:f>
        <x:v>0.1356353759765625</x:v>
      </x:c>
      <x:c r="J4103" s="40" t="n">
        <x:f>H4103^2</x:f>
        <x:v>0.018396955216303468</x:v>
      </x:c>
      <x:c r="K4103" s="40" t="n">
        <x:f>G4103-E4103</x:f>
        <x:v>0</x:v>
      </x:c>
      <x:c r="L4103" s="40" t="n">
        <x:f>ABS(K4103)</x:f>
        <x:v>0</x:v>
      </x:c>
      <x:c r="M4103" s="41" t="str">
        <x:v>lstm-soil-v1</x:v>
      </x:c>
    </x:row>
    <x:row r="4104">
      <x:c r="A4104" s="38" t="str">
        <x:v>7月30日现场数据</x:v>
      </x:c>
      <x:c r="B4104" s="39" t="str">
        <x:v>2026-08-04T03:00:00</x:v>
      </x:c>
      <x:c r="C4104" s="39" t="str">
        <x:v>2026-08-04T03:05:00</x:v>
      </x:c>
      <x:c r="D4104" s="47" t="n">
        <x:v>5</x:v>
      </x:c>
      <x:c r="E4104" s="40" t="n">
        <x:v>13</x:v>
      </x:c>
      <x:c r="F4104" s="40" t="n">
        <x:v>11.0166015625</x:v>
      </x:c>
      <x:c r="G4104" s="40" t="n">
        <x:v>13</x:v>
      </x:c>
      <x:c r="H4104" s="40" t="n">
        <x:f>F4104-E4104</x:f>
        <x:v>-1.9833984375</x:v>
      </x:c>
      <x:c r="I4104" s="40" t="n">
        <x:f>ABS(H4104)</x:f>
        <x:v>1.9833984375</x:v>
      </x:c>
      <x:c r="J4104" s="40" t="n">
        <x:f>H4104^2</x:f>
        <x:v>3.9338693618774414</x:v>
      </x:c>
      <x:c r="K4104" s="40" t="n">
        <x:f>G4104-E4104</x:f>
        <x:v>0</x:v>
      </x:c>
      <x:c r="L4104" s="40" t="n">
        <x:f>ABS(K4104)</x:f>
        <x:v>0</x:v>
      </x:c>
      <x:c r="M4104" s="41" t="str">
        <x:v>lstm-soil-v1</x:v>
      </x:c>
    </x:row>
    <x:row r="4105">
      <x:c r="A4105" s="38" t="str">
        <x:v>7月30日现场数据</x:v>
      </x:c>
      <x:c r="B4105" s="39" t="str">
        <x:v>2026-08-04T03:00:00</x:v>
      </x:c>
      <x:c r="C4105" s="39" t="str">
        <x:v>2026-08-04T03:15:00</x:v>
      </x:c>
      <x:c r="D4105" s="47" t="n">
        <x:v>15</x:v>
      </x:c>
      <x:c r="E4105" s="40" t="n">
        <x:v>13</x:v>
      </x:c>
      <x:c r="F4105" s="40" t="n">
        <x:v>11.07196044921875</x:v>
      </x:c>
      <x:c r="G4105" s="40" t="n">
        <x:v>13</x:v>
      </x:c>
      <x:c r="H4105" s="40" t="n">
        <x:f>F4105-E4105</x:f>
        <x:v>-1.92803955078125</x:v>
      </x:c>
      <x:c r="I4105" s="40" t="n">
        <x:f>ABS(H4105)</x:f>
        <x:v>1.92803955078125</x:v>
      </x:c>
      <x:c r="J4105" s="40" t="n">
        <x:f>H4105^2</x:f>
        <x:v>3.7173365093767643</x:v>
      </x:c>
      <x:c r="K4105" s="40" t="n">
        <x:f>G4105-E4105</x:f>
        <x:v>0</x:v>
      </x:c>
      <x:c r="L4105" s="40" t="n">
        <x:f>ABS(K4105)</x:f>
        <x:v>0</x:v>
      </x:c>
      <x:c r="M4105" s="41" t="str">
        <x:v>lstm-soil-v1</x:v>
      </x:c>
    </x:row>
    <x:row r="4106">
      <x:c r="A4106" s="38" t="str">
        <x:v>7月30日现场数据</x:v>
      </x:c>
      <x:c r="B4106" s="39" t="str">
        <x:v>2026-08-04T03:00:00</x:v>
      </x:c>
      <x:c r="C4106" s="39" t="str">
        <x:v>2026-08-04T03:30:00</x:v>
      </x:c>
      <x:c r="D4106" s="47" t="n">
        <x:v>30</x:v>
      </x:c>
      <x:c r="E4106" s="40" t="n">
        <x:v>13</x:v>
      </x:c>
      <x:c r="F4106" s="40" t="n">
        <x:v>11.556781768798828</x:v>
      </x:c>
      <x:c r="G4106" s="40" t="n">
        <x:v>13</x:v>
      </x:c>
      <x:c r="H4106" s="40" t="n">
        <x:f>F4106-E4106</x:f>
        <x:v>-1.4432182312011719</x:v>
      </x:c>
      <x:c r="I4106" s="40" t="n">
        <x:f>ABS(H4106)</x:f>
        <x:v>1.4432182312011719</x:v>
      </x:c>
      <x:c r="J4106" s="40" t="n">
        <x:f>H4106^2</x:f>
        <x:v>2.082878862871439</x:v>
      </x:c>
      <x:c r="K4106" s="40" t="n">
        <x:f>G4106-E4106</x:f>
        <x:v>0</x:v>
      </x:c>
      <x:c r="L4106" s="40" t="n">
        <x:f>ABS(K4106)</x:f>
        <x:v>0</x:v>
      </x:c>
      <x:c r="M4106" s="41" t="str">
        <x:v>lstm-soil-v1</x:v>
      </x:c>
    </x:row>
    <x:row r="4107">
      <x:c r="A4107" s="38" t="str">
        <x:v>7月30日现场数据</x:v>
      </x:c>
      <x:c r="B4107" s="39" t="str">
        <x:v>2026-08-04T03:00:00</x:v>
      </x:c>
      <x:c r="C4107" s="39" t="str">
        <x:v>2026-08-04T04:00:00</x:v>
      </x:c>
      <x:c r="D4107" s="47" t="n">
        <x:v>60</x:v>
      </x:c>
      <x:c r="E4107" s="40" t="n">
        <x:v>12.9</x:v>
      </x:c>
      <x:c r="F4107" s="40" t="n">
        <x:v>13.13364028930664</x:v>
      </x:c>
      <x:c r="G4107" s="40" t="n">
        <x:v>13</x:v>
      </x:c>
      <x:c r="H4107" s="40" t="n">
        <x:f>F4107-E4107</x:f>
        <x:v>0.23364028930664027</x:v>
      </x:c>
      <x:c r="I4107" s="40" t="n">
        <x:f>ABS(H4107)</x:f>
        <x:v>0.23364028930664027</x:v>
      </x:c>
      <x:c r="J4107" s="40" t="n">
        <x:f>H4107^2</x:f>
        <x:v>0.054587784787290566</x:v>
      </x:c>
      <x:c r="K4107" s="40" t="n">
        <x:f>G4107-E4107</x:f>
        <x:v>0.09999999999999964</x:v>
      </x:c>
      <x:c r="L4107" s="40" t="n">
        <x:f>ABS(K4107)</x:f>
        <x:v>0.09999999999999964</x:v>
      </x:c>
      <x:c r="M4107" s="41" t="str">
        <x:v>lstm-soil-v1</x:v>
      </x:c>
    </x:row>
    <x:row r="4108">
      <x:c r="A4108" s="38" t="str">
        <x:v>7月30日现场数据</x:v>
      </x:c>
      <x:c r="B4108" s="39" t="str">
        <x:v>2026-08-04T03:05:00</x:v>
      </x:c>
      <x:c r="C4108" s="39" t="str">
        <x:v>2026-08-04T03:10:00</x:v>
      </x:c>
      <x:c r="D4108" s="47" t="n">
        <x:v>5</x:v>
      </x:c>
      <x:c r="E4108" s="40" t="n">
        <x:v>13</x:v>
      </x:c>
      <x:c r="F4108" s="40" t="n">
        <x:v>11.014862060546875</x:v>
      </x:c>
      <x:c r="G4108" s="40" t="n">
        <x:v>13</x:v>
      </x:c>
      <x:c r="H4108" s="40" t="n">
        <x:f>F4108-E4108</x:f>
        <x:v>-1.985137939453125</x:v>
      </x:c>
      <x:c r="I4108" s="40" t="n">
        <x:f>ABS(H4108)</x:f>
        <x:v>1.985137939453125</x:v>
      </x:c>
      <x:c r="J4108" s="40" t="n">
        <x:f>H4108^2</x:f>
        <x:v>3.940772638656199</x:v>
      </x:c>
      <x:c r="K4108" s="40" t="n">
        <x:f>G4108-E4108</x:f>
        <x:v>0</x:v>
      </x:c>
      <x:c r="L4108" s="40" t="n">
        <x:f>ABS(K4108)</x:f>
        <x:v>0</x:v>
      </x:c>
      <x:c r="M4108" s="41" t="str">
        <x:v>lstm-soil-v1</x:v>
      </x:c>
    </x:row>
    <x:row r="4109">
      <x:c r="A4109" s="38" t="str">
        <x:v>7月30日现场数据</x:v>
      </x:c>
      <x:c r="B4109" s="39" t="str">
        <x:v>2026-08-04T03:05:00</x:v>
      </x:c>
      <x:c r="C4109" s="39" t="str">
        <x:v>2026-08-04T03:20:00</x:v>
      </x:c>
      <x:c r="D4109" s="47" t="n">
        <x:v>15</x:v>
      </x:c>
      <x:c r="E4109" s="40" t="n">
        <x:v>13</x:v>
      </x:c>
      <x:c r="F4109" s="40" t="n">
        <x:v>11.07073974609375</x:v>
      </x:c>
      <x:c r="G4109" s="40" t="n">
        <x:v>13</x:v>
      </x:c>
      <x:c r="H4109" s="40" t="n">
        <x:f>F4109-E4109</x:f>
        <x:v>-1.92926025390625</x:v>
      </x:c>
      <x:c r="I4109" s="40" t="n">
        <x:f>ABS(H4109)</x:f>
        <x:v>1.92926025390625</x:v>
      </x:c>
      <x:c r="J4109" s="40" t="n">
        <x:f>H4109^2</x:f>
        <x:v>3.722045127302408</x:v>
      </x:c>
      <x:c r="K4109" s="40" t="n">
        <x:f>G4109-E4109</x:f>
        <x:v>0</x:v>
      </x:c>
      <x:c r="L4109" s="40" t="n">
        <x:f>ABS(K4109)</x:f>
        <x:v>0</x:v>
      </x:c>
      <x:c r="M4109" s="41" t="str">
        <x:v>lstm-soil-v1</x:v>
      </x:c>
    </x:row>
    <x:row r="4110">
      <x:c r="A4110" s="38" t="str">
        <x:v>7月30日现场数据</x:v>
      </x:c>
      <x:c r="B4110" s="39" t="str">
        <x:v>2026-08-04T03:05:00</x:v>
      </x:c>
      <x:c r="C4110" s="39" t="str">
        <x:v>2026-08-04T03:35:00</x:v>
      </x:c>
      <x:c r="D4110" s="47" t="n">
        <x:v>30</x:v>
      </x:c>
      <x:c r="E4110" s="40" t="n">
        <x:v>13</x:v>
      </x:c>
      <x:c r="F4110" s="40" t="n">
        <x:v>11.555896759033203</x:v>
      </x:c>
      <x:c r="G4110" s="40" t="n">
        <x:v>13</x:v>
      </x:c>
      <x:c r="H4110" s="40" t="n">
        <x:f>F4110-E4110</x:f>
        <x:v>-1.4441032409667969</x:v>
      </x:c>
      <x:c r="I4110" s="40" t="n">
        <x:f>ABS(H4110)</x:f>
        <x:v>1.4441032409667969</x:v>
      </x:c>
      <x:c r="J4110" s="40" t="n">
        <x:f>H4110^2</x:f>
        <x:v>2.0854341705708066</x:v>
      </x:c>
      <x:c r="K4110" s="40" t="n">
        <x:f>G4110-E4110</x:f>
        <x:v>0</x:v>
      </x:c>
      <x:c r="L4110" s="40" t="n">
        <x:f>ABS(K4110)</x:f>
        <x:v>0</x:v>
      </x:c>
      <x:c r="M4110" s="41" t="str">
        <x:v>lstm-soil-v1</x:v>
      </x:c>
    </x:row>
    <x:row r="4111">
      <x:c r="A4111" s="38" t="str">
        <x:v>7月30日现场数据</x:v>
      </x:c>
      <x:c r="B4111" s="39" t="str">
        <x:v>2026-08-04T03:05:00</x:v>
      </x:c>
      <x:c r="C4111" s="39" t="str">
        <x:v>2026-08-04T04:05:00</x:v>
      </x:c>
      <x:c r="D4111" s="47" t="n">
        <x:v>60</x:v>
      </x:c>
      <x:c r="E4111" s="40" t="n">
        <x:v>13</x:v>
      </x:c>
      <x:c r="F4111" s="40" t="n">
        <x:v>13.131843566894531</x:v>
      </x:c>
      <x:c r="G4111" s="40" t="n">
        <x:v>13</x:v>
      </x:c>
      <x:c r="H4111" s="40" t="n">
        <x:f>F4111-E4111</x:f>
        <x:v>0.13184356689453125</x:v>
      </x:c>
      <x:c r="I4111" s="40" t="n">
        <x:f>ABS(H4111)</x:f>
        <x:v>0.13184356689453125</x:v>
      </x:c>
      <x:c r="J4111" s="40" t="n">
        <x:f>H4111^2</x:f>
        <x:v>0.017382726131472737</x:v>
      </x:c>
      <x:c r="K4111" s="40" t="n">
        <x:f>G4111-E4111</x:f>
        <x:v>0</x:v>
      </x:c>
      <x:c r="L4111" s="40" t="n">
        <x:f>ABS(K4111)</x:f>
        <x:v>0</x:v>
      </x:c>
      <x:c r="M4111" s="41" t="str">
        <x:v>lstm-soil-v1</x:v>
      </x:c>
    </x:row>
    <x:row r="4112">
      <x:c r="A4112" s="38" t="str">
        <x:v>7月30日现场数据</x:v>
      </x:c>
      <x:c r="B4112" s="39" t="str">
        <x:v>2026-08-04T03:10:00</x:v>
      </x:c>
      <x:c r="C4112" s="39" t="str">
        <x:v>2026-08-04T03:15:00</x:v>
      </x:c>
      <x:c r="D4112" s="47" t="n">
        <x:v>5</x:v>
      </x:c>
      <x:c r="E4112" s="40" t="n">
        <x:v>13</x:v>
      </x:c>
      <x:c r="F4112" s="40" t="n">
        <x:v>11.013866424560547</x:v>
      </x:c>
      <x:c r="G4112" s="40" t="n">
        <x:v>13</x:v>
      </x:c>
      <x:c r="H4112" s="40" t="n">
        <x:f>F4112-E4112</x:f>
        <x:v>-1.9861335754394531</x:v>
      </x:c>
      <x:c r="I4112" s="40" t="n">
        <x:f>ABS(H4112)</x:f>
        <x:v>1.9861335754394531</x:v>
      </x:c>
      <x:c r="J4112" s="40" t="n">
        <x:f>H4112^2</x:f>
        <x:v>3.944726579487906</x:v>
      </x:c>
      <x:c r="K4112" s="40" t="n">
        <x:f>G4112-E4112</x:f>
        <x:v>0</x:v>
      </x:c>
      <x:c r="L4112" s="40" t="n">
        <x:f>ABS(K4112)</x:f>
        <x:v>0</x:v>
      </x:c>
      <x:c r="M4112" s="41" t="str">
        <x:v>lstm-soil-v1</x:v>
      </x:c>
    </x:row>
    <x:row r="4113">
      <x:c r="A4113" s="38" t="str">
        <x:v>7月30日现场数据</x:v>
      </x:c>
      <x:c r="B4113" s="39" t="str">
        <x:v>2026-08-04T03:10:00</x:v>
      </x:c>
      <x:c r="C4113" s="39" t="str">
        <x:v>2026-08-04T03:25:00</x:v>
      </x:c>
      <x:c r="D4113" s="47" t="n">
        <x:v>15</x:v>
      </x:c>
      <x:c r="E4113" s="40" t="n">
        <x:v>13</x:v>
      </x:c>
      <x:c r="F4113" s="40" t="n">
        <x:v>11.07010269165039</x:v>
      </x:c>
      <x:c r="G4113" s="40" t="n">
        <x:v>13</x:v>
      </x:c>
      <x:c r="H4113" s="40" t="n">
        <x:f>F4113-E4113</x:f>
        <x:v>-1.9298973083496094</x:v>
      </x:c>
      <x:c r="I4113" s="40" t="n">
        <x:f>ABS(H4113)</x:f>
        <x:v>1.9298973083496094</x:v>
      </x:c>
      <x:c r="J4113" s="40" t="n">
        <x:f>H4113^2</x:f>
        <x:v>3.7245036207750672</x:v>
      </x:c>
      <x:c r="K4113" s="40" t="n">
        <x:f>G4113-E4113</x:f>
        <x:v>0</x:v>
      </x:c>
      <x:c r="L4113" s="40" t="n">
        <x:f>ABS(K4113)</x:f>
        <x:v>0</x:v>
      </x:c>
      <x:c r="M4113" s="41" t="str">
        <x:v>lstm-soil-v1</x:v>
      </x:c>
    </x:row>
    <x:row r="4114">
      <x:c r="A4114" s="38" t="str">
        <x:v>7月30日现场数据</x:v>
      </x:c>
      <x:c r="B4114" s="39" t="str">
        <x:v>2026-08-04T03:10:00</x:v>
      </x:c>
      <x:c r="C4114" s="39" t="str">
        <x:v>2026-08-04T03:40:00</x:v>
      </x:c>
      <x:c r="D4114" s="47" t="n">
        <x:v>30</x:v>
      </x:c>
      <x:c r="E4114" s="40" t="n">
        <x:v>13</x:v>
      </x:c>
      <x:c r="F4114" s="40" t="n">
        <x:v>11.555992126464844</x:v>
      </x:c>
      <x:c r="G4114" s="40" t="n">
        <x:v>13</x:v>
      </x:c>
      <x:c r="H4114" s="40" t="n">
        <x:f>F4114-E4114</x:f>
        <x:v>-1.4440078735351562</x:v>
      </x:c>
      <x:c r="I4114" s="40" t="n">
        <x:f>ABS(H4114)</x:f>
        <x:v>1.4440078735351562</x:v>
      </x:c>
      <x:c r="J4114" s="40" t="n">
        <x:f>H4114^2</x:f>
        <x:v>2.085158738831524</x:v>
      </x:c>
      <x:c r="K4114" s="40" t="n">
        <x:f>G4114-E4114</x:f>
        <x:v>0</x:v>
      </x:c>
      <x:c r="L4114" s="40" t="n">
        <x:f>ABS(K4114)</x:f>
        <x:v>0</x:v>
      </x:c>
      <x:c r="M4114" s="41" t="str">
        <x:v>lstm-soil-v1</x:v>
      </x:c>
    </x:row>
    <x:row r="4115">
      <x:c r="A4115" s="38" t="str">
        <x:v>7月30日现场数据</x:v>
      </x:c>
      <x:c r="B4115" s="39" t="str">
        <x:v>2026-08-04T03:10:00</x:v>
      </x:c>
      <x:c r="C4115" s="39" t="str">
        <x:v>2026-08-04T04:10:00</x:v>
      </x:c>
      <x:c r="D4115" s="47" t="n">
        <x:v>60</x:v>
      </x:c>
      <x:c r="E4115" s="40" t="n">
        <x:v>13</x:v>
      </x:c>
      <x:c r="F4115" s="40" t="n">
        <x:v>13.131153106689453</x:v>
      </x:c>
      <x:c r="G4115" s="40" t="n">
        <x:v>13</x:v>
      </x:c>
      <x:c r="H4115" s="40" t="n">
        <x:f>F4115-E4115</x:f>
        <x:v>0.13115310668945312</x:v>
      </x:c>
      <x:c r="I4115" s="40" t="n">
        <x:f>ABS(H4115)</x:f>
        <x:v>0.13115310668945312</x:v>
      </x:c>
      <x:c r="J4115" s="40" t="n">
        <x:f>H4115^2</x:f>
        <x:v>0.017201137394295074</x:v>
      </x:c>
      <x:c r="K4115" s="40" t="n">
        <x:f>G4115-E4115</x:f>
        <x:v>0</x:v>
      </x:c>
      <x:c r="L4115" s="40" t="n">
        <x:f>ABS(K4115)</x:f>
        <x:v>0</x:v>
      </x:c>
      <x:c r="M4115" s="41" t="str">
        <x:v>lstm-soil-v1</x:v>
      </x:c>
    </x:row>
    <x:row r="4116">
      <x:c r="A4116" s="38" t="str">
        <x:v>7月30日现场数据</x:v>
      </x:c>
      <x:c r="B4116" s="39" t="str">
        <x:v>2026-08-04T03:15:00</x:v>
      </x:c>
      <x:c r="C4116" s="39" t="str">
        <x:v>2026-08-04T03:20:00</x:v>
      </x:c>
      <x:c r="D4116" s="47" t="n">
        <x:v>5</x:v>
      </x:c>
      <x:c r="E4116" s="40" t="n">
        <x:v>13</x:v>
      </x:c>
      <x:c r="F4116" s="40" t="n">
        <x:v>11.013439178466797</x:v>
      </x:c>
      <x:c r="G4116" s="40" t="n">
        <x:v>13</x:v>
      </x:c>
      <x:c r="H4116" s="40" t="n">
        <x:f>F4116-E4116</x:f>
        <x:v>-1.9865608215332031</x:v>
      </x:c>
      <x:c r="I4116" s="40" t="n">
        <x:f>ABS(H4116)</x:f>
        <x:v>1.9865608215332031</x:v>
      </x:c>
      <x:c r="J4116" s="40" t="n">
        <x:f>H4116^2</x:f>
        <x:v>3.946423897650675</x:v>
      </x:c>
      <x:c r="K4116" s="40" t="n">
        <x:f>G4116-E4116</x:f>
        <x:v>0</x:v>
      </x:c>
      <x:c r="L4116" s="40" t="n">
        <x:f>ABS(K4116)</x:f>
        <x:v>0</x:v>
      </x:c>
      <x:c r="M4116" s="41" t="str">
        <x:v>lstm-soil-v1</x:v>
      </x:c>
    </x:row>
    <x:row r="4117">
      <x:c r="A4117" s="38" t="str">
        <x:v>7月30日现场数据</x:v>
      </x:c>
      <x:c r="B4117" s="39" t="str">
        <x:v>2026-08-04T03:15:00</x:v>
      </x:c>
      <x:c r="C4117" s="39" t="str">
        <x:v>2026-08-04T03:30:00</x:v>
      </x:c>
      <x:c r="D4117" s="47" t="n">
        <x:v>15</x:v>
      </x:c>
      <x:c r="E4117" s="40" t="n">
        <x:v>13</x:v>
      </x:c>
      <x:c r="F4117" s="40" t="n">
        <x:v>11.069782257080078</x:v>
      </x:c>
      <x:c r="G4117" s="40" t="n">
        <x:v>13</x:v>
      </x:c>
      <x:c r="H4117" s="40" t="n">
        <x:f>F4117-E4117</x:f>
        <x:v>-1.9302177429199219</x:v>
      </x:c>
      <x:c r="I4117" s="40" t="n">
        <x:f>ABS(H4117)</x:f>
        <x:v>1.9302177429199219</x:v>
      </x:c>
      <x:c r="J4117" s="40" t="n">
        <x:f>H4117^2</x:f>
        <x:v>3.7257405350828776</x:v>
      </x:c>
      <x:c r="K4117" s="40" t="n">
        <x:f>G4117-E4117</x:f>
        <x:v>0</x:v>
      </x:c>
      <x:c r="L4117" s="40" t="n">
        <x:f>ABS(K4117)</x:f>
        <x:v>0</x:v>
      </x:c>
      <x:c r="M4117" s="41" t="str">
        <x:v>lstm-soil-v1</x:v>
      </x:c>
    </x:row>
    <x:row r="4118">
      <x:c r="A4118" s="38" t="str">
        <x:v>7月30日现场数据</x:v>
      </x:c>
      <x:c r="B4118" s="39" t="str">
        <x:v>2026-08-04T03:15:00</x:v>
      </x:c>
      <x:c r="C4118" s="39" t="str">
        <x:v>2026-08-04T03:45:00</x:v>
      </x:c>
      <x:c r="D4118" s="47" t="n">
        <x:v>30</x:v>
      </x:c>
      <x:c r="E4118" s="40" t="n">
        <x:v>13</x:v>
      </x:c>
      <x:c r="F4118" s="40" t="n">
        <x:v>11.5565185546875</x:v>
      </x:c>
      <x:c r="G4118" s="40" t="n">
        <x:v>13</x:v>
      </x:c>
      <x:c r="H4118" s="40" t="n">
        <x:f>F4118-E4118</x:f>
        <x:v>-1.4434814453125</x:v>
      </x:c>
      <x:c r="I4118" s="40" t="n">
        <x:f>ABS(H4118)</x:f>
        <x:v>1.4434814453125</x:v>
      </x:c>
      <x:c r="J4118" s="40" t="n">
        <x:f>H4118^2</x:f>
        <x:v>2.083638682961464</x:v>
      </x:c>
      <x:c r="K4118" s="40" t="n">
        <x:f>G4118-E4118</x:f>
        <x:v>0</x:v>
      </x:c>
      <x:c r="L4118" s="40" t="n">
        <x:f>ABS(K4118)</x:f>
        <x:v>0</x:v>
      </x:c>
      <x:c r="M4118" s="41" t="str">
        <x:v>lstm-soil-v1</x:v>
      </x:c>
    </x:row>
    <x:row r="4119">
      <x:c r="A4119" s="38" t="str">
        <x:v>7月30日现场数据</x:v>
      </x:c>
      <x:c r="B4119" s="39" t="str">
        <x:v>2026-08-04T03:15:00</x:v>
      </x:c>
      <x:c r="C4119" s="39" t="str">
        <x:v>2026-08-04T04:15:00</x:v>
      </x:c>
      <x:c r="D4119" s="47" t="n">
        <x:v>60</x:v>
      </x:c>
      <x:c r="E4119" s="40" t="n">
        <x:v>13</x:v>
      </x:c>
      <x:c r="F4119" s="40" t="n">
        <x:v>13.131202697753906</x:v>
      </x:c>
      <x:c r="G4119" s="40" t="n">
        <x:v>13</x:v>
      </x:c>
      <x:c r="H4119" s="40" t="n">
        <x:f>F4119-E4119</x:f>
        <x:v>0.13120269775390625</x:v>
      </x:c>
      <x:c r="I4119" s="40" t="n">
        <x:f>ABS(H4119)</x:f>
        <x:v>0.13120269775390625</x:v>
      </x:c>
      <x:c r="J4119" s="40" t="n">
        <x:f>H4119^2</x:f>
        <x:v>0.017214147897902876</x:v>
      </x:c>
      <x:c r="K4119" s="40" t="n">
        <x:f>G4119-E4119</x:f>
        <x:v>0</x:v>
      </x:c>
      <x:c r="L4119" s="40" t="n">
        <x:f>ABS(K4119)</x:f>
        <x:v>0</x:v>
      </x:c>
      <x:c r="M4119" s="41" t="str">
        <x:v>lstm-soil-v1</x:v>
      </x:c>
    </x:row>
    <x:row r="4120">
      <x:c r="A4120" s="38" t="str">
        <x:v>7月30日现场数据</x:v>
      </x:c>
      <x:c r="B4120" s="39" t="str">
        <x:v>2026-08-04T03:20:00</x:v>
      </x:c>
      <x:c r="C4120" s="39" t="str">
        <x:v>2026-08-04T03:25:00</x:v>
      </x:c>
      <x:c r="D4120" s="47" t="n">
        <x:v>5</x:v>
      </x:c>
      <x:c r="E4120" s="40" t="n">
        <x:v>13</x:v>
      </x:c>
      <x:c r="F4120" s="40" t="n">
        <x:v>11.013355255126953</x:v>
      </x:c>
      <x:c r="G4120" s="40" t="n">
        <x:v>13</x:v>
      </x:c>
      <x:c r="H4120" s="40" t="n">
        <x:f>F4120-E4120</x:f>
        <x:v>-1.9866447448730469</x:v>
      </x:c>
      <x:c r="I4120" s="40" t="n">
        <x:f>ABS(H4120)</x:f>
        <x:v>1.9866447448730469</x:v>
      </x:c>
      <x:c r="J4120" s="40" t="n">
        <x:f>H4120^2</x:f>
        <x:v>3.9467573423316935</x:v>
      </x:c>
      <x:c r="K4120" s="40" t="n">
        <x:f>G4120-E4120</x:f>
        <x:v>0</x:v>
      </x:c>
      <x:c r="L4120" s="40" t="n">
        <x:f>ABS(K4120)</x:f>
        <x:v>0</x:v>
      </x:c>
      <x:c r="M4120" s="41" t="str">
        <x:v>lstm-soil-v1</x:v>
      </x:c>
    </x:row>
    <x:row r="4121">
      <x:c r="A4121" s="38" t="str">
        <x:v>7月30日现场数据</x:v>
      </x:c>
      <x:c r="B4121" s="39" t="str">
        <x:v>2026-08-04T03:20:00</x:v>
      </x:c>
      <x:c r="C4121" s="39" t="str">
        <x:v>2026-08-04T03:35:00</x:v>
      </x:c>
      <x:c r="D4121" s="47" t="n">
        <x:v>15</x:v>
      </x:c>
      <x:c r="E4121" s="40" t="n">
        <x:v>13</x:v>
      </x:c>
      <x:c r="F4121" s="40" t="n">
        <x:v>11.06964111328125</x:v>
      </x:c>
      <x:c r="G4121" s="40" t="n">
        <x:v>13</x:v>
      </x:c>
      <x:c r="H4121" s="40" t="n">
        <x:f>F4121-E4121</x:f>
        <x:v>-1.93035888671875</x:v>
      </x:c>
      <x:c r="I4121" s="40" t="n">
        <x:f>ABS(H4121)</x:f>
        <x:v>1.93035888671875</x:v>
      </x:c>
      <x:c r="J4121" s="40" t="n">
        <x:f>H4121^2</x:f>
        <x:v>3.726285431534052</x:v>
      </x:c>
      <x:c r="K4121" s="40" t="n">
        <x:f>G4121-E4121</x:f>
        <x:v>0</x:v>
      </x:c>
      <x:c r="L4121" s="40" t="n">
        <x:f>ABS(K4121)</x:f>
        <x:v>0</x:v>
      </x:c>
      <x:c r="M4121" s="41" t="str">
        <x:v>lstm-soil-v1</x:v>
      </x:c>
    </x:row>
    <x:row r="4122">
      <x:c r="A4122" s="38" t="str">
        <x:v>7月30日现场数据</x:v>
      </x:c>
      <x:c r="B4122" s="39" t="str">
        <x:v>2026-08-04T03:20:00</x:v>
      </x:c>
      <x:c r="C4122" s="39" t="str">
        <x:v>2026-08-04T03:50:00</x:v>
      </x:c>
      <x:c r="D4122" s="47" t="n">
        <x:v>30</x:v>
      </x:c>
      <x:c r="E4122" s="40" t="n">
        <x:v>13</x:v>
      </x:c>
      <x:c r="F4122" s="40" t="n">
        <x:v>11.55722427368164</x:v>
      </x:c>
      <x:c r="G4122" s="40" t="n">
        <x:v>13</x:v>
      </x:c>
      <x:c r="H4122" s="40" t="n">
        <x:f>F4122-E4122</x:f>
        <x:v>-1.4427757263183594</x:v>
      </x:c>
      <x:c r="I4122" s="40" t="n">
        <x:f>ABS(H4122)</x:f>
        <x:v>1.4427757263183594</x:v>
      </x:c>
      <x:c r="J4122" s="40" t="n">
        <x:f>H4122^2</x:f>
        <x:v>2.0816017964534694</x:v>
      </x:c>
      <x:c r="K4122" s="40" t="n">
        <x:f>G4122-E4122</x:f>
        <x:v>0</x:v>
      </x:c>
      <x:c r="L4122" s="40" t="n">
        <x:f>ABS(K4122)</x:f>
        <x:v>0</x:v>
      </x:c>
      <x:c r="M4122" s="41" t="str">
        <x:v>lstm-soil-v1</x:v>
      </x:c>
    </x:row>
    <x:row r="4123">
      <x:c r="A4123" s="38" t="str">
        <x:v>7月30日现场数据</x:v>
      </x:c>
      <x:c r="B4123" s="39" t="str">
        <x:v>2026-08-04T03:20:00</x:v>
      </x:c>
      <x:c r="C4123" s="39" t="str">
        <x:v>2026-08-04T04:20:00</x:v>
      </x:c>
      <x:c r="D4123" s="47" t="n">
        <x:v>60</x:v>
      </x:c>
      <x:c r="E4123" s="40" t="n">
        <x:v>13</x:v>
      </x:c>
      <x:c r="F4123" s="40" t="n">
        <x:v>13.131633758544922</x:v>
      </x:c>
      <x:c r="G4123" s="40" t="n">
        <x:v>13</x:v>
      </x:c>
      <x:c r="H4123" s="40" t="n">
        <x:f>F4123-E4123</x:f>
        <x:v>0.13163375854492188</x:v>
      </x:c>
      <x:c r="I4123" s="40" t="n">
        <x:f>ABS(H4123)</x:f>
        <x:v>0.13163375854492188</x:v>
      </x:c>
      <x:c r="J4123" s="40" t="n">
        <x:f>H4123^2</x:f>
        <x:v>0.017327446388662793</x:v>
      </x:c>
      <x:c r="K4123" s="40" t="n">
        <x:f>G4123-E4123</x:f>
        <x:v>0</x:v>
      </x:c>
      <x:c r="L4123" s="40" t="n">
        <x:f>ABS(K4123)</x:f>
        <x:v>0</x:v>
      </x:c>
      <x:c r="M4123" s="41" t="str">
        <x:v>lstm-soil-v1</x:v>
      </x:c>
    </x:row>
    <x:row r="4124">
      <x:c r="A4124" s="38" t="str">
        <x:v>7月30日现场数据</x:v>
      </x:c>
      <x:c r="B4124" s="39" t="str">
        <x:v>2026-08-04T03:25:00</x:v>
      </x:c>
      <x:c r="C4124" s="39" t="str">
        <x:v>2026-08-04T03:30:00</x:v>
      </x:c>
      <x:c r="D4124" s="47" t="n">
        <x:v>5</x:v>
      </x:c>
      <x:c r="E4124" s="40" t="n">
        <x:v>13</x:v>
      </x:c>
      <x:c r="F4124" s="40" t="n">
        <x:v>11.013446807861328</x:v>
      </x:c>
      <x:c r="G4124" s="40" t="n">
        <x:v>13</x:v>
      </x:c>
      <x:c r="H4124" s="40" t="n">
        <x:f>F4124-E4124</x:f>
        <x:v>-1.9865531921386719</x:v>
      </x:c>
      <x:c r="I4124" s="40" t="n">
        <x:f>ABS(H4124)</x:f>
        <x:v>1.9865531921386719</x:v>
      </x:c>
      <x:c r="J4124" s="40" t="n">
        <x:f>H4124^2</x:f>
        <x:v>3.946393585196347</x:v>
      </x:c>
      <x:c r="K4124" s="40" t="n">
        <x:f>G4124-E4124</x:f>
        <x:v>0</x:v>
      </x:c>
      <x:c r="L4124" s="40" t="n">
        <x:f>ABS(K4124)</x:f>
        <x:v>0</x:v>
      </x:c>
      <x:c r="M4124" s="41" t="str">
        <x:v>lstm-soil-v1</x:v>
      </x:c>
    </x:row>
    <x:row r="4125">
      <x:c r="A4125" s="38" t="str">
        <x:v>7月30日现场数据</x:v>
      </x:c>
      <x:c r="B4125" s="39" t="str">
        <x:v>2026-08-04T03:25:00</x:v>
      </x:c>
      <x:c r="C4125" s="39" t="str">
        <x:v>2026-08-04T03:40:00</x:v>
      </x:c>
      <x:c r="D4125" s="47" t="n">
        <x:v>15</x:v>
      </x:c>
      <x:c r="E4125" s="40" t="n">
        <x:v>13</x:v>
      </x:c>
      <x:c r="F4125" s="40" t="n">
        <x:v>11.069576263427734</x:v>
      </x:c>
      <x:c r="G4125" s="40" t="n">
        <x:v>13</x:v>
      </x:c>
      <x:c r="H4125" s="40" t="n">
        <x:f>F4125-E4125</x:f>
        <x:v>-1.9304237365722656</x:v>
      </x:c>
      <x:c r="I4125" s="40" t="n">
        <x:f>ABS(H4125)</x:f>
        <x:v>1.9304237365722656</x:v>
      </x:c>
      <x:c r="J4125" s="40" t="n">
        <x:f>H4125^2</x:f>
        <x:v>3.726535802721628</x:v>
      </x:c>
      <x:c r="K4125" s="40" t="n">
        <x:f>G4125-E4125</x:f>
        <x:v>0</x:v>
      </x:c>
      <x:c r="L4125" s="40" t="n">
        <x:f>ABS(K4125)</x:f>
        <x:v>0</x:v>
      </x:c>
      <x:c r="M4125" s="41" t="str">
        <x:v>lstm-soil-v1</x:v>
      </x:c>
    </x:row>
    <x:row r="4126">
      <x:c r="A4126" s="38" t="str">
        <x:v>7月30日现场数据</x:v>
      </x:c>
      <x:c r="B4126" s="39" t="str">
        <x:v>2026-08-04T03:25:00</x:v>
      </x:c>
      <x:c r="C4126" s="39" t="str">
        <x:v>2026-08-04T03:55:00</x:v>
      </x:c>
      <x:c r="D4126" s="47" t="n">
        <x:v>30</x:v>
      </x:c>
      <x:c r="E4126" s="40" t="n">
        <x:v>13</x:v>
      </x:c>
      <x:c r="F4126" s="40" t="n">
        <x:v>11.55788803100586</x:v>
      </x:c>
      <x:c r="G4126" s="40" t="n">
        <x:v>13</x:v>
      </x:c>
      <x:c r="H4126" s="40" t="n">
        <x:f>F4126-E4126</x:f>
        <x:v>-1.4421119689941406</x:v>
      </x:c>
      <x:c r="I4126" s="40" t="n">
        <x:f>ABS(H4126)</x:f>
        <x:v>1.4421119689941406</x:v>
      </x:c>
      <x:c r="J4126" s="40" t="n">
        <x:f>H4126^2</x:f>
        <x:v>2.079686931116157</x:v>
      </x:c>
      <x:c r="K4126" s="40" t="n">
        <x:f>G4126-E4126</x:f>
        <x:v>0</x:v>
      </x:c>
      <x:c r="L4126" s="40" t="n">
        <x:f>ABS(K4126)</x:f>
        <x:v>0</x:v>
      </x:c>
      <x:c r="M4126" s="41" t="str">
        <x:v>lstm-soil-v1</x:v>
      </x:c>
    </x:row>
    <x:row r="4127">
      <x:c r="A4127" s="38" t="str">
        <x:v>7月30日现场数据</x:v>
      </x:c>
      <x:c r="B4127" s="39" t="str">
        <x:v>2026-08-04T03:25:00</x:v>
      </x:c>
      <x:c r="C4127" s="39" t="str">
        <x:v>2026-08-04T04:25:00</x:v>
      </x:c>
      <x:c r="D4127" s="47" t="n">
        <x:v>60</x:v>
      </x:c>
      <x:c r="E4127" s="40" t="n">
        <x:v>13</x:v>
      </x:c>
      <x:c r="F4127" s="40" t="n">
        <x:v>13.132198333740234</x:v>
      </x:c>
      <x:c r="G4127" s="40" t="n">
        <x:v>13</x:v>
      </x:c>
      <x:c r="H4127" s="40" t="n">
        <x:f>F4127-E4127</x:f>
        <x:v>0.13219833374023438</x:v>
      </x:c>
      <x:c r="I4127" s="40" t="n">
        <x:f>ABS(H4127)</x:f>
        <x:v>0.13219833374023438</x:v>
      </x:c>
      <x:c r="J4127" s="40" t="n">
        <x:f>H4127^2</x:f>
        <x:v>0.01747639944369439</x:v>
      </x:c>
      <x:c r="K4127" s="40" t="n">
        <x:f>G4127-E4127</x:f>
        <x:v>0</x:v>
      </x:c>
      <x:c r="L4127" s="40" t="n">
        <x:f>ABS(K4127)</x:f>
        <x:v>0</x:v>
      </x:c>
      <x:c r="M4127" s="41" t="str">
        <x:v>lstm-soil-v1</x:v>
      </x:c>
    </x:row>
    <x:row r="4128">
      <x:c r="A4128" s="38" t="str">
        <x:v>7月30日现场数据</x:v>
      </x:c>
      <x:c r="B4128" s="39" t="str">
        <x:v>2026-08-04T03:30:00</x:v>
      </x:c>
      <x:c r="C4128" s="39" t="str">
        <x:v>2026-08-04T03:35:00</x:v>
      </x:c>
      <x:c r="D4128" s="47" t="n">
        <x:v>5</x:v>
      </x:c>
      <x:c r="E4128" s="40" t="n">
        <x:v>13</x:v>
      </x:c>
      <x:c r="F4128" s="40" t="n">
        <x:v>11.01361083984375</x:v>
      </x:c>
      <x:c r="G4128" s="40" t="n">
        <x:v>13</x:v>
      </x:c>
      <x:c r="H4128" s="40" t="n">
        <x:f>F4128-E4128</x:f>
        <x:v>-1.98638916015625</x:v>
      </x:c>
      <x:c r="I4128" s="40" t="n">
        <x:f>ABS(H4128)</x:f>
        <x:v>1.98638916015625</x:v>
      </x:c>
      <x:c r="J4128" s="40" t="n">
        <x:f>H4128^2</x:f>
        <x:v>3.945741895586252</x:v>
      </x:c>
      <x:c r="K4128" s="40" t="n">
        <x:f>G4128-E4128</x:f>
        <x:v>0</x:v>
      </x:c>
      <x:c r="L4128" s="40" t="n">
        <x:f>ABS(K4128)</x:f>
        <x:v>0</x:v>
      </x:c>
      <x:c r="M4128" s="41" t="str">
        <x:v>lstm-soil-v1</x:v>
      </x:c>
    </x:row>
    <x:row r="4129">
      <x:c r="A4129" s="38" t="str">
        <x:v>7月30日现场数据</x:v>
      </x:c>
      <x:c r="B4129" s="39" t="str">
        <x:v>2026-08-04T03:30:00</x:v>
      </x:c>
      <x:c r="C4129" s="39" t="str">
        <x:v>2026-08-04T03:45:00</x:v>
      </x:c>
      <x:c r="D4129" s="47" t="n">
        <x:v>15</x:v>
      </x:c>
      <x:c r="E4129" s="40" t="n">
        <x:v>13</x:v>
      </x:c>
      <x:c r="F4129" s="40" t="n">
        <x:v>11.069576263427734</x:v>
      </x:c>
      <x:c r="G4129" s="40" t="n">
        <x:v>13</x:v>
      </x:c>
      <x:c r="H4129" s="40" t="n">
        <x:f>F4129-E4129</x:f>
        <x:v>-1.9304237365722656</x:v>
      </x:c>
      <x:c r="I4129" s="40" t="n">
        <x:f>ABS(H4129)</x:f>
        <x:v>1.9304237365722656</x:v>
      </x:c>
      <x:c r="J4129" s="40" t="n">
        <x:f>H4129^2</x:f>
        <x:v>3.726535802721628</x:v>
      </x:c>
      <x:c r="K4129" s="40" t="n">
        <x:f>G4129-E4129</x:f>
        <x:v>0</x:v>
      </x:c>
      <x:c r="L4129" s="40" t="n">
        <x:f>ABS(K4129)</x:f>
        <x:v>0</x:v>
      </x:c>
      <x:c r="M4129" s="41" t="str">
        <x:v>lstm-soil-v1</x:v>
      </x:c>
    </x:row>
    <x:row r="4130">
      <x:c r="A4130" s="38" t="str">
        <x:v>7月30日现场数据</x:v>
      </x:c>
      <x:c r="B4130" s="39" t="str">
        <x:v>2026-08-04T03:30:00</x:v>
      </x:c>
      <x:c r="C4130" s="39" t="str">
        <x:v>2026-08-04T04:00:00</x:v>
      </x:c>
      <x:c r="D4130" s="47" t="n">
        <x:v>30</x:v>
      </x:c>
      <x:c r="E4130" s="40" t="n">
        <x:v>12.9</x:v>
      </x:c>
      <x:c r="F4130" s="40" t="n">
        <x:v>11.558490753173828</x:v>
      </x:c>
      <x:c r="G4130" s="40" t="n">
        <x:v>13</x:v>
      </x:c>
      <x:c r="H4130" s="40" t="n">
        <x:f>F4130-E4130</x:f>
        <x:v>-1.3415092468261722</x:v>
      </x:c>
      <x:c r="I4130" s="40" t="n">
        <x:f>ABS(H4130)</x:f>
        <x:v>1.3415092468261722</x:v>
      </x:c>
      <x:c r="J4130" s="40" t="n">
        <x:f>H4130^2</x:f>
        <x:v>1.799647059320124</x:v>
      </x:c>
      <x:c r="K4130" s="40" t="n">
        <x:f>G4130-E4130</x:f>
        <x:v>0.09999999999999964</x:v>
      </x:c>
      <x:c r="L4130" s="40" t="n">
        <x:f>ABS(K4130)</x:f>
        <x:v>0.09999999999999964</x:v>
      </x:c>
      <x:c r="M4130" s="41" t="str">
        <x:v>lstm-soil-v1</x:v>
      </x:c>
    </x:row>
    <x:row r="4131">
      <x:c r="A4131" s="38" t="str">
        <x:v>7月30日现场数据</x:v>
      </x:c>
      <x:c r="B4131" s="39" t="str">
        <x:v>2026-08-04T03:30:00</x:v>
      </x:c>
      <x:c r="C4131" s="39" t="str">
        <x:v>2026-08-04T04:30:00</x:v>
      </x:c>
      <x:c r="D4131" s="47" t="n">
        <x:v>60</x:v>
      </x:c>
      <x:c r="E4131" s="40" t="n">
        <x:v>13</x:v>
      </x:c>
      <x:c r="F4131" s="40" t="n">
        <x:v>13.132755279541016</x:v>
      </x:c>
      <x:c r="G4131" s="40" t="n">
        <x:v>13</x:v>
      </x:c>
      <x:c r="H4131" s="40" t="n">
        <x:f>F4131-E4131</x:f>
        <x:v>0.13275527954101562</x:v>
      </x:c>
      <x:c r="I4131" s="40" t="n">
        <x:f>ABS(H4131)</x:f>
        <x:v>0.13275527954101562</x:v>
      </x:c>
      <x:c r="J4131" s="40" t="n">
        <x:f>H4131^2</x:f>
        <x:v>0.017623964246013202</x:v>
      </x:c>
      <x:c r="K4131" s="40" t="n">
        <x:f>G4131-E4131</x:f>
        <x:v>0</x:v>
      </x:c>
      <x:c r="L4131" s="40" t="n">
        <x:f>ABS(K4131)</x:f>
        <x:v>0</x:v>
      </x:c>
      <x:c r="M4131" s="41" t="str">
        <x:v>lstm-soil-v1</x:v>
      </x:c>
    </x:row>
    <x:row r="4132">
      <x:c r="A4132" s="38" t="str">
        <x:v>7月30日现场数据</x:v>
      </x:c>
      <x:c r="B4132" s="39" t="str">
        <x:v>2026-08-04T03:35:00</x:v>
      </x:c>
      <x:c r="C4132" s="39" t="str">
        <x:v>2026-08-04T03:40:00</x:v>
      </x:c>
      <x:c r="D4132" s="47" t="n">
        <x:v>5</x:v>
      </x:c>
      <x:c r="E4132" s="40" t="n">
        <x:v>13</x:v>
      </x:c>
      <x:c r="F4132" s="40" t="n">
        <x:v>11.013801574707031</x:v>
      </x:c>
      <x:c r="G4132" s="40" t="n">
        <x:v>13</x:v>
      </x:c>
      <x:c r="H4132" s="40" t="n">
        <x:f>F4132-E4132</x:f>
        <x:v>-1.9861984252929688</x:v>
      </x:c>
      <x:c r="I4132" s="40" t="n">
        <x:f>ABS(H4132)</x:f>
        <x:v>1.9861984252929688</x:v>
      </x:c>
      <x:c r="J4132" s="40" t="n">
        <x:f>H4132^2</x:f>
        <x:v>3.9449841846362688</x:v>
      </x:c>
      <x:c r="K4132" s="40" t="n">
        <x:f>G4132-E4132</x:f>
        <x:v>0</x:v>
      </x:c>
      <x:c r="L4132" s="40" t="n">
        <x:f>ABS(K4132)</x:f>
        <x:v>0</x:v>
      </x:c>
      <x:c r="M4132" s="41" t="str">
        <x:v>lstm-soil-v1</x:v>
      </x:c>
    </x:row>
    <x:row r="4133">
      <x:c r="A4133" s="38" t="str">
        <x:v>7月30日现场数据</x:v>
      </x:c>
      <x:c r="B4133" s="39" t="str">
        <x:v>2026-08-04T03:35:00</x:v>
      </x:c>
      <x:c r="C4133" s="39" t="str">
        <x:v>2026-08-04T03:50:00</x:v>
      </x:c>
      <x:c r="D4133" s="47" t="n">
        <x:v>15</x:v>
      </x:c>
      <x:c r="E4133" s="40" t="n">
        <x:v>13</x:v>
      </x:c>
      <x:c r="F4133" s="40" t="n">
        <x:v>11.06960678100586</x:v>
      </x:c>
      <x:c r="G4133" s="40" t="n">
        <x:v>13</x:v>
      </x:c>
      <x:c r="H4133" s="40" t="n">
        <x:f>F4133-E4133</x:f>
        <x:v>-1.9303932189941406</x:v>
      </x:c>
      <x:c r="I4133" s="40" t="n">
        <x:f>ABS(H4133)</x:f>
        <x:v>1.9303932189941406</x:v>
      </x:c>
      <x:c r="J4133" s="40" t="n">
        <x:f>H4133^2</x:f>
        <x:v>3.72641797993856</x:v>
      </x:c>
      <x:c r="K4133" s="40" t="n">
        <x:f>G4133-E4133</x:f>
        <x:v>0</x:v>
      </x:c>
      <x:c r="L4133" s="40" t="n">
        <x:f>ABS(K4133)</x:f>
        <x:v>0</x:v>
      </x:c>
      <x:c r="M4133" s="41" t="str">
        <x:v>lstm-soil-v1</x:v>
      </x:c>
    </x:row>
    <x:row r="4134">
      <x:c r="A4134" s="38" t="str">
        <x:v>7月30日现场数据</x:v>
      </x:c>
      <x:c r="B4134" s="39" t="str">
        <x:v>2026-08-04T03:35:00</x:v>
      </x:c>
      <x:c r="C4134" s="39" t="str">
        <x:v>2026-08-04T04:05:00</x:v>
      </x:c>
      <x:c r="D4134" s="47" t="n">
        <x:v>30</x:v>
      </x:c>
      <x:c r="E4134" s="40" t="n">
        <x:v>13</x:v>
      </x:c>
      <x:c r="F4134" s="40" t="n">
        <x:v>11.55899429321289</x:v>
      </x:c>
      <x:c r="G4134" s="40" t="n">
        <x:v>13</x:v>
      </x:c>
      <x:c r="H4134" s="40" t="n">
        <x:f>F4134-E4134</x:f>
        <x:v>-1.4410057067871094</x:v>
      </x:c>
      <x:c r="I4134" s="40" t="n">
        <x:f>ABS(H4134)</x:f>
        <x:v>1.4410057067871094</x:v>
      </x:c>
      <x:c r="J4134" s="40" t="n">
        <x:f>H4134^2</x:f>
        <x:v>2.0764974469930166</x:v>
      </x:c>
      <x:c r="K4134" s="40" t="n">
        <x:f>G4134-E4134</x:f>
        <x:v>0</x:v>
      </x:c>
      <x:c r="L4134" s="40" t="n">
        <x:f>ABS(K4134)</x:f>
        <x:v>0</x:v>
      </x:c>
      <x:c r="M4134" s="41" t="str">
        <x:v>lstm-soil-v1</x:v>
      </x:c>
    </x:row>
    <x:row r="4135">
      <x:c r="A4135" s="38" t="str">
        <x:v>7月30日现场数据</x:v>
      </x:c>
      <x:c r="B4135" s="39" t="str">
        <x:v>2026-08-04T03:35:00</x:v>
      </x:c>
      <x:c r="C4135" s="39" t="str">
        <x:v>2026-08-04T04:35:00</x:v>
      </x:c>
      <x:c r="D4135" s="47" t="n">
        <x:v>60</x:v>
      </x:c>
      <x:c r="E4135" s="40" t="n">
        <x:v>13</x:v>
      </x:c>
      <x:c r="F4135" s="40" t="n">
        <x:v>13.133251190185547</x:v>
      </x:c>
      <x:c r="G4135" s="40" t="n">
        <x:v>13</x:v>
      </x:c>
      <x:c r="H4135" s="40" t="n">
        <x:f>F4135-E4135</x:f>
        <x:v>0.13325119018554688</x:v>
      </x:c>
      <x:c r="I4135" s="40" t="n">
        <x:f>ABS(H4135)</x:f>
        <x:v>0.13325119018554688</x:v>
      </x:c>
      <x:c r="J4135" s="40" t="n">
        <x:f>H4135^2</x:f>
        <x:v>0.017755879685864784</x:v>
      </x:c>
      <x:c r="K4135" s="40" t="n">
        <x:f>G4135-E4135</x:f>
        <x:v>0</x:v>
      </x:c>
      <x:c r="L4135" s="40" t="n">
        <x:f>ABS(K4135)</x:f>
        <x:v>0</x:v>
      </x:c>
      <x:c r="M4135" s="41" t="str">
        <x:v>lstm-soil-v1</x:v>
      </x:c>
    </x:row>
    <x:row r="4136">
      <x:c r="A4136" s="38" t="str">
        <x:v>7月30日现场数据</x:v>
      </x:c>
      <x:c r="B4136" s="39" t="str">
        <x:v>2026-08-04T03:40:00</x:v>
      </x:c>
      <x:c r="C4136" s="39" t="str">
        <x:v>2026-08-04T03:45:00</x:v>
      </x:c>
      <x:c r="D4136" s="47" t="n">
        <x:v>5</x:v>
      </x:c>
      <x:c r="E4136" s="40" t="n">
        <x:v>13</x:v>
      </x:c>
      <x:c r="F4136" s="40" t="n">
        <x:v>11.013980865478516</x:v>
      </x:c>
      <x:c r="G4136" s="40" t="n">
        <x:v>13</x:v>
      </x:c>
      <x:c r="H4136" s="40" t="n">
        <x:f>F4136-E4136</x:f>
        <x:v>-1.9860191345214844</x:v>
      </x:c>
      <x:c r="I4136" s="40" t="n">
        <x:f>ABS(H4136)</x:f>
        <x:v>1.9860191345214844</x:v>
      </x:c>
      <x:c r="J4136" s="40" t="n">
        <x:f>H4136^2</x:f>
        <x:v>3.944272002685466</x:v>
      </x:c>
      <x:c r="K4136" s="40" t="n">
        <x:f>G4136-E4136</x:f>
        <x:v>0</x:v>
      </x:c>
      <x:c r="L4136" s="40" t="n">
        <x:f>ABS(K4136)</x:f>
        <x:v>0</x:v>
      </x:c>
      <x:c r="M4136" s="41" t="str">
        <x:v>lstm-soil-v1</x:v>
      </x:c>
    </x:row>
    <x:row r="4137">
      <x:c r="A4137" s="38" t="str">
        <x:v>7月30日现场数据</x:v>
      </x:c>
      <x:c r="B4137" s="39" t="str">
        <x:v>2026-08-04T03:40:00</x:v>
      </x:c>
      <x:c r="C4137" s="39" t="str">
        <x:v>2026-08-04T03:55:00</x:v>
      </x:c>
      <x:c r="D4137" s="47" t="n">
        <x:v>15</x:v>
      </x:c>
      <x:c r="E4137" s="40" t="n">
        <x:v>13</x:v>
      </x:c>
      <x:c r="F4137" s="40" t="n">
        <x:v>11.069660186767578</x:v>
      </x:c>
      <x:c r="G4137" s="40" t="n">
        <x:v>13</x:v>
      </x:c>
      <x:c r="H4137" s="40" t="n">
        <x:f>F4137-E4137</x:f>
        <x:v>-1.9303398132324219</x:v>
      </x:c>
      <x:c r="I4137" s="40" t="n">
        <x:f>ABS(H4137)</x:f>
        <x:v>1.9303398132324219</x:v>
      </x:c>
      <x:c r="J4137" s="40" t="n">
        <x:f>H4137^2</x:f>
        <x:v>3.7262117945501814</x:v>
      </x:c>
      <x:c r="K4137" s="40" t="n">
        <x:f>G4137-E4137</x:f>
        <x:v>0</x:v>
      </x:c>
      <x:c r="L4137" s="40" t="n">
        <x:f>ABS(K4137)</x:f>
        <x:v>0</x:v>
      </x:c>
      <x:c r="M4137" s="41" t="str">
        <x:v>lstm-soil-v1</x:v>
      </x:c>
    </x:row>
    <x:row r="4138">
      <x:c r="A4138" s="38" t="str">
        <x:v>7月30日现场数据</x:v>
      </x:c>
      <x:c r="B4138" s="39" t="str">
        <x:v>2026-08-04T03:40:00</x:v>
      </x:c>
      <x:c r="C4138" s="39" t="str">
        <x:v>2026-08-04T04:10:00</x:v>
      </x:c>
      <x:c r="D4138" s="47" t="n">
        <x:v>30</x:v>
      </x:c>
      <x:c r="E4138" s="40" t="n">
        <x:v>13</x:v>
      </x:c>
      <x:c r="F4138" s="40" t="n">
        <x:v>11.559410095214844</x:v>
      </x:c>
      <x:c r="G4138" s="40" t="n">
        <x:v>13</x:v>
      </x:c>
      <x:c r="H4138" s="40" t="n">
        <x:f>F4138-E4138</x:f>
        <x:v>-1.4405899047851562</x:v>
      </x:c>
      <x:c r="I4138" s="40" t="n">
        <x:f>ABS(H4138)</x:f>
        <x:v>1.4405899047851562</x:v>
      </x:c>
      <x:c r="J4138" s="40" t="n">
        <x:f>H4138^2</x:f>
        <x:v>2.0752992737689056</x:v>
      </x:c>
      <x:c r="K4138" s="40" t="n">
        <x:f>G4138-E4138</x:f>
        <x:v>0</x:v>
      </x:c>
      <x:c r="L4138" s="40" t="n">
        <x:f>ABS(K4138)</x:f>
        <x:v>0</x:v>
      </x:c>
      <x:c r="M4138" s="41" t="str">
        <x:v>lstm-soil-v1</x:v>
      </x:c>
    </x:row>
    <x:row r="4139">
      <x:c r="A4139" s="38" t="str">
        <x:v>7月30日现场数据</x:v>
      </x:c>
      <x:c r="B4139" s="39" t="str">
        <x:v>2026-08-04T03:40:00</x:v>
      </x:c>
      <x:c r="C4139" s="39" t="str">
        <x:v>2026-08-04T04:40:00</x:v>
      </x:c>
      <x:c r="D4139" s="47" t="n">
        <x:v>60</x:v>
      </x:c>
      <x:c r="E4139" s="40" t="n">
        <x:v>13</x:v>
      </x:c>
      <x:c r="F4139" s="40" t="n">
        <x:v>13.133663177490234</x:v>
      </x:c>
      <x:c r="G4139" s="40" t="n">
        <x:v>13</x:v>
      </x:c>
      <x:c r="H4139" s="40" t="n">
        <x:f>F4139-E4139</x:f>
        <x:v>0.13366317749023438</x:v>
      </x:c>
      <x:c r="I4139" s="40" t="n">
        <x:f>ABS(H4139)</x:f>
        <x:v>0.13366317749023438</x:v>
      </x:c>
      <x:c r="J4139" s="40" t="n">
        <x:f>H4139^2</x:f>
        <x:v>0.017865845016785897</x:v>
      </x:c>
      <x:c r="K4139" s="40" t="n">
        <x:f>G4139-E4139</x:f>
        <x:v>0</x:v>
      </x:c>
      <x:c r="L4139" s="40" t="n">
        <x:f>ABS(K4139)</x:f>
        <x:v>0</x:v>
      </x:c>
      <x:c r="M4139" s="41" t="str">
        <x:v>lstm-soil-v1</x:v>
      </x:c>
    </x:row>
    <x:row r="4140">
      <x:c r="A4140" s="38" t="str">
        <x:v>7月30日现场数据</x:v>
      </x:c>
      <x:c r="B4140" s="39" t="str">
        <x:v>2026-08-04T03:45:00</x:v>
      </x:c>
      <x:c r="C4140" s="39" t="str">
        <x:v>2026-08-04T03:50:00</x:v>
      </x:c>
      <x:c r="D4140" s="47" t="n">
        <x:v>5</x:v>
      </x:c>
      <x:c r="E4140" s="40" t="n">
        <x:v>13</x:v>
      </x:c>
      <x:c r="F4140" s="40" t="n">
        <x:v>11.014144897460938</x:v>
      </x:c>
      <x:c r="G4140" s="40" t="n">
        <x:v>13</x:v>
      </x:c>
      <x:c r="H4140" s="40" t="n">
        <x:f>F4140-E4140</x:f>
        <x:v>-1.9858551025390625</x:v>
      </x:c>
      <x:c r="I4140" s="40" t="n">
        <x:f>ABS(H4140)</x:f>
        <x:v>1.9858551025390625</x:v>
      </x:c>
      <x:c r="J4140" s="40" t="n">
        <x:f>H4140^2</x:f>
        <x:v>3.9436204882804304</x:v>
      </x:c>
      <x:c r="K4140" s="40" t="n">
        <x:f>G4140-E4140</x:f>
        <x:v>0</x:v>
      </x:c>
      <x:c r="L4140" s="40" t="n">
        <x:f>ABS(K4140)</x:f>
        <x:v>0</x:v>
      </x:c>
      <x:c r="M4140" s="41" t="str">
        <x:v>lstm-soil-v1</x:v>
      </x:c>
    </x:row>
    <x:row r="4141">
      <x:c r="A4141" s="38" t="str">
        <x:v>7月30日现场数据</x:v>
      </x:c>
      <x:c r="B4141" s="39" t="str">
        <x:v>2026-08-04T03:45:00</x:v>
      </x:c>
      <x:c r="C4141" s="39" t="str">
        <x:v>2026-08-04T04:00:00</x:v>
      </x:c>
      <x:c r="D4141" s="47" t="n">
        <x:v>15</x:v>
      </x:c>
      <x:c r="E4141" s="40" t="n">
        <x:v>12.9</x:v>
      </x:c>
      <x:c r="F4141" s="40" t="n">
        <x:v>11.069725036621094</x:v>
      </x:c>
      <x:c r="G4141" s="40" t="n">
        <x:v>13</x:v>
      </x:c>
      <x:c r="H4141" s="40" t="n">
        <x:f>F4141-E4141</x:f>
        <x:v>-1.8302749633789066</x:v>
      </x:c>
      <x:c r="I4141" s="40" t="n">
        <x:f>ABS(H4141)</x:f>
        <x:v>1.8302749633789066</x:v>
      </x:c>
      <x:c r="J4141" s="40" t="n">
        <x:f>H4141^2</x:f>
        <x:v>3.3499064415716577</x:v>
      </x:c>
      <x:c r="K4141" s="40" t="n">
        <x:f>G4141-E4141</x:f>
        <x:v>0.09999999999999964</x:v>
      </x:c>
      <x:c r="L4141" s="40" t="n">
        <x:f>ABS(K4141)</x:f>
        <x:v>0.09999999999999964</x:v>
      </x:c>
      <x:c r="M4141" s="41" t="str">
        <x:v>lstm-soil-v1</x:v>
      </x:c>
    </x:row>
    <x:row r="4142">
      <x:c r="A4142" s="38" t="str">
        <x:v>7月30日现场数据</x:v>
      </x:c>
      <x:c r="B4142" s="39" t="str">
        <x:v>2026-08-04T03:45:00</x:v>
      </x:c>
      <x:c r="C4142" s="39" t="str">
        <x:v>2026-08-04T04:15:00</x:v>
      </x:c>
      <x:c r="D4142" s="47" t="n">
        <x:v>30</x:v>
      </x:c>
      <x:c r="E4142" s="40" t="n">
        <x:v>13</x:v>
      </x:c>
      <x:c r="F4142" s="40" t="n">
        <x:v>11.559749603271484</x:v>
      </x:c>
      <x:c r="G4142" s="40" t="n">
        <x:v>13</x:v>
      </x:c>
      <x:c r="H4142" s="40" t="n">
        <x:f>F4142-E4142</x:f>
        <x:v>-1.4402503967285156</x:v>
      </x:c>
      <x:c r="I4142" s="40" t="n">
        <x:f>ABS(H4142)</x:f>
        <x:v>1.4402503967285156</x:v>
      </x:c>
      <x:c r="J4142" s="40" t="n">
        <x:f>H4142^2</x:f>
        <x:v>2.0743212052766467</x:v>
      </x:c>
      <x:c r="K4142" s="40" t="n">
        <x:f>G4142-E4142</x:f>
        <x:v>0</x:v>
      </x:c>
      <x:c r="L4142" s="40" t="n">
        <x:f>ABS(K4142)</x:f>
        <x:v>0</x:v>
      </x:c>
      <x:c r="M4142" s="41" t="str">
        <x:v>lstm-soil-v1</x:v>
      </x:c>
    </x:row>
    <x:row r="4143">
      <x:c r="A4143" s="38" t="str">
        <x:v>7月30日现场数据</x:v>
      </x:c>
      <x:c r="B4143" s="39" t="str">
        <x:v>2026-08-04T03:45:00</x:v>
      </x:c>
      <x:c r="C4143" s="39" t="str">
        <x:v>2026-08-04T04:45:00</x:v>
      </x:c>
      <x:c r="D4143" s="47" t="n">
        <x:v>60</x:v>
      </x:c>
      <x:c r="E4143" s="40" t="n">
        <x:v>13</x:v>
      </x:c>
      <x:c r="F4143" s="40" t="n">
        <x:v>13.13399887084961</x:v>
      </x:c>
      <x:c r="G4143" s="40" t="n">
        <x:v>13</x:v>
      </x:c>
      <x:c r="H4143" s="40" t="n">
        <x:f>F4143-E4143</x:f>
        <x:v>0.13399887084960938</x:v>
      </x:c>
      <x:c r="I4143" s="40" t="n">
        <x:f>ABS(H4143)</x:f>
        <x:v>0.13399887084960938</x:v>
      </x:c>
      <x:c r="J4143" s="40" t="n">
        <x:f>H4143^2</x:f>
        <x:v>0.017955697388970293</x:v>
      </x:c>
      <x:c r="K4143" s="40" t="n">
        <x:f>G4143-E4143</x:f>
        <x:v>0</x:v>
      </x:c>
      <x:c r="L4143" s="40" t="n">
        <x:f>ABS(K4143)</x:f>
        <x:v>0</x:v>
      </x:c>
      <x:c r="M4143" s="41" t="str">
        <x:v>lstm-soil-v1</x:v>
      </x:c>
    </x:row>
    <x:row r="4144">
      <x:c r="A4144" s="38" t="str">
        <x:v>7月30日现场数据</x:v>
      </x:c>
      <x:c r="B4144" s="39" t="str">
        <x:v>2026-08-04T03:50:00</x:v>
      </x:c>
      <x:c r="C4144" s="39" t="str">
        <x:v>2026-08-04T03:55:00</x:v>
      </x:c>
      <x:c r="D4144" s="47" t="n">
        <x:v>5</x:v>
      </x:c>
      <x:c r="E4144" s="40" t="n">
        <x:v>13</x:v>
      </x:c>
      <x:c r="F4144" s="40" t="n">
        <x:v>11.014270782470703</x:v>
      </x:c>
      <x:c r="G4144" s="40" t="n">
        <x:v>13</x:v>
      </x:c>
      <x:c r="H4144" s="40" t="n">
        <x:f>F4144-E4144</x:f>
        <x:v>-1.9857292175292969</x:v>
      </x:c>
      <x:c r="I4144" s="40" t="n">
        <x:f>ABS(H4144)</x:f>
        <x:v>1.9857292175292969</x:v>
      </x:c>
      <x:c r="J4144" s="40" t="n">
        <x:f>H4144^2</x:f>
        <x:v>3.9431205253495136</x:v>
      </x:c>
      <x:c r="K4144" s="40" t="n">
        <x:f>G4144-E4144</x:f>
        <x:v>0</x:v>
      </x:c>
      <x:c r="L4144" s="40" t="n">
        <x:f>ABS(K4144)</x:f>
        <x:v>0</x:v>
      </x:c>
      <x:c r="M4144" s="41" t="str">
        <x:v>lstm-soil-v1</x:v>
      </x:c>
    </x:row>
    <x:row r="4145">
      <x:c r="A4145" s="38" t="str">
        <x:v>7月30日现场数据</x:v>
      </x:c>
      <x:c r="B4145" s="39" t="str">
        <x:v>2026-08-04T03:50:00</x:v>
      </x:c>
      <x:c r="C4145" s="39" t="str">
        <x:v>2026-08-04T04:05:00</x:v>
      </x:c>
      <x:c r="D4145" s="47" t="n">
        <x:v>15</x:v>
      </x:c>
      <x:c r="E4145" s="40" t="n">
        <x:v>13</x:v>
      </x:c>
      <x:c r="F4145" s="40" t="n">
        <x:v>11.069778442382812</x:v>
      </x:c>
      <x:c r="G4145" s="40" t="n">
        <x:v>13</x:v>
      </x:c>
      <x:c r="H4145" s="40" t="n">
        <x:f>F4145-E4145</x:f>
        <x:v>-1.9302215576171875</x:v>
      </x:c>
      <x:c r="I4145" s="40" t="n">
        <x:f>ABS(H4145)</x:f>
        <x:v>1.9302215576171875</x:v>
      </x:c>
      <x:c r="J4145" s="40" t="n">
        <x:f>H4145^2</x:f>
        <x:v>3.7257552614901215</x:v>
      </x:c>
      <x:c r="K4145" s="40" t="n">
        <x:f>G4145-E4145</x:f>
        <x:v>0</x:v>
      </x:c>
      <x:c r="L4145" s="40" t="n">
        <x:f>ABS(K4145)</x:f>
        <x:v>0</x:v>
      </x:c>
      <x:c r="M4145" s="41" t="str">
        <x:v>lstm-soil-v1</x:v>
      </x:c>
    </x:row>
    <x:row r="4146">
      <x:c r="A4146" s="38" t="str">
        <x:v>7月30日现场数据</x:v>
      </x:c>
      <x:c r="B4146" s="39" t="str">
        <x:v>2026-08-04T03:50:00</x:v>
      </x:c>
      <x:c r="C4146" s="39" t="str">
        <x:v>2026-08-04T04:20:00</x:v>
      </x:c>
      <x:c r="D4146" s="47" t="n">
        <x:v>30</x:v>
      </x:c>
      <x:c r="E4146" s="40" t="n">
        <x:v>13</x:v>
      </x:c>
      <x:c r="F4146" s="40" t="n">
        <x:v>11.559974670410156</x:v>
      </x:c>
      <x:c r="G4146" s="40" t="n">
        <x:v>13</x:v>
      </x:c>
      <x:c r="H4146" s="40" t="n">
        <x:f>F4146-E4146</x:f>
        <x:v>-1.4400253295898438</x:v>
      </x:c>
      <x:c r="I4146" s="40" t="n">
        <x:f>ABS(H4146)</x:f>
        <x:v>1.4400253295898438</x:v>
      </x:c>
      <x:c r="J4146" s="40" t="n">
        <x:f>H4146^2</x:f>
        <x:v>2.073672949860338</x:v>
      </x:c>
      <x:c r="K4146" s="40" t="n">
        <x:f>G4146-E4146</x:f>
        <x:v>0</x:v>
      </x:c>
      <x:c r="L4146" s="40" t="n">
        <x:f>ABS(K4146)</x:f>
        <x:v>0</x:v>
      </x:c>
      <x:c r="M4146" s="41" t="str">
        <x:v>lstm-soil-v1</x:v>
      </x:c>
    </x:row>
    <x:row r="4147">
      <x:c r="A4147" s="38" t="str">
        <x:v>7月30日现场数据</x:v>
      </x:c>
      <x:c r="B4147" s="39" t="str">
        <x:v>2026-08-04T03:50:00</x:v>
      </x:c>
      <x:c r="C4147" s="39" t="str">
        <x:v>2026-08-04T04:50:00</x:v>
      </x:c>
      <x:c r="D4147" s="47" t="n">
        <x:v>60</x:v>
      </x:c>
      <x:c r="E4147" s="40" t="n">
        <x:v>13</x:v>
      </x:c>
      <x:c r="F4147" s="40" t="n">
        <x:v>13.134239196777344</x:v>
      </x:c>
      <x:c r="G4147" s="40" t="n">
        <x:v>13</x:v>
      </x:c>
      <x:c r="H4147" s="40" t="n">
        <x:f>F4147-E4147</x:f>
        <x:v>0.13423919677734375</x:v>
      </x:c>
      <x:c r="I4147" s="40" t="n">
        <x:f>ABS(H4147)</x:f>
        <x:v>0.13423919677734375</x:v>
      </x:c>
      <x:c r="J4147" s="40" t="n">
        <x:f>H4147^2</x:f>
        <x:v>0.018020161951426417</x:v>
      </x:c>
      <x:c r="K4147" s="40" t="n">
        <x:f>G4147-E4147</x:f>
        <x:v>0</x:v>
      </x:c>
      <x:c r="L4147" s="40" t="n">
        <x:f>ABS(K4147)</x:f>
        <x:v>0</x:v>
      </x:c>
      <x:c r="M4147" s="41" t="str">
        <x:v>lstm-soil-v1</x:v>
      </x:c>
    </x:row>
    <x:row r="4148">
      <x:c r="A4148" s="38" t="str">
        <x:v>7月30日现场数据</x:v>
      </x:c>
      <x:c r="B4148" s="39" t="str">
        <x:v>2026-08-04T03:55:00</x:v>
      </x:c>
      <x:c r="C4148" s="39" t="str">
        <x:v>2026-08-04T04:00:00</x:v>
      </x:c>
      <x:c r="D4148" s="47" t="n">
        <x:v>5</x:v>
      </x:c>
      <x:c r="E4148" s="40" t="n">
        <x:v>12.9</x:v>
      </x:c>
      <x:c r="F4148" s="40" t="n">
        <x:v>11.014713287353516</x:v>
      </x:c>
      <x:c r="G4148" s="40" t="n">
        <x:v>13</x:v>
      </x:c>
      <x:c r="H4148" s="40" t="n">
        <x:f>F4148-E4148</x:f>
        <x:v>-1.8852867126464847</x:v>
      </x:c>
      <x:c r="I4148" s="40" t="n">
        <x:f>ABS(H4148)</x:f>
        <x:v>1.8852867126464847</x:v>
      </x:c>
      <x:c r="J4148" s="40" t="n">
        <x:f>H4148^2</x:f>
        <x:v>3.554305988881389</x:v>
      </x:c>
      <x:c r="K4148" s="40" t="n">
        <x:f>G4148-E4148</x:f>
        <x:v>0.09999999999999964</x:v>
      </x:c>
      <x:c r="L4148" s="40" t="n">
        <x:f>ABS(K4148)</x:f>
        <x:v>0.09999999999999964</x:v>
      </x:c>
      <x:c r="M4148" s="41" t="str">
        <x:v>lstm-soil-v1</x:v>
      </x:c>
    </x:row>
    <x:row r="4149">
      <x:c r="A4149" s="38" t="str">
        <x:v>7月30日现场数据</x:v>
      </x:c>
      <x:c r="B4149" s="39" t="str">
        <x:v>2026-08-04T03:55:00</x:v>
      </x:c>
      <x:c r="C4149" s="39" t="str">
        <x:v>2026-08-04T04:10:00</x:v>
      </x:c>
      <x:c r="D4149" s="47" t="n">
        <x:v>15</x:v>
      </x:c>
      <x:c r="E4149" s="40" t="n">
        <x:v>13</x:v>
      </x:c>
      <x:c r="F4149" s="40" t="n">
        <x:v>11.070281982421875</x:v>
      </x:c>
      <x:c r="G4149" s="40" t="n">
        <x:v>13</x:v>
      </x:c>
      <x:c r="H4149" s="40" t="n">
        <x:f>F4149-E4149</x:f>
        <x:v>-1.929718017578125</x:v>
      </x:c>
      <x:c r="I4149" s="40" t="n">
        <x:f>ABS(H4149)</x:f>
        <x:v>1.929718017578125</x:v>
      </x:c>
      <x:c r="J4149" s="40" t="n">
        <x:f>H4149^2</x:f>
        <x:v>3.7238116273656487</x:v>
      </x:c>
      <x:c r="K4149" s="40" t="n">
        <x:f>G4149-E4149</x:f>
        <x:v>0</x:v>
      </x:c>
      <x:c r="L4149" s="40" t="n">
        <x:f>ABS(K4149)</x:f>
        <x:v>0</x:v>
      </x:c>
      <x:c r="M4149" s="41" t="str">
        <x:v>lstm-soil-v1</x:v>
      </x:c>
    </x:row>
    <x:row r="4150">
      <x:c r="A4150" s="38" t="str">
        <x:v>7月30日现场数据</x:v>
      </x:c>
      <x:c r="B4150" s="39" t="str">
        <x:v>2026-08-04T03:55:00</x:v>
      </x:c>
      <x:c r="C4150" s="39" t="str">
        <x:v>2026-08-04T04:25:00</x:v>
      </x:c>
      <x:c r="D4150" s="47" t="n">
        <x:v>30</x:v>
      </x:c>
      <x:c r="E4150" s="40" t="n">
        <x:v>13</x:v>
      </x:c>
      <x:c r="F4150" s="40" t="n">
        <x:v>11.560638427734375</x:v>
      </x:c>
      <x:c r="G4150" s="40" t="n">
        <x:v>13</x:v>
      </x:c>
      <x:c r="H4150" s="40" t="n">
        <x:f>F4150-E4150</x:f>
        <x:v>-1.439361572265625</x:v>
      </x:c>
      <x:c r="I4150" s="40" t="n">
        <x:f>ABS(H4150)</x:f>
        <x:v>1.439361572265625</x:v>
      </x:c>
      <x:c r="J4150" s="40" t="n">
        <x:f>H4150^2</x:f>
        <x:v>2.071761735714972</x:v>
      </x:c>
      <x:c r="K4150" s="40" t="n">
        <x:f>G4150-E4150</x:f>
        <x:v>0</x:v>
      </x:c>
      <x:c r="L4150" s="40" t="n">
        <x:f>ABS(K4150)</x:f>
        <x:v>0</x:v>
      </x:c>
      <x:c r="M4150" s="41" t="str">
        <x:v>lstm-soil-v1</x:v>
      </x:c>
    </x:row>
    <x:row r="4151">
      <x:c r="A4151" s="38" t="str">
        <x:v>7月30日现场数据</x:v>
      </x:c>
      <x:c r="B4151" s="39" t="str">
        <x:v>2026-08-04T03:55:00</x:v>
      </x:c>
      <x:c r="C4151" s="39" t="str">
        <x:v>2026-08-04T04:55:00</x:v>
      </x:c>
      <x:c r="D4151" s="47" t="n">
        <x:v>60</x:v>
      </x:c>
      <x:c r="E4151" s="40" t="n">
        <x:v>13</x:v>
      </x:c>
      <x:c r="F4151" s="40" t="n">
        <x:v>13.134117126464844</x:v>
      </x:c>
      <x:c r="G4151" s="40" t="n">
        <x:v>13</x:v>
      </x:c>
      <x:c r="H4151" s="40" t="n">
        <x:f>F4151-E4151</x:f>
        <x:v>0.13411712646484375</x:v>
      </x:c>
      <x:c r="I4151" s="40" t="n">
        <x:f>ABS(H4151)</x:f>
        <x:v>0.13411712646484375</x:v>
      </x:c>
      <x:c r="J4151" s="40" t="n">
        <x:f>H4151^2</x:f>
        <x:v>0.017987403611186892</x:v>
      </x:c>
      <x:c r="K4151" s="40" t="n">
        <x:f>G4151-E4151</x:f>
        <x:v>0</x:v>
      </x:c>
      <x:c r="L4151" s="40" t="n">
        <x:f>ABS(K4151)</x:f>
        <x:v>0</x:v>
      </x:c>
      <x:c r="M4151" s="41" t="str">
        <x:v>lstm-soil-v1</x:v>
      </x:c>
    </x:row>
    <x:row r="4152">
      <x:c r="A4152" s="38" t="str">
        <x:v>7月30日现场数据</x:v>
      </x:c>
      <x:c r="B4152" s="39" t="str">
        <x:v>2026-08-04T04:00:00</x:v>
      </x:c>
      <x:c r="C4152" s="39" t="str">
        <x:v>2026-08-04T04:05:00</x:v>
      </x:c>
      <x:c r="D4152" s="47" t="n">
        <x:v>5</x:v>
      </x:c>
      <x:c r="E4152" s="40" t="n">
        <x:v>13</x:v>
      </x:c>
      <x:c r="F4152" s="40" t="n">
        <x:v>10.90311050415039</x:v>
      </x:c>
      <x:c r="G4152" s="40" t="n">
        <x:v>12.9</x:v>
      </x:c>
      <x:c r="H4152" s="40" t="n">
        <x:f>F4152-E4152</x:f>
        <x:v>-2.0968894958496094</x:v>
      </x:c>
      <x:c r="I4152" s="40" t="n">
        <x:f>ABS(H4152)</x:f>
        <x:v>2.0968894958496094</x:v>
      </x:c>
      <x:c r="J4152" s="40" t="n">
        <x:f>H4152^2</x:f>
        <x:v>4.396945557804429</x:v>
      </x:c>
      <x:c r="K4152" s="40" t="n">
        <x:f>G4152-E4152</x:f>
        <x:v>-0.09999999999999964</x:v>
      </x:c>
      <x:c r="L4152" s="40" t="n">
        <x:f>ABS(K4152)</x:f>
        <x:v>0.09999999999999964</x:v>
      </x:c>
      <x:c r="M4152" s="41" t="str">
        <x:v>lstm-soil-v1</x:v>
      </x:c>
    </x:row>
    <x:row r="4153">
      <x:c r="A4153" s="38" t="str">
        <x:v>7月30日现场数据</x:v>
      </x:c>
      <x:c r="B4153" s="39" t="str">
        <x:v>2026-08-04T04:00:00</x:v>
      </x:c>
      <x:c r="C4153" s="39" t="str">
        <x:v>2026-08-04T04:15:00</x:v>
      </x:c>
      <x:c r="D4153" s="47" t="n">
        <x:v>15</x:v>
      </x:c>
      <x:c r="E4153" s="40" t="n">
        <x:v>13</x:v>
      </x:c>
      <x:c r="F4153" s="40" t="n">
        <x:v>10.958698272705078</x:v>
      </x:c>
      <x:c r="G4153" s="40" t="n">
        <x:v>12.9</x:v>
      </x:c>
      <x:c r="H4153" s="40" t="n">
        <x:f>F4153-E4153</x:f>
        <x:v>-2.041301727294922</x:v>
      </x:c>
      <x:c r="I4153" s="40" t="n">
        <x:f>ABS(H4153)</x:f>
        <x:v>2.041301727294922</x:v>
      </x:c>
      <x:c r="J4153" s="40" t="n">
        <x:f>H4153^2</x:f>
        <x:v>4.166912741857232</x:v>
      </x:c>
      <x:c r="K4153" s="40" t="n">
        <x:f>G4153-E4153</x:f>
        <x:v>-0.09999999999999964</x:v>
      </x:c>
      <x:c r="L4153" s="40" t="n">
        <x:f>ABS(K4153)</x:f>
        <x:v>0.09999999999999964</x:v>
      </x:c>
      <x:c r="M4153" s="41" t="str">
        <x:v>lstm-soil-v1</x:v>
      </x:c>
    </x:row>
    <x:row r="4154">
      <x:c r="A4154" s="38" t="str">
        <x:v>7月30日现场数据</x:v>
      </x:c>
      <x:c r="B4154" s="39" t="str">
        <x:v>2026-08-04T04:00:00</x:v>
      </x:c>
      <x:c r="C4154" s="39" t="str">
        <x:v>2026-08-04T04:30:00</x:v>
      </x:c>
      <x:c r="D4154" s="47" t="n">
        <x:v>30</x:v>
      </x:c>
      <x:c r="E4154" s="40" t="n">
        <x:v>13</x:v>
      </x:c>
      <x:c r="F4154" s="40" t="n">
        <x:v>11.448272705078125</x:v>
      </x:c>
      <x:c r="G4154" s="40" t="n">
        <x:v>12.9</x:v>
      </x:c>
      <x:c r="H4154" s="40" t="n">
        <x:f>F4154-E4154</x:f>
        <x:v>-1.551727294921875</x:v>
      </x:c>
      <x:c r="I4154" s="40" t="n">
        <x:f>ABS(H4154)</x:f>
        <x:v>1.551727294921875</x:v>
      </x:c>
      <x:c r="J4154" s="40" t="n">
        <x:f>H4154^2</x:f>
        <x:v>2.4078575978055596</x:v>
      </x:c>
      <x:c r="K4154" s="40" t="n">
        <x:f>G4154-E4154</x:f>
        <x:v>-0.09999999999999964</x:v>
      </x:c>
      <x:c r="L4154" s="40" t="n">
        <x:f>ABS(K4154)</x:f>
        <x:v>0.09999999999999964</x:v>
      </x:c>
      <x:c r="M4154" s="41" t="str">
        <x:v>lstm-soil-v1</x:v>
      </x:c>
    </x:row>
    <x:row r="4155">
      <x:c r="A4155" s="38" t="str">
        <x:v>7月30日现场数据</x:v>
      </x:c>
      <x:c r="B4155" s="39" t="str">
        <x:v>2026-08-04T04:00:00</x:v>
      </x:c>
      <x:c r="C4155" s="39" t="str">
        <x:v>2026-08-04T05:00:00</x:v>
      </x:c>
      <x:c r="D4155" s="47" t="n">
        <x:v>60</x:v>
      </x:c>
      <x:c r="E4155" s="40" t="n">
        <x:v>13</x:v>
      </x:c>
      <x:c r="F4155" s="40" t="n">
        <x:v>13.023670196533203</x:v>
      </x:c>
      <x:c r="G4155" s="40" t="n">
        <x:v>12.9</x:v>
      </x:c>
      <x:c r="H4155" s="40" t="n">
        <x:f>F4155-E4155</x:f>
        <x:v>0.023670196533203125</x:v>
      </x:c>
      <x:c r="I4155" s="40" t="n">
        <x:f>ABS(H4155)</x:f>
        <x:v>0.023670196533203125</x:v>
      </x:c>
      <x:c r="J4155" s="40" t="n">
        <x:f>H4155^2</x:f>
        <x:v>0.0005602782039204612</x:v>
      </x:c>
      <x:c r="K4155" s="40" t="n">
        <x:f>G4155-E4155</x:f>
        <x:v>-0.09999999999999964</x:v>
      </x:c>
      <x:c r="L4155" s="40" t="n">
        <x:f>ABS(K4155)</x:f>
        <x:v>0.09999999999999964</x:v>
      </x:c>
      <x:c r="M4155" s="41" t="str">
        <x:v>lstm-soil-v1</x:v>
      </x:c>
    </x:row>
    <x:row r="4156">
      <x:c r="A4156" s="38" t="str">
        <x:v>7月30日现场数据</x:v>
      </x:c>
      <x:c r="B4156" s="39" t="str">
        <x:v>2026-08-04T04:05:00</x:v>
      </x:c>
      <x:c r="C4156" s="39" t="str">
        <x:v>2026-08-04T04:10:00</x:v>
      </x:c>
      <x:c r="D4156" s="47" t="n">
        <x:v>5</x:v>
      </x:c>
      <x:c r="E4156" s="40" t="n">
        <x:v>13</x:v>
      </x:c>
      <x:c r="F4156" s="40" t="n">
        <x:v>11.011810302734375</x:v>
      </x:c>
      <x:c r="G4156" s="40" t="n">
        <x:v>13</x:v>
      </x:c>
      <x:c r="H4156" s="40" t="n">
        <x:f>F4156-E4156</x:f>
        <x:v>-1.988189697265625</x:v>
      </x:c>
      <x:c r="I4156" s="40" t="n">
        <x:f>ABS(H4156)</x:f>
        <x:v>1.988189697265625</x:v>
      </x:c>
      <x:c r="J4156" s="40" t="n">
        <x:f>H4156^2</x:f>
        <x:v>3.9528982723131776</x:v>
      </x:c>
      <x:c r="K4156" s="40" t="n">
        <x:f>G4156-E4156</x:f>
        <x:v>0</x:v>
      </x:c>
      <x:c r="L4156" s="40" t="n">
        <x:f>ABS(K4156)</x:f>
        <x:v>0</x:v>
      </x:c>
      <x:c r="M4156" s="41" t="str">
        <x:v>lstm-soil-v1</x:v>
      </x:c>
    </x:row>
    <x:row r="4157">
      <x:c r="A4157" s="38" t="str">
        <x:v>7月30日现场数据</x:v>
      </x:c>
      <x:c r="B4157" s="39" t="str">
        <x:v>2026-08-04T04:05:00</x:v>
      </x:c>
      <x:c r="C4157" s="39" t="str">
        <x:v>2026-08-04T04:20:00</x:v>
      </x:c>
      <x:c r="D4157" s="47" t="n">
        <x:v>15</x:v>
      </x:c>
      <x:c r="E4157" s="40" t="n">
        <x:v>13</x:v>
      </x:c>
      <x:c r="F4157" s="40" t="n">
        <x:v>11.067974090576172</x:v>
      </x:c>
      <x:c r="G4157" s="40" t="n">
        <x:v>13</x:v>
      </x:c>
      <x:c r="H4157" s="40" t="n">
        <x:f>F4157-E4157</x:f>
        <x:v>-1.9320259094238281</x:v>
      </x:c>
      <x:c r="I4157" s="40" t="n">
        <x:f>ABS(H4157)</x:f>
        <x:v>1.9320259094238281</x:v>
      </x:c>
      <x:c r="J4157" s="40" t="n">
        <x:f>H4157^2</x:f>
        <x:v>3.73272411468497</x:v>
      </x:c>
      <x:c r="K4157" s="40" t="n">
        <x:f>G4157-E4157</x:f>
        <x:v>0</x:v>
      </x:c>
      <x:c r="L4157" s="40" t="n">
        <x:f>ABS(K4157)</x:f>
        <x:v>0</x:v>
      </x:c>
      <x:c r="M4157" s="41" t="str">
        <x:v>lstm-soil-v1</x:v>
      </x:c>
    </x:row>
    <x:row r="4158">
      <x:c r="A4158" s="38" t="str">
        <x:v>7月30日现场数据</x:v>
      </x:c>
      <x:c r="B4158" s="39" t="str">
        <x:v>2026-08-04T04:05:00</x:v>
      </x:c>
      <x:c r="C4158" s="39" t="str">
        <x:v>2026-08-04T04:35:00</x:v>
      </x:c>
      <x:c r="D4158" s="47" t="n">
        <x:v>30</x:v>
      </x:c>
      <x:c r="E4158" s="40" t="n">
        <x:v>13</x:v>
      </x:c>
      <x:c r="F4158" s="40" t="n">
        <x:v>11.557701110839844</x:v>
      </x:c>
      <x:c r="G4158" s="40" t="n">
        <x:v>13</x:v>
      </x:c>
      <x:c r="H4158" s="40" t="n">
        <x:f>F4158-E4158</x:f>
        <x:v>-1.4422988891601562</x:v>
      </x:c>
      <x:c r="I4158" s="40" t="n">
        <x:f>ABS(H4158)</x:f>
        <x:v>1.4422988891601562</x:v>
      </x:c>
      <x:c r="J4158" s="40" t="n">
        <x:f>H4158^2</x:f>
        <x:v>2.0802260856726207</x:v>
      </x:c>
      <x:c r="K4158" s="40" t="n">
        <x:f>G4158-E4158</x:f>
        <x:v>0</x:v>
      </x:c>
      <x:c r="L4158" s="40" t="n">
        <x:f>ABS(K4158)</x:f>
        <x:v>0</x:v>
      </x:c>
      <x:c r="M4158" s="41" t="str">
        <x:v>lstm-soil-v1</x:v>
      </x:c>
    </x:row>
    <x:row r="4159">
      <x:c r="A4159" s="38" t="str">
        <x:v>7月30日现场数据</x:v>
      </x:c>
      <x:c r="B4159" s="39" t="str">
        <x:v>2026-08-04T04:05:00</x:v>
      </x:c>
      <x:c r="C4159" s="39" t="str">
        <x:v>2026-08-04T05:05:00</x:v>
      </x:c>
      <x:c r="D4159" s="47" t="n">
        <x:v>60</x:v>
      </x:c>
      <x:c r="E4159" s="40" t="n">
        <x:v>12.9</x:v>
      </x:c>
      <x:c r="F4159" s="40" t="n">
        <x:v>13.133319854736328</x:v>
      </x:c>
      <x:c r="G4159" s="40" t="n">
        <x:v>13</x:v>
      </x:c>
      <x:c r="H4159" s="40" t="n">
        <x:f>F4159-E4159</x:f>
        <x:v>0.23331985473632777</x:v>
      </x:c>
      <x:c r="I4159" s="40" t="n">
        <x:f>ABS(H4159)</x:f>
        <x:v>0.23331985473632777</x:v>
      </x:c>
      <x:c r="J4159" s="40" t="n">
        <x:f>H4159^2</x:f>
        <x:v>0.05443815461418109</x:v>
      </x:c>
      <x:c r="K4159" s="40" t="n">
        <x:f>G4159-E4159</x:f>
        <x:v>0.09999999999999964</x:v>
      </x:c>
      <x:c r="L4159" s="40" t="n">
        <x:f>ABS(K4159)</x:f>
        <x:v>0.09999999999999964</x:v>
      </x:c>
      <x:c r="M4159" s="41" t="str">
        <x:v>lstm-soil-v1</x:v>
      </x:c>
    </x:row>
    <x:row r="4160">
      <x:c r="A4160" s="38" t="str">
        <x:v>7月30日现场数据</x:v>
      </x:c>
      <x:c r="B4160" s="39" t="str">
        <x:v>2026-08-04T04:10:00</x:v>
      </x:c>
      <x:c r="C4160" s="39" t="str">
        <x:v>2026-08-04T04:15:00</x:v>
      </x:c>
      <x:c r="D4160" s="47" t="n">
        <x:v>5</x:v>
      </x:c>
      <x:c r="E4160" s="40" t="n">
        <x:v>13</x:v>
      </x:c>
      <x:c r="F4160" s="40" t="n">
        <x:v>11.01120376586914</x:v>
      </x:c>
      <x:c r="G4160" s="40" t="n">
        <x:v>13</x:v>
      </x:c>
      <x:c r="H4160" s="40" t="n">
        <x:f>F4160-E4160</x:f>
        <x:v>-1.9887962341308594</x:v>
      </x:c>
      <x:c r="I4160" s="40" t="n">
        <x:f>ABS(H4160)</x:f>
        <x:v>1.9887962341308594</x:v>
      </x:c>
      <x:c r="J4160" s="40" t="n">
        <x:f>H4160^2</x:f>
        <x:v>3.955310460893088</x:v>
      </x:c>
      <x:c r="K4160" s="40" t="n">
        <x:f>G4160-E4160</x:f>
        <x:v>0</x:v>
      </x:c>
      <x:c r="L4160" s="40" t="n">
        <x:f>ABS(K4160)</x:f>
        <x:v>0</x:v>
      </x:c>
      <x:c r="M4160" s="41" t="str">
        <x:v>lstm-soil-v1</x:v>
      </x:c>
    </x:row>
    <x:row r="4161">
      <x:c r="A4161" s="38" t="str">
        <x:v>7月30日现场数据</x:v>
      </x:c>
      <x:c r="B4161" s="39" t="str">
        <x:v>2026-08-04T04:10:00</x:v>
      </x:c>
      <x:c r="C4161" s="39" t="str">
        <x:v>2026-08-04T04:25:00</x:v>
      </x:c>
      <x:c r="D4161" s="47" t="n">
        <x:v>15</x:v>
      </x:c>
      <x:c r="E4161" s="40" t="n">
        <x:v>13</x:v>
      </x:c>
      <x:c r="F4161" s="40" t="n">
        <x:v>11.067695617675781</x:v>
      </x:c>
      <x:c r="G4161" s="40" t="n">
        <x:v>13</x:v>
      </x:c>
      <x:c r="H4161" s="40" t="n">
        <x:f>F4161-E4161</x:f>
        <x:v>-1.9323043823242188</x:v>
      </x:c>
      <x:c r="I4161" s="40" t="n">
        <x:f>ABS(H4161)</x:f>
        <x:v>1.9323043823242188</x:v>
      </x:c>
      <x:c r="J4161" s="40" t="n">
        <x:f>H4161^2</x:f>
        <x:v>3.7338002259493805</x:v>
      </x:c>
      <x:c r="K4161" s="40" t="n">
        <x:f>G4161-E4161</x:f>
        <x:v>0</x:v>
      </x:c>
      <x:c r="L4161" s="40" t="n">
        <x:f>ABS(K4161)</x:f>
        <x:v>0</x:v>
      </x:c>
      <x:c r="M4161" s="41" t="str">
        <x:v>lstm-soil-v1</x:v>
      </x:c>
    </x:row>
    <x:row r="4162">
      <x:c r="A4162" s="38" t="str">
        <x:v>7月30日现场数据</x:v>
      </x:c>
      <x:c r="B4162" s="39" t="str">
        <x:v>2026-08-04T04:10:00</x:v>
      </x:c>
      <x:c r="C4162" s="39" t="str">
        <x:v>2026-08-04T04:40:00</x:v>
      </x:c>
      <x:c r="D4162" s="47" t="n">
        <x:v>30</x:v>
      </x:c>
      <x:c r="E4162" s="40" t="n">
        <x:v>13</x:v>
      </x:c>
      <x:c r="F4162" s="40" t="n">
        <x:v>11.55794906616211</x:v>
      </x:c>
      <x:c r="G4162" s="40" t="n">
        <x:v>13</x:v>
      </x:c>
      <x:c r="H4162" s="40" t="n">
        <x:f>F4162-E4162</x:f>
        <x:v>-1.4420509338378906</x:v>
      </x:c>
      <x:c r="I4162" s="40" t="n">
        <x:f>ABS(H4162)</x:f>
        <x:v>1.4420509338378906</x:v>
      </x:c>
      <x:c r="J4162" s="40" t="n">
        <x:f>H4162^2</x:f>
        <x:v>2.0795108957827324</x:v>
      </x:c>
      <x:c r="K4162" s="40" t="n">
        <x:f>G4162-E4162</x:f>
        <x:v>0</x:v>
      </x:c>
      <x:c r="L4162" s="40" t="n">
        <x:f>ABS(K4162)</x:f>
        <x:v>0</x:v>
      </x:c>
      <x:c r="M4162" s="41" t="str">
        <x:v>lstm-soil-v1</x:v>
      </x:c>
    </x:row>
    <x:row r="4163">
      <x:c r="A4163" s="38" t="str">
        <x:v>7月30日现场数据</x:v>
      </x:c>
      <x:c r="B4163" s="39" t="str">
        <x:v>2026-08-04T04:10:00</x:v>
      </x:c>
      <x:c r="C4163" s="39" t="str">
        <x:v>2026-08-04T05:10:00</x:v>
      </x:c>
      <x:c r="D4163" s="47" t="n">
        <x:v>60</x:v>
      </x:c>
      <x:c r="E4163" s="40" t="n">
        <x:v>12.9</x:v>
      </x:c>
      <x:c r="F4163" s="40" t="n">
        <x:v>13.133663177490234</x:v>
      </x:c>
      <x:c r="G4163" s="40" t="n">
        <x:v>13</x:v>
      </x:c>
      <x:c r="H4163" s="40" t="n">
        <x:f>F4163-E4163</x:f>
        <x:v>0.23366317749023402</x:v>
      </x:c>
      <x:c r="I4163" s="40" t="n">
        <x:f>ABS(H4163)</x:f>
        <x:v>0.23366317749023402</x:v>
      </x:c>
      <x:c r="J4163" s="40" t="n">
        <x:f>H4163^2</x:f>
        <x:v>0.054598480514832605</x:v>
      </x:c>
      <x:c r="K4163" s="40" t="n">
        <x:f>G4163-E4163</x:f>
        <x:v>0.09999999999999964</x:v>
      </x:c>
      <x:c r="L4163" s="40" t="n">
        <x:f>ABS(K4163)</x:f>
        <x:v>0.09999999999999964</x:v>
      </x:c>
      <x:c r="M4163" s="41" t="str">
        <x:v>lstm-soil-v1</x:v>
      </x:c>
    </x:row>
    <x:row r="4164">
      <x:c r="A4164" s="38" t="str">
        <x:v>7月30日现场数据</x:v>
      </x:c>
      <x:c r="B4164" s="39" t="str">
        <x:v>2026-08-04T04:15:00</x:v>
      </x:c>
      <x:c r="C4164" s="39" t="str">
        <x:v>2026-08-04T04:20:00</x:v>
      </x:c>
      <x:c r="D4164" s="47" t="n">
        <x:v>5</x:v>
      </x:c>
      <x:c r="E4164" s="40" t="n">
        <x:v>13</x:v>
      </x:c>
      <x:c r="F4164" s="40" t="n">
        <x:v>11.011058807373047</x:v>
      </x:c>
      <x:c r="G4164" s="40" t="n">
        <x:v>13</x:v>
      </x:c>
      <x:c r="H4164" s="40" t="n">
        <x:f>F4164-E4164</x:f>
        <x:v>-1.9889411926269531</x:v>
      </x:c>
      <x:c r="I4164" s="40" t="n">
        <x:f>ABS(H4164)</x:f>
        <x:v>1.9889411926269531</x:v>
      </x:c>
      <x:c r="J4164" s="40" t="n">
        <x:f>H4164^2</x:f>
        <x:v>3.9558870677283267</x:v>
      </x:c>
      <x:c r="K4164" s="40" t="n">
        <x:f>G4164-E4164</x:f>
        <x:v>0</x:v>
      </x:c>
      <x:c r="L4164" s="40" t="n">
        <x:f>ABS(K4164)</x:f>
        <x:v>0</x:v>
      </x:c>
      <x:c r="M4164" s="41" t="str">
        <x:v>lstm-soil-v1</x:v>
      </x:c>
    </x:row>
    <x:row r="4165">
      <x:c r="A4165" s="38" t="str">
        <x:v>7月30日现场数据</x:v>
      </x:c>
      <x:c r="B4165" s="39" t="str">
        <x:v>2026-08-04T04:15:00</x:v>
      </x:c>
      <x:c r="C4165" s="39" t="str">
        <x:v>2026-08-04T04:30:00</x:v>
      </x:c>
      <x:c r="D4165" s="47" t="n">
        <x:v>15</x:v>
      </x:c>
      <x:c r="E4165" s="40" t="n">
        <x:v>13</x:v>
      </x:c>
      <x:c r="F4165" s="40" t="n">
        <x:v>11.067699432373047</x:v>
      </x:c>
      <x:c r="G4165" s="40" t="n">
        <x:v>13</x:v>
      </x:c>
      <x:c r="H4165" s="40" t="n">
        <x:f>F4165-E4165</x:f>
        <x:v>-1.9323005676269531</x:v>
      </x:c>
      <x:c r="I4165" s="40" t="n">
        <x:f>ABS(H4165)</x:f>
        <x:v>1.9323005676269531</x:v>
      </x:c>
      <x:c r="J4165" s="40" t="n">
        <x:f>H4165^2</x:f>
        <x:v>3.7337854836514452</x:v>
      </x:c>
      <x:c r="K4165" s="40" t="n">
        <x:f>G4165-E4165</x:f>
        <x:v>0</x:v>
      </x:c>
      <x:c r="L4165" s="40" t="n">
        <x:f>ABS(K4165)</x:f>
        <x:v>0</x:v>
      </x:c>
      <x:c r="M4165" s="41" t="str">
        <x:v>lstm-soil-v1</x:v>
      </x:c>
    </x:row>
    <x:row r="4166">
      <x:c r="A4166" s="38" t="str">
        <x:v>7月30日现场数据</x:v>
      </x:c>
      <x:c r="B4166" s="39" t="str">
        <x:v>2026-08-04T04:15:00</x:v>
      </x:c>
      <x:c r="C4166" s="39" t="str">
        <x:v>2026-08-04T04:45:00</x:v>
      </x:c>
      <x:c r="D4166" s="47" t="n">
        <x:v>30</x:v>
      </x:c>
      <x:c r="E4166" s="40" t="n">
        <x:v>13</x:v>
      </x:c>
      <x:c r="F4166" s="40" t="n">
        <x:v>11.55853271484375</x:v>
      </x:c>
      <x:c r="G4166" s="40" t="n">
        <x:v>13</x:v>
      </x:c>
      <x:c r="H4166" s="40" t="n">
        <x:f>F4166-E4166</x:f>
        <x:v>-1.44146728515625</x:v>
      </x:c>
      <x:c r="I4166" s="40" t="n">
        <x:f>ABS(H4166)</x:f>
        <x:v>1.44146728515625</x:v>
      </x:c>
      <x:c r="J4166" s="40" t="n">
        <x:f>H4166^2</x:f>
        <x:v>2.0778279341757298</x:v>
      </x:c>
      <x:c r="K4166" s="40" t="n">
        <x:f>G4166-E4166</x:f>
        <x:v>0</x:v>
      </x:c>
      <x:c r="L4166" s="40" t="n">
        <x:f>ABS(K4166)</x:f>
        <x:v>0</x:v>
      </x:c>
      <x:c r="M4166" s="41" t="str">
        <x:v>lstm-soil-v1</x:v>
      </x:c>
    </x:row>
    <x:row r="4167">
      <x:c r="A4167" s="38" t="str">
        <x:v>7月30日现场数据</x:v>
      </x:c>
      <x:c r="B4167" s="39" t="str">
        <x:v>2026-08-04T04:15:00</x:v>
      </x:c>
      <x:c r="C4167" s="39" t="str">
        <x:v>2026-08-04T05:15:00</x:v>
      </x:c>
      <x:c r="D4167" s="47" t="n">
        <x:v>60</x:v>
      </x:c>
      <x:c r="E4167" s="40" t="n">
        <x:v>13</x:v>
      </x:c>
      <x:c r="F4167" s="40" t="n">
        <x:v>13.13427734375</x:v>
      </x:c>
      <x:c r="G4167" s="40" t="n">
        <x:v>13</x:v>
      </x:c>
      <x:c r="H4167" s="40" t="n">
        <x:f>F4167-E4167</x:f>
        <x:v>0.13427734375</x:v>
      </x:c>
      <x:c r="I4167" s="40" t="n">
        <x:f>ABS(H4167)</x:f>
        <x:v>0.13427734375</x:v>
      </x:c>
      <x:c r="J4167" s="40" t="n">
        <x:f>H4167^2</x:f>
        <x:v>0.018030405044555664</x:v>
      </x:c>
      <x:c r="K4167" s="40" t="n">
        <x:f>G4167-E4167</x:f>
        <x:v>0</x:v>
      </x:c>
      <x:c r="L4167" s="40" t="n">
        <x:f>ABS(K4167)</x:f>
        <x:v>0</x:v>
      </x:c>
      <x:c r="M4167" s="41" t="str">
        <x:v>lstm-soil-v1</x:v>
      </x:c>
    </x:row>
    <x:row r="4168">
      <x:c r="A4168" s="38" t="str">
        <x:v>7月30日现场数据</x:v>
      </x:c>
      <x:c r="B4168" s="39" t="str">
        <x:v>2026-08-04T04:20:00</x:v>
      </x:c>
      <x:c r="C4168" s="39" t="str">
        <x:v>2026-08-04T04:25:00</x:v>
      </x:c>
      <x:c r="D4168" s="47" t="n">
        <x:v>5</x:v>
      </x:c>
      <x:c r="E4168" s="40" t="n">
        <x:v>13</x:v>
      </x:c>
      <x:c r="F4168" s="40" t="n">
        <x:v>11.013877868652344</x:v>
      </x:c>
      <x:c r="G4168" s="40" t="n">
        <x:v>13</x:v>
      </x:c>
      <x:c r="H4168" s="40" t="n">
        <x:f>F4168-E4168</x:f>
        <x:v>-1.9861221313476562</x:v>
      </x:c>
      <x:c r="I4168" s="40" t="n">
        <x:f>ABS(H4168)</x:f>
        <x:v>1.9861221313476562</x:v>
      </x:c>
      <x:c r="J4168" s="40" t="n">
        <x:f>H4168^2</x:f>
        <x:v>3.9446811206289567</x:v>
      </x:c>
      <x:c r="K4168" s="40" t="n">
        <x:f>G4168-E4168</x:f>
        <x:v>0</x:v>
      </x:c>
      <x:c r="L4168" s="40" t="n">
        <x:f>ABS(K4168)</x:f>
        <x:v>0</x:v>
      </x:c>
      <x:c r="M4168" s="41" t="str">
        <x:v>lstm-soil-v1</x:v>
      </x:c>
    </x:row>
    <x:row r="4169">
      <x:c r="A4169" s="38" t="str">
        <x:v>7月30日现场数据</x:v>
      </x:c>
      <x:c r="B4169" s="39" t="str">
        <x:v>2026-08-04T04:20:00</x:v>
      </x:c>
      <x:c r="C4169" s="39" t="str">
        <x:v>2026-08-04T04:35:00</x:v>
      </x:c>
      <x:c r="D4169" s="47" t="n">
        <x:v>15</x:v>
      </x:c>
      <x:c r="E4169" s="40" t="n">
        <x:v>13</x:v>
      </x:c>
      <x:c r="F4169" s="40" t="n">
        <x:v>11.074520111083984</x:v>
      </x:c>
      <x:c r="G4169" s="40" t="n">
        <x:v>13</x:v>
      </x:c>
      <x:c r="H4169" s="40" t="n">
        <x:f>F4169-E4169</x:f>
        <x:v>-1.9254798889160156</x:v>
      </x:c>
      <x:c r="I4169" s="40" t="n">
        <x:f>ABS(H4169)</x:f>
        <x:v>1.9254798889160156</x:v>
      </x:c>
      <x:c r="J4169" s="40" t="n">
        <x:f>H4169^2</x:f>
        <x:v>3.707472802620032</x:v>
      </x:c>
      <x:c r="K4169" s="40" t="n">
        <x:f>G4169-E4169</x:f>
        <x:v>0</x:v>
      </x:c>
      <x:c r="L4169" s="40" t="n">
        <x:f>ABS(K4169)</x:f>
        <x:v>0</x:v>
      </x:c>
      <x:c r="M4169" s="41" t="str">
        <x:v>lstm-soil-v1</x:v>
      </x:c>
    </x:row>
    <x:row r="4170">
      <x:c r="A4170" s="38" t="str">
        <x:v>7月30日现场数据</x:v>
      </x:c>
      <x:c r="B4170" s="39" t="str">
        <x:v>2026-08-04T04:20:00</x:v>
      </x:c>
      <x:c r="C4170" s="39" t="str">
        <x:v>2026-08-04T04:50:00</x:v>
      </x:c>
      <x:c r="D4170" s="47" t="n">
        <x:v>30</x:v>
      </x:c>
      <x:c r="E4170" s="40" t="n">
        <x:v>13</x:v>
      </x:c>
      <x:c r="F4170" s="40" t="n">
        <x:v>11.564689636230469</x:v>
      </x:c>
      <x:c r="G4170" s="40" t="n">
        <x:v>13</x:v>
      </x:c>
      <x:c r="H4170" s="40" t="n">
        <x:f>F4170-E4170</x:f>
        <x:v>-1.4353103637695312</x:v>
      </x:c>
      <x:c r="I4170" s="40" t="n">
        <x:f>ABS(H4170)</x:f>
        <x:v>1.4353103637695312</x:v>
      </x:c>
      <x:c r="J4170" s="40" t="n">
        <x:f>H4170^2</x:f>
        <x:v>2.060115840344224</x:v>
      </x:c>
      <x:c r="K4170" s="40" t="n">
        <x:f>G4170-E4170</x:f>
        <x:v>0</x:v>
      </x:c>
      <x:c r="L4170" s="40" t="n">
        <x:f>ABS(K4170)</x:f>
        <x:v>0</x:v>
      </x:c>
      <x:c r="M4170" s="41" t="str">
        <x:v>lstm-soil-v1</x:v>
      </x:c>
    </x:row>
    <x:row r="4171">
      <x:c r="A4171" s="38" t="str">
        <x:v>7月30日现场数据</x:v>
      </x:c>
      <x:c r="B4171" s="39" t="str">
        <x:v>2026-08-04T04:20:00</x:v>
      </x:c>
      <x:c r="C4171" s="39" t="str">
        <x:v>2026-08-04T05:20:00</x:v>
      </x:c>
      <x:c r="D4171" s="47" t="n">
        <x:v>60</x:v>
      </x:c>
      <x:c r="E4171" s="40" t="n">
        <x:v>13</x:v>
      </x:c>
      <x:c r="F4171" s="40" t="n">
        <x:v>13.14150619506836</x:v>
      </x:c>
      <x:c r="G4171" s="40" t="n">
        <x:v>13</x:v>
      </x:c>
      <x:c r="H4171" s="40" t="n">
        <x:f>F4171-E4171</x:f>
        <x:v>0.14150619506835938</x:v>
      </x:c>
      <x:c r="I4171" s="40" t="n">
        <x:f>ABS(H4171)</x:f>
        <x:v>0.14150619506835938</x:v>
      </x:c>
      <x:c r="J4171" s="40" t="n">
        <x:f>H4171^2</x:f>
        <x:v>0.020024003242724575</x:v>
      </x:c>
      <x:c r="K4171" s="40" t="n">
        <x:f>G4171-E4171</x:f>
        <x:v>0</x:v>
      </x:c>
      <x:c r="L4171" s="40" t="n">
        <x:f>ABS(K4171)</x:f>
        <x:v>0</x:v>
      </x:c>
      <x:c r="M4171" s="41" t="str">
        <x:v>lstm-soil-v1</x:v>
      </x:c>
    </x:row>
    <x:row r="4172">
      <x:c r="A4172" s="38" t="str">
        <x:v>7月30日现场数据</x:v>
      </x:c>
      <x:c r="B4172" s="39" t="str">
        <x:v>2026-08-04T04:25:00</x:v>
      </x:c>
      <x:c r="C4172" s="39" t="str">
        <x:v>2026-08-04T04:30:00</x:v>
      </x:c>
      <x:c r="D4172" s="47" t="n">
        <x:v>5</x:v>
      </x:c>
      <x:c r="E4172" s="40" t="n">
        <x:v>13</x:v>
      </x:c>
      <x:c r="F4172" s="40" t="n">
        <x:v>11.01004409790039</x:v>
      </x:c>
      <x:c r="G4172" s="40" t="n">
        <x:v>13</x:v>
      </x:c>
      <x:c r="H4172" s="40" t="n">
        <x:f>F4172-E4172</x:f>
        <x:v>-1.9899559020996094</x:v>
      </x:c>
      <x:c r="I4172" s="40" t="n">
        <x:f>ABS(H4172)</x:f>
        <x:v>1.9899559020996094</x:v>
      </x:c>
      <x:c r="J4172" s="40" t="n">
        <x:f>H4172^2</x:f>
        <x:v>3.95992449230107</x:v>
      </x:c>
      <x:c r="K4172" s="40" t="n">
        <x:f>G4172-E4172</x:f>
        <x:v>0</x:v>
      </x:c>
      <x:c r="L4172" s="40" t="n">
        <x:f>ABS(K4172)</x:f>
        <x:v>0</x:v>
      </x:c>
      <x:c r="M4172" s="41" t="str">
        <x:v>lstm-soil-v1</x:v>
      </x:c>
    </x:row>
    <x:row r="4173">
      <x:c r="A4173" s="38" t="str">
        <x:v>7月30日现场数据</x:v>
      </x:c>
      <x:c r="B4173" s="39" t="str">
        <x:v>2026-08-04T04:25:00</x:v>
      </x:c>
      <x:c r="C4173" s="39" t="str">
        <x:v>2026-08-04T04:40:00</x:v>
      </x:c>
      <x:c r="D4173" s="47" t="n">
        <x:v>15</x:v>
      </x:c>
      <x:c r="E4173" s="40" t="n">
        <x:v>13</x:v>
      </x:c>
      <x:c r="F4173" s="40" t="n">
        <x:v>11.075313568115234</x:v>
      </x:c>
      <x:c r="G4173" s="40" t="n">
        <x:v>13</x:v>
      </x:c>
      <x:c r="H4173" s="40" t="n">
        <x:f>F4173-E4173</x:f>
        <x:v>-1.9246864318847656</x:v>
      </x:c>
      <x:c r="I4173" s="40" t="n">
        <x:f>ABS(H4173)</x:f>
        <x:v>1.9246864318847656</x:v>
      </x:c>
      <x:c r="J4173" s="40" t="n">
        <x:f>H4173^2</x:f>
        <x:v>3.7044178610813105</x:v>
      </x:c>
      <x:c r="K4173" s="40" t="n">
        <x:f>G4173-E4173</x:f>
        <x:v>0</x:v>
      </x:c>
      <x:c r="L4173" s="40" t="n">
        <x:f>ABS(K4173)</x:f>
        <x:v>0</x:v>
      </x:c>
      <x:c r="M4173" s="41" t="str">
        <x:v>lstm-soil-v1</x:v>
      </x:c>
    </x:row>
    <x:row r="4174">
      <x:c r="A4174" s="38" t="str">
        <x:v>7月30日现场数据</x:v>
      </x:c>
      <x:c r="B4174" s="39" t="str">
        <x:v>2026-08-04T04:25:00</x:v>
      </x:c>
      <x:c r="C4174" s="39" t="str">
        <x:v>2026-08-04T04:55:00</x:v>
      </x:c>
      <x:c r="D4174" s="47" t="n">
        <x:v>30</x:v>
      </x:c>
      <x:c r="E4174" s="40" t="n">
        <x:v>13</x:v>
      </x:c>
      <x:c r="F4174" s="40" t="n">
        <x:v>11.557640075683594</x:v>
      </x:c>
      <x:c r="G4174" s="40" t="n">
        <x:v>13</x:v>
      </x:c>
      <x:c r="H4174" s="40" t="n">
        <x:f>F4174-E4174</x:f>
        <x:v>-1.4423599243164062</x:v>
      </x:c>
      <x:c r="I4174" s="40" t="n">
        <x:f>ABS(H4174)</x:f>
        <x:v>1.4423599243164062</x:v>
      </x:c>
      <x:c r="J4174" s="40" t="n">
        <x:f>H4174^2</x:f>
        <x:v>2.080402151274029</x:v>
      </x:c>
      <x:c r="K4174" s="40" t="n">
        <x:f>G4174-E4174</x:f>
        <x:v>0</x:v>
      </x:c>
      <x:c r="L4174" s="40" t="n">
        <x:f>ABS(K4174)</x:f>
        <x:v>0</x:v>
      </x:c>
      <x:c r="M4174" s="41" t="str">
        <x:v>lstm-soil-v1</x:v>
      </x:c>
    </x:row>
    <x:row r="4175">
      <x:c r="A4175" s="38" t="str">
        <x:v>7月30日现场数据</x:v>
      </x:c>
      <x:c r="B4175" s="39" t="str">
        <x:v>2026-08-04T04:25:00</x:v>
      </x:c>
      <x:c r="C4175" s="39" t="str">
        <x:v>2026-08-04T05:25:00</x:v>
      </x:c>
      <x:c r="D4175" s="47" t="n">
        <x:v>60</x:v>
      </x:c>
      <x:c r="E4175" s="40" t="n">
        <x:v>12.9</x:v>
      </x:c>
      <x:c r="F4175" s="40" t="n">
        <x:v>13.128910064697266</x:v>
      </x:c>
      <x:c r="G4175" s="40" t="n">
        <x:v>13</x:v>
      </x:c>
      <x:c r="H4175" s="40" t="n">
        <x:f>F4175-E4175</x:f>
        <x:v>0.22891006469726527</x:v>
      </x:c>
      <x:c r="I4175" s="40" t="n">
        <x:f>ABS(H4175)</x:f>
        <x:v>0.22891006469726527</x:v>
      </x:c>
      <x:c r="J4175" s="40" t="n">
        <x:f>H4175^2</x:f>
        <x:v>0.05239981771970617</x:v>
      </x:c>
      <x:c r="K4175" s="40" t="n">
        <x:f>G4175-E4175</x:f>
        <x:v>0.09999999999999964</x:v>
      </x:c>
      <x:c r="L4175" s="40" t="n">
        <x:f>ABS(K4175)</x:f>
        <x:v>0.09999999999999964</x:v>
      </x:c>
      <x:c r="M4175" s="41" t="str">
        <x:v>lstm-soil-v1</x:v>
      </x:c>
    </x:row>
    <x:row r="4176">
      <x:c r="A4176" s="38" t="str">
        <x:v>7月30日现场数据</x:v>
      </x:c>
      <x:c r="B4176" s="39" t="str">
        <x:v>2026-08-04T04:30:00</x:v>
      </x:c>
      <x:c r="C4176" s="39" t="str">
        <x:v>2026-08-04T04:35:00</x:v>
      </x:c>
      <x:c r="D4176" s="47" t="n">
        <x:v>5</x:v>
      </x:c>
      <x:c r="E4176" s="40" t="n">
        <x:v>13</x:v>
      </x:c>
      <x:c r="F4176" s="40" t="n">
        <x:v>11.009895324707031</x:v>
      </x:c>
      <x:c r="G4176" s="40" t="n">
        <x:v>13</x:v>
      </x:c>
      <x:c r="H4176" s="40" t="n">
        <x:f>F4176-E4176</x:f>
        <x:v>-1.9901046752929688</x:v>
      </x:c>
      <x:c r="I4176" s="40" t="n">
        <x:f>ABS(H4176)</x:f>
        <x:v>1.9901046752929688</x:v>
      </x:c>
      <x:c r="J4176" s="40" t="n">
        <x:f>H4176^2</x:f>
        <x:v>3.9605166186229326</x:v>
      </x:c>
      <x:c r="K4176" s="40" t="n">
        <x:f>G4176-E4176</x:f>
        <x:v>0</x:v>
      </x:c>
      <x:c r="L4176" s="40" t="n">
        <x:f>ABS(K4176)</x:f>
        <x:v>0</x:v>
      </x:c>
      <x:c r="M4176" s="41" t="str">
        <x:v>lstm-soil-v1</x:v>
      </x:c>
    </x:row>
    <x:row r="4177">
      <x:c r="A4177" s="38" t="str">
        <x:v>7月30日现场数据</x:v>
      </x:c>
      <x:c r="B4177" s="39" t="str">
        <x:v>2026-08-04T04:30:00</x:v>
      </x:c>
      <x:c r="C4177" s="39" t="str">
        <x:v>2026-08-04T04:45:00</x:v>
      </x:c>
      <x:c r="D4177" s="47" t="n">
        <x:v>15</x:v>
      </x:c>
      <x:c r="E4177" s="40" t="n">
        <x:v>13</x:v>
      </x:c>
      <x:c r="F4177" s="40" t="n">
        <x:v>11.072612762451172</x:v>
      </x:c>
      <x:c r="G4177" s="40" t="n">
        <x:v>13</x:v>
      </x:c>
      <x:c r="H4177" s="40" t="n">
        <x:f>F4177-E4177</x:f>
        <x:v>-1.9273872375488281</x:v>
      </x:c>
      <x:c r="I4177" s="40" t="n">
        <x:f>ABS(H4177)</x:f>
        <x:v>1.9273872375488281</x:v>
      </x:c>
      <x:c r="J4177" s="40" t="n">
        <x:f>H4177^2</x:f>
        <x:v>3.714821563466103</x:v>
      </x:c>
      <x:c r="K4177" s="40" t="n">
        <x:f>G4177-E4177</x:f>
        <x:v>0</x:v>
      </x:c>
      <x:c r="L4177" s="40" t="n">
        <x:f>ABS(K4177)</x:f>
        <x:v>0</x:v>
      </x:c>
      <x:c r="M4177" s="41" t="str">
        <x:v>lstm-soil-v1</x:v>
      </x:c>
    </x:row>
    <x:row r="4178">
      <x:c r="A4178" s="38" t="str">
        <x:v>7月30日现场数据</x:v>
      </x:c>
      <x:c r="B4178" s="39" t="str">
        <x:v>2026-08-04T04:30:00</x:v>
      </x:c>
      <x:c r="C4178" s="39" t="str">
        <x:v>2026-08-04T05:00:00</x:v>
      </x:c>
      <x:c r="D4178" s="47" t="n">
        <x:v>30</x:v>
      </x:c>
      <x:c r="E4178" s="40" t="n">
        <x:v>13</x:v>
      </x:c>
      <x:c r="F4178" s="40" t="n">
        <x:v>11.55535888671875</x:v>
      </x:c>
      <x:c r="G4178" s="40" t="n">
        <x:v>13</x:v>
      </x:c>
      <x:c r="H4178" s="40" t="n">
        <x:f>F4178-E4178</x:f>
        <x:v>-1.44464111328125</x:v>
      </x:c>
      <x:c r="I4178" s="40" t="n">
        <x:f>ABS(H4178)</x:f>
        <x:v>1.44464111328125</x:v>
      </x:c>
      <x:c r="J4178" s="40" t="n">
        <x:f>H4178^2</x:f>
        <x:v>2.0869879461824894</x:v>
      </x:c>
      <x:c r="K4178" s="40" t="n">
        <x:f>G4178-E4178</x:f>
        <x:v>0</x:v>
      </x:c>
      <x:c r="L4178" s="40" t="n">
        <x:f>ABS(K4178)</x:f>
        <x:v>0</x:v>
      </x:c>
      <x:c r="M4178" s="41" t="str">
        <x:v>lstm-soil-v1</x:v>
      </x:c>
    </x:row>
    <x:row r="4179">
      <x:c r="A4179" s="38" t="str">
        <x:v>7月30日现场数据</x:v>
      </x:c>
      <x:c r="B4179" s="39" t="str">
        <x:v>2026-08-04T04:30:00</x:v>
      </x:c>
      <x:c r="C4179" s="39" t="str">
        <x:v>2026-08-04T05:30:00</x:v>
      </x:c>
      <x:c r="D4179" s="47" t="n">
        <x:v>60</x:v>
      </x:c>
      <x:c r="E4179" s="40" t="n">
        <x:v>13</x:v>
      </x:c>
      <x:c r="F4179" s="40" t="n">
        <x:v>13.129524230957031</x:v>
      </x:c>
      <x:c r="G4179" s="40" t="n">
        <x:v>13</x:v>
      </x:c>
      <x:c r="H4179" s="40" t="n">
        <x:f>F4179-E4179</x:f>
        <x:v>0.12952423095703125</x:v>
      </x:c>
      <x:c r="I4179" s="40" t="n">
        <x:f>ABS(H4179)</x:f>
        <x:v>0.12952423095703125</x:v>
      </x:c>
      <x:c r="J4179" s="40" t="n">
        <x:f>H4179^2</x:f>
        <x:v>0.016776526405010372</x:v>
      </x:c>
      <x:c r="K4179" s="40" t="n">
        <x:f>G4179-E4179</x:f>
        <x:v>0</x:v>
      </x:c>
      <x:c r="L4179" s="40" t="n">
        <x:f>ABS(K4179)</x:f>
        <x:v>0</x:v>
      </x:c>
      <x:c r="M4179" s="41" t="str">
        <x:v>lstm-soil-v1</x:v>
      </x:c>
    </x:row>
    <x:row r="4180">
      <x:c r="A4180" s="38" t="str">
        <x:v>7月30日现场数据</x:v>
      </x:c>
      <x:c r="B4180" s="39" t="str">
        <x:v>2026-08-04T04:35:00</x:v>
      </x:c>
      <x:c r="C4180" s="39" t="str">
        <x:v>2026-08-04T04:40:00</x:v>
      </x:c>
      <x:c r="D4180" s="47" t="n">
        <x:v>5</x:v>
      </x:c>
      <x:c r="E4180" s="40" t="n">
        <x:v>13</x:v>
      </x:c>
      <x:c r="F4180" s="40" t="n">
        <x:v>11.010128021240234</x:v>
      </x:c>
      <x:c r="G4180" s="40" t="n">
        <x:v>13</x:v>
      </x:c>
      <x:c r="H4180" s="40" t="n">
        <x:f>F4180-E4180</x:f>
        <x:v>-1.9898719787597656</x:v>
      </x:c>
      <x:c r="I4180" s="40" t="n">
        <x:f>ABS(H4180)</x:f>
        <x:v>1.9898719787597656</x:v>
      </x:c>
      <x:c r="J4180" s="40" t="n">
        <x:f>H4180^2</x:f>
        <x:v>3.959590491853305</x:v>
      </x:c>
      <x:c r="K4180" s="40" t="n">
        <x:f>G4180-E4180</x:f>
        <x:v>0</x:v>
      </x:c>
      <x:c r="L4180" s="40" t="n">
        <x:f>ABS(K4180)</x:f>
        <x:v>0</x:v>
      </x:c>
      <x:c r="M4180" s="41" t="str">
        <x:v>lstm-soil-v1</x:v>
      </x:c>
    </x:row>
    <x:row r="4181">
      <x:c r="A4181" s="38" t="str">
        <x:v>7月30日现场数据</x:v>
      </x:c>
      <x:c r="B4181" s="39" t="str">
        <x:v>2026-08-04T04:35:00</x:v>
      </x:c>
      <x:c r="C4181" s="39" t="str">
        <x:v>2026-08-04T04:50:00</x:v>
      </x:c>
      <x:c r="D4181" s="47" t="n">
        <x:v>15</x:v>
      </x:c>
      <x:c r="E4181" s="40" t="n">
        <x:v>13</x:v>
      </x:c>
      <x:c r="F4181" s="40" t="n">
        <x:v>11.070777893066406</x:v>
      </x:c>
      <x:c r="G4181" s="40" t="n">
        <x:v>13</x:v>
      </x:c>
      <x:c r="H4181" s="40" t="n">
        <x:f>F4181-E4181</x:f>
        <x:v>-1.9292221069335938</x:v>
      </x:c>
      <x:c r="I4181" s="40" t="n">
        <x:f>ABS(H4181)</x:f>
        <x:v>1.9292221069335938</x:v>
      </x:c>
      <x:c r="J4181" s="40" t="n">
        <x:f>H4181^2</x:f>
        <x:v>3.7218979378812946</x:v>
      </x:c>
      <x:c r="K4181" s="40" t="n">
        <x:f>G4181-E4181</x:f>
        <x:v>0</x:v>
      </x:c>
      <x:c r="L4181" s="40" t="n">
        <x:f>ABS(K4181)</x:f>
        <x:v>0</x:v>
      </x:c>
      <x:c r="M4181" s="41" t="str">
        <x:v>lstm-soil-v1</x:v>
      </x:c>
    </x:row>
    <x:row r="4182">
      <x:c r="A4182" s="38" t="str">
        <x:v>7月30日现场数据</x:v>
      </x:c>
      <x:c r="B4182" s="39" t="str">
        <x:v>2026-08-04T04:35:00</x:v>
      </x:c>
      <x:c r="C4182" s="39" t="str">
        <x:v>2026-08-04T05:05:00</x:v>
      </x:c>
      <x:c r="D4182" s="47" t="n">
        <x:v>30</x:v>
      </x:c>
      <x:c r="E4182" s="40" t="n">
        <x:v>12.9</x:v>
      </x:c>
      <x:c r="F4182" s="40" t="n">
        <x:v>11.55527114868164</x:v>
      </x:c>
      <x:c r="G4182" s="40" t="n">
        <x:v>13</x:v>
      </x:c>
      <x:c r="H4182" s="40" t="n">
        <x:f>F4182-E4182</x:f>
        <x:v>-1.3447288513183597</x:v>
      </x:c>
      <x:c r="I4182" s="40" t="n">
        <x:f>ABS(H4182)</x:f>
        <x:v>1.3447288513183597</x:v>
      </x:c>
      <x:c r="J4182" s="40" t="n">
        <x:f>H4182^2</x:f>
        <x:v>1.8082956835679953</x:v>
      </x:c>
      <x:c r="K4182" s="40" t="n">
        <x:f>G4182-E4182</x:f>
        <x:v>0.09999999999999964</x:v>
      </x:c>
      <x:c r="L4182" s="40" t="n">
        <x:f>ABS(K4182)</x:f>
        <x:v>0.09999999999999964</x:v>
      </x:c>
      <x:c r="M4182" s="41" t="str">
        <x:v>lstm-soil-v1</x:v>
      </x:c>
    </x:row>
    <x:row r="4183">
      <x:c r="A4183" s="38" t="str">
        <x:v>7月30日现场数据</x:v>
      </x:c>
      <x:c r="B4183" s="39" t="str">
        <x:v>2026-08-04T04:35:00</x:v>
      </x:c>
      <x:c r="C4183" s="39" t="str">
        <x:v>2026-08-04T05:35:00</x:v>
      </x:c>
      <x:c r="D4183" s="47" t="n">
        <x:v>60</x:v>
      </x:c>
      <x:c r="E4183" s="40" t="n">
        <x:v>13</x:v>
      </x:c>
      <x:c r="F4183" s="40" t="n">
        <x:v>13.130462646484375</x:v>
      </x:c>
      <x:c r="G4183" s="40" t="n">
        <x:v>13</x:v>
      </x:c>
      <x:c r="H4183" s="40" t="n">
        <x:f>F4183-E4183</x:f>
        <x:v>0.130462646484375</x:v>
      </x:c>
      <x:c r="I4183" s="40" t="n">
        <x:f>ABS(H4183)</x:f>
        <x:v>0.130462646484375</x:v>
      </x:c>
      <x:c r="J4183" s="40" t="n">
        <x:f>H4183^2</x:f>
        <x:v>0.017020502127707005</x:v>
      </x:c>
      <x:c r="K4183" s="40" t="n">
        <x:f>G4183-E4183</x:f>
        <x:v>0</x:v>
      </x:c>
      <x:c r="L4183" s="40" t="n">
        <x:f>ABS(K4183)</x:f>
        <x:v>0</x:v>
      </x:c>
      <x:c r="M4183" s="41" t="str">
        <x:v>lstm-soil-v1</x:v>
      </x:c>
    </x:row>
    <x:row r="4184">
      <x:c r="A4184" s="38" t="str">
        <x:v>7月30日现场数据</x:v>
      </x:c>
      <x:c r="B4184" s="39" t="str">
        <x:v>2026-08-04T04:40:00</x:v>
      </x:c>
      <x:c r="C4184" s="39" t="str">
        <x:v>2026-08-04T04:45:00</x:v>
      </x:c>
      <x:c r="D4184" s="47" t="n">
        <x:v>5</x:v>
      </x:c>
      <x:c r="E4184" s="40" t="n">
        <x:v>13</x:v>
      </x:c>
      <x:c r="F4184" s="40" t="n">
        <x:v>11.010581970214844</x:v>
      </x:c>
      <x:c r="G4184" s="40" t="n">
        <x:v>13</x:v>
      </x:c>
      <x:c r="H4184" s="40" t="n">
        <x:f>F4184-E4184</x:f>
        <x:v>-1.9894180297851562</x:v>
      </x:c>
      <x:c r="I4184" s="40" t="n">
        <x:f>ABS(H4184)</x:f>
        <x:v>1.9894180297851562</x:v>
      </x:c>
      <x:c r="J4184" s="40" t="n">
        <x:f>H4184^2</x:f>
        <x:v>3.957784097234253</x:v>
      </x:c>
      <x:c r="K4184" s="40" t="n">
        <x:f>G4184-E4184</x:f>
        <x:v>0</x:v>
      </x:c>
      <x:c r="L4184" s="40" t="n">
        <x:f>ABS(K4184)</x:f>
        <x:v>0</x:v>
      </x:c>
      <x:c r="M4184" s="41" t="str">
        <x:v>lstm-soil-v1</x:v>
      </x:c>
    </x:row>
    <x:row r="4185">
      <x:c r="A4185" s="38" t="str">
        <x:v>7月30日现场数据</x:v>
      </x:c>
      <x:c r="B4185" s="39" t="str">
        <x:v>2026-08-04T04:40:00</x:v>
      </x:c>
      <x:c r="C4185" s="39" t="str">
        <x:v>2026-08-04T04:55:00</x:v>
      </x:c>
      <x:c r="D4185" s="47" t="n">
        <x:v>15</x:v>
      </x:c>
      <x:c r="E4185" s="40" t="n">
        <x:v>13</x:v>
      </x:c>
      <x:c r="F4185" s="40" t="n">
        <x:v>11.06972885131836</x:v>
      </x:c>
      <x:c r="G4185" s="40" t="n">
        <x:v>13</x:v>
      </x:c>
      <x:c r="H4185" s="40" t="n">
        <x:f>F4185-E4185</x:f>
        <x:v>-1.9302711486816406</x:v>
      </x:c>
      <x:c r="I4185" s="40" t="n">
        <x:f>ABS(H4185)</x:f>
        <x:v>1.9302711486816406</x:v>
      </x:c>
      <x:c r="J4185" s="40" t="n">
        <x:f>H4185^2</x:f>
        <x:v>3.7259467074327404</x:v>
      </x:c>
      <x:c r="K4185" s="40" t="n">
        <x:f>G4185-E4185</x:f>
        <x:v>0</x:v>
      </x:c>
      <x:c r="L4185" s="40" t="n">
        <x:f>ABS(K4185)</x:f>
        <x:v>0</x:v>
      </x:c>
      <x:c r="M4185" s="41" t="str">
        <x:v>lstm-soil-v1</x:v>
      </x:c>
    </x:row>
    <x:row r="4186">
      <x:c r="A4186" s="38" t="str">
        <x:v>7月30日现场数据</x:v>
      </x:c>
      <x:c r="B4186" s="39" t="str">
        <x:v>2026-08-04T04:40:00</x:v>
      </x:c>
      <x:c r="C4186" s="39" t="str">
        <x:v>2026-08-04T05:10:00</x:v>
      </x:c>
      <x:c r="D4186" s="47" t="n">
        <x:v>30</x:v>
      </x:c>
      <x:c r="E4186" s="40" t="n">
        <x:v>12.9</x:v>
      </x:c>
      <x:c r="F4186" s="40" t="n">
        <x:v>11.556133270263672</x:v>
      </x:c>
      <x:c r="G4186" s="40" t="n">
        <x:v>13</x:v>
      </x:c>
      <x:c r="H4186" s="40" t="n">
        <x:f>F4186-E4186</x:f>
        <x:v>-1.3438667297363285</x:v>
      </x:c>
      <x:c r="I4186" s="40" t="n">
        <x:f>ABS(H4186)</x:f>
        <x:v>1.3438667297363285</x:v>
      </x:c>
      <x:c r="J4186" s="40" t="n">
        <x:f>H4186^2</x:f>
        <x:v>1.805977787292214</x:v>
      </x:c>
      <x:c r="K4186" s="40" t="n">
        <x:f>G4186-E4186</x:f>
        <x:v>0.09999999999999964</x:v>
      </x:c>
      <x:c r="L4186" s="40" t="n">
        <x:f>ABS(K4186)</x:f>
        <x:v>0.09999999999999964</x:v>
      </x:c>
      <x:c r="M4186" s="41" t="str">
        <x:v>lstm-soil-v1</x:v>
      </x:c>
    </x:row>
    <x:row r="4187">
      <x:c r="A4187" s="38" t="str">
        <x:v>7月30日现场数据</x:v>
      </x:c>
      <x:c r="B4187" s="39" t="str">
        <x:v>2026-08-04T04:40:00</x:v>
      </x:c>
      <x:c r="C4187" s="39" t="str">
        <x:v>2026-08-04T05:40:00</x:v>
      </x:c>
      <x:c r="D4187" s="47" t="n">
        <x:v>60</x:v>
      </x:c>
      <x:c r="E4187" s="40" t="n">
        <x:v>13</x:v>
      </x:c>
      <x:c r="F4187" s="40" t="n">
        <x:v>13.13177490234375</x:v>
      </x:c>
      <x:c r="G4187" s="40" t="n">
        <x:v>13</x:v>
      </x:c>
      <x:c r="H4187" s="40" t="n">
        <x:f>F4187-E4187</x:f>
        <x:v>0.13177490234375</x:v>
      </x:c>
      <x:c r="I4187" s="40" t="n">
        <x:f>ABS(H4187)</x:f>
        <x:v>0.13177490234375</x:v>
      </x:c>
      <x:c r="J4187" s="40" t="n">
        <x:f>H4187^2</x:f>
        <x:v>0.01736462488770485</x:v>
      </x:c>
      <x:c r="K4187" s="40" t="n">
        <x:f>G4187-E4187</x:f>
        <x:v>0</x:v>
      </x:c>
      <x:c r="L4187" s="40" t="n">
        <x:f>ABS(K4187)</x:f>
        <x:v>0</x:v>
      </x:c>
      <x:c r="M4187" s="41" t="str">
        <x:v>lstm-soil-v1</x:v>
      </x:c>
    </x:row>
    <x:row r="4188">
      <x:c r="A4188" s="38" t="str">
        <x:v>7月30日现场数据</x:v>
      </x:c>
      <x:c r="B4188" s="39" t="str">
        <x:v>2026-08-04T04:45:00</x:v>
      </x:c>
      <x:c r="C4188" s="39" t="str">
        <x:v>2026-08-04T04:50:00</x:v>
      </x:c>
      <x:c r="D4188" s="47" t="n">
        <x:v>5</x:v>
      </x:c>
      <x:c r="E4188" s="40" t="n">
        <x:v>13</x:v>
      </x:c>
      <x:c r="F4188" s="40" t="n">
        <x:v>11.011093139648438</x:v>
      </x:c>
      <x:c r="G4188" s="40" t="n">
        <x:v>13</x:v>
      </x:c>
      <x:c r="H4188" s="40" t="n">
        <x:f>F4188-E4188</x:f>
        <x:v>-1.9889068603515625</x:v>
      </x:c>
      <x:c r="I4188" s="40" t="n">
        <x:f>ABS(H4188)</x:f>
        <x:v>1.9889068603515625</x:v>
      </x:c>
      <x:c r="J4188" s="40" t="n">
        <x:f>H4188^2</x:f>
        <x:v>3.9557504991535097</x:v>
      </x:c>
      <x:c r="K4188" s="40" t="n">
        <x:f>G4188-E4188</x:f>
        <x:v>0</x:v>
      </x:c>
      <x:c r="L4188" s="40" t="n">
        <x:f>ABS(K4188)</x:f>
        <x:v>0</x:v>
      </x:c>
      <x:c r="M4188" s="41" t="str">
        <x:v>lstm-soil-v1</x:v>
      </x:c>
    </x:row>
    <x:row r="4189">
      <x:c r="A4189" s="38" t="str">
        <x:v>7月30日现场数据</x:v>
      </x:c>
      <x:c r="B4189" s="39" t="str">
        <x:v>2026-08-04T04:45:00</x:v>
      </x:c>
      <x:c r="C4189" s="39" t="str">
        <x:v>2026-08-04T05:00:00</x:v>
      </x:c>
      <x:c r="D4189" s="47" t="n">
        <x:v>15</x:v>
      </x:c>
      <x:c r="E4189" s="40" t="n">
        <x:v>13</x:v>
      </x:c>
      <x:c r="F4189" s="40" t="n">
        <x:v>11.069221496582031</x:v>
      </x:c>
      <x:c r="G4189" s="40" t="n">
        <x:v>13</x:v>
      </x:c>
      <x:c r="H4189" s="40" t="n">
        <x:f>F4189-E4189</x:f>
        <x:v>-1.9307785034179688</x:v>
      </x:c>
      <x:c r="I4189" s="40" t="n">
        <x:f>ABS(H4189)</x:f>
        <x:v>1.9307785034179688</x:v>
      </x:c>
      <x:c r="J4189" s="40" t="n">
        <x:f>H4189^2</x:f>
        <x:v>3.727905629260931</x:v>
      </x:c>
      <x:c r="K4189" s="40" t="n">
        <x:f>G4189-E4189</x:f>
        <x:v>0</x:v>
      </x:c>
      <x:c r="L4189" s="40" t="n">
        <x:f>ABS(K4189)</x:f>
        <x:v>0</x:v>
      </x:c>
      <x:c r="M4189" s="41" t="str">
        <x:v>lstm-soil-v1</x:v>
      </x:c>
    </x:row>
    <x:row r="4190">
      <x:c r="A4190" s="38" t="str">
        <x:v>7月30日现场数据</x:v>
      </x:c>
      <x:c r="B4190" s="39" t="str">
        <x:v>2026-08-04T04:45:00</x:v>
      </x:c>
      <x:c r="C4190" s="39" t="str">
        <x:v>2026-08-04T05:15:00</x:v>
      </x:c>
      <x:c r="D4190" s="47" t="n">
        <x:v>30</x:v>
      </x:c>
      <x:c r="E4190" s="40" t="n">
        <x:v>13</x:v>
      </x:c>
      <x:c r="F4190" s="40" t="n">
        <x:v>11.55722427368164</x:v>
      </x:c>
      <x:c r="G4190" s="40" t="n">
        <x:v>13</x:v>
      </x:c>
      <x:c r="H4190" s="40" t="n">
        <x:f>F4190-E4190</x:f>
        <x:v>-1.4427757263183594</x:v>
      </x:c>
      <x:c r="I4190" s="40" t="n">
        <x:f>ABS(H4190)</x:f>
        <x:v>1.4427757263183594</x:v>
      </x:c>
      <x:c r="J4190" s="40" t="n">
        <x:f>H4190^2</x:f>
        <x:v>2.0816017964534694</x:v>
      </x:c>
      <x:c r="K4190" s="40" t="n">
        <x:f>G4190-E4190</x:f>
        <x:v>0</x:v>
      </x:c>
      <x:c r="L4190" s="40" t="n">
        <x:f>ABS(K4190)</x:f>
        <x:v>0</x:v>
      </x:c>
      <x:c r="M4190" s="41" t="str">
        <x:v>lstm-soil-v1</x:v>
      </x:c>
    </x:row>
    <x:row r="4191">
      <x:c r="A4191" s="38" t="str">
        <x:v>7月30日现场数据</x:v>
      </x:c>
      <x:c r="B4191" s="39" t="str">
        <x:v>2026-08-04T04:45:00</x:v>
      </x:c>
      <x:c r="C4191" s="39" t="str">
        <x:v>2026-08-04T05:45:00</x:v>
      </x:c>
      <x:c r="D4191" s="47" t="n">
        <x:v>60</x:v>
      </x:c>
      <x:c r="E4191" s="40" t="n">
        <x:v>13</x:v>
      </x:c>
      <x:c r="F4191" s="40" t="n">
        <x:v>13.133064270019531</x:v>
      </x:c>
      <x:c r="G4191" s="40" t="n">
        <x:v>13</x:v>
      </x:c>
      <x:c r="H4191" s="40" t="n">
        <x:f>F4191-E4191</x:f>
        <x:v>0.13306427001953125</x:v>
      </x:c>
      <x:c r="I4191" s="40" t="n">
        <x:f>ABS(H4191)</x:f>
        <x:v>0.13306427001953125</x:v>
      </x:c>
      <x:c r="J4191" s="40" t="n">
        <x:f>H4191^2</x:f>
        <x:v>0.017706099955830723</x:v>
      </x:c>
      <x:c r="K4191" s="40" t="n">
        <x:f>G4191-E4191</x:f>
        <x:v>0</x:v>
      </x:c>
      <x:c r="L4191" s="40" t="n">
        <x:f>ABS(K4191)</x:f>
        <x:v>0</x:v>
      </x:c>
      <x:c r="M4191" s="41" t="str">
        <x:v>lstm-soil-v1</x:v>
      </x:c>
    </x:row>
    <x:row r="4192">
      <x:c r="A4192" s="38" t="str">
        <x:v>7月30日现场数据</x:v>
      </x:c>
      <x:c r="B4192" s="39" t="str">
        <x:v>2026-08-04T04:50:00</x:v>
      </x:c>
      <x:c r="C4192" s="39" t="str">
        <x:v>2026-08-04T04:55:00</x:v>
      </x:c>
      <x:c r="D4192" s="47" t="n">
        <x:v>5</x:v>
      </x:c>
      <x:c r="E4192" s="40" t="n">
        <x:v>13</x:v>
      </x:c>
      <x:c r="F4192" s="40" t="n">
        <x:v>11.011608123779297</x:v>
      </x:c>
      <x:c r="G4192" s="40" t="n">
        <x:v>13</x:v>
      </x:c>
      <x:c r="H4192" s="40" t="n">
        <x:f>F4192-E4192</x:f>
        <x:v>-1.9883918762207031</x:v>
      </x:c>
      <x:c r="I4192" s="40" t="n">
        <x:f>ABS(H4192)</x:f>
        <x:v>1.9883918762207031</x:v>
      </x:c>
      <x:c r="J4192" s="40" t="n">
        <x:f>H4192^2</x:f>
        <x:v>3.953702253420488</x:v>
      </x:c>
      <x:c r="K4192" s="40" t="n">
        <x:f>G4192-E4192</x:f>
        <x:v>0</x:v>
      </x:c>
      <x:c r="L4192" s="40" t="n">
        <x:f>ABS(K4192)</x:f>
        <x:v>0</x:v>
      </x:c>
      <x:c r="M4192" s="41" t="str">
        <x:v>lstm-soil-v1</x:v>
      </x:c>
    </x:row>
    <x:row r="4193">
      <x:c r="A4193" s="38" t="str">
        <x:v>7月30日现场数据</x:v>
      </x:c>
      <x:c r="B4193" s="39" t="str">
        <x:v>2026-08-04T04:50:00</x:v>
      </x:c>
      <x:c r="C4193" s="39" t="str">
        <x:v>2026-08-04T05:05:00</x:v>
      </x:c>
      <x:c r="D4193" s="47" t="n">
        <x:v>15</x:v>
      </x:c>
      <x:c r="E4193" s="40" t="n">
        <x:v>12.9</x:v>
      </x:c>
      <x:c r="F4193" s="40" t="n">
        <x:v>11.069038391113281</x:v>
      </x:c>
      <x:c r="G4193" s="40" t="n">
        <x:v>13</x:v>
      </x:c>
      <x:c r="H4193" s="40" t="n">
        <x:f>F4193-E4193</x:f>
        <x:v>-1.830961608886719</x:v>
      </x:c>
      <x:c r="I4193" s="40" t="n">
        <x:f>ABS(H4193)</x:f>
        <x:v>1.830961608886719</x:v>
      </x:c>
      <x:c r="J4193" s="40" t="n">
        <x:f>H4193^2</x:f>
        <x:v>3.3524204132170428</x:v>
      </x:c>
      <x:c r="K4193" s="40" t="n">
        <x:f>G4193-E4193</x:f>
        <x:v>0.09999999999999964</x:v>
      </x:c>
      <x:c r="L4193" s="40" t="n">
        <x:f>ABS(K4193)</x:f>
        <x:v>0.09999999999999964</x:v>
      </x:c>
      <x:c r="M4193" s="41" t="str">
        <x:v>lstm-soil-v1</x:v>
      </x:c>
    </x:row>
    <x:row r="4194">
      <x:c r="A4194" s="38" t="str">
        <x:v>7月30日现场数据</x:v>
      </x:c>
      <x:c r="B4194" s="39" t="str">
        <x:v>2026-08-04T04:50:00</x:v>
      </x:c>
      <x:c r="C4194" s="39" t="str">
        <x:v>2026-08-04T05:20:00</x:v>
      </x:c>
      <x:c r="D4194" s="47" t="n">
        <x:v>30</x:v>
      </x:c>
      <x:c r="E4194" s="40" t="n">
        <x:v>13</x:v>
      </x:c>
      <x:c r="F4194" s="40" t="n">
        <x:v>11.558326721191406</x:v>
      </x:c>
      <x:c r="G4194" s="40" t="n">
        <x:v>13</x:v>
      </x:c>
      <x:c r="H4194" s="40" t="n">
        <x:f>F4194-E4194</x:f>
        <x:v>-1.4416732788085938</x:v>
      </x:c>
      <x:c r="I4194" s="40" t="n">
        <x:f>ABS(H4194)</x:f>
        <x:v>1.4416732788085938</x:v>
      </x:c>
      <x:c r="J4194" s="40" t="n">
        <x:f>H4194^2</x:f>
        <x:v>2.0784218428307213</x:v>
      </x:c>
      <x:c r="K4194" s="40" t="n">
        <x:f>G4194-E4194</x:f>
        <x:v>0</x:v>
      </x:c>
      <x:c r="L4194" s="40" t="n">
        <x:f>ABS(K4194)</x:f>
        <x:v>0</x:v>
      </x:c>
      <x:c r="M4194" s="41" t="str">
        <x:v>lstm-soil-v1</x:v>
      </x:c>
    </x:row>
    <x:row r="4195">
      <x:c r="A4195" s="38" t="str">
        <x:v>7月30日现场数据</x:v>
      </x:c>
      <x:c r="B4195" s="39" t="str">
        <x:v>2026-08-04T04:50:00</x:v>
      </x:c>
      <x:c r="C4195" s="39" t="str">
        <x:v>2026-08-04T05:50:00</x:v>
      </x:c>
      <x:c r="D4195" s="47" t="n">
        <x:v>60</x:v>
      </x:c>
      <x:c r="E4195" s="40" t="n">
        <x:v>13</x:v>
      </x:c>
      <x:c r="F4195" s="40" t="n">
        <x:v>13.134227752685547</x:v>
      </x:c>
      <x:c r="G4195" s="40" t="n">
        <x:v>13</x:v>
      </x:c>
      <x:c r="H4195" s="40" t="n">
        <x:f>F4195-E4195</x:f>
        <x:v>0.13422775268554688</x:v>
      </x:c>
      <x:c r="I4195" s="40" t="n">
        <x:f>ABS(H4195)</x:f>
        <x:v>0.13422775268554688</x:v>
      </x:c>
      <x:c r="J4195" s="40" t="n">
        <x:f>H4195^2</x:f>
        <x:v>0.018017089591012336</x:v>
      </x:c>
      <x:c r="K4195" s="40" t="n">
        <x:f>G4195-E4195</x:f>
        <x:v>0</x:v>
      </x:c>
      <x:c r="L4195" s="40" t="n">
        <x:f>ABS(K4195)</x:f>
        <x:v>0</x:v>
      </x:c>
      <x:c r="M4195" s="41" t="str">
        <x:v>lstm-soil-v1</x:v>
      </x:c>
    </x:row>
    <x:row r="4196">
      <x:c r="A4196" s="38" t="str">
        <x:v>7月30日现场数据</x:v>
      </x:c>
      <x:c r="B4196" s="39" t="str">
        <x:v>2026-08-04T04:55:00</x:v>
      </x:c>
      <x:c r="C4196" s="39" t="str">
        <x:v>2026-08-04T05:00:00</x:v>
      </x:c>
      <x:c r="D4196" s="47" t="n">
        <x:v>5</x:v>
      </x:c>
      <x:c r="E4196" s="40" t="n">
        <x:v>13</x:v>
      </x:c>
      <x:c r="F4196" s="40" t="n">
        <x:v>11.012012481689453</x:v>
      </x:c>
      <x:c r="G4196" s="40" t="n">
        <x:v>13</x:v>
      </x:c>
      <x:c r="H4196" s="40" t="n">
        <x:f>F4196-E4196</x:f>
        <x:v>-1.9879875183105469</x:v>
      </x:c>
      <x:c r="I4196" s="40" t="n">
        <x:f>ABS(H4196)</x:f>
        <x:v>1.9879875183105469</x:v>
      </x:c>
      <x:c r="J4196" s="40" t="n">
        <x:f>H4196^2</x:f>
        <x:v>3.952094372958527</x:v>
      </x:c>
      <x:c r="K4196" s="40" t="n">
        <x:f>G4196-E4196</x:f>
        <x:v>0</x:v>
      </x:c>
      <x:c r="L4196" s="40" t="n">
        <x:f>ABS(K4196)</x:f>
        <x:v>0</x:v>
      </x:c>
      <x:c r="M4196" s="41" t="str">
        <x:v>lstm-soil-v1</x:v>
      </x:c>
    </x:row>
    <x:row r="4197">
      <x:c r="A4197" s="38" t="str">
        <x:v>7月30日现场数据</x:v>
      </x:c>
      <x:c r="B4197" s="39" t="str">
        <x:v>2026-08-04T04:55:00</x:v>
      </x:c>
      <x:c r="C4197" s="39" t="str">
        <x:v>2026-08-04T05:10:00</x:v>
      </x:c>
      <x:c r="D4197" s="47" t="n">
        <x:v>15</x:v>
      </x:c>
      <x:c r="E4197" s="40" t="n">
        <x:v>12.9</x:v>
      </x:c>
      <x:c r="F4197" s="40" t="n">
        <x:v>11.068992614746094</x:v>
      </x:c>
      <x:c r="G4197" s="40" t="n">
        <x:v>13</x:v>
      </x:c>
      <x:c r="H4197" s="40" t="n">
        <x:f>F4197-E4197</x:f>
        <x:v>-1.8310073852539066</x:v>
      </x:c>
      <x:c r="I4197" s="40" t="n">
        <x:f>ABS(H4197)</x:f>
        <x:v>1.8310073852539066</x:v>
      </x:c>
      <x:c r="J4197" s="40" t="n">
        <x:f>H4197^2</x:f>
        <x:v>3.352588044854348</x:v>
      </x:c>
      <x:c r="K4197" s="40" t="n">
        <x:f>G4197-E4197</x:f>
        <x:v>0.09999999999999964</x:v>
      </x:c>
      <x:c r="L4197" s="40" t="n">
        <x:f>ABS(K4197)</x:f>
        <x:v>0.09999999999999964</x:v>
      </x:c>
      <x:c r="M4197" s="41" t="str">
        <x:v>lstm-soil-v1</x:v>
      </x:c>
    </x:row>
    <x:row r="4198">
      <x:c r="A4198" s="38" t="str">
        <x:v>7月30日现场数据</x:v>
      </x:c>
      <x:c r="B4198" s="39" t="str">
        <x:v>2026-08-04T04:55:00</x:v>
      </x:c>
      <x:c r="C4198" s="39" t="str">
        <x:v>2026-08-04T05:25:00</x:v>
      </x:c>
      <x:c r="D4198" s="47" t="n">
        <x:v>30</x:v>
      </x:c>
      <x:c r="E4198" s="40" t="n">
        <x:v>12.9</x:v>
      </x:c>
      <x:c r="F4198" s="40" t="n">
        <x:v>11.559249877929688</x:v>
      </x:c>
      <x:c r="G4198" s="40" t="n">
        <x:v>13</x:v>
      </x:c>
      <x:c r="H4198" s="40" t="n">
        <x:f>F4198-E4198</x:f>
        <x:v>-1.3407501220703129</x:v>
      </x:c>
      <x:c r="I4198" s="40" t="n">
        <x:f>ABS(H4198)</x:f>
        <x:v>1.3407501220703129</x:v>
      </x:c>
      <x:c r="J4198" s="40" t="n">
        <x:f>H4198^2</x:f>
        <x:v>1.7976108898315588</x:v>
      </x:c>
      <x:c r="K4198" s="40" t="n">
        <x:f>G4198-E4198</x:f>
        <x:v>0.09999999999999964</x:v>
      </x:c>
      <x:c r="L4198" s="40" t="n">
        <x:f>ABS(K4198)</x:f>
        <x:v>0.09999999999999964</x:v>
      </x:c>
      <x:c r="M4198" s="41" t="str">
        <x:v>lstm-soil-v1</x:v>
      </x:c>
    </x:row>
    <x:row r="4199">
      <x:c r="A4199" s="38" t="str">
        <x:v>7月30日现场数据</x:v>
      </x:c>
      <x:c r="B4199" s="39" t="str">
        <x:v>2026-08-04T04:55:00</x:v>
      </x:c>
      <x:c r="C4199" s="39" t="str">
        <x:v>2026-08-04T05:55:00</x:v>
      </x:c>
      <x:c r="D4199" s="47" t="n">
        <x:v>60</x:v>
      </x:c>
      <x:c r="E4199" s="40" t="n">
        <x:v>13</x:v>
      </x:c>
      <x:c r="F4199" s="40" t="n">
        <x:v>13.135135650634766</x:v>
      </x:c>
      <x:c r="G4199" s="40" t="n">
        <x:v>13</x:v>
      </x:c>
      <x:c r="H4199" s="40" t="n">
        <x:f>F4199-E4199</x:f>
        <x:v>0.13513565063476562</x:v>
      </x:c>
      <x:c r="I4199" s="40" t="n">
        <x:f>ABS(H4199)</x:f>
        <x:v>0.13513565063476562</x:v>
      </x:c>
      <x:c r="J4199" s="40" t="n">
        <x:f>H4199^2</x:f>
        <x:v>0.01826164407248143</x:v>
      </x:c>
      <x:c r="K4199" s="40" t="n">
        <x:f>G4199-E4199</x:f>
        <x:v>0</x:v>
      </x:c>
      <x:c r="L4199" s="40" t="n">
        <x:f>ABS(K4199)</x:f>
        <x:v>0</x:v>
      </x:c>
      <x:c r="M4199" s="41" t="str">
        <x:v>lstm-soil-v1</x:v>
      </x:c>
    </x:row>
    <x:row r="4200">
      <x:c r="A4200" s="38" t="str">
        <x:v>7月30日现场数据</x:v>
      </x:c>
      <x:c r="B4200" s="39" t="str">
        <x:v>2026-08-04T05:00:00</x:v>
      </x:c>
      <x:c r="C4200" s="39" t="str">
        <x:v>2026-08-04T05:05:00</x:v>
      </x:c>
      <x:c r="D4200" s="47" t="n">
        <x:v>5</x:v>
      </x:c>
      <x:c r="E4200" s="40" t="n">
        <x:v>12.9</x:v>
      </x:c>
      <x:c r="F4200" s="40" t="n">
        <x:v>11.011554718017578</x:v>
      </x:c>
      <x:c r="G4200" s="40" t="n">
        <x:v>13</x:v>
      </x:c>
      <x:c r="H4200" s="40" t="n">
        <x:f>F4200-E4200</x:f>
        <x:v>-1.8884452819824222</x:v>
      </x:c>
      <x:c r="I4200" s="40" t="n">
        <x:f>ABS(H4200)</x:f>
        <x:v>1.8884452819824222</x:v>
      </x:c>
      <x:c r="J4200" s="40" t="n">
        <x:f>H4200^2</x:f>
        <x:v>3.5662255830416703</x:v>
      </x:c>
      <x:c r="K4200" s="40" t="n">
        <x:f>G4200-E4200</x:f>
        <x:v>0.09999999999999964</x:v>
      </x:c>
      <x:c r="L4200" s="40" t="n">
        <x:f>ABS(K4200)</x:f>
        <x:v>0.09999999999999964</x:v>
      </x:c>
      <x:c r="M4200" s="41" t="str">
        <x:v>lstm-soil-v1</x:v>
      </x:c>
    </x:row>
    <x:row r="4201">
      <x:c r="A4201" s="38" t="str">
        <x:v>7月30日现场数据</x:v>
      </x:c>
      <x:c r="B4201" s="39" t="str">
        <x:v>2026-08-04T05:00:00</x:v>
      </x:c>
      <x:c r="C4201" s="39" t="str">
        <x:v>2026-08-04T05:15:00</x:v>
      </x:c>
      <x:c r="D4201" s="47" t="n">
        <x:v>15</x:v>
      </x:c>
      <x:c r="E4201" s="40" t="n">
        <x:v>13</x:v>
      </x:c>
      <x:c r="F4201" s="40" t="n">
        <x:v>11.06790542602539</x:v>
      </x:c>
      <x:c r="G4201" s="40" t="n">
        <x:v>13</x:v>
      </x:c>
      <x:c r="H4201" s="40" t="n">
        <x:f>F4201-E4201</x:f>
        <x:v>-1.9320945739746094</x:v>
      </x:c>
      <x:c r="I4201" s="40" t="n">
        <x:f>ABS(H4201)</x:f>
        <x:v>1.9320945739746094</x:v>
      </x:c>
      <x:c r="J4201" s="40" t="n">
        <x:f>H4201^2</x:f>
        <x:v>3.7329894427821273</x:v>
      </x:c>
      <x:c r="K4201" s="40" t="n">
        <x:f>G4201-E4201</x:f>
        <x:v>0</x:v>
      </x:c>
      <x:c r="L4201" s="40" t="n">
        <x:f>ABS(K4201)</x:f>
        <x:v>0</x:v>
      </x:c>
      <x:c r="M4201" s="41" t="str">
        <x:v>lstm-soil-v1</x:v>
      </x:c>
    </x:row>
    <x:row r="4202">
      <x:c r="A4202" s="38" t="str">
        <x:v>7月30日现场数据</x:v>
      </x:c>
      <x:c r="B4202" s="39" t="str">
        <x:v>2026-08-04T05:00:00</x:v>
      </x:c>
      <x:c r="C4202" s="39" t="str">
        <x:v>2026-08-04T05:30:00</x:v>
      </x:c>
      <x:c r="D4202" s="47" t="n">
        <x:v>30</x:v>
      </x:c>
      <x:c r="E4202" s="40" t="n">
        <x:v>13</x:v>
      </x:c>
      <x:c r="F4202" s="40" t="n">
        <x:v>11.55865478515625</x:v>
      </x:c>
      <x:c r="G4202" s="40" t="n">
        <x:v>13</x:v>
      </x:c>
      <x:c r="H4202" s="40" t="n">
        <x:f>F4202-E4202</x:f>
        <x:v>-1.44134521484375</x:v>
      </x:c>
      <x:c r="I4202" s="40" t="n">
        <x:f>ABS(H4202)</x:f>
        <x:v>1.44134521484375</x:v>
      </x:c>
      <x:c r="J4202" s="40" t="n">
        <x:f>H4202^2</x:f>
        <x:v>2.077476028352976</x:v>
      </x:c>
      <x:c r="K4202" s="40" t="n">
        <x:f>G4202-E4202</x:f>
        <x:v>0</x:v>
      </x:c>
      <x:c r="L4202" s="40" t="n">
        <x:f>ABS(K4202)</x:f>
        <x:v>0</x:v>
      </x:c>
      <x:c r="M4202" s="41" t="str">
        <x:v>lstm-soil-v1</x:v>
      </x:c>
    </x:row>
    <x:row r="4203">
      <x:c r="A4203" s="38" t="str">
        <x:v>7月30日现场数据</x:v>
      </x:c>
      <x:c r="B4203" s="39" t="str">
        <x:v>2026-08-04T05:00:00</x:v>
      </x:c>
      <x:c r="C4203" s="39" t="str">
        <x:v>2026-08-04T06:00:00</x:v>
      </x:c>
      <x:c r="D4203" s="47" t="n">
        <x:v>60</x:v>
      </x:c>
      <x:c r="E4203" s="40" t="n">
        <x:v>12.9</x:v>
      </x:c>
      <x:c r="F4203" s="40" t="n">
        <x:v>13.137344360351562</x:v>
      </x:c>
      <x:c r="G4203" s="40" t="n">
        <x:v>13</x:v>
      </x:c>
      <x:c r="H4203" s="40" t="n">
        <x:f>F4203-E4203</x:f>
        <x:v>0.23734436035156214</x:v>
      </x:c>
      <x:c r="I4203" s="40" t="n">
        <x:f>ABS(H4203)</x:f>
        <x:v>0.23734436035156214</x:v>
      </x:c>
      <x:c r="J4203" s="40" t="n">
        <x:f>H4203^2</x:f>
        <x:v>0.056332345390692186</x:v>
      </x:c>
      <x:c r="K4203" s="40" t="n">
        <x:f>G4203-E4203</x:f>
        <x:v>0.09999999999999964</x:v>
      </x:c>
      <x:c r="L4203" s="40" t="n">
        <x:f>ABS(K4203)</x:f>
        <x:v>0.09999999999999964</x:v>
      </x:c>
      <x:c r="M4203" s="41" t="str">
        <x:v>lstm-soil-v1</x:v>
      </x:c>
    </x:row>
    <x:row r="4204">
      <x:c r="A4204" s="38" t="str">
        <x:v>7月30日现场数据</x:v>
      </x:c>
      <x:c r="B4204" s="39" t="str">
        <x:v>2026-08-04T05:05:00</x:v>
      </x:c>
      <x:c r="C4204" s="39" t="str">
        <x:v>2026-08-04T05:10:00</x:v>
      </x:c>
      <x:c r="D4204" s="47" t="n">
        <x:v>5</x:v>
      </x:c>
      <x:c r="E4204" s="40" t="n">
        <x:v>12.9</x:v>
      </x:c>
      <x:c r="F4204" s="40" t="n">
        <x:v>10.900615692138672</x:v>
      </x:c>
      <x:c r="G4204" s="40" t="n">
        <x:v>12.9</x:v>
      </x:c>
      <x:c r="H4204" s="40" t="n">
        <x:f>F4204-E4204</x:f>
        <x:v>-1.9993843078613285</x:v>
      </x:c>
      <x:c r="I4204" s="40" t="n">
        <x:f>ABS(H4204)</x:f>
        <x:v>1.9993843078613285</x:v>
      </x:c>
      <x:c r="J4204" s="40" t="n">
        <x:f>H4204^2</x:f>
        <x:v>3.9975376105221234</x:v>
      </x:c>
      <x:c r="K4204" s="40" t="n">
        <x:f>G4204-E4204</x:f>
        <x:v>0</x:v>
      </x:c>
      <x:c r="L4204" s="40" t="n">
        <x:f>ABS(K4204)</x:f>
        <x:v>0</x:v>
      </x:c>
      <x:c r="M4204" s="41" t="str">
        <x:v>lstm-soil-v1</x:v>
      </x:c>
    </x:row>
    <x:row r="4205">
      <x:c r="A4205" s="38" t="str">
        <x:v>7月30日现场数据</x:v>
      </x:c>
      <x:c r="B4205" s="39" t="str">
        <x:v>2026-08-04T05:05:00</x:v>
      </x:c>
      <x:c r="C4205" s="39" t="str">
        <x:v>2026-08-04T05:20:00</x:v>
      </x:c>
      <x:c r="D4205" s="47" t="n">
        <x:v>15</x:v>
      </x:c>
      <x:c r="E4205" s="40" t="n">
        <x:v>13</x:v>
      </x:c>
      <x:c r="F4205" s="40" t="n">
        <x:v>10.957504272460938</x:v>
      </x:c>
      <x:c r="G4205" s="40" t="n">
        <x:v>12.9</x:v>
      </x:c>
      <x:c r="H4205" s="40" t="n">
        <x:f>F4205-E4205</x:f>
        <x:v>-2.0424957275390625</x:v>
      </x:c>
      <x:c r="I4205" s="40" t="n">
        <x:f>ABS(H4205)</x:f>
        <x:v>2.0424957275390625</x:v>
      </x:c>
      <x:c r="J4205" s="40" t="n">
        <x:f>H4205^2</x:f>
        <x:v>4.171788797015324</x:v>
      </x:c>
      <x:c r="K4205" s="40" t="n">
        <x:f>G4205-E4205</x:f>
        <x:v>-0.09999999999999964</x:v>
      </x:c>
      <x:c r="L4205" s="40" t="n">
        <x:f>ABS(K4205)</x:f>
        <x:v>0.09999999999999964</x:v>
      </x:c>
      <x:c r="M4205" s="41" t="str">
        <x:v>lstm-soil-v1</x:v>
      </x:c>
    </x:row>
    <x:row r="4206">
      <x:c r="A4206" s="38" t="str">
        <x:v>7月30日现场数据</x:v>
      </x:c>
      <x:c r="B4206" s="39" t="str">
        <x:v>2026-08-04T05:05:00</x:v>
      </x:c>
      <x:c r="C4206" s="39" t="str">
        <x:v>2026-08-04T05:35:00</x:v>
      </x:c>
      <x:c r="D4206" s="47" t="n">
        <x:v>30</x:v>
      </x:c>
      <x:c r="E4206" s="40" t="n">
        <x:v>13</x:v>
      </x:c>
      <x:c r="F4206" s="40" t="n">
        <x:v>11.44863510131836</x:v>
      </x:c>
      <x:c r="G4206" s="40" t="n">
        <x:v>12.9</x:v>
      </x:c>
      <x:c r="H4206" s="40" t="n">
        <x:f>F4206-E4206</x:f>
        <x:v>-1.5513648986816406</x:v>
      </x:c>
      <x:c r="I4206" s="40" t="n">
        <x:f>ABS(H4206)</x:f>
        <x:v>1.5513648986816406</x:v>
      </x:c>
      <x:c r="J4206" s="40" t="n">
        <x:f>H4206^2</x:f>
        <x:v>2.406733048861497</x:v>
      </x:c>
      <x:c r="K4206" s="40" t="n">
        <x:f>G4206-E4206</x:f>
        <x:v>-0.09999999999999964</x:v>
      </x:c>
      <x:c r="L4206" s="40" t="n">
        <x:f>ABS(K4206)</x:f>
        <x:v>0.09999999999999964</x:v>
      </x:c>
      <x:c r="M4206" s="41" t="str">
        <x:v>lstm-soil-v1</x:v>
      </x:c>
    </x:row>
    <x:row r="4207">
      <x:c r="A4207" s="38" t="str">
        <x:v>7月30日现场数据</x:v>
      </x:c>
      <x:c r="B4207" s="39" t="str">
        <x:v>2026-08-04T05:05:00</x:v>
      </x:c>
      <x:c r="C4207" s="39" t="str">
        <x:v>2026-08-04T06:05:00</x:v>
      </x:c>
      <x:c r="D4207" s="47" t="n">
        <x:v>60</x:v>
      </x:c>
      <x:c r="E4207" s="40" t="n">
        <x:v>13</x:v>
      </x:c>
      <x:c r="F4207" s="40" t="n">
        <x:v>13.028106689453125</x:v>
      </x:c>
      <x:c r="G4207" s="40" t="n">
        <x:v>12.9</x:v>
      </x:c>
      <x:c r="H4207" s="40" t="n">
        <x:f>F4207-E4207</x:f>
        <x:v>0.028106689453125</x:v>
      </x:c>
      <x:c r="I4207" s="40" t="n">
        <x:f>ABS(H4207)</x:f>
        <x:v>0.028106689453125</x:v>
      </x:c>
      <x:c r="J4207" s="40" t="n">
        <x:f>H4207^2</x:f>
        <x:v>0.0007899859920144081</x:v>
      </x:c>
      <x:c r="K4207" s="40" t="n">
        <x:f>G4207-E4207</x:f>
        <x:v>-0.09999999999999964</x:v>
      </x:c>
      <x:c r="L4207" s="40" t="n">
        <x:f>ABS(K4207)</x:f>
        <x:v>0.09999999999999964</x:v>
      </x:c>
      <x:c r="M4207" s="41" t="str">
        <x:v>lstm-soil-v1</x:v>
      </x:c>
    </x:row>
    <x:row r="4208">
      <x:c r="A4208" s="38" t="str">
        <x:v>7月30日现场数据</x:v>
      </x:c>
      <x:c r="B4208" s="39" t="str">
        <x:v>2026-08-04T05:10:00</x:v>
      </x:c>
      <x:c r="C4208" s="39" t="str">
        <x:v>2026-08-04T05:15:00</x:v>
      </x:c>
      <x:c r="D4208" s="47" t="n">
        <x:v>5</x:v>
      </x:c>
      <x:c r="E4208" s="40" t="n">
        <x:v>13</x:v>
      </x:c>
      <x:c r="F4208" s="40" t="n">
        <x:v>10.900272369384766</x:v>
      </x:c>
      <x:c r="G4208" s="40" t="n">
        <x:v>12.9</x:v>
      </x:c>
      <x:c r="H4208" s="40" t="n">
        <x:f>F4208-E4208</x:f>
        <x:v>-2.0997276306152344</x:v>
      </x:c>
      <x:c r="I4208" s="40" t="n">
        <x:f>ABS(H4208)</x:f>
        <x:v>2.0997276306152344</x:v>
      </x:c>
      <x:c r="J4208" s="40" t="n">
        <x:f>H4208^2</x:f>
        <x:v>4.408856122769066</x:v>
      </x:c>
      <x:c r="K4208" s="40" t="n">
        <x:f>G4208-E4208</x:f>
        <x:v>-0.09999999999999964</x:v>
      </x:c>
      <x:c r="L4208" s="40" t="n">
        <x:f>ABS(K4208)</x:f>
        <x:v>0.09999999999999964</x:v>
      </x:c>
      <x:c r="M4208" s="41" t="str">
        <x:v>lstm-soil-v1</x:v>
      </x:c>
    </x:row>
    <x:row r="4209">
      <x:c r="A4209" s="38" t="str">
        <x:v>7月30日现场数据</x:v>
      </x:c>
      <x:c r="B4209" s="39" t="str">
        <x:v>2026-08-04T05:10:00</x:v>
      </x:c>
      <x:c r="C4209" s="39" t="str">
        <x:v>2026-08-04T05:25:00</x:v>
      </x:c>
      <x:c r="D4209" s="47" t="n">
        <x:v>15</x:v>
      </x:c>
      <x:c r="E4209" s="40" t="n">
        <x:v>12.9</x:v>
      </x:c>
      <x:c r="F4209" s="40" t="n">
        <x:v>10.957630157470703</x:v>
      </x:c>
      <x:c r="G4209" s="40" t="n">
        <x:v>12.9</x:v>
      </x:c>
      <x:c r="H4209" s="40" t="n">
        <x:f>F4209-E4209</x:f>
        <x:v>-1.9423698425292972</x:v>
      </x:c>
      <x:c r="I4209" s="40" t="n">
        <x:f>ABS(H4209)</x:f>
        <x:v>1.9423698425292972</x:v>
      </x:c>
      <x:c r="J4209" s="40" t="n">
        <x:f>H4209^2</x:f>
        <x:v>3.772800605167287</x:v>
      </x:c>
      <x:c r="K4209" s="40" t="n">
        <x:f>G4209-E4209</x:f>
        <x:v>0</x:v>
      </x:c>
      <x:c r="L4209" s="40" t="n">
        <x:f>ABS(K4209)</x:f>
        <x:v>0</x:v>
      </x:c>
      <x:c r="M4209" s="41" t="str">
        <x:v>lstm-soil-v1</x:v>
      </x:c>
    </x:row>
    <x:row r="4210">
      <x:c r="A4210" s="38" t="str">
        <x:v>7月30日现场数据</x:v>
      </x:c>
      <x:c r="B4210" s="39" t="str">
        <x:v>2026-08-04T05:10:00</x:v>
      </x:c>
      <x:c r="C4210" s="39" t="str">
        <x:v>2026-08-04T05:40:00</x:v>
      </x:c>
      <x:c r="D4210" s="47" t="n">
        <x:v>30</x:v>
      </x:c>
      <x:c r="E4210" s="40" t="n">
        <x:v>13</x:v>
      </x:c>
      <x:c r="F4210" s="40" t="n">
        <x:v>11.44919204711914</x:v>
      </x:c>
      <x:c r="G4210" s="40" t="n">
        <x:v>12.9</x:v>
      </x:c>
      <x:c r="H4210" s="40" t="n">
        <x:f>F4210-E4210</x:f>
        <x:v>-1.5508079528808594</x:v>
      </x:c>
      <x:c r="I4210" s="40" t="n">
        <x:f>ABS(H4210)</x:f>
        <x:v>1.5508079528808594</x:v>
      </x:c>
      <x:c r="J4210" s="40" t="n">
        <x:f>H4210^2</x:f>
        <x:v>2.4050053067185218</x:v>
      </x:c>
      <x:c r="K4210" s="40" t="n">
        <x:f>G4210-E4210</x:f>
        <x:v>-0.09999999999999964</x:v>
      </x:c>
      <x:c r="L4210" s="40" t="n">
        <x:f>ABS(K4210)</x:f>
        <x:v>0.09999999999999964</x:v>
      </x:c>
      <x:c r="M4210" s="41" t="str">
        <x:v>lstm-soil-v1</x:v>
      </x:c>
    </x:row>
    <x:row r="4211">
      <x:c r="A4211" s="38" t="str">
        <x:v>7月30日现场数据</x:v>
      </x:c>
      <x:c r="B4211" s="39" t="str">
        <x:v>2026-08-04T05:10:00</x:v>
      </x:c>
      <x:c r="C4211" s="39" t="str">
        <x:v>2026-08-04T06:10:00</x:v>
      </x:c>
      <x:c r="D4211" s="47" t="n">
        <x:v>60</x:v>
      </x:c>
      <x:c r="E4211" s="40" t="n">
        <x:v>13</x:v>
      </x:c>
      <x:c r="F4211" s="40" t="n">
        <x:v>13.029254913330078</x:v>
      </x:c>
      <x:c r="G4211" s="40" t="n">
        <x:v>12.9</x:v>
      </x:c>
      <x:c r="H4211" s="40" t="n">
        <x:f>F4211-E4211</x:f>
        <x:v>0.029254913330078125</x:v>
      </x:c>
      <x:c r="I4211" s="40" t="n">
        <x:f>ABS(H4211)</x:f>
        <x:v>0.029254913330078125</x:v>
      </x:c>
      <x:c r="J4211" s="40" t="n">
        <x:f>H4211^2</x:f>
        <x:v>0.0008558499539503828</x:v>
      </x:c>
      <x:c r="K4211" s="40" t="n">
        <x:f>G4211-E4211</x:f>
        <x:v>-0.09999999999999964</x:v>
      </x:c>
      <x:c r="L4211" s="40" t="n">
        <x:f>ABS(K4211)</x:f>
        <x:v>0.09999999999999964</x:v>
      </x:c>
      <x:c r="M4211" s="41" t="str">
        <x:v>lstm-soil-v1</x:v>
      </x:c>
    </x:row>
    <x:row r="4212">
      <x:c r="A4212" s="38" t="str">
        <x:v>7月30日现场数据</x:v>
      </x:c>
      <x:c r="B4212" s="39" t="str">
        <x:v>2026-08-04T05:15:00</x:v>
      </x:c>
      <x:c r="C4212" s="39" t="str">
        <x:v>2026-08-04T05:20:00</x:v>
      </x:c>
      <x:c r="D4212" s="47" t="n">
        <x:v>5</x:v>
      </x:c>
      <x:c r="E4212" s="40" t="n">
        <x:v>13</x:v>
      </x:c>
      <x:c r="F4212" s="40" t="n">
        <x:v>11.010601043701172</x:v>
      </x:c>
      <x:c r="G4212" s="40" t="n">
        <x:v>13</x:v>
      </x:c>
      <x:c r="H4212" s="40" t="n">
        <x:f>F4212-E4212</x:f>
        <x:v>-1.9893989562988281</x:v>
      </x:c>
      <x:c r="I4212" s="40" t="n">
        <x:f>ABS(H4212)</x:f>
        <x:v>1.9893989562988281</x:v>
      </x:c>
      <x:c r="J4212" s="40" t="n">
        <x:f>H4212^2</x:f>
        <x:v>3.9577082073228667</x:v>
      </x:c>
      <x:c r="K4212" s="40" t="n">
        <x:f>G4212-E4212</x:f>
        <x:v>0</x:v>
      </x:c>
      <x:c r="L4212" s="40" t="n">
        <x:f>ABS(K4212)</x:f>
        <x:v>0</x:v>
      </x:c>
      <x:c r="M4212" s="41" t="str">
        <x:v>lstm-soil-v1</x:v>
      </x:c>
    </x:row>
    <x:row r="4213">
      <x:c r="A4213" s="38" t="str">
        <x:v>7月30日现场数据</x:v>
      </x:c>
      <x:c r="B4213" s="39" t="str">
        <x:v>2026-08-04T05:15:00</x:v>
      </x:c>
      <x:c r="C4213" s="39" t="str">
        <x:v>2026-08-04T05:30:00</x:v>
      </x:c>
      <x:c r="D4213" s="47" t="n">
        <x:v>15</x:v>
      </x:c>
      <x:c r="E4213" s="40" t="n">
        <x:v>13</x:v>
      </x:c>
      <x:c r="F4213" s="40" t="n">
        <x:v>11.068229675292969</x:v>
      </x:c>
      <x:c r="G4213" s="40" t="n">
        <x:v>13</x:v>
      </x:c>
      <x:c r="H4213" s="40" t="n">
        <x:f>F4213-E4213</x:f>
        <x:v>-1.9317703247070312</x:v>
      </x:c>
      <x:c r="I4213" s="40" t="n">
        <x:f>ABS(H4213)</x:f>
        <x:v>1.9317703247070312</x:v>
      </x:c>
      <x:c r="J4213" s="40" t="n">
        <x:f>H4213^2</x:f>
        <x:v>3.731736587418709</x:v>
      </x:c>
      <x:c r="K4213" s="40" t="n">
        <x:f>G4213-E4213</x:f>
        <x:v>0</x:v>
      </x:c>
      <x:c r="L4213" s="40" t="n">
        <x:f>ABS(K4213)</x:f>
        <x:v>0</x:v>
      </x:c>
      <x:c r="M4213" s="41" t="str">
        <x:v>lstm-soil-v1</x:v>
      </x:c>
    </x:row>
    <x:row r="4214">
      <x:c r="A4214" s="38" t="str">
        <x:v>7月30日现场数据</x:v>
      </x:c>
      <x:c r="B4214" s="39" t="str">
        <x:v>2026-08-04T05:15:00</x:v>
      </x:c>
      <x:c r="C4214" s="39" t="str">
        <x:v>2026-08-04T05:45:00</x:v>
      </x:c>
      <x:c r="D4214" s="47" t="n">
        <x:v>30</x:v>
      </x:c>
      <x:c r="E4214" s="40" t="n">
        <x:v>13</x:v>
      </x:c>
      <x:c r="F4214" s="40" t="n">
        <x:v>11.560211181640625</x:v>
      </x:c>
      <x:c r="G4214" s="40" t="n">
        <x:v>13</x:v>
      </x:c>
      <x:c r="H4214" s="40" t="n">
        <x:f>F4214-E4214</x:f>
        <x:v>-1.439788818359375</x:v>
      </x:c>
      <x:c r="I4214" s="40" t="n">
        <x:f>ABS(H4214)</x:f>
        <x:v>1.439788818359375</x:v>
      </x:c>
      <x:c r="J4214" s="40" t="n">
        <x:f>H4214^2</x:f>
        <x:v>2.0729918414726853</x:v>
      </x:c>
      <x:c r="K4214" s="40" t="n">
        <x:f>G4214-E4214</x:f>
        <x:v>0</x:v>
      </x:c>
      <x:c r="L4214" s="40" t="n">
        <x:f>ABS(K4214)</x:f>
        <x:v>0</x:v>
      </x:c>
      <x:c r="M4214" s="41" t="str">
        <x:v>lstm-soil-v1</x:v>
      </x:c>
    </x:row>
    <x:row r="4215">
      <x:c r="A4215" s="38" t="str">
        <x:v>7月30日现场数据</x:v>
      </x:c>
      <x:c r="B4215" s="39" t="str">
        <x:v>2026-08-04T05:15:00</x:v>
      </x:c>
      <x:c r="C4215" s="39" t="str">
        <x:v>2026-08-04T06:15:00</x:v>
      </x:c>
      <x:c r="D4215" s="47" t="n">
        <x:v>60</x:v>
      </x:c>
      <x:c r="E4215" s="40" t="n">
        <x:v>13</x:v>
      </x:c>
      <x:c r="F4215" s="40" t="n">
        <x:v>13.140617370605469</x:v>
      </x:c>
      <x:c r="G4215" s="40" t="n">
        <x:v>13</x:v>
      </x:c>
      <x:c r="H4215" s="40" t="n">
        <x:f>F4215-E4215</x:f>
        <x:v>0.14061737060546875</x:v>
      </x:c>
      <x:c r="I4215" s="40" t="n">
        <x:f>ABS(H4215)</x:f>
        <x:v>0.14061737060546875</x:v>
      </x:c>
      <x:c r="J4215" s="40" t="n">
        <x:f>H4215^2</x:f>
        <x:v>0.019773244915995747</x:v>
      </x:c>
      <x:c r="K4215" s="40" t="n">
        <x:f>G4215-E4215</x:f>
        <x:v>0</x:v>
      </x:c>
      <x:c r="L4215" s="40" t="n">
        <x:f>ABS(K4215)</x:f>
        <x:v>0</x:v>
      </x:c>
      <x:c r="M4215" s="41" t="str">
        <x:v>lstm-soil-v1</x:v>
      </x:c>
    </x:row>
    <x:row r="4216">
      <x:c r="A4216" s="38" t="str">
        <x:v>7月30日现场数据</x:v>
      </x:c>
      <x:c r="B4216" s="39" t="str">
        <x:v>2026-08-04T05:20:00</x:v>
      </x:c>
      <x:c r="C4216" s="39" t="str">
        <x:v>2026-08-04T05:25:00</x:v>
      </x:c>
      <x:c r="D4216" s="47" t="n">
        <x:v>5</x:v>
      </x:c>
      <x:c r="E4216" s="40" t="n">
        <x:v>12.9</x:v>
      </x:c>
      <x:c r="F4216" s="40" t="n">
        <x:v>11.011093139648438</x:v>
      </x:c>
      <x:c r="G4216" s="40" t="n">
        <x:v>13</x:v>
      </x:c>
      <x:c r="H4216" s="40" t="n">
        <x:f>F4216-E4216</x:f>
        <x:v>-1.8889068603515629</x:v>
      </x:c>
      <x:c r="I4216" s="40" t="n">
        <x:f>ABS(H4216)</x:f>
        <x:v>1.8889068603515629</x:v>
      </x:c>
      <x:c r="J4216" s="40" t="n">
        <x:f>H4216^2</x:f>
        <x:v>3.567969127083199</x:v>
      </x:c>
      <x:c r="K4216" s="40" t="n">
        <x:f>G4216-E4216</x:f>
        <x:v>0.09999999999999964</x:v>
      </x:c>
      <x:c r="L4216" s="40" t="n">
        <x:f>ABS(K4216)</x:f>
        <x:v>0.09999999999999964</x:v>
      </x:c>
      <x:c r="M4216" s="41" t="str">
        <x:v>lstm-soil-v1</x:v>
      </x:c>
    </x:row>
    <x:row r="4217">
      <x:c r="A4217" s="38" t="str">
        <x:v>7月30日现场数据</x:v>
      </x:c>
      <x:c r="B4217" s="39" t="str">
        <x:v>2026-08-04T05:20:00</x:v>
      </x:c>
      <x:c r="C4217" s="39" t="str">
        <x:v>2026-08-04T05:35:00</x:v>
      </x:c>
      <x:c r="D4217" s="47" t="n">
        <x:v>15</x:v>
      </x:c>
      <x:c r="E4217" s="40" t="n">
        <x:v>13</x:v>
      </x:c>
      <x:c r="F4217" s="40" t="n">
        <x:v>11.068782806396484</x:v>
      </x:c>
      <x:c r="G4217" s="40" t="n">
        <x:v>13</x:v>
      </x:c>
      <x:c r="H4217" s="40" t="n">
        <x:f>F4217-E4217</x:f>
        <x:v>-1.9312171936035156</x:v>
      </x:c>
      <x:c r="I4217" s="40" t="n">
        <x:f>ABS(H4217)</x:f>
        <x:v>1.9312171936035156</x:v>
      </x:c>
      <x:c r="J4217" s="40" t="n">
        <x:f>H4217^2</x:f>
        <x:v>3.7295998488698388</x:v>
      </x:c>
      <x:c r="K4217" s="40" t="n">
        <x:f>G4217-E4217</x:f>
        <x:v>0</x:v>
      </x:c>
      <x:c r="L4217" s="40" t="n">
        <x:f>ABS(K4217)</x:f>
        <x:v>0</x:v>
      </x:c>
      <x:c r="M4217" s="41" t="str">
        <x:v>lstm-soil-v1</x:v>
      </x:c>
    </x:row>
    <x:row r="4218">
      <x:c r="A4218" s="38" t="str">
        <x:v>7月30日现场数据</x:v>
      </x:c>
      <x:c r="B4218" s="39" t="str">
        <x:v>2026-08-04T05:20:00</x:v>
      </x:c>
      <x:c r="C4218" s="39" t="str">
        <x:v>2026-08-04T05:50:00</x:v>
      </x:c>
      <x:c r="D4218" s="47" t="n">
        <x:v>30</x:v>
      </x:c>
      <x:c r="E4218" s="40" t="n">
        <x:v>13</x:v>
      </x:c>
      <x:c r="F4218" s="40" t="n">
        <x:v>11.561134338378906</x:v>
      </x:c>
      <x:c r="G4218" s="40" t="n">
        <x:v>13</x:v>
      </x:c>
      <x:c r="H4218" s="40" t="n">
        <x:f>F4218-E4218</x:f>
        <x:v>-1.4388656616210938</x:v>
      </x:c>
      <x:c r="I4218" s="40" t="n">
        <x:f>ABS(H4218)</x:f>
        <x:v>1.4388656616210938</x:v>
      </x:c>
      <x:c r="J4218" s="40" t="n">
        <x:f>H4218^2</x:f>
        <x:v>2.070334392192308</x:v>
      </x:c>
      <x:c r="K4218" s="40" t="n">
        <x:f>G4218-E4218</x:f>
        <x:v>0</x:v>
      </x:c>
      <x:c r="L4218" s="40" t="n">
        <x:f>ABS(K4218)</x:f>
        <x:v>0</x:v>
      </x:c>
      <x:c r="M4218" s="41" t="str">
        <x:v>lstm-soil-v1</x:v>
      </x:c>
    </x:row>
    <x:row r="4219">
      <x:c r="A4219" s="38" t="str">
        <x:v>7月30日现场数据</x:v>
      </x:c>
      <x:c r="B4219" s="39" t="str">
        <x:v>2026-08-04T05:20:00</x:v>
      </x:c>
      <x:c r="C4219" s="39" t="str">
        <x:v>2026-08-04T06:20:00</x:v>
      </x:c>
      <x:c r="D4219" s="47" t="n">
        <x:v>60</x:v>
      </x:c>
      <x:c r="E4219" s="40" t="n">
        <x:v>13</x:v>
      </x:c>
      <x:c r="F4219" s="40" t="n">
        <x:v>13.141792297363281</x:v>
      </x:c>
      <x:c r="G4219" s="40" t="n">
        <x:v>13</x:v>
      </x:c>
      <x:c r="H4219" s="40" t="n">
        <x:f>F4219-E4219</x:f>
        <x:v>0.14179229736328125</x:v>
      </x:c>
      <x:c r="I4219" s="40" t="n">
        <x:f>ABS(H4219)</x:f>
        <x:v>0.14179229736328125</x:v>
      </x:c>
      <x:c r="J4219" s="40" t="n">
        <x:f>H4219^2</x:f>
        <x:v>0.020105055591557175</x:v>
      </x:c>
      <x:c r="K4219" s="40" t="n">
        <x:f>G4219-E4219</x:f>
        <x:v>0</x:v>
      </x:c>
      <x:c r="L4219" s="40" t="n">
        <x:f>ABS(K4219)</x:f>
        <x:v>0</x:v>
      </x:c>
      <x:c r="M4219" s="41" t="str">
        <x:v>lstm-soil-v1</x:v>
      </x:c>
    </x:row>
    <x:row r="4220">
      <x:c r="A4220" s="38" t="str">
        <x:v>7月30日现场数据</x:v>
      </x:c>
      <x:c r="B4220" s="39" t="str">
        <x:v>2026-08-04T05:25:00</x:v>
      </x:c>
      <x:c r="C4220" s="39" t="str">
        <x:v>2026-08-04T05:30:00</x:v>
      </x:c>
      <x:c r="D4220" s="47" t="n">
        <x:v>5</x:v>
      </x:c>
      <x:c r="E4220" s="40" t="n">
        <x:v>13</x:v>
      </x:c>
      <x:c r="F4220" s="40" t="n">
        <x:v>10.901290893554688</x:v>
      </x:c>
      <x:c r="G4220" s="40" t="n">
        <x:v>12.9</x:v>
      </x:c>
      <x:c r="H4220" s="40" t="n">
        <x:f>F4220-E4220</x:f>
        <x:v>-2.0987091064453125</x:v>
      </x:c>
      <x:c r="I4220" s="40" t="n">
        <x:f>ABS(H4220)</x:f>
        <x:v>2.0987091064453125</x:v>
      </x:c>
      <x:c r="J4220" s="40" t="n">
        <x:f>H4220^2</x:f>
        <x:v>4.404579913476482</x:v>
      </x:c>
      <x:c r="K4220" s="40" t="n">
        <x:f>G4220-E4220</x:f>
        <x:v>-0.09999999999999964</x:v>
      </x:c>
      <x:c r="L4220" s="40" t="n">
        <x:f>ABS(K4220)</x:f>
        <x:v>0.09999999999999964</x:v>
      </x:c>
      <x:c r="M4220" s="41" t="str">
        <x:v>lstm-soil-v1</x:v>
      </x:c>
    </x:row>
    <x:row r="4221">
      <x:c r="A4221" s="38" t="str">
        <x:v>7月30日现场数据</x:v>
      </x:c>
      <x:c r="B4221" s="39" t="str">
        <x:v>2026-08-04T05:25:00</x:v>
      </x:c>
      <x:c r="C4221" s="39" t="str">
        <x:v>2026-08-04T05:40:00</x:v>
      </x:c>
      <x:c r="D4221" s="47" t="n">
        <x:v>15</x:v>
      </x:c>
      <x:c r="E4221" s="40" t="n">
        <x:v>13</x:v>
      </x:c>
      <x:c r="F4221" s="40" t="n">
        <x:v>10.959064483642578</x:v>
      </x:c>
      <x:c r="G4221" s="40" t="n">
        <x:v>12.9</x:v>
      </x:c>
      <x:c r="H4221" s="40" t="n">
        <x:f>F4221-E4221</x:f>
        <x:v>-2.040935516357422</x:v>
      </x:c>
      <x:c r="I4221" s="40" t="n">
        <x:f>ABS(H4221)</x:f>
        <x:v>2.040935516357422</x:v>
      </x:c>
      <x:c r="J4221" s="40" t="n">
        <x:f>H4221^2</x:f>
        <x:v>4.165417781929136</x:v>
      </x:c>
      <x:c r="K4221" s="40" t="n">
        <x:f>G4221-E4221</x:f>
        <x:v>-0.09999999999999964</x:v>
      </x:c>
      <x:c r="L4221" s="40" t="n">
        <x:f>ABS(K4221)</x:f>
        <x:v>0.09999999999999964</x:v>
      </x:c>
      <x:c r="M4221" s="41" t="str">
        <x:v>lstm-soil-v1</x:v>
      </x:c>
    </x:row>
    <x:row r="4222">
      <x:c r="A4222" s="38" t="str">
        <x:v>7月30日现场数据</x:v>
      </x:c>
      <x:c r="B4222" s="39" t="str">
        <x:v>2026-08-04T05:25:00</x:v>
      </x:c>
      <x:c r="C4222" s="39" t="str">
        <x:v>2026-08-04T05:55:00</x:v>
      </x:c>
      <x:c r="D4222" s="47" t="n">
        <x:v>30</x:v>
      </x:c>
      <x:c r="E4222" s="40" t="n">
        <x:v>13</x:v>
      </x:c>
      <x:c r="F4222" s="40" t="n">
        <x:v>11.451663970947266</x:v>
      </x:c>
      <x:c r="G4222" s="40" t="n">
        <x:v>12.9</x:v>
      </x:c>
      <x:c r="H4222" s="40" t="n">
        <x:f>F4222-E4222</x:f>
        <x:v>-1.5483360290527344</x:v>
      </x:c>
      <x:c r="I4222" s="40" t="n">
        <x:f>ABS(H4222)</x:f>
        <x:v>1.5483360290527344</x:v>
      </x:c>
      <x:c r="J4222" s="40" t="n">
        <x:f>H4222^2</x:f>
        <x:v>2.39734445886279</x:v>
      </x:c>
      <x:c r="K4222" s="40" t="n">
        <x:f>G4222-E4222</x:f>
        <x:v>-0.09999999999999964</x:v>
      </x:c>
      <x:c r="L4222" s="40" t="n">
        <x:f>ABS(K4222)</x:f>
        <x:v>0.09999999999999964</x:v>
      </x:c>
      <x:c r="M4222" s="41" t="str">
        <x:v>lstm-soil-v1</x:v>
      </x:c>
    </x:row>
    <x:row r="4223">
      <x:c r="A4223" s="38" t="str">
        <x:v>7月30日现场数据</x:v>
      </x:c>
      <x:c r="B4223" s="39" t="str">
        <x:v>2026-08-04T05:25:00</x:v>
      </x:c>
      <x:c r="C4223" s="39" t="str">
        <x:v>2026-08-04T06:25:00</x:v>
      </x:c>
      <x:c r="D4223" s="47" t="n">
        <x:v>60</x:v>
      </x:c>
      <x:c r="E4223" s="40" t="n">
        <x:v>13</x:v>
      </x:c>
      <x:c r="F4223" s="40" t="n">
        <x:v>13.03238296508789</x:v>
      </x:c>
      <x:c r="G4223" s="40" t="n">
        <x:v>12.9</x:v>
      </x:c>
      <x:c r="H4223" s="40" t="n">
        <x:f>F4223-E4223</x:f>
        <x:v>0.032382965087890625</x:v>
      </x:c>
      <x:c r="I4223" s="40" t="n">
        <x:f>ABS(H4223)</x:f>
        <x:v>0.032382965087890625</x:v>
      </x:c>
      <x:c r="J4223" s="40" t="n">
        <x:f>H4223^2</x:f>
        <x:v>0.001048656427883543</x:v>
      </x:c>
      <x:c r="K4223" s="40" t="n">
        <x:f>G4223-E4223</x:f>
        <x:v>-0.09999999999999964</x:v>
      </x:c>
      <x:c r="L4223" s="40" t="n">
        <x:f>ABS(K4223)</x:f>
        <x:v>0.09999999999999964</x:v>
      </x:c>
      <x:c r="M4223" s="41" t="str">
        <x:v>lstm-soil-v1</x:v>
      </x:c>
    </x:row>
    <x:row r="4224">
      <x:c r="A4224" s="38" t="str">
        <x:v>7月30日现场数据</x:v>
      </x:c>
      <x:c r="B4224" s="39" t="str">
        <x:v>2026-08-04T05:30:00</x:v>
      </x:c>
      <x:c r="C4224" s="39" t="str">
        <x:v>2026-08-04T05:35:00</x:v>
      </x:c>
      <x:c r="D4224" s="47" t="n">
        <x:v>5</x:v>
      </x:c>
      <x:c r="E4224" s="40" t="n">
        <x:v>13</x:v>
      </x:c>
      <x:c r="F4224" s="40" t="n">
        <x:v>11.011817932128906</x:v>
      </x:c>
      <x:c r="G4224" s="40" t="n">
        <x:v>13</x:v>
      </x:c>
      <x:c r="H4224" s="40" t="n">
        <x:f>F4224-E4224</x:f>
        <x:v>-1.9881820678710938</x:v>
      </x:c>
      <x:c r="I4224" s="40" t="n">
        <x:f>ABS(H4224)</x:f>
        <x:v>1.9881820678710938</x:v>
      </x:c>
      <x:c r="J4224" s="40" t="n">
        <x:f>H4224^2</x:f>
        <x:v>3.9528679350041784</x:v>
      </x:c>
      <x:c r="K4224" s="40" t="n">
        <x:f>G4224-E4224</x:f>
        <x:v>0</x:v>
      </x:c>
      <x:c r="L4224" s="40" t="n">
        <x:f>ABS(K4224)</x:f>
        <x:v>0</x:v>
      </x:c>
      <x:c r="M4224" s="41" t="str">
        <x:v>lstm-soil-v1</x:v>
      </x:c>
    </x:row>
    <x:row r="4225">
      <x:c r="A4225" s="38" t="str">
        <x:v>7月30日现场数据</x:v>
      </x:c>
      <x:c r="B4225" s="39" t="str">
        <x:v>2026-08-04T05:30:00</x:v>
      </x:c>
      <x:c r="C4225" s="39" t="str">
        <x:v>2026-08-04T05:45:00</x:v>
      </x:c>
      <x:c r="D4225" s="47" t="n">
        <x:v>15</x:v>
      </x:c>
      <x:c r="E4225" s="40" t="n">
        <x:v>13</x:v>
      </x:c>
      <x:c r="F4225" s="40" t="n">
        <x:v>11.06949234008789</x:v>
      </x:c>
      <x:c r="G4225" s="40" t="n">
        <x:v>13</x:v>
      </x:c>
      <x:c r="H4225" s="40" t="n">
        <x:f>F4225-E4225</x:f>
        <x:v>-1.9305076599121094</x:v>
      </x:c>
      <x:c r="I4225" s="40" t="n">
        <x:f>ABS(H4225)</x:f>
        <x:v>1.9305076599121094</x:v>
      </x:c>
      <x:c r="J4225" s="40" t="n">
        <x:f>H4225^2</x:f>
        <x:v>3.7268598249793286</x:v>
      </x:c>
      <x:c r="K4225" s="40" t="n">
        <x:f>G4225-E4225</x:f>
        <x:v>0</x:v>
      </x:c>
      <x:c r="L4225" s="40" t="n">
        <x:f>ABS(K4225)</x:f>
        <x:v>0</x:v>
      </x:c>
      <x:c r="M4225" s="41" t="str">
        <x:v>lstm-soil-v1</x:v>
      </x:c>
    </x:row>
    <x:row r="4226">
      <x:c r="A4226" s="38" t="str">
        <x:v>7月30日现场数据</x:v>
      </x:c>
      <x:c r="B4226" s="39" t="str">
        <x:v>2026-08-04T05:30:00</x:v>
      </x:c>
      <x:c r="C4226" s="39" t="str">
        <x:v>2026-08-04T06:00:00</x:v>
      </x:c>
      <x:c r="D4226" s="47" t="n">
        <x:v>30</x:v>
      </x:c>
      <x:c r="E4226" s="40" t="n">
        <x:v>12.9</x:v>
      </x:c>
      <x:c r="F4226" s="40" t="n">
        <x:v>11.5623779296875</x:v>
      </x:c>
      <x:c r="G4226" s="40" t="n">
        <x:v>13</x:v>
      </x:c>
      <x:c r="H4226" s="40" t="n">
        <x:f>F4226-E4226</x:f>
        <x:v>-1.3376220703125004</x:v>
      </x:c>
      <x:c r="I4226" s="40" t="n">
        <x:f>ABS(H4226)</x:f>
        <x:v>1.3376220703125004</x:v>
      </x:c>
      <x:c r="J4226" s="40" t="n">
        <x:f>H4226^2</x:f>
        <x:v>1.7892328029870996</x:v>
      </x:c>
      <x:c r="K4226" s="40" t="n">
        <x:f>G4226-E4226</x:f>
        <x:v>0.09999999999999964</x:v>
      </x:c>
      <x:c r="L4226" s="40" t="n">
        <x:f>ABS(K4226)</x:f>
        <x:v>0.09999999999999964</x:v>
      </x:c>
      <x:c r="M4226" s="41" t="str">
        <x:v>lstm-soil-v1</x:v>
      </x:c>
    </x:row>
    <x:row r="4227">
      <x:c r="A4227" s="38" t="str">
        <x:v>7月30日现场数据</x:v>
      </x:c>
      <x:c r="B4227" s="39" t="str">
        <x:v>2026-08-04T05:30:00</x:v>
      </x:c>
      <x:c r="C4227" s="39" t="str">
        <x:v>2026-08-04T06:30:00</x:v>
      </x:c>
      <x:c r="D4227" s="47" t="n">
        <x:v>60</x:v>
      </x:c>
      <x:c r="E4227" s="40" t="n">
        <x:v>13</x:v>
      </x:c>
      <x:c r="F4227" s="40" t="n">
        <x:v>13.143245697021484</x:v>
      </x:c>
      <x:c r="G4227" s="40" t="n">
        <x:v>13</x:v>
      </x:c>
      <x:c r="H4227" s="40" t="n">
        <x:f>F4227-E4227</x:f>
        <x:v>0.14324569702148438</x:v>
      </x:c>
      <x:c r="I4227" s="40" t="n">
        <x:f>ABS(H4227)</x:f>
        <x:v>0.14324569702148438</x:v>
      </x:c>
      <x:c r="J4227" s="40" t="n">
        <x:f>H4227^2</x:f>
        <x:v>0.020519329715170898</x:v>
      </x:c>
      <x:c r="K4227" s="40" t="n">
        <x:f>G4227-E4227</x:f>
        <x:v>0</x:v>
      </x:c>
      <x:c r="L4227" s="40" t="n">
        <x:f>ABS(K4227)</x:f>
        <x:v>0</x:v>
      </x:c>
      <x:c r="M4227" s="41" t="str">
        <x:v>lstm-soil-v1</x:v>
      </x:c>
    </x:row>
    <x:row r="4228">
      <x:c r="A4228" s="38" t="str">
        <x:v>7月30日现场数据</x:v>
      </x:c>
      <x:c r="B4228" s="39" t="str">
        <x:v>2026-08-04T05:35:00</x:v>
      </x:c>
      <x:c r="C4228" s="39" t="str">
        <x:v>2026-08-04T05:40:00</x:v>
      </x:c>
      <x:c r="D4228" s="47" t="n">
        <x:v>5</x:v>
      </x:c>
      <x:c r="E4228" s="40" t="n">
        <x:v>13</x:v>
      </x:c>
      <x:c r="F4228" s="40" t="n">
        <x:v>11.012222290039062</x:v>
      </x:c>
      <x:c r="G4228" s="40" t="n">
        <x:v>13</x:v>
      </x:c>
      <x:c r="H4228" s="40" t="n">
        <x:f>F4228-E4228</x:f>
        <x:v>-1.9877777099609375</x:v>
      </x:c>
      <x:c r="I4228" s="40" t="n">
        <x:f>ABS(H4228)</x:f>
        <x:v>1.9877777099609375</x:v>
      </x:c>
      <x:c r="J4228" s="40" t="n">
        <x:f>H4228^2</x:f>
        <x:v>3.951260224217549</x:v>
      </x:c>
      <x:c r="K4228" s="40" t="n">
        <x:f>G4228-E4228</x:f>
        <x:v>0</x:v>
      </x:c>
      <x:c r="L4228" s="40" t="n">
        <x:f>ABS(K4228)</x:f>
        <x:v>0</x:v>
      </x:c>
      <x:c r="M4228" s="41" t="str">
        <x:v>lstm-soil-v1</x:v>
      </x:c>
    </x:row>
    <x:row r="4229">
      <x:c r="A4229" s="38" t="str">
        <x:v>7月30日现场数据</x:v>
      </x:c>
      <x:c r="B4229" s="39" t="str">
        <x:v>2026-08-04T05:35:00</x:v>
      </x:c>
      <x:c r="C4229" s="39" t="str">
        <x:v>2026-08-04T05:50:00</x:v>
      </x:c>
      <x:c r="D4229" s="47" t="n">
        <x:v>15</x:v>
      </x:c>
      <x:c r="E4229" s="40" t="n">
        <x:v>13</x:v>
      </x:c>
      <x:c r="F4229" s="40" t="n">
        <x:v>11.069869995117188</x:v>
      </x:c>
      <x:c r="G4229" s="40" t="n">
        <x:v>13</x:v>
      </x:c>
      <x:c r="H4229" s="40" t="n">
        <x:f>F4229-E4229</x:f>
        <x:v>-1.9301300048828125</x:v>
      </x:c>
      <x:c r="I4229" s="40" t="n">
        <x:f>ABS(H4229)</x:f>
        <x:v>1.9301300048828125</x:v>
      </x:c>
      <x:c r="J4229" s="40" t="n">
        <x:f>H4229^2</x:f>
        <x:v>3.725401835748926</x:v>
      </x:c>
      <x:c r="K4229" s="40" t="n">
        <x:f>G4229-E4229</x:f>
        <x:v>0</x:v>
      </x:c>
      <x:c r="L4229" s="40" t="n">
        <x:f>ABS(K4229)</x:f>
        <x:v>0</x:v>
      </x:c>
      <x:c r="M4229" s="41" t="str">
        <x:v>lstm-soil-v1</x:v>
      </x:c>
    </x:row>
    <x:row r="4230">
      <x:c r="A4230" s="38" t="str">
        <x:v>7月30日现场数据</x:v>
      </x:c>
      <x:c r="B4230" s="39" t="str">
        <x:v>2026-08-04T05:35:00</x:v>
      </x:c>
      <x:c r="C4230" s="39" t="str">
        <x:v>2026-08-04T06:05:00</x:v>
      </x:c>
      <x:c r="D4230" s="47" t="n">
        <x:v>30</x:v>
      </x:c>
      <x:c r="E4230" s="40" t="n">
        <x:v>13</x:v>
      </x:c>
      <x:c r="F4230" s="40" t="n">
        <x:v>11.56292724609375</x:v>
      </x:c>
      <x:c r="G4230" s="40" t="n">
        <x:v>13</x:v>
      </x:c>
      <x:c r="H4230" s="40" t="n">
        <x:f>F4230-E4230</x:f>
        <x:v>-1.43707275390625</x:v>
      </x:c>
      <x:c r="I4230" s="40" t="n">
        <x:f>ABS(H4230)</x:f>
        <x:v>1.43707275390625</x:v>
      </x:c>
      <x:c r="J4230" s="40" t="n">
        <x:f>H4230^2</x:f>
        <x:v>2.0651781000196934</x:v>
      </x:c>
      <x:c r="K4230" s="40" t="n">
        <x:f>G4230-E4230</x:f>
        <x:v>0</x:v>
      </x:c>
      <x:c r="L4230" s="40" t="n">
        <x:f>ABS(K4230)</x:f>
        <x:v>0</x:v>
      </x:c>
      <x:c r="M4230" s="41" t="str">
        <x:v>lstm-soil-v1</x:v>
      </x:c>
    </x:row>
    <x:row r="4231">
      <x:c r="A4231" s="38" t="str">
        <x:v>7月30日现场数据</x:v>
      </x:c>
      <x:c r="B4231" s="39" t="str">
        <x:v>2026-08-04T05:35:00</x:v>
      </x:c>
      <x:c r="C4231" s="39" t="str">
        <x:v>2026-08-04T06:35:00</x:v>
      </x:c>
      <x:c r="D4231" s="47" t="n">
        <x:v>60</x:v>
      </x:c>
      <x:c r="E4231" s="40" t="n">
        <x:v>13</x:v>
      </x:c>
      <x:c r="F4231" s="40" t="n">
        <x:v>13.143783569335938</x:v>
      </x:c>
      <x:c r="G4231" s="40" t="n">
        <x:v>13</x:v>
      </x:c>
      <x:c r="H4231" s="40" t="n">
        <x:f>F4231-E4231</x:f>
        <x:v>0.1437835693359375</x:v>
      </x:c>
      <x:c r="I4231" s="40" t="n">
        <x:f>ABS(H4231)</x:f>
        <x:v>0.1437835693359375</x:v>
      </x:c>
      <x:c r="J4231" s="40" t="n">
        <x:f>H4231^2</x:f>
        <x:v>0.020673714810982347</x:v>
      </x:c>
      <x:c r="K4231" s="40" t="n">
        <x:f>G4231-E4231</x:f>
        <x:v>0</x:v>
      </x:c>
      <x:c r="L4231" s="40" t="n">
        <x:f>ABS(K4231)</x:f>
        <x:v>0</x:v>
      </x:c>
      <x:c r="M4231" s="41" t="str">
        <x:v>lstm-soil-v1</x:v>
      </x:c>
    </x:row>
    <x:row r="4232">
      <x:c r="A4232" s="38" t="str">
        <x:v>7月30日现场数据</x:v>
      </x:c>
      <x:c r="B4232" s="39" t="str">
        <x:v>2026-08-04T05:40:00</x:v>
      </x:c>
      <x:c r="C4232" s="39" t="str">
        <x:v>2026-08-04T05:45:00</x:v>
      </x:c>
      <x:c r="D4232" s="47" t="n">
        <x:v>5</x:v>
      </x:c>
      <x:c r="E4232" s="40" t="n">
        <x:v>13</x:v>
      </x:c>
      <x:c r="F4232" s="40" t="n">
        <x:v>11.01251220703125</x:v>
      </x:c>
      <x:c r="G4232" s="40" t="n">
        <x:v>13</x:v>
      </x:c>
      <x:c r="H4232" s="40" t="n">
        <x:f>F4232-E4232</x:f>
        <x:v>-1.98748779296875</x:v>
      </x:c>
      <x:c r="I4232" s="40" t="n">
        <x:f>ABS(H4232)</x:f>
        <x:v>1.98748779296875</x:v>
      </x:c>
      <x:c r="J4232" s="40" t="n">
        <x:f>H4232^2</x:f>
        <x:v>3.950107727199793</x:v>
      </x:c>
      <x:c r="K4232" s="40" t="n">
        <x:f>G4232-E4232</x:f>
        <x:v>0</x:v>
      </x:c>
      <x:c r="L4232" s="40" t="n">
        <x:f>ABS(K4232)</x:f>
        <x:v>0</x:v>
      </x:c>
      <x:c r="M4232" s="41" t="str">
        <x:v>lstm-soil-v1</x:v>
      </x:c>
    </x:row>
    <x:row r="4233">
      <x:c r="A4233" s="38" t="str">
        <x:v>7月30日现场数据</x:v>
      </x:c>
      <x:c r="B4233" s="39" t="str">
        <x:v>2026-08-04T05:40:00</x:v>
      </x:c>
      <x:c r="C4233" s="39" t="str">
        <x:v>2026-08-04T05:55:00</x:v>
      </x:c>
      <x:c r="D4233" s="47" t="n">
        <x:v>15</x:v>
      </x:c>
      <x:c r="E4233" s="40" t="n">
        <x:v>13</x:v>
      </x:c>
      <x:c r="F4233" s="40" t="n">
        <x:v>11.070220947265625</x:v>
      </x:c>
      <x:c r="G4233" s="40" t="n">
        <x:v>13</x:v>
      </x:c>
      <x:c r="H4233" s="40" t="n">
        <x:f>F4233-E4233</x:f>
        <x:v>-1.929779052734375</x:v>
      </x:c>
      <x:c r="I4233" s="40" t="n">
        <x:f>ABS(H4233)</x:f>
        <x:v>1.929779052734375</x:v>
      </x:c>
      <x:c r="J4233" s="40" t="n">
        <x:f>H4233^2</x:f>
        <x:v>3.7240471923723817</x:v>
      </x:c>
      <x:c r="K4233" s="40" t="n">
        <x:f>G4233-E4233</x:f>
        <x:v>0</x:v>
      </x:c>
      <x:c r="L4233" s="40" t="n">
        <x:f>ABS(K4233)</x:f>
        <x:v>0</x:v>
      </x:c>
      <x:c r="M4233" s="41" t="str">
        <x:v>lstm-soil-v1</x:v>
      </x:c>
    </x:row>
    <x:row r="4234">
      <x:c r="A4234" s="38" t="str">
        <x:v>7月30日现场数据</x:v>
      </x:c>
      <x:c r="B4234" s="39" t="str">
        <x:v>2026-08-04T05:40:00</x:v>
      </x:c>
      <x:c r="C4234" s="39" t="str">
        <x:v>2026-08-04T06:10:00</x:v>
      </x:c>
      <x:c r="D4234" s="47" t="n">
        <x:v>30</x:v>
      </x:c>
      <x:c r="E4234" s="40" t="n">
        <x:v>13</x:v>
      </x:c>
      <x:c r="F4234" s="40" t="n">
        <x:v>11.563377380371094</x:v>
      </x:c>
      <x:c r="G4234" s="40" t="n">
        <x:v>13</x:v>
      </x:c>
      <x:c r="H4234" s="40" t="n">
        <x:f>F4234-E4234</x:f>
        <x:v>-1.4366226196289062</x:v>
      </x:c>
      <x:c r="I4234" s="40" t="n">
        <x:f>ABS(H4234)</x:f>
        <x:v>1.4366226196289062</x:v>
      </x:c>
      <x:c r="J4234" s="40" t="n">
        <x:f>H4234^2</x:f>
        <x:v>2.063884551229421</x:v>
      </x:c>
      <x:c r="K4234" s="40" t="n">
        <x:f>G4234-E4234</x:f>
        <x:v>0</x:v>
      </x:c>
      <x:c r="L4234" s="40" t="n">
        <x:f>ABS(K4234)</x:f>
        <x:v>0</x:v>
      </x:c>
      <x:c r="M4234" s="41" t="str">
        <x:v>lstm-soil-v1</x:v>
      </x:c>
    </x:row>
    <x:row r="4235">
      <x:c r="A4235" s="38" t="str">
        <x:v>7月30日现场数据</x:v>
      </x:c>
      <x:c r="B4235" s="39" t="str">
        <x:v>2026-08-04T05:40:00</x:v>
      </x:c>
      <x:c r="C4235" s="39" t="str">
        <x:v>2026-08-04T06:40:00</x:v>
      </x:c>
      <x:c r="D4235" s="47" t="n">
        <x:v>60</x:v>
      </x:c>
      <x:c r="E4235" s="40" t="n">
        <x:v>13</x:v>
      </x:c>
      <x:c r="F4235" s="40" t="n">
        <x:v>13.144447326660156</x:v>
      </x:c>
      <x:c r="G4235" s="40" t="n">
        <x:v>13</x:v>
      </x:c>
      <x:c r="H4235" s="40" t="n">
        <x:f>F4235-E4235</x:f>
        <x:v>0.14444732666015625</x:v>
      </x:c>
      <x:c r="I4235" s="40" t="n">
        <x:f>ABS(H4235)</x:f>
        <x:v>0.14444732666015625</x:v>
      </x:c>
      <x:c r="J4235" s="40" t="n">
        <x:f>H4235^2</x:f>
        <x:v>0.020865030179265887</x:v>
      </x:c>
      <x:c r="K4235" s="40" t="n">
        <x:f>G4235-E4235</x:f>
        <x:v>0</x:v>
      </x:c>
      <x:c r="L4235" s="40" t="n">
        <x:f>ABS(K4235)</x:f>
        <x:v>0</x:v>
      </x:c>
      <x:c r="M4235" s="41" t="str">
        <x:v>lstm-soil-v1</x:v>
      </x:c>
    </x:row>
    <x:row r="4236">
      <x:c r="A4236" s="38" t="str">
        <x:v>7月30日现场数据</x:v>
      </x:c>
      <x:c r="B4236" s="39" t="str">
        <x:v>2026-08-04T05:45:00</x:v>
      </x:c>
      <x:c r="C4236" s="39" t="str">
        <x:v>2026-08-04T05:50:00</x:v>
      </x:c>
      <x:c r="D4236" s="47" t="n">
        <x:v>5</x:v>
      </x:c>
      <x:c r="E4236" s="40" t="n">
        <x:v>13</x:v>
      </x:c>
      <x:c r="F4236" s="40" t="n">
        <x:v>11.012725830078125</x:v>
      </x:c>
      <x:c r="G4236" s="40" t="n">
        <x:v>13</x:v>
      </x:c>
      <x:c r="H4236" s="40" t="n">
        <x:f>F4236-E4236</x:f>
        <x:v>-1.987274169921875</x:v>
      </x:c>
      <x:c r="I4236" s="40" t="n">
        <x:f>ABS(H4236)</x:f>
        <x:v>1.987274169921875</x:v>
      </x:c>
      <x:c r="J4236" s="40" t="n">
        <x:f>H4236^2</x:f>
        <x:v>3.9492586264386773</x:v>
      </x:c>
      <x:c r="K4236" s="40" t="n">
        <x:f>G4236-E4236</x:f>
        <x:v>0</x:v>
      </x:c>
      <x:c r="L4236" s="40" t="n">
        <x:f>ABS(K4236)</x:f>
        <x:v>0</x:v>
      </x:c>
      <x:c r="M4236" s="41" t="str">
        <x:v>lstm-soil-v1</x:v>
      </x:c>
    </x:row>
    <x:row r="4237">
      <x:c r="A4237" s="38" t="str">
        <x:v>7月30日现场数据</x:v>
      </x:c>
      <x:c r="B4237" s="39" t="str">
        <x:v>2026-08-04T05:45:00</x:v>
      </x:c>
      <x:c r="C4237" s="39" t="str">
        <x:v>2026-08-04T06:00:00</x:v>
      </x:c>
      <x:c r="D4237" s="47" t="n">
        <x:v>15</x:v>
      </x:c>
      <x:c r="E4237" s="40" t="n">
        <x:v>12.9</x:v>
      </x:c>
      <x:c r="F4237" s="40" t="n">
        <x:v>11.070503234863281</x:v>
      </x:c>
      <x:c r="G4237" s="40" t="n">
        <x:v>13</x:v>
      </x:c>
      <x:c r="H4237" s="40" t="n">
        <x:f>F4237-E4237</x:f>
        <x:v>-1.829496765136719</x:v>
      </x:c>
      <x:c r="I4237" s="40" t="n">
        <x:f>ABS(H4237)</x:f>
        <x:v>1.829496765136719</x:v>
      </x:c>
      <x:c r="J4237" s="40" t="n">
        <x:f>H4237^2</x:f>
        <x:v>3.3470584136457195</x:v>
      </x:c>
      <x:c r="K4237" s="40" t="n">
        <x:f>G4237-E4237</x:f>
        <x:v>0.09999999999999964</x:v>
      </x:c>
      <x:c r="L4237" s="40" t="n">
        <x:f>ABS(K4237)</x:f>
        <x:v>0.09999999999999964</x:v>
      </x:c>
      <x:c r="M4237" s="41" t="str">
        <x:v>lstm-soil-v1</x:v>
      </x:c>
    </x:row>
    <x:row r="4238">
      <x:c r="A4238" s="38" t="str">
        <x:v>7月30日现场数据</x:v>
      </x:c>
      <x:c r="B4238" s="39" t="str">
        <x:v>2026-08-04T05:45:00</x:v>
      </x:c>
      <x:c r="C4238" s="39" t="str">
        <x:v>2026-08-04T06:15:00</x:v>
      </x:c>
      <x:c r="D4238" s="47" t="n">
        <x:v>30</x:v>
      </x:c>
      <x:c r="E4238" s="40" t="n">
        <x:v>13</x:v>
      </x:c>
      <x:c r="F4238" s="40" t="n">
        <x:v>11.563541412353516</x:v>
      </x:c>
      <x:c r="G4238" s="40" t="n">
        <x:v>13</x:v>
      </x:c>
      <x:c r="H4238" s="40" t="n">
        <x:f>F4238-E4238</x:f>
        <x:v>-1.4364585876464844</x:v>
      </x:c>
      <x:c r="I4238" s="40" t="n">
        <x:f>ABS(H4238)</x:f>
        <x:v>1.4364585876464844</x:v>
      </x:c>
      <x:c r="J4238" s="40" t="n">
        <x:f>H4238^2</x:f>
        <x:v>2.0634132740233326</x:v>
      </x:c>
      <x:c r="K4238" s="40" t="n">
        <x:f>G4238-E4238</x:f>
        <x:v>0</x:v>
      </x:c>
      <x:c r="L4238" s="40" t="n">
        <x:f>ABS(K4238)</x:f>
        <x:v>0</x:v>
      </x:c>
      <x:c r="M4238" s="41" t="str">
        <x:v>lstm-soil-v1</x:v>
      </x:c>
    </x:row>
    <x:row r="4239">
      <x:c r="A4239" s="38" t="str">
        <x:v>7月30日现场数据</x:v>
      </x:c>
      <x:c r="B4239" s="39" t="str">
        <x:v>2026-08-04T05:45:00</x:v>
      </x:c>
      <x:c r="C4239" s="39" t="str">
        <x:v>2026-08-04T06:45:00</x:v>
      </x:c>
      <x:c r="D4239" s="47" t="n">
        <x:v>60</x:v>
      </x:c>
      <x:c r="E4239" s="40" t="n">
        <x:v>13</x:v>
      </x:c>
      <x:c r="F4239" s="40" t="n">
        <x:v>13.1444091796875</x:v>
      </x:c>
      <x:c r="G4239" s="40" t="n">
        <x:v>13</x:v>
      </x:c>
      <x:c r="H4239" s="40" t="n">
        <x:f>F4239-E4239</x:f>
        <x:v>0.1444091796875</x:v>
      </x:c>
      <x:c r="I4239" s="40" t="n">
        <x:f>ABS(H4239)</x:f>
        <x:v>0.1444091796875</x:v>
      </x:c>
      <x:c r="J4239" s="40" t="n">
        <x:f>H4239^2</x:f>
        <x:v>0.020854011178016663</x:v>
      </x:c>
      <x:c r="K4239" s="40" t="n">
        <x:f>G4239-E4239</x:f>
        <x:v>0</x:v>
      </x:c>
      <x:c r="L4239" s="40" t="n">
        <x:f>ABS(K4239)</x:f>
        <x:v>0</x:v>
      </x:c>
      <x:c r="M4239" s="41" t="str">
        <x:v>lstm-soil-v1</x:v>
      </x:c>
    </x:row>
    <x:row r="4240">
      <x:c r="A4240" s="38" t="str">
        <x:v>7月30日现场数据</x:v>
      </x:c>
      <x:c r="B4240" s="39" t="str">
        <x:v>2026-08-04T05:50:00</x:v>
      </x:c>
      <x:c r="C4240" s="39" t="str">
        <x:v>2026-08-04T05:55:00</x:v>
      </x:c>
      <x:c r="D4240" s="47" t="n">
        <x:v>5</x:v>
      </x:c>
      <x:c r="E4240" s="40" t="n">
        <x:v>13</x:v>
      </x:c>
      <x:c r="F4240" s="40" t="n">
        <x:v>11.01300048828125</x:v>
      </x:c>
      <x:c r="G4240" s="40" t="n">
        <x:v>13</x:v>
      </x:c>
      <x:c r="H4240" s="40" t="n">
        <x:f>F4240-E4240</x:f>
        <x:v>-1.98699951171875</x:v>
      </x:c>
      <x:c r="I4240" s="40" t="n">
        <x:f>ABS(H4240)</x:f>
        <x:v>1.98699951171875</x:v>
      </x:c>
      <x:c r="J4240" s="40" t="n">
        <x:f>H4240^2</x:f>
        <x:v>3.948167059570551</x:v>
      </x:c>
      <x:c r="K4240" s="40" t="n">
        <x:f>G4240-E4240</x:f>
        <x:v>0</x:v>
      </x:c>
      <x:c r="L4240" s="40" t="n">
        <x:f>ABS(K4240)</x:f>
        <x:v>0</x:v>
      </x:c>
      <x:c r="M4240" s="41" t="str">
        <x:v>lstm-soil-v1</x:v>
      </x:c>
    </x:row>
    <x:row r="4241">
      <x:c r="A4241" s="38" t="str">
        <x:v>7月30日现场数据</x:v>
      </x:c>
      <x:c r="B4241" s="39" t="str">
        <x:v>2026-08-04T05:50:00</x:v>
      </x:c>
      <x:c r="C4241" s="39" t="str">
        <x:v>2026-08-04T06:05:00</x:v>
      </x:c>
      <x:c r="D4241" s="47" t="n">
        <x:v>15</x:v>
      </x:c>
      <x:c r="E4241" s="40" t="n">
        <x:v>13</x:v>
      </x:c>
      <x:c r="F4241" s="40" t="n">
        <x:v>11.070571899414062</x:v>
      </x:c>
      <x:c r="G4241" s="40" t="n">
        <x:v>13</x:v>
      </x:c>
      <x:c r="H4241" s="40" t="n">
        <x:f>F4241-E4241</x:f>
        <x:v>-1.9294281005859375</x:v>
      </x:c>
      <x:c r="I4241" s="40" t="n">
        <x:f>ABS(H4241)</x:f>
        <x:v>1.9294281005859375</x:v>
      </x:c>
      <x:c r="J4241" s="40" t="n">
        <x:f>H4241^2</x:f>
        <x:v>3.7226927953306586</x:v>
      </x:c>
      <x:c r="K4241" s="40" t="n">
        <x:f>G4241-E4241</x:f>
        <x:v>0</x:v>
      </x:c>
      <x:c r="L4241" s="40" t="n">
        <x:f>ABS(K4241)</x:f>
        <x:v>0</x:v>
      </x:c>
      <x:c r="M4241" s="41" t="str">
        <x:v>lstm-soil-v1</x:v>
      </x:c>
    </x:row>
    <x:row r="4242">
      <x:c r="A4242" s="38" t="str">
        <x:v>7月30日现场数据</x:v>
      </x:c>
      <x:c r="B4242" s="39" t="str">
        <x:v>2026-08-04T05:50:00</x:v>
      </x:c>
      <x:c r="C4242" s="39" t="str">
        <x:v>2026-08-04T06:20:00</x:v>
      </x:c>
      <x:c r="D4242" s="47" t="n">
        <x:v>30</x:v>
      </x:c>
      <x:c r="E4242" s="40" t="n">
        <x:v>13</x:v>
      </x:c>
      <x:c r="F4242" s="40" t="n">
        <x:v>11.56381607055664</x:v>
      </x:c>
      <x:c r="G4242" s="40" t="n">
        <x:v>13</x:v>
      </x:c>
      <x:c r="H4242" s="40" t="n">
        <x:f>F4242-E4242</x:f>
        <x:v>-1.4361839294433594</x:v>
      </x:c>
      <x:c r="I4242" s="40" t="n">
        <x:f>ABS(H4242)</x:f>
        <x:v>1.4361839294433594</x:v>
      </x:c>
      <x:c r="J4242" s="40" t="n">
        <x:f>H4242^2</x:f>
        <x:v>2.0626242791913683</x:v>
      </x:c>
      <x:c r="K4242" s="40" t="n">
        <x:f>G4242-E4242</x:f>
        <x:v>0</x:v>
      </x:c>
      <x:c r="L4242" s="40" t="n">
        <x:f>ABS(K4242)</x:f>
        <x:v>0</x:v>
      </x:c>
      <x:c r="M4242" s="41" t="str">
        <x:v>lstm-soil-v1</x:v>
      </x:c>
    </x:row>
    <x:row r="4243">
      <x:c r="A4243" s="38" t="str">
        <x:v>7月30日现场数据</x:v>
      </x:c>
      <x:c r="B4243" s="39" t="str">
        <x:v>2026-08-04T05:50:00</x:v>
      </x:c>
      <x:c r="C4243" s="39" t="str">
        <x:v>2026-08-04T06:50:00</x:v>
      </x:c>
      <x:c r="D4243" s="47" t="n">
        <x:v>60</x:v>
      </x:c>
      <x:c r="E4243" s="40" t="n">
        <x:v>13</x:v>
      </x:c>
      <x:c r="F4243" s="40" t="n">
        <x:v>13.14480209350586</x:v>
      </x:c>
      <x:c r="G4243" s="40" t="n">
        <x:v>13</x:v>
      </x:c>
      <x:c r="H4243" s="40" t="n">
        <x:f>F4243-E4243</x:f>
        <x:v>0.14480209350585938</x:v>
      </x:c>
      <x:c r="I4243" s="40" t="n">
        <x:f>ABS(H4243)</x:f>
        <x:v>0.14480209350585938</x:v>
      </x:c>
      <x:c r="J4243" s="40" t="n">
        <x:f>H4243^2</x:f>
        <x:v>0.020967646283679642</x:v>
      </x:c>
      <x:c r="K4243" s="40" t="n">
        <x:f>G4243-E4243</x:f>
        <x:v>0</x:v>
      </x:c>
      <x:c r="L4243" s="40" t="n">
        <x:f>ABS(K4243)</x:f>
        <x:v>0</x:v>
      </x:c>
      <x:c r="M4243" s="41" t="str">
        <x:v>lstm-soil-v1</x:v>
      </x:c>
    </x:row>
    <x:row r="4244">
      <x:c r="A4244" s="38" t="str">
        <x:v>7月30日现场数据</x:v>
      </x:c>
      <x:c r="B4244" s="39" t="str">
        <x:v>2026-08-04T05:55:00</x:v>
      </x:c>
      <x:c r="C4244" s="39" t="str">
        <x:v>2026-08-04T06:00:00</x:v>
      </x:c>
      <x:c r="D4244" s="47" t="n">
        <x:v>5</x:v>
      </x:c>
      <x:c r="E4244" s="40" t="n">
        <x:v>12.9</x:v>
      </x:c>
      <x:c r="F4244" s="40" t="n">
        <x:v>11.013221740722656</x:v>
      </x:c>
      <x:c r="G4244" s="40" t="n">
        <x:v>13</x:v>
      </x:c>
      <x:c r="H4244" s="40" t="n">
        <x:f>F4244-E4244</x:f>
        <x:v>-1.886778259277344</x:v>
      </x:c>
      <x:c r="I4244" s="40" t="n">
        <x:f>ABS(H4244)</x:f>
        <x:v>1.886778259277344</x:v>
      </x:c>
      <x:c r="J4244" s="40" t="n">
        <x:f>H4244^2</x:f>
        <x:v>3.559932199681645</x:v>
      </x:c>
      <x:c r="K4244" s="40" t="n">
        <x:f>G4244-E4244</x:f>
        <x:v>0.09999999999999964</x:v>
      </x:c>
      <x:c r="L4244" s="40" t="n">
        <x:f>ABS(K4244)</x:f>
        <x:v>0.09999999999999964</x:v>
      </x:c>
      <x:c r="M4244" s="41" t="str">
        <x:v>lstm-soil-v1</x:v>
      </x:c>
    </x:row>
    <x:row r="4245">
      <x:c r="A4245" s="38" t="str">
        <x:v>7月30日现场数据</x:v>
      </x:c>
      <x:c r="B4245" s="39" t="str">
        <x:v>2026-08-04T05:55:00</x:v>
      </x:c>
      <x:c r="C4245" s="39" t="str">
        <x:v>2026-08-04T06:10:00</x:v>
      </x:c>
      <x:c r="D4245" s="47" t="n">
        <x:v>15</x:v>
      </x:c>
      <x:c r="E4245" s="40" t="n">
        <x:v>13</x:v>
      </x:c>
      <x:c r="F4245" s="40" t="n">
        <x:v>11.070655822753906</x:v>
      </x:c>
      <x:c r="G4245" s="40" t="n">
        <x:v>13</x:v>
      </x:c>
      <x:c r="H4245" s="40" t="n">
        <x:f>F4245-E4245</x:f>
        <x:v>-1.9293441772460938</x:v>
      </x:c>
      <x:c r="I4245" s="40" t="n">
        <x:f>ABS(H4245)</x:f>
        <x:v>1.9293441772460938</x:v>
      </x:c>
      <x:c r="J4245" s="40" t="n">
        <x:f>H4245^2</x:f>
        <x:v>3.7223689542734064</x:v>
      </x:c>
      <x:c r="K4245" s="40" t="n">
        <x:f>G4245-E4245</x:f>
        <x:v>0</x:v>
      </x:c>
      <x:c r="L4245" s="40" t="n">
        <x:f>ABS(K4245)</x:f>
        <x:v>0</x:v>
      </x:c>
      <x:c r="M4245" s="41" t="str">
        <x:v>lstm-soil-v1</x:v>
      </x:c>
    </x:row>
    <x:row r="4246">
      <x:c r="A4246" s="38" t="str">
        <x:v>7月30日现场数据</x:v>
      </x:c>
      <x:c r="B4246" s="39" t="str">
        <x:v>2026-08-04T05:55:00</x:v>
      </x:c>
      <x:c r="C4246" s="39" t="str">
        <x:v>2026-08-04T06:25:00</x:v>
      </x:c>
      <x:c r="D4246" s="47" t="n">
        <x:v>30</x:v>
      </x:c>
      <x:c r="E4246" s="40" t="n">
        <x:v>13</x:v>
      </x:c>
      <x:c r="F4246" s="40" t="n">
        <x:v>11.564109802246094</x:v>
      </x:c>
      <x:c r="G4246" s="40" t="n">
        <x:v>13</x:v>
      </x:c>
      <x:c r="H4246" s="40" t="n">
        <x:f>F4246-E4246</x:f>
        <x:v>-1.4358901977539062</x:v>
      </x:c>
      <x:c r="I4246" s="40" t="n">
        <x:f>ABS(H4246)</x:f>
        <x:v>1.4358901977539062</x:v>
      </x:c>
      <x:c r="J4246" s="40" t="n">
        <x:f>H4246^2</x:f>
        <x:v>2.061780660005752</x:v>
      </x:c>
      <x:c r="K4246" s="40" t="n">
        <x:f>G4246-E4246</x:f>
        <x:v>0</x:v>
      </x:c>
      <x:c r="L4246" s="40" t="n">
        <x:f>ABS(K4246)</x:f>
        <x:v>0</x:v>
      </x:c>
      <x:c r="M4246" s="41" t="str">
        <x:v>lstm-soil-v1</x:v>
      </x:c>
    </x:row>
    <x:row r="4247">
      <x:c r="A4247" s="38" t="str">
        <x:v>7月30日现场数据</x:v>
      </x:c>
      <x:c r="B4247" s="39" t="str">
        <x:v>2026-08-04T05:55:00</x:v>
      </x:c>
      <x:c r="C4247" s="39" t="str">
        <x:v>2026-08-04T06:55:00</x:v>
      </x:c>
      <x:c r="D4247" s="47" t="n">
        <x:v>60</x:v>
      </x:c>
      <x:c r="E4247" s="40" t="n">
        <x:v>13</x:v>
      </x:c>
      <x:c r="F4247" s="40" t="n">
        <x:v>13.145111083984375</x:v>
      </x:c>
      <x:c r="G4247" s="40" t="n">
        <x:v>13</x:v>
      </x:c>
      <x:c r="H4247" s="40" t="n">
        <x:f>F4247-E4247</x:f>
        <x:v>0.145111083984375</x:v>
      </x:c>
      <x:c r="I4247" s="40" t="n">
        <x:f>ABS(H4247)</x:f>
        <x:v>0.145111083984375</x:v>
      </x:c>
      <x:c r="J4247" s="40" t="n">
        <x:f>H4247^2</x:f>
        <x:v>0.021057226695120335</x:v>
      </x:c>
      <x:c r="K4247" s="40" t="n">
        <x:f>G4247-E4247</x:f>
        <x:v>0</x:v>
      </x:c>
      <x:c r="L4247" s="40" t="n">
        <x:f>ABS(K4247)</x:f>
        <x:v>0</x:v>
      </x:c>
      <x:c r="M4247" s="41" t="str">
        <x:v>lstm-soil-v1</x:v>
      </x:c>
    </x:row>
    <x:row r="4248">
      <x:c r="A4248" s="38" t="str">
        <x:v>7月30日现场数据</x:v>
      </x:c>
      <x:c r="B4248" s="39" t="str">
        <x:v>2026-08-04T06:00:00</x:v>
      </x:c>
      <x:c r="C4248" s="39" t="str">
        <x:v>2026-08-04T06:05:00</x:v>
      </x:c>
      <x:c r="D4248" s="47" t="n">
        <x:v>5</x:v>
      </x:c>
      <x:c r="E4248" s="40" t="n">
        <x:v>13</x:v>
      </x:c>
      <x:c r="F4248" s="40" t="n">
        <x:v>10.90310287475586</x:v>
      </x:c>
      <x:c r="G4248" s="40" t="n">
        <x:v>12.9</x:v>
      </x:c>
      <x:c r="H4248" s="40" t="n">
        <x:f>F4248-E4248</x:f>
        <x:v>-2.0968971252441406</x:v>
      </x:c>
      <x:c r="I4248" s="40" t="n">
        <x:f>ABS(H4248)</x:f>
        <x:v>2.0968971252441406</x:v>
      </x:c>
      <x:c r="J4248" s="40" t="n">
        <x:f>H4248^2</x:f>
        <x:v>4.396977553857141</x:v>
      </x:c>
      <x:c r="K4248" s="40" t="n">
        <x:f>G4248-E4248</x:f>
        <x:v>-0.09999999999999964</x:v>
      </x:c>
      <x:c r="L4248" s="40" t="n">
        <x:f>ABS(K4248)</x:f>
        <x:v>0.09999999999999964</x:v>
      </x:c>
      <x:c r="M4248" s="41" t="str">
        <x:v>lstm-soil-v1</x:v>
      </x:c>
    </x:row>
    <x:row r="4249">
      <x:c r="A4249" s="38" t="str">
        <x:v>7月30日现场数据</x:v>
      </x:c>
      <x:c r="B4249" s="39" t="str">
        <x:v>2026-08-04T06:00:00</x:v>
      </x:c>
      <x:c r="C4249" s="39" t="str">
        <x:v>2026-08-04T06:15:00</x:v>
      </x:c>
      <x:c r="D4249" s="47" t="n">
        <x:v>15</x:v>
      </x:c>
      <x:c r="E4249" s="40" t="n">
        <x:v>13</x:v>
      </x:c>
      <x:c r="F4249" s="40" t="n">
        <x:v>10.960010528564453</x:v>
      </x:c>
      <x:c r="G4249" s="40" t="n">
        <x:v>12.9</x:v>
      </x:c>
      <x:c r="H4249" s="40" t="n">
        <x:f>F4249-E4249</x:f>
        <x:v>-2.039989471435547</x:v>
      </x:c>
      <x:c r="I4249" s="40" t="n">
        <x:f>ABS(H4249)</x:f>
        <x:v>2.039989471435547</x:v>
      </x:c>
      <x:c r="J4249" s="40" t="n">
        <x:f>H4249^2</x:f>
        <x:v>4.161557043567882</x:v>
      </x:c>
      <x:c r="K4249" s="40" t="n">
        <x:f>G4249-E4249</x:f>
        <x:v>-0.09999999999999964</x:v>
      </x:c>
      <x:c r="L4249" s="40" t="n">
        <x:f>ABS(K4249)</x:f>
        <x:v>0.09999999999999964</x:v>
      </x:c>
      <x:c r="M4249" s="41" t="str">
        <x:v>lstm-soil-v1</x:v>
      </x:c>
    </x:row>
    <x:row r="4250">
      <x:c r="A4250" s="38" t="str">
        <x:v>7月30日现场数据</x:v>
      </x:c>
      <x:c r="B4250" s="39" t="str">
        <x:v>2026-08-04T06:00:00</x:v>
      </x:c>
      <x:c r="C4250" s="39" t="str">
        <x:v>2026-08-04T06:30:00</x:v>
      </x:c>
      <x:c r="D4250" s="47" t="n">
        <x:v>30</x:v>
      </x:c>
      <x:c r="E4250" s="40" t="n">
        <x:v>13</x:v>
      </x:c>
      <x:c r="F4250" s="40" t="n">
        <x:v>11.453788757324219</x:v>
      </x:c>
      <x:c r="G4250" s="40" t="n">
        <x:v>12.9</x:v>
      </x:c>
      <x:c r="H4250" s="40" t="n">
        <x:f>F4250-E4250</x:f>
        <x:v>-1.5462112426757812</x:v>
      </x:c>
      <x:c r="I4250" s="40" t="n">
        <x:f>ABS(H4250)</x:f>
        <x:v>1.5462112426757812</x:v>
      </x:c>
      <x:c r="J4250" s="40" t="n">
        <x:f>H4250^2</x:f>
        <x:v>2.3907692069769837</x:v>
      </x:c>
      <x:c r="K4250" s="40" t="n">
        <x:f>G4250-E4250</x:f>
        <x:v>-0.09999999999999964</x:v>
      </x:c>
      <x:c r="L4250" s="40" t="n">
        <x:f>ABS(K4250)</x:f>
        <x:v>0.09999999999999964</x:v>
      </x:c>
      <x:c r="M4250" s="41" t="str">
        <x:v>lstm-soil-v1</x:v>
      </x:c>
    </x:row>
    <x:row r="4251">
      <x:c r="A4251" s="38" t="str">
        <x:v>7月30日现场数据</x:v>
      </x:c>
      <x:c r="B4251" s="39" t="str">
        <x:v>2026-08-04T06:00:00</x:v>
      </x:c>
      <x:c r="C4251" s="39" t="str">
        <x:v>2026-08-04T07:00:00</x:v>
      </x:c>
      <x:c r="D4251" s="47" t="n">
        <x:v>60</x:v>
      </x:c>
      <x:c r="E4251" s="40" t="n">
        <x:v>13</x:v>
      </x:c>
      <x:c r="F4251" s="40" t="n">
        <x:v>13.038398742675781</x:v>
      </x:c>
      <x:c r="G4251" s="40" t="n">
        <x:v>12.9</x:v>
      </x:c>
      <x:c r="H4251" s="40" t="n">
        <x:f>F4251-E4251</x:f>
        <x:v>0.03839874267578125</x:v>
      </x:c>
      <x:c r="I4251" s="40" t="n">
        <x:f>ABS(H4251)</x:f>
        <x:v>0.03839874267578125</x:v>
      </x:c>
      <x:c r="J4251" s="40" t="n">
        <x:f>H4251^2</x:f>
        <x:v>0.0014744634390808642</x:v>
      </x:c>
      <x:c r="K4251" s="40" t="n">
        <x:f>G4251-E4251</x:f>
        <x:v>-0.09999999999999964</x:v>
      </x:c>
      <x:c r="L4251" s="40" t="n">
        <x:f>ABS(K4251)</x:f>
        <x:v>0.09999999999999964</x:v>
      </x:c>
      <x:c r="M4251" s="41" t="str">
        <x:v>lstm-soil-v1</x:v>
      </x:c>
    </x:row>
    <x:row r="4252">
      <x:c r="A4252" s="38" t="str">
        <x:v>7月30日现场数据</x:v>
      </x:c>
      <x:c r="B4252" s="39" t="str">
        <x:v>2026-08-04T06:05:00</x:v>
      </x:c>
      <x:c r="C4252" s="39" t="str">
        <x:v>2026-08-04T06:10:00</x:v>
      </x:c>
      <x:c r="D4252" s="47" t="n">
        <x:v>5</x:v>
      </x:c>
      <x:c r="E4252" s="40" t="n">
        <x:v>13</x:v>
      </x:c>
      <x:c r="F4252" s="40" t="n">
        <x:v>11.013111114501953</x:v>
      </x:c>
      <x:c r="G4252" s="40" t="n">
        <x:v>13</x:v>
      </x:c>
      <x:c r="H4252" s="40" t="n">
        <x:f>F4252-E4252</x:f>
        <x:v>-1.9868888854980469</x:v>
      </x:c>
      <x:c r="I4252" s="40" t="n">
        <x:f>ABS(H4252)</x:f>
        <x:v>1.9868888854980469</x:v>
      </x:c>
      <x:c r="J4252" s="40" t="n">
        <x:f>H4252^2</x:f>
        <x:v>3.947727443315671</x:v>
      </x:c>
      <x:c r="K4252" s="40" t="n">
        <x:f>G4252-E4252</x:f>
        <x:v>0</x:v>
      </x:c>
      <x:c r="L4252" s="40" t="n">
        <x:f>ABS(K4252)</x:f>
        <x:v>0</x:v>
      </x:c>
      <x:c r="M4252" s="41" t="str">
        <x:v>lstm-soil-v1</x:v>
      </x:c>
    </x:row>
    <x:row r="4253">
      <x:c r="A4253" s="38" t="str">
        <x:v>7月30日现场数据</x:v>
      </x:c>
      <x:c r="B4253" s="39" t="str">
        <x:v>2026-08-04T06:05:00</x:v>
      </x:c>
      <x:c r="C4253" s="39" t="str">
        <x:v>2026-08-04T06:20:00</x:v>
      </x:c>
      <x:c r="D4253" s="47" t="n">
        <x:v>15</x:v>
      </x:c>
      <x:c r="E4253" s="40" t="n">
        <x:v>13</x:v>
      </x:c>
      <x:c r="F4253" s="40" t="n">
        <x:v>11.070499420166016</x:v>
      </x:c>
      <x:c r="G4253" s="40" t="n">
        <x:v>13</x:v>
      </x:c>
      <x:c r="H4253" s="40" t="n">
        <x:f>F4253-E4253</x:f>
        <x:v>-1.9295005798339844</x:v>
      </x:c>
      <x:c r="I4253" s="40" t="n">
        <x:f>ABS(H4253)</x:f>
        <x:v>1.9295005798339844</x:v>
      </x:c>
      <x:c r="J4253" s="40" t="n">
        <x:f>H4253^2</x:f>
        <x:v>3.722972487579682</x:v>
      </x:c>
      <x:c r="K4253" s="40" t="n">
        <x:f>G4253-E4253</x:f>
        <x:v>0</x:v>
      </x:c>
      <x:c r="L4253" s="40" t="n">
        <x:f>ABS(K4253)</x:f>
        <x:v>0</x:v>
      </x:c>
      <x:c r="M4253" s="41" t="str">
        <x:v>lstm-soil-v1</x:v>
      </x:c>
    </x:row>
    <x:row r="4254">
      <x:c r="A4254" s="38" t="str">
        <x:v>7月30日现场数据</x:v>
      </x:c>
      <x:c r="B4254" s="39" t="str">
        <x:v>2026-08-04T06:05:00</x:v>
      </x:c>
      <x:c r="C4254" s="39" t="str">
        <x:v>2026-08-04T06:35:00</x:v>
      </x:c>
      <x:c r="D4254" s="47" t="n">
        <x:v>30</x:v>
      </x:c>
      <x:c r="E4254" s="40" t="n">
        <x:v>13</x:v>
      </x:c>
      <x:c r="F4254" s="40" t="n">
        <x:v>11.564277648925781</x:v>
      </x:c>
      <x:c r="G4254" s="40" t="n">
        <x:v>13</x:v>
      </x:c>
      <x:c r="H4254" s="40" t="n">
        <x:f>F4254-E4254</x:f>
        <x:v>-1.4357223510742188</x:v>
      </x:c>
      <x:c r="I4254" s="40" t="n">
        <x:f>ABS(H4254)</x:f>
        <x:v>1.4357223510742188</x:v>
      </x:c>
      <x:c r="J4254" s="40" t="n">
        <x:f>H4254^2</x:f>
        <x:v>2.0612986693740822</x:v>
      </x:c>
      <x:c r="K4254" s="40" t="n">
        <x:f>G4254-E4254</x:f>
        <x:v>0</x:v>
      </x:c>
      <x:c r="L4254" s="40" t="n">
        <x:f>ABS(K4254)</x:f>
        <x:v>0</x:v>
      </x:c>
      <x:c r="M4254" s="41" t="str">
        <x:v>lstm-soil-v1</x:v>
      </x:c>
    </x:row>
    <x:row r="4255">
      <x:c r="A4255" s="38" t="str">
        <x:v>7月30日现场数据</x:v>
      </x:c>
      <x:c r="B4255" s="39" t="str">
        <x:v>2026-08-04T06:05:00</x:v>
      </x:c>
      <x:c r="C4255" s="39" t="str">
        <x:v>2026-08-04T07:05:00</x:v>
      </x:c>
      <x:c r="D4255" s="47" t="n">
        <x:v>60</x:v>
      </x:c>
      <x:c r="E4255" s="40" t="n">
        <x:v>12.9</x:v>
      </x:c>
      <x:c r="F4255" s="40" t="n">
        <x:v>13.1507568359375</x:v>
      </x:c>
      <x:c r="G4255" s="40" t="n">
        <x:v>13</x:v>
      </x:c>
      <x:c r="H4255" s="40" t="n">
        <x:f>F4255-E4255</x:f>
        <x:v>0.25075683593749964</x:v>
      </x:c>
      <x:c r="I4255" s="40" t="n">
        <x:f>ABS(H4255)</x:f>
        <x:v>0.25075683593749964</x:v>
      </x:c>
      <x:c r="J4255" s="40" t="n">
        <x:f>H4255^2</x:f>
        <x:v>0.06287899076938612</x:v>
      </x:c>
      <x:c r="K4255" s="40" t="n">
        <x:f>G4255-E4255</x:f>
        <x:v>0.09999999999999964</x:v>
      </x:c>
      <x:c r="L4255" s="40" t="n">
        <x:f>ABS(K4255)</x:f>
        <x:v>0.09999999999999964</x:v>
      </x:c>
      <x:c r="M4255" s="41" t="str">
        <x:v>lstm-soil-v1</x:v>
      </x:c>
    </x:row>
    <x:row r="4256">
      <x:c r="A4256" s="38" t="str">
        <x:v>7月30日现场数据</x:v>
      </x:c>
      <x:c r="B4256" s="39" t="str">
        <x:v>2026-08-04T06:10:00</x:v>
      </x:c>
      <x:c r="C4256" s="39" t="str">
        <x:v>2026-08-04T06:15:00</x:v>
      </x:c>
      <x:c r="D4256" s="47" t="n">
        <x:v>5</x:v>
      </x:c>
      <x:c r="E4256" s="40" t="n">
        <x:v>13</x:v>
      </x:c>
      <x:c r="F4256" s="40" t="n">
        <x:v>11.013557434082031</x:v>
      </x:c>
      <x:c r="G4256" s="40" t="n">
        <x:v>13</x:v>
      </x:c>
      <x:c r="H4256" s="40" t="n">
        <x:f>F4256-E4256</x:f>
        <x:v>-1.9864425659179688</x:v>
      </x:c>
      <x:c r="I4256" s="40" t="n">
        <x:f>ABS(H4256)</x:f>
        <x:v>1.9864425659179688</x:v>
      </x:c>
      <x:c r="J4256" s="40" t="n">
        <x:f>H4256^2</x:f>
        <x:v>3.9459540676907636</x:v>
      </x:c>
      <x:c r="K4256" s="40" t="n">
        <x:f>G4256-E4256</x:f>
        <x:v>0</x:v>
      </x:c>
      <x:c r="L4256" s="40" t="n">
        <x:f>ABS(K4256)</x:f>
        <x:v>0</x:v>
      </x:c>
      <x:c r="M4256" s="41" t="str">
        <x:v>lstm-soil-v1</x:v>
      </x:c>
    </x:row>
    <x:row r="4257">
      <x:c r="A4257" s="38" t="str">
        <x:v>7月30日现场数据</x:v>
      </x:c>
      <x:c r="B4257" s="39" t="str">
        <x:v>2026-08-04T06:10:00</x:v>
      </x:c>
      <x:c r="C4257" s="39" t="str">
        <x:v>2026-08-04T06:25:00</x:v>
      </x:c>
      <x:c r="D4257" s="47" t="n">
        <x:v>15</x:v>
      </x:c>
      <x:c r="E4257" s="40" t="n">
        <x:v>13</x:v>
      </x:c>
      <x:c r="F4257" s="40" t="n">
        <x:v>11.071357727050781</x:v>
      </x:c>
      <x:c r="G4257" s="40" t="n">
        <x:v>13</x:v>
      </x:c>
      <x:c r="H4257" s="40" t="n">
        <x:f>F4257-E4257</x:f>
        <x:v>-1.9286422729492188</x:v>
      </x:c>
      <x:c r="I4257" s="40" t="n">
        <x:f>ABS(H4257)</x:f>
        <x:v>1.9286422729492188</x:v>
      </x:c>
      <x:c r="J4257" s="40" t="n">
        <x:f>H4257^2</x:f>
        <x:v>3.719661017006729</x:v>
      </x:c>
      <x:c r="K4257" s="40" t="n">
        <x:f>G4257-E4257</x:f>
        <x:v>0</x:v>
      </x:c>
      <x:c r="L4257" s="40" t="n">
        <x:f>ABS(K4257)</x:f>
        <x:v>0</x:v>
      </x:c>
      <x:c r="M4257" s="41" t="str">
        <x:v>lstm-soil-v1</x:v>
      </x:c>
    </x:row>
    <x:row r="4258">
      <x:c r="A4258" s="38" t="str">
        <x:v>7月30日现场数据</x:v>
      </x:c>
      <x:c r="B4258" s="39" t="str">
        <x:v>2026-08-04T06:10:00</x:v>
      </x:c>
      <x:c r="C4258" s="39" t="str">
        <x:v>2026-08-04T06:40:00</x:v>
      </x:c>
      <x:c r="D4258" s="47" t="n">
        <x:v>30</x:v>
      </x:c>
      <x:c r="E4258" s="40" t="n">
        <x:v>13</x:v>
      </x:c>
      <x:c r="F4258" s="40" t="n">
        <x:v>11.565093994140625</x:v>
      </x:c>
      <x:c r="G4258" s="40" t="n">
        <x:v>13</x:v>
      </x:c>
      <x:c r="H4258" s="40" t="n">
        <x:f>F4258-E4258</x:f>
        <x:v>-1.434906005859375</x:v>
      </x:c>
      <x:c r="I4258" s="40" t="n">
        <x:f>ABS(H4258)</x:f>
        <x:v>1.434906005859375</x:v>
      </x:c>
      <x:c r="J4258" s="40" t="n">
        <x:f>H4258^2</x:f>
        <x:v>2.0589552456513047</x:v>
      </x:c>
      <x:c r="K4258" s="40" t="n">
        <x:f>G4258-E4258</x:f>
        <x:v>0</x:v>
      </x:c>
      <x:c r="L4258" s="40" t="n">
        <x:f>ABS(K4258)</x:f>
        <x:v>0</x:v>
      </x:c>
      <x:c r="M4258" s="41" t="str">
        <x:v>lstm-soil-v1</x:v>
      </x:c>
    </x:row>
    <x:row r="4259">
      <x:c r="A4259" s="38" t="str">
        <x:v>7月30日现场数据</x:v>
      </x:c>
      <x:c r="B4259" s="39" t="str">
        <x:v>2026-08-04T06:10:00</x:v>
      </x:c>
      <x:c r="C4259" s="39" t="str">
        <x:v>2026-08-04T07:10:00</x:v>
      </x:c>
      <x:c r="D4259" s="47" t="n">
        <x:v>60</x:v>
      </x:c>
      <x:c r="E4259" s="40" t="n">
        <x:v>12.9</x:v>
      </x:c>
      <x:c r="F4259" s="40" t="n">
        <x:v>13.153007507324219</x:v>
      </x:c>
      <x:c r="G4259" s="40" t="n">
        <x:v>13</x:v>
      </x:c>
      <x:c r="H4259" s="40" t="n">
        <x:f>F4259-E4259</x:f>
        <x:v>0.2530075073242184</x:v>
      </x:c>
      <x:c r="I4259" s="40" t="n">
        <x:f>ABS(H4259)</x:f>
        <x:v>0.2530075073242184</x:v>
      </x:c>
      <x:c r="J4259" s="40" t="n">
        <x:f>H4259^2</x:f>
        <x:v>0.06401279876241442</x:v>
      </x:c>
      <x:c r="K4259" s="40" t="n">
        <x:f>G4259-E4259</x:f>
        <x:v>0.09999999999999964</x:v>
      </x:c>
      <x:c r="L4259" s="40" t="n">
        <x:f>ABS(K4259)</x:f>
        <x:v>0.09999999999999964</x:v>
      </x:c>
      <x:c r="M4259" s="41" t="str">
        <x:v>lstm-soil-v1</x:v>
      </x:c>
    </x:row>
    <x:row r="4260">
      <x:c r="A4260" s="38" t="str">
        <x:v>7月30日现场数据</x:v>
      </x:c>
      <x:c r="B4260" s="39" t="str">
        <x:v>2026-08-04T06:15:00</x:v>
      </x:c>
      <x:c r="C4260" s="39" t="str">
        <x:v>2026-08-04T06:20:00</x:v>
      </x:c>
      <x:c r="D4260" s="47" t="n">
        <x:v>5</x:v>
      </x:c>
      <x:c r="E4260" s="40" t="n">
        <x:v>13</x:v>
      </x:c>
      <x:c r="F4260" s="40" t="n">
        <x:v>11.013916015625</x:v>
      </x:c>
      <x:c r="G4260" s="40" t="n">
        <x:v>13</x:v>
      </x:c>
      <x:c r="H4260" s="40" t="n">
        <x:f>F4260-E4260</x:f>
        <x:v>-1.986083984375</x:v>
      </x:c>
      <x:c r="I4260" s="40" t="n">
        <x:f>ABS(H4260)</x:f>
        <x:v>1.986083984375</x:v>
      </x:c>
      <x:c r="J4260" s="40" t="n">
        <x:f>H4260^2</x:f>
        <x:v>3.9445295929908752</x:v>
      </x:c>
      <x:c r="K4260" s="40" t="n">
        <x:f>G4260-E4260</x:f>
        <x:v>0</x:v>
      </x:c>
      <x:c r="L4260" s="40" t="n">
        <x:f>ABS(K4260)</x:f>
        <x:v>0</x:v>
      </x:c>
      <x:c r="M4260" s="41" t="str">
        <x:v>lstm-soil-v1</x:v>
      </x:c>
    </x:row>
    <x:row r="4261">
      <x:c r="A4261" s="38" t="str">
        <x:v>7月30日现场数据</x:v>
      </x:c>
      <x:c r="B4261" s="39" t="str">
        <x:v>2026-08-04T06:15:00</x:v>
      </x:c>
      <x:c r="C4261" s="39" t="str">
        <x:v>2026-08-04T06:30:00</x:v>
      </x:c>
      <x:c r="D4261" s="47" t="n">
        <x:v>15</x:v>
      </x:c>
      <x:c r="E4261" s="40" t="n">
        <x:v>13</x:v>
      </x:c>
      <x:c r="F4261" s="40" t="n">
        <x:v>11.075859069824219</x:v>
      </x:c>
      <x:c r="G4261" s="40" t="n">
        <x:v>13</x:v>
      </x:c>
      <x:c r="H4261" s="40" t="n">
        <x:f>F4261-E4261</x:f>
        <x:v>-1.9241409301757812</x:v>
      </x:c>
      <x:c r="I4261" s="40" t="n">
        <x:f>ABS(H4261)</x:f>
        <x:v>1.9241409301757812</x:v>
      </x:c>
      <x:c r="J4261" s="40" t="n">
        <x:f>H4261^2</x:f>
        <x:v>3.7023183191777207</x:v>
      </x:c>
      <x:c r="K4261" s="40" t="n">
        <x:f>G4261-E4261</x:f>
        <x:v>0</x:v>
      </x:c>
      <x:c r="L4261" s="40" t="n">
        <x:f>ABS(K4261)</x:f>
        <x:v>0</x:v>
      </x:c>
      <x:c r="M4261" s="41" t="str">
        <x:v>lstm-soil-v1</x:v>
      </x:c>
    </x:row>
    <x:row r="4262">
      <x:c r="A4262" s="38" t="str">
        <x:v>7月30日现场数据</x:v>
      </x:c>
      <x:c r="B4262" s="39" t="str">
        <x:v>2026-08-04T06:15:00</x:v>
      </x:c>
      <x:c r="C4262" s="39" t="str">
        <x:v>2026-08-04T06:45:00</x:v>
      </x:c>
      <x:c r="D4262" s="47" t="n">
        <x:v>30</x:v>
      </x:c>
      <x:c r="E4262" s="40" t="n">
        <x:v>13</x:v>
      </x:c>
      <x:c r="F4262" s="40" t="n">
        <x:v>11.567707061767578</x:v>
      </x:c>
      <x:c r="G4262" s="40" t="n">
        <x:v>13</x:v>
      </x:c>
      <x:c r="H4262" s="40" t="n">
        <x:f>F4262-E4262</x:f>
        <x:v>-1.4322929382324219</x:v>
      </x:c>
      <x:c r="I4262" s="40" t="n">
        <x:f>ABS(H4262)</x:f>
        <x:v>1.4322929382324219</x:v>
      </x:c>
      <x:c r="J4262" s="40" t="n">
        <x:f>H4262^2</x:f>
        <x:v>2.0514630609104643</x:v>
      </x:c>
      <x:c r="K4262" s="40" t="n">
        <x:f>G4262-E4262</x:f>
        <x:v>0</x:v>
      </x:c>
      <x:c r="L4262" s="40" t="n">
        <x:f>ABS(K4262)</x:f>
        <x:v>0</x:v>
      </x:c>
      <x:c r="M4262" s="41" t="str">
        <x:v>lstm-soil-v1</x:v>
      </x:c>
    </x:row>
    <x:row r="4263">
      <x:c r="A4263" s="38" t="str">
        <x:v>7月30日现场数据</x:v>
      </x:c>
      <x:c r="B4263" s="39" t="str">
        <x:v>2026-08-04T06:15:00</x:v>
      </x:c>
      <x:c r="C4263" s="39" t="str">
        <x:v>2026-08-04T07:15:00</x:v>
      </x:c>
      <x:c r="D4263" s="47" t="n">
        <x:v>60</x:v>
      </x:c>
      <x:c r="E4263" s="40" t="n">
        <x:v>13</x:v>
      </x:c>
      <x:c r="F4263" s="40" t="n">
        <x:v>13.158340454101562</x:v>
      </x:c>
      <x:c r="G4263" s="40" t="n">
        <x:v>13</x:v>
      </x:c>
      <x:c r="H4263" s="40" t="n">
        <x:f>F4263-E4263</x:f>
        <x:v>0.1583404541015625</x:v>
      </x:c>
      <x:c r="I4263" s="40" t="n">
        <x:f>ABS(H4263)</x:f>
        <x:v>0.1583404541015625</x:v>
      </x:c>
      <x:c r="J4263" s="40" t="n">
        <x:f>H4263^2</x:f>
        <x:v>0.02507169940508902</x:v>
      </x:c>
      <x:c r="K4263" s="40" t="n">
        <x:f>G4263-E4263</x:f>
        <x:v>0</x:v>
      </x:c>
      <x:c r="L4263" s="40" t="n">
        <x:f>ABS(K4263)</x:f>
        <x:v>0</x:v>
      </x:c>
      <x:c r="M4263" s="41" t="str">
        <x:v>lstm-soil-v1</x:v>
      </x:c>
    </x:row>
    <x:row r="4264">
      <x:c r="A4264" s="38" t="str">
        <x:v>7月30日现场数据</x:v>
      </x:c>
      <x:c r="B4264" s="39" t="str">
        <x:v>2026-08-04T06:20:00</x:v>
      </x:c>
      <x:c r="C4264" s="39" t="str">
        <x:v>2026-08-04T06:25:00</x:v>
      </x:c>
      <x:c r="D4264" s="47" t="n">
        <x:v>5</x:v>
      </x:c>
      <x:c r="E4264" s="40" t="n">
        <x:v>13</x:v>
      </x:c>
      <x:c r="F4264" s="40" t="n">
        <x:v>11.012340545654297</x:v>
      </x:c>
      <x:c r="G4264" s="40" t="n">
        <x:v>13</x:v>
      </x:c>
      <x:c r="H4264" s="40" t="n">
        <x:f>F4264-E4264</x:f>
        <x:v>-1.9876594543457031</x:v>
      </x:c>
      <x:c r="I4264" s="40" t="n">
        <x:f>ABS(H4264)</x:f>
        <x:v>1.9876594543457031</x:v>
      </x:c>
      <x:c r="J4264" s="40" t="n">
        <x:f>H4264^2</x:f>
        <x:v>3.9507901064498583</x:v>
      </x:c>
      <x:c r="K4264" s="40" t="n">
        <x:f>G4264-E4264</x:f>
        <x:v>0</x:v>
      </x:c>
      <x:c r="L4264" s="40" t="n">
        <x:f>ABS(K4264)</x:f>
        <x:v>0</x:v>
      </x:c>
      <x:c r="M4264" s="41" t="str">
        <x:v>lstm-soil-v1</x:v>
      </x:c>
    </x:row>
    <x:row r="4265">
      <x:c r="A4265" s="38" t="str">
        <x:v>7月30日现场数据</x:v>
      </x:c>
      <x:c r="B4265" s="39" t="str">
        <x:v>2026-08-04T06:20:00</x:v>
      </x:c>
      <x:c r="C4265" s="39" t="str">
        <x:v>2026-08-04T06:35:00</x:v>
      </x:c>
      <x:c r="D4265" s="47" t="n">
        <x:v>15</x:v>
      </x:c>
      <x:c r="E4265" s="40" t="n">
        <x:v>13</x:v>
      </x:c>
      <x:c r="F4265" s="40" t="n">
        <x:v>11.077316284179688</x:v>
      </x:c>
      <x:c r="G4265" s="40" t="n">
        <x:v>13</x:v>
      </x:c>
      <x:c r="H4265" s="40" t="n">
        <x:f>F4265-E4265</x:f>
        <x:v>-1.9226837158203125</x:v>
      </x:c>
      <x:c r="I4265" s="40" t="n">
        <x:f>ABS(H4265)</x:f>
        <x:v>1.9226837158203125</x:v>
      </x:c>
      <x:c r="J4265" s="40" t="n">
        <x:f>H4265^2</x:f>
        <x:v>3.696712671080604</x:v>
      </x:c>
      <x:c r="K4265" s="40" t="n">
        <x:f>G4265-E4265</x:f>
        <x:v>0</x:v>
      </x:c>
      <x:c r="L4265" s="40" t="n">
        <x:f>ABS(K4265)</x:f>
        <x:v>0</x:v>
      </x:c>
      <x:c r="M4265" s="41" t="str">
        <x:v>lstm-soil-v1</x:v>
      </x:c>
    </x:row>
    <x:row r="4266">
      <x:c r="A4266" s="38" t="str">
        <x:v>7月30日现场数据</x:v>
      </x:c>
      <x:c r="B4266" s="39" t="str">
        <x:v>2026-08-04T06:20:00</x:v>
      </x:c>
      <x:c r="C4266" s="39" t="str">
        <x:v>2026-08-04T06:50:00</x:v>
      </x:c>
      <x:c r="D4266" s="47" t="n">
        <x:v>30</x:v>
      </x:c>
      <x:c r="E4266" s="40" t="n">
        <x:v>13</x:v>
      </x:c>
      <x:c r="F4266" s="40" t="n">
        <x:v>11.564250946044922</x:v>
      </x:c>
      <x:c r="G4266" s="40" t="n">
        <x:v>13</x:v>
      </x:c>
      <x:c r="H4266" s="40" t="n">
        <x:f>F4266-E4266</x:f>
        <x:v>-1.4357490539550781</x:v>
      </x:c>
      <x:c r="I4266" s="40" t="n">
        <x:f>ABS(H4266)</x:f>
        <x:v>1.4357490539550781</x:v>
      </x:c>
      <x:c r="J4266" s="40" t="n">
        <x:f>H4266^2</x:f>
        <x:v>2.061375345932902</x:v>
      </x:c>
      <x:c r="K4266" s="40" t="n">
        <x:f>G4266-E4266</x:f>
        <x:v>0</x:v>
      </x:c>
      <x:c r="L4266" s="40" t="n">
        <x:f>ABS(K4266)</x:f>
        <x:v>0</x:v>
      </x:c>
      <x:c r="M4266" s="41" t="str">
        <x:v>lstm-soil-v1</x:v>
      </x:c>
    </x:row>
    <x:row r="4267">
      <x:c r="A4267" s="38" t="str">
        <x:v>7月30日现场数据</x:v>
      </x:c>
      <x:c r="B4267" s="39" t="str">
        <x:v>2026-08-04T06:20:00</x:v>
      </x:c>
      <x:c r="C4267" s="39" t="str">
        <x:v>2026-08-04T07:20:00</x:v>
      </x:c>
      <x:c r="D4267" s="47" t="n">
        <x:v>60</x:v>
      </x:c>
      <x:c r="E4267" s="40" t="n">
        <x:v>13</x:v>
      </x:c>
      <x:c r="F4267" s="40" t="n">
        <x:v>13.15121078491211</x:v>
      </x:c>
      <x:c r="G4267" s="40" t="n">
        <x:v>13</x:v>
      </x:c>
      <x:c r="H4267" s="40" t="n">
        <x:f>F4267-E4267</x:f>
        <x:v>0.15121078491210938</x:v>
      </x:c>
      <x:c r="I4267" s="40" t="n">
        <x:f>ABS(H4267)</x:f>
        <x:v>0.15121078491210938</x:v>
      </x:c>
      <x:c r="J4267" s="40" t="n">
        <x:f>H4267^2</x:f>
        <x:v>0.022864701473736204</x:v>
      </x:c>
      <x:c r="K4267" s="40" t="n">
        <x:f>G4267-E4267</x:f>
        <x:v>0</x:v>
      </x:c>
      <x:c r="L4267" s="40" t="n">
        <x:f>ABS(K4267)</x:f>
        <x:v>0</x:v>
      </x:c>
      <x:c r="M4267" s="41" t="str">
        <x:v>lstm-soil-v1</x:v>
      </x:c>
    </x:row>
    <x:row r="4268">
      <x:c r="A4268" s="38" t="str">
        <x:v>7月30日现场数据</x:v>
      </x:c>
      <x:c r="B4268" s="39" t="str">
        <x:v>2026-08-04T06:25:00</x:v>
      </x:c>
      <x:c r="C4268" s="39" t="str">
        <x:v>2026-08-04T06:30:00</x:v>
      </x:c>
      <x:c r="D4268" s="47" t="n">
        <x:v>5</x:v>
      </x:c>
      <x:c r="E4268" s="40" t="n">
        <x:v>13</x:v>
      </x:c>
      <x:c r="F4268" s="40" t="n">
        <x:v>11.013259887695312</x:v>
      </x:c>
      <x:c r="G4268" s="40" t="n">
        <x:v>13</x:v>
      </x:c>
      <x:c r="H4268" s="40" t="n">
        <x:f>F4268-E4268</x:f>
        <x:v>-1.9867401123046875</x:v>
      </x:c>
      <x:c r="I4268" s="40" t="n">
        <x:f>ABS(H4268)</x:f>
        <x:v>1.9867401123046875</x:v>
      </x:c>
      <x:c r="J4268" s="40" t="n">
        <x:f>H4268^2</x:f>
        <x:v>3.9471362738404423</x:v>
      </x:c>
      <x:c r="K4268" s="40" t="n">
        <x:f>G4268-E4268</x:f>
        <x:v>0</x:v>
      </x:c>
      <x:c r="L4268" s="40" t="n">
        <x:f>ABS(K4268)</x:f>
        <x:v>0</x:v>
      </x:c>
      <x:c r="M4268" s="41" t="str">
        <x:v>lstm-soil-v1</x:v>
      </x:c>
    </x:row>
    <x:row r="4269">
      <x:c r="A4269" s="38" t="str">
        <x:v>7月30日现场数据</x:v>
      </x:c>
      <x:c r="B4269" s="39" t="str">
        <x:v>2026-08-04T06:25:00</x:v>
      </x:c>
      <x:c r="C4269" s="39" t="str">
        <x:v>2026-08-04T06:40:00</x:v>
      </x:c>
      <x:c r="D4269" s="47" t="n">
        <x:v>15</x:v>
      </x:c>
      <x:c r="E4269" s="40" t="n">
        <x:v>13</x:v>
      </x:c>
      <x:c r="F4269" s="40" t="n">
        <x:v>11.076316833496094</x:v>
      </x:c>
      <x:c r="G4269" s="40" t="n">
        <x:v>13</x:v>
      </x:c>
      <x:c r="H4269" s="40" t="n">
        <x:f>F4269-E4269</x:f>
        <x:v>-1.9236831665039062</x:v>
      </x:c>
      <x:c r="I4269" s="40" t="n">
        <x:f>ABS(H4269)</x:f>
        <x:v>1.9236831665039062</x:v>
      </x:c>
      <x:c r="J4269" s="40" t="n">
        <x:f>H4269^2</x:f>
        <x:v>3.7005569250904955</x:v>
      </x:c>
      <x:c r="K4269" s="40" t="n">
        <x:f>G4269-E4269</x:f>
        <x:v>0</x:v>
      </x:c>
      <x:c r="L4269" s="40" t="n">
        <x:f>ABS(K4269)</x:f>
        <x:v>0</x:v>
      </x:c>
      <x:c r="M4269" s="41" t="str">
        <x:v>lstm-soil-v1</x:v>
      </x:c>
    </x:row>
    <x:row r="4270">
      <x:c r="A4270" s="38" t="str">
        <x:v>7月30日现场数据</x:v>
      </x:c>
      <x:c r="B4270" s="39" t="str">
        <x:v>2026-08-04T06:25:00</x:v>
      </x:c>
      <x:c r="C4270" s="39" t="str">
        <x:v>2026-08-04T06:55:00</x:v>
      </x:c>
      <x:c r="D4270" s="47" t="n">
        <x:v>30</x:v>
      </x:c>
      <x:c r="E4270" s="40" t="n">
        <x:v>13</x:v>
      </x:c>
      <x:c r="F4270" s="40" t="n">
        <x:v>11.563854217529297</x:v>
      </x:c>
      <x:c r="G4270" s="40" t="n">
        <x:v>13</x:v>
      </x:c>
      <x:c r="H4270" s="40" t="n">
        <x:f>F4270-E4270</x:f>
        <x:v>-1.4361457824707031</x:v>
      </x:c>
      <x:c r="I4270" s="40" t="n">
        <x:f>ABS(H4270)</x:f>
        <x:v>1.4361457824707031</x:v>
      </x:c>
      <x:c r="J4270" s="40" t="n">
        <x:f>H4270^2</x:f>
        <x:v>2.062514708508388</x:v>
      </x:c>
      <x:c r="K4270" s="40" t="n">
        <x:f>G4270-E4270</x:f>
        <x:v>0</x:v>
      </x:c>
      <x:c r="L4270" s="40" t="n">
        <x:f>ABS(K4270)</x:f>
        <x:v>0</x:v>
      </x:c>
      <x:c r="M4270" s="41" t="str">
        <x:v>lstm-soil-v1</x:v>
      </x:c>
    </x:row>
    <x:row r="4271">
      <x:c r="A4271" s="38" t="str">
        <x:v>7月30日现场数据</x:v>
      </x:c>
      <x:c r="B4271" s="39" t="str">
        <x:v>2026-08-04T06:25:00</x:v>
      </x:c>
      <x:c r="C4271" s="39" t="str">
        <x:v>2026-08-04T07:25:00</x:v>
      </x:c>
      <x:c r="D4271" s="47" t="n">
        <x:v>60</x:v>
      </x:c>
      <x:c r="E4271" s="40" t="n">
        <x:v>13</x:v>
      </x:c>
      <x:c r="F4271" s="40" t="n">
        <x:v>13.152732849121094</x:v>
      </x:c>
      <x:c r="G4271" s="40" t="n">
        <x:v>13</x:v>
      </x:c>
      <x:c r="H4271" s="40" t="n">
        <x:f>F4271-E4271</x:f>
        <x:v>0.15273284912109375</x:v>
      </x:c>
      <x:c r="I4271" s="40" t="n">
        <x:f>ABS(H4271)</x:f>
        <x:v>0.15273284912109375</x:v>
      </x:c>
      <x:c r="J4271" s="40" t="n">
        <x:f>H4271^2</x:f>
        <x:v>0.023327323200646788</x:v>
      </x:c>
      <x:c r="K4271" s="40" t="n">
        <x:f>G4271-E4271</x:f>
        <x:v>0</x:v>
      </x:c>
      <x:c r="L4271" s="40" t="n">
        <x:f>ABS(K4271)</x:f>
        <x:v>0</x:v>
      </x:c>
      <x:c r="M4271" s="41" t="str">
        <x:v>lstm-soil-v1</x:v>
      </x:c>
    </x:row>
    <x:row r="4272">
      <x:c r="A4272" s="38" t="str">
        <x:v>7月30日现场数据</x:v>
      </x:c>
      <x:c r="B4272" s="39" t="str">
        <x:v>2026-08-04T06:30:00</x:v>
      </x:c>
      <x:c r="C4272" s="39" t="str">
        <x:v>2026-08-04T06:35:00</x:v>
      </x:c>
      <x:c r="D4272" s="47" t="n">
        <x:v>5</x:v>
      </x:c>
      <x:c r="E4272" s="40" t="n">
        <x:v>13</x:v>
      </x:c>
      <x:c r="F4272" s="40" t="n">
        <x:v>11.01419448852539</x:v>
      </x:c>
      <x:c r="G4272" s="40" t="n">
        <x:v>13</x:v>
      </x:c>
      <x:c r="H4272" s="40" t="n">
        <x:f>F4272-E4272</x:f>
        <x:v>-1.9858055114746094</x:v>
      </x:c>
      <x:c r="I4272" s="40" t="n">
        <x:f>ABS(H4272)</x:f>
        <x:v>1.9858055114746094</x:v>
      </x:c>
      <x:c r="J4272" s="40" t="n">
        <x:f>H4272^2</x:f>
        <x:v>3.943423529402935</x:v>
      </x:c>
      <x:c r="K4272" s="40" t="n">
        <x:f>G4272-E4272</x:f>
        <x:v>0</x:v>
      </x:c>
      <x:c r="L4272" s="40" t="n">
        <x:f>ABS(K4272)</x:f>
        <x:v>0</x:v>
      </x:c>
      <x:c r="M4272" s="41" t="str">
        <x:v>lstm-soil-v1</x:v>
      </x:c>
    </x:row>
    <x:row r="4273">
      <x:c r="A4273" s="38" t="str">
        <x:v>7月30日现场数据</x:v>
      </x:c>
      <x:c r="B4273" s="39" t="str">
        <x:v>2026-08-04T06:30:00</x:v>
      </x:c>
      <x:c r="C4273" s="39" t="str">
        <x:v>2026-08-04T06:45:00</x:v>
      </x:c>
      <x:c r="D4273" s="47" t="n">
        <x:v>15</x:v>
      </x:c>
      <x:c r="E4273" s="40" t="n">
        <x:v>13</x:v>
      </x:c>
      <x:c r="F4273" s="40" t="n">
        <x:v>11.075641632080078</x:v>
      </x:c>
      <x:c r="G4273" s="40" t="n">
        <x:v>13</x:v>
      </x:c>
      <x:c r="H4273" s="40" t="n">
        <x:f>F4273-E4273</x:f>
        <x:v>-1.9243583679199219</x:v>
      </x:c>
      <x:c r="I4273" s="40" t="n">
        <x:f>ABS(H4273)</x:f>
        <x:v>1.9243583679199219</x:v>
      </x:c>
      <x:c r="J4273" s="40" t="n">
        <x:f>H4273^2</x:f>
        <x:v>3.7031551281834254</x:v>
      </x:c>
      <x:c r="K4273" s="40" t="n">
        <x:f>G4273-E4273</x:f>
        <x:v>0</x:v>
      </x:c>
      <x:c r="L4273" s="40" t="n">
        <x:f>ABS(K4273)</x:f>
        <x:v>0</x:v>
      </x:c>
      <x:c r="M4273" s="41" t="str">
        <x:v>lstm-soil-v1</x:v>
      </x:c>
    </x:row>
    <x:row r="4274">
      <x:c r="A4274" s="38" t="str">
        <x:v>7月30日现场数据</x:v>
      </x:c>
      <x:c r="B4274" s="39" t="str">
        <x:v>2026-08-04T06:30:00</x:v>
      </x:c>
      <x:c r="C4274" s="39" t="str">
        <x:v>2026-08-04T07:00:00</x:v>
      </x:c>
      <x:c r="D4274" s="47" t="n">
        <x:v>30</x:v>
      </x:c>
      <x:c r="E4274" s="40" t="n">
        <x:v>13</x:v>
      </x:c>
      <x:c r="F4274" s="40" t="n">
        <x:v>11.564552307128906</x:v>
      </x:c>
      <x:c r="G4274" s="40" t="n">
        <x:v>13</x:v>
      </x:c>
      <x:c r="H4274" s="40" t="n">
        <x:f>F4274-E4274</x:f>
        <x:v>-1.4354476928710938</x:v>
      </x:c>
      <x:c r="I4274" s="40" t="n">
        <x:f>ABS(H4274)</x:f>
        <x:v>1.4354476928710938</x:v>
      </x:c>
      <x:c r="J4274" s="40" t="n">
        <x:f>H4274^2</x:f>
        <x:v>2.060510078968946</x:v>
      </x:c>
      <x:c r="K4274" s="40" t="n">
        <x:f>G4274-E4274</x:f>
        <x:v>0</x:v>
      </x:c>
      <x:c r="L4274" s="40" t="n">
        <x:f>ABS(K4274)</x:f>
        <x:v>0</x:v>
      </x:c>
      <x:c r="M4274" s="41" t="str">
        <x:v>lstm-soil-v1</x:v>
      </x:c>
    </x:row>
    <x:row r="4275">
      <x:c r="A4275" s="38" t="str">
        <x:v>7月30日现场数据</x:v>
      </x:c>
      <x:c r="B4275" s="39" t="str">
        <x:v>2026-08-04T06:30:00</x:v>
      </x:c>
      <x:c r="C4275" s="39" t="str">
        <x:v>2026-08-04T07:30:00</x:v>
      </x:c>
      <x:c r="D4275" s="47" t="n">
        <x:v>60</x:v>
      </x:c>
      <x:c r="E4275" s="40" t="n">
        <x:v>13</x:v>
      </x:c>
      <x:c r="F4275" s="40" t="n">
        <x:v>13.154216766357422</x:v>
      </x:c>
      <x:c r="G4275" s="40" t="n">
        <x:v>13</x:v>
      </x:c>
      <x:c r="H4275" s="40" t="n">
        <x:f>F4275-E4275</x:f>
        <x:v>0.15421676635742188</x:v>
      </x:c>
      <x:c r="I4275" s="40" t="n">
        <x:f>ABS(H4275)</x:f>
        <x:v>0.15421676635742188</x:v>
      </x:c>
      <x:c r="J4275" s="40" t="n">
        <x:f>H4275^2</x:f>
        <x:v>0.023782811025739647</x:v>
      </x:c>
      <x:c r="K4275" s="40" t="n">
        <x:f>G4275-E4275</x:f>
        <x:v>0</x:v>
      </x:c>
      <x:c r="L4275" s="40" t="n">
        <x:f>ABS(K4275)</x:f>
        <x:v>0</x:v>
      </x:c>
      <x:c r="M4275" s="41" t="str">
        <x:v>lstm-soil-v1</x:v>
      </x:c>
    </x:row>
    <x:row r="4276">
      <x:c r="A4276" s="38" t="str">
        <x:v>7月30日现场数据</x:v>
      </x:c>
      <x:c r="B4276" s="39" t="str">
        <x:v>2026-08-04T06:35:00</x:v>
      </x:c>
      <x:c r="C4276" s="39" t="str">
        <x:v>2026-08-04T06:40:00</x:v>
      </x:c>
      <x:c r="D4276" s="47" t="n">
        <x:v>5</x:v>
      </x:c>
      <x:c r="E4276" s="40" t="n">
        <x:v>13</x:v>
      </x:c>
      <x:c r="F4276" s="40" t="n">
        <x:v>11.015037536621094</x:v>
      </x:c>
      <x:c r="G4276" s="40" t="n">
        <x:v>13</x:v>
      </x:c>
      <x:c r="H4276" s="40" t="n">
        <x:f>F4276-E4276</x:f>
        <x:v>-1.9849624633789062</x:v>
      </x:c>
      <x:c r="I4276" s="40" t="n">
        <x:f>ABS(H4276)</x:f>
        <x:v>1.9849624633789062</x:v>
      </x:c>
      <x:c r="J4276" s="40" t="n">
        <x:f>H4276^2</x:f>
        <x:v>3.9400759810232557</x:v>
      </x:c>
      <x:c r="K4276" s="40" t="n">
        <x:f>G4276-E4276</x:f>
        <x:v>0</x:v>
      </x:c>
      <x:c r="L4276" s="40" t="n">
        <x:f>ABS(K4276)</x:f>
        <x:v>0</x:v>
      </x:c>
      <x:c r="M4276" s="41" t="str">
        <x:v>lstm-soil-v1</x:v>
      </x:c>
    </x:row>
    <x:row r="4277">
      <x:c r="A4277" s="38" t="str">
        <x:v>7月30日现场数据</x:v>
      </x:c>
      <x:c r="B4277" s="39" t="str">
        <x:v>2026-08-04T06:35:00</x:v>
      </x:c>
      <x:c r="C4277" s="39" t="str">
        <x:v>2026-08-04T06:50:00</x:v>
      </x:c>
      <x:c r="D4277" s="47" t="n">
        <x:v>15</x:v>
      </x:c>
      <x:c r="E4277" s="40" t="n">
        <x:v>13</x:v>
      </x:c>
      <x:c r="F4277" s="40" t="n">
        <x:v>11.075340270996094</x:v>
      </x:c>
      <x:c r="G4277" s="40" t="n">
        <x:v>13</x:v>
      </x:c>
      <x:c r="H4277" s="40" t="n">
        <x:f>F4277-E4277</x:f>
        <x:v>-1.9246597290039062</x:v>
      </x:c>
      <x:c r="I4277" s="40" t="n">
        <x:f>ABS(H4277)</x:f>
        <x:v>1.9246597290039062</x:v>
      </x:c>
      <x:c r="J4277" s="40" t="n">
        <x:f>H4277^2</x:f>
        <x:v>3.70431507244939</x:v>
      </x:c>
      <x:c r="K4277" s="40" t="n">
        <x:f>G4277-E4277</x:f>
        <x:v>0</x:v>
      </x:c>
      <x:c r="L4277" s="40" t="n">
        <x:f>ABS(K4277)</x:f>
        <x:v>0</x:v>
      </x:c>
      <x:c r="M4277" s="41" t="str">
        <x:v>lstm-soil-v1</x:v>
      </x:c>
    </x:row>
    <x:row r="4278">
      <x:c r="A4278" s="38" t="str">
        <x:v>7月30日现场数据</x:v>
      </x:c>
      <x:c r="B4278" s="39" t="str">
        <x:v>2026-08-04T06:35:00</x:v>
      </x:c>
      <x:c r="C4278" s="39" t="str">
        <x:v>2026-08-04T07:05:00</x:v>
      </x:c>
      <x:c r="D4278" s="47" t="n">
        <x:v>30</x:v>
      </x:c>
      <x:c r="E4278" s="40" t="n">
        <x:v>12.9</x:v>
      </x:c>
      <x:c r="F4278" s="40" t="n">
        <x:v>11.565635681152344</x:v>
      </x:c>
      <x:c r="G4278" s="40" t="n">
        <x:v>13</x:v>
      </x:c>
      <x:c r="H4278" s="40" t="n">
        <x:f>F4278-E4278</x:f>
        <x:v>-1.3343643188476566</x:v>
      </x:c>
      <x:c r="I4278" s="40" t="n">
        <x:f>ABS(H4278)</x:f>
        <x:v>1.3343643188476566</x:v>
      </x:c>
      <x:c r="J4278" s="40" t="n">
        <x:f>H4278^2</x:f>
        <x:v>1.7805281354137705</x:v>
      </x:c>
      <x:c r="K4278" s="40" t="n">
        <x:f>G4278-E4278</x:f>
        <x:v>0.09999999999999964</x:v>
      </x:c>
      <x:c r="L4278" s="40" t="n">
        <x:f>ABS(K4278)</x:f>
        <x:v>0.09999999999999964</x:v>
      </x:c>
      <x:c r="M4278" s="41" t="str">
        <x:v>lstm-soil-v1</x:v>
      </x:c>
    </x:row>
    <x:row r="4279">
      <x:c r="A4279" s="38" t="str">
        <x:v>7月30日现场数据</x:v>
      </x:c>
      <x:c r="B4279" s="39" t="str">
        <x:v>2026-08-04T06:35:00</x:v>
      </x:c>
      <x:c r="C4279" s="39" t="str">
        <x:v>2026-08-04T07:35:00</x:v>
      </x:c>
      <x:c r="D4279" s="47" t="n">
        <x:v>60</x:v>
      </x:c>
      <x:c r="E4279" s="40" t="n">
        <x:v>13</x:v>
      </x:c>
      <x:c r="F4279" s="40" t="n">
        <x:v>13.155632019042969</x:v>
      </x:c>
      <x:c r="G4279" s="40" t="n">
        <x:v>13</x:v>
      </x:c>
      <x:c r="H4279" s="40" t="n">
        <x:f>F4279-E4279</x:f>
        <x:v>0.15563201904296875</x:v>
      </x:c>
      <x:c r="I4279" s="40" t="n">
        <x:f>ABS(H4279)</x:f>
        <x:v>0.15563201904296875</x:v>
      </x:c>
      <x:c r="J4279" s="40" t="n">
        <x:f>H4279^2</x:f>
        <x:v>0.024221325351390988</x:v>
      </x:c>
      <x:c r="K4279" s="40" t="n">
        <x:f>G4279-E4279</x:f>
        <x:v>0</x:v>
      </x:c>
      <x:c r="L4279" s="40" t="n">
        <x:f>ABS(K4279)</x:f>
        <x:v>0</x:v>
      </x:c>
      <x:c r="M4279" s="41" t="str">
        <x:v>lstm-soil-v1</x:v>
      </x:c>
    </x:row>
    <x:row r="4280">
      <x:c r="A4280" s="38" t="str">
        <x:v>7月30日现场数据</x:v>
      </x:c>
      <x:c r="B4280" s="39" t="str">
        <x:v>2026-08-04T06:40:00</x:v>
      </x:c>
      <x:c r="C4280" s="39" t="str">
        <x:v>2026-08-04T06:45:00</x:v>
      </x:c>
      <x:c r="D4280" s="47" t="n">
        <x:v>5</x:v>
      </x:c>
      <x:c r="E4280" s="40" t="n">
        <x:v>13</x:v>
      </x:c>
      <x:c r="F4280" s="40" t="n">
        <x:v>11.015674591064453</x:v>
      </x:c>
      <x:c r="G4280" s="40" t="n">
        <x:v>13</x:v>
      </x:c>
      <x:c r="H4280" s="40" t="n">
        <x:f>F4280-E4280</x:f>
        <x:v>-1.9843254089355469</x:v>
      </x:c>
      <x:c r="I4280" s="40" t="n">
        <x:f>ABS(H4280)</x:f>
        <x:v>1.9843254089355469</x:v>
      </x:c>
      <x:c r="J4280" s="40" t="n">
        <x:f>H4280^2</x:f>
        <x:v>3.9375473285472253</x:v>
      </x:c>
      <x:c r="K4280" s="40" t="n">
        <x:f>G4280-E4280</x:f>
        <x:v>0</x:v>
      </x:c>
      <x:c r="L4280" s="40" t="n">
        <x:f>ABS(K4280)</x:f>
        <x:v>0</x:v>
      </x:c>
      <x:c r="M4280" s="41" t="str">
        <x:v>lstm-soil-v1</x:v>
      </x:c>
    </x:row>
    <x:row r="4281">
      <x:c r="A4281" s="38" t="str">
        <x:v>7月30日现场数据</x:v>
      </x:c>
      <x:c r="B4281" s="39" t="str">
        <x:v>2026-08-04T06:40:00</x:v>
      </x:c>
      <x:c r="C4281" s="39" t="str">
        <x:v>2026-08-04T06:55:00</x:v>
      </x:c>
      <x:c r="D4281" s="47" t="n">
        <x:v>15</x:v>
      </x:c>
      <x:c r="E4281" s="40" t="n">
        <x:v>13</x:v>
      </x:c>
      <x:c r="F4281" s="40" t="n">
        <x:v>11.07535171508789</x:v>
      </x:c>
      <x:c r="G4281" s="40" t="n">
        <x:v>13</x:v>
      </x:c>
      <x:c r="H4281" s="40" t="n">
        <x:f>F4281-E4281</x:f>
        <x:v>-1.9246482849121094</x:v>
      </x:c>
      <x:c r="I4281" s="40" t="n">
        <x:f>ABS(H4281)</x:f>
        <x:v>1.9246482849121094</x:v>
      </x:c>
      <x:c r="J4281" s="40" t="n">
        <x:f>H4281^2</x:f>
        <x:v>3.704271020615124</x:v>
      </x:c>
      <x:c r="K4281" s="40" t="n">
        <x:f>G4281-E4281</x:f>
        <x:v>0</x:v>
      </x:c>
      <x:c r="L4281" s="40" t="n">
        <x:f>ABS(K4281)</x:f>
        <x:v>0</x:v>
      </x:c>
      <x:c r="M4281" s="41" t="str">
        <x:v>lstm-soil-v1</x:v>
      </x:c>
    </x:row>
    <x:row r="4282">
      <x:c r="A4282" s="38" t="str">
        <x:v>7月30日现场数据</x:v>
      </x:c>
      <x:c r="B4282" s="39" t="str">
        <x:v>2026-08-04T06:40:00</x:v>
      </x:c>
      <x:c r="C4282" s="39" t="str">
        <x:v>2026-08-04T07:10:00</x:v>
      </x:c>
      <x:c r="D4282" s="47" t="n">
        <x:v>30</x:v>
      </x:c>
      <x:c r="E4282" s="40" t="n">
        <x:v>12.9</x:v>
      </x:c>
      <x:c r="F4282" s="40" t="n">
        <x:v>11.566612243652344</x:v>
      </x:c>
      <x:c r="G4282" s="40" t="n">
        <x:v>13</x:v>
      </x:c>
      <x:c r="H4282" s="40" t="n">
        <x:f>F4282-E4282</x:f>
        <x:v>-1.3333877563476566</x:v>
      </x:c>
      <x:c r="I4282" s="40" t="n">
        <x:f>ABS(H4282)</x:f>
        <x:v>1.3333877563476566</x:v>
      </x:c>
      <x:c r="J4282" s="40" t="n">
        <x:f>H4282^2</x:f>
        <x:v>1.7779229087778377</x:v>
      </x:c>
      <x:c r="K4282" s="40" t="n">
        <x:f>G4282-E4282</x:f>
        <x:v>0.09999999999999964</x:v>
      </x:c>
      <x:c r="L4282" s="40" t="n">
        <x:f>ABS(K4282)</x:f>
        <x:v>0.09999999999999964</x:v>
      </x:c>
      <x:c r="M4282" s="41" t="str">
        <x:v>lstm-soil-v1</x:v>
      </x:c>
    </x:row>
    <x:row r="4283">
      <x:c r="A4283" s="38" t="str">
        <x:v>7月30日现场数据</x:v>
      </x:c>
      <x:c r="B4283" s="39" t="str">
        <x:v>2026-08-04T06:40:00</x:v>
      </x:c>
      <x:c r="C4283" s="39" t="str">
        <x:v>2026-08-04T07:40:00</x:v>
      </x:c>
      <x:c r="D4283" s="47" t="n">
        <x:v>60</x:v>
      </x:c>
      <x:c r="E4283" s="40" t="n">
        <x:v>13</x:v>
      </x:c>
      <x:c r="F4283" s="40" t="n">
        <x:v>13.156673431396484</x:v>
      </x:c>
      <x:c r="G4283" s="40" t="n">
        <x:v>13</x:v>
      </x:c>
      <x:c r="H4283" s="40" t="n">
        <x:f>F4283-E4283</x:f>
        <x:v>0.15667343139648438</x:v>
      </x:c>
      <x:c r="I4283" s="40" t="n">
        <x:f>ABS(H4283)</x:f>
        <x:v>0.15667343139648438</x:v>
      </x:c>
      <x:c r="J4283" s="40" t="n">
        <x:f>H4283^2</x:f>
        <x:v>0.024546564105548896</x:v>
      </x:c>
      <x:c r="K4283" s="40" t="n">
        <x:f>G4283-E4283</x:f>
        <x:v>0</x:v>
      </x:c>
      <x:c r="L4283" s="40" t="n">
        <x:f>ABS(K4283)</x:f>
        <x:v>0</x:v>
      </x:c>
      <x:c r="M4283" s="41" t="str">
        <x:v>lstm-soil-v1</x:v>
      </x:c>
    </x:row>
    <x:row r="4284">
      <x:c r="A4284" s="38" t="str">
        <x:v>7月30日现场数据</x:v>
      </x:c>
      <x:c r="B4284" s="39" t="str">
        <x:v>2026-08-04T06:45:00</x:v>
      </x:c>
      <x:c r="C4284" s="39" t="str">
        <x:v>2026-08-04T06:50:00</x:v>
      </x:c>
      <x:c r="D4284" s="47" t="n">
        <x:v>5</x:v>
      </x:c>
      <x:c r="E4284" s="40" t="n">
        <x:v>13</x:v>
      </x:c>
      <x:c r="F4284" s="40" t="n">
        <x:v>11.016281127929688</x:v>
      </x:c>
      <x:c r="G4284" s="40" t="n">
        <x:v>13</x:v>
      </x:c>
      <x:c r="H4284" s="40" t="n">
        <x:f>F4284-E4284</x:f>
        <x:v>-1.9837188720703125</x:v>
      </x:c>
      <x:c r="I4284" s="40" t="n">
        <x:f>ABS(H4284)</x:f>
        <x:v>1.9837188720703125</x:v>
      </x:c>
      <x:c r="J4284" s="40" t="n">
        <x:f>H4284^2</x:f>
        <x:v>3.935140563407913</x:v>
      </x:c>
      <x:c r="K4284" s="40" t="n">
        <x:f>G4284-E4284</x:f>
        <x:v>0</x:v>
      </x:c>
      <x:c r="L4284" s="40" t="n">
        <x:f>ABS(K4284)</x:f>
        <x:v>0</x:v>
      </x:c>
      <x:c r="M4284" s="41" t="str">
        <x:v>lstm-soil-v1</x:v>
      </x:c>
    </x:row>
    <x:row r="4285">
      <x:c r="A4285" s="38" t="str">
        <x:v>7月30日现场数据</x:v>
      </x:c>
      <x:c r="B4285" s="39" t="str">
        <x:v>2026-08-04T06:45:00</x:v>
      </x:c>
      <x:c r="C4285" s="39" t="str">
        <x:v>2026-08-04T07:00:00</x:v>
      </x:c>
      <x:c r="D4285" s="47" t="n">
        <x:v>15</x:v>
      </x:c>
      <x:c r="E4285" s="40" t="n">
        <x:v>13</x:v>
      </x:c>
      <x:c r="F4285" s="40" t="n">
        <x:v>11.075389862060547</x:v>
      </x:c>
      <x:c r="G4285" s="40" t="n">
        <x:v>13</x:v>
      </x:c>
      <x:c r="H4285" s="40" t="n">
        <x:f>F4285-E4285</x:f>
        <x:v>-1.9246101379394531</x:v>
      </x:c>
      <x:c r="I4285" s="40" t="n">
        <x:f>ABS(H4285)</x:f>
        <x:v>1.9246101379394531</x:v>
      </x:c>
      <x:c r="J4285" s="40" t="n">
        <x:f>H4285^2</x:f>
        <x:v>3.704124183059321</x:v>
      </x:c>
      <x:c r="K4285" s="40" t="n">
        <x:f>G4285-E4285</x:f>
        <x:v>0</x:v>
      </x:c>
      <x:c r="L4285" s="40" t="n">
        <x:f>ABS(K4285)</x:f>
        <x:v>0</x:v>
      </x:c>
      <x:c r="M4285" s="41" t="str">
        <x:v>lstm-soil-v1</x:v>
      </x:c>
    </x:row>
    <x:row r="4286">
      <x:c r="A4286" s="38" t="str">
        <x:v>7月30日现场数据</x:v>
      </x:c>
      <x:c r="B4286" s="39" t="str">
        <x:v>2026-08-04T06:45:00</x:v>
      </x:c>
      <x:c r="C4286" s="39" t="str">
        <x:v>2026-08-04T07:15:00</x:v>
      </x:c>
      <x:c r="D4286" s="47" t="n">
        <x:v>30</x:v>
      </x:c>
      <x:c r="E4286" s="40" t="n">
        <x:v>13</x:v>
      </x:c>
      <x:c r="F4286" s="40" t="n">
        <x:v>11.5675048828125</x:v>
      </x:c>
      <x:c r="G4286" s="40" t="n">
        <x:v>13</x:v>
      </x:c>
      <x:c r="H4286" s="40" t="n">
        <x:f>F4286-E4286</x:f>
        <x:v>-1.4324951171875</x:v>
      </x:c>
      <x:c r="I4286" s="40" t="n">
        <x:f>ABS(H4286)</x:f>
        <x:v>1.4324951171875</x:v>
      </x:c>
      <x:c r="J4286" s="40" t="n">
        <x:f>H4286^2</x:f>
        <x:v>2.0520422607660294</x:v>
      </x:c>
      <x:c r="K4286" s="40" t="n">
        <x:f>G4286-E4286</x:f>
        <x:v>0</x:v>
      </x:c>
      <x:c r="L4286" s="40" t="n">
        <x:f>ABS(K4286)</x:f>
        <x:v>0</x:v>
      </x:c>
      <x:c r="M4286" s="41" t="str">
        <x:v>lstm-soil-v1</x:v>
      </x:c>
    </x:row>
    <x:row r="4287">
      <x:c r="A4287" s="38" t="str">
        <x:v>7月30日现场数据</x:v>
      </x:c>
      <x:c r="B4287" s="39" t="str">
        <x:v>2026-08-04T06:45:00</x:v>
      </x:c>
      <x:c r="C4287" s="39" t="str">
        <x:v>2026-08-04T07:45:00</x:v>
      </x:c>
      <x:c r="D4287" s="47" t="n">
        <x:v>60</x:v>
      </x:c>
      <x:c r="E4287" s="40" t="n">
        <x:v>13</x:v>
      </x:c>
      <x:c r="F4287" s="40" t="n">
        <x:v>13.157760620117188</x:v>
      </x:c>
      <x:c r="G4287" s="40" t="n">
        <x:v>13</x:v>
      </x:c>
      <x:c r="H4287" s="40" t="n">
        <x:f>F4287-E4287</x:f>
        <x:v>0.1577606201171875</x:v>
      </x:c>
      <x:c r="I4287" s="40" t="n">
        <x:f>ABS(H4287)</x:f>
        <x:v>0.1577606201171875</x:v>
      </x:c>
      <x:c r="J4287" s="40" t="n">
        <x:f>H4287^2</x:f>
        <x:v>0.024888413259759545</x:v>
      </x:c>
      <x:c r="K4287" s="40" t="n">
        <x:f>G4287-E4287</x:f>
        <x:v>0</x:v>
      </x:c>
      <x:c r="L4287" s="40" t="n">
        <x:f>ABS(K4287)</x:f>
        <x:v>0</x:v>
      </x:c>
      <x:c r="M4287" s="41" t="str">
        <x:v>lstm-soil-v1</x:v>
      </x:c>
    </x:row>
    <x:row r="4288">
      <x:c r="A4288" s="38" t="str">
        <x:v>7月30日现场数据</x:v>
      </x:c>
      <x:c r="B4288" s="39" t="str">
        <x:v>2026-08-04T06:50:00</x:v>
      </x:c>
      <x:c r="C4288" s="39" t="str">
        <x:v>2026-08-04T06:55:00</x:v>
      </x:c>
      <x:c r="D4288" s="47" t="n">
        <x:v>5</x:v>
      </x:c>
      <x:c r="E4288" s="40" t="n">
        <x:v>13</x:v>
      </x:c>
      <x:c r="F4288" s="40" t="n">
        <x:v>11.01681137084961</x:v>
      </x:c>
      <x:c r="G4288" s="40" t="n">
        <x:v>13</x:v>
      </x:c>
      <x:c r="H4288" s="40" t="n">
        <x:f>F4288-E4288</x:f>
        <x:v>-1.9831886291503906</x:v>
      </x:c>
      <x:c r="I4288" s="40" t="n">
        <x:f>ABS(H4288)</x:f>
        <x:v>1.9831886291503906</x:v>
      </x:c>
      <x:c r="J4288" s="40" t="n">
        <x:f>H4288^2</x:f>
        <x:v>3.9330371387914056</x:v>
      </x:c>
      <x:c r="K4288" s="40" t="n">
        <x:f>G4288-E4288</x:f>
        <x:v>0</x:v>
      </x:c>
      <x:c r="L4288" s="40" t="n">
        <x:f>ABS(K4288)</x:f>
        <x:v>0</x:v>
      </x:c>
      <x:c r="M4288" s="41" t="str">
        <x:v>lstm-soil-v1</x:v>
      </x:c>
    </x:row>
    <x:row r="4289">
      <x:c r="A4289" s="38" t="str">
        <x:v>7月30日现场数据</x:v>
      </x:c>
      <x:c r="B4289" s="39" t="str">
        <x:v>2026-08-04T06:50:00</x:v>
      </x:c>
      <x:c r="C4289" s="39" t="str">
        <x:v>2026-08-04T07:05:00</x:v>
      </x:c>
      <x:c r="D4289" s="47" t="n">
        <x:v>15</x:v>
      </x:c>
      <x:c r="E4289" s="40" t="n">
        <x:v>12.9</x:v>
      </x:c>
      <x:c r="F4289" s="40" t="n">
        <x:v>11.075454711914062</x:v>
      </x:c>
      <x:c r="G4289" s="40" t="n">
        <x:v>13</x:v>
      </x:c>
      <x:c r="H4289" s="40" t="n">
        <x:f>F4289-E4289</x:f>
        <x:v>-1.8245452880859379</x:v>
      </x:c>
      <x:c r="I4289" s="40" t="n">
        <x:f>ABS(H4289)</x:f>
        <x:v>1.8245452880859379</x:v>
      </x:c>
      <x:c r="J4289" s="40" t="n">
        <x:f>H4289^2</x:f>
        <x:v>3.328965508276598</x:v>
      </x:c>
      <x:c r="K4289" s="40" t="n">
        <x:f>G4289-E4289</x:f>
        <x:v>0.09999999999999964</x:v>
      </x:c>
      <x:c r="L4289" s="40" t="n">
        <x:f>ABS(K4289)</x:f>
        <x:v>0.09999999999999964</x:v>
      </x:c>
      <x:c r="M4289" s="41" t="str">
        <x:v>lstm-soil-v1</x:v>
      </x:c>
    </x:row>
    <x:row r="4290">
      <x:c r="A4290" s="38" t="str">
        <x:v>7月30日现场数据</x:v>
      </x:c>
      <x:c r="B4290" s="39" t="str">
        <x:v>2026-08-04T06:50:00</x:v>
      </x:c>
      <x:c r="C4290" s="39" t="str">
        <x:v>2026-08-04T07:20:00</x:v>
      </x:c>
      <x:c r="D4290" s="47" t="n">
        <x:v>30</x:v>
      </x:c>
      <x:c r="E4290" s="40" t="n">
        <x:v>13</x:v>
      </x:c>
      <x:c r="F4290" s="40" t="n">
        <x:v>11.568397521972656</x:v>
      </x:c>
      <x:c r="G4290" s="40" t="n">
        <x:v>13</x:v>
      </x:c>
      <x:c r="H4290" s="40" t="n">
        <x:f>F4290-E4290</x:f>
        <x:v>-1.4316024780273438</x:v>
      </x:c>
      <x:c r="I4290" s="40" t="n">
        <x:f>ABS(H4290)</x:f>
        <x:v>1.4316024780273438</x:v>
      </x:c>
      <x:c r="J4290" s="40" t="n">
        <x:f>H4290^2</x:f>
        <x:v>2.0494856550940312</x:v>
      </x:c>
      <x:c r="K4290" s="40" t="n">
        <x:f>G4290-E4290</x:f>
        <x:v>0</x:v>
      </x:c>
      <x:c r="L4290" s="40" t="n">
        <x:f>ABS(K4290)</x:f>
        <x:v>0</x:v>
      </x:c>
      <x:c r="M4290" s="41" t="str">
        <x:v>lstm-soil-v1</x:v>
      </x:c>
    </x:row>
    <x:row r="4291">
      <x:c r="A4291" s="38" t="str">
        <x:v>7月30日现场数据</x:v>
      </x:c>
      <x:c r="B4291" s="39" t="str">
        <x:v>2026-08-04T06:50:00</x:v>
      </x:c>
      <x:c r="C4291" s="39" t="str">
        <x:v>2026-08-04T07:50:00</x:v>
      </x:c>
      <x:c r="D4291" s="47" t="n">
        <x:v>60</x:v>
      </x:c>
      <x:c r="E4291" s="40" t="n">
        <x:v>13</x:v>
      </x:c>
      <x:c r="F4291" s="40" t="n">
        <x:v>13.15878677368164</x:v>
      </x:c>
      <x:c r="G4291" s="40" t="n">
        <x:v>13</x:v>
      </x:c>
      <x:c r="H4291" s="40" t="n">
        <x:f>F4291-E4291</x:f>
        <x:v>0.15878677368164062</x:v>
      </x:c>
      <x:c r="I4291" s="40" t="n">
        <x:f>ABS(H4291)</x:f>
        <x:v>0.15878677368164062</x:v>
      </x:c>
      <x:c r="J4291" s="40" t="n">
        <x:f>H4291^2</x:f>
        <x:v>0.02521323949622456</x:v>
      </x:c>
      <x:c r="K4291" s="40" t="n">
        <x:f>G4291-E4291</x:f>
        <x:v>0</x:v>
      </x:c>
      <x:c r="L4291" s="40" t="n">
        <x:f>ABS(K4291)</x:f>
        <x:v>0</x:v>
      </x:c>
      <x:c r="M4291" s="41" t="str">
        <x:v>lstm-soil-v1</x:v>
      </x:c>
    </x:row>
    <x:row r="4292">
      <x:c r="A4292" s="38" t="str">
        <x:v>7月30日现场数据</x:v>
      </x:c>
      <x:c r="B4292" s="39" t="str">
        <x:v>2026-08-04T06:55:00</x:v>
      </x:c>
      <x:c r="C4292" s="39" t="str">
        <x:v>2026-08-04T07:00:00</x:v>
      </x:c>
      <x:c r="D4292" s="47" t="n">
        <x:v>5</x:v>
      </x:c>
      <x:c r="E4292" s="40" t="n">
        <x:v>13</x:v>
      </x:c>
      <x:c r="F4292" s="40" t="n">
        <x:v>11.017375946044922</x:v>
      </x:c>
      <x:c r="G4292" s="40" t="n">
        <x:v>13</x:v>
      </x:c>
      <x:c r="H4292" s="40" t="n">
        <x:f>F4292-E4292</x:f>
        <x:v>-1.9826240539550781</x:v>
      </x:c>
      <x:c r="I4292" s="40" t="n">
        <x:f>ABS(H4292)</x:f>
        <x:v>1.9826240539550781</x:v>
      </x:c>
      <x:c r="J4292" s="40" t="n">
        <x:f>H4292^2</x:f>
        <x:v>3.9307981393212685</x:v>
      </x:c>
      <x:c r="K4292" s="40" t="n">
        <x:f>G4292-E4292</x:f>
        <x:v>0</x:v>
      </x:c>
      <x:c r="L4292" s="40" t="n">
        <x:f>ABS(K4292)</x:f>
        <x:v>0</x:v>
      </x:c>
      <x:c r="M4292" s="41" t="str">
        <x:v>lstm-soil-v1</x:v>
      </x:c>
    </x:row>
    <x:row r="4293">
      <x:c r="A4293" s="38" t="str">
        <x:v>7月30日现场数据</x:v>
      </x:c>
      <x:c r="B4293" s="39" t="str">
        <x:v>2026-08-04T06:55:00</x:v>
      </x:c>
      <x:c r="C4293" s="39" t="str">
        <x:v>2026-08-04T07:10:00</x:v>
      </x:c>
      <x:c r="D4293" s="47" t="n">
        <x:v>15</x:v>
      </x:c>
      <x:c r="E4293" s="40" t="n">
        <x:v>12.9</x:v>
      </x:c>
      <x:c r="F4293" s="40" t="n">
        <x:v>11.075408935546875</x:v>
      </x:c>
      <x:c r="G4293" s="40" t="n">
        <x:v>13</x:v>
      </x:c>
      <x:c r="H4293" s="40" t="n">
        <x:f>F4293-E4293</x:f>
        <x:v>-1.8245910644531254</x:v>
      </x:c>
      <x:c r="I4293" s="40" t="n">
        <x:f>ABS(H4293)</x:f>
        <x:v>1.8245910644531254</x:v>
      </x:c>
      <x:c r="J4293" s="40" t="n">
        <x:f>H4293^2</x:f>
        <x:v>3.329132552482189</x:v>
      </x:c>
      <x:c r="K4293" s="40" t="n">
        <x:f>G4293-E4293</x:f>
        <x:v>0.09999999999999964</x:v>
      </x:c>
      <x:c r="L4293" s="40" t="n">
        <x:f>ABS(K4293)</x:f>
        <x:v>0.09999999999999964</x:v>
      </x:c>
      <x:c r="M4293" s="41" t="str">
        <x:v>lstm-soil-v1</x:v>
      </x:c>
    </x:row>
    <x:row r="4294">
      <x:c r="A4294" s="38" t="str">
        <x:v>7月30日现场数据</x:v>
      </x:c>
      <x:c r="B4294" s="39" t="str">
        <x:v>2026-08-04T06:55:00</x:v>
      </x:c>
      <x:c r="C4294" s="39" t="str">
        <x:v>2026-08-04T07:25:00</x:v>
      </x:c>
      <x:c r="D4294" s="47" t="n">
        <x:v>30</x:v>
      </x:c>
      <x:c r="E4294" s="40" t="n">
        <x:v>13</x:v>
      </x:c>
      <x:c r="F4294" s="40" t="n">
        <x:v>11.56937026977539</x:v>
      </x:c>
      <x:c r="G4294" s="40" t="n">
        <x:v>13</x:v>
      </x:c>
      <x:c r="H4294" s="40" t="n">
        <x:f>F4294-E4294</x:f>
        <x:v>-1.4306297302246094</x:v>
      </x:c>
      <x:c r="I4294" s="40" t="n">
        <x:f>ABS(H4294)</x:f>
        <x:v>1.4306297302246094</x:v>
      </x:c>
      <x:c r="J4294" s="40" t="n">
        <x:f>H4294^2</x:f>
        <x:v>2.0467014250025386</x:v>
      </x:c>
      <x:c r="K4294" s="40" t="n">
        <x:f>G4294-E4294</x:f>
        <x:v>0</x:v>
      </x:c>
      <x:c r="L4294" s="40" t="n">
        <x:f>ABS(K4294)</x:f>
        <x:v>0</x:v>
      </x:c>
      <x:c r="M4294" s="41" t="str">
        <x:v>lstm-soil-v1</x:v>
      </x:c>
    </x:row>
    <x:row r="4295">
      <x:c r="A4295" s="38" t="str">
        <x:v>7月30日现场数据</x:v>
      </x:c>
      <x:c r="B4295" s="39" t="str">
        <x:v>2026-08-04T06:55:00</x:v>
      </x:c>
      <x:c r="C4295" s="39" t="str">
        <x:v>2026-08-04T07:55:00</x:v>
      </x:c>
      <x:c r="D4295" s="47" t="n">
        <x:v>60</x:v>
      </x:c>
      <x:c r="E4295" s="40" t="n">
        <x:v>13</x:v>
      </x:c>
      <x:c r="F4295" s="40" t="n">
        <x:v>13.160083770751953</x:v>
      </x:c>
      <x:c r="G4295" s="40" t="n">
        <x:v>13</x:v>
      </x:c>
      <x:c r="H4295" s="40" t="n">
        <x:f>F4295-E4295</x:f>
        <x:v>0.16008377075195312</x:v>
      </x:c>
      <x:c r="I4295" s="40" t="n">
        <x:f>ABS(H4295)</x:f>
        <x:v>0.16008377075195312</x:v>
      </x:c>
      <x:c r="J4295" s="40" t="n">
        <x:f>H4295^2</x:f>
        <x:v>0.025626813658163883</x:v>
      </x:c>
      <x:c r="K4295" s="40" t="n">
        <x:f>G4295-E4295</x:f>
        <x:v>0</x:v>
      </x:c>
      <x:c r="L4295" s="40" t="n">
        <x:f>ABS(K4295)</x:f>
        <x:v>0</x:v>
      </x:c>
      <x:c r="M4295" s="41" t="str">
        <x:v>lstm-soil-v1</x:v>
      </x:c>
    </x:row>
    <x:row r="4296">
      <x:c r="A4296" s="38" t="str">
        <x:v>7月30日现场数据</x:v>
      </x:c>
      <x:c r="B4296" s="39" t="str">
        <x:v>2026-08-04T07:00:00</x:v>
      </x:c>
      <x:c r="C4296" s="39" t="str">
        <x:v>2026-08-04T07:05:00</x:v>
      </x:c>
      <x:c r="D4296" s="47" t="n">
        <x:v>5</x:v>
      </x:c>
      <x:c r="E4296" s="40" t="n">
        <x:v>12.9</x:v>
      </x:c>
      <x:c r="F4296" s="40" t="n">
        <x:v>11.018714904785156</x:v>
      </x:c>
      <x:c r="G4296" s="40" t="n">
        <x:v>13</x:v>
      </x:c>
      <x:c r="H4296" s="40" t="n">
        <x:f>F4296-E4296</x:f>
        <x:v>-1.881285095214844</x:v>
      </x:c>
      <x:c r="I4296" s="40" t="n">
        <x:f>ABS(H4296)</x:f>
        <x:v>1.881285095214844</x:v>
      </x:c>
      <x:c r="J4296" s="40" t="n">
        <x:f>H4296^2</x:f>
        <x:v>3.539233609477525</x:v>
      </x:c>
      <x:c r="K4296" s="40" t="n">
        <x:f>G4296-E4296</x:f>
        <x:v>0.09999999999999964</x:v>
      </x:c>
      <x:c r="L4296" s="40" t="n">
        <x:f>ABS(K4296)</x:f>
        <x:v>0.09999999999999964</x:v>
      </x:c>
      <x:c r="M4296" s="41" t="str">
        <x:v>lstm-soil-v1</x:v>
      </x:c>
    </x:row>
    <x:row r="4297">
      <x:c r="A4297" s="38" t="str">
        <x:v>7月30日现场数据</x:v>
      </x:c>
      <x:c r="B4297" s="39" t="str">
        <x:v>2026-08-04T07:00:00</x:v>
      </x:c>
      <x:c r="C4297" s="39" t="str">
        <x:v>2026-08-04T07:15:00</x:v>
      </x:c>
      <x:c r="D4297" s="47" t="n">
        <x:v>15</x:v>
      </x:c>
      <x:c r="E4297" s="40" t="n">
        <x:v>13</x:v>
      </x:c>
      <x:c r="F4297" s="40" t="n">
        <x:v>11.075447082519531</x:v>
      </x:c>
      <x:c r="G4297" s="40" t="n">
        <x:v>13</x:v>
      </x:c>
      <x:c r="H4297" s="40" t="n">
        <x:f>F4297-E4297</x:f>
        <x:v>-1.9245529174804688</x:v>
      </x:c>
      <x:c r="I4297" s="40" t="n">
        <x:f>ABS(H4297)</x:f>
        <x:v>1.9245529174804688</x:v>
      </x:c>
      <x:c r="J4297" s="40" t="n">
        <x:f>H4297^2</x:f>
        <x:v>3.703903932182584</x:v>
      </x:c>
      <x:c r="K4297" s="40" t="n">
        <x:f>G4297-E4297</x:f>
        <x:v>0</x:v>
      </x:c>
      <x:c r="L4297" s="40" t="n">
        <x:f>ABS(K4297)</x:f>
        <x:v>0</x:v>
      </x:c>
      <x:c r="M4297" s="41" t="str">
        <x:v>lstm-soil-v1</x:v>
      </x:c>
    </x:row>
    <x:row r="4298">
      <x:c r="A4298" s="38" t="str">
        <x:v>7月30日现场数据</x:v>
      </x:c>
      <x:c r="B4298" s="39" t="str">
        <x:v>2026-08-04T07:00:00</x:v>
      </x:c>
      <x:c r="C4298" s="39" t="str">
        <x:v>2026-08-04T07:30:00</x:v>
      </x:c>
      <x:c r="D4298" s="47" t="n">
        <x:v>30</x:v>
      </x:c>
      <x:c r="E4298" s="40" t="n">
        <x:v>13</x:v>
      </x:c>
      <x:c r="F4298" s="40" t="n">
        <x:v>11.57107925415039</x:v>
      </x:c>
      <x:c r="G4298" s="40" t="n">
        <x:v>13</x:v>
      </x:c>
      <x:c r="H4298" s="40" t="n">
        <x:f>F4298-E4298</x:f>
        <x:v>-1.4289207458496094</x:v>
      </x:c>
      <x:c r="I4298" s="40" t="n">
        <x:f>ABS(H4298)</x:f>
        <x:v>1.4289207458496094</x:v>
      </x:c>
      <x:c r="J4298" s="40" t="n">
        <x:f>H4298^2</x:f>
        <x:v>2.041814497919404</x:v>
      </x:c>
      <x:c r="K4298" s="40" t="n">
        <x:f>G4298-E4298</x:f>
        <x:v>0</x:v>
      </x:c>
      <x:c r="L4298" s="40" t="n">
        <x:f>ABS(K4298)</x:f>
        <x:v>0</x:v>
      </x:c>
      <x:c r="M4298" s="41" t="str">
        <x:v>lstm-soil-v1</x:v>
      </x:c>
    </x:row>
    <x:row r="4299">
      <x:c r="A4299" s="38" t="str">
        <x:v>7月30日现场数据</x:v>
      </x:c>
      <x:c r="B4299" s="39" t="str">
        <x:v>2026-08-04T07:00:00</x:v>
      </x:c>
      <x:c r="C4299" s="39" t="str">
        <x:v>2026-08-04T08:00:00</x:v>
      </x:c>
      <x:c r="D4299" s="47" t="n">
        <x:v>60</x:v>
      </x:c>
      <x:c r="E4299" s="40" t="n">
        <x:v>12.9</x:v>
      </x:c>
      <x:c r="F4299" s="40" t="n">
        <x:v>13.16640853881836</x:v>
      </x:c>
      <x:c r="G4299" s="40" t="n">
        <x:v>13</x:v>
      </x:c>
      <x:c r="H4299" s="40" t="n">
        <x:f>F4299-E4299</x:f>
        <x:v>0.266408538818359</x:v>
      </x:c>
      <x:c r="I4299" s="40" t="n">
        <x:f>ABS(H4299)</x:f>
        <x:v>0.266408538818359</x:v>
      </x:c>
      <x:c r="J4299" s="40" t="n">
        <x:f>H4299^2</x:f>
        <x:v>0.0709735095553331</x:v>
      </x:c>
      <x:c r="K4299" s="40" t="n">
        <x:f>G4299-E4299</x:f>
        <x:v>0.09999999999999964</x:v>
      </x:c>
      <x:c r="L4299" s="40" t="n">
        <x:f>ABS(K4299)</x:f>
        <x:v>0.09999999999999964</x:v>
      </x:c>
      <x:c r="M4299" s="41" t="str">
        <x:v>lstm-soil-v1</x:v>
      </x:c>
    </x:row>
    <x:row r="4300">
      <x:c r="A4300" s="38" t="str">
        <x:v>7月30日现场数据</x:v>
      </x:c>
      <x:c r="B4300" s="39" t="str">
        <x:v>2026-08-04T07:05:00</x:v>
      </x:c>
      <x:c r="C4300" s="39" t="str">
        <x:v>2026-08-04T07:10:00</x:v>
      </x:c>
      <x:c r="D4300" s="47" t="n">
        <x:v>5</x:v>
      </x:c>
      <x:c r="E4300" s="40" t="n">
        <x:v>12.9</x:v>
      </x:c>
      <x:c r="F4300" s="40" t="n">
        <x:v>10.908683776855469</x:v>
      </x:c>
      <x:c r="G4300" s="40" t="n">
        <x:v>12.9</x:v>
      </x:c>
      <x:c r="H4300" s="40" t="n">
        <x:f>F4300-E4300</x:f>
        <x:v>-1.9913162231445316</x:v>
      </x:c>
      <x:c r="I4300" s="40" t="n">
        <x:f>ABS(H4300)</x:f>
        <x:v>1.9913162231445316</x:v>
      </x:c>
      <x:c r="J4300" s="40" t="n">
        <x:f>H4300^2</x:f>
        <x:v>3.965340300558602</x:v>
      </x:c>
      <x:c r="K4300" s="40" t="n">
        <x:f>G4300-E4300</x:f>
        <x:v>0</x:v>
      </x:c>
      <x:c r="L4300" s="40" t="n">
        <x:f>ABS(K4300)</x:f>
        <x:v>0</x:v>
      </x:c>
      <x:c r="M4300" s="41" t="str">
        <x:v>lstm-soil-v1</x:v>
      </x:c>
    </x:row>
    <x:row r="4301">
      <x:c r="A4301" s="38" t="str">
        <x:v>7月30日现场数据</x:v>
      </x:c>
      <x:c r="B4301" s="39" t="str">
        <x:v>2026-08-04T07:05:00</x:v>
      </x:c>
      <x:c r="C4301" s="39" t="str">
        <x:v>2026-08-04T07:20:00</x:v>
      </x:c>
      <x:c r="D4301" s="47" t="n">
        <x:v>15</x:v>
      </x:c>
      <x:c r="E4301" s="40" t="n">
        <x:v>13</x:v>
      </x:c>
      <x:c r="F4301" s="40" t="n">
        <x:v>10.966655731201172</x:v>
      </x:c>
      <x:c r="G4301" s="40" t="n">
        <x:v>12.9</x:v>
      </x:c>
      <x:c r="H4301" s="40" t="n">
        <x:f>F4301-E4301</x:f>
        <x:v>-2.033344268798828</x:v>
      </x:c>
      <x:c r="I4301" s="40" t="n">
        <x:f>ABS(H4301)</x:f>
        <x:v>2.033344268798828</x:v>
      </x:c>
      <x:c r="J4301" s="40" t="n">
        <x:f>H4301^2</x:f>
        <x:v>4.134488915457041</x:v>
      </x:c>
      <x:c r="K4301" s="40" t="n">
        <x:f>G4301-E4301</x:f>
        <x:v>-0.09999999999999964</x:v>
      </x:c>
      <x:c r="L4301" s="40" t="n">
        <x:f>ABS(K4301)</x:f>
        <x:v>0.09999999999999964</x:v>
      </x:c>
      <x:c r="M4301" s="41" t="str">
        <x:v>lstm-soil-v1</x:v>
      </x:c>
    </x:row>
    <x:row r="4302">
      <x:c r="A4302" s="38" t="str">
        <x:v>7月30日现场数据</x:v>
      </x:c>
      <x:c r="B4302" s="39" t="str">
        <x:v>2026-08-04T07:05:00</x:v>
      </x:c>
      <x:c r="C4302" s="39" t="str">
        <x:v>2026-08-04T07:35:00</x:v>
      </x:c>
      <x:c r="D4302" s="47" t="n">
        <x:v>30</x:v>
      </x:c>
      <x:c r="E4302" s="40" t="n">
        <x:v>13</x:v>
      </x:c>
      <x:c r="F4302" s="40" t="n">
        <x:v>11.462345123291016</x:v>
      </x:c>
      <x:c r="G4302" s="40" t="n">
        <x:v>12.9</x:v>
      </x:c>
      <x:c r="H4302" s="40" t="n">
        <x:f>F4302-E4302</x:f>
        <x:v>-1.5376548767089844</x:v>
      </x:c>
      <x:c r="I4302" s="40" t="n">
        <x:f>ABS(H4302)</x:f>
        <x:v>1.5376548767089844</x:v>
      </x:c>
      <x:c r="J4302" s="40" t="n">
        <x:f>H4302^2</x:f>
        <x:v>2.364382519866922</x:v>
      </x:c>
      <x:c r="K4302" s="40" t="n">
        <x:f>G4302-E4302</x:f>
        <x:v>-0.09999999999999964</x:v>
      </x:c>
      <x:c r="L4302" s="40" t="n">
        <x:f>ABS(K4302)</x:f>
        <x:v>0.09999999999999964</x:v>
      </x:c>
      <x:c r="M4302" s="41" t="str">
        <x:v>lstm-soil-v1</x:v>
      </x:c>
    </x:row>
    <x:row r="4303">
      <x:c r="A4303" s="38" t="str">
        <x:v>7月30日现场数据</x:v>
      </x:c>
      <x:c r="B4303" s="39" t="str">
        <x:v>2026-08-04T07:05:00</x:v>
      </x:c>
      <x:c r="C4303" s="39" t="str">
        <x:v>2026-08-04T08:05:00</x:v>
      </x:c>
      <x:c r="D4303" s="47" t="n">
        <x:v>60</x:v>
      </x:c>
      <x:c r="E4303" s="40" t="n">
        <x:v>13</x:v>
      </x:c>
      <x:c r="F4303" s="40" t="n">
        <x:v>13.061481475830078</x:v>
      </x:c>
      <x:c r="G4303" s="40" t="n">
        <x:v>12.9</x:v>
      </x:c>
      <x:c r="H4303" s="40" t="n">
        <x:f>F4303-E4303</x:f>
        <x:v>0.061481475830078125</x:v>
      </x:c>
      <x:c r="I4303" s="40" t="n">
        <x:f>ABS(H4303)</x:f>
        <x:v>0.061481475830078125</x:v>
      </x:c>
      <x:c r="J4303" s="40" t="n">
        <x:f>H4303^2</x:f>
        <x:v>0.0037799718702444807</x:v>
      </x:c>
      <x:c r="K4303" s="40" t="n">
        <x:f>G4303-E4303</x:f>
        <x:v>-0.09999999999999964</x:v>
      </x:c>
      <x:c r="L4303" s="40" t="n">
        <x:f>ABS(K4303)</x:f>
        <x:v>0.09999999999999964</x:v>
      </x:c>
      <x:c r="M4303" s="41" t="str">
        <x:v>lstm-soil-v1</x:v>
      </x:c>
    </x:row>
    <x:row r="4304">
      <x:c r="A4304" s="38" t="str">
        <x:v>7月30日现场数据</x:v>
      </x:c>
      <x:c r="B4304" s="39" t="str">
        <x:v>2026-08-04T07:10:00</x:v>
      </x:c>
      <x:c r="C4304" s="39" t="str">
        <x:v>2026-08-04T07:15:00</x:v>
      </x:c>
      <x:c r="D4304" s="47" t="n">
        <x:v>5</x:v>
      </x:c>
      <x:c r="E4304" s="40" t="n">
        <x:v>13</x:v>
      </x:c>
      <x:c r="F4304" s="40" t="n">
        <x:v>10.90903091430664</x:v>
      </x:c>
      <x:c r="G4304" s="40" t="n">
        <x:v>12.9</x:v>
      </x:c>
      <x:c r="H4304" s="40" t="n">
        <x:f>F4304-E4304</x:f>
        <x:v>-2.0909690856933594</x:v>
      </x:c>
      <x:c r="I4304" s="40" t="n">
        <x:f>ABS(H4304)</x:f>
        <x:v>2.0909690856933594</x:v>
      </x:c>
      <x:c r="J4304" s="40" t="n">
        <x:f>H4304^2</x:f>
        <x:v>4.372151717325323</x:v>
      </x:c>
      <x:c r="K4304" s="40" t="n">
        <x:f>G4304-E4304</x:f>
        <x:v>-0.09999999999999964</x:v>
      </x:c>
      <x:c r="L4304" s="40" t="n">
        <x:f>ABS(K4304)</x:f>
        <x:v>0.09999999999999964</x:v>
      </x:c>
      <x:c r="M4304" s="41" t="str">
        <x:v>lstm-soil-v1</x:v>
      </x:c>
    </x:row>
    <x:row r="4305">
      <x:c r="A4305" s="38" t="str">
        <x:v>7月30日现场数据</x:v>
      </x:c>
      <x:c r="B4305" s="39" t="str">
        <x:v>2026-08-04T07:10:00</x:v>
      </x:c>
      <x:c r="C4305" s="39" t="str">
        <x:v>2026-08-04T07:25:00</x:v>
      </x:c>
      <x:c r="D4305" s="47" t="n">
        <x:v>15</x:v>
      </x:c>
      <x:c r="E4305" s="40" t="n">
        <x:v>13</x:v>
      </x:c>
      <x:c r="F4305" s="40" t="n">
        <x:v>10.967872619628906</x:v>
      </x:c>
      <x:c r="G4305" s="40" t="n">
        <x:v>12.9</x:v>
      </x:c>
      <x:c r="H4305" s="40" t="n">
        <x:f>F4305-E4305</x:f>
        <x:v>-2.0321273803710938</x:v>
      </x:c>
      <x:c r="I4305" s="40" t="n">
        <x:f>ABS(H4305)</x:f>
        <x:v>2.0321273803710938</x:v>
      </x:c>
      <x:c r="J4305" s="40" t="n">
        <x:f>H4305^2</x:f>
        <x:v>4.129541690053884</x:v>
      </x:c>
      <x:c r="K4305" s="40" t="n">
        <x:f>G4305-E4305</x:f>
        <x:v>-0.09999999999999964</x:v>
      </x:c>
      <x:c r="L4305" s="40" t="n">
        <x:f>ABS(K4305)</x:f>
        <x:v>0.09999999999999964</x:v>
      </x:c>
      <x:c r="M4305" s="41" t="str">
        <x:v>lstm-soil-v1</x:v>
      </x:c>
    </x:row>
    <x:row r="4306">
      <x:c r="A4306" s="38" t="str">
        <x:v>7月30日现场数据</x:v>
      </x:c>
      <x:c r="B4306" s="39" t="str">
        <x:v>2026-08-04T07:10:00</x:v>
      </x:c>
      <x:c r="C4306" s="39" t="str">
        <x:v>2026-08-04T07:40:00</x:v>
      </x:c>
      <x:c r="D4306" s="47" t="n">
        <x:v>30</x:v>
      </x:c>
      <x:c r="E4306" s="40" t="n">
        <x:v>13</x:v>
      </x:c>
      <x:c r="F4306" s="40" t="n">
        <x:v>11.46282958984375</x:v>
      </x:c>
      <x:c r="G4306" s="40" t="n">
        <x:v>12.9</x:v>
      </x:c>
      <x:c r="H4306" s="40" t="n">
        <x:f>F4306-E4306</x:f>
        <x:v>-1.53717041015625</x:v>
      </x:c>
      <x:c r="I4306" s="40" t="n">
        <x:f>ABS(H4306)</x:f>
        <x:v>1.53717041015625</x:v>
      </x:c>
      <x:c r="J4306" s="40" t="n">
        <x:f>H4306^2</x:f>
        <x:v>2.362892869859934</x:v>
      </x:c>
      <x:c r="K4306" s="40" t="n">
        <x:f>G4306-E4306</x:f>
        <x:v>-0.09999999999999964</x:v>
      </x:c>
      <x:c r="L4306" s="40" t="n">
        <x:f>ABS(K4306)</x:f>
        <x:v>0.09999999999999964</x:v>
      </x:c>
      <x:c r="M4306" s="41" t="str">
        <x:v>lstm-soil-v1</x:v>
      </x:c>
    </x:row>
    <x:row r="4307">
      <x:c r="A4307" s="38" t="str">
        <x:v>7月30日现场数据</x:v>
      </x:c>
      <x:c r="B4307" s="39" t="str">
        <x:v>2026-08-04T07:10:00</x:v>
      </x:c>
      <x:c r="C4307" s="39" t="str">
        <x:v>2026-08-04T08:10:00</x:v>
      </x:c>
      <x:c r="D4307" s="47" t="n">
        <x:v>60</x:v>
      </x:c>
      <x:c r="E4307" s="40" t="n">
        <x:v>13</x:v>
      </x:c>
      <x:c r="F4307" s="40" t="n">
        <x:v>13.063129425048828</x:v>
      </x:c>
      <x:c r="G4307" s="40" t="n">
        <x:v>12.9</x:v>
      </x:c>
      <x:c r="H4307" s="40" t="n">
        <x:f>F4307-E4307</x:f>
        <x:v>0.06312942504882812</x:v>
      </x:c>
      <x:c r="I4307" s="40" t="n">
        <x:f>ABS(H4307)</x:f>
        <x:v>0.06312942504882812</x:v>
      </x:c>
      <x:c r="J4307" s="40" t="n">
        <x:f>H4307^2</x:f>
        <x:v>0.003985324306995608</x:v>
      </x:c>
      <x:c r="K4307" s="40" t="n">
        <x:f>G4307-E4307</x:f>
        <x:v>-0.09999999999999964</x:v>
      </x:c>
      <x:c r="L4307" s="40" t="n">
        <x:f>ABS(K4307)</x:f>
        <x:v>0.09999999999999964</x:v>
      </x:c>
      <x:c r="M4307" s="41" t="str">
        <x:v>lstm-soil-v1</x:v>
      </x:c>
    </x:row>
    <x:row r="4308">
      <x:c r="A4308" s="38" t="str">
        <x:v>7月30日现场数据</x:v>
      </x:c>
      <x:c r="B4308" s="39" t="str">
        <x:v>2026-08-04T07:15:00</x:v>
      </x:c>
      <x:c r="C4308" s="39" t="str">
        <x:v>2026-08-04T07:20:00</x:v>
      </x:c>
      <x:c r="D4308" s="47" t="n">
        <x:v>5</x:v>
      </x:c>
      <x:c r="E4308" s="40" t="n">
        <x:v>13</x:v>
      </x:c>
      <x:c r="F4308" s="40" t="n">
        <x:v>11.02035903930664</x:v>
      </x:c>
      <x:c r="G4308" s="40" t="n">
        <x:v>13</x:v>
      </x:c>
      <x:c r="H4308" s="40" t="n">
        <x:f>F4308-E4308</x:f>
        <x:v>-1.9796409606933594</x:v>
      </x:c>
      <x:c r="I4308" s="40" t="n">
        <x:f>ABS(H4308)</x:f>
        <x:v>1.9796409606933594</x:v>
      </x:c>
      <x:c r="J4308" s="40" t="n">
        <x:f>H4308^2</x:f>
        <x:v>3.918978333254927</x:v>
      </x:c>
      <x:c r="K4308" s="40" t="n">
        <x:f>G4308-E4308</x:f>
        <x:v>0</x:v>
      </x:c>
      <x:c r="L4308" s="40" t="n">
        <x:f>ABS(K4308)</x:f>
        <x:v>0</x:v>
      </x:c>
      <x:c r="M4308" s="41" t="str">
        <x:v>lstm-soil-v1</x:v>
      </x:c>
    </x:row>
    <x:row r="4309">
      <x:c r="A4309" s="38" t="str">
        <x:v>7月30日现场数据</x:v>
      </x:c>
      <x:c r="B4309" s="39" t="str">
        <x:v>2026-08-04T07:15:00</x:v>
      </x:c>
      <x:c r="C4309" s="39" t="str">
        <x:v>2026-08-04T07:30:00</x:v>
      </x:c>
      <x:c r="D4309" s="47" t="n">
        <x:v>15</x:v>
      </x:c>
      <x:c r="E4309" s="40" t="n">
        <x:v>13</x:v>
      </x:c>
      <x:c r="F4309" s="40" t="n">
        <x:v>11.078777313232422</x:v>
      </x:c>
      <x:c r="G4309" s="40" t="n">
        <x:v>13</x:v>
      </x:c>
      <x:c r="H4309" s="40" t="n">
        <x:f>F4309-E4309</x:f>
        <x:v>-1.9212226867675781</x:v>
      </x:c>
      <x:c r="I4309" s="40" t="n">
        <x:f>ABS(H4309)</x:f>
        <x:v>1.9212226867675781</x:v>
      </x:c>
      <x:c r="J4309" s="40" t="n">
        <x:f>H4309^2</x:f>
        <x:v>3.6910966121504316</x:v>
      </x:c>
      <x:c r="K4309" s="40" t="n">
        <x:f>G4309-E4309</x:f>
        <x:v>0</x:v>
      </x:c>
      <x:c r="L4309" s="40" t="n">
        <x:f>ABS(K4309)</x:f>
        <x:v>0</x:v>
      </x:c>
      <x:c r="M4309" s="41" t="str">
        <x:v>lstm-soil-v1</x:v>
      </x:c>
    </x:row>
    <x:row r="4310">
      <x:c r="A4310" s="38" t="str">
        <x:v>7月30日现场数据</x:v>
      </x:c>
      <x:c r="B4310" s="39" t="str">
        <x:v>2026-08-04T07:15:00</x:v>
      </x:c>
      <x:c r="C4310" s="39" t="str">
        <x:v>2026-08-04T07:45:00</x:v>
      </x:c>
      <x:c r="D4310" s="47" t="n">
        <x:v>30</x:v>
      </x:c>
      <x:c r="E4310" s="40" t="n">
        <x:v>13</x:v>
      </x:c>
      <x:c r="F4310" s="40" t="n">
        <x:v>11.574264526367188</x:v>
      </x:c>
      <x:c r="G4310" s="40" t="n">
        <x:v>13</x:v>
      </x:c>
      <x:c r="H4310" s="40" t="n">
        <x:f>F4310-E4310</x:f>
        <x:v>-1.4257354736328125</x:v>
      </x:c>
      <x:c r="I4310" s="40" t="n">
        <x:f>ABS(H4310)</x:f>
        <x:v>1.4257354736328125</x:v>
      </x:c>
      <x:c r="J4310" s="40" t="n">
        <x:f>H4310^2</x:f>
        <x:v>2.03272164077498</x:v>
      </x:c>
      <x:c r="K4310" s="40" t="n">
        <x:f>G4310-E4310</x:f>
        <x:v>0</x:v>
      </x:c>
      <x:c r="L4310" s="40" t="n">
        <x:f>ABS(K4310)</x:f>
        <x:v>0</x:v>
      </x:c>
      <x:c r="M4310" s="41" t="str">
        <x:v>lstm-soil-v1</x:v>
      </x:c>
    </x:row>
    <x:row r="4311">
      <x:c r="A4311" s="38" t="str">
        <x:v>7月30日现场数据</x:v>
      </x:c>
      <x:c r="B4311" s="39" t="str">
        <x:v>2026-08-04T07:15:00</x:v>
      </x:c>
      <x:c r="C4311" s="39" t="str">
        <x:v>2026-08-04T08:15:00</x:v>
      </x:c>
      <x:c r="D4311" s="47" t="n">
        <x:v>60</x:v>
      </x:c>
      <x:c r="E4311" s="40" t="n">
        <x:v>13</x:v>
      </x:c>
      <x:c r="F4311" s="40" t="n">
        <x:v>13.176467895507812</x:v>
      </x:c>
      <x:c r="G4311" s="40" t="n">
        <x:v>13</x:v>
      </x:c>
      <x:c r="H4311" s="40" t="n">
        <x:f>F4311-E4311</x:f>
        <x:v>0.1764678955078125</x:v>
      </x:c>
      <x:c r="I4311" s="40" t="n">
        <x:f>ABS(H4311)</x:f>
        <x:v>0.1764678955078125</x:v>
      </x:c>
      <x:c r="J4311" s="40" t="n">
        <x:f>H4311^2</x:f>
        <x:v>0.03114091814495623</x:v>
      </x:c>
      <x:c r="K4311" s="40" t="n">
        <x:f>G4311-E4311</x:f>
        <x:v>0</x:v>
      </x:c>
      <x:c r="L4311" s="40" t="n">
        <x:f>ABS(K4311)</x:f>
        <x:v>0</x:v>
      </x:c>
      <x:c r="M4311" s="41" t="str">
        <x:v>lstm-soil-v1</x:v>
      </x:c>
    </x:row>
    <x:row r="4312">
      <x:c r="A4312" s="38" t="str">
        <x:v>7月30日现场数据</x:v>
      </x:c>
      <x:c r="B4312" s="39" t="str">
        <x:v>2026-08-04T07:20:00</x:v>
      </x:c>
      <x:c r="C4312" s="39" t="str">
        <x:v>2026-08-04T07:25:00</x:v>
      </x:c>
      <x:c r="D4312" s="47" t="n">
        <x:v>5</x:v>
      </x:c>
      <x:c r="E4312" s="40" t="n">
        <x:v>13</x:v>
      </x:c>
      <x:c r="F4312" s="40" t="n">
        <x:v>11.022003173828125</x:v>
      </x:c>
      <x:c r="G4312" s="40" t="n">
        <x:v>13</x:v>
      </x:c>
      <x:c r="H4312" s="40" t="n">
        <x:f>F4312-E4312</x:f>
        <x:v>-1.977996826171875</x:v>
      </x:c>
      <x:c r="I4312" s="40" t="n">
        <x:f>ABS(H4312)</x:f>
        <x:v>1.977996826171875</x:v>
      </x:c>
      <x:c r="J4312" s="40" t="n">
        <x:f>H4312^2</x:f>
        <x:v>3.9124714443460107</x:v>
      </x:c>
      <x:c r="K4312" s="40" t="n">
        <x:f>G4312-E4312</x:f>
        <x:v>0</x:v>
      </x:c>
      <x:c r="L4312" s="40" t="n">
        <x:f>ABS(K4312)</x:f>
        <x:v>0</x:v>
      </x:c>
      <x:c r="M4312" s="41" t="str">
        <x:v>lstm-soil-v1</x:v>
      </x:c>
    </x:row>
    <x:row r="4313">
      <x:c r="A4313" s="38" t="str">
        <x:v>7月30日现场数据</x:v>
      </x:c>
      <x:c r="B4313" s="39" t="str">
        <x:v>2026-08-04T07:20:00</x:v>
      </x:c>
      <x:c r="C4313" s="39" t="str">
        <x:v>2026-08-04T07:35:00</x:v>
      </x:c>
      <x:c r="D4313" s="47" t="n">
        <x:v>15</x:v>
      </x:c>
      <x:c r="E4313" s="40" t="n">
        <x:v>13</x:v>
      </x:c>
      <x:c r="F4313" s="40" t="n">
        <x:v>11.080146789550781</x:v>
      </x:c>
      <x:c r="G4313" s="40" t="n">
        <x:v>13</x:v>
      </x:c>
      <x:c r="H4313" s="40" t="n">
        <x:f>F4313-E4313</x:f>
        <x:v>-1.9198532104492188</x:v>
      </x:c>
      <x:c r="I4313" s="40" t="n">
        <x:f>ABS(H4313)</x:f>
        <x:v>1.9198532104492188</x:v>
      </x:c>
      <x:c r="J4313" s="40" t="n">
        <x:f>H4313^2</x:f>
        <x:v>3.685836349672172</x:v>
      </x:c>
      <x:c r="K4313" s="40" t="n">
        <x:f>G4313-E4313</x:f>
        <x:v>0</x:v>
      </x:c>
      <x:c r="L4313" s="40" t="n">
        <x:f>ABS(K4313)</x:f>
        <x:v>0</x:v>
      </x:c>
      <x:c r="M4313" s="41" t="str">
        <x:v>lstm-soil-v1</x:v>
      </x:c>
    </x:row>
    <x:row r="4314">
      <x:c r="A4314" s="38" t="str">
        <x:v>7月30日现场数据</x:v>
      </x:c>
      <x:c r="B4314" s="39" t="str">
        <x:v>2026-08-04T07:20:00</x:v>
      </x:c>
      <x:c r="C4314" s="39" t="str">
        <x:v>2026-08-04T07:50:00</x:v>
      </x:c>
      <x:c r="D4314" s="47" t="n">
        <x:v>30</x:v>
      </x:c>
      <x:c r="E4314" s="40" t="n">
        <x:v>13</x:v>
      </x:c>
      <x:c r="F4314" s="40" t="n">
        <x:v>11.576305389404297</x:v>
      </x:c>
      <x:c r="G4314" s="40" t="n">
        <x:v>13</x:v>
      </x:c>
      <x:c r="H4314" s="40" t="n">
        <x:f>F4314-E4314</x:f>
        <x:v>-1.4236946105957031</x:v>
      </x:c>
      <x:c r="I4314" s="40" t="n">
        <x:f>ABS(H4314)</x:f>
        <x:v>1.4236946105957031</x:v>
      </x:c>
      <x:c r="J4314" s="40" t="n">
        <x:f>H4314^2</x:f>
        <x:v>2.0269063442392508</x:v>
      </x:c>
      <x:c r="K4314" s="40" t="n">
        <x:f>G4314-E4314</x:f>
        <x:v>0</x:v>
      </x:c>
      <x:c r="L4314" s="40" t="n">
        <x:f>ABS(K4314)</x:f>
        <x:v>0</x:v>
      </x:c>
      <x:c r="M4314" s="41" t="str">
        <x:v>lstm-soil-v1</x:v>
      </x:c>
    </x:row>
    <x:row r="4315">
      <x:c r="A4315" s="38" t="str">
        <x:v>7月30日现场数据</x:v>
      </x:c>
      <x:c r="B4315" s="39" t="str">
        <x:v>2026-08-04T07:20:00</x:v>
      </x:c>
      <x:c r="C4315" s="39" t="str">
        <x:v>2026-08-04T08:20:00</x:v>
      </x:c>
      <x:c r="D4315" s="47" t="n">
        <x:v>60</x:v>
      </x:c>
      <x:c r="E4315" s="40" t="n">
        <x:v>13</x:v>
      </x:c>
      <x:c r="F4315" s="40" t="n">
        <x:v>13.178825378417969</x:v>
      </x:c>
      <x:c r="G4315" s="40" t="n">
        <x:v>13</x:v>
      </x:c>
      <x:c r="H4315" s="40" t="n">
        <x:f>F4315-E4315</x:f>
        <x:v>0.17882537841796875</x:v>
      </x:c>
      <x:c r="I4315" s="40" t="n">
        <x:f>ABS(H4315)</x:f>
        <x:v>0.17882537841796875</x:v>
      </x:c>
      <x:c r="J4315" s="40" t="n">
        <x:f>H4315^2</x:f>
        <x:v>0.031978515966329724</x:v>
      </x:c>
      <x:c r="K4315" s="40" t="n">
        <x:f>G4315-E4315</x:f>
        <x:v>0</x:v>
      </x:c>
      <x:c r="L4315" s="40" t="n">
        <x:f>ABS(K4315)</x:f>
        <x:v>0</x:v>
      </x:c>
      <x:c r="M4315" s="41" t="str">
        <x:v>lstm-soil-v1</x:v>
      </x:c>
    </x:row>
    <x:row r="4316">
      <x:c r="A4316" s="38" t="str">
        <x:v>7月30日现场数据</x:v>
      </x:c>
      <x:c r="B4316" s="39" t="str">
        <x:v>2026-08-04T07:25:00</x:v>
      </x:c>
      <x:c r="C4316" s="39" t="str">
        <x:v>2026-08-04T07:30:00</x:v>
      </x:c>
      <x:c r="D4316" s="47" t="n">
        <x:v>5</x:v>
      </x:c>
      <x:c r="E4316" s="40" t="n">
        <x:v>13</x:v>
      </x:c>
      <x:c r="F4316" s="40" t="n">
        <x:v>11.022907257080078</x:v>
      </x:c>
      <x:c r="G4316" s="40" t="n">
        <x:v>13</x:v>
      </x:c>
      <x:c r="H4316" s="40" t="n">
        <x:f>F4316-E4316</x:f>
        <x:v>-1.9770927429199219</x:v>
      </x:c>
      <x:c r="I4316" s="40" t="n">
        <x:f>ABS(H4316)</x:f>
        <x:v>1.9770927429199219</x:v>
      </x:c>
      <x:c r="J4316" s="40" t="n">
        <x:f>H4316^2</x:f>
        <x:v>3.9088957141066203</x:v>
      </x:c>
      <x:c r="K4316" s="40" t="n">
        <x:f>G4316-E4316</x:f>
        <x:v>0</x:v>
      </x:c>
      <x:c r="L4316" s="40" t="n">
        <x:f>ABS(K4316)</x:f>
        <x:v>0</x:v>
      </x:c>
      <x:c r="M4316" s="41" t="str">
        <x:v>lstm-soil-v1</x:v>
      </x:c>
    </x:row>
    <x:row r="4317">
      <x:c r="A4317" s="38" t="str">
        <x:v>7月30日现场数据</x:v>
      </x:c>
      <x:c r="B4317" s="39" t="str">
        <x:v>2026-08-04T07:25:00</x:v>
      </x:c>
      <x:c r="C4317" s="39" t="str">
        <x:v>2026-08-04T07:40:00</x:v>
      </x:c>
      <x:c r="D4317" s="47" t="n">
        <x:v>15</x:v>
      </x:c>
      <x:c r="E4317" s="40" t="n">
        <x:v>13</x:v>
      </x:c>
      <x:c r="F4317" s="40" t="n">
        <x:v>11.081256866455078</x:v>
      </x:c>
      <x:c r="G4317" s="40" t="n">
        <x:v>13</x:v>
      </x:c>
      <x:c r="H4317" s="40" t="n">
        <x:f>F4317-E4317</x:f>
        <x:v>-1.9187431335449219</x:v>
      </x:c>
      <x:c r="I4317" s="40" t="n">
        <x:f>ABS(H4317)</x:f>
        <x:v>1.9187431335449219</x:v>
      </x:c>
      <x:c r="J4317" s="40" t="n">
        <x:f>H4317^2</x:f>
        <x:v>3.681575212525786</x:v>
      </x:c>
      <x:c r="K4317" s="40" t="n">
        <x:f>G4317-E4317</x:f>
        <x:v>0</x:v>
      </x:c>
      <x:c r="L4317" s="40" t="n">
        <x:f>ABS(K4317)</x:f>
        <x:v>0</x:v>
      </x:c>
      <x:c r="M4317" s="41" t="str">
        <x:v>lstm-soil-v1</x:v>
      </x:c>
    </x:row>
    <x:row r="4318">
      <x:c r="A4318" s="38" t="str">
        <x:v>7月30日现场数据</x:v>
      </x:c>
      <x:c r="B4318" s="39" t="str">
        <x:v>2026-08-04T07:25:00</x:v>
      </x:c>
      <x:c r="C4318" s="39" t="str">
        <x:v>2026-08-04T07:55:00</x:v>
      </x:c>
      <x:c r="D4318" s="47" t="n">
        <x:v>30</x:v>
      </x:c>
      <x:c r="E4318" s="40" t="n">
        <x:v>13</x:v>
      </x:c>
      <x:c r="F4318" s="40" t="n">
        <x:v>11.577247619628906</x:v>
      </x:c>
      <x:c r="G4318" s="40" t="n">
        <x:v>13</x:v>
      </x:c>
      <x:c r="H4318" s="40" t="n">
        <x:f>F4318-E4318</x:f>
        <x:v>-1.4227523803710938</x:v>
      </x:c>
      <x:c r="I4318" s="40" t="n">
        <x:f>ABS(H4318)</x:f>
        <x:v>1.4227523803710938</x:v>
      </x:c>
      <x:c r="J4318" s="40" t="n">
        <x:f>H4318^2</x:f>
        <x:v>2.0242243358516134</x:v>
      </x:c>
      <x:c r="K4318" s="40" t="n">
        <x:f>G4318-E4318</x:f>
        <x:v>0</x:v>
      </x:c>
      <x:c r="L4318" s="40" t="n">
        <x:f>ABS(K4318)</x:f>
        <x:v>0</x:v>
      </x:c>
      <x:c r="M4318" s="41" t="str">
        <x:v>lstm-soil-v1</x:v>
      </x:c>
    </x:row>
    <x:row r="4319">
      <x:c r="A4319" s="38" t="str">
        <x:v>7月30日现场数据</x:v>
      </x:c>
      <x:c r="B4319" s="39" t="str">
        <x:v>2026-08-04T07:25:00</x:v>
      </x:c>
      <x:c r="C4319" s="39" t="str">
        <x:v>2026-08-04T08:25:00</x:v>
      </x:c>
      <x:c r="D4319" s="47" t="n">
        <x:v>60</x:v>
      </x:c>
      <x:c r="E4319" s="40" t="n">
        <x:v>12.950000000000001</x:v>
      </x:c>
      <x:c r="F4319" s="40" t="n">
        <x:v>13.180240631103516</x:v>
      </x:c>
      <x:c r="G4319" s="40" t="n">
        <x:v>13</x:v>
      </x:c>
      <x:c r="H4319" s="40" t="n">
        <x:f>F4319-E4319</x:f>
        <x:v>0.23024063110351456</x:v>
      </x:c>
      <x:c r="I4319" s="40" t="n">
        <x:f>ABS(H4319)</x:f>
        <x:v>0.23024063110351456</x:v>
      </x:c>
      <x:c r="J4319" s="40" t="n">
        <x:f>H4319^2</x:f>
        <x:v>0.053010748210944675</x:v>
      </x:c>
      <x:c r="K4319" s="40" t="n">
        <x:f>G4319-E4319</x:f>
        <x:v>0.049999999999998934</x:v>
      </x:c>
      <x:c r="L4319" s="40" t="n">
        <x:f>ABS(K4319)</x:f>
        <x:v>0.049999999999998934</x:v>
      </x:c>
      <x:c r="M4319" s="41" t="str">
        <x:v>lstm-soil-v1</x:v>
      </x:c>
    </x:row>
    <x:row r="4320">
      <x:c r="A4320" s="38" t="str">
        <x:v>7月30日现场数据</x:v>
      </x:c>
      <x:c r="B4320" s="39" t="str">
        <x:v>2026-08-04T07:30:00</x:v>
      </x:c>
      <x:c r="C4320" s="39" t="str">
        <x:v>2026-08-04T07:35:00</x:v>
      </x:c>
      <x:c r="D4320" s="47" t="n">
        <x:v>5</x:v>
      </x:c>
      <x:c r="E4320" s="40" t="n">
        <x:v>13</x:v>
      </x:c>
      <x:c r="F4320" s="40" t="n">
        <x:v>11.023696899414062</x:v>
      </x:c>
      <x:c r="G4320" s="40" t="n">
        <x:v>13</x:v>
      </x:c>
      <x:c r="H4320" s="40" t="n">
        <x:f>F4320-E4320</x:f>
        <x:v>-1.9763031005859375</x:v>
      </x:c>
      <x:c r="I4320" s="40" t="n">
        <x:f>ABS(H4320)</x:f>
        <x:v>1.9763031005859375</x:v>
      </x:c>
      <x:c r="J4320" s="40" t="n">
        <x:f>H4320^2</x:f>
        <x:v>3.90577394538559</x:v>
      </x:c>
      <x:c r="K4320" s="40" t="n">
        <x:f>G4320-E4320</x:f>
        <x:v>0</x:v>
      </x:c>
      <x:c r="L4320" s="40" t="n">
        <x:f>ABS(K4320)</x:f>
        <x:v>0</x:v>
      </x:c>
      <x:c r="M4320" s="41" t="str">
        <x:v>lstm-soil-v1</x:v>
      </x:c>
    </x:row>
    <x:row r="4321">
      <x:c r="A4321" s="38" t="str">
        <x:v>7月30日现场数据</x:v>
      </x:c>
      <x:c r="B4321" s="39" t="str">
        <x:v>2026-08-04T07:30:00</x:v>
      </x:c>
      <x:c r="C4321" s="39" t="str">
        <x:v>2026-08-04T07:45:00</x:v>
      </x:c>
      <x:c r="D4321" s="47" t="n">
        <x:v>15</x:v>
      </x:c>
      <x:c r="E4321" s="40" t="n">
        <x:v>13</x:v>
      </x:c>
      <x:c r="F4321" s="40" t="n">
        <x:v>11.081806182861328</x:v>
      </x:c>
      <x:c r="G4321" s="40" t="n">
        <x:v>13</x:v>
      </x:c>
      <x:c r="H4321" s="40" t="n">
        <x:f>F4321-E4321</x:f>
        <x:v>-1.9181938171386719</x:v>
      </x:c>
      <x:c r="I4321" s="40" t="n">
        <x:f>ABS(H4321)</x:f>
        <x:v>1.9181938171386719</x:v>
      </x:c>
      <x:c r="J4321" s="40" t="n">
        <x:f>H4321^2</x:f>
        <x:v>3.6794675201090286</x:v>
      </x:c>
      <x:c r="K4321" s="40" t="n">
        <x:f>G4321-E4321</x:f>
        <x:v>0</x:v>
      </x:c>
      <x:c r="L4321" s="40" t="n">
        <x:f>ABS(K4321)</x:f>
        <x:v>0</x:v>
      </x:c>
      <x:c r="M4321" s="41" t="str">
        <x:v>lstm-soil-v1</x:v>
      </x:c>
    </x:row>
    <x:row r="4322">
      <x:c r="A4322" s="38" t="str">
        <x:v>7月30日现场数据</x:v>
      </x:c>
      <x:c r="B4322" s="39" t="str">
        <x:v>2026-08-04T07:30:00</x:v>
      </x:c>
      <x:c r="C4322" s="39" t="str">
        <x:v>2026-08-04T08:00:00</x:v>
      </x:c>
      <x:c r="D4322" s="47" t="n">
        <x:v>30</x:v>
      </x:c>
      <x:c r="E4322" s="40" t="n">
        <x:v>12.9</x:v>
      </x:c>
      <x:c r="F4322" s="40" t="n">
        <x:v>11.578109741210938</x:v>
      </x:c>
      <x:c r="G4322" s="40" t="n">
        <x:v>13</x:v>
      </x:c>
      <x:c r="H4322" s="40" t="n">
        <x:f>F4322-E4322</x:f>
        <x:v>-1.3218902587890629</x:v>
      </x:c>
      <x:c r="I4322" s="40" t="n">
        <x:f>ABS(H4322)</x:f>
        <x:v>1.3218902587890629</x:v>
      </x:c>
      <x:c r="J4322" s="40" t="n">
        <x:f>H4322^2</x:f>
        <x:v>1.7473938562814155</x:v>
      </x:c>
      <x:c r="K4322" s="40" t="n">
        <x:f>G4322-E4322</x:f>
        <x:v>0.09999999999999964</x:v>
      </x:c>
      <x:c r="L4322" s="40" t="n">
        <x:f>ABS(K4322)</x:f>
        <x:v>0.09999999999999964</x:v>
      </x:c>
      <x:c r="M4322" s="41" t="str">
        <x:v>lstm-soil-v1</x:v>
      </x:c>
    </x:row>
    <x:row r="4323">
      <x:c r="A4323" s="38" t="str">
        <x:v>7月30日现场数据</x:v>
      </x:c>
      <x:c r="B4323" s="39" t="str">
        <x:v>2026-08-04T07:30:00</x:v>
      </x:c>
      <x:c r="C4323" s="39" t="str">
        <x:v>2026-08-04T08:30:00</x:v>
      </x:c>
      <x:c r="D4323" s="47" t="n">
        <x:v>60</x:v>
      </x:c>
      <x:c r="E4323" s="40" t="n">
        <x:v>12.9</x:v>
      </x:c>
      <x:c r="F4323" s="40" t="n">
        <x:v>13.181793212890625</x:v>
      </x:c>
      <x:c r="G4323" s="40" t="n">
        <x:v>13</x:v>
      </x:c>
      <x:c r="H4323" s="40" t="n">
        <x:f>F4323-E4323</x:f>
        <x:v>0.28179321289062464</x:v>
      </x:c>
      <x:c r="I4323" s="40" t="n">
        <x:f>ABS(H4323)</x:f>
        <x:v>0.28179321289062464</x:v>
      </x:c>
      <x:c r="J4323" s="40" t="n">
        <x:f>H4323^2</x:f>
        <x:v>0.07940741483122091</x:v>
      </x:c>
      <x:c r="K4323" s="40" t="n">
        <x:f>G4323-E4323</x:f>
        <x:v>0.09999999999999964</x:v>
      </x:c>
      <x:c r="L4323" s="40" t="n">
        <x:f>ABS(K4323)</x:f>
        <x:v>0.09999999999999964</x:v>
      </x:c>
      <x:c r="M4323" s="41" t="str">
        <x:v>lstm-soil-v1</x:v>
      </x:c>
    </x:row>
    <x:row r="4324">
      <x:c r="A4324" s="38" t="str">
        <x:v>7月30日现场数据</x:v>
      </x:c>
      <x:c r="B4324" s="39" t="str">
        <x:v>2026-08-04T07:35:00</x:v>
      </x:c>
      <x:c r="C4324" s="39" t="str">
        <x:v>2026-08-04T07:40:00</x:v>
      </x:c>
      <x:c r="D4324" s="47" t="n">
        <x:v>5</x:v>
      </x:c>
      <x:c r="E4324" s="40" t="n">
        <x:v>13</x:v>
      </x:c>
      <x:c r="F4324" s="40" t="n">
        <x:v>11.024639129638672</x:v>
      </x:c>
      <x:c r="G4324" s="40" t="n">
        <x:v>13</x:v>
      </x:c>
      <x:c r="H4324" s="40" t="n">
        <x:f>F4324-E4324</x:f>
        <x:v>-1.9753608703613281</x:v>
      </x:c>
      <x:c r="I4324" s="40" t="n">
        <x:f>ABS(H4324)</x:f>
        <x:v>1.9753608703613281</x:v>
      </x:c>
      <x:c r="J4324" s="40" t="n">
        <x:f>H4324^2</x:f>
        <x:v>3.902050568154664</x:v>
      </x:c>
      <x:c r="K4324" s="40" t="n">
        <x:f>G4324-E4324</x:f>
        <x:v>0</x:v>
      </x:c>
      <x:c r="L4324" s="40" t="n">
        <x:f>ABS(K4324)</x:f>
        <x:v>0</x:v>
      </x:c>
      <x:c r="M4324" s="41" t="str">
        <x:v>lstm-soil-v1</x:v>
      </x:c>
    </x:row>
    <x:row r="4325">
      <x:c r="A4325" s="38" t="str">
        <x:v>7月30日现场数据</x:v>
      </x:c>
      <x:c r="B4325" s="39" t="str">
        <x:v>2026-08-04T07:35:00</x:v>
      </x:c>
      <x:c r="C4325" s="39" t="str">
        <x:v>2026-08-04T07:50:00</x:v>
      </x:c>
      <x:c r="D4325" s="47" t="n">
        <x:v>15</x:v>
      </x:c>
      <x:c r="E4325" s="40" t="n">
        <x:v>13</x:v>
      </x:c>
      <x:c r="F4325" s="40" t="n">
        <x:v>11.081924438476562</x:v>
      </x:c>
      <x:c r="G4325" s="40" t="n">
        <x:v>13</x:v>
      </x:c>
      <x:c r="H4325" s="40" t="n">
        <x:f>F4325-E4325</x:f>
        <x:v>-1.9180755615234375</x:v>
      </x:c>
      <x:c r="I4325" s="40" t="n">
        <x:f>ABS(H4325)</x:f>
        <x:v>1.9180755615234375</x:v>
      </x:c>
      <x:c r="J4325" s="40" t="n">
        <x:f>H4325^2</x:f>
        <x:v>3.67901385971345</x:v>
      </x:c>
      <x:c r="K4325" s="40" t="n">
        <x:f>G4325-E4325</x:f>
        <x:v>0</x:v>
      </x:c>
      <x:c r="L4325" s="40" t="n">
        <x:f>ABS(K4325)</x:f>
        <x:v>0</x:v>
      </x:c>
      <x:c r="M4325" s="41" t="str">
        <x:v>lstm-soil-v1</x:v>
      </x:c>
    </x:row>
    <x:row r="4326">
      <x:c r="A4326" s="38" t="str">
        <x:v>7月30日现场数据</x:v>
      </x:c>
      <x:c r="B4326" s="39" t="str">
        <x:v>2026-08-04T07:35:00</x:v>
      </x:c>
      <x:c r="C4326" s="39" t="str">
        <x:v>2026-08-04T08:05:00</x:v>
      </x:c>
      <x:c r="D4326" s="47" t="n">
        <x:v>30</x:v>
      </x:c>
      <x:c r="E4326" s="40" t="n">
        <x:v>13</x:v>
      </x:c>
      <x:c r="F4326" s="40" t="n">
        <x:v>11.579277038574219</x:v>
      </x:c>
      <x:c r="G4326" s="40" t="n">
        <x:v>13</x:v>
      </x:c>
      <x:c r="H4326" s="40" t="n">
        <x:f>F4326-E4326</x:f>
        <x:v>-1.4207229614257812</x:v>
      </x:c>
      <x:c r="I4326" s="40" t="n">
        <x:f>ABS(H4326)</x:f>
        <x:v>1.4207229614257812</x:v>
      </x:c>
      <x:c r="J4326" s="40" t="n">
        <x:f>H4326^2</x:f>
        <x:v>2.018453733122442</x:v>
      </x:c>
      <x:c r="K4326" s="40" t="n">
        <x:f>G4326-E4326</x:f>
        <x:v>0</x:v>
      </x:c>
      <x:c r="L4326" s="40" t="n">
        <x:f>ABS(K4326)</x:f>
        <x:v>0</x:v>
      </x:c>
      <x:c r="M4326" s="41" t="str">
        <x:v>lstm-soil-v1</x:v>
      </x:c>
    </x:row>
    <x:row r="4327">
      <x:c r="A4327" s="38" t="str">
        <x:v>7月30日现场数据</x:v>
      </x:c>
      <x:c r="B4327" s="39" t="str">
        <x:v>2026-08-04T07:35:00</x:v>
      </x:c>
      <x:c r="C4327" s="39" t="str">
        <x:v>2026-08-04T08:35:00</x:v>
      </x:c>
      <x:c r="D4327" s="47" t="n">
        <x:v>60</x:v>
      </x:c>
      <x:c r="E4327" s="40" t="n">
        <x:v>13</x:v>
      </x:c>
      <x:c r="F4327" s="40" t="n">
        <x:v>13.183914184570312</x:v>
      </x:c>
      <x:c r="G4327" s="40" t="n">
        <x:v>13</x:v>
      </x:c>
      <x:c r="H4327" s="40" t="n">
        <x:f>F4327-E4327</x:f>
        <x:v>0.1839141845703125</x:v>
      </x:c>
      <x:c r="I4327" s="40" t="n">
        <x:f>ABS(H4327)</x:f>
        <x:v>0.1839141845703125</x:v>
      </x:c>
      <x:c r="J4327" s="40" t="n">
        <x:f>H4327^2</x:f>
        <x:v>0.03382442728616297</x:v>
      </x:c>
      <x:c r="K4327" s="40" t="n">
        <x:f>G4327-E4327</x:f>
        <x:v>0</x:v>
      </x:c>
      <x:c r="L4327" s="40" t="n">
        <x:f>ABS(K4327)</x:f>
        <x:v>0</x:v>
      </x:c>
      <x:c r="M4327" s="41" t="str">
        <x:v>lstm-soil-v1</x:v>
      </x:c>
    </x:row>
    <x:row r="4328">
      <x:c r="A4328" s="38" t="str">
        <x:v>7月30日现场数据</x:v>
      </x:c>
      <x:c r="B4328" s="39" t="str">
        <x:v>2026-08-04T07:40:00</x:v>
      </x:c>
      <x:c r="C4328" s="39" t="str">
        <x:v>2026-08-04T07:45:00</x:v>
      </x:c>
      <x:c r="D4328" s="47" t="n">
        <x:v>5</x:v>
      </x:c>
      <x:c r="E4328" s="40" t="n">
        <x:v>13</x:v>
      </x:c>
      <x:c r="F4328" s="40" t="n">
        <x:v>11.025157928466797</x:v>
      </x:c>
      <x:c r="G4328" s="40" t="n">
        <x:v>13</x:v>
      </x:c>
      <x:c r="H4328" s="40" t="n">
        <x:f>F4328-E4328</x:f>
        <x:v>-1.9748420715332031</x:v>
      </x:c>
      <x:c r="I4328" s="40" t="n">
        <x:f>ABS(H4328)</x:f>
        <x:v>1.9748420715332031</x:v>
      </x:c>
      <x:c r="J4328" s="40" t="n">
        <x:f>H4328^2</x:f>
        <x:v>3.900001207497553</x:v>
      </x:c>
      <x:c r="K4328" s="40" t="n">
        <x:f>G4328-E4328</x:f>
        <x:v>0</x:v>
      </x:c>
      <x:c r="L4328" s="40" t="n">
        <x:f>ABS(K4328)</x:f>
        <x:v>0</x:v>
      </x:c>
      <x:c r="M4328" s="41" t="str">
        <x:v>lstm-soil-v1</x:v>
      </x:c>
    </x:row>
    <x:row r="4329">
      <x:c r="A4329" s="38" t="str">
        <x:v>7月30日现场数据</x:v>
      </x:c>
      <x:c r="B4329" s="39" t="str">
        <x:v>2026-08-04T07:40:00</x:v>
      </x:c>
      <x:c r="C4329" s="39" t="str">
        <x:v>2026-08-04T07:55:00</x:v>
      </x:c>
      <x:c r="D4329" s="47" t="n">
        <x:v>15</x:v>
      </x:c>
      <x:c r="E4329" s="40" t="n">
        <x:v>13</x:v>
      </x:c>
      <x:c r="F4329" s="40" t="n">
        <x:v>11.082218170166016</x:v>
      </x:c>
      <x:c r="G4329" s="40" t="n">
        <x:v>13</x:v>
      </x:c>
      <x:c r="H4329" s="40" t="n">
        <x:f>F4329-E4329</x:f>
        <x:v>-1.9177818298339844</x:v>
      </x:c>
      <x:c r="I4329" s="40" t="n">
        <x:f>ABS(H4329)</x:f>
        <x:v>1.9177818298339844</x:v>
      </x:c>
      <x:c r="J4329" s="40" t="n">
        <x:f>H4329^2</x:f>
        <x:v>3.6778871468413854</x:v>
      </x:c>
      <x:c r="K4329" s="40" t="n">
        <x:f>G4329-E4329</x:f>
        <x:v>0</x:v>
      </x:c>
      <x:c r="L4329" s="40" t="n">
        <x:f>ABS(K4329)</x:f>
        <x:v>0</x:v>
      </x:c>
      <x:c r="M4329" s="41" t="str">
        <x:v>lstm-soil-v1</x:v>
      </x:c>
    </x:row>
    <x:row r="4330">
      <x:c r="A4330" s="38" t="str">
        <x:v>7月30日现场数据</x:v>
      </x:c>
      <x:c r="B4330" s="39" t="str">
        <x:v>2026-08-04T07:40:00</x:v>
      </x:c>
      <x:c r="C4330" s="39" t="str">
        <x:v>2026-08-04T08:10:00</x:v>
      </x:c>
      <x:c r="D4330" s="47" t="n">
        <x:v>30</x:v>
      </x:c>
      <x:c r="E4330" s="40" t="n">
        <x:v>13</x:v>
      </x:c>
      <x:c r="F4330" s="40" t="n">
        <x:v>11.580276489257812</x:v>
      </x:c>
      <x:c r="G4330" s="40" t="n">
        <x:v>13</x:v>
      </x:c>
      <x:c r="H4330" s="40" t="n">
        <x:f>F4330-E4330</x:f>
        <x:v>-1.4197235107421875</x:v>
      </x:c>
      <x:c r="I4330" s="40" t="n">
        <x:f>ABS(H4330)</x:f>
        <x:v>1.4197235107421875</x:v>
      </x:c>
      <x:c r="J4330" s="40" t="n">
        <x:f>H4330^2</x:f>
        <x:v>2.015614846954122</x:v>
      </x:c>
      <x:c r="K4330" s="40" t="n">
        <x:f>G4330-E4330</x:f>
        <x:v>0</x:v>
      </x:c>
      <x:c r="L4330" s="40" t="n">
        <x:f>ABS(K4330)</x:f>
        <x:v>0</x:v>
      </x:c>
      <x:c r="M4330" s="41" t="str">
        <x:v>lstm-soil-v1</x:v>
      </x:c>
    </x:row>
    <x:row r="4331">
      <x:c r="A4331" s="38" t="str">
        <x:v>7月30日现场数据</x:v>
      </x:c>
      <x:c r="B4331" s="39" t="str">
        <x:v>2026-08-04T07:40:00</x:v>
      </x:c>
      <x:c r="C4331" s="39" t="str">
        <x:v>2026-08-04T08:40:00</x:v>
      </x:c>
      <x:c r="D4331" s="47" t="n">
        <x:v>60</x:v>
      </x:c>
      <x:c r="E4331" s="40" t="n">
        <x:v>13.1</x:v>
      </x:c>
      <x:c r="F4331" s="40" t="n">
        <x:v>13.185077667236328</x:v>
      </x:c>
      <x:c r="G4331" s="40" t="n">
        <x:v>13</x:v>
      </x:c>
      <x:c r="H4331" s="40" t="n">
        <x:f>F4331-E4331</x:f>
        <x:v>0.08507766723632848</x:v>
      </x:c>
      <x:c r="I4331" s="40" t="n">
        <x:f>ABS(H4331)</x:f>
        <x:v>0.08507766723632848</x:v>
      </x:c>
      <x:c r="J4331" s="40" t="n">
        <x:f>H4331^2</x:f>
        <x:v>0.007238209462375441</x:v>
      </x:c>
      <x:c r="K4331" s="40" t="n">
        <x:f>G4331-E4331</x:f>
        <x:v>-0.09999999999999964</x:v>
      </x:c>
      <x:c r="L4331" s="40" t="n">
        <x:f>ABS(K4331)</x:f>
        <x:v>0.09999999999999964</x:v>
      </x:c>
      <x:c r="M4331" s="41" t="str">
        <x:v>lstm-soil-v1</x:v>
      </x:c>
    </x:row>
    <x:row r="4332">
      <x:c r="A4332" s="38" t="str">
        <x:v>7月30日现场数据</x:v>
      </x:c>
      <x:c r="B4332" s="39" t="str">
        <x:v>2026-08-04T07:45:00</x:v>
      </x:c>
      <x:c r="C4332" s="39" t="str">
        <x:v>2026-08-04T07:50:00</x:v>
      </x:c>
      <x:c r="D4332" s="47" t="n">
        <x:v>5</x:v>
      </x:c>
      <x:c r="E4332" s="40" t="n">
        <x:v>13</x:v>
      </x:c>
      <x:c r="F4332" s="40" t="n">
        <x:v>11.025520324707031</x:v>
      </x:c>
      <x:c r="G4332" s="40" t="n">
        <x:v>13</x:v>
      </x:c>
      <x:c r="H4332" s="40" t="n">
        <x:f>F4332-E4332</x:f>
        <x:v>-1.9744796752929688</x:v>
      </x:c>
      <x:c r="I4332" s="40" t="n">
        <x:f>ABS(H4332)</x:f>
        <x:v>1.9744796752929688</x:v>
      </x:c>
      <x:c r="J4332" s="40" t="n">
        <x:f>H4332^2</x:f>
        <x:v>3.8985699881450273</x:v>
      </x:c>
      <x:c r="K4332" s="40" t="n">
        <x:f>G4332-E4332</x:f>
        <x:v>0</x:v>
      </x:c>
      <x:c r="L4332" s="40" t="n">
        <x:f>ABS(K4332)</x:f>
        <x:v>0</x:v>
      </x:c>
      <x:c r="M4332" s="41" t="str">
        <x:v>lstm-soil-v1</x:v>
      </x:c>
    </x:row>
    <x:row r="4333">
      <x:c r="A4333" s="38" t="str">
        <x:v>7月30日现场数据</x:v>
      </x:c>
      <x:c r="B4333" s="39" t="str">
        <x:v>2026-08-04T07:45:00</x:v>
      </x:c>
      <x:c r="C4333" s="39" t="str">
        <x:v>2026-08-04T08:00:00</x:v>
      </x:c>
      <x:c r="D4333" s="47" t="n">
        <x:v>15</x:v>
      </x:c>
      <x:c r="E4333" s="40" t="n">
        <x:v>12.9</x:v>
      </x:c>
      <x:c r="F4333" s="40" t="n">
        <x:v>11.082359313964844</x:v>
      </x:c>
      <x:c r="G4333" s="40" t="n">
        <x:v>13</x:v>
      </x:c>
      <x:c r="H4333" s="40" t="n">
        <x:f>F4333-E4333</x:f>
        <x:v>-1.8176406860351566</x:v>
      </x:c>
      <x:c r="I4333" s="40" t="n">
        <x:f>ABS(H4333)</x:f>
        <x:v>1.8176406860351566</x:v>
      </x:c>
      <x:c r="J4333" s="40" t="n">
        <x:f>H4333^2</x:f>
        <x:v>3.3038176635303547</x:v>
      </x:c>
      <x:c r="K4333" s="40" t="n">
        <x:f>G4333-E4333</x:f>
        <x:v>0.09999999999999964</x:v>
      </x:c>
      <x:c r="L4333" s="40" t="n">
        <x:f>ABS(K4333)</x:f>
        <x:v>0.09999999999999964</x:v>
      </x:c>
      <x:c r="M4333" s="41" t="str">
        <x:v>lstm-soil-v1</x:v>
      </x:c>
    </x:row>
    <x:row r="4334">
      <x:c r="A4334" s="38" t="str">
        <x:v>7月30日现场数据</x:v>
      </x:c>
      <x:c r="B4334" s="39" t="str">
        <x:v>2026-08-04T07:45:00</x:v>
      </x:c>
      <x:c r="C4334" s="39" t="str">
        <x:v>2026-08-04T08:15:00</x:v>
      </x:c>
      <x:c r="D4334" s="47" t="n">
        <x:v>30</x:v>
      </x:c>
      <x:c r="E4334" s="40" t="n">
        <x:v>13</x:v>
      </x:c>
      <x:c r="F4334" s="40" t="n">
        <x:v>11.580982208251953</x:v>
      </x:c>
      <x:c r="G4334" s="40" t="n">
        <x:v>13</x:v>
      </x:c>
      <x:c r="H4334" s="40" t="n">
        <x:f>F4334-E4334</x:f>
        <x:v>-1.4190177917480469</x:v>
      </x:c>
      <x:c r="I4334" s="40" t="n">
        <x:f>ABS(H4334)</x:f>
        <x:v>1.4190177917480469</x:v>
      </x:c>
      <x:c r="J4334" s="40" t="n">
        <x:f>H4334^2</x:f>
        <x:v>2.0136114932975033</x:v>
      </x:c>
      <x:c r="K4334" s="40" t="n">
        <x:f>G4334-E4334</x:f>
        <x:v>0</x:v>
      </x:c>
      <x:c r="L4334" s="40" t="n">
        <x:f>ABS(K4334)</x:f>
        <x:v>0</x:v>
      </x:c>
      <x:c r="M4334" s="41" t="str">
        <x:v>lstm-soil-v1</x:v>
      </x:c>
    </x:row>
    <x:row r="4335">
      <x:c r="A4335" s="38" t="str">
        <x:v>7月30日现场数据</x:v>
      </x:c>
      <x:c r="B4335" s="39" t="str">
        <x:v>2026-08-04T07:45:00</x:v>
      </x:c>
      <x:c r="C4335" s="39" t="str">
        <x:v>2026-08-04T08:45:00</x:v>
      </x:c>
      <x:c r="D4335" s="47" t="n">
        <x:v>60</x:v>
      </x:c>
      <x:c r="E4335" s="40" t="n">
        <x:v>13.2</x:v>
      </x:c>
      <x:c r="F4335" s="40" t="n">
        <x:v>13.186077117919922</x:v>
      </x:c>
      <x:c r="G4335" s="40" t="n">
        <x:v>13</x:v>
      </x:c>
      <x:c r="H4335" s="40" t="n">
        <x:f>F4335-E4335</x:f>
        <x:v>-0.013922882080077414</x:v>
      </x:c>
      <x:c r="I4335" s="40" t="n">
        <x:f>ABS(H4335)</x:f>
        <x:v>0.013922882080077414</x:v>
      </x:c>
      <x:c r="J4335" s="40" t="n">
        <x:f>H4335^2</x:f>
        <x:v>0.0001938466454157408</x:v>
      </x:c>
      <x:c r="K4335" s="40" t="n">
        <x:f>G4335-E4335</x:f>
        <x:v>-0.1999999999999993</x:v>
      </x:c>
      <x:c r="L4335" s="40" t="n">
        <x:f>ABS(K4335)</x:f>
        <x:v>0.1999999999999993</x:v>
      </x:c>
      <x:c r="M4335" s="41" t="str">
        <x:v>lstm-soil-v1</x:v>
      </x:c>
    </x:row>
    <x:row r="4336">
      <x:c r="A4336" s="38" t="str">
        <x:v>7月30日现场数据</x:v>
      </x:c>
      <x:c r="B4336" s="39" t="str">
        <x:v>2026-08-04T07:50:00</x:v>
      </x:c>
      <x:c r="C4336" s="39" t="str">
        <x:v>2026-08-04T07:55:00</x:v>
      </x:c>
      <x:c r="D4336" s="47" t="n">
        <x:v>5</x:v>
      </x:c>
      <x:c r="E4336" s="40" t="n">
        <x:v>13</x:v>
      </x:c>
      <x:c r="F4336" s="40" t="n">
        <x:v>11.025428771972656</x:v>
      </x:c>
      <x:c r="G4336" s="40" t="n">
        <x:v>13</x:v>
      </x:c>
      <x:c r="H4336" s="40" t="n">
        <x:f>F4336-E4336</x:f>
        <x:v>-1.9745712280273438</x:v>
      </x:c>
      <x:c r="I4336" s="40" t="n">
        <x:f>ABS(H4336)</x:f>
        <x:v>1.9745712280273438</x:v>
      </x:c>
      <x:c r="J4336" s="40" t="n">
        <x:f>H4336^2</x:f>
        <x:v>3.8989315345534123</x:v>
      </x:c>
      <x:c r="K4336" s="40" t="n">
        <x:f>G4336-E4336</x:f>
        <x:v>0</x:v>
      </x:c>
      <x:c r="L4336" s="40" t="n">
        <x:f>ABS(K4336)</x:f>
        <x:v>0</x:v>
      </x:c>
      <x:c r="M4336" s="41" t="str">
        <x:v>lstm-soil-v1</x:v>
      </x:c>
    </x:row>
    <x:row r="4337">
      <x:c r="A4337" s="38" t="str">
        <x:v>7月30日现场数据</x:v>
      </x:c>
      <x:c r="B4337" s="39" t="str">
        <x:v>2026-08-04T07:50:00</x:v>
      </x:c>
      <x:c r="C4337" s="39" t="str">
        <x:v>2026-08-04T08:05:00</x:v>
      </x:c>
      <x:c r="D4337" s="47" t="n">
        <x:v>15</x:v>
      </x:c>
      <x:c r="E4337" s="40" t="n">
        <x:v>13</x:v>
      </x:c>
      <x:c r="F4337" s="40" t="n">
        <x:v>11.081928253173828</x:v>
      </x:c>
      <x:c r="G4337" s="40" t="n">
        <x:v>13</x:v>
      </x:c>
      <x:c r="H4337" s="40" t="n">
        <x:f>F4337-E4337</x:f>
        <x:v>-1.9180717468261719</x:v>
      </x:c>
      <x:c r="I4337" s="40" t="n">
        <x:f>ABS(H4337)</x:f>
        <x:v>1.9180717468261719</x:v>
      </x:c>
      <x:c r="J4337" s="40" t="n">
        <x:f>H4337^2</x:f>
        <x:v>3.6789992259728024</x:v>
      </x:c>
      <x:c r="K4337" s="40" t="n">
        <x:f>G4337-E4337</x:f>
        <x:v>0</x:v>
      </x:c>
      <x:c r="L4337" s="40" t="n">
        <x:f>ABS(K4337)</x:f>
        <x:v>0</x:v>
      </x:c>
      <x:c r="M4337" s="41" t="str">
        <x:v>lstm-soil-v1</x:v>
      </x:c>
    </x:row>
    <x:row r="4338">
      <x:c r="A4338" s="38" t="str">
        <x:v>7月30日现场数据</x:v>
      </x:c>
      <x:c r="B4338" s="39" t="str">
        <x:v>2026-08-04T07:50:00</x:v>
      </x:c>
      <x:c r="C4338" s="39" t="str">
        <x:v>2026-08-04T08:20:00</x:v>
      </x:c>
      <x:c r="D4338" s="47" t="n">
        <x:v>30</x:v>
      </x:c>
      <x:c r="E4338" s="40" t="n">
        <x:v>13</x:v>
      </x:c>
      <x:c r="F4338" s="40" t="n">
        <x:v>11.581096649169922</x:v>
      </x:c>
      <x:c r="G4338" s="40" t="n">
        <x:v>13</x:v>
      </x:c>
      <x:c r="H4338" s="40" t="n">
        <x:f>F4338-E4338</x:f>
        <x:v>-1.4189033508300781</x:v>
      </x:c>
      <x:c r="I4338" s="40" t="n">
        <x:f>ABS(H4338)</x:f>
        <x:v>1.4189033508300781</x:v>
      </x:c>
      <x:c r="J4338" s="40" t="n">
        <x:f>H4338^2</x:f>
        <x:v>2.0132867189968238</x:v>
      </x:c>
      <x:c r="K4338" s="40" t="n">
        <x:f>G4338-E4338</x:f>
        <x:v>0</x:v>
      </x:c>
      <x:c r="L4338" s="40" t="n">
        <x:f>ABS(K4338)</x:f>
        <x:v>0</x:v>
      </x:c>
      <x:c r="M4338" s="41" t="str">
        <x:v>lstm-soil-v1</x:v>
      </x:c>
    </x:row>
    <x:row r="4339">
      <x:c r="A4339" s="38" t="str">
        <x:v>7月30日现场数据</x:v>
      </x:c>
      <x:c r="B4339" s="39" t="str">
        <x:v>2026-08-04T07:50:00</x:v>
      </x:c>
      <x:c r="C4339" s="39" t="str">
        <x:v>2026-08-04T08:50:00</x:v>
      </x:c>
      <x:c r="D4339" s="47" t="n">
        <x:v>60</x:v>
      </x:c>
      <x:c r="E4339" s="40" t="n">
        <x:v>13.3</x:v>
      </x:c>
      <x:c r="F4339" s="40" t="n">
        <x:v>13.18722915649414</x:v>
      </x:c>
      <x:c r="G4339" s="40" t="n">
        <x:v>13</x:v>
      </x:c>
      <x:c r="H4339" s="40" t="n">
        <x:f>F4339-E4339</x:f>
        <x:v>-0.11277084350586009</x:v>
      </x:c>
      <x:c r="I4339" s="40" t="n">
        <x:f>ABS(H4339)</x:f>
        <x:v>0.11277084350586009</x:v>
      </x:c>
      <x:c r="J4339" s="40" t="n">
        <x:f>H4339^2</x:f>
        <x:v>0.012717263145023186</x:v>
      </x:c>
      <x:c r="K4339" s="40" t="n">
        <x:f>G4339-E4339</x:f>
        <x:v>-0.3000000000000007</x:v>
      </x:c>
      <x:c r="L4339" s="40" t="n">
        <x:f>ABS(K4339)</x:f>
        <x:v>0.3000000000000007</x:v>
      </x:c>
      <x:c r="M4339" s="41" t="str">
        <x:v>lstm-soil-v1</x:v>
      </x:c>
    </x:row>
    <x:row r="4340">
      <x:c r="A4340" s="38" t="str">
        <x:v>7月30日现场数据</x:v>
      </x:c>
      <x:c r="B4340" s="39" t="str">
        <x:v>2026-08-04T07:55:00</x:v>
      </x:c>
      <x:c r="C4340" s="39" t="str">
        <x:v>2026-08-04T08:00:00</x:v>
      </x:c>
      <x:c r="D4340" s="47" t="n">
        <x:v>5</x:v>
      </x:c>
      <x:c r="E4340" s="40" t="n">
        <x:v>12.9</x:v>
      </x:c>
      <x:c r="F4340" s="40" t="n">
        <x:v>11.025711059570312</x:v>
      </x:c>
      <x:c r="G4340" s="40" t="n">
        <x:v>13</x:v>
      </x:c>
      <x:c r="H4340" s="40" t="n">
        <x:f>F4340-E4340</x:f>
        <x:v>-1.8742889404296879</x:v>
      </x:c>
      <x:c r="I4340" s="40" t="n">
        <x:f>ABS(H4340)</x:f>
        <x:v>1.8742889404296879</x:v>
      </x:c>
      <x:c r="J4340" s="40" t="n">
        <x:f>H4340^2</x:f>
        <x:v>3.512959032217042</x:v>
      </x:c>
      <x:c r="K4340" s="40" t="n">
        <x:f>G4340-E4340</x:f>
        <x:v>0.09999999999999964</x:v>
      </x:c>
      <x:c r="L4340" s="40" t="n">
        <x:f>ABS(K4340)</x:f>
        <x:v>0.09999999999999964</x:v>
      </x:c>
      <x:c r="M4340" s="41" t="str">
        <x:v>lstm-soil-v1</x:v>
      </x:c>
    </x:row>
    <x:row r="4341">
      <x:c r="A4341" s="38" t="str">
        <x:v>7月30日现场数据</x:v>
      </x:c>
      <x:c r="B4341" s="39" t="str">
        <x:v>2026-08-04T07:55:00</x:v>
      </x:c>
      <x:c r="C4341" s="39" t="str">
        <x:v>2026-08-04T08:10:00</x:v>
      </x:c>
      <x:c r="D4341" s="47" t="n">
        <x:v>15</x:v>
      </x:c>
      <x:c r="E4341" s="40" t="n">
        <x:v>13</x:v>
      </x:c>
      <x:c r="F4341" s="40" t="n">
        <x:v>11.08163070678711</x:v>
      </x:c>
      <x:c r="G4341" s="40" t="n">
        <x:v>13</x:v>
      </x:c>
      <x:c r="H4341" s="40" t="n">
        <x:f>F4341-E4341</x:f>
        <x:v>-1.9183692932128906</x:v>
      </x:c>
      <x:c r="I4341" s="40" t="n">
        <x:f>ABS(H4341)</x:f>
        <x:v>1.9183692932128906</x:v>
      </x:c>
      <x:c r="J4341" s="40" t="n">
        <x:f>H4341^2</x:f>
        <x:v>3.6801407451421255</x:v>
      </x:c>
      <x:c r="K4341" s="40" t="n">
        <x:f>G4341-E4341</x:f>
        <x:v>0</x:v>
      </x:c>
      <x:c r="L4341" s="40" t="n">
        <x:f>ABS(K4341)</x:f>
        <x:v>0</x:v>
      </x:c>
      <x:c r="M4341" s="41" t="str">
        <x:v>lstm-soil-v1</x:v>
      </x:c>
    </x:row>
    <x:row r="4342">
      <x:c r="A4342" s="38" t="str">
        <x:v>7月30日现场数据</x:v>
      </x:c>
      <x:c r="B4342" s="39" t="str">
        <x:v>2026-08-04T07:55:00</x:v>
      </x:c>
      <x:c r="C4342" s="39" t="str">
        <x:v>2026-08-04T08:25:00</x:v>
      </x:c>
      <x:c r="D4342" s="47" t="n">
        <x:v>30</x:v>
      </x:c>
      <x:c r="E4342" s="40" t="n">
        <x:v>12.950000000000001</x:v>
      </x:c>
      <x:c r="F4342" s="40" t="n">
        <x:v>11.582008361816406</x:v>
      </x:c>
      <x:c r="G4342" s="40" t="n">
        <x:v>13</x:v>
      </x:c>
      <x:c r="H4342" s="40" t="n">
        <x:f>F4342-E4342</x:f>
        <x:v>-1.3679916381835948</x:v>
      </x:c>
      <x:c r="I4342" s="40" t="n">
        <x:f>ABS(H4342)</x:f>
        <x:v>1.3679916381835948</x:v>
      </x:c>
      <x:c r="J4342" s="40" t="n">
        <x:f>H4342^2</x:f>
        <x:v>1.8714011221402354</x:v>
      </x:c>
      <x:c r="K4342" s="40" t="n">
        <x:f>G4342-E4342</x:f>
        <x:v>0.049999999999998934</x:v>
      </x:c>
      <x:c r="L4342" s="40" t="n">
        <x:f>ABS(K4342)</x:f>
        <x:v>0.049999999999998934</x:v>
      </x:c>
      <x:c r="M4342" s="41" t="str">
        <x:v>lstm-soil-v1</x:v>
      </x:c>
    </x:row>
    <x:row r="4343">
      <x:c r="A4343" s="38" t="str">
        <x:v>7月30日现场数据</x:v>
      </x:c>
      <x:c r="B4343" s="39" t="str">
        <x:v>2026-08-04T07:55:00</x:v>
      </x:c>
      <x:c r="C4343" s="39" t="str">
        <x:v>2026-08-04T08:55:00</x:v>
      </x:c>
      <x:c r="D4343" s="47" t="n">
        <x:v>60</x:v>
      </x:c>
      <x:c r="E4343" s="40" t="n">
        <x:v>13.3</x:v>
      </x:c>
      <x:c r="F4343" s="40" t="n">
        <x:v>13.188392639160156</x:v>
      </x:c>
      <x:c r="G4343" s="40" t="n">
        <x:v>13</x:v>
      </x:c>
      <x:c r="H4343" s="40" t="n">
        <x:f>F4343-E4343</x:f>
        <x:v>-0.11160736083984446</x:v>
      </x:c>
      <x:c r="I4343" s="40" t="n">
        <x:f>ABS(H4343)</x:f>
        <x:v>0.11160736083984446</x:v>
      </x:c>
      <x:c r="J4343" s="40" t="n">
        <x:f>H4343^2</x:f>
        <x:v>0.012456202993635247</x:v>
      </x:c>
      <x:c r="K4343" s="40" t="n">
        <x:f>G4343-E4343</x:f>
        <x:v>-0.3000000000000007</x:v>
      </x:c>
      <x:c r="L4343" s="40" t="n">
        <x:f>ABS(K4343)</x:f>
        <x:v>0.3000000000000007</x:v>
      </x:c>
      <x:c r="M4343" s="41" t="str">
        <x:v>lstm-soil-v1</x:v>
      </x:c>
    </x:row>
    <x:row r="4344">
      <x:c r="A4344" s="38" t="str">
        <x:v>7月30日现场数据</x:v>
      </x:c>
      <x:c r="B4344" s="39" t="str">
        <x:v>2026-08-04T08:00:00</x:v>
      </x:c>
      <x:c r="C4344" s="39" t="str">
        <x:v>2026-08-04T08:05:00</x:v>
      </x:c>
      <x:c r="D4344" s="47" t="n">
        <x:v>5</x:v>
      </x:c>
      <x:c r="E4344" s="40" t="n">
        <x:v>13</x:v>
      </x:c>
      <x:c r="F4344" s="40" t="n">
        <x:v>10.91690444946289</x:v>
      </x:c>
      <x:c r="G4344" s="40" t="n">
        <x:v>12.9</x:v>
      </x:c>
      <x:c r="H4344" s="40" t="n">
        <x:f>F4344-E4344</x:f>
        <x:v>-2.0830955505371094</x:v>
      </x:c>
      <x:c r="I4344" s="40" t="n">
        <x:f>ABS(H4344)</x:f>
        <x:v>2.0830955505371094</x:v>
      </x:c>
      <x:c r="J4344" s="40" t="n">
        <x:f>H4344^2</x:f>
        <x:v>4.339287072667503</x:v>
      </x:c>
      <x:c r="K4344" s="40" t="n">
        <x:f>G4344-E4344</x:f>
        <x:v>-0.09999999999999964</x:v>
      </x:c>
      <x:c r="L4344" s="40" t="n">
        <x:f>ABS(K4344)</x:f>
        <x:v>0.09999999999999964</x:v>
      </x:c>
      <x:c r="M4344" s="41" t="str">
        <x:v>lstm-soil-v1</x:v>
      </x:c>
    </x:row>
    <x:row r="4345">
      <x:c r="A4345" s="38" t="str">
        <x:v>7月30日现场数据</x:v>
      </x:c>
      <x:c r="B4345" s="39" t="str">
        <x:v>2026-08-04T08:00:00</x:v>
      </x:c>
      <x:c r="C4345" s="39" t="str">
        <x:v>2026-08-04T08:15:00</x:v>
      </x:c>
      <x:c r="D4345" s="47" t="n">
        <x:v>15</x:v>
      </x:c>
      <x:c r="E4345" s="40" t="n">
        <x:v>13</x:v>
      </x:c>
      <x:c r="F4345" s="40" t="n">
        <x:v>10.971443176269531</x:v>
      </x:c>
      <x:c r="G4345" s="40" t="n">
        <x:v>12.9</x:v>
      </x:c>
      <x:c r="H4345" s="40" t="n">
        <x:f>F4345-E4345</x:f>
        <x:v>-2.0285568237304688</x:v>
      </x:c>
      <x:c r="I4345" s="40" t="n">
        <x:f>ABS(H4345)</x:f>
        <x:v>2.0285568237304688</x:v>
      </x:c>
      <x:c r="J4345" s="40" t="n">
        <x:f>H4345^2</x:f>
        <x:v>4.115042787103448</x:v>
      </x:c>
      <x:c r="K4345" s="40" t="n">
        <x:f>G4345-E4345</x:f>
        <x:v>-0.09999999999999964</x:v>
      </x:c>
      <x:c r="L4345" s="40" t="n">
        <x:f>ABS(K4345)</x:f>
        <x:v>0.09999999999999964</x:v>
      </x:c>
      <x:c r="M4345" s="41" t="str">
        <x:v>lstm-soil-v1</x:v>
      </x:c>
    </x:row>
    <x:row r="4346">
      <x:c r="A4346" s="38" t="str">
        <x:v>7月30日现场数据</x:v>
      </x:c>
      <x:c r="B4346" s="39" t="str">
        <x:v>2026-08-04T08:00:00</x:v>
      </x:c>
      <x:c r="C4346" s="39" t="str">
        <x:v>2026-08-04T08:30:00</x:v>
      </x:c>
      <x:c r="D4346" s="47" t="n">
        <x:v>30</x:v>
      </x:c>
      <x:c r="E4346" s="40" t="n">
        <x:v>12.9</x:v>
      </x:c>
      <x:c r="F4346" s="40" t="n">
        <x:v>11.473655700683594</x:v>
      </x:c>
      <x:c r="G4346" s="40" t="n">
        <x:v>12.9</x:v>
      </x:c>
      <x:c r="H4346" s="40" t="n">
        <x:f>F4346-E4346</x:f>
        <x:v>-1.4263442993164066</x:v>
      </x:c>
      <x:c r="I4346" s="40" t="n">
        <x:f>ABS(H4346)</x:f>
        <x:v>1.4263442993164066</x:v>
      </x:c>
      <x:c r="J4346" s="40" t="n">
        <x:f>H4346^2</x:f>
        <x:v>2.034458060192411</x:v>
      </x:c>
      <x:c r="K4346" s="40" t="n">
        <x:f>G4346-E4346</x:f>
        <x:v>0</x:v>
      </x:c>
      <x:c r="L4346" s="40" t="n">
        <x:f>ABS(K4346)</x:f>
        <x:v>0</x:v>
      </x:c>
      <x:c r="M4346" s="41" t="str">
        <x:v>lstm-soil-v1</x:v>
      </x:c>
    </x:row>
    <x:row r="4347">
      <x:c r="A4347" s="38" t="str">
        <x:v>7月30日现场数据</x:v>
      </x:c>
      <x:c r="B4347" s="39" t="str">
        <x:v>2026-08-04T08:00:00</x:v>
      </x:c>
      <x:c r="C4347" s="39" t="str">
        <x:v>2026-08-04T09:00:00</x:v>
      </x:c>
      <x:c r="D4347" s="47" t="n">
        <x:v>60</x:v>
      </x:c>
      <x:c r="E4347" s="40" t="n">
        <x:v>13.2</x:v>
      </x:c>
      <x:c r="F4347" s="40" t="n">
        <x:v>13.085601806640625</x:v>
      </x:c>
      <x:c r="G4347" s="40" t="n">
        <x:v>12.9</x:v>
      </x:c>
      <x:c r="H4347" s="40" t="n">
        <x:f>F4347-E4347</x:f>
        <x:v>-0.11439819335937429</x:v>
      </x:c>
      <x:c r="I4347" s="40" t="n">
        <x:f>ABS(H4347)</x:f>
        <x:v>0.11439819335937429</x:v>
      </x:c>
      <x:c r="J4347" s="40" t="n">
        <x:f>H4347^2</x:f>
        <x:v>0.013086946643888788</x:v>
      </x:c>
      <x:c r="K4347" s="40" t="n">
        <x:f>G4347-E4347</x:f>
        <x:v>-0.29999999999999893</x:v>
      </x:c>
      <x:c r="L4347" s="40" t="n">
        <x:f>ABS(K4347)</x:f>
        <x:v>0.29999999999999893</x:v>
      </x:c>
      <x:c r="M4347" s="41" t="str">
        <x:v>lstm-soil-v1</x:v>
      </x:c>
    </x:row>
    <x:row r="4348">
      <x:c r="A4348" s="38" t="str">
        <x:v>7月30日现场数据</x:v>
      </x:c>
      <x:c r="B4348" s="39" t="str">
        <x:v>2026-08-04T08:05:00</x:v>
      </x:c>
      <x:c r="C4348" s="39" t="str">
        <x:v>2026-08-04T08:10:00</x:v>
      </x:c>
      <x:c r="D4348" s="47" t="n">
        <x:v>5</x:v>
      </x:c>
      <x:c r="E4348" s="40" t="n">
        <x:v>13</x:v>
      </x:c>
      <x:c r="F4348" s="40" t="n">
        <x:v>11.028526306152344</x:v>
      </x:c>
      <x:c r="G4348" s="40" t="n">
        <x:v>13</x:v>
      </x:c>
      <x:c r="H4348" s="40" t="n">
        <x:f>F4348-E4348</x:f>
        <x:v>-1.9714736938476562</x:v>
      </x:c>
      <x:c r="I4348" s="40" t="n">
        <x:f>ABS(H4348)</x:f>
        <x:v>1.9714736938476562</x:v>
      </x:c>
      <x:c r="J4348" s="40" t="n">
        <x:f>H4348^2</x:f>
        <x:v>3.8867085255333222</x:v>
      </x:c>
      <x:c r="K4348" s="40" t="n">
        <x:f>G4348-E4348</x:f>
        <x:v>0</x:v>
      </x:c>
      <x:c r="L4348" s="40" t="n">
        <x:f>ABS(K4348)</x:f>
        <x:v>0</x:v>
      </x:c>
      <x:c r="M4348" s="41" t="str">
        <x:v>lstm-soil-v1</x:v>
      </x:c>
    </x:row>
    <x:row r="4349">
      <x:c r="A4349" s="38" t="str">
        <x:v>7月30日现场数据</x:v>
      </x:c>
      <x:c r="B4349" s="39" t="str">
        <x:v>2026-08-04T08:05:00</x:v>
      </x:c>
      <x:c r="C4349" s="39" t="str">
        <x:v>2026-08-04T08:20:00</x:v>
      </x:c>
      <x:c r="D4349" s="47" t="n">
        <x:v>15</x:v>
      </x:c>
      <x:c r="E4349" s="40" t="n">
        <x:v>13</x:v>
      </x:c>
      <x:c r="F4349" s="40" t="n">
        <x:v>11.082557678222656</x:v>
      </x:c>
      <x:c r="G4349" s="40" t="n">
        <x:v>13</x:v>
      </x:c>
      <x:c r="H4349" s="40" t="n">
        <x:f>F4349-E4349</x:f>
        <x:v>-1.9174423217773438</x:v>
      </x:c>
      <x:c r="I4349" s="40" t="n">
        <x:f>ABS(H4349)</x:f>
        <x:v>1.9174423217773438</x:v>
      </x:c>
      <x:c r="J4349" s="40" t="n">
        <x:f>H4349^2</x:f>
        <x:v>3.6765850573428907</x:v>
      </x:c>
      <x:c r="K4349" s="40" t="n">
        <x:f>G4349-E4349</x:f>
        <x:v>0</x:v>
      </x:c>
      <x:c r="L4349" s="40" t="n">
        <x:f>ABS(K4349)</x:f>
        <x:v>0</x:v>
      </x:c>
      <x:c r="M4349" s="41" t="str">
        <x:v>lstm-soil-v1</x:v>
      </x:c>
    </x:row>
    <x:row r="4350">
      <x:c r="A4350" s="38" t="str">
        <x:v>7月30日现场数据</x:v>
      </x:c>
      <x:c r="B4350" s="39" t="str">
        <x:v>2026-08-04T08:05:00</x:v>
      </x:c>
      <x:c r="C4350" s="39" t="str">
        <x:v>2026-08-04T08:35:00</x:v>
      </x:c>
      <x:c r="D4350" s="47" t="n">
        <x:v>30</x:v>
      </x:c>
      <x:c r="E4350" s="40" t="n">
        <x:v>13</x:v>
      </x:c>
      <x:c r="F4350" s="40" t="n">
        <x:v>11.585899353027344</x:v>
      </x:c>
      <x:c r="G4350" s="40" t="n">
        <x:v>13</x:v>
      </x:c>
      <x:c r="H4350" s="40" t="n">
        <x:f>F4350-E4350</x:f>
        <x:v>-1.4141006469726562</x:v>
      </x:c>
      <x:c r="I4350" s="40" t="n">
        <x:f>ABS(H4350)</x:f>
        <x:v>1.4141006469726562</x:v>
      </x:c>
      <x:c r="J4350" s="40" t="n">
        <x:f>H4350^2</x:f>
        <x:v>1.999680639768485</x:v>
      </x:c>
      <x:c r="K4350" s="40" t="n">
        <x:f>G4350-E4350</x:f>
        <x:v>0</x:v>
      </x:c>
      <x:c r="L4350" s="40" t="n">
        <x:f>ABS(K4350)</x:f>
        <x:v>0</x:v>
      </x:c>
      <x:c r="M4350" s="41" t="str">
        <x:v>lstm-soil-v1</x:v>
      </x:c>
    </x:row>
    <x:row r="4351">
      <x:c r="A4351" s="38" t="str">
        <x:v>7月30日现场数据</x:v>
      </x:c>
      <x:c r="B4351" s="39" t="str">
        <x:v>2026-08-04T08:05:00</x:v>
      </x:c>
      <x:c r="C4351" s="39" t="str">
        <x:v>2026-08-04T09:05:00</x:v>
      </x:c>
      <x:c r="D4351" s="47" t="n">
        <x:v>60</x:v>
      </x:c>
      <x:c r="E4351" s="40" t="n">
        <x:v>13.2</x:v>
      </x:c>
      <x:c r="F4351" s="40" t="n">
        <x:v>13.201690673828125</x:v>
      </x:c>
      <x:c r="G4351" s="40" t="n">
        <x:v>13</x:v>
      </x:c>
      <x:c r="H4351" s="40" t="n">
        <x:f>F4351-E4351</x:f>
        <x:v>0.0016906738281257105</x:v>
      </x:c>
      <x:c r="I4351" s="40" t="n">
        <x:f>ABS(H4351)</x:f>
        <x:v>0.0016906738281257105</x:v>
      </x:c>
      <x:c r="J4351" s="40" t="n">
        <x:f>H4351^2</x:f>
        <x:v>0.0000028583779931092445</x:v>
      </x:c>
      <x:c r="K4351" s="40" t="n">
        <x:f>G4351-E4351</x:f>
        <x:v>-0.1999999999999993</x:v>
      </x:c>
      <x:c r="L4351" s="40" t="n">
        <x:f>ABS(K4351)</x:f>
        <x:v>0.1999999999999993</x:v>
      </x:c>
      <x:c r="M4351" s="41" t="str">
        <x:v>lstm-soil-v1</x:v>
      </x:c>
    </x:row>
    <x:row r="4352">
      <x:c r="A4352" s="38" t="str">
        <x:v>7月30日现场数据</x:v>
      </x:c>
      <x:c r="B4352" s="39" t="str">
        <x:v>2026-08-04T08:10:00</x:v>
      </x:c>
      <x:c r="C4352" s="39" t="str">
        <x:v>2026-08-04T08:15:00</x:v>
      </x:c>
      <x:c r="D4352" s="47" t="n">
        <x:v>5</x:v>
      </x:c>
      <x:c r="E4352" s="40" t="n">
        <x:v>13</x:v>
      </x:c>
      <x:c r="F4352" s="40" t="n">
        <x:v>11.030601501464844</x:v>
      </x:c>
      <x:c r="G4352" s="40" t="n">
        <x:v>13</x:v>
      </x:c>
      <x:c r="H4352" s="40" t="n">
        <x:f>F4352-E4352</x:f>
        <x:v>-1.9693984985351562</x:v>
      </x:c>
      <x:c r="I4352" s="40" t="n">
        <x:f>ABS(H4352)</x:f>
        <x:v>1.9693984985351562</x:v>
      </x:c>
      <x:c r="J4352" s="40" t="n">
        <x:f>H4352^2</x:f>
        <x:v>3.878530446032528</x:v>
      </x:c>
      <x:c r="K4352" s="40" t="n">
        <x:f>G4352-E4352</x:f>
        <x:v>0</x:v>
      </x:c>
      <x:c r="L4352" s="40" t="n">
        <x:f>ABS(K4352)</x:f>
        <x:v>0</x:v>
      </x:c>
      <x:c r="M4352" s="41" t="str">
        <x:v>lstm-soil-v1</x:v>
      </x:c>
    </x:row>
    <x:row r="4353">
      <x:c r="A4353" s="38" t="str">
        <x:v>7月30日现场数据</x:v>
      </x:c>
      <x:c r="B4353" s="39" t="str">
        <x:v>2026-08-04T08:10:00</x:v>
      </x:c>
      <x:c r="C4353" s="39" t="str">
        <x:v>2026-08-04T08:25:00</x:v>
      </x:c>
      <x:c r="D4353" s="47" t="n">
        <x:v>15</x:v>
      </x:c>
      <x:c r="E4353" s="40" t="n">
        <x:v>12.950000000000001</x:v>
      </x:c>
      <x:c r="F4353" s="40" t="n">
        <x:v>11.084049224853516</x:v>
      </x:c>
      <x:c r="G4353" s="40" t="n">
        <x:v>13</x:v>
      </x:c>
      <x:c r="H4353" s="40" t="n">
        <x:f>F4353-E4353</x:f>
        <x:v>-1.8659507751464854</x:v>
      </x:c>
      <x:c r="I4353" s="40" t="n">
        <x:f>ABS(H4353)</x:f>
        <x:v>1.8659507751464854</x:v>
      </x:c>
      <x:c r="J4353" s="40" t="n">
        <x:f>H4353^2</x:f>
        <x:v>3.48177229526977</x:v>
      </x:c>
      <x:c r="K4353" s="40" t="n">
        <x:f>G4353-E4353</x:f>
        <x:v>0.049999999999998934</x:v>
      </x:c>
      <x:c r="L4353" s="40" t="n">
        <x:f>ABS(K4353)</x:f>
        <x:v>0.049999999999998934</x:v>
      </x:c>
      <x:c r="M4353" s="41" t="str">
        <x:v>lstm-soil-v1</x:v>
      </x:c>
    </x:row>
    <x:row r="4354">
      <x:c r="A4354" s="38" t="str">
        <x:v>7月30日现场数据</x:v>
      </x:c>
      <x:c r="B4354" s="39" t="str">
        <x:v>2026-08-04T08:10:00</x:v>
      </x:c>
      <x:c r="C4354" s="39" t="str">
        <x:v>2026-08-04T08:40:00</x:v>
      </x:c>
      <x:c r="D4354" s="47" t="n">
        <x:v>30</x:v>
      </x:c>
      <x:c r="E4354" s="40" t="n">
        <x:v>13.1</x:v>
      </x:c>
      <x:c r="F4354" s="40" t="n">
        <x:v>11.588279724121094</x:v>
      </x:c>
      <x:c r="G4354" s="40" t="n">
        <x:v>13</x:v>
      </x:c>
      <x:c r="H4354" s="40" t="n">
        <x:f>F4354-E4354</x:f>
        <x:v>-1.511720275878906</x:v>
      </x:c>
      <x:c r="I4354" s="40" t="n">
        <x:f>ABS(H4354)</x:f>
        <x:v>1.511720275878906</x:v>
      </x:c>
      <x:c r="J4354" s="40" t="n">
        <x:f>H4354^2</x:f>
        <x:v>2.2852981925033955</x:v>
      </x:c>
      <x:c r="K4354" s="40" t="n">
        <x:f>G4354-E4354</x:f>
        <x:v>-0.09999999999999964</x:v>
      </x:c>
      <x:c r="L4354" s="40" t="n">
        <x:f>ABS(K4354)</x:f>
        <x:v>0.09999999999999964</x:v>
      </x:c>
      <x:c r="M4354" s="41" t="str">
        <x:v>lstm-soil-v1</x:v>
      </x:c>
    </x:row>
    <x:row r="4355">
      <x:c r="A4355" s="38" t="str">
        <x:v>7月30日现场数据</x:v>
      </x:c>
      <x:c r="B4355" s="39" t="str">
        <x:v>2026-08-04T08:10:00</x:v>
      </x:c>
      <x:c r="C4355" s="39" t="str">
        <x:v>2026-08-04T09:10:00</x:v>
      </x:c>
      <x:c r="D4355" s="47" t="n">
        <x:v>60</x:v>
      </x:c>
      <x:c r="E4355" s="40" t="n">
        <x:v>13.2</x:v>
      </x:c>
      <x:c r="F4355" s="40" t="n">
        <x:v>13.207443237304688</x:v>
      </x:c>
      <x:c r="G4355" s="40" t="n">
        <x:v>13</x:v>
      </x:c>
      <x:c r="H4355" s="40" t="n">
        <x:f>F4355-E4355</x:f>
        <x:v>0.0074432373046882105</x:v>
      </x:c>
      <x:c r="I4355" s="40" t="n">
        <x:f>ABS(H4355)</x:f>
        <x:v>0.0074432373046882105</x:v>
      </x:c>
      <x:c r="J4355" s="40" t="n">
        <x:f>H4355^2</x:f>
        <x:v>0.00005540178157390222</x:v>
      </x:c>
      <x:c r="K4355" s="40" t="n">
        <x:f>G4355-E4355</x:f>
        <x:v>-0.1999999999999993</x:v>
      </x:c>
      <x:c r="L4355" s="40" t="n">
        <x:f>ABS(K4355)</x:f>
        <x:v>0.1999999999999993</x:v>
      </x:c>
      <x:c r="M4355" s="41" t="str">
        <x:v>lstm-soil-v1</x:v>
      </x:c>
    </x:row>
    <x:row r="4356">
      <x:c r="A4356" s="38" t="str">
        <x:v>7月30日现场数据</x:v>
      </x:c>
      <x:c r="B4356" s="39" t="str">
        <x:v>2026-08-04T08:15:00</x:v>
      </x:c>
      <x:c r="C4356" s="39" t="str">
        <x:v>2026-08-04T08:20:00</x:v>
      </x:c>
      <x:c r="D4356" s="47" t="n">
        <x:v>5</x:v>
      </x:c>
      <x:c r="E4356" s="40" t="n">
        <x:v>13</x:v>
      </x:c>
      <x:c r="F4356" s="40" t="n">
        <x:v>11.032783508300781</x:v>
      </x:c>
      <x:c r="G4356" s="40" t="n">
        <x:v>13</x:v>
      </x:c>
      <x:c r="H4356" s="40" t="n">
        <x:f>F4356-E4356</x:f>
        <x:v>-1.9672164916992188</x:v>
      </x:c>
      <x:c r="I4356" s="40" t="n">
        <x:f>ABS(H4356)</x:f>
        <x:v>1.9672164916992188</x:v>
      </x:c>
      <x:c r="J4356" s="40" t="n">
        <x:f>H4356^2</x:f>
        <x:v>3.8699407252133824</x:v>
      </x:c>
      <x:c r="K4356" s="40" t="n">
        <x:f>G4356-E4356</x:f>
        <x:v>0</x:v>
      </x:c>
      <x:c r="L4356" s="40" t="n">
        <x:f>ABS(K4356)</x:f>
        <x:v>0</x:v>
      </x:c>
      <x:c r="M4356" s="41" t="str">
        <x:v>lstm-soil-v1</x:v>
      </x:c>
    </x:row>
    <x:row r="4357">
      <x:c r="A4357" s="38" t="str">
        <x:v>7月30日现场数据</x:v>
      </x:c>
      <x:c r="B4357" s="39" t="str">
        <x:v>2026-08-04T08:15:00</x:v>
      </x:c>
      <x:c r="C4357" s="39" t="str">
        <x:v>2026-08-04T08:30:00</x:v>
      </x:c>
      <x:c r="D4357" s="47" t="n">
        <x:v>15</x:v>
      </x:c>
      <x:c r="E4357" s="40" t="n">
        <x:v>12.9</x:v>
      </x:c>
      <x:c r="F4357" s="40" t="n">
        <x:v>11.085468292236328</x:v>
      </x:c>
      <x:c r="G4357" s="40" t="n">
        <x:v>13</x:v>
      </x:c>
      <x:c r="H4357" s="40" t="n">
        <x:f>F4357-E4357</x:f>
        <x:v>-1.8145317077636722</x:v>
      </x:c>
      <x:c r="I4357" s="40" t="n">
        <x:f>ABS(H4357)</x:f>
        <x:v>1.8145317077636722</x:v>
      </x:c>
      <x:c r="J4357" s="40" t="n">
        <x:f>H4357^2</x:f>
        <x:v>3.2925253184797487</x:v>
      </x:c>
      <x:c r="K4357" s="40" t="n">
        <x:f>G4357-E4357</x:f>
        <x:v>0.09999999999999964</x:v>
      </x:c>
      <x:c r="L4357" s="40" t="n">
        <x:f>ABS(K4357)</x:f>
        <x:v>0.09999999999999964</x:v>
      </x:c>
      <x:c r="M4357" s="41" t="str">
        <x:v>lstm-soil-v1</x:v>
      </x:c>
    </x:row>
    <x:row r="4358">
      <x:c r="A4358" s="38" t="str">
        <x:v>7月30日现场数据</x:v>
      </x:c>
      <x:c r="B4358" s="39" t="str">
        <x:v>2026-08-04T08:15:00</x:v>
      </x:c>
      <x:c r="C4358" s="39" t="str">
        <x:v>2026-08-04T08:45:00</x:v>
      </x:c>
      <x:c r="D4358" s="47" t="n">
        <x:v>30</x:v>
      </x:c>
      <x:c r="E4358" s="40" t="n">
        <x:v>13.2</x:v>
      </x:c>
      <x:c r="F4358" s="40" t="n">
        <x:v>11.59084701538086</x:v>
      </x:c>
      <x:c r="G4358" s="40" t="n">
        <x:v>13</x:v>
      </x:c>
      <x:c r="H4358" s="40" t="n">
        <x:f>F4358-E4358</x:f>
        <x:v>-1.60915298461914</x:v>
      </x:c>
      <x:c r="I4358" s="40" t="n">
        <x:f>ABS(H4358)</x:f>
        <x:v>1.60915298461914</x:v>
      </x:c>
      <x:c r="J4358" s="40" t="n">
        <x:f>H4358^2</x:f>
        <x:v>2.589373327908686</x:v>
      </x:c>
      <x:c r="K4358" s="40" t="n">
        <x:f>G4358-E4358</x:f>
        <x:v>-0.1999999999999993</x:v>
      </x:c>
      <x:c r="L4358" s="40" t="n">
        <x:f>ABS(K4358)</x:f>
        <x:v>0.1999999999999993</x:v>
      </x:c>
      <x:c r="M4358" s="41" t="str">
        <x:v>lstm-soil-v1</x:v>
      </x:c>
    </x:row>
    <x:row r="4359">
      <x:c r="A4359" s="38" t="str">
        <x:v>7月30日现场数据</x:v>
      </x:c>
      <x:c r="B4359" s="39" t="str">
        <x:v>2026-08-04T08:15:00</x:v>
      </x:c>
      <x:c r="C4359" s="39" t="str">
        <x:v>2026-08-04T09:15:00</x:v>
      </x:c>
      <x:c r="D4359" s="47" t="n">
        <x:v>60</x:v>
      </x:c>
      <x:c r="E4359" s="40" t="n">
        <x:v>13.2</x:v>
      </x:c>
      <x:c r="F4359" s="40" t="n">
        <x:v>13.212657928466797</x:v>
      </x:c>
      <x:c r="G4359" s="40" t="n">
        <x:v>13</x:v>
      </x:c>
      <x:c r="H4359" s="40" t="n">
        <x:f>F4359-E4359</x:f>
        <x:v>0.012657928466797586</x:v>
      </x:c>
      <x:c r="I4359" s="40" t="n">
        <x:f>ABS(H4359)</x:f>
        <x:v>0.012657928466797586</x:v>
      </x:c>
      <x:c r="J4359" s="40" t="n">
        <x:f>H4359^2</x:f>
        <x:v>0.0001602231530705647</x:v>
      </x:c>
      <x:c r="K4359" s="40" t="n">
        <x:f>G4359-E4359</x:f>
        <x:v>-0.1999999999999993</x:v>
      </x:c>
      <x:c r="L4359" s="40" t="n">
        <x:f>ABS(K4359)</x:f>
        <x:v>0.1999999999999993</x:v>
      </x:c>
      <x:c r="M4359" s="41" t="str">
        <x:v>lstm-soil-v1</x:v>
      </x:c>
    </x:row>
    <x:row r="4360">
      <x:c r="A4360" s="38" t="str">
        <x:v>7月30日现场数据</x:v>
      </x:c>
      <x:c r="B4360" s="39" t="str">
        <x:v>2026-08-04T08:20:00</x:v>
      </x:c>
      <x:c r="C4360" s="39" t="str">
        <x:v>2026-08-04T08:25:00</x:v>
      </x:c>
      <x:c r="D4360" s="47" t="n">
        <x:v>5</x:v>
      </x:c>
      <x:c r="E4360" s="40" t="n">
        <x:v>12.950000000000001</x:v>
      </x:c>
      <x:c r="F4360" s="40" t="n">
        <x:v>11.034317016601562</x:v>
      </x:c>
      <x:c r="G4360" s="40" t="n">
        <x:v>13</x:v>
      </x:c>
      <x:c r="H4360" s="40" t="n">
        <x:f>F4360-E4360</x:f>
        <x:v>-1.9156829833984386</x:v>
      </x:c>
      <x:c r="I4360" s="40" t="n">
        <x:f>ABS(H4360)</x:f>
        <x:v>1.9156829833984386</x:v>
      </x:c>
      <x:c r="J4360" s="40" t="n">
        <x:f>H4360^2</x:f>
        <x:v>3.6698412928823423</x:v>
      </x:c>
      <x:c r="K4360" s="40" t="n">
        <x:f>G4360-E4360</x:f>
        <x:v>0.049999999999998934</x:v>
      </x:c>
      <x:c r="L4360" s="40" t="n">
        <x:f>ABS(K4360)</x:f>
        <x:v>0.049999999999998934</x:v>
      </x:c>
      <x:c r="M4360" s="41" t="str">
        <x:v>lstm-soil-v1</x:v>
      </x:c>
    </x:row>
    <x:row r="4361">
      <x:c r="A4361" s="38" t="str">
        <x:v>7月30日现场数据</x:v>
      </x:c>
      <x:c r="B4361" s="39" t="str">
        <x:v>2026-08-04T08:20:00</x:v>
      </x:c>
      <x:c r="C4361" s="39" t="str">
        <x:v>2026-08-04T08:35:00</x:v>
      </x:c>
      <x:c r="D4361" s="47" t="n">
        <x:v>15</x:v>
      </x:c>
      <x:c r="E4361" s="40" t="n">
        <x:v>13</x:v>
      </x:c>
      <x:c r="F4361" s="40" t="n">
        <x:v>11.086875915527344</x:v>
      </x:c>
      <x:c r="G4361" s="40" t="n">
        <x:v>13</x:v>
      </x:c>
      <x:c r="H4361" s="40" t="n">
        <x:f>F4361-E4361</x:f>
        <x:v>-1.9131240844726562</x:v>
      </x:c>
      <x:c r="I4361" s="40" t="n">
        <x:f>ABS(H4361)</x:f>
        <x:v>1.9131240844726562</x:v>
      </x:c>
      <x:c r="J4361" s="40" t="n">
        <x:f>H4361^2</x:f>
        <x:v>3.660043762589339</x:v>
      </x:c>
      <x:c r="K4361" s="40" t="n">
        <x:f>G4361-E4361</x:f>
        <x:v>0</x:v>
      </x:c>
      <x:c r="L4361" s="40" t="n">
        <x:f>ABS(K4361)</x:f>
        <x:v>0</x:v>
      </x:c>
      <x:c r="M4361" s="41" t="str">
        <x:v>lstm-soil-v1</x:v>
      </x:c>
    </x:row>
    <x:row r="4362">
      <x:c r="A4362" s="38" t="str">
        <x:v>7月30日现场数据</x:v>
      </x:c>
      <x:c r="B4362" s="39" t="str">
        <x:v>2026-08-04T08:20:00</x:v>
      </x:c>
      <x:c r="C4362" s="39" t="str">
        <x:v>2026-08-04T08:50:00</x:v>
      </x:c>
      <x:c r="D4362" s="47" t="n">
        <x:v>30</x:v>
      </x:c>
      <x:c r="E4362" s="40" t="n">
        <x:v>13.3</x:v>
      </x:c>
      <x:c r="F4362" s="40" t="n">
        <x:v>11.59286880493164</x:v>
      </x:c>
      <x:c r="G4362" s="40" t="n">
        <x:v>13</x:v>
      </x:c>
      <x:c r="H4362" s="40" t="n">
        <x:f>F4362-E4362</x:f>
        <x:v>-1.70713119506836</x:v>
      </x:c>
      <x:c r="I4362" s="40" t="n">
        <x:f>ABS(H4362)</x:f>
        <x:v>1.70713119506836</x:v>
      </x:c>
      <x:c r="J4362" s="40" t="n">
        <x:f>H4362^2</x:f>
        <x:v>2.9142969171755273</x:v>
      </x:c>
      <x:c r="K4362" s="40" t="n">
        <x:f>G4362-E4362</x:f>
        <x:v>-0.3000000000000007</x:v>
      </x:c>
      <x:c r="L4362" s="40" t="n">
        <x:f>ABS(K4362)</x:f>
        <x:v>0.3000000000000007</x:v>
      </x:c>
      <x:c r="M4362" s="41" t="str">
        <x:v>lstm-soil-v1</x:v>
      </x:c>
    </x:row>
    <x:row r="4363">
      <x:c r="A4363" s="38" t="str">
        <x:v>7月30日现场数据</x:v>
      </x:c>
      <x:c r="B4363" s="39" t="str">
        <x:v>2026-08-04T08:20:00</x:v>
      </x:c>
      <x:c r="C4363" s="39" t="str">
        <x:v>2026-08-04T09:20:00</x:v>
      </x:c>
      <x:c r="D4363" s="47" t="n">
        <x:v>60</x:v>
      </x:c>
      <x:c r="E4363" s="40" t="n">
        <x:v>13.2</x:v>
      </x:c>
      <x:c r="F4363" s="40" t="n">
        <x:v>13.216144561767578</x:v>
      </x:c>
      <x:c r="G4363" s="40" t="n">
        <x:v>13</x:v>
      </x:c>
      <x:c r="H4363" s="40" t="n">
        <x:f>F4363-E4363</x:f>
        <x:v>0.016144561767578836</x:v>
      </x:c>
      <x:c r="I4363" s="40" t="n">
        <x:f>ABS(H4363)</x:f>
        <x:v>0.016144561767578836</x:v>
      </x:c>
      <x:c r="J4363" s="40" t="n">
        <x:f>H4363^2</x:f>
        <x:v>0.00026064687466716824</x:v>
      </x:c>
      <x:c r="K4363" s="40" t="n">
        <x:f>G4363-E4363</x:f>
        <x:v>-0.1999999999999993</x:v>
      </x:c>
      <x:c r="L4363" s="40" t="n">
        <x:f>ABS(K4363)</x:f>
        <x:v>0.1999999999999993</x:v>
      </x:c>
      <x:c r="M4363" s="41" t="str">
        <x:v>lstm-soil-v1</x:v>
      </x:c>
    </x:row>
    <x:row r="4364">
      <x:c r="A4364" s="38" t="str">
        <x:v>7月30日现场数据</x:v>
      </x:c>
      <x:c r="B4364" s="39" t="str">
        <x:v>2026-08-04T08:25:00</x:v>
      </x:c>
      <x:c r="C4364" s="39" t="str">
        <x:v>2026-08-04T08:30:00</x:v>
      </x:c>
      <x:c r="D4364" s="47" t="n">
        <x:v>5</x:v>
      </x:c>
      <x:c r="E4364" s="40" t="n">
        <x:v>12.9</x:v>
      </x:c>
      <x:c r="F4364" s="40" t="n">
        <x:v>10.991615295410156</x:v>
      </x:c>
      <x:c r="G4364" s="40" t="n">
        <x:v>12.950000000000001</x:v>
      </x:c>
      <x:c r="H4364" s="40" t="n">
        <x:f>F4364-E4364</x:f>
        <x:v>-1.908384704589844</x:v>
      </x:c>
      <x:c r="I4364" s="40" t="n">
        <x:f>ABS(H4364)</x:f>
        <x:v>1.908384704589844</x:v>
      </x:c>
      <x:c r="J4364" s="40" t="n">
        <x:f>H4364^2</x:f>
        <x:v>3.6419321807124665</x:v>
      </x:c>
      <x:c r="K4364" s="40" t="n">
        <x:f>G4364-E4364</x:f>
        <x:v>0.05000000000000071</x:v>
      </x:c>
      <x:c r="L4364" s="40" t="n">
        <x:f>ABS(K4364)</x:f>
        <x:v>0.05000000000000071</x:v>
      </x:c>
      <x:c r="M4364" s="41" t="str">
        <x:v>lstm-soil-v1</x:v>
      </x:c>
    </x:row>
    <x:row r="4365">
      <x:c r="A4365" s="38" t="str">
        <x:v>7月30日现场数据</x:v>
      </x:c>
      <x:c r="B4365" s="39" t="str">
        <x:v>2026-08-04T08:25:00</x:v>
      </x:c>
      <x:c r="C4365" s="39" t="str">
        <x:v>2026-08-04T08:40:00</x:v>
      </x:c>
      <x:c r="D4365" s="47" t="n">
        <x:v>15</x:v>
      </x:c>
      <x:c r="E4365" s="40" t="n">
        <x:v>13.1</x:v>
      </x:c>
      <x:c r="F4365" s="40" t="n">
        <x:v>11.025909423828125</x:v>
      </x:c>
      <x:c r="G4365" s="40" t="n">
        <x:v>12.950000000000001</x:v>
      </x:c>
      <x:c r="H4365" s="40" t="n">
        <x:f>F4365-E4365</x:f>
        <x:v>-2.0740905761718746</x:v>
      </x:c>
      <x:c r="I4365" s="40" t="n">
        <x:f>ABS(H4365)</x:f>
        <x:v>2.0740905761718746</x:v>
      </x:c>
      <x:c r="J4365" s="40" t="n">
        <x:f>H4365^2</x:f>
        <x:v>4.301851718164979</x:v>
      </x:c>
      <x:c r="K4365" s="40" t="n">
        <x:f>G4365-E4365</x:f>
        <x:v>-0.14999999999999858</x:v>
      </x:c>
      <x:c r="L4365" s="40" t="n">
        <x:f>ABS(K4365)</x:f>
        <x:v>0.14999999999999858</x:v>
      </x:c>
      <x:c r="M4365" s="41" t="str">
        <x:v>lstm-soil-v1</x:v>
      </x:c>
    </x:row>
    <x:row r="4366">
      <x:c r="A4366" s="38" t="str">
        <x:v>7月30日现场数据</x:v>
      </x:c>
      <x:c r="B4366" s="39" t="str">
        <x:v>2026-08-04T08:25:00</x:v>
      </x:c>
      <x:c r="C4366" s="39" t="str">
        <x:v>2026-08-04T08:55:00</x:v>
      </x:c>
      <x:c r="D4366" s="47" t="n">
        <x:v>30</x:v>
      </x:c>
      <x:c r="E4366" s="40" t="n">
        <x:v>13.3</x:v>
      </x:c>
      <x:c r="F4366" s="40" t="n">
        <x:v>11.554210662841797</x:v>
      </x:c>
      <x:c r="G4366" s="40" t="n">
        <x:v>12.950000000000001</x:v>
      </x:c>
      <x:c r="H4366" s="40" t="n">
        <x:f>F4366-E4366</x:f>
        <x:v>-1.7457893371582038</x:v>
      </x:c>
      <x:c r="I4366" s="40" t="n">
        <x:f>ABS(H4366)</x:f>
        <x:v>1.7457893371582038</x:v>
      </x:c>
      <x:c r="J4366" s="40" t="n">
        <x:f>H4366^2</x:f>
        <x:v>3.0477804097352807</x:v>
      </x:c>
      <x:c r="K4366" s="40" t="n">
        <x:f>G4366-E4366</x:f>
        <x:v>-0.34999999999999964</x:v>
      </x:c>
      <x:c r="L4366" s="40" t="n">
        <x:f>ABS(K4366)</x:f>
        <x:v>0.34999999999999964</x:v>
      </x:c>
      <x:c r="M4366" s="41" t="str">
        <x:v>lstm-soil-v1</x:v>
      </x:c>
    </x:row>
    <x:row r="4367">
      <x:c r="A4367" s="38" t="str">
        <x:v>7月30日现场数据</x:v>
      </x:c>
      <x:c r="B4367" s="39" t="str">
        <x:v>2026-08-04T08:25:00</x:v>
      </x:c>
      <x:c r="C4367" s="39" t="str">
        <x:v>2026-08-04T09:25:00</x:v>
      </x:c>
      <x:c r="D4367" s="47" t="n">
        <x:v>60</x:v>
      </x:c>
      <x:c r="E4367" s="40" t="n">
        <x:v>13.1</x:v>
      </x:c>
      <x:c r="F4367" s="40" t="n">
        <x:v>13.20267105102539</x:v>
      </x:c>
      <x:c r="G4367" s="40" t="n">
        <x:v>12.950000000000001</x:v>
      </x:c>
      <x:c r="H4367" s="40" t="n">
        <x:f>F4367-E4367</x:f>
        <x:v>0.10267105102539098</x:v>
      </x:c>
      <x:c r="I4367" s="40" t="n">
        <x:f>ABS(H4367)</x:f>
        <x:v>0.10267105102539098</x:v>
      </x:c>
      <x:c r="J4367" s="40" t="n">
        <x:f>H4367^2</x:f>
        <x:v>0.010541344718658438</x:v>
      </x:c>
      <x:c r="K4367" s="40" t="n">
        <x:f>G4367-E4367</x:f>
        <x:v>-0.14999999999999858</x:v>
      </x:c>
      <x:c r="L4367" s="40" t="n">
        <x:f>ABS(K4367)</x:f>
        <x:v>0.14999999999999858</x:v>
      </x:c>
      <x:c r="M4367" s="41" t="str">
        <x:v>lstm-soil-v1</x:v>
      </x:c>
    </x:row>
    <x:row r="4368">
      <x:c r="A4368" s="38" t="str">
        <x:v>7月30日现场数据</x:v>
      </x:c>
      <x:c r="B4368" s="39" t="str">
        <x:v>2026-08-04T08:30:00</x:v>
      </x:c>
      <x:c r="C4368" s="39" t="str">
        <x:v>2026-08-04T08:35:00</x:v>
      </x:c>
      <x:c r="D4368" s="47" t="n">
        <x:v>5</x:v>
      </x:c>
      <x:c r="E4368" s="40" t="n">
        <x:v>13</x:v>
      </x:c>
      <x:c r="F4368" s="40" t="n">
        <x:v>10.95181655883789</x:v>
      </x:c>
      <x:c r="G4368" s="40" t="n">
        <x:v>12.9</x:v>
      </x:c>
      <x:c r="H4368" s="40" t="n">
        <x:f>F4368-E4368</x:f>
        <x:v>-2.0481834411621094</x:v>
      </x:c>
      <x:c r="I4368" s="40" t="n">
        <x:f>ABS(H4368)</x:f>
        <x:v>2.0481834411621094</x:v>
      </x:c>
      <x:c r="J4368" s="40" t="n">
        <x:f>H4368^2</x:f>
        <x:v>4.19505540865066</x:v>
      </x:c>
      <x:c r="K4368" s="40" t="n">
        <x:f>G4368-E4368</x:f>
        <x:v>-0.09999999999999964</x:v>
      </x:c>
      <x:c r="L4368" s="40" t="n">
        <x:f>ABS(K4368)</x:f>
        <x:v>0.09999999999999964</x:v>
      </x:c>
      <x:c r="M4368" s="41" t="str">
        <x:v>lstm-soil-v1</x:v>
      </x:c>
    </x:row>
    <x:row r="4369">
      <x:c r="A4369" s="38" t="str">
        <x:v>7月30日现场数据</x:v>
      </x:c>
      <x:c r="B4369" s="39" t="str">
        <x:v>2026-08-04T08:30:00</x:v>
      </x:c>
      <x:c r="C4369" s="39" t="str">
        <x:v>2026-08-04T08:45:00</x:v>
      </x:c>
      <x:c r="D4369" s="47" t="n">
        <x:v>15</x:v>
      </x:c>
      <x:c r="E4369" s="40" t="n">
        <x:v>13.2</x:v>
      </x:c>
      <x:c r="F4369" s="40" t="n">
        <x:v>10.969493865966797</x:v>
      </x:c>
      <x:c r="G4369" s="40" t="n">
        <x:v>12.9</x:v>
      </x:c>
      <x:c r="H4369" s="40" t="n">
        <x:f>F4369-E4369</x:f>
        <x:v>-2.2305061340332024</x:v>
      </x:c>
      <x:c r="I4369" s="40" t="n">
        <x:f>ABS(H4369)</x:f>
        <x:v>2.2305061340332024</x:v>
      </x:c>
      <x:c r="J4369" s="40" t="n">
        <x:f>H4369^2</x:f>
        <x:v>4.975157613959742</x:v>
      </x:c>
      <x:c r="K4369" s="40" t="n">
        <x:f>G4369-E4369</x:f>
        <x:v>-0.29999999999999893</x:v>
      </x:c>
      <x:c r="L4369" s="40" t="n">
        <x:f>ABS(K4369)</x:f>
        <x:v>0.29999999999999893</x:v>
      </x:c>
      <x:c r="M4369" s="41" t="str">
        <x:v>lstm-soil-v1</x:v>
      </x:c>
    </x:row>
    <x:row r="4370">
      <x:c r="A4370" s="38" t="str">
        <x:v>7月30日现场数据</x:v>
      </x:c>
      <x:c r="B4370" s="39" t="str">
        <x:v>2026-08-04T08:30:00</x:v>
      </x:c>
      <x:c r="C4370" s="39" t="str">
        <x:v>2026-08-04T09:00:00</x:v>
      </x:c>
      <x:c r="D4370" s="47" t="n">
        <x:v>30</x:v>
      </x:c>
      <x:c r="E4370" s="40" t="n">
        <x:v>13.2</x:v>
      </x:c>
      <x:c r="F4370" s="40" t="n">
        <x:v>11.538764953613281</x:v>
      </x:c>
      <x:c r="G4370" s="40" t="n">
        <x:v>12.9</x:v>
      </x:c>
      <x:c r="H4370" s="40" t="n">
        <x:f>F4370-E4370</x:f>
        <x:v>-1.661235046386718</x:v>
      </x:c>
      <x:c r="I4370" s="40" t="n">
        <x:f>ABS(H4370)</x:f>
        <x:v>1.661235046386718</x:v>
      </x:c>
      <x:c r="J4370" s="40" t="n">
        <x:f>H4370^2</x:f>
        <x:v>2.7597018793434813</x:v>
      </x:c>
      <x:c r="K4370" s="40" t="n">
        <x:f>G4370-E4370</x:f>
        <x:v>-0.29999999999999893</x:v>
      </x:c>
      <x:c r="L4370" s="40" t="n">
        <x:f>ABS(K4370)</x:f>
        <x:v>0.29999999999999893</x:v>
      </x:c>
      <x:c r="M4370" s="41" t="str">
        <x:v>lstm-soil-v1</x:v>
      </x:c>
    </x:row>
    <x:row r="4371">
      <x:c r="A4371" s="38" t="str">
        <x:v>7月30日现场数据</x:v>
      </x:c>
      <x:c r="B4371" s="39" t="str">
        <x:v>2026-08-04T08:30:00</x:v>
      </x:c>
      <x:c r="C4371" s="39" t="str">
        <x:v>2026-08-04T09:30:00</x:v>
      </x:c>
      <x:c r="D4371" s="47" t="n">
        <x:v>60</x:v>
      </x:c>
      <x:c r="E4371" s="40" t="n">
        <x:v>13.2</x:v>
      </x:c>
      <x:c r="F4371" s="40" t="n">
        <x:v>13.240715026855469</x:v>
      </x:c>
      <x:c r="G4371" s="40" t="n">
        <x:v>12.9</x:v>
      </x:c>
      <x:c r="H4371" s="40" t="n">
        <x:f>F4371-E4371</x:f>
        <x:v>0.04071502685546946</x:v>
      </x:c>
      <x:c r="I4371" s="40" t="n">
        <x:f>ABS(H4371)</x:f>
        <x:v>0.04071502685546946</x:v>
      </x:c>
      <x:c r="J4371" s="40" t="n">
        <x:f>H4371^2</x:f>
        <x:v>0.0016577134118415993</x:v>
      </x:c>
      <x:c r="K4371" s="40" t="n">
        <x:f>G4371-E4371</x:f>
        <x:v>-0.29999999999999893</x:v>
      </x:c>
      <x:c r="L4371" s="40" t="n">
        <x:f>ABS(K4371)</x:f>
        <x:v>0.29999999999999893</x:v>
      </x:c>
      <x:c r="M4371" s="41" t="str">
        <x:v>lstm-soil-v1</x:v>
      </x:c>
    </x:row>
    <x:row r="4372">
      <x:c r="A4372" s="38" t="str">
        <x:v>7月30日现场数据</x:v>
      </x:c>
      <x:c r="B4372" s="39" t="str">
        <x:v>2026-08-04T08:35:00</x:v>
      </x:c>
      <x:c r="C4372" s="39" t="str">
        <x:v>2026-08-04T08:40:00</x:v>
      </x:c>
      <x:c r="D4372" s="47" t="n">
        <x:v>5</x:v>
      </x:c>
      <x:c r="E4372" s="40" t="n">
        <x:v>13.1</x:v>
      </x:c>
      <x:c r="F4372" s="40" t="n">
        <x:v>11.076282501220703</x:v>
      </x:c>
      <x:c r="G4372" s="40" t="n">
        <x:v>13</x:v>
      </x:c>
      <x:c r="H4372" s="40" t="n">
        <x:f>F4372-E4372</x:f>
        <x:v>-2.0237174987792965</x:v>
      </x:c>
      <x:c r="I4372" s="40" t="n">
        <x:f>ABS(H4372)</x:f>
        <x:v>2.0237174987792965</x:v>
      </x:c>
      <x:c r="J4372" s="40" t="n">
        <x:f>H4372^2</x:f>
        <x:v>4.095432514865532</x:v>
      </x:c>
      <x:c r="K4372" s="40" t="n">
        <x:f>G4372-E4372</x:f>
        <x:v>-0.09999999999999964</x:v>
      </x:c>
      <x:c r="L4372" s="40" t="n">
        <x:f>ABS(K4372)</x:f>
        <x:v>0.09999999999999964</x:v>
      </x:c>
      <x:c r="M4372" s="41" t="str">
        <x:v>lstm-soil-v1</x:v>
      </x:c>
    </x:row>
    <x:row r="4373">
      <x:c r="A4373" s="38" t="str">
        <x:v>7月30日现场数据</x:v>
      </x:c>
      <x:c r="B4373" s="39" t="str">
        <x:v>2026-08-04T08:35:00</x:v>
      </x:c>
      <x:c r="C4373" s="39" t="str">
        <x:v>2026-08-04T08:50:00</x:v>
      </x:c>
      <x:c r="D4373" s="47" t="n">
        <x:v>15</x:v>
      </x:c>
      <x:c r="E4373" s="40" t="n">
        <x:v>13.3</x:v>
      </x:c>
      <x:c r="F4373" s="40" t="n">
        <x:v>11.083667755126953</x:v>
      </x:c>
      <x:c r="G4373" s="40" t="n">
        <x:v>13</x:v>
      </x:c>
      <x:c r="H4373" s="40" t="n">
        <x:f>F4373-E4373</x:f>
        <x:v>-2.2163322448730476</x:v>
      </x:c>
      <x:c r="I4373" s="40" t="n">
        <x:f>ABS(H4373)</x:f>
        <x:v>2.2163322448730476</x:v>
      </x:c>
      <x:c r="J4373" s="40" t="n">
        <x:f>H4373^2</x:f>
        <x:v>4.912128619664003</x:v>
      </x:c>
      <x:c r="K4373" s="40" t="n">
        <x:f>G4373-E4373</x:f>
        <x:v>-0.3000000000000007</x:v>
      </x:c>
      <x:c r="L4373" s="40" t="n">
        <x:f>ABS(K4373)</x:f>
        <x:v>0.3000000000000007</x:v>
      </x:c>
      <x:c r="M4373" s="41" t="str">
        <x:v>lstm-soil-v1</x:v>
      </x:c>
    </x:row>
    <x:row r="4374">
      <x:c r="A4374" s="38" t="str">
        <x:v>7月30日现场数据</x:v>
      </x:c>
      <x:c r="B4374" s="39" t="str">
        <x:v>2026-08-04T08:35:00</x:v>
      </x:c>
      <x:c r="C4374" s="39" t="str">
        <x:v>2026-08-04T09:05:00</x:v>
      </x:c>
      <x:c r="D4374" s="47" t="n">
        <x:v>30</x:v>
      </x:c>
      <x:c r="E4374" s="40" t="n">
        <x:v>13.2</x:v>
      </x:c>
      <x:c r="F4374" s="40" t="n">
        <x:v>11.690025329589844</x:v>
      </x:c>
      <x:c r="G4374" s="40" t="n">
        <x:v>13</x:v>
      </x:c>
      <x:c r="H4374" s="40" t="n">
        <x:f>F4374-E4374</x:f>
        <x:v>-1.5099746704101555</x:v>
      </x:c>
      <x:c r="I4374" s="40" t="n">
        <x:f>ABS(H4374)</x:f>
        <x:v>1.5099746704101555</x:v>
      </x:c>
      <x:c r="J4374" s="40" t="n">
        <x:f>H4374^2</x:f>
        <x:v>2.280023505280258</x:v>
      </x:c>
      <x:c r="K4374" s="40" t="n">
        <x:f>G4374-E4374</x:f>
        <x:v>-0.1999999999999993</x:v>
      </x:c>
      <x:c r="L4374" s="40" t="n">
        <x:f>ABS(K4374)</x:f>
        <x:v>0.1999999999999993</x:v>
      </x:c>
      <x:c r="M4374" s="41" t="str">
        <x:v>lstm-soil-v1</x:v>
      </x:c>
    </x:row>
    <x:row r="4375">
      <x:c r="A4375" s="38" t="str">
        <x:v>7月30日现场数据</x:v>
      </x:c>
      <x:c r="B4375" s="39" t="str">
        <x:v>2026-08-04T08:35:00</x:v>
      </x:c>
      <x:c r="C4375" s="39" t="str">
        <x:v>2026-08-04T09:35:00</x:v>
      </x:c>
      <x:c r="D4375" s="47" t="n">
        <x:v>60</x:v>
      </x:c>
      <x:c r="E4375" s="40" t="n">
        <x:v>13.2</x:v>
      </x:c>
      <x:c r="F4375" s="40" t="n">
        <x:v>13.424266815185547</x:v>
      </x:c>
      <x:c r="G4375" s="40" t="n">
        <x:v>13</x:v>
      </x:c>
      <x:c r="H4375" s="40" t="n">
        <x:f>F4375-E4375</x:f>
        <x:v>0.22426681518554759</x:v>
      </x:c>
      <x:c r="I4375" s="40" t="n">
        <x:f>ABS(H4375)</x:f>
        <x:v>0.22426681518554759</x:v>
      </x:c>
      <x:c r="J4375" s="40" t="n">
        <x:f>H4375^2</x:f>
        <x:v>0.05029560439346856</x:v>
      </x:c>
      <x:c r="K4375" s="40" t="n">
        <x:f>G4375-E4375</x:f>
        <x:v>-0.1999999999999993</x:v>
      </x:c>
      <x:c r="L4375" s="40" t="n">
        <x:f>ABS(K4375)</x:f>
        <x:v>0.1999999999999993</x:v>
      </x:c>
      <x:c r="M4375" s="41" t="str">
        <x:v>lstm-soil-v1</x:v>
      </x:c>
    </x:row>
    <x:row r="4376">
      <x:c r="A4376" s="38" t="str">
        <x:v>7月30日现场数据</x:v>
      </x:c>
      <x:c r="B4376" s="39" t="str">
        <x:v>2026-08-04T08:40:00</x:v>
      </x:c>
      <x:c r="C4376" s="39" t="str">
        <x:v>2026-08-04T08:45:00</x:v>
      </x:c>
      <x:c r="D4376" s="47" t="n">
        <x:v>5</x:v>
      </x:c>
      <x:c r="E4376" s="40" t="n">
        <x:v>13.2</x:v>
      </x:c>
      <x:c r="F4376" s="40" t="n">
        <x:v>11.194400787353516</x:v>
      </x:c>
      <x:c r="G4376" s="40" t="n">
        <x:v>13.1</x:v>
      </x:c>
      <x:c r="H4376" s="40" t="n">
        <x:f>F4376-E4376</x:f>
        <x:v>-2.0055992126464837</x:v>
      </x:c>
      <x:c r="I4376" s="40" t="n">
        <x:f>ABS(H4376)</x:f>
        <x:v>2.0055992126464837</x:v>
      </x:c>
      <x:c r="J4376" s="40" t="n">
        <x:f>H4376^2</x:f>
        <x:v>4.022428201768196</x:v>
      </x:c>
      <x:c r="K4376" s="40" t="n">
        <x:f>G4376-E4376</x:f>
        <x:v>-0.09999999999999964</x:v>
      </x:c>
      <x:c r="L4376" s="40" t="n">
        <x:f>ABS(K4376)</x:f>
        <x:v>0.09999999999999964</x:v>
      </x:c>
      <x:c r="M4376" s="41" t="str">
        <x:v>lstm-soil-v1</x:v>
      </x:c>
    </x:row>
    <x:row r="4377">
      <x:c r="A4377" s="38" t="str">
        <x:v>7月30日现场数据</x:v>
      </x:c>
      <x:c r="B4377" s="39" t="str">
        <x:v>2026-08-04T08:40:00</x:v>
      </x:c>
      <x:c r="C4377" s="39" t="str">
        <x:v>2026-08-04T08:55:00</x:v>
      </x:c>
      <x:c r="D4377" s="47" t="n">
        <x:v>15</x:v>
      </x:c>
      <x:c r="E4377" s="40" t="n">
        <x:v>13.3</x:v>
      </x:c>
      <x:c r="F4377" s="40" t="n">
        <x:v>11.196525573730469</x:v>
      </x:c>
      <x:c r="G4377" s="40" t="n">
        <x:v>13.1</x:v>
      </x:c>
      <x:c r="H4377" s="40" t="n">
        <x:f>F4377-E4377</x:f>
        <x:v>-2.103474426269532</x:v>
      </x:c>
      <x:c r="I4377" s="40" t="n">
        <x:f>ABS(H4377)</x:f>
        <x:v>2.103474426269532</x:v>
      </x:c>
      <x:c r="J4377" s="40" t="n">
        <x:f>H4377^2</x:f>
        <x:v>4.424604661969937</x:v>
      </x:c>
      <x:c r="K4377" s="40" t="n">
        <x:f>G4377-E4377</x:f>
        <x:v>-0.20000000000000107</x:v>
      </x:c>
      <x:c r="L4377" s="40" t="n">
        <x:f>ABS(K4377)</x:f>
        <x:v>0.20000000000000107</x:v>
      </x:c>
      <x:c r="M4377" s="41" t="str">
        <x:v>lstm-soil-v1</x:v>
      </x:c>
    </x:row>
    <x:row r="4378">
      <x:c r="A4378" s="38" t="str">
        <x:v>7月30日现场数据</x:v>
      </x:c>
      <x:c r="B4378" s="39" t="str">
        <x:v>2026-08-04T08:40:00</x:v>
      </x:c>
      <x:c r="C4378" s="39" t="str">
        <x:v>2026-08-04T09:10:00</x:v>
      </x:c>
      <x:c r="D4378" s="47" t="n">
        <x:v>30</x:v>
      </x:c>
      <x:c r="E4378" s="40" t="n">
        <x:v>13.2</x:v>
      </x:c>
      <x:c r="F4378" s="40" t="n">
        <x:v>11.826507568359375</x:v>
      </x:c>
      <x:c r="G4378" s="40" t="n">
        <x:v>13.1</x:v>
      </x:c>
      <x:c r="H4378" s="40" t="n">
        <x:f>F4378-E4378</x:f>
        <x:v>-1.3734924316406243</x:v>
      </x:c>
      <x:c r="I4378" s="40" t="n">
        <x:f>ABS(H4378)</x:f>
        <x:v>1.3734924316406243</x:v>
      </x:c>
      <x:c r="J4378" s="40" t="n">
        <x:f>H4378^2</x:f>
        <x:v>1.8864814597740749</x:v>
      </x:c>
      <x:c r="K4378" s="40" t="n">
        <x:f>G4378-E4378</x:f>
        <x:v>-0.09999999999999964</x:v>
      </x:c>
      <x:c r="L4378" s="40" t="n">
        <x:f>ABS(K4378)</x:f>
        <x:v>0.09999999999999964</x:v>
      </x:c>
      <x:c r="M4378" s="41" t="str">
        <x:v>lstm-soil-v1</x:v>
      </x:c>
    </x:row>
    <x:row r="4379">
      <x:c r="A4379" s="38" t="str">
        <x:v>7月30日现场数据</x:v>
      </x:c>
      <x:c r="B4379" s="39" t="str">
        <x:v>2026-08-04T08:40:00</x:v>
      </x:c>
      <x:c r="C4379" s="39" t="str">
        <x:v>2026-08-04T09:40:00</x:v>
      </x:c>
      <x:c r="D4379" s="47" t="n">
        <x:v>60</x:v>
      </x:c>
      <x:c r="E4379" s="40" t="n">
        <x:v>13.2</x:v>
      </x:c>
      <x:c r="F4379" s="40" t="n">
        <x:v>13.583580017089844</x:v>
      </x:c>
      <x:c r="G4379" s="40" t="n">
        <x:v>13.1</x:v>
      </x:c>
      <x:c r="H4379" s="40" t="n">
        <x:f>F4379-E4379</x:f>
        <x:v>0.38358001708984446</x:v>
      </x:c>
      <x:c r="I4379" s="40" t="n">
        <x:f>ABS(H4379)</x:f>
        <x:v>0.38358001708984446</x:v>
      </x:c>
      <x:c r="J4379" s="40" t="n">
        <x:f>H4379^2</x:f>
        <x:v>0.14713362951064538</x:v>
      </x:c>
      <x:c r="K4379" s="40" t="n">
        <x:f>G4379-E4379</x:f>
        <x:v>-0.09999999999999964</x:v>
      </x:c>
      <x:c r="L4379" s="40" t="n">
        <x:f>ABS(K4379)</x:f>
        <x:v>0.09999999999999964</x:v>
      </x:c>
      <x:c r="M4379" s="41" t="str">
        <x:v>lstm-soil-v1</x:v>
      </x:c>
    </x:row>
    <x:row r="4380">
      <x:c r="A4380" s="38" t="str">
        <x:v>7月30日现场数据</x:v>
      </x:c>
      <x:c r="B4380" s="39" t="str">
        <x:v>2026-08-04T08:45:00</x:v>
      </x:c>
      <x:c r="C4380" s="39" t="str">
        <x:v>2026-08-04T08:50:00</x:v>
      </x:c>
      <x:c r="D4380" s="47" t="n">
        <x:v>5</x:v>
      </x:c>
      <x:c r="E4380" s="40" t="n">
        <x:v>13.3</x:v>
      </x:c>
      <x:c r="F4380" s="40" t="n">
        <x:v>11.310245513916016</x:v>
      </x:c>
      <x:c r="G4380" s="40" t="n">
        <x:v>13.2</x:v>
      </x:c>
      <x:c r="H4380" s="40" t="n">
        <x:f>F4380-E4380</x:f>
        <x:v>-1.989754486083985</x:v>
      </x:c>
      <x:c r="I4380" s="40" t="n">
        <x:f>ABS(H4380)</x:f>
        <x:v>1.989754486083985</x:v>
      </x:c>
      <x:c r="J4380" s="40" t="n">
        <x:f>H4380^2</x:f>
        <x:v>3.9591229148913434</x:v>
      </x:c>
      <x:c r="K4380" s="40" t="n">
        <x:f>G4380-E4380</x:f>
        <x:v>-0.10000000000000142</x:v>
      </x:c>
      <x:c r="L4380" s="40" t="n">
        <x:f>ABS(K4380)</x:f>
        <x:v>0.10000000000000142</x:v>
      </x:c>
      <x:c r="M4380" s="41" t="str">
        <x:v>lstm-soil-v1</x:v>
      </x:c>
    </x:row>
    <x:row r="4381">
      <x:c r="A4381" s="38" t="str">
        <x:v>7月30日现场数据</x:v>
      </x:c>
      <x:c r="B4381" s="39" t="str">
        <x:v>2026-08-04T08:45:00</x:v>
      </x:c>
      <x:c r="C4381" s="39" t="str">
        <x:v>2026-08-04T09:00:00</x:v>
      </x:c>
      <x:c r="D4381" s="47" t="n">
        <x:v>15</x:v>
      </x:c>
      <x:c r="E4381" s="40" t="n">
        <x:v>13.2</x:v>
      </x:c>
      <x:c r="F4381" s="40" t="n">
        <x:v>11.307647705078125</x:v>
      </x:c>
      <x:c r="G4381" s="40" t="n">
        <x:v>13.2</x:v>
      </x:c>
      <x:c r="H4381" s="40" t="n">
        <x:f>F4381-E4381</x:f>
        <x:v>-1.8923522949218743</x:v>
      </x:c>
      <x:c r="I4381" s="40" t="n">
        <x:f>ABS(H4381)</x:f>
        <x:v>1.8923522949218743</x:v>
      </x:c>
      <x:c r="J4381" s="40" t="n">
        <x:f>H4381^2</x:f>
        <x:v>3.5809972080960843</x:v>
      </x:c>
      <x:c r="K4381" s="40" t="n">
        <x:f>G4381-E4381</x:f>
        <x:v>0</x:v>
      </x:c>
      <x:c r="L4381" s="40" t="n">
        <x:f>ABS(K4381)</x:f>
        <x:v>0</x:v>
      </x:c>
      <x:c r="M4381" s="41" t="str">
        <x:v>lstm-soil-v1</x:v>
      </x:c>
    </x:row>
    <x:row r="4382">
      <x:c r="A4382" s="38" t="str">
        <x:v>7月30日现场数据</x:v>
      </x:c>
      <x:c r="B4382" s="39" t="str">
        <x:v>2026-08-04T08:45:00</x:v>
      </x:c>
      <x:c r="C4382" s="39" t="str">
        <x:v>2026-08-04T09:15:00</x:v>
      </x:c>
      <x:c r="D4382" s="47" t="n">
        <x:v>30</x:v>
      </x:c>
      <x:c r="E4382" s="40" t="n">
        <x:v>13.2</x:v>
      </x:c>
      <x:c r="F4382" s="40" t="n">
        <x:v>11.954204559326172</x:v>
      </x:c>
      <x:c r="G4382" s="40" t="n">
        <x:v>13.2</x:v>
      </x:c>
      <x:c r="H4382" s="40" t="n">
        <x:f>F4382-E4382</x:f>
        <x:v>-1.2457954406738274</x:v>
      </x:c>
      <x:c r="I4382" s="40" t="n">
        <x:f>ABS(H4382)</x:f>
        <x:v>1.2457954406738274</x:v>
      </x:c>
      <x:c r="J4382" s="40" t="n">
        <x:f>H4382^2</x:f>
        <x:v>1.5520062800036958</x:v>
      </x:c>
      <x:c r="K4382" s="40" t="n">
        <x:f>G4382-E4382</x:f>
        <x:v>0</x:v>
      </x:c>
      <x:c r="L4382" s="40" t="n">
        <x:f>ABS(K4382)</x:f>
        <x:v>0</x:v>
      </x:c>
      <x:c r="M4382" s="41" t="str">
        <x:v>lstm-soil-v1</x:v>
      </x:c>
    </x:row>
    <x:row r="4383">
      <x:c r="A4383" s="38" t="str">
        <x:v>7月30日现场数据</x:v>
      </x:c>
      <x:c r="B4383" s="39" t="str">
        <x:v>2026-08-04T08:45:00</x:v>
      </x:c>
      <x:c r="C4383" s="39" t="str">
        <x:v>2026-08-04T09:45:00</x:v>
      </x:c>
      <x:c r="D4383" s="47" t="n">
        <x:v>60</x:v>
      </x:c>
      <x:c r="E4383" s="40" t="n">
        <x:v>13.2</x:v>
      </x:c>
      <x:c r="F4383" s="40" t="n">
        <x:v>13.719970703125</x:v>
      </x:c>
      <x:c r="G4383" s="40" t="n">
        <x:v>13.2</x:v>
      </x:c>
      <x:c r="H4383" s="40" t="n">
        <x:f>F4383-E4383</x:f>
        <x:v>0.5199707031250007</x:v>
      </x:c>
      <x:c r="I4383" s="40" t="n">
        <x:f>ABS(H4383)</x:f>
        <x:v>0.5199707031250007</x:v>
      </x:c>
      <x:c r="J4383" s="40" t="n">
        <x:f>H4383^2</x:f>
        <x:v>0.2703695321083076</x:v>
      </x:c>
      <x:c r="K4383" s="40" t="n">
        <x:f>G4383-E4383</x:f>
        <x:v>0</x:v>
      </x:c>
      <x:c r="L4383" s="40" t="n">
        <x:f>ABS(K4383)</x:f>
        <x:v>0</x:v>
      </x:c>
      <x:c r="M4383" s="41" t="str">
        <x:v>lstm-soil-v1</x:v>
      </x:c>
    </x:row>
    <x:row r="4384">
      <x:c r="A4384" s="38" t="str">
        <x:v>7月30日现场数据</x:v>
      </x:c>
      <x:c r="B4384" s="39" t="str">
        <x:v>2026-08-04T08:50:00</x:v>
      </x:c>
      <x:c r="C4384" s="39" t="str">
        <x:v>2026-08-04T08:55:00</x:v>
      </x:c>
      <x:c r="D4384" s="47" t="n">
        <x:v>5</x:v>
      </x:c>
      <x:c r="E4384" s="40" t="n">
        <x:v>13.3</x:v>
      </x:c>
      <x:c r="F4384" s="40" t="n">
        <x:v>11.421836853027344</x:v>
      </x:c>
      <x:c r="G4384" s="40" t="n">
        <x:v>13.3</x:v>
      </x:c>
      <x:c r="H4384" s="40" t="n">
        <x:f>F4384-E4384</x:f>
        <x:v>-1.878163146972657</x:v>
      </x:c>
      <x:c r="I4384" s="40" t="n">
        <x:f>ABS(H4384)</x:f>
        <x:v>1.878163146972657</x:v>
      </x:c>
      <x:c r="J4384" s="40" t="n">
        <x:f>H4384^2</x:f>
        <x:v>3.5274968066462344</x:v>
      </x:c>
      <x:c r="K4384" s="40" t="n">
        <x:f>G4384-E4384</x:f>
        <x:v>0</x:v>
      </x:c>
      <x:c r="L4384" s="40" t="n">
        <x:f>ABS(K4384)</x:f>
        <x:v>0</x:v>
      </x:c>
      <x:c r="M4384" s="41" t="str">
        <x:v>lstm-soil-v1</x:v>
      </x:c>
    </x:row>
    <x:row r="4385">
      <x:c r="A4385" s="38" t="str">
        <x:v>7月30日现场数据</x:v>
      </x:c>
      <x:c r="B4385" s="39" t="str">
        <x:v>2026-08-04T08:50:00</x:v>
      </x:c>
      <x:c r="C4385" s="39" t="str">
        <x:v>2026-08-04T09:05:00</x:v>
      </x:c>
      <x:c r="D4385" s="47" t="n">
        <x:v>15</x:v>
      </x:c>
      <x:c r="E4385" s="40" t="n">
        <x:v>13.2</x:v>
      </x:c>
      <x:c r="F4385" s="40" t="n">
        <x:v>11.419269561767578</x:v>
      </x:c>
      <x:c r="G4385" s="40" t="n">
        <x:v>13.3</x:v>
      </x:c>
      <x:c r="H4385" s="40" t="n">
        <x:f>F4385-E4385</x:f>
        <x:v>-1.7807304382324212</x:v>
      </x:c>
      <x:c r="I4385" s="40" t="n">
        <x:f>ABS(H4385)</x:f>
        <x:v>1.7807304382324212</x:v>
      </x:c>
      <x:c r="J4385" s="40" t="n">
        <x:f>H4385^2</x:f>
        <x:v>3.1710008936474305</x:v>
      </x:c>
      <x:c r="K4385" s="40" t="n">
        <x:f>G4385-E4385</x:f>
        <x:v>0.10000000000000142</x:v>
      </x:c>
      <x:c r="L4385" s="40" t="n">
        <x:f>ABS(K4385)</x:f>
        <x:v>0.10000000000000142</x:v>
      </x:c>
      <x:c r="M4385" s="41" t="str">
        <x:v>lstm-soil-v1</x:v>
      </x:c>
    </x:row>
    <x:row r="4386">
      <x:c r="A4386" s="38" t="str">
        <x:v>7月30日现场数据</x:v>
      </x:c>
      <x:c r="B4386" s="39" t="str">
        <x:v>2026-08-04T08:50:00</x:v>
      </x:c>
      <x:c r="C4386" s="39" t="str">
        <x:v>2026-08-04T09:20:00</x:v>
      </x:c>
      <x:c r="D4386" s="47" t="n">
        <x:v>30</x:v>
      </x:c>
      <x:c r="E4386" s="40" t="n">
        <x:v>13.2</x:v>
      </x:c>
      <x:c r="F4386" s="40" t="n">
        <x:v>12.077808380126953</x:v>
      </x:c>
      <x:c r="G4386" s="40" t="n">
        <x:v>13.3</x:v>
      </x:c>
      <x:c r="H4386" s="40" t="n">
        <x:f>F4386-E4386</x:f>
        <x:v>-1.1221916198730462</x:v>
      </x:c>
      <x:c r="I4386" s="40" t="n">
        <x:f>ABS(H4386)</x:f>
        <x:v>1.1221916198730462</x:v>
      </x:c>
      <x:c r="J4386" s="40" t="n">
        <x:f>H4386^2</x:f>
        <x:v>1.2593140317132914</x:v>
      </x:c>
      <x:c r="K4386" s="40" t="n">
        <x:f>G4386-E4386</x:f>
        <x:v>0.10000000000000142</x:v>
      </x:c>
      <x:c r="L4386" s="40" t="n">
        <x:f>ABS(K4386)</x:f>
        <x:v>0.10000000000000142</x:v>
      </x:c>
      <x:c r="M4386" s="41" t="str">
        <x:v>lstm-soil-v1</x:v>
      </x:c>
    </x:row>
    <x:row r="4387">
      <x:c r="A4387" s="38" t="str">
        <x:v>7月30日现场数据</x:v>
      </x:c>
      <x:c r="B4387" s="39" t="str">
        <x:v>2026-08-04T08:50:00</x:v>
      </x:c>
      <x:c r="C4387" s="39" t="str">
        <x:v>2026-08-04T09:50:00</x:v>
      </x:c>
      <x:c r="D4387" s="47" t="n">
        <x:v>60</x:v>
      </x:c>
      <x:c r="E4387" s="40" t="n">
        <x:v>13.1</x:v>
      </x:c>
      <x:c r="F4387" s="40" t="n">
        <x:v>13.849536895751953</x:v>
      </x:c>
      <x:c r="G4387" s="40" t="n">
        <x:v>13.3</x:v>
      </x:c>
      <x:c r="H4387" s="40" t="n">
        <x:f>F4387-E4387</x:f>
        <x:v>0.7495368957519535</x:v>
      </x:c>
      <x:c r="I4387" s="40" t="n">
        <x:f>ABS(H4387)</x:f>
        <x:v>0.7495368957519535</x:v>
      </x:c>
      <x:c r="J4387" s="40" t="n">
        <x:f>H4387^2</x:f>
        <x:v>0.5618055580934748</x:v>
      </x:c>
      <x:c r="K4387" s="40" t="n">
        <x:f>G4387-E4387</x:f>
        <x:v>0.20000000000000107</x:v>
      </x:c>
      <x:c r="L4387" s="40" t="n">
        <x:f>ABS(K4387)</x:f>
        <x:v>0.20000000000000107</x:v>
      </x:c>
      <x:c r="M4387" s="41" t="str">
        <x:v>lstm-soil-v1</x:v>
      </x:c>
    </x:row>
    <x:row r="4388">
      <x:c r="A4388" s="38" t="str">
        <x:v>7月30日现场数据</x:v>
      </x:c>
      <x:c r="B4388" s="39" t="str">
        <x:v>2026-08-04T08:55:00</x:v>
      </x:c>
      <x:c r="C4388" s="39" t="str">
        <x:v>2026-08-04T09:00:00</x:v>
      </x:c>
      <x:c r="D4388" s="47" t="n">
        <x:v>5</x:v>
      </x:c>
      <x:c r="E4388" s="40" t="n">
        <x:v>13.2</x:v>
      </x:c>
      <x:c r="F4388" s="40" t="n">
        <x:v>11.421539306640625</x:v>
      </x:c>
      <x:c r="G4388" s="40" t="n">
        <x:v>13.3</x:v>
      </x:c>
      <x:c r="H4388" s="40" t="n">
        <x:f>F4388-E4388</x:f>
        <x:v>-1.7784606933593743</x:v>
      </x:c>
      <x:c r="I4388" s="40" t="n">
        <x:f>ABS(H4388)</x:f>
        <x:v>1.7784606933593743</x:v>
      </x:c>
      <x:c r="J4388" s="40" t="n">
        <x:f>H4388^2</x:f>
        <x:v>3.162922437824306</x:v>
      </x:c>
      <x:c r="K4388" s="40" t="n">
        <x:f>G4388-E4388</x:f>
        <x:v>0.10000000000000142</x:v>
      </x:c>
      <x:c r="L4388" s="40" t="n">
        <x:f>ABS(K4388)</x:f>
        <x:v>0.10000000000000142</x:v>
      </x:c>
      <x:c r="M4388" s="41" t="str">
        <x:v>lstm-soil-v1</x:v>
      </x:c>
    </x:row>
    <x:row r="4389">
      <x:c r="A4389" s="38" t="str">
        <x:v>7月30日现场数据</x:v>
      </x:c>
      <x:c r="B4389" s="39" t="str">
        <x:v>2026-08-04T08:55:00</x:v>
      </x:c>
      <x:c r="C4389" s="39" t="str">
        <x:v>2026-08-04T09:10:00</x:v>
      </x:c>
      <x:c r="D4389" s="47" t="n">
        <x:v>15</x:v>
      </x:c>
      <x:c r="E4389" s="40" t="n">
        <x:v>13.2</x:v>
      </x:c>
      <x:c r="F4389" s="40" t="n">
        <x:v>11.421512603759766</x:v>
      </x:c>
      <x:c r="G4389" s="40" t="n">
        <x:v>13.3</x:v>
      </x:c>
      <x:c r="H4389" s="40" t="n">
        <x:f>F4389-E4389</x:f>
        <x:v>-1.7784873962402337</x:v>
      </x:c>
      <x:c r="I4389" s="40" t="n">
        <x:f>ABS(H4389)</x:f>
        <x:v>1.7784873962402337</x:v>
      </x:c>
      <x:c r="J4389" s="40" t="n">
        <x:f>H4389^2</x:f>
        <x:v>3.163017418585366</x:v>
      </x:c>
      <x:c r="K4389" s="40" t="n">
        <x:f>G4389-E4389</x:f>
        <x:v>0.10000000000000142</x:v>
      </x:c>
      <x:c r="L4389" s="40" t="n">
        <x:f>ABS(K4389)</x:f>
        <x:v>0.10000000000000142</x:v>
      </x:c>
      <x:c r="M4389" s="41" t="str">
        <x:v>lstm-soil-v1</x:v>
      </x:c>
    </x:row>
    <x:row r="4390">
      <x:c r="A4390" s="38" t="str">
        <x:v>7月30日现场数据</x:v>
      </x:c>
      <x:c r="B4390" s="39" t="str">
        <x:v>2026-08-04T08:55:00</x:v>
      </x:c>
      <x:c r="C4390" s="39" t="str">
        <x:v>2026-08-04T09:25:00</x:v>
      </x:c>
      <x:c r="D4390" s="47" t="n">
        <x:v>30</x:v>
      </x:c>
      <x:c r="E4390" s="40" t="n">
        <x:v>13.1</x:v>
      </x:c>
      <x:c r="F4390" s="40" t="n">
        <x:v>12.089866638183594</x:v>
      </x:c>
      <x:c r="G4390" s="40" t="n">
        <x:v>13.3</x:v>
      </x:c>
      <x:c r="H4390" s="40" t="n">
        <x:f>F4390-E4390</x:f>
        <x:v>-1.010133361816406</x:v>
      </x:c>
      <x:c r="I4390" s="40" t="n">
        <x:f>ABS(H4390)</x:f>
        <x:v>1.010133361816406</x:v>
      </x:c>
      <x:c r="J4390" s="40" t="n">
        <x:f>H4390^2</x:f>
        <x:v>1.020369408654514</x:v>
      </x:c>
      <x:c r="K4390" s="40" t="n">
        <x:f>G4390-E4390</x:f>
        <x:v>0.20000000000000107</x:v>
      </x:c>
      <x:c r="L4390" s="40" t="n">
        <x:f>ABS(K4390)</x:f>
        <x:v>0.20000000000000107</x:v>
      </x:c>
      <x:c r="M4390" s="41" t="str">
        <x:v>lstm-soil-v1</x:v>
      </x:c>
    </x:row>
    <x:row r="4391">
      <x:c r="A4391" s="38" t="str">
        <x:v>7月30日现场数据</x:v>
      </x:c>
      <x:c r="B4391" s="39" t="str">
        <x:v>2026-08-04T08:55:00</x:v>
      </x:c>
      <x:c r="C4391" s="39" t="str">
        <x:v>2026-08-04T09:55:00</x:v>
      </x:c>
      <x:c r="D4391" s="47" t="n">
        <x:v>60</x:v>
      </x:c>
      <x:c r="E4391" s="40" t="n">
        <x:v>13.1</x:v>
      </x:c>
      <x:c r="F4391" s="40" t="n">
        <x:v>13.860603332519531</x:v>
      </x:c>
      <x:c r="G4391" s="40" t="n">
        <x:v>13.3</x:v>
      </x:c>
      <x:c r="H4391" s="40" t="n">
        <x:f>F4391-E4391</x:f>
        <x:v>0.7606033325195316</x:v>
      </x:c>
      <x:c r="I4391" s="40" t="n">
        <x:f>ABS(H4391)</x:f>
        <x:v>0.7606033325195316</x:v>
      </x:c>
      <x:c r="J4391" s="40" t="n">
        <x:f>H4391^2</x:f>
        <x:v>0.5785174294398172</x:v>
      </x:c>
      <x:c r="K4391" s="40" t="n">
        <x:f>G4391-E4391</x:f>
        <x:v>0.20000000000000107</x:v>
      </x:c>
      <x:c r="L4391" s="40" t="n">
        <x:f>ABS(K4391)</x:f>
        <x:v>0.20000000000000107</x:v>
      </x:c>
      <x:c r="M4391" s="41" t="str">
        <x:v>lstm-soil-v1</x:v>
      </x:c>
    </x:row>
    <x:row r="4392">
      <x:c r="A4392" s="38" t="str">
        <x:v>7月30日现场数据</x:v>
      </x:c>
      <x:c r="B4392" s="39" t="str">
        <x:v>2026-08-04T09:00:00</x:v>
      </x:c>
      <x:c r="C4392" s="39" t="str">
        <x:v>2026-08-04T09:05:00</x:v>
      </x:c>
      <x:c r="D4392" s="47" t="n">
        <x:v>5</x:v>
      </x:c>
      <x:c r="E4392" s="40" t="n">
        <x:v>13.2</x:v>
      </x:c>
      <x:c r="F4392" s="40" t="n">
        <x:v>11.31003189086914</x:v>
      </x:c>
      <x:c r="G4392" s="40" t="n">
        <x:v>13.2</x:v>
      </x:c>
      <x:c r="H4392" s="40" t="n">
        <x:f>F4392-E4392</x:f>
        <x:v>-1.8899681091308587</x:v>
      </x:c>
      <x:c r="I4392" s="40" t="n">
        <x:f>ABS(H4392)</x:f>
        <x:v>1.8899681091308587</x:v>
      </x:c>
      <x:c r="J4392" s="40" t="n">
        <x:f>H4392^2</x:f>
        <x:v>3.5719794535316733</x:v>
      </x:c>
      <x:c r="K4392" s="40" t="n">
        <x:f>G4392-E4392</x:f>
        <x:v>0</x:v>
      </x:c>
      <x:c r="L4392" s="40" t="n">
        <x:f>ABS(K4392)</x:f>
        <x:v>0</x:v>
      </x:c>
      <x:c r="M4392" s="41" t="str">
        <x:v>lstm-soil-v1</x:v>
      </x:c>
    </x:row>
    <x:row r="4393">
      <x:c r="A4393" s="38" t="str">
        <x:v>7月30日现场数据</x:v>
      </x:c>
      <x:c r="B4393" s="39" t="str">
        <x:v>2026-08-04T09:00:00</x:v>
      </x:c>
      <x:c r="C4393" s="39" t="str">
        <x:v>2026-08-04T09:15:00</x:v>
      </x:c>
      <x:c r="D4393" s="47" t="n">
        <x:v>15</x:v>
      </x:c>
      <x:c r="E4393" s="40" t="n">
        <x:v>13.2</x:v>
      </x:c>
      <x:c r="F4393" s="40" t="n">
        <x:v>11.314765930175781</x:v>
      </x:c>
      <x:c r="G4393" s="40" t="n">
        <x:v>13.2</x:v>
      </x:c>
      <x:c r="H4393" s="40" t="n">
        <x:f>F4393-E4393</x:f>
        <x:v>-1.885234069824218</x:v>
      </x:c>
      <x:c r="I4393" s="40" t="n">
        <x:f>ABS(H4393)</x:f>
        <x:v>1.885234069824218</x:v>
      </x:c>
      <x:c r="J4393" s="40" t="n">
        <x:f>H4393^2</x:f>
        <x:v>3.5541074980259846</x:v>
      </x:c>
      <x:c r="K4393" s="40" t="n">
        <x:f>G4393-E4393</x:f>
        <x:v>0</x:v>
      </x:c>
      <x:c r="L4393" s="40" t="n">
        <x:f>ABS(K4393)</x:f>
        <x:v>0</x:v>
      </x:c>
      <x:c r="M4393" s="41" t="str">
        <x:v>lstm-soil-v1</x:v>
      </x:c>
    </x:row>
    <x:row r="4394">
      <x:c r="A4394" s="38" t="str">
        <x:v>7月30日现场数据</x:v>
      </x:c>
      <x:c r="B4394" s="39" t="str">
        <x:v>2026-08-04T09:00:00</x:v>
      </x:c>
      <x:c r="C4394" s="39" t="str">
        <x:v>2026-08-04T09:30:00</x:v>
      </x:c>
      <x:c r="D4394" s="47" t="n">
        <x:v>30</x:v>
      </x:c>
      <x:c r="E4394" s="40" t="n">
        <x:v>13.2</x:v>
      </x:c>
      <x:c r="F4394" s="40" t="n">
        <x:v>11.98629379272461</x:v>
      </x:c>
      <x:c r="G4394" s="40" t="n">
        <x:v>13.2</x:v>
      </x:c>
      <x:c r="H4394" s="40" t="n">
        <x:f>F4394-E4394</x:f>
        <x:v>-1.21370620727539</x:v>
      </x:c>
      <x:c r="I4394" s="40" t="n">
        <x:f>ABS(H4394)</x:f>
        <x:v>1.21370620727539</x:v>
      </x:c>
      <x:c r="J4394" s="40" t="n">
        <x:f>H4394^2</x:f>
        <x:v>1.4730827575788117</x:v>
      </x:c>
      <x:c r="K4394" s="40" t="n">
        <x:f>G4394-E4394</x:f>
        <x:v>0</x:v>
      </x:c>
      <x:c r="L4394" s="40" t="n">
        <x:f>ABS(K4394)</x:f>
        <x:v>0</x:v>
      </x:c>
      <x:c r="M4394" s="41" t="str">
        <x:v>lstm-soil-v1</x:v>
      </x:c>
    </x:row>
    <x:row r="4395">
      <x:c r="A4395" s="38" t="str">
        <x:v>7月30日现场数据</x:v>
      </x:c>
      <x:c r="B4395" s="39" t="str">
        <x:v>2026-08-04T09:00:00</x:v>
      </x:c>
      <x:c r="C4395" s="39" t="str">
        <x:v>2026-08-04T10:00:00</x:v>
      </x:c>
      <x:c r="D4395" s="47" t="n">
        <x:v>60</x:v>
      </x:c>
      <x:c r="E4395" s="40" t="n">
        <x:v>13.1</x:v>
      </x:c>
      <x:c r="F4395" s="40" t="n">
        <x:v>13.753646850585938</x:v>
      </x:c>
      <x:c r="G4395" s="40" t="n">
        <x:v>13.2</x:v>
      </x:c>
      <x:c r="H4395" s="40" t="n">
        <x:f>F4395-E4395</x:f>
        <x:v>0.6536468505859379</x:v>
      </x:c>
      <x:c r="I4395" s="40" t="n">
        <x:f>ABS(H4395)</x:f>
        <x:v>0.6536468505859379</x:v>
      </x:c>
      <x:c r="J4395" s="40" t="n">
        <x:f>H4395^2</x:f>
        <x:v>0.42725420528091534</x:v>
      </x:c>
      <x:c r="K4395" s="40" t="n">
        <x:f>G4395-E4395</x:f>
        <x:v>0.09999999999999964</x:v>
      </x:c>
      <x:c r="L4395" s="40" t="n">
        <x:f>ABS(K4395)</x:f>
        <x:v>0.09999999999999964</x:v>
      </x:c>
      <x:c r="M4395" s="41" t="str">
        <x:v>lstm-soil-v1</x:v>
      </x:c>
    </x:row>
    <x:row r="4396">
      <x:c r="A4396" s="38" t="str">
        <x:v>7月30日现场数据</x:v>
      </x:c>
      <x:c r="B4396" s="39" t="str">
        <x:v>2026-08-04T09:05:00</x:v>
      </x:c>
      <x:c r="C4396" s="39" t="str">
        <x:v>2026-08-04T09:10:00</x:v>
      </x:c>
      <x:c r="D4396" s="47" t="n">
        <x:v>5</x:v>
      </x:c>
      <x:c r="E4396" s="40" t="n">
        <x:v>13.2</x:v>
      </x:c>
      <x:c r="F4396" s="40" t="n">
        <x:v>11.308120727539062</x:v>
      </x:c>
      <x:c r="G4396" s="40" t="n">
        <x:v>13.2</x:v>
      </x:c>
      <x:c r="H4396" s="40" t="n">
        <x:f>F4396-E4396</x:f>
        <x:v>-1.8918792724609368</x:v>
      </x:c>
      <x:c r="I4396" s="40" t="n">
        <x:f>ABS(H4396)</x:f>
        <x:v>1.8918792724609368</x:v>
      </x:c>
      <x:c r="J4396" s="40" t="n">
        <x:f>H4396^2</x:f>
        <x:v>3.5792071815673236</x:v>
      </x:c>
      <x:c r="K4396" s="40" t="n">
        <x:f>G4396-E4396</x:f>
        <x:v>0</x:v>
      </x:c>
      <x:c r="L4396" s="40" t="n">
        <x:f>ABS(K4396)</x:f>
        <x:v>0</x:v>
      </x:c>
      <x:c r="M4396" s="41" t="str">
        <x:v>lstm-soil-v1</x:v>
      </x:c>
    </x:row>
    <x:row r="4397">
      <x:c r="A4397" s="38" t="str">
        <x:v>7月30日现场数据</x:v>
      </x:c>
      <x:c r="B4397" s="39" t="str">
        <x:v>2026-08-04T09:05:00</x:v>
      </x:c>
      <x:c r="C4397" s="39" t="str">
        <x:v>2026-08-04T09:20:00</x:v>
      </x:c>
      <x:c r="D4397" s="47" t="n">
        <x:v>15</x:v>
      </x:c>
      <x:c r="E4397" s="40" t="n">
        <x:v>13.2</x:v>
      </x:c>
      <x:c r="F4397" s="40" t="n">
        <x:v>11.315845489501953</x:v>
      </x:c>
      <x:c r="G4397" s="40" t="n">
        <x:v>13.2</x:v>
      </x:c>
      <x:c r="H4397" s="40" t="n">
        <x:f>F4397-E4397</x:f>
        <x:v>-1.8841545104980462</x:v>
      </x:c>
      <x:c r="I4397" s="40" t="n">
        <x:f>ABS(H4397)</x:f>
        <x:v>1.8841545104980462</x:v>
      </x:c>
      <x:c r="J4397" s="40" t="n">
        <x:f>H4397^2</x:f>
        <x:v>3.550038219430132</x:v>
      </x:c>
      <x:c r="K4397" s="40" t="n">
        <x:f>G4397-E4397</x:f>
        <x:v>0</x:v>
      </x:c>
      <x:c r="L4397" s="40" t="n">
        <x:f>ABS(K4397)</x:f>
        <x:v>0</x:v>
      </x:c>
      <x:c r="M4397" s="41" t="str">
        <x:v>lstm-soil-v1</x:v>
      </x:c>
    </x:row>
    <x:row r="4398">
      <x:c r="A4398" s="38" t="str">
        <x:v>7月30日现场数据</x:v>
      </x:c>
      <x:c r="B4398" s="39" t="str">
        <x:v>2026-08-04T09:05:00</x:v>
      </x:c>
      <x:c r="C4398" s="39" t="str">
        <x:v>2026-08-04T09:35:00</x:v>
      </x:c>
      <x:c r="D4398" s="47" t="n">
        <x:v>30</x:v>
      </x:c>
      <x:c r="E4398" s="40" t="n">
        <x:v>13.2</x:v>
      </x:c>
      <x:c r="F4398" s="40" t="n">
        <x:v>11.990242004394531</x:v>
      </x:c>
      <x:c r="G4398" s="40" t="n">
        <x:v>13.2</x:v>
      </x:c>
      <x:c r="H4398" s="40" t="n">
        <x:f>F4398-E4398</x:f>
        <x:v>-1.209757995605468</x:v>
      </x:c>
      <x:c r="I4398" s="40" t="n">
        <x:f>ABS(H4398)</x:f>
        <x:v>1.209757995605468</x:v>
      </x:c>
      <x:c r="J4398" s="40" t="n">
        <x:f>H4398^2</x:f>
        <x:v>1.4635144079313596</x:v>
      </x:c>
      <x:c r="K4398" s="40" t="n">
        <x:f>G4398-E4398</x:f>
        <x:v>0</x:v>
      </x:c>
      <x:c r="L4398" s="40" t="n">
        <x:f>ABS(K4398)</x:f>
        <x:v>0</x:v>
      </x:c>
      <x:c r="M4398" s="41" t="str">
        <x:v>lstm-soil-v1</x:v>
      </x:c>
    </x:row>
    <x:row r="4399">
      <x:c r="A4399" s="38" t="str">
        <x:v>7月30日现场数据</x:v>
      </x:c>
      <x:c r="B4399" s="39" t="str">
        <x:v>2026-08-04T09:05:00</x:v>
      </x:c>
      <x:c r="C4399" s="39" t="str">
        <x:v>2026-08-04T10:05:00</x:v>
      </x:c>
      <x:c r="D4399" s="47" t="n">
        <x:v>60</x:v>
      </x:c>
      <x:c r="E4399" s="40" t="n">
        <x:v>13</x:v>
      </x:c>
      <x:c r="F4399" s="40" t="n">
        <x:v>13.760265350341797</x:v>
      </x:c>
      <x:c r="G4399" s="40" t="n">
        <x:v>13.2</x:v>
      </x:c>
      <x:c r="H4399" s="40" t="n">
        <x:f>F4399-E4399</x:f>
        <x:v>0.7602653503417969</x:v>
      </x:c>
      <x:c r="I4399" s="40" t="n">
        <x:f>ABS(H4399)</x:f>
        <x:v>0.7602653503417969</x:v>
      </x:c>
      <x:c r="J4399" s="40" t="n">
        <x:f>H4399^2</x:f>
        <x:v>0.5780034029303351</x:v>
      </x:c>
      <x:c r="K4399" s="40" t="n">
        <x:f>G4399-E4399</x:f>
        <x:v>0.1999999999999993</x:v>
      </x:c>
      <x:c r="L4399" s="40" t="n">
        <x:f>ABS(K4399)</x:f>
        <x:v>0.1999999999999993</x:v>
      </x:c>
      <x:c r="M4399" s="41" t="str">
        <x:v>lstm-soil-v1</x:v>
      </x:c>
    </x:row>
    <x:row r="4400">
      <x:c r="A4400" s="38" t="str">
        <x:v>7月30日现场数据</x:v>
      </x:c>
      <x:c r="B4400" s="39" t="str">
        <x:v>2026-08-04T09:10:00</x:v>
      </x:c>
      <x:c r="C4400" s="39" t="str">
        <x:v>2026-08-04T09:15:00</x:v>
      </x:c>
      <x:c r="D4400" s="47" t="n">
        <x:v>5</x:v>
      </x:c>
      <x:c r="E4400" s="40" t="n">
        <x:v>13.2</x:v>
      </x:c>
      <x:c r="F4400" s="40" t="n">
        <x:v>11.307609558105469</x:v>
      </x:c>
      <x:c r="G4400" s="40" t="n">
        <x:v>13.2</x:v>
      </x:c>
      <x:c r="H4400" s="40" t="n">
        <x:f>F4400-E4400</x:f>
        <x:v>-1.8923904418945305</x:v>
      </x:c>
      <x:c r="I4400" s="40" t="n">
        <x:f>ABS(H4400)</x:f>
        <x:v>1.8923904418945305</x:v>
      </x:c>
      <x:c r="J4400" s="40" t="n">
        <x:f>H4400^2</x:f>
        <x:v>3.5811415845737766</x:v>
      </x:c>
      <x:c r="K4400" s="40" t="n">
        <x:f>G4400-E4400</x:f>
        <x:v>0</x:v>
      </x:c>
      <x:c r="L4400" s="40" t="n">
        <x:f>ABS(K4400)</x:f>
        <x:v>0</x:v>
      </x:c>
      <x:c r="M4400" s="41" t="str">
        <x:v>lstm-soil-v1</x:v>
      </x:c>
    </x:row>
    <x:row r="4401">
      <x:c r="A4401" s="38" t="str">
        <x:v>7月30日现场数据</x:v>
      </x:c>
      <x:c r="B4401" s="39" t="str">
        <x:v>2026-08-04T09:10:00</x:v>
      </x:c>
      <x:c r="C4401" s="39" t="str">
        <x:v>2026-08-04T09:25:00</x:v>
      </x:c>
      <x:c r="D4401" s="47" t="n">
        <x:v>15</x:v>
      </x:c>
      <x:c r="E4401" s="40" t="n">
        <x:v>13.1</x:v>
      </x:c>
      <x:c r="F4401" s="40" t="n">
        <x:v>11.31882095336914</x:v>
      </x:c>
      <x:c r="G4401" s="40" t="n">
        <x:v>13.2</x:v>
      </x:c>
      <x:c r="H4401" s="40" t="n">
        <x:f>F4401-E4401</x:f>
        <x:v>-1.781179046630859</x:v>
      </x:c>
      <x:c r="I4401" s="40" t="n">
        <x:f>ABS(H4401)</x:f>
        <x:v>1.781179046630859</x:v>
      </x:c>
      <x:c r="J4401" s="40" t="n">
        <x:f>H4401^2</x:f>
        <x:v>3.172598796156816</x:v>
      </x:c>
      <x:c r="K4401" s="40" t="n">
        <x:f>G4401-E4401</x:f>
        <x:v>0.09999999999999964</x:v>
      </x:c>
      <x:c r="L4401" s="40" t="n">
        <x:f>ABS(K4401)</x:f>
        <x:v>0.09999999999999964</x:v>
      </x:c>
      <x:c r="M4401" s="41" t="str">
        <x:v>lstm-soil-v1</x:v>
      </x:c>
    </x:row>
    <x:row r="4402">
      <x:c r="A4402" s="38" t="str">
        <x:v>7月30日现场数据</x:v>
      </x:c>
      <x:c r="B4402" s="39" t="str">
        <x:v>2026-08-04T09:10:00</x:v>
      </x:c>
      <x:c r="C4402" s="39" t="str">
        <x:v>2026-08-04T09:40:00</x:v>
      </x:c>
      <x:c r="D4402" s="47" t="n">
        <x:v>30</x:v>
      </x:c>
      <x:c r="E4402" s="40" t="n">
        <x:v>13.2</x:v>
      </x:c>
      <x:c r="F4402" s="40" t="n">
        <x:v>11.994796752929688</x:v>
      </x:c>
      <x:c r="G4402" s="40" t="n">
        <x:v>13.2</x:v>
      </x:c>
      <x:c r="H4402" s="40" t="n">
        <x:f>F4402-E4402</x:f>
        <x:v>-1.2052032470703118</x:v>
      </x:c>
      <x:c r="I4402" s="40" t="n">
        <x:f>ABS(H4402)</x:f>
        <x:v>1.2052032470703118</x:v>
      </x:c>
      <x:c r="J4402" s="40" t="n">
        <x:f>H4402^2</x:f>
        <x:v>1.452514866748823</x:v>
      </x:c>
      <x:c r="K4402" s="40" t="n">
        <x:f>G4402-E4402</x:f>
        <x:v>0</x:v>
      </x:c>
      <x:c r="L4402" s="40" t="n">
        <x:f>ABS(K4402)</x:f>
        <x:v>0</x:v>
      </x:c>
      <x:c r="M4402" s="41" t="str">
        <x:v>lstm-soil-v1</x:v>
      </x:c>
    </x:row>
    <x:row r="4403">
      <x:c r="A4403" s="38" t="str">
        <x:v>7月30日现场数据</x:v>
      </x:c>
      <x:c r="B4403" s="39" t="str">
        <x:v>2026-08-04T09:10:00</x:v>
      </x:c>
      <x:c r="C4403" s="39" t="str">
        <x:v>2026-08-04T10:10:00</x:v>
      </x:c>
      <x:c r="D4403" s="47" t="n">
        <x:v>60</x:v>
      </x:c>
      <x:c r="E4403" s="40" t="n">
        <x:v>13.1</x:v>
      </x:c>
      <x:c r="F4403" s="40" t="n">
        <x:v>13.764877319335938</x:v>
      </x:c>
      <x:c r="G4403" s="40" t="n">
        <x:v>13.2</x:v>
      </x:c>
      <x:c r="H4403" s="40" t="n">
        <x:f>F4403-E4403</x:f>
        <x:v>0.6648773193359379</x:v>
      </x:c>
      <x:c r="I4403" s="40" t="n">
        <x:f>ABS(H4403)</x:f>
        <x:v>0.6648773193359379</x:v>
      </x:c>
      <x:c r="J4403" s="40" t="n">
        <x:f>H4403^2</x:f>
        <x:v>0.4420618497673427</x:v>
      </x:c>
      <x:c r="K4403" s="40" t="n">
        <x:f>G4403-E4403</x:f>
        <x:v>0.09999999999999964</x:v>
      </x:c>
      <x:c r="L4403" s="40" t="n">
        <x:f>ABS(K4403)</x:f>
        <x:v>0.09999999999999964</x:v>
      </x:c>
      <x:c r="M4403" s="41" t="str">
        <x:v>lstm-soil-v1</x:v>
      </x:c>
    </x:row>
    <x:row r="4404">
      <x:c r="A4404" s="38" t="str">
        <x:v>7月30日现场数据</x:v>
      </x:c>
      <x:c r="B4404" s="39" t="str">
        <x:v>2026-08-04T09:15:00</x:v>
      </x:c>
      <x:c r="C4404" s="39" t="str">
        <x:v>2026-08-04T09:20:00</x:v>
      </x:c>
      <x:c r="D4404" s="47" t="n">
        <x:v>5</x:v>
      </x:c>
      <x:c r="E4404" s="40" t="n">
        <x:v>13.2</x:v>
      </x:c>
      <x:c r="F4404" s="40" t="n">
        <x:v>11.306434631347656</x:v>
      </x:c>
      <x:c r="G4404" s="40" t="n">
        <x:v>13.2</x:v>
      </x:c>
      <x:c r="H4404" s="40" t="n">
        <x:f>F4404-E4404</x:f>
        <x:v>-1.893565368652343</x:v>
      </x:c>
      <x:c r="I4404" s="40" t="n">
        <x:f>ABS(H4404)</x:f>
        <x:v>1.893565368652343</x:v>
      </x:c>
      <x:c r="J4404" s="40" t="n">
        <x:f>H4404^2</x:f>
        <x:v>3.5855898053594837</x:v>
      </x:c>
      <x:c r="K4404" s="40" t="n">
        <x:f>G4404-E4404</x:f>
        <x:v>0</x:v>
      </x:c>
      <x:c r="L4404" s="40" t="n">
        <x:f>ABS(K4404)</x:f>
        <x:v>0</x:v>
      </x:c>
      <x:c r="M4404" s="41" t="str">
        <x:v>lstm-soil-v1</x:v>
      </x:c>
    </x:row>
    <x:row r="4405">
      <x:c r="A4405" s="38" t="str">
        <x:v>7月30日现场数据</x:v>
      </x:c>
      <x:c r="B4405" s="39" t="str">
        <x:v>2026-08-04T09:15:00</x:v>
      </x:c>
      <x:c r="C4405" s="39" t="str">
        <x:v>2026-08-04T09:30:00</x:v>
      </x:c>
      <x:c r="D4405" s="47" t="n">
        <x:v>15</x:v>
      </x:c>
      <x:c r="E4405" s="40" t="n">
        <x:v>13.2</x:v>
      </x:c>
      <x:c r="F4405" s="40" t="n">
        <x:v>11.325695037841797</x:v>
      </x:c>
      <x:c r="G4405" s="40" t="n">
        <x:v>13.2</x:v>
      </x:c>
      <x:c r="H4405" s="40" t="n">
        <x:f>F4405-E4405</x:f>
        <x:v>-1.8743049621582024</x:v>
      </x:c>
      <x:c r="I4405" s="40" t="n">
        <x:f>ABS(H4405)</x:f>
        <x:v>1.8743049621582024</x:v>
      </x:c>
      <x:c r="J4405" s="40" t="n">
        <x:f>H4405^2</x:f>
        <x:v>3.5130190911708605</x:v>
      </x:c>
      <x:c r="K4405" s="40" t="n">
        <x:f>G4405-E4405</x:f>
        <x:v>0</x:v>
      </x:c>
      <x:c r="L4405" s="40" t="n">
        <x:f>ABS(K4405)</x:f>
        <x:v>0</x:v>
      </x:c>
      <x:c r="M4405" s="41" t="str">
        <x:v>lstm-soil-v1</x:v>
      </x:c>
    </x:row>
    <x:row r="4406">
      <x:c r="A4406" s="38" t="str">
        <x:v>7月30日现场数据</x:v>
      </x:c>
      <x:c r="B4406" s="39" t="str">
        <x:v>2026-08-04T09:15:00</x:v>
      </x:c>
      <x:c r="C4406" s="39" t="str">
        <x:v>2026-08-04T09:45:00</x:v>
      </x:c>
      <x:c r="D4406" s="47" t="n">
        <x:v>30</x:v>
      </x:c>
      <x:c r="E4406" s="40" t="n">
        <x:v>13.2</x:v>
      </x:c>
      <x:c r="F4406" s="40" t="n">
        <x:v>11.991195678710938</x:v>
      </x:c>
      <x:c r="G4406" s="40" t="n">
        <x:v>13.2</x:v>
      </x:c>
      <x:c r="H4406" s="40" t="n">
        <x:f>F4406-E4406</x:f>
        <x:v>-1.2088043212890618</x:v>
      </x:c>
      <x:c r="I4406" s="40" t="n">
        <x:f>ABS(H4406)</x:f>
        <x:v>1.2088043212890618</x:v>
      </x:c>
      <x:c r="J4406" s="40" t="n">
        <x:f>H4406^2</x:f>
        <x:v>1.4612078871671093</x:v>
      </x:c>
      <x:c r="K4406" s="40" t="n">
        <x:f>G4406-E4406</x:f>
        <x:v>0</x:v>
      </x:c>
      <x:c r="L4406" s="40" t="n">
        <x:f>ABS(K4406)</x:f>
        <x:v>0</x:v>
      </x:c>
      <x:c r="M4406" s="41" t="str">
        <x:v>lstm-soil-v1</x:v>
      </x:c>
    </x:row>
    <x:row r="4407">
      <x:c r="A4407" s="38" t="str">
        <x:v>7月30日现场数据</x:v>
      </x:c>
      <x:c r="B4407" s="39" t="str">
        <x:v>2026-08-04T09:15:00</x:v>
      </x:c>
      <x:c r="C4407" s="39" t="str">
        <x:v>2026-08-04T10:15:00</x:v>
      </x:c>
      <x:c r="D4407" s="47" t="n">
        <x:v>60</x:v>
      </x:c>
      <x:c r="E4407" s="40" t="n">
        <x:v>13.1</x:v>
      </x:c>
      <x:c r="F4407" s="40" t="n">
        <x:v>13.75655746459961</x:v>
      </x:c>
      <x:c r="G4407" s="40" t="n">
        <x:v>13.2</x:v>
      </x:c>
      <x:c r="H4407" s="40" t="n">
        <x:f>F4407-E4407</x:f>
        <x:v>0.6565574645996097</x:v>
      </x:c>
      <x:c r="I4407" s="40" t="n">
        <x:f>ABS(H4407)</x:f>
        <x:v>0.6565574645996097</x:v>
      </x:c>
      <x:c r="J4407" s="40" t="n">
        <x:f>H4407^2</x:f>
        <x:v>0.4310677043214678</x:v>
      </x:c>
      <x:c r="K4407" s="40" t="n">
        <x:f>G4407-E4407</x:f>
        <x:v>0.09999999999999964</x:v>
      </x:c>
      <x:c r="L4407" s="40" t="n">
        <x:f>ABS(K4407)</x:f>
        <x:v>0.09999999999999964</x:v>
      </x:c>
      <x:c r="M4407" s="41" t="str">
        <x:v>lstm-soil-v1</x:v>
      </x:c>
    </x:row>
    <x:row r="4408">
      <x:c r="A4408" s="38" t="str">
        <x:v>7月30日现场数据</x:v>
      </x:c>
      <x:c r="B4408" s="39" t="str">
        <x:v>2026-08-04T09:20:00</x:v>
      </x:c>
      <x:c r="C4408" s="39" t="str">
        <x:v>2026-08-04T09:25:00</x:v>
      </x:c>
      <x:c r="D4408" s="47" t="n">
        <x:v>5</x:v>
      </x:c>
      <x:c r="E4408" s="40" t="n">
        <x:v>13.1</x:v>
      </x:c>
      <x:c r="F4408" s="40" t="n">
        <x:v>11.304729461669922</x:v>
      </x:c>
      <x:c r="G4408" s="40" t="n">
        <x:v>13.2</x:v>
      </x:c>
      <x:c r="H4408" s="40" t="n">
        <x:f>F4408-E4408</x:f>
        <x:v>-1.7952705383300778</x:v>
      </x:c>
      <x:c r="I4408" s="40" t="n">
        <x:f>ABS(H4408)</x:f>
        <x:v>1.7952705383300778</x:v>
      </x:c>
      <x:c r="J4408" s="40" t="n">
        <x:f>H4408^2</x:f>
        <x:v>3.2229963057959674</x:v>
      </x:c>
      <x:c r="K4408" s="40" t="n">
        <x:f>G4408-E4408</x:f>
        <x:v>0.09999999999999964</x:v>
      </x:c>
      <x:c r="L4408" s="40" t="n">
        <x:f>ABS(K4408)</x:f>
        <x:v>0.09999999999999964</x:v>
      </x:c>
      <x:c r="M4408" s="41" t="str">
        <x:v>lstm-soil-v1</x:v>
      </x:c>
    </x:row>
    <x:row r="4409">
      <x:c r="A4409" s="38" t="str">
        <x:v>7月30日现场数据</x:v>
      </x:c>
      <x:c r="B4409" s="39" t="str">
        <x:v>2026-08-04T09:20:00</x:v>
      </x:c>
      <x:c r="C4409" s="39" t="str">
        <x:v>2026-08-04T09:35:00</x:v>
      </x:c>
      <x:c r="D4409" s="47" t="n">
        <x:v>15</x:v>
      </x:c>
      <x:c r="E4409" s="40" t="n">
        <x:v>13.2</x:v>
      </x:c>
      <x:c r="F4409" s="40" t="n">
        <x:v>11.325889587402344</x:v>
      </x:c>
      <x:c r="G4409" s="40" t="n">
        <x:v>13.2</x:v>
      </x:c>
      <x:c r="H4409" s="40" t="n">
        <x:f>F4409-E4409</x:f>
        <x:v>-1.8741104125976555</x:v>
      </x:c>
      <x:c r="I4409" s="40" t="n">
        <x:f>ABS(H4409)</x:f>
        <x:v>1.8741104125976555</x:v>
      </x:c>
      <x:c r="J4409" s="40" t="n">
        <x:f>H4409^2</x:f>
        <x:v>3.5122898386069545</x:v>
      </x:c>
      <x:c r="K4409" s="40" t="n">
        <x:f>G4409-E4409</x:f>
        <x:v>0</x:v>
      </x:c>
      <x:c r="L4409" s="40" t="n">
        <x:f>ABS(K4409)</x:f>
        <x:v>0</x:v>
      </x:c>
      <x:c r="M4409" s="41" t="str">
        <x:v>lstm-soil-v1</x:v>
      </x:c>
    </x:row>
    <x:row r="4410">
      <x:c r="A4410" s="38" t="str">
        <x:v>7月30日现场数据</x:v>
      </x:c>
      <x:c r="B4410" s="39" t="str">
        <x:v>2026-08-04T09:20:00</x:v>
      </x:c>
      <x:c r="C4410" s="39" t="str">
        <x:v>2026-08-04T09:50:00</x:v>
      </x:c>
      <x:c r="D4410" s="47" t="n">
        <x:v>30</x:v>
      </x:c>
      <x:c r="E4410" s="40" t="n">
        <x:v>13.1</x:v>
      </x:c>
      <x:c r="F4410" s="40" t="n">
        <x:v>11.989421844482422</x:v>
      </x:c>
      <x:c r="G4410" s="40" t="n">
        <x:v>13.2</x:v>
      </x:c>
      <x:c r="H4410" s="40" t="n">
        <x:f>F4410-E4410</x:f>
        <x:v>-1.1105781555175778</x:v>
      </x:c>
      <x:c r="I4410" s="40" t="n">
        <x:f>ABS(H4410)</x:f>
        <x:v>1.1105781555175778</x:v>
      </x:c>
      <x:c r="J4410" s="40" t="n">
        <x:f>H4410^2</x:f>
        <x:v>1.2333838395128252</x:v>
      </x:c>
      <x:c r="K4410" s="40" t="n">
        <x:f>G4410-E4410</x:f>
        <x:v>0.09999999999999964</x:v>
      </x:c>
      <x:c r="L4410" s="40" t="n">
        <x:f>ABS(K4410)</x:f>
        <x:v>0.09999999999999964</x:v>
      </x:c>
      <x:c r="M4410" s="41" t="str">
        <x:v>lstm-soil-v1</x:v>
      </x:c>
    </x:row>
    <x:row r="4411">
      <x:c r="A4411" s="38" t="str">
        <x:v>7月30日现场数据</x:v>
      </x:c>
      <x:c r="B4411" s="39" t="str">
        <x:v>2026-08-04T09:20:00</x:v>
      </x:c>
      <x:c r="C4411" s="39" t="str">
        <x:v>2026-08-04T10:20:00</x:v>
      </x:c>
      <x:c r="D4411" s="47" t="n">
        <x:v>60</x:v>
      </x:c>
      <x:c r="E4411" s="40" t="n">
        <x:v>13.1</x:v>
      </x:c>
      <x:c r="F4411" s="40" t="n">
        <x:v>13.758621215820312</x:v>
      </x:c>
      <x:c r="G4411" s="40" t="n">
        <x:v>13.2</x:v>
      </x:c>
      <x:c r="H4411" s="40" t="n">
        <x:f>F4411-E4411</x:f>
        <x:v>0.6586212158203129</x:v>
      </x:c>
      <x:c r="I4411" s="40" t="n">
        <x:f>ABS(H4411)</x:f>
        <x:v>0.6586212158203129</x:v>
      </x:c>
      <x:c r="J4411" s="40" t="n">
        <x:f>H4411^2</x:f>
        <x:v>0.43378190592862714</x:v>
      </x:c>
      <x:c r="K4411" s="40" t="n">
        <x:f>G4411-E4411</x:f>
        <x:v>0.09999999999999964</x:v>
      </x:c>
      <x:c r="L4411" s="40" t="n">
        <x:f>ABS(K4411)</x:f>
        <x:v>0.09999999999999964</x:v>
      </x:c>
      <x:c r="M4411" s="41" t="str">
        <x:v>lstm-soil-v1</x:v>
      </x:c>
    </x:row>
    <x:row r="4412">
      <x:c r="A4412" s="38" t="str">
        <x:v>7月30日现场数据</x:v>
      </x:c>
      <x:c r="B4412" s="39" t="str">
        <x:v>2026-08-04T09:25:00</x:v>
      </x:c>
      <x:c r="C4412" s="39" t="str">
        <x:v>2026-08-04T09:30:00</x:v>
      </x:c>
      <x:c r="D4412" s="47" t="n">
        <x:v>5</x:v>
      </x:c>
      <x:c r="E4412" s="40" t="n">
        <x:v>13.2</x:v>
      </x:c>
      <x:c r="F4412" s="40" t="n">
        <x:v>11.194461822509766</x:v>
      </x:c>
      <x:c r="G4412" s="40" t="n">
        <x:v>13.1</x:v>
      </x:c>
      <x:c r="H4412" s="40" t="n">
        <x:f>F4412-E4412</x:f>
        <x:v>-2.0055381774902337</x:v>
      </x:c>
      <x:c r="I4412" s="40" t="n">
        <x:f>ABS(H4412)</x:f>
        <x:v>2.0055381774902337</x:v>
      </x:c>
      <x:c r="J4412" s="40" t="n">
        <x:f>H4412^2</x:f>
        <x:v>4.022183381370848</x:v>
      </x:c>
      <x:c r="K4412" s="40" t="n">
        <x:f>G4412-E4412</x:f>
        <x:v>-0.09999999999999964</x:v>
      </x:c>
      <x:c r="L4412" s="40" t="n">
        <x:f>ABS(K4412)</x:f>
        <x:v>0.09999999999999964</x:v>
      </x:c>
      <x:c r="M4412" s="41" t="str">
        <x:v>lstm-soil-v1</x:v>
      </x:c>
    </x:row>
    <x:row r="4413">
      <x:c r="A4413" s="38" t="str">
        <x:v>7月30日现场数据</x:v>
      </x:c>
      <x:c r="B4413" s="39" t="str">
        <x:v>2026-08-04T09:25:00</x:v>
      </x:c>
      <x:c r="C4413" s="39" t="str">
        <x:v>2026-08-04T09:40:00</x:v>
      </x:c>
      <x:c r="D4413" s="47" t="n">
        <x:v>15</x:v>
      </x:c>
      <x:c r="E4413" s="40" t="n">
        <x:v>13.2</x:v>
      </x:c>
      <x:c r="F4413" s="40" t="n">
        <x:v>11.212028503417969</x:v>
      </x:c>
      <x:c r="G4413" s="40" t="n">
        <x:v>13.1</x:v>
      </x:c>
      <x:c r="H4413" s="40" t="n">
        <x:f>F4413-E4413</x:f>
        <x:v>-1.9879714965820305</x:v>
      </x:c>
      <x:c r="I4413" s="40" t="n">
        <x:f>ABS(H4413)</x:f>
        <x:v>1.9879714965820305</x:v>
      </x:c>
      <x:c r="J4413" s="40" t="n">
        <x:f>H4413^2</x:f>
        <x:v>3.952030671222598</x:v>
      </x:c>
      <x:c r="K4413" s="40" t="n">
        <x:f>G4413-E4413</x:f>
        <x:v>-0.09999999999999964</x:v>
      </x:c>
      <x:c r="L4413" s="40" t="n">
        <x:f>ABS(K4413)</x:f>
        <x:v>0.09999999999999964</x:v>
      </x:c>
      <x:c r="M4413" s="41" t="str">
        <x:v>lstm-soil-v1</x:v>
      </x:c>
    </x:row>
    <x:row r="4414">
      <x:c r="A4414" s="38" t="str">
        <x:v>7月30日现场数据</x:v>
      </x:c>
      <x:c r="B4414" s="39" t="str">
        <x:v>2026-08-04T09:25:00</x:v>
      </x:c>
      <x:c r="C4414" s="39" t="str">
        <x:v>2026-08-04T09:55:00</x:v>
      </x:c>
      <x:c r="D4414" s="47" t="n">
        <x:v>30</x:v>
      </x:c>
      <x:c r="E4414" s="40" t="n">
        <x:v>13.1</x:v>
      </x:c>
      <x:c r="F4414" s="40" t="n">
        <x:v>11.88736343383789</x:v>
      </x:c>
      <x:c r="G4414" s="40" t="n">
        <x:v>13.1</x:v>
      </x:c>
      <x:c r="H4414" s="40" t="n">
        <x:f>F4414-E4414</x:f>
        <x:v>-1.212636566162109</x:v>
      </x:c>
      <x:c r="I4414" s="40" t="n">
        <x:f>ABS(H4414)</x:f>
        <x:v>1.212636566162109</x:v>
      </x:c>
      <x:c r="J4414" s="40" t="n">
        <x:f>H4414^2</x:f>
        <x:v>1.470487441593431</x:v>
      </x:c>
      <x:c r="K4414" s="40" t="n">
        <x:f>G4414-E4414</x:f>
        <x:v>0</x:v>
      </x:c>
      <x:c r="L4414" s="40" t="n">
        <x:f>ABS(K4414)</x:f>
        <x:v>0</x:v>
      </x:c>
      <x:c r="M4414" s="41" t="str">
        <x:v>lstm-soil-v1</x:v>
      </x:c>
    </x:row>
    <x:row r="4415">
      <x:c r="A4415" s="38" t="str">
        <x:v>7月30日现场数据</x:v>
      </x:c>
      <x:c r="B4415" s="39" t="str">
        <x:v>2026-08-04T09:25:00</x:v>
      </x:c>
      <x:c r="C4415" s="39" t="str">
        <x:v>2026-08-04T10:25:00</x:v>
      </x:c>
      <x:c r="D4415" s="47" t="n">
        <x:v>60</x:v>
      </x:c>
      <x:c r="E4415" s="40" t="n">
        <x:v>13</x:v>
      </x:c>
      <x:c r="F4415" s="40" t="n">
        <x:v>13.6605224609375</x:v>
      </x:c>
      <x:c r="G4415" s="40" t="n">
        <x:v>13.1</x:v>
      </x:c>
      <x:c r="H4415" s="40" t="n">
        <x:f>F4415-E4415</x:f>
        <x:v>0.6605224609375</x:v>
      </x:c>
      <x:c r="I4415" s="40" t="n">
        <x:f>ABS(H4415)</x:f>
        <x:v>0.6605224609375</x:v>
      </x:c>
      <x:c r="J4415" s="40" t="n">
        <x:f>H4415^2</x:f>
        <x:v>0.4362899214029312</x:v>
      </x:c>
      <x:c r="K4415" s="40" t="n">
        <x:f>G4415-E4415</x:f>
        <x:v>0.09999999999999964</x:v>
      </x:c>
      <x:c r="L4415" s="40" t="n">
        <x:f>ABS(K4415)</x:f>
        <x:v>0.09999999999999964</x:v>
      </x:c>
      <x:c r="M4415" s="41" t="str">
        <x:v>lstm-soil-v1</x:v>
      </x:c>
    </x:row>
    <x:row r="4416">
      <x:c r="A4416" s="38" t="str">
        <x:v>7月30日现场数据</x:v>
      </x:c>
      <x:c r="B4416" s="39" t="str">
        <x:v>2026-08-04T09:30:00</x:v>
      </x:c>
      <x:c r="C4416" s="39" t="str">
        <x:v>2026-08-04T09:35:00</x:v>
      </x:c>
      <x:c r="D4416" s="47" t="n">
        <x:v>5</x:v>
      </x:c>
      <x:c r="E4416" s="40" t="n">
        <x:v>13.2</x:v>
      </x:c>
      <x:c r="F4416" s="40" t="n">
        <x:v>11.305160522460938</x:v>
      </x:c>
      <x:c r="G4416" s="40" t="n">
        <x:v>13.2</x:v>
      </x:c>
      <x:c r="H4416" s="40" t="n">
        <x:f>F4416-E4416</x:f>
        <x:v>-1.8948394775390618</x:v>
      </x:c>
      <x:c r="I4416" s="40" t="n">
        <x:f>ABS(H4416)</x:f>
        <x:v>1.8948394775390618</x:v>
      </x:c>
      <x:c r="J4416" s="40" t="n">
        <x:f>H4416^2</x:f>
        <x:v>3.5904166456405044</x:v>
      </x:c>
      <x:c r="K4416" s="40" t="n">
        <x:f>G4416-E4416</x:f>
        <x:v>0</x:v>
      </x:c>
      <x:c r="L4416" s="40" t="n">
        <x:f>ABS(K4416)</x:f>
        <x:v>0</x:v>
      </x:c>
      <x:c r="M4416" s="41" t="str">
        <x:v>lstm-soil-v1</x:v>
      </x:c>
    </x:row>
    <x:row r="4417">
      <x:c r="A4417" s="38" t="str">
        <x:v>7月30日现场数据</x:v>
      </x:c>
      <x:c r="B4417" s="39" t="str">
        <x:v>2026-08-04T09:30:00</x:v>
      </x:c>
      <x:c r="C4417" s="39" t="str">
        <x:v>2026-08-04T09:45:00</x:v>
      </x:c>
      <x:c r="D4417" s="47" t="n">
        <x:v>15</x:v>
      </x:c>
      <x:c r="E4417" s="40" t="n">
        <x:v>13.2</x:v>
      </x:c>
      <x:c r="F4417" s="40" t="n">
        <x:v>11.321170806884766</x:v>
      </x:c>
      <x:c r="G4417" s="40" t="n">
        <x:v>13.2</x:v>
      </x:c>
      <x:c r="H4417" s="40" t="n">
        <x:f>F4417-E4417</x:f>
        <x:v>-1.8788291931152337</x:v>
      </x:c>
      <x:c r="I4417" s="40" t="n">
        <x:f>ABS(H4417)</x:f>
        <x:v>1.8788291931152337</x:v>
      </x:c>
      <x:c r="J4417" s="40" t="n">
        <x:f>H4417^2</x:f>
        <x:v>3.52999913690204</x:v>
      </x:c>
      <x:c r="K4417" s="40" t="n">
        <x:f>G4417-E4417</x:f>
        <x:v>0</x:v>
      </x:c>
      <x:c r="L4417" s="40" t="n">
        <x:f>ABS(K4417)</x:f>
        <x:v>0</x:v>
      </x:c>
      <x:c r="M4417" s="41" t="str">
        <x:v>lstm-soil-v1</x:v>
      </x:c>
    </x:row>
    <x:row r="4418">
      <x:c r="A4418" s="38" t="str">
        <x:v>7月30日现场数据</x:v>
      </x:c>
      <x:c r="B4418" s="39" t="str">
        <x:v>2026-08-04T09:30:00</x:v>
      </x:c>
      <x:c r="C4418" s="39" t="str">
        <x:v>2026-08-04T10:00:00</x:v>
      </x:c>
      <x:c r="D4418" s="47" t="n">
        <x:v>30</x:v>
      </x:c>
      <x:c r="E4418" s="40" t="n">
        <x:v>13.1</x:v>
      </x:c>
      <x:c r="F4418" s="40" t="n">
        <x:v>12.006820678710938</x:v>
      </x:c>
      <x:c r="G4418" s="40" t="n">
        <x:v>13.2</x:v>
      </x:c>
      <x:c r="H4418" s="40" t="n">
        <x:f>F4418-E4418</x:f>
        <x:v>-1.0931793212890621</x:v>
      </x:c>
      <x:c r="I4418" s="40" t="n">
        <x:f>ABS(H4418)</x:f>
        <x:v>1.0931793212890621</x:v>
      </x:c>
      <x:c r="J4418" s="40" t="n">
        <x:f>H4418^2</x:f>
        <x:v>1.1950410284940145</x:v>
      </x:c>
      <x:c r="K4418" s="40" t="n">
        <x:f>G4418-E4418</x:f>
        <x:v>0.09999999999999964</x:v>
      </x:c>
      <x:c r="L4418" s="40" t="n">
        <x:f>ABS(K4418)</x:f>
        <x:v>0.09999999999999964</x:v>
      </x:c>
      <x:c r="M4418" s="41" t="str">
        <x:v>lstm-soil-v1</x:v>
      </x:c>
    </x:row>
    <x:row r="4419">
      <x:c r="A4419" s="38" t="str">
        <x:v>7月30日现场数据</x:v>
      </x:c>
      <x:c r="B4419" s="39" t="str">
        <x:v>2026-08-04T09:30:00</x:v>
      </x:c>
      <x:c r="C4419" s="39" t="str">
        <x:v>2026-08-04T10:30:00</x:v>
      </x:c>
      <x:c r="D4419" s="47" t="n">
        <x:v>60</x:v>
      </x:c>
      <x:c r="E4419" s="40" t="n">
        <x:v>13</x:v>
      </x:c>
      <x:c r="F4419" s="40" t="n">
        <x:v>13.778057098388672</x:v>
      </x:c>
      <x:c r="G4419" s="40" t="n">
        <x:v>13.2</x:v>
      </x:c>
      <x:c r="H4419" s="40" t="n">
        <x:f>F4419-E4419</x:f>
        <x:v>0.7780570983886719</x:v>
      </x:c>
      <x:c r="I4419" s="40" t="n">
        <x:f>ABS(H4419)</x:f>
        <x:v>0.7780570983886719</x:v>
      </x:c>
      <x:c r="J4419" s="40" t="n">
        <x:f>H4419^2</x:f>
        <x:v>0.6053728483529994</x:v>
      </x:c>
      <x:c r="K4419" s="40" t="n">
        <x:f>G4419-E4419</x:f>
        <x:v>0.1999999999999993</x:v>
      </x:c>
      <x:c r="L4419" s="40" t="n">
        <x:f>ABS(K4419)</x:f>
        <x:v>0.1999999999999993</x:v>
      </x:c>
      <x:c r="M4419" s="41" t="str">
        <x:v>lstm-soil-v1</x:v>
      </x:c>
    </x:row>
    <x:row r="4420">
      <x:c r="A4420" s="38" t="str">
        <x:v>7月30日现场数据</x:v>
      </x:c>
      <x:c r="B4420" s="39" t="str">
        <x:v>2026-08-04T09:35:00</x:v>
      </x:c>
      <x:c r="C4420" s="39" t="str">
        <x:v>2026-08-04T09:40:00</x:v>
      </x:c>
      <x:c r="D4420" s="47" t="n">
        <x:v>5</x:v>
      </x:c>
      <x:c r="E4420" s="40" t="n">
        <x:v>13.2</x:v>
      </x:c>
      <x:c r="F4420" s="40" t="n">
        <x:v>11.304447174072266</x:v>
      </x:c>
      <x:c r="G4420" s="40" t="n">
        <x:v>13.2</x:v>
      </x:c>
      <x:c r="H4420" s="40" t="n">
        <x:f>F4420-E4420</x:f>
        <x:v>-1.8955528259277337</x:v>
      </x:c>
      <x:c r="I4420" s="40" t="n">
        <x:f>ABS(H4420)</x:f>
        <x:v>1.8955528259277337</x:v>
      </x:c>
      <x:c r="J4420" s="40" t="n">
        <x:f>H4420^2</x:f>
        <x:v>3.593120515882617</x:v>
      </x:c>
      <x:c r="K4420" s="40" t="n">
        <x:f>G4420-E4420</x:f>
        <x:v>0</x:v>
      </x:c>
      <x:c r="L4420" s="40" t="n">
        <x:f>ABS(K4420)</x:f>
        <x:v>0</x:v>
      </x:c>
      <x:c r="M4420" s="41" t="str">
        <x:v>lstm-soil-v1</x:v>
      </x:c>
    </x:row>
    <x:row r="4421">
      <x:c r="A4421" s="38" t="str">
        <x:v>7月30日现场数据</x:v>
      </x:c>
      <x:c r="B4421" s="39" t="str">
        <x:v>2026-08-04T09:35:00</x:v>
      </x:c>
      <x:c r="C4421" s="39" t="str">
        <x:v>2026-08-04T09:50:00</x:v>
      </x:c>
      <x:c r="D4421" s="47" t="n">
        <x:v>15</x:v>
      </x:c>
      <x:c r="E4421" s="40" t="n">
        <x:v>13.1</x:v>
      </x:c>
      <x:c r="F4421" s="40" t="n">
        <x:v>11.320106506347656</x:v>
      </x:c>
      <x:c r="G4421" s="40" t="n">
        <x:v>13.2</x:v>
      </x:c>
      <x:c r="H4421" s="40" t="n">
        <x:f>F4421-E4421</x:f>
        <x:v>-1.7798934936523434</x:v>
      </x:c>
      <x:c r="I4421" s="40" t="n">
        <x:f>ABS(H4421)</x:f>
        <x:v>1.7798934936523434</x:v>
      </x:c>
      <x:c r="J4421" s="40" t="n">
        <x:f>H4421^2</x:f>
        <x:v>3.1680208487459445</x:v>
      </x:c>
      <x:c r="K4421" s="40" t="n">
        <x:f>G4421-E4421</x:f>
        <x:v>0.09999999999999964</x:v>
      </x:c>
      <x:c r="L4421" s="40" t="n">
        <x:f>ABS(K4421)</x:f>
        <x:v>0.09999999999999964</x:v>
      </x:c>
      <x:c r="M4421" s="41" t="str">
        <x:v>lstm-soil-v1</x:v>
      </x:c>
    </x:row>
    <x:row r="4422">
      <x:c r="A4422" s="38" t="str">
        <x:v>7月30日现场数据</x:v>
      </x:c>
      <x:c r="B4422" s="39" t="str">
        <x:v>2026-08-04T09:35:00</x:v>
      </x:c>
      <x:c r="C4422" s="39" t="str">
        <x:v>2026-08-04T10:05:00</x:v>
      </x:c>
      <x:c r="D4422" s="47" t="n">
        <x:v>30</x:v>
      </x:c>
      <x:c r="E4422" s="40" t="n">
        <x:v>13</x:v>
      </x:c>
      <x:c r="F4422" s="40" t="n">
        <x:v>12.015579223632812</x:v>
      </x:c>
      <x:c r="G4422" s="40" t="n">
        <x:v>13.2</x:v>
      </x:c>
      <x:c r="H4422" s="40" t="n">
        <x:f>F4422-E4422</x:f>
        <x:v>-0.9844207763671875</x:v>
      </x:c>
      <x:c r="I4422" s="40" t="n">
        <x:f>ABS(H4422)</x:f>
        <x:v>0.9844207763671875</x:v>
      </x:c>
      <x:c r="J4422" s="40" t="n">
        <x:f>H4422^2</x:f>
        <x:v>0.9690842649433762</x:v>
      </x:c>
      <x:c r="K4422" s="40" t="n">
        <x:f>G4422-E4422</x:f>
        <x:v>0.1999999999999993</x:v>
      </x:c>
      <x:c r="L4422" s="40" t="n">
        <x:f>ABS(K4422)</x:f>
        <x:v>0.1999999999999993</x:v>
      </x:c>
      <x:c r="M4422" s="41" t="str">
        <x:v>lstm-soil-v1</x:v>
      </x:c>
    </x:row>
    <x:row r="4423">
      <x:c r="A4423" s="38" t="str">
        <x:v>7月30日现场数据</x:v>
      </x:c>
      <x:c r="B4423" s="39" t="str">
        <x:v>2026-08-04T09:35:00</x:v>
      </x:c>
      <x:c r="C4423" s="39" t="str">
        <x:v>2026-08-04T10:35:00</x:v>
      </x:c>
      <x:c r="D4423" s="47" t="n">
        <x:v>60</x:v>
      </x:c>
      <x:c r="E4423" s="40" t="n">
        <x:v>13</x:v>
      </x:c>
      <x:c r="F4423" s="40" t="n">
        <x:v>13.786117553710938</x:v>
      </x:c>
      <x:c r="G4423" s="40" t="n">
        <x:v>13.2</x:v>
      </x:c>
      <x:c r="H4423" s="40" t="n">
        <x:f>F4423-E4423</x:f>
        <x:v>0.7861175537109375</x:v>
      </x:c>
      <x:c r="I4423" s="40" t="n">
        <x:f>ABS(H4423)</x:f>
        <x:v>0.7861175537109375</x:v>
      </x:c>
      <x:c r="J4423" s="40" t="n">
        <x:f>H4423^2</x:f>
        <x:v>0.6179808082524687</x:v>
      </x:c>
      <x:c r="K4423" s="40" t="n">
        <x:f>G4423-E4423</x:f>
        <x:v>0.1999999999999993</x:v>
      </x:c>
      <x:c r="L4423" s="40" t="n">
        <x:f>ABS(K4423)</x:f>
        <x:v>0.1999999999999993</x:v>
      </x:c>
      <x:c r="M4423" s="41" t="str">
        <x:v>lstm-soil-v1</x:v>
      </x:c>
    </x:row>
    <x:row r="4424">
      <x:c r="A4424" s="38" t="str">
        <x:v>7月30日现场数据</x:v>
      </x:c>
      <x:c r="B4424" s="39" t="str">
        <x:v>2026-08-04T09:40:00</x:v>
      </x:c>
      <x:c r="C4424" s="39" t="str">
        <x:v>2026-08-04T09:45:00</x:v>
      </x:c>
      <x:c r="D4424" s="47" t="n">
        <x:v>5</x:v>
      </x:c>
      <x:c r="E4424" s="40" t="n">
        <x:v>13.2</x:v>
      </x:c>
      <x:c r="F4424" s="40" t="n">
        <x:v>11.30422592163086</x:v>
      </x:c>
      <x:c r="G4424" s="40" t="n">
        <x:v>13.2</x:v>
      </x:c>
      <x:c r="H4424" s="40" t="n">
        <x:f>F4424-E4424</x:f>
        <x:v>-1.89577407836914</x:v>
      </x:c>
      <x:c r="I4424" s="40" t="n">
        <x:f>ABS(H4424)</x:f>
        <x:v>1.89577407836914</x:v>
      </x:c>
      <x:c r="J4424" s="40" t="n">
        <x:f>H4424^2</x:f>
        <x:v>3.5939593562163616</x:v>
      </x:c>
      <x:c r="K4424" s="40" t="n">
        <x:f>G4424-E4424</x:f>
        <x:v>0</x:v>
      </x:c>
      <x:c r="L4424" s="40" t="n">
        <x:f>ABS(K4424)</x:f>
        <x:v>0</x:v>
      </x:c>
      <x:c r="M4424" s="41" t="str">
        <x:v>lstm-soil-v1</x:v>
      </x:c>
    </x:row>
    <x:row r="4425">
      <x:c r="A4425" s="38" t="str">
        <x:v>7月30日现场数据</x:v>
      </x:c>
      <x:c r="B4425" s="39" t="str">
        <x:v>2026-08-04T09:40:00</x:v>
      </x:c>
      <x:c r="C4425" s="39" t="str">
        <x:v>2026-08-04T09:55:00</x:v>
      </x:c>
      <x:c r="D4425" s="47" t="n">
        <x:v>15</x:v>
      </x:c>
      <x:c r="E4425" s="40" t="n">
        <x:v>13.1</x:v>
      </x:c>
      <x:c r="F4425" s="40" t="n">
        <x:v>11.319557189941406</x:v>
      </x:c>
      <x:c r="G4425" s="40" t="n">
        <x:v>13.2</x:v>
      </x:c>
      <x:c r="H4425" s="40" t="n">
        <x:f>F4425-E4425</x:f>
        <x:v>-1.7804428100585934</x:v>
      </x:c>
      <x:c r="I4425" s="40" t="n">
        <x:f>ABS(H4425)</x:f>
        <x:v>1.7804428100585934</x:v>
      </x:c>
      <x:c r="J4425" s="40" t="n">
        <x:f>H4425^2</x:f>
        <x:v>3.1699765998893406</x:v>
      </x:c>
      <x:c r="K4425" s="40" t="n">
        <x:f>G4425-E4425</x:f>
        <x:v>0.09999999999999964</x:v>
      </x:c>
      <x:c r="L4425" s="40" t="n">
        <x:f>ABS(K4425)</x:f>
        <x:v>0.09999999999999964</x:v>
      </x:c>
      <x:c r="M4425" s="41" t="str">
        <x:v>lstm-soil-v1</x:v>
      </x:c>
    </x:row>
    <x:row r="4426">
      <x:c r="A4426" s="38" t="str">
        <x:v>7月30日现场数据</x:v>
      </x:c>
      <x:c r="B4426" s="39" t="str">
        <x:v>2026-08-04T09:40:00</x:v>
      </x:c>
      <x:c r="C4426" s="39" t="str">
        <x:v>2026-08-04T10:10:00</x:v>
      </x:c>
      <x:c r="D4426" s="47" t="n">
        <x:v>30</x:v>
      </x:c>
      <x:c r="E4426" s="40" t="n">
        <x:v>13.1</x:v>
      </x:c>
      <x:c r="F4426" s="40" t="n">
        <x:v>12.022098541259766</x:v>
      </x:c>
      <x:c r="G4426" s="40" t="n">
        <x:v>13.2</x:v>
      </x:c>
      <x:c r="H4426" s="40" t="n">
        <x:f>F4426-E4426</x:f>
        <x:v>-1.077901458740234</x:v>
      </x:c>
      <x:c r="I4426" s="40" t="n">
        <x:f>ABS(H4426)</x:f>
        <x:v>1.077901458740234</x:v>
      </x:c>
      <x:c r="J4426" s="40" t="n">
        <x:f>H4426^2</x:f>
        <x:v>1.1618715547543244</x:v>
      </x:c>
      <x:c r="K4426" s="40" t="n">
        <x:f>G4426-E4426</x:f>
        <x:v>0.09999999999999964</x:v>
      </x:c>
      <x:c r="L4426" s="40" t="n">
        <x:f>ABS(K4426)</x:f>
        <x:v>0.09999999999999964</x:v>
      </x:c>
      <x:c r="M4426" s="41" t="str">
        <x:v>lstm-soil-v1</x:v>
      </x:c>
    </x:row>
    <x:row r="4427">
      <x:c r="A4427" s="38" t="str">
        <x:v>7月30日现场数据</x:v>
      </x:c>
      <x:c r="B4427" s="39" t="str">
        <x:v>2026-08-04T09:40:00</x:v>
      </x:c>
      <x:c r="C4427" s="39" t="str">
        <x:v>2026-08-04T10:40:00</x:v>
      </x:c>
      <x:c r="D4427" s="47" t="n">
        <x:v>60</x:v>
      </x:c>
      <x:c r="E4427" s="40" t="n">
        <x:v>12.9</x:v>
      </x:c>
      <x:c r="F4427" s="40" t="n">
        <x:v>13.791423797607422</x:v>
      </x:c>
      <x:c r="G4427" s="40" t="n">
        <x:v>13.2</x:v>
      </x:c>
      <x:c r="H4427" s="40" t="n">
        <x:f>F4427-E4427</x:f>
        <x:v>0.8914237976074215</x:v>
      </x:c>
      <x:c r="I4427" s="40" t="n">
        <x:f>ABS(H4427)</x:f>
        <x:v>0.8914237976074215</x:v>
      </x:c>
      <x:c r="J4427" s="40" t="n">
        <x:f>H4427^2</x:f>
        <x:v>0.7946363869408372</x:v>
      </x:c>
      <x:c r="K4427" s="40" t="n">
        <x:f>G4427-E4427</x:f>
        <x:v>0.29999999999999893</x:v>
      </x:c>
      <x:c r="L4427" s="40" t="n">
        <x:f>ABS(K4427)</x:f>
        <x:v>0.29999999999999893</x:v>
      </x:c>
      <x:c r="M4427" s="41" t="str">
        <x:v>lstm-soil-v1</x:v>
      </x:c>
    </x:row>
    <x:row r="4428">
      <x:c r="A4428" s="38" t="str">
        <x:v>7月30日现场数据</x:v>
      </x:c>
      <x:c r="B4428" s="39" t="str">
        <x:v>2026-08-04T09:45:00</x:v>
      </x:c>
      <x:c r="C4428" s="39" t="str">
        <x:v>2026-08-04T09:50:00</x:v>
      </x:c>
      <x:c r="D4428" s="47" t="n">
        <x:v>5</x:v>
      </x:c>
      <x:c r="E4428" s="40" t="n">
        <x:v>13.1</x:v>
      </x:c>
      <x:c r="F4428" s="40" t="n">
        <x:v>11.30428695678711</x:v>
      </x:c>
      <x:c r="G4428" s="40" t="n">
        <x:v>13.2</x:v>
      </x:c>
      <x:c r="H4428" s="40" t="n">
        <x:f>F4428-E4428</x:f>
        <x:v>-1.7957130432128903</x:v>
      </x:c>
      <x:c r="I4428" s="40" t="n">
        <x:f>ABS(H4428)</x:f>
        <x:v>1.7957130432128903</x:v>
      </x:c>
      <x:c r="J4428" s="40" t="n">
        <x:f>H4428^2</x:f>
        <x:v>3.2245853335648995</x:v>
      </x:c>
      <x:c r="K4428" s="40" t="n">
        <x:f>G4428-E4428</x:f>
        <x:v>0.09999999999999964</x:v>
      </x:c>
      <x:c r="L4428" s="40" t="n">
        <x:f>ABS(K4428)</x:f>
        <x:v>0.09999999999999964</x:v>
      </x:c>
      <x:c r="M4428" s="41" t="str">
        <x:v>lstm-soil-v1</x:v>
      </x:c>
    </x:row>
    <x:row r="4429">
      <x:c r="A4429" s="38" t="str">
        <x:v>7月30日现场数据</x:v>
      </x:c>
      <x:c r="B4429" s="39" t="str">
        <x:v>2026-08-04T09:45:00</x:v>
      </x:c>
      <x:c r="C4429" s="39" t="str">
        <x:v>2026-08-04T10:00:00</x:v>
      </x:c>
      <x:c r="D4429" s="47" t="n">
        <x:v>15</x:v>
      </x:c>
      <x:c r="E4429" s="40" t="n">
        <x:v>13.1</x:v>
      </x:c>
      <x:c r="F4429" s="40" t="n">
        <x:v>11.319599151611328</x:v>
      </x:c>
      <x:c r="G4429" s="40" t="n">
        <x:v>13.2</x:v>
      </x:c>
      <x:c r="H4429" s="40" t="n">
        <x:f>F4429-E4429</x:f>
        <x:v>-1.7804008483886715</x:v>
      </x:c>
      <x:c r="I4429" s="40" t="n">
        <x:f>ABS(H4429)</x:f>
        <x:v>1.7804008483886715</x:v>
      </x:c>
      <x:c r="J4429" s="40" t="n">
        <x:f>H4429^2</x:f>
        <x:v>3.169827180943101</x:v>
      </x:c>
      <x:c r="K4429" s="40" t="n">
        <x:f>G4429-E4429</x:f>
        <x:v>0.09999999999999964</x:v>
      </x:c>
      <x:c r="L4429" s="40" t="n">
        <x:f>ABS(K4429)</x:f>
        <x:v>0.09999999999999964</x:v>
      </x:c>
      <x:c r="M4429" s="41" t="str">
        <x:v>lstm-soil-v1</x:v>
      </x:c>
    </x:row>
    <x:row r="4430">
      <x:c r="A4430" s="38" t="str">
        <x:v>7月30日现场数据</x:v>
      </x:c>
      <x:c r="B4430" s="39" t="str">
        <x:v>2026-08-04T09:45:00</x:v>
      </x:c>
      <x:c r="C4430" s="39" t="str">
        <x:v>2026-08-04T10:15:00</x:v>
      </x:c>
      <x:c r="D4430" s="47" t="n">
        <x:v>30</x:v>
      </x:c>
      <x:c r="E4430" s="40" t="n">
        <x:v>13.1</x:v>
      </x:c>
      <x:c r="F4430" s="40" t="n">
        <x:v>12.026248931884766</x:v>
      </x:c>
      <x:c r="G4430" s="40" t="n">
        <x:v>13.2</x:v>
      </x:c>
      <x:c r="H4430" s="40" t="n">
        <x:f>F4430-E4430</x:f>
        <x:v>-1.073751068115234</x:v>
      </x:c>
      <x:c r="I4430" s="40" t="n">
        <x:f>ABS(H4430)</x:f>
        <x:v>1.073751068115234</x:v>
      </x:c>
      <x:c r="J4430" s="40" t="n">
        <x:f>H4430^2</x:f>
        <x:v>1.152941356278606</x:v>
      </x:c>
      <x:c r="K4430" s="40" t="n">
        <x:f>G4430-E4430</x:f>
        <x:v>0.09999999999999964</x:v>
      </x:c>
      <x:c r="L4430" s="40" t="n">
        <x:f>ABS(K4430)</x:f>
        <x:v>0.09999999999999964</x:v>
      </x:c>
      <x:c r="M4430" s="41" t="str">
        <x:v>lstm-soil-v1</x:v>
      </x:c>
    </x:row>
    <x:row r="4431">
      <x:c r="A4431" s="38" t="str">
        <x:v>7月30日现场数据</x:v>
      </x:c>
      <x:c r="B4431" s="39" t="str">
        <x:v>2026-08-04T09:45:00</x:v>
      </x:c>
      <x:c r="C4431" s="39" t="str">
        <x:v>2026-08-04T10:45:00</x:v>
      </x:c>
      <x:c r="D4431" s="47" t="n">
        <x:v>60</x:v>
      </x:c>
      <x:c r="E4431" s="40" t="n">
        <x:v>12.9</x:v>
      </x:c>
      <x:c r="F4431" s="40" t="n">
        <x:v>13.795173645019531</x:v>
      </x:c>
      <x:c r="G4431" s="40" t="n">
        <x:v>13.2</x:v>
      </x:c>
      <x:c r="H4431" s="40" t="n">
        <x:f>F4431-E4431</x:f>
        <x:v>0.8951736450195309</x:v>
      </x:c>
      <x:c r="I4431" s="40" t="n">
        <x:f>ABS(H4431)</x:f>
        <x:v>0.8951736450195309</x:v>
      </x:c>
      <x:c r="J4431" s="40" t="n">
        <x:f>H4431^2</x:f>
        <x:v>0.8013358547375531</x:v>
      </x:c>
      <x:c r="K4431" s="40" t="n">
        <x:f>G4431-E4431</x:f>
        <x:v>0.29999999999999893</x:v>
      </x:c>
      <x:c r="L4431" s="40" t="n">
        <x:f>ABS(K4431)</x:f>
        <x:v>0.29999999999999893</x:v>
      </x:c>
      <x:c r="M4431" s="41" t="str">
        <x:v>lstm-soil-v1</x:v>
      </x:c>
    </x:row>
    <x:row r="4432">
      <x:c r="A4432" s="38" t="str">
        <x:v>7月30日现场数据</x:v>
      </x:c>
      <x:c r="B4432" s="39" t="str">
        <x:v>2026-08-04T09:50:00</x:v>
      </x:c>
      <x:c r="C4432" s="39" t="str">
        <x:v>2026-08-04T09:55:00</x:v>
      </x:c>
      <x:c r="D4432" s="47" t="n">
        <x:v>5</x:v>
      </x:c>
      <x:c r="E4432" s="40" t="n">
        <x:v>13.1</x:v>
      </x:c>
      <x:c r="F4432" s="40" t="n">
        <x:v>11.192981719970703</x:v>
      </x:c>
      <x:c r="G4432" s="40" t="n">
        <x:v>13.1</x:v>
      </x:c>
      <x:c r="H4432" s="40" t="n">
        <x:f>F4432-E4432</x:f>
        <x:v>-1.9070182800292965</x:v>
      </x:c>
      <x:c r="I4432" s="40" t="n">
        <x:f>ABS(H4432)</x:f>
        <x:v>1.9070182800292965</x:v>
      </x:c>
      <x:c r="J4432" s="40" t="n">
        <x:f>H4432^2</x:f>
        <x:v>3.6367187203658964</x:v>
      </x:c>
      <x:c r="K4432" s="40" t="n">
        <x:f>G4432-E4432</x:f>
        <x:v>0</x:v>
      </x:c>
      <x:c r="L4432" s="40" t="n">
        <x:f>ABS(K4432)</x:f>
        <x:v>0</x:v>
      </x:c>
      <x:c r="M4432" s="41" t="str">
        <x:v>lstm-soil-v1</x:v>
      </x:c>
    </x:row>
    <x:row r="4433">
      <x:c r="A4433" s="38" t="str">
        <x:v>7月30日现场数据</x:v>
      </x:c>
      <x:c r="B4433" s="39" t="str">
        <x:v>2026-08-04T09:50:00</x:v>
      </x:c>
      <x:c r="C4433" s="39" t="str">
        <x:v>2026-08-04T10:05:00</x:v>
      </x:c>
      <x:c r="D4433" s="47" t="n">
        <x:v>15</x:v>
      </x:c>
      <x:c r="E4433" s="40" t="n">
        <x:v>13</x:v>
      </x:c>
      <x:c r="F4433" s="40" t="n">
        <x:v>11.20901870727539</x:v>
      </x:c>
      <x:c r="G4433" s="40" t="n">
        <x:v>13.1</x:v>
      </x:c>
      <x:c r="H4433" s="40" t="n">
        <x:f>F4433-E4433</x:f>
        <x:v>-1.7909812927246094</x:v>
      </x:c>
      <x:c r="I4433" s="40" t="n">
        <x:f>ABS(H4433)</x:f>
        <x:v>1.7909812927246094</x:v>
      </x:c>
      <x:c r="J4433" s="40" t="n">
        <x:f>H4433^2</x:f>
        <x:v>3.207613990889513</x:v>
      </x:c>
      <x:c r="K4433" s="40" t="n">
        <x:f>G4433-E4433</x:f>
        <x:v>0.09999999999999964</x:v>
      </x:c>
      <x:c r="L4433" s="40" t="n">
        <x:f>ABS(K4433)</x:f>
        <x:v>0.09999999999999964</x:v>
      </x:c>
      <x:c r="M4433" s="41" t="str">
        <x:v>lstm-soil-v1</x:v>
      </x:c>
    </x:row>
    <x:row r="4434">
      <x:c r="A4434" s="38" t="str">
        <x:v>7月30日现场数据</x:v>
      </x:c>
      <x:c r="B4434" s="39" t="str">
        <x:v>2026-08-04T09:50:00</x:v>
      </x:c>
      <x:c r="C4434" s="39" t="str">
        <x:v>2026-08-04T10:20:00</x:v>
      </x:c>
      <x:c r="D4434" s="47" t="n">
        <x:v>30</x:v>
      </x:c>
      <x:c r="E4434" s="40" t="n">
        <x:v>13.1</x:v>
      </x:c>
      <x:c r="F4434" s="40" t="n">
        <x:v>11.919601440429688</x:v>
      </x:c>
      <x:c r="G4434" s="40" t="n">
        <x:v>13.1</x:v>
      </x:c>
      <x:c r="H4434" s="40" t="n">
        <x:f>F4434-E4434</x:f>
        <x:v>-1.1803985595703121</x:v>
      </x:c>
      <x:c r="I4434" s="40" t="n">
        <x:f>ABS(H4434)</x:f>
        <x:v>1.1803985595703121</x:v>
      </x:c>
      <x:c r="J4434" s="40" t="n">
        <x:f>H4434^2</x:f>
        <x:v>1.3933407594356677</x:v>
      </x:c>
      <x:c r="K4434" s="40" t="n">
        <x:f>G4434-E4434</x:f>
        <x:v>0</x:v>
      </x:c>
      <x:c r="L4434" s="40" t="n">
        <x:f>ABS(K4434)</x:f>
        <x:v>0</x:v>
      </x:c>
      <x:c r="M4434" s="41" t="str">
        <x:v>lstm-soil-v1</x:v>
      </x:c>
    </x:row>
    <x:row r="4435">
      <x:c r="A4435" s="38" t="str">
        <x:v>7月30日现场数据</x:v>
      </x:c>
      <x:c r="B4435" s="39" t="str">
        <x:v>2026-08-04T09:50:00</x:v>
      </x:c>
      <x:c r="C4435" s="39" t="str">
        <x:v>2026-08-04T10:50:00</x:v>
      </x:c>
      <x:c r="D4435" s="47" t="n">
        <x:v>60</x:v>
      </x:c>
      <x:c r="E4435" s="40" t="n">
        <x:v>12.8</x:v>
      </x:c>
      <x:c r="F4435" s="40" t="n">
        <x:v>13.68954086303711</x:v>
      </x:c>
      <x:c r="G4435" s="40" t="n">
        <x:v>13.1</x:v>
      </x:c>
      <x:c r="H4435" s="40" t="n">
        <x:f>F4435-E4435</x:f>
        <x:v>0.8895408630371087</x:v>
      </x:c>
      <x:c r="I4435" s="40" t="n">
        <x:f>ABS(H4435)</x:f>
        <x:v>0.8895408630371087</x:v>
      </x:c>
      <x:c r="J4435" s="40" t="n">
        <x:f>H4435^2</x:f>
        <x:v>0.7912829470128041</x:v>
      </x:c>
      <x:c r="K4435" s="40" t="n">
        <x:f>G4435-E4435</x:f>
        <x:v>0.29999999999999893</x:v>
      </x:c>
      <x:c r="L4435" s="40" t="n">
        <x:f>ABS(K4435)</x:f>
        <x:v>0.29999999999999893</x:v>
      </x:c>
      <x:c r="M4435" s="41" t="str">
        <x:v>lstm-soil-v1</x:v>
      </x:c>
    </x:row>
    <x:row r="4436">
      <x:c r="A4436" s="38" t="str">
        <x:v>7月30日现场数据</x:v>
      </x:c>
      <x:c r="B4436" s="39" t="str">
        <x:v>2026-08-04T09:55:00</x:v>
      </x:c>
      <x:c r="C4436" s="39" t="str">
        <x:v>2026-08-04T10:00:00</x:v>
      </x:c>
      <x:c r="D4436" s="47" t="n">
        <x:v>5</x:v>
      </x:c>
      <x:c r="E4436" s="40" t="n">
        <x:v>13.1</x:v>
      </x:c>
      <x:c r="F4436" s="40" t="n">
        <x:v>11.189655303955078</x:v>
      </x:c>
      <x:c r="G4436" s="40" t="n">
        <x:v>13.1</x:v>
      </x:c>
      <x:c r="H4436" s="40" t="n">
        <x:f>F4436-E4436</x:f>
        <x:v>-1.9103446960449215</x:v>
      </x:c>
      <x:c r="I4436" s="40" t="n">
        <x:f>ABS(H4436)</x:f>
        <x:v>1.9103446960449215</x:v>
      </x:c>
      <x:c r="J4436" s="40" t="n">
        <x:f>H4436^2</x:f>
        <x:v>3.6494168577069637</x:v>
      </x:c>
      <x:c r="K4436" s="40" t="n">
        <x:f>G4436-E4436</x:f>
        <x:v>0</x:v>
      </x:c>
      <x:c r="L4436" s="40" t="n">
        <x:f>ABS(K4436)</x:f>
        <x:v>0</x:v>
      </x:c>
      <x:c r="M4436" s="41" t="str">
        <x:v>lstm-soil-v1</x:v>
      </x:c>
    </x:row>
    <x:row r="4437">
      <x:c r="A4437" s="38" t="str">
        <x:v>7月30日现场数据</x:v>
      </x:c>
      <x:c r="B4437" s="39" t="str">
        <x:v>2026-08-04T09:55:00</x:v>
      </x:c>
      <x:c r="C4437" s="39" t="str">
        <x:v>2026-08-04T10:10:00</x:v>
      </x:c>
      <x:c r="D4437" s="47" t="n">
        <x:v>15</x:v>
      </x:c>
      <x:c r="E4437" s="40" t="n">
        <x:v>13.1</x:v>
      </x:c>
      <x:c r="F4437" s="40" t="n">
        <x:v>11.210334777832031</x:v>
      </x:c>
      <x:c r="G4437" s="40" t="n">
        <x:v>13.1</x:v>
      </x:c>
      <x:c r="H4437" s="40" t="n">
        <x:f>F4437-E4437</x:f>
        <x:v>-1.8896652221679684</x:v>
      </x:c>
      <x:c r="I4437" s="40" t="n">
        <x:f>ABS(H4437)</x:f>
        <x:v>1.8896652221679684</x:v>
      </x:c>
      <x:c r="J4437" s="40" t="n">
        <x:f>H4437^2</x:f>
        <x:v>3.570834651871117</x:v>
      </x:c>
      <x:c r="K4437" s="40" t="n">
        <x:f>G4437-E4437</x:f>
        <x:v>0</x:v>
      </x:c>
      <x:c r="L4437" s="40" t="n">
        <x:f>ABS(K4437)</x:f>
        <x:v>0</x:v>
      </x:c>
      <x:c r="M4437" s="41" t="str">
        <x:v>lstm-soil-v1</x:v>
      </x:c>
    </x:row>
    <x:row r="4438">
      <x:c r="A4438" s="38" t="str">
        <x:v>7月30日现场数据</x:v>
      </x:c>
      <x:c r="B4438" s="39" t="str">
        <x:v>2026-08-04T09:55:00</x:v>
      </x:c>
      <x:c r="C4438" s="39" t="str">
        <x:v>2026-08-04T10:25:00</x:v>
      </x:c>
      <x:c r="D4438" s="47" t="n">
        <x:v>30</x:v>
      </x:c>
      <x:c r="E4438" s="40" t="n">
        <x:v>13</x:v>
      </x:c>
      <x:c r="F4438" s="40" t="n">
        <x:v>11.923385620117188</x:v>
      </x:c>
      <x:c r="G4438" s="40" t="n">
        <x:v>13.1</x:v>
      </x:c>
      <x:c r="H4438" s="40" t="n">
        <x:f>F4438-E4438</x:f>
        <x:v>-1.0766143798828125</x:v>
      </x:c>
      <x:c r="I4438" s="40" t="n">
        <x:f>ABS(H4438)</x:f>
        <x:v>1.0766143798828125</x:v>
      </x:c>
      <x:c r="J4438" s="40" t="n">
        <x:f>H4438^2</x:f>
        <x:v>1.159098522970453</x:v>
      </x:c>
      <x:c r="K4438" s="40" t="n">
        <x:f>G4438-E4438</x:f>
        <x:v>0.09999999999999964</x:v>
      </x:c>
      <x:c r="L4438" s="40" t="n">
        <x:f>ABS(K4438)</x:f>
        <x:v>0.09999999999999964</x:v>
      </x:c>
      <x:c r="M4438" s="41" t="str">
        <x:v>lstm-soil-v1</x:v>
      </x:c>
    </x:row>
    <x:row r="4439">
      <x:c r="A4439" s="38" t="str">
        <x:v>7月30日现场数据</x:v>
      </x:c>
      <x:c r="B4439" s="39" t="str">
        <x:v>2026-08-04T09:55:00</x:v>
      </x:c>
      <x:c r="C4439" s="39" t="str">
        <x:v>2026-08-04T10:55:00</x:v>
      </x:c>
      <x:c r="D4439" s="47" t="n">
        <x:v>60</x:v>
      </x:c>
      <x:c r="E4439" s="40" t="n">
        <x:v>12.8</x:v>
      </x:c>
      <x:c r="F4439" s="40" t="n">
        <x:v>13.691581726074219</x:v>
      </x:c>
      <x:c r="G4439" s="40" t="n">
        <x:v>13.1</x:v>
      </x:c>
      <x:c r="H4439" s="40" t="n">
        <x:f>F4439-E4439</x:f>
        <x:v>0.891581726074218</x:v>
      </x:c>
      <x:c r="I4439" s="40" t="n">
        <x:f>ABS(H4439)</x:f>
        <x:v>0.891581726074218</x:v>
      </x:c>
      <x:c r="J4439" s="40" t="n">
        <x:f>H4439^2</x:f>
        <x:v>0.794917974269482</x:v>
      </x:c>
      <x:c r="K4439" s="40" t="n">
        <x:f>G4439-E4439</x:f>
        <x:v>0.29999999999999893</x:v>
      </x:c>
      <x:c r="L4439" s="40" t="n">
        <x:f>ABS(K4439)</x:f>
        <x:v>0.29999999999999893</x:v>
      </x:c>
      <x:c r="M4439" s="41" t="str">
        <x:v>lstm-soil-v1</x:v>
      </x:c>
    </x:row>
    <x:row r="4440">
      <x:c r="A4440" s="38" t="str">
        <x:v>7月30日现场数据</x:v>
      </x:c>
      <x:c r="B4440" s="39" t="str">
        <x:v>2026-08-04T10:00:00</x:v>
      </x:c>
      <x:c r="C4440" s="39" t="str">
        <x:v>2026-08-04T10:05:00</x:v>
      </x:c>
      <x:c r="D4440" s="47" t="n">
        <x:v>5</x:v>
      </x:c>
      <x:c r="E4440" s="40" t="n">
        <x:v>13</x:v>
      </x:c>
      <x:c r="F4440" s="40" t="n">
        <x:v>11.19195556640625</x:v>
      </x:c>
      <x:c r="G4440" s="40" t="n">
        <x:v>13.1</x:v>
      </x:c>
      <x:c r="H4440" s="40" t="n">
        <x:f>F4440-E4440</x:f>
        <x:v>-1.80804443359375</x:v>
      </x:c>
      <x:c r="I4440" s="40" t="n">
        <x:f>ABS(H4440)</x:f>
        <x:v>1.80804443359375</x:v>
      </x:c>
      <x:c r="J4440" s="40" t="n">
        <x:f>H4440^2</x:f>
        <x:v>3.2690246738493443</x:v>
      </x:c>
      <x:c r="K4440" s="40" t="n">
        <x:f>G4440-E4440</x:f>
        <x:v>0.09999999999999964</x:v>
      </x:c>
      <x:c r="L4440" s="40" t="n">
        <x:f>ABS(K4440)</x:f>
        <x:v>0.09999999999999964</x:v>
      </x:c>
      <x:c r="M4440" s="41" t="str">
        <x:v>lstm-soil-v1</x:v>
      </x:c>
    </x:row>
    <x:row r="4441">
      <x:c r="A4441" s="38" t="str">
        <x:v>7月30日现场数据</x:v>
      </x:c>
      <x:c r="B4441" s="39" t="str">
        <x:v>2026-08-04T10:00:00</x:v>
      </x:c>
      <x:c r="C4441" s="39" t="str">
        <x:v>2026-08-04T10:15:00</x:v>
      </x:c>
      <x:c r="D4441" s="47" t="n">
        <x:v>15</x:v>
      </x:c>
      <x:c r="E4441" s="40" t="n">
        <x:v>13.1</x:v>
      </x:c>
      <x:c r="F4441" s="40" t="n">
        <x:v>11.236766815185547</x:v>
      </x:c>
      <x:c r="G4441" s="40" t="n">
        <x:v>13.1</x:v>
      </x:c>
      <x:c r="H4441" s="40" t="n">
        <x:f>F4441-E4441</x:f>
        <x:v>-1.8632331848144528</x:v>
      </x:c>
      <x:c r="I4441" s="40" t="n">
        <x:f>ABS(H4441)</x:f>
        <x:v>1.8632331848144528</x:v>
      </x:c>
      <x:c r="J4441" s="40" t="n">
        <x:f>H4441^2</x:f>
        <x:v>3.4716379009938088</x:v>
      </x:c>
      <x:c r="K4441" s="40" t="n">
        <x:f>G4441-E4441</x:f>
        <x:v>0</x:v>
      </x:c>
      <x:c r="L4441" s="40" t="n">
        <x:f>ABS(K4441)</x:f>
        <x:v>0</x:v>
      </x:c>
      <x:c r="M4441" s="41" t="str">
        <x:v>lstm-soil-v1</x:v>
      </x:c>
    </x:row>
    <x:row r="4442">
      <x:c r="A4442" s="38" t="str">
        <x:v>7月30日现场数据</x:v>
      </x:c>
      <x:c r="B4442" s="39" t="str">
        <x:v>2026-08-04T10:00:00</x:v>
      </x:c>
      <x:c r="C4442" s="39" t="str">
        <x:v>2026-08-04T10:30:00</x:v>
      </x:c>
      <x:c r="D4442" s="47" t="n">
        <x:v>30</x:v>
      </x:c>
      <x:c r="E4442" s="40" t="n">
        <x:v>13</x:v>
      </x:c>
      <x:c r="F4442" s="40" t="n">
        <x:v>11.893600463867188</x:v>
      </x:c>
      <x:c r="G4442" s="40" t="n">
        <x:v>13.1</x:v>
      </x:c>
      <x:c r="H4442" s="40" t="n">
        <x:f>F4442-E4442</x:f>
        <x:v>-1.1063995361328125</x:v>
      </x:c>
      <x:c r="I4442" s="40" t="n">
        <x:f>ABS(H4442)</x:f>
        <x:v>1.1063995361328125</x:v>
      </x:c>
      <x:c r="J4442" s="40" t="n">
        <x:f>H4442^2</x:f>
        <x:v>1.2241199335549027</x:v>
      </x:c>
      <x:c r="K4442" s="40" t="n">
        <x:f>G4442-E4442</x:f>
        <x:v>0.09999999999999964</x:v>
      </x:c>
      <x:c r="L4442" s="40" t="n">
        <x:f>ABS(K4442)</x:f>
        <x:v>0.09999999999999964</x:v>
      </x:c>
      <x:c r="M4442" s="41" t="str">
        <x:v>lstm-soil-v1</x:v>
      </x:c>
    </x:row>
    <x:row r="4443">
      <x:c r="A4443" s="38" t="str">
        <x:v>7月30日现场数据</x:v>
      </x:c>
      <x:c r="B4443" s="39" t="str">
        <x:v>2026-08-04T10:00:00</x:v>
      </x:c>
      <x:c r="C4443" s="39" t="str">
        <x:v>2026-08-04T11:00:00</x:v>
      </x:c>
      <x:c r="D4443" s="47" t="n">
        <x:v>60</x:v>
      </x:c>
      <x:c r="E4443" s="40" t="n">
        <x:v>12.7</x:v>
      </x:c>
      <x:c r="F4443" s="40" t="n">
        <x:v>13.638507843017578</x:v>
      </x:c>
      <x:c r="G4443" s="40" t="n">
        <x:v>13.1</x:v>
      </x:c>
      <x:c r="H4443" s="40" t="n">
        <x:f>F4443-E4443</x:f>
        <x:v>0.9385078430175788</x:v>
      </x:c>
      <x:c r="I4443" s="40" t="n">
        <x:f>ABS(H4443)</x:f>
        <x:v>0.9385078430175788</x:v>
      </x:c>
      <x:c r="J4443" s="40" t="n">
        <x:f>H4443^2</x:f>
        <x:v>0.8807969714055084</x:v>
      </x:c>
      <x:c r="K4443" s="40" t="n">
        <x:f>G4443-E4443</x:f>
        <x:v>0.40000000000000036</x:v>
      </x:c>
      <x:c r="L4443" s="40" t="n">
        <x:f>ABS(K4443)</x:f>
        <x:v>0.40000000000000036</x:v>
      </x:c>
      <x:c r="M4443" s="41" t="str">
        <x:v>lstm-soil-v1</x:v>
      </x:c>
    </x:row>
    <x:row r="4444">
      <x:c r="A4444" s="38" t="str">
        <x:v>7月30日现场数据</x:v>
      </x:c>
      <x:c r="B4444" s="39" t="str">
        <x:v>2026-08-04T10:05:00</x:v>
      </x:c>
      <x:c r="C4444" s="39" t="str">
        <x:v>2026-08-04T10:10:00</x:v>
      </x:c>
      <x:c r="D4444" s="47" t="n">
        <x:v>5</x:v>
      </x:c>
      <x:c r="E4444" s="40" t="n">
        <x:v>13.1</x:v>
      </x:c>
      <x:c r="F4444" s="40" t="n">
        <x:v>11.067283630371094</x:v>
      </x:c>
      <x:c r="G4444" s="40" t="n">
        <x:v>13</x:v>
      </x:c>
      <x:c r="H4444" s="40" t="n">
        <x:f>F4444-E4444</x:f>
        <x:v>-2.032716369628906</x:v>
      </x:c>
      <x:c r="I4444" s="40" t="n">
        <x:f>ABS(H4444)</x:f>
        <x:v>2.032716369628906</x:v>
      </x:c>
      <x:c r="J4444" s="40" t="n">
        <x:f>H4444^2</x:f>
        <x:v>4.131935839357319</x:v>
      </x:c>
      <x:c r="K4444" s="40" t="n">
        <x:f>G4444-E4444</x:f>
        <x:v>-0.09999999999999964</x:v>
      </x:c>
      <x:c r="L4444" s="40" t="n">
        <x:f>ABS(K4444)</x:f>
        <x:v>0.09999999999999964</x:v>
      </x:c>
      <x:c r="M4444" s="41" t="str">
        <x:v>lstm-soil-v1</x:v>
      </x:c>
    </x:row>
    <x:row r="4445">
      <x:c r="A4445" s="38" t="str">
        <x:v>7月30日现场数据</x:v>
      </x:c>
      <x:c r="B4445" s="39" t="str">
        <x:v>2026-08-04T10:05:00</x:v>
      </x:c>
      <x:c r="C4445" s="39" t="str">
        <x:v>2026-08-04T10:20:00</x:v>
      </x:c>
      <x:c r="D4445" s="47" t="n">
        <x:v>15</x:v>
      </x:c>
      <x:c r="E4445" s="40" t="n">
        <x:v>13.1</x:v>
      </x:c>
      <x:c r="F4445" s="40" t="n">
        <x:v>11.134223937988281</x:v>
      </x:c>
      <x:c r="G4445" s="40" t="n">
        <x:v>13</x:v>
      </x:c>
      <x:c r="H4445" s="40" t="n">
        <x:f>F4445-E4445</x:f>
        <x:v>-1.9657760620117184</x:v>
      </x:c>
      <x:c r="I4445" s="40" t="n">
        <x:f>ABS(H4445)</x:f>
        <x:v>1.9657760620117184</x:v>
      </x:c>
      <x:c r="J4445" s="40" t="n">
        <x:f>H4445^2</x:f>
        <x:v>3.8642755259782993</x:v>
      </x:c>
      <x:c r="K4445" s="40" t="n">
        <x:f>G4445-E4445</x:f>
        <x:v>-0.09999999999999964</x:v>
      </x:c>
      <x:c r="L4445" s="40" t="n">
        <x:f>ABS(K4445)</x:f>
        <x:v>0.09999999999999964</x:v>
      </x:c>
      <x:c r="M4445" s="41" t="str">
        <x:v>lstm-soil-v1</x:v>
      </x:c>
    </x:row>
    <x:row r="4446">
      <x:c r="A4446" s="38" t="str">
        <x:v>7月30日现场数据</x:v>
      </x:c>
      <x:c r="B4446" s="39" t="str">
        <x:v>2026-08-04T10:05:00</x:v>
      </x:c>
      <x:c r="C4446" s="39" t="str">
        <x:v>2026-08-04T10:35:00</x:v>
      </x:c>
      <x:c r="D4446" s="47" t="n">
        <x:v>30</x:v>
      </x:c>
      <x:c r="E4446" s="40" t="n">
        <x:v>13</x:v>
      </x:c>
      <x:c r="F4446" s="40" t="n">
        <x:v>11.732677459716797</x:v>
      </x:c>
      <x:c r="G4446" s="40" t="n">
        <x:v>13</x:v>
      </x:c>
      <x:c r="H4446" s="40" t="n">
        <x:f>F4446-E4446</x:f>
        <x:v>-1.2673225402832031</x:v>
      </x:c>
      <x:c r="I4446" s="40" t="n">
        <x:f>ABS(H4446)</x:f>
        <x:v>1.2673225402832031</x:v>
      </x:c>
      <x:c r="J4446" s="40" t="n">
        <x:f>H4446^2</x:f>
        <x:v>1.606106421109871</x:v>
      </x:c>
      <x:c r="K4446" s="40" t="n">
        <x:f>G4446-E4446</x:f>
        <x:v>0</x:v>
      </x:c>
      <x:c r="L4446" s="40" t="n">
        <x:f>ABS(K4446)</x:f>
        <x:v>0</x:v>
      </x:c>
      <x:c r="M4446" s="41" t="str">
        <x:v>lstm-soil-v1</x:v>
      </x:c>
    </x:row>
    <x:row r="4447">
      <x:c r="A4447" s="38" t="str">
        <x:v>7月30日现场数据</x:v>
      </x:c>
      <x:c r="B4447" s="39" t="str">
        <x:v>2026-08-04T10:05:00</x:v>
      </x:c>
      <x:c r="C4447" s="39" t="str">
        <x:v>2026-08-04T11:05:00</x:v>
      </x:c>
      <x:c r="D4447" s="47" t="n">
        <x:v>60</x:v>
      </x:c>
      <x:c r="E4447" s="40" t="n">
        <x:v>12.7</x:v>
      </x:c>
      <x:c r="F4447" s="40" t="n">
        <x:v>13.482162475585938</x:v>
      </x:c>
      <x:c r="G4447" s="40" t="n">
        <x:v>13</x:v>
      </x:c>
      <x:c r="H4447" s="40" t="n">
        <x:f>F4447-E4447</x:f>
        <x:v>0.7821624755859382</x:v>
      </x:c>
      <x:c r="I4447" s="40" t="n">
        <x:f>ABS(H4447)</x:f>
        <x:v>0.7821624755859382</x:v>
      </x:c>
      <x:c r="J4447" s="40" t="n">
        <x:f>H4447^2</x:f>
        <x:v>0.6117781382147234</x:v>
      </x:c>
      <x:c r="K4447" s="40" t="n">
        <x:f>G4447-E4447</x:f>
        <x:v>0.3000000000000007</x:v>
      </x:c>
      <x:c r="L4447" s="40" t="n">
        <x:f>ABS(K4447)</x:f>
        <x:v>0.3000000000000007</x:v>
      </x:c>
      <x:c r="M4447" s="41" t="str">
        <x:v>lstm-soil-v1</x:v>
      </x:c>
    </x:row>
    <x:row r="4448">
      <x:c r="A4448" s="38" t="str">
        <x:v>7月30日现场数据</x:v>
      </x:c>
      <x:c r="B4448" s="39" t="str">
        <x:v>2026-08-04T10:10:00</x:v>
      </x:c>
      <x:c r="C4448" s="39" t="str">
        <x:v>2026-08-04T10:15:00</x:v>
      </x:c>
      <x:c r="D4448" s="47" t="n">
        <x:v>5</x:v>
      </x:c>
      <x:c r="E4448" s="40" t="n">
        <x:v>13.1</x:v>
      </x:c>
      <x:c r="F4448" s="40" t="n">
        <x:v>11.163314819335938</x:v>
      </x:c>
      <x:c r="G4448" s="40" t="n">
        <x:v>13.1</x:v>
      </x:c>
      <x:c r="H4448" s="40" t="n">
        <x:f>F4448-E4448</x:f>
        <x:v>-1.9366851806640621</x:v>
      </x:c>
      <x:c r="I4448" s="40" t="n">
        <x:f>ABS(H4448)</x:f>
        <x:v>1.9366851806640621</x:v>
      </x:c>
      <x:c r="J4448" s="40" t="n">
        <x:f>H4448^2</x:f>
        <x:v>3.750749489003791</x:v>
      </x:c>
      <x:c r="K4448" s="40" t="n">
        <x:f>G4448-E4448</x:f>
        <x:v>0</x:v>
      </x:c>
      <x:c r="L4448" s="40" t="n">
        <x:f>ABS(K4448)</x:f>
        <x:v>0</x:v>
      </x:c>
      <x:c r="M4448" s="41" t="str">
        <x:v>lstm-soil-v1</x:v>
      </x:c>
    </x:row>
    <x:row r="4449">
      <x:c r="A4449" s="38" t="str">
        <x:v>7月30日现场数据</x:v>
      </x:c>
      <x:c r="B4449" s="39" t="str">
        <x:v>2026-08-04T10:10:00</x:v>
      </x:c>
      <x:c r="C4449" s="39" t="str">
        <x:v>2026-08-04T10:25:00</x:v>
      </x:c>
      <x:c r="D4449" s="47" t="n">
        <x:v>15</x:v>
      </x:c>
      <x:c r="E4449" s="40" t="n">
        <x:v>13</x:v>
      </x:c>
      <x:c r="F4449" s="40" t="n">
        <x:v>11.255561828613281</x:v>
      </x:c>
      <x:c r="G4449" s="40" t="n">
        <x:v>13.1</x:v>
      </x:c>
      <x:c r="H4449" s="40" t="n">
        <x:f>F4449-E4449</x:f>
        <x:v>-1.7444381713867188</x:v>
      </x:c>
      <x:c r="I4449" s="40" t="n">
        <x:f>ABS(H4449)</x:f>
        <x:v>1.7444381713867188</x:v>
      </x:c>
      <x:c r="J4449" s="40" t="n">
        <x:f>H4449^2</x:f>
        <x:v>3.043064533791039</x:v>
      </x:c>
      <x:c r="K4449" s="40" t="n">
        <x:f>G4449-E4449</x:f>
        <x:v>0.09999999999999964</x:v>
      </x:c>
      <x:c r="L4449" s="40" t="n">
        <x:f>ABS(K4449)</x:f>
        <x:v>0.09999999999999964</x:v>
      </x:c>
      <x:c r="M4449" s="41" t="str">
        <x:v>lstm-soil-v1</x:v>
      </x:c>
    </x:row>
    <x:row r="4450">
      <x:c r="A4450" s="38" t="str">
        <x:v>7月30日现场数据</x:v>
      </x:c>
      <x:c r="B4450" s="39" t="str">
        <x:v>2026-08-04T10:10:00</x:v>
      </x:c>
      <x:c r="C4450" s="39" t="str">
        <x:v>2026-08-04T10:40:00</x:v>
      </x:c>
      <x:c r="D4450" s="47" t="n">
        <x:v>30</x:v>
      </x:c>
      <x:c r="E4450" s="40" t="n">
        <x:v>12.9</x:v>
      </x:c>
      <x:c r="F4450" s="40" t="n">
        <x:v>11.800811767578125</x:v>
      </x:c>
      <x:c r="G4450" s="40" t="n">
        <x:v>13.1</x:v>
      </x:c>
      <x:c r="H4450" s="40" t="n">
        <x:f>F4450-E4450</x:f>
        <x:v>-1.0991882324218754</x:v>
      </x:c>
      <x:c r="I4450" s="40" t="n">
        <x:f>ABS(H4450)</x:f>
        <x:v>1.0991882324218754</x:v>
      </x:c>
      <x:c r="J4450" s="40" t="n">
        <x:f>H4450^2</x:f>
        <x:v>1.2082147702947266</x:v>
      </x:c>
      <x:c r="K4450" s="40" t="n">
        <x:f>G4450-E4450</x:f>
        <x:v>0.1999999999999993</x:v>
      </x:c>
      <x:c r="L4450" s="40" t="n">
        <x:f>ABS(K4450)</x:f>
        <x:v>0.1999999999999993</x:v>
      </x:c>
      <x:c r="M4450" s="41" t="str">
        <x:v>lstm-soil-v1</x:v>
      </x:c>
    </x:row>
    <x:row r="4451">
      <x:c r="A4451" s="38" t="str">
        <x:v>7月30日现场数据</x:v>
      </x:c>
      <x:c r="B4451" s="39" t="str">
        <x:v>2026-08-04T10:10:00</x:v>
      </x:c>
      <x:c r="C4451" s="39" t="str">
        <x:v>2026-08-04T11:10:00</x:v>
      </x:c>
      <x:c r="D4451" s="47" t="n">
        <x:v>60</x:v>
      </x:c>
      <x:c r="E4451" s="40" t="n">
        <x:v>12.7</x:v>
      </x:c>
      <x:c r="F4451" s="40" t="n">
        <x:v>13.539581298828125</x:v>
      </x:c>
      <x:c r="G4451" s="40" t="n">
        <x:v>13.1</x:v>
      </x:c>
      <x:c r="H4451" s="40" t="n">
        <x:f>F4451-E4451</x:f>
        <x:v>0.8395812988281257</x:v>
      </x:c>
      <x:c r="I4451" s="40" t="n">
        <x:f>ABS(H4451)</x:f>
        <x:v>0.8395812988281257</x:v>
      </x:c>
      <x:c r="J4451" s="40" t="n">
        <x:f>H4451^2</x:f>
        <x:v>0.7048967573419225</x:v>
      </x:c>
      <x:c r="K4451" s="40" t="n">
        <x:f>G4451-E4451</x:f>
        <x:v>0.40000000000000036</x:v>
      </x:c>
      <x:c r="L4451" s="40" t="n">
        <x:f>ABS(K4451)</x:f>
        <x:v>0.40000000000000036</x:v>
      </x:c>
      <x:c r="M4451" s="41" t="str">
        <x:v>lstm-soil-v1</x:v>
      </x:c>
    </x:row>
    <x:row r="4452">
      <x:c r="A4452" s="38" t="str">
        <x:v>7月30日现场数据</x:v>
      </x:c>
      <x:c r="B4452" s="39" t="str">
        <x:v>2026-08-04T10:15:00</x:v>
      </x:c>
      <x:c r="C4452" s="39" t="str">
        <x:v>2026-08-04T10:20:00</x:v>
      </x:c>
      <x:c r="D4452" s="47" t="n">
        <x:v>5</x:v>
      </x:c>
      <x:c r="E4452" s="40" t="n">
        <x:v>13.1</x:v>
      </x:c>
      <x:c r="F4452" s="40" t="n">
        <x:v>11.153362274169922</x:v>
      </x:c>
      <x:c r="G4452" s="40" t="n">
        <x:v>13.1</x:v>
      </x:c>
      <x:c r="H4452" s="40" t="n">
        <x:f>F4452-E4452</x:f>
        <x:v>-1.9466377258300778</x:v>
      </x:c>
      <x:c r="I4452" s="40" t="n">
        <x:f>ABS(H4452)</x:f>
        <x:v>1.9466377258300778</x:v>
      </x:c>
      <x:c r="J4452" s="40" t="n">
        <x:f>H4452^2</x:f>
        <x:v>3.789398435624897</x:v>
      </x:c>
      <x:c r="K4452" s="40" t="n">
        <x:f>G4452-E4452</x:f>
        <x:v>0</x:v>
      </x:c>
      <x:c r="L4452" s="40" t="n">
        <x:f>ABS(K4452)</x:f>
        <x:v>0</x:v>
      </x:c>
      <x:c r="M4452" s="41" t="str">
        <x:v>lstm-soil-v1</x:v>
      </x:c>
    </x:row>
    <x:row r="4453">
      <x:c r="A4453" s="38" t="str">
        <x:v>7月30日现场数据</x:v>
      </x:c>
      <x:c r="B4453" s="39" t="str">
        <x:v>2026-08-04T10:15:00</x:v>
      </x:c>
      <x:c r="C4453" s="39" t="str">
        <x:v>2026-08-04T10:30:00</x:v>
      </x:c>
      <x:c r="D4453" s="47" t="n">
        <x:v>15</x:v>
      </x:c>
      <x:c r="E4453" s="40" t="n">
        <x:v>13</x:v>
      </x:c>
      <x:c r="F4453" s="40" t="n">
        <x:v>11.255176544189453</x:v>
      </x:c>
      <x:c r="G4453" s="40" t="n">
        <x:v>13.1</x:v>
      </x:c>
      <x:c r="H4453" s="40" t="n">
        <x:f>F4453-E4453</x:f>
        <x:v>-1.7448234558105469</x:v>
      </x:c>
      <x:c r="I4453" s="40" t="n">
        <x:f>ABS(H4453)</x:f>
        <x:v>1.7448234558105469</x:v>
      </x:c>
      <x:c r="J4453" s="40" t="n">
        <x:f>H4453^2</x:f>
        <x:v>3.0444088919466594</x:v>
      </x:c>
      <x:c r="K4453" s="40" t="n">
        <x:f>G4453-E4453</x:f>
        <x:v>0.09999999999999964</x:v>
      </x:c>
      <x:c r="L4453" s="40" t="n">
        <x:f>ABS(K4453)</x:f>
        <x:v>0.09999999999999964</x:v>
      </x:c>
      <x:c r="M4453" s="41" t="str">
        <x:v>lstm-soil-v1</x:v>
      </x:c>
    </x:row>
    <x:row r="4454">
      <x:c r="A4454" s="38" t="str">
        <x:v>7月30日现场数据</x:v>
      </x:c>
      <x:c r="B4454" s="39" t="str">
        <x:v>2026-08-04T10:15:00</x:v>
      </x:c>
      <x:c r="C4454" s="39" t="str">
        <x:v>2026-08-04T10:45:00</x:v>
      </x:c>
      <x:c r="D4454" s="47" t="n">
        <x:v>30</x:v>
      </x:c>
      <x:c r="E4454" s="40" t="n">
        <x:v>12.9</x:v>
      </x:c>
      <x:c r="F4454" s="40" t="n">
        <x:v>11.768798828125</x:v>
      </x:c>
      <x:c r="G4454" s="40" t="n">
        <x:v>13.1</x:v>
      </x:c>
      <x:c r="H4454" s="40" t="n">
        <x:f>F4454-E4454</x:f>
        <x:v>-1.1312011718750004</x:v>
      </x:c>
      <x:c r="I4454" s="40" t="n">
        <x:f>ABS(H4454)</x:f>
        <x:v>1.1312011718750004</x:v>
      </x:c>
      <x:c r="J4454" s="40" t="n">
        <x:f>H4454^2</x:f>
        <x:v>1.279616091251374</x:v>
      </x:c>
      <x:c r="K4454" s="40" t="n">
        <x:f>G4454-E4454</x:f>
        <x:v>0.1999999999999993</x:v>
      </x:c>
      <x:c r="L4454" s="40" t="n">
        <x:f>ABS(K4454)</x:f>
        <x:v>0.1999999999999993</x:v>
      </x:c>
      <x:c r="M4454" s="41" t="str">
        <x:v>lstm-soil-v1</x:v>
      </x:c>
    </x:row>
    <x:row r="4455">
      <x:c r="A4455" s="38" t="str">
        <x:v>7月30日现场数据</x:v>
      </x:c>
      <x:c r="B4455" s="39" t="str">
        <x:v>2026-08-04T10:15:00</x:v>
      </x:c>
      <x:c r="C4455" s="39" t="str">
        <x:v>2026-08-04T11:15:00</x:v>
      </x:c>
      <x:c r="D4455" s="47" t="n">
        <x:v>60</x:v>
      </x:c>
      <x:c r="E4455" s="40" t="n">
        <x:v>12.7</x:v>
      </x:c>
      <x:c r="F4455" s="40" t="n">
        <x:v>13.491744995117188</x:v>
      </x:c>
      <x:c r="G4455" s="40" t="n">
        <x:v>13.1</x:v>
      </x:c>
      <x:c r="H4455" s="40" t="n">
        <x:f>F4455-E4455</x:f>
        <x:v>0.7917449951171882</x:v>
      </x:c>
      <x:c r="I4455" s="40" t="n">
        <x:f>ABS(H4455)</x:f>
        <x:v>0.7917449951171882</x:v>
      </x:c>
      <x:c r="J4455" s="40" t="n">
        <x:f>H4455^2</x:f>
        <x:v>0.6268601372931164</x:v>
      </x:c>
      <x:c r="K4455" s="40" t="n">
        <x:f>G4455-E4455</x:f>
        <x:v>0.40000000000000036</x:v>
      </x:c>
      <x:c r="L4455" s="40" t="n">
        <x:f>ABS(K4455)</x:f>
        <x:v>0.40000000000000036</x:v>
      </x:c>
      <x:c r="M4455" s="41" t="str">
        <x:v>lstm-soil-v1</x:v>
      </x:c>
    </x:row>
    <x:row r="4456">
      <x:c r="A4456" s="38" t="str">
        <x:v>7月30日现场数据</x:v>
      </x:c>
      <x:c r="B4456" s="39" t="str">
        <x:v>2026-08-04T10:20:00</x:v>
      </x:c>
      <x:c r="C4456" s="39" t="str">
        <x:v>2026-08-04T10:25:00</x:v>
      </x:c>
      <x:c r="D4456" s="47" t="n">
        <x:v>5</x:v>
      </x:c>
      <x:c r="E4456" s="40" t="n">
        <x:v>13</x:v>
      </x:c>
      <x:c r="F4456" s="40" t="n">
        <x:v>11.1475830078125</x:v>
      </x:c>
      <x:c r="G4456" s="40" t="n">
        <x:v>13.1</x:v>
      </x:c>
      <x:c r="H4456" s="40" t="n">
        <x:f>F4456-E4456</x:f>
        <x:v>-1.8524169921875</x:v>
      </x:c>
      <x:c r="I4456" s="40" t="n">
        <x:f>ABS(H4456)</x:f>
        <x:v>1.8524169921875</x:v>
      </x:c>
      <x:c r="J4456" s="40" t="n">
        <x:f>H4456^2</x:f>
        <x:v>3.4314487129449844</x:v>
      </x:c>
      <x:c r="K4456" s="40" t="n">
        <x:f>G4456-E4456</x:f>
        <x:v>0.09999999999999964</x:v>
      </x:c>
      <x:c r="L4456" s="40" t="n">
        <x:f>ABS(K4456)</x:f>
        <x:v>0.09999999999999964</x:v>
      </x:c>
      <x:c r="M4456" s="41" t="str">
        <x:v>lstm-soil-v1</x:v>
      </x:c>
    </x:row>
    <x:row r="4457">
      <x:c r="A4457" s="38" t="str">
        <x:v>7月30日现场数据</x:v>
      </x:c>
      <x:c r="B4457" s="39" t="str">
        <x:v>2026-08-04T10:20:00</x:v>
      </x:c>
      <x:c r="C4457" s="39" t="str">
        <x:v>2026-08-04T10:35:00</x:v>
      </x:c>
      <x:c r="D4457" s="47" t="n">
        <x:v>15</x:v>
      </x:c>
      <x:c r="E4457" s="40" t="n">
        <x:v>13</x:v>
      </x:c>
      <x:c r="F4457" s="40" t="n">
        <x:v>11.249897003173828</x:v>
      </x:c>
      <x:c r="G4457" s="40" t="n">
        <x:v>13.1</x:v>
      </x:c>
      <x:c r="H4457" s="40" t="n">
        <x:f>F4457-E4457</x:f>
        <x:v>-1.7501029968261719</x:v>
      </x:c>
      <x:c r="I4457" s="40" t="n">
        <x:f>ABS(H4457)</x:f>
        <x:v>1.7501029968261719</x:v>
      </x:c>
      <x:c r="J4457" s="40" t="n">
        <x:f>H4457^2</x:f>
        <x:v>3.0628604994999478</x:v>
      </x:c>
      <x:c r="K4457" s="40" t="n">
        <x:f>G4457-E4457</x:f>
        <x:v>0.09999999999999964</x:v>
      </x:c>
      <x:c r="L4457" s="40" t="n">
        <x:f>ABS(K4457)</x:f>
        <x:v>0.09999999999999964</x:v>
      </x:c>
      <x:c r="M4457" s="41" t="str">
        <x:v>lstm-soil-v1</x:v>
      </x:c>
    </x:row>
    <x:row r="4458">
      <x:c r="A4458" s="38" t="str">
        <x:v>7月30日现场数据</x:v>
      </x:c>
      <x:c r="B4458" s="39" t="str">
        <x:v>2026-08-04T10:20:00</x:v>
      </x:c>
      <x:c r="C4458" s="39" t="str">
        <x:v>2026-08-04T10:50:00</x:v>
      </x:c>
      <x:c r="D4458" s="47" t="n">
        <x:v>30</x:v>
      </x:c>
      <x:c r="E4458" s="40" t="n">
        <x:v>12.8</x:v>
      </x:c>
      <x:c r="F4458" s="40" t="n">
        <x:v>11.745147705078125</x:v>
      </x:c>
      <x:c r="G4458" s="40" t="n">
        <x:v>13.1</x:v>
      </x:c>
      <x:c r="H4458" s="40" t="n">
        <x:f>F4458-E4458</x:f>
        <x:v>-1.0548522949218757</x:v>
      </x:c>
      <x:c r="I4458" s="40" t="n">
        <x:f>ABS(H4458)</x:f>
        <x:v>1.0548522949218757</x:v>
      </x:c>
      <x:c r="J4458" s="40" t="n">
        <x:f>H4458^2</x:f>
        <x:v>1.1127133641019478</x:v>
      </x:c>
      <x:c r="K4458" s="40" t="n">
        <x:f>G4458-E4458</x:f>
        <x:v>0.29999999999999893</x:v>
      </x:c>
      <x:c r="L4458" s="40" t="n">
        <x:f>ABS(K4458)</x:f>
        <x:v>0.29999999999999893</x:v>
      </x:c>
      <x:c r="M4458" s="41" t="str">
        <x:v>lstm-soil-v1</x:v>
      </x:c>
    </x:row>
    <x:row r="4459">
      <x:c r="A4459" s="38" t="str">
        <x:v>7月30日现场数据</x:v>
      </x:c>
      <x:c r="B4459" s="39" t="str">
        <x:v>2026-08-04T10:20:00</x:v>
      </x:c>
      <x:c r="C4459" s="39" t="str">
        <x:v>2026-08-04T11:20:00</x:v>
      </x:c>
      <x:c r="D4459" s="47" t="n">
        <x:v>60</x:v>
      </x:c>
      <x:c r="E4459" s="40" t="n">
        <x:v>12.7</x:v>
      </x:c>
      <x:c r="F4459" s="40" t="n">
        <x:v>13.445911407470703</x:v>
      </x:c>
      <x:c r="G4459" s="40" t="n">
        <x:v>13.1</x:v>
      </x:c>
      <x:c r="H4459" s="40" t="n">
        <x:f>F4459-E4459</x:f>
        <x:v>0.7459114074707038</x:v>
      </x:c>
      <x:c r="I4459" s="40" t="n">
        <x:f>ABS(H4459)</x:f>
        <x:v>0.7459114074707038</x:v>
      </x:c>
      <x:c r="J4459" s="40" t="n">
        <x:f>H4459^2</x:f>
        <x:v>0.5563838277949263</x:v>
      </x:c>
      <x:c r="K4459" s="40" t="n">
        <x:f>G4459-E4459</x:f>
        <x:v>0.40000000000000036</x:v>
      </x:c>
      <x:c r="L4459" s="40" t="n">
        <x:f>ABS(K4459)</x:f>
        <x:v>0.40000000000000036</x:v>
      </x:c>
      <x:c r="M4459" s="41" t="str">
        <x:v>lstm-soil-v1</x:v>
      </x:c>
    </x:row>
    <x:row r="4460">
      <x:c r="A4460" s="38" t="str">
        <x:v>7月30日现场数据</x:v>
      </x:c>
      <x:c r="B4460" s="39" t="str">
        <x:v>2026-08-04T10:25:00</x:v>
      </x:c>
      <x:c r="C4460" s="39" t="str">
        <x:v>2026-08-04T10:30:00</x:v>
      </x:c>
      <x:c r="D4460" s="47" t="n">
        <x:v>5</x:v>
      </x:c>
      <x:c r="E4460" s="40" t="n">
        <x:v>13</x:v>
      </x:c>
      <x:c r="F4460" s="40" t="n">
        <x:v>11.03414535522461</x:v>
      </x:c>
      <x:c r="G4460" s="40" t="n">
        <x:v>13</x:v>
      </x:c>
      <x:c r="H4460" s="40" t="n">
        <x:f>F4460-E4460</x:f>
        <x:v>-1.9658546447753906</x:v>
      </x:c>
      <x:c r="I4460" s="40" t="n">
        <x:f>ABS(H4460)</x:f>
        <x:v>1.9658546447753906</x:v>
      </x:c>
      <x:c r="J4460" s="40" t="n">
        <x:f>H4460^2</x:f>
        <x:v>3.8645844843849773</x:v>
      </x:c>
      <x:c r="K4460" s="40" t="n">
        <x:f>G4460-E4460</x:f>
        <x:v>0</x:v>
      </x:c>
      <x:c r="L4460" s="40" t="n">
        <x:f>ABS(K4460)</x:f>
        <x:v>0</x:v>
      </x:c>
      <x:c r="M4460" s="41" t="str">
        <x:v>lstm-soil-v1</x:v>
      </x:c>
    </x:row>
    <x:row r="4461">
      <x:c r="A4461" s="38" t="str">
        <x:v>7月30日现场数据</x:v>
      </x:c>
      <x:c r="B4461" s="39" t="str">
        <x:v>2026-08-04T10:25:00</x:v>
      </x:c>
      <x:c r="C4461" s="39" t="str">
        <x:v>2026-08-04T10:40:00</x:v>
      </x:c>
      <x:c r="D4461" s="47" t="n">
        <x:v>15</x:v>
      </x:c>
      <x:c r="E4461" s="40" t="n">
        <x:v>12.9</x:v>
      </x:c>
      <x:c r="F4461" s="40" t="n">
        <x:v>11.134777069091797</x:v>
      </x:c>
      <x:c r="G4461" s="40" t="n">
        <x:v>13</x:v>
      </x:c>
      <x:c r="H4461" s="40" t="n">
        <x:f>F4461-E4461</x:f>
        <x:v>-1.7652229309082035</x:v>
      </x:c>
      <x:c r="I4461" s="40" t="n">
        <x:f>ABS(H4461)</x:f>
        <x:v>1.7652229309082035</x:v>
      </x:c>
      <x:c r="J4461" s="40" t="n">
        <x:f>H4461^2</x:f>
        <x:v>3.1160119958041483</x:v>
      </x:c>
      <x:c r="K4461" s="40" t="n">
        <x:f>G4461-E4461</x:f>
        <x:v>0.09999999999999964</x:v>
      </x:c>
      <x:c r="L4461" s="40" t="n">
        <x:f>ABS(K4461)</x:f>
        <x:v>0.09999999999999964</x:v>
      </x:c>
      <x:c r="M4461" s="41" t="str">
        <x:v>lstm-soil-v1</x:v>
      </x:c>
    </x:row>
    <x:row r="4462">
      <x:c r="A4462" s="38" t="str">
        <x:v>7月30日现场数据</x:v>
      </x:c>
      <x:c r="B4462" s="39" t="str">
        <x:v>2026-08-04T10:25:00</x:v>
      </x:c>
      <x:c r="C4462" s="39" t="str">
        <x:v>2026-08-04T10:55:00</x:v>
      </x:c>
      <x:c r="D4462" s="47" t="n">
        <x:v>30</x:v>
      </x:c>
      <x:c r="E4462" s="40" t="n">
        <x:v>12.8</x:v>
      </x:c>
      <x:c r="F4462" s="40" t="n">
        <x:v>11.619884490966797</x:v>
      </x:c>
      <x:c r="G4462" s="40" t="n">
        <x:v>13</x:v>
      </x:c>
      <x:c r="H4462" s="40" t="n">
        <x:f>F4462-E4462</x:f>
        <x:v>-1.1801155090332038</x:v>
      </x:c>
      <x:c r="I4462" s="40" t="n">
        <x:f>ABS(H4462)</x:f>
        <x:v>1.1801155090332038</x:v>
      </x:c>
      <x:c r="J4462" s="40" t="n">
        <x:f>H4462^2</x:f>
        <x:v>1.3926726146606978</x:v>
      </x:c>
      <x:c r="K4462" s="40" t="n">
        <x:f>G4462-E4462</x:f>
        <x:v>0.1999999999999993</x:v>
      </x:c>
      <x:c r="L4462" s="40" t="n">
        <x:f>ABS(K4462)</x:f>
        <x:v>0.1999999999999993</x:v>
      </x:c>
      <x:c r="M4462" s="41" t="str">
        <x:v>lstm-soil-v1</x:v>
      </x:c>
    </x:row>
    <x:row r="4463">
      <x:c r="A4463" s="38" t="str">
        <x:v>7月30日现场数据</x:v>
      </x:c>
      <x:c r="B4463" s="39" t="str">
        <x:v>2026-08-04T10:25:00</x:v>
      </x:c>
      <x:c r="C4463" s="39" t="str">
        <x:v>2026-08-04T11:25:00</x:v>
      </x:c>
      <x:c r="D4463" s="47" t="n">
        <x:v>60</x:v>
      </x:c>
      <x:c r="E4463" s="40" t="n">
        <x:v>12.7</x:v>
      </x:c>
      <x:c r="F4463" s="40" t="n">
        <x:v>13.306007385253906</x:v>
      </x:c>
      <x:c r="G4463" s="40" t="n">
        <x:v>13</x:v>
      </x:c>
      <x:c r="H4463" s="40" t="n">
        <x:f>F4463-E4463</x:f>
        <x:v>0.606007385253907</x:v>
      </x:c>
      <x:c r="I4463" s="40" t="n">
        <x:f>ABS(H4463)</x:f>
        <x:v>0.606007385253907</x:v>
      </x:c>
      <x:c r="J4463" s="40" t="n">
        <x:f>H4463^2</x:f>
        <x:v>0.3672449509822772</x:v>
      </x:c>
      <x:c r="K4463" s="40" t="n">
        <x:f>G4463-E4463</x:f>
        <x:v>0.3000000000000007</x:v>
      </x:c>
      <x:c r="L4463" s="40" t="n">
        <x:f>ABS(K4463)</x:f>
        <x:v>0.3000000000000007</x:v>
      </x:c>
      <x:c r="M4463" s="41" t="str">
        <x:v>lstm-soil-v1</x:v>
      </x:c>
    </x:row>
    <x:row r="4464">
      <x:c r="A4464" s="38" t="str">
        <x:v>7月30日现场数据</x:v>
      </x:c>
      <x:c r="B4464" s="39" t="str">
        <x:v>2026-08-04T10:30:00</x:v>
      </x:c>
      <x:c r="C4464" s="39" t="str">
        <x:v>2026-08-04T10:35:00</x:v>
      </x:c>
      <x:c r="D4464" s="47" t="n">
        <x:v>5</x:v>
      </x:c>
      <x:c r="E4464" s="40" t="n">
        <x:v>13</x:v>
      </x:c>
      <x:c r="F4464" s="40" t="n">
        <x:v>11.032386779785156</x:v>
      </x:c>
      <x:c r="G4464" s="40" t="n">
        <x:v>13</x:v>
      </x:c>
      <x:c r="H4464" s="40" t="n">
        <x:f>F4464-E4464</x:f>
        <x:v>-1.9676132202148438</x:v>
      </x:c>
      <x:c r="I4464" s="40" t="n">
        <x:f>ABS(H4464)</x:f>
        <x:v>1.9676132202148438</x:v>
      </x:c>
      <x:c r="J4464" s="40" t="n">
        <x:f>H4464^2</x:f>
        <x:v>3.871501784364227</x:v>
      </x:c>
      <x:c r="K4464" s="40" t="n">
        <x:f>G4464-E4464</x:f>
        <x:v>0</x:v>
      </x:c>
      <x:c r="L4464" s="40" t="n">
        <x:f>ABS(K4464)</x:f>
        <x:v>0</x:v>
      </x:c>
      <x:c r="M4464" s="41" t="str">
        <x:v>lstm-soil-v1</x:v>
      </x:c>
    </x:row>
    <x:row r="4465">
      <x:c r="A4465" s="38" t="str">
        <x:v>7月30日现场数据</x:v>
      </x:c>
      <x:c r="B4465" s="39" t="str">
        <x:v>2026-08-04T10:30:00</x:v>
      </x:c>
      <x:c r="C4465" s="39" t="str">
        <x:v>2026-08-04T10:45:00</x:v>
      </x:c>
      <x:c r="D4465" s="47" t="n">
        <x:v>15</x:v>
      </x:c>
      <x:c r="E4465" s="40" t="n">
        <x:v>12.9</x:v>
      </x:c>
      <x:c r="F4465" s="40" t="n">
        <x:v>11.129402160644531</x:v>
      </x:c>
      <x:c r="G4465" s="40" t="n">
        <x:v>13</x:v>
      </x:c>
      <x:c r="H4465" s="40" t="n">
        <x:f>F4465-E4465</x:f>
        <x:v>-1.770597839355469</x:v>
      </x:c>
      <x:c r="I4465" s="40" t="n">
        <x:f>ABS(H4465)</x:f>
        <x:v>1.770597839355469</x:v>
      </x:c>
      <x:c r="J4465" s="40" t="n">
        <x:f>H4465^2</x:f>
        <x:v>3.1350167087302556</x:v>
      </x:c>
      <x:c r="K4465" s="40" t="n">
        <x:f>G4465-E4465</x:f>
        <x:v>0.09999999999999964</x:v>
      </x:c>
      <x:c r="L4465" s="40" t="n">
        <x:f>ABS(K4465)</x:f>
        <x:v>0.09999999999999964</x:v>
      </x:c>
      <x:c r="M4465" s="41" t="str">
        <x:v>lstm-soil-v1</x:v>
      </x:c>
    </x:row>
    <x:row r="4466">
      <x:c r="A4466" s="38" t="str">
        <x:v>7月30日现场数据</x:v>
      </x:c>
      <x:c r="B4466" s="39" t="str">
        <x:v>2026-08-04T10:30:00</x:v>
      </x:c>
      <x:c r="C4466" s="39" t="str">
        <x:v>2026-08-04T11:00:00</x:v>
      </x:c>
      <x:c r="D4466" s="47" t="n">
        <x:v>30</x:v>
      </x:c>
      <x:c r="E4466" s="40" t="n">
        <x:v>12.7</x:v>
      </x:c>
      <x:c r="F4466" s="40" t="n">
        <x:v>11.609699249267578</x:v>
      </x:c>
      <x:c r="G4466" s="40" t="n">
        <x:v>13</x:v>
      </x:c>
      <x:c r="H4466" s="40" t="n">
        <x:f>F4466-E4466</x:f>
        <x:v>-1.0903007507324212</x:v>
      </x:c>
      <x:c r="I4466" s="40" t="n">
        <x:f>ABS(H4466)</x:f>
        <x:v>1.0903007507324212</x:v>
      </x:c>
      <x:c r="J4466" s="40" t="n">
        <x:f>H4466^2</x:f>
        <x:v>1.1887557270476812</x:v>
      </x:c>
      <x:c r="K4466" s="40" t="n">
        <x:f>G4466-E4466</x:f>
        <x:v>0.3000000000000007</x:v>
      </x:c>
      <x:c r="L4466" s="40" t="n">
        <x:f>ABS(K4466)</x:f>
        <x:v>0.3000000000000007</x:v>
      </x:c>
      <x:c r="M4466" s="41" t="str">
        <x:v>lstm-soil-v1</x:v>
      </x:c>
    </x:row>
    <x:row r="4467">
      <x:c r="A4467" s="38" t="str">
        <x:v>7月30日现场数据</x:v>
      </x:c>
      <x:c r="B4467" s="39" t="str">
        <x:v>2026-08-04T10:30:00</x:v>
      </x:c>
      <x:c r="C4467" s="39" t="str">
        <x:v>2026-08-04T11:30:00</x:v>
      </x:c>
      <x:c r="D4467" s="47" t="n">
        <x:v>60</x:v>
      </x:c>
      <x:c r="E4467" s="40" t="n">
        <x:v>12.7</x:v>
      </x:c>
      <x:c r="F4467" s="40" t="n">
        <x:v>13.284381866455078</x:v>
      </x:c>
      <x:c r="G4467" s="40" t="n">
        <x:v>13</x:v>
      </x:c>
      <x:c r="H4467" s="40" t="n">
        <x:f>F4467-E4467</x:f>
        <x:v>0.5843818664550788</x:v>
      </x:c>
      <x:c r="I4467" s="40" t="n">
        <x:f>ABS(H4467)</x:f>
        <x:v>0.5843818664550788</x:v>
      </x:c>
      <x:c r="J4467" s="40" t="n">
        <x:f>H4467^2</x:f>
        <x:v>0.3415021658415216</x:v>
      </x:c>
      <x:c r="K4467" s="40" t="n">
        <x:f>G4467-E4467</x:f>
        <x:v>0.3000000000000007</x:v>
      </x:c>
      <x:c r="L4467" s="40" t="n">
        <x:f>ABS(K4467)</x:f>
        <x:v>0.3000000000000007</x:v>
      </x:c>
      <x:c r="M4467" s="41" t="str">
        <x:v>lstm-soil-v1</x:v>
      </x:c>
    </x:row>
    <x:row r="4468">
      <x:c r="A4468" s="38" t="str">
        <x:v>7月30日现场数据</x:v>
      </x:c>
      <x:c r="B4468" s="39" t="str">
        <x:v>2026-08-04T10:35:00</x:v>
      </x:c>
      <x:c r="C4468" s="39" t="str">
        <x:v>2026-08-04T10:40:00</x:v>
      </x:c>
      <x:c r="D4468" s="47" t="n">
        <x:v>5</x:v>
      </x:c>
      <x:c r="E4468" s="40" t="n">
        <x:v>12.9</x:v>
      </x:c>
      <x:c r="F4468" s="40" t="n">
        <x:v>11.032073974609375</x:v>
      </x:c>
      <x:c r="G4468" s="40" t="n">
        <x:v>13</x:v>
      </x:c>
      <x:c r="H4468" s="40" t="n">
        <x:f>F4468-E4468</x:f>
        <x:v>-1.8679260253906254</x:v>
      </x:c>
      <x:c r="I4468" s="40" t="n">
        <x:f>ABS(H4468)</x:f>
        <x:v>1.8679260253906254</x:v>
      </x:c>
      <x:c r="J4468" s="40" t="n">
        <x:f>H4468^2</x:f>
        <x:v>3.489147636331619</x:v>
      </x:c>
      <x:c r="K4468" s="40" t="n">
        <x:f>G4468-E4468</x:f>
        <x:v>0.09999999999999964</x:v>
      </x:c>
      <x:c r="L4468" s="40" t="n">
        <x:f>ABS(K4468)</x:f>
        <x:v>0.09999999999999964</x:v>
      </x:c>
      <x:c r="M4468" s="41" t="str">
        <x:v>lstm-soil-v1</x:v>
      </x:c>
    </x:row>
    <x:row r="4469">
      <x:c r="A4469" s="38" t="str">
        <x:v>7月30日现场数据</x:v>
      </x:c>
      <x:c r="B4469" s="39" t="str">
        <x:v>2026-08-04T10:35:00</x:v>
      </x:c>
      <x:c r="C4469" s="39" t="str">
        <x:v>2026-08-04T10:50:00</x:v>
      </x:c>
      <x:c r="D4469" s="47" t="n">
        <x:v>15</x:v>
      </x:c>
      <x:c r="E4469" s="40" t="n">
        <x:v>12.8</x:v>
      </x:c>
      <x:c r="F4469" s="40" t="n">
        <x:v>11.124744415283203</x:v>
      </x:c>
      <x:c r="G4469" s="40" t="n">
        <x:v>13</x:v>
      </x:c>
      <x:c r="H4469" s="40" t="n">
        <x:f>F4469-E4469</x:f>
        <x:v>-1.6752555847167976</x:v>
      </x:c>
      <x:c r="I4469" s="40" t="n">
        <x:f>ABS(H4469)</x:f>
        <x:v>1.6752555847167976</x:v>
      </x:c>
      <x:c r="J4469" s="40" t="n">
        <x:f>H4469^2</x:f>
        <x:v>2.8064812741248195</x:v>
      </x:c>
      <x:c r="K4469" s="40" t="n">
        <x:f>G4469-E4469</x:f>
        <x:v>0.1999999999999993</x:v>
      </x:c>
      <x:c r="L4469" s="40" t="n">
        <x:f>ABS(K4469)</x:f>
        <x:v>0.1999999999999993</x:v>
      </x:c>
      <x:c r="M4469" s="41" t="str">
        <x:v>lstm-soil-v1</x:v>
      </x:c>
    </x:row>
    <x:row r="4470">
      <x:c r="A4470" s="38" t="str">
        <x:v>7月30日现场数据</x:v>
      </x:c>
      <x:c r="B4470" s="39" t="str">
        <x:v>2026-08-04T10:35:00</x:v>
      </x:c>
      <x:c r="C4470" s="39" t="str">
        <x:v>2026-08-04T11:05:00</x:v>
      </x:c>
      <x:c r="D4470" s="47" t="n">
        <x:v>30</x:v>
      </x:c>
      <x:c r="E4470" s="40" t="n">
        <x:v>12.7</x:v>
      </x:c>
      <x:c r="F4470" s="40" t="n">
        <x:v>11.604911804199219</x:v>
      </x:c>
      <x:c r="G4470" s="40" t="n">
        <x:v>13</x:v>
      </x:c>
      <x:c r="H4470" s="40" t="n">
        <x:f>F4470-E4470</x:f>
        <x:v>-1.0950881958007805</x:v>
      </x:c>
      <x:c r="I4470" s="40" t="n">
        <x:f>ABS(H4470)</x:f>
        <x:v>1.0950881958007805</x:v>
      </x:c>
      <x:c r="J4470" s="40" t="n">
        <x:f>H4470^2</x:f>
        <x:v>1.1992181565822086</x:v>
      </x:c>
      <x:c r="K4470" s="40" t="n">
        <x:f>G4470-E4470</x:f>
        <x:v>0.3000000000000007</x:v>
      </x:c>
      <x:c r="L4470" s="40" t="n">
        <x:f>ABS(K4470)</x:f>
        <x:v>0.3000000000000007</x:v>
      </x:c>
      <x:c r="M4470" s="41" t="str">
        <x:v>lstm-soil-v1</x:v>
      </x:c>
    </x:row>
    <x:row r="4471">
      <x:c r="A4471" s="38" t="str">
        <x:v>7月30日现场数据</x:v>
      </x:c>
      <x:c r="B4471" s="39" t="str">
        <x:v>2026-08-04T10:35:00</x:v>
      </x:c>
      <x:c r="C4471" s="39" t="str">
        <x:v>2026-08-04T11:35:00</x:v>
      </x:c>
      <x:c r="D4471" s="47" t="n">
        <x:v>60</x:v>
      </x:c>
      <x:c r="E4471" s="40" t="n">
        <x:v>12.7</x:v>
      </x:c>
      <x:c r="F4471" s="40" t="n">
        <x:v>13.273628234863281</x:v>
      </x:c>
      <x:c r="G4471" s="40" t="n">
        <x:v>13</x:v>
      </x:c>
      <x:c r="H4471" s="40" t="n">
        <x:f>F4471-E4471</x:f>
        <x:v>0.573628234863282</x:v>
      </x:c>
      <x:c r="I4471" s="40" t="n">
        <x:f>ABS(H4471)</x:f>
        <x:v>0.573628234863282</x:v>
      </x:c>
      <x:c r="J4471" s="40" t="n">
        <x:f>H4471^2</x:f>
        <x:v>0.32904935183236456</x:v>
      </x:c>
      <x:c r="K4471" s="40" t="n">
        <x:f>G4471-E4471</x:f>
        <x:v>0.3000000000000007</x:v>
      </x:c>
      <x:c r="L4471" s="40" t="n">
        <x:f>ABS(K4471)</x:f>
        <x:v>0.3000000000000007</x:v>
      </x:c>
      <x:c r="M4471" s="41" t="str">
        <x:v>lstm-soil-v1</x:v>
      </x:c>
    </x:row>
    <x:row r="4472">
      <x:c r="A4472" s="38" t="str">
        <x:v>7月30日现场数据</x:v>
      </x:c>
      <x:c r="B4472" s="39" t="str">
        <x:v>2026-08-04T10:40:00</x:v>
      </x:c>
      <x:c r="C4472" s="39" t="str">
        <x:v>2026-08-04T10:45:00</x:v>
      </x:c>
      <x:c r="D4472" s="47" t="n">
        <x:v>5</x:v>
      </x:c>
      <x:c r="E4472" s="40" t="n">
        <x:v>12.9</x:v>
      </x:c>
      <x:c r="F4472" s="40" t="n">
        <x:v>10.922100067138672</x:v>
      </x:c>
      <x:c r="G4472" s="40" t="n">
        <x:v>12.9</x:v>
      </x:c>
      <x:c r="H4472" s="40" t="n">
        <x:f>F4472-E4472</x:f>
        <x:v>-1.9778999328613285</x:v>
      </x:c>
      <x:c r="I4472" s="40" t="n">
        <x:f>ABS(H4472)</x:f>
        <x:v>1.9778999328613285</x:v>
      </x:c>
      <x:c r="J4472" s="40" t="n">
        <x:f>H4472^2</x:f>
        <x:v>3.9120881444128477</x:v>
      </x:c>
      <x:c r="K4472" s="40" t="n">
        <x:f>G4472-E4472</x:f>
        <x:v>0</x:v>
      </x:c>
      <x:c r="L4472" s="40" t="n">
        <x:f>ABS(K4472)</x:f>
        <x:v>0</x:v>
      </x:c>
      <x:c r="M4472" s="41" t="str">
        <x:v>lstm-soil-v1</x:v>
      </x:c>
    </x:row>
    <x:row r="4473">
      <x:c r="A4473" s="38" t="str">
        <x:v>7月30日现场数据</x:v>
      </x:c>
      <x:c r="B4473" s="39" t="str">
        <x:v>2026-08-04T10:40:00</x:v>
      </x:c>
      <x:c r="C4473" s="39" t="str">
        <x:v>2026-08-04T10:55:00</x:v>
      </x:c>
      <x:c r="D4473" s="47" t="n">
        <x:v>15</x:v>
      </x:c>
      <x:c r="E4473" s="40" t="n">
        <x:v>12.8</x:v>
      </x:c>
      <x:c r="F4473" s="40" t="n">
        <x:v>11.010429382324219</x:v>
      </x:c>
      <x:c r="G4473" s="40" t="n">
        <x:v>12.9</x:v>
      </x:c>
      <x:c r="H4473" s="40" t="n">
        <x:f>F4473-E4473</x:f>
        <x:v>-1.789570617675782</x:v>
      </x:c>
      <x:c r="I4473" s="40" t="n">
        <x:f>ABS(H4473)</x:f>
        <x:v>1.789570617675782</x:v>
      </x:c>
      <x:c r="J4473" s="40" t="n">
        <x:f>H4473^2</x:f>
        <x:v>3.2025629956484796</x:v>
      </x:c>
      <x:c r="K4473" s="40" t="n">
        <x:f>G4473-E4473</x:f>
        <x:v>0.09999999999999964</x:v>
      </x:c>
      <x:c r="L4473" s="40" t="n">
        <x:f>ABS(K4473)</x:f>
        <x:v>0.09999999999999964</x:v>
      </x:c>
      <x:c r="M4473" s="41" t="str">
        <x:v>lstm-soil-v1</x:v>
      </x:c>
    </x:row>
    <x:row r="4474">
      <x:c r="A4474" s="38" t="str">
        <x:v>7月30日现场数据</x:v>
      </x:c>
      <x:c r="B4474" s="39" t="str">
        <x:v>2026-08-04T10:40:00</x:v>
      </x:c>
      <x:c r="C4474" s="39" t="str">
        <x:v>2026-08-04T11:10:00</x:v>
      </x:c>
      <x:c r="D4474" s="47" t="n">
        <x:v>30</x:v>
      </x:c>
      <x:c r="E4474" s="40" t="n">
        <x:v>12.7</x:v>
      </x:c>
      <x:c r="F4474" s="40" t="n">
        <x:v>11.492733001708984</x:v>
      </x:c>
      <x:c r="G4474" s="40" t="n">
        <x:v>12.9</x:v>
      </x:c>
      <x:c r="H4474" s="40" t="n">
        <x:f>F4474-E4474</x:f>
        <x:v>-1.207266998291015</x:v>
      </x:c>
      <x:c r="I4474" s="40" t="n">
        <x:f>ABS(H4474)</x:f>
        <x:v>1.207266998291015</x:v>
      </x:c>
      <x:c r="J4474" s="40" t="n">
        <x:f>H4474^2</x:f>
        <x:v>1.4574936051625975</x:v>
      </x:c>
      <x:c r="K4474" s="40" t="n">
        <x:f>G4474-E4474</x:f>
        <x:v>0.20000000000000107</x:v>
      </x:c>
      <x:c r="L4474" s="40" t="n">
        <x:f>ABS(K4474)</x:f>
        <x:v>0.20000000000000107</x:v>
      </x:c>
      <x:c r="M4474" s="41" t="str">
        <x:v>lstm-soil-v1</x:v>
      </x:c>
    </x:row>
    <x:row r="4475">
      <x:c r="A4475" s="38" t="str">
        <x:v>7月30日现场数据</x:v>
      </x:c>
      <x:c r="B4475" s="39" t="str">
        <x:v>2026-08-04T10:40:00</x:v>
      </x:c>
      <x:c r="C4475" s="39" t="str">
        <x:v>2026-08-04T11:40:00</x:v>
      </x:c>
      <x:c r="D4475" s="47" t="n">
        <x:v>60</x:v>
      </x:c>
      <x:c r="E4475" s="40" t="n">
        <x:v>12.7</x:v>
      </x:c>
      <x:c r="F4475" s="40" t="n">
        <x:v>13.159034729003906</x:v>
      </x:c>
      <x:c r="G4475" s="40" t="n">
        <x:v>12.9</x:v>
      </x:c>
      <x:c r="H4475" s="40" t="n">
        <x:f>F4475-E4475</x:f>
        <x:v>0.45903472900390696</x:v>
      </x:c>
      <x:c r="I4475" s="40" t="n">
        <x:f>ABS(H4475)</x:f>
        <x:v>0.45903472900390696</x:v>
      </x:c>
      <x:c r="J4475" s="40" t="n">
        <x:f>H4475^2</x:f>
        <x:v>0.2107128824316903</x:v>
      </x:c>
      <x:c r="K4475" s="40" t="n">
        <x:f>G4475-E4475</x:f>
        <x:v>0.20000000000000107</x:v>
      </x:c>
      <x:c r="L4475" s="40" t="n">
        <x:f>ABS(K4475)</x:f>
        <x:v>0.20000000000000107</x:v>
      </x:c>
      <x:c r="M4475" s="41" t="str">
        <x:v>lstm-soil-v1</x:v>
      </x:c>
    </x:row>
    <x:row r="4476">
      <x:c r="A4476" s="38" t="str">
        <x:v>7月30日现场数据</x:v>
      </x:c>
      <x:c r="B4476" s="39" t="str">
        <x:v>2026-08-04T10:45:00</x:v>
      </x:c>
      <x:c r="C4476" s="39" t="str">
        <x:v>2026-08-04T10:50:00</x:v>
      </x:c>
      <x:c r="D4476" s="47" t="n">
        <x:v>5</x:v>
      </x:c>
      <x:c r="E4476" s="40" t="n">
        <x:v>12.8</x:v>
      </x:c>
      <x:c r="F4476" s="40" t="n">
        <x:v>10.9222412109375</x:v>
      </x:c>
      <x:c r="G4476" s="40" t="n">
        <x:v>12.9</x:v>
      </x:c>
      <x:c r="H4476" s="40" t="n">
        <x:f>F4476-E4476</x:f>
        <x:v>-1.8777587890625007</x:v>
      </x:c>
      <x:c r="I4476" s="40" t="n">
        <x:f>ABS(H4476)</x:f>
        <x:v>1.8777587890625007</x:v>
      </x:c>
      <x:c r="J4476" s="40" t="n">
        <x:f>H4476^2</x:f>
        <x:v>3.525978069901469</x:v>
      </x:c>
      <x:c r="K4476" s="40" t="n">
        <x:f>G4476-E4476</x:f>
        <x:v>0.09999999999999964</x:v>
      </x:c>
      <x:c r="L4476" s="40" t="n">
        <x:f>ABS(K4476)</x:f>
        <x:v>0.09999999999999964</x:v>
      </x:c>
      <x:c r="M4476" s="41" t="str">
        <x:v>lstm-soil-v1</x:v>
      </x:c>
    </x:row>
    <x:row r="4477">
      <x:c r="A4477" s="38" t="str">
        <x:v>7月30日现场数据</x:v>
      </x:c>
      <x:c r="B4477" s="39" t="str">
        <x:v>2026-08-04T10:45:00</x:v>
      </x:c>
      <x:c r="C4477" s="39" t="str">
        <x:v>2026-08-04T11:00:00</x:v>
      </x:c>
      <x:c r="D4477" s="47" t="n">
        <x:v>15</x:v>
      </x:c>
      <x:c r="E4477" s="40" t="n">
        <x:v>12.7</x:v>
      </x:c>
      <x:c r="F4477" s="40" t="n">
        <x:v>11.007858276367188</x:v>
      </x:c>
      <x:c r="G4477" s="40" t="n">
        <x:v>12.9</x:v>
      </x:c>
      <x:c r="H4477" s="40" t="n">
        <x:f>F4477-E4477</x:f>
        <x:v>-1.6921417236328118</x:v>
      </x:c>
      <x:c r="I4477" s="40" t="n">
        <x:f>ABS(H4477)</x:f>
        <x:v>1.6921417236328118</x:v>
      </x:c>
      <x:c r="J4477" s="40" t="n">
        <x:f>H4477^2</x:f>
        <x:v>2.863343612859023</x:v>
      </x:c>
      <x:c r="K4477" s="40" t="n">
        <x:f>G4477-E4477</x:f>
        <x:v>0.20000000000000107</x:v>
      </x:c>
      <x:c r="L4477" s="40" t="n">
        <x:f>ABS(K4477)</x:f>
        <x:v>0.20000000000000107</x:v>
      </x:c>
      <x:c r="M4477" s="41" t="str">
        <x:v>lstm-soil-v1</x:v>
      </x:c>
    </x:row>
    <x:row r="4478">
      <x:c r="A4478" s="38" t="str">
        <x:v>7月30日现场数据</x:v>
      </x:c>
      <x:c r="B4478" s="39" t="str">
        <x:v>2026-08-04T10:45:00</x:v>
      </x:c>
      <x:c r="C4478" s="39" t="str">
        <x:v>2026-08-04T11:15:00</x:v>
      </x:c>
      <x:c r="D4478" s="47" t="n">
        <x:v>30</x:v>
      </x:c>
      <x:c r="E4478" s="40" t="n">
        <x:v>12.7</x:v>
      </x:c>
      <x:c r="F4478" s="40" t="n">
        <x:v>11.491756439208984</x:v>
      </x:c>
      <x:c r="G4478" s="40" t="n">
        <x:v>12.9</x:v>
      </x:c>
      <x:c r="H4478" s="40" t="n">
        <x:f>F4478-E4478</x:f>
        <x:v>-1.208243560791015</x:v>
      </x:c>
      <x:c r="I4478" s="40" t="n">
        <x:f>ABS(H4478)</x:f>
        <x:v>1.208243560791015</x:v>
      </x:c>
      <x:c r="J4478" s="40" t="n">
        <x:f>H4478^2</x:f>
        <x:v>1.459852502192951</x:v>
      </x:c>
      <x:c r="K4478" s="40" t="n">
        <x:f>G4478-E4478</x:f>
        <x:v>0.20000000000000107</x:v>
      </x:c>
      <x:c r="L4478" s="40" t="n">
        <x:f>ABS(K4478)</x:f>
        <x:v>0.20000000000000107</x:v>
      </x:c>
      <x:c r="M4478" s="41" t="str">
        <x:v>lstm-soil-v1</x:v>
      </x:c>
    </x:row>
    <x:row r="4479">
      <x:c r="A4479" s="38" t="str">
        <x:v>7月30日现场数据</x:v>
      </x:c>
      <x:c r="B4479" s="39" t="str">
        <x:v>2026-08-04T10:45:00</x:v>
      </x:c>
      <x:c r="C4479" s="39" t="str">
        <x:v>2026-08-04T11:45:00</x:v>
      </x:c>
      <x:c r="D4479" s="47" t="n">
        <x:v>60</x:v>
      </x:c>
      <x:c r="E4479" s="40" t="n">
        <x:v>12.6</x:v>
      </x:c>
      <x:c r="F4479" s="40" t="n">
        <x:v>13.155147552490234</x:v>
      </x:c>
      <x:c r="G4479" s="40" t="n">
        <x:v>12.9</x:v>
      </x:c>
      <x:c r="H4479" s="40" t="n">
        <x:f>F4479-E4479</x:f>
        <x:v>0.5551475524902347</x:v>
      </x:c>
      <x:c r="I4479" s="40" t="n">
        <x:f>ABS(H4479)</x:f>
        <x:v>0.5551475524902347</x:v>
      </x:c>
      <x:c r="J4479" s="40" t="n">
        <x:f>H4479^2</x:f>
        <x:v>0.3081888050358979</x:v>
      </x:c>
      <x:c r="K4479" s="40" t="n">
        <x:f>G4479-E4479</x:f>
        <x:v>0.3000000000000007</x:v>
      </x:c>
      <x:c r="L4479" s="40" t="n">
        <x:f>ABS(K4479)</x:f>
        <x:v>0.3000000000000007</x:v>
      </x:c>
      <x:c r="M4479" s="41" t="str">
        <x:v>lstm-soil-v1</x:v>
      </x:c>
    </x:row>
    <x:row r="4480">
      <x:c r="A4480" s="38" t="str">
        <x:v>7月30日现场数据</x:v>
      </x:c>
      <x:c r="B4480" s="39" t="str">
        <x:v>2026-08-04T10:50:00</x:v>
      </x:c>
      <x:c r="C4480" s="39" t="str">
        <x:v>2026-08-04T10:55:00</x:v>
      </x:c>
      <x:c r="D4480" s="47" t="n">
        <x:v>5</x:v>
      </x:c>
      <x:c r="E4480" s="40" t="n">
        <x:v>12.8</x:v>
      </x:c>
      <x:c r="F4480" s="40" t="n">
        <x:v>10.816043853759766</x:v>
      </x:c>
      <x:c r="G4480" s="40" t="n">
        <x:v>12.8</x:v>
      </x:c>
      <x:c r="H4480" s="40" t="n">
        <x:f>F4480-E4480</x:f>
        <x:v>-1.983956146240235</x:v>
      </x:c>
      <x:c r="I4480" s="40" t="n">
        <x:f>ABS(H4480)</x:f>
        <x:v>1.983956146240235</x:v>
      </x:c>
      <x:c r="J4480" s="40" t="n">
        <x:f>H4480^2</x:f>
        <x:v>3.936081990204405</x:v>
      </x:c>
      <x:c r="K4480" s="40" t="n">
        <x:f>G4480-E4480</x:f>
        <x:v>0</x:v>
      </x:c>
      <x:c r="L4480" s="40" t="n">
        <x:f>ABS(K4480)</x:f>
        <x:v>0</x:v>
      </x:c>
      <x:c r="M4480" s="41" t="str">
        <x:v>lstm-soil-v1</x:v>
      </x:c>
    </x:row>
    <x:row r="4481">
      <x:c r="A4481" s="38" t="str">
        <x:v>7月30日现场数据</x:v>
      </x:c>
      <x:c r="B4481" s="39" t="str">
        <x:v>2026-08-04T10:50:00</x:v>
      </x:c>
      <x:c r="C4481" s="39" t="str">
        <x:v>2026-08-04T11:05:00</x:v>
      </x:c>
      <x:c r="D4481" s="47" t="n">
        <x:v>15</x:v>
      </x:c>
      <x:c r="E4481" s="40" t="n">
        <x:v>12.7</x:v>
      </x:c>
      <x:c r="F4481" s="40" t="n">
        <x:v>10.889900207519531</x:v>
      </x:c>
      <x:c r="G4481" s="40" t="n">
        <x:v>12.8</x:v>
      </x:c>
      <x:c r="H4481" s="40" t="n">
        <x:f>F4481-E4481</x:f>
        <x:v>-1.810099792480468</x:v>
      </x:c>
      <x:c r="I4481" s="40" t="n">
        <x:f>ABS(H4481)</x:f>
        <x:v>1.810099792480468</x:v>
      </x:c>
      <x:c r="J4481" s="40" t="n">
        <x:f>H4481^2</x:f>
        <x:v>3.2764612587378337</x:v>
      </x:c>
      <x:c r="K4481" s="40" t="n">
        <x:f>G4481-E4481</x:f>
        <x:v>0.10000000000000142</x:v>
      </x:c>
      <x:c r="L4481" s="40" t="n">
        <x:f>ABS(K4481)</x:f>
        <x:v>0.10000000000000142</x:v>
      </x:c>
      <x:c r="M4481" s="41" t="str">
        <x:v>lstm-soil-v1</x:v>
      </x:c>
    </x:row>
    <x:row r="4482">
      <x:c r="A4482" s="38" t="str">
        <x:v>7月30日现场数据</x:v>
      </x:c>
      <x:c r="B4482" s="39" t="str">
        <x:v>2026-08-04T10:50:00</x:v>
      </x:c>
      <x:c r="C4482" s="39" t="str">
        <x:v>2026-08-04T11:20:00</x:v>
      </x:c>
      <x:c r="D4482" s="47" t="n">
        <x:v>30</x:v>
      </x:c>
      <x:c r="E4482" s="40" t="n">
        <x:v>12.7</x:v>
      </x:c>
      <x:c r="F4482" s="40" t="n">
        <x:v>11.389644622802734</x:v>
      </x:c>
      <x:c r="G4482" s="40" t="n">
        <x:v>12.8</x:v>
      </x:c>
      <x:c r="H4482" s="40" t="n">
        <x:f>F4482-E4482</x:f>
        <x:v>-1.310355377197265</x:v>
      </x:c>
      <x:c r="I4482" s="40" t="n">
        <x:f>ABS(H4482)</x:f>
        <x:v>1.310355377197265</x:v>
      </x:c>
      <x:c r="J4482" s="40" t="n">
        <x:f>H4482^2</x:f>
        <x:v>1.7170312145497864</x:v>
      </x:c>
      <x:c r="K4482" s="40" t="n">
        <x:f>G4482-E4482</x:f>
        <x:v>0.10000000000000142</x:v>
      </x:c>
      <x:c r="L4482" s="40" t="n">
        <x:f>ABS(K4482)</x:f>
        <x:v>0.10000000000000142</x:v>
      </x:c>
      <x:c r="M4482" s="41" t="str">
        <x:v>lstm-soil-v1</x:v>
      </x:c>
    </x:row>
    <x:row r="4483">
      <x:c r="A4483" s="38" t="str">
        <x:v>7月30日现场数据</x:v>
      </x:c>
      <x:c r="B4483" s="39" t="str">
        <x:v>2026-08-04T10:50:00</x:v>
      </x:c>
      <x:c r="C4483" s="39" t="str">
        <x:v>2026-08-04T11:50:00</x:v>
      </x:c>
      <x:c r="D4483" s="47" t="n">
        <x:v>60</x:v>
      </x:c>
      <x:c r="E4483" s="40" t="n">
        <x:v>12.6</x:v>
      </x:c>
      <x:c r="F4483" s="40" t="n">
        <x:v>13.074897766113281</x:v>
      </x:c>
      <x:c r="G4483" s="40" t="n">
        <x:v>12.8</x:v>
      </x:c>
      <x:c r="H4483" s="40" t="n">
        <x:f>F4483-E4483</x:f>
        <x:v>0.4748977661132816</x:v>
      </x:c>
      <x:c r="I4483" s="40" t="n">
        <x:f>ABS(H4483)</x:f>
        <x:v>0.4748977661132816</x:v>
      </x:c>
      <x:c r="J4483" s="40" t="n">
        <x:f>H4483^2</x:f>
        <x:v>0.2255278882593851</x:v>
      </x:c>
      <x:c r="K4483" s="40" t="n">
        <x:f>G4483-E4483</x:f>
        <x:v>0.20000000000000107</x:v>
      </x:c>
      <x:c r="L4483" s="40" t="n">
        <x:f>ABS(K4483)</x:f>
        <x:v>0.20000000000000107</x:v>
      </x:c>
      <x:c r="M4483" s="41" t="str">
        <x:v>lstm-soil-v1</x:v>
      </x:c>
    </x:row>
    <x:row r="4484">
      <x:c r="A4484" s="38" t="str">
        <x:v>7月30日现场数据</x:v>
      </x:c>
      <x:c r="B4484" s="39" t="str">
        <x:v>2026-08-04T10:55:00</x:v>
      </x:c>
      <x:c r="C4484" s="39" t="str">
        <x:v>2026-08-04T11:00:00</x:v>
      </x:c>
      <x:c r="D4484" s="47" t="n">
        <x:v>5</x:v>
      </x:c>
      <x:c r="E4484" s="40" t="n">
        <x:v>12.7</x:v>
      </x:c>
      <x:c r="F4484" s="40" t="n">
        <x:v>10.81927490234375</x:v>
      </x:c>
      <x:c r="G4484" s="40" t="n">
        <x:v>12.8</x:v>
      </x:c>
      <x:c r="H4484" s="40" t="n">
        <x:f>F4484-E4484</x:f>
        <x:v>-1.8807250976562493</x:v>
      </x:c>
      <x:c r="I4484" s="40" t="n">
        <x:f>ABS(H4484)</x:f>
        <x:v>1.8807250976562493</x:v>
      </x:c>
      <x:c r="J4484" s="40" t="n">
        <x:f>H4484^2</x:f>
        <x:v>3.5371268929541086</x:v>
      </x:c>
      <x:c r="K4484" s="40" t="n">
        <x:f>G4484-E4484</x:f>
        <x:v>0.10000000000000142</x:v>
      </x:c>
      <x:c r="L4484" s="40" t="n">
        <x:f>ABS(K4484)</x:f>
        <x:v>0.10000000000000142</x:v>
      </x:c>
      <x:c r="M4484" s="41" t="str">
        <x:v>lstm-soil-v1</x:v>
      </x:c>
    </x:row>
    <x:row r="4485">
      <x:c r="A4485" s="38" t="str">
        <x:v>7月30日现场数据</x:v>
      </x:c>
      <x:c r="B4485" s="39" t="str">
        <x:v>2026-08-04T10:55:00</x:v>
      </x:c>
      <x:c r="C4485" s="39" t="str">
        <x:v>2026-08-04T11:10:00</x:v>
      </x:c>
      <x:c r="D4485" s="47" t="n">
        <x:v>15</x:v>
      </x:c>
      <x:c r="E4485" s="40" t="n">
        <x:v>12.7</x:v>
      </x:c>
      <x:c r="F4485" s="40" t="n">
        <x:v>10.88864517211914</x:v>
      </x:c>
      <x:c r="G4485" s="40" t="n">
        <x:v>12.8</x:v>
      </x:c>
      <x:c r="H4485" s="40" t="n">
        <x:f>F4485-E4485</x:f>
        <x:v>-1.8113548278808587</x:v>
      </x:c>
      <x:c r="I4485" s="40" t="n">
        <x:f>ABS(H4485)</x:f>
        <x:v>1.8113548278808587</x:v>
      </x:c>
      <x:c r="J4485" s="40" t="n">
        <x:f>H4485^2</x:f>
        <x:v>3.2810063124872952</x:v>
      </x:c>
      <x:c r="K4485" s="40" t="n">
        <x:f>G4485-E4485</x:f>
        <x:v>0.10000000000000142</x:v>
      </x:c>
      <x:c r="L4485" s="40" t="n">
        <x:f>ABS(K4485)</x:f>
        <x:v>0.10000000000000142</x:v>
      </x:c>
      <x:c r="M4485" s="41" t="str">
        <x:v>lstm-soil-v1</x:v>
      </x:c>
    </x:row>
    <x:row r="4486">
      <x:c r="A4486" s="38" t="str">
        <x:v>7月30日现场数据</x:v>
      </x:c>
      <x:c r="B4486" s="39" t="str">
        <x:v>2026-08-04T10:55:00</x:v>
      </x:c>
      <x:c r="C4486" s="39" t="str">
        <x:v>2026-08-04T11:25:00</x:v>
      </x:c>
      <x:c r="D4486" s="47" t="n">
        <x:v>30</x:v>
      </x:c>
      <x:c r="E4486" s="40" t="n">
        <x:v>12.7</x:v>
      </x:c>
      <x:c r="F4486" s="40" t="n">
        <x:v>11.401607513427734</x:v>
      </x:c>
      <x:c r="G4486" s="40" t="n">
        <x:v>12.8</x:v>
      </x:c>
      <x:c r="H4486" s="40" t="n">
        <x:f>F4486-E4486</x:f>
        <x:v>-1.298392486572265</x:v>
      </x:c>
      <x:c r="I4486" s="40" t="n">
        <x:f>ABS(H4486)</x:f>
        <x:v>1.298392486572265</x:v>
      </x:c>
      <x:c r="J4486" s="40" t="n">
        <x:f>H4486^2</x:f>
        <x:v>1.6858230491873092</x:v>
      </x:c>
      <x:c r="K4486" s="40" t="n">
        <x:f>G4486-E4486</x:f>
        <x:v>0.10000000000000142</x:v>
      </x:c>
      <x:c r="L4486" s="40" t="n">
        <x:f>ABS(K4486)</x:f>
        <x:v>0.10000000000000142</x:v>
      </x:c>
      <x:c r="M4486" s="41" t="str">
        <x:v>lstm-soil-v1</x:v>
      </x:c>
    </x:row>
    <x:row r="4487">
      <x:c r="A4487" s="38" t="str">
        <x:v>7月30日现场数据</x:v>
      </x:c>
      <x:c r="B4487" s="39" t="str">
        <x:v>2026-08-04T10:55:00</x:v>
      </x:c>
      <x:c r="C4487" s="39" t="str">
        <x:v>2026-08-04T11:55:00</x:v>
      </x:c>
      <x:c r="D4487" s="47" t="n">
        <x:v>60</x:v>
      </x:c>
      <x:c r="E4487" s="40" t="n">
        <x:v>12.6</x:v>
      </x:c>
      <x:c r="F4487" s="40" t="n">
        <x:v>13.091670989990234</x:v>
      </x:c>
      <x:c r="G4487" s="40" t="n">
        <x:v>12.8</x:v>
      </x:c>
      <x:c r="H4487" s="40" t="n">
        <x:f>F4487-E4487</x:f>
        <x:v>0.49167098999023473</x:v>
      </x:c>
      <x:c r="I4487" s="40" t="n">
        <x:f>ABS(H4487)</x:f>
        <x:v>0.49167098999023473</x:v>
      </x:c>
      <x:c r="J4487" s="40" t="n">
        <x:f>H4487^2</x:f>
        <x:v>0.2417403623979775</x:v>
      </x:c>
      <x:c r="K4487" s="40" t="n">
        <x:f>G4487-E4487</x:f>
        <x:v>0.20000000000000107</x:v>
      </x:c>
      <x:c r="L4487" s="40" t="n">
        <x:f>ABS(K4487)</x:f>
        <x:v>0.20000000000000107</x:v>
      </x:c>
      <x:c r="M4487" s="41" t="str">
        <x:v>lstm-soil-v1</x:v>
      </x:c>
    </x:row>
    <x:row r="4488">
      <x:c r="A4488" s="38" t="str">
        <x:v>7月30日现场数据</x:v>
      </x:c>
      <x:c r="B4488" s="39" t="str">
        <x:v>2026-08-04T11:00:00</x:v>
      </x:c>
      <x:c r="C4488" s="39" t="str">
        <x:v>2026-08-04T11:05:00</x:v>
      </x:c>
      <x:c r="D4488" s="47" t="n">
        <x:v>5</x:v>
      </x:c>
      <x:c r="E4488" s="40" t="n">
        <x:v>12.7</x:v>
      </x:c>
      <x:c r="F4488" s="40" t="n">
        <x:v>10.710723876953125</x:v>
      </x:c>
      <x:c r="G4488" s="40" t="n">
        <x:v>12.7</x:v>
      </x:c>
      <x:c r="H4488" s="40" t="n">
        <x:f>F4488-E4488</x:f>
        <x:v>-1.9892761230468743</x:v>
      </x:c>
      <x:c r="I4488" s="40" t="n">
        <x:f>ABS(H4488)</x:f>
        <x:v>1.9892761230468743</x:v>
      </x:c>
      <x:c r="J4488" s="40" t="n">
        <x:f>H4488^2</x:f>
        <x:v>3.957219493724403</x:v>
      </x:c>
      <x:c r="K4488" s="40" t="n">
        <x:f>G4488-E4488</x:f>
        <x:v>0</x:v>
      </x:c>
      <x:c r="L4488" s="40" t="n">
        <x:f>ABS(K4488)</x:f>
        <x:v>0</x:v>
      </x:c>
      <x:c r="M4488" s="41" t="str">
        <x:v>lstm-soil-v1</x:v>
      </x:c>
    </x:row>
    <x:row r="4489">
      <x:c r="A4489" s="38" t="str">
        <x:v>7月30日现场数据</x:v>
      </x:c>
      <x:c r="B4489" s="39" t="str">
        <x:v>2026-08-04T11:00:00</x:v>
      </x:c>
      <x:c r="C4489" s="39" t="str">
        <x:v>2026-08-04T11:15:00</x:v>
      </x:c>
      <x:c r="D4489" s="47" t="n">
        <x:v>15</x:v>
      </x:c>
      <x:c r="E4489" s="40" t="n">
        <x:v>12.7</x:v>
      </x:c>
      <x:c r="F4489" s="40" t="n">
        <x:v>10.78134536743164</x:v>
      </x:c>
      <x:c r="G4489" s="40" t="n">
        <x:v>12.7</x:v>
      </x:c>
      <x:c r="H4489" s="40" t="n">
        <x:f>F4489-E4489</x:f>
        <x:v>-1.9186546325683587</x:v>
      </x:c>
      <x:c r="I4489" s="40" t="n">
        <x:f>ABS(H4489)</x:f>
        <x:v>1.9186546325683587</x:v>
      </x:c>
      <x:c r="J4489" s="40" t="n">
        <x:f>H4489^2</x:f>
        <x:v>3.6812355990760235</x:v>
      </x:c>
      <x:c r="K4489" s="40" t="n">
        <x:f>G4489-E4489</x:f>
        <x:v>0</x:v>
      </x:c>
      <x:c r="L4489" s="40" t="n">
        <x:f>ABS(K4489)</x:f>
        <x:v>0</x:v>
      </x:c>
      <x:c r="M4489" s="41" t="str">
        <x:v>lstm-soil-v1</x:v>
      </x:c>
    </x:row>
    <x:row r="4490">
      <x:c r="A4490" s="38" t="str">
        <x:v>7月30日现场数据</x:v>
      </x:c>
      <x:c r="B4490" s="39" t="str">
        <x:v>2026-08-04T11:00:00</x:v>
      </x:c>
      <x:c r="C4490" s="39" t="str">
        <x:v>2026-08-04T11:30:00</x:v>
      </x:c>
      <x:c r="D4490" s="47" t="n">
        <x:v>30</x:v>
      </x:c>
      <x:c r="E4490" s="40" t="n">
        <x:v>12.7</x:v>
      </x:c>
      <x:c r="F4490" s="40" t="n">
        <x:v>11.295295715332031</x:v>
      </x:c>
      <x:c r="G4490" s="40" t="n">
        <x:v>12.7</x:v>
      </x:c>
      <x:c r="H4490" s="40" t="n">
        <x:f>F4490-E4490</x:f>
        <x:v>-1.404704284667968</x:v>
      </x:c>
      <x:c r="I4490" s="40" t="n">
        <x:f>ABS(H4490)</x:f>
        <x:v>1.404704284667968</x:v>
      </x:c>
      <x:c r="J4490" s="40" t="n">
        <x:f>H4490^2</x:f>
        <x:v>1.9731941273645477</x:v>
      </x:c>
      <x:c r="K4490" s="40" t="n">
        <x:f>G4490-E4490</x:f>
        <x:v>0</x:v>
      </x:c>
      <x:c r="L4490" s="40" t="n">
        <x:f>ABS(K4490)</x:f>
        <x:v>0</x:v>
      </x:c>
      <x:c r="M4490" s="41" t="str">
        <x:v>lstm-soil-v1</x:v>
      </x:c>
    </x:row>
    <x:row r="4491">
      <x:c r="A4491" s="38" t="str">
        <x:v>7月30日现场数据</x:v>
      </x:c>
      <x:c r="B4491" s="39" t="str">
        <x:v>2026-08-04T11:00:00</x:v>
      </x:c>
      <x:c r="C4491" s="39" t="str">
        <x:v>2026-08-04T12:00:00</x:v>
      </x:c>
      <x:c r="D4491" s="47" t="n">
        <x:v>60</x:v>
      </x:c>
      <x:c r="E4491" s="40" t="n">
        <x:v>12.6</x:v>
      </x:c>
      <x:c r="F4491" s="40" t="n">
        <x:v>12.98361587524414</x:v>
      </x:c>
      <x:c r="G4491" s="40" t="n">
        <x:v>12.7</x:v>
      </x:c>
      <x:c r="H4491" s="40" t="n">
        <x:f>F4491-E4491</x:f>
        <x:v>0.383615875244141</x:v>
      </x:c>
      <x:c r="I4491" s="40" t="n">
        <x:f>ABS(H4491)</x:f>
        <x:v>0.383615875244141</x:v>
      </x:c>
      <x:c r="J4491" s="40" t="n">
        <x:f>H4491^2</x:f>
        <x:v>0.14716113973932834</x:v>
      </x:c>
      <x:c r="K4491" s="40" t="n">
        <x:f>G4491-E4491</x:f>
        <x:v>0.09999999999999964</x:v>
      </x:c>
      <x:c r="L4491" s="40" t="n">
        <x:f>ABS(K4491)</x:f>
        <x:v>0.09999999999999964</x:v>
      </x:c>
      <x:c r="M4491" s="41" t="str">
        <x:v>lstm-soil-v1</x:v>
      </x:c>
    </x:row>
    <x:row r="4492">
      <x:c r="A4492" s="38" t="str">
        <x:v>7月30日现场数据</x:v>
      </x:c>
      <x:c r="B4492" s="39" t="str">
        <x:v>2026-08-04T11:05:00</x:v>
      </x:c>
      <x:c r="C4492" s="39" t="str">
        <x:v>2026-08-04T11:10:00</x:v>
      </x:c>
      <x:c r="D4492" s="47" t="n">
        <x:v>5</x:v>
      </x:c>
      <x:c r="E4492" s="40" t="n">
        <x:v>12.7</x:v>
      </x:c>
      <x:c r="F4492" s="40" t="n">
        <x:v>10.711410522460938</x:v>
      </x:c>
      <x:c r="G4492" s="40" t="n">
        <x:v>12.7</x:v>
      </x:c>
      <x:c r="H4492" s="40" t="n">
        <x:f>F4492-E4492</x:f>
        <x:v>-1.9885894775390618</x:v>
      </x:c>
      <x:c r="I4492" s="40" t="n">
        <x:f>ABS(H4492)</x:f>
        <x:v>1.9885894775390618</x:v>
      </x:c>
      <x:c r="J4492" s="40" t="n">
        <x:f>H4492^2</x:f>
        <x:v>3.9544881101790788</x:v>
      </x:c>
      <x:c r="K4492" s="40" t="n">
        <x:f>G4492-E4492</x:f>
        <x:v>0</x:v>
      </x:c>
      <x:c r="L4492" s="40" t="n">
        <x:f>ABS(K4492)</x:f>
        <x:v>0</x:v>
      </x:c>
      <x:c r="M4492" s="41" t="str">
        <x:v>lstm-soil-v1</x:v>
      </x:c>
    </x:row>
    <x:row r="4493">
      <x:c r="A4493" s="38" t="str">
        <x:v>7月30日现场数据</x:v>
      </x:c>
      <x:c r="B4493" s="39" t="str">
        <x:v>2026-08-04T11:05:00</x:v>
      </x:c>
      <x:c r="C4493" s="39" t="str">
        <x:v>2026-08-04T11:20:00</x:v>
      </x:c>
      <x:c r="D4493" s="47" t="n">
        <x:v>15</x:v>
      </x:c>
      <x:c r="E4493" s="40" t="n">
        <x:v>12.7</x:v>
      </x:c>
      <x:c r="F4493" s="40" t="n">
        <x:v>10.78277587890625</x:v>
      </x:c>
      <x:c r="G4493" s="40" t="n">
        <x:v>12.7</x:v>
      </x:c>
      <x:c r="H4493" s="40" t="n">
        <x:f>F4493-E4493</x:f>
        <x:v>-1.9172241210937493</x:v>
      </x:c>
      <x:c r="I4493" s="40" t="n">
        <x:f>ABS(H4493)</x:f>
        <x:v>1.9172241210937493</x:v>
      </x:c>
      <x:c r="J4493" s="40" t="n">
        <x:f>H4493^2</x:f>
        <x:v>3.6757483305036995</x:v>
      </x:c>
      <x:c r="K4493" s="40" t="n">
        <x:f>G4493-E4493</x:f>
        <x:v>0</x:v>
      </x:c>
      <x:c r="L4493" s="40" t="n">
        <x:f>ABS(K4493)</x:f>
        <x:v>0</x:v>
      </x:c>
      <x:c r="M4493" s="41" t="str">
        <x:v>lstm-soil-v1</x:v>
      </x:c>
    </x:row>
    <x:row r="4494">
      <x:c r="A4494" s="38" t="str">
        <x:v>7月30日现场数据</x:v>
      </x:c>
      <x:c r="B4494" s="39" t="str">
        <x:v>2026-08-04T11:05:00</x:v>
      </x:c>
      <x:c r="C4494" s="39" t="str">
        <x:v>2026-08-04T11:35:00</x:v>
      </x:c>
      <x:c r="D4494" s="47" t="n">
        <x:v>30</x:v>
      </x:c>
      <x:c r="E4494" s="40" t="n">
        <x:v>12.7</x:v>
      </x:c>
      <x:c r="F4494" s="40" t="n">
        <x:v>11.292049407958984</x:v>
      </x:c>
      <x:c r="G4494" s="40" t="n">
        <x:v>12.7</x:v>
      </x:c>
      <x:c r="H4494" s="40" t="n">
        <x:f>F4494-E4494</x:f>
        <x:v>-1.407950592041015</x:v>
      </x:c>
      <x:c r="I4494" s="40" t="n">
        <x:f>ABS(H4494)</x:f>
        <x:v>1.407950592041015</x:v>
      </x:c>
      <x:c r="J4494" s="40" t="n">
        <x:f>H4494^2</x:f>
        <x:v>1.9823248696286444</x:v>
      </x:c>
      <x:c r="K4494" s="40" t="n">
        <x:f>G4494-E4494</x:f>
        <x:v>0</x:v>
      </x:c>
      <x:c r="L4494" s="40" t="n">
        <x:f>ABS(K4494)</x:f>
        <x:v>0</x:v>
      </x:c>
      <x:c r="M4494" s="41" t="str">
        <x:v>lstm-soil-v1</x:v>
      </x:c>
    </x:row>
    <x:row r="4495">
      <x:c r="A4495" s="38" t="str">
        <x:v>7月30日现场数据</x:v>
      </x:c>
      <x:c r="B4495" s="39" t="str">
        <x:v>2026-08-04T11:05:00</x:v>
      </x:c>
      <x:c r="C4495" s="39" t="str">
        <x:v>2026-08-04T12:05:00</x:v>
      </x:c>
      <x:c r="D4495" s="47" t="n">
        <x:v>60</x:v>
      </x:c>
      <x:c r="E4495" s="40" t="n">
        <x:v>12.6</x:v>
      </x:c>
      <x:c r="F4495" s="40" t="n">
        <x:v>12.984832763671875</x:v>
      </x:c>
      <x:c r="G4495" s="40" t="n">
        <x:v>12.7</x:v>
      </x:c>
      <x:c r="H4495" s="40" t="n">
        <x:f>F4495-E4495</x:f>
        <x:v>0.38483276367187536</x:v>
      </x:c>
      <x:c r="I4495" s="40" t="n">
        <x:f>ABS(H4495)</x:f>
        <x:v>0.38483276367187536</x:v>
      </x:c>
      <x:c r="J4495" s="40" t="n">
        <x:f>H4495^2</x:f>
        <x:v>0.14809625599533346</x:v>
      </x:c>
      <x:c r="K4495" s="40" t="n">
        <x:f>G4495-E4495</x:f>
        <x:v>0.09999999999999964</x:v>
      </x:c>
      <x:c r="L4495" s="40" t="n">
        <x:f>ABS(K4495)</x:f>
        <x:v>0.09999999999999964</x:v>
      </x:c>
      <x:c r="M4495" s="41" t="str">
        <x:v>lstm-soil-v1</x:v>
      </x:c>
    </x:row>
    <x:row r="4496">
      <x:c r="A4496" s="38" t="str">
        <x:v>7月30日现场数据</x:v>
      </x:c>
      <x:c r="B4496" s="39" t="str">
        <x:v>2026-08-04T11:10:00</x:v>
      </x:c>
      <x:c r="C4496" s="39" t="str">
        <x:v>2026-08-04T11:15:00</x:v>
      </x:c>
      <x:c r="D4496" s="47" t="n">
        <x:v>5</x:v>
      </x:c>
      <x:c r="E4496" s="40" t="n">
        <x:v>12.7</x:v>
      </x:c>
      <x:c r="F4496" s="40" t="n">
        <x:v>10.712051391601562</x:v>
      </x:c>
      <x:c r="G4496" s="40" t="n">
        <x:v>12.7</x:v>
      </x:c>
      <x:c r="H4496" s="40" t="n">
        <x:f>F4496-E4496</x:f>
        <x:v>-1.9879486083984368</x:v>
      </x:c>
      <x:c r="I4496" s="40" t="n">
        <x:f>ABS(H4496)</x:f>
        <x:v>1.9879486083984368</x:v>
      </x:c>
      <x:c r="J4496" s="40" t="n">
        <x:f>H4496^2</x:f>
        <x:v>3.9519396696332816</x:v>
      </x:c>
      <x:c r="K4496" s="40" t="n">
        <x:f>G4496-E4496</x:f>
        <x:v>0</x:v>
      </x:c>
      <x:c r="L4496" s="40" t="n">
        <x:f>ABS(K4496)</x:f>
        <x:v>0</x:v>
      </x:c>
      <x:c r="M4496" s="41" t="str">
        <x:v>lstm-soil-v1</x:v>
      </x:c>
    </x:row>
    <x:row r="4497">
      <x:c r="A4497" s="38" t="str">
        <x:v>7月30日现场数据</x:v>
      </x:c>
      <x:c r="B4497" s="39" t="str">
        <x:v>2026-08-04T11:10:00</x:v>
      </x:c>
      <x:c r="C4497" s="39" t="str">
        <x:v>2026-08-04T11:25:00</x:v>
      </x:c>
      <x:c r="D4497" s="47" t="n">
        <x:v>15</x:v>
      </x:c>
      <x:c r="E4497" s="40" t="n">
        <x:v>12.7</x:v>
      </x:c>
      <x:c r="F4497" s="40" t="n">
        <x:v>10.784717559814453</x:v>
      </x:c>
      <x:c r="G4497" s="40" t="n">
        <x:v>12.7</x:v>
      </x:c>
      <x:c r="H4497" s="40" t="n">
        <x:f>F4497-E4497</x:f>
        <x:v>-1.9152824401855462</x:v>
      </x:c>
      <x:c r="I4497" s="40" t="n">
        <x:f>ABS(H4497)</x:f>
        <x:v>1.9152824401855462</x:v>
      </x:c>
      <x:c r="J4497" s="40" t="n">
        <x:f>H4497^2</x:f>
        <x:v>3.6683068256831004</x:v>
      </x:c>
      <x:c r="K4497" s="40" t="n">
        <x:f>G4497-E4497</x:f>
        <x:v>0</x:v>
      </x:c>
      <x:c r="L4497" s="40" t="n">
        <x:f>ABS(K4497)</x:f>
        <x:v>0</x:v>
      </x:c>
      <x:c r="M4497" s="41" t="str">
        <x:v>lstm-soil-v1</x:v>
      </x:c>
    </x:row>
    <x:row r="4498">
      <x:c r="A4498" s="38" t="str">
        <x:v>7月30日现场数据</x:v>
      </x:c>
      <x:c r="B4498" s="39" t="str">
        <x:v>2026-08-04T11:10:00</x:v>
      </x:c>
      <x:c r="C4498" s="39" t="str">
        <x:v>2026-08-04T11:40:00</x:v>
      </x:c>
      <x:c r="D4498" s="47" t="n">
        <x:v>30</x:v>
      </x:c>
      <x:c r="E4498" s="40" t="n">
        <x:v>12.7</x:v>
      </x:c>
      <x:c r="F4498" s="40" t="n">
        <x:v>11.287925720214844</x:v>
      </x:c>
      <x:c r="G4498" s="40" t="n">
        <x:v>12.7</x:v>
      </x:c>
      <x:c r="H4498" s="40" t="n">
        <x:f>F4498-E4498</x:f>
        <x:v>-1.4120742797851555</x:v>
      </x:c>
      <x:c r="I4498" s="40" t="n">
        <x:f>ABS(H4498)</x:f>
        <x:v>1.4120742797851555</x:v>
      </x:c>
      <x:c r="J4498" s="40" t="n">
        <x:f>H4498^2</x:f>
        <x:v>1.9939537716307658</x:v>
      </x:c>
      <x:c r="K4498" s="40" t="n">
        <x:f>G4498-E4498</x:f>
        <x:v>0</x:v>
      </x:c>
      <x:c r="L4498" s="40" t="n">
        <x:f>ABS(K4498)</x:f>
        <x:v>0</x:v>
      </x:c>
      <x:c r="M4498" s="41" t="str">
        <x:v>lstm-soil-v1</x:v>
      </x:c>
    </x:row>
    <x:row r="4499">
      <x:c r="A4499" s="38" t="str">
        <x:v>7月30日现场数据</x:v>
      </x:c>
      <x:c r="B4499" s="39" t="str">
        <x:v>2026-08-04T11:10:00</x:v>
      </x:c>
      <x:c r="C4499" s="39" t="str">
        <x:v>2026-08-04T12:10:00</x:v>
      </x:c>
      <x:c r="D4499" s="47" t="n">
        <x:v>60</x:v>
      </x:c>
      <x:c r="E4499" s="40" t="n">
        <x:v>12.6</x:v>
      </x:c>
      <x:c r="F4499" s="40" t="n">
        <x:v>12.981735229492188</x:v>
      </x:c>
      <x:c r="G4499" s="40" t="n">
        <x:v>12.7</x:v>
      </x:c>
      <x:c r="H4499" s="40" t="n">
        <x:f>F4499-E4499</x:f>
        <x:v>0.38173522949218786</x:v>
      </x:c>
      <x:c r="I4499" s="40" t="n">
        <x:f>ABS(H4499)</x:f>
        <x:v>0.38173522949218786</x:v>
      </x:c>
      <x:c r="J4499" s="40" t="n">
        <x:f>H4499^2</x:f>
        <x:v>0.14572178543545333</x:v>
      </x:c>
      <x:c r="K4499" s="40" t="n">
        <x:f>G4499-E4499</x:f>
        <x:v>0.09999999999999964</x:v>
      </x:c>
      <x:c r="L4499" s="40" t="n">
        <x:f>ABS(K4499)</x:f>
        <x:v>0.09999999999999964</x:v>
      </x:c>
      <x:c r="M4499" s="41" t="str">
        <x:v>lstm-soil-v1</x:v>
      </x:c>
    </x:row>
    <x:row r="4500">
      <x:c r="A4500" s="38" t="str">
        <x:v>7月30日现场数据</x:v>
      </x:c>
      <x:c r="B4500" s="39" t="str">
        <x:v>2026-08-04T11:15:00</x:v>
      </x:c>
      <x:c r="C4500" s="39" t="str">
        <x:v>2026-08-04T11:20:00</x:v>
      </x:c>
      <x:c r="D4500" s="47" t="n">
        <x:v>5</x:v>
      </x:c>
      <x:c r="E4500" s="40" t="n">
        <x:v>12.7</x:v>
      </x:c>
      <x:c r="F4500" s="40" t="n">
        <x:v>10.71261215209961</x:v>
      </x:c>
      <x:c r="G4500" s="40" t="n">
        <x:v>12.7</x:v>
      </x:c>
      <x:c r="H4500" s="40" t="n">
        <x:f>F4500-E4500</x:f>
        <x:v>-1.98738784790039</x:v>
      </x:c>
      <x:c r="I4500" s="40" t="n">
        <x:f>ABS(H4500)</x:f>
        <x:v>1.98738784790039</x:v>
      </x:c>
      <x:c r="J4500" s="40" t="n">
        <x:f>H4500^2</x:f>
        <x:v>3.9497104579821434</x:v>
      </x:c>
      <x:c r="K4500" s="40" t="n">
        <x:f>G4500-E4500</x:f>
        <x:v>0</x:v>
      </x:c>
      <x:c r="L4500" s="40" t="n">
        <x:f>ABS(K4500)</x:f>
        <x:v>0</x:v>
      </x:c>
      <x:c r="M4500" s="41" t="str">
        <x:v>lstm-soil-v1</x:v>
      </x:c>
    </x:row>
    <x:row r="4501">
      <x:c r="A4501" s="38" t="str">
        <x:v>7月30日现场数据</x:v>
      </x:c>
      <x:c r="B4501" s="39" t="str">
        <x:v>2026-08-04T11:15:00</x:v>
      </x:c>
      <x:c r="C4501" s="39" t="str">
        <x:v>2026-08-04T11:30:00</x:v>
      </x:c>
      <x:c r="D4501" s="47" t="n">
        <x:v>15</x:v>
      </x:c>
      <x:c r="E4501" s="40" t="n">
        <x:v>12.7</x:v>
      </x:c>
      <x:c r="F4501" s="40" t="n">
        <x:v>10.785972595214844</x:v>
      </x:c>
      <x:c r="G4501" s="40" t="n">
        <x:v>12.7</x:v>
      </x:c>
      <x:c r="H4501" s="40" t="n">
        <x:f>F4501-E4501</x:f>
        <x:v>-1.9140274047851555</x:v>
      </x:c>
      <x:c r="I4501" s="40" t="n">
        <x:f>ABS(H4501)</x:f>
        <x:v>1.9140274047851555</x:v>
      </x:c>
      <x:c r="J4501" s="40" t="n">
        <x:f>H4501^2</x:f>
        <x:v>3.6635009062685975</x:v>
      </x:c>
      <x:c r="K4501" s="40" t="n">
        <x:f>G4501-E4501</x:f>
        <x:v>0</x:v>
      </x:c>
      <x:c r="L4501" s="40" t="n">
        <x:f>ABS(K4501)</x:f>
        <x:v>0</x:v>
      </x:c>
      <x:c r="M4501" s="41" t="str">
        <x:v>lstm-soil-v1</x:v>
      </x:c>
    </x:row>
    <x:row r="4502">
      <x:c r="A4502" s="38" t="str">
        <x:v>7月30日现场数据</x:v>
      </x:c>
      <x:c r="B4502" s="39" t="str">
        <x:v>2026-08-04T11:15:00</x:v>
      </x:c>
      <x:c r="C4502" s="39" t="str">
        <x:v>2026-08-04T11:45:00</x:v>
      </x:c>
      <x:c r="D4502" s="47" t="n">
        <x:v>30</x:v>
      </x:c>
      <x:c r="E4502" s="40" t="n">
        <x:v>12.6</x:v>
      </x:c>
      <x:c r="F4502" s="40" t="n">
        <x:v>11.283950805664062</x:v>
      </x:c>
      <x:c r="G4502" s="40" t="n">
        <x:v>12.7</x:v>
      </x:c>
      <x:c r="H4502" s="40" t="n">
        <x:f>F4502-E4502</x:f>
        <x:v>-1.3160491943359371</x:v>
      </x:c>
      <x:c r="I4502" s="40" t="n">
        <x:f>ABS(H4502)</x:f>
        <x:v>1.3160491943359371</x:v>
      </x:c>
      <x:c r="J4502" s="40" t="n">
        <x:f>H4502^2</x:f>
        <x:v>1.7319854819122693</x:v>
      </x:c>
      <x:c r="K4502" s="40" t="n">
        <x:f>G4502-E4502</x:f>
        <x:v>0.09999999999999964</x:v>
      </x:c>
      <x:c r="L4502" s="40" t="n">
        <x:f>ABS(K4502)</x:f>
        <x:v>0.09999999999999964</x:v>
      </x:c>
      <x:c r="M4502" s="41" t="str">
        <x:v>lstm-soil-v1</x:v>
      </x:c>
    </x:row>
    <x:row r="4503">
      <x:c r="A4503" s="38" t="str">
        <x:v>7月30日现场数据</x:v>
      </x:c>
      <x:c r="B4503" s="39" t="str">
        <x:v>2026-08-04T11:15:00</x:v>
      </x:c>
      <x:c r="C4503" s="39" t="str">
        <x:v>2026-08-04T12:15:00</x:v>
      </x:c>
      <x:c r="D4503" s="47" t="n">
        <x:v>60</x:v>
      </x:c>
      <x:c r="E4503" s="40" t="n">
        <x:v>12.6</x:v>
      </x:c>
      <x:c r="F4503" s="40" t="n">
        <x:v>12.978195190429688</x:v>
      </x:c>
      <x:c r="G4503" s="40" t="n">
        <x:v>12.7</x:v>
      </x:c>
      <x:c r="H4503" s="40" t="n">
        <x:f>F4503-E4503</x:f>
        <x:v>0.37819519042968786</x:v>
      </x:c>
      <x:c r="I4503" s="40" t="n">
        <x:f>ABS(H4503)</x:f>
        <x:v>0.37819519042968786</x:v>
      </x:c>
      <x:c r="J4503" s="40" t="n">
        <x:f>H4503^2</x:f>
        <x:v>0.14303160206414786</x:v>
      </x:c>
      <x:c r="K4503" s="40" t="n">
        <x:f>G4503-E4503</x:f>
        <x:v>0.09999999999999964</x:v>
      </x:c>
      <x:c r="L4503" s="40" t="n">
        <x:f>ABS(K4503)</x:f>
        <x:v>0.09999999999999964</x:v>
      </x:c>
      <x:c r="M4503" s="41" t="str">
        <x:v>lstm-soil-v1</x:v>
      </x:c>
    </x:row>
    <x:row r="4504">
      <x:c r="A4504" s="38" t="str">
        <x:v>7月30日现场数据</x:v>
      </x:c>
      <x:c r="B4504" s="39" t="str">
        <x:v>2026-08-04T11:20:00</x:v>
      </x:c>
      <x:c r="C4504" s="39" t="str">
        <x:v>2026-08-04T11:25:00</x:v>
      </x:c>
      <x:c r="D4504" s="47" t="n">
        <x:v>5</x:v>
      </x:c>
      <x:c r="E4504" s="40" t="n">
        <x:v>12.7</x:v>
      </x:c>
      <x:c r="F4504" s="40" t="n">
        <x:v>10.713001251220703</x:v>
      </x:c>
      <x:c r="G4504" s="40" t="n">
        <x:v>12.7</x:v>
      </x:c>
      <x:c r="H4504" s="40" t="n">
        <x:f>F4504-E4504</x:f>
        <x:v>-1.9869987487792962</x:v>
      </x:c>
      <x:c r="I4504" s="40" t="n">
        <x:f>ABS(H4504)</x:f>
        <x:v>1.9869987487792962</x:v>
      </x:c>
      <x:c r="J4504" s="40" t="n">
        <x:f>H4504^2</x:f>
        <x:v>3.9481640276504884</x:v>
      </x:c>
      <x:c r="K4504" s="40" t="n">
        <x:f>G4504-E4504</x:f>
        <x:v>0</x:v>
      </x:c>
      <x:c r="L4504" s="40" t="n">
        <x:f>ABS(K4504)</x:f>
        <x:v>0</x:v>
      </x:c>
      <x:c r="M4504" s="41" t="str">
        <x:v>lstm-soil-v1</x:v>
      </x:c>
    </x:row>
    <x:row r="4505">
      <x:c r="A4505" s="38" t="str">
        <x:v>7月30日现场数据</x:v>
      </x:c>
      <x:c r="B4505" s="39" t="str">
        <x:v>2026-08-04T11:20:00</x:v>
      </x:c>
      <x:c r="C4505" s="39" t="str">
        <x:v>2026-08-04T11:35:00</x:v>
      </x:c>
      <x:c r="D4505" s="47" t="n">
        <x:v>15</x:v>
      </x:c>
      <x:c r="E4505" s="40" t="n">
        <x:v>12.7</x:v>
      </x:c>
      <x:c r="F4505" s="40" t="n">
        <x:v>10.786823272705078</x:v>
      </x:c>
      <x:c r="G4505" s="40" t="n">
        <x:v>12.7</x:v>
      </x:c>
      <x:c r="H4505" s="40" t="n">
        <x:f>F4505-E4505</x:f>
        <x:v>-1.9131767272949212</x:v>
      </x:c>
      <x:c r="I4505" s="40" t="n">
        <x:f>ABS(H4505)</x:f>
        <x:v>1.9131767272949212</x:v>
      </x:c>
      <x:c r="J4505" s="40" t="n">
        <x:f>H4505^2</x:f>
        <x:v>3.660245189862905</x:v>
      </x:c>
      <x:c r="K4505" s="40" t="n">
        <x:f>G4505-E4505</x:f>
        <x:v>0</x:v>
      </x:c>
      <x:c r="L4505" s="40" t="n">
        <x:f>ABS(K4505)</x:f>
        <x:v>0</x:v>
      </x:c>
      <x:c r="M4505" s="41" t="str">
        <x:v>lstm-soil-v1</x:v>
      </x:c>
    </x:row>
    <x:row r="4506">
      <x:c r="A4506" s="38" t="str">
        <x:v>7月30日现场数据</x:v>
      </x:c>
      <x:c r="B4506" s="39" t="str">
        <x:v>2026-08-04T11:20:00</x:v>
      </x:c>
      <x:c r="C4506" s="39" t="str">
        <x:v>2026-08-04T11:50:00</x:v>
      </x:c>
      <x:c r="D4506" s="47" t="n">
        <x:v>30</x:v>
      </x:c>
      <x:c r="E4506" s="40" t="n">
        <x:v>12.6</x:v>
      </x:c>
      <x:c r="F4506" s="40" t="n">
        <x:v>11.280258178710938</x:v>
      </x:c>
      <x:c r="G4506" s="40" t="n">
        <x:v>12.7</x:v>
      </x:c>
      <x:c r="H4506" s="40" t="n">
        <x:f>F4506-E4506</x:f>
        <x:v>-1.3197418212890621</x:v>
      </x:c>
      <x:c r="I4506" s="40" t="n">
        <x:f>ABS(H4506)</x:f>
        <x:v>1.3197418212890621</x:v>
      </x:c>
      <x:c r="J4506" s="40" t="n">
        <x:f>H4506^2</x:f>
        <x:v>1.7417184748593708</x:v>
      </x:c>
      <x:c r="K4506" s="40" t="n">
        <x:f>G4506-E4506</x:f>
        <x:v>0.09999999999999964</x:v>
      </x:c>
      <x:c r="L4506" s="40" t="n">
        <x:f>ABS(K4506)</x:f>
        <x:v>0.09999999999999964</x:v>
      </x:c>
      <x:c r="M4506" s="41" t="str">
        <x:v>lstm-soil-v1</x:v>
      </x:c>
    </x:row>
    <x:row r="4507">
      <x:c r="A4507" s="38" t="str">
        <x:v>7月30日现场数据</x:v>
      </x:c>
      <x:c r="B4507" s="39" t="str">
        <x:v>2026-08-04T11:20:00</x:v>
      </x:c>
      <x:c r="C4507" s="39" t="str">
        <x:v>2026-08-04T12:20:00</x:v>
      </x:c>
      <x:c r="D4507" s="47" t="n">
        <x:v>60</x:v>
      </x:c>
      <x:c r="E4507" s="40" t="n">
        <x:v>12.6</x:v>
      </x:c>
      <x:c r="F4507" s="40" t="n">
        <x:v>12.97344970703125</x:v>
      </x:c>
      <x:c r="G4507" s="40" t="n">
        <x:v>12.7</x:v>
      </x:c>
      <x:c r="H4507" s="40" t="n">
        <x:f>F4507-E4507</x:f>
        <x:v>0.37344970703125036</x:v>
      </x:c>
      <x:c r="I4507" s="40" t="n">
        <x:f>ABS(H4507)</x:f>
        <x:v>0.37344970703125036</x:v>
      </x:c>
      <x:c r="J4507" s="40" t="n">
        <x:f>H4507^2</x:f>
        <x:v>0.1394646836817267</x:v>
      </x:c>
      <x:c r="K4507" s="40" t="n">
        <x:f>G4507-E4507</x:f>
        <x:v>0.09999999999999964</x:v>
      </x:c>
      <x:c r="L4507" s="40" t="n">
        <x:f>ABS(K4507)</x:f>
        <x:v>0.09999999999999964</x:v>
      </x:c>
      <x:c r="M4507" s="41" t="str">
        <x:v>lstm-soil-v1</x:v>
      </x:c>
    </x:row>
    <x:row r="4508">
      <x:c r="A4508" s="38" t="str">
        <x:v>7月30日现场数据</x:v>
      </x:c>
      <x:c r="B4508" s="39" t="str">
        <x:v>2026-08-04T11:25:00</x:v>
      </x:c>
      <x:c r="C4508" s="39" t="str">
        <x:v>2026-08-04T11:30:00</x:v>
      </x:c>
      <x:c r="D4508" s="47" t="n">
        <x:v>5</x:v>
      </x:c>
      <x:c r="E4508" s="40" t="n">
        <x:v>12.7</x:v>
      </x:c>
      <x:c r="F4508" s="40" t="n">
        <x:v>10.71310043334961</x:v>
      </x:c>
      <x:c r="G4508" s="40" t="n">
        <x:v>12.7</x:v>
      </x:c>
      <x:c r="H4508" s="40" t="n">
        <x:f>F4508-E4508</x:f>
        <x:v>-1.98689956665039</x:v>
      </x:c>
      <x:c r="I4508" s="40" t="n">
        <x:f>ABS(H4508)</x:f>
        <x:v>1.98689956665039</x:v>
      </x:c>
      <x:c r="J4508" s="40" t="n">
        <x:f>H4508^2</x:f>
        <x:v>3.9477698879555074</x:v>
      </x:c>
      <x:c r="K4508" s="40" t="n">
        <x:f>G4508-E4508</x:f>
        <x:v>0</x:v>
      </x:c>
      <x:c r="L4508" s="40" t="n">
        <x:f>ABS(K4508)</x:f>
        <x:v>0</x:v>
      </x:c>
      <x:c r="M4508" s="41" t="str">
        <x:v>lstm-soil-v1</x:v>
      </x:c>
    </x:row>
    <x:row r="4509">
      <x:c r="A4509" s="38" t="str">
        <x:v>7月30日现场数据</x:v>
      </x:c>
      <x:c r="B4509" s="39" t="str">
        <x:v>2026-08-04T11:25:00</x:v>
      </x:c>
      <x:c r="C4509" s="39" t="str">
        <x:v>2026-08-04T11:40:00</x:v>
      </x:c>
      <x:c r="D4509" s="47" t="n">
        <x:v>15</x:v>
      </x:c>
      <x:c r="E4509" s="40" t="n">
        <x:v>12.7</x:v>
      </x:c>
      <x:c r="F4509" s="40" t="n">
        <x:v>10.787357330322266</x:v>
      </x:c>
      <x:c r="G4509" s="40" t="n">
        <x:v>12.7</x:v>
      </x:c>
      <x:c r="H4509" s="40" t="n">
        <x:f>F4509-E4509</x:f>
        <x:v>-1.9126426696777337</x:v>
      </x:c>
      <x:c r="I4509" s="40" t="n">
        <x:f>ABS(H4509)</x:f>
        <x:v>1.9126426696777337</x:v>
      </x:c>
      <x:c r="J4509" s="40" t="n">
        <x:f>H4509^2</x:f>
        <x:v>3.658201981871968</x:v>
      </x:c>
      <x:c r="K4509" s="40" t="n">
        <x:f>G4509-E4509</x:f>
        <x:v>0</x:v>
      </x:c>
      <x:c r="L4509" s="40" t="n">
        <x:f>ABS(K4509)</x:f>
        <x:v>0</x:v>
      </x:c>
      <x:c r="M4509" s="41" t="str">
        <x:v>lstm-soil-v1</x:v>
      </x:c>
    </x:row>
    <x:row r="4510">
      <x:c r="A4510" s="38" t="str">
        <x:v>7月30日现场数据</x:v>
      </x:c>
      <x:c r="B4510" s="39" t="str">
        <x:v>2026-08-04T11:25:00</x:v>
      </x:c>
      <x:c r="C4510" s="39" t="str">
        <x:v>2026-08-04T11:55:00</x:v>
      </x:c>
      <x:c r="D4510" s="47" t="n">
        <x:v>30</x:v>
      </x:c>
      <x:c r="E4510" s="40" t="n">
        <x:v>12.6</x:v>
      </x:c>
      <x:c r="F4510" s="40" t="n">
        <x:v>11.276737213134766</x:v>
      </x:c>
      <x:c r="G4510" s="40" t="n">
        <x:v>12.7</x:v>
      </x:c>
      <x:c r="H4510" s="40" t="n">
        <x:f>F4510-E4510</x:f>
        <x:v>-1.323262786865234</x:v>
      </x:c>
      <x:c r="I4510" s="40" t="n">
        <x:f>ABS(H4510)</x:f>
        <x:v>1.323262786865234</x:v>
      </x:c>
      <x:c r="J4510" s="40" t="n">
        <x:f>H4510^2</x:f>
        <x:v>1.7510244031023459</x:v>
      </x:c>
      <x:c r="K4510" s="40" t="n">
        <x:f>G4510-E4510</x:f>
        <x:v>0.09999999999999964</x:v>
      </x:c>
      <x:c r="L4510" s="40" t="n">
        <x:f>ABS(K4510)</x:f>
        <x:v>0.09999999999999964</x:v>
      </x:c>
      <x:c r="M4510" s="41" t="str">
        <x:v>lstm-soil-v1</x:v>
      </x:c>
    </x:row>
    <x:row r="4511">
      <x:c r="A4511" s="38" t="str">
        <x:v>7月30日现场数据</x:v>
      </x:c>
      <x:c r="B4511" s="39" t="str">
        <x:v>2026-08-04T11:25:00</x:v>
      </x:c>
      <x:c r="C4511" s="39" t="str">
        <x:v>2026-08-04T12:25:00</x:v>
      </x:c>
      <x:c r="D4511" s="47" t="n">
        <x:v>60</x:v>
      </x:c>
      <x:c r="E4511" s="40" t="n">
        <x:v>12.5</x:v>
      </x:c>
      <x:c r="F4511" s="40" t="n">
        <x:v>12.96799087524414</x:v>
      </x:c>
      <x:c r="G4511" s="40" t="n">
        <x:v>12.7</x:v>
      </x:c>
      <x:c r="H4511" s="40" t="n">
        <x:f>F4511-E4511</x:f>
        <x:v>0.4679908752441406</x:v>
      </x:c>
      <x:c r="I4511" s="40" t="n">
        <x:f>ABS(H4511)</x:f>
        <x:v>0.4679908752441406</x:v>
      </x:c>
      <x:c r="J4511" s="40" t="n">
        <x:f>H4511^2</x:f>
        <x:v>0.2190154593117768</x:v>
      </x:c>
      <x:c r="K4511" s="40" t="n">
        <x:f>G4511-E4511</x:f>
        <x:v>0.1999999999999993</x:v>
      </x:c>
      <x:c r="L4511" s="40" t="n">
        <x:f>ABS(K4511)</x:f>
        <x:v>0.1999999999999993</x:v>
      </x:c>
      <x:c r="M4511" s="41" t="str">
        <x:v>lstm-soil-v1</x:v>
      </x:c>
    </x:row>
    <x:row r="4512">
      <x:c r="A4512" s="38" t="str">
        <x:v>7月30日现场数据</x:v>
      </x:c>
      <x:c r="B4512" s="39" t="str">
        <x:v>2026-08-04T11:30:00</x:v>
      </x:c>
      <x:c r="C4512" s="39" t="str">
        <x:v>2026-08-04T11:35:00</x:v>
      </x:c>
      <x:c r="D4512" s="47" t="n">
        <x:v>5</x:v>
      </x:c>
      <x:c r="E4512" s="40" t="n">
        <x:v>12.7</x:v>
      </x:c>
      <x:c r="F4512" s="40" t="n">
        <x:v>10.714744567871094</x:v>
      </x:c>
      <x:c r="G4512" s="40" t="n">
        <x:v>12.7</x:v>
      </x:c>
      <x:c r="H4512" s="40" t="n">
        <x:f>F4512-E4512</x:f>
        <x:v>-1.9852554321289055</x:v>
      </x:c>
      <x:c r="I4512" s="40" t="n">
        <x:f>ABS(H4512)</x:f>
        <x:v>1.9852554321289055</x:v>
      </x:c>
      <x:c r="J4512" s="40" t="n">
        <x:f>H4512^2</x:f>
        <x:v>3.9412391307973276</x:v>
      </x:c>
      <x:c r="K4512" s="40" t="n">
        <x:f>G4512-E4512</x:f>
        <x:v>0</x:v>
      </x:c>
      <x:c r="L4512" s="40" t="n">
        <x:f>ABS(K4512)</x:f>
        <x:v>0</x:v>
      </x:c>
      <x:c r="M4512" s="41" t="str">
        <x:v>lstm-soil-v1</x:v>
      </x:c>
    </x:row>
    <x:row r="4513">
      <x:c r="A4513" s="38" t="str">
        <x:v>7月30日现场数据</x:v>
      </x:c>
      <x:c r="B4513" s="39" t="str">
        <x:v>2026-08-04T11:30:00</x:v>
      </x:c>
      <x:c r="C4513" s="39" t="str">
        <x:v>2026-08-04T11:45:00</x:v>
      </x:c>
      <x:c r="D4513" s="47" t="n">
        <x:v>15</x:v>
      </x:c>
      <x:c r="E4513" s="40" t="n">
        <x:v>12.6</x:v>
      </x:c>
      <x:c r="F4513" s="40" t="n">
        <x:v>10.785293579101562</x:v>
      </x:c>
      <x:c r="G4513" s="40" t="n">
        <x:v>12.7</x:v>
      </x:c>
      <x:c r="H4513" s="40" t="n">
        <x:f>F4513-E4513</x:f>
        <x:v>-1.8147064208984371</x:v>
      </x:c>
      <x:c r="I4513" s="40" t="n">
        <x:f>ABS(H4513)</x:f>
        <x:v>1.8147064208984371</x:v>
      </x:c>
      <x:c r="J4513" s="40" t="n">
        <x:f>H4513^2</x:f>
        <x:v>3.293159394050016</x:v>
      </x:c>
      <x:c r="K4513" s="40" t="n">
        <x:f>G4513-E4513</x:f>
        <x:v>0.09999999999999964</x:v>
      </x:c>
      <x:c r="L4513" s="40" t="n">
        <x:f>ABS(K4513)</x:f>
        <x:v>0.09999999999999964</x:v>
      </x:c>
      <x:c r="M4513" s="41" t="str">
        <x:v>lstm-soil-v1</x:v>
      </x:c>
    </x:row>
    <x:row r="4514">
      <x:c r="A4514" s="38" t="str">
        <x:v>7月30日现场数据</x:v>
      </x:c>
      <x:c r="B4514" s="39" t="str">
        <x:v>2026-08-04T11:30:00</x:v>
      </x:c>
      <x:c r="C4514" s="39" t="str">
        <x:v>2026-08-04T12:00:00</x:v>
      </x:c>
      <x:c r="D4514" s="47" t="n">
        <x:v>30</x:v>
      </x:c>
      <x:c r="E4514" s="40" t="n">
        <x:v>12.6</x:v>
      </x:c>
      <x:c r="F4514" s="40" t="n">
        <x:v>11.277458190917969</x:v>
      </x:c>
      <x:c r="G4514" s="40" t="n">
        <x:v>12.7</x:v>
      </x:c>
      <x:c r="H4514" s="40" t="n">
        <x:f>F4514-E4514</x:f>
        <x:v>-1.322541809082031</x:v>
      </x:c>
      <x:c r="I4514" s="40" t="n">
        <x:f>ABS(H4514)</x:f>
        <x:v>1.322541809082031</x:v>
      </x:c>
      <x:c r="J4514" s="40" t="n">
        <x:f>H4514^2</x:f>
        <x:v>1.749116836769971</x:v>
      </x:c>
      <x:c r="K4514" s="40" t="n">
        <x:f>G4514-E4514</x:f>
        <x:v>0.09999999999999964</x:v>
      </x:c>
      <x:c r="L4514" s="40" t="n">
        <x:f>ABS(K4514)</x:f>
        <x:v>0.09999999999999964</x:v>
      </x:c>
      <x:c r="M4514" s="41" t="str">
        <x:v>lstm-soil-v1</x:v>
      </x:c>
    </x:row>
    <x:row r="4515">
      <x:c r="A4515" s="38" t="str">
        <x:v>7月30日现场数据</x:v>
      </x:c>
      <x:c r="B4515" s="39" t="str">
        <x:v>2026-08-04T11:30:00</x:v>
      </x:c>
      <x:c r="C4515" s="39" t="str">
        <x:v>2026-08-04T12:30:00</x:v>
      </x:c>
      <x:c r="D4515" s="47" t="n">
        <x:v>60</x:v>
      </x:c>
      <x:c r="E4515" s="40" t="n">
        <x:v>12.5</x:v>
      </x:c>
      <x:c r="F4515" s="40" t="n">
        <x:v>12.975597381591797</x:v>
      </x:c>
      <x:c r="G4515" s="40" t="n">
        <x:v>12.7</x:v>
      </x:c>
      <x:c r="H4515" s="40" t="n">
        <x:f>F4515-E4515</x:f>
        <x:v>0.4755973815917969</x:v>
      </x:c>
      <x:c r="I4515" s="40" t="n">
        <x:f>ABS(H4515)</x:f>
        <x:v>0.4755973815917969</x:v>
      </x:c>
      <x:c r="J4515" s="40" t="n">
        <x:f>H4515^2</x:f>
        <x:v>0.22619286937697325</x:v>
      </x:c>
      <x:c r="K4515" s="40" t="n">
        <x:f>G4515-E4515</x:f>
        <x:v>0.1999999999999993</x:v>
      </x:c>
      <x:c r="L4515" s="40" t="n">
        <x:f>ABS(K4515)</x:f>
        <x:v>0.1999999999999993</x:v>
      </x:c>
      <x:c r="M4515" s="41" t="str">
        <x:v>lstm-soil-v1</x:v>
      </x:c>
    </x:row>
    <x:row r="4516">
      <x:c r="A4516" s="38" t="str">
        <x:v>7月30日现场数据</x:v>
      </x:c>
      <x:c r="B4516" s="39" t="str">
        <x:v>2026-08-04T11:35:00</x:v>
      </x:c>
      <x:c r="C4516" s="39" t="str">
        <x:v>2026-08-04T11:40:00</x:v>
      </x:c>
      <x:c r="D4516" s="47" t="n">
        <x:v>5</x:v>
      </x:c>
      <x:c r="E4516" s="40" t="n">
        <x:v>12.7</x:v>
      </x:c>
      <x:c r="F4516" s="40" t="n">
        <x:v>10.715625762939453</x:v>
      </x:c>
      <x:c r="G4516" s="40" t="n">
        <x:v>12.7</x:v>
      </x:c>
      <x:c r="H4516" s="40" t="n">
        <x:f>F4516-E4516</x:f>
        <x:v>-1.9843742370605462</x:v>
      </x:c>
      <x:c r="I4516" s="40" t="n">
        <x:f>ABS(H4516)</x:f>
        <x:v>1.9843742370605462</x:v>
      </x:c>
      <x:c r="J4516" s="40" t="n">
        <x:f>H4516^2</x:f>
        <x:v>3.9377411127096247</x:v>
      </x:c>
      <x:c r="K4516" s="40" t="n">
        <x:f>G4516-E4516</x:f>
        <x:v>0</x:v>
      </x:c>
      <x:c r="L4516" s="40" t="n">
        <x:f>ABS(K4516)</x:f>
        <x:v>0</x:v>
      </x:c>
      <x:c r="M4516" s="41" t="str">
        <x:v>lstm-soil-v1</x:v>
      </x:c>
    </x:row>
    <x:row r="4517">
      <x:c r="A4517" s="38" t="str">
        <x:v>7月30日现场数据</x:v>
      </x:c>
      <x:c r="B4517" s="39" t="str">
        <x:v>2026-08-04T11:35:00</x:v>
      </x:c>
      <x:c r="C4517" s="39" t="str">
        <x:v>2026-08-04T11:50:00</x:v>
      </x:c>
      <x:c r="D4517" s="47" t="n">
        <x:v>15</x:v>
      </x:c>
      <x:c r="E4517" s="40" t="n">
        <x:v>12.6</x:v>
      </x:c>
      <x:c r="F4517" s="40" t="n">
        <x:v>10.7862548828125</x:v>
      </x:c>
      <x:c r="G4517" s="40" t="n">
        <x:v>12.7</x:v>
      </x:c>
      <x:c r="H4517" s="40" t="n">
        <x:f>F4517-E4517</x:f>
        <x:v>-1.8137451171874996</x:v>
      </x:c>
      <x:c r="I4517" s="40" t="n">
        <x:f>ABS(H4517)</x:f>
        <x:v>1.8137451171874996</x:v>
      </x:c>
      <x:c r="J4517" s="40" t="n">
        <x:f>H4517^2</x:f>
        <x:v>3.289671350121497</x:v>
      </x:c>
      <x:c r="K4517" s="40" t="n">
        <x:f>G4517-E4517</x:f>
        <x:v>0.09999999999999964</x:v>
      </x:c>
      <x:c r="L4517" s="40" t="n">
        <x:f>ABS(K4517)</x:f>
        <x:v>0.09999999999999964</x:v>
      </x:c>
      <x:c r="M4517" s="41" t="str">
        <x:v>lstm-soil-v1</x:v>
      </x:c>
    </x:row>
    <x:row r="4518">
      <x:c r="A4518" s="38" t="str">
        <x:v>7月30日现场数据</x:v>
      </x:c>
      <x:c r="B4518" s="39" t="str">
        <x:v>2026-08-04T11:35:00</x:v>
      </x:c>
      <x:c r="C4518" s="39" t="str">
        <x:v>2026-08-04T12:05:00</x:v>
      </x:c>
      <x:c r="D4518" s="47" t="n">
        <x:v>30</x:v>
      </x:c>
      <x:c r="E4518" s="40" t="n">
        <x:v>12.6</x:v>
      </x:c>
      <x:c r="F4518" s="40" t="n">
        <x:v>11.2786865234375</x:v>
      </x:c>
      <x:c r="G4518" s="40" t="n">
        <x:v>12.7</x:v>
      </x:c>
      <x:c r="H4518" s="40" t="n">
        <x:f>F4518-E4518</x:f>
        <x:v>-1.3213134765624996</x:v>
      </x:c>
      <x:c r="I4518" s="40" t="n">
        <x:f>ABS(H4518)</x:f>
        <x:v>1.3213134765624996</x:v>
      </x:c>
      <x:c r="J4518" s="40" t="n">
        <x:f>H4518^2</x:f>
        <x:v>1.7458693033456794</x:v>
      </x:c>
      <x:c r="K4518" s="40" t="n">
        <x:f>G4518-E4518</x:f>
        <x:v>0.09999999999999964</x:v>
      </x:c>
      <x:c r="L4518" s="40" t="n">
        <x:f>ABS(K4518)</x:f>
        <x:v>0.09999999999999964</x:v>
      </x:c>
      <x:c r="M4518" s="41" t="str">
        <x:v>lstm-soil-v1</x:v>
      </x:c>
    </x:row>
    <x:row r="4519">
      <x:c r="A4519" s="38" t="str">
        <x:v>7月30日现场数据</x:v>
      </x:c>
      <x:c r="B4519" s="39" t="str">
        <x:v>2026-08-04T11:35:00</x:v>
      </x:c>
      <x:c r="C4519" s="39" t="str">
        <x:v>2026-08-04T12:35:00</x:v>
      </x:c>
      <x:c r="D4519" s="47" t="n">
        <x:v>60</x:v>
      </x:c>
      <x:c r="E4519" s="40" t="n">
        <x:v>12.5</x:v>
      </x:c>
      <x:c r="F4519" s="40" t="n">
        <x:v>12.973472595214844</x:v>
      </x:c>
      <x:c r="G4519" s="40" t="n">
        <x:v>12.7</x:v>
      </x:c>
      <x:c r="H4519" s="40" t="n">
        <x:f>F4519-E4519</x:f>
        <x:v>0.47347259521484375</x:v>
      </x:c>
      <x:c r="I4519" s="40" t="n">
        <x:f>ABS(H4519)</x:f>
        <x:v>0.47347259521484375</x:v>
      </x:c>
      <x:c r="J4519" s="40" t="n">
        <x:f>H4519^2</x:f>
        <x:v>0.22417629841947928</x:v>
      </x:c>
      <x:c r="K4519" s="40" t="n">
        <x:f>G4519-E4519</x:f>
        <x:v>0.1999999999999993</x:v>
      </x:c>
      <x:c r="L4519" s="40" t="n">
        <x:f>ABS(K4519)</x:f>
        <x:v>0.1999999999999993</x:v>
      </x:c>
      <x:c r="M4519" s="41" t="str">
        <x:v>lstm-soil-v1</x:v>
      </x:c>
    </x:row>
    <x:row r="4520">
      <x:c r="A4520" s="38" t="str">
        <x:v>7月30日现场数据</x:v>
      </x:c>
      <x:c r="B4520" s="39" t="str">
        <x:v>2026-08-04T11:40:00</x:v>
      </x:c>
      <x:c r="C4520" s="39" t="str">
        <x:v>2026-08-04T11:45:00</x:v>
      </x:c>
      <x:c r="D4520" s="47" t="n">
        <x:v>5</x:v>
      </x:c>
      <x:c r="E4520" s="40" t="n">
        <x:v>12.6</x:v>
      </x:c>
      <x:c r="F4520" s="40" t="n">
        <x:v>10.715278625488281</x:v>
      </x:c>
      <x:c r="G4520" s="40" t="n">
        <x:v>12.7</x:v>
      </x:c>
      <x:c r="H4520" s="40" t="n">
        <x:f>F4520-E4520</x:f>
        <x:v>-1.8847213745117184</x:v>
      </x:c>
      <x:c r="I4520" s="40" t="n">
        <x:f>ABS(H4520)</x:f>
        <x:v>1.8847213745117184</x:v>
      </x:c>
      <x:c r="J4520" s="40" t="n">
        <x:f>H4520^2</x:f>
        <x:v>3.552174659541341</x:v>
      </x:c>
      <x:c r="K4520" s="40" t="n">
        <x:f>G4520-E4520</x:f>
        <x:v>0.09999999999999964</x:v>
      </x:c>
      <x:c r="L4520" s="40" t="n">
        <x:f>ABS(K4520)</x:f>
        <x:v>0.09999999999999964</x:v>
      </x:c>
      <x:c r="M4520" s="41" t="str">
        <x:v>lstm-soil-v1</x:v>
      </x:c>
    </x:row>
    <x:row r="4521">
      <x:c r="A4521" s="38" t="str">
        <x:v>7月30日现场数据</x:v>
      </x:c>
      <x:c r="B4521" s="39" t="str">
        <x:v>2026-08-04T11:40:00</x:v>
      </x:c>
      <x:c r="C4521" s="39" t="str">
        <x:v>2026-08-04T11:55:00</x:v>
      </x:c>
      <x:c r="D4521" s="47" t="n">
        <x:v>15</x:v>
      </x:c>
      <x:c r="E4521" s="40" t="n">
        <x:v>12.6</x:v>
      </x:c>
      <x:c r="F4521" s="40" t="n">
        <x:v>10.786605834960938</x:v>
      </x:c>
      <x:c r="G4521" s="40" t="n">
        <x:v>12.7</x:v>
      </x:c>
      <x:c r="H4521" s="40" t="n">
        <x:f>F4521-E4521</x:f>
        <x:v>-1.8133941650390621</x:v>
      </x:c>
      <x:c r="I4521" s="40" t="n">
        <x:f>ABS(H4521)</x:f>
        <x:v>1.8133941650390621</x:v>
      </x:c>
      <x:c r="J4521" s="40" t="n">
        <x:f>H4521^2</x:f>
        <x:v>3.2883983977977174</x:v>
      </x:c>
      <x:c r="K4521" s="40" t="n">
        <x:f>G4521-E4521</x:f>
        <x:v>0.09999999999999964</x:v>
      </x:c>
      <x:c r="L4521" s="40" t="n">
        <x:f>ABS(K4521)</x:f>
        <x:v>0.09999999999999964</x:v>
      </x:c>
      <x:c r="M4521" s="41" t="str">
        <x:v>lstm-soil-v1</x:v>
      </x:c>
    </x:row>
    <x:row r="4522">
      <x:c r="A4522" s="38" t="str">
        <x:v>7月30日现场数据</x:v>
      </x:c>
      <x:c r="B4522" s="39" t="str">
        <x:v>2026-08-04T11:40:00</x:v>
      </x:c>
      <x:c r="C4522" s="39" t="str">
        <x:v>2026-08-04T12:10:00</x:v>
      </x:c>
      <x:c r="D4522" s="47" t="n">
        <x:v>30</x:v>
      </x:c>
      <x:c r="E4522" s="40" t="n">
        <x:v>12.6</x:v>
      </x:c>
      <x:c r="F4522" s="40" t="n">
        <x:v>11.276809692382812</x:v>
      </x:c>
      <x:c r="G4522" s="40" t="n">
        <x:v>12.7</x:v>
      </x:c>
      <x:c r="H4522" s="40" t="n">
        <x:f>F4522-E4522</x:f>
        <x:v>-1.3231903076171871</x:v>
      </x:c>
      <x:c r="I4522" s="40" t="n">
        <x:f>ABS(H4522)</x:f>
        <x:v>1.3231903076171871</x:v>
      </x:c>
      <x:c r="J4522" s="40" t="n">
        <x:f>H4522^2</x:f>
        <x:v>1.7508325901720663</x:v>
      </x:c>
      <x:c r="K4522" s="40" t="n">
        <x:f>G4522-E4522</x:f>
        <x:v>0.09999999999999964</x:v>
      </x:c>
      <x:c r="L4522" s="40" t="n">
        <x:f>ABS(K4522)</x:f>
        <x:v>0.09999999999999964</x:v>
      </x:c>
      <x:c r="M4522" s="41" t="str">
        <x:v>lstm-soil-v1</x:v>
      </x:c>
    </x:row>
    <x:row r="4523">
      <x:c r="A4523" s="38" t="str">
        <x:v>7月30日现场数据</x:v>
      </x:c>
      <x:c r="B4523" s="39" t="str">
        <x:v>2026-08-04T11:40:00</x:v>
      </x:c>
      <x:c r="C4523" s="39" t="str">
        <x:v>2026-08-04T12:40:00</x:v>
      </x:c>
      <x:c r="D4523" s="47" t="n">
        <x:v>60</x:v>
      </x:c>
      <x:c r="E4523" s="40" t="n">
        <x:v>12.5</x:v>
      </x:c>
      <x:c r="F4523" s="40" t="n">
        <x:v>12.969886779785156</x:v>
      </x:c>
      <x:c r="G4523" s="40" t="n">
        <x:v>12.7</x:v>
      </x:c>
      <x:c r="H4523" s="40" t="n">
        <x:f>F4523-E4523</x:f>
        <x:v>0.46988677978515625</x:v>
      </x:c>
      <x:c r="I4523" s="40" t="n">
        <x:f>ABS(H4523)</x:f>
        <x:v>0.46988677978515625</x:v>
      </x:c>
      <x:c r="J4523" s="40" t="n">
        <x:f>H4523^2</x:f>
        <x:v>0.22079358581686392</x:v>
      </x:c>
      <x:c r="K4523" s="40" t="n">
        <x:f>G4523-E4523</x:f>
        <x:v>0.1999999999999993</x:v>
      </x:c>
      <x:c r="L4523" s="40" t="n">
        <x:f>ABS(K4523)</x:f>
        <x:v>0.1999999999999993</x:v>
      </x:c>
      <x:c r="M4523" s="41" t="str">
        <x:v>lstm-soil-v1</x:v>
      </x:c>
    </x:row>
    <x:row r="4524">
      <x:c r="A4524" s="38" t="str">
        <x:v>7月30日现场数据</x:v>
      </x:c>
      <x:c r="B4524" s="39" t="str">
        <x:v>2026-08-04T11:45:00</x:v>
      </x:c>
      <x:c r="C4524" s="39" t="str">
        <x:v>2026-08-04T11:50:00</x:v>
      </x:c>
      <x:c r="D4524" s="47" t="n">
        <x:v>5</x:v>
      </x:c>
      <x:c r="E4524" s="40" t="n">
        <x:v>12.6</x:v>
      </x:c>
      <x:c r="F4524" s="40" t="n">
        <x:v>10.604270935058594</x:v>
      </x:c>
      <x:c r="G4524" s="40" t="n">
        <x:v>12.6</x:v>
      </x:c>
      <x:c r="H4524" s="40" t="n">
        <x:f>F4524-E4524</x:f>
        <x:v>-1.995729064941406</x:v>
      </x:c>
      <x:c r="I4524" s="40" t="n">
        <x:f>ABS(H4524)</x:f>
        <x:v>1.995729064941406</x:v>
      </x:c>
      <x:c r="J4524" s="40" t="n">
        <x:f>H4524^2</x:f>
        <x:v>3.9829345006518984</x:v>
      </x:c>
      <x:c r="K4524" s="40" t="n">
        <x:f>G4524-E4524</x:f>
        <x:v>0</x:v>
      </x:c>
      <x:c r="L4524" s="40" t="n">
        <x:f>ABS(K4524)</x:f>
        <x:v>0</x:v>
      </x:c>
      <x:c r="M4524" s="41" t="str">
        <x:v>lstm-soil-v1</x:v>
      </x:c>
    </x:row>
    <x:row r="4525">
      <x:c r="A4525" s="38" t="str">
        <x:v>7月30日现场数据</x:v>
      </x:c>
      <x:c r="B4525" s="39" t="str">
        <x:v>2026-08-04T11:45:00</x:v>
      </x:c>
      <x:c r="C4525" s="39" t="str">
        <x:v>2026-08-04T12:00:00</x:v>
      </x:c>
      <x:c r="D4525" s="47" t="n">
        <x:v>15</x:v>
      </x:c>
      <x:c r="E4525" s="40" t="n">
        <x:v>12.6</x:v>
      </x:c>
      <x:c r="F4525" s="40" t="n">
        <x:v>10.677345275878906</x:v>
      </x:c>
      <x:c r="G4525" s="40" t="n">
        <x:v>12.6</x:v>
      </x:c>
      <x:c r="H4525" s="40" t="n">
        <x:f>F4525-E4525</x:f>
        <x:v>-1.9226547241210934</x:v>
      </x:c>
      <x:c r="I4525" s="40" t="n">
        <x:f>ABS(H4525)</x:f>
        <x:v>1.9226547241210934</x:v>
      </x:c>
      <x:c r="J4525" s="40" t="n">
        <x:f>H4525^2</x:f>
        <x:v>3.696601188185158</x:v>
      </x:c>
      <x:c r="K4525" s="40" t="n">
        <x:f>G4525-E4525</x:f>
        <x:v>0</x:v>
      </x:c>
      <x:c r="L4525" s="40" t="n">
        <x:f>ABS(K4525)</x:f>
        <x:v>0</x:v>
      </x:c>
      <x:c r="M4525" s="41" t="str">
        <x:v>lstm-soil-v1</x:v>
      </x:c>
    </x:row>
    <x:row r="4526">
      <x:c r="A4526" s="38" t="str">
        <x:v>7月30日现场数据</x:v>
      </x:c>
      <x:c r="B4526" s="39" t="str">
        <x:v>2026-08-04T11:45:00</x:v>
      </x:c>
      <x:c r="C4526" s="39" t="str">
        <x:v>2026-08-04T12:15:00</x:v>
      </x:c>
      <x:c r="D4526" s="47" t="n">
        <x:v>30</x:v>
      </x:c>
      <x:c r="E4526" s="40" t="n">
        <x:v>12.6</x:v>
      </x:c>
      <x:c r="F4526" s="40" t="n">
        <x:v>11.16329574584961</x:v>
      </x:c>
      <x:c r="G4526" s="40" t="n">
        <x:v>12.6</x:v>
      </x:c>
      <x:c r="H4526" s="40" t="n">
        <x:f>F4526-E4526</x:f>
        <x:v>-1.4367042541503903</x:v>
      </x:c>
      <x:c r="I4526" s="40" t="n">
        <x:f>ABS(H4526)</x:f>
        <x:v>1.4367042541503903</x:v>
      </x:c>
      <x:c r="J4526" s="40" t="n">
        <x:f>H4526^2</x:f>
        <x:v>2.0641191138938293</x:v>
      </x:c>
      <x:c r="K4526" s="40" t="n">
        <x:f>G4526-E4526</x:f>
        <x:v>0</x:v>
      </x:c>
      <x:c r="L4526" s="40" t="n">
        <x:f>ABS(K4526)</x:f>
        <x:v>0</x:v>
      </x:c>
      <x:c r="M4526" s="41" t="str">
        <x:v>lstm-soil-v1</x:v>
      </x:c>
    </x:row>
    <x:row r="4527">
      <x:c r="A4527" s="38" t="str">
        <x:v>7月30日现场数据</x:v>
      </x:c>
      <x:c r="B4527" s="39" t="str">
        <x:v>2026-08-04T11:45:00</x:v>
      </x:c>
      <x:c r="C4527" s="39" t="str">
        <x:v>2026-08-04T12:45:00</x:v>
      </x:c>
      <x:c r="D4527" s="47" t="n">
        <x:v>60</x:v>
      </x:c>
      <x:c r="E4527" s="40" t="n">
        <x:v>12.5</x:v>
      </x:c>
      <x:c r="F4527" s="40" t="n">
        <x:v>12.852352142333984</x:v>
      </x:c>
      <x:c r="G4527" s="40" t="n">
        <x:v>12.6</x:v>
      </x:c>
      <x:c r="H4527" s="40" t="n">
        <x:f>F4527-E4527</x:f>
        <x:v>0.3523521423339844</x:v>
      </x:c>
      <x:c r="I4527" s="40" t="n">
        <x:f>ABS(H4527)</x:f>
        <x:v>0.3523521423339844</x:v>
      </x:c>
      <x:c r="J4527" s="40" t="n">
        <x:f>H4527^2</x:f>
        <x:v>0.12415203220734838</x:v>
      </x:c>
      <x:c r="K4527" s="40" t="n">
        <x:f>G4527-E4527</x:f>
        <x:v>0.09999999999999964</x:v>
      </x:c>
      <x:c r="L4527" s="40" t="n">
        <x:f>ABS(K4527)</x:f>
        <x:v>0.09999999999999964</x:v>
      </x:c>
      <x:c r="M4527" s="41" t="str">
        <x:v>lstm-soil-v1</x:v>
      </x:c>
    </x:row>
    <x:row r="4528">
      <x:c r="A4528" s="38" t="str">
        <x:v>7月30日现场数据</x:v>
      </x:c>
      <x:c r="B4528" s="39" t="str">
        <x:v>2026-08-04T11:50:00</x:v>
      </x:c>
      <x:c r="C4528" s="39" t="str">
        <x:v>2026-08-04T11:55:00</x:v>
      </x:c>
      <x:c r="D4528" s="47" t="n">
        <x:v>5</x:v>
      </x:c>
      <x:c r="E4528" s="40" t="n">
        <x:v>12.6</x:v>
      </x:c>
      <x:c r="F4528" s="40" t="n">
        <x:v>10.603874206542969</x:v>
      </x:c>
      <x:c r="G4528" s="40" t="n">
        <x:v>12.6</x:v>
      </x:c>
      <x:c r="H4528" s="40" t="n">
        <x:f>F4528-E4528</x:f>
        <x:v>-1.996125793457031</x:v>
      </x:c>
      <x:c r="I4528" s="40" t="n">
        <x:f>ABS(H4528)</x:f>
        <x:v>1.996125793457031</x:v>
      </x:c>
      <x:c r="J4528" s="40" t="n">
        <x:f>H4528^2</x:f>
        <x:v>3.984518183304461</x:v>
      </x:c>
      <x:c r="K4528" s="40" t="n">
        <x:f>G4528-E4528</x:f>
        <x:v>0</x:v>
      </x:c>
      <x:c r="L4528" s="40" t="n">
        <x:f>ABS(K4528)</x:f>
        <x:v>0</x:v>
      </x:c>
      <x:c r="M4528" s="41" t="str">
        <x:v>lstm-soil-v1</x:v>
      </x:c>
    </x:row>
    <x:row r="4529">
      <x:c r="A4529" s="38" t="str">
        <x:v>7月30日现场数据</x:v>
      </x:c>
      <x:c r="B4529" s="39" t="str">
        <x:v>2026-08-04T11:50:00</x:v>
      </x:c>
      <x:c r="C4529" s="39" t="str">
        <x:v>2026-08-04T12:05:00</x:v>
      </x:c>
      <x:c r="D4529" s="47" t="n">
        <x:v>15</x:v>
      </x:c>
      <x:c r="E4529" s="40" t="n">
        <x:v>12.6</x:v>
      </x:c>
      <x:c r="F4529" s="40" t="n">
        <x:v>10.67678451538086</x:v>
      </x:c>
      <x:c r="G4529" s="40" t="n">
        <x:v>12.6</x:v>
      </x:c>
      <x:c r="H4529" s="40" t="n">
        <x:f>F4529-E4529</x:f>
        <x:v>-1.9232154846191403</x:v>
      </x:c>
      <x:c r="I4529" s="40" t="n">
        <x:f>ABS(H4529)</x:f>
        <x:v>1.9232154846191403</x:v>
      </x:c>
      <x:c r="J4529" s="40" t="n">
        <x:f>H4529^2</x:f>
        <x:v>3.6987578002788344</x:v>
      </x:c>
      <x:c r="K4529" s="40" t="n">
        <x:f>G4529-E4529</x:f>
        <x:v>0</x:v>
      </x:c>
      <x:c r="L4529" s="40" t="n">
        <x:f>ABS(K4529)</x:f>
        <x:v>0</x:v>
      </x:c>
      <x:c r="M4529" s="41" t="str">
        <x:v>lstm-soil-v1</x:v>
      </x:c>
    </x:row>
    <x:row r="4530">
      <x:c r="A4530" s="38" t="str">
        <x:v>7月30日现场数据</x:v>
      </x:c>
      <x:c r="B4530" s="39" t="str">
        <x:v>2026-08-04T11:50:00</x:v>
      </x:c>
      <x:c r="C4530" s="39" t="str">
        <x:v>2026-08-04T12:20:00</x:v>
      </x:c>
      <x:c r="D4530" s="47" t="n">
        <x:v>30</x:v>
      </x:c>
      <x:c r="E4530" s="40" t="n">
        <x:v>12.6</x:v>
      </x:c>
      <x:c r="F4530" s="40" t="n">
        <x:v>11.16058349609375</x:v>
      </x:c>
      <x:c r="G4530" s="40" t="n">
        <x:v>12.6</x:v>
      </x:c>
      <x:c r="H4530" s="40" t="n">
        <x:f>F4530-E4530</x:f>
        <x:v>-1.4394165039062496</x:v>
      </x:c>
      <x:c r="I4530" s="40" t="n">
        <x:f>ABS(H4530)</x:f>
        <x:v>1.4394165039062496</x:v>
      </x:c>
      <x:c r="J4530" s="40" t="n">
        <x:f>H4530^2</x:f>
        <x:v>2.0719198717176903</x:v>
      </x:c>
      <x:c r="K4530" s="40" t="n">
        <x:f>G4530-E4530</x:f>
        <x:v>0</x:v>
      </x:c>
      <x:c r="L4530" s="40" t="n">
        <x:f>ABS(K4530)</x:f>
        <x:v>0</x:v>
      </x:c>
      <x:c r="M4530" s="41" t="str">
        <x:v>lstm-soil-v1</x:v>
      </x:c>
    </x:row>
    <x:row r="4531">
      <x:c r="A4531" s="38" t="str">
        <x:v>7月30日现场数据</x:v>
      </x:c>
      <x:c r="B4531" s="39" t="str">
        <x:v>2026-08-04T11:50:00</x:v>
      </x:c>
      <x:c r="C4531" s="39" t="str">
        <x:v>2026-08-04T12:50:00</x:v>
      </x:c>
      <x:c r="D4531" s="47" t="n">
        <x:v>60</x:v>
      </x:c>
      <x:c r="E4531" s="40" t="n">
        <x:v>12.5</x:v>
      </x:c>
      <x:c r="F4531" s="40" t="n">
        <x:v>12.849510192871094</x:v>
      </x:c>
      <x:c r="G4531" s="40" t="n">
        <x:v>12.6</x:v>
      </x:c>
      <x:c r="H4531" s="40" t="n">
        <x:f>F4531-E4531</x:f>
        <x:v>0.34951019287109375</x:v>
      </x:c>
      <x:c r="I4531" s="40" t="n">
        <x:f>ABS(H4531)</x:f>
        <x:v>0.34951019287109375</x:v>
      </x:c>
      <x:c r="J4531" s="40" t="n">
        <x:f>H4531^2</x:f>
        <x:v>0.12215737492078915</x:v>
      </x:c>
      <x:c r="K4531" s="40" t="n">
        <x:f>G4531-E4531</x:f>
        <x:v>0.09999999999999964</x:v>
      </x:c>
      <x:c r="L4531" s="40" t="n">
        <x:f>ABS(K4531)</x:f>
        <x:v>0.09999999999999964</x:v>
      </x:c>
      <x:c r="M4531" s="41" t="str">
        <x:v>lstm-soil-v1</x:v>
      </x:c>
    </x:row>
    <x:row r="4532">
      <x:c r="A4532" s="38" t="str">
        <x:v>7月30日现场数据</x:v>
      </x:c>
      <x:c r="B4532" s="39" t="str">
        <x:v>2026-08-04T11:55:00</x:v>
      </x:c>
      <x:c r="C4532" s="39" t="str">
        <x:v>2026-08-04T12:00:00</x:v>
      </x:c>
      <x:c r="D4532" s="47" t="n">
        <x:v>5</x:v>
      </x:c>
      <x:c r="E4532" s="40" t="n">
        <x:v>12.6</x:v>
      </x:c>
      <x:c r="F4532" s="40" t="n">
        <x:v>10.60434341430664</x:v>
      </x:c>
      <x:c r="G4532" s="40" t="n">
        <x:v>12.6</x:v>
      </x:c>
      <x:c r="H4532" s="40" t="n">
        <x:f>F4532-E4532</x:f>
        <x:v>-1.995656585693359</x:v>
      </x:c>
      <x:c r="I4532" s="40" t="n">
        <x:f>ABS(H4532)</x:f>
        <x:v>1.995656585693359</x:v>
      </x:c>
      <x:c r="J4532" s="40" t="n">
        <x:f>H4532^2</x:f>
        <x:v>3.982645208021275</x:v>
      </x:c>
      <x:c r="K4532" s="40" t="n">
        <x:f>G4532-E4532</x:f>
        <x:v>0</x:v>
      </x:c>
      <x:c r="L4532" s="40" t="n">
        <x:f>ABS(K4532)</x:f>
        <x:v>0</x:v>
      </x:c>
      <x:c r="M4532" s="41" t="str">
        <x:v>lstm-soil-v1</x:v>
      </x:c>
    </x:row>
    <x:row r="4533">
      <x:c r="A4533" s="38" t="str">
        <x:v>7月30日现场数据</x:v>
      </x:c>
      <x:c r="B4533" s="39" t="str">
        <x:v>2026-08-04T11:55:00</x:v>
      </x:c>
      <x:c r="C4533" s="39" t="str">
        <x:v>2026-08-04T12:10:00</x:v>
      </x:c>
      <x:c r="D4533" s="47" t="n">
        <x:v>15</x:v>
      </x:c>
      <x:c r="E4533" s="40" t="n">
        <x:v>12.6</x:v>
      </x:c>
      <x:c r="F4533" s="40" t="n">
        <x:v>10.675949096679688</x:v>
      </x:c>
      <x:c r="G4533" s="40" t="n">
        <x:v>12.6</x:v>
      </x:c>
      <x:c r="H4533" s="40" t="n">
        <x:f>F4533-E4533</x:f>
        <x:v>-1.9240509033203121</x:v>
      </x:c>
      <x:c r="I4533" s="40" t="n">
        <x:f>ABS(H4533)</x:f>
        <x:v>1.9240509033203121</x:v>
      </x:c>
      <x:c r="J4533" s="40" t="n">
        <x:f>H4533^2</x:f>
        <x:v>3.701971878567709</x:v>
      </x:c>
      <x:c r="K4533" s="40" t="n">
        <x:f>G4533-E4533</x:f>
        <x:v>0</x:v>
      </x:c>
      <x:c r="L4533" s="40" t="n">
        <x:f>ABS(K4533)</x:f>
        <x:v>0</x:v>
      </x:c>
      <x:c r="M4533" s="41" t="str">
        <x:v>lstm-soil-v1</x:v>
      </x:c>
    </x:row>
    <x:row r="4534">
      <x:c r="A4534" s="38" t="str">
        <x:v>7月30日现场数据</x:v>
      </x:c>
      <x:c r="B4534" s="39" t="str">
        <x:v>2026-08-04T11:55:00</x:v>
      </x:c>
      <x:c r="C4534" s="39" t="str">
        <x:v>2026-08-04T12:25:00</x:v>
      </x:c>
      <x:c r="D4534" s="47" t="n">
        <x:v>30</x:v>
      </x:c>
      <x:c r="E4534" s="40" t="n">
        <x:v>12.5</x:v>
      </x:c>
      <x:c r="F4534" s="40" t="n">
        <x:v>11.160293579101562</x:v>
      </x:c>
      <x:c r="G4534" s="40" t="n">
        <x:v>12.6</x:v>
      </x:c>
      <x:c r="H4534" s="40" t="n">
        <x:f>F4534-E4534</x:f>
        <x:v>-1.3397064208984375</x:v>
      </x:c>
      <x:c r="I4534" s="40" t="n">
        <x:f>ABS(H4534)</x:f>
        <x:v>1.3397064208984375</x:v>
      </x:c>
      <x:c r="J4534" s="40" t="n">
        <x:f>H4534^2</x:f>
        <x:v>1.7948132941965014</x:v>
      </x:c>
      <x:c r="K4534" s="40" t="n">
        <x:f>G4534-E4534</x:f>
        <x:v>0.09999999999999964</x:v>
      </x:c>
      <x:c r="L4534" s="40" t="n">
        <x:f>ABS(K4534)</x:f>
        <x:v>0.09999999999999964</x:v>
      </x:c>
      <x:c r="M4534" s="41" t="str">
        <x:v>lstm-soil-v1</x:v>
      </x:c>
    </x:row>
    <x:row r="4535">
      <x:c r="A4535" s="38" t="str">
        <x:v>7月30日现场数据</x:v>
      </x:c>
      <x:c r="B4535" s="39" t="str">
        <x:v>2026-08-04T11:55:00</x:v>
      </x:c>
      <x:c r="C4535" s="39" t="str">
        <x:v>2026-08-04T12:55:00</x:v>
      </x:c>
      <x:c r="D4535" s="47" t="n">
        <x:v>60</x:v>
      </x:c>
      <x:c r="E4535" s="40" t="n">
        <x:v>12.5</x:v>
      </x:c>
      <x:c r="F4535" s="40" t="n">
        <x:v>12.85025405883789</x:v>
      </x:c>
      <x:c r="G4535" s="40" t="n">
        <x:v>12.6</x:v>
      </x:c>
      <x:c r="H4535" s="40" t="n">
        <x:f>F4535-E4535</x:f>
        <x:v>0.3502540588378906</x:v>
      </x:c>
      <x:c r="I4535" s="40" t="n">
        <x:f>ABS(H4535)</x:f>
        <x:v>0.3502540588378906</x:v>
      </x:c>
      <x:c r="J4535" s="40" t="n">
        <x:f>H4535^2</x:f>
        <x:v>0.12267790573241655</x:v>
      </x:c>
      <x:c r="K4535" s="40" t="n">
        <x:f>G4535-E4535</x:f>
        <x:v>0.09999999999999964</x:v>
      </x:c>
      <x:c r="L4535" s="40" t="n">
        <x:f>ABS(K4535)</x:f>
        <x:v>0.09999999999999964</x:v>
      </x:c>
      <x:c r="M4535" s="41" t="str">
        <x:v>lstm-soil-v1</x:v>
      </x:c>
    </x:row>
    <x:row r="4536">
      <x:c r="A4536" s="38" t="str">
        <x:v>7月30日现场数据</x:v>
      </x:c>
      <x:c r="B4536" s="39" t="str">
        <x:v>2026-08-04T12:00:00</x:v>
      </x:c>
      <x:c r="C4536" s="39" t="str">
        <x:v>2026-08-04T12:05:00</x:v>
      </x:c>
      <x:c r="D4536" s="47" t="n">
        <x:v>5</x:v>
      </x:c>
      <x:c r="E4536" s="40" t="n">
        <x:v>12.6</x:v>
      </x:c>
      <x:c r="F4536" s="40" t="n">
        <x:v>10.607807159423828</x:v>
      </x:c>
      <x:c r="G4536" s="40" t="n">
        <x:v>12.6</x:v>
      </x:c>
      <x:c r="H4536" s="40" t="n">
        <x:f>F4536-E4536</x:f>
        <x:v>-1.9921928405761715</x:v>
      </x:c>
      <x:c r="I4536" s="40" t="n">
        <x:f>ABS(H4536)</x:f>
        <x:v>1.9921928405761715</x:v>
      </x:c>
      <x:c r="J4536" s="40" t="n">
        <x:f>H4536^2</x:f>
        <x:v>3.968832314042955</x:v>
      </x:c>
      <x:c r="K4536" s="40" t="n">
        <x:f>G4536-E4536</x:f>
        <x:v>0</x:v>
      </x:c>
      <x:c r="L4536" s="40" t="n">
        <x:f>ABS(K4536)</x:f>
        <x:v>0</x:v>
      </x:c>
      <x:c r="M4536" s="41" t="str">
        <x:v>lstm-soil-v1</x:v>
      </x:c>
    </x:row>
    <x:row r="4537">
      <x:c r="A4537" s="38" t="str">
        <x:v>7月30日现场数据</x:v>
      </x:c>
      <x:c r="B4537" s="39" t="str">
        <x:v>2026-08-04T12:00:00</x:v>
      </x:c>
      <x:c r="C4537" s="39" t="str">
        <x:v>2026-08-04T12:15:00</x:v>
      </x:c>
      <x:c r="D4537" s="47" t="n">
        <x:v>15</x:v>
      </x:c>
      <x:c r="E4537" s="40" t="n">
        <x:v>12.6</x:v>
      </x:c>
      <x:c r="F4537" s="40" t="n">
        <x:v>10.679203033447266</x:v>
      </x:c>
      <x:c r="G4537" s="40" t="n">
        <x:v>12.6</x:v>
      </x:c>
      <x:c r="H4537" s="40" t="n">
        <x:f>F4537-E4537</x:f>
        <x:v>-1.920796966552734</x:v>
      </x:c>
      <x:c r="I4537" s="40" t="n">
        <x:f>ABS(H4537)</x:f>
        <x:v>1.920796966552734</x:v>
      </x:c>
      <x:c r="J4537" s="40" t="n">
        <x:f>H4537^2</x:f>
        <x:v>3.689460986718185</x:v>
      </x:c>
      <x:c r="K4537" s="40" t="n">
        <x:f>G4537-E4537</x:f>
        <x:v>0</x:v>
      </x:c>
      <x:c r="L4537" s="40" t="n">
        <x:f>ABS(K4537)</x:f>
        <x:v>0</x:v>
      </x:c>
      <x:c r="M4537" s="41" t="str">
        <x:v>lstm-soil-v1</x:v>
      </x:c>
    </x:row>
    <x:row r="4538">
      <x:c r="A4538" s="38" t="str">
        <x:v>7月30日现场数据</x:v>
      </x:c>
      <x:c r="B4538" s="39" t="str">
        <x:v>2026-08-04T12:00:00</x:v>
      </x:c>
      <x:c r="C4538" s="39" t="str">
        <x:v>2026-08-04T12:30:00</x:v>
      </x:c>
      <x:c r="D4538" s="47" t="n">
        <x:v>30</x:v>
      </x:c>
      <x:c r="E4538" s="40" t="n">
        <x:v>12.5</x:v>
      </x:c>
      <x:c r="F4538" s="40" t="n">
        <x:v>11.163421630859375</x:v>
      </x:c>
      <x:c r="G4538" s="40" t="n">
        <x:v>12.6</x:v>
      </x:c>
      <x:c r="H4538" s="40" t="n">
        <x:f>F4538-E4538</x:f>
        <x:v>-1.336578369140625</x:v>
      </x:c>
      <x:c r="I4538" s="40" t="n">
        <x:f>ABS(H4538)</x:f>
        <x:v>1.336578369140625</x:v>
      </x:c>
      <x:c r="J4538" s="40" t="n">
        <x:f>H4538^2</x:f>
        <x:v>1.7864417368546128</x:v>
      </x:c>
      <x:c r="K4538" s="40" t="n">
        <x:f>G4538-E4538</x:f>
        <x:v>0.09999999999999964</x:v>
      </x:c>
      <x:c r="L4538" s="40" t="n">
        <x:f>ABS(K4538)</x:f>
        <x:v>0.09999999999999964</x:v>
      </x:c>
      <x:c r="M4538" s="41" t="str">
        <x:v>lstm-soil-v1</x:v>
      </x:c>
    </x:row>
    <x:row r="4539">
      <x:c r="A4539" s="38" t="str">
        <x:v>7月30日现场数据</x:v>
      </x:c>
      <x:c r="B4539" s="39" t="str">
        <x:v>2026-08-04T12:00:00</x:v>
      </x:c>
      <x:c r="C4539" s="39" t="str">
        <x:v>2026-08-04T13:00:00</x:v>
      </x:c>
      <x:c r="D4539" s="47" t="n">
        <x:v>60</x:v>
      </x:c>
      <x:c r="E4539" s="40" t="n">
        <x:v>12.5</x:v>
      </x:c>
      <x:c r="F4539" s="40" t="n">
        <x:v>12.85305404663086</x:v>
      </x:c>
      <x:c r="G4539" s="40" t="n">
        <x:v>12.6</x:v>
      </x:c>
      <x:c r="H4539" s="40" t="n">
        <x:f>F4539-E4539</x:f>
        <x:v>0.3530540466308594</x:v>
      </x:c>
      <x:c r="I4539" s="40" t="n">
        <x:f>ABS(H4539)</x:f>
        <x:v>0.3530540466308594</x:v>
      </x:c>
      <x:c r="J4539" s="40" t="n">
        <x:f>H4539^2</x:f>
        <x:v>0.12464715984242503</x:v>
      </x:c>
      <x:c r="K4539" s="40" t="n">
        <x:f>G4539-E4539</x:f>
        <x:v>0.09999999999999964</x:v>
      </x:c>
      <x:c r="L4539" s="40" t="n">
        <x:f>ABS(K4539)</x:f>
        <x:v>0.09999999999999964</x:v>
      </x:c>
      <x:c r="M4539" s="41" t="str">
        <x:v>lstm-soil-v1</x:v>
      </x:c>
    </x:row>
    <x:row r="4540">
      <x:c r="A4540" s="38" t="str">
        <x:v>7月30日现场数据</x:v>
      </x:c>
      <x:c r="B4540" s="39" t="str">
        <x:v>2026-08-04T12:05:00</x:v>
      </x:c>
      <x:c r="C4540" s="39" t="str">
        <x:v>2026-08-04T12:10:00</x:v>
      </x:c>
      <x:c r="D4540" s="47" t="n">
        <x:v>5</x:v>
      </x:c>
      <x:c r="E4540" s="40" t="n">
        <x:v>12.6</x:v>
      </x:c>
      <x:c r="F4540" s="40" t="n">
        <x:v>10.610881805419922</x:v>
      </x:c>
      <x:c r="G4540" s="40" t="n">
        <x:v>12.6</x:v>
      </x:c>
      <x:c r="H4540" s="40" t="n">
        <x:f>F4540-E4540</x:f>
        <x:v>-1.9891181945800778</x:v>
      </x:c>
      <x:c r="I4540" s="40" t="n">
        <x:f>ABS(H4540)</x:f>
        <x:v>1.9891181945800778</x:v>
      </x:c>
      <x:c r="J4540" s="40" t="n">
        <x:f>H4540^2</x:f>
        <x:v>3.9565911920095083</x:v>
      </x:c>
      <x:c r="K4540" s="40" t="n">
        <x:f>G4540-E4540</x:f>
        <x:v>0</x:v>
      </x:c>
      <x:c r="L4540" s="40" t="n">
        <x:f>ABS(K4540)</x:f>
        <x:v>0</x:v>
      </x:c>
      <x:c r="M4540" s="41" t="str">
        <x:v>lstm-soil-v1</x:v>
      </x:c>
    </x:row>
    <x:row r="4541">
      <x:c r="A4541" s="38" t="str">
        <x:v>7月30日现场数据</x:v>
      </x:c>
      <x:c r="B4541" s="39" t="str">
        <x:v>2026-08-04T12:05:00</x:v>
      </x:c>
      <x:c r="C4541" s="39" t="str">
        <x:v>2026-08-04T12:20:00</x:v>
      </x:c>
      <x:c r="D4541" s="47" t="n">
        <x:v>15</x:v>
      </x:c>
      <x:c r="E4541" s="40" t="n">
        <x:v>12.6</x:v>
      </x:c>
      <x:c r="F4541" s="40" t="n">
        <x:v>10.681575775146484</x:v>
      </x:c>
      <x:c r="G4541" s="40" t="n">
        <x:v>12.6</x:v>
      </x:c>
      <x:c r="H4541" s="40" t="n">
        <x:f>F4541-E4541</x:f>
        <x:v>-1.9184242248535153</x:v>
      </x:c>
      <x:c r="I4541" s="40" t="n">
        <x:f>ABS(H4541)</x:f>
        <x:v>1.9184242248535153</x:v>
      </x:c>
      <x:c r="J4541" s="40" t="n">
        <x:f>H4541^2</x:f>
        <x:v>3.680351506504811</x:v>
      </x:c>
      <x:c r="K4541" s="40" t="n">
        <x:f>G4541-E4541</x:f>
        <x:v>0</x:v>
      </x:c>
      <x:c r="L4541" s="40" t="n">
        <x:f>ABS(K4541)</x:f>
        <x:v>0</x:v>
      </x:c>
      <x:c r="M4541" s="41" t="str">
        <x:v>lstm-soil-v1</x:v>
      </x:c>
    </x:row>
    <x:row r="4542">
      <x:c r="A4542" s="38" t="str">
        <x:v>7月30日现场数据</x:v>
      </x:c>
      <x:c r="B4542" s="39" t="str">
        <x:v>2026-08-04T12:05:00</x:v>
      </x:c>
      <x:c r="C4542" s="39" t="str">
        <x:v>2026-08-04T12:35:00</x:v>
      </x:c>
      <x:c r="D4542" s="47" t="n">
        <x:v>30</x:v>
      </x:c>
      <x:c r="E4542" s="40" t="n">
        <x:v>12.5</x:v>
      </x:c>
      <x:c r="F4542" s="40" t="n">
        <x:v>11.162670135498047</x:v>
      </x:c>
      <x:c r="G4542" s="40" t="n">
        <x:v>12.6</x:v>
      </x:c>
      <x:c r="H4542" s="40" t="n">
        <x:f>F4542-E4542</x:f>
        <x:v>-1.3373298645019531</x:v>
      </x:c>
      <x:c r="I4542" s="40" t="n">
        <x:f>ABS(H4542)</x:f>
        <x:v>1.3373298645019531</x:v>
      </x:c>
      <x:c r="J4542" s="40" t="n">
        <x:f>H4542^2</x:f>
        <x:v>1.7884511664888123</x:v>
      </x:c>
      <x:c r="K4542" s="40" t="n">
        <x:f>G4542-E4542</x:f>
        <x:v>0.09999999999999964</x:v>
      </x:c>
      <x:c r="L4542" s="40" t="n">
        <x:f>ABS(K4542)</x:f>
        <x:v>0.09999999999999964</x:v>
      </x:c>
      <x:c r="M4542" s="41" t="str">
        <x:v>lstm-soil-v1</x:v>
      </x:c>
    </x:row>
    <x:row r="4543">
      <x:c r="A4543" s="38" t="str">
        <x:v>7月30日现场数据</x:v>
      </x:c>
      <x:c r="B4543" s="39" t="str">
        <x:v>2026-08-04T12:05:00</x:v>
      </x:c>
      <x:c r="C4543" s="39" t="str">
        <x:v>2026-08-04T13:05:00</x:v>
      </x:c>
      <x:c r="D4543" s="47" t="n">
        <x:v>60</x:v>
      </x:c>
      <x:c r="E4543" s="40" t="n">
        <x:v>12.4</x:v>
      </x:c>
      <x:c r="F4543" s="40" t="n">
        <x:v>12.854602813720703</x:v>
      </x:c>
      <x:c r="G4543" s="40" t="n">
        <x:v>12.6</x:v>
      </x:c>
      <x:c r="H4543" s="40" t="n">
        <x:f>F4543-E4543</x:f>
        <x:v>0.45460281372070277</x:v>
      </x:c>
      <x:c r="I4543" s="40" t="n">
        <x:f>ABS(H4543)</x:f>
        <x:v>0.45460281372070277</x:v>
      </x:c>
      <x:c r="J4543" s="40" t="n">
        <x:f>H4543^2</x:f>
        <x:v>0.20666371824278</x:v>
      </x:c>
      <x:c r="K4543" s="40" t="n">
        <x:f>G4543-E4543</x:f>
        <x:v>0.1999999999999993</x:v>
      </x:c>
      <x:c r="L4543" s="40" t="n">
        <x:f>ABS(K4543)</x:f>
        <x:v>0.1999999999999993</x:v>
      </x:c>
      <x:c r="M4543" s="41" t="str">
        <x:v>lstm-soil-v1</x:v>
      </x:c>
    </x:row>
    <x:row r="4544">
      <x:c r="A4544" s="38" t="str">
        <x:v>7月30日现场数据</x:v>
      </x:c>
      <x:c r="B4544" s="39" t="str">
        <x:v>2026-08-04T12:10:00</x:v>
      </x:c>
      <x:c r="C4544" s="39" t="str">
        <x:v>2026-08-04T12:15:00</x:v>
      </x:c>
      <x:c r="D4544" s="47" t="n">
        <x:v>5</x:v>
      </x:c>
      <x:c r="E4544" s="40" t="n">
        <x:v>12.6</x:v>
      </x:c>
      <x:c r="F4544" s="40" t="n">
        <x:v>10.613422393798828</x:v>
      </x:c>
      <x:c r="G4544" s="40" t="n">
        <x:v>12.6</x:v>
      </x:c>
      <x:c r="H4544" s="40" t="n">
        <x:f>F4544-E4544</x:f>
        <x:v>-1.9865776062011715</x:v>
      </x:c>
      <x:c r="I4544" s="40" t="n">
        <x:f>ABS(H4544)</x:f>
        <x:v>1.9865776062011715</x:v>
      </x:c>
      <x:c r="J4544" s="40" t="n">
        <x:f>H4544^2</x:f>
        <x:v>3.9464905854599768</x:v>
      </x:c>
      <x:c r="K4544" s="40" t="n">
        <x:f>G4544-E4544</x:f>
        <x:v>0</x:v>
      </x:c>
      <x:c r="L4544" s="40" t="n">
        <x:f>ABS(K4544)</x:f>
        <x:v>0</x:v>
      </x:c>
      <x:c r="M4544" s="41" t="str">
        <x:v>lstm-soil-v1</x:v>
      </x:c>
    </x:row>
    <x:row r="4545">
      <x:c r="A4545" s="38" t="str">
        <x:v>7月30日现场数据</x:v>
      </x:c>
      <x:c r="B4545" s="39" t="str">
        <x:v>2026-08-04T12:10:00</x:v>
      </x:c>
      <x:c r="C4545" s="39" t="str">
        <x:v>2026-08-04T12:25:00</x:v>
      </x:c>
      <x:c r="D4545" s="47" t="n">
        <x:v>15</x:v>
      </x:c>
      <x:c r="E4545" s="40" t="n">
        <x:v>12.5</x:v>
      </x:c>
      <x:c r="F4545" s="40" t="n">
        <x:v>10.683563232421875</x:v>
      </x:c>
      <x:c r="G4545" s="40" t="n">
        <x:v>12.6</x:v>
      </x:c>
      <x:c r="H4545" s="40" t="n">
        <x:f>F4545-E4545</x:f>
        <x:v>-1.816436767578125</x:v>
      </x:c>
      <x:c r="I4545" s="40" t="n">
        <x:f>ABS(H4545)</x:f>
        <x:v>1.816436767578125</x:v>
      </x:c>
      <x:c r="J4545" s="40" t="n">
        <x:f>H4545^2</x:f>
        <x:v>3.2994425306096673</x:v>
      </x:c>
      <x:c r="K4545" s="40" t="n">
        <x:f>G4545-E4545</x:f>
        <x:v>0.09999999999999964</x:v>
      </x:c>
      <x:c r="L4545" s="40" t="n">
        <x:f>ABS(K4545)</x:f>
        <x:v>0.09999999999999964</x:v>
      </x:c>
      <x:c r="M4545" s="41" t="str">
        <x:v>lstm-soil-v1</x:v>
      </x:c>
    </x:row>
    <x:row r="4546">
      <x:c r="A4546" s="38" t="str">
        <x:v>7月30日现场数据</x:v>
      </x:c>
      <x:c r="B4546" s="39" t="str">
        <x:v>2026-08-04T12:10:00</x:v>
      </x:c>
      <x:c r="C4546" s="39" t="str">
        <x:v>2026-08-04T12:40:00</x:v>
      </x:c>
      <x:c r="D4546" s="47" t="n">
        <x:v>30</x:v>
      </x:c>
      <x:c r="E4546" s="40" t="n">
        <x:v>12.5</x:v>
      </x:c>
      <x:c r="F4546" s="40" t="n">
        <x:v>11.161087036132812</x:v>
      </x:c>
      <x:c r="G4546" s="40" t="n">
        <x:v>12.6</x:v>
      </x:c>
      <x:c r="H4546" s="40" t="n">
        <x:f>F4546-E4546</x:f>
        <x:v>-1.3389129638671875</x:v>
      </x:c>
      <x:c r="I4546" s="40" t="n">
        <x:f>ABS(H4546)</x:f>
        <x:v>1.3389129638671875</x:v>
      </x:c>
      <x:c r="J4546" s="40" t="n">
        <x:f>H4546^2</x:f>
        <x:v>1.7926879248116165</x:v>
      </x:c>
      <x:c r="K4546" s="40" t="n">
        <x:f>G4546-E4546</x:f>
        <x:v>0.09999999999999964</x:v>
      </x:c>
      <x:c r="L4546" s="40" t="n">
        <x:f>ABS(K4546)</x:f>
        <x:v>0.09999999999999964</x:v>
      </x:c>
      <x:c r="M4546" s="41" t="str">
        <x:v>lstm-soil-v1</x:v>
      </x:c>
    </x:row>
    <x:row r="4547">
      <x:c r="A4547" s="38" t="str">
        <x:v>7月30日现场数据</x:v>
      </x:c>
      <x:c r="B4547" s="39" t="str">
        <x:v>2026-08-04T12:10:00</x:v>
      </x:c>
      <x:c r="C4547" s="39" t="str">
        <x:v>2026-08-04T13:10:00</x:v>
      </x:c>
      <x:c r="D4547" s="47" t="n">
        <x:v>60</x:v>
      </x:c>
      <x:c r="E4547" s="40" t="n">
        <x:v>12.5</x:v>
      </x:c>
      <x:c r="F4547" s="40" t="n">
        <x:v>12.854721069335938</x:v>
      </x:c>
      <x:c r="G4547" s="40" t="n">
        <x:v>12.6</x:v>
      </x:c>
      <x:c r="H4547" s="40" t="n">
        <x:f>F4547-E4547</x:f>
        <x:v>0.3547210693359375</x:v>
      </x:c>
      <x:c r="I4547" s="40" t="n">
        <x:f>ABS(H4547)</x:f>
        <x:v>0.3547210693359375</x:v>
      </x:c>
      <x:c r="J4547" s="40" t="n">
        <x:f>H4547^2</x:f>
        <x:v>0.12582703703083098</x:v>
      </x:c>
      <x:c r="K4547" s="40" t="n">
        <x:f>G4547-E4547</x:f>
        <x:v>0.09999999999999964</x:v>
      </x:c>
      <x:c r="L4547" s="40" t="n">
        <x:f>ABS(K4547)</x:f>
        <x:v>0.09999999999999964</x:v>
      </x:c>
      <x:c r="M4547" s="41" t="str">
        <x:v>lstm-soil-v1</x:v>
      </x:c>
    </x:row>
    <x:row r="4548">
      <x:c r="A4548" s="38" t="str">
        <x:v>7月30日现场数据</x:v>
      </x:c>
      <x:c r="B4548" s="39" t="str">
        <x:v>2026-08-04T12:15:00</x:v>
      </x:c>
      <x:c r="C4548" s="39" t="str">
        <x:v>2026-08-04T12:20:00</x:v>
      </x:c>
      <x:c r="D4548" s="47" t="n">
        <x:v>5</x:v>
      </x:c>
      <x:c r="E4548" s="40" t="n">
        <x:v>12.6</x:v>
      </x:c>
      <x:c r="F4548" s="40" t="n">
        <x:v>10.615535736083984</x:v>
      </x:c>
      <x:c r="G4548" s="40" t="n">
        <x:v>12.6</x:v>
      </x:c>
      <x:c r="H4548" s="40" t="n">
        <x:f>F4548-E4548</x:f>
        <x:v>-1.9844642639160153</x:v>
      </x:c>
      <x:c r="I4548" s="40" t="n">
        <x:f>ABS(H4548)</x:f>
        <x:v>1.9844642639160153</x:v>
      </x:c>
      <x:c r="J4548" s="40" t="n">
        <x:f>H4548^2</x:f>
        <x:v>3.9380984147597324</x:v>
      </x:c>
      <x:c r="K4548" s="40" t="n">
        <x:f>G4548-E4548</x:f>
        <x:v>0</x:v>
      </x:c>
      <x:c r="L4548" s="40" t="n">
        <x:f>ABS(K4548)</x:f>
        <x:v>0</x:v>
      </x:c>
      <x:c r="M4548" s="41" t="str">
        <x:v>lstm-soil-v1</x:v>
      </x:c>
    </x:row>
    <x:row r="4549">
      <x:c r="A4549" s="38" t="str">
        <x:v>7月30日现场数据</x:v>
      </x:c>
      <x:c r="B4549" s="39" t="str">
        <x:v>2026-08-04T12:15:00</x:v>
      </x:c>
      <x:c r="C4549" s="39" t="str">
        <x:v>2026-08-04T12:30:00</x:v>
      </x:c>
      <x:c r="D4549" s="47" t="n">
        <x:v>15</x:v>
      </x:c>
      <x:c r="E4549" s="40" t="n">
        <x:v>12.5</x:v>
      </x:c>
      <x:c r="F4549" s="40" t="n">
        <x:v>10.684646606445312</x:v>
      </x:c>
      <x:c r="G4549" s="40" t="n">
        <x:v>12.6</x:v>
      </x:c>
      <x:c r="H4549" s="40" t="n">
        <x:f>F4549-E4549</x:f>
        <x:v>-1.8153533935546875</x:v>
      </x:c>
      <x:c r="I4549" s="40" t="n">
        <x:f>ABS(H4549)</x:f>
        <x:v>1.8153533935546875</x:v>
      </x:c>
      <x:c r="J4549" s="40" t="n">
        <x:f>H4549^2</x:f>
        <x:v>3.29550794349052</x:v>
      </x:c>
      <x:c r="K4549" s="40" t="n">
        <x:f>G4549-E4549</x:f>
        <x:v>0.09999999999999964</x:v>
      </x:c>
      <x:c r="L4549" s="40" t="n">
        <x:f>ABS(K4549)</x:f>
        <x:v>0.09999999999999964</x:v>
      </x:c>
      <x:c r="M4549" s="41" t="str">
        <x:v>lstm-soil-v1</x:v>
      </x:c>
    </x:row>
    <x:row r="4550">
      <x:c r="A4550" s="38" t="str">
        <x:v>7月30日现场数据</x:v>
      </x:c>
      <x:c r="B4550" s="39" t="str">
        <x:v>2026-08-04T12:15:00</x:v>
      </x:c>
      <x:c r="C4550" s="39" t="str">
        <x:v>2026-08-04T12:45:00</x:v>
      </x:c>
      <x:c r="D4550" s="47" t="n">
        <x:v>30</x:v>
      </x:c>
      <x:c r="E4550" s="40" t="n">
        <x:v>12.5</x:v>
      </x:c>
      <x:c r="F4550" s="40" t="n">
        <x:v>11.160511016845703</x:v>
      </x:c>
      <x:c r="G4550" s="40" t="n">
        <x:v>12.6</x:v>
      </x:c>
      <x:c r="H4550" s="40" t="n">
        <x:f>F4550-E4550</x:f>
        <x:v>-1.3394889831542969</x:v>
      </x:c>
      <x:c r="I4550" s="40" t="n">
        <x:f>ABS(H4550)</x:f>
        <x:v>1.3394889831542969</x:v>
      </x:c>
      <x:c r="J4550" s="40" t="n">
        <x:f>H4550^2</x:f>
        <x:v>1.7942307359917322</x:v>
      </x:c>
      <x:c r="K4550" s="40" t="n">
        <x:f>G4550-E4550</x:f>
        <x:v>0.09999999999999964</x:v>
      </x:c>
      <x:c r="L4550" s="40" t="n">
        <x:f>ABS(K4550)</x:f>
        <x:v>0.09999999999999964</x:v>
      </x:c>
      <x:c r="M4550" s="41" t="str">
        <x:v>lstm-soil-v1</x:v>
      </x:c>
    </x:row>
    <x:row r="4551">
      <x:c r="A4551" s="38" t="str">
        <x:v>7月30日现场数据</x:v>
      </x:c>
      <x:c r="B4551" s="39" t="str">
        <x:v>2026-08-04T12:15:00</x:v>
      </x:c>
      <x:c r="C4551" s="39" t="str">
        <x:v>2026-08-04T13:15:00</x:v>
      </x:c>
      <x:c r="D4551" s="47" t="n">
        <x:v>60</x:v>
      </x:c>
      <x:c r="E4551" s="40" t="n">
        <x:v>12.5</x:v>
      </x:c>
      <x:c r="F4551" s="40" t="n">
        <x:v>12.858516693115234</x:v>
      </x:c>
      <x:c r="G4551" s="40" t="n">
        <x:v>12.6</x:v>
      </x:c>
      <x:c r="H4551" s="40" t="n">
        <x:f>F4551-E4551</x:f>
        <x:v>0.3585166931152344</x:v>
      </x:c>
      <x:c r="I4551" s="40" t="n">
        <x:f>ABS(H4551)</x:f>
        <x:v>0.3585166931152344</x:v>
      </x:c>
      <x:c r="J4551" s="40" t="n">
        <x:f>H4551^2</x:f>
        <x:v>0.12853421924228314</x:v>
      </x:c>
      <x:c r="K4551" s="40" t="n">
        <x:f>G4551-E4551</x:f>
        <x:v>0.09999999999999964</x:v>
      </x:c>
      <x:c r="L4551" s="40" t="n">
        <x:f>ABS(K4551)</x:f>
        <x:v>0.09999999999999964</x:v>
      </x:c>
      <x:c r="M4551" s="41" t="str">
        <x:v>lstm-soil-v1</x:v>
      </x:c>
    </x:row>
    <x:row r="4552">
      <x:c r="A4552" s="38" t="str">
        <x:v>7月30日现场数据</x:v>
      </x:c>
      <x:c r="B4552" s="39" t="str">
        <x:v>2026-08-04T12:20:00</x:v>
      </x:c>
      <x:c r="C4552" s="39" t="str">
        <x:v>2026-08-04T12:25:00</x:v>
      </x:c>
      <x:c r="D4552" s="47" t="n">
        <x:v>5</x:v>
      </x:c>
      <x:c r="E4552" s="40" t="n">
        <x:v>12.5</x:v>
      </x:c>
      <x:c r="F4552" s="40" t="n">
        <x:v>10.61669921875</x:v>
      </x:c>
      <x:c r="G4552" s="40" t="n">
        <x:v>12.6</x:v>
      </x:c>
      <x:c r="H4552" s="40" t="n">
        <x:f>F4552-E4552</x:f>
        <x:v>-1.88330078125</x:v>
      </x:c>
      <x:c r="I4552" s="40" t="n">
        <x:f>ABS(H4552)</x:f>
        <x:v>1.88330078125</x:v>
      </x:c>
      <x:c r="J4552" s="40" t="n">
        <x:f>H4552^2</x:f>
        <x:v>3.5468218326568604</x:v>
      </x:c>
      <x:c r="K4552" s="40" t="n">
        <x:f>G4552-E4552</x:f>
        <x:v>0.09999999999999964</x:v>
      </x:c>
      <x:c r="L4552" s="40" t="n">
        <x:f>ABS(K4552)</x:f>
        <x:v>0.09999999999999964</x:v>
      </x:c>
      <x:c r="M4552" s="41" t="str">
        <x:v>lstm-soil-v1</x:v>
      </x:c>
    </x:row>
    <x:row r="4553">
      <x:c r="A4553" s="38" t="str">
        <x:v>7月30日现场数据</x:v>
      </x:c>
      <x:c r="B4553" s="39" t="str">
        <x:v>2026-08-04T12:20:00</x:v>
      </x:c>
      <x:c r="C4553" s="39" t="str">
        <x:v>2026-08-04T12:35:00</x:v>
      </x:c>
      <x:c r="D4553" s="47" t="n">
        <x:v>15</x:v>
      </x:c>
      <x:c r="E4553" s="40" t="n">
        <x:v>12.5</x:v>
      </x:c>
      <x:c r="F4553" s="40" t="n">
        <x:v>10.686405181884766</x:v>
      </x:c>
      <x:c r="G4553" s="40" t="n">
        <x:v>12.6</x:v>
      </x:c>
      <x:c r="H4553" s="40" t="n">
        <x:f>F4553-E4553</x:f>
        <x:v>-1.8135948181152344</x:v>
      </x:c>
      <x:c r="I4553" s="40" t="n">
        <x:f>ABS(H4553)</x:f>
        <x:v>1.8135948181152344</x:v>
      </x:c>
      <x:c r="J4553" s="40" t="n">
        <x:f>H4553^2</x:f>
        <x:v>3.28912616429443</x:v>
      </x:c>
      <x:c r="K4553" s="40" t="n">
        <x:f>G4553-E4553</x:f>
        <x:v>0.09999999999999964</x:v>
      </x:c>
      <x:c r="L4553" s="40" t="n">
        <x:f>ABS(K4553)</x:f>
        <x:v>0.09999999999999964</x:v>
      </x:c>
      <x:c r="M4553" s="41" t="str">
        <x:v>lstm-soil-v1</x:v>
      </x:c>
    </x:row>
    <x:row r="4554">
      <x:c r="A4554" s="38" t="str">
        <x:v>7月30日现场数据</x:v>
      </x:c>
      <x:c r="B4554" s="39" t="str">
        <x:v>2026-08-04T12:20:00</x:v>
      </x:c>
      <x:c r="C4554" s="39" t="str">
        <x:v>2026-08-04T12:50:00</x:v>
      </x:c>
      <x:c r="D4554" s="47" t="n">
        <x:v>30</x:v>
      </x:c>
      <x:c r="E4554" s="40" t="n">
        <x:v>12.5</x:v>
      </x:c>
      <x:c r="F4554" s="40" t="n">
        <x:v>11.158916473388672</x:v>
      </x:c>
      <x:c r="G4554" s="40" t="n">
        <x:v>12.6</x:v>
      </x:c>
      <x:c r="H4554" s="40" t="n">
        <x:f>F4554-E4554</x:f>
        <x:v>-1.3410835266113281</x:v>
      </x:c>
      <x:c r="I4554" s="40" t="n">
        <x:f>ABS(H4554)</x:f>
        <x:v>1.3410835266113281</x:v>
      </x:c>
      <x:c r="J4554" s="40" t="n">
        <x:f>H4554^2</x:f>
        <x:v>1.7985050253482768</x:v>
      </x:c>
      <x:c r="K4554" s="40" t="n">
        <x:f>G4554-E4554</x:f>
        <x:v>0.09999999999999964</x:v>
      </x:c>
      <x:c r="L4554" s="40" t="n">
        <x:f>ABS(K4554)</x:f>
        <x:v>0.09999999999999964</x:v>
      </x:c>
      <x:c r="M4554" s="41" t="str">
        <x:v>lstm-soil-v1</x:v>
      </x:c>
    </x:row>
    <x:row r="4555">
      <x:c r="A4555" s="38" t="str">
        <x:v>7月30日现场数据</x:v>
      </x:c>
      <x:c r="B4555" s="39" t="str">
        <x:v>2026-08-04T12:20:00</x:v>
      </x:c>
      <x:c r="C4555" s="39" t="str">
        <x:v>2026-08-04T13:20:00</x:v>
      </x:c>
      <x:c r="D4555" s="47" t="n">
        <x:v>60</x:v>
      </x:c>
      <x:c r="E4555" s="40" t="n">
        <x:v>12.5</x:v>
      </x:c>
      <x:c r="F4555" s="40" t="n">
        <x:v>12.854011535644531</x:v>
      </x:c>
      <x:c r="G4555" s="40" t="n">
        <x:v>12.6</x:v>
      </x:c>
      <x:c r="H4555" s="40" t="n">
        <x:f>F4555-E4555</x:f>
        <x:v>0.35401153564453125</x:v>
      </x:c>
      <x:c r="I4555" s="40" t="n">
        <x:f>ABS(H4555)</x:f>
        <x:v>0.35401153564453125</x:v>
      </x:c>
      <x:c r="J4555" s="40" t="n">
        <x:f>H4555^2</x:f>
        <x:v>0.12532416736939922</x:v>
      </x:c>
      <x:c r="K4555" s="40" t="n">
        <x:f>G4555-E4555</x:f>
        <x:v>0.09999999999999964</x:v>
      </x:c>
      <x:c r="L4555" s="40" t="n">
        <x:f>ABS(K4555)</x:f>
        <x:v>0.09999999999999964</x:v>
      </x:c>
      <x:c r="M4555" s="41" t="str">
        <x:v>lstm-soil-v1</x:v>
      </x:c>
    </x:row>
    <x:row r="4556">
      <x:c r="A4556" s="38" t="str">
        <x:v>7月30日现场数据</x:v>
      </x:c>
      <x:c r="B4556" s="39" t="str">
        <x:v>2026-08-04T12:25:00</x:v>
      </x:c>
      <x:c r="C4556" s="39" t="str">
        <x:v>2026-08-04T12:30:00</x:v>
      </x:c>
      <x:c r="D4556" s="47" t="n">
        <x:v>5</x:v>
      </x:c>
      <x:c r="E4556" s="40" t="n">
        <x:v>12.5</x:v>
      </x:c>
      <x:c r="F4556" s="40" t="n">
        <x:v>10.50637435913086</x:v>
      </x:c>
      <x:c r="G4556" s="40" t="n">
        <x:v>12.5</x:v>
      </x:c>
      <x:c r="H4556" s="40" t="n">
        <x:f>F4556-E4556</x:f>
        <x:v>-1.9936256408691406</x:v>
      </x:c>
      <x:c r="I4556" s="40" t="n">
        <x:f>ABS(H4556)</x:f>
        <x:v>1.9936256408691406</x:v>
      </x:c>
      <x:c r="J4556" s="40" t="n">
        <x:f>H4556^2</x:f>
        <x:v>3.9745431959308917</x:v>
      </x:c>
      <x:c r="K4556" s="40" t="n">
        <x:f>G4556-E4556</x:f>
        <x:v>0</x:v>
      </x:c>
      <x:c r="L4556" s="40" t="n">
        <x:f>ABS(K4556)</x:f>
        <x:v>0</x:v>
      </x:c>
      <x:c r="M4556" s="41" t="str">
        <x:v>lstm-soil-v1</x:v>
      </x:c>
    </x:row>
    <x:row r="4557">
      <x:c r="A4557" s="38" t="str">
        <x:v>7月30日现场数据</x:v>
      </x:c>
      <x:c r="B4557" s="39" t="str">
        <x:v>2026-08-04T12:25:00</x:v>
      </x:c>
      <x:c r="C4557" s="39" t="str">
        <x:v>2026-08-04T12:40:00</x:v>
      </x:c>
      <x:c r="D4557" s="47" t="n">
        <x:v>15</x:v>
      </x:c>
      <x:c r="E4557" s="40" t="n">
        <x:v>12.5</x:v>
      </x:c>
      <x:c r="F4557" s="40" t="n">
        <x:v>10.586669921875</x:v>
      </x:c>
      <x:c r="G4557" s="40" t="n">
        <x:v>12.5</x:v>
      </x:c>
      <x:c r="H4557" s="40" t="n">
        <x:f>F4557-E4557</x:f>
        <x:v>-1.913330078125</x:v>
      </x:c>
      <x:c r="I4557" s="40" t="n">
        <x:f>ABS(H4557)</x:f>
        <x:v>1.913330078125</x:v>
      </x:c>
      <x:c r="J4557" s="40" t="n">
        <x:f>H4557^2</x:f>
        <x:v>3.6608319878578186</x:v>
      </x:c>
      <x:c r="K4557" s="40" t="n">
        <x:f>G4557-E4557</x:f>
        <x:v>0</x:v>
      </x:c>
      <x:c r="L4557" s="40" t="n">
        <x:f>ABS(K4557)</x:f>
        <x:v>0</x:v>
      </x:c>
      <x:c r="M4557" s="41" t="str">
        <x:v>lstm-soil-v1</x:v>
      </x:c>
    </x:row>
    <x:row r="4558">
      <x:c r="A4558" s="38" t="str">
        <x:v>7月30日现场数据</x:v>
      </x:c>
      <x:c r="B4558" s="39" t="str">
        <x:v>2026-08-04T12:25:00</x:v>
      </x:c>
      <x:c r="C4558" s="39" t="str">
        <x:v>2026-08-04T12:55:00</x:v>
      </x:c>
      <x:c r="D4558" s="47" t="n">
        <x:v>30</x:v>
      </x:c>
      <x:c r="E4558" s="40" t="n">
        <x:v>12.5</x:v>
      </x:c>
      <x:c r="F4558" s="40" t="n">
        <x:v>11.048446655273438</x:v>
      </x:c>
      <x:c r="G4558" s="40" t="n">
        <x:v>12.5</x:v>
      </x:c>
      <x:c r="H4558" s="40" t="n">
        <x:f>F4558-E4558</x:f>
        <x:v>-1.4515533447265625</x:v>
      </x:c>
      <x:c r="I4558" s="40" t="n">
        <x:f>ABS(H4558)</x:f>
        <x:v>1.4515533447265625</x:v>
      </x:c>
      <x:c r="J4558" s="40" t="n">
        <x:f>H4558^2</x:f>
        <x:v>2.107007112586871</x:v>
      </x:c>
      <x:c r="K4558" s="40" t="n">
        <x:f>G4558-E4558</x:f>
        <x:v>0</x:v>
      </x:c>
      <x:c r="L4558" s="40" t="n">
        <x:f>ABS(K4558)</x:f>
        <x:v>0</x:v>
      </x:c>
      <x:c r="M4558" s="41" t="str">
        <x:v>lstm-soil-v1</x:v>
      </x:c>
    </x:row>
    <x:row r="4559">
      <x:c r="A4559" s="38" t="str">
        <x:v>7月30日现场数据</x:v>
      </x:c>
      <x:c r="B4559" s="39" t="str">
        <x:v>2026-08-04T12:25:00</x:v>
      </x:c>
      <x:c r="C4559" s="39" t="str">
        <x:v>2026-08-04T13:25:00</x:v>
      </x:c>
      <x:c r="D4559" s="47" t="n">
        <x:v>60</x:v>
      </x:c>
      <x:c r="E4559" s="40" t="n">
        <x:v>12.4</x:v>
      </x:c>
      <x:c r="F4559" s="40" t="n">
        <x:v>12.750068664550781</x:v>
      </x:c>
      <x:c r="G4559" s="40" t="n">
        <x:v>12.5</x:v>
      </x:c>
      <x:c r="H4559" s="40" t="n">
        <x:f>F4559-E4559</x:f>
        <x:v>0.3500686645507809</x:v>
      </x:c>
      <x:c r="I4559" s="40" t="n">
        <x:f>ABS(H4559)</x:f>
        <x:v>0.3500686645507809</x:v>
      </x:c>
      <x:c r="J4559" s="40" t="n">
        <x:f>H4559^2</x:f>
        <x:v>0.12254806990036717</x:v>
      </x:c>
      <x:c r="K4559" s="40" t="n">
        <x:f>G4559-E4559</x:f>
        <x:v>0.09999999999999964</x:v>
      </x:c>
      <x:c r="L4559" s="40" t="n">
        <x:f>ABS(K4559)</x:f>
        <x:v>0.09999999999999964</x:v>
      </x:c>
      <x:c r="M4559" s="41" t="str">
        <x:v>lstm-soil-v1</x:v>
      </x:c>
    </x:row>
    <x:row r="4560">
      <x:c r="A4560" s="38" t="str">
        <x:v>7月30日现场数据</x:v>
      </x:c>
      <x:c r="B4560" s="39" t="str">
        <x:v>2026-08-04T12:30:00</x:v>
      </x:c>
      <x:c r="C4560" s="39" t="str">
        <x:v>2026-08-04T12:35:00</x:v>
      </x:c>
      <x:c r="D4560" s="47" t="n">
        <x:v>5</x:v>
      </x:c>
      <x:c r="E4560" s="40" t="n">
        <x:v>12.5</x:v>
      </x:c>
      <x:c r="F4560" s="40" t="n">
        <x:v>10.504173278808594</x:v>
      </x:c>
      <x:c r="G4560" s="40" t="n">
        <x:v>12.5</x:v>
      </x:c>
      <x:c r="H4560" s="40" t="n">
        <x:f>F4560-E4560</x:f>
        <x:v>-1.9958267211914062</x:v>
      </x:c>
      <x:c r="I4560" s="40" t="n">
        <x:f>ABS(H4560)</x:f>
        <x:v>1.9958267211914062</x:v>
      </x:c>
      <x:c r="J4560" s="40" t="n">
        <x:f>H4560^2</x:f>
        <x:v>3.9833243010216393</x:v>
      </x:c>
      <x:c r="K4560" s="40" t="n">
        <x:f>G4560-E4560</x:f>
        <x:v>0</x:v>
      </x:c>
      <x:c r="L4560" s="40" t="n">
        <x:f>ABS(K4560)</x:f>
        <x:v>0</x:v>
      </x:c>
      <x:c r="M4560" s="41" t="str">
        <x:v>lstm-soil-v1</x:v>
      </x:c>
    </x:row>
    <x:row r="4561">
      <x:c r="A4561" s="38" t="str">
        <x:v>7月30日现场数据</x:v>
      </x:c>
      <x:c r="B4561" s="39" t="str">
        <x:v>2026-08-04T12:30:00</x:v>
      </x:c>
      <x:c r="C4561" s="39" t="str">
        <x:v>2026-08-04T12:45:00</x:v>
      </x:c>
      <x:c r="D4561" s="47" t="n">
        <x:v>15</x:v>
      </x:c>
      <x:c r="E4561" s="40" t="n">
        <x:v>12.5</x:v>
      </x:c>
      <x:c r="F4561" s="40" t="n">
        <x:v>10.583667755126953</x:v>
      </x:c>
      <x:c r="G4561" s="40" t="n">
        <x:v>12.5</x:v>
      </x:c>
      <x:c r="H4561" s="40" t="n">
        <x:f>F4561-E4561</x:f>
        <x:v>-1.9163322448730469</x:v>
      </x:c>
      <x:c r="I4561" s="40" t="n">
        <x:f>ABS(H4561)</x:f>
        <x:v>1.9163322448730469</x:v>
      </x:c>
      <x:c r="J4561" s="40" t="n">
        <x:f>H4561^2</x:f>
        <x:v>3.6723292727401713</x:v>
      </x:c>
      <x:c r="K4561" s="40" t="n">
        <x:f>G4561-E4561</x:f>
        <x:v>0</x:v>
      </x:c>
      <x:c r="L4561" s="40" t="n">
        <x:f>ABS(K4561)</x:f>
        <x:v>0</x:v>
      </x:c>
      <x:c r="M4561" s="41" t="str">
        <x:v>lstm-soil-v1</x:v>
      </x:c>
    </x:row>
    <x:row r="4562">
      <x:c r="A4562" s="38" t="str">
        <x:v>7月30日现场数据</x:v>
      </x:c>
      <x:c r="B4562" s="39" t="str">
        <x:v>2026-08-04T12:30:00</x:v>
      </x:c>
      <x:c r="C4562" s="39" t="str">
        <x:v>2026-08-04T13:00:00</x:v>
      </x:c>
      <x:c r="D4562" s="47" t="n">
        <x:v>30</x:v>
      </x:c>
      <x:c r="E4562" s="40" t="n">
        <x:v>12.5</x:v>
      </x:c>
      <x:c r="F4562" s="40" t="n">
        <x:v>11.039955139160156</x:v>
      </x:c>
      <x:c r="G4562" s="40" t="n">
        <x:v>12.5</x:v>
      </x:c>
      <x:c r="H4562" s="40" t="n">
        <x:f>F4562-E4562</x:f>
        <x:v>-1.4600448608398438</x:v>
      </x:c>
      <x:c r="I4562" s="40" t="n">
        <x:f>ABS(H4562)</x:f>
        <x:v>1.4600448608398438</x:v>
      </x:c>
      <x:c r="J4562" s="40" t="n">
        <x:f>H4562^2</x:f>
        <x:v>2.1317309956648387</x:v>
      </x:c>
      <x:c r="K4562" s="40" t="n">
        <x:f>G4562-E4562</x:f>
        <x:v>0</x:v>
      </x:c>
      <x:c r="L4562" s="40" t="n">
        <x:f>ABS(K4562)</x:f>
        <x:v>0</x:v>
      </x:c>
      <x:c r="M4562" s="41" t="str">
        <x:v>lstm-soil-v1</x:v>
      </x:c>
    </x:row>
    <x:row r="4563">
      <x:c r="A4563" s="38" t="str">
        <x:v>7月30日现场数据</x:v>
      </x:c>
      <x:c r="B4563" s="39" t="str">
        <x:v>2026-08-04T12:30:00</x:v>
      </x:c>
      <x:c r="C4563" s="39" t="str">
        <x:v>2026-08-04T13:30:00</x:v>
      </x:c>
      <x:c r="D4563" s="47" t="n">
        <x:v>60</x:v>
      </x:c>
      <x:c r="E4563" s="40" t="n">
        <x:v>12.4</x:v>
      </x:c>
      <x:c r="F4563" s="40" t="n">
        <x:v>12.730792999267578</x:v>
      </x:c>
      <x:c r="G4563" s="40" t="n">
        <x:v>12.5</x:v>
      </x:c>
      <x:c r="H4563" s="40" t="n">
        <x:f>F4563-E4563</x:f>
        <x:v>0.33079299926757777</x:v>
      </x:c>
      <x:c r="I4563" s="40" t="n">
        <x:f>ABS(H4563)</x:f>
        <x:v>0.33079299926757777</x:v>
      </x:c>
      <x:c r="J4563" s="40" t="n">
        <x:f>H4563^2</x:f>
        <x:v>0.1094240083644397</x:v>
      </x:c>
      <x:c r="K4563" s="40" t="n">
        <x:f>G4563-E4563</x:f>
        <x:v>0.09999999999999964</x:v>
      </x:c>
      <x:c r="L4563" s="40" t="n">
        <x:f>ABS(K4563)</x:f>
        <x:v>0.09999999999999964</x:v>
      </x:c>
      <x:c r="M4563" s="41" t="str">
        <x:v>lstm-soil-v1</x:v>
      </x:c>
    </x:row>
    <x:row r="4564">
      <x:c r="A4564" s="38" t="str">
        <x:v>7月30日现场数据</x:v>
      </x:c>
      <x:c r="B4564" s="39" t="str">
        <x:v>2026-08-04T12:35:00</x:v>
      </x:c>
      <x:c r="C4564" s="39" t="str">
        <x:v>2026-08-04T12:40:00</x:v>
      </x:c>
      <x:c r="D4564" s="47" t="n">
        <x:v>5</x:v>
      </x:c>
      <x:c r="E4564" s="40" t="n">
        <x:v>12.5</x:v>
      </x:c>
      <x:c r="F4564" s="40" t="n">
        <x:v>10.505172729492188</x:v>
      </x:c>
      <x:c r="G4564" s="40" t="n">
        <x:v>12.5</x:v>
      </x:c>
      <x:c r="H4564" s="40" t="n">
        <x:f>F4564-E4564</x:f>
        <x:v>-1.9948272705078125</x:v>
      </x:c>
      <x:c r="I4564" s="40" t="n">
        <x:f>ABS(H4564)</x:f>
        <x:v>1.9948272705078125</x:v>
      </x:c>
      <x:c r="J4564" s="40" t="n">
        <x:f>H4564^2</x:f>
        <x:v>3.9793358391616493</x:v>
      </x:c>
      <x:c r="K4564" s="40" t="n">
        <x:f>G4564-E4564</x:f>
        <x:v>0</x:v>
      </x:c>
      <x:c r="L4564" s="40" t="n">
        <x:f>ABS(K4564)</x:f>
        <x:v>0</x:v>
      </x:c>
      <x:c r="M4564" s="41" t="str">
        <x:v>lstm-soil-v1</x:v>
      </x:c>
    </x:row>
    <x:row r="4565">
      <x:c r="A4565" s="38" t="str">
        <x:v>7月30日现场数据</x:v>
      </x:c>
      <x:c r="B4565" s="39" t="str">
        <x:v>2026-08-04T12:35:00</x:v>
      </x:c>
      <x:c r="C4565" s="39" t="str">
        <x:v>2026-08-04T12:50:00</x:v>
      </x:c>
      <x:c r="D4565" s="47" t="n">
        <x:v>15</x:v>
      </x:c>
      <x:c r="E4565" s="40" t="n">
        <x:v>12.5</x:v>
      </x:c>
      <x:c r="F4565" s="40" t="n">
        <x:v>10.580463409423828</x:v>
      </x:c>
      <x:c r="G4565" s="40" t="n">
        <x:v>12.5</x:v>
      </x:c>
      <x:c r="H4565" s="40" t="n">
        <x:f>F4565-E4565</x:f>
        <x:v>-1.9195365905761719</x:v>
      </x:c>
      <x:c r="I4565" s="40" t="n">
        <x:f>ABS(H4565)</x:f>
        <x:v>1.9195365905761719</x:v>
      </x:c>
      <x:c r="J4565" s="40" t="n">
        <x:f>H4565^2</x:f>
        <x:v>3.684620722560794</x:v>
      </x:c>
      <x:c r="K4565" s="40" t="n">
        <x:f>G4565-E4565</x:f>
        <x:v>0</x:v>
      </x:c>
      <x:c r="L4565" s="40" t="n">
        <x:f>ABS(K4565)</x:f>
        <x:v>0</x:v>
      </x:c>
      <x:c r="M4565" s="41" t="str">
        <x:v>lstm-soil-v1</x:v>
      </x:c>
    </x:row>
    <x:row r="4566">
      <x:c r="A4566" s="38" t="str">
        <x:v>7月30日现场数据</x:v>
      </x:c>
      <x:c r="B4566" s="39" t="str">
        <x:v>2026-08-04T12:35:00</x:v>
      </x:c>
      <x:c r="C4566" s="39" t="str">
        <x:v>2026-08-04T13:05:00</x:v>
      </x:c>
      <x:c r="D4566" s="47" t="n">
        <x:v>30</x:v>
      </x:c>
      <x:c r="E4566" s="40" t="n">
        <x:v>12.4</x:v>
      </x:c>
      <x:c r="F4566" s="40" t="n">
        <x:v>11.038185119628906</x:v>
      </x:c>
      <x:c r="G4566" s="40" t="n">
        <x:v>12.5</x:v>
      </x:c>
      <x:c r="H4566" s="40" t="n">
        <x:f>F4566-E4566</x:f>
        <x:v>-1.361814880371094</x:v>
      </x:c>
      <x:c r="I4566" s="40" t="n">
        <x:f>ABS(H4566)</x:f>
        <x:v>1.361814880371094</x:v>
      </x:c>
      <x:c r="J4566" s="40" t="n">
        <x:f>H4566^2</x:f>
        <x:v>1.8545397684001375</x:v>
      </x:c>
      <x:c r="K4566" s="40" t="n">
        <x:f>G4566-E4566</x:f>
        <x:v>0.09999999999999964</x:v>
      </x:c>
      <x:c r="L4566" s="40" t="n">
        <x:f>ABS(K4566)</x:f>
        <x:v>0.09999999999999964</x:v>
      </x:c>
      <x:c r="M4566" s="41" t="str">
        <x:v>lstm-soil-v1</x:v>
      </x:c>
    </x:row>
    <x:row r="4567">
      <x:c r="A4567" s="38" t="str">
        <x:v>7月30日现场数据</x:v>
      </x:c>
      <x:c r="B4567" s="39" t="str">
        <x:v>2026-08-04T12:35:00</x:v>
      </x:c>
      <x:c r="C4567" s="39" t="str">
        <x:v>2026-08-04T13:35:00</x:v>
      </x:c>
      <x:c r="D4567" s="47" t="n">
        <x:v>60</x:v>
      </x:c>
      <x:c r="E4567" s="40" t="n">
        <x:v>12.4</x:v>
      </x:c>
      <x:c r="F4567" s="40" t="n">
        <x:v>12.730598449707031</x:v>
      </x:c>
      <x:c r="G4567" s="40" t="n">
        <x:v>12.5</x:v>
      </x:c>
      <x:c r="H4567" s="40" t="n">
        <x:f>F4567-E4567</x:f>
        <x:v>0.3305984497070309</x:v>
      </x:c>
      <x:c r="I4567" s="40" t="n">
        <x:f>ABS(H4567)</x:f>
        <x:v>0.3305984497070309</x:v>
      </x:c>
      <x:c r="J4567" s="40" t="n">
        <x:f>H4567^2</x:f>
        <x:v>0.10929533494869223</x:v>
      </x:c>
      <x:c r="K4567" s="40" t="n">
        <x:f>G4567-E4567</x:f>
        <x:v>0.09999999999999964</x:v>
      </x:c>
      <x:c r="L4567" s="40" t="n">
        <x:f>ABS(K4567)</x:f>
        <x:v>0.09999999999999964</x:v>
      </x:c>
      <x:c r="M4567" s="41" t="str">
        <x:v>lstm-soil-v1</x:v>
      </x:c>
    </x:row>
    <x:row r="4568">
      <x:c r="A4568" s="38" t="str">
        <x:v>7月30日现场数据</x:v>
      </x:c>
      <x:c r="B4568" s="39" t="str">
        <x:v>2026-08-04T12:40:00</x:v>
      </x:c>
      <x:c r="C4568" s="39" t="str">
        <x:v>2026-08-04T12:45:00</x:v>
      </x:c>
      <x:c r="D4568" s="47" t="n">
        <x:v>5</x:v>
      </x:c>
      <x:c r="E4568" s="40" t="n">
        <x:v>12.5</x:v>
      </x:c>
      <x:c r="F4568" s="40" t="n">
        <x:v>10.505867004394531</x:v>
      </x:c>
      <x:c r="G4568" s="40" t="n">
        <x:v>12.5</x:v>
      </x:c>
      <x:c r="H4568" s="40" t="n">
        <x:f>F4568-E4568</x:f>
        <x:v>-1.9941329956054688</x:v>
      </x:c>
      <x:c r="I4568" s="40" t="n">
        <x:f>ABS(H4568)</x:f>
        <x:v>1.9941329956054688</x:v>
      </x:c>
      <x:c r="J4568" s="40" t="n">
        <x:f>H4568^2</x:f>
        <x:v>3.9765664041624404</x:v>
      </x:c>
      <x:c r="K4568" s="40" t="n">
        <x:f>G4568-E4568</x:f>
        <x:v>0</x:v>
      </x:c>
      <x:c r="L4568" s="40" t="n">
        <x:f>ABS(K4568)</x:f>
        <x:v>0</x:v>
      </x:c>
      <x:c r="M4568" s="41" t="str">
        <x:v>lstm-soil-v1</x:v>
      </x:c>
    </x:row>
    <x:row r="4569">
      <x:c r="A4569" s="38" t="str">
        <x:v>7月30日现场数据</x:v>
      </x:c>
      <x:c r="B4569" s="39" t="str">
        <x:v>2026-08-04T12:40:00</x:v>
      </x:c>
      <x:c r="C4569" s="39" t="str">
        <x:v>2026-08-04T12:55:00</x:v>
      </x:c>
      <x:c r="D4569" s="47" t="n">
        <x:v>15</x:v>
      </x:c>
      <x:c r="E4569" s="40" t="n">
        <x:v>12.5</x:v>
      </x:c>
      <x:c r="F4569" s="40" t="n">
        <x:v>10.578670501708984</x:v>
      </x:c>
      <x:c r="G4569" s="40" t="n">
        <x:v>12.5</x:v>
      </x:c>
      <x:c r="H4569" s="40" t="n">
        <x:f>F4569-E4569</x:f>
        <x:v>-1.9213294982910156</x:v>
      </x:c>
      <x:c r="I4569" s="40" t="n">
        <x:f>ABS(H4569)</x:f>
        <x:v>1.9213294982910156</x:v>
      </x:c>
      <x:c r="J4569" s="40" t="n">
        <x:f>H4569^2</x:f>
        <x:v>3.691507041003206</x:v>
      </x:c>
      <x:c r="K4569" s="40" t="n">
        <x:f>G4569-E4569</x:f>
        <x:v>0</x:v>
      </x:c>
      <x:c r="L4569" s="40" t="n">
        <x:f>ABS(K4569)</x:f>
        <x:v>0</x:v>
      </x:c>
      <x:c r="M4569" s="41" t="str">
        <x:v>lstm-soil-v1</x:v>
      </x:c>
    </x:row>
    <x:row r="4570">
      <x:c r="A4570" s="38" t="str">
        <x:v>7月30日现场数据</x:v>
      </x:c>
      <x:c r="B4570" s="39" t="str">
        <x:v>2026-08-04T12:40:00</x:v>
      </x:c>
      <x:c r="C4570" s="39" t="str">
        <x:v>2026-08-04T13:10:00</x:v>
      </x:c>
      <x:c r="D4570" s="47" t="n">
        <x:v>30</x:v>
      </x:c>
      <x:c r="E4570" s="40" t="n">
        <x:v>12.5</x:v>
      </x:c>
      <x:c r="F4570" s="40" t="n">
        <x:v>11.037715911865234</x:v>
      </x:c>
      <x:c r="G4570" s="40" t="n">
        <x:v>12.5</x:v>
      </x:c>
      <x:c r="H4570" s="40" t="n">
        <x:f>F4570-E4570</x:f>
        <x:v>-1.4622840881347656</x:v>
      </x:c>
      <x:c r="I4570" s="40" t="n">
        <x:f>ABS(H4570)</x:f>
        <x:v>1.4622840881347656</x:v>
      </x:c>
      <x:c r="J4570" s="40" t="n">
        <x:f>H4570^2</x:f>
        <x:v>2.138274754412123</x:v>
      </x:c>
      <x:c r="K4570" s="40" t="n">
        <x:f>G4570-E4570</x:f>
        <x:v>0</x:v>
      </x:c>
      <x:c r="L4570" s="40" t="n">
        <x:f>ABS(K4570)</x:f>
        <x:v>0</x:v>
      </x:c>
      <x:c r="M4570" s="41" t="str">
        <x:v>lstm-soil-v1</x:v>
      </x:c>
    </x:row>
    <x:row r="4571">
      <x:c r="A4571" s="38" t="str">
        <x:v>7月30日现场数据</x:v>
      </x:c>
      <x:c r="B4571" s="39" t="str">
        <x:v>2026-08-04T12:40:00</x:v>
      </x:c>
      <x:c r="C4571" s="39" t="str">
        <x:v>2026-08-04T13:40:00</x:v>
      </x:c>
      <x:c r="D4571" s="47" t="n">
        <x:v>60</x:v>
      </x:c>
      <x:c r="E4571" s="40" t="n">
        <x:v>12.4</x:v>
      </x:c>
      <x:c r="F4571" s="40" t="n">
        <x:v>12.730201721191406</x:v>
      </x:c>
      <x:c r="G4571" s="40" t="n">
        <x:v>12.5</x:v>
      </x:c>
      <x:c r="H4571" s="40" t="n">
        <x:f>F4571-E4571</x:f>
        <x:v>0.3302017211914059</x:v>
      </x:c>
      <x:c r="I4571" s="40" t="n">
        <x:f>ABS(H4571)</x:f>
        <x:v>0.3302017211914059</x:v>
      </x:c>
      <x:c r="J4571" s="40" t="n">
        <x:f>H4571^2</x:f>
        <x:v>0.10903317667776695</x:v>
      </x:c>
      <x:c r="K4571" s="40" t="n">
        <x:f>G4571-E4571</x:f>
        <x:v>0.09999999999999964</x:v>
      </x:c>
      <x:c r="L4571" s="40" t="n">
        <x:f>ABS(K4571)</x:f>
        <x:v>0.09999999999999964</x:v>
      </x:c>
      <x:c r="M4571" s="41" t="str">
        <x:v>lstm-soil-v1</x:v>
      </x:c>
    </x:row>
    <x:row r="4572">
      <x:c r="A4572" s="38" t="str">
        <x:v>7月30日现场数据</x:v>
      </x:c>
      <x:c r="B4572" s="39" t="str">
        <x:v>2026-08-04T12:45:00</x:v>
      </x:c>
      <x:c r="C4572" s="39" t="str">
        <x:v>2026-08-04T12:50:00</x:v>
      </x:c>
      <x:c r="D4572" s="47" t="n">
        <x:v>5</x:v>
      </x:c>
      <x:c r="E4572" s="40" t="n">
        <x:v>12.5</x:v>
      </x:c>
      <x:c r="F4572" s="40" t="n">
        <x:v>10.506473541259766</x:v>
      </x:c>
      <x:c r="G4572" s="40" t="n">
        <x:v>12.5</x:v>
      </x:c>
      <x:c r="H4572" s="40" t="n">
        <x:f>F4572-E4572</x:f>
        <x:v>-1.9935264587402344</x:v>
      </x:c>
      <x:c r="I4572" s="40" t="n">
        <x:f>ABS(H4572)</x:f>
        <x:v>1.9935264587402344</x:v>
      </x:c>
      <x:c r="J4572" s="40" t="n">
        <x:f>H4572^2</x:f>
        <x:v>3.9741477416973794</x:v>
      </x:c>
      <x:c r="K4572" s="40" t="n">
        <x:f>G4572-E4572</x:f>
        <x:v>0</x:v>
      </x:c>
      <x:c r="L4572" s="40" t="n">
        <x:f>ABS(K4572)</x:f>
        <x:v>0</x:v>
      </x:c>
      <x:c r="M4572" s="41" t="str">
        <x:v>lstm-soil-v1</x:v>
      </x:c>
    </x:row>
    <x:row r="4573">
      <x:c r="A4573" s="38" t="str">
        <x:v>7月30日现场数据</x:v>
      </x:c>
      <x:c r="B4573" s="39" t="str">
        <x:v>2026-08-04T12:45:00</x:v>
      </x:c>
      <x:c r="C4573" s="39" t="str">
        <x:v>2026-08-04T13:00:00</x:v>
      </x:c>
      <x:c r="D4573" s="47" t="n">
        <x:v>15</x:v>
      </x:c>
      <x:c r="E4573" s="40" t="n">
        <x:v>12.5</x:v>
      </x:c>
      <x:c r="F4573" s="40" t="n">
        <x:v>10.583480834960938</x:v>
      </x:c>
      <x:c r="G4573" s="40" t="n">
        <x:v>12.5</x:v>
      </x:c>
      <x:c r="H4573" s="40" t="n">
        <x:f>F4573-E4573</x:f>
        <x:v>-1.9165191650390625</x:v>
      </x:c>
      <x:c r="I4573" s="40" t="n">
        <x:f>ABS(H4573)</x:f>
        <x:v>1.9165191650390625</x:v>
      </x:c>
      <x:c r="J4573" s="40" t="n">
        <x:f>H4573^2</x:f>
        <x:v>3.6730457099620253</x:v>
      </x:c>
      <x:c r="K4573" s="40" t="n">
        <x:f>G4573-E4573</x:f>
        <x:v>0</x:v>
      </x:c>
      <x:c r="L4573" s="40" t="n">
        <x:f>ABS(K4573)</x:f>
        <x:v>0</x:v>
      </x:c>
      <x:c r="M4573" s="41" t="str">
        <x:v>lstm-soil-v1</x:v>
      </x:c>
    </x:row>
    <x:row r="4574">
      <x:c r="A4574" s="38" t="str">
        <x:v>7月30日现场数据</x:v>
      </x:c>
      <x:c r="B4574" s="39" t="str">
        <x:v>2026-08-04T12:45:00</x:v>
      </x:c>
      <x:c r="C4574" s="39" t="str">
        <x:v>2026-08-04T13:15:00</x:v>
      </x:c>
      <x:c r="D4574" s="47" t="n">
        <x:v>30</x:v>
      </x:c>
      <x:c r="E4574" s="40" t="n">
        <x:v>12.5</x:v>
      </x:c>
      <x:c r="F4574" s="40" t="n">
        <x:v>11.038665771484375</x:v>
      </x:c>
      <x:c r="G4574" s="40" t="n">
        <x:v>12.5</x:v>
      </x:c>
      <x:c r="H4574" s="40" t="n">
        <x:f>F4574-E4574</x:f>
        <x:v>-1.461334228515625</x:v>
      </x:c>
      <x:c r="I4574" s="40" t="n">
        <x:f>ABS(H4574)</x:f>
        <x:v>1.461334228515625</x:v>
      </x:c>
      <x:c r="J4574" s="40" t="n">
        <x:f>H4574^2</x:f>
        <x:v>2.135497727431357</x:v>
      </x:c>
      <x:c r="K4574" s="40" t="n">
        <x:f>G4574-E4574</x:f>
        <x:v>0</x:v>
      </x:c>
      <x:c r="L4574" s="40" t="n">
        <x:f>ABS(K4574)</x:f>
        <x:v>0</x:v>
      </x:c>
      <x:c r="M4574" s="41" t="str">
        <x:v>lstm-soil-v1</x:v>
      </x:c>
    </x:row>
    <x:row r="4575">
      <x:c r="A4575" s="38" t="str">
        <x:v>7月30日现场数据</x:v>
      </x:c>
      <x:c r="B4575" s="39" t="str">
        <x:v>2026-08-04T12:45:00</x:v>
      </x:c>
      <x:c r="C4575" s="39" t="str">
        <x:v>2026-08-04T13:45:00</x:v>
      </x:c>
      <x:c r="D4575" s="47" t="n">
        <x:v>60</x:v>
      </x:c>
      <x:c r="E4575" s="40" t="n">
        <x:v>12.4</x:v>
      </x:c>
      <x:c r="F4575" s="40" t="n">
        <x:v>12.735904693603516</x:v>
      </x:c>
      <x:c r="G4575" s="40" t="n">
        <x:v>12.5</x:v>
      </x:c>
      <x:c r="H4575" s="40" t="n">
        <x:f>F4575-E4575</x:f>
        <x:v>0.33590469360351527</x:v>
      </x:c>
      <x:c r="I4575" s="40" t="n">
        <x:f>ABS(H4575)</x:f>
        <x:v>0.33590469360351527</x:v>
      </x:c>
      <x:c r="J4575" s="40" t="n">
        <x:f>H4575^2</x:f>
        <x:v>0.11283196318487147</x:v>
      </x:c>
      <x:c r="K4575" s="40" t="n">
        <x:f>G4575-E4575</x:f>
        <x:v>0.09999999999999964</x:v>
      </x:c>
      <x:c r="L4575" s="40" t="n">
        <x:f>ABS(K4575)</x:f>
        <x:v>0.09999999999999964</x:v>
      </x:c>
      <x:c r="M4575" s="41" t="str">
        <x:v>lstm-soil-v1</x:v>
      </x:c>
    </x:row>
    <x:row r="4576">
      <x:c r="A4576" s="38" t="str">
        <x:v>7月30日现场数据</x:v>
      </x:c>
      <x:c r="B4576" s="39" t="str">
        <x:v>2026-08-04T12:50:00</x:v>
      </x:c>
      <x:c r="C4576" s="39" t="str">
        <x:v>2026-08-04T12:55:00</x:v>
      </x:c>
      <x:c r="D4576" s="47" t="n">
        <x:v>5</x:v>
      </x:c>
      <x:c r="E4576" s="40" t="n">
        <x:v>12.5</x:v>
      </x:c>
      <x:c r="F4576" s="40" t="n">
        <x:v>10.507129669189453</x:v>
      </x:c>
      <x:c r="G4576" s="40" t="n">
        <x:v>12.5</x:v>
      </x:c>
      <x:c r="H4576" s="40" t="n">
        <x:f>F4576-E4576</x:f>
        <x:v>-1.9928703308105469</x:v>
      </x:c>
      <x:c r="I4576" s="40" t="n">
        <x:f>ABS(H4576)</x:f>
        <x:v>1.9928703308105469</x:v>
      </x:c>
      <x:c r="J4576" s="40" t="n">
        <x:f>H4576^2</x:f>
        <x:v>3.9715321554249385</x:v>
      </x:c>
      <x:c r="K4576" s="40" t="n">
        <x:f>G4576-E4576</x:f>
        <x:v>0</x:v>
      </x:c>
      <x:c r="L4576" s="40" t="n">
        <x:f>ABS(K4576)</x:f>
        <x:v>0</x:v>
      </x:c>
      <x:c r="M4576" s="41" t="str">
        <x:v>lstm-soil-v1</x:v>
      </x:c>
    </x:row>
    <x:row r="4577">
      <x:c r="A4577" s="38" t="str">
        <x:v>7月30日现场数据</x:v>
      </x:c>
      <x:c r="B4577" s="39" t="str">
        <x:v>2026-08-04T12:50:00</x:v>
      </x:c>
      <x:c r="C4577" s="39" t="str">
        <x:v>2026-08-04T13:05:00</x:v>
      </x:c>
      <x:c r="D4577" s="47" t="n">
        <x:v>15</x:v>
      </x:c>
      <x:c r="E4577" s="40" t="n">
        <x:v>12.4</x:v>
      </x:c>
      <x:c r="F4577" s="40" t="n">
        <x:v>10.577507019042969</x:v>
      </x:c>
      <x:c r="G4577" s="40" t="n">
        <x:v>12.5</x:v>
      </x:c>
      <x:c r="H4577" s="40" t="n">
        <x:f>F4577-E4577</x:f>
        <x:v>-1.8224929809570316</x:v>
      </x:c>
      <x:c r="I4577" s="40" t="n">
        <x:f>ABS(H4577)</x:f>
        <x:v>1.8224929809570316</x:v>
      </x:c>
      <x:c r="J4577" s="40" t="n">
        <x:f>H4577^2</x:f>
        <x:v>3.321480665637647</x:v>
      </x:c>
      <x:c r="K4577" s="40" t="n">
        <x:f>G4577-E4577</x:f>
        <x:v>0.09999999999999964</x:v>
      </x:c>
      <x:c r="L4577" s="40" t="n">
        <x:f>ABS(K4577)</x:f>
        <x:v>0.09999999999999964</x:v>
      </x:c>
      <x:c r="M4577" s="41" t="str">
        <x:v>lstm-soil-v1</x:v>
      </x:c>
    </x:row>
    <x:row r="4578">
      <x:c r="A4578" s="38" t="str">
        <x:v>7月30日现场数据</x:v>
      </x:c>
      <x:c r="B4578" s="39" t="str">
        <x:v>2026-08-04T12:50:00</x:v>
      </x:c>
      <x:c r="C4578" s="39" t="str">
        <x:v>2026-08-04T13:20:00</x:v>
      </x:c>
      <x:c r="D4578" s="47" t="n">
        <x:v>30</x:v>
      </x:c>
      <x:c r="E4578" s="40" t="n">
        <x:v>12.5</x:v>
      </x:c>
      <x:c r="F4578" s="40" t="n">
        <x:v>11.038936614990234</x:v>
      </x:c>
      <x:c r="G4578" s="40" t="n">
        <x:v>12.5</x:v>
      </x:c>
      <x:c r="H4578" s="40" t="n">
        <x:f>F4578-E4578</x:f>
        <x:v>-1.4610633850097656</x:v>
      </x:c>
      <x:c r="I4578" s="40" t="n">
        <x:f>ABS(H4578)</x:f>
        <x:v>1.4610633850097656</x:v>
      </x:c>
      <x:c r="J4578" s="40" t="n">
        <x:f>H4578^2</x:f>
        <x:v>2.1347062150161946</x:v>
      </x:c>
      <x:c r="K4578" s="40" t="n">
        <x:f>G4578-E4578</x:f>
        <x:v>0</x:v>
      </x:c>
      <x:c r="L4578" s="40" t="n">
        <x:f>ABS(K4578)</x:f>
        <x:v>0</x:v>
      </x:c>
      <x:c r="M4578" s="41" t="str">
        <x:v>lstm-soil-v1</x:v>
      </x:c>
    </x:row>
    <x:row r="4579">
      <x:c r="A4579" s="38" t="str">
        <x:v>7月30日现场数据</x:v>
      </x:c>
      <x:c r="B4579" s="39" t="str">
        <x:v>2026-08-04T12:50:00</x:v>
      </x:c>
      <x:c r="C4579" s="39" t="str">
        <x:v>2026-08-04T13:50:00</x:v>
      </x:c>
      <x:c r="D4579" s="47" t="n">
        <x:v>60</x:v>
      </x:c>
      <x:c r="E4579" s="40" t="n">
        <x:v>12.3</x:v>
      </x:c>
      <x:c r="F4579" s="40" t="n">
        <x:v>12.739280700683594</x:v>
      </x:c>
      <x:c r="G4579" s="40" t="n">
        <x:v>12.5</x:v>
      </x:c>
      <x:c r="H4579" s="40" t="n">
        <x:f>F4579-E4579</x:f>
        <x:v>0.43928070068359304</x:v>
      </x:c>
      <x:c r="I4579" s="40" t="n">
        <x:f>ABS(H4579)</x:f>
        <x:v>0.43928070068359304</x:v>
      </x:c>
      <x:c r="J4579" s="40" t="n">
        <x:f>H4579^2</x:f>
        <x:v>0.19296753399306846</x:v>
      </x:c>
      <x:c r="K4579" s="40" t="n">
        <x:f>G4579-E4579</x:f>
        <x:v>0.1999999999999993</x:v>
      </x:c>
      <x:c r="L4579" s="40" t="n">
        <x:f>ABS(K4579)</x:f>
        <x:v>0.1999999999999993</x:v>
      </x:c>
      <x:c r="M4579" s="41" t="str">
        <x:v>lstm-soil-v1</x:v>
      </x:c>
    </x:row>
    <x:row r="4580">
      <x:c r="A4580" s="38" t="str">
        <x:v>7月30日现场数据</x:v>
      </x:c>
      <x:c r="B4580" s="39" t="str">
        <x:v>2026-08-04T12:55:00</x:v>
      </x:c>
      <x:c r="C4580" s="39" t="str">
        <x:v>2026-08-04T13:00:00</x:v>
      </x:c>
      <x:c r="D4580" s="47" t="n">
        <x:v>5</x:v>
      </x:c>
      <x:c r="E4580" s="40" t="n">
        <x:v>12.5</x:v>
      </x:c>
      <x:c r="F4580" s="40" t="n">
        <x:v>10.508110046386719</x:v>
      </x:c>
      <x:c r="G4580" s="40" t="n">
        <x:v>12.5</x:v>
      </x:c>
      <x:c r="H4580" s="40" t="n">
        <x:f>F4580-E4580</x:f>
        <x:v>-1.9918899536132812</x:v>
      </x:c>
      <x:c r="I4580" s="40" t="n">
        <x:f>ABS(H4580)</x:f>
        <x:v>1.9918899536132812</x:v>
      </x:c>
      <x:c r="J4580" s="40" t="n">
        <x:f>H4580^2</x:f>
        <x:v>3.9676255873055197</x:v>
      </x:c>
      <x:c r="K4580" s="40" t="n">
        <x:f>G4580-E4580</x:f>
        <x:v>0</x:v>
      </x:c>
      <x:c r="L4580" s="40" t="n">
        <x:f>ABS(K4580)</x:f>
        <x:v>0</x:v>
      </x:c>
      <x:c r="M4580" s="41" t="str">
        <x:v>lstm-soil-v1</x:v>
      </x:c>
    </x:row>
    <x:row r="4581">
      <x:c r="A4581" s="38" t="str">
        <x:v>7月30日现场数据</x:v>
      </x:c>
      <x:c r="B4581" s="39" t="str">
        <x:v>2026-08-04T12:55:00</x:v>
      </x:c>
      <x:c r="C4581" s="39" t="str">
        <x:v>2026-08-04T13:10:00</x:v>
      </x:c>
      <x:c r="D4581" s="47" t="n">
        <x:v>15</x:v>
      </x:c>
      <x:c r="E4581" s="40" t="n">
        <x:v>12.5</x:v>
      </x:c>
      <x:c r="F4581" s="40" t="n">
        <x:v>10.585334777832031</x:v>
      </x:c>
      <x:c r="G4581" s="40" t="n">
        <x:v>12.5</x:v>
      </x:c>
      <x:c r="H4581" s="40" t="n">
        <x:f>F4581-E4581</x:f>
        <x:v>-1.9146652221679688</x:v>
      </x:c>
      <x:c r="I4581" s="40" t="n">
        <x:f>ABS(H4581)</x:f>
        <x:v>1.9146652221679688</x:v>
      </x:c>
      <x:c r="J4581" s="40" t="n">
        <x:f>H4581^2</x:f>
        <x:v>3.665942912979517</x:v>
      </x:c>
      <x:c r="K4581" s="40" t="n">
        <x:f>G4581-E4581</x:f>
        <x:v>0</x:v>
      </x:c>
      <x:c r="L4581" s="40" t="n">
        <x:f>ABS(K4581)</x:f>
        <x:v>0</x:v>
      </x:c>
      <x:c r="M4581" s="41" t="str">
        <x:v>lstm-soil-v1</x:v>
      </x:c>
    </x:row>
    <x:row r="4582">
      <x:c r="A4582" s="38" t="str">
        <x:v>7月30日现场数据</x:v>
      </x:c>
      <x:c r="B4582" s="39" t="str">
        <x:v>2026-08-04T12:55:00</x:v>
      </x:c>
      <x:c r="C4582" s="39" t="str">
        <x:v>2026-08-04T13:25:00</x:v>
      </x:c>
      <x:c r="D4582" s="47" t="n">
        <x:v>30</x:v>
      </x:c>
      <x:c r="E4582" s="40" t="n">
        <x:v>12.4</x:v>
      </x:c>
      <x:c r="F4582" s="40" t="n">
        <x:v>11.043716430664062</x:v>
      </x:c>
      <x:c r="G4582" s="40" t="n">
        <x:v>12.5</x:v>
      </x:c>
      <x:c r="H4582" s="40" t="n">
        <x:f>F4582-E4582</x:f>
        <x:v>-1.3562835693359379</x:v>
      </x:c>
      <x:c r="I4582" s="40" t="n">
        <x:f>ABS(H4582)</x:f>
        <x:v>1.3562835693359379</x:v>
      </x:c>
      <x:c r="J4582" s="40" t="n">
        <x:f>H4582^2</x:f>
        <x:v>1.8395051204506319</x:v>
      </x:c>
      <x:c r="K4582" s="40" t="n">
        <x:f>G4582-E4582</x:f>
        <x:v>0.09999999999999964</x:v>
      </x:c>
      <x:c r="L4582" s="40" t="n">
        <x:f>ABS(K4582)</x:f>
        <x:v>0.09999999999999964</x:v>
      </x:c>
      <x:c r="M4582" s="41" t="str">
        <x:v>lstm-soil-v1</x:v>
      </x:c>
    </x:row>
    <x:row r="4583">
      <x:c r="A4583" s="38" t="str">
        <x:v>7月30日现场数据</x:v>
      </x:c>
      <x:c r="B4583" s="39" t="str">
        <x:v>2026-08-04T12:55:00</x:v>
      </x:c>
      <x:c r="C4583" s="39" t="str">
        <x:v>2026-08-04T13:55:00</x:v>
      </x:c>
      <x:c r="D4583" s="47" t="n">
        <x:v>60</x:v>
      </x:c>
      <x:c r="E4583" s="40" t="n">
        <x:v>12.4</x:v>
      </x:c>
      <x:c r="F4583" s="40" t="n">
        <x:v>12.746875762939453</x:v>
      </x:c>
      <x:c r="G4583" s="40" t="n">
        <x:v>12.5</x:v>
      </x:c>
      <x:c r="H4583" s="40" t="n">
        <x:f>F4583-E4583</x:f>
        <x:v>0.34687576293945277</x:v>
      </x:c>
      <x:c r="I4583" s="40" t="n">
        <x:f>ABS(H4583)</x:f>
        <x:v>0.34687576293945277</x:v>
      </x:c>
      <x:c r="J4583" s="40" t="n">
        <x:f>H4583^2</x:f>
        <x:v>0.12032279491482743</x:v>
      </x:c>
      <x:c r="K4583" s="40" t="n">
        <x:f>G4583-E4583</x:f>
        <x:v>0.09999999999999964</x:v>
      </x:c>
      <x:c r="L4583" s="40" t="n">
        <x:f>ABS(K4583)</x:f>
        <x:v>0.09999999999999964</x:v>
      </x:c>
      <x:c r="M4583" s="41" t="str">
        <x:v>lstm-soil-v1</x:v>
      </x:c>
    </x:row>
    <x:row r="4584">
      <x:c r="A4584" s="38" t="str">
        <x:v>7月30日现场数据</x:v>
      </x:c>
      <x:c r="B4584" s="39" t="str">
        <x:v>2026-08-04T13:00:00</x:v>
      </x:c>
      <x:c r="C4584" s="39" t="str">
        <x:v>2026-08-04T13:05:00</x:v>
      </x:c>
      <x:c r="D4584" s="47" t="n">
        <x:v>5</x:v>
      </x:c>
      <x:c r="E4584" s="40" t="n">
        <x:v>12.4</x:v>
      </x:c>
      <x:c r="F4584" s="40" t="n">
        <x:v>10.50729751586914</x:v>
      </x:c>
      <x:c r="G4584" s="40" t="n">
        <x:v>12.5</x:v>
      </x:c>
      <x:c r="H4584" s="40" t="n">
        <x:f>F4584-E4584</x:f>
        <x:v>-1.8927024841308597</x:v>
      </x:c>
      <x:c r="I4584" s="40" t="n">
        <x:f>ABS(H4584)</x:f>
        <x:v>1.8927024841308597</x:v>
      </x:c>
      <x:c r="J4584" s="40" t="n">
        <x:f>H4584^2</x:f>
        <x:v>3.5823226934351275</x:v>
      </x:c>
      <x:c r="K4584" s="40" t="n">
        <x:f>G4584-E4584</x:f>
        <x:v>0.09999999999999964</x:v>
      </x:c>
      <x:c r="L4584" s="40" t="n">
        <x:f>ABS(K4584)</x:f>
        <x:v>0.09999999999999964</x:v>
      </x:c>
      <x:c r="M4584" s="41" t="str">
        <x:v>lstm-soil-v1</x:v>
      </x:c>
    </x:row>
    <x:row r="4585">
      <x:c r="A4585" s="38" t="str">
        <x:v>7月30日现场数据</x:v>
      </x:c>
      <x:c r="B4585" s="39" t="str">
        <x:v>2026-08-04T13:00:00</x:v>
      </x:c>
      <x:c r="C4585" s="39" t="str">
        <x:v>2026-08-04T13:15:00</x:v>
      </x:c>
      <x:c r="D4585" s="47" t="n">
        <x:v>15</x:v>
      </x:c>
      <x:c r="E4585" s="40" t="n">
        <x:v>12.5</x:v>
      </x:c>
      <x:c r="F4585" s="40" t="n">
        <x:v>10.583660125732422</x:v>
      </x:c>
      <x:c r="G4585" s="40" t="n">
        <x:v>12.5</x:v>
      </x:c>
      <x:c r="H4585" s="40" t="n">
        <x:f>F4585-E4585</x:f>
        <x:v>-1.9163398742675781</x:v>
      </x:c>
      <x:c r="I4585" s="40" t="n">
        <x:f>ABS(H4585)</x:f>
        <x:v>1.9163398742675781</x:v>
      </x:c>
      <x:c r="J4585" s="40" t="n">
        <x:f>H4585^2</x:f>
        <x:v>3.672358513707877</x:v>
      </x:c>
      <x:c r="K4585" s="40" t="n">
        <x:f>G4585-E4585</x:f>
        <x:v>0</x:v>
      </x:c>
      <x:c r="L4585" s="40" t="n">
        <x:f>ABS(K4585)</x:f>
        <x:v>0</x:v>
      </x:c>
      <x:c r="M4585" s="41" t="str">
        <x:v>lstm-soil-v1</x:v>
      </x:c>
    </x:row>
    <x:row r="4586">
      <x:c r="A4586" s="38" t="str">
        <x:v>7月30日现场数据</x:v>
      </x:c>
      <x:c r="B4586" s="39" t="str">
        <x:v>2026-08-04T13:00:00</x:v>
      </x:c>
      <x:c r="C4586" s="39" t="str">
        <x:v>2026-08-04T13:30:00</x:v>
      </x:c>
      <x:c r="D4586" s="47" t="n">
        <x:v>30</x:v>
      </x:c>
      <x:c r="E4586" s="40" t="n">
        <x:v>12.4</x:v>
      </x:c>
      <x:c r="F4586" s="40" t="n">
        <x:v>11.040016174316406</x:v>
      </x:c>
      <x:c r="G4586" s="40" t="n">
        <x:v>12.5</x:v>
      </x:c>
      <x:c r="H4586" s="40" t="n">
        <x:f>F4586-E4586</x:f>
        <x:v>-1.359983825683594</x:v>
      </x:c>
      <x:c r="I4586" s="40" t="n">
        <x:f>ABS(H4586)</x:f>
        <x:v>1.359983825683594</x:v>
      </x:c>
      <x:c r="J4586" s="40" t="n">
        <x:f>H4586^2</x:f>
        <x:v>1.8495560061209846</x:v>
      </x:c>
      <x:c r="K4586" s="40" t="n">
        <x:f>G4586-E4586</x:f>
        <x:v>0.09999999999999964</x:v>
      </x:c>
      <x:c r="L4586" s="40" t="n">
        <x:f>ABS(K4586)</x:f>
        <x:v>0.09999999999999964</x:v>
      </x:c>
      <x:c r="M4586" s="41" t="str">
        <x:v>lstm-soil-v1</x:v>
      </x:c>
    </x:row>
    <x:row r="4587">
      <x:c r="A4587" s="38" t="str">
        <x:v>7月30日现场数据</x:v>
      </x:c>
      <x:c r="B4587" s="39" t="str">
        <x:v>2026-08-04T13:00:00</x:v>
      </x:c>
      <x:c r="C4587" s="39" t="str">
        <x:v>2026-08-04T14:00:00</x:v>
      </x:c>
      <x:c r="D4587" s="47" t="n">
        <x:v>60</x:v>
      </x:c>
      <x:c r="E4587" s="40" t="n">
        <x:v>12.3</x:v>
      </x:c>
      <x:c r="F4587" s="40" t="n">
        <x:v>12.737724304199219</x:v>
      </x:c>
      <x:c r="G4587" s="40" t="n">
        <x:v>12.5</x:v>
      </x:c>
      <x:c r="H4587" s="40" t="n">
        <x:f>F4587-E4587</x:f>
        <x:v>0.43772430419921804</x:v>
      </x:c>
      <x:c r="I4587" s="40" t="n">
        <x:f>ABS(H4587)</x:f>
        <x:v>0.43772430419921804</x:v>
      </x:c>
      <x:c r="J4587" s="40" t="n">
        <x:f>H4587^2</x:f>
        <x:v>0.19160256648668958</x:v>
      </x:c>
      <x:c r="K4587" s="40" t="n">
        <x:f>G4587-E4587</x:f>
        <x:v>0.1999999999999993</x:v>
      </x:c>
      <x:c r="L4587" s="40" t="n">
        <x:f>ABS(K4587)</x:f>
        <x:v>0.1999999999999993</x:v>
      </x:c>
      <x:c r="M4587" s="41" t="str">
        <x:v>lstm-soil-v1</x:v>
      </x:c>
    </x:row>
    <x:row r="4588">
      <x:c r="A4588" s="38" t="str">
        <x:v>7月30日现场数据</x:v>
      </x:c>
      <x:c r="B4588" s="39" t="str">
        <x:v>2026-08-04T13:05:00</x:v>
      </x:c>
      <x:c r="C4588" s="39" t="str">
        <x:v>2026-08-04T13:10:00</x:v>
      </x:c>
      <x:c r="D4588" s="47" t="n">
        <x:v>5</x:v>
      </x:c>
      <x:c r="E4588" s="40" t="n">
        <x:v>12.5</x:v>
      </x:c>
      <x:c r="F4588" s="40" t="n">
        <x:v>10.399829864501953</x:v>
      </x:c>
      <x:c r="G4588" s="40" t="n">
        <x:v>12.4</x:v>
      </x:c>
      <x:c r="H4588" s="40" t="n">
        <x:f>F4588-E4588</x:f>
        <x:v>-2.100170135498047</x:v>
      </x:c>
      <x:c r="I4588" s="40" t="n">
        <x:f>ABS(H4588)</x:f>
        <x:v>2.100170135498047</x:v>
      </x:c>
      <x:c r="J4588" s="40" t="n">
        <x:f>H4588^2</x:f>
        <x:v>4.410714598037885</x:v>
      </x:c>
      <x:c r="K4588" s="40" t="n">
        <x:f>G4588-E4588</x:f>
        <x:v>-0.09999999999999964</x:v>
      </x:c>
      <x:c r="L4588" s="40" t="n">
        <x:f>ABS(K4588)</x:f>
        <x:v>0.09999999999999964</x:v>
      </x:c>
      <x:c r="M4588" s="41" t="str">
        <x:v>lstm-soil-v1</x:v>
      </x:c>
    </x:row>
    <x:row r="4589">
      <x:c r="A4589" s="38" t="str">
        <x:v>7月30日现场数据</x:v>
      </x:c>
      <x:c r="B4589" s="39" t="str">
        <x:v>2026-08-04T13:05:00</x:v>
      </x:c>
      <x:c r="C4589" s="39" t="str">
        <x:v>2026-08-04T13:20:00</x:v>
      </x:c>
      <x:c r="D4589" s="47" t="n">
        <x:v>15</x:v>
      </x:c>
      <x:c r="E4589" s="40" t="n">
        <x:v>12.5</x:v>
      </x:c>
      <x:c r="F4589" s="40" t="n">
        <x:v>10.473125457763672</x:v>
      </x:c>
      <x:c r="G4589" s="40" t="n">
        <x:v>12.4</x:v>
      </x:c>
      <x:c r="H4589" s="40" t="n">
        <x:f>F4589-E4589</x:f>
        <x:v>-2.026874542236328</x:v>
      </x:c>
      <x:c r="I4589" s="40" t="n">
        <x:f>ABS(H4589)</x:f>
        <x:v>2.026874542236328</x:v>
      </x:c>
      <x:c r="J4589" s="40" t="n">
        <x:f>H4589^2</x:f>
        <x:v>4.108220409965725</x:v>
      </x:c>
      <x:c r="K4589" s="40" t="n">
        <x:f>G4589-E4589</x:f>
        <x:v>-0.09999999999999964</x:v>
      </x:c>
      <x:c r="L4589" s="40" t="n">
        <x:f>ABS(K4589)</x:f>
        <x:v>0.09999999999999964</x:v>
      </x:c>
      <x:c r="M4589" s="41" t="str">
        <x:v>lstm-soil-v1</x:v>
      </x:c>
    </x:row>
    <x:row r="4590">
      <x:c r="A4590" s="38" t="str">
        <x:v>7月30日现场数据</x:v>
      </x:c>
      <x:c r="B4590" s="39" t="str">
        <x:v>2026-08-04T13:05:00</x:v>
      </x:c>
      <x:c r="C4590" s="39" t="str">
        <x:v>2026-08-04T13:35:00</x:v>
      </x:c>
      <x:c r="D4590" s="47" t="n">
        <x:v>30</x:v>
      </x:c>
      <x:c r="E4590" s="40" t="n">
        <x:v>12.4</x:v>
      </x:c>
      <x:c r="F4590" s="40" t="n">
        <x:v>10.929393768310547</x:v>
      </x:c>
      <x:c r="G4590" s="40" t="n">
        <x:v>12.4</x:v>
      </x:c>
      <x:c r="H4590" s="40" t="n">
        <x:f>F4590-E4590</x:f>
        <x:v>-1.4706062316894535</x:v>
      </x:c>
      <x:c r="I4590" s="40" t="n">
        <x:f>ABS(H4590)</x:f>
        <x:v>1.4706062316894535</x:v>
      </x:c>
      <x:c r="J4590" s="40" t="n">
        <x:f>H4590^2</x:f>
        <x:v>2.1626826886838546</x:v>
      </x:c>
      <x:c r="K4590" s="40" t="n">
        <x:f>G4590-E4590</x:f>
        <x:v>0</x:v>
      </x:c>
      <x:c r="L4590" s="40" t="n">
        <x:f>ABS(K4590)</x:f>
        <x:v>0</x:v>
      </x:c>
      <x:c r="M4590" s="41" t="str">
        <x:v>lstm-soil-v1</x:v>
      </x:c>
    </x:row>
    <x:row r="4591">
      <x:c r="A4591" s="38" t="str">
        <x:v>7月30日现场数据</x:v>
      </x:c>
      <x:c r="B4591" s="39" t="str">
        <x:v>2026-08-04T13:05:00</x:v>
      </x:c>
      <x:c r="C4591" s="39" t="str">
        <x:v>2026-08-04T14:05:00</x:v>
      </x:c>
      <x:c r="D4591" s="47" t="n">
        <x:v>60</x:v>
      </x:c>
      <x:c r="E4591" s="40" t="n">
        <x:v>12.3</x:v>
      </x:c>
      <x:c r="F4591" s="40" t="n">
        <x:v>12.629283905029297</x:v>
      </x:c>
      <x:c r="G4591" s="40" t="n">
        <x:v>12.4</x:v>
      </x:c>
      <x:c r="H4591" s="40" t="n">
        <x:f>F4591-E4591</x:f>
        <x:v>0.32928390502929616</x:v>
      </x:c>
      <x:c r="I4591" s="40" t="n">
        <x:f>ABS(H4591)</x:f>
        <x:v>0.32928390502929616</x:v>
      </x:c>
      <x:c r="J4591" s="40" t="n">
        <x:f>H4591^2</x:f>
        <x:v>0.10842789011134253</x:v>
      </x:c>
      <x:c r="K4591" s="40" t="n">
        <x:f>G4591-E4591</x:f>
        <x:v>0.09999999999999964</x:v>
      </x:c>
      <x:c r="L4591" s="40" t="n">
        <x:f>ABS(K4591)</x:f>
        <x:v>0.09999999999999964</x:v>
      </x:c>
      <x:c r="M4591" s="41" t="str">
        <x:v>lstm-soil-v1</x:v>
      </x:c>
    </x:row>
    <x:row r="4592">
      <x:c r="A4592" s="38" t="str">
        <x:v>7月30日现场数据</x:v>
      </x:c>
      <x:c r="B4592" s="39" t="str">
        <x:v>2026-08-04T13:10:00</x:v>
      </x:c>
      <x:c r="C4592" s="39" t="str">
        <x:v>2026-08-04T13:15:00</x:v>
      </x:c>
      <x:c r="D4592" s="47" t="n">
        <x:v>5</x:v>
      </x:c>
      <x:c r="E4592" s="40" t="n">
        <x:v>12.5</x:v>
      </x:c>
      <x:c r="F4592" s="40" t="n">
        <x:v>10.512359619140625</x:v>
      </x:c>
      <x:c r="G4592" s="40" t="n">
        <x:v>12.5</x:v>
      </x:c>
      <x:c r="H4592" s="40" t="n">
        <x:f>F4592-E4592</x:f>
        <x:v>-1.987640380859375</x:v>
      </x:c>
      <x:c r="I4592" s="40" t="n">
        <x:f>ABS(H4592)</x:f>
        <x:v>1.987640380859375</x:v>
      </x:c>
      <x:c r="J4592" s="40" t="n">
        <x:f>H4592^2</x:f>
        <x:v>3.9507142836228013</x:v>
      </x:c>
      <x:c r="K4592" s="40" t="n">
        <x:f>G4592-E4592</x:f>
        <x:v>0</x:v>
      </x:c>
      <x:c r="L4592" s="40" t="n">
        <x:f>ABS(K4592)</x:f>
        <x:v>0</x:v>
      </x:c>
      <x:c r="M4592" s="41" t="str">
        <x:v>lstm-soil-v1</x:v>
      </x:c>
    </x:row>
    <x:row r="4593">
      <x:c r="A4593" s="38" t="str">
        <x:v>7月30日现场数据</x:v>
      </x:c>
      <x:c r="B4593" s="39" t="str">
        <x:v>2026-08-04T13:10:00</x:v>
      </x:c>
      <x:c r="C4593" s="39" t="str">
        <x:v>2026-08-04T13:25:00</x:v>
      </x:c>
      <x:c r="D4593" s="47" t="n">
        <x:v>15</x:v>
      </x:c>
      <x:c r="E4593" s="40" t="n">
        <x:v>12.4</x:v>
      </x:c>
      <x:c r="F4593" s="40" t="n">
        <x:v>10.582534790039062</x:v>
      </x:c>
      <x:c r="G4593" s="40" t="n">
        <x:v>12.5</x:v>
      </x:c>
      <x:c r="H4593" s="40" t="n">
        <x:f>F4593-E4593</x:f>
        <x:v>-1.8174652099609379</x:v>
      </x:c>
      <x:c r="I4593" s="40" t="n">
        <x:f>ABS(H4593)</x:f>
        <x:v>1.8174652099609379</x:v>
      </x:c>
      <x:c r="J4593" s="40" t="n">
        <x:f>H4593^2</x:f>
        <x:v>3.303179789418356</x:v>
      </x:c>
      <x:c r="K4593" s="40" t="n">
        <x:f>G4593-E4593</x:f>
        <x:v>0.09999999999999964</x:v>
      </x:c>
      <x:c r="L4593" s="40" t="n">
        <x:f>ABS(K4593)</x:f>
        <x:v>0.09999999999999964</x:v>
      </x:c>
      <x:c r="M4593" s="41" t="str">
        <x:v>lstm-soil-v1</x:v>
      </x:c>
    </x:row>
    <x:row r="4594">
      <x:c r="A4594" s="38" t="str">
        <x:v>7月30日现场数据</x:v>
      </x:c>
      <x:c r="B4594" s="39" t="str">
        <x:v>2026-08-04T13:10:00</x:v>
      </x:c>
      <x:c r="C4594" s="39" t="str">
        <x:v>2026-08-04T13:40:00</x:v>
      </x:c>
      <x:c r="D4594" s="47" t="n">
        <x:v>30</x:v>
      </x:c>
      <x:c r="E4594" s="40" t="n">
        <x:v>12.4</x:v>
      </x:c>
      <x:c r="F4594" s="40" t="n">
        <x:v>11.038658142089844</x:v>
      </x:c>
      <x:c r="G4594" s="40" t="n">
        <x:v>12.5</x:v>
      </x:c>
      <x:c r="H4594" s="40" t="n">
        <x:f>F4594-E4594</x:f>
        <x:v>-1.3613418579101566</x:v>
      </x:c>
      <x:c r="I4594" s="40" t="n">
        <x:f>ABS(H4594)</x:f>
        <x:v>1.3613418579101566</x:v>
      </x:c>
      <x:c r="J4594" s="40" t="n">
        <x:f>H4594^2</x:f>
        <x:v>1.853251654098277</x:v>
      </x:c>
      <x:c r="K4594" s="40" t="n">
        <x:f>G4594-E4594</x:f>
        <x:v>0.09999999999999964</x:v>
      </x:c>
      <x:c r="L4594" s="40" t="n">
        <x:f>ABS(K4594)</x:f>
        <x:v>0.09999999999999964</x:v>
      </x:c>
      <x:c r="M4594" s="41" t="str">
        <x:v>lstm-soil-v1</x:v>
      </x:c>
    </x:row>
    <x:row r="4595">
      <x:c r="A4595" s="38" t="str">
        <x:v>7月30日现场数据</x:v>
      </x:c>
      <x:c r="B4595" s="39" t="str">
        <x:v>2026-08-04T13:10:00</x:v>
      </x:c>
      <x:c r="C4595" s="39" t="str">
        <x:v>2026-08-04T14:10:00</x:v>
      </x:c>
      <x:c r="D4595" s="47" t="n">
        <x:v>60</x:v>
      </x:c>
      <x:c r="E4595" s="40" t="n">
        <x:v>12.3</x:v>
      </x:c>
      <x:c r="F4595" s="40" t="n">
        <x:v>12.742061614990234</x:v>
      </x:c>
      <x:c r="G4595" s="40" t="n">
        <x:v>12.5</x:v>
      </x:c>
      <x:c r="H4595" s="40" t="n">
        <x:f>F4595-E4595</x:f>
        <x:v>0.44206161499023366</x:v>
      </x:c>
      <x:c r="I4595" s="40" t="n">
        <x:f>ABS(H4595)</x:f>
        <x:v>0.44206161499023366</x:v>
      </x:c>
      <x:c r="J4595" s="40" t="n">
        <x:f>H4595^2</x:f>
        <x:v>0.19541847144777358</x:v>
      </x:c>
      <x:c r="K4595" s="40" t="n">
        <x:f>G4595-E4595</x:f>
        <x:v>0.1999999999999993</x:v>
      </x:c>
      <x:c r="L4595" s="40" t="n">
        <x:f>ABS(K4595)</x:f>
        <x:v>0.1999999999999993</x:v>
      </x:c>
      <x:c r="M4595" s="41" t="str">
        <x:v>lstm-soil-v1</x:v>
      </x:c>
    </x:row>
    <x:row r="4596">
      <x:c r="A4596" s="38" t="str">
        <x:v>7月30日现场数据</x:v>
      </x:c>
      <x:c r="B4596" s="39" t="str">
        <x:v>2026-08-04T13:15:00</x:v>
      </x:c>
      <x:c r="C4596" s="39" t="str">
        <x:v>2026-08-04T13:20:00</x:v>
      </x:c>
      <x:c r="D4596" s="47" t="n">
        <x:v>5</x:v>
      </x:c>
      <x:c r="E4596" s="40" t="n">
        <x:v>12.5</x:v>
      </x:c>
      <x:c r="F4596" s="40" t="n">
        <x:v>10.51363754272461</x:v>
      </x:c>
      <x:c r="G4596" s="40" t="n">
        <x:v>12.5</x:v>
      </x:c>
      <x:c r="H4596" s="40" t="n">
        <x:f>F4596-E4596</x:f>
        <x:v>-1.9863624572753906</x:v>
      </x:c>
      <x:c r="I4596" s="40" t="n">
        <x:f>ABS(H4596)</x:f>
        <x:v>1.9863624572753906</x:v>
      </x:c>
      <x:c r="J4596" s="40" t="n">
        <x:f>H4596^2</x:f>
        <x:v>3.945635811673128</x:v>
      </x:c>
      <x:c r="K4596" s="40" t="n">
        <x:f>G4596-E4596</x:f>
        <x:v>0</x:v>
      </x:c>
      <x:c r="L4596" s="40" t="n">
        <x:f>ABS(K4596)</x:f>
        <x:v>0</x:v>
      </x:c>
      <x:c r="M4596" s="41" t="str">
        <x:v>lstm-soil-v1</x:v>
      </x:c>
    </x:row>
    <x:row r="4597">
      <x:c r="A4597" s="38" t="str">
        <x:v>7月30日现场数据</x:v>
      </x:c>
      <x:c r="B4597" s="39" t="str">
        <x:v>2026-08-04T13:15:00</x:v>
      </x:c>
      <x:c r="C4597" s="39" t="str">
        <x:v>2026-08-04T13:30:00</x:v>
      </x:c>
      <x:c r="D4597" s="47" t="n">
        <x:v>15</x:v>
      </x:c>
      <x:c r="E4597" s="40" t="n">
        <x:v>12.4</x:v>
      </x:c>
      <x:c r="F4597" s="40" t="n">
        <x:v>10.583053588867188</x:v>
      </x:c>
      <x:c r="G4597" s="40" t="n">
        <x:v>12.5</x:v>
      </x:c>
      <x:c r="H4597" s="40" t="n">
        <x:f>F4597-E4597</x:f>
        <x:v>-1.8169464111328129</x:v>
      </x:c>
      <x:c r="I4597" s="40" t="n">
        <x:f>ABS(H4597)</x:f>
        <x:v>1.8169464111328129</x:v>
      </x:c>
      <x:c r="J4597" s="40" t="n">
        <x:f>H4597^2</x:f>
        <x:v>3.3012942609284086</x:v>
      </x:c>
      <x:c r="K4597" s="40" t="n">
        <x:f>G4597-E4597</x:f>
        <x:v>0.09999999999999964</x:v>
      </x:c>
      <x:c r="L4597" s="40" t="n">
        <x:f>ABS(K4597)</x:f>
        <x:v>0.09999999999999964</x:v>
      </x:c>
      <x:c r="M4597" s="41" t="str">
        <x:v>lstm-soil-v1</x:v>
      </x:c>
    </x:row>
    <x:row r="4598">
      <x:c r="A4598" s="38" t="str">
        <x:v>7月30日现场数据</x:v>
      </x:c>
      <x:c r="B4598" s="39" t="str">
        <x:v>2026-08-04T13:15:00</x:v>
      </x:c>
      <x:c r="C4598" s="39" t="str">
        <x:v>2026-08-04T13:45:00</x:v>
      </x:c>
      <x:c r="D4598" s="47" t="n">
        <x:v>30</x:v>
      </x:c>
      <x:c r="E4598" s="40" t="n">
        <x:v>12.4</x:v>
      </x:c>
      <x:c r="F4598" s="40" t="n">
        <x:v>11.0377197265625</x:v>
      </x:c>
      <x:c r="G4598" s="40" t="n">
        <x:v>12.5</x:v>
      </x:c>
      <x:c r="H4598" s="40" t="n">
        <x:f>F4598-E4598</x:f>
        <x:v>-1.3622802734375004</x:v>
      </x:c>
      <x:c r="I4598" s="40" t="n">
        <x:f>ABS(H4598)</x:f>
        <x:v>1.3622802734375004</x:v>
      </x:c>
      <x:c r="J4598" s="40" t="n">
        <x:f>H4598^2</x:f>
        <x:v>1.8558075433969508</x:v>
      </x:c>
      <x:c r="K4598" s="40" t="n">
        <x:f>G4598-E4598</x:f>
        <x:v>0.09999999999999964</x:v>
      </x:c>
      <x:c r="L4598" s="40" t="n">
        <x:f>ABS(K4598)</x:f>
        <x:v>0.09999999999999964</x:v>
      </x:c>
      <x:c r="M4598" s="41" t="str">
        <x:v>lstm-soil-v1</x:v>
      </x:c>
    </x:row>
    <x:row r="4599">
      <x:c r="A4599" s="38" t="str">
        <x:v>7月30日现场数据</x:v>
      </x:c>
      <x:c r="B4599" s="39" t="str">
        <x:v>2026-08-04T13:15:00</x:v>
      </x:c>
      <x:c r="C4599" s="39" t="str">
        <x:v>2026-08-04T14:15:00</x:v>
      </x:c>
      <x:c r="D4599" s="47" t="n">
        <x:v>60</x:v>
      </x:c>
      <x:c r="E4599" s="40" t="n">
        <x:v>12.3</x:v>
      </x:c>
      <x:c r="F4599" s="40" t="n">
        <x:v>12.742191314697266</x:v>
      </x:c>
      <x:c r="G4599" s="40" t="n">
        <x:v>12.5</x:v>
      </x:c>
      <x:c r="H4599" s="40" t="n">
        <x:f>F4599-E4599</x:f>
        <x:v>0.4421913146972649</x:v>
      </x:c>
      <x:c r="I4599" s="40" t="n">
        <x:f>ABS(H4599)</x:f>
        <x:v>0.4421913146972649</x:v>
      </x:c>
      <x:c r="J4599" s="40" t="n">
        <x:f>H4599^2</x:f>
        <x:v>0.19553315879369557</x:v>
      </x:c>
      <x:c r="K4599" s="40" t="n">
        <x:f>G4599-E4599</x:f>
        <x:v>0.1999999999999993</x:v>
      </x:c>
      <x:c r="L4599" s="40" t="n">
        <x:f>ABS(K4599)</x:f>
        <x:v>0.1999999999999993</x:v>
      </x:c>
      <x:c r="M4599" s="41" t="str">
        <x:v>lstm-soil-v1</x:v>
      </x:c>
    </x:row>
    <x:row r="4600">
      <x:c r="A4600" s="38" t="str">
        <x:v>7月30日现场数据</x:v>
      </x:c>
      <x:c r="B4600" s="39" t="str">
        <x:v>2026-08-04T13:20:00</x:v>
      </x:c>
      <x:c r="C4600" s="39" t="str">
        <x:v>2026-08-04T13:25:00</x:v>
      </x:c>
      <x:c r="D4600" s="47" t="n">
        <x:v>5</x:v>
      </x:c>
      <x:c r="E4600" s="40" t="n">
        <x:v>12.4</x:v>
      </x:c>
      <x:c r="F4600" s="40" t="n">
        <x:v>10.515949249267578</x:v>
      </x:c>
      <x:c r="G4600" s="40" t="n">
        <x:v>12.5</x:v>
      </x:c>
      <x:c r="H4600" s="40" t="n">
        <x:f>F4600-E4600</x:f>
        <x:v>-1.8840507507324222</x:v>
      </x:c>
      <x:c r="I4600" s="40" t="n">
        <x:f>ABS(H4600)</x:f>
        <x:v>1.8840507507324222</x:v>
      </x:c>
      <x:c r="J4600" s="40" t="n">
        <x:f>H4600^2</x:f>
        <x:v>3.549647231335404</x:v>
      </x:c>
      <x:c r="K4600" s="40" t="n">
        <x:f>G4600-E4600</x:f>
        <x:v>0.09999999999999964</x:v>
      </x:c>
      <x:c r="L4600" s="40" t="n">
        <x:f>ABS(K4600)</x:f>
        <x:v>0.09999999999999964</x:v>
      </x:c>
      <x:c r="M4600" s="41" t="str">
        <x:v>lstm-soil-v1</x:v>
      </x:c>
    </x:row>
    <x:row r="4601">
      <x:c r="A4601" s="38" t="str">
        <x:v>7月30日现场数据</x:v>
      </x:c>
      <x:c r="B4601" s="39" t="str">
        <x:v>2026-08-04T13:20:00</x:v>
      </x:c>
      <x:c r="C4601" s="39" t="str">
        <x:v>2026-08-04T13:35:00</x:v>
      </x:c>
      <x:c r="D4601" s="47" t="n">
        <x:v>15</x:v>
      </x:c>
      <x:c r="E4601" s="40" t="n">
        <x:v>12.4</x:v>
      </x:c>
      <x:c r="F4601" s="40" t="n">
        <x:v>10.582244873046875</x:v>
      </x:c>
      <x:c r="G4601" s="40" t="n">
        <x:v>12.5</x:v>
      </x:c>
      <x:c r="H4601" s="40" t="n">
        <x:f>F4601-E4601</x:f>
        <x:v>-1.8177551269531254</x:v>
      </x:c>
      <x:c r="I4601" s="40" t="n">
        <x:f>ABS(H4601)</x:f>
        <x:v>1.8177551269531254</x:v>
      </x:c>
      <x:c r="J4601" s="40" t="n">
        <x:f>H4601^2</x:f>
        <x:v>3.304233701564373</x:v>
      </x:c>
      <x:c r="K4601" s="40" t="n">
        <x:f>G4601-E4601</x:f>
        <x:v>0.09999999999999964</x:v>
      </x:c>
      <x:c r="L4601" s="40" t="n">
        <x:f>ABS(K4601)</x:f>
        <x:v>0.09999999999999964</x:v>
      </x:c>
      <x:c r="M4601" s="41" t="str">
        <x:v>lstm-soil-v1</x:v>
      </x:c>
    </x:row>
    <x:row r="4602">
      <x:c r="A4602" s="38" t="str">
        <x:v>7月30日现场数据</x:v>
      </x:c>
      <x:c r="B4602" s="39" t="str">
        <x:v>2026-08-04T13:20:00</x:v>
      </x:c>
      <x:c r="C4602" s="39" t="str">
        <x:v>2026-08-04T13:50:00</x:v>
      </x:c>
      <x:c r="D4602" s="47" t="n">
        <x:v>30</x:v>
      </x:c>
      <x:c r="E4602" s="40" t="n">
        <x:v>12.3</x:v>
      </x:c>
      <x:c r="F4602" s="40" t="n">
        <x:v>11.038475036621094</x:v>
      </x:c>
      <x:c r="G4602" s="40" t="n">
        <x:v>12.5</x:v>
      </x:c>
      <x:c r="H4602" s="40" t="n">
        <x:f>F4602-E4602</x:f>
        <x:v>-1.261524963378907</x:v>
      </x:c>
      <x:c r="I4602" s="40" t="n">
        <x:f>ABS(H4602)</x:f>
        <x:v>1.261524963378907</x:v>
      </x:c>
      <x:c r="J4602" s="40" t="n">
        <x:f>H4602^2</x:f>
        <x:v>1.5914452332281526</x:v>
      </x:c>
      <x:c r="K4602" s="40" t="n">
        <x:f>G4602-E4602</x:f>
        <x:v>0.1999999999999993</x:v>
      </x:c>
      <x:c r="L4602" s="40" t="n">
        <x:f>ABS(K4602)</x:f>
        <x:v>0.1999999999999993</x:v>
      </x:c>
      <x:c r="M4602" s="41" t="str">
        <x:v>lstm-soil-v1</x:v>
      </x:c>
    </x:row>
    <x:row r="4603">
      <x:c r="A4603" s="38" t="str">
        <x:v>7月30日现场数据</x:v>
      </x:c>
      <x:c r="B4603" s="39" t="str">
        <x:v>2026-08-04T13:20:00</x:v>
      </x:c>
      <x:c r="C4603" s="39" t="str">
        <x:v>2026-08-04T14:20:00</x:v>
      </x:c>
      <x:c r="D4603" s="47" t="n">
        <x:v>60</x:v>
      </x:c>
      <x:c r="E4603" s="40" t="n">
        <x:v>12.2</x:v>
      </x:c>
      <x:c r="F4603" s="40" t="n">
        <x:v>12.74713134765625</x:v>
      </x:c>
      <x:c r="G4603" s="40" t="n">
        <x:v>12.5</x:v>
      </x:c>
      <x:c r="H4603" s="40" t="n">
        <x:f>F4603-E4603</x:f>
        <x:v>0.5471313476562507</x:v>
      </x:c>
      <x:c r="I4603" s="40" t="n">
        <x:f>ABS(H4603)</x:f>
        <x:v>0.5471313476562507</x:v>
      </x:c>
      <x:c r="J4603" s="40" t="n">
        <x:f>H4603^2</x:f>
        <x:v>0.2993527115881451</x:v>
      </x:c>
      <x:c r="K4603" s="40" t="n">
        <x:f>G4603-E4603</x:f>
        <x:v>0.3000000000000007</x:v>
      </x:c>
      <x:c r="L4603" s="40" t="n">
        <x:f>ABS(K4603)</x:f>
        <x:v>0.3000000000000007</x:v>
      </x:c>
      <x:c r="M4603" s="41" t="str">
        <x:v>lstm-soil-v1</x:v>
      </x:c>
    </x:row>
    <x:row r="4604">
      <x:c r="A4604" s="38" t="str">
        <x:v>7月30日现场数据</x:v>
      </x:c>
      <x:c r="B4604" s="39" t="str">
        <x:v>2026-08-04T13:25:00</x:v>
      </x:c>
      <x:c r="C4604" s="39" t="str">
        <x:v>2026-08-04T13:30:00</x:v>
      </x:c>
      <x:c r="D4604" s="47" t="n">
        <x:v>5</x:v>
      </x:c>
      <x:c r="E4604" s="40" t="n">
        <x:v>12.4</x:v>
      </x:c>
      <x:c r="F4604" s="40" t="n">
        <x:v>10.405723571777344</x:v>
      </x:c>
      <x:c r="G4604" s="40" t="n">
        <x:v>12.4</x:v>
      </x:c>
      <x:c r="H4604" s="40" t="n">
        <x:f>F4604-E4604</x:f>
        <x:v>-1.9942764282226566</x:v>
      </x:c>
      <x:c r="I4604" s="40" t="n">
        <x:f>ABS(H4604)</x:f>
        <x:v>1.9942764282226566</x:v>
      </x:c>
      <x:c r="J4604" s="40" t="n">
        <x:f>H4604^2</x:f>
        <x:v>3.977138472164517</x:v>
      </x:c>
      <x:c r="K4604" s="40" t="n">
        <x:f>G4604-E4604</x:f>
        <x:v>0</x:v>
      </x:c>
      <x:c r="L4604" s="40" t="n">
        <x:f>ABS(K4604)</x:f>
        <x:v>0</x:v>
      </x:c>
      <x:c r="M4604" s="41" t="str">
        <x:v>lstm-soil-v1</x:v>
      </x:c>
    </x:row>
    <x:row r="4605">
      <x:c r="A4605" s="38" t="str">
        <x:v>7月30日现场数据</x:v>
      </x:c>
      <x:c r="B4605" s="39" t="str">
        <x:v>2026-08-04T13:25:00</x:v>
      </x:c>
      <x:c r="C4605" s="39" t="str">
        <x:v>2026-08-04T13:40:00</x:v>
      </x:c>
      <x:c r="D4605" s="47" t="n">
        <x:v>15</x:v>
      </x:c>
      <x:c r="E4605" s="40" t="n">
        <x:v>12.4</x:v>
      </x:c>
      <x:c r="F4605" s="40" t="n">
        <x:v>10.47342300415039</x:v>
      </x:c>
      <x:c r="G4605" s="40" t="n">
        <x:v>12.4</x:v>
      </x:c>
      <x:c r="H4605" s="40" t="n">
        <x:f>F4605-E4605</x:f>
        <x:v>-1.9265769958496097</x:v>
      </x:c>
      <x:c r="I4605" s="40" t="n">
        <x:f>ABS(H4605)</x:f>
        <x:v>1.9265769958496097</x:v>
      </x:c>
      <x:c r="J4605" s="40" t="n">
        <x:f>H4605^2</x:f>
        <x:v>3.7116989209369073</x:v>
      </x:c>
      <x:c r="K4605" s="40" t="n">
        <x:f>G4605-E4605</x:f>
        <x:v>0</x:v>
      </x:c>
      <x:c r="L4605" s="40" t="n">
        <x:f>ABS(K4605)</x:f>
        <x:v>0</x:v>
      </x:c>
      <x:c r="M4605" s="41" t="str">
        <x:v>lstm-soil-v1</x:v>
      </x:c>
    </x:row>
    <x:row r="4606">
      <x:c r="A4606" s="38" t="str">
        <x:v>7月30日现场数据</x:v>
      </x:c>
      <x:c r="B4606" s="39" t="str">
        <x:v>2026-08-04T13:25:00</x:v>
      </x:c>
      <x:c r="C4606" s="39" t="str">
        <x:v>2026-08-04T13:55:00</x:v>
      </x:c>
      <x:c r="D4606" s="47" t="n">
        <x:v>30</x:v>
      </x:c>
      <x:c r="E4606" s="40" t="n">
        <x:v>12.4</x:v>
      </x:c>
      <x:c r="F4606" s="40" t="n">
        <x:v>10.928050994873047</x:v>
      </x:c>
      <x:c r="G4606" s="40" t="n">
        <x:v>12.4</x:v>
      </x:c>
      <x:c r="H4606" s="40" t="n">
        <x:f>F4606-E4606</x:f>
        <x:v>-1.4719490051269535</x:v>
      </x:c>
      <x:c r="I4606" s="40" t="n">
        <x:f>ABS(H4606)</x:f>
        <x:v>1.4719490051269535</x:v>
      </x:c>
      <x:c r="J4606" s="40" t="n">
        <x:f>H4606^2</x:f>
        <x:v>2.166633873694228</x:v>
      </x:c>
      <x:c r="K4606" s="40" t="n">
        <x:f>G4606-E4606</x:f>
        <x:v>0</x:v>
      </x:c>
      <x:c r="L4606" s="40" t="n">
        <x:f>ABS(K4606)</x:f>
        <x:v>0</x:v>
      </x:c>
      <x:c r="M4606" s="41" t="str">
        <x:v>lstm-soil-v1</x:v>
      </x:c>
    </x:row>
    <x:row r="4607">
      <x:c r="A4607" s="38" t="str">
        <x:v>7月30日现场数据</x:v>
      </x:c>
      <x:c r="B4607" s="39" t="str">
        <x:v>2026-08-04T13:25:00</x:v>
      </x:c>
      <x:c r="C4607" s="39" t="str">
        <x:v>2026-08-04T14:25:00</x:v>
      </x:c>
      <x:c r="D4607" s="47" t="n">
        <x:v>60</x:v>
      </x:c>
      <x:c r="E4607" s="40" t="n">
        <x:v>12.2</x:v>
      </x:c>
      <x:c r="F4607" s="40" t="n">
        <x:v>12.63473129272461</x:v>
      </x:c>
      <x:c r="G4607" s="40" t="n">
        <x:v>12.4</x:v>
      </x:c>
      <x:c r="H4607" s="40" t="n">
        <x:f>F4607-E4607</x:f>
        <x:v>0.4347312927246101</x:v>
      </x:c>
      <x:c r="I4607" s="40" t="n">
        <x:f>ABS(H4607)</x:f>
        <x:v>0.4347312927246101</x:v>
      </x:c>
      <x:c r="J4607" s="40" t="n">
        <x:f>H4607^2</x:f>
        <x:v>0.18899129687401062</x:v>
      </x:c>
      <x:c r="K4607" s="40" t="n">
        <x:f>G4607-E4607</x:f>
        <x:v>0.20000000000000107</x:v>
      </x:c>
      <x:c r="L4607" s="40" t="n">
        <x:f>ABS(K4607)</x:f>
        <x:v>0.20000000000000107</x:v>
      </x:c>
      <x:c r="M4607" s="41" t="str">
        <x:v>lstm-soil-v1</x:v>
      </x:c>
    </x:row>
    <x:row r="4608">
      <x:c r="A4608" s="38" t="str">
        <x:v>7月30日现场数据</x:v>
      </x:c>
      <x:c r="B4608" s="39" t="str">
        <x:v>2026-08-04T13:30:00</x:v>
      </x:c>
      <x:c r="C4608" s="39" t="str">
        <x:v>2026-08-04T13:35:00</x:v>
      </x:c>
      <x:c r="D4608" s="47" t="n">
        <x:v>5</x:v>
      </x:c>
      <x:c r="E4608" s="40" t="n">
        <x:v>12.4</x:v>
      </x:c>
      <x:c r="F4608" s="40" t="n">
        <x:v>10.405750274658203</x:v>
      </x:c>
      <x:c r="G4608" s="40" t="n">
        <x:v>12.4</x:v>
      </x:c>
      <x:c r="H4608" s="40" t="n">
        <x:f>F4608-E4608</x:f>
        <x:v>-1.9942497253417972</x:v>
      </x:c>
      <x:c r="I4608" s="40" t="n">
        <x:f>ABS(H4608)</x:f>
        <x:v>1.9942497253417972</x:v>
      </x:c>
      <x:c r="J4608" s="40" t="n">
        <x:f>H4608^2</x:f>
        <x:v>3.977031967025834</x:v>
      </x:c>
      <x:c r="K4608" s="40" t="n">
        <x:f>G4608-E4608</x:f>
        <x:v>0</x:v>
      </x:c>
      <x:c r="L4608" s="40" t="n">
        <x:f>ABS(K4608)</x:f>
        <x:v>0</x:v>
      </x:c>
      <x:c r="M4608" s="41" t="str">
        <x:v>lstm-soil-v1</x:v>
      </x:c>
    </x:row>
    <x:row r="4609">
      <x:c r="A4609" s="38" t="str">
        <x:v>7月30日现场数据</x:v>
      </x:c>
      <x:c r="B4609" s="39" t="str">
        <x:v>2026-08-04T13:30:00</x:v>
      </x:c>
      <x:c r="C4609" s="39" t="str">
        <x:v>2026-08-04T13:45:00</x:v>
      </x:c>
      <x:c r="D4609" s="47" t="n">
        <x:v>15</x:v>
      </x:c>
      <x:c r="E4609" s="40" t="n">
        <x:v>12.4</x:v>
      </x:c>
      <x:c r="F4609" s="40" t="n">
        <x:v>10.474716186523438</x:v>
      </x:c>
      <x:c r="G4609" s="40" t="n">
        <x:v>12.4</x:v>
      </x:c>
      <x:c r="H4609" s="40" t="n">
        <x:f>F4609-E4609</x:f>
        <x:v>-1.9252838134765629</x:v>
      </x:c>
      <x:c r="I4609" s="40" t="n">
        <x:f>ABS(H4609)</x:f>
        <x:v>1.9252838134765629</x:v>
      </x:c>
      <x:c r="J4609" s="40" t="n">
        <x:f>H4609^2</x:f>
        <x:v>3.7067177624348564</x:v>
      </x:c>
      <x:c r="K4609" s="40" t="n">
        <x:f>G4609-E4609</x:f>
        <x:v>0</x:v>
      </x:c>
      <x:c r="L4609" s="40" t="n">
        <x:f>ABS(K4609)</x:f>
        <x:v>0</x:v>
      </x:c>
      <x:c r="M4609" s="41" t="str">
        <x:v>lstm-soil-v1</x:v>
      </x:c>
    </x:row>
    <x:row r="4610">
      <x:c r="A4610" s="38" t="str">
        <x:v>7月30日现场数据</x:v>
      </x:c>
      <x:c r="B4610" s="39" t="str">
        <x:v>2026-08-04T13:30:00</x:v>
      </x:c>
      <x:c r="C4610" s="39" t="str">
        <x:v>2026-08-04T14:00:00</x:v>
      </x:c>
      <x:c r="D4610" s="47" t="n">
        <x:v>30</x:v>
      </x:c>
      <x:c r="E4610" s="40" t="n">
        <x:v>12.3</x:v>
      </x:c>
      <x:c r="F4610" s="40" t="n">
        <x:v>10.927322387695312</x:v>
      </x:c>
      <x:c r="G4610" s="40" t="n">
        <x:v>12.4</x:v>
      </x:c>
      <x:c r="H4610" s="40" t="n">
        <x:f>F4610-E4610</x:f>
        <x:v>-1.3726776123046882</x:v>
      </x:c>
      <x:c r="I4610" s="40" t="n">
        <x:f>ABS(H4610)</x:f>
        <x:v>1.3726776123046882</x:v>
      </x:c>
      <x:c r="J4610" s="40" t="n">
        <x:f>H4610^2</x:f>
        <x:v>1.8842438273225</x:v>
      </x:c>
      <x:c r="K4610" s="40" t="n">
        <x:f>G4610-E4610</x:f>
        <x:v>0.09999999999999964</x:v>
      </x:c>
      <x:c r="L4610" s="40" t="n">
        <x:f>ABS(K4610)</x:f>
        <x:v>0.09999999999999964</x:v>
      </x:c>
      <x:c r="M4610" s="41" t="str">
        <x:v>lstm-soil-v1</x:v>
      </x:c>
    </x:row>
    <x:row r="4611">
      <x:c r="A4611" s="38" t="str">
        <x:v>7月30日现场数据</x:v>
      </x:c>
      <x:c r="B4611" s="39" t="str">
        <x:v>2026-08-04T13:30:00</x:v>
      </x:c>
      <x:c r="C4611" s="39" t="str">
        <x:v>2026-08-04T14:30:00</x:v>
      </x:c>
      <x:c r="D4611" s="47" t="n">
        <x:v>60</x:v>
      </x:c>
      <x:c r="E4611" s="40" t="n">
        <x:v>12.2</x:v>
      </x:c>
      <x:c r="F4611" s="40" t="n">
        <x:v>12.63260269165039</x:v>
      </x:c>
      <x:c r="G4611" s="40" t="n">
        <x:v>12.4</x:v>
      </x:c>
      <x:c r="H4611" s="40" t="n">
        <x:f>F4611-E4611</x:f>
        <x:v>0.43260269165039134</x:v>
      </x:c>
      <x:c r="I4611" s="40" t="n">
        <x:f>ABS(H4611)</x:f>
        <x:v>0.43260269165039134</x:v>
      </x:c>
      <x:c r="J4611" s="40" t="n">
        <x:f>H4611^2</x:f>
        <x:v>0.18714508882316355</x:v>
      </x:c>
      <x:c r="K4611" s="40" t="n">
        <x:f>G4611-E4611</x:f>
        <x:v>0.20000000000000107</x:v>
      </x:c>
      <x:c r="L4611" s="40" t="n">
        <x:f>ABS(K4611)</x:f>
        <x:v>0.20000000000000107</x:v>
      </x:c>
      <x:c r="M4611" s="41" t="str">
        <x:v>lstm-soil-v1</x:v>
      </x:c>
    </x:row>
    <x:row r="4612">
      <x:c r="A4612" s="38" t="str">
        <x:v>7月30日现场数据</x:v>
      </x:c>
      <x:c r="B4612" s="39" t="str">
        <x:v>2026-08-04T13:35:00</x:v>
      </x:c>
      <x:c r="C4612" s="39" t="str">
        <x:v>2026-08-04T13:40:00</x:v>
      </x:c>
      <x:c r="D4612" s="47" t="n">
        <x:v>5</x:v>
      </x:c>
      <x:c r="E4612" s="40" t="n">
        <x:v>12.4</x:v>
      </x:c>
      <x:c r="F4612" s="40" t="n">
        <x:v>10.406993865966797</x:v>
      </x:c>
      <x:c r="G4612" s="40" t="n">
        <x:v>12.4</x:v>
      </x:c>
      <x:c r="H4612" s="40" t="n">
        <x:f>F4612-E4612</x:f>
        <x:v>-1.9930061340332035</x:v>
      </x:c>
      <x:c r="I4612" s="40" t="n">
        <x:f>ABS(H4612)</x:f>
        <x:v>1.9930061340332035</x:v>
      </x:c>
      <x:c r="J4612" s="40" t="n">
        <x:f>H4612^2</x:f>
        <x:v>3.9720734502939754</x:v>
      </x:c>
      <x:c r="K4612" s="40" t="n">
        <x:f>G4612-E4612</x:f>
        <x:v>0</x:v>
      </x:c>
      <x:c r="L4612" s="40" t="n">
        <x:f>ABS(K4612)</x:f>
        <x:v>0</x:v>
      </x:c>
      <x:c r="M4612" s="41" t="str">
        <x:v>lstm-soil-v1</x:v>
      </x:c>
    </x:row>
    <x:row r="4613">
      <x:c r="A4613" s="38" t="str">
        <x:v>7月30日现场数据</x:v>
      </x:c>
      <x:c r="B4613" s="39" t="str">
        <x:v>2026-08-04T13:35:00</x:v>
      </x:c>
      <x:c r="C4613" s="39" t="str">
        <x:v>2026-08-04T13:50:00</x:v>
      </x:c>
      <x:c r="D4613" s="47" t="n">
        <x:v>15</x:v>
      </x:c>
      <x:c r="E4613" s="40" t="n">
        <x:v>12.3</x:v>
      </x:c>
      <x:c r="F4613" s="40" t="n">
        <x:v>10.482845306396484</x:v>
      </x:c>
      <x:c r="G4613" s="40" t="n">
        <x:v>12.4</x:v>
      </x:c>
      <x:c r="H4613" s="40" t="n">
        <x:f>F4613-E4613</x:f>
        <x:v>-1.8171546936035163</x:v>
      </x:c>
      <x:c r="I4613" s="40" t="n">
        <x:f>ABS(H4613)</x:f>
        <x:v>1.8171546936035163</x:v>
      </x:c>
      <x:c r="J4613" s="40" t="n">
        <x:f>H4613^2</x:f>
        <x:v>3.3020511804852894</x:v>
      </x:c>
      <x:c r="K4613" s="40" t="n">
        <x:f>G4613-E4613</x:f>
        <x:v>0.09999999999999964</x:v>
      </x:c>
      <x:c r="L4613" s="40" t="n">
        <x:f>ABS(K4613)</x:f>
        <x:v>0.09999999999999964</x:v>
      </x:c>
      <x:c r="M4613" s="41" t="str">
        <x:v>lstm-soil-v1</x:v>
      </x:c>
    </x:row>
    <x:row r="4614">
      <x:c r="A4614" s="38" t="str">
        <x:v>7月30日现场数据</x:v>
      </x:c>
      <x:c r="B4614" s="39" t="str">
        <x:v>2026-08-04T13:35:00</x:v>
      </x:c>
      <x:c r="C4614" s="39" t="str">
        <x:v>2026-08-04T14:05:00</x:v>
      </x:c>
      <x:c r="D4614" s="47" t="n">
        <x:v>30</x:v>
      </x:c>
      <x:c r="E4614" s="40" t="n">
        <x:v>12.3</x:v>
      </x:c>
      <x:c r="F4614" s="40" t="n">
        <x:v>10.928543090820312</x:v>
      </x:c>
      <x:c r="G4614" s="40" t="n">
        <x:v>12.4</x:v>
      </x:c>
      <x:c r="H4614" s="40" t="n">
        <x:f>F4614-E4614</x:f>
        <x:v>-1.3714569091796882</x:v>
      </x:c>
      <x:c r="I4614" s="40" t="n">
        <x:f>ABS(H4614)</x:f>
        <x:v>1.3714569091796882</x:v>
      </x:c>
      <x:c r="J4614" s="40" t="n">
        <x:f>H4614^2</x:f>
        <x:v>1.8808940537367036</x:v>
      </x:c>
      <x:c r="K4614" s="40" t="n">
        <x:f>G4614-E4614</x:f>
        <x:v>0.09999999999999964</x:v>
      </x:c>
      <x:c r="L4614" s="40" t="n">
        <x:f>ABS(K4614)</x:f>
        <x:v>0.09999999999999964</x:v>
      </x:c>
      <x:c r="M4614" s="41" t="str">
        <x:v>lstm-soil-v1</x:v>
      </x:c>
    </x:row>
    <x:row r="4615">
      <x:c r="A4615" s="38" t="str">
        <x:v>7月30日现场数据</x:v>
      </x:c>
      <x:c r="B4615" s="39" t="str">
        <x:v>2026-08-04T13:35:00</x:v>
      </x:c>
      <x:c r="C4615" s="39" t="str">
        <x:v>2026-08-04T14:35:00</x:v>
      </x:c>
      <x:c r="D4615" s="47" t="n">
        <x:v>60</x:v>
      </x:c>
      <x:c r="E4615" s="40" t="n">
        <x:v>12.2</x:v>
      </x:c>
      <x:c r="F4615" s="40" t="n">
        <x:v>12.639217376708984</x:v>
      </x:c>
      <x:c r="G4615" s="40" t="n">
        <x:v>12.4</x:v>
      </x:c>
      <x:c r="H4615" s="40" t="n">
        <x:f>F4615-E4615</x:f>
        <x:v>0.4392173767089851</x:v>
      </x:c>
      <x:c r="I4615" s="40" t="n">
        <x:f>ABS(H4615)</x:f>
        <x:v>0.4392173767089851</x:v>
      </x:c>
      <x:c r="J4615" s="40" t="n">
        <x:f>H4615^2</x:f>
        <x:v>0.19291190400312253</x:v>
      </x:c>
      <x:c r="K4615" s="40" t="n">
        <x:f>G4615-E4615</x:f>
        <x:v>0.20000000000000107</x:v>
      </x:c>
      <x:c r="L4615" s="40" t="n">
        <x:f>ABS(K4615)</x:f>
        <x:v>0.20000000000000107</x:v>
      </x:c>
      <x:c r="M4615" s="41" t="str">
        <x:v>lstm-soil-v1</x:v>
      </x:c>
    </x:row>
    <x:row r="4616">
      <x:c r="A4616" s="38" t="str">
        <x:v>7月30日现场数据</x:v>
      </x:c>
      <x:c r="B4616" s="39" t="str">
        <x:v>2026-08-04T13:40:00</x:v>
      </x:c>
      <x:c r="C4616" s="39" t="str">
        <x:v>2026-08-04T13:45:00</x:v>
      </x:c>
      <x:c r="D4616" s="47" t="n">
        <x:v>5</x:v>
      </x:c>
      <x:c r="E4616" s="40" t="n">
        <x:v>12.4</x:v>
      </x:c>
      <x:c r="F4616" s="40" t="n">
        <x:v>10.401229858398438</x:v>
      </x:c>
      <x:c r="G4616" s="40" t="n">
        <x:v>12.4</x:v>
      </x:c>
      <x:c r="H4616" s="40" t="n">
        <x:f>F4616-E4616</x:f>
        <x:v>-1.9987701416015629</x:v>
      </x:c>
      <x:c r="I4616" s="40" t="n">
        <x:f>ABS(H4616)</x:f>
        <x:v>1.9987701416015629</x:v>
      </x:c>
      <x:c r="J4616" s="40" t="n">
        <x:f>H4616^2</x:f>
        <x:v>3.9950820789579318</x:v>
      </x:c>
      <x:c r="K4616" s="40" t="n">
        <x:f>G4616-E4616</x:f>
        <x:v>0</x:v>
      </x:c>
      <x:c r="L4616" s="40" t="n">
        <x:f>ABS(K4616)</x:f>
        <x:v>0</x:v>
      </x:c>
      <x:c r="M4616" s="41" t="str">
        <x:v>lstm-soil-v1</x:v>
      </x:c>
    </x:row>
    <x:row r="4617">
      <x:c r="A4617" s="38" t="str">
        <x:v>7月30日现场数据</x:v>
      </x:c>
      <x:c r="B4617" s="39" t="str">
        <x:v>2026-08-04T13:40:00</x:v>
      </x:c>
      <x:c r="C4617" s="39" t="str">
        <x:v>2026-08-04T13:55:00</x:v>
      </x:c>
      <x:c r="D4617" s="47" t="n">
        <x:v>15</x:v>
      </x:c>
      <x:c r="E4617" s="40" t="n">
        <x:v>12.4</x:v>
      </x:c>
      <x:c r="F4617" s="40" t="n">
        <x:v>10.481143951416016</x:v>
      </x:c>
      <x:c r="G4617" s="40" t="n">
        <x:v>12.4</x:v>
      </x:c>
      <x:c r="H4617" s="40" t="n">
        <x:f>F4617-E4617</x:f>
        <x:v>-1.9188560485839847</x:v>
      </x:c>
      <x:c r="I4617" s="40" t="n">
        <x:f>ABS(H4617)</x:f>
        <x:v>1.9188560485839847</x:v>
      </x:c>
      <x:c r="J4617" s="40" t="n">
        <x:f>H4617^2</x:f>
        <x:v>3.6820085351873435</x:v>
      </x:c>
      <x:c r="K4617" s="40" t="n">
        <x:f>G4617-E4617</x:f>
        <x:v>0</x:v>
      </x:c>
      <x:c r="L4617" s="40" t="n">
        <x:f>ABS(K4617)</x:f>
        <x:v>0</x:v>
      </x:c>
      <x:c r="M4617" s="41" t="str">
        <x:v>lstm-soil-v1</x:v>
      </x:c>
    </x:row>
    <x:row r="4618">
      <x:c r="A4618" s="38" t="str">
        <x:v>7月30日现场数据</x:v>
      </x:c>
      <x:c r="B4618" s="39" t="str">
        <x:v>2026-08-04T13:40:00</x:v>
      </x:c>
      <x:c r="C4618" s="39" t="str">
        <x:v>2026-08-04T14:10:00</x:v>
      </x:c>
      <x:c r="D4618" s="47" t="n">
        <x:v>30</x:v>
      </x:c>
      <x:c r="E4618" s="40" t="n">
        <x:v>12.3</x:v>
      </x:c>
      <x:c r="F4618" s="40" t="n">
        <x:v>10.920101165771484</x:v>
      </x:c>
      <x:c r="G4618" s="40" t="n">
        <x:v>12.4</x:v>
      </x:c>
      <x:c r="H4618" s="40" t="n">
        <x:f>F4618-E4618</x:f>
        <x:v>-1.3798988342285163</x:v>
      </x:c>
      <x:c r="I4618" s="40" t="n">
        <x:f>ABS(H4618)</x:f>
        <x:v>1.3798988342285163</x:v>
      </x:c>
      <x:c r="J4618" s="40" t="n">
        <x:f>H4618^2</x:f>
        <x:v>1.9041207927052184</x:v>
      </x:c>
      <x:c r="K4618" s="40" t="n">
        <x:f>G4618-E4618</x:f>
        <x:v>0.09999999999999964</x:v>
      </x:c>
      <x:c r="L4618" s="40" t="n">
        <x:f>ABS(K4618)</x:f>
        <x:v>0.09999999999999964</x:v>
      </x:c>
      <x:c r="M4618" s="41" t="str">
        <x:v>lstm-soil-v1</x:v>
      </x:c>
    </x:row>
    <x:row r="4619">
      <x:c r="A4619" s="38" t="str">
        <x:v>7月30日现场数据</x:v>
      </x:c>
      <x:c r="B4619" s="39" t="str">
        <x:v>2026-08-04T13:40:00</x:v>
      </x:c>
      <x:c r="C4619" s="39" t="str">
        <x:v>2026-08-04T14:40:00</x:v>
      </x:c>
      <x:c r="D4619" s="47" t="n">
        <x:v>60</x:v>
      </x:c>
      <x:c r="E4619" s="40" t="n">
        <x:v>12.2</x:v>
      </x:c>
      <x:c r="F4619" s="40" t="n">
        <x:v>12.623054504394531</x:v>
      </x:c>
      <x:c r="G4619" s="40" t="n">
        <x:v>12.4</x:v>
      </x:c>
      <x:c r="H4619" s="40" t="n">
        <x:f>F4619-E4619</x:f>
        <x:v>0.42305450439453196</x:v>
      </x:c>
      <x:c r="I4619" s="40" t="n">
        <x:f>ABS(H4619)</x:f>
        <x:v>0.42305450439453196</x:v>
      </x:c>
      <x:c r="J4619" s="40" t="n">
        <x:f>H4619^2</x:f>
        <x:v>0.17897511368850305</x:v>
      </x:c>
      <x:c r="K4619" s="40" t="n">
        <x:f>G4619-E4619</x:f>
        <x:v>0.20000000000000107</x:v>
      </x:c>
      <x:c r="L4619" s="40" t="n">
        <x:f>ABS(K4619)</x:f>
        <x:v>0.20000000000000107</x:v>
      </x:c>
      <x:c r="M4619" s="41" t="str">
        <x:v>lstm-soil-v1</x:v>
      </x:c>
    </x:row>
    <x:row r="4620">
      <x:c r="A4620" s="38" t="str">
        <x:v>7月30日现场数据</x:v>
      </x:c>
      <x:c r="B4620" s="39" t="str">
        <x:v>2026-08-04T13:45:00</x:v>
      </x:c>
      <x:c r="C4620" s="39" t="str">
        <x:v>2026-08-04T13:50:00</x:v>
      </x:c>
      <x:c r="D4620" s="47" t="n">
        <x:v>5</x:v>
      </x:c>
      <x:c r="E4620" s="40" t="n">
        <x:v>12.3</x:v>
      </x:c>
      <x:c r="F4620" s="40" t="n">
        <x:v>10.401378631591797</x:v>
      </x:c>
      <x:c r="G4620" s="40" t="n">
        <x:v>12.4</x:v>
      </x:c>
      <x:c r="H4620" s="40" t="n">
        <x:f>F4620-E4620</x:f>
        <x:v>-1.8986213684082038</x:v>
      </x:c>
      <x:c r="I4620" s="40" t="n">
        <x:f>ABS(H4620)</x:f>
        <x:v>1.8986213684082038</x:v>
      </x:c>
      <x:c r="J4620" s="40" t="n">
        <x:f>H4620^2</x:f>
        <x:v>3.6047631005762404</x:v>
      </x:c>
      <x:c r="K4620" s="40" t="n">
        <x:f>G4620-E4620</x:f>
        <x:v>0.09999999999999964</x:v>
      </x:c>
      <x:c r="L4620" s="40" t="n">
        <x:f>ABS(K4620)</x:f>
        <x:v>0.09999999999999964</x:v>
      </x:c>
      <x:c r="M4620" s="41" t="str">
        <x:v>lstm-soil-v1</x:v>
      </x:c>
    </x:row>
    <x:row r="4621">
      <x:c r="A4621" s="38" t="str">
        <x:v>7月30日现场数据</x:v>
      </x:c>
      <x:c r="B4621" s="39" t="str">
        <x:v>2026-08-04T13:45:00</x:v>
      </x:c>
      <x:c r="C4621" s="39" t="str">
        <x:v>2026-08-04T14:00:00</x:v>
      </x:c>
      <x:c r="D4621" s="47" t="n">
        <x:v>15</x:v>
      </x:c>
      <x:c r="E4621" s="40" t="n">
        <x:v>12.3</x:v>
      </x:c>
      <x:c r="F4621" s="40" t="n">
        <x:v>10.479419708251953</x:v>
      </x:c>
      <x:c r="G4621" s="40" t="n">
        <x:v>12.4</x:v>
      </x:c>
      <x:c r="H4621" s="40" t="n">
        <x:f>F4621-E4621</x:f>
        <x:v>-1.8205802917480476</x:v>
      </x:c>
      <x:c r="I4621" s="40" t="n">
        <x:f>ABS(H4621)</x:f>
        <x:v>1.8205802917480476</x:v>
      </x:c>
      <x:c r="J4621" s="40" t="n">
        <x:f>H4621^2</x:f>
        <x:v>3.314512598701406</x:v>
      </x:c>
      <x:c r="K4621" s="40" t="n">
        <x:f>G4621-E4621</x:f>
        <x:v>0.09999999999999964</x:v>
      </x:c>
      <x:c r="L4621" s="40" t="n">
        <x:f>ABS(K4621)</x:f>
        <x:v>0.09999999999999964</x:v>
      </x:c>
      <x:c r="M4621" s="41" t="str">
        <x:v>lstm-soil-v1</x:v>
      </x:c>
    </x:row>
    <x:row r="4622">
      <x:c r="A4622" s="38" t="str">
        <x:v>7月30日现场数据</x:v>
      </x:c>
      <x:c r="B4622" s="39" t="str">
        <x:v>2026-08-04T13:45:00</x:v>
      </x:c>
      <x:c r="C4622" s="39" t="str">
        <x:v>2026-08-04T14:15:00</x:v>
      </x:c>
      <x:c r="D4622" s="47" t="n">
        <x:v>30</x:v>
      </x:c>
      <x:c r="E4622" s="40" t="n">
        <x:v>12.3</x:v>
      </x:c>
      <x:c r="F4622" s="40" t="n">
        <x:v>10.918819427490234</x:v>
      </x:c>
      <x:c r="G4622" s="40" t="n">
        <x:v>12.4</x:v>
      </x:c>
      <x:c r="H4622" s="40" t="n">
        <x:f>F4622-E4622</x:f>
        <x:v>-1.3811805725097663</x:v>
      </x:c>
      <x:c r="I4622" s="40" t="n">
        <x:f>ABS(H4622)</x:f>
        <x:v>1.3811805725097663</x:v>
      </x:c>
      <x:c r="J4622" s="40" t="n">
        <x:f>H4622^2</x:f>
        <x:v>1.9076597738784058</x:v>
      </x:c>
      <x:c r="K4622" s="40" t="n">
        <x:f>G4622-E4622</x:f>
        <x:v>0.09999999999999964</x:v>
      </x:c>
      <x:c r="L4622" s="40" t="n">
        <x:f>ABS(K4622)</x:f>
        <x:v>0.09999999999999964</x:v>
      </x:c>
      <x:c r="M4622" s="41" t="str">
        <x:v>lstm-soil-v1</x:v>
      </x:c>
    </x:row>
    <x:row r="4623">
      <x:c r="A4623" s="38" t="str">
        <x:v>7月30日现场数据</x:v>
      </x:c>
      <x:c r="B4623" s="39" t="str">
        <x:v>2026-08-04T13:45:00</x:v>
      </x:c>
      <x:c r="C4623" s="39" t="str">
        <x:v>2026-08-04T14:45:00</x:v>
      </x:c>
      <x:c r="D4623" s="47" t="n">
        <x:v>60</x:v>
      </x:c>
      <x:c r="E4623" s="40" t="n">
        <x:v>12.2</x:v>
      </x:c>
      <x:c r="F4623" s="40" t="n">
        <x:v>12.62026596069336</x:v>
      </x:c>
      <x:c r="G4623" s="40" t="n">
        <x:v>12.4</x:v>
      </x:c>
      <x:c r="H4623" s="40" t="n">
        <x:f>F4623-E4623</x:f>
        <x:v>0.4202659606933601</x:v>
      </x:c>
      <x:c r="I4623" s="40" t="n">
        <x:f>ABS(H4623)</x:f>
        <x:v>0.4202659606933601</x:v>
      </x:c>
      <x:c r="J4623" s="40" t="n">
        <x:f>H4623^2</x:f>
        <x:v>0.17662347771751288</x:v>
      </x:c>
      <x:c r="K4623" s="40" t="n">
        <x:f>G4623-E4623</x:f>
        <x:v>0.20000000000000107</x:v>
      </x:c>
      <x:c r="L4623" s="40" t="n">
        <x:f>ABS(K4623)</x:f>
        <x:v>0.20000000000000107</x:v>
      </x:c>
      <x:c r="M4623" s="41" t="str">
        <x:v>lstm-soil-v1</x:v>
      </x:c>
    </x:row>
    <x:row r="4624">
      <x:c r="A4624" s="38" t="str">
        <x:v>7月30日现场数据</x:v>
      </x:c>
      <x:c r="B4624" s="39" t="str">
        <x:v>2026-08-04T13:50:00</x:v>
      </x:c>
      <x:c r="C4624" s="39" t="str">
        <x:v>2026-08-04T13:55:00</x:v>
      </x:c>
      <x:c r="D4624" s="47" t="n">
        <x:v>5</x:v>
      </x:c>
      <x:c r="E4624" s="40" t="n">
        <x:v>12.4</x:v>
      </x:c>
      <x:c r="F4624" s="40" t="n">
        <x:v>10.291786193847656</x:v>
      </x:c>
      <x:c r="G4624" s="40" t="n">
        <x:v>12.3</x:v>
      </x:c>
      <x:c r="H4624" s="40" t="n">
        <x:f>F4624-E4624</x:f>
        <x:v>-2.108213806152344</x:v>
      </x:c>
      <x:c r="I4624" s="40" t="n">
        <x:f>ABS(H4624)</x:f>
        <x:v>2.108213806152344</x:v>
      </x:c>
      <x:c r="J4624" s="40" t="n">
        <x:f>H4624^2</x:f>
        <x:v>4.444565452451354</x:v>
      </x:c>
      <x:c r="K4624" s="40" t="n">
        <x:f>G4624-E4624</x:f>
        <x:v>-0.09999999999999964</x:v>
      </x:c>
      <x:c r="L4624" s="40" t="n">
        <x:f>ABS(K4624)</x:f>
        <x:v>0.09999999999999964</x:v>
      </x:c>
      <x:c r="M4624" s="41" t="str">
        <x:v>lstm-soil-v1</x:v>
      </x:c>
    </x:row>
    <x:row r="4625">
      <x:c r="A4625" s="38" t="str">
        <x:v>7月30日现场数据</x:v>
      </x:c>
      <x:c r="B4625" s="39" t="str">
        <x:v>2026-08-04T13:50:00</x:v>
      </x:c>
      <x:c r="C4625" s="39" t="str">
        <x:v>2026-08-04T14:05:00</x:v>
      </x:c>
      <x:c r="D4625" s="47" t="n">
        <x:v>15</x:v>
      </x:c>
      <x:c r="E4625" s="40" t="n">
        <x:v>12.3</x:v>
      </x:c>
      <x:c r="F4625" s="40" t="n">
        <x:v>10.368450164794922</x:v>
      </x:c>
      <x:c r="G4625" s="40" t="n">
        <x:v>12.3</x:v>
      </x:c>
      <x:c r="H4625" s="40" t="n">
        <x:f>F4625-E4625</x:f>
        <x:v>-1.9315498352050788</x:v>
      </x:c>
      <x:c r="I4625" s="40" t="n">
        <x:f>ABS(H4625)</x:f>
        <x:v>1.9315498352050788</x:v>
      </x:c>
      <x:c r="J4625" s="40" t="n">
        <x:f>H4625^2</x:f>
        <x:v>3.7308847658807673</x:v>
      </x:c>
      <x:c r="K4625" s="40" t="n">
        <x:f>G4625-E4625</x:f>
        <x:v>0</x:v>
      </x:c>
      <x:c r="L4625" s="40" t="n">
        <x:f>ABS(K4625)</x:f>
        <x:v>0</x:v>
      </x:c>
      <x:c r="M4625" s="41" t="str">
        <x:v>lstm-soil-v1</x:v>
      </x:c>
    </x:row>
    <x:row r="4626">
      <x:c r="A4626" s="38" t="str">
        <x:v>7月30日现场数据</x:v>
      </x:c>
      <x:c r="B4626" s="39" t="str">
        <x:v>2026-08-04T13:50:00</x:v>
      </x:c>
      <x:c r="C4626" s="39" t="str">
        <x:v>2026-08-04T14:20:00</x:v>
      </x:c>
      <x:c r="D4626" s="47" t="n">
        <x:v>30</x:v>
      </x:c>
      <x:c r="E4626" s="40" t="n">
        <x:v>12.2</x:v>
      </x:c>
      <x:c r="F4626" s="40" t="n">
        <x:v>10.808349609375</x:v>
      </x:c>
      <x:c r="G4626" s="40" t="n">
        <x:v>12.3</x:v>
      </x:c>
      <x:c r="H4626" s="40" t="n">
        <x:f>F4626-E4626</x:f>
        <x:v>-1.3916503906249993</x:v>
      </x:c>
      <x:c r="I4626" s="40" t="n">
        <x:f>ABS(H4626)</x:f>
        <x:v>1.3916503906249993</x:v>
      </x:c>
      <x:c r="J4626" s="40" t="n">
        <x:f>H4626^2</x:f>
        <x:v>1.936690809726713</x:v>
      </x:c>
      <x:c r="K4626" s="40" t="n">
        <x:f>G4626-E4626</x:f>
        <x:v>0.10000000000000142</x:v>
      </x:c>
      <x:c r="L4626" s="40" t="n">
        <x:f>ABS(K4626)</x:f>
        <x:v>0.10000000000000142</x:v>
      </x:c>
      <x:c r="M4626" s="41" t="str">
        <x:v>lstm-soil-v1</x:v>
      </x:c>
    </x:row>
    <x:row r="4627">
      <x:c r="A4627" s="38" t="str">
        <x:v>7月30日现场数据</x:v>
      </x:c>
      <x:c r="B4627" s="39" t="str">
        <x:v>2026-08-04T13:50:00</x:v>
      </x:c>
      <x:c r="C4627" s="39" t="str">
        <x:v>2026-08-04T14:50:00</x:v>
      </x:c>
      <x:c r="D4627" s="47" t="n">
        <x:v>60</x:v>
      </x:c>
      <x:c r="E4627" s="40" t="n">
        <x:v>12.2</x:v>
      </x:c>
      <x:c r="F4627" s="40" t="n">
        <x:v>12.508323669433594</x:v>
      </x:c>
      <x:c r="G4627" s="40" t="n">
        <x:v>12.3</x:v>
      </x:c>
      <x:c r="H4627" s="40" t="n">
        <x:f>F4627-E4627</x:f>
        <x:v>0.30832366943359446</x:v>
      </x:c>
      <x:c r="I4627" s="40" t="n">
        <x:f>ABS(H4627)</x:f>
        <x:v>0.30832366943359446</x:v>
      </x:c>
      <x:c r="J4627" s="40" t="n">
        <x:f>H4627^2</x:f>
        <x:v>0.09506348513299644</x:v>
      </x:c>
      <x:c r="K4627" s="40" t="n">
        <x:f>G4627-E4627</x:f>
        <x:v>0.10000000000000142</x:v>
      </x:c>
      <x:c r="L4627" s="40" t="n">
        <x:f>ABS(K4627)</x:f>
        <x:v>0.10000000000000142</x:v>
      </x:c>
      <x:c r="M4627" s="41" t="str">
        <x:v>lstm-soil-v1</x:v>
      </x:c>
    </x:row>
    <x:row r="4628">
      <x:c r="A4628" s="38" t="str">
        <x:v>7月30日现场数据</x:v>
      </x:c>
      <x:c r="B4628" s="39" t="str">
        <x:v>2026-08-04T13:55:00</x:v>
      </x:c>
      <x:c r="C4628" s="39" t="str">
        <x:v>2026-08-04T14:00:00</x:v>
      </x:c>
      <x:c r="D4628" s="47" t="n">
        <x:v>5</x:v>
      </x:c>
      <x:c r="E4628" s="40" t="n">
        <x:v>12.3</x:v>
      </x:c>
      <x:c r="F4628" s="40" t="n">
        <x:v>10.403762817382812</x:v>
      </x:c>
      <x:c r="G4628" s="40" t="n">
        <x:v>12.4</x:v>
      </x:c>
      <x:c r="H4628" s="40" t="n">
        <x:f>F4628-E4628</x:f>
        <x:v>-1.8962371826171882</x:v>
      </x:c>
      <x:c r="I4628" s="40" t="n">
        <x:f>ABS(H4628)</x:f>
        <x:v>1.8962371826171882</x:v>
      </x:c>
      <x:c r="J4628" s="40" t="n">
        <x:f>H4628^2</x:f>
        <x:v>3.5957154527399715</x:v>
      </x:c>
      <x:c r="K4628" s="40" t="n">
        <x:f>G4628-E4628</x:f>
        <x:v>0.09999999999999964</x:v>
      </x:c>
      <x:c r="L4628" s="40" t="n">
        <x:f>ABS(K4628)</x:f>
        <x:v>0.09999999999999964</x:v>
      </x:c>
      <x:c r="M4628" s="41" t="str">
        <x:v>lstm-soil-v1</x:v>
      </x:c>
    </x:row>
    <x:row r="4629">
      <x:c r="A4629" s="38" t="str">
        <x:v>7月30日现场数据</x:v>
      </x:c>
      <x:c r="B4629" s="39" t="str">
        <x:v>2026-08-04T13:55:00</x:v>
      </x:c>
      <x:c r="C4629" s="39" t="str">
        <x:v>2026-08-04T14:10:00</x:v>
      </x:c>
      <x:c r="D4629" s="47" t="n">
        <x:v>15</x:v>
      </x:c>
      <x:c r="E4629" s="40" t="n">
        <x:v>12.3</x:v>
      </x:c>
      <x:c r="F4629" s="40" t="n">
        <x:v>10.479598999023438</x:v>
      </x:c>
      <x:c r="G4629" s="40" t="n">
        <x:v>12.4</x:v>
      </x:c>
      <x:c r="H4629" s="40" t="n">
        <x:f>F4629-E4629</x:f>
        <x:v>-1.8204010009765632</x:v>
      </x:c>
      <x:c r="I4629" s="40" t="n">
        <x:f>ABS(H4629)</x:f>
        <x:v>1.8204010009765632</x:v>
      </x:c>
      <x:c r="J4629" s="40" t="n">
        <x:f>H4629^2</x:f>
        <x:v>3.3138598043564733</x:v>
      </x:c>
      <x:c r="K4629" s="40" t="n">
        <x:f>G4629-E4629</x:f>
        <x:v>0.09999999999999964</x:v>
      </x:c>
      <x:c r="L4629" s="40" t="n">
        <x:f>ABS(K4629)</x:f>
        <x:v>0.09999999999999964</x:v>
      </x:c>
      <x:c r="M4629" s="41" t="str">
        <x:v>lstm-soil-v1</x:v>
      </x:c>
    </x:row>
    <x:row r="4630">
      <x:c r="A4630" s="38" t="str">
        <x:v>7月30日现场数据</x:v>
      </x:c>
      <x:c r="B4630" s="39" t="str">
        <x:v>2026-08-04T13:55:00</x:v>
      </x:c>
      <x:c r="C4630" s="39" t="str">
        <x:v>2026-08-04T14:25:00</x:v>
      </x:c>
      <x:c r="D4630" s="47" t="n">
        <x:v>30</x:v>
      </x:c>
      <x:c r="E4630" s="40" t="n">
        <x:v>12.2</x:v>
      </x:c>
      <x:c r="F4630" s="40" t="n">
        <x:v>10.920555114746094</x:v>
      </x:c>
      <x:c r="G4630" s="40" t="n">
        <x:v>12.4</x:v>
      </x:c>
      <x:c r="H4630" s="40" t="n">
        <x:f>F4630-E4630</x:f>
        <x:v>-1.2794448852539055</x:v>
      </x:c>
      <x:c r="I4630" s="40" t="n">
        <x:f>ABS(H4630)</x:f>
        <x:v>1.2794448852539055</x:v>
      </x:c>
      <x:c r="J4630" s="40" t="n">
        <x:f>H4630^2</x:f>
        <x:v>1.6369792144023796</x:v>
      </x:c>
      <x:c r="K4630" s="40" t="n">
        <x:f>G4630-E4630</x:f>
        <x:v>0.20000000000000107</x:v>
      </x:c>
      <x:c r="L4630" s="40" t="n">
        <x:f>ABS(K4630)</x:f>
        <x:v>0.20000000000000107</x:v>
      </x:c>
      <x:c r="M4630" s="41" t="str">
        <x:v>lstm-soil-v1</x:v>
      </x:c>
    </x:row>
    <x:row r="4631">
      <x:c r="A4631" s="38" t="str">
        <x:v>7月30日现场数据</x:v>
      </x:c>
      <x:c r="B4631" s="39" t="str">
        <x:v>2026-08-04T13:55:00</x:v>
      </x:c>
      <x:c r="C4631" s="39" t="str">
        <x:v>2026-08-04T14:55:00</x:v>
      </x:c>
      <x:c r="D4631" s="47" t="n">
        <x:v>60</x:v>
      </x:c>
      <x:c r="E4631" s="40" t="n">
        <x:v>12.2</x:v>
      </x:c>
      <x:c r="F4631" s="40" t="n">
        <x:v>12.624961853027344</x:v>
      </x:c>
      <x:c r="G4631" s="40" t="n">
        <x:v>12.4</x:v>
      </x:c>
      <x:c r="H4631" s="40" t="n">
        <x:f>F4631-E4631</x:f>
        <x:v>0.42496185302734446</x:v>
      </x:c>
      <x:c r="I4631" s="40" t="n">
        <x:f>ABS(H4631)</x:f>
        <x:v>0.42496185302734446</x:v>
      </x:c>
      <x:c r="J4631" s="40" t="n">
        <x:f>H4631^2</x:f>
        <x:v>0.1805925765284343</x:v>
      </x:c>
      <x:c r="K4631" s="40" t="n">
        <x:f>G4631-E4631</x:f>
        <x:v>0.20000000000000107</x:v>
      </x:c>
      <x:c r="L4631" s="40" t="n">
        <x:f>ABS(K4631)</x:f>
        <x:v>0.20000000000000107</x:v>
      </x:c>
      <x:c r="M4631" s="41" t="str">
        <x:v>lstm-soil-v1</x:v>
      </x:c>
    </x:row>
    <x:row r="4632">
      <x:c r="A4632" s="38" t="str">
        <x:v>7月30日现场数据</x:v>
      </x:c>
      <x:c r="B4632" s="39" t="str">
        <x:v>2026-08-04T14:00:00</x:v>
      </x:c>
      <x:c r="C4632" s="39" t="str">
        <x:v>2026-08-04T14:05:00</x:v>
      </x:c>
      <x:c r="D4632" s="47" t="n">
        <x:v>5</x:v>
      </x:c>
      <x:c r="E4632" s="40" t="n">
        <x:v>12.3</x:v>
      </x:c>
      <x:c r="F4632" s="40" t="n">
        <x:v>10.30941390991211</x:v>
      </x:c>
      <x:c r="G4632" s="40" t="n">
        <x:v>12.3</x:v>
      </x:c>
      <x:c r="H4632" s="40" t="n">
        <x:f>F4632-E4632</x:f>
        <x:v>-1.9905860900878913</x:v>
      </x:c>
      <x:c r="I4632" s="40" t="n">
        <x:f>ABS(H4632)</x:f>
        <x:v>1.9905860900878913</x:v>
      </x:c>
      <x:c r="J4632" s="40" t="n">
        <x:f>H4632^2</x:f>
        <x:v>3.9624329820513986</x:v>
      </x:c>
      <x:c r="K4632" s="40" t="n">
        <x:f>G4632-E4632</x:f>
        <x:v>0</x:v>
      </x:c>
      <x:c r="L4632" s="40" t="n">
        <x:f>ABS(K4632)</x:f>
        <x:v>0</x:v>
      </x:c>
      <x:c r="M4632" s="41" t="str">
        <x:v>lstm-soil-v1</x:v>
      </x:c>
    </x:row>
    <x:row r="4633">
      <x:c r="A4633" s="38" t="str">
        <x:v>7月30日现场数据</x:v>
      </x:c>
      <x:c r="B4633" s="39" t="str">
        <x:v>2026-08-04T14:00:00</x:v>
      </x:c>
      <x:c r="C4633" s="39" t="str">
        <x:v>2026-08-04T14:15:00</x:v>
      </x:c>
      <x:c r="D4633" s="47" t="n">
        <x:v>15</x:v>
      </x:c>
      <x:c r="E4633" s="40" t="n">
        <x:v>12.3</x:v>
      </x:c>
      <x:c r="F4633" s="40" t="n">
        <x:v>10.397087097167969</x:v>
      </x:c>
      <x:c r="G4633" s="40" t="n">
        <x:v>12.3</x:v>
      </x:c>
      <x:c r="H4633" s="40" t="n">
        <x:f>F4633-E4633</x:f>
        <x:v>-1.902912902832032</x:v>
      </x:c>
      <x:c r="I4633" s="40" t="n">
        <x:f>ABS(H4633)</x:f>
        <x:v>1.902912902832032</x:v>
      </x:c>
      <x:c r="J4633" s="40" t="n">
        <x:f>H4633^2</x:f>
        <x:v>3.62107751576463</x:v>
      </x:c>
      <x:c r="K4633" s="40" t="n">
        <x:f>G4633-E4633</x:f>
        <x:v>0</x:v>
      </x:c>
      <x:c r="L4633" s="40" t="n">
        <x:f>ABS(K4633)</x:f>
        <x:v>0</x:v>
      </x:c>
      <x:c r="M4633" s="41" t="str">
        <x:v>lstm-soil-v1</x:v>
      </x:c>
    </x:row>
    <x:row r="4634">
      <x:c r="A4634" s="38" t="str">
        <x:v>7月30日现场数据</x:v>
      </x:c>
      <x:c r="B4634" s="39" t="str">
        <x:v>2026-08-04T14:00:00</x:v>
      </x:c>
      <x:c r="C4634" s="39" t="str">
        <x:v>2026-08-04T14:30:00</x:v>
      </x:c>
      <x:c r="D4634" s="47" t="n">
        <x:v>30</x:v>
      </x:c>
      <x:c r="E4634" s="40" t="n">
        <x:v>12.2</x:v>
      </x:c>
      <x:c r="F4634" s="40" t="n">
        <x:v>10.824630737304688</x:v>
      </x:c>
      <x:c r="G4634" s="40" t="n">
        <x:v>12.3</x:v>
      </x:c>
      <x:c r="H4634" s="40" t="n">
        <x:f>F4634-E4634</x:f>
        <x:v>-1.3753692626953118</x:v>
      </x:c>
      <x:c r="I4634" s="40" t="n">
        <x:f>ABS(H4634)</x:f>
        <x:v>1.3753692626953118</x:v>
      </x:c>
      <x:c r="J4634" s="40" t="n">
        <x:f>H4634^2</x:f>
        <x:v>1.8916406087670457</x:v>
      </x:c>
      <x:c r="K4634" s="40" t="n">
        <x:f>G4634-E4634</x:f>
        <x:v>0.10000000000000142</x:v>
      </x:c>
      <x:c r="L4634" s="40" t="n">
        <x:f>ABS(K4634)</x:f>
        <x:v>0.10000000000000142</x:v>
      </x:c>
      <x:c r="M4634" s="41" t="str">
        <x:v>lstm-soil-v1</x:v>
      </x:c>
    </x:row>
    <x:row r="4635">
      <x:c r="A4635" s="38" t="str">
        <x:v>7月30日现场数据</x:v>
      </x:c>
      <x:c r="B4635" s="39" t="str">
        <x:v>2026-08-04T14:00:00</x:v>
      </x:c>
      <x:c r="C4635" s="39" t="str">
        <x:v>2026-08-04T15:00:00</x:v>
      </x:c>
      <x:c r="D4635" s="47" t="n">
        <x:v>60</x:v>
      </x:c>
      <x:c r="E4635" s="40" t="n">
        <x:v>12.2</x:v>
      </x:c>
      <x:c r="F4635" s="40" t="n">
        <x:v>12.53411865234375</x:v>
      </x:c>
      <x:c r="G4635" s="40" t="n">
        <x:v>12.3</x:v>
      </x:c>
      <x:c r="H4635" s="40" t="n">
        <x:f>F4635-E4635</x:f>
        <x:v>0.3341186523437507</x:v>
      </x:c>
      <x:c r="I4635" s="40" t="n">
        <x:f>ABS(H4635)</x:f>
        <x:v>0.3341186523437507</x:v>
      </x:c>
      <x:c r="J4635" s="40" t="n">
        <x:f>H4635^2</x:f>
        <x:v>0.11163527384400415</x:v>
      </x:c>
      <x:c r="K4635" s="40" t="n">
        <x:f>G4635-E4635</x:f>
        <x:v>0.10000000000000142</x:v>
      </x:c>
      <x:c r="L4635" s="40" t="n">
        <x:f>ABS(K4635)</x:f>
        <x:v>0.10000000000000142</x:v>
      </x:c>
      <x:c r="M4635" s="41" t="str">
        <x:v>lstm-soil-v1</x:v>
      </x:c>
    </x:row>
    <x:row r="4636">
      <x:c r="A4636" s="38" t="str">
        <x:v>7月30日现场数据</x:v>
      </x:c>
      <x:c r="B4636" s="39" t="str">
        <x:v>2026-08-04T14:05:00</x:v>
      </x:c>
      <x:c r="C4636" s="39" t="str">
        <x:v>2026-08-04T14:10:00</x:v>
      </x:c>
      <x:c r="D4636" s="47" t="n">
        <x:v>5</x:v>
      </x:c>
      <x:c r="E4636" s="40" t="n">
        <x:v>12.3</x:v>
      </x:c>
      <x:c r="F4636" s="40" t="n">
        <x:v>10.307815551757812</x:v>
      </x:c>
      <x:c r="G4636" s="40" t="n">
        <x:v>12.3</x:v>
      </x:c>
      <x:c r="H4636" s="40" t="n">
        <x:f>F4636-E4636</x:f>
        <x:v>-1.9921844482421882</x:v>
      </x:c>
      <x:c r="I4636" s="40" t="n">
        <x:f>ABS(H4636)</x:f>
        <x:v>1.9921844482421882</x:v>
      </x:c>
      <x:c r="J4636" s="40" t="n">
        <x:f>H4636^2</x:f>
        <x:v>3.968798875818032</x:v>
      </x:c>
      <x:c r="K4636" s="40" t="n">
        <x:f>G4636-E4636</x:f>
        <x:v>0</x:v>
      </x:c>
      <x:c r="L4636" s="40" t="n">
        <x:f>ABS(K4636)</x:f>
        <x:v>0</x:v>
      </x:c>
      <x:c r="M4636" s="41" t="str">
        <x:v>lstm-soil-v1</x:v>
      </x:c>
    </x:row>
    <x:row r="4637">
      <x:c r="A4637" s="38" t="str">
        <x:v>7月30日现场数据</x:v>
      </x:c>
      <x:c r="B4637" s="39" t="str">
        <x:v>2026-08-04T14:05:00</x:v>
      </x:c>
      <x:c r="C4637" s="39" t="str">
        <x:v>2026-08-04T14:20:00</x:v>
      </x:c>
      <x:c r="D4637" s="47" t="n">
        <x:v>15</x:v>
      </x:c>
      <x:c r="E4637" s="40" t="n">
        <x:v>12.2</x:v>
      </x:c>
      <x:c r="F4637" s="40" t="n">
        <x:v>10.409481048583984</x:v>
      </x:c>
      <x:c r="G4637" s="40" t="n">
        <x:v>12.3</x:v>
      </x:c>
      <x:c r="H4637" s="40" t="n">
        <x:f>F4637-E4637</x:f>
        <x:v>-1.790518951416015</x:v>
      </x:c>
      <x:c r="I4637" s="40" t="n">
        <x:f>ABS(H4637)</x:f>
        <x:v>1.790518951416015</x:v>
      </x:c>
      <x:c r="J4637" s="40" t="n">
        <x:f>H4637^2</x:f>
        <x:v>3.2059581153799055</x:v>
      </x:c>
      <x:c r="K4637" s="40" t="n">
        <x:f>G4637-E4637</x:f>
        <x:v>0.10000000000000142</x:v>
      </x:c>
      <x:c r="L4637" s="40" t="n">
        <x:f>ABS(K4637)</x:f>
        <x:v>0.10000000000000142</x:v>
      </x:c>
      <x:c r="M4637" s="41" t="str">
        <x:v>lstm-soil-v1</x:v>
      </x:c>
    </x:row>
    <x:row r="4638">
      <x:c r="A4638" s="38" t="str">
        <x:v>7月30日现场数据</x:v>
      </x:c>
      <x:c r="B4638" s="39" t="str">
        <x:v>2026-08-04T14:05:00</x:v>
      </x:c>
      <x:c r="C4638" s="39" t="str">
        <x:v>2026-08-04T14:35:00</x:v>
      </x:c>
      <x:c r="D4638" s="47" t="n">
        <x:v>30</x:v>
      </x:c>
      <x:c r="E4638" s="40" t="n">
        <x:v>12.2</x:v>
      </x:c>
      <x:c r="F4638" s="40" t="n">
        <x:v>10.813457489013672</x:v>
      </x:c>
      <x:c r="G4638" s="40" t="n">
        <x:v>12.3</x:v>
      </x:c>
      <x:c r="H4638" s="40" t="n">
        <x:f>F4638-E4638</x:f>
        <x:v>-1.3865425109863274</x:v>
      </x:c>
      <x:c r="I4638" s="40" t="n">
        <x:f>ABS(H4638)</x:f>
        <x:v>1.3865425109863274</x:v>
      </x:c>
      <x:c r="J4638" s="40" t="n">
        <x:f>H4638^2</x:f>
        <x:v>1.9225001347722699</x:v>
      </x:c>
      <x:c r="K4638" s="40" t="n">
        <x:f>G4638-E4638</x:f>
        <x:v>0.10000000000000142</x:v>
      </x:c>
      <x:c r="L4638" s="40" t="n">
        <x:f>ABS(K4638)</x:f>
        <x:v>0.10000000000000142</x:v>
      </x:c>
      <x:c r="M4638" s="41" t="str">
        <x:v>lstm-soil-v1</x:v>
      </x:c>
    </x:row>
    <x:row r="4639">
      <x:c r="A4639" s="38" t="str">
        <x:v>7月30日现场数据</x:v>
      </x:c>
      <x:c r="B4639" s="39" t="str">
        <x:v>2026-08-04T14:05:00</x:v>
      </x:c>
      <x:c r="C4639" s="39" t="str">
        <x:v>2026-08-04T15:05:00</x:v>
      </x:c>
      <x:c r="D4639" s="47" t="n">
        <x:v>60</x:v>
      </x:c>
      <x:c r="E4639" s="40" t="n">
        <x:v>12.2</x:v>
      </x:c>
      <x:c r="F4639" s="40" t="n">
        <x:v>12.5189208984375</x:v>
      </x:c>
      <x:c r="G4639" s="40" t="n">
        <x:v>12.3</x:v>
      </x:c>
      <x:c r="H4639" s="40" t="n">
        <x:f>F4639-E4639</x:f>
        <x:v>0.3189208984375007</x:v>
      </x:c>
      <x:c r="I4639" s="40" t="n">
        <x:f>ABS(H4639)</x:f>
        <x:v>0.3189208984375007</x:v>
      </x:c>
      <x:c r="J4639" s="40" t="n">
        <x:f>H4639^2</x:f>
        <x:v>0.10171053946018264</x:v>
      </x:c>
      <x:c r="K4639" s="40" t="n">
        <x:f>G4639-E4639</x:f>
        <x:v>0.10000000000000142</x:v>
      </x:c>
      <x:c r="L4639" s="40" t="n">
        <x:f>ABS(K4639)</x:f>
        <x:v>0.10000000000000142</x:v>
      </x:c>
      <x:c r="M4639" s="41" t="str">
        <x:v>lstm-soil-v1</x:v>
      </x:c>
    </x:row>
    <x:row r="4640">
      <x:c r="A4640" s="38" t="str">
        <x:v>7月30日现场数据</x:v>
      </x:c>
      <x:c r="B4640" s="39" t="str">
        <x:v>2026-08-04T14:10:00</x:v>
      </x:c>
      <x:c r="C4640" s="39" t="str">
        <x:v>2026-08-04T14:15:00</x:v>
      </x:c>
      <x:c r="D4640" s="47" t="n">
        <x:v>5</x:v>
      </x:c>
      <x:c r="E4640" s="40" t="n">
        <x:v>12.3</x:v>
      </x:c>
      <x:c r="F4640" s="40" t="n">
        <x:v>10.293968200683594</x:v>
      </x:c>
      <x:c r="G4640" s="40" t="n">
        <x:v>12.3</x:v>
      </x:c>
      <x:c r="H4640" s="40" t="n">
        <x:f>F4640-E4640</x:f>
        <x:v>-2.006031799316407</x:v>
      </x:c>
      <x:c r="I4640" s="40" t="n">
        <x:f>ABS(H4640)</x:f>
        <x:v>2.006031799316407</x:v>
      </x:c>
      <x:c r="J4640" s="40" t="n">
        <x:f>H4640^2</x:f>
        <x:v>4.024163579868621</x:v>
      </x:c>
      <x:c r="K4640" s="40" t="n">
        <x:f>G4640-E4640</x:f>
        <x:v>0</x:v>
      </x:c>
      <x:c r="L4640" s="40" t="n">
        <x:f>ABS(K4640)</x:f>
        <x:v>0</x:v>
      </x:c>
      <x:c r="M4640" s="41" t="str">
        <x:v>lstm-soil-v1</x:v>
      </x:c>
    </x:row>
    <x:row r="4641">
      <x:c r="A4641" s="38" t="str">
        <x:v>7月30日现场数据</x:v>
      </x:c>
      <x:c r="B4641" s="39" t="str">
        <x:v>2026-08-04T14:10:00</x:v>
      </x:c>
      <x:c r="C4641" s="39" t="str">
        <x:v>2026-08-04T14:25:00</x:v>
      </x:c>
      <x:c r="D4641" s="47" t="n">
        <x:v>15</x:v>
      </x:c>
      <x:c r="E4641" s="40" t="n">
        <x:v>12.2</x:v>
      </x:c>
      <x:c r="F4641" s="40" t="n">
        <x:v>10.395950317382812</x:v>
      </x:c>
      <x:c r="G4641" s="40" t="n">
        <x:v>12.3</x:v>
      </x:c>
      <x:c r="H4641" s="40" t="n">
        <x:f>F4641-E4641</x:f>
        <x:v>-1.8040496826171868</x:v>
      </x:c>
      <x:c r="I4641" s="40" t="n">
        <x:f>ABS(H4641)</x:f>
        <x:v>1.8040496826171868</x:v>
      </x:c>
      <x:c r="J4641" s="40" t="n">
        <x:f>H4641^2</x:f>
        <x:v>3.2545952573511725</x:v>
      </x:c>
      <x:c r="K4641" s="40" t="n">
        <x:f>G4641-E4641</x:f>
        <x:v>0.10000000000000142</x:v>
      </x:c>
      <x:c r="L4641" s="40" t="n">
        <x:f>ABS(K4641)</x:f>
        <x:v>0.10000000000000142</x:v>
      </x:c>
      <x:c r="M4641" s="41" t="str">
        <x:v>lstm-soil-v1</x:v>
      </x:c>
    </x:row>
    <x:row r="4642">
      <x:c r="A4642" s="38" t="str">
        <x:v>7月30日现场数据</x:v>
      </x:c>
      <x:c r="B4642" s="39" t="str">
        <x:v>2026-08-04T14:10:00</x:v>
      </x:c>
      <x:c r="C4642" s="39" t="str">
        <x:v>2026-08-04T14:40:00</x:v>
      </x:c>
      <x:c r="D4642" s="47" t="n">
        <x:v>30</x:v>
      </x:c>
      <x:c r="E4642" s="40" t="n">
        <x:v>12.2</x:v>
      </x:c>
      <x:c r="F4642" s="40" t="n">
        <x:v>10.792808532714844</x:v>
      </x:c>
      <x:c r="G4642" s="40" t="n">
        <x:v>12.3</x:v>
      </x:c>
      <x:c r="H4642" s="40" t="n">
        <x:f>F4642-E4642</x:f>
        <x:v>-1.4071914672851555</x:v>
      </x:c>
      <x:c r="I4642" s="40" t="n">
        <x:f>ABS(H4642)</x:f>
        <x:v>1.4071914672851555</x:v>
      </x:c>
      <x:c r="J4642" s="40" t="n">
        <x:f>H4642^2</x:f>
        <x:v>1.980187825600149</x:v>
      </x:c>
      <x:c r="K4642" s="40" t="n">
        <x:f>G4642-E4642</x:f>
        <x:v>0.10000000000000142</x:v>
      </x:c>
      <x:c r="L4642" s="40" t="n">
        <x:f>ABS(K4642)</x:f>
        <x:v>0.10000000000000142</x:v>
      </x:c>
      <x:c r="M4642" s="41" t="str">
        <x:v>lstm-soil-v1</x:v>
      </x:c>
    </x:row>
    <x:row r="4643">
      <x:c r="A4643" s="38" t="str">
        <x:v>7月30日现场数据</x:v>
      </x:c>
      <x:c r="B4643" s="39" t="str">
        <x:v>2026-08-04T14:10:00</x:v>
      </x:c>
      <x:c r="C4643" s="39" t="str">
        <x:v>2026-08-04T15:10:00</x:v>
      </x:c>
      <x:c r="D4643" s="47" t="n">
        <x:v>60</x:v>
      </x:c>
      <x:c r="E4643" s="40" t="n">
        <x:v>12.2</x:v>
      </x:c>
      <x:c r="F4643" s="40" t="n">
        <x:v>12.491874694824219</x:v>
      </x:c>
      <x:c r="G4643" s="40" t="n">
        <x:v>12.3</x:v>
      </x:c>
      <x:c r="H4643" s="40" t="n">
        <x:f>F4643-E4643</x:f>
        <x:v>0.29187469482421946</x:v>
      </x:c>
      <x:c r="I4643" s="40" t="n">
        <x:f>ABS(H4643)</x:f>
        <x:v>0.29187469482421946</x:v>
      </x:c>
      <x:c r="J4643" s="40" t="n">
        <x:f>H4643^2</x:f>
        <x:v>0.08519083747873124</x:v>
      </x:c>
      <x:c r="K4643" s="40" t="n">
        <x:f>G4643-E4643</x:f>
        <x:v>0.10000000000000142</x:v>
      </x:c>
      <x:c r="L4643" s="40" t="n">
        <x:f>ABS(K4643)</x:f>
        <x:v>0.10000000000000142</x:v>
      </x:c>
      <x:c r="M4643" s="41" t="str">
        <x:v>lstm-soil-v1</x:v>
      </x:c>
    </x:row>
    <x:row r="4644">
      <x:c r="A4644" s="38" t="str">
        <x:v>7月30日现场数据</x:v>
      </x:c>
      <x:c r="B4644" s="39" t="str">
        <x:v>2026-08-04T14:15:00</x:v>
      </x:c>
      <x:c r="C4644" s="39" t="str">
        <x:v>2026-08-04T14:20:00</x:v>
      </x:c>
      <x:c r="D4644" s="47" t="n">
        <x:v>5</x:v>
      </x:c>
      <x:c r="E4644" s="40" t="n">
        <x:v>12.2</x:v>
      </x:c>
      <x:c r="F4644" s="40" t="n">
        <x:v>10.292903900146484</x:v>
      </x:c>
      <x:c r="G4644" s="40" t="n">
        <x:v>12.3</x:v>
      </x:c>
      <x:c r="H4644" s="40" t="n">
        <x:f>F4644-E4644</x:f>
        <x:v>-1.907096099853515</x:v>
      </x:c>
      <x:c r="I4644" s="40" t="n">
        <x:f>ABS(H4644)</x:f>
        <x:v>1.907096099853515</x:v>
      </x:c>
      <x:c r="J4644" s="40" t="n">
        <x:f>H4644^2</x:f>
        <x:v>3.637015534076488</x:v>
      </x:c>
      <x:c r="K4644" s="40" t="n">
        <x:f>G4644-E4644</x:f>
        <x:v>0.10000000000000142</x:v>
      </x:c>
      <x:c r="L4644" s="40" t="n">
        <x:f>ABS(K4644)</x:f>
        <x:v>0.10000000000000142</x:v>
      </x:c>
      <x:c r="M4644" s="41" t="str">
        <x:v>lstm-soil-v1</x:v>
      </x:c>
    </x:row>
    <x:row r="4645">
      <x:c r="A4645" s="38" t="str">
        <x:v>7月30日现场数据</x:v>
      </x:c>
      <x:c r="B4645" s="39" t="str">
        <x:v>2026-08-04T14:15:00</x:v>
      </x:c>
      <x:c r="C4645" s="39" t="str">
        <x:v>2026-08-04T14:30:00</x:v>
      </x:c>
      <x:c r="D4645" s="47" t="n">
        <x:v>15</x:v>
      </x:c>
      <x:c r="E4645" s="40" t="n">
        <x:v>12.2</x:v>
      </x:c>
      <x:c r="F4645" s="40" t="n">
        <x:v>10.386009216308594</x:v>
      </x:c>
      <x:c r="G4645" s="40" t="n">
        <x:v>12.3</x:v>
      </x:c>
      <x:c r="H4645" s="40" t="n">
        <x:f>F4645-E4645</x:f>
        <x:v>-1.8139907836914055</x:v>
      </x:c>
      <x:c r="I4645" s="40" t="n">
        <x:f>ABS(H4645)</x:f>
        <x:v>1.8139907836914055</x:v>
      </x:c>
      <x:c r="J4645" s="40" t="n">
        <x:f>H4645^2</x:f>
        <x:v>3.29056256331736</x:v>
      </x:c>
      <x:c r="K4645" s="40" t="n">
        <x:f>G4645-E4645</x:f>
        <x:v>0.10000000000000142</x:v>
      </x:c>
      <x:c r="L4645" s="40" t="n">
        <x:f>ABS(K4645)</x:f>
        <x:v>0.10000000000000142</x:v>
      </x:c>
      <x:c r="M4645" s="41" t="str">
        <x:v>lstm-soil-v1</x:v>
      </x:c>
    </x:row>
    <x:row r="4646">
      <x:c r="A4646" s="38" t="str">
        <x:v>7月30日现场数据</x:v>
      </x:c>
      <x:c r="B4646" s="39" t="str">
        <x:v>2026-08-04T14:15:00</x:v>
      </x:c>
      <x:c r="C4646" s="39" t="str">
        <x:v>2026-08-04T14:45:00</x:v>
      </x:c>
      <x:c r="D4646" s="47" t="n">
        <x:v>30</x:v>
      </x:c>
      <x:c r="E4646" s="40" t="n">
        <x:v>12.2</x:v>
      </x:c>
      <x:c r="F4646" s="40" t="n">
        <x:v>10.790390014648438</x:v>
      </x:c>
      <x:c r="G4646" s="40" t="n">
        <x:v>12.3</x:v>
      </x:c>
      <x:c r="H4646" s="40" t="n">
        <x:f>F4646-E4646</x:f>
        <x:v>-1.4096099853515618</x:v>
      </x:c>
      <x:c r="I4646" s="40" t="n">
        <x:f>ABS(H4646)</x:f>
        <x:v>1.4096099853515618</x:v>
      </x:c>
      <x:c r="J4646" s="40" t="n">
        <x:f>H4646^2</x:f>
        <x:v>1.9870003108028302</x:v>
      </x:c>
      <x:c r="K4646" s="40" t="n">
        <x:f>G4646-E4646</x:f>
        <x:v>0.10000000000000142</x:v>
      </x:c>
      <x:c r="L4646" s="40" t="n">
        <x:f>ABS(K4646)</x:f>
        <x:v>0.10000000000000142</x:v>
      </x:c>
      <x:c r="M4646" s="41" t="str">
        <x:v>lstm-soil-v1</x:v>
      </x:c>
    </x:row>
    <x:row r="4647">
      <x:c r="A4647" s="38" t="str">
        <x:v>7月30日现场数据</x:v>
      </x:c>
      <x:c r="B4647" s="39" t="str">
        <x:v>2026-08-04T14:15:00</x:v>
      </x:c>
      <x:c r="C4647" s="39" t="str">
        <x:v>2026-08-04T15:15:00</x:v>
      </x:c>
      <x:c r="D4647" s="47" t="n">
        <x:v>60</x:v>
      </x:c>
      <x:c r="E4647" s="40" t="n">
        <x:v>12.1</x:v>
      </x:c>
      <x:c r="F4647" s="40" t="n">
        <x:v>12.490447998046875</x:v>
      </x:c>
      <x:c r="G4647" s="40" t="n">
        <x:v>12.3</x:v>
      </x:c>
      <x:c r="H4647" s="40" t="n">
        <x:f>F4647-E4647</x:f>
        <x:v>0.39044799804687536</x:v>
      </x:c>
      <x:c r="I4647" s="40" t="n">
        <x:f>ABS(H4647)</x:f>
        <x:v>0.39044799804687536</x:v>
      </x:c>
      <x:c r="J4647" s="40" t="n">
        <x:f>H4647^2</x:f>
        <x:v>0.15244963917881277</x:v>
      </x:c>
      <x:c r="K4647" s="40" t="n">
        <x:f>G4647-E4647</x:f>
        <x:v>0.20000000000000107</x:v>
      </x:c>
      <x:c r="L4647" s="40" t="n">
        <x:f>ABS(K4647)</x:f>
        <x:v>0.20000000000000107</x:v>
      </x:c>
      <x:c r="M4647" s="41" t="str">
        <x:v>lstm-soil-v1</x:v>
      </x:c>
    </x:row>
    <x:row r="4648">
      <x:c r="A4648" s="38" t="str">
        <x:v>7月30日现场数据</x:v>
      </x:c>
      <x:c r="B4648" s="39" t="str">
        <x:v>2026-08-04T14:20:00</x:v>
      </x:c>
      <x:c r="C4648" s="39" t="str">
        <x:v>2026-08-04T14:25:00</x:v>
      </x:c>
      <x:c r="D4648" s="47" t="n">
        <x:v>5</x:v>
      </x:c>
      <x:c r="E4648" s="40" t="n">
        <x:v>12.2</x:v>
      </x:c>
      <x:c r="F4648" s="40" t="n">
        <x:v>10.185920715332031</x:v>
      </x:c>
      <x:c r="G4648" s="40" t="n">
        <x:v>12.2</x:v>
      </x:c>
      <x:c r="H4648" s="40" t="n">
        <x:f>F4648-E4648</x:f>
        <x:v>-2.014079284667968</x:v>
      </x:c>
      <x:c r="I4648" s="40" t="n">
        <x:f>ABS(H4648)</x:f>
        <x:v>2.014079284667968</x:v>
      </x:c>
      <x:c r="J4648" s="40" t="n">
        <x:f>H4648^2</x:f>
        <x:v>4.056515364928634</x:v>
      </x:c>
      <x:c r="K4648" s="40" t="n">
        <x:f>G4648-E4648</x:f>
        <x:v>0</x:v>
      </x:c>
      <x:c r="L4648" s="40" t="n">
        <x:f>ABS(K4648)</x:f>
        <x:v>0</x:v>
      </x:c>
      <x:c r="M4648" s="41" t="str">
        <x:v>lstm-soil-v1</x:v>
      </x:c>
    </x:row>
    <x:row r="4649">
      <x:c r="A4649" s="38" t="str">
        <x:v>7月30日现场数据</x:v>
      </x:c>
      <x:c r="B4649" s="39" t="str">
        <x:v>2026-08-04T14:20:00</x:v>
      </x:c>
      <x:c r="C4649" s="39" t="str">
        <x:v>2026-08-04T14:35:00</x:v>
      </x:c>
      <x:c r="D4649" s="47" t="n">
        <x:v>15</x:v>
      </x:c>
      <x:c r="E4649" s="40" t="n">
        <x:v>12.2</x:v>
      </x:c>
      <x:c r="F4649" s="40" t="n">
        <x:v>10.279544830322266</x:v>
      </x:c>
      <x:c r="G4649" s="40" t="n">
        <x:v>12.2</x:v>
      </x:c>
      <x:c r="H4649" s="40" t="n">
        <x:f>F4649-E4649</x:f>
        <x:v>-1.9204551696777337</x:v>
      </x:c>
      <x:c r="I4649" s="40" t="n">
        <x:f>ABS(H4649)</x:f>
        <x:v>1.9204551696777337</x:v>
      </x:c>
      <x:c r="J4649" s="40" t="n">
        <x:f>H4649^2</x:f>
        <x:v>3.6881480587419326</x:v>
      </x:c>
      <x:c r="K4649" s="40" t="n">
        <x:f>G4649-E4649</x:f>
        <x:v>0</x:v>
      </x:c>
      <x:c r="L4649" s="40" t="n">
        <x:f>ABS(K4649)</x:f>
        <x:v>0</x:v>
      </x:c>
      <x:c r="M4649" s="41" t="str">
        <x:v>lstm-soil-v1</x:v>
      </x:c>
    </x:row>
    <x:row r="4650">
      <x:c r="A4650" s="38" t="str">
        <x:v>7月30日现场数据</x:v>
      </x:c>
      <x:c r="B4650" s="39" t="str">
        <x:v>2026-08-04T14:20:00</x:v>
      </x:c>
      <x:c r="C4650" s="39" t="str">
        <x:v>2026-08-04T14:50:00</x:v>
      </x:c>
      <x:c r="D4650" s="47" t="n">
        <x:v>30</x:v>
      </x:c>
      <x:c r="E4650" s="40" t="n">
        <x:v>12.2</x:v>
      </x:c>
      <x:c r="F4650" s="40" t="n">
        <x:v>10.68423080444336</x:v>
      </x:c>
      <x:c r="G4650" s="40" t="n">
        <x:v>12.2</x:v>
      </x:c>
      <x:c r="H4650" s="40" t="n">
        <x:f>F4650-E4650</x:f>
        <x:v>-1.51576919555664</x:v>
      </x:c>
      <x:c r="I4650" s="40" t="n">
        <x:f>ABS(H4650)</x:f>
        <x:v>1.51576919555664</x:v>
      </x:c>
      <x:c r="J4650" s="40" t="n">
        <x:f>H4650^2</x:f>
        <x:v>2.2975562541984234</x:v>
      </x:c>
      <x:c r="K4650" s="40" t="n">
        <x:f>G4650-E4650</x:f>
        <x:v>0</x:v>
      </x:c>
      <x:c r="L4650" s="40" t="n">
        <x:f>ABS(K4650)</x:f>
        <x:v>0</x:v>
      </x:c>
      <x:c r="M4650" s="41" t="str">
        <x:v>lstm-soil-v1</x:v>
      </x:c>
    </x:row>
    <x:row r="4651">
      <x:c r="A4651" s="38" t="str">
        <x:v>7月30日现场数据</x:v>
      </x:c>
      <x:c r="B4651" s="39" t="str">
        <x:v>2026-08-04T14:20:00</x:v>
      </x:c>
      <x:c r="C4651" s="39" t="str">
        <x:v>2026-08-04T15:20:00</x:v>
      </x:c>
      <x:c r="D4651" s="47" t="n">
        <x:v>60</x:v>
      </x:c>
      <x:c r="E4651" s="40" t="n">
        <x:v>12.2</x:v>
      </x:c>
      <x:c r="F4651" s="40" t="n">
        <x:v>12.390884399414062</x:v>
      </x:c>
      <x:c r="G4651" s="40" t="n">
        <x:v>12.2</x:v>
      </x:c>
      <x:c r="H4651" s="40" t="n">
        <x:f>F4651-E4651</x:f>
        <x:v>0.1908843994140632</x:v>
      </x:c>
      <x:c r="I4651" s="40" t="n">
        <x:f>ABS(H4651)</x:f>
        <x:v>0.1908843994140632</x:v>
      </x:c>
      <x:c r="J4651" s="40" t="n">
        <x:f>H4651^2</x:f>
        <x:v>0.03643685393966761</x:v>
      </x:c>
      <x:c r="K4651" s="40" t="n">
        <x:f>G4651-E4651</x:f>
        <x:v>0</x:v>
      </x:c>
      <x:c r="L4651" s="40" t="n">
        <x:f>ABS(K4651)</x:f>
        <x:v>0</x:v>
      </x:c>
      <x:c r="M4651" s="41" t="str">
        <x:v>lstm-soil-v1</x:v>
      </x:c>
    </x:row>
    <x:row r="4652">
      <x:c r="A4652" s="38" t="str">
        <x:v>7月30日现场数据</x:v>
      </x:c>
      <x:c r="B4652" s="39" t="str">
        <x:v>2026-08-04T14:25:00</x:v>
      </x:c>
      <x:c r="C4652" s="39" t="str">
        <x:v>2026-08-04T14:30:00</x:v>
      </x:c>
      <x:c r="D4652" s="47" t="n">
        <x:v>5</x:v>
      </x:c>
      <x:c r="E4652" s="40" t="n">
        <x:v>12.2</x:v>
      </x:c>
      <x:c r="F4652" s="40" t="n">
        <x:v>10.180778503417969</x:v>
      </x:c>
      <x:c r="G4652" s="40" t="n">
        <x:v>12.2</x:v>
      </x:c>
      <x:c r="H4652" s="40" t="n">
        <x:f>F4652-E4652</x:f>
        <x:v>-2.0192214965820305</x:v>
      </x:c>
      <x:c r="I4652" s="40" t="n">
        <x:f>ABS(H4652)</x:f>
        <x:v>2.0192214965820305</x:v>
      </x:c>
      <x:c r="J4652" s="40" t="n">
        <x:f>H4652^2</x:f>
        <x:v>4.077255452258975</x:v>
      </x:c>
      <x:c r="K4652" s="40" t="n">
        <x:f>G4652-E4652</x:f>
        <x:v>0</x:v>
      </x:c>
      <x:c r="L4652" s="40" t="n">
        <x:f>ABS(K4652)</x:f>
        <x:v>0</x:v>
      </x:c>
      <x:c r="M4652" s="41" t="str">
        <x:v>lstm-soil-v1</x:v>
      </x:c>
    </x:row>
    <x:row r="4653">
      <x:c r="A4653" s="38" t="str">
        <x:v>7月30日现场数据</x:v>
      </x:c>
      <x:c r="B4653" s="39" t="str">
        <x:v>2026-08-04T14:25:00</x:v>
      </x:c>
      <x:c r="C4653" s="39" t="str">
        <x:v>2026-08-04T14:40:00</x:v>
      </x:c>
      <x:c r="D4653" s="47" t="n">
        <x:v>15</x:v>
      </x:c>
      <x:c r="E4653" s="40" t="n">
        <x:v>12.2</x:v>
      </x:c>
      <x:c r="F4653" s="40" t="n">
        <x:v>10.271808624267578</x:v>
      </x:c>
      <x:c r="G4653" s="40" t="n">
        <x:v>12.2</x:v>
      </x:c>
      <x:c r="H4653" s="40" t="n">
        <x:f>F4653-E4653</x:f>
        <x:v>-1.9281913757324212</x:v>
      </x:c>
      <x:c r="I4653" s="40" t="n">
        <x:f>ABS(H4653)</x:f>
        <x:v>1.9281913757324212</x:v>
      </x:c>
      <x:c r="J4653" s="40" t="n">
        <x:f>H4653^2</x:f>
        <x:v>3.717921981448887</x:v>
      </x:c>
      <x:c r="K4653" s="40" t="n">
        <x:f>G4653-E4653</x:f>
        <x:v>0</x:v>
      </x:c>
      <x:c r="L4653" s="40" t="n">
        <x:f>ABS(K4653)</x:f>
        <x:v>0</x:v>
      </x:c>
      <x:c r="M4653" s="41" t="str">
        <x:v>lstm-soil-v1</x:v>
      </x:c>
    </x:row>
    <x:row r="4654">
      <x:c r="A4654" s="38" t="str">
        <x:v>7月30日现场数据</x:v>
      </x:c>
      <x:c r="B4654" s="39" t="str">
        <x:v>2026-08-04T14:25:00</x:v>
      </x:c>
      <x:c r="C4654" s="39" t="str">
        <x:v>2026-08-04T14:55:00</x:v>
      </x:c>
      <x:c r="D4654" s="47" t="n">
        <x:v>30</x:v>
      </x:c>
      <x:c r="E4654" s="40" t="n">
        <x:v>12.2</x:v>
      </x:c>
      <x:c r="F4654" s="40" t="n">
        <x:v>10.677600860595703</x:v>
      </x:c>
      <x:c r="G4654" s="40" t="n">
        <x:v>12.2</x:v>
      </x:c>
      <x:c r="H4654" s="40" t="n">
        <x:f>F4654-E4654</x:f>
        <x:v>-1.5223991394042962</x:v>
      </x:c>
      <x:c r="I4654" s="40" t="n">
        <x:f>ABS(H4654)</x:f>
        <x:v>1.5223991394042962</x:v>
      </x:c>
      <x:c r="J4654" s="40" t="n">
        <x:f>H4654^2</x:f>
        <x:v>2.3176991396589415</x:v>
      </x:c>
      <x:c r="K4654" s="40" t="n">
        <x:f>G4654-E4654</x:f>
        <x:v>0</x:v>
      </x:c>
      <x:c r="L4654" s="40" t="n">
        <x:f>ABS(K4654)</x:f>
        <x:v>0</x:v>
      </x:c>
      <x:c r="M4654" s="41" t="str">
        <x:v>lstm-soil-v1</x:v>
      </x:c>
    </x:row>
    <x:row r="4655">
      <x:c r="A4655" s="38" t="str">
        <x:v>7月30日现场数据</x:v>
      </x:c>
      <x:c r="B4655" s="39" t="str">
        <x:v>2026-08-04T14:25:00</x:v>
      </x:c>
      <x:c r="C4655" s="39" t="str">
        <x:v>2026-08-04T15:25:00</x:v>
      </x:c>
      <x:c r="D4655" s="47" t="n">
        <x:v>60</x:v>
      </x:c>
      <x:c r="E4655" s="40" t="n">
        <x:v>12.2</x:v>
      </x:c>
      <x:c r="F4655" s="40" t="n">
        <x:v>12.37991714477539</x:v>
      </x:c>
      <x:c r="G4655" s="40" t="n">
        <x:v>12.2</x:v>
      </x:c>
      <x:c r="H4655" s="40" t="n">
        <x:f>F4655-E4655</x:f>
        <x:v>0.17991714477539134</x:v>
      </x:c>
      <x:c r="I4655" s="40" t="n">
        <x:f>ABS(H4655)</x:f>
        <x:v>0.17991714477539134</x:v>
      </x:c>
      <x:c r="J4655" s="40" t="n">
        <x:f>H4655^2</x:f>
        <x:v>0.032370178984129125</x:v>
      </x:c>
      <x:c r="K4655" s="40" t="n">
        <x:f>G4655-E4655</x:f>
        <x:v>0</x:v>
      </x:c>
      <x:c r="L4655" s="40" t="n">
        <x:f>ABS(K4655)</x:f>
        <x:v>0</x:v>
      </x:c>
      <x:c r="M4655" s="41" t="str">
        <x:v>lstm-soil-v1</x:v>
      </x:c>
    </x:row>
    <x:row r="4656">
      <x:c r="A4656" s="38" t="str">
        <x:v>7月30日现场数据</x:v>
      </x:c>
      <x:c r="B4656" s="39" t="str">
        <x:v>2026-08-04T14:30:00</x:v>
      </x:c>
      <x:c r="C4656" s="39" t="str">
        <x:v>2026-08-04T14:35:00</x:v>
      </x:c>
      <x:c r="D4656" s="47" t="n">
        <x:v>5</x:v>
      </x:c>
      <x:c r="E4656" s="40" t="n">
        <x:v>12.2</x:v>
      </x:c>
      <x:c r="F4656" s="40" t="n">
        <x:v>10.18307876586914</x:v>
      </x:c>
      <x:c r="G4656" s="40" t="n">
        <x:v>12.2</x:v>
      </x:c>
      <x:c r="H4656" s="40" t="n">
        <x:f>F4656-E4656</x:f>
        <x:v>-2.0169212341308587</x:v>
      </x:c>
      <x:c r="I4656" s="40" t="n">
        <x:f>ABS(H4656)</x:f>
        <x:v>2.0169212341308587</x:v>
      </x:c>
      <x:c r="J4656" s="40" t="n">
        <x:f>H4656^2</x:f>
        <x:v>4.067971264687946</x:v>
      </x:c>
      <x:c r="K4656" s="40" t="n">
        <x:f>G4656-E4656</x:f>
        <x:v>0</x:v>
      </x:c>
      <x:c r="L4656" s="40" t="n">
        <x:f>ABS(K4656)</x:f>
        <x:v>0</x:v>
      </x:c>
      <x:c r="M4656" s="41" t="str">
        <x:v>lstm-soil-v1</x:v>
      </x:c>
    </x:row>
    <x:row r="4657">
      <x:c r="A4657" s="38" t="str">
        <x:v>7月30日现场数据</x:v>
      </x:c>
      <x:c r="B4657" s="39" t="str">
        <x:v>2026-08-04T14:30:00</x:v>
      </x:c>
      <x:c r="C4657" s="39" t="str">
        <x:v>2026-08-04T14:45:00</x:v>
      </x:c>
      <x:c r="D4657" s="47" t="n">
        <x:v>15</x:v>
      </x:c>
      <x:c r="E4657" s="40" t="n">
        <x:v>12.2</x:v>
      </x:c>
      <x:c r="F4657" s="40" t="n">
        <x:v>10.265583038330078</x:v>
      </x:c>
      <x:c r="G4657" s="40" t="n">
        <x:v>12.2</x:v>
      </x:c>
      <x:c r="H4657" s="40" t="n">
        <x:f>F4657-E4657</x:f>
        <x:v>-1.9344169616699212</x:v>
      </x:c>
      <x:c r="I4657" s="40" t="n">
        <x:f>ABS(H4657)</x:f>
        <x:v>1.9344169616699212</x:v>
      </x:c>
      <x:c r="J4657" s="40" t="n">
        <x:f>H4657^2</x:f>
        <x:v>3.741968981596289</x:v>
      </x:c>
      <x:c r="K4657" s="40" t="n">
        <x:f>G4657-E4657</x:f>
        <x:v>0</x:v>
      </x:c>
      <x:c r="L4657" s="40" t="n">
        <x:f>ABS(K4657)</x:f>
        <x:v>0</x:v>
      </x:c>
      <x:c r="M4657" s="41" t="str">
        <x:v>lstm-soil-v1</x:v>
      </x:c>
    </x:row>
    <x:row r="4658">
      <x:c r="A4658" s="38" t="str">
        <x:v>7月30日现场数据</x:v>
      </x:c>
      <x:c r="B4658" s="39" t="str">
        <x:v>2026-08-04T14:30:00</x:v>
      </x:c>
      <x:c r="C4658" s="39" t="str">
        <x:v>2026-08-04T15:00:00</x:v>
      </x:c>
      <x:c r="D4658" s="47" t="n">
        <x:v>30</x:v>
      </x:c>
      <x:c r="E4658" s="40" t="n">
        <x:v>12.2</x:v>
      </x:c>
      <x:c r="F4658" s="40" t="n">
        <x:v>10.680755615234375</x:v>
      </x:c>
      <x:c r="G4658" s="40" t="n">
        <x:v>12.2</x:v>
      </x:c>
      <x:c r="H4658" s="40" t="n">
        <x:f>F4658-E4658</x:f>
        <x:v>-1.5192443847656243</x:v>
      </x:c>
      <x:c r="I4658" s="40" t="n">
        <x:f>ABS(H4658)</x:f>
        <x:v>1.5192443847656243</x:v>
      </x:c>
      <x:c r="J4658" s="40" t="n">
        <x:f>H4658^2</x:f>
        <x:v>2.3081035006418804</x:v>
      </x:c>
      <x:c r="K4658" s="40" t="n">
        <x:f>G4658-E4658</x:f>
        <x:v>0</x:v>
      </x:c>
      <x:c r="L4658" s="40" t="n">
        <x:f>ABS(K4658)</x:f>
        <x:v>0</x:v>
      </x:c>
      <x:c r="M4658" s="41" t="str">
        <x:v>lstm-soil-v1</x:v>
      </x:c>
    </x:row>
    <x:row r="4659">
      <x:c r="A4659" s="38" t="str">
        <x:v>7月30日现场数据</x:v>
      </x:c>
      <x:c r="B4659" s="39" t="str">
        <x:v>2026-08-04T14:30:00</x:v>
      </x:c>
      <x:c r="C4659" s="39" t="str">
        <x:v>2026-08-04T15:30:00</x:v>
      </x:c>
      <x:c r="D4659" s="47" t="n">
        <x:v>60</x:v>
      </x:c>
      <x:c r="E4659" s="40" t="n">
        <x:v>12.2</x:v>
      </x:c>
      <x:c r="F4659" s="40" t="n">
        <x:v>12.385948181152344</x:v>
      </x:c>
      <x:c r="G4659" s="40" t="n">
        <x:v>12.2</x:v>
      </x:c>
      <x:c r="H4659" s="40" t="n">
        <x:f>F4659-E4659</x:f>
        <x:v>0.18594818115234446</x:v>
      </x:c>
      <x:c r="I4659" s="40" t="n">
        <x:f>ABS(H4659)</x:f>
        <x:v>0.18594818115234446</x:v>
      </x:c>
      <x:c r="J4659" s="40" t="n">
        <x:f>H4659^2</x:f>
        <x:v>0.03457672607386511</x:v>
      </x:c>
      <x:c r="K4659" s="40" t="n">
        <x:f>G4659-E4659</x:f>
        <x:v>0</x:v>
      </x:c>
      <x:c r="L4659" s="40" t="n">
        <x:f>ABS(K4659)</x:f>
        <x:v>0</x:v>
      </x:c>
      <x:c r="M4659" s="41" t="str">
        <x:v>lstm-soil-v1</x:v>
      </x:c>
    </x:row>
    <x:row r="4660">
      <x:c r="A4660" s="38" t="str">
        <x:v>7月30日现场数据</x:v>
      </x:c>
      <x:c r="B4660" s="39" t="str">
        <x:v>2026-08-04T14:35:00</x:v>
      </x:c>
      <x:c r="C4660" s="39" t="str">
        <x:v>2026-08-04T14:40:00</x:v>
      </x:c>
      <x:c r="D4660" s="47" t="n">
        <x:v>5</x:v>
      </x:c>
      <x:c r="E4660" s="40" t="n">
        <x:v>12.2</x:v>
      </x:c>
      <x:c r="F4660" s="40" t="n">
        <x:v>10.18593978881836</x:v>
      </x:c>
      <x:c r="G4660" s="40" t="n">
        <x:v>12.2</x:v>
      </x:c>
      <x:c r="H4660" s="40" t="n">
        <x:f>F4660-E4660</x:f>
        <x:v>-2.01406021118164</x:v>
      </x:c>
      <x:c r="I4660" s="40" t="n">
        <x:f>ABS(H4660)</x:f>
        <x:v>2.01406021118164</x:v>
      </x:c>
      <x:c r="J4660" s="40" t="n">
        <x:f>H4660^2</x:f>
        <x:v>4.056438534265032</x:v>
      </x:c>
      <x:c r="K4660" s="40" t="n">
        <x:f>G4660-E4660</x:f>
        <x:v>0</x:v>
      </x:c>
      <x:c r="L4660" s="40" t="n">
        <x:f>ABS(K4660)</x:f>
        <x:v>0</x:v>
      </x:c>
      <x:c r="M4660" s="41" t="str">
        <x:v>lstm-soil-v1</x:v>
      </x:c>
    </x:row>
    <x:row r="4661">
      <x:c r="A4661" s="38" t="str">
        <x:v>7月30日现场数据</x:v>
      </x:c>
      <x:c r="B4661" s="39" t="str">
        <x:v>2026-08-04T14:35:00</x:v>
      </x:c>
      <x:c r="C4661" s="39" t="str">
        <x:v>2026-08-04T14:50:00</x:v>
      </x:c>
      <x:c r="D4661" s="47" t="n">
        <x:v>15</x:v>
      </x:c>
      <x:c r="E4661" s="40" t="n">
        <x:v>12.2</x:v>
      </x:c>
      <x:c r="F4661" s="40" t="n">
        <x:v>10.265209197998047</x:v>
      </x:c>
      <x:c r="G4661" s="40" t="n">
        <x:v>12.2</x:v>
      </x:c>
      <x:c r="H4661" s="40" t="n">
        <x:f>F4661-E4661</x:f>
        <x:v>-1.9347908020019524</x:v>
      </x:c>
      <x:c r="I4661" s="40" t="n">
        <x:f>ABS(H4661)</x:f>
        <x:v>1.9347908020019524</x:v>
      </x:c>
      <x:c r="J4661" s="40" t="n">
        <x:f>H4661^2</x:f>
        <x:v>3.7434154475113584</x:v>
      </x:c>
      <x:c r="K4661" s="40" t="n">
        <x:f>G4661-E4661</x:f>
        <x:v>0</x:v>
      </x:c>
      <x:c r="L4661" s="40" t="n">
        <x:f>ABS(K4661)</x:f>
        <x:v>0</x:v>
      </x:c>
      <x:c r="M4661" s="41" t="str">
        <x:v>lstm-soil-v1</x:v>
      </x:c>
    </x:row>
    <x:row r="4662">
      <x:c r="A4662" s="38" t="str">
        <x:v>7月30日现场数据</x:v>
      </x:c>
      <x:c r="B4662" s="39" t="str">
        <x:v>2026-08-04T14:35:00</x:v>
      </x:c>
      <x:c r="C4662" s="39" t="str">
        <x:v>2026-08-04T15:05:00</x:v>
      </x:c>
      <x:c r="D4662" s="47" t="n">
        <x:v>30</x:v>
      </x:c>
      <x:c r="E4662" s="40" t="n">
        <x:v>12.2</x:v>
      </x:c>
      <x:c r="F4662" s="40" t="n">
        <x:v>10.686126708984375</x:v>
      </x:c>
      <x:c r="G4662" s="40" t="n">
        <x:v>12.2</x:v>
      </x:c>
      <x:c r="H4662" s="40" t="n">
        <x:f>F4662-E4662</x:f>
        <x:v>-1.5138732910156243</x:v>
      </x:c>
      <x:c r="I4662" s="40" t="n">
        <x:f>ABS(H4662)</x:f>
        <x:v>1.5138732910156243</x:v>
      </x:c>
      <x:c r="J4662" s="40" t="n">
        <x:f>H4662^2</x:f>
        <x:v>2.291812341250477</x:v>
      </x:c>
      <x:c r="K4662" s="40" t="n">
        <x:f>G4662-E4662</x:f>
        <x:v>0</x:v>
      </x:c>
      <x:c r="L4662" s="40" t="n">
        <x:f>ABS(K4662)</x:f>
        <x:v>0</x:v>
      </x:c>
      <x:c r="M4662" s="41" t="str">
        <x:v>lstm-soil-v1</x:v>
      </x:c>
    </x:row>
    <x:row r="4663">
      <x:c r="A4663" s="38" t="str">
        <x:v>7月30日现场数据</x:v>
      </x:c>
      <x:c r="B4663" s="39" t="str">
        <x:v>2026-08-04T14:35:00</x:v>
      </x:c>
      <x:c r="C4663" s="39" t="str">
        <x:v>2026-08-04T15:35:00</x:v>
      </x:c>
      <x:c r="D4663" s="47" t="n">
        <x:v>60</x:v>
      </x:c>
      <x:c r="E4663" s="40" t="n">
        <x:v>12.2</x:v>
      </x:c>
      <x:c r="F4663" s="40" t="n">
        <x:v>12.397029876708984</x:v>
      </x:c>
      <x:c r="G4663" s="40" t="n">
        <x:v>12.2</x:v>
      </x:c>
      <x:c r="H4663" s="40" t="n">
        <x:f>F4663-E4663</x:f>
        <x:v>0.19702987670898509</x:v>
      </x:c>
      <x:c r="I4663" s="40" t="n">
        <x:f>ABS(H4663)</x:f>
        <x:v>0.19702987670898509</x:v>
      </x:c>
      <x:c r="J4663" s="40" t="n">
        <x:f>H4663^2</x:f>
        <x:v>0.03882077231595786</x:v>
      </x:c>
      <x:c r="K4663" s="40" t="n">
        <x:f>G4663-E4663</x:f>
        <x:v>0</x:v>
      </x:c>
      <x:c r="L4663" s="40" t="n">
        <x:f>ABS(K4663)</x:f>
        <x:v>0</x:v>
      </x:c>
      <x:c r="M4663" s="41" t="str">
        <x:v>lstm-soil-v1</x:v>
      </x:c>
    </x:row>
    <x:row r="4664">
      <x:c r="A4664" s="38" t="str">
        <x:v>7月30日现场数据</x:v>
      </x:c>
      <x:c r="B4664" s="39" t="str">
        <x:v>2026-08-04T14:40:00</x:v>
      </x:c>
      <x:c r="C4664" s="39" t="str">
        <x:v>2026-08-04T14:45:00</x:v>
      </x:c>
      <x:c r="D4664" s="47" t="n">
        <x:v>5</x:v>
      </x:c>
      <x:c r="E4664" s="40" t="n">
        <x:v>12.2</x:v>
      </x:c>
      <x:c r="F4664" s="40" t="n">
        <x:v>10.185882568359375</x:v>
      </x:c>
      <x:c r="G4664" s="40" t="n">
        <x:v>12.2</x:v>
      </x:c>
      <x:c r="H4664" s="40" t="n">
        <x:f>F4664-E4664</x:f>
        <x:v>-2.0141174316406243</x:v>
      </x:c>
      <x:c r="I4664" s="40" t="n">
        <x:f>ABS(H4664)</x:f>
        <x:v>2.0141174316406243</x:v>
      </x:c>
      <x:c r="J4664" s="40" t="n">
        <x:f>H4664^2</x:f>
        <x:v>4.056669028438625</x:v>
      </x:c>
      <x:c r="K4664" s="40" t="n">
        <x:f>G4664-E4664</x:f>
        <x:v>0</x:v>
      </x:c>
      <x:c r="L4664" s="40" t="n">
        <x:f>ABS(K4664)</x:f>
        <x:v>0</x:v>
      </x:c>
      <x:c r="M4664" s="41" t="str">
        <x:v>lstm-soil-v1</x:v>
      </x:c>
    </x:row>
    <x:row r="4665">
      <x:c r="A4665" s="38" t="str">
        <x:v>7月30日现场数据</x:v>
      </x:c>
      <x:c r="B4665" s="39" t="str">
        <x:v>2026-08-04T14:40:00</x:v>
      </x:c>
      <x:c r="C4665" s="39" t="str">
        <x:v>2026-08-04T14:55:00</x:v>
      </x:c>
      <x:c r="D4665" s="47" t="n">
        <x:v>15</x:v>
      </x:c>
      <x:c r="E4665" s="40" t="n">
        <x:v>12.2</x:v>
      </x:c>
      <x:c r="F4665" s="40" t="n">
        <x:v>10.262168884277344</x:v>
      </x:c>
      <x:c r="G4665" s="40" t="n">
        <x:v>12.2</x:v>
      </x:c>
      <x:c r="H4665" s="40" t="n">
        <x:f>F4665-E4665</x:f>
        <x:v>-1.9378311157226555</x:v>
      </x:c>
      <x:c r="I4665" s="40" t="n">
        <x:f>ABS(H4665)</x:f>
        <x:v>1.9378311157226555</x:v>
      </x:c>
      <x:c r="J4665" s="40" t="n">
        <x:f>H4665^2</x:f>
        <x:v>3.755189433062912</x:v>
      </x:c>
      <x:c r="K4665" s="40" t="n">
        <x:f>G4665-E4665</x:f>
        <x:v>0</x:v>
      </x:c>
      <x:c r="L4665" s="40" t="n">
        <x:f>ABS(K4665)</x:f>
        <x:v>0</x:v>
      </x:c>
      <x:c r="M4665" s="41" t="str">
        <x:v>lstm-soil-v1</x:v>
      </x:c>
    </x:row>
    <x:row r="4666">
      <x:c r="A4666" s="38" t="str">
        <x:v>7月30日现场数据</x:v>
      </x:c>
      <x:c r="B4666" s="39" t="str">
        <x:v>2026-08-04T14:40:00</x:v>
      </x:c>
      <x:c r="C4666" s="39" t="str">
        <x:v>2026-08-04T15:10:00</x:v>
      </x:c>
      <x:c r="D4666" s="47" t="n">
        <x:v>30</x:v>
      </x:c>
      <x:c r="E4666" s="40" t="n">
        <x:v>12.2</x:v>
      </x:c>
      <x:c r="F4666" s="40" t="n">
        <x:v>10.687484741210938</x:v>
      </x:c>
      <x:c r="G4666" s="40" t="n">
        <x:v>12.2</x:v>
      </x:c>
      <x:c r="H4666" s="40" t="n">
        <x:f>F4666-E4666</x:f>
        <x:v>-1.5125152587890618</x:v>
      </x:c>
      <x:c r="I4666" s="40" t="n">
        <x:f>ABS(H4666)</x:f>
        <x:v>1.5125152587890618</x:v>
      </x:c>
      <x:c r="J4666" s="40" t="n">
        <x:f>H4666^2</x:f>
        <x:v>2.2877024080697423</x:v>
      </x:c>
      <x:c r="K4666" s="40" t="n">
        <x:f>G4666-E4666</x:f>
        <x:v>0</x:v>
      </x:c>
      <x:c r="L4666" s="40" t="n">
        <x:f>ABS(K4666)</x:f>
        <x:v>0</x:v>
      </x:c>
      <x:c r="M4666" s="41" t="str">
        <x:v>lstm-soil-v1</x:v>
      </x:c>
    </x:row>
    <x:row r="4667">
      <x:c r="A4667" s="38" t="str">
        <x:v>7月30日现场数据</x:v>
      </x:c>
      <x:c r="B4667" s="39" t="str">
        <x:v>2026-08-04T14:40:00</x:v>
      </x:c>
      <x:c r="C4667" s="39" t="str">
        <x:v>2026-08-04T15:40:00</x:v>
      </x:c>
      <x:c r="D4667" s="47" t="n">
        <x:v>60</x:v>
      </x:c>
      <x:c r="E4667" s="40" t="n">
        <x:v>12.1</x:v>
      </x:c>
      <x:c r="F4667" s="40" t="n">
        <x:v>12.397026062011719</x:v>
      </x:c>
      <x:c r="G4667" s="40" t="n">
        <x:v>12.2</x:v>
      </x:c>
      <x:c r="H4667" s="40" t="n">
        <x:f>F4667-E4667</x:f>
        <x:v>0.2970260620117191</x:v>
      </x:c>
      <x:c r="I4667" s="40" t="n">
        <x:f>ABS(H4667)</x:f>
        <x:v>0.2970260620117191</x:v>
      </x:c>
      <x:c r="J4667" s="40" t="n">
        <x:f>H4667^2</x:f>
        <x:v>0.0882244815141896</x:v>
      </x:c>
      <x:c r="K4667" s="40" t="n">
        <x:f>G4667-E4667</x:f>
        <x:v>0.09999999999999964</x:v>
      </x:c>
      <x:c r="L4667" s="40" t="n">
        <x:f>ABS(K4667)</x:f>
        <x:v>0.09999999999999964</x:v>
      </x:c>
      <x:c r="M4667" s="41" t="str">
        <x:v>lstm-soil-v1</x:v>
      </x:c>
    </x:row>
    <x:row r="4668">
      <x:c r="A4668" s="38" t="str">
        <x:v>7月30日现场数据</x:v>
      </x:c>
      <x:c r="B4668" s="39" t="str">
        <x:v>2026-08-04T14:45:00</x:v>
      </x:c>
      <x:c r="C4668" s="39" t="str">
        <x:v>2026-08-04T14:50:00</x:v>
      </x:c>
      <x:c r="D4668" s="47" t="n">
        <x:v>5</x:v>
      </x:c>
      <x:c r="E4668" s="40" t="n">
        <x:v>12.2</x:v>
      </x:c>
      <x:c r="F4668" s="40" t="n">
        <x:v>10.187553405761719</x:v>
      </x:c>
      <x:c r="G4668" s="40" t="n">
        <x:v>12.2</x:v>
      </x:c>
      <x:c r="H4668" s="40" t="n">
        <x:f>F4668-E4668</x:f>
        <x:v>-2.0124465942382805</x:v>
      </x:c>
      <x:c r="I4668" s="40" t="n">
        <x:f>ABS(H4668)</x:f>
        <x:v>2.0124465942382805</x:v>
      </x:c>
      <x:c r="J4668" s="40" t="n">
        <x:f>H4668^2</x:f>
        <x:v>4.049941294661255</x:v>
      </x:c>
      <x:c r="K4668" s="40" t="n">
        <x:f>G4668-E4668</x:f>
        <x:v>0</x:v>
      </x:c>
      <x:c r="L4668" s="40" t="n">
        <x:f>ABS(K4668)</x:f>
        <x:v>0</x:v>
      </x:c>
      <x:c r="M4668" s="41" t="str">
        <x:v>lstm-soil-v1</x:v>
      </x:c>
    </x:row>
    <x:row r="4669">
      <x:c r="A4669" s="38" t="str">
        <x:v>7月30日现场数据</x:v>
      </x:c>
      <x:c r="B4669" s="39" t="str">
        <x:v>2026-08-04T14:45:00</x:v>
      </x:c>
      <x:c r="C4669" s="39" t="str">
        <x:v>2026-08-04T15:00:00</x:v>
      </x:c>
      <x:c r="D4669" s="47" t="n">
        <x:v>15</x:v>
      </x:c>
      <x:c r="E4669" s="40" t="n">
        <x:v>12.2</x:v>
      </x:c>
      <x:c r="F4669" s="40" t="n">
        <x:v>10.260467529296875</x:v>
      </x:c>
      <x:c r="G4669" s="40" t="n">
        <x:v>12.2</x:v>
      </x:c>
      <x:c r="H4669" s="40" t="n">
        <x:f>F4669-E4669</x:f>
        <x:v>-1.9395324707031243</x:v>
      </x:c>
      <x:c r="I4669" s="40" t="n">
        <x:f>ABS(H4669)</x:f>
        <x:v>1.9395324707031243</x:v>
      </x:c>
      <x:c r="J4669" s="40" t="n">
        <x:f>H4669^2</x:f>
        <x:v>3.7617862049117656</x:v>
      </x:c>
      <x:c r="K4669" s="40" t="n">
        <x:f>G4669-E4669</x:f>
        <x:v>0</x:v>
      </x:c>
      <x:c r="L4669" s="40" t="n">
        <x:f>ABS(K4669)</x:f>
        <x:v>0</x:v>
      </x:c>
      <x:c r="M4669" s="41" t="str">
        <x:v>lstm-soil-v1</x:v>
      </x:c>
    </x:row>
    <x:row r="4670">
      <x:c r="A4670" s="38" t="str">
        <x:v>7月30日现场数据</x:v>
      </x:c>
      <x:c r="B4670" s="39" t="str">
        <x:v>2026-08-04T14:45:00</x:v>
      </x:c>
      <x:c r="C4670" s="39" t="str">
        <x:v>2026-08-04T15:15:00</x:v>
      </x:c>
      <x:c r="D4670" s="47" t="n">
        <x:v>30</x:v>
      </x:c>
      <x:c r="E4670" s="40" t="n">
        <x:v>12.1</x:v>
      </x:c>
      <x:c r="F4670" s="40" t="n">
        <x:v>10.690784454345703</x:v>
      </x:c>
      <x:c r="G4670" s="40" t="n">
        <x:v>12.2</x:v>
      </x:c>
      <x:c r="H4670" s="40" t="n">
        <x:f>F4670-E4670</x:f>
        <x:v>-1.4092155456542965</x:v>
      </x:c>
      <x:c r="I4670" s="40" t="n">
        <x:f>ABS(H4670)</x:f>
        <x:v>1.4092155456542965</x:v>
      </x:c>
      <x:c r="J4670" s="40" t="n">
        <x:f>H4670^2</x:f>
        <x:v>1.9858884541137367</x:v>
      </x:c>
      <x:c r="K4670" s="40" t="n">
        <x:f>G4670-E4670</x:f>
        <x:v>0.09999999999999964</x:v>
      </x:c>
      <x:c r="L4670" s="40" t="n">
        <x:f>ABS(K4670)</x:f>
        <x:v>0.09999999999999964</x:v>
      </x:c>
      <x:c r="M4670" s="41" t="str">
        <x:v>lstm-soil-v1</x:v>
      </x:c>
    </x:row>
    <x:row r="4671">
      <x:c r="A4671" s="38" t="str">
        <x:v>7月30日现场数据</x:v>
      </x:c>
      <x:c r="B4671" s="39" t="str">
        <x:v>2026-08-04T14:45:00</x:v>
      </x:c>
      <x:c r="C4671" s="39" t="str">
        <x:v>2026-08-04T15:45:00</x:v>
      </x:c>
      <x:c r="D4671" s="47" t="n">
        <x:v>60</x:v>
      </x:c>
      <x:c r="E4671" s="40" t="n">
        <x:v>12.2</x:v>
      </x:c>
      <x:c r="F4671" s="40" t="n">
        <x:v>12.400699615478516</x:v>
      </x:c>
      <x:c r="G4671" s="40" t="n">
        <x:v>12.2</x:v>
      </x:c>
      <x:c r="H4671" s="40" t="n">
        <x:f>F4671-E4671</x:f>
        <x:v>0.20069961547851634</x:v>
      </x:c>
      <x:c r="I4671" s="40" t="n">
        <x:f>ABS(H4671)</x:f>
        <x:v>0.20069961547851634</x:v>
      </x:c>
      <x:c r="J4671" s="40" t="n">
        <x:f>H4671^2</x:f>
        <x:v>0.040280335653224315</x:v>
      </x:c>
      <x:c r="K4671" s="40" t="n">
        <x:f>G4671-E4671</x:f>
        <x:v>0</x:v>
      </x:c>
      <x:c r="L4671" s="40" t="n">
        <x:f>ABS(K4671)</x:f>
        <x:v>0</x:v>
      </x:c>
      <x:c r="M4671" s="41" t="str">
        <x:v>lstm-soil-v1</x:v>
      </x:c>
    </x:row>
    <x:row r="4672">
      <x:c r="A4672" s="38" t="str">
        <x:v>7月30日现场数据</x:v>
      </x:c>
      <x:c r="B4672" s="39" t="str">
        <x:v>2026-08-04T14:50:00</x:v>
      </x:c>
      <x:c r="C4672" s="39" t="str">
        <x:v>2026-08-04T14:55:00</x:v>
      </x:c>
      <x:c r="D4672" s="47" t="n">
        <x:v>5</x:v>
      </x:c>
      <x:c r="E4672" s="40" t="n">
        <x:v>12.2</x:v>
      </x:c>
      <x:c r="F4672" s="40" t="n">
        <x:v>10.18878173828125</x:v>
      </x:c>
      <x:c r="G4672" s="40" t="n">
        <x:v>12.2</x:v>
      </x:c>
      <x:c r="H4672" s="40" t="n">
        <x:f>F4672-E4672</x:f>
        <x:v>-2.0112182617187493</x:v>
      </x:c>
      <x:c r="I4672" s="40" t="n">
        <x:f>ABS(H4672)</x:f>
        <x:v>2.0112182617187493</x:v>
      </x:c>
      <x:c r="J4672" s="40" t="n">
        <x:f>H4672^2</x:f>
        <x:v>4.044998896270988</x:v>
      </x:c>
      <x:c r="K4672" s="40" t="n">
        <x:f>G4672-E4672</x:f>
        <x:v>0</x:v>
      </x:c>
      <x:c r="L4672" s="40" t="n">
        <x:f>ABS(K4672)</x:f>
        <x:v>0</x:v>
      </x:c>
      <x:c r="M4672" s="41" t="str">
        <x:v>lstm-soil-v1</x:v>
      </x:c>
    </x:row>
    <x:row r="4673">
      <x:c r="A4673" s="38" t="str">
        <x:v>7月30日现场数据</x:v>
      </x:c>
      <x:c r="B4673" s="39" t="str">
        <x:v>2026-08-04T14:50:00</x:v>
      </x:c>
      <x:c r="C4673" s="39" t="str">
        <x:v>2026-08-04T15:05:00</x:v>
      </x:c>
      <x:c r="D4673" s="47" t="n">
        <x:v>15</x:v>
      </x:c>
      <x:c r="E4673" s="40" t="n">
        <x:v>12.2</x:v>
      </x:c>
      <x:c r="F4673" s="40" t="n">
        <x:v>10.260051727294922</x:v>
      </x:c>
      <x:c r="G4673" s="40" t="n">
        <x:v>12.2</x:v>
      </x:c>
      <x:c r="H4673" s="40" t="n">
        <x:f>F4673-E4673</x:f>
        <x:v>-1.9399482727050774</x:v>
      </x:c>
      <x:c r="I4673" s="40" t="n">
        <x:f>ABS(H4673)</x:f>
        <x:v>1.9399482727050774</x:v>
      </x:c>
      <x:c r="J4673" s="40" t="n">
        <x:f>H4673^2</x:f>
        <x:v>3.7633993007714133</x:v>
      </x:c>
      <x:c r="K4673" s="40" t="n">
        <x:f>G4673-E4673</x:f>
        <x:v>0</x:v>
      </x:c>
      <x:c r="L4673" s="40" t="n">
        <x:f>ABS(K4673)</x:f>
        <x:v>0</x:v>
      </x:c>
      <x:c r="M4673" s="41" t="str">
        <x:v>lstm-soil-v1</x:v>
      </x:c>
    </x:row>
    <x:row r="4674">
      <x:c r="A4674" s="38" t="str">
        <x:v>7月30日现场数据</x:v>
      </x:c>
      <x:c r="B4674" s="39" t="str">
        <x:v>2026-08-04T14:50:00</x:v>
      </x:c>
      <x:c r="C4674" s="39" t="str">
        <x:v>2026-08-04T15:20:00</x:v>
      </x:c>
      <x:c r="D4674" s="47" t="n">
        <x:v>30</x:v>
      </x:c>
      <x:c r="E4674" s="40" t="n">
        <x:v>12.2</x:v>
      </x:c>
      <x:c r="F4674" s="40" t="n">
        <x:v>10.693199157714844</x:v>
      </x:c>
      <x:c r="G4674" s="40" t="n">
        <x:v>12.2</x:v>
      </x:c>
      <x:c r="H4674" s="40" t="n">
        <x:f>F4674-E4674</x:f>
        <x:v>-1.5068008422851555</x:v>
      </x:c>
      <x:c r="I4674" s="40" t="n">
        <x:f>ABS(H4674)</x:f>
        <x:v>1.5068008422851555</x:v>
      </x:c>
      <x:c r="J4674" s="40" t="n">
        <x:f>H4674^2</x:f>
        <x:v>2.270448778311254</x:v>
      </x:c>
      <x:c r="K4674" s="40" t="n">
        <x:f>G4674-E4674</x:f>
        <x:v>0</x:v>
      </x:c>
      <x:c r="L4674" s="40" t="n">
        <x:f>ABS(K4674)</x:f>
        <x:v>0</x:v>
      </x:c>
      <x:c r="M4674" s="41" t="str">
        <x:v>lstm-soil-v1</x:v>
      </x:c>
    </x:row>
    <x:row r="4675">
      <x:c r="A4675" s="38" t="str">
        <x:v>7月30日现场数据</x:v>
      </x:c>
      <x:c r="B4675" s="39" t="str">
        <x:v>2026-08-04T14:50:00</x:v>
      </x:c>
      <x:c r="C4675" s="39" t="str">
        <x:v>2026-08-04T15:50:00</x:v>
      </x:c>
      <x:c r="D4675" s="47" t="n">
        <x:v>60</x:v>
      </x:c>
      <x:c r="E4675" s="40" t="n">
        <x:v>12.2</x:v>
      </x:c>
      <x:c r="F4675" s="40" t="n">
        <x:v>12.402999877929688</x:v>
      </x:c>
      <x:c r="G4675" s="40" t="n">
        <x:v>12.2</x:v>
      </x:c>
      <x:c r="H4675" s="40" t="n">
        <x:f>F4675-E4675</x:f>
        <x:v>0.2029998779296882</x:v>
      </x:c>
      <x:c r="I4675" s="40" t="n">
        <x:f>ABS(H4675)</x:f>
        <x:v>0.2029998779296882</x:v>
      </x:c>
      <x:c r="J4675" s="40" t="n">
        <x:f>H4675^2</x:f>
        <x:v>0.04120895043946832</x:v>
      </x:c>
      <x:c r="K4675" s="40" t="n">
        <x:f>G4675-E4675</x:f>
        <x:v>0</x:v>
      </x:c>
      <x:c r="L4675" s="40" t="n">
        <x:f>ABS(K4675)</x:f>
        <x:v>0</x:v>
      </x:c>
      <x:c r="M4675" s="41" t="str">
        <x:v>lstm-soil-v1</x:v>
      </x:c>
    </x:row>
    <x:row r="4676">
      <x:c r="A4676" s="38" t="str">
        <x:v>7月30日现场数据</x:v>
      </x:c>
      <x:c r="B4676" s="39" t="str">
        <x:v>2026-08-04T14:55:00</x:v>
      </x:c>
      <x:c r="C4676" s="39" t="str">
        <x:v>2026-08-04T15:00:00</x:v>
      </x:c>
      <x:c r="D4676" s="47" t="n">
        <x:v>5</x:v>
      </x:c>
      <x:c r="E4676" s="40" t="n">
        <x:v>12.2</x:v>
      </x:c>
      <x:c r="F4676" s="40" t="n">
        <x:v>10.192070007324219</x:v>
      </x:c>
      <x:c r="G4676" s="40" t="n">
        <x:v>12.2</x:v>
      </x:c>
      <x:c r="H4676" s="40" t="n">
        <x:f>F4676-E4676</x:f>
        <x:v>-2.0079299926757805</x:v>
      </x:c>
      <x:c r="I4676" s="40" t="n">
        <x:f>ABS(H4676)</x:f>
        <x:v>2.0079299926757805</x:v>
      </x:c>
      <x:c r="J4676" s="40" t="n">
        <x:f>H4676^2</x:f>
        <x:v>4.03178285548696</x:v>
      </x:c>
      <x:c r="K4676" s="40" t="n">
        <x:f>G4676-E4676</x:f>
        <x:v>0</x:v>
      </x:c>
      <x:c r="L4676" s="40" t="n">
        <x:f>ABS(K4676)</x:f>
        <x:v>0</x:v>
      </x:c>
      <x:c r="M4676" s="41" t="str">
        <x:v>lstm-soil-v1</x:v>
      </x:c>
    </x:row>
    <x:row r="4677">
      <x:c r="A4677" s="38" t="str">
        <x:v>7月30日现场数据</x:v>
      </x:c>
      <x:c r="B4677" s="39" t="str">
        <x:v>2026-08-04T14:55:00</x:v>
      </x:c>
      <x:c r="C4677" s="39" t="str">
        <x:v>2026-08-04T15:10:00</x:v>
      </x:c>
      <x:c r="D4677" s="47" t="n">
        <x:v>15</x:v>
      </x:c>
      <x:c r="E4677" s="40" t="n">
        <x:v>12.2</x:v>
      </x:c>
      <x:c r="F4677" s="40" t="n">
        <x:v>10.267803192138672</x:v>
      </x:c>
      <x:c r="G4677" s="40" t="n">
        <x:v>12.2</x:v>
      </x:c>
      <x:c r="H4677" s="40" t="n">
        <x:f>F4677-E4677</x:f>
        <x:v>-1.9321968078613274</x:v>
      </x:c>
      <x:c r="I4677" s="40" t="n">
        <x:f>ABS(H4677)</x:f>
        <x:v>1.9321968078613274</x:v>
      </x:c>
      <x:c r="J4677" s="40" t="n">
        <x:f>H4677^2</x:f>
        <x:v>3.7333845043095035</x:v>
      </x:c>
      <x:c r="K4677" s="40" t="n">
        <x:f>G4677-E4677</x:f>
        <x:v>0</x:v>
      </x:c>
      <x:c r="L4677" s="40" t="n">
        <x:f>ABS(K4677)</x:f>
        <x:v>0</x:v>
      </x:c>
      <x:c r="M4677" s="41" t="str">
        <x:v>lstm-soil-v1</x:v>
      </x:c>
    </x:row>
    <x:row r="4678">
      <x:c r="A4678" s="38" t="str">
        <x:v>7月30日现场数据</x:v>
      </x:c>
      <x:c r="B4678" s="39" t="str">
        <x:v>2026-08-04T14:55:00</x:v>
      </x:c>
      <x:c r="C4678" s="39" t="str">
        <x:v>2026-08-04T15:25:00</x:v>
      </x:c>
      <x:c r="D4678" s="47" t="n">
        <x:v>30</x:v>
      </x:c>
      <x:c r="E4678" s="40" t="n">
        <x:v>12.2</x:v>
      </x:c>
      <x:c r="F4678" s="40" t="n">
        <x:v>10.698097229003906</x:v>
      </x:c>
      <x:c r="G4678" s="40" t="n">
        <x:v>12.2</x:v>
      </x:c>
      <x:c r="H4678" s="40" t="n">
        <x:f>F4678-E4678</x:f>
        <x:v>-1.501902770996093</x:v>
      </x:c>
      <x:c r="I4678" s="40" t="n">
        <x:f>ABS(H4678)</x:f>
        <x:v>1.501902770996093</x:v>
      </x:c>
      <x:c r="J4678" s="40" t="n">
        <x:f>H4678^2</x:f>
        <x:v>2.2557119335257427</x:v>
      </x:c>
      <x:c r="K4678" s="40" t="n">
        <x:f>G4678-E4678</x:f>
        <x:v>0</x:v>
      </x:c>
      <x:c r="L4678" s="40" t="n">
        <x:f>ABS(K4678)</x:f>
        <x:v>0</x:v>
      </x:c>
      <x:c r="M4678" s="41" t="str">
        <x:v>lstm-soil-v1</x:v>
      </x:c>
    </x:row>
    <x:row r="4679">
      <x:c r="A4679" s="38" t="str">
        <x:v>7月30日现场数据</x:v>
      </x:c>
      <x:c r="B4679" s="39" t="str">
        <x:v>2026-08-04T14:55:00</x:v>
      </x:c>
      <x:c r="C4679" s="39" t="str">
        <x:v>2026-08-04T15:55:00</x:v>
      </x:c>
      <x:c r="D4679" s="47" t="n">
        <x:v>60</x:v>
      </x:c>
      <x:c r="E4679" s="40" t="n">
        <x:v>12.2</x:v>
      </x:c>
      <x:c r="F4679" s="40" t="n">
        <x:v>12.414691925048828</x:v>
      </x:c>
      <x:c r="G4679" s="40" t="n">
        <x:v>12.2</x:v>
      </x:c>
      <x:c r="H4679" s="40" t="n">
        <x:f>F4679-E4679</x:f>
        <x:v>0.21469192504882884</x:v>
      </x:c>
      <x:c r="I4679" s="40" t="n">
        <x:f>ABS(H4679)</x:f>
        <x:v>0.21469192504882884</x:v>
      </x:c>
      <x:c r="J4679" s="40" t="n">
        <x:f>H4679^2</x:f>
        <x:v>0.04609262268117194</x:v>
      </x:c>
      <x:c r="K4679" s="40" t="n">
        <x:f>G4679-E4679</x:f>
        <x:v>0</x:v>
      </x:c>
      <x:c r="L4679" s="40" t="n">
        <x:f>ABS(K4679)</x:f>
        <x:v>0</x:v>
      </x:c>
      <x:c r="M4679" s="41" t="str">
        <x:v>lstm-soil-v1</x:v>
      </x:c>
    </x:row>
    <x:row r="4680">
      <x:c r="A4680" s="38" t="str">
        <x:v>7月30日现场数据</x:v>
      </x:c>
      <x:c r="B4680" s="39" t="str">
        <x:v>2026-08-04T15:00:00</x:v>
      </x:c>
      <x:c r="C4680" s="39" t="str">
        <x:v>2026-08-04T15:05:00</x:v>
      </x:c>
      <x:c r="D4680" s="47" t="n">
        <x:v>5</x:v>
      </x:c>
      <x:c r="E4680" s="40" t="n">
        <x:v>12.2</x:v>
      </x:c>
      <x:c r="F4680" s="40" t="n">
        <x:v>10.189434051513672</x:v>
      </x:c>
      <x:c r="G4680" s="40" t="n">
        <x:v>12.2</x:v>
      </x:c>
      <x:c r="H4680" s="40" t="n">
        <x:f>F4680-E4680</x:f>
        <x:v>-2.0105659484863274</x:v>
      </x:c>
      <x:c r="I4680" s="40" t="n">
        <x:f>ABS(H4680)</x:f>
        <x:v>2.0105659484863274</x:v>
      </x:c>
      <x:c r="J4680" s="40" t="n">
        <x:f>H4680^2</x:f>
        <x:v>4.042375433212725</x:v>
      </x:c>
      <x:c r="K4680" s="40" t="n">
        <x:f>G4680-E4680</x:f>
        <x:v>0</x:v>
      </x:c>
      <x:c r="L4680" s="40" t="n">
        <x:f>ABS(K4680)</x:f>
        <x:v>0</x:v>
      </x:c>
      <x:c r="M4680" s="41" t="str">
        <x:v>lstm-soil-v1</x:v>
      </x:c>
    </x:row>
    <x:row r="4681">
      <x:c r="A4681" s="38" t="str">
        <x:v>7月30日现场数据</x:v>
      </x:c>
      <x:c r="B4681" s="39" t="str">
        <x:v>2026-08-04T15:00:00</x:v>
      </x:c>
      <x:c r="C4681" s="39" t="str">
        <x:v>2026-08-04T15:15:00</x:v>
      </x:c>
      <x:c r="D4681" s="47" t="n">
        <x:v>15</x:v>
      </x:c>
      <x:c r="E4681" s="40" t="n">
        <x:v>12.1</x:v>
      </x:c>
      <x:c r="F4681" s="40" t="n">
        <x:v>10.267082214355469</x:v>
      </x:c>
      <x:c r="G4681" s="40" t="n">
        <x:v>12.2</x:v>
      </x:c>
      <x:c r="H4681" s="40" t="n">
        <x:f>F4681-E4681</x:f>
        <x:v>-1.832917785644531</x:v>
      </x:c>
      <x:c r="I4681" s="40" t="n">
        <x:f>ABS(H4681)</x:f>
        <x:v>1.832917785644531</x:v>
      </x:c>
      <x:c r="J4681" s="40" t="n">
        <x:f>H4681^2</x:f>
        <x:v>3.3595876089320504</x:v>
      </x:c>
      <x:c r="K4681" s="40" t="n">
        <x:f>G4681-E4681</x:f>
        <x:v>0.09999999999999964</x:v>
      </x:c>
      <x:c r="L4681" s="40" t="n">
        <x:f>ABS(K4681)</x:f>
        <x:v>0.09999999999999964</x:v>
      </x:c>
      <x:c r="M4681" s="41" t="str">
        <x:v>lstm-soil-v1</x:v>
      </x:c>
    </x:row>
    <x:row r="4682">
      <x:c r="A4682" s="38" t="str">
        <x:v>7月30日现场数据</x:v>
      </x:c>
      <x:c r="B4682" s="39" t="str">
        <x:v>2026-08-04T15:00:00</x:v>
      </x:c>
      <x:c r="C4682" s="39" t="str">
        <x:v>2026-08-04T15:30:00</x:v>
      </x:c>
      <x:c r="D4682" s="47" t="n">
        <x:v>30</x:v>
      </x:c>
      <x:c r="E4682" s="40" t="n">
        <x:v>12.2</x:v>
      </x:c>
      <x:c r="F4682" s="40" t="n">
        <x:v>10.695083618164062</x:v>
      </x:c>
      <x:c r="G4682" s="40" t="n">
        <x:v>12.2</x:v>
      </x:c>
      <x:c r="H4682" s="40" t="n">
        <x:f>F4682-E4682</x:f>
        <x:v>-1.5049163818359368</x:v>
      </x:c>
      <x:c r="I4682" s="40" t="n">
        <x:f>ABS(H4682)</x:f>
        <x:v>1.5049163818359368</x:v>
      </x:c>
      <x:c r="J4682" s="40" t="n">
        <x:f>H4682^2</x:f>
        <x:v>2.264773316318167</x:v>
      </x:c>
      <x:c r="K4682" s="40" t="n">
        <x:f>G4682-E4682</x:f>
        <x:v>0</x:v>
      </x:c>
      <x:c r="L4682" s="40" t="n">
        <x:f>ABS(K4682)</x:f>
        <x:v>0</x:v>
      </x:c>
      <x:c r="M4682" s="41" t="str">
        <x:v>lstm-soil-v1</x:v>
      </x:c>
    </x:row>
    <x:row r="4683">
      <x:c r="A4683" s="38" t="str">
        <x:v>7月30日现场数据</x:v>
      </x:c>
      <x:c r="B4683" s="39" t="str">
        <x:v>2026-08-04T15:00:00</x:v>
      </x:c>
      <x:c r="C4683" s="39" t="str">
        <x:v>2026-08-04T16:00:00</x:v>
      </x:c>
      <x:c r="D4683" s="47" t="n">
        <x:v>60</x:v>
      </x:c>
      <x:c r="E4683" s="40" t="n">
        <x:v>12.2</x:v>
      </x:c>
      <x:c r="F4683" s="40" t="n">
        <x:v>12.403549194335938</x:v>
      </x:c>
      <x:c r="G4683" s="40" t="n">
        <x:v>12.2</x:v>
      </x:c>
      <x:c r="H4683" s="40" t="n">
        <x:f>F4683-E4683</x:f>
        <x:v>0.2035491943359382</x:v>
      </x:c>
      <x:c r="I4683" s="40" t="n">
        <x:f>ABS(H4683)</x:f>
        <x:v>0.2035491943359382</x:v>
      </x:c>
      <x:c r="J4683" s="40" t="n">
        <x:f>H4683^2</x:f>
        <x:v>0.04143227451480954</x:v>
      </x:c>
      <x:c r="K4683" s="40" t="n">
        <x:f>G4683-E4683</x:f>
        <x:v>0</x:v>
      </x:c>
      <x:c r="L4683" s="40" t="n">
        <x:f>ABS(K4683)</x:f>
        <x:v>0</x:v>
      </x:c>
      <x:c r="M4683" s="41" t="str">
        <x:v>lstm-soil-v1</x:v>
      </x:c>
    </x:row>
    <x:row r="4684">
      <x:c r="A4684" s="38" t="str">
        <x:v>7月30日现场数据</x:v>
      </x:c>
      <x:c r="B4684" s="39" t="str">
        <x:v>2026-08-04T15:05:00</x:v>
      </x:c>
      <x:c r="C4684" s="39" t="str">
        <x:v>2026-08-04T15:10:00</x:v>
      </x:c>
      <x:c r="D4684" s="47" t="n">
        <x:v>5</x:v>
      </x:c>
      <x:c r="E4684" s="40" t="n">
        <x:v>12.2</x:v>
      </x:c>
      <x:c r="F4684" s="40" t="n">
        <x:v>10.191524505615234</x:v>
      </x:c>
      <x:c r="G4684" s="40" t="n">
        <x:v>12.2</x:v>
      </x:c>
      <x:c r="H4684" s="40" t="n">
        <x:f>F4684-E4684</x:f>
        <x:v>-2.008475494384765</x:v>
      </x:c>
      <x:c r="I4684" s="40" t="n">
        <x:f>ABS(H4684)</x:f>
        <x:v>2.008475494384765</x:v>
      </x:c>
      <x:c r="J4684" s="40" t="n">
        <x:f>H4684^2</x:f>
        <x:v>4.033973811544126</x:v>
      </x:c>
      <x:c r="K4684" s="40" t="n">
        <x:f>G4684-E4684</x:f>
        <x:v>0</x:v>
      </x:c>
      <x:c r="L4684" s="40" t="n">
        <x:f>ABS(K4684)</x:f>
        <x:v>0</x:v>
      </x:c>
      <x:c r="M4684" s="41" t="str">
        <x:v>lstm-soil-v1</x:v>
      </x:c>
    </x:row>
    <x:row r="4685">
      <x:c r="A4685" s="38" t="str">
        <x:v>7月30日现场数据</x:v>
      </x:c>
      <x:c r="B4685" s="39" t="str">
        <x:v>2026-08-04T15:05:00</x:v>
      </x:c>
      <x:c r="C4685" s="39" t="str">
        <x:v>2026-08-04T15:20:00</x:v>
      </x:c>
      <x:c r="D4685" s="47" t="n">
        <x:v>15</x:v>
      </x:c>
      <x:c r="E4685" s="40" t="n">
        <x:v>12.2</x:v>
      </x:c>
      <x:c r="F4685" s="40" t="n">
        <x:v>10.265693664550781</x:v>
      </x:c>
      <x:c r="G4685" s="40" t="n">
        <x:v>12.2</x:v>
      </x:c>
      <x:c r="H4685" s="40" t="n">
        <x:f>F4685-E4685</x:f>
        <x:v>-1.934306335449218</x:v>
      </x:c>
      <x:c r="I4685" s="40" t="n">
        <x:f>ABS(H4685)</x:f>
        <x:v>1.934306335449218</x:v>
      </x:c>
      <x:c r="J4685" s="40" t="n">
        <x:f>H4685^2</x:f>
        <x:v>3.7415409993589828</x:v>
      </x:c>
      <x:c r="K4685" s="40" t="n">
        <x:f>G4685-E4685</x:f>
        <x:v>0</x:v>
      </x:c>
      <x:c r="L4685" s="40" t="n">
        <x:f>ABS(K4685)</x:f>
        <x:v>0</x:v>
      </x:c>
      <x:c r="M4685" s="41" t="str">
        <x:v>lstm-soil-v1</x:v>
      </x:c>
    </x:row>
    <x:row r="4686">
      <x:c r="A4686" s="38" t="str">
        <x:v>7月30日现场数据</x:v>
      </x:c>
      <x:c r="B4686" s="39" t="str">
        <x:v>2026-08-04T15:05:00</x:v>
      </x:c>
      <x:c r="C4686" s="39" t="str">
        <x:v>2026-08-04T15:35:00</x:v>
      </x:c>
      <x:c r="D4686" s="47" t="n">
        <x:v>30</x:v>
      </x:c>
      <x:c r="E4686" s="40" t="n">
        <x:v>12.2</x:v>
      </x:c>
      <x:c r="F4686" s="40" t="n">
        <x:v>10.695602416992188</x:v>
      </x:c>
      <x:c r="G4686" s="40" t="n">
        <x:v>12.2</x:v>
      </x:c>
      <x:c r="H4686" s="40" t="n">
        <x:f>F4686-E4686</x:f>
        <x:v>-1.5043975830078118</x:v>
      </x:c>
      <x:c r="I4686" s="40" t="n">
        <x:f>ABS(H4686)</x:f>
        <x:v>1.5043975830078118</x:v>
      </x:c>
      <x:c r="J4686" s="40" t="n">
        <x:f>H4686^2</x:f>
        <x:v>2.263212087759746</x:v>
      </x:c>
      <x:c r="K4686" s="40" t="n">
        <x:f>G4686-E4686</x:f>
        <x:v>0</x:v>
      </x:c>
      <x:c r="L4686" s="40" t="n">
        <x:f>ABS(K4686)</x:f>
        <x:v>0</x:v>
      </x:c>
      <x:c r="M4686" s="41" t="str">
        <x:v>lstm-soil-v1</x:v>
      </x:c>
    </x:row>
    <x:row r="4687">
      <x:c r="A4687" s="38" t="str">
        <x:v>7月30日现场数据</x:v>
      </x:c>
      <x:c r="B4687" s="39" t="str">
        <x:v>2026-08-04T15:05:00</x:v>
      </x:c>
      <x:c r="C4687" s="39" t="str">
        <x:v>2026-08-04T16:05:00</x:v>
      </x:c>
      <x:c r="D4687" s="47" t="n">
        <x:v>60</x:v>
      </x:c>
      <x:c r="E4687" s="40" t="n">
        <x:v>12.2</x:v>
      </x:c>
      <x:c r="F4687" s="40" t="n">
        <x:v>12.404220581054688</x:v>
      </x:c>
      <x:c r="G4687" s="40" t="n">
        <x:v>12.2</x:v>
      </x:c>
      <x:c r="H4687" s="40" t="n">
        <x:f>F4687-E4687</x:f>
        <x:v>0.2042205810546882</x:v>
      </x:c>
      <x:c r="I4687" s="40" t="n">
        <x:f>ABS(H4687)</x:f>
        <x:v>0.2042205810546882</x:v>
      </x:c>
      <x:c r="J4687" s="40" t="n">
        <x:f>H4687^2</x:f>
        <x:v>0.04170604572631448</x:v>
      </x:c>
      <x:c r="K4687" s="40" t="n">
        <x:f>G4687-E4687</x:f>
        <x:v>0</x:v>
      </x:c>
      <x:c r="L4687" s="40" t="n">
        <x:f>ABS(K4687)</x:f>
        <x:v>0</x:v>
      </x:c>
      <x:c r="M4687" s="41" t="str">
        <x:v>lstm-soil-v1</x:v>
      </x:c>
    </x:row>
    <x:row r="4688">
      <x:c r="A4688" s="38" t="str">
        <x:v>7月30日现场数据</x:v>
      </x:c>
      <x:c r="B4688" s="39" t="str">
        <x:v>2026-08-04T15:10:00</x:v>
      </x:c>
      <x:c r="C4688" s="39" t="str">
        <x:v>2026-08-04T15:15:00</x:v>
      </x:c>
      <x:c r="D4688" s="47" t="n">
        <x:v>5</x:v>
      </x:c>
      <x:c r="E4688" s="40" t="n">
        <x:v>12.1</x:v>
      </x:c>
      <x:c r="F4688" s="40" t="n">
        <x:v>10.197898864746094</x:v>
      </x:c>
      <x:c r="G4688" s="40" t="n">
        <x:v>12.2</x:v>
      </x:c>
      <x:c r="H4688" s="40" t="n">
        <x:f>F4688-E4688</x:f>
        <x:v>-1.902101135253906</x:v>
      </x:c>
      <x:c r="I4688" s="40" t="n">
        <x:f>ABS(H4688)</x:f>
        <x:v>1.902101135253906</x:v>
      </x:c>
      <x:c r="J4688" s="40" t="n">
        <x:f>H4688^2</x:f>
        <x:v>3.6179887287341974</x:v>
      </x:c>
      <x:c r="K4688" s="40" t="n">
        <x:f>G4688-E4688</x:f>
        <x:v>0.09999999999999964</x:v>
      </x:c>
      <x:c r="L4688" s="40" t="n">
        <x:f>ABS(K4688)</x:f>
        <x:v>0.09999999999999964</x:v>
      </x:c>
      <x:c r="M4688" s="41" t="str">
        <x:v>lstm-soil-v1</x:v>
      </x:c>
    </x:row>
    <x:row r="4689">
      <x:c r="A4689" s="38" t="str">
        <x:v>7月30日现场数据</x:v>
      </x:c>
      <x:c r="B4689" s="39" t="str">
        <x:v>2026-08-04T15:10:00</x:v>
      </x:c>
      <x:c r="C4689" s="39" t="str">
        <x:v>2026-08-04T15:25:00</x:v>
      </x:c>
      <x:c r="D4689" s="47" t="n">
        <x:v>15</x:v>
      </x:c>
      <x:c r="E4689" s="40" t="n">
        <x:v>12.2</x:v>
      </x:c>
      <x:c r="F4689" s="40" t="n">
        <x:v>10.277198791503906</x:v>
      </x:c>
      <x:c r="G4689" s="40" t="n">
        <x:v>12.2</x:v>
      </x:c>
      <x:c r="H4689" s="40" t="n">
        <x:f>F4689-E4689</x:f>
        <x:v>-1.922801208496093</x:v>
      </x:c>
      <x:c r="I4689" s="40" t="n">
        <x:f>ABS(H4689)</x:f>
        <x:v>1.922801208496093</x:v>
      </x:c>
      <x:c r="J4689" s="40" t="n">
        <x:f>H4689^2</x:f>
        <x:v>3.6971644873940357</x:v>
      </x:c>
      <x:c r="K4689" s="40" t="n">
        <x:f>G4689-E4689</x:f>
        <x:v>0</x:v>
      </x:c>
      <x:c r="L4689" s="40" t="n">
        <x:f>ABS(K4689)</x:f>
        <x:v>0</x:v>
      </x:c>
      <x:c r="M4689" s="41" t="str">
        <x:v>lstm-soil-v1</x:v>
      </x:c>
    </x:row>
    <x:row r="4690">
      <x:c r="A4690" s="38" t="str">
        <x:v>7月30日现场数据</x:v>
      </x:c>
      <x:c r="B4690" s="39" t="str">
        <x:v>2026-08-04T15:10:00</x:v>
      </x:c>
      <x:c r="C4690" s="39" t="str">
        <x:v>2026-08-04T15:40:00</x:v>
      </x:c>
      <x:c r="D4690" s="47" t="n">
        <x:v>30</x:v>
      </x:c>
      <x:c r="E4690" s="40" t="n">
        <x:v>12.1</x:v>
      </x:c>
      <x:c r="F4690" s="40" t="n">
        <x:v>10.700618743896484</x:v>
      </x:c>
      <x:c r="G4690" s="40" t="n">
        <x:v>12.2</x:v>
      </x:c>
      <x:c r="H4690" s="40" t="n">
        <x:f>F4690-E4690</x:f>
        <x:v>-1.3993812561035153</x:v>
      </x:c>
      <x:c r="I4690" s="40" t="n">
        <x:f>ABS(H4690)</x:f>
        <x:v>1.3993812561035153</x:v>
      </x:c>
      <x:c r="J4690" s="40" t="n">
        <x:f>H4690^2</x:f>
        <x:v>1.958267899933852</x:v>
      </x:c>
      <x:c r="K4690" s="40" t="n">
        <x:f>G4690-E4690</x:f>
        <x:v>0.09999999999999964</x:v>
      </x:c>
      <x:c r="L4690" s="40" t="n">
        <x:f>ABS(K4690)</x:f>
        <x:v>0.09999999999999964</x:v>
      </x:c>
      <x:c r="M4690" s="41" t="str">
        <x:v>lstm-soil-v1</x:v>
      </x:c>
    </x:row>
    <x:row r="4691">
      <x:c r="A4691" s="38" t="str">
        <x:v>7月30日现场数据</x:v>
      </x:c>
      <x:c r="B4691" s="39" t="str">
        <x:v>2026-08-04T15:10:00</x:v>
      </x:c>
      <x:c r="C4691" s="39" t="str">
        <x:v>2026-08-04T16:10:00</x:v>
      </x:c>
      <x:c r="D4691" s="47" t="n">
        <x:v>60</x:v>
      </x:c>
      <x:c r="E4691" s="40" t="n">
        <x:v>12.2</x:v>
      </x:c>
      <x:c r="F4691" s="40" t="n">
        <x:v>12.416191101074219</x:v>
      </x:c>
      <x:c r="G4691" s="40" t="n">
        <x:v>12.2</x:v>
      </x:c>
      <x:c r="H4691" s="40" t="n">
        <x:f>F4691-E4691</x:f>
        <x:v>0.21619110107421946</x:v>
      </x:c>
      <x:c r="I4691" s="40" t="n">
        <x:f>ABS(H4691)</x:f>
        <x:v>0.21619110107421946</x:v>
      </x:c>
      <x:c r="J4691" s="40" t="n">
        <x:f>H4691^2</x:f>
        <x:v>0.046738592183683376</x:v>
      </x:c>
      <x:c r="K4691" s="40" t="n">
        <x:f>G4691-E4691</x:f>
        <x:v>0</x:v>
      </x:c>
      <x:c r="L4691" s="40" t="n">
        <x:f>ABS(K4691)</x:f>
        <x:v>0</x:v>
      </x:c>
      <x:c r="M4691" s="41" t="str">
        <x:v>lstm-soil-v1</x:v>
      </x:c>
    </x:row>
    <x:row r="4692">
      <x:c r="A4692" s="38" t="str">
        <x:v>7月30日现场数据</x:v>
      </x:c>
      <x:c r="B4692" s="39" t="str">
        <x:v>2026-08-04T15:15:00</x:v>
      </x:c>
      <x:c r="C4692" s="39" t="str">
        <x:v>2026-08-04T15:20:00</x:v>
      </x:c>
      <x:c r="D4692" s="47" t="n">
        <x:v>5</x:v>
      </x:c>
      <x:c r="E4692" s="40" t="n">
        <x:v>12.2</x:v>
      </x:c>
      <x:c r="F4692" s="40" t="n">
        <x:v>10.080322265625</x:v>
      </x:c>
      <x:c r="G4692" s="40" t="n">
        <x:v>12.1</x:v>
      </x:c>
      <x:c r="H4692" s="40" t="n">
        <x:f>F4692-E4692</x:f>
        <x:v>-2.1196777343749993</x:v>
      </x:c>
      <x:c r="I4692" s="40" t="n">
        <x:f>ABS(H4692)</x:f>
        <x:v>2.1196777343749993</x:v>
      </x:c>
      <x:c r="J4692" s="40" t="n">
        <x:f>H4692^2</x:f>
        <x:v>4.49303369760513</x:v>
      </x:c>
      <x:c r="K4692" s="40" t="n">
        <x:f>G4692-E4692</x:f>
        <x:v>-0.09999999999999964</x:v>
      </x:c>
      <x:c r="L4692" s="40" t="n">
        <x:f>ABS(K4692)</x:f>
        <x:v>0.09999999999999964</x:v>
      </x:c>
      <x:c r="M4692" s="41" t="str">
        <x:v>lstm-soil-v1</x:v>
      </x:c>
    </x:row>
    <x:row r="4693">
      <x:c r="A4693" s="38" t="str">
        <x:v>7月30日现场数据</x:v>
      </x:c>
      <x:c r="B4693" s="39" t="str">
        <x:v>2026-08-04T15:15:00</x:v>
      </x:c>
      <x:c r="C4693" s="39" t="str">
        <x:v>2026-08-04T15:30:00</x:v>
      </x:c>
      <x:c r="D4693" s="47" t="n">
        <x:v>15</x:v>
      </x:c>
      <x:c r="E4693" s="40" t="n">
        <x:v>12.2</x:v>
      </x:c>
      <x:c r="F4693" s="40" t="n">
        <x:v>10.162681579589844</x:v>
      </x:c>
      <x:c r="G4693" s="40" t="n">
        <x:v>12.1</x:v>
      </x:c>
      <x:c r="H4693" s="40" t="n">
        <x:f>F4693-E4693</x:f>
        <x:v>-2.0373184204101555</x:v>
      </x:c>
      <x:c r="I4693" s="40" t="n">
        <x:f>ABS(H4693)</x:f>
        <x:v>2.0373184204101555</x:v>
      </x:c>
      <x:c r="J4693" s="40" t="n">
        <x:f>H4693^2</x:f>
        <x:v>4.150666346142532</x:v>
      </x:c>
      <x:c r="K4693" s="40" t="n">
        <x:f>G4693-E4693</x:f>
        <x:v>-0.09999999999999964</x:v>
      </x:c>
      <x:c r="L4693" s="40" t="n">
        <x:f>ABS(K4693)</x:f>
        <x:v>0.09999999999999964</x:v>
      </x:c>
      <x:c r="M4693" s="41" t="str">
        <x:v>lstm-soil-v1</x:v>
      </x:c>
    </x:row>
    <x:row r="4694">
      <x:c r="A4694" s="38" t="str">
        <x:v>7月30日现场数据</x:v>
      </x:c>
      <x:c r="B4694" s="39" t="str">
        <x:v>2026-08-04T15:15:00</x:v>
      </x:c>
      <x:c r="C4694" s="39" t="str">
        <x:v>2026-08-04T15:45:00</x:v>
      </x:c>
      <x:c r="D4694" s="47" t="n">
        <x:v>30</x:v>
      </x:c>
      <x:c r="E4694" s="40" t="n">
        <x:v>12.2</x:v>
      </x:c>
      <x:c r="F4694" s="40" t="n">
        <x:v>10.57925033569336</x:v>
      </x:c>
      <x:c r="G4694" s="40" t="n">
        <x:v>12.1</x:v>
      </x:c>
      <x:c r="H4694" s="40" t="n">
        <x:f>F4694-E4694</x:f>
        <x:v>-1.62074966430664</x:v>
      </x:c>
      <x:c r="I4694" s="40" t="n">
        <x:f>ABS(H4694)</x:f>
        <x:v>1.62074966430664</x:v>
      </x:c>
      <x:c r="J4694" s="40" t="n">
        <x:f>H4694^2</x:f>
        <x:v>2.626829474350086</x:v>
      </x:c>
      <x:c r="K4694" s="40" t="n">
        <x:f>G4694-E4694</x:f>
        <x:v>-0.09999999999999964</x:v>
      </x:c>
      <x:c r="L4694" s="40" t="n">
        <x:f>ABS(K4694)</x:f>
        <x:v>0.09999999999999964</x:v>
      </x:c>
      <x:c r="M4694" s="41" t="str">
        <x:v>lstm-soil-v1</x:v>
      </x:c>
    </x:row>
    <x:row r="4695">
      <x:c r="A4695" s="38" t="str">
        <x:v>7月30日现场数据</x:v>
      </x:c>
      <x:c r="B4695" s="39" t="str">
        <x:v>2026-08-04T15:15:00</x:v>
      </x:c>
      <x:c r="C4695" s="39" t="str">
        <x:v>2026-08-04T16:15:00</x:v>
      </x:c>
      <x:c r="D4695" s="47" t="n">
        <x:v>60</x:v>
      </x:c>
      <x:c r="E4695" s="40" t="n">
        <x:v>12.2</x:v>
      </x:c>
      <x:c r="F4695" s="40" t="n">
        <x:v>12.286125183105469</x:v>
      </x:c>
      <x:c r="G4695" s="40" t="n">
        <x:v>12.1</x:v>
      </x:c>
      <x:c r="H4695" s="40" t="n">
        <x:f>F4695-E4695</x:f>
        <x:v>0.08612518310546946</x:v>
      </x:c>
      <x:c r="I4695" s="40" t="n">
        <x:f>ABS(H4695)</x:f>
        <x:v>0.08612518310546946</x:v>
      </x:c>
      <x:c r="J4695" s="40" t="n">
        <x:f>H4695^2</x:f>
        <x:v>0.007417547164950643</x:v>
      </x:c>
      <x:c r="K4695" s="40" t="n">
        <x:f>G4695-E4695</x:f>
        <x:v>-0.09999999999999964</x:v>
      </x:c>
      <x:c r="L4695" s="40" t="n">
        <x:f>ABS(K4695)</x:f>
        <x:v>0.09999999999999964</x:v>
      </x:c>
      <x:c r="M4695" s="41" t="str">
        <x:v>lstm-soil-v1</x:v>
      </x:c>
    </x:row>
    <x:row r="4696">
      <x:c r="A4696" s="38" t="str">
        <x:v>7月30日现场数据</x:v>
      </x:c>
      <x:c r="B4696" s="39" t="str">
        <x:v>2026-08-04T15:20:00</x:v>
      </x:c>
      <x:c r="C4696" s="39" t="str">
        <x:v>2026-08-04T15:25:00</x:v>
      </x:c>
      <x:c r="D4696" s="47" t="n">
        <x:v>5</x:v>
      </x:c>
      <x:c r="E4696" s="40" t="n">
        <x:v>12.2</x:v>
      </x:c>
      <x:c r="F4696" s="40" t="n">
        <x:v>10.19061279296875</x:v>
      </x:c>
      <x:c r="G4696" s="40" t="n">
        <x:v>12.2</x:v>
      </x:c>
      <x:c r="H4696" s="40" t="n">
        <x:f>F4696-E4696</x:f>
        <x:v>-2.0093872070312493</x:v>
      </x:c>
      <x:c r="I4696" s="40" t="n">
        <x:f>ABS(H4696)</x:f>
        <x:v>2.0093872070312493</x:v>
      </x:c>
      <x:c r="J4696" s="40" t="n">
        <x:f>H4696^2</x:f>
        <x:v>4.037636947780845</x:v>
      </x:c>
      <x:c r="K4696" s="40" t="n">
        <x:f>G4696-E4696</x:f>
        <x:v>0</x:v>
      </x:c>
      <x:c r="L4696" s="40" t="n">
        <x:f>ABS(K4696)</x:f>
        <x:v>0</x:v>
      </x:c>
      <x:c r="M4696" s="41" t="str">
        <x:v>lstm-soil-v1</x:v>
      </x:c>
    </x:row>
    <x:row r="4697">
      <x:c r="A4697" s="38" t="str">
        <x:v>7月30日现场数据</x:v>
      </x:c>
      <x:c r="B4697" s="39" t="str">
        <x:v>2026-08-04T15:20:00</x:v>
      </x:c>
      <x:c r="C4697" s="39" t="str">
        <x:v>2026-08-04T15:35:00</x:v>
      </x:c>
      <x:c r="D4697" s="47" t="n">
        <x:v>15</x:v>
      </x:c>
      <x:c r="E4697" s="40" t="n">
        <x:v>12.2</x:v>
      </x:c>
      <x:c r="F4697" s="40" t="n">
        <x:v>10.268718719482422</x:v>
      </x:c>
      <x:c r="G4697" s="40" t="n">
        <x:v>12.2</x:v>
      </x:c>
      <x:c r="H4697" s="40" t="n">
        <x:f>F4697-E4697</x:f>
        <x:v>-1.9312812805175774</x:v>
      </x:c>
      <x:c r="I4697" s="40" t="n">
        <x:f>ABS(H4697)</x:f>
        <x:v>1.9312812805175774</x:v>
      </x:c>
      <x:c r="J4697" s="40" t="n">
        <x:f>H4697^2</x:f>
        <x:v>3.7298473844776137</x:v>
      </x:c>
      <x:c r="K4697" s="40" t="n">
        <x:f>G4697-E4697</x:f>
        <x:v>0</x:v>
      </x:c>
      <x:c r="L4697" s="40" t="n">
        <x:f>ABS(K4697)</x:f>
        <x:v>0</x:v>
      </x:c>
      <x:c r="M4697" s="41" t="str">
        <x:v>lstm-soil-v1</x:v>
      </x:c>
    </x:row>
    <x:row r="4698">
      <x:c r="A4698" s="38" t="str">
        <x:v>7月30日现场数据</x:v>
      </x:c>
      <x:c r="B4698" s="39" t="str">
        <x:v>2026-08-04T15:20:00</x:v>
      </x:c>
      <x:c r="C4698" s="39" t="str">
        <x:v>2026-08-04T15:50:00</x:v>
      </x:c>
      <x:c r="D4698" s="47" t="n">
        <x:v>30</x:v>
      </x:c>
      <x:c r="E4698" s="40" t="n">
        <x:v>12.2</x:v>
      </x:c>
      <x:c r="F4698" s="40" t="n">
        <x:v>10.688220977783203</x:v>
      </x:c>
      <x:c r="G4698" s="40" t="n">
        <x:v>12.2</x:v>
      </x:c>
      <x:c r="H4698" s="40" t="n">
        <x:f>F4698-E4698</x:f>
        <x:v>-1.5117790222167962</x:v>
      </x:c>
      <x:c r="I4698" s="40" t="n">
        <x:f>ABS(H4698)</x:f>
        <x:v>1.5117790222167962</x:v>
      </x:c>
      <x:c r="J4698" s="40" t="n">
        <x:f>H4698^2</x:f>
        <x:v>2.2854758120147722</x:v>
      </x:c>
      <x:c r="K4698" s="40" t="n">
        <x:f>G4698-E4698</x:f>
        <x:v>0</x:v>
      </x:c>
      <x:c r="L4698" s="40" t="n">
        <x:f>ABS(K4698)</x:f>
        <x:v>0</x:v>
      </x:c>
      <x:c r="M4698" s="41" t="str">
        <x:v>lstm-soil-v1</x:v>
      </x:c>
    </x:row>
    <x:row r="4699">
      <x:c r="A4699" s="38" t="str">
        <x:v>7月30日现场数据</x:v>
      </x:c>
      <x:c r="B4699" s="39" t="str">
        <x:v>2026-08-04T15:20:00</x:v>
      </x:c>
      <x:c r="C4699" s="39" t="str">
        <x:v>2026-08-04T16:20:00</x:v>
      </x:c>
      <x:c r="D4699" s="47" t="n">
        <x:v>60</x:v>
      </x:c>
      <x:c r="E4699" s="40" t="n">
        <x:v>12.2</x:v>
      </x:c>
      <x:c r="F4699" s="40" t="n">
        <x:v>12.394977569580078</x:v>
      </x:c>
      <x:c r="G4699" s="40" t="n">
        <x:v>12.2</x:v>
      </x:c>
      <x:c r="H4699" s="40" t="n">
        <x:f>F4699-E4699</x:f>
        <x:v>0.19497756958007884</x:v>
      </x:c>
      <x:c r="I4699" s="40" t="n">
        <x:f>ABS(H4699)</x:f>
        <x:v>0.19497756958007884</x:v>
      </x:c>
      <x:c r="J4699" s="40" t="n">
        <x:f>H4699^2</x:f>
        <x:v>0.038016252639354486</x:v>
      </x:c>
      <x:c r="K4699" s="40" t="n">
        <x:f>G4699-E4699</x:f>
        <x:v>0</x:v>
      </x:c>
      <x:c r="L4699" s="40" t="n">
        <x:f>ABS(K4699)</x:f>
        <x:v>0</x:v>
      </x:c>
      <x:c r="M4699" s="41" t="str">
        <x:v>lstm-soil-v1</x:v>
      </x:c>
    </x:row>
    <x:row r="4700">
      <x:c r="A4700" s="38" t="str">
        <x:v>7月30日现场数据</x:v>
      </x:c>
      <x:c r="B4700" s="39" t="str">
        <x:v>2026-08-04T15:25:00</x:v>
      </x:c>
      <x:c r="C4700" s="39" t="str">
        <x:v>2026-08-04T15:30:00</x:v>
      </x:c>
      <x:c r="D4700" s="47" t="n">
        <x:v>5</x:v>
      </x:c>
      <x:c r="E4700" s="40" t="n">
        <x:v>12.2</x:v>
      </x:c>
      <x:c r="F4700" s="40" t="n">
        <x:v>10.19268798828125</x:v>
      </x:c>
      <x:c r="G4700" s="40" t="n">
        <x:v>12.2</x:v>
      </x:c>
      <x:c r="H4700" s="40" t="n">
        <x:f>F4700-E4700</x:f>
        <x:v>-2.0073120117187493</x:v>
      </x:c>
      <x:c r="I4700" s="40" t="n">
        <x:f>ABS(H4700)</x:f>
        <x:v>2.0073120117187493</x:v>
      </x:c>
      <x:c r="J4700" s="40" t="n">
        <x:f>H4700^2</x:f>
        <x:v>4.029301512390372</x:v>
      </x:c>
      <x:c r="K4700" s="40" t="n">
        <x:f>G4700-E4700</x:f>
        <x:v>0</x:v>
      </x:c>
      <x:c r="L4700" s="40" t="n">
        <x:f>ABS(K4700)</x:f>
        <x:v>0</x:v>
      </x:c>
      <x:c r="M4700" s="41" t="str">
        <x:v>lstm-soil-v1</x:v>
      </x:c>
    </x:row>
    <x:row r="4701">
      <x:c r="A4701" s="38" t="str">
        <x:v>7月30日现场数据</x:v>
      </x:c>
      <x:c r="B4701" s="39" t="str">
        <x:v>2026-08-04T15:25:00</x:v>
      </x:c>
      <x:c r="C4701" s="39" t="str">
        <x:v>2026-08-04T15:40:00</x:v>
      </x:c>
      <x:c r="D4701" s="47" t="n">
        <x:v>15</x:v>
      </x:c>
      <x:c r="E4701" s="40" t="n">
        <x:v>12.1</x:v>
      </x:c>
      <x:c r="F4701" s="40" t="n">
        <x:v>10.26852798461914</x:v>
      </x:c>
      <x:c r="G4701" s="40" t="n">
        <x:v>12.2</x:v>
      </x:c>
      <x:c r="H4701" s="40" t="n">
        <x:f>F4701-E4701</x:f>
        <x:v>-1.831472015380859</x:v>
      </x:c>
      <x:c r="I4701" s="40" t="n">
        <x:f>ABS(H4701)</x:f>
        <x:v>1.831472015380859</x:v>
      </x:c>
      <x:c r="J4701" s="40" t="n">
        <x:f>H4701^2</x:f>
        <x:v>3.3542897431232257</x:v>
      </x:c>
      <x:c r="K4701" s="40" t="n">
        <x:f>G4701-E4701</x:f>
        <x:v>0.09999999999999964</x:v>
      </x:c>
      <x:c r="L4701" s="40" t="n">
        <x:f>ABS(K4701)</x:f>
        <x:v>0.09999999999999964</x:v>
      </x:c>
      <x:c r="M4701" s="41" t="str">
        <x:v>lstm-soil-v1</x:v>
      </x:c>
    </x:row>
    <x:row r="4702">
      <x:c r="A4702" s="38" t="str">
        <x:v>7月30日现场数据</x:v>
      </x:c>
      <x:c r="B4702" s="39" t="str">
        <x:v>2026-08-04T15:25:00</x:v>
      </x:c>
      <x:c r="C4702" s="39" t="str">
        <x:v>2026-08-04T15:55:00</x:v>
      </x:c>
      <x:c r="D4702" s="47" t="n">
        <x:v>30</x:v>
      </x:c>
      <x:c r="E4702" s="40" t="n">
        <x:v>12.2</x:v>
      </x:c>
      <x:c r="F4702" s="40" t="n">
        <x:v>10.69070053100586</x:v>
      </x:c>
      <x:c r="G4702" s="40" t="n">
        <x:v>12.2</x:v>
      </x:c>
      <x:c r="H4702" s="40" t="n">
        <x:f>F4702-E4702</x:f>
        <x:v>-1.50929946899414</x:v>
      </x:c>
      <x:c r="I4702" s="40" t="n">
        <x:f>ABS(H4702)</x:f>
        <x:v>1.50929946899414</x:v>
      </x:c>
      <x:c r="J4702" s="40" t="n">
        <x:f>H4702^2</x:f>
        <x:v>2.2779848871059927</x:v>
      </x:c>
      <x:c r="K4702" s="40" t="n">
        <x:f>G4702-E4702</x:f>
        <x:v>0</x:v>
      </x:c>
      <x:c r="L4702" s="40" t="n">
        <x:f>ABS(K4702)</x:f>
        <x:v>0</x:v>
      </x:c>
      <x:c r="M4702" s="41" t="str">
        <x:v>lstm-soil-v1</x:v>
      </x:c>
    </x:row>
    <x:row r="4703">
      <x:c r="A4703" s="38" t="str">
        <x:v>7月30日现场数据</x:v>
      </x:c>
      <x:c r="B4703" s="39" t="str">
        <x:v>2026-08-04T15:25:00</x:v>
      </x:c>
      <x:c r="C4703" s="39" t="str">
        <x:v>2026-08-04T16:25:00</x:v>
      </x:c>
      <x:c r="D4703" s="47" t="n">
        <x:v>60</x:v>
      </x:c>
      <x:c r="E4703" s="40" t="n">
        <x:v>12.2</x:v>
      </x:c>
      <x:c r="F4703" s="40" t="n">
        <x:v>12.402400970458984</x:v>
      </x:c>
      <x:c r="G4703" s="40" t="n">
        <x:v>12.2</x:v>
      </x:c>
      <x:c r="H4703" s="40" t="n">
        <x:f>F4703-E4703</x:f>
        <x:v>0.20240097045898509</x:v>
      </x:c>
      <x:c r="I4703" s="40" t="n">
        <x:f>ABS(H4703)</x:f>
        <x:v>0.20240097045898509</x:v>
      </x:c>
      <x:c r="J4703" s="40" t="n">
        <x:f>H4703^2</x:f>
        <x:v>0.040966152842738954</x:v>
      </x:c>
      <x:c r="K4703" s="40" t="n">
        <x:f>G4703-E4703</x:f>
        <x:v>0</x:v>
      </x:c>
      <x:c r="L4703" s="40" t="n">
        <x:f>ABS(K4703)</x:f>
        <x:v>0</x:v>
      </x:c>
      <x:c r="M4703" s="41" t="str">
        <x:v>lstm-soil-v1</x:v>
      </x:c>
    </x:row>
    <x:row r="4704">
      <x:c r="A4704" s="38" t="str">
        <x:v>7月30日现场数据</x:v>
      </x:c>
      <x:c r="B4704" s="39" t="str">
        <x:v>2026-08-04T15:30:00</x:v>
      </x:c>
      <x:c r="C4704" s="39" t="str">
        <x:v>2026-08-04T15:35:00</x:v>
      </x:c>
      <x:c r="D4704" s="47" t="n">
        <x:v>5</x:v>
      </x:c>
      <x:c r="E4704" s="40" t="n">
        <x:v>12.2</x:v>
      </x:c>
      <x:c r="F4704" s="40" t="n">
        <x:v>10.19070816040039</x:v>
      </x:c>
      <x:c r="G4704" s="40" t="n">
        <x:v>12.2</x:v>
      </x:c>
      <x:c r="H4704" s="40" t="n">
        <x:f>F4704-E4704</x:f>
        <x:v>-2.0092918395996087</x:v>
      </x:c>
      <x:c r="I4704" s="40" t="n">
        <x:f>ABS(H4704)</x:f>
        <x:v>2.0092918395996087</x:v>
      </x:c>
      <x:c r="J4704" s="40" t="n">
        <x:f>H4704^2</x:f>
        <x:v>4.03725369668158</x:v>
      </x:c>
      <x:c r="K4704" s="40" t="n">
        <x:f>G4704-E4704</x:f>
        <x:v>0</x:v>
      </x:c>
      <x:c r="L4704" s="40" t="n">
        <x:f>ABS(K4704)</x:f>
        <x:v>0</x:v>
      </x:c>
      <x:c r="M4704" s="41" t="str">
        <x:v>lstm-soil-v1</x:v>
      </x:c>
    </x:row>
    <x:row r="4705">
      <x:c r="A4705" s="38" t="str">
        <x:v>7月30日现场数据</x:v>
      </x:c>
      <x:c r="B4705" s="39" t="str">
        <x:v>2026-08-04T15:30:00</x:v>
      </x:c>
      <x:c r="C4705" s="39" t="str">
        <x:v>2026-08-04T15:45:00</x:v>
      </x:c>
      <x:c r="D4705" s="47" t="n">
        <x:v>15</x:v>
      </x:c>
      <x:c r="E4705" s="40" t="n">
        <x:v>12.2</x:v>
      </x:c>
      <x:c r="F4705" s="40" t="n">
        <x:v>10.267097473144531</x:v>
      </x:c>
      <x:c r="G4705" s="40" t="n">
        <x:v>12.2</x:v>
      </x:c>
      <x:c r="H4705" s="40" t="n">
        <x:f>F4705-E4705</x:f>
        <x:v>-1.932902526855468</x:v>
      </x:c>
      <x:c r="I4705" s="40" t="n">
        <x:f>ABS(H4705)</x:f>
        <x:v>1.932902526855468</x:v>
      </x:c>
      <x:c r="J4705" s="40" t="n">
        <x:f>H4705^2</x:f>
        <x:v>3.7361121783242535</x:v>
      </x:c>
      <x:c r="K4705" s="40" t="n">
        <x:f>G4705-E4705</x:f>
        <x:v>0</x:v>
      </x:c>
      <x:c r="L4705" s="40" t="n">
        <x:f>ABS(K4705)</x:f>
        <x:v>0</x:v>
      </x:c>
      <x:c r="M4705" s="41" t="str">
        <x:v>lstm-soil-v1</x:v>
      </x:c>
    </x:row>
    <x:row r="4706">
      <x:c r="A4706" s="38" t="str">
        <x:v>7月30日现场数据</x:v>
      </x:c>
      <x:c r="B4706" s="39" t="str">
        <x:v>2026-08-04T15:30:00</x:v>
      </x:c>
      <x:c r="C4706" s="39" t="str">
        <x:v>2026-08-04T16:00:00</x:v>
      </x:c>
      <x:c r="D4706" s="47" t="n">
        <x:v>30</x:v>
      </x:c>
      <x:c r="E4706" s="40" t="n">
        <x:v>12.2</x:v>
      </x:c>
      <x:c r="F4706" s="40" t="n">
        <x:v>10.688591003417969</x:v>
      </x:c>
      <x:c r="G4706" s="40" t="n">
        <x:v>12.2</x:v>
      </x:c>
      <x:c r="H4706" s="40" t="n">
        <x:f>F4706-E4706</x:f>
        <x:v>-1.5114089965820305</x:v>
      </x:c>
      <x:c r="I4706" s="40" t="n">
        <x:f>ABS(H4706)</x:f>
        <x:v>1.5114089965820305</x:v>
      </x:c>
      <x:c r="J4706" s="40" t="n">
        <x:f>H4706^2</x:f>
        <x:v>2.2843571549491</x:v>
      </x:c>
      <x:c r="K4706" s="40" t="n">
        <x:f>G4706-E4706</x:f>
        <x:v>0</x:v>
      </x:c>
      <x:c r="L4706" s="40" t="n">
        <x:f>ABS(K4706)</x:f>
        <x:v>0</x:v>
      </x:c>
      <x:c r="M4706" s="41" t="str">
        <x:v>lstm-soil-v1</x:v>
      </x:c>
    </x:row>
    <x:row r="4707">
      <x:c r="A4707" s="38" t="str">
        <x:v>7月30日现场数据</x:v>
      </x:c>
      <x:c r="B4707" s="39" t="str">
        <x:v>2026-08-04T15:30:00</x:v>
      </x:c>
      <x:c r="C4707" s="39" t="str">
        <x:v>2026-08-04T16:30:00</x:v>
      </x:c>
      <x:c r="D4707" s="47" t="n">
        <x:v>60</x:v>
      </x:c>
      <x:c r="E4707" s="40" t="n">
        <x:v>12.2</x:v>
      </x:c>
      <x:c r="F4707" s="40" t="n">
        <x:v>12.395633697509766</x:v>
      </x:c>
      <x:c r="G4707" s="40" t="n">
        <x:v>12.2</x:v>
      </x:c>
      <x:c r="H4707" s="40" t="n">
        <x:f>F4707-E4707</x:f>
        <x:v>0.19563369750976634</x:v>
      </x:c>
      <x:c r="I4707" s="40" t="n">
        <x:f>ABS(H4707)</x:f>
        <x:v>0.19563369750976634</x:v>
      </x:c>
      <x:c r="J4707" s="40" t="n">
        <x:f>H4707^2</x:f>
        <x:v>0.03827254360134275</x:v>
      </x:c>
      <x:c r="K4707" s="40" t="n">
        <x:f>G4707-E4707</x:f>
        <x:v>0</x:v>
      </x:c>
      <x:c r="L4707" s="40" t="n">
        <x:f>ABS(K4707)</x:f>
        <x:v>0</x:v>
      </x:c>
      <x:c r="M4707" s="41" t="str">
        <x:v>lstm-soil-v1</x:v>
      </x:c>
    </x:row>
    <x:row r="4708">
      <x:c r="A4708" s="38" t="str">
        <x:v>7月30日现场数据</x:v>
      </x:c>
      <x:c r="B4708" s="39" t="str">
        <x:v>2026-08-04T15:35:00</x:v>
      </x:c>
      <x:c r="C4708" s="39" t="str">
        <x:v>2026-08-04T15:40:00</x:v>
      </x:c>
      <x:c r="D4708" s="47" t="n">
        <x:v>5</x:v>
      </x:c>
      <x:c r="E4708" s="40" t="n">
        <x:v>12.1</x:v>
      </x:c>
      <x:c r="F4708" s="40" t="n">
        <x:v>10.192325592041016</x:v>
      </x:c>
      <x:c r="G4708" s="40" t="n">
        <x:v>12.2</x:v>
      </x:c>
      <x:c r="H4708" s="40" t="n">
        <x:f>F4708-E4708</x:f>
        <x:v>-1.907674407958984</x:v>
      </x:c>
      <x:c r="I4708" s="40" t="n">
        <x:f>ABS(H4708)</x:f>
        <x:v>1.907674407958984</x:v>
      </x:c>
      <x:c r="J4708" s="40" t="n">
        <x:f>H4708^2</x:f>
        <x:v>3.6392216467816603</x:v>
      </x:c>
      <x:c r="K4708" s="40" t="n">
        <x:f>G4708-E4708</x:f>
        <x:v>0.09999999999999964</x:v>
      </x:c>
      <x:c r="L4708" s="40" t="n">
        <x:f>ABS(K4708)</x:f>
        <x:v>0.09999999999999964</x:v>
      </x:c>
      <x:c r="M4708" s="41" t="str">
        <x:v>lstm-soil-v1</x:v>
      </x:c>
    </x:row>
    <x:row r="4709">
      <x:c r="A4709" s="38" t="str">
        <x:v>7月30日现场数据</x:v>
      </x:c>
      <x:c r="B4709" s="39" t="str">
        <x:v>2026-08-04T15:35:00</x:v>
      </x:c>
      <x:c r="C4709" s="39" t="str">
        <x:v>2026-08-04T15:50:00</x:v>
      </x:c>
      <x:c r="D4709" s="47" t="n">
        <x:v>15</x:v>
      </x:c>
      <x:c r="E4709" s="40" t="n">
        <x:v>12.2</x:v>
      </x:c>
      <x:c r="F4709" s="40" t="n">
        <x:v>10.265342712402344</x:v>
      </x:c>
      <x:c r="G4709" s="40" t="n">
        <x:v>12.2</x:v>
      </x:c>
      <x:c r="H4709" s="40" t="n">
        <x:f>F4709-E4709</x:f>
        <x:v>-1.9346572875976555</x:v>
      </x:c>
      <x:c r="I4709" s="40" t="n">
        <x:f>ABS(H4709)</x:f>
        <x:v>1.9346572875976555</x:v>
      </x:c>
      <x:c r="J4709" s="40" t="n">
        <x:f>H4709^2</x:f>
        <x:v>3.742898820454718</x:v>
      </x:c>
      <x:c r="K4709" s="40" t="n">
        <x:f>G4709-E4709</x:f>
        <x:v>0</x:v>
      </x:c>
      <x:c r="L4709" s="40" t="n">
        <x:f>ABS(K4709)</x:f>
        <x:v>0</x:v>
      </x:c>
      <x:c r="M4709" s="41" t="str">
        <x:v>lstm-soil-v1</x:v>
      </x:c>
    </x:row>
    <x:row r="4710">
      <x:c r="A4710" s="38" t="str">
        <x:v>7月30日现场数据</x:v>
      </x:c>
      <x:c r="B4710" s="39" t="str">
        <x:v>2026-08-04T15:35:00</x:v>
      </x:c>
      <x:c r="C4710" s="39" t="str">
        <x:v>2026-08-04T16:05:00</x:v>
      </x:c>
      <x:c r="D4710" s="47" t="n">
        <x:v>30</x:v>
      </x:c>
      <x:c r="E4710" s="40" t="n">
        <x:v>12.2</x:v>
      </x:c>
      <x:c r="F4710" s="40" t="n">
        <x:v>10.690166473388672</x:v>
      </x:c>
      <x:c r="G4710" s="40" t="n">
        <x:v>12.2</x:v>
      </x:c>
      <x:c r="H4710" s="40" t="n">
        <x:f>F4710-E4710</x:f>
        <x:v>-1.5098335266113274</x:v>
      </x:c>
      <x:c r="I4710" s="40" t="n">
        <x:f>ABS(H4710)</x:f>
        <x:v>1.5098335266113274</x:v>
      </x:c>
      <x:c r="J4710" s="40" t="n">
        <x:f>H4710^2</x:f>
        <x:v>2.279597278079598</x:v>
      </x:c>
      <x:c r="K4710" s="40" t="n">
        <x:f>G4710-E4710</x:f>
        <x:v>0</x:v>
      </x:c>
      <x:c r="L4710" s="40" t="n">
        <x:f>ABS(K4710)</x:f>
        <x:v>0</x:v>
      </x:c>
      <x:c r="M4710" s="41" t="str">
        <x:v>lstm-soil-v1</x:v>
      </x:c>
    </x:row>
    <x:row r="4711">
      <x:c r="A4711" s="38" t="str">
        <x:v>7月30日现场数据</x:v>
      </x:c>
      <x:c r="B4711" s="39" t="str">
        <x:v>2026-08-04T15:35:00</x:v>
      </x:c>
      <x:c r="C4711" s="39" t="str">
        <x:v>2026-08-04T16:35:00</x:v>
      </x:c>
      <x:c r="D4711" s="47" t="n">
        <x:v>60</x:v>
      </x:c>
      <x:c r="E4711" s="40" t="n">
        <x:v>12.2</x:v>
      </x:c>
      <x:c r="F4711" s="40" t="n">
        <x:v>12.398242950439453</x:v>
      </x:c>
      <x:c r="G4711" s="40" t="n">
        <x:v>12.2</x:v>
      </x:c>
      <x:c r="H4711" s="40" t="n">
        <x:f>F4711-E4711</x:f>
        <x:v>0.19824295043945384</x:v>
      </x:c>
      <x:c r="I4711" s="40" t="n">
        <x:f>ABS(H4711)</x:f>
        <x:v>0.19824295043945384</x:v>
      </x:c>
      <x:c r="J4711" s="40" t="n">
        <x:f>H4711^2</x:f>
        <x:v>0.03930026739893975</x:v>
      </x:c>
      <x:c r="K4711" s="40" t="n">
        <x:f>G4711-E4711</x:f>
        <x:v>0</x:v>
      </x:c>
      <x:c r="L4711" s="40" t="n">
        <x:f>ABS(K4711)</x:f>
        <x:v>0</x:v>
      </x:c>
      <x:c r="M4711" s="41" t="str">
        <x:v>lstm-soil-v1</x:v>
      </x:c>
    </x:row>
    <x:row r="4712">
      <x:c r="A4712" s="38" t="str">
        <x:v>7月30日现场数据</x:v>
      </x:c>
      <x:c r="B4712" s="39" t="str">
        <x:v>2026-08-04T15:40:00</x:v>
      </x:c>
      <x:c r="C4712" s="39" t="str">
        <x:v>2026-08-04T15:45:00</x:v>
      </x:c>
      <x:c r="D4712" s="47" t="n">
        <x:v>5</x:v>
      </x:c>
      <x:c r="E4712" s="40" t="n">
        <x:v>12.2</x:v>
      </x:c>
      <x:c r="F4712" s="40" t="n">
        <x:v>10.083515167236328</x:v>
      </x:c>
      <x:c r="G4712" s="40" t="n">
        <x:v>12.1</x:v>
      </x:c>
      <x:c r="H4712" s="40" t="n">
        <x:f>F4712-E4712</x:f>
        <x:v>-2.116484832763671</x:v>
      </x:c>
      <x:c r="I4712" s="40" t="n">
        <x:f>ABS(H4712)</x:f>
        <x:v>2.116484832763671</x:v>
      </x:c>
      <x:c r="J4712" s="40" t="n">
        <x:f>H4712^2</x:f>
        <x:v>4.4795080473186655</x:v>
      </x:c>
      <x:c r="K4712" s="40" t="n">
        <x:f>G4712-E4712</x:f>
        <x:v>-0.09999999999999964</x:v>
      </x:c>
      <x:c r="L4712" s="40" t="n">
        <x:f>ABS(K4712)</x:f>
        <x:v>0.09999999999999964</x:v>
      </x:c>
      <x:c r="M4712" s="41" t="str">
        <x:v>lstm-soil-v1</x:v>
      </x:c>
    </x:row>
    <x:row r="4713">
      <x:c r="A4713" s="38" t="str">
        <x:v>7月30日现场数据</x:v>
      </x:c>
      <x:c r="B4713" s="39" t="str">
        <x:v>2026-08-04T15:40:00</x:v>
      </x:c>
      <x:c r="C4713" s="39" t="str">
        <x:v>2026-08-04T15:55:00</x:v>
      </x:c>
      <x:c r="D4713" s="47" t="n">
        <x:v>15</x:v>
      </x:c>
      <x:c r="E4713" s="40" t="n">
        <x:v>12.2</x:v>
      </x:c>
      <x:c r="F4713" s="40" t="n">
        <x:v>10.15457534790039</x:v>
      </x:c>
      <x:c r="G4713" s="40" t="n">
        <x:v>12.1</x:v>
      </x:c>
      <x:c r="H4713" s="40" t="n">
        <x:f>F4713-E4713</x:f>
        <x:v>-2.0454246520996087</x:v>
      </x:c>
      <x:c r="I4713" s="40" t="n">
        <x:f>ABS(H4713)</x:f>
        <x:v>2.0454246520996087</x:v>
      </x:c>
      <x:c r="J4713" s="40" t="n">
        <x:f>H4713^2</x:f>
        <x:v>4.183762007416805</x:v>
      </x:c>
      <x:c r="K4713" s="40" t="n">
        <x:f>G4713-E4713</x:f>
        <x:v>-0.09999999999999964</x:v>
      </x:c>
      <x:c r="L4713" s="40" t="n">
        <x:f>ABS(K4713)</x:f>
        <x:v>0.09999999999999964</x:v>
      </x:c>
      <x:c r="M4713" s="41" t="str">
        <x:v>lstm-soil-v1</x:v>
      </x:c>
    </x:row>
    <x:row r="4714">
      <x:c r="A4714" s="38" t="str">
        <x:v>7月30日现场数据</x:v>
      </x:c>
      <x:c r="B4714" s="39" t="str">
        <x:v>2026-08-04T15:40:00</x:v>
      </x:c>
      <x:c r="C4714" s="39" t="str">
        <x:v>2026-08-04T16:10:00</x:v>
      </x:c>
      <x:c r="D4714" s="47" t="n">
        <x:v>30</x:v>
      </x:c>
      <x:c r="E4714" s="40" t="n">
        <x:v>12.2</x:v>
      </x:c>
      <x:c r="F4714" s="40" t="n">
        <x:v>10.581645965576172</x:v>
      </x:c>
      <x:c r="G4714" s="40" t="n">
        <x:v>12.1</x:v>
      </x:c>
      <x:c r="H4714" s="40" t="n">
        <x:f>F4714-E4714</x:f>
        <x:v>-1.6183540344238274</x:v>
      </x:c>
      <x:c r="I4714" s="40" t="n">
        <x:f>ABS(H4714)</x:f>
        <x:v>1.6183540344238274</x:v>
      </x:c>
      <x:c r="J4714" s="40" t="n">
        <x:f>H4714^2</x:f>
        <x:v>2.6190697807358787</x:v>
      </x:c>
      <x:c r="K4714" s="40" t="n">
        <x:f>G4714-E4714</x:f>
        <x:v>-0.09999999999999964</x:v>
      </x:c>
      <x:c r="L4714" s="40" t="n">
        <x:f>ABS(K4714)</x:f>
        <x:v>0.09999999999999964</x:v>
      </x:c>
      <x:c r="M4714" s="41" t="str">
        <x:v>lstm-soil-v1</x:v>
      </x:c>
    </x:row>
    <x:row r="4715">
      <x:c r="A4715" s="38" t="str">
        <x:v>7月30日现场数据</x:v>
      </x:c>
      <x:c r="B4715" s="39" t="str">
        <x:v>2026-08-04T15:40:00</x:v>
      </x:c>
      <x:c r="C4715" s="39" t="str">
        <x:v>2026-08-04T16:40:00</x:v>
      </x:c>
      <x:c r="D4715" s="47" t="n">
        <x:v>60</x:v>
      </x:c>
      <x:c r="E4715" s="40" t="n">
        <x:v>12.1</x:v>
      </x:c>
      <x:c r="F4715" s="40" t="n">
        <x:v>12.28964614868164</x:v>
      </x:c>
      <x:c r="G4715" s="40" t="n">
        <x:v>12.1</x:v>
      </x:c>
      <x:c r="H4715" s="40" t="n">
        <x:f>F4715-E4715</x:f>
        <x:v>0.18964614868164098</x:v>
      </x:c>
      <x:c r="I4715" s="40" t="n">
        <x:f>ABS(H4715)</x:f>
        <x:v>0.18964614868164098</x:v>
      </x:c>
      <x:c r="J4715" s="40" t="n">
        <x:f>H4715^2</x:f>
        <x:v>0.03596566170977908</x:v>
      </x:c>
      <x:c r="K4715" s="40" t="n">
        <x:f>G4715-E4715</x:f>
        <x:v>0</x:v>
      </x:c>
      <x:c r="L4715" s="40" t="n">
        <x:f>ABS(K4715)</x:f>
        <x:v>0</x:v>
      </x:c>
      <x:c r="M4715" s="41" t="str">
        <x:v>lstm-soil-v1</x:v>
      </x:c>
    </x:row>
    <x:row r="4716">
      <x:c r="A4716" s="38" t="str">
        <x:v>7月30日现场数据</x:v>
      </x:c>
      <x:c r="B4716" s="39" t="str">
        <x:v>2026-08-04T15:45:00</x:v>
      </x:c>
      <x:c r="C4716" s="39" t="str">
        <x:v>2026-08-04T15:50:00</x:v>
      </x:c>
      <x:c r="D4716" s="47" t="n">
        <x:v>5</x:v>
      </x:c>
      <x:c r="E4716" s="40" t="n">
        <x:v>12.2</x:v>
      </x:c>
      <x:c r="F4716" s="40" t="n">
        <x:v>10.19491958618164</x:v>
      </x:c>
      <x:c r="G4716" s="40" t="n">
        <x:v>12.2</x:v>
      </x:c>
      <x:c r="H4716" s="40" t="n">
        <x:f>F4716-E4716</x:f>
        <x:v>-2.0050804138183587</x:v>
      </x:c>
      <x:c r="I4716" s="40" t="n">
        <x:f>ABS(H4716)</x:f>
        <x:v>2.0050804138183587</x:v>
      </x:c>
      <x:c r="J4716" s="40" t="n">
        <x:f>H4716^2</x:f>
        <x:v>4.020347465878</x:v>
      </x:c>
      <x:c r="K4716" s="40" t="n">
        <x:f>G4716-E4716</x:f>
        <x:v>0</x:v>
      </x:c>
      <x:c r="L4716" s="40" t="n">
        <x:f>ABS(K4716)</x:f>
        <x:v>0</x:v>
      </x:c>
      <x:c r="M4716" s="41" t="str">
        <x:v>lstm-soil-v1</x:v>
      </x:c>
    </x:row>
    <x:row r="4717">
      <x:c r="A4717" s="38" t="str">
        <x:v>7月30日现场数据</x:v>
      </x:c>
      <x:c r="B4717" s="39" t="str">
        <x:v>2026-08-04T15:45:00</x:v>
      </x:c>
      <x:c r="C4717" s="39" t="str">
        <x:v>2026-08-04T16:00:00</x:v>
      </x:c>
      <x:c r="D4717" s="47" t="n">
        <x:v>15</x:v>
      </x:c>
      <x:c r="E4717" s="40" t="n">
        <x:v>12.2</x:v>
      </x:c>
      <x:c r="F4717" s="40" t="n">
        <x:v>10.26461410522461</x:v>
      </x:c>
      <x:c r="G4717" s="40" t="n">
        <x:v>12.2</x:v>
      </x:c>
      <x:c r="H4717" s="40" t="n">
        <x:f>F4717-E4717</x:f>
        <x:v>-1.93538589477539</x:v>
      </x:c>
      <x:c r="I4717" s="40" t="n">
        <x:f>ABS(H4717)</x:f>
        <x:v>1.93538589477539</x:v>
      </x:c>
      <x:c r="J4717" s="40" t="n">
        <x:f>H4717^2</x:f>
        <x:v>3.745718561695537</x:v>
      </x:c>
      <x:c r="K4717" s="40" t="n">
        <x:f>G4717-E4717</x:f>
        <x:v>0</x:v>
      </x:c>
      <x:c r="L4717" s="40" t="n">
        <x:f>ABS(K4717)</x:f>
        <x:v>0</x:v>
      </x:c>
      <x:c r="M4717" s="41" t="str">
        <x:v>lstm-soil-v1</x:v>
      </x:c>
    </x:row>
    <x:row r="4718">
      <x:c r="A4718" s="38" t="str">
        <x:v>7月30日现场数据</x:v>
      </x:c>
      <x:c r="B4718" s="39" t="str">
        <x:v>2026-08-04T15:45:00</x:v>
      </x:c>
      <x:c r="C4718" s="39" t="str">
        <x:v>2026-08-04T16:15:00</x:v>
      </x:c>
      <x:c r="D4718" s="47" t="n">
        <x:v>30</x:v>
      </x:c>
      <x:c r="E4718" s="40" t="n">
        <x:v>12.2</x:v>
      </x:c>
      <x:c r="F4718" s="40" t="n">
        <x:v>10.69329833984375</x:v>
      </x:c>
      <x:c r="G4718" s="40" t="n">
        <x:v>12.2</x:v>
      </x:c>
      <x:c r="H4718" s="40" t="n">
        <x:f>F4718-E4718</x:f>
        <x:v>-1.5067016601562493</x:v>
      </x:c>
      <x:c r="I4718" s="40" t="n">
        <x:f>ABS(H4718)</x:f>
        <x:v>1.5067016601562493</x:v>
      </x:c>
      <x:c r="J4718" s="40" t="n">
        <x:f>H4718^2</x:f>
        <x:v>2.2701498927175976</x:v>
      </x:c>
      <x:c r="K4718" s="40" t="n">
        <x:f>G4718-E4718</x:f>
        <x:v>0</x:v>
      </x:c>
      <x:c r="L4718" s="40" t="n">
        <x:f>ABS(K4718)</x:f>
        <x:v>0</x:v>
      </x:c>
      <x:c r="M4718" s="41" t="str">
        <x:v>lstm-soil-v1</x:v>
      </x:c>
    </x:row>
    <x:row r="4719">
      <x:c r="A4719" s="38" t="str">
        <x:v>7月30日现场数据</x:v>
      </x:c>
      <x:c r="B4719" s="39" t="str">
        <x:v>2026-08-04T15:45:00</x:v>
      </x:c>
      <x:c r="C4719" s="39" t="str">
        <x:v>2026-08-04T16:45:00</x:v>
      </x:c>
      <x:c r="D4719" s="47" t="n">
        <x:v>60</x:v>
      </x:c>
      <x:c r="E4719" s="40" t="n">
        <x:v>12.1</x:v>
      </x:c>
      <x:c r="F4719" s="40" t="n">
        <x:v>12.40157699584961</x:v>
      </x:c>
      <x:c r="G4719" s="40" t="n">
        <x:v>12.2</x:v>
      </x:c>
      <x:c r="H4719" s="40" t="n">
        <x:f>F4719-E4719</x:f>
        <x:v>0.30157699584960973</x:v>
      </x:c>
      <x:c r="I4719" s="40" t="n">
        <x:f>ABS(H4719)</x:f>
        <x:v>0.30157699584960973</x:v>
      </x:c>
      <x:c r="J4719" s="40" t="n">
        <x:f>H4719^2</x:f>
        <x:v>0.09094868442567552</x:v>
      </x:c>
      <x:c r="K4719" s="40" t="n">
        <x:f>G4719-E4719</x:f>
        <x:v>0.09999999999999964</x:v>
      </x:c>
      <x:c r="L4719" s="40" t="n">
        <x:f>ABS(K4719)</x:f>
        <x:v>0.09999999999999964</x:v>
      </x:c>
      <x:c r="M4719" s="41" t="str">
        <x:v>lstm-soil-v1</x:v>
      </x:c>
    </x:row>
    <x:row r="4720">
      <x:c r="A4720" s="38" t="str">
        <x:v>7月30日现场数据</x:v>
      </x:c>
      <x:c r="B4720" s="39" t="str">
        <x:v>2026-08-04T15:50:00</x:v>
      </x:c>
      <x:c r="C4720" s="39" t="str">
        <x:v>2026-08-04T15:55:00</x:v>
      </x:c>
      <x:c r="D4720" s="47" t="n">
        <x:v>5</x:v>
      </x:c>
      <x:c r="E4720" s="40" t="n">
        <x:v>12.2</x:v>
      </x:c>
      <x:c r="F4720" s="40" t="n">
        <x:v>10.19802474975586</x:v>
      </x:c>
      <x:c r="G4720" s="40" t="n">
        <x:v>12.2</x:v>
      </x:c>
      <x:c r="H4720" s="40" t="n">
        <x:f>F4720-E4720</x:f>
        <x:v>-2.00197525024414</x:v>
      </x:c>
      <x:c r="I4720" s="40" t="n">
        <x:f>ABS(H4720)</x:f>
        <x:v>2.00197525024414</x:v>
      </x:c>
      <x:c r="J4720" s="40" t="n">
        <x:f>H4720^2</x:f>
        <x:v>4.007904902590087</x:v>
      </x:c>
      <x:c r="K4720" s="40" t="n">
        <x:f>G4720-E4720</x:f>
        <x:v>0</x:v>
      </x:c>
      <x:c r="L4720" s="40" t="n">
        <x:f>ABS(K4720)</x:f>
        <x:v>0</x:v>
      </x:c>
      <x:c r="M4720" s="41" t="str">
        <x:v>lstm-soil-v1</x:v>
      </x:c>
    </x:row>
    <x:row r="4721">
      <x:c r="A4721" s="38" t="str">
        <x:v>7月30日现场数据</x:v>
      </x:c>
      <x:c r="B4721" s="39" t="str">
        <x:v>2026-08-04T15:50:00</x:v>
      </x:c>
      <x:c r="C4721" s="39" t="str">
        <x:v>2026-08-04T16:05:00</x:v>
      </x:c>
      <x:c r="D4721" s="47" t="n">
        <x:v>15</x:v>
      </x:c>
      <x:c r="E4721" s="40" t="n">
        <x:v>12.2</x:v>
      </x:c>
      <x:c r="F4721" s="40" t="n">
        <x:v>10.265029907226562</x:v>
      </x:c>
      <x:c r="G4721" s="40" t="n">
        <x:v>12.2</x:v>
      </x:c>
      <x:c r="H4721" s="40" t="n">
        <x:f>F4721-E4721</x:f>
        <x:v>-1.9349700927734368</x:v>
      </x:c>
      <x:c r="I4721" s="40" t="n">
        <x:f>ABS(H4721)</x:f>
        <x:v>1.9349700927734368</x:v>
      </x:c>
      <x:c r="J4721" s="40" t="n">
        <x:f>H4721^2</x:f>
        <x:v>3.7441092599276424</x:v>
      </x:c>
      <x:c r="K4721" s="40" t="n">
        <x:f>G4721-E4721</x:f>
        <x:v>0</x:v>
      </x:c>
      <x:c r="L4721" s="40" t="n">
        <x:f>ABS(K4721)</x:f>
        <x:v>0</x:v>
      </x:c>
      <x:c r="M4721" s="41" t="str">
        <x:v>lstm-soil-v1</x:v>
      </x:c>
    </x:row>
    <x:row r="4722">
      <x:c r="A4722" s="38" t="str">
        <x:v>7月30日现场数据</x:v>
      </x:c>
      <x:c r="B4722" s="39" t="str">
        <x:v>2026-08-04T15:50:00</x:v>
      </x:c>
      <x:c r="C4722" s="39" t="str">
        <x:v>2026-08-04T16:20:00</x:v>
      </x:c>
      <x:c r="D4722" s="47" t="n">
        <x:v>30</x:v>
      </x:c>
      <x:c r="E4722" s="40" t="n">
        <x:v>12.2</x:v>
      </x:c>
      <x:c r="F4722" s="40" t="n">
        <x:v>10.697341918945312</x:v>
      </x:c>
      <x:c r="G4722" s="40" t="n">
        <x:v>12.2</x:v>
      </x:c>
      <x:c r="H4722" s="40" t="n">
        <x:f>F4722-E4722</x:f>
        <x:v>-1.5026580810546868</x:v>
      </x:c>
      <x:c r="I4722" s="40" t="n">
        <x:f>ABS(H4722)</x:f>
        <x:v>1.5026580810546868</x:v>
      </x:c>
      <x:c r="J4722" s="40" t="n">
        <x:f>H4722^2</x:f>
        <x:v>2.2579813085589535</x:v>
      </x:c>
      <x:c r="K4722" s="40" t="n">
        <x:f>G4722-E4722</x:f>
        <x:v>0</x:v>
      </x:c>
      <x:c r="L4722" s="40" t="n">
        <x:f>ABS(K4722)</x:f>
        <x:v>0</x:v>
      </x:c>
      <x:c r="M4722" s="41" t="str">
        <x:v>lstm-soil-v1</x:v>
      </x:c>
    </x:row>
    <x:row r="4723">
      <x:c r="A4723" s="38" t="str">
        <x:v>7月30日现场数据</x:v>
      </x:c>
      <x:c r="B4723" s="39" t="str">
        <x:v>2026-08-04T15:50:00</x:v>
      </x:c>
      <x:c r="C4723" s="39" t="str">
        <x:v>2026-08-04T16:50:00</x:v>
      </x:c>
      <x:c r="D4723" s="47" t="n">
        <x:v>60</x:v>
      </x:c>
      <x:c r="E4723" s="40" t="n">
        <x:v>12.1</x:v>
      </x:c>
      <x:c r="F4723" s="40" t="n">
        <x:v>12.413215637207031</x:v>
      </x:c>
      <x:c r="G4723" s="40" t="n">
        <x:v>12.2</x:v>
      </x:c>
      <x:c r="H4723" s="40" t="n">
        <x:f>F4723-E4723</x:f>
        <x:v>0.3132156372070316</x:v>
      </x:c>
      <x:c r="I4723" s="40" t="n">
        <x:f>ABS(H4723)</x:f>
        <x:v>0.3132156372070316</x:v>
      </x:c>
      <x:c r="J4723" s="40" t="n">
        <x:f>H4723^2</x:f>
        <x:v>0.09810403539100684</x:v>
      </x:c>
      <x:c r="K4723" s="40" t="n">
        <x:f>G4723-E4723</x:f>
        <x:v>0.09999999999999964</x:v>
      </x:c>
      <x:c r="L4723" s="40" t="n">
        <x:f>ABS(K4723)</x:f>
        <x:v>0.09999999999999964</x:v>
      </x:c>
      <x:c r="M4723" s="41" t="str">
        <x:v>lstm-soil-v1</x:v>
      </x:c>
    </x:row>
    <x:row r="4724">
      <x:c r="A4724" s="38" t="str">
        <x:v>7月30日现场数据</x:v>
      </x:c>
      <x:c r="B4724" s="39" t="str">
        <x:v>2026-08-04T15:55:00</x:v>
      </x:c>
      <x:c r="C4724" s="39" t="str">
        <x:v>2026-08-04T16:00:00</x:v>
      </x:c>
      <x:c r="D4724" s="47" t="n">
        <x:v>5</x:v>
      </x:c>
      <x:c r="E4724" s="40" t="n">
        <x:v>12.2</x:v>
      </x:c>
      <x:c r="F4724" s="40" t="n">
        <x:v>10.199214935302734</x:v>
      </x:c>
      <x:c r="G4724" s="40" t="n">
        <x:v>12.2</x:v>
      </x:c>
      <x:c r="H4724" s="40" t="n">
        <x:f>F4724-E4724</x:f>
        <x:v>-2.000785064697265</x:v>
      </x:c>
      <x:c r="I4724" s="40" t="n">
        <x:f>ABS(H4724)</x:f>
        <x:v>2.000785064697265</x:v>
      </x:c>
      <x:c r="J4724" s="40" t="n">
        <x:f>H4724^2</x:f>
        <x:v>4.003140875115639</x:v>
      </x:c>
      <x:c r="K4724" s="40" t="n">
        <x:f>G4724-E4724</x:f>
        <x:v>0</x:v>
      </x:c>
      <x:c r="L4724" s="40" t="n">
        <x:f>ABS(K4724)</x:f>
        <x:v>0</x:v>
      </x:c>
      <x:c r="M4724" s="41" t="str">
        <x:v>lstm-soil-v1</x:v>
      </x:c>
    </x:row>
    <x:row r="4725">
      <x:c r="A4725" s="38" t="str">
        <x:v>7月30日现场数据</x:v>
      </x:c>
      <x:c r="B4725" s="39" t="str">
        <x:v>2026-08-04T15:55:00</x:v>
      </x:c>
      <x:c r="C4725" s="39" t="str">
        <x:v>2026-08-04T16:10:00</x:v>
      </x:c>
      <x:c r="D4725" s="47" t="n">
        <x:v>15</x:v>
      </x:c>
      <x:c r="E4725" s="40" t="n">
        <x:v>12.2</x:v>
      </x:c>
      <x:c r="F4725" s="40" t="n">
        <x:v>10.262073516845703</x:v>
      </x:c>
      <x:c r="G4725" s="40" t="n">
        <x:v>12.2</x:v>
      </x:c>
      <x:c r="H4725" s="40" t="n">
        <x:f>F4725-E4725</x:f>
        <x:v>-1.9379264831542962</x:v>
      </x:c>
      <x:c r="I4725" s="40" t="n">
        <x:f>ABS(H4725)</x:f>
        <x:v>1.9379264831542962</x:v>
      </x:c>
      <x:c r="J4725" s="40" t="n">
        <x:f>H4725^2</x:f>
        <x:v>3.7555590541107784</x:v>
      </x:c>
      <x:c r="K4725" s="40" t="n">
        <x:f>G4725-E4725</x:f>
        <x:v>0</x:v>
      </x:c>
      <x:c r="L4725" s="40" t="n">
        <x:f>ABS(K4725)</x:f>
        <x:v>0</x:v>
      </x:c>
      <x:c r="M4725" s="41" t="str">
        <x:v>lstm-soil-v1</x:v>
      </x:c>
    </x:row>
    <x:row r="4726">
      <x:c r="A4726" s="38" t="str">
        <x:v>7月30日现场数据</x:v>
      </x:c>
      <x:c r="B4726" s="39" t="str">
        <x:v>2026-08-04T15:55:00</x:v>
      </x:c>
      <x:c r="C4726" s="39" t="str">
        <x:v>2026-08-04T16:25:00</x:v>
      </x:c>
      <x:c r="D4726" s="47" t="n">
        <x:v>30</x:v>
      </x:c>
      <x:c r="E4726" s="40" t="n">
        <x:v>12.2</x:v>
      </x:c>
      <x:c r="F4726" s="40" t="n">
        <x:v>10.700485229492188</x:v>
      </x:c>
      <x:c r="G4726" s="40" t="n">
        <x:v>12.2</x:v>
      </x:c>
      <x:c r="H4726" s="40" t="n">
        <x:f>F4726-E4726</x:f>
        <x:v>-1.4995147705078118</x:v>
      </x:c>
      <x:c r="I4726" s="40" t="n">
        <x:f>ABS(H4726)</x:f>
        <x:v>1.4995147705078118</x:v>
      </x:c>
      <x:c r="J4726" s="40" t="n">
        <x:f>H4726^2</x:f>
        <x:v>2.2485445469710954</x:v>
      </x:c>
      <x:c r="K4726" s="40" t="n">
        <x:f>G4726-E4726</x:f>
        <x:v>0</x:v>
      </x:c>
      <x:c r="L4726" s="40" t="n">
        <x:f>ABS(K4726)</x:f>
        <x:v>0</x:v>
      </x:c>
      <x:c r="M4726" s="41" t="str">
        <x:v>lstm-soil-v1</x:v>
      </x:c>
    </x:row>
    <x:row r="4727">
      <x:c r="A4727" s="38" t="str">
        <x:v>7月30日现场数据</x:v>
      </x:c>
      <x:c r="B4727" s="39" t="str">
        <x:v>2026-08-04T15:55:00</x:v>
      </x:c>
      <x:c r="C4727" s="39" t="str">
        <x:v>2026-08-04T16:55:00</x:v>
      </x:c>
      <x:c r="D4727" s="47" t="n">
        <x:v>60</x:v>
      </x:c>
      <x:c r="E4727" s="40" t="n">
        <x:v>12</x:v>
      </x:c>
      <x:c r="F4727" s="40" t="n">
        <x:v>12.4178466796875</x:v>
      </x:c>
      <x:c r="G4727" s="40" t="n">
        <x:v>12.2</x:v>
      </x:c>
      <x:c r="H4727" s="40" t="n">
        <x:f>F4727-E4727</x:f>
        <x:v>0.4178466796875</x:v>
      </x:c>
      <x:c r="I4727" s="40" t="n">
        <x:f>ABS(H4727)</x:f>
        <x:v>0.4178466796875</x:v>
      </x:c>
      <x:c r="J4727" s="40" t="n">
        <x:f>H4727^2</x:f>
        <x:v>0.17459584772586823</x:v>
      </x:c>
      <x:c r="K4727" s="40" t="n">
        <x:f>G4727-E4727</x:f>
        <x:v>0.1999999999999993</x:v>
      </x:c>
      <x:c r="L4727" s="40" t="n">
        <x:f>ABS(K4727)</x:f>
        <x:v>0.1999999999999993</x:v>
      </x:c>
      <x:c r="M4727" s="41" t="str">
        <x:v>lstm-soil-v1</x:v>
      </x:c>
    </x:row>
    <x:row r="4728">
      <x:c r="A4728" s="38" t="str">
        <x:v>7月30日现场数据</x:v>
      </x:c>
      <x:c r="B4728" s="39" t="str">
        <x:v>2026-08-04T16:00:00</x:v>
      </x:c>
      <x:c r="C4728" s="39" t="str">
        <x:v>2026-08-04T16:05:00</x:v>
      </x:c>
      <x:c r="D4728" s="47" t="n">
        <x:v>5</x:v>
      </x:c>
      <x:c r="E4728" s="40" t="n">
        <x:v>12.2</x:v>
      </x:c>
      <x:c r="F4728" s="40" t="n">
        <x:v>10.200603485107422</x:v>
      </x:c>
      <x:c r="G4728" s="40" t="n">
        <x:v>12.2</x:v>
      </x:c>
      <x:c r="H4728" s="40" t="n">
        <x:f>F4728-E4728</x:f>
        <x:v>-1.9993965148925774</x:v>
      </x:c>
      <x:c r="I4728" s="40" t="n">
        <x:f>ABS(H4728)</x:f>
        <x:v>1.9993965148925774</x:v>
      </x:c>
      <x:c r="J4728" s="40" t="n">
        <x:f>H4728^2</x:f>
        <x:v>3.9975864237645844</x:v>
      </x:c>
      <x:c r="K4728" s="40" t="n">
        <x:f>G4728-E4728</x:f>
        <x:v>0</x:v>
      </x:c>
      <x:c r="L4728" s="40" t="n">
        <x:f>ABS(K4728)</x:f>
        <x:v>0</x:v>
      </x:c>
      <x:c r="M4728" s="41" t="str">
        <x:v>lstm-soil-v1</x:v>
      </x:c>
    </x:row>
    <x:row r="4729">
      <x:c r="A4729" s="38" t="str">
        <x:v>7月30日现场数据</x:v>
      </x:c>
      <x:c r="B4729" s="39" t="str">
        <x:v>2026-08-04T16:00:00</x:v>
      </x:c>
      <x:c r="C4729" s="39" t="str">
        <x:v>2026-08-04T16:15:00</x:v>
      </x:c>
      <x:c r="D4729" s="47" t="n">
        <x:v>15</x:v>
      </x:c>
      <x:c r="E4729" s="40" t="n">
        <x:v>12.2</x:v>
      </x:c>
      <x:c r="F4729" s="40" t="n">
        <x:v>10.26284408569336</x:v>
      </x:c>
      <x:c r="G4729" s="40" t="n">
        <x:v>12.2</x:v>
      </x:c>
      <x:c r="H4729" s="40" t="n">
        <x:f>F4729-E4729</x:f>
        <x:v>-1.93715591430664</x:v>
      </x:c>
      <x:c r="I4729" s="40" t="n">
        <x:f>ABS(H4729)</x:f>
        <x:v>1.93715591430664</x:v>
      </x:c>
      <x:c r="J4729" s="40" t="n">
        <x:f>H4729^2</x:f>
        <x:v>3.752573036333194</x:v>
      </x:c>
      <x:c r="K4729" s="40" t="n">
        <x:f>G4729-E4729</x:f>
        <x:v>0</x:v>
      </x:c>
      <x:c r="L4729" s="40" t="n">
        <x:f>ABS(K4729)</x:f>
        <x:v>0</x:v>
      </x:c>
      <x:c r="M4729" s="41" t="str">
        <x:v>lstm-soil-v1</x:v>
      </x:c>
    </x:row>
    <x:row r="4730">
      <x:c r="A4730" s="38" t="str">
        <x:v>7月30日现场数据</x:v>
      </x:c>
      <x:c r="B4730" s="39" t="str">
        <x:v>2026-08-04T16:00:00</x:v>
      </x:c>
      <x:c r="C4730" s="39" t="str">
        <x:v>2026-08-04T16:30:00</x:v>
      </x:c>
      <x:c r="D4730" s="47" t="n">
        <x:v>30</x:v>
      </x:c>
      <x:c r="E4730" s="40" t="n">
        <x:v>12.2</x:v>
      </x:c>
      <x:c r="F4730" s="40" t="n">
        <x:v>10.705738067626953</x:v>
      </x:c>
      <x:c r="G4730" s="40" t="n">
        <x:v>12.2</x:v>
      </x:c>
      <x:c r="H4730" s="40" t="n">
        <x:f>F4730-E4730</x:f>
        <x:v>-1.4942619323730462</x:v>
      </x:c>
      <x:c r="I4730" s="40" t="n">
        <x:f>ABS(H4730)</x:f>
        <x:v>1.4942619323730462</x:v>
      </x:c>
      <x:c r="J4730" s="40" t="n">
        <x:f>H4730^2</x:f>
        <x:v>2.23281872253923</x:v>
      </x:c>
      <x:c r="K4730" s="40" t="n">
        <x:f>G4730-E4730</x:f>
        <x:v>0</x:v>
      </x:c>
      <x:c r="L4730" s="40" t="n">
        <x:f>ABS(K4730)</x:f>
        <x:v>0</x:v>
      </x:c>
      <x:c r="M4730" s="41" t="str">
        <x:v>lstm-soil-v1</x:v>
      </x:c>
    </x:row>
    <x:row r="4731">
      <x:c r="A4731" s="38" t="str">
        <x:v>7月30日现场数据</x:v>
      </x:c>
      <x:c r="B4731" s="39" t="str">
        <x:v>2026-08-04T16:00:00</x:v>
      </x:c>
      <x:c r="C4731" s="39" t="str">
        <x:v>2026-08-04T17:00:00</x:v>
      </x:c>
      <x:c r="D4731" s="47" t="n">
        <x:v>60</x:v>
      </x:c>
      <x:c r="E4731" s="40" t="n">
        <x:v>12.1</x:v>
      </x:c>
      <x:c r="F4731" s="40" t="n">
        <x:v>12.41927719116211</x:v>
      </x:c>
      <x:c r="G4731" s="40" t="n">
        <x:v>12.2</x:v>
      </x:c>
      <x:c r="H4731" s="40" t="n">
        <x:f>F4731-E4731</x:f>
        <x:v>0.31927719116210973</x:v>
      </x:c>
      <x:c r="I4731" s="40" t="n">
        <x:f>ABS(H4731)</x:f>
        <x:v>0.31927719116210973</x:v>
      </x:c>
      <x:c r="J4731" s="40" t="n">
        <x:f>H4731^2</x:f>
        <x:v>0.10193792479636636</x:v>
      </x:c>
      <x:c r="K4731" s="40" t="n">
        <x:f>G4731-E4731</x:f>
        <x:v>0.09999999999999964</x:v>
      </x:c>
      <x:c r="L4731" s="40" t="n">
        <x:f>ABS(K4731)</x:f>
        <x:v>0.09999999999999964</x:v>
      </x:c>
      <x:c r="M4731" s="41" t="str">
        <x:v>lstm-soil-v1</x:v>
      </x:c>
    </x:row>
    <x:row r="4732">
      <x:c r="A4732" s="38" t="str">
        <x:v>7月30日现场数据</x:v>
      </x:c>
      <x:c r="B4732" s="39" t="str">
        <x:v>2026-08-04T16:05:00</x:v>
      </x:c>
      <x:c r="C4732" s="39" t="str">
        <x:v>2026-08-04T16:10:00</x:v>
      </x:c>
      <x:c r="D4732" s="47" t="n">
        <x:v>5</x:v>
      </x:c>
      <x:c r="E4732" s="40" t="n">
        <x:v>12.2</x:v>
      </x:c>
      <x:c r="F4732" s="40" t="n">
        <x:v>10.201774597167969</x:v>
      </x:c>
      <x:c r="G4732" s="40" t="n">
        <x:v>12.2</x:v>
      </x:c>
      <x:c r="H4732" s="40" t="n">
        <x:f>F4732-E4732</x:f>
        <x:v>-1.9982254028320305</x:v>
      </x:c>
      <x:c r="I4732" s="40" t="n">
        <x:f>ABS(H4732)</x:f>
        <x:v>1.9982254028320305</x:v>
      </x:c>
      <x:c r="J4732" s="40" t="n">
        <x:f>H4732^2</x:f>
        <x:v>3.992904760523231</x:v>
      </x:c>
      <x:c r="K4732" s="40" t="n">
        <x:f>G4732-E4732</x:f>
        <x:v>0</x:v>
      </x:c>
      <x:c r="L4732" s="40" t="n">
        <x:f>ABS(K4732)</x:f>
        <x:v>0</x:v>
      </x:c>
      <x:c r="M4732" s="41" t="str">
        <x:v>lstm-soil-v1</x:v>
      </x:c>
    </x:row>
    <x:row r="4733">
      <x:c r="A4733" s="38" t="str">
        <x:v>7月30日现场数据</x:v>
      </x:c>
      <x:c r="B4733" s="39" t="str">
        <x:v>2026-08-04T16:05:00</x:v>
      </x:c>
      <x:c r="C4733" s="39" t="str">
        <x:v>2026-08-04T16:20:00</x:v>
      </x:c>
      <x:c r="D4733" s="47" t="n">
        <x:v>15</x:v>
      </x:c>
      <x:c r="E4733" s="40" t="n">
        <x:v>12.2</x:v>
      </x:c>
      <x:c r="F4733" s="40" t="n">
        <x:v>10.263160705566406</x:v>
      </x:c>
      <x:c r="G4733" s="40" t="n">
        <x:v>12.2</x:v>
      </x:c>
      <x:c r="H4733" s="40" t="n">
        <x:f>F4733-E4733</x:f>
        <x:v>-1.936839294433593</x:v>
      </x:c>
      <x:c r="I4733" s="40" t="n">
        <x:f>ABS(H4733)</x:f>
        <x:v>1.936839294433593</x:v>
      </x:c>
      <x:c r="J4733" s="40" t="n">
        <x:f>H4733^2</x:f>
        <x:v>3.7513464524620184</x:v>
      </x:c>
      <x:c r="K4733" s="40" t="n">
        <x:f>G4733-E4733</x:f>
        <x:v>0</x:v>
      </x:c>
      <x:c r="L4733" s="40" t="n">
        <x:f>ABS(K4733)</x:f>
        <x:v>0</x:v>
      </x:c>
      <x:c r="M4733" s="41" t="str">
        <x:v>lstm-soil-v1</x:v>
      </x:c>
    </x:row>
    <x:row r="4734">
      <x:c r="A4734" s="38" t="str">
        <x:v>7月30日现场数据</x:v>
      </x:c>
      <x:c r="B4734" s="39" t="str">
        <x:v>2026-08-04T16:05:00</x:v>
      </x:c>
      <x:c r="C4734" s="39" t="str">
        <x:v>2026-08-04T16:35:00</x:v>
      </x:c>
      <x:c r="D4734" s="47" t="n">
        <x:v>30</x:v>
      </x:c>
      <x:c r="E4734" s="40" t="n">
        <x:v>12.2</x:v>
      </x:c>
      <x:c r="F4734" s="40" t="n">
        <x:v>10.707561492919922</x:v>
      </x:c>
      <x:c r="G4734" s="40" t="n">
        <x:v>12.2</x:v>
      </x:c>
      <x:c r="H4734" s="40" t="n">
        <x:f>F4734-E4734</x:f>
        <x:v>-1.4924385070800774</x:v>
      </x:c>
      <x:c r="I4734" s="40" t="n">
        <x:f>ABS(H4734)</x:f>
        <x:v>1.4924385070800774</x:v>
      </x:c>
      <x:c r="J4734" s="40" t="n">
        <x:f>H4734^2</x:f>
        <x:v>2.22737269741541</x:v>
      </x:c>
      <x:c r="K4734" s="40" t="n">
        <x:f>G4734-E4734</x:f>
        <x:v>0</x:v>
      </x:c>
      <x:c r="L4734" s="40" t="n">
        <x:f>ABS(K4734)</x:f>
        <x:v>0</x:v>
      </x:c>
      <x:c r="M4734" s="41" t="str">
        <x:v>lstm-soil-v1</x:v>
      </x:c>
    </x:row>
    <x:row r="4735">
      <x:c r="A4735" s="38" t="str">
        <x:v>7月30日现场数据</x:v>
      </x:c>
      <x:c r="B4735" s="39" t="str">
        <x:v>2026-08-04T16:05:00</x:v>
      </x:c>
      <x:c r="C4735" s="39" t="str">
        <x:v>2026-08-04T17:05:00</x:v>
      </x:c>
      <x:c r="D4735" s="47" t="n">
        <x:v>60</x:v>
      </x:c>
      <x:c r="E4735" s="40" t="n">
        <x:v>12.1</x:v>
      </x:c>
      <x:c r="F4735" s="40" t="n">
        <x:v>12.420780181884766</x:v>
      </x:c>
      <x:c r="G4735" s="40" t="n">
        <x:v>12.2</x:v>
      </x:c>
      <x:c r="H4735" s="40" t="n">
        <x:f>F4735-E4735</x:f>
        <x:v>0.320780181884766</x:v>
      </x:c>
      <x:c r="I4735" s="40" t="n">
        <x:f>ABS(H4735)</x:f>
        <x:v>0.320780181884766</x:v>
      </x:c>
      <x:c r="J4735" s="40" t="n">
        <x:f>H4735^2</x:f>
        <x:v>0.10289992509002355</x:v>
      </x:c>
      <x:c r="K4735" s="40" t="n">
        <x:f>G4735-E4735</x:f>
        <x:v>0.09999999999999964</x:v>
      </x:c>
      <x:c r="L4735" s="40" t="n">
        <x:f>ABS(K4735)</x:f>
        <x:v>0.09999999999999964</x:v>
      </x:c>
      <x:c r="M4735" s="41" t="str">
        <x:v>lstm-soil-v1</x:v>
      </x:c>
    </x:row>
    <x:row r="4736">
      <x:c r="A4736" s="38" t="str">
        <x:v>7月30日现场数据</x:v>
      </x:c>
      <x:c r="B4736" s="39" t="str">
        <x:v>2026-08-04T16:10:00</x:v>
      </x:c>
      <x:c r="C4736" s="39" t="str">
        <x:v>2026-08-04T16:15:00</x:v>
      </x:c>
      <x:c r="D4736" s="47" t="n">
        <x:v>5</x:v>
      </x:c>
      <x:c r="E4736" s="40" t="n">
        <x:v>12.2</x:v>
      </x:c>
      <x:c r="F4736" s="40" t="n">
        <x:v>10.201683044433594</x:v>
      </x:c>
      <x:c r="G4736" s="40" t="n">
        <x:v>12.2</x:v>
      </x:c>
      <x:c r="H4736" s="40" t="n">
        <x:f>F4736-E4736</x:f>
        <x:v>-1.9983169555664055</x:v>
      </x:c>
      <x:c r="I4736" s="40" t="n">
        <x:f>ABS(H4736)</x:f>
        <x:v>1.9983169555664055</x:v>
      </x:c>
      <x:c r="J4736" s="40" t="n">
        <x:f>H4736^2</x:f>
        <x:v>3.9932706549041876</x:v>
      </x:c>
      <x:c r="K4736" s="40" t="n">
        <x:f>G4736-E4736</x:f>
        <x:v>0</x:v>
      </x:c>
      <x:c r="L4736" s="40" t="n">
        <x:f>ABS(K4736)</x:f>
        <x:v>0</x:v>
      </x:c>
      <x:c r="M4736" s="41" t="str">
        <x:v>lstm-soil-v1</x:v>
      </x:c>
    </x:row>
    <x:row r="4737">
      <x:c r="A4737" s="38" t="str">
        <x:v>7月30日现场数据</x:v>
      </x:c>
      <x:c r="B4737" s="39" t="str">
        <x:v>2026-08-04T16:10:00</x:v>
      </x:c>
      <x:c r="C4737" s="39" t="str">
        <x:v>2026-08-04T16:25:00</x:v>
      </x:c>
      <x:c r="D4737" s="47" t="n">
        <x:v>15</x:v>
      </x:c>
      <x:c r="E4737" s="40" t="n">
        <x:v>12.2</x:v>
      </x:c>
      <x:c r="F4737" s="40" t="n">
        <x:v>10.264842987060547</x:v>
      </x:c>
      <x:c r="G4737" s="40" t="n">
        <x:v>12.2</x:v>
      </x:c>
      <x:c r="H4737" s="40" t="n">
        <x:f>F4737-E4737</x:f>
        <x:v>-1.9351570129394524</x:v>
      </x:c>
      <x:c r="I4737" s="40" t="n">
        <x:f>ABS(H4737)</x:f>
        <x:v>1.9351570129394524</x:v>
      </x:c>
      <x:c r="J4737" s="40" t="n">
        <x:f>H4737^2</x:f>
        <x:v>3.744832664728744</x:v>
      </x:c>
      <x:c r="K4737" s="40" t="n">
        <x:f>G4737-E4737</x:f>
        <x:v>0</x:v>
      </x:c>
      <x:c r="L4737" s="40" t="n">
        <x:f>ABS(K4737)</x:f>
        <x:v>0</x:v>
      </x:c>
      <x:c r="M4737" s="41" t="str">
        <x:v>lstm-soil-v1</x:v>
      </x:c>
    </x:row>
    <x:row r="4738">
      <x:c r="A4738" s="38" t="str">
        <x:v>7月30日现场数据</x:v>
      </x:c>
      <x:c r="B4738" s="39" t="str">
        <x:v>2026-08-04T16:10:00</x:v>
      </x:c>
      <x:c r="C4738" s="39" t="str">
        <x:v>2026-08-04T16:40:00</x:v>
      </x:c>
      <x:c r="D4738" s="47" t="n">
        <x:v>30</x:v>
      </x:c>
      <x:c r="E4738" s="40" t="n">
        <x:v>12.1</x:v>
      </x:c>
      <x:c r="F4738" s="40" t="n">
        <x:v>10.70754623413086</x:v>
      </x:c>
      <x:c r="G4738" s="40" t="n">
        <x:v>12.2</x:v>
      </x:c>
      <x:c r="H4738" s="40" t="n">
        <x:f>F4738-E4738</x:f>
        <x:v>-1.3924537658691403</x:v>
      </x:c>
      <x:c r="I4738" s="40" t="n">
        <x:f>ABS(H4738)</x:f>
        <x:v>1.3924537658691403</x:v>
      </x:c>
      <x:c r="J4738" s="40" t="n">
        <x:f>H4738^2</x:f>
        <x:v>1.9389274900831506</x:v>
      </x:c>
      <x:c r="K4738" s="40" t="n">
        <x:f>G4738-E4738</x:f>
        <x:v>0.09999999999999964</x:v>
      </x:c>
      <x:c r="L4738" s="40" t="n">
        <x:f>ABS(K4738)</x:f>
        <x:v>0.09999999999999964</x:v>
      </x:c>
      <x:c r="M4738" s="41" t="str">
        <x:v>lstm-soil-v1</x:v>
      </x:c>
    </x:row>
    <x:row r="4739">
      <x:c r="A4739" s="38" t="str">
        <x:v>7月30日现场数据</x:v>
      </x:c>
      <x:c r="B4739" s="39" t="str">
        <x:v>2026-08-04T16:10:00</x:v>
      </x:c>
      <x:c r="C4739" s="39" t="str">
        <x:v>2026-08-04T17:10:00</x:v>
      </x:c>
      <x:c r="D4739" s="47" t="n">
        <x:v>60</x:v>
      </x:c>
      <x:c r="E4739" s="40" t="n">
        <x:v>12</x:v>
      </x:c>
      <x:c r="F4739" s="40" t="n">
        <x:v>12.417961120605469</x:v>
      </x:c>
      <x:c r="G4739" s="40" t="n">
        <x:v>12.2</x:v>
      </x:c>
      <x:c r="H4739" s="40" t="n">
        <x:f>F4739-E4739</x:f>
        <x:v>0.41796112060546875</x:v>
      </x:c>
      <x:c r="I4739" s="40" t="n">
        <x:f>ABS(H4739)</x:f>
        <x:v>0.41796112060546875</x:v>
      </x:c>
      <x:c r="J4739" s="40" t="n">
        <x:f>H4739^2</x:f>
        <x:v>0.1746914983377792</x:v>
      </x:c>
      <x:c r="K4739" s="40" t="n">
        <x:f>G4739-E4739</x:f>
        <x:v>0.1999999999999993</x:v>
      </x:c>
      <x:c r="L4739" s="40" t="n">
        <x:f>ABS(K4739)</x:f>
        <x:v>0.1999999999999993</x:v>
      </x:c>
      <x:c r="M4739" s="41" t="str">
        <x:v>lstm-soil-v1</x:v>
      </x:c>
    </x:row>
    <x:row r="4740">
      <x:c r="A4740" s="38" t="str">
        <x:v>7月30日现场数据</x:v>
      </x:c>
      <x:c r="B4740" s="39" t="str">
        <x:v>2026-08-04T16:15:00</x:v>
      </x:c>
      <x:c r="C4740" s="39" t="str">
        <x:v>2026-08-04T16:20:00</x:v>
      </x:c>
      <x:c r="D4740" s="47" t="n">
        <x:v>5</x:v>
      </x:c>
      <x:c r="E4740" s="40" t="n">
        <x:v>12.2</x:v>
      </x:c>
      <x:c r="F4740" s="40" t="n">
        <x:v>10.20206069946289</x:v>
      </x:c>
      <x:c r="G4740" s="40" t="n">
        <x:v>12.2</x:v>
      </x:c>
      <x:c r="H4740" s="40" t="n">
        <x:f>F4740-E4740</x:f>
        <x:v>-1.9979393005371087</x:v>
      </x:c>
      <x:c r="I4740" s="40" t="n">
        <x:f>ABS(H4740)</x:f>
        <x:v>1.9979393005371087</x:v>
      </x:c>
      <x:c r="J4740" s="40" t="n">
        <x:f>H4740^2</x:f>
        <x:v>3.991761448630711</x:v>
      </x:c>
      <x:c r="K4740" s="40" t="n">
        <x:f>G4740-E4740</x:f>
        <x:v>0</x:v>
      </x:c>
      <x:c r="L4740" s="40" t="n">
        <x:f>ABS(K4740)</x:f>
        <x:v>0</x:v>
      </x:c>
      <x:c r="M4740" s="41" t="str">
        <x:v>lstm-soil-v1</x:v>
      </x:c>
    </x:row>
    <x:row r="4741">
      <x:c r="A4741" s="38" t="str">
        <x:v>7月30日现场数据</x:v>
      </x:c>
      <x:c r="B4741" s="39" t="str">
        <x:v>2026-08-04T16:15:00</x:v>
      </x:c>
      <x:c r="C4741" s="39" t="str">
        <x:v>2026-08-04T16:30:00</x:v>
      </x:c>
      <x:c r="D4741" s="47" t="n">
        <x:v>15</x:v>
      </x:c>
      <x:c r="E4741" s="40" t="n">
        <x:v>12.2</x:v>
      </x:c>
      <x:c r="F4741" s="40" t="n">
        <x:v>10.265380859375</x:v>
      </x:c>
      <x:c r="G4741" s="40" t="n">
        <x:v>12.2</x:v>
      </x:c>
      <x:c r="H4741" s="40" t="n">
        <x:f>F4741-E4741</x:f>
        <x:v>-1.9346191406249993</x:v>
      </x:c>
      <x:c r="I4741" s="40" t="n">
        <x:f>ABS(H4741)</x:f>
        <x:v>1.9346191406249993</x:v>
      </x:c>
      <x:c r="J4741" s="40" t="n">
        <x:f>H4741^2</x:f>
        <x:v>3.742751219272611</x:v>
      </x:c>
      <x:c r="K4741" s="40" t="n">
        <x:f>G4741-E4741</x:f>
        <x:v>0</x:v>
      </x:c>
      <x:c r="L4741" s="40" t="n">
        <x:f>ABS(K4741)</x:f>
        <x:v>0</x:v>
      </x:c>
      <x:c r="M4741" s="41" t="str">
        <x:v>lstm-soil-v1</x:v>
      </x:c>
    </x:row>
    <x:row r="4742">
      <x:c r="A4742" s="38" t="str">
        <x:v>7月30日现场数据</x:v>
      </x:c>
      <x:c r="B4742" s="39" t="str">
        <x:v>2026-08-04T16:15:00</x:v>
      </x:c>
      <x:c r="C4742" s="39" t="str">
        <x:v>2026-08-04T16:45:00</x:v>
      </x:c>
      <x:c r="D4742" s="47" t="n">
        <x:v>30</x:v>
      </x:c>
      <x:c r="E4742" s="40" t="n">
        <x:v>12.1</x:v>
      </x:c>
      <x:c r="F4742" s="40" t="n">
        <x:v>10.706954956054688</x:v>
      </x:c>
      <x:c r="G4742" s="40" t="n">
        <x:v>12.2</x:v>
      </x:c>
      <x:c r="H4742" s="40" t="n">
        <x:f>F4742-E4742</x:f>
        <x:v>-1.3930450439453121</x:v>
      </x:c>
      <x:c r="I4742" s="40" t="n">
        <x:f>ABS(H4742)</x:f>
        <x:v>1.3930450439453121</x:v>
      </x:c>
      <x:c r="J4742" s="40" t="n">
        <x:f>H4742^2</x:f>
        <x:v>1.9405744944605967</x:v>
      </x:c>
      <x:c r="K4742" s="40" t="n">
        <x:f>G4742-E4742</x:f>
        <x:v>0.09999999999999964</x:v>
      </x:c>
      <x:c r="L4742" s="40" t="n">
        <x:f>ABS(K4742)</x:f>
        <x:v>0.09999999999999964</x:v>
      </x:c>
      <x:c r="M4742" s="41" t="str">
        <x:v>lstm-soil-v1</x:v>
      </x:c>
    </x:row>
    <x:row r="4743">
      <x:c r="A4743" s="38" t="str">
        <x:v>7月30日现场数据</x:v>
      </x:c>
      <x:c r="B4743" s="39" t="str">
        <x:v>2026-08-04T16:15:00</x:v>
      </x:c>
      <x:c r="C4743" s="39" t="str">
        <x:v>2026-08-04T17:15:00</x:v>
      </x:c>
      <x:c r="D4743" s="47" t="n">
        <x:v>60</x:v>
      </x:c>
      <x:c r="E4743" s="40" t="n">
        <x:v>12</x:v>
      </x:c>
      <x:c r="F4743" s="40" t="n">
        <x:v>12.417076110839844</x:v>
      </x:c>
      <x:c r="G4743" s="40" t="n">
        <x:v>12.2</x:v>
      </x:c>
      <x:c r="H4743" s="40" t="n">
        <x:f>F4743-E4743</x:f>
        <x:v>0.41707611083984375</x:v>
      </x:c>
      <x:c r="I4743" s="40" t="n">
        <x:f>ABS(H4743)</x:f>
        <x:v>0.41707611083984375</x:v>
      </x:c>
      <x:c r="J4743" s="40" t="n">
        <x:f>H4743^2</x:f>
        <x:v>0.17395248223328963</x:v>
      </x:c>
      <x:c r="K4743" s="40" t="n">
        <x:f>G4743-E4743</x:f>
        <x:v>0.1999999999999993</x:v>
      </x:c>
      <x:c r="L4743" s="40" t="n">
        <x:f>ABS(K4743)</x:f>
        <x:v>0.1999999999999993</x:v>
      </x:c>
      <x:c r="M4743" s="41" t="str">
        <x:v>lstm-soil-v1</x:v>
      </x:c>
    </x:row>
    <x:row r="4744">
      <x:c r="A4744" s="38" t="str">
        <x:v>7月30日现场数据</x:v>
      </x:c>
      <x:c r="B4744" s="39" t="str">
        <x:v>2026-08-04T16:20:00</x:v>
      </x:c>
      <x:c r="C4744" s="39" t="str">
        <x:v>2026-08-04T16:25:00</x:v>
      </x:c>
      <x:c r="D4744" s="47" t="n">
        <x:v>5</x:v>
      </x:c>
      <x:c r="E4744" s="40" t="n">
        <x:v>12.2</x:v>
      </x:c>
      <x:c r="F4744" s="40" t="n">
        <x:v>10.2021484375</x:v>
      </x:c>
      <x:c r="G4744" s="40" t="n">
        <x:v>12.2</x:v>
      </x:c>
      <x:c r="H4744" s="40" t="n">
        <x:f>F4744-E4744</x:f>
        <x:v>-1.9978515624999993</x:v>
      </x:c>
      <x:c r="I4744" s="40" t="n">
        <x:f>ABS(H4744)</x:f>
        <x:v>1.9978515624999993</x:v>
      </x:c>
      <x:c r="J4744" s="40" t="n">
        <x:f>H4744^2</x:f>
        <x:v>3.9914108657836884</x:v>
      </x:c>
      <x:c r="K4744" s="40" t="n">
        <x:f>G4744-E4744</x:f>
        <x:v>0</x:v>
      </x:c>
      <x:c r="L4744" s="40" t="n">
        <x:f>ABS(K4744)</x:f>
        <x:v>0</x:v>
      </x:c>
      <x:c r="M4744" s="41" t="str">
        <x:v>lstm-soil-v1</x:v>
      </x:c>
    </x:row>
    <x:row r="4745">
      <x:c r="A4745" s="38" t="str">
        <x:v>7月30日现场数据</x:v>
      </x:c>
      <x:c r="B4745" s="39" t="str">
        <x:v>2026-08-04T16:20:00</x:v>
      </x:c>
      <x:c r="C4745" s="39" t="str">
        <x:v>2026-08-04T16:35:00</x:v>
      </x:c>
      <x:c r="D4745" s="47" t="n">
        <x:v>15</x:v>
      </x:c>
      <x:c r="E4745" s="40" t="n">
        <x:v>12.2</x:v>
      </x:c>
      <x:c r="F4745" s="40" t="n">
        <x:v>10.265846252441406</x:v>
      </x:c>
      <x:c r="G4745" s="40" t="n">
        <x:v>12.2</x:v>
      </x:c>
      <x:c r="H4745" s="40" t="n">
        <x:f>F4745-E4745</x:f>
        <x:v>-1.934153747558593</x:v>
      </x:c>
      <x:c r="I4745" s="40" t="n">
        <x:f>ABS(H4745)</x:f>
        <x:v>1.934153747558593</x:v>
      </x:c>
      <x:c r="J4745" s="40" t="n">
        <x:f>H4745^2</x:f>
        <x:v>3.7409507191949496</x:v>
      </x:c>
      <x:c r="K4745" s="40" t="n">
        <x:f>G4745-E4745</x:f>
        <x:v>0</x:v>
      </x:c>
      <x:c r="L4745" s="40" t="n">
        <x:f>ABS(K4745)</x:f>
        <x:v>0</x:v>
      </x:c>
      <x:c r="M4745" s="41" t="str">
        <x:v>lstm-soil-v1</x:v>
      </x:c>
    </x:row>
    <x:row r="4746">
      <x:c r="A4746" s="38" t="str">
        <x:v>7月30日现场数据</x:v>
      </x:c>
      <x:c r="B4746" s="39" t="str">
        <x:v>2026-08-04T16:20:00</x:v>
      </x:c>
      <x:c r="C4746" s="39" t="str">
        <x:v>2026-08-04T16:50:00</x:v>
      </x:c>
      <x:c r="D4746" s="47" t="n">
        <x:v>30</x:v>
      </x:c>
      <x:c r="E4746" s="40" t="n">
        <x:v>12.1</x:v>
      </x:c>
      <x:c r="F4746" s="40" t="n">
        <x:v>10.706329345703125</x:v>
      </x:c>
      <x:c r="G4746" s="40" t="n">
        <x:v>12.2</x:v>
      </x:c>
      <x:c r="H4746" s="40" t="n">
        <x:f>F4746-E4746</x:f>
        <x:v>-1.3936706542968746</x:v>
      </x:c>
      <x:c r="I4746" s="40" t="n">
        <x:f>ABS(H4746)</x:f>
        <x:v>1.3936706542968746</x:v>
      </x:c>
      <x:c r="J4746" s="40" t="n">
        <x:f>H4746^2</x:f>
        <x:v>1.9423178926482787</x:v>
      </x:c>
      <x:c r="K4746" s="40" t="n">
        <x:f>G4746-E4746</x:f>
        <x:v>0.09999999999999964</x:v>
      </x:c>
      <x:c r="L4746" s="40" t="n">
        <x:f>ABS(K4746)</x:f>
        <x:v>0.09999999999999964</x:v>
      </x:c>
      <x:c r="M4746" s="41" t="str">
        <x:v>lstm-soil-v1</x:v>
      </x:c>
    </x:row>
    <x:row r="4747">
      <x:c r="A4747" s="38" t="str">
        <x:v>7月30日现场数据</x:v>
      </x:c>
      <x:c r="B4747" s="39" t="str">
        <x:v>2026-08-04T16:20:00</x:v>
      </x:c>
      <x:c r="C4747" s="39" t="str">
        <x:v>2026-08-04T17:20:00</x:v>
      </x:c>
      <x:c r="D4747" s="47" t="n">
        <x:v>60</x:v>
      </x:c>
      <x:c r="E4747" s="40" t="n">
        <x:v>12</x:v>
      </x:c>
      <x:c r="F4747" s="40" t="n">
        <x:v>12.415534973144531</x:v>
      </x:c>
      <x:c r="G4747" s="40" t="n">
        <x:v>12.2</x:v>
      </x:c>
      <x:c r="H4747" s="40" t="n">
        <x:f>F4747-E4747</x:f>
        <x:v>0.41553497314453125</x:v>
      </x:c>
      <x:c r="I4747" s="40" t="n">
        <x:f>ABS(H4747)</x:f>
        <x:v>0.41553497314453125</x:v>
      </x:c>
      <x:c r="J4747" s="40" t="n">
        <x:f>H4747^2</x:f>
        <x:v>0.1726693139062263</x:v>
      </x:c>
      <x:c r="K4747" s="40" t="n">
        <x:f>G4747-E4747</x:f>
        <x:v>0.1999999999999993</x:v>
      </x:c>
      <x:c r="L4747" s="40" t="n">
        <x:f>ABS(K4747)</x:f>
        <x:v>0.1999999999999993</x:v>
      </x:c>
      <x:c r="M4747" s="41" t="str">
        <x:v>lstm-soil-v1</x:v>
      </x:c>
    </x:row>
    <x:row r="4748">
      <x:c r="A4748" s="38" t="str">
        <x:v>7月30日现场数据</x:v>
      </x:c>
      <x:c r="B4748" s="39" t="str">
        <x:v>2026-08-04T16:25:00</x:v>
      </x:c>
      <x:c r="C4748" s="39" t="str">
        <x:v>2026-08-04T16:30:00</x:v>
      </x:c>
      <x:c r="D4748" s="47" t="n">
        <x:v>5</x:v>
      </x:c>
      <x:c r="E4748" s="40" t="n">
        <x:v>12.2</x:v>
      </x:c>
      <x:c r="F4748" s="40" t="n">
        <x:v>10.201114654541016</x:v>
      </x:c>
      <x:c r="G4748" s="40" t="n">
        <x:v>12.2</x:v>
      </x:c>
      <x:c r="H4748" s="40" t="n">
        <x:f>F4748-E4748</x:f>
        <x:v>-1.9988853454589837</x:v>
      </x:c>
      <x:c r="I4748" s="40" t="n">
        <x:f>ABS(H4748)</x:f>
        <x:v>1.9988853454589837</x:v>
      </x:c>
      <x:c r="J4748" s="40" t="n">
        <x:f>H4748^2</x:f>
        <x:v>3.9955426242906804</x:v>
      </x:c>
      <x:c r="K4748" s="40" t="n">
        <x:f>G4748-E4748</x:f>
        <x:v>0</x:v>
      </x:c>
      <x:c r="L4748" s="40" t="n">
        <x:f>ABS(K4748)</x:f>
        <x:v>0</x:v>
      </x:c>
      <x:c r="M4748" s="41" t="str">
        <x:v>lstm-soil-v1</x:v>
      </x:c>
    </x:row>
    <x:row r="4749">
      <x:c r="A4749" s="38" t="str">
        <x:v>7月30日现场数据</x:v>
      </x:c>
      <x:c r="B4749" s="39" t="str">
        <x:v>2026-08-04T16:25:00</x:v>
      </x:c>
      <x:c r="C4749" s="39" t="str">
        <x:v>2026-08-04T16:40:00</x:v>
      </x:c>
      <x:c r="D4749" s="47" t="n">
        <x:v>15</x:v>
      </x:c>
      <x:c r="E4749" s="40" t="n">
        <x:v>12.1</x:v>
      </x:c>
      <x:c r="F4749" s="40" t="n">
        <x:v>10.26690673828125</x:v>
      </x:c>
      <x:c r="G4749" s="40" t="n">
        <x:v>12.2</x:v>
      </x:c>
      <x:c r="H4749" s="40" t="n">
        <x:f>F4749-E4749</x:f>
        <x:v>-1.8330932617187496</x:v>
      </x:c>
      <x:c r="I4749" s="40" t="n">
        <x:f>ABS(H4749)</x:f>
        <x:v>1.8330932617187496</x:v>
      </x:c>
      <x:c r="J4749" s="40" t="n">
        <x:f>H4749^2</x:f>
        <x:v>3.3602309061586846</x:v>
      </x:c>
      <x:c r="K4749" s="40" t="n">
        <x:f>G4749-E4749</x:f>
        <x:v>0.09999999999999964</x:v>
      </x:c>
      <x:c r="L4749" s="40" t="n">
        <x:f>ABS(K4749)</x:f>
        <x:v>0.09999999999999964</x:v>
      </x:c>
      <x:c r="M4749" s="41" t="str">
        <x:v>lstm-soil-v1</x:v>
      </x:c>
    </x:row>
    <x:row r="4750">
      <x:c r="A4750" s="38" t="str">
        <x:v>7月30日现场数据</x:v>
      </x:c>
      <x:c r="B4750" s="39" t="str">
        <x:v>2026-08-04T16:25:00</x:v>
      </x:c>
      <x:c r="C4750" s="39" t="str">
        <x:v>2026-08-04T16:55:00</x:v>
      </x:c>
      <x:c r="D4750" s="47" t="n">
        <x:v>30</x:v>
      </x:c>
      <x:c r="E4750" s="40" t="n">
        <x:v>12</x:v>
      </x:c>
      <x:c r="F4750" s="40" t="n">
        <x:v>10.704421997070312</x:v>
      </x:c>
      <x:c r="G4750" s="40" t="n">
        <x:v>12.2</x:v>
      </x:c>
      <x:c r="H4750" s="40" t="n">
        <x:f>F4750-E4750</x:f>
        <x:v>-1.2955780029296875</x:v>
      </x:c>
      <x:c r="I4750" s="40" t="n">
        <x:f>ABS(H4750)</x:f>
        <x:v>1.2955780029296875</x:v>
      </x:c>
      <x:c r="J4750" s="40" t="n">
        <x:f>H4750^2</x:f>
        <x:v>1.6785223616752774</x:v>
      </x:c>
      <x:c r="K4750" s="40" t="n">
        <x:f>G4750-E4750</x:f>
        <x:v>0.1999999999999993</x:v>
      </x:c>
      <x:c r="L4750" s="40" t="n">
        <x:f>ABS(K4750)</x:f>
        <x:v>0.1999999999999993</x:v>
      </x:c>
      <x:c r="M4750" s="41" t="str">
        <x:v>lstm-soil-v1</x:v>
      </x:c>
    </x:row>
    <x:row r="4751">
      <x:c r="A4751" s="38" t="str">
        <x:v>7月30日现场数据</x:v>
      </x:c>
      <x:c r="B4751" s="39" t="str">
        <x:v>2026-08-04T16:25:00</x:v>
      </x:c>
      <x:c r="C4751" s="39" t="str">
        <x:v>2026-08-04T17:25:00</x:v>
      </x:c>
      <x:c r="D4751" s="47" t="n">
        <x:v>60</x:v>
      </x:c>
      <x:c r="E4751" s="40" t="n">
        <x:v>12</x:v>
      </x:c>
      <x:c r="F4751" s="40" t="n">
        <x:v>12.411075592041016</x:v>
      </x:c>
      <x:c r="G4751" s="40" t="n">
        <x:v>12.2</x:v>
      </x:c>
      <x:c r="H4751" s="40" t="n">
        <x:f>F4751-E4751</x:f>
        <x:v>0.4110755920410156</x:v>
      </x:c>
      <x:c r="I4751" s="40" t="n">
        <x:f>ABS(H4751)</x:f>
        <x:v>0.4110755920410156</x:v>
      </x:c>
      <x:c r="J4751" s="40" t="n">
        <x:f>H4751^2</x:f>
        <x:v>0.1689831423718715</x:v>
      </x:c>
      <x:c r="K4751" s="40" t="n">
        <x:f>G4751-E4751</x:f>
        <x:v>0.1999999999999993</x:v>
      </x:c>
      <x:c r="L4751" s="40" t="n">
        <x:f>ABS(K4751)</x:f>
        <x:v>0.1999999999999993</x:v>
      </x:c>
      <x:c r="M4751" s="41" t="str">
        <x:v>lstm-soil-v1</x:v>
      </x:c>
    </x:row>
    <x:row r="4752">
      <x:c r="A4752" s="38" t="str">
        <x:v>7月30日现场数据</x:v>
      </x:c>
      <x:c r="B4752" s="39" t="str">
        <x:v>2026-08-04T16:30:00</x:v>
      </x:c>
      <x:c r="C4752" s="39" t="str">
        <x:v>2026-08-04T16:35:00</x:v>
      </x:c>
      <x:c r="D4752" s="47" t="n">
        <x:v>5</x:v>
      </x:c>
      <x:c r="E4752" s="40" t="n">
        <x:v>12.2</x:v>
      </x:c>
      <x:c r="F4752" s="40" t="n">
        <x:v>10.200260162353516</x:v>
      </x:c>
      <x:c r="G4752" s="40" t="n">
        <x:v>12.2</x:v>
      </x:c>
      <x:c r="H4752" s="40" t="n">
        <x:f>F4752-E4752</x:f>
        <x:v>-1.9997398376464837</x:v>
      </x:c>
      <x:c r="I4752" s="40" t="n">
        <x:f>ABS(H4752)</x:f>
        <x:v>1.9997398376464837</x:v>
      </x:c>
      <x:c r="J4752" s="40" t="n">
        <x:f>H4752^2</x:f>
        <x:v>3.9989594182703847</x:v>
      </x:c>
      <x:c r="K4752" s="40" t="n">
        <x:f>G4752-E4752</x:f>
        <x:v>0</x:v>
      </x:c>
      <x:c r="L4752" s="40" t="n">
        <x:f>ABS(K4752)</x:f>
        <x:v>0</x:v>
      </x:c>
      <x:c r="M4752" s="41" t="str">
        <x:v>lstm-soil-v1</x:v>
      </x:c>
    </x:row>
    <x:row r="4753">
      <x:c r="A4753" s="38" t="str">
        <x:v>7月30日现场数据</x:v>
      </x:c>
      <x:c r="B4753" s="39" t="str">
        <x:v>2026-08-04T16:30:00</x:v>
      </x:c>
      <x:c r="C4753" s="39" t="str">
        <x:v>2026-08-04T16:45:00</x:v>
      </x:c>
      <x:c r="D4753" s="47" t="n">
        <x:v>15</x:v>
      </x:c>
      <x:c r="E4753" s="40" t="n">
        <x:v>12.1</x:v>
      </x:c>
      <x:c r="F4753" s="40" t="n">
        <x:v>10.267833709716797</x:v>
      </x:c>
      <x:c r="G4753" s="40" t="n">
        <x:v>12.2</x:v>
      </x:c>
      <x:c r="H4753" s="40" t="n">
        <x:f>F4753-E4753</x:f>
        <x:v>-1.8321662902832028</x:v>
      </x:c>
      <x:c r="I4753" s="40" t="n">
        <x:f>ABS(H4753)</x:f>
        <x:v>1.8321662902832028</x:v>
      </x:c>
      <x:c r="J4753" s="40" t="n">
        <x:f>H4753^2</x:f>
        <x:v>3.356833315250113</x:v>
      </x:c>
      <x:c r="K4753" s="40" t="n">
        <x:f>G4753-E4753</x:f>
        <x:v>0.09999999999999964</x:v>
      </x:c>
      <x:c r="L4753" s="40" t="n">
        <x:f>ABS(K4753)</x:f>
        <x:v>0.09999999999999964</x:v>
      </x:c>
      <x:c r="M4753" s="41" t="str">
        <x:v>lstm-soil-v1</x:v>
      </x:c>
    </x:row>
    <x:row r="4754">
      <x:c r="A4754" s="38" t="str">
        <x:v>7月30日现场数据</x:v>
      </x:c>
      <x:c r="B4754" s="39" t="str">
        <x:v>2026-08-04T16:30:00</x:v>
      </x:c>
      <x:c r="C4754" s="39" t="str">
        <x:v>2026-08-04T17:00:00</x:v>
      </x:c>
      <x:c r="D4754" s="47" t="n">
        <x:v>30</x:v>
      </x:c>
      <x:c r="E4754" s="40" t="n">
        <x:v>12.1</x:v>
      </x:c>
      <x:c r="F4754" s="40" t="n">
        <x:v>10.7021484375</x:v>
      </x:c>
      <x:c r="G4754" s="40" t="n">
        <x:v>12.2</x:v>
      </x:c>
      <x:c r="H4754" s="40" t="n">
        <x:f>F4754-E4754</x:f>
        <x:v>-1.3978515624999996</x:v>
      </x:c>
      <x:c r="I4754" s="40" t="n">
        <x:f>ABS(H4754)</x:f>
        <x:v>1.3978515624999996</x:v>
      </x:c>
      <x:c r="J4754" s="40" t="n">
        <x:f>H4754^2</x:f>
        <x:v>1.9539889907836905</x:v>
      </x:c>
      <x:c r="K4754" s="40" t="n">
        <x:f>G4754-E4754</x:f>
        <x:v>0.09999999999999964</x:v>
      </x:c>
      <x:c r="L4754" s="40" t="n">
        <x:f>ABS(K4754)</x:f>
        <x:v>0.09999999999999964</x:v>
      </x:c>
      <x:c r="M4754" s="41" t="str">
        <x:v>lstm-soil-v1</x:v>
      </x:c>
    </x:row>
    <x:row r="4755">
      <x:c r="A4755" s="38" t="str">
        <x:v>7月30日现场数据</x:v>
      </x:c>
      <x:c r="B4755" s="39" t="str">
        <x:v>2026-08-04T16:30:00</x:v>
      </x:c>
      <x:c r="C4755" s="39" t="str">
        <x:v>2026-08-04T17:30:00</x:v>
      </x:c>
      <x:c r="D4755" s="47" t="n">
        <x:v>60</x:v>
      </x:c>
      <x:c r="E4755" s="40" t="n">
        <x:v>12</x:v>
      </x:c>
      <x:c r="F4755" s="40" t="n">
        <x:v>12.407958984375</x:v>
      </x:c>
      <x:c r="G4755" s="40" t="n">
        <x:v>12.2</x:v>
      </x:c>
      <x:c r="H4755" s="40" t="n">
        <x:f>F4755-E4755</x:f>
        <x:v>0.407958984375</x:v>
      </x:c>
      <x:c r="I4755" s="40" t="n">
        <x:f>ABS(H4755)</x:f>
        <x:v>0.407958984375</x:v>
      </x:c>
      <x:c r="J4755" s="40" t="n">
        <x:f>H4755^2</x:f>
        <x:v>0.1664305329322815</x:v>
      </x:c>
      <x:c r="K4755" s="40" t="n">
        <x:f>G4755-E4755</x:f>
        <x:v>0.1999999999999993</x:v>
      </x:c>
      <x:c r="L4755" s="40" t="n">
        <x:f>ABS(K4755)</x:f>
        <x:v>0.1999999999999993</x:v>
      </x:c>
      <x:c r="M4755" s="41" t="str">
        <x:v>lstm-soil-v1</x:v>
      </x:c>
    </x:row>
    <x:row r="4756">
      <x:c r="A4756" s="38" t="str">
        <x:v>7月30日现场数据</x:v>
      </x:c>
      <x:c r="B4756" s="39" t="str">
        <x:v>2026-08-04T16:35:00</x:v>
      </x:c>
      <x:c r="C4756" s="39" t="str">
        <x:v>2026-08-04T16:40:00</x:v>
      </x:c>
      <x:c r="D4756" s="47" t="n">
        <x:v>5</x:v>
      </x:c>
      <x:c r="E4756" s="40" t="n">
        <x:v>12.1</x:v>
      </x:c>
      <x:c r="F4756" s="40" t="n">
        <x:v>10.199363708496094</x:v>
      </x:c>
      <x:c r="G4756" s="40" t="n">
        <x:v>12.2</x:v>
      </x:c>
      <x:c r="H4756" s="40" t="n">
        <x:f>F4756-E4756</x:f>
        <x:v>-1.900636291503906</x:v>
      </x:c>
      <x:c r="I4756" s="40" t="n">
        <x:f>ABS(H4756)</x:f>
        <x:v>1.900636291503906</x:v>
      </x:c>
      <x:c r="J4756" s="40" t="n">
        <x:f>H4756^2</x:f>
        <x:v>3.6124183125817204</x:v>
      </x:c>
      <x:c r="K4756" s="40" t="n">
        <x:f>G4756-E4756</x:f>
        <x:v>0.09999999999999964</x:v>
      </x:c>
      <x:c r="L4756" s="40" t="n">
        <x:f>ABS(K4756)</x:f>
        <x:v>0.09999999999999964</x:v>
      </x:c>
      <x:c r="M4756" s="41" t="str">
        <x:v>lstm-soil-v1</x:v>
      </x:c>
    </x:row>
    <x:row r="4757">
      <x:c r="A4757" s="38" t="str">
        <x:v>7月30日现场数据</x:v>
      </x:c>
      <x:c r="B4757" s="39" t="str">
        <x:v>2026-08-04T16:35:00</x:v>
      </x:c>
      <x:c r="C4757" s="39" t="str">
        <x:v>2026-08-04T16:50:00</x:v>
      </x:c>
      <x:c r="D4757" s="47" t="n">
        <x:v>15</x:v>
      </x:c>
      <x:c r="E4757" s="40" t="n">
        <x:v>12.1</x:v>
      </x:c>
      <x:c r="F4757" s="40" t="n">
        <x:v>10.268424987792969</x:v>
      </x:c>
      <x:c r="G4757" s="40" t="n">
        <x:v>12.2</x:v>
      </x:c>
      <x:c r="H4757" s="40" t="n">
        <x:f>F4757-E4757</x:f>
        <x:v>-1.831575012207031</x:v>
      </x:c>
      <x:c r="I4757" s="40" t="n">
        <x:f>ABS(H4757)</x:f>
        <x:v>1.831575012207031</x:v>
      </x:c>
      <x:c r="J4757" s="40" t="n">
        <x:f>H4757^2</x:f>
        <x:v>3.354667025341185</x:v>
      </x:c>
      <x:c r="K4757" s="40" t="n">
        <x:f>G4757-E4757</x:f>
        <x:v>0.09999999999999964</x:v>
      </x:c>
      <x:c r="L4757" s="40" t="n">
        <x:f>ABS(K4757)</x:f>
        <x:v>0.09999999999999964</x:v>
      </x:c>
      <x:c r="M4757" s="41" t="str">
        <x:v>lstm-soil-v1</x:v>
      </x:c>
    </x:row>
    <x:row r="4758">
      <x:c r="A4758" s="38" t="str">
        <x:v>7月30日现场数据</x:v>
      </x:c>
      <x:c r="B4758" s="39" t="str">
        <x:v>2026-08-04T16:35:00</x:v>
      </x:c>
      <x:c r="C4758" s="39" t="str">
        <x:v>2026-08-04T17:05:00</x:v>
      </x:c>
      <x:c r="D4758" s="47" t="n">
        <x:v>30</x:v>
      </x:c>
      <x:c r="E4758" s="40" t="n">
        <x:v>12.1</x:v>
      </x:c>
      <x:c r="F4758" s="40" t="n">
        <x:v>10.699851989746094</x:v>
      </x:c>
      <x:c r="G4758" s="40" t="n">
        <x:v>12.2</x:v>
      </x:c>
      <x:c r="H4758" s="40" t="n">
        <x:f>F4758-E4758</x:f>
        <x:v>-1.400148010253906</x:v>
      </x:c>
      <x:c r="I4758" s="40" t="n">
        <x:f>ABS(H4758)</x:f>
        <x:v>1.400148010253906</x:v>
      </x:c>
      <x:c r="J4758" s="40" t="n">
        <x:f>H4758^2</x:f>
        <x:v>1.9604144506179717</x:v>
      </x:c>
      <x:c r="K4758" s="40" t="n">
        <x:f>G4758-E4758</x:f>
        <x:v>0.09999999999999964</x:v>
      </x:c>
      <x:c r="L4758" s="40" t="n">
        <x:f>ABS(K4758)</x:f>
        <x:v>0.09999999999999964</x:v>
      </x:c>
      <x:c r="M4758" s="41" t="str">
        <x:v>lstm-soil-v1</x:v>
      </x:c>
    </x:row>
    <x:row r="4759">
      <x:c r="A4759" s="38" t="str">
        <x:v>7月30日现场数据</x:v>
      </x:c>
      <x:c r="B4759" s="39" t="str">
        <x:v>2026-08-04T16:35:00</x:v>
      </x:c>
      <x:c r="C4759" s="39" t="str">
        <x:v>2026-08-04T17:35:00</x:v>
      </x:c>
      <x:c r="D4759" s="47" t="n">
        <x:v>60</x:v>
      </x:c>
      <x:c r="E4759" s="40" t="n">
        <x:v>12</x:v>
      </x:c>
      <x:c r="F4759" s="40" t="n">
        <x:v>12.403514862060547</x:v>
      </x:c>
      <x:c r="G4759" s="40" t="n">
        <x:v>12.2</x:v>
      </x:c>
      <x:c r="H4759" s="40" t="n">
        <x:f>F4759-E4759</x:f>
        <x:v>0.4035148620605469</x:v>
      </x:c>
      <x:c r="I4759" s="40" t="n">
        <x:f>ABS(H4759)</x:f>
        <x:v>0.4035148620605469</x:v>
      </x:c>
      <x:c r="J4759" s="40" t="n">
        <x:f>H4759^2</x:f>
        <x:v>0.16282424390374217</x:v>
      </x:c>
      <x:c r="K4759" s="40" t="n">
        <x:f>G4759-E4759</x:f>
        <x:v>0.1999999999999993</x:v>
      </x:c>
      <x:c r="L4759" s="40" t="n">
        <x:f>ABS(K4759)</x:f>
        <x:v>0.1999999999999993</x:v>
      </x:c>
      <x:c r="M4759" s="41" t="str">
        <x:v>lstm-soil-v1</x:v>
      </x:c>
    </x:row>
    <x:row r="4760">
      <x:c r="A4760" s="38" t="str">
        <x:v>7月30日现场数据</x:v>
      </x:c>
      <x:c r="B4760" s="39" t="str">
        <x:v>2026-08-04T16:40:00</x:v>
      </x:c>
      <x:c r="C4760" s="39" t="str">
        <x:v>2026-08-04T16:45:00</x:v>
      </x:c>
      <x:c r="D4760" s="47" t="n">
        <x:v>5</x:v>
      </x:c>
      <x:c r="E4760" s="40" t="n">
        <x:v>12.1</x:v>
      </x:c>
      <x:c r="F4760" s="40" t="n">
        <x:v>10.089332580566406</x:v>
      </x:c>
      <x:c r="G4760" s="40" t="n">
        <x:v>12.1</x:v>
      </x:c>
      <x:c r="H4760" s="40" t="n">
        <x:f>F4760-E4760</x:f>
        <x:v>-2.0106674194335934</x:v>
      </x:c>
      <x:c r="I4760" s="40" t="n">
        <x:f>ABS(H4760)</x:f>
        <x:v>2.0106674194335934</x:v>
      </x:c>
      <x:c r="J4760" s="40" t="n">
        <x:f>H4760^2</x:f>
        <x:v>4.042783471571746</x:v>
      </x:c>
      <x:c r="K4760" s="40" t="n">
        <x:f>G4760-E4760</x:f>
        <x:v>0</x:v>
      </x:c>
      <x:c r="L4760" s="40" t="n">
        <x:f>ABS(K4760)</x:f>
        <x:v>0</x:v>
      </x:c>
      <x:c r="M4760" s="41" t="str">
        <x:v>lstm-soil-v1</x:v>
      </x:c>
    </x:row>
    <x:row r="4761">
      <x:c r="A4761" s="38" t="str">
        <x:v>7月30日现场数据</x:v>
      </x:c>
      <x:c r="B4761" s="39" t="str">
        <x:v>2026-08-04T16:40:00</x:v>
      </x:c>
      <x:c r="C4761" s="39" t="str">
        <x:v>2026-08-04T16:55:00</x:v>
      </x:c>
      <x:c r="D4761" s="47" t="n">
        <x:v>15</x:v>
      </x:c>
      <x:c r="E4761" s="40" t="n">
        <x:v>12</x:v>
      </x:c>
      <x:c r="F4761" s="40" t="n">
        <x:v>10.158775329589844</x:v>
      </x:c>
      <x:c r="G4761" s="40" t="n">
        <x:v>12.1</x:v>
      </x:c>
      <x:c r="H4761" s="40" t="n">
        <x:f>F4761-E4761</x:f>
        <x:v>-1.8412246704101562</x:v>
      </x:c>
      <x:c r="I4761" s="40" t="n">
        <x:f>ABS(H4761)</x:f>
        <x:v>1.8412246704101562</x:v>
      </x:c>
      <x:c r="J4761" s="40" t="n">
        <x:f>H4761^2</x:f>
        <x:v>3.3901082869269885</x:v>
      </x:c>
      <x:c r="K4761" s="40" t="n">
        <x:f>G4761-E4761</x:f>
        <x:v>0.09999999999999964</x:v>
      </x:c>
      <x:c r="L4761" s="40" t="n">
        <x:f>ABS(K4761)</x:f>
        <x:v>0.09999999999999964</x:v>
      </x:c>
      <x:c r="M4761" s="41" t="str">
        <x:v>lstm-soil-v1</x:v>
      </x:c>
    </x:row>
    <x:row r="4762">
      <x:c r="A4762" s="38" t="str">
        <x:v>7月30日现场数据</x:v>
      </x:c>
      <x:c r="B4762" s="39" t="str">
        <x:v>2026-08-04T16:40:00</x:v>
      </x:c>
      <x:c r="C4762" s="39" t="str">
        <x:v>2026-08-04T17:10:00</x:v>
      </x:c>
      <x:c r="D4762" s="47" t="n">
        <x:v>30</x:v>
      </x:c>
      <x:c r="E4762" s="40" t="n">
        <x:v>12</x:v>
      </x:c>
      <x:c r="F4762" s="40" t="n">
        <x:v>10.588871002197266</x:v>
      </x:c>
      <x:c r="G4762" s="40" t="n">
        <x:v>12.1</x:v>
      </x:c>
      <x:c r="H4762" s="40" t="n">
        <x:f>F4762-E4762</x:f>
        <x:v>-1.4111289978027344</x:v>
      </x:c>
      <x:c r="I4762" s="40" t="n">
        <x:f>ABS(H4762)</x:f>
        <x:v>1.4111289978027344</x:v>
      </x:c>
      <x:c r="J4762" s="40" t="n">
        <x:f>H4762^2</x:f>
        <x:v>1.9912850484397495</x:v>
      </x:c>
      <x:c r="K4762" s="40" t="n">
        <x:f>G4762-E4762</x:f>
        <x:v>0.09999999999999964</x:v>
      </x:c>
      <x:c r="L4762" s="40" t="n">
        <x:f>ABS(K4762)</x:f>
        <x:v>0.09999999999999964</x:v>
      </x:c>
      <x:c r="M4762" s="41" t="str">
        <x:v>lstm-soil-v1</x:v>
      </x:c>
    </x:row>
    <x:row r="4763">
      <x:c r="A4763" s="38" t="str">
        <x:v>7月30日现场数据</x:v>
      </x:c>
      <x:c r="B4763" s="39" t="str">
        <x:v>2026-08-04T16:40:00</x:v>
      </x:c>
      <x:c r="C4763" s="39" t="str">
        <x:v>2026-08-04T17:40:00</x:v>
      </x:c>
      <x:c r="D4763" s="47" t="n">
        <x:v>60</x:v>
      </x:c>
      <x:c r="E4763" s="40" t="n">
        <x:v>12</x:v>
      </x:c>
      <x:c r="F4763" s="40" t="n">
        <x:v>12.290809631347656</x:v>
      </x:c>
      <x:c r="G4763" s="40" t="n">
        <x:v>12.1</x:v>
      </x:c>
      <x:c r="H4763" s="40" t="n">
        <x:f>F4763-E4763</x:f>
        <x:v>0.29080963134765625</x:v>
      </x:c>
      <x:c r="I4763" s="40" t="n">
        <x:f>ABS(H4763)</x:f>
        <x:v>0.29080963134765625</x:v>
      </x:c>
      <x:c r="J4763" s="40" t="n">
        <x:f>H4763^2</x:f>
        <x:v>0.08457024168455973</x:v>
      </x:c>
      <x:c r="K4763" s="40" t="n">
        <x:f>G4763-E4763</x:f>
        <x:v>0.09999999999999964</x:v>
      </x:c>
      <x:c r="L4763" s="40" t="n">
        <x:f>ABS(K4763)</x:f>
        <x:v>0.09999999999999964</x:v>
      </x:c>
      <x:c r="M4763" s="41" t="str">
        <x:v>lstm-soil-v1</x:v>
      </x:c>
    </x:row>
    <x:row r="4764">
      <x:c r="A4764" s="38" t="str">
        <x:v>7月30日现场数据</x:v>
      </x:c>
      <x:c r="B4764" s="39" t="str">
        <x:v>2026-08-04T16:45:00</x:v>
      </x:c>
      <x:c r="C4764" s="39" t="str">
        <x:v>2026-08-04T16:50:00</x:v>
      </x:c>
      <x:c r="D4764" s="47" t="n">
        <x:v>5</x:v>
      </x:c>
      <x:c r="E4764" s="40" t="n">
        <x:v>12.1</x:v>
      </x:c>
      <x:c r="F4764" s="40" t="n">
        <x:v>10.089176177978516</x:v>
      </x:c>
      <x:c r="G4764" s="40" t="n">
        <x:v>12.1</x:v>
      </x:c>
      <x:c r="H4764" s="40" t="n">
        <x:f>F4764-E4764</x:f>
        <x:v>-2.010823822021484</x:v>
      </x:c>
      <x:c r="I4764" s="40" t="n">
        <x:f>ABS(H4764)</x:f>
        <x:v>2.010823822021484</x:v>
      </x:c>
      <x:c r="J4764" s="40" t="n">
        <x:f>H4764^2</x:f>
        <x:v>4.043412443209089</x:v>
      </x:c>
      <x:c r="K4764" s="40" t="n">
        <x:f>G4764-E4764</x:f>
        <x:v>0</x:v>
      </x:c>
      <x:c r="L4764" s="40" t="n">
        <x:f>ABS(K4764)</x:f>
        <x:v>0</x:v>
      </x:c>
      <x:c r="M4764" s="41" t="str">
        <x:v>lstm-soil-v1</x:v>
      </x:c>
    </x:row>
    <x:row r="4765">
      <x:c r="A4765" s="38" t="str">
        <x:v>7月30日现场数据</x:v>
      </x:c>
      <x:c r="B4765" s="39" t="str">
        <x:v>2026-08-04T16:45:00</x:v>
      </x:c>
      <x:c r="C4765" s="39" t="str">
        <x:v>2026-08-04T17:00:00</x:v>
      </x:c>
      <x:c r="D4765" s="47" t="n">
        <x:v>15</x:v>
      </x:c>
      <x:c r="E4765" s="40" t="n">
        <x:v>12.1</x:v>
      </x:c>
      <x:c r="F4765" s="40" t="n">
        <x:v>10.158866882324219</x:v>
      </x:c>
      <x:c r="G4765" s="40" t="n">
        <x:v>12.1</x:v>
      </x:c>
      <x:c r="H4765" s="40" t="n">
        <x:f>F4765-E4765</x:f>
        <x:v>-1.941133117675781</x:v>
      </x:c>
      <x:c r="I4765" s="40" t="n">
        <x:f>ABS(H4765)</x:f>
        <x:v>1.941133117675781</x:v>
      </x:c>
      <x:c r="J4765" s="40" t="n">
        <x:f>H4765^2</x:f>
        <x:v>3.767997780537697</x:v>
      </x:c>
      <x:c r="K4765" s="40" t="n">
        <x:f>G4765-E4765</x:f>
        <x:v>0</x:v>
      </x:c>
      <x:c r="L4765" s="40" t="n">
        <x:f>ABS(K4765)</x:f>
        <x:v>0</x:v>
      </x:c>
      <x:c r="M4765" s="41" t="str">
        <x:v>lstm-soil-v1</x:v>
      </x:c>
    </x:row>
    <x:row r="4766">
      <x:c r="A4766" s="38" t="str">
        <x:v>7月30日现场数据</x:v>
      </x:c>
      <x:c r="B4766" s="39" t="str">
        <x:v>2026-08-04T16:45:00</x:v>
      </x:c>
      <x:c r="C4766" s="39" t="str">
        <x:v>2026-08-04T17:15:00</x:v>
      </x:c>
      <x:c r="D4766" s="47" t="n">
        <x:v>30</x:v>
      </x:c>
      <x:c r="E4766" s="40" t="n">
        <x:v>12</x:v>
      </x:c>
      <x:c r="F4766" s="40" t="n">
        <x:v>10.58780288696289</x:v>
      </x:c>
      <x:c r="G4766" s="40" t="n">
        <x:v>12.1</x:v>
      </x:c>
      <x:c r="H4766" s="40" t="n">
        <x:f>F4766-E4766</x:f>
        <x:v>-1.4121971130371094</x:v>
      </x:c>
      <x:c r="I4766" s="40" t="n">
        <x:f>ABS(H4766)</x:f>
        <x:v>1.4121971130371094</x:v>
      </x:c>
      <x:c r="J4766" s="40" t="n">
        <x:f>H4766^2</x:f>
        <x:v>1.9943006860703463</x:v>
      </x:c>
      <x:c r="K4766" s="40" t="n">
        <x:f>G4766-E4766</x:f>
        <x:v>0.09999999999999964</x:v>
      </x:c>
      <x:c r="L4766" s="40" t="n">
        <x:f>ABS(K4766)</x:f>
        <x:v>0.09999999999999964</x:v>
      </x:c>
      <x:c r="M4766" s="41" t="str">
        <x:v>lstm-soil-v1</x:v>
      </x:c>
    </x:row>
    <x:row r="4767">
      <x:c r="A4767" s="38" t="str">
        <x:v>7月30日现场数据</x:v>
      </x:c>
      <x:c r="B4767" s="39" t="str">
        <x:v>2026-08-04T16:45:00</x:v>
      </x:c>
      <x:c r="C4767" s="39" t="str">
        <x:v>2026-08-04T17:45:00</x:v>
      </x:c>
      <x:c r="D4767" s="47" t="n">
        <x:v>60</x:v>
      </x:c>
      <x:c r="E4767" s="40" t="n">
        <x:v>12</x:v>
      </x:c>
      <x:c r="F4767" s="40" t="n">
        <x:v>12.288806915283203</x:v>
      </x:c>
      <x:c r="G4767" s="40" t="n">
        <x:v>12.1</x:v>
      </x:c>
      <x:c r="H4767" s="40" t="n">
        <x:f>F4767-E4767</x:f>
        <x:v>0.2888069152832031</x:v>
      </x:c>
      <x:c r="I4767" s="40" t="n">
        <x:f>ABS(H4767)</x:f>
        <x:v>0.2888069152832031</x:v>
      </x:c>
      <x:c r="J4767" s="40" t="n">
        <x:f>H4767^2</x:f>
        <x:v>0.08340943431539927</x:v>
      </x:c>
      <x:c r="K4767" s="40" t="n">
        <x:f>G4767-E4767</x:f>
        <x:v>0.09999999999999964</x:v>
      </x:c>
      <x:c r="L4767" s="40" t="n">
        <x:f>ABS(K4767)</x:f>
        <x:v>0.09999999999999964</x:v>
      </x:c>
      <x:c r="M4767" s="41" t="str">
        <x:v>lstm-soil-v1</x:v>
      </x:c>
    </x:row>
    <x:row r="4768">
      <x:c r="A4768" s="38" t="str">
        <x:v>7月30日现场数据</x:v>
      </x:c>
      <x:c r="B4768" s="39" t="str">
        <x:v>2026-08-04T16:50:00</x:v>
      </x:c>
      <x:c r="C4768" s="39" t="str">
        <x:v>2026-08-04T16:55:00</x:v>
      </x:c>
      <x:c r="D4768" s="47" t="n">
        <x:v>5</x:v>
      </x:c>
      <x:c r="E4768" s="40" t="n">
        <x:v>12</x:v>
      </x:c>
      <x:c r="F4768" s="40" t="n">
        <x:v>10.088813781738281</x:v>
      </x:c>
      <x:c r="G4768" s="40" t="n">
        <x:v>12.1</x:v>
      </x:c>
      <x:c r="H4768" s="40" t="n">
        <x:f>F4768-E4768</x:f>
        <x:v>-1.9111862182617188</x:v>
      </x:c>
      <x:c r="I4768" s="40" t="n">
        <x:f>ABS(H4768)</x:f>
        <x:v>1.9111862182617188</x:v>
      </x:c>
      <x:c r="J4768" s="40" t="n">
        <x:f>H4768^2</x:f>
        <x:v>3.65263276087353</x:v>
      </x:c>
      <x:c r="K4768" s="40" t="n">
        <x:f>G4768-E4768</x:f>
        <x:v>0.09999999999999964</x:v>
      </x:c>
      <x:c r="L4768" s="40" t="n">
        <x:f>ABS(K4768)</x:f>
        <x:v>0.09999999999999964</x:v>
      </x:c>
      <x:c r="M4768" s="41" t="str">
        <x:v>lstm-soil-v1</x:v>
      </x:c>
    </x:row>
    <x:row r="4769">
      <x:c r="A4769" s="38" t="str">
        <x:v>7月30日现场数据</x:v>
      </x:c>
      <x:c r="B4769" s="39" t="str">
        <x:v>2026-08-04T16:50:00</x:v>
      </x:c>
      <x:c r="C4769" s="39" t="str">
        <x:v>2026-08-04T17:05:00</x:v>
      </x:c>
      <x:c r="D4769" s="47" t="n">
        <x:v>15</x:v>
      </x:c>
      <x:c r="E4769" s="40" t="n">
        <x:v>12.1</x:v>
      </x:c>
      <x:c r="F4769" s="40" t="n">
        <x:v>10.159530639648438</x:v>
      </x:c>
      <x:c r="G4769" s="40" t="n">
        <x:v>12.1</x:v>
      </x:c>
      <x:c r="H4769" s="40" t="n">
        <x:f>F4769-E4769</x:f>
        <x:v>-1.9404693603515621</x:v>
      </x:c>
      <x:c r="I4769" s="40" t="n">
        <x:f>ABS(H4769)</x:f>
        <x:v>1.9404693603515621</x:v>
      </x:c>
      <x:c r="J4769" s="40" t="n">
        <x:f>H4769^2</x:f>
        <x:v>3.765421338463201</x:v>
      </x:c>
      <x:c r="K4769" s="40" t="n">
        <x:f>G4769-E4769</x:f>
        <x:v>0</x:v>
      </x:c>
      <x:c r="L4769" s="40" t="n">
        <x:f>ABS(K4769)</x:f>
        <x:v>0</x:v>
      </x:c>
      <x:c r="M4769" s="41" t="str">
        <x:v>lstm-soil-v1</x:v>
      </x:c>
    </x:row>
    <x:row r="4770">
      <x:c r="A4770" s="38" t="str">
        <x:v>7月30日现场数据</x:v>
      </x:c>
      <x:c r="B4770" s="39" t="str">
        <x:v>2026-08-04T16:50:00</x:v>
      </x:c>
      <x:c r="C4770" s="39" t="str">
        <x:v>2026-08-04T17:20:00</x:v>
      </x:c>
      <x:c r="D4770" s="47" t="n">
        <x:v>30</x:v>
      </x:c>
      <x:c r="E4770" s="40" t="n">
        <x:v>12</x:v>
      </x:c>
      <x:c r="F4770" s="40" t="n">
        <x:v>10.586620330810547</x:v>
      </x:c>
      <x:c r="G4770" s="40" t="n">
        <x:v>12.1</x:v>
      </x:c>
      <x:c r="H4770" s="40" t="n">
        <x:f>F4770-E4770</x:f>
        <x:v>-1.4133796691894531</x:v>
      </x:c>
      <x:c r="I4770" s="40" t="n">
        <x:f>ABS(H4770)</x:f>
        <x:v>1.4133796691894531</x:v>
      </x:c>
      <x:c r="J4770" s="40" t="n">
        <x:f>H4770^2</x:f>
        <x:v>1.997642089278088</x:v>
      </x:c>
      <x:c r="K4770" s="40" t="n">
        <x:f>G4770-E4770</x:f>
        <x:v>0.09999999999999964</x:v>
      </x:c>
      <x:c r="L4770" s="40" t="n">
        <x:f>ABS(K4770)</x:f>
        <x:v>0.09999999999999964</x:v>
      </x:c>
      <x:c r="M4770" s="41" t="str">
        <x:v>lstm-soil-v1</x:v>
      </x:c>
    </x:row>
    <x:row r="4771">
      <x:c r="A4771" s="38" t="str">
        <x:v>7月30日现场数据</x:v>
      </x:c>
      <x:c r="B4771" s="39" t="str">
        <x:v>2026-08-04T16:50:00</x:v>
      </x:c>
      <x:c r="C4771" s="39" t="str">
        <x:v>2026-08-04T17:50:00</x:v>
      </x:c>
      <x:c r="D4771" s="47" t="n">
        <x:v>60</x:v>
      </x:c>
      <x:c r="E4771" s="40" t="n">
        <x:v>12</x:v>
      </x:c>
      <x:c r="F4771" s="40" t="n">
        <x:v>12.289424896240234</x:v>
      </x:c>
      <x:c r="G4771" s="40" t="n">
        <x:v>12.1</x:v>
      </x:c>
      <x:c r="H4771" s="40" t="n">
        <x:f>F4771-E4771</x:f>
        <x:v>0.2894248962402344</x:v>
      </x:c>
      <x:c r="I4771" s="40" t="n">
        <x:f>ABS(H4771)</x:f>
        <x:v>0.2894248962402344</x:v>
      </x:c>
      <x:c r="J4771" s="40" t="n">
        <x:f>H4771^2</x:f>
        <x:v>0.08376677056367043</x:v>
      </x:c>
      <x:c r="K4771" s="40" t="n">
        <x:f>G4771-E4771</x:f>
        <x:v>0.09999999999999964</x:v>
      </x:c>
      <x:c r="L4771" s="40" t="n">
        <x:f>ABS(K4771)</x:f>
        <x:v>0.09999999999999964</x:v>
      </x:c>
      <x:c r="M4771" s="41" t="str">
        <x:v>lstm-soil-v1</x:v>
      </x:c>
    </x:row>
    <x:row r="4772">
      <x:c r="A4772" s="38" t="str">
        <x:v>7月30日现场数据</x:v>
      </x:c>
      <x:c r="B4772" s="39" t="str">
        <x:v>2026-08-04T16:55:00</x:v>
      </x:c>
      <x:c r="C4772" s="39" t="str">
        <x:v>2026-08-04T17:00:00</x:v>
      </x:c>
      <x:c r="D4772" s="47" t="n">
        <x:v>5</x:v>
      </x:c>
      <x:c r="E4772" s="40" t="n">
        <x:v>12.1</x:v>
      </x:c>
      <x:c r="F4772" s="40" t="n">
        <x:v>9.976356506347656</x:v>
      </x:c>
      <x:c r="G4772" s="40" t="n">
        <x:v>12</x:v>
      </x:c>
      <x:c r="H4772" s="40" t="n">
        <x:f>F4772-E4772</x:f>
        <x:v>-2.1236434936523434</x:v>
      </x:c>
      <x:c r="I4772" s="40" t="n">
        <x:f>ABS(H4772)</x:f>
        <x:v>2.1236434936523434</x:v>
      </x:c>
      <x:c r="J4772" s="40" t="n">
        <x:f>H4772^2</x:f>
        <x:v>4.509861688131931</x:v>
      </x:c>
      <x:c r="K4772" s="40" t="n">
        <x:f>G4772-E4772</x:f>
        <x:v>-0.09999999999999964</x:v>
      </x:c>
      <x:c r="L4772" s="40" t="n">
        <x:f>ABS(K4772)</x:f>
        <x:v>0.09999999999999964</x:v>
      </x:c>
      <x:c r="M4772" s="41" t="str">
        <x:v>lstm-soil-v1</x:v>
      </x:c>
    </x:row>
    <x:row r="4773">
      <x:c r="A4773" s="38" t="str">
        <x:v>7月30日现场数据</x:v>
      </x:c>
      <x:c r="B4773" s="39" t="str">
        <x:v>2026-08-04T16:55:00</x:v>
      </x:c>
      <x:c r="C4773" s="39" t="str">
        <x:v>2026-08-04T17:10:00</x:v>
      </x:c>
      <x:c r="D4773" s="47" t="n">
        <x:v>15</x:v>
      </x:c>
      <x:c r="E4773" s="40" t="n">
        <x:v>12</x:v>
      </x:c>
      <x:c r="F4773" s="40" t="n">
        <x:v>10.048095703125</x:v>
      </x:c>
      <x:c r="G4773" s="40" t="n">
        <x:v>12</x:v>
      </x:c>
      <x:c r="H4773" s="40" t="n">
        <x:f>F4773-E4773</x:f>
        <x:v>-1.951904296875</x:v>
      </x:c>
      <x:c r="I4773" s="40" t="n">
        <x:f>ABS(H4773)</x:f>
        <x:v>1.951904296875</x:v>
      </x:c>
      <x:c r="J4773" s="40" t="n">
        <x:f>H4773^2</x:f>
        <x:v>3.809930384159088</x:v>
      </x:c>
      <x:c r="K4773" s="40" t="n">
        <x:f>G4773-E4773</x:f>
        <x:v>0</x:v>
      </x:c>
      <x:c r="L4773" s="40" t="n">
        <x:f>ABS(K4773)</x:f>
        <x:v>0</x:v>
      </x:c>
      <x:c r="M4773" s="41" t="str">
        <x:v>lstm-soil-v1</x:v>
      </x:c>
    </x:row>
    <x:row r="4774">
      <x:c r="A4774" s="38" t="str">
        <x:v>7月30日现场数据</x:v>
      </x:c>
      <x:c r="B4774" s="39" t="str">
        <x:v>2026-08-04T16:55:00</x:v>
      </x:c>
      <x:c r="C4774" s="39" t="str">
        <x:v>2026-08-04T17:25:00</x:v>
      </x:c>
      <x:c r="D4774" s="47" t="n">
        <x:v>30</x:v>
      </x:c>
      <x:c r="E4774" s="40" t="n">
        <x:v>12</x:v>
      </x:c>
      <x:c r="F4774" s="40" t="n">
        <x:v>10.47311019897461</x:v>
      </x:c>
      <x:c r="G4774" s="40" t="n">
        <x:v>12</x:v>
      </x:c>
      <x:c r="H4774" s="40" t="n">
        <x:f>F4774-E4774</x:f>
        <x:v>-1.5268898010253906</x:v>
      </x:c>
      <x:c r="I4774" s="40" t="n">
        <x:f>ABS(H4774)</x:f>
        <x:v>1.5268898010253906</x:v>
      </x:c>
      <x:c r="J4774" s="40" t="n">
        <x:f>H4774^2</x:f>
        <x:v>2.331392464475357</x:v>
      </x:c>
      <x:c r="K4774" s="40" t="n">
        <x:f>G4774-E4774</x:f>
        <x:v>0</x:v>
      </x:c>
      <x:c r="L4774" s="40" t="n">
        <x:f>ABS(K4774)</x:f>
        <x:v>0</x:v>
      </x:c>
      <x:c r="M4774" s="41" t="str">
        <x:v>lstm-soil-v1</x:v>
      </x:c>
    </x:row>
    <x:row r="4775">
      <x:c r="A4775" s="38" t="str">
        <x:v>7月30日现场数据</x:v>
      </x:c>
      <x:c r="B4775" s="39" t="str">
        <x:v>2026-08-04T16:55:00</x:v>
      </x:c>
      <x:c r="C4775" s="39" t="str">
        <x:v>2026-08-04T17:55:00</x:v>
      </x:c>
      <x:c r="D4775" s="47" t="n">
        <x:v>60</x:v>
      </x:c>
      <x:c r="E4775" s="40" t="n">
        <x:v>12</x:v>
      </x:c>
      <x:c r="F4775" s="40" t="n">
        <x:v>12.174739837646484</x:v>
      </x:c>
      <x:c r="G4775" s="40" t="n">
        <x:v>12</x:v>
      </x:c>
      <x:c r="H4775" s="40" t="n">
        <x:f>F4775-E4775</x:f>
        <x:v>0.17473983764648438</x:v>
      </x:c>
      <x:c r="I4775" s="40" t="n">
        <x:f>ABS(H4775)</x:f>
        <x:v>0.17473983764648438</x:v>
      </x:c>
      <x:c r="J4775" s="40" t="n">
        <x:f>H4775^2</x:f>
        <x:v>0.030534010860719718</x:v>
      </x:c>
      <x:c r="K4775" s="40" t="n">
        <x:f>G4775-E4775</x:f>
        <x:v>0</x:v>
      </x:c>
      <x:c r="L4775" s="40" t="n">
        <x:f>ABS(K4775)</x:f>
        <x:v>0</x:v>
      </x:c>
      <x:c r="M4775" s="41" t="str">
        <x:v>lstm-soil-v1</x:v>
      </x:c>
    </x:row>
    <x:row r="4776">
      <x:c r="A4776" s="38" t="str">
        <x:v>7月30日现场数据</x:v>
      </x:c>
      <x:c r="B4776" s="39" t="str">
        <x:v>2026-08-04T17:00:00</x:v>
      </x:c>
      <x:c r="C4776" s="39" t="str">
        <x:v>2026-08-04T17:05:00</x:v>
      </x:c>
      <x:c r="D4776" s="47" t="n">
        <x:v>5</x:v>
      </x:c>
      <x:c r="E4776" s="40" t="n">
        <x:v>12.1</x:v>
      </x:c>
      <x:c r="F4776" s="40" t="n">
        <x:v>10.086074829101562</x:v>
      </x:c>
      <x:c r="G4776" s="40" t="n">
        <x:v>12.1</x:v>
      </x:c>
      <x:c r="H4776" s="40" t="n">
        <x:f>F4776-E4776</x:f>
        <x:v>-2.013925170898437</x:v>
      </x:c>
      <x:c r="I4776" s="40" t="n">
        <x:f>ABS(H4776)</x:f>
        <x:v>2.013925170898437</x:v>
      </x:c>
      <x:c r="J4776" s="40" t="n">
        <x:f>H4776^2</x:f>
        <x:v>4.055894593978299</x:v>
      </x:c>
      <x:c r="K4776" s="40" t="n">
        <x:f>G4776-E4776</x:f>
        <x:v>0</x:v>
      </x:c>
      <x:c r="L4776" s="40" t="n">
        <x:f>ABS(K4776)</x:f>
        <x:v>0</x:v>
      </x:c>
      <x:c r="M4776" s="41" t="str">
        <x:v>lstm-soil-v1</x:v>
      </x:c>
    </x:row>
    <x:row r="4777">
      <x:c r="A4777" s="38" t="str">
        <x:v>7月30日现场数据</x:v>
      </x:c>
      <x:c r="B4777" s="39" t="str">
        <x:v>2026-08-04T17:00:00</x:v>
      </x:c>
      <x:c r="C4777" s="39" t="str">
        <x:v>2026-08-04T17:15:00</x:v>
      </x:c>
      <x:c r="D4777" s="47" t="n">
        <x:v>15</x:v>
      </x:c>
      <x:c r="E4777" s="40" t="n">
        <x:v>12</x:v>
      </x:c>
      <x:c r="F4777" s="40" t="n">
        <x:v>10.157386779785156</x:v>
      </x:c>
      <x:c r="G4777" s="40" t="n">
        <x:v>12.1</x:v>
      </x:c>
      <x:c r="H4777" s="40" t="n">
        <x:f>F4777-E4777</x:f>
        <x:v>-1.8426132202148438</x:v>
      </x:c>
      <x:c r="I4777" s="40" t="n">
        <x:f>ABS(H4777)</x:f>
        <x:v>1.8426132202148438</x:v>
      </x:c>
      <x:c r="J4777" s="40" t="n">
        <x:f>H4777^2</x:f>
        <x:v>3.3952234793105163</x:v>
      </x:c>
      <x:c r="K4777" s="40" t="n">
        <x:f>G4777-E4777</x:f>
        <x:v>0.09999999999999964</x:v>
      </x:c>
      <x:c r="L4777" s="40" t="n">
        <x:f>ABS(K4777)</x:f>
        <x:v>0.09999999999999964</x:v>
      </x:c>
      <x:c r="M4777" s="41" t="str">
        <x:v>lstm-soil-v1</x:v>
      </x:c>
    </x:row>
    <x:row r="4778">
      <x:c r="A4778" s="38" t="str">
        <x:v>7月30日现场数据</x:v>
      </x:c>
      <x:c r="B4778" s="39" t="str">
        <x:v>2026-08-04T17:00:00</x:v>
      </x:c>
      <x:c r="C4778" s="39" t="str">
        <x:v>2026-08-04T17:30:00</x:v>
      </x:c>
      <x:c r="D4778" s="47" t="n">
        <x:v>30</x:v>
      </x:c>
      <x:c r="E4778" s="40" t="n">
        <x:v>12</x:v>
      </x:c>
      <x:c r="F4778" s="40" t="n">
        <x:v>10.583332061767578</x:v>
      </x:c>
      <x:c r="G4778" s="40" t="n">
        <x:v>12.1</x:v>
      </x:c>
      <x:c r="H4778" s="40" t="n">
        <x:f>F4778-E4778</x:f>
        <x:v>-1.4166679382324219</x:v>
      </x:c>
      <x:c r="I4778" s="40" t="n">
        <x:f>ABS(H4778)</x:f>
        <x:v>1.4166679382324219</x:v>
      </x:c>
      <x:c r="J4778" s="40" t="n">
        <x:f>H4778^2</x:f>
        <x:v>2.006948047215701</x:v>
      </x:c>
      <x:c r="K4778" s="40" t="n">
        <x:f>G4778-E4778</x:f>
        <x:v>0.09999999999999964</x:v>
      </x:c>
      <x:c r="L4778" s="40" t="n">
        <x:f>ABS(K4778)</x:f>
        <x:v>0.09999999999999964</x:v>
      </x:c>
      <x:c r="M4778" s="41" t="str">
        <x:v>lstm-soil-v1</x:v>
      </x:c>
    </x:row>
    <x:row r="4779">
      <x:c r="A4779" s="38" t="str">
        <x:v>7月30日现场数据</x:v>
      </x:c>
      <x:c r="B4779" s="39" t="str">
        <x:v>2026-08-04T17:00:00</x:v>
      </x:c>
      <x:c r="C4779" s="39" t="str">
        <x:v>2026-08-04T18:00:00</x:v>
      </x:c>
      <x:c r="D4779" s="47" t="n">
        <x:v>60</x:v>
      </x:c>
      <x:c r="E4779" s="40" t="n">
        <x:v>12</x:v>
      </x:c>
      <x:c r="F4779" s="40" t="n">
        <x:v>12.281917572021484</x:v>
      </x:c>
      <x:c r="G4779" s="40" t="n">
        <x:v>12.1</x:v>
      </x:c>
      <x:c r="H4779" s="40" t="n">
        <x:f>F4779-E4779</x:f>
        <x:v>0.2819175720214844</x:v>
      </x:c>
      <x:c r="I4779" s="40" t="n">
        <x:f>ABS(H4779)</x:f>
        <x:v>0.2819175720214844</x:v>
      </x:c>
      <x:c r="J4779" s="40" t="n">
        <x:f>H4779^2</x:f>
        <x:v>0.07947751741448883</x:v>
      </x:c>
      <x:c r="K4779" s="40" t="n">
        <x:f>G4779-E4779</x:f>
        <x:v>0.09999999999999964</x:v>
      </x:c>
      <x:c r="L4779" s="40" t="n">
        <x:f>ABS(K4779)</x:f>
        <x:v>0.09999999999999964</x:v>
      </x:c>
      <x:c r="M4779" s="41" t="str">
        <x:v>lstm-soil-v1</x:v>
      </x:c>
    </x:row>
    <x:row r="4780">
      <x:c r="A4780" s="38" t="str">
        <x:v>7月30日现场数据</x:v>
      </x:c>
      <x:c r="B4780" s="39" t="str">
        <x:v>2026-08-04T17:05:00</x:v>
      </x:c>
      <x:c r="C4780" s="39" t="str">
        <x:v>2026-08-04T17:10:00</x:v>
      </x:c>
      <x:c r="D4780" s="47" t="n">
        <x:v>5</x:v>
      </x:c>
      <x:c r="E4780" s="40" t="n">
        <x:v>12</x:v>
      </x:c>
      <x:c r="F4780" s="40" t="n">
        <x:v>10.08602523803711</x:v>
      </x:c>
      <x:c r="G4780" s="40" t="n">
        <x:v>12.1</x:v>
      </x:c>
      <x:c r="H4780" s="40" t="n">
        <x:f>F4780-E4780</x:f>
        <x:v>-1.9139747619628906</x:v>
      </x:c>
      <x:c r="I4780" s="40" t="n">
        <x:f>ABS(H4780)</x:f>
        <x:v>1.9139747619628906</x:v>
      </x:c>
      <x:c r="J4780" s="40" t="n">
        <x:f>H4780^2</x:f>
        <x:v>3.663299389430904</x:v>
      </x:c>
      <x:c r="K4780" s="40" t="n">
        <x:f>G4780-E4780</x:f>
        <x:v>0.09999999999999964</x:v>
      </x:c>
      <x:c r="L4780" s="40" t="n">
        <x:f>ABS(K4780)</x:f>
        <x:v>0.09999999999999964</x:v>
      </x:c>
      <x:c r="M4780" s="41" t="str">
        <x:v>lstm-soil-v1</x:v>
      </x:c>
    </x:row>
    <x:row r="4781">
      <x:c r="A4781" s="38" t="str">
        <x:v>7月30日现场数据</x:v>
      </x:c>
      <x:c r="B4781" s="39" t="str">
        <x:v>2026-08-04T17:05:00</x:v>
      </x:c>
      <x:c r="C4781" s="39" t="str">
        <x:v>2026-08-04T17:20:00</x:v>
      </x:c>
      <x:c r="D4781" s="47" t="n">
        <x:v>15</x:v>
      </x:c>
      <x:c r="E4781" s="40" t="n">
        <x:v>12</x:v>
      </x:c>
      <x:c r="F4781" s="40" t="n">
        <x:v>10.156105041503906</x:v>
      </x:c>
      <x:c r="G4781" s="40" t="n">
        <x:v>12.1</x:v>
      </x:c>
      <x:c r="H4781" s="40" t="n">
        <x:f>F4781-E4781</x:f>
        <x:v>-1.8438949584960938</x:v>
      </x:c>
      <x:c r="I4781" s="40" t="n">
        <x:f>ABS(H4781)</x:f>
        <x:v>1.8438949584960938</x:v>
      </x:c>
      <x:c r="J4781" s="40" t="n">
        <x:f>H4781^2</x:f>
        <x:v>3.3999486179673113</x:v>
      </x:c>
      <x:c r="K4781" s="40" t="n">
        <x:f>G4781-E4781</x:f>
        <x:v>0.09999999999999964</x:v>
      </x:c>
      <x:c r="L4781" s="40" t="n">
        <x:f>ABS(K4781)</x:f>
        <x:v>0.09999999999999964</x:v>
      </x:c>
      <x:c r="M4781" s="41" t="str">
        <x:v>lstm-soil-v1</x:v>
      </x:c>
    </x:row>
    <x:row r="4782">
      <x:c r="A4782" s="38" t="str">
        <x:v>7月30日现场数据</x:v>
      </x:c>
      <x:c r="B4782" s="39" t="str">
        <x:v>2026-08-04T17:05:00</x:v>
      </x:c>
      <x:c r="C4782" s="39" t="str">
        <x:v>2026-08-04T17:35:00</x:v>
      </x:c>
      <x:c r="D4782" s="47" t="n">
        <x:v>30</x:v>
      </x:c>
      <x:c r="E4782" s="40" t="n">
        <x:v>12</x:v>
      </x:c>
      <x:c r="F4782" s="40" t="n">
        <x:v>10.582744598388672</x:v>
      </x:c>
      <x:c r="G4782" s="40" t="n">
        <x:v>12.1</x:v>
      </x:c>
      <x:c r="H4782" s="40" t="n">
        <x:f>F4782-E4782</x:f>
        <x:v>-1.4172554016113281</x:v>
      </x:c>
      <x:c r="I4782" s="40" t="n">
        <x:f>ABS(H4782)</x:f>
        <x:v>1.4172554016113281</x:v>
      </x:c>
      <x:c r="J4782" s="40" t="n">
        <x:f>H4782^2</x:f>
        <x:v>2.008612873396487</x:v>
      </x:c>
      <x:c r="K4782" s="40" t="n">
        <x:f>G4782-E4782</x:f>
        <x:v>0.09999999999999964</x:v>
      </x:c>
      <x:c r="L4782" s="40" t="n">
        <x:f>ABS(K4782)</x:f>
        <x:v>0.09999999999999964</x:v>
      </x:c>
      <x:c r="M4782" s="41" t="str">
        <x:v>lstm-soil-v1</x:v>
      </x:c>
    </x:row>
    <x:row r="4783">
      <x:c r="A4783" s="38" t="str">
        <x:v>7月30日现场数据</x:v>
      </x:c>
      <x:c r="B4783" s="39" t="str">
        <x:v>2026-08-04T17:05:00</x:v>
      </x:c>
      <x:c r="C4783" s="39" t="str">
        <x:v>2026-08-04T18:05:00</x:v>
      </x:c>
      <x:c r="D4783" s="47" t="n">
        <x:v>60</x:v>
      </x:c>
      <x:c r="E4783" s="40" t="n">
        <x:v>12</x:v>
      </x:c>
      <x:c r="F4783" s="40" t="n">
        <x:v>12.280433654785156</x:v>
      </x:c>
      <x:c r="G4783" s="40" t="n">
        <x:v>12.1</x:v>
      </x:c>
      <x:c r="H4783" s="40" t="n">
        <x:f>F4783-E4783</x:f>
        <x:v>0.28043365478515625</x:v>
      </x:c>
      <x:c r="I4783" s="40" t="n">
        <x:f>ABS(H4783)</x:f>
        <x:v>0.28043365478515625</x:v>
      </x:c>
      <x:c r="J4783" s="40" t="n">
        <x:f>H4783^2</x:f>
        <x:v>0.07864303473616019</x:v>
      </x:c>
      <x:c r="K4783" s="40" t="n">
        <x:f>G4783-E4783</x:f>
        <x:v>0.09999999999999964</x:v>
      </x:c>
      <x:c r="L4783" s="40" t="n">
        <x:f>ABS(K4783)</x:f>
        <x:v>0.09999999999999964</x:v>
      </x:c>
      <x:c r="M4783" s="41" t="str">
        <x:v>lstm-soil-v1</x:v>
      </x:c>
    </x:row>
    <x:row r="4784">
      <x:c r="A4784" s="38" t="str">
        <x:v>7月30日现场数据</x:v>
      </x:c>
      <x:c r="B4784" s="39" t="str">
        <x:v>2026-08-04T17:10:00</x:v>
      </x:c>
      <x:c r="C4784" s="39" t="str">
        <x:v>2026-08-04T17:15:00</x:v>
      </x:c>
      <x:c r="D4784" s="47" t="n">
        <x:v>5</x:v>
      </x:c>
      <x:c r="E4784" s="40" t="n">
        <x:v>12</x:v>
      </x:c>
      <x:c r="F4784" s="40" t="n">
        <x:v>9.975257873535156</x:v>
      </x:c>
      <x:c r="G4784" s="40" t="n">
        <x:v>12</x:v>
      </x:c>
      <x:c r="H4784" s="40" t="n">
        <x:f>F4784-E4784</x:f>
        <x:v>-2.0247421264648438</x:v>
      </x:c>
      <x:c r="I4784" s="40" t="n">
        <x:f>ABS(H4784)</x:f>
        <x:v>2.0247421264648438</x:v>
      </x:c>
      <x:c r="J4784" s="40" t="n">
        <x:f>H4784^2</x:f>
        <x:v>4.099580678681377</x:v>
      </x:c>
      <x:c r="K4784" s="40" t="n">
        <x:f>G4784-E4784</x:f>
        <x:v>0</x:v>
      </x:c>
      <x:c r="L4784" s="40" t="n">
        <x:f>ABS(K4784)</x:f>
        <x:v>0</x:v>
      </x:c>
      <x:c r="M4784" s="41" t="str">
        <x:v>lstm-soil-v1</x:v>
      </x:c>
    </x:row>
    <x:row r="4785">
      <x:c r="A4785" s="38" t="str">
        <x:v>7月30日现场数据</x:v>
      </x:c>
      <x:c r="B4785" s="39" t="str">
        <x:v>2026-08-04T17:10:00</x:v>
      </x:c>
      <x:c r="C4785" s="39" t="str">
        <x:v>2026-08-04T17:25:00</x:v>
      </x:c>
      <x:c r="D4785" s="47" t="n">
        <x:v>15</x:v>
      </x:c>
      <x:c r="E4785" s="40" t="n">
        <x:v>12</x:v>
      </x:c>
      <x:c r="F4785" s="40" t="n">
        <x:v>10.044471740722656</x:v>
      </x:c>
      <x:c r="G4785" s="40" t="n">
        <x:v>12</x:v>
      </x:c>
      <x:c r="H4785" s="40" t="n">
        <x:f>F4785-E4785</x:f>
        <x:v>-1.9555282592773438</x:v>
      </x:c>
      <x:c r="I4785" s="40" t="n">
        <x:f>ABS(H4785)</x:f>
        <x:v>1.9555282592773438</x:v>
      </x:c>
      <x:c r="J4785" s="40" t="n">
        <x:f>H4785^2</x:f>
        <x:v>3.824090772832278</x:v>
      </x:c>
      <x:c r="K4785" s="40" t="n">
        <x:f>G4785-E4785</x:f>
        <x:v>0</x:v>
      </x:c>
      <x:c r="L4785" s="40" t="n">
        <x:f>ABS(K4785)</x:f>
        <x:v>0</x:v>
      </x:c>
      <x:c r="M4785" s="41" t="str">
        <x:v>lstm-soil-v1</x:v>
      </x:c>
    </x:row>
    <x:row r="4786">
      <x:c r="A4786" s="38" t="str">
        <x:v>7月30日现场数据</x:v>
      </x:c>
      <x:c r="B4786" s="39" t="str">
        <x:v>2026-08-04T17:10:00</x:v>
      </x:c>
      <x:c r="C4786" s="39" t="str">
        <x:v>2026-08-04T17:40:00</x:v>
      </x:c>
      <x:c r="D4786" s="47" t="n">
        <x:v>30</x:v>
      </x:c>
      <x:c r="E4786" s="40" t="n">
        <x:v>12</x:v>
      </x:c>
      <x:c r="F4786" s="40" t="n">
        <x:v>10.471466064453125</x:v>
      </x:c>
      <x:c r="G4786" s="40" t="n">
        <x:v>12</x:v>
      </x:c>
      <x:c r="H4786" s="40" t="n">
        <x:f>F4786-E4786</x:f>
        <x:v>-1.528533935546875</x:v>
      </x:c>
      <x:c r="I4786" s="40" t="n">
        <x:f>ABS(H4786)</x:f>
        <x:v>1.528533935546875</x:v>
      </x:c>
      <x:c r="J4786" s="40" t="n">
        <x:f>H4786^2</x:f>
        <x:v>2.336415992118418</x:v>
      </x:c>
      <x:c r="K4786" s="40" t="n">
        <x:f>G4786-E4786</x:f>
        <x:v>0</x:v>
      </x:c>
      <x:c r="L4786" s="40" t="n">
        <x:f>ABS(K4786)</x:f>
        <x:v>0</x:v>
      </x:c>
      <x:c r="M4786" s="41" t="str">
        <x:v>lstm-soil-v1</x:v>
      </x:c>
    </x:row>
    <x:row r="4787">
      <x:c r="A4787" s="38" t="str">
        <x:v>7月30日现场数据</x:v>
      </x:c>
      <x:c r="B4787" s="39" t="str">
        <x:v>2026-08-04T17:10:00</x:v>
      </x:c>
      <x:c r="C4787" s="39" t="str">
        <x:v>2026-08-04T18:10:00</x:v>
      </x:c>
      <x:c r="D4787" s="47" t="n">
        <x:v>60</x:v>
      </x:c>
      <x:c r="E4787" s="40" t="n">
        <x:v>12</x:v>
      </x:c>
      <x:c r="F4787" s="40" t="n">
        <x:v>12.168903350830078</x:v>
      </x:c>
      <x:c r="G4787" s="40" t="n">
        <x:v>12</x:v>
      </x:c>
      <x:c r="H4787" s="40" t="n">
        <x:f>F4787-E4787</x:f>
        <x:v>0.16890335083007812</x:v>
      </x:c>
      <x:c r="I4787" s="40" t="n">
        <x:f>ABS(H4787)</x:f>
        <x:v>0.16890335083007812</x:v>
      </x:c>
      <x:c r="J4787" s="40" t="n">
        <x:f>H4787^2</x:f>
        <x:v>0.028528341921628453</x:v>
      </x:c>
      <x:c r="K4787" s="40" t="n">
        <x:f>G4787-E4787</x:f>
        <x:v>0</x:v>
      </x:c>
      <x:c r="L4787" s="40" t="n">
        <x:f>ABS(K4787)</x:f>
        <x:v>0</x:v>
      </x:c>
      <x:c r="M4787" s="41" t="str">
        <x:v>lstm-soil-v1</x:v>
      </x:c>
    </x:row>
    <x:row r="4788">
      <x:c r="A4788" s="38" t="str">
        <x:v>7月30日现场数据</x:v>
      </x:c>
      <x:c r="B4788" s="39" t="str">
        <x:v>2026-08-04T17:15:00</x:v>
      </x:c>
      <x:c r="C4788" s="39" t="str">
        <x:v>2026-08-04T17:20:00</x:v>
      </x:c>
      <x:c r="D4788" s="47" t="n">
        <x:v>5</x:v>
      </x:c>
      <x:c r="E4788" s="40" t="n">
        <x:v>12</x:v>
      </x:c>
      <x:c r="F4788" s="40" t="n">
        <x:v>9.973941802978516</x:v>
      </x:c>
      <x:c r="G4788" s="40" t="n">
        <x:v>12</x:v>
      </x:c>
      <x:c r="H4788" s="40" t="n">
        <x:f>F4788-E4788</x:f>
        <x:v>-2.0260581970214844</x:v>
      </x:c>
      <x:c r="I4788" s="40" t="n">
        <x:f>ABS(H4788)</x:f>
        <x:v>2.0260581970214844</x:v>
      </x:c>
      <x:c r="J4788" s="40" t="n">
        <x:f>H4788^2</x:f>
        <x:v>4.104911817717948</x:v>
      </x:c>
      <x:c r="K4788" s="40" t="n">
        <x:f>G4788-E4788</x:f>
        <x:v>0</x:v>
      </x:c>
      <x:c r="L4788" s="40" t="n">
        <x:f>ABS(K4788)</x:f>
        <x:v>0</x:v>
      </x:c>
      <x:c r="M4788" s="41" t="str">
        <x:v>lstm-soil-v1</x:v>
      </x:c>
    </x:row>
    <x:row r="4789">
      <x:c r="A4789" s="38" t="str">
        <x:v>7月30日现场数据</x:v>
      </x:c>
      <x:c r="B4789" s="39" t="str">
        <x:v>2026-08-04T17:15:00</x:v>
      </x:c>
      <x:c r="C4789" s="39" t="str">
        <x:v>2026-08-04T17:30:00</x:v>
      </x:c>
      <x:c r="D4789" s="47" t="n">
        <x:v>15</x:v>
      </x:c>
      <x:c r="E4789" s="40" t="n">
        <x:v>12</x:v>
      </x:c>
      <x:c r="F4789" s="40" t="n">
        <x:v>10.04275894165039</x:v>
      </x:c>
      <x:c r="G4789" s="40" t="n">
        <x:v>12</x:v>
      </x:c>
      <x:c r="H4789" s="40" t="n">
        <x:f>F4789-E4789</x:f>
        <x:v>-1.9572410583496094</x:v>
      </x:c>
      <x:c r="I4789" s="40" t="n">
        <x:f>ABS(H4789)</x:f>
        <x:v>1.9572410583496094</x:v>
      </x:c>
      <x:c r="J4789" s="40" t="n">
        <x:f>H4789^2</x:f>
        <x:v>3.830792560489499</x:v>
      </x:c>
      <x:c r="K4789" s="40" t="n">
        <x:f>G4789-E4789</x:f>
        <x:v>0</x:v>
      </x:c>
      <x:c r="L4789" s="40" t="n">
        <x:f>ABS(K4789)</x:f>
        <x:v>0</x:v>
      </x:c>
      <x:c r="M4789" s="41" t="str">
        <x:v>lstm-soil-v1</x:v>
      </x:c>
    </x:row>
    <x:row r="4790">
      <x:c r="A4790" s="38" t="str">
        <x:v>7月30日现场数据</x:v>
      </x:c>
      <x:c r="B4790" s="39" t="str">
        <x:v>2026-08-04T17:15:00</x:v>
      </x:c>
      <x:c r="C4790" s="39" t="str">
        <x:v>2026-08-04T17:45:00</x:v>
      </x:c>
      <x:c r="D4790" s="47" t="n">
        <x:v>30</x:v>
      </x:c>
      <x:c r="E4790" s="40" t="n">
        <x:v>12</x:v>
      </x:c>
      <x:c r="F4790" s="40" t="n">
        <x:v>10.469539642333984</x:v>
      </x:c>
      <x:c r="G4790" s="40" t="n">
        <x:v>12</x:v>
      </x:c>
      <x:c r="H4790" s="40" t="n">
        <x:f>F4790-E4790</x:f>
        <x:v>-1.5304603576660156</x:v>
      </x:c>
      <x:c r="I4790" s="40" t="n">
        <x:f>ABS(H4790)</x:f>
        <x:v>1.5304603576660156</x:v>
      </x:c>
      <x:c r="J4790" s="40" t="n">
        <x:f>H4790^2</x:f>
        <x:v>2.3423089063871885</x:v>
      </x:c>
      <x:c r="K4790" s="40" t="n">
        <x:f>G4790-E4790</x:f>
        <x:v>0</x:v>
      </x:c>
      <x:c r="L4790" s="40" t="n">
        <x:f>ABS(K4790)</x:f>
        <x:v>0</x:v>
      </x:c>
      <x:c r="M4790" s="41" t="str">
        <x:v>lstm-soil-v1</x:v>
      </x:c>
    </x:row>
    <x:row r="4791">
      <x:c r="A4791" s="38" t="str">
        <x:v>7月30日现场数据</x:v>
      </x:c>
      <x:c r="B4791" s="39" t="str">
        <x:v>2026-08-04T17:15:00</x:v>
      </x:c>
      <x:c r="C4791" s="39" t="str">
        <x:v>2026-08-04T18:15:00</x:v>
      </x:c>
      <x:c r="D4791" s="47" t="n">
        <x:v>60</x:v>
      </x:c>
      <x:c r="E4791" s="40" t="n">
        <x:v>11.8</x:v>
      </x:c>
      <x:c r="F4791" s="40" t="n">
        <x:v>12.167110443115234</x:v>
      </x:c>
      <x:c r="G4791" s="40" t="n">
        <x:v>12</x:v>
      </x:c>
      <x:c r="H4791" s="40" t="n">
        <x:f>F4791-E4791</x:f>
        <x:v>0.36711044311523366</x:v>
      </x:c>
      <x:c r="I4791" s="40" t="n">
        <x:f>ABS(H4791)</x:f>
        <x:v>0.36711044311523366</x:v>
      </x:c>
      <x:c r="J4791" s="40" t="n">
        <x:f>H4791^2</x:f>
        <x:v>0.13477007744426323</x:v>
      </x:c>
      <x:c r="K4791" s="40" t="n">
        <x:f>G4791-E4791</x:f>
        <x:v>0.1999999999999993</x:v>
      </x:c>
      <x:c r="L4791" s="40" t="n">
        <x:f>ABS(K4791)</x:f>
        <x:v>0.1999999999999993</x:v>
      </x:c>
      <x:c r="M4791" s="41" t="str">
        <x:v>lstm-soil-v1</x:v>
      </x:c>
    </x:row>
    <x:row r="4792">
      <x:c r="A4792" s="38" t="str">
        <x:v>7月30日现场数据</x:v>
      </x:c>
      <x:c r="B4792" s="39" t="str">
        <x:v>2026-08-04T17:20:00</x:v>
      </x:c>
      <x:c r="C4792" s="39" t="str">
        <x:v>2026-08-04T17:25:00</x:v>
      </x:c>
      <x:c r="D4792" s="47" t="n">
        <x:v>5</x:v>
      </x:c>
      <x:c r="E4792" s="40" t="n">
        <x:v>12</x:v>
      </x:c>
      <x:c r="F4792" s="40" t="n">
        <x:v>9.97418212890625</x:v>
      </x:c>
      <x:c r="G4792" s="40" t="n">
        <x:v>12</x:v>
      </x:c>
      <x:c r="H4792" s="40" t="n">
        <x:f>F4792-E4792</x:f>
        <x:v>-2.02581787109375</x:v>
      </x:c>
      <x:c r="I4792" s="40" t="n">
        <x:f>ABS(H4792)</x:f>
        <x:v>2.02581787109375</x:v>
      </x:c>
      <x:c r="J4792" s="40" t="n">
        <x:f>H4792^2</x:f>
        <x:v>4.1039380468428135</x:v>
      </x:c>
      <x:c r="K4792" s="40" t="n">
        <x:f>G4792-E4792</x:f>
        <x:v>0</x:v>
      </x:c>
      <x:c r="L4792" s="40" t="n">
        <x:f>ABS(K4792)</x:f>
        <x:v>0</x:v>
      </x:c>
      <x:c r="M4792" s="41" t="str">
        <x:v>lstm-soil-v1</x:v>
      </x:c>
    </x:row>
    <x:row r="4793">
      <x:c r="A4793" s="38" t="str">
        <x:v>7月30日现场数据</x:v>
      </x:c>
      <x:c r="B4793" s="39" t="str">
        <x:v>2026-08-04T17:20:00</x:v>
      </x:c>
      <x:c r="C4793" s="39" t="str">
        <x:v>2026-08-04T17:35:00</x:v>
      </x:c>
      <x:c r="D4793" s="47" t="n">
        <x:v>15</x:v>
      </x:c>
      <x:c r="E4793" s="40" t="n">
        <x:v>12</x:v>
      </x:c>
      <x:c r="F4793" s="40" t="n">
        <x:v>10.044670104980469</x:v>
      </x:c>
      <x:c r="G4793" s="40" t="n">
        <x:v>12</x:v>
      </x:c>
      <x:c r="H4793" s="40" t="n">
        <x:f>F4793-E4793</x:f>
        <x:v>-1.9553298950195312</x:v>
      </x:c>
      <x:c r="I4793" s="40" t="n">
        <x:f>ABS(H4793)</x:f>
        <x:v>1.9553298950195312</x:v>
      </x:c>
      <x:c r="J4793" s="40" t="n">
        <x:f>H4793^2</x:f>
        <x:v>3.823314998357091</x:v>
      </x:c>
      <x:c r="K4793" s="40" t="n">
        <x:f>G4793-E4793</x:f>
        <x:v>0</x:v>
      </x:c>
      <x:c r="L4793" s="40" t="n">
        <x:f>ABS(K4793)</x:f>
        <x:v>0</x:v>
      </x:c>
      <x:c r="M4793" s="41" t="str">
        <x:v>lstm-soil-v1</x:v>
      </x:c>
    </x:row>
    <x:row r="4794">
      <x:c r="A4794" s="38" t="str">
        <x:v>7月30日现场数据</x:v>
      </x:c>
      <x:c r="B4794" s="39" t="str">
        <x:v>2026-08-04T17:20:00</x:v>
      </x:c>
      <x:c r="C4794" s="39" t="str">
        <x:v>2026-08-04T17:50:00</x:v>
      </x:c>
      <x:c r="D4794" s="47" t="n">
        <x:v>30</x:v>
      </x:c>
      <x:c r="E4794" s="40" t="n">
        <x:v>12</x:v>
      </x:c>
      <x:c r="F4794" s="40" t="n">
        <x:v>10.469478607177734</x:v>
      </x:c>
      <x:c r="G4794" s="40" t="n">
        <x:v>12</x:v>
      </x:c>
      <x:c r="H4794" s="40" t="n">
        <x:f>F4794-E4794</x:f>
        <x:v>-1.5305213928222656</x:v>
      </x:c>
      <x:c r="I4794" s="40" t="n">
        <x:f>ABS(H4794)</x:f>
        <x:v>1.5305213928222656</x:v>
      </x:c>
      <x:c r="J4794" s="40" t="n">
        <x:f>H4794^2</x:f>
        <x:v>2.342495733886608</x:v>
      </x:c>
      <x:c r="K4794" s="40" t="n">
        <x:f>G4794-E4794</x:f>
        <x:v>0</x:v>
      </x:c>
      <x:c r="L4794" s="40" t="n">
        <x:f>ABS(K4794)</x:f>
        <x:v>0</x:v>
      </x:c>
      <x:c r="M4794" s="41" t="str">
        <x:v>lstm-soil-v1</x:v>
      </x:c>
    </x:row>
    <x:row r="4795">
      <x:c r="A4795" s="38" t="str">
        <x:v>7月30日现场数据</x:v>
      </x:c>
      <x:c r="B4795" s="39" t="str">
        <x:v>2026-08-04T17:20:00</x:v>
      </x:c>
      <x:c r="C4795" s="39" t="str">
        <x:v>2026-08-04T18:20:00</x:v>
      </x:c>
      <x:c r="D4795" s="47" t="n">
        <x:v>60</x:v>
      </x:c>
      <x:c r="E4795" s="40" t="n">
        <x:v>11.9</x:v>
      </x:c>
      <x:c r="F4795" s="40" t="n">
        <x:v>12.17092514038086</x:v>
      </x:c>
      <x:c r="G4795" s="40" t="n">
        <x:v>12</x:v>
      </x:c>
      <x:c r="H4795" s="40" t="n">
        <x:f>F4795-E4795</x:f>
        <x:v>0.270925140380859</x:v>
      </x:c>
      <x:c r="I4795" s="40" t="n">
        <x:f>ABS(H4795)</x:f>
        <x:v>0.270925140380859</x:v>
      </x:c>
      <x:c r="J4795" s="40" t="n">
        <x:f>H4795^2</x:f>
        <x:v>0.07340043169038817</x:v>
      </x:c>
      <x:c r="K4795" s="40" t="n">
        <x:f>G4795-E4795</x:f>
        <x:v>0.09999999999999964</x:v>
      </x:c>
      <x:c r="L4795" s="40" t="n">
        <x:f>ABS(K4795)</x:f>
        <x:v>0.09999999999999964</x:v>
      </x:c>
      <x:c r="M4795" s="41" t="str">
        <x:v>lstm-soil-v1</x:v>
      </x:c>
    </x:row>
    <x:row r="4796">
      <x:c r="A4796" s="38" t="str">
        <x:v>7月30日现场数据</x:v>
      </x:c>
      <x:c r="B4796" s="39" t="str">
        <x:v>2026-08-04T17:25:00</x:v>
      </x:c>
      <x:c r="C4796" s="39" t="str">
        <x:v>2026-08-04T17:30:00</x:v>
      </x:c>
      <x:c r="D4796" s="47" t="n">
        <x:v>5</x:v>
      </x:c>
      <x:c r="E4796" s="40" t="n">
        <x:v>12</x:v>
      </x:c>
      <x:c r="F4796" s="40" t="n">
        <x:v>9.96976089477539</x:v>
      </x:c>
      <x:c r="G4796" s="40" t="n">
        <x:v>12</x:v>
      </x:c>
      <x:c r="H4796" s="40" t="n">
        <x:f>F4796-E4796</x:f>
        <x:v>-2.0302391052246094</x:v>
      </x:c>
      <x:c r="I4796" s="40" t="n">
        <x:f>ABS(H4796)</x:f>
        <x:v>2.0302391052246094</x:v>
      </x:c>
      <x:c r="J4796" s="40" t="n">
        <x:f>H4796^2</x:f>
        <x:v>4.1218708243832225</x:v>
      </x:c>
      <x:c r="K4796" s="40" t="n">
        <x:f>G4796-E4796</x:f>
        <x:v>0</x:v>
      </x:c>
      <x:c r="L4796" s="40" t="n">
        <x:f>ABS(K4796)</x:f>
        <x:v>0</x:v>
      </x:c>
      <x:c r="M4796" s="41" t="str">
        <x:v>lstm-soil-v1</x:v>
      </x:c>
    </x:row>
    <x:row r="4797">
      <x:c r="A4797" s="38" t="str">
        <x:v>7月30日现场数据</x:v>
      </x:c>
      <x:c r="B4797" s="39" t="str">
        <x:v>2026-08-04T17:25:00</x:v>
      </x:c>
      <x:c r="C4797" s="39" t="str">
        <x:v>2026-08-04T17:40:00</x:v>
      </x:c>
      <x:c r="D4797" s="47" t="n">
        <x:v>15</x:v>
      </x:c>
      <x:c r="E4797" s="40" t="n">
        <x:v>12</x:v>
      </x:c>
      <x:c r="F4797" s="40" t="n">
        <x:v>10.042163848876953</x:v>
      </x:c>
      <x:c r="G4797" s="40" t="n">
        <x:v>12</x:v>
      </x:c>
      <x:c r="H4797" s="40" t="n">
        <x:f>F4797-E4797</x:f>
        <x:v>-1.9578361511230469</x:v>
      </x:c>
      <x:c r="I4797" s="40" t="n">
        <x:f>ABS(H4797)</x:f>
        <x:v>1.9578361511230469</x:v>
      </x:c>
      <x:c r="J4797" s="40" t="n">
        <x:f>H4797^2</x:f>
        <x:v>3.833122394644306</x:v>
      </x:c>
      <x:c r="K4797" s="40" t="n">
        <x:f>G4797-E4797</x:f>
        <x:v>0</x:v>
      </x:c>
      <x:c r="L4797" s="40" t="n">
        <x:f>ABS(K4797)</x:f>
        <x:v>0</x:v>
      </x:c>
      <x:c r="M4797" s="41" t="str">
        <x:v>lstm-soil-v1</x:v>
      </x:c>
    </x:row>
    <x:row r="4798">
      <x:c r="A4798" s="38" t="str">
        <x:v>7月30日现场数据</x:v>
      </x:c>
      <x:c r="B4798" s="39" t="str">
        <x:v>2026-08-04T17:25:00</x:v>
      </x:c>
      <x:c r="C4798" s="39" t="str">
        <x:v>2026-08-04T17:55:00</x:v>
      </x:c>
      <x:c r="D4798" s="47" t="n">
        <x:v>30</x:v>
      </x:c>
      <x:c r="E4798" s="40" t="n">
        <x:v>12</x:v>
      </x:c>
      <x:c r="F4798" s="40" t="n">
        <x:v>10.463630676269531</x:v>
      </x:c>
      <x:c r="G4798" s="40" t="n">
        <x:v>12</x:v>
      </x:c>
      <x:c r="H4798" s="40" t="n">
        <x:f>F4798-E4798</x:f>
        <x:v>-1.5363693237304688</x:v>
      </x:c>
      <x:c r="I4798" s="40" t="n">
        <x:f>ABS(H4798)</x:f>
        <x:v>1.5363693237304688</x:v>
      </x:c>
      <x:c r="J4798" s="40" t="n">
        <x:f>H4798^2</x:f>
        <x:v>2.360430698900018</x:v>
      </x:c>
      <x:c r="K4798" s="40" t="n">
        <x:f>G4798-E4798</x:f>
        <x:v>0</x:v>
      </x:c>
      <x:c r="L4798" s="40" t="n">
        <x:f>ABS(K4798)</x:f>
        <x:v>0</x:v>
      </x:c>
      <x:c r="M4798" s="41" t="str">
        <x:v>lstm-soil-v1</x:v>
      </x:c>
    </x:row>
    <x:row r="4799">
      <x:c r="A4799" s="38" t="str">
        <x:v>7月30日现场数据</x:v>
      </x:c>
      <x:c r="B4799" s="39" t="str">
        <x:v>2026-08-04T17:25:00</x:v>
      </x:c>
      <x:c r="C4799" s="39" t="str">
        <x:v>2026-08-04T18:25:00</x:v>
      </x:c>
      <x:c r="D4799" s="47" t="n">
        <x:v>60</x:v>
      </x:c>
      <x:c r="E4799" s="40" t="n">
        <x:v>11.9</x:v>
      </x:c>
      <x:c r="F4799" s="40" t="n">
        <x:v>12.162338256835938</x:v>
      </x:c>
      <x:c r="G4799" s="40" t="n">
        <x:v>12</x:v>
      </x:c>
      <x:c r="H4799" s="40" t="n">
        <x:f>F4799-E4799</x:f>
        <x:v>0.26233825683593714</x:v>
      </x:c>
      <x:c r="I4799" s="40" t="n">
        <x:f>ABS(H4799)</x:f>
        <x:v>0.26233825683593714</x:v>
      </x:c>
      <x:c r="J4799" s="40" t="n">
        <x:f>H4799^2</x:f>
        <x:v>0.06882136099971813</x:v>
      </x:c>
      <x:c r="K4799" s="40" t="n">
        <x:f>G4799-E4799</x:f>
        <x:v>0.09999999999999964</x:v>
      </x:c>
      <x:c r="L4799" s="40" t="n">
        <x:f>ABS(K4799)</x:f>
        <x:v>0.09999999999999964</x:v>
      </x:c>
      <x:c r="M4799" s="41" t="str">
        <x:v>lstm-soil-v1</x:v>
      </x:c>
    </x:row>
    <x:row r="4800">
      <x:c r="A4800" s="38" t="str">
        <x:v>7月30日现场数据</x:v>
      </x:c>
      <x:c r="B4800" s="39" t="str">
        <x:v>2026-08-04T17:30:00</x:v>
      </x:c>
      <x:c r="C4800" s="39" t="str">
        <x:v>2026-08-04T17:35:00</x:v>
      </x:c>
      <x:c r="D4800" s="47" t="n">
        <x:v>5</x:v>
      </x:c>
      <x:c r="E4800" s="40" t="n">
        <x:v>12</x:v>
      </x:c>
      <x:c r="F4800" s="40" t="n">
        <x:v>9.968482971191406</x:v>
      </x:c>
      <x:c r="G4800" s="40" t="n">
        <x:v>12</x:v>
      </x:c>
      <x:c r="H4800" s="40" t="n">
        <x:f>F4800-E4800</x:f>
        <x:v>-2.0315170288085938</x:v>
      </x:c>
      <x:c r="I4800" s="40" t="n">
        <x:f>ABS(H4800)</x:f>
        <x:v>2.0315170288085938</x:v>
      </x:c>
      <x:c r="J4800" s="40" t="n">
        <x:f>H4800^2</x:f>
        <x:v>4.127061438339297</x:v>
      </x:c>
      <x:c r="K4800" s="40" t="n">
        <x:f>G4800-E4800</x:f>
        <x:v>0</x:v>
      </x:c>
      <x:c r="L4800" s="40" t="n">
        <x:f>ABS(K4800)</x:f>
        <x:v>0</x:v>
      </x:c>
      <x:c r="M4800" s="41" t="str">
        <x:v>lstm-soil-v1</x:v>
      </x:c>
    </x:row>
    <x:row r="4801">
      <x:c r="A4801" s="38" t="str">
        <x:v>7月30日现场数据</x:v>
      </x:c>
      <x:c r="B4801" s="39" t="str">
        <x:v>2026-08-04T17:30:00</x:v>
      </x:c>
      <x:c r="C4801" s="39" t="str">
        <x:v>2026-08-04T17:45:00</x:v>
      </x:c>
      <x:c r="D4801" s="47" t="n">
        <x:v>15</x:v>
      </x:c>
      <x:c r="E4801" s="40" t="n">
        <x:v>12</x:v>
      </x:c>
      <x:c r="F4801" s="40" t="n">
        <x:v>10.039848327636719</x:v>
      </x:c>
      <x:c r="G4801" s="40" t="n">
        <x:v>12</x:v>
      </x:c>
      <x:c r="H4801" s="40" t="n">
        <x:f>F4801-E4801</x:f>
        <x:v>-1.9601516723632812</x:v>
      </x:c>
      <x:c r="I4801" s="40" t="n">
        <x:f>ABS(H4801)</x:f>
        <x:v>1.9601516723632812</x:v>
      </x:c>
      <x:c r="J4801" s="40" t="n">
        <x:f>H4801^2</x:f>
        <x:v>3.8421945786685683</x:v>
      </x:c>
      <x:c r="K4801" s="40" t="n">
        <x:f>G4801-E4801</x:f>
        <x:v>0</x:v>
      </x:c>
      <x:c r="L4801" s="40" t="n">
        <x:f>ABS(K4801)</x:f>
        <x:v>0</x:v>
      </x:c>
      <x:c r="M4801" s="41" t="str">
        <x:v>lstm-soil-v1</x:v>
      </x:c>
    </x:row>
    <x:row r="4802">
      <x:c r="A4802" s="38" t="str">
        <x:v>7月30日现场数据</x:v>
      </x:c>
      <x:c r="B4802" s="39" t="str">
        <x:v>2026-08-04T17:30:00</x:v>
      </x:c>
      <x:c r="C4802" s="39" t="str">
        <x:v>2026-08-04T18:00:00</x:v>
      </x:c>
      <x:c r="D4802" s="47" t="n">
        <x:v>30</x:v>
      </x:c>
      <x:c r="E4802" s="40" t="n">
        <x:v>12</x:v>
      </x:c>
      <x:c r="F4802" s="40" t="n">
        <x:v>10.46187973022461</x:v>
      </x:c>
      <x:c r="G4802" s="40" t="n">
        <x:v>12</x:v>
      </x:c>
      <x:c r="H4802" s="40" t="n">
        <x:f>F4802-E4802</x:f>
        <x:v>-1.5381202697753906</x:v>
      </x:c>
      <x:c r="I4802" s="40" t="n">
        <x:f>ABS(H4802)</x:f>
        <x:v>1.5381202697753906</x:v>
      </x:c>
      <x:c r="J4802" s="40" t="n">
        <x:f>H4802^2</x:f>
        <x:v>2.3658139642939204</x:v>
      </x:c>
      <x:c r="K4802" s="40" t="n">
        <x:f>G4802-E4802</x:f>
        <x:v>0</x:v>
      </x:c>
      <x:c r="L4802" s="40" t="n">
        <x:f>ABS(K4802)</x:f>
        <x:v>0</x:v>
      </x:c>
      <x:c r="M4802" s="41" t="str">
        <x:v>lstm-soil-v1</x:v>
      </x:c>
    </x:row>
    <x:row r="4803">
      <x:c r="A4803" s="38" t="str">
        <x:v>7月30日现场数据</x:v>
      </x:c>
      <x:c r="B4803" s="39" t="str">
        <x:v>2026-08-04T17:30:00</x:v>
      </x:c>
      <x:c r="C4803" s="39" t="str">
        <x:v>2026-08-04T18:30:00</x:v>
      </x:c>
      <x:c r="D4803" s="47" t="n">
        <x:v>60</x:v>
      </x:c>
      <x:c r="E4803" s="40" t="n">
        <x:v>11.9</x:v>
      </x:c>
      <x:c r="F4803" s="40" t="n">
        <x:v>12.16061019897461</x:v>
      </x:c>
      <x:c r="G4803" s="40" t="n">
        <x:v>12</x:v>
      </x:c>
      <x:c r="H4803" s="40" t="n">
        <x:f>F4803-E4803</x:f>
        <x:v>0.260610198974609</x:v>
      </x:c>
      <x:c r="I4803" s="40" t="n">
        <x:f>ABS(H4803)</x:f>
        <x:v>0.260610198974609</x:v>
      </x:c>
      <x:c r="J4803" s="40" t="n">
        <x:f>H4803^2</x:f>
        <x:v>0.0679176758095853</x:v>
      </x:c>
      <x:c r="K4803" s="40" t="n">
        <x:f>G4803-E4803</x:f>
        <x:v>0.09999999999999964</x:v>
      </x:c>
      <x:c r="L4803" s="40" t="n">
        <x:f>ABS(K4803)</x:f>
        <x:v>0.09999999999999964</x:v>
      </x:c>
      <x:c r="M4803" s="41" t="str">
        <x:v>lstm-soil-v1</x:v>
      </x:c>
    </x:row>
    <x:row r="4804">
      <x:c r="A4804" s="38" t="str">
        <x:v>7月30日现场数据</x:v>
      </x:c>
      <x:c r="B4804" s="39" t="str">
        <x:v>2026-08-04T17:35:00</x:v>
      </x:c>
      <x:c r="C4804" s="39" t="str">
        <x:v>2026-08-04T17:40:00</x:v>
      </x:c>
      <x:c r="D4804" s="47" t="n">
        <x:v>5</x:v>
      </x:c>
      <x:c r="E4804" s="40" t="n">
        <x:v>12</x:v>
      </x:c>
      <x:c r="F4804" s="40" t="n">
        <x:v>9.967849731445312</x:v>
      </x:c>
      <x:c r="G4804" s="40" t="n">
        <x:v>12</x:v>
      </x:c>
      <x:c r="H4804" s="40" t="n">
        <x:f>F4804-E4804</x:f>
        <x:v>-2.0321502685546875</x:v>
      </x:c>
      <x:c r="I4804" s="40" t="n">
        <x:f>ABS(H4804)</x:f>
        <x:v>2.0321502685546875</x:v>
      </x:c>
      <x:c r="J4804" s="40" t="n">
        <x:f>H4804^2</x:f>
        <x:v>4.1296347139868885</x:v>
      </x:c>
      <x:c r="K4804" s="40" t="n">
        <x:f>G4804-E4804</x:f>
        <x:v>0</x:v>
      </x:c>
      <x:c r="L4804" s="40" t="n">
        <x:f>ABS(K4804)</x:f>
        <x:v>0</x:v>
      </x:c>
      <x:c r="M4804" s="41" t="str">
        <x:v>lstm-soil-v1</x:v>
      </x:c>
    </x:row>
    <x:row r="4805">
      <x:c r="A4805" s="38" t="str">
        <x:v>7月30日现场数据</x:v>
      </x:c>
      <x:c r="B4805" s="39" t="str">
        <x:v>2026-08-04T17:35:00</x:v>
      </x:c>
      <x:c r="C4805" s="39" t="str">
        <x:v>2026-08-04T17:50:00</x:v>
      </x:c>
      <x:c r="D4805" s="47" t="n">
        <x:v>15</x:v>
      </x:c>
      <x:c r="E4805" s="40" t="n">
        <x:v>12</x:v>
      </x:c>
      <x:c r="F4805" s="40" t="n">
        <x:v>10.038482666015625</x:v>
      </x:c>
      <x:c r="G4805" s="40" t="n">
        <x:v>12</x:v>
      </x:c>
      <x:c r="H4805" s="40" t="n">
        <x:f>F4805-E4805</x:f>
        <x:v>-1.961517333984375</x:v>
      </x:c>
      <x:c r="I4805" s="40" t="n">
        <x:f>ABS(H4805)</x:f>
        <x:v>1.961517333984375</x:v>
      </x:c>
      <x:c r="J4805" s="40" t="n">
        <x:f>H4805^2</x:f>
        <x:v>3.84755025152117</x:v>
      </x:c>
      <x:c r="K4805" s="40" t="n">
        <x:f>G4805-E4805</x:f>
        <x:v>0</x:v>
      </x:c>
      <x:c r="L4805" s="40" t="n">
        <x:f>ABS(K4805)</x:f>
        <x:v>0</x:v>
      </x:c>
      <x:c r="M4805" s="41" t="str">
        <x:v>lstm-soil-v1</x:v>
      </x:c>
    </x:row>
    <x:row r="4806">
      <x:c r="A4806" s="38" t="str">
        <x:v>7月30日现场数据</x:v>
      </x:c>
      <x:c r="B4806" s="39" t="str">
        <x:v>2026-08-04T17:35:00</x:v>
      </x:c>
      <x:c r="C4806" s="39" t="str">
        <x:v>2026-08-04T18:05:00</x:v>
      </x:c>
      <x:c r="D4806" s="47" t="n">
        <x:v>30</x:v>
      </x:c>
      <x:c r="E4806" s="40" t="n">
        <x:v>12</x:v>
      </x:c>
      <x:c r="F4806" s="40" t="n">
        <x:v>10.461170196533203</x:v>
      </x:c>
      <x:c r="G4806" s="40" t="n">
        <x:v>12</x:v>
      </x:c>
      <x:c r="H4806" s="40" t="n">
        <x:f>F4806-E4806</x:f>
        <x:v>-1.5388298034667969</x:v>
      </x:c>
      <x:c r="I4806" s="40" t="n">
        <x:f>ABS(H4806)</x:f>
        <x:v>1.5388298034667969</x:v>
      </x:c>
      <x:c r="J4806" s="40" t="n">
        <x:f>H4806^2</x:f>
        <x:v>2.3679971640376607</x:v>
      </x:c>
      <x:c r="K4806" s="40" t="n">
        <x:f>G4806-E4806</x:f>
        <x:v>0</x:v>
      </x:c>
      <x:c r="L4806" s="40" t="n">
        <x:f>ABS(K4806)</x:f>
        <x:v>0</x:v>
      </x:c>
      <x:c r="M4806" s="41" t="str">
        <x:v>lstm-soil-v1</x:v>
      </x:c>
    </x:row>
    <x:row r="4807">
      <x:c r="A4807" s="38" t="str">
        <x:v>7月30日现场数据</x:v>
      </x:c>
      <x:c r="B4807" s="39" t="str">
        <x:v>2026-08-04T17:35:00</x:v>
      </x:c>
      <x:c r="C4807" s="39" t="str">
        <x:v>2026-08-04T18:35:00</x:v>
      </x:c>
      <x:c r="D4807" s="47" t="n">
        <x:v>60</x:v>
      </x:c>
      <x:c r="E4807" s="40" t="n">
        <x:v>11.9</x:v>
      </x:c>
      <x:c r="F4807" s="40" t="n">
        <x:v>12.159637451171875</x:v>
      </x:c>
      <x:c r="G4807" s="40" t="n">
        <x:v>12</x:v>
      </x:c>
      <x:c r="H4807" s="40" t="n">
        <x:f>F4807-E4807</x:f>
        <x:v>0.25963745117187464</x:v>
      </x:c>
      <x:c r="I4807" s="40" t="n">
        <x:f>ABS(H4807)</x:f>
        <x:v>0.25963745117187464</x:v>
      </x:c>
      <x:c r="J4807" s="40" t="n">
        <x:f>H4807^2</x:f>
        <x:v>0.06741160605102758</x:v>
      </x:c>
      <x:c r="K4807" s="40" t="n">
        <x:f>G4807-E4807</x:f>
        <x:v>0.09999999999999964</x:v>
      </x:c>
      <x:c r="L4807" s="40" t="n">
        <x:f>ABS(K4807)</x:f>
        <x:v>0.09999999999999964</x:v>
      </x:c>
      <x:c r="M4807" s="41" t="str">
        <x:v>lstm-soil-v1</x:v>
      </x:c>
    </x:row>
    <x:row r="4808">
      <x:c r="A4808" s="38" t="str">
        <x:v>7月30日现场数据</x:v>
      </x:c>
      <x:c r="B4808" s="39" t="str">
        <x:v>2026-08-04T17:40:00</x:v>
      </x:c>
      <x:c r="C4808" s="39" t="str">
        <x:v>2026-08-04T17:45:00</x:v>
      </x:c>
      <x:c r="D4808" s="47" t="n">
        <x:v>5</x:v>
      </x:c>
      <x:c r="E4808" s="40" t="n">
        <x:v>12</x:v>
      </x:c>
      <x:c r="F4808" s="40" t="n">
        <x:v>9.96759033203125</x:v>
      </x:c>
      <x:c r="G4808" s="40" t="n">
        <x:v>12</x:v>
      </x:c>
      <x:c r="H4808" s="40" t="n">
        <x:f>F4808-E4808</x:f>
        <x:v>-2.03240966796875</x:v>
      </x:c>
      <x:c r="I4808" s="40" t="n">
        <x:f>ABS(H4808)</x:f>
        <x:v>2.03240966796875</x:v>
      </x:c>
      <x:c r="J4808" s="40" t="n">
        <x:f>H4808^2</x:f>
        <x:v>4.130689058452845</x:v>
      </x:c>
      <x:c r="K4808" s="40" t="n">
        <x:f>G4808-E4808</x:f>
        <x:v>0</x:v>
      </x:c>
      <x:c r="L4808" s="40" t="n">
        <x:f>ABS(K4808)</x:f>
        <x:v>0</x:v>
      </x:c>
      <x:c r="M4808" s="41" t="str">
        <x:v>lstm-soil-v1</x:v>
      </x:c>
    </x:row>
    <x:row r="4809">
      <x:c r="A4809" s="38" t="str">
        <x:v>7月30日现场数据</x:v>
      </x:c>
      <x:c r="B4809" s="39" t="str">
        <x:v>2026-08-04T17:40:00</x:v>
      </x:c>
      <x:c r="C4809" s="39" t="str">
        <x:v>2026-08-04T17:55:00</x:v>
      </x:c>
      <x:c r="D4809" s="47" t="n">
        <x:v>15</x:v>
      </x:c>
      <x:c r="E4809" s="40" t="n">
        <x:v>12</x:v>
      </x:c>
      <x:c r="F4809" s="40" t="n">
        <x:v>10.037700653076172</x:v>
      </x:c>
      <x:c r="G4809" s="40" t="n">
        <x:v>12</x:v>
      </x:c>
      <x:c r="H4809" s="40" t="n">
        <x:f>F4809-E4809</x:f>
        <x:v>-1.9622993469238281</x:v>
      </x:c>
      <x:c r="I4809" s="40" t="n">
        <x:f>ABS(H4809)</x:f>
        <x:v>1.9622993469238281</x:v>
      </x:c>
      <x:c r="J4809" s="40" t="n">
        <x:f>H4809^2</x:f>
        <x:v>3.8506187269376824</x:v>
      </x:c>
      <x:c r="K4809" s="40" t="n">
        <x:f>G4809-E4809</x:f>
        <x:v>0</x:v>
      </x:c>
      <x:c r="L4809" s="40" t="n">
        <x:f>ABS(K4809)</x:f>
        <x:v>0</x:v>
      </x:c>
      <x:c r="M4809" s="41" t="str">
        <x:v>lstm-soil-v1</x:v>
      </x:c>
    </x:row>
    <x:row r="4810">
      <x:c r="A4810" s="38" t="str">
        <x:v>7月30日现场数据</x:v>
      </x:c>
      <x:c r="B4810" s="39" t="str">
        <x:v>2026-08-04T17:40:00</x:v>
      </x:c>
      <x:c r="C4810" s="39" t="str">
        <x:v>2026-08-04T18:10:00</x:v>
      </x:c>
      <x:c r="D4810" s="47" t="n">
        <x:v>30</x:v>
      </x:c>
      <x:c r="E4810" s="40" t="n">
        <x:v>12</x:v>
      </x:c>
      <x:c r="F4810" s="40" t="n">
        <x:v>10.460941314697266</x:v>
      </x:c>
      <x:c r="G4810" s="40" t="n">
        <x:v>12</x:v>
      </x:c>
      <x:c r="H4810" s="40" t="n">
        <x:f>F4810-E4810</x:f>
        <x:v>-1.5390586853027344</x:v>
      </x:c>
      <x:c r="I4810" s="40" t="n">
        <x:f>ABS(H4810)</x:f>
        <x:v>1.5390586853027344</x:v>
      </x:c>
      <x:c r="J4810" s="40" t="n">
        <x:f>H4810^2</x:f>
        <x:v>2.368701636805781</x:v>
      </x:c>
      <x:c r="K4810" s="40" t="n">
        <x:f>G4810-E4810</x:f>
        <x:v>0</x:v>
      </x:c>
      <x:c r="L4810" s="40" t="n">
        <x:f>ABS(K4810)</x:f>
        <x:v>0</x:v>
      </x:c>
      <x:c r="M4810" s="41" t="str">
        <x:v>lstm-soil-v1</x:v>
      </x:c>
    </x:row>
    <x:row r="4811">
      <x:c r="A4811" s="38" t="str">
        <x:v>7月30日现场数据</x:v>
      </x:c>
      <x:c r="B4811" s="39" t="str">
        <x:v>2026-08-04T17:40:00</x:v>
      </x:c>
      <x:c r="C4811" s="39" t="str">
        <x:v>2026-08-04T18:40:00</x:v>
      </x:c>
      <x:c r="D4811" s="47" t="n">
        <x:v>60</x:v>
      </x:c>
      <x:c r="E4811" s="40" t="n">
        <x:v>11.9</x:v>
      </x:c>
      <x:c r="F4811" s="40" t="n">
        <x:v>12.15932846069336</x:v>
      </x:c>
      <x:c r="G4811" s="40" t="n">
        <x:v>12</x:v>
      </x:c>
      <x:c r="H4811" s="40" t="n">
        <x:f>F4811-E4811</x:f>
        <x:v>0.259328460693359</x:v>
      </x:c>
      <x:c r="I4811" s="40" t="n">
        <x:f>ABS(H4811)</x:f>
        <x:v>0.259328460693359</x:v>
      </x:c>
      <x:c r="J4811" s="40" t="n">
        <x:f>H4811^2</x:f>
        <x:v>0.06725125052558706</x:v>
      </x:c>
      <x:c r="K4811" s="40" t="n">
        <x:f>G4811-E4811</x:f>
        <x:v>0.09999999999999964</x:v>
      </x:c>
      <x:c r="L4811" s="40" t="n">
        <x:f>ABS(K4811)</x:f>
        <x:v>0.09999999999999964</x:v>
      </x:c>
      <x:c r="M4811" s="41" t="str">
        <x:v>lstm-soil-v1</x:v>
      </x:c>
    </x:row>
    <x:row r="4812">
      <x:c r="A4812" s="38" t="str">
        <x:v>7月30日现场数据</x:v>
      </x:c>
      <x:c r="B4812" s="39" t="str">
        <x:v>2026-08-04T17:45:00</x:v>
      </x:c>
      <x:c r="C4812" s="39" t="str">
        <x:v>2026-08-04T17:50:00</x:v>
      </x:c>
      <x:c r="D4812" s="47" t="n">
        <x:v>5</x:v>
      </x:c>
      <x:c r="E4812" s="40" t="n">
        <x:v>12</x:v>
      </x:c>
      <x:c r="F4812" s="40" t="n">
        <x:v>9.967403411865234</x:v>
      </x:c>
      <x:c r="G4812" s="40" t="n">
        <x:v>12</x:v>
      </x:c>
      <x:c r="H4812" s="40" t="n">
        <x:f>F4812-E4812</x:f>
        <x:v>-2.0325965881347656</x:v>
      </x:c>
      <x:c r="I4812" s="40" t="n">
        <x:f>ABS(H4812)</x:f>
        <x:v>2.0325965881347656</x:v>
      </x:c>
      <x:c r="J4812" s="40" t="n">
        <x:f>H4812^2</x:f>
        <x:v>4.13144889009709</x:v>
      </x:c>
      <x:c r="K4812" s="40" t="n">
        <x:f>G4812-E4812</x:f>
        <x:v>0</x:v>
      </x:c>
      <x:c r="L4812" s="40" t="n">
        <x:f>ABS(K4812)</x:f>
        <x:v>0</x:v>
      </x:c>
      <x:c r="M4812" s="41" t="str">
        <x:v>lstm-soil-v1</x:v>
      </x:c>
    </x:row>
    <x:row r="4813">
      <x:c r="A4813" s="38" t="str">
        <x:v>7月30日现场数据</x:v>
      </x:c>
      <x:c r="B4813" s="39" t="str">
        <x:v>2026-08-04T17:45:00</x:v>
      </x:c>
      <x:c r="C4813" s="39" t="str">
        <x:v>2026-08-04T18:00:00</x:v>
      </x:c>
      <x:c r="D4813" s="47" t="n">
        <x:v>15</x:v>
      </x:c>
      <x:c r="E4813" s="40" t="n">
        <x:v>12</x:v>
      </x:c>
      <x:c r="F4813" s="40" t="n">
        <x:v>10.037239074707031</x:v>
      </x:c>
      <x:c r="G4813" s="40" t="n">
        <x:v>12</x:v>
      </x:c>
      <x:c r="H4813" s="40" t="n">
        <x:f>F4813-E4813</x:f>
        <x:v>-1.9627609252929688</x:v>
      </x:c>
      <x:c r="I4813" s="40" t="n">
        <x:f>ABS(H4813)</x:f>
        <x:v>1.9627609252929688</x:v>
      </x:c>
      <x:c r="J4813" s="40" t="n">
        <x:f>H4813^2</x:f>
        <x:v>3.852430449856911</x:v>
      </x:c>
      <x:c r="K4813" s="40" t="n">
        <x:f>G4813-E4813</x:f>
        <x:v>0</x:v>
      </x:c>
      <x:c r="L4813" s="40" t="n">
        <x:f>ABS(K4813)</x:f>
        <x:v>0</x:v>
      </x:c>
      <x:c r="M4813" s="41" t="str">
        <x:v>lstm-soil-v1</x:v>
      </x:c>
    </x:row>
    <x:row r="4814">
      <x:c r="A4814" s="38" t="str">
        <x:v>7月30日现场数据</x:v>
      </x:c>
      <x:c r="B4814" s="39" t="str">
        <x:v>2026-08-04T17:45:00</x:v>
      </x:c>
      <x:c r="C4814" s="39" t="str">
        <x:v>2026-08-04T18:15:00</x:v>
      </x:c>
      <x:c r="D4814" s="47" t="n">
        <x:v>30</x:v>
      </x:c>
      <x:c r="E4814" s="40" t="n">
        <x:v>11.8</x:v>
      </x:c>
      <x:c r="F4814" s="40" t="n">
        <x:v>10.460712432861328</x:v>
      </x:c>
      <x:c r="G4814" s="40" t="n">
        <x:v>12</x:v>
      </x:c>
      <x:c r="H4814" s="40" t="n">
        <x:f>F4814-E4814</x:f>
        <x:v>-1.3392875671386726</x:v>
      </x:c>
      <x:c r="I4814" s="40" t="n">
        <x:f>ABS(H4814)</x:f>
        <x:v>1.3392875671386726</x:v>
      </x:c>
      <x:c r="J4814" s="40" t="n">
        <x:f>H4814^2</x:f>
        <x:v>1.7936911874922243</x:v>
      </x:c>
      <x:c r="K4814" s="40" t="n">
        <x:f>G4814-E4814</x:f>
        <x:v>0.1999999999999993</x:v>
      </x:c>
      <x:c r="L4814" s="40" t="n">
        <x:f>ABS(K4814)</x:f>
        <x:v>0.1999999999999993</x:v>
      </x:c>
      <x:c r="M4814" s="41" t="str">
        <x:v>lstm-soil-v1</x:v>
      </x:c>
    </x:row>
    <x:row r="4815">
      <x:c r="A4815" s="38" t="str">
        <x:v>7月30日现场数据</x:v>
      </x:c>
      <x:c r="B4815" s="39" t="str">
        <x:v>2026-08-04T17:45:00</x:v>
      </x:c>
      <x:c r="C4815" s="39" t="str">
        <x:v>2026-08-04T18:45:00</x:v>
      </x:c>
      <x:c r="D4815" s="47" t="n">
        <x:v>60</x:v>
      </x:c>
      <x:c r="E4815" s="40" t="n">
        <x:v>11.9</x:v>
      </x:c>
      <x:c r="F4815" s="40" t="n">
        <x:v>12.159137725830078</x:v>
      </x:c>
      <x:c r="G4815" s="40" t="n">
        <x:v>12</x:v>
      </x:c>
      <x:c r="H4815" s="40" t="n">
        <x:f>F4815-E4815</x:f>
        <x:v>0.25913772583007777</x:v>
      </x:c>
      <x:c r="I4815" s="40" t="n">
        <x:f>ABS(H4815)</x:f>
        <x:v>0.25913772583007777</x:v>
      </x:c>
      <x:c r="J4815" s="40" t="n">
        <x:f>H4815^2</x:f>
        <x:v>0.06715236094838456</x:v>
      </x:c>
      <x:c r="K4815" s="40" t="n">
        <x:f>G4815-E4815</x:f>
        <x:v>0.09999999999999964</x:v>
      </x:c>
      <x:c r="L4815" s="40" t="n">
        <x:f>ABS(K4815)</x:f>
        <x:v>0.09999999999999964</x:v>
      </x:c>
      <x:c r="M4815" s="41" t="str">
        <x:v>lstm-soil-v1</x:v>
      </x:c>
    </x:row>
    <x:row r="4816">
      <x:c r="A4816" s="38" t="str">
        <x:v>7月30日现场数据</x:v>
      </x:c>
      <x:c r="B4816" s="39" t="str">
        <x:v>2026-08-04T17:50:00</x:v>
      </x:c>
      <x:c r="C4816" s="39" t="str">
        <x:v>2026-08-04T17:55:00</x:v>
      </x:c>
      <x:c r="D4816" s="47" t="n">
        <x:v>5</x:v>
      </x:c>
      <x:c r="E4816" s="40" t="n">
        <x:v>12</x:v>
      </x:c>
      <x:c r="F4816" s="40" t="n">
        <x:v>9.971206665039062</x:v>
      </x:c>
      <x:c r="G4816" s="40" t="n">
        <x:v>12</x:v>
      </x:c>
      <x:c r="H4816" s="40" t="n">
        <x:f>F4816-E4816</x:f>
        <x:v>-2.0287933349609375</x:v>
      </x:c>
      <x:c r="I4816" s="40" t="n">
        <x:f>ABS(H4816)</x:f>
        <x:v>2.0287933349609375</x:v>
      </x:c>
      <x:c r="J4816" s="40" t="n">
        <x:f>H4816^2</x:f>
        <x:v>4.116002395981923</x:v>
      </x:c>
      <x:c r="K4816" s="40" t="n">
        <x:f>G4816-E4816</x:f>
        <x:v>0</x:v>
      </x:c>
      <x:c r="L4816" s="40" t="n">
        <x:f>ABS(K4816)</x:f>
        <x:v>0</x:v>
      </x:c>
      <x:c r="M4816" s="41" t="str">
        <x:v>lstm-soil-v1</x:v>
      </x:c>
    </x:row>
    <x:row r="4817">
      <x:c r="A4817" s="38" t="str">
        <x:v>7月30日现场数据</x:v>
      </x:c>
      <x:c r="B4817" s="39" t="str">
        <x:v>2026-08-04T17:50:00</x:v>
      </x:c>
      <x:c r="C4817" s="39" t="str">
        <x:v>2026-08-04T18:05:00</x:v>
      </x:c>
      <x:c r="D4817" s="47" t="n">
        <x:v>15</x:v>
      </x:c>
      <x:c r="E4817" s="40" t="n">
        <x:v>12</x:v>
      </x:c>
      <x:c r="F4817" s="40" t="n">
        <x:v>10.04427719116211</x:v>
      </x:c>
      <x:c r="G4817" s="40" t="n">
        <x:v>12</x:v>
      </x:c>
      <x:c r="H4817" s="40" t="n">
        <x:f>F4817-E4817</x:f>
        <x:v>-1.9557228088378906</x:v>
      </x:c>
      <x:c r="I4817" s="40" t="n">
        <x:f>ABS(H4817)</x:f>
        <x:v>1.9557228088378906</x:v>
      </x:c>
      <x:c r="J4817" s="40" t="n">
        <x:f>H4817^2</x:f>
        <x:v>3.8248517050087685</x:v>
      </x:c>
      <x:c r="K4817" s="40" t="n">
        <x:f>G4817-E4817</x:f>
        <x:v>0</x:v>
      </x:c>
      <x:c r="L4817" s="40" t="n">
        <x:f>ABS(K4817)</x:f>
        <x:v>0</x:v>
      </x:c>
      <x:c r="M4817" s="41" t="str">
        <x:v>lstm-soil-v1</x:v>
      </x:c>
    </x:row>
    <x:row r="4818">
      <x:c r="A4818" s="38" t="str">
        <x:v>7月30日现场数据</x:v>
      </x:c>
      <x:c r="B4818" s="39" t="str">
        <x:v>2026-08-04T17:50:00</x:v>
      </x:c>
      <x:c r="C4818" s="39" t="str">
        <x:v>2026-08-04T18:20:00</x:v>
      </x:c>
      <x:c r="D4818" s="47" t="n">
        <x:v>30</x:v>
      </x:c>
      <x:c r="E4818" s="40" t="n">
        <x:v>11.9</x:v>
      </x:c>
      <x:c r="F4818" s="40" t="n">
        <x:v>10.464191436767578</x:v>
      </x:c>
      <x:c r="G4818" s="40" t="n">
        <x:v>12</x:v>
      </x:c>
      <x:c r="H4818" s="40" t="n">
        <x:f>F4818-E4818</x:f>
        <x:v>-1.4358085632324222</x:v>
      </x:c>
      <x:c r="I4818" s="40" t="n">
        <x:f>ABS(H4818)</x:f>
        <x:v>1.4358085632324222</x:v>
      </x:c>
      <x:c r="J4818" s="40" t="n">
        <x:f>H4818^2</x:f>
        <x:v>2.061546230251553</x:v>
      </x:c>
      <x:c r="K4818" s="40" t="n">
        <x:f>G4818-E4818</x:f>
        <x:v>0.09999999999999964</x:v>
      </x:c>
      <x:c r="L4818" s="40" t="n">
        <x:f>ABS(K4818)</x:f>
        <x:v>0.09999999999999964</x:v>
      </x:c>
      <x:c r="M4818" s="41" t="str">
        <x:v>lstm-soil-v1</x:v>
      </x:c>
    </x:row>
    <x:row r="4819">
      <x:c r="A4819" s="38" t="str">
        <x:v>7月30日现场数据</x:v>
      </x:c>
      <x:c r="B4819" s="39" t="str">
        <x:v>2026-08-04T17:50:00</x:v>
      </x:c>
      <x:c r="C4819" s="39" t="str">
        <x:v>2026-08-04T18:50:00</x:v>
      </x:c>
      <x:c r="D4819" s="47" t="n">
        <x:v>60</x:v>
      </x:c>
      <x:c r="E4819" s="40" t="n">
        <x:v>11.9</x:v>
      </x:c>
      <x:c r="F4819" s="40" t="n">
        <x:v>12.16891098022461</x:v>
      </x:c>
      <x:c r="G4819" s="40" t="n">
        <x:v>12</x:v>
      </x:c>
      <x:c r="H4819" s="40" t="n">
        <x:f>F4819-E4819</x:f>
        <x:v>0.268910980224609</x:v>
      </x:c>
      <x:c r="I4819" s="40" t="n">
        <x:f>ABS(H4819)</x:f>
        <x:v>0.268910980224609</x:v>
      </x:c>
      <x:c r="J4819" s="40" t="n">
        <x:f>H4819^2</x:f>
        <x:v>0.07231311528536007</x:v>
      </x:c>
      <x:c r="K4819" s="40" t="n">
        <x:f>G4819-E4819</x:f>
        <x:v>0.09999999999999964</x:v>
      </x:c>
      <x:c r="L4819" s="40" t="n">
        <x:f>ABS(K4819)</x:f>
        <x:v>0.09999999999999964</x:v>
      </x:c>
      <x:c r="M4819" s="41" t="str">
        <x:v>lstm-soil-v1</x:v>
      </x:c>
    </x:row>
    <x:row r="4820">
      <x:c r="A4820" s="38" t="str">
        <x:v>7月30日现场数据</x:v>
      </x:c>
      <x:c r="B4820" s="39" t="str">
        <x:v>2026-08-04T17:55:00</x:v>
      </x:c>
      <x:c r="C4820" s="39" t="str">
        <x:v>2026-08-04T18:00:00</x:v>
      </x:c>
      <x:c r="D4820" s="47" t="n">
        <x:v>5</x:v>
      </x:c>
      <x:c r="E4820" s="40" t="n">
        <x:v>12</x:v>
      </x:c>
      <x:c r="F4820" s="40" t="n">
        <x:v>9.964607238769531</x:v>
      </x:c>
      <x:c r="G4820" s="40" t="n">
        <x:v>12</x:v>
      </x:c>
      <x:c r="H4820" s="40" t="n">
        <x:f>F4820-E4820</x:f>
        <x:v>-2.0353927612304688</x:v>
      </x:c>
      <x:c r="I4820" s="40" t="n">
        <x:f>ABS(H4820)</x:f>
        <x:v>2.0353927612304688</x:v>
      </x:c>
      <x:c r="J4820" s="40" t="n">
        <x:f>H4820^2</x:f>
        <x:v>4.142823692469392</x:v>
      </x:c>
      <x:c r="K4820" s="40" t="n">
        <x:f>G4820-E4820</x:f>
        <x:v>0</x:v>
      </x:c>
      <x:c r="L4820" s="40" t="n">
        <x:f>ABS(K4820)</x:f>
        <x:v>0</x:v>
      </x:c>
      <x:c r="M4820" s="41" t="str">
        <x:v>lstm-soil-v1</x:v>
      </x:c>
    </x:row>
    <x:row r="4821">
      <x:c r="A4821" s="38" t="str">
        <x:v>7月30日现场数据</x:v>
      </x:c>
      <x:c r="B4821" s="39" t="str">
        <x:v>2026-08-04T17:55:00</x:v>
      </x:c>
      <x:c r="C4821" s="39" t="str">
        <x:v>2026-08-04T18:10:00</x:v>
      </x:c>
      <x:c r="D4821" s="47" t="n">
        <x:v>15</x:v>
      </x:c>
      <x:c r="E4821" s="40" t="n">
        <x:v>12</x:v>
      </x:c>
      <x:c r="F4821" s="40" t="n">
        <x:v>10.040580749511719</x:v>
      </x:c>
      <x:c r="G4821" s="40" t="n">
        <x:v>12</x:v>
      </x:c>
      <x:c r="H4821" s="40" t="n">
        <x:f>F4821-E4821</x:f>
        <x:v>-1.9594192504882812</x:v>
      </x:c>
      <x:c r="I4821" s="40" t="n">
        <x:f>ABS(H4821)</x:f>
        <x:v>1.9594192504882812</x:v>
      </x:c>
      <x:c r="J4821" s="40" t="n">
        <x:f>H4821^2</x:f>
        <x:v>3.839323799184058</x:v>
      </x:c>
      <x:c r="K4821" s="40" t="n">
        <x:f>G4821-E4821</x:f>
        <x:v>0</x:v>
      </x:c>
      <x:c r="L4821" s="40" t="n">
        <x:f>ABS(K4821)</x:f>
        <x:v>0</x:v>
      </x:c>
      <x:c r="M4821" s="41" t="str">
        <x:v>lstm-soil-v1</x:v>
      </x:c>
    </x:row>
    <x:row r="4822">
      <x:c r="A4822" s="38" t="str">
        <x:v>7月30日现场数据</x:v>
      </x:c>
      <x:c r="B4822" s="39" t="str">
        <x:v>2026-08-04T17:55:00</x:v>
      </x:c>
      <x:c r="C4822" s="39" t="str">
        <x:v>2026-08-04T18:25:00</x:v>
      </x:c>
      <x:c r="D4822" s="47" t="n">
        <x:v>30</x:v>
      </x:c>
      <x:c r="E4822" s="40" t="n">
        <x:v>11.9</x:v>
      </x:c>
      <x:c r="F4822" s="40" t="n">
        <x:v>10.455135345458984</x:v>
      </x:c>
      <x:c r="G4822" s="40" t="n">
        <x:v>12</x:v>
      </x:c>
      <x:c r="H4822" s="40" t="n">
        <x:f>F4822-E4822</x:f>
        <x:v>-1.444864654541016</x:v>
      </x:c>
      <x:c r="I4822" s="40" t="n">
        <x:f>ABS(H4822)</x:f>
        <x:v>1.444864654541016</x:v>
      </x:c>
      <x:c r="J4822" s="40" t="n">
        <x:f>H4822^2</x:f>
        <x:v>2.0876338699419295</x:v>
      </x:c>
      <x:c r="K4822" s="40" t="n">
        <x:f>G4822-E4822</x:f>
        <x:v>0.09999999999999964</x:v>
      </x:c>
      <x:c r="L4822" s="40" t="n">
        <x:f>ABS(K4822)</x:f>
        <x:v>0.09999999999999964</x:v>
      </x:c>
      <x:c r="M4822" s="41" t="str">
        <x:v>lstm-soil-v1</x:v>
      </x:c>
    </x:row>
    <x:row r="4823">
      <x:c r="A4823" s="38" t="str">
        <x:v>7月30日现场数据</x:v>
      </x:c>
      <x:c r="B4823" s="39" t="str">
        <x:v>2026-08-04T17:55:00</x:v>
      </x:c>
      <x:c r="C4823" s="39" t="str">
        <x:v>2026-08-04T18:55:00</x:v>
      </x:c>
      <x:c r="D4823" s="47" t="n">
        <x:v>60</x:v>
      </x:c>
      <x:c r="E4823" s="40" t="n">
        <x:v>16.5</x:v>
      </x:c>
      <x:c r="F4823" s="40" t="n">
        <x:v>12.155811309814453</x:v>
      </x:c>
      <x:c r="G4823" s="40" t="n">
        <x:v>12</x:v>
      </x:c>
      <x:c r="H4823" s="40" t="n">
        <x:f>F4823-E4823</x:f>
        <x:v>-4.344188690185547</x:v>
      </x:c>
      <x:c r="I4823" s="40" t="n">
        <x:f>ABS(H4823)</x:f>
        <x:v>4.344188690185547</x:v>
      </x:c>
      <x:c r="J4823" s="40" t="n">
        <x:f>H4823^2</x:f>
        <x:v>18.871975375936017</x:v>
      </x:c>
      <x:c r="K4823" s="40" t="n">
        <x:f>G4823-E4823</x:f>
        <x:v>-4.5</x:v>
      </x:c>
      <x:c r="L4823" s="40" t="n">
        <x:f>ABS(K4823)</x:f>
        <x:v>4.5</x:v>
      </x:c>
      <x:c r="M4823" s="41" t="str">
        <x:v>lstm-soil-v1</x:v>
      </x:c>
    </x:row>
    <x:row r="4824">
      <x:c r="A4824" s="38" t="str">
        <x:v>7月30日现场数据</x:v>
      </x:c>
      <x:c r="B4824" s="39" t="str">
        <x:v>2026-08-04T18:00:00</x:v>
      </x:c>
      <x:c r="C4824" s="39" t="str">
        <x:v>2026-08-04T18:05:00</x:v>
      </x:c>
      <x:c r="D4824" s="47" t="n">
        <x:v>5</x:v>
      </x:c>
      <x:c r="E4824" s="40" t="n">
        <x:v>12</x:v>
      </x:c>
      <x:c r="F4824" s="40" t="n">
        <x:v>9.963184356689453</x:v>
      </x:c>
      <x:c r="G4824" s="40" t="n">
        <x:v>12</x:v>
      </x:c>
      <x:c r="H4824" s="40" t="n">
        <x:f>F4824-E4824</x:f>
        <x:v>-2.036815643310547</x:v>
      </x:c>
      <x:c r="I4824" s="40" t="n">
        <x:f>ABS(H4824)</x:f>
        <x:v>2.036815643310547</x:v>
      </x:c>
      <x:c r="J4824" s="40" t="n">
        <x:f>H4824^2</x:f>
        <x:v>4.148617964834557</x:v>
      </x:c>
      <x:c r="K4824" s="40" t="n">
        <x:f>G4824-E4824</x:f>
        <x:v>0</x:v>
      </x:c>
      <x:c r="L4824" s="40" t="n">
        <x:f>ABS(K4824)</x:f>
        <x:v>0</x:v>
      </x:c>
      <x:c r="M4824" s="41" t="str">
        <x:v>lstm-soil-v1</x:v>
      </x:c>
    </x:row>
    <x:row r="4825">
      <x:c r="A4825" s="38" t="str">
        <x:v>7月30日现场数据</x:v>
      </x:c>
      <x:c r="B4825" s="39" t="str">
        <x:v>2026-08-04T18:00:00</x:v>
      </x:c>
      <x:c r="C4825" s="39" t="str">
        <x:v>2026-08-04T18:15:00</x:v>
      </x:c>
      <x:c r="D4825" s="47" t="n">
        <x:v>15</x:v>
      </x:c>
      <x:c r="E4825" s="40" t="n">
        <x:v>11.8</x:v>
      </x:c>
      <x:c r="F4825" s="40" t="n">
        <x:v>10.037113189697266</x:v>
      </x:c>
      <x:c r="G4825" s="40" t="n">
        <x:v>12</x:v>
      </x:c>
      <x:c r="H4825" s="40" t="n">
        <x:f>F4825-E4825</x:f>
        <x:v>-1.762886810302735</x:v>
      </x:c>
      <x:c r="I4825" s="40" t="n">
        <x:f>ABS(H4825)</x:f>
        <x:v>1.762886810302735</x:v>
      </x:c>
      <x:c r="J4825" s="40" t="n">
        <x:f>H4825^2</x:f>
        <x:v>3.1077699059393513</x:v>
      </x:c>
      <x:c r="K4825" s="40" t="n">
        <x:f>G4825-E4825</x:f>
        <x:v>0.1999999999999993</x:v>
      </x:c>
      <x:c r="L4825" s="40" t="n">
        <x:f>ABS(K4825)</x:f>
        <x:v>0.1999999999999993</x:v>
      </x:c>
      <x:c r="M4825" s="41" t="str">
        <x:v>lstm-soil-v1</x:v>
      </x:c>
    </x:row>
    <x:row r="4826">
      <x:c r="A4826" s="38" t="str">
        <x:v>7月30日现场数据</x:v>
      </x:c>
      <x:c r="B4826" s="39" t="str">
        <x:v>2026-08-04T18:00:00</x:v>
      </x:c>
      <x:c r="C4826" s="39" t="str">
        <x:v>2026-08-04T18:30:00</x:v>
      </x:c>
      <x:c r="D4826" s="47" t="n">
        <x:v>30</x:v>
      </x:c>
      <x:c r="E4826" s="40" t="n">
        <x:v>11.9</x:v>
      </x:c>
      <x:c r="F4826" s="40" t="n">
        <x:v>10.454021453857422</x:v>
      </x:c>
      <x:c r="G4826" s="40" t="n">
        <x:v>12</x:v>
      </x:c>
      <x:c r="H4826" s="40" t="n">
        <x:f>F4826-E4826</x:f>
        <x:v>-1.4459785461425785</x:v>
      </x:c>
      <x:c r="I4826" s="40" t="n">
        <x:f>ABS(H4826)</x:f>
        <x:v>1.4459785461425785</x:v>
      </x:c>
      <x:c r="J4826" s="40" t="n">
        <x:f>H4826^2</x:f>
        <x:v>2.090853955904605</x:v>
      </x:c>
      <x:c r="K4826" s="40" t="n">
        <x:f>G4826-E4826</x:f>
        <x:v>0.09999999999999964</x:v>
      </x:c>
      <x:c r="L4826" s="40" t="n">
        <x:f>ABS(K4826)</x:f>
        <x:v>0.09999999999999964</x:v>
      </x:c>
      <x:c r="M4826" s="41" t="str">
        <x:v>lstm-soil-v1</x:v>
      </x:c>
    </x:row>
    <x:row r="4827">
      <x:c r="A4827" s="38" t="str">
        <x:v>7月30日现场数据</x:v>
      </x:c>
      <x:c r="B4827" s="39" t="str">
        <x:v>2026-08-04T18:00:00</x:v>
      </x:c>
      <x:c r="C4827" s="39" t="str">
        <x:v>2026-08-04T19:00:00</x:v>
      </x:c>
      <x:c r="D4827" s="47" t="n">
        <x:v>60</x:v>
      </x:c>
      <x:c r="E4827" s="40" t="n">
        <x:v>17.2</x:v>
      </x:c>
      <x:c r="F4827" s="40" t="n">
        <x:v>12.150875091552734</x:v>
      </x:c>
      <x:c r="G4827" s="40" t="n">
        <x:v>12</x:v>
      </x:c>
      <x:c r="H4827" s="40" t="n">
        <x:f>F4827-E4827</x:f>
        <x:v>-5.049124908447265</x:v>
      </x:c>
      <x:c r="I4827" s="40" t="n">
        <x:f>ABS(H4827)</x:f>
        <x:v>5.049124908447265</x:v>
      </x:c>
      <x:c r="J4827" s="40" t="n">
        <x:f>H4827^2</x:f>
        <x:v>25.493662341102603</x:v>
      </x:c>
      <x:c r="K4827" s="40" t="n">
        <x:f>G4827-E4827</x:f>
        <x:v>-5.199999999999999</x:v>
      </x:c>
      <x:c r="L4827" s="40" t="n">
        <x:f>ABS(K4827)</x:f>
        <x:v>5.199999999999999</x:v>
      </x:c>
      <x:c r="M4827" s="41" t="str">
        <x:v>lstm-soil-v1</x:v>
      </x:c>
    </x:row>
    <x:row r="4828">
      <x:c r="A4828" s="38" t="str">
        <x:v>7月30日现场数据</x:v>
      </x:c>
      <x:c r="B4828" s="39" t="str">
        <x:v>2026-08-04T18:05:00</x:v>
      </x:c>
      <x:c r="C4828" s="39" t="str">
        <x:v>2026-08-04T18:10:00</x:v>
      </x:c>
      <x:c r="D4828" s="47" t="n">
        <x:v>5</x:v>
      </x:c>
      <x:c r="E4828" s="40" t="n">
        <x:v>12</x:v>
      </x:c>
      <x:c r="F4828" s="40" t="n">
        <x:v>9.962947845458984</x:v>
      </x:c>
      <x:c r="G4828" s="40" t="n">
        <x:v>12</x:v>
      </x:c>
      <x:c r="H4828" s="40" t="n">
        <x:f>F4828-E4828</x:f>
        <x:v>-2.0370521545410156</x:v>
      </x:c>
      <x:c r="I4828" s="40" t="n">
        <x:f>ABS(H4828)</x:f>
        <x:v>2.0370521545410156</x:v>
      </x:c>
      <x:c r="J4828" s="40" t="n">
        <x:f>H4828^2</x:f>
        <x:v>4.149581480320194</x:v>
      </x:c>
      <x:c r="K4828" s="40" t="n">
        <x:f>G4828-E4828</x:f>
        <x:v>0</x:v>
      </x:c>
      <x:c r="L4828" s="40" t="n">
        <x:f>ABS(K4828)</x:f>
        <x:v>0</x:v>
      </x:c>
      <x:c r="M4828" s="41" t="str">
        <x:v>lstm-soil-v1</x:v>
      </x:c>
    </x:row>
    <x:row r="4829">
      <x:c r="A4829" s="38" t="str">
        <x:v>7月30日现场数据</x:v>
      </x:c>
      <x:c r="B4829" s="39" t="str">
        <x:v>2026-08-04T18:05:00</x:v>
      </x:c>
      <x:c r="C4829" s="39" t="str">
        <x:v>2026-08-04T18:20:00</x:v>
      </x:c>
      <x:c r="D4829" s="47" t="n">
        <x:v>15</x:v>
      </x:c>
      <x:c r="E4829" s="40" t="n">
        <x:v>11.9</x:v>
      </x:c>
      <x:c r="F4829" s="40" t="n">
        <x:v>10.03458023071289</x:v>
      </x:c>
      <x:c r="G4829" s="40" t="n">
        <x:v>12</x:v>
      </x:c>
      <x:c r="H4829" s="40" t="n">
        <x:f>F4829-E4829</x:f>
        <x:v>-1.8654197692871097</x:v>
      </x:c>
      <x:c r="I4829" s="40" t="n">
        <x:f>ABS(H4829)</x:f>
        <x:v>1.8654197692871097</x:v>
      </x:c>
      <x:c r="J4829" s="40" t="n">
        <x:f>H4829^2</x:f>
        <x:v>3.4797909156471736</x:v>
      </x:c>
      <x:c r="K4829" s="40" t="n">
        <x:f>G4829-E4829</x:f>
        <x:v>0.09999999999999964</x:v>
      </x:c>
      <x:c r="L4829" s="40" t="n">
        <x:f>ABS(K4829)</x:f>
        <x:v>0.09999999999999964</x:v>
      </x:c>
      <x:c r="M4829" s="41" t="str">
        <x:v>lstm-soil-v1</x:v>
      </x:c>
    </x:row>
    <x:row r="4830">
      <x:c r="A4830" s="38" t="str">
        <x:v>7月30日现场数据</x:v>
      </x:c>
      <x:c r="B4830" s="39" t="str">
        <x:v>2026-08-04T18:05:00</x:v>
      </x:c>
      <x:c r="C4830" s="39" t="str">
        <x:v>2026-08-04T18:35:00</x:v>
      </x:c>
      <x:c r="D4830" s="47" t="n">
        <x:v>30</x:v>
      </x:c>
      <x:c r="E4830" s="40" t="n">
        <x:v>11.9</x:v>
      </x:c>
      <x:c r="F4830" s="40" t="n">
        <x:v>10.454383850097656</x:v>
      </x:c>
      <x:c r="G4830" s="40" t="n">
        <x:v>12</x:v>
      </x:c>
      <x:c r="H4830" s="40" t="n">
        <x:f>F4830-E4830</x:f>
        <x:v>-1.445616149902344</x:v>
      </x:c>
      <x:c r="I4830" s="40" t="n">
        <x:f>ABS(H4830)</x:f>
        <x:v>1.445616149902344</x:v>
      </x:c>
      <x:c r="J4830" s="40" t="n">
        <x:f>H4830^2</x:f>
        <x:v>2.0898060528584765</x:v>
      </x:c>
      <x:c r="K4830" s="40" t="n">
        <x:f>G4830-E4830</x:f>
        <x:v>0.09999999999999964</x:v>
      </x:c>
      <x:c r="L4830" s="40" t="n">
        <x:f>ABS(K4830)</x:f>
        <x:v>0.09999999999999964</x:v>
      </x:c>
      <x:c r="M4830" s="41" t="str">
        <x:v>lstm-soil-v1</x:v>
      </x:c>
    </x:row>
    <x:row r="4831">
      <x:c r="A4831" s="38" t="str">
        <x:v>7月30日现场数据</x:v>
      </x:c>
      <x:c r="B4831" s="39" t="str">
        <x:v>2026-08-04T18:05:00</x:v>
      </x:c>
      <x:c r="C4831" s="39" t="str">
        <x:v>2026-08-04T19:05:00</x:v>
      </x:c>
      <x:c r="D4831" s="47" t="n">
        <x:v>60</x:v>
      </x:c>
      <x:c r="E4831" s="40" t="n">
        <x:v>17.1</x:v>
      </x:c>
      <x:c r="F4831" s="40" t="n">
        <x:v>12.148506164550781</x:v>
      </x:c>
      <x:c r="G4831" s="40" t="n">
        <x:v>12</x:v>
      </x:c>
      <x:c r="H4831" s="40" t="n">
        <x:f>F4831-E4831</x:f>
        <x:v>-4.95149383544922</x:v>
      </x:c>
      <x:c r="I4831" s="40" t="n">
        <x:f>ABS(H4831)</x:f>
        <x:v>4.95149383544922</x:v>
      </x:c>
      <x:c r="J4831" s="40" t="n">
        <x:f>H4831^2</x:f>
        <x:v>24.51729120249163</x:v>
      </x:c>
      <x:c r="K4831" s="40" t="n">
        <x:f>G4831-E4831</x:f>
        <x:v>-5.100000000000001</x:v>
      </x:c>
      <x:c r="L4831" s="40" t="n">
        <x:f>ABS(K4831)</x:f>
        <x:v>5.100000000000001</x:v>
      </x:c>
      <x:c r="M4831" s="41" t="str">
        <x:v>lstm-soil-v1</x:v>
      </x:c>
    </x:row>
    <x:row r="4832">
      <x:c r="A4832" s="38" t="str">
        <x:v>7月30日现场数据</x:v>
      </x:c>
      <x:c r="B4832" s="39" t="str">
        <x:v>2026-08-04T18:10:00</x:v>
      </x:c>
      <x:c r="C4832" s="39" t="str">
        <x:v>2026-08-04T18:15:00</x:v>
      </x:c>
      <x:c r="D4832" s="47" t="n">
        <x:v>5</x:v>
      </x:c>
      <x:c r="E4832" s="40" t="n">
        <x:v>11.8</x:v>
      </x:c>
      <x:c r="F4832" s="40" t="n">
        <x:v>9.962776184082031</x:v>
      </x:c>
      <x:c r="G4832" s="40" t="n">
        <x:v>12</x:v>
      </x:c>
      <x:c r="H4832" s="40" t="n">
        <x:f>F4832-E4832</x:f>
        <x:v>-1.8372238159179695</x:v>
      </x:c>
      <x:c r="I4832" s="40" t="n">
        <x:f>ABS(H4832)</x:f>
        <x:v>1.8372238159179695</x:v>
      </x:c>
      <x:c r="J4832" s="40" t="n">
        <x:f>H4832^2</x:f>
        <x:v>3.375391349776185</x:v>
      </x:c>
      <x:c r="K4832" s="40" t="n">
        <x:f>G4832-E4832</x:f>
        <x:v>0.1999999999999993</x:v>
      </x:c>
      <x:c r="L4832" s="40" t="n">
        <x:f>ABS(K4832)</x:f>
        <x:v>0.1999999999999993</x:v>
      </x:c>
      <x:c r="M4832" s="41" t="str">
        <x:v>lstm-soil-v1</x:v>
      </x:c>
    </x:row>
    <x:row r="4833">
      <x:c r="A4833" s="38" t="str">
        <x:v>7月30日现场数据</x:v>
      </x:c>
      <x:c r="B4833" s="39" t="str">
        <x:v>2026-08-04T18:10:00</x:v>
      </x:c>
      <x:c r="C4833" s="39" t="str">
        <x:v>2026-08-04T18:25:00</x:v>
      </x:c>
      <x:c r="D4833" s="47" t="n">
        <x:v>15</x:v>
      </x:c>
      <x:c r="E4833" s="40" t="n">
        <x:v>11.9</x:v>
      </x:c>
      <x:c r="F4833" s="40" t="n">
        <x:v>10.032764434814453</x:v>
      </x:c>
      <x:c r="G4833" s="40" t="n">
        <x:v>12</x:v>
      </x:c>
      <x:c r="H4833" s="40" t="n">
        <x:f>F4833-E4833</x:f>
        <x:v>-1.8672355651855472</x:v>
      </x:c>
      <x:c r="I4833" s="40" t="n">
        <x:f>ABS(H4833)</x:f>
        <x:v>1.8672355651855472</x:v>
      </x:c>
      <x:c r="J4833" s="40" t="n">
        <x:f>H4833^2</x:f>
        <x:v>3.48656865589379</x:v>
      </x:c>
      <x:c r="K4833" s="40" t="n">
        <x:f>G4833-E4833</x:f>
        <x:v>0.09999999999999964</x:v>
      </x:c>
      <x:c r="L4833" s="40" t="n">
        <x:f>ABS(K4833)</x:f>
        <x:v>0.09999999999999964</x:v>
      </x:c>
      <x:c r="M4833" s="41" t="str">
        <x:v>lstm-soil-v1</x:v>
      </x:c>
    </x:row>
    <x:row r="4834">
      <x:c r="A4834" s="38" t="str">
        <x:v>7月30日现场数据</x:v>
      </x:c>
      <x:c r="B4834" s="39" t="str">
        <x:v>2026-08-04T18:10:00</x:v>
      </x:c>
      <x:c r="C4834" s="39" t="str">
        <x:v>2026-08-04T18:40:00</x:v>
      </x:c>
      <x:c r="D4834" s="47" t="n">
        <x:v>30</x:v>
      </x:c>
      <x:c r="E4834" s="40" t="n">
        <x:v>11.9</x:v>
      </x:c>
      <x:c r="F4834" s="40" t="n">
        <x:v>10.455093383789062</x:v>
      </x:c>
      <x:c r="G4834" s="40" t="n">
        <x:v>12</x:v>
      </x:c>
      <x:c r="H4834" s="40" t="n">
        <x:f>F4834-E4834</x:f>
        <x:v>-1.4449066162109379</x:v>
      </x:c>
      <x:c r="I4834" s="40" t="n">
        <x:f>ABS(H4834)</x:f>
        <x:v>1.4449066162109379</x:v>
      </x:c>
      <x:c r="J4834" s="40" t="n">
        <x:f>H4834^2</x:f>
        <x:v>2.0877551295701426</x:v>
      </x:c>
      <x:c r="K4834" s="40" t="n">
        <x:f>G4834-E4834</x:f>
        <x:v>0.09999999999999964</x:v>
      </x:c>
      <x:c r="L4834" s="40" t="n">
        <x:f>ABS(K4834)</x:f>
        <x:v>0.09999999999999964</x:v>
      </x:c>
      <x:c r="M4834" s="41" t="str">
        <x:v>lstm-soil-v1</x:v>
      </x:c>
    </x:row>
    <x:row r="4835">
      <x:c r="A4835" s="38" t="str">
        <x:v>7月30日现场数据</x:v>
      </x:c>
      <x:c r="B4835" s="39" t="str">
        <x:v>2026-08-04T18:10:00</x:v>
      </x:c>
      <x:c r="C4835" s="39" t="str">
        <x:v>2026-08-04T19:10:00</x:v>
      </x:c>
      <x:c r="D4835" s="47" t="n">
        <x:v>60</x:v>
      </x:c>
      <x:c r="E4835" s="40" t="n">
        <x:v>17</x:v>
      </x:c>
      <x:c r="F4835" s="40" t="n">
        <x:v>12.147270202636719</x:v>
      </x:c>
      <x:c r="G4835" s="40" t="n">
        <x:v>12</x:v>
      </x:c>
      <x:c r="H4835" s="40" t="n">
        <x:f>F4835-E4835</x:f>
        <x:v>-4.852729797363281</x:v>
      </x:c>
      <x:c r="I4835" s="40" t="n">
        <x:f>ABS(H4835)</x:f>
        <x:v>4.852729797363281</x:v>
      </x:c>
      <x:c r="J4835" s="40" t="n">
        <x:f>H4835^2</x:f>
        <x:v>23.548986486217473</x:v>
      </x:c>
      <x:c r="K4835" s="40" t="n">
        <x:f>G4835-E4835</x:f>
        <x:v>-5</x:v>
      </x:c>
      <x:c r="L4835" s="40" t="n">
        <x:f>ABS(K4835)</x:f>
        <x:v>5</x:v>
      </x:c>
      <x:c r="M4835" s="41" t="str">
        <x:v>lstm-soil-v1</x:v>
      </x:c>
    </x:row>
    <x:row r="4836">
      <x:c r="A4836" s="38" t="str">
        <x:v>7月30日现场数据</x:v>
      </x:c>
      <x:c r="B4836" s="39" t="str">
        <x:v>2026-08-04T18:15:00</x:v>
      </x:c>
      <x:c r="C4836" s="39" t="str">
        <x:v>2026-08-04T18:20:00</x:v>
      </x:c>
      <x:c r="D4836" s="47" t="n">
        <x:v>5</x:v>
      </x:c>
      <x:c r="E4836" s="40" t="n">
        <x:v>11.9</x:v>
      </x:c>
      <x:c r="F4836" s="40" t="n">
        <x:v>9.74203109741211</x:v>
      </x:c>
      <x:c r="G4836" s="40" t="n">
        <x:v>11.8</x:v>
      </x:c>
      <x:c r="H4836" s="40" t="n">
        <x:f>F4836-E4836</x:f>
        <x:v>-2.157968902587891</x:v>
      </x:c>
      <x:c r="I4836" s="40" t="n">
        <x:f>ABS(H4836)</x:f>
        <x:v>2.157968902587891</x:v>
      </x:c>
      <x:c r="J4836" s="40" t="n">
        <x:f>H4836^2</x:f>
        <x:v>4.656829784536386</x:v>
      </x:c>
      <x:c r="K4836" s="40" t="n">
        <x:f>G4836-E4836</x:f>
        <x:v>-0.09999999999999964</x:v>
      </x:c>
      <x:c r="L4836" s="40" t="n">
        <x:f>ABS(K4836)</x:f>
        <x:v>0.09999999999999964</x:v>
      </x:c>
      <x:c r="M4836" s="41" t="str">
        <x:v>lstm-soil-v1</x:v>
      </x:c>
    </x:row>
    <x:row r="4837">
      <x:c r="A4837" s="38" t="str">
        <x:v>7月30日现场数据</x:v>
      </x:c>
      <x:c r="B4837" s="39" t="str">
        <x:v>2026-08-04T18:15:00</x:v>
      </x:c>
      <x:c r="C4837" s="39" t="str">
        <x:v>2026-08-04T18:30:00</x:v>
      </x:c>
      <x:c r="D4837" s="47" t="n">
        <x:v>15</x:v>
      </x:c>
      <x:c r="E4837" s="40" t="n">
        <x:v>11.9</x:v>
      </x:c>
      <x:c r="F4837" s="40" t="n">
        <x:v>9.811111450195312</x:v>
      </x:c>
      <x:c r="G4837" s="40" t="n">
        <x:v>11.8</x:v>
      </x:c>
      <x:c r="H4837" s="40" t="n">
        <x:f>F4837-E4837</x:f>
        <x:v>-2.088888549804688</x:v>
      </x:c>
      <x:c r="I4837" s="40" t="n">
        <x:f>ABS(H4837)</x:f>
        <x:v>2.088888549804688</x:v>
      </x:c>
      <x:c r="J4837" s="40" t="n">
        <x:f>H4837^2</x:f>
        <x:v>4.363455373505132</x:v>
      </x:c>
      <x:c r="K4837" s="40" t="n">
        <x:f>G4837-E4837</x:f>
        <x:v>-0.09999999999999964</x:v>
      </x:c>
      <x:c r="L4837" s="40" t="n">
        <x:f>ABS(K4837)</x:f>
        <x:v>0.09999999999999964</x:v>
      </x:c>
      <x:c r="M4837" s="41" t="str">
        <x:v>lstm-soil-v1</x:v>
      </x:c>
    </x:row>
    <x:row r="4838">
      <x:c r="A4838" s="38" t="str">
        <x:v>7月30日现场数据</x:v>
      </x:c>
      <x:c r="B4838" s="39" t="str">
        <x:v>2026-08-04T18:15:00</x:v>
      </x:c>
      <x:c r="C4838" s="39" t="str">
        <x:v>2026-08-04T18:45:00</x:v>
      </x:c>
      <x:c r="D4838" s="47" t="n">
        <x:v>30</x:v>
      </x:c>
      <x:c r="E4838" s="40" t="n">
        <x:v>11.9</x:v>
      </x:c>
      <x:c r="F4838" s="40" t="n">
        <x:v>10.235450744628906</x:v>
      </x:c>
      <x:c r="G4838" s="40" t="n">
        <x:v>11.8</x:v>
      </x:c>
      <x:c r="H4838" s="40" t="n">
        <x:f>F4838-E4838</x:f>
        <x:v>-1.664549255371094</x:v>
      </x:c>
      <x:c r="I4838" s="40" t="n">
        <x:f>ABS(H4838)</x:f>
        <x:v>1.664549255371094</x:v>
      </x:c>
      <x:c r="J4838" s="40" t="n">
        <x:f>H4838^2</x:f>
        <x:v>2.770724223556464</x:v>
      </x:c>
      <x:c r="K4838" s="40" t="n">
        <x:f>G4838-E4838</x:f>
        <x:v>-0.09999999999999964</x:v>
      </x:c>
      <x:c r="L4838" s="40" t="n">
        <x:f>ABS(K4838)</x:f>
        <x:v>0.09999999999999964</x:v>
      </x:c>
      <x:c r="M4838" s="41" t="str">
        <x:v>lstm-soil-v1</x:v>
      </x:c>
    </x:row>
    <x:row r="4839">
      <x:c r="A4839" s="38" t="str">
        <x:v>7月30日现场数据</x:v>
      </x:c>
      <x:c r="B4839" s="39" t="str">
        <x:v>2026-08-04T18:15:00</x:v>
      </x:c>
      <x:c r="C4839" s="39" t="str">
        <x:v>2026-08-04T19:15:00</x:v>
      </x:c>
      <x:c r="D4839" s="47" t="n">
        <x:v>60</x:v>
      </x:c>
      <x:c r="E4839" s="40" t="n">
        <x:v>16.9</x:v>
      </x:c>
      <x:c r="F4839" s="40" t="n">
        <x:v>11.926143646240234</x:v>
      </x:c>
      <x:c r="G4839" s="40" t="n">
        <x:v>11.8</x:v>
      </x:c>
      <x:c r="H4839" s="40" t="n">
        <x:f>F4839-E4839</x:f>
        <x:v>-4.973856353759764</x:v>
      </x:c>
      <x:c r="I4839" s="40" t="n">
        <x:f>ABS(H4839)</x:f>
        <x:v>4.973856353759764</x:v>
      </x:c>
      <x:c r="J4839" s="40" t="n">
        <x:f>H4839^2</x:f>
        <x:v>24.739247027836377</x:v>
      </x:c>
      <x:c r="K4839" s="40" t="n">
        <x:f>G4839-E4839</x:f>
        <x:v>-5.099999999999998</x:v>
      </x:c>
      <x:c r="L4839" s="40" t="n">
        <x:f>ABS(K4839)</x:f>
        <x:v>5.099999999999998</x:v>
      </x:c>
      <x:c r="M4839" s="41" t="str">
        <x:v>lstm-soil-v1</x:v>
      </x:c>
    </x:row>
    <x:row r="4840">
      <x:c r="A4840" s="38" t="str">
        <x:v>7月30日现场数据</x:v>
      </x:c>
      <x:c r="B4840" s="39" t="str">
        <x:v>2026-08-04T18:20:00</x:v>
      </x:c>
      <x:c r="C4840" s="39" t="str">
        <x:v>2026-08-04T18:25:00</x:v>
      </x:c>
      <x:c r="D4840" s="47" t="n">
        <x:v>5</x:v>
      </x:c>
      <x:c r="E4840" s="40" t="n">
        <x:v>11.9</x:v>
      </x:c>
      <x:c r="F4840" s="40" t="n">
        <x:v>9.851924896240234</x:v>
      </x:c>
      <x:c r="G4840" s="40" t="n">
        <x:v>11.9</x:v>
      </x:c>
      <x:c r="H4840" s="40" t="n">
        <x:f>F4840-E4840</x:f>
        <x:v>-2.048075103759766</x:v>
      </x:c>
      <x:c r="I4840" s="40" t="n">
        <x:f>ABS(H4840)</x:f>
        <x:v>2.048075103759766</x:v>
      </x:c>
      <x:c r="J4840" s="40" t="n">
        <x:f>H4840^2</x:f>
        <x:v>4.194611630640576</x:v>
      </x:c>
      <x:c r="K4840" s="40" t="n">
        <x:f>G4840-E4840</x:f>
        <x:v>0</x:v>
      </x:c>
      <x:c r="L4840" s="40" t="n">
        <x:f>ABS(K4840)</x:f>
        <x:v>0</x:v>
      </x:c>
      <x:c r="M4840" s="41" t="str">
        <x:v>lstm-soil-v1</x:v>
      </x:c>
    </x:row>
    <x:row r="4841">
      <x:c r="A4841" s="38" t="str">
        <x:v>7月30日现场数据</x:v>
      </x:c>
      <x:c r="B4841" s="39" t="str">
        <x:v>2026-08-04T18:20:00</x:v>
      </x:c>
      <x:c r="C4841" s="39" t="str">
        <x:v>2026-08-04T18:35:00</x:v>
      </x:c>
      <x:c r="D4841" s="47" t="n">
        <x:v>15</x:v>
      </x:c>
      <x:c r="E4841" s="40" t="n">
        <x:v>11.9</x:v>
      </x:c>
      <x:c r="F4841" s="40" t="n">
        <x:v>9.920345306396484</x:v>
      </x:c>
      <x:c r="G4841" s="40" t="n">
        <x:v>11.9</x:v>
      </x:c>
      <x:c r="H4841" s="40" t="n">
        <x:f>F4841-E4841</x:f>
        <x:v>-1.979654693603516</x:v>
      </x:c>
      <x:c r="I4841" s="40" t="n">
        <x:f>ABS(H4841)</x:f>
        <x:v>1.979654693603516</x:v>
      </x:c>
      <x:c r="J4841" s="40" t="n">
        <x:f>H4841^2</x:f>
        <x:v>3.9190327059064307</x:v>
      </x:c>
      <x:c r="K4841" s="40" t="n">
        <x:f>G4841-E4841</x:f>
        <x:v>0</x:v>
      </x:c>
      <x:c r="L4841" s="40" t="n">
        <x:f>ABS(K4841)</x:f>
        <x:v>0</x:v>
      </x:c>
      <x:c r="M4841" s="41" t="str">
        <x:v>lstm-soil-v1</x:v>
      </x:c>
    </x:row>
    <x:row r="4842">
      <x:c r="A4842" s="38" t="str">
        <x:v>7月30日现场数据</x:v>
      </x:c>
      <x:c r="B4842" s="39" t="str">
        <x:v>2026-08-04T18:20:00</x:v>
      </x:c>
      <x:c r="C4842" s="39" t="str">
        <x:v>2026-08-04T18:50:00</x:v>
      </x:c>
      <x:c r="D4842" s="47" t="n">
        <x:v>30</x:v>
      </x:c>
      <x:c r="E4842" s="40" t="n">
        <x:v>11.9</x:v>
      </x:c>
      <x:c r="F4842" s="40" t="n">
        <x:v>10.346443176269531</x:v>
      </x:c>
      <x:c r="G4842" s="40" t="n">
        <x:v>11.9</x:v>
      </x:c>
      <x:c r="H4842" s="40" t="n">
        <x:f>F4842-E4842</x:f>
        <x:v>-1.553556823730469</x:v>
      </x:c>
      <x:c r="I4842" s="40" t="n">
        <x:f>ABS(H4842)</x:f>
        <x:v>1.553556823730469</x:v>
      </x:c>
      <x:c r="J4842" s="40" t="n">
        <x:f>H4842^2</x:f>
        <x:v>2.413538804559504</x:v>
      </x:c>
      <x:c r="K4842" s="40" t="n">
        <x:f>G4842-E4842</x:f>
        <x:v>0</x:v>
      </x:c>
      <x:c r="L4842" s="40" t="n">
        <x:f>ABS(K4842)</x:f>
        <x:v>0</x:v>
      </x:c>
      <x:c r="M4842" s="41" t="str">
        <x:v>lstm-soil-v1</x:v>
      </x:c>
    </x:row>
    <x:row r="4843">
      <x:c r="A4843" s="38" t="str">
        <x:v>7月30日现场数据</x:v>
      </x:c>
      <x:c r="B4843" s="39" t="str">
        <x:v>2026-08-04T18:20:00</x:v>
      </x:c>
      <x:c r="C4843" s="39" t="str">
        <x:v>2026-08-04T19:20:00</x:v>
      </x:c>
      <x:c r="D4843" s="47" t="n">
        <x:v>60</x:v>
      </x:c>
      <x:c r="E4843" s="40" t="n">
        <x:v>16.8</x:v>
      </x:c>
      <x:c r="F4843" s="40" t="n">
        <x:v>12.03609848022461</x:v>
      </x:c>
      <x:c r="G4843" s="40" t="n">
        <x:v>11.9</x:v>
      </x:c>
      <x:c r="H4843" s="40" t="n">
        <x:f>F4843-E4843</x:f>
        <x:v>-4.763901519775391</x:v>
      </x:c>
      <x:c r="I4843" s="40" t="n">
        <x:f>ABS(H4843)</x:f>
        <x:v>4.763901519775391</x:v>
      </x:c>
      <x:c r="J4843" s="40" t="n">
        <x:f>H4843^2</x:f>
        <x:v>22.694757690118283</x:v>
      </x:c>
      <x:c r="K4843" s="40" t="n">
        <x:f>G4843-E4843</x:f>
        <x:v>-4.9</x:v>
      </x:c>
      <x:c r="L4843" s="40" t="n">
        <x:f>ABS(K4843)</x:f>
        <x:v>4.9</x:v>
      </x:c>
      <x:c r="M4843" s="41" t="str">
        <x:v>lstm-soil-v1</x:v>
      </x:c>
    </x:row>
    <x:row r="4844">
      <x:c r="A4844" s="38" t="str">
        <x:v>7月30日现场数据</x:v>
      </x:c>
      <x:c r="B4844" s="39" t="str">
        <x:v>2026-08-04T18:25:00</x:v>
      </x:c>
      <x:c r="C4844" s="39" t="str">
        <x:v>2026-08-04T18:30:00</x:v>
      </x:c>
      <x:c r="D4844" s="47" t="n">
        <x:v>5</x:v>
      </x:c>
      <x:c r="E4844" s="40" t="n">
        <x:v>11.9</x:v>
      </x:c>
      <x:c r="F4844" s="40" t="n">
        <x:v>9.851932525634766</x:v>
      </x:c>
      <x:c r="G4844" s="40" t="n">
        <x:v>11.9</x:v>
      </x:c>
      <x:c r="H4844" s="40" t="n">
        <x:f>F4844-E4844</x:f>
        <x:v>-2.0480674743652347</x:v>
      </x:c>
      <x:c r="I4844" s="40" t="n">
        <x:f>ABS(H4844)</x:f>
        <x:v>2.0480674743652347</x:v>
      </x:c>
      <x:c r="J4844" s="40" t="n">
        <x:f>H4844^2</x:f>
        <x:v>4.194580379552791</x:v>
      </x:c>
      <x:c r="K4844" s="40" t="n">
        <x:f>G4844-E4844</x:f>
        <x:v>0</x:v>
      </x:c>
      <x:c r="L4844" s="40" t="n">
        <x:f>ABS(K4844)</x:f>
        <x:v>0</x:v>
      </x:c>
      <x:c r="M4844" s="41" t="str">
        <x:v>lstm-soil-v1</x:v>
      </x:c>
    </x:row>
    <x:row r="4845">
      <x:c r="A4845" s="38" t="str">
        <x:v>7月30日现场数据</x:v>
      </x:c>
      <x:c r="B4845" s="39" t="str">
        <x:v>2026-08-04T18:25:00</x:v>
      </x:c>
      <x:c r="C4845" s="39" t="str">
        <x:v>2026-08-04T18:40:00</x:v>
      </x:c>
      <x:c r="D4845" s="47" t="n">
        <x:v>15</x:v>
      </x:c>
      <x:c r="E4845" s="40" t="n">
        <x:v>11.9</x:v>
      </x:c>
      <x:c r="F4845" s="40" t="n">
        <x:v>9.91988754272461</x:v>
      </x:c>
      <x:c r="G4845" s="40" t="n">
        <x:v>11.9</x:v>
      </x:c>
      <x:c r="H4845" s="40" t="n">
        <x:f>F4845-E4845</x:f>
        <x:v>-1.980112457275391</x:v>
      </x:c>
      <x:c r="I4845" s="40" t="n">
        <x:f>ABS(H4845)</x:f>
        <x:v>1.980112457275391</x:v>
      </x:c>
      <x:c r="J4845" s="40" t="n">
        <x:f>H4845^2</x:f>
        <x:v>3.920845343457187</x:v>
      </x:c>
      <x:c r="K4845" s="40" t="n">
        <x:f>G4845-E4845</x:f>
        <x:v>0</x:v>
      </x:c>
      <x:c r="L4845" s="40" t="n">
        <x:f>ABS(K4845)</x:f>
        <x:v>0</x:v>
      </x:c>
      <x:c r="M4845" s="41" t="str">
        <x:v>lstm-soil-v1</x:v>
      </x:c>
    </x:row>
    <x:row r="4846">
      <x:c r="A4846" s="38" t="str">
        <x:v>7月30日现场数据</x:v>
      </x:c>
      <x:c r="B4846" s="39" t="str">
        <x:v>2026-08-04T18:25:00</x:v>
      </x:c>
      <x:c r="C4846" s="39" t="str">
        <x:v>2026-08-04T18:55:00</x:v>
      </x:c>
      <x:c r="D4846" s="47" t="n">
        <x:v>30</x:v>
      </x:c>
      <x:c r="E4846" s="40" t="n">
        <x:v>16.5</x:v>
      </x:c>
      <x:c r="F4846" s="40" t="n">
        <x:v>10.347373962402344</x:v>
      </x:c>
      <x:c r="G4846" s="40" t="n">
        <x:v>11.9</x:v>
      </x:c>
      <x:c r="H4846" s="40" t="n">
        <x:f>F4846-E4846</x:f>
        <x:v>-6.152626037597656</x:v>
      </x:c>
      <x:c r="I4846" s="40" t="n">
        <x:f>ABS(H4846)</x:f>
        <x:v>6.152626037597656</x:v>
      </x:c>
      <x:c r="J4846" s="40" t="n">
        <x:f>H4846^2</x:f>
        <x:v>37.854807158524636</x:v>
      </x:c>
      <x:c r="K4846" s="40" t="n">
        <x:f>G4846-E4846</x:f>
        <x:v>-4.6</x:v>
      </x:c>
      <x:c r="L4846" s="40" t="n">
        <x:f>ABS(K4846)</x:f>
        <x:v>4.6</x:v>
      </x:c>
      <x:c r="M4846" s="41" t="str">
        <x:v>lstm-soil-v1</x:v>
      </x:c>
    </x:row>
    <x:row r="4847">
      <x:c r="A4847" s="38" t="str">
        <x:v>7月30日现场数据</x:v>
      </x:c>
      <x:c r="B4847" s="39" t="str">
        <x:v>2026-08-04T18:25:00</x:v>
      </x:c>
      <x:c r="C4847" s="39" t="str">
        <x:v>2026-08-04T19:25:00</x:v>
      </x:c>
      <x:c r="D4847" s="47" t="n">
        <x:v>60</x:v>
      </x:c>
      <x:c r="E4847" s="40" t="n">
        <x:v>16.7</x:v>
      </x:c>
      <x:c r="F4847" s="40" t="n">
        <x:v>12.036312103271484</x:v>
      </x:c>
      <x:c r="G4847" s="40" t="n">
        <x:v>11.9</x:v>
      </x:c>
      <x:c r="H4847" s="40" t="n">
        <x:f>F4847-E4847</x:f>
        <x:v>-4.663687896728515</x:v>
      </x:c>
      <x:c r="I4847" s="40" t="n">
        <x:f>ABS(H4847)</x:f>
        <x:v>4.663687896728515</x:v>
      </x:c>
      <x:c r="J4847" s="40" t="n">
        <x:f>H4847^2</x:f>
        <x:v>21.74998479809204</x:v>
      </x:c>
      <x:c r="K4847" s="40" t="n">
        <x:f>G4847-E4847</x:f>
        <x:v>-4.799999999999999</x:v>
      </x:c>
      <x:c r="L4847" s="40" t="n">
        <x:f>ABS(K4847)</x:f>
        <x:v>4.799999999999999</x:v>
      </x:c>
      <x:c r="M4847" s="41" t="str">
        <x:v>lstm-soil-v1</x:v>
      </x:c>
    </x:row>
    <x:row r="4848">
      <x:c r="A4848" s="38" t="str">
        <x:v>7月30日现场数据</x:v>
      </x:c>
      <x:c r="B4848" s="39" t="str">
        <x:v>2026-08-04T18:30:00</x:v>
      </x:c>
      <x:c r="C4848" s="39" t="str">
        <x:v>2026-08-04T18:35:00</x:v>
      </x:c>
      <x:c r="D4848" s="47" t="n">
        <x:v>5</x:v>
      </x:c>
      <x:c r="E4848" s="40" t="n">
        <x:v>11.9</x:v>
      </x:c>
      <x:c r="F4848" s="40" t="n">
        <x:v>9.851726531982422</x:v>
      </x:c>
      <x:c r="G4848" s="40" t="n">
        <x:v>11.9</x:v>
      </x:c>
      <x:c r="H4848" s="40" t="n">
        <x:f>F4848-E4848</x:f>
        <x:v>-2.0482734680175785</x:v>
      </x:c>
      <x:c r="I4848" s="40" t="n">
        <x:f>ABS(H4848)</x:f>
        <x:v>2.0482734680175785</x:v>
      </x:c>
      <x:c r="J4848" s="40" t="n">
        <x:f>H4848^2</x:f>
        <x:v>4.195424199784758</x:v>
      </x:c>
      <x:c r="K4848" s="40" t="n">
        <x:f>G4848-E4848</x:f>
        <x:v>0</x:v>
      </x:c>
      <x:c r="L4848" s="40" t="n">
        <x:f>ABS(K4848)</x:f>
        <x:v>0</x:v>
      </x:c>
      <x:c r="M4848" s="41" t="str">
        <x:v>lstm-soil-v1</x:v>
      </x:c>
    </x:row>
    <x:row r="4849">
      <x:c r="A4849" s="38" t="str">
        <x:v>7月30日现场数据</x:v>
      </x:c>
      <x:c r="B4849" s="39" t="str">
        <x:v>2026-08-04T18:30:00</x:v>
      </x:c>
      <x:c r="C4849" s="39" t="str">
        <x:v>2026-08-04T18:45:00</x:v>
      </x:c>
      <x:c r="D4849" s="47" t="n">
        <x:v>15</x:v>
      </x:c>
      <x:c r="E4849" s="40" t="n">
        <x:v>11.9</x:v>
      </x:c>
      <x:c r="F4849" s="40" t="n">
        <x:v>9.919498443603516</x:v>
      </x:c>
      <x:c r="G4849" s="40" t="n">
        <x:v>11.9</x:v>
      </x:c>
      <x:c r="H4849" s="40" t="n">
        <x:f>F4849-E4849</x:f>
        <x:v>-1.9805015563964847</x:v>
      </x:c>
      <x:c r="I4849" s="40" t="n">
        <x:f>ABS(H4849)</x:f>
        <x:v>1.9805015563964847</x:v>
      </x:c>
      <x:c r="J4849" s="40" t="n">
        <x:f>H4849^2</x:f>
        <x:v>3.9223864148888983</x:v>
      </x:c>
      <x:c r="K4849" s="40" t="n">
        <x:f>G4849-E4849</x:f>
        <x:v>0</x:v>
      </x:c>
      <x:c r="L4849" s="40" t="n">
        <x:f>ABS(K4849)</x:f>
        <x:v>0</x:v>
      </x:c>
      <x:c r="M4849" s="41" t="str">
        <x:v>lstm-soil-v1</x:v>
      </x:c>
    </x:row>
    <x:row r="4850">
      <x:c r="A4850" s="38" t="str">
        <x:v>7月30日现场数据</x:v>
      </x:c>
      <x:c r="B4850" s="39" t="str">
        <x:v>2026-08-04T18:30:00</x:v>
      </x:c>
      <x:c r="C4850" s="39" t="str">
        <x:v>2026-08-04T19:00:00</x:v>
      </x:c>
      <x:c r="D4850" s="47" t="n">
        <x:v>30</x:v>
      </x:c>
      <x:c r="E4850" s="40" t="n">
        <x:v>17.2</x:v>
      </x:c>
      <x:c r="F4850" s="40" t="n">
        <x:v>10.34774398803711</x:v>
      </x:c>
      <x:c r="G4850" s="40" t="n">
        <x:v>11.9</x:v>
      </x:c>
      <x:c r="H4850" s="40" t="n">
        <x:f>F4850-E4850</x:f>
        <x:v>-6.85225601196289</x:v>
      </x:c>
      <x:c r="I4850" s="40" t="n">
        <x:f>ABS(H4850)</x:f>
        <x:v>6.85225601196289</x:v>
      </x:c>
      <x:c r="J4850" s="40" t="n">
        <x:f>H4850^2</x:f>
        <x:v>46.95341245348157</x:v>
      </x:c>
      <x:c r="K4850" s="40" t="n">
        <x:f>G4850-E4850</x:f>
        <x:v>-5.299999999999999</x:v>
      </x:c>
      <x:c r="L4850" s="40" t="n">
        <x:f>ABS(K4850)</x:f>
        <x:v>5.299999999999999</x:v>
      </x:c>
      <x:c r="M4850" s="41" t="str">
        <x:v>lstm-soil-v1</x:v>
      </x:c>
    </x:row>
    <x:row r="4851">
      <x:c r="A4851" s="38" t="str">
        <x:v>7月30日现场数据</x:v>
      </x:c>
      <x:c r="B4851" s="39" t="str">
        <x:v>2026-08-04T18:30:00</x:v>
      </x:c>
      <x:c r="C4851" s="39" t="str">
        <x:v>2026-08-04T19:30:00</x:v>
      </x:c>
      <x:c r="D4851" s="47" t="n">
        <x:v>60</x:v>
      </x:c>
      <x:c r="E4851" s="40" t="n">
        <x:v>16.6</x:v>
      </x:c>
      <x:c r="F4851" s="40" t="n">
        <x:v>12.036300659179688</x:v>
      </x:c>
      <x:c r="G4851" s="40" t="n">
        <x:v>11.9</x:v>
      </x:c>
      <x:c r="H4851" s="40" t="n">
        <x:f>F4851-E4851</x:f>
        <x:v>-4.563699340820314</x:v>
      </x:c>
      <x:c r="I4851" s="40" t="n">
        <x:f>ABS(H4851)</x:f>
        <x:v>4.563699340820314</x:v>
      </x:c>
      <x:c r="J4851" s="40" t="n">
        <x:f>H4851^2</x:f>
        <x:v>20.82735167340377</x:v>
      </x:c>
      <x:c r="K4851" s="40" t="n">
        <x:f>G4851-E4851</x:f>
        <x:v>-4.700000000000001</x:v>
      </x:c>
      <x:c r="L4851" s="40" t="n">
        <x:f>ABS(K4851)</x:f>
        <x:v>4.700000000000001</x:v>
      </x:c>
      <x:c r="M4851" s="41" t="str">
        <x:v>lstm-soil-v1</x:v>
      </x:c>
    </x:row>
    <x:row r="4852">
      <x:c r="A4852" s="38" t="str">
        <x:v>7月30日现场数据</x:v>
      </x:c>
      <x:c r="B4852" s="39" t="str">
        <x:v>2026-08-04T18:35:00</x:v>
      </x:c>
      <x:c r="C4852" s="39" t="str">
        <x:v>2026-08-04T18:40:00</x:v>
      </x:c>
      <x:c r="D4852" s="47" t="n">
        <x:v>5</x:v>
      </x:c>
      <x:c r="E4852" s="40" t="n">
        <x:v>11.9</x:v>
      </x:c>
      <x:c r="F4852" s="40" t="n">
        <x:v>9.851348876953125</x:v>
      </x:c>
      <x:c r="G4852" s="40" t="n">
        <x:v>11.9</x:v>
      </x:c>
      <x:c r="H4852" s="40" t="n">
        <x:f>F4852-E4852</x:f>
        <x:v>-2.0486511230468754</x:v>
      </x:c>
      <x:c r="I4852" s="40" t="n">
        <x:f>ABS(H4852)</x:f>
        <x:v>2.0486511230468754</x:v>
      </x:c>
      <x:c r="J4852" s="40" t="n">
        <x:f>H4852^2</x:f>
        <x:v>4.196971423961224</x:v>
      </x:c>
      <x:c r="K4852" s="40" t="n">
        <x:f>G4852-E4852</x:f>
        <x:v>0</x:v>
      </x:c>
      <x:c r="L4852" s="40" t="n">
        <x:f>ABS(K4852)</x:f>
        <x:v>0</x:v>
      </x:c>
      <x:c r="M4852" s="41" t="str">
        <x:v>lstm-soil-v1</x:v>
      </x:c>
    </x:row>
    <x:row r="4853">
      <x:c r="A4853" s="38" t="str">
        <x:v>7月30日现场数据</x:v>
      </x:c>
      <x:c r="B4853" s="39" t="str">
        <x:v>2026-08-04T18:35:00</x:v>
      </x:c>
      <x:c r="C4853" s="39" t="str">
        <x:v>2026-08-04T18:50:00</x:v>
      </x:c>
      <x:c r="D4853" s="47" t="n">
        <x:v>15</x:v>
      </x:c>
      <x:c r="E4853" s="40" t="n">
        <x:v>11.9</x:v>
      </x:c>
      <x:c r="F4853" s="40" t="n">
        <x:v>9.919048309326172</x:v>
      </x:c>
      <x:c r="G4853" s="40" t="n">
        <x:v>11.9</x:v>
      </x:c>
      <x:c r="H4853" s="40" t="n">
        <x:f>F4853-E4853</x:f>
        <x:v>-1.9809516906738285</x:v>
      </x:c>
      <x:c r="I4853" s="40" t="n">
        <x:f>ABS(H4853)</x:f>
        <x:v>1.9809516906738285</x:v>
      </x:c>
      <x:c r="J4853" s="40" t="n">
        <x:f>H4853^2</x:f>
        <x:v>3.9241696007834994</x:v>
      </x:c>
      <x:c r="K4853" s="40" t="n">
        <x:f>G4853-E4853</x:f>
        <x:v>0</x:v>
      </x:c>
      <x:c r="L4853" s="40" t="n">
        <x:f>ABS(K4853)</x:f>
        <x:v>0</x:v>
      </x:c>
      <x:c r="M4853" s="41" t="str">
        <x:v>lstm-soil-v1</x:v>
      </x:c>
    </x:row>
    <x:row r="4854">
      <x:c r="A4854" s="38" t="str">
        <x:v>7月30日现场数据</x:v>
      </x:c>
      <x:c r="B4854" s="39" t="str">
        <x:v>2026-08-04T18:35:00</x:v>
      </x:c>
      <x:c r="C4854" s="39" t="str">
        <x:v>2026-08-04T19:05:00</x:v>
      </x:c>
      <x:c r="D4854" s="47" t="n">
        <x:v>30</x:v>
      </x:c>
      <x:c r="E4854" s="40" t="n">
        <x:v>17.1</x:v>
      </x:c>
      <x:c r="F4854" s="40" t="n">
        <x:v>10.347858428955078</x:v>
      </x:c>
      <x:c r="G4854" s="40" t="n">
        <x:v>11.9</x:v>
      </x:c>
      <x:c r="H4854" s="40" t="n">
        <x:f>F4854-E4854</x:f>
        <x:v>-6.752141571044923</x:v>
      </x:c>
      <x:c r="I4854" s="40" t="n">
        <x:f>ABS(H4854)</x:f>
        <x:v>6.752141571044923</x:v>
      </x:c>
      <x:c r="J4854" s="40" t="n">
        <x:f>H4854^2</x:f>
        <x:v>45.59141579543301</x:v>
      </x:c>
      <x:c r="K4854" s="40" t="n">
        <x:f>G4854-E4854</x:f>
        <x:v>-5.200000000000001</x:v>
      </x:c>
      <x:c r="L4854" s="40" t="n">
        <x:f>ABS(K4854)</x:f>
        <x:v>5.200000000000001</x:v>
      </x:c>
      <x:c r="M4854" s="41" t="str">
        <x:v>lstm-soil-v1</x:v>
      </x:c>
    </x:row>
    <x:row r="4855">
      <x:c r="A4855" s="38" t="str">
        <x:v>7月30日现场数据</x:v>
      </x:c>
      <x:c r="B4855" s="39" t="str">
        <x:v>2026-08-04T18:35:00</x:v>
      </x:c>
      <x:c r="C4855" s="39" t="str">
        <x:v>2026-08-04T19:35:00</x:v>
      </x:c>
      <x:c r="D4855" s="47" t="n">
        <x:v>60</x:v>
      </x:c>
      <x:c r="E4855" s="40" t="n">
        <x:v>16.5</x:v>
      </x:c>
      <x:c r="F4855" s="40" t="n">
        <x:v>12.036235809326172</x:v>
      </x:c>
      <x:c r="G4855" s="40" t="n">
        <x:v>11.9</x:v>
      </x:c>
      <x:c r="H4855" s="40" t="n">
        <x:f>F4855-E4855</x:f>
        <x:v>-4.463764190673828</x:v>
      </x:c>
      <x:c r="I4855" s="40" t="n">
        <x:f>ABS(H4855)</x:f>
        <x:v>4.463764190673828</x:v>
      </x:c>
      <x:c r="J4855" s="40" t="n">
        <x:f>H4855^2</x:f>
        <x:v>19.925190749941976</x:v>
      </x:c>
      <x:c r="K4855" s="40" t="n">
        <x:f>G4855-E4855</x:f>
        <x:v>-4.6</x:v>
      </x:c>
      <x:c r="L4855" s="40" t="n">
        <x:f>ABS(K4855)</x:f>
        <x:v>4.6</x:v>
      </x:c>
      <x:c r="M4855" s="41" t="str">
        <x:v>lstm-soil-v1</x:v>
      </x:c>
    </x:row>
    <x:row r="4856">
      <x:c r="A4856" s="38" t="str">
        <x:v>7月30日现场数据</x:v>
      </x:c>
      <x:c r="B4856" s="39" t="str">
        <x:v>2026-08-04T18:40:00</x:v>
      </x:c>
      <x:c r="C4856" s="39" t="str">
        <x:v>2026-08-04T18:45:00</x:v>
      </x:c>
      <x:c r="D4856" s="47" t="n">
        <x:v>5</x:v>
      </x:c>
      <x:c r="E4856" s="40" t="n">
        <x:v>11.9</x:v>
      </x:c>
      <x:c r="F4856" s="40" t="n">
        <x:v>9.851203918457031</x:v>
      </x:c>
      <x:c r="G4856" s="40" t="n">
        <x:v>11.9</x:v>
      </x:c>
      <x:c r="H4856" s="40" t="n">
        <x:f>F4856-E4856</x:f>
        <x:v>-2.048796081542969</x:v>
      </x:c>
      <x:c r="I4856" s="40" t="n">
        <x:f>ABS(H4856)</x:f>
        <x:v>2.048796081542969</x:v>
      </x:c>
      <x:c r="J4856" s="40" t="n">
        <x:f>H4856^2</x:f>
        <x:v>4.197565383745824</x:v>
      </x:c>
      <x:c r="K4856" s="40" t="n">
        <x:f>G4856-E4856</x:f>
        <x:v>0</x:v>
      </x:c>
      <x:c r="L4856" s="40" t="n">
        <x:f>ABS(K4856)</x:f>
        <x:v>0</x:v>
      </x:c>
      <x:c r="M4856" s="41" t="str">
        <x:v>lstm-soil-v1</x:v>
      </x:c>
    </x:row>
    <x:row r="4857">
      <x:c r="A4857" s="38" t="str">
        <x:v>7月30日现场数据</x:v>
      </x:c>
      <x:c r="B4857" s="39" t="str">
        <x:v>2026-08-04T18:40:00</x:v>
      </x:c>
      <x:c r="C4857" s="39" t="str">
        <x:v>2026-08-04T18:55:00</x:v>
      </x:c>
      <x:c r="D4857" s="47" t="n">
        <x:v>15</x:v>
      </x:c>
      <x:c r="E4857" s="40" t="n">
        <x:v>16.5</x:v>
      </x:c>
      <x:c r="F4857" s="40" t="n">
        <x:v>9.918865203857422</x:v>
      </x:c>
      <x:c r="G4857" s="40" t="n">
        <x:v>11.9</x:v>
      </x:c>
      <x:c r="H4857" s="40" t="n">
        <x:f>F4857-E4857</x:f>
        <x:v>-6.581134796142578</x:v>
      </x:c>
      <x:c r="I4857" s="40" t="n">
        <x:f>ABS(H4857)</x:f>
        <x:v>6.581134796142578</x:v>
      </x:c>
      <x:c r="J4857" s="40" t="n">
        <x:f>H4857^2</x:f>
        <x:v>43.31133520499861</x:v>
      </x:c>
      <x:c r="K4857" s="40" t="n">
        <x:f>G4857-E4857</x:f>
        <x:v>-4.6</x:v>
      </x:c>
      <x:c r="L4857" s="40" t="n">
        <x:f>ABS(K4857)</x:f>
        <x:v>4.6</x:v>
      </x:c>
      <x:c r="M4857" s="41" t="str">
        <x:v>lstm-soil-v1</x:v>
      </x:c>
    </x:row>
    <x:row r="4858">
      <x:c r="A4858" s="38" t="str">
        <x:v>7月30日现场数据</x:v>
      </x:c>
      <x:c r="B4858" s="39" t="str">
        <x:v>2026-08-04T18:40:00</x:v>
      </x:c>
      <x:c r="C4858" s="39" t="str">
        <x:v>2026-08-04T19:10:00</x:v>
      </x:c>
      <x:c r="D4858" s="47" t="n">
        <x:v>30</x:v>
      </x:c>
      <x:c r="E4858" s="40" t="n">
        <x:v>17</x:v>
      </x:c>
      <x:c r="F4858" s="40" t="n">
        <x:v>10.348331451416016</x:v>
      </x:c>
      <x:c r="G4858" s="40" t="n">
        <x:v>11.9</x:v>
      </x:c>
      <x:c r="H4858" s="40" t="n">
        <x:f>F4858-E4858</x:f>
        <x:v>-6.651668548583984</x:v>
      </x:c>
      <x:c r="I4858" s="40" t="n">
        <x:f>ABS(H4858)</x:f>
        <x:v>6.651668548583984</x:v>
      </x:c>
      <x:c r="J4858" s="40" t="n">
        <x:f>H4858^2</x:f>
        <x:v>44.24469448022137</x:v>
      </x:c>
      <x:c r="K4858" s="40" t="n">
        <x:f>G4858-E4858</x:f>
        <x:v>-5.1</x:v>
      </x:c>
      <x:c r="L4858" s="40" t="n">
        <x:f>ABS(K4858)</x:f>
        <x:v>5.1</x:v>
      </x:c>
      <x:c r="M4858" s="41" t="str">
        <x:v>lstm-soil-v1</x:v>
      </x:c>
    </x:row>
    <x:row r="4859">
      <x:c r="A4859" s="38" t="str">
        <x:v>7月30日现场数据</x:v>
      </x:c>
      <x:c r="B4859" s="39" t="str">
        <x:v>2026-08-04T18:40:00</x:v>
      </x:c>
      <x:c r="C4859" s="39" t="str">
        <x:v>2026-08-04T19:40:00</x:v>
      </x:c>
      <x:c r="D4859" s="47" t="n">
        <x:v>60</x:v>
      </x:c>
      <x:c r="E4859" s="40" t="n">
        <x:v>16.5</x:v>
      </x:c>
      <x:c r="F4859" s="40" t="n">
        <x:v>12.036361694335938</x:v>
      </x:c>
      <x:c r="G4859" s="40" t="n">
        <x:v>11.9</x:v>
      </x:c>
      <x:c r="H4859" s="40" t="n">
        <x:f>F4859-E4859</x:f>
        <x:v>-4.4636383056640625</x:v>
      </x:c>
      <x:c r="I4859" s="40" t="n">
        <x:f>ABS(H4859)</x:f>
        <x:v>4.4636383056640625</x:v>
      </x:c>
      <x:c r="J4859" s="40" t="n">
        <x:f>H4859^2</x:f>
        <x:v>19.924066923791543</x:v>
      </x:c>
      <x:c r="K4859" s="40" t="n">
        <x:f>G4859-E4859</x:f>
        <x:v>-4.6</x:v>
      </x:c>
      <x:c r="L4859" s="40" t="n">
        <x:f>ABS(K4859)</x:f>
        <x:v>4.6</x:v>
      </x:c>
      <x:c r="M4859" s="41" t="str">
        <x:v>lstm-soil-v1</x:v>
      </x:c>
    </x:row>
    <x:row r="4860">
      <x:c r="A4860" s="38" t="str">
        <x:v>7月30日现场数据</x:v>
      </x:c>
      <x:c r="B4860" s="39" t="str">
        <x:v>2026-08-04T18:45:00</x:v>
      </x:c>
      <x:c r="C4860" s="39" t="str">
        <x:v>2026-08-04T18:50:00</x:v>
      </x:c>
      <x:c r="D4860" s="47" t="n">
        <x:v>5</x:v>
      </x:c>
      <x:c r="E4860" s="40" t="n">
        <x:v>11.9</x:v>
      </x:c>
      <x:c r="F4860" s="40" t="n">
        <x:v>9.850990295410156</x:v>
      </x:c>
      <x:c r="G4860" s="40" t="n">
        <x:v>11.9</x:v>
      </x:c>
      <x:c r="H4860" s="40" t="n">
        <x:f>F4860-E4860</x:f>
        <x:v>-2.049009704589844</x:v>
      </x:c>
      <x:c r="I4860" s="40" t="n">
        <x:f>ABS(H4860)</x:f>
        <x:v>2.049009704589844</x:v>
      </x:c>
      <x:c r="J4860" s="40" t="n">
        <x:f>H4860^2</x:f>
        <x:v>4.19844076950336</x:v>
      </x:c>
      <x:c r="K4860" s="40" t="n">
        <x:f>G4860-E4860</x:f>
        <x:v>0</x:v>
      </x:c>
      <x:c r="L4860" s="40" t="n">
        <x:f>ABS(K4860)</x:f>
        <x:v>0</x:v>
      </x:c>
      <x:c r="M4860" s="41" t="str">
        <x:v>lstm-soil-v1</x:v>
      </x:c>
    </x:row>
    <x:row r="4861">
      <x:c r="A4861" s="38" t="str">
        <x:v>7月30日现场数据</x:v>
      </x:c>
      <x:c r="B4861" s="39" t="str">
        <x:v>2026-08-04T18:45:00</x:v>
      </x:c>
      <x:c r="C4861" s="39" t="str">
        <x:v>2026-08-04T19:00:00</x:v>
      </x:c>
      <x:c r="D4861" s="47" t="n">
        <x:v>15</x:v>
      </x:c>
      <x:c r="E4861" s="40" t="n">
        <x:v>17.2</x:v>
      </x:c>
      <x:c r="F4861" s="40" t="n">
        <x:v>9.918743133544922</x:v>
      </x:c>
      <x:c r="G4861" s="40" t="n">
        <x:v>11.9</x:v>
      </x:c>
      <x:c r="H4861" s="40" t="n">
        <x:f>F4861-E4861</x:f>
        <x:v>-7.281256866455077</x:v>
      </x:c>
      <x:c r="I4861" s="40" t="n">
        <x:f>ABS(H4861)</x:f>
        <x:v>7.281256866455077</x:v>
      </x:c>
      <x:c r="J4861" s="40" t="n">
        <x:f>H4861^2</x:f>
        <x:v>53.016701555299214</x:v>
      </x:c>
      <x:c r="K4861" s="40" t="n">
        <x:f>G4861-E4861</x:f>
        <x:v>-5.299999999999999</x:v>
      </x:c>
      <x:c r="L4861" s="40" t="n">
        <x:f>ABS(K4861)</x:f>
        <x:v>5.299999999999999</x:v>
      </x:c>
      <x:c r="M4861" s="41" t="str">
        <x:v>lstm-soil-v1</x:v>
      </x:c>
    </x:row>
    <x:row r="4862">
      <x:c r="A4862" s="38" t="str">
        <x:v>7月30日现场数据</x:v>
      </x:c>
      <x:c r="B4862" s="39" t="str">
        <x:v>2026-08-04T18:45:00</x:v>
      </x:c>
      <x:c r="C4862" s="39" t="str">
        <x:v>2026-08-04T19:15:00</x:v>
      </x:c>
      <x:c r="D4862" s="47" t="n">
        <x:v>30</x:v>
      </x:c>
      <x:c r="E4862" s="40" t="n">
        <x:v>16.9</x:v>
      </x:c>
      <x:c r="F4862" s="40" t="n">
        <x:v>10.348323822021484</x:v>
      </x:c>
      <x:c r="G4862" s="40" t="n">
        <x:v>11.9</x:v>
      </x:c>
      <x:c r="H4862" s="40" t="n">
        <x:f>F4862-E4862</x:f>
        <x:v>-6.551676177978514</x:v>
      </x:c>
      <x:c r="I4862" s="40" t="n">
        <x:f>ABS(H4862)</x:f>
        <x:v>6.551676177978514</x:v>
      </x:c>
      <x:c r="J4862" s="40" t="n">
        <x:f>H4862^2</x:f>
        <x:v>42.92446074109115</x:v>
      </x:c>
      <x:c r="K4862" s="40" t="n">
        <x:f>G4862-E4862</x:f>
        <x:v>-4.999999999999998</x:v>
      </x:c>
      <x:c r="L4862" s="40" t="n">
        <x:f>ABS(K4862)</x:f>
        <x:v>4.999999999999998</x:v>
      </x:c>
      <x:c r="M4862" s="41" t="str">
        <x:v>lstm-soil-v1</x:v>
      </x:c>
    </x:row>
    <x:row r="4863">
      <x:c r="A4863" s="38" t="str">
        <x:v>7月30日现场数据</x:v>
      </x:c>
      <x:c r="B4863" s="39" t="str">
        <x:v>2026-08-04T18:45:00</x:v>
      </x:c>
      <x:c r="C4863" s="39" t="str">
        <x:v>2026-08-04T19:45:00</x:v>
      </x:c>
      <x:c r="D4863" s="47" t="n">
        <x:v>60</x:v>
      </x:c>
      <x:c r="E4863" s="40" t="n">
        <x:v>16.5</x:v>
      </x:c>
      <x:c r="F4863" s="40" t="n">
        <x:v>12.036258697509766</x:v>
      </x:c>
      <x:c r="G4863" s="40" t="n">
        <x:v>11.9</x:v>
      </x:c>
      <x:c r="H4863" s="40" t="n">
        <x:f>F4863-E4863</x:f>
        <x:v>-4.463741302490234</x:v>
      </x:c>
      <x:c r="I4863" s="40" t="n">
        <x:f>ABS(H4863)</x:f>
        <x:v>4.463741302490234</x:v>
      </x:c>
      <x:c r="J4863" s="40" t="n">
        <x:f>H4863^2</x:f>
        <x:v>19.924986415557214</x:v>
      </x:c>
      <x:c r="K4863" s="40" t="n">
        <x:f>G4863-E4863</x:f>
        <x:v>-4.6</x:v>
      </x:c>
      <x:c r="L4863" s="40" t="n">
        <x:f>ABS(K4863)</x:f>
        <x:v>4.6</x:v>
      </x:c>
      <x:c r="M4863" s="41" t="str">
        <x:v>lstm-soil-v1</x:v>
      </x:c>
    </x:row>
    <x:row r="4864">
      <x:c r="A4864" s="38" t="str">
        <x:v>7月30日现场数据</x:v>
      </x:c>
      <x:c r="B4864" s="39" t="str">
        <x:v>2026-08-04T18:50:00</x:v>
      </x:c>
      <x:c r="C4864" s="39" t="str">
        <x:v>2026-08-04T18:55:00</x:v>
      </x:c>
      <x:c r="D4864" s="47" t="n">
        <x:v>5</x:v>
      </x:c>
      <x:c r="E4864" s="40" t="n">
        <x:v>16.5</x:v>
      </x:c>
      <x:c r="F4864" s="40" t="n">
        <x:v>9.851009368896484</x:v>
      </x:c>
      <x:c r="G4864" s="40" t="n">
        <x:v>11.9</x:v>
      </x:c>
      <x:c r="H4864" s="40" t="n">
        <x:f>F4864-E4864</x:f>
        <x:v>-6.648990631103516</x:v>
      </x:c>
      <x:c r="I4864" s="40" t="n">
        <x:f>ABS(H4864)</x:f>
        <x:v>6.648990631103516</x:v>
      </x:c>
      <x:c r="J4864" s="40" t="n">
        <x:f>H4864^2</x:f>
        <x:v>44.20907641250233</x:v>
      </x:c>
      <x:c r="K4864" s="40" t="n">
        <x:f>G4864-E4864</x:f>
        <x:v>-4.6</x:v>
      </x:c>
      <x:c r="L4864" s="40" t="n">
        <x:f>ABS(K4864)</x:f>
        <x:v>4.6</x:v>
      </x:c>
      <x:c r="M4864" s="41" t="str">
        <x:v>lstm-soil-v1</x:v>
      </x:c>
    </x:row>
    <x:row r="4865">
      <x:c r="A4865" s="38" t="str">
        <x:v>7月30日现场数据</x:v>
      </x:c>
      <x:c r="B4865" s="39" t="str">
        <x:v>2026-08-04T18:50:00</x:v>
      </x:c>
      <x:c r="C4865" s="39" t="str">
        <x:v>2026-08-04T19:05:00</x:v>
      </x:c>
      <x:c r="D4865" s="47" t="n">
        <x:v>15</x:v>
      </x:c>
      <x:c r="E4865" s="40" t="n">
        <x:v>17.1</x:v>
      </x:c>
      <x:c r="F4865" s="40" t="n">
        <x:v>9.918590545654297</x:v>
      </x:c>
      <x:c r="G4865" s="40" t="n">
        <x:v>11.9</x:v>
      </x:c>
      <x:c r="H4865" s="40" t="n">
        <x:f>F4865-E4865</x:f>
        <x:v>-7.1814094543457045</x:v>
      </x:c>
      <x:c r="I4865" s="40" t="n">
        <x:f>ABS(H4865)</x:f>
        <x:v>7.1814094543457045</x:v>
      </x:c>
      <x:c r="J4865" s="40" t="n">
        <x:f>H4865^2</x:f>
        <x:v>51.57264175096587</x:v>
      </x:c>
      <x:c r="K4865" s="40" t="n">
        <x:f>G4865-E4865</x:f>
        <x:v>-5.200000000000001</x:v>
      </x:c>
      <x:c r="L4865" s="40" t="n">
        <x:f>ABS(K4865)</x:f>
        <x:v>5.200000000000001</x:v>
      </x:c>
      <x:c r="M4865" s="41" t="str">
        <x:v>lstm-soil-v1</x:v>
      </x:c>
    </x:row>
    <x:row r="4866">
      <x:c r="A4866" s="38" t="str">
        <x:v>7月30日现场数据</x:v>
      </x:c>
      <x:c r="B4866" s="39" t="str">
        <x:v>2026-08-04T18:50:00</x:v>
      </x:c>
      <x:c r="C4866" s="39" t="str">
        <x:v>2026-08-04T19:20:00</x:v>
      </x:c>
      <x:c r="D4866" s="47" t="n">
        <x:v>30</x:v>
      </x:c>
      <x:c r="E4866" s="40" t="n">
        <x:v>16.8</x:v>
      </x:c>
      <x:c r="F4866" s="40" t="n">
        <x:v>10.348480224609375</x:v>
      </x:c>
      <x:c r="G4866" s="40" t="n">
        <x:v>11.9</x:v>
      </x:c>
      <x:c r="H4866" s="40" t="n">
        <x:f>F4866-E4866</x:f>
        <x:v>-6.451519775390626</x:v>
      </x:c>
      <x:c r="I4866" s="40" t="n">
        <x:f>ABS(H4866)</x:f>
        <x:v>6.451519775390626</x:v>
      </x:c>
      <x:c r="J4866" s="40" t="n">
        <x:f>H4866^2</x:f>
        <x:v>41.62210741225631</x:v>
      </x:c>
      <x:c r="K4866" s="40" t="n">
        <x:f>G4866-E4866</x:f>
        <x:v>-4.9</x:v>
      </x:c>
      <x:c r="L4866" s="40" t="n">
        <x:f>ABS(K4866)</x:f>
        <x:v>4.9</x:v>
      </x:c>
      <x:c r="M4866" s="41" t="str">
        <x:v>lstm-soil-v1</x:v>
      </x:c>
    </x:row>
    <x:row r="4867">
      <x:c r="A4867" s="38" t="str">
        <x:v>7月30日现场数据</x:v>
      </x:c>
      <x:c r="B4867" s="39" t="str">
        <x:v>2026-08-04T18:50:00</x:v>
      </x:c>
      <x:c r="C4867" s="39" t="str">
        <x:v>2026-08-04T19:50:00</x:v>
      </x:c>
      <x:c r="D4867" s="47" t="n">
        <x:v>60</x:v>
      </x:c>
      <x:c r="E4867" s="40" t="n">
        <x:v>16.4</x:v>
      </x:c>
      <x:c r="F4867" s="40" t="n">
        <x:v>12.03668212890625</x:v>
      </x:c>
      <x:c r="G4867" s="40" t="n">
        <x:v>11.9</x:v>
      </x:c>
      <x:c r="H4867" s="40" t="n">
        <x:f>F4867-E4867</x:f>
        <x:v>-4.363317871093749</x:v>
      </x:c>
      <x:c r="I4867" s="40" t="n">
        <x:f>ABS(H4867)</x:f>
        <x:v>4.363317871093749</x:v>
      </x:c>
      <x:c r="J4867" s="40" t="n">
        <x:f>H4867^2</x:f>
        <x:v>19.03854284420608</x:v>
      </x:c>
      <x:c r="K4867" s="40" t="n">
        <x:f>G4867-E4867</x:f>
        <x:v>-4.499999999999998</x:v>
      </x:c>
      <x:c r="L4867" s="40" t="n">
        <x:f>ABS(K4867)</x:f>
        <x:v>4.499999999999998</x:v>
      </x:c>
      <x:c r="M4867" s="41" t="str">
        <x:v>lstm-soil-v1</x:v>
      </x:c>
    </x:row>
    <x:row r="4868">
      <x:c r="A4868" s="38" t="str">
        <x:v>7月30日现场数据</x:v>
      </x:c>
      <x:c r="B4868" s="39" t="str">
        <x:v>2026-08-04T18:55:00</x:v>
      </x:c>
      <x:c r="C4868" s="39" t="str">
        <x:v>2026-08-04T19:00:00</x:v>
      </x:c>
      <x:c r="D4868" s="47" t="n">
        <x:v>5</x:v>
      </x:c>
      <x:c r="E4868" s="40" t="n">
        <x:v>17.2</x:v>
      </x:c>
      <x:c r="F4868" s="40" t="n">
        <x:v>14.92642593383789</x:v>
      </x:c>
      <x:c r="G4868" s="40" t="n">
        <x:v>16.5</x:v>
      </x:c>
      <x:c r="H4868" s="40" t="n">
        <x:f>F4868-E4868</x:f>
        <x:v>-2.2735740661621087</x:v>
      </x:c>
      <x:c r="I4868" s="40" t="n">
        <x:f>ABS(H4868)</x:f>
        <x:v>2.2735740661621087</x:v>
      </x:c>
      <x:c r="J4868" s="40" t="n">
        <x:f>H4868^2</x:f>
        <x:v>5.169139034324904</x:v>
      </x:c>
      <x:c r="K4868" s="40" t="n">
        <x:f>G4868-E4868</x:f>
        <x:v>-0.6999999999999993</x:v>
      </x:c>
      <x:c r="L4868" s="40" t="n">
        <x:f>ABS(K4868)</x:f>
        <x:v>0.6999999999999993</x:v>
      </x:c>
      <x:c r="M4868" s="41" t="str">
        <x:v>lstm-soil-v1</x:v>
      </x:c>
    </x:row>
    <x:row r="4869">
      <x:c r="A4869" s="38" t="str">
        <x:v>7月30日现场数据</x:v>
      </x:c>
      <x:c r="B4869" s="39" t="str">
        <x:v>2026-08-04T18:55:00</x:v>
      </x:c>
      <x:c r="C4869" s="39" t="str">
        <x:v>2026-08-04T19:10:00</x:v>
      </x:c>
      <x:c r="D4869" s="47" t="n">
        <x:v>15</x:v>
      </x:c>
      <x:c r="E4869" s="40" t="n">
        <x:v>17</x:v>
      </x:c>
      <x:c r="F4869" s="40" t="n">
        <x:v>14.989875793457031</x:v>
      </x:c>
      <x:c r="G4869" s="40" t="n">
        <x:v>16.5</x:v>
      </x:c>
      <x:c r="H4869" s="40" t="n">
        <x:f>F4869-E4869</x:f>
        <x:v>-2.0101242065429688</x:v>
      </x:c>
      <x:c r="I4869" s="40" t="n">
        <x:f>ABS(H4869)</x:f>
        <x:v>2.0101242065429688</x:v>
      </x:c>
      <x:c r="J4869" s="40" t="n">
        <x:f>H4869^2</x:f>
        <x:v>4.04059932573</x:v>
      </x:c>
      <x:c r="K4869" s="40" t="n">
        <x:f>G4869-E4869</x:f>
        <x:v>-0.5</x:v>
      </x:c>
      <x:c r="L4869" s="40" t="n">
        <x:f>ABS(K4869)</x:f>
        <x:v>0.5</x:v>
      </x:c>
      <x:c r="M4869" s="41" t="str">
        <x:v>lstm-soil-v1</x:v>
      </x:c>
    </x:row>
    <x:row r="4870">
      <x:c r="A4870" s="38" t="str">
        <x:v>7月30日现场数据</x:v>
      </x:c>
      <x:c r="B4870" s="39" t="str">
        <x:v>2026-08-04T18:55:00</x:v>
      </x:c>
      <x:c r="C4870" s="39" t="str">
        <x:v>2026-08-04T19:25:00</x:v>
      </x:c>
      <x:c r="D4870" s="47" t="n">
        <x:v>30</x:v>
      </x:c>
      <x:c r="E4870" s="40" t="n">
        <x:v>16.7</x:v>
      </x:c>
      <x:c r="F4870" s="40" t="n">
        <x:v>15.420860290527344</x:v>
      </x:c>
      <x:c r="G4870" s="40" t="n">
        <x:v>16.5</x:v>
      </x:c>
      <x:c r="H4870" s="40" t="n">
        <x:f>F4870-E4870</x:f>
        <x:v>-1.2791397094726555</x:v>
      </x:c>
      <x:c r="I4870" s="40" t="n">
        <x:f>ABS(H4870)</x:f>
        <x:v>1.2791397094726555</x:v>
      </x:c>
      <x:c r="J4870" s="40" t="n">
        <x:f>H4870^2</x:f>
        <x:v>1.6361983963497897</x:v>
      </x:c>
      <x:c r="K4870" s="40" t="n">
        <x:f>G4870-E4870</x:f>
        <x:v>-0.1999999999999993</x:v>
      </x:c>
      <x:c r="L4870" s="40" t="n">
        <x:f>ABS(K4870)</x:f>
        <x:v>0.1999999999999993</x:v>
      </x:c>
      <x:c r="M4870" s="41" t="str">
        <x:v>lstm-soil-v1</x:v>
      </x:c>
    </x:row>
    <x:row r="4871">
      <x:c r="A4871" s="38" t="str">
        <x:v>7月30日现场数据</x:v>
      </x:c>
      <x:c r="B4871" s="39" t="str">
        <x:v>2026-08-04T18:55:00</x:v>
      </x:c>
      <x:c r="C4871" s="39" t="str">
        <x:v>2026-08-04T19:55:00</x:v>
      </x:c>
      <x:c r="D4871" s="47" t="n">
        <x:v>60</x:v>
      </x:c>
      <x:c r="E4871" s="40" t="n">
        <x:v>16.4</x:v>
      </x:c>
      <x:c r="F4871" s="40" t="n">
        <x:v>17.11294174194336</x:v>
      </x:c>
      <x:c r="G4871" s="40" t="n">
        <x:v>16.5</x:v>
      </x:c>
      <x:c r="H4871" s="40" t="n">
        <x:f>F4871-E4871</x:f>
        <x:v>0.7129417419433608</x:v>
      </x:c>
      <x:c r="I4871" s="40" t="n">
        <x:f>ABS(H4871)</x:f>
        <x:v>0.7129417419433608</x:v>
      </x:c>
      <x:c r="J4871" s="40" t="n">
        <x:f>H4871^2</x:f>
        <x:v>0.5082859274052337</x:v>
      </x:c>
      <x:c r="K4871" s="40" t="n">
        <x:f>G4871-E4871</x:f>
        <x:v>0.10000000000000142</x:v>
      </x:c>
      <x:c r="L4871" s="40" t="n">
        <x:f>ABS(K4871)</x:f>
        <x:v>0.10000000000000142</x:v>
      </x:c>
      <x:c r="M4871" s="41" t="str">
        <x:v>lstm-soil-v1</x:v>
      </x:c>
    </x:row>
    <x:row r="4872">
      <x:c r="A4872" s="38" t="str">
        <x:v>7月30日现场数据</x:v>
      </x:c>
      <x:c r="B4872" s="39" t="str">
        <x:v>2026-08-04T19:00:00</x:v>
      </x:c>
      <x:c r="C4872" s="39" t="str">
        <x:v>2026-08-04T19:05:00</x:v>
      </x:c>
      <x:c r="D4872" s="47" t="n">
        <x:v>5</x:v>
      </x:c>
      <x:c r="E4872" s="40" t="n">
        <x:v>17.1</x:v>
      </x:c>
      <x:c r="F4872" s="40" t="n">
        <x:v>15.70669937133789</x:v>
      </x:c>
      <x:c r="G4872" s="40" t="n">
        <x:v>17.2</x:v>
      </x:c>
      <x:c r="H4872" s="40" t="n">
        <x:f>F4872-E4872</x:f>
        <x:v>-1.3933006286621108</x:v>
      </x:c>
      <x:c r="I4872" s="40" t="n">
        <x:f>ABS(H4872)</x:f>
        <x:v>1.3933006286621108</x:v>
      </x:c>
      <x:c r="J4872" s="40" t="n">
        <x:f>H4872^2</x:f>
        <x:v>1.9412866418302333</x:v>
      </x:c>
      <x:c r="K4872" s="40" t="n">
        <x:f>G4872-E4872</x:f>
        <x:v>0.09999999999999787</x:v>
      </x:c>
      <x:c r="L4872" s="40" t="n">
        <x:f>ABS(K4872)</x:f>
        <x:v>0.09999999999999787</x:v>
      </x:c>
      <x:c r="M4872" s="41" t="str">
        <x:v>lstm-soil-v1</x:v>
      </x:c>
    </x:row>
    <x:row r="4873">
      <x:c r="A4873" s="38" t="str">
        <x:v>7月30日现场数据</x:v>
      </x:c>
      <x:c r="B4873" s="39" t="str">
        <x:v>2026-08-04T19:00:00</x:v>
      </x:c>
      <x:c r="C4873" s="39" t="str">
        <x:v>2026-08-04T19:15:00</x:v>
      </x:c>
      <x:c r="D4873" s="47" t="n">
        <x:v>15</x:v>
      </x:c>
      <x:c r="E4873" s="40" t="n">
        <x:v>16.9</x:v>
      </x:c>
      <x:c r="F4873" s="40" t="n">
        <x:v>15.768474578857422</x:v>
      </x:c>
      <x:c r="G4873" s="40" t="n">
        <x:v>17.2</x:v>
      </x:c>
      <x:c r="H4873" s="40" t="n">
        <x:f>F4873-E4873</x:f>
        <x:v>-1.1315254211425767</x:v>
      </x:c>
      <x:c r="I4873" s="40" t="n">
        <x:f>ABS(H4873)</x:f>
        <x:v>1.1315254211425767</x:v>
      </x:c>
      <x:c r="J4873" s="40" t="n">
        <x:f>H4873^2</x:f>
        <x:v>1.2803497786918856</x:v>
      </x:c>
      <x:c r="K4873" s="40" t="n">
        <x:f>G4873-E4873</x:f>
        <x:v>0.3000000000000007</x:v>
      </x:c>
      <x:c r="L4873" s="40" t="n">
        <x:f>ABS(K4873)</x:f>
        <x:v>0.3000000000000007</x:v>
      </x:c>
      <x:c r="M4873" s="41" t="str">
        <x:v>lstm-soil-v1</x:v>
      </x:c>
    </x:row>
    <x:row r="4874">
      <x:c r="A4874" s="38" t="str">
        <x:v>7月30日现场数据</x:v>
      </x:c>
      <x:c r="B4874" s="39" t="str">
        <x:v>2026-08-04T19:00:00</x:v>
      </x:c>
      <x:c r="C4874" s="39" t="str">
        <x:v>2026-08-04T19:30:00</x:v>
      </x:c>
      <x:c r="D4874" s="47" t="n">
        <x:v>30</x:v>
      </x:c>
      <x:c r="E4874" s="40" t="n">
        <x:v>16.6</x:v>
      </x:c>
      <x:c r="F4874" s="40" t="n">
        <x:v>16.195457458496094</x:v>
      </x:c>
      <x:c r="G4874" s="40" t="n">
        <x:v>17.2</x:v>
      </x:c>
      <x:c r="H4874" s="40" t="n">
        <x:f>F4874-E4874</x:f>
        <x:v>-0.40454254150390767</x:v>
      </x:c>
      <x:c r="I4874" s="40" t="n">
        <x:f>ABS(H4874)</x:f>
        <x:v>0.40454254150390767</x:v>
      </x:c>
      <x:c r="J4874" s="40" t="n">
        <x:f>H4874^2</x:f>
        <x:v>0.16365466788644087</x:v>
      </x:c>
      <x:c r="K4874" s="40" t="n">
        <x:f>G4874-E4874</x:f>
        <x:v>0.5999999999999979</x:v>
      </x:c>
      <x:c r="L4874" s="40" t="n">
        <x:f>ABS(K4874)</x:f>
        <x:v>0.5999999999999979</x:v>
      </x:c>
      <x:c r="M4874" s="41" t="str">
        <x:v>lstm-soil-v1</x:v>
      </x:c>
    </x:row>
    <x:row r="4875">
      <x:c r="A4875" s="38" t="str">
        <x:v>7月30日现场数据</x:v>
      </x:c>
      <x:c r="B4875" s="39" t="str">
        <x:v>2026-08-04T19:00:00</x:v>
      </x:c>
      <x:c r="C4875" s="39" t="str">
        <x:v>2026-08-04T20:00:00</x:v>
      </x:c>
      <x:c r="D4875" s="47" t="n">
        <x:v>60</x:v>
      </x:c>
      <x:c r="E4875" s="40" t="n">
        <x:v>16.4</x:v>
      </x:c>
      <x:c r="F4875" s="40" t="n">
        <x:v>17.888404846191406</x:v>
      </x:c>
      <x:c r="G4875" s="40" t="n">
        <x:v>17.2</x:v>
      </x:c>
      <x:c r="H4875" s="40" t="n">
        <x:f>F4875-E4875</x:f>
        <x:v>1.4884048461914077</x:v>
      </x:c>
      <x:c r="I4875" s="40" t="n">
        <x:f>ABS(H4875)</x:f>
        <x:v>1.4884048461914077</x:v>
      </x:c>
      <x:c r="J4875" s="40" t="n">
        <x:f>H4875^2</x:f>
        <x:v>2.215348986166068</x:v>
      </x:c>
      <x:c r="K4875" s="40" t="n">
        <x:f>G4875-E4875</x:f>
        <x:v>0.8000000000000007</x:v>
      </x:c>
      <x:c r="L4875" s="40" t="n">
        <x:f>ABS(K4875)</x:f>
        <x:v>0.8000000000000007</x:v>
      </x:c>
      <x:c r="M4875" s="41" t="str">
        <x:v>lstm-soil-v1</x:v>
      </x:c>
    </x:row>
    <x:row r="4876">
      <x:c r="A4876" s="38" t="str">
        <x:v>7月30日现场数据</x:v>
      </x:c>
      <x:c r="B4876" s="39" t="str">
        <x:v>2026-08-04T19:05:00</x:v>
      </x:c>
      <x:c r="C4876" s="39" t="str">
        <x:v>2026-08-04T19:10:00</x:v>
      </x:c>
      <x:c r="D4876" s="47" t="n">
        <x:v>5</x:v>
      </x:c>
      <x:c r="E4876" s="40" t="n">
        <x:v>17</x:v>
      </x:c>
      <x:c r="F4876" s="40" t="n">
        <x:v>15.60137939453125</x:v>
      </x:c>
      <x:c r="G4876" s="40" t="n">
        <x:v>17.1</x:v>
      </x:c>
      <x:c r="H4876" s="40" t="n">
        <x:f>F4876-E4876</x:f>
        <x:v>-1.39862060546875</x:v>
      </x:c>
      <x:c r="I4876" s="40" t="n">
        <x:f>ABS(H4876)</x:f>
        <x:v>1.39862060546875</x:v>
      </x:c>
      <x:c r="J4876" s="40" t="n">
        <x:f>H4876^2</x:f>
        <x:v>1.9561395980417728</x:v>
      </x:c>
      <x:c r="K4876" s="40" t="n">
        <x:f>G4876-E4876</x:f>
        <x:v>0.10000000000000142</x:v>
      </x:c>
      <x:c r="L4876" s="40" t="n">
        <x:f>ABS(K4876)</x:f>
        <x:v>0.10000000000000142</x:v>
      </x:c>
      <x:c r="M4876" s="41" t="str">
        <x:v>lstm-soil-v1</x:v>
      </x:c>
    </x:row>
    <x:row r="4877">
      <x:c r="A4877" s="38" t="str">
        <x:v>7月30日现场数据</x:v>
      </x:c>
      <x:c r="B4877" s="39" t="str">
        <x:v>2026-08-04T19:05:00</x:v>
      </x:c>
      <x:c r="C4877" s="39" t="str">
        <x:v>2026-08-04T19:20:00</x:v>
      </x:c>
      <x:c r="D4877" s="47" t="n">
        <x:v>15</x:v>
      </x:c>
      <x:c r="E4877" s="40" t="n">
        <x:v>16.8</x:v>
      </x:c>
      <x:c r="F4877" s="40" t="n">
        <x:v>15.663043975830078</x:v>
      </x:c>
      <x:c r="G4877" s="40" t="n">
        <x:v>17.1</x:v>
      </x:c>
      <x:c r="H4877" s="40" t="n">
        <x:f>F4877-E4877</x:f>
        <x:v>-1.1369560241699226</x:v>
      </x:c>
      <x:c r="I4877" s="40" t="n">
        <x:f>ABS(H4877)</x:f>
        <x:v>1.1369560241699226</x:v>
      </x:c>
      <x:c r="J4877" s="40" t="n">
        <x:f>H4877^2</x:f>
        <x:v>1.2926690008962776</x:v>
      </x:c>
      <x:c r="K4877" s="40" t="n">
        <x:f>G4877-E4877</x:f>
        <x:v>0.3000000000000007</x:v>
      </x:c>
      <x:c r="L4877" s="40" t="n">
        <x:f>ABS(K4877)</x:f>
        <x:v>0.3000000000000007</x:v>
      </x:c>
      <x:c r="M4877" s="41" t="str">
        <x:v>lstm-soil-v1</x:v>
      </x:c>
    </x:row>
    <x:row r="4878">
      <x:c r="A4878" s="38" t="str">
        <x:v>7月30日现场数据</x:v>
      </x:c>
      <x:c r="B4878" s="39" t="str">
        <x:v>2026-08-04T19:05:00</x:v>
      </x:c>
      <x:c r="C4878" s="39" t="str">
        <x:v>2026-08-04T19:35:00</x:v>
      </x:c>
      <x:c r="D4878" s="47" t="n">
        <x:v>30</x:v>
      </x:c>
      <x:c r="E4878" s="40" t="n">
        <x:v>16.5</x:v>
      </x:c>
      <x:c r="F4878" s="40" t="n">
        <x:v>16.081958770751953</x:v>
      </x:c>
      <x:c r="G4878" s="40" t="n">
        <x:v>17.1</x:v>
      </x:c>
      <x:c r="H4878" s="40" t="n">
        <x:f>F4878-E4878</x:f>
        <x:v>-0.4180412292480469</x:v>
      </x:c>
      <x:c r="I4878" s="40" t="n">
        <x:f>ABS(H4878)</x:f>
        <x:v>0.4180412292480469</x:v>
      </x:c>
      <x:c r="J4878" s="40" t="n">
        <x:f>H4878^2</x:f>
        <x:v>0.17475846935121808</x:v>
      </x:c>
      <x:c r="K4878" s="40" t="n">
        <x:f>G4878-E4878</x:f>
        <x:v>0.6000000000000014</x:v>
      </x:c>
      <x:c r="L4878" s="40" t="n">
        <x:f>ABS(K4878)</x:f>
        <x:v>0.6000000000000014</x:v>
      </x:c>
      <x:c r="M4878" s="41" t="str">
        <x:v>lstm-soil-v1</x:v>
      </x:c>
    </x:row>
    <x:row r="4879">
      <x:c r="A4879" s="38" t="str">
        <x:v>7月30日现场数据</x:v>
      </x:c>
      <x:c r="B4879" s="39" t="str">
        <x:v>2026-08-04T19:05:00</x:v>
      </x:c>
      <x:c r="C4879" s="39" t="str">
        <x:v>2026-08-04T20:05:00</x:v>
      </x:c>
      <x:c r="D4879" s="47" t="n">
        <x:v>60</x:v>
      </x:c>
      <x:c r="E4879" s="40" t="n">
        <x:v>16.4</x:v>
      </x:c>
      <x:c r="F4879" s="40" t="n">
        <x:v>17.778343200683594</x:v>
      </x:c>
      <x:c r="G4879" s="40" t="n">
        <x:v>17.1</x:v>
      </x:c>
      <x:c r="H4879" s="40" t="n">
        <x:f>F4879-E4879</x:f>
        <x:v>1.3783432006835952</x:v>
      </x:c>
      <x:c r="I4879" s="40" t="n">
        <x:f>ABS(H4879)</x:f>
        <x:v>1.3783432006835952</x:v>
      </x:c>
      <x:c r="J4879" s="40" t="n">
        <x:f>H4879^2</x:f>
        <x:v>1.8998299788706976</x:v>
      </x:c>
      <x:c r="K4879" s="40" t="n">
        <x:f>G4879-E4879</x:f>
        <x:v>0.7000000000000028</x:v>
      </x:c>
      <x:c r="L4879" s="40" t="n">
        <x:f>ABS(K4879)</x:f>
        <x:v>0.7000000000000028</x:v>
      </x:c>
      <x:c r="M4879" s="41" t="str">
        <x:v>lstm-soil-v1</x:v>
      </x:c>
    </x:row>
    <x:row r="4880">
      <x:c r="A4880" s="38" t="str">
        <x:v>7月30日现场数据</x:v>
      </x:c>
      <x:c r="B4880" s="39" t="str">
        <x:v>2026-08-04T19:10:00</x:v>
      </x:c>
      <x:c r="C4880" s="39" t="str">
        <x:v>2026-08-04T19:15:00</x:v>
      </x:c>
      <x:c r="D4880" s="47" t="n">
        <x:v>5</x:v>
      </x:c>
      <x:c r="E4880" s="40" t="n">
        <x:v>16.9</x:v>
      </x:c>
      <x:c r="F4880" s="40" t="n">
        <x:v>15.492183685302734</x:v>
      </x:c>
      <x:c r="G4880" s="40" t="n">
        <x:v>17</x:v>
      </x:c>
      <x:c r="H4880" s="40" t="n">
        <x:f>F4880-E4880</x:f>
        <x:v>-1.4078163146972642</x:v>
      </x:c>
      <x:c r="I4880" s="40" t="n">
        <x:f>ABS(H4880)</x:f>
        <x:v>1.4078163146972642</x:v>
      </x:c>
      <x:c r="J4880" s="40" t="n">
        <x:f>H4880^2</x:f>
        <x:v>1.9819467759277865</x:v>
      </x:c>
      <x:c r="K4880" s="40" t="n">
        <x:f>G4880-E4880</x:f>
        <x:v>0.10000000000000142</x:v>
      </x:c>
      <x:c r="L4880" s="40" t="n">
        <x:f>ABS(K4880)</x:f>
        <x:v>0.10000000000000142</x:v>
      </x:c>
      <x:c r="M4880" s="41" t="str">
        <x:v>lstm-soil-v1</x:v>
      </x:c>
    </x:row>
    <x:row r="4881">
      <x:c r="A4881" s="38" t="str">
        <x:v>7月30日现场数据</x:v>
      </x:c>
      <x:c r="B4881" s="39" t="str">
        <x:v>2026-08-04T19:10:00</x:v>
      </x:c>
      <x:c r="C4881" s="39" t="str">
        <x:v>2026-08-04T19:25:00</x:v>
      </x:c>
      <x:c r="D4881" s="47" t="n">
        <x:v>15</x:v>
      </x:c>
      <x:c r="E4881" s="40" t="n">
        <x:v>16.7</x:v>
      </x:c>
      <x:c r="F4881" s="40" t="n">
        <x:v>15.556438446044922</x:v>
      </x:c>
      <x:c r="G4881" s="40" t="n">
        <x:v>17</x:v>
      </x:c>
      <x:c r="H4881" s="40" t="n">
        <x:f>F4881-E4881</x:f>
        <x:v>-1.1435615539550774</x:v>
      </x:c>
      <x:c r="I4881" s="40" t="n">
        <x:f>ABS(H4881)</x:f>
        <x:v>1.1435615539550774</x:v>
      </x:c>
      <x:c r="J4881" s="40" t="n">
        <x:f>H4881^2</x:f>
        <x:v>1.3077330276841515</x:v>
      </x:c>
      <x:c r="K4881" s="40" t="n">
        <x:f>G4881-E4881</x:f>
        <x:v>0.3000000000000007</x:v>
      </x:c>
      <x:c r="L4881" s="40" t="n">
        <x:f>ABS(K4881)</x:f>
        <x:v>0.3000000000000007</x:v>
      </x:c>
      <x:c r="M4881" s="41" t="str">
        <x:v>lstm-soil-v1</x:v>
      </x:c>
    </x:row>
    <x:row r="4882">
      <x:c r="A4882" s="38" t="str">
        <x:v>7月30日现场数据</x:v>
      </x:c>
      <x:c r="B4882" s="39" t="str">
        <x:v>2026-08-04T19:10:00</x:v>
      </x:c>
      <x:c r="C4882" s="39" t="str">
        <x:v>2026-08-04T19:40:00</x:v>
      </x:c>
      <x:c r="D4882" s="47" t="n">
        <x:v>30</x:v>
      </x:c>
      <x:c r="E4882" s="40" t="n">
        <x:v>16.5</x:v>
      </x:c>
      <x:c r="F4882" s="40" t="n">
        <x:v>15.963783264160156</x:v>
      </x:c>
      <x:c r="G4882" s="40" t="n">
        <x:v>17</x:v>
      </x:c>
      <x:c r="H4882" s="40" t="n">
        <x:f>F4882-E4882</x:f>
        <x:v>-0.5362167358398438</x:v>
      </x:c>
      <x:c r="I4882" s="40" t="n">
        <x:f>ABS(H4882)</x:f>
        <x:v>0.5362167358398438</x:v>
      </x:c>
      <x:c r="J4882" s="40" t="n">
        <x:f>H4882^2</x:f>
        <x:v>0.2875283877947368</x:v>
      </x:c>
      <x:c r="K4882" s="40" t="n">
        <x:f>G4882-E4882</x:f>
        <x:v>0.5</x:v>
      </x:c>
      <x:c r="L4882" s="40" t="n">
        <x:f>ABS(K4882)</x:f>
        <x:v>0.5</x:v>
      </x:c>
      <x:c r="M4882" s="41" t="str">
        <x:v>lstm-soil-v1</x:v>
      </x:c>
    </x:row>
    <x:row r="4883">
      <x:c r="A4883" s="38" t="str">
        <x:v>7月30日现场数据</x:v>
      </x:c>
      <x:c r="B4883" s="39" t="str">
        <x:v>2026-08-04T19:10:00</x:v>
      </x:c>
      <x:c r="C4883" s="39" t="str">
        <x:v>2026-08-04T20:10:00</x:v>
      </x:c>
      <x:c r="D4883" s="47" t="n">
        <x:v>60</x:v>
      </x:c>
      <x:c r="E4883" s="40" t="n">
        <x:v>16.3</x:v>
      </x:c>
      <x:c r="F4883" s="40" t="n">
        <x:v>17.667160034179688</x:v>
      </x:c>
      <x:c r="G4883" s="40" t="n">
        <x:v>17</x:v>
      </x:c>
      <x:c r="H4883" s="40" t="n">
        <x:f>F4883-E4883</x:f>
        <x:v>1.3671600341796868</x:v>
      </x:c>
      <x:c r="I4883" s="40" t="n">
        <x:f>ABS(H4883)</x:f>
        <x:v>1.3671600341796868</x:v>
      </x:c>
      <x:c r="J4883" s="40" t="n">
        <x:f>H4883^2</x:f>
        <x:v>1.8691265590582022</x:v>
      </x:c>
      <x:c r="K4883" s="40" t="n">
        <x:f>G4883-E4883</x:f>
        <x:v>0.6999999999999993</x:v>
      </x:c>
      <x:c r="L4883" s="40" t="n">
        <x:f>ABS(K4883)</x:f>
        <x:v>0.6999999999999993</x:v>
      </x:c>
      <x:c r="M4883" s="41" t="str">
        <x:v>lstm-soil-v1</x:v>
      </x:c>
    </x:row>
    <x:row r="4884">
      <x:c r="A4884" s="38" t="str">
        <x:v>7月30日现场数据</x:v>
      </x:c>
      <x:c r="B4884" s="39" t="str">
        <x:v>2026-08-04T19:15:00</x:v>
      </x:c>
      <x:c r="C4884" s="39" t="str">
        <x:v>2026-08-04T19:20:00</x:v>
      </x:c>
      <x:c r="D4884" s="47" t="n">
        <x:v>5</x:v>
      </x:c>
      <x:c r="E4884" s="40" t="n">
        <x:v>16.8</x:v>
      </x:c>
      <x:c r="F4884" s="40" t="n">
        <x:v>15.377445220947266</x:v>
      </x:c>
      <x:c r="G4884" s="40" t="n">
        <x:v>16.9</x:v>
      </x:c>
      <x:c r="H4884" s="40" t="n">
        <x:f>F4884-E4884</x:f>
        <x:v>-1.422554779052735</x:v>
      </x:c>
      <x:c r="I4884" s="40" t="n">
        <x:f>ABS(H4884)</x:f>
        <x:v>1.422554779052735</x:v>
      </x:c>
      <x:c r="J4884" s="40" t="n">
        <x:f>H4884^2</x:f>
        <x:v>2.023662099405776</x:v>
      </x:c>
      <x:c r="K4884" s="40" t="n">
        <x:f>G4884-E4884</x:f>
        <x:v>0.09999999999999787</x:v>
      </x:c>
      <x:c r="L4884" s="40" t="n">
        <x:f>ABS(K4884)</x:f>
        <x:v>0.09999999999999787</x:v>
      </x:c>
      <x:c r="M4884" s="41" t="str">
        <x:v>lstm-soil-v1</x:v>
      </x:c>
    </x:row>
    <x:row r="4885">
      <x:c r="A4885" s="38" t="str">
        <x:v>7月30日现场数据</x:v>
      </x:c>
      <x:c r="B4885" s="39" t="str">
        <x:v>2026-08-04T19:15:00</x:v>
      </x:c>
      <x:c r="C4885" s="39" t="str">
        <x:v>2026-08-04T19:30:00</x:v>
      </x:c>
      <x:c r="D4885" s="47" t="n">
        <x:v>15</x:v>
      </x:c>
      <x:c r="E4885" s="40" t="n">
        <x:v>16.6</x:v>
      </x:c>
      <x:c r="F4885" s="40" t="n">
        <x:v>15.445636749267578</x:v>
      </x:c>
      <x:c r="G4885" s="40" t="n">
        <x:v>16.9</x:v>
      </x:c>
      <x:c r="H4885" s="40" t="n">
        <x:f>F4885-E4885</x:f>
        <x:v>-1.1543632507324233</x:v>
      </x:c>
      <x:c r="I4885" s="40" t="n">
        <x:f>ABS(H4885)</x:f>
        <x:v>1.1543632507324233</x:v>
      </x:c>
      <x:c r="J4885" s="40" t="n">
        <x:f>H4885^2</x:f>
        <x:v>1.3325545146415276</x:v>
      </x:c>
      <x:c r="K4885" s="40" t="n">
        <x:f>G4885-E4885</x:f>
        <x:v>0.29999999999999716</x:v>
      </x:c>
      <x:c r="L4885" s="40" t="n">
        <x:f>ABS(K4885)</x:f>
        <x:v>0.29999999999999716</x:v>
      </x:c>
      <x:c r="M4885" s="41" t="str">
        <x:v>lstm-soil-v1</x:v>
      </x:c>
    </x:row>
    <x:row r="4886">
      <x:c r="A4886" s="38" t="str">
        <x:v>7月30日现场数据</x:v>
      </x:c>
      <x:c r="B4886" s="39" t="str">
        <x:v>2026-08-04T19:15:00</x:v>
      </x:c>
      <x:c r="C4886" s="39" t="str">
        <x:v>2026-08-04T19:45:00</x:v>
      </x:c>
      <x:c r="D4886" s="47" t="n">
        <x:v>30</x:v>
      </x:c>
      <x:c r="E4886" s="40" t="n">
        <x:v>16.5</x:v>
      </x:c>
      <x:c r="F4886" s="40" t="n">
        <x:v>15.839649200439453</x:v>
      </x:c>
      <x:c r="G4886" s="40" t="n">
        <x:v>16.9</x:v>
      </x:c>
      <x:c r="H4886" s="40" t="n">
        <x:f>F4886-E4886</x:f>
        <x:v>-0.6603507995605469</x:v>
      </x:c>
      <x:c r="I4886" s="40" t="n">
        <x:f>ABS(H4886)</x:f>
        <x:v>0.6603507995605469</x:v>
      </x:c>
      <x:c r="J4886" s="40" t="n">
        <x:f>H4886^2</x:f>
        <x:v>0.43606317848025355</x:v>
      </x:c>
      <x:c r="K4886" s="40" t="n">
        <x:f>G4886-E4886</x:f>
        <x:v>0.3999999999999986</x:v>
      </x:c>
      <x:c r="L4886" s="40" t="n">
        <x:f>ABS(K4886)</x:f>
        <x:v>0.3999999999999986</x:v>
      </x:c>
      <x:c r="M4886" s="41" t="str">
        <x:v>lstm-soil-v1</x:v>
      </x:c>
    </x:row>
    <x:row r="4887">
      <x:c r="A4887" s="38" t="str">
        <x:v>7月30日现场数据</x:v>
      </x:c>
      <x:c r="B4887" s="39" t="str">
        <x:v>2026-08-04T19:15:00</x:v>
      </x:c>
      <x:c r="C4887" s="39" t="str">
        <x:v>2026-08-04T20:15:00</x:v>
      </x:c>
      <x:c r="D4887" s="47" t="n">
        <x:v>60</x:v>
      </x:c>
      <x:c r="E4887" s="40" t="n">
        <x:v>16.3</x:v>
      </x:c>
      <x:c r="F4887" s="40" t="n">
        <x:v>17.545616149902344</x:v>
      </x:c>
      <x:c r="G4887" s="40" t="n">
        <x:v>16.9</x:v>
      </x:c>
      <x:c r="H4887" s="40" t="n">
        <x:f>F4887-E4887</x:f>
        <x:v>1.245616149902343</x:v>
      </x:c>
      <x:c r="I4887" s="40" t="n">
        <x:f>ABS(H4887)</x:f>
        <x:v>1.245616149902343</x:v>
      </x:c>
      <x:c r="J4887" s="40" t="n">
        <x:f>H4887^2</x:f>
        <x:v>1.5515595928975363</x:v>
      </x:c>
      <x:c r="K4887" s="40" t="n">
        <x:f>G4887-E4887</x:f>
        <x:v>0.5999999999999979</x:v>
      </x:c>
      <x:c r="L4887" s="40" t="n">
        <x:f>ABS(K4887)</x:f>
        <x:v>0.5999999999999979</x:v>
      </x:c>
      <x:c r="M4887" s="41" t="str">
        <x:v>lstm-soil-v1</x:v>
      </x:c>
    </x:row>
    <x:row r="4888">
      <x:c r="A4888" s="38" t="str">
        <x:v>7月30日现场数据</x:v>
      </x:c>
      <x:c r="B4888" s="39" t="str">
        <x:v>2026-08-04T19:20:00</x:v>
      </x:c>
      <x:c r="C4888" s="39" t="str">
        <x:v>2026-08-04T19:25:00</x:v>
      </x:c>
      <x:c r="D4888" s="47" t="n">
        <x:v>5</x:v>
      </x:c>
      <x:c r="E4888" s="40" t="n">
        <x:v>16.7</x:v>
      </x:c>
      <x:c r="F4888" s="40" t="n">
        <x:v>15.263145446777344</x:v>
      </x:c>
      <x:c r="G4888" s="40" t="n">
        <x:v>16.8</x:v>
      </x:c>
      <x:c r="H4888" s="40" t="n">
        <x:f>F4888-E4888</x:f>
        <x:v>-1.4368545532226555</x:v>
      </x:c>
      <x:c r="I4888" s="40" t="n">
        <x:f>ABS(H4888)</x:f>
        <x:v>1.4368545532226555</x:v>
      </x:c>
      <x:c r="J4888" s="40" t="n">
        <x:f>H4888^2</x:f>
        <x:v>2.0645510071166773</x:v>
      </x:c>
      <x:c r="K4888" s="40" t="n">
        <x:f>G4888-E4888</x:f>
        <x:v>0.10000000000000142</x:v>
      </x:c>
      <x:c r="L4888" s="40" t="n">
        <x:f>ABS(K4888)</x:f>
        <x:v>0.10000000000000142</x:v>
      </x:c>
      <x:c r="M4888" s="41" t="str">
        <x:v>lstm-soil-v1</x:v>
      </x:c>
    </x:row>
    <x:row r="4889">
      <x:c r="A4889" s="38" t="str">
        <x:v>7月30日现场数据</x:v>
      </x:c>
      <x:c r="B4889" s="39" t="str">
        <x:v>2026-08-04T19:20:00</x:v>
      </x:c>
      <x:c r="C4889" s="39" t="str">
        <x:v>2026-08-04T19:35:00</x:v>
      </x:c>
      <x:c r="D4889" s="47" t="n">
        <x:v>15</x:v>
      </x:c>
      <x:c r="E4889" s="40" t="n">
        <x:v>16.5</x:v>
      </x:c>
      <x:c r="F4889" s="40" t="n">
        <x:v>15.333015441894531</x:v>
      </x:c>
      <x:c r="G4889" s="40" t="n">
        <x:v>16.8</x:v>
      </x:c>
      <x:c r="H4889" s="40" t="n">
        <x:f>F4889-E4889</x:f>
        <x:v>-1.1669845581054688</x:v>
      </x:c>
      <x:c r="I4889" s="40" t="n">
        <x:f>ABS(H4889)</x:f>
        <x:v>1.1669845581054688</x:v>
      </x:c>
      <x:c r="J4889" s="40" t="n">
        <x:f>H4889^2</x:f>
        <x:v>1.3618529588566162</x:v>
      </x:c>
      <x:c r="K4889" s="40" t="n">
        <x:f>G4889-E4889</x:f>
        <x:v>0.3000000000000007</x:v>
      </x:c>
      <x:c r="L4889" s="40" t="n">
        <x:f>ABS(K4889)</x:f>
        <x:v>0.3000000000000007</x:v>
      </x:c>
      <x:c r="M4889" s="41" t="str">
        <x:v>lstm-soil-v1</x:v>
      </x:c>
    </x:row>
    <x:row r="4890">
      <x:c r="A4890" s="38" t="str">
        <x:v>7月30日现场数据</x:v>
      </x:c>
      <x:c r="B4890" s="39" t="str">
        <x:v>2026-08-04T19:20:00</x:v>
      </x:c>
      <x:c r="C4890" s="39" t="str">
        <x:v>2026-08-04T19:50:00</x:v>
      </x:c>
      <x:c r="D4890" s="47" t="n">
        <x:v>30</x:v>
      </x:c>
      <x:c r="E4890" s="40" t="n">
        <x:v>16.4</x:v>
      </x:c>
      <x:c r="F4890" s="40" t="n">
        <x:v>15.717269897460938</x:v>
      </x:c>
      <x:c r="G4890" s="40" t="n">
        <x:v>16.8</x:v>
      </x:c>
      <x:c r="H4890" s="40" t="n">
        <x:f>F4890-E4890</x:f>
        <x:v>-0.6827301025390611</x:v>
      </x:c>
      <x:c r="I4890" s="40" t="n">
        <x:f>ABS(H4890)</x:f>
        <x:v>0.6827301025390611</x:v>
      </x:c>
      <x:c r="J4890" s="40" t="n">
        <x:f>H4890^2</x:f>
        <x:v>0.46612039291299684</x:v>
      </x:c>
      <x:c r="K4890" s="40" t="n">
        <x:f>G4890-E4890</x:f>
        <x:v>0.40000000000000213</x:v>
      </x:c>
      <x:c r="L4890" s="40" t="n">
        <x:f>ABS(K4890)</x:f>
        <x:v>0.40000000000000213</x:v>
      </x:c>
      <x:c r="M4890" s="41" t="str">
        <x:v>lstm-soil-v1</x:v>
      </x:c>
    </x:row>
    <x:row r="4891">
      <x:c r="A4891" s="38" t="str">
        <x:v>7月30日现场数据</x:v>
      </x:c>
      <x:c r="B4891" s="39" t="str">
        <x:v>2026-08-04T19:20:00</x:v>
      </x:c>
      <x:c r="C4891" s="39" t="str">
        <x:v>2026-08-04T20:20:00</x:v>
      </x:c>
      <x:c r="D4891" s="47" t="n">
        <x:v>60</x:v>
      </x:c>
      <x:c r="E4891" s="40" t="n">
        <x:v>16.3</x:v>
      </x:c>
      <x:c r="F4891" s="40" t="n">
        <x:v>17.428028106689453</x:v>
      </x:c>
      <x:c r="G4891" s="40" t="n">
        <x:v>16.8</x:v>
      </x:c>
      <x:c r="H4891" s="40" t="n">
        <x:f>F4891-E4891</x:f>
        <x:v>1.1280281066894524</x:v>
      </x:c>
      <x:c r="I4891" s="40" t="n">
        <x:f>ABS(H4891)</x:f>
        <x:v>1.1280281066894524</x:v>
      </x:c>
      <x:c r="J4891" s="40" t="n">
        <x:f>H4891^2</x:f>
        <x:v>1.2724474094813907</x:v>
      </x:c>
      <x:c r="K4891" s="40" t="n">
        <x:f>G4891-E4891</x:f>
        <x:v>0.5</x:v>
      </x:c>
      <x:c r="L4891" s="40" t="n">
        <x:f>ABS(K4891)</x:f>
        <x:v>0.5</x:v>
      </x:c>
      <x:c r="M4891" s="41" t="str">
        <x:v>lstm-soil-v1</x:v>
      </x:c>
    </x:row>
    <x:row r="4892">
      <x:c r="A4892" s="38" t="str">
        <x:v>7月30日现场数据</x:v>
      </x:c>
      <x:c r="B4892" s="39" t="str">
        <x:v>2026-08-04T19:25:00</x:v>
      </x:c>
      <x:c r="C4892" s="39" t="str">
        <x:v>2026-08-04T19:30:00</x:v>
      </x:c>
      <x:c r="D4892" s="47" t="n">
        <x:v>5</x:v>
      </x:c>
      <x:c r="E4892" s="40" t="n">
        <x:v>16.6</x:v>
      </x:c>
      <x:c r="F4892" s="40" t="n">
        <x:v>15.148712158203125</x:v>
      </x:c>
      <x:c r="G4892" s="40" t="n">
        <x:v>16.7</x:v>
      </x:c>
      <x:c r="H4892" s="40" t="n">
        <x:f>F4892-E4892</x:f>
        <x:v>-1.4512878417968764</x:v>
      </x:c>
      <x:c r="I4892" s="40" t="n">
        <x:f>ABS(H4892)</x:f>
        <x:v>1.4512878417968764</x:v>
      </x:c>
      <x:c r="J4892" s="40" t="n">
        <x:f>H4892^2</x:f>
        <x:v>2.1062363997474356</x:v>
      </x:c>
      <x:c r="K4892" s="40" t="n">
        <x:f>G4892-E4892</x:f>
        <x:v>0.09999999999999787</x:v>
      </x:c>
      <x:c r="L4892" s="40" t="n">
        <x:f>ABS(K4892)</x:f>
        <x:v>0.09999999999999787</x:v>
      </x:c>
      <x:c r="M4892" s="41" t="str">
        <x:v>lstm-soil-v1</x:v>
      </x:c>
    </x:row>
    <x:row r="4893">
      <x:c r="A4893" s="38" t="str">
        <x:v>7月30日现场数据</x:v>
      </x:c>
      <x:c r="B4893" s="39" t="str">
        <x:v>2026-08-04T19:25:00</x:v>
      </x:c>
      <x:c r="C4893" s="39" t="str">
        <x:v>2026-08-04T19:40:00</x:v>
      </x:c>
      <x:c r="D4893" s="47" t="n">
        <x:v>15</x:v>
      </x:c>
      <x:c r="E4893" s="40" t="n">
        <x:v>16.5</x:v>
      </x:c>
      <x:c r="F4893" s="40" t="n">
        <x:v>15.220298767089844</x:v>
      </x:c>
      <x:c r="G4893" s="40" t="n">
        <x:v>16.7</x:v>
      </x:c>
      <x:c r="H4893" s="40" t="n">
        <x:f>F4893-E4893</x:f>
        <x:v>-1.2797012329101562</x:v>
      </x:c>
      <x:c r="I4893" s="40" t="n">
        <x:f>ABS(H4893)</x:f>
        <x:v>1.2797012329101562</x:v>
      </x:c>
      <x:c r="J4893" s="40" t="n">
        <x:f>H4893^2</x:f>
        <x:v>1.637635245511774</x:v>
      </x:c>
      <x:c r="K4893" s="40" t="n">
        <x:f>G4893-E4893</x:f>
        <x:v>0.1999999999999993</x:v>
      </x:c>
      <x:c r="L4893" s="40" t="n">
        <x:f>ABS(K4893)</x:f>
        <x:v>0.1999999999999993</x:v>
      </x:c>
      <x:c r="M4893" s="41" t="str">
        <x:v>lstm-soil-v1</x:v>
      </x:c>
    </x:row>
    <x:row r="4894">
      <x:c r="A4894" s="38" t="str">
        <x:v>7月30日现场数据</x:v>
      </x:c>
      <x:c r="B4894" s="39" t="str">
        <x:v>2026-08-04T19:25:00</x:v>
      </x:c>
      <x:c r="C4894" s="39" t="str">
        <x:v>2026-08-04T19:55:00</x:v>
      </x:c>
      <x:c r="D4894" s="47" t="n">
        <x:v>30</x:v>
      </x:c>
      <x:c r="E4894" s="40" t="n">
        <x:v>16.4</x:v>
      </x:c>
      <x:c r="F4894" s="40" t="n">
        <x:v>15.596370697021484</x:v>
      </x:c>
      <x:c r="G4894" s="40" t="n">
        <x:v>16.7</x:v>
      </x:c>
      <x:c r="H4894" s="40" t="n">
        <x:f>F4894-E4894</x:f>
        <x:v>-0.8036293029785142</x:v>
      </x:c>
      <x:c r="I4894" s="40" t="n">
        <x:f>ABS(H4894)</x:f>
        <x:v>0.8036293029785142</x:v>
      </x:c>
      <x:c r="J4894" s="40" t="n">
        <x:f>H4894^2</x:f>
        <x:v>0.6458200566057326</x:v>
      </x:c>
      <x:c r="K4894" s="40" t="n">
        <x:f>G4894-E4894</x:f>
        <x:v>0.3000000000000007</x:v>
      </x:c>
      <x:c r="L4894" s="40" t="n">
        <x:f>ABS(K4894)</x:f>
        <x:v>0.3000000000000007</x:v>
      </x:c>
      <x:c r="M4894" s="41" t="str">
        <x:v>lstm-soil-v1</x:v>
      </x:c>
    </x:row>
    <x:row r="4895">
      <x:c r="A4895" s="38" t="str">
        <x:v>7月30日现场数据</x:v>
      </x:c>
      <x:c r="B4895" s="39" t="str">
        <x:v>2026-08-04T19:25:00</x:v>
      </x:c>
      <x:c r="C4895" s="39" t="str">
        <x:v>2026-08-04T20:25:00</x:v>
      </x:c>
      <x:c r="D4895" s="47" t="n">
        <x:v>60</x:v>
      </x:c>
      <x:c r="E4895" s="40" t="n">
        <x:v>16.2</x:v>
      </x:c>
      <x:c r="F4895" s="40" t="n">
        <x:v>17.31124496459961</x:v>
      </x:c>
      <x:c r="G4895" s="40" t="n">
        <x:v>16.7</x:v>
      </x:c>
      <x:c r="H4895" s="40" t="n">
        <x:f>F4895-E4895</x:f>
        <x:v>1.11124496459961</x:v>
      </x:c>
      <x:c r="I4895" s="40" t="n">
        <x:f>ABS(H4895)</x:f>
        <x:v>1.11124496459961</x:v>
      </x:c>
      <x:c r="J4895" s="40" t="n">
        <x:f>H4895^2</x:f>
        <x:v>1.2348653713479887</x:v>
      </x:c>
      <x:c r="K4895" s="40" t="n">
        <x:f>G4895-E4895</x:f>
        <x:v>0.5</x:v>
      </x:c>
      <x:c r="L4895" s="40" t="n">
        <x:f>ABS(K4895)</x:f>
        <x:v>0.5</x:v>
      </x:c>
      <x:c r="M4895" s="41" t="str">
        <x:v>lstm-soil-v1</x:v>
      </x:c>
    </x:row>
    <x:row r="4896">
      <x:c r="A4896" s="38" t="str">
        <x:v>7月30日现场数据</x:v>
      </x:c>
      <x:c r="B4896" s="39" t="str">
        <x:v>2026-08-04T19:30:00</x:v>
      </x:c>
      <x:c r="C4896" s="39" t="str">
        <x:v>2026-08-04T19:35:00</x:v>
      </x:c>
      <x:c r="D4896" s="47" t="n">
        <x:v>5</x:v>
      </x:c>
      <x:c r="E4896" s="40" t="n">
        <x:v>16.5</x:v>
      </x:c>
      <x:c r="F4896" s="40" t="n">
        <x:v>15.034568786621094</x:v>
      </x:c>
      <x:c r="G4896" s="40" t="n">
        <x:v>16.6</x:v>
      </x:c>
      <x:c r="H4896" s="40" t="n">
        <x:f>F4896-E4896</x:f>
        <x:v>-1.4654312133789062</x:v>
      </x:c>
      <x:c r="I4896" s="40" t="n">
        <x:f>ABS(H4896)</x:f>
        <x:v>1.4654312133789062</x:v>
      </x:c>
      <x:c r="J4896" s="40" t="n">
        <x:f>H4896^2</x:f>
        <x:v>2.1474886411451735</x:v>
      </x:c>
      <x:c r="K4896" s="40" t="n">
        <x:f>G4896-E4896</x:f>
        <x:v>0.10000000000000142</x:v>
      </x:c>
      <x:c r="L4896" s="40" t="n">
        <x:f>ABS(K4896)</x:f>
        <x:v>0.10000000000000142</x:v>
      </x:c>
      <x:c r="M4896" s="41" t="str">
        <x:v>lstm-soil-v1</x:v>
      </x:c>
    </x:row>
    <x:row r="4897">
      <x:c r="A4897" s="38" t="str">
        <x:v>7月30日现场数据</x:v>
      </x:c>
      <x:c r="B4897" s="39" t="str">
        <x:v>2026-08-04T19:30:00</x:v>
      </x:c>
      <x:c r="C4897" s="39" t="str">
        <x:v>2026-08-04T19:45:00</x:v>
      </x:c>
      <x:c r="D4897" s="47" t="n">
        <x:v>15</x:v>
      </x:c>
      <x:c r="E4897" s="40" t="n">
        <x:v>16.5</x:v>
      </x:c>
      <x:c r="F4897" s="40" t="n">
        <x:v>15.107765197753906</x:v>
      </x:c>
      <x:c r="G4897" s="40" t="n">
        <x:v>16.6</x:v>
      </x:c>
      <x:c r="H4897" s="40" t="n">
        <x:f>F4897-E4897</x:f>
        <x:v>-1.3922348022460938</x:v>
      </x:c>
      <x:c r="I4897" s="40" t="n">
        <x:f>ABS(H4897)</x:f>
        <x:v>1.3922348022460938</x:v>
      </x:c>
      <x:c r="J4897" s="40" t="n">
        <x:f>H4897^2</x:f>
        <x:v>1.9383177445852198</x:v>
      </x:c>
      <x:c r="K4897" s="40" t="n">
        <x:f>G4897-E4897</x:f>
        <x:v>0.10000000000000142</x:v>
      </x:c>
      <x:c r="L4897" s="40" t="n">
        <x:f>ABS(K4897)</x:f>
        <x:v>0.10000000000000142</x:v>
      </x:c>
      <x:c r="M4897" s="41" t="str">
        <x:v>lstm-soil-v1</x:v>
      </x:c>
    </x:row>
    <x:row r="4898">
      <x:c r="A4898" s="38" t="str">
        <x:v>7月30日现场数据</x:v>
      </x:c>
      <x:c r="B4898" s="39" t="str">
        <x:v>2026-08-04T19:30:00</x:v>
      </x:c>
      <x:c r="C4898" s="39" t="str">
        <x:v>2026-08-04T20:00:00</x:v>
      </x:c>
      <x:c r="D4898" s="47" t="n">
        <x:v>30</x:v>
      </x:c>
      <x:c r="E4898" s="40" t="n">
        <x:v>16.4</x:v>
      </x:c>
      <x:c r="F4898" s="40" t="n">
        <x:v>15.477069854736328</x:v>
      </x:c>
      <x:c r="G4898" s="40" t="n">
        <x:v>16.6</x:v>
      </x:c>
      <x:c r="H4898" s="40" t="n">
        <x:f>F4898-E4898</x:f>
        <x:v>-0.9229301452636705</x:v>
      </x:c>
      <x:c r="I4898" s="40" t="n">
        <x:f>ABS(H4898)</x:f>
        <x:v>0.9229301452636705</x:v>
      </x:c>
      <x:c r="J4898" s="40" t="n">
        <x:f>H4898^2</x:f>
        <x:v>0.8518000530364198</x:v>
      </x:c>
      <x:c r="K4898" s="40" t="n">
        <x:f>G4898-E4898</x:f>
        <x:v>0.20000000000000284</x:v>
      </x:c>
      <x:c r="L4898" s="40" t="n">
        <x:f>ABS(K4898)</x:f>
        <x:v>0.20000000000000284</x:v>
      </x:c>
      <x:c r="M4898" s="41" t="str">
        <x:v>lstm-soil-v1</x:v>
      </x:c>
    </x:row>
    <x:row r="4899">
      <x:c r="A4899" s="38" t="str">
        <x:v>7月30日现场数据</x:v>
      </x:c>
      <x:c r="B4899" s="39" t="str">
        <x:v>2026-08-04T19:30:00</x:v>
      </x:c>
      <x:c r="C4899" s="39" t="str">
        <x:v>2026-08-04T20:30:00</x:v>
      </x:c>
      <x:c r="D4899" s="47" t="n">
        <x:v>60</x:v>
      </x:c>
      <x:c r="E4899" s="40" t="n">
        <x:v>16.2</x:v>
      </x:c>
      <x:c r="F4899" s="40" t="n">
        <x:v>17.195480346679688</x:v>
      </x:c>
      <x:c r="G4899" s="40" t="n">
        <x:v>16.6</x:v>
      </x:c>
      <x:c r="H4899" s="40" t="n">
        <x:f>F4899-E4899</x:f>
        <x:v>0.9954803466796882</x:v>
      </x:c>
      <x:c r="I4899" s="40" t="n">
        <x:f>ABS(H4899)</x:f>
        <x:v>0.9954803466796882</x:v>
      </x:c>
      <x:c r="J4899" s="40" t="n">
        <x:f>H4899^2</x:f>
        <x:v>0.9909811206255122</x:v>
      </x:c>
      <x:c r="K4899" s="40" t="n">
        <x:f>G4899-E4899</x:f>
        <x:v>0.40000000000000213</x:v>
      </x:c>
      <x:c r="L4899" s="40" t="n">
        <x:f>ABS(K4899)</x:f>
        <x:v>0.40000000000000213</x:v>
      </x:c>
      <x:c r="M4899" s="41" t="str">
        <x:v>lstm-soil-v1</x:v>
      </x:c>
    </x:row>
    <x:row r="4900">
      <x:c r="A4900" s="38" t="str">
        <x:v>7月30日现场数据</x:v>
      </x:c>
      <x:c r="B4900" s="39" t="str">
        <x:v>2026-08-04T19:35:00</x:v>
      </x:c>
      <x:c r="C4900" s="39" t="str">
        <x:v>2026-08-04T19:40:00</x:v>
      </x:c>
      <x:c r="D4900" s="47" t="n">
        <x:v>5</x:v>
      </x:c>
      <x:c r="E4900" s="40" t="n">
        <x:v>16.5</x:v>
      </x:c>
      <x:c r="F4900" s="40" t="n">
        <x:v>14.92104721069336</x:v>
      </x:c>
      <x:c r="G4900" s="40" t="n">
        <x:v>16.5</x:v>
      </x:c>
      <x:c r="H4900" s="40" t="n">
        <x:f>F4900-E4900</x:f>
        <x:v>-1.5789527893066406</x:v>
      </x:c>
      <x:c r="I4900" s="40" t="n">
        <x:f>ABS(H4900)</x:f>
        <x:v>1.5789527893066406</x:v>
      </x:c>
      <x:c r="J4900" s="40" t="n">
        <x:f>H4900^2</x:f>
        <x:v>2.4930919108592207</x:v>
      </x:c>
      <x:c r="K4900" s="40" t="n">
        <x:f>G4900-E4900</x:f>
        <x:v>0</x:v>
      </x:c>
      <x:c r="L4900" s="40" t="n">
        <x:f>ABS(K4900)</x:f>
        <x:v>0</x:v>
      </x:c>
      <x:c r="M4900" s="41" t="str">
        <x:v>lstm-soil-v1</x:v>
      </x:c>
    </x:row>
    <x:row r="4901">
      <x:c r="A4901" s="38" t="str">
        <x:v>7月30日现场数据</x:v>
      </x:c>
      <x:c r="B4901" s="39" t="str">
        <x:v>2026-08-04T19:35:00</x:v>
      </x:c>
      <x:c r="C4901" s="39" t="str">
        <x:v>2026-08-04T19:50:00</x:v>
      </x:c>
      <x:c r="D4901" s="47" t="n">
        <x:v>15</x:v>
      </x:c>
      <x:c r="E4901" s="40" t="n">
        <x:v>16.4</x:v>
      </x:c>
      <x:c r="F4901" s="40" t="n">
        <x:v>14.995868682861328</x:v>
      </x:c>
      <x:c r="G4901" s="40" t="n">
        <x:v>16.5</x:v>
      </x:c>
      <x:c r="H4901" s="40" t="n">
        <x:f>F4901-E4901</x:f>
        <x:v>-1.4041313171386705</x:v>
      </x:c>
      <x:c r="I4901" s="40" t="n">
        <x:f>ABS(H4901)</x:f>
        <x:v>1.4041313171386705</x:v>
      </x:c>
      <x:c r="J4901" s="40" t="n">
        <x:f>H4901^2</x:f>
        <x:v>1.9715847557695776</x:v>
      </x:c>
      <x:c r="K4901" s="40" t="n">
        <x:f>G4901-E4901</x:f>
        <x:v>0.10000000000000142</x:v>
      </x:c>
      <x:c r="L4901" s="40" t="n">
        <x:f>ABS(K4901)</x:f>
        <x:v>0.10000000000000142</x:v>
      </x:c>
      <x:c r="M4901" s="41" t="str">
        <x:v>lstm-soil-v1</x:v>
      </x:c>
    </x:row>
    <x:row r="4902">
      <x:c r="A4902" s="38" t="str">
        <x:v>7月30日现场数据</x:v>
      </x:c>
      <x:c r="B4902" s="39" t="str">
        <x:v>2026-08-04T19:35:00</x:v>
      </x:c>
      <x:c r="C4902" s="39" t="str">
        <x:v>2026-08-04T20:05:00</x:v>
      </x:c>
      <x:c r="D4902" s="47" t="n">
        <x:v>30</x:v>
      </x:c>
      <x:c r="E4902" s="40" t="n">
        <x:v>16.4</x:v>
      </x:c>
      <x:c r="F4902" s="40" t="n">
        <x:v>15.359874725341797</x:v>
      </x:c>
      <x:c r="G4902" s="40" t="n">
        <x:v>16.5</x:v>
      </x:c>
      <x:c r="H4902" s="40" t="n">
        <x:f>F4902-E4902</x:f>
        <x:v>-1.0401252746582017</x:v>
      </x:c>
      <x:c r="I4902" s="40" t="n">
        <x:f>ABS(H4902)</x:f>
        <x:v>1.0401252746582017</x:v>
      </x:c>
      <x:c r="J4902" s="40" t="n">
        <x:f>H4902^2</x:f>
        <x:v>1.0818605869827995</x:v>
      </x:c>
      <x:c r="K4902" s="40" t="n">
        <x:f>G4902-E4902</x:f>
        <x:v>0.10000000000000142</x:v>
      </x:c>
      <x:c r="L4902" s="40" t="n">
        <x:f>ABS(K4902)</x:f>
        <x:v>0.10000000000000142</x:v>
      </x:c>
      <x:c r="M4902" s="41" t="str">
        <x:v>lstm-soil-v1</x:v>
      </x:c>
    </x:row>
    <x:row r="4903">
      <x:c r="A4903" s="38" t="str">
        <x:v>7月30日现场数据</x:v>
      </x:c>
      <x:c r="B4903" s="39" t="str">
        <x:v>2026-08-04T19:35:00</x:v>
      </x:c>
      <x:c r="C4903" s="39" t="str">
        <x:v>2026-08-04T20:35:00</x:v>
      </x:c>
      <x:c r="D4903" s="47" t="n">
        <x:v>60</x:v>
      </x:c>
      <x:c r="E4903" s="40" t="n">
        <x:v>16.2</x:v>
      </x:c>
      <x:c r="F4903" s="40" t="n">
        <x:v>17.080951690673828</x:v>
      </x:c>
      <x:c r="G4903" s="40" t="n">
        <x:v>16.5</x:v>
      </x:c>
      <x:c r="H4903" s="40" t="n">
        <x:f>F4903-E4903</x:f>
        <x:v>0.8809516906738288</x:v>
      </x:c>
      <x:c r="I4903" s="40" t="n">
        <x:f>ABS(H4903)</x:f>
        <x:v>0.8809516906738288</x:v>
      </x:c>
      <x:c r="J4903" s="40" t="n">
        <x:f>H4903^2</x:f>
        <x:v>0.7760758813010774</x:v>
      </x:c>
      <x:c r="K4903" s="40" t="n">
        <x:f>G4903-E4903</x:f>
        <x:v>0.3000000000000007</x:v>
      </x:c>
      <x:c r="L4903" s="40" t="n">
        <x:f>ABS(K4903)</x:f>
        <x:v>0.3000000000000007</x:v>
      </x:c>
      <x:c r="M4903" s="41" t="str">
        <x:v>lstm-soil-v1</x:v>
      </x:c>
    </x:row>
    <x:row r="4904">
      <x:c r="A4904" s="38" t="str">
        <x:v>7月30日现场数据</x:v>
      </x:c>
      <x:c r="B4904" s="39" t="str">
        <x:v>2026-08-04T19:40:00</x:v>
      </x:c>
      <x:c r="C4904" s="39" t="str">
        <x:v>2026-08-04T19:45:00</x:v>
      </x:c>
      <x:c r="D4904" s="47" t="n">
        <x:v>5</x:v>
      </x:c>
      <x:c r="E4904" s="40" t="n">
        <x:v>16.5</x:v>
      </x:c>
      <x:c r="F4904" s="40" t="n">
        <x:v>14.918769836425781</x:v>
      </x:c>
      <x:c r="G4904" s="40" t="n">
        <x:v>16.5</x:v>
      </x:c>
      <x:c r="H4904" s="40" t="n">
        <x:f>F4904-E4904</x:f>
        <x:v>-1.5812301635742188</x:v>
      </x:c>
      <x:c r="I4904" s="40" t="n">
        <x:f>ABS(H4904)</x:f>
        <x:v>1.5812301635742188</x:v>
      </x:c>
      <x:c r="J4904" s="40" t="n">
        <x:f>H4904^2</x:f>
        <x:v>2.5002888301969506</x:v>
      </x:c>
      <x:c r="K4904" s="40" t="n">
        <x:f>G4904-E4904</x:f>
        <x:v>0</x:v>
      </x:c>
      <x:c r="L4904" s="40" t="n">
        <x:f>ABS(K4904)</x:f>
        <x:v>0</x:v>
      </x:c>
      <x:c r="M4904" s="41" t="str">
        <x:v>lstm-soil-v1</x:v>
      </x:c>
    </x:row>
    <x:row r="4905">
      <x:c r="A4905" s="38" t="str">
        <x:v>7月30日现场数据</x:v>
      </x:c>
      <x:c r="B4905" s="39" t="str">
        <x:v>2026-08-04T19:40:00</x:v>
      </x:c>
      <x:c r="C4905" s="39" t="str">
        <x:v>2026-08-04T19:55:00</x:v>
      </x:c>
      <x:c r="D4905" s="47" t="n">
        <x:v>15</x:v>
      </x:c>
      <x:c r="E4905" s="40" t="n">
        <x:v>16.4</x:v>
      </x:c>
      <x:c r="F4905" s="40" t="n">
        <x:v>14.995903015136719</x:v>
      </x:c>
      <x:c r="G4905" s="40" t="n">
        <x:v>16.5</x:v>
      </x:c>
      <x:c r="H4905" s="40" t="n">
        <x:f>F4905-E4905</x:f>
        <x:v>-1.4040969848632798</x:v>
      </x:c>
      <x:c r="I4905" s="40" t="n">
        <x:f>ABS(H4905)</x:f>
        <x:v>1.4040969848632798</x:v>
      </x:c>
      <x:c r="J4905" s="40" t="n">
        <x:f>H4905^2</x:f>
        <x:v>1.9714883429021535</x:v>
      </x:c>
      <x:c r="K4905" s="40" t="n">
        <x:f>G4905-E4905</x:f>
        <x:v>0.10000000000000142</x:v>
      </x:c>
      <x:c r="L4905" s="40" t="n">
        <x:f>ABS(K4905)</x:f>
        <x:v>0.10000000000000142</x:v>
      </x:c>
      <x:c r="M4905" s="41" t="str">
        <x:v>lstm-soil-v1</x:v>
      </x:c>
    </x:row>
    <x:row r="4906">
      <x:c r="A4906" s="38" t="str">
        <x:v>7月30日现场数据</x:v>
      </x:c>
      <x:c r="B4906" s="39" t="str">
        <x:v>2026-08-04T19:40:00</x:v>
      </x:c>
      <x:c r="C4906" s="39" t="str">
        <x:v>2026-08-04T20:10:00</x:v>
      </x:c>
      <x:c r="D4906" s="47" t="n">
        <x:v>30</x:v>
      </x:c>
      <x:c r="E4906" s="40" t="n">
        <x:v>16.3</x:v>
      </x:c>
      <x:c r="F4906" s="40" t="n">
        <x:v>15.354366302490234</x:v>
      </x:c>
      <x:c r="G4906" s="40" t="n">
        <x:v>16.5</x:v>
      </x:c>
      <x:c r="H4906" s="40" t="n">
        <x:f>F4906-E4906</x:f>
        <x:v>-0.9456336975097663</x:v>
      </x:c>
      <x:c r="I4906" s="40" t="n">
        <x:f>ABS(H4906)</x:f>
        <x:v>0.9456336975097663</x:v>
      </x:c>
      <x:c r="J4906" s="40" t="n">
        <x:f>H4906^2</x:f>
        <x:v>0.8942230898659923</x:v>
      </x:c>
      <x:c r="K4906" s="40" t="n">
        <x:f>G4906-E4906</x:f>
        <x:v>0.1999999999999993</x:v>
      </x:c>
      <x:c r="L4906" s="40" t="n">
        <x:f>ABS(K4906)</x:f>
        <x:v>0.1999999999999993</x:v>
      </x:c>
      <x:c r="M4906" s="41" t="str">
        <x:v>lstm-soil-v1</x:v>
      </x:c>
    </x:row>
    <x:row r="4907">
      <x:c r="A4907" s="38" t="str">
        <x:v>7月30日现场数据</x:v>
      </x:c>
      <x:c r="B4907" s="39" t="str">
        <x:v>2026-08-04T19:40:00</x:v>
      </x:c>
      <x:c r="C4907" s="39" t="str">
        <x:v>2026-08-04T20:40:00</x:v>
      </x:c>
      <x:c r="D4907" s="47" t="n">
        <x:v>60</x:v>
      </x:c>
      <x:c r="E4907" s="40" t="n">
        <x:v>16.2</x:v>
      </x:c>
      <x:c r="F4907" s="40" t="n">
        <x:v>17.079391479492188</x:v>
      </x:c>
      <x:c r="G4907" s="40" t="n">
        <x:v>16.5</x:v>
      </x:c>
      <x:c r="H4907" s="40" t="n">
        <x:f>F4907-E4907</x:f>
        <x:v>0.8793914794921882</x:v>
      </x:c>
      <x:c r="I4907" s="40" t="n">
        <x:f>ABS(H4907)</x:f>
        <x:v>0.8793914794921882</x:v>
      </x:c>
      <x:c r="J4907" s="40" t="n">
        <x:f>H4907^2</x:f>
        <x:v>0.7733293742034597</x:v>
      </x:c>
      <x:c r="K4907" s="40" t="n">
        <x:f>G4907-E4907</x:f>
        <x:v>0.3000000000000007</x:v>
      </x:c>
      <x:c r="L4907" s="40" t="n">
        <x:f>ABS(K4907)</x:f>
        <x:v>0.3000000000000007</x:v>
      </x:c>
      <x:c r="M4907" s="41" t="str">
        <x:v>lstm-soil-v1</x:v>
      </x:c>
    </x:row>
    <x:row r="4908">
      <x:c r="A4908" s="38" t="str">
        <x:v>7月30日现场数据</x:v>
      </x:c>
      <x:c r="B4908" s="39" t="str">
        <x:v>2026-08-04T19:45:00</x:v>
      </x:c>
      <x:c r="C4908" s="39" t="str">
        <x:v>2026-08-04T19:50:00</x:v>
      </x:c>
      <x:c r="D4908" s="47" t="n">
        <x:v>5</x:v>
      </x:c>
      <x:c r="E4908" s="40" t="n">
        <x:v>16.4</x:v>
      </x:c>
      <x:c r="F4908" s="40" t="n">
        <x:v>14.915386199951172</x:v>
      </x:c>
      <x:c r="G4908" s="40" t="n">
        <x:v>16.5</x:v>
      </x:c>
      <x:c r="H4908" s="40" t="n">
        <x:f>F4908-E4908</x:f>
        <x:v>-1.4846138000488267</x:v>
      </x:c>
      <x:c r="I4908" s="40" t="n">
        <x:f>ABS(H4908)</x:f>
        <x:v>1.4846138000488267</x:v>
      </x:c>
      <x:c r="J4908" s="40" t="n">
        <x:f>H4908^2</x:f>
        <x:v>2.2040781352954175</x:v>
      </x:c>
      <x:c r="K4908" s="40" t="n">
        <x:f>G4908-E4908</x:f>
        <x:v>0.10000000000000142</x:v>
      </x:c>
      <x:c r="L4908" s="40" t="n">
        <x:f>ABS(K4908)</x:f>
        <x:v>0.10000000000000142</x:v>
      </x:c>
      <x:c r="M4908" s="41" t="str">
        <x:v>lstm-soil-v1</x:v>
      </x:c>
    </x:row>
    <x:row r="4909">
      <x:c r="A4909" s="38" t="str">
        <x:v>7月30日现场数据</x:v>
      </x:c>
      <x:c r="B4909" s="39" t="str">
        <x:v>2026-08-04T19:45:00</x:v>
      </x:c>
      <x:c r="C4909" s="39" t="str">
        <x:v>2026-08-04T20:00:00</x:v>
      </x:c>
      <x:c r="D4909" s="47" t="n">
        <x:v>15</x:v>
      </x:c>
      <x:c r="E4909" s="40" t="n">
        <x:v>16.4</x:v>
      </x:c>
      <x:c r="F4909" s="40" t="n">
        <x:v>14.994880676269531</x:v>
      </x:c>
      <x:c r="G4909" s="40" t="n">
        <x:v>16.5</x:v>
      </x:c>
      <x:c r="H4909" s="40" t="n">
        <x:f>F4909-E4909</x:f>
        <x:v>-1.4051193237304673</x:v>
      </x:c>
      <x:c r="I4909" s="40" t="n">
        <x:f>ABS(H4909)</x:f>
        <x:v>1.4051193237304673</x:v>
      </x:c>
      <x:c r="J4909" s="40" t="n">
        <x:f>H4909^2</x:f>
        <x:v>1.974360313920766</x:v>
      </x:c>
      <x:c r="K4909" s="40" t="n">
        <x:f>G4909-E4909</x:f>
        <x:v>0.10000000000000142</x:v>
      </x:c>
      <x:c r="L4909" s="40" t="n">
        <x:f>ABS(K4909)</x:f>
        <x:v>0.10000000000000142</x:v>
      </x:c>
      <x:c r="M4909" s="41" t="str">
        <x:v>lstm-soil-v1</x:v>
      </x:c>
    </x:row>
    <x:row r="4910">
      <x:c r="A4910" s="38" t="str">
        <x:v>7月30日现场数据</x:v>
      </x:c>
      <x:c r="B4910" s="39" t="str">
        <x:v>2026-08-04T19:45:00</x:v>
      </x:c>
      <x:c r="C4910" s="39" t="str">
        <x:v>2026-08-04T20:15:00</x:v>
      </x:c>
      <x:c r="D4910" s="47" t="n">
        <x:v>30</x:v>
      </x:c>
      <x:c r="E4910" s="40" t="n">
        <x:v>16.3</x:v>
      </x:c>
      <x:c r="F4910" s="40" t="n">
        <x:v>15.348094940185547</x:v>
      </x:c>
      <x:c r="G4910" s="40" t="n">
        <x:v>16.5</x:v>
      </x:c>
      <x:c r="H4910" s="40" t="n">
        <x:f>F4910-E4910</x:f>
        <x:v>-0.9519050598144538</x:v>
      </x:c>
      <x:c r="I4910" s="40" t="n">
        <x:f>ABS(H4910)</x:f>
        <x:v>0.9519050598144538</x:v>
      </x:c>
      <x:c r="J4910" s="40" t="n">
        <x:f>H4910^2</x:f>
        <x:v>0.906123242900359</x:v>
      </x:c>
      <x:c r="K4910" s="40" t="n">
        <x:f>G4910-E4910</x:f>
        <x:v>0.1999999999999993</x:v>
      </x:c>
      <x:c r="L4910" s="40" t="n">
        <x:f>ABS(K4910)</x:f>
        <x:v>0.1999999999999993</x:v>
      </x:c>
      <x:c r="M4910" s="41" t="str">
        <x:v>lstm-soil-v1</x:v>
      </x:c>
    </x:row>
    <x:row r="4911">
      <x:c r="A4911" s="38" t="str">
        <x:v>7月30日现场数据</x:v>
      </x:c>
      <x:c r="B4911" s="39" t="str">
        <x:v>2026-08-04T19:45:00</x:v>
      </x:c>
      <x:c r="C4911" s="39" t="str">
        <x:v>2026-08-04T20:45:00</x:v>
      </x:c>
      <x:c r="D4911" s="47" t="n">
        <x:v>60</x:v>
      </x:c>
      <x:c r="E4911" s="40" t="n">
        <x:v>16.2</x:v>
      </x:c>
      <x:c r="F4911" s="40" t="n">
        <x:v>17.073532104492188</x:v>
      </x:c>
      <x:c r="G4911" s="40" t="n">
        <x:v>16.5</x:v>
      </x:c>
      <x:c r="H4911" s="40" t="n">
        <x:f>F4911-E4911</x:f>
        <x:v>0.8735321044921882</x:v>
      </x:c>
      <x:c r="I4911" s="40" t="n">
        <x:f>ABS(H4911)</x:f>
        <x:v>0.8735321044921882</x:v>
      </x:c>
      <x:c r="J4911" s="40" t="n">
        <x:f>H4911^2</x:f>
        <x:v>0.7630583375785512</x:v>
      </x:c>
      <x:c r="K4911" s="40" t="n">
        <x:f>G4911-E4911</x:f>
        <x:v>0.3000000000000007</x:v>
      </x:c>
      <x:c r="L4911" s="40" t="n">
        <x:f>ABS(K4911)</x:f>
        <x:v>0.3000000000000007</x:v>
      </x:c>
      <x:c r="M4911" s="41" t="str">
        <x:v>lstm-soil-v1</x:v>
      </x:c>
    </x:row>
    <x:row r="4912">
      <x:c r="A4912" s="38" t="str">
        <x:v>7月30日现场数据</x:v>
      </x:c>
      <x:c r="B4912" s="39" t="str">
        <x:v>2026-08-04T19:50:00</x:v>
      </x:c>
      <x:c r="C4912" s="39" t="str">
        <x:v>2026-08-04T19:55:00</x:v>
      </x:c>
      <x:c r="D4912" s="47" t="n">
        <x:v>5</x:v>
      </x:c>
      <x:c r="E4912" s="40" t="n">
        <x:v>16.4</x:v>
      </x:c>
      <x:c r="F4912" s="40" t="n">
        <x:v>14.803192138671875</x:v>
      </x:c>
      <x:c r="G4912" s="40" t="n">
        <x:v>16.4</x:v>
      </x:c>
      <x:c r="H4912" s="40" t="n">
        <x:f>F4912-E4912</x:f>
        <x:v>-1.5968078613281236</x:v>
      </x:c>
      <x:c r="I4912" s="40" t="n">
        <x:f>ABS(H4912)</x:f>
        <x:v>1.5968078613281236</x:v>
      </x:c>
      <x:c r="J4912" s="40" t="n">
        <x:f>H4912^2</x:f>
        <x:v>2.549795345999296</x:v>
      </x:c>
      <x:c r="K4912" s="40" t="n">
        <x:f>G4912-E4912</x:f>
        <x:v>0</x:v>
      </x:c>
      <x:c r="L4912" s="40" t="n">
        <x:f>ABS(K4912)</x:f>
        <x:v>0</x:v>
      </x:c>
      <x:c r="M4912" s="41" t="str">
        <x:v>lstm-soil-v1</x:v>
      </x:c>
    </x:row>
    <x:row r="4913">
      <x:c r="A4913" s="38" t="str">
        <x:v>7月30日现场数据</x:v>
      </x:c>
      <x:c r="B4913" s="39" t="str">
        <x:v>2026-08-04T19:50:00</x:v>
      </x:c>
      <x:c r="C4913" s="39" t="str">
        <x:v>2026-08-04T20:05:00</x:v>
      </x:c>
      <x:c r="D4913" s="47" t="n">
        <x:v>15</x:v>
      </x:c>
      <x:c r="E4913" s="40" t="n">
        <x:v>16.4</x:v>
      </x:c>
      <x:c r="F4913" s="40" t="n">
        <x:v>14.882953643798828</x:v>
      </x:c>
      <x:c r="G4913" s="40" t="n">
        <x:v>16.4</x:v>
      </x:c>
      <x:c r="H4913" s="40" t="n">
        <x:f>F4913-E4913</x:f>
        <x:v>-1.5170463562011705</x:v>
      </x:c>
      <x:c r="I4913" s="40" t="n">
        <x:f>ABS(H4913)</x:f>
        <x:v>1.5170463562011705</x:v>
      </x:c>
      <x:c r="J4913" s="40" t="n">
        <x:f>H4913^2</x:f>
        <x:v>2.3014296468632485</x:v>
      </x:c>
      <x:c r="K4913" s="40" t="n">
        <x:f>G4913-E4913</x:f>
        <x:v>0</x:v>
      </x:c>
      <x:c r="L4913" s="40" t="n">
        <x:f>ABS(K4913)</x:f>
        <x:v>0</x:v>
      </x:c>
      <x:c r="M4913" s="41" t="str">
        <x:v>lstm-soil-v1</x:v>
      </x:c>
    </x:row>
    <x:row r="4914">
      <x:c r="A4914" s="38" t="str">
        <x:v>7月30日现场数据</x:v>
      </x:c>
      <x:c r="B4914" s="39" t="str">
        <x:v>2026-08-04T19:50:00</x:v>
      </x:c>
      <x:c r="C4914" s="39" t="str">
        <x:v>2026-08-04T20:20:00</x:v>
      </x:c>
      <x:c r="D4914" s="47" t="n">
        <x:v>30</x:v>
      </x:c>
      <x:c r="E4914" s="40" t="n">
        <x:v>16.3</x:v>
      </x:c>
      <x:c r="F4914" s="40" t="n">
        <x:v>15.23358154296875</x:v>
      </x:c>
      <x:c r="G4914" s="40" t="n">
        <x:v>16.4</x:v>
      </x:c>
      <x:c r="H4914" s="40" t="n">
        <x:f>F4914-E4914</x:f>
        <x:v>-1.0664184570312507</x:v>
      </x:c>
      <x:c r="I4914" s="40" t="n">
        <x:f>ABS(H4914)</x:f>
        <x:v>1.0664184570312507</x:v>
      </x:c>
      <x:c r="J4914" s="40" t="n">
        <x:f>H4914^2</x:f>
        <x:v>1.1372483254969135</x:v>
      </x:c>
      <x:c r="K4914" s="40" t="n">
        <x:f>G4914-E4914</x:f>
        <x:v>0.09999999999999787</x:v>
      </x:c>
      <x:c r="L4914" s="40" t="n">
        <x:f>ABS(K4914)</x:f>
        <x:v>0.09999999999999787</x:v>
      </x:c>
      <x:c r="M4914" s="41" t="str">
        <x:v>lstm-soil-v1</x:v>
      </x:c>
    </x:row>
    <x:row r="4915">
      <x:c r="A4915" s="38" t="str">
        <x:v>7月30日现场数据</x:v>
      </x:c>
      <x:c r="B4915" s="39" t="str">
        <x:v>2026-08-04T19:50:00</x:v>
      </x:c>
      <x:c r="C4915" s="39" t="str">
        <x:v>2026-08-04T20:50:00</x:v>
      </x:c>
      <x:c r="D4915" s="47" t="n">
        <x:v>60</x:v>
      </x:c>
      <x:c r="E4915" s="40" t="n">
        <x:v>16.1</x:v>
      </x:c>
      <x:c r="F4915" s="40" t="n">
        <x:v>16.96021270751953</x:v>
      </x:c>
      <x:c r="G4915" s="40" t="n">
        <x:v>16.4</x:v>
      </x:c>
      <x:c r="H4915" s="40" t="n">
        <x:f>F4915-E4915</x:f>
        <x:v>0.8602127075195298</x:v>
      </x:c>
      <x:c r="I4915" s="40" t="n">
        <x:f>ABS(H4915)</x:f>
        <x:v>0.8602127075195298</x:v>
      </x:c>
      <x:c r="J4915" s="40" t="n">
        <x:f>H4915^2</x:f>
        <x:v>0.7399659021780801</x:v>
      </x:c>
      <x:c r="K4915" s="40" t="n">
        <x:f>G4915-E4915</x:f>
        <x:v>0.29999999999999716</x:v>
      </x:c>
      <x:c r="L4915" s="40" t="n">
        <x:f>ABS(K4915)</x:f>
        <x:v>0.29999999999999716</x:v>
      </x:c>
      <x:c r="M4915" s="41" t="str">
        <x:v>lstm-soil-v1</x:v>
      </x:c>
    </x:row>
    <x:row r="4916">
      <x:c r="A4916" s="38" t="str">
        <x:v>7月30日现场数据</x:v>
      </x:c>
      <x:c r="B4916" s="39" t="str">
        <x:v>2026-08-04T19:55:00</x:v>
      </x:c>
      <x:c r="C4916" s="39" t="str">
        <x:v>2026-08-04T20:00:00</x:v>
      </x:c>
      <x:c r="D4916" s="47" t="n">
        <x:v>5</x:v>
      </x:c>
      <x:c r="E4916" s="40" t="n">
        <x:v>16.4</x:v>
      </x:c>
      <x:c r="F4916" s="40" t="n">
        <x:v>14.802070617675781</x:v>
      </x:c>
      <x:c r="G4916" s="40" t="n">
        <x:v>16.4</x:v>
      </x:c>
      <x:c r="H4916" s="40" t="n">
        <x:f>F4916-E4916</x:f>
        <x:v>-1.5979293823242173</x:v>
      </x:c>
      <x:c r="I4916" s="40" t="n">
        <x:f>ABS(H4916)</x:f>
        <x:v>1.5979293823242173</x:v>
      </x:c>
      <x:c r="J4916" s="40" t="n">
        <x:f>H4916^2</x:f>
        <x:v>2.5533783108950545</x:v>
      </x:c>
      <x:c r="K4916" s="40" t="n">
        <x:f>G4916-E4916</x:f>
        <x:v>0</x:v>
      </x:c>
      <x:c r="L4916" s="40" t="n">
        <x:f>ABS(K4916)</x:f>
        <x:v>0</x:v>
      </x:c>
      <x:c r="M4916" s="41" t="str">
        <x:v>lstm-soil-v1</x:v>
      </x:c>
    </x:row>
    <x:row r="4917">
      <x:c r="A4917" s="38" t="str">
        <x:v>7月30日现场数据</x:v>
      </x:c>
      <x:c r="B4917" s="39" t="str">
        <x:v>2026-08-04T19:55:00</x:v>
      </x:c>
      <x:c r="C4917" s="39" t="str">
        <x:v>2026-08-04T20:10:00</x:v>
      </x:c>
      <x:c r="D4917" s="47" t="n">
        <x:v>15</x:v>
      </x:c>
      <x:c r="E4917" s="40" t="n">
        <x:v>16.3</x:v>
      </x:c>
      <x:c r="F4917" s="40" t="n">
        <x:v>14.881763458251953</x:v>
      </x:c>
      <x:c r="G4917" s="40" t="n">
        <x:v>16.4</x:v>
      </x:c>
      <x:c r="H4917" s="40" t="n">
        <x:f>F4917-E4917</x:f>
        <x:v>-1.4182365417480476</x:v>
      </x:c>
      <x:c r="I4917" s="40" t="n">
        <x:f>ABS(H4917)</x:f>
        <x:v>1.4182365417480476</x:v>
      </x:c>
      <x:c r="J4917" s="40" t="n">
        <x:f>H4917^2</x:f>
        <x:v>2.0113948883494617</x:v>
      </x:c>
      <x:c r="K4917" s="40" t="n">
        <x:f>G4917-E4917</x:f>
        <x:v>0.09999999999999787</x:v>
      </x:c>
      <x:c r="L4917" s="40" t="n">
        <x:f>ABS(K4917)</x:f>
        <x:v>0.09999999999999787</x:v>
      </x:c>
      <x:c r="M4917" s="41" t="str">
        <x:v>lstm-soil-v1</x:v>
      </x:c>
    </x:row>
    <x:row r="4918">
      <x:c r="A4918" s="38" t="str">
        <x:v>7月30日现场数据</x:v>
      </x:c>
      <x:c r="B4918" s="39" t="str">
        <x:v>2026-08-04T19:55:00</x:v>
      </x:c>
      <x:c r="C4918" s="39" t="str">
        <x:v>2026-08-04T20:25:00</x:v>
      </x:c>
      <x:c r="D4918" s="47" t="n">
        <x:v>30</x:v>
      </x:c>
      <x:c r="E4918" s="40" t="n">
        <x:v>16.2</x:v>
      </x:c>
      <x:c r="F4918" s="40" t="n">
        <x:v>15.230960845947266</x:v>
      </x:c>
      <x:c r="G4918" s="40" t="n">
        <x:v>16.4</x:v>
      </x:c>
      <x:c r="H4918" s="40" t="n">
        <x:f>F4918-E4918</x:f>
        <x:v>-0.9690391540527337</x:v>
      </x:c>
      <x:c r="I4918" s="40" t="n">
        <x:f>ABS(H4918)</x:f>
        <x:v>0.9690391540527337</x:v>
      </x:c>
      <x:c r="J4918" s="40" t="n">
        <x:f>H4918^2</x:f>
        <x:v>0.9390368820872377</x:v>
      </x:c>
      <x:c r="K4918" s="40" t="n">
        <x:f>G4918-E4918</x:f>
        <x:v>0.1999999999999993</x:v>
      </x:c>
      <x:c r="L4918" s="40" t="n">
        <x:f>ABS(K4918)</x:f>
        <x:v>0.1999999999999993</x:v>
      </x:c>
      <x:c r="M4918" s="41" t="str">
        <x:v>lstm-soil-v1</x:v>
      </x:c>
    </x:row>
    <x:row r="4919">
      <x:c r="A4919" s="38" t="str">
        <x:v>7月30日现场数据</x:v>
      </x:c>
      <x:c r="B4919" s="39" t="str">
        <x:v>2026-08-04T19:55:00</x:v>
      </x:c>
      <x:c r="C4919" s="39" t="str">
        <x:v>2026-08-04T20:55:00</x:v>
      </x:c>
      <x:c r="D4919" s="47" t="n">
        <x:v>60</x:v>
      </x:c>
      <x:c r="E4919" s="40" t="n">
        <x:v>16.2</x:v>
      </x:c>
      <x:c r="F4919" s="40" t="n">
        <x:v>16.95917510986328</x:v>
      </x:c>
      <x:c r="G4919" s="40" t="n">
        <x:v>16.4</x:v>
      </x:c>
      <x:c r="H4919" s="40" t="n">
        <x:f>F4919-E4919</x:f>
        <x:v>0.759175109863282</x:v>
      </x:c>
      <x:c r="I4919" s="40" t="n">
        <x:f>ABS(H4919)</x:f>
        <x:v>0.759175109863282</x:v>
      </x:c>
      <x:c r="J4919" s="40" t="n">
        <x:f>H4919^2</x:f>
        <x:v>0.5763468474359262</x:v>
      </x:c>
      <x:c r="K4919" s="40" t="n">
        <x:f>G4919-E4919</x:f>
        <x:v>0.1999999999999993</x:v>
      </x:c>
      <x:c r="L4919" s="40" t="n">
        <x:f>ABS(K4919)</x:f>
        <x:v>0.1999999999999993</x:v>
      </x:c>
      <x:c r="M4919" s="41" t="str">
        <x:v>lstm-soil-v1</x:v>
      </x:c>
    </x:row>
    <x:row r="4920">
      <x:c r="A4920" s="38" t="str">
        <x:v>7月30日现场数据</x:v>
      </x:c>
      <x:c r="B4920" s="39" t="str">
        <x:v>2026-08-04T20:00:00</x:v>
      </x:c>
      <x:c r="C4920" s="39" t="str">
        <x:v>2026-08-04T20:05:00</x:v>
      </x:c>
      <x:c r="D4920" s="47" t="n">
        <x:v>5</x:v>
      </x:c>
      <x:c r="E4920" s="40" t="n">
        <x:v>16.4</x:v>
      </x:c>
      <x:c r="F4920" s="40" t="n">
        <x:v>14.798248291015625</x:v>
      </x:c>
      <x:c r="G4920" s="40" t="n">
        <x:v>16.4</x:v>
      </x:c>
      <x:c r="H4920" s="40" t="n">
        <x:f>F4920-E4920</x:f>
        <x:v>-1.6017517089843736</x:v>
      </x:c>
      <x:c r="I4920" s="40" t="n">
        <x:f>ABS(H4920)</x:f>
        <x:v>1.6017517089843736</x:v>
      </x:c>
      <x:c r="J4920" s="40" t="n">
        <x:f>H4920^2</x:f>
        <x:v>2.5656085372343616</x:v>
      </x:c>
      <x:c r="K4920" s="40" t="n">
        <x:f>G4920-E4920</x:f>
        <x:v>0</x:v>
      </x:c>
      <x:c r="L4920" s="40" t="n">
        <x:f>ABS(K4920)</x:f>
        <x:v>0</x:v>
      </x:c>
      <x:c r="M4920" s="41" t="str">
        <x:v>lstm-soil-v1</x:v>
      </x:c>
    </x:row>
    <x:row r="4921">
      <x:c r="A4921" s="38" t="str">
        <x:v>7月30日现场数据</x:v>
      </x:c>
      <x:c r="B4921" s="39" t="str">
        <x:v>2026-08-04T20:00:00</x:v>
      </x:c>
      <x:c r="C4921" s="39" t="str">
        <x:v>2026-08-04T20:15:00</x:v>
      </x:c>
      <x:c r="D4921" s="47" t="n">
        <x:v>15</x:v>
      </x:c>
      <x:c r="E4921" s="40" t="n">
        <x:v>16.3</x:v>
      </x:c>
      <x:c r="F4921" s="40" t="n">
        <x:v>14.879150390625</x:v>
      </x:c>
      <x:c r="G4921" s="40" t="n">
        <x:v>16.4</x:v>
      </x:c>
      <x:c r="H4921" s="40" t="n">
        <x:f>F4921-E4921</x:f>
        <x:v>-1.4208496093750007</x:v>
      </x:c>
      <x:c r="I4921" s="40" t="n">
        <x:f>ABS(H4921)</x:f>
        <x:v>1.4208496093750007</x:v>
      </x:c>
      <x:c r="J4921" s="40" t="n">
        <x:f>H4921^2</x:f>
        <x:v>2.0188136124610923</x:v>
      </x:c>
      <x:c r="K4921" s="40" t="n">
        <x:f>G4921-E4921</x:f>
        <x:v>0.09999999999999787</x:v>
      </x:c>
      <x:c r="L4921" s="40" t="n">
        <x:f>ABS(K4921)</x:f>
        <x:v>0.09999999999999787</x:v>
      </x:c>
      <x:c r="M4921" s="41" t="str">
        <x:v>lstm-soil-v1</x:v>
      </x:c>
    </x:row>
    <x:row r="4922">
      <x:c r="A4922" s="38" t="str">
        <x:v>7月30日现场数据</x:v>
      </x:c>
      <x:c r="B4922" s="39" t="str">
        <x:v>2026-08-04T20:00:00</x:v>
      </x:c>
      <x:c r="C4922" s="39" t="str">
        <x:v>2026-08-04T20:30:00</x:v>
      </x:c>
      <x:c r="D4922" s="47" t="n">
        <x:v>30</x:v>
      </x:c>
      <x:c r="E4922" s="40" t="n">
        <x:v>16.2</x:v>
      </x:c>
      <x:c r="F4922" s="40" t="n">
        <x:v>15.226478576660156</x:v>
      </x:c>
      <x:c r="G4922" s="40" t="n">
        <x:v>16.4</x:v>
      </x:c>
      <x:c r="H4922" s="40" t="n">
        <x:f>F4922-E4922</x:f>
        <x:v>-0.973521423339843</x:v>
      </x:c>
      <x:c r="I4922" s="40" t="n">
        <x:f>ABS(H4922)</x:f>
        <x:v>0.973521423339843</x:v>
      </x:c>
      <x:c r="J4922" s="40" t="n">
        <x:f>H4922^2</x:f>
        <x:v>0.9477439617016339</x:v>
      </x:c>
      <x:c r="K4922" s="40" t="n">
        <x:f>G4922-E4922</x:f>
        <x:v>0.1999999999999993</x:v>
      </x:c>
      <x:c r="L4922" s="40" t="n">
        <x:f>ABS(K4922)</x:f>
        <x:v>0.1999999999999993</x:v>
      </x:c>
      <x:c r="M4922" s="41" t="str">
        <x:v>lstm-soil-v1</x:v>
      </x:c>
    </x:row>
    <x:row r="4923">
      <x:c r="A4923" s="38" t="str">
        <x:v>7月30日现场数据</x:v>
      </x:c>
      <x:c r="B4923" s="39" t="str">
        <x:v>2026-08-04T20:00:00</x:v>
      </x:c>
      <x:c r="C4923" s="39" t="str">
        <x:v>2026-08-04T21:00:00</x:v>
      </x:c>
      <x:c r="D4923" s="47" t="n">
        <x:v>60</x:v>
      </x:c>
      <x:c r="E4923" s="40" t="n">
        <x:v>16.1</x:v>
      </x:c>
      <x:c r="F4923" s="40" t="n">
        <x:v>16.950489044189453</x:v>
      </x:c>
      <x:c r="G4923" s="40" t="n">
        <x:v>16.4</x:v>
      </x:c>
      <x:c r="H4923" s="40" t="n">
        <x:f>F4923-E4923</x:f>
        <x:v>0.8504890441894517</x:v>
      </x:c>
      <x:c r="I4923" s="40" t="n">
        <x:f>ABS(H4923)</x:f>
        <x:v>0.8504890441894517</x:v>
      </x:c>
      <x:c r="J4923" s="40" t="n">
        <x:f>H4923^2</x:f>
        <x:v>0.7233316142862871</x:v>
      </x:c>
      <x:c r="K4923" s="40" t="n">
        <x:f>G4923-E4923</x:f>
        <x:v>0.29999999999999716</x:v>
      </x:c>
      <x:c r="L4923" s="40" t="n">
        <x:f>ABS(K4923)</x:f>
        <x:v>0.29999999999999716</x:v>
      </x:c>
      <x:c r="M4923" s="41" t="str">
        <x:v>lstm-soil-v1</x:v>
      </x:c>
    </x:row>
    <x:row r="4924">
      <x:c r="A4924" s="38" t="str">
        <x:v>7月30日现场数据</x:v>
      </x:c>
      <x:c r="B4924" s="39" t="str">
        <x:v>2026-08-04T20:05:00</x:v>
      </x:c>
      <x:c r="C4924" s="39" t="str">
        <x:v>2026-08-04T20:10:00</x:v>
      </x:c>
      <x:c r="D4924" s="47" t="n">
        <x:v>5</x:v>
      </x:c>
      <x:c r="E4924" s="40" t="n">
        <x:v>16.3</x:v>
      </x:c>
      <x:c r="F4924" s="40" t="n">
        <x:v>14.796333312988281</x:v>
      </x:c>
      <x:c r="G4924" s="40" t="n">
        <x:v>16.4</x:v>
      </x:c>
      <x:c r="H4924" s="40" t="n">
        <x:f>F4924-E4924</x:f>
        <x:v>-1.5036666870117195</x:v>
      </x:c>
      <x:c r="I4924" s="40" t="n">
        <x:f>ABS(H4924)</x:f>
        <x:v>1.5036666870117195</x:v>
      </x:c>
      <x:c r="J4924" s="40" t="n">
        <x:f>H4924^2</x:f>
        <x:v>2.2610135056288003</x:v>
      </x:c>
      <x:c r="K4924" s="40" t="n">
        <x:f>G4924-E4924</x:f>
        <x:v>0.09999999999999787</x:v>
      </x:c>
      <x:c r="L4924" s="40" t="n">
        <x:f>ABS(K4924)</x:f>
        <x:v>0.09999999999999787</x:v>
      </x:c>
      <x:c r="M4924" s="41" t="str">
        <x:v>lstm-soil-v1</x:v>
      </x:c>
    </x:row>
    <x:row r="4925">
      <x:c r="A4925" s="38" t="str">
        <x:v>7月30日现场数据</x:v>
      </x:c>
      <x:c r="B4925" s="39" t="str">
        <x:v>2026-08-04T20:05:00</x:v>
      </x:c>
      <x:c r="C4925" s="39" t="str">
        <x:v>2026-08-04T20:20:00</x:v>
      </x:c>
      <x:c r="D4925" s="47" t="n">
        <x:v>15</x:v>
      </x:c>
      <x:c r="E4925" s="40" t="n">
        <x:v>16.3</x:v>
      </x:c>
      <x:c r="F4925" s="40" t="n">
        <x:v>14.876937866210938</x:v>
      </x:c>
      <x:c r="G4925" s="40" t="n">
        <x:v>16.4</x:v>
      </x:c>
      <x:c r="H4925" s="40" t="n">
        <x:f>F4925-E4925</x:f>
        <x:v>-1.4230621337890632</x:v>
      </x:c>
      <x:c r="I4925" s="40" t="n">
        <x:f>ABS(H4925)</x:f>
        <x:v>1.4230621337890632</x:v>
      </x:c>
      <x:c r="J4925" s="40" t="n">
        <x:f>H4925^2</x:f>
        <x:v>2.025105836624282</x:v>
      </x:c>
      <x:c r="K4925" s="40" t="n">
        <x:f>G4925-E4925</x:f>
        <x:v>0.09999999999999787</x:v>
      </x:c>
      <x:c r="L4925" s="40" t="n">
        <x:f>ABS(K4925)</x:f>
        <x:v>0.09999999999999787</x:v>
      </x:c>
      <x:c r="M4925" s="41" t="str">
        <x:v>lstm-soil-v1</x:v>
      </x:c>
    </x:row>
    <x:row r="4926">
      <x:c r="A4926" s="38" t="str">
        <x:v>7月30日现场数据</x:v>
      </x:c>
      <x:c r="B4926" s="39" t="str">
        <x:v>2026-08-04T20:05:00</x:v>
      </x:c>
      <x:c r="C4926" s="39" t="str">
        <x:v>2026-08-04T20:35:00</x:v>
      </x:c>
      <x:c r="D4926" s="47" t="n">
        <x:v>30</x:v>
      </x:c>
      <x:c r="E4926" s="40" t="n">
        <x:v>16.2</x:v>
      </x:c>
      <x:c r="F4926" s="40" t="n">
        <x:v>15.224990844726562</x:v>
      </x:c>
      <x:c r="G4926" s="40" t="n">
        <x:v>16.4</x:v>
      </x:c>
      <x:c r="H4926" s="40" t="n">
        <x:f>F4926-E4926</x:f>
        <x:v>-0.9750091552734368</x:v>
      </x:c>
      <x:c r="I4926" s="40" t="n">
        <x:f>ABS(H4926)</x:f>
        <x:v>0.9750091552734368</x:v>
      </x:c>
      <x:c r="J4926" s="40" t="n">
        <x:f>H4926^2</x:f>
        <x:v>0.9506428528670208</x:v>
      </x:c>
      <x:c r="K4926" s="40" t="n">
        <x:f>G4926-E4926</x:f>
        <x:v>0.1999999999999993</x:v>
      </x:c>
      <x:c r="L4926" s="40" t="n">
        <x:f>ABS(K4926)</x:f>
        <x:v>0.1999999999999993</x:v>
      </x:c>
      <x:c r="M4926" s="41" t="str">
        <x:v>lstm-soil-v1</x:v>
      </x:c>
    </x:row>
    <x:row r="4927">
      <x:c r="A4927" s="38" t="str">
        <x:v>7月30日现场数据</x:v>
      </x:c>
      <x:c r="B4927" s="39" t="str">
        <x:v>2026-08-04T20:05:00</x:v>
      </x:c>
      <x:c r="C4927" s="39" t="str">
        <x:v>2026-08-04T21:05:00</x:v>
      </x:c>
      <x:c r="D4927" s="47" t="n">
        <x:v>60</x:v>
      </x:c>
      <x:c r="E4927" s="40" t="n">
        <x:v>16.1</x:v>
      </x:c>
      <x:c r="F4927" s="40" t="n">
        <x:v>16.945438385009766</x:v>
      </x:c>
      <x:c r="G4927" s="40" t="n">
        <x:v>16.4</x:v>
      </x:c>
      <x:c r="H4927" s="40" t="n">
        <x:f>F4927-E4927</x:f>
        <x:v>0.8454383850097642</x:v>
      </x:c>
      <x:c r="I4927" s="40" t="n">
        <x:f>ABS(H4927)</x:f>
        <x:v>0.8454383850097642</x:v>
      </x:c>
      <x:c r="J4927" s="40" t="n">
        <x:f>H4927^2</x:f>
        <x:v>0.7147660628479183</x:v>
      </x:c>
      <x:c r="K4927" s="40" t="n">
        <x:f>G4927-E4927</x:f>
        <x:v>0.29999999999999716</x:v>
      </x:c>
      <x:c r="L4927" s="40" t="n">
        <x:f>ABS(K4927)</x:f>
        <x:v>0.29999999999999716</x:v>
      </x:c>
      <x:c r="M4927" s="41" t="str">
        <x:v>lstm-soil-v1</x:v>
      </x:c>
    </x:row>
    <x:row r="4928">
      <x:c r="A4928" s="38" t="str">
        <x:v>7月30日现场数据</x:v>
      </x:c>
      <x:c r="B4928" s="39" t="str">
        <x:v>2026-08-04T20:10:00</x:v>
      </x:c>
      <x:c r="C4928" s="39" t="str">
        <x:v>2026-08-04T20:15:00</x:v>
      </x:c>
      <x:c r="D4928" s="47" t="n">
        <x:v>5</x:v>
      </x:c>
      <x:c r="E4928" s="40" t="n">
        <x:v>16.3</x:v>
      </x:c>
      <x:c r="F4928" s="40" t="n">
        <x:v>14.684741973876953</x:v>
      </x:c>
      <x:c r="G4928" s="40" t="n">
        <x:v>16.3</x:v>
      </x:c>
      <x:c r="H4928" s="40" t="n">
        <x:f>F4928-E4928</x:f>
        <x:v>-1.6152580261230476</x:v>
      </x:c>
      <x:c r="I4928" s="40" t="n">
        <x:f>ABS(H4928)</x:f>
        <x:v>1.6152580261230476</x:v>
      </x:c>
      <x:c r="J4928" s="40" t="n">
        <x:f>H4928^2</x:f>
        <x:v>2.609058490954924</x:v>
      </x:c>
      <x:c r="K4928" s="40" t="n">
        <x:f>G4928-E4928</x:f>
        <x:v>0</x:v>
      </x:c>
      <x:c r="L4928" s="40" t="n">
        <x:f>ABS(K4928)</x:f>
        <x:v>0</x:v>
      </x:c>
      <x:c r="M4928" s="41" t="str">
        <x:v>lstm-soil-v1</x:v>
      </x:c>
    </x:row>
    <x:row r="4929">
      <x:c r="A4929" s="38" t="str">
        <x:v>7月30日现场数据</x:v>
      </x:c>
      <x:c r="B4929" s="39" t="str">
        <x:v>2026-08-04T20:10:00</x:v>
      </x:c>
      <x:c r="C4929" s="39" t="str">
        <x:v>2026-08-04T20:25:00</x:v>
      </x:c>
      <x:c r="D4929" s="47" t="n">
        <x:v>15</x:v>
      </x:c>
      <x:c r="E4929" s="40" t="n">
        <x:v>16.2</x:v>
      </x:c>
      <x:c r="F4929" s="40" t="n">
        <x:v>14.764961242675781</x:v>
      </x:c>
      <x:c r="G4929" s="40" t="n">
        <x:v>16.3</x:v>
      </x:c>
      <x:c r="H4929" s="40" t="n">
        <x:f>F4929-E4929</x:f>
        <x:v>-1.435038757324218</x:v>
      </x:c>
      <x:c r="I4929" s="40" t="n">
        <x:f>ABS(H4929)</x:f>
        <x:v>1.435038757324218</x:v>
      </x:c>
      <x:c r="J4929" s="40" t="n">
        <x:f>H4929^2</x:f>
        <x:v>2.059336235022636</x:v>
      </x:c>
      <x:c r="K4929" s="40" t="n">
        <x:f>G4929-E4929</x:f>
        <x:v>0.10000000000000142</x:v>
      </x:c>
      <x:c r="L4929" s="40" t="n">
        <x:f>ABS(K4929)</x:f>
        <x:v>0.10000000000000142</x:v>
      </x:c>
      <x:c r="M4929" s="41" t="str">
        <x:v>lstm-soil-v1</x:v>
      </x:c>
    </x:row>
    <x:row r="4930">
      <x:c r="A4930" s="38" t="str">
        <x:v>7月30日现场数据</x:v>
      </x:c>
      <x:c r="B4930" s="39" t="str">
        <x:v>2026-08-04T20:10:00</x:v>
      </x:c>
      <x:c r="C4930" s="39" t="str">
        <x:v>2026-08-04T20:40:00</x:v>
      </x:c>
      <x:c r="D4930" s="47" t="n">
        <x:v>30</x:v>
      </x:c>
      <x:c r="E4930" s="40" t="n">
        <x:v>16.2</x:v>
      </x:c>
      <x:c r="F4930" s="40" t="n">
        <x:v>15.114456176757812</x:v>
      </x:c>
      <x:c r="G4930" s="40" t="n">
        <x:v>16.3</x:v>
      </x:c>
      <x:c r="H4930" s="40" t="n">
        <x:f>F4930-E4930</x:f>
        <x:v>-1.0855438232421868</x:v>
      </x:c>
      <x:c r="I4930" s="40" t="n">
        <x:f>ABS(H4930)</x:f>
        <x:v>1.0855438232421868</x:v>
      </x:c>
      <x:c r="J4930" s="40" t="n">
        <x:f>H4930^2</x:f>
        <x:v>1.178405392179264</x:v>
      </x:c>
      <x:c r="K4930" s="40" t="n">
        <x:f>G4930-E4930</x:f>
        <x:v>0.10000000000000142</x:v>
      </x:c>
      <x:c r="L4930" s="40" t="n">
        <x:f>ABS(K4930)</x:f>
        <x:v>0.10000000000000142</x:v>
      </x:c>
      <x:c r="M4930" s="41" t="str">
        <x:v>lstm-soil-v1</x:v>
      </x:c>
    </x:row>
    <x:row r="4931">
      <x:c r="A4931" s="38" t="str">
        <x:v>7月30日现场数据</x:v>
      </x:c>
      <x:c r="B4931" s="39" t="str">
        <x:v>2026-08-04T20:10:00</x:v>
      </x:c>
      <x:c r="C4931" s="39" t="str">
        <x:v>2026-08-04T21:10:00</x:v>
      </x:c>
      <x:c r="D4931" s="47" t="n">
        <x:v>60</x:v>
      </x:c>
      <x:c r="E4931" s="40" t="n">
        <x:v>16.1</x:v>
      </x:c>
      <x:c r="F4931" s="40" t="n">
        <x:v>16.83181381225586</x:v>
      </x:c>
      <x:c r="G4931" s="40" t="n">
        <x:v>16.3</x:v>
      </x:c>
      <x:c r="H4931" s="40" t="n">
        <x:f>F4931-E4931</x:f>
        <x:v>0.731813812255858</x:v>
      </x:c>
      <x:c r="I4931" s="40" t="n">
        <x:f>ABS(H4931)</x:f>
        <x:v>0.731813812255858</x:v>
      </x:c>
      <x:c r="J4931" s="40" t="n">
        <x:f>H4931^2</x:f>
        <x:v>0.5355514558084521</x:v>
      </x:c>
      <x:c r="K4931" s="40" t="n">
        <x:f>G4931-E4931</x:f>
        <x:v>0.1999999999999993</x:v>
      </x:c>
      <x:c r="L4931" s="40" t="n">
        <x:f>ABS(K4931)</x:f>
        <x:v>0.1999999999999993</x:v>
      </x:c>
      <x:c r="M4931" s="41" t="str">
        <x:v>lstm-soil-v1</x:v>
      </x:c>
    </x:row>
    <x:row r="4932">
      <x:c r="A4932" s="38" t="str">
        <x:v>7月30日现场数据</x:v>
      </x:c>
      <x:c r="B4932" s="39" t="str">
        <x:v>2026-08-04T20:15:00</x:v>
      </x:c>
      <x:c r="C4932" s="39" t="str">
        <x:v>2026-08-04T20:20:00</x:v>
      </x:c>
      <x:c r="D4932" s="47" t="n">
        <x:v>5</x:v>
      </x:c>
      <x:c r="E4932" s="40" t="n">
        <x:v>16.3</x:v>
      </x:c>
      <x:c r="F4932" s="40" t="n">
        <x:v>14.683902740478516</x:v>
      </x:c>
      <x:c r="G4932" s="40" t="n">
        <x:v>16.3</x:v>
      </x:c>
      <x:c r="H4932" s="40" t="n">
        <x:f>F4932-E4932</x:f>
        <x:v>-1.616097259521485</x:v>
      </x:c>
      <x:c r="I4932" s="40" t="n">
        <x:f>ABS(H4932)</x:f>
        <x:v>1.616097259521485</x:v>
      </x:c>
      <x:c r="J4932" s="40" t="n">
        <x:f>H4932^2</x:f>
        <x:v>2.6117703522328544</x:v>
      </x:c>
      <x:c r="K4932" s="40" t="n">
        <x:f>G4932-E4932</x:f>
        <x:v>0</x:v>
      </x:c>
      <x:c r="L4932" s="40" t="n">
        <x:f>ABS(K4932)</x:f>
        <x:v>0</x:v>
      </x:c>
      <x:c r="M4932" s="41" t="str">
        <x:v>lstm-soil-v1</x:v>
      </x:c>
    </x:row>
    <x:row r="4933">
      <x:c r="A4933" s="38" t="str">
        <x:v>7月30日现场数据</x:v>
      </x:c>
      <x:c r="B4933" s="39" t="str">
        <x:v>2026-08-04T20:15:00</x:v>
      </x:c>
      <x:c r="C4933" s="39" t="str">
        <x:v>2026-08-04T20:30:00</x:v>
      </x:c>
      <x:c r="D4933" s="47" t="n">
        <x:v>15</x:v>
      </x:c>
      <x:c r="E4933" s="40" t="n">
        <x:v>16.2</x:v>
      </x:c>
      <x:c r="F4933" s="40" t="n">
        <x:v>14.763839721679688</x:v>
      </x:c>
      <x:c r="G4933" s="40" t="n">
        <x:v>16.3</x:v>
      </x:c>
      <x:c r="H4933" s="40" t="n">
        <x:f>F4933-E4933</x:f>
        <x:v>-1.4361602783203118</x:v>
      </x:c>
      <x:c r="I4933" s="40" t="n">
        <x:f>ABS(H4933)</x:f>
        <x:v>1.4361602783203118</x:v>
      </x:c>
      <x:c r="J4933" s="40" t="n">
        <x:f>H4933^2</x:f>
        <x:v>2.0625563450250755</x:v>
      </x:c>
      <x:c r="K4933" s="40" t="n">
        <x:f>G4933-E4933</x:f>
        <x:v>0.10000000000000142</x:v>
      </x:c>
      <x:c r="L4933" s="40" t="n">
        <x:f>ABS(K4933)</x:f>
        <x:v>0.10000000000000142</x:v>
      </x:c>
      <x:c r="M4933" s="41" t="str">
        <x:v>lstm-soil-v1</x:v>
      </x:c>
    </x:row>
    <x:row r="4934">
      <x:c r="A4934" s="38" t="str">
        <x:v>7月30日现场数据</x:v>
      </x:c>
      <x:c r="B4934" s="39" t="str">
        <x:v>2026-08-04T20:15:00</x:v>
      </x:c>
      <x:c r="C4934" s="39" t="str">
        <x:v>2026-08-04T20:45:00</x:v>
      </x:c>
      <x:c r="D4934" s="47" t="n">
        <x:v>30</x:v>
      </x:c>
      <x:c r="E4934" s="40" t="n">
        <x:v>16.2</x:v>
      </x:c>
      <x:c r="F4934" s="40" t="n">
        <x:v>15.115192413330078</x:v>
      </x:c>
      <x:c r="G4934" s="40" t="n">
        <x:v>16.3</x:v>
      </x:c>
      <x:c r="H4934" s="40" t="n">
        <x:f>F4934-E4934</x:f>
        <x:v>-1.0848075866699212</x:v>
      </x:c>
      <x:c r="I4934" s="40" t="n">
        <x:f>ABS(H4934)</x:f>
        <x:v>1.0848075866699212</x:v>
      </x:c>
      <x:c r="J4934" s="40" t="n">
        <x:f>H4934^2</x:f>
        <x:v>1.1768075000966185</x:v>
      </x:c>
      <x:c r="K4934" s="40" t="n">
        <x:f>G4934-E4934</x:f>
        <x:v>0.10000000000000142</x:v>
      </x:c>
      <x:c r="L4934" s="40" t="n">
        <x:f>ABS(K4934)</x:f>
        <x:v>0.10000000000000142</x:v>
      </x:c>
      <x:c r="M4934" s="41" t="str">
        <x:v>lstm-soil-v1</x:v>
      </x:c>
    </x:row>
    <x:row r="4935">
      <x:c r="A4935" s="38" t="str">
        <x:v>7月30日现场数据</x:v>
      </x:c>
      <x:c r="B4935" s="39" t="str">
        <x:v>2026-08-04T20:15:00</x:v>
      </x:c>
      <x:c r="C4935" s="39" t="str">
        <x:v>2026-08-04T21:15:00</x:v>
      </x:c>
      <x:c r="D4935" s="47" t="n">
        <x:v>60</x:v>
      </x:c>
      <x:c r="E4935" s="40" t="n">
        <x:v>16.1</x:v>
      </x:c>
      <x:c r="F4935" s="40" t="n">
        <x:v>16.83011245727539</x:v>
      </x:c>
      <x:c r="G4935" s="40" t="n">
        <x:v>16.3</x:v>
      </x:c>
      <x:c r="H4935" s="40" t="n">
        <x:f>F4935-E4935</x:f>
        <x:v>0.7301124572753892</x:v>
      </x:c>
      <x:c r="I4935" s="40" t="n">
        <x:f>ABS(H4935)</x:f>
        <x:v>0.7301124572753892</x:v>
      </x:c>
      <x:c r="J4935" s="40" t="n">
        <x:f>H4935^2</x:f>
        <x:v>0.533064200268707</x:v>
      </x:c>
      <x:c r="K4935" s="40" t="n">
        <x:f>G4935-E4935</x:f>
        <x:v>0.1999999999999993</x:v>
      </x:c>
      <x:c r="L4935" s="40" t="n">
        <x:f>ABS(K4935)</x:f>
        <x:v>0.1999999999999993</x:v>
      </x:c>
      <x:c r="M4935" s="41" t="str">
        <x:v>lstm-soil-v1</x:v>
      </x:c>
    </x:row>
    <x:row r="4936">
      <x:c r="A4936" s="38" t="str">
        <x:v>7月30日现场数据</x:v>
      </x:c>
      <x:c r="B4936" s="39" t="str">
        <x:v>2026-08-04T20:20:00</x:v>
      </x:c>
      <x:c r="C4936" s="39" t="str">
        <x:v>2026-08-04T20:25:00</x:v>
      </x:c>
      <x:c r="D4936" s="47" t="n">
        <x:v>5</x:v>
      </x:c>
      <x:c r="E4936" s="40" t="n">
        <x:v>16.2</x:v>
      </x:c>
      <x:c r="F4936" s="40" t="n">
        <x:v>14.683494567871094</x:v>
      </x:c>
      <x:c r="G4936" s="40" t="n">
        <x:v>16.3</x:v>
      </x:c>
      <x:c r="H4936" s="40" t="n">
        <x:f>F4936-E4936</x:f>
        <x:v>-1.5165054321289055</x:v>
      </x:c>
      <x:c r="I4936" s="40" t="n">
        <x:f>ABS(H4936)</x:f>
        <x:v>1.5165054321289055</x:v>
      </x:c>
      <x:c r="J4936" s="40" t="n">
        <x:f>H4936^2</x:f>
        <x:v>2.2997887256764784</x:v>
      </x:c>
      <x:c r="K4936" s="40" t="n">
        <x:f>G4936-E4936</x:f>
        <x:v>0.10000000000000142</x:v>
      </x:c>
      <x:c r="L4936" s="40" t="n">
        <x:f>ABS(K4936)</x:f>
        <x:v>0.10000000000000142</x:v>
      </x:c>
      <x:c r="M4936" s="41" t="str">
        <x:v>lstm-soil-v1</x:v>
      </x:c>
    </x:row>
    <x:row r="4937">
      <x:c r="A4937" s="38" t="str">
        <x:v>7月30日现场数据</x:v>
      </x:c>
      <x:c r="B4937" s="39" t="str">
        <x:v>2026-08-04T20:20:00</x:v>
      </x:c>
      <x:c r="C4937" s="39" t="str">
        <x:v>2026-08-04T20:35:00</x:v>
      </x:c>
      <x:c r="D4937" s="47" t="n">
        <x:v>15</x:v>
      </x:c>
      <x:c r="E4937" s="40" t="n">
        <x:v>16.2</x:v>
      </x:c>
      <x:c r="F4937" s="40" t="n">
        <x:v>14.7633056640625</x:v>
      </x:c>
      <x:c r="G4937" s="40" t="n">
        <x:v>16.3</x:v>
      </x:c>
      <x:c r="H4937" s="40" t="n">
        <x:f>F4937-E4937</x:f>
        <x:v>-1.4366943359374993</x:v>
      </x:c>
      <x:c r="I4937" s="40" t="n">
        <x:f>ABS(H4937)</x:f>
        <x:v>1.4366943359374993</x:v>
      </x:c>
      <x:c r="J4937" s="40" t="n">
        <x:f>H4937^2</x:f>
        <x:v>2.064090614914892</x:v>
      </x:c>
      <x:c r="K4937" s="40" t="n">
        <x:f>G4937-E4937</x:f>
        <x:v>0.10000000000000142</x:v>
      </x:c>
      <x:c r="L4937" s="40" t="n">
        <x:f>ABS(K4937)</x:f>
        <x:v>0.10000000000000142</x:v>
      </x:c>
      <x:c r="M4937" s="41" t="str">
        <x:v>lstm-soil-v1</x:v>
      </x:c>
    </x:row>
    <x:row r="4938">
      <x:c r="A4938" s="38" t="str">
        <x:v>7月30日现场数据</x:v>
      </x:c>
      <x:c r="B4938" s="39" t="str">
        <x:v>2026-08-04T20:20:00</x:v>
      </x:c>
      <x:c r="C4938" s="39" t="str">
        <x:v>2026-08-04T20:50:00</x:v>
      </x:c>
      <x:c r="D4938" s="47" t="n">
        <x:v>30</x:v>
      </x:c>
      <x:c r="E4938" s="40" t="n">
        <x:v>16.1</x:v>
      </x:c>
      <x:c r="F4938" s="40" t="n">
        <x:v>15.116233825683594</x:v>
      </x:c>
      <x:c r="G4938" s="40" t="n">
        <x:v>16.3</x:v>
      </x:c>
      <x:c r="H4938" s="40" t="n">
        <x:f>F4938-E4938</x:f>
        <x:v>-0.9837661743164077</x:v>
      </x:c>
      <x:c r="I4938" s="40" t="n">
        <x:f>ABS(H4938)</x:f>
        <x:v>0.9837661743164077</x:v>
      </x:c>
      <x:c r="J4938" s="40" t="n">
        <x:f>H4938^2</x:f>
        <x:v>0.9677958857291407</x:v>
      </x:c>
      <x:c r="K4938" s="40" t="n">
        <x:f>G4938-E4938</x:f>
        <x:v>0.1999999999999993</x:v>
      </x:c>
      <x:c r="L4938" s="40" t="n">
        <x:f>ABS(K4938)</x:f>
        <x:v>0.1999999999999993</x:v>
      </x:c>
      <x:c r="M4938" s="41" t="str">
        <x:v>lstm-soil-v1</x:v>
      </x:c>
    </x:row>
    <x:row r="4939">
      <x:c r="A4939" s="38" t="str">
        <x:v>7月30日现场数据</x:v>
      </x:c>
      <x:c r="B4939" s="39" t="str">
        <x:v>2026-08-04T20:20:00</x:v>
      </x:c>
      <x:c r="C4939" s="39" t="str">
        <x:v>2026-08-04T21:20:00</x:v>
      </x:c>
      <x:c r="D4939" s="47" t="n">
        <x:v>60</x:v>
      </x:c>
      <x:c r="E4939" s="40" t="n">
        <x:v>16.1</x:v>
      </x:c>
      <x:c r="F4939" s="40" t="n">
        <x:v>16.829349517822266</x:v>
      </x:c>
      <x:c r="G4939" s="40" t="n">
        <x:v>16.3</x:v>
      </x:c>
      <x:c r="H4939" s="40" t="n">
        <x:f>F4939-E4939</x:f>
        <x:v>0.7293495178222642</x:v>
      </x:c>
      <x:c r="I4939" s="40" t="n">
        <x:f>ABS(H4939)</x:f>
        <x:v>0.7293495178222642</x:v>
      </x:c>
      <x:c r="J4939" s="40" t="n">
        <x:f>H4939^2</x:f>
        <x:v>0.5319507191475693</x:v>
      </x:c>
      <x:c r="K4939" s="40" t="n">
        <x:f>G4939-E4939</x:f>
        <x:v>0.1999999999999993</x:v>
      </x:c>
      <x:c r="L4939" s="40" t="n">
        <x:f>ABS(K4939)</x:f>
        <x:v>0.1999999999999993</x:v>
      </x:c>
      <x:c r="M4939" s="41" t="str">
        <x:v>lstm-soil-v1</x:v>
      </x:c>
    </x:row>
    <x:row r="4940">
      <x:c r="A4940" s="38" t="str">
        <x:v>7月30日现场数据</x:v>
      </x:c>
      <x:c r="B4940" s="39" t="str">
        <x:v>2026-08-04T20:25:00</x:v>
      </x:c>
      <x:c r="C4940" s="39" t="str">
        <x:v>2026-08-04T20:30:00</x:v>
      </x:c>
      <x:c r="D4940" s="47" t="n">
        <x:v>5</x:v>
      </x:c>
      <x:c r="E4940" s="40" t="n">
        <x:v>16.2</x:v>
      </x:c>
      <x:c r="F4940" s="40" t="n">
        <x:v>14.573055267333984</x:v>
      </x:c>
      <x:c r="G4940" s="40" t="n">
        <x:v>16.2</x:v>
      </x:c>
      <x:c r="H4940" s="40" t="n">
        <x:f>F4940-E4940</x:f>
        <x:v>-1.626944732666015</x:v>
      </x:c>
      <x:c r="I4940" s="40" t="n">
        <x:f>ABS(H4940)</x:f>
        <x:v>1.626944732666015</x:v>
      </x:c>
      <x:c r="J4940" s="40" t="n">
        <x:f>H4940^2</x:f>
        <x:v>2.646949163149691</x:v>
      </x:c>
      <x:c r="K4940" s="40" t="n">
        <x:f>G4940-E4940</x:f>
        <x:v>0</x:v>
      </x:c>
      <x:c r="L4940" s="40" t="n">
        <x:f>ABS(K4940)</x:f>
        <x:v>0</x:v>
      </x:c>
      <x:c r="M4940" s="41" t="str">
        <x:v>lstm-soil-v1</x:v>
      </x:c>
    </x:row>
    <x:row r="4941">
      <x:c r="A4941" s="38" t="str">
        <x:v>7月30日现场数据</x:v>
      </x:c>
      <x:c r="B4941" s="39" t="str">
        <x:v>2026-08-04T20:25:00</x:v>
      </x:c>
      <x:c r="C4941" s="39" t="str">
        <x:v>2026-08-04T20:40:00</x:v>
      </x:c>
      <x:c r="D4941" s="47" t="n">
        <x:v>15</x:v>
      </x:c>
      <x:c r="E4941" s="40" t="n">
        <x:v>16.2</x:v>
      </x:c>
      <x:c r="F4941" s="40" t="n">
        <x:v>14.652900695800781</x:v>
      </x:c>
      <x:c r="G4941" s="40" t="n">
        <x:v>16.2</x:v>
      </x:c>
      <x:c r="H4941" s="40" t="n">
        <x:f>F4941-E4941</x:f>
        <x:v>-1.547099304199218</x:v>
      </x:c>
      <x:c r="I4941" s="40" t="n">
        <x:f>ABS(H4941)</x:f>
        <x:v>1.547099304199218</x:v>
      </x:c>
      <x:c r="J4941" s="40" t="n">
        <x:f>H4941^2</x:f>
        <x:v>2.3935162570537045</x:v>
      </x:c>
      <x:c r="K4941" s="40" t="n">
        <x:f>G4941-E4941</x:f>
        <x:v>0</x:v>
      </x:c>
      <x:c r="L4941" s="40" t="n">
        <x:f>ABS(K4941)</x:f>
        <x:v>0</x:v>
      </x:c>
      <x:c r="M4941" s="41" t="str">
        <x:v>lstm-soil-v1</x:v>
      </x:c>
    </x:row>
    <x:row r="4942">
      <x:c r="A4942" s="38" t="str">
        <x:v>7月30日现场数据</x:v>
      </x:c>
      <x:c r="B4942" s="39" t="str">
        <x:v>2026-08-04T20:25:00</x:v>
      </x:c>
      <x:c r="C4942" s="39" t="str">
        <x:v>2026-08-04T20:55:00</x:v>
      </x:c>
      <x:c r="D4942" s="47" t="n">
        <x:v>30</x:v>
      </x:c>
      <x:c r="E4942" s="40" t="n">
        <x:v>16.2</x:v>
      </x:c>
      <x:c r="F4942" s="40" t="n">
        <x:v>15.00714111328125</x:v>
      </x:c>
      <x:c r="G4942" s="40" t="n">
        <x:v>16.2</x:v>
      </x:c>
      <x:c r="H4942" s="40" t="n">
        <x:f>F4942-E4942</x:f>
        <x:v>-1.1928588867187493</x:v>
      </x:c>
      <x:c r="I4942" s="40" t="n">
        <x:f>ABS(H4942)</x:f>
        <x:v>1.1928588867187493</x:v>
      </x:c>
      <x:c r="J4942" s="40" t="n">
        <x:f>H4942^2</x:f>
        <x:v>1.4229123236238939</x:v>
      </x:c>
      <x:c r="K4942" s="40" t="n">
        <x:f>G4942-E4942</x:f>
        <x:v>0</x:v>
      </x:c>
      <x:c r="L4942" s="40" t="n">
        <x:f>ABS(K4942)</x:f>
        <x:v>0</x:v>
      </x:c>
      <x:c r="M4942" s="41" t="str">
        <x:v>lstm-soil-v1</x:v>
      </x:c>
    </x:row>
    <x:row r="4943">
      <x:c r="A4943" s="38" t="str">
        <x:v>7月30日现场数据</x:v>
      </x:c>
      <x:c r="B4943" s="39" t="str">
        <x:v>2026-08-04T20:25:00</x:v>
      </x:c>
      <x:c r="C4943" s="39" t="str">
        <x:v>2026-08-04T21:25:00</x:v>
      </x:c>
      <x:c r="D4943" s="47" t="n">
        <x:v>60</x:v>
      </x:c>
      <x:c r="E4943" s="40" t="n">
        <x:v>16.1</x:v>
      </x:c>
      <x:c r="F4943" s="40" t="n">
        <x:v>16.71883773803711</x:v>
      </x:c>
      <x:c r="G4943" s="40" t="n">
        <x:v>16.2</x:v>
      </x:c>
      <x:c r="H4943" s="40" t="n">
        <x:f>F4943-E4943</x:f>
        <x:v>0.618837738037108</x:v>
      </x:c>
      <x:c r="I4943" s="40" t="n">
        <x:f>ABS(H4943)</x:f>
        <x:v>0.618837738037108</x:v>
      </x:c>
      <x:c r="J4943" s="40" t="n">
        <x:f>H4943^2</x:f>
        <x:v>0.38296014601888423</x:v>
      </x:c>
      <x:c r="K4943" s="40" t="n">
        <x:f>G4943-E4943</x:f>
        <x:v>0.09999999999999787</x:v>
      </x:c>
      <x:c r="L4943" s="40" t="n">
        <x:f>ABS(K4943)</x:f>
        <x:v>0.09999999999999787</x:v>
      </x:c>
      <x:c r="M4943" s="41" t="str">
        <x:v>lstm-soil-v1</x:v>
      </x:c>
    </x:row>
    <x:row r="4944">
      <x:c r="A4944" s="38" t="str">
        <x:v>7月30日现场数据</x:v>
      </x:c>
      <x:c r="B4944" s="39" t="str">
        <x:v>2026-08-04T20:30:00</x:v>
      </x:c>
      <x:c r="C4944" s="39" t="str">
        <x:v>2026-08-04T20:35:00</x:v>
      </x:c>
      <x:c r="D4944" s="47" t="n">
        <x:v>5</x:v>
      </x:c>
      <x:c r="E4944" s="40" t="n">
        <x:v>16.2</x:v>
      </x:c>
      <x:c r="F4944" s="40" t="n">
        <x:v>14.572944641113281</x:v>
      </x:c>
      <x:c r="G4944" s="40" t="n">
        <x:v>16.2</x:v>
      </x:c>
      <x:c r="H4944" s="40" t="n">
        <x:f>F4944-E4944</x:f>
        <x:v>-1.627055358886718</x:v>
      </x:c>
      <x:c r="I4944" s="40" t="n">
        <x:f>ABS(H4944)</x:f>
        <x:v>1.627055358886718</x:v>
      </x:c>
      <x:c r="J4944" s="40" t="n">
        <x:f>H4944^2</x:f>
        <x:v>2.647309140881987</x:v>
      </x:c>
      <x:c r="K4944" s="40" t="n">
        <x:f>G4944-E4944</x:f>
        <x:v>0</x:v>
      </x:c>
      <x:c r="L4944" s="40" t="n">
        <x:f>ABS(K4944)</x:f>
        <x:v>0</x:v>
      </x:c>
      <x:c r="M4944" s="41" t="str">
        <x:v>lstm-soil-v1</x:v>
      </x:c>
    </x:row>
    <x:row r="4945">
      <x:c r="A4945" s="38" t="str">
        <x:v>7月30日现场数据</x:v>
      </x:c>
      <x:c r="B4945" s="39" t="str">
        <x:v>2026-08-04T20:30:00</x:v>
      </x:c>
      <x:c r="C4945" s="39" t="str">
        <x:v>2026-08-04T20:45:00</x:v>
      </x:c>
      <x:c r="D4945" s="47" t="n">
        <x:v>15</x:v>
      </x:c>
      <x:c r="E4945" s="40" t="n">
        <x:v>16.2</x:v>
      </x:c>
      <x:c r="F4945" s="40" t="n">
        <x:v>14.65280532836914</x:v>
      </x:c>
      <x:c r="G4945" s="40" t="n">
        <x:v>16.2</x:v>
      </x:c>
      <x:c r="H4945" s="40" t="n">
        <x:f>F4945-E4945</x:f>
        <x:v>-1.5471946716308587</x:v>
      </x:c>
      <x:c r="I4945" s="40" t="n">
        <x:f>ABS(H4945)</x:f>
        <x:v>1.5471946716308587</x:v>
      </x:c>
      <x:c r="J4945" s="40" t="n">
        <x:f>H4945^2</x:f>
        <x:v>2.3938113519229205</x:v>
      </x:c>
      <x:c r="K4945" s="40" t="n">
        <x:f>G4945-E4945</x:f>
        <x:v>0</x:v>
      </x:c>
      <x:c r="L4945" s="40" t="n">
        <x:f>ABS(K4945)</x:f>
        <x:v>0</x:v>
      </x:c>
      <x:c r="M4945" s="41" t="str">
        <x:v>lstm-soil-v1</x:v>
      </x:c>
    </x:row>
    <x:row r="4946">
      <x:c r="A4946" s="38" t="str">
        <x:v>7月30日现场数据</x:v>
      </x:c>
      <x:c r="B4946" s="39" t="str">
        <x:v>2026-08-04T20:30:00</x:v>
      </x:c>
      <x:c r="C4946" s="39" t="str">
        <x:v>2026-08-04T21:00:00</x:v>
      </x:c>
      <x:c r="D4946" s="47" t="n">
        <x:v>30</x:v>
      </x:c>
      <x:c r="E4946" s="40" t="n">
        <x:v>16.1</x:v>
      </x:c>
      <x:c r="F4946" s="40" t="n">
        <x:v>15.00823974609375</x:v>
      </x:c>
      <x:c r="G4946" s="40" t="n">
        <x:v>16.2</x:v>
      </x:c>
      <x:c r="H4946" s="40" t="n">
        <x:f>F4946-E4946</x:f>
        <x:v>-1.0917602539062514</x:v>
      </x:c>
      <x:c r="I4946" s="40" t="n">
        <x:f>ABS(H4946)</x:f>
        <x:v>1.0917602539062514</x:v>
      </x:c>
      <x:c r="J4946" s="40" t="n">
        <x:f>H4946^2</x:f>
        <x:v>1.1919404520094425</x:v>
      </x:c>
      <x:c r="K4946" s="40" t="n">
        <x:f>G4946-E4946</x:f>
        <x:v>0.09999999999999787</x:v>
      </x:c>
      <x:c r="L4946" s="40" t="n">
        <x:f>ABS(K4946)</x:f>
        <x:v>0.09999999999999787</x:v>
      </x:c>
      <x:c r="M4946" s="41" t="str">
        <x:v>lstm-soil-v1</x:v>
      </x:c>
    </x:row>
    <x:row r="4947">
      <x:c r="A4947" s="38" t="str">
        <x:v>7月30日现场数据</x:v>
      </x:c>
      <x:c r="B4947" s="39" t="str">
        <x:v>2026-08-04T20:30:00</x:v>
      </x:c>
      <x:c r="C4947" s="39" t="str">
        <x:v>2026-08-04T21:30:00</x:v>
      </x:c>
      <x:c r="D4947" s="47" t="n">
        <x:v>60</x:v>
      </x:c>
      <x:c r="E4947" s="40" t="n">
        <x:v>17.9</x:v>
      </x:c>
      <x:c r="F4947" s="40" t="n">
        <x:v>16.718833923339844</x:v>
      </x:c>
      <x:c r="G4947" s="40" t="n">
        <x:v>16.2</x:v>
      </x:c>
      <x:c r="H4947" s="40" t="n">
        <x:f>F4947-E4947</x:f>
        <x:v>-1.1811660766601548</x:v>
      </x:c>
      <x:c r="I4947" s="40" t="n">
        <x:f>ABS(H4947)</x:f>
        <x:v>1.1811660766601548</x:v>
      </x:c>
      <x:c r="J4947" s="40" t="n">
        <x:f>H4947^2</x:f>
        <x:v>1.3951533006527428</x:v>
      </x:c>
      <x:c r="K4947" s="40" t="n">
        <x:f>G4947-E4947</x:f>
        <x:v>-1.6999999999999993</x:v>
      </x:c>
      <x:c r="L4947" s="40" t="n">
        <x:f>ABS(K4947)</x:f>
        <x:v>1.6999999999999993</x:v>
      </x:c>
      <x:c r="M4947" s="41" t="str">
        <x:v>lstm-soil-v1</x:v>
      </x:c>
    </x:row>
    <x:row r="4948">
      <x:c r="A4948" s="38" t="str">
        <x:v>7月30日现场数据</x:v>
      </x:c>
      <x:c r="B4948" s="39" t="str">
        <x:v>2026-08-04T20:35:00</x:v>
      </x:c>
      <x:c r="C4948" s="39" t="str">
        <x:v>2026-08-04T20:40:00</x:v>
      </x:c>
      <x:c r="D4948" s="47" t="n">
        <x:v>5</x:v>
      </x:c>
      <x:c r="E4948" s="40" t="n">
        <x:v>16.2</x:v>
      </x:c>
      <x:c r="F4948" s="40" t="n">
        <x:v>14.573112487792969</x:v>
      </x:c>
      <x:c r="G4948" s="40" t="n">
        <x:v>16.2</x:v>
      </x:c>
      <x:c r="H4948" s="40" t="n">
        <x:f>F4948-E4948</x:f>
        <x:v>-1.6268875122070305</x:v>
      </x:c>
      <x:c r="I4948" s="40" t="n">
        <x:f>ABS(H4948)</x:f>
        <x:v>1.6268875122070305</x:v>
      </x:c>
      <x:c r="J4948" s="40" t="n">
        <x:f>H4948^2</x:f>
        <x:v>2.646762977375181</x:v>
      </x:c>
      <x:c r="K4948" s="40" t="n">
        <x:f>G4948-E4948</x:f>
        <x:v>0</x:v>
      </x:c>
      <x:c r="L4948" s="40" t="n">
        <x:f>ABS(K4948)</x:f>
        <x:v>0</x:v>
      </x:c>
      <x:c r="M4948" s="41" t="str">
        <x:v>lstm-soil-v1</x:v>
      </x:c>
    </x:row>
    <x:row r="4949">
      <x:c r="A4949" s="38" t="str">
        <x:v>7月30日现场数据</x:v>
      </x:c>
      <x:c r="B4949" s="39" t="str">
        <x:v>2026-08-04T20:35:00</x:v>
      </x:c>
      <x:c r="C4949" s="39" t="str">
        <x:v>2026-08-04T20:50:00</x:v>
      </x:c>
      <x:c r="D4949" s="47" t="n">
        <x:v>15</x:v>
      </x:c>
      <x:c r="E4949" s="40" t="n">
        <x:v>16.1</x:v>
      </x:c>
      <x:c r="F4949" s="40" t="n">
        <x:v>14.652873992919922</x:v>
      </x:c>
      <x:c r="G4949" s="40" t="n">
        <x:v>16.2</x:v>
      </x:c>
      <x:c r="H4949" s="40" t="n">
        <x:f>F4949-E4949</x:f>
        <x:v>-1.4471260070800795</x:v>
      </x:c>
      <x:c r="I4949" s="40" t="n">
        <x:f>ABS(H4949)</x:f>
        <x:v>1.4471260070800795</x:v>
      </x:c>
      <x:c r="J4949" s="40" t="n">
        <x:f>H4949^2</x:f>
        <x:v>2.0941736803675344</x:v>
      </x:c>
      <x:c r="K4949" s="40" t="n">
        <x:f>G4949-E4949</x:f>
        <x:v>0.09999999999999787</x:v>
      </x:c>
      <x:c r="L4949" s="40" t="n">
        <x:f>ABS(K4949)</x:f>
        <x:v>0.09999999999999787</x:v>
      </x:c>
      <x:c r="M4949" s="41" t="str">
        <x:v>lstm-soil-v1</x:v>
      </x:c>
    </x:row>
    <x:row r="4950">
      <x:c r="A4950" s="38" t="str">
        <x:v>7月30日现场数据</x:v>
      </x:c>
      <x:c r="B4950" s="39" t="str">
        <x:v>2026-08-04T20:35:00</x:v>
      </x:c>
      <x:c r="C4950" s="39" t="str">
        <x:v>2026-08-04T21:05:00</x:v>
      </x:c>
      <x:c r="D4950" s="47" t="n">
        <x:v>30</x:v>
      </x:c>
      <x:c r="E4950" s="40" t="n">
        <x:v>16.1</x:v>
      </x:c>
      <x:c r="F4950" s="40" t="n">
        <x:v>15.009429931640625</x:v>
      </x:c>
      <x:c r="G4950" s="40" t="n">
        <x:v>16.2</x:v>
      </x:c>
      <x:c r="H4950" s="40" t="n">
        <x:f>F4950-E4950</x:f>
        <x:v>-1.0905700683593764</x:v>
      </x:c>
      <x:c r="I4950" s="40" t="n">
        <x:f>ABS(H4950)</x:f>
        <x:v>1.0905700683593764</x:v>
      </x:c>
      <x:c r="J4950" s="40" t="n">
        <x:f>H4950^2</x:f>
        <x:v>1.189343074001375</x:v>
      </x:c>
      <x:c r="K4950" s="40" t="n">
        <x:f>G4950-E4950</x:f>
        <x:v>0.09999999999999787</x:v>
      </x:c>
      <x:c r="L4950" s="40" t="n">
        <x:f>ABS(K4950)</x:f>
        <x:v>0.09999999999999787</x:v>
      </x:c>
      <x:c r="M4950" s="41" t="str">
        <x:v>lstm-soil-v1</x:v>
      </x:c>
    </x:row>
    <x:row r="4951">
      <x:c r="A4951" s="38" t="str">
        <x:v>7月30日现场数据</x:v>
      </x:c>
      <x:c r="B4951" s="39" t="str">
        <x:v>2026-08-04T20:35:00</x:v>
      </x:c>
      <x:c r="C4951" s="39" t="str">
        <x:v>2026-08-04T21:35:00</x:v>
      </x:c>
      <x:c r="D4951" s="47" t="n">
        <x:v>60</x:v>
      </x:c>
      <x:c r="E4951" s="40" t="n">
        <x:v>21.5</x:v>
      </x:c>
      <x:c r="F4951" s="40" t="n">
        <x:v>16.719173431396484</x:v>
      </x:c>
      <x:c r="G4951" s="40" t="n">
        <x:v>16.2</x:v>
      </x:c>
      <x:c r="H4951" s="40" t="n">
        <x:f>F4951-E4951</x:f>
        <x:v>-4.780826568603516</x:v>
      </x:c>
      <x:c r="I4951" s="40" t="n">
        <x:f>ABS(H4951)</x:f>
        <x:v>4.780826568603516</x:v>
      </x:c>
      <x:c r="J4951" s="40" t="n">
        <x:f>H4951^2</x:f>
        <x:v>22.856302679065266</x:v>
      </x:c>
      <x:c r="K4951" s="40" t="n">
        <x:f>G4951-E4951</x:f>
        <x:v>-5.300000000000001</x:v>
      </x:c>
      <x:c r="L4951" s="40" t="n">
        <x:f>ABS(K4951)</x:f>
        <x:v>5.300000000000001</x:v>
      </x:c>
      <x:c r="M4951" s="41" t="str">
        <x:v>lstm-soil-v1</x:v>
      </x:c>
    </x:row>
    <x:row r="4952">
      <x:c r="A4952" s="38" t="str">
        <x:v>7月30日现场数据</x:v>
      </x:c>
      <x:c r="B4952" s="39" t="str">
        <x:v>2026-08-04T20:40:00</x:v>
      </x:c>
      <x:c r="C4952" s="39" t="str">
        <x:v>2026-08-04T20:45:00</x:v>
      </x:c>
      <x:c r="D4952" s="47" t="n">
        <x:v>5</x:v>
      </x:c>
      <x:c r="E4952" s="40" t="n">
        <x:v>16.2</x:v>
      </x:c>
      <x:c r="F4952" s="40" t="n">
        <x:v>14.573406219482422</x:v>
      </x:c>
      <x:c r="G4952" s="40" t="n">
        <x:v>16.2</x:v>
      </x:c>
      <x:c r="H4952" s="40" t="n">
        <x:f>F4952-E4952</x:f>
        <x:v>-1.6265937805175774</x:v>
      </x:c>
      <x:c r="I4952" s="40" t="n">
        <x:f>ABS(H4952)</x:f>
        <x:v>1.6265937805175774</x:v>
      </x:c>
      <x:c r="J4952" s="40" t="n">
        <x:f>H4952^2</x:f>
        <x:v>2.6458073268184648</x:v>
      </x:c>
      <x:c r="K4952" s="40" t="n">
        <x:f>G4952-E4952</x:f>
        <x:v>0</x:v>
      </x:c>
      <x:c r="L4952" s="40" t="n">
        <x:f>ABS(K4952)</x:f>
        <x:v>0</x:v>
      </x:c>
      <x:c r="M4952" s="41" t="str">
        <x:v>lstm-soil-v1</x:v>
      </x:c>
    </x:row>
    <x:row r="4953">
      <x:c r="A4953" s="38" t="str">
        <x:v>7月30日现场数据</x:v>
      </x:c>
      <x:c r="B4953" s="39" t="str">
        <x:v>2026-08-04T20:40:00</x:v>
      </x:c>
      <x:c r="C4953" s="39" t="str">
        <x:v>2026-08-04T20:55:00</x:v>
      </x:c>
      <x:c r="D4953" s="47" t="n">
        <x:v>15</x:v>
      </x:c>
      <x:c r="E4953" s="40" t="n">
        <x:v>16.2</x:v>
      </x:c>
      <x:c r="F4953" s="40" t="n">
        <x:v>14.653079986572266</x:v>
      </x:c>
      <x:c r="G4953" s="40" t="n">
        <x:v>16.2</x:v>
      </x:c>
      <x:c r="H4953" s="40" t="n">
        <x:f>F4953-E4953</x:f>
        <x:v>-1.5469200134277337</x:v>
      </x:c>
      <x:c r="I4953" s="40" t="n">
        <x:f>ABS(H4953)</x:f>
        <x:v>1.5469200134277337</x:v>
      </x:c>
      <x:c r="J4953" s="40" t="n">
        <x:f>H4953^2</x:f>
        <x:v>2.39296152794326</x:v>
      </x:c>
      <x:c r="K4953" s="40" t="n">
        <x:f>G4953-E4953</x:f>
        <x:v>0</x:v>
      </x:c>
      <x:c r="L4953" s="40" t="n">
        <x:f>ABS(K4953)</x:f>
        <x:v>0</x:v>
      </x:c>
      <x:c r="M4953" s="41" t="str">
        <x:v>lstm-soil-v1</x:v>
      </x:c>
    </x:row>
    <x:row r="4954">
      <x:c r="A4954" s="38" t="str">
        <x:v>7月30日现场数据</x:v>
      </x:c>
      <x:c r="B4954" s="39" t="str">
        <x:v>2026-08-04T20:40:00</x:v>
      </x:c>
      <x:c r="C4954" s="39" t="str">
        <x:v>2026-08-04T21:10:00</x:v>
      </x:c>
      <x:c r="D4954" s="47" t="n">
        <x:v>30</x:v>
      </x:c>
      <x:c r="E4954" s="40" t="n">
        <x:v>16.1</x:v>
      </x:c>
      <x:c r="F4954" s="40" t="n">
        <x:v>15.010623931884766</x:v>
      </x:c>
      <x:c r="G4954" s="40" t="n">
        <x:v>16.2</x:v>
      </x:c>
      <x:c r="H4954" s="40" t="n">
        <x:f>F4954-E4954</x:f>
        <x:v>-1.0893760681152358</x:v>
      </x:c>
      <x:c r="I4954" s="40" t="n">
        <x:f>ABS(H4954)</x:f>
        <x:v>1.0893760681152358</x:v>
      </x:c>
      <x:c r="J4954" s="40" t="n">
        <x:f>H4954^2</x:f>
        <x:v>1.1867402177822108</x:v>
      </x:c>
      <x:c r="K4954" s="40" t="n">
        <x:f>G4954-E4954</x:f>
        <x:v>0.09999999999999787</x:v>
      </x:c>
      <x:c r="L4954" s="40" t="n">
        <x:f>ABS(K4954)</x:f>
        <x:v>0.09999999999999787</x:v>
      </x:c>
      <x:c r="M4954" s="41" t="str">
        <x:v>lstm-soil-v1</x:v>
      </x:c>
    </x:row>
    <x:row r="4955">
      <x:c r="A4955" s="38" t="str">
        <x:v>7月30日现场数据</x:v>
      </x:c>
      <x:c r="B4955" s="39" t="str">
        <x:v>2026-08-04T20:40:00</x:v>
      </x:c>
      <x:c r="C4955" s="39" t="str">
        <x:v>2026-08-04T21:40:00</x:v>
      </x:c>
      <x:c r="D4955" s="47" t="n">
        <x:v>60</x:v>
      </x:c>
      <x:c r="E4955" s="40" t="n">
        <x:v>20.5</x:v>
      </x:c>
      <x:c r="F4955" s="40" t="n">
        <x:v>16.71969223022461</x:v>
      </x:c>
      <x:c r="G4955" s="40" t="n">
        <x:v>16.2</x:v>
      </x:c>
      <x:c r="H4955" s="40" t="n">
        <x:f>F4955-E4955</x:f>
        <x:v>-3.7803077697753906</x:v>
      </x:c>
      <x:c r="I4955" s="40" t="n">
        <x:f>ABS(H4955)</x:f>
        <x:v>3.7803077697753906</x:v>
      </x:c>
      <x:c r="J4955" s="40" t="n">
        <x:f>H4955^2</x:f>
        <x:v>14.290726834224188</x:v>
      </x:c>
      <x:c r="K4955" s="40" t="n">
        <x:f>G4955-E4955</x:f>
        <x:v>-4.300000000000001</x:v>
      </x:c>
      <x:c r="L4955" s="40" t="n">
        <x:f>ABS(K4955)</x:f>
        <x:v>4.300000000000001</x:v>
      </x:c>
      <x:c r="M4955" s="41" t="str">
        <x:v>lstm-soil-v1</x:v>
      </x:c>
    </x:row>
    <x:row r="4956">
      <x:c r="A4956" s="38" t="str">
        <x:v>7月30日现场数据</x:v>
      </x:c>
      <x:c r="B4956" s="39" t="str">
        <x:v>2026-08-04T20:45:00</x:v>
      </x:c>
      <x:c r="C4956" s="39" t="str">
        <x:v>2026-08-04T20:50:00</x:v>
      </x:c>
      <x:c r="D4956" s="47" t="n">
        <x:v>5</x:v>
      </x:c>
      <x:c r="E4956" s="40" t="n">
        <x:v>16.1</x:v>
      </x:c>
      <x:c r="F4956" s="40" t="n">
        <x:v>14.573776245117188</x:v>
      </x:c>
      <x:c r="G4956" s="40" t="n">
        <x:v>16.2</x:v>
      </x:c>
      <x:c r="H4956" s="40" t="n">
        <x:f>F4956-E4956</x:f>
        <x:v>-1.526223754882814</x:v>
      </x:c>
      <x:c r="I4956" s="40" t="n">
        <x:f>ABS(H4956)</x:f>
        <x:v>1.526223754882814</x:v>
      </x:c>
      <x:c r="J4956" s="40" t="n">
        <x:f>H4956^2</x:f>
        <x:v>2.329358949968596</x:v>
      </x:c>
      <x:c r="K4956" s="40" t="n">
        <x:f>G4956-E4956</x:f>
        <x:v>0.09999999999999787</x:v>
      </x:c>
      <x:c r="L4956" s="40" t="n">
        <x:f>ABS(K4956)</x:f>
        <x:v>0.09999999999999787</x:v>
      </x:c>
      <x:c r="M4956" s="41" t="str">
        <x:v>lstm-soil-v1</x:v>
      </x:c>
    </x:row>
    <x:row r="4957">
      <x:c r="A4957" s="38" t="str">
        <x:v>7月30日现场数据</x:v>
      </x:c>
      <x:c r="B4957" s="39" t="str">
        <x:v>2026-08-04T20:45:00</x:v>
      </x:c>
      <x:c r="C4957" s="39" t="str">
        <x:v>2026-08-04T21:00:00</x:v>
      </x:c>
      <x:c r="D4957" s="47" t="n">
        <x:v>15</x:v>
      </x:c>
      <x:c r="E4957" s="40" t="n">
        <x:v>16.1</x:v>
      </x:c>
      <x:c r="F4957" s="40" t="n">
        <x:v>14.653350830078125</x:v>
      </x:c>
      <x:c r="G4957" s="40" t="n">
        <x:v>16.2</x:v>
      </x:c>
      <x:c r="H4957" s="40" t="n">
        <x:f>F4957-E4957</x:f>
        <x:v>-1.4466491699218764</x:v>
      </x:c>
      <x:c r="I4957" s="40" t="n">
        <x:f>ABS(H4957)</x:f>
        <x:v>1.4466491699218764</x:v>
      </x:c>
      <x:c r="J4957" s="40" t="n">
        <x:f>H4957^2</x:f>
        <x:v>2.092793820835654</x:v>
      </x:c>
      <x:c r="K4957" s="40" t="n">
        <x:f>G4957-E4957</x:f>
        <x:v>0.09999999999999787</x:v>
      </x:c>
      <x:c r="L4957" s="40" t="n">
        <x:f>ABS(K4957)</x:f>
        <x:v>0.09999999999999787</x:v>
      </x:c>
      <x:c r="M4957" s="41" t="str">
        <x:v>lstm-soil-v1</x:v>
      </x:c>
    </x:row>
    <x:row r="4958">
      <x:c r="A4958" s="38" t="str">
        <x:v>7月30日现场数据</x:v>
      </x:c>
      <x:c r="B4958" s="39" t="str">
        <x:v>2026-08-04T20:45:00</x:v>
      </x:c>
      <x:c r="C4958" s="39" t="str">
        <x:v>2026-08-04T21:15:00</x:v>
      </x:c>
      <x:c r="D4958" s="47" t="n">
        <x:v>30</x:v>
      </x:c>
      <x:c r="E4958" s="40" t="n">
        <x:v>16.1</x:v>
      </x:c>
      <x:c r="F4958" s="40" t="n">
        <x:v>15.011787414550781</x:v>
      </x:c>
      <x:c r="G4958" s="40" t="n">
        <x:v>16.2</x:v>
      </x:c>
      <x:c r="H4958" s="40" t="n">
        <x:f>F4958-E4958</x:f>
        <x:v>-1.0882125854492202</x:v>
      </x:c>
      <x:c r="I4958" s="40" t="n">
        <x:f>ABS(H4958)</x:f>
        <x:v>1.0882125854492202</x:v>
      </x:c>
      <x:c r="J4958" s="40" t="n">
        <x:f>H4958^2</x:f>
        <x:v>1.1842066311300763</x:v>
      </x:c>
      <x:c r="K4958" s="40" t="n">
        <x:f>G4958-E4958</x:f>
        <x:v>0.09999999999999787</x:v>
      </x:c>
      <x:c r="L4958" s="40" t="n">
        <x:f>ABS(K4958)</x:f>
        <x:v>0.09999999999999787</x:v>
      </x:c>
      <x:c r="M4958" s="41" t="str">
        <x:v>lstm-soil-v1</x:v>
      </x:c>
    </x:row>
    <x:row r="4959">
      <x:c r="A4959" s="38" t="str">
        <x:v>7月30日现场数据</x:v>
      </x:c>
      <x:c r="B4959" s="39" t="str">
        <x:v>2026-08-04T20:45:00</x:v>
      </x:c>
      <x:c r="C4959" s="39" t="str">
        <x:v>2026-08-04T21:45:00</x:v>
      </x:c>
      <x:c r="D4959" s="47" t="n">
        <x:v>60</x:v>
      </x:c>
      <x:c r="E4959" s="40" t="n">
        <x:v>19.8</x:v>
      </x:c>
      <x:c r="F4959" s="40" t="n">
        <x:v>16.720325469970703</x:v>
      </x:c>
      <x:c r="G4959" s="40" t="n">
        <x:v>16.2</x:v>
      </x:c>
      <x:c r="H4959" s="40" t="n">
        <x:f>F4959-E4959</x:f>
        <x:v>-3.0796745300292976</x:v>
      </x:c>
      <x:c r="I4959" s="40" t="n">
        <x:f>ABS(H4959)</x:f>
        <x:v>3.0796745300292976</x:v>
      </x:c>
      <x:c r="J4959" s="40" t="n">
        <x:f>H4959^2</x:f>
        <x:v>9.484395210911176</x:v>
      </x:c>
      <x:c r="K4959" s="40" t="n">
        <x:f>G4959-E4959</x:f>
        <x:v>-3.6000000000000014</x:v>
      </x:c>
      <x:c r="L4959" s="40" t="n">
        <x:f>ABS(K4959)</x:f>
        <x:v>3.6000000000000014</x:v>
      </x:c>
      <x:c r="M4959" s="41" t="str">
        <x:v>lstm-soil-v1</x:v>
      </x:c>
    </x:row>
    <x:row r="4960">
      <x:c r="A4960" s="38" t="str">
        <x:v>7月30日现场数据</x:v>
      </x:c>
      <x:c r="B4960" s="39" t="str">
        <x:v>2026-08-04T20:50:00</x:v>
      </x:c>
      <x:c r="C4960" s="39" t="str">
        <x:v>2026-08-04T20:55:00</x:v>
      </x:c>
      <x:c r="D4960" s="47" t="n">
        <x:v>5</x:v>
      </x:c>
      <x:c r="E4960" s="40" t="n">
        <x:v>16.2</x:v>
      </x:c>
      <x:c r="F4960" s="40" t="n">
        <x:v>14.463748931884766</x:v>
      </x:c>
      <x:c r="G4960" s="40" t="n">
        <x:v>16.1</x:v>
      </x:c>
      <x:c r="H4960" s="40" t="n">
        <x:f>F4960-E4960</x:f>
        <x:v>-1.7362510681152337</x:v>
      </x:c>
      <x:c r="I4960" s="40" t="n">
        <x:f>ABS(H4960)</x:f>
        <x:v>1.7362510681152337</x:v>
      </x:c>
      <x:c r="J4960" s="40" t="n">
        <x:f>H4960^2</x:f>
        <x:v>3.01456777153129</x:v>
      </x:c>
      <x:c r="K4960" s="40" t="n">
        <x:f>G4960-E4960</x:f>
        <x:v>-0.09999999999999787</x:v>
      </x:c>
      <x:c r="L4960" s="40" t="n">
        <x:f>ABS(K4960)</x:f>
        <x:v>0.09999999999999787</x:v>
      </x:c>
      <x:c r="M4960" s="41" t="str">
        <x:v>lstm-soil-v1</x:v>
      </x:c>
    </x:row>
    <x:row r="4961">
      <x:c r="A4961" s="38" t="str">
        <x:v>7月30日现场数据</x:v>
      </x:c>
      <x:c r="B4961" s="39" t="str">
        <x:v>2026-08-04T20:50:00</x:v>
      </x:c>
      <x:c r="C4961" s="39" t="str">
        <x:v>2026-08-04T21:05:00</x:v>
      </x:c>
      <x:c r="D4961" s="47" t="n">
        <x:v>15</x:v>
      </x:c>
      <x:c r="E4961" s="40" t="n">
        <x:v>16.1</x:v>
      </x:c>
      <x:c r="F4961" s="40" t="n">
        <x:v>14.543323516845703</x:v>
      </x:c>
      <x:c r="G4961" s="40" t="n">
        <x:v>16.1</x:v>
      </x:c>
      <x:c r="H4961" s="40" t="n">
        <x:f>F4961-E4961</x:f>
        <x:v>-1.5566764831542983</x:v>
      </x:c>
      <x:c r="I4961" s="40" t="n">
        <x:f>ABS(H4961)</x:f>
        <x:v>1.5566764831542983</x:v>
      </x:c>
      <x:c r="J4961" s="40" t="n">
        <x:f>H4961^2</x:f>
        <x:v>2.4232416732056343</x:v>
      </x:c>
      <x:c r="K4961" s="40" t="n">
        <x:f>G4961-E4961</x:f>
        <x:v>0</x:v>
      </x:c>
      <x:c r="L4961" s="40" t="n">
        <x:f>ABS(K4961)</x:f>
        <x:v>0</x:v>
      </x:c>
      <x:c r="M4961" s="41" t="str">
        <x:v>lstm-soil-v1</x:v>
      </x:c>
    </x:row>
    <x:row r="4962">
      <x:c r="A4962" s="38" t="str">
        <x:v>7月30日现场数据</x:v>
      </x:c>
      <x:c r="B4962" s="39" t="str">
        <x:v>2026-08-04T20:50:00</x:v>
      </x:c>
      <x:c r="C4962" s="39" t="str">
        <x:v>2026-08-04T21:20:00</x:v>
      </x:c>
      <x:c r="D4962" s="47" t="n">
        <x:v>30</x:v>
      </x:c>
      <x:c r="E4962" s="40" t="n">
        <x:v>16.1</x:v>
      </x:c>
      <x:c r="F4962" s="40" t="n">
        <x:v>14.902515411376953</x:v>
      </x:c>
      <x:c r="G4962" s="40" t="n">
        <x:v>16.1</x:v>
      </x:c>
      <x:c r="H4962" s="40" t="n">
        <x:f>F4962-E4962</x:f>
        <x:v>-1.1974845886230483</x:v>
      </x:c>
      <x:c r="I4962" s="40" t="n">
        <x:f>ABS(H4962)</x:f>
        <x:v>1.1974845886230483</x:v>
      </x:c>
      <x:c r="J4962" s="40" t="n">
        <x:f>H4962^2</x:f>
        <x:v>1.433969339989711</x:v>
      </x:c>
      <x:c r="K4962" s="40" t="n">
        <x:f>G4962-E4962</x:f>
        <x:v>0</x:v>
      </x:c>
      <x:c r="L4962" s="40" t="n">
        <x:f>ABS(K4962)</x:f>
        <x:v>0</x:v>
      </x:c>
      <x:c r="M4962" s="41" t="str">
        <x:v>lstm-soil-v1</x:v>
      </x:c>
    </x:row>
    <x:row r="4963">
      <x:c r="A4963" s="38" t="str">
        <x:v>7月30日现场数据</x:v>
      </x:c>
      <x:c r="B4963" s="39" t="str">
        <x:v>2026-08-04T20:50:00</x:v>
      </x:c>
      <x:c r="C4963" s="39" t="str">
        <x:v>2026-08-04T21:50:00</x:v>
      </x:c>
      <x:c r="D4963" s="47" t="n">
        <x:v>60</x:v>
      </x:c>
      <x:c r="E4963" s="40" t="n">
        <x:v>19.5</x:v>
      </x:c>
      <x:c r="F4963" s="40" t="n">
        <x:v>16.610591888427734</x:v>
      </x:c>
      <x:c r="G4963" s="40" t="n">
        <x:v>16.1</x:v>
      </x:c>
      <x:c r="H4963" s="40" t="n">
        <x:f>F4963-E4963</x:f>
        <x:v>-2.8894081115722656</x:v>
      </x:c>
      <x:c r="I4963" s="40" t="n">
        <x:f>ABS(H4963)</x:f>
        <x:v>2.8894081115722656</x:v>
      </x:c>
      <x:c r="J4963" s="40" t="n">
        <x:f>H4963^2</x:f>
        <x:v>8.348679235219606</x:v>
      </x:c>
      <x:c r="K4963" s="40" t="n">
        <x:f>G4963-E4963</x:f>
        <x:v>-3.3999999999999986</x:v>
      </x:c>
      <x:c r="L4963" s="40" t="n">
        <x:f>ABS(K4963)</x:f>
        <x:v>3.3999999999999986</x:v>
      </x:c>
      <x:c r="M4963" s="41" t="str">
        <x:v>lstm-soil-v1</x:v>
      </x:c>
    </x:row>
    <x:row r="4964">
      <x:c r="A4964" s="38" t="str">
        <x:v>7月30日现场数据</x:v>
      </x:c>
      <x:c r="B4964" s="39" t="str">
        <x:v>2026-08-04T20:55:00</x:v>
      </x:c>
      <x:c r="C4964" s="39" t="str">
        <x:v>2026-08-04T21:00:00</x:v>
      </x:c>
      <x:c r="D4964" s="47" t="n">
        <x:v>5</x:v>
      </x:c>
      <x:c r="E4964" s="40" t="n">
        <x:v>16.1</x:v>
      </x:c>
      <x:c r="F4964" s="40" t="n">
        <x:v>14.574256896972656</x:v>
      </x:c>
      <x:c r="G4964" s="40" t="n">
        <x:v>16.2</x:v>
      </x:c>
      <x:c r="H4964" s="40" t="n">
        <x:f>F4964-E4964</x:f>
        <x:v>-1.5257431030273452</x:v>
      </x:c>
      <x:c r="I4964" s="40" t="n">
        <x:f>ABS(H4964)</x:f>
        <x:v>1.5257431030273452</x:v>
      </x:c>
      <x:c r="J4964" s="40" t="n">
        <x:f>H4964^2</x:f>
        <x:v>2.327892016435512</x:v>
      </x:c>
      <x:c r="K4964" s="40" t="n">
        <x:f>G4964-E4964</x:f>
        <x:v>0.09999999999999787</x:v>
      </x:c>
      <x:c r="L4964" s="40" t="n">
        <x:f>ABS(K4964)</x:f>
        <x:v>0.09999999999999787</x:v>
      </x:c>
      <x:c r="M4964" s="41" t="str">
        <x:v>lstm-soil-v1</x:v>
      </x:c>
    </x:row>
    <x:row r="4965">
      <x:c r="A4965" s="38" t="str">
        <x:v>7月30日现场数据</x:v>
      </x:c>
      <x:c r="B4965" s="39" t="str">
        <x:v>2026-08-04T20:55:00</x:v>
      </x:c>
      <x:c r="C4965" s="39" t="str">
        <x:v>2026-08-04T21:10:00</x:v>
      </x:c>
      <x:c r="D4965" s="47" t="n">
        <x:v>15</x:v>
      </x:c>
      <x:c r="E4965" s="40" t="n">
        <x:v>16.1</x:v>
      </x:c>
      <x:c r="F4965" s="40" t="n">
        <x:v>14.653640747070312</x:v>
      </x:c>
      <x:c r="G4965" s="40" t="n">
        <x:v>16.2</x:v>
      </x:c>
      <x:c r="H4965" s="40" t="n">
        <x:f>F4965-E4965</x:f>
        <x:v>-1.446359252929689</x:v>
      </x:c>
      <x:c r="I4965" s="40" t="n">
        <x:f>ABS(H4965)</x:f>
        <x:v>1.446359252929689</x:v>
      </x:c>
      <x:c r="J4965" s="40" t="n">
        <x:f>H4965^2</x:f>
        <x:v>2.091955088535328</x:v>
      </x:c>
      <x:c r="K4965" s="40" t="n">
        <x:f>G4965-E4965</x:f>
        <x:v>0.09999999999999787</x:v>
      </x:c>
      <x:c r="L4965" s="40" t="n">
        <x:f>ABS(K4965)</x:f>
        <x:v>0.09999999999999787</x:v>
      </x:c>
      <x:c r="M4965" s="41" t="str">
        <x:v>lstm-soil-v1</x:v>
      </x:c>
    </x:row>
    <x:row r="4966">
      <x:c r="A4966" s="38" t="str">
        <x:v>7月30日现场数据</x:v>
      </x:c>
      <x:c r="B4966" s="39" t="str">
        <x:v>2026-08-04T20:55:00</x:v>
      </x:c>
      <x:c r="C4966" s="39" t="str">
        <x:v>2026-08-04T21:25:00</x:v>
      </x:c>
      <x:c r="D4966" s="47" t="n">
        <x:v>30</x:v>
      </x:c>
      <x:c r="E4966" s="40" t="n">
        <x:v>16.1</x:v>
      </x:c>
      <x:c r="F4966" s="40" t="n">
        <x:v>15.013599395751953</x:v>
      </x:c>
      <x:c r="G4966" s="40" t="n">
        <x:v>16.2</x:v>
      </x:c>
      <x:c r="H4966" s="40" t="n">
        <x:f>F4966-E4966</x:f>
        <x:v>-1.0864006042480483</x:v>
      </x:c>
      <x:c r="I4966" s="40" t="n">
        <x:f>ABS(H4966)</x:f>
        <x:v>1.0864006042480483</x:v>
      </x:c>
      <x:c r="J4966" s="40" t="n">
        <x:f>H4966^2</x:f>
        <x:v>1.1802662729105244</x:v>
      </x:c>
      <x:c r="K4966" s="40" t="n">
        <x:f>G4966-E4966</x:f>
        <x:v>0.09999999999999787</x:v>
      </x:c>
      <x:c r="L4966" s="40" t="n">
        <x:f>ABS(K4966)</x:f>
        <x:v>0.09999999999999787</x:v>
      </x:c>
      <x:c r="M4966" s="41" t="str">
        <x:v>lstm-soil-v1</x:v>
      </x:c>
    </x:row>
    <x:row r="4967">
      <x:c r="A4967" s="38" t="str">
        <x:v>7月30日现场数据</x:v>
      </x:c>
      <x:c r="B4967" s="39" t="str">
        <x:v>2026-08-04T20:55:00</x:v>
      </x:c>
      <x:c r="C4967" s="39" t="str">
        <x:v>2026-08-04T21:55:00</x:v>
      </x:c>
      <x:c r="D4967" s="47" t="n">
        <x:v>60</x:v>
      </x:c>
      <x:c r="E4967" s="40" t="n">
        <x:v>19.2</x:v>
      </x:c>
      <x:c r="F4967" s="40" t="n">
        <x:v>16.721378326416016</x:v>
      </x:c>
      <x:c r="G4967" s="40" t="n">
        <x:v>16.2</x:v>
      </x:c>
      <x:c r="H4967" s="40" t="n">
        <x:f>F4967-E4967</x:f>
        <x:v>-2.4786216735839837</x:v>
      </x:c>
      <x:c r="I4967" s="40" t="n">
        <x:f>ABS(H4967)</x:f>
        <x:v>2.4786216735839837</x:v>
      </x:c>
      <x:c r="J4967" s="40" t="n">
        <x:f>H4967^2</x:f>
        <x:v>6.143565400760268</x:v>
      </x:c>
      <x:c r="K4967" s="40" t="n">
        <x:f>G4967-E4967</x:f>
        <x:v>-3</x:v>
      </x:c>
      <x:c r="L4967" s="40" t="n">
        <x:f>ABS(K4967)</x:f>
        <x:v>3</x:v>
      </x:c>
      <x:c r="M4967" s="41" t="str">
        <x:v>lstm-soil-v1</x:v>
      </x:c>
    </x:row>
    <x:row r="4968">
      <x:c r="A4968" s="38" t="str">
        <x:v>7月30日现场数据</x:v>
      </x:c>
      <x:c r="B4968" s="39" t="str">
        <x:v>2026-08-04T21:00:00</x:v>
      </x:c>
      <x:c r="C4968" s="39" t="str">
        <x:v>2026-08-04T21:05:00</x:v>
      </x:c>
      <x:c r="D4968" s="47" t="n">
        <x:v>5</x:v>
      </x:c>
      <x:c r="E4968" s="40" t="n">
        <x:v>16.1</x:v>
      </x:c>
      <x:c r="F4968" s="40" t="n">
        <x:v>14.460941314697266</x:v>
      </x:c>
      <x:c r="G4968" s="40" t="n">
        <x:v>16.1</x:v>
      </x:c>
      <x:c r="H4968" s="40" t="n">
        <x:f>F4968-E4968</x:f>
        <x:v>-1.6390586853027358</x:v>
      </x:c>
      <x:c r="I4968" s="40" t="n">
        <x:f>ABS(H4968)</x:f>
        <x:v>1.6390586853027358</x:v>
      </x:c>
      <x:c r="J4968" s="40" t="n">
        <x:f>H4968^2</x:f>
        <x:v>2.6865133738663327</x:v>
      </x:c>
      <x:c r="K4968" s="40" t="n">
        <x:f>G4968-E4968</x:f>
        <x:v>0</x:v>
      </x:c>
      <x:c r="L4968" s="40" t="n">
        <x:f>ABS(K4968)</x:f>
        <x:v>0</x:v>
      </x:c>
      <x:c r="M4968" s="41" t="str">
        <x:v>lstm-soil-v1</x:v>
      </x:c>
    </x:row>
    <x:row r="4969">
      <x:c r="A4969" s="38" t="str">
        <x:v>7月30日现场数据</x:v>
      </x:c>
      <x:c r="B4969" s="39" t="str">
        <x:v>2026-08-04T21:00:00</x:v>
      </x:c>
      <x:c r="C4969" s="39" t="str">
        <x:v>2026-08-04T21:15:00</x:v>
      </x:c>
      <x:c r="D4969" s="47" t="n">
        <x:v>15</x:v>
      </x:c>
      <x:c r="E4969" s="40" t="n">
        <x:v>16.1</x:v>
      </x:c>
      <x:c r="F4969" s="40" t="n">
        <x:v>14.541629791259766</x:v>
      </x:c>
      <x:c r="G4969" s="40" t="n">
        <x:v>16.1</x:v>
      </x:c>
      <x:c r="H4969" s="40" t="n">
        <x:f>F4969-E4969</x:f>
        <x:v>-1.5583702087402358</x:v>
      </x:c>
      <x:c r="I4969" s="40" t="n">
        <x:f>ABS(H4969)</x:f>
        <x:v>1.5583702087402358</x:v>
      </x:c>
      <x:c r="J4969" s="40" t="n">
        <x:f>H4969^2</x:f>
        <x:v>2.4285177074890862</x:v>
      </x:c>
      <x:c r="K4969" s="40" t="n">
        <x:f>G4969-E4969</x:f>
        <x:v>0</x:v>
      </x:c>
      <x:c r="L4969" s="40" t="n">
        <x:f>ABS(K4969)</x:f>
        <x:v>0</x:v>
      </x:c>
      <x:c r="M4969" s="41" t="str">
        <x:v>lstm-soil-v1</x:v>
      </x:c>
    </x:row>
    <x:row r="4970">
      <x:c r="A4970" s="38" t="str">
        <x:v>7月30日现场数据</x:v>
      </x:c>
      <x:c r="B4970" s="39" t="str">
        <x:v>2026-08-04T21:00:00</x:v>
      </x:c>
      <x:c r="C4970" s="39" t="str">
        <x:v>2026-08-04T21:30:00</x:v>
      </x:c>
      <x:c r="D4970" s="47" t="n">
        <x:v>30</x:v>
      </x:c>
      <x:c r="E4970" s="40" t="n">
        <x:v>17.9</x:v>
      </x:c>
      <x:c r="F4970" s="40" t="n">
        <x:v>14.90102767944336</x:v>
      </x:c>
      <x:c r="G4970" s="40" t="n">
        <x:v>16.1</x:v>
      </x:c>
      <x:c r="H4970" s="40" t="n">
        <x:f>F4970-E4970</x:f>
        <x:v>-2.998972320556639</x:v>
      </x:c>
      <x:c r="I4970" s="40" t="n">
        <x:f>ABS(H4970)</x:f>
        <x:v>2.998972320556639</x:v>
      </x:c>
      <x:c r="J4970" s="40" t="n">
        <x:f>H4970^2</x:f>
        <x:v>8.993834979464873</x:v>
      </x:c>
      <x:c r="K4970" s="40" t="n">
        <x:f>G4970-E4970</x:f>
        <x:v>-1.7999999999999972</x:v>
      </x:c>
      <x:c r="L4970" s="40" t="n">
        <x:f>ABS(K4970)</x:f>
        <x:v>1.7999999999999972</x:v>
      </x:c>
      <x:c r="M4970" s="41" t="str">
        <x:v>lstm-soil-v1</x:v>
      </x:c>
    </x:row>
    <x:row r="4971">
      <x:c r="A4971" s="38" t="str">
        <x:v>7月30日现场数据</x:v>
      </x:c>
      <x:c r="B4971" s="39" t="str">
        <x:v>2026-08-04T21:00:00</x:v>
      </x:c>
      <x:c r="C4971" s="39" t="str">
        <x:v>2026-08-04T22:00:00</x:v>
      </x:c>
      <x:c r="D4971" s="47" t="n">
        <x:v>60</x:v>
      </x:c>
      <x:c r="E4971" s="40" t="n">
        <x:v>19</x:v>
      </x:c>
      <x:c r="F4971" s="40" t="n">
        <x:v>16.603775024414062</x:v>
      </x:c>
      <x:c r="G4971" s="40" t="n">
        <x:v>16.1</x:v>
      </x:c>
      <x:c r="H4971" s="40" t="n">
        <x:f>F4971-E4971</x:f>
        <x:v>-2.3962249755859375</x:v>
      </x:c>
      <x:c r="I4971" s="40" t="n">
        <x:f>ABS(H4971)</x:f>
        <x:v>2.3962249755859375</x:v>
      </x:c>
      <x:c r="J4971" s="40" t="n">
        <x:f>H4971^2</x:f>
        <x:v>5.741894133621827</x:v>
      </x:c>
      <x:c r="K4971" s="40" t="n">
        <x:f>G4971-E4971</x:f>
        <x:v>-2.8999999999999986</x:v>
      </x:c>
      <x:c r="L4971" s="40" t="n">
        <x:f>ABS(K4971)</x:f>
        <x:v>2.8999999999999986</x:v>
      </x:c>
      <x:c r="M4971" s="41" t="str">
        <x:v>lstm-soil-v1</x:v>
      </x:c>
    </x:row>
    <x:row r="4972">
      <x:c r="A4972" s="38" t="str">
        <x:v>7月30日现场数据</x:v>
      </x:c>
      <x:c r="B4972" s="39" t="str">
        <x:v>2026-08-04T21:05:00</x:v>
      </x:c>
      <x:c r="C4972" s="39" t="str">
        <x:v>2026-08-04T21:10:00</x:v>
      </x:c>
      <x:c r="D4972" s="47" t="n">
        <x:v>5</x:v>
      </x:c>
      <x:c r="E4972" s="40" t="n">
        <x:v>16.1</x:v>
      </x:c>
      <x:c r="F4972" s="40" t="n">
        <x:v>14.459220886230469</x:v>
      </x:c>
      <x:c r="G4972" s="40" t="n">
        <x:v>16.1</x:v>
      </x:c>
      <x:c r="H4972" s="40" t="n">
        <x:f>F4972-E4972</x:f>
        <x:v>-1.6407791137695327</x:v>
      </x:c>
      <x:c r="I4972" s="40" t="n">
        <x:f>ABS(H4972)</x:f>
        <x:v>1.6407791137695327</x:v>
      </x:c>
      <x:c r="J4972" s="40" t="n">
        <x:f>H4972^2</x:f>
        <x:v>2.692156100182333</x:v>
      </x:c>
      <x:c r="K4972" s="40" t="n">
        <x:f>G4972-E4972</x:f>
        <x:v>0</x:v>
      </x:c>
      <x:c r="L4972" s="40" t="n">
        <x:f>ABS(K4972)</x:f>
        <x:v>0</x:v>
      </x:c>
      <x:c r="M4972" s="41" t="str">
        <x:v>lstm-soil-v1</x:v>
      </x:c>
    </x:row>
    <x:row r="4973">
      <x:c r="A4973" s="38" t="str">
        <x:v>7月30日现场数据</x:v>
      </x:c>
      <x:c r="B4973" s="39" t="str">
        <x:v>2026-08-04T21:05:00</x:v>
      </x:c>
      <x:c r="C4973" s="39" t="str">
        <x:v>2026-08-04T21:20:00</x:v>
      </x:c>
      <x:c r="D4973" s="47" t="n">
        <x:v>15</x:v>
      </x:c>
      <x:c r="E4973" s="40" t="n">
        <x:v>16.1</x:v>
      </x:c>
      <x:c r="F4973" s="40" t="n">
        <x:v>14.540111541748047</x:v>
      </x:c>
      <x:c r="G4973" s="40" t="n">
        <x:v>16.1</x:v>
      </x:c>
      <x:c r="H4973" s="40" t="n">
        <x:f>F4973-E4973</x:f>
        <x:v>-1.5598884582519545</x:v>
      </x:c>
      <x:c r="I4973" s="40" t="n">
        <x:f>ABS(H4973)</x:f>
        <x:v>1.5598884582519545</x:v>
      </x:c>
      <x:c r="J4973" s="40" t="n">
        <x:f>H4973^2</x:f>
        <x:v>2.43325200218766</x:v>
      </x:c>
      <x:c r="K4973" s="40" t="n">
        <x:f>G4973-E4973</x:f>
        <x:v>0</x:v>
      </x:c>
      <x:c r="L4973" s="40" t="n">
        <x:f>ABS(K4973)</x:f>
        <x:v>0</x:v>
      </x:c>
      <x:c r="M4973" s="41" t="str">
        <x:v>lstm-soil-v1</x:v>
      </x:c>
    </x:row>
    <x:row r="4974">
      <x:c r="A4974" s="38" t="str">
        <x:v>7月30日现场数据</x:v>
      </x:c>
      <x:c r="B4974" s="39" t="str">
        <x:v>2026-08-04T21:05:00</x:v>
      </x:c>
      <x:c r="C4974" s="39" t="str">
        <x:v>2026-08-04T21:35:00</x:v>
      </x:c>
      <x:c r="D4974" s="47" t="n">
        <x:v>30</x:v>
      </x:c>
      <x:c r="E4974" s="40" t="n">
        <x:v>21.5</x:v>
      </x:c>
      <x:c r="F4974" s="40" t="n">
        <x:v>14.901073455810547</x:v>
      </x:c>
      <x:c r="G4974" s="40" t="n">
        <x:v>16.1</x:v>
      </x:c>
      <x:c r="H4974" s="40" t="n">
        <x:f>F4974-E4974</x:f>
        <x:v>-6.598926544189453</x:v>
      </x:c>
      <x:c r="I4974" s="40" t="n">
        <x:f>ABS(H4974)</x:f>
        <x:v>6.598926544189453</x:v>
      </x:c>
      <x:c r="J4974" s="40" t="n">
        <x:f>H4974^2</x:f>
        <x:v>43.54583153560816</x:v>
      </x:c>
      <x:c r="K4974" s="40" t="n">
        <x:f>G4974-E4974</x:f>
        <x:v>-5.399999999999999</x:v>
      </x:c>
      <x:c r="L4974" s="40" t="n">
        <x:f>ABS(K4974)</x:f>
        <x:v>5.399999999999999</x:v>
      </x:c>
      <x:c r="M4974" s="41" t="str">
        <x:v>lstm-soil-v1</x:v>
      </x:c>
    </x:row>
    <x:row r="4975">
      <x:c r="A4975" s="38" t="str">
        <x:v>7月30日现场数据</x:v>
      </x:c>
      <x:c r="B4975" s="39" t="str">
        <x:v>2026-08-04T21:05:00</x:v>
      </x:c>
      <x:c r="C4975" s="39" t="str">
        <x:v>2026-08-04T22:05:00</x:v>
      </x:c>
      <x:c r="D4975" s="47" t="n">
        <x:v>60</x:v>
      </x:c>
      <x:c r="E4975" s="40" t="n">
        <x:v>18.8</x:v>
      </x:c>
      <x:c r="F4975" s="40" t="n">
        <x:v>16.598636627197266</x:v>
      </x:c>
      <x:c r="G4975" s="40" t="n">
        <x:v>16.1</x:v>
      </x:c>
      <x:c r="H4975" s="40" t="n">
        <x:f>F4975-E4975</x:f>
        <x:v>-2.201363372802735</x:v>
      </x:c>
      <x:c r="I4975" s="40" t="n">
        <x:f>ABS(H4975)</x:f>
        <x:v>2.201363372802735</x:v>
      </x:c>
      <x:c r="J4975" s="40" t="n">
        <x:f>H4975^2</x:f>
        <x:v>4.846000699117433</x:v>
      </x:c>
      <x:c r="K4975" s="40" t="n">
        <x:f>G4975-E4975</x:f>
        <x:v>-2.6999999999999993</x:v>
      </x:c>
      <x:c r="L4975" s="40" t="n">
        <x:f>ABS(K4975)</x:f>
        <x:v>2.6999999999999993</x:v>
      </x:c>
      <x:c r="M4975" s="41" t="str">
        <x:v>lstm-soil-v1</x:v>
      </x:c>
    </x:row>
    <x:row r="4976">
      <x:c r="A4976" s="38" t="str">
        <x:v>7月30日现场数据</x:v>
      </x:c>
      <x:c r="B4976" s="39" t="str">
        <x:v>2026-08-04T21:10:00</x:v>
      </x:c>
      <x:c r="C4976" s="39" t="str">
        <x:v>2026-08-04T21:15:00</x:v>
      </x:c>
      <x:c r="D4976" s="47" t="n">
        <x:v>5</x:v>
      </x:c>
      <x:c r="E4976" s="40" t="n">
        <x:v>16.1</x:v>
      </x:c>
      <x:c r="F4976" s="40" t="n">
        <x:v>14.458389282226562</x:v>
      </x:c>
      <x:c r="G4976" s="40" t="n">
        <x:v>16.1</x:v>
      </x:c>
      <x:c r="H4976" s="40" t="n">
        <x:f>F4976-E4976</x:f>
        <x:v>-1.641610717773439</x:v>
      </x:c>
      <x:c r="I4976" s="40" t="n">
        <x:f>ABS(H4976)</x:f>
        <x:v>1.641610717773439</x:v>
      </x:c>
      <x:c r="J4976" s="40" t="n">
        <x:f>H4976^2</x:f>
        <x:v>2.6948857487086255</x:v>
      </x:c>
      <x:c r="K4976" s="40" t="n">
        <x:f>G4976-E4976</x:f>
        <x:v>0</x:v>
      </x:c>
      <x:c r="L4976" s="40" t="n">
        <x:f>ABS(K4976)</x:f>
        <x:v>0</x:v>
      </x:c>
      <x:c r="M4976" s="41" t="str">
        <x:v>lstm-soil-v1</x:v>
      </x:c>
    </x:row>
    <x:row r="4977">
      <x:c r="A4977" s="38" t="str">
        <x:v>7月30日现场数据</x:v>
      </x:c>
      <x:c r="B4977" s="39" t="str">
        <x:v>2026-08-04T21:10:00</x:v>
      </x:c>
      <x:c r="C4977" s="39" t="str">
        <x:v>2026-08-04T21:25:00</x:v>
      </x:c>
      <x:c r="D4977" s="47" t="n">
        <x:v>15</x:v>
      </x:c>
      <x:c r="E4977" s="40" t="n">
        <x:v>16.1</x:v>
      </x:c>
      <x:c r="F4977" s="40" t="n">
        <x:v>14.538955688476562</x:v>
      </x:c>
      <x:c r="G4977" s="40" t="n">
        <x:v>16.1</x:v>
      </x:c>
      <x:c r="H4977" s="40" t="n">
        <x:f>F4977-E4977</x:f>
        <x:v>-1.561044311523439</x:v>
      </x:c>
      <x:c r="I4977" s="40" t="n">
        <x:f>ABS(H4977)</x:f>
        <x:v>1.561044311523439</x:v>
      </x:c>
      <x:c r="J4977" s="40" t="n">
        <x:f>H4977^2</x:f>
        <x:v>2.4368593425396874</x:v>
      </x:c>
      <x:c r="K4977" s="40" t="n">
        <x:f>G4977-E4977</x:f>
        <x:v>0</x:v>
      </x:c>
      <x:c r="L4977" s="40" t="n">
        <x:f>ABS(K4977)</x:f>
        <x:v>0</x:v>
      </x:c>
      <x:c r="M4977" s="41" t="str">
        <x:v>lstm-soil-v1</x:v>
      </x:c>
    </x:row>
    <x:row r="4978">
      <x:c r="A4978" s="38" t="str">
        <x:v>7月30日现场数据</x:v>
      </x:c>
      <x:c r="B4978" s="39" t="str">
        <x:v>2026-08-04T21:10:00</x:v>
      </x:c>
      <x:c r="C4978" s="39" t="str">
        <x:v>2026-08-04T21:40:00</x:v>
      </x:c>
      <x:c r="D4978" s="47" t="n">
        <x:v>30</x:v>
      </x:c>
      <x:c r="E4978" s="40" t="n">
        <x:v>20.5</x:v>
      </x:c>
      <x:c r="F4978" s="40" t="n">
        <x:v>14.902385711669922</x:v>
      </x:c>
      <x:c r="G4978" s="40" t="n">
        <x:v>16.1</x:v>
      </x:c>
      <x:c r="H4978" s="40" t="n">
        <x:f>F4978-E4978</x:f>
        <x:v>-5.597614288330078</x:v>
      </x:c>
      <x:c r="I4978" s="40" t="n">
        <x:f>ABS(H4978)</x:f>
        <x:v>5.597614288330078</x:v>
      </x:c>
      <x:c r="J4978" s="40" t="n">
        <x:f>H4978^2</x:f>
        <x:v>31.333285720917047</x:v>
      </x:c>
      <x:c r="K4978" s="40" t="n">
        <x:f>G4978-E4978</x:f>
        <x:v>-4.399999999999999</x:v>
      </x:c>
      <x:c r="L4978" s="40" t="n">
        <x:f>ABS(K4978)</x:f>
        <x:v>4.399999999999999</x:v>
      </x:c>
      <x:c r="M4978" s="41" t="str">
        <x:v>lstm-soil-v1</x:v>
      </x:c>
    </x:row>
    <x:row r="4979">
      <x:c r="A4979" s="38" t="str">
        <x:v>7月30日现场数据</x:v>
      </x:c>
      <x:c r="B4979" s="39" t="str">
        <x:v>2026-08-04T21:10:00</x:v>
      </x:c>
      <x:c r="C4979" s="39" t="str">
        <x:v>2026-08-04T22:10:00</x:v>
      </x:c>
      <x:c r="D4979" s="47" t="n">
        <x:v>60</x:v>
      </x:c>
      <x:c r="E4979" s="40" t="n">
        <x:v>18.6</x:v>
      </x:c>
      <x:c r="F4979" s="40" t="n">
        <x:v>16.595630645751953</x:v>
      </x:c>
      <x:c r="G4979" s="40" t="n">
        <x:v>16.1</x:v>
      </x:c>
      <x:c r="H4979" s="40" t="n">
        <x:f>F4979-E4979</x:f>
        <x:v>-2.0043693542480483</x:v>
      </x:c>
      <x:c r="I4979" s="40" t="n">
        <x:f>ABS(H4979)</x:f>
        <x:v>2.0043693542480483</x:v>
      </x:c>
      <x:c r="J4979" s="40" t="n">
        <x:f>H4979^2</x:f>
        <x:v>4.017496508248738</x:v>
      </x:c>
      <x:c r="K4979" s="40" t="n">
        <x:f>G4979-E4979</x:f>
        <x:v>-2.5</x:v>
      </x:c>
      <x:c r="L4979" s="40" t="n">
        <x:f>ABS(K4979)</x:f>
        <x:v>2.5</x:v>
      </x:c>
      <x:c r="M4979" s="41" t="str">
        <x:v>lstm-soil-v1</x:v>
      </x:c>
    </x:row>
    <x:row r="4980">
      <x:c r="A4980" s="38" t="str">
        <x:v>7月30日现场数据</x:v>
      </x:c>
      <x:c r="B4980" s="39" t="str">
        <x:v>2026-08-04T21:15:00</x:v>
      </x:c>
      <x:c r="C4980" s="39" t="str">
        <x:v>2026-08-04T21:20:00</x:v>
      </x:c>
      <x:c r="D4980" s="47" t="n">
        <x:v>5</x:v>
      </x:c>
      <x:c r="E4980" s="40" t="n">
        <x:v>16.1</x:v>
      </x:c>
      <x:c r="F4980" s="40" t="n">
        <x:v>14.458145141601562</x:v>
      </x:c>
      <x:c r="G4980" s="40" t="n">
        <x:v>16.1</x:v>
      </x:c>
      <x:c r="H4980" s="40" t="n">
        <x:f>F4980-E4980</x:f>
        <x:v>-1.641854858398439</x:v>
      </x:c>
      <x:c r="I4980" s="40" t="n">
        <x:f>ABS(H4980)</x:f>
        <x:v>1.641854858398439</x:v>
      </x:c>
      <x:c r="J4980" s="40" t="n">
        <x:f>H4980^2</x:f>
        <x:v>2.695687376046558</x:v>
      </x:c>
      <x:c r="K4980" s="40" t="n">
        <x:f>G4980-E4980</x:f>
        <x:v>0</x:v>
      </x:c>
      <x:c r="L4980" s="40" t="n">
        <x:f>ABS(K4980)</x:f>
        <x:v>0</x:v>
      </x:c>
      <x:c r="M4980" s="41" t="str">
        <x:v>lstm-soil-v1</x:v>
      </x:c>
    </x:row>
    <x:row r="4981">
      <x:c r="A4981" s="38" t="str">
        <x:v>7月30日现场数据</x:v>
      </x:c>
      <x:c r="B4981" s="39" t="str">
        <x:v>2026-08-04T21:15:00</x:v>
      </x:c>
      <x:c r="C4981" s="39" t="str">
        <x:v>2026-08-04T21:30:00</x:v>
      </x:c>
      <x:c r="D4981" s="47" t="n">
        <x:v>15</x:v>
      </x:c>
      <x:c r="E4981" s="40" t="n">
        <x:v>17.9</x:v>
      </x:c>
      <x:c r="F4981" s="40" t="n">
        <x:v>14.538166046142578</x:v>
      </x:c>
      <x:c r="G4981" s="40" t="n">
        <x:v>16.1</x:v>
      </x:c>
      <x:c r="H4981" s="40" t="n">
        <x:f>F4981-E4981</x:f>
        <x:v>-3.3618339538574205</x:v>
      </x:c>
      <x:c r="I4981" s="40" t="n">
        <x:f>ABS(H4981)</x:f>
        <x:v>3.3618339538574205</x:v>
      </x:c>
      <x:c r="J4981" s="40" t="n">
        <x:f>H4981^2</x:f>
        <x:v>11.301927533308616</x:v>
      </x:c>
      <x:c r="K4981" s="40" t="n">
        <x:f>G4981-E4981</x:f>
        <x:v>-1.7999999999999972</x:v>
      </x:c>
      <x:c r="L4981" s="40" t="n">
        <x:f>ABS(K4981)</x:f>
        <x:v>1.7999999999999972</x:v>
      </x:c>
      <x:c r="M4981" s="41" t="str">
        <x:v>lstm-soil-v1</x:v>
      </x:c>
    </x:row>
    <x:row r="4982">
      <x:c r="A4982" s="38" t="str">
        <x:v>7月30日现场数据</x:v>
      </x:c>
      <x:c r="B4982" s="39" t="str">
        <x:v>2026-08-04T21:15:00</x:v>
      </x:c>
      <x:c r="C4982" s="39" t="str">
        <x:v>2026-08-04T21:45:00</x:v>
      </x:c>
      <x:c r="D4982" s="47" t="n">
        <x:v>30</x:v>
      </x:c>
      <x:c r="E4982" s="40" t="n">
        <x:v>19.8</x:v>
      </x:c>
      <x:c r="F4982" s="40" t="n">
        <x:v>14.904224395751953</x:v>
      </x:c>
      <x:c r="G4982" s="40" t="n">
        <x:v>16.1</x:v>
      </x:c>
      <x:c r="H4982" s="40" t="n">
        <x:f>F4982-E4982</x:f>
        <x:v>-4.895775604248048</x:v>
      </x:c>
      <x:c r="I4982" s="40" t="n">
        <x:f>ABS(H4982)</x:f>
        <x:v>4.895775604248048</x:v>
      </x:c>
      <x:c r="J4982" s="40" t="n">
        <x:f>H4982^2</x:f>
        <x:v>23.968618767150335</x:v>
      </x:c>
      <x:c r="K4982" s="40" t="n">
        <x:f>G4982-E4982</x:f>
        <x:v>-3.6999999999999993</x:v>
      </x:c>
      <x:c r="L4982" s="40" t="n">
        <x:f>ABS(K4982)</x:f>
        <x:v>3.6999999999999993</x:v>
      </x:c>
      <x:c r="M4982" s="41" t="str">
        <x:v>lstm-soil-v1</x:v>
      </x:c>
    </x:row>
    <x:row r="4983">
      <x:c r="A4983" s="38" t="str">
        <x:v>7月30日现场数据</x:v>
      </x:c>
      <x:c r="B4983" s="39" t="str">
        <x:v>2026-08-04T21:15:00</x:v>
      </x:c>
      <x:c r="C4983" s="39" t="str">
        <x:v>2026-08-04T22:15:00</x:v>
      </x:c>
      <x:c r="D4983" s="47" t="n">
        <x:v>60</x:v>
      </x:c>
      <x:c r="E4983" s="40" t="n">
        <x:v>18.5</x:v>
      </x:c>
      <x:c r="F4983" s="40" t="n">
        <x:v>16.594295501708984</x:v>
      </x:c>
      <x:c r="G4983" s="40" t="n">
        <x:v>16.1</x:v>
      </x:c>
      <x:c r="H4983" s="40" t="n">
        <x:f>F4983-E4983</x:f>
        <x:v>-1.9057044982910156</x:v>
      </x:c>
      <x:c r="I4983" s="40" t="n">
        <x:f>ABS(H4983)</x:f>
        <x:v>1.9057044982910156</x:v>
      </x:c>
      <x:c r="J4983" s="40" t="n">
        <x:f>H4983^2</x:f>
        <x:v>3.6317096348066116</x:v>
      </x:c>
      <x:c r="K4983" s="40" t="n">
        <x:f>G4983-E4983</x:f>
        <x:v>-2.3999999999999986</x:v>
      </x:c>
      <x:c r="L4983" s="40" t="n">
        <x:f>ABS(K4983)</x:f>
        <x:v>2.3999999999999986</x:v>
      </x:c>
      <x:c r="M4983" s="41" t="str">
        <x:v>lstm-soil-v1</x:v>
      </x:c>
    </x:row>
    <x:row r="4984">
      <x:c r="A4984" s="38" t="str">
        <x:v>7月30日现场数据</x:v>
      </x:c>
      <x:c r="B4984" s="39" t="str">
        <x:v>2026-08-04T21:20:00</x:v>
      </x:c>
      <x:c r="C4984" s="39" t="str">
        <x:v>2026-08-04T21:25:00</x:v>
      </x:c>
      <x:c r="D4984" s="47" t="n">
        <x:v>5</x:v>
      </x:c>
      <x:c r="E4984" s="40" t="n">
        <x:v>16.1</x:v>
      </x:c>
      <x:c r="F4984" s="40" t="n">
        <x:v>14.458221435546875</x:v>
      </x:c>
      <x:c r="G4984" s="40" t="n">
        <x:v>16.1</x:v>
      </x:c>
      <x:c r="H4984" s="40" t="n">
        <x:f>F4984-E4984</x:f>
        <x:v>-1.6417785644531264</x:v>
      </x:c>
      <x:c r="I4984" s="40" t="n">
        <x:f>ABS(H4984)</x:f>
        <x:v>1.6417785644531264</x:v>
      </x:c>
      <x:c r="J4984" s="40" t="n">
        <x:f>H4984^2</x:f>
        <x:v>2.6954368546977685</x:v>
      </x:c>
      <x:c r="K4984" s="40" t="n">
        <x:f>G4984-E4984</x:f>
        <x:v>0</x:v>
      </x:c>
      <x:c r="L4984" s="40" t="n">
        <x:f>ABS(K4984)</x:f>
        <x:v>0</x:v>
      </x:c>
      <x:c r="M4984" s="41" t="str">
        <x:v>lstm-soil-v1</x:v>
      </x:c>
    </x:row>
    <x:row r="4985">
      <x:c r="A4985" s="38" t="str">
        <x:v>7月30日现场数据</x:v>
      </x:c>
      <x:c r="B4985" s="39" t="str">
        <x:v>2026-08-04T21:20:00</x:v>
      </x:c>
      <x:c r="C4985" s="39" t="str">
        <x:v>2026-08-04T21:35:00</x:v>
      </x:c>
      <x:c r="D4985" s="47" t="n">
        <x:v>15</x:v>
      </x:c>
      <x:c r="E4985" s="40" t="n">
        <x:v>21.5</x:v>
      </x:c>
      <x:c r="F4985" s="40" t="n">
        <x:v>14.53765869140625</x:v>
      </x:c>
      <x:c r="G4985" s="40" t="n">
        <x:v>16.1</x:v>
      </x:c>
      <x:c r="H4985" s="40" t="n">
        <x:f>F4985-E4985</x:f>
        <x:v>-6.96234130859375</x:v>
      </x:c>
      <x:c r="I4985" s="40" t="n">
        <x:f>ABS(H4985)</x:f>
        <x:v>6.96234130859375</x:v>
      </x:c>
      <x:c r="J4985" s="40" t="n">
        <x:f>H4985^2</x:f>
        <x:v>48.47419649735093</x:v>
      </x:c>
      <x:c r="K4985" s="40" t="n">
        <x:f>G4985-E4985</x:f>
        <x:v>-5.399999999999999</x:v>
      </x:c>
      <x:c r="L4985" s="40" t="n">
        <x:f>ABS(K4985)</x:f>
        <x:v>5.399999999999999</x:v>
      </x:c>
      <x:c r="M4985" s="41" t="str">
        <x:v>lstm-soil-v1</x:v>
      </x:c>
    </x:row>
    <x:row r="4986">
      <x:c r="A4986" s="38" t="str">
        <x:v>7月30日现场数据</x:v>
      </x:c>
      <x:c r="B4986" s="39" t="str">
        <x:v>2026-08-04T21:20:00</x:v>
      </x:c>
      <x:c r="C4986" s="39" t="str">
        <x:v>2026-08-04T21:50:00</x:v>
      </x:c>
      <x:c r="D4986" s="47" t="n">
        <x:v>30</x:v>
      </x:c>
      <x:c r="E4986" s="40" t="n">
        <x:v>19.5</x:v>
      </x:c>
      <x:c r="F4986" s="40" t="n">
        <x:v>14.9061279296875</x:v>
      </x:c>
      <x:c r="G4986" s="40" t="n">
        <x:v>16.1</x:v>
      </x:c>
      <x:c r="H4986" s="40" t="n">
        <x:f>F4986-E4986</x:f>
        <x:v>-4.5938720703125</x:v>
      </x:c>
      <x:c r="I4986" s="40" t="n">
        <x:f>ABS(H4986)</x:f>
        <x:v>4.5938720703125</x:v>
      </x:c>
      <x:c r="J4986" s="40" t="n">
        <x:f>H4986^2</x:f>
        <x:v>21.103660598397255</x:v>
      </x:c>
      <x:c r="K4986" s="40" t="n">
        <x:f>G4986-E4986</x:f>
        <x:v>-3.3999999999999986</x:v>
      </x:c>
      <x:c r="L4986" s="40" t="n">
        <x:f>ABS(K4986)</x:f>
        <x:v>3.3999999999999986</x:v>
      </x:c>
      <x:c r="M4986" s="41" t="str">
        <x:v>lstm-soil-v1</x:v>
      </x:c>
    </x:row>
    <x:row r="4987">
      <x:c r="A4987" s="38" t="str">
        <x:v>7月30日现场数据</x:v>
      </x:c>
      <x:c r="B4987" s="39" t="str">
        <x:v>2026-08-04T21:20:00</x:v>
      </x:c>
      <x:c r="C4987" s="39" t="str">
        <x:v>2026-08-04T22:20:00</x:v>
      </x:c>
      <x:c r="D4987" s="47" t="n">
        <x:v>60</x:v>
      </x:c>
      <x:c r="E4987" s="40" t="n">
        <x:v>18.4</x:v>
      </x:c>
      <x:c r="F4987" s="40" t="n">
        <x:v>16.593963623046875</x:v>
      </x:c>
      <x:c r="G4987" s="40" t="n">
        <x:v>16.1</x:v>
      </x:c>
      <x:c r="H4987" s="40" t="n">
        <x:f>F4987-E4987</x:f>
        <x:v>-1.8060363769531236</x:v>
      </x:c>
      <x:c r="I4987" s="40" t="n">
        <x:f>ABS(H4987)</x:f>
        <x:v>1.8060363769531236</x:v>
      </x:c>
      <x:c r="J4987" s="40" t="n">
        <x:f>H4987^2</x:f>
        <x:v>3.2617673948779653</x:v>
      </x:c>
      <x:c r="K4987" s="40" t="n">
        <x:f>G4987-E4987</x:f>
        <x:v>-2.299999999999997</x:v>
      </x:c>
      <x:c r="L4987" s="40" t="n">
        <x:f>ABS(K4987)</x:f>
        <x:v>2.299999999999997</x:v>
      </x:c>
      <x:c r="M4987" s="41" t="str">
        <x:v>lstm-soil-v1</x:v>
      </x:c>
    </x:row>
    <x:row r="4988">
      <x:c r="A4988" s="38" t="str">
        <x:v>7月30日现场数据</x:v>
      </x:c>
      <x:c r="B4988" s="39" t="str">
        <x:v>2026-08-04T21:25:00</x:v>
      </x:c>
      <x:c r="C4988" s="39" t="str">
        <x:v>2026-08-04T21:30:00</x:v>
      </x:c>
      <x:c r="D4988" s="47" t="n">
        <x:v>5</x:v>
      </x:c>
      <x:c r="E4988" s="40" t="n">
        <x:v>17.9</x:v>
      </x:c>
      <x:c r="F4988" s="40" t="n">
        <x:v>14.458354949951172</x:v>
      </x:c>
      <x:c r="G4988" s="40" t="n">
        <x:v>16.1</x:v>
      </x:c>
      <x:c r="H4988" s="40" t="n">
        <x:f>F4988-E4988</x:f>
        <x:v>-3.4416450500488267</x:v>
      </x:c>
      <x:c r="I4988" s="40" t="n">
        <x:f>ABS(H4988)</x:f>
        <x:v>3.4416450500488267</x:v>
      </x:c>
      <x:c r="J4988" s="40" t="n">
        <x:f>H4988^2</x:f>
        <x:v>11.84492065052559</x:v>
      </x:c>
      <x:c r="K4988" s="40" t="n">
        <x:f>G4988-E4988</x:f>
        <x:v>-1.7999999999999972</x:v>
      </x:c>
      <x:c r="L4988" s="40" t="n">
        <x:f>ABS(K4988)</x:f>
        <x:v>1.7999999999999972</x:v>
      </x:c>
      <x:c r="M4988" s="41" t="str">
        <x:v>lstm-soil-v1</x:v>
      </x:c>
    </x:row>
    <x:row r="4989">
      <x:c r="A4989" s="38" t="str">
        <x:v>7月30日现场数据</x:v>
      </x:c>
      <x:c r="B4989" s="39" t="str">
        <x:v>2026-08-04T21:25:00</x:v>
      </x:c>
      <x:c r="C4989" s="39" t="str">
        <x:v>2026-08-04T21:40:00</x:v>
      </x:c>
      <x:c r="D4989" s="47" t="n">
        <x:v>15</x:v>
      </x:c>
      <x:c r="E4989" s="40" t="n">
        <x:v>20.5</x:v>
      </x:c>
      <x:c r="F4989" s="40" t="n">
        <x:v>14.537174224853516</x:v>
      </x:c>
      <x:c r="G4989" s="40" t="n">
        <x:v>16.1</x:v>
      </x:c>
      <x:c r="H4989" s="40" t="n">
        <x:f>F4989-E4989</x:f>
        <x:v>-5.962825775146484</x:v>
      </x:c>
      <x:c r="I4989" s="40" t="n">
        <x:f>ABS(H4989)</x:f>
        <x:v>5.962825775146484</x:v>
      </x:c>
      <x:c r="J4989" s="40" t="n">
        <x:f>H4989^2</x:f>
        <x:v>35.55529122475127</x:v>
      </x:c>
      <x:c r="K4989" s="40" t="n">
        <x:f>G4989-E4989</x:f>
        <x:v>-4.399999999999999</x:v>
      </x:c>
      <x:c r="L4989" s="40" t="n">
        <x:f>ABS(K4989)</x:f>
        <x:v>4.399999999999999</x:v>
      </x:c>
      <x:c r="M4989" s="41" t="str">
        <x:v>lstm-soil-v1</x:v>
      </x:c>
    </x:row>
    <x:row r="4990">
      <x:c r="A4990" s="38" t="str">
        <x:v>7月30日现场数据</x:v>
      </x:c>
      <x:c r="B4990" s="39" t="str">
        <x:v>2026-08-04T21:25:00</x:v>
      </x:c>
      <x:c r="C4990" s="39" t="str">
        <x:v>2026-08-04T21:55:00</x:v>
      </x:c>
      <x:c r="D4990" s="47" t="n">
        <x:v>30</x:v>
      </x:c>
      <x:c r="E4990" s="40" t="n">
        <x:v>19.2</x:v>
      </x:c>
      <x:c r="F4990" s="40" t="n">
        <x:v>14.907562255859375</x:v>
      </x:c>
      <x:c r="G4990" s="40" t="n">
        <x:v>16.1</x:v>
      </x:c>
      <x:c r="H4990" s="40" t="n">
        <x:f>F4990-E4990</x:f>
        <x:v>-4.292437744140624</x:v>
      </x:c>
      <x:c r="I4990" s="40" t="n">
        <x:f>ABS(H4990)</x:f>
        <x:v>4.292437744140624</x:v>
      </x:c>
      <x:c r="J4990" s="40" t="n">
        <x:f>H4990^2</x:f>
        <x:v>18.42502178732305</x:v>
      </x:c>
      <x:c r="K4990" s="40" t="n">
        <x:f>G4990-E4990</x:f>
        <x:v>-3.099999999999998</x:v>
      </x:c>
      <x:c r="L4990" s="40" t="n">
        <x:f>ABS(K4990)</x:f>
        <x:v>3.099999999999998</x:v>
      </x:c>
      <x:c r="M4990" s="41" t="str">
        <x:v>lstm-soil-v1</x:v>
      </x:c>
    </x:row>
    <x:row r="4991">
      <x:c r="A4991" s="38" t="str">
        <x:v>7月30日现场数据</x:v>
      </x:c>
      <x:c r="B4991" s="39" t="str">
        <x:v>2026-08-04T21:25:00</x:v>
      </x:c>
      <x:c r="C4991" s="39" t="str">
        <x:v>2026-08-04T22:25:00</x:v>
      </x:c>
      <x:c r="D4991" s="47" t="n">
        <x:v>60</x:v>
      </x:c>
      <x:c r="E4991" s="40" t="n">
        <x:v>18.3</x:v>
      </x:c>
      <x:c r="F4991" s="40" t="n">
        <x:v>16.593921661376953</x:v>
      </x:c>
      <x:c r="G4991" s="40" t="n">
        <x:v>16.1</x:v>
      </x:c>
      <x:c r="H4991" s="40" t="n">
        <x:f>F4991-E4991</x:f>
        <x:v>-1.7060783386230476</x:v>
      </x:c>
      <x:c r="I4991" s="40" t="n">
        <x:f>ABS(H4991)</x:f>
        <x:v>1.7060783386230476</x:v>
      </x:c>
      <x:c r="J4991" s="40" t="n">
        <x:f>H4991^2</x:f>
        <x:v>2.9107032975187783</x:v>
      </x:c>
      <x:c r="K4991" s="40" t="n">
        <x:f>G4991-E4991</x:f>
        <x:v>-2.1999999999999993</x:v>
      </x:c>
      <x:c r="L4991" s="40" t="n">
        <x:f>ABS(K4991)</x:f>
        <x:v>2.1999999999999993</x:v>
      </x:c>
      <x:c r="M4991" s="41" t="str">
        <x:v>lstm-soil-v1</x:v>
      </x:c>
    </x:row>
    <x:row r="4992">
      <x:c r="A4992" s="38" t="str">
        <x:v>7月30日现场数据</x:v>
      </x:c>
      <x:c r="B4992" s="39" t="str">
        <x:v>2026-08-04T21:30:00</x:v>
      </x:c>
      <x:c r="C4992" s="39" t="str">
        <x:v>2026-08-04T21:35:00</x:v>
      </x:c>
      <x:c r="D4992" s="47" t="n">
        <x:v>5</x:v>
      </x:c>
      <x:c r="E4992" s="40" t="n">
        <x:v>21.5</x:v>
      </x:c>
      <x:c r="F4992" s="40" t="n">
        <x:v>16.448162078857422</x:v>
      </x:c>
      <x:c r="G4992" s="40" t="n">
        <x:v>17.9</x:v>
      </x:c>
      <x:c r="H4992" s="40" t="n">
        <x:f>F4992-E4992</x:f>
        <x:v>-5.051837921142578</x:v>
      </x:c>
      <x:c r="I4992" s="40" t="n">
        <x:f>ABS(H4992)</x:f>
        <x:v>5.051837921142578</x:v>
      </x:c>
      <x:c r="J4992" s="40" t="n">
        <x:f>H4992^2</x:f>
        <x:v>25.521066381494165</x:v>
      </x:c>
      <x:c r="K4992" s="40" t="n">
        <x:f>G4992-E4992</x:f>
        <x:v>-3.6000000000000014</x:v>
      </x:c>
      <x:c r="L4992" s="40" t="n">
        <x:f>ABS(K4992)</x:f>
        <x:v>3.6000000000000014</x:v>
      </x:c>
      <x:c r="M4992" s="41" t="str">
        <x:v>lstm-soil-v1</x:v>
      </x:c>
    </x:row>
    <x:row r="4993">
      <x:c r="A4993" s="38" t="str">
        <x:v>7月30日现场数据</x:v>
      </x:c>
      <x:c r="B4993" s="39" t="str">
        <x:v>2026-08-04T21:30:00</x:v>
      </x:c>
      <x:c r="C4993" s="39" t="str">
        <x:v>2026-08-04T21:45:00</x:v>
      </x:c>
      <x:c r="D4993" s="47" t="n">
        <x:v>15</x:v>
      </x:c>
      <x:c r="E4993" s="40" t="n">
        <x:v>19.8</x:v>
      </x:c>
      <x:c r="F4993" s="40" t="n">
        <x:v>16.525753021240234</x:v>
      </x:c>
      <x:c r="G4993" s="40" t="n">
        <x:v>17.9</x:v>
      </x:c>
      <x:c r="H4993" s="40" t="n">
        <x:f>F4993-E4993</x:f>
        <x:v>-3.2742469787597663</x:v>
      </x:c>
      <x:c r="I4993" s="40" t="n">
        <x:f>ABS(H4993)</x:f>
        <x:v>3.2742469787597663</x:v>
      </x:c>
      <x:c r="J4993" s="40" t="n">
        <x:f>H4993^2</x:f>
        <x:v>10.720693277917457</x:v>
      </x:c>
      <x:c r="K4993" s="40" t="n">
        <x:f>G4993-E4993</x:f>
        <x:v>-1.9000000000000021</x:v>
      </x:c>
      <x:c r="L4993" s="40" t="n">
        <x:f>ABS(K4993)</x:f>
        <x:v>1.9000000000000021</x:v>
      </x:c>
      <x:c r="M4993" s="41" t="str">
        <x:v>lstm-soil-v1</x:v>
      </x:c>
    </x:row>
    <x:row r="4994">
      <x:c r="A4994" s="38" t="str">
        <x:v>7月30日现场数据</x:v>
      </x:c>
      <x:c r="B4994" s="39" t="str">
        <x:v>2026-08-04T21:30:00</x:v>
      </x:c>
      <x:c r="C4994" s="39" t="str">
        <x:v>2026-08-04T22:00:00</x:v>
      </x:c>
      <x:c r="D4994" s="47" t="n">
        <x:v>30</x:v>
      </x:c>
      <x:c r="E4994" s="40" t="n">
        <x:v>19</x:v>
      </x:c>
      <x:c r="F4994" s="40" t="n">
        <x:v>16.896682739257812</x:v>
      </x:c>
      <x:c r="G4994" s="40" t="n">
        <x:v>17.9</x:v>
      </x:c>
      <x:c r="H4994" s="40" t="n">
        <x:f>F4994-E4994</x:f>
        <x:v>-2.1033172607421875</x:v>
      </x:c>
      <x:c r="I4994" s="40" t="n">
        <x:f>ABS(H4994)</x:f>
        <x:v>2.1033172607421875</x:v>
      </x:c>
      <x:c r="J4994" s="40" t="n">
        <x:f>H4994^2</x:f>
        <x:v>4.423943499336019</x:v>
      </x:c>
      <x:c r="K4994" s="40" t="n">
        <x:f>G4994-E4994</x:f>
        <x:v>-1.1000000000000014</x:v>
      </x:c>
      <x:c r="L4994" s="40" t="n">
        <x:f>ABS(K4994)</x:f>
        <x:v>1.1000000000000014</x:v>
      </x:c>
      <x:c r="M4994" s="41" t="str">
        <x:v>lstm-soil-v1</x:v>
      </x:c>
    </x:row>
    <x:row r="4995">
      <x:c r="A4995" s="38" t="str">
        <x:v>7月30日现场数据</x:v>
      </x:c>
      <x:c r="B4995" s="39" t="str">
        <x:v>2026-08-04T21:30:00</x:v>
      </x:c>
      <x:c r="C4995" s="39" t="str">
        <x:v>2026-08-04T22:30:00</x:v>
      </x:c>
      <x:c r="D4995" s="47" t="n">
        <x:v>60</x:v>
      </x:c>
      <x:c r="E4995" s="40" t="n">
        <x:v>18.2</x:v>
      </x:c>
      <x:c r="F4995" s="40" t="n">
        <x:v>18.586315155029297</x:v>
      </x:c>
      <x:c r="G4995" s="40" t="n">
        <x:v>17.9</x:v>
      </x:c>
      <x:c r="H4995" s="40" t="n">
        <x:f>F4995-E4995</x:f>
        <x:v>0.3863151550292976</x:v>
      </x:c>
      <x:c r="I4995" s="40" t="n">
        <x:f>ABS(H4995)</x:f>
        <x:v>0.3863151550292976</x:v>
      </x:c>
      <x:c r="J4995" s="40" t="n">
        <x:f>H4995^2</x:f>
        <x:v>0.14923939900531022</x:v>
      </x:c>
      <x:c r="K4995" s="40" t="n">
        <x:f>G4995-E4995</x:f>
        <x:v>-0.3000000000000007</x:v>
      </x:c>
      <x:c r="L4995" s="40" t="n">
        <x:f>ABS(K4995)</x:f>
        <x:v>0.3000000000000007</x:v>
      </x:c>
      <x:c r="M4995" s="41" t="str">
        <x:v>lstm-soil-v1</x:v>
      </x:c>
    </x:row>
    <x:row r="4996">
      <x:c r="A4996" s="38" t="str">
        <x:v>7月30日现场数据</x:v>
      </x:c>
      <x:c r="B4996" s="39" t="str">
        <x:v>2026-08-04T21:35:00</x:v>
      </x:c>
      <x:c r="C4996" s="39" t="str">
        <x:v>2026-08-04T21:40:00</x:v>
      </x:c>
      <x:c r="D4996" s="47" t="n">
        <x:v>5</x:v>
      </x:c>
      <x:c r="E4996" s="40" t="n">
        <x:v>20.5</x:v>
      </x:c>
      <x:c r="F4996" s="40" t="n">
        <x:v>20.421825408935547</x:v>
      </x:c>
      <x:c r="G4996" s="40" t="n">
        <x:v>21.5</x:v>
      </x:c>
      <x:c r="H4996" s="40" t="n">
        <x:f>F4996-E4996</x:f>
        <x:v>-0.07817459106445312</x:v>
      </x:c>
      <x:c r="I4996" s="40" t="n">
        <x:f>ABS(H4996)</x:f>
        <x:v>0.07817459106445312</x:v>
      </x:c>
      <x:c r="J4996" s="40" t="n">
        <x:f>H4996^2</x:f>
        <x:v>0.006111266688094474</x:v>
      </x:c>
      <x:c r="K4996" s="40" t="n">
        <x:f>G4996-E4996</x:f>
        <x:v>1</x:v>
      </x:c>
      <x:c r="L4996" s="40" t="n">
        <x:f>ABS(K4996)</x:f>
        <x:v>1</x:v>
      </x:c>
      <x:c r="M4996" s="41" t="str">
        <x:v>lstm-soil-v1</x:v>
      </x:c>
    </x:row>
    <x:row r="4997">
      <x:c r="A4997" s="38" t="str">
        <x:v>7月30日现场数据</x:v>
      </x:c>
      <x:c r="B4997" s="39" t="str">
        <x:v>2026-08-04T21:35:00</x:v>
      </x:c>
      <x:c r="C4997" s="39" t="str">
        <x:v>2026-08-04T21:50:00</x:v>
      </x:c>
      <x:c r="D4997" s="47" t="n">
        <x:v>15</x:v>
      </x:c>
      <x:c r="E4997" s="40" t="n">
        <x:v>19.5</x:v>
      </x:c>
      <x:c r="F4997" s="40" t="n">
        <x:v>20.498016357421875</x:v>
      </x:c>
      <x:c r="G4997" s="40" t="n">
        <x:v>21.5</x:v>
      </x:c>
      <x:c r="H4997" s="40" t="n">
        <x:f>F4997-E4997</x:f>
        <x:v>0.998016357421875</x:v>
      </x:c>
      <x:c r="I4997" s="40" t="n">
        <x:f>ABS(H4997)</x:f>
        <x:v>0.998016357421875</x:v>
      </x:c>
      <x:c r="J4997" s="40" t="n">
        <x:f>H4997^2</x:f>
        <x:v>0.9960366496816278</x:v>
      </x:c>
      <x:c r="K4997" s="40" t="n">
        <x:f>G4997-E4997</x:f>
        <x:v>2</x:v>
      </x:c>
      <x:c r="L4997" s="40" t="n">
        <x:f>ABS(K4997)</x:f>
        <x:v>2</x:v>
      </x:c>
      <x:c r="M4997" s="41" t="str">
        <x:v>lstm-soil-v1</x:v>
      </x:c>
    </x:row>
    <x:row r="4998">
      <x:c r="A4998" s="38" t="str">
        <x:v>7月30日现场数据</x:v>
      </x:c>
      <x:c r="B4998" s="39" t="str">
        <x:v>2026-08-04T21:35:00</x:v>
      </x:c>
      <x:c r="C4998" s="39" t="str">
        <x:v>2026-08-04T22:05:00</x:v>
      </x:c>
      <x:c r="D4998" s="47" t="n">
        <x:v>30</x:v>
      </x:c>
      <x:c r="E4998" s="40" t="n">
        <x:v>18.8</x:v>
      </x:c>
      <x:c r="F4998" s="40" t="n">
        <x:v>20.862506866455078</x:v>
      </x:c>
      <x:c r="G4998" s="40" t="n">
        <x:v>21.5</x:v>
      </x:c>
      <x:c r="H4998" s="40" t="n">
        <x:f>F4998-E4998</x:f>
        <x:v>2.0625068664550774</x:v>
      </x:c>
      <x:c r="I4998" s="40" t="n">
        <x:f>ABS(H4998)</x:f>
        <x:v>2.0625068664550774</x:v>
      </x:c>
      <x:c r="J4998" s="40" t="n">
        <x:f>H4998^2</x:f>
        <x:v>4.253934574174343</x:v>
      </x:c>
      <x:c r="K4998" s="40" t="n">
        <x:f>G4998-E4998</x:f>
        <x:v>2.6999999999999993</x:v>
      </x:c>
      <x:c r="L4998" s="40" t="n">
        <x:f>ABS(K4998)</x:f>
        <x:v>2.6999999999999993</x:v>
      </x:c>
      <x:c r="M4998" s="41" t="str">
        <x:v>lstm-soil-v1</x:v>
      </x:c>
    </x:row>
    <x:row r="4999">
      <x:c r="A4999" s="38" t="str">
        <x:v>7月30日现场数据</x:v>
      </x:c>
      <x:c r="B4999" s="39" t="str">
        <x:v>2026-08-04T21:35:00</x:v>
      </x:c>
      <x:c r="C4999" s="39" t="str">
        <x:v>2026-08-04T22:35:00</x:v>
      </x:c>
      <x:c r="D4999" s="47" t="n">
        <x:v>60</x:v>
      </x:c>
      <x:c r="E4999" s="40" t="n">
        <x:v>18.1</x:v>
      </x:c>
      <x:c r="F4999" s="40" t="n">
        <x:v>22.552997589111328</x:v>
      </x:c>
      <x:c r="G4999" s="40" t="n">
        <x:v>21.5</x:v>
      </x:c>
      <x:c r="H4999" s="40" t="n">
        <x:f>F4999-E4999</x:f>
        <x:v>4.452997589111327</x:v>
      </x:c>
      <x:c r="I4999" s="40" t="n">
        <x:f>ABS(H4999)</x:f>
        <x:v>4.452997589111327</x:v>
      </x:c>
      <x:c r="J4999" s="40" t="n">
        <x:f>H4999^2</x:f>
        <x:v>19.829187528631287</x:v>
      </x:c>
      <x:c r="K4999" s="40" t="n">
        <x:f>G4999-E4999</x:f>
        <x:v>3.3999999999999986</x:v>
      </x:c>
      <x:c r="L4999" s="40" t="n">
        <x:f>ABS(K4999)</x:f>
        <x:v>3.3999999999999986</x:v>
      </x:c>
      <x:c r="M4999" s="41" t="str">
        <x:v>lstm-soil-v1</x:v>
      </x:c>
    </x:row>
    <x:row r="5000">
      <x:c r="A5000" s="38" t="str">
        <x:v>7月30日现场数据</x:v>
      </x:c>
      <x:c r="B5000" s="39" t="str">
        <x:v>2026-08-04T21:40:00</x:v>
      </x:c>
      <x:c r="C5000" s="39" t="str">
        <x:v>2026-08-04T21:45:00</x:v>
      </x:c>
      <x:c r="D5000" s="47" t="n">
        <x:v>5</x:v>
      </x:c>
      <x:c r="E5000" s="40" t="n">
        <x:v>19.8</x:v>
      </x:c>
      <x:c r="F5000" s="40" t="n">
        <x:v>19.327129364013672</x:v>
      </x:c>
      <x:c r="G5000" s="40" t="n">
        <x:v>20.5</x:v>
      </x:c>
      <x:c r="H5000" s="40" t="n">
        <x:f>F5000-E5000</x:f>
        <x:v>-0.47287063598632884</x:v>
      </x:c>
      <x:c r="I5000" s="40" t="n">
        <x:f>ABS(H5000)</x:f>
        <x:v>0.47287063598632884</x:v>
      </x:c>
      <x:c r="J5000" s="40" t="n">
        <x:f>H5000^2</x:f>
        <x:v>0.22360663837811512</x:v>
      </x:c>
      <x:c r="K5000" s="40" t="n">
        <x:f>G5000-E5000</x:f>
        <x:v>0.6999999999999993</x:v>
      </x:c>
      <x:c r="L5000" s="40" t="n">
        <x:f>ABS(K5000)</x:f>
        <x:v>0.6999999999999993</x:v>
      </x:c>
      <x:c r="M5000" s="41" t="str">
        <x:v>lstm-soil-v1</x:v>
      </x:c>
    </x:row>
    <x:row r="5001">
      <x:c r="A5001" s="38" t="str">
        <x:v>7月30日现场数据</x:v>
      </x:c>
      <x:c r="B5001" s="39" t="str">
        <x:v>2026-08-04T21:40:00</x:v>
      </x:c>
      <x:c r="C5001" s="39" t="str">
        <x:v>2026-08-04T21:55:00</x:v>
      </x:c>
      <x:c r="D5001" s="47" t="n">
        <x:v>15</x:v>
      </x:c>
      <x:c r="E5001" s="40" t="n">
        <x:v>19.2</x:v>
      </x:c>
      <x:c r="F5001" s="40" t="n">
        <x:v>19.4019775390625</x:v>
      </x:c>
      <x:c r="G5001" s="40" t="n">
        <x:v>20.5</x:v>
      </x:c>
      <x:c r="H5001" s="40" t="n">
        <x:f>F5001-E5001</x:f>
        <x:v>0.2019775390625007</x:v>
      </x:c>
      <x:c r="I5001" s="40" t="n">
        <x:f>ABS(H5001)</x:f>
        <x:v>0.2019775390625007</x:v>
      </x:c>
      <x:c r="J5001" s="40" t="n">
        <x:f>H5001^2</x:f>
        <x:v>0.040794926285744</x:v>
      </x:c>
      <x:c r="K5001" s="40" t="n">
        <x:f>G5001-E5001</x:f>
        <x:v>1.3000000000000007</x:v>
      </x:c>
      <x:c r="L5001" s="40" t="n">
        <x:f>ABS(K5001)</x:f>
        <x:v>1.3000000000000007</x:v>
      </x:c>
      <x:c r="M5001" s="41" t="str">
        <x:v>lstm-soil-v1</x:v>
      </x:c>
    </x:row>
    <x:row r="5002">
      <x:c r="A5002" s="38" t="str">
        <x:v>7月30日现场数据</x:v>
      </x:c>
      <x:c r="B5002" s="39" t="str">
        <x:v>2026-08-04T21:40:00</x:v>
      </x:c>
      <x:c r="C5002" s="39" t="str">
        <x:v>2026-08-04T22:10:00</x:v>
      </x:c>
      <x:c r="D5002" s="47" t="n">
        <x:v>30</x:v>
      </x:c>
      <x:c r="E5002" s="40" t="n">
        <x:v>18.6</x:v>
      </x:c>
      <x:c r="F5002" s="40" t="n">
        <x:v>19.758731842041016</x:v>
      </x:c>
      <x:c r="G5002" s="40" t="n">
        <x:v>20.5</x:v>
      </x:c>
      <x:c r="H5002" s="40" t="n">
        <x:f>F5002-E5002</x:f>
        <x:v>1.1587318420410142</x:v>
      </x:c>
      <x:c r="I5002" s="40" t="n">
        <x:f>ABS(H5002)</x:f>
        <x:v>1.1587318420410142</x:v>
      </x:c>
      <x:c r="J5002" s="40" t="n">
        <x:f>H5002^2</x:f>
        <x:v>1.342659481759762</x:v>
      </x:c>
      <x:c r="K5002" s="40" t="n">
        <x:f>G5002-E5002</x:f>
        <x:v>1.8999999999999986</x:v>
      </x:c>
      <x:c r="L5002" s="40" t="n">
        <x:f>ABS(K5002)</x:f>
        <x:v>1.8999999999999986</x:v>
      </x:c>
      <x:c r="M5002" s="41" t="str">
        <x:v>lstm-soil-v1</x:v>
      </x:c>
    </x:row>
    <x:row r="5003">
      <x:c r="A5003" s="38" t="str">
        <x:v>7月30日现场数据</x:v>
      </x:c>
      <x:c r="B5003" s="39" t="str">
        <x:v>2026-08-04T21:40:00</x:v>
      </x:c>
      <x:c r="C5003" s="39" t="str">
        <x:v>2026-08-04T22:40:00</x:v>
      </x:c>
      <x:c r="D5003" s="47" t="n">
        <x:v>60</x:v>
      </x:c>
      <x:c r="E5003" s="40" t="n">
        <x:v>18</x:v>
      </x:c>
      <x:c r="F5003" s="40" t="n">
        <x:v>21.45553970336914</x:v>
      </x:c>
      <x:c r="G5003" s="40" t="n">
        <x:v>20.5</x:v>
      </x:c>
      <x:c r="H5003" s="40" t="n">
        <x:f>F5003-E5003</x:f>
        <x:v>3.4555397033691406</x:v>
      </x:c>
      <x:c r="I5003" s="40" t="n">
        <x:f>ABS(H5003)</x:f>
        <x:v>3.4555397033691406</x:v>
      </x:c>
      <x:c r="J5003" s="40" t="n">
        <x:f>H5003^2</x:f>
        <x:v>11.940754641560488</x:v>
      </x:c>
      <x:c r="K5003" s="40" t="n">
        <x:f>G5003-E5003</x:f>
        <x:v>2.5</x:v>
      </x:c>
      <x:c r="L5003" s="40" t="n">
        <x:f>ABS(K5003)</x:f>
        <x:v>2.5</x:v>
      </x:c>
      <x:c r="M5003" s="41" t="str">
        <x:v>lstm-soil-v1</x:v>
      </x:c>
    </x:row>
    <x:row r="5004">
      <x:c r="A5004" s="38" t="str">
        <x:v>7月30日现场数据</x:v>
      </x:c>
      <x:c r="B5004" s="39" t="str">
        <x:v>2026-08-04T21:45:00</x:v>
      </x:c>
      <x:c r="C5004" s="39" t="str">
        <x:v>2026-08-04T21:50:00</x:v>
      </x:c>
      <x:c r="D5004" s="47" t="n">
        <x:v>5</x:v>
      </x:c>
      <x:c r="E5004" s="40" t="n">
        <x:v>19.5</x:v>
      </x:c>
      <x:c r="F5004" s="40" t="n">
        <x:v>18.555652618408203</x:v>
      </x:c>
      <x:c r="G5004" s="40" t="n">
        <x:v>19.8</x:v>
      </x:c>
      <x:c r="H5004" s="40" t="n">
        <x:f>F5004-E5004</x:f>
        <x:v>-0.9443473815917969</x:v>
      </x:c>
      <x:c r="I5004" s="40" t="n">
        <x:f>ABS(H5004)</x:f>
        <x:v>0.9443473815917969</x:v>
      </x:c>
      <x:c r="J5004" s="40" t="n">
        <x:f>H5004^2</x:f>
        <x:v>0.8917919771192828</x:v>
      </x:c>
      <x:c r="K5004" s="40" t="n">
        <x:f>G5004-E5004</x:f>
        <x:v>0.3000000000000007</x:v>
      </x:c>
      <x:c r="L5004" s="40" t="n">
        <x:f>ABS(K5004)</x:f>
        <x:v>0.3000000000000007</x:v>
      </x:c>
      <x:c r="M5004" s="41" t="str">
        <x:v>lstm-soil-v1</x:v>
      </x:c>
    </x:row>
    <x:row r="5005">
      <x:c r="A5005" s="38" t="str">
        <x:v>7月30日现场数据</x:v>
      </x:c>
      <x:c r="B5005" s="39" t="str">
        <x:v>2026-08-04T21:45:00</x:v>
      </x:c>
      <x:c r="C5005" s="39" t="str">
        <x:v>2026-08-04T22:00:00</x:v>
      </x:c>
      <x:c r="D5005" s="47" t="n">
        <x:v>15</x:v>
      </x:c>
      <x:c r="E5005" s="40" t="n">
        <x:v>19</x:v>
      </x:c>
      <x:c r="F5005" s="40" t="n">
        <x:v>18.63249969482422</x:v>
      </x:c>
      <x:c r="G5005" s="40" t="n">
        <x:v>19.8</x:v>
      </x:c>
      <x:c r="H5005" s="40" t="n">
        <x:f>F5005-E5005</x:f>
        <x:v>-0.36750030517578125</x:v>
      </x:c>
      <x:c r="I5005" s="40" t="n">
        <x:f>ABS(H5005)</x:f>
        <x:v>0.36750030517578125</x:v>
      </x:c>
      <x:c r="J5005" s="40" t="n">
        <x:f>H5005^2</x:f>
        <x:v>0.13505647430429235</x:v>
      </x:c>
      <x:c r="K5005" s="40" t="n">
        <x:f>G5005-E5005</x:f>
        <x:v>0.8000000000000007</x:v>
      </x:c>
      <x:c r="L5005" s="40" t="n">
        <x:f>ABS(K5005)</x:f>
        <x:v>0.8000000000000007</x:v>
      </x:c>
      <x:c r="M5005" s="41" t="str">
        <x:v>lstm-soil-v1</x:v>
      </x:c>
    </x:row>
    <x:row r="5006">
      <x:c r="A5006" s="38" t="str">
        <x:v>7月30日现场数据</x:v>
      </x:c>
      <x:c r="B5006" s="39" t="str">
        <x:v>2026-08-04T21:45:00</x:v>
      </x:c>
      <x:c r="C5006" s="39" t="str">
        <x:v>2026-08-04T22:15:00</x:v>
      </x:c>
      <x:c r="D5006" s="47" t="n">
        <x:v>30</x:v>
      </x:c>
      <x:c r="E5006" s="40" t="n">
        <x:v>18.5</x:v>
      </x:c>
      <x:c r="F5006" s="40" t="n">
        <x:v>18.978797912597656</x:v>
      </x:c>
      <x:c r="G5006" s="40" t="n">
        <x:v>19.8</x:v>
      </x:c>
      <x:c r="H5006" s="40" t="n">
        <x:f>F5006-E5006</x:f>
        <x:v>0.47879791259765625</x:v>
      </x:c>
      <x:c r="I5006" s="40" t="n">
        <x:f>ABS(H5006)</x:f>
        <x:v>0.47879791259765625</x:v>
      </x:c>
      <x:c r="J5006" s="40" t="n">
        <x:f>H5006^2</x:f>
        <x:v>0.22924744110787287</x:v>
      </x:c>
      <x:c r="K5006" s="40" t="n">
        <x:f>G5006-E5006</x:f>
        <x:v>1.3000000000000007</x:v>
      </x:c>
      <x:c r="L5006" s="40" t="n">
        <x:f>ABS(K5006)</x:f>
        <x:v>1.3000000000000007</x:v>
      </x:c>
      <x:c r="M5006" s="41" t="str">
        <x:v>lstm-soil-v1</x:v>
      </x:c>
    </x:row>
    <x:row r="5007">
      <x:c r="A5007" s="38" t="str">
        <x:v>7月30日现场数据</x:v>
      </x:c>
      <x:c r="B5007" s="39" t="str">
        <x:v>2026-08-04T21:45:00</x:v>
      </x:c>
      <x:c r="C5007" s="39" t="str">
        <x:v>2026-08-04T22:45:00</x:v>
      </x:c>
      <x:c r="D5007" s="47" t="n">
        <x:v>60</x:v>
      </x:c>
      <x:c r="E5007" s="40" t="n">
        <x:v>18.1</x:v>
      </x:c>
      <x:c r="F5007" s="40" t="n">
        <x:v>20.68152618408203</x:v>
      </x:c>
      <x:c r="G5007" s="40" t="n">
        <x:v>19.8</x:v>
      </x:c>
      <x:c r="H5007" s="40" t="n">
        <x:f>F5007-E5007</x:f>
        <x:v>2.58152618408203</x:v>
      </x:c>
      <x:c r="I5007" s="40" t="n">
        <x:f>ABS(H5007)</x:f>
        <x:v>2.58152618408203</x:v>
      </x:c>
      <x:c r="J5007" s="40" t="n">
        <x:f>H5007^2</x:f>
        <x:v>6.664277439101126</x:v>
      </x:c>
      <x:c r="K5007" s="40" t="n">
        <x:f>G5007-E5007</x:f>
        <x:v>1.6999999999999993</x:v>
      </x:c>
      <x:c r="L5007" s="40" t="n">
        <x:f>ABS(K5007)</x:f>
        <x:v>1.6999999999999993</x:v>
      </x:c>
      <x:c r="M5007" s="41" t="str">
        <x:v>lstm-soil-v1</x:v>
      </x:c>
    </x:row>
    <x:row r="5008">
      <x:c r="A5008" s="38" t="str">
        <x:v>7月30日现场数据</x:v>
      </x:c>
      <x:c r="B5008" s="39" t="str">
        <x:v>2026-08-04T21:50:00</x:v>
      </x:c>
      <x:c r="C5008" s="39" t="str">
        <x:v>2026-08-04T21:55:00</x:v>
      </x:c>
      <x:c r="D5008" s="47" t="n">
        <x:v>5</x:v>
      </x:c>
      <x:c r="E5008" s="40" t="n">
        <x:v>19.2</x:v>
      </x:c>
      <x:c r="F5008" s="40" t="n">
        <x:v>18.221782684326172</x:v>
      </x:c>
      <x:c r="G5008" s="40" t="n">
        <x:v>19.5</x:v>
      </x:c>
      <x:c r="H5008" s="40" t="n">
        <x:f>F5008-E5008</x:f>
        <x:v>-0.9782173156738274</x:v>
      </x:c>
      <x:c r="I5008" s="40" t="n">
        <x:f>ABS(H5008)</x:f>
        <x:v>0.9782173156738274</x:v>
      </x:c>
      <x:c r="J5008" s="40" t="n">
        <x:f>H5008^2</x:f>
        <x:v>0.9569091166841085</x:v>
      </x:c>
      <x:c r="K5008" s="40" t="n">
        <x:f>G5008-E5008</x:f>
        <x:v>0.3000000000000007</x:v>
      </x:c>
      <x:c r="L5008" s="40" t="n">
        <x:f>ABS(K5008)</x:f>
        <x:v>0.3000000000000007</x:v>
      </x:c>
      <x:c r="M5008" s="41" t="str">
        <x:v>lstm-soil-v1</x:v>
      </x:c>
    </x:row>
    <x:row r="5009">
      <x:c r="A5009" s="38" t="str">
        <x:v>7月30日现场数据</x:v>
      </x:c>
      <x:c r="B5009" s="39" t="str">
        <x:v>2026-08-04T21:50:00</x:v>
      </x:c>
      <x:c r="C5009" s="39" t="str">
        <x:v>2026-08-04T22:05:00</x:v>
      </x:c>
      <x:c r="D5009" s="47" t="n">
        <x:v>15</x:v>
      </x:c>
      <x:c r="E5009" s="40" t="n">
        <x:v>18.8</x:v>
      </x:c>
      <x:c r="F5009" s="40" t="n">
        <x:v>18.301746368408203</x:v>
      </x:c>
      <x:c r="G5009" s="40" t="n">
        <x:v>19.5</x:v>
      </x:c>
      <x:c r="H5009" s="40" t="n">
        <x:f>F5009-E5009</x:f>
        <x:v>-0.4982536315917976</x:v>
      </x:c>
      <x:c r="I5009" s="40" t="n">
        <x:f>ABS(H5009)</x:f>
        <x:v>0.4982536315917976</x:v>
      </x:c>
      <x:c r="J5009" s="40" t="n">
        <x:f>H5009^2</x:f>
        <x:v>0.24825668139441476</x:v>
      </x:c>
      <x:c r="K5009" s="40" t="n">
        <x:f>G5009-E5009</x:f>
        <x:v>0.6999999999999993</x:v>
      </x:c>
      <x:c r="L5009" s="40" t="n">
        <x:f>ABS(K5009)</x:f>
        <x:v>0.6999999999999993</x:v>
      </x:c>
      <x:c r="M5009" s="41" t="str">
        <x:v>lstm-soil-v1</x:v>
      </x:c>
    </x:row>
    <x:row r="5010">
      <x:c r="A5010" s="38" t="str">
        <x:v>7月30日现场数据</x:v>
      </x:c>
      <x:c r="B5010" s="39" t="str">
        <x:v>2026-08-04T21:50:00</x:v>
      </x:c>
      <x:c r="C5010" s="39" t="str">
        <x:v>2026-08-04T22:20:00</x:v>
      </x:c>
      <x:c r="D5010" s="47" t="n">
        <x:v>30</x:v>
      </x:c>
      <x:c r="E5010" s="40" t="n">
        <x:v>18.4</x:v>
      </x:c>
      <x:c r="F5010" s="40" t="n">
        <x:v>18.63784408569336</x:v>
      </x:c>
      <x:c r="G5010" s="40" t="n">
        <x:v>19.5</x:v>
      </x:c>
      <x:c r="H5010" s="40" t="n">
        <x:f>F5010-E5010</x:f>
        <x:v>0.2378440856933608</x:v>
      </x:c>
      <x:c r="I5010" s="40" t="n">
        <x:f>ABS(H5010)</x:f>
        <x:v>0.2378440856933608</x:v>
      </x:c>
      <x:c r="J5010" s="40" t="n">
        <x:f>H5010^2</x:f>
        <x:v>0.05656980909931075</x:v>
      </x:c>
      <x:c r="K5010" s="40" t="n">
        <x:f>G5010-E5010</x:f>
        <x:v>1.1000000000000014</x:v>
      </x:c>
      <x:c r="L5010" s="40" t="n">
        <x:f>ABS(K5010)</x:f>
        <x:v>1.1000000000000014</x:v>
      </x:c>
      <x:c r="M5010" s="41" t="str">
        <x:v>lstm-soil-v1</x:v>
      </x:c>
    </x:row>
    <x:row r="5011">
      <x:c r="A5011" s="38" t="str">
        <x:v>7月30日现场数据</x:v>
      </x:c>
      <x:c r="B5011" s="39" t="str">
        <x:v>2026-08-04T21:50:00</x:v>
      </x:c>
      <x:c r="C5011" s="39" t="str">
        <x:v>2026-08-04T22:50:00</x:v>
      </x:c>
      <x:c r="D5011" s="47" t="n">
        <x:v>60</x:v>
      </x:c>
      <x:c r="E5011" s="40" t="n">
        <x:v>18</x:v>
      </x:c>
      <x:c r="F5011" s="40" t="n">
        <x:v>20.345672607421875</x:v>
      </x:c>
      <x:c r="G5011" s="40" t="n">
        <x:v>19.5</x:v>
      </x:c>
      <x:c r="H5011" s="40" t="n">
        <x:f>F5011-E5011</x:f>
        <x:v>2.345672607421875</x:v>
      </x:c>
      <x:c r="I5011" s="40" t="n">
        <x:f>ABS(H5011)</x:f>
        <x:v>2.345672607421875</x:v>
      </x:c>
      <x:c r="J5011" s="40" t="n">
        <x:f>H5011^2</x:f>
        <x:v>5.502179981209338</x:v>
      </x:c>
      <x:c r="K5011" s="40" t="n">
        <x:f>G5011-E5011</x:f>
        <x:v>1.5</x:v>
      </x:c>
      <x:c r="L5011" s="40" t="n">
        <x:f>ABS(K5011)</x:f>
        <x:v>1.5</x:v>
      </x:c>
      <x:c r="M5011" s="41" t="str">
        <x:v>lstm-soil-v1</x:v>
      </x:c>
    </x:row>
    <x:row r="5012">
      <x:c r="A5012" s="38" t="str">
        <x:v>7月30日现场数据</x:v>
      </x:c>
      <x:c r="B5012" s="39" t="str">
        <x:v>2026-08-04T21:55:00</x:v>
      </x:c>
      <x:c r="C5012" s="39" t="str">
        <x:v>2026-08-04T22:00:00</x:v>
      </x:c>
      <x:c r="D5012" s="47" t="n">
        <x:v>5</x:v>
      </x:c>
      <x:c r="E5012" s="40" t="n">
        <x:v>19</x:v>
      </x:c>
      <x:c r="F5012" s="40" t="n">
        <x:v>17.887020111083984</x:v>
      </x:c>
      <x:c r="G5012" s="40" t="n">
        <x:v>19.2</x:v>
      </x:c>
      <x:c r="H5012" s="40" t="n">
        <x:f>F5012-E5012</x:f>
        <x:v>-1.1129798889160156</x:v>
      </x:c>
      <x:c r="I5012" s="40" t="n">
        <x:f>ABS(H5012)</x:f>
        <x:v>1.1129798889160156</x:v>
      </x:c>
      <x:c r="J5012" s="40" t="n">
        <x:f>H5012^2</x:f>
        <x:v>1.2387242331315065</x:v>
      </x:c>
      <x:c r="K5012" s="40" t="n">
        <x:f>G5012-E5012</x:f>
        <x:v>0.1999999999999993</x:v>
      </x:c>
      <x:c r="L5012" s="40" t="n">
        <x:f>ABS(K5012)</x:f>
        <x:v>0.1999999999999993</x:v>
      </x:c>
      <x:c r="M5012" s="41" t="str">
        <x:v>lstm-soil-v1</x:v>
      </x:c>
    </x:row>
    <x:row r="5013">
      <x:c r="A5013" s="38" t="str">
        <x:v>7月30日现场数据</x:v>
      </x:c>
      <x:c r="B5013" s="39" t="str">
        <x:v>2026-08-04T21:55:00</x:v>
      </x:c>
      <x:c r="C5013" s="39" t="str">
        <x:v>2026-08-04T22:10:00</x:v>
      </x:c>
      <x:c r="D5013" s="47" t="n">
        <x:v>15</x:v>
      </x:c>
      <x:c r="E5013" s="40" t="n">
        <x:v>18.6</x:v>
      </x:c>
      <x:c r="F5013" s="40" t="n">
        <x:v>17.970237731933594</x:v>
      </x:c>
      <x:c r="G5013" s="40" t="n">
        <x:v>19.2</x:v>
      </x:c>
      <x:c r="H5013" s="40" t="n">
        <x:f>F5013-E5013</x:f>
        <x:v>-0.6297622680664077</x:v>
      </x:c>
      <x:c r="I5013" s="40" t="n">
        <x:f>ABS(H5013)</x:f>
        <x:v>0.6297622680664077</x:v>
      </x:c>
      <x:c r="J5013" s="40" t="n">
        <x:f>H5013^2</x:f>
        <x:v>0.3966005142801459</x:v>
      </x:c>
      <x:c r="K5013" s="40" t="n">
        <x:f>G5013-E5013</x:f>
        <x:v>0.5999999999999979</x:v>
      </x:c>
      <x:c r="L5013" s="40" t="n">
        <x:f>ABS(K5013)</x:f>
        <x:v>0.5999999999999979</x:v>
      </x:c>
      <x:c r="M5013" s="41" t="str">
        <x:v>lstm-soil-v1</x:v>
      </x:c>
    </x:row>
    <x:row r="5014">
      <x:c r="A5014" s="38" t="str">
        <x:v>7月30日现场数据</x:v>
      </x:c>
      <x:c r="B5014" s="39" t="str">
        <x:v>2026-08-04T21:55:00</x:v>
      </x:c>
      <x:c r="C5014" s="39" t="str">
        <x:v>2026-08-04T22:25:00</x:v>
      </x:c>
      <x:c r="D5014" s="47" t="n">
        <x:v>30</x:v>
      </x:c>
      <x:c r="E5014" s="40" t="n">
        <x:v>18.3</x:v>
      </x:c>
      <x:c r="F5014" s="40" t="n">
        <x:v>18.297603607177734</x:v>
      </x:c>
      <x:c r="G5014" s="40" t="n">
        <x:v>19.2</x:v>
      </x:c>
      <x:c r="H5014" s="40" t="n">
        <x:f>F5014-E5014</x:f>
        <x:v>-0.0023963928222663355</x:v>
      </x:c>
      <x:c r="I5014" s="40" t="n">
        <x:f>ABS(H5014)</x:f>
        <x:v>0.0023963928222663355</x:v>
      </x:c>
      <x:c r="J5014" s="40" t="n">
        <x:f>H5014^2</x:f>
        <x:v>0.000005742698558609613</x:v>
      </x:c>
      <x:c r="K5014" s="40" t="n">
        <x:f>G5014-E5014</x:f>
        <x:v>0.8999999999999986</x:v>
      </x:c>
      <x:c r="L5014" s="40" t="n">
        <x:f>ABS(K5014)</x:f>
        <x:v>0.8999999999999986</x:v>
      </x:c>
      <x:c r="M5014" s="41" t="str">
        <x:v>lstm-soil-v1</x:v>
      </x:c>
    </x:row>
    <x:row r="5015">
      <x:c r="A5015" s="38" t="str">
        <x:v>7月30日现场数据</x:v>
      </x:c>
      <x:c r="B5015" s="39" t="str">
        <x:v>2026-08-04T21:55:00</x:v>
      </x:c>
      <x:c r="C5015" s="39" t="str">
        <x:v>2026-08-04T22:55:00</x:v>
      </x:c>
      <x:c r="D5015" s="47" t="n">
        <x:v>60</x:v>
      </x:c>
      <x:c r="E5015" s="40" t="n">
        <x:v>18.6</x:v>
      </x:c>
      <x:c r="F5015" s="40" t="n">
        <x:v>20.00943374633789</x:v>
      </x:c>
      <x:c r="G5015" s="40" t="n">
        <x:v>19.2</x:v>
      </x:c>
      <x:c r="H5015" s="40" t="n">
        <x:f>F5015-E5015</x:f>
        <x:v>1.4094337463378892</x:v>
      </x:c>
      <x:c r="I5015" s="40" t="n">
        <x:f>ABS(H5015)</x:f>
        <x:v>1.4094337463378892</x:v>
      </x:c>
      <x:c r="J5015" s="40" t="n">
        <x:f>H5015^2</x:f>
        <x:v>1.9865034853160575</x:v>
      </x:c>
      <x:c r="K5015" s="40" t="n">
        <x:f>G5015-E5015</x:f>
        <x:v>0.5999999999999979</x:v>
      </x:c>
      <x:c r="L5015" s="40" t="n">
        <x:f>ABS(K5015)</x:f>
        <x:v>0.5999999999999979</x:v>
      </x:c>
      <x:c r="M5015" s="41" t="str">
        <x:v>lstm-soil-v1</x:v>
      </x:c>
    </x:row>
    <x:row r="5016">
      <x:c r="A5016" s="38" t="str">
        <x:v>7月30日现场数据</x:v>
      </x:c>
      <x:c r="B5016" s="39" t="str">
        <x:v>2026-08-04T22:00:00</x:v>
      </x:c>
      <x:c r="C5016" s="39" t="str">
        <x:v>2026-08-04T22:05:00</x:v>
      </x:c>
      <x:c r="D5016" s="47" t="n">
        <x:v>5</x:v>
      </x:c>
      <x:c r="E5016" s="40" t="n">
        <x:v>18.8</x:v>
      </x:c>
      <x:c r="F5016" s="40" t="n">
        <x:v>17.658706665039062</x:v>
      </x:c>
      <x:c r="G5016" s="40" t="n">
        <x:v>19</x:v>
      </x:c>
      <x:c r="H5016" s="40" t="n">
        <x:f>F5016-E5016</x:f>
        <x:v>-1.1412933349609382</x:v>
      </x:c>
      <x:c r="I5016" s="40" t="n">
        <x:f>ABS(H5016)</x:f>
        <x:v>1.1412933349609382</x:v>
      </x:c>
      <x:c r="J5016" s="40" t="n">
        <x:f>H5016^2</x:f>
        <x:v>1.3025504764262603</x:v>
      </x:c>
      <x:c r="K5016" s="40" t="n">
        <x:f>G5016-E5016</x:f>
        <x:v>0.1999999999999993</x:v>
      </x:c>
      <x:c r="L5016" s="40" t="n">
        <x:f>ABS(K5016)</x:f>
        <x:v>0.1999999999999993</x:v>
      </x:c>
      <x:c r="M5016" s="41" t="str">
        <x:v>lstm-soil-v1</x:v>
      </x:c>
    </x:row>
    <x:row r="5017">
      <x:c r="A5017" s="38" t="str">
        <x:v>7月30日现场数据</x:v>
      </x:c>
      <x:c r="B5017" s="39" t="str">
        <x:v>2026-08-04T22:00:00</x:v>
      </x:c>
      <x:c r="C5017" s="39" t="str">
        <x:v>2026-08-04T22:15:00</x:v>
      </x:c>
      <x:c r="D5017" s="47" t="n">
        <x:v>15</x:v>
      </x:c>
      <x:c r="E5017" s="40" t="n">
        <x:v>18.5</x:v>
      </x:c>
      <x:c r="F5017" s="40" t="n">
        <x:v>17.745800018310547</x:v>
      </x:c>
      <x:c r="G5017" s="40" t="n">
        <x:v>19</x:v>
      </x:c>
      <x:c r="H5017" s="40" t="n">
        <x:f>F5017-E5017</x:f>
        <x:v>-0.7541999816894531</x:v>
      </x:c>
      <x:c r="I5017" s="40" t="n">
        <x:f>ABS(H5017)</x:f>
        <x:v>0.7541999816894531</x:v>
      </x:c>
      <x:c r="J5017" s="40" t="n">
        <x:f>H5017^2</x:f>
        <x:v>0.5688176123803714</x:v>
      </x:c>
      <x:c r="K5017" s="40" t="n">
        <x:f>G5017-E5017</x:f>
        <x:v>0.5</x:v>
      </x:c>
      <x:c r="L5017" s="40" t="n">
        <x:f>ABS(K5017)</x:f>
        <x:v>0.5</x:v>
      </x:c>
      <x:c r="M5017" s="41" t="str">
        <x:v>lstm-soil-v1</x:v>
      </x:c>
    </x:row>
    <x:row r="5018">
      <x:c r="A5018" s="38" t="str">
        <x:v>7月30日现场数据</x:v>
      </x:c>
      <x:c r="B5018" s="39" t="str">
        <x:v>2026-08-04T22:00:00</x:v>
      </x:c>
      <x:c r="C5018" s="39" t="str">
        <x:v>2026-08-04T22:30:00</x:v>
      </x:c>
      <x:c r="D5018" s="47" t="n">
        <x:v>30</x:v>
      </x:c>
      <x:c r="E5018" s="40" t="n">
        <x:v>18.2</x:v>
      </x:c>
      <x:c r="F5018" s="40" t="n">
        <x:v>18.064971923828125</x:v>
      </x:c>
      <x:c r="G5018" s="40" t="n">
        <x:v>19</x:v>
      </x:c>
      <x:c r="H5018" s="40" t="n">
        <x:f>F5018-E5018</x:f>
        <x:v>-0.1350280761718743</x:v>
      </x:c>
      <x:c r="I5018" s="40" t="n">
        <x:f>ABS(H5018)</x:f>
        <x:v>0.1350280761718743</x:v>
      </x:c>
      <x:c r="J5018" s="40" t="n">
        <x:f>H5018^2</x:f>
        <x:v>0.018232581354677486</x:v>
      </x:c>
      <x:c r="K5018" s="40" t="n">
        <x:f>G5018-E5018</x:f>
        <x:v>0.8000000000000007</x:v>
      </x:c>
      <x:c r="L5018" s="40" t="n">
        <x:f>ABS(K5018)</x:f>
        <x:v>0.8000000000000007</x:v>
      </x:c>
      <x:c r="M5018" s="41" t="str">
        <x:v>lstm-soil-v1</x:v>
      </x:c>
    </x:row>
    <x:row r="5019">
      <x:c r="A5019" s="38" t="str">
        <x:v>7月30日现场数据</x:v>
      </x:c>
      <x:c r="B5019" s="39" t="str">
        <x:v>2026-08-04T22:00:00</x:v>
      </x:c>
      <x:c r="C5019" s="39" t="str">
        <x:v>2026-08-04T23:00:00</x:v>
      </x:c>
      <x:c r="D5019" s="47" t="n">
        <x:v>60</x:v>
      </x:c>
      <x:c r="E5019" s="40" t="n">
        <x:v>23.5</x:v>
      </x:c>
      <x:c r="F5019" s="40" t="n">
        <x:v>19.775447845458984</x:v>
      </x:c>
      <x:c r="G5019" s="40" t="n">
        <x:v>19</x:v>
      </x:c>
      <x:c r="H5019" s="40" t="n">
        <x:f>F5019-E5019</x:f>
        <x:v>-3.7245521545410156</x:v>
      </x:c>
      <x:c r="I5019" s="40" t="n">
        <x:f>ABS(H5019)</x:f>
        <x:v>3.7245521545410156</x:v>
      </x:c>
      <x:c r="J5019" s="40" t="n">
        <x:f>H5019^2</x:f>
        <x:v>13.872288751896122</x:v>
      </x:c>
      <x:c r="K5019" s="40" t="n">
        <x:f>G5019-E5019</x:f>
        <x:v>-4.5</x:v>
      </x:c>
      <x:c r="L5019" s="40" t="n">
        <x:f>ABS(K5019)</x:f>
        <x:v>4.5</x:v>
      </x:c>
      <x:c r="M5019" s="41" t="str">
        <x:v>lstm-soil-v1</x:v>
      </x:c>
    </x:row>
    <x:row r="5020">
      <x:c r="A5020" s="38" t="str">
        <x:v>7月30日现场数据</x:v>
      </x:c>
      <x:c r="B5020" s="39" t="str">
        <x:v>2026-08-04T22:05:00</x:v>
      </x:c>
      <x:c r="C5020" s="39" t="str">
        <x:v>2026-08-04T22:10:00</x:v>
      </x:c>
      <x:c r="D5020" s="47" t="n">
        <x:v>5</x:v>
      </x:c>
      <x:c r="E5020" s="40" t="n">
        <x:v>18.6</x:v>
      </x:c>
      <x:c r="F5020" s="40" t="n">
        <x:v>17.4324951171875</x:v>
      </x:c>
      <x:c r="G5020" s="40" t="n">
        <x:v>18.8</x:v>
      </x:c>
      <x:c r="H5020" s="40" t="n">
        <x:f>F5020-E5020</x:f>
        <x:v>-1.1675048828125014</x:v>
      </x:c>
      <x:c r="I5020" s="40" t="n">
        <x:f>ABS(H5020)</x:f>
        <x:v>1.1675048828125014</x:v>
      </x:c>
      <x:c r="J5020" s="40" t="n">
        <x:f>H5020^2</x:f>
        <x:v>1.3630676513910327</x:v>
      </x:c>
      <x:c r="K5020" s="40" t="n">
        <x:f>G5020-E5020</x:f>
        <x:v>0.1999999999999993</x:v>
      </x:c>
      <x:c r="L5020" s="40" t="n">
        <x:f>ABS(K5020)</x:f>
        <x:v>0.1999999999999993</x:v>
      </x:c>
      <x:c r="M5020" s="41" t="str">
        <x:v>lstm-soil-v1</x:v>
      </x:c>
    </x:row>
    <x:row r="5021">
      <x:c r="A5021" s="38" t="str">
        <x:v>7月30日现场数据</x:v>
      </x:c>
      <x:c r="B5021" s="39" t="str">
        <x:v>2026-08-04T22:05:00</x:v>
      </x:c>
      <x:c r="C5021" s="39" t="str">
        <x:v>2026-08-04T22:20:00</x:v>
      </x:c>
      <x:c r="D5021" s="47" t="n">
        <x:v>15</x:v>
      </x:c>
      <x:c r="E5021" s="40" t="n">
        <x:v>18.4</x:v>
      </x:c>
      <x:c r="F5021" s="40" t="n">
        <x:v>17.521881103515625</x:v>
      </x:c>
      <x:c r="G5021" s="40" t="n">
        <x:v>18.8</x:v>
      </x:c>
      <x:c r="H5021" s="40" t="n">
        <x:f>F5021-E5021</x:f>
        <x:v>-0.8781188964843736</x:v>
      </x:c>
      <x:c r="I5021" s="40" t="n">
        <x:f>ABS(H5021)</x:f>
        <x:v>0.8781188964843736</x:v>
      </x:c>
      <x:c r="J5021" s="40" t="n">
        <x:f>H5021^2</x:f>
        <x:v>0.771092796362934</x:v>
      </x:c>
      <x:c r="K5021" s="40" t="n">
        <x:f>G5021-E5021</x:f>
        <x:v>0.40000000000000213</x:v>
      </x:c>
      <x:c r="L5021" s="40" t="n">
        <x:f>ABS(K5021)</x:f>
        <x:v>0.40000000000000213</x:v>
      </x:c>
      <x:c r="M5021" s="41" t="str">
        <x:v>lstm-soil-v1</x:v>
      </x:c>
    </x:row>
    <x:row r="5022">
      <x:c r="A5022" s="38" t="str">
        <x:v>7月30日现场数据</x:v>
      </x:c>
      <x:c r="B5022" s="39" t="str">
        <x:v>2026-08-04T22:05:00</x:v>
      </x:c>
      <x:c r="C5022" s="39" t="str">
        <x:v>2026-08-04T22:35:00</x:v>
      </x:c>
      <x:c r="D5022" s="47" t="n">
        <x:v>30</x:v>
      </x:c>
      <x:c r="E5022" s="40" t="n">
        <x:v>18.1</x:v>
      </x:c>
      <x:c r="F5022" s="40" t="n">
        <x:v>17.83743667602539</x:v>
      </x:c>
      <x:c r="G5022" s="40" t="n">
        <x:v>18.8</x:v>
      </x:c>
      <x:c r="H5022" s="40" t="n">
        <x:f>F5022-E5022</x:f>
        <x:v>-0.2625633239746108</x:v>
      </x:c>
      <x:c r="I5022" s="40" t="n">
        <x:f>ABS(H5022)</x:f>
        <x:v>0.2625633239746108</x:v>
      </x:c>
      <x:c r="J5022" s="40" t="n">
        <x:f>H5022^2</x:f>
        <x:v>0.06893949909659643</x:v>
      </x:c>
      <x:c r="K5022" s="40" t="n">
        <x:f>G5022-E5022</x:f>
        <x:v>0.6999999999999993</x:v>
      </x:c>
      <x:c r="L5022" s="40" t="n">
        <x:f>ABS(K5022)</x:f>
        <x:v>0.6999999999999993</x:v>
      </x:c>
      <x:c r="M5022" s="41" t="str">
        <x:v>lstm-soil-v1</x:v>
      </x:c>
    </x:row>
    <x:row r="5023">
      <x:c r="A5023" s="38" t="str">
        <x:v>7月30日现场数据</x:v>
      </x:c>
      <x:c r="B5023" s="39" t="str">
        <x:v>2026-08-04T22:05:00</x:v>
      </x:c>
      <x:c r="C5023" s="39" t="str">
        <x:v>2026-08-04T23:05:00</x:v>
      </x:c>
      <x:c r="D5023" s="47" t="n">
        <x:v>60</x:v>
      </x:c>
      <x:c r="E5023" s="40" t="n">
        <x:v>22.6</x:v>
      </x:c>
      <x:c r="F5023" s="40" t="n">
        <x:v>19.545066833496094</x:v>
      </x:c>
      <x:c r="G5023" s="40" t="n">
        <x:v>18.8</x:v>
      </x:c>
      <x:c r="H5023" s="40" t="n">
        <x:f>F5023-E5023</x:f>
        <x:v>-3.0549331665039077</x:v>
      </x:c>
      <x:c r="I5023" s="40" t="n">
        <x:f>ABS(H5023)</x:f>
        <x:v>3.0549331665039077</x:v>
      </x:c>
      <x:c r="J5023" s="40" t="n">
        <x:f>H5023^2</x:f>
        <x:v>9.332616651805592</x:v>
      </x:c>
      <x:c r="K5023" s="40" t="n">
        <x:f>G5023-E5023</x:f>
        <x:v>-3.8000000000000007</x:v>
      </x:c>
      <x:c r="L5023" s="40" t="n">
        <x:f>ABS(K5023)</x:f>
        <x:v>3.8000000000000007</x:v>
      </x:c>
      <x:c r="M5023" s="41" t="str">
        <x:v>lstm-soil-v1</x:v>
      </x:c>
    </x:row>
    <x:row r="5024">
      <x:c r="A5024" s="38" t="str">
        <x:v>7月30日现场数据</x:v>
      </x:c>
      <x:c r="B5024" s="39" t="str">
        <x:v>2026-08-04T22:10:00</x:v>
      </x:c>
      <x:c r="C5024" s="39" t="str">
        <x:v>2026-08-04T22:15:00</x:v>
      </x:c>
      <x:c r="D5024" s="47" t="n">
        <x:v>5</x:v>
      </x:c>
      <x:c r="E5024" s="40" t="n">
        <x:v>18.5</x:v>
      </x:c>
      <x:c r="F5024" s="40" t="n">
        <x:v>17.20791244506836</x:v>
      </x:c>
      <x:c r="G5024" s="40" t="n">
        <x:v>18.6</x:v>
      </x:c>
      <x:c r="H5024" s="40" t="n">
        <x:f>F5024-E5024</x:f>
        <x:v>-1.2920875549316406</x:v>
      </x:c>
      <x:c r="I5024" s="40" t="n">
        <x:f>ABS(H5024)</x:f>
        <x:v>1.2920875549316406</x:v>
      </x:c>
      <x:c r="J5024" s="40" t="n">
        <x:f>H5024^2</x:f>
        <x:v>1.6694902496092254</x:v>
      </x:c>
      <x:c r="K5024" s="40" t="n">
        <x:f>G5024-E5024</x:f>
        <x:v>0.10000000000000142</x:v>
      </x:c>
      <x:c r="L5024" s="40" t="n">
        <x:f>ABS(K5024)</x:f>
        <x:v>0.10000000000000142</x:v>
      </x:c>
      <x:c r="M5024" s="41" t="str">
        <x:v>lstm-soil-v1</x:v>
      </x:c>
    </x:row>
    <x:row r="5025">
      <x:c r="A5025" s="38" t="str">
        <x:v>7月30日现场数据</x:v>
      </x:c>
      <x:c r="B5025" s="39" t="str">
        <x:v>2026-08-04T22:10:00</x:v>
      </x:c>
      <x:c r="C5025" s="39" t="str">
        <x:v>2026-08-04T22:25:00</x:v>
      </x:c>
      <x:c r="D5025" s="47" t="n">
        <x:v>15</x:v>
      </x:c>
      <x:c r="E5025" s="40" t="n">
        <x:v>18.3</x:v>
      </x:c>
      <x:c r="F5025" s="40" t="n">
        <x:v>17.298583984375</x:v>
      </x:c>
      <x:c r="G5025" s="40" t="n">
        <x:v>18.6</x:v>
      </x:c>
      <x:c r="H5025" s="40" t="n">
        <x:f>F5025-E5025</x:f>
        <x:v>-1.0014160156250007</x:v>
      </x:c>
      <x:c r="I5025" s="40" t="n">
        <x:f>ABS(H5025)</x:f>
        <x:v>1.0014160156250007</x:v>
      </x:c>
      <x:c r="J5025" s="40" t="n">
        <x:f>H5025^2</x:f>
        <x:v>1.0028340363502517</x:v>
      </x:c>
      <x:c r="K5025" s="40" t="n">
        <x:f>G5025-E5025</x:f>
        <x:v>0.3000000000000007</x:v>
      </x:c>
      <x:c r="L5025" s="40" t="n">
        <x:f>ABS(K5025)</x:f>
        <x:v>0.3000000000000007</x:v>
      </x:c>
      <x:c r="M5025" s="41" t="str">
        <x:v>lstm-soil-v1</x:v>
      </x:c>
    </x:row>
    <x:row r="5026">
      <x:c r="A5026" s="38" t="str">
        <x:v>7月30日现场数据</x:v>
      </x:c>
      <x:c r="B5026" s="39" t="str">
        <x:v>2026-08-04T22:10:00</x:v>
      </x:c>
      <x:c r="C5026" s="39" t="str">
        <x:v>2026-08-04T22:40:00</x:v>
      </x:c>
      <x:c r="D5026" s="47" t="n">
        <x:v>30</x:v>
      </x:c>
      <x:c r="E5026" s="40" t="n">
        <x:v>18</x:v>
      </x:c>
      <x:c r="F5026" s="40" t="n">
        <x:v>17.613338470458984</x:v>
      </x:c>
      <x:c r="G5026" s="40" t="n">
        <x:v>18.6</x:v>
      </x:c>
      <x:c r="H5026" s="40" t="n">
        <x:f>F5026-E5026</x:f>
        <x:v>-0.3866615295410156</x:v>
      </x:c>
      <x:c r="I5026" s="40" t="n">
        <x:f>ABS(H5026)</x:f>
        <x:v>0.3866615295410156</x:v>
      </x:c>
      <x:c r="J5026" s="40" t="n">
        <x:f>H5026^2</x:f>
        <x:v>0.1495071384269977</x:v>
      </x:c>
      <x:c r="K5026" s="40" t="n">
        <x:f>G5026-E5026</x:f>
        <x:v>0.6000000000000014</x:v>
      </x:c>
      <x:c r="L5026" s="40" t="n">
        <x:f>ABS(K5026)</x:f>
        <x:v>0.6000000000000014</x:v>
      </x:c>
      <x:c r="M5026" s="41" t="str">
        <x:v>lstm-soil-v1</x:v>
      </x:c>
    </x:row>
    <x:row r="5027">
      <x:c r="A5027" s="38" t="str">
        <x:v>7月30日现场数据</x:v>
      </x:c>
      <x:c r="B5027" s="39" t="str">
        <x:v>2026-08-04T22:10:00</x:v>
      </x:c>
      <x:c r="C5027" s="39" t="str">
        <x:v>2026-08-04T23:10:00</x:v>
      </x:c>
      <x:c r="D5027" s="47" t="n">
        <x:v>60</x:v>
      </x:c>
      <x:c r="E5027" s="40" t="n">
        <x:v>21.5</x:v>
      </x:c>
      <x:c r="F5027" s="40" t="n">
        <x:v>19.317859649658203</x:v>
      </x:c>
      <x:c r="G5027" s="40" t="n">
        <x:v>18.6</x:v>
      </x:c>
      <x:c r="H5027" s="40" t="n">
        <x:f>F5027-E5027</x:f>
        <x:v>-2.182140350341797</x:v>
      </x:c>
      <x:c r="I5027" s="40" t="n">
        <x:f>ABS(H5027)</x:f>
        <x:v>2.182140350341797</x:v>
      </x:c>
      <x:c r="J5027" s="40" t="n">
        <x:f>H5027^2</x:f>
        <x:v>4.76173650858982</x:v>
      </x:c>
      <x:c r="K5027" s="40" t="n">
        <x:f>G5027-E5027</x:f>
        <x:v>-2.8999999999999986</x:v>
      </x:c>
      <x:c r="L5027" s="40" t="n">
        <x:f>ABS(K5027)</x:f>
        <x:v>2.8999999999999986</x:v>
      </x:c>
      <x:c r="M5027" s="41" t="str">
        <x:v>lstm-soil-v1</x:v>
      </x:c>
    </x:row>
    <x:row r="5028">
      <x:c r="A5028" s="38" t="str">
        <x:v>7月30日现场数据</x:v>
      </x:c>
      <x:c r="B5028" s="39" t="str">
        <x:v>2026-08-04T22:15:00</x:v>
      </x:c>
      <x:c r="C5028" s="39" t="str">
        <x:v>2026-08-04T22:20:00</x:v>
      </x:c>
      <x:c r="D5028" s="47" t="n">
        <x:v>5</x:v>
      </x:c>
      <x:c r="E5028" s="40" t="n">
        <x:v>18.4</x:v>
      </x:c>
      <x:c r="F5028" s="40" t="n">
        <x:v>17.094898223876953</x:v>
      </x:c>
      <x:c r="G5028" s="40" t="n">
        <x:v>18.5</x:v>
      </x:c>
      <x:c r="H5028" s="40" t="n">
        <x:f>F5028-E5028</x:f>
        <x:v>-1.3051017761230455</x:v>
      </x:c>
      <x:c r="I5028" s="40" t="n">
        <x:f>ABS(H5028)</x:f>
        <x:v>1.3051017761230455</x:v>
      </x:c>
      <x:c r="J5028" s="40" t="n">
        <x:f>H5028^2</x:f>
        <x:v>1.7032906460395278</x:v>
      </x:c>
      <x:c r="K5028" s="40" t="n">
        <x:f>G5028-E5028</x:f>
        <x:v>0.10000000000000142</x:v>
      </x:c>
      <x:c r="L5028" s="40" t="n">
        <x:f>ABS(K5028)</x:f>
        <x:v>0.10000000000000142</x:v>
      </x:c>
      <x:c r="M5028" s="41" t="str">
        <x:v>lstm-soil-v1</x:v>
      </x:c>
    </x:row>
    <x:row r="5029">
      <x:c r="A5029" s="38" t="str">
        <x:v>7月30日现场数据</x:v>
      </x:c>
      <x:c r="B5029" s="39" t="str">
        <x:v>2026-08-04T22:15:00</x:v>
      </x:c>
      <x:c r="C5029" s="39" t="str">
        <x:v>2026-08-04T22:30:00</x:v>
      </x:c>
      <x:c r="D5029" s="47" t="n">
        <x:v>15</x:v>
      </x:c>
      <x:c r="E5029" s="40" t="n">
        <x:v>18.2</x:v>
      </x:c>
      <x:c r="F5029" s="40" t="n">
        <x:v>17.186080932617188</x:v>
      </x:c>
      <x:c r="G5029" s="40" t="n">
        <x:v>18.5</x:v>
      </x:c>
      <x:c r="H5029" s="40" t="n">
        <x:f>F5029-E5029</x:f>
        <x:v>-1.0139190673828118</x:v>
      </x:c>
      <x:c r="I5029" s="40" t="n">
        <x:f>ABS(H5029)</x:f>
        <x:v>1.0139190673828118</x:v>
      </x:c>
      <x:c r="J5029" s="40" t="n">
        <x:f>H5029^2</x:f>
        <x:v>1.028031875202431</x:v>
      </x:c>
      <x:c r="K5029" s="40" t="n">
        <x:f>G5029-E5029</x:f>
        <x:v>0.3000000000000007</x:v>
      </x:c>
      <x:c r="L5029" s="40" t="n">
        <x:f>ABS(K5029)</x:f>
        <x:v>0.3000000000000007</x:v>
      </x:c>
      <x:c r="M5029" s="41" t="str">
        <x:v>lstm-soil-v1</x:v>
      </x:c>
    </x:row>
    <x:row r="5030">
      <x:c r="A5030" s="38" t="str">
        <x:v>7月30日现场数据</x:v>
      </x:c>
      <x:c r="B5030" s="39" t="str">
        <x:v>2026-08-04T22:15:00</x:v>
      </x:c>
      <x:c r="C5030" s="39" t="str">
        <x:v>2026-08-04T22:45:00</x:v>
      </x:c>
      <x:c r="D5030" s="47" t="n">
        <x:v>30</x:v>
      </x:c>
      <x:c r="E5030" s="40" t="n">
        <x:v>18.1</x:v>
      </x:c>
      <x:c r="F5030" s="40" t="n">
        <x:v>17.501792907714844</x:v>
      </x:c>
      <x:c r="G5030" s="40" t="n">
        <x:v>18.5</x:v>
      </x:c>
      <x:c r="H5030" s="40" t="n">
        <x:f>F5030-E5030</x:f>
        <x:v>-0.5982070922851577</x:v>
      </x:c>
      <x:c r="I5030" s="40" t="n">
        <x:f>ABS(H5030)</x:f>
        <x:v>0.5982070922851577</x:v>
      </x:c>
      <x:c r="J5030" s="40" t="n">
        <x:f>H5030^2</x:f>
        <x:v>0.35785172526026315</x:v>
      </x:c>
      <x:c r="K5030" s="40" t="n">
        <x:f>G5030-E5030</x:f>
        <x:v>0.3999999999999986</x:v>
      </x:c>
      <x:c r="L5030" s="40" t="n">
        <x:f>ABS(K5030)</x:f>
        <x:v>0.3999999999999986</x:v>
      </x:c>
      <x:c r="M5030" s="41" t="str">
        <x:v>lstm-soil-v1</x:v>
      </x:c>
    </x:row>
    <x:row r="5031">
      <x:c r="A5031" s="38" t="str">
        <x:v>7月30日现场数据</x:v>
      </x:c>
      <x:c r="B5031" s="39" t="str">
        <x:v>2026-08-04T22:15:00</x:v>
      </x:c>
      <x:c r="C5031" s="39" t="str">
        <x:v>2026-08-04T23:15:00</x:v>
      </x:c>
      <x:c r="D5031" s="47" t="n">
        <x:v>60</x:v>
      </x:c>
      <x:c r="E5031" s="40" t="n">
        <x:v>20.8</x:v>
      </x:c>
      <x:c r="F5031" s="40" t="n">
        <x:v>19.203594207763672</x:v>
      </x:c>
      <x:c r="G5031" s="40" t="n">
        <x:v>18.5</x:v>
      </x:c>
      <x:c r="H5031" s="40" t="n">
        <x:f>F5031-E5031</x:f>
        <x:v>-1.5964057922363288</x:v>
      </x:c>
      <x:c r="I5031" s="40" t="n">
        <x:f>ABS(H5031)</x:f>
        <x:v>1.5964057922363288</x:v>
      </x:c>
      <x:c r="J5031" s="40" t="n">
        <x:f>H5031^2</x:f>
        <x:v>2.5485114534857005</x:v>
      </x:c>
      <x:c r="K5031" s="40" t="n">
        <x:f>G5031-E5031</x:f>
        <x:v>-2.3000000000000007</x:v>
      </x:c>
      <x:c r="L5031" s="40" t="n">
        <x:f>ABS(K5031)</x:f>
        <x:v>2.3000000000000007</x:v>
      </x:c>
      <x:c r="M5031" s="41" t="str">
        <x:v>lstm-soil-v1</x:v>
      </x:c>
    </x:row>
    <x:row r="5032">
      <x:c r="A5032" s="38" t="str">
        <x:v>7月30日现场数据</x:v>
      </x:c>
      <x:c r="B5032" s="39" t="str">
        <x:v>2026-08-04T22:20:00</x:v>
      </x:c>
      <x:c r="C5032" s="39" t="str">
        <x:v>2026-08-04T22:25:00</x:v>
      </x:c>
      <x:c r="D5032" s="47" t="n">
        <x:v>5</x:v>
      </x:c>
      <x:c r="E5032" s="40" t="n">
        <x:v>18.3</x:v>
      </x:c>
      <x:c r="F5032" s="40" t="n">
        <x:v>16.98314666748047</x:v>
      </x:c>
      <x:c r="G5032" s="40" t="n">
        <x:v>18.4</x:v>
      </x:c>
      <x:c r="H5032" s="40" t="n">
        <x:f>F5032-E5032</x:f>
        <x:v>-1.316853332519532</x:v>
      </x:c>
      <x:c r="I5032" s="40" t="n">
        <x:f>ABS(H5032)</x:f>
        <x:v>1.316853332519532</x:v>
      </x:c>
      <x:c r="J5032" s="40" t="n">
        <x:f>H5032^2</x:f>
        <x:v>1.734102699367797</x:v>
      </x:c>
      <x:c r="K5032" s="40" t="n">
        <x:f>G5032-E5032</x:f>
        <x:v>0.09999999999999787</x:v>
      </x:c>
      <x:c r="L5032" s="40" t="n">
        <x:f>ABS(K5032)</x:f>
        <x:v>0.09999999999999787</x:v>
      </x:c>
      <x:c r="M5032" s="41" t="str">
        <x:v>lstm-soil-v1</x:v>
      </x:c>
    </x:row>
    <x:row r="5033">
      <x:c r="A5033" s="38" t="str">
        <x:v>7月30日现场数据</x:v>
      </x:c>
      <x:c r="B5033" s="39" t="str">
        <x:v>2026-08-04T22:20:00</x:v>
      </x:c>
      <x:c r="C5033" s="39" t="str">
        <x:v>2026-08-04T22:35:00</x:v>
      </x:c>
      <x:c r="D5033" s="47" t="n">
        <x:v>15</x:v>
      </x:c>
      <x:c r="E5033" s="40" t="n">
        <x:v>18.1</x:v>
      </x:c>
      <x:c r="F5033" s="40" t="n">
        <x:v>17.074234008789062</x:v>
      </x:c>
      <x:c r="G5033" s="40" t="n">
        <x:v>18.4</x:v>
      </x:c>
      <x:c r="H5033" s="40" t="n">
        <x:f>F5033-E5033</x:f>
        <x:v>-1.025765991210939</x:v>
      </x:c>
      <x:c r="I5033" s="40" t="n">
        <x:f>ABS(H5033)</x:f>
        <x:v>1.025765991210939</x:v>
      </x:c>
      <x:c r="J5033" s="40" t="n">
        <x:f>H5033^2</x:f>
        <x:v>1.05219586872496</x:v>
      </x:c>
      <x:c r="K5033" s="40" t="n">
        <x:f>G5033-E5033</x:f>
        <x:v>0.29999999999999716</x:v>
      </x:c>
      <x:c r="L5033" s="40" t="n">
        <x:f>ABS(K5033)</x:f>
        <x:v>0.29999999999999716</x:v>
      </x:c>
      <x:c r="M5033" s="41" t="str">
        <x:v>lstm-soil-v1</x:v>
      </x:c>
    </x:row>
    <x:row r="5034">
      <x:c r="A5034" s="38" t="str">
        <x:v>7月30日现场数据</x:v>
      </x:c>
      <x:c r="B5034" s="39" t="str">
        <x:v>2026-08-04T22:20:00</x:v>
      </x:c>
      <x:c r="C5034" s="39" t="str">
        <x:v>2026-08-04T22:50:00</x:v>
      </x:c>
      <x:c r="D5034" s="47" t="n">
        <x:v>30</x:v>
      </x:c>
      <x:c r="E5034" s="40" t="n">
        <x:v>18</x:v>
      </x:c>
      <x:c r="F5034" s="40" t="n">
        <x:v>17.391998291015625</x:v>
      </x:c>
      <x:c r="G5034" s="40" t="n">
        <x:v>18.4</x:v>
      </x:c>
      <x:c r="H5034" s="40" t="n">
        <x:f>F5034-E5034</x:f>
        <x:v>-0.608001708984375</x:v>
      </x:c>
      <x:c r="I5034" s="40" t="n">
        <x:f>ABS(H5034)</x:f>
        <x:v>0.608001708984375</x:v>
      </x:c>
      <x:c r="J5034" s="40" t="n">
        <x:f>H5034^2</x:f>
        <x:v>0.3696660781279206</x:v>
      </x:c>
      <x:c r="K5034" s="40" t="n">
        <x:f>G5034-E5034</x:f>
        <x:v>0.3999999999999986</x:v>
      </x:c>
      <x:c r="L5034" s="40" t="n">
        <x:f>ABS(K5034)</x:f>
        <x:v>0.3999999999999986</x:v>
      </x:c>
      <x:c r="M5034" s="41" t="str">
        <x:v>lstm-soil-v1</x:v>
      </x:c>
    </x:row>
    <x:row r="5035">
      <x:c r="A5035" s="38" t="str">
        <x:v>7月30日现场数据</x:v>
      </x:c>
      <x:c r="B5035" s="39" t="str">
        <x:v>2026-08-04T22:20:00</x:v>
      </x:c>
      <x:c r="C5035" s="39" t="str">
        <x:v>2026-08-04T23:20:00</x:v>
      </x:c>
      <x:c r="D5035" s="47" t="n">
        <x:v>60</x:v>
      </x:c>
      <x:c r="E5035" s="40" t="n">
        <x:v>20.6</x:v>
      </x:c>
      <x:c r="F5035" s="40" t="n">
        <x:v>19.091468811035156</x:v>
      </x:c>
      <x:c r="G5035" s="40" t="n">
        <x:v>18.4</x:v>
      </x:c>
      <x:c r="H5035" s="40" t="n">
        <x:f>F5035-E5035</x:f>
        <x:v>-1.5085311889648452</x:v>
      </x:c>
      <x:c r="I5035" s="40" t="n">
        <x:f>ABS(H5035)</x:f>
        <x:v>1.5085311889648452</x:v>
      </x:c>
      <x:c r="J5035" s="40" t="n">
        <x:f>H5035^2</x:f>
        <x:v>2.2756663480796893</x:v>
      </x:c>
      <x:c r="K5035" s="40" t="n">
        <x:f>G5035-E5035</x:f>
        <x:v>-2.200000000000003</x:v>
      </x:c>
      <x:c r="L5035" s="40" t="n">
        <x:f>ABS(K5035)</x:f>
        <x:v>2.200000000000003</x:v>
      </x:c>
      <x:c r="M5035" s="41" t="str">
        <x:v>lstm-soil-v1</x:v>
      </x:c>
    </x:row>
    <x:row r="5036">
      <x:c r="A5036" s="38" t="str">
        <x:v>7月30日现场数据</x:v>
      </x:c>
      <x:c r="B5036" s="39" t="str">
        <x:v>2026-08-04T22:25:00</x:v>
      </x:c>
      <x:c r="C5036" s="39" t="str">
        <x:v>2026-08-04T22:30:00</x:v>
      </x:c>
      <x:c r="D5036" s="47" t="n">
        <x:v>5</x:v>
      </x:c>
      <x:c r="E5036" s="40" t="n">
        <x:v>18.2</x:v>
      </x:c>
      <x:c r="F5036" s="40" t="n">
        <x:v>16.87220001220703</x:v>
      </x:c>
      <x:c r="G5036" s="40" t="n">
        <x:v>18.3</x:v>
      </x:c>
      <x:c r="H5036" s="40" t="n">
        <x:f>F5036-E5036</x:f>
        <x:v>-1.327799987792968</x:v>
      </x:c>
      <x:c r="I5036" s="40" t="n">
        <x:f>ABS(H5036)</x:f>
        <x:v>1.327799987792968</x:v>
      </x:c>
      <x:c r="J5036" s="40" t="n">
        <x:f>H5036^2</x:f>
        <x:v>1.763052807583006</x:v>
      </x:c>
      <x:c r="K5036" s="40" t="n">
        <x:f>G5036-E5036</x:f>
        <x:v>0.10000000000000142</x:v>
      </x:c>
      <x:c r="L5036" s="40" t="n">
        <x:f>ABS(K5036)</x:f>
        <x:v>0.10000000000000142</x:v>
      </x:c>
      <x:c r="M5036" s="41" t="str">
        <x:v>lstm-soil-v1</x:v>
      </x:c>
    </x:row>
    <x:row r="5037">
      <x:c r="A5037" s="38" t="str">
        <x:v>7月30日现场数据</x:v>
      </x:c>
      <x:c r="B5037" s="39" t="str">
        <x:v>2026-08-04T22:25:00</x:v>
      </x:c>
      <x:c r="C5037" s="39" t="str">
        <x:v>2026-08-04T22:40:00</x:v>
      </x:c>
      <x:c r="D5037" s="47" t="n">
        <x:v>15</x:v>
      </x:c>
      <x:c r="E5037" s="40" t="n">
        <x:v>18</x:v>
      </x:c>
      <x:c r="F5037" s="40" t="n">
        <x:v>16.962909698486328</x:v>
      </x:c>
      <x:c r="G5037" s="40" t="n">
        <x:v>18.3</x:v>
      </x:c>
      <x:c r="H5037" s="40" t="n">
        <x:f>F5037-E5037</x:f>
        <x:v>-1.0370903015136719</x:v>
      </x:c>
      <x:c r="I5037" s="40" t="n">
        <x:f>ABS(H5037)</x:f>
        <x:v>1.0370903015136719</x:v>
      </x:c>
      <x:c r="J5037" s="40" t="n">
        <x:f>H5037^2</x:f>
        <x:v>1.0755562934937188</x:v>
      </x:c>
      <x:c r="K5037" s="40" t="n">
        <x:f>G5037-E5037</x:f>
        <x:v>0.3000000000000007</x:v>
      </x:c>
      <x:c r="L5037" s="40" t="n">
        <x:f>ABS(K5037)</x:f>
        <x:v>0.3000000000000007</x:v>
      </x:c>
      <x:c r="M5037" s="41" t="str">
        <x:v>lstm-soil-v1</x:v>
      </x:c>
    </x:row>
    <x:row r="5038">
      <x:c r="A5038" s="38" t="str">
        <x:v>7月30日现场数据</x:v>
      </x:c>
      <x:c r="B5038" s="39" t="str">
        <x:v>2026-08-04T22:25:00</x:v>
      </x:c>
      <x:c r="C5038" s="39" t="str">
        <x:v>2026-08-04T22:55:00</x:v>
      </x:c>
      <x:c r="D5038" s="47" t="n">
        <x:v>30</x:v>
      </x:c>
      <x:c r="E5038" s="40" t="n">
        <x:v>18.6</x:v>
      </x:c>
      <x:c r="F5038" s="40" t="n">
        <x:v>17.283248901367188</x:v>
      </x:c>
      <x:c r="G5038" s="40" t="n">
        <x:v>18.3</x:v>
      </x:c>
      <x:c r="H5038" s="40" t="n">
        <x:f>F5038-E5038</x:f>
        <x:v>-1.316751098632814</x:v>
      </x:c>
      <x:c r="I5038" s="40" t="n">
        <x:f>ABS(H5038)</x:f>
        <x:v>1.316751098632814</x:v>
      </x:c>
      <x:c r="J5038" s="40" t="n">
        <x:f>H5038^2</x:f>
        <x:v>1.7338334557507225</x:v>
      </x:c>
      <x:c r="K5038" s="40" t="n">
        <x:f>G5038-E5038</x:f>
        <x:v>-0.3000000000000007</x:v>
      </x:c>
      <x:c r="L5038" s="40" t="n">
        <x:f>ABS(K5038)</x:f>
        <x:v>0.3000000000000007</x:v>
      </x:c>
      <x:c r="M5038" s="41" t="str">
        <x:v>lstm-soil-v1</x:v>
      </x:c>
    </x:row>
    <x:row r="5039">
      <x:c r="A5039" s="38" t="str">
        <x:v>7月30日现场数据</x:v>
      </x:c>
      <x:c r="B5039" s="39" t="str">
        <x:v>2026-08-04T22:25:00</x:v>
      </x:c>
      <x:c r="C5039" s="39" t="str">
        <x:v>2026-08-04T23:25:00</x:v>
      </x:c>
      <x:c r="D5039" s="47" t="n">
        <x:v>60</x:v>
      </x:c>
      <x:c r="E5039" s="40" t="n">
        <x:v>19.9</x:v>
      </x:c>
      <x:c r="F5039" s="40" t="n">
        <x:v>18.980693817138672</x:v>
      </x:c>
      <x:c r="G5039" s="40" t="n">
        <x:v>18.3</x:v>
      </x:c>
      <x:c r="H5039" s="40" t="n">
        <x:f>F5039-E5039</x:f>
        <x:v>-0.9193061828613267</x:v>
      </x:c>
      <x:c r="I5039" s="40" t="n">
        <x:f>ABS(H5039)</x:f>
        <x:v>0.9193061828613267</x:v>
      </x:c>
      <x:c r="J5039" s="40" t="n">
        <x:f>H5039^2</x:f>
        <x:v>0.845123857847063</x:v>
      </x:c>
      <x:c r="K5039" s="40" t="n">
        <x:f>G5039-E5039</x:f>
        <x:v>-1.5999999999999979</x:v>
      </x:c>
      <x:c r="L5039" s="40" t="n">
        <x:f>ABS(K5039)</x:f>
        <x:v>1.5999999999999979</x:v>
      </x:c>
      <x:c r="M5039" s="41" t="str">
        <x:v>lstm-soil-v1</x:v>
      </x:c>
    </x:row>
    <x:row r="5040">
      <x:c r="A5040" s="38" t="str">
        <x:v>7月30日现场数据</x:v>
      </x:c>
      <x:c r="B5040" s="39" t="str">
        <x:v>2026-08-04T22:30:00</x:v>
      </x:c>
      <x:c r="C5040" s="39" t="str">
        <x:v>2026-08-04T22:35:00</x:v>
      </x:c>
      <x:c r="D5040" s="47" t="n">
        <x:v>5</x:v>
      </x:c>
      <x:c r="E5040" s="40" t="n">
        <x:v>18.1</x:v>
      </x:c>
      <x:c r="F5040" s="40" t="n">
        <x:v>16.761714935302734</x:v>
      </x:c>
      <x:c r="G5040" s="40" t="n">
        <x:v>18.2</x:v>
      </x:c>
      <x:c r="H5040" s="40" t="n">
        <x:f>F5040-E5040</x:f>
        <x:v>-1.338285064697267</x:v>
      </x:c>
      <x:c r="I5040" s="40" t="n">
        <x:f>ABS(H5040)</x:f>
        <x:v>1.338285064697267</x:v>
      </x:c>
      <x:c r="J5040" s="40" t="n">
        <x:f>H5040^2</x:f>
        <x:v>1.7910069143917682</x:v>
      </x:c>
      <x:c r="K5040" s="40" t="n">
        <x:f>G5040-E5040</x:f>
        <x:v>0.09999999999999787</x:v>
      </x:c>
      <x:c r="L5040" s="40" t="n">
        <x:f>ABS(K5040)</x:f>
        <x:v>0.09999999999999787</x:v>
      </x:c>
      <x:c r="M5040" s="41" t="str">
        <x:v>lstm-soil-v1</x:v>
      </x:c>
    </x:row>
    <x:row r="5041">
      <x:c r="A5041" s="38" t="str">
        <x:v>7月30日现场数据</x:v>
      </x:c>
      <x:c r="B5041" s="39" t="str">
        <x:v>2026-08-04T22:30:00</x:v>
      </x:c>
      <x:c r="C5041" s="39" t="str">
        <x:v>2026-08-04T22:45:00</x:v>
      </x:c>
      <x:c r="D5041" s="47" t="n">
        <x:v>15</x:v>
      </x:c>
      <x:c r="E5041" s="40" t="n">
        <x:v>18.1</x:v>
      </x:c>
      <x:c r="F5041" s="40" t="n">
        <x:v>16.85189437866211</x:v>
      </x:c>
      <x:c r="G5041" s="40" t="n">
        <x:v>18.2</x:v>
      </x:c>
      <x:c r="H5041" s="40" t="n">
        <x:f>F5041-E5041</x:f>
        <x:v>-1.248105621337892</x:v>
      </x:c>
      <x:c r="I5041" s="40" t="n">
        <x:f>ABS(H5041)</x:f>
        <x:v>1.248105621337892</x:v>
      </x:c>
      <x:c r="J5041" s="40" t="n">
        <x:f>H5041^2</x:f>
        <x:v>1.5577676420152455</x:v>
      </x:c>
      <x:c r="K5041" s="40" t="n">
        <x:f>G5041-E5041</x:f>
        <x:v>0.09999999999999787</x:v>
      </x:c>
      <x:c r="L5041" s="40" t="n">
        <x:f>ABS(K5041)</x:f>
        <x:v>0.09999999999999787</x:v>
      </x:c>
      <x:c r="M5041" s="41" t="str">
        <x:v>lstm-soil-v1</x:v>
      </x:c>
    </x:row>
    <x:row r="5042">
      <x:c r="A5042" s="38" t="str">
        <x:v>7月30日现场数据</x:v>
      </x:c>
      <x:c r="B5042" s="39" t="str">
        <x:v>2026-08-04T22:30:00</x:v>
      </x:c>
      <x:c r="C5042" s="39" t="str">
        <x:v>2026-08-04T23:00:00</x:v>
      </x:c>
      <x:c r="D5042" s="47" t="n">
        <x:v>30</x:v>
      </x:c>
      <x:c r="E5042" s="40" t="n">
        <x:v>23.5</x:v>
      </x:c>
      <x:c r="F5042" s="40" t="n">
        <x:v>17.175037384033203</x:v>
      </x:c>
      <x:c r="G5042" s="40" t="n">
        <x:v>18.2</x:v>
      </x:c>
      <x:c r="H5042" s="40" t="n">
        <x:f>F5042-E5042</x:f>
        <x:v>-6.324962615966797</x:v>
      </x:c>
      <x:c r="I5042" s="40" t="n">
        <x:f>ABS(H5042)</x:f>
        <x:v>6.324962615966797</x:v>
      </x:c>
      <x:c r="J5042" s="40" t="n">
        <x:f>H5042^2</x:f>
        <x:v>40.005152093377546</x:v>
      </x:c>
      <x:c r="K5042" s="40" t="n">
        <x:f>G5042-E5042</x:f>
        <x:v>-5.300000000000001</x:v>
      </x:c>
      <x:c r="L5042" s="40" t="n">
        <x:f>ABS(K5042)</x:f>
        <x:v>5.300000000000001</x:v>
      </x:c>
      <x:c r="M5042" s="41" t="str">
        <x:v>lstm-soil-v1</x:v>
      </x:c>
    </x:row>
    <x:row r="5043">
      <x:c r="A5043" s="38" t="str">
        <x:v>7月30日现场数据</x:v>
      </x:c>
      <x:c r="B5043" s="39" t="str">
        <x:v>2026-08-04T22:30:00</x:v>
      </x:c>
      <x:c r="C5043" s="39" t="str">
        <x:v>2026-08-04T23:30:00</x:v>
      </x:c>
      <x:c r="D5043" s="47" t="n">
        <x:v>60</x:v>
      </x:c>
      <x:c r="E5043" s="40" t="n">
        <x:v>19.7</x:v>
      </x:c>
      <x:c r="F5043" s="40" t="n">
        <x:v>18.870704650878906</x:v>
      </x:c>
      <x:c r="G5043" s="40" t="n">
        <x:v>18.2</x:v>
      </x:c>
      <x:c r="H5043" s="40" t="n">
        <x:f>F5043-E5043</x:f>
        <x:v>-0.829295349121093</x:v>
      </x:c>
      <x:c r="I5043" s="40" t="n">
        <x:f>ABS(H5043)</x:f>
        <x:v>0.829295349121093</x:v>
      </x:c>
      <x:c r="J5043" s="40" t="n">
        <x:f>H5043^2</x:f>
        <x:v>0.6877307760738756</x:v>
      </x:c>
      <x:c r="K5043" s="40" t="n">
        <x:f>G5043-E5043</x:f>
        <x:v>-1.5</x:v>
      </x:c>
      <x:c r="L5043" s="40" t="n">
        <x:f>ABS(K5043)</x:f>
        <x:v>1.5</x:v>
      </x:c>
      <x:c r="M5043" s="41" t="str">
        <x:v>lstm-soil-v1</x:v>
      </x:c>
    </x:row>
    <x:row r="5044">
      <x:c r="A5044" s="38" t="str">
        <x:v>7月30日现场数据</x:v>
      </x:c>
      <x:c r="B5044" s="39" t="str">
        <x:v>2026-08-04T22:35:00</x:v>
      </x:c>
      <x:c r="C5044" s="39" t="str">
        <x:v>2026-08-04T22:40:00</x:v>
      </x:c>
      <x:c r="D5044" s="47" t="n">
        <x:v>5</x:v>
      </x:c>
      <x:c r="E5044" s="40" t="n">
        <x:v>18</x:v>
      </x:c>
      <x:c r="F5044" s="40" t="n">
        <x:v>16.651527404785156</x:v>
      </x:c>
      <x:c r="G5044" s="40" t="n">
        <x:v>18.1</x:v>
      </x:c>
      <x:c r="H5044" s="40" t="n">
        <x:f>F5044-E5044</x:f>
        <x:v>-1.3484725952148438</x:v>
      </x:c>
      <x:c r="I5044" s="40" t="n">
        <x:f>ABS(H5044)</x:f>
        <x:v>1.3484725952148438</x:v>
      </x:c>
      <x:c r="J5044" s="40" t="n">
        <x:f>H5044^2</x:f>
        <x:v>1.8183783400454558</x:v>
      </x:c>
      <x:c r="K5044" s="40" t="n">
        <x:f>G5044-E5044</x:f>
        <x:v>0.10000000000000142</x:v>
      </x:c>
      <x:c r="L5044" s="40" t="n">
        <x:f>ABS(K5044)</x:f>
        <x:v>0.10000000000000142</x:v>
      </x:c>
      <x:c r="M5044" s="41" t="str">
        <x:v>lstm-soil-v1</x:v>
      </x:c>
    </x:row>
    <x:row r="5045">
      <x:c r="A5045" s="38" t="str">
        <x:v>7月30日现场数据</x:v>
      </x:c>
      <x:c r="B5045" s="39" t="str">
        <x:v>2026-08-04T22:35:00</x:v>
      </x:c>
      <x:c r="C5045" s="39" t="str">
        <x:v>2026-08-04T22:50:00</x:v>
      </x:c>
      <x:c r="D5045" s="47" t="n">
        <x:v>15</x:v>
      </x:c>
      <x:c r="E5045" s="40" t="n">
        <x:v>18</x:v>
      </x:c>
      <x:c r="F5045" s="40" t="n">
        <x:v>16.741092681884766</x:v>
      </x:c>
      <x:c r="G5045" s="40" t="n">
        <x:v>18.1</x:v>
      </x:c>
      <x:c r="H5045" s="40" t="n">
        <x:f>F5045-E5045</x:f>
        <x:v>-1.2589073181152344</x:v>
      </x:c>
      <x:c r="I5045" s="40" t="n">
        <x:f>ABS(H5045)</x:f>
        <x:v>1.2589073181152344</x:v>
      </x:c>
      <x:c r="J5045" s="40" t="n">
        <x:f>H5045^2</x:f>
        <x:v>1.584847635604092</x:v>
      </x:c>
      <x:c r="K5045" s="40" t="n">
        <x:f>G5045-E5045</x:f>
        <x:v>0.10000000000000142</x:v>
      </x:c>
      <x:c r="L5045" s="40" t="n">
        <x:f>ABS(K5045)</x:f>
        <x:v>0.10000000000000142</x:v>
      </x:c>
      <x:c r="M5045" s="41" t="str">
        <x:v>lstm-soil-v1</x:v>
      </x:c>
    </x:row>
    <x:row r="5046">
      <x:c r="A5046" s="38" t="str">
        <x:v>7月30日现场数据</x:v>
      </x:c>
      <x:c r="B5046" s="39" t="str">
        <x:v>2026-08-04T22:35:00</x:v>
      </x:c>
      <x:c r="C5046" s="39" t="str">
        <x:v>2026-08-04T23:05:00</x:v>
      </x:c>
      <x:c r="D5046" s="47" t="n">
        <x:v>30</x:v>
      </x:c>
      <x:c r="E5046" s="40" t="n">
        <x:v>22.6</x:v>
      </x:c>
      <x:c r="F5046" s="40" t="n">
        <x:v>17.067138671875</x:v>
      </x:c>
      <x:c r="G5046" s="40" t="n">
        <x:v>18.1</x:v>
      </x:c>
      <x:c r="H5046" s="40" t="n">
        <x:f>F5046-E5046</x:f>
        <x:v>-5.532861328125001</x:v>
      </x:c>
      <x:c r="I5046" s="40" t="n">
        <x:f>ABS(H5046)</x:f>
        <x:v>5.532861328125001</x:v>
      </x:c>
      <x:c r="J5046" s="40" t="n">
        <x:f>H5046^2</x:f>
        <x:v>30.612554476261156</x:v>
      </x:c>
      <x:c r="K5046" s="40" t="n">
        <x:f>G5046-E5046</x:f>
        <x:v>-4.5</x:v>
      </x:c>
      <x:c r="L5046" s="40" t="n">
        <x:f>ABS(K5046)</x:f>
        <x:v>4.5</x:v>
      </x:c>
      <x:c r="M5046" s="41" t="str">
        <x:v>lstm-soil-v1</x:v>
      </x:c>
    </x:row>
    <x:row r="5047">
      <x:c r="A5047" s="38" t="str">
        <x:v>7月30日现场数据</x:v>
      </x:c>
      <x:c r="B5047" s="39" t="str">
        <x:v>2026-08-04T22:35:00</x:v>
      </x:c>
      <x:c r="C5047" s="39" t="str">
        <x:v>2026-08-04T23:35:00</x:v>
      </x:c>
      <x:c r="D5047" s="47" t="n">
        <x:v>60</x:v>
      </x:c>
      <x:c r="E5047" s="40" t="n">
        <x:v>19.6</x:v>
      </x:c>
      <x:c r="F5047" s="40" t="n">
        <x:v>18.761199951171875</x:v>
      </x:c>
      <x:c r="G5047" s="40" t="n">
        <x:v>18.1</x:v>
      </x:c>
      <x:c r="H5047" s="40" t="n">
        <x:f>F5047-E5047</x:f>
        <x:v>-0.8388000488281264</x:v>
      </x:c>
      <x:c r="I5047" s="40" t="n">
        <x:f>ABS(H5047)</x:f>
        <x:v>0.8388000488281264</x:v>
      </x:c>
      <x:c r="J5047" s="40" t="n">
        <x:f>H5047^2</x:f>
        <x:v>0.7035855219140673</x:v>
      </x:c>
      <x:c r="K5047" s="40" t="n">
        <x:f>G5047-E5047</x:f>
        <x:v>-1.5</x:v>
      </x:c>
      <x:c r="L5047" s="40" t="n">
        <x:f>ABS(K5047)</x:f>
        <x:v>1.5</x:v>
      </x:c>
      <x:c r="M5047" s="41" t="str">
        <x:v>lstm-soil-v1</x:v>
      </x:c>
    </x:row>
    <x:row r="5048">
      <x:c r="A5048" s="38" t="str">
        <x:v>7月30日现场数据</x:v>
      </x:c>
      <x:c r="B5048" s="39" t="str">
        <x:v>2026-08-04T22:40:00</x:v>
      </x:c>
      <x:c r="C5048" s="39" t="str">
        <x:v>2026-08-04T22:45:00</x:v>
      </x:c>
      <x:c r="D5048" s="47" t="n">
        <x:v>5</x:v>
      </x:c>
      <x:c r="E5048" s="40" t="n">
        <x:v>18.1</x:v>
      </x:c>
      <x:c r="F5048" s="40" t="n">
        <x:v>16.541427612304688</x:v>
      </x:c>
      <x:c r="G5048" s="40" t="n">
        <x:v>18</x:v>
      </x:c>
      <x:c r="H5048" s="40" t="n">
        <x:f>F5048-E5048</x:f>
        <x:v>-1.558572387695314</x:v>
      </x:c>
      <x:c r="I5048" s="40" t="n">
        <x:f>ABS(H5048)</x:f>
        <x:v>1.558572387695314</x:v>
      </x:c>
      <x:c r="J5048" s="40" t="n">
        <x:f>H5048^2</x:f>
        <x:v>2.429147887686272</x:v>
      </x:c>
      <x:c r="K5048" s="40" t="n">
        <x:f>G5048-E5048</x:f>
        <x:v>-0.10000000000000142</x:v>
      </x:c>
      <x:c r="L5048" s="40" t="n">
        <x:f>ABS(K5048)</x:f>
        <x:v>0.10000000000000142</x:v>
      </x:c>
      <x:c r="M5048" s="41" t="str">
        <x:v>lstm-soil-v1</x:v>
      </x:c>
    </x:row>
    <x:row r="5049">
      <x:c r="A5049" s="38" t="str">
        <x:v>7月30日现场数据</x:v>
      </x:c>
      <x:c r="B5049" s="39" t="str">
        <x:v>2026-08-04T22:40:00</x:v>
      </x:c>
      <x:c r="C5049" s="39" t="str">
        <x:v>2026-08-04T22:55:00</x:v>
      </x:c>
      <x:c r="D5049" s="47" t="n">
        <x:v>15</x:v>
      </x:c>
      <x:c r="E5049" s="40" t="n">
        <x:v>18.6</x:v>
      </x:c>
      <x:c r="F5049" s="40" t="n">
        <x:v>16.630359649658203</x:v>
      </x:c>
      <x:c r="G5049" s="40" t="n">
        <x:v>18</x:v>
      </x:c>
      <x:c r="H5049" s="40" t="n">
        <x:f>F5049-E5049</x:f>
        <x:v>-1.9696403503417983</x:v>
      </x:c>
      <x:c r="I5049" s="40" t="n">
        <x:f>ABS(H5049)</x:f>
        <x:v>1.9696403503417983</x:v>
      </x:c>
      <x:c r="J5049" s="40" t="n">
        <x:f>H5049^2</x:f>
        <x:v>3.879483109694562</x:v>
      </x:c>
      <x:c r="K5049" s="40" t="n">
        <x:f>G5049-E5049</x:f>
        <x:v>-0.6000000000000014</x:v>
      </x:c>
      <x:c r="L5049" s="40" t="n">
        <x:f>ABS(K5049)</x:f>
        <x:v>0.6000000000000014</x:v>
      </x:c>
      <x:c r="M5049" s="41" t="str">
        <x:v>lstm-soil-v1</x:v>
      </x:c>
    </x:row>
    <x:row r="5050">
      <x:c r="A5050" s="38" t="str">
        <x:v>7月30日现场数据</x:v>
      </x:c>
      <x:c r="B5050" s="39" t="str">
        <x:v>2026-08-04T22:40:00</x:v>
      </x:c>
      <x:c r="C5050" s="39" t="str">
        <x:v>2026-08-04T23:10:00</x:v>
      </x:c>
      <x:c r="D5050" s="47" t="n">
        <x:v>30</x:v>
      </x:c>
      <x:c r="E5050" s="40" t="n">
        <x:v>21.5</x:v>
      </x:c>
      <x:c r="F5050" s="40" t="n">
        <x:v>16.959259033203125</x:v>
      </x:c>
      <x:c r="G5050" s="40" t="n">
        <x:v>18</x:v>
      </x:c>
      <x:c r="H5050" s="40" t="n">
        <x:f>F5050-E5050</x:f>
        <x:v>-4.540740966796875</x:v>
      </x:c>
      <x:c r="I5050" s="40" t="n">
        <x:f>ABS(H5050)</x:f>
        <x:v>4.540740966796875</x:v>
      </x:c>
      <x:c r="J5050" s="40" t="n">
        <x:f>H5050^2</x:f>
        <x:v>20.61832852754742</x:v>
      </x:c>
      <x:c r="K5050" s="40" t="n">
        <x:f>G5050-E5050</x:f>
        <x:v>-3.5</x:v>
      </x:c>
      <x:c r="L5050" s="40" t="n">
        <x:f>ABS(K5050)</x:f>
        <x:v>3.5</x:v>
      </x:c>
      <x:c r="M5050" s="41" t="str">
        <x:v>lstm-soil-v1</x:v>
      </x:c>
    </x:row>
    <x:row r="5051">
      <x:c r="A5051" s="38" t="str">
        <x:v>7月30日现场数据</x:v>
      </x:c>
      <x:c r="B5051" s="39" t="str">
        <x:v>2026-08-04T22:40:00</x:v>
      </x:c>
      <x:c r="C5051" s="39" t="str">
        <x:v>2026-08-04T23:40:00</x:v>
      </x:c>
      <x:c r="D5051" s="47" t="n">
        <x:v>60</x:v>
      </x:c>
      <x:c r="E5051" s="40" t="n">
        <x:v>19.5</x:v>
      </x:c>
      <x:c r="F5051" s="40" t="n">
        <x:v>18.651878356933594</x:v>
      </x:c>
      <x:c r="G5051" s="40" t="n">
        <x:v>18</x:v>
      </x:c>
      <x:c r="H5051" s="40" t="n">
        <x:f>F5051-E5051</x:f>
        <x:v>-0.8481216430664062</x:v>
      </x:c>
      <x:c r="I5051" s="40" t="n">
        <x:f>ABS(H5051)</x:f>
        <x:v>0.8481216430664062</x:v>
      </x:c>
      <x:c r="J5051" s="40" t="n">
        <x:f>H5051^2</x:f>
        <x:v>0.7193103214376606</x:v>
      </x:c>
      <x:c r="K5051" s="40" t="n">
        <x:f>G5051-E5051</x:f>
        <x:v>-1.5</x:v>
      </x:c>
      <x:c r="L5051" s="40" t="n">
        <x:f>ABS(K5051)</x:f>
        <x:v>1.5</x:v>
      </x:c>
      <x:c r="M5051" s="41" t="str">
        <x:v>lstm-soil-v1</x:v>
      </x:c>
    </x:row>
    <x:row r="5052">
      <x:c r="A5052" s="38" t="str">
        <x:v>7月30日现场数据</x:v>
      </x:c>
      <x:c r="B5052" s="39" t="str">
        <x:v>2026-08-04T22:45:00</x:v>
      </x:c>
      <x:c r="C5052" s="39" t="str">
        <x:v>2026-08-04T22:50:00</x:v>
      </x:c>
      <x:c r="D5052" s="47" t="n">
        <x:v>5</x:v>
      </x:c>
      <x:c r="E5052" s="40" t="n">
        <x:v>18</x:v>
      </x:c>
      <x:c r="F5052" s="40" t="n">
        <x:v>16.652141571044922</x:v>
      </x:c>
      <x:c r="G5052" s="40" t="n">
        <x:v>18.1</x:v>
      </x:c>
      <x:c r="H5052" s="40" t="n">
        <x:f>F5052-E5052</x:f>
        <x:v>-1.3478584289550781</x:v>
      </x:c>
      <x:c r="I5052" s="40" t="n">
        <x:f>ABS(H5052)</x:f>
        <x:v>1.3478584289550781</x:v>
      </x:c>
      <x:c r="J5052" s="40" t="n">
        <x:f>H5052^2</x:f>
        <x:v>1.8167223445052514</x:v>
      </x:c>
      <x:c r="K5052" s="40" t="n">
        <x:f>G5052-E5052</x:f>
        <x:v>0.10000000000000142</x:v>
      </x:c>
      <x:c r="L5052" s="40" t="n">
        <x:f>ABS(K5052)</x:f>
        <x:v>0.10000000000000142</x:v>
      </x:c>
      <x:c r="M5052" s="41" t="str">
        <x:v>lstm-soil-v1</x:v>
      </x:c>
    </x:row>
    <x:row r="5053">
      <x:c r="A5053" s="38" t="str">
        <x:v>7月30日现场数据</x:v>
      </x:c>
      <x:c r="B5053" s="39" t="str">
        <x:v>2026-08-04T22:45:00</x:v>
      </x:c>
      <x:c r="C5053" s="39" t="str">
        <x:v>2026-08-04T23:00:00</x:v>
      </x:c>
      <x:c r="D5053" s="47" t="n">
        <x:v>15</x:v>
      </x:c>
      <x:c r="E5053" s="40" t="n">
        <x:v>23.5</x:v>
      </x:c>
      <x:c r="F5053" s="40" t="n">
        <x:v>16.740276336669922</x:v>
      </x:c>
      <x:c r="G5053" s="40" t="n">
        <x:v>18.1</x:v>
      </x:c>
      <x:c r="H5053" s="40" t="n">
        <x:f>F5053-E5053</x:f>
        <x:v>-6.759723663330078</x:v>
      </x:c>
      <x:c r="I5053" s="40" t="n">
        <x:f>ABS(H5053)</x:f>
        <x:v>6.759723663330078</x:v>
      </x:c>
      <x:c r="J5053" s="40" t="n">
        <x:f>H5053^2</x:f>
        <x:v>45.69386400458461</x:v>
      </x:c>
      <x:c r="K5053" s="40" t="n">
        <x:f>G5053-E5053</x:f>
        <x:v>-5.399999999999999</x:v>
      </x:c>
      <x:c r="L5053" s="40" t="n">
        <x:f>ABS(K5053)</x:f>
        <x:v>5.399999999999999</x:v>
      </x:c>
      <x:c r="M5053" s="41" t="str">
        <x:v>lstm-soil-v1</x:v>
      </x:c>
    </x:row>
    <x:row r="5054">
      <x:c r="A5054" s="38" t="str">
        <x:v>7月30日现场数据</x:v>
      </x:c>
      <x:c r="B5054" s="39" t="str">
        <x:v>2026-08-04T22:45:00</x:v>
      </x:c>
      <x:c r="C5054" s="39" t="str">
        <x:v>2026-08-04T23:15:00</x:v>
      </x:c>
      <x:c r="D5054" s="47" t="n">
        <x:v>30</x:v>
      </x:c>
      <x:c r="E5054" s="40" t="n">
        <x:v>20.8</x:v>
      </x:c>
      <x:c r="F5054" s="40" t="n">
        <x:v>17.071971893310547</x:v>
      </x:c>
      <x:c r="G5054" s="40" t="n">
        <x:v>18.1</x:v>
      </x:c>
      <x:c r="H5054" s="40" t="n">
        <x:f>F5054-E5054</x:f>
        <x:v>-3.728028106689454</x:v>
      </x:c>
      <x:c r="I5054" s="40" t="n">
        <x:f>ABS(H5054)</x:f>
        <x:v>3.728028106689454</x:v>
      </x:c>
      <x:c r="J5054" s="40" t="n">
        <x:f>H5054^2</x:f>
        <x:v>13.898193564266554</x:v>
      </x:c>
      <x:c r="K5054" s="40" t="n">
        <x:f>G5054-E5054</x:f>
        <x:v>-2.6999999999999993</x:v>
      </x:c>
      <x:c r="L5054" s="40" t="n">
        <x:f>ABS(K5054)</x:f>
        <x:v>2.6999999999999993</x:v>
      </x:c>
      <x:c r="M5054" s="41" t="str">
        <x:v>lstm-soil-v1</x:v>
      </x:c>
    </x:row>
    <x:row r="5055">
      <x:c r="A5055" s="38" t="str">
        <x:v>7月30日现场数据</x:v>
      </x:c>
      <x:c r="B5055" s="39" t="str">
        <x:v>2026-08-04T22:45:00</x:v>
      </x:c>
      <x:c r="C5055" s="39" t="str">
        <x:v>2026-08-04T23:45:00</x:v>
      </x:c>
      <x:c r="D5055" s="47" t="n">
        <x:v>60</x:v>
      </x:c>
      <x:c r="E5055" s="40" t="n">
        <x:v>19.4</x:v>
      </x:c>
      <x:c r="F5055" s="40" t="n">
        <x:v>18.7633056640625</x:v>
      </x:c>
      <x:c r="G5055" s="40" t="n">
        <x:v>18.1</x:v>
      </x:c>
      <x:c r="H5055" s="40" t="n">
        <x:f>F5055-E5055</x:f>
        <x:v>-0.6366943359374986</x:v>
      </x:c>
      <x:c r="I5055" s="40" t="n">
        <x:f>ABS(H5055)</x:f>
        <x:v>0.6366943359374986</x:v>
      </x:c>
      <x:c r="J5055" s="40" t="n">
        <x:f>H5055^2</x:f>
        <x:v>0.4053796774148923</x:v>
      </x:c>
      <x:c r="K5055" s="40" t="n">
        <x:f>G5055-E5055</x:f>
        <x:v>-1.2999999999999972</x:v>
      </x:c>
      <x:c r="L5055" s="40" t="n">
        <x:f>ABS(K5055)</x:f>
        <x:v>1.2999999999999972</x:v>
      </x:c>
      <x:c r="M5055" s="41" t="str">
        <x:v>lstm-soil-v1</x:v>
      </x:c>
    </x:row>
    <x:row r="5056">
      <x:c r="A5056" s="38" t="str">
        <x:v>7月30日现场数据</x:v>
      </x:c>
      <x:c r="B5056" s="39" t="str">
        <x:v>2026-08-04T22:50:00</x:v>
      </x:c>
      <x:c r="C5056" s="39" t="str">
        <x:v>2026-08-04T22:55:00</x:v>
      </x:c>
      <x:c r="D5056" s="47" t="n">
        <x:v>5</x:v>
      </x:c>
      <x:c r="E5056" s="40" t="n">
        <x:v>18.6</x:v>
      </x:c>
      <x:c r="F5056" s="40" t="n">
        <x:v>16.5426025390625</x:v>
      </x:c>
      <x:c r="G5056" s="40" t="n">
        <x:v>18</x:v>
      </x:c>
      <x:c r="H5056" s="40" t="n">
        <x:f>F5056-E5056</x:f>
        <x:v>-2.0573974609375014</x:v>
      </x:c>
      <x:c r="I5056" s="40" t="n">
        <x:f>ABS(H5056)</x:f>
        <x:v>2.0573974609375014</x:v>
      </x:c>
      <x:c r="J5056" s="40" t="n">
        <x:f>H5056^2</x:f>
        <x:v>4.232884312272078</x:v>
      </x:c>
      <x:c r="K5056" s="40" t="n">
        <x:f>G5056-E5056</x:f>
        <x:v>-0.6000000000000014</x:v>
      </x:c>
      <x:c r="L5056" s="40" t="n">
        <x:f>ABS(K5056)</x:f>
        <x:v>0.6000000000000014</x:v>
      </x:c>
      <x:c r="M5056" s="41" t="str">
        <x:v>lstm-soil-v1</x:v>
      </x:c>
    </x:row>
    <x:row r="5057">
      <x:c r="A5057" s="38" t="str">
        <x:v>7月30日现场数据</x:v>
      </x:c>
      <x:c r="B5057" s="39" t="str">
        <x:v>2026-08-04T22:50:00</x:v>
      </x:c>
      <x:c r="C5057" s="39" t="str">
        <x:v>2026-08-04T23:05:00</x:v>
      </x:c>
      <x:c r="D5057" s="47" t="n">
        <x:v>15</x:v>
      </x:c>
      <x:c r="E5057" s="40" t="n">
        <x:v>22.6</x:v>
      </x:c>
      <x:c r="F5057" s="40" t="n">
        <x:v>16.630077362060547</x:v>
      </x:c>
      <x:c r="G5057" s="40" t="n">
        <x:v>18</x:v>
      </x:c>
      <x:c r="H5057" s="40" t="n">
        <x:f>F5057-E5057</x:f>
        <x:v>-5.9699226379394545</x:v>
      </x:c>
      <x:c r="I5057" s="40" t="n">
        <x:f>ABS(H5057)</x:f>
        <x:v>5.9699226379394545</x:v>
      </x:c>
      <x:c r="J5057" s="40" t="n">
        <x:f>H5057^2</x:f>
        <x:v>35.63997630298198</x:v>
      </x:c>
      <x:c r="K5057" s="40" t="n">
        <x:f>G5057-E5057</x:f>
        <x:v>-4.600000000000001</x:v>
      </x:c>
      <x:c r="L5057" s="40" t="n">
        <x:f>ABS(K5057)</x:f>
        <x:v>4.600000000000001</x:v>
      </x:c>
      <x:c r="M5057" s="41" t="str">
        <x:v>lstm-soil-v1</x:v>
      </x:c>
    </x:row>
    <x:row r="5058">
      <x:c r="A5058" s="38" t="str">
        <x:v>7月30日现场数据</x:v>
      </x:c>
      <x:c r="B5058" s="39" t="str">
        <x:v>2026-08-04T22:50:00</x:v>
      </x:c>
      <x:c r="C5058" s="39" t="str">
        <x:v>2026-08-04T23:20:00</x:v>
      </x:c>
      <x:c r="D5058" s="47" t="n">
        <x:v>30</x:v>
      </x:c>
      <x:c r="E5058" s="40" t="n">
        <x:v>20.6</x:v>
      </x:c>
      <x:c r="F5058" s="40" t="n">
        <x:v>16.964279174804688</x:v>
      </x:c>
      <x:c r="G5058" s="40" t="n">
        <x:v>18</x:v>
      </x:c>
      <x:c r="H5058" s="40" t="n">
        <x:f>F5058-E5058</x:f>
        <x:v>-3.635720825195314</x:v>
      </x:c>
      <x:c r="I5058" s="40" t="n">
        <x:f>ABS(H5058)</x:f>
        <x:v>3.635720825195314</x:v>
      </x:c>
      <x:c r="J5058" s="40" t="n">
        <x:f>H5058^2</x:f>
        <x:v>13.218465918758895</x:v>
      </x:c>
      <x:c r="K5058" s="40" t="n">
        <x:f>G5058-E5058</x:f>
        <x:v>-2.6000000000000014</x:v>
      </x:c>
      <x:c r="L5058" s="40" t="n">
        <x:f>ABS(K5058)</x:f>
        <x:v>2.6000000000000014</x:v>
      </x:c>
      <x:c r="M5058" s="41" t="str">
        <x:v>lstm-soil-v1</x:v>
      </x:c>
    </x:row>
    <x:row r="5059">
      <x:c r="A5059" s="38" t="str">
        <x:v>7月30日现场数据</x:v>
      </x:c>
      <x:c r="B5059" s="39" t="str">
        <x:v>2026-08-04T22:50:00</x:v>
      </x:c>
      <x:c r="C5059" s="39" t="str">
        <x:v>2026-08-04T23:50:00</x:v>
      </x:c>
      <x:c r="D5059" s="47" t="n">
        <x:v>60</x:v>
      </x:c>
      <x:c r="E5059" s="40" t="n">
        <x:v>19.3</x:v>
      </x:c>
      <x:c r="F5059" s="40" t="n">
        <x:v>18.654441833496094</x:v>
      </x:c>
      <x:c r="G5059" s="40" t="n">
        <x:v>18</x:v>
      </x:c>
      <x:c r="H5059" s="40" t="n">
        <x:f>F5059-E5059</x:f>
        <x:v>-0.645558166503907</x:v>
      </x:c>
      <x:c r="I5059" s="40" t="n">
        <x:f>ABS(H5059)</x:f>
        <x:v>0.645558166503907</x:v>
      </x:c>
      <x:c r="J5059" s="40" t="n">
        <x:f>H5059^2</x:f>
        <x:v>0.4167453463398861</x:v>
      </x:c>
      <x:c r="K5059" s="40" t="n">
        <x:f>G5059-E5059</x:f>
        <x:v>-1.3000000000000007</x:v>
      </x:c>
      <x:c r="L5059" s="40" t="n">
        <x:f>ABS(K5059)</x:f>
        <x:v>1.3000000000000007</x:v>
      </x:c>
      <x:c r="M5059" s="41" t="str">
        <x:v>lstm-soil-v1</x:v>
      </x:c>
    </x:row>
    <x:row r="5060">
      <x:c r="A5060" s="38" t="str">
        <x:v>7月30日现场数据</x:v>
      </x:c>
      <x:c r="B5060" s="39" t="str">
        <x:v>2026-08-04T22:55:00</x:v>
      </x:c>
      <x:c r="C5060" s="39" t="str">
        <x:v>2026-08-04T23:00:00</x:v>
      </x:c>
      <x:c r="D5060" s="47" t="n">
        <x:v>5</x:v>
      </x:c>
      <x:c r="E5060" s="40" t="n">
        <x:v>23.5</x:v>
      </x:c>
      <x:c r="F5060" s="40" t="n">
        <x:v>17.205978393554688</x:v>
      </x:c>
      <x:c r="G5060" s="40" t="n">
        <x:v>18.6</x:v>
      </x:c>
      <x:c r="H5060" s="40" t="n">
        <x:f>F5060-E5060</x:f>
        <x:v>-6.2940216064453125</x:v>
      </x:c>
      <x:c r="I5060" s="40" t="n">
        <x:f>ABS(H5060)</x:f>
        <x:v>6.2940216064453125</x:v>
      </x:c>
      <x:c r="J5060" s="40" t="n">
        <x:f>H5060^2</x:f>
        <x:v>39.61470798240043</x:v>
      </x:c>
      <x:c r="K5060" s="40" t="n">
        <x:f>G5060-E5060</x:f>
        <x:v>-4.899999999999999</x:v>
      </x:c>
      <x:c r="L5060" s="40" t="n">
        <x:f>ABS(K5060)</x:f>
        <x:v>4.899999999999999</x:v>
      </x:c>
      <x:c r="M5060" s="41" t="str">
        <x:v>lstm-soil-v1</x:v>
      </x:c>
    </x:row>
    <x:row r="5061">
      <x:c r="A5061" s="38" t="str">
        <x:v>7月30日现场数据</x:v>
      </x:c>
      <x:c r="B5061" s="39" t="str">
        <x:v>2026-08-04T22:55:00</x:v>
      </x:c>
      <x:c r="C5061" s="39" t="str">
        <x:v>2026-08-04T23:10:00</x:v>
      </x:c>
      <x:c r="D5061" s="47" t="n">
        <x:v>15</x:v>
      </x:c>
      <x:c r="E5061" s="40" t="n">
        <x:v>21.5</x:v>
      </x:c>
      <x:c r="F5061" s="40" t="n">
        <x:v>17.292518615722656</x:v>
      </x:c>
      <x:c r="G5061" s="40" t="n">
        <x:v>18.6</x:v>
      </x:c>
      <x:c r="H5061" s="40" t="n">
        <x:f>F5061-E5061</x:f>
        <x:v>-4.207481384277344</x:v>
      </x:c>
      <x:c r="I5061" s="40" t="n">
        <x:f>ABS(H5061)</x:f>
        <x:v>4.207481384277344</x:v>
      </x:c>
      <x:c r="J5061" s="40" t="n">
        <x:f>H5061^2</x:f>
        <x:v>17.702899599040393</x:v>
      </x:c>
      <x:c r="K5061" s="40" t="n">
        <x:f>G5061-E5061</x:f>
        <x:v>-2.8999999999999986</x:v>
      </x:c>
      <x:c r="L5061" s="40" t="n">
        <x:f>ABS(K5061)</x:f>
        <x:v>2.8999999999999986</x:v>
      </x:c>
      <x:c r="M5061" s="41" t="str">
        <x:v>lstm-soil-v1</x:v>
      </x:c>
    </x:row>
    <x:row r="5062">
      <x:c r="A5062" s="38" t="str">
        <x:v>7月30日现场数据</x:v>
      </x:c>
      <x:c r="B5062" s="39" t="str">
        <x:v>2026-08-04T22:55:00</x:v>
      </x:c>
      <x:c r="C5062" s="39" t="str">
        <x:v>2026-08-04T23:25:00</x:v>
      </x:c>
      <x:c r="D5062" s="47" t="n">
        <x:v>30</x:v>
      </x:c>
      <x:c r="E5062" s="40" t="n">
        <x:v>19.9</x:v>
      </x:c>
      <x:c r="F5062" s="40" t="n">
        <x:v>17.62881088256836</x:v>
      </x:c>
      <x:c r="G5062" s="40" t="n">
        <x:v>18.6</x:v>
      </x:c>
      <x:c r="H5062" s="40" t="n">
        <x:f>F5062-E5062</x:f>
        <x:v>-2.271189117431639</x:v>
      </x:c>
      <x:c r="I5062" s="40" t="n">
        <x:f>ABS(H5062)</x:f>
        <x:v>2.271189117431639</x:v>
      </x:c>
      <x:c r="J5062" s="40" t="n">
        <x:f>H5062^2</x:f>
        <x:v>5.158300007139908</x:v>
      </x:c>
      <x:c r="K5062" s="40" t="n">
        <x:f>G5062-E5062</x:f>
        <x:v>-1.2999999999999972</x:v>
      </x:c>
      <x:c r="L5062" s="40" t="n">
        <x:f>ABS(K5062)</x:f>
        <x:v>1.2999999999999972</x:v>
      </x:c>
      <x:c r="M5062" s="41" t="str">
        <x:v>lstm-soil-v1</x:v>
      </x:c>
    </x:row>
    <x:row r="5063">
      <x:c r="A5063" s="38" t="str">
        <x:v>7月30日现场数据</x:v>
      </x:c>
      <x:c r="B5063" s="39" t="str">
        <x:v>2026-08-04T22:55:00</x:v>
      </x:c>
      <x:c r="C5063" s="39" t="str">
        <x:v>2026-08-04T23:55:00</x:v>
      </x:c>
      <x:c r="D5063" s="47" t="n">
        <x:v>60</x:v>
      </x:c>
      <x:c r="E5063" s="40" t="n">
        <x:v>19.2</x:v>
      </x:c>
      <x:c r="F5063" s="40" t="n">
        <x:v>19.319137573242188</x:v>
      </x:c>
      <x:c r="G5063" s="40" t="n">
        <x:v>18.6</x:v>
      </x:c>
      <x:c r="H5063" s="40" t="n">
        <x:f>F5063-E5063</x:f>
        <x:v>0.11913757324218821</x:v>
      </x:c>
      <x:c r="I5063" s="40" t="n">
        <x:f>ABS(H5063)</x:f>
        <x:v>0.11913757324218821</x:v>
      </x:c>
      <x:c r="J5063" s="40" t="n">
        <x:f>H5063^2</x:f>
        <x:v>0.01419376135803776</x:v>
      </x:c>
      <x:c r="K5063" s="40" t="n">
        <x:f>G5063-E5063</x:f>
        <x:v>-0.5999999999999979</x:v>
      </x:c>
      <x:c r="L5063" s="40" t="n">
        <x:f>ABS(K5063)</x:f>
        <x:v>0.5999999999999979</x:v>
      </x:c>
      <x:c r="M5063" s="41" t="str">
        <x:v>lstm-soil-v1</x:v>
      </x:c>
    </x:row>
    <x:row r="5064">
      <x:c r="A5064" s="38" t="str">
        <x:v>7月30日现场数据</x:v>
      </x:c>
      <x:c r="B5064" s="39" t="str">
        <x:v>2026-08-04T23:00:00</x:v>
      </x:c>
      <x:c r="C5064" s="39" t="str">
        <x:v>2026-08-04T23:05:00</x:v>
      </x:c>
      <x:c r="D5064" s="47" t="n">
        <x:v>5</x:v>
      </x:c>
      <x:c r="E5064" s="40" t="n">
        <x:v>22.6</x:v>
      </x:c>
      <x:c r="F5064" s="40" t="n">
        <x:v>22.612499237060547</x:v>
      </x:c>
      <x:c r="G5064" s="40" t="n">
        <x:v>23.5</x:v>
      </x:c>
      <x:c r="H5064" s="40" t="n">
        <x:f>F5064-E5064</x:f>
        <x:v>0.012499237060545454</x:v>
      </x:c>
      <x:c r="I5064" s="40" t="n">
        <x:f>ABS(H5064)</x:f>
        <x:v>0.012499237060545454</x:v>
      </x:c>
      <x:c r="J5064" s="40" t="n">
        <x:f>H5064^2</x:f>
        <x:v>0.00015623092709571296</x:v>
      </x:c>
      <x:c r="K5064" s="40" t="n">
        <x:f>G5064-E5064</x:f>
        <x:v>0.8999999999999986</x:v>
      </x:c>
      <x:c r="L5064" s="40" t="n">
        <x:f>ABS(K5064)</x:f>
        <x:v>0.8999999999999986</x:v>
      </x:c>
      <x:c r="M5064" s="41" t="str">
        <x:v>lstm-soil-v1</x:v>
      </x:c>
    </x:row>
    <x:row r="5065">
      <x:c r="A5065" s="38" t="str">
        <x:v>7月30日现场数据</x:v>
      </x:c>
      <x:c r="B5065" s="39" t="str">
        <x:v>2026-08-04T23:00:00</x:v>
      </x:c>
      <x:c r="C5065" s="39" t="str">
        <x:v>2026-08-04T23:15:00</x:v>
      </x:c>
      <x:c r="D5065" s="47" t="n">
        <x:v>15</x:v>
      </x:c>
      <x:c r="E5065" s="40" t="n">
        <x:v>20.8</x:v>
      </x:c>
      <x:c r="F5065" s="40" t="n">
        <x:v>22.695396423339844</x:v>
      </x:c>
      <x:c r="G5065" s="40" t="n">
        <x:v>23.5</x:v>
      </x:c>
      <x:c r="H5065" s="40" t="n">
        <x:f>F5065-E5065</x:f>
        <x:v>1.895396423339843</x:v>
      </x:c>
      <x:c r="I5065" s="40" t="n">
        <x:f>ABS(H5065)</x:f>
        <x:v>1.895396423339843</x:v>
      </x:c>
      <x:c r="J5065" s="40" t="n">
        <x:f>H5065^2</x:f>
        <x:v>3.5925276016094694</x:v>
      </x:c>
      <x:c r="K5065" s="40" t="n">
        <x:f>G5065-E5065</x:f>
        <x:v>2.6999999999999993</x:v>
      </x:c>
      <x:c r="L5065" s="40" t="n">
        <x:f>ABS(K5065)</x:f>
        <x:v>2.6999999999999993</x:v>
      </x:c>
      <x:c r="M5065" s="41" t="str">
        <x:v>lstm-soil-v1</x:v>
      </x:c>
    </x:row>
    <x:row r="5066">
      <x:c r="A5066" s="38" t="str">
        <x:v>7月30日现场数据</x:v>
      </x:c>
      <x:c r="B5066" s="39" t="str">
        <x:v>2026-08-04T23:00:00</x:v>
      </x:c>
      <x:c r="C5066" s="39" t="str">
        <x:v>2026-08-04T23:30:00</x:v>
      </x:c>
      <x:c r="D5066" s="47" t="n">
        <x:v>30</x:v>
      </x:c>
      <x:c r="E5066" s="40" t="n">
        <x:v>19.7</x:v>
      </x:c>
      <x:c r="F5066" s="40" t="n">
        <x:v>23.02896499633789</x:v>
      </x:c>
      <x:c r="G5066" s="40" t="n">
        <x:v>23.5</x:v>
      </x:c>
      <x:c r="H5066" s="40" t="n">
        <x:f>F5066-E5066</x:f>
        <x:v>3.3289649963378913</x:v>
      </x:c>
      <x:c r="I5066" s="40" t="n">
        <x:f>ABS(H5066)</x:f>
        <x:v>3.3289649963378913</x:v>
      </x:c>
      <x:c r="J5066" s="40" t="n">
        <x:f>H5066^2</x:f>
        <x:v>11.082007946842937</x:v>
      </x:c>
      <x:c r="K5066" s="40" t="n">
        <x:f>G5066-E5066</x:f>
        <x:v>3.8000000000000007</x:v>
      </x:c>
      <x:c r="L5066" s="40" t="n">
        <x:f>ABS(K5066)</x:f>
        <x:v>3.8000000000000007</x:v>
      </x:c>
      <x:c r="M5066" s="41" t="str">
        <x:v>lstm-soil-v1</x:v>
      </x:c>
    </x:row>
    <x:row r="5067">
      <x:c r="A5067" s="38" t="str">
        <x:v>7月30日现场数据</x:v>
      </x:c>
      <x:c r="B5067" s="39" t="str">
        <x:v>2026-08-04T23:00:00</x:v>
      </x:c>
      <x:c r="C5067" s="39" t="str">
        <x:v>2026-08-05T00:00:00</x:v>
      </x:c>
      <x:c r="D5067" s="47" t="n">
        <x:v>60</x:v>
      </x:c>
      <x:c r="E5067" s="40" t="n">
        <x:v>18.6</x:v>
      </x:c>
      <x:c r="F5067" s="40" t="n">
        <x:v>24.71799087524414</x:v>
      </x:c>
      <x:c r="G5067" s="40" t="n">
        <x:v>23.5</x:v>
      </x:c>
      <x:c r="H5067" s="40" t="n">
        <x:f>F5067-E5067</x:f>
        <x:v>6.117990875244139</x:v>
      </x:c>
      <x:c r="I5067" s="40" t="n">
        <x:f>ABS(H5067)</x:f>
        <x:v>6.117990875244139</x:v>
      </x:c>
      <x:c r="J5067" s="40" t="n">
        <x:f>H5067^2</x:f>
        <x:v>37.42981234957055</x:v>
      </x:c>
      <x:c r="K5067" s="40" t="n">
        <x:f>G5067-E5067</x:f>
        <x:v>4.899999999999999</x:v>
      </x:c>
      <x:c r="L5067" s="40" t="n">
        <x:f>ABS(K5067)</x:f>
        <x:v>4.899999999999999</x:v>
      </x:c>
      <x:c r="M5067" s="41" t="str">
        <x:v>lstm-soil-v1</x:v>
      </x:c>
    </x:row>
    <x:row r="5068">
      <x:c r="A5068" s="38" t="str">
        <x:v>7月30日现场数据</x:v>
      </x:c>
      <x:c r="B5068" s="39" t="str">
        <x:v>2026-08-04T23:05:00</x:v>
      </x:c>
      <x:c r="C5068" s="39" t="str">
        <x:v>2026-08-04T23:10:00</x:v>
      </x:c>
      <x:c r="D5068" s="47" t="n">
        <x:v>5</x:v>
      </x:c>
      <x:c r="E5068" s="40" t="n">
        <x:v>21.5</x:v>
      </x:c>
      <x:c r="F5068" s="40" t="n">
        <x:v>21.63091278076172</x:v>
      </x:c>
      <x:c r="G5068" s="40" t="n">
        <x:v>22.6</x:v>
      </x:c>
      <x:c r="H5068" s="40" t="n">
        <x:f>F5068-E5068</x:f>
        <x:v>0.13091278076171875</x:v>
      </x:c>
      <x:c r="I5068" s="40" t="n">
        <x:f>ABS(H5068)</x:f>
        <x:v>0.13091278076171875</x:v>
      </x:c>
      <x:c r="J5068" s="40" t="n">
        <x:f>H5068^2</x:f>
        <x:v>0.01713815616676584</x:v>
      </x:c>
      <x:c r="K5068" s="40" t="n">
        <x:f>G5068-E5068</x:f>
        <x:v>1.1000000000000014</x:v>
      </x:c>
      <x:c r="L5068" s="40" t="n">
        <x:f>ABS(K5068)</x:f>
        <x:v>1.1000000000000014</x:v>
      </x:c>
      <x:c r="M5068" s="41" t="str">
        <x:v>lstm-soil-v1</x:v>
      </x:c>
    </x:row>
    <x:row r="5069">
      <x:c r="A5069" s="38" t="str">
        <x:v>7月30日现场数据</x:v>
      </x:c>
      <x:c r="B5069" s="39" t="str">
        <x:v>2026-08-04T23:05:00</x:v>
      </x:c>
      <x:c r="C5069" s="39" t="str">
        <x:v>2026-08-04T23:20:00</x:v>
      </x:c>
      <x:c r="D5069" s="47" t="n">
        <x:v>15</x:v>
      </x:c>
      <x:c r="E5069" s="40" t="n">
        <x:v>20.6</x:v>
      </x:c>
      <x:c r="F5069" s="40" t="n">
        <x:v>21.714351654052734</x:v>
      </x:c>
      <x:c r="G5069" s="40" t="n">
        <x:v>22.6</x:v>
      </x:c>
      <x:c r="H5069" s="40" t="n">
        <x:f>F5069-E5069</x:f>
        <x:v>1.114351654052733</x:v>
      </x:c>
      <x:c r="I5069" s="40" t="n">
        <x:f>ABS(H5069)</x:f>
        <x:v>1.114351654052733</x:v>
      </x:c>
      <x:c r="J5069" s="40" t="n">
        <x:f>H5069^2</x:f>
        <x:v>1.241779608890062</x:v>
      </x:c>
      <x:c r="K5069" s="40" t="n">
        <x:f>G5069-E5069</x:f>
        <x:v>2</x:v>
      </x:c>
      <x:c r="L5069" s="40" t="n">
        <x:f>ABS(K5069)</x:f>
        <x:v>2</x:v>
      </x:c>
      <x:c r="M5069" s="41" t="str">
        <x:v>lstm-soil-v1</x:v>
      </x:c>
    </x:row>
    <x:row r="5070">
      <x:c r="A5070" s="38" t="str">
        <x:v>7月30日现场数据</x:v>
      </x:c>
      <x:c r="B5070" s="39" t="str">
        <x:v>2026-08-04T23:05:00</x:v>
      </x:c>
      <x:c r="C5070" s="39" t="str">
        <x:v>2026-08-04T23:35:00</x:v>
      </x:c>
      <x:c r="D5070" s="47" t="n">
        <x:v>30</x:v>
      </x:c>
      <x:c r="E5070" s="40" t="n">
        <x:v>19.6</x:v>
      </x:c>
      <x:c r="F5070" s="40" t="n">
        <x:v>22.03998565673828</x:v>
      </x:c>
      <x:c r="G5070" s="40" t="n">
        <x:v>22.6</x:v>
      </x:c>
      <x:c r="H5070" s="40" t="n">
        <x:f>F5070-E5070</x:f>
        <x:v>2.43998565673828</x:v>
      </x:c>
      <x:c r="I5070" s="40" t="n">
        <x:f>ABS(H5070)</x:f>
        <x:v>2.43998565673828</x:v>
      </x:c>
      <x:c r="J5070" s="40" t="n">
        <x:f>H5070^2</x:f>
        <x:v>5.953530005088535</x:v>
      </x:c>
      <x:c r="K5070" s="40" t="n">
        <x:f>G5070-E5070</x:f>
        <x:v>3</x:v>
      </x:c>
      <x:c r="L5070" s="40" t="n">
        <x:f>ABS(K5070)</x:f>
        <x:v>3</x:v>
      </x:c>
      <x:c r="M5070" s="41" t="str">
        <x:v>lstm-soil-v1</x:v>
      </x:c>
    </x:row>
    <x:row r="5071">
      <x:c r="A5071" s="38" t="str">
        <x:v>7月30日现场数据</x:v>
      </x:c>
      <x:c r="B5071" s="39" t="str">
        <x:v>2026-08-04T23:05:00</x:v>
      </x:c>
      <x:c r="C5071" s="39" t="str">
        <x:v>2026-08-05T00:05:00</x:v>
      </x:c>
      <x:c r="D5071" s="47" t="n">
        <x:v>60</x:v>
      </x:c>
      <x:c r="E5071" s="40" t="n">
        <x:v>19.6</x:v>
      </x:c>
      <x:c r="F5071" s="40" t="n">
        <x:v>23.73129653930664</x:v>
      </x:c>
      <x:c r="G5071" s="40" t="n">
        <x:v>22.6</x:v>
      </x:c>
      <x:c r="H5071" s="40" t="n">
        <x:f>F5071-E5071</x:f>
        <x:v>4.131296539306639</x:v>
      </x:c>
      <x:c r="I5071" s="40" t="n">
        <x:f>ABS(H5071)</x:f>
        <x:v>4.131296539306639</x:v>
      </x:c>
      <x:c r="J5071" s="40" t="n">
        <x:f>H5071^2</x:f>
        <x:v>17.067611095687013</x:v>
      </x:c>
      <x:c r="K5071" s="40" t="n">
        <x:f>G5071-E5071</x:f>
        <x:v>3</x:v>
      </x:c>
      <x:c r="L5071" s="40" t="n">
        <x:f>ABS(K5071)</x:f>
        <x:v>3</x:v>
      </x:c>
      <x:c r="M5071" s="41" t="str">
        <x:v>lstm-soil-v1</x:v>
      </x:c>
    </x:row>
    <x:row r="5072">
      <x:c r="A5072" s="38" t="str">
        <x:v>7月30日现场数据</x:v>
      </x:c>
      <x:c r="B5072" s="39" t="str">
        <x:v>2026-08-04T23:10:00</x:v>
      </x:c>
      <x:c r="C5072" s="39" t="str">
        <x:v>2026-08-04T23:15:00</x:v>
      </x:c>
      <x:c r="D5072" s="47" t="n">
        <x:v>5</x:v>
      </x:c>
      <x:c r="E5072" s="40" t="n">
        <x:v>20.8</x:v>
      </x:c>
      <x:c r="F5072" s="40" t="n">
        <x:v>20.414718627929688</x:v>
      </x:c>
      <x:c r="G5072" s="40" t="n">
        <x:v>21.5</x:v>
      </x:c>
      <x:c r="H5072" s="40" t="n">
        <x:f>F5072-E5072</x:f>
        <x:v>-0.3852813720703132</x:v>
      </x:c>
      <x:c r="I5072" s="40" t="n">
        <x:f>ABS(H5072)</x:f>
        <x:v>0.3852813720703132</x:v>
      </x:c>
      <x:c r="J5072" s="40" t="n">
        <x:f>H5072^2</x:f>
        <x:v>0.14844173566438312</x:v>
      </x:c>
      <x:c r="K5072" s="40" t="n">
        <x:f>G5072-E5072</x:f>
        <x:v>0.6999999999999993</x:v>
      </x:c>
      <x:c r="L5072" s="40" t="n">
        <x:f>ABS(K5072)</x:f>
        <x:v>0.6999999999999993</x:v>
      </x:c>
      <x:c r="M5072" s="41" t="str">
        <x:v>lstm-soil-v1</x:v>
      </x:c>
    </x:row>
    <x:row r="5073">
      <x:c r="A5073" s="38" t="str">
        <x:v>7月30日现场数据</x:v>
      </x:c>
      <x:c r="B5073" s="39" t="str">
        <x:v>2026-08-04T23:10:00</x:v>
      </x:c>
      <x:c r="C5073" s="39" t="str">
        <x:v>2026-08-04T23:25:00</x:v>
      </x:c>
      <x:c r="D5073" s="47" t="n">
        <x:v>15</x:v>
      </x:c>
      <x:c r="E5073" s="40" t="n">
        <x:v>19.9</x:v>
      </x:c>
      <x:c r="F5073" s="40" t="n">
        <x:v>20.504192352294922</x:v>
      </x:c>
      <x:c r="G5073" s="40" t="n">
        <x:v>21.5</x:v>
      </x:c>
      <x:c r="H5073" s="40" t="n">
        <x:f>F5073-E5073</x:f>
        <x:v>0.6041923522949233</x:v>
      </x:c>
      <x:c r="I5073" s="40" t="n">
        <x:f>ABS(H5073)</x:f>
        <x:v>0.6041923522949233</x:v>
      </x:c>
      <x:c r="J5073" s="40" t="n">
        <x:f>H5073^2</x:f>
        <x:v>0.3650483985716727</x:v>
      </x:c>
      <x:c r="K5073" s="40" t="n">
        <x:f>G5073-E5073</x:f>
        <x:v>1.6000000000000014</x:v>
      </x:c>
      <x:c r="L5073" s="40" t="n">
        <x:f>ABS(K5073)</x:f>
        <x:v>1.6000000000000014</x:v>
      </x:c>
      <x:c r="M5073" s="41" t="str">
        <x:v>lstm-soil-v1</x:v>
      </x:c>
    </x:row>
    <x:row r="5074">
      <x:c r="A5074" s="38" t="str">
        <x:v>7月30日现场数据</x:v>
      </x:c>
      <x:c r="B5074" s="39" t="str">
        <x:v>2026-08-04T23:10:00</x:v>
      </x:c>
      <x:c r="C5074" s="39" t="str">
        <x:v>2026-08-04T23:40:00</x:v>
      </x:c>
      <x:c r="D5074" s="47" t="n">
        <x:v>30</x:v>
      </x:c>
      <x:c r="E5074" s="40" t="n">
        <x:v>19.5</x:v>
      </x:c>
      <x:c r="F5074" s="40" t="n">
        <x:v>20.81414794921875</x:v>
      </x:c>
      <x:c r="G5074" s="40" t="n">
        <x:v>21.5</x:v>
      </x:c>
      <x:c r="H5074" s="40" t="n">
        <x:f>F5074-E5074</x:f>
        <x:v>1.31414794921875</x:v>
      </x:c>
      <x:c r="I5074" s="40" t="n">
        <x:f>ABS(H5074)</x:f>
        <x:v>1.31414794921875</x:v>
      </x:c>
      <x:c r="J5074" s="40" t="n">
        <x:f>H5074^2</x:f>
        <x:v>1.7269848324358463</x:v>
      </x:c>
      <x:c r="K5074" s="40" t="n">
        <x:f>G5074-E5074</x:f>
        <x:v>2</x:v>
      </x:c>
      <x:c r="L5074" s="40" t="n">
        <x:f>ABS(K5074)</x:f>
        <x:v>2</x:v>
      </x:c>
      <x:c r="M5074" s="41" t="str">
        <x:v>lstm-soil-v1</x:v>
      </x:c>
    </x:row>
    <x:row r="5075">
      <x:c r="A5075" s="38" t="str">
        <x:v>7月30日现场数据</x:v>
      </x:c>
      <x:c r="B5075" s="39" t="str">
        <x:v>2026-08-04T23:10:00</x:v>
      </x:c>
      <x:c r="C5075" s="39" t="str">
        <x:v>2026-08-05T00:10:00</x:v>
      </x:c>
      <x:c r="D5075" s="47" t="n">
        <x:v>60</x:v>
      </x:c>
      <x:c r="E5075" s="40" t="n">
        <x:v>19.9</x:v>
      </x:c>
      <x:c r="F5075" s="40" t="n">
        <x:v>22.505294799804688</x:v>
      </x:c>
      <x:c r="G5075" s="40" t="n">
        <x:v>21.5</x:v>
      </x:c>
      <x:c r="H5075" s="40" t="n">
        <x:f>F5075-E5075</x:f>
        <x:v>2.605294799804689</x:v>
      </x:c>
      <x:c r="I5075" s="40" t="n">
        <x:f>ABS(H5075)</x:f>
        <x:v>2.605294799804689</x:v>
      </x:c>
      <x:c r="J5075" s="40" t="n">
        <x:f>H5075^2</x:f>
        <x:v>6.787560993889354</x:v>
      </x:c>
      <x:c r="K5075" s="40" t="n">
        <x:f>G5075-E5075</x:f>
        <x:v>1.6000000000000014</x:v>
      </x:c>
      <x:c r="L5075" s="40" t="n">
        <x:f>ABS(K5075)</x:f>
        <x:v>1.6000000000000014</x:v>
      </x:c>
      <x:c r="M5075" s="41" t="str">
        <x:v>lstm-soil-v1</x:v>
      </x:c>
    </x:row>
    <x:row r="5076">
      <x:c r="A5076" s="38" t="str">
        <x:v>7月30日现场数据</x:v>
      </x:c>
      <x:c r="B5076" s="39" t="str">
        <x:v>2026-08-04T23:15:00</x:v>
      </x:c>
      <x:c r="C5076" s="39" t="str">
        <x:v>2026-08-04T23:20:00</x:v>
      </x:c>
      <x:c r="D5076" s="47" t="n">
        <x:v>5</x:v>
      </x:c>
      <x:c r="E5076" s="40" t="n">
        <x:v>20.6</x:v>
      </x:c>
      <x:c r="F5076" s="40" t="n">
        <x:v>19.637798309326172</x:v>
      </x:c>
      <x:c r="G5076" s="40" t="n">
        <x:v>20.8</x:v>
      </x:c>
      <x:c r="H5076" s="40" t="n">
        <x:f>F5076-E5076</x:f>
        <x:v>-0.9622016906738295</x:v>
      </x:c>
      <x:c r="I5076" s="40" t="n">
        <x:f>ABS(H5076)</x:f>
        <x:v>0.9622016906738295</x:v>
      </x:c>
      <x:c r="J5076" s="40" t="n">
        <x:f>H5076^2</x:f>
        <x:v>0.9258320935355759</x:v>
      </x:c>
      <x:c r="K5076" s="40" t="n">
        <x:f>G5076-E5076</x:f>
        <x:v>0.1999999999999993</x:v>
      </x:c>
      <x:c r="L5076" s="40" t="n">
        <x:f>ABS(K5076)</x:f>
        <x:v>0.1999999999999993</x:v>
      </x:c>
      <x:c r="M5076" s="41" t="str">
        <x:v>lstm-soil-v1</x:v>
      </x:c>
    </x:row>
    <x:row r="5077">
      <x:c r="A5077" s="38" t="str">
        <x:v>7月30日现场数据</x:v>
      </x:c>
      <x:c r="B5077" s="39" t="str">
        <x:v>2026-08-04T23:15:00</x:v>
      </x:c>
      <x:c r="C5077" s="39" t="str">
        <x:v>2026-08-04T23:30:00</x:v>
      </x:c>
      <x:c r="D5077" s="47" t="n">
        <x:v>15</x:v>
      </x:c>
      <x:c r="E5077" s="40" t="n">
        <x:v>19.7</x:v>
      </x:c>
      <x:c r="F5077" s="40" t="n">
        <x:v>19.729801177978516</x:v>
      </x:c>
      <x:c r="G5077" s="40" t="n">
        <x:v>20.8</x:v>
      </x:c>
      <x:c r="H5077" s="40" t="n">
        <x:f>F5077-E5077</x:f>
        <x:v>0.029801177978516336</x:v>
      </x:c>
      <x:c r="I5077" s="40" t="n">
        <x:f>ABS(H5077)</x:f>
        <x:v>0.029801177978516336</x:v>
      </x:c>
      <x:c r="J5077" s="40" t="n">
        <x:f>H5077^2</x:f>
        <x:v>0.000888110208907207</x:v>
      </x:c>
      <x:c r="K5077" s="40" t="n">
        <x:f>G5077-E5077</x:f>
        <x:v>1.1000000000000014</x:v>
      </x:c>
      <x:c r="L5077" s="40" t="n">
        <x:f>ABS(K5077)</x:f>
        <x:v>1.1000000000000014</x:v>
      </x:c>
      <x:c r="M5077" s="41" t="str">
        <x:v>lstm-soil-v1</x:v>
      </x:c>
    </x:row>
    <x:row r="5078">
      <x:c r="A5078" s="38" t="str">
        <x:v>7月30日现场数据</x:v>
      </x:c>
      <x:c r="B5078" s="39" t="str">
        <x:v>2026-08-04T23:15:00</x:v>
      </x:c>
      <x:c r="C5078" s="39" t="str">
        <x:v>2026-08-04T23:45:00</x:v>
      </x:c>
      <x:c r="D5078" s="47" t="n">
        <x:v>30</x:v>
      </x:c>
      <x:c r="E5078" s="40" t="n">
        <x:v>19.4</x:v>
      </x:c>
      <x:c r="F5078" s="40" t="n">
        <x:v>20.030162811279297</x:v>
      </x:c>
      <x:c r="G5078" s="40" t="n">
        <x:v>20.8</x:v>
      </x:c>
      <x:c r="H5078" s="40" t="n">
        <x:f>F5078-E5078</x:f>
        <x:v>0.6301628112792983</x:v>
      </x:c>
      <x:c r="I5078" s="40" t="n">
        <x:f>ABS(H5078)</x:f>
        <x:v>0.6301628112792983</x:v>
      </x:c>
      <x:c r="J5078" s="40" t="n">
        <x:f>H5078^2</x:f>
        <x:v>0.3971051687194285</x:v>
      </x:c>
      <x:c r="K5078" s="40" t="n">
        <x:f>G5078-E5078</x:f>
        <x:v>1.4000000000000021</x:v>
      </x:c>
      <x:c r="L5078" s="40" t="n">
        <x:f>ABS(K5078)</x:f>
        <x:v>1.4000000000000021</x:v>
      </x:c>
      <x:c r="M5078" s="41" t="str">
        <x:v>lstm-soil-v1</x:v>
      </x:c>
    </x:row>
    <x:row r="5079">
      <x:c r="A5079" s="38" t="str">
        <x:v>7月30日现场数据</x:v>
      </x:c>
      <x:c r="B5079" s="39" t="str">
        <x:v>2026-08-04T23:15:00</x:v>
      </x:c>
      <x:c r="C5079" s="39" t="str">
        <x:v>2026-08-05T00:15:00</x:v>
      </x:c>
      <x:c r="D5079" s="47" t="n">
        <x:v>60</x:v>
      </x:c>
      <x:c r="E5079" s="40" t="n">
        <x:v>20.2</x:v>
      </x:c>
      <x:c r="F5079" s="40" t="n">
        <x:v>21.725101470947266</x:v>
      </x:c>
      <x:c r="G5079" s="40" t="n">
        <x:v>20.8</x:v>
      </x:c>
      <x:c r="H5079" s="40" t="n">
        <x:f>F5079-E5079</x:f>
        <x:v>1.5251014709472663</x:v>
      </x:c>
      <x:c r="I5079" s="40" t="n">
        <x:f>ABS(H5079)</x:f>
        <x:v>1.5251014709472663</x:v>
      </x:c>
      <x:c r="J5079" s="40" t="n">
        <x:f>H5079^2</x:f>
        <x:v>2.3259344966855156</x:v>
      </x:c>
      <x:c r="K5079" s="40" t="n">
        <x:f>G5079-E5079</x:f>
        <x:v>0.6000000000000014</x:v>
      </x:c>
      <x:c r="L5079" s="40" t="n">
        <x:f>ABS(K5079)</x:f>
        <x:v>0.6000000000000014</x:v>
      </x:c>
      <x:c r="M5079" s="41" t="str">
        <x:v>lstm-soil-v1</x:v>
      </x:c>
    </x:row>
    <x:row r="5080">
      <x:c r="A5080" s="38" t="str">
        <x:v>7月30日现场数据</x:v>
      </x:c>
      <x:c r="B5080" s="39" t="str">
        <x:v>2026-08-04T23:20:00</x:v>
      </x:c>
      <x:c r="C5080" s="39" t="str">
        <x:v>2026-08-04T23:25:00</x:v>
      </x:c>
      <x:c r="D5080" s="47" t="n">
        <x:v>5</x:v>
      </x:c>
      <x:c r="E5080" s="40" t="n">
        <x:v>19.9</x:v>
      </x:c>
      <x:c r="F5080" s="40" t="n">
        <x:v>19.412139892578125</x:v>
      </x:c>
      <x:c r="G5080" s="40" t="n">
        <x:v>20.6</x:v>
      </x:c>
      <x:c r="H5080" s="40" t="n">
        <x:f>F5080-E5080</x:f>
        <x:v>-0.4878601074218736</x:v>
      </x:c>
      <x:c r="I5080" s="40" t="n">
        <x:f>ABS(H5080)</x:f>
        <x:v>0.4878601074218736</x:v>
      </x:c>
      <x:c r="J5080" s="40" t="n">
        <x:f>H5080^2</x:f>
        <x:v>0.23800748441368202</x:v>
      </x:c>
      <x:c r="K5080" s="40" t="n">
        <x:f>G5080-E5080</x:f>
        <x:v>0.7000000000000028</x:v>
      </x:c>
      <x:c r="L5080" s="40" t="n">
        <x:f>ABS(K5080)</x:f>
        <x:v>0.7000000000000028</x:v>
      </x:c>
      <x:c r="M5080" s="41" t="str">
        <x:v>lstm-soil-v1</x:v>
      </x:c>
    </x:row>
    <x:row r="5081">
      <x:c r="A5081" s="38" t="str">
        <x:v>7月30日现场数据</x:v>
      </x:c>
      <x:c r="B5081" s="39" t="str">
        <x:v>2026-08-04T23:20:00</x:v>
      </x:c>
      <x:c r="C5081" s="39" t="str">
        <x:v>2026-08-04T23:35:00</x:v>
      </x:c>
      <x:c r="D5081" s="47" t="n">
        <x:v>15</x:v>
      </x:c>
      <x:c r="E5081" s="40" t="n">
        <x:v>19.6</x:v>
      </x:c>
      <x:c r="F5081" s="40" t="n">
        <x:v>19.506153106689453</x:v>
      </x:c>
      <x:c r="G5081" s="40" t="n">
        <x:v>20.6</x:v>
      </x:c>
      <x:c r="H5081" s="40" t="n">
        <x:f>F5081-E5081</x:f>
        <x:v>-0.0938468933105483</x:v>
      </x:c>
      <x:c r="I5081" s="40" t="n">
        <x:f>ABS(H5081)</x:f>
        <x:v>0.0938468933105483</x:v>
      </x:c>
      <x:c r="J5081" s="40" t="n">
        <x:f>H5081^2</x:f>
        <x:v>0.008807239384041434</x:v>
      </x:c>
      <x:c r="K5081" s="40" t="n">
        <x:f>G5081-E5081</x:f>
        <x:v>1</x:v>
      </x:c>
      <x:c r="L5081" s="40" t="n">
        <x:f>ABS(K5081)</x:f>
        <x:v>1</x:v>
      </x:c>
      <x:c r="M5081" s="41" t="str">
        <x:v>lstm-soil-v1</x:v>
      </x:c>
    </x:row>
    <x:row r="5082">
      <x:c r="A5082" s="38" t="str">
        <x:v>7月30日现场数据</x:v>
      </x:c>
      <x:c r="B5082" s="39" t="str">
        <x:v>2026-08-04T23:20:00</x:v>
      </x:c>
      <x:c r="C5082" s="39" t="str">
        <x:v>2026-08-04T23:50:00</x:v>
      </x:c>
      <x:c r="D5082" s="47" t="n">
        <x:v>30</x:v>
      </x:c>
      <x:c r="E5082" s="40" t="n">
        <x:v>19.3</x:v>
      </x:c>
      <x:c r="F5082" s="40" t="n">
        <x:v>19.800621032714844</x:v>
      </x:c>
      <x:c r="G5082" s="40" t="n">
        <x:v>20.6</x:v>
      </x:c>
      <x:c r="H5082" s="40" t="n">
        <x:f>F5082-E5082</x:f>
        <x:v>0.500621032714843</x:v>
      </x:c>
      <x:c r="I5082" s="40" t="n">
        <x:f>ABS(H5082)</x:f>
        <x:v>0.500621032714843</x:v>
      </x:c>
      <x:c r="J5082" s="40" t="n">
        <x:f>H5082^2</x:f>
        <x:v>0.25062141839647595</x:v>
      </x:c>
      <x:c r="K5082" s="40" t="n">
        <x:f>G5082-E5082</x:f>
        <x:v>1.3000000000000007</x:v>
      </x:c>
      <x:c r="L5082" s="40" t="n">
        <x:f>ABS(K5082)</x:f>
        <x:v>1.3000000000000007</x:v>
      </x:c>
      <x:c r="M5082" s="41" t="str">
        <x:v>lstm-soil-v1</x:v>
      </x:c>
    </x:row>
    <x:row r="5083">
      <x:c r="A5083" s="38" t="str">
        <x:v>7月30日现场数据</x:v>
      </x:c>
      <x:c r="B5083" s="39" t="str">
        <x:v>2026-08-04T23:20:00</x:v>
      </x:c>
      <x:c r="C5083" s="39" t="str">
        <x:v>2026-08-05T00:20:00</x:v>
      </x:c>
      <x:c r="D5083" s="47" t="n">
        <x:v>60</x:v>
      </x:c>
      <x:c r="E5083" s="40" t="n">
        <x:v>19.9</x:v>
      </x:c>
      <x:c r="F5083" s="40" t="n">
        <x:v>21.497833251953125</x:v>
      </x:c>
      <x:c r="G5083" s="40" t="n">
        <x:v>20.6</x:v>
      </x:c>
      <x:c r="H5083" s="40" t="n">
        <x:f>F5083-E5083</x:f>
        <x:v>1.5978332519531264</x:v>
      </x:c>
      <x:c r="I5083" s="40" t="n">
        <x:f>ABS(H5083)</x:f>
        <x:v>1.5978332519531264</x:v>
      </x:c>
      <x:c r="J5083" s="40" t="n">
        <x:f>H5083^2</x:f>
        <x:v>2.553071101047103</x:v>
      </x:c>
      <x:c r="K5083" s="40" t="n">
        <x:f>G5083-E5083</x:f>
        <x:v>0.7000000000000028</x:v>
      </x:c>
      <x:c r="L5083" s="40" t="n">
        <x:f>ABS(K5083)</x:f>
        <x:v>0.7000000000000028</x:v>
      </x:c>
      <x:c r="M5083" s="41" t="str">
        <x:v>lstm-soil-v1</x:v>
      </x:c>
    </x:row>
    <x:row r="5084">
      <x:c r="A5084" s="38" t="str">
        <x:v>7月30日现场数据</x:v>
      </x:c>
      <x:c r="B5084" s="39" t="str">
        <x:v>2026-08-04T23:25:00</x:v>
      </x:c>
      <x:c r="C5084" s="39" t="str">
        <x:v>2026-08-04T23:30:00</x:v>
      </x:c>
      <x:c r="D5084" s="47" t="n">
        <x:v>5</x:v>
      </x:c>
      <x:c r="E5084" s="40" t="n">
        <x:v>19.7</x:v>
      </x:c>
      <x:c r="F5084" s="40" t="n">
        <x:v>18.63585662841797</x:v>
      </x:c>
      <x:c r="G5084" s="40" t="n">
        <x:v>19.9</x:v>
      </x:c>
      <x:c r="H5084" s="40" t="n">
        <x:f>F5084-E5084</x:f>
        <x:v>-1.0641433715820305</x:v>
      </x:c>
      <x:c r="I5084" s="40" t="n">
        <x:f>ABS(H5084)</x:f>
        <x:v>1.0641433715820305</x:v>
      </x:c>
      <x:c r="J5084" s="40" t="n">
        <x:f>H5084^2</x:f>
        <x:v>1.1324011152819715</x:v>
      </x:c>
      <x:c r="K5084" s="40" t="n">
        <x:f>G5084-E5084</x:f>
        <x:v>0.1999999999999993</x:v>
      </x:c>
      <x:c r="L5084" s="40" t="n">
        <x:f>ABS(K5084)</x:f>
        <x:v>0.1999999999999993</x:v>
      </x:c>
      <x:c r="M5084" s="41" t="str">
        <x:v>lstm-soil-v1</x:v>
      </x:c>
    </x:row>
    <x:row r="5085">
      <x:c r="A5085" s="38" t="str">
        <x:v>7月30日现场数据</x:v>
      </x:c>
      <x:c r="B5085" s="39" t="str">
        <x:v>2026-08-04T23:25:00</x:v>
      </x:c>
      <x:c r="C5085" s="39" t="str">
        <x:v>2026-08-04T23:40:00</x:v>
      </x:c>
      <x:c r="D5085" s="47" t="n">
        <x:v>15</x:v>
      </x:c>
      <x:c r="E5085" s="40" t="n">
        <x:v>19.5</x:v>
      </x:c>
      <x:c r="F5085" s="40" t="n">
        <x:v>18.731788635253906</x:v>
      </x:c>
      <x:c r="G5085" s="40" t="n">
        <x:v>19.9</x:v>
      </x:c>
      <x:c r="H5085" s="40" t="n">
        <x:f>F5085-E5085</x:f>
        <x:v>-0.7682113647460938</x:v>
      </x:c>
      <x:c r="I5085" s="40" t="n">
        <x:f>ABS(H5085)</x:f>
        <x:v>0.7682113647460938</x:v>
      </x:c>
      <x:c r="J5085" s="40" t="n">
        <x:f>H5085^2</x:f>
        <x:v>0.5901487009250559</x:v>
      </x:c>
      <x:c r="K5085" s="40" t="n">
        <x:f>G5085-E5085</x:f>
        <x:v>0.3999999999999986</x:v>
      </x:c>
      <x:c r="L5085" s="40" t="n">
        <x:f>ABS(K5085)</x:f>
        <x:v>0.3999999999999986</x:v>
      </x:c>
      <x:c r="M5085" s="41" t="str">
        <x:v>lstm-soil-v1</x:v>
      </x:c>
    </x:row>
    <x:row r="5086">
      <x:c r="A5086" s="38" t="str">
        <x:v>7月30日现场数据</x:v>
      </x:c>
      <x:c r="B5086" s="39" t="str">
        <x:v>2026-08-04T23:25:00</x:v>
      </x:c>
      <x:c r="C5086" s="39" t="str">
        <x:v>2026-08-04T23:55:00</x:v>
      </x:c>
      <x:c r="D5086" s="47" t="n">
        <x:v>30</x:v>
      </x:c>
      <x:c r="E5086" s="40" t="n">
        <x:v>19.2</x:v>
      </x:c>
      <x:c r="F5086" s="40" t="n">
        <x:v>19.023128509521484</x:v>
      </x:c>
      <x:c r="G5086" s="40" t="n">
        <x:v>19.9</x:v>
      </x:c>
      <x:c r="H5086" s="40" t="n">
        <x:f>F5086-E5086</x:f>
        <x:v>-0.17687149047851491</x:v>
      </x:c>
      <x:c r="I5086" s="40" t="n">
        <x:f>ABS(H5086)</x:f>
        <x:v>0.17687149047851491</x:v>
      </x:c>
      <x:c r="J5086" s="40" t="n">
        <x:f>H5086^2</x:f>
        <x:v>0.03128352414409139</x:v>
      </x:c>
      <x:c r="K5086" s="40" t="n">
        <x:f>G5086-E5086</x:f>
        <x:v>0.6999999999999993</x:v>
      </x:c>
      <x:c r="L5086" s="40" t="n">
        <x:f>ABS(K5086)</x:f>
        <x:v>0.6999999999999993</x:v>
      </x:c>
      <x:c r="M5086" s="41" t="str">
        <x:v>lstm-soil-v1</x:v>
      </x:c>
    </x:row>
    <x:row r="5087">
      <x:c r="A5087" s="38" t="str">
        <x:v>7月30日现场数据</x:v>
      </x:c>
      <x:c r="B5087" s="39" t="str">
        <x:v>2026-08-04T23:25:00</x:v>
      </x:c>
      <x:c r="C5087" s="39" t="str">
        <x:v>2026-08-05T00:25:00</x:v>
      </x:c>
      <x:c r="D5087" s="47" t="n">
        <x:v>60</x:v>
      </x:c>
      <x:c r="E5087" s="40" t="n">
        <x:v>22.7</x:v>
      </x:c>
      <x:c r="F5087" s="40" t="n">
        <x:v>20.72140884399414</x:v>
      </x:c>
      <x:c r="G5087" s="40" t="n">
        <x:v>19.9</x:v>
      </x:c>
      <x:c r="H5087" s="40" t="n">
        <x:f>F5087-E5087</x:f>
        <x:v>-1.9785911560058587</x:v>
      </x:c>
      <x:c r="I5087" s="40" t="n">
        <x:f>ABS(H5087)</x:f>
        <x:v>1.9785911560058587</x:v>
      </x:c>
      <x:c r="J5087" s="40" t="n">
        <x:f>H5087^2</x:f>
        <x:v>3.9148229626246</x:v>
      </x:c>
      <x:c r="K5087" s="40" t="n">
        <x:f>G5087-E5087</x:f>
        <x:v>-2.8000000000000007</x:v>
      </x:c>
      <x:c r="L5087" s="40" t="n">
        <x:f>ABS(K5087)</x:f>
        <x:v>2.8000000000000007</x:v>
      </x:c>
      <x:c r="M5087" s="41" t="str">
        <x:v>lstm-soil-v1</x:v>
      </x:c>
    </x:row>
    <x:row r="5088">
      <x:c r="A5088" s="38" t="str">
        <x:v>7月30日现场数据</x:v>
      </x:c>
      <x:c r="B5088" s="39" t="str">
        <x:v>2026-08-04T23:30:00</x:v>
      </x:c>
      <x:c r="C5088" s="39" t="str">
        <x:v>2026-08-04T23:35:00</x:v>
      </x:c>
      <x:c r="D5088" s="47" t="n">
        <x:v>5</x:v>
      </x:c>
      <x:c r="E5088" s="40" t="n">
        <x:v>19.6</x:v>
      </x:c>
      <x:c r="F5088" s="40" t="n">
        <x:v>18.41161346435547</x:v>
      </x:c>
      <x:c r="G5088" s="40" t="n">
        <x:v>19.7</x:v>
      </x:c>
      <x:c r="H5088" s="40" t="n">
        <x:f>F5088-E5088</x:f>
        <x:v>-1.1883865356445327</x:v>
      </x:c>
      <x:c r="I5088" s="40" t="n">
        <x:f>ABS(H5088)</x:f>
        <x:v>1.1883865356445327</x:v>
      </x:c>
      <x:c r="J5088" s="40" t="n">
        <x:f>H5088^2</x:f>
        <x:v>1.412262558101214</x:v>
      </x:c>
      <x:c r="K5088" s="40" t="n">
        <x:f>G5088-E5088</x:f>
        <x:v>0.09999999999999787</x:v>
      </x:c>
      <x:c r="L5088" s="40" t="n">
        <x:f>ABS(K5088)</x:f>
        <x:v>0.09999999999999787</x:v>
      </x:c>
      <x:c r="M5088" s="41" t="str">
        <x:v>lstm-soil-v1</x:v>
      </x:c>
    </x:row>
    <x:row r="5089">
      <x:c r="A5089" s="38" t="str">
        <x:v>7月30日现场数据</x:v>
      </x:c>
      <x:c r="B5089" s="39" t="str">
        <x:v>2026-08-04T23:30:00</x:v>
      </x:c>
      <x:c r="C5089" s="39" t="str">
        <x:v>2026-08-04T23:45:00</x:v>
      </x:c>
      <x:c r="D5089" s="47" t="n">
        <x:v>15</x:v>
      </x:c>
      <x:c r="E5089" s="40" t="n">
        <x:v>19.4</x:v>
      </x:c>
      <x:c r="F5089" s="40" t="n">
        <x:v>18.508560180664062</x:v>
      </x:c>
      <x:c r="G5089" s="40" t="n">
        <x:v>19.7</x:v>
      </x:c>
      <x:c r="H5089" s="40" t="n">
        <x:f>F5089-E5089</x:f>
        <x:v>-0.8914398193359361</x:v>
      </x:c>
      <x:c r="I5089" s="40" t="n">
        <x:f>ABS(H5089)</x:f>
        <x:v>0.8914398193359361</x:v>
      </x:c>
      <x:c r="J5089" s="40" t="n">
        <x:f>H5089^2</x:f>
        <x:v>0.7946649514976863</x:v>
      </x:c>
      <x:c r="K5089" s="40" t="n">
        <x:f>G5089-E5089</x:f>
        <x:v>0.3000000000000007</x:v>
      </x:c>
      <x:c r="L5089" s="40" t="n">
        <x:f>ABS(K5089)</x:f>
        <x:v>0.3000000000000007</x:v>
      </x:c>
      <x:c r="M5089" s="41" t="str">
        <x:v>lstm-soil-v1</x:v>
      </x:c>
    </x:row>
    <x:row r="5090">
      <x:c r="A5090" s="38" t="str">
        <x:v>7月30日现场数据</x:v>
      </x:c>
      <x:c r="B5090" s="39" t="str">
        <x:v>2026-08-04T23:30:00</x:v>
      </x:c>
      <x:c r="C5090" s="39" t="str">
        <x:v>2026-08-05T00:00:00</x:v>
      </x:c>
      <x:c r="D5090" s="47" t="n">
        <x:v>30</x:v>
      </x:c>
      <x:c r="E5090" s="40" t="n">
        <x:v>18.6</x:v>
      </x:c>
      <x:c r="F5090" s="40" t="n">
        <x:v>18.79946517944336</x:v>
      </x:c>
      <x:c r="G5090" s="40" t="n">
        <x:v>19.7</x:v>
      </x:c>
      <x:c r="H5090" s="40" t="n">
        <x:f>F5090-E5090</x:f>
        <x:v>0.19946517944335795</x:v>
      </x:c>
      <x:c r="I5090" s="40" t="n">
        <x:f>ABS(H5090)</x:f>
        <x:v>0.19946517944335795</x:v>
      </x:c>
      <x:c r="J5090" s="40" t="n">
        <x:f>H5090^2</x:f>
        <x:v>0.03978635781037099</x:v>
      </x:c>
      <x:c r="K5090" s="40" t="n">
        <x:f>G5090-E5090</x:f>
        <x:v>1.0999999999999979</x:v>
      </x:c>
      <x:c r="L5090" s="40" t="n">
        <x:f>ABS(K5090)</x:f>
        <x:v>1.0999999999999979</x:v>
      </x:c>
      <x:c r="M5090" s="41" t="str">
        <x:v>lstm-soil-v1</x:v>
      </x:c>
    </x:row>
    <x:row r="5091">
      <x:c r="A5091" s="38" t="str">
        <x:v>7月30日现场数据</x:v>
      </x:c>
      <x:c r="B5091" s="39" t="str">
        <x:v>2026-08-04T23:30:00</x:v>
      </x:c>
      <x:c r="C5091" s="39" t="str">
        <x:v>2026-08-05T00:30:00</x:v>
      </x:c>
      <x:c r="D5091" s="47" t="n">
        <x:v>60</x:v>
      </x:c>
      <x:c r="E5091" s="40" t="n">
        <x:v>24.3</x:v>
      </x:c>
      <x:c r="F5091" s="40" t="n">
        <x:v>20.49785614013672</x:v>
      </x:c>
      <x:c r="G5091" s="40" t="n">
        <x:v>19.7</x:v>
      </x:c>
      <x:c r="H5091" s="40" t="n">
        <x:f>F5091-E5091</x:f>
        <x:v>-3.802143859863282</x:v>
      </x:c>
      <x:c r="I5091" s="40" t="n">
        <x:f>ABS(H5091)</x:f>
        <x:v>3.802143859863282</x:v>
      </x:c>
      <x:c r="J5091" s="40" t="n">
        <x:f>H5091^2</x:f>
        <x:v>14.456297931096056</x:v>
      </x:c>
      <x:c r="K5091" s="40" t="n">
        <x:f>G5091-E5091</x:f>
        <x:v>-4.600000000000001</x:v>
      </x:c>
      <x:c r="L5091" s="40" t="n">
        <x:f>ABS(K5091)</x:f>
        <x:v>4.600000000000001</x:v>
      </x:c>
      <x:c r="M5091" s="41" t="str">
        <x:v>lstm-soil-v1</x:v>
      </x:c>
    </x:row>
    <x:row r="5092">
      <x:c r="A5092" s="38" t="str">
        <x:v>7月30日现场数据</x:v>
      </x:c>
      <x:c r="B5092" s="39" t="str">
        <x:v>2026-08-04T23:35:00</x:v>
      </x:c>
      <x:c r="C5092" s="39" t="str">
        <x:v>2026-08-04T23:40:00</x:v>
      </x:c>
      <x:c r="D5092" s="47" t="n">
        <x:v>5</x:v>
      </x:c>
      <x:c r="E5092" s="40" t="n">
        <x:v>19.5</x:v>
      </x:c>
      <x:c r="F5092" s="40" t="n">
        <x:v>18.299209594726562</x:v>
      </x:c>
      <x:c r="G5092" s="40" t="n">
        <x:v>19.6</x:v>
      </x:c>
      <x:c r="H5092" s="40" t="n">
        <x:f>F5092-E5092</x:f>
        <x:v>-1.2007904052734375</x:v>
      </x:c>
      <x:c r="I5092" s="40" t="n">
        <x:f>ABS(H5092)</x:f>
        <x:v>1.2007904052734375</x:v>
      </x:c>
      <x:c r="J5092" s="40" t="n">
        <x:f>H5092^2</x:f>
        <x:v>1.4418975973967463</x:v>
      </x:c>
      <x:c r="K5092" s="40" t="n">
        <x:f>G5092-E5092</x:f>
        <x:v>0.10000000000000142</x:v>
      </x:c>
      <x:c r="L5092" s="40" t="n">
        <x:f>ABS(K5092)</x:f>
        <x:v>0.10000000000000142</x:v>
      </x:c>
      <x:c r="M5092" s="41" t="str">
        <x:v>lstm-soil-v1</x:v>
      </x:c>
    </x:row>
    <x:row r="5093">
      <x:c r="A5093" s="38" t="str">
        <x:v>7月30日现场数据</x:v>
      </x:c>
      <x:c r="B5093" s="39" t="str">
        <x:v>2026-08-04T23:35:00</x:v>
      </x:c>
      <x:c r="C5093" s="39" t="str">
        <x:v>2026-08-04T23:50:00</x:v>
      </x:c>
      <x:c r="D5093" s="47" t="n">
        <x:v>15</x:v>
      </x:c>
      <x:c r="E5093" s="40" t="n">
        <x:v>19.3</x:v>
      </x:c>
      <x:c r="F5093" s="40" t="n">
        <x:v>18.396404266357422</x:v>
      </x:c>
      <x:c r="G5093" s="40" t="n">
        <x:v>19.6</x:v>
      </x:c>
      <x:c r="H5093" s="40" t="n">
        <x:f>F5093-E5093</x:f>
        <x:v>-0.9035957336425788</x:v>
      </x:c>
      <x:c r="I5093" s="40" t="n">
        <x:f>ABS(H5093)</x:f>
        <x:v>0.9035957336425788</x:v>
      </x:c>
      <x:c r="J5093" s="40" t="n">
        <x:f>H5093^2</x:f>
        <x:v>0.8164852498570703</x:v>
      </x:c>
      <x:c r="K5093" s="40" t="n">
        <x:f>G5093-E5093</x:f>
        <x:v>0.3000000000000007</x:v>
      </x:c>
      <x:c r="L5093" s="40" t="n">
        <x:f>ABS(K5093)</x:f>
        <x:v>0.3000000000000007</x:v>
      </x:c>
      <x:c r="M5093" s="41" t="str">
        <x:v>lstm-soil-v1</x:v>
      </x:c>
    </x:row>
    <x:row r="5094">
      <x:c r="A5094" s="38" t="str">
        <x:v>7月30日现场数据</x:v>
      </x:c>
      <x:c r="B5094" s="39" t="str">
        <x:v>2026-08-04T23:35:00</x:v>
      </x:c>
      <x:c r="C5094" s="39" t="str">
        <x:v>2026-08-05T00:05:00</x:v>
      </x:c>
      <x:c r="D5094" s="47" t="n">
        <x:v>30</x:v>
      </x:c>
      <x:c r="E5094" s="40" t="n">
        <x:v>19.6</x:v>
      </x:c>
      <x:c r="F5094" s="40" t="n">
        <x:v>18.688705444335938</x:v>
      </x:c>
      <x:c r="G5094" s="40" t="n">
        <x:v>19.6</x:v>
      </x:c>
      <x:c r="H5094" s="40" t="n">
        <x:f>F5094-E5094</x:f>
        <x:v>-0.9112945556640639</x:v>
      </x:c>
      <x:c r="I5094" s="40" t="n">
        <x:f>ABS(H5094)</x:f>
        <x:v>0.9112945556640639</x:v>
      </x:c>
      <x:c r="J5094" s="40" t="n">
        <x:f>H5094^2</x:f>
        <x:v>0.8304577671829637</x:v>
      </x:c>
      <x:c r="K5094" s="40" t="n">
        <x:f>G5094-E5094</x:f>
        <x:v>0</x:v>
      </x:c>
      <x:c r="L5094" s="40" t="n">
        <x:f>ABS(K5094)</x:f>
        <x:v>0</x:v>
      </x:c>
      <x:c r="M5094" s="41" t="str">
        <x:v>lstm-soil-v1</x:v>
      </x:c>
    </x:row>
    <x:row r="5095">
      <x:c r="A5095" s="38" t="str">
        <x:v>7月30日现场数据</x:v>
      </x:c>
      <x:c r="B5095" s="39" t="str">
        <x:v>2026-08-04T23:35:00</x:v>
      </x:c>
      <x:c r="C5095" s="39" t="str">
        <x:v>2026-08-05T00:35:00</x:v>
      </x:c>
      <x:c r="D5095" s="47" t="n">
        <x:v>60</x:v>
      </x:c>
      <x:c r="E5095" s="40" t="n">
        <x:v>23.5</x:v>
      </x:c>
      <x:c r="F5095" s="40" t="n">
        <x:v>20.386531829833984</x:v>
      </x:c>
      <x:c r="G5095" s="40" t="n">
        <x:v>19.6</x:v>
      </x:c>
      <x:c r="H5095" s="40" t="n">
        <x:f>F5095-E5095</x:f>
        <x:v>-3.1134681701660156</x:v>
      </x:c>
      <x:c r="I5095" s="40" t="n">
        <x:f>ABS(H5095)</x:f>
        <x:v>3.1134681701660156</x:v>
      </x:c>
      <x:c r="J5095" s="40" t="n">
        <x:f>H5095^2</x:f>
        <x:v>9.693684046636918</x:v>
      </x:c>
      <x:c r="K5095" s="40" t="n">
        <x:f>G5095-E5095</x:f>
        <x:v>-3.8999999999999986</x:v>
      </x:c>
      <x:c r="L5095" s="40" t="n">
        <x:f>ABS(K5095)</x:f>
        <x:v>3.8999999999999986</x:v>
      </x:c>
      <x:c r="M5095" s="41" t="str">
        <x:v>lstm-soil-v1</x:v>
      </x:c>
    </x:row>
    <x:row r="5096">
      <x:c r="A5096" s="38" t="str">
        <x:v>7月30日现场数据</x:v>
      </x:c>
      <x:c r="B5096" s="39" t="str">
        <x:v>2026-08-04T23:40:00</x:v>
      </x:c>
      <x:c r="C5096" s="39" t="str">
        <x:v>2026-08-04T23:45:00</x:v>
      </x:c>
      <x:c r="D5096" s="47" t="n">
        <x:v>5</x:v>
      </x:c>
      <x:c r="E5096" s="40" t="n">
        <x:v>19.4</x:v>
      </x:c>
      <x:c r="F5096" s="40" t="n">
        <x:v>18.187957763671875</x:v>
      </x:c>
      <x:c r="G5096" s="40" t="n">
        <x:v>19.5</x:v>
      </x:c>
      <x:c r="H5096" s="40" t="n">
        <x:f>F5096-E5096</x:f>
        <x:v>-1.2120422363281236</x:v>
      </x:c>
      <x:c r="I5096" s="40" t="n">
        <x:f>ABS(H5096)</x:f>
        <x:v>1.2120422363281236</x:v>
      </x:c>
      <x:c r="J5096" s="40" t="n">
        <x:f>H5096^2</x:f>
        <x:v>1.469046382643279</x:v>
      </x:c>
      <x:c r="K5096" s="40" t="n">
        <x:f>G5096-E5096</x:f>
        <x:v>0.10000000000000142</x:v>
      </x:c>
      <x:c r="L5096" s="40" t="n">
        <x:f>ABS(K5096)</x:f>
        <x:v>0.10000000000000142</x:v>
      </x:c>
      <x:c r="M5096" s="41" t="str">
        <x:v>lstm-soil-v1</x:v>
      </x:c>
    </x:row>
    <x:row r="5097">
      <x:c r="A5097" s="38" t="str">
        <x:v>7月30日现场数据</x:v>
      </x:c>
      <x:c r="B5097" s="39" t="str">
        <x:v>2026-08-04T23:40:00</x:v>
      </x:c>
      <x:c r="C5097" s="39" t="str">
        <x:v>2026-08-04T23:55:00</x:v>
      </x:c>
      <x:c r="D5097" s="47" t="n">
        <x:v>15</x:v>
      </x:c>
      <x:c r="E5097" s="40" t="n">
        <x:v>19.2</x:v>
      </x:c>
      <x:c r="F5097" s="40" t="n">
        <x:v>18.28488540649414</x:v>
      </x:c>
      <x:c r="G5097" s="40" t="n">
        <x:v>19.5</x:v>
      </x:c>
      <x:c r="H5097" s="40" t="n">
        <x:f>F5097-E5097</x:f>
        <x:v>-0.9151145935058587</x:v>
      </x:c>
      <x:c r="I5097" s="40" t="n">
        <x:f>ABS(H5097)</x:f>
        <x:v>0.9151145935058587</x:v>
      </x:c>
      <x:c r="J5097" s="40" t="n">
        <x:f>H5097^2</x:f>
        <x:v>0.837434719247393</x:v>
      </x:c>
      <x:c r="K5097" s="40" t="n">
        <x:f>G5097-E5097</x:f>
        <x:v>0.3000000000000007</x:v>
      </x:c>
      <x:c r="L5097" s="40" t="n">
        <x:f>ABS(K5097)</x:f>
        <x:v>0.3000000000000007</x:v>
      </x:c>
      <x:c r="M5097" s="41" t="str">
        <x:v>lstm-soil-v1</x:v>
      </x:c>
    </x:row>
    <x:row r="5098">
      <x:c r="A5098" s="38" t="str">
        <x:v>7月30日现场数据</x:v>
      </x:c>
      <x:c r="B5098" s="39" t="str">
        <x:v>2026-08-04T23:40:00</x:v>
      </x:c>
      <x:c r="C5098" s="39" t="str">
        <x:v>2026-08-05T00:10:00</x:v>
      </x:c>
      <x:c r="D5098" s="47" t="n">
        <x:v>30</x:v>
      </x:c>
      <x:c r="E5098" s="40" t="n">
        <x:v>19.9</x:v>
      </x:c>
      <x:c r="F5098" s="40" t="n">
        <x:v>18.579612731933594</x:v>
      </x:c>
      <x:c r="G5098" s="40" t="n">
        <x:v>19.5</x:v>
      </x:c>
      <x:c r="H5098" s="40" t="n">
        <x:f>F5098-E5098</x:f>
        <x:v>-1.3203872680664048</x:v>
      </x:c>
      <x:c r="I5098" s="40" t="n">
        <x:f>ABS(H5098)</x:f>
        <x:v>1.3203872680664048</x:v>
      </x:c>
      <x:c r="J5098" s="40" t="n">
        <x:f>H5098^2</x:f>
        <x:v>1.743422537671864</x:v>
      </x:c>
      <x:c r="K5098" s="40" t="n">
        <x:f>G5098-E5098</x:f>
        <x:v>-0.3999999999999986</x:v>
      </x:c>
      <x:c r="L5098" s="40" t="n">
        <x:f>ABS(K5098)</x:f>
        <x:v>0.3999999999999986</x:v>
      </x:c>
      <x:c r="M5098" s="41" t="str">
        <x:v>lstm-soil-v1</x:v>
      </x:c>
    </x:row>
    <x:row r="5099">
      <x:c r="A5099" s="38" t="str">
        <x:v>7月30日现场数据</x:v>
      </x:c>
      <x:c r="B5099" s="39" t="str">
        <x:v>2026-08-04T23:40:00</x:v>
      </x:c>
      <x:c r="C5099" s="39" t="str">
        <x:v>2026-08-05T00:40:00</x:v>
      </x:c>
      <x:c r="D5099" s="47" t="n">
        <x:v>60</x:v>
      </x:c>
      <x:c r="E5099" s="40" t="n">
        <x:v>25.1</x:v>
      </x:c>
      <x:c r="F5099" s="40" t="n">
        <x:v>20.276512145996094</x:v>
      </x:c>
      <x:c r="G5099" s="40" t="n">
        <x:v>19.5</x:v>
      </x:c>
      <x:c r="H5099" s="40" t="n">
        <x:f>F5099-E5099</x:f>
        <x:v>-4.823487854003908</x:v>
      </x:c>
      <x:c r="I5099" s="40" t="n">
        <x:f>ABS(H5099)</x:f>
        <x:v>4.823487854003908</x:v>
      </x:c>
      <x:c r="J5099" s="40" t="n">
        <x:f>H5099^2</x:f>
        <x:v>23.266035077723224</x:v>
      </x:c>
      <x:c r="K5099" s="40" t="n">
        <x:f>G5099-E5099</x:f>
        <x:v>-5.600000000000001</x:v>
      </x:c>
      <x:c r="L5099" s="40" t="n">
        <x:f>ABS(K5099)</x:f>
        <x:v>5.600000000000001</x:v>
      </x:c>
      <x:c r="M5099" s="41" t="str">
        <x:v>lstm-soil-v1</x:v>
      </x:c>
    </x:row>
    <x:row r="5100">
      <x:c r="A5100" s="38" t="str">
        <x:v>7月30日现场数据</x:v>
      </x:c>
      <x:c r="B5100" s="39" t="str">
        <x:v>2026-08-04T23:45:00</x:v>
      </x:c>
      <x:c r="C5100" s="39" t="str">
        <x:v>2026-08-04T23:50:00</x:v>
      </x:c>
      <x:c r="D5100" s="47" t="n">
        <x:v>5</x:v>
      </x:c>
      <x:c r="E5100" s="40" t="n">
        <x:v>19.3</x:v>
      </x:c>
      <x:c r="F5100" s="40" t="n">
        <x:v>18.077369689941406</x:v>
      </x:c>
      <x:c r="G5100" s="40" t="n">
        <x:v>19.4</x:v>
      </x:c>
      <x:c r="H5100" s="40" t="n">
        <x:f>F5100-E5100</x:f>
        <x:v>-1.2226303100585945</x:v>
      </x:c>
      <x:c r="I5100" s="40" t="n">
        <x:f>ABS(H5100)</x:f>
        <x:v>1.2226303100585945</x:v>
      </x:c>
      <x:c r="J5100" s="40" t="n">
        <x:f>H5100^2</x:f>
        <x:v>1.4948248750739748</x:v>
      </x:c>
      <x:c r="K5100" s="40" t="n">
        <x:f>G5100-E5100</x:f>
        <x:v>0.09999999999999787</x:v>
      </x:c>
      <x:c r="L5100" s="40" t="n">
        <x:f>ABS(K5100)</x:f>
        <x:v>0.09999999999999787</x:v>
      </x:c>
      <x:c r="M5100" s="41" t="str">
        <x:v>lstm-soil-v1</x:v>
      </x:c>
    </x:row>
    <x:row r="5101">
      <x:c r="A5101" s="38" t="str">
        <x:v>7月30日现场数据</x:v>
      </x:c>
      <x:c r="B5101" s="39" t="str">
        <x:v>2026-08-04T23:45:00</x:v>
      </x:c>
      <x:c r="C5101" s="39" t="str">
        <x:v>2026-08-05T00:00:00</x:v>
      </x:c>
      <x:c r="D5101" s="47" t="n">
        <x:v>15</x:v>
      </x:c>
      <x:c r="E5101" s="40" t="n">
        <x:v>18.6</x:v>
      </x:c>
      <x:c r="F5101" s="40" t="n">
        <x:v>18.173778533935547</x:v>
      </x:c>
      <x:c r="G5101" s="40" t="n">
        <x:v>19.4</x:v>
      </x:c>
      <x:c r="H5101" s="40" t="n">
        <x:f>F5101-E5101</x:f>
        <x:v>-0.42622146606445455</x:v>
      </x:c>
      <x:c r="I5101" s="40" t="n">
        <x:f>ABS(H5101)</x:f>
        <x:v>0.42622146606445455</x:v>
      </x:c>
      <x:c r="J5101" s="40" t="n">
        <x:f>H5101^2</x:f>
        <x:v>0.18166473813413297</x:v>
      </x:c>
      <x:c r="K5101" s="40" t="n">
        <x:f>G5101-E5101</x:f>
        <x:v>0.7999999999999972</x:v>
      </x:c>
      <x:c r="L5101" s="40" t="n">
        <x:f>ABS(K5101)</x:f>
        <x:v>0.7999999999999972</x:v>
      </x:c>
      <x:c r="M5101" s="41" t="str">
        <x:v>lstm-soil-v1</x:v>
      </x:c>
    </x:row>
    <x:row r="5102">
      <x:c r="A5102" s="38" t="str">
        <x:v>7月30日现场数据</x:v>
      </x:c>
      <x:c r="B5102" s="39" t="str">
        <x:v>2026-08-04T23:45:00</x:v>
      </x:c>
      <x:c r="C5102" s="39" t="str">
        <x:v>2026-08-05T00:15:00</x:v>
      </x:c>
      <x:c r="D5102" s="47" t="n">
        <x:v>30</x:v>
      </x:c>
      <x:c r="E5102" s="40" t="n">
        <x:v>20.2</x:v>
      </x:c>
      <x:c r="F5102" s="40" t="n">
        <x:v>18.47146224975586</x:v>
      </x:c>
      <x:c r="G5102" s="40" t="n">
        <x:v>19.4</x:v>
      </x:c>
      <x:c r="H5102" s="40" t="n">
        <x:f>F5102-E5102</x:f>
        <x:v>-1.72853775024414</x:v>
      </x:c>
      <x:c r="I5102" s="40" t="n">
        <x:f>ABS(H5102)</x:f>
        <x:v>1.72853775024414</x:v>
      </x:c>
      <x:c r="J5102" s="40" t="n">
        <x:f>H5102^2</x:f>
        <x:v>2.9878427540190726</x:v>
      </x:c>
      <x:c r="K5102" s="40" t="n">
        <x:f>G5102-E5102</x:f>
        <x:v>-0.8000000000000007</x:v>
      </x:c>
      <x:c r="L5102" s="40" t="n">
        <x:f>ABS(K5102)</x:f>
        <x:v>0.8000000000000007</x:v>
      </x:c>
      <x:c r="M5102" s="41" t="str">
        <x:v>lstm-soil-v1</x:v>
      </x:c>
    </x:row>
    <x:row r="5103">
      <x:c r="A5103" s="38" t="str">
        <x:v>7月30日现场数据</x:v>
      </x:c>
      <x:c r="B5103" s="39" t="str">
        <x:v>2026-08-04T23:45:00</x:v>
      </x:c>
      <x:c r="C5103" s="39" t="str">
        <x:v>2026-08-05T00:45:00</x:v>
      </x:c>
      <x:c r="D5103" s="47" t="n">
        <x:v>60</x:v>
      </x:c>
      <x:c r="E5103" s="40" t="n">
        <x:v>28.1</x:v>
      </x:c>
      <x:c r="F5103" s="40" t="n">
        <x:v>20.167163848876953</x:v>
      </x:c>
      <x:c r="G5103" s="40" t="n">
        <x:v>19.4</x:v>
      </x:c>
      <x:c r="H5103" s="40" t="n">
        <x:f>F5103-E5103</x:f>
        <x:v>-7.932836151123048</x:v>
      </x:c>
      <x:c r="I5103" s="40" t="n">
        <x:f>ABS(H5103)</x:f>
        <x:v>7.932836151123048</x:v>
      </x:c>
      <x:c r="J5103" s="40" t="n">
        <x:f>H5103^2</x:f>
        <x:v>62.92988940056474</x:v>
      </x:c>
      <x:c r="K5103" s="40" t="n">
        <x:f>G5103-E5103</x:f>
        <x:v>-8.700000000000003</x:v>
      </x:c>
      <x:c r="L5103" s="40" t="n">
        <x:f>ABS(K5103)</x:f>
        <x:v>8.700000000000003</x:v>
      </x:c>
      <x:c r="M5103" s="41" t="str">
        <x:v>lstm-soil-v1</x:v>
      </x:c>
    </x:row>
    <x:row r="5104">
      <x:c r="A5104" s="38" t="str">
        <x:v>7月30日现场数据</x:v>
      </x:c>
      <x:c r="B5104" s="39" t="str">
        <x:v>2026-08-04T23:50:00</x:v>
      </x:c>
      <x:c r="C5104" s="39" t="str">
        <x:v>2026-08-04T23:55:00</x:v>
      </x:c>
      <x:c r="D5104" s="47" t="n">
        <x:v>5</x:v>
      </x:c>
      <x:c r="E5104" s="40" t="n">
        <x:v>19.2</x:v>
      </x:c>
      <x:c r="F5104" s="40" t="n">
        <x:v>17.967182159423828</x:v>
      </x:c>
      <x:c r="G5104" s="40" t="n">
        <x:v>19.3</x:v>
      </x:c>
      <x:c r="H5104" s="40" t="n">
        <x:f>F5104-E5104</x:f>
        <x:v>-1.2328178405761712</x:v>
      </x:c>
      <x:c r="I5104" s="40" t="n">
        <x:f>ABS(H5104)</x:f>
        <x:v>1.2328178405761712</x:v>
      </x:c>
      <x:c r="J5104" s="40" t="n">
        <x:f>H5104^2</x:f>
        <x:v>1.5198398280428937</x:v>
      </x:c>
      <x:c r="K5104" s="40" t="n">
        <x:f>G5104-E5104</x:f>
        <x:v>0.10000000000000142</x:v>
      </x:c>
      <x:c r="L5104" s="40" t="n">
        <x:f>ABS(K5104)</x:f>
        <x:v>0.10000000000000142</x:v>
      </x:c>
      <x:c r="M5104" s="41" t="str">
        <x:v>lstm-soil-v1</x:v>
      </x:c>
    </x:row>
    <x:row r="5105">
      <x:c r="A5105" s="38" t="str">
        <x:v>7月30日现场数据</x:v>
      </x:c>
      <x:c r="B5105" s="39" t="str">
        <x:v>2026-08-04T23:50:00</x:v>
      </x:c>
      <x:c r="C5105" s="39" t="str">
        <x:v>2026-08-05T00:05:00</x:v>
      </x:c>
      <x:c r="D5105" s="47" t="n">
        <x:v>15</x:v>
      </x:c>
      <x:c r="E5105" s="40" t="n">
        <x:v>19.6</x:v>
      </x:c>
      <x:c r="F5105" s="40" t="n">
        <x:v>18.062923431396484</x:v>
      </x:c>
      <x:c r="G5105" s="40" t="n">
        <x:v>19.3</x:v>
      </x:c>
      <x:c r="H5105" s="40" t="n">
        <x:f>F5105-E5105</x:f>
        <x:v>-1.537076568603517</x:v>
      </x:c>
      <x:c r="I5105" s="40" t="n">
        <x:f>ABS(H5105)</x:f>
        <x:v>1.537076568603517</x:v>
      </x:c>
      <x:c r="J5105" s="40" t="n">
        <x:f>H5105^2</x:f>
        <x:v>2.3626043777499626</x:v>
      </x:c>
      <x:c r="K5105" s="40" t="n">
        <x:f>G5105-E5105</x:f>
        <x:v>-0.3000000000000007</x:v>
      </x:c>
      <x:c r="L5105" s="40" t="n">
        <x:f>ABS(K5105)</x:f>
        <x:v>0.3000000000000007</x:v>
      </x:c>
      <x:c r="M5105" s="41" t="str">
        <x:v>lstm-soil-v1</x:v>
      </x:c>
    </x:row>
    <x:row r="5106">
      <x:c r="A5106" s="38" t="str">
        <x:v>7月30日现场数据</x:v>
      </x:c>
      <x:c r="B5106" s="39" t="str">
        <x:v>2026-08-04T23:50:00</x:v>
      </x:c>
      <x:c r="C5106" s="39" t="str">
        <x:v>2026-08-05T00:20:00</x:v>
      </x:c>
      <x:c r="D5106" s="47" t="n">
        <x:v>30</x:v>
      </x:c>
      <x:c r="E5106" s="40" t="n">
        <x:v>19.9</x:v>
      </x:c>
      <x:c r="F5106" s="40" t="n">
        <x:v>18.363826751708984</x:v>
      </x:c>
      <x:c r="G5106" s="40" t="n">
        <x:v>19.3</x:v>
      </x:c>
      <x:c r="H5106" s="40" t="n">
        <x:f>F5106-E5106</x:f>
        <x:v>-1.5361732482910142</x:v>
      </x:c>
      <x:c r="I5106" s="40" t="n">
        <x:f>ABS(H5106)</x:f>
        <x:v>1.5361732482910142</x:v>
      </x:c>
      <x:c r="J5106" s="40" t="n">
        <x:f>H5106^2</x:f>
        <x:v>2.3598282487649658</x:v>
      </x:c>
      <x:c r="K5106" s="40" t="n">
        <x:f>G5106-E5106</x:f>
        <x:v>-0.5999999999999979</x:v>
      </x:c>
      <x:c r="L5106" s="40" t="n">
        <x:f>ABS(K5106)</x:f>
        <x:v>0.5999999999999979</x:v>
      </x:c>
      <x:c r="M5106" s="41" t="str">
        <x:v>lstm-soil-v1</x:v>
      </x:c>
    </x:row>
    <x:row r="5107">
      <x:c r="A5107" s="38" t="str">
        <x:v>7月30日现场数据</x:v>
      </x:c>
      <x:c r="B5107" s="39" t="str">
        <x:v>2026-08-04T23:50:00</x:v>
      </x:c>
      <x:c r="C5107" s="39" t="str">
        <x:v>2026-08-05T00:50:00</x:v>
      </x:c>
      <x:c r="D5107" s="47" t="n">
        <x:v>60</x:v>
      </x:c>
      <x:c r="E5107" s="40" t="n">
        <x:v>25.4</x:v>
      </x:c>
      <x:c r="F5107" s="40" t="n">
        <x:v>20.05816650390625</x:v>
      </x:c>
      <x:c r="G5107" s="40" t="n">
        <x:v>19.3</x:v>
      </x:c>
      <x:c r="H5107" s="40" t="n">
        <x:f>F5107-E5107</x:f>
        <x:v>-5.341833496093749</x:v>
      </x:c>
      <x:c r="I5107" s="40" t="n">
        <x:f>ABS(H5107)</x:f>
        <x:v>5.341833496093749</x:v>
      </x:c>
      <x:c r="J5107" s="40" t="n">
        <x:f>H5107^2</x:f>
        <x:v>28.53518509998916</x:v>
      </x:c>
      <x:c r="K5107" s="40" t="n">
        <x:f>G5107-E5107</x:f>
        <x:v>-6.099999999999998</x:v>
      </x:c>
      <x:c r="L5107" s="40" t="n">
        <x:f>ABS(K5107)</x:f>
        <x:v>6.099999999999998</x:v>
      </x:c>
      <x:c r="M5107" s="41" t="str">
        <x:v>lstm-soil-v1</x:v>
      </x:c>
    </x:row>
    <x:row r="5108">
      <x:c r="A5108" s="38" t="str">
        <x:v>7月30日现场数据</x:v>
      </x:c>
      <x:c r="B5108" s="39" t="str">
        <x:v>2026-08-04T23:55:00</x:v>
      </x:c>
      <x:c r="C5108" s="39" t="str">
        <x:v>2026-08-05T00:00:00</x:v>
      </x:c>
      <x:c r="D5108" s="47" t="n">
        <x:v>5</x:v>
      </x:c>
      <x:c r="E5108" s="40" t="n">
        <x:v>18.6</x:v>
      </x:c>
      <x:c r="F5108" s="40" t="n">
        <x:v>17.857162475585938</x:v>
      </x:c>
      <x:c r="G5108" s="40" t="n">
        <x:v>19.2</x:v>
      </x:c>
      <x:c r="H5108" s="40" t="n">
        <x:f>F5108-E5108</x:f>
        <x:v>-0.7428375244140639</x:v>
      </x:c>
      <x:c r="I5108" s="40" t="n">
        <x:f>ABS(H5108)</x:f>
        <x:v>0.7428375244140639</x:v>
      </x:c>
      <x:c r="J5108" s="40" t="n">
        <x:f>H5108^2</x:f>
        <x:v>0.5518075876776151</x:v>
      </x:c>
      <x:c r="K5108" s="40" t="n">
        <x:f>G5108-E5108</x:f>
        <x:v>0.5999999999999979</x:v>
      </x:c>
      <x:c r="L5108" s="40" t="n">
        <x:f>ABS(K5108)</x:f>
        <x:v>0.5999999999999979</x:v>
      </x:c>
      <x:c r="M5108" s="41" t="str">
        <x:v>lstm-soil-v1</x:v>
      </x:c>
    </x:row>
    <x:row r="5109">
      <x:c r="A5109" s="38" t="str">
        <x:v>7月30日现场数据</x:v>
      </x:c>
      <x:c r="B5109" s="39" t="str">
        <x:v>2026-08-04T23:55:00</x:v>
      </x:c>
      <x:c r="C5109" s="39" t="str">
        <x:v>2026-08-05T00:10:00</x:v>
      </x:c>
      <x:c r="D5109" s="47" t="n">
        <x:v>15</x:v>
      </x:c>
      <x:c r="E5109" s="40" t="n">
        <x:v>19.9</x:v>
      </x:c>
      <x:c r="F5109" s="40" t="n">
        <x:v>17.952186584472656</x:v>
      </x:c>
      <x:c r="G5109" s="40" t="n">
        <x:v>19.2</x:v>
      </x:c>
      <x:c r="H5109" s="40" t="n">
        <x:f>F5109-E5109</x:f>
        <x:v>-1.9478134155273423</x:v>
      </x:c>
      <x:c r="I5109" s="40" t="n">
        <x:f>ABS(H5109)</x:f>
        <x:v>1.9478134155273423</x:v>
      </x:c>
      <x:c r="J5109" s="40" t="n">
        <x:f>H5109^2</x:f>
        <x:v>3.793977101708291</x:v>
      </x:c>
      <x:c r="K5109" s="40" t="n">
        <x:f>G5109-E5109</x:f>
        <x:v>-0.6999999999999993</x:v>
      </x:c>
      <x:c r="L5109" s="40" t="n">
        <x:f>ABS(K5109)</x:f>
        <x:v>0.6999999999999993</x:v>
      </x:c>
      <x:c r="M5109" s="41" t="str">
        <x:v>lstm-soil-v1</x:v>
      </x:c>
    </x:row>
    <x:row r="5110">
      <x:c r="A5110" s="38" t="str">
        <x:v>7月30日现场数据</x:v>
      </x:c>
      <x:c r="B5110" s="39" t="str">
        <x:v>2026-08-04T23:55:00</x:v>
      </x:c>
      <x:c r="C5110" s="39" t="str">
        <x:v>2026-08-05T00:25:00</x:v>
      </x:c>
      <x:c r="D5110" s="47" t="n">
        <x:v>30</x:v>
      </x:c>
      <x:c r="E5110" s="40" t="n">
        <x:v>22.7</x:v>
      </x:c>
      <x:c r="F5110" s="40" t="n">
        <x:v>18.256370544433594</x:v>
      </x:c>
      <x:c r="G5110" s="40" t="n">
        <x:v>19.2</x:v>
      </x:c>
      <x:c r="H5110" s="40" t="n">
        <x:f>F5110-E5110</x:f>
        <x:v>-4.4436294555664055</x:v>
      </x:c>
      <x:c r="I5110" s="40" t="n">
        <x:f>ABS(H5110)</x:f>
        <x:v>4.4436294555664055</x:v>
      </x:c>
      <x:c r="J5110" s="40" t="n">
        <x:f>H5110^2</x:f>
        <x:v>19.74584273837739</x:v>
      </x:c>
      <x:c r="K5110" s="40" t="n">
        <x:f>G5110-E5110</x:f>
        <x:v>-3.5</x:v>
      </x:c>
      <x:c r="L5110" s="40" t="n">
        <x:f>ABS(K5110)</x:f>
        <x:v>3.5</x:v>
      </x:c>
      <x:c r="M5110" s="41" t="str">
        <x:v>lstm-soil-v1</x:v>
      </x:c>
    </x:row>
    <x:row r="5111">
      <x:c r="A5111" s="38" t="str">
        <x:v>7月30日现场数据</x:v>
      </x:c>
      <x:c r="B5111" s="39" t="str">
        <x:v>2026-08-04T23:55:00</x:v>
      </x:c>
      <x:c r="C5111" s="39" t="str">
        <x:v>2026-08-05T00:55:00</x:v>
      </x:c>
      <x:c r="D5111" s="47" t="n">
        <x:v>60</x:v>
      </x:c>
      <x:c r="E5111" s="40" t="n">
        <x:v>24.2</x:v>
      </x:c>
      <x:c r="F5111" s="40" t="n">
        <x:v>19.94927978515625</x:v>
      </x:c>
      <x:c r="G5111" s="40" t="n">
        <x:v>19.2</x:v>
      </x:c>
      <x:c r="H5111" s="40" t="n">
        <x:f>F5111-E5111</x:f>
        <x:v>-4.250720214843749</x:v>
      </x:c>
      <x:c r="I5111" s="40" t="n">
        <x:f>ABS(H5111)</x:f>
        <x:v>4.250720214843749</x:v>
      </x:c>
      <x:c r="J5111" s="40" t="n">
        <x:f>H5111^2</x:f>
        <x:v>18.06862234488129</x:v>
      </x:c>
      <x:c r="K5111" s="40" t="n">
        <x:f>G5111-E5111</x:f>
        <x:v>-5</x:v>
      </x:c>
      <x:c r="L5111" s="40" t="n">
        <x:f>ABS(K5111)</x:f>
        <x:v>5</x:v>
      </x:c>
      <x:c r="M5111" s="41" t="str">
        <x:v>lstm-soil-v1</x:v>
      </x:c>
    </x:row>
    <x:row r="5112">
      <x:c r="A5112" s="38" t="str">
        <x:v>7月30日现场数据</x:v>
      </x:c>
      <x:c r="B5112" s="39" t="str">
        <x:v>2026-08-05T00:00:00</x:v>
      </x:c>
      <x:c r="C5112" s="39" t="str">
        <x:v>2026-08-05T00:05:00</x:v>
      </x:c>
      <x:c r="D5112" s="47" t="n">
        <x:v>5</x:v>
      </x:c>
      <x:c r="E5112" s="40" t="n">
        <x:v>19.6</x:v>
      </x:c>
      <x:c r="F5112" s="40" t="n">
        <x:v>17.191455841064453</x:v>
      </x:c>
      <x:c r="G5112" s="40" t="n">
        <x:v>18.6</x:v>
      </x:c>
      <x:c r="H5112" s="40" t="n">
        <x:f>F5112-E5112</x:f>
        <x:v>-2.4085441589355483</x:v>
      </x:c>
      <x:c r="I5112" s="40" t="n">
        <x:f>ABS(H5112)</x:f>
        <x:v>2.4085441589355483</x:v>
      </x:c>
      <x:c r="J5112" s="40" t="n">
        <x:f>H5112^2</x:f>
        <x:v>5.801084965542548</x:v>
      </x:c>
      <x:c r="K5112" s="40" t="n">
        <x:f>G5112-E5112</x:f>
        <x:v>-1</x:v>
      </x:c>
      <x:c r="L5112" s="40" t="n">
        <x:f>ABS(K5112)</x:f>
        <x:v>1</x:v>
      </x:c>
      <x:c r="M5112" s="41" t="str">
        <x:v>lstm-soil-v1</x:v>
      </x:c>
    </x:row>
    <x:row r="5113">
      <x:c r="A5113" s="38" t="str">
        <x:v>7月30日现场数据</x:v>
      </x:c>
      <x:c r="B5113" s="39" t="str">
        <x:v>2026-08-05T00:00:00</x:v>
      </x:c>
      <x:c r="C5113" s="39" t="str">
        <x:v>2026-08-05T00:15:00</x:v>
      </x:c>
      <x:c r="D5113" s="47" t="n">
        <x:v>15</x:v>
      </x:c>
      <x:c r="E5113" s="40" t="n">
        <x:v>20.2</x:v>
      </x:c>
      <x:c r="F5113" s="40" t="n">
        <x:v>17.286903381347656</x:v>
      </x:c>
      <x:c r="G5113" s="40" t="n">
        <x:v>18.6</x:v>
      </x:c>
      <x:c r="H5113" s="40" t="n">
        <x:f>F5113-E5113</x:f>
        <x:v>-2.913096618652343</x:v>
      </x:c>
      <x:c r="I5113" s="40" t="n">
        <x:f>ABS(H5113)</x:f>
        <x:v>2.913096618652343</x:v>
      </x:c>
      <x:c r="J5113" s="40" t="n">
        <x:f>H5113^2</x:f>
        <x:v>8.486131909603715</x:v>
      </x:c>
      <x:c r="K5113" s="40" t="n">
        <x:f>G5113-E5113</x:f>
        <x:v>-1.5999999999999979</x:v>
      </x:c>
      <x:c r="L5113" s="40" t="n">
        <x:f>ABS(K5113)</x:f>
        <x:v>1.5999999999999979</x:v>
      </x:c>
      <x:c r="M5113" s="41" t="str">
        <x:v>lstm-soil-v1</x:v>
      </x:c>
    </x:row>
    <x:row r="5114">
      <x:c r="A5114" s="38" t="str">
        <x:v>7月30日现场数据</x:v>
      </x:c>
      <x:c r="B5114" s="39" t="str">
        <x:v>2026-08-05T00:00:00</x:v>
      </x:c>
      <x:c r="C5114" s="39" t="str">
        <x:v>2026-08-05T00:30:00</x:v>
      </x:c>
      <x:c r="D5114" s="47" t="n">
        <x:v>30</x:v>
      </x:c>
      <x:c r="E5114" s="40" t="n">
        <x:v>24.3</x:v>
      </x:c>
      <x:c r="F5114" s="40" t="n">
        <x:v>17.59326934814453</x:v>
      </x:c>
      <x:c r="G5114" s="40" t="n">
        <x:v>18.6</x:v>
      </x:c>
      <x:c r="H5114" s="40" t="n">
        <x:f>F5114-E5114</x:f>
        <x:v>-6.7067306518554695</x:v>
      </x:c>
      <x:c r="I5114" s="40" t="n">
        <x:f>ABS(H5114)</x:f>
        <x:v>6.7067306518554695</x:v>
      </x:c>
      <x:c r="J5114" s="40" t="n">
        <x:f>H5114^2</x:f>
        <x:v>44.98023603653769</x:v>
      </x:c>
      <x:c r="K5114" s="40" t="n">
        <x:f>G5114-E5114</x:f>
        <x:v>-5.699999999999999</x:v>
      </x:c>
      <x:c r="L5114" s="40" t="n">
        <x:f>ABS(K5114)</x:f>
        <x:v>5.699999999999999</x:v>
      </x:c>
      <x:c r="M5114" s="41" t="str">
        <x:v>lstm-soil-v1</x:v>
      </x:c>
    </x:row>
    <x:row r="5115">
      <x:c r="A5115" s="38" t="str">
        <x:v>7月30日现场数据</x:v>
      </x:c>
      <x:c r="B5115" s="39" t="str">
        <x:v>2026-08-05T00:00:00</x:v>
      </x:c>
      <x:c r="C5115" s="39" t="str">
        <x:v>2026-08-05T01:00:00</x:v>
      </x:c>
      <x:c r="D5115" s="47" t="n">
        <x:v>60</x:v>
      </x:c>
      <x:c r="E5115" s="40" t="n">
        <x:v>23.4</x:v>
      </x:c>
      <x:c r="F5115" s="40" t="n">
        <x:v>19.28167724609375</x:v>
      </x:c>
      <x:c r="G5115" s="40" t="n">
        <x:v>18.6</x:v>
      </x:c>
      <x:c r="H5115" s="40" t="n">
        <x:f>F5115-E5115</x:f>
        <x:v>-4.118322753906249</x:v>
      </x:c>
      <x:c r="I5115" s="40" t="n">
        <x:f>ABS(H5115)</x:f>
        <x:v>4.118322753906249</x:v>
      </x:c>
      <x:c r="J5115" s="40" t="n">
        <x:f>H5115^2</x:f>
        <x:v>16.960582305341948</x:v>
      </x:c>
      <x:c r="K5115" s="40" t="n">
        <x:f>G5115-E5115</x:f>
        <x:v>-4.799999999999997</x:v>
      </x:c>
      <x:c r="L5115" s="40" t="n">
        <x:f>ABS(K5115)</x:f>
        <x:v>4.799999999999997</x:v>
      </x:c>
      <x:c r="M5115" s="41" t="str">
        <x:v>lstm-soil-v1</x:v>
      </x:c>
    </x:row>
    <x:row r="5116">
      <x:c r="A5116" s="38" t="str">
        <x:v>7月30日现场数据</x:v>
      </x:c>
      <x:c r="B5116" s="39" t="str">
        <x:v>2026-08-05T00:05:00</x:v>
      </x:c>
      <x:c r="C5116" s="39" t="str">
        <x:v>2026-08-05T00:10:00</x:v>
      </x:c>
      <x:c r="D5116" s="47" t="n">
        <x:v>5</x:v>
      </x:c>
      <x:c r="E5116" s="40" t="n">
        <x:v>19.9</x:v>
      </x:c>
      <x:c r="F5116" s="40" t="n">
        <x:v>18.29233169555664</x:v>
      </x:c>
      <x:c r="G5116" s="40" t="n">
        <x:v>19.6</x:v>
      </x:c>
      <x:c r="H5116" s="40" t="n">
        <x:f>F5116-E5116</x:f>
        <x:v>-1.607668304443358</x:v>
      </x:c>
      <x:c r="I5116" s="40" t="n">
        <x:f>ABS(H5116)</x:f>
        <x:v>1.607668304443358</x:v>
      </x:c>
      <x:c r="J5116" s="40" t="n">
        <x:f>H5116^2</x:f>
        <x:v>2.5845973771117814</x:v>
      </x:c>
      <x:c r="K5116" s="40" t="n">
        <x:f>G5116-E5116</x:f>
        <x:v>-0.29999999999999716</x:v>
      </x:c>
      <x:c r="L5116" s="40" t="n">
        <x:f>ABS(K5116)</x:f>
        <x:v>0.29999999999999716</x:v>
      </x:c>
      <x:c r="M5116" s="41" t="str">
        <x:v>lstm-soil-v1</x:v>
      </x:c>
    </x:row>
    <x:row r="5117">
      <x:c r="A5117" s="38" t="str">
        <x:v>7月30日现场数据</x:v>
      </x:c>
      <x:c r="B5117" s="39" t="str">
        <x:v>2026-08-05T00:05:00</x:v>
      </x:c>
      <x:c r="C5117" s="39" t="str">
        <x:v>2026-08-05T00:20:00</x:v>
      </x:c>
      <x:c r="D5117" s="47" t="n">
        <x:v>15</x:v>
      </x:c>
      <x:c r="E5117" s="40" t="n">
        <x:v>19.9</x:v>
      </x:c>
      <x:c r="F5117" s="40" t="n">
        <x:v>18.386638641357422</x:v>
      </x:c>
      <x:c r="G5117" s="40" t="n">
        <x:v>19.6</x:v>
      </x:c>
      <x:c r="H5117" s="40" t="n">
        <x:f>F5117-E5117</x:f>
        <x:v>-1.5133613586425767</x:v>
      </x:c>
      <x:c r="I5117" s="40" t="n">
        <x:f>ABS(H5117)</x:f>
        <x:v>1.5133613586425767</x:v>
      </x:c>
      <x:c r="J5117" s="40" t="n">
        <x:f>H5117^2</x:f>
        <x:v>2.290262601832506</x:v>
      </x:c>
      <x:c r="K5117" s="40" t="n">
        <x:f>G5117-E5117</x:f>
        <x:v>-0.29999999999999716</x:v>
      </x:c>
      <x:c r="L5117" s="40" t="n">
        <x:f>ABS(K5117)</x:f>
        <x:v>0.29999999999999716</x:v>
      </x:c>
      <x:c r="M5117" s="41" t="str">
        <x:v>lstm-soil-v1</x:v>
      </x:c>
    </x:row>
    <x:row r="5118">
      <x:c r="A5118" s="38" t="str">
        <x:v>7月30日现场数据</x:v>
      </x:c>
      <x:c r="B5118" s="39" t="str">
        <x:v>2026-08-05T00:05:00</x:v>
      </x:c>
      <x:c r="C5118" s="39" t="str">
        <x:v>2026-08-05T00:35:00</x:v>
      </x:c>
      <x:c r="D5118" s="47" t="n">
        <x:v>30</x:v>
      </x:c>
      <x:c r="E5118" s="40" t="n">
        <x:v>23.5</x:v>
      </x:c>
      <x:c r="F5118" s="40" t="n">
        <x:v>18.697834014892578</x:v>
      </x:c>
      <x:c r="G5118" s="40" t="n">
        <x:v>19.6</x:v>
      </x:c>
      <x:c r="H5118" s="40" t="n">
        <x:f>F5118-E5118</x:f>
        <x:v>-4.802165985107422</x:v>
      </x:c>
      <x:c r="I5118" s="40" t="n">
        <x:f>ABS(H5118)</x:f>
        <x:v>4.802165985107422</x:v>
      </x:c>
      <x:c r="J5118" s="40" t="n">
        <x:f>H5118^2</x:f>
        <x:v>23.060798148522736</x:v>
      </x:c>
      <x:c r="K5118" s="40" t="n">
        <x:f>G5118-E5118</x:f>
        <x:v>-3.8999999999999986</x:v>
      </x:c>
      <x:c r="L5118" s="40" t="n">
        <x:f>ABS(K5118)</x:f>
        <x:v>3.8999999999999986</x:v>
      </x:c>
      <x:c r="M5118" s="41" t="str">
        <x:v>lstm-soil-v1</x:v>
      </x:c>
    </x:row>
    <x:row r="5119">
      <x:c r="A5119" s="38" t="str">
        <x:v>7月30日现场数据</x:v>
      </x:c>
      <x:c r="B5119" s="39" t="str">
        <x:v>2026-08-05T00:05:00</x:v>
      </x:c>
      <x:c r="C5119" s="39" t="str">
        <x:v>2026-08-05T01:05:00</x:v>
      </x:c>
      <x:c r="D5119" s="47" t="n">
        <x:v>60</x:v>
      </x:c>
      <x:c r="E5119" s="40" t="n">
        <x:v>22.7</x:v>
      </x:c>
      <x:c r="F5119" s="40" t="n">
        <x:v>20.38058090209961</x:v>
      </x:c>
      <x:c r="G5119" s="40" t="n">
        <x:v>19.6</x:v>
      </x:c>
      <x:c r="H5119" s="40" t="n">
        <x:f>F5119-E5119</x:f>
        <x:v>-2.31941909790039</x:v>
      </x:c>
      <x:c r="I5119" s="40" t="n">
        <x:f>ABS(H5119)</x:f>
        <x:v>2.31941909790039</x:v>
      </x:c>
      <x:c r="J5119" s="40" t="n">
        <x:f>H5119^2</x:f>
        <x:v>5.379704951705058</x:v>
      </x:c>
      <x:c r="K5119" s="40" t="n">
        <x:f>G5119-E5119</x:f>
        <x:v>-3.099999999999998</x:v>
      </x:c>
      <x:c r="L5119" s="40" t="n">
        <x:f>ABS(K5119)</x:f>
        <x:v>3.099999999999998</x:v>
      </x:c>
      <x:c r="M5119" s="41" t="str">
        <x:v>lstm-soil-v1</x:v>
      </x:c>
    </x:row>
    <x:row r="5120">
      <x:c r="A5120" s="38" t="str">
        <x:v>7月30日现场数据</x:v>
      </x:c>
      <x:c r="B5120" s="39" t="str">
        <x:v>2026-08-05T00:10:00</x:v>
      </x:c>
      <x:c r="C5120" s="39" t="str">
        <x:v>2026-08-05T00:15:00</x:v>
      </x:c>
      <x:c r="D5120" s="47" t="n">
        <x:v>5</x:v>
      </x:c>
      <x:c r="E5120" s="40" t="n">
        <x:v>20.2</x:v>
      </x:c>
      <x:c r="F5120" s="40" t="n">
        <x:v>18.62497329711914</x:v>
      </x:c>
      <x:c r="G5120" s="40" t="n">
        <x:v>19.9</x:v>
      </x:c>
      <x:c r="H5120" s="40" t="n">
        <x:f>F5120-E5120</x:f>
        <x:v>-1.5750267028808587</x:v>
      </x:c>
      <x:c r="I5120" s="40" t="n">
        <x:f>ABS(H5120)</x:f>
        <x:v>1.5750267028808587</x:v>
      </x:c>
      <x:c r="J5120" s="40" t="n">
        <x:f>H5120^2</x:f>
        <x:v>2.4807091147877487</x:v>
      </x:c>
      <x:c r="K5120" s="40" t="n">
        <x:f>G5120-E5120</x:f>
        <x:v>-0.3000000000000007</x:v>
      </x:c>
      <x:c r="L5120" s="40" t="n">
        <x:f>ABS(K5120)</x:f>
        <x:v>0.3000000000000007</x:v>
      </x:c>
      <x:c r="M5120" s="41" t="str">
        <x:v>lstm-soil-v1</x:v>
      </x:c>
    </x:row>
    <x:row r="5121">
      <x:c r="A5121" s="38" t="str">
        <x:v>7月30日现场数据</x:v>
      </x:c>
      <x:c r="B5121" s="39" t="str">
        <x:v>2026-08-05T00:10:00</x:v>
      </x:c>
      <x:c r="C5121" s="39" t="str">
        <x:v>2026-08-05T00:25:00</x:v>
      </x:c>
      <x:c r="D5121" s="47" t="n">
        <x:v>15</x:v>
      </x:c>
      <x:c r="E5121" s="40" t="n">
        <x:v>22.7</x:v>
      </x:c>
      <x:c r="F5121" s="40" t="n">
        <x:v>18.717769622802734</x:v>
      </x:c>
      <x:c r="G5121" s="40" t="n">
        <x:v>19.9</x:v>
      </x:c>
      <x:c r="H5121" s="40" t="n">
        <x:f>F5121-E5121</x:f>
        <x:v>-3.982230377197265</x:v>
      </x:c>
      <x:c r="I5121" s="40" t="n">
        <x:f>ABS(H5121)</x:f>
        <x:v>3.982230377197265</x:v>
      </x:c>
      <x:c r="J5121" s="40" t="n">
        <x:f>H5121^2</x:f>
        <x:v>15.85815877707267</x:v>
      </x:c>
      <x:c r="K5121" s="40" t="n">
        <x:f>G5121-E5121</x:f>
        <x:v>-2.8000000000000007</x:v>
      </x:c>
      <x:c r="L5121" s="40" t="n">
        <x:f>ABS(K5121)</x:f>
        <x:v>2.8000000000000007</x:v>
      </x:c>
      <x:c r="M5121" s="41" t="str">
        <x:v>lstm-soil-v1</x:v>
      </x:c>
    </x:row>
    <x:row r="5122">
      <x:c r="A5122" s="38" t="str">
        <x:v>7月30日现场数据</x:v>
      </x:c>
      <x:c r="B5122" s="39" t="str">
        <x:v>2026-08-05T00:10:00</x:v>
      </x:c>
      <x:c r="C5122" s="39" t="str">
        <x:v>2026-08-05T00:40:00</x:v>
      </x:c>
      <x:c r="D5122" s="47" t="n">
        <x:v>30</x:v>
      </x:c>
      <x:c r="E5122" s="40" t="n">
        <x:v>25.1</x:v>
      </x:c>
      <x:c r="F5122" s="40" t="n">
        <x:v>19.03343963623047</x:v>
      </x:c>
      <x:c r="G5122" s="40" t="n">
        <x:v>19.9</x:v>
      </x:c>
      <x:c r="H5122" s="40" t="n">
        <x:f>F5122-E5122</x:f>
        <x:v>-6.066560363769533</x:v>
      </x:c>
      <x:c r="I5122" s="40" t="n">
        <x:f>ABS(H5122)</x:f>
        <x:v>6.066560363769533</x:v>
      </x:c>
      <x:c r="J5122" s="40" t="n">
        <x:f>H5122^2</x:f>
        <x:v>36.803154647259525</x:v>
      </x:c>
      <x:c r="K5122" s="40" t="n">
        <x:f>G5122-E5122</x:f>
        <x:v>-5.200000000000003</x:v>
      </x:c>
      <x:c r="L5122" s="40" t="n">
        <x:f>ABS(K5122)</x:f>
        <x:v>5.200000000000003</x:v>
      </x:c>
      <x:c r="M5122" s="41" t="str">
        <x:v>lstm-soil-v1</x:v>
      </x:c>
    </x:row>
    <x:row r="5123">
      <x:c r="A5123" s="38" t="str">
        <x:v>7月30日现场数据</x:v>
      </x:c>
      <x:c r="B5123" s="39" t="str">
        <x:v>2026-08-05T00:10:00</x:v>
      </x:c>
      <x:c r="C5123" s="39" t="str">
        <x:v>2026-08-05T01:10:00</x:v>
      </x:c>
      <x:c r="D5123" s="47" t="n">
        <x:v>60</x:v>
      </x:c>
      <x:c r="E5123" s="40" t="n">
        <x:v>22.3</x:v>
      </x:c>
      <x:c r="F5123" s="40" t="n">
        <x:v>20.711483001708984</x:v>
      </x:c>
      <x:c r="G5123" s="40" t="n">
        <x:v>19.9</x:v>
      </x:c>
      <x:c r="H5123" s="40" t="n">
        <x:f>F5123-E5123</x:f>
        <x:v>-1.5885169982910163</x:v>
      </x:c>
      <x:c r="I5123" s="40" t="n">
        <x:f>ABS(H5123)</x:f>
        <x:v>1.5885169982910163</x:v>
      </x:c>
      <x:c r="J5123" s="40" t="n">
        <x:f>H5123^2</x:f>
        <x:v>2.523386253859501</x:v>
      </x:c>
      <x:c r="K5123" s="40" t="n">
        <x:f>G5123-E5123</x:f>
        <x:v>-2.400000000000002</x:v>
      </x:c>
      <x:c r="L5123" s="40" t="n">
        <x:f>ABS(K5123)</x:f>
        <x:v>2.400000000000002</x:v>
      </x:c>
      <x:c r="M5123" s="41" t="str">
        <x:v>lstm-soil-v1</x:v>
      </x:c>
    </x:row>
    <x:row r="5124">
      <x:c r="A5124" s="38" t="str">
        <x:v>7月30日现场数据</x:v>
      </x:c>
      <x:c r="B5124" s="39" t="str">
        <x:v>2026-08-05T00:15:00</x:v>
      </x:c>
      <x:c r="C5124" s="39" t="str">
        <x:v>2026-08-05T00:20:00</x:v>
      </x:c>
      <x:c r="D5124" s="47" t="n">
        <x:v>5</x:v>
      </x:c>
      <x:c r="E5124" s="40" t="n">
        <x:v>19.9</x:v>
      </x:c>
      <x:c r="F5124" s="40" t="n">
        <x:v>18.958335876464844</x:v>
      </x:c>
      <x:c r="G5124" s="40" t="n">
        <x:v>20.2</x:v>
      </x:c>
      <x:c r="H5124" s="40" t="n">
        <x:f>F5124-E5124</x:f>
        <x:v>-0.9416641235351548</x:v>
      </x:c>
      <x:c r="I5124" s="40" t="n">
        <x:f>ABS(H5124)</x:f>
        <x:v>0.9416641235351548</x:v>
      </x:c>
      <x:c r="J5124" s="40" t="n">
        <x:f>H5124^2</x:f>
        <x:v>0.8867313215532313</x:v>
      </x:c>
      <x:c r="K5124" s="40" t="n">
        <x:f>G5124-E5124</x:f>
        <x:v>0.3000000000000007</x:v>
      </x:c>
      <x:c r="L5124" s="40" t="n">
        <x:f>ABS(K5124)</x:f>
        <x:v>0.3000000000000007</x:v>
      </x:c>
      <x:c r="M5124" s="41" t="str">
        <x:v>lstm-soil-v1</x:v>
      </x:c>
    </x:row>
    <x:row r="5125">
      <x:c r="A5125" s="38" t="str">
        <x:v>7月30日现场数据</x:v>
      </x:c>
      <x:c r="B5125" s="39" t="str">
        <x:v>2026-08-05T00:15:00</x:v>
      </x:c>
      <x:c r="C5125" s="39" t="str">
        <x:v>2026-08-05T00:30:00</x:v>
      </x:c>
      <x:c r="D5125" s="47" t="n">
        <x:v>15</x:v>
      </x:c>
      <x:c r="E5125" s="40" t="n">
        <x:v>24.3</x:v>
      </x:c>
      <x:c r="F5125" s="40" t="n">
        <x:v>19.049732208251953</x:v>
      </x:c>
      <x:c r="G5125" s="40" t="n">
        <x:v>20.2</x:v>
      </x:c>
      <x:c r="H5125" s="40" t="n">
        <x:f>F5125-E5125</x:f>
        <x:v>-5.250267791748048</x:v>
      </x:c>
      <x:c r="I5125" s="40" t="n">
        <x:f>ABS(H5125)</x:f>
        <x:v>5.250267791748048</x:v>
      </x:c>
      <x:c r="J5125" s="40" t="n">
        <x:f>H5125^2</x:f>
        <x:v>27.56531188506692</x:v>
      </x:c>
      <x:c r="K5125" s="40" t="n">
        <x:f>G5125-E5125</x:f>
        <x:v>-4.100000000000001</x:v>
      </x:c>
      <x:c r="L5125" s="40" t="n">
        <x:f>ABS(K5125)</x:f>
        <x:v>4.100000000000001</x:v>
      </x:c>
      <x:c r="M5125" s="41" t="str">
        <x:v>lstm-soil-v1</x:v>
      </x:c>
    </x:row>
    <x:row r="5126">
      <x:c r="A5126" s="38" t="str">
        <x:v>7月30日现场数据</x:v>
      </x:c>
      <x:c r="B5126" s="39" t="str">
        <x:v>2026-08-05T00:15:00</x:v>
      </x:c>
      <x:c r="C5126" s="39" t="str">
        <x:v>2026-08-05T00:45:00</x:v>
      </x:c>
      <x:c r="D5126" s="47" t="n">
        <x:v>30</x:v>
      </x:c>
      <x:c r="E5126" s="40" t="n">
        <x:v>28.1</x:v>
      </x:c>
      <x:c r="F5126" s="40" t="n">
        <x:v>19.368370056152344</x:v>
      </x:c>
      <x:c r="G5126" s="40" t="n">
        <x:v>20.2</x:v>
      </x:c>
      <x:c r="H5126" s="40" t="n">
        <x:f>F5126-E5126</x:f>
        <x:v>-8.731629943847658</x:v>
      </x:c>
      <x:c r="I5126" s="40" t="n">
        <x:f>ABS(H5126)</x:f>
        <x:v>8.731629943847658</x:v>
      </x:c>
      <x:c r="J5126" s="40" t="n">
        <x:f>H5126^2</x:f>
        <x:v>76.24136147629704</x:v>
      </x:c>
      <x:c r="K5126" s="40" t="n">
        <x:f>G5126-E5126</x:f>
        <x:v>-7.900000000000002</x:v>
      </x:c>
      <x:c r="L5126" s="40" t="n">
        <x:f>ABS(K5126)</x:f>
        <x:v>7.900000000000002</x:v>
      </x:c>
      <x:c r="M5126" s="41" t="str">
        <x:v>lstm-soil-v1</x:v>
      </x:c>
    </x:row>
    <x:row r="5127">
      <x:c r="A5127" s="38" t="str">
        <x:v>7月30日现场数据</x:v>
      </x:c>
      <x:c r="B5127" s="39" t="str">
        <x:v>2026-08-05T00:15:00</x:v>
      </x:c>
      <x:c r="C5127" s="39" t="str">
        <x:v>2026-08-05T01:15:00</x:v>
      </x:c>
      <x:c r="D5127" s="47" t="n">
        <x:v>60</x:v>
      </x:c>
      <x:c r="E5127" s="40" t="n">
        <x:v>21.9</x:v>
      </x:c>
      <x:c r="F5127" s="40" t="n">
        <x:v>21.043575286865234</x:v>
      </x:c>
      <x:c r="G5127" s="40" t="n">
        <x:v>20.2</x:v>
      </x:c>
      <x:c r="H5127" s="40" t="n">
        <x:f>F5127-E5127</x:f>
        <x:v>-0.8564247131347642</x:v>
      </x:c>
      <x:c r="I5127" s="40" t="n">
        <x:f>ABS(H5127)</x:f>
        <x:v>0.8564247131347642</x:v>
      </x:c>
      <x:c r="J5127" s="40" t="n">
        <x:f>H5127^2</x:f>
        <x:v>0.7334632892679631</x:v>
      </x:c>
      <x:c r="K5127" s="40" t="n">
        <x:f>G5127-E5127</x:f>
        <x:v>-1.6999999999999993</x:v>
      </x:c>
      <x:c r="L5127" s="40" t="n">
        <x:f>ABS(K5127)</x:f>
        <x:v>1.6999999999999993</x:v>
      </x:c>
      <x:c r="M5127" s="41" t="str">
        <x:v>lstm-soil-v1</x:v>
      </x:c>
    </x:row>
    <x:row r="5128">
      <x:c r="A5128" s="38" t="str">
        <x:v>7月30日现场数据</x:v>
      </x:c>
      <x:c r="B5128" s="39" t="str">
        <x:v>2026-08-05T00:20:00</x:v>
      </x:c>
      <x:c r="C5128" s="39" t="str">
        <x:v>2026-08-05T00:25:00</x:v>
      </x:c>
      <x:c r="D5128" s="47" t="n">
        <x:v>5</x:v>
      </x:c>
      <x:c r="E5128" s="40" t="n">
        <x:v>22.7</x:v>
      </x:c>
      <x:c r="F5128" s="40" t="n">
        <x:v>18.629531860351562</x:v>
      </x:c>
      <x:c r="G5128" s="40" t="n">
        <x:v>19.9</x:v>
      </x:c>
      <x:c r="H5128" s="40" t="n">
        <x:f>F5128-E5128</x:f>
        <x:v>-4.070468139648437</x:v>
      </x:c>
      <x:c r="I5128" s="40" t="n">
        <x:f>ABS(H5128)</x:f>
        <x:v>4.070468139648437</x:v>
      </x:c>
      <x:c r="J5128" s="40" t="n">
        <x:f>H5128^2</x:f>
        <x:v>16.568710875893007</x:v>
      </x:c>
      <x:c r="K5128" s="40" t="n">
        <x:f>G5128-E5128</x:f>
        <x:v>-2.8000000000000007</x:v>
      </x:c>
      <x:c r="L5128" s="40" t="n">
        <x:f>ABS(K5128)</x:f>
        <x:v>2.8000000000000007</x:v>
      </x:c>
      <x:c r="M5128" s="41" t="str">
        <x:v>lstm-soil-v1</x:v>
      </x:c>
    </x:row>
    <x:row r="5129">
      <x:c r="A5129" s="38" t="str">
        <x:v>7月30日现场数据</x:v>
      </x:c>
      <x:c r="B5129" s="39" t="str">
        <x:v>2026-08-05T00:20:00</x:v>
      </x:c>
      <x:c r="C5129" s="39" t="str">
        <x:v>2026-08-05T00:35:00</x:v>
      </x:c>
      <x:c r="D5129" s="47" t="n">
        <x:v>15</x:v>
      </x:c>
      <x:c r="E5129" s="40" t="n">
        <x:v>23.5</x:v>
      </x:c>
      <x:c r="F5129" s="40" t="n">
        <x:v>18.72037124633789</x:v>
      </x:c>
      <x:c r="G5129" s="40" t="n">
        <x:v>19.9</x:v>
      </x:c>
      <x:c r="H5129" s="40" t="n">
        <x:f>F5129-E5129</x:f>
        <x:v>-4.779628753662109</x:v>
      </x:c>
      <x:c r="I5129" s="40" t="n">
        <x:f>ABS(H5129)</x:f>
        <x:v>4.779628753662109</x:v>
      </x:c>
      <x:c r="J5129" s="40" t="n">
        <x:f>H5129^2</x:f>
        <x:v>22.84485102283361</x:v>
      </x:c>
      <x:c r="K5129" s="40" t="n">
        <x:f>G5129-E5129</x:f>
        <x:v>-3.6000000000000014</x:v>
      </x:c>
      <x:c r="L5129" s="40" t="n">
        <x:f>ABS(K5129)</x:f>
        <x:v>3.6000000000000014</x:v>
      </x:c>
      <x:c r="M5129" s="41" t="str">
        <x:v>lstm-soil-v1</x:v>
      </x:c>
    </x:row>
    <x:row r="5130">
      <x:c r="A5130" s="38" t="str">
        <x:v>7月30日现场数据</x:v>
      </x:c>
      <x:c r="B5130" s="39" t="str">
        <x:v>2026-08-05T00:20:00</x:v>
      </x:c>
      <x:c r="C5130" s="39" t="str">
        <x:v>2026-08-05T00:50:00</x:v>
      </x:c>
      <x:c r="D5130" s="47" t="n">
        <x:v>30</x:v>
      </x:c>
      <x:c r="E5130" s="40" t="n">
        <x:v>25.4</x:v>
      </x:c>
      <x:c r="F5130" s="40" t="n">
        <x:v>19.04034423828125</x:v>
      </x:c>
      <x:c r="G5130" s="40" t="n">
        <x:v>19.9</x:v>
      </x:c>
      <x:c r="H5130" s="40" t="n">
        <x:f>F5130-E5130</x:f>
        <x:v>-6.359655761718749</x:v>
      </x:c>
      <x:c r="I5130" s="40" t="n">
        <x:f>ABS(H5130)</x:f>
        <x:v>6.359655761718749</x:v>
      </x:c>
      <x:c r="J5130" s="40" t="n">
        <x:f>H5130^2</x:f>
        <x:v>40.44522140756248</x:v>
      </x:c>
      <x:c r="K5130" s="40" t="n">
        <x:f>G5130-E5130</x:f>
        <x:v>-5.5</x:v>
      </x:c>
      <x:c r="L5130" s="40" t="n">
        <x:f>ABS(K5130)</x:f>
        <x:v>5.5</x:v>
      </x:c>
      <x:c r="M5130" s="41" t="str">
        <x:v>lstm-soil-v1</x:v>
      </x:c>
    </x:row>
    <x:row r="5131">
      <x:c r="A5131" s="38" t="str">
        <x:v>7月30日现场数据</x:v>
      </x:c>
      <x:c r="B5131" s="39" t="str">
        <x:v>2026-08-05T00:20:00</x:v>
      </x:c>
      <x:c r="C5131" s="39" t="str">
        <x:v>2026-08-05T01:20:00</x:v>
      </x:c>
      <x:c r="D5131" s="47" t="n">
        <x:v>60</x:v>
      </x:c>
      <x:c r="E5131" s="40" t="n">
        <x:v>21.7</x:v>
      </x:c>
      <x:c r="F5131" s="40" t="n">
        <x:v>20.71408462524414</x:v>
      </x:c>
      <x:c r="G5131" s="40" t="n">
        <x:v>19.9</x:v>
      </x:c>
      <x:c r="H5131" s="40" t="n">
        <x:f>F5131-E5131</x:f>
        <x:v>-0.9859153747558587</x:v>
      </x:c>
      <x:c r="I5131" s="40" t="n">
        <x:f>ABS(H5131)</x:f>
        <x:v>0.9859153747558587</x:v>
      </x:c>
      <x:c r="J5131" s="40" t="n">
        <x:f>H5131^2</x:f>
        <x:v>0.9720291261799853</x:v>
      </x:c>
      <x:c r="K5131" s="40" t="n">
        <x:f>G5131-E5131</x:f>
        <x:v>-1.8000000000000007</x:v>
      </x:c>
      <x:c r="L5131" s="40" t="n">
        <x:f>ABS(K5131)</x:f>
        <x:v>1.8000000000000007</x:v>
      </x:c>
      <x:c r="M5131" s="41" t="str">
        <x:v>lstm-soil-v1</x:v>
      </x:c>
    </x:row>
    <x:row r="5132">
      <x:c r="A5132" s="38" t="str">
        <x:v>7月30日现场数据</x:v>
      </x:c>
      <x:c r="B5132" s="39" t="str">
        <x:v>2026-08-05T00:25:00</x:v>
      </x:c>
      <x:c r="C5132" s="39" t="str">
        <x:v>2026-08-05T00:30:00</x:v>
      </x:c>
      <x:c r="D5132" s="47" t="n">
        <x:v>5</x:v>
      </x:c>
      <x:c r="E5132" s="40" t="n">
        <x:v>24.3</x:v>
      </x:c>
      <x:c r="F5132" s="40" t="n">
        <x:v>21.72173309326172</x:v>
      </x:c>
      <x:c r="G5132" s="40" t="n">
        <x:v>22.7</x:v>
      </x:c>
      <x:c r="H5132" s="40" t="n">
        <x:f>F5132-E5132</x:f>
        <x:v>-2.578266906738282</x:v>
      </x:c>
      <x:c r="I5132" s="40" t="n">
        <x:f>ABS(H5132)</x:f>
        <x:v>2.578266906738282</x:v>
      </x:c>
      <x:c r="J5132" s="40" t="n">
        <x:f>H5132^2</x:f>
        <x:v>6.647460242381789</x:v>
      </x:c>
      <x:c r="K5132" s="40" t="n">
        <x:f>G5132-E5132</x:f>
        <x:v>-1.6000000000000014</x:v>
      </x:c>
      <x:c r="L5132" s="40" t="n">
        <x:f>ABS(K5132)</x:f>
        <x:v>1.6000000000000014</x:v>
      </x:c>
      <x:c r="M5132" s="41" t="str">
        <x:v>lstm-soil-v1</x:v>
      </x:c>
    </x:row>
    <x:row r="5133">
      <x:c r="A5133" s="38" t="str">
        <x:v>7月30日现场数据</x:v>
      </x:c>
      <x:c r="B5133" s="39" t="str">
        <x:v>2026-08-05T00:25:00</x:v>
      </x:c>
      <x:c r="C5133" s="39" t="str">
        <x:v>2026-08-05T00:40:00</x:v>
      </x:c>
      <x:c r="D5133" s="47" t="n">
        <x:v>15</x:v>
      </x:c>
      <x:c r="E5133" s="40" t="n">
        <x:v>25.1</x:v>
      </x:c>
      <x:c r="F5133" s="40" t="n">
        <x:v>21.809406280517578</x:v>
      </x:c>
      <x:c r="G5133" s="40" t="n">
        <x:v>22.7</x:v>
      </x:c>
      <x:c r="H5133" s="40" t="n">
        <x:f>F5133-E5133</x:f>
        <x:v>-3.2905937194824233</x:v>
      </x:c>
      <x:c r="I5133" s="40" t="n">
        <x:f>ABS(H5133)</x:f>
        <x:v>3.2905937194824233</x:v>
      </x:c>
      <x:c r="J5133" s="40" t="n">
        <x:f>H5133^2</x:f>
        <x:v>10.828007026697168</x:v>
      </x:c>
      <x:c r="K5133" s="40" t="n">
        <x:f>G5133-E5133</x:f>
        <x:v>-2.400000000000002</x:v>
      </x:c>
      <x:c r="L5133" s="40" t="n">
        <x:f>ABS(K5133)</x:f>
        <x:v>2.400000000000002</x:v>
      </x:c>
      <x:c r="M5133" s="41" t="str">
        <x:v>lstm-soil-v1</x:v>
      </x:c>
    </x:row>
    <x:row r="5134">
      <x:c r="A5134" s="38" t="str">
        <x:v>7月30日现场数据</x:v>
      </x:c>
      <x:c r="B5134" s="39" t="str">
        <x:v>2026-08-05T00:25:00</x:v>
      </x:c>
      <x:c r="C5134" s="39" t="str">
        <x:v>2026-08-05T00:55:00</x:v>
      </x:c>
      <x:c r="D5134" s="47" t="n">
        <x:v>30</x:v>
      </x:c>
      <x:c r="E5134" s="40" t="n">
        <x:v>24.2</x:v>
      </x:c>
      <x:c r="F5134" s="40" t="n">
        <x:v>22.12944793701172</x:v>
      </x:c>
      <x:c r="G5134" s="40" t="n">
        <x:v>22.7</x:v>
      </x:c>
      <x:c r="H5134" s="40" t="n">
        <x:f>F5134-E5134</x:f>
        <x:v>-2.0705520629882805</x:v>
      </x:c>
      <x:c r="I5134" s="40" t="n">
        <x:f>ABS(H5134)</x:f>
        <x:v>2.0705520629882805</x:v>
      </x:c>
      <x:c r="J5134" s="40" t="n">
        <x:f>H5134^2</x:f>
        <x:v>4.287185845545024</x:v>
      </x:c>
      <x:c r="K5134" s="40" t="n">
        <x:f>G5134-E5134</x:f>
        <x:v>-1.5</x:v>
      </x:c>
      <x:c r="L5134" s="40" t="n">
        <x:f>ABS(K5134)</x:f>
        <x:v>1.5</x:v>
      </x:c>
      <x:c r="M5134" s="41" t="str">
        <x:v>lstm-soil-v1</x:v>
      </x:c>
    </x:row>
    <x:row r="5135">
      <x:c r="A5135" s="38" t="str">
        <x:v>7月30日现场数据</x:v>
      </x:c>
      <x:c r="B5135" s="39" t="str">
        <x:v>2026-08-05T00:25:00</x:v>
      </x:c>
      <x:c r="C5135" s="39" t="str">
        <x:v>2026-08-05T01:25:00</x:v>
      </x:c>
      <x:c r="D5135" s="47" t="n">
        <x:v>60</x:v>
      </x:c>
      <x:c r="E5135" s="40" t="n">
        <x:v>21.4</x:v>
      </x:c>
      <x:c r="F5135" s="40" t="n">
        <x:v>23.804790496826172</x:v>
      </x:c>
      <x:c r="G5135" s="40" t="n">
        <x:v>22.7</x:v>
      </x:c>
      <x:c r="H5135" s="40" t="n">
        <x:f>F5135-E5135</x:f>
        <x:v>2.4047904968261733</x:v>
      </x:c>
      <x:c r="I5135" s="40" t="n">
        <x:f>ABS(H5135)</x:f>
        <x:v>2.4047904968261733</x:v>
      </x:c>
      <x:c r="J5135" s="40" t="n">
        <x:f>H5135^2</x:f>
        <x:v>5.783017333625473</x:v>
      </x:c>
      <x:c r="K5135" s="40" t="n">
        <x:f>G5135-E5135</x:f>
        <x:v>1.3000000000000007</x:v>
      </x:c>
      <x:c r="L5135" s="40" t="n">
        <x:f>ABS(K5135)</x:f>
        <x:v>1.3000000000000007</x:v>
      </x:c>
      <x:c r="M5135" s="41" t="str">
        <x:v>lstm-soil-v1</x:v>
      </x:c>
    </x:row>
    <x:row r="5136">
      <x:c r="A5136" s="38" t="str">
        <x:v>7月30日现场数据</x:v>
      </x:c>
      <x:c r="B5136" s="39" t="str">
        <x:v>2026-08-05T00:30:00</x:v>
      </x:c>
      <x:c r="C5136" s="39" t="str">
        <x:v>2026-08-05T00:35:00</x:v>
      </x:c>
      <x:c r="D5136" s="47" t="n">
        <x:v>5</x:v>
      </x:c>
      <x:c r="E5136" s="40" t="n">
        <x:v>23.5</x:v>
      </x:c>
      <x:c r="F5136" s="40" t="n">
        <x:v>23.495609283447266</x:v>
      </x:c>
      <x:c r="G5136" s="40" t="n">
        <x:v>24.3</x:v>
      </x:c>
      <x:c r="H5136" s="40" t="n">
        <x:f>F5136-E5136</x:f>
        <x:v>-0.004390716552734375</x:v>
      </x:c>
      <x:c r="I5136" s="40" t="n">
        <x:f>ABS(H5136)</x:f>
        <x:v>0.004390716552734375</x:v>
      </x:c>
      <x:c r="J5136" s="40" t="n">
        <x:f>H5136^2</x:f>
        <x:v>0.000019278391846455634</x:v>
      </x:c>
      <x:c r="K5136" s="40" t="n">
        <x:f>G5136-E5136</x:f>
        <x:v>0.8000000000000007</x:v>
      </x:c>
      <x:c r="L5136" s="40" t="n">
        <x:f>ABS(K5136)</x:f>
        <x:v>0.8000000000000007</x:v>
      </x:c>
      <x:c r="M5136" s="41" t="str">
        <x:v>lstm-soil-v1</x:v>
      </x:c>
    </x:row>
    <x:row r="5137">
      <x:c r="A5137" s="38" t="str">
        <x:v>7月30日现场数据</x:v>
      </x:c>
      <x:c r="B5137" s="39" t="str">
        <x:v>2026-08-05T00:30:00</x:v>
      </x:c>
      <x:c r="C5137" s="39" t="str">
        <x:v>2026-08-05T00:45:00</x:v>
      </x:c>
      <x:c r="D5137" s="47" t="n">
        <x:v>15</x:v>
      </x:c>
      <x:c r="E5137" s="40" t="n">
        <x:v>28.1</x:v>
      </x:c>
      <x:c r="F5137" s="40" t="n">
        <x:v>23.580581665039062</x:v>
      </x:c>
      <x:c r="G5137" s="40" t="n">
        <x:v>24.3</x:v>
      </x:c>
      <x:c r="H5137" s="40" t="n">
        <x:f>F5137-E5137</x:f>
        <x:v>-4.519418334960939</x:v>
      </x:c>
      <x:c r="I5137" s="40" t="n">
        <x:f>ABS(H5137)</x:f>
        <x:v>4.519418334960939</x:v>
      </x:c>
      <x:c r="J5137" s="40" t="n">
        <x:f>H5137^2</x:f>
        <x:v>20.425142086381104</x:v>
      </x:c>
      <x:c r="K5137" s="40" t="n">
        <x:f>G5137-E5137</x:f>
        <x:v>-3.8000000000000007</x:v>
      </x:c>
      <x:c r="L5137" s="40" t="n">
        <x:f>ABS(K5137)</x:f>
        <x:v>3.8000000000000007</x:v>
      </x:c>
      <x:c r="M5137" s="41" t="str">
        <x:v>lstm-soil-v1</x:v>
      </x:c>
    </x:row>
    <x:row r="5138">
      <x:c r="A5138" s="38" t="str">
        <x:v>7月30日现场数据</x:v>
      </x:c>
      <x:c r="B5138" s="39" t="str">
        <x:v>2026-08-05T00:30:00</x:v>
      </x:c>
      <x:c r="C5138" s="39" t="str">
        <x:v>2026-08-05T01:00:00</x:v>
      </x:c>
      <x:c r="D5138" s="47" t="n">
        <x:v>30</x:v>
      </x:c>
      <x:c r="E5138" s="40" t="n">
        <x:v>23.4</x:v>
      </x:c>
      <x:c r="F5138" s="40" t="n">
        <x:v>23.89513397216797</x:v>
      </x:c>
      <x:c r="G5138" s="40" t="n">
        <x:v>24.3</x:v>
      </x:c>
      <x:c r="H5138" s="40" t="n">
        <x:f>F5138-E5138</x:f>
        <x:v>0.49513397216797017</x:v>
      </x:c>
      <x:c r="I5138" s="40" t="n">
        <x:f>ABS(H5138)</x:f>
        <x:v>0.49513397216797017</x:v>
      </x:c>
      <x:c r="J5138" s="40" t="n">
        <x:f>H5138^2</x:f>
        <x:v>0.24515765039483225</x:v>
      </x:c>
      <x:c r="K5138" s="40" t="n">
        <x:f>G5138-E5138</x:f>
        <x:v>0.9000000000000021</x:v>
      </x:c>
      <x:c r="L5138" s="40" t="n">
        <x:f>ABS(K5138)</x:f>
        <x:v>0.9000000000000021</x:v>
      </x:c>
      <x:c r="M5138" s="41" t="str">
        <x:v>lstm-soil-v1</x:v>
      </x:c>
    </x:row>
    <x:row r="5139">
      <x:c r="A5139" s="38" t="str">
        <x:v>7月30日现场数据</x:v>
      </x:c>
      <x:c r="B5139" s="39" t="str">
        <x:v>2026-08-05T00:30:00</x:v>
      </x:c>
      <x:c r="C5139" s="39" t="str">
        <x:v>2026-08-05T01:30:00</x:v>
      </x:c>
      <x:c r="D5139" s="47" t="n">
        <x:v>60</x:v>
      </x:c>
      <x:c r="E5139" s="40" t="n">
        <x:v>21.3</x:v>
      </x:c>
      <x:c r="F5139" s="40" t="n">
        <x:v>25.57562255859375</x:v>
      </x:c>
      <x:c r="G5139" s="40" t="n">
        <x:v>24.3</x:v>
      </x:c>
      <x:c r="H5139" s="40" t="n">
        <x:f>F5139-E5139</x:f>
        <x:v>4.275622558593749</x:v>
      </x:c>
      <x:c r="I5139" s="40" t="n">
        <x:f>ABS(H5139)</x:f>
        <x:v>4.275622558593749</x:v>
      </x:c>
      <x:c r="J5139" s="40" t="n">
        <x:f>H5139^2</x:f>
        <x:v>18.28094826355576</x:v>
      </x:c>
      <x:c r="K5139" s="40" t="n">
        <x:f>G5139-E5139</x:f>
        <x:v>3</x:v>
      </x:c>
      <x:c r="L5139" s="40" t="n">
        <x:f>ABS(K5139)</x:f>
        <x:v>3</x:v>
      </x:c>
      <x:c r="M5139" s="41" t="str">
        <x:v>lstm-soil-v1</x:v>
      </x:c>
    </x:row>
    <x:row r="5140">
      <x:c r="A5140" s="38" t="str">
        <x:v>7月30日现场数据</x:v>
      </x:c>
      <x:c r="B5140" s="39" t="str">
        <x:v>2026-08-05T00:35:00</x:v>
      </x:c>
      <x:c r="C5140" s="39" t="str">
        <x:v>2026-08-05T00:40:00</x:v>
      </x:c>
      <x:c r="D5140" s="47" t="n">
        <x:v>5</x:v>
      </x:c>
      <x:c r="E5140" s="40" t="n">
        <x:v>25.1</x:v>
      </x:c>
      <x:c r="F5140" s="40" t="n">
        <x:v>22.61937713623047</x:v>
      </x:c>
      <x:c r="G5140" s="40" t="n">
        <x:v>23.5</x:v>
      </x:c>
      <x:c r="H5140" s="40" t="n">
        <x:f>F5140-E5140</x:f>
        <x:v>-2.4806228637695327</x:v>
      </x:c>
      <x:c r="I5140" s="40" t="n">
        <x:f>ABS(H5140)</x:f>
        <x:v>2.4806228637695327</x:v>
      </x:c>
      <x:c r="J5140" s="40" t="n">
        <x:f>H5140^2</x:f>
        <x:v>6.153489792256157</x:v>
      </x:c>
      <x:c r="K5140" s="40" t="n">
        <x:f>G5140-E5140</x:f>
        <x:v>-1.6000000000000014</x:v>
      </x:c>
      <x:c r="L5140" s="40" t="n">
        <x:f>ABS(K5140)</x:f>
        <x:v>1.6000000000000014</x:v>
      </x:c>
      <x:c r="M5140" s="41" t="str">
        <x:v>lstm-soil-v1</x:v>
      </x:c>
    </x:row>
    <x:row r="5141">
      <x:c r="A5141" s="38" t="str">
        <x:v>7月30日现场数据</x:v>
      </x:c>
      <x:c r="B5141" s="39" t="str">
        <x:v>2026-08-05T00:35:00</x:v>
      </x:c>
      <x:c r="C5141" s="39" t="str">
        <x:v>2026-08-05T00:50:00</x:v>
      </x:c>
      <x:c r="D5141" s="47" t="n">
        <x:v>15</x:v>
      </x:c>
      <x:c r="E5141" s="40" t="n">
        <x:v>25.4</x:v>
      </x:c>
      <x:c r="F5141" s="40" t="n">
        <x:v>22.704696655273438</x:v>
      </x:c>
      <x:c r="G5141" s="40" t="n">
        <x:v>23.5</x:v>
      </x:c>
      <x:c r="H5141" s="40" t="n">
        <x:f>F5141-E5141</x:f>
        <x:v>-2.695303344726561</x:v>
      </x:c>
      <x:c r="I5141" s="40" t="n">
        <x:f>ABS(H5141)</x:f>
        <x:v>2.695303344726561</x:v>
      </x:c>
      <x:c r="J5141" s="40" t="n">
        <x:f>H5141^2</x:f>
        <x:v>7.264660120094187</x:v>
      </x:c>
      <x:c r="K5141" s="40" t="n">
        <x:f>G5141-E5141</x:f>
        <x:v>-1.8999999999999986</x:v>
      </x:c>
      <x:c r="L5141" s="40" t="n">
        <x:f>ABS(K5141)</x:f>
        <x:v>1.8999999999999986</x:v>
      </x:c>
      <x:c r="M5141" s="41" t="str">
        <x:v>lstm-soil-v1</x:v>
      </x:c>
    </x:row>
    <x:row r="5142">
      <x:c r="A5142" s="38" t="str">
        <x:v>7月30日现场数据</x:v>
      </x:c>
      <x:c r="B5142" s="39" t="str">
        <x:v>2026-08-05T00:35:00</x:v>
      </x:c>
      <x:c r="C5142" s="39" t="str">
        <x:v>2026-08-05T01:05:00</x:v>
      </x:c>
      <x:c r="D5142" s="47" t="n">
        <x:v>30</x:v>
      </x:c>
      <x:c r="E5142" s="40" t="n">
        <x:v>22.7</x:v>
      </x:c>
      <x:c r="F5142" s="40" t="n">
        <x:v>23.008373260498047</x:v>
      </x:c>
      <x:c r="G5142" s="40" t="n">
        <x:v>23.5</x:v>
      </x:c>
      <x:c r="H5142" s="40" t="n">
        <x:f>F5142-E5142</x:f>
        <x:v>0.3083732604980476</x:v>
      </x:c>
      <x:c r="I5142" s="40" t="n">
        <x:f>ABS(H5142)</x:f>
        <x:v>0.3083732604980476</x:v>
      </x:c>
      <x:c r="J5142" s="40" t="n">
        <x:f>H5142^2</x:f>
        <x:v>0.09509406779019672</x:v>
      </x:c>
      <x:c r="K5142" s="40" t="n">
        <x:f>G5142-E5142</x:f>
        <x:v>0.8000000000000007</x:v>
      </x:c>
      <x:c r="L5142" s="40" t="n">
        <x:f>ABS(K5142)</x:f>
        <x:v>0.8000000000000007</x:v>
      </x:c>
      <x:c r="M5142" s="41" t="str">
        <x:v>lstm-soil-v1</x:v>
      </x:c>
    </x:row>
    <x:row r="5143">
      <x:c r="A5143" s="38" t="str">
        <x:v>7月30日现场数据</x:v>
      </x:c>
      <x:c r="B5143" s="39" t="str">
        <x:v>2026-08-05T00:35:00</x:v>
      </x:c>
      <x:c r="C5143" s="39" t="str">
        <x:v>2026-08-05T01:35:00</x:v>
      </x:c>
      <x:c r="D5143" s="47" t="n">
        <x:v>60</x:v>
      </x:c>
      <x:c r="E5143" s="40" t="n">
        <x:v>21.1</x:v>
      </x:c>
      <x:c r="F5143" s="40" t="n">
        <x:v>24.69574546813965</x:v>
      </x:c>
      <x:c r="G5143" s="40" t="n">
        <x:v>23.5</x:v>
      </x:c>
      <x:c r="H5143" s="40" t="n">
        <x:f>F5143-E5143</x:f>
        <x:v>3.595745468139647</x:v>
      </x:c>
      <x:c r="I5143" s="40" t="n">
        <x:f>ABS(H5143)</x:f>
        <x:v>3.595745468139647</x:v>
      </x:c>
      <x:c r="J5143" s="40" t="n">
        <x:f>H5143^2</x:f>
        <x:v>12.929385471646809</x:v>
      </x:c>
      <x:c r="K5143" s="40" t="n">
        <x:f>G5143-E5143</x:f>
        <x:v>2.3999999999999986</x:v>
      </x:c>
      <x:c r="L5143" s="40" t="n">
        <x:f>ABS(K5143)</x:f>
        <x:v>2.3999999999999986</x:v>
      </x:c>
      <x:c r="M5143" s="41" t="str">
        <x:v>lstm-soil-v1</x:v>
      </x:c>
    </x:row>
    <x:row r="5144">
      <x:c r="A5144" s="38" t="str">
        <x:v>7月30日现场数据</x:v>
      </x:c>
      <x:c r="B5144" s="39" t="str">
        <x:v>2026-08-05T00:40:00</x:v>
      </x:c>
      <x:c r="C5144" s="39" t="str">
        <x:v>2026-08-05T00:45:00</x:v>
      </x:c>
      <x:c r="D5144" s="47" t="n">
        <x:v>5</x:v>
      </x:c>
      <x:c r="E5144" s="40" t="n">
        <x:v>28.1</x:v>
      </x:c>
      <x:c r="F5144" s="40" t="n">
        <x:v>24.387065887451172</x:v>
      </x:c>
      <x:c r="G5144" s="40" t="n">
        <x:v>25.1</x:v>
      </x:c>
      <x:c r="H5144" s="40" t="n">
        <x:f>F5144-E5144</x:f>
        <x:v>-3.7129341125488295</x:v>
      </x:c>
      <x:c r="I5144" s="40" t="n">
        <x:f>ABS(H5144)</x:f>
        <x:v>3.7129341125488295</x:v>
      </x:c>
      <x:c r="J5144" s="40" t="n">
        <x:f>H5144^2</x:f>
        <x:v>13.785879724128764</x:v>
      </x:c>
      <x:c r="K5144" s="40" t="n">
        <x:f>G5144-E5144</x:f>
        <x:v>-3</x:v>
      </x:c>
      <x:c r="L5144" s="40" t="n">
        <x:f>ABS(K5144)</x:f>
        <x:v>3</x:v>
      </x:c>
      <x:c r="M5144" s="41" t="str">
        <x:v>lstm-soil-v1</x:v>
      </x:c>
    </x:row>
    <x:row r="5145">
      <x:c r="A5145" s="38" t="str">
        <x:v>7月30日现场数据</x:v>
      </x:c>
      <x:c r="B5145" s="39" t="str">
        <x:v>2026-08-05T00:40:00</x:v>
      </x:c>
      <x:c r="C5145" s="39" t="str">
        <x:v>2026-08-05T00:55:00</x:v>
      </x:c>
      <x:c r="D5145" s="47" t="n">
        <x:v>15</x:v>
      </x:c>
      <x:c r="E5145" s="40" t="n">
        <x:v>24.2</x:v>
      </x:c>
      <x:c r="F5145" s="40" t="n">
        <x:v>24.468425750732422</x:v>
      </x:c>
      <x:c r="G5145" s="40" t="n">
        <x:v>25.1</x:v>
      </x:c>
      <x:c r="H5145" s="40" t="n">
        <x:f>F5145-E5145</x:f>
        <x:v>0.2684257507324226</x:v>
      </x:c>
      <x:c r="I5145" s="40" t="n">
        <x:f>ABS(H5145)</x:f>
        <x:v>0.2684257507324226</x:v>
      </x:c>
      <x:c r="J5145" s="40" t="n">
        <x:f>H5145^2</x:f>
        <x:v>0.07205238365626467</x:v>
      </x:c>
      <x:c r="K5145" s="40" t="n">
        <x:f>G5145-E5145</x:f>
        <x:v>0.9000000000000021</x:v>
      </x:c>
      <x:c r="L5145" s="40" t="n">
        <x:f>ABS(K5145)</x:f>
        <x:v>0.9000000000000021</x:v>
      </x:c>
      <x:c r="M5145" s="41" t="str">
        <x:v>lstm-soil-v1</x:v>
      </x:c>
    </x:row>
    <x:row r="5146">
      <x:c r="A5146" s="38" t="str">
        <x:v>7月30日现场数据</x:v>
      </x:c>
      <x:c r="B5146" s="39" t="str">
        <x:v>2026-08-05T00:40:00</x:v>
      </x:c>
      <x:c r="C5146" s="39" t="str">
        <x:v>2026-08-05T01:10:00</x:v>
      </x:c>
      <x:c r="D5146" s="47" t="n">
        <x:v>30</x:v>
      </x:c>
      <x:c r="E5146" s="40" t="n">
        <x:v>22.3</x:v>
      </x:c>
      <x:c r="F5146" s="40" t="n">
        <x:v>24.763935089111328</x:v>
      </x:c>
      <x:c r="G5146" s="40" t="n">
        <x:v>25.1</x:v>
      </x:c>
      <x:c r="H5146" s="40" t="n">
        <x:f>F5146-E5146</x:f>
        <x:v>2.4639350891113274</x:v>
      </x:c>
      <x:c r="I5146" s="40" t="n">
        <x:f>ABS(H5146)</x:f>
        <x:v>2.4639350891113274</x:v>
      </x:c>
      <x:c r="J5146" s="40" t="n">
        <x:f>H5146^2</x:f>
        <x:v>6.070976123354045</x:v>
      </x:c>
      <x:c r="K5146" s="40" t="n">
        <x:f>G5146-E5146</x:f>
        <x:v>2.8000000000000007</x:v>
      </x:c>
      <x:c r="L5146" s="40" t="n">
        <x:f>ABS(K5146)</x:f>
        <x:v>2.8000000000000007</x:v>
      </x:c>
      <x:c r="M5146" s="41" t="str">
        <x:v>lstm-soil-v1</x:v>
      </x:c>
    </x:row>
    <x:row r="5147">
      <x:c r="A5147" s="38" t="str">
        <x:v>7月30日现场数据</x:v>
      </x:c>
      <x:c r="B5147" s="39" t="str">
        <x:v>2026-08-05T00:40:00</x:v>
      </x:c>
      <x:c r="C5147" s="39" t="str">
        <x:v>2026-08-05T01:40:00</x:v>
      </x:c>
      <x:c r="D5147" s="47" t="n">
        <x:v>60</x:v>
      </x:c>
      <x:c r="E5147" s="40" t="n">
        <x:v>21</x:v>
      </x:c>
      <x:c r="F5147" s="40" t="n">
        <x:v>26.457061767578125</x:v>
      </x:c>
      <x:c r="G5147" s="40" t="n">
        <x:v>25.1</x:v>
      </x:c>
      <x:c r="H5147" s="40" t="n">
        <x:f>F5147-E5147</x:f>
        <x:v>5.457061767578125</x:v>
      </x:c>
      <x:c r="I5147" s="40" t="n">
        <x:f>ABS(H5147)</x:f>
        <x:v>5.457061767578125</x:v>
      </x:c>
      <x:c r="J5147" s="40" t="n">
        <x:f>H5147^2</x:f>
        <x:v>29.77952313516289</x:v>
      </x:c>
      <x:c r="K5147" s="40" t="n">
        <x:f>G5147-E5147</x:f>
        <x:v>4.100000000000001</x:v>
      </x:c>
      <x:c r="L5147" s="40" t="n">
        <x:f>ABS(K5147)</x:f>
        <x:v>4.100000000000001</x:v>
      </x:c>
      <x:c r="M5147" s="41" t="str">
        <x:v>lstm-soil-v1</x:v>
      </x:c>
    </x:row>
    <x:row r="5148">
      <x:c r="A5148" s="38" t="str">
        <x:v>7月30日现场数据</x:v>
      </x:c>
      <x:c r="B5148" s="39" t="str">
        <x:v>2026-08-05T00:45:00</x:v>
      </x:c>
      <x:c r="C5148" s="39" t="str">
        <x:v>2026-08-05T00:50:00</x:v>
      </x:c>
      <x:c r="D5148" s="47" t="n">
        <x:v>5</x:v>
      </x:c>
      <x:c r="E5148" s="40" t="n">
        <x:v>25.4</x:v>
      </x:c>
      <x:c r="F5148" s="40" t="n">
        <x:v>27.70600128173828</x:v>
      </x:c>
      <x:c r="G5148" s="40" t="n">
        <x:v>28.1</x:v>
      </x:c>
      <x:c r="H5148" s="40" t="n">
        <x:f>F5148-E5148</x:f>
        <x:v>2.3060012817382827</x:v>
      </x:c>
      <x:c r="I5148" s="40" t="n">
        <x:f>ABS(H5148)</x:f>
        <x:v>2.3060012817382827</x:v>
      </x:c>
      <x:c r="J5148" s="40" t="n">
        <x:f>H5148^2</x:f>
        <x:v>5.317641911378603</x:v>
      </x:c>
      <x:c r="K5148" s="40" t="n">
        <x:f>G5148-E5148</x:f>
        <x:v>2.700000000000003</x:v>
      </x:c>
      <x:c r="L5148" s="40" t="n">
        <x:f>ABS(K5148)</x:f>
        <x:v>2.700000000000003</x:v>
      </x:c>
      <x:c r="M5148" s="41" t="str">
        <x:v>lstm-soil-v1</x:v>
      </x:c>
    </x:row>
    <x:row r="5149">
      <x:c r="A5149" s="38" t="str">
        <x:v>7月30日现场数据</x:v>
      </x:c>
      <x:c r="B5149" s="39" t="str">
        <x:v>2026-08-05T00:45:00</x:v>
      </x:c>
      <x:c r="C5149" s="39" t="str">
        <x:v>2026-08-05T01:00:00</x:v>
      </x:c>
      <x:c r="D5149" s="47" t="n">
        <x:v>15</x:v>
      </x:c>
      <x:c r="E5149" s="40" t="n">
        <x:v>23.4</x:v>
      </x:c>
      <x:c r="F5149" s="40" t="n">
        <x:v>27.776691436767578</x:v>
      </x:c>
      <x:c r="G5149" s="40" t="n">
        <x:v>28.1</x:v>
      </x:c>
      <x:c r="H5149" s="40" t="n">
        <x:f>F5149-E5149</x:f>
        <x:v>4.3766914367675795</x:v>
      </x:c>
      <x:c r="I5149" s="40" t="n">
        <x:f>ABS(H5149)</x:f>
        <x:v>4.3766914367675795</x:v>
      </x:c>
      <x:c r="J5149" s="40" t="n">
        <x:f>H5149^2</x:f>
        <x:v>19.15542793267466</x:v>
      </x:c>
      <x:c r="K5149" s="40" t="n">
        <x:f>G5149-E5149</x:f>
        <x:v>4.700000000000003</x:v>
      </x:c>
      <x:c r="L5149" s="40" t="n">
        <x:f>ABS(K5149)</x:f>
        <x:v>4.700000000000003</x:v>
      </x:c>
      <x:c r="M5149" s="41" t="str">
        <x:v>lstm-soil-v1</x:v>
      </x:c>
    </x:row>
    <x:row r="5150">
      <x:c r="A5150" s="38" t="str">
        <x:v>7月30日现场数据</x:v>
      </x:c>
      <x:c r="B5150" s="39" t="str">
        <x:v>2026-08-05T00:45:00</x:v>
      </x:c>
      <x:c r="C5150" s="39" t="str">
        <x:v>2026-08-05T01:15:00</x:v>
      </x:c>
      <x:c r="D5150" s="47" t="n">
        <x:v>30</x:v>
      </x:c>
      <x:c r="E5150" s="40" t="n">
        <x:v>21.9</x:v>
      </x:c>
      <x:c r="F5150" s="40" t="n">
        <x:v>28.063247680664062</x:v>
      </x:c>
      <x:c r="G5150" s="40" t="n">
        <x:v>28.1</x:v>
      </x:c>
      <x:c r="H5150" s="40" t="n">
        <x:f>F5150-E5150</x:f>
        <x:v>6.163247680664064</x:v>
      </x:c>
      <x:c r="I5150" s="40" t="n">
        <x:f>ABS(H5150)</x:f>
        <x:v>6.163247680664064</x:v>
      </x:c>
      <x:c r="J5150" s="40" t="n">
        <x:f>H5150^2</x:f>
        <x:v>37.98562197321096</x:v>
      </x:c>
      <x:c r="K5150" s="40" t="n">
        <x:f>G5150-E5150</x:f>
        <x:v>6.200000000000003</x:v>
      </x:c>
      <x:c r="L5150" s="40" t="n">
        <x:f>ABS(K5150)</x:f>
        <x:v>6.200000000000003</x:v>
      </x:c>
      <x:c r="M5150" s="41" t="str">
        <x:v>lstm-soil-v1</x:v>
      </x:c>
    </x:row>
    <x:row r="5151">
      <x:c r="A5151" s="38" t="str">
        <x:v>7月30日现场数据</x:v>
      </x:c>
      <x:c r="B5151" s="39" t="str">
        <x:v>2026-08-05T00:45:00</x:v>
      </x:c>
      <x:c r="C5151" s="39" t="str">
        <x:v>2026-08-05T01:45:00</x:v>
      </x:c>
      <x:c r="D5151" s="47" t="n">
        <x:v>60</x:v>
      </x:c>
      <x:c r="E5151" s="40" t="n">
        <x:v>20.8</x:v>
      </x:c>
      <x:c r="F5151" s="40" t="n">
        <x:v>29.75759506225586</x:v>
      </x:c>
      <x:c r="G5151" s="40" t="n">
        <x:v>28.1</x:v>
      </x:c>
      <x:c r="H5151" s="40" t="n">
        <x:f>F5151-E5151</x:f>
        <x:v>8.957595062255859</x:v>
      </x:c>
      <x:c r="I5151" s="40" t="n">
        <x:f>ABS(H5151)</x:f>
        <x:v>8.957595062255859</x:v>
      </x:c>
      <x:c r="J5151" s="40" t="n">
        <x:f>H5151^2</x:f>
        <x:v>80.23850929935054</x:v>
      </x:c>
      <x:c r="K5151" s="40" t="n">
        <x:f>G5151-E5151</x:f>
        <x:v>7.300000000000001</x:v>
      </x:c>
      <x:c r="L5151" s="40" t="n">
        <x:f>ABS(K5151)</x:f>
        <x:v>7.300000000000001</x:v>
      </x:c>
      <x:c r="M5151" s="41" t="str">
        <x:v>lstm-soil-v1</x:v>
      </x:c>
    </x:row>
    <x:row r="5152">
      <x:c r="A5152" s="38" t="str">
        <x:v>7月30日现场数据</x:v>
      </x:c>
      <x:c r="B5152" s="39" t="str">
        <x:v>2026-08-05T00:50:00</x:v>
      </x:c>
      <x:c r="C5152" s="39" t="str">
        <x:v>2026-08-05T00:55:00</x:v>
      </x:c>
      <x:c r="D5152" s="47" t="n">
        <x:v>5</x:v>
      </x:c>
      <x:c r="E5152" s="40" t="n">
        <x:v>24.2</x:v>
      </x:c>
      <x:c r="F5152" s="40" t="n">
        <x:v>24.734970092773438</x:v>
      </x:c>
      <x:c r="G5152" s="40" t="n">
        <x:v>25.4</x:v>
      </x:c>
      <x:c r="H5152" s="40" t="n">
        <x:f>F5152-E5152</x:f>
        <x:v>0.5349700927734382</x:v>
      </x:c>
      <x:c r="I5152" s="40" t="n">
        <x:f>ABS(H5152)</x:f>
        <x:v>0.5349700927734382</x:v>
      </x:c>
      <x:c r="J5152" s="40" t="n">
        <x:f>H5152^2</x:f>
        <x:v>0.2861930001620211</x:v>
      </x:c>
      <x:c r="K5152" s="40" t="n">
        <x:f>G5152-E5152</x:f>
        <x:v>1.1999999999999993</x:v>
      </x:c>
      <x:c r="L5152" s="40" t="n">
        <x:f>ABS(K5152)</x:f>
        <x:v>1.1999999999999993</x:v>
      </x:c>
      <x:c r="M5152" s="41" t="str">
        <x:v>lstm-soil-v1</x:v>
      </x:c>
    </x:row>
    <x:row r="5153">
      <x:c r="A5153" s="38" t="str">
        <x:v>7月30日现场数据</x:v>
      </x:c>
      <x:c r="B5153" s="39" t="str">
        <x:v>2026-08-05T00:50:00</x:v>
      </x:c>
      <x:c r="C5153" s="39" t="str">
        <x:v>2026-08-05T01:05:00</x:v>
      </x:c>
      <x:c r="D5153" s="47" t="n">
        <x:v>15</x:v>
      </x:c>
      <x:c r="E5153" s="40" t="n">
        <x:v>22.7</x:v>
      </x:c>
      <x:c r="F5153" s="40" t="n">
        <x:v>24.798707962036133</x:v>
      </x:c>
      <x:c r="G5153" s="40" t="n">
        <x:v>25.4</x:v>
      </x:c>
      <x:c r="H5153" s="40" t="n">
        <x:f>F5153-E5153</x:f>
        <x:v>2.0987079620361335</x:v>
      </x:c>
      <x:c r="I5153" s="40" t="n">
        <x:f>ABS(H5153)</x:f>
        <x:v>2.0987079620361335</x:v>
      </x:c>
      <x:c r="J5153" s="40" t="n">
        <x:f>H5153^2</x:f>
        <x:v>4.404575109913861</x:v>
      </x:c>
      <x:c r="K5153" s="40" t="n">
        <x:f>G5153-E5153</x:f>
        <x:v>2.6999999999999993</x:v>
      </x:c>
      <x:c r="L5153" s="40" t="n">
        <x:f>ABS(K5153)</x:f>
        <x:v>2.6999999999999993</x:v>
      </x:c>
      <x:c r="M5153" s="41" t="str">
        <x:v>lstm-soil-v1</x:v>
      </x:c>
    </x:row>
    <x:row r="5154">
      <x:c r="A5154" s="38" t="str">
        <x:v>7月30日现场数据</x:v>
      </x:c>
      <x:c r="B5154" s="39" t="str">
        <x:v>2026-08-05T00:50:00</x:v>
      </x:c>
      <x:c r="C5154" s="39" t="str">
        <x:v>2026-08-05T01:20:00</x:v>
      </x:c>
      <x:c r="D5154" s="47" t="n">
        <x:v>30</x:v>
      </x:c>
      <x:c r="E5154" s="40" t="n">
        <x:v>21.7</x:v>
      </x:c>
      <x:c r="F5154" s="40" t="n">
        <x:v>25.067827224731445</x:v>
      </x:c>
      <x:c r="G5154" s="40" t="n">
        <x:v>25.4</x:v>
      </x:c>
      <x:c r="H5154" s="40" t="n">
        <x:f>F5154-E5154</x:f>
        <x:v>3.367827224731446</x:v>
      </x:c>
      <x:c r="I5154" s="40" t="n">
        <x:f>ABS(H5154)</x:f>
        <x:v>3.367827224731446</x:v>
      </x:c>
      <x:c r="J5154" s="40" t="n">
        <x:f>H5154^2</x:f>
        <x:v>11.342260215642314</x:v>
      </x:c>
      <x:c r="K5154" s="40" t="n">
        <x:f>G5154-E5154</x:f>
        <x:v>3.6999999999999993</x:v>
      </x:c>
      <x:c r="L5154" s="40" t="n">
        <x:f>ABS(K5154)</x:f>
        <x:v>3.6999999999999993</x:v>
      </x:c>
      <x:c r="M5154" s="41" t="str">
        <x:v>lstm-soil-v1</x:v>
      </x:c>
    </x:row>
    <x:row r="5155">
      <x:c r="A5155" s="38" t="str">
        <x:v>7月30日现场数据</x:v>
      </x:c>
      <x:c r="B5155" s="39" t="str">
        <x:v>2026-08-05T00:50:00</x:v>
      </x:c>
      <x:c r="C5155" s="39" t="str">
        <x:v>2026-08-05T01:50:00</x:v>
      </x:c>
      <x:c r="D5155" s="47" t="n">
        <x:v>60</x:v>
      </x:c>
      <x:c r="E5155" s="40" t="n">
        <x:v>20.7</x:v>
      </x:c>
      <x:c r="F5155" s="40" t="n">
        <x:v>26.757282257080078</x:v>
      </x:c>
      <x:c r="G5155" s="40" t="n">
        <x:v>25.4</x:v>
      </x:c>
      <x:c r="H5155" s="40" t="n">
        <x:f>F5155-E5155</x:f>
        <x:v>6.057282257080079</x:v>
      </x:c>
      <x:c r="I5155" s="40" t="n">
        <x:f>ABS(H5155)</x:f>
        <x:v>6.057282257080079</x:v>
      </x:c>
      <x:c r="J5155" s="40" t="n">
        <x:f>H5155^2</x:f>
        <x:v>36.69066834193713</x:v>
      </x:c>
      <x:c r="K5155" s="40" t="n">
        <x:f>G5155-E5155</x:f>
        <x:v>4.699999999999999</x:v>
      </x:c>
      <x:c r="L5155" s="40" t="n">
        <x:f>ABS(K5155)</x:f>
        <x:v>4.699999999999999</x:v>
      </x:c>
      <x:c r="M5155" s="41" t="str">
        <x:v>lstm-soil-v1</x:v>
      </x:c>
    </x:row>
    <x:row r="5156">
      <x:c r="A5156" s="38" t="str">
        <x:v>7月30日现场数据</x:v>
      </x:c>
      <x:c r="B5156" s="39" t="str">
        <x:v>2026-08-05T00:55:00</x:v>
      </x:c>
      <x:c r="C5156" s="39" t="str">
        <x:v>2026-08-05T01:00:00</x:v>
      </x:c>
      <x:c r="D5156" s="47" t="n">
        <x:v>5</x:v>
      </x:c>
      <x:c r="E5156" s="40" t="n">
        <x:v>23.4</x:v>
      </x:c>
      <x:c r="F5156" s="40" t="n">
        <x:v>23.396129608154297</x:v>
      </x:c>
      <x:c r="G5156" s="40" t="n">
        <x:v>24.2</x:v>
      </x:c>
      <x:c r="H5156" s="40" t="n">
        <x:f>F5156-E5156</x:f>
        <x:v>-0.003870391845701704</x:v>
      </x:c>
      <x:c r="I5156" s="40" t="n">
        <x:f>ABS(H5156)</x:f>
        <x:v>0.003870391845701704</x:v>
      </x:c>
      <x:c r="J5156" s="40" t="n">
        <x:f>H5156^2</x:f>
        <x:v>0.000014979933039274242</x:v>
      </x:c>
      <x:c r="K5156" s="40" t="n">
        <x:f>G5156-E5156</x:f>
        <x:v>0.8000000000000007</x:v>
      </x:c>
      <x:c r="L5156" s="40" t="n">
        <x:f>ABS(K5156)</x:f>
        <x:v>0.8000000000000007</x:v>
      </x:c>
      <x:c r="M5156" s="41" t="str">
        <x:v>lstm-soil-v1</x:v>
      </x:c>
    </x:row>
    <x:row r="5157">
      <x:c r="A5157" s="38" t="str">
        <x:v>7月30日现场数据</x:v>
      </x:c>
      <x:c r="B5157" s="39" t="str">
        <x:v>2026-08-05T00:55:00</x:v>
      </x:c>
      <x:c r="C5157" s="39" t="str">
        <x:v>2026-08-05T01:10:00</x:v>
      </x:c>
      <x:c r="D5157" s="47" t="n">
        <x:v>15</x:v>
      </x:c>
      <x:c r="E5157" s="40" t="n">
        <x:v>22.3</x:v>
      </x:c>
      <x:c r="F5157" s="40" t="n">
        <x:v>23.468482971191406</x:v>
      </x:c>
      <x:c r="G5157" s="40" t="n">
        <x:v>24.2</x:v>
      </x:c>
      <x:c r="H5157" s="40" t="n">
        <x:f>F5157-E5157</x:f>
        <x:v>1.1684829711914055</x:v>
      </x:c>
      <x:c r="I5157" s="40" t="n">
        <x:f>ABS(H5157)</x:f>
        <x:v>1.1684829711914055</x:v>
      </x:c>
      <x:c r="J5157" s="40" t="n">
        <x:f>H5157^2</x:f>
        <x:v>1.3653524539642952</x:v>
      </x:c>
      <x:c r="K5157" s="40" t="n">
        <x:f>G5157-E5157</x:f>
        <x:v>1.8999999999999986</x:v>
      </x:c>
      <x:c r="L5157" s="40" t="n">
        <x:f>ABS(K5157)</x:f>
        <x:v>1.8999999999999986</x:v>
      </x:c>
      <x:c r="M5157" s="41" t="str">
        <x:v>lstm-soil-v1</x:v>
      </x:c>
    </x:row>
    <x:row r="5158">
      <x:c r="A5158" s="38" t="str">
        <x:v>7月30日现场数据</x:v>
      </x:c>
      <x:c r="B5158" s="39" t="str">
        <x:v>2026-08-05T00:55:00</x:v>
      </x:c>
      <x:c r="C5158" s="39" t="str">
        <x:v>2026-08-05T01:25:00</x:v>
      </x:c>
      <x:c r="D5158" s="47" t="n">
        <x:v>30</x:v>
      </x:c>
      <x:c r="E5158" s="40" t="n">
        <x:v>21.4</x:v>
      </x:c>
      <x:c r="F5158" s="40" t="n">
        <x:v>23.717700958251953</x:v>
      </x:c>
      <x:c r="G5158" s="40" t="n">
        <x:v>24.2</x:v>
      </x:c>
      <x:c r="H5158" s="40" t="n">
        <x:f>F5158-E5158</x:f>
        <x:v>2.3177009582519545</x:v>
      </x:c>
      <x:c r="I5158" s="40" t="n">
        <x:f>ABS(H5158)</x:f>
        <x:v>2.3177009582519545</x:v>
      </x:c>
      <x:c r="J5158" s="40" t="n">
        <x:f>H5158^2</x:f>
        <x:v>5.371737731882028</x:v>
      </x:c>
      <x:c r="K5158" s="40" t="n">
        <x:f>G5158-E5158</x:f>
        <x:v>2.8000000000000007</x:v>
      </x:c>
      <x:c r="L5158" s="40" t="n">
        <x:f>ABS(K5158)</x:f>
        <x:v>2.8000000000000007</x:v>
      </x:c>
      <x:c r="M5158" s="41" t="str">
        <x:v>lstm-soil-v1</x:v>
      </x:c>
    </x:row>
    <x:row r="5159">
      <x:c r="A5159" s="38" t="str">
        <x:v>7月30日现场数据</x:v>
      </x:c>
      <x:c r="B5159" s="39" t="str">
        <x:v>2026-08-05T00:55:00</x:v>
      </x:c>
      <x:c r="C5159" s="39" t="str">
        <x:v>2026-08-05T01:55:00</x:v>
      </x:c>
      <x:c r="D5159" s="47" t="n">
        <x:v>60</x:v>
      </x:c>
      <x:c r="E5159" s="40" t="n">
        <x:v>20.5</x:v>
      </x:c>
      <x:c r="F5159" s="40" t="n">
        <x:v>25.403358459472656</x:v>
      </x:c>
      <x:c r="G5159" s="40" t="n">
        <x:v>24.2</x:v>
      </x:c>
      <x:c r="H5159" s="40" t="n">
        <x:f>F5159-E5159</x:f>
        <x:v>4.903358459472656</x:v>
      </x:c>
      <x:c r="I5159" s="40" t="n">
        <x:f>ABS(H5159)</x:f>
        <x:v>4.903358459472656</x:v>
      </x:c>
      <x:c r="J5159" s="40" t="n">
        <x:f>H5159^2</x:f>
        <x:v>24.04292418208206</x:v>
      </x:c>
      <x:c r="K5159" s="40" t="n">
        <x:f>G5159-E5159</x:f>
        <x:v>3.6999999999999993</x:v>
      </x:c>
      <x:c r="L5159" s="40" t="n">
        <x:f>ABS(K5159)</x:f>
        <x:v>3.6999999999999993</x:v>
      </x:c>
      <x:c r="M5159" s="41" t="str">
        <x:v>lstm-soil-v1</x:v>
      </x:c>
    </x:row>
    <x:row r="5160">
      <x:c r="A5160" s="38" t="str">
        <x:v>7月30日现场数据</x:v>
      </x:c>
      <x:c r="B5160" s="39" t="str">
        <x:v>2026-08-05T01:00:00</x:v>
      </x:c>
      <x:c r="C5160" s="39" t="str">
        <x:v>2026-08-05T01:05:00</x:v>
      </x:c>
      <x:c r="D5160" s="47" t="n">
        <x:v>5</x:v>
      </x:c>
      <x:c r="E5160" s="40" t="n">
        <x:v>22.7</x:v>
      </x:c>
      <x:c r="F5160" s="40" t="n">
        <x:v>22.49459457397461</x:v>
      </x:c>
      <x:c r="G5160" s="40" t="n">
        <x:v>23.4</x:v>
      </x:c>
      <x:c r="H5160" s="40" t="n">
        <x:f>F5160-E5160</x:f>
        <x:v>-0.20540542602538991</x:v>
      </x:c>
      <x:c r="I5160" s="40" t="n">
        <x:f>ABS(H5160)</x:f>
        <x:v>0.20540542602538991</x:v>
      </x:c>
      <x:c r="J5160" s="40" t="n">
        <x:f>H5160^2</x:f>
        <x:v>0.04219138904067193</x:v>
      </x:c>
      <x:c r="K5160" s="40" t="n">
        <x:f>G5160-E5160</x:f>
        <x:v>0.6999999999999993</x:v>
      </x:c>
      <x:c r="L5160" s="40" t="n">
        <x:f>ABS(K5160)</x:f>
        <x:v>0.6999999999999993</x:v>
      </x:c>
      <x:c r="M5160" s="41" t="str">
        <x:v>lstm-soil-v1</x:v>
      </x:c>
    </x:row>
    <x:row r="5161">
      <x:c r="A5161" s="38" t="str">
        <x:v>7月30日现场数据</x:v>
      </x:c>
      <x:c r="B5161" s="39" t="str">
        <x:v>2026-08-05T01:00:00</x:v>
      </x:c>
      <x:c r="C5161" s="39" t="str">
        <x:v>2026-08-05T01:15:00</x:v>
      </x:c>
      <x:c r="D5161" s="47" t="n">
        <x:v>15</x:v>
      </x:c>
      <x:c r="E5161" s="40" t="n">
        <x:v>21.9</x:v>
      </x:c>
      <x:c r="F5161" s="40" t="n">
        <x:v>22.576969146728516</x:v>
      </x:c>
      <x:c r="G5161" s="40" t="n">
        <x:v>23.4</x:v>
      </x:c>
      <x:c r="H5161" s="40" t="n">
        <x:f>F5161-E5161</x:f>
        <x:v>0.676969146728517</x:v>
      </x:c>
      <x:c r="I5161" s="40" t="n">
        <x:f>ABS(H5161)</x:f>
        <x:v>0.676969146728517</x:v>
      </x:c>
      <x:c r="J5161" s="40" t="n">
        <x:f>H5161^2</x:f>
        <x:v>0.4582872256223364</x:v>
      </x:c>
      <x:c r="K5161" s="40" t="n">
        <x:f>G5161-E5161</x:f>
        <x:v>1.5</x:v>
      </x:c>
      <x:c r="L5161" s="40" t="n">
        <x:f>ABS(K5161)</x:f>
        <x:v>1.5</x:v>
      </x:c>
      <x:c r="M5161" s="41" t="str">
        <x:v>lstm-soil-v1</x:v>
      </x:c>
    </x:row>
    <x:row r="5162">
      <x:c r="A5162" s="38" t="str">
        <x:v>7月30日现场数据</x:v>
      </x:c>
      <x:c r="B5162" s="39" t="str">
        <x:v>2026-08-05T01:00:00</x:v>
      </x:c>
      <x:c r="C5162" s="39" t="str">
        <x:v>2026-08-05T01:30:00</x:v>
      </x:c>
      <x:c r="D5162" s="47" t="n">
        <x:v>30</x:v>
      </x:c>
      <x:c r="E5162" s="40" t="n">
        <x:v>21.3</x:v>
      </x:c>
      <x:c r="F5162" s="40" t="n">
        <x:v>22.811241149902344</x:v>
      </x:c>
      <x:c r="G5162" s="40" t="n">
        <x:v>23.4</x:v>
      </x:c>
      <x:c r="H5162" s="40" t="n">
        <x:f>F5162-E5162</x:f>
        <x:v>1.511241149902343</x:v>
      </x:c>
      <x:c r="I5162" s="40" t="n">
        <x:f>ABS(H5162)</x:f>
        <x:v>1.511241149902343</x:v>
      </x:c>
      <x:c r="J5162" s="40" t="n">
        <x:f>H5162^2</x:f>
        <x:v>2.283849813158156</x:v>
      </x:c>
      <x:c r="K5162" s="40" t="n">
        <x:f>G5162-E5162</x:f>
        <x:v>2.099999999999998</x:v>
      </x:c>
      <x:c r="L5162" s="40" t="n">
        <x:f>ABS(K5162)</x:f>
        <x:v>2.099999999999998</x:v>
      </x:c>
      <x:c r="M5162" s="41" t="str">
        <x:v>lstm-soil-v1</x:v>
      </x:c>
    </x:row>
    <x:row r="5163">
      <x:c r="A5163" s="38" t="str">
        <x:v>7月30日现场数据</x:v>
      </x:c>
      <x:c r="B5163" s="39" t="str">
        <x:v>2026-08-05T01:00:00</x:v>
      </x:c>
      <x:c r="C5163" s="39" t="str">
        <x:v>2026-08-05T02:00:00</x:v>
      </x:c>
      <x:c r="D5163" s="47" t="n">
        <x:v>60</x:v>
      </x:c>
      <x:c r="E5163" s="40" t="n">
        <x:v>20.5</x:v>
      </x:c>
      <x:c r="F5163" s="40" t="n">
        <x:v>24.499265670776367</x:v>
      </x:c>
      <x:c r="G5163" s="40" t="n">
        <x:v>23.4</x:v>
      </x:c>
      <x:c r="H5163" s="40" t="n">
        <x:f>F5163-E5163</x:f>
        <x:v>3.999265670776367</x:v>
      </x:c>
      <x:c r="I5163" s="40" t="n">
        <x:f>ABS(H5163)</x:f>
        <x:v>3.999265670776367</x:v>
      </x:c>
      <x:c r="J5163" s="40" t="n">
        <x:f>H5163^2</x:f>
        <x:v>15.994125905450346</x:v>
      </x:c>
      <x:c r="K5163" s="40" t="n">
        <x:f>G5163-E5163</x:f>
        <x:v>2.8999999999999986</x:v>
      </x:c>
      <x:c r="L5163" s="40" t="n">
        <x:f>ABS(K5163)</x:f>
        <x:v>2.8999999999999986</x:v>
      </x:c>
      <x:c r="M5163" s="41" t="str">
        <x:v>lstm-soil-v1</x:v>
      </x:c>
    </x:row>
    <x:row r="5164">
      <x:c r="A5164" s="38" t="str">
        <x:v>7月30日现场数据</x:v>
      </x:c>
      <x:c r="B5164" s="39" t="str">
        <x:v>2026-08-05T01:05:00</x:v>
      </x:c>
      <x:c r="C5164" s="39" t="str">
        <x:v>2026-08-05T01:10:00</x:v>
      </x:c>
      <x:c r="D5164" s="47" t="n">
        <x:v>5</x:v>
      </x:c>
      <x:c r="E5164" s="40" t="n">
        <x:v>22.3</x:v>
      </x:c>
      <x:c r="F5164" s="40" t="n">
        <x:v>21.707271575927734</x:v>
      </x:c>
      <x:c r="G5164" s="40" t="n">
        <x:v>22.7</x:v>
      </x:c>
      <x:c r="H5164" s="40" t="n">
        <x:f>F5164-E5164</x:f>
        <x:v>-0.5927284240722663</x:v>
      </x:c>
      <x:c r="I5164" s="40" t="n">
        <x:f>ABS(H5164)</x:f>
        <x:v>0.5927284240722663</x:v>
      </x:c>
      <x:c r="J5164" s="40" t="n">
        <x:f>H5164^2</x:f>
        <x:v>0.3513269847031924</x:v>
      </x:c>
      <x:c r="K5164" s="40" t="n">
        <x:f>G5164-E5164</x:f>
        <x:v>0.3999999999999986</x:v>
      </x:c>
      <x:c r="L5164" s="40" t="n">
        <x:f>ABS(K5164)</x:f>
        <x:v>0.3999999999999986</x:v>
      </x:c>
      <x:c r="M5164" s="41" t="str">
        <x:v>lstm-soil-v1</x:v>
      </x:c>
    </x:row>
    <x:row r="5165">
      <x:c r="A5165" s="38" t="str">
        <x:v>7月30日现场数据</x:v>
      </x:c>
      <x:c r="B5165" s="39" t="str">
        <x:v>2026-08-05T01:05:00</x:v>
      </x:c>
      <x:c r="C5165" s="39" t="str">
        <x:v>2026-08-05T01:20:00</x:v>
      </x:c>
      <x:c r="D5165" s="47" t="n">
        <x:v>15</x:v>
      </x:c>
      <x:c r="E5165" s="40" t="n">
        <x:v>21.7</x:v>
      </x:c>
      <x:c r="F5165" s="40" t="n">
        <x:v>21.800006866455078</x:v>
      </x:c>
      <x:c r="G5165" s="40" t="n">
        <x:v>22.7</x:v>
      </x:c>
      <x:c r="H5165" s="40" t="n">
        <x:f>F5165-E5165</x:f>
        <x:v>0.10000686645507884</x:v>
      </x:c>
      <x:c r="I5165" s="40" t="n">
        <x:f>ABS(H5165)</x:f>
        <x:v>0.10000686645507884</x:v>
      </x:c>
      <x:c r="J5165" s="40" t="n">
        <x:f>H5165^2</x:f>
        <x:v>0.010001373338163972</x:v>
      </x:c>
      <x:c r="K5165" s="40" t="n">
        <x:f>G5165-E5165</x:f>
        <x:v>1</x:v>
      </x:c>
      <x:c r="L5165" s="40" t="n">
        <x:f>ABS(K5165)</x:f>
        <x:v>1</x:v>
      </x:c>
      <x:c r="M5165" s="41" t="str">
        <x:v>lstm-soil-v1</x:v>
      </x:c>
    </x:row>
    <x:row r="5166">
      <x:c r="A5166" s="38" t="str">
        <x:v>7月30日现场数据</x:v>
      </x:c>
      <x:c r="B5166" s="39" t="str">
        <x:v>2026-08-05T01:05:00</x:v>
      </x:c>
      <x:c r="C5166" s="39" t="str">
        <x:v>2026-08-05T01:35:00</x:v>
      </x:c>
      <x:c r="D5166" s="47" t="n">
        <x:v>30</x:v>
      </x:c>
      <x:c r="E5166" s="40" t="n">
        <x:v>21.1</x:v>
      </x:c>
      <x:c r="F5166" s="40" t="n">
        <x:v>22.02496337890625</x:v>
      </x:c>
      <x:c r="G5166" s="40" t="n">
        <x:v>22.7</x:v>
      </x:c>
      <x:c r="H5166" s="40" t="n">
        <x:f>F5166-E5166</x:f>
        <x:v>0.9249633789062486</x:v>
      </x:c>
      <x:c r="I5166" s="40" t="n">
        <x:f>ABS(H5166)</x:f>
        <x:v>0.9249633789062486</x:v>
      </x:c>
      <x:c r="J5166" s="40" t="n">
        <x:f>H5166^2</x:f>
        <x:v>0.8555572523176643</x:v>
      </x:c>
      <x:c r="K5166" s="40" t="n">
        <x:f>G5166-E5166</x:f>
        <x:v>1.5999999999999979</x:v>
      </x:c>
      <x:c r="L5166" s="40" t="n">
        <x:f>ABS(K5166)</x:f>
        <x:v>1.5999999999999979</x:v>
      </x:c>
      <x:c r="M5166" s="41" t="str">
        <x:v>lstm-soil-v1</x:v>
      </x:c>
    </x:row>
    <x:row r="5167">
      <x:c r="A5167" s="38" t="str">
        <x:v>7月30日现场数据</x:v>
      </x:c>
      <x:c r="B5167" s="39" t="str">
        <x:v>2026-08-05T01:05:00</x:v>
      </x:c>
      <x:c r="C5167" s="39" t="str">
        <x:v>2026-08-05T02:05:00</x:v>
      </x:c>
      <x:c r="D5167" s="47" t="n">
        <x:v>60</x:v>
      </x:c>
      <x:c r="E5167" s="40" t="n">
        <x:v>20.3</x:v>
      </x:c>
      <x:c r="F5167" s="40" t="n">
        <x:v>23.714603424072266</x:v>
      </x:c>
      <x:c r="G5167" s="40" t="n">
        <x:v>22.7</x:v>
      </x:c>
      <x:c r="H5167" s="40" t="n">
        <x:f>F5167-E5167</x:f>
        <x:v>3.414603424072265</x:v>
      </x:c>
      <x:c r="I5167" s="40" t="n">
        <x:f>ABS(H5167)</x:f>
        <x:v>3.414603424072265</x:v>
      </x:c>
      <x:c r="J5167" s="40" t="n">
        <x:f>H5167^2</x:f>
        <x:v>11.659516543686037</x:v>
      </x:c>
      <x:c r="K5167" s="40" t="n">
        <x:f>G5167-E5167</x:f>
        <x:v>2.3999999999999986</x:v>
      </x:c>
      <x:c r="L5167" s="40" t="n">
        <x:f>ABS(K5167)</x:f>
        <x:v>2.3999999999999986</x:v>
      </x:c>
      <x:c r="M5167" s="41" t="str">
        <x:v>lstm-soil-v1</x:v>
      </x:c>
    </x:row>
    <x:row r="5168">
      <x:c r="A5168" s="38" t="str">
        <x:v>7月30日现场数据</x:v>
      </x:c>
      <x:c r="B5168" s="39" t="str">
        <x:v>2026-08-05T01:10:00</x:v>
      </x:c>
      <x:c r="C5168" s="39" t="str">
        <x:v>2026-08-05T01:15:00</x:v>
      </x:c>
      <x:c r="D5168" s="47" t="n">
        <x:v>5</x:v>
      </x:c>
      <x:c r="E5168" s="40" t="n">
        <x:v>21.9</x:v>
      </x:c>
      <x:c r="F5168" s="40" t="n">
        <x:v>21.256175994873047</x:v>
      </x:c>
      <x:c r="G5168" s="40" t="n">
        <x:v>22.3</x:v>
      </x:c>
      <x:c r="H5168" s="40" t="n">
        <x:f>F5168-E5168</x:f>
        <x:v>-0.6438240051269517</x:v>
      </x:c>
      <x:c r="I5168" s="40" t="n">
        <x:f>ABS(H5168)</x:f>
        <x:v>0.6438240051269517</x:v>
      </x:c>
      <x:c r="J5168" s="40" t="n">
        <x:f>H5168^2</x:f>
        <x:v>0.41450934957770913</x:v>
      </x:c>
      <x:c r="K5168" s="40" t="n">
        <x:f>G5168-E5168</x:f>
        <x:v>0.40000000000000213</x:v>
      </x:c>
      <x:c r="L5168" s="40" t="n">
        <x:f>ABS(K5168)</x:f>
        <x:v>0.40000000000000213</x:v>
      </x:c>
      <x:c r="M5168" s="41" t="str">
        <x:v>lstm-soil-v1</x:v>
      </x:c>
    </x:row>
    <x:row r="5169">
      <x:c r="A5169" s="38" t="str">
        <x:v>7月30日现场数据</x:v>
      </x:c>
      <x:c r="B5169" s="39" t="str">
        <x:v>2026-08-05T01:10:00</x:v>
      </x:c>
      <x:c r="C5169" s="39" t="str">
        <x:v>2026-08-05T01:25:00</x:v>
      </x:c>
      <x:c r="D5169" s="47" t="n">
        <x:v>15</x:v>
      </x:c>
      <x:c r="E5169" s="40" t="n">
        <x:v>21.4</x:v>
      </x:c>
      <x:c r="F5169" s="40" t="n">
        <x:v>21.357437133789062</x:v>
      </x:c>
      <x:c r="G5169" s="40" t="n">
        <x:v>22.3</x:v>
      </x:c>
      <x:c r="H5169" s="40" t="n">
        <x:f>F5169-E5169</x:f>
        <x:v>-0.04256286621093608</x:v>
      </x:c>
      <x:c r="I5169" s="40" t="n">
        <x:f>ABS(H5169)</x:f>
        <x:v>0.04256286621093608</x:v>
      </x:c>
      <x:c r="J5169" s="40" t="n">
        <x:f>H5169^2</x:f>
        <x:v>0.0018115975800900442</x:v>
      </x:c>
      <x:c r="K5169" s="40" t="n">
        <x:f>G5169-E5169</x:f>
        <x:v>0.9000000000000021</x:v>
      </x:c>
      <x:c r="L5169" s="40" t="n">
        <x:f>ABS(K5169)</x:f>
        <x:v>0.9000000000000021</x:v>
      </x:c>
      <x:c r="M5169" s="41" t="str">
        <x:v>lstm-soil-v1</x:v>
      </x:c>
    </x:row>
    <x:row r="5170">
      <x:c r="A5170" s="38" t="str">
        <x:v>7月30日现场数据</x:v>
      </x:c>
      <x:c r="B5170" s="39" t="str">
        <x:v>2026-08-05T01:10:00</x:v>
      </x:c>
      <x:c r="C5170" s="39" t="str">
        <x:v>2026-08-05T01:40:00</x:v>
      </x:c>
      <x:c r="D5170" s="47" t="n">
        <x:v>30</x:v>
      </x:c>
      <x:c r="E5170" s="40" t="n">
        <x:v>21</x:v>
      </x:c>
      <x:c r="F5170" s="40" t="n">
        <x:v>21.578445434570312</x:v>
      </x:c>
      <x:c r="G5170" s="40" t="n">
        <x:v>22.3</x:v>
      </x:c>
      <x:c r="H5170" s="40" t="n">
        <x:f>F5170-E5170</x:f>
        <x:v>0.5784454345703125</x:v>
      </x:c>
      <x:c r="I5170" s="40" t="n">
        <x:f>ABS(H5170)</x:f>
        <x:v>0.5784454345703125</x:v>
      </x:c>
      <x:c r="J5170" s="40" t="n">
        <x:f>H5170^2</x:f>
        <x:v>0.3345991207752377</x:v>
      </x:c>
      <x:c r="K5170" s="40" t="n">
        <x:f>G5170-E5170</x:f>
        <x:v>1.3000000000000007</x:v>
      </x:c>
      <x:c r="L5170" s="40" t="n">
        <x:f>ABS(K5170)</x:f>
        <x:v>1.3000000000000007</x:v>
      </x:c>
      <x:c r="M5170" s="41" t="str">
        <x:v>lstm-soil-v1</x:v>
      </x:c>
    </x:row>
    <x:row r="5171">
      <x:c r="A5171" s="38" t="str">
        <x:v>7月30日现场数据</x:v>
      </x:c>
      <x:c r="B5171" s="39" t="str">
        <x:v>2026-08-05T01:10:00</x:v>
      </x:c>
      <x:c r="C5171" s="39" t="str">
        <x:v>2026-08-05T02:10:00</x:v>
      </x:c>
      <x:c r="D5171" s="47" t="n">
        <x:v>60</x:v>
      </x:c>
      <x:c r="E5171" s="40" t="n">
        <x:v>20.1</x:v>
      </x:c>
      <x:c r="F5171" s="40" t="n">
        <x:v>23.266338348388672</x:v>
      </x:c>
      <x:c r="G5171" s="40" t="n">
        <x:v>22.3</x:v>
      </x:c>
      <x:c r="H5171" s="40" t="n">
        <x:f>F5171-E5171</x:f>
        <x:v>3.1663383483886705</x:v>
      </x:c>
      <x:c r="I5171" s="40" t="n">
        <x:f>ABS(H5171)</x:f>
        <x:v>3.1663383483886705</x:v>
      </x:c>
      <x:c r="J5171" s="40" t="n">
        <x:f>H5171^2</x:f>
        <x:v>10.025698536476693</x:v>
      </x:c>
      <x:c r="K5171" s="40" t="n">
        <x:f>G5171-E5171</x:f>
        <x:v>2.1999999999999993</x:v>
      </x:c>
      <x:c r="L5171" s="40" t="n">
        <x:f>ABS(K5171)</x:f>
        <x:v>2.1999999999999993</x:v>
      </x:c>
      <x:c r="M5171" s="41" t="str">
        <x:v>lstm-soil-v1</x:v>
      </x:c>
    </x:row>
    <x:row r="5172">
      <x:c r="A5172" s="38" t="str">
        <x:v>7月30日现场数据</x:v>
      </x:c>
      <x:c r="B5172" s="39" t="str">
        <x:v>2026-08-05T01:15:00</x:v>
      </x:c>
      <x:c r="C5172" s="39" t="str">
        <x:v>2026-08-05T01:20:00</x:v>
      </x:c>
      <x:c r="D5172" s="47" t="n">
        <x:v>5</x:v>
      </x:c>
      <x:c r="E5172" s="40" t="n">
        <x:v>21.7</x:v>
      </x:c>
      <x:c r="F5172" s="40" t="n">
        <x:v>20.809627532958984</x:v>
      </x:c>
      <x:c r="G5172" s="40" t="n">
        <x:v>21.9</x:v>
      </x:c>
      <x:c r="H5172" s="40" t="n">
        <x:f>F5172-E5172</x:f>
        <x:v>-0.8903724670410149</x:v>
      </x:c>
      <x:c r="I5172" s="40" t="n">
        <x:f>ABS(H5172)</x:f>
        <x:v>0.8903724670410149</x:v>
      </x:c>
      <x:c r="J5172" s="40" t="n">
        <x:f>H5172^2</x:f>
        <x:v>0.7927631300647032</x:v>
      </x:c>
      <x:c r="K5172" s="40" t="n">
        <x:f>G5172-E5172</x:f>
        <x:v>0.1999999999999993</x:v>
      </x:c>
      <x:c r="L5172" s="40" t="n">
        <x:f>ABS(K5172)</x:f>
        <x:v>0.1999999999999993</x:v>
      </x:c>
      <x:c r="M5172" s="41" t="str">
        <x:v>lstm-soil-v1</x:v>
      </x:c>
    </x:row>
    <x:row r="5173">
      <x:c r="A5173" s="38" t="str">
        <x:v>7月30日现场数据</x:v>
      </x:c>
      <x:c r="B5173" s="39" t="str">
        <x:v>2026-08-05T01:15:00</x:v>
      </x:c>
      <x:c r="C5173" s="39" t="str">
        <x:v>2026-08-05T01:30:00</x:v>
      </x:c>
      <x:c r="D5173" s="47" t="n">
        <x:v>15</x:v>
      </x:c>
      <x:c r="E5173" s="40" t="n">
        <x:v>21.3</x:v>
      </x:c>
      <x:c r="F5173" s="40" t="n">
        <x:v>20.916919708251953</x:v>
      </x:c>
      <x:c r="G5173" s="40" t="n">
        <x:v>21.9</x:v>
      </x:c>
      <x:c r="H5173" s="40" t="n">
        <x:f>F5173-E5173</x:f>
        <x:v>-0.3830802917480476</x:v>
      </x:c>
      <x:c r="I5173" s="40" t="n">
        <x:f>ABS(H5173)</x:f>
        <x:v>0.3830802917480476</x:v>
      </x:c>
      <x:c r="J5173" s="40" t="n">
        <x:f>H5173^2</x:f>
        <x:v>0.14675050992576927</x:v>
      </x:c>
      <x:c r="K5173" s="40" t="n">
        <x:f>G5173-E5173</x:f>
        <x:v>0.5999999999999979</x:v>
      </x:c>
      <x:c r="L5173" s="40" t="n">
        <x:f>ABS(K5173)</x:f>
        <x:v>0.5999999999999979</x:v>
      </x:c>
      <x:c r="M5173" s="41" t="str">
        <x:v>lstm-soil-v1</x:v>
      </x:c>
    </x:row>
    <x:row r="5174">
      <x:c r="A5174" s="38" t="str">
        <x:v>7月30日现场数据</x:v>
      </x:c>
      <x:c r="B5174" s="39" t="str">
        <x:v>2026-08-05T01:15:00</x:v>
      </x:c>
      <x:c r="C5174" s="39" t="str">
        <x:v>2026-08-05T01:45:00</x:v>
      </x:c>
      <x:c r="D5174" s="47" t="n">
        <x:v>30</x:v>
      </x:c>
      <x:c r="E5174" s="40" t="n">
        <x:v>20.8</x:v>
      </x:c>
      <x:c r="F5174" s="40" t="n">
        <x:v>21.13628387451172</x:v>
      </x:c>
      <x:c r="G5174" s="40" t="n">
        <x:v>21.9</x:v>
      </x:c>
      <x:c r="H5174" s="40" t="n">
        <x:f>F5174-E5174</x:f>
        <x:v>0.33628387451171804</x:v>
      </x:c>
      <x:c r="I5174" s="40" t="n">
        <x:f>ABS(H5174)</x:f>
        <x:v>0.33628387451171804</x:v>
      </x:c>
      <x:c r="J5174" s="40" t="n">
        <x:f>H5174^2</x:f>
        <x:v>0.11308684425661293</x:v>
      </x:c>
      <x:c r="K5174" s="40" t="n">
        <x:f>G5174-E5174</x:f>
        <x:v>1.0999999999999979</x:v>
      </x:c>
      <x:c r="L5174" s="40" t="n">
        <x:f>ABS(K5174)</x:f>
        <x:v>1.0999999999999979</x:v>
      </x:c>
      <x:c r="M5174" s="41" t="str">
        <x:v>lstm-soil-v1</x:v>
      </x:c>
    </x:row>
    <x:row r="5175">
      <x:c r="A5175" s="38" t="str">
        <x:v>7月30日现场数据</x:v>
      </x:c>
      <x:c r="B5175" s="39" t="str">
        <x:v>2026-08-05T01:15:00</x:v>
      </x:c>
      <x:c r="C5175" s="39" t="str">
        <x:v>2026-08-05T02:15:00</x:v>
      </x:c>
      <x:c r="D5175" s="47" t="n">
        <x:v>60</x:v>
      </x:c>
      <x:c r="E5175" s="40" t="n">
        <x:v>20.2</x:v>
      </x:c>
      <x:c r="F5175" s="40" t="n">
        <x:v>22.825313568115234</x:v>
      </x:c>
      <x:c r="G5175" s="40" t="n">
        <x:v>21.9</x:v>
      </x:c>
      <x:c r="H5175" s="40" t="n">
        <x:f>F5175-E5175</x:f>
        <x:v>2.625313568115235</x:v>
      </x:c>
      <x:c r="I5175" s="40" t="n">
        <x:f>ABS(H5175)</x:f>
        <x:v>2.625313568115235</x:v>
      </x:c>
      <x:c r="J5175" s="40" t="n">
        <x:f>H5175^2</x:f>
        <x:v>6.8922713309299475</x:v>
      </x:c>
      <x:c r="K5175" s="40" t="n">
        <x:f>G5175-E5175</x:f>
        <x:v>1.6999999999999993</x:v>
      </x:c>
      <x:c r="L5175" s="40" t="n">
        <x:f>ABS(K5175)</x:f>
        <x:v>1.6999999999999993</x:v>
      </x:c>
      <x:c r="M5175" s="41" t="str">
        <x:v>lstm-soil-v1</x:v>
      </x:c>
    </x:row>
    <x:row r="5176">
      <x:c r="A5176" s="38" t="str">
        <x:v>7月30日现场数据</x:v>
      </x:c>
      <x:c r="B5176" s="39" t="str">
        <x:v>2026-08-05T01:20:00</x:v>
      </x:c>
      <x:c r="C5176" s="39" t="str">
        <x:v>2026-08-05T01:25:00</x:v>
      </x:c>
      <x:c r="D5176" s="47" t="n">
        <x:v>5</x:v>
      </x:c>
      <x:c r="E5176" s="40" t="n">
        <x:v>21.4</x:v>
      </x:c>
      <x:c r="F5176" s="40" t="n">
        <x:v>20.586841583251953</x:v>
      </x:c>
      <x:c r="G5176" s="40" t="n">
        <x:v>21.7</x:v>
      </x:c>
      <x:c r="H5176" s="40" t="n">
        <x:f>F5176-E5176</x:f>
        <x:v>-0.8131584167480455</x:v>
      </x:c>
      <x:c r="I5176" s="40" t="n">
        <x:f>ABS(H5176)</x:f>
        <x:v>0.8131584167480455</x:v>
      </x:c>
      <x:c r="J5176" s="40" t="n">
        <x:f>H5176^2</x:f>
        <x:v>0.661226610728188</x:v>
      </x:c>
      <x:c r="K5176" s="40" t="n">
        <x:f>G5176-E5176</x:f>
        <x:v>0.3000000000000007</x:v>
      </x:c>
      <x:c r="L5176" s="40" t="n">
        <x:f>ABS(K5176)</x:f>
        <x:v>0.3000000000000007</x:v>
      </x:c>
      <x:c r="M5176" s="41" t="str">
        <x:v>lstm-soil-v1</x:v>
      </x:c>
    </x:row>
    <x:row r="5177">
      <x:c r="A5177" s="38" t="str">
        <x:v>7月30日现场数据</x:v>
      </x:c>
      <x:c r="B5177" s="39" t="str">
        <x:v>2026-08-05T01:20:00</x:v>
      </x:c>
      <x:c r="C5177" s="39" t="str">
        <x:v>2026-08-05T01:35:00</x:v>
      </x:c>
      <x:c r="D5177" s="47" t="n">
        <x:v>15</x:v>
      </x:c>
      <x:c r="E5177" s="40" t="n">
        <x:v>21.1</x:v>
      </x:c>
      <x:c r="F5177" s="40" t="n">
        <x:v>20.69776153564453</x:v>
      </x:c>
      <x:c r="G5177" s="40" t="n">
        <x:v>21.7</x:v>
      </x:c>
      <x:c r="H5177" s="40" t="n">
        <x:f>F5177-E5177</x:f>
        <x:v>-0.40223846435547017</x:v>
      </x:c>
      <x:c r="I5177" s="40" t="n">
        <x:f>ABS(H5177)</x:f>
        <x:v>0.40223846435547017</x:v>
      </x:c>
      <x:c r="J5177" s="40" t="n">
        <x:f>H5177^2</x:f>
        <x:v>0.16179578220704685</x:v>
      </x:c>
      <x:c r="K5177" s="40" t="n">
        <x:f>G5177-E5177</x:f>
        <x:v>0.5999999999999979</x:v>
      </x:c>
      <x:c r="L5177" s="40" t="n">
        <x:f>ABS(K5177)</x:f>
        <x:v>0.5999999999999979</x:v>
      </x:c>
      <x:c r="M5177" s="41" t="str">
        <x:v>lstm-soil-v1</x:v>
      </x:c>
    </x:row>
    <x:row r="5178">
      <x:c r="A5178" s="38" t="str">
        <x:v>7月30日现场数据</x:v>
      </x:c>
      <x:c r="B5178" s="39" t="str">
        <x:v>2026-08-05T01:20:00</x:v>
      </x:c>
      <x:c r="C5178" s="39" t="str">
        <x:v>2026-08-05T01:50:00</x:v>
      </x:c>
      <x:c r="D5178" s="47" t="n">
        <x:v>30</x:v>
      </x:c>
      <x:c r="E5178" s="40" t="n">
        <x:v>20.7</x:v>
      </x:c>
      <x:c r="F5178" s="40" t="n">
        <x:v>20.917240142822266</x:v>
      </x:c>
      <x:c r="G5178" s="40" t="n">
        <x:v>21.7</x:v>
      </x:c>
      <x:c r="H5178" s="40" t="n">
        <x:f>F5178-E5178</x:f>
        <x:v>0.21724014282226634</x:v>
      </x:c>
      <x:c r="I5178" s="40" t="n">
        <x:f>ABS(H5178)</x:f>
        <x:v>0.21724014282226634</x:v>
      </x:c>
      <x:c r="J5178" s="40" t="n">
        <x:f>H5178^2</x:f>
        <x:v>0.047193279653438676</x:v>
      </x:c>
      <x:c r="K5178" s="40" t="n">
        <x:f>G5178-E5178</x:f>
        <x:v>1</x:v>
      </x:c>
      <x:c r="L5178" s="40" t="n">
        <x:f>ABS(K5178)</x:f>
        <x:v>1</x:v>
      </x:c>
      <x:c r="M5178" s="41" t="str">
        <x:v>lstm-soil-v1</x:v>
      </x:c>
    </x:row>
    <x:row r="5179">
      <x:c r="A5179" s="38" t="str">
        <x:v>7月30日现场数据</x:v>
      </x:c>
      <x:c r="B5179" s="39" t="str">
        <x:v>2026-08-05T01:20:00</x:v>
      </x:c>
      <x:c r="C5179" s="39" t="str">
        <x:v>2026-08-05T02:20:00</x:v>
      </x:c>
      <x:c r="D5179" s="47" t="n">
        <x:v>60</x:v>
      </x:c>
      <x:c r="E5179" s="40" t="n">
        <x:v>20</x:v>
      </x:c>
      <x:c r="F5179" s="40" t="n">
        <x:v>22.609603881835938</x:v>
      </x:c>
      <x:c r="G5179" s="40" t="n">
        <x:v>21.7</x:v>
      </x:c>
      <x:c r="H5179" s="40" t="n">
        <x:f>F5179-E5179</x:f>
        <x:v>2.6096038818359375</x:v>
      </x:c>
      <x:c r="I5179" s="40" t="n">
        <x:f>ABS(H5179)</x:f>
        <x:v>2.6096038818359375</x:v>
      </x:c>
      <x:c r="J5179" s="40" t="n">
        <x:f>H5179^2</x:f>
        <x:v>6.810032420093194</x:v>
      </x:c>
      <x:c r="K5179" s="40" t="n">
        <x:f>G5179-E5179</x:f>
        <x:v>1.6999999999999993</x:v>
      </x:c>
      <x:c r="L5179" s="40" t="n">
        <x:f>ABS(K5179)</x:f>
        <x:v>1.6999999999999993</x:v>
      </x:c>
      <x:c r="M5179" s="41" t="str">
        <x:v>lstm-soil-v1</x:v>
      </x:c>
    </x:row>
    <x:row r="5180">
      <x:c r="A5180" s="38" t="str">
        <x:v>7月30日现场数据</x:v>
      </x:c>
      <x:c r="B5180" s="39" t="str">
        <x:v>2026-08-05T01:25:00</x:v>
      </x:c>
      <x:c r="C5180" s="39" t="str">
        <x:v>2026-08-05T01:30:00</x:v>
      </x:c>
      <x:c r="D5180" s="47" t="n">
        <x:v>5</x:v>
      </x:c>
      <x:c r="E5180" s="40" t="n">
        <x:v>21.3</x:v>
      </x:c>
      <x:c r="F5180" s="40" t="n">
        <x:v>20.25601577758789</x:v>
      </x:c>
      <x:c r="G5180" s="40" t="n">
        <x:v>21.4</x:v>
      </x:c>
      <x:c r="H5180" s="40" t="n">
        <x:f>F5180-E5180</x:f>
        <x:v>-1.04398422241211</x:v>
      </x:c>
      <x:c r="I5180" s="40" t="n">
        <x:f>ABS(H5180)</x:f>
        <x:v>1.04398422241211</x:v>
      </x:c>
      <x:c r="J5180" s="40" t="n">
        <x:f>H5180^2</x:f>
        <x:v>1.0899030566454182</x:v>
      </x:c>
      <x:c r="K5180" s="40" t="n">
        <x:f>G5180-E5180</x:f>
        <x:v>0.09999999999999787</x:v>
      </x:c>
      <x:c r="L5180" s="40" t="n">
        <x:f>ABS(K5180)</x:f>
        <x:v>0.09999999999999787</x:v>
      </x:c>
      <x:c r="M5180" s="41" t="str">
        <x:v>lstm-soil-v1</x:v>
      </x:c>
    </x:row>
    <x:row r="5181">
      <x:c r="A5181" s="38" t="str">
        <x:v>7月30日现场数据</x:v>
      </x:c>
      <x:c r="B5181" s="39" t="str">
        <x:v>2026-08-05T01:25:00</x:v>
      </x:c>
      <x:c r="C5181" s="39" t="str">
        <x:v>2026-08-05T01:40:00</x:v>
      </x:c>
      <x:c r="D5181" s="47" t="n">
        <x:v>15</x:v>
      </x:c>
      <x:c r="E5181" s="40" t="n">
        <x:v>21</x:v>
      </x:c>
      <x:c r="F5181" s="40" t="n">
        <x:v>20.36896514892578</x:v>
      </x:c>
      <x:c r="G5181" s="40" t="n">
        <x:v>21.4</x:v>
      </x:c>
      <x:c r="H5181" s="40" t="n">
        <x:f>F5181-E5181</x:f>
        <x:v>-0.6310348510742188</x:v>
      </x:c>
      <x:c r="I5181" s="40" t="n">
        <x:f>ABS(H5181)</x:f>
        <x:v>0.6310348510742188</x:v>
      </x:c>
      <x:c r="J5181" s="40" t="n">
        <x:f>H5181^2</x:f>
        <x:v>0.39820498327026144</x:v>
      </x:c>
      <x:c r="K5181" s="40" t="n">
        <x:f>G5181-E5181</x:f>
        <x:v>0.3999999999999986</x:v>
      </x:c>
      <x:c r="L5181" s="40" t="n">
        <x:f>ABS(K5181)</x:f>
        <x:v>0.3999999999999986</x:v>
      </x:c>
      <x:c r="M5181" s="41" t="str">
        <x:v>lstm-soil-v1</x:v>
      </x:c>
    </x:row>
    <x:row r="5182">
      <x:c r="A5182" s="38" t="str">
        <x:v>7月30日现场数据</x:v>
      </x:c>
      <x:c r="B5182" s="39" t="str">
        <x:v>2026-08-05T01:25:00</x:v>
      </x:c>
      <x:c r="C5182" s="39" t="str">
        <x:v>2026-08-05T01:55:00</x:v>
      </x:c>
      <x:c r="D5182" s="47" t="n">
        <x:v>30</x:v>
      </x:c>
      <x:c r="E5182" s="40" t="n">
        <x:v>20.5</x:v>
      </x:c>
      <x:c r="F5182" s="40" t="n">
        <x:v>20.589557647705078</x:v>
      </x:c>
      <x:c r="G5182" s="40" t="n">
        <x:v>21.4</x:v>
      </x:c>
      <x:c r="H5182" s="40" t="n">
        <x:f>F5182-E5182</x:f>
        <x:v>0.08955764770507812</x:v>
      </x:c>
      <x:c r="I5182" s="40" t="n">
        <x:f>ABS(H5182)</x:f>
        <x:v>0.08955764770507812</x:v>
      </x:c>
      <x:c r="J5182" s="40" t="n">
        <x:f>H5182^2</x:f>
        <x:v>0.008020572262466885</x:v>
      </x:c>
      <x:c r="K5182" s="40" t="n">
        <x:f>G5182-E5182</x:f>
        <x:v>0.8999999999999986</x:v>
      </x:c>
      <x:c r="L5182" s="40" t="n">
        <x:f>ABS(K5182)</x:f>
        <x:v>0.8999999999999986</x:v>
      </x:c>
      <x:c r="M5182" s="41" t="str">
        <x:v>lstm-soil-v1</x:v>
      </x:c>
    </x:row>
    <x:row r="5183">
      <x:c r="A5183" s="38" t="str">
        <x:v>7月30日现场数据</x:v>
      </x:c>
      <x:c r="B5183" s="39" t="str">
        <x:v>2026-08-05T01:25:00</x:v>
      </x:c>
      <x:c r="C5183" s="39" t="str">
        <x:v>2026-08-05T02:25:00</x:v>
      </x:c>
      <x:c r="D5183" s="47" t="n">
        <x:v>60</x:v>
      </x:c>
      <x:c r="E5183" s="40" t="n">
        <x:v>20</x:v>
      </x:c>
      <x:c r="F5183" s="40" t="n">
        <x:v>22.286720275878906</x:v>
      </x:c>
      <x:c r="G5183" s="40" t="n">
        <x:v>21.4</x:v>
      </x:c>
      <x:c r="H5183" s="40" t="n">
        <x:f>F5183-E5183</x:f>
        <x:v>2.2867202758789062</x:v>
      </x:c>
      <x:c r="I5183" s="40" t="n">
        <x:f>ABS(H5183)</x:f>
        <x:v>2.2867202758789062</x:v>
      </x:c>
      <x:c r="J5183" s="40" t="n">
        <x:f>H5183^2</x:f>
        <x:v>5.229089620115701</x:v>
      </x:c>
      <x:c r="K5183" s="40" t="n">
        <x:f>G5183-E5183</x:f>
        <x:v>1.3999999999999986</x:v>
      </x:c>
      <x:c r="L5183" s="40" t="n">
        <x:f>ABS(K5183)</x:f>
        <x:v>1.3999999999999986</x:v>
      </x:c>
      <x:c r="M5183" s="41" t="str">
        <x:v>lstm-soil-v1</x:v>
      </x:c>
    </x:row>
    <x:row r="5184">
      <x:c r="A5184" s="38" t="str">
        <x:v>7月30日现场数据</x:v>
      </x:c>
      <x:c r="B5184" s="39" t="str">
        <x:v>2026-08-05T01:30:00</x:v>
      </x:c>
      <x:c r="C5184" s="39" t="str">
        <x:v>2026-08-05T01:35:00</x:v>
      </x:c>
      <x:c r="D5184" s="47" t="n">
        <x:v>5</x:v>
      </x:c>
      <x:c r="E5184" s="40" t="n">
        <x:v>21.1</x:v>
      </x:c>
      <x:c r="F5184" s="40" t="n">
        <x:v>20.147090911865234</x:v>
      </x:c>
      <x:c r="G5184" s="40" t="n">
        <x:v>21.3</x:v>
      </x:c>
      <x:c r="H5184" s="40" t="n">
        <x:f>F5184-E5184</x:f>
        <x:v>-0.952909088134767</x:v>
      </x:c>
      <x:c r="I5184" s="40" t="n">
        <x:f>ABS(H5184)</x:f>
        <x:v>0.952909088134767</x:v>
      </x:c>
      <x:c r="J5184" s="40" t="n">
        <x:f>H5184^2</x:f>
        <x:v>0.9080357302498332</x:v>
      </x:c>
      <x:c r="K5184" s="40" t="n">
        <x:f>G5184-E5184</x:f>
        <x:v>0.1999999999999993</x:v>
      </x:c>
      <x:c r="L5184" s="40" t="n">
        <x:f>ABS(K5184)</x:f>
        <x:v>0.1999999999999993</x:v>
      </x:c>
      <x:c r="M5184" s="41" t="str">
        <x:v>lstm-soil-v1</x:v>
      </x:c>
    </x:row>
    <x:row r="5185">
      <x:c r="A5185" s="38" t="str">
        <x:v>7月30日现场数据</x:v>
      </x:c>
      <x:c r="B5185" s="39" t="str">
        <x:v>2026-08-05T01:30:00</x:v>
      </x:c>
      <x:c r="C5185" s="39" t="str">
        <x:v>2026-08-05T01:45:00</x:v>
      </x:c>
      <x:c r="D5185" s="47" t="n">
        <x:v>15</x:v>
      </x:c>
      <x:c r="E5185" s="40" t="n">
        <x:v>20.8</x:v>
      </x:c>
      <x:c r="F5185" s="40" t="n">
        <x:v>20.26067352294922</x:v>
      </x:c>
      <x:c r="G5185" s="40" t="n">
        <x:v>21.3</x:v>
      </x:c>
      <x:c r="H5185" s="40" t="n">
        <x:f>F5185-E5185</x:f>
        <x:v>-0.539326477050782</x:v>
      </x:c>
      <x:c r="I5185" s="40" t="n">
        <x:f>ABS(H5185)</x:f>
        <x:v>0.539326477050782</x:v>
      </x:c>
      <x:c r="J5185" s="40" t="n">
        <x:f>H5185^2</x:f>
        <x:v>0.29087304884800763</x:v>
      </x:c>
      <x:c r="K5185" s="40" t="n">
        <x:f>G5185-E5185</x:f>
        <x:v>0.5</x:v>
      </x:c>
      <x:c r="L5185" s="40" t="n">
        <x:f>ABS(K5185)</x:f>
        <x:v>0.5</x:v>
      </x:c>
      <x:c r="M5185" s="41" t="str">
        <x:v>lstm-soil-v1</x:v>
      </x:c>
    </x:row>
    <x:row r="5186">
      <x:c r="A5186" s="38" t="str">
        <x:v>7月30日现场数据</x:v>
      </x:c>
      <x:c r="B5186" s="39" t="str">
        <x:v>2026-08-05T01:30:00</x:v>
      </x:c>
      <x:c r="C5186" s="39" t="str">
        <x:v>2026-08-05T02:00:00</x:v>
      </x:c>
      <x:c r="D5186" s="47" t="n">
        <x:v>30</x:v>
      </x:c>
      <x:c r="E5186" s="40" t="n">
        <x:v>20.5</x:v>
      </x:c>
      <x:c r="F5186" s="40" t="n">
        <x:v>20.483230590820312</x:v>
      </x:c>
      <x:c r="G5186" s="40" t="n">
        <x:v>21.3</x:v>
      </x:c>
      <x:c r="H5186" s="40" t="n">
        <x:f>F5186-E5186</x:f>
        <x:v>-0.0167694091796875</x:v>
      </x:c>
      <x:c r="I5186" s="40" t="n">
        <x:f>ABS(H5186)</x:f>
        <x:v>0.0167694091796875</x:v>
      </x:c>
      <x:c r="J5186" s="40" t="n">
        <x:f>H5186^2</x:f>
        <x:v>0.0002812130842357874</x:v>
      </x:c>
      <x:c r="K5186" s="40" t="n">
        <x:f>G5186-E5186</x:f>
        <x:v>0.8000000000000007</x:v>
      </x:c>
      <x:c r="L5186" s="40" t="n">
        <x:f>ABS(K5186)</x:f>
        <x:v>0.8000000000000007</x:v>
      </x:c>
      <x:c r="M5186" s="41" t="str">
        <x:v>lstm-soil-v1</x:v>
      </x:c>
    </x:row>
    <x:row r="5187">
      <x:c r="A5187" s="38" t="str">
        <x:v>7月30日现场数据</x:v>
      </x:c>
      <x:c r="B5187" s="39" t="str">
        <x:v>2026-08-05T01:30:00</x:v>
      </x:c>
      <x:c r="C5187" s="39" t="str">
        <x:v>2026-08-05T02:30:00</x:v>
      </x:c>
      <x:c r="D5187" s="47" t="n">
        <x:v>60</x:v>
      </x:c>
      <x:c r="E5187" s="40" t="n">
        <x:v>19.9</x:v>
      </x:c>
      <x:c r="F5187" s="40" t="n">
        <x:v>22.185962677001953</x:v>
      </x:c>
      <x:c r="G5187" s="40" t="n">
        <x:v>21.3</x:v>
      </x:c>
      <x:c r="H5187" s="40" t="n">
        <x:f>F5187-E5187</x:f>
        <x:v>2.2859626770019545</x:v>
      </x:c>
      <x:c r="I5187" s="40" t="n">
        <x:f>ABS(H5187)</x:f>
        <x:v>2.2859626770019545</x:v>
      </x:c>
      <x:c r="J5187" s="40" t="n">
        <x:f>H5187^2</x:f>
        <x:v>5.225625360645942</x:v>
      </x:c>
      <x:c r="K5187" s="40" t="n">
        <x:f>G5187-E5187</x:f>
        <x:v>1.4000000000000021</x:v>
      </x:c>
      <x:c r="L5187" s="40" t="n">
        <x:f>ABS(K5187)</x:f>
        <x:v>1.4000000000000021</x:v>
      </x:c>
      <x:c r="M5187" s="41" t="str">
        <x:v>lstm-soil-v1</x:v>
      </x:c>
    </x:row>
    <x:row r="5188">
      <x:c r="A5188" s="38" t="str">
        <x:v>7月30日现场数据</x:v>
      </x:c>
      <x:c r="B5188" s="39" t="str">
        <x:v>2026-08-05T01:35:00</x:v>
      </x:c>
      <x:c r="C5188" s="39" t="str">
        <x:v>2026-08-05T01:40:00</x:v>
      </x:c>
      <x:c r="D5188" s="47" t="n">
        <x:v>5</x:v>
      </x:c>
      <x:c r="E5188" s="40" t="n">
        <x:v>21</x:v>
      </x:c>
      <x:c r="F5188" s="40" t="n">
        <x:v>19.929161071777344</x:v>
      </x:c>
      <x:c r="G5188" s="40" t="n">
        <x:v>21.1</x:v>
      </x:c>
      <x:c r="H5188" s="40" t="n">
        <x:f>F5188-E5188</x:f>
        <x:v>-1.0708389282226562</x:v>
      </x:c>
      <x:c r="I5188" s="40" t="n">
        <x:f>ABS(H5188)</x:f>
        <x:v>1.0708389282226562</x:v>
      </x:c>
      <x:c r="J5188" s="40" t="n">
        <x:f>H5188^2</x:f>
        <x:v>1.1466960101970471</x:v>
      </x:c>
      <x:c r="K5188" s="40" t="n">
        <x:f>G5188-E5188</x:f>
        <x:v>0.10000000000000142</x:v>
      </x:c>
      <x:c r="L5188" s="40" t="n">
        <x:f>ABS(K5188)</x:f>
        <x:v>0.10000000000000142</x:v>
      </x:c>
      <x:c r="M5188" s="41" t="str">
        <x:v>lstm-soil-v1</x:v>
      </x:c>
    </x:row>
    <x:row r="5189">
      <x:c r="A5189" s="38" t="str">
        <x:v>7月30日现场数据</x:v>
      </x:c>
      <x:c r="B5189" s="39" t="str">
        <x:v>2026-08-05T01:35:00</x:v>
      </x:c>
      <x:c r="C5189" s="39" t="str">
        <x:v>2026-08-05T01:50:00</x:v>
      </x:c>
      <x:c r="D5189" s="47" t="n">
        <x:v>15</x:v>
      </x:c>
      <x:c r="E5189" s="40" t="n">
        <x:v>20.7</x:v>
      </x:c>
      <x:c r="F5189" s="40" t="n">
        <x:v>20.041671752929688</x:v>
      </x:c>
      <x:c r="G5189" s="40" t="n">
        <x:v>21.1</x:v>
      </x:c>
      <x:c r="H5189" s="40" t="n">
        <x:f>F5189-E5189</x:f>
        <x:v>-0.6583282470703118</x:v>
      </x:c>
      <x:c r="I5189" s="40" t="n">
        <x:f>ABS(H5189)</x:f>
        <x:v>0.6583282470703118</x:v>
      </x:c>
      <x:c r="J5189" s="40" t="n">
        <x:f>H5189^2</x:f>
        <x:v>0.4333960808906695</x:v>
      </x:c>
      <x:c r="K5189" s="40" t="n">
        <x:f>G5189-E5189</x:f>
        <x:v>0.40000000000000213</x:v>
      </x:c>
      <x:c r="L5189" s="40" t="n">
        <x:f>ABS(K5189)</x:f>
        <x:v>0.40000000000000213</x:v>
      </x:c>
      <x:c r="M5189" s="41" t="str">
        <x:v>lstm-soil-v1</x:v>
      </x:c>
    </x:row>
    <x:row r="5190">
      <x:c r="A5190" s="38" t="str">
        <x:v>7月30日现场数据</x:v>
      </x:c>
      <x:c r="B5190" s="39" t="str">
        <x:v>2026-08-05T01:35:00</x:v>
      </x:c>
      <x:c r="C5190" s="39" t="str">
        <x:v>2026-08-05T02:05:00</x:v>
      </x:c>
      <x:c r="D5190" s="47" t="n">
        <x:v>30</x:v>
      </x:c>
      <x:c r="E5190" s="40" t="n">
        <x:v>20.3</x:v>
      </x:c>
      <x:c r="F5190" s="40" t="n">
        <x:v>20.26749038696289</x:v>
      </x:c>
      <x:c r="G5190" s="40" t="n">
        <x:v>21.1</x:v>
      </x:c>
      <x:c r="H5190" s="40" t="n">
        <x:f>F5190-E5190</x:f>
        <x:v>-0.032509613037110086</x:v>
      </x:c>
      <x:c r="I5190" s="40" t="n">
        <x:f>ABS(H5190)</x:f>
        <x:v>0.032509613037110086</x:v>
      </x:c>
      <x:c r="J5190" s="40" t="n">
        <x:f>H5190^2</x:f>
        <x:v>0.001056874939822638</x:v>
      </x:c>
      <x:c r="K5190" s="40" t="n">
        <x:f>G5190-E5190</x:f>
        <x:v>0.8000000000000007</x:v>
      </x:c>
      <x:c r="L5190" s="40" t="n">
        <x:f>ABS(K5190)</x:f>
        <x:v>0.8000000000000007</x:v>
      </x:c>
      <x:c r="M5190" s="41" t="str">
        <x:v>lstm-soil-v1</x:v>
      </x:c>
    </x:row>
    <x:row r="5191">
      <x:c r="A5191" s="38" t="str">
        <x:v>7月30日现场数据</x:v>
      </x:c>
      <x:c r="B5191" s="39" t="str">
        <x:v>2026-08-05T01:35:00</x:v>
      </x:c>
      <x:c r="C5191" s="39" t="str">
        <x:v>2026-08-05T02:35:00</x:v>
      </x:c>
      <x:c r="D5191" s="47" t="n">
        <x:v>60</x:v>
      </x:c>
      <x:c r="E5191" s="40" t="n">
        <x:v>19.9</x:v>
      </x:c>
      <x:c r="F5191" s="40" t="n">
        <x:v>21.975849151611328</x:v>
      </x:c>
      <x:c r="G5191" s="40" t="n">
        <x:v>21.1</x:v>
      </x:c>
      <x:c r="H5191" s="40" t="n">
        <x:f>F5191-E5191</x:f>
        <x:v>2.0758491516113295</x:v>
      </x:c>
      <x:c r="I5191" s="40" t="n">
        <x:f>ABS(H5191)</x:f>
        <x:v>2.0758491516113295</x:v>
      </x:c>
      <x:c r="J5191" s="40" t="n">
        <x:f>H5191^2</x:f>
        <x:v>4.309149700245476</x:v>
      </x:c>
      <x:c r="K5191" s="40" t="n">
        <x:f>G5191-E5191</x:f>
        <x:v>1.2000000000000028</x:v>
      </x:c>
      <x:c r="L5191" s="40" t="n">
        <x:f>ABS(K5191)</x:f>
        <x:v>1.2000000000000028</x:v>
      </x:c>
      <x:c r="M5191" s="41" t="str">
        <x:v>lstm-soil-v1</x:v>
      </x:c>
    </x:row>
    <x:row r="5192">
      <x:c r="A5192" s="38" t="str">
        <x:v>7月30日现场数据</x:v>
      </x:c>
      <x:c r="B5192" s="39" t="str">
        <x:v>2026-08-05T01:40:00</x:v>
      </x:c>
      <x:c r="C5192" s="39" t="str">
        <x:v>2026-08-05T01:45:00</x:v>
      </x:c>
      <x:c r="D5192" s="47" t="n">
        <x:v>5</x:v>
      </x:c>
      <x:c r="E5192" s="40" t="n">
        <x:v>20.8</x:v>
      </x:c>
      <x:c r="F5192" s="40" t="n">
        <x:v>19.82143783569336</x:v>
      </x:c>
      <x:c r="G5192" s="40" t="n">
        <x:v>21</x:v>
      </x:c>
      <x:c r="H5192" s="40" t="n">
        <x:f>F5192-E5192</x:f>
        <x:v>-0.9785621643066413</x:v>
      </x:c>
      <x:c r="I5192" s="40" t="n">
        <x:f>ABS(H5192)</x:f>
        <x:v>0.9785621643066413</x:v>
      </x:c>
      <x:c r="J5192" s="40" t="n">
        <x:f>H5192^2</x:f>
        <x:v>0.9575839094124982</x:v>
      </x:c>
      <x:c r="K5192" s="40" t="n">
        <x:f>G5192-E5192</x:f>
        <x:v>0.1999999999999993</x:v>
      </x:c>
      <x:c r="L5192" s="40" t="n">
        <x:f>ABS(K5192)</x:f>
        <x:v>0.1999999999999993</x:v>
      </x:c>
      <x:c r="M5192" s="41" t="str">
        <x:v>lstm-soil-v1</x:v>
      </x:c>
    </x:row>
    <x:row r="5193">
      <x:c r="A5193" s="38" t="str">
        <x:v>7月30日现场数据</x:v>
      </x:c>
      <x:c r="B5193" s="39" t="str">
        <x:v>2026-08-05T01:40:00</x:v>
      </x:c>
      <x:c r="C5193" s="39" t="str">
        <x:v>2026-08-05T01:55:00</x:v>
      </x:c>
      <x:c r="D5193" s="47" t="n">
        <x:v>15</x:v>
      </x:c>
      <x:c r="E5193" s="40" t="n">
        <x:v>20.5</x:v>
      </x:c>
      <x:c r="F5193" s="40" t="n">
        <x:v>19.932579040527344</x:v>
      </x:c>
      <x:c r="G5193" s="40" t="n">
        <x:v>21</x:v>
      </x:c>
      <x:c r="H5193" s="40" t="n">
        <x:f>F5193-E5193</x:f>
        <x:v>-0.5674209594726562</x:v>
      </x:c>
      <x:c r="I5193" s="40" t="n">
        <x:f>ABS(H5193)</x:f>
        <x:v>0.5674209594726562</x:v>
      </x:c>
      <x:c r="J5193" s="40" t="n">
        <x:f>H5193^2</x:f>
        <x:v>0.3219665452488698</x:v>
      </x:c>
      <x:c r="K5193" s="40" t="n">
        <x:f>G5193-E5193</x:f>
        <x:v>0.5</x:v>
      </x:c>
      <x:c r="L5193" s="40" t="n">
        <x:f>ABS(K5193)</x:f>
        <x:v>0.5</x:v>
      </x:c>
      <x:c r="M5193" s="41" t="str">
        <x:v>lstm-soil-v1</x:v>
      </x:c>
    </x:row>
    <x:row r="5194">
      <x:c r="A5194" s="38" t="str">
        <x:v>7月30日现场数据</x:v>
      </x:c>
      <x:c r="B5194" s="39" t="str">
        <x:v>2026-08-05T01:40:00</x:v>
      </x:c>
      <x:c r="C5194" s="39" t="str">
        <x:v>2026-08-05T02:10:00</x:v>
      </x:c>
      <x:c r="D5194" s="47" t="n">
        <x:v>30</x:v>
      </x:c>
      <x:c r="E5194" s="40" t="n">
        <x:v>20.1</x:v>
      </x:c>
      <x:c r="F5194" s="40" t="n">
        <x:v>20.163257598876953</x:v>
      </x:c>
      <x:c r="G5194" s="40" t="n">
        <x:v>21</x:v>
      </x:c>
      <x:c r="H5194" s="40" t="n">
        <x:f>F5194-E5194</x:f>
        <x:v>0.0632575988769517</x:v>
      </x:c>
      <x:c r="I5194" s="40" t="n">
        <x:f>ABS(H5194)</x:f>
        <x:v>0.0632575988769517</x:v>
      </x:c>
      <x:c r="J5194" s="40" t="n">
        <x:f>H5194^2</x:f>
        <x:v>0.004001523815677322</x:v>
      </x:c>
      <x:c r="K5194" s="40" t="n">
        <x:f>G5194-E5194</x:f>
        <x:v>0.8999999999999986</x:v>
      </x:c>
      <x:c r="L5194" s="40" t="n">
        <x:f>ABS(K5194)</x:f>
        <x:v>0.8999999999999986</x:v>
      </x:c>
      <x:c r="M5194" s="41" t="str">
        <x:v>lstm-soil-v1</x:v>
      </x:c>
    </x:row>
    <x:row r="5195">
      <x:c r="A5195" s="38" t="str">
        <x:v>7月30日现场数据</x:v>
      </x:c>
      <x:c r="B5195" s="39" t="str">
        <x:v>2026-08-05T01:40:00</x:v>
      </x:c>
      <x:c r="C5195" s="39" t="str">
        <x:v>2026-08-05T02:40:00</x:v>
      </x:c>
      <x:c r="D5195" s="47" t="n">
        <x:v>60</x:v>
      </x:c>
      <x:c r="E5195" s="40" t="n">
        <x:v>19.9</x:v>
      </x:c>
      <x:c r="F5195" s="40" t="n">
        <x:v>21.874771118164062</x:v>
      </x:c>
      <x:c r="G5195" s="40" t="n">
        <x:v>21</x:v>
      </x:c>
      <x:c r="H5195" s="40" t="n">
        <x:f>F5195-E5195</x:f>
        <x:v>1.974771118164064</x:v>
      </x:c>
      <x:c r="I5195" s="40" t="n">
        <x:f>ABS(H5195)</x:f>
        <x:v>1.974771118164064</x:v>
      </x:c>
      <x:c r="J5195" s="40" t="n">
        <x:f>H5195^2</x:f>
        <x:v>3.8997209691349473</x:v>
      </x:c>
      <x:c r="K5195" s="40" t="n">
        <x:f>G5195-E5195</x:f>
        <x:v>1.1000000000000014</x:v>
      </x:c>
      <x:c r="L5195" s="40" t="n">
        <x:f>ABS(K5195)</x:f>
        <x:v>1.1000000000000014</x:v>
      </x:c>
      <x:c r="M5195" s="41" t="str">
        <x:v>lstm-soil-v1</x:v>
      </x:c>
    </x:row>
    <x:row r="5196">
      <x:c r="A5196" s="38" t="str">
        <x:v>7月30日现场数据</x:v>
      </x:c>
      <x:c r="B5196" s="39" t="str">
        <x:v>2026-08-05T01:45:00</x:v>
      </x:c>
      <x:c r="C5196" s="39" t="str">
        <x:v>2026-08-05T01:50:00</x:v>
      </x:c>
      <x:c r="D5196" s="47" t="n">
        <x:v>5</x:v>
      </x:c>
      <x:c r="E5196" s="40" t="n">
        <x:v>20.7</x:v>
      </x:c>
      <x:c r="F5196" s="40" t="n">
        <x:v>19.601497650146484</x:v>
      </x:c>
      <x:c r="G5196" s="40" t="n">
        <x:v>20.8</x:v>
      </x:c>
      <x:c r="H5196" s="40" t="n">
        <x:f>F5196-E5196</x:f>
        <x:v>-1.098502349853515</x:v>
      </x:c>
      <x:c r="I5196" s="40" t="n">
        <x:f>ABS(H5196)</x:f>
        <x:v>1.098502349853515</x:v>
      </x:c>
      <x:c r="J5196" s="40" t="n">
        <x:f>H5196^2</x:f>
        <x:v>1.206707412633694</x:v>
      </x:c>
      <x:c r="K5196" s="40" t="n">
        <x:f>G5196-E5196</x:f>
        <x:v>0.10000000000000142</x:v>
      </x:c>
      <x:c r="L5196" s="40" t="n">
        <x:f>ABS(K5196)</x:f>
        <x:v>0.10000000000000142</x:v>
      </x:c>
      <x:c r="M5196" s="41" t="str">
        <x:v>lstm-soil-v1</x:v>
      </x:c>
    </x:row>
    <x:row r="5197">
      <x:c r="A5197" s="38" t="str">
        <x:v>7月30日现场数据</x:v>
      </x:c>
      <x:c r="B5197" s="39" t="str">
        <x:v>2026-08-05T01:45:00</x:v>
      </x:c>
      <x:c r="C5197" s="39" t="str">
        <x:v>2026-08-05T02:00:00</x:v>
      </x:c>
      <x:c r="D5197" s="47" t="n">
        <x:v>15</x:v>
      </x:c>
      <x:c r="E5197" s="40" t="n">
        <x:v>20.5</x:v>
      </x:c>
      <x:c r="F5197" s="40" t="n">
        <x:v>19.713665008544922</x:v>
      </x:c>
      <x:c r="G5197" s="40" t="n">
        <x:v>20.8</x:v>
      </x:c>
      <x:c r="H5197" s="40" t="n">
        <x:f>F5197-E5197</x:f>
        <x:v>-0.7863349914550781</x:v>
      </x:c>
      <x:c r="I5197" s="40" t="n">
        <x:f>ABS(H5197)</x:f>
        <x:v>0.7863349914550781</x:v>
      </x:c>
      <x:c r="J5197" s="40" t="n">
        <x:f>H5197^2</x:f>
        <x:v>0.6183227187866578</x:v>
      </x:c>
      <x:c r="K5197" s="40" t="n">
        <x:f>G5197-E5197</x:f>
        <x:v>0.3000000000000007</x:v>
      </x:c>
      <x:c r="L5197" s="40" t="n">
        <x:f>ABS(K5197)</x:f>
        <x:v>0.3000000000000007</x:v>
      </x:c>
      <x:c r="M5197" s="41" t="str">
        <x:v>lstm-soil-v1</x:v>
      </x:c>
    </x:row>
    <x:row r="5198">
      <x:c r="A5198" s="38" t="str">
        <x:v>7月30日现场数据</x:v>
      </x:c>
      <x:c r="B5198" s="39" t="str">
        <x:v>2026-08-05T01:45:00</x:v>
      </x:c>
      <x:c r="C5198" s="39" t="str">
        <x:v>2026-08-05T02:15:00</x:v>
      </x:c>
      <x:c r="D5198" s="47" t="n">
        <x:v>30</x:v>
      </x:c>
      <x:c r="E5198" s="40" t="n">
        <x:v>20.2</x:v>
      </x:c>
      <x:c r="F5198" s="40" t="n">
        <x:v>19.950191497802734</x:v>
      </x:c>
      <x:c r="G5198" s="40" t="n">
        <x:v>20.8</x:v>
      </x:c>
      <x:c r="H5198" s="40" t="n">
        <x:f>F5198-E5198</x:f>
        <x:v>-0.24980850219726491</x:v>
      </x:c>
      <x:c r="I5198" s="40" t="n">
        <x:f>ABS(H5198)</x:f>
        <x:v>0.24980850219726491</x:v>
      </x:c>
      <x:c r="J5198" s="40" t="n">
        <x:f>H5198^2</x:f>
        <x:v>0.06240428777004091</x:v>
      </x:c>
      <x:c r="K5198" s="40" t="n">
        <x:f>G5198-E5198</x:f>
        <x:v>0.6000000000000014</x:v>
      </x:c>
      <x:c r="L5198" s="40" t="n">
        <x:f>ABS(K5198)</x:f>
        <x:v>0.6000000000000014</x:v>
      </x:c>
      <x:c r="M5198" s="41" t="str">
        <x:v>lstm-soil-v1</x:v>
      </x:c>
    </x:row>
    <x:row r="5199">
      <x:c r="A5199" s="38" t="str">
        <x:v>7月30日现场数据</x:v>
      </x:c>
      <x:c r="B5199" s="39" t="str">
        <x:v>2026-08-05T01:45:00</x:v>
      </x:c>
      <x:c r="C5199" s="39" t="str">
        <x:v>2026-08-05T02:45:00</x:v>
      </x:c>
      <x:c r="D5199" s="47" t="n">
        <x:v>60</x:v>
      </x:c>
      <x:c r="E5199" s="40" t="n">
        <x:v>19.8</x:v>
      </x:c>
      <x:c r="F5199" s="40" t="n">
        <x:v>21.661338806152344</x:v>
      </x:c>
      <x:c r="G5199" s="40" t="n">
        <x:v>20.8</x:v>
      </x:c>
      <x:c r="H5199" s="40" t="n">
        <x:f>F5199-E5199</x:f>
        <x:v>1.861338806152343</x:v>
      </x:c>
      <x:c r="I5199" s="40" t="n">
        <x:f>ABS(H5199)</x:f>
        <x:v>1.861338806152343</x:v>
      </x:c>
      <x:c r="J5199" s="40" t="n">
        <x:f>H5199^2</x:f>
        <x:v>3.4645821512886297</x:v>
      </x:c>
      <x:c r="K5199" s="40" t="n">
        <x:f>G5199-E5199</x:f>
        <x:v>1</x:v>
      </x:c>
      <x:c r="L5199" s="40" t="n">
        <x:f>ABS(K5199)</x:f>
        <x:v>1</x:v>
      </x:c>
      <x:c r="M5199" s="41" t="str">
        <x:v>lstm-soil-v1</x:v>
      </x:c>
    </x:row>
    <x:row r="5200">
      <x:c r="A5200" s="38" t="str">
        <x:v>7月30日现场数据</x:v>
      </x:c>
      <x:c r="B5200" s="39" t="str">
        <x:v>2026-08-05T01:50:00</x:v>
      </x:c>
      <x:c r="C5200" s="39" t="str">
        <x:v>2026-08-05T01:55:00</x:v>
      </x:c>
      <x:c r="D5200" s="47" t="n">
        <x:v>5</x:v>
      </x:c>
      <x:c r="E5200" s="40" t="n">
        <x:v>20.5</x:v>
      </x:c>
      <x:c r="F5200" s="40" t="n">
        <x:v>19.492107391357422</x:v>
      </x:c>
      <x:c r="G5200" s="40" t="n">
        <x:v>20.7</x:v>
      </x:c>
      <x:c r="H5200" s="40" t="n">
        <x:f>F5200-E5200</x:f>
        <x:v>-1.0078926086425781</x:v>
      </x:c>
      <x:c r="I5200" s="40" t="n">
        <x:f>ABS(H5200)</x:f>
        <x:v>1.0078926086425781</x:v>
      </x:c>
      <x:c r="J5200" s="40" t="n">
        <x:f>H5200^2</x:f>
        <x:v>1.0158475105563411</x:v>
      </x:c>
      <x:c r="K5200" s="40" t="n">
        <x:f>G5200-E5200</x:f>
        <x:v>0.1999999999999993</x:v>
      </x:c>
      <x:c r="L5200" s="40" t="n">
        <x:f>ABS(K5200)</x:f>
        <x:v>0.1999999999999993</x:v>
      </x:c>
      <x:c r="M5200" s="41" t="str">
        <x:v>lstm-soil-v1</x:v>
      </x:c>
    </x:row>
    <x:row r="5201">
      <x:c r="A5201" s="38" t="str">
        <x:v>7月30日现场数据</x:v>
      </x:c>
      <x:c r="B5201" s="39" t="str">
        <x:v>2026-08-05T01:50:00</x:v>
      </x:c>
      <x:c r="C5201" s="39" t="str">
        <x:v>2026-08-05T02:05:00</x:v>
      </x:c>
      <x:c r="D5201" s="47" t="n">
        <x:v>15</x:v>
      </x:c>
      <x:c r="E5201" s="40" t="n">
        <x:v>20.3</x:v>
      </x:c>
      <x:c r="F5201" s="40" t="n">
        <x:v>19.60356903076172</x:v>
      </x:c>
      <x:c r="G5201" s="40" t="n">
        <x:v>20.7</x:v>
      </x:c>
      <x:c r="H5201" s="40" t="n">
        <x:f>F5201-E5201</x:f>
        <x:v>-0.696430969238282</x:v>
      </x:c>
      <x:c r="I5201" s="40" t="n">
        <x:f>ABS(H5201)</x:f>
        <x:v>0.696430969238282</x:v>
      </x:c>
      <x:c r="J5201" s="40" t="n">
        <x:f>H5201^2</x:f>
        <x:v>0.48501609491417286</x:v>
      </x:c>
      <x:c r="K5201" s="40" t="n">
        <x:f>G5201-E5201</x:f>
        <x:v>0.3999999999999986</x:v>
      </x:c>
      <x:c r="L5201" s="40" t="n">
        <x:f>ABS(K5201)</x:f>
        <x:v>0.3999999999999986</x:v>
      </x:c>
      <x:c r="M5201" s="41" t="str">
        <x:v>lstm-soil-v1</x:v>
      </x:c>
    </x:row>
    <x:row r="5202">
      <x:c r="A5202" s="38" t="str">
        <x:v>7月30日现场数据</x:v>
      </x:c>
      <x:c r="B5202" s="39" t="str">
        <x:v>2026-08-05T01:50:00</x:v>
      </x:c>
      <x:c r="C5202" s="39" t="str">
        <x:v>2026-08-05T02:20:00</x:v>
      </x:c>
      <x:c r="D5202" s="47" t="n">
        <x:v>30</x:v>
      </x:c>
      <x:c r="E5202" s="40" t="n">
        <x:v>20</x:v>
      </x:c>
      <x:c r="F5202" s="40" t="n">
        <x:v>19.847248077392578</x:v>
      </x:c>
      <x:c r="G5202" s="40" t="n">
        <x:v>20.7</x:v>
      </x:c>
      <x:c r="H5202" s="40" t="n">
        <x:f>F5202-E5202</x:f>
        <x:v>-0.15275192260742188</x:v>
      </x:c>
      <x:c r="I5202" s="40" t="n">
        <x:f>ABS(H5202)</x:f>
        <x:v>0.15275192260742188</x:v>
      </x:c>
      <x:c r="J5202" s="40" t="n">
        <x:f>H5202^2</x:f>
        <x:v>0.023333149860263802</x:v>
      </x:c>
      <x:c r="K5202" s="40" t="n">
        <x:f>G5202-E5202</x:f>
        <x:v>0.6999999999999993</x:v>
      </x:c>
      <x:c r="L5202" s="40" t="n">
        <x:f>ABS(K5202)</x:f>
        <x:v>0.6999999999999993</x:v>
      </x:c>
      <x:c r="M5202" s="41" t="str">
        <x:v>lstm-soil-v1</x:v>
      </x:c>
    </x:row>
    <x:row r="5203">
      <x:c r="A5203" s="38" t="str">
        <x:v>7月30日现场数据</x:v>
      </x:c>
      <x:c r="B5203" s="39" t="str">
        <x:v>2026-08-05T01:50:00</x:v>
      </x:c>
      <x:c r="C5203" s="39" t="str">
        <x:v>2026-08-05T02:50:00</x:v>
      </x:c>
      <x:c r="D5203" s="47" t="n">
        <x:v>60</x:v>
      </x:c>
      <x:c r="E5203" s="40" t="n">
        <x:v>19.8</x:v>
      </x:c>
      <x:c r="F5203" s="40" t="n">
        <x:v>21.555702209472656</x:v>
      </x:c>
      <x:c r="G5203" s="40" t="n">
        <x:v>20.7</x:v>
      </x:c>
      <x:c r="H5203" s="40" t="n">
        <x:f>F5203-E5203</x:f>
        <x:v>1.7557022094726555</x:v>
      </x:c>
      <x:c r="I5203" s="40" t="n">
        <x:f>ABS(H5203)</x:f>
        <x:v>1.7557022094726555</x:v>
      </x:c>
      <x:c r="J5203" s="40" t="n">
        <x:f>H5203^2</x:f>
        <x:v>3.0824902483471646</x:v>
      </x:c>
      <x:c r="K5203" s="40" t="n">
        <x:f>G5203-E5203</x:f>
        <x:v>0.8999999999999986</x:v>
      </x:c>
      <x:c r="L5203" s="40" t="n">
        <x:f>ABS(K5203)</x:f>
        <x:v>0.8999999999999986</x:v>
      </x:c>
      <x:c r="M5203" s="41" t="str">
        <x:v>lstm-soil-v1</x:v>
      </x:c>
    </x:row>
    <x:row r="5204">
      <x:c r="A5204" s="38" t="str">
        <x:v>7月30日现场数据</x:v>
      </x:c>
      <x:c r="B5204" s="39" t="str">
        <x:v>2026-08-05T01:55:00</x:v>
      </x:c>
      <x:c r="C5204" s="39" t="str">
        <x:v>2026-08-05T02:00:00</x:v>
      </x:c>
      <x:c r="D5204" s="47" t="n">
        <x:v>5</x:v>
      </x:c>
      <x:c r="E5204" s="40" t="n">
        <x:v>20.5</x:v>
      </x:c>
      <x:c r="F5204" s="40" t="n">
        <x:v>19.273006439208984</x:v>
      </x:c>
      <x:c r="G5204" s="40" t="n">
        <x:v>20.5</x:v>
      </x:c>
      <x:c r="H5204" s="40" t="n">
        <x:f>F5204-E5204</x:f>
        <x:v>-1.2269935607910156</x:v>
      </x:c>
      <x:c r="I5204" s="40" t="n">
        <x:f>ABS(H5204)</x:f>
        <x:v>1.2269935607910156</x:v>
      </x:c>
      <x:c r="J5204" s="40" t="n">
        <x:f>H5204^2</x:f>
        <x:v>1.5055131982226158</x:v>
      </x:c>
      <x:c r="K5204" s="40" t="n">
        <x:f>G5204-E5204</x:f>
        <x:v>0</x:v>
      </x:c>
      <x:c r="L5204" s="40" t="n">
        <x:f>ABS(K5204)</x:f>
        <x:v>0</x:v>
      </x:c>
      <x:c r="M5204" s="41" t="str">
        <x:v>lstm-soil-v1</x:v>
      </x:c>
    </x:row>
    <x:row r="5205">
      <x:c r="A5205" s="38" t="str">
        <x:v>7月30日现场数据</x:v>
      </x:c>
      <x:c r="B5205" s="39" t="str">
        <x:v>2026-08-05T01:55:00</x:v>
      </x:c>
      <x:c r="C5205" s="39" t="str">
        <x:v>2026-08-05T02:10:00</x:v>
      </x:c>
      <x:c r="D5205" s="47" t="n">
        <x:v>15</x:v>
      </x:c>
      <x:c r="E5205" s="40" t="n">
        <x:v>20.1</x:v>
      </x:c>
      <x:c r="F5205" s="40" t="n">
        <x:v>19.382469177246094</x:v>
      </x:c>
      <x:c r="G5205" s="40" t="n">
        <x:v>20.5</x:v>
      </x:c>
      <x:c r="H5205" s="40" t="n">
        <x:f>F5205-E5205</x:f>
        <x:v>-0.7175308227539077</x:v>
      </x:c>
      <x:c r="I5205" s="40" t="n">
        <x:f>ABS(H5205)</x:f>
        <x:v>0.7175308227539077</x:v>
      </x:c>
      <x:c r="J5205" s="40" t="n">
        <x:f>H5205^2</x:f>
        <x:v>0.5148504816018996</x:v>
      </x:c>
      <x:c r="K5205" s="40" t="n">
        <x:f>G5205-E5205</x:f>
        <x:v>0.3999999999999986</x:v>
      </x:c>
      <x:c r="L5205" s="40" t="n">
        <x:f>ABS(K5205)</x:f>
        <x:v>0.3999999999999986</x:v>
      </x:c>
      <x:c r="M5205" s="41" t="str">
        <x:v>lstm-soil-v1</x:v>
      </x:c>
    </x:row>
    <x:row r="5206">
      <x:c r="A5206" s="38" t="str">
        <x:v>7月30日现场数据</x:v>
      </x:c>
      <x:c r="B5206" s="39" t="str">
        <x:v>2026-08-05T01:55:00</x:v>
      </x:c>
      <x:c r="C5206" s="39" t="str">
        <x:v>2026-08-05T02:25:00</x:v>
      </x:c>
      <x:c r="D5206" s="47" t="n">
        <x:v>30</x:v>
      </x:c>
      <x:c r="E5206" s="40" t="n">
        <x:v>20</x:v>
      </x:c>
      <x:c r="F5206" s="40" t="n">
        <x:v>19.63382339477539</x:v>
      </x:c>
      <x:c r="G5206" s="40" t="n">
        <x:v>20.5</x:v>
      </x:c>
      <x:c r="H5206" s="40" t="n">
        <x:f>F5206-E5206</x:f>
        <x:v>-0.3661766052246094</x:v>
      </x:c>
      <x:c r="I5206" s="40" t="n">
        <x:f>ABS(H5206)</x:f>
        <x:v>0.3661766052246094</x:v>
      </x:c>
      <x:c r="J5206" s="40" t="n">
        <x:f>H5206^2</x:f>
        <x:v>0.13408530621381942</x:v>
      </x:c>
      <x:c r="K5206" s="40" t="n">
        <x:f>G5206-E5206</x:f>
        <x:v>0.5</x:v>
      </x:c>
      <x:c r="L5206" s="40" t="n">
        <x:f>ABS(K5206)</x:f>
        <x:v>0.5</x:v>
      </x:c>
      <x:c r="M5206" s="41" t="str">
        <x:v>lstm-soil-v1</x:v>
      </x:c>
    </x:row>
    <x:row r="5207">
      <x:c r="A5207" s="38" t="str">
        <x:v>7月30日现场数据</x:v>
      </x:c>
      <x:c r="B5207" s="39" t="str">
        <x:v>2026-08-05T01:55:00</x:v>
      </x:c>
      <x:c r="C5207" s="39" t="str">
        <x:v>2026-08-05T02:55:00</x:v>
      </x:c>
      <x:c r="D5207" s="47" t="n">
        <x:v>60</x:v>
      </x:c>
      <x:c r="E5207" s="40" t="n">
        <x:v>19.7</x:v>
      </x:c>
      <x:c r="F5207" s="40" t="n">
        <x:v>21.33849334716797</x:v>
      </x:c>
      <x:c r="G5207" s="40" t="n">
        <x:v>20.5</x:v>
      </x:c>
      <x:c r="H5207" s="40" t="n">
        <x:f>F5207-E5207</x:f>
        <x:v>1.6384933471679695</x:v>
      </x:c>
      <x:c r="I5207" s="40" t="n">
        <x:f>ABS(H5207)</x:f>
        <x:v>1.6384933471679695</x:v>
      </x:c>
      <x:c r="J5207" s="40" t="n">
        <x:f>H5207^2</x:f>
        <x:v>2.684660448713696</x:v>
      </x:c>
      <x:c r="K5207" s="40" t="n">
        <x:f>G5207-E5207</x:f>
        <x:v>0.8000000000000007</x:v>
      </x:c>
      <x:c r="L5207" s="40" t="n">
        <x:f>ABS(K5207)</x:f>
        <x:v>0.8000000000000007</x:v>
      </x:c>
      <x:c r="M5207" s="41" t="str">
        <x:v>lstm-soil-v1</x:v>
      </x:c>
    </x:row>
    <x:row r="5208">
      <x:c r="A5208" s="38" t="str">
        <x:v>7月30日现场数据</x:v>
      </x:c>
      <x:c r="B5208" s="39" t="str">
        <x:v>2026-08-05T02:00:00</x:v>
      </x:c>
      <x:c r="C5208" s="39" t="str">
        <x:v>2026-08-05T02:05:00</x:v>
      </x:c>
      <x:c r="D5208" s="47" t="n">
        <x:v>5</x:v>
      </x:c>
      <x:c r="E5208" s="40" t="n">
        <x:v>20.3</x:v>
      </x:c>
      <x:c r="F5208" s="40" t="n">
        <x:v>19.270999908447266</x:v>
      </x:c>
      <x:c r="G5208" s="40" t="n">
        <x:v>20.5</x:v>
      </x:c>
      <x:c r="H5208" s="40" t="n">
        <x:f>F5208-E5208</x:f>
        <x:v>-1.029000091552735</x:v>
      </x:c>
      <x:c r="I5208" s="40" t="n">
        <x:f>ABS(H5208)</x:f>
        <x:v>1.029000091552735</x:v>
      </x:c>
      <x:c r="J5208" s="40" t="n">
        <x:f>H5208^2</x:f>
        <x:v>1.058841188415537</x:v>
      </x:c>
      <x:c r="K5208" s="40" t="n">
        <x:f>G5208-E5208</x:f>
        <x:v>0.1999999999999993</x:v>
      </x:c>
      <x:c r="L5208" s="40" t="n">
        <x:f>ABS(K5208)</x:f>
        <x:v>0.1999999999999993</x:v>
      </x:c>
      <x:c r="M5208" s="41" t="str">
        <x:v>lstm-soil-v1</x:v>
      </x:c>
    </x:row>
    <x:row r="5209">
      <x:c r="A5209" s="38" t="str">
        <x:v>7月30日现场数据</x:v>
      </x:c>
      <x:c r="B5209" s="39" t="str">
        <x:v>2026-08-05T02:00:00</x:v>
      </x:c>
      <x:c r="C5209" s="39" t="str">
        <x:v>2026-08-05T02:15:00</x:v>
      </x:c>
      <x:c r="D5209" s="47" t="n">
        <x:v>15</x:v>
      </x:c>
      <x:c r="E5209" s="40" t="n">
        <x:v>20.2</x:v>
      </x:c>
      <x:c r="F5209" s="40" t="n">
        <x:v>19.37847137451172</x:v>
      </x:c>
      <x:c r="G5209" s="40" t="n">
        <x:v>20.5</x:v>
      </x:c>
      <x:c r="H5209" s="40" t="n">
        <x:f>F5209-E5209</x:f>
        <x:v>-0.8215286254882805</x:v>
      </x:c>
      <x:c r="I5209" s="40" t="n">
        <x:f>ABS(H5209)</x:f>
        <x:v>0.8215286254882805</x:v>
      </x:c>
      <x:c r="J5209" s="40" t="n">
        <x:f>H5209^2</x:f>
        <x:v>0.6749092824966635</x:v>
      </x:c>
      <x:c r="K5209" s="40" t="n">
        <x:f>G5209-E5209</x:f>
        <x:v>0.3000000000000007</x:v>
      </x:c>
      <x:c r="L5209" s="40" t="n">
        <x:f>ABS(K5209)</x:f>
        <x:v>0.3000000000000007</x:v>
      </x:c>
      <x:c r="M5209" s="41" t="str">
        <x:v>lstm-soil-v1</x:v>
      </x:c>
    </x:row>
    <x:row r="5210">
      <x:c r="A5210" s="38" t="str">
        <x:v>7月30日现场数据</x:v>
      </x:c>
      <x:c r="B5210" s="39" t="str">
        <x:v>2026-08-05T02:00:00</x:v>
      </x:c>
      <x:c r="C5210" s="39" t="str">
        <x:v>2026-08-05T02:30:00</x:v>
      </x:c>
      <x:c r="D5210" s="47" t="n">
        <x:v>30</x:v>
      </x:c>
      <x:c r="E5210" s="40" t="n">
        <x:v>19.9</x:v>
      </x:c>
      <x:c r="F5210" s="40" t="n">
        <x:v>19.636592864990234</x:v>
      </x:c>
      <x:c r="G5210" s="40" t="n">
        <x:v>20.5</x:v>
      </x:c>
      <x:c r="H5210" s="40" t="n">
        <x:f>F5210-E5210</x:f>
        <x:v>-0.2634071350097642</x:v>
      </x:c>
      <x:c r="I5210" s="40" t="n">
        <x:f>ABS(H5210)</x:f>
        <x:v>0.2634071350097642</x:v>
      </x:c>
      <x:c r="J5210" s="40" t="n">
        <x:f>H5210^2</x:f>
        <x:v>0.06938331877405214</x:v>
      </x:c>
      <x:c r="K5210" s="40" t="n">
        <x:f>G5210-E5210</x:f>
        <x:v>0.6000000000000014</x:v>
      </x:c>
      <x:c r="L5210" s="40" t="n">
        <x:f>ABS(K5210)</x:f>
        <x:v>0.6000000000000014</x:v>
      </x:c>
      <x:c r="M5210" s="41" t="str">
        <x:v>lstm-soil-v1</x:v>
      </x:c>
    </x:row>
    <x:row r="5211">
      <x:c r="A5211" s="38" t="str">
        <x:v>7月30日现场数据</x:v>
      </x:c>
      <x:c r="B5211" s="39" t="str">
        <x:v>2026-08-05T02:00:00</x:v>
      </x:c>
      <x:c r="C5211" s="39" t="str">
        <x:v>2026-08-05T03:00:00</x:v>
      </x:c>
      <x:c r="D5211" s="47" t="n">
        <x:v>60</x:v>
      </x:c>
      <x:c r="E5211" s="40" t="n">
        <x:v>19.7</x:v>
      </x:c>
      <x:c r="F5211" s="40" t="n">
        <x:v>21.337345123291016</x:v>
      </x:c>
      <x:c r="G5211" s="40" t="n">
        <x:v>20.5</x:v>
      </x:c>
      <x:c r="H5211" s="40" t="n">
        <x:f>F5211-E5211</x:f>
        <x:v>1.6373451232910163</x:v>
      </x:c>
      <x:c r="I5211" s="40" t="n">
        <x:f>ABS(H5211)</x:f>
        <x:v>1.6373451232910163</x:v>
      </x:c>
      <x:c r="J5211" s="40" t="n">
        <x:f>H5211^2</x:f>
        <x:v>2.6808990527648735</x:v>
      </x:c>
      <x:c r="K5211" s="40" t="n">
        <x:f>G5211-E5211</x:f>
        <x:v>0.8000000000000007</x:v>
      </x:c>
      <x:c r="L5211" s="40" t="n">
        <x:f>ABS(K5211)</x:f>
        <x:v>0.8000000000000007</x:v>
      </x:c>
      <x:c r="M5211" s="41" t="str">
        <x:v>lstm-soil-v1</x:v>
      </x:c>
    </x:row>
    <x:row r="5212">
      <x:c r="A5212" s="38" t="str">
        <x:v>7月30日现场数据</x:v>
      </x:c>
      <x:c r="B5212" s="39" t="str">
        <x:v>2026-08-05T02:05:00</x:v>
      </x:c>
      <x:c r="C5212" s="39" t="str">
        <x:v>2026-08-05T02:10:00</x:v>
      </x:c>
      <x:c r="D5212" s="47" t="n">
        <x:v>5</x:v>
      </x:c>
      <x:c r="E5212" s="40" t="n">
        <x:v>20.1</x:v>
      </x:c>
      <x:c r="F5212" s="40" t="n">
        <x:v>19.049381256103516</x:v>
      </x:c>
      <x:c r="G5212" s="40" t="n">
        <x:v>20.3</x:v>
      </x:c>
      <x:c r="H5212" s="40" t="n">
        <x:f>F5212-E5212</x:f>
        <x:v>-1.0506187438964858</x:v>
      </x:c>
      <x:c r="I5212" s="40" t="n">
        <x:f>ABS(H5212)</x:f>
        <x:v>1.0506187438964858</x:v>
      </x:c>
      <x:c r="J5212" s="40" t="n">
        <x:f>H5212^2</x:f>
        <x:v>1.1037997450266297</x:v>
      </x:c>
      <x:c r="K5212" s="40" t="n">
        <x:f>G5212-E5212</x:f>
        <x:v>0.1999999999999993</x:v>
      </x:c>
      <x:c r="L5212" s="40" t="n">
        <x:f>ABS(K5212)</x:f>
        <x:v>0.1999999999999993</x:v>
      </x:c>
      <x:c r="M5212" s="41" t="str">
        <x:v>lstm-soil-v1</x:v>
      </x:c>
    </x:row>
    <x:row r="5213">
      <x:c r="A5213" s="38" t="str">
        <x:v>7月30日现场数据</x:v>
      </x:c>
      <x:c r="B5213" s="39" t="str">
        <x:v>2026-08-05T02:05:00</x:v>
      </x:c>
      <x:c r="C5213" s="39" t="str">
        <x:v>2026-08-05T02:20:00</x:v>
      </x:c>
      <x:c r="D5213" s="47" t="n">
        <x:v>15</x:v>
      </x:c>
      <x:c r="E5213" s="40" t="n">
        <x:v>20</x:v>
      </x:c>
      <x:c r="F5213" s="40" t="n">
        <x:v>19.155933380126953</x:v>
      </x:c>
      <x:c r="G5213" s="40" t="n">
        <x:v>20.3</x:v>
      </x:c>
      <x:c r="H5213" s="40" t="n">
        <x:f>F5213-E5213</x:f>
        <x:v>-0.8440666198730469</x:v>
      </x:c>
      <x:c r="I5213" s="40" t="n">
        <x:f>ABS(H5213)</x:f>
        <x:v>0.8440666198730469</x:v>
      </x:c>
      <x:c r="J5213" s="40" t="n">
        <x:f>H5213^2</x:f>
        <x:v>0.7124484587839106</x:v>
      </x:c>
      <x:c r="K5213" s="40" t="n">
        <x:f>G5213-E5213</x:f>
        <x:v>0.3000000000000007</x:v>
      </x:c>
      <x:c r="L5213" s="40" t="n">
        <x:f>ABS(K5213)</x:f>
        <x:v>0.3000000000000007</x:v>
      </x:c>
      <x:c r="M5213" s="41" t="str">
        <x:v>lstm-soil-v1</x:v>
      </x:c>
    </x:row>
    <x:row r="5214">
      <x:c r="A5214" s="38" t="str">
        <x:v>7月30日现场数据</x:v>
      </x:c>
      <x:c r="B5214" s="39" t="str">
        <x:v>2026-08-05T02:05:00</x:v>
      </x:c>
      <x:c r="C5214" s="39" t="str">
        <x:v>2026-08-05T02:35:00</x:v>
      </x:c>
      <x:c r="D5214" s="47" t="n">
        <x:v>30</x:v>
      </x:c>
      <x:c r="E5214" s="40" t="n">
        <x:v>19.9</x:v>
      </x:c>
      <x:c r="F5214" s="40" t="n">
        <x:v>19.42159652709961</x:v>
      </x:c>
      <x:c r="G5214" s="40" t="n">
        <x:v>20.3</x:v>
      </x:c>
      <x:c r="H5214" s="40" t="n">
        <x:f>F5214-E5214</x:f>
        <x:v>-0.4784034729003892</x:v>
      </x:c>
      <x:c r="I5214" s="40" t="n">
        <x:f>ABS(H5214)</x:f>
        <x:v>0.4784034729003892</x:v>
      </x:c>
      <x:c r="J5214" s="40" t="n">
        <x:f>H5214^2</x:f>
        <x:v>0.22886988288315344</x:v>
      </x:c>
      <x:c r="K5214" s="40" t="n">
        <x:f>G5214-E5214</x:f>
        <x:v>0.40000000000000213</x:v>
      </x:c>
      <x:c r="L5214" s="40" t="n">
        <x:f>ABS(K5214)</x:f>
        <x:v>0.40000000000000213</x:v>
      </x:c>
      <x:c r="M5214" s="41" t="str">
        <x:v>lstm-soil-v1</x:v>
      </x:c>
    </x:row>
    <x:row r="5215">
      <x:c r="A5215" s="38" t="str">
        <x:v>7月30日现场数据</x:v>
      </x:c>
      <x:c r="B5215" s="39" t="str">
        <x:v>2026-08-05T02:05:00</x:v>
      </x:c>
      <x:c r="C5215" s="39" t="str">
        <x:v>2026-08-05T03:05:00</x:v>
      </x:c>
      <x:c r="D5215" s="47" t="n">
        <x:v>60</x:v>
      </x:c>
      <x:c r="E5215" s="40" t="n">
        <x:v>19.7</x:v>
      </x:c>
      <x:c r="F5215" s="40" t="n">
        <x:v>21.11614990234375</x:v>
      </x:c>
      <x:c r="G5215" s="40" t="n">
        <x:v>20.3</x:v>
      </x:c>
      <x:c r="H5215" s="40" t="n">
        <x:f>F5215-E5215</x:f>
        <x:v>1.4161499023437507</x:v>
      </x:c>
      <x:c r="I5215" s="40" t="n">
        <x:f>ABS(H5215)</x:f>
        <x:v>1.4161499023437507</x:v>
      </x:c>
      <x:c r="J5215" s="40" t="n">
        <x:f>H5215^2</x:f>
        <x:v>2.0054805459082146</x:v>
      </x:c>
      <x:c r="K5215" s="40" t="n">
        <x:f>G5215-E5215</x:f>
        <x:v>0.6000000000000014</x:v>
      </x:c>
      <x:c r="L5215" s="40" t="n">
        <x:f>ABS(K5215)</x:f>
        <x:v>0.6000000000000014</x:v>
      </x:c>
      <x:c r="M5215" s="41" t="str">
        <x:v>lstm-soil-v1</x:v>
      </x:c>
    </x:row>
    <x:row r="5216">
      <x:c r="A5216" s="38" t="str">
        <x:v>7月30日现场数据</x:v>
      </x:c>
      <x:c r="B5216" s="39" t="str">
        <x:v>2026-08-05T02:10:00</x:v>
      </x:c>
      <x:c r="C5216" s="39" t="str">
        <x:v>2026-08-05T02:15:00</x:v>
      </x:c>
      <x:c r="D5216" s="47" t="n">
        <x:v>5</x:v>
      </x:c>
      <x:c r="E5216" s="40" t="n">
        <x:v>20.2</x:v>
      </x:c>
      <x:c r="F5216" s="40" t="n">
        <x:v>18.82876205444336</x:v>
      </x:c>
      <x:c r="G5216" s="40" t="n">
        <x:v>20.1</x:v>
      </x:c>
      <x:c r="H5216" s="40" t="n">
        <x:f>F5216-E5216</x:f>
        <x:v>-1.37123794555664</x:v>
      </x:c>
      <x:c r="I5216" s="40" t="n">
        <x:f>ABS(H5216)</x:f>
        <x:v>1.37123794555664</x:v>
      </x:c>
      <x:c r="J5216" s="40" t="n">
        <x:f>H5216^2</x:f>
        <x:v>1.8802935033343946</x:v>
      </x:c>
      <x:c r="K5216" s="40" t="n">
        <x:f>G5216-E5216</x:f>
        <x:v>-0.09999999999999787</x:v>
      </x:c>
      <x:c r="L5216" s="40" t="n">
        <x:f>ABS(K5216)</x:f>
        <x:v>0.09999999999999787</x:v>
      </x:c>
      <x:c r="M5216" s="41" t="str">
        <x:v>lstm-soil-v1</x:v>
      </x:c>
    </x:row>
    <x:row r="5217">
      <x:c r="A5217" s="38" t="str">
        <x:v>7月30日现场数据</x:v>
      </x:c>
      <x:c r="B5217" s="39" t="str">
        <x:v>2026-08-05T02:10:00</x:v>
      </x:c>
      <x:c r="C5217" s="39" t="str">
        <x:v>2026-08-05T02:25:00</x:v>
      </x:c>
      <x:c r="D5217" s="47" t="n">
        <x:v>15</x:v>
      </x:c>
      <x:c r="E5217" s="40" t="n">
        <x:v>20</x:v>
      </x:c>
      <x:c r="F5217" s="40" t="n">
        <x:v>18.934371948242188</x:v>
      </x:c>
      <x:c r="G5217" s="40" t="n">
        <x:v>20.1</x:v>
      </x:c>
      <x:c r="H5217" s="40" t="n">
        <x:f>F5217-E5217</x:f>
        <x:v>-1.0656280517578125</x:v>
      </x:c>
      <x:c r="I5217" s="40" t="n">
        <x:f>ABS(H5217)</x:f>
        <x:v>1.0656280517578125</x:v>
      </x:c>
      <x:c r="J5217" s="40" t="n">
        <x:f>H5217^2</x:f>
        <x:v>1.1355631446931511</x:v>
      </x:c>
      <x:c r="K5217" s="40" t="n">
        <x:f>G5217-E5217</x:f>
        <x:v>0.10000000000000142</x:v>
      </x:c>
      <x:c r="L5217" s="40" t="n">
        <x:f>ABS(K5217)</x:f>
        <x:v>0.10000000000000142</x:v>
      </x:c>
      <x:c r="M5217" s="41" t="str">
        <x:v>lstm-soil-v1</x:v>
      </x:c>
    </x:row>
    <x:row r="5218">
      <x:c r="A5218" s="38" t="str">
        <x:v>7月30日现场数据</x:v>
      </x:c>
      <x:c r="B5218" s="39" t="str">
        <x:v>2026-08-05T02:10:00</x:v>
      </x:c>
      <x:c r="C5218" s="39" t="str">
        <x:v>2026-08-05T02:40:00</x:v>
      </x:c>
      <x:c r="D5218" s="47" t="n">
        <x:v>30</x:v>
      </x:c>
      <x:c r="E5218" s="40" t="n">
        <x:v>19.9</x:v>
      </x:c>
      <x:c r="F5218" s="40" t="n">
        <x:v>19.207294464111328</x:v>
      </x:c>
      <x:c r="G5218" s="40" t="n">
        <x:v>20.1</x:v>
      </x:c>
      <x:c r="H5218" s="40" t="n">
        <x:f>F5218-E5218</x:f>
        <x:v>-0.6927055358886705</x:v>
      </x:c>
      <x:c r="I5218" s="40" t="n">
        <x:f>ABS(H5218)</x:f>
        <x:v>0.6927055358886705</x:v>
      </x:c>
      <x:c r="J5218" s="40" t="n">
        <x:f>H5218^2</x:f>
        <x:v>0.4798409594508101</x:v>
      </x:c>
      <x:c r="K5218" s="40" t="n">
        <x:f>G5218-E5218</x:f>
        <x:v>0.20000000000000284</x:v>
      </x:c>
      <x:c r="L5218" s="40" t="n">
        <x:f>ABS(K5218)</x:f>
        <x:v>0.20000000000000284</x:v>
      </x:c>
      <x:c r="M5218" s="41" t="str">
        <x:v>lstm-soil-v1</x:v>
      </x:c>
    </x:row>
    <x:row r="5219">
      <x:c r="A5219" s="38" t="str">
        <x:v>7月30日现场数据</x:v>
      </x:c>
      <x:c r="B5219" s="39" t="str">
        <x:v>2026-08-05T02:10:00</x:v>
      </x:c>
      <x:c r="C5219" s="39" t="str">
        <x:v>2026-08-05T03:10:00</x:v>
      </x:c>
      <x:c r="D5219" s="47" t="n">
        <x:v>60</x:v>
      </x:c>
      <x:c r="E5219" s="40" t="n">
        <x:v>19.6</x:v>
      </x:c>
      <x:c r="F5219" s="40" t="n">
        <x:v>20.895370483398438</x:v>
      </x:c>
      <x:c r="G5219" s="40" t="n">
        <x:v>20.1</x:v>
      </x:c>
      <x:c r="H5219" s="40" t="n">
        <x:f>F5219-E5219</x:f>
        <x:v>1.295370483398436</x:v>
      </x:c>
      <x:c r="I5219" s="40" t="n">
        <x:f>ABS(H5219)</x:f>
        <x:v>1.295370483398436</x:v>
      </x:c>
      <x:c r="J5219" s="40" t="n">
        <x:f>H5219^2</x:f>
        <x:v>1.677984689259898</x:v>
      </x:c>
      <x:c r="K5219" s="40" t="n">
        <x:f>G5219-E5219</x:f>
        <x:v>0.5</x:v>
      </x:c>
      <x:c r="L5219" s="40" t="n">
        <x:f>ABS(K5219)</x:f>
        <x:v>0.5</x:v>
      </x:c>
      <x:c r="M5219" s="41" t="str">
        <x:v>lstm-soil-v1</x:v>
      </x:c>
    </x:row>
    <x:row r="5220">
      <x:c r="A5220" s="38" t="str">
        <x:v>7月30日现场数据</x:v>
      </x:c>
      <x:c r="B5220" s="39" t="str">
        <x:v>2026-08-05T02:15:00</x:v>
      </x:c>
      <x:c r="C5220" s="39" t="str">
        <x:v>2026-08-05T02:20:00</x:v>
      </x:c>
      <x:c r="D5220" s="47" t="n">
        <x:v>5</x:v>
      </x:c>
      <x:c r="E5220" s="40" t="n">
        <x:v>20</x:v>
      </x:c>
      <x:c r="F5220" s="40" t="n">
        <x:v>18.93968963623047</x:v>
      </x:c>
      <x:c r="G5220" s="40" t="n">
        <x:v>20.2</x:v>
      </x:c>
      <x:c r="H5220" s="40" t="n">
        <x:f>F5220-E5220</x:f>
        <x:v>-1.0603103637695312</x:v>
      </x:c>
      <x:c r="I5220" s="40" t="n">
        <x:f>ABS(H5220)</x:f>
        <x:v>1.0603103637695312</x:v>
      </x:c>
      <x:c r="J5220" s="40" t="n">
        <x:f>H5220^2</x:f>
        <x:v>1.1242580675170757</x:v>
      </x:c>
      <x:c r="K5220" s="40" t="n">
        <x:f>G5220-E5220</x:f>
        <x:v>0.1999999999999993</x:v>
      </x:c>
      <x:c r="L5220" s="40" t="n">
        <x:f>ABS(K5220)</x:f>
        <x:v>0.1999999999999993</x:v>
      </x:c>
      <x:c r="M5220" s="41" t="str">
        <x:v>lstm-soil-v1</x:v>
      </x:c>
    </x:row>
    <x:row r="5221">
      <x:c r="A5221" s="38" t="str">
        <x:v>7月30日现场数据</x:v>
      </x:c>
      <x:c r="B5221" s="39" t="str">
        <x:v>2026-08-05T02:15:00</x:v>
      </x:c>
      <x:c r="C5221" s="39" t="str">
        <x:v>2026-08-05T02:30:00</x:v>
      </x:c>
      <x:c r="D5221" s="47" t="n">
        <x:v>15</x:v>
      </x:c>
      <x:c r="E5221" s="40" t="n">
        <x:v>19.9</x:v>
      </x:c>
      <x:c r="F5221" s="40" t="n">
        <x:v>19.044830322265625</x:v>
      </x:c>
      <x:c r="G5221" s="40" t="n">
        <x:v>20.2</x:v>
      </x:c>
      <x:c r="H5221" s="40" t="n">
        <x:f>F5221-E5221</x:f>
        <x:v>-0.8551696777343736</x:v>
      </x:c>
      <x:c r="I5221" s="40" t="n">
        <x:f>ABS(H5221)</x:f>
        <x:v>0.8551696777343736</x:v>
      </x:c>
      <x:c r="J5221" s="40" t="n">
        <x:f>H5221^2</x:f>
        <x:v>0.7313151777163124</x:v>
      </x:c>
      <x:c r="K5221" s="40" t="n">
        <x:f>G5221-E5221</x:f>
        <x:v>0.3000000000000007</x:v>
      </x:c>
      <x:c r="L5221" s="40" t="n">
        <x:f>ABS(K5221)</x:f>
        <x:v>0.3000000000000007</x:v>
      </x:c>
      <x:c r="M5221" s="41" t="str">
        <x:v>lstm-soil-v1</x:v>
      </x:c>
    </x:row>
    <x:row r="5222">
      <x:c r="A5222" s="38" t="str">
        <x:v>7月30日现场数据</x:v>
      </x:c>
      <x:c r="B5222" s="39" t="str">
        <x:v>2026-08-05T02:15:00</x:v>
      </x:c>
      <x:c r="C5222" s="39" t="str">
        <x:v>2026-08-05T02:45:00</x:v>
      </x:c>
      <x:c r="D5222" s="47" t="n">
        <x:v>30</x:v>
      </x:c>
      <x:c r="E5222" s="40" t="n">
        <x:v>19.8</x:v>
      </x:c>
      <x:c r="F5222" s="40" t="n">
        <x:v>19.325176239013672</x:v>
      </x:c>
      <x:c r="G5222" s="40" t="n">
        <x:v>20.2</x:v>
      </x:c>
      <x:c r="H5222" s="40" t="n">
        <x:f>F5222-E5222</x:f>
        <x:v>-0.47482376098632884</x:v>
      </x:c>
      <x:c r="I5222" s="40" t="n">
        <x:f>ABS(H5222)</x:f>
        <x:v>0.47482376098632884</x:v>
      </x:c>
      <x:c r="J5222" s="40" t="n">
        <x:f>H5222^2</x:f>
        <x:v>0.22545760399720233</x:v>
      </x:c>
      <x:c r="K5222" s="40" t="n">
        <x:f>G5222-E5222</x:f>
        <x:v>0.3999999999999986</x:v>
      </x:c>
      <x:c r="L5222" s="40" t="n">
        <x:f>ABS(K5222)</x:f>
        <x:v>0.3999999999999986</x:v>
      </x:c>
      <x:c r="M5222" s="41" t="str">
        <x:v>lstm-soil-v1</x:v>
      </x:c>
    </x:row>
    <x:row r="5223">
      <x:c r="A5223" s="38" t="str">
        <x:v>7月30日现场数据</x:v>
      </x:c>
      <x:c r="B5223" s="39" t="str">
        <x:v>2026-08-05T02:15:00</x:v>
      </x:c>
      <x:c r="C5223" s="39" t="str">
        <x:v>2026-08-05T03:15:00</x:v>
      </x:c>
      <x:c r="D5223" s="47" t="n">
        <x:v>60</x:v>
      </x:c>
      <x:c r="E5223" s="40" t="n">
        <x:v>19.6</x:v>
      </x:c>
      <x:c r="F5223" s="40" t="n">
        <x:v>21.00768280029297</x:v>
      </x:c>
      <x:c r="G5223" s="40" t="n">
        <x:v>20.2</x:v>
      </x:c>
      <x:c r="H5223" s="40" t="n">
        <x:f>F5223-E5223</x:f>
        <x:v>1.4076828002929673</x:v>
      </x:c>
      <x:c r="I5223" s="40" t="n">
        <x:f>ABS(H5223)</x:f>
        <x:v>1.4076828002929673</x:v>
      </x:c>
      <x:c r="J5223" s="40" t="n">
        <x:f>H5223^2</x:f>
        <x:v>1.9815708662406502</x:v>
      </x:c>
      <x:c r="K5223" s="40" t="n">
        <x:f>G5223-E5223</x:f>
        <x:v>0.5999999999999979</x:v>
      </x:c>
      <x:c r="L5223" s="40" t="n">
        <x:f>ABS(K5223)</x:f>
        <x:v>0.5999999999999979</x:v>
      </x:c>
      <x:c r="M5223" s="41" t="str">
        <x:v>lstm-soil-v1</x:v>
      </x:c>
    </x:row>
    <x:row r="5224">
      <x:c r="A5224" s="38" t="str">
        <x:v>7月30日现场数据</x:v>
      </x:c>
      <x:c r="B5224" s="39" t="str">
        <x:v>2026-08-05T02:20:00</x:v>
      </x:c>
      <x:c r="C5224" s="39" t="str">
        <x:v>2026-08-05T02:25:00</x:v>
      </x:c>
      <x:c r="D5224" s="47" t="n">
        <x:v>5</x:v>
      </x:c>
      <x:c r="E5224" s="40" t="n">
        <x:v>20</x:v>
      </x:c>
      <x:c r="F5224" s="40" t="n">
        <x:v>18.719635009765625</x:v>
      </x:c>
      <x:c r="G5224" s="40" t="n">
        <x:v>20</x:v>
      </x:c>
      <x:c r="H5224" s="40" t="n">
        <x:f>F5224-E5224</x:f>
        <x:v>-1.280364990234375</x:v>
      </x:c>
      <x:c r="I5224" s="40" t="n">
        <x:f>ABS(H5224)</x:f>
        <x:v>1.280364990234375</x:v>
      </x:c>
      <x:c r="J5224" s="40" t="n">
        <x:f>H5224^2</x:f>
        <x:v>1.6393345082178712</x:v>
      </x:c>
      <x:c r="K5224" s="40" t="n">
        <x:f>G5224-E5224</x:f>
        <x:v>0</x:v>
      </x:c>
      <x:c r="L5224" s="40" t="n">
        <x:f>ABS(K5224)</x:f>
        <x:v>0</x:v>
      </x:c>
      <x:c r="M5224" s="41" t="str">
        <x:v>lstm-soil-v1</x:v>
      </x:c>
    </x:row>
    <x:row r="5225">
      <x:c r="A5225" s="38" t="str">
        <x:v>7月30日现场数据</x:v>
      </x:c>
      <x:c r="B5225" s="39" t="str">
        <x:v>2026-08-05T02:20:00</x:v>
      </x:c>
      <x:c r="C5225" s="39" t="str">
        <x:v>2026-08-05T02:35:00</x:v>
      </x:c>
      <x:c r="D5225" s="47" t="n">
        <x:v>15</x:v>
      </x:c>
      <x:c r="E5225" s="40" t="n">
        <x:v>19.9</x:v>
      </x:c>
      <x:c r="F5225" s="40" t="n">
        <x:v>18.824684143066406</x:v>
      </x:c>
      <x:c r="G5225" s="40" t="n">
        <x:v>20</x:v>
      </x:c>
      <x:c r="H5225" s="40" t="n">
        <x:f>F5225-E5225</x:f>
        <x:v>-1.0753158569335923</x:v>
      </x:c>
      <x:c r="I5225" s="40" t="n">
        <x:f>ABS(H5225)</x:f>
        <x:v>1.0753158569335923</x:v>
      </x:c>
      <x:c r="J5225" s="40" t="n">
        <x:f>H5225^2</x:f>
        <x:v>1.156304192172826</x:v>
      </x:c>
      <x:c r="K5225" s="40" t="n">
        <x:f>G5225-E5225</x:f>
        <x:v>0.10000000000000142</x:v>
      </x:c>
      <x:c r="L5225" s="40" t="n">
        <x:f>ABS(K5225)</x:f>
        <x:v>0.10000000000000142</x:v>
      </x:c>
      <x:c r="M5225" s="41" t="str">
        <x:v>lstm-soil-v1</x:v>
      </x:c>
    </x:row>
    <x:row r="5226">
      <x:c r="A5226" s="38" t="str">
        <x:v>7月30日现场数据</x:v>
      </x:c>
      <x:c r="B5226" s="39" t="str">
        <x:v>2026-08-05T02:20:00</x:v>
      </x:c>
      <x:c r="C5226" s="39" t="str">
        <x:v>2026-08-05T02:50:00</x:v>
      </x:c>
      <x:c r="D5226" s="47" t="n">
        <x:v>30</x:v>
      </x:c>
      <x:c r="E5226" s="40" t="n">
        <x:v>19.8</x:v>
      </x:c>
      <x:c r="F5226" s="40" t="n">
        <x:v>19.109241485595703</x:v>
      </x:c>
      <x:c r="G5226" s="40" t="n">
        <x:v>20</x:v>
      </x:c>
      <x:c r="H5226" s="40" t="n">
        <x:f>F5226-E5226</x:f>
        <x:v>-0.6907585144042976</x:v>
      </x:c>
      <x:c r="I5226" s="40" t="n">
        <x:f>ABS(H5226)</x:f>
        <x:v>0.6907585144042976</x:v>
      </x:c>
      <x:c r="J5226" s="40" t="n">
        <x:f>H5226^2</x:f>
        <x:v>0.4771473252220322</x:v>
      </x:c>
      <x:c r="K5226" s="40" t="n">
        <x:f>G5226-E5226</x:f>
        <x:v>0.1999999999999993</x:v>
      </x:c>
      <x:c r="L5226" s="40" t="n">
        <x:f>ABS(K5226)</x:f>
        <x:v>0.1999999999999993</x:v>
      </x:c>
      <x:c r="M5226" s="41" t="str">
        <x:v>lstm-soil-v1</x:v>
      </x:c>
    </x:row>
    <x:row r="5227">
      <x:c r="A5227" s="38" t="str">
        <x:v>7月30日现场数据</x:v>
      </x:c>
      <x:c r="B5227" s="39" t="str">
        <x:v>2026-08-05T02:20:00</x:v>
      </x:c>
      <x:c r="C5227" s="39" t="str">
        <x:v>2026-08-05T03:20:00</x:v>
      </x:c>
      <x:c r="D5227" s="47" t="n">
        <x:v>60</x:v>
      </x:c>
      <x:c r="E5227" s="40" t="n">
        <x:v>19.6</x:v>
      </x:c>
      <x:c r="F5227" s="40" t="n">
        <x:v>20.785659790039062</x:v>
      </x:c>
      <x:c r="G5227" s="40" t="n">
        <x:v>20</x:v>
      </x:c>
      <x:c r="H5227" s="40" t="n">
        <x:f>F5227-E5227</x:f>
        <x:v>1.185659790039061</x:v>
      </x:c>
      <x:c r="I5227" s="40" t="n">
        <x:f>ABS(H5227)</x:f>
        <x:v>1.185659790039061</x:v>
      </x:c>
      <x:c r="J5227" s="40" t="n">
        <x:f>H5227^2</x:f>
        <x:v>1.4057891377154703</x:v>
      </x:c>
      <x:c r="K5227" s="40" t="n">
        <x:f>G5227-E5227</x:f>
        <x:v>0.3999999999999986</x:v>
      </x:c>
      <x:c r="L5227" s="40" t="n">
        <x:f>ABS(K5227)</x:f>
        <x:v>0.3999999999999986</x:v>
      </x:c>
      <x:c r="M5227" s="41" t="str">
        <x:v>lstm-soil-v1</x:v>
      </x:c>
    </x:row>
    <x:row r="5228">
      <x:c r="A5228" s="38" t="str">
        <x:v>7月30日现场数据</x:v>
      </x:c>
      <x:c r="B5228" s="39" t="str">
        <x:v>2026-08-05T02:25:00</x:v>
      </x:c>
      <x:c r="C5228" s="39" t="str">
        <x:v>2026-08-05T02:30:00</x:v>
      </x:c>
      <x:c r="D5228" s="47" t="n">
        <x:v>5</x:v>
      </x:c>
      <x:c r="E5228" s="40" t="n">
        <x:v>19.9</x:v>
      </x:c>
      <x:c r="F5228" s="40" t="n">
        <x:v>18.721336364746094</x:v>
      </x:c>
      <x:c r="G5228" s="40" t="n">
        <x:v>20</x:v>
      </x:c>
      <x:c r="H5228" s="40" t="n">
        <x:f>F5228-E5228</x:f>
        <x:v>-1.1786636352539048</x:v>
      </x:c>
      <x:c r="I5228" s="40" t="n">
        <x:f>ABS(H5228)</x:f>
        <x:v>1.1786636352539048</x:v>
      </x:c>
      <x:c r="J5228" s="40" t="n">
        <x:f>H5228^2</x:f>
        <x:v>1.38924796506995</x:v>
      </x:c>
      <x:c r="K5228" s="40" t="n">
        <x:f>G5228-E5228</x:f>
        <x:v>0.10000000000000142</x:v>
      </x:c>
      <x:c r="L5228" s="40" t="n">
        <x:f>ABS(K5228)</x:f>
        <x:v>0.10000000000000142</x:v>
      </x:c>
      <x:c r="M5228" s="41" t="str">
        <x:v>lstm-soil-v1</x:v>
      </x:c>
    </x:row>
    <x:row r="5229">
      <x:c r="A5229" s="38" t="str">
        <x:v>7月30日现场数据</x:v>
      </x:c>
      <x:c r="B5229" s="39" t="str">
        <x:v>2026-08-05T02:25:00</x:v>
      </x:c>
      <x:c r="C5229" s="39" t="str">
        <x:v>2026-08-05T02:40:00</x:v>
      </x:c>
      <x:c r="D5229" s="47" t="n">
        <x:v>15</x:v>
      </x:c>
      <x:c r="E5229" s="40" t="n">
        <x:v>19.9</x:v>
      </x:c>
      <x:c r="F5229" s="40" t="n">
        <x:v>18.823570251464844</x:v>
      </x:c>
      <x:c r="G5229" s="40" t="n">
        <x:v>20</x:v>
      </x:c>
      <x:c r="H5229" s="40" t="n">
        <x:f>F5229-E5229</x:f>
        <x:v>-1.0764297485351548</x:v>
      </x:c>
      <x:c r="I5229" s="40" t="n">
        <x:f>ABS(H5229)</x:f>
        <x:v>1.0764297485351548</x:v>
      </x:c>
      <x:c r="J5229" s="40" t="n">
        <x:f>H5229^2</x:f>
        <x:v>1.1587010035314567</x:v>
      </x:c>
      <x:c r="K5229" s="40" t="n">
        <x:f>G5229-E5229</x:f>
        <x:v>0.10000000000000142</x:v>
      </x:c>
      <x:c r="L5229" s="40" t="n">
        <x:f>ABS(K5229)</x:f>
        <x:v>0.10000000000000142</x:v>
      </x:c>
      <x:c r="M5229" s="41" t="str">
        <x:v>lstm-soil-v1</x:v>
      </x:c>
    </x:row>
    <x:row r="5230">
      <x:c r="A5230" s="38" t="str">
        <x:v>7月30日现场数据</x:v>
      </x:c>
      <x:c r="B5230" s="39" t="str">
        <x:v>2026-08-05T02:25:00</x:v>
      </x:c>
      <x:c r="C5230" s="39" t="str">
        <x:v>2026-08-05T02:55:00</x:v>
      </x:c>
      <x:c r="D5230" s="47" t="n">
        <x:v>30</x:v>
      </x:c>
      <x:c r="E5230" s="40" t="n">
        <x:v>19.7</x:v>
      </x:c>
      <x:c r="F5230" s="40" t="n">
        <x:v>19.114742279052734</x:v>
      </x:c>
      <x:c r="G5230" s="40" t="n">
        <x:v>20</x:v>
      </x:c>
      <x:c r="H5230" s="40" t="n">
        <x:f>F5230-E5230</x:f>
        <x:v>-0.5852577209472649</x:v>
      </x:c>
      <x:c r="I5230" s="40" t="n">
        <x:f>ABS(H5230)</x:f>
        <x:v>0.5852577209472649</x:v>
      </x:c>
      <x:c r="J5230" s="40" t="n">
        <x:f>H5230^2</x:f>
        <x:v>0.34252659992838663</x:v>
      </x:c>
      <x:c r="K5230" s="40" t="n">
        <x:f>G5230-E5230</x:f>
        <x:v>0.3000000000000007</x:v>
      </x:c>
      <x:c r="L5230" s="40" t="n">
        <x:f>ABS(K5230)</x:f>
        <x:v>0.3000000000000007</x:v>
      </x:c>
      <x:c r="M5230" s="41" t="str">
        <x:v>lstm-soil-v1</x:v>
      </x:c>
    </x:row>
    <x:row r="5231">
      <x:c r="A5231" s="38" t="str">
        <x:v>7月30日现场数据</x:v>
      </x:c>
      <x:c r="B5231" s="39" t="str">
        <x:v>2026-08-05T02:25:00</x:v>
      </x:c>
      <x:c r="C5231" s="39" t="str">
        <x:v>2026-08-05T03:25:00</x:v>
      </x:c>
      <x:c r="D5231" s="47" t="n">
        <x:v>60</x:v>
      </x:c>
      <x:c r="E5231" s="40" t="n">
        <x:v>19.5</x:v>
      </x:c>
      <x:c r="F5231" s="40" t="n">
        <x:v>20.78850555419922</x:v>
      </x:c>
      <x:c r="G5231" s="40" t="n">
        <x:v>20</x:v>
      </x:c>
      <x:c r="H5231" s="40" t="n">
        <x:f>F5231-E5231</x:f>
        <x:v>1.2885055541992188</x:v>
      </x:c>
      <x:c r="I5231" s="40" t="n">
        <x:f>ABS(H5231)</x:f>
        <x:v>1.2885055541992188</x:v>
      </x:c>
      <x:c r="J5231" s="40" t="n">
        <x:f>H5231^2</x:f>
        <x:v>1.6602465632022358</x:v>
      </x:c>
      <x:c r="K5231" s="40" t="n">
        <x:f>G5231-E5231</x:f>
        <x:v>0.5</x:v>
      </x:c>
      <x:c r="L5231" s="40" t="n">
        <x:f>ABS(K5231)</x:f>
        <x:v>0.5</x:v>
      </x:c>
      <x:c r="M5231" s="41" t="str">
        <x:v>lstm-soil-v1</x:v>
      </x:c>
    </x:row>
    <x:row r="5232">
      <x:c r="A5232" s="38" t="str">
        <x:v>7月30日现场数据</x:v>
      </x:c>
      <x:c r="B5232" s="39" t="str">
        <x:v>2026-08-05T02:30:00</x:v>
      </x:c>
      <x:c r="C5232" s="39" t="str">
        <x:v>2026-08-05T02:35:00</x:v>
      </x:c>
      <x:c r="D5232" s="47" t="n">
        <x:v>5</x:v>
      </x:c>
      <x:c r="E5232" s="40" t="n">
        <x:v>19.9</x:v>
      </x:c>
      <x:c r="F5232" s="40" t="n">
        <x:v>18.612960815429688</x:v>
      </x:c>
      <x:c r="G5232" s="40" t="n">
        <x:v>19.9</x:v>
      </x:c>
      <x:c r="H5232" s="40" t="n">
        <x:f>F5232-E5232</x:f>
        <x:v>-1.287039184570311</x:v>
      </x:c>
      <x:c r="I5232" s="40" t="n">
        <x:f>ABS(H5232)</x:f>
        <x:v>1.287039184570311</x:v>
      </x:c>
      <x:c r="J5232" s="40" t="n">
        <x:f>H5232^2</x:f>
        <x:v>1.6564698626194112</x:v>
      </x:c>
      <x:c r="K5232" s="40" t="n">
        <x:f>G5232-E5232</x:f>
        <x:v>0</x:v>
      </x:c>
      <x:c r="L5232" s="40" t="n">
        <x:f>ABS(K5232)</x:f>
        <x:v>0</x:v>
      </x:c>
      <x:c r="M5232" s="41" t="str">
        <x:v>lstm-soil-v1</x:v>
      </x:c>
    </x:row>
    <x:row r="5233">
      <x:c r="A5233" s="38" t="str">
        <x:v>7月30日现场数据</x:v>
      </x:c>
      <x:c r="B5233" s="39" t="str">
        <x:v>2026-08-05T02:30:00</x:v>
      </x:c>
      <x:c r="C5233" s="39" t="str">
        <x:v>2026-08-05T02:45:00</x:v>
      </x:c>
      <x:c r="D5233" s="47" t="n">
        <x:v>15</x:v>
      </x:c>
      <x:c r="E5233" s="40" t="n">
        <x:v>19.8</x:v>
      </x:c>
      <x:c r="F5233" s="40" t="n">
        <x:v>18.71279525756836</x:v>
      </x:c>
      <x:c r="G5233" s="40" t="n">
        <x:v>19.9</x:v>
      </x:c>
      <x:c r="H5233" s="40" t="n">
        <x:f>F5233-E5233</x:f>
        <x:v>-1.0872047424316413</x:v>
      </x:c>
      <x:c r="I5233" s="40" t="n">
        <x:f>ABS(H5233)</x:f>
        <x:v>1.0872047424316413</x:v>
      </x:c>
      <x:c r="J5233" s="40" t="n">
        <x:f>H5233^2</x:f>
        <x:v>1.1820141519658516</x:v>
      </x:c>
      <x:c r="K5233" s="40" t="n">
        <x:f>G5233-E5233</x:f>
        <x:v>0.09999999999999787</x:v>
      </x:c>
      <x:c r="L5233" s="40" t="n">
        <x:f>ABS(K5233)</x:f>
        <x:v>0.09999999999999787</x:v>
      </x:c>
      <x:c r="M5233" s="41" t="str">
        <x:v>lstm-soil-v1</x:v>
      </x:c>
    </x:row>
    <x:row r="5234">
      <x:c r="A5234" s="38" t="str">
        <x:v>7月30日现场数据</x:v>
      </x:c>
      <x:c r="B5234" s="39" t="str">
        <x:v>2026-08-05T02:30:00</x:v>
      </x:c>
      <x:c r="C5234" s="39" t="str">
        <x:v>2026-08-05T03:00:00</x:v>
      </x:c>
      <x:c r="D5234" s="47" t="n">
        <x:v>30</x:v>
      </x:c>
      <x:c r="E5234" s="40" t="n">
        <x:v>19.7</x:v>
      </x:c>
      <x:c r="F5234" s="40" t="n">
        <x:v>19.01034164428711</x:v>
      </x:c>
      <x:c r="G5234" s="40" t="n">
        <x:v>19.9</x:v>
      </x:c>
      <x:c r="H5234" s="40" t="n">
        <x:f>F5234-E5234</x:f>
        <x:v>-0.6896583557128899</x:v>
      </x:c>
      <x:c r="I5234" s="40" t="n">
        <x:f>ABS(H5234)</x:f>
        <x:v>0.6896583557128899</x:v>
      </x:c>
      <x:c r="J5234" s="40" t="n">
        <x:f>H5234^2</x:f>
        <x:v>0.475628647604607</x:v>
      </x:c>
      <x:c r="K5234" s="40" t="n">
        <x:f>G5234-E5234</x:f>
        <x:v>0.1999999999999993</x:v>
      </x:c>
      <x:c r="L5234" s="40" t="n">
        <x:f>ABS(K5234)</x:f>
        <x:v>0.1999999999999993</x:v>
      </x:c>
      <x:c r="M5234" s="41" t="str">
        <x:v>lstm-soil-v1</x:v>
      </x:c>
    </x:row>
    <x:row r="5235">
      <x:c r="A5235" s="38" t="str">
        <x:v>7月30日现场数据</x:v>
      </x:c>
      <x:c r="B5235" s="39" t="str">
        <x:v>2026-08-05T02:30:00</x:v>
      </x:c>
      <x:c r="C5235" s="39" t="str">
        <x:v>2026-08-05T03:30:00</x:v>
      </x:c>
      <x:c r="D5235" s="47" t="n">
        <x:v>60</x:v>
      </x:c>
      <x:c r="E5235" s="40" t="n">
        <x:v>19.5</x:v>
      </x:c>
      <x:c r="F5235" s="40" t="n">
        <x:v>20.681385040283203</x:v>
      </x:c>
      <x:c r="G5235" s="40" t="n">
        <x:v>19.9</x:v>
      </x:c>
      <x:c r="H5235" s="40" t="n">
        <x:f>F5235-E5235</x:f>
        <x:v>1.1813850402832031</x:v>
      </x:c>
      <x:c r="I5235" s="40" t="n">
        <x:f>ABS(H5235)</x:f>
        <x:v>1.1813850402832031</x:v>
      </x:c>
      <x:c r="J5235" s="40" t="n">
        <x:f>H5235^2</x:f>
        <x:v>1.3956706134049455</x:v>
      </x:c>
      <x:c r="K5235" s="40" t="n">
        <x:f>G5235-E5235</x:f>
        <x:v>0.3999999999999986</x:v>
      </x:c>
      <x:c r="L5235" s="40" t="n">
        <x:f>ABS(K5235)</x:f>
        <x:v>0.3999999999999986</x:v>
      </x:c>
      <x:c r="M5235" s="41" t="str">
        <x:v>lstm-soil-v1</x:v>
      </x:c>
    </x:row>
    <x:row r="5236">
      <x:c r="A5236" s="38" t="str">
        <x:v>7月30日现场数据</x:v>
      </x:c>
      <x:c r="B5236" s="39" t="str">
        <x:v>2026-08-05T02:35:00</x:v>
      </x:c>
      <x:c r="C5236" s="39" t="str">
        <x:v>2026-08-05T02:40:00</x:v>
      </x:c>
      <x:c r="D5236" s="47" t="n">
        <x:v>5</x:v>
      </x:c>
      <x:c r="E5236" s="40" t="n">
        <x:v>19.9</x:v>
      </x:c>
      <x:c r="F5236" s="40" t="n">
        <x:v>18.614757537841797</x:v>
      </x:c>
      <x:c r="G5236" s="40" t="n">
        <x:v>19.9</x:v>
      </x:c>
      <x:c r="H5236" s="40" t="n">
        <x:f>F5236-E5236</x:f>
        <x:v>-1.2852424621582017</x:v>
      </x:c>
      <x:c r="I5236" s="40" t="n">
        <x:f>ABS(H5236)</x:f>
        <x:v>1.2852424621582017</x:v>
      </x:c>
      <x:c r="J5236" s="40" t="n">
        <x:f>H5236^2</x:f>
        <x:v>1.6518481865344765</x:v>
      </x:c>
      <x:c r="K5236" s="40" t="n">
        <x:f>G5236-E5236</x:f>
        <x:v>0</x:v>
      </x:c>
      <x:c r="L5236" s="40" t="n">
        <x:f>ABS(K5236)</x:f>
        <x:v>0</x:v>
      </x:c>
      <x:c r="M5236" s="41" t="str">
        <x:v>lstm-soil-v1</x:v>
      </x:c>
    </x:row>
    <x:row r="5237">
      <x:c r="A5237" s="38" t="str">
        <x:v>7月30日现场数据</x:v>
      </x:c>
      <x:c r="B5237" s="39" t="str">
        <x:v>2026-08-05T02:35:00</x:v>
      </x:c>
      <x:c r="C5237" s="39" t="str">
        <x:v>2026-08-05T02:50:00</x:v>
      </x:c>
      <x:c r="D5237" s="47" t="n">
        <x:v>15</x:v>
      </x:c>
      <x:c r="E5237" s="40" t="n">
        <x:v>19.8</x:v>
      </x:c>
      <x:c r="F5237" s="40" t="n">
        <x:v>18.712589263916016</x:v>
      </x:c>
      <x:c r="G5237" s="40" t="n">
        <x:v>19.9</x:v>
      </x:c>
      <x:c r="H5237" s="40" t="n">
        <x:f>F5237-E5237</x:f>
        <x:v>-1.087410736083985</x:v>
      </x:c>
      <x:c r="I5237" s="40" t="n">
        <x:f>ABS(H5237)</x:f>
        <x:v>1.087410736083985</x:v>
      </x:c>
      <x:c r="J5237" s="40" t="n">
        <x:f>H5237^2</x:f>
        <x:v>1.1824621089507144</x:v>
      </x:c>
      <x:c r="K5237" s="40" t="n">
        <x:f>G5237-E5237</x:f>
        <x:v>0.09999999999999787</x:v>
      </x:c>
      <x:c r="L5237" s="40" t="n">
        <x:f>ABS(K5237)</x:f>
        <x:v>0.09999999999999787</x:v>
      </x:c>
      <x:c r="M5237" s="41" t="str">
        <x:v>lstm-soil-v1</x:v>
      </x:c>
    </x:row>
    <x:row r="5238">
      <x:c r="A5238" s="38" t="str">
        <x:v>7月30日现场数据</x:v>
      </x:c>
      <x:c r="B5238" s="39" t="str">
        <x:v>2026-08-05T02:35:00</x:v>
      </x:c>
      <x:c r="C5238" s="39" t="str">
        <x:v>2026-08-05T03:05:00</x:v>
      </x:c>
      <x:c r="D5238" s="47" t="n">
        <x:v>30</x:v>
      </x:c>
      <x:c r="E5238" s="40" t="n">
        <x:v>19.7</x:v>
      </x:c>
      <x:c r="F5238" s="40" t="n">
        <x:v>19.015823364257812</x:v>
      </x:c>
      <x:c r="G5238" s="40" t="n">
        <x:v>19.9</x:v>
      </x:c>
      <x:c r="H5238" s="40" t="n">
        <x:f>F5238-E5238</x:f>
        <x:v>-0.6841766357421868</x:v>
      </x:c>
      <x:c r="I5238" s="40" t="n">
        <x:f>ABS(H5238)</x:f>
        <x:v>0.6841766357421868</x:v>
      </x:c>
      <x:c r="J5238" s="40" t="n">
        <x:f>H5238^2</x:f>
        <x:v>0.4680976688954969</x:v>
      </x:c>
      <x:c r="K5238" s="40" t="n">
        <x:f>G5238-E5238</x:f>
        <x:v>0.1999999999999993</x:v>
      </x:c>
      <x:c r="L5238" s="40" t="n">
        <x:f>ABS(K5238)</x:f>
        <x:v>0.1999999999999993</x:v>
      </x:c>
      <x:c r="M5238" s="41" t="str">
        <x:v>lstm-soil-v1</x:v>
      </x:c>
    </x:row>
    <x:row r="5239">
      <x:c r="A5239" s="38" t="str">
        <x:v>7月30日现场数据</x:v>
      </x:c>
      <x:c r="B5239" s="39" t="str">
        <x:v>2026-08-05T02:35:00</x:v>
      </x:c>
      <x:c r="C5239" s="39" t="str">
        <x:v>2026-08-05T03:35:00</x:v>
      </x:c>
      <x:c r="D5239" s="47" t="n">
        <x:v>60</x:v>
      </x:c>
      <x:c r="E5239" s="40" t="n">
        <x:v>19.5</x:v>
      </x:c>
      <x:c r="F5239" s="40" t="n">
        <x:v>20.684432983398438</x:v>
      </x:c>
      <x:c r="G5239" s="40" t="n">
        <x:v>19.9</x:v>
      </x:c>
      <x:c r="H5239" s="40" t="n">
        <x:f>F5239-E5239</x:f>
        <x:v>1.1844329833984375</x:v>
      </x:c>
      <x:c r="I5239" s="40" t="n">
        <x:f>ABS(H5239)</x:f>
        <x:v>1.1844329833984375</x:v>
      </x:c>
      <x:c r="J5239" s="40" t="n">
        <x:f>H5239^2</x:f>
        <x:v>1.4028814921621233</x:v>
      </x:c>
      <x:c r="K5239" s="40" t="n">
        <x:f>G5239-E5239</x:f>
        <x:v>0.3999999999999986</x:v>
      </x:c>
      <x:c r="L5239" s="40" t="n">
        <x:f>ABS(K5239)</x:f>
        <x:v>0.3999999999999986</x:v>
      </x:c>
      <x:c r="M5239" s="41" t="str">
        <x:v>lstm-soil-v1</x:v>
      </x:c>
    </x:row>
    <x:row r="5240">
      <x:c r="A5240" s="38" t="str">
        <x:v>7月30日现场数据</x:v>
      </x:c>
      <x:c r="B5240" s="39" t="str">
        <x:v>2026-08-05T02:40:00</x:v>
      </x:c>
      <x:c r="C5240" s="39" t="str">
        <x:v>2026-08-05T02:45:00</x:v>
      </x:c>
      <x:c r="D5240" s="47" t="n">
        <x:v>5</x:v>
      </x:c>
      <x:c r="E5240" s="40" t="n">
        <x:v>19.8</x:v>
      </x:c>
      <x:c r="F5240" s="40" t="n">
        <x:v>18.61646270751953</x:v>
      </x:c>
      <x:c r="G5240" s="40" t="n">
        <x:v>19.9</x:v>
      </x:c>
      <x:c r="H5240" s="40" t="n">
        <x:f>F5240-E5240</x:f>
        <x:v>-1.1835372924804695</x:v>
      </x:c>
      <x:c r="I5240" s="40" t="n">
        <x:f>ABS(H5240)</x:f>
        <x:v>1.1835372924804695</x:v>
      </x:c>
      <x:c r="J5240" s="40" t="n">
        <x:f>H5240^2</x:f>
        <x:v>1.4007605226920004</x:v>
      </x:c>
      <x:c r="K5240" s="40" t="n">
        <x:f>G5240-E5240</x:f>
        <x:v>0.09999999999999787</x:v>
      </x:c>
      <x:c r="L5240" s="40" t="n">
        <x:f>ABS(K5240)</x:f>
        <x:v>0.09999999999999787</x:v>
      </x:c>
      <x:c r="M5240" s="41" t="str">
        <x:v>lstm-soil-v1</x:v>
      </x:c>
    </x:row>
    <x:row r="5241">
      <x:c r="A5241" s="38" t="str">
        <x:v>7月30日现场数据</x:v>
      </x:c>
      <x:c r="B5241" s="39" t="str">
        <x:v>2026-08-05T02:40:00</x:v>
      </x:c>
      <x:c r="C5241" s="39" t="str">
        <x:v>2026-08-05T02:55:00</x:v>
      </x:c>
      <x:c r="D5241" s="47" t="n">
        <x:v>15</x:v>
      </x:c>
      <x:c r="E5241" s="40" t="n">
        <x:v>19.7</x:v>
      </x:c>
      <x:c r="F5241" s="40" t="n">
        <x:v>18.712696075439453</x:v>
      </x:c>
      <x:c r="G5241" s="40" t="n">
        <x:v>19.9</x:v>
      </x:c>
      <x:c r="H5241" s="40" t="n">
        <x:f>F5241-E5241</x:f>
        <x:v>-0.9873039245605462</x:v>
      </x:c>
      <x:c r="I5241" s="40" t="n">
        <x:f>ABS(H5241)</x:f>
        <x:v>0.9873039245605462</x:v>
      </x:c>
      <x:c r="J5241" s="40" t="n">
        <x:f>H5241^2</x:f>
        <x:v>0.9747690394526566</x:v>
      </x:c>
      <x:c r="K5241" s="40" t="n">
        <x:f>G5241-E5241</x:f>
        <x:v>0.1999999999999993</x:v>
      </x:c>
      <x:c r="L5241" s="40" t="n">
        <x:f>ABS(K5241)</x:f>
        <x:v>0.1999999999999993</x:v>
      </x:c>
      <x:c r="M5241" s="41" t="str">
        <x:v>lstm-soil-v1</x:v>
      </x:c>
    </x:row>
    <x:row r="5242">
      <x:c r="A5242" s="38" t="str">
        <x:v>7月30日现场数据</x:v>
      </x:c>
      <x:c r="B5242" s="39" t="str">
        <x:v>2026-08-05T02:40:00</x:v>
      </x:c>
      <x:c r="C5242" s="39" t="str">
        <x:v>2026-08-05T03:10:00</x:v>
      </x:c>
      <x:c r="D5242" s="47" t="n">
        <x:v>30</x:v>
      </x:c>
      <x:c r="E5242" s="40" t="n">
        <x:v>19.6</x:v>
      </x:c>
      <x:c r="F5242" s="40" t="n">
        <x:v>19.020732879638672</x:v>
      </x:c>
      <x:c r="G5242" s="40" t="n">
        <x:v>19.9</x:v>
      </x:c>
      <x:c r="H5242" s="40" t="n">
        <x:f>F5242-E5242</x:f>
        <x:v>-0.5792671203613295</x:v>
      </x:c>
      <x:c r="I5242" s="40" t="n">
        <x:f>ABS(H5242)</x:f>
        <x:v>0.5792671203613295</x:v>
      </x:c>
      <x:c r="J5242" s="40" t="n">
        <x:f>H5242^2</x:f>
        <x:v>0.33555039673170706</x:v>
      </x:c>
      <x:c r="K5242" s="40" t="n">
        <x:f>G5242-E5242</x:f>
        <x:v>0.29999999999999716</x:v>
      </x:c>
      <x:c r="L5242" s="40" t="n">
        <x:f>ABS(K5242)</x:f>
        <x:v>0.29999999999999716</x:v>
      </x:c>
      <x:c r="M5242" s="41" t="str">
        <x:v>lstm-soil-v1</x:v>
      </x:c>
    </x:row>
    <x:row r="5243">
      <x:c r="A5243" s="38" t="str">
        <x:v>7月30日现场数据</x:v>
      </x:c>
      <x:c r="B5243" s="39" t="str">
        <x:v>2026-08-05T02:40:00</x:v>
      </x:c>
      <x:c r="C5243" s="39" t="str">
        <x:v>2026-08-05T03:40:00</x:v>
      </x:c>
      <x:c r="D5243" s="47" t="n">
        <x:v>60</x:v>
      </x:c>
      <x:c r="E5243" s="40" t="n">
        <x:v>19.5</x:v>
      </x:c>
      <x:c r="F5243" s="40" t="n">
        <x:v>20.68724822998047</x:v>
      </x:c>
      <x:c r="G5243" s="40" t="n">
        <x:v>19.9</x:v>
      </x:c>
      <x:c r="H5243" s="40" t="n">
        <x:f>F5243-E5243</x:f>
        <x:v>1.1872482299804688</x:v>
      </x:c>
      <x:c r="I5243" s="40" t="n">
        <x:f>ABS(H5243)</x:f>
        <x:v>1.1872482299804688</x:v>
      </x:c>
      <x:c r="J5243" s="40" t="n">
        <x:f>H5243^2</x:f>
        <x:v>1.409558359591756</x:v>
      </x:c>
      <x:c r="K5243" s="40" t="n">
        <x:f>G5243-E5243</x:f>
        <x:v>0.3999999999999986</x:v>
      </x:c>
      <x:c r="L5243" s="40" t="n">
        <x:f>ABS(K5243)</x:f>
        <x:v>0.3999999999999986</x:v>
      </x:c>
      <x:c r="M5243" s="41" t="str">
        <x:v>lstm-soil-v1</x:v>
      </x:c>
    </x:row>
    <x:row r="5244">
      <x:c r="A5244" s="38" t="str">
        <x:v>7月30日现场数据</x:v>
      </x:c>
      <x:c r="B5244" s="39" t="str">
        <x:v>2026-08-05T02:45:00</x:v>
      </x:c>
      <x:c r="C5244" s="39" t="str">
        <x:v>2026-08-05T02:50:00</x:v>
      </x:c>
      <x:c r="D5244" s="47" t="n">
        <x:v>5</x:v>
      </x:c>
      <x:c r="E5244" s="40" t="n">
        <x:v>19.8</x:v>
      </x:c>
      <x:c r="F5244" s="40" t="n">
        <x:v>18.507583618164062</x:v>
      </x:c>
      <x:c r="G5244" s="40" t="n">
        <x:v>19.8</x:v>
      </x:c>
      <x:c r="H5244" s="40" t="n">
        <x:f>F5244-E5244</x:f>
        <x:v>-1.2924163818359382</x:v>
      </x:c>
      <x:c r="I5244" s="40" t="n">
        <x:f>ABS(H5244)</x:f>
        <x:v>1.2924163818359382</x:v>
      </x:c>
      <x:c r="J5244" s="40" t="n">
        <x:f>H5244^2</x:f>
        <x:v>1.6703401040378976</x:v>
      </x:c>
      <x:c r="K5244" s="40" t="n">
        <x:f>G5244-E5244</x:f>
        <x:v>0</x:v>
      </x:c>
      <x:c r="L5244" s="40" t="n">
        <x:f>ABS(K5244)</x:f>
        <x:v>0</x:v>
      </x:c>
      <x:c r="M5244" s="41" t="str">
        <x:v>lstm-soil-v1</x:v>
      </x:c>
    </x:row>
    <x:row r="5245">
      <x:c r="A5245" s="38" t="str">
        <x:v>7月30日现场数据</x:v>
      </x:c>
      <x:c r="B5245" s="39" t="str">
        <x:v>2026-08-05T02:45:00</x:v>
      </x:c>
      <x:c r="C5245" s="39" t="str">
        <x:v>2026-08-05T03:00:00</x:v>
      </x:c>
      <x:c r="D5245" s="47" t="n">
        <x:v>15</x:v>
      </x:c>
      <x:c r="E5245" s="40" t="n">
        <x:v>19.7</x:v>
      </x:c>
      <x:c r="F5245" s="40" t="n">
        <x:v>18.60266876220703</x:v>
      </x:c>
      <x:c r="G5245" s="40" t="n">
        <x:v>19.8</x:v>
      </x:c>
      <x:c r="H5245" s="40" t="n">
        <x:f>F5245-E5245</x:f>
        <x:v>-1.097331237792968</x:v>
      </x:c>
      <x:c r="I5245" s="40" t="n">
        <x:f>ABS(H5245)</x:f>
        <x:v>1.097331237792968</x:v>
      </x:c>
      <x:c r="J5245" s="40" t="n">
        <x:f>H5245^2</x:f>
        <x:v>1.2041358454362474</x:v>
      </x:c>
      <x:c r="K5245" s="40" t="n">
        <x:f>G5245-E5245</x:f>
        <x:v>0.10000000000000142</x:v>
      </x:c>
      <x:c r="L5245" s="40" t="n">
        <x:f>ABS(K5245)</x:f>
        <x:v>0.10000000000000142</x:v>
      </x:c>
      <x:c r="M5245" s="41" t="str">
        <x:v>lstm-soil-v1</x:v>
      </x:c>
    </x:row>
    <x:row r="5246">
      <x:c r="A5246" s="38" t="str">
        <x:v>7月30日现场数据</x:v>
      </x:c>
      <x:c r="B5246" s="39" t="str">
        <x:v>2026-08-05T02:45:00</x:v>
      </x:c>
      <x:c r="C5246" s="39" t="str">
        <x:v>2026-08-05T03:15:00</x:v>
      </x:c>
      <x:c r="D5246" s="47" t="n">
        <x:v>30</x:v>
      </x:c>
      <x:c r="E5246" s="40" t="n">
        <x:v>19.6</x:v>
      </x:c>
      <x:c r="F5246" s="40" t="n">
        <x:v>18.914657592773438</x:v>
      </x:c>
      <x:c r="G5246" s="40" t="n">
        <x:v>19.8</x:v>
      </x:c>
      <x:c r="H5246" s="40" t="n">
        <x:f>F5246-E5246</x:f>
        <x:v>-0.6853424072265639</x:v>
      </x:c>
      <x:c r="I5246" s="40" t="n">
        <x:f>ABS(H5246)</x:f>
        <x:v>0.6853424072265639</x:v>
      </x:c>
      <x:c r="J5246" s="40" t="n">
        <x:f>H5246^2</x:f>
        <x:v>0.4696942151431014</x:v>
      </x:c>
      <x:c r="K5246" s="40" t="n">
        <x:f>G5246-E5246</x:f>
        <x:v>0.1999999999999993</x:v>
      </x:c>
      <x:c r="L5246" s="40" t="n">
        <x:f>ABS(K5246)</x:f>
        <x:v>0.1999999999999993</x:v>
      </x:c>
      <x:c r="M5246" s="41" t="str">
        <x:v>lstm-soil-v1</x:v>
      </x:c>
    </x:row>
    <x:row r="5247">
      <x:c r="A5247" s="38" t="str">
        <x:v>7月30日现场数据</x:v>
      </x:c>
      <x:c r="B5247" s="39" t="str">
        <x:v>2026-08-05T02:45:00</x:v>
      </x:c>
      <x:c r="C5247" s="39" t="str">
        <x:v>2026-08-05T03:45:00</x:v>
      </x:c>
      <x:c r="D5247" s="47" t="n">
        <x:v>60</x:v>
      </x:c>
      <x:c r="E5247" s="40" t="n">
        <x:v>19.4</x:v>
      </x:c>
      <x:c r="F5247" s="40" t="n">
        <x:v>20.579322814941406</x:v>
      </x:c>
      <x:c r="G5247" s="40" t="n">
        <x:v>19.8</x:v>
      </x:c>
      <x:c r="H5247" s="40" t="n">
        <x:f>F5247-E5247</x:f>
        <x:v>1.1793228149414077</x:v>
      </x:c>
      <x:c r="I5247" s="40" t="n">
        <x:f>ABS(H5247)</x:f>
        <x:v>1.1793228149414077</x:v>
      </x:c>
      <x:c r="J5247" s="40" t="n">
        <x:f>H5247^2</x:f>
        <x:v>1.3908023018413256</x:v>
      </x:c>
      <x:c r="K5247" s="40" t="n">
        <x:f>G5247-E5247</x:f>
        <x:v>0.40000000000000213</x:v>
      </x:c>
      <x:c r="L5247" s="40" t="n">
        <x:f>ABS(K5247)</x:f>
        <x:v>0.40000000000000213</x:v>
      </x:c>
      <x:c r="M5247" s="41" t="str">
        <x:v>lstm-soil-v1</x:v>
      </x:c>
    </x:row>
    <x:row r="5248">
      <x:c r="A5248" s="38" t="str">
        <x:v>7月30日现场数据</x:v>
      </x:c>
      <x:c r="B5248" s="39" t="str">
        <x:v>2026-08-05T02:50:00</x:v>
      </x:c>
      <x:c r="C5248" s="39" t="str">
        <x:v>2026-08-05T02:55:00</x:v>
      </x:c>
      <x:c r="D5248" s="47" t="n">
        <x:v>5</x:v>
      </x:c>
      <x:c r="E5248" s="40" t="n">
        <x:v>19.7</x:v>
      </x:c>
      <x:c r="F5248" s="40" t="n">
        <x:v>18.508647918701172</x:v>
      </x:c>
      <x:c r="G5248" s="40" t="n">
        <x:v>19.8</x:v>
      </x:c>
      <x:c r="H5248" s="40" t="n">
        <x:f>F5248-E5248</x:f>
        <x:v>-1.1913520812988274</x:v>
      </x:c>
      <x:c r="I5248" s="40" t="n">
        <x:f>ABS(H5248)</x:f>
        <x:v>1.1913520812988274</x:v>
      </x:c>
      <x:c r="J5248" s="40" t="n">
        <x:f>H5248^2</x:f>
        <x:v>1.4193197816150478</x:v>
      </x:c>
      <x:c r="K5248" s="40" t="n">
        <x:f>G5248-E5248</x:f>
        <x:v>0.10000000000000142</x:v>
      </x:c>
      <x:c r="L5248" s="40" t="n">
        <x:f>ABS(K5248)</x:f>
        <x:v>0.10000000000000142</x:v>
      </x:c>
      <x:c r="M5248" s="41" t="str">
        <x:v>lstm-soil-v1</x:v>
      </x:c>
    </x:row>
    <x:row r="5249">
      <x:c r="A5249" s="38" t="str">
        <x:v>7月30日现场数据</x:v>
      </x:c>
      <x:c r="B5249" s="39" t="str">
        <x:v>2026-08-05T02:50:00</x:v>
      </x:c>
      <x:c r="C5249" s="39" t="str">
        <x:v>2026-08-05T03:05:00</x:v>
      </x:c>
      <x:c r="D5249" s="47" t="n">
        <x:v>15</x:v>
      </x:c>
      <x:c r="E5249" s="40" t="n">
        <x:v>19.7</x:v>
      </x:c>
      <x:c r="F5249" s="40" t="n">
        <x:v>18.602802276611328</x:v>
      </x:c>
      <x:c r="G5249" s="40" t="n">
        <x:v>19.8</x:v>
      </x:c>
      <x:c r="H5249" s="40" t="n">
        <x:f>F5249-E5249</x:f>
        <x:v>-1.0971977233886712</x:v>
      </x:c>
      <x:c r="I5249" s="40" t="n">
        <x:f>ABS(H5249)</x:f>
        <x:v>1.0971977233886712</x:v>
      </x:c>
      <x:c r="J5249" s="40" t="n">
        <x:f>H5249^2</x:f>
        <x:v>1.203842844209283</x:v>
      </x:c>
      <x:c r="K5249" s="40" t="n">
        <x:f>G5249-E5249</x:f>
        <x:v>0.10000000000000142</x:v>
      </x:c>
      <x:c r="L5249" s="40" t="n">
        <x:f>ABS(K5249)</x:f>
        <x:v>0.10000000000000142</x:v>
      </x:c>
      <x:c r="M5249" s="41" t="str">
        <x:v>lstm-soil-v1</x:v>
      </x:c>
    </x:row>
    <x:row r="5250">
      <x:c r="A5250" s="38" t="str">
        <x:v>7月30日现场数据</x:v>
      </x:c>
      <x:c r="B5250" s="39" t="str">
        <x:v>2026-08-05T02:50:00</x:v>
      </x:c>
      <x:c r="C5250" s="39" t="str">
        <x:v>2026-08-05T03:20:00</x:v>
      </x:c>
      <x:c r="D5250" s="47" t="n">
        <x:v>30</x:v>
      </x:c>
      <x:c r="E5250" s="40" t="n">
        <x:v>19.6</x:v>
      </x:c>
      <x:c r="F5250" s="40" t="n">
        <x:v>18.918136596679688</x:v>
      </x:c>
      <x:c r="G5250" s="40" t="n">
        <x:v>19.8</x:v>
      </x:c>
      <x:c r="H5250" s="40" t="n">
        <x:f>F5250-E5250</x:f>
        <x:v>-0.6818634033203139</x:v>
      </x:c>
      <x:c r="I5250" s="40" t="n">
        <x:f>ABS(H5250)</x:f>
        <x:v>0.6818634033203139</x:v>
      </x:c>
      <x:c r="J5250" s="40" t="n">
        <x:f>H5250^2</x:f>
        <x:v>0.4649377007875611</x:v>
      </x:c>
      <x:c r="K5250" s="40" t="n">
        <x:f>G5250-E5250</x:f>
        <x:v>0.1999999999999993</x:v>
      </x:c>
      <x:c r="L5250" s="40" t="n">
        <x:f>ABS(K5250)</x:f>
        <x:v>0.1999999999999993</x:v>
      </x:c>
      <x:c r="M5250" s="41" t="str">
        <x:v>lstm-soil-v1</x:v>
      </x:c>
    </x:row>
    <x:row r="5251">
      <x:c r="A5251" s="38" t="str">
        <x:v>7月30日现场数据</x:v>
      </x:c>
      <x:c r="B5251" s="39" t="str">
        <x:v>2026-08-05T02:50:00</x:v>
      </x:c>
      <x:c r="C5251" s="39" t="str">
        <x:v>2026-08-05T03:50:00</x:v>
      </x:c>
      <x:c r="D5251" s="47" t="n">
        <x:v>60</x:v>
      </x:c>
      <x:c r="E5251" s="40" t="n">
        <x:v>19.4</x:v>
      </x:c>
      <x:c r="F5251" s="40" t="n">
        <x:v>20.581180572509766</x:v>
      </x:c>
      <x:c r="G5251" s="40" t="n">
        <x:v>19.8</x:v>
      </x:c>
      <x:c r="H5251" s="40" t="n">
        <x:f>F5251-E5251</x:f>
        <x:v>1.181180572509767</x:v>
      </x:c>
      <x:c r="I5251" s="40" t="n">
        <x:f>ABS(H5251)</x:f>
        <x:v>1.181180572509767</x:v>
      </x:c>
      <x:c r="J5251" s="40" t="n">
        <x:f>H5251^2</x:f>
        <x:v>1.395187544874501</x:v>
      </x:c>
      <x:c r="K5251" s="40" t="n">
        <x:f>G5251-E5251</x:f>
        <x:v>0.40000000000000213</x:v>
      </x:c>
      <x:c r="L5251" s="40" t="n">
        <x:f>ABS(K5251)</x:f>
        <x:v>0.40000000000000213</x:v>
      </x:c>
      <x:c r="M5251" s="41" t="str">
        <x:v>lstm-soil-v1</x:v>
      </x:c>
    </x:row>
    <x:row r="5252">
      <x:c r="A5252" s="38" t="str">
        <x:v>7月30日现场数据</x:v>
      </x:c>
      <x:c r="B5252" s="39" t="str">
        <x:v>2026-08-05T02:55:00</x:v>
      </x:c>
      <x:c r="C5252" s="39" t="str">
        <x:v>2026-08-05T03:00:00</x:v>
      </x:c>
      <x:c r="D5252" s="47" t="n">
        <x:v>5</x:v>
      </x:c>
      <x:c r="E5252" s="40" t="n">
        <x:v>19.7</x:v>
      </x:c>
      <x:c r="F5252" s="40" t="n">
        <x:v>18.399208068847656</x:v>
      </x:c>
      <x:c r="G5252" s="40" t="n">
        <x:v>19.7</x:v>
      </x:c>
      <x:c r="H5252" s="40" t="n">
        <x:f>F5252-E5252</x:f>
        <x:v>-1.300791931152343</x:v>
      </x:c>
      <x:c r="I5252" s="40" t="n">
        <x:f>ABS(H5252)</x:f>
        <x:v>1.300791931152343</x:v>
      </x:c>
      <x:c r="J5252" s="40" t="n">
        <x:f>H5252^2</x:f>
        <x:v>1.692059648151042</x:v>
      </x:c>
      <x:c r="K5252" s="40" t="n">
        <x:f>G5252-E5252</x:f>
        <x:v>0</x:v>
      </x:c>
      <x:c r="L5252" s="40" t="n">
        <x:f>ABS(K5252)</x:f>
        <x:v>0</x:v>
      </x:c>
      <x:c r="M5252" s="41" t="str">
        <x:v>lstm-soil-v1</x:v>
      </x:c>
    </x:row>
    <x:row r="5253">
      <x:c r="A5253" s="38" t="str">
        <x:v>7月30日现场数据</x:v>
      </x:c>
      <x:c r="B5253" s="39" t="str">
        <x:v>2026-08-05T02:55:00</x:v>
      </x:c>
      <x:c r="C5253" s="39" t="str">
        <x:v>2026-08-05T03:10:00</x:v>
      </x:c>
      <x:c r="D5253" s="47" t="n">
        <x:v>15</x:v>
      </x:c>
      <x:c r="E5253" s="40" t="n">
        <x:v>19.6</x:v>
      </x:c>
      <x:c r="F5253" s="40" t="n">
        <x:v>18.492694854736328</x:v>
      </x:c>
      <x:c r="G5253" s="40" t="n">
        <x:v>19.7</x:v>
      </x:c>
      <x:c r="H5253" s="40" t="n">
        <x:f>F5253-E5253</x:f>
        <x:v>-1.1073051452636733</x:v>
      </x:c>
      <x:c r="I5253" s="40" t="n">
        <x:f>ABS(H5253)</x:f>
        <x:v>1.1073051452636733</x:v>
      </x:c>
      <x:c r="J5253" s="40" t="n">
        <x:f>H5253^2</x:f>
        <x:v>1.2261246847274045</x:v>
      </x:c>
      <x:c r="K5253" s="40" t="n">
        <x:f>G5253-E5253</x:f>
        <x:v>0.09999999999999787</x:v>
      </x:c>
      <x:c r="L5253" s="40" t="n">
        <x:f>ABS(K5253)</x:f>
        <x:v>0.09999999999999787</x:v>
      </x:c>
      <x:c r="M5253" s="41" t="str">
        <x:v>lstm-soil-v1</x:v>
      </x:c>
    </x:row>
    <x:row r="5254">
      <x:c r="A5254" s="38" t="str">
        <x:v>7月30日现场数据</x:v>
      </x:c>
      <x:c r="B5254" s="39" t="str">
        <x:v>2026-08-05T02:55:00</x:v>
      </x:c>
      <x:c r="C5254" s="39" t="str">
        <x:v>2026-08-05T03:25:00</x:v>
      </x:c>
      <x:c r="D5254" s="47" t="n">
        <x:v>30</x:v>
      </x:c>
      <x:c r="E5254" s="40" t="n">
        <x:v>19.5</x:v>
      </x:c>
      <x:c r="F5254" s="40" t="n">
        <x:v>18.810855865478516</x:v>
      </x:c>
      <x:c r="G5254" s="40" t="n">
        <x:v>19.7</x:v>
      </x:c>
      <x:c r="H5254" s="40" t="n">
        <x:f>F5254-E5254</x:f>
        <x:v>-0.6891441345214844</x:v>
      </x:c>
      <x:c r="I5254" s="40" t="n">
        <x:f>ABS(H5254)</x:f>
        <x:v>0.6891441345214844</x:v>
      </x:c>
      <x:c r="J5254" s="40" t="n">
        <x:f>H5254^2</x:f>
        <x:v>0.47491963814536575</x:v>
      </x:c>
      <x:c r="K5254" s="40" t="n">
        <x:f>G5254-E5254</x:f>
        <x:v>0.1999999999999993</x:v>
      </x:c>
      <x:c r="L5254" s="40" t="n">
        <x:f>ABS(K5254)</x:f>
        <x:v>0.1999999999999993</x:v>
      </x:c>
      <x:c r="M5254" s="41" t="str">
        <x:v>lstm-soil-v1</x:v>
      </x:c>
    </x:row>
    <x:row r="5255">
      <x:c r="A5255" s="38" t="str">
        <x:v>7月30日现场数据</x:v>
      </x:c>
      <x:c r="B5255" s="39" t="str">
        <x:v>2026-08-05T02:55:00</x:v>
      </x:c>
      <x:c r="C5255" s="39" t="str">
        <x:v>2026-08-05T03:55:00</x:v>
      </x:c>
      <x:c r="D5255" s="47" t="n">
        <x:v>60</x:v>
      </x:c>
      <x:c r="E5255" s="40" t="n">
        <x:v>19.4</x:v>
      </x:c>
      <x:c r="F5255" s="40" t="n">
        <x:v>20.472434997558594</x:v>
      </x:c>
      <x:c r="G5255" s="40" t="n">
        <x:v>19.7</x:v>
      </x:c>
      <x:c r="H5255" s="40" t="n">
        <x:f>F5255-E5255</x:f>
        <x:v>1.0724349975585952</x:v>
      </x:c>
      <x:c r="I5255" s="40" t="n">
        <x:f>ABS(H5255)</x:f>
        <x:v>1.0724349975585952</x:v>
      </x:c>
      <x:c r="J5255" s="40" t="n">
        <x:f>H5255^2</x:f>
        <x:v>1.150116823988504</x:v>
      </x:c>
      <x:c r="K5255" s="40" t="n">
        <x:f>G5255-E5255</x:f>
        <x:v>0.3000000000000007</x:v>
      </x:c>
      <x:c r="L5255" s="40" t="n">
        <x:f>ABS(K5255)</x:f>
        <x:v>0.3000000000000007</x:v>
      </x:c>
      <x:c r="M5255" s="41" t="str">
        <x:v>lstm-soil-v1</x:v>
      </x:c>
    </x:row>
    <x:row r="5256">
      <x:c r="A5256" s="38" t="str">
        <x:v>7月30日现场数据</x:v>
      </x:c>
      <x:c r="B5256" s="39" t="str">
        <x:v>2026-08-05T03:00:00</x:v>
      </x:c>
      <x:c r="C5256" s="39" t="str">
        <x:v>2026-08-05T03:05:00</x:v>
      </x:c>
      <x:c r="D5256" s="47" t="n">
        <x:v>5</x:v>
      </x:c>
      <x:c r="E5256" s="40" t="n">
        <x:v>19.7</x:v>
      </x:c>
      <x:c r="F5256" s="40" t="n">
        <x:v>18.396591186523438</x:v>
      </x:c>
      <x:c r="G5256" s="40" t="n">
        <x:v>19.7</x:v>
      </x:c>
      <x:c r="H5256" s="40" t="n">
        <x:f>F5256-E5256</x:f>
        <x:v>-1.3034088134765618</x:v>
      </x:c>
      <x:c r="I5256" s="40" t="n">
        <x:f>ABS(H5256)</x:f>
        <x:v>1.3034088134765618</x:v>
      </x:c>
      <x:c r="J5256" s="40" t="n">
        <x:f>H5256^2</x:f>
        <x:v>1.6988745350483787</x:v>
      </x:c>
      <x:c r="K5256" s="40" t="n">
        <x:f>G5256-E5256</x:f>
        <x:v>0</x:v>
      </x:c>
      <x:c r="L5256" s="40" t="n">
        <x:f>ABS(K5256)</x:f>
        <x:v>0</x:v>
      </x:c>
      <x:c r="M5256" s="41" t="str">
        <x:v>lstm-soil-v1</x:v>
      </x:c>
    </x:row>
    <x:row r="5257">
      <x:c r="A5257" s="38" t="str">
        <x:v>7月30日现场数据</x:v>
      </x:c>
      <x:c r="B5257" s="39" t="str">
        <x:v>2026-08-05T03:00:00</x:v>
      </x:c>
      <x:c r="C5257" s="39" t="str">
        <x:v>2026-08-05T03:15:00</x:v>
      </x:c>
      <x:c r="D5257" s="47" t="n">
        <x:v>15</x:v>
      </x:c>
      <x:c r="E5257" s="40" t="n">
        <x:v>19.6</x:v>
      </x:c>
      <x:c r="F5257" s="40" t="n">
        <x:v>18.490272521972656</x:v>
      </x:c>
      <x:c r="G5257" s="40" t="n">
        <x:v>19.7</x:v>
      </x:c>
      <x:c r="H5257" s="40" t="n">
        <x:f>F5257-E5257</x:f>
        <x:v>-1.1097274780273452</x:v>
      </x:c>
      <x:c r="I5257" s="40" t="n">
        <x:f>ABS(H5257)</x:f>
        <x:v>1.1097274780273452</x:v>
      </x:c>
      <x:c r="J5257" s="40" t="n">
        <x:f>H5257^2</x:f>
        <x:v>1.2314950754889318</x:v>
      </x:c>
      <x:c r="K5257" s="40" t="n">
        <x:f>G5257-E5257</x:f>
        <x:v>0.09999999999999787</x:v>
      </x:c>
      <x:c r="L5257" s="40" t="n">
        <x:f>ABS(K5257)</x:f>
        <x:v>0.09999999999999787</x:v>
      </x:c>
      <x:c r="M5257" s="41" t="str">
        <x:v>lstm-soil-v1</x:v>
      </x:c>
    </x:row>
    <x:row r="5258">
      <x:c r="A5258" s="38" t="str">
        <x:v>7月30日现场数据</x:v>
      </x:c>
      <x:c r="B5258" s="39" t="str">
        <x:v>2026-08-05T03:00:00</x:v>
      </x:c>
      <x:c r="C5258" s="39" t="str">
        <x:v>2026-08-05T03:30:00</x:v>
      </x:c>
      <x:c r="D5258" s="47" t="n">
        <x:v>30</x:v>
      </x:c>
      <x:c r="E5258" s="40" t="n">
        <x:v>19.5</x:v>
      </x:c>
      <x:c r="F5258" s="40" t="n">
        <x:v>18.810619354248047</x:v>
      </x:c>
      <x:c r="G5258" s="40" t="n">
        <x:v>19.7</x:v>
      </x:c>
      <x:c r="H5258" s="40" t="n">
        <x:f>F5258-E5258</x:f>
        <x:v>-0.6893806457519531</x:v>
      </x:c>
      <x:c r="I5258" s="40" t="n">
        <x:f>ABS(H5258)</x:f>
        <x:v>0.6893806457519531</x:v>
      </x:c>
      <x:c r="J5258" s="40" t="n">
        <x:f>H5258^2</x:f>
        <x:v>0.4752456747373799</x:v>
      </x:c>
      <x:c r="K5258" s="40" t="n">
        <x:f>G5258-E5258</x:f>
        <x:v>0.1999999999999993</x:v>
      </x:c>
      <x:c r="L5258" s="40" t="n">
        <x:f>ABS(K5258)</x:f>
        <x:v>0.1999999999999993</x:v>
      </x:c>
      <x:c r="M5258" s="41" t="str">
        <x:v>lstm-soil-v1</x:v>
      </x:c>
    </x:row>
    <x:row r="5259">
      <x:c r="A5259" s="38" t="str">
        <x:v>7月30日现场数据</x:v>
      </x:c>
      <x:c r="B5259" s="39" t="str">
        <x:v>2026-08-05T03:00:00</x:v>
      </x:c>
      <x:c r="C5259" s="39" t="str">
        <x:v>2026-08-05T04:00:00</x:v>
      </x:c>
      <x:c r="D5259" s="47" t="n">
        <x:v>60</x:v>
      </x:c>
      <x:c r="E5259" s="40" t="n">
        <x:v>19.4</x:v>
      </x:c>
      <x:c r="F5259" s="40" t="n">
        <x:v>20.47142791748047</x:v>
      </x:c>
      <x:c r="G5259" s="40" t="n">
        <x:v>19.7</x:v>
      </x:c>
      <x:c r="H5259" s="40" t="n">
        <x:f>F5259-E5259</x:f>
        <x:v>1.0714279174804702</x:v>
      </x:c>
      <x:c r="I5259" s="40" t="n">
        <x:f>ABS(H5259)</x:f>
        <x:v>1.0714279174804702</x:v>
      </x:c>
      <x:c r="J5259" s="40" t="n">
        <x:f>H5259^2</x:f>
        <x:v>1.1479577823565372</x:v>
      </x:c>
      <x:c r="K5259" s="40" t="n">
        <x:f>G5259-E5259</x:f>
        <x:v>0.3000000000000007</x:v>
      </x:c>
      <x:c r="L5259" s="40" t="n">
        <x:f>ABS(K5259)</x:f>
        <x:v>0.3000000000000007</x:v>
      </x:c>
      <x:c r="M5259" s="41" t="str">
        <x:v>lstm-soil-v1</x:v>
      </x:c>
    </x:row>
    <x:row r="5260">
      <x:c r="A5260" s="38" t="str">
        <x:v>7月30日现场数据</x:v>
      </x:c>
      <x:c r="B5260" s="39" t="str">
        <x:v>2026-08-05T03:05:00</x:v>
      </x:c>
      <x:c r="C5260" s="39" t="str">
        <x:v>2026-08-05T03:10:00</x:v>
      </x:c>
      <x:c r="D5260" s="47" t="n">
        <x:v>5</x:v>
      </x:c>
      <x:c r="E5260" s="40" t="n">
        <x:v>19.6</x:v>
      </x:c>
      <x:c r="F5260" s="40" t="n">
        <x:v>18.39493179321289</x:v>
      </x:c>
      <x:c r="G5260" s="40" t="n">
        <x:v>19.7</x:v>
      </x:c>
      <x:c r="H5260" s="40" t="n">
        <x:f>F5260-E5260</x:f>
        <x:v>-1.2050682067871108</x:v>
      </x:c>
      <x:c r="I5260" s="40" t="n">
        <x:f>ABS(H5260)</x:f>
        <x:v>1.2050682067871108</x:v>
      </x:c>
      <x:c r="J5260" s="40" t="n">
        <x:f>H5260^2</x:f>
        <x:v>1.4521893830091028</x:v>
      </x:c>
      <x:c r="K5260" s="40" t="n">
        <x:f>G5260-E5260</x:f>
        <x:v>0.09999999999999787</x:v>
      </x:c>
      <x:c r="L5260" s="40" t="n">
        <x:f>ABS(K5260)</x:f>
        <x:v>0.09999999999999787</x:v>
      </x:c>
      <x:c r="M5260" s="41" t="str">
        <x:v>lstm-soil-v1</x:v>
      </x:c>
    </x:row>
    <x:row r="5261">
      <x:c r="A5261" s="38" t="str">
        <x:v>7月30日现场数据</x:v>
      </x:c>
      <x:c r="B5261" s="39" t="str">
        <x:v>2026-08-05T03:05:00</x:v>
      </x:c>
      <x:c r="C5261" s="39" t="str">
        <x:v>2026-08-05T03:20:00</x:v>
      </x:c>
      <x:c r="D5261" s="47" t="n">
        <x:v>15</x:v>
      </x:c>
      <x:c r="E5261" s="40" t="n">
        <x:v>19.6</x:v>
      </x:c>
      <x:c r="F5261" s="40" t="n">
        <x:v>18.489715576171875</x:v>
      </x:c>
      <x:c r="G5261" s="40" t="n">
        <x:v>19.7</x:v>
      </x:c>
      <x:c r="H5261" s="40" t="n">
        <x:f>F5261-E5261</x:f>
        <x:v>-1.1102844238281264</x:v>
      </x:c>
      <x:c r="I5261" s="40" t="n">
        <x:f>ABS(H5261)</x:f>
        <x:v>1.1102844238281264</x:v>
      </x:c>
      <x:c r="J5261" s="40" t="n">
        <x:f>H5261^2</x:f>
        <x:v>1.2327315017953546</x:v>
      </x:c>
      <x:c r="K5261" s="40" t="n">
        <x:f>G5261-E5261</x:f>
        <x:v>0.09999999999999787</x:v>
      </x:c>
      <x:c r="L5261" s="40" t="n">
        <x:f>ABS(K5261)</x:f>
        <x:v>0.09999999999999787</x:v>
      </x:c>
      <x:c r="M5261" s="41" t="str">
        <x:v>lstm-soil-v1</x:v>
      </x:c>
    </x:row>
    <x:row r="5262">
      <x:c r="A5262" s="38" t="str">
        <x:v>7月30日现场数据</x:v>
      </x:c>
      <x:c r="B5262" s="39" t="str">
        <x:v>2026-08-05T03:05:00</x:v>
      </x:c>
      <x:c r="C5262" s="39" t="str">
        <x:v>2026-08-05T03:35:00</x:v>
      </x:c>
      <x:c r="D5262" s="47" t="n">
        <x:v>30</x:v>
      </x:c>
      <x:c r="E5262" s="40" t="n">
        <x:v>19.5</x:v>
      </x:c>
      <x:c r="F5262" s="40" t="n">
        <x:v>18.81146240234375</x:v>
      </x:c>
      <x:c r="G5262" s="40" t="n">
        <x:v>19.7</x:v>
      </x:c>
      <x:c r="H5262" s="40" t="n">
        <x:f>F5262-E5262</x:f>
        <x:v>-0.68853759765625</x:v>
      </x:c>
      <x:c r="I5262" s="40" t="n">
        <x:f>ABS(H5262)</x:f>
        <x:v>0.68853759765625</x:v>
      </x:c>
      <x:c r="J5262" s="40" t="n">
        <x:f>H5262^2</x:f>
        <x:v>0.47408402338624</x:v>
      </x:c>
      <x:c r="K5262" s="40" t="n">
        <x:f>G5262-E5262</x:f>
        <x:v>0.1999999999999993</x:v>
      </x:c>
      <x:c r="L5262" s="40" t="n">
        <x:f>ABS(K5262)</x:f>
        <x:v>0.1999999999999993</x:v>
      </x:c>
      <x:c r="M5262" s="41" t="str">
        <x:v>lstm-soil-v1</x:v>
      </x:c>
    </x:row>
    <x:row r="5263">
      <x:c r="A5263" s="38" t="str">
        <x:v>7月30日现场数据</x:v>
      </x:c>
      <x:c r="B5263" s="39" t="str">
        <x:v>2026-08-05T03:05:00</x:v>
      </x:c>
      <x:c r="C5263" s="39" t="str">
        <x:v>2026-08-05T04:05:00</x:v>
      </x:c>
      <x:c r="D5263" s="47" t="n">
        <x:v>60</x:v>
      </x:c>
      <x:c r="E5263" s="40" t="n">
        <x:v>19.3</x:v>
      </x:c>
      <x:c r="F5263" s="40" t="n">
        <x:v>20.467914581298828</x:v>
      </x:c>
      <x:c r="G5263" s="40" t="n">
        <x:v>19.7</x:v>
      </x:c>
      <x:c r="H5263" s="40" t="n">
        <x:f>F5263-E5263</x:f>
        <x:v>1.1679145812988274</x:v>
      </x:c>
      <x:c r="I5263" s="40" t="n">
        <x:f>ABS(H5263)</x:f>
        <x:v>1.1679145812988274</x:v>
      </x:c>
      <x:c r="J5263" s="40" t="n">
        <x:f>H5263^2</x:f>
        <x:v>1.3640244692104153</x:v>
      </x:c>
      <x:c r="K5263" s="40" t="n">
        <x:f>G5263-E5263</x:f>
        <x:v>0.3999999999999986</x:v>
      </x:c>
      <x:c r="L5263" s="40" t="n">
        <x:f>ABS(K5263)</x:f>
        <x:v>0.3999999999999986</x:v>
      </x:c>
      <x:c r="M5263" s="41" t="str">
        <x:v>lstm-soil-v1</x:v>
      </x:c>
    </x:row>
    <x:row r="5264">
      <x:c r="A5264" s="38" t="str">
        <x:v>7月30日现场数据</x:v>
      </x:c>
      <x:c r="B5264" s="39" t="str">
        <x:v>2026-08-05T03:10:00</x:v>
      </x:c>
      <x:c r="C5264" s="39" t="str">
        <x:v>2026-08-05T03:15:00</x:v>
      </x:c>
      <x:c r="D5264" s="47" t="n">
        <x:v>5</x:v>
      </x:c>
      <x:c r="E5264" s="40" t="n">
        <x:v>19.6</x:v>
      </x:c>
      <x:c r="F5264" s="40" t="n">
        <x:v>18.284732818603516</x:v>
      </x:c>
      <x:c r="G5264" s="40" t="n">
        <x:v>19.6</x:v>
      </x:c>
      <x:c r="H5264" s="40" t="n">
        <x:f>F5264-E5264</x:f>
        <x:v>-1.3152671813964858</x:v>
      </x:c>
      <x:c r="I5264" s="40" t="n">
        <x:f>ABS(H5264)</x:f>
        <x:v>1.3152671813964858</x:v>
      </x:c>
      <x:c r="J5264" s="40" t="n">
        <x:f>H5264^2</x:f>
        <x:v>1.7299277584586563</x:v>
      </x:c>
      <x:c r="K5264" s="40" t="n">
        <x:f>G5264-E5264</x:f>
        <x:v>0</x:v>
      </x:c>
      <x:c r="L5264" s="40" t="n">
        <x:f>ABS(K5264)</x:f>
        <x:v>0</x:v>
      </x:c>
      <x:c r="M5264" s="41" t="str">
        <x:v>lstm-soil-v1</x:v>
      </x:c>
    </x:row>
    <x:row r="5265">
      <x:c r="A5265" s="38" t="str">
        <x:v>7月30日现场数据</x:v>
      </x:c>
      <x:c r="B5265" s="39" t="str">
        <x:v>2026-08-05T03:10:00</x:v>
      </x:c>
      <x:c r="C5265" s="39" t="str">
        <x:v>2026-08-05T03:25:00</x:v>
      </x:c>
      <x:c r="D5265" s="47" t="n">
        <x:v>15</x:v>
      </x:c>
      <x:c r="E5265" s="40" t="n">
        <x:v>19.5</x:v>
      </x:c>
      <x:c r="F5265" s="40" t="n">
        <x:v>18.37895965576172</x:v>
      </x:c>
      <x:c r="G5265" s="40" t="n">
        <x:v>19.6</x:v>
      </x:c>
      <x:c r="H5265" s="40" t="n">
        <x:f>F5265-E5265</x:f>
        <x:v>-1.1210403442382812</x:v>
      </x:c>
      <x:c r="I5265" s="40" t="n">
        <x:f>ABS(H5265)</x:f>
        <x:v>1.1210403442382812</x:v>
      </x:c>
      <x:c r="J5265" s="40" t="n">
        <x:f>H5265^2</x:f>
        <x:v>1.2567314534098841</x:v>
      </x:c>
      <x:c r="K5265" s="40" t="n">
        <x:f>G5265-E5265</x:f>
        <x:v>0.10000000000000142</x:v>
      </x:c>
      <x:c r="L5265" s="40" t="n">
        <x:f>ABS(K5265)</x:f>
        <x:v>0.10000000000000142</x:v>
      </x:c>
      <x:c r="M5265" s="41" t="str">
        <x:v>lstm-soil-v1</x:v>
      </x:c>
    </x:row>
    <x:row r="5266">
      <x:c r="A5266" s="38" t="str">
        <x:v>7月30日现场数据</x:v>
      </x:c>
      <x:c r="B5266" s="39" t="str">
        <x:v>2026-08-05T03:10:00</x:v>
      </x:c>
      <x:c r="C5266" s="39" t="str">
        <x:v>2026-08-05T03:40:00</x:v>
      </x:c>
      <x:c r="D5266" s="47" t="n">
        <x:v>30</x:v>
      </x:c>
      <x:c r="E5266" s="40" t="n">
        <x:v>19.5</x:v>
      </x:c>
      <x:c r="F5266" s="40" t="n">
        <x:v>18.703914642333984</x:v>
      </x:c>
      <x:c r="G5266" s="40" t="n">
        <x:v>19.6</x:v>
      </x:c>
      <x:c r="H5266" s="40" t="n">
        <x:f>F5266-E5266</x:f>
        <x:v>-0.7960853576660156</x:v>
      </x:c>
      <x:c r="I5266" s="40" t="n">
        <x:f>ABS(H5266)</x:f>
        <x:v>0.7960853576660156</x:v>
      </x:c>
      <x:c r="J5266" s="40" t="n">
        <x:f>H5266^2</x:f>
        <x:v>0.633751896690228</x:v>
      </x:c>
      <x:c r="K5266" s="40" t="n">
        <x:f>G5266-E5266</x:f>
        <x:v>0.10000000000000142</x:v>
      </x:c>
      <x:c r="L5266" s="40" t="n">
        <x:f>ABS(K5266)</x:f>
        <x:v>0.10000000000000142</x:v>
      </x:c>
      <x:c r="M5266" s="41" t="str">
        <x:v>lstm-soil-v1</x:v>
      </x:c>
    </x:row>
    <x:row r="5267">
      <x:c r="A5267" s="38" t="str">
        <x:v>7月30日现场数据</x:v>
      </x:c>
      <x:c r="B5267" s="39" t="str">
        <x:v>2026-08-05T03:10:00</x:v>
      </x:c>
      <x:c r="C5267" s="39" t="str">
        <x:v>2026-08-05T04:10:00</x:v>
      </x:c>
      <x:c r="D5267" s="47" t="n">
        <x:v>60</x:v>
      </x:c>
      <x:c r="E5267" s="40" t="n">
        <x:v>19.3</x:v>
      </x:c>
      <x:c r="F5267" s="40" t="n">
        <x:v>20.357563018798828</x:v>
      </x:c>
      <x:c r="G5267" s="40" t="n">
        <x:v>19.6</x:v>
      </x:c>
      <x:c r="H5267" s="40" t="n">
        <x:f>F5267-E5267</x:f>
        <x:v>1.0575630187988274</x:v>
      </x:c>
      <x:c r="I5267" s="40" t="n">
        <x:f>ABS(H5267)</x:f>
        <x:v>1.0575630187988274</x:v>
      </x:c>
      <x:c r="J5267" s="40" t="n">
        <x:f>H5267^2</x:f>
        <x:v>1.118439538730889</x:v>
      </x:c>
      <x:c r="K5267" s="40" t="n">
        <x:f>G5267-E5267</x:f>
        <x:v>0.3000000000000007</x:v>
      </x:c>
      <x:c r="L5267" s="40" t="n">
        <x:f>ABS(K5267)</x:f>
        <x:v>0.3000000000000007</x:v>
      </x:c>
      <x:c r="M5267" s="41" t="str">
        <x:v>lstm-soil-v1</x:v>
      </x:c>
    </x:row>
    <x:row r="5268">
      <x:c r="A5268" s="38" t="str">
        <x:v>7月30日现场数据</x:v>
      </x:c>
      <x:c r="B5268" s="39" t="str">
        <x:v>2026-08-05T03:15:00</x:v>
      </x:c>
      <x:c r="C5268" s="39" t="str">
        <x:v>2026-08-05T03:20:00</x:v>
      </x:c>
      <x:c r="D5268" s="47" t="n">
        <x:v>5</x:v>
      </x:c>
      <x:c r="E5268" s="40" t="n">
        <x:v>19.6</x:v>
      </x:c>
      <x:c r="F5268" s="40" t="n">
        <x:v>18.285419464111328</x:v>
      </x:c>
      <x:c r="G5268" s="40" t="n">
        <x:v>19.6</x:v>
      </x:c>
      <x:c r="H5268" s="40" t="n">
        <x:f>F5268-E5268</x:f>
        <x:v>-1.3145805358886733</x:v>
      </x:c>
      <x:c r="I5268" s="40" t="n">
        <x:f>ABS(H5268)</x:f>
        <x:v>1.3145805358886733</x:v>
      </x:c>
      <x:c r="J5268" s="40" t="n">
        <x:f>H5268^2</x:f>
        <x:v>1.7281219853373515</x:v>
      </x:c>
      <x:c r="K5268" s="40" t="n">
        <x:f>G5268-E5268</x:f>
        <x:v>0</x:v>
      </x:c>
      <x:c r="L5268" s="40" t="n">
        <x:f>ABS(K5268)</x:f>
        <x:v>0</x:v>
      </x:c>
      <x:c r="M5268" s="41" t="str">
        <x:v>lstm-soil-v1</x:v>
      </x:c>
    </x:row>
    <x:row r="5269">
      <x:c r="A5269" s="38" t="str">
        <x:v>7月30日现场数据</x:v>
      </x:c>
      <x:c r="B5269" s="39" t="str">
        <x:v>2026-08-05T03:15:00</x:v>
      </x:c>
      <x:c r="C5269" s="39" t="str">
        <x:v>2026-08-05T03:30:00</x:v>
      </x:c>
      <x:c r="D5269" s="47" t="n">
        <x:v>15</x:v>
      </x:c>
      <x:c r="E5269" s="40" t="n">
        <x:v>19.5</x:v>
      </x:c>
      <x:c r="F5269" s="40" t="n">
        <x:v>18.37894058227539</x:v>
      </x:c>
      <x:c r="G5269" s="40" t="n">
        <x:v>19.6</x:v>
      </x:c>
      <x:c r="H5269" s="40" t="n">
        <x:f>F5269-E5269</x:f>
        <x:v>-1.1210594177246094</x:v>
      </x:c>
      <x:c r="I5269" s="40" t="n">
        <x:f>ABS(H5269)</x:f>
        <x:v>1.1210594177246094</x:v>
      </x:c>
      <x:c r="J5269" s="40" t="n">
        <x:f>H5269^2</x:f>
        <x:v>1.2567742180690402</x:v>
      </x:c>
      <x:c r="K5269" s="40" t="n">
        <x:f>G5269-E5269</x:f>
        <x:v>0.10000000000000142</x:v>
      </x:c>
      <x:c r="L5269" s="40" t="n">
        <x:f>ABS(K5269)</x:f>
        <x:v>0.10000000000000142</x:v>
      </x:c>
      <x:c r="M5269" s="41" t="str">
        <x:v>lstm-soil-v1</x:v>
      </x:c>
    </x:row>
    <x:row r="5270">
      <x:c r="A5270" s="38" t="str">
        <x:v>7月30日现场数据</x:v>
      </x:c>
      <x:c r="B5270" s="39" t="str">
        <x:v>2026-08-05T03:15:00</x:v>
      </x:c>
      <x:c r="C5270" s="39" t="str">
        <x:v>2026-08-05T03:45:00</x:v>
      </x:c>
      <x:c r="D5270" s="47" t="n">
        <x:v>30</x:v>
      </x:c>
      <x:c r="E5270" s="40" t="n">
        <x:v>19.4</x:v>
      </x:c>
      <x:c r="F5270" s="40" t="n">
        <x:v>18.70724868774414</x:v>
      </x:c>
      <x:c r="G5270" s="40" t="n">
        <x:v>19.6</x:v>
      </x:c>
      <x:c r="H5270" s="40" t="n">
        <x:f>F5270-E5270</x:f>
        <x:v>-0.692751312255858</x:v>
      </x:c>
      <x:c r="I5270" s="40" t="n">
        <x:f>ABS(H5270)</x:f>
        <x:v>0.692751312255858</x:v>
      </x:c>
      <x:c r="J5270" s="40" t="n">
        <x:f>H5270^2</x:f>
        <x:v>0.4799043806322132</x:v>
      </x:c>
      <x:c r="K5270" s="40" t="n">
        <x:f>G5270-E5270</x:f>
        <x:v>0.20000000000000284</x:v>
      </x:c>
      <x:c r="L5270" s="40" t="n">
        <x:f>ABS(K5270)</x:f>
        <x:v>0.20000000000000284</x:v>
      </x:c>
      <x:c r="M5270" s="41" t="str">
        <x:v>lstm-soil-v1</x:v>
      </x:c>
    </x:row>
    <x:row r="5271">
      <x:c r="A5271" s="38" t="str">
        <x:v>7月30日现场数据</x:v>
      </x:c>
      <x:c r="B5271" s="39" t="str">
        <x:v>2026-08-05T03:15:00</x:v>
      </x:c>
      <x:c r="C5271" s="39" t="str">
        <x:v>2026-08-05T04:15:00</x:v>
      </x:c>
      <x:c r="D5271" s="47" t="n">
        <x:v>60</x:v>
      </x:c>
      <x:c r="E5271" s="40" t="n">
        <x:v>19.3</x:v>
      </x:c>
      <x:c r="F5271" s="40" t="n">
        <x:v>20.358226776123047</x:v>
      </x:c>
      <x:c r="G5271" s="40" t="n">
        <x:v>19.6</x:v>
      </x:c>
      <x:c r="H5271" s="40" t="n">
        <x:f>F5271-E5271</x:f>
        <x:v>1.0582267761230462</x:v>
      </x:c>
      <x:c r="I5271" s="40" t="n">
        <x:f>ABS(H5271)</x:f>
        <x:v>1.0582267761230462</x:v>
      </x:c>
      <x:c r="J5271" s="40" t="n">
        <x:f>H5271^2</x:f>
        <x:v>1.1198439097037756</x:v>
      </x:c>
      <x:c r="K5271" s="40" t="n">
        <x:f>G5271-E5271</x:f>
        <x:v>0.3000000000000007</x:v>
      </x:c>
      <x:c r="L5271" s="40" t="n">
        <x:f>ABS(K5271)</x:f>
        <x:v>0.3000000000000007</x:v>
      </x:c>
      <x:c r="M5271" s="41" t="str">
        <x:v>lstm-soil-v1</x:v>
      </x:c>
    </x:row>
    <x:row r="5272">
      <x:c r="A5272" s="38" t="str">
        <x:v>7月30日现场数据</x:v>
      </x:c>
      <x:c r="B5272" s="39" t="str">
        <x:v>2026-08-05T03:20:00</x:v>
      </x:c>
      <x:c r="C5272" s="39" t="str">
        <x:v>2026-08-05T03:25:00</x:v>
      </x:c>
      <x:c r="D5272" s="47" t="n">
        <x:v>5</x:v>
      </x:c>
      <x:c r="E5272" s="40" t="n">
        <x:v>19.5</x:v>
      </x:c>
      <x:c r="F5272" s="40" t="n">
        <x:v>18.286510467529297</x:v>
      </x:c>
      <x:c r="G5272" s="40" t="n">
        <x:v>19.6</x:v>
      </x:c>
      <x:c r="H5272" s="40" t="n">
        <x:f>F5272-E5272</x:f>
        <x:v>-1.2134895324707031</x:v>
      </x:c>
      <x:c r="I5272" s="40" t="n">
        <x:f>ABS(H5272)</x:f>
        <x:v>1.2134895324707031</x:v>
      </x:c>
      <x:c r="J5272" s="40" t="n">
        <x:f>H5272^2</x:f>
        <x:v>1.4725568454159657</x:v>
      </x:c>
      <x:c r="K5272" s="40" t="n">
        <x:f>G5272-E5272</x:f>
        <x:v>0.10000000000000142</x:v>
      </x:c>
      <x:c r="L5272" s="40" t="n">
        <x:f>ABS(K5272)</x:f>
        <x:v>0.10000000000000142</x:v>
      </x:c>
      <x:c r="M5272" s="41" t="str">
        <x:v>lstm-soil-v1</x:v>
      </x:c>
    </x:row>
    <x:row r="5273">
      <x:c r="A5273" s="38" t="str">
        <x:v>7月30日现场数据</x:v>
      </x:c>
      <x:c r="B5273" s="39" t="str">
        <x:v>2026-08-05T03:20:00</x:v>
      </x:c>
      <x:c r="C5273" s="39" t="str">
        <x:v>2026-08-05T03:35:00</x:v>
      </x:c>
      <x:c r="D5273" s="47" t="n">
        <x:v>15</x:v>
      </x:c>
      <x:c r="E5273" s="40" t="n">
        <x:v>19.5</x:v>
      </x:c>
      <x:c r="F5273" s="40" t="n">
        <x:v>18.379302978515625</x:v>
      </x:c>
      <x:c r="G5273" s="40" t="n">
        <x:v>19.6</x:v>
      </x:c>
      <x:c r="H5273" s="40" t="n">
        <x:f>F5273-E5273</x:f>
        <x:v>-1.120697021484375</x:v>
      </x:c>
      <x:c r="I5273" s="40" t="n">
        <x:f>ABS(H5273)</x:f>
        <x:v>1.120697021484375</x:v>
      </x:c>
      <x:c r="J5273" s="40" t="n">
        <x:f>H5273^2</x:f>
        <x:v>1.2559618139639497</x:v>
      </x:c>
      <x:c r="K5273" s="40" t="n">
        <x:f>G5273-E5273</x:f>
        <x:v>0.10000000000000142</x:v>
      </x:c>
      <x:c r="L5273" s="40" t="n">
        <x:f>ABS(K5273)</x:f>
        <x:v>0.10000000000000142</x:v>
      </x:c>
      <x:c r="M5273" s="41" t="str">
        <x:v>lstm-soil-v1</x:v>
      </x:c>
    </x:row>
    <x:row r="5274">
      <x:c r="A5274" s="38" t="str">
        <x:v>7月30日现场数据</x:v>
      </x:c>
      <x:c r="B5274" s="39" t="str">
        <x:v>2026-08-05T03:20:00</x:v>
      </x:c>
      <x:c r="C5274" s="39" t="str">
        <x:v>2026-08-05T03:50:00</x:v>
      </x:c>
      <x:c r="D5274" s="47" t="n">
        <x:v>30</x:v>
      </x:c>
      <x:c r="E5274" s="40" t="n">
        <x:v>19.4</x:v>
      </x:c>
      <x:c r="F5274" s="40" t="n">
        <x:v>18.710689544677734</x:v>
      </x:c>
      <x:c r="G5274" s="40" t="n">
        <x:v>19.6</x:v>
      </x:c>
      <x:c r="H5274" s="40" t="n">
        <x:f>F5274-E5274</x:f>
        <x:v>-0.6893104553222642</x:v>
      </x:c>
      <x:c r="I5274" s="40" t="n">
        <x:f>ABS(H5274)</x:f>
        <x:v>0.6893104553222642</x:v>
      </x:c>
      <x:c r="J5274" s="40" t="n">
        <x:f>H5274^2</x:f>
        <x:v>0.4751489038165872</x:v>
      </x:c>
      <x:c r="K5274" s="40" t="n">
        <x:f>G5274-E5274</x:f>
        <x:v>0.20000000000000284</x:v>
      </x:c>
      <x:c r="L5274" s="40" t="n">
        <x:f>ABS(K5274)</x:f>
        <x:v>0.20000000000000284</x:v>
      </x:c>
      <x:c r="M5274" s="41" t="str">
        <x:v>lstm-soil-v1</x:v>
      </x:c>
    </x:row>
    <x:row r="5275">
      <x:c r="A5275" s="38" t="str">
        <x:v>7月30日现场数据</x:v>
      </x:c>
      <x:c r="B5275" s="39" t="str">
        <x:v>2026-08-05T03:20:00</x:v>
      </x:c>
      <x:c r="C5275" s="39" t="str">
        <x:v>2026-08-05T04:20:00</x:v>
      </x:c>
      <x:c r="D5275" s="47" t="n">
        <x:v>60</x:v>
      </x:c>
      <x:c r="E5275" s="40" t="n">
        <x:v>19.3</x:v>
      </x:c>
      <x:c r="F5275" s="40" t="n">
        <x:v>20.359481811523438</x:v>
      </x:c>
      <x:c r="G5275" s="40" t="n">
        <x:v>19.6</x:v>
      </x:c>
      <x:c r="H5275" s="40" t="n">
        <x:f>F5275-E5275</x:f>
        <x:v>1.0594818115234368</x:v>
      </x:c>
      <x:c r="I5275" s="40" t="n">
        <x:f>ABS(H5275)</x:f>
        <x:v>1.0594818115234368</x:v>
      </x:c>
      <x:c r="J5275" s="40" t="n">
        <x:f>H5275^2</x:f>
        <x:v>1.1225017089489833</x:v>
      </x:c>
      <x:c r="K5275" s="40" t="n">
        <x:f>G5275-E5275</x:f>
        <x:v>0.3000000000000007</x:v>
      </x:c>
      <x:c r="L5275" s="40" t="n">
        <x:f>ABS(K5275)</x:f>
        <x:v>0.3000000000000007</x:v>
      </x:c>
      <x:c r="M5275" s="41" t="str">
        <x:v>lstm-soil-v1</x:v>
      </x:c>
    </x:row>
    <x:row r="5276">
      <x:c r="A5276" s="38" t="str">
        <x:v>7月30日现场数据</x:v>
      </x:c>
      <x:c r="B5276" s="39" t="str">
        <x:v>2026-08-05T03:25:00</x:v>
      </x:c>
      <x:c r="C5276" s="39" t="str">
        <x:v>2026-08-05T03:30:00</x:v>
      </x:c>
      <x:c r="D5276" s="47" t="n">
        <x:v>5</x:v>
      </x:c>
      <x:c r="E5276" s="40" t="n">
        <x:v>19.5</x:v>
      </x:c>
      <x:c r="F5276" s="40" t="n">
        <x:v>18.177188873291016</x:v>
      </x:c>
      <x:c r="G5276" s="40" t="n">
        <x:v>19.5</x:v>
      </x:c>
      <x:c r="H5276" s="40" t="n">
        <x:f>F5276-E5276</x:f>
        <x:v>-1.3228111267089844</x:v>
      </x:c>
      <x:c r="I5276" s="40" t="n">
        <x:f>ABS(H5276)</x:f>
        <x:v>1.3228111267089844</x:v>
      </x:c>
      <x:c r="J5276" s="40" t="n">
        <x:f>H5276^2</x:f>
        <x:v>1.7498292769450927</x:v>
      </x:c>
      <x:c r="K5276" s="40" t="n">
        <x:f>G5276-E5276</x:f>
        <x:v>0</x:v>
      </x:c>
      <x:c r="L5276" s="40" t="n">
        <x:f>ABS(K5276)</x:f>
        <x:v>0</x:v>
      </x:c>
      <x:c r="M5276" s="41" t="str">
        <x:v>lstm-soil-v1</x:v>
      </x:c>
    </x:row>
    <x:row r="5277">
      <x:c r="A5277" s="38" t="str">
        <x:v>7月30日现场数据</x:v>
      </x:c>
      <x:c r="B5277" s="39" t="str">
        <x:v>2026-08-05T03:25:00</x:v>
      </x:c>
      <x:c r="C5277" s="39" t="str">
        <x:v>2026-08-05T03:40:00</x:v>
      </x:c>
      <x:c r="D5277" s="47" t="n">
        <x:v>15</x:v>
      </x:c>
      <x:c r="E5277" s="40" t="n">
        <x:v>19.5</x:v>
      </x:c>
      <x:c r="F5277" s="40" t="n">
        <x:v>18.26946258544922</x:v>
      </x:c>
      <x:c r="G5277" s="40" t="n">
        <x:v>19.5</x:v>
      </x:c>
      <x:c r="H5277" s="40" t="n">
        <x:f>F5277-E5277</x:f>
        <x:v>-1.2305374145507812</x:v>
      </x:c>
      <x:c r="I5277" s="40" t="n">
        <x:f>ABS(H5277)</x:f>
        <x:v>1.2305374145507812</x:v>
      </x:c>
      <x:c r="J5277" s="40" t="n">
        <x:f>H5277^2</x:f>
        <x:v>1.5142223286093213</x:v>
      </x:c>
      <x:c r="K5277" s="40" t="n">
        <x:f>G5277-E5277</x:f>
        <x:v>0</x:v>
      </x:c>
      <x:c r="L5277" s="40" t="n">
        <x:f>ABS(K5277)</x:f>
        <x:v>0</x:v>
      </x:c>
      <x:c r="M5277" s="41" t="str">
        <x:v>lstm-soil-v1</x:v>
      </x:c>
    </x:row>
    <x:row r="5278">
      <x:c r="A5278" s="38" t="str">
        <x:v>7月30日现场数据</x:v>
      </x:c>
      <x:c r="B5278" s="39" t="str">
        <x:v>2026-08-05T03:25:00</x:v>
      </x:c>
      <x:c r="C5278" s="39" t="str">
        <x:v>2026-08-05T03:55:00</x:v>
      </x:c>
      <x:c r="D5278" s="47" t="n">
        <x:v>30</x:v>
      </x:c>
      <x:c r="E5278" s="40" t="n">
        <x:v>19.4</x:v>
      </x:c>
      <x:c r="F5278" s="40" t="n">
        <x:v>18.603336334228516</x:v>
      </x:c>
      <x:c r="G5278" s="40" t="n">
        <x:v>19.5</x:v>
      </x:c>
      <x:c r="H5278" s="40" t="n">
        <x:f>F5278-E5278</x:f>
        <x:v>-0.796663665771483</x:v>
      </x:c>
      <x:c r="I5278" s="40" t="n">
        <x:f>ABS(H5278)</x:f>
        <x:v>0.796663665771483</x:v>
      </x:c>
      <x:c r="J5278" s="40" t="n">
        <x:f>H5278^2</x:f>
        <x:v>0.6346729963604572</x:v>
      </x:c>
      <x:c r="K5278" s="40" t="n">
        <x:f>G5278-E5278</x:f>
        <x:v>0.10000000000000142</x:v>
      </x:c>
      <x:c r="L5278" s="40" t="n">
        <x:f>ABS(K5278)</x:f>
        <x:v>0.10000000000000142</x:v>
      </x:c>
      <x:c r="M5278" s="41" t="str">
        <x:v>lstm-soil-v1</x:v>
      </x:c>
    </x:row>
    <x:row r="5279">
      <x:c r="A5279" s="38" t="str">
        <x:v>7月30日现场数据</x:v>
      </x:c>
      <x:c r="B5279" s="39" t="str">
        <x:v>2026-08-05T03:25:00</x:v>
      </x:c>
      <x:c r="C5279" s="39" t="str">
        <x:v>2026-08-05T04:25:00</x:v>
      </x:c>
      <x:c r="D5279" s="47" t="n">
        <x:v>60</x:v>
      </x:c>
      <x:c r="E5279" s="40" t="n">
        <x:v>19.3</x:v>
      </x:c>
      <x:c r="F5279" s="40" t="n">
        <x:v>20.250438690185547</x:v>
      </x:c>
      <x:c r="G5279" s="40" t="n">
        <x:v>19.5</x:v>
      </x:c>
      <x:c r="H5279" s="40" t="n">
        <x:f>F5279-E5279</x:f>
        <x:v>0.9504386901855462</x:v>
      </x:c>
      <x:c r="I5279" s="40" t="n">
        <x:f>ABS(H5279)</x:f>
        <x:v>0.9504386901855462</x:v>
      </x:c>
      <x:c r="J5279" s="40" t="n">
        <x:f>H5279^2</x:f>
        <x:v>0.9033337038016166</x:v>
      </x:c>
      <x:c r="K5279" s="40" t="n">
        <x:f>G5279-E5279</x:f>
        <x:v>0.1999999999999993</x:v>
      </x:c>
      <x:c r="L5279" s="40" t="n">
        <x:f>ABS(K5279)</x:f>
        <x:v>0.1999999999999993</x:v>
      </x:c>
      <x:c r="M5279" s="41" t="str">
        <x:v>lstm-soil-v1</x:v>
      </x:c>
    </x:row>
    <x:row r="5280">
      <x:c r="A5280" s="38" t="str">
        <x:v>7月30日现场数据</x:v>
      </x:c>
      <x:c r="B5280" s="39" t="str">
        <x:v>2026-08-05T03:30:00</x:v>
      </x:c>
      <x:c r="C5280" s="39" t="str">
        <x:v>2026-08-05T03:35:00</x:v>
      </x:c>
      <x:c r="D5280" s="47" t="n">
        <x:v>5</x:v>
      </x:c>
      <x:c r="E5280" s="40" t="n">
        <x:v>19.5</x:v>
      </x:c>
      <x:c r="F5280" s="40" t="n">
        <x:v>18.177967071533203</x:v>
      </x:c>
      <x:c r="G5280" s="40" t="n">
        <x:v>19.5</x:v>
      </x:c>
      <x:c r="H5280" s="40" t="n">
        <x:f>F5280-E5280</x:f>
        <x:v>-1.3220329284667969</x:v>
      </x:c>
      <x:c r="I5280" s="40" t="n">
        <x:f>ABS(H5280)</x:f>
        <x:v>1.3220329284667969</x:v>
      </x:c>
      <x:c r="J5280" s="40" t="n">
        <x:f>H5280^2</x:f>
        <x:v>1.7477710639504949</x:v>
      </x:c>
      <x:c r="K5280" s="40" t="n">
        <x:f>G5280-E5280</x:f>
        <x:v>0</x:v>
      </x:c>
      <x:c r="L5280" s="40" t="n">
        <x:f>ABS(K5280)</x:f>
        <x:v>0</x:v>
      </x:c>
      <x:c r="M5280" s="41" t="str">
        <x:v>lstm-soil-v1</x:v>
      </x:c>
    </x:row>
    <x:row r="5281">
      <x:c r="A5281" s="38" t="str">
        <x:v>7月30日现场数据</x:v>
      </x:c>
      <x:c r="B5281" s="39" t="str">
        <x:v>2026-08-05T03:30:00</x:v>
      </x:c>
      <x:c r="C5281" s="39" t="str">
        <x:v>2026-08-05T03:45:00</x:v>
      </x:c>
      <x:c r="D5281" s="47" t="n">
        <x:v>15</x:v>
      </x:c>
      <x:c r="E5281" s="40" t="n">
        <x:v>19.4</x:v>
      </x:c>
      <x:c r="F5281" s="40" t="n">
        <x:v>18.269752502441406</x:v>
      </x:c>
      <x:c r="G5281" s="40" t="n">
        <x:v>19.5</x:v>
      </x:c>
      <x:c r="H5281" s="40" t="n">
        <x:f>F5281-E5281</x:f>
        <x:v>-1.1302474975585923</x:v>
      </x:c>
      <x:c r="I5281" s="40" t="n">
        <x:f>ABS(H5281)</x:f>
        <x:v>1.1302474975585923</x:v>
      </x:c>
      <x:c r="J5281" s="40" t="n">
        <x:f>H5281^2</x:f>
        <x:v>1.2774594057374602</x:v>
      </x:c>
      <x:c r="K5281" s="40" t="n">
        <x:f>G5281-E5281</x:f>
        <x:v>0.10000000000000142</x:v>
      </x:c>
      <x:c r="L5281" s="40" t="n">
        <x:f>ABS(K5281)</x:f>
        <x:v>0.10000000000000142</x:v>
      </x:c>
      <x:c r="M5281" s="41" t="str">
        <x:v>lstm-soil-v1</x:v>
      </x:c>
    </x:row>
    <x:row r="5282">
      <x:c r="A5282" s="38" t="str">
        <x:v>7月30日现场数据</x:v>
      </x:c>
      <x:c r="B5282" s="39" t="str">
        <x:v>2026-08-05T03:30:00</x:v>
      </x:c>
      <x:c r="C5282" s="39" t="str">
        <x:v>2026-08-05T04:00:00</x:v>
      </x:c>
      <x:c r="D5282" s="47" t="n">
        <x:v>30</x:v>
      </x:c>
      <x:c r="E5282" s="40" t="n">
        <x:v>19.4</x:v>
      </x:c>
      <x:c r="F5282" s="40" t="n">
        <x:v>18.605815887451172</x:v>
      </x:c>
      <x:c r="G5282" s="40" t="n">
        <x:v>19.5</x:v>
      </x:c>
      <x:c r="H5282" s="40" t="n">
        <x:f>F5282-E5282</x:f>
        <x:v>-0.7941841125488267</x:v>
      </x:c>
      <x:c r="I5282" s="40" t="n">
        <x:f>ABS(H5282)</x:f>
        <x:v>0.7941841125488267</x:v>
      </x:c>
      <x:c r="J5282" s="40" t="n">
        <x:f>H5282^2</x:f>
        <x:v>0.6307284046249675</x:v>
      </x:c>
      <x:c r="K5282" s="40" t="n">
        <x:f>G5282-E5282</x:f>
        <x:v>0.10000000000000142</x:v>
      </x:c>
      <x:c r="L5282" s="40" t="n">
        <x:f>ABS(K5282)</x:f>
        <x:v>0.10000000000000142</x:v>
      </x:c>
      <x:c r="M5282" s="41" t="str">
        <x:v>lstm-soil-v1</x:v>
      </x:c>
    </x:row>
    <x:row r="5283">
      <x:c r="A5283" s="38" t="str">
        <x:v>7月30日现场数据</x:v>
      </x:c>
      <x:c r="B5283" s="39" t="str">
        <x:v>2026-08-05T03:30:00</x:v>
      </x:c>
      <x:c r="C5283" s="39" t="str">
        <x:v>2026-08-05T04:30:00</x:v>
      </x:c>
      <x:c r="D5283" s="47" t="n">
        <x:v>60</x:v>
      </x:c>
      <x:c r="E5283" s="40" t="n">
        <x:v>19.2</x:v>
      </x:c>
      <x:c r="F5283" s="40" t="n">
        <x:v>20.251529693603516</x:v>
      </x:c>
      <x:c r="G5283" s="40" t="n">
        <x:v>19.5</x:v>
      </x:c>
      <x:c r="H5283" s="40" t="n">
        <x:f>F5283-E5283</x:f>
        <x:v>1.0515296936035163</x:v>
      </x:c>
      <x:c r="I5283" s="40" t="n">
        <x:f>ABS(H5283)</x:f>
        <x:v>1.0515296936035163</x:v>
      </x:c>
      <x:c r="J5283" s="40" t="n">
        <x:f>H5283^2</x:f>
        <x:v>1.105714696529905</x:v>
      </x:c>
      <x:c r="K5283" s="40" t="n">
        <x:f>G5283-E5283</x:f>
        <x:v>0.3000000000000007</x:v>
      </x:c>
      <x:c r="L5283" s="40" t="n">
        <x:f>ABS(K5283)</x:f>
        <x:v>0.3000000000000007</x:v>
      </x:c>
      <x:c r="M5283" s="41" t="str">
        <x:v>lstm-soil-v1</x:v>
      </x:c>
    </x:row>
    <x:row r="5284">
      <x:c r="A5284" s="38" t="str">
        <x:v>7月30日现场数据</x:v>
      </x:c>
      <x:c r="B5284" s="39" t="str">
        <x:v>2026-08-05T03:35:00</x:v>
      </x:c>
      <x:c r="C5284" s="39" t="str">
        <x:v>2026-08-05T03:40:00</x:v>
      </x:c>
      <x:c r="D5284" s="47" t="n">
        <x:v>5</x:v>
      </x:c>
      <x:c r="E5284" s="40" t="n">
        <x:v>19.5</x:v>
      </x:c>
      <x:c r="F5284" s="40" t="n">
        <x:v>18.178733825683594</x:v>
      </x:c>
      <x:c r="G5284" s="40" t="n">
        <x:v>19.5</x:v>
      </x:c>
      <x:c r="H5284" s="40" t="n">
        <x:f>F5284-E5284</x:f>
        <x:v>-1.3212661743164062</x:v>
      </x:c>
      <x:c r="I5284" s="40" t="n">
        <x:f>ABS(H5284)</x:f>
        <x:v>1.3212661743164062</x:v>
      </x:c>
      <x:c r="J5284" s="40" t="n">
        <x:f>H5284^2</x:f>
        <x:v>1.745744303392712</x:v>
      </x:c>
      <x:c r="K5284" s="40" t="n">
        <x:f>G5284-E5284</x:f>
        <x:v>0</x:v>
      </x:c>
      <x:c r="L5284" s="40" t="n">
        <x:f>ABS(K5284)</x:f>
        <x:v>0</x:v>
      </x:c>
      <x:c r="M5284" s="41" t="str">
        <x:v>lstm-soil-v1</x:v>
      </x:c>
    </x:row>
    <x:row r="5285">
      <x:c r="A5285" s="38" t="str">
        <x:v>7月30日现场数据</x:v>
      </x:c>
      <x:c r="B5285" s="39" t="str">
        <x:v>2026-08-05T03:35:00</x:v>
      </x:c>
      <x:c r="C5285" s="39" t="str">
        <x:v>2026-08-05T03:50:00</x:v>
      </x:c>
      <x:c r="D5285" s="47" t="n">
        <x:v>15</x:v>
      </x:c>
      <x:c r="E5285" s="40" t="n">
        <x:v>19.4</x:v>
      </x:c>
      <x:c r="F5285" s="40" t="n">
        <x:v>18.270069122314453</x:v>
      </x:c>
      <x:c r="G5285" s="40" t="n">
        <x:v>19.5</x:v>
      </x:c>
      <x:c r="H5285" s="40" t="n">
        <x:f>F5285-E5285</x:f>
        <x:v>-1.1299308776855455</x:v>
      </x:c>
      <x:c r="I5285" s="40" t="n">
        <x:f>ABS(H5285)</x:f>
        <x:v>1.1299308776855455</x:v>
      </x:c>
      <x:c r="J5285" s="40" t="n">
        <x:f>H5285^2</x:f>
        <x:v>1.276743788347227</x:v>
      </x:c>
      <x:c r="K5285" s="40" t="n">
        <x:f>G5285-E5285</x:f>
        <x:v>0.10000000000000142</x:v>
      </x:c>
      <x:c r="L5285" s="40" t="n">
        <x:f>ABS(K5285)</x:f>
        <x:v>0.10000000000000142</x:v>
      </x:c>
      <x:c r="M5285" s="41" t="str">
        <x:v>lstm-soil-v1</x:v>
      </x:c>
    </x:row>
    <x:row r="5286">
      <x:c r="A5286" s="38" t="str">
        <x:v>7月30日现场数据</x:v>
      </x:c>
      <x:c r="B5286" s="39" t="str">
        <x:v>2026-08-05T03:35:00</x:v>
      </x:c>
      <x:c r="C5286" s="39" t="str">
        <x:v>2026-08-05T04:05:00</x:v>
      </x:c>
      <x:c r="D5286" s="47" t="n">
        <x:v>30</x:v>
      </x:c>
      <x:c r="E5286" s="40" t="n">
        <x:v>19.3</x:v>
      </x:c>
      <x:c r="F5286" s="40" t="n">
        <x:v>18.608001708984375</x:v>
      </x:c>
      <x:c r="G5286" s="40" t="n">
        <x:v>19.5</x:v>
      </x:c>
      <x:c r="H5286" s="40" t="n">
        <x:f>F5286-E5286</x:f>
        <x:v>-0.6919982910156257</x:v>
      </x:c>
      <x:c r="I5286" s="40" t="n">
        <x:f>ABS(H5286)</x:f>
        <x:v>0.6919982910156257</x:v>
      </x:c>
      <x:c r="J5286" s="40" t="n">
        <x:f>H5286^2</x:f>
        <x:v>0.4788616347685466</x:v>
      </x:c>
      <x:c r="K5286" s="40" t="n">
        <x:f>G5286-E5286</x:f>
        <x:v>0.1999999999999993</x:v>
      </x:c>
      <x:c r="L5286" s="40" t="n">
        <x:f>ABS(K5286)</x:f>
        <x:v>0.1999999999999993</x:v>
      </x:c>
      <x:c r="M5286" s="41" t="str">
        <x:v>lstm-soil-v1</x:v>
      </x:c>
    </x:row>
    <x:row r="5287">
      <x:c r="A5287" s="38" t="str">
        <x:v>7月30日现场数据</x:v>
      </x:c>
      <x:c r="B5287" s="39" t="str">
        <x:v>2026-08-05T03:35:00</x:v>
      </x:c>
      <x:c r="C5287" s="39" t="str">
        <x:v>2026-08-05T04:35:00</x:v>
      </x:c>
      <x:c r="D5287" s="47" t="n">
        <x:v>60</x:v>
      </x:c>
      <x:c r="E5287" s="40" t="n">
        <x:v>19.2</x:v>
      </x:c>
      <x:c r="F5287" s="40" t="n">
        <x:v>20.252601623535156</x:v>
      </x:c>
      <x:c r="G5287" s="40" t="n">
        <x:v>19.5</x:v>
      </x:c>
      <x:c r="H5287" s="40" t="n">
        <x:f>F5287-E5287</x:f>
        <x:v>1.052601623535157</x:v>
      </x:c>
      <x:c r="I5287" s="40" t="n">
        <x:f>ABS(H5287)</x:f>
        <x:v>1.052601623535157</x:v>
      </x:c>
      <x:c r="J5287" s="40" t="n">
        <x:f>H5287^2</x:f>
        <x:v>1.1079701778688482</x:v>
      </x:c>
      <x:c r="K5287" s="40" t="n">
        <x:f>G5287-E5287</x:f>
        <x:v>0.3000000000000007</x:v>
      </x:c>
      <x:c r="L5287" s="40" t="n">
        <x:f>ABS(K5287)</x:f>
        <x:v>0.3000000000000007</x:v>
      </x:c>
      <x:c r="M5287" s="41" t="str">
        <x:v>lstm-soil-v1</x:v>
      </x:c>
    </x:row>
    <x:row r="5288">
      <x:c r="A5288" s="38" t="str">
        <x:v>7月30日现场数据</x:v>
      </x:c>
      <x:c r="B5288" s="39" t="str">
        <x:v>2026-08-05T03:40:00</x:v>
      </x:c>
      <x:c r="C5288" s="39" t="str">
        <x:v>2026-08-05T03:45:00</x:v>
      </x:c>
      <x:c r="D5288" s="47" t="n">
        <x:v>5</x:v>
      </x:c>
      <x:c r="E5288" s="40" t="n">
        <x:v>19.4</x:v>
      </x:c>
      <x:c r="F5288" s="40" t="n">
        <x:v>18.179439544677734</x:v>
      </x:c>
      <x:c r="G5288" s="40" t="n">
        <x:v>19.5</x:v>
      </x:c>
      <x:c r="H5288" s="40" t="n">
        <x:f>F5288-E5288</x:f>
        <x:v>-1.2205604553222642</x:v>
      </x:c>
      <x:c r="I5288" s="40" t="n">
        <x:f>ABS(H5288)</x:f>
        <x:v>1.2205604553222642</x:v>
      </x:c>
      <x:c r="J5288" s="40" t="n">
        <x:f>H5288^2</x:f>
        <x:v>1.489767825096493</x:v>
      </x:c>
      <x:c r="K5288" s="40" t="n">
        <x:f>G5288-E5288</x:f>
        <x:v>0.10000000000000142</x:v>
      </x:c>
      <x:c r="L5288" s="40" t="n">
        <x:f>ABS(K5288)</x:f>
        <x:v>0.10000000000000142</x:v>
      </x:c>
      <x:c r="M5288" s="41" t="str">
        <x:v>lstm-soil-v1</x:v>
      </x:c>
    </x:row>
    <x:row r="5289">
      <x:c r="A5289" s="38" t="str">
        <x:v>7月30日现场数据</x:v>
      </x:c>
      <x:c r="B5289" s="39" t="str">
        <x:v>2026-08-05T03:40:00</x:v>
      </x:c>
      <x:c r="C5289" s="39" t="str">
        <x:v>2026-08-05T03:55:00</x:v>
      </x:c>
      <x:c r="D5289" s="47" t="n">
        <x:v>15</x:v>
      </x:c>
      <x:c r="E5289" s="40" t="n">
        <x:v>19.4</x:v>
      </x:c>
      <x:c r="F5289" s="40" t="n">
        <x:v>18.270381927490234</x:v>
      </x:c>
      <x:c r="G5289" s="40" t="n">
        <x:v>19.5</x:v>
      </x:c>
      <x:c r="H5289" s="40" t="n">
        <x:f>F5289-E5289</x:f>
        <x:v>-1.1296180725097642</x:v>
      </x:c>
      <x:c r="I5289" s="40" t="n">
        <x:f>ABS(H5289)</x:f>
        <x:v>1.1296180725097642</x:v>
      </x:c>
      <x:c r="J5289" s="40" t="n">
        <x:f>H5289^2</x:f>
        <x:v>1.276036989740675</x:v>
      </x:c>
      <x:c r="K5289" s="40" t="n">
        <x:f>G5289-E5289</x:f>
        <x:v>0.10000000000000142</x:v>
      </x:c>
      <x:c r="L5289" s="40" t="n">
        <x:f>ABS(K5289)</x:f>
        <x:v>0.10000000000000142</x:v>
      </x:c>
      <x:c r="M5289" s="41" t="str">
        <x:v>lstm-soil-v1</x:v>
      </x:c>
    </x:row>
    <x:row r="5290">
      <x:c r="A5290" s="38" t="str">
        <x:v>7月30日现场数据</x:v>
      </x:c>
      <x:c r="B5290" s="39" t="str">
        <x:v>2026-08-05T03:40:00</x:v>
      </x:c>
      <x:c r="C5290" s="39" t="str">
        <x:v>2026-08-05T04:10:00</x:v>
      </x:c>
      <x:c r="D5290" s="47" t="n">
        <x:v>30</x:v>
      </x:c>
      <x:c r="E5290" s="40" t="n">
        <x:v>19.3</x:v>
      </x:c>
      <x:c r="F5290" s="40" t="n">
        <x:v>18.609882354736328</x:v>
      </x:c>
      <x:c r="G5290" s="40" t="n">
        <x:v>19.5</x:v>
      </x:c>
      <x:c r="H5290" s="40" t="n">
        <x:f>F5290-E5290</x:f>
        <x:v>-0.6901176452636726</x:v>
      </x:c>
      <x:c r="I5290" s="40" t="n">
        <x:f>ABS(H5290)</x:f>
        <x:v>0.6901176452636726</x:v>
      </x:c>
      <x:c r="J5290" s="40" t="n">
        <x:f>H5290^2</x:f>
        <x:v>0.4762623643042762</x:v>
      </x:c>
      <x:c r="K5290" s="40" t="n">
        <x:f>G5290-E5290</x:f>
        <x:v>0.1999999999999993</x:v>
      </x:c>
      <x:c r="L5290" s="40" t="n">
        <x:f>ABS(K5290)</x:f>
        <x:v>0.1999999999999993</x:v>
      </x:c>
      <x:c r="M5290" s="41" t="str">
        <x:v>lstm-soil-v1</x:v>
      </x:c>
    </x:row>
    <x:row r="5291">
      <x:c r="A5291" s="38" t="str">
        <x:v>7月30日现场数据</x:v>
      </x:c>
      <x:c r="B5291" s="39" t="str">
        <x:v>2026-08-05T03:40:00</x:v>
      </x:c>
      <x:c r="C5291" s="39" t="str">
        <x:v>2026-08-05T04:40:00</x:v>
      </x:c>
      <x:c r="D5291" s="47" t="n">
        <x:v>60</x:v>
      </x:c>
      <x:c r="E5291" s="40" t="n">
        <x:v>19.2</x:v>
      </x:c>
      <x:c r="F5291" s="40" t="n">
        <x:v>20.253585815429688</x:v>
      </x:c>
      <x:c r="G5291" s="40" t="n">
        <x:v>19.5</x:v>
      </x:c>
      <x:c r="H5291" s="40" t="n">
        <x:f>F5291-E5291</x:f>
        <x:v>1.0535858154296882</x:v>
      </x:c>
      <x:c r="I5291" s="40" t="n">
        <x:f>ABS(H5291)</x:f>
        <x:v>1.0535858154296882</x:v>
      </x:c>
      <x:c r="J5291" s="40" t="n">
        <x:f>H5291^2</x:f>
        <x:v>1.1100430704746411</x:v>
      </x:c>
      <x:c r="K5291" s="40" t="n">
        <x:f>G5291-E5291</x:f>
        <x:v>0.3000000000000007</x:v>
      </x:c>
      <x:c r="L5291" s="40" t="n">
        <x:f>ABS(K5291)</x:f>
        <x:v>0.3000000000000007</x:v>
      </x:c>
      <x:c r="M5291" s="41" t="str">
        <x:v>lstm-soil-v1</x:v>
      </x:c>
    </x:row>
    <x:row r="5292">
      <x:c r="A5292" s="38" t="str">
        <x:v>7月30日现场数据</x:v>
      </x:c>
      <x:c r="B5292" s="39" t="str">
        <x:v>2026-08-05T03:45:00</x:v>
      </x:c>
      <x:c r="C5292" s="39" t="str">
        <x:v>2026-08-05T03:50:00</x:v>
      </x:c>
      <x:c r="D5292" s="47" t="n">
        <x:v>5</x:v>
      </x:c>
      <x:c r="E5292" s="40" t="n">
        <x:v>19.4</x:v>
      </x:c>
      <x:c r="F5292" s="40" t="n">
        <x:v>18.06967544555664</x:v>
      </x:c>
      <x:c r="G5292" s="40" t="n">
        <x:v>19.4</x:v>
      </x:c>
      <x:c r="H5292" s="40" t="n">
        <x:f>F5292-E5292</x:f>
        <x:v>-1.330324554443358</x:v>
      </x:c>
      <x:c r="I5292" s="40" t="n">
        <x:f>ABS(H5292)</x:f>
        <x:v>1.330324554443358</x:v>
      </x:c>
      <x:c r="J5292" s="40" t="n">
        <x:f>H5292^2</x:f>
        <x:v>1.7697634201549188</x:v>
      </x:c>
      <x:c r="K5292" s="40" t="n">
        <x:f>G5292-E5292</x:f>
        <x:v>0</x:v>
      </x:c>
      <x:c r="L5292" s="40" t="n">
        <x:f>ABS(K5292)</x:f>
        <x:v>0</x:v>
      </x:c>
      <x:c r="M5292" s="41" t="str">
        <x:v>lstm-soil-v1</x:v>
      </x:c>
    </x:row>
    <x:row r="5293">
      <x:c r="A5293" s="38" t="str">
        <x:v>7月30日现场数据</x:v>
      </x:c>
      <x:c r="B5293" s="39" t="str">
        <x:v>2026-08-05T03:45:00</x:v>
      </x:c>
      <x:c r="C5293" s="39" t="str">
        <x:v>2026-08-05T04:00:00</x:v>
      </x:c>
      <x:c r="D5293" s="47" t="n">
        <x:v>15</x:v>
      </x:c>
      <x:c r="E5293" s="40" t="n">
        <x:v>19.4</x:v>
      </x:c>
      <x:c r="F5293" s="40" t="n">
        <x:v>18.160385131835938</x:v>
      </x:c>
      <x:c r="G5293" s="40" t="n">
        <x:v>19.4</x:v>
      </x:c>
      <x:c r="H5293" s="40" t="n">
        <x:f>F5293-E5293</x:f>
        <x:v>-1.239614868164061</x:v>
      </x:c>
      <x:c r="I5293" s="40" t="n">
        <x:f>ABS(H5293)</x:f>
        <x:v>1.239614868164061</x:v>
      </x:c>
      <x:c r="J5293" s="40" t="n">
        <x:f>H5293^2</x:f>
        <x:v>1.5366450213734024</x:v>
      </x:c>
      <x:c r="K5293" s="40" t="n">
        <x:f>G5293-E5293</x:f>
        <x:v>0</x:v>
      </x:c>
      <x:c r="L5293" s="40" t="n">
        <x:f>ABS(K5293)</x:f>
        <x:v>0</x:v>
      </x:c>
      <x:c r="M5293" s="41" t="str">
        <x:v>lstm-soil-v1</x:v>
      </x:c>
    </x:row>
    <x:row r="5294">
      <x:c r="A5294" s="38" t="str">
        <x:v>7月30日现场数据</x:v>
      </x:c>
      <x:c r="B5294" s="39" t="str">
        <x:v>2026-08-05T03:45:00</x:v>
      </x:c>
      <x:c r="C5294" s="39" t="str">
        <x:v>2026-08-05T04:15:00</x:v>
      </x:c>
      <x:c r="D5294" s="47" t="n">
        <x:v>30</x:v>
      </x:c>
      <x:c r="E5294" s="40" t="n">
        <x:v>19.3</x:v>
      </x:c>
      <x:c r="F5294" s="40" t="n">
        <x:v>18.501182556152344</x:v>
      </x:c>
      <x:c r="G5294" s="40" t="n">
        <x:v>19.4</x:v>
      </x:c>
      <x:c r="H5294" s="40" t="n">
        <x:f>F5294-E5294</x:f>
        <x:v>-0.798817443847657</x:v>
      </x:c>
      <x:c r="I5294" s="40" t="n">
        <x:f>ABS(H5294)</x:f>
        <x:v>0.798817443847657</x:v>
      </x:c>
      <x:c r="J5294" s="40" t="n">
        <x:f>H5294^2</x:f>
        <x:v>0.6381093085953046</x:v>
      </x:c>
      <x:c r="K5294" s="40" t="n">
        <x:f>G5294-E5294</x:f>
        <x:v>0.09999999999999787</x:v>
      </x:c>
      <x:c r="L5294" s="40" t="n">
        <x:f>ABS(K5294)</x:f>
        <x:v>0.09999999999999787</x:v>
      </x:c>
      <x:c r="M5294" s="41" t="str">
        <x:v>lstm-soil-v1</x:v>
      </x:c>
    </x:row>
    <x:row r="5295">
      <x:c r="A5295" s="38" t="str">
        <x:v>7月30日现场数据</x:v>
      </x:c>
      <x:c r="B5295" s="39" t="str">
        <x:v>2026-08-05T03:45:00</x:v>
      </x:c>
      <x:c r="C5295" s="39" t="str">
        <x:v>2026-08-05T04:45:00</x:v>
      </x:c>
      <x:c r="D5295" s="47" t="n">
        <x:v>60</x:v>
      </x:c>
      <x:c r="E5295" s="40" t="n">
        <x:v>19.2</x:v>
      </x:c>
      <x:c r="F5295" s="40" t="n">
        <x:v>20.144107818603516</x:v>
      </x:c>
      <x:c r="G5295" s="40" t="n">
        <x:v>19.4</x:v>
      </x:c>
      <x:c r="H5295" s="40" t="n">
        <x:f>F5295-E5295</x:f>
        <x:v>0.9441078186035163</x:v>
      </x:c>
      <x:c r="I5295" s="40" t="n">
        <x:f>ABS(H5295)</x:f>
        <x:v>0.9441078186035163</x:v>
      </x:c>
      <x:c r="J5295" s="40" t="n">
        <x:f>H5295^2</x:f>
        <x:v>0.8913395731482902</x:v>
      </x:c>
      <x:c r="K5295" s="40" t="n">
        <x:f>G5295-E5295</x:f>
        <x:v>0.1999999999999993</x:v>
      </x:c>
      <x:c r="L5295" s="40" t="n">
        <x:f>ABS(K5295)</x:f>
        <x:v>0.1999999999999993</x:v>
      </x:c>
      <x:c r="M5295" s="41" t="str">
        <x:v>lstm-soil-v1</x:v>
      </x:c>
    </x:row>
    <x:row r="5296">
      <x:c r="A5296" s="38" t="str">
        <x:v>7月30日现场数据</x:v>
      </x:c>
      <x:c r="B5296" s="39" t="str">
        <x:v>2026-08-05T03:50:00</x:v>
      </x:c>
      <x:c r="C5296" s="39" t="str">
        <x:v>2026-08-05T03:55:00</x:v>
      </x:c>
      <x:c r="D5296" s="47" t="n">
        <x:v>5</x:v>
      </x:c>
      <x:c r="E5296" s="40" t="n">
        <x:v>19.4</x:v>
      </x:c>
      <x:c r="F5296" s="40" t="n">
        <x:v>18.069992065429688</x:v>
      </x:c>
      <x:c r="G5296" s="40" t="n">
        <x:v>19.4</x:v>
      </x:c>
      <x:c r="H5296" s="40" t="n">
        <x:f>F5296-E5296</x:f>
        <x:v>-1.330007934570311</x:v>
      </x:c>
      <x:c r="I5296" s="40" t="n">
        <x:f>ABS(H5296)</x:f>
        <x:v>1.330007934570311</x:v>
      </x:c>
      <x:c r="J5296" s="40" t="n">
        <x:f>H5296^2</x:f>
        <x:v>1.768921106019985</x:v>
      </x:c>
      <x:c r="K5296" s="40" t="n">
        <x:f>G5296-E5296</x:f>
        <x:v>0</x:v>
      </x:c>
      <x:c r="L5296" s="40" t="n">
        <x:f>ABS(K5296)</x:f>
        <x:v>0</x:v>
      </x:c>
      <x:c r="M5296" s="41" t="str">
        <x:v>lstm-soil-v1</x:v>
      </x:c>
    </x:row>
    <x:row r="5297">
      <x:c r="A5297" s="38" t="str">
        <x:v>7月30日现场数据</x:v>
      </x:c>
      <x:c r="B5297" s="39" t="str">
        <x:v>2026-08-05T03:50:00</x:v>
      </x:c>
      <x:c r="C5297" s="39" t="str">
        <x:v>2026-08-05T04:05:00</x:v>
      </x:c>
      <x:c r="D5297" s="47" t="n">
        <x:v>15</x:v>
      </x:c>
      <x:c r="E5297" s="40" t="n">
        <x:v>19.3</x:v>
      </x:c>
      <x:c r="F5297" s="40" t="n">
        <x:v>18.16045379638672</x:v>
      </x:c>
      <x:c r="G5297" s="40" t="n">
        <x:v>19.4</x:v>
      </x:c>
      <x:c r="H5297" s="40" t="n">
        <x:f>F5297-E5297</x:f>
        <x:v>-1.139546203613282</x:v>
      </x:c>
      <x:c r="I5297" s="40" t="n">
        <x:f>ABS(H5297)</x:f>
        <x:v>1.139546203613282</x:v>
      </x:c>
      <x:c r="J5297" s="40" t="n">
        <x:f>H5297^2</x:f>
        <x:v>1.2985655501694435</x:v>
      </x:c>
      <x:c r="K5297" s="40" t="n">
        <x:f>G5297-E5297</x:f>
        <x:v>0.09999999999999787</x:v>
      </x:c>
      <x:c r="L5297" s="40" t="n">
        <x:f>ABS(K5297)</x:f>
        <x:v>0.09999999999999787</x:v>
      </x:c>
      <x:c r="M5297" s="41" t="str">
        <x:v>lstm-soil-v1</x:v>
      </x:c>
    </x:row>
    <x:row r="5298">
      <x:c r="A5298" s="38" t="str">
        <x:v>7月30日现场数据</x:v>
      </x:c>
      <x:c r="B5298" s="39" t="str">
        <x:v>2026-08-05T03:50:00</x:v>
      </x:c>
      <x:c r="C5298" s="39" t="str">
        <x:v>2026-08-05T04:20:00</x:v>
      </x:c>
      <x:c r="D5298" s="47" t="n">
        <x:v>30</x:v>
      </x:c>
      <x:c r="E5298" s="40" t="n">
        <x:v>19.3</x:v>
      </x:c>
      <x:c r="F5298" s="40" t="n">
        <x:v>18.502445220947266</x:v>
      </x:c>
      <x:c r="G5298" s="40" t="n">
        <x:v>19.4</x:v>
      </x:c>
      <x:c r="H5298" s="40" t="n">
        <x:f>F5298-E5298</x:f>
        <x:v>-0.7975547790527351</x:v>
      </x:c>
      <x:c r="I5298" s="40" t="n">
        <x:f>ABS(H5298)</x:f>
        <x:v>0.7975547790527351</x:v>
      </x:c>
      <x:c r="J5298" s="40" t="n">
        <x:f>H5298^2</x:f>
        <x:v>0.636093625589857</x:v>
      </x:c>
      <x:c r="K5298" s="40" t="n">
        <x:f>G5298-E5298</x:f>
        <x:v>0.09999999999999787</x:v>
      </x:c>
      <x:c r="L5298" s="40" t="n">
        <x:f>ABS(K5298)</x:f>
        <x:v>0.09999999999999787</x:v>
      </x:c>
      <x:c r="M5298" s="41" t="str">
        <x:v>lstm-soil-v1</x:v>
      </x:c>
    </x:row>
    <x:row r="5299">
      <x:c r="A5299" s="38" t="str">
        <x:v>7月30日现场数据</x:v>
      </x:c>
      <x:c r="B5299" s="39" t="str">
        <x:v>2026-08-05T03:50:00</x:v>
      </x:c>
      <x:c r="C5299" s="39" t="str">
        <x:v>2026-08-05T04:50:00</x:v>
      </x:c>
      <x:c r="D5299" s="47" t="n">
        <x:v>60</x:v>
      </x:c>
      <x:c r="E5299" s="40" t="n">
        <x:v>19.2</x:v>
      </x:c>
      <x:c r="F5299" s="40" t="n">
        <x:v>20.14471435546875</x:v>
      </x:c>
      <x:c r="G5299" s="40" t="n">
        <x:v>19.4</x:v>
      </x:c>
      <x:c r="H5299" s="40" t="n">
        <x:f>F5299-E5299</x:f>
        <x:v>0.9447143554687507</x:v>
      </x:c>
      <x:c r="I5299" s="40" t="n">
        <x:f>ABS(H5299)</x:f>
        <x:v>0.9447143554687507</x:v>
      </x:c>
      <x:c r="J5299" s="40" t="n">
        <x:f>H5299^2</x:f>
        <x:v>0.8924852134287371</x:v>
      </x:c>
      <x:c r="K5299" s="40" t="n">
        <x:f>G5299-E5299</x:f>
        <x:v>0.1999999999999993</x:v>
      </x:c>
      <x:c r="L5299" s="40" t="n">
        <x:f>ABS(K5299)</x:f>
        <x:v>0.1999999999999993</x:v>
      </x:c>
      <x:c r="M5299" s="41" t="str">
        <x:v>lstm-soil-v1</x:v>
      </x:c>
    </x:row>
    <x:row r="5300">
      <x:c r="A5300" s="38" t="str">
        <x:v>7月30日现场数据</x:v>
      </x:c>
      <x:c r="B5300" s="39" t="str">
        <x:v>2026-08-05T03:55:00</x:v>
      </x:c>
      <x:c r="C5300" s="39" t="str">
        <x:v>2026-08-05T04:00:00</x:v>
      </x:c>
      <x:c r="D5300" s="47" t="n">
        <x:v>5</x:v>
      </x:c>
      <x:c r="E5300" s="40" t="n">
        <x:v>19.4</x:v>
      </x:c>
      <x:c r="F5300" s="40" t="n">
        <x:v>18.070327758789062</x:v>
      </x:c>
      <x:c r="G5300" s="40" t="n">
        <x:v>19.4</x:v>
      </x:c>
      <x:c r="H5300" s="40" t="n">
        <x:f>F5300-E5300</x:f>
        <x:v>-1.329672241210936</x:v>
      </x:c>
      <x:c r="I5300" s="40" t="n">
        <x:f>ABS(H5300)</x:f>
        <x:v>1.329672241210936</x:v>
      </x:c>
      <x:c r="J5300" s="40" t="n">
        <x:f>H5300^2</x:f>
        <x:v>1.7680282690469138</x:v>
      </x:c>
      <x:c r="K5300" s="40" t="n">
        <x:f>G5300-E5300</x:f>
        <x:v>0</x:v>
      </x:c>
      <x:c r="L5300" s="40" t="n">
        <x:f>ABS(K5300)</x:f>
        <x:v>0</x:v>
      </x:c>
      <x:c r="M5300" s="41" t="str">
        <x:v>lstm-soil-v1</x:v>
      </x:c>
    </x:row>
    <x:row r="5301">
      <x:c r="A5301" s="38" t="str">
        <x:v>7月30日现场数据</x:v>
      </x:c>
      <x:c r="B5301" s="39" t="str">
        <x:v>2026-08-05T03:55:00</x:v>
      </x:c>
      <x:c r="C5301" s="39" t="str">
        <x:v>2026-08-05T04:10:00</x:v>
      </x:c>
      <x:c r="D5301" s="47" t="n">
        <x:v>15</x:v>
      </x:c>
      <x:c r="E5301" s="40" t="n">
        <x:v>19.3</x:v>
      </x:c>
      <x:c r="F5301" s="40" t="n">
        <x:v>18.16054916381836</x:v>
      </x:c>
      <x:c r="G5301" s="40" t="n">
        <x:v>19.4</x:v>
      </x:c>
      <x:c r="H5301" s="40" t="n">
        <x:f>F5301-E5301</x:f>
        <x:v>-1.1394508361816413</x:v>
      </x:c>
      <x:c r="I5301" s="40" t="n">
        <x:f>ABS(H5301)</x:f>
        <x:v>1.1394508361816413</x:v>
      </x:c>
      <x:c r="J5301" s="40" t="n">
        <x:f>H5301^2</x:f>
        <x:v>1.2983482080750417</x:v>
      </x:c>
      <x:c r="K5301" s="40" t="n">
        <x:f>G5301-E5301</x:f>
        <x:v>0.09999999999999787</x:v>
      </x:c>
      <x:c r="L5301" s="40" t="n">
        <x:f>ABS(K5301)</x:f>
        <x:v>0.09999999999999787</x:v>
      </x:c>
      <x:c r="M5301" s="41" t="str">
        <x:v>lstm-soil-v1</x:v>
      </x:c>
    </x:row>
    <x:row r="5302">
      <x:c r="A5302" s="38" t="str">
        <x:v>7月30日现场数据</x:v>
      </x:c>
      <x:c r="B5302" s="39" t="str">
        <x:v>2026-08-05T03:55:00</x:v>
      </x:c>
      <x:c r="C5302" s="39" t="str">
        <x:v>2026-08-05T04:25:00</x:v>
      </x:c>
      <x:c r="D5302" s="47" t="n">
        <x:v>30</x:v>
      </x:c>
      <x:c r="E5302" s="40" t="n">
        <x:v>19.3</x:v>
      </x:c>
      <x:c r="F5302" s="40" t="n">
        <x:v>18.50360870361328</x:v>
      </x:c>
      <x:c r="G5302" s="40" t="n">
        <x:v>19.4</x:v>
      </x:c>
      <x:c r="H5302" s="40" t="n">
        <x:f>F5302-E5302</x:f>
        <x:v>-0.7963912963867195</x:v>
      </x:c>
      <x:c r="I5302" s="40" t="n">
        <x:f>ABS(H5302)</x:f>
        <x:v>0.7963912963867195</x:v>
      </x:c>
      <x:c r="J5302" s="40" t="n">
        <x:f>H5302^2</x:f>
        <x:v>0.6342390969605196</x:v>
      </x:c>
      <x:c r="K5302" s="40" t="n">
        <x:f>G5302-E5302</x:f>
        <x:v>0.09999999999999787</x:v>
      </x:c>
      <x:c r="L5302" s="40" t="n">
        <x:f>ABS(K5302)</x:f>
        <x:v>0.09999999999999787</x:v>
      </x:c>
      <x:c r="M5302" s="41" t="str">
        <x:v>lstm-soil-v1</x:v>
      </x:c>
    </x:row>
    <x:row r="5303">
      <x:c r="A5303" s="38" t="str">
        <x:v>7月30日现场数据</x:v>
      </x:c>
      <x:c r="B5303" s="39" t="str">
        <x:v>2026-08-05T03:55:00</x:v>
      </x:c>
      <x:c r="C5303" s="39" t="str">
        <x:v>2026-08-05T04:55:00</x:v>
      </x:c>
      <x:c r="D5303" s="47" t="n">
        <x:v>60</x:v>
      </x:c>
      <x:c r="E5303" s="40" t="n">
        <x:v>19.2</x:v>
      </x:c>
      <x:c r="F5303" s="40" t="n">
        <x:v>20.145328521728516</x:v>
      </x:c>
      <x:c r="G5303" s="40" t="n">
        <x:v>19.4</x:v>
      </x:c>
      <x:c r="H5303" s="40" t="n">
        <x:f>F5303-E5303</x:f>
        <x:v>0.9453285217285163</x:v>
      </x:c>
      <x:c r="I5303" s="40" t="n">
        <x:f>ABS(H5303)</x:f>
        <x:v>0.9453285217285163</x:v>
      </x:c>
      <x:c r="J5303" s="40" t="n">
        <x:f>H5303^2</x:f>
        <x:v>0.893646013993422</x:v>
      </x:c>
      <x:c r="K5303" s="40" t="n">
        <x:f>G5303-E5303</x:f>
        <x:v>0.1999999999999993</x:v>
      </x:c>
      <x:c r="L5303" s="40" t="n">
        <x:f>ABS(K5303)</x:f>
        <x:v>0.1999999999999993</x:v>
      </x:c>
      <x:c r="M5303" s="41" t="str">
        <x:v>lstm-soil-v1</x:v>
      </x:c>
    </x:row>
    <x:row r="5304">
      <x:c r="A5304" s="38" t="str">
        <x:v>7月30日现场数据</x:v>
      </x:c>
      <x:c r="B5304" s="39" t="str">
        <x:v>2026-08-05T04:00:00</x:v>
      </x:c>
      <x:c r="C5304" s="39" t="str">
        <x:v>2026-08-05T04:05:00</x:v>
      </x:c>
      <x:c r="D5304" s="47" t="n">
        <x:v>5</x:v>
      </x:c>
      <x:c r="E5304" s="40" t="n">
        <x:v>19.3</x:v>
      </x:c>
      <x:c r="F5304" s="40" t="n">
        <x:v>18.068824768066406</x:v>
      </x:c>
      <x:c r="G5304" s="40" t="n">
        <x:v>19.4</x:v>
      </x:c>
      <x:c r="H5304" s="40" t="n">
        <x:f>F5304-E5304</x:f>
        <x:v>-1.2311752319335945</x:v>
      </x:c>
      <x:c r="I5304" s="40" t="n">
        <x:f>ABS(H5304)</x:f>
        <x:v>1.2311752319335945</x:v>
      </x:c>
      <x:c r="J5304" s="40" t="n">
        <x:f>H5304^2</x:f>
        <x:v>1.51579245172674</x:v>
      </x:c>
      <x:c r="K5304" s="40" t="n">
        <x:f>G5304-E5304</x:f>
        <x:v>0.09999999999999787</x:v>
      </x:c>
      <x:c r="L5304" s="40" t="n">
        <x:f>ABS(K5304)</x:f>
        <x:v>0.09999999999999787</x:v>
      </x:c>
      <x:c r="M5304" s="41" t="str">
        <x:v>lstm-soil-v1</x:v>
      </x:c>
    </x:row>
    <x:row r="5305">
      <x:c r="A5305" s="38" t="str">
        <x:v>7月30日现场数据</x:v>
      </x:c>
      <x:c r="B5305" s="39" t="str">
        <x:v>2026-08-05T04:00:00</x:v>
      </x:c>
      <x:c r="C5305" s="39" t="str">
        <x:v>2026-08-05T04:15:00</x:v>
      </x:c>
      <x:c r="D5305" s="47" t="n">
        <x:v>15</x:v>
      </x:c>
      <x:c r="E5305" s="40" t="n">
        <x:v>19.3</x:v>
      </x:c>
      <x:c r="F5305" s="40" t="n">
        <x:v>18.158504486083984</x:v>
      </x:c>
      <x:c r="G5305" s="40" t="n">
        <x:v>19.4</x:v>
      </x:c>
      <x:c r="H5305" s="40" t="n">
        <x:f>F5305-E5305</x:f>
        <x:v>-1.1414955139160163</x:v>
      </x:c>
      <x:c r="I5305" s="40" t="n">
        <x:f>ABS(H5305)</x:f>
        <x:v>1.1414955139160163</x:v>
      </x:c>
      <x:c r="J5305" s="40" t="n">
        <x:f>H5305^2</x:f>
        <x:v>1.3030120082903902</x:v>
      </x:c>
      <x:c r="K5305" s="40" t="n">
        <x:f>G5305-E5305</x:f>
        <x:v>0.09999999999999787</x:v>
      </x:c>
      <x:c r="L5305" s="40" t="n">
        <x:f>ABS(K5305)</x:f>
        <x:v>0.09999999999999787</x:v>
      </x:c>
      <x:c r="M5305" s="41" t="str">
        <x:v>lstm-soil-v1</x:v>
      </x:c>
    </x:row>
    <x:row r="5306">
      <x:c r="A5306" s="38" t="str">
        <x:v>7月30日现场数据</x:v>
      </x:c>
      <x:c r="B5306" s="39" t="str">
        <x:v>2026-08-05T04:00:00</x:v>
      </x:c>
      <x:c r="C5306" s="39" t="str">
        <x:v>2026-08-05T04:30:00</x:v>
      </x:c>
      <x:c r="D5306" s="47" t="n">
        <x:v>30</x:v>
      </x:c>
      <x:c r="E5306" s="40" t="n">
        <x:v>19.2</x:v>
      </x:c>
      <x:c r="F5306" s="40" t="n">
        <x:v>18.502613067626953</x:v>
      </x:c>
      <x:c r="G5306" s="40" t="n">
        <x:v>19.4</x:v>
      </x:c>
      <x:c r="H5306" s="40" t="n">
        <x:f>F5306-E5306</x:f>
        <x:v>-0.6973869323730462</x:v>
      </x:c>
      <x:c r="I5306" s="40" t="n">
        <x:f>ABS(H5306)</x:f>
        <x:v>0.6973869323730462</x:v>
      </x:c>
      <x:c r="J5306" s="40" t="n">
        <x:f>H5306^2</x:f>
        <x:v>0.48634853344468765</x:v>
      </x:c>
      <x:c r="K5306" s="40" t="n">
        <x:f>G5306-E5306</x:f>
        <x:v>0.1999999999999993</x:v>
      </x:c>
      <x:c r="L5306" s="40" t="n">
        <x:f>ABS(K5306)</x:f>
        <x:v>0.1999999999999993</x:v>
      </x:c>
      <x:c r="M5306" s="41" t="str">
        <x:v>lstm-soil-v1</x:v>
      </x:c>
    </x:row>
    <x:row r="5307">
      <x:c r="A5307" s="38" t="str">
        <x:v>7月30日现场数据</x:v>
      </x:c>
      <x:c r="B5307" s="39" t="str">
        <x:v>2026-08-05T04:00:00</x:v>
      </x:c>
      <x:c r="C5307" s="39" t="str">
        <x:v>2026-08-05T05:00:00</x:v>
      </x:c>
      <x:c r="D5307" s="47" t="n">
        <x:v>60</x:v>
      </x:c>
      <x:c r="E5307" s="40" t="n">
        <x:v>19.2</x:v>
      </x:c>
      <x:c r="F5307" s="40" t="n">
        <x:v>20.145408630371094</x:v>
      </x:c>
      <x:c r="G5307" s="40" t="n">
        <x:v>19.4</x:v>
      </x:c>
      <x:c r="H5307" s="40" t="n">
        <x:f>F5307-E5307</x:f>
        <x:v>0.9454086303710945</x:v>
      </x:c>
      <x:c r="I5307" s="40" t="n">
        <x:f>ABS(H5307)</x:f>
        <x:v>0.9454086303710945</x:v>
      </x:c>
      <x:c r="J5307" s="40" t="n">
        <x:f>H5307^2</x:f>
        <x:v>0.8937974783801487</x:v>
      </x:c>
      <x:c r="K5307" s="40" t="n">
        <x:f>G5307-E5307</x:f>
        <x:v>0.1999999999999993</x:v>
      </x:c>
      <x:c r="L5307" s="40" t="n">
        <x:f>ABS(K5307)</x:f>
        <x:v>0.1999999999999993</x:v>
      </x:c>
      <x:c r="M5307" s="41" t="str">
        <x:v>lstm-soil-v1</x:v>
      </x:c>
    </x:row>
    <x:row r="5308">
      <x:c r="A5308" s="38" t="str">
        <x:v>7月30日现场数据</x:v>
      </x:c>
      <x:c r="B5308" s="39" t="str">
        <x:v>2026-08-05T04:05:00</x:v>
      </x:c>
      <x:c r="C5308" s="39" t="str">
        <x:v>2026-08-05T04:10:00</x:v>
      </x:c>
      <x:c r="D5308" s="47" t="n">
        <x:v>5</x:v>
      </x:c>
      <x:c r="E5308" s="40" t="n">
        <x:v>19.3</x:v>
      </x:c>
      <x:c r="F5308" s="40" t="n">
        <x:v>17.95754623413086</x:v>
      </x:c>
      <x:c r="G5308" s="40" t="n">
        <x:v>19.3</x:v>
      </x:c>
      <x:c r="H5308" s="40" t="n">
        <x:f>F5308-E5308</x:f>
        <x:v>-1.3424537658691413</x:v>
      </x:c>
      <x:c r="I5308" s="40" t="n">
        <x:f>ABS(H5308)</x:f>
        <x:v>1.3424537658691413</x:v>
      </x:c>
      <x:c r="J5308" s="40" t="n">
        <x:f>H5308^2</x:f>
        <x:v>1.8021821134962392</x:v>
      </x:c>
      <x:c r="K5308" s="40" t="n">
        <x:f>G5308-E5308</x:f>
        <x:v>0</x:v>
      </x:c>
      <x:c r="L5308" s="40" t="n">
        <x:f>ABS(K5308)</x:f>
        <x:v>0</x:v>
      </x:c>
      <x:c r="M5308" s="41" t="str">
        <x:v>lstm-soil-v1</x:v>
      </x:c>
    </x:row>
    <x:row r="5309">
      <x:c r="A5309" s="38" t="str">
        <x:v>7月30日现场数据</x:v>
      </x:c>
      <x:c r="B5309" s="39" t="str">
        <x:v>2026-08-05T04:05:00</x:v>
      </x:c>
      <x:c r="C5309" s="39" t="str">
        <x:v>2026-08-05T04:20:00</x:v>
      </x:c>
      <x:c r="D5309" s="47" t="n">
        <x:v>15</x:v>
      </x:c>
      <x:c r="E5309" s="40" t="n">
        <x:v>19.3</x:v>
      </x:c>
      <x:c r="F5309" s="40" t="n">
        <x:v>18.047889709472656</x:v>
      </x:c>
      <x:c r="G5309" s="40" t="n">
        <x:v>19.3</x:v>
      </x:c>
      <x:c r="H5309" s="40" t="n">
        <x:f>F5309-E5309</x:f>
        <x:v>-1.2521102905273445</x:v>
      </x:c>
      <x:c r="I5309" s="40" t="n">
        <x:f>ABS(H5309)</x:f>
        <x:v>1.2521102905273445</x:v>
      </x:c>
      <x:c r="J5309" s="40" t="n">
        <x:f>H5309^2</x:f>
        <x:v>1.567780179644471</x:v>
      </x:c>
      <x:c r="K5309" s="40" t="n">
        <x:f>G5309-E5309</x:f>
        <x:v>0</x:v>
      </x:c>
      <x:c r="L5309" s="40" t="n">
        <x:f>ABS(K5309)</x:f>
        <x:v>0</x:v>
      </x:c>
      <x:c r="M5309" s="41" t="str">
        <x:v>lstm-soil-v1</x:v>
      </x:c>
    </x:row>
    <x:row r="5310">
      <x:c r="A5310" s="38" t="str">
        <x:v>7月30日现场数据</x:v>
      </x:c>
      <x:c r="B5310" s="39" t="str">
        <x:v>2026-08-05T04:05:00</x:v>
      </x:c>
      <x:c r="C5310" s="39" t="str">
        <x:v>2026-08-05T04:35:00</x:v>
      </x:c>
      <x:c r="D5310" s="47" t="n">
        <x:v>30</x:v>
      </x:c>
      <x:c r="E5310" s="40" t="n">
        <x:v>19.2</x:v>
      </x:c>
      <x:c r="F5310" s="40" t="n">
        <x:v>18.393333435058594</x:v>
      </x:c>
      <x:c r="G5310" s="40" t="n">
        <x:v>19.3</x:v>
      </x:c>
      <x:c r="H5310" s="40" t="n">
        <x:f>F5310-E5310</x:f>
        <x:v>-0.8066665649414055</x:v>
      </x:c>
      <x:c r="I5310" s="40" t="n">
        <x:f>ABS(H5310)</x:f>
        <x:v>0.8066665649414055</x:v>
      </x:c>
      <x:c r="J5310" s="40" t="n">
        <x:f>H5310^2</x:f>
        <x:v>0.6507109469943668</x:v>
      </x:c>
      <x:c r="K5310" s="40" t="n">
        <x:f>G5310-E5310</x:f>
        <x:v>0.10000000000000142</x:v>
      </x:c>
      <x:c r="L5310" s="40" t="n">
        <x:f>ABS(K5310)</x:f>
        <x:v>0.10000000000000142</x:v>
      </x:c>
      <x:c r="M5310" s="41" t="str">
        <x:v>lstm-soil-v1</x:v>
      </x:c>
    </x:row>
    <x:row r="5311">
      <x:c r="A5311" s="38" t="str">
        <x:v>7月30日现场数据</x:v>
      </x:c>
      <x:c r="B5311" s="39" t="str">
        <x:v>2026-08-05T04:05:00</x:v>
      </x:c>
      <x:c r="C5311" s="39" t="str">
        <x:v>2026-08-05T05:05:00</x:v>
      </x:c>
      <x:c r="D5311" s="47" t="n">
        <x:v>60</x:v>
      </x:c>
      <x:c r="E5311" s="40" t="n">
        <x:v>19.1</x:v>
      </x:c>
      <x:c r="F5311" s="40" t="n">
        <x:v>20.034618377685547</x:v>
      </x:c>
      <x:c r="G5311" s="40" t="n">
        <x:v>19.3</x:v>
      </x:c>
      <x:c r="H5311" s="40" t="n">
        <x:f>F5311-E5311</x:f>
        <x:v>0.9346183776855455</x:v>
      </x:c>
      <x:c r="I5311" s="40" t="n">
        <x:f>ABS(H5311)</x:f>
        <x:v>0.9346183776855455</x:v>
      </x:c>
      <x:c r="J5311" s="40" t="n">
        <x:f>H5311^2</x:f>
        <x:v>0.8735115119075609</x:v>
      </x:c>
      <x:c r="K5311" s="40" t="n">
        <x:f>G5311-E5311</x:f>
        <x:v>0.1999999999999993</x:v>
      </x:c>
      <x:c r="L5311" s="40" t="n">
        <x:f>ABS(K5311)</x:f>
        <x:v>0.1999999999999993</x:v>
      </x:c>
      <x:c r="M5311" s="41" t="str">
        <x:v>lstm-soil-v1</x:v>
      </x:c>
    </x:row>
    <x:row r="5312">
      <x:c r="A5312" s="38" t="str">
        <x:v>7月30日现场数据</x:v>
      </x:c>
      <x:c r="B5312" s="39" t="str">
        <x:v>2026-08-05T04:10:00</x:v>
      </x:c>
      <x:c r="C5312" s="39" t="str">
        <x:v>2026-08-05T04:15:00</x:v>
      </x:c>
      <x:c r="D5312" s="47" t="n">
        <x:v>5</x:v>
      </x:c>
      <x:c r="E5312" s="40" t="n">
        <x:v>19.3</x:v>
      </x:c>
      <x:c r="F5312" s="40" t="n">
        <x:v>17.95736312866211</x:v>
      </x:c>
      <x:c r="G5312" s="40" t="n">
        <x:v>19.3</x:v>
      </x:c>
      <x:c r="H5312" s="40" t="n">
        <x:f>F5312-E5312</x:f>
        <x:v>-1.3426368713378913</x:v>
      </x:c>
      <x:c r="I5312" s="40" t="n">
        <x:f>ABS(H5312)</x:f>
        <x:v>1.3426368713378913</x:v>
      </x:c>
      <x:c r="J5312" s="40" t="n">
        <x:f>H5312^2</x:f>
        <x:v>1.8026737682760015</x:v>
      </x:c>
      <x:c r="K5312" s="40" t="n">
        <x:f>G5312-E5312</x:f>
        <x:v>0</x:v>
      </x:c>
      <x:c r="L5312" s="40" t="n">
        <x:f>ABS(K5312)</x:f>
        <x:v>0</x:v>
      </x:c>
      <x:c r="M5312" s="41" t="str">
        <x:v>lstm-soil-v1</x:v>
      </x:c>
    </x:row>
    <x:row r="5313">
      <x:c r="A5313" s="38" t="str">
        <x:v>7月30日现场数据</x:v>
      </x:c>
      <x:c r="B5313" s="39" t="str">
        <x:v>2026-08-05T04:10:00</x:v>
      </x:c>
      <x:c r="C5313" s="39" t="str">
        <x:v>2026-08-05T04:25:00</x:v>
      </x:c>
      <x:c r="D5313" s="47" t="n">
        <x:v>15</x:v>
      </x:c>
      <x:c r="E5313" s="40" t="n">
        <x:v>19.3</x:v>
      </x:c>
      <x:c r="F5313" s="40" t="n">
        <x:v>18.04825210571289</x:v>
      </x:c>
      <x:c r="G5313" s="40" t="n">
        <x:v>19.3</x:v>
      </x:c>
      <x:c r="H5313" s="40" t="n">
        <x:f>F5313-E5313</x:f>
        <x:v>-1.25174789428711</x:v>
      </x:c>
      <x:c r="I5313" s="40" t="n">
        <x:f>ABS(H5313)</x:f>
        <x:v>1.25174789428711</x:v>
      </x:c>
      <x:c r="J5313" s="40" t="n">
        <x:f>H5313^2</x:f>
        <x:v>1.5668727908522142</x:v>
      </x:c>
      <x:c r="K5313" s="40" t="n">
        <x:f>G5313-E5313</x:f>
        <x:v>0</x:v>
      </x:c>
      <x:c r="L5313" s="40" t="n">
        <x:f>ABS(K5313)</x:f>
        <x:v>0</x:v>
      </x:c>
      <x:c r="M5313" s="41" t="str">
        <x:v>lstm-soil-v1</x:v>
      </x:c>
    </x:row>
    <x:row r="5314">
      <x:c r="A5314" s="38" t="str">
        <x:v>7月30日现场数据</x:v>
      </x:c>
      <x:c r="B5314" s="39" t="str">
        <x:v>2026-08-05T04:10:00</x:v>
      </x:c>
      <x:c r="C5314" s="39" t="str">
        <x:v>2026-08-05T04:40:00</x:v>
      </x:c>
      <x:c r="D5314" s="47" t="n">
        <x:v>30</x:v>
      </x:c>
      <x:c r="E5314" s="40" t="n">
        <x:v>19.2</x:v>
      </x:c>
      <x:c r="F5314" s="40" t="n">
        <x:v>18.395126342773438</x:v>
      </x:c>
      <x:c r="G5314" s="40" t="n">
        <x:v>19.3</x:v>
      </x:c>
      <x:c r="H5314" s="40" t="n">
        <x:f>F5314-E5314</x:f>
        <x:v>-0.8048736572265618</x:v>
      </x:c>
      <x:c r="I5314" s="40" t="n">
        <x:f>ABS(H5314)</x:f>
        <x:v>0.8048736572265618</x:v>
      </x:c>
      <x:c r="J5314" s="40" t="n">
        <x:f>H5314^2</x:f>
        <x:v>0.6478216040972609</x:v>
      </x:c>
      <x:c r="K5314" s="40" t="n">
        <x:f>G5314-E5314</x:f>
        <x:v>0.10000000000000142</x:v>
      </x:c>
      <x:c r="L5314" s="40" t="n">
        <x:f>ABS(K5314)</x:f>
        <x:v>0.10000000000000142</x:v>
      </x:c>
      <x:c r="M5314" s="41" t="str">
        <x:v>lstm-soil-v1</x:v>
      </x:c>
    </x:row>
    <x:row r="5315">
      <x:c r="A5315" s="38" t="str">
        <x:v>7月30日现场数据</x:v>
      </x:c>
      <x:c r="B5315" s="39" t="str">
        <x:v>2026-08-05T04:10:00</x:v>
      </x:c>
      <x:c r="C5315" s="39" t="str">
        <x:v>2026-08-05T05:10:00</x:v>
      </x:c>
      <x:c r="D5315" s="47" t="n">
        <x:v>60</x:v>
      </x:c>
      <x:c r="E5315" s="40" t="n">
        <x:v>19.1</x:v>
      </x:c>
      <x:c r="F5315" s="40" t="n">
        <x:v>20.034576416015625</x:v>
      </x:c>
      <x:c r="G5315" s="40" t="n">
        <x:v>19.3</x:v>
      </x:c>
      <x:c r="H5315" s="40" t="n">
        <x:f>F5315-E5315</x:f>
        <x:v>0.9345764160156236</x:v>
      </x:c>
      <x:c r="I5315" s="40" t="n">
        <x:f>ABS(H5315)</x:f>
        <x:v>0.9345764160156236</x:v>
      </x:c>
      <x:c r="J5315" s="40" t="n">
        <x:f>H5315^2</x:f>
        <x:v>0.8734330773726079</x:v>
      </x:c>
      <x:c r="K5315" s="40" t="n">
        <x:f>G5315-E5315</x:f>
        <x:v>0.1999999999999993</x:v>
      </x:c>
      <x:c r="L5315" s="40" t="n">
        <x:f>ABS(K5315)</x:f>
        <x:v>0.1999999999999993</x:v>
      </x:c>
      <x:c r="M5315" s="41" t="str">
        <x:v>lstm-soil-v1</x:v>
      </x:c>
    </x:row>
    <x:row r="5316">
      <x:c r="A5316" s="38" t="str">
        <x:v>7月30日现场数据</x:v>
      </x:c>
      <x:c r="B5316" s="39" t="str">
        <x:v>2026-08-05T04:15:00</x:v>
      </x:c>
      <x:c r="C5316" s="39" t="str">
        <x:v>2026-08-05T04:20:00</x:v>
      </x:c>
      <x:c r="D5316" s="47" t="n">
        <x:v>5</x:v>
      </x:c>
      <x:c r="E5316" s="40" t="n">
        <x:v>19.3</x:v>
      </x:c>
      <x:c r="F5316" s="40" t="n">
        <x:v>17.957782745361328</x:v>
      </x:c>
      <x:c r="G5316" s="40" t="n">
        <x:v>19.3</x:v>
      </x:c>
      <x:c r="H5316" s="40" t="n">
        <x:f>F5316-E5316</x:f>
        <x:v>-1.3422172546386726</x:v>
      </x:c>
      <x:c r="I5316" s="40" t="n">
        <x:f>ABS(H5316)</x:f>
        <x:v>1.3422172546386726</x:v>
      </x:c>
      <x:c r="J5316" s="40" t="n">
        <x:f>H5316^2</x:f>
        <x:v>1.8015471586497753</x:v>
      </x:c>
      <x:c r="K5316" s="40" t="n">
        <x:f>G5316-E5316</x:f>
        <x:v>0</x:v>
      </x:c>
      <x:c r="L5316" s="40" t="n">
        <x:f>ABS(K5316)</x:f>
        <x:v>0</x:v>
      </x:c>
      <x:c r="M5316" s="41" t="str">
        <x:v>lstm-soil-v1</x:v>
      </x:c>
    </x:row>
    <x:row r="5317">
      <x:c r="A5317" s="38" t="str">
        <x:v>7月30日现场数据</x:v>
      </x:c>
      <x:c r="B5317" s="39" t="str">
        <x:v>2026-08-05T04:15:00</x:v>
      </x:c>
      <x:c r="C5317" s="39" t="str">
        <x:v>2026-08-05T04:30:00</x:v>
      </x:c>
      <x:c r="D5317" s="47" t="n">
        <x:v>15</x:v>
      </x:c>
      <x:c r="E5317" s="40" t="n">
        <x:v>19.2</x:v>
      </x:c>
      <x:c r="F5317" s="40" t="n">
        <x:v>18.048927307128906</x:v>
      </x:c>
      <x:c r="G5317" s="40" t="n">
        <x:v>19.3</x:v>
      </x:c>
      <x:c r="H5317" s="40" t="n">
        <x:f>F5317-E5317</x:f>
        <x:v>-1.151072692871093</x:v>
      </x:c>
      <x:c r="I5317" s="40" t="n">
        <x:f>ABS(H5317)</x:f>
        <x:v>1.151072692871093</x:v>
      </x:c>
      <x:c r="J5317" s="40" t="n">
        <x:f>H5317^2</x:f>
        <x:v>1.3249683442735096</x:v>
      </x:c>
      <x:c r="K5317" s="40" t="n">
        <x:f>G5317-E5317</x:f>
        <x:v>0.10000000000000142</x:v>
      </x:c>
      <x:c r="L5317" s="40" t="n">
        <x:f>ABS(K5317)</x:f>
        <x:v>0.10000000000000142</x:v>
      </x:c>
      <x:c r="M5317" s="41" t="str">
        <x:v>lstm-soil-v1</x:v>
      </x:c>
    </x:row>
    <x:row r="5318">
      <x:c r="A5318" s="38" t="str">
        <x:v>7月30日现场数据</x:v>
      </x:c>
      <x:c r="B5318" s="39" t="str">
        <x:v>2026-08-05T04:15:00</x:v>
      </x:c>
      <x:c r="C5318" s="39" t="str">
        <x:v>2026-08-05T04:45:00</x:v>
      </x:c>
      <x:c r="D5318" s="47" t="n">
        <x:v>30</x:v>
      </x:c>
      <x:c r="E5318" s="40" t="n">
        <x:v>19.2</x:v>
      </x:c>
      <x:c r="F5318" s="40" t="n">
        <x:v>18.397140502929688</x:v>
      </x:c>
      <x:c r="G5318" s="40" t="n">
        <x:v>19.3</x:v>
      </x:c>
      <x:c r="H5318" s="40" t="n">
        <x:f>F5318-E5318</x:f>
        <x:v>-0.8028594970703118</x:v>
      </x:c>
      <x:c r="I5318" s="40" t="n">
        <x:f>ABS(H5318)</x:f>
        <x:v>0.8028594970703118</x:v>
      </x:c>
      <x:c r="J5318" s="40" t="n">
        <x:f>H5318^2</x:f>
        <x:v>0.644583372035994</x:v>
      </x:c>
      <x:c r="K5318" s="40" t="n">
        <x:f>G5318-E5318</x:f>
        <x:v>0.10000000000000142</x:v>
      </x:c>
      <x:c r="L5318" s="40" t="n">
        <x:f>ABS(K5318)</x:f>
        <x:v>0.10000000000000142</x:v>
      </x:c>
      <x:c r="M5318" s="41" t="str">
        <x:v>lstm-soil-v1</x:v>
      </x:c>
    </x:row>
    <x:row r="5319">
      <x:c r="A5319" s="38" t="str">
        <x:v>7月30日现场数据</x:v>
      </x:c>
      <x:c r="B5319" s="39" t="str">
        <x:v>2026-08-05T04:15:00</x:v>
      </x:c>
      <x:c r="C5319" s="39" t="str">
        <x:v>2026-08-05T05:15:00</x:v>
      </x:c>
      <x:c r="D5319" s="47" t="n">
        <x:v>60</x:v>
      </x:c>
      <x:c r="E5319" s="40" t="n">
        <x:v>19.1</x:v>
      </x:c>
      <x:c r="F5319" s="40" t="n">
        <x:v>20.035015106201172</x:v>
      </x:c>
      <x:c r="G5319" s="40" t="n">
        <x:v>19.3</x:v>
      </x:c>
      <x:c r="H5319" s="40" t="n">
        <x:f>F5319-E5319</x:f>
        <x:v>0.9350151062011705</x:v>
      </x:c>
      <x:c r="I5319" s="40" t="n">
        <x:f>ABS(H5319)</x:f>
        <x:v>0.9350151062011705</x:v>
      </x:c>
      <x:c r="J5319" s="40" t="n">
        <x:f>H5319^2</x:f>
        <x:v>0.874253248824386</x:v>
      </x:c>
      <x:c r="K5319" s="40" t="n">
        <x:f>G5319-E5319</x:f>
        <x:v>0.1999999999999993</x:v>
      </x:c>
      <x:c r="L5319" s="40" t="n">
        <x:f>ABS(K5319)</x:f>
        <x:v>0.1999999999999993</x:v>
      </x:c>
      <x:c r="M5319" s="41" t="str">
        <x:v>lstm-soil-v1</x:v>
      </x:c>
    </x:row>
    <x:row r="5320">
      <x:c r="A5320" s="38" t="str">
        <x:v>7月30日现场数据</x:v>
      </x:c>
      <x:c r="B5320" s="39" t="str">
        <x:v>2026-08-05T04:20:00</x:v>
      </x:c>
      <x:c r="C5320" s="39" t="str">
        <x:v>2026-08-05T04:25:00</x:v>
      </x:c>
      <x:c r="D5320" s="47" t="n">
        <x:v>5</x:v>
      </x:c>
      <x:c r="E5320" s="40" t="n">
        <x:v>19.3</x:v>
      </x:c>
      <x:c r="F5320" s="40" t="n">
        <x:v>17.958438873291016</x:v>
      </x:c>
      <x:c r="G5320" s="40" t="n">
        <x:v>19.3</x:v>
      </x:c>
      <x:c r="H5320" s="40" t="n">
        <x:f>F5320-E5320</x:f>
        <x:v>-1.341561126708985</x:v>
      </x:c>
      <x:c r="I5320" s="40" t="n">
        <x:f>ABS(H5320)</x:f>
        <x:v>1.341561126708985</x:v>
      </x:c>
      <x:c r="J5320" s="40" t="n">
        <x:f>H5320^2</x:f>
        <x:v>1.7997862566966816</x:v>
      </x:c>
      <x:c r="K5320" s="40" t="n">
        <x:f>G5320-E5320</x:f>
        <x:v>0</x:v>
      </x:c>
      <x:c r="L5320" s="40" t="n">
        <x:f>ABS(K5320)</x:f>
        <x:v>0</x:v>
      </x:c>
      <x:c r="M5320" s="41" t="str">
        <x:v>lstm-soil-v1</x:v>
      </x:c>
    </x:row>
    <x:row r="5321">
      <x:c r="A5321" s="38" t="str">
        <x:v>7月30日现场数据</x:v>
      </x:c>
      <x:c r="B5321" s="39" t="str">
        <x:v>2026-08-05T04:20:00</x:v>
      </x:c>
      <x:c r="C5321" s="39" t="str">
        <x:v>2026-08-05T04:35:00</x:v>
      </x:c>
      <x:c r="D5321" s="47" t="n">
        <x:v>15</x:v>
      </x:c>
      <x:c r="E5321" s="40" t="n">
        <x:v>19.2</x:v>
      </x:c>
      <x:c r="F5321" s="40" t="n">
        <x:v>18.049625396728516</x:v>
      </x:c>
      <x:c r="G5321" s="40" t="n">
        <x:v>19.3</x:v>
      </x:c>
      <x:c r="H5321" s="40" t="n">
        <x:f>F5321-E5321</x:f>
        <x:v>-1.1503746032714837</x:v>
      </x:c>
      <x:c r="I5321" s="40" t="n">
        <x:f>ABS(H5321)</x:f>
        <x:v>1.1503746032714837</x:v>
      </x:c>
      <x:c r="J5321" s="40" t="n">
        <x:f>H5321^2</x:f>
        <x:v>1.3233617278520233</x:v>
      </x:c>
      <x:c r="K5321" s="40" t="n">
        <x:f>G5321-E5321</x:f>
        <x:v>0.10000000000000142</x:v>
      </x:c>
      <x:c r="L5321" s="40" t="n">
        <x:f>ABS(K5321)</x:f>
        <x:v>0.10000000000000142</x:v>
      </x:c>
      <x:c r="M5321" s="41" t="str">
        <x:v>lstm-soil-v1</x:v>
      </x:c>
    </x:row>
    <x:row r="5322">
      <x:c r="A5322" s="38" t="str">
        <x:v>7月30日现场数据</x:v>
      </x:c>
      <x:c r="B5322" s="39" t="str">
        <x:v>2026-08-05T04:20:00</x:v>
      </x:c>
      <x:c r="C5322" s="39" t="str">
        <x:v>2026-08-05T04:50:00</x:v>
      </x:c>
      <x:c r="D5322" s="47" t="n">
        <x:v>30</x:v>
      </x:c>
      <x:c r="E5322" s="40" t="n">
        <x:v>19.2</x:v>
      </x:c>
      <x:c r="F5322" s="40" t="n">
        <x:v>18.39899444580078</x:v>
      </x:c>
      <x:c r="G5322" s="40" t="n">
        <x:v>19.3</x:v>
      </x:c>
      <x:c r="H5322" s="40" t="n">
        <x:f>F5322-E5322</x:f>
        <x:v>-0.801005554199218</x:v>
      </x:c>
      <x:c r="I5322" s="40" t="n">
        <x:f>ABS(H5322)</x:f>
        <x:v>0.801005554199218</x:v>
      </x:c>
      <x:c r="J5322" s="40" t="n">
        <x:f>H5322^2</x:f>
        <x:v>0.6416098978579964</x:v>
      </x:c>
      <x:c r="K5322" s="40" t="n">
        <x:f>G5322-E5322</x:f>
        <x:v>0.10000000000000142</x:v>
      </x:c>
      <x:c r="L5322" s="40" t="n">
        <x:f>ABS(K5322)</x:f>
        <x:v>0.10000000000000142</x:v>
      </x:c>
      <x:c r="M5322" s="41" t="str">
        <x:v>lstm-soil-v1</x:v>
      </x:c>
    </x:row>
    <x:row r="5323">
      <x:c r="A5323" s="38" t="str">
        <x:v>7月30日现场数据</x:v>
      </x:c>
      <x:c r="B5323" s="39" t="str">
        <x:v>2026-08-05T04:20:00</x:v>
      </x:c>
      <x:c r="C5323" s="39" t="str">
        <x:v>2026-08-05T05:20:00</x:v>
      </x:c>
      <x:c r="D5323" s="47" t="n">
        <x:v>60</x:v>
      </x:c>
      <x:c r="E5323" s="40" t="n">
        <x:v>19.1</x:v>
      </x:c>
      <x:c r="F5323" s="40" t="n">
        <x:v>20.035682678222656</x:v>
      </x:c>
      <x:c r="G5323" s="40" t="n">
        <x:v>19.3</x:v>
      </x:c>
      <x:c r="H5323" s="40" t="n">
        <x:f>F5323-E5323</x:f>
        <x:v>0.9356826782226548</x:v>
      </x:c>
      <x:c r="I5323" s="40" t="n">
        <x:f>ABS(H5323)</x:f>
        <x:v>0.9356826782226548</x:v>
      </x:c>
      <x:c r="J5323" s="40" t="n">
        <x:f>H5323^2</x:f>
        <x:v>0.8755020743259202</x:v>
      </x:c>
      <x:c r="K5323" s="40" t="n">
        <x:f>G5323-E5323</x:f>
        <x:v>0.1999999999999993</x:v>
      </x:c>
      <x:c r="L5323" s="40" t="n">
        <x:f>ABS(K5323)</x:f>
        <x:v>0.1999999999999993</x:v>
      </x:c>
      <x:c r="M5323" s="41" t="str">
        <x:v>lstm-soil-v1</x:v>
      </x:c>
    </x:row>
    <x:row r="5324">
      <x:c r="A5324" s="38" t="str">
        <x:v>7月30日现场数据</x:v>
      </x:c>
      <x:c r="B5324" s="39" t="str">
        <x:v>2026-08-05T04:25:00</x:v>
      </x:c>
      <x:c r="C5324" s="39" t="str">
        <x:v>2026-08-05T04:30:00</x:v>
      </x:c>
      <x:c r="D5324" s="47" t="n">
        <x:v>5</x:v>
      </x:c>
      <x:c r="E5324" s="40" t="n">
        <x:v>19.2</x:v>
      </x:c>
      <x:c r="F5324" s="40" t="n">
        <x:v>17.959121704101562</x:v>
      </x:c>
      <x:c r="G5324" s="40" t="n">
        <x:v>19.3</x:v>
      </x:c>
      <x:c r="H5324" s="40" t="n">
        <x:f>F5324-E5324</x:f>
        <x:v>-1.2408782958984368</x:v>
      </x:c>
      <x:c r="I5324" s="40" t="n">
        <x:f>ABS(H5324)</x:f>
        <x:v>1.2408782958984368</x:v>
      </x:c>
      <x:c r="J5324" s="40" t="n">
        <x:f>H5324^2</x:f>
        <x:v>1.5397789452318085</x:v>
      </x:c>
      <x:c r="K5324" s="40" t="n">
        <x:f>G5324-E5324</x:f>
        <x:v>0.10000000000000142</x:v>
      </x:c>
      <x:c r="L5324" s="40" t="n">
        <x:f>ABS(K5324)</x:f>
        <x:v>0.10000000000000142</x:v>
      </x:c>
      <x:c r="M5324" s="41" t="str">
        <x:v>lstm-soil-v1</x:v>
      </x:c>
    </x:row>
    <x:row r="5325">
      <x:c r="A5325" s="38" t="str">
        <x:v>7月30日现场数据</x:v>
      </x:c>
      <x:c r="B5325" s="39" t="str">
        <x:v>2026-08-05T04:25:00</x:v>
      </x:c>
      <x:c r="C5325" s="39" t="str">
        <x:v>2026-08-05T04:40:00</x:v>
      </x:c>
      <x:c r="D5325" s="47" t="n">
        <x:v>15</x:v>
      </x:c>
      <x:c r="E5325" s="40" t="n">
        <x:v>19.2</x:v>
      </x:c>
      <x:c r="F5325" s="40" t="n">
        <x:v>18.05023193359375</x:v>
      </x:c>
      <x:c r="G5325" s="40" t="n">
        <x:v>19.3</x:v>
      </x:c>
      <x:c r="H5325" s="40" t="n">
        <x:f>F5325-E5325</x:f>
        <x:v>-1.1497680664062493</x:v>
      </x:c>
      <x:c r="I5325" s="40" t="n">
        <x:f>ABS(H5325)</x:f>
        <x:v>1.1497680664062493</x:v>
      </x:c>
      <x:c r="J5325" s="40" t="n">
        <x:f>H5325^2</x:f>
        <x:v>1.3219666065275653</x:v>
      </x:c>
      <x:c r="K5325" s="40" t="n">
        <x:f>G5325-E5325</x:f>
        <x:v>0.10000000000000142</x:v>
      </x:c>
      <x:c r="L5325" s="40" t="n">
        <x:f>ABS(K5325)</x:f>
        <x:v>0.10000000000000142</x:v>
      </x:c>
      <x:c r="M5325" s="41" t="str">
        <x:v>lstm-soil-v1</x:v>
      </x:c>
    </x:row>
    <x:row r="5326">
      <x:c r="A5326" s="38" t="str">
        <x:v>7月30日现场数据</x:v>
      </x:c>
      <x:c r="B5326" s="39" t="str">
        <x:v>2026-08-05T04:25:00</x:v>
      </x:c>
      <x:c r="C5326" s="39" t="str">
        <x:v>2026-08-05T04:55:00</x:v>
      </x:c>
      <x:c r="D5326" s="47" t="n">
        <x:v>30</x:v>
      </x:c>
      <x:c r="E5326" s="40" t="n">
        <x:v>19.2</x:v>
      </x:c>
      <x:c r="F5326" s="40" t="n">
        <x:v>18.400524139404297</x:v>
      </x:c>
      <x:c r="G5326" s="40" t="n">
        <x:v>19.3</x:v>
      </x:c>
      <x:c r="H5326" s="40" t="n">
        <x:f>F5326-E5326</x:f>
        <x:v>-0.7994758605957024</x:v>
      </x:c>
      <x:c r="I5326" s="40" t="n">
        <x:f>ABS(H5326)</x:f>
        <x:v>0.7994758605957024</x:v>
      </x:c>
      <x:c r="J5326" s="40" t="n">
        <x:f>H5326^2</x:f>
        <x:v>0.639161651675239</x:v>
      </x:c>
      <x:c r="K5326" s="40" t="n">
        <x:f>G5326-E5326</x:f>
        <x:v>0.10000000000000142</x:v>
      </x:c>
      <x:c r="L5326" s="40" t="n">
        <x:f>ABS(K5326)</x:f>
        <x:v>0.10000000000000142</x:v>
      </x:c>
      <x:c r="M5326" s="41" t="str">
        <x:v>lstm-soil-v1</x:v>
      </x:c>
    </x:row>
    <x:row r="5327">
      <x:c r="A5327" s="38" t="str">
        <x:v>7月30日现场数据</x:v>
      </x:c>
      <x:c r="B5327" s="39" t="str">
        <x:v>2026-08-05T04:25:00</x:v>
      </x:c>
      <x:c r="C5327" s="39" t="str">
        <x:v>2026-08-05T05:25:00</x:v>
      </x:c>
      <x:c r="D5327" s="47" t="n">
        <x:v>60</x:v>
      </x:c>
      <x:c r="E5327" s="40" t="n">
        <x:v>19.1</x:v>
      </x:c>
      <x:c r="F5327" s="40" t="n">
        <x:v>20.036407470703125</x:v>
      </x:c>
      <x:c r="G5327" s="40" t="n">
        <x:v>19.3</x:v>
      </x:c>
      <x:c r="H5327" s="40" t="n">
        <x:f>F5327-E5327</x:f>
        <x:v>0.9364074707031236</x:v>
      </x:c>
      <x:c r="I5327" s="40" t="n">
        <x:f>ABS(H5327)</x:f>
        <x:v>0.9364074707031236</x:v>
      </x:c>
      <x:c r="J5327" s="40" t="n">
        <x:f>H5327^2</x:f>
        <x:v>0.8768589511886212</x:v>
      </x:c>
      <x:c r="K5327" s="40" t="n">
        <x:f>G5327-E5327</x:f>
        <x:v>0.1999999999999993</x:v>
      </x:c>
      <x:c r="L5327" s="40" t="n">
        <x:f>ABS(K5327)</x:f>
        <x:v>0.1999999999999993</x:v>
      </x:c>
      <x:c r="M5327" s="41" t="str">
        <x:v>lstm-soil-v1</x:v>
      </x:c>
    </x:row>
    <x:row r="5328">
      <x:c r="A5328" s="38" t="str">
        <x:v>7月30日现场数据</x:v>
      </x:c>
      <x:c r="B5328" s="39" t="str">
        <x:v>2026-08-05T04:30:00</x:v>
      </x:c>
      <x:c r="C5328" s="39" t="str">
        <x:v>2026-08-05T04:35:00</x:v>
      </x:c>
      <x:c r="D5328" s="47" t="n">
        <x:v>5</x:v>
      </x:c>
      <x:c r="E5328" s="40" t="n">
        <x:v>19.2</x:v>
      </x:c>
      <x:c r="F5328" s="40" t="n">
        <x:v>17.849342346191406</x:v>
      </x:c>
      <x:c r="G5328" s="40" t="n">
        <x:v>19.2</x:v>
      </x:c>
      <x:c r="H5328" s="40" t="n">
        <x:f>F5328-E5328</x:f>
        <x:v>-1.350657653808593</x:v>
      </x:c>
      <x:c r="I5328" s="40" t="n">
        <x:f>ABS(H5328)</x:f>
        <x:v>1.350657653808593</x:v>
      </x:c>
      <x:c r="J5328" s="40" t="n">
        <x:f>H5328^2</x:f>
        <x:v>1.8242760977917332</x:v>
      </x:c>
      <x:c r="K5328" s="40" t="n">
        <x:f>G5328-E5328</x:f>
        <x:v>0</x:v>
      </x:c>
      <x:c r="L5328" s="40" t="n">
        <x:f>ABS(K5328)</x:f>
        <x:v>0</x:v>
      </x:c>
      <x:c r="M5328" s="41" t="str">
        <x:v>lstm-soil-v1</x:v>
      </x:c>
    </x:row>
    <x:row r="5329">
      <x:c r="A5329" s="38" t="str">
        <x:v>7月30日现场数据</x:v>
      </x:c>
      <x:c r="B5329" s="39" t="str">
        <x:v>2026-08-05T04:30:00</x:v>
      </x:c>
      <x:c r="C5329" s="39" t="str">
        <x:v>2026-08-05T04:45:00</x:v>
      </x:c>
      <x:c r="D5329" s="47" t="n">
        <x:v>15</x:v>
      </x:c>
      <x:c r="E5329" s="40" t="n">
        <x:v>19.2</x:v>
      </x:c>
      <x:c r="F5329" s="40" t="n">
        <x:v>17.940414428710938</x:v>
      </x:c>
      <x:c r="G5329" s="40" t="n">
        <x:v>19.2</x:v>
      </x:c>
      <x:c r="H5329" s="40" t="n">
        <x:f>F5329-E5329</x:f>
        <x:v>-1.2595855712890618</x:v>
      </x:c>
      <x:c r="I5329" s="40" t="n">
        <x:f>ABS(H5329)</x:f>
        <x:v>1.2595855712890618</x:v>
      </x:c>
      <x:c r="J5329" s="40" t="n">
        <x:f>H5329^2</x:f>
        <x:v>1.5865558113995921</x:v>
      </x:c>
      <x:c r="K5329" s="40" t="n">
        <x:f>G5329-E5329</x:f>
        <x:v>0</x:v>
      </x:c>
      <x:c r="L5329" s="40" t="n">
        <x:f>ABS(K5329)</x:f>
        <x:v>0</x:v>
      </x:c>
      <x:c r="M5329" s="41" t="str">
        <x:v>lstm-soil-v1</x:v>
      </x:c>
    </x:row>
    <x:row r="5330">
      <x:c r="A5330" s="38" t="str">
        <x:v>7月30日现场数据</x:v>
      </x:c>
      <x:c r="B5330" s="39" t="str">
        <x:v>2026-08-05T04:30:00</x:v>
      </x:c>
      <x:c r="C5330" s="39" t="str">
        <x:v>2026-08-05T05:00:00</x:v>
      </x:c>
      <x:c r="D5330" s="47" t="n">
        <x:v>30</x:v>
      </x:c>
      <x:c r="E5330" s="40" t="n">
        <x:v>19.2</x:v>
      </x:c>
      <x:c r="F5330" s="40" t="n">
        <x:v>18.291427612304688</x:v>
      </x:c>
      <x:c r="G5330" s="40" t="n">
        <x:v>19.2</x:v>
      </x:c>
      <x:c r="H5330" s="40" t="n">
        <x:f>F5330-E5330</x:f>
        <x:v>-0.9085723876953118</x:v>
      </x:c>
      <x:c r="I5330" s="40" t="n">
        <x:f>ABS(H5330)</x:f>
        <x:v>0.9085723876953118</x:v>
      </x:c>
      <x:c r="J5330" s="40" t="n">
        <x:f>H5330^2</x:f>
        <x:v>0.82550378368236</x:v>
      </x:c>
      <x:c r="K5330" s="40" t="n">
        <x:f>G5330-E5330</x:f>
        <x:v>0</x:v>
      </x:c>
      <x:c r="L5330" s="40" t="n">
        <x:f>ABS(K5330)</x:f>
        <x:v>0</x:v>
      </x:c>
      <x:c r="M5330" s="41" t="str">
        <x:v>lstm-soil-v1</x:v>
      </x:c>
    </x:row>
    <x:row r="5331">
      <x:c r="A5331" s="38" t="str">
        <x:v>7月30日现场数据</x:v>
      </x:c>
      <x:c r="B5331" s="39" t="str">
        <x:v>2026-08-05T04:30:00</x:v>
      </x:c>
      <x:c r="C5331" s="39" t="str">
        <x:v>2026-08-05T05:30:00</x:v>
      </x:c>
      <x:c r="D5331" s="47" t="n">
        <x:v>60</x:v>
      </x:c>
      <x:c r="E5331" s="40" t="n">
        <x:v>19.1</x:v>
      </x:c>
      <x:c r="F5331" s="40" t="n">
        <x:v>19.926727294921875</x:v>
      </x:c>
      <x:c r="G5331" s="40" t="n">
        <x:v>19.2</x:v>
      </x:c>
      <x:c r="H5331" s="40" t="n">
        <x:f>F5331-E5331</x:f>
        <x:v>0.8267272949218736</x:v>
      </x:c>
      <x:c r="I5331" s="40" t="n">
        <x:f>ABS(H5331)</x:f>
        <x:v>0.8267272949218736</x:v>
      </x:c>
      <x:c r="J5331" s="40" t="n">
        <x:f>H5331^2</x:f>
        <x:v>0.6834780201688385</x:v>
      </x:c>
      <x:c r="K5331" s="40" t="n">
        <x:f>G5331-E5331</x:f>
        <x:v>0.09999999999999787</x:v>
      </x:c>
      <x:c r="L5331" s="40" t="n">
        <x:f>ABS(K5331)</x:f>
        <x:v>0.09999999999999787</x:v>
      </x:c>
      <x:c r="M5331" s="41" t="str">
        <x:v>lstm-soil-v1</x:v>
      </x:c>
    </x:row>
    <x:row r="5332">
      <x:c r="A5332" s="38" t="str">
        <x:v>7月30日现场数据</x:v>
      </x:c>
      <x:c r="B5332" s="39" t="str">
        <x:v>2026-08-05T04:35:00</x:v>
      </x:c>
      <x:c r="C5332" s="39" t="str">
        <x:v>2026-08-05T04:40:00</x:v>
      </x:c>
      <x:c r="D5332" s="47" t="n">
        <x:v>5</x:v>
      </x:c>
      <x:c r="E5332" s="40" t="n">
        <x:v>19.2</x:v>
      </x:c>
      <x:c r="F5332" s="40" t="n">
        <x:v>17.849578857421875</x:v>
      </x:c>
      <x:c r="G5332" s="40" t="n">
        <x:v>19.2</x:v>
      </x:c>
      <x:c r="H5332" s="40" t="n">
        <x:f>F5332-E5332</x:f>
        <x:v>-1.3504211425781243</x:v>
      </x:c>
      <x:c r="I5332" s="40" t="n">
        <x:f>ABS(H5332)</x:f>
        <x:v>1.3504211425781243</x:v>
      </x:c>
      <x:c r="J5332" s="40" t="n">
        <x:f>H5332^2</x:f>
        <x:v>1.8236372623220067</x:v>
      </x:c>
      <x:c r="K5332" s="40" t="n">
        <x:f>G5332-E5332</x:f>
        <x:v>0</x:v>
      </x:c>
      <x:c r="L5332" s="40" t="n">
        <x:f>ABS(K5332)</x:f>
        <x:v>0</x:v>
      </x:c>
      <x:c r="M5332" s="41" t="str">
        <x:v>lstm-soil-v1</x:v>
      </x:c>
    </x:row>
    <x:row r="5333">
      <x:c r="A5333" s="38" t="str">
        <x:v>7月30日现场数据</x:v>
      </x:c>
      <x:c r="B5333" s="39" t="str">
        <x:v>2026-08-05T04:35:00</x:v>
      </x:c>
      <x:c r="C5333" s="39" t="str">
        <x:v>2026-08-05T04:50:00</x:v>
      </x:c>
      <x:c r="D5333" s="47" t="n">
        <x:v>15</x:v>
      </x:c>
      <x:c r="E5333" s="40" t="n">
        <x:v>19.2</x:v>
      </x:c>
      <x:c r="F5333" s="40" t="n">
        <x:v>17.940597534179688</x:v>
      </x:c>
      <x:c r="G5333" s="40" t="n">
        <x:v>19.2</x:v>
      </x:c>
      <x:c r="H5333" s="40" t="n">
        <x:f>F5333-E5333</x:f>
        <x:v>-1.2594024658203118</x:v>
      </x:c>
      <x:c r="I5333" s="40" t="n">
        <x:f>ABS(H5333)</x:f>
        <x:v>1.2594024658203118</x:v>
      </x:c>
      <x:c r="J5333" s="40" t="n">
        <x:f>H5333^2</x:f>
        <x:v>1.5860945709142815</x:v>
      </x:c>
      <x:c r="K5333" s="40" t="n">
        <x:f>G5333-E5333</x:f>
        <x:v>0</x:v>
      </x:c>
      <x:c r="L5333" s="40" t="n">
        <x:f>ABS(K5333)</x:f>
        <x:v>0</x:v>
      </x:c>
      <x:c r="M5333" s="41" t="str">
        <x:v>lstm-soil-v1</x:v>
      </x:c>
    </x:row>
    <x:row r="5334">
      <x:c r="A5334" s="38" t="str">
        <x:v>7月30日现场数据</x:v>
      </x:c>
      <x:c r="B5334" s="39" t="str">
        <x:v>2026-08-05T04:35:00</x:v>
      </x:c>
      <x:c r="C5334" s="39" t="str">
        <x:v>2026-08-05T05:05:00</x:v>
      </x:c>
      <x:c r="D5334" s="47" t="n">
        <x:v>30</x:v>
      </x:c>
      <x:c r="E5334" s="40" t="n">
        <x:v>19.1</x:v>
      </x:c>
      <x:c r="F5334" s="40" t="n">
        <x:v>18.292293548583984</x:v>
      </x:c>
      <x:c r="G5334" s="40" t="n">
        <x:v>19.2</x:v>
      </x:c>
      <x:c r="H5334" s="40" t="n">
        <x:f>F5334-E5334</x:f>
        <x:v>-0.807706451416017</x:v>
      </x:c>
      <x:c r="I5334" s="40" t="n">
        <x:f>ABS(H5334)</x:f>
        <x:v>0.807706451416017</x:v>
      </x:c>
      <x:c r="J5334" s="40" t="n">
        <x:f>H5334^2</x:f>
        <x:v>0.6523897116590547</x:v>
      </x:c>
      <x:c r="K5334" s="40" t="n">
        <x:f>G5334-E5334</x:f>
        <x:v>0.09999999999999787</x:v>
      </x:c>
      <x:c r="L5334" s="40" t="n">
        <x:f>ABS(K5334)</x:f>
        <x:v>0.09999999999999787</x:v>
      </x:c>
      <x:c r="M5334" s="41" t="str">
        <x:v>lstm-soil-v1</x:v>
      </x:c>
    </x:row>
    <x:row r="5335">
      <x:c r="A5335" s="38" t="str">
        <x:v>7月30日现场数据</x:v>
      </x:c>
      <x:c r="B5335" s="39" t="str">
        <x:v>2026-08-05T04:35:00</x:v>
      </x:c>
      <x:c r="C5335" s="39" t="str">
        <x:v>2026-08-05T05:35:00</x:v>
      </x:c>
      <x:c r="D5335" s="47" t="n">
        <x:v>60</x:v>
      </x:c>
      <x:c r="E5335" s="40" t="n">
        <x:v>19.1</x:v>
      </x:c>
      <x:c r="F5335" s="40" t="n">
        <x:v>19.92713165283203</x:v>
      </x:c>
      <x:c r="G5335" s="40" t="n">
        <x:v>19.2</x:v>
      </x:c>
      <x:c r="H5335" s="40" t="n">
        <x:f>F5335-E5335</x:f>
        <x:v>0.8271316528320298</x:v>
      </x:c>
      <x:c r="I5335" s="40" t="n">
        <x:f>ABS(H5335)</x:f>
        <x:v>0.8271316528320298</x:v>
      </x:c>
      <x:c r="J5335" s="40" t="n">
        <x:f>H5335^2</x:f>
        <x:v>0.6841467711166456</x:v>
      </x:c>
      <x:c r="K5335" s="40" t="n">
        <x:f>G5335-E5335</x:f>
        <x:v>0.09999999999999787</x:v>
      </x:c>
      <x:c r="L5335" s="40" t="n">
        <x:f>ABS(K5335)</x:f>
        <x:v>0.09999999999999787</x:v>
      </x:c>
      <x:c r="M5335" s="41" t="str">
        <x:v>lstm-soil-v1</x:v>
      </x:c>
    </x:row>
    <x:row r="5336">
      <x:c r="A5336" s="38" t="str">
        <x:v>7月30日现场数据</x:v>
      </x:c>
      <x:c r="B5336" s="39" t="str">
        <x:v>2026-08-05T04:40:00</x:v>
      </x:c>
      <x:c r="C5336" s="39" t="str">
        <x:v>2026-08-05T04:45:00</x:v>
      </x:c>
      <x:c r="D5336" s="47" t="n">
        <x:v>5</x:v>
      </x:c>
      <x:c r="E5336" s="40" t="n">
        <x:v>19.2</x:v>
      </x:c>
      <x:c r="F5336" s="40" t="n">
        <x:v>17.849857330322266</x:v>
      </x:c>
      <x:c r="G5336" s="40" t="n">
        <x:v>19.2</x:v>
      </x:c>
      <x:c r="H5336" s="40" t="n">
        <x:f>F5336-E5336</x:f>
        <x:v>-1.3501426696777337</x:v>
      </x:c>
      <x:c r="I5336" s="40" t="n">
        <x:f>ABS(H5336)</x:f>
        <x:v>1.3501426696777337</x:v>
      </x:c>
      <x:c r="J5336" s="40" t="n">
        <x:f>H5336^2</x:f>
        <x:v>1.8228852284845178</x:v>
      </x:c>
      <x:c r="K5336" s="40" t="n">
        <x:f>G5336-E5336</x:f>
        <x:v>0</x:v>
      </x:c>
      <x:c r="L5336" s="40" t="n">
        <x:f>ABS(K5336)</x:f>
        <x:v>0</x:v>
      </x:c>
      <x:c r="M5336" s="41" t="str">
        <x:v>lstm-soil-v1</x:v>
      </x:c>
    </x:row>
    <x:row r="5337">
      <x:c r="A5337" s="38" t="str">
        <x:v>7月30日现场数据</x:v>
      </x:c>
      <x:c r="B5337" s="39" t="str">
        <x:v>2026-08-05T04:40:00</x:v>
      </x:c>
      <x:c r="C5337" s="39" t="str">
        <x:v>2026-08-05T04:55:00</x:v>
      </x:c>
      <x:c r="D5337" s="47" t="n">
        <x:v>15</x:v>
      </x:c>
      <x:c r="E5337" s="40" t="n">
        <x:v>19.2</x:v>
      </x:c>
      <x:c r="F5337" s="40" t="n">
        <x:v>17.94078826904297</x:v>
      </x:c>
      <x:c r="G5337" s="40" t="n">
        <x:v>19.2</x:v>
      </x:c>
      <x:c r="H5337" s="40" t="n">
        <x:f>F5337-E5337</x:f>
        <x:v>-1.2592117309570305</x:v>
      </x:c>
      <x:c r="I5337" s="40" t="n">
        <x:f>ABS(H5337)</x:f>
        <x:v>1.2592117309570305</x:v>
      </x:c>
      <x:c r="J5337" s="40" t="n">
        <x:f>H5337^2</x:f>
        <x:v>1.585614183379801</x:v>
      </x:c>
      <x:c r="K5337" s="40" t="n">
        <x:f>G5337-E5337</x:f>
        <x:v>0</x:v>
      </x:c>
      <x:c r="L5337" s="40" t="n">
        <x:f>ABS(K5337)</x:f>
        <x:v>0</x:v>
      </x:c>
      <x:c r="M5337" s="41" t="str">
        <x:v>lstm-soil-v1</x:v>
      </x:c>
    </x:row>
    <x:row r="5338">
      <x:c r="A5338" s="38" t="str">
        <x:v>7月30日现场数据</x:v>
      </x:c>
      <x:c r="B5338" s="39" t="str">
        <x:v>2026-08-05T04:40:00</x:v>
      </x:c>
      <x:c r="C5338" s="39" t="str">
        <x:v>2026-08-05T05:10:00</x:v>
      </x:c>
      <x:c r="D5338" s="47" t="n">
        <x:v>30</x:v>
      </x:c>
      <x:c r="E5338" s="40" t="n">
        <x:v>19.1</x:v>
      </x:c>
      <x:c r="F5338" s="40" t="n">
        <x:v>18.293048858642578</x:v>
      </x:c>
      <x:c r="G5338" s="40" t="n">
        <x:v>19.2</x:v>
      </x:c>
      <x:c r="H5338" s="40" t="n">
        <x:f>F5338-E5338</x:f>
        <x:v>-0.8069511413574233</x:v>
      </x:c>
      <x:c r="I5338" s="40" t="n">
        <x:f>ABS(H5338)</x:f>
        <x:v>0.8069511413574233</x:v>
      </x:c>
      <x:c r="J5338" s="40" t="n">
        <x:f>H5338^2</x:f>
        <x:v>0.6511701445380481</x:v>
      </x:c>
      <x:c r="K5338" s="40" t="n">
        <x:f>G5338-E5338</x:f>
        <x:v>0.09999999999999787</x:v>
      </x:c>
      <x:c r="L5338" s="40" t="n">
        <x:f>ABS(K5338)</x:f>
        <x:v>0.09999999999999787</x:v>
      </x:c>
      <x:c r="M5338" s="41" t="str">
        <x:v>lstm-soil-v1</x:v>
      </x:c>
    </x:row>
    <x:row r="5339">
      <x:c r="A5339" s="38" t="str">
        <x:v>7月30日现场数据</x:v>
      </x:c>
      <x:c r="B5339" s="39" t="str">
        <x:v>2026-08-05T04:40:00</x:v>
      </x:c>
      <x:c r="C5339" s="39" t="str">
        <x:v>2026-08-05T05:40:00</x:v>
      </x:c>
      <x:c r="D5339" s="47" t="n">
        <x:v>60</x:v>
      </x:c>
      <x:c r="E5339" s="40" t="n">
        <x:v>19</x:v>
      </x:c>
      <x:c r="F5339" s="40" t="n">
        <x:v>19.927478790283203</x:v>
      </x:c>
      <x:c r="G5339" s="40" t="n">
        <x:v>19.2</x:v>
      </x:c>
      <x:c r="H5339" s="40" t="n">
        <x:f>F5339-E5339</x:f>
        <x:v>0.9274787902832031</x:v>
      </x:c>
      <x:c r="I5339" s="40" t="n">
        <x:f>ABS(H5339)</x:f>
        <x:v>0.9274787902832031</x:v>
      </x:c>
      <x:c r="J5339" s="40" t="n">
        <x:f>H5339^2</x:f>
        <x:v>0.8602169064251939</x:v>
      </x:c>
      <x:c r="K5339" s="40" t="n">
        <x:f>G5339-E5339</x:f>
        <x:v>0.1999999999999993</x:v>
      </x:c>
      <x:c r="L5339" s="40" t="n">
        <x:f>ABS(K5339)</x:f>
        <x:v>0.1999999999999993</x:v>
      </x:c>
      <x:c r="M5339" s="41" t="str">
        <x:v>lstm-soil-v1</x:v>
      </x:c>
    </x:row>
    <x:row r="5340">
      <x:c r="A5340" s="38" t="str">
        <x:v>7月30日现场数据</x:v>
      </x:c>
      <x:c r="B5340" s="39" t="str">
        <x:v>2026-08-05T04:45:00</x:v>
      </x:c>
      <x:c r="C5340" s="39" t="str">
        <x:v>2026-08-05T04:50:00</x:v>
      </x:c>
      <x:c r="D5340" s="47" t="n">
        <x:v>5</x:v>
      </x:c>
      <x:c r="E5340" s="40" t="n">
        <x:v>19.2</x:v>
      </x:c>
      <x:c r="F5340" s="40" t="n">
        <x:v>17.850181579589844</x:v>
      </x:c>
      <x:c r="G5340" s="40" t="n">
        <x:v>19.2</x:v>
      </x:c>
      <x:c r="H5340" s="40" t="n">
        <x:f>F5340-E5340</x:f>
        <x:v>-1.3498184204101555</x:v>
      </x:c>
      <x:c r="I5340" s="40" t="n">
        <x:f>ABS(H5340)</x:f>
        <x:v>1.3498184204101555</x:v>
      </x:c>
      <x:c r="J5340" s="40" t="n">
        <x:f>H5340^2</x:f>
        <x:v>1.8220097680785674</x:v>
      </x:c>
      <x:c r="K5340" s="40" t="n">
        <x:f>G5340-E5340</x:f>
        <x:v>0</x:v>
      </x:c>
      <x:c r="L5340" s="40" t="n">
        <x:f>ABS(K5340)</x:f>
        <x:v>0</x:v>
      </x:c>
      <x:c r="M5340" s="41" t="str">
        <x:v>lstm-soil-v1</x:v>
      </x:c>
    </x:row>
    <x:row r="5341">
      <x:c r="A5341" s="38" t="str">
        <x:v>7月30日现场数据</x:v>
      </x:c>
      <x:c r="B5341" s="39" t="str">
        <x:v>2026-08-05T04:45:00</x:v>
      </x:c>
      <x:c r="C5341" s="39" t="str">
        <x:v>2026-08-05T05:00:00</x:v>
      </x:c>
      <x:c r="D5341" s="47" t="n">
        <x:v>15</x:v>
      </x:c>
      <x:c r="E5341" s="40" t="n">
        <x:v>19.2</x:v>
      </x:c>
      <x:c r="F5341" s="40" t="n">
        <x:v>17.94097900390625</x:v>
      </x:c>
      <x:c r="G5341" s="40" t="n">
        <x:v>19.2</x:v>
      </x:c>
      <x:c r="H5341" s="40" t="n">
        <x:f>F5341-E5341</x:f>
        <x:v>-1.2590209960937493</x:v>
      </x:c>
      <x:c r="I5341" s="40" t="n">
        <x:f>ABS(H5341)</x:f>
        <x:v>1.2590209960937493</x:v>
      </x:c>
      <x:c r="J5341" s="40" t="n">
        <x:f>H5341^2</x:f>
        <x:v>1.5851338686048966</x:v>
      </x:c>
      <x:c r="K5341" s="40" t="n">
        <x:f>G5341-E5341</x:f>
        <x:v>0</x:v>
      </x:c>
      <x:c r="L5341" s="40" t="n">
        <x:f>ABS(K5341)</x:f>
        <x:v>0</x:v>
      </x:c>
      <x:c r="M5341" s="41" t="str">
        <x:v>lstm-soil-v1</x:v>
      </x:c>
    </x:row>
    <x:row r="5342">
      <x:c r="A5342" s="38" t="str">
        <x:v>7月30日现场数据</x:v>
      </x:c>
      <x:c r="B5342" s="39" t="str">
        <x:v>2026-08-05T04:45:00</x:v>
      </x:c>
      <x:c r="C5342" s="39" t="str">
        <x:v>2026-08-05T05:15:00</x:v>
      </x:c>
      <x:c r="D5342" s="47" t="n">
        <x:v>30</x:v>
      </x:c>
      <x:c r="E5342" s="40" t="n">
        <x:v>19.1</x:v>
      </x:c>
      <x:c r="F5342" s="40" t="n">
        <x:v>18.293807983398438</x:v>
      </x:c>
      <x:c r="G5342" s="40" t="n">
        <x:v>19.2</x:v>
      </x:c>
      <x:c r="H5342" s="40" t="n">
        <x:f>F5342-E5342</x:f>
        <x:v>-0.8061920166015639</x:v>
      </x:c>
      <x:c r="I5342" s="40" t="n">
        <x:f>ABS(H5342)</x:f>
        <x:v>0.8061920166015639</x:v>
      </x:c>
      <x:c r="J5342" s="40" t="n">
        <x:f>H5342^2</x:f>
        <x:v>0.6499455676320963</x:v>
      </x:c>
      <x:c r="K5342" s="40" t="n">
        <x:f>G5342-E5342</x:f>
        <x:v>0.09999999999999787</x:v>
      </x:c>
      <x:c r="L5342" s="40" t="n">
        <x:f>ABS(K5342)</x:f>
        <x:v>0.09999999999999787</x:v>
      </x:c>
      <x:c r="M5342" s="41" t="str">
        <x:v>lstm-soil-v1</x:v>
      </x:c>
    </x:row>
    <x:row r="5343">
      <x:c r="A5343" s="38" t="str">
        <x:v>7月30日现场数据</x:v>
      </x:c>
      <x:c r="B5343" s="39" t="str">
        <x:v>2026-08-05T04:45:00</x:v>
      </x:c>
      <x:c r="C5343" s="39" t="str">
        <x:v>2026-08-05T05:45:00</x:v>
      </x:c>
      <x:c r="D5343" s="47" t="n">
        <x:v>60</x:v>
      </x:c>
      <x:c r="E5343" s="40" t="n">
        <x:v>19</x:v>
      </x:c>
      <x:c r="F5343" s="40" t="n">
        <x:v>19.92791748046875</x:v>
      </x:c>
      <x:c r="G5343" s="40" t="n">
        <x:v>19.2</x:v>
      </x:c>
      <x:c r="H5343" s="40" t="n">
        <x:f>F5343-E5343</x:f>
        <x:v>0.92791748046875</x:v>
      </x:c>
      <x:c r="I5343" s="40" t="n">
        <x:f>ABS(H5343)</x:f>
        <x:v>0.92791748046875</x:v>
      </x:c>
      <x:c r="J5343" s="40" t="n">
        <x:f>H5343^2</x:f>
        <x:v>0.861030850559473</x:v>
      </x:c>
      <x:c r="K5343" s="40" t="n">
        <x:f>G5343-E5343</x:f>
        <x:v>0.1999999999999993</x:v>
      </x:c>
      <x:c r="L5343" s="40" t="n">
        <x:f>ABS(K5343)</x:f>
        <x:v>0.1999999999999993</x:v>
      </x:c>
      <x:c r="M5343" s="41" t="str">
        <x:v>lstm-soil-v1</x:v>
      </x:c>
    </x:row>
    <x:row r="5344">
      <x:c r="A5344" s="38" t="str">
        <x:v>7月30日现场数据</x:v>
      </x:c>
      <x:c r="B5344" s="39" t="str">
        <x:v>2026-08-05T04:50:00</x:v>
      </x:c>
      <x:c r="C5344" s="39" t="str">
        <x:v>2026-08-05T04:55:00</x:v>
      </x:c>
      <x:c r="D5344" s="47" t="n">
        <x:v>5</x:v>
      </x:c>
      <x:c r="E5344" s="40" t="n">
        <x:v>19.2</x:v>
      </x:c>
      <x:c r="F5344" s="40" t="n">
        <x:v>17.850475311279297</x:v>
      </x:c>
      <x:c r="G5344" s="40" t="n">
        <x:v>19.2</x:v>
      </x:c>
      <x:c r="H5344" s="40" t="n">
        <x:f>F5344-E5344</x:f>
        <x:v>-1.3495246887207024</x:v>
      </x:c>
      <x:c r="I5344" s="40" t="n">
        <x:f>ABS(H5344)</x:f>
        <x:v>1.3495246887207024</x:v>
      </x:c>
      <x:c r="J5344" s="40" t="n">
        <x:f>H5344^2</x:f>
        <x:v>1.8212168854667088</x:v>
      </x:c>
      <x:c r="K5344" s="40" t="n">
        <x:f>G5344-E5344</x:f>
        <x:v>0</x:v>
      </x:c>
      <x:c r="L5344" s="40" t="n">
        <x:f>ABS(K5344)</x:f>
        <x:v>0</x:v>
      </x:c>
      <x:c r="M5344" s="41" t="str">
        <x:v>lstm-soil-v1</x:v>
      </x:c>
    </x:row>
    <x:row r="5345">
      <x:c r="A5345" s="38" t="str">
        <x:v>7月30日现场数据</x:v>
      </x:c>
      <x:c r="B5345" s="39" t="str">
        <x:v>2026-08-05T04:50:00</x:v>
      </x:c>
      <x:c r="C5345" s="39" t="str">
        <x:v>2026-08-05T05:05:00</x:v>
      </x:c>
      <x:c r="D5345" s="47" t="n">
        <x:v>15</x:v>
      </x:c>
      <x:c r="E5345" s="40" t="n">
        <x:v>19.1</x:v>
      </x:c>
      <x:c r="F5345" s="40" t="n">
        <x:v>17.94115447998047</x:v>
      </x:c>
      <x:c r="G5345" s="40" t="n">
        <x:v>19.2</x:v>
      </x:c>
      <x:c r="H5345" s="40" t="n">
        <x:f>F5345-E5345</x:f>
        <x:v>-1.1588455200195327</x:v>
      </x:c>
      <x:c r="I5345" s="40" t="n">
        <x:f>ABS(H5345)</x:f>
        <x:v>1.1588455200195327</x:v>
      </x:c>
      <x:c r="J5345" s="40" t="n">
        <x:f>H5345^2</x:f>
        <x:v>1.3429229392693411</x:v>
      </x:c>
      <x:c r="K5345" s="40" t="n">
        <x:f>G5345-E5345</x:f>
        <x:v>0.09999999999999787</x:v>
      </x:c>
      <x:c r="L5345" s="40" t="n">
        <x:f>ABS(K5345)</x:f>
        <x:v>0.09999999999999787</x:v>
      </x:c>
      <x:c r="M5345" s="41" t="str">
        <x:v>lstm-soil-v1</x:v>
      </x:c>
    </x:row>
    <x:row r="5346">
      <x:c r="A5346" s="38" t="str">
        <x:v>7月30日现场数据</x:v>
      </x:c>
      <x:c r="B5346" s="39" t="str">
        <x:v>2026-08-05T04:50:00</x:v>
      </x:c>
      <x:c r="C5346" s="39" t="str">
        <x:v>2026-08-05T05:20:00</x:v>
      </x:c>
      <x:c r="D5346" s="47" t="n">
        <x:v>30</x:v>
      </x:c>
      <x:c r="E5346" s="40" t="n">
        <x:v>19.1</x:v>
      </x:c>
      <x:c r="F5346" s="40" t="n">
        <x:v>18.29448699951172</x:v>
      </x:c>
      <x:c r="G5346" s="40" t="n">
        <x:v>19.2</x:v>
      </x:c>
      <x:c r="H5346" s="40" t="n">
        <x:f>F5346-E5346</x:f>
        <x:v>-0.8055130004882827</x:v>
      </x:c>
      <x:c r="I5346" s="40" t="n">
        <x:f>ABS(H5346)</x:f>
        <x:v>0.8055130004882827</x:v>
      </x:c>
      <x:c r="J5346" s="40" t="n">
        <x:f>H5346^2</x:f>
        <x:v>0.6488511939556361</x:v>
      </x:c>
      <x:c r="K5346" s="40" t="n">
        <x:f>G5346-E5346</x:f>
        <x:v>0.09999999999999787</x:v>
      </x:c>
      <x:c r="L5346" s="40" t="n">
        <x:f>ABS(K5346)</x:f>
        <x:v>0.09999999999999787</x:v>
      </x:c>
      <x:c r="M5346" s="41" t="str">
        <x:v>lstm-soil-v1</x:v>
      </x:c>
    </x:row>
    <x:row r="5347">
      <x:c r="A5347" s="38" t="str">
        <x:v>7月30日现场数据</x:v>
      </x:c>
      <x:c r="B5347" s="39" t="str">
        <x:v>2026-08-05T04:50:00</x:v>
      </x:c>
      <x:c r="C5347" s="39" t="str">
        <x:v>2026-08-05T05:50:00</x:v>
      </x:c>
      <x:c r="D5347" s="47" t="n">
        <x:v>60</x:v>
      </x:c>
      <x:c r="E5347" s="40" t="n">
        <x:v>19</x:v>
      </x:c>
      <x:c r="F5347" s="40" t="n">
        <x:v>19.9283447265625</x:v>
      </x:c>
      <x:c r="G5347" s="40" t="n">
        <x:v>19.2</x:v>
      </x:c>
      <x:c r="H5347" s="40" t="n">
        <x:f>F5347-E5347</x:f>
        <x:v>0.9283447265625</x:v>
      </x:c>
      <x:c r="I5347" s="40" t="n">
        <x:f>ABS(H5347)</x:f>
        <x:v>0.9283447265625</x:v>
      </x:c>
      <x:c r="J5347" s="40" t="n">
        <x:f>H5347^2</x:f>
        <x:v>0.8618239313364029</x:v>
      </x:c>
      <x:c r="K5347" s="40" t="n">
        <x:f>G5347-E5347</x:f>
        <x:v>0.1999999999999993</x:v>
      </x:c>
      <x:c r="L5347" s="40" t="n">
        <x:f>ABS(K5347)</x:f>
        <x:v>0.1999999999999993</x:v>
      </x:c>
      <x:c r="M5347" s="41" t="str">
        <x:v>lstm-soil-v1</x:v>
      </x:c>
    </x:row>
    <x:row r="5348">
      <x:c r="A5348" s="38" t="str">
        <x:v>7月30日现场数据</x:v>
      </x:c>
      <x:c r="B5348" s="39" t="str">
        <x:v>2026-08-05T04:55:00</x:v>
      </x:c>
      <x:c r="C5348" s="39" t="str">
        <x:v>2026-08-05T05:00:00</x:v>
      </x:c>
      <x:c r="D5348" s="47" t="n">
        <x:v>5</x:v>
      </x:c>
      <x:c r="E5348" s="40" t="n">
        <x:v>19.2</x:v>
      </x:c>
      <x:c r="F5348" s="40" t="n">
        <x:v>17.850730895996094</x:v>
      </x:c>
      <x:c r="G5348" s="40" t="n">
        <x:v>19.2</x:v>
      </x:c>
      <x:c r="H5348" s="40" t="n">
        <x:f>F5348-E5348</x:f>
        <x:v>-1.3492691040039055</x:v>
      </x:c>
      <x:c r="I5348" s="40" t="n">
        <x:f>ABS(H5348)</x:f>
        <x:v>1.3492691040039055</x:v>
      </x:c>
      <x:c r="J5348" s="40" t="n">
        <x:f>H5348^2</x:f>
        <x:v>1.8205271150195022</x:v>
      </x:c>
      <x:c r="K5348" s="40" t="n">
        <x:f>G5348-E5348</x:f>
        <x:v>0</x:v>
      </x:c>
      <x:c r="L5348" s="40" t="n">
        <x:f>ABS(K5348)</x:f>
        <x:v>0</x:v>
      </x:c>
      <x:c r="M5348" s="41" t="str">
        <x:v>lstm-soil-v1</x:v>
      </x:c>
    </x:row>
    <x:row r="5349">
      <x:c r="A5349" s="38" t="str">
        <x:v>7月30日现场数据</x:v>
      </x:c>
      <x:c r="B5349" s="39" t="str">
        <x:v>2026-08-05T04:55:00</x:v>
      </x:c>
      <x:c r="C5349" s="39" t="str">
        <x:v>2026-08-05T05:10:00</x:v>
      </x:c>
      <x:c r="D5349" s="47" t="n">
        <x:v>15</x:v>
      </x:c>
      <x:c r="E5349" s="40" t="n">
        <x:v>19.1</x:v>
      </x:c>
      <x:c r="F5349" s="40" t="n">
        <x:v>17.941314697265625</x:v>
      </x:c>
      <x:c r="G5349" s="40" t="n">
        <x:v>19.2</x:v>
      </x:c>
      <x:c r="H5349" s="40" t="n">
        <x:f>F5349-E5349</x:f>
        <x:v>-1.1586853027343764</x:v>
      </x:c>
      <x:c r="I5349" s="40" t="n">
        <x:f>ABS(H5349)</x:f>
        <x:v>1.1586853027343764</x:v>
      </x:c>
      <x:c r="J5349" s="40" t="n">
        <x:f>H5349^2</x:f>
        <x:v>1.3425516307726535</x:v>
      </x:c>
      <x:c r="K5349" s="40" t="n">
        <x:f>G5349-E5349</x:f>
        <x:v>0.09999999999999787</x:v>
      </x:c>
      <x:c r="L5349" s="40" t="n">
        <x:f>ABS(K5349)</x:f>
        <x:v>0.09999999999999787</x:v>
      </x:c>
      <x:c r="M5349" s="41" t="str">
        <x:v>lstm-soil-v1</x:v>
      </x:c>
    </x:row>
    <x:row r="5350">
      <x:c r="A5350" s="38" t="str">
        <x:v>7月30日现场数据</x:v>
      </x:c>
      <x:c r="B5350" s="39" t="str">
        <x:v>2026-08-05T04:55:00</x:v>
      </x:c>
      <x:c r="C5350" s="39" t="str">
        <x:v>2026-08-05T05:25:00</x:v>
      </x:c>
      <x:c r="D5350" s="47" t="n">
        <x:v>30</x:v>
      </x:c>
      <x:c r="E5350" s="40" t="n">
        <x:v>19.1</x:v>
      </x:c>
      <x:c r="F5350" s="40" t="n">
        <x:v>18.295047760009766</x:v>
      </x:c>
      <x:c r="G5350" s="40" t="n">
        <x:v>19.2</x:v>
      </x:c>
      <x:c r="H5350" s="40" t="n">
        <x:f>F5350-E5350</x:f>
        <x:v>-0.8049522399902358</x:v>
      </x:c>
      <x:c r="I5350" s="40" t="n">
        <x:f>ABS(H5350)</x:f>
        <x:v>0.8049522399902358</x:v>
      </x:c>
      <x:c r="J5350" s="40" t="n">
        <x:f>H5350^2</x:f>
        <x:v>0.6479481086652982</x:v>
      </x:c>
      <x:c r="K5350" s="40" t="n">
        <x:f>G5350-E5350</x:f>
        <x:v>0.09999999999999787</x:v>
      </x:c>
      <x:c r="L5350" s="40" t="n">
        <x:f>ABS(K5350)</x:f>
        <x:v>0.09999999999999787</x:v>
      </x:c>
      <x:c r="M5350" s="41" t="str">
        <x:v>lstm-soil-v1</x:v>
      </x:c>
    </x:row>
    <x:row r="5351">
      <x:c r="A5351" s="38" t="str">
        <x:v>7月30日现场数据</x:v>
      </x:c>
      <x:c r="B5351" s="39" t="str">
        <x:v>2026-08-05T04:55:00</x:v>
      </x:c>
      <x:c r="C5351" s="39" t="str">
        <x:v>2026-08-05T05:55:00</x:v>
      </x:c>
      <x:c r="D5351" s="47" t="n">
        <x:v>60</x:v>
      </x:c>
      <x:c r="E5351" s="40" t="n">
        <x:v>19</x:v>
      </x:c>
      <x:c r="F5351" s="40" t="n">
        <x:v>19.928714752197266</x:v>
      </x:c>
      <x:c r="G5351" s="40" t="n">
        <x:v>19.2</x:v>
      </x:c>
      <x:c r="H5351" s="40" t="n">
        <x:f>F5351-E5351</x:f>
        <x:v>0.9287147521972656</x:v>
      </x:c>
      <x:c r="I5351" s="40" t="n">
        <x:f>ABS(H5351)</x:f>
        <x:v>0.9287147521972656</x:v>
      </x:c>
      <x:c r="J5351" s="40" t="n">
        <x:f>H5351^2</x:f>
        <x:v>0.8625110909488285</x:v>
      </x:c>
      <x:c r="K5351" s="40" t="n">
        <x:f>G5351-E5351</x:f>
        <x:v>0.1999999999999993</x:v>
      </x:c>
      <x:c r="L5351" s="40" t="n">
        <x:f>ABS(K5351)</x:f>
        <x:v>0.1999999999999993</x:v>
      </x:c>
      <x:c r="M5351" s="41" t="str">
        <x:v>lstm-soil-v1</x:v>
      </x:c>
    </x:row>
    <x:row r="5352">
      <x:c r="A5352" s="38" t="str">
        <x:v>7月30日现场数据</x:v>
      </x:c>
      <x:c r="B5352" s="39" t="str">
        <x:v>2026-08-05T05:00:00</x:v>
      </x:c>
      <x:c r="C5352" s="39" t="str">
        <x:v>2026-08-05T05:05:00</x:v>
      </x:c>
      <x:c r="D5352" s="47" t="n">
        <x:v>5</x:v>
      </x:c>
      <x:c r="E5352" s="40" t="n">
        <x:v>19.1</x:v>
      </x:c>
      <x:c r="F5352" s="40" t="n">
        <x:v>17.850021362304688</x:v>
      </x:c>
      <x:c r="G5352" s="40" t="n">
        <x:v>19.2</x:v>
      </x:c>
      <x:c r="H5352" s="40" t="n">
        <x:f>F5352-E5352</x:f>
        <x:v>-1.249978637695314</x:v>
      </x:c>
      <x:c r="I5352" s="40" t="n">
        <x:f>ABS(H5352)</x:f>
        <x:v>1.249978637695314</x:v>
      </x:c>
      <x:c r="J5352" s="40" t="n">
        <x:f>H5352^2</x:f>
        <x:v>1.5624465946946329</x:v>
      </x:c>
      <x:c r="K5352" s="40" t="n">
        <x:f>G5352-E5352</x:f>
        <x:v>0.09999999999999787</x:v>
      </x:c>
      <x:c r="L5352" s="40" t="n">
        <x:f>ABS(K5352)</x:f>
        <x:v>0.09999999999999787</x:v>
      </x:c>
      <x:c r="M5352" s="41" t="str">
        <x:v>lstm-soil-v1</x:v>
      </x:c>
    </x:row>
    <x:row r="5353">
      <x:c r="A5353" s="38" t="str">
        <x:v>7月30日现场数据</x:v>
      </x:c>
      <x:c r="B5353" s="39" t="str">
        <x:v>2026-08-05T05:00:00</x:v>
      </x:c>
      <x:c r="C5353" s="39" t="str">
        <x:v>2026-08-05T05:15:00</x:v>
      </x:c>
      <x:c r="D5353" s="47" t="n">
        <x:v>15</x:v>
      </x:c>
      <x:c r="E5353" s="40" t="n">
        <x:v>19.1</x:v>
      </x:c>
      <x:c r="F5353" s="40" t="n">
        <x:v>17.940074920654297</x:v>
      </x:c>
      <x:c r="G5353" s="40" t="n">
        <x:v>19.2</x:v>
      </x:c>
      <x:c r="H5353" s="40" t="n">
        <x:f>F5353-E5353</x:f>
        <x:v>-1.1599250793457045</x:v>
      </x:c>
      <x:c r="I5353" s="40" t="n">
        <x:f>ABS(H5353)</x:f>
        <x:v>1.1599250793457045</x:v>
      </x:c>
      <x:c r="J5353" s="40" t="n">
        <x:f>H5353^2</x:f>
        <x:v>1.345426189695139</x:v>
      </x:c>
      <x:c r="K5353" s="40" t="n">
        <x:f>G5353-E5353</x:f>
        <x:v>0.09999999999999787</x:v>
      </x:c>
      <x:c r="L5353" s="40" t="n">
        <x:f>ABS(K5353)</x:f>
        <x:v>0.09999999999999787</x:v>
      </x:c>
      <x:c r="M5353" s="41" t="str">
        <x:v>lstm-soil-v1</x:v>
      </x:c>
    </x:row>
    <x:row r="5354">
      <x:c r="A5354" s="38" t="str">
        <x:v>7月30日现场数据</x:v>
      </x:c>
      <x:c r="B5354" s="39" t="str">
        <x:v>2026-08-05T05:00:00</x:v>
      </x:c>
      <x:c r="C5354" s="39" t="str">
        <x:v>2026-08-05T05:30:00</x:v>
      </x:c>
      <x:c r="D5354" s="47" t="n">
        <x:v>30</x:v>
      </x:c>
      <x:c r="E5354" s="40" t="n">
        <x:v>19.1</x:v>
      </x:c>
      <x:c r="F5354" s="40" t="n">
        <x:v>18.294536590576172</x:v>
      </x:c>
      <x:c r="G5354" s="40" t="n">
        <x:v>19.2</x:v>
      </x:c>
      <x:c r="H5354" s="40" t="n">
        <x:f>F5354-E5354</x:f>
        <x:v>-0.8054634094238295</x:v>
      </x:c>
      <x:c r="I5354" s="40" t="n">
        <x:f>ABS(H5354)</x:f>
        <x:v>0.8054634094238295</x:v>
      </x:c>
      <x:c r="J5354" s="40" t="n">
        <x:f>H5354^2</x:f>
        <x:v>0.6487713039206596</x:v>
      </x:c>
      <x:c r="K5354" s="40" t="n">
        <x:f>G5354-E5354</x:f>
        <x:v>0.09999999999999787</x:v>
      </x:c>
      <x:c r="L5354" s="40" t="n">
        <x:f>ABS(K5354)</x:f>
        <x:v>0.09999999999999787</x:v>
      </x:c>
      <x:c r="M5354" s="41" t="str">
        <x:v>lstm-soil-v1</x:v>
      </x:c>
    </x:row>
    <x:row r="5355">
      <x:c r="A5355" s="38" t="str">
        <x:v>7月30日现场数据</x:v>
      </x:c>
      <x:c r="B5355" s="39" t="str">
        <x:v>2026-08-05T05:00:00</x:v>
      </x:c>
      <x:c r="C5355" s="39" t="str">
        <x:v>2026-08-05T06:00:00</x:v>
      </x:c>
      <x:c r="D5355" s="47" t="n">
        <x:v>60</x:v>
      </x:c>
      <x:c r="E5355" s="40" t="n">
        <x:v>19</x:v>
      </x:c>
      <x:c r="F5355" s="40" t="n">
        <x:v>19.930431365966797</x:v>
      </x:c>
      <x:c r="G5355" s="40" t="n">
        <x:v>19.2</x:v>
      </x:c>
      <x:c r="H5355" s="40" t="n">
        <x:f>F5355-E5355</x:f>
        <x:v>0.9304313659667969</x:v>
      </x:c>
      <x:c r="I5355" s="40" t="n">
        <x:f>ABS(H5355)</x:f>
        <x:v>0.9304313659667969</x:v>
      </x:c>
      <x:c r="J5355" s="40" t="n">
        <x:f>H5355^2</x:f>
        <x:v>0.8657025267748395</x:v>
      </x:c>
      <x:c r="K5355" s="40" t="n">
        <x:f>G5355-E5355</x:f>
        <x:v>0.1999999999999993</x:v>
      </x:c>
      <x:c r="L5355" s="40" t="n">
        <x:f>ABS(K5355)</x:f>
        <x:v>0.1999999999999993</x:v>
      </x:c>
      <x:c r="M5355" s="41" t="str">
        <x:v>lstm-soil-v1</x:v>
      </x:c>
    </x:row>
    <x:row r="5356">
      <x:c r="A5356" s="38" t="str">
        <x:v>7月30日现场数据</x:v>
      </x:c>
      <x:c r="B5356" s="39" t="str">
        <x:v>2026-08-05T05:05:00</x:v>
      </x:c>
      <x:c r="C5356" s="39" t="str">
        <x:v>2026-08-05T05:10:00</x:v>
      </x:c>
      <x:c r="D5356" s="47" t="n">
        <x:v>5</x:v>
      </x:c>
      <x:c r="E5356" s="40" t="n">
        <x:v>19.1</x:v>
      </x:c>
      <x:c r="F5356" s="40" t="n">
        <x:v>17.73928451538086</x:v>
      </x:c>
      <x:c r="G5356" s="40" t="n">
        <x:v>19.1</x:v>
      </x:c>
      <x:c r="H5356" s="40" t="n">
        <x:f>F5356-E5356</x:f>
        <x:v>-1.360715484619142</x:v>
      </x:c>
      <x:c r="I5356" s="40" t="n">
        <x:f>ABS(H5356)</x:f>
        <x:v>1.360715484619142</x:v>
      </x:c>
      <x:c r="J5356" s="40" t="n">
        <x:f>H5356^2</x:f>
        <x:v>1.8515466300823067</x:v>
      </x:c>
      <x:c r="K5356" s="40" t="n">
        <x:f>G5356-E5356</x:f>
        <x:v>0</x:v>
      </x:c>
      <x:c r="L5356" s="40" t="n">
        <x:f>ABS(K5356)</x:f>
        <x:v>0</x:v>
      </x:c>
      <x:c r="M5356" s="41" t="str">
        <x:v>lstm-soil-v1</x:v>
      </x:c>
    </x:row>
    <x:row r="5357">
      <x:c r="A5357" s="38" t="str">
        <x:v>7月30日现场数据</x:v>
      </x:c>
      <x:c r="B5357" s="39" t="str">
        <x:v>2026-08-05T05:05:00</x:v>
      </x:c>
      <x:c r="C5357" s="39" t="str">
        <x:v>2026-08-05T05:20:00</x:v>
      </x:c>
      <x:c r="D5357" s="47" t="n">
        <x:v>15</x:v>
      </x:c>
      <x:c r="E5357" s="40" t="n">
        <x:v>19.1</x:v>
      </x:c>
      <x:c r="F5357" s="40" t="n">
        <x:v>17.830204010009766</x:v>
      </x:c>
      <x:c r="G5357" s="40" t="n">
        <x:v>19.1</x:v>
      </x:c>
      <x:c r="H5357" s="40" t="n">
        <x:f>F5357-E5357</x:f>
        <x:v>-1.2697959899902358</x:v>
      </x:c>
      <x:c r="I5357" s="40" t="n">
        <x:f>ABS(H5357)</x:f>
        <x:v>1.2697959899902358</x:v>
      </x:c>
      <x:c r="J5357" s="40" t="n">
        <x:f>H5357^2</x:f>
        <x:v>1.612381856195283</x:v>
      </x:c>
      <x:c r="K5357" s="40" t="n">
        <x:f>G5357-E5357</x:f>
        <x:v>0</x:v>
      </x:c>
      <x:c r="L5357" s="40" t="n">
        <x:f>ABS(K5357)</x:f>
        <x:v>0</x:v>
      </x:c>
      <x:c r="M5357" s="41" t="str">
        <x:v>lstm-soil-v1</x:v>
      </x:c>
    </x:row>
    <x:row r="5358">
      <x:c r="A5358" s="38" t="str">
        <x:v>7月30日现场数据</x:v>
      </x:c>
      <x:c r="B5358" s="39" t="str">
        <x:v>2026-08-05T05:05:00</x:v>
      </x:c>
      <x:c r="C5358" s="39" t="str">
        <x:v>2026-08-05T05:35:00</x:v>
      </x:c>
      <x:c r="D5358" s="47" t="n">
        <x:v>30</x:v>
      </x:c>
      <x:c r="E5358" s="40" t="n">
        <x:v>19.1</x:v>
      </x:c>
      <x:c r="F5358" s="40" t="n">
        <x:v>18.18523406982422</x:v>
      </x:c>
      <x:c r="G5358" s="40" t="n">
        <x:v>19.1</x:v>
      </x:c>
      <x:c r="H5358" s="40" t="n">
        <x:f>F5358-E5358</x:f>
        <x:v>-0.9147659301757827</x:v>
      </x:c>
      <x:c r="I5358" s="40" t="n">
        <x:f>ABS(H5358)</x:f>
        <x:v>0.9147659301757827</x:v>
      </x:c>
      <x:c r="J5358" s="40" t="n">
        <x:f>H5358^2</x:f>
        <x:v>0.8367967070103649</x:v>
      </x:c>
      <x:c r="K5358" s="40" t="n">
        <x:f>G5358-E5358</x:f>
        <x:v>0</x:v>
      </x:c>
      <x:c r="L5358" s="40" t="n">
        <x:f>ABS(K5358)</x:f>
        <x:v>0</x:v>
      </x:c>
      <x:c r="M5358" s="41" t="str">
        <x:v>lstm-soil-v1</x:v>
      </x:c>
    </x:row>
    <x:row r="5359">
      <x:c r="A5359" s="38" t="str">
        <x:v>7月30日现场数据</x:v>
      </x:c>
      <x:c r="B5359" s="39" t="str">
        <x:v>2026-08-05T05:05:00</x:v>
      </x:c>
      <x:c r="C5359" s="39" t="str">
        <x:v>2026-08-05T06:05:00</x:v>
      </x:c>
      <x:c r="D5359" s="47" t="n">
        <x:v>60</x:v>
      </x:c>
      <x:c r="E5359" s="40" t="n">
        <x:v>19</x:v>
      </x:c>
      <x:c r="F5359" s="40" t="n">
        <x:v>19.820873260498047</x:v>
      </x:c>
      <x:c r="G5359" s="40" t="n">
        <x:v>19.1</x:v>
      </x:c>
      <x:c r="H5359" s="40" t="n">
        <x:f>F5359-E5359</x:f>
        <x:v>0.8208732604980469</x:v>
      </x:c>
      <x:c r="I5359" s="40" t="n">
        <x:f>ABS(H5359)</x:f>
        <x:v>0.8208732604980469</x:v>
      </x:c>
      <x:c r="J5359" s="40" t="n">
        <x:f>H5359^2</x:f>
        <x:v>0.6738329098006943</x:v>
      </x:c>
      <x:c r="K5359" s="40" t="n">
        <x:f>G5359-E5359</x:f>
        <x:v>0.10000000000000142</x:v>
      </x:c>
      <x:c r="L5359" s="40" t="n">
        <x:f>ABS(K5359)</x:f>
        <x:v>0.10000000000000142</x:v>
      </x:c>
      <x:c r="M5359" s="41" t="str">
        <x:v>lstm-soil-v1</x:v>
      </x:c>
    </x:row>
    <x:row r="5360">
      <x:c r="A5360" s="38" t="str">
        <x:v>7月30日现场数据</x:v>
      </x:c>
      <x:c r="B5360" s="39" t="str">
        <x:v>2026-08-05T05:10:00</x:v>
      </x:c>
      <x:c r="C5360" s="39" t="str">
        <x:v>2026-08-05T05:15:00</x:v>
      </x:c>
      <x:c r="D5360" s="47" t="n">
        <x:v>5</x:v>
      </x:c>
      <x:c r="E5360" s="40" t="n">
        <x:v>19.1</x:v>
      </x:c>
      <x:c r="F5360" s="40" t="n">
        <x:v>17.739395141601562</x:v>
      </x:c>
      <x:c r="G5360" s="40" t="n">
        <x:v>19.1</x:v>
      </x:c>
      <x:c r="H5360" s="40" t="n">
        <x:f>F5360-E5360</x:f>
        <x:v>-1.360604858398439</x:v>
      </x:c>
      <x:c r="I5360" s="40" t="n">
        <x:f>ABS(H5360)</x:f>
        <x:v>1.360604858398439</x:v>
      </x:c>
      <x:c r="J5360" s="40" t="n">
        <x:f>H5360^2</x:f>
        <x:v>1.851245580697436</x:v>
      </x:c>
      <x:c r="K5360" s="40" t="n">
        <x:f>G5360-E5360</x:f>
        <x:v>0</x:v>
      </x:c>
      <x:c r="L5360" s="40" t="n">
        <x:f>ABS(K5360)</x:f>
        <x:v>0</x:v>
      </x:c>
      <x:c r="M5360" s="41" t="str">
        <x:v>lstm-soil-v1</x:v>
      </x:c>
    </x:row>
    <x:row r="5361">
      <x:c r="A5361" s="38" t="str">
        <x:v>7月30日现场数据</x:v>
      </x:c>
      <x:c r="B5361" s="39" t="str">
        <x:v>2026-08-05T05:10:00</x:v>
      </x:c>
      <x:c r="C5361" s="39" t="str">
        <x:v>2026-08-05T05:25:00</x:v>
      </x:c>
      <x:c r="D5361" s="47" t="n">
        <x:v>15</x:v>
      </x:c>
      <x:c r="E5361" s="40" t="n">
        <x:v>19.1</x:v>
      </x:c>
      <x:c r="F5361" s="40" t="n">
        <x:v>17.831092834472656</x:v>
      </x:c>
      <x:c r="G5361" s="40" t="n">
        <x:v>19.1</x:v>
      </x:c>
      <x:c r="H5361" s="40" t="n">
        <x:f>F5361-E5361</x:f>
        <x:v>-1.2689071655273452</x:v>
      </x:c>
      <x:c r="I5361" s="40" t="n">
        <x:f>ABS(H5361)</x:f>
        <x:v>1.2689071655273452</x:v>
      </x:c>
      <x:c r="J5361" s="40" t="n">
        <x:f>H5361^2</x:f>
        <x:v>1.6101253947266414</x:v>
      </x:c>
      <x:c r="K5361" s="40" t="n">
        <x:f>G5361-E5361</x:f>
        <x:v>0</x:v>
      </x:c>
      <x:c r="L5361" s="40" t="n">
        <x:f>ABS(K5361)</x:f>
        <x:v>0</x:v>
      </x:c>
      <x:c r="M5361" s="41" t="str">
        <x:v>lstm-soil-v1</x:v>
      </x:c>
    </x:row>
    <x:row r="5362">
      <x:c r="A5362" s="38" t="str">
        <x:v>7月30日现场数据</x:v>
      </x:c>
      <x:c r="B5362" s="39" t="str">
        <x:v>2026-08-05T05:10:00</x:v>
      </x:c>
      <x:c r="C5362" s="39" t="str">
        <x:v>2026-08-05T05:40:00</x:v>
      </x:c>
      <x:c r="D5362" s="47" t="n">
        <x:v>30</x:v>
      </x:c>
      <x:c r="E5362" s="40" t="n">
        <x:v>19</x:v>
      </x:c>
      <x:c r="F5362" s="40" t="n">
        <x:v>18.186634063720703</x:v>
      </x:c>
      <x:c r="G5362" s="40" t="n">
        <x:v>19.1</x:v>
      </x:c>
      <x:c r="H5362" s="40" t="n">
        <x:f>F5362-E5362</x:f>
        <x:v>-0.8133659362792969</x:v>
      </x:c>
      <x:c r="I5362" s="40" t="n">
        <x:f>ABS(H5362)</x:f>
        <x:v>0.8133659362792969</x:v>
      </x:c>
      <x:c r="J5362" s="40" t="n">
        <x:f>H5362^2</x:f>
        <x:v>0.6615641462994972</x:v>
      </x:c>
      <x:c r="K5362" s="40" t="n">
        <x:f>G5362-E5362</x:f>
        <x:v>0.10000000000000142</x:v>
      </x:c>
      <x:c r="L5362" s="40" t="n">
        <x:f>ABS(K5362)</x:f>
        <x:v>0.10000000000000142</x:v>
      </x:c>
      <x:c r="M5362" s="41" t="str">
        <x:v>lstm-soil-v1</x:v>
      </x:c>
    </x:row>
    <x:row r="5363">
      <x:c r="A5363" s="38" t="str">
        <x:v>7月30日现场数据</x:v>
      </x:c>
      <x:c r="B5363" s="39" t="str">
        <x:v>2026-08-05T05:10:00</x:v>
      </x:c>
      <x:c r="C5363" s="39" t="str">
        <x:v>2026-08-05T06:10:00</x:v>
      </x:c>
      <x:c r="D5363" s="47" t="n">
        <x:v>60</x:v>
      </x:c>
      <x:c r="E5363" s="40" t="n">
        <x:v>19</x:v>
      </x:c>
      <x:c r="F5363" s="40" t="n">
        <x:v>19.821624755859375</x:v>
      </x:c>
      <x:c r="G5363" s="40" t="n">
        <x:v>19.1</x:v>
      </x:c>
      <x:c r="H5363" s="40" t="n">
        <x:f>F5363-E5363</x:f>
        <x:v>0.821624755859375</x:v>
      </x:c>
      <x:c r="I5363" s="40" t="n">
        <x:f>ABS(H5363)</x:f>
        <x:v>0.821624755859375</x:v>
      </x:c>
      <x:c r="J5363" s="40" t="n">
        <x:f>H5363^2</x:f>
        <x:v>0.6750672394409776</x:v>
      </x:c>
      <x:c r="K5363" s="40" t="n">
        <x:f>G5363-E5363</x:f>
        <x:v>0.10000000000000142</x:v>
      </x:c>
      <x:c r="L5363" s="40" t="n">
        <x:f>ABS(K5363)</x:f>
        <x:v>0.10000000000000142</x:v>
      </x:c>
      <x:c r="M5363" s="41" t="str">
        <x:v>lstm-soil-v1</x:v>
      </x:c>
    </x:row>
    <x:row r="5364">
      <x:c r="A5364" s="38" t="str">
        <x:v>7月30日现场数据</x:v>
      </x:c>
      <x:c r="B5364" s="39" t="str">
        <x:v>2026-08-05T05:15:00</x:v>
      </x:c>
      <x:c r="C5364" s="39" t="str">
        <x:v>2026-08-05T05:20:00</x:v>
      </x:c>
      <x:c r="D5364" s="47" t="n">
        <x:v>5</x:v>
      </x:c>
      <x:c r="E5364" s="40" t="n">
        <x:v>19.1</x:v>
      </x:c>
      <x:c r="F5364" s="40" t="n">
        <x:v>17.73990249633789</x:v>
      </x:c>
      <x:c r="G5364" s="40" t="n">
        <x:v>19.1</x:v>
      </x:c>
      <x:c r="H5364" s="40" t="n">
        <x:f>F5364-E5364</x:f>
        <x:v>-1.3600975036621108</x:v>
      </x:c>
      <x:c r="I5364" s="40" t="n">
        <x:f>ABS(H5364)</x:f>
        <x:v>1.3600975036621108</x:v>
      </x:c>
      <x:c r="J5364" s="40" t="n">
        <x:f>H5364^2</x:f>
        <x:v>1.8498652194679055</x:v>
      </x:c>
      <x:c r="K5364" s="40" t="n">
        <x:f>G5364-E5364</x:f>
        <x:v>0</x:v>
      </x:c>
      <x:c r="L5364" s="40" t="n">
        <x:f>ABS(K5364)</x:f>
        <x:v>0</x:v>
      </x:c>
      <x:c r="M5364" s="41" t="str">
        <x:v>lstm-soil-v1</x:v>
      </x:c>
    </x:row>
    <x:row r="5365">
      <x:c r="A5365" s="38" t="str">
        <x:v>7月30日现场数据</x:v>
      </x:c>
      <x:c r="B5365" s="39" t="str">
        <x:v>2026-08-05T05:15:00</x:v>
      </x:c>
      <x:c r="C5365" s="39" t="str">
        <x:v>2026-08-05T05:30:00</x:v>
      </x:c>
      <x:c r="D5365" s="47" t="n">
        <x:v>15</x:v>
      </x:c>
      <x:c r="E5365" s="40" t="n">
        <x:v>19.1</x:v>
      </x:c>
      <x:c r="F5365" s="40" t="n">
        <x:v>17.831981658935547</x:v>
      </x:c>
      <x:c r="G5365" s="40" t="n">
        <x:v>19.1</x:v>
      </x:c>
      <x:c r="H5365" s="40" t="n">
        <x:f>F5365-E5365</x:f>
        <x:v>-1.2680183410644545</x:v>
      </x:c>
      <x:c r="I5365" s="40" t="n">
        <x:f>ABS(H5365)</x:f>
        <x:v>1.2680183410644545</x:v>
      </x:c>
      <x:c r="J5365" s="40" t="n">
        <x:f>H5365^2</x:f>
        <x:v>1.6078705132758513</x:v>
      </x:c>
      <x:c r="K5365" s="40" t="n">
        <x:f>G5365-E5365</x:f>
        <x:v>0</x:v>
      </x:c>
      <x:c r="L5365" s="40" t="n">
        <x:f>ABS(K5365)</x:f>
        <x:v>0</x:v>
      </x:c>
      <x:c r="M5365" s="41" t="str">
        <x:v>lstm-soil-v1</x:v>
      </x:c>
    </x:row>
    <x:row r="5366">
      <x:c r="A5366" s="38" t="str">
        <x:v>7月30日现场数据</x:v>
      </x:c>
      <x:c r="B5366" s="39" t="str">
        <x:v>2026-08-05T05:15:00</x:v>
      </x:c>
      <x:c r="C5366" s="39" t="str">
        <x:v>2026-08-05T05:45:00</x:v>
      </x:c>
      <x:c r="D5366" s="47" t="n">
        <x:v>30</x:v>
      </x:c>
      <x:c r="E5366" s="40" t="n">
        <x:v>19</x:v>
      </x:c>
      <x:c r="F5366" s="40" t="n">
        <x:v>18.187908172607422</x:v>
      </x:c>
      <x:c r="G5366" s="40" t="n">
        <x:v>19.1</x:v>
      </x:c>
      <x:c r="H5366" s="40" t="n">
        <x:f>F5366-E5366</x:f>
        <x:v>-0.8120918273925781</x:v>
      </x:c>
      <x:c r="I5366" s="40" t="n">
        <x:f>ABS(H5366)</x:f>
        <x:v>0.8120918273925781</x:v>
      </x:c>
      <x:c r="J5366" s="40" t="n">
        <x:f>H5366^2</x:f>
        <x:v>0.6594931361178169</x:v>
      </x:c>
      <x:c r="K5366" s="40" t="n">
        <x:f>G5366-E5366</x:f>
        <x:v>0.10000000000000142</x:v>
      </x:c>
      <x:c r="L5366" s="40" t="n">
        <x:f>ABS(K5366)</x:f>
        <x:v>0.10000000000000142</x:v>
      </x:c>
      <x:c r="M5366" s="41" t="str">
        <x:v>lstm-soil-v1</x:v>
      </x:c>
    </x:row>
    <x:row r="5367">
      <x:c r="A5367" s="38" t="str">
        <x:v>7月30日现场数据</x:v>
      </x:c>
      <x:c r="B5367" s="39" t="str">
        <x:v>2026-08-05T05:15:00</x:v>
      </x:c>
      <x:c r="C5367" s="39" t="str">
        <x:v>2026-08-05T06:15:00</x:v>
      </x:c>
      <x:c r="D5367" s="47" t="n">
        <x:v>60</x:v>
      </x:c>
      <x:c r="E5367" s="40" t="n">
        <x:v>19</x:v>
      </x:c>
      <x:c r="F5367" s="40" t="n">
        <x:v>19.822063446044922</x:v>
      </x:c>
      <x:c r="G5367" s="40" t="n">
        <x:v>19.1</x:v>
      </x:c>
      <x:c r="H5367" s="40" t="n">
        <x:f>F5367-E5367</x:f>
        <x:v>0.8220634460449219</x:v>
      </x:c>
      <x:c r="I5367" s="40" t="n">
        <x:f>ABS(H5367)</x:f>
        <x:v>0.8220634460449219</x:v>
      </x:c>
      <x:c r="J5367" s="40" t="n">
        <x:f>H5367^2</x:f>
        <x:v>0.6757883093232522</x:v>
      </x:c>
      <x:c r="K5367" s="40" t="n">
        <x:f>G5367-E5367</x:f>
        <x:v>0.10000000000000142</x:v>
      </x:c>
      <x:c r="L5367" s="40" t="n">
        <x:f>ABS(K5367)</x:f>
        <x:v>0.10000000000000142</x:v>
      </x:c>
      <x:c r="M5367" s="41" t="str">
        <x:v>lstm-soil-v1</x:v>
      </x:c>
    </x:row>
    <x:row r="5368">
      <x:c r="A5368" s="38" t="str">
        <x:v>7月30日现场数据</x:v>
      </x:c>
      <x:c r="B5368" s="39" t="str">
        <x:v>2026-08-05T05:20:00</x:v>
      </x:c>
      <x:c r="C5368" s="39" t="str">
        <x:v>2026-08-05T05:25:00</x:v>
      </x:c>
      <x:c r="D5368" s="47" t="n">
        <x:v>5</x:v>
      </x:c>
      <x:c r="E5368" s="40" t="n">
        <x:v>19.1</x:v>
      </x:c>
      <x:c r="F5368" s="40" t="n">
        <x:v>17.739952087402344</x:v>
      </x:c>
      <x:c r="G5368" s="40" t="n">
        <x:v>19.1</x:v>
      </x:c>
      <x:c r="H5368" s="40" t="n">
        <x:f>F5368-E5368</x:f>
        <x:v>-1.3600479125976577</x:v>
      </x:c>
      <x:c r="I5368" s="40" t="n">
        <x:f>ABS(H5368)</x:f>
        <x:v>1.3600479125976577</x:v>
      </x:c>
      <x:c r="J5368" s="40" t="n">
        <x:f>H5368^2</x:f>
        <x:v>1.849730324561246</x:v>
      </x:c>
      <x:c r="K5368" s="40" t="n">
        <x:f>G5368-E5368</x:f>
        <x:v>0</x:v>
      </x:c>
      <x:c r="L5368" s="40" t="n">
        <x:f>ABS(K5368)</x:f>
        <x:v>0</x:v>
      </x:c>
      <x:c r="M5368" s="41" t="str">
        <x:v>lstm-soil-v1</x:v>
      </x:c>
    </x:row>
    <x:row r="5369">
      <x:c r="A5369" s="38" t="str">
        <x:v>7月30日现场数据</x:v>
      </x:c>
      <x:c r="B5369" s="39" t="str">
        <x:v>2026-08-05T05:20:00</x:v>
      </x:c>
      <x:c r="C5369" s="39" t="str">
        <x:v>2026-08-05T05:35:00</x:v>
      </x:c>
      <x:c r="D5369" s="47" t="n">
        <x:v>15</x:v>
      </x:c>
      <x:c r="E5369" s="40" t="n">
        <x:v>19.1</x:v>
      </x:c>
      <x:c r="F5369" s="40" t="n">
        <x:v>17.832763671875</x:v>
      </x:c>
      <x:c r="G5369" s="40" t="n">
        <x:v>19.1</x:v>
      </x:c>
      <x:c r="H5369" s="40" t="n">
        <x:f>F5369-E5369</x:f>
        <x:v>-1.2672363281250014</x:v>
      </x:c>
      <x:c r="I5369" s="40" t="n">
        <x:f>ABS(H5369)</x:f>
        <x:v>1.2672363281250014</x:v>
      </x:c>
      <x:c r="J5369" s="40" t="n">
        <x:f>H5369^2</x:f>
        <x:v>1.6058879113197362</x:v>
      </x:c>
      <x:c r="K5369" s="40" t="n">
        <x:f>G5369-E5369</x:f>
        <x:v>0</x:v>
      </x:c>
      <x:c r="L5369" s="40" t="n">
        <x:f>ABS(K5369)</x:f>
        <x:v>0</x:v>
      </x:c>
      <x:c r="M5369" s="41" t="str">
        <x:v>lstm-soil-v1</x:v>
      </x:c>
    </x:row>
    <x:row r="5370">
      <x:c r="A5370" s="38" t="str">
        <x:v>7月30日现场数据</x:v>
      </x:c>
      <x:c r="B5370" s="39" t="str">
        <x:v>2026-08-05T05:20:00</x:v>
      </x:c>
      <x:c r="C5370" s="39" t="str">
        <x:v>2026-08-05T05:50:00</x:v>
      </x:c>
      <x:c r="D5370" s="47" t="n">
        <x:v>30</x:v>
      </x:c>
      <x:c r="E5370" s="40" t="n">
        <x:v>19</x:v>
      </x:c>
      <x:c r="F5370" s="40" t="n">
        <x:v>18.189163208007812</x:v>
      </x:c>
      <x:c r="G5370" s="40" t="n">
        <x:v>19.1</x:v>
      </x:c>
      <x:c r="H5370" s="40" t="n">
        <x:f>F5370-E5370</x:f>
        <x:v>-0.8108367919921875</x:v>
      </x:c>
      <x:c r="I5370" s="40" t="n">
        <x:f>ABS(H5370)</x:f>
        <x:v>0.8108367919921875</x:v>
      </x:c>
      <x:c r="J5370" s="40" t="n">
        <x:f>H5370^2</x:f>
        <x:v>0.6574563032481819</x:v>
      </x:c>
      <x:c r="K5370" s="40" t="n">
        <x:f>G5370-E5370</x:f>
        <x:v>0.10000000000000142</x:v>
      </x:c>
      <x:c r="L5370" s="40" t="n">
        <x:f>ABS(K5370)</x:f>
        <x:v>0.10000000000000142</x:v>
      </x:c>
      <x:c r="M5370" s="41" t="str">
        <x:v>lstm-soil-v1</x:v>
      </x:c>
    </x:row>
    <x:row r="5371">
      <x:c r="A5371" s="38" t="str">
        <x:v>7月30日现场数据</x:v>
      </x:c>
      <x:c r="B5371" s="39" t="str">
        <x:v>2026-08-05T05:20:00</x:v>
      </x:c>
      <x:c r="C5371" s="39" t="str">
        <x:v>2026-08-05T06:20:00</x:v>
      </x:c>
      <x:c r="D5371" s="47" t="n">
        <x:v>60</x:v>
      </x:c>
      <x:c r="E5371" s="40" t="n">
        <x:v>19</x:v>
      </x:c>
      <x:c r="F5371" s="40" t="n">
        <x:v>19.822830200195312</x:v>
      </x:c>
      <x:c r="G5371" s="40" t="n">
        <x:v>19.1</x:v>
      </x:c>
      <x:c r="H5371" s="40" t="n">
        <x:f>F5371-E5371</x:f>
        <x:v>0.8228302001953125</x:v>
      </x:c>
      <x:c r="I5371" s="40" t="n">
        <x:f>ABS(H5371)</x:f>
        <x:v>0.8228302001953125</x:v>
      </x:c>
      <x:c r="J5371" s="40" t="n">
        <x:f>H5371^2</x:f>
        <x:v>0.677049538353458</x:v>
      </x:c>
      <x:c r="K5371" s="40" t="n">
        <x:f>G5371-E5371</x:f>
        <x:v>0.10000000000000142</x:v>
      </x:c>
      <x:c r="L5371" s="40" t="n">
        <x:f>ABS(K5371)</x:f>
        <x:v>0.10000000000000142</x:v>
      </x:c>
      <x:c r="M5371" s="41" t="str">
        <x:v>lstm-soil-v1</x:v>
      </x:c>
    </x:row>
    <x:row r="5372">
      <x:c r="A5372" s="38" t="str">
        <x:v>7月30日现场数据</x:v>
      </x:c>
      <x:c r="B5372" s="39" t="str">
        <x:v>2026-08-05T05:25:00</x:v>
      </x:c>
      <x:c r="C5372" s="39" t="str">
        <x:v>2026-08-05T05:30:00</x:v>
      </x:c>
      <x:c r="D5372" s="47" t="n">
        <x:v>5</x:v>
      </x:c>
      <x:c r="E5372" s="40" t="n">
        <x:v>19.1</x:v>
      </x:c>
      <x:c r="F5372" s="40" t="n">
        <x:v>17.74034881591797</x:v>
      </x:c>
      <x:c r="G5372" s="40" t="n">
        <x:v>19.1</x:v>
      </x:c>
      <x:c r="H5372" s="40" t="n">
        <x:f>F5372-E5372</x:f>
        <x:v>-1.3596511840820327</x:v>
      </x:c>
      <x:c r="I5372" s="40" t="n">
        <x:f>ABS(H5372)</x:f>
        <x:v>1.3596511840820327</x:v>
      </x:c>
      <x:c r="J5372" s="40" t="n">
        <x:f>H5372^2</x:f>
        <x:v>1.8486513423756734</x:v>
      </x:c>
      <x:c r="K5372" s="40" t="n">
        <x:f>G5372-E5372</x:f>
        <x:v>0</x:v>
      </x:c>
      <x:c r="L5372" s="40" t="n">
        <x:f>ABS(K5372)</x:f>
        <x:v>0</x:v>
      </x:c>
      <x:c r="M5372" s="41" t="str">
        <x:v>lstm-soil-v1</x:v>
      </x:c>
    </x:row>
    <x:row r="5373">
      <x:c r="A5373" s="38" t="str">
        <x:v>7月30日现场数据</x:v>
      </x:c>
      <x:c r="B5373" s="39" t="str">
        <x:v>2026-08-05T05:25:00</x:v>
      </x:c>
      <x:c r="C5373" s="39" t="str">
        <x:v>2026-08-05T05:40:00</x:v>
      </x:c>
      <x:c r="D5373" s="47" t="n">
        <x:v>15</x:v>
      </x:c>
      <x:c r="E5373" s="40" t="n">
        <x:v>19</x:v>
      </x:c>
      <x:c r="F5373" s="40" t="n">
        <x:v>17.83371353149414</x:v>
      </x:c>
      <x:c r="G5373" s="40" t="n">
        <x:v>19.1</x:v>
      </x:c>
      <x:c r="H5373" s="40" t="n">
        <x:f>F5373-E5373</x:f>
        <x:v>-1.1662864685058594</x:v>
      </x:c>
      <x:c r="I5373" s="40" t="n">
        <x:f>ABS(H5373)</x:f>
        <x:v>1.1662864685058594</x:v>
      </x:c>
      <x:c r="J5373" s="40" t="n">
        <x:f>H5373^2</x:f>
        <x:v>1.360224126619869</x:v>
      </x:c>
      <x:c r="K5373" s="40" t="n">
        <x:f>G5373-E5373</x:f>
        <x:v>0.10000000000000142</x:v>
      </x:c>
      <x:c r="L5373" s="40" t="n">
        <x:f>ABS(K5373)</x:f>
        <x:v>0.10000000000000142</x:v>
      </x:c>
      <x:c r="M5373" s="41" t="str">
        <x:v>lstm-soil-v1</x:v>
      </x:c>
    </x:row>
    <x:row r="5374">
      <x:c r="A5374" s="38" t="str">
        <x:v>7月30日现场数据</x:v>
      </x:c>
      <x:c r="B5374" s="39" t="str">
        <x:v>2026-08-05T05:25:00</x:v>
      </x:c>
      <x:c r="C5374" s="39" t="str">
        <x:v>2026-08-05T05:55:00</x:v>
      </x:c>
      <x:c r="D5374" s="47" t="n">
        <x:v>30</x:v>
      </x:c>
      <x:c r="E5374" s="40" t="n">
        <x:v>19</x:v>
      </x:c>
      <x:c r="F5374" s="40" t="n">
        <x:v>18.189926147460938</x:v>
      </x:c>
      <x:c r="G5374" s="40" t="n">
        <x:v>19.1</x:v>
      </x:c>
      <x:c r="H5374" s="40" t="n">
        <x:f>F5374-E5374</x:f>
        <x:v>-0.8100738525390625</x:v>
      </x:c>
      <x:c r="I5374" s="40" t="n">
        <x:f>ABS(H5374)</x:f>
        <x:v>0.8100738525390625</x:v>
      </x:c>
      <x:c r="J5374" s="40" t="n">
        <x:f>H5374^2</x:f>
        <x:v>0.6562196465674788</x:v>
      </x:c>
      <x:c r="K5374" s="40" t="n">
        <x:f>G5374-E5374</x:f>
        <x:v>0.10000000000000142</x:v>
      </x:c>
      <x:c r="L5374" s="40" t="n">
        <x:f>ABS(K5374)</x:f>
        <x:v>0.10000000000000142</x:v>
      </x:c>
      <x:c r="M5374" s="41" t="str">
        <x:v>lstm-soil-v1</x:v>
      </x:c>
    </x:row>
    <x:row r="5375">
      <x:c r="A5375" s="38" t="str">
        <x:v>7月30日现场数据</x:v>
      </x:c>
      <x:c r="B5375" s="39" t="str">
        <x:v>2026-08-05T05:25:00</x:v>
      </x:c>
      <x:c r="C5375" s="39" t="str">
        <x:v>2026-08-05T06:25:00</x:v>
      </x:c>
      <x:c r="D5375" s="47" t="n">
        <x:v>60</x:v>
      </x:c>
      <x:c r="E5375" s="40" t="n">
        <x:v>18.9</x:v>
      </x:c>
      <x:c r="F5375" s="40" t="n">
        <x:v>19.82266616821289</x:v>
      </x:c>
      <x:c r="G5375" s="40" t="n">
        <x:v>19.1</x:v>
      </x:c>
      <x:c r="H5375" s="40" t="n">
        <x:f>F5375-E5375</x:f>
        <x:v>0.922666168212892</x:v>
      </x:c>
      <x:c r="I5375" s="40" t="n">
        <x:f>ABS(H5375)</x:f>
        <x:v>0.922666168212892</x:v>
      </x:c>
      <x:c r="J5375" s="40" t="n">
        <x:f>H5375^2</x:f>
        <x:v>0.8513128579646608</x:v>
      </x:c>
      <x:c r="K5375" s="40" t="n">
        <x:f>G5375-E5375</x:f>
        <x:v>0.20000000000000284</x:v>
      </x:c>
      <x:c r="L5375" s="40" t="n">
        <x:f>ABS(K5375)</x:f>
        <x:v>0.20000000000000284</x:v>
      </x:c>
      <x:c r="M5375" s="41" t="str">
        <x:v>lstm-soil-v1</x:v>
      </x:c>
    </x:row>
    <x:row r="5376">
      <x:c r="A5376" s="38" t="str">
        <x:v>7月30日现场数据</x:v>
      </x:c>
      <x:c r="B5376" s="39" t="str">
        <x:v>2026-08-05T05:30:00</x:v>
      </x:c>
      <x:c r="C5376" s="39" t="str">
        <x:v>2026-08-05T05:35:00</x:v>
      </x:c>
      <x:c r="D5376" s="47" t="n">
        <x:v>5</x:v>
      </x:c>
      <x:c r="E5376" s="40" t="n">
        <x:v>19.1</x:v>
      </x:c>
      <x:c r="F5376" s="40" t="n">
        <x:v>17.740997314453125</x:v>
      </x:c>
      <x:c r="G5376" s="40" t="n">
        <x:v>19.1</x:v>
      </x:c>
      <x:c r="H5376" s="40" t="n">
        <x:f>F5376-E5376</x:f>
        <x:v>-1.3590026855468764</x:v>
      </x:c>
      <x:c r="I5376" s="40" t="n">
        <x:f>ABS(H5376)</x:f>
        <x:v>1.3590026855468764</x:v>
      </x:c>
      <x:c r="J5376" s="40" t="n">
        <x:f>H5376^2</x:f>
        <x:v>1.8468882993236222</x:v>
      </x:c>
      <x:c r="K5376" s="40" t="n">
        <x:f>G5376-E5376</x:f>
        <x:v>0</x:v>
      </x:c>
      <x:c r="L5376" s="40" t="n">
        <x:f>ABS(K5376)</x:f>
        <x:v>0</x:v>
      </x:c>
      <x:c r="M5376" s="41" t="str">
        <x:v>lstm-soil-v1</x:v>
      </x:c>
    </x:row>
    <x:row r="5377">
      <x:c r="A5377" s="38" t="str">
        <x:v>7月30日现场数据</x:v>
      </x:c>
      <x:c r="B5377" s="39" t="str">
        <x:v>2026-08-05T05:30:00</x:v>
      </x:c>
      <x:c r="C5377" s="39" t="str">
        <x:v>2026-08-05T05:45:00</x:v>
      </x:c>
      <x:c r="D5377" s="47" t="n">
        <x:v>15</x:v>
      </x:c>
      <x:c r="E5377" s="40" t="n">
        <x:v>19</x:v>
      </x:c>
      <x:c r="F5377" s="40" t="n">
        <x:v>17.834213256835938</x:v>
      </x:c>
      <x:c r="G5377" s="40" t="n">
        <x:v>19.1</x:v>
      </x:c>
      <x:c r="H5377" s="40" t="n">
        <x:f>F5377-E5377</x:f>
        <x:v>-1.1657867431640625</x:v>
      </x:c>
      <x:c r="I5377" s="40" t="n">
        <x:f>ABS(H5377)</x:f>
        <x:v>1.1657867431640625</x:v>
      </x:c>
      <x:c r="J5377" s="40" t="n">
        <x:f>H5377^2</x:f>
        <x:v>1.3590587305370718</x:v>
      </x:c>
      <x:c r="K5377" s="40" t="n">
        <x:f>G5377-E5377</x:f>
        <x:v>0.10000000000000142</x:v>
      </x:c>
      <x:c r="L5377" s="40" t="n">
        <x:f>ABS(K5377)</x:f>
        <x:v>0.10000000000000142</x:v>
      </x:c>
      <x:c r="M5377" s="41" t="str">
        <x:v>lstm-soil-v1</x:v>
      </x:c>
    </x:row>
    <x:row r="5378">
      <x:c r="A5378" s="38" t="str">
        <x:v>7月30日现场数据</x:v>
      </x:c>
      <x:c r="B5378" s="39" t="str">
        <x:v>2026-08-05T05:30:00</x:v>
      </x:c>
      <x:c r="C5378" s="39" t="str">
        <x:v>2026-08-05T06:00:00</x:v>
      </x:c>
      <x:c r="D5378" s="47" t="n">
        <x:v>30</x:v>
      </x:c>
      <x:c r="E5378" s="40" t="n">
        <x:v>19</x:v>
      </x:c>
      <x:c r="F5378" s="40" t="n">
        <x:v>18.190753936767578</x:v>
      </x:c>
      <x:c r="G5378" s="40" t="n">
        <x:v>19.1</x:v>
      </x:c>
      <x:c r="H5378" s="40" t="n">
        <x:f>F5378-E5378</x:f>
        <x:v>-0.8092460632324219</x:v>
      </x:c>
      <x:c r="I5378" s="40" t="n">
        <x:f>ABS(H5378)</x:f>
        <x:v>0.8092460632324219</x:v>
      </x:c>
      <x:c r="J5378" s="40" t="n">
        <x:f>H5378^2</x:f>
        <x:v>0.6548791908571729</x:v>
      </x:c>
      <x:c r="K5378" s="40" t="n">
        <x:f>G5378-E5378</x:f>
        <x:v>0.10000000000000142</x:v>
      </x:c>
      <x:c r="L5378" s="40" t="n">
        <x:f>ABS(K5378)</x:f>
        <x:v>0.10000000000000142</x:v>
      </x:c>
      <x:c r="M5378" s="41" t="str">
        <x:v>lstm-soil-v1</x:v>
      </x:c>
    </x:row>
    <x:row r="5379">
      <x:c r="A5379" s="38" t="str">
        <x:v>7月30日现场数据</x:v>
      </x:c>
      <x:c r="B5379" s="39" t="str">
        <x:v>2026-08-05T05:30:00</x:v>
      </x:c>
      <x:c r="C5379" s="39" t="str">
        <x:v>2026-08-05T06:30:00</x:v>
      </x:c>
      <x:c r="D5379" s="47" t="n">
        <x:v>60</x:v>
      </x:c>
      <x:c r="E5379" s="40" t="n">
        <x:v>18.9</x:v>
      </x:c>
      <x:c r="F5379" s="40" t="n">
        <x:v>19.82339859008789</x:v>
      </x:c>
      <x:c r="G5379" s="40" t="n">
        <x:v>19.1</x:v>
      </x:c>
      <x:c r="H5379" s="40" t="n">
        <x:f>F5379-E5379</x:f>
        <x:v>0.923398590087892</x:v>
      </x:c>
      <x:c r="I5379" s="40" t="n">
        <x:f>ABS(H5379)</x:f>
        <x:v>0.923398590087892</x:v>
      </x:c>
      <x:c r="J5379" s="40" t="n">
        <x:f>H5379^2</x:f>
        <x:v>0.8526649561763069</x:v>
      </x:c>
      <x:c r="K5379" s="40" t="n">
        <x:f>G5379-E5379</x:f>
        <x:v>0.20000000000000284</x:v>
      </x:c>
      <x:c r="L5379" s="40" t="n">
        <x:f>ABS(K5379)</x:f>
        <x:v>0.20000000000000284</x:v>
      </x:c>
      <x:c r="M5379" s="41" t="str">
        <x:v>lstm-soil-v1</x:v>
      </x:c>
    </x:row>
    <x:row r="5380">
      <x:c r="A5380" s="38" t="str">
        <x:v>7月30日现场数据</x:v>
      </x:c>
      <x:c r="B5380" s="39" t="str">
        <x:v>2026-08-05T05:35:00</x:v>
      </x:c>
      <x:c r="C5380" s="39" t="str">
        <x:v>2026-08-05T05:40:00</x:v>
      </x:c>
      <x:c r="D5380" s="47" t="n">
        <x:v>5</x:v>
      </x:c>
      <x:c r="E5380" s="40" t="n">
        <x:v>19</x:v>
      </x:c>
      <x:c r="F5380" s="40" t="n">
        <x:v>17.741527557373047</x:v>
      </x:c>
      <x:c r="G5380" s="40" t="n">
        <x:v>19.1</x:v>
      </x:c>
      <x:c r="H5380" s="40" t="n">
        <x:f>F5380-E5380</x:f>
        <x:v>-1.2584724426269531</x:v>
      </x:c>
      <x:c r="I5380" s="40" t="n">
        <x:f>ABS(H5380)</x:f>
        <x:v>1.2584724426269531</x:v>
      </x:c>
      <x:c r="J5380" s="40" t="n">
        <x:f>H5380^2</x:f>
        <x:v>1.5837528888514498</x:v>
      </x:c>
      <x:c r="K5380" s="40" t="n">
        <x:f>G5380-E5380</x:f>
        <x:v>0.10000000000000142</x:v>
      </x:c>
      <x:c r="L5380" s="40" t="n">
        <x:f>ABS(K5380)</x:f>
        <x:v>0.10000000000000142</x:v>
      </x:c>
      <x:c r="M5380" s="41" t="str">
        <x:v>lstm-soil-v1</x:v>
      </x:c>
    </x:row>
    <x:row r="5381">
      <x:c r="A5381" s="38" t="str">
        <x:v>7月30日现场数据</x:v>
      </x:c>
      <x:c r="B5381" s="39" t="str">
        <x:v>2026-08-05T05:35:00</x:v>
      </x:c>
      <x:c r="C5381" s="39" t="str">
        <x:v>2026-08-05T05:50:00</x:v>
      </x:c>
      <x:c r="D5381" s="47" t="n">
        <x:v>15</x:v>
      </x:c>
      <x:c r="E5381" s="40" t="n">
        <x:v>19</x:v>
      </x:c>
      <x:c r="F5381" s="40" t="n">
        <x:v>17.83462905883789</x:v>
      </x:c>
      <x:c r="G5381" s="40" t="n">
        <x:v>19.1</x:v>
      </x:c>
      <x:c r="H5381" s="40" t="n">
        <x:f>F5381-E5381</x:f>
        <x:v>-1.1653709411621094</x:v>
      </x:c>
      <x:c r="I5381" s="40" t="n">
        <x:f>ABS(H5381)</x:f>
        <x:v>1.1653709411621094</x:v>
      </x:c>
      <x:c r="J5381" s="40" t="n">
        <x:f>H5381^2</x:f>
        <x:v>1.3580894305050606</x:v>
      </x:c>
      <x:c r="K5381" s="40" t="n">
        <x:f>G5381-E5381</x:f>
        <x:v>0.10000000000000142</x:v>
      </x:c>
      <x:c r="L5381" s="40" t="n">
        <x:f>ABS(K5381)</x:f>
        <x:v>0.10000000000000142</x:v>
      </x:c>
      <x:c r="M5381" s="41" t="str">
        <x:v>lstm-soil-v1</x:v>
      </x:c>
    </x:row>
    <x:row r="5382">
      <x:c r="A5382" s="38" t="str">
        <x:v>7月30日现场数据</x:v>
      </x:c>
      <x:c r="B5382" s="39" t="str">
        <x:v>2026-08-05T05:35:00</x:v>
      </x:c>
      <x:c r="C5382" s="39" t="str">
        <x:v>2026-08-05T06:05:00</x:v>
      </x:c>
      <x:c r="D5382" s="47" t="n">
        <x:v>30</x:v>
      </x:c>
      <x:c r="E5382" s="40" t="n">
        <x:v>19</x:v>
      </x:c>
      <x:c r="F5382" s="40" t="n">
        <x:v>18.191436767578125</x:v>
      </x:c>
      <x:c r="G5382" s="40" t="n">
        <x:v>19.1</x:v>
      </x:c>
      <x:c r="H5382" s="40" t="n">
        <x:f>F5382-E5382</x:f>
        <x:v>-0.808563232421875</x:v>
      </x:c>
      <x:c r="I5382" s="40" t="n">
        <x:f>ABS(H5382)</x:f>
        <x:v>0.808563232421875</x:v>
      </x:c>
      <x:c r="J5382" s="40" t="n">
        <x:f>H5382^2</x:f>
        <x:v>0.653774500824511</x:v>
      </x:c>
      <x:c r="K5382" s="40" t="n">
        <x:f>G5382-E5382</x:f>
        <x:v>0.10000000000000142</x:v>
      </x:c>
      <x:c r="L5382" s="40" t="n">
        <x:f>ABS(K5382)</x:f>
        <x:v>0.10000000000000142</x:v>
      </x:c>
      <x:c r="M5382" s="41" t="str">
        <x:v>lstm-soil-v1</x:v>
      </x:c>
    </x:row>
    <x:row r="5383">
      <x:c r="A5383" s="38" t="str">
        <x:v>7月30日现场数据</x:v>
      </x:c>
      <x:c r="B5383" s="39" t="str">
        <x:v>2026-08-05T05:35:00</x:v>
      </x:c>
      <x:c r="C5383" s="39" t="str">
        <x:v>2026-08-05T06:35:00</x:v>
      </x:c>
      <x:c r="D5383" s="47" t="n">
        <x:v>60</x:v>
      </x:c>
      <x:c r="E5383" s="40" t="n">
        <x:v>18.9</x:v>
      </x:c>
      <x:c r="F5383" s="40" t="n">
        <x:v>19.82398223876953</x:v>
      </x:c>
      <x:c r="G5383" s="40" t="n">
        <x:v>19.1</x:v>
      </x:c>
      <x:c r="H5383" s="40" t="n">
        <x:f>F5383-E5383</x:f>
        <x:v>0.9239822387695327</x:v>
      </x:c>
      <x:c r="I5383" s="40" t="n">
        <x:f>ABS(H5383)</x:f>
        <x:v>0.9239822387695327</x:v>
      </x:c>
      <x:c r="J5383" s="40" t="n">
        <x:f>H5383^2</x:f>
        <x:v>0.8537431775615577</x:v>
      </x:c>
      <x:c r="K5383" s="40" t="n">
        <x:f>G5383-E5383</x:f>
        <x:v>0.20000000000000284</x:v>
      </x:c>
      <x:c r="L5383" s="40" t="n">
        <x:f>ABS(K5383)</x:f>
        <x:v>0.20000000000000284</x:v>
      </x:c>
      <x:c r="M5383" s="41" t="str">
        <x:v>lstm-soil-v1</x:v>
      </x:c>
    </x:row>
    <x:row r="5384">
      <x:c r="A5384" s="38" t="str">
        <x:v>7月30日现场数据</x:v>
      </x:c>
      <x:c r="B5384" s="39" t="str">
        <x:v>2026-08-05T05:40:00</x:v>
      </x:c>
      <x:c r="C5384" s="39" t="str">
        <x:v>2026-08-05T05:45:00</x:v>
      </x:c>
      <x:c r="D5384" s="47" t="n">
        <x:v>5</x:v>
      </x:c>
      <x:c r="E5384" s="40" t="n">
        <x:v>19</x:v>
      </x:c>
      <x:c r="F5384" s="40" t="n">
        <x:v>17.631603240966797</x:v>
      </x:c>
      <x:c r="G5384" s="40" t="n">
        <x:v>19</x:v>
      </x:c>
      <x:c r="H5384" s="40" t="n">
        <x:f>F5384-E5384</x:f>
        <x:v>-1.3683967590332031</x:v>
      </x:c>
      <x:c r="I5384" s="40" t="n">
        <x:f>ABS(H5384)</x:f>
        <x:v>1.3683967590332031</x:v>
      </x:c>
      <x:c r="J5384" s="40" t="n">
        <x:f>H5384^2</x:f>
        <x:v>1.8725096901325742</x:v>
      </x:c>
      <x:c r="K5384" s="40" t="n">
        <x:f>G5384-E5384</x:f>
        <x:v>0</x:v>
      </x:c>
      <x:c r="L5384" s="40" t="n">
        <x:f>ABS(K5384)</x:f>
        <x:v>0</x:v>
      </x:c>
      <x:c r="M5384" s="41" t="str">
        <x:v>lstm-soil-v1</x:v>
      </x:c>
    </x:row>
    <x:row r="5385">
      <x:c r="A5385" s="38" t="str">
        <x:v>7月30日现场数据</x:v>
      </x:c>
      <x:c r="B5385" s="39" t="str">
        <x:v>2026-08-05T05:40:00</x:v>
      </x:c>
      <x:c r="C5385" s="39" t="str">
        <x:v>2026-08-05T05:55:00</x:v>
      </x:c>
      <x:c r="D5385" s="47" t="n">
        <x:v>15</x:v>
      </x:c>
      <x:c r="E5385" s="40" t="n">
        <x:v>19</x:v>
      </x:c>
      <x:c r="F5385" s="40" t="n">
        <x:v>17.724735260009766</x:v>
      </x:c>
      <x:c r="G5385" s="40" t="n">
        <x:v>19</x:v>
      </x:c>
      <x:c r="H5385" s="40" t="n">
        <x:f>F5385-E5385</x:f>
        <x:v>-1.2752647399902344</x:v>
      </x:c>
      <x:c r="I5385" s="40" t="n">
        <x:f>ABS(H5385)</x:f>
        <x:v>1.2752647399902344</x:v>
      </x:c>
      <x:c r="J5385" s="40" t="n">
        <x:f>H5385^2</x:f>
        <x:v>1.62630015706236</x:v>
      </x:c>
      <x:c r="K5385" s="40" t="n">
        <x:f>G5385-E5385</x:f>
        <x:v>0</x:v>
      </x:c>
      <x:c r="L5385" s="40" t="n">
        <x:f>ABS(K5385)</x:f>
        <x:v>0</x:v>
      </x:c>
      <x:c r="M5385" s="41" t="str">
        <x:v>lstm-soil-v1</x:v>
      </x:c>
    </x:row>
    <x:row r="5386">
      <x:c r="A5386" s="38" t="str">
        <x:v>7月30日现场数据</x:v>
      </x:c>
      <x:c r="B5386" s="39" t="str">
        <x:v>2026-08-05T05:40:00</x:v>
      </x:c>
      <x:c r="C5386" s="39" t="str">
        <x:v>2026-08-05T06:10:00</x:v>
      </x:c>
      <x:c r="D5386" s="47" t="n">
        <x:v>30</x:v>
      </x:c>
      <x:c r="E5386" s="40" t="n">
        <x:v>19</x:v>
      </x:c>
      <x:c r="F5386" s="40" t="n">
        <x:v>18.081729888916016</x:v>
      </x:c>
      <x:c r="G5386" s="40" t="n">
        <x:v>19</x:v>
      </x:c>
      <x:c r="H5386" s="40" t="n">
        <x:f>F5386-E5386</x:f>
        <x:v>-0.9182701110839844</x:v>
      </x:c>
      <x:c r="I5386" s="40" t="n">
        <x:f>ABS(H5386)</x:f>
        <x:v>0.9182701110839844</x:v>
      </x:c>
      <x:c r="J5386" s="40" t="n">
        <x:f>H5386^2</x:f>
        <x:v>0.843219996910193</x:v>
      </x:c>
      <x:c r="K5386" s="40" t="n">
        <x:f>G5386-E5386</x:f>
        <x:v>0</x:v>
      </x:c>
      <x:c r="L5386" s="40" t="n">
        <x:f>ABS(K5386)</x:f>
        <x:v>0</x:v>
      </x:c>
      <x:c r="M5386" s="41" t="str">
        <x:v>lstm-soil-v1</x:v>
      </x:c>
    </x:row>
    <x:row r="5387">
      <x:c r="A5387" s="38" t="str">
        <x:v>7月30日现场数据</x:v>
      </x:c>
      <x:c r="B5387" s="39" t="str">
        <x:v>2026-08-05T05:40:00</x:v>
      </x:c>
      <x:c r="C5387" s="39" t="str">
        <x:v>2026-08-05T06:40:00</x:v>
      </x:c>
      <x:c r="D5387" s="47" t="n">
        <x:v>60</x:v>
      </x:c>
      <x:c r="E5387" s="40" t="n">
        <x:v>18.9</x:v>
      </x:c>
      <x:c r="F5387" s="40" t="n">
        <x:v>19.714115142822266</x:v>
      </x:c>
      <x:c r="G5387" s="40" t="n">
        <x:v>19</x:v>
      </x:c>
      <x:c r="H5387" s="40" t="n">
        <x:f>F5387-E5387</x:f>
        <x:v>0.814115142822267</x:v>
      </x:c>
      <x:c r="I5387" s="40" t="n">
        <x:f>ABS(H5387)</x:f>
        <x:v>0.814115142822267</x:v>
      </x:c>
      <x:c r="J5387" s="40" t="n">
        <x:f>H5387^2</x:f>
        <x:v>0.6627834657725202</x:v>
      </x:c>
      <x:c r="K5387" s="40" t="n">
        <x:f>G5387-E5387</x:f>
        <x:v>0.10000000000000142</x:v>
      </x:c>
      <x:c r="L5387" s="40" t="n">
        <x:f>ABS(K5387)</x:f>
        <x:v>0.10000000000000142</x:v>
      </x:c>
      <x:c r="M5387" s="41" t="str">
        <x:v>lstm-soil-v1</x:v>
      </x:c>
    </x:row>
    <x:row r="5388">
      <x:c r="A5388" s="38" t="str">
        <x:v>7月30日现场数据</x:v>
      </x:c>
      <x:c r="B5388" s="39" t="str">
        <x:v>2026-08-05T05:45:00</x:v>
      </x:c>
      <x:c r="C5388" s="39" t="str">
        <x:v>2026-08-05T05:50:00</x:v>
      </x:c>
      <x:c r="D5388" s="47" t="n">
        <x:v>5</x:v>
      </x:c>
      <x:c r="E5388" s="40" t="n">
        <x:v>19</x:v>
      </x:c>
      <x:c r="F5388" s="40" t="n">
        <x:v>17.631816864013672</x:v>
      </x:c>
      <x:c r="G5388" s="40" t="n">
        <x:v>19</x:v>
      </x:c>
      <x:c r="H5388" s="40" t="n">
        <x:f>F5388-E5388</x:f>
        <x:v>-1.3681831359863281</x:v>
      </x:c>
      <x:c r="I5388" s="40" t="n">
        <x:f>ABS(H5388)</x:f>
        <x:v>1.3681831359863281</x:v>
      </x:c>
      <x:c r="J5388" s="40" t="n">
        <x:f>H5388^2</x:f>
        <x:v>1.8719250935973832</x:v>
      </x:c>
      <x:c r="K5388" s="40" t="n">
        <x:f>G5388-E5388</x:f>
        <x:v>0</x:v>
      </x:c>
      <x:c r="L5388" s="40" t="n">
        <x:f>ABS(K5388)</x:f>
        <x:v>0</x:v>
      </x:c>
      <x:c r="M5388" s="41" t="str">
        <x:v>lstm-soil-v1</x:v>
      </x:c>
    </x:row>
    <x:row r="5389">
      <x:c r="A5389" s="38" t="str">
        <x:v>7月30日现场数据</x:v>
      </x:c>
      <x:c r="B5389" s="39" t="str">
        <x:v>2026-08-05T05:45:00</x:v>
      </x:c>
      <x:c r="C5389" s="39" t="str">
        <x:v>2026-08-05T06:00:00</x:v>
      </x:c>
      <x:c r="D5389" s="47" t="n">
        <x:v>15</x:v>
      </x:c>
      <x:c r="E5389" s="40" t="n">
        <x:v>19</x:v>
      </x:c>
      <x:c r="F5389" s="40" t="n">
        <x:v>17.724925994873047</x:v>
      </x:c>
      <x:c r="G5389" s="40" t="n">
        <x:v>19</x:v>
      </x:c>
      <x:c r="H5389" s="40" t="n">
        <x:f>F5389-E5389</x:f>
        <x:v>-1.2750740051269531</x:v>
      </x:c>
      <x:c r="I5389" s="40" t="n">
        <x:f>ABS(H5389)</x:f>
        <x:v>1.2750740051269531</x:v>
      </x:c>
      <x:c r="J5389" s="40" t="n">
        <x:f>H5389^2</x:f>
        <x:v>1.6258137185504893</x:v>
      </x:c>
      <x:c r="K5389" s="40" t="n">
        <x:f>G5389-E5389</x:f>
        <x:v>0</x:v>
      </x:c>
      <x:c r="L5389" s="40" t="n">
        <x:f>ABS(K5389)</x:f>
        <x:v>0</x:v>
      </x:c>
      <x:c r="M5389" s="41" t="str">
        <x:v>lstm-soil-v1</x:v>
      </x:c>
    </x:row>
    <x:row r="5390">
      <x:c r="A5390" s="38" t="str">
        <x:v>7月30日现场数据</x:v>
      </x:c>
      <x:c r="B5390" s="39" t="str">
        <x:v>2026-08-05T05:45:00</x:v>
      </x:c>
      <x:c r="C5390" s="39" t="str">
        <x:v>2026-08-05T06:15:00</x:v>
      </x:c>
      <x:c r="D5390" s="47" t="n">
        <x:v>30</x:v>
      </x:c>
      <x:c r="E5390" s="40" t="n">
        <x:v>19</x:v>
      </x:c>
      <x:c r="F5390" s="40" t="n">
        <x:v>18.082218170166016</x:v>
      </x:c>
      <x:c r="G5390" s="40" t="n">
        <x:v>19</x:v>
      </x:c>
      <x:c r="H5390" s="40" t="n">
        <x:f>F5390-E5390</x:f>
        <x:v>-0.9177818298339844</x:v>
      </x:c>
      <x:c r="I5390" s="40" t="n">
        <x:f>ABS(H5390)</x:f>
        <x:v>0.9177818298339844</x:v>
      </x:c>
      <x:c r="J5390" s="40" t="n">
        <x:f>H5390^2</x:f>
        <x:v>0.8423234871734167</x:v>
      </x:c>
      <x:c r="K5390" s="40" t="n">
        <x:f>G5390-E5390</x:f>
        <x:v>0</x:v>
      </x:c>
      <x:c r="L5390" s="40" t="n">
        <x:f>ABS(K5390)</x:f>
        <x:v>0</x:v>
      </x:c>
      <x:c r="M5390" s="41" t="str">
        <x:v>lstm-soil-v1</x:v>
      </x:c>
    </x:row>
    <x:row r="5391">
      <x:c r="A5391" s="38" t="str">
        <x:v>7月30日现场数据</x:v>
      </x:c>
      <x:c r="B5391" s="39" t="str">
        <x:v>2026-08-05T05:45:00</x:v>
      </x:c>
      <x:c r="C5391" s="39" t="str">
        <x:v>2026-08-05T06:45:00</x:v>
      </x:c>
      <x:c r="D5391" s="47" t="n">
        <x:v>60</x:v>
      </x:c>
      <x:c r="E5391" s="40" t="n">
        <x:v>18.9</x:v>
      </x:c>
      <x:c r="F5391" s="40" t="n">
        <x:v>19.714439392089844</x:v>
      </x:c>
      <x:c r="G5391" s="40" t="n">
        <x:v>19</x:v>
      </x:c>
      <x:c r="H5391" s="40" t="n">
        <x:f>F5391-E5391</x:f>
        <x:v>0.8144393920898452</x:v>
      </x:c>
      <x:c r="I5391" s="40" t="n">
        <x:f>ABS(H5391)</x:f>
        <x:v>0.8144393920898452</x:v>
      </x:c>
      <x:c r="J5391" s="40" t="n">
        <x:f>H5391^2</x:f>
        <x:v>0.6633115233876765</x:v>
      </x:c>
      <x:c r="K5391" s="40" t="n">
        <x:f>G5391-E5391</x:f>
        <x:v>0.10000000000000142</x:v>
      </x:c>
      <x:c r="L5391" s="40" t="n">
        <x:f>ABS(K5391)</x:f>
        <x:v>0.10000000000000142</x:v>
      </x:c>
      <x:c r="M5391" s="41" t="str">
        <x:v>lstm-soil-v1</x:v>
      </x:c>
    </x:row>
    <x:row r="5392">
      <x:c r="A5392" s="38" t="str">
        <x:v>7月30日现场数据</x:v>
      </x:c>
      <x:c r="B5392" s="39" t="str">
        <x:v>2026-08-05T05:50:00</x:v>
      </x:c>
      <x:c r="C5392" s="39" t="str">
        <x:v>2026-08-05T05:55:00</x:v>
      </x:c>
      <x:c r="D5392" s="47" t="n">
        <x:v>5</x:v>
      </x:c>
      <x:c r="E5392" s="40" t="n">
        <x:v>19</x:v>
      </x:c>
      <x:c r="F5392" s="40" t="n">
        <x:v>17.632152557373047</x:v>
      </x:c>
      <x:c r="G5392" s="40" t="n">
        <x:v>19</x:v>
      </x:c>
      <x:c r="H5392" s="40" t="n">
        <x:f>F5392-E5392</x:f>
        <x:v>-1.3678474426269531</x:v>
      </x:c>
      <x:c r="I5392" s="40" t="n">
        <x:f>ABS(H5392)</x:f>
        <x:v>1.3678474426269531</x:v>
      </x:c>
      <x:c r="J5392" s="40" t="n">
        <x:f>H5392^2</x:f>
        <x:v>1.8710066263010958</x:v>
      </x:c>
      <x:c r="K5392" s="40" t="n">
        <x:f>G5392-E5392</x:f>
        <x:v>0</x:v>
      </x:c>
      <x:c r="L5392" s="40" t="n">
        <x:f>ABS(K5392)</x:f>
        <x:v>0</x:v>
      </x:c>
      <x:c r="M5392" s="41" t="str">
        <x:v>lstm-soil-v1</x:v>
      </x:c>
    </x:row>
    <x:row r="5393">
      <x:c r="A5393" s="38" t="str">
        <x:v>7月30日现场数据</x:v>
      </x:c>
      <x:c r="B5393" s="39" t="str">
        <x:v>2026-08-05T05:50:00</x:v>
      </x:c>
      <x:c r="C5393" s="39" t="str">
        <x:v>2026-08-05T06:05:00</x:v>
      </x:c>
      <x:c r="D5393" s="47" t="n">
        <x:v>15</x:v>
      </x:c>
      <x:c r="E5393" s="40" t="n">
        <x:v>19</x:v>
      </x:c>
      <x:c r="F5393" s="40" t="n">
        <x:v>17.725341796875</x:v>
      </x:c>
      <x:c r="G5393" s="40" t="n">
        <x:v>19</x:v>
      </x:c>
      <x:c r="H5393" s="40" t="n">
        <x:f>F5393-E5393</x:f>
        <x:v>-1.274658203125</x:v>
      </x:c>
      <x:c r="I5393" s="40" t="n">
        <x:f>ABS(H5393)</x:f>
        <x:v>1.274658203125</x:v>
      </x:c>
      <x:c r="J5393" s="40" t="n">
        <x:f>H5393^2</x:f>
        <x:v>1.6247535347938538</x:v>
      </x:c>
      <x:c r="K5393" s="40" t="n">
        <x:f>G5393-E5393</x:f>
        <x:v>0</x:v>
      </x:c>
      <x:c r="L5393" s="40" t="n">
        <x:f>ABS(K5393)</x:f>
        <x:v>0</x:v>
      </x:c>
      <x:c r="M5393" s="41" t="str">
        <x:v>lstm-soil-v1</x:v>
      </x:c>
    </x:row>
    <x:row r="5394">
      <x:c r="A5394" s="38" t="str">
        <x:v>7月30日现场数据</x:v>
      </x:c>
      <x:c r="B5394" s="39" t="str">
        <x:v>2026-08-05T05:50:00</x:v>
      </x:c>
      <x:c r="C5394" s="39" t="str">
        <x:v>2026-08-05T06:20:00</x:v>
      </x:c>
      <x:c r="D5394" s="47" t="n">
        <x:v>30</x:v>
      </x:c>
      <x:c r="E5394" s="40" t="n">
        <x:v>19</x:v>
      </x:c>
      <x:c r="F5394" s="40" t="n">
        <x:v>18.08306121826172</x:v>
      </x:c>
      <x:c r="G5394" s="40" t="n">
        <x:v>19</x:v>
      </x:c>
      <x:c r="H5394" s="40" t="n">
        <x:f>F5394-E5394</x:f>
        <x:v>-0.9169387817382812</x:v>
      </x:c>
      <x:c r="I5394" s="40" t="n">
        <x:f>ABS(H5394)</x:f>
        <x:v>0.9169387817382812</x:v>
      </x:c>
      <x:c r="J5394" s="40" t="n">
        <x:f>H5394^2</x:f>
        <x:v>0.8407767294556834</x:v>
      </x:c>
      <x:c r="K5394" s="40" t="n">
        <x:f>G5394-E5394</x:f>
        <x:v>0</x:v>
      </x:c>
      <x:c r="L5394" s="40" t="n">
        <x:f>ABS(K5394)</x:f>
        <x:v>0</x:v>
      </x:c>
      <x:c r="M5394" s="41" t="str">
        <x:v>lstm-soil-v1</x:v>
      </x:c>
    </x:row>
    <x:row r="5395">
      <x:c r="A5395" s="38" t="str">
        <x:v>7月30日现场数据</x:v>
      </x:c>
      <x:c r="B5395" s="39" t="str">
        <x:v>2026-08-05T05:50:00</x:v>
      </x:c>
      <x:c r="C5395" s="39" t="str">
        <x:v>2026-08-05T06:50:00</x:v>
      </x:c>
      <x:c r="D5395" s="47" t="n">
        <x:v>60</x:v>
      </x:c>
      <x:c r="E5395" s="40" t="n">
        <x:v>18.9</x:v>
      </x:c>
      <x:c r="F5395" s="40" t="n">
        <x:v>19.715293884277344</x:v>
      </x:c>
      <x:c r="G5395" s="40" t="n">
        <x:v>19</x:v>
      </x:c>
      <x:c r="H5395" s="40" t="n">
        <x:f>F5395-E5395</x:f>
        <x:v>0.8152938842773452</x:v>
      </x:c>
      <x:c r="I5395" s="40" t="n">
        <x:f>ABS(H5395)</x:f>
        <x:v>0.8152938842773452</x:v>
      </x:c>
      <x:c r="J5395" s="40" t="n">
        <x:f>H5395^2</x:f>
        <x:v>0.6647041177400411</x:v>
      </x:c>
      <x:c r="K5395" s="40" t="n">
        <x:f>G5395-E5395</x:f>
        <x:v>0.10000000000000142</x:v>
      </x:c>
      <x:c r="L5395" s="40" t="n">
        <x:f>ABS(K5395)</x:f>
        <x:v>0.10000000000000142</x:v>
      </x:c>
      <x:c r="M5395" s="41" t="str">
        <x:v>lstm-soil-v1</x:v>
      </x:c>
    </x:row>
    <x:row r="5396">
      <x:c r="A5396" s="38" t="str">
        <x:v>7月30日现场数据</x:v>
      </x:c>
      <x:c r="B5396" s="39" t="str">
        <x:v>2026-08-05T05:55:00</x:v>
      </x:c>
      <x:c r="C5396" s="39" t="str">
        <x:v>2026-08-05T06:00:00</x:v>
      </x:c>
      <x:c r="D5396" s="47" t="n">
        <x:v>5</x:v>
      </x:c>
      <x:c r="E5396" s="40" t="n">
        <x:v>19</x:v>
      </x:c>
      <x:c r="F5396" s="40" t="n">
        <x:v>17.632530212402344</x:v>
      </x:c>
      <x:c r="G5396" s="40" t="n">
        <x:v>19</x:v>
      </x:c>
      <x:c r="H5396" s="40" t="n">
        <x:f>F5396-E5396</x:f>
        <x:v>-1.3674697875976562</x:v>
      </x:c>
      <x:c r="I5396" s="40" t="n">
        <x:f>ABS(H5396)</x:f>
        <x:v>1.3674697875976562</x:v>
      </x:c>
      <x:c r="J5396" s="40" t="n">
        <x:f>H5396^2</x:f>
        <x:v>1.869973619992379</x:v>
      </x:c>
      <x:c r="K5396" s="40" t="n">
        <x:f>G5396-E5396</x:f>
        <x:v>0</x:v>
      </x:c>
      <x:c r="L5396" s="40" t="n">
        <x:f>ABS(K5396)</x:f>
        <x:v>0</x:v>
      </x:c>
      <x:c r="M5396" s="41" t="str">
        <x:v>lstm-soil-v1</x:v>
      </x:c>
    </x:row>
    <x:row r="5397">
      <x:c r="A5397" s="38" t="str">
        <x:v>7月30日现场数据</x:v>
      </x:c>
      <x:c r="B5397" s="39" t="str">
        <x:v>2026-08-05T05:55:00</x:v>
      </x:c>
      <x:c r="C5397" s="39" t="str">
        <x:v>2026-08-05T06:10:00</x:v>
      </x:c>
      <x:c r="D5397" s="47" t="n">
        <x:v>15</x:v>
      </x:c>
      <x:c r="E5397" s="40" t="n">
        <x:v>19</x:v>
      </x:c>
      <x:c r="F5397" s="40" t="n">
        <x:v>17.725849151611328</x:v>
      </x:c>
      <x:c r="G5397" s="40" t="n">
        <x:v>19</x:v>
      </x:c>
      <x:c r="H5397" s="40" t="n">
        <x:f>F5397-E5397</x:f>
        <x:v>-1.2741508483886719</x:v>
      </x:c>
      <x:c r="I5397" s="40" t="n">
        <x:f>ABS(H5397)</x:f>
        <x:v>1.2741508483886719</x:v>
      </x:c>
      <x:c r="J5397" s="40" t="n">
        <x:f>H5397^2</x:f>
        <x:v>1.6234603844495723</x:v>
      </x:c>
      <x:c r="K5397" s="40" t="n">
        <x:f>G5397-E5397</x:f>
        <x:v>0</x:v>
      </x:c>
      <x:c r="L5397" s="40" t="n">
        <x:f>ABS(K5397)</x:f>
        <x:v>0</x:v>
      </x:c>
      <x:c r="M5397" s="41" t="str">
        <x:v>lstm-soil-v1</x:v>
      </x:c>
    </x:row>
    <x:row r="5398">
      <x:c r="A5398" s="38" t="str">
        <x:v>7月30日现场数据</x:v>
      </x:c>
      <x:c r="B5398" s="39" t="str">
        <x:v>2026-08-05T05:55:00</x:v>
      </x:c>
      <x:c r="C5398" s="39" t="str">
        <x:v>2026-08-05T06:25:00</x:v>
      </x:c>
      <x:c r="D5398" s="47" t="n">
        <x:v>30</x:v>
      </x:c>
      <x:c r="E5398" s="40" t="n">
        <x:v>18.9</x:v>
      </x:c>
      <x:c r="F5398" s="40" t="n">
        <x:v>18.083587646484375</x:v>
      </x:c>
      <x:c r="G5398" s="40" t="n">
        <x:v>19</x:v>
      </x:c>
      <x:c r="H5398" s="40" t="n">
        <x:f>F5398-E5398</x:f>
        <x:v>-0.8164123535156236</x:v>
      </x:c>
      <x:c r="I5398" s="40" t="n">
        <x:f>ABS(H5398)</x:f>
        <x:v>0.8164123535156236</x:v>
      </x:c>
      <x:c r="J5398" s="40" t="n">
        <x:f>H5398^2</x:f>
        <x:v>0.6665291309729195</x:v>
      </x:c>
      <x:c r="K5398" s="40" t="n">
        <x:f>G5398-E5398</x:f>
        <x:v>0.10000000000000142</x:v>
      </x:c>
      <x:c r="L5398" s="40" t="n">
        <x:f>ABS(K5398)</x:f>
        <x:v>0.10000000000000142</x:v>
      </x:c>
      <x:c r="M5398" s="41" t="str">
        <x:v>lstm-soil-v1</x:v>
      </x:c>
    </x:row>
    <x:row r="5399">
      <x:c r="A5399" s="38" t="str">
        <x:v>7月30日现场数据</x:v>
      </x:c>
      <x:c r="B5399" s="39" t="str">
        <x:v>2026-08-05T05:55:00</x:v>
      </x:c>
      <x:c r="C5399" s="39" t="str">
        <x:v>2026-08-05T06:55:00</x:v>
      </x:c>
      <x:c r="D5399" s="47" t="n">
        <x:v>60</x:v>
      </x:c>
      <x:c r="E5399" s="40" t="n">
        <x:v>18.9</x:v>
      </x:c>
      <x:c r="F5399" s="40" t="n">
        <x:v>19.715503692626953</x:v>
      </x:c>
      <x:c r="G5399" s="40" t="n">
        <x:v>19</x:v>
      </x:c>
      <x:c r="H5399" s="40" t="n">
        <x:f>F5399-E5399</x:f>
        <x:v>0.8155036926269545</x:v>
      </x:c>
      <x:c r="I5399" s="40" t="n">
        <x:f>ABS(H5399)</x:f>
        <x:v>0.8155036926269545</x:v>
      </x:c>
      <x:c r="J5399" s="40" t="n">
        <x:f>H5399^2</x:f>
        <x:v>0.6650462726881984</x:v>
      </x:c>
      <x:c r="K5399" s="40" t="n">
        <x:f>G5399-E5399</x:f>
        <x:v>0.10000000000000142</x:v>
      </x:c>
      <x:c r="L5399" s="40" t="n">
        <x:f>ABS(K5399)</x:f>
        <x:v>0.10000000000000142</x:v>
      </x:c>
      <x:c r="M5399" s="41" t="str">
        <x:v>lstm-soil-v1</x:v>
      </x:c>
    </x:row>
    <x:row r="5400">
      <x:c r="A5400" s="38" t="str">
        <x:v>7月30日现场数据</x:v>
      </x:c>
      <x:c r="B5400" s="39" t="str">
        <x:v>2026-08-05T06:00:00</x:v>
      </x:c>
      <x:c r="C5400" s="39" t="str">
        <x:v>2026-08-05T06:05:00</x:v>
      </x:c>
      <x:c r="D5400" s="47" t="n">
        <x:v>5</x:v>
      </x:c>
      <x:c r="E5400" s="40" t="n">
        <x:v>19</x:v>
      </x:c>
      <x:c r="F5400" s="40" t="n">
        <x:v>17.632850646972656</x:v>
      </x:c>
      <x:c r="G5400" s="40" t="n">
        <x:v>19</x:v>
      </x:c>
      <x:c r="H5400" s="40" t="n">
        <x:f>F5400-E5400</x:f>
        <x:v>-1.3671493530273438</x:v>
      </x:c>
      <x:c r="I5400" s="40" t="n">
        <x:f>ABS(H5400)</x:f>
        <x:v>1.3671493530273438</x:v>
      </x:c>
      <x:c r="J5400" s="40" t="n">
        <x:f>H5400^2</x:f>
        <x:v>1.8690973534830846</x:v>
      </x:c>
      <x:c r="K5400" s="40" t="n">
        <x:f>G5400-E5400</x:f>
        <x:v>0</x:v>
      </x:c>
      <x:c r="L5400" s="40" t="n">
        <x:f>ABS(K5400)</x:f>
        <x:v>0</x:v>
      </x:c>
      <x:c r="M5400" s="41" t="str">
        <x:v>lstm-soil-v1</x:v>
      </x:c>
    </x:row>
    <x:row r="5401">
      <x:c r="A5401" s="38" t="str">
        <x:v>7月30日现场数据</x:v>
      </x:c>
      <x:c r="B5401" s="39" t="str">
        <x:v>2026-08-05T06:00:00</x:v>
      </x:c>
      <x:c r="C5401" s="39" t="str">
        <x:v>2026-08-05T06:15:00</x:v>
      </x:c>
      <x:c r="D5401" s="47" t="n">
        <x:v>15</x:v>
      </x:c>
      <x:c r="E5401" s="40" t="n">
        <x:v>19</x:v>
      </x:c>
      <x:c r="F5401" s="40" t="n">
        <x:v>17.725616455078125</x:v>
      </x:c>
      <x:c r="G5401" s="40" t="n">
        <x:v>19</x:v>
      </x:c>
      <x:c r="H5401" s="40" t="n">
        <x:f>F5401-E5401</x:f>
        <x:v>-1.274383544921875</x:v>
      </x:c>
      <x:c r="I5401" s="40" t="n">
        <x:f>ABS(H5401)</x:f>
        <x:v>1.274383544921875</x:v>
      </x:c>
      <x:c r="J5401" s="40" t="n">
        <x:f>H5401^2</x:f>
        <x:v>1.6240534195676446</x:v>
      </x:c>
      <x:c r="K5401" s="40" t="n">
        <x:f>G5401-E5401</x:f>
        <x:v>0</x:v>
      </x:c>
      <x:c r="L5401" s="40" t="n">
        <x:f>ABS(K5401)</x:f>
        <x:v>0</x:v>
      </x:c>
      <x:c r="M5401" s="41" t="str">
        <x:v>lstm-soil-v1</x:v>
      </x:c>
    </x:row>
    <x:row r="5402">
      <x:c r="A5402" s="38" t="str">
        <x:v>7月30日现场数据</x:v>
      </x:c>
      <x:c r="B5402" s="39" t="str">
        <x:v>2026-08-05T06:00:00</x:v>
      </x:c>
      <x:c r="C5402" s="39" t="str">
        <x:v>2026-08-05T06:30:00</x:v>
      </x:c>
      <x:c r="D5402" s="47" t="n">
        <x:v>30</x:v>
      </x:c>
      <x:c r="E5402" s="40" t="n">
        <x:v>18.9</x:v>
      </x:c>
      <x:c r="F5402" s="40" t="n">
        <x:v>18.08419418334961</x:v>
      </x:c>
      <x:c r="G5402" s="40" t="n">
        <x:v>19</x:v>
      </x:c>
      <x:c r="H5402" s="40" t="n">
        <x:f>F5402-E5402</x:f>
        <x:v>-0.8158058166503892</x:v>
      </x:c>
      <x:c r="I5402" s="40" t="n">
        <x:f>ABS(H5402)</x:f>
        <x:v>0.8158058166503892</x:v>
      </x:c>
      <x:c r="J5402" s="40" t="n">
        <x:f>H5402^2</x:f>
        <x:v>0.6655391304806084</x:v>
      </x:c>
      <x:c r="K5402" s="40" t="n">
        <x:f>G5402-E5402</x:f>
        <x:v>0.10000000000000142</x:v>
      </x:c>
      <x:c r="L5402" s="40" t="n">
        <x:f>ABS(K5402)</x:f>
        <x:v>0.10000000000000142</x:v>
      </x:c>
      <x:c r="M5402" s="41" t="str">
        <x:v>lstm-soil-v1</x:v>
      </x:c>
    </x:row>
    <x:row r="5403">
      <x:c r="A5403" s="38" t="str">
        <x:v>7月30日现场数据</x:v>
      </x:c>
      <x:c r="B5403" s="39" t="str">
        <x:v>2026-08-05T06:00:00</x:v>
      </x:c>
      <x:c r="C5403" s="39" t="str">
        <x:v>2026-08-05T07:00:00</x:v>
      </x:c>
      <x:c r="D5403" s="47" t="n">
        <x:v>60</x:v>
      </x:c>
      <x:c r="E5403" s="40" t="n">
        <x:v>18.9</x:v>
      </x:c>
      <x:c r="F5403" s="40" t="n">
        <x:v>19.718914031982422</x:v>
      </x:c>
      <x:c r="G5403" s="40" t="n">
        <x:v>19</x:v>
      </x:c>
      <x:c r="H5403" s="40" t="n">
        <x:f>F5403-E5403</x:f>
        <x:v>0.8189140319824233</x:v>
      </x:c>
      <x:c r="I5403" s="40" t="n">
        <x:f>ABS(H5403)</x:f>
        <x:v>0.8189140319824233</x:v>
      </x:c>
      <x:c r="J5403" s="40" t="n">
        <x:f>H5403^2</x:f>
        <x:v>0.6706201917777094</x:v>
      </x:c>
      <x:c r="K5403" s="40" t="n">
        <x:f>G5403-E5403</x:f>
        <x:v>0.10000000000000142</x:v>
      </x:c>
      <x:c r="L5403" s="40" t="n">
        <x:f>ABS(K5403)</x:f>
        <x:v>0.10000000000000142</x:v>
      </x:c>
      <x:c r="M5403" s="41" t="str">
        <x:v>lstm-soil-v1</x:v>
      </x:c>
    </x:row>
    <x:row r="5404">
      <x:c r="A5404" s="38" t="str">
        <x:v>7月30日现场数据</x:v>
      </x:c>
      <x:c r="B5404" s="39" t="str">
        <x:v>2026-08-05T06:05:00</x:v>
      </x:c>
      <x:c r="C5404" s="39" t="str">
        <x:v>2026-08-05T06:10:00</x:v>
      </x:c>
      <x:c r="D5404" s="47" t="n">
        <x:v>5</x:v>
      </x:c>
      <x:c r="E5404" s="40" t="n">
        <x:v>19</x:v>
      </x:c>
      <x:c r="F5404" s="40" t="n">
        <x:v>17.63315200805664</x:v>
      </x:c>
      <x:c r="G5404" s="40" t="n">
        <x:v>19</x:v>
      </x:c>
      <x:c r="H5404" s="40" t="n">
        <x:f>F5404-E5404</x:f>
        <x:v>-1.3668479919433594</x:v>
      </x:c>
      <x:c r="I5404" s="40" t="n">
        <x:f>ABS(H5404)</x:f>
        <x:v>1.3668479919433594</x:v>
      </x:c>
      <x:c r="J5404" s="40" t="n">
        <x:f>H5404^2</x:f>
        <x:v>1.8682734330795938</x:v>
      </x:c>
      <x:c r="K5404" s="40" t="n">
        <x:f>G5404-E5404</x:f>
        <x:v>0</x:v>
      </x:c>
      <x:c r="L5404" s="40" t="n">
        <x:f>ABS(K5404)</x:f>
        <x:v>0</x:v>
      </x:c>
      <x:c r="M5404" s="41" t="str">
        <x:v>lstm-soil-v1</x:v>
      </x:c>
    </x:row>
    <x:row r="5405">
      <x:c r="A5405" s="38" t="str">
        <x:v>7月30日现场数据</x:v>
      </x:c>
      <x:c r="B5405" s="39" t="str">
        <x:v>2026-08-05T06:05:00</x:v>
      </x:c>
      <x:c r="C5405" s="39" t="str">
        <x:v>2026-08-05T06:20:00</x:v>
      </x:c>
      <x:c r="D5405" s="47" t="n">
        <x:v>15</x:v>
      </x:c>
      <x:c r="E5405" s="40" t="n">
        <x:v>19</x:v>
      </x:c>
      <x:c r="F5405" s="40" t="n">
        <x:v>17.726722717285156</x:v>
      </x:c>
      <x:c r="G5405" s="40" t="n">
        <x:v>19</x:v>
      </x:c>
      <x:c r="H5405" s="40" t="n">
        <x:f>F5405-E5405</x:f>
        <x:v>-1.2732772827148438</x:v>
      </x:c>
      <x:c r="I5405" s="40" t="n">
        <x:f>ABS(H5405)</x:f>
        <x:v>1.2732772827148438</x:v>
      </x:c>
      <x:c r="J5405" s="40" t="n">
        <x:f>H5405^2</x:f>
        <x:v>1.6212350386776961</x:v>
      </x:c>
      <x:c r="K5405" s="40" t="n">
        <x:f>G5405-E5405</x:f>
        <x:v>0</x:v>
      </x:c>
      <x:c r="L5405" s="40" t="n">
        <x:f>ABS(K5405)</x:f>
        <x:v>0</x:v>
      </x:c>
      <x:c r="M5405" s="41" t="str">
        <x:v>lstm-soil-v1</x:v>
      </x:c>
    </x:row>
    <x:row r="5406">
      <x:c r="A5406" s="38" t="str">
        <x:v>7月30日现场数据</x:v>
      </x:c>
      <x:c r="B5406" s="39" t="str">
        <x:v>2026-08-05T06:05:00</x:v>
      </x:c>
      <x:c r="C5406" s="39" t="str">
        <x:v>2026-08-05T06:35:00</x:v>
      </x:c>
      <x:c r="D5406" s="47" t="n">
        <x:v>30</x:v>
      </x:c>
      <x:c r="E5406" s="40" t="n">
        <x:v>18.9</x:v>
      </x:c>
      <x:c r="F5406" s="40" t="n">
        <x:v>18.08548355102539</x:v>
      </x:c>
      <x:c r="G5406" s="40" t="n">
        <x:v>19</x:v>
      </x:c>
      <x:c r="H5406" s="40" t="n">
        <x:f>F5406-E5406</x:f>
        <x:v>-0.814516448974608</x:v>
      </x:c>
      <x:c r="I5406" s="40" t="n">
        <x:f>ABS(H5406)</x:f>
        <x:v>0.814516448974608</x:v>
      </x:c>
      <x:c r="J5406" s="40" t="n">
        <x:f>H5406^2</x:f>
        <x:v>0.6634370456502051</x:v>
      </x:c>
      <x:c r="K5406" s="40" t="n">
        <x:f>G5406-E5406</x:f>
        <x:v>0.10000000000000142</x:v>
      </x:c>
      <x:c r="L5406" s="40" t="n">
        <x:f>ABS(K5406)</x:f>
        <x:v>0.10000000000000142</x:v>
      </x:c>
      <x:c r="M5406" s="41" t="str">
        <x:v>lstm-soil-v1</x:v>
      </x:c>
    </x:row>
    <x:row r="5407">
      <x:c r="A5407" s="38" t="str">
        <x:v>7月30日现场数据</x:v>
      </x:c>
      <x:c r="B5407" s="39" t="str">
        <x:v>2026-08-05T06:05:00</x:v>
      </x:c>
      <x:c r="C5407" s="39" t="str">
        <x:v>2026-08-05T07:05:00</x:v>
      </x:c>
      <x:c r="D5407" s="47" t="n">
        <x:v>60</x:v>
      </x:c>
      <x:c r="E5407" s="40" t="n">
        <x:v>18.9</x:v>
      </x:c>
      <x:c r="F5407" s="40" t="n">
        <x:v>19.721027374267578</x:v>
      </x:c>
      <x:c r="G5407" s="40" t="n">
        <x:v>19</x:v>
      </x:c>
      <x:c r="H5407" s="40" t="n">
        <x:f>F5407-E5407</x:f>
        <x:v>0.8210273742675795</x:v>
      </x:c>
      <x:c r="I5407" s="40" t="n">
        <x:f>ABS(H5407)</x:f>
        <x:v>0.8210273742675795</x:v>
      </x:c>
      <x:c r="J5407" s="40" t="n">
        <x:f>H5407^2</x:f>
        <x:v>0.6740859492967162</x:v>
      </x:c>
      <x:c r="K5407" s="40" t="n">
        <x:f>G5407-E5407</x:f>
        <x:v>0.10000000000000142</x:v>
      </x:c>
      <x:c r="L5407" s="40" t="n">
        <x:f>ABS(K5407)</x:f>
        <x:v>0.10000000000000142</x:v>
      </x:c>
      <x:c r="M5407" s="41" t="str">
        <x:v>lstm-soil-v1</x:v>
      </x:c>
    </x:row>
    <x:row r="5408">
      <x:c r="A5408" s="38" t="str">
        <x:v>7月30日现场数据</x:v>
      </x:c>
      <x:c r="B5408" s="39" t="str">
        <x:v>2026-08-05T06:10:00</x:v>
      </x:c>
      <x:c r="C5408" s="39" t="str">
        <x:v>2026-08-05T06:15:00</x:v>
      </x:c>
      <x:c r="D5408" s="47" t="n">
        <x:v>5</x:v>
      </x:c>
      <x:c r="E5408" s="40" t="n">
        <x:v>19</x:v>
      </x:c>
      <x:c r="F5408" s="40" t="n">
        <x:v>17.633769989013672</x:v>
      </x:c>
      <x:c r="G5408" s="40" t="n">
        <x:v>19</x:v>
      </x:c>
      <x:c r="H5408" s="40" t="n">
        <x:f>F5408-E5408</x:f>
        <x:v>-1.3662300109863281</x:v>
      </x:c>
      <x:c r="I5408" s="40" t="n">
        <x:f>ABS(H5408)</x:f>
        <x:v>1.3662300109863281</x:v>
      </x:c>
      <x:c r="J5408" s="40" t="n">
        <x:f>H5408^2</x:f>
        <x:v>1.8665844429197023</x:v>
      </x:c>
      <x:c r="K5408" s="40" t="n">
        <x:f>G5408-E5408</x:f>
        <x:v>0</x:v>
      </x:c>
      <x:c r="L5408" s="40" t="n">
        <x:f>ABS(K5408)</x:f>
        <x:v>0</x:v>
      </x:c>
      <x:c r="M5408" s="41" t="str">
        <x:v>lstm-soil-v1</x:v>
      </x:c>
    </x:row>
    <x:row r="5409">
      <x:c r="A5409" s="38" t="str">
        <x:v>7月30日现场数据</x:v>
      </x:c>
      <x:c r="B5409" s="39" t="str">
        <x:v>2026-08-05T06:10:00</x:v>
      </x:c>
      <x:c r="C5409" s="39" t="str">
        <x:v>2026-08-05T06:25:00</x:v>
      </x:c>
      <x:c r="D5409" s="47" t="n">
        <x:v>15</x:v>
      </x:c>
      <x:c r="E5409" s="40" t="n">
        <x:v>18.9</x:v>
      </x:c>
      <x:c r="F5409" s="40" t="n">
        <x:v>17.728057861328125</x:v>
      </x:c>
      <x:c r="G5409" s="40" t="n">
        <x:v>19</x:v>
      </x:c>
      <x:c r="H5409" s="40" t="n">
        <x:f>F5409-E5409</x:f>
        <x:v>-1.1719421386718736</x:v>
      </x:c>
      <x:c r="I5409" s="40" t="n">
        <x:f>ABS(H5409)</x:f>
        <x:v>1.1719421386718736</x:v>
      </x:c>
      <x:c r="J5409" s="40" t="n">
        <x:f>H5409^2</x:f>
        <x:v>1.3734483763948049</x:v>
      </x:c>
      <x:c r="K5409" s="40" t="n">
        <x:f>G5409-E5409</x:f>
        <x:v>0.10000000000000142</x:v>
      </x:c>
      <x:c r="L5409" s="40" t="n">
        <x:f>ABS(K5409)</x:f>
        <x:v>0.10000000000000142</x:v>
      </x:c>
      <x:c r="M5409" s="41" t="str">
        <x:v>lstm-soil-v1</x:v>
      </x:c>
    </x:row>
    <x:row r="5410">
      <x:c r="A5410" s="38" t="str">
        <x:v>7月30日现场数据</x:v>
      </x:c>
      <x:c r="B5410" s="39" t="str">
        <x:v>2026-08-05T06:10:00</x:v>
      </x:c>
      <x:c r="C5410" s="39" t="str">
        <x:v>2026-08-05T06:40:00</x:v>
      </x:c>
      <x:c r="D5410" s="47" t="n">
        <x:v>30</x:v>
      </x:c>
      <x:c r="E5410" s="40" t="n">
        <x:v>18.9</x:v>
      </x:c>
      <x:c r="F5410" s="40" t="n">
        <x:v>18.08658218383789</x:v>
      </x:c>
      <x:c r="G5410" s="40" t="n">
        <x:v>19</x:v>
      </x:c>
      <x:c r="H5410" s="40" t="n">
        <x:f>F5410-E5410</x:f>
        <x:v>-0.813417816162108</x:v>
      </x:c>
      <x:c r="I5410" s="40" t="n">
        <x:f>ABS(H5410)</x:f>
        <x:v>0.813417816162108</x:v>
      </x:c>
      <x:c r="J5410" s="40" t="n">
        <x:f>H5410^2</x:f>
        <x:v>0.6616485436499329</x:v>
      </x:c>
      <x:c r="K5410" s="40" t="n">
        <x:f>G5410-E5410</x:f>
        <x:v>0.10000000000000142</x:v>
      </x:c>
      <x:c r="L5410" s="40" t="n">
        <x:f>ABS(K5410)</x:f>
        <x:v>0.10000000000000142</x:v>
      </x:c>
      <x:c r="M5410" s="41" t="str">
        <x:v>lstm-soil-v1</x:v>
      </x:c>
    </x:row>
    <x:row r="5411">
      <x:c r="A5411" s="38" t="str">
        <x:v>7月30日现场数据</x:v>
      </x:c>
      <x:c r="B5411" s="39" t="str">
        <x:v>2026-08-05T06:10:00</x:v>
      </x:c>
      <x:c r="C5411" s="39" t="str">
        <x:v>2026-08-05T07:10:00</x:v>
      </x:c>
      <x:c r="D5411" s="47" t="n">
        <x:v>60</x:v>
      </x:c>
      <x:c r="E5411" s="40" t="n">
        <x:v>18.8</x:v>
      </x:c>
      <x:c r="F5411" s="40" t="n">
        <x:v>19.7222900390625</x:v>
      </x:c>
      <x:c r="G5411" s="40" t="n">
        <x:v>19</x:v>
      </x:c>
      <x:c r="H5411" s="40" t="n">
        <x:f>F5411-E5411</x:f>
        <x:v>0.9222900390624993</x:v>
      </x:c>
      <x:c r="I5411" s="40" t="n">
        <x:f>ABS(H5411)</x:f>
        <x:v>0.9222900390624993</x:v>
      </x:c>
      <x:c r="J5411" s="40" t="n">
        <x:f>H5411^2</x:f>
        <x:v>0.8506189161539065</x:v>
      </x:c>
      <x:c r="K5411" s="40" t="n">
        <x:f>G5411-E5411</x:f>
        <x:v>0.1999999999999993</x:v>
      </x:c>
      <x:c r="L5411" s="40" t="n">
        <x:f>ABS(K5411)</x:f>
        <x:v>0.1999999999999993</x:v>
      </x:c>
      <x:c r="M5411" s="41" t="str">
        <x:v>lstm-soil-v1</x:v>
      </x:c>
    </x:row>
    <x:row r="5412">
      <x:c r="A5412" s="38" t="str">
        <x:v>7月30日现场数据</x:v>
      </x:c>
      <x:c r="B5412" s="39" t="str">
        <x:v>2026-08-05T06:15:00</x:v>
      </x:c>
      <x:c r="C5412" s="39" t="str">
        <x:v>2026-08-05T06:20:00</x:v>
      </x:c>
      <x:c r="D5412" s="47" t="n">
        <x:v>5</x:v>
      </x:c>
      <x:c r="E5412" s="40" t="n">
        <x:v>19</x:v>
      </x:c>
      <x:c r="F5412" s="40" t="n">
        <x:v>17.634567260742188</x:v>
      </x:c>
      <x:c r="G5412" s="40" t="n">
        <x:v>19</x:v>
      </x:c>
      <x:c r="H5412" s="40" t="n">
        <x:f>F5412-E5412</x:f>
        <x:v>-1.3654327392578125</x:v>
      </x:c>
      <x:c r="I5412" s="40" t="n">
        <x:f>ABS(H5412)</x:f>
        <x:v>1.3654327392578125</x:v>
      </x:c>
      <x:c r="J5412" s="40" t="n">
        <x:f>H5412^2</x:f>
        <x:v>1.8644065654370934</x:v>
      </x:c>
      <x:c r="K5412" s="40" t="n">
        <x:f>G5412-E5412</x:f>
        <x:v>0</x:v>
      </x:c>
      <x:c r="L5412" s="40" t="n">
        <x:f>ABS(K5412)</x:f>
        <x:v>0</x:v>
      </x:c>
      <x:c r="M5412" s="41" t="str">
        <x:v>lstm-soil-v1</x:v>
      </x:c>
    </x:row>
    <x:row r="5413">
      <x:c r="A5413" s="38" t="str">
        <x:v>7月30日现场数据</x:v>
      </x:c>
      <x:c r="B5413" s="39" t="str">
        <x:v>2026-08-05T06:15:00</x:v>
      </x:c>
      <x:c r="C5413" s="39" t="str">
        <x:v>2026-08-05T06:30:00</x:v>
      </x:c>
      <x:c r="D5413" s="47" t="n">
        <x:v>15</x:v>
      </x:c>
      <x:c r="E5413" s="40" t="n">
        <x:v>18.9</x:v>
      </x:c>
      <x:c r="F5413" s="40" t="n">
        <x:v>17.728511810302734</x:v>
      </x:c>
      <x:c r="G5413" s="40" t="n">
        <x:v>19</x:v>
      </x:c>
      <x:c r="H5413" s="40" t="n">
        <x:f>F5413-E5413</x:f>
        <x:v>-1.1714881896972642</x:v>
      </x:c>
      <x:c r="I5413" s="40" t="n">
        <x:f>ABS(H5413)</x:f>
        <x:v>1.1714881896972642</x:v>
      </x:c>
      <x:c r="J5413" s="40" t="n">
        <x:f>H5413^2</x:f>
        <x:v>1.3723845786001734</x:v>
      </x:c>
      <x:c r="K5413" s="40" t="n">
        <x:f>G5413-E5413</x:f>
        <x:v>0.10000000000000142</x:v>
      </x:c>
      <x:c r="L5413" s="40" t="n">
        <x:f>ABS(K5413)</x:f>
        <x:v>0.10000000000000142</x:v>
      </x:c>
      <x:c r="M5413" s="41" t="str">
        <x:v>lstm-soil-v1</x:v>
      </x:c>
    </x:row>
    <x:row r="5414">
      <x:c r="A5414" s="38" t="str">
        <x:v>7月30日现场数据</x:v>
      </x:c>
      <x:c r="B5414" s="39" t="str">
        <x:v>2026-08-05T06:15:00</x:v>
      </x:c>
      <x:c r="C5414" s="39" t="str">
        <x:v>2026-08-05T06:45:00</x:v>
      </x:c>
      <x:c r="D5414" s="47" t="n">
        <x:v>30</x:v>
      </x:c>
      <x:c r="E5414" s="40" t="n">
        <x:v>18.9</x:v>
      </x:c>
      <x:c r="F5414" s="40" t="n">
        <x:v>18.08765411376953</x:v>
      </x:c>
      <x:c r="G5414" s="40" t="n">
        <x:v>19</x:v>
      </x:c>
      <x:c r="H5414" s="40" t="n">
        <x:f>F5414-E5414</x:f>
        <x:v>-0.8123458862304673</x:v>
      </x:c>
      <x:c r="I5414" s="40" t="n">
        <x:f>ABS(H5414)</x:f>
        <x:v>0.8123458862304673</x:v>
      </x:c>
      <x:c r="J5414" s="40" t="n">
        <x:f>H5414^2</x:f>
        <x:v>0.6599058388755634</x:v>
      </x:c>
      <x:c r="K5414" s="40" t="n">
        <x:f>G5414-E5414</x:f>
        <x:v>0.10000000000000142</x:v>
      </x:c>
      <x:c r="L5414" s="40" t="n">
        <x:f>ABS(K5414)</x:f>
        <x:v>0.10000000000000142</x:v>
      </x:c>
      <x:c r="M5414" s="41" t="str">
        <x:v>lstm-soil-v1</x:v>
      </x:c>
    </x:row>
    <x:row r="5415">
      <x:c r="A5415" s="38" t="str">
        <x:v>7月30日现场数据</x:v>
      </x:c>
      <x:c r="B5415" s="39" t="str">
        <x:v>2026-08-05T06:15:00</x:v>
      </x:c>
      <x:c r="C5415" s="39" t="str">
        <x:v>2026-08-05T07:15:00</x:v>
      </x:c>
      <x:c r="D5415" s="47" t="n">
        <x:v>60</x:v>
      </x:c>
      <x:c r="E5415" s="40" t="n">
        <x:v>18.9</x:v>
      </x:c>
      <x:c r="F5415" s="40" t="n">
        <x:v>19.723209381103516</x:v>
      </x:c>
      <x:c r="G5415" s="40" t="n">
        <x:v>19</x:v>
      </x:c>
      <x:c r="H5415" s="40" t="n">
        <x:f>F5415-E5415</x:f>
        <x:v>0.823209381103517</x:v>
      </x:c>
      <x:c r="I5415" s="40" t="n">
        <x:f>ABS(H5415)</x:f>
        <x:v>0.823209381103517</x:v>
      </x:c>
      <x:c r="J5415" s="40" t="n">
        <x:f>H5415^2</x:f>
        <x:v>0.6776736851368356</x:v>
      </x:c>
      <x:c r="K5415" s="40" t="n">
        <x:f>G5415-E5415</x:f>
        <x:v>0.10000000000000142</x:v>
      </x:c>
      <x:c r="L5415" s="40" t="n">
        <x:f>ABS(K5415)</x:f>
        <x:v>0.10000000000000142</x:v>
      </x:c>
      <x:c r="M5415" s="41" t="str">
        <x:v>lstm-soil-v1</x:v>
      </x:c>
    </x:row>
    <x:row r="5416">
      <x:c r="A5416" s="38" t="str">
        <x:v>7月30日现场数据</x:v>
      </x:c>
      <x:c r="B5416" s="39" t="str">
        <x:v>2026-08-05T06:20:00</x:v>
      </x:c>
      <x:c r="C5416" s="39" t="str">
        <x:v>2026-08-05T06:25:00</x:v>
      </x:c>
      <x:c r="D5416" s="47" t="n">
        <x:v>5</x:v>
      </x:c>
      <x:c r="E5416" s="40" t="n">
        <x:v>18.9</x:v>
      </x:c>
      <x:c r="F5416" s="40" t="n">
        <x:v>17.63544464111328</x:v>
      </x:c>
      <x:c r="G5416" s="40" t="n">
        <x:v>19</x:v>
      </x:c>
      <x:c r="H5416" s="40" t="n">
        <x:f>F5416-E5416</x:f>
        <x:v>-1.2645553588867173</x:v>
      </x:c>
      <x:c r="I5416" s="40" t="n">
        <x:f>ABS(H5416)</x:f>
        <x:v>1.2645553588867173</x:v>
      </x:c>
      <x:c r="J5416" s="40" t="n">
        <x:f>H5416^2</x:f>
        <x:v>1.5991002556891145</x:v>
      </x:c>
      <x:c r="K5416" s="40" t="n">
        <x:f>G5416-E5416</x:f>
        <x:v>0.10000000000000142</x:v>
      </x:c>
      <x:c r="L5416" s="40" t="n">
        <x:f>ABS(K5416)</x:f>
        <x:v>0.10000000000000142</x:v>
      </x:c>
      <x:c r="M5416" s="41" t="str">
        <x:v>lstm-soil-v1</x:v>
      </x:c>
    </x:row>
    <x:row r="5417">
      <x:c r="A5417" s="38" t="str">
        <x:v>7月30日现场数据</x:v>
      </x:c>
      <x:c r="B5417" s="39" t="str">
        <x:v>2026-08-05T06:20:00</x:v>
      </x:c>
      <x:c r="C5417" s="39" t="str">
        <x:v>2026-08-05T06:35:00</x:v>
      </x:c>
      <x:c r="D5417" s="47" t="n">
        <x:v>15</x:v>
      </x:c>
      <x:c r="E5417" s="40" t="n">
        <x:v>18.9</x:v>
      </x:c>
      <x:c r="F5417" s="40" t="n">
        <x:v>17.728679656982422</x:v>
      </x:c>
      <x:c r="G5417" s="40" t="n">
        <x:v>19</x:v>
      </x:c>
      <x:c r="H5417" s="40" t="n">
        <x:f>F5417-E5417</x:f>
        <x:v>-1.1713203430175767</x:v>
      </x:c>
      <x:c r="I5417" s="40" t="n">
        <x:f>ABS(H5417)</x:f>
        <x:v>1.1713203430175767</x:v>
      </x:c>
      <x:c r="J5417" s="40" t="n">
        <x:f>H5417^2</x:f>
        <x:v>1.3719913459668136</x:v>
      </x:c>
      <x:c r="K5417" s="40" t="n">
        <x:f>G5417-E5417</x:f>
        <x:v>0.10000000000000142</x:v>
      </x:c>
      <x:c r="L5417" s="40" t="n">
        <x:f>ABS(K5417)</x:f>
        <x:v>0.10000000000000142</x:v>
      </x:c>
      <x:c r="M5417" s="41" t="str">
        <x:v>lstm-soil-v1</x:v>
      </x:c>
    </x:row>
    <x:row r="5418">
      <x:c r="A5418" s="38" t="str">
        <x:v>7月30日现场数据</x:v>
      </x:c>
      <x:c r="B5418" s="39" t="str">
        <x:v>2026-08-05T06:20:00</x:v>
      </x:c>
      <x:c r="C5418" s="39" t="str">
        <x:v>2026-08-05T06:50:00</x:v>
      </x:c>
      <x:c r="D5418" s="47" t="n">
        <x:v>30</x:v>
      </x:c>
      <x:c r="E5418" s="40" t="n">
        <x:v>18.9</x:v>
      </x:c>
      <x:c r="F5418" s="40" t="n">
        <x:v>18.08869171142578</x:v>
      </x:c>
      <x:c r="G5418" s="40" t="n">
        <x:v>19</x:v>
      </x:c>
      <x:c r="H5418" s="40" t="n">
        <x:f>F5418-E5418</x:f>
        <x:v>-0.8113082885742173</x:v>
      </x:c>
      <x:c r="I5418" s="40" t="n">
        <x:f>ABS(H5418)</x:f>
        <x:v>0.8113082885742173</x:v>
      </x:c>
      <x:c r="J5418" s="40" t="n">
        <x:f>H5418^2</x:f>
        <x:v>0.6582211391092255</x:v>
      </x:c>
      <x:c r="K5418" s="40" t="n">
        <x:f>G5418-E5418</x:f>
        <x:v>0.10000000000000142</x:v>
      </x:c>
      <x:c r="L5418" s="40" t="n">
        <x:f>ABS(K5418)</x:f>
        <x:v>0.10000000000000142</x:v>
      </x:c>
      <x:c r="M5418" s="41" t="str">
        <x:v>lstm-soil-v1</x:v>
      </x:c>
    </x:row>
    <x:row r="5419">
      <x:c r="A5419" s="38" t="str">
        <x:v>7月30日现场数据</x:v>
      </x:c>
      <x:c r="B5419" s="39" t="str">
        <x:v>2026-08-05T06:20:00</x:v>
      </x:c>
      <x:c r="C5419" s="39" t="str">
        <x:v>2026-08-05T07:20:00</x:v>
      </x:c>
      <x:c r="D5419" s="47" t="n">
        <x:v>60</x:v>
      </x:c>
      <x:c r="E5419" s="40" t="n">
        <x:v>18.9</x:v>
      </x:c>
      <x:c r="F5419" s="40" t="n">
        <x:v>19.723987579345703</x:v>
      </x:c>
      <x:c r="G5419" s="40" t="n">
        <x:v>19</x:v>
      </x:c>
      <x:c r="H5419" s="40" t="n">
        <x:f>F5419-E5419</x:f>
        <x:v>0.8239875793457045</x:v>
      </x:c>
      <x:c r="I5419" s="40" t="n">
        <x:f>ABS(H5419)</x:f>
        <x:v>0.8239875793457045</x:v>
      </x:c>
      <x:c r="J5419" s="40" t="n">
        <x:f>H5419^2</x:f>
        <x:v>0.6789555309159937</x:v>
      </x:c>
      <x:c r="K5419" s="40" t="n">
        <x:f>G5419-E5419</x:f>
        <x:v>0.10000000000000142</x:v>
      </x:c>
      <x:c r="L5419" s="40" t="n">
        <x:f>ABS(K5419)</x:f>
        <x:v>0.10000000000000142</x:v>
      </x:c>
      <x:c r="M5419" s="41" t="str">
        <x:v>lstm-soil-v1</x:v>
      </x:c>
    </x:row>
    <x:row r="5420">
      <x:c r="A5420" s="38" t="str">
        <x:v>7月30日现场数据</x:v>
      </x:c>
      <x:c r="B5420" s="39" t="str">
        <x:v>2026-08-05T06:25:00</x:v>
      </x:c>
      <x:c r="C5420" s="39" t="str">
        <x:v>2026-08-05T06:30:00</x:v>
      </x:c>
      <x:c r="D5420" s="47" t="n">
        <x:v>5</x:v>
      </x:c>
      <x:c r="E5420" s="40" t="n">
        <x:v>18.9</x:v>
      </x:c>
      <x:c r="F5420" s="40" t="n">
        <x:v>17.524425506591797</x:v>
      </x:c>
      <x:c r="G5420" s="40" t="n">
        <x:v>18.9</x:v>
      </x:c>
      <x:c r="H5420" s="40" t="n">
        <x:f>F5420-E5420</x:f>
        <x:v>-1.3755744934082017</x:v>
      </x:c>
      <x:c r="I5420" s="40" t="n">
        <x:f>ABS(H5420)</x:f>
        <x:v>1.3755744934082017</x:v>
      </x:c>
      <x:c r="J5420" s="40" t="n">
        <x:f>H5420^2</x:f>
        <x:v>1.8922051869152308</x:v>
      </x:c>
      <x:c r="K5420" s="40" t="n">
        <x:f>G5420-E5420</x:f>
        <x:v>0</x:v>
      </x:c>
      <x:c r="L5420" s="40" t="n">
        <x:f>ABS(K5420)</x:f>
        <x:v>0</x:v>
      </x:c>
      <x:c r="M5420" s="41" t="str">
        <x:v>lstm-soil-v1</x:v>
      </x:c>
    </x:row>
    <x:row r="5421">
      <x:c r="A5421" s="38" t="str">
        <x:v>7月30日现场数据</x:v>
      </x:c>
      <x:c r="B5421" s="39" t="str">
        <x:v>2026-08-05T06:25:00</x:v>
      </x:c>
      <x:c r="C5421" s="39" t="str">
        <x:v>2026-08-05T06:40:00</x:v>
      </x:c>
      <x:c r="D5421" s="47" t="n">
        <x:v>15</x:v>
      </x:c>
      <x:c r="E5421" s="40" t="n">
        <x:v>18.9</x:v>
      </x:c>
      <x:c r="F5421" s="40" t="n">
        <x:v>17.61917495727539</x:v>
      </x:c>
      <x:c r="G5421" s="40" t="n">
        <x:v>18.9</x:v>
      </x:c>
      <x:c r="H5421" s="40" t="n">
        <x:f>F5421-E5421</x:f>
        <x:v>-1.280825042724608</x:v>
      </x:c>
      <x:c r="I5421" s="40" t="n">
        <x:f>ABS(H5421)</x:f>
        <x:v>1.280825042724608</x:v>
      </x:c>
      <x:c r="J5421" s="40" t="n">
        <x:f>H5421^2</x:f>
        <x:v>1.6405127900704939</x:v>
      </x:c>
      <x:c r="K5421" s="40" t="n">
        <x:f>G5421-E5421</x:f>
        <x:v>0</x:v>
      </x:c>
      <x:c r="L5421" s="40" t="n">
        <x:f>ABS(K5421)</x:f>
        <x:v>0</x:v>
      </x:c>
      <x:c r="M5421" s="41" t="str">
        <x:v>lstm-soil-v1</x:v>
      </x:c>
    </x:row>
    <x:row r="5422">
      <x:c r="A5422" s="38" t="str">
        <x:v>7月30日现场数据</x:v>
      </x:c>
      <x:c r="B5422" s="39" t="str">
        <x:v>2026-08-05T06:25:00</x:v>
      </x:c>
      <x:c r="C5422" s="39" t="str">
        <x:v>2026-08-05T06:55:00</x:v>
      </x:c>
      <x:c r="D5422" s="47" t="n">
        <x:v>30</x:v>
      </x:c>
      <x:c r="E5422" s="40" t="n">
        <x:v>18.9</x:v>
      </x:c>
      <x:c r="F5422" s="40" t="n">
        <x:v>17.97867202758789</x:v>
      </x:c>
      <x:c r="G5422" s="40" t="n">
        <x:v>18.9</x:v>
      </x:c>
      <x:c r="H5422" s="40" t="n">
        <x:f>F5422-E5422</x:f>
        <x:v>-0.921327972412108</x:v>
      </x:c>
      <x:c r="I5422" s="40" t="n">
        <x:f>ABS(H5422)</x:f>
        <x:v>0.921327972412108</x:v>
      </x:c>
      <x:c r="J5422" s="40" t="n">
        <x:f>H5422^2</x:f>
        <x:v>0.8488452327490059</x:v>
      </x:c>
      <x:c r="K5422" s="40" t="n">
        <x:f>G5422-E5422</x:f>
        <x:v>0</x:v>
      </x:c>
      <x:c r="L5422" s="40" t="n">
        <x:f>ABS(K5422)</x:f>
        <x:v>0</x:v>
      </x:c>
      <x:c r="M5422" s="41" t="str">
        <x:v>lstm-soil-v1</x:v>
      </x:c>
    </x:row>
    <x:row r="5423">
      <x:c r="A5423" s="38" t="str">
        <x:v>7月30日现场数据</x:v>
      </x:c>
      <x:c r="B5423" s="39" t="str">
        <x:v>2026-08-05T06:25:00</x:v>
      </x:c>
      <x:c r="C5423" s="39" t="str">
        <x:v>2026-08-05T07:25:00</x:v>
      </x:c>
      <x:c r="D5423" s="47" t="n">
        <x:v>60</x:v>
      </x:c>
      <x:c r="E5423" s="40" t="n">
        <x:v>18.9</x:v>
      </x:c>
      <x:c r="F5423" s="40" t="n">
        <x:v>19.613616943359375</x:v>
      </x:c>
      <x:c r="G5423" s="40" t="n">
        <x:v>18.9</x:v>
      </x:c>
      <x:c r="H5423" s="40" t="n">
        <x:f>F5423-E5423</x:f>
        <x:v>0.7136169433593764</x:v>
      </x:c>
      <x:c r="I5423" s="40" t="n">
        <x:f>ABS(H5423)</x:f>
        <x:v>0.7136169433593764</x:v>
      </x:c>
      <x:c r="J5423" s="40" t="n">
        <x:f>H5423^2</x:f>
        <x:v>0.5092491418495795</x:v>
      </x:c>
      <x:c r="K5423" s="40" t="n">
        <x:f>G5423-E5423</x:f>
        <x:v>0</x:v>
      </x:c>
      <x:c r="L5423" s="40" t="n">
        <x:f>ABS(K5423)</x:f>
        <x:v>0</x:v>
      </x:c>
      <x:c r="M5423" s="41" t="str">
        <x:v>lstm-soil-v1</x:v>
      </x:c>
    </x:row>
    <x:row r="5424">
      <x:c r="A5424" s="38" t="str">
        <x:v>7月30日现场数据</x:v>
      </x:c>
      <x:c r="B5424" s="39" t="str">
        <x:v>2026-08-05T06:30:00</x:v>
      </x:c>
      <x:c r="C5424" s="39" t="str">
        <x:v>2026-08-05T06:35:00</x:v>
      </x:c>
      <x:c r="D5424" s="47" t="n">
        <x:v>5</x:v>
      </x:c>
      <x:c r="E5424" s="40" t="n">
        <x:v>18.9</x:v>
      </x:c>
      <x:c r="F5424" s="40" t="n">
        <x:v>17.52389144897461</x:v>
      </x:c>
      <x:c r="G5424" s="40" t="n">
        <x:v>18.9</x:v>
      </x:c>
      <x:c r="H5424" s="40" t="n">
        <x:f>F5424-E5424</x:f>
        <x:v>-1.3761085510253892</x:v>
      </x:c>
      <x:c r="I5424" s="40" t="n">
        <x:f>ABS(H5424)</x:f>
        <x:v>1.3761085510253892</x:v>
      </x:c>
      <x:c r="J5424" s="40" t="n">
        <x:f>H5424^2</x:f>
        <x:v>1.8936747442051962</x:v>
      </x:c>
      <x:c r="K5424" s="40" t="n">
        <x:f>G5424-E5424</x:f>
        <x:v>0</x:v>
      </x:c>
      <x:c r="L5424" s="40" t="n">
        <x:f>ABS(K5424)</x:f>
        <x:v>0</x:v>
      </x:c>
      <x:c r="M5424" s="41" t="str">
        <x:v>lstm-soil-v1</x:v>
      </x:c>
    </x:row>
    <x:row r="5425">
      <x:c r="A5425" s="38" t="str">
        <x:v>7月30日现场数据</x:v>
      </x:c>
      <x:c r="B5425" s="39" t="str">
        <x:v>2026-08-05T06:30:00</x:v>
      </x:c>
      <x:c r="C5425" s="39" t="str">
        <x:v>2026-08-05T06:45:00</x:v>
      </x:c>
      <x:c r="D5425" s="47" t="n">
        <x:v>15</x:v>
      </x:c>
      <x:c r="E5425" s="40" t="n">
        <x:v>18.9</x:v>
      </x:c>
      <x:c r="F5425" s="40" t="n">
        <x:v>17.620075225830078</x:v>
      </x:c>
      <x:c r="G5425" s="40" t="n">
        <x:v>18.9</x:v>
      </x:c>
      <x:c r="H5425" s="40" t="n">
        <x:f>F5425-E5425</x:f>
        <x:v>-1.2799247741699205</x:v>
      </x:c>
      <x:c r="I5425" s="40" t="n">
        <x:f>ABS(H5425)</x:f>
        <x:v>1.2799247741699205</x:v>
      </x:c>
      <x:c r="J5425" s="40" t="n">
        <x:f>H5425^2</x:f>
        <x:v>1.6382074275339218</x:v>
      </x:c>
      <x:c r="K5425" s="40" t="n">
        <x:f>G5425-E5425</x:f>
        <x:v>0</x:v>
      </x:c>
      <x:c r="L5425" s="40" t="n">
        <x:f>ABS(K5425)</x:f>
        <x:v>0</x:v>
      </x:c>
      <x:c r="M5425" s="41" t="str">
        <x:v>lstm-soil-v1</x:v>
      </x:c>
    </x:row>
    <x:row r="5426">
      <x:c r="A5426" s="38" t="str">
        <x:v>7月30日现场数据</x:v>
      </x:c>
      <x:c r="B5426" s="39" t="str">
        <x:v>2026-08-05T06:30:00</x:v>
      </x:c>
      <x:c r="C5426" s="39" t="str">
        <x:v>2026-08-05T07:00:00</x:v>
      </x:c>
      <x:c r="D5426" s="47" t="n">
        <x:v>30</x:v>
      </x:c>
      <x:c r="E5426" s="40" t="n">
        <x:v>18.9</x:v>
      </x:c>
      <x:c r="F5426" s="40" t="n">
        <x:v>17.978302001953125</x:v>
      </x:c>
      <x:c r="G5426" s="40" t="n">
        <x:v>18.9</x:v>
      </x:c>
      <x:c r="H5426" s="40" t="n">
        <x:f>F5426-E5426</x:f>
        <x:v>-0.9216979980468736</x:v>
      </x:c>
      <x:c r="I5426" s="40" t="n">
        <x:f>ABS(H5426)</x:f>
        <x:v>0.9216979980468736</x:v>
      </x:c>
      <x:c r="J5426" s="40" t="n">
        <x:f>H5426^2</x:f>
        <x:v>0.8495271996036146</x:v>
      </x:c>
      <x:c r="K5426" s="40" t="n">
        <x:f>G5426-E5426</x:f>
        <x:v>0</x:v>
      </x:c>
      <x:c r="L5426" s="40" t="n">
        <x:f>ABS(K5426)</x:f>
        <x:v>0</x:v>
      </x:c>
      <x:c r="M5426" s="41" t="str">
        <x:v>lstm-soil-v1</x:v>
      </x:c>
    </x:row>
    <x:row r="5427">
      <x:c r="A5427" s="38" t="str">
        <x:v>7月30日现场数据</x:v>
      </x:c>
      <x:c r="B5427" s="39" t="str">
        <x:v>2026-08-05T06:30:00</x:v>
      </x:c>
      <x:c r="C5427" s="39" t="str">
        <x:v>2026-08-05T07:30:00</x:v>
      </x:c>
      <x:c r="D5427" s="47" t="n">
        <x:v>60</x:v>
      </x:c>
      <x:c r="E5427" s="40" t="n">
        <x:v>18.8</x:v>
      </x:c>
      <x:c r="F5427" s="40" t="n">
        <x:v>19.612098693847656</x:v>
      </x:c>
      <x:c r="G5427" s="40" t="n">
        <x:v>18.9</x:v>
      </x:c>
      <x:c r="H5427" s="40" t="n">
        <x:f>F5427-E5427</x:f>
        <x:v>0.8120986938476555</x:v>
      </x:c>
      <x:c r="I5427" s="40" t="n">
        <x:f>ABS(H5427)</x:f>
        <x:v>0.8120986938476555</x:v>
      </x:c>
      <x:c r="J5427" s="40" t="n">
        <x:f>H5427^2</x:f>
        <x:v>0.6595042885490682</x:v>
      </x:c>
      <x:c r="K5427" s="40" t="n">
        <x:f>G5427-E5427</x:f>
        <x:v>0.09999999999999787</x:v>
      </x:c>
      <x:c r="L5427" s="40" t="n">
        <x:f>ABS(K5427)</x:f>
        <x:v>0.09999999999999787</x:v>
      </x:c>
      <x:c r="M5427" s="41" t="str">
        <x:v>lstm-soil-v1</x:v>
      </x:c>
    </x:row>
    <x:row r="5428">
      <x:c r="A5428" s="38" t="str">
        <x:v>7月30日现场数据</x:v>
      </x:c>
      <x:c r="B5428" s="39" t="str">
        <x:v>2026-08-05T06:35:00</x:v>
      </x:c>
      <x:c r="C5428" s="39" t="str">
        <x:v>2026-08-05T06:40:00</x:v>
      </x:c>
      <x:c r="D5428" s="47" t="n">
        <x:v>5</x:v>
      </x:c>
      <x:c r="E5428" s="40" t="n">
        <x:v>18.9</x:v>
      </x:c>
      <x:c r="F5428" s="40" t="n">
        <x:v>17.524627685546875</x:v>
      </x:c>
      <x:c r="G5428" s="40" t="n">
        <x:v>18.9</x:v>
      </x:c>
      <x:c r="H5428" s="40" t="n">
        <x:f>F5428-E5428</x:f>
        <x:v>-1.3753723144531236</x:v>
      </x:c>
      <x:c r="I5428" s="40" t="n">
        <x:f>ABS(H5428)</x:f>
        <x:v>1.3753723144531236</x:v>
      </x:c>
      <x:c r="J5428" s="40" t="n">
        <x:f>H5428^2</x:f>
        <x:v>1.8916490033641418</x:v>
      </x:c>
      <x:c r="K5428" s="40" t="n">
        <x:f>G5428-E5428</x:f>
        <x:v>0</x:v>
      </x:c>
      <x:c r="L5428" s="40" t="n">
        <x:f>ABS(K5428)</x:f>
        <x:v>0</x:v>
      </x:c>
      <x:c r="M5428" s="41" t="str">
        <x:v>lstm-soil-v1</x:v>
      </x:c>
    </x:row>
    <x:row r="5429">
      <x:c r="A5429" s="38" t="str">
        <x:v>7月30日现场数据</x:v>
      </x:c>
      <x:c r="B5429" s="39" t="str">
        <x:v>2026-08-05T06:35:00</x:v>
      </x:c>
      <x:c r="C5429" s="39" t="str">
        <x:v>2026-08-05T06:50:00</x:v>
      </x:c>
      <x:c r="D5429" s="47" t="n">
        <x:v>15</x:v>
      </x:c>
      <x:c r="E5429" s="40" t="n">
        <x:v>18.9</x:v>
      </x:c>
      <x:c r="F5429" s="40" t="n">
        <x:v>17.620220184326172</x:v>
      </x:c>
      <x:c r="G5429" s="40" t="n">
        <x:v>18.9</x:v>
      </x:c>
      <x:c r="H5429" s="40" t="n">
        <x:f>F5429-E5429</x:f>
        <x:v>-1.2797798156738267</x:v>
      </x:c>
      <x:c r="I5429" s="40" t="n">
        <x:f>ABS(H5429)</x:f>
        <x:v>1.2797798156738267</x:v>
      </x:c>
      <x:c r="J5429" s="40" t="n">
        <x:f>H5429^2</x:f>
        <x:v>1.637836376606134</x:v>
      </x:c>
      <x:c r="K5429" s="40" t="n">
        <x:f>G5429-E5429</x:f>
        <x:v>0</x:v>
      </x:c>
      <x:c r="L5429" s="40" t="n">
        <x:f>ABS(K5429)</x:f>
        <x:v>0</x:v>
      </x:c>
      <x:c r="M5429" s="41" t="str">
        <x:v>lstm-soil-v1</x:v>
      </x:c>
    </x:row>
    <x:row r="5430">
      <x:c r="A5430" s="38" t="str">
        <x:v>7月30日现场数据</x:v>
      </x:c>
      <x:c r="B5430" s="39" t="str">
        <x:v>2026-08-05T06:35:00</x:v>
      </x:c>
      <x:c r="C5430" s="39" t="str">
        <x:v>2026-08-05T07:05:00</x:v>
      </x:c>
      <x:c r="D5430" s="47" t="n">
        <x:v>30</x:v>
      </x:c>
      <x:c r="E5430" s="40" t="n">
        <x:v>18.9</x:v>
      </x:c>
      <x:c r="F5430" s="40" t="n">
        <x:v>17.978530883789062</x:v>
      </x:c>
      <x:c r="G5430" s="40" t="n">
        <x:v>18.9</x:v>
      </x:c>
      <x:c r="H5430" s="40" t="n">
        <x:f>F5430-E5430</x:f>
        <x:v>-0.9214691162109361</x:v>
      </x:c>
      <x:c r="I5430" s="40" t="n">
        <x:f>ABS(H5430)</x:f>
        <x:v>0.9214691162109361</x:v>
      </x:c>
      <x:c r="J5430" s="40" t="n">
        <x:f>H5430^2</x:f>
        <x:v>0.8491053321305636</x:v>
      </x:c>
      <x:c r="K5430" s="40" t="n">
        <x:f>G5430-E5430</x:f>
        <x:v>0</x:v>
      </x:c>
      <x:c r="L5430" s="40" t="n">
        <x:f>ABS(K5430)</x:f>
        <x:v>0</x:v>
      </x:c>
      <x:c r="M5430" s="41" t="str">
        <x:v>lstm-soil-v1</x:v>
      </x:c>
    </x:row>
    <x:row r="5431">
      <x:c r="A5431" s="38" t="str">
        <x:v>7月30日现场数据</x:v>
      </x:c>
      <x:c r="B5431" s="39" t="str">
        <x:v>2026-08-05T06:35:00</x:v>
      </x:c>
      <x:c r="C5431" s="39" t="str">
        <x:v>2026-08-05T07:35:00</x:v>
      </x:c>
      <x:c r="D5431" s="47" t="n">
        <x:v>60</x:v>
      </x:c>
      <x:c r="E5431" s="40" t="n">
        <x:v>18.8</x:v>
      </x:c>
      <x:c r="F5431" s="40" t="n">
        <x:v>19.612350463867188</x:v>
      </x:c>
      <x:c r="G5431" s="40" t="n">
        <x:v>18.9</x:v>
      </x:c>
      <x:c r="H5431" s="40" t="n">
        <x:f>F5431-E5431</x:f>
        <x:v>0.8123504638671868</x:v>
      </x:c>
      <x:c r="I5431" s="40" t="n">
        <x:f>ABS(H5431)</x:f>
        <x:v>0.8123504638671868</x:v>
      </x:c>
      <x:c r="J5431" s="40" t="n">
        <x:f>H5431^2</x:f>
        <x:v>0.6599132761452335</x:v>
      </x:c>
      <x:c r="K5431" s="40" t="n">
        <x:f>G5431-E5431</x:f>
        <x:v>0.09999999999999787</x:v>
      </x:c>
      <x:c r="L5431" s="40" t="n">
        <x:f>ABS(K5431)</x:f>
        <x:v>0.09999999999999787</x:v>
      </x:c>
      <x:c r="M5431" s="41" t="str">
        <x:v>lstm-soil-v1</x:v>
      </x:c>
    </x:row>
    <x:row r="5432">
      <x:c r="A5432" s="38" t="str">
        <x:v>7月30日现场数据</x:v>
      </x:c>
      <x:c r="B5432" s="39" t="str">
        <x:v>2026-08-05T06:40:00</x:v>
      </x:c>
      <x:c r="C5432" s="39" t="str">
        <x:v>2026-08-05T06:45:00</x:v>
      </x:c>
      <x:c r="D5432" s="47" t="n">
        <x:v>5</x:v>
      </x:c>
      <x:c r="E5432" s="40" t="n">
        <x:v>18.9</x:v>
      </x:c>
      <x:c r="F5432" s="40" t="n">
        <x:v>17.52539825439453</x:v>
      </x:c>
      <x:c r="G5432" s="40" t="n">
        <x:v>18.9</x:v>
      </x:c>
      <x:c r="H5432" s="40" t="n">
        <x:f>F5432-E5432</x:f>
        <x:v>-1.3746017456054673</x:v>
      </x:c>
      <x:c r="I5432" s="40" t="n">
        <x:f>ABS(H5432)</x:f>
        <x:v>1.3746017456054673</x:v>
      </x:c>
      <x:c r="J5432" s="40" t="n">
        <x:f>H5432^2</x:f>
        <x:v>1.889529959021598</x:v>
      </x:c>
      <x:c r="K5432" s="40" t="n">
        <x:f>G5432-E5432</x:f>
        <x:v>0</x:v>
      </x:c>
      <x:c r="L5432" s="40" t="n">
        <x:f>ABS(K5432)</x:f>
        <x:v>0</x:v>
      </x:c>
      <x:c r="M5432" s="41" t="str">
        <x:v>lstm-soil-v1</x:v>
      </x:c>
    </x:row>
    <x:row r="5433">
      <x:c r="A5433" s="38" t="str">
        <x:v>7月30日现场数据</x:v>
      </x:c>
      <x:c r="B5433" s="39" t="str">
        <x:v>2026-08-05T06:40:00</x:v>
      </x:c>
      <x:c r="C5433" s="39" t="str">
        <x:v>2026-08-05T06:55:00</x:v>
      </x:c>
      <x:c r="D5433" s="47" t="n">
        <x:v>15</x:v>
      </x:c>
      <x:c r="E5433" s="40" t="n">
        <x:v>18.9</x:v>
      </x:c>
      <x:c r="F5433" s="40" t="n">
        <x:v>17.620052337646484</x:v>
      </x:c>
      <x:c r="G5433" s="40" t="n">
        <x:v>18.9</x:v>
      </x:c>
      <x:c r="H5433" s="40" t="n">
        <x:f>F5433-E5433</x:f>
        <x:v>-1.2799476623535142</x:v>
      </x:c>
      <x:c r="I5433" s="40" t="n">
        <x:f>ABS(H5433)</x:f>
        <x:v>1.2799476623535142</x:v>
      </x:c>
      <x:c r="J5433" s="40" t="n">
        <x:f>H5433^2</x:f>
        <x:v>1.6382660183642257</x:v>
      </x:c>
      <x:c r="K5433" s="40" t="n">
        <x:f>G5433-E5433</x:f>
        <x:v>0</x:v>
      </x:c>
      <x:c r="L5433" s="40" t="n">
        <x:f>ABS(K5433)</x:f>
        <x:v>0</x:v>
      </x:c>
      <x:c r="M5433" s="41" t="str">
        <x:v>lstm-soil-v1</x:v>
      </x:c>
    </x:row>
    <x:row r="5434">
      <x:c r="A5434" s="38" t="str">
        <x:v>7月30日现场数据</x:v>
      </x:c>
      <x:c r="B5434" s="39" t="str">
        <x:v>2026-08-05T06:40:00</x:v>
      </x:c>
      <x:c r="C5434" s="39" t="str">
        <x:v>2026-08-05T07:10:00</x:v>
      </x:c>
      <x:c r="D5434" s="47" t="n">
        <x:v>30</x:v>
      </x:c>
      <x:c r="E5434" s="40" t="n">
        <x:v>18.8</x:v>
      </x:c>
      <x:c r="F5434" s="40" t="n">
        <x:v>17.97927474975586</x:v>
      </x:c>
      <x:c r="G5434" s="40" t="n">
        <x:v>18.9</x:v>
      </x:c>
      <x:c r="H5434" s="40" t="n">
        <x:f>F5434-E5434</x:f>
        <x:v>-0.8207252502441413</x:v>
      </x:c>
      <x:c r="I5434" s="40" t="n">
        <x:f>ABS(H5434)</x:f>
        <x:v>0.8207252502441413</x:v>
      </x:c>
      <x:c r="J5434" s="40" t="n">
        <x:f>H5434^2</x:f>
        <x:v>0.6735899363883084</x:v>
      </x:c>
      <x:c r="K5434" s="40" t="n">
        <x:f>G5434-E5434</x:f>
        <x:v>0.09999999999999787</x:v>
      </x:c>
      <x:c r="L5434" s="40" t="n">
        <x:f>ABS(K5434)</x:f>
        <x:v>0.09999999999999787</x:v>
      </x:c>
      <x:c r="M5434" s="41" t="str">
        <x:v>lstm-soil-v1</x:v>
      </x:c>
    </x:row>
    <x:row r="5435">
      <x:c r="A5435" s="38" t="str">
        <x:v>7月30日现场数据</x:v>
      </x:c>
      <x:c r="B5435" s="39" t="str">
        <x:v>2026-08-05T06:40:00</x:v>
      </x:c>
      <x:c r="C5435" s="39" t="str">
        <x:v>2026-08-05T07:40:00</x:v>
      </x:c>
      <x:c r="D5435" s="47" t="n">
        <x:v>60</x:v>
      </x:c>
      <x:c r="E5435" s="40" t="n">
        <x:v>18.8</x:v>
      </x:c>
      <x:c r="F5435" s="40" t="n">
        <x:v>19.61315155029297</x:v>
      </x:c>
      <x:c r="G5435" s="40" t="n">
        <x:v>18.9</x:v>
      </x:c>
      <x:c r="H5435" s="40" t="n">
        <x:f>F5435-E5435</x:f>
        <x:v>0.813151550292968</x:v>
      </x:c>
      <x:c r="I5435" s="40" t="n">
        <x:f>ABS(H5435)</x:f>
        <x:v>0.813151550292968</x:v>
      </x:c>
      <x:c r="J5435" s="40" t="n">
        <x:f>H5435^2</x:f>
        <x:v>0.6612154437438573</x:v>
      </x:c>
      <x:c r="K5435" s="40" t="n">
        <x:f>G5435-E5435</x:f>
        <x:v>0.09999999999999787</x:v>
      </x:c>
      <x:c r="L5435" s="40" t="n">
        <x:f>ABS(K5435)</x:f>
        <x:v>0.09999999999999787</x:v>
      </x:c>
      <x:c r="M5435" s="41" t="str">
        <x:v>lstm-soil-v1</x:v>
      </x:c>
    </x:row>
    <x:row r="5436">
      <x:c r="A5436" s="38" t="str">
        <x:v>7月30日现场数据</x:v>
      </x:c>
      <x:c r="B5436" s="39" t="str">
        <x:v>2026-08-05T06:45:00</x:v>
      </x:c>
      <x:c r="C5436" s="39" t="str">
        <x:v>2026-08-05T06:50:00</x:v>
      </x:c>
      <x:c r="D5436" s="47" t="n">
        <x:v>5</x:v>
      </x:c>
      <x:c r="E5436" s="40" t="n">
        <x:v>18.9</x:v>
      </x:c>
      <x:c r="F5436" s="40" t="n">
        <x:v>17.526119232177734</x:v>
      </x:c>
      <x:c r="G5436" s="40" t="n">
        <x:v>18.9</x:v>
      </x:c>
      <x:c r="H5436" s="40" t="n">
        <x:f>F5436-E5436</x:f>
        <x:v>-1.3738807678222642</x:v>
      </x:c>
      <x:c r="I5436" s="40" t="n">
        <x:f>ABS(H5436)</x:f>
        <x:v>1.3738807678222642</x:v>
      </x:c>
      <x:c r="J5436" s="40" t="n">
        <x:f>H5436^2</x:f>
        <x:v>1.8875483641918942</x:v>
      </x:c>
      <x:c r="K5436" s="40" t="n">
        <x:f>G5436-E5436</x:f>
        <x:v>0</x:v>
      </x:c>
      <x:c r="L5436" s="40" t="n">
        <x:f>ABS(K5436)</x:f>
        <x:v>0</x:v>
      </x:c>
      <x:c r="M5436" s="41" t="str">
        <x:v>lstm-soil-v1</x:v>
      </x:c>
    </x:row>
    <x:row r="5437">
      <x:c r="A5437" s="38" t="str">
        <x:v>7月30日现场数据</x:v>
      </x:c>
      <x:c r="B5437" s="39" t="str">
        <x:v>2026-08-05T06:45:00</x:v>
      </x:c>
      <x:c r="C5437" s="39" t="str">
        <x:v>2026-08-05T07:00:00</x:v>
      </x:c>
      <x:c r="D5437" s="47" t="n">
        <x:v>15</x:v>
      </x:c>
      <x:c r="E5437" s="40" t="n">
        <x:v>18.9</x:v>
      </x:c>
      <x:c r="F5437" s="40" t="n">
        <x:v>17.61990737915039</x:v>
      </x:c>
      <x:c r="G5437" s="40" t="n">
        <x:v>18.9</x:v>
      </x:c>
      <x:c r="H5437" s="40" t="n">
        <x:f>F5437-E5437</x:f>
        <x:v>-1.280092620849608</x:v>
      </x:c>
      <x:c r="I5437" s="40" t="n">
        <x:f>ABS(H5437)</x:f>
        <x:v>1.280092620849608</x:v>
      </x:c>
      <x:c r="J5437" s="40" t="n">
        <x:f>H5437^2</x:f>
        <x:v>1.638637117953618</x:v>
      </x:c>
      <x:c r="K5437" s="40" t="n">
        <x:f>G5437-E5437</x:f>
        <x:v>0</x:v>
      </x:c>
      <x:c r="L5437" s="40" t="n">
        <x:f>ABS(K5437)</x:f>
        <x:v>0</x:v>
      </x:c>
      <x:c r="M5437" s="41" t="str">
        <x:v>lstm-soil-v1</x:v>
      </x:c>
    </x:row>
    <x:row r="5438">
      <x:c r="A5438" s="38" t="str">
        <x:v>7月30日现场数据</x:v>
      </x:c>
      <x:c r="B5438" s="39" t="str">
        <x:v>2026-08-05T06:45:00</x:v>
      </x:c>
      <x:c r="C5438" s="39" t="str">
        <x:v>2026-08-05T07:15:00</x:v>
      </x:c>
      <x:c r="D5438" s="47" t="n">
        <x:v>30</x:v>
      </x:c>
      <x:c r="E5438" s="40" t="n">
        <x:v>18.9</x:v>
      </x:c>
      <x:c r="F5438" s="40" t="n">
        <x:v>17.980239868164062</x:v>
      </x:c>
      <x:c r="G5438" s="40" t="n">
        <x:v>18.9</x:v>
      </x:c>
      <x:c r="H5438" s="40" t="n">
        <x:f>F5438-E5438</x:f>
        <x:v>-0.9197601318359361</x:v>
      </x:c>
      <x:c r="I5438" s="40" t="n">
        <x:f>ABS(H5438)</x:f>
        <x:v>0.9197601318359361</x:v>
      </x:c>
      <x:c r="J5438" s="40" t="n">
        <x:f>H5438^2</x:f>
        <x:v>0.8459587001148585</x:v>
      </x:c>
      <x:c r="K5438" s="40" t="n">
        <x:f>G5438-E5438</x:f>
        <x:v>0</x:v>
      </x:c>
      <x:c r="L5438" s="40" t="n">
        <x:f>ABS(K5438)</x:f>
        <x:v>0</x:v>
      </x:c>
      <x:c r="M5438" s="41" t="str">
        <x:v>lstm-soil-v1</x:v>
      </x:c>
    </x:row>
    <x:row r="5439">
      <x:c r="A5439" s="38" t="str">
        <x:v>7月30日现场数据</x:v>
      </x:c>
      <x:c r="B5439" s="39" t="str">
        <x:v>2026-08-05T06:45:00</x:v>
      </x:c>
      <x:c r="C5439" s="39" t="str">
        <x:v>2026-08-05T07:45:00</x:v>
      </x:c>
      <x:c r="D5439" s="47" t="n">
        <x:v>60</x:v>
      </x:c>
      <x:c r="E5439" s="40" t="n">
        <x:v>18.8</x:v>
      </x:c>
      <x:c r="F5439" s="40" t="n">
        <x:v>19.614059448242188</x:v>
      </x:c>
      <x:c r="G5439" s="40" t="n">
        <x:v>18.9</x:v>
      </x:c>
      <x:c r="H5439" s="40" t="n">
        <x:f>F5439-E5439</x:f>
        <x:v>0.8140594482421868</x:v>
      </x:c>
      <x:c r="I5439" s="40" t="n">
        <x:f>ABS(H5439)</x:f>
        <x:v>0.8140594482421868</x:v>
      </x:c>
      <x:c r="J5439" s="40" t="n">
        <x:f>H5439^2</x:f>
        <x:v>0.6626927852723736</x:v>
      </x:c>
      <x:c r="K5439" s="40" t="n">
        <x:f>G5439-E5439</x:f>
        <x:v>0.09999999999999787</x:v>
      </x:c>
      <x:c r="L5439" s="40" t="n">
        <x:f>ABS(K5439)</x:f>
        <x:v>0.09999999999999787</x:v>
      </x:c>
      <x:c r="M5439" s="41" t="str">
        <x:v>lstm-soil-v1</x:v>
      </x:c>
    </x:row>
    <x:row r="5440">
      <x:c r="A5440" s="38" t="str">
        <x:v>7月30日现场数据</x:v>
      </x:c>
      <x:c r="B5440" s="39" t="str">
        <x:v>2026-08-05T06:50:00</x:v>
      </x:c>
      <x:c r="C5440" s="39" t="str">
        <x:v>2026-08-05T06:55:00</x:v>
      </x:c>
      <x:c r="D5440" s="47" t="n">
        <x:v>5</x:v>
      </x:c>
      <x:c r="E5440" s="40" t="n">
        <x:v>18.9</x:v>
      </x:c>
      <x:c r="F5440" s="40" t="n">
        <x:v>17.526710510253906</x:v>
      </x:c>
      <x:c r="G5440" s="40" t="n">
        <x:v>18.9</x:v>
      </x:c>
      <x:c r="H5440" s="40" t="n">
        <x:f>F5440-E5440</x:f>
        <x:v>-1.3732894897460923</x:v>
      </x:c>
      <x:c r="I5440" s="40" t="n">
        <x:f>ABS(H5440)</x:f>
        <x:v>1.3732894897460923</x:v>
      </x:c>
      <x:c r="J5440" s="40" t="n">
        <x:f>H5440^2</x:f>
        <x:v>1.8859240226470826</x:v>
      </x:c>
      <x:c r="K5440" s="40" t="n">
        <x:f>G5440-E5440</x:f>
        <x:v>0</x:v>
      </x:c>
      <x:c r="L5440" s="40" t="n">
        <x:f>ABS(K5440)</x:f>
        <x:v>0</x:v>
      </x:c>
      <x:c r="M5440" s="41" t="str">
        <x:v>lstm-soil-v1</x:v>
      </x:c>
    </x:row>
    <x:row r="5441">
      <x:c r="A5441" s="38" t="str">
        <x:v>7月30日现场数据</x:v>
      </x:c>
      <x:c r="B5441" s="39" t="str">
        <x:v>2026-08-05T06:50:00</x:v>
      </x:c>
      <x:c r="C5441" s="39" t="str">
        <x:v>2026-08-05T07:05:00</x:v>
      </x:c>
      <x:c r="D5441" s="47" t="n">
        <x:v>15</x:v>
      </x:c>
      <x:c r="E5441" s="40" t="n">
        <x:v>18.9</x:v>
      </x:c>
      <x:c r="F5441" s="40" t="n">
        <x:v>17.61986541748047</x:v>
      </x:c>
      <x:c r="G5441" s="40" t="n">
        <x:v>18.9</x:v>
      </x:c>
      <x:c r="H5441" s="40" t="n">
        <x:f>F5441-E5441</x:f>
        <x:v>-1.2801345825195298</x:v>
      </x:c>
      <x:c r="I5441" s="40" t="n">
        <x:f>ABS(H5441)</x:f>
        <x:v>1.2801345825195298</x:v>
      </x:c>
      <x:c r="J5441" s="40" t="n">
        <x:f>H5441^2</x:f>
        <x:v>1.6387445493624508</x:v>
      </x:c>
      <x:c r="K5441" s="40" t="n">
        <x:f>G5441-E5441</x:f>
        <x:v>0</x:v>
      </x:c>
      <x:c r="L5441" s="40" t="n">
        <x:f>ABS(K5441)</x:f>
        <x:v>0</x:v>
      </x:c>
      <x:c r="M5441" s="41" t="str">
        <x:v>lstm-soil-v1</x:v>
      </x:c>
    </x:row>
    <x:row r="5442">
      <x:c r="A5442" s="38" t="str">
        <x:v>7月30日现场数据</x:v>
      </x:c>
      <x:c r="B5442" s="39" t="str">
        <x:v>2026-08-05T06:50:00</x:v>
      </x:c>
      <x:c r="C5442" s="39" t="str">
        <x:v>2026-08-05T07:20:00</x:v>
      </x:c>
      <x:c r="D5442" s="47" t="n">
        <x:v>30</x:v>
      </x:c>
      <x:c r="E5442" s="40" t="n">
        <x:v>18.9</x:v>
      </x:c>
      <x:c r="F5442" s="40" t="n">
        <x:v>17.981220245361328</x:v>
      </x:c>
      <x:c r="G5442" s="40" t="n">
        <x:v>18.9</x:v>
      </x:c>
      <x:c r="H5442" s="40" t="n">
        <x:f>F5442-E5442</x:f>
        <x:v>-0.9187797546386705</x:v>
      </x:c>
      <x:c r="I5442" s="40" t="n">
        <x:f>ABS(H5442)</x:f>
        <x:v>0.9187797546386705</x:v>
      </x:c>
      <x:c r="J5442" s="40" t="n">
        <x:f>H5442^2</x:f>
        <x:v>0.8441562375338955</x:v>
      </x:c>
      <x:c r="K5442" s="40" t="n">
        <x:f>G5442-E5442</x:f>
        <x:v>0</x:v>
      </x:c>
      <x:c r="L5442" s="40" t="n">
        <x:f>ABS(K5442)</x:f>
        <x:v>0</x:v>
      </x:c>
      <x:c r="M5442" s="41" t="str">
        <x:v>lstm-soil-v1</x:v>
      </x:c>
    </x:row>
    <x:row r="5443">
      <x:c r="A5443" s="38" t="str">
        <x:v>7月30日现场数据</x:v>
      </x:c>
      <x:c r="B5443" s="39" t="str">
        <x:v>2026-08-05T06:50:00</x:v>
      </x:c>
      <x:c r="C5443" s="39" t="str">
        <x:v>2026-08-05T07:50:00</x:v>
      </x:c>
      <x:c r="D5443" s="47" t="n">
        <x:v>60</x:v>
      </x:c>
      <x:c r="E5443" s="40" t="n">
        <x:v>18.8</x:v>
      </x:c>
      <x:c r="F5443" s="40" t="n">
        <x:v>19.614852905273438</x:v>
      </x:c>
      <x:c r="G5443" s="40" t="n">
        <x:v>18.9</x:v>
      </x:c>
      <x:c r="H5443" s="40" t="n">
        <x:f>F5443-E5443</x:f>
        <x:v>0.8148529052734368</x:v>
      </x:c>
      <x:c r="I5443" s="40" t="n">
        <x:f>ABS(H5443)</x:f>
        <x:v>0.8148529052734368</x:v>
      </x:c>
      <x:c r="J5443" s="40" t="n">
        <x:f>H5443^2</x:f>
        <x:v>0.6639852572325605</x:v>
      </x:c>
      <x:c r="K5443" s="40" t="n">
        <x:f>G5443-E5443</x:f>
        <x:v>0.09999999999999787</x:v>
      </x:c>
      <x:c r="L5443" s="40" t="n">
        <x:f>ABS(K5443)</x:f>
        <x:v>0.09999999999999787</x:v>
      </x:c>
      <x:c r="M5443" s="41" t="str">
        <x:v>lstm-soil-v1</x:v>
      </x:c>
    </x:row>
    <x:row r="5444">
      <x:c r="A5444" s="38" t="str">
        <x:v>7月30日现场数据</x:v>
      </x:c>
      <x:c r="B5444" s="39" t="str">
        <x:v>2026-08-05T06:55:00</x:v>
      </x:c>
      <x:c r="C5444" s="39" t="str">
        <x:v>2026-08-05T07:00:00</x:v>
      </x:c>
      <x:c r="D5444" s="47" t="n">
        <x:v>5</x:v>
      </x:c>
      <x:c r="E5444" s="40" t="n">
        <x:v>18.9</x:v>
      </x:c>
      <x:c r="F5444" s="40" t="n">
        <x:v>17.527233123779297</x:v>
      </x:c>
      <x:c r="G5444" s="40" t="n">
        <x:v>18.9</x:v>
      </x:c>
      <x:c r="H5444" s="40" t="n">
        <x:f>F5444-E5444</x:f>
        <x:v>-1.3727668762207017</x:v>
      </x:c>
      <x:c r="I5444" s="40" t="n">
        <x:f>ABS(H5444)</x:f>
        <x:v>1.3727668762207017</x:v>
      </x:c>
      <x:c r="J5444" s="40" t="n">
        <x:f>H5444^2</x:f>
        <x:v>1.8844888964487434</x:v>
      </x:c>
      <x:c r="K5444" s="40" t="n">
        <x:f>G5444-E5444</x:f>
        <x:v>0</x:v>
      </x:c>
      <x:c r="L5444" s="40" t="n">
        <x:f>ABS(K5444)</x:f>
        <x:v>0</x:v>
      </x:c>
      <x:c r="M5444" s="41" t="str">
        <x:v>lstm-soil-v1</x:v>
      </x:c>
    </x:row>
    <x:row r="5445">
      <x:c r="A5445" s="38" t="str">
        <x:v>7月30日现场数据</x:v>
      </x:c>
      <x:c r="B5445" s="39" t="str">
        <x:v>2026-08-05T06:55:00</x:v>
      </x:c>
      <x:c r="C5445" s="39" t="str">
        <x:v>2026-08-05T07:10:00</x:v>
      </x:c>
      <x:c r="D5445" s="47" t="n">
        <x:v>15</x:v>
      </x:c>
      <x:c r="E5445" s="40" t="n">
        <x:v>18.8</x:v>
      </x:c>
      <x:c r="F5445" s="40" t="n">
        <x:v>17.619915008544922</x:v>
      </x:c>
      <x:c r="G5445" s="40" t="n">
        <x:v>18.9</x:v>
      </x:c>
      <x:c r="H5445" s="40" t="n">
        <x:f>F5445-E5445</x:f>
        <x:v>-1.1800849914550788</x:v>
      </x:c>
      <x:c r="I5445" s="40" t="n">
        <x:f>ABS(H5445)</x:f>
        <x:v>1.1800849914550788</x:v>
      </x:c>
      <x:c r="J5445" s="40" t="n">
        <x:f>H5445^2</x:f>
        <x:v>1.3926005870575335</x:v>
      </x:c>
      <x:c r="K5445" s="40" t="n">
        <x:f>G5445-E5445</x:f>
        <x:v>0.09999999999999787</x:v>
      </x:c>
      <x:c r="L5445" s="40" t="n">
        <x:f>ABS(K5445)</x:f>
        <x:v>0.09999999999999787</x:v>
      </x:c>
      <x:c r="M5445" s="41" t="str">
        <x:v>lstm-soil-v1</x:v>
      </x:c>
    </x:row>
    <x:row r="5446">
      <x:c r="A5446" s="38" t="str">
        <x:v>7月30日现场数据</x:v>
      </x:c>
      <x:c r="B5446" s="39" t="str">
        <x:v>2026-08-05T06:55:00</x:v>
      </x:c>
      <x:c r="C5446" s="39" t="str">
        <x:v>2026-08-05T07:25:00</x:v>
      </x:c>
      <x:c r="D5446" s="47" t="n">
        <x:v>30</x:v>
      </x:c>
      <x:c r="E5446" s="40" t="n">
        <x:v>18.9</x:v>
      </x:c>
      <x:c r="F5446" s="40" t="n">
        <x:v>17.982177734375</x:v>
      </x:c>
      <x:c r="G5446" s="40" t="n">
        <x:v>18.9</x:v>
      </x:c>
      <x:c r="H5446" s="40" t="n">
        <x:f>F5446-E5446</x:f>
        <x:v>-0.9178222656249986</x:v>
      </x:c>
      <x:c r="I5446" s="40" t="n">
        <x:f>ABS(H5446)</x:f>
        <x:v>0.9178222656249986</x:v>
      </x:c>
      <x:c r="J5446" s="40" t="n">
        <x:f>H5446^2</x:f>
        <x:v>0.8423977112770055</x:v>
      </x:c>
      <x:c r="K5446" s="40" t="n">
        <x:f>G5446-E5446</x:f>
        <x:v>0</x:v>
      </x:c>
      <x:c r="L5446" s="40" t="n">
        <x:f>ABS(K5446)</x:f>
        <x:v>0</x:v>
      </x:c>
      <x:c r="M5446" s="41" t="str">
        <x:v>lstm-soil-v1</x:v>
      </x:c>
    </x:row>
    <x:row r="5447">
      <x:c r="A5447" s="38" t="str">
        <x:v>7月30日现场数据</x:v>
      </x:c>
      <x:c r="B5447" s="39" t="str">
        <x:v>2026-08-05T06:55:00</x:v>
      </x:c>
      <x:c r="C5447" s="39" t="str">
        <x:v>2026-08-05T07:55:00</x:v>
      </x:c>
      <x:c r="D5447" s="47" t="n">
        <x:v>60</x:v>
      </x:c>
      <x:c r="E5447" s="40" t="n">
        <x:v>18.8</x:v>
      </x:c>
      <x:c r="F5447" s="40" t="n">
        <x:v>19.615543365478516</x:v>
      </x:c>
      <x:c r="G5447" s="40" t="n">
        <x:v>18.9</x:v>
      </x:c>
      <x:c r="H5447" s="40" t="n">
        <x:f>F5447-E5447</x:f>
        <x:v>0.8155433654785149</x:v>
      </x:c>
      <x:c r="I5447" s="40" t="n">
        <x:f>ABS(H5447)</x:f>
        <x:v>0.8155433654785149</x:v>
      </x:c>
      <x:c r="J5447" s="40" t="n">
        <x:f>H5447^2</x:f>
        <x:v>0.6651109809760225</x:v>
      </x:c>
      <x:c r="K5447" s="40" t="n">
        <x:f>G5447-E5447</x:f>
        <x:v>0.09999999999999787</x:v>
      </x:c>
      <x:c r="L5447" s="40" t="n">
        <x:f>ABS(K5447)</x:f>
        <x:v>0.09999999999999787</x:v>
      </x:c>
      <x:c r="M5447" s="41" t="str">
        <x:v>lstm-soil-v1</x:v>
      </x:c>
    </x:row>
    <x:row r="5448">
      <x:c r="A5448" s="38" t="str">
        <x:v>7月30日现场数据</x:v>
      </x:c>
      <x:c r="B5448" s="39" t="str">
        <x:v>2026-08-05T07:00:00</x:v>
      </x:c>
      <x:c r="C5448" s="39" t="str">
        <x:v>2026-08-05T07:05:00</x:v>
      </x:c>
      <x:c r="D5448" s="47" t="n">
        <x:v>5</x:v>
      </x:c>
      <x:c r="E5448" s="40" t="n">
        <x:v>18.9</x:v>
      </x:c>
      <x:c r="F5448" s="40" t="n">
        <x:v>17.52911376953125</x:v>
      </x:c>
      <x:c r="G5448" s="40" t="n">
        <x:v>18.9</x:v>
      </x:c>
      <x:c r="H5448" s="40" t="n">
        <x:f>F5448-E5448</x:f>
        <x:v>-1.3708862304687486</x:v>
      </x:c>
      <x:c r="I5448" s="40" t="n">
        <x:f>ABS(H5448)</x:f>
        <x:v>1.3708862304687486</x:v>
      </x:c>
      <x:c r="J5448" s="40" t="n">
        <x:f>H5448^2</x:f>
        <x:v>1.8793290568888148</x:v>
      </x:c>
      <x:c r="K5448" s="40" t="n">
        <x:f>G5448-E5448</x:f>
        <x:v>0</x:v>
      </x:c>
      <x:c r="L5448" s="40" t="n">
        <x:f>ABS(K5448)</x:f>
        <x:v>0</x:v>
      </x:c>
      <x:c r="M5448" s="41" t="str">
        <x:v>lstm-soil-v1</x:v>
      </x:c>
    </x:row>
    <x:row r="5449">
      <x:c r="A5449" s="38" t="str">
        <x:v>7月30日现场数据</x:v>
      </x:c>
      <x:c r="B5449" s="39" t="str">
        <x:v>2026-08-05T07:00:00</x:v>
      </x:c>
      <x:c r="C5449" s="39" t="str">
        <x:v>2026-08-05T07:15:00</x:v>
      </x:c>
      <x:c r="D5449" s="47" t="n">
        <x:v>15</x:v>
      </x:c>
      <x:c r="E5449" s="40" t="n">
        <x:v>18.9</x:v>
      </x:c>
      <x:c r="F5449" s="40" t="n">
        <x:v>17.619552612304688</x:v>
      </x:c>
      <x:c r="G5449" s="40" t="n">
        <x:v>18.9</x:v>
      </x:c>
      <x:c r="H5449" s="40" t="n">
        <x:f>F5449-E5449</x:f>
        <x:v>-1.280447387695311</x:v>
      </x:c>
      <x:c r="I5449" s="40" t="n">
        <x:f>ABS(H5449)</x:f>
        <x:v>1.280447387695311</x:v>
      </x:c>
      <x:c r="J5449" s="40" t="n">
        <x:f>H5449^2</x:f>
        <x:v>1.6395455126557463</x:v>
      </x:c>
      <x:c r="K5449" s="40" t="n">
        <x:f>G5449-E5449</x:f>
        <x:v>0</x:v>
      </x:c>
      <x:c r="L5449" s="40" t="n">
        <x:f>ABS(K5449)</x:f>
        <x:v>0</x:v>
      </x:c>
      <x:c r="M5449" s="41" t="str">
        <x:v>lstm-soil-v1</x:v>
      </x:c>
    </x:row>
    <x:row r="5450">
      <x:c r="A5450" s="38" t="str">
        <x:v>7月30日现场数据</x:v>
      </x:c>
      <x:c r="B5450" s="39" t="str">
        <x:v>2026-08-05T07:00:00</x:v>
      </x:c>
      <x:c r="C5450" s="39" t="str">
        <x:v>2026-08-05T07:30:00</x:v>
      </x:c>
      <x:c r="D5450" s="47" t="n">
        <x:v>30</x:v>
      </x:c>
      <x:c r="E5450" s="40" t="n">
        <x:v>18.8</x:v>
      </x:c>
      <x:c r="F5450" s="40" t="n">
        <x:v>17.98468780517578</x:v>
      </x:c>
      <x:c r="G5450" s="40" t="n">
        <x:v>18.9</x:v>
      </x:c>
      <x:c r="H5450" s="40" t="n">
        <x:f>F5450-E5450</x:f>
        <x:v>-0.8153121948242195</x:v>
      </x:c>
      <x:c r="I5450" s="40" t="n">
        <x:f>ABS(H5450)</x:f>
        <x:v>0.8153121948242195</x:v>
      </x:c>
      <x:c r="J5450" s="40" t="n">
        <x:f>H5450^2</x:f>
        <x:v>0.664733975029086</x:v>
      </x:c>
      <x:c r="K5450" s="40" t="n">
        <x:f>G5450-E5450</x:f>
        <x:v>0.09999999999999787</x:v>
      </x:c>
      <x:c r="L5450" s="40" t="n">
        <x:f>ABS(K5450)</x:f>
        <x:v>0.09999999999999787</x:v>
      </x:c>
      <x:c r="M5450" s="41" t="str">
        <x:v>lstm-soil-v1</x:v>
      </x:c>
    </x:row>
    <x:row r="5451">
      <x:c r="A5451" s="38" t="str">
        <x:v>7月30日现场数据</x:v>
      </x:c>
      <x:c r="B5451" s="39" t="str">
        <x:v>2026-08-05T07:00:00</x:v>
      </x:c>
      <x:c r="C5451" s="39" t="str">
        <x:v>2026-08-05T08:00:00</x:v>
      </x:c>
      <x:c r="D5451" s="47" t="n">
        <x:v>60</x:v>
      </x:c>
      <x:c r="E5451" s="40" t="n">
        <x:v>18.8</x:v>
      </x:c>
      <x:c r="F5451" s="40" t="n">
        <x:v>19.6207275390625</x:v>
      </x:c>
      <x:c r="G5451" s="40" t="n">
        <x:v>18.9</x:v>
      </x:c>
      <x:c r="H5451" s="40" t="n">
        <x:f>F5451-E5451</x:f>
        <x:v>0.8207275390624993</x:v>
      </x:c>
      <x:c r="I5451" s="40" t="n">
        <x:f>ABS(H5451)</x:f>
        <x:v>0.8207275390624993</x:v>
      </x:c>
      <x:c r="J5451" s="40" t="n">
        <x:f>H5451^2</x:f>
        <x:v>0.6735936933755863</x:v>
      </x:c>
      <x:c r="K5451" s="40" t="n">
        <x:f>G5451-E5451</x:f>
        <x:v>0.09999999999999787</x:v>
      </x:c>
      <x:c r="L5451" s="40" t="n">
        <x:f>ABS(K5451)</x:f>
        <x:v>0.09999999999999787</x:v>
      </x:c>
      <x:c r="M5451" s="41" t="str">
        <x:v>lstm-soil-v1</x:v>
      </x:c>
    </x:row>
    <x:row r="5452">
      <x:c r="A5452" s="38" t="str">
        <x:v>7月30日现场数据</x:v>
      </x:c>
      <x:c r="B5452" s="39" t="str">
        <x:v>2026-08-05T07:05:00</x:v>
      </x:c>
      <x:c r="C5452" s="39" t="str">
        <x:v>2026-08-05T07:10:00</x:v>
      </x:c>
      <x:c r="D5452" s="47" t="n">
        <x:v>5</x:v>
      </x:c>
      <x:c r="E5452" s="40" t="n">
        <x:v>18.8</x:v>
      </x:c>
      <x:c r="F5452" s="40" t="n">
        <x:v>17.530803680419922</x:v>
      </x:c>
      <x:c r="G5452" s="40" t="n">
        <x:v>18.9</x:v>
      </x:c>
      <x:c r="H5452" s="40" t="n">
        <x:f>F5452-E5452</x:f>
        <x:v>-1.2691963195800788</x:v>
      </x:c>
      <x:c r="I5452" s="40" t="n">
        <x:f>ABS(H5452)</x:f>
        <x:v>1.2691963195800788</x:v>
      </x:c>
      <x:c r="J5452" s="40" t="n">
        <x:f>H5452^2</x:f>
        <x:v>1.6108592976356175</x:v>
      </x:c>
      <x:c r="K5452" s="40" t="n">
        <x:f>G5452-E5452</x:f>
        <x:v>0.09999999999999787</x:v>
      </x:c>
      <x:c r="L5452" s="40" t="n">
        <x:f>ABS(K5452)</x:f>
        <x:v>0.09999999999999787</x:v>
      </x:c>
      <x:c r="M5452" s="41" t="str">
        <x:v>lstm-soil-v1</x:v>
      </x:c>
    </x:row>
    <x:row r="5453">
      <x:c r="A5453" s="38" t="str">
        <x:v>7月30日现场数据</x:v>
      </x:c>
      <x:c r="B5453" s="39" t="str">
        <x:v>2026-08-05T07:05:00</x:v>
      </x:c>
      <x:c r="C5453" s="39" t="str">
        <x:v>2026-08-05T07:20:00</x:v>
      </x:c>
      <x:c r="D5453" s="47" t="n">
        <x:v>15</x:v>
      </x:c>
      <x:c r="E5453" s="40" t="n">
        <x:v>18.9</x:v>
      </x:c>
      <x:c r="F5453" s="40" t="n">
        <x:v>17.620128631591797</x:v>
      </x:c>
      <x:c r="G5453" s="40" t="n">
        <x:v>18.9</x:v>
      </x:c>
      <x:c r="H5453" s="40" t="n">
        <x:f>F5453-E5453</x:f>
        <x:v>-1.2798713684082017</x:v>
      </x:c>
      <x:c r="I5453" s="40" t="n">
        <x:f>ABS(H5453)</x:f>
        <x:v>1.2798713684082017</x:v>
      </x:c>
      <x:c r="J5453" s="40" t="n">
        <x:f>H5453^2</x:f>
        <x:v>1.6380707196710829</x:v>
      </x:c>
      <x:c r="K5453" s="40" t="n">
        <x:f>G5453-E5453</x:f>
        <x:v>0</x:v>
      </x:c>
      <x:c r="L5453" s="40" t="n">
        <x:f>ABS(K5453)</x:f>
        <x:v>0</x:v>
      </x:c>
      <x:c r="M5453" s="41" t="str">
        <x:v>lstm-soil-v1</x:v>
      </x:c>
    </x:row>
    <x:row r="5454">
      <x:c r="A5454" s="38" t="str">
        <x:v>7月30日现场数据</x:v>
      </x:c>
      <x:c r="B5454" s="39" t="str">
        <x:v>2026-08-05T07:05:00</x:v>
      </x:c>
      <x:c r="C5454" s="39" t="str">
        <x:v>2026-08-05T07:35:00</x:v>
      </x:c>
      <x:c r="D5454" s="47" t="n">
        <x:v>30</x:v>
      </x:c>
      <x:c r="E5454" s="40" t="n">
        <x:v>18.8</x:v>
      </x:c>
      <x:c r="F5454" s="40" t="n">
        <x:v>17.987167358398438</x:v>
      </x:c>
      <x:c r="G5454" s="40" t="n">
        <x:v>18.9</x:v>
      </x:c>
      <x:c r="H5454" s="40" t="n">
        <x:f>F5454-E5454</x:f>
        <x:v>-0.8128326416015632</x:v>
      </x:c>
      <x:c r="I5454" s="40" t="n">
        <x:f>ABS(H5454)</x:f>
        <x:v>0.8128326416015632</x:v>
      </x:c>
      <x:c r="J5454" s="40" t="n">
        <x:f>H5454^2</x:f>
        <x:v>0.6606969032529753</x:v>
      </x:c>
      <x:c r="K5454" s="40" t="n">
        <x:f>G5454-E5454</x:f>
        <x:v>0.09999999999999787</x:v>
      </x:c>
      <x:c r="L5454" s="40" t="n">
        <x:f>ABS(K5454)</x:f>
        <x:v>0.09999999999999787</x:v>
      </x:c>
      <x:c r="M5454" s="41" t="str">
        <x:v>lstm-soil-v1</x:v>
      </x:c>
    </x:row>
    <x:row r="5455">
      <x:c r="A5455" s="38" t="str">
        <x:v>7月30日现场数据</x:v>
      </x:c>
      <x:c r="B5455" s="39" t="str">
        <x:v>2026-08-05T07:05:00</x:v>
      </x:c>
      <x:c r="C5455" s="39" t="str">
        <x:v>2026-08-05T08:05:00</x:v>
      </x:c>
      <x:c r="D5455" s="47" t="n">
        <x:v>60</x:v>
      </x:c>
      <x:c r="E5455" s="40" t="n">
        <x:v>18.8</x:v>
      </x:c>
      <x:c r="F5455" s="40" t="n">
        <x:v>19.624496459960938</x:v>
      </x:c>
      <x:c r="G5455" s="40" t="n">
        <x:v>18.9</x:v>
      </x:c>
      <x:c r="H5455" s="40" t="n">
        <x:f>F5455-E5455</x:f>
        <x:v>0.8244964599609368</x:v>
      </x:c>
      <x:c r="I5455" s="40" t="n">
        <x:f>ABS(H5455)</x:f>
        <x:v>0.8244964599609368</x:v>
      </x:c>
      <x:c r="J5455" s="40" t="n">
        <x:f>H5455^2</x:f>
        <x:v>0.6797944124881167</x:v>
      </x:c>
      <x:c r="K5455" s="40" t="n">
        <x:f>G5455-E5455</x:f>
        <x:v>0.09999999999999787</x:v>
      </x:c>
      <x:c r="L5455" s="40" t="n">
        <x:f>ABS(K5455)</x:f>
        <x:v>0.09999999999999787</x:v>
      </x:c>
      <x:c r="M5455" s="41" t="str">
        <x:v>lstm-soil-v1</x:v>
      </x:c>
    </x:row>
    <x:row r="5456">
      <x:c r="A5456" s="38" t="str">
        <x:v>7月30日现场数据</x:v>
      </x:c>
      <x:c r="B5456" s="39" t="str">
        <x:v>2026-08-05T07:10:00</x:v>
      </x:c>
      <x:c r="C5456" s="39" t="str">
        <x:v>2026-08-05T07:15:00</x:v>
      </x:c>
      <x:c r="D5456" s="47" t="n">
        <x:v>5</x:v>
      </x:c>
      <x:c r="E5456" s="40" t="n">
        <x:v>18.9</x:v>
      </x:c>
      <x:c r="F5456" s="40" t="n">
        <x:v>17.422168731689453</x:v>
      </x:c>
      <x:c r="G5456" s="40" t="n">
        <x:v>18.8</x:v>
      </x:c>
      <x:c r="H5456" s="40" t="n">
        <x:f>F5456-E5456</x:f>
        <x:v>-1.4778312683105455</x:v>
      </x:c>
      <x:c r="I5456" s="40" t="n">
        <x:f>ABS(H5456)</x:f>
        <x:v>1.4778312683105455</x:v>
      </x:c>
      <x:c r="J5456" s="40" t="n">
        <x:f>H5456^2</x:f>
        <x:v>2.183985257596355</x:v>
      </x:c>
      <x:c r="K5456" s="40" t="n">
        <x:f>G5456-E5456</x:f>
        <x:v>-0.09999999999999787</x:v>
      </x:c>
      <x:c r="L5456" s="40" t="n">
        <x:f>ABS(K5456)</x:f>
        <x:v>0.09999999999999787</x:v>
      </x:c>
      <x:c r="M5456" s="41" t="str">
        <x:v>lstm-soil-v1</x:v>
      </x:c>
    </x:row>
    <x:row r="5457">
      <x:c r="A5457" s="38" t="str">
        <x:v>7月30日现场数据</x:v>
      </x:c>
      <x:c r="B5457" s="39" t="str">
        <x:v>2026-08-05T07:10:00</x:v>
      </x:c>
      <x:c r="C5457" s="39" t="str">
        <x:v>2026-08-05T07:25:00</x:v>
      </x:c>
      <x:c r="D5457" s="47" t="n">
        <x:v>15</x:v>
      </x:c>
      <x:c r="E5457" s="40" t="n">
        <x:v>18.9</x:v>
      </x:c>
      <x:c r="F5457" s="40" t="n">
        <x:v>17.510906219482422</x:v>
      </x:c>
      <x:c r="G5457" s="40" t="n">
        <x:v>18.8</x:v>
      </x:c>
      <x:c r="H5457" s="40" t="n">
        <x:f>F5457-E5457</x:f>
        <x:v>-1.3890937805175767</x:v>
      </x:c>
      <x:c r="I5457" s="40" t="n">
        <x:f>ABS(H5457)</x:f>
        <x:v>1.3890937805175767</x:v>
      </x:c>
      <x:c r="J5457" s="40" t="n">
        <x:f>H5457^2</x:f>
        <x:v>1.9295815310726137</x:v>
      </x:c>
      <x:c r="K5457" s="40" t="n">
        <x:f>G5457-E5457</x:f>
        <x:v>-0.09999999999999787</x:v>
      </x:c>
      <x:c r="L5457" s="40" t="n">
        <x:f>ABS(K5457)</x:f>
        <x:v>0.09999999999999787</x:v>
      </x:c>
      <x:c r="M5457" s="41" t="str">
        <x:v>lstm-soil-v1</x:v>
      </x:c>
    </x:row>
    <x:row r="5458">
      <x:c r="A5458" s="38" t="str">
        <x:v>7月30日现场数据</x:v>
      </x:c>
      <x:c r="B5458" s="39" t="str">
        <x:v>2026-08-05T07:10:00</x:v>
      </x:c>
      <x:c r="C5458" s="39" t="str">
        <x:v>2026-08-05T07:40:00</x:v>
      </x:c>
      <x:c r="D5458" s="47" t="n">
        <x:v>30</x:v>
      </x:c>
      <x:c r="E5458" s="40" t="n">
        <x:v>18.8</x:v>
      </x:c>
      <x:c r="F5458" s="40" t="n">
        <x:v>17.87900161743164</x:v>
      </x:c>
      <x:c r="G5458" s="40" t="n">
        <x:v>18.8</x:v>
      </x:c>
      <x:c r="H5458" s="40" t="n">
        <x:f>F5458-E5458</x:f>
        <x:v>-0.9209983825683601</x:v>
      </x:c>
      <x:c r="I5458" s="40" t="n">
        <x:f>ABS(H5458)</x:f>
        <x:v>0.9209983825683601</x:v>
      </x:c>
      <x:c r="J5458" s="40" t="n">
        <x:f>H5458^2</x:f>
        <x:v>0.8482380206935354</x:v>
      </x:c>
      <x:c r="K5458" s="40" t="n">
        <x:f>G5458-E5458</x:f>
        <x:v>0</x:v>
      </x:c>
      <x:c r="L5458" s="40" t="n">
        <x:f>ABS(K5458)</x:f>
        <x:v>0</x:v>
      </x:c>
      <x:c r="M5458" s="41" t="str">
        <x:v>lstm-soil-v1</x:v>
      </x:c>
    </x:row>
    <x:row r="5459">
      <x:c r="A5459" s="38" t="str">
        <x:v>7月30日现场数据</x:v>
      </x:c>
      <x:c r="B5459" s="39" t="str">
        <x:v>2026-08-05T07:10:00</x:v>
      </x:c>
      <x:c r="C5459" s="39" t="str">
        <x:v>2026-08-05T08:10:00</x:v>
      </x:c>
      <x:c r="D5459" s="47" t="n">
        <x:v>60</x:v>
      </x:c>
      <x:c r="E5459" s="40" t="n">
        <x:v>18.8</x:v>
      </x:c>
      <x:c r="F5459" s="40" t="n">
        <x:v>19.517105102539062</x:v>
      </x:c>
      <x:c r="G5459" s="40" t="n">
        <x:v>18.8</x:v>
      </x:c>
      <x:c r="H5459" s="40" t="n">
        <x:f>F5459-E5459</x:f>
        <x:v>0.7171051025390618</x:v>
      </x:c>
      <x:c r="I5459" s="40" t="n">
        <x:f>ABS(H5459)</x:f>
        <x:v>0.7171051025390618</x:v>
      </x:c>
      <x:c r="J5459" s="40" t="n">
        <x:f>H5459^2</x:f>
        <x:v>0.5142397280875584</x:v>
      </x:c>
      <x:c r="K5459" s="40" t="n">
        <x:f>G5459-E5459</x:f>
        <x:v>0</x:v>
      </x:c>
      <x:c r="L5459" s="40" t="n">
        <x:f>ABS(K5459)</x:f>
        <x:v>0</x:v>
      </x:c>
      <x:c r="M5459" s="41" t="str">
        <x:v>lstm-soil-v1</x:v>
      </x:c>
    </x:row>
    <x:row r="5460">
      <x:c r="A5460" s="38" t="str">
        <x:v>7月30日现场数据</x:v>
      </x:c>
      <x:c r="B5460" s="39" t="str">
        <x:v>2026-08-05T07:15:00</x:v>
      </x:c>
      <x:c r="C5460" s="39" t="str">
        <x:v>2026-08-05T07:20:00</x:v>
      </x:c>
      <x:c r="D5460" s="47" t="n">
        <x:v>5</x:v>
      </x:c>
      <x:c r="E5460" s="40" t="n">
        <x:v>18.9</x:v>
      </x:c>
      <x:c r="F5460" s="40" t="n">
        <x:v>17.53411102294922</x:v>
      </x:c>
      <x:c r="G5460" s="40" t="n">
        <x:v>18.9</x:v>
      </x:c>
      <x:c r="H5460" s="40" t="n">
        <x:f>F5460-E5460</x:f>
        <x:v>-1.3658889770507798</x:v>
      </x:c>
      <x:c r="I5460" s="40" t="n">
        <x:f>ABS(H5460)</x:f>
        <x:v>1.3658889770507798</x:v>
      </x:c>
      <x:c r="J5460" s="40" t="n">
        <x:f>H5460^2</x:f>
        <x:v>1.8656526976288257</x:v>
      </x:c>
      <x:c r="K5460" s="40" t="n">
        <x:f>G5460-E5460</x:f>
        <x:v>0</x:v>
      </x:c>
      <x:c r="L5460" s="40" t="n">
        <x:f>ABS(K5460)</x:f>
        <x:v>0</x:v>
      </x:c>
      <x:c r="M5460" s="41" t="str">
        <x:v>lstm-soil-v1</x:v>
      </x:c>
    </x:row>
    <x:row r="5461">
      <x:c r="A5461" s="38" t="str">
        <x:v>7月30日现场数据</x:v>
      </x:c>
      <x:c r="B5461" s="39" t="str">
        <x:v>2026-08-05T07:15:00</x:v>
      </x:c>
      <x:c r="C5461" s="39" t="str">
        <x:v>2026-08-05T07:30:00</x:v>
      </x:c>
      <x:c r="D5461" s="47" t="n">
        <x:v>15</x:v>
      </x:c>
      <x:c r="E5461" s="40" t="n">
        <x:v>18.8</x:v>
      </x:c>
      <x:c r="F5461" s="40" t="n">
        <x:v>17.621997833251953</x:v>
      </x:c>
      <x:c r="G5461" s="40" t="n">
        <x:v>18.9</x:v>
      </x:c>
      <x:c r="H5461" s="40" t="n">
        <x:f>F5461-E5461</x:f>
        <x:v>-1.1780021667480476</x:v>
      </x:c>
      <x:c r="I5461" s="40" t="n">
        <x:f>ABS(H5461)</x:f>
        <x:v>1.1780021667480476</x:v>
      </x:c>
      <x:c r="J5461" s="40" t="n">
        <x:f>H5461^2</x:f>
        <x:v>1.3876891048630948</x:v>
      </x:c>
      <x:c r="K5461" s="40" t="n">
        <x:f>G5461-E5461</x:f>
        <x:v>0.09999999999999787</x:v>
      </x:c>
      <x:c r="L5461" s="40" t="n">
        <x:f>ABS(K5461)</x:f>
        <x:v>0.09999999999999787</x:v>
      </x:c>
      <x:c r="M5461" s="41" t="str">
        <x:v>lstm-soil-v1</x:v>
      </x:c>
    </x:row>
    <x:row r="5462">
      <x:c r="A5462" s="38" t="str">
        <x:v>7月30日现场数据</x:v>
      </x:c>
      <x:c r="B5462" s="39" t="str">
        <x:v>2026-08-05T07:15:00</x:v>
      </x:c>
      <x:c r="C5462" s="39" t="str">
        <x:v>2026-08-05T07:45:00</x:v>
      </x:c>
      <x:c r="D5462" s="47" t="n">
        <x:v>30</x:v>
      </x:c>
      <x:c r="E5462" s="40" t="n">
        <x:v>18.8</x:v>
      </x:c>
      <x:c r="F5462" s="40" t="n">
        <x:v>17.991043090820312</x:v>
      </x:c>
      <x:c r="G5462" s="40" t="n">
        <x:v>18.9</x:v>
      </x:c>
      <x:c r="H5462" s="40" t="n">
        <x:f>F5462-E5462</x:f>
        <x:v>-0.8089569091796882</x:v>
      </x:c>
      <x:c r="I5462" s="40" t="n">
        <x:f>ABS(H5462)</x:f>
        <x:v>0.8089569091796882</x:v>
      </x:c>
      <x:c r="J5462" s="40" t="n">
        <x:f>H5462^2</x:f>
        <x:v>0.6544112809095544</x:v>
      </x:c>
      <x:c r="K5462" s="40" t="n">
        <x:f>G5462-E5462</x:f>
        <x:v>0.09999999999999787</x:v>
      </x:c>
      <x:c r="L5462" s="40" t="n">
        <x:f>ABS(K5462)</x:f>
        <x:v>0.09999999999999787</x:v>
      </x:c>
      <x:c r="M5462" s="41" t="str">
        <x:v>lstm-soil-v1</x:v>
      </x:c>
    </x:row>
    <x:row r="5463">
      <x:c r="A5463" s="38" t="str">
        <x:v>7月30日现场数据</x:v>
      </x:c>
      <x:c r="B5463" s="39" t="str">
        <x:v>2026-08-05T07:15:00</x:v>
      </x:c>
      <x:c r="C5463" s="39" t="str">
        <x:v>2026-08-05T08:15:00</x:v>
      </x:c>
      <x:c r="D5463" s="47" t="n">
        <x:v>60</x:v>
      </x:c>
      <x:c r="E5463" s="40" t="n">
        <x:v>18.8</x:v>
      </x:c>
      <x:c r="F5463" s="40" t="n">
        <x:v>19.629741668701172</x:v>
      </x:c>
      <x:c r="G5463" s="40" t="n">
        <x:v>18.9</x:v>
      </x:c>
      <x:c r="H5463" s="40" t="n">
        <x:f>F5463-E5463</x:f>
        <x:v>0.8297416687011712</x:v>
      </x:c>
      <x:c r="I5463" s="40" t="n">
        <x:f>ABS(H5463)</x:f>
        <x:v>0.8297416687011712</x:v>
      </x:c>
      <x:c r="J5463" s="40" t="n">
        <x:f>H5463^2</x:f>
        <x:v>0.6884712367790041</x:v>
      </x:c>
      <x:c r="K5463" s="40" t="n">
        <x:f>G5463-E5463</x:f>
        <x:v>0.09999999999999787</x:v>
      </x:c>
      <x:c r="L5463" s="40" t="n">
        <x:f>ABS(K5463)</x:f>
        <x:v>0.09999999999999787</x:v>
      </x:c>
      <x:c r="M5463" s="41" t="str">
        <x:v>lstm-soil-v1</x:v>
      </x:c>
    </x:row>
    <x:row r="5464">
      <x:c r="A5464" s="38" t="str">
        <x:v>7月30日现场数据</x:v>
      </x:c>
      <x:c r="B5464" s="39" t="str">
        <x:v>2026-08-05T07:20:00</x:v>
      </x:c>
      <x:c r="C5464" s="39" t="str">
        <x:v>2026-08-05T07:25:00</x:v>
      </x:c>
      <x:c r="D5464" s="47" t="n">
        <x:v>5</x:v>
      </x:c>
      <x:c r="E5464" s="40" t="n">
        <x:v>18.9</x:v>
      </x:c>
      <x:c r="F5464" s="40" t="n">
        <x:v>17.535747528076172</x:v>
      </x:c>
      <x:c r="G5464" s="40" t="n">
        <x:v>18.9</x:v>
      </x:c>
      <x:c r="H5464" s="40" t="n">
        <x:f>F5464-E5464</x:f>
        <x:v>-1.3642524719238267</x:v>
      </x:c>
      <x:c r="I5464" s="40" t="n">
        <x:f>ABS(H5464)</x:f>
        <x:v>1.3642524719238267</x:v>
      </x:c>
      <x:c r="J5464" s="40" t="n">
        <x:f>H5464^2</x:f>
        <x:v>1.8611848071502715</x:v>
      </x:c>
      <x:c r="K5464" s="40" t="n">
        <x:f>G5464-E5464</x:f>
        <x:v>0</x:v>
      </x:c>
      <x:c r="L5464" s="40" t="n">
        <x:f>ABS(K5464)</x:f>
        <x:v>0</x:v>
      </x:c>
      <x:c r="M5464" s="41" t="str">
        <x:v>lstm-soil-v1</x:v>
      </x:c>
    </x:row>
    <x:row r="5465">
      <x:c r="A5465" s="38" t="str">
        <x:v>7月30日现场数据</x:v>
      </x:c>
      <x:c r="B5465" s="39" t="str">
        <x:v>2026-08-05T07:20:00</x:v>
      </x:c>
      <x:c r="C5465" s="39" t="str">
        <x:v>2026-08-05T07:35:00</x:v>
      </x:c>
      <x:c r="D5465" s="47" t="n">
        <x:v>15</x:v>
      </x:c>
      <x:c r="E5465" s="40" t="n">
        <x:v>18.8</x:v>
      </x:c>
      <x:c r="F5465" s="40" t="n">
        <x:v>17.623004913330078</x:v>
      </x:c>
      <x:c r="G5465" s="40" t="n">
        <x:v>18.9</x:v>
      </x:c>
      <x:c r="H5465" s="40" t="n">
        <x:f>F5465-E5465</x:f>
        <x:v>-1.1769950866699226</x:v>
      </x:c>
      <x:c r="I5465" s="40" t="n">
        <x:f>ABS(H5465)</x:f>
        <x:v>1.1769950866699226</x:v>
      </x:c>
      <x:c r="J5465" s="40" t="n">
        <x:f>H5465^2</x:f>
        <x:v>1.3853174340451386</x:v>
      </x:c>
      <x:c r="K5465" s="40" t="n">
        <x:f>G5465-E5465</x:f>
        <x:v>0.09999999999999787</x:v>
      </x:c>
      <x:c r="L5465" s="40" t="n">
        <x:f>ABS(K5465)</x:f>
        <x:v>0.09999999999999787</x:v>
      </x:c>
      <x:c r="M5465" s="41" t="str">
        <x:v>lstm-soil-v1</x:v>
      </x:c>
    </x:row>
    <x:row r="5466">
      <x:c r="A5466" s="38" t="str">
        <x:v>7月30日现场数据</x:v>
      </x:c>
      <x:c r="B5466" s="39" t="str">
        <x:v>2026-08-05T07:20:00</x:v>
      </x:c>
      <x:c r="C5466" s="39" t="str">
        <x:v>2026-08-05T07:50:00</x:v>
      </x:c>
      <x:c r="D5466" s="47" t="n">
        <x:v>30</x:v>
      </x:c>
      <x:c r="E5466" s="40" t="n">
        <x:v>18.8</x:v>
      </x:c>
      <x:c r="F5466" s="40" t="n">
        <x:v>17.99273681640625</x:v>
      </x:c>
      <x:c r="G5466" s="40" t="n">
        <x:v>18.9</x:v>
      </x:c>
      <x:c r="H5466" s="40" t="n">
        <x:f>F5466-E5466</x:f>
        <x:v>-0.8072631835937507</x:v>
      </x:c>
      <x:c r="I5466" s="40" t="n">
        <x:f>ABS(H5466)</x:f>
        <x:v>0.8072631835937507</x:v>
      </x:c>
      <x:c r="J5466" s="40" t="n">
        <x:f>H5466^2</x:f>
        <x:v>0.6516738475859176</x:v>
      </x:c>
      <x:c r="K5466" s="40" t="n">
        <x:f>G5466-E5466</x:f>
        <x:v>0.09999999999999787</x:v>
      </x:c>
      <x:c r="L5466" s="40" t="n">
        <x:f>ABS(K5466)</x:f>
        <x:v>0.09999999999999787</x:v>
      </x:c>
      <x:c r="M5466" s="41" t="str">
        <x:v>lstm-soil-v1</x:v>
      </x:c>
    </x:row>
    <x:row r="5467">
      <x:c r="A5467" s="38" t="str">
        <x:v>7月30日现场数据</x:v>
      </x:c>
      <x:c r="B5467" s="39" t="str">
        <x:v>2026-08-05T07:20:00</x:v>
      </x:c>
      <x:c r="C5467" s="39" t="str">
        <x:v>2026-08-05T08:20:00</x:v>
      </x:c>
      <x:c r="D5467" s="47" t="n">
        <x:v>60</x:v>
      </x:c>
      <x:c r="E5467" s="40" t="n">
        <x:v>18.7</x:v>
      </x:c>
      <x:c r="F5467" s="40" t="n">
        <x:v>19.631778717041016</x:v>
      </x:c>
      <x:c r="G5467" s="40" t="n">
        <x:v>18.9</x:v>
      </x:c>
      <x:c r="H5467" s="40" t="n">
        <x:f>F5467-E5467</x:f>
        <x:v>0.9317787170410163</x:v>
      </x:c>
      <x:c r="I5467" s="40" t="n">
        <x:f>ABS(H5467)</x:f>
        <x:v>0.9317787170410163</x:v>
      </x:c>
      <x:c r="J5467" s="40" t="n">
        <x:f>H5467^2</x:f>
        <x:v>0.8682115775306024</x:v>
      </x:c>
      <x:c r="K5467" s="40" t="n">
        <x:f>G5467-E5467</x:f>
        <x:v>0.1999999999999993</x:v>
      </x:c>
      <x:c r="L5467" s="40" t="n">
        <x:f>ABS(K5467)</x:f>
        <x:v>0.1999999999999993</x:v>
      </x:c>
      <x:c r="M5467" s="41" t="str">
        <x:v>lstm-soil-v1</x:v>
      </x:c>
    </x:row>
    <x:row r="5468">
      <x:c r="A5468" s="38" t="str">
        <x:v>7月30日现场数据</x:v>
      </x:c>
      <x:c r="B5468" s="39" t="str">
        <x:v>2026-08-05T07:25:00</x:v>
      </x:c>
      <x:c r="C5468" s="39" t="str">
        <x:v>2026-08-05T07:30:00</x:v>
      </x:c>
      <x:c r="D5468" s="47" t="n">
        <x:v>5</x:v>
      </x:c>
      <x:c r="E5468" s="40" t="n">
        <x:v>18.8</x:v>
      </x:c>
      <x:c r="F5468" s="40" t="n">
        <x:v>17.53748321533203</x:v>
      </x:c>
      <x:c r="G5468" s="40" t="n">
        <x:v>18.9</x:v>
      </x:c>
      <x:c r="H5468" s="40" t="n">
        <x:f>F5468-E5468</x:f>
        <x:v>-1.2625167846679695</x:v>
      </x:c>
      <x:c r="I5468" s="40" t="n">
        <x:f>ABS(H5468)</x:f>
        <x:v>1.2625167846679695</x:v>
      </x:c>
      <x:c r="J5468" s="40" t="n">
        <x:f>H5468^2</x:f>
        <x:v>1.593948631568348</x:v>
      </x:c>
      <x:c r="K5468" s="40" t="n">
        <x:f>G5468-E5468</x:f>
        <x:v>0.09999999999999787</x:v>
      </x:c>
      <x:c r="L5468" s="40" t="n">
        <x:f>ABS(K5468)</x:f>
        <x:v>0.09999999999999787</x:v>
      </x:c>
      <x:c r="M5468" s="41" t="str">
        <x:v>lstm-soil-v1</x:v>
      </x:c>
    </x:row>
    <x:row r="5469">
      <x:c r="A5469" s="38" t="str">
        <x:v>7月30日现场数据</x:v>
      </x:c>
      <x:c r="B5469" s="39" t="str">
        <x:v>2026-08-05T07:25:00</x:v>
      </x:c>
      <x:c r="C5469" s="39" t="str">
        <x:v>2026-08-05T07:40:00</x:v>
      </x:c>
      <x:c r="D5469" s="47" t="n">
        <x:v>15</x:v>
      </x:c>
      <x:c r="E5469" s="40" t="n">
        <x:v>18.8</x:v>
      </x:c>
      <x:c r="F5469" s="40" t="n">
        <x:v>17.624000549316406</x:v>
      </x:c>
      <x:c r="G5469" s="40" t="n">
        <x:v>18.9</x:v>
      </x:c>
      <x:c r="H5469" s="40" t="n">
        <x:f>F5469-E5469</x:f>
        <x:v>-1.1759994506835945</x:v>
      </x:c>
      <x:c r="I5469" s="40" t="n">
        <x:f>ABS(H5469)</x:f>
        <x:v>1.1759994506835945</x:v>
      </x:c>
      <x:c r="J5469" s="40" t="n">
        <x:f>H5469^2</x:f>
        <x:v>1.3829747080081158</x:v>
      </x:c>
      <x:c r="K5469" s="40" t="n">
        <x:f>G5469-E5469</x:f>
        <x:v>0.09999999999999787</x:v>
      </x:c>
      <x:c r="L5469" s="40" t="n">
        <x:f>ABS(K5469)</x:f>
        <x:v>0.09999999999999787</x:v>
      </x:c>
      <x:c r="M5469" s="41" t="str">
        <x:v>lstm-soil-v1</x:v>
      </x:c>
    </x:row>
    <x:row r="5470">
      <x:c r="A5470" s="38" t="str">
        <x:v>7月30日现场数据</x:v>
      </x:c>
      <x:c r="B5470" s="39" t="str">
        <x:v>2026-08-05T07:25:00</x:v>
      </x:c>
      <x:c r="C5470" s="39" t="str">
        <x:v>2026-08-05T07:55:00</x:v>
      </x:c>
      <x:c r="D5470" s="47" t="n">
        <x:v>30</x:v>
      </x:c>
      <x:c r="E5470" s="40" t="n">
        <x:v>18.8</x:v>
      </x:c>
      <x:c r="F5470" s="40" t="n">
        <x:v>17.994461059570312</x:v>
      </x:c>
      <x:c r="G5470" s="40" t="n">
        <x:v>18.9</x:v>
      </x:c>
      <x:c r="H5470" s="40" t="n">
        <x:f>F5470-E5470</x:f>
        <x:v>-0.8055389404296882</x:v>
      </x:c>
      <x:c r="I5470" s="40" t="n">
        <x:f>ABS(H5470)</x:f>
        <x:v>0.8055389404296882</x:v>
      </x:c>
      <x:c r="J5470" s="40" t="n">
        <x:f>H5470^2</x:f>
        <x:v>0.6488929845485848</x:v>
      </x:c>
      <x:c r="K5470" s="40" t="n">
        <x:f>G5470-E5470</x:f>
        <x:v>0.09999999999999787</x:v>
      </x:c>
      <x:c r="L5470" s="40" t="n">
        <x:f>ABS(K5470)</x:f>
        <x:v>0.09999999999999787</x:v>
      </x:c>
      <x:c r="M5470" s="41" t="str">
        <x:v>lstm-soil-v1</x:v>
      </x:c>
    </x:row>
    <x:row r="5471">
      <x:c r="A5471" s="38" t="str">
        <x:v>7月30日现场数据</x:v>
      </x:c>
      <x:c r="B5471" s="39" t="str">
        <x:v>2026-08-05T07:25:00</x:v>
      </x:c>
      <x:c r="C5471" s="39" t="str">
        <x:v>2026-08-05T08:25:00</x:v>
      </x:c>
      <x:c r="D5471" s="47" t="n">
        <x:v>60</x:v>
      </x:c>
      <x:c r="E5471" s="40" t="n">
        <x:v>18.8</x:v>
      </x:c>
      <x:c r="F5471" s="40" t="n">
        <x:v>19.633724212646484</x:v>
      </x:c>
      <x:c r="G5471" s="40" t="n">
        <x:v>18.9</x:v>
      </x:c>
      <x:c r="H5471" s="40" t="n">
        <x:f>F5471-E5471</x:f>
        <x:v>0.8337242126464837</x:v>
      </x:c>
      <x:c r="I5471" s="40" t="n">
        <x:f>ABS(H5471)</x:f>
        <x:v>0.8337242126464837</x:v>
      </x:c>
      <x:c r="J5471" s="40" t="n">
        <x:f>H5471^2</x:f>
        <x:v>0.6950960627529991</x:v>
      </x:c>
      <x:c r="K5471" s="40" t="n">
        <x:f>G5471-E5471</x:f>
        <x:v>0.09999999999999787</x:v>
      </x:c>
      <x:c r="L5471" s="40" t="n">
        <x:f>ABS(K5471)</x:f>
        <x:v>0.09999999999999787</x:v>
      </x:c>
      <x:c r="M5471" s="41" t="str">
        <x:v>lstm-soil-v1</x:v>
      </x:c>
    </x:row>
    <x:row r="5472">
      <x:c r="A5472" s="38" t="str">
        <x:v>7月30日现场数据</x:v>
      </x:c>
      <x:c r="B5472" s="39" t="str">
        <x:v>2026-08-05T07:30:00</x:v>
      </x:c>
      <x:c r="C5472" s="39" t="str">
        <x:v>2026-08-05T07:35:00</x:v>
      </x:c>
      <x:c r="D5472" s="47" t="n">
        <x:v>5</x:v>
      </x:c>
      <x:c r="E5472" s="40" t="n">
        <x:v>18.8</x:v>
      </x:c>
      <x:c r="F5472" s="40" t="n">
        <x:v>17.429035186767578</x:v>
      </x:c>
      <x:c r="G5472" s="40" t="n">
        <x:v>18.8</x:v>
      </x:c>
      <x:c r="H5472" s="40" t="n">
        <x:f>F5472-E5472</x:f>
        <x:v>-1.3709648132324226</x:v>
      </x:c>
      <x:c r="I5472" s="40" t="n">
        <x:f>ABS(H5472)</x:f>
        <x:v>1.3709648132324226</x:v>
      </x:c>
      <x:c r="J5472" s="40" t="n">
        <x:f>H5472^2</x:f>
        <x:v>1.8795445191214113</x:v>
      </x:c>
      <x:c r="K5472" s="40" t="n">
        <x:f>G5472-E5472</x:f>
        <x:v>0</x:v>
      </x:c>
      <x:c r="L5472" s="40" t="n">
        <x:f>ABS(K5472)</x:f>
        <x:v>0</x:v>
      </x:c>
      <x:c r="M5472" s="41" t="str">
        <x:v>lstm-soil-v1</x:v>
      </x:c>
    </x:row>
    <x:row r="5473">
      <x:c r="A5473" s="38" t="str">
        <x:v>7月30日现场数据</x:v>
      </x:c>
      <x:c r="B5473" s="39" t="str">
        <x:v>2026-08-05T07:30:00</x:v>
      </x:c>
      <x:c r="C5473" s="39" t="str">
        <x:v>2026-08-05T07:45:00</x:v>
      </x:c>
      <x:c r="D5473" s="47" t="n">
        <x:v>15</x:v>
      </x:c>
      <x:c r="E5473" s="40" t="n">
        <x:v>18.8</x:v>
      </x:c>
      <x:c r="F5473" s="40" t="n">
        <x:v>17.514686584472656</x:v>
      </x:c>
      <x:c r="G5473" s="40" t="n">
        <x:v>18.8</x:v>
      </x:c>
      <x:c r="H5473" s="40" t="n">
        <x:f>F5473-E5473</x:f>
        <x:v>-1.2853134155273445</x:v>
      </x:c>
      <x:c r="I5473" s="40" t="n">
        <x:f>ABS(H5473)</x:f>
        <x:v>1.2853134155273445</x:v>
      </x:c>
      <x:c r="J5473" s="40" t="n">
        <x:f>H5473^2</x:f>
        <x:v>1.652030576134568</x:v>
      </x:c>
      <x:c r="K5473" s="40" t="n">
        <x:f>G5473-E5473</x:f>
        <x:v>0</x:v>
      </x:c>
      <x:c r="L5473" s="40" t="n">
        <x:f>ABS(K5473)</x:f>
        <x:v>0</x:v>
      </x:c>
      <x:c r="M5473" s="41" t="str">
        <x:v>lstm-soil-v1</x:v>
      </x:c>
    </x:row>
    <x:row r="5474">
      <x:c r="A5474" s="38" t="str">
        <x:v>7月30日现场数据</x:v>
      </x:c>
      <x:c r="B5474" s="39" t="str">
        <x:v>2026-08-05T07:30:00</x:v>
      </x:c>
      <x:c r="C5474" s="39" t="str">
        <x:v>2026-08-05T08:00:00</x:v>
      </x:c>
      <x:c r="D5474" s="47" t="n">
        <x:v>30</x:v>
      </x:c>
      <x:c r="E5474" s="40" t="n">
        <x:v>18.8</x:v>
      </x:c>
      <x:c r="F5474" s="40" t="n">
        <x:v>17.88620376586914</x:v>
      </x:c>
      <x:c r="G5474" s="40" t="n">
        <x:v>18.8</x:v>
      </x:c>
      <x:c r="H5474" s="40" t="n">
        <x:f>F5474-E5474</x:f>
        <x:v>-0.9137962341308601</x:v>
      </x:c>
      <x:c r="I5474" s="40" t="n">
        <x:f>ABS(H5474)</x:f>
        <x:v>0.9137962341308601</x:v>
      </x:c>
      <x:c r="J5474" s="40" t="n">
        <x:f>H5474^2</x:f>
        <x:v>0.8350235575117416</x:v>
      </x:c>
      <x:c r="K5474" s="40" t="n">
        <x:f>G5474-E5474</x:f>
        <x:v>0</x:v>
      </x:c>
      <x:c r="L5474" s="40" t="n">
        <x:f>ABS(K5474)</x:f>
        <x:v>0</x:v>
      </x:c>
      <x:c r="M5474" s="41" t="str">
        <x:v>lstm-soil-v1</x:v>
      </x:c>
    </x:row>
    <x:row r="5475">
      <x:c r="A5475" s="38" t="str">
        <x:v>7月30日现场数据</x:v>
      </x:c>
      <x:c r="B5475" s="39" t="str">
        <x:v>2026-08-05T07:30:00</x:v>
      </x:c>
      <x:c r="C5475" s="39" t="str">
        <x:v>2026-08-05T08:30:00</x:v>
      </x:c>
      <x:c r="D5475" s="47" t="n">
        <x:v>60</x:v>
      </x:c>
      <x:c r="E5475" s="40" t="n">
        <x:v>18.7</x:v>
      </x:c>
      <x:c r="F5475" s="40" t="n">
        <x:v>19.525814056396484</x:v>
      </x:c>
      <x:c r="G5475" s="40" t="n">
        <x:v>18.8</x:v>
      </x:c>
      <x:c r="H5475" s="40" t="n">
        <x:f>F5475-E5475</x:f>
        <x:v>0.8258140563964851</x:v>
      </x:c>
      <x:c r="I5475" s="40" t="n">
        <x:f>ABS(H5475)</x:f>
        <x:v>0.8258140563964851</x:v>
      </x:c>
      <x:c r="J5475" s="40" t="n">
        <x:f>H5475^2</x:f>
        <x:v>0.681968855742017</x:v>
      </x:c>
      <x:c r="K5475" s="40" t="n">
        <x:f>G5475-E5475</x:f>
        <x:v>0.10000000000000142</x:v>
      </x:c>
      <x:c r="L5475" s="40" t="n">
        <x:f>ABS(K5475)</x:f>
        <x:v>0.10000000000000142</x:v>
      </x:c>
      <x:c r="M5475" s="41" t="str">
        <x:v>lstm-soil-v1</x:v>
      </x:c>
    </x:row>
    <x:row r="5476">
      <x:c r="A5476" s="38" t="str">
        <x:v>7月30日现场数据</x:v>
      </x:c>
      <x:c r="B5476" s="39" t="str">
        <x:v>2026-08-05T07:35:00</x:v>
      </x:c>
      <x:c r="C5476" s="39" t="str">
        <x:v>2026-08-05T07:40:00</x:v>
      </x:c>
      <x:c r="D5476" s="47" t="n">
        <x:v>5</x:v>
      </x:c>
      <x:c r="E5476" s="40" t="n">
        <x:v>18.8</x:v>
      </x:c>
      <x:c r="F5476" s="40" t="n">
        <x:v>17.43053436279297</x:v>
      </x:c>
      <x:c r="G5476" s="40" t="n">
        <x:v>18.8</x:v>
      </x:c>
      <x:c r="H5476" s="40" t="n">
        <x:f>F5476-E5476</x:f>
        <x:v>-1.369465637207032</x:v>
      </x:c>
      <x:c r="I5476" s="40" t="n">
        <x:f>ABS(H5476)</x:f>
        <x:v>1.369465637207032</x:v>
      </x:c>
      <x:c r="J5476" s="40" t="n">
        <x:f>H5476^2</x:f>
        <x:v>1.875436131490862</x:v>
      </x:c>
      <x:c r="K5476" s="40" t="n">
        <x:f>G5476-E5476</x:f>
        <x:v>0</x:v>
      </x:c>
      <x:c r="L5476" s="40" t="n">
        <x:f>ABS(K5476)</x:f>
        <x:v>0</x:v>
      </x:c>
      <x:c r="M5476" s="41" t="str">
        <x:v>lstm-soil-v1</x:v>
      </x:c>
    </x:row>
    <x:row r="5477">
      <x:c r="A5477" s="38" t="str">
        <x:v>7月30日现场数据</x:v>
      </x:c>
      <x:c r="B5477" s="39" t="str">
        <x:v>2026-08-05T07:35:00</x:v>
      </x:c>
      <x:c r="C5477" s="39" t="str">
        <x:v>2026-08-05T07:50:00</x:v>
      </x:c>
      <x:c r="D5477" s="47" t="n">
        <x:v>15</x:v>
      </x:c>
      <x:c r="E5477" s="40" t="n">
        <x:v>18.8</x:v>
      </x:c>
      <x:c r="F5477" s="40" t="n">
        <x:v>17.51551055908203</x:v>
      </x:c>
      <x:c r="G5477" s="40" t="n">
        <x:v>18.8</x:v>
      </x:c>
      <x:c r="H5477" s="40" t="n">
        <x:f>F5477-E5477</x:f>
        <x:v>-1.2844894409179695</x:v>
      </x:c>
      <x:c r="I5477" s="40" t="n">
        <x:f>ABS(H5477)</x:f>
        <x:v>1.2844894409179695</x:v>
      </x:c>
      <x:c r="J5477" s="40" t="n">
        <x:f>H5477^2</x:f>
        <x:v>1.6499131238297577</x:v>
      </x:c>
      <x:c r="K5477" s="40" t="n">
        <x:f>G5477-E5477</x:f>
        <x:v>0</x:v>
      </x:c>
      <x:c r="L5477" s="40" t="n">
        <x:f>ABS(K5477)</x:f>
        <x:v>0</x:v>
      </x:c>
      <x:c r="M5477" s="41" t="str">
        <x:v>lstm-soil-v1</x:v>
      </x:c>
    </x:row>
    <x:row r="5478">
      <x:c r="A5478" s="38" t="str">
        <x:v>7月30日现场数据</x:v>
      </x:c>
      <x:c r="B5478" s="39" t="str">
        <x:v>2026-08-05T07:35:00</x:v>
      </x:c>
      <x:c r="C5478" s="39" t="str">
        <x:v>2026-08-05T08:05:00</x:v>
      </x:c>
      <x:c r="D5478" s="47" t="n">
        <x:v>30</x:v>
      </x:c>
      <x:c r="E5478" s="40" t="n">
        <x:v>18.8</x:v>
      </x:c>
      <x:c r="F5478" s="40" t="n">
        <x:v>17.88818359375</x:v>
      </x:c>
      <x:c r="G5478" s="40" t="n">
        <x:v>18.8</x:v>
      </x:c>
      <x:c r="H5478" s="40" t="n">
        <x:f>F5478-E5478</x:f>
        <x:v>-0.9118164062500007</x:v>
      </x:c>
      <x:c r="I5478" s="40" t="n">
        <x:f>ABS(H5478)</x:f>
        <x:v>0.9118164062500007</x:v>
      </x:c>
      <x:c r="J5478" s="40" t="n">
        <x:f>H5478^2</x:f>
        <x:v>0.8314091587066663</x:v>
      </x:c>
      <x:c r="K5478" s="40" t="n">
        <x:f>G5478-E5478</x:f>
        <x:v>0</x:v>
      </x:c>
      <x:c r="L5478" s="40" t="n">
        <x:f>ABS(K5478)</x:f>
        <x:v>0</x:v>
      </x:c>
      <x:c r="M5478" s="41" t="str">
        <x:v>lstm-soil-v1</x:v>
      </x:c>
    </x:row>
    <x:row r="5479">
      <x:c r="A5479" s="38" t="str">
        <x:v>7月30日现场数据</x:v>
      </x:c>
      <x:c r="B5479" s="39" t="str">
        <x:v>2026-08-05T07:35:00</x:v>
      </x:c>
      <x:c r="C5479" s="39" t="str">
        <x:v>2026-08-05T08:35:00</x:v>
      </x:c>
      <x:c r="D5479" s="47" t="n">
        <x:v>60</x:v>
      </x:c>
      <x:c r="E5479" s="40" t="n">
        <x:v>18.7</x:v>
      </x:c>
      <x:c r="F5479" s="40" t="n">
        <x:v>19.52786636352539</x:v>
      </x:c>
      <x:c r="G5479" s="40" t="n">
        <x:v>18.8</x:v>
      </x:c>
      <x:c r="H5479" s="40" t="n">
        <x:f>F5479-E5479</x:f>
        <x:v>0.8278663635253913</x:v>
      </x:c>
      <x:c r="I5479" s="40" t="n">
        <x:f>ABS(H5479)</x:f>
        <x:v>0.8278663635253913</x:v>
      </x:c>
      <x:c r="J5479" s="40" t="n">
        <x:f>H5479^2</x:f>
        <x:v>0.6853627158567553</x:v>
      </x:c>
      <x:c r="K5479" s="40" t="n">
        <x:f>G5479-E5479</x:f>
        <x:v>0.10000000000000142</x:v>
      </x:c>
      <x:c r="L5479" s="40" t="n">
        <x:f>ABS(K5479)</x:f>
        <x:v>0.10000000000000142</x:v>
      </x:c>
      <x:c r="M5479" s="41" t="str">
        <x:v>lstm-soil-v1</x:v>
      </x:c>
    </x:row>
    <x:row r="5480">
      <x:c r="A5480" s="38" t="str">
        <x:v>7月30日现场数据</x:v>
      </x:c>
      <x:c r="B5480" s="39" t="str">
        <x:v>2026-08-05T07:40:00</x:v>
      </x:c>
      <x:c r="C5480" s="39" t="str">
        <x:v>2026-08-05T07:45:00</x:v>
      </x:c>
      <x:c r="D5480" s="47" t="n">
        <x:v>5</x:v>
      </x:c>
      <x:c r="E5480" s="40" t="n">
        <x:v>18.8</x:v>
      </x:c>
      <x:c r="F5480" s="40" t="n">
        <x:v>17.431983947753906</x:v>
      </x:c>
      <x:c r="G5480" s="40" t="n">
        <x:v>18.8</x:v>
      </x:c>
      <x:c r="H5480" s="40" t="n">
        <x:f>F5480-E5480</x:f>
        <x:v>-1.3680160522460945</x:v>
      </x:c>
      <x:c r="I5480" s="40" t="n">
        <x:f>ABS(H5480)</x:f>
        <x:v>1.3680160522460945</x:v>
      </x:c>
      <x:c r="J5480" s="40" t="n">
        <x:f>H5480^2</x:f>
        <x:v>1.871467919202989</x:v>
      </x:c>
      <x:c r="K5480" s="40" t="n">
        <x:f>G5480-E5480</x:f>
        <x:v>0</x:v>
      </x:c>
      <x:c r="L5480" s="40" t="n">
        <x:f>ABS(K5480)</x:f>
        <x:v>0</x:v>
      </x:c>
      <x:c r="M5480" s="41" t="str">
        <x:v>lstm-soil-v1</x:v>
      </x:c>
    </x:row>
    <x:row r="5481">
      <x:c r="A5481" s="38" t="str">
        <x:v>7月30日现场数据</x:v>
      </x:c>
      <x:c r="B5481" s="39" t="str">
        <x:v>2026-08-05T07:40:00</x:v>
      </x:c>
      <x:c r="C5481" s="39" t="str">
        <x:v>2026-08-05T07:55:00</x:v>
      </x:c>
      <x:c r="D5481" s="47" t="n">
        <x:v>15</x:v>
      </x:c>
      <x:c r="E5481" s="40" t="n">
        <x:v>18.8</x:v>
      </x:c>
      <x:c r="F5481" s="40" t="n">
        <x:v>17.516433715820312</x:v>
      </x:c>
      <x:c r="G5481" s="40" t="n">
        <x:v>18.8</x:v>
      </x:c>
      <x:c r="H5481" s="40" t="n">
        <x:f>F5481-E5481</x:f>
        <x:v>-1.2835662841796882</x:v>
      </x:c>
      <x:c r="I5481" s="40" t="n">
        <x:f>ABS(H5481)</x:f>
        <x:v>1.2835662841796882</x:v>
      </x:c>
      <x:c r="J5481" s="40" t="n">
        <x:f>H5481^2</x:f>
        <x:v>1.647542405882852</x:v>
      </x:c>
      <x:c r="K5481" s="40" t="n">
        <x:f>G5481-E5481</x:f>
        <x:v>0</x:v>
      </x:c>
      <x:c r="L5481" s="40" t="n">
        <x:f>ABS(K5481)</x:f>
        <x:v>0</x:v>
      </x:c>
      <x:c r="M5481" s="41" t="str">
        <x:v>lstm-soil-v1</x:v>
      </x:c>
    </x:row>
    <x:row r="5482">
      <x:c r="A5482" s="38" t="str">
        <x:v>7月30日现场数据</x:v>
      </x:c>
      <x:c r="B5482" s="39" t="str">
        <x:v>2026-08-05T07:40:00</x:v>
      </x:c>
      <x:c r="C5482" s="39" t="str">
        <x:v>2026-08-05T08:10:00</x:v>
      </x:c>
      <x:c r="D5482" s="47" t="n">
        <x:v>30</x:v>
      </x:c>
      <x:c r="E5482" s="40" t="n">
        <x:v>18.8</x:v>
      </x:c>
      <x:c r="F5482" s="40" t="n">
        <x:v>17.890323638916016</x:v>
      </x:c>
      <x:c r="G5482" s="40" t="n">
        <x:v>18.8</x:v>
      </x:c>
      <x:c r="H5482" s="40" t="n">
        <x:f>F5482-E5482</x:f>
        <x:v>-0.9096763610839851</x:v>
      </x:c>
      <x:c r="I5482" s="40" t="n">
        <x:f>ABS(H5482)</x:f>
        <x:v>0.9096763610839851</x:v>
      </x:c>
      <x:c r="J5482" s="40" t="n">
        <x:f>H5482^2</x:f>
        <x:v>0.8275110819150008</x:v>
      </x:c>
      <x:c r="K5482" s="40" t="n">
        <x:f>G5482-E5482</x:f>
        <x:v>0</x:v>
      </x:c>
      <x:c r="L5482" s="40" t="n">
        <x:f>ABS(K5482)</x:f>
        <x:v>0</x:v>
      </x:c>
      <x:c r="M5482" s="41" t="str">
        <x:v>lstm-soil-v1</x:v>
      </x:c>
    </x:row>
    <x:row r="5483">
      <x:c r="A5483" s="38" t="str">
        <x:v>7月30日现场数据</x:v>
      </x:c>
      <x:c r="B5483" s="39" t="str">
        <x:v>2026-08-05T07:40:00</x:v>
      </x:c>
      <x:c r="C5483" s="39" t="str">
        <x:v>2026-08-05T08:40:00</x:v>
      </x:c>
      <x:c r="D5483" s="47" t="n">
        <x:v>60</x:v>
      </x:c>
      <x:c r="E5483" s="40" t="n">
        <x:v>18.7</x:v>
      </x:c>
      <x:c r="F5483" s="40" t="n">
        <x:v>19.529850006103516</x:v>
      </x:c>
      <x:c r="G5483" s="40" t="n">
        <x:v>18.8</x:v>
      </x:c>
      <x:c r="H5483" s="40" t="n">
        <x:f>F5483-E5483</x:f>
        <x:v>0.8298500061035163</x:v>
      </x:c>
      <x:c r="I5483" s="40" t="n">
        <x:f>ABS(H5483)</x:f>
        <x:v>0.8298500061035163</x:v>
      </x:c>
      <x:c r="J5483" s="40" t="n">
        <x:f>H5483^2</x:f>
        <x:v>0.6886510326300062</x:v>
      </x:c>
      <x:c r="K5483" s="40" t="n">
        <x:f>G5483-E5483</x:f>
        <x:v>0.10000000000000142</x:v>
      </x:c>
      <x:c r="L5483" s="40" t="n">
        <x:f>ABS(K5483)</x:f>
        <x:v>0.10000000000000142</x:v>
      </x:c>
      <x:c r="M5483" s="41" t="str">
        <x:v>lstm-soil-v1</x:v>
      </x:c>
    </x:row>
    <x:row r="5484">
      <x:c r="A5484" s="38" t="str">
        <x:v>7月30日现场数据</x:v>
      </x:c>
      <x:c r="B5484" s="39" t="str">
        <x:v>2026-08-05T07:45:00</x:v>
      </x:c>
      <x:c r="C5484" s="39" t="str">
        <x:v>2026-08-05T07:50:00</x:v>
      </x:c>
      <x:c r="D5484" s="47" t="n">
        <x:v>5</x:v>
      </x:c>
      <x:c r="E5484" s="40" t="n">
        <x:v>18.8</x:v>
      </x:c>
      <x:c r="F5484" s="40" t="n">
        <x:v>17.43386459350586</x:v>
      </x:c>
      <x:c r="G5484" s="40" t="n">
        <x:v>18.8</x:v>
      </x:c>
      <x:c r="H5484" s="40" t="n">
        <x:f>F5484-E5484</x:f>
        <x:v>-1.3661354064941413</x:v>
      </x:c>
      <x:c r="I5484" s="40" t="n">
        <x:f>ABS(H5484)</x:f>
        <x:v>1.3661354064941413</x:v>
      </x:c>
      <x:c r="J5484" s="40" t="n">
        <x:f>H5484^2</x:f>
        <x:v>1.8663259488769128</x:v>
      </x:c>
      <x:c r="K5484" s="40" t="n">
        <x:f>G5484-E5484</x:f>
        <x:v>0</x:v>
      </x:c>
      <x:c r="L5484" s="40" t="n">
        <x:f>ABS(K5484)</x:f>
        <x:v>0</x:v>
      </x:c>
      <x:c r="M5484" s="41" t="str">
        <x:v>lstm-soil-v1</x:v>
      </x:c>
    </x:row>
    <x:row r="5485">
      <x:c r="A5485" s="38" t="str">
        <x:v>7月30日现场数据</x:v>
      </x:c>
      <x:c r="B5485" s="39" t="str">
        <x:v>2026-08-05T07:45:00</x:v>
      </x:c>
      <x:c r="C5485" s="39" t="str">
        <x:v>2026-08-05T08:00:00</x:v>
      </x:c>
      <x:c r="D5485" s="47" t="n">
        <x:v>15</x:v>
      </x:c>
      <x:c r="E5485" s="40" t="n">
        <x:v>18.8</x:v>
      </x:c>
      <x:c r="F5485" s="40" t="n">
        <x:v>17.51744842529297</x:v>
      </x:c>
      <x:c r="G5485" s="40" t="n">
        <x:v>18.8</x:v>
      </x:c>
      <x:c r="H5485" s="40" t="n">
        <x:f>F5485-E5485</x:f>
        <x:v>-1.282551574707032</x:v>
      </x:c>
      <x:c r="I5485" s="40" t="n">
        <x:f>ABS(H5485)</x:f>
        <x:v>1.282551574707032</x:v>
      </x:c>
      <x:c r="J5485" s="40" t="n">
        <x:f>H5485^2</x:f>
        <x:v>1.6449385417834874</x:v>
      </x:c>
      <x:c r="K5485" s="40" t="n">
        <x:f>G5485-E5485</x:f>
        <x:v>0</x:v>
      </x:c>
      <x:c r="L5485" s="40" t="n">
        <x:f>ABS(K5485)</x:f>
        <x:v>0</x:v>
      </x:c>
      <x:c r="M5485" s="41" t="str">
        <x:v>lstm-soil-v1</x:v>
      </x:c>
    </x:row>
    <x:row r="5486">
      <x:c r="A5486" s="38" t="str">
        <x:v>7月30日现场数据</x:v>
      </x:c>
      <x:c r="B5486" s="39" t="str">
        <x:v>2026-08-05T07:45:00</x:v>
      </x:c>
      <x:c r="C5486" s="39" t="str">
        <x:v>2026-08-05T08:15:00</x:v>
      </x:c>
      <x:c r="D5486" s="47" t="n">
        <x:v>30</x:v>
      </x:c>
      <x:c r="E5486" s="40" t="n">
        <x:v>18.8</x:v>
      </x:c>
      <x:c r="F5486" s="40" t="n">
        <x:v>17.89303207397461</x:v>
      </x:c>
      <x:c r="G5486" s="40" t="n">
        <x:v>18.8</x:v>
      </x:c>
      <x:c r="H5486" s="40" t="n">
        <x:f>F5486-E5486</x:f>
        <x:v>-0.9069679260253913</x:v>
      </x:c>
      <x:c r="I5486" s="40" t="n">
        <x:f>ABS(H5486)</x:f>
        <x:v>0.9069679260253913</x:v>
      </x:c>
      <x:c r="J5486" s="40" t="n">
        <x:f>H5486^2</x:f>
        <x:v>0.8225908188387997</x:v>
      </x:c>
      <x:c r="K5486" s="40" t="n">
        <x:f>G5486-E5486</x:f>
        <x:v>0</x:v>
      </x:c>
      <x:c r="L5486" s="40" t="n">
        <x:f>ABS(K5486)</x:f>
        <x:v>0</x:v>
      </x:c>
      <x:c r="M5486" s="41" t="str">
        <x:v>lstm-soil-v1</x:v>
      </x:c>
    </x:row>
    <x:row r="5487">
      <x:c r="A5487" s="38" t="str">
        <x:v>7月30日现场数据</x:v>
      </x:c>
      <x:c r="B5487" s="39" t="str">
        <x:v>2026-08-05T07:45:00</x:v>
      </x:c>
      <x:c r="C5487" s="39" t="str">
        <x:v>2026-08-05T08:45:00</x:v>
      </x:c>
      <x:c r="D5487" s="47" t="n">
        <x:v>60</x:v>
      </x:c>
      <x:c r="E5487" s="40" t="n">
        <x:v>18.7</x:v>
      </x:c>
      <x:c r="F5487" s="40" t="n">
        <x:v>19.53252410888672</x:v>
      </x:c>
      <x:c r="G5487" s="40" t="n">
        <x:v>18.8</x:v>
      </x:c>
      <x:c r="H5487" s="40" t="n">
        <x:f>F5487-E5487</x:f>
        <x:v>0.8325241088867195</x:v>
      </x:c>
      <x:c r="I5487" s="40" t="n">
        <x:f>ABS(H5487)</x:f>
        <x:v>0.8325241088867195</x:v>
      </x:c>
      <x:c r="J5487" s="40" t="n">
        <x:f>H5487^2</x:f>
        <x:v>0.6930963918776263</x:v>
      </x:c>
      <x:c r="K5487" s="40" t="n">
        <x:f>G5487-E5487</x:f>
        <x:v>0.10000000000000142</x:v>
      </x:c>
      <x:c r="L5487" s="40" t="n">
        <x:f>ABS(K5487)</x:f>
        <x:v>0.10000000000000142</x:v>
      </x:c>
      <x:c r="M5487" s="41" t="str">
        <x:v>lstm-soil-v1</x:v>
      </x:c>
    </x:row>
    <x:row r="5488">
      <x:c r="A5488" s="38" t="str">
        <x:v>7月30日现场数据</x:v>
      </x:c>
      <x:c r="B5488" s="39" t="str">
        <x:v>2026-08-05T07:50:00</x:v>
      </x:c>
      <x:c r="C5488" s="39" t="str">
        <x:v>2026-08-05T07:55:00</x:v>
      </x:c>
      <x:c r="D5488" s="47" t="n">
        <x:v>5</x:v>
      </x:c>
      <x:c r="E5488" s="40" t="n">
        <x:v>18.8</x:v>
      </x:c>
      <x:c r="F5488" s="40" t="n">
        <x:v>17.435619354248047</x:v>
      </x:c>
      <x:c r="G5488" s="40" t="n">
        <x:v>18.8</x:v>
      </x:c>
      <x:c r="H5488" s="40" t="n">
        <x:f>F5488-E5488</x:f>
        <x:v>-1.3643806457519538</x:v>
      </x:c>
      <x:c r="I5488" s="40" t="n">
        <x:f>ABS(H5488)</x:f>
        <x:v>1.3643806457519538</x:v>
      </x:c>
      <x:c r="J5488" s="40" t="n">
        <x:f>H5488^2</x:f>
        <x:v>1.8615345465025186</x:v>
      </x:c>
      <x:c r="K5488" s="40" t="n">
        <x:f>G5488-E5488</x:f>
        <x:v>0</x:v>
      </x:c>
      <x:c r="L5488" s="40" t="n">
        <x:f>ABS(K5488)</x:f>
        <x:v>0</x:v>
      </x:c>
      <x:c r="M5488" s="41" t="str">
        <x:v>lstm-soil-v1</x:v>
      </x:c>
    </x:row>
    <x:row r="5489">
      <x:c r="A5489" s="38" t="str">
        <x:v>7月30日现场数据</x:v>
      </x:c>
      <x:c r="B5489" s="39" t="str">
        <x:v>2026-08-05T07:50:00</x:v>
      </x:c>
      <x:c r="C5489" s="39" t="str">
        <x:v>2026-08-05T08:05:00</x:v>
      </x:c>
      <x:c r="D5489" s="47" t="n">
        <x:v>15</x:v>
      </x:c>
      <x:c r="E5489" s="40" t="n">
        <x:v>18.8</x:v>
      </x:c>
      <x:c r="F5489" s="40" t="n">
        <x:v>17.518661499023438</x:v>
      </x:c>
      <x:c r="G5489" s="40" t="n">
        <x:v>18.8</x:v>
      </x:c>
      <x:c r="H5489" s="40" t="n">
        <x:f>F5489-E5489</x:f>
        <x:v>-1.2813385009765632</x:v>
      </x:c>
      <x:c r="I5489" s="40" t="n">
        <x:f>ABS(H5489)</x:f>
        <x:v>1.2813385009765632</x:v>
      </x:c>
      <x:c r="J5489" s="40" t="n">
        <x:f>H5489^2</x:f>
        <x:v>1.6418283540848662</x:v>
      </x:c>
      <x:c r="K5489" s="40" t="n">
        <x:f>G5489-E5489</x:f>
        <x:v>0</x:v>
      </x:c>
      <x:c r="L5489" s="40" t="n">
        <x:f>ABS(K5489)</x:f>
        <x:v>0</x:v>
      </x:c>
      <x:c r="M5489" s="41" t="str">
        <x:v>lstm-soil-v1</x:v>
      </x:c>
    </x:row>
    <x:row r="5490">
      <x:c r="A5490" s="38" t="str">
        <x:v>7月30日现场数据</x:v>
      </x:c>
      <x:c r="B5490" s="39" t="str">
        <x:v>2026-08-05T07:50:00</x:v>
      </x:c>
      <x:c r="C5490" s="39" t="str">
        <x:v>2026-08-05T08:20:00</x:v>
      </x:c>
      <x:c r="D5490" s="47" t="n">
        <x:v>30</x:v>
      </x:c>
      <x:c r="E5490" s="40" t="n">
        <x:v>18.7</x:v>
      </x:c>
      <x:c r="F5490" s="40" t="n">
        <x:v>17.896015167236328</x:v>
      </x:c>
      <x:c r="G5490" s="40" t="n">
        <x:v>18.8</x:v>
      </x:c>
      <x:c r="H5490" s="40" t="n">
        <x:f>F5490-E5490</x:f>
        <x:v>-0.8039848327636712</x:v>
      </x:c>
      <x:c r="I5490" s="40" t="n">
        <x:f>ABS(H5490)</x:f>
        <x:v>0.8039848327636712</x:v>
      </x:c>
      <x:c r="J5490" s="40" t="n">
        <x:f>H5490^2</x:f>
        <x:v>0.6463916113140283</x:v>
      </x:c>
      <x:c r="K5490" s="40" t="n">
        <x:f>G5490-E5490</x:f>
        <x:v>0.10000000000000142</x:v>
      </x:c>
      <x:c r="L5490" s="40" t="n">
        <x:f>ABS(K5490)</x:f>
        <x:v>0.10000000000000142</x:v>
      </x:c>
      <x:c r="M5490" s="41" t="str">
        <x:v>lstm-soil-v1</x:v>
      </x:c>
    </x:row>
    <x:row r="5491">
      <x:c r="A5491" s="38" t="str">
        <x:v>7月30日现场数据</x:v>
      </x:c>
      <x:c r="B5491" s="39" t="str">
        <x:v>2026-08-05T07:50:00</x:v>
      </x:c>
      <x:c r="C5491" s="39" t="str">
        <x:v>2026-08-05T08:50:00</x:v>
      </x:c>
      <x:c r="D5491" s="47" t="n">
        <x:v>60</x:v>
      </x:c>
      <x:c r="E5491" s="40" t="n">
        <x:v>18.6</x:v>
      </x:c>
      <x:c r="F5491" s="40" t="n">
        <x:v>19.535179138183594</x:v>
      </x:c>
      <x:c r="G5491" s="40" t="n">
        <x:v>18.8</x:v>
      </x:c>
      <x:c r="H5491" s="40" t="n">
        <x:f>F5491-E5491</x:f>
        <x:v>0.9351791381835923</x:v>
      </x:c>
      <x:c r="I5491" s="40" t="n">
        <x:f>ABS(H5491)</x:f>
        <x:v>0.9351791381835923</x:v>
      </x:c>
      <x:c r="J5491" s="40" t="n">
        <x:f>H5491^2</x:f>
        <x:v>0.8745600204938064</x:v>
      </x:c>
      <x:c r="K5491" s="40" t="n">
        <x:f>G5491-E5491</x:f>
        <x:v>0.1999999999999993</x:v>
      </x:c>
      <x:c r="L5491" s="40" t="n">
        <x:f>ABS(K5491)</x:f>
        <x:v>0.1999999999999993</x:v>
      </x:c>
      <x:c r="M5491" s="41" t="str">
        <x:v>lstm-soil-v1</x:v>
      </x:c>
    </x:row>
    <x:row r="5492">
      <x:c r="A5492" s="38" t="str">
        <x:v>7月30日现场数据</x:v>
      </x:c>
      <x:c r="B5492" s="39" t="str">
        <x:v>2026-08-05T07:55:00</x:v>
      </x:c>
      <x:c r="C5492" s="39" t="str">
        <x:v>2026-08-05T08:00:00</x:v>
      </x:c>
      <x:c r="D5492" s="47" t="n">
        <x:v>5</x:v>
      </x:c>
      <x:c r="E5492" s="40" t="n">
        <x:v>18.8</x:v>
      </x:c>
      <x:c r="F5492" s="40" t="n">
        <x:v>17.437591552734375</x:v>
      </x:c>
      <x:c r="G5492" s="40" t="n">
        <x:v>18.8</x:v>
      </x:c>
      <x:c r="H5492" s="40" t="n">
        <x:f>F5492-E5492</x:f>
        <x:v>-1.3624084472656257</x:v>
      </x:c>
      <x:c r="I5492" s="40" t="n">
        <x:f>ABS(H5492)</x:f>
        <x:v>1.3624084472656257</x:v>
      </x:c>
      <x:c r="J5492" s="40" t="n">
        <x:f>H5492^2</x:f>
        <x:v>1.8561567771807332</x:v>
      </x:c>
      <x:c r="K5492" s="40" t="n">
        <x:f>G5492-E5492</x:f>
        <x:v>0</x:v>
      </x:c>
      <x:c r="L5492" s="40" t="n">
        <x:f>ABS(K5492)</x:f>
        <x:v>0</x:v>
      </x:c>
      <x:c r="M5492" s="41" t="str">
        <x:v>lstm-soil-v1</x:v>
      </x:c>
    </x:row>
    <x:row r="5493">
      <x:c r="A5493" s="38" t="str">
        <x:v>7月30日现场数据</x:v>
      </x:c>
      <x:c r="B5493" s="39" t="str">
        <x:v>2026-08-05T07:55:00</x:v>
      </x:c>
      <x:c r="C5493" s="39" t="str">
        <x:v>2026-08-05T08:10:00</x:v>
      </x:c>
      <x:c r="D5493" s="47" t="n">
        <x:v>15</x:v>
      </x:c>
      <x:c r="E5493" s="40" t="n">
        <x:v>18.8</x:v>
      </x:c>
      <x:c r="F5493" s="40" t="n">
        <x:v>17.52007293701172</x:v>
      </x:c>
      <x:c r="G5493" s="40" t="n">
        <x:v>18.8</x:v>
      </x:c>
      <x:c r="H5493" s="40" t="n">
        <x:f>F5493-E5493</x:f>
        <x:v>-1.279927062988282</x:v>
      </x:c>
      <x:c r="I5493" s="40" t="n">
        <x:f>ABS(H5493)</x:f>
        <x:v>1.279927062988282</x:v>
      </x:c>
      <x:c r="J5493" s="40" t="n">
        <x:f>H5493^2</x:f>
        <x:v>1.6382132865698096</x:v>
      </x:c>
      <x:c r="K5493" s="40" t="n">
        <x:f>G5493-E5493</x:f>
        <x:v>0</x:v>
      </x:c>
      <x:c r="L5493" s="40" t="n">
        <x:f>ABS(K5493)</x:f>
        <x:v>0</x:v>
      </x:c>
      <x:c r="M5493" s="41" t="str">
        <x:v>lstm-soil-v1</x:v>
      </x:c>
    </x:row>
    <x:row r="5494">
      <x:c r="A5494" s="38" t="str">
        <x:v>7月30日现场数据</x:v>
      </x:c>
      <x:c r="B5494" s="39" t="str">
        <x:v>2026-08-05T07:55:00</x:v>
      </x:c>
      <x:c r="C5494" s="39" t="str">
        <x:v>2026-08-05T08:25:00</x:v>
      </x:c>
      <x:c r="D5494" s="47" t="n">
        <x:v>30</x:v>
      </x:c>
      <x:c r="E5494" s="40" t="n">
        <x:v>18.8</x:v>
      </x:c>
      <x:c r="F5494" s="40" t="n">
        <x:v>17.89923858642578</x:v>
      </x:c>
      <x:c r="G5494" s="40" t="n">
        <x:v>18.8</x:v>
      </x:c>
      <x:c r="H5494" s="40" t="n">
        <x:f>F5494-E5494</x:f>
        <x:v>-0.9007614135742195</x:v>
      </x:c>
      <x:c r="I5494" s="40" t="n">
        <x:f>ABS(H5494)</x:f>
        <x:v>0.9007614135742195</x:v>
      </x:c>
      <x:c r="J5494" s="40" t="n">
        <x:f>H5494^2</x:f>
        <x:v>0.8113711241842261</x:v>
      </x:c>
      <x:c r="K5494" s="40" t="n">
        <x:f>G5494-E5494</x:f>
        <x:v>0</x:v>
      </x:c>
      <x:c r="L5494" s="40" t="n">
        <x:f>ABS(K5494)</x:f>
        <x:v>0</x:v>
      </x:c>
      <x:c r="M5494" s="41" t="str">
        <x:v>lstm-soil-v1</x:v>
      </x:c>
    </x:row>
    <x:row r="5495">
      <x:c r="A5495" s="38" t="str">
        <x:v>7月30日现场数据</x:v>
      </x:c>
      <x:c r="B5495" s="39" t="str">
        <x:v>2026-08-05T07:55:00</x:v>
      </x:c>
      <x:c r="C5495" s="39" t="str">
        <x:v>2026-08-05T08:55:00</x:v>
      </x:c>
      <x:c r="D5495" s="47" t="n">
        <x:v>60</x:v>
      </x:c>
      <x:c r="E5495" s="40" t="n">
        <x:v>18.7</x:v>
      </x:c>
      <x:c r="F5495" s="40" t="n">
        <x:v>19.537757873535156</x:v>
      </x:c>
      <x:c r="G5495" s="40" t="n">
        <x:v>18.8</x:v>
      </x:c>
      <x:c r="H5495" s="40" t="n">
        <x:f>F5495-E5495</x:f>
        <x:v>0.837757873535157</x:v>
      </x:c>
      <x:c r="I5495" s="40" t="n">
        <x:f>ABS(H5495)</x:f>
        <x:v>0.837757873535157</x:v>
      </x:c>
      <x:c r="J5495" s="40" t="n">
        <x:f>H5495^2</x:f>
        <x:v>0.701838254670148</x:v>
      </x:c>
      <x:c r="K5495" s="40" t="n">
        <x:f>G5495-E5495</x:f>
        <x:v>0.10000000000000142</x:v>
      </x:c>
      <x:c r="L5495" s="40" t="n">
        <x:f>ABS(K5495)</x:f>
        <x:v>0.10000000000000142</x:v>
      </x:c>
      <x:c r="M5495" s="41" t="str">
        <x:v>lstm-soil-v1</x:v>
      </x:c>
    </x:row>
    <x:row r="5496">
      <x:c r="A5496" s="38" t="str">
        <x:v>7月30日现场数据</x:v>
      </x:c>
      <x:c r="B5496" s="39" t="str">
        <x:v>2026-08-05T08:00:00</x:v>
      </x:c>
      <x:c r="C5496" s="39" t="str">
        <x:v>2026-08-05T08:05:00</x:v>
      </x:c>
      <x:c r="D5496" s="47" t="n">
        <x:v>5</x:v>
      </x:c>
      <x:c r="E5496" s="40" t="n">
        <x:v>18.8</x:v>
      </x:c>
      <x:c r="F5496" s="40" t="n">
        <x:v>17.441791534423828</x:v>
      </x:c>
      <x:c r="G5496" s="40" t="n">
        <x:v>18.8</x:v>
      </x:c>
      <x:c r="H5496" s="40" t="n">
        <x:f>F5496-E5496</x:f>
        <x:v>-1.3582084655761726</x:v>
      </x:c>
      <x:c r="I5496" s="40" t="n">
        <x:f>ABS(H5496)</x:f>
        <x:v>1.3582084655761726</x:v>
      </x:c>
      <x:c r="J5496" s="40" t="n">
        <x:f>H5496^2</x:f>
        <x:v>1.8447302359627813</x:v>
      </x:c>
      <x:c r="K5496" s="40" t="n">
        <x:f>G5496-E5496</x:f>
        <x:v>0</x:v>
      </x:c>
      <x:c r="L5496" s="40" t="n">
        <x:f>ABS(K5496)</x:f>
        <x:v>0</x:v>
      </x:c>
      <x:c r="M5496" s="41" t="str">
        <x:v>lstm-soil-v1</x:v>
      </x:c>
    </x:row>
    <x:row r="5497">
      <x:c r="A5497" s="38" t="str">
        <x:v>7月30日现场数据</x:v>
      </x:c>
      <x:c r="B5497" s="39" t="str">
        <x:v>2026-08-05T08:00:00</x:v>
      </x:c>
      <x:c r="C5497" s="39" t="str">
        <x:v>2026-08-05T08:15:00</x:v>
      </x:c>
      <x:c r="D5497" s="47" t="n">
        <x:v>15</x:v>
      </x:c>
      <x:c r="E5497" s="40" t="n">
        <x:v>18.8</x:v>
      </x:c>
      <x:c r="F5497" s="40" t="n">
        <x:v>17.521522521972656</x:v>
      </x:c>
      <x:c r="G5497" s="40" t="n">
        <x:v>18.8</x:v>
      </x:c>
      <x:c r="H5497" s="40" t="n">
        <x:f>F5497-E5497</x:f>
        <x:v>-1.2784774780273445</x:v>
      </x:c>
      <x:c r="I5497" s="40" t="n">
        <x:f>ABS(H5497)</x:f>
        <x:v>1.2784774780273445</x:v>
      </x:c>
      <x:c r="J5497" s="40" t="n">
        <x:f>H5497^2</x:f>
        <x:v>1.6345046618231591</x:v>
      </x:c>
      <x:c r="K5497" s="40" t="n">
        <x:f>G5497-E5497</x:f>
        <x:v>0</x:v>
      </x:c>
      <x:c r="L5497" s="40" t="n">
        <x:f>ABS(K5497)</x:f>
        <x:v>0</x:v>
      </x:c>
      <x:c r="M5497" s="41" t="str">
        <x:v>lstm-soil-v1</x:v>
      </x:c>
    </x:row>
    <x:row r="5498">
      <x:c r="A5498" s="38" t="str">
        <x:v>7月30日现场数据</x:v>
      </x:c>
      <x:c r="B5498" s="39" t="str">
        <x:v>2026-08-05T08:00:00</x:v>
      </x:c>
      <x:c r="C5498" s="39" t="str">
        <x:v>2026-08-05T08:30:00</x:v>
      </x:c>
      <x:c r="D5498" s="47" t="n">
        <x:v>30</x:v>
      </x:c>
      <x:c r="E5498" s="40" t="n">
        <x:v>18.7</x:v>
      </x:c>
      <x:c r="F5498" s="40" t="n">
        <x:v>17.904918670654297</x:v>
      </x:c>
      <x:c r="G5498" s="40" t="n">
        <x:v>18.8</x:v>
      </x:c>
      <x:c r="H5498" s="40" t="n">
        <x:f>F5498-E5498</x:f>
        <x:v>-0.7950813293457024</x:v>
      </x:c>
      <x:c r="I5498" s="40" t="n">
        <x:f>ABS(H5498)</x:f>
        <x:v>0.7950813293457024</x:v>
      </x:c>
      <x:c r="J5498" s="40" t="n">
        <x:f>H5498^2</x:f>
        <x:v>0.6321543202741293</x:v>
      </x:c>
      <x:c r="K5498" s="40" t="n">
        <x:f>G5498-E5498</x:f>
        <x:v>0.10000000000000142</x:v>
      </x:c>
      <x:c r="L5498" s="40" t="n">
        <x:f>ABS(K5498)</x:f>
        <x:v>0.10000000000000142</x:v>
      </x:c>
      <x:c r="M5498" s="41" t="str">
        <x:v>lstm-soil-v1</x:v>
      </x:c>
    </x:row>
    <x:row r="5499">
      <x:c r="A5499" s="38" t="str">
        <x:v>7月30日现场数据</x:v>
      </x:c>
      <x:c r="B5499" s="39" t="str">
        <x:v>2026-08-05T08:00:00</x:v>
      </x:c>
      <x:c r="C5499" s="39" t="str">
        <x:v>2026-08-05T09:00:00</x:v>
      </x:c>
      <x:c r="D5499" s="47" t="n">
        <x:v>60</x:v>
      </x:c>
      <x:c r="E5499" s="40" t="n">
        <x:v>18.6</x:v>
      </x:c>
      <x:c r="F5499" s="40" t="n">
        <x:v>19.54623031616211</x:v>
      </x:c>
      <x:c r="G5499" s="40" t="n">
        <x:v>18.8</x:v>
      </x:c>
      <x:c r="H5499" s="40" t="n">
        <x:f>F5499-E5499</x:f>
        <x:v>0.946230316162108</x:v>
      </x:c>
      <x:c r="I5499" s="40" t="n">
        <x:f>ABS(H5499)</x:f>
        <x:v>0.946230316162108</x:v>
      </x:c>
      <x:c r="J5499" s="40" t="n">
        <x:f>H5499^2</x:f>
        <x:v>0.8953518112242428</x:v>
      </x:c>
      <x:c r="K5499" s="40" t="n">
        <x:f>G5499-E5499</x:f>
        <x:v>0.1999999999999993</x:v>
      </x:c>
      <x:c r="L5499" s="40" t="n">
        <x:f>ABS(K5499)</x:f>
        <x:v>0.1999999999999993</x:v>
      </x:c>
      <x:c r="M5499" s="41" t="str">
        <x:v>lstm-soil-v1</x:v>
      </x:c>
    </x:row>
    <x:row r="5500">
      <x:c r="A5500" s="38" t="str">
        <x:v>7月30日现场数据</x:v>
      </x:c>
      <x:c r="B5500" s="39" t="str">
        <x:v>2026-08-05T08:05:00</x:v>
      </x:c>
      <x:c r="C5500" s="39" t="str">
        <x:v>2026-08-05T08:10:00</x:v>
      </x:c>
      <x:c r="D5500" s="47" t="n">
        <x:v>5</x:v>
      </x:c>
      <x:c r="E5500" s="40" t="n">
        <x:v>18.8</x:v>
      </x:c>
      <x:c r="F5500" s="40" t="n">
        <x:v>17.442909240722656</x:v>
      </x:c>
      <x:c r="G5500" s="40" t="n">
        <x:v>18.8</x:v>
      </x:c>
      <x:c r="H5500" s="40" t="n">
        <x:f>F5500-E5500</x:f>
        <x:v>-1.3570907592773445</x:v>
      </x:c>
      <x:c r="I5500" s="40" t="n">
        <x:f>ABS(H5500)</x:f>
        <x:v>1.3570907592773445</x:v>
      </x:c>
      <x:c r="J5500" s="40" t="n">
        <x:f>H5500^2</x:f>
        <x:v>1.8416953289159592</x:v>
      </x:c>
      <x:c r="K5500" s="40" t="n">
        <x:f>G5500-E5500</x:f>
        <x:v>0</x:v>
      </x:c>
      <x:c r="L5500" s="40" t="n">
        <x:f>ABS(K5500)</x:f>
        <x:v>0</x:v>
      </x:c>
      <x:c r="M5500" s="41" t="str">
        <x:v>lstm-soil-v1</x:v>
      </x:c>
    </x:row>
    <x:row r="5501">
      <x:c r="A5501" s="38" t="str">
        <x:v>7月30日现场数据</x:v>
      </x:c>
      <x:c r="B5501" s="39" t="str">
        <x:v>2026-08-05T08:05:00</x:v>
      </x:c>
      <x:c r="C5501" s="39" t="str">
        <x:v>2026-08-05T08:20:00</x:v>
      </x:c>
      <x:c r="D5501" s="47" t="n">
        <x:v>15</x:v>
      </x:c>
      <x:c r="E5501" s="40" t="n">
        <x:v>18.7</x:v>
      </x:c>
      <x:c r="F5501" s="40" t="n">
        <x:v>17.523914337158203</x:v>
      </x:c>
      <x:c r="G5501" s="40" t="n">
        <x:v>18.8</x:v>
      </x:c>
      <x:c r="H5501" s="40" t="n">
        <x:f>F5501-E5501</x:f>
        <x:v>-1.1760856628417962</x:v>
      </x:c>
      <x:c r="I5501" s="40" t="n">
        <x:f>ABS(H5501)</x:f>
        <x:v>1.1760856628417962</x:v>
      </x:c>
      <x:c r="J5501" s="40" t="n">
        <x:f>H5501^2</x:f>
        <x:v>1.383177486342027</x:v>
      </x:c>
      <x:c r="K5501" s="40" t="n">
        <x:f>G5501-E5501</x:f>
        <x:v>0.10000000000000142</x:v>
      </x:c>
      <x:c r="L5501" s="40" t="n">
        <x:f>ABS(K5501)</x:f>
        <x:v>0.10000000000000142</x:v>
      </x:c>
      <x:c r="M5501" s="41" t="str">
        <x:v>lstm-soil-v1</x:v>
      </x:c>
    </x:row>
    <x:row r="5502">
      <x:c r="A5502" s="38" t="str">
        <x:v>7月30日现场数据</x:v>
      </x:c>
      <x:c r="B5502" s="39" t="str">
        <x:v>2026-08-05T08:05:00</x:v>
      </x:c>
      <x:c r="C5502" s="39" t="str">
        <x:v>2026-08-05T08:35:00</x:v>
      </x:c>
      <x:c r="D5502" s="47" t="n">
        <x:v>30</x:v>
      </x:c>
      <x:c r="E5502" s="40" t="n">
        <x:v>18.7</x:v>
      </x:c>
      <x:c r="F5502" s="40" t="n">
        <x:v>17.907634735107422</x:v>
      </x:c>
      <x:c r="G5502" s="40" t="n">
        <x:v>18.8</x:v>
      </x:c>
      <x:c r="H5502" s="40" t="n">
        <x:f>F5502-E5502</x:f>
        <x:v>-0.7923652648925774</x:v>
      </x:c>
      <x:c r="I5502" s="40" t="n">
        <x:f>ABS(H5502)</x:f>
        <x:v>0.7923652648925774</x:v>
      </x:c>
      <x:c r="J5502" s="40" t="n">
        <x:f>H5502^2</x:f>
        <x:v>0.6278427130082844</x:v>
      </x:c>
      <x:c r="K5502" s="40" t="n">
        <x:f>G5502-E5502</x:f>
        <x:v>0.10000000000000142</x:v>
      </x:c>
      <x:c r="L5502" s="40" t="n">
        <x:f>ABS(K5502)</x:f>
        <x:v>0.10000000000000142</x:v>
      </x:c>
      <x:c r="M5502" s="41" t="str">
        <x:v>lstm-soil-v1</x:v>
      </x:c>
    </x:row>
    <x:row r="5503">
      <x:c r="A5503" s="38" t="str">
        <x:v>7月30日现场数据</x:v>
      </x:c>
      <x:c r="B5503" s="39" t="str">
        <x:v>2026-08-05T08:05:00</x:v>
      </x:c>
      <x:c r="C5503" s="39" t="str">
        <x:v>2026-08-05T09:05:00</x:v>
      </x:c>
      <x:c r="D5503" s="47" t="n">
        <x:v>60</x:v>
      </x:c>
      <x:c r="E5503" s="40" t="n">
        <x:v>18.6</x:v>
      </x:c>
      <x:c r="F5503" s="40" t="n">
        <x:v>19.550331115722656</x:v>
      </x:c>
      <x:c r="G5503" s="40" t="n">
        <x:v>18.8</x:v>
      </x:c>
      <x:c r="H5503" s="40" t="n">
        <x:f>F5503-E5503</x:f>
        <x:v>0.9503311157226548</x:v>
      </x:c>
      <x:c r="I5503" s="40" t="n">
        <x:f>ABS(H5503)</x:f>
        <x:v>0.9503311157226548</x:v>
      </x:c>
      <x:c r="J5503" s="40" t="n">
        <x:f>H5503^2</x:f>
        <x:v>0.903129229510666</x:v>
      </x:c>
      <x:c r="K5503" s="40" t="n">
        <x:f>G5503-E5503</x:f>
        <x:v>0.1999999999999993</x:v>
      </x:c>
      <x:c r="L5503" s="40" t="n">
        <x:f>ABS(K5503)</x:f>
        <x:v>0.1999999999999993</x:v>
      </x:c>
      <x:c r="M5503" s="41" t="str">
        <x:v>lstm-soil-v1</x:v>
      </x:c>
    </x:row>
    <x:row r="5504">
      <x:c r="A5504" s="38" t="str">
        <x:v>7月30日现场数据</x:v>
      </x:c>
      <x:c r="B5504" s="39" t="str">
        <x:v>2026-08-05T08:10:00</x:v>
      </x:c>
      <x:c r="C5504" s="39" t="str">
        <x:v>2026-08-05T08:15:00</x:v>
      </x:c>
      <x:c r="D5504" s="47" t="n">
        <x:v>5</x:v>
      </x:c>
      <x:c r="E5504" s="40" t="n">
        <x:v>18.8</x:v>
      </x:c>
      <x:c r="F5504" s="40" t="n">
        <x:v>17.44439697265625</x:v>
      </x:c>
      <x:c r="G5504" s="40" t="n">
        <x:v>18.8</x:v>
      </x:c>
      <x:c r="H5504" s="40" t="n">
        <x:f>F5504-E5504</x:f>
        <x:v>-1.3556030273437507</x:v>
      </x:c>
      <x:c r="I5504" s="40" t="n">
        <x:f>ABS(H5504)</x:f>
        <x:v>1.3556030273437507</x:v>
      </x:c>
      <x:c r="J5504" s="40" t="n">
        <x:f>H5504^2</x:f>
        <x:v>1.8376595677435417</x:v>
      </x:c>
      <x:c r="K5504" s="40" t="n">
        <x:f>G5504-E5504</x:f>
        <x:v>0</x:v>
      </x:c>
      <x:c r="L5504" s="40" t="n">
        <x:f>ABS(K5504)</x:f>
        <x:v>0</x:v>
      </x:c>
      <x:c r="M5504" s="41" t="str">
        <x:v>lstm-soil-v1</x:v>
      </x:c>
    </x:row>
    <x:row r="5505">
      <x:c r="A5505" s="38" t="str">
        <x:v>7月30日现场数据</x:v>
      </x:c>
      <x:c r="B5505" s="39" t="str">
        <x:v>2026-08-05T08:10:00</x:v>
      </x:c>
      <x:c r="C5505" s="39" t="str">
        <x:v>2026-08-05T08:25:00</x:v>
      </x:c>
      <x:c r="D5505" s="47" t="n">
        <x:v>15</x:v>
      </x:c>
      <x:c r="E5505" s="40" t="n">
        <x:v>18.8</x:v>
      </x:c>
      <x:c r="F5505" s="40" t="n">
        <x:v>17.52582550048828</x:v>
      </x:c>
      <x:c r="G5505" s="40" t="n">
        <x:v>18.8</x:v>
      </x:c>
      <x:c r="H5505" s="40" t="n">
        <x:f>F5505-E5505</x:f>
        <x:v>-1.2741744995117195</x:v>
      </x:c>
      <x:c r="I5505" s="40" t="n">
        <x:f>ABS(H5505)</x:f>
        <x:v>1.2741744995117195</x:v>
      </x:c>
      <x:c r="J5505" s="40" t="n">
        <x:f>H5505^2</x:f>
        <x:v>1.6235206552059407</x:v>
      </x:c>
      <x:c r="K5505" s="40" t="n">
        <x:f>G5505-E5505</x:f>
        <x:v>0</x:v>
      </x:c>
      <x:c r="L5505" s="40" t="n">
        <x:f>ABS(K5505)</x:f>
        <x:v>0</x:v>
      </x:c>
      <x:c r="M5505" s="41" t="str">
        <x:v>lstm-soil-v1</x:v>
      </x:c>
    </x:row>
    <x:row r="5506">
      <x:c r="A5506" s="38" t="str">
        <x:v>7月30日现场数据</x:v>
      </x:c>
      <x:c r="B5506" s="39" t="str">
        <x:v>2026-08-05T08:10:00</x:v>
      </x:c>
      <x:c r="C5506" s="39" t="str">
        <x:v>2026-08-05T08:40:00</x:v>
      </x:c>
      <x:c r="D5506" s="47" t="n">
        <x:v>30</x:v>
      </x:c>
      <x:c r="E5506" s="40" t="n">
        <x:v>18.7</x:v>
      </x:c>
      <x:c r="F5506" s="40" t="n">
        <x:v>17.90888214111328</x:v>
      </x:c>
      <x:c r="G5506" s="40" t="n">
        <x:v>18.8</x:v>
      </x:c>
      <x:c r="H5506" s="40" t="n">
        <x:f>F5506-E5506</x:f>
        <x:v>-0.791117858886718</x:v>
      </x:c>
      <x:c r="I5506" s="40" t="n">
        <x:f>ABS(H5506)</x:f>
        <x:v>0.791117858886718</x:v>
      </x:c>
      <x:c r="J5506" s="40" t="n">
        <x:f>H5506^2</x:f>
        <x:v>0.6258674666495051</x:v>
      </x:c>
      <x:c r="K5506" s="40" t="n">
        <x:f>G5506-E5506</x:f>
        <x:v>0.10000000000000142</x:v>
      </x:c>
      <x:c r="L5506" s="40" t="n">
        <x:f>ABS(K5506)</x:f>
        <x:v>0.10000000000000142</x:v>
      </x:c>
      <x:c r="M5506" s="41" t="str">
        <x:v>lstm-soil-v1</x:v>
      </x:c>
    </x:row>
    <x:row r="5507">
      <x:c r="A5507" s="38" t="str">
        <x:v>7月30日现场数据</x:v>
      </x:c>
      <x:c r="B5507" s="39" t="str">
        <x:v>2026-08-05T08:10:00</x:v>
      </x:c>
      <x:c r="C5507" s="39" t="str">
        <x:v>2026-08-05T09:10:00</x:v>
      </x:c>
      <x:c r="D5507" s="47" t="n">
        <x:v>60</x:v>
      </x:c>
      <x:c r="E5507" s="40" t="n">
        <x:v>18.6</x:v>
      </x:c>
      <x:c r="F5507" s="40" t="n">
        <x:v>19.552337646484375</x:v>
      </x:c>
      <x:c r="G5507" s="40" t="n">
        <x:v>18.8</x:v>
      </x:c>
      <x:c r="H5507" s="40" t="n">
        <x:f>F5507-E5507</x:f>
        <x:v>0.9523376464843736</x:v>
      </x:c>
      <x:c r="I5507" s="40" t="n">
        <x:f>ABS(H5507)</x:f>
        <x:v>0.9523376464843736</x:v>
      </x:c>
      <x:c r="J5507" s="40" t="n">
        <x:f>H5507^2</x:f>
        <x:v>0.9069469929113957</x:v>
      </x:c>
      <x:c r="K5507" s="40" t="n">
        <x:f>G5507-E5507</x:f>
        <x:v>0.1999999999999993</x:v>
      </x:c>
      <x:c r="L5507" s="40" t="n">
        <x:f>ABS(K5507)</x:f>
        <x:v>0.1999999999999993</x:v>
      </x:c>
      <x:c r="M5507" s="41" t="str">
        <x:v>lstm-soil-v1</x:v>
      </x:c>
    </x:row>
    <x:row r="5508">
      <x:c r="A5508" s="38" t="str">
        <x:v>7月30日现场数据</x:v>
      </x:c>
      <x:c r="B5508" s="39" t="str">
        <x:v>2026-08-05T08:15:00</x:v>
      </x:c>
      <x:c r="C5508" s="39" t="str">
        <x:v>2026-08-05T08:20:00</x:v>
      </x:c>
      <x:c r="D5508" s="47" t="n">
        <x:v>5</x:v>
      </x:c>
      <x:c r="E5508" s="40" t="n">
        <x:v>18.7</x:v>
      </x:c>
      <x:c r="F5508" s="40" t="n">
        <x:v>17.44875717163086</x:v>
      </x:c>
      <x:c r="G5508" s="40" t="n">
        <x:v>18.8</x:v>
      </x:c>
      <x:c r="H5508" s="40" t="n">
        <x:f>F5508-E5508</x:f>
        <x:v>-1.25124282836914</x:v>
      </x:c>
      <x:c r="I5508" s="40" t="n">
        <x:f>ABS(H5508)</x:f>
        <x:v>1.25124282836914</x:v>
      </x:c>
      <x:c r="J5508" s="40" t="n">
        <x:f>H5508^2</x:f>
        <x:v>1.565608615545205</x:v>
      </x:c>
      <x:c r="K5508" s="40" t="n">
        <x:f>G5508-E5508</x:f>
        <x:v>0.10000000000000142</x:v>
      </x:c>
      <x:c r="L5508" s="40" t="n">
        <x:f>ABS(K5508)</x:f>
        <x:v>0.10000000000000142</x:v>
      </x:c>
      <x:c r="M5508" s="41" t="str">
        <x:v>lstm-soil-v1</x:v>
      </x:c>
    </x:row>
    <x:row r="5509">
      <x:c r="A5509" s="38" t="str">
        <x:v>7月30日现场数据</x:v>
      </x:c>
      <x:c r="B5509" s="39" t="str">
        <x:v>2026-08-05T08:15:00</x:v>
      </x:c>
      <x:c r="C5509" s="39" t="str">
        <x:v>2026-08-05T08:30:00</x:v>
      </x:c>
      <x:c r="D5509" s="47" t="n">
        <x:v>15</x:v>
      </x:c>
      <x:c r="E5509" s="40" t="n">
        <x:v>18.7</x:v>
      </x:c>
      <x:c r="F5509" s="40" t="n">
        <x:v>17.527034759521484</x:v>
      </x:c>
      <x:c r="G5509" s="40" t="n">
        <x:v>18.8</x:v>
      </x:c>
      <x:c r="H5509" s="40" t="n">
        <x:f>F5509-E5509</x:f>
        <x:v>-1.172965240478515</x:v>
      </x:c>
      <x:c r="I5509" s="40" t="n">
        <x:f>ABS(H5509)</x:f>
        <x:v>1.172965240478515</x:v>
      </x:c>
      <x:c r="J5509" s="40" t="n">
        <x:f>H5509^2</x:f>
        <x:v>1.3758474553708204</x:v>
      </x:c>
      <x:c r="K5509" s="40" t="n">
        <x:f>G5509-E5509</x:f>
        <x:v>0.10000000000000142</x:v>
      </x:c>
      <x:c r="L5509" s="40" t="n">
        <x:f>ABS(K5509)</x:f>
        <x:v>0.10000000000000142</x:v>
      </x:c>
      <x:c r="M5509" s="41" t="str">
        <x:v>lstm-soil-v1</x:v>
      </x:c>
    </x:row>
    <x:row r="5510">
      <x:c r="A5510" s="38" t="str">
        <x:v>7月30日现场数据</x:v>
      </x:c>
      <x:c r="B5510" s="39" t="str">
        <x:v>2026-08-05T08:15:00</x:v>
      </x:c>
      <x:c r="C5510" s="39" t="str">
        <x:v>2026-08-05T08:45:00</x:v>
      </x:c>
      <x:c r="D5510" s="47" t="n">
        <x:v>30</x:v>
      </x:c>
      <x:c r="E5510" s="40" t="n">
        <x:v>18.7</x:v>
      </x:c>
      <x:c r="F5510" s="40" t="n">
        <x:v>17.91299819946289</x:v>
      </x:c>
      <x:c r="G5510" s="40" t="n">
        <x:v>18.8</x:v>
      </x:c>
      <x:c r="H5510" s="40" t="n">
        <x:f>F5510-E5510</x:f>
        <x:v>-0.7870018005371087</x:v>
      </x:c>
      <x:c r="I5510" s="40" t="n">
        <x:f>ABS(H5510)</x:f>
        <x:v>0.7870018005371087</x:v>
      </x:c>
      <x:c r="J5510" s="40" t="n">
        <x:f>H5510^2</x:f>
        <x:v>0.6193718340486509</x:v>
      </x:c>
      <x:c r="K5510" s="40" t="n">
        <x:f>G5510-E5510</x:f>
        <x:v>0.10000000000000142</x:v>
      </x:c>
      <x:c r="L5510" s="40" t="n">
        <x:f>ABS(K5510)</x:f>
        <x:v>0.10000000000000142</x:v>
      </x:c>
      <x:c r="M5510" s="41" t="str">
        <x:v>lstm-soil-v1</x:v>
      </x:c>
    </x:row>
    <x:row r="5511">
      <x:c r="A5511" s="38" t="str">
        <x:v>7月30日现场数据</x:v>
      </x:c>
      <x:c r="B5511" s="39" t="str">
        <x:v>2026-08-05T08:15:00</x:v>
      </x:c>
      <x:c r="C5511" s="39" t="str">
        <x:v>2026-08-05T09:15:00</x:v>
      </x:c>
      <x:c r="D5511" s="47" t="n">
        <x:v>60</x:v>
      </x:c>
      <x:c r="E5511" s="40" t="n">
        <x:v>18.5</x:v>
      </x:c>
      <x:c r="F5511" s="40" t="n">
        <x:v>19.558940887451172</x:v>
      </x:c>
      <x:c r="G5511" s="40" t="n">
        <x:v>18.8</x:v>
      </x:c>
      <x:c r="H5511" s="40" t="n">
        <x:f>F5511-E5511</x:f>
        <x:v>1.0589408874511719</x:v>
      </x:c>
      <x:c r="I5511" s="40" t="n">
        <x:f>ABS(H5511)</x:f>
        <x:v>1.0589408874511719</x:v>
      </x:c>
      <x:c r="J5511" s="40" t="n">
        <x:f>H5511^2</x:f>
        <x:v>1.1213558031158755</x:v>
      </x:c>
      <x:c r="K5511" s="40" t="n">
        <x:f>G5511-E5511</x:f>
        <x:v>0.3000000000000007</x:v>
      </x:c>
      <x:c r="L5511" s="40" t="n">
        <x:f>ABS(K5511)</x:f>
        <x:v>0.3000000000000007</x:v>
      </x:c>
      <x:c r="M5511" s="41" t="str">
        <x:v>lstm-soil-v1</x:v>
      </x:c>
    </x:row>
    <x:row r="5512">
      <x:c r="A5512" s="38" t="str">
        <x:v>7月30日现场数据</x:v>
      </x:c>
      <x:c r="B5512" s="39" t="str">
        <x:v>2026-08-05T08:20:00</x:v>
      </x:c>
      <x:c r="C5512" s="39" t="str">
        <x:v>2026-08-05T08:25:00</x:v>
      </x:c>
      <x:c r="D5512" s="47" t="n">
        <x:v>5</x:v>
      </x:c>
      <x:c r="E5512" s="40" t="n">
        <x:v>18.8</x:v>
      </x:c>
      <x:c r="F5512" s="40" t="n">
        <x:v>17.34182357788086</x:v>
      </x:c>
      <x:c r="G5512" s="40" t="n">
        <x:v>18.7</x:v>
      </x:c>
      <x:c r="H5512" s="40" t="n">
        <x:f>F5512-E5512</x:f>
        <x:v>-1.4581764221191413</x:v>
      </x:c>
      <x:c r="I5512" s="40" t="n">
        <x:f>ABS(H5512)</x:f>
        <x:v>1.4581764221191413</x:v>
      </x:c>
      <x:c r="J5512" s="40" t="n">
        <x:f>H5512^2</x:f>
        <x:v>2.1262784780241804</x:v>
      </x:c>
      <x:c r="K5512" s="40" t="n">
        <x:f>G5512-E5512</x:f>
        <x:v>-0.10000000000000142</x:v>
      </x:c>
      <x:c r="L5512" s="40" t="n">
        <x:f>ABS(K5512)</x:f>
        <x:v>0.10000000000000142</x:v>
      </x:c>
      <x:c r="M5512" s="41" t="str">
        <x:v>lstm-soil-v1</x:v>
      </x:c>
    </x:row>
    <x:row r="5513">
      <x:c r="A5513" s="38" t="str">
        <x:v>7月30日现场数据</x:v>
      </x:c>
      <x:c r="B5513" s="39" t="str">
        <x:v>2026-08-05T08:20:00</x:v>
      </x:c>
      <x:c r="C5513" s="39" t="str">
        <x:v>2026-08-05T08:35:00</x:v>
      </x:c>
      <x:c r="D5513" s="47" t="n">
        <x:v>15</x:v>
      </x:c>
      <x:c r="E5513" s="40" t="n">
        <x:v>18.7</x:v>
      </x:c>
      <x:c r="F5513" s="40" t="n">
        <x:v>17.418392181396484</x:v>
      </x:c>
      <x:c r="G5513" s="40" t="n">
        <x:v>18.7</x:v>
      </x:c>
      <x:c r="H5513" s="40" t="n">
        <x:f>F5513-E5513</x:f>
        <x:v>-1.281607818603515</x:v>
      </x:c>
      <x:c r="I5513" s="40" t="n">
        <x:f>ABS(H5513)</x:f>
        <x:v>1.281607818603515</x:v>
      </x:c>
      <x:c r="J5513" s="40" t="n">
        <x:f>H5513^2</x:f>
        <x:v>1.64251860070566</x:v>
      </x:c>
      <x:c r="K5513" s="40" t="n">
        <x:f>G5513-E5513</x:f>
        <x:v>0</x:v>
      </x:c>
      <x:c r="L5513" s="40" t="n">
        <x:f>ABS(K5513)</x:f>
        <x:v>0</x:v>
      </x:c>
      <x:c r="M5513" s="41" t="str">
        <x:v>lstm-soil-v1</x:v>
      </x:c>
    </x:row>
    <x:row r="5514">
      <x:c r="A5514" s="38" t="str">
        <x:v>7月30日现场数据</x:v>
      </x:c>
      <x:c r="B5514" s="39" t="str">
        <x:v>2026-08-05T08:20:00</x:v>
      </x:c>
      <x:c r="C5514" s="39" t="str">
        <x:v>2026-08-05T08:50:00</x:v>
      </x:c>
      <x:c r="D5514" s="47" t="n">
        <x:v>30</x:v>
      </x:c>
      <x:c r="E5514" s="40" t="n">
        <x:v>18.6</x:v>
      </x:c>
      <x:c r="F5514" s="40" t="n">
        <x:v>17.806610107421875</x:v>
      </x:c>
      <x:c r="G5514" s="40" t="n">
        <x:v>18.7</x:v>
      </x:c>
      <x:c r="H5514" s="40" t="n">
        <x:f>F5514-E5514</x:f>
        <x:v>-0.7933898925781264</x:v>
      </x:c>
      <x:c r="I5514" s="40" t="n">
        <x:f>ABS(H5514)</x:f>
        <x:v>0.7933898925781264</x:v>
      </x:c>
      <x:c r="J5514" s="40" t="n">
        <x:f>H5514^2</x:f>
        <x:v>0.629467521645131</x:v>
      </x:c>
      <x:c r="K5514" s="40" t="n">
        <x:f>G5514-E5514</x:f>
        <x:v>0.09999999999999787</x:v>
      </x:c>
      <x:c r="L5514" s="40" t="n">
        <x:f>ABS(K5514)</x:f>
        <x:v>0.09999999999999787</x:v>
      </x:c>
      <x:c r="M5514" s="41" t="str">
        <x:v>lstm-soil-v1</x:v>
      </x:c>
    </x:row>
    <x:row r="5515">
      <x:c r="A5515" s="38" t="str">
        <x:v>7月30日现场数据</x:v>
      </x:c>
      <x:c r="B5515" s="39" t="str">
        <x:v>2026-08-05T08:20:00</x:v>
      </x:c>
      <x:c r="C5515" s="39" t="str">
        <x:v>2026-08-05T09:20:00</x:v>
      </x:c>
      <x:c r="D5515" s="47" t="n">
        <x:v>60</x:v>
      </x:c>
      <x:c r="E5515" s="40" t="n">
        <x:v>18.6</x:v>
      </x:c>
      <x:c r="F5515" s="40" t="n">
        <x:v>19.453319549560547</x:v>
      </x:c>
      <x:c r="G5515" s="40" t="n">
        <x:v>18.7</x:v>
      </x:c>
      <x:c r="H5515" s="40" t="n">
        <x:f>F5515-E5515</x:f>
        <x:v>0.8533195495605455</x:v>
      </x:c>
      <x:c r="I5515" s="40" t="n">
        <x:f>ABS(H5515)</x:f>
        <x:v>0.8533195495605455</x:v>
      </x:c>
      <x:c r="J5515" s="40" t="n">
        <x:f>H5515^2</x:f>
        <x:v>0.7281542536622122</x:v>
      </x:c>
      <x:c r="K5515" s="40" t="n">
        <x:f>G5515-E5515</x:f>
        <x:v>0.09999999999999787</x:v>
      </x:c>
      <x:c r="L5515" s="40" t="n">
        <x:f>ABS(K5515)</x:f>
        <x:v>0.09999999999999787</x:v>
      </x:c>
      <x:c r="M5515" s="41" t="str">
        <x:v>lstm-soil-v1</x:v>
      </x:c>
    </x:row>
    <x:row r="5516">
      <x:c r="A5516" s="38" t="str">
        <x:v>7月30日现场数据</x:v>
      </x:c>
      <x:c r="B5516" s="39" t="str">
        <x:v>2026-08-05T08:25:00</x:v>
      </x:c>
      <x:c r="C5516" s="39" t="str">
        <x:v>2026-08-05T08:30:00</x:v>
      </x:c>
      <x:c r="D5516" s="47" t="n">
        <x:v>5</x:v>
      </x:c>
      <x:c r="E5516" s="40" t="n">
        <x:v>18.7</x:v>
      </x:c>
      <x:c r="F5516" s="40" t="n">
        <x:v>17.478321075439453</x:v>
      </x:c>
      <x:c r="G5516" s="40" t="n">
        <x:v>18.8</x:v>
      </x:c>
      <x:c r="H5516" s="40" t="n">
        <x:f>F5516-E5516</x:f>
        <x:v>-1.2216789245605462</x:v>
      </x:c>
      <x:c r="I5516" s="40" t="n">
        <x:f>ABS(H5516)</x:f>
        <x:v>1.2216789245605462</x:v>
      </x:c>
      <x:c r="J5516" s="40" t="n">
        <x:f>H5516^2</x:f>
        <x:v>1.4924993947154126</x:v>
      </x:c>
      <x:c r="K5516" s="40" t="n">
        <x:f>G5516-E5516</x:f>
        <x:v>0.10000000000000142</x:v>
      </x:c>
      <x:c r="L5516" s="40" t="n">
        <x:f>ABS(K5516)</x:f>
        <x:v>0.10000000000000142</x:v>
      </x:c>
      <x:c r="M5516" s="41" t="str">
        <x:v>lstm-soil-v1</x:v>
      </x:c>
    </x:row>
    <x:row r="5517">
      <x:c r="A5517" s="38" t="str">
        <x:v>7月30日现场数据</x:v>
      </x:c>
      <x:c r="B5517" s="39" t="str">
        <x:v>2026-08-05T08:25:00</x:v>
      </x:c>
      <x:c r="C5517" s="39" t="str">
        <x:v>2026-08-05T08:40:00</x:v>
      </x:c>
      <x:c r="D5517" s="47" t="n">
        <x:v>15</x:v>
      </x:c>
      <x:c r="E5517" s="40" t="n">
        <x:v>18.7</x:v>
      </x:c>
      <x:c r="F5517" s="40" t="n">
        <x:v>17.531814575195312</x:v>
      </x:c>
      <x:c r="G5517" s="40" t="n">
        <x:v>18.8</x:v>
      </x:c>
      <x:c r="H5517" s="40" t="n">
        <x:f>F5517-E5517</x:f>
        <x:v>-1.1681854248046868</x:v>
      </x:c>
      <x:c r="I5517" s="40" t="n">
        <x:f>ABS(H5517)</x:f>
        <x:v>1.1681854248046868</x:v>
      </x:c>
      <x:c r="J5517" s="40" t="n">
        <x:f>H5517^2</x:f>
        <x:v>1.3646571867261066</x:v>
      </x:c>
      <x:c r="K5517" s="40" t="n">
        <x:f>G5517-E5517</x:f>
        <x:v>0.10000000000000142</x:v>
      </x:c>
      <x:c r="L5517" s="40" t="n">
        <x:f>ABS(K5517)</x:f>
        <x:v>0.10000000000000142</x:v>
      </x:c>
      <x:c r="M5517" s="41" t="str">
        <x:v>lstm-soil-v1</x:v>
      </x:c>
    </x:row>
    <x:row r="5518">
      <x:c r="A5518" s="38" t="str">
        <x:v>7月30日现场数据</x:v>
      </x:c>
      <x:c r="B5518" s="39" t="str">
        <x:v>2026-08-05T08:25:00</x:v>
      </x:c>
      <x:c r="C5518" s="39" t="str">
        <x:v>2026-08-05T08:55:00</x:v>
      </x:c>
      <x:c r="D5518" s="47" t="n">
        <x:v>30</x:v>
      </x:c>
      <x:c r="E5518" s="40" t="n">
        <x:v>18.7</x:v>
      </x:c>
      <x:c r="F5518" s="40" t="n">
        <x:v>17.94507598876953</x:v>
      </x:c>
      <x:c r="G5518" s="40" t="n">
        <x:v>18.8</x:v>
      </x:c>
      <x:c r="H5518" s="40" t="n">
        <x:f>F5518-E5518</x:f>
        <x:v>-0.754924011230468</x:v>
      </x:c>
      <x:c r="I5518" s="40" t="n">
        <x:f>ABS(H5518)</x:f>
        <x:v>0.754924011230468</x:v>
      </x:c>
      <x:c r="J5518" s="40" t="n">
        <x:f>H5518^2</x:f>
        <x:v>0.5699102627322998</x:v>
      </x:c>
      <x:c r="K5518" s="40" t="n">
        <x:f>G5518-E5518</x:f>
        <x:v>0.10000000000000142</x:v>
      </x:c>
      <x:c r="L5518" s="40" t="n">
        <x:f>ABS(K5518)</x:f>
        <x:v>0.10000000000000142</x:v>
      </x:c>
      <x:c r="M5518" s="41" t="str">
        <x:v>lstm-soil-v1</x:v>
      </x:c>
    </x:row>
    <x:row r="5519">
      <x:c r="A5519" s="38" t="str">
        <x:v>7月30日现场数据</x:v>
      </x:c>
      <x:c r="B5519" s="39" t="str">
        <x:v>2026-08-05T08:25:00</x:v>
      </x:c>
      <x:c r="C5519" s="39" t="str">
        <x:v>2026-08-05T09:25:00</x:v>
      </x:c>
      <x:c r="D5519" s="47" t="n">
        <x:v>60</x:v>
      </x:c>
      <x:c r="E5519" s="40" t="n">
        <x:v>18.6</x:v>
      </x:c>
      <x:c r="F5519" s="40" t="n">
        <x:v>19.605003356933594</x:v>
      </x:c>
      <x:c r="G5519" s="40" t="n">
        <x:v>18.8</x:v>
      </x:c>
      <x:c r="H5519" s="40" t="n">
        <x:f>F5519-E5519</x:f>
        <x:v>1.0050033569335923</x:v>
      </x:c>
      <x:c r="I5519" s="40" t="n">
        <x:f>ABS(H5519)</x:f>
        <x:v>1.0050033569335923</x:v>
      </x:c>
      <x:c r="J5519" s="40" t="n">
        <x:f>H5519^2</x:f>
        <x:v>1.0100317474477896</x:v>
      </x:c>
      <x:c r="K5519" s="40" t="n">
        <x:f>G5519-E5519</x:f>
        <x:v>0.1999999999999993</x:v>
      </x:c>
      <x:c r="L5519" s="40" t="n">
        <x:f>ABS(K5519)</x:f>
        <x:v>0.1999999999999993</x:v>
      </x:c>
      <x:c r="M5519" s="41" t="str">
        <x:v>lstm-soil-v1</x:v>
      </x:c>
    </x:row>
    <x:row r="5520">
      <x:c r="A5520" s="38" t="str">
        <x:v>7月30日现场数据</x:v>
      </x:c>
      <x:c r="B5520" s="39" t="str">
        <x:v>2026-08-05T08:30:00</x:v>
      </x:c>
      <x:c r="C5520" s="39" t="str">
        <x:v>2026-08-05T08:35:00</x:v>
      </x:c>
      <x:c r="D5520" s="47" t="n">
        <x:v>5</x:v>
      </x:c>
      <x:c r="E5520" s="40" t="n">
        <x:v>18.7</x:v>
      </x:c>
      <x:c r="F5520" s="40" t="n">
        <x:v>17.38409423828125</x:v>
      </x:c>
      <x:c r="G5520" s="40" t="n">
        <x:v>18.7</x:v>
      </x:c>
      <x:c r="H5520" s="40" t="n">
        <x:f>F5520-E5520</x:f>
        <x:v>-1.3159057617187493</x:v>
      </x:c>
      <x:c r="I5520" s="40" t="n">
        <x:f>ABS(H5520)</x:f>
        <x:v>1.3159057617187493</x:v>
      </x:c>
      <x:c r="J5520" s="40" t="n">
        <x:f>H5520^2</x:f>
        <x:v>1.7316079737246017</x:v>
      </x:c>
      <x:c r="K5520" s="40" t="n">
        <x:f>G5520-E5520</x:f>
        <x:v>0</x:v>
      </x:c>
      <x:c r="L5520" s="40" t="n">
        <x:f>ABS(K5520)</x:f>
        <x:v>0</x:v>
      </x:c>
      <x:c r="M5520" s="41" t="str">
        <x:v>lstm-soil-v1</x:v>
      </x:c>
    </x:row>
    <x:row r="5521">
      <x:c r="A5521" s="38" t="str">
        <x:v>7月30日现场数据</x:v>
      </x:c>
      <x:c r="B5521" s="39" t="str">
        <x:v>2026-08-05T08:30:00</x:v>
      </x:c>
      <x:c r="C5521" s="39" t="str">
        <x:v>2026-08-05T08:45:00</x:v>
      </x:c>
      <x:c r="D5521" s="47" t="n">
        <x:v>15</x:v>
      </x:c>
      <x:c r="E5521" s="40" t="n">
        <x:v>18.7</x:v>
      </x:c>
      <x:c r="F5521" s="40" t="n">
        <x:v>17.430652618408203</x:v>
      </x:c>
      <x:c r="G5521" s="40" t="n">
        <x:v>18.7</x:v>
      </x:c>
      <x:c r="H5521" s="40" t="n">
        <x:f>F5521-E5521</x:f>
        <x:v>-1.2693473815917962</x:v>
      </x:c>
      <x:c r="I5521" s="40" t="n">
        <x:f>ABS(H5521)</x:f>
        <x:v>1.2693473815917962</x:v>
      </x:c>
      <x:c r="J5521" s="40" t="n">
        <x:f>H5521^2</x:f>
        <x:v>1.611242775153949</x:v>
      </x:c>
      <x:c r="K5521" s="40" t="n">
        <x:f>G5521-E5521</x:f>
        <x:v>0</x:v>
      </x:c>
      <x:c r="L5521" s="40" t="n">
        <x:f>ABS(K5521)</x:f>
        <x:v>0</x:v>
      </x:c>
      <x:c r="M5521" s="41" t="str">
        <x:v>lstm-soil-v1</x:v>
      </x:c>
    </x:row>
    <x:row r="5522">
      <x:c r="A5522" s="38" t="str">
        <x:v>7月30日现场数据</x:v>
      </x:c>
      <x:c r="B5522" s="39" t="str">
        <x:v>2026-08-05T08:30:00</x:v>
      </x:c>
      <x:c r="C5522" s="39" t="str">
        <x:v>2026-08-05T09:00:00</x:v>
      </x:c>
      <x:c r="D5522" s="47" t="n">
        <x:v>30</x:v>
      </x:c>
      <x:c r="E5522" s="40" t="n">
        <x:v>18.6</x:v>
      </x:c>
      <x:c r="F5522" s="40" t="n">
        <x:v>17.859146118164062</x:v>
      </x:c>
      <x:c r="G5522" s="40" t="n">
        <x:v>18.7</x:v>
      </x:c>
      <x:c r="H5522" s="40" t="n">
        <x:f>F5522-E5522</x:f>
        <x:v>-0.7408538818359389</x:v>
      </x:c>
      <x:c r="I5522" s="40" t="n">
        <x:f>ABS(H5522)</x:f>
        <x:v>0.7408538818359389</x:v>
      </x:c>
      <x:c r="J5522" s="40" t="n">
        <x:f>H5522^2</x:f>
        <x:v>0.5488644742313793</x:v>
      </x:c>
      <x:c r="K5522" s="40" t="n">
        <x:f>G5522-E5522</x:f>
        <x:v>0.09999999999999787</x:v>
      </x:c>
      <x:c r="L5522" s="40" t="n">
        <x:f>ABS(K5522)</x:f>
        <x:v>0.09999999999999787</x:v>
      </x:c>
      <x:c r="M5522" s="41" t="str">
        <x:v>lstm-soil-v1</x:v>
      </x:c>
    </x:row>
    <x:row r="5523">
      <x:c r="A5523" s="38" t="str">
        <x:v>7月30日现场数据</x:v>
      </x:c>
      <x:c r="B5523" s="39" t="str">
        <x:v>2026-08-05T08:30:00</x:v>
      </x:c>
      <x:c r="C5523" s="39" t="str">
        <x:v>2026-08-05T09:30:00</x:v>
      </x:c>
      <x:c r="D5523" s="47" t="n">
        <x:v>60</x:v>
      </x:c>
      <x:c r="E5523" s="40" t="n">
        <x:v>18.6</x:v>
      </x:c>
      <x:c r="F5523" s="40" t="n">
        <x:v>19.517925262451172</x:v>
      </x:c>
      <x:c r="G5523" s="40" t="n">
        <x:v>18.7</x:v>
      </x:c>
      <x:c r="H5523" s="40" t="n">
        <x:f>F5523-E5523</x:f>
        <x:v>0.9179252624511705</x:v>
      </x:c>
      <x:c r="I5523" s="40" t="n">
        <x:f>ABS(H5523)</x:f>
        <x:v>0.9179252624511705</x:v>
      </x:c>
      <x:c r="J5523" s="40" t="n">
        <x:f>H5523^2</x:f>
        <x:v>0.8425867874460502</x:v>
      </x:c>
      <x:c r="K5523" s="40" t="n">
        <x:f>G5523-E5523</x:f>
        <x:v>0.09999999999999787</x:v>
      </x:c>
      <x:c r="L5523" s="40" t="n">
        <x:f>ABS(K5523)</x:f>
        <x:v>0.09999999999999787</x:v>
      </x:c>
      <x:c r="M5523" s="41" t="str">
        <x:v>lstm-soil-v1</x:v>
      </x:c>
    </x:row>
    <x:row r="5524">
      <x:c r="A5524" s="38" t="str">
        <x:v>7月30日现场数据</x:v>
      </x:c>
      <x:c r="B5524" s="39" t="str">
        <x:v>2026-08-05T08:35:00</x:v>
      </x:c>
      <x:c r="C5524" s="39" t="str">
        <x:v>2026-08-05T08:40:00</x:v>
      </x:c>
      <x:c r="D5524" s="47" t="n">
        <x:v>5</x:v>
      </x:c>
      <x:c r="E5524" s="40" t="n">
        <x:v>18.7</x:v>
      </x:c>
      <x:c r="F5524" s="40" t="n">
        <x:v>17.39712142944336</x:v>
      </x:c>
      <x:c r="G5524" s="40" t="n">
        <x:v>18.7</x:v>
      </x:c>
      <x:c r="H5524" s="40" t="n">
        <x:f>F5524-E5524</x:f>
        <x:v>-1.30287857055664</x:v>
      </x:c>
      <x:c r="I5524" s="40" t="n">
        <x:f>ABS(H5524)</x:f>
        <x:v>1.30287857055664</x:v>
      </x:c>
      <x:c r="J5524" s="40" t="n">
        <x:f>H5524^2</x:f>
        <x:v>1.6974925696157133</x:v>
      </x:c>
      <x:c r="K5524" s="40" t="n">
        <x:f>G5524-E5524</x:f>
        <x:v>0</x:v>
      </x:c>
      <x:c r="L5524" s="40" t="n">
        <x:f>ABS(K5524)</x:f>
        <x:v>0</x:v>
      </x:c>
      <x:c r="M5524" s="41" t="str">
        <x:v>lstm-soil-v1</x:v>
      </x:c>
    </x:row>
    <x:row r="5525">
      <x:c r="A5525" s="38" t="str">
        <x:v>7月30日现场数据</x:v>
      </x:c>
      <x:c r="B5525" s="39" t="str">
        <x:v>2026-08-05T08:35:00</x:v>
      </x:c>
      <x:c r="C5525" s="39" t="str">
        <x:v>2026-08-05T08:50:00</x:v>
      </x:c>
      <x:c r="D5525" s="47" t="n">
        <x:v>15</x:v>
      </x:c>
      <x:c r="E5525" s="40" t="n">
        <x:v>18.6</x:v>
      </x:c>
      <x:c r="F5525" s="40" t="n">
        <x:v>17.43622589111328</x:v>
      </x:c>
      <x:c r="G5525" s="40" t="n">
        <x:v>18.7</x:v>
      </x:c>
      <x:c r="H5525" s="40" t="n">
        <x:f>F5525-E5525</x:f>
        <x:v>-1.1637741088867202</x:v>
      </x:c>
      <x:c r="I5525" s="40" t="n">
        <x:f>ABS(H5525)</x:f>
        <x:v>1.1637741088867202</x:v>
      </x:c>
      <x:c r="J5525" s="40" t="n">
        <x:f>H5525^2</x:f>
        <x:v>1.3543701765150795</x:v>
      </x:c>
      <x:c r="K5525" s="40" t="n">
        <x:f>G5525-E5525</x:f>
        <x:v>0.09999999999999787</x:v>
      </x:c>
      <x:c r="L5525" s="40" t="n">
        <x:f>ABS(K5525)</x:f>
        <x:v>0.09999999999999787</x:v>
      </x:c>
      <x:c r="M5525" s="41" t="str">
        <x:v>lstm-soil-v1</x:v>
      </x:c>
    </x:row>
    <x:row r="5526">
      <x:c r="A5526" s="38" t="str">
        <x:v>7月30日现场数据</x:v>
      </x:c>
      <x:c r="B5526" s="39" t="str">
        <x:v>2026-08-05T08:35:00</x:v>
      </x:c>
      <x:c r="C5526" s="39" t="str">
        <x:v>2026-08-05T09:05:00</x:v>
      </x:c>
      <x:c r="D5526" s="47" t="n">
        <x:v>30</x:v>
      </x:c>
      <x:c r="E5526" s="40" t="n">
        <x:v>18.6</x:v>
      </x:c>
      <x:c r="F5526" s="40" t="n">
        <x:v>17.877025604248047</x:v>
      </x:c>
      <x:c r="G5526" s="40" t="n">
        <x:v>18.7</x:v>
      </x:c>
      <x:c r="H5526" s="40" t="n">
        <x:f>F5526-E5526</x:f>
        <x:v>-0.7229743957519545</x:v>
      </x:c>
      <x:c r="I5526" s="40" t="n">
        <x:f>ABS(H5526)</x:f>
        <x:v>0.7229743957519545</x:v>
      </x:c>
      <x:c r="J5526" s="40" t="n">
        <x:f>H5526^2</x:f>
        <x:v>0.5226919769129038</x:v>
      </x:c>
      <x:c r="K5526" s="40" t="n">
        <x:f>G5526-E5526</x:f>
        <x:v>0.09999999999999787</x:v>
      </x:c>
      <x:c r="L5526" s="40" t="n">
        <x:f>ABS(K5526)</x:f>
        <x:v>0.09999999999999787</x:v>
      </x:c>
      <x:c r="M5526" s="41" t="str">
        <x:v>lstm-soil-v1</x:v>
      </x:c>
    </x:row>
    <x:row r="5527">
      <x:c r="A5527" s="38" t="str">
        <x:v>7月30日现场数据</x:v>
      </x:c>
      <x:c r="B5527" s="39" t="str">
        <x:v>2026-08-05T08:35:00</x:v>
      </x:c>
      <x:c r="C5527" s="39" t="str">
        <x:v>2026-08-05T09:35:00</x:v>
      </x:c>
      <x:c r="D5527" s="47" t="n">
        <x:v>60</x:v>
      </x:c>
      <x:c r="E5527" s="40" t="n">
        <x:v>18.6</x:v>
      </x:c>
      <x:c r="F5527" s="40" t="n">
        <x:v>19.540184020996094</x:v>
      </x:c>
      <x:c r="G5527" s="40" t="n">
        <x:v>18.7</x:v>
      </x:c>
      <x:c r="H5527" s="40" t="n">
        <x:f>F5527-E5527</x:f>
        <x:v>0.9401840209960923</x:v>
      </x:c>
      <x:c r="I5527" s="40" t="n">
        <x:f>ABS(H5527)</x:f>
        <x:v>0.9401840209960923</x:v>
      </x:c>
      <x:c r="J5527" s="40" t="n">
        <x:f>H5527^2</x:f>
        <x:v>0.8839459933363806</x:v>
      </x:c>
      <x:c r="K5527" s="40" t="n">
        <x:f>G5527-E5527</x:f>
        <x:v>0.09999999999999787</x:v>
      </x:c>
      <x:c r="L5527" s="40" t="n">
        <x:f>ABS(K5527)</x:f>
        <x:v>0.09999999999999787</x:v>
      </x:c>
      <x:c r="M5527" s="41" t="str">
        <x:v>lstm-soil-v1</x:v>
      </x:c>
    </x:row>
    <x:row r="5528">
      <x:c r="A5528" s="38" t="str">
        <x:v>7月30日现场数据</x:v>
      </x:c>
      <x:c r="B5528" s="39" t="str">
        <x:v>2026-08-05T08:40:00</x:v>
      </x:c>
      <x:c r="C5528" s="39" t="str">
        <x:v>2026-08-05T08:45:00</x:v>
      </x:c>
      <x:c r="D5528" s="47" t="n">
        <x:v>5</x:v>
      </x:c>
      <x:c r="E5528" s="40" t="n">
        <x:v>18.7</x:v>
      </x:c>
      <x:c r="F5528" s="40" t="n">
        <x:v>17.401050567626953</x:v>
      </x:c>
      <x:c r="G5528" s="40" t="n">
        <x:v>18.7</x:v>
      </x:c>
      <x:c r="H5528" s="40" t="n">
        <x:f>F5528-E5528</x:f>
        <x:v>-1.2989494323730462</x:v>
      </x:c>
      <x:c r="I5528" s="40" t="n">
        <x:f>ABS(H5528)</x:f>
        <x:v>1.2989494323730462</x:v>
      </x:c>
      <x:c r="J5528" s="40" t="n">
        <x:f>H5528^2</x:f>
        <x:v>1.6872696278622588</x:v>
      </x:c>
      <x:c r="K5528" s="40" t="n">
        <x:f>G5528-E5528</x:f>
        <x:v>0</x:v>
      </x:c>
      <x:c r="L5528" s="40" t="n">
        <x:f>ABS(K5528)</x:f>
        <x:v>0</x:v>
      </x:c>
      <x:c r="M5528" s="41" t="str">
        <x:v>lstm-soil-v1</x:v>
      </x:c>
    </x:row>
    <x:row r="5529">
      <x:c r="A5529" s="38" t="str">
        <x:v>7月30日现场数据</x:v>
      </x:c>
      <x:c r="B5529" s="39" t="str">
        <x:v>2026-08-05T08:40:00</x:v>
      </x:c>
      <x:c r="C5529" s="39" t="str">
        <x:v>2026-08-05T08:55:00</x:v>
      </x:c>
      <x:c r="D5529" s="47" t="n">
        <x:v>15</x:v>
      </x:c>
      <x:c r="E5529" s="40" t="n">
        <x:v>18.7</x:v>
      </x:c>
      <x:c r="F5529" s="40" t="n">
        <x:v>17.442127227783203</x:v>
      </x:c>
      <x:c r="G5529" s="40" t="n">
        <x:v>18.7</x:v>
      </x:c>
      <x:c r="H5529" s="40" t="n">
        <x:f>F5529-E5529</x:f>
        <x:v>-1.2578727722167962</x:v>
      </x:c>
      <x:c r="I5529" s="40" t="n">
        <x:f>ABS(H5529)</x:f>
        <x:v>1.2578727722167962</x:v>
      </x:c>
      <x:c r="J5529" s="40" t="n">
        <x:f>H5529^2</x:f>
        <x:v>1.582243911084368</x:v>
      </x:c>
      <x:c r="K5529" s="40" t="n">
        <x:f>G5529-E5529</x:f>
        <x:v>0</x:v>
      </x:c>
      <x:c r="L5529" s="40" t="n">
        <x:f>ABS(K5529)</x:f>
        <x:v>0</x:v>
      </x:c>
      <x:c r="M5529" s="41" t="str">
        <x:v>lstm-soil-v1</x:v>
      </x:c>
    </x:row>
    <x:row r="5530">
      <x:c r="A5530" s="38" t="str">
        <x:v>7月30日现场数据</x:v>
      </x:c>
      <x:c r="B5530" s="39" t="str">
        <x:v>2026-08-05T08:40:00</x:v>
      </x:c>
      <x:c r="C5530" s="39" t="str">
        <x:v>2026-08-05T09:10:00</x:v>
      </x:c>
      <x:c r="D5530" s="47" t="n">
        <x:v>30</x:v>
      </x:c>
      <x:c r="E5530" s="40" t="n">
        <x:v>18.6</x:v>
      </x:c>
      <x:c r="F5530" s="40" t="n">
        <x:v>17.885608673095703</x:v>
      </x:c>
      <x:c r="G5530" s="40" t="n">
        <x:v>18.7</x:v>
      </x:c>
      <x:c r="H5530" s="40" t="n">
        <x:f>F5530-E5530</x:f>
        <x:v>-0.7143913269042983</x:v>
      </x:c>
      <x:c r="I5530" s="40" t="n">
        <x:f>ABS(H5530)</x:f>
        <x:v>0.7143913269042983</x:v>
      </x:c>
      <x:c r="J5530" s="40" t="n">
        <x:f>H5530^2</x:f>
        <x:v>0.510354967956084</x:v>
      </x:c>
      <x:c r="K5530" s="40" t="n">
        <x:f>G5530-E5530</x:f>
        <x:v>0.09999999999999787</x:v>
      </x:c>
      <x:c r="L5530" s="40" t="n">
        <x:f>ABS(K5530)</x:f>
        <x:v>0.09999999999999787</x:v>
      </x:c>
      <x:c r="M5530" s="41" t="str">
        <x:v>lstm-soil-v1</x:v>
      </x:c>
    </x:row>
    <x:row r="5531">
      <x:c r="A5531" s="38" t="str">
        <x:v>7月30日现场数据</x:v>
      </x:c>
      <x:c r="B5531" s="39" t="str">
        <x:v>2026-08-05T08:40:00</x:v>
      </x:c>
      <x:c r="C5531" s="39" t="str">
        <x:v>2026-08-05T09:40:00</x:v>
      </x:c>
      <x:c r="D5531" s="47" t="n">
        <x:v>60</x:v>
      </x:c>
      <x:c r="E5531" s="40" t="n">
        <x:v>18.5</x:v>
      </x:c>
      <x:c r="F5531" s="40" t="n">
        <x:v>19.546630859375</x:v>
      </x:c>
      <x:c r="G5531" s="40" t="n">
        <x:v>18.7</x:v>
      </x:c>
      <x:c r="H5531" s="40" t="n">
        <x:f>F5531-E5531</x:f>
        <x:v>1.046630859375</x:v>
      </x:c>
      <x:c r="I5531" s="40" t="n">
        <x:f>ABS(H5531)</x:f>
        <x:v>1.046630859375</x:v>
      </x:c>
      <x:c r="J5531" s="40" t="n">
        <x:f>H5531^2</x:f>
        <x:v>1.095436155796051</x:v>
      </x:c>
      <x:c r="K5531" s="40" t="n">
        <x:f>G5531-E5531</x:f>
        <x:v>0.1999999999999993</x:v>
      </x:c>
      <x:c r="L5531" s="40" t="n">
        <x:f>ABS(K5531)</x:f>
        <x:v>0.1999999999999993</x:v>
      </x:c>
      <x:c r="M5531" s="41" t="str">
        <x:v>lstm-soil-v1</x:v>
      </x:c>
    </x:row>
    <x:row r="5532">
      <x:c r="A5532" s="38" t="str">
        <x:v>7月30日现场数据</x:v>
      </x:c>
      <x:c r="B5532" s="39" t="str">
        <x:v>2026-08-05T08:45:00</x:v>
      </x:c>
      <x:c r="C5532" s="39" t="str">
        <x:v>2026-08-05T08:50:00</x:v>
      </x:c>
      <x:c r="D5532" s="47" t="n">
        <x:v>5</x:v>
      </x:c>
      <x:c r="E5532" s="40" t="n">
        <x:v>18.6</x:v>
      </x:c>
      <x:c r="F5532" s="40" t="n">
        <x:v>17.39633560180664</x:v>
      </x:c>
      <x:c r="G5532" s="40" t="n">
        <x:v>18.7</x:v>
      </x:c>
      <x:c r="H5532" s="40" t="n">
        <x:f>F5532-E5532</x:f>
        <x:v>-1.2036643981933608</x:v>
      </x:c>
      <x:c r="I5532" s="40" t="n">
        <x:f>ABS(H5532)</x:f>
        <x:v>1.2036643981933608</x:v>
      </x:c>
      <x:c r="J5532" s="40" t="n">
        <x:f>H5532^2</x:f>
        <x:v>1.4488079834781855</x:v>
      </x:c>
      <x:c r="K5532" s="40" t="n">
        <x:f>G5532-E5532</x:f>
        <x:v>0.09999999999999787</x:v>
      </x:c>
      <x:c r="L5532" s="40" t="n">
        <x:f>ABS(K5532)</x:f>
        <x:v>0.09999999999999787</x:v>
      </x:c>
      <x:c r="M5532" s="41" t="str">
        <x:v>lstm-soil-v1</x:v>
      </x:c>
    </x:row>
    <x:row r="5533">
      <x:c r="A5533" s="38" t="str">
        <x:v>7月30日现场数据</x:v>
      </x:c>
      <x:c r="B5533" s="39" t="str">
        <x:v>2026-08-05T08:45:00</x:v>
      </x:c>
      <x:c r="C5533" s="39" t="str">
        <x:v>2026-08-05T09:00:00</x:v>
      </x:c>
      <x:c r="D5533" s="47" t="n">
        <x:v>15</x:v>
      </x:c>
      <x:c r="E5533" s="40" t="n">
        <x:v>18.6</x:v>
      </x:c>
      <x:c r="F5533" s="40" t="n">
        <x:v>17.444744110107422</x:v>
      </x:c>
      <x:c r="G5533" s="40" t="n">
        <x:v>18.7</x:v>
      </x:c>
      <x:c r="H5533" s="40" t="n">
        <x:f>F5533-E5533</x:f>
        <x:v>-1.1552558898925795</x:v>
      </x:c>
      <x:c r="I5533" s="40" t="n">
        <x:f>ABS(H5533)</x:f>
        <x:v>1.1552558898925795</x:v>
      </x:c>
      <x:c r="J5533" s="40" t="n">
        <x:f>H5533^2</x:f>
        <x:v>1.3346161711314959</x:v>
      </x:c>
      <x:c r="K5533" s="40" t="n">
        <x:f>G5533-E5533</x:f>
        <x:v>0.09999999999999787</x:v>
      </x:c>
      <x:c r="L5533" s="40" t="n">
        <x:f>ABS(K5533)</x:f>
        <x:v>0.09999999999999787</x:v>
      </x:c>
      <x:c r="M5533" s="41" t="str">
        <x:v>lstm-soil-v1</x:v>
      </x:c>
    </x:row>
    <x:row r="5534">
      <x:c r="A5534" s="38" t="str">
        <x:v>7月30日现场数据</x:v>
      </x:c>
      <x:c r="B5534" s="39" t="str">
        <x:v>2026-08-05T08:45:00</x:v>
      </x:c>
      <x:c r="C5534" s="39" t="str">
        <x:v>2026-08-05T09:15:00</x:v>
      </x:c>
      <x:c r="D5534" s="47" t="n">
        <x:v>30</x:v>
      </x:c>
      <x:c r="E5534" s="40" t="n">
        <x:v>18.5</x:v>
      </x:c>
      <x:c r="F5534" s="40" t="n">
        <x:v>17.882366180419922</x:v>
      </x:c>
      <x:c r="G5534" s="40" t="n">
        <x:v>18.7</x:v>
      </x:c>
      <x:c r="H5534" s="40" t="n">
        <x:f>F5534-E5534</x:f>
        <x:v>-0.6176338195800781</x:v>
      </x:c>
      <x:c r="I5534" s="40" t="n">
        <x:f>ABS(H5534)</x:f>
        <x:v>0.6176338195800781</x:v>
      </x:c>
      <x:c r="J5534" s="40" t="n">
        <x:f>H5534^2</x:f>
        <x:v>0.3814715350890765</x:v>
      </x:c>
      <x:c r="K5534" s="40" t="n">
        <x:f>G5534-E5534</x:f>
        <x:v>0.1999999999999993</x:v>
      </x:c>
      <x:c r="L5534" s="40" t="n">
        <x:f>ABS(K5534)</x:f>
        <x:v>0.1999999999999993</x:v>
      </x:c>
      <x:c r="M5534" s="41" t="str">
        <x:v>lstm-soil-v1</x:v>
      </x:c>
    </x:row>
    <x:row r="5535">
      <x:c r="A5535" s="38" t="str">
        <x:v>7月30日现场数据</x:v>
      </x:c>
      <x:c r="B5535" s="39" t="str">
        <x:v>2026-08-05T08:45:00</x:v>
      </x:c>
      <x:c r="C5535" s="39" t="str">
        <x:v>2026-08-05T09:45:00</x:v>
      </x:c>
      <x:c r="D5535" s="47" t="n">
        <x:v>60</x:v>
      </x:c>
      <x:c r="E5535" s="40" t="n">
        <x:v>18.5</x:v>
      </x:c>
      <x:c r="F5535" s="40" t="n">
        <x:v>19.539634704589844</x:v>
      </x:c>
      <x:c r="G5535" s="40" t="n">
        <x:v>18.7</x:v>
      </x:c>
      <x:c r="H5535" s="40" t="n">
        <x:f>F5535-E5535</x:f>
        <x:v>1.0396347045898438</x:v>
      </x:c>
      <x:c r="I5535" s="40" t="n">
        <x:f>ABS(H5535)</x:f>
        <x:v>1.0396347045898438</x:v>
      </x:c>
      <x:c r="J5535" s="40" t="n">
        <x:f>H5535^2</x:f>
        <x:v>1.0808403189876117</x:v>
      </x:c>
      <x:c r="K5535" s="40" t="n">
        <x:f>G5535-E5535</x:f>
        <x:v>0.1999999999999993</x:v>
      </x:c>
      <x:c r="L5535" s="40" t="n">
        <x:f>ABS(K5535)</x:f>
        <x:v>0.1999999999999993</x:v>
      </x:c>
      <x:c r="M5535" s="41" t="str">
        <x:v>lstm-soil-v1</x:v>
      </x:c>
    </x:row>
    <x:row r="5536">
      <x:c r="A5536" s="38" t="str">
        <x:v>7月30日现场数据</x:v>
      </x:c>
      <x:c r="B5536" s="39" t="str">
        <x:v>2026-08-05T08:50:00</x:v>
      </x:c>
      <x:c r="C5536" s="39" t="str">
        <x:v>2026-08-05T08:55:00</x:v>
      </x:c>
      <x:c r="D5536" s="47" t="n">
        <x:v>5</x:v>
      </x:c>
      <x:c r="E5536" s="40" t="n">
        <x:v>18.7</x:v>
      </x:c>
      <x:c r="F5536" s="40" t="n">
        <x:v>17.292022705078125</x:v>
      </x:c>
      <x:c r="G5536" s="40" t="n">
        <x:v>18.6</x:v>
      </x:c>
      <x:c r="H5536" s="40" t="n">
        <x:f>F5536-E5536</x:f>
        <x:v>-1.4079772949218743</x:v>
      </x:c>
      <x:c r="I5536" s="40" t="n">
        <x:f>ABS(H5536)</x:f>
        <x:v>1.4079772949218743</x:v>
      </x:c>
      <x:c r="J5536" s="40" t="n">
        <x:f>H5536^2</x:f>
        <x:v>1.9824000630155185</x:v>
      </x:c>
      <x:c r="K5536" s="40" t="n">
        <x:f>G5536-E5536</x:f>
        <x:v>-0.09999999999999787</x:v>
      </x:c>
      <x:c r="L5536" s="40" t="n">
        <x:f>ABS(K5536)</x:f>
        <x:v>0.09999999999999787</x:v>
      </x:c>
      <x:c r="M5536" s="41" t="str">
        <x:v>lstm-soil-v1</x:v>
      </x:c>
    </x:row>
    <x:row r="5537">
      <x:c r="A5537" s="38" t="str">
        <x:v>7月30日现场数据</x:v>
      </x:c>
      <x:c r="B5537" s="39" t="str">
        <x:v>2026-08-05T08:50:00</x:v>
      </x:c>
      <x:c r="C5537" s="39" t="str">
        <x:v>2026-08-05T09:05:00</x:v>
      </x:c>
      <x:c r="D5537" s="47" t="n">
        <x:v>15</x:v>
      </x:c>
      <x:c r="E5537" s="40" t="n">
        <x:v>18.6</x:v>
      </x:c>
      <x:c r="F5537" s="40" t="n">
        <x:v>17.335247039794922</x:v>
      </x:c>
      <x:c r="G5537" s="40" t="n">
        <x:v>18.6</x:v>
      </x:c>
      <x:c r="H5537" s="40" t="n">
        <x:f>F5537-E5537</x:f>
        <x:v>-1.2647529602050795</x:v>
      </x:c>
      <x:c r="I5537" s="40" t="n">
        <x:f>ABS(H5537)</x:f>
        <x:v>1.2647529602050795</x:v>
      </x:c>
      <x:c r="J5537" s="40" t="n">
        <x:f>H5537^2</x:f>
        <x:v>1.5996000503475116</x:v>
      </x:c>
      <x:c r="K5537" s="40" t="n">
        <x:f>G5537-E5537</x:f>
        <x:v>0</x:v>
      </x:c>
      <x:c r="L5537" s="40" t="n">
        <x:f>ABS(K5537)</x:f>
        <x:v>0</x:v>
      </x:c>
      <x:c r="M5537" s="41" t="str">
        <x:v>lstm-soil-v1</x:v>
      </x:c>
    </x:row>
    <x:row r="5538">
      <x:c r="A5538" s="38" t="str">
        <x:v>7月30日现场数据</x:v>
      </x:c>
      <x:c r="B5538" s="39" t="str">
        <x:v>2026-08-05T08:50:00</x:v>
      </x:c>
      <x:c r="C5538" s="39" t="str">
        <x:v>2026-08-05T09:20:00</x:v>
      </x:c>
      <x:c r="D5538" s="47" t="n">
        <x:v>30</x:v>
      </x:c>
      <x:c r="E5538" s="40" t="n">
        <x:v>18.6</x:v>
      </x:c>
      <x:c r="F5538" s="40" t="n">
        <x:v>17.77768325805664</x:v>
      </x:c>
      <x:c r="G5538" s="40" t="n">
        <x:v>18.6</x:v>
      </x:c>
      <x:c r="H5538" s="40" t="n">
        <x:f>F5538-E5538</x:f>
        <x:v>-0.8223167419433608</x:v>
      </x:c>
      <x:c r="I5538" s="40" t="n">
        <x:f>ABS(H5538)</x:f>
        <x:v>0.8223167419433608</x:v>
      </x:c>
      <x:c r="J5538" s="40" t="n">
        <x:f>H5538^2</x:f>
        <x:v>0.6762048240803439</x:v>
      </x:c>
      <x:c r="K5538" s="40" t="n">
        <x:f>G5538-E5538</x:f>
        <x:v>0</x:v>
      </x:c>
      <x:c r="L5538" s="40" t="n">
        <x:f>ABS(K5538)</x:f>
        <x:v>0</x:v>
      </x:c>
      <x:c r="M5538" s="41" t="str">
        <x:v>lstm-soil-v1</x:v>
      </x:c>
    </x:row>
    <x:row r="5539">
      <x:c r="A5539" s="38" t="str">
        <x:v>7月30日现场数据</x:v>
      </x:c>
      <x:c r="B5539" s="39" t="str">
        <x:v>2026-08-05T08:50:00</x:v>
      </x:c>
      <x:c r="C5539" s="39" t="str">
        <x:v>2026-08-05T09:50:00</x:v>
      </x:c>
      <x:c r="D5539" s="47" t="n">
        <x:v>60</x:v>
      </x:c>
      <x:c r="E5539" s="40" t="n">
        <x:v>18.5</x:v>
      </x:c>
      <x:c r="F5539" s="40" t="n">
        <x:v>19.440227508544922</x:v>
      </x:c>
      <x:c r="G5539" s="40" t="n">
        <x:v>18.6</x:v>
      </x:c>
      <x:c r="H5539" s="40" t="n">
        <x:f>F5539-E5539</x:f>
        <x:v>0.9402275085449219</x:v>
      </x:c>
      <x:c r="I5539" s="40" t="n">
        <x:f>ABS(H5539)</x:f>
        <x:v>0.9402275085449219</x:v>
      </x:c>
      <x:c r="J5539" s="40" t="n">
        <x:f>H5539^2</x:f>
        <x:v>0.8840277678245911</x:v>
      </x:c>
      <x:c r="K5539" s="40" t="n">
        <x:f>G5539-E5539</x:f>
        <x:v>0.10000000000000142</x:v>
      </x:c>
      <x:c r="L5539" s="40" t="n">
        <x:f>ABS(K5539)</x:f>
        <x:v>0.10000000000000142</x:v>
      </x:c>
      <x:c r="M5539" s="41" t="str">
        <x:v>lstm-soil-v1</x:v>
      </x:c>
    </x:row>
    <x:row r="5540">
      <x:c r="A5540" s="38" t="str">
        <x:v>7月30日现场数据</x:v>
      </x:c>
      <x:c r="B5540" s="39" t="str">
        <x:v>2026-08-05T08:55:00</x:v>
      </x:c>
      <x:c r="C5540" s="39" t="str">
        <x:v>2026-08-05T09:00:00</x:v>
      </x:c>
      <x:c r="D5540" s="47" t="n">
        <x:v>5</x:v>
      </x:c>
      <x:c r="E5540" s="40" t="n">
        <x:v>18.6</x:v>
      </x:c>
      <x:c r="F5540" s="40" t="n">
        <x:v>17.393451690673828</x:v>
      </x:c>
      <x:c r="G5540" s="40" t="n">
        <x:v>18.7</x:v>
      </x:c>
      <x:c r="H5540" s="40" t="n">
        <x:f>F5540-E5540</x:f>
        <x:v>-1.2065483093261733</x:v>
      </x:c>
      <x:c r="I5540" s="40" t="n">
        <x:f>ABS(H5540)</x:f>
        <x:v>1.2065483093261733</x:v>
      </x:c>
      <x:c r="J5540" s="40" t="n">
        <x:f>H5540^2</x:f>
        <x:v>1.455758822737847</x:v>
      </x:c>
      <x:c r="K5540" s="40" t="n">
        <x:f>G5540-E5540</x:f>
        <x:v>0.09999999999999787</x:v>
      </x:c>
      <x:c r="L5540" s="40" t="n">
        <x:f>ABS(K5540)</x:f>
        <x:v>0.09999999999999787</x:v>
      </x:c>
      <x:c r="M5540" s="41" t="str">
        <x:v>lstm-soil-v1</x:v>
      </x:c>
    </x:row>
    <x:row r="5541">
      <x:c r="A5541" s="38" t="str">
        <x:v>7月30日现场数据</x:v>
      </x:c>
      <x:c r="B5541" s="39" t="str">
        <x:v>2026-08-05T08:55:00</x:v>
      </x:c>
      <x:c r="C5541" s="39" t="str">
        <x:v>2026-08-05T09:10:00</x:v>
      </x:c>
      <x:c r="D5541" s="47" t="n">
        <x:v>15</x:v>
      </x:c>
      <x:c r="E5541" s="40" t="n">
        <x:v>18.6</x:v>
      </x:c>
      <x:c r="F5541" s="40" t="n">
        <x:v>17.44845199584961</x:v>
      </x:c>
      <x:c r="G5541" s="40" t="n">
        <x:v>18.7</x:v>
      </x:c>
      <x:c r="H5541" s="40" t="n">
        <x:f>F5541-E5541</x:f>
        <x:v>-1.151548004150392</x:v>
      </x:c>
      <x:c r="I5541" s="40" t="n">
        <x:f>ABS(H5541)</x:f>
        <x:v>1.151548004150392</x:v>
      </x:c>
      <x:c r="J5541" s="40" t="n">
        <x:f>H5541^2</x:f>
        <x:v>1.3260628058627513</x:v>
      </x:c>
      <x:c r="K5541" s="40" t="n">
        <x:f>G5541-E5541</x:f>
        <x:v>0.09999999999999787</x:v>
      </x:c>
      <x:c r="L5541" s="40" t="n">
        <x:f>ABS(K5541)</x:f>
        <x:v>0.09999999999999787</x:v>
      </x:c>
      <x:c r="M5541" s="41" t="str">
        <x:v>lstm-soil-v1</x:v>
      </x:c>
    </x:row>
    <x:row r="5542">
      <x:c r="A5542" s="38" t="str">
        <x:v>7月30日现场数据</x:v>
      </x:c>
      <x:c r="B5542" s="39" t="str">
        <x:v>2026-08-05T08:55:00</x:v>
      </x:c>
      <x:c r="C5542" s="39" t="str">
        <x:v>2026-08-05T09:25:00</x:v>
      </x:c>
      <x:c r="D5542" s="47" t="n">
        <x:v>30</x:v>
      </x:c>
      <x:c r="E5542" s="40" t="n">
        <x:v>18.6</x:v>
      </x:c>
      <x:c r="F5542" s="40" t="n">
        <x:v>17.881839752197266</x:v>
      </x:c>
      <x:c r="G5542" s="40" t="n">
        <x:v>18.7</x:v>
      </x:c>
      <x:c r="H5542" s="40" t="n">
        <x:f>F5542-E5542</x:f>
        <x:v>-0.7181602478027358</x:v>
      </x:c>
      <x:c r="I5542" s="40" t="n">
        <x:f>ABS(H5542)</x:f>
        <x:v>0.7181602478027358</x:v>
      </x:c>
      <x:c r="J5542" s="40" t="n">
        <x:f>H5542^2</x:f>
        <x:v>0.5157541415240869</x:v>
      </x:c>
      <x:c r="K5542" s="40" t="n">
        <x:f>G5542-E5542</x:f>
        <x:v>0.09999999999999787</x:v>
      </x:c>
      <x:c r="L5542" s="40" t="n">
        <x:f>ABS(K5542)</x:f>
        <x:v>0.09999999999999787</x:v>
      </x:c>
      <x:c r="M5542" s="41" t="str">
        <x:v>lstm-soil-v1</x:v>
      </x:c>
    </x:row>
    <x:row r="5543">
      <x:c r="A5543" s="38" t="str">
        <x:v>7月30日现场数据</x:v>
      </x:c>
      <x:c r="B5543" s="39" t="str">
        <x:v>2026-08-05T08:55:00</x:v>
      </x:c>
      <x:c r="C5543" s="39" t="str">
        <x:v>2026-08-05T09:55:00</x:v>
      </x:c>
      <x:c r="D5543" s="47" t="n">
        <x:v>60</x:v>
      </x:c>
      <x:c r="E5543" s="40" t="n">
        <x:v>18.5</x:v>
      </x:c>
      <x:c r="F5543" s="40" t="n">
        <x:v>19.533252716064453</x:v>
      </x:c>
      <x:c r="G5543" s="40" t="n">
        <x:v>18.7</x:v>
      </x:c>
      <x:c r="H5543" s="40" t="n">
        <x:f>F5543-E5543</x:f>
        <x:v>1.0332527160644531</x:v>
      </x:c>
      <x:c r="I5543" s="40" t="n">
        <x:f>ABS(H5543)</x:f>
        <x:v>1.0332527160644531</x:v>
      </x:c>
      <x:c r="J5543" s="40" t="n">
        <x:f>H5543^2</x:f>
        <x:v>1.0676111752545694</x:v>
      </x:c>
      <x:c r="K5543" s="40" t="n">
        <x:f>G5543-E5543</x:f>
        <x:v>0.1999999999999993</x:v>
      </x:c>
      <x:c r="L5543" s="40" t="n">
        <x:f>ABS(K5543)</x:f>
        <x:v>0.1999999999999993</x:v>
      </x:c>
      <x:c r="M5543" s="41" t="str">
        <x:v>lstm-soil-v1</x:v>
      </x:c>
    </x:row>
    <x:row r="5544">
      <x:c r="A5544" s="38" t="str">
        <x:v>7月30日现场数据</x:v>
      </x:c>
      <x:c r="B5544" s="39" t="str">
        <x:v>2026-08-05T09:00:00</x:v>
      </x:c>
      <x:c r="C5544" s="39" t="str">
        <x:v>2026-08-05T09:05:00</x:v>
      </x:c>
      <x:c r="D5544" s="47" t="n">
        <x:v>5</x:v>
      </x:c>
      <x:c r="E5544" s="40" t="n">
        <x:v>18.6</x:v>
      </x:c>
      <x:c r="F5544" s="40" t="n">
        <x:v>17.296463012695312</x:v>
      </x:c>
      <x:c r="G5544" s="40" t="n">
        <x:v>18.6</x:v>
      </x:c>
      <x:c r="H5544" s="40" t="n">
        <x:f>F5544-E5544</x:f>
        <x:v>-1.303536987304689</x:v>
      </x:c>
      <x:c r="I5544" s="40" t="n">
        <x:f>ABS(H5544)</x:f>
        <x:v>1.303536987304689</x:v>
      </x:c>
      <x:c r="J5544" s="40" t="n">
        <x:f>H5544^2</x:f>
        <x:v>1.6992086772713848</x:v>
      </x:c>
      <x:c r="K5544" s="40" t="n">
        <x:f>G5544-E5544</x:f>
        <x:v>0</x:v>
      </x:c>
      <x:c r="L5544" s="40" t="n">
        <x:f>ABS(K5544)</x:f>
        <x:v>0</x:v>
      </x:c>
      <x:c r="M5544" s="41" t="str">
        <x:v>lstm-soil-v1</x:v>
      </x:c>
    </x:row>
    <x:row r="5545">
      <x:c r="A5545" s="38" t="str">
        <x:v>7月30日现场数据</x:v>
      </x:c>
      <x:c r="B5545" s="39" t="str">
        <x:v>2026-08-05T09:00:00</x:v>
      </x:c>
      <x:c r="C5545" s="39" t="str">
        <x:v>2026-08-05T09:15:00</x:v>
      </x:c>
      <x:c r="D5545" s="47" t="n">
        <x:v>15</x:v>
      </x:c>
      <x:c r="E5545" s="40" t="n">
        <x:v>18.5</x:v>
      </x:c>
      <x:c r="F5545" s="40" t="n">
        <x:v>17.339317321777344</x:v>
      </x:c>
      <x:c r="G5545" s="40" t="n">
        <x:v>18.6</x:v>
      </x:c>
      <x:c r="H5545" s="40" t="n">
        <x:f>F5545-E5545</x:f>
        <x:v>-1.1606826782226562</x:v>
      </x:c>
      <x:c r="I5545" s="40" t="n">
        <x:f>ABS(H5545)</x:f>
        <x:v>1.1606826782226562</x:v>
      </x:c>
      <x:c r="J5545" s="40" t="n">
        <x:f>H5545^2</x:f>
        <x:v>1.3471842795261182</x:v>
      </x:c>
      <x:c r="K5545" s="40" t="n">
        <x:f>G5545-E5545</x:f>
        <x:v>0.10000000000000142</x:v>
      </x:c>
      <x:c r="L5545" s="40" t="n">
        <x:f>ABS(K5545)</x:f>
        <x:v>0.10000000000000142</x:v>
      </x:c>
      <x:c r="M5545" s="41" t="str">
        <x:v>lstm-soil-v1</x:v>
      </x:c>
    </x:row>
    <x:row r="5546">
      <x:c r="A5546" s="38" t="str">
        <x:v>7月30日现场数据</x:v>
      </x:c>
      <x:c r="B5546" s="39" t="str">
        <x:v>2026-08-05T09:00:00</x:v>
      </x:c>
      <x:c r="C5546" s="39" t="str">
        <x:v>2026-08-05T09:30:00</x:v>
      </x:c>
      <x:c r="D5546" s="47" t="n">
        <x:v>30</x:v>
      </x:c>
      <x:c r="E5546" s="40" t="n">
        <x:v>18.6</x:v>
      </x:c>
      <x:c r="F5546" s="40" t="n">
        <x:v>17.785266876220703</x:v>
      </x:c>
      <x:c r="G5546" s="40" t="n">
        <x:v>18.6</x:v>
      </x:c>
      <x:c r="H5546" s="40" t="n">
        <x:f>F5546-E5546</x:f>
        <x:v>-0.8147331237792983</x:v>
      </x:c>
      <x:c r="I5546" s="40" t="n">
        <x:f>ABS(H5546)</x:f>
        <x:v>0.8147331237792983</x:v>
      </x:c>
      <x:c r="J5546" s="40" t="n">
        <x:f>H5546^2</x:f>
        <x:v>0.6637900629831734</x:v>
      </x:c>
      <x:c r="K5546" s="40" t="n">
        <x:f>G5546-E5546</x:f>
        <x:v>0</x:v>
      </x:c>
      <x:c r="L5546" s="40" t="n">
        <x:f>ABS(K5546)</x:f>
        <x:v>0</x:v>
      </x:c>
      <x:c r="M5546" s="41" t="str">
        <x:v>lstm-soil-v1</x:v>
      </x:c>
    </x:row>
    <x:row r="5547">
      <x:c r="A5547" s="38" t="str">
        <x:v>7月30日现场数据</x:v>
      </x:c>
      <x:c r="B5547" s="39" t="str">
        <x:v>2026-08-05T09:00:00</x:v>
      </x:c>
      <x:c r="C5547" s="39" t="str">
        <x:v>2026-08-05T10:00:00</x:v>
      </x:c>
      <x:c r="D5547" s="47" t="n">
        <x:v>60</x:v>
      </x:c>
      <x:c r="E5547" s="40" t="n">
        <x:v>18.5</x:v>
      </x:c>
      <x:c r="F5547" s="40" t="n">
        <x:v>19.45366668701172</x:v>
      </x:c>
      <x:c r="G5547" s="40" t="n">
        <x:v>18.6</x:v>
      </x:c>
      <x:c r="H5547" s="40" t="n">
        <x:f>F5547-E5547</x:f>
        <x:v>0.9536666870117188</x:v>
      </x:c>
      <x:c r="I5547" s="40" t="n">
        <x:f>ABS(H5547)</x:f>
        <x:v>0.9536666870117188</x:v>
      </x:c>
      <x:c r="J5547" s="40" t="n">
        <x:f>H5547^2</x:f>
        <x:v>0.9094801499159075</x:v>
      </x:c>
      <x:c r="K5547" s="40" t="n">
        <x:f>G5547-E5547</x:f>
        <x:v>0.10000000000000142</x:v>
      </x:c>
      <x:c r="L5547" s="40" t="n">
        <x:f>ABS(K5547)</x:f>
        <x:v>0.10000000000000142</x:v>
      </x:c>
      <x:c r="M5547" s="41" t="str">
        <x:v>lstm-soil-v1</x:v>
      </x:c>
    </x:row>
    <x:row r="5548">
      <x:c r="A5548" s="38" t="str">
        <x:v>7月30日现场数据</x:v>
      </x:c>
      <x:c r="B5548" s="39" t="str">
        <x:v>2026-08-05T09:05:00</x:v>
      </x:c>
      <x:c r="C5548" s="39" t="str">
        <x:v>2026-08-05T09:10:00</x:v>
      </x:c>
      <x:c r="D5548" s="47" t="n">
        <x:v>5</x:v>
      </x:c>
      <x:c r="E5548" s="40" t="n">
        <x:v>18.6</x:v>
      </x:c>
      <x:c r="F5548" s="40" t="n">
        <x:v>17.309005737304688</x:v>
      </x:c>
      <x:c r="G5548" s="40" t="n">
        <x:v>18.6</x:v>
      </x:c>
      <x:c r="H5548" s="40" t="n">
        <x:f>F5548-E5548</x:f>
        <x:v>-1.290994262695314</x:v>
      </x:c>
      <x:c r="I5548" s="40" t="n">
        <x:f>ABS(H5548)</x:f>
        <x:v>1.290994262695314</x:v>
      </x:c>
      <x:c r="J5548" s="40" t="n">
        <x:f>H5548^2</x:f>
        <x:v>1.6666661863122172</x:v>
      </x:c>
      <x:c r="K5548" s="40" t="n">
        <x:f>G5548-E5548</x:f>
        <x:v>0</x:v>
      </x:c>
      <x:c r="L5548" s="40" t="n">
        <x:f>ABS(K5548)</x:f>
        <x:v>0</x:v>
      </x:c>
      <x:c r="M5548" s="41" t="str">
        <x:v>lstm-soil-v1</x:v>
      </x:c>
    </x:row>
    <x:row r="5549">
      <x:c r="A5549" s="38" t="str">
        <x:v>7月30日现场数据</x:v>
      </x:c>
      <x:c r="B5549" s="39" t="str">
        <x:v>2026-08-05T09:05:00</x:v>
      </x:c>
      <x:c r="C5549" s="39" t="str">
        <x:v>2026-08-05T09:20:00</x:v>
      </x:c>
      <x:c r="D5549" s="47" t="n">
        <x:v>15</x:v>
      </x:c>
      <x:c r="E5549" s="40" t="n">
        <x:v>18.6</x:v>
      </x:c>
      <x:c r="F5549" s="40" t="n">
        <x:v>17.348045349121094</x:v>
      </x:c>
      <x:c r="G5549" s="40" t="n">
        <x:v>18.6</x:v>
      </x:c>
      <x:c r="H5549" s="40" t="n">
        <x:f>F5549-E5549</x:f>
        <x:v>-1.2519546508789077</x:v>
      </x:c>
      <x:c r="I5549" s="40" t="n">
        <x:f>ABS(H5549)</x:f>
        <x:v>1.2519546508789077</x:v>
      </x:c>
      <x:c r="J5549" s="40" t="n">
        <x:f>H5549^2</x:f>
        <x:v>1.5673904478573275</x:v>
      </x:c>
      <x:c r="K5549" s="40" t="n">
        <x:f>G5549-E5549</x:f>
        <x:v>0</x:v>
      </x:c>
      <x:c r="L5549" s="40" t="n">
        <x:f>ABS(K5549)</x:f>
        <x:v>0</x:v>
      </x:c>
      <x:c r="M5549" s="41" t="str">
        <x:v>lstm-soil-v1</x:v>
      </x:c>
    </x:row>
    <x:row r="5550">
      <x:c r="A5550" s="38" t="str">
        <x:v>7月30日现场数据</x:v>
      </x:c>
      <x:c r="B5550" s="39" t="str">
        <x:v>2026-08-05T09:05:00</x:v>
      </x:c>
      <x:c r="C5550" s="39" t="str">
        <x:v>2026-08-05T09:35:00</x:v>
      </x:c>
      <x:c r="D5550" s="47" t="n">
        <x:v>30</x:v>
      </x:c>
      <x:c r="E5550" s="40" t="n">
        <x:v>18.6</x:v>
      </x:c>
      <x:c r="F5550" s="40" t="n">
        <x:v>17.805797576904297</x:v>
      </x:c>
      <x:c r="G5550" s="40" t="n">
        <x:v>18.6</x:v>
      </x:c>
      <x:c r="H5550" s="40" t="n">
        <x:f>F5550-E5550</x:f>
        <x:v>-0.7942024230957045</x:v>
      </x:c>
      <x:c r="I5550" s="40" t="n">
        <x:f>ABS(H5550)</x:f>
        <x:v>0.7942024230957045</x:v>
      </x:c>
      <x:c r="J5550" s="40" t="n">
        <x:f>H5550^2</x:f>
        <x:v>0.6307574888510885</x:v>
      </x:c>
      <x:c r="K5550" s="40" t="n">
        <x:f>G5550-E5550</x:f>
        <x:v>0</x:v>
      </x:c>
      <x:c r="L5550" s="40" t="n">
        <x:f>ABS(K5550)</x:f>
        <x:v>0</x:v>
      </x:c>
      <x:c r="M5550" s="41" t="str">
        <x:v>lstm-soil-v1</x:v>
      </x:c>
    </x:row>
    <x:row r="5551">
      <x:c r="A5551" s="38" t="str">
        <x:v>7月30日现场数据</x:v>
      </x:c>
      <x:c r="B5551" s="39" t="str">
        <x:v>2026-08-05T09:05:00</x:v>
      </x:c>
      <x:c r="C5551" s="39" t="str">
        <x:v>2026-08-05T10:05:00</x:v>
      </x:c>
      <x:c r="D5551" s="47" t="n">
        <x:v>60</x:v>
      </x:c>
      <x:c r="E5551" s="40" t="n">
        <x:v>18.4</x:v>
      </x:c>
      <x:c r="F5551" s="40" t="n">
        <x:v>19.484935760498047</x:v>
      </x:c>
      <x:c r="G5551" s="40" t="n">
        <x:v>18.6</x:v>
      </x:c>
      <x:c r="H5551" s="40" t="n">
        <x:f>F5551-E5551</x:f>
        <x:v>1.0849357604980483</x:v>
      </x:c>
      <x:c r="I5551" s="40" t="n">
        <x:f>ABS(H5551)</x:f>
        <x:v>1.0849357604980483</x:v>
      </x:c>
      <x:c r="J5551" s="40" t="n">
        <x:f>H5551^2</x:f>
        <x:v>1.1770856044074784</x:v>
      </x:c>
      <x:c r="K5551" s="40" t="n">
        <x:f>G5551-E5551</x:f>
        <x:v>0.20000000000000284</x:v>
      </x:c>
      <x:c r="L5551" s="40" t="n">
        <x:f>ABS(K5551)</x:f>
        <x:v>0.20000000000000284</x:v>
      </x:c>
      <x:c r="M5551" s="41" t="str">
        <x:v>lstm-soil-v1</x:v>
      </x:c>
    </x:row>
    <x:row r="5552">
      <x:c r="A5552" s="38" t="str">
        <x:v>7月30日现场数据</x:v>
      </x:c>
      <x:c r="B5552" s="39" t="str">
        <x:v>2026-08-05T09:10:00</x:v>
      </x:c>
      <x:c r="C5552" s="39" t="str">
        <x:v>2026-08-05T09:15:00</x:v>
      </x:c>
      <x:c r="D5552" s="47" t="n">
        <x:v>5</x:v>
      </x:c>
      <x:c r="E5552" s="40" t="n">
        <x:v>18.5</x:v>
      </x:c>
      <x:c r="F5552" s="40" t="n">
        <x:v>17.324108123779297</x:v>
      </x:c>
      <x:c r="G5552" s="40" t="n">
        <x:v>18.6</x:v>
      </x:c>
      <x:c r="H5552" s="40" t="n">
        <x:f>F5552-E5552</x:f>
        <x:v>-1.1758918762207031</x:v>
      </x:c>
      <x:c r="I5552" s="40" t="n">
        <x:f>ABS(H5552)</x:f>
        <x:v>1.1758918762207031</x:v>
      </x:c>
      <x:c r="J5552" s="40" t="n">
        <x:f>H5552^2</x:f>
        <x:v>1.3827217045618454</x:v>
      </x:c>
      <x:c r="K5552" s="40" t="n">
        <x:f>G5552-E5552</x:f>
        <x:v>0.10000000000000142</x:v>
      </x:c>
      <x:c r="L5552" s="40" t="n">
        <x:f>ABS(K5552)</x:f>
        <x:v>0.10000000000000142</x:v>
      </x:c>
      <x:c r="M5552" s="41" t="str">
        <x:v>lstm-soil-v1</x:v>
      </x:c>
    </x:row>
    <x:row r="5553">
      <x:c r="A5553" s="38" t="str">
        <x:v>7月30日现场数据</x:v>
      </x:c>
      <x:c r="B5553" s="39" t="str">
        <x:v>2026-08-05T09:10:00</x:v>
      </x:c>
      <x:c r="C5553" s="39" t="str">
        <x:v>2026-08-05T09:25:00</x:v>
      </x:c>
      <x:c r="D5553" s="47" t="n">
        <x:v>15</x:v>
      </x:c>
      <x:c r="E5553" s="40" t="n">
        <x:v>18.6</x:v>
      </x:c>
      <x:c r="F5553" s="40" t="n">
        <x:v>17.358482360839844</x:v>
      </x:c>
      <x:c r="G5553" s="40" t="n">
        <x:v>18.6</x:v>
      </x:c>
      <x:c r="H5553" s="40" t="n">
        <x:f>F5553-E5553</x:f>
        <x:v>-1.2415176391601577</x:v>
      </x:c>
      <x:c r="I5553" s="40" t="n">
        <x:f>ABS(H5553)</x:f>
        <x:v>1.2415176391601577</x:v>
      </x:c>
      <x:c r="J5553" s="40" t="n">
        <x:f>H5553^2</x:f>
        <x:v>1.5413660483458114</x:v>
      </x:c>
      <x:c r="K5553" s="40" t="n">
        <x:f>G5553-E5553</x:f>
        <x:v>0</x:v>
      </x:c>
      <x:c r="L5553" s="40" t="n">
        <x:f>ABS(K5553)</x:f>
        <x:v>0</x:v>
      </x:c>
      <x:c r="M5553" s="41" t="str">
        <x:v>lstm-soil-v1</x:v>
      </x:c>
    </x:row>
    <x:row r="5554">
      <x:c r="A5554" s="38" t="str">
        <x:v>7月30日现场数据</x:v>
      </x:c>
      <x:c r="B5554" s="39" t="str">
        <x:v>2026-08-05T09:10:00</x:v>
      </x:c>
      <x:c r="C5554" s="39" t="str">
        <x:v>2026-08-05T09:40:00</x:v>
      </x:c>
      <x:c r="D5554" s="47" t="n">
        <x:v>30</x:v>
      </x:c>
      <x:c r="E5554" s="40" t="n">
        <x:v>18.5</x:v>
      </x:c>
      <x:c r="F5554" s="40" t="n">
        <x:v>17.831024169921875</x:v>
      </x:c>
      <x:c r="G5554" s="40" t="n">
        <x:v>18.6</x:v>
      </x:c>
      <x:c r="H5554" s="40" t="n">
        <x:f>F5554-E5554</x:f>
        <x:v>-0.668975830078125</x:v>
      </x:c>
      <x:c r="I5554" s="40" t="n">
        <x:f>ABS(H5554)</x:f>
        <x:v>0.668975830078125</x:v>
      </x:c>
      <x:c r="J5554" s="40" t="n">
        <x:f>H5554^2</x:f>
        <x:v>0.4475286612287164</x:v>
      </x:c>
      <x:c r="K5554" s="40" t="n">
        <x:f>G5554-E5554</x:f>
        <x:v>0.10000000000000142</x:v>
      </x:c>
      <x:c r="L5554" s="40" t="n">
        <x:f>ABS(K5554)</x:f>
        <x:v>0.10000000000000142</x:v>
      </x:c>
      <x:c r="M5554" s="41" t="str">
        <x:v>lstm-soil-v1</x:v>
      </x:c>
    </x:row>
    <x:row r="5555">
      <x:c r="A5555" s="38" t="str">
        <x:v>7月30日现场数据</x:v>
      </x:c>
      <x:c r="B5555" s="39" t="str">
        <x:v>2026-08-05T09:10:00</x:v>
      </x:c>
      <x:c r="C5555" s="39" t="str">
        <x:v>2026-08-05T10:10:00</x:v>
      </x:c>
      <x:c r="D5555" s="47" t="n">
        <x:v>60</x:v>
      </x:c>
      <x:c r="E5555" s="40" t="n">
        <x:v>18.4</x:v>
      </x:c>
      <x:c r="F5555" s="40" t="n">
        <x:v>19.52790069580078</x:v>
      </x:c>
      <x:c r="G5555" s="40" t="n">
        <x:v>18.6</x:v>
      </x:c>
      <x:c r="H5555" s="40" t="n">
        <x:f>F5555-E5555</x:f>
        <x:v>1.1279006958007827</x:v>
      </x:c>
      <x:c r="I5555" s="40" t="n">
        <x:f>ABS(H5555)</x:f>
        <x:v>1.1279006958007827</x:v>
      </x:c>
      <x:c r="J5555" s="40" t="n">
        <x:f>H5555^2</x:f>
        <x:v>1.2721599795878897</x:v>
      </x:c>
      <x:c r="K5555" s="40" t="n">
        <x:f>G5555-E5555</x:f>
        <x:v>0.20000000000000284</x:v>
      </x:c>
      <x:c r="L5555" s="40" t="n">
        <x:f>ABS(K5555)</x:f>
        <x:v>0.20000000000000284</x:v>
      </x:c>
      <x:c r="M5555" s="41" t="str">
        <x:v>lstm-soil-v1</x:v>
      </x:c>
    </x:row>
    <x:row r="5556">
      <x:c r="A5556" s="38" t="str">
        <x:v>7月30日现场数据</x:v>
      </x:c>
      <x:c r="B5556" s="39" t="str">
        <x:v>2026-08-05T09:15:00</x:v>
      </x:c>
      <x:c r="C5556" s="39" t="str">
        <x:v>2026-08-05T09:20:00</x:v>
      </x:c>
      <x:c r="D5556" s="47" t="n">
        <x:v>5</x:v>
      </x:c>
      <x:c r="E5556" s="40" t="n">
        <x:v>18.6</x:v>
      </x:c>
      <x:c r="F5556" s="40" t="n">
        <x:v>17.21927261352539</x:v>
      </x:c>
      <x:c r="G5556" s="40" t="n">
        <x:v>18.5</x:v>
      </x:c>
      <x:c r="H5556" s="40" t="n">
        <x:f>F5556-E5556</x:f>
        <x:v>-1.3807273864746108</x:v>
      </x:c>
      <x:c r="I5556" s="40" t="n">
        <x:f>ABS(H5556)</x:f>
        <x:v>1.3807273864746108</x:v>
      </x:c>
      <x:c r="J5556" s="40" t="n">
        <x:f>H5556^2</x:f>
        <x:v>1.9064081157610093</x:v>
      </x:c>
      <x:c r="K5556" s="40" t="n">
        <x:f>G5556-E5556</x:f>
        <x:v>-0.10000000000000142</x:v>
      </x:c>
      <x:c r="L5556" s="40" t="n">
        <x:f>ABS(K5556)</x:f>
        <x:v>0.10000000000000142</x:v>
      </x:c>
      <x:c r="M5556" s="41" t="str">
        <x:v>lstm-soil-v1</x:v>
      </x:c>
    </x:row>
    <x:row r="5557">
      <x:c r="A5557" s="38" t="str">
        <x:v>7月30日现场数据</x:v>
      </x:c>
      <x:c r="B5557" s="39" t="str">
        <x:v>2026-08-05T09:15:00</x:v>
      </x:c>
      <x:c r="C5557" s="39" t="str">
        <x:v>2026-08-05T09:30:00</x:v>
      </x:c>
      <x:c r="D5557" s="47" t="n">
        <x:v>15</x:v>
      </x:c>
      <x:c r="E5557" s="40" t="n">
        <x:v>18.6</x:v>
      </x:c>
      <x:c r="F5557" s="40" t="n">
        <x:v>17.257064819335938</x:v>
      </x:c>
      <x:c r="G5557" s="40" t="n">
        <x:v>18.5</x:v>
      </x:c>
      <x:c r="H5557" s="40" t="n">
        <x:f>F5557-E5557</x:f>
        <x:v>-1.342935180664064</x:v>
      </x:c>
      <x:c r="I5557" s="40" t="n">
        <x:f>ABS(H5557)</x:f>
        <x:v>1.342935180664064</x:v>
      </x:c>
      <x:c r="J5557" s="40" t="n">
        <x:f>H5557^2</x:f>
        <x:v>1.803474899465222</x:v>
      </x:c>
      <x:c r="K5557" s="40" t="n">
        <x:f>G5557-E5557</x:f>
        <x:v>-0.10000000000000142</x:v>
      </x:c>
      <x:c r="L5557" s="40" t="n">
        <x:f>ABS(K5557)</x:f>
        <x:v>0.10000000000000142</x:v>
      </x:c>
      <x:c r="M5557" s="41" t="str">
        <x:v>lstm-soil-v1</x:v>
      </x:c>
    </x:row>
    <x:row r="5558">
      <x:c r="A5558" s="38" t="str">
        <x:v>7月30日现场数据</x:v>
      </x:c>
      <x:c r="B5558" s="39" t="str">
        <x:v>2026-08-05T09:15:00</x:v>
      </x:c>
      <x:c r="C5558" s="39" t="str">
        <x:v>2026-08-05T09:45:00</x:v>
      </x:c>
      <x:c r="D5558" s="47" t="n">
        <x:v>30</x:v>
      </x:c>
      <x:c r="E5558" s="40" t="n">
        <x:v>18.5</x:v>
      </x:c>
      <x:c r="F5558" s="40" t="n">
        <x:v>17.732666015625</x:v>
      </x:c>
      <x:c r="G5558" s="40" t="n">
        <x:v>18.5</x:v>
      </x:c>
      <x:c r="H5558" s="40" t="n">
        <x:f>F5558-E5558</x:f>
        <x:v>-0.767333984375</x:v>
      </x:c>
      <x:c r="I5558" s="40" t="n">
        <x:f>ABS(H5558)</x:f>
        <x:v>0.767333984375</x:v>
      </x:c>
      <x:c r="J5558" s="40" t="n">
        <x:f>H5558^2</x:f>
        <x:v>0.5888014435768127</x:v>
      </x:c>
      <x:c r="K5558" s="40" t="n">
        <x:f>G5558-E5558</x:f>
        <x:v>0</x:v>
      </x:c>
      <x:c r="L5558" s="40" t="n">
        <x:f>ABS(K5558)</x:f>
        <x:v>0</x:v>
      </x:c>
      <x:c r="M5558" s="41" t="str">
        <x:v>lstm-soil-v1</x:v>
      </x:c>
    </x:row>
    <x:row r="5559">
      <x:c r="A5559" s="38" t="str">
        <x:v>7月30日现场数据</x:v>
      </x:c>
      <x:c r="B5559" s="39" t="str">
        <x:v>2026-08-05T09:15:00</x:v>
      </x:c>
      <x:c r="C5559" s="39" t="str">
        <x:v>2026-08-05T10:15:00</x:v>
      </x:c>
      <x:c r="D5559" s="47" t="n">
        <x:v>60</x:v>
      </x:c>
      <x:c r="E5559" s="40" t="n">
        <x:v>18.4</x:v>
      </x:c>
      <x:c r="F5559" s="40" t="n">
        <x:v>19.429744720458984</x:v>
      </x:c>
      <x:c r="G5559" s="40" t="n">
        <x:v>18.5</x:v>
      </x:c>
      <x:c r="H5559" s="40" t="n">
        <x:f>F5559-E5559</x:f>
        <x:v>1.0297447204589858</x:v>
      </x:c>
      <x:c r="I5559" s="40" t="n">
        <x:f>ABS(H5559)</x:f>
        <x:v>1.0297447204589858</x:v>
      </x:c>
      <x:c r="J5559" s="40" t="n">
        <x:f>H5559^2</x:f>
        <x:v>1.0603741893131549</x:v>
      </x:c>
      <x:c r="K5559" s="40" t="n">
        <x:f>G5559-E5559</x:f>
        <x:v>0.10000000000000142</x:v>
      </x:c>
      <x:c r="L5559" s="40" t="n">
        <x:f>ABS(K5559)</x:f>
        <x:v>0.10000000000000142</x:v>
      </x:c>
      <x:c r="M5559" s="41" t="str">
        <x:v>lstm-soil-v1</x:v>
      </x:c>
    </x:row>
    <x:row r="5560">
      <x:c r="A5560" s="38" t="str">
        <x:v>7月30日现场数据</x:v>
      </x:c>
      <x:c r="B5560" s="39" t="str">
        <x:v>2026-08-05T09:20:00</x:v>
      </x:c>
      <x:c r="C5560" s="39" t="str">
        <x:v>2026-08-05T09:25:00</x:v>
      </x:c>
      <x:c r="D5560" s="47" t="n">
        <x:v>5</x:v>
      </x:c>
      <x:c r="E5560" s="40" t="n">
        <x:v>18.6</x:v>
      </x:c>
      <x:c r="F5560" s="40" t="n">
        <x:v>17.327686309814453</x:v>
      </x:c>
      <x:c r="G5560" s="40" t="n">
        <x:v>18.6</x:v>
      </x:c>
      <x:c r="H5560" s="40" t="n">
        <x:f>F5560-E5560</x:f>
        <x:v>-1.2723136901855483</x:v>
      </x:c>
      <x:c r="I5560" s="40" t="n">
        <x:f>ABS(H5560)</x:f>
        <x:v>1.2723136901855483</x:v>
      </x:c>
      <x:c r="J5560" s="40" t="n">
        <x:f>H5560^2</x:f>
        <x:v>1.6187821262335673</x:v>
      </x:c>
      <x:c r="K5560" s="40" t="n">
        <x:f>G5560-E5560</x:f>
        <x:v>0</x:v>
      </x:c>
      <x:c r="L5560" s="40" t="n">
        <x:f>ABS(K5560)</x:f>
        <x:v>0</x:v>
      </x:c>
      <x:c r="M5560" s="41" t="str">
        <x:v>lstm-soil-v1</x:v>
      </x:c>
    </x:row>
    <x:row r="5561">
      <x:c r="A5561" s="38" t="str">
        <x:v>7月30日现场数据</x:v>
      </x:c>
      <x:c r="B5561" s="39" t="str">
        <x:v>2026-08-05T09:20:00</x:v>
      </x:c>
      <x:c r="C5561" s="39" t="str">
        <x:v>2026-08-05T09:35:00</x:v>
      </x:c>
      <x:c r="D5561" s="47" t="n">
        <x:v>15</x:v>
      </x:c>
      <x:c r="E5561" s="40" t="n">
        <x:v>18.6</x:v>
      </x:c>
      <x:c r="F5561" s="40" t="n">
        <x:v>17.370670318603516</x:v>
      </x:c>
      <x:c r="G5561" s="40" t="n">
        <x:v>18.6</x:v>
      </x:c>
      <x:c r="H5561" s="40" t="n">
        <x:f>F5561-E5561</x:f>
        <x:v>-1.2293296813964858</x:v>
      </x:c>
      <x:c r="I5561" s="40" t="n">
        <x:f>ABS(H5561)</x:f>
        <x:v>1.2293296813964858</x:v>
      </x:c>
      <x:c r="J5561" s="40" t="n">
        <x:f>H5561^2</x:f>
        <x:v>1.5112514655623852</x:v>
      </x:c>
      <x:c r="K5561" s="40" t="n">
        <x:f>G5561-E5561</x:f>
        <x:v>0</x:v>
      </x:c>
      <x:c r="L5561" s="40" t="n">
        <x:f>ABS(K5561)</x:f>
        <x:v>0</x:v>
      </x:c>
      <x:c r="M5561" s="41" t="str">
        <x:v>lstm-soil-v1</x:v>
      </x:c>
    </x:row>
    <x:row r="5562">
      <x:c r="A5562" s="38" t="str">
        <x:v>7月30日现场数据</x:v>
      </x:c>
      <x:c r="B5562" s="39" t="str">
        <x:v>2026-08-05T09:20:00</x:v>
      </x:c>
      <x:c r="C5562" s="39" t="str">
        <x:v>2026-08-05T09:50:00</x:v>
      </x:c>
      <x:c r="D5562" s="47" t="n">
        <x:v>30</x:v>
      </x:c>
      <x:c r="E5562" s="40" t="n">
        <x:v>18.5</x:v>
      </x:c>
      <x:c r="F5562" s="40" t="n">
        <x:v>17.84139633178711</x:v>
      </x:c>
      <x:c r="G5562" s="40" t="n">
        <x:v>18.6</x:v>
      </x:c>
      <x:c r="H5562" s="40" t="n">
        <x:f>F5562-E5562</x:f>
        <x:v>-0.6586036682128906</x:v>
      </x:c>
      <x:c r="I5562" s="40" t="n">
        <x:f>ABS(H5562)</x:f>
        <x:v>0.6586036682128906</x:v>
      </x:c>
      <x:c r="J5562" s="40" t="n">
        <x:f>H5562^2</x:f>
        <x:v>0.4337587917834753</x:v>
      </x:c>
      <x:c r="K5562" s="40" t="n">
        <x:f>G5562-E5562</x:f>
        <x:v>0.10000000000000142</x:v>
      </x:c>
      <x:c r="L5562" s="40" t="n">
        <x:f>ABS(K5562)</x:f>
        <x:v>0.10000000000000142</x:v>
      </x:c>
      <x:c r="M5562" s="41" t="str">
        <x:v>lstm-soil-v1</x:v>
      </x:c>
    </x:row>
    <x:row r="5563">
      <x:c r="A5563" s="38" t="str">
        <x:v>7月30日现场数据</x:v>
      </x:c>
      <x:c r="B5563" s="39" t="str">
        <x:v>2026-08-05T09:20:00</x:v>
      </x:c>
      <x:c r="C5563" s="39" t="str">
        <x:v>2026-08-05T10:20:00</x:v>
      </x:c>
      <x:c r="D5563" s="47" t="n">
        <x:v>60</x:v>
      </x:c>
      <x:c r="E5563" s="40" t="n">
        <x:v>18.3</x:v>
      </x:c>
      <x:c r="F5563" s="40" t="n">
        <x:v>19.536148071289062</x:v>
      </x:c>
      <x:c r="G5563" s="40" t="n">
        <x:v>18.6</x:v>
      </x:c>
      <x:c r="H5563" s="40" t="n">
        <x:f>F5563-E5563</x:f>
        <x:v>1.2361480712890618</x:v>
      </x:c>
      <x:c r="I5563" s="40" t="n">
        <x:f>ABS(H5563)</x:f>
        <x:v>1.2361480712890618</x:v>
      </x:c>
      <x:c r="J5563" s="40" t="n">
        <x:f>H5563^2</x:f>
        <x:v>1.5280620541516674</x:v>
      </x:c>
      <x:c r="K5563" s="40" t="n">
        <x:f>G5563-E5563</x:f>
        <x:v>0.3000000000000007</x:v>
      </x:c>
      <x:c r="L5563" s="40" t="n">
        <x:f>ABS(K5563)</x:f>
        <x:v>0.3000000000000007</x:v>
      </x:c>
      <x:c r="M5563" s="41" t="str">
        <x:v>lstm-soil-v1</x:v>
      </x:c>
    </x:row>
    <x:row r="5564">
      <x:c r="A5564" s="38" t="str">
        <x:v>7月30日现场数据</x:v>
      </x:c>
      <x:c r="B5564" s="39" t="str">
        <x:v>2026-08-05T09:25:00</x:v>
      </x:c>
      <x:c r="C5564" s="39" t="str">
        <x:v>2026-08-05T09:30:00</x:v>
      </x:c>
      <x:c r="D5564" s="47" t="n">
        <x:v>5</x:v>
      </x:c>
      <x:c r="E5564" s="40" t="n">
        <x:v>18.6</x:v>
      </x:c>
      <x:c r="F5564" s="40" t="n">
        <x:v>17.333538055419922</x:v>
      </x:c>
      <x:c r="G5564" s="40" t="n">
        <x:v>18.6</x:v>
      </x:c>
      <x:c r="H5564" s="40" t="n">
        <x:f>F5564-E5564</x:f>
        <x:v>-1.2664619445800795</x:v>
      </x:c>
      <x:c r="I5564" s="40" t="n">
        <x:f>ABS(H5564)</x:f>
        <x:v>1.2664619445800795</x:v>
      </x:c>
      <x:c r="J5564" s="40" t="n">
        <x:f>H5564^2</x:f>
        <x:v>1.6039258570695565</x:v>
      </x:c>
      <x:c r="K5564" s="40" t="n">
        <x:f>G5564-E5564</x:f>
        <x:v>0</x:v>
      </x:c>
      <x:c r="L5564" s="40" t="n">
        <x:f>ABS(K5564)</x:f>
        <x:v>0</x:v>
      </x:c>
      <x:c r="M5564" s="41" t="str">
        <x:v>lstm-soil-v1</x:v>
      </x:c>
    </x:row>
    <x:row r="5565">
      <x:c r="A5565" s="38" t="str">
        <x:v>7月30日现场数据</x:v>
      </x:c>
      <x:c r="B5565" s="39" t="str">
        <x:v>2026-08-05T09:25:00</x:v>
      </x:c>
      <x:c r="C5565" s="39" t="str">
        <x:v>2026-08-05T09:40:00</x:v>
      </x:c>
      <x:c r="D5565" s="47" t="n">
        <x:v>15</x:v>
      </x:c>
      <x:c r="E5565" s="40" t="n">
        <x:v>18.5</x:v>
      </x:c>
      <x:c r="F5565" s="40" t="n">
        <x:v>17.374874114990234</x:v>
      </x:c>
      <x:c r="G5565" s="40" t="n">
        <x:v>18.6</x:v>
      </x:c>
      <x:c r="H5565" s="40" t="n">
        <x:f>F5565-E5565</x:f>
        <x:v>-1.1251258850097656</x:v>
      </x:c>
      <x:c r="I5565" s="40" t="n">
        <x:f>ABS(H5565)</x:f>
        <x:v>1.1251258850097656</x:v>
      </x:c>
      <x:c r="J5565" s="40" t="n">
        <x:f>H5565^2</x:f>
        <x:v>1.2659082571190083</x:v>
      </x:c>
      <x:c r="K5565" s="40" t="n">
        <x:f>G5565-E5565</x:f>
        <x:v>0.10000000000000142</x:v>
      </x:c>
      <x:c r="L5565" s="40" t="n">
        <x:f>ABS(K5565)</x:f>
        <x:v>0.10000000000000142</x:v>
      </x:c>
      <x:c r="M5565" s="41" t="str">
        <x:v>lstm-soil-v1</x:v>
      </x:c>
    </x:row>
    <x:row r="5566">
      <x:c r="A5566" s="38" t="str">
        <x:v>7月30日现场数据</x:v>
      </x:c>
      <x:c r="B5566" s="39" t="str">
        <x:v>2026-08-05T09:25:00</x:v>
      </x:c>
      <x:c r="C5566" s="39" t="str">
        <x:v>2026-08-05T09:55:00</x:v>
      </x:c>
      <x:c r="D5566" s="47" t="n">
        <x:v>30</x:v>
      </x:c>
      <x:c r="E5566" s="40" t="n">
        <x:v>18.5</x:v>
      </x:c>
      <x:c r="F5566" s="40" t="n">
        <x:v>17.84857940673828</x:v>
      </x:c>
      <x:c r="G5566" s="40" t="n">
        <x:v>18.6</x:v>
      </x:c>
      <x:c r="H5566" s="40" t="n">
        <x:f>F5566-E5566</x:f>
        <x:v>-0.6514205932617188</x:v>
      </x:c>
      <x:c r="I5566" s="40" t="n">
        <x:f>ABS(H5566)</x:f>
        <x:v>0.6514205932617188</x:v>
      </x:c>
      <x:c r="J5566" s="40" t="n">
        <x:f>H5566^2</x:f>
        <x:v>0.4243487893254496</x:v>
      </x:c>
      <x:c r="K5566" s="40" t="n">
        <x:f>G5566-E5566</x:f>
        <x:v>0.10000000000000142</x:v>
      </x:c>
      <x:c r="L5566" s="40" t="n">
        <x:f>ABS(K5566)</x:f>
        <x:v>0.10000000000000142</x:v>
      </x:c>
      <x:c r="M5566" s="41" t="str">
        <x:v>lstm-soil-v1</x:v>
      </x:c>
    </x:row>
    <x:row r="5567">
      <x:c r="A5567" s="38" t="str">
        <x:v>7月30日现场数据</x:v>
      </x:c>
      <x:c r="B5567" s="39" t="str">
        <x:v>2026-08-05T09:25:00</x:v>
      </x:c>
      <x:c r="C5567" s="39" t="str">
        <x:v>2026-08-05T10:25:00</x:v>
      </x:c>
      <x:c r="D5567" s="47" t="n">
        <x:v>60</x:v>
      </x:c>
      <x:c r="E5567" s="40" t="n">
        <x:v>18.3</x:v>
      </x:c>
      <x:c r="F5567" s="40" t="n">
        <x:v>19.554092407226562</x:v>
      </x:c>
      <x:c r="G5567" s="40" t="n">
        <x:v>18.6</x:v>
      </x:c>
      <x:c r="H5567" s="40" t="n">
        <x:f>F5567-E5567</x:f>
        <x:v>1.2540924072265618</x:v>
      </x:c>
      <x:c r="I5567" s="40" t="n">
        <x:f>ABS(H5567)</x:f>
        <x:v>1.2540924072265618</x:v>
      </x:c>
      <x:c r="J5567" s="40" t="n">
        <x:f>H5567^2</x:f>
        <x:v>1.5727477658633124</x:v>
      </x:c>
      <x:c r="K5567" s="40" t="n">
        <x:f>G5567-E5567</x:f>
        <x:v>0.3000000000000007</x:v>
      </x:c>
      <x:c r="L5567" s="40" t="n">
        <x:f>ABS(K5567)</x:f>
        <x:v>0.3000000000000007</x:v>
      </x:c>
      <x:c r="M5567" s="41" t="str">
        <x:v>lstm-soil-v1</x:v>
      </x:c>
    </x:row>
    <x:row r="5568">
      <x:c r="A5568" s="38" t="str">
        <x:v>7月30日现场数据</x:v>
      </x:c>
      <x:c r="B5568" s="39" t="str">
        <x:v>2026-08-05T09:30:00</x:v>
      </x:c>
      <x:c r="C5568" s="39" t="str">
        <x:v>2026-08-05T09:35:00</x:v>
      </x:c>
      <x:c r="D5568" s="47" t="n">
        <x:v>5</x:v>
      </x:c>
      <x:c r="E5568" s="40" t="n">
        <x:v>18.6</x:v>
      </x:c>
      <x:c r="F5568" s="40" t="n">
        <x:v>17.326251983642578</x:v>
      </x:c>
      <x:c r="G5568" s="40" t="n">
        <x:v>18.6</x:v>
      </x:c>
      <x:c r="H5568" s="40" t="n">
        <x:f>F5568-E5568</x:f>
        <x:v>-1.2737480163574233</x:v>
      </x:c>
      <x:c r="I5568" s="40" t="n">
        <x:f>ABS(H5568)</x:f>
        <x:v>1.2737480163574233</x:v>
      </x:c>
      <x:c r="J5568" s="40" t="n">
        <x:f>H5568^2</x:f>
        <x:v>1.6224340091744707</x:v>
      </x:c>
      <x:c r="K5568" s="40" t="n">
        <x:f>G5568-E5568</x:f>
        <x:v>0</x:v>
      </x:c>
      <x:c r="L5568" s="40" t="n">
        <x:f>ABS(K5568)</x:f>
        <x:v>0</x:v>
      </x:c>
      <x:c r="M5568" s="41" t="str">
        <x:v>lstm-soil-v1</x:v>
      </x:c>
    </x:row>
    <x:row r="5569">
      <x:c r="A5569" s="38" t="str">
        <x:v>7月30日现场数据</x:v>
      </x:c>
      <x:c r="B5569" s="39" t="str">
        <x:v>2026-08-05T09:30:00</x:v>
      </x:c>
      <x:c r="C5569" s="39" t="str">
        <x:v>2026-08-05T09:45:00</x:v>
      </x:c>
      <x:c r="D5569" s="47" t="n">
        <x:v>15</x:v>
      </x:c>
      <x:c r="E5569" s="40" t="n">
        <x:v>18.5</x:v>
      </x:c>
      <x:c r="F5569" s="40" t="n">
        <x:v>17.37580108642578</x:v>
      </x:c>
      <x:c r="G5569" s="40" t="n">
        <x:v>18.6</x:v>
      </x:c>
      <x:c r="H5569" s="40" t="n">
        <x:f>F5569-E5569</x:f>
        <x:v>-1.1241989135742188</x:v>
      </x:c>
      <x:c r="I5569" s="40" t="n">
        <x:f>ABS(H5569)</x:f>
        <x:v>1.1241989135742188</x:v>
      </x:c>
      <x:c r="J5569" s="40" t="n">
        <x:f>H5569^2</x:f>
        <x:v>1.2638231972814538</x:v>
      </x:c>
      <x:c r="K5569" s="40" t="n">
        <x:f>G5569-E5569</x:f>
        <x:v>0.10000000000000142</x:v>
      </x:c>
      <x:c r="L5569" s="40" t="n">
        <x:f>ABS(K5569)</x:f>
        <x:v>0.10000000000000142</x:v>
      </x:c>
      <x:c r="M5569" s="41" t="str">
        <x:v>lstm-soil-v1</x:v>
      </x:c>
    </x:row>
    <x:row r="5570">
      <x:c r="A5570" s="38" t="str">
        <x:v>7月30日现场数据</x:v>
      </x:c>
      <x:c r="B5570" s="39" t="str">
        <x:v>2026-08-05T09:30:00</x:v>
      </x:c>
      <x:c r="C5570" s="39" t="str">
        <x:v>2026-08-05T10:00:00</x:v>
      </x:c>
      <x:c r="D5570" s="47" t="n">
        <x:v>30</x:v>
      </x:c>
      <x:c r="E5570" s="40" t="n">
        <x:v>18.5</x:v>
      </x:c>
      <x:c r="F5570" s="40" t="n">
        <x:v>17.839569091796875</x:v>
      </x:c>
      <x:c r="G5570" s="40" t="n">
        <x:v>18.6</x:v>
      </x:c>
      <x:c r="H5570" s="40" t="n">
        <x:f>F5570-E5570</x:f>
        <x:v>-0.660430908203125</x:v>
      </x:c>
      <x:c r="I5570" s="40" t="n">
        <x:f>ABS(H5570)</x:f>
        <x:v>0.660430908203125</x:v>
      </x:c>
      <x:c r="J5570" s="40" t="n">
        <x:f>H5570^2</x:f>
        <x:v>0.4361689845100045</x:v>
      </x:c>
      <x:c r="K5570" s="40" t="n">
        <x:f>G5570-E5570</x:f>
        <x:v>0.10000000000000142</x:v>
      </x:c>
      <x:c r="L5570" s="40" t="n">
        <x:f>ABS(K5570)</x:f>
        <x:v>0.10000000000000142</x:v>
      </x:c>
      <x:c r="M5570" s="41" t="str">
        <x:v>lstm-soil-v1</x:v>
      </x:c>
    </x:row>
    <x:row r="5571">
      <x:c r="A5571" s="38" t="str">
        <x:v>7月30日现场数据</x:v>
      </x:c>
      <x:c r="B5571" s="39" t="str">
        <x:v>2026-08-05T09:30:00</x:v>
      </x:c>
      <x:c r="C5571" s="39" t="str">
        <x:v>2026-08-05T10:30:00</x:v>
      </x:c>
      <x:c r="D5571" s="47" t="n">
        <x:v>60</x:v>
      </x:c>
      <x:c r="E5571" s="40" t="n">
        <x:v>18.2</x:v>
      </x:c>
      <x:c r="F5571" s="40" t="n">
        <x:v>19.528549194335938</x:v>
      </x:c>
      <x:c r="G5571" s="40" t="n">
        <x:v>18.6</x:v>
      </x:c>
      <x:c r="H5571" s="40" t="n">
        <x:f>F5571-E5571</x:f>
        <x:v>1.3285491943359382</x:v>
      </x:c>
      <x:c r="I5571" s="40" t="n">
        <x:f>ABS(H5571)</x:f>
        <x:v>1.3285491943359382</x:v>
      </x:c>
      <x:c r="J5571" s="40" t="n">
        <x:f>H5571^2</x:f>
        <x:v>1.7650429617706704</x:v>
      </x:c>
      <x:c r="K5571" s="40" t="n">
        <x:f>G5571-E5571</x:f>
        <x:v>0.40000000000000213</x:v>
      </x:c>
      <x:c r="L5571" s="40" t="n">
        <x:f>ABS(K5571)</x:f>
        <x:v>0.40000000000000213</x:v>
      </x:c>
      <x:c r="M5571" s="41" t="str">
        <x:v>lstm-soil-v1</x:v>
      </x:c>
    </x:row>
    <x:row r="5572">
      <x:c r="A5572" s="38" t="str">
        <x:v>7月30日现场数据</x:v>
      </x:c>
      <x:c r="B5572" s="39" t="str">
        <x:v>2026-08-05T09:35:00</x:v>
      </x:c>
      <x:c r="C5572" s="39" t="str">
        <x:v>2026-08-05T09:40:00</x:v>
      </x:c>
      <x:c r="D5572" s="47" t="n">
        <x:v>5</x:v>
      </x:c>
      <x:c r="E5572" s="40" t="n">
        <x:v>18.5</x:v>
      </x:c>
      <x:c r="F5572" s="40" t="n">
        <x:v>17.335792541503906</x:v>
      </x:c>
      <x:c r="G5572" s="40" t="n">
        <x:v>18.6</x:v>
      </x:c>
      <x:c r="H5572" s="40" t="n">
        <x:f>F5572-E5572</x:f>
        <x:v>-1.1642074584960938</x:v>
      </x:c>
      <x:c r="I5572" s="40" t="n">
        <x:f>ABS(H5572)</x:f>
        <x:v>1.1642074584960938</x:v>
      </x:c>
      <x:c r="J5572" s="40" t="n">
        <x:f>H5572^2</x:f>
        <x:v>1.3553790064179339</x:v>
      </x:c>
      <x:c r="K5572" s="40" t="n">
        <x:f>G5572-E5572</x:f>
        <x:v>0.10000000000000142</x:v>
      </x:c>
      <x:c r="L5572" s="40" t="n">
        <x:f>ABS(K5572)</x:f>
        <x:v>0.10000000000000142</x:v>
      </x:c>
      <x:c r="M5572" s="41" t="str">
        <x:v>lstm-soil-v1</x:v>
      </x:c>
    </x:row>
    <x:row r="5573">
      <x:c r="A5573" s="38" t="str">
        <x:v>7月30日现场数据</x:v>
      </x:c>
      <x:c r="B5573" s="39" t="str">
        <x:v>2026-08-05T09:35:00</x:v>
      </x:c>
      <x:c r="C5573" s="39" t="str">
        <x:v>2026-08-05T09:50:00</x:v>
      </x:c>
      <x:c r="D5573" s="47" t="n">
        <x:v>15</x:v>
      </x:c>
      <x:c r="E5573" s="40" t="n">
        <x:v>18.5</x:v>
      </x:c>
      <x:c r="F5573" s="40" t="n">
        <x:v>17.376949310302734</x:v>
      </x:c>
      <x:c r="G5573" s="40" t="n">
        <x:v>18.6</x:v>
      </x:c>
      <x:c r="H5573" s="40" t="n">
        <x:f>F5573-E5573</x:f>
        <x:v>-1.1230506896972656</x:v>
      </x:c>
      <x:c r="I5573" s="40" t="n">
        <x:f>ABS(H5573)</x:f>
        <x:v>1.1230506896972656</x:v>
      </x:c>
      <x:c r="J5573" s="40" t="n">
        <x:f>H5573^2</x:f>
        <x:v>1.261242851629504</x:v>
      </x:c>
      <x:c r="K5573" s="40" t="n">
        <x:f>G5573-E5573</x:f>
        <x:v>0.10000000000000142</x:v>
      </x:c>
      <x:c r="L5573" s="40" t="n">
        <x:f>ABS(K5573)</x:f>
        <x:v>0.10000000000000142</x:v>
      </x:c>
      <x:c r="M5573" s="41" t="str">
        <x:v>lstm-soil-v1</x:v>
      </x:c>
    </x:row>
    <x:row r="5574">
      <x:c r="A5574" s="38" t="str">
        <x:v>7月30日现场数据</x:v>
      </x:c>
      <x:c r="B5574" s="39" t="str">
        <x:v>2026-08-05T09:35:00</x:v>
      </x:c>
      <x:c r="C5574" s="39" t="str">
        <x:v>2026-08-05T10:05:00</x:v>
      </x:c>
      <x:c r="D5574" s="47" t="n">
        <x:v>30</x:v>
      </x:c>
      <x:c r="E5574" s="40" t="n">
        <x:v>18.4</x:v>
      </x:c>
      <x:c r="F5574" s="40" t="n">
        <x:v>17.84955596923828</x:v>
      </x:c>
      <x:c r="G5574" s="40" t="n">
        <x:v>18.6</x:v>
      </x:c>
      <x:c r="H5574" s="40" t="n">
        <x:f>F5574-E5574</x:f>
        <x:v>-0.5504440307617173</x:v>
      </x:c>
      <x:c r="I5574" s="40" t="n">
        <x:f>ABS(H5574)</x:f>
        <x:v>0.5504440307617173</x:v>
      </x:c>
      <x:c r="J5574" s="40" t="n">
        <x:f>H5574^2</x:f>
        <x:v>0.30298863100120643</x:v>
      </x:c>
      <x:c r="K5574" s="40" t="n">
        <x:f>G5574-E5574</x:f>
        <x:v>0.20000000000000284</x:v>
      </x:c>
      <x:c r="L5574" s="40" t="n">
        <x:f>ABS(K5574)</x:f>
        <x:v>0.20000000000000284</x:v>
      </x:c>
      <x:c r="M5574" s="41" t="str">
        <x:v>lstm-soil-v1</x:v>
      </x:c>
    </x:row>
    <x:row r="5575">
      <x:c r="A5575" s="38" t="str">
        <x:v>7月30日现场数据</x:v>
      </x:c>
      <x:c r="B5575" s="39" t="str">
        <x:v>2026-08-05T09:35:00</x:v>
      </x:c>
      <x:c r="C5575" s="39" t="str">
        <x:v>2026-08-05T10:35:00</x:v>
      </x:c>
      <x:c r="D5575" s="47" t="n">
        <x:v>60</x:v>
      </x:c>
      <x:c r="E5575" s="40" t="n">
        <x:v>18.2</x:v>
      </x:c>
      <x:c r="F5575" s="40" t="n">
        <x:v>19.562591552734375</x:v>
      </x:c>
      <x:c r="G5575" s="40" t="n">
        <x:v>18.6</x:v>
      </x:c>
      <x:c r="H5575" s="40" t="n">
        <x:f>F5575-E5575</x:f>
        <x:v>1.3625915527343757</x:v>
      </x:c>
      <x:c r="I5575" s="40" t="n">
        <x:f>ABS(H5575)</x:f>
        <x:v>1.3625915527343757</x:v>
      </x:c>
      <x:c r="J5575" s="40" t="n">
        <x:f>H5575^2</x:f>
        <x:v>1.856655739583077</x:v>
      </x:c>
      <x:c r="K5575" s="40" t="n">
        <x:f>G5575-E5575</x:f>
        <x:v>0.40000000000000213</x:v>
      </x:c>
      <x:c r="L5575" s="40" t="n">
        <x:f>ABS(K5575)</x:f>
        <x:v>0.40000000000000213</x:v>
      </x:c>
      <x:c r="M5575" s="41" t="str">
        <x:v>lstm-soil-v1</x:v>
      </x:c>
    </x:row>
    <x:row r="5576">
      <x:c r="A5576" s="38" t="str">
        <x:v>7月30日现场数据</x:v>
      </x:c>
      <x:c r="B5576" s="39" t="str">
        <x:v>2026-08-05T09:40:00</x:v>
      </x:c>
      <x:c r="C5576" s="39" t="str">
        <x:v>2026-08-05T09:45:00</x:v>
      </x:c>
      <x:c r="D5576" s="47" t="n">
        <x:v>5</x:v>
      </x:c>
      <x:c r="E5576" s="40" t="n">
        <x:v>18.5</x:v>
      </x:c>
      <x:c r="F5576" s="40" t="n">
        <x:v>17.237098693847656</x:v>
      </x:c>
      <x:c r="G5576" s="40" t="n">
        <x:v>18.5</x:v>
      </x:c>
      <x:c r="H5576" s="40" t="n">
        <x:f>F5576-E5576</x:f>
        <x:v>-1.2629013061523438</x:v>
      </x:c>
      <x:c r="I5576" s="40" t="n">
        <x:f>ABS(H5576)</x:f>
        <x:v>1.2629013061523438</x:v>
      </x:c>
      <x:c r="J5576" s="40" t="n">
        <x:f>H5576^2</x:f>
        <x:v>1.5949197090812959</x:v>
      </x:c>
      <x:c r="K5576" s="40" t="n">
        <x:f>G5576-E5576</x:f>
        <x:v>0</x:v>
      </x:c>
      <x:c r="L5576" s="40" t="n">
        <x:f>ABS(K5576)</x:f>
        <x:v>0</x:v>
      </x:c>
      <x:c r="M5576" s="41" t="str">
        <x:v>lstm-soil-v1</x:v>
      </x:c>
    </x:row>
    <x:row r="5577">
      <x:c r="A5577" s="38" t="str">
        <x:v>7月30日现场数据</x:v>
      </x:c>
      <x:c r="B5577" s="39" t="str">
        <x:v>2026-08-05T09:40:00</x:v>
      </x:c>
      <x:c r="C5577" s="39" t="str">
        <x:v>2026-08-05T09:55:00</x:v>
      </x:c>
      <x:c r="D5577" s="47" t="n">
        <x:v>15</x:v>
      </x:c>
      <x:c r="E5577" s="40" t="n">
        <x:v>18.5</x:v>
      </x:c>
      <x:c r="F5577" s="40" t="n">
        <x:v>17.270614624023438</x:v>
      </x:c>
      <x:c r="G5577" s="40" t="n">
        <x:v>18.5</x:v>
      </x:c>
      <x:c r="H5577" s="40" t="n">
        <x:f>F5577-E5577</x:f>
        <x:v>-1.2293853759765625</x:v>
      </x:c>
      <x:c r="I5577" s="40" t="n">
        <x:f>ABS(H5577)</x:f>
        <x:v>1.2293853759765625</x:v>
      </x:c>
      <x:c r="J5577" s="40" t="n">
        <x:f>H5577^2</x:f>
        <x:v>1.511388402665034</x:v>
      </x:c>
      <x:c r="K5577" s="40" t="n">
        <x:f>G5577-E5577</x:f>
        <x:v>0</x:v>
      </x:c>
      <x:c r="L5577" s="40" t="n">
        <x:f>ABS(K5577)</x:f>
        <x:v>0</x:v>
      </x:c>
      <x:c r="M5577" s="41" t="str">
        <x:v>lstm-soil-v1</x:v>
      </x:c>
    </x:row>
    <x:row r="5578">
      <x:c r="A5578" s="38" t="str">
        <x:v>7月30日现场数据</x:v>
      </x:c>
      <x:c r="B5578" s="39" t="str">
        <x:v>2026-08-05T09:40:00</x:v>
      </x:c>
      <x:c r="C5578" s="39" t="str">
        <x:v>2026-08-05T10:10:00</x:v>
      </x:c>
      <x:c r="D5578" s="47" t="n">
        <x:v>30</x:v>
      </x:c>
      <x:c r="E5578" s="40" t="n">
        <x:v>18.4</x:v>
      </x:c>
      <x:c r="F5578" s="40" t="n">
        <x:v>17.758575439453125</x:v>
      </x:c>
      <x:c r="G5578" s="40" t="n">
        <x:v>18.5</x:v>
      </x:c>
      <x:c r="H5578" s="40" t="n">
        <x:f>F5578-E5578</x:f>
        <x:v>-0.6414245605468736</x:v>
      </x:c>
      <x:c r="I5578" s="40" t="n">
        <x:f>ABS(H5578)</x:f>
        <x:v>0.6414245605468736</x:v>
      </x:c>
      <x:c r="J5578" s="40" t="n">
        <x:f>H5578^2</x:f>
        <x:v>0.4114254668727499</x:v>
      </x:c>
      <x:c r="K5578" s="40" t="n">
        <x:f>G5578-E5578</x:f>
        <x:v>0.10000000000000142</x:v>
      </x:c>
      <x:c r="L5578" s="40" t="n">
        <x:f>ABS(K5578)</x:f>
        <x:v>0.10000000000000142</x:v>
      </x:c>
      <x:c r="M5578" s="41" t="str">
        <x:v>lstm-soil-v1</x:v>
      </x:c>
    </x:row>
    <x:row r="5579">
      <x:c r="A5579" s="38" t="str">
        <x:v>7月30日现场数据</x:v>
      </x:c>
      <x:c r="B5579" s="39" t="str">
        <x:v>2026-08-05T09:40:00</x:v>
      </x:c>
      <x:c r="C5579" s="39" t="str">
        <x:v>2026-08-05T10:40:00</x:v>
      </x:c>
      <x:c r="D5579" s="47" t="n">
        <x:v>60</x:v>
      </x:c>
      <x:c r="E5579" s="40" t="n">
        <x:v>18.1</x:v>
      </x:c>
      <x:c r="F5579" s="40" t="n">
        <x:v>19.476951599121094</x:v>
      </x:c>
      <x:c r="G5579" s="40" t="n">
        <x:v>18.5</x:v>
      </x:c>
      <x:c r="H5579" s="40" t="n">
        <x:f>F5579-E5579</x:f>
        <x:v>1.3769515991210923</x:v>
      </x:c>
      <x:c r="I5579" s="40" t="n">
        <x:f>ABS(H5579)</x:f>
        <x:v>1.3769515991210923</x:v>
      </x:c>
      <x:c r="J5579" s="40" t="n">
        <x:f>H5579^2</x:f>
        <x:v>1.8959957063221333</x:v>
      </x:c>
      <x:c r="K5579" s="40" t="n">
        <x:f>G5579-E5579</x:f>
        <x:v>0.3999999999999986</x:v>
      </x:c>
      <x:c r="L5579" s="40" t="n">
        <x:f>ABS(K5579)</x:f>
        <x:v>0.3999999999999986</x:v>
      </x:c>
      <x:c r="M5579" s="41" t="str">
        <x:v>lstm-soil-v1</x:v>
      </x:c>
    </x:row>
    <x:row r="5580">
      <x:c r="A5580" s="38" t="str">
        <x:v>7月30日现场数据</x:v>
      </x:c>
      <x:c r="B5580" s="39" t="str">
        <x:v>2026-08-05T09:45:00</x:v>
      </x:c>
      <x:c r="C5580" s="39" t="str">
        <x:v>2026-08-05T09:50:00</x:v>
      </x:c>
      <x:c r="D5580" s="47" t="n">
        <x:v>5</x:v>
      </x:c>
      <x:c r="E5580" s="40" t="n">
        <x:v>18.5</x:v>
      </x:c>
      <x:c r="F5580" s="40" t="n">
        <x:v>17.244277954101562</x:v>
      </x:c>
      <x:c r="G5580" s="40" t="n">
        <x:v>18.5</x:v>
      </x:c>
      <x:c r="H5580" s="40" t="n">
        <x:f>F5580-E5580</x:f>
        <x:v>-1.2557220458984375</x:v>
      </x:c>
      <x:c r="I5580" s="40" t="n">
        <x:f>ABS(H5580)</x:f>
        <x:v>1.2557220458984375</x:v>
      </x:c>
      <x:c r="J5580" s="40" t="n">
        <x:f>H5580^2</x:f>
        <x:v>1.5768378565553576</x:v>
      </x:c>
      <x:c r="K5580" s="40" t="n">
        <x:f>G5580-E5580</x:f>
        <x:v>0</x:v>
      </x:c>
      <x:c r="L5580" s="40" t="n">
        <x:f>ABS(K5580)</x:f>
        <x:v>0</x:v>
      </x:c>
      <x:c r="M5580" s="41" t="str">
        <x:v>lstm-soil-v1</x:v>
      </x:c>
    </x:row>
    <x:row r="5581">
      <x:c r="A5581" s="38" t="str">
        <x:v>7月30日现场数据</x:v>
      </x:c>
      <x:c r="B5581" s="39" t="str">
        <x:v>2026-08-05T09:45:00</x:v>
      </x:c>
      <x:c r="C5581" s="39" t="str">
        <x:v>2026-08-05T10:00:00</x:v>
      </x:c>
      <x:c r="D5581" s="47" t="n">
        <x:v>15</x:v>
      </x:c>
      <x:c r="E5581" s="40" t="n">
        <x:v>18.5</x:v>
      </x:c>
      <x:c r="F5581" s="40" t="n">
        <x:v>17.268421173095703</x:v>
      </x:c>
      <x:c r="G5581" s="40" t="n">
        <x:v>18.5</x:v>
      </x:c>
      <x:c r="H5581" s="40" t="n">
        <x:f>F5581-E5581</x:f>
        <x:v>-1.2315788269042969</x:v>
      </x:c>
      <x:c r="I5581" s="40" t="n">
        <x:f>ABS(H5581)</x:f>
        <x:v>1.2315788269042969</x:v>
      </x:c>
      <x:c r="J5581" s="40" t="n">
        <x:f>H5581^2</x:f>
        <x:v>1.516786406878964</x:v>
      </x:c>
      <x:c r="K5581" s="40" t="n">
        <x:f>G5581-E5581</x:f>
        <x:v>0</x:v>
      </x:c>
      <x:c r="L5581" s="40" t="n">
        <x:f>ABS(K5581)</x:f>
        <x:v>0</x:v>
      </x:c>
      <x:c r="M5581" s="41" t="str">
        <x:v>lstm-soil-v1</x:v>
      </x:c>
    </x:row>
    <x:row r="5582">
      <x:c r="A5582" s="38" t="str">
        <x:v>7月30日现场数据</x:v>
      </x:c>
      <x:c r="B5582" s="39" t="str">
        <x:v>2026-08-05T09:45:00</x:v>
      </x:c>
      <x:c r="C5582" s="39" t="str">
        <x:v>2026-08-05T10:15:00</x:v>
      </x:c>
      <x:c r="D5582" s="47" t="n">
        <x:v>30</x:v>
      </x:c>
      <x:c r="E5582" s="40" t="n">
        <x:v>18.4</x:v>
      </x:c>
      <x:c r="F5582" s="40" t="n">
        <x:v>17.772579193115234</x:v>
      </x:c>
      <x:c r="G5582" s="40" t="n">
        <x:v>18.5</x:v>
      </x:c>
      <x:c r="H5582" s="40" t="n">
        <x:f>F5582-E5582</x:f>
        <x:v>-0.6274208068847642</x:v>
      </x:c>
      <x:c r="I5582" s="40" t="n">
        <x:f>ABS(H5582)</x:f>
        <x:v>0.6274208068847642</x:v>
      </x:c>
      <x:c r="J5582" s="40" t="n">
        <x:f>H5582^2</x:f>
        <x:v>0.3936568689119286</x:v>
      </x:c>
      <x:c r="K5582" s="40" t="n">
        <x:f>G5582-E5582</x:f>
        <x:v>0.10000000000000142</x:v>
      </x:c>
      <x:c r="L5582" s="40" t="n">
        <x:f>ABS(K5582)</x:f>
        <x:v>0.10000000000000142</x:v>
      </x:c>
      <x:c r="M5582" s="41" t="str">
        <x:v>lstm-soil-v1</x:v>
      </x:c>
    </x:row>
    <x:row r="5583">
      <x:c r="A5583" s="38" t="str">
        <x:v>7月30日现场数据</x:v>
      </x:c>
      <x:c r="B5583" s="39" t="str">
        <x:v>2026-08-05T09:45:00</x:v>
      </x:c>
      <x:c r="C5583" s="39" t="str">
        <x:v>2026-08-05T10:45:00</x:v>
      </x:c>
      <x:c r="D5583" s="47" t="n">
        <x:v>60</x:v>
      </x:c>
      <x:c r="E5583" s="40" t="n">
        <x:v>18.1</x:v>
      </x:c>
      <x:c r="F5583" s="40" t="n">
        <x:v>19.503231048583984</x:v>
      </x:c>
      <x:c r="G5583" s="40" t="n">
        <x:v>18.5</x:v>
      </x:c>
      <x:c r="H5583" s="40" t="n">
        <x:f>F5583-E5583</x:f>
        <x:v>1.403231048583983</x:v>
      </x:c>
      <x:c r="I5583" s="40" t="n">
        <x:f>ABS(H5583)</x:f>
        <x:v>1.403231048583983</x:v>
      </x:c>
      <x:c r="J5583" s="40" t="n">
        <x:f>H5583^2</x:f>
        <x:v>1.9690573757101044</x:v>
      </x:c>
      <x:c r="K5583" s="40" t="n">
        <x:f>G5583-E5583</x:f>
        <x:v>0.3999999999999986</x:v>
      </x:c>
      <x:c r="L5583" s="40" t="n">
        <x:f>ABS(K5583)</x:f>
        <x:v>0.3999999999999986</x:v>
      </x:c>
      <x:c r="M5583" s="41" t="str">
        <x:v>lstm-soil-v1</x:v>
      </x:c>
    </x:row>
    <x:row r="5584">
      <x:c r="A5584" s="38" t="str">
        <x:v>7月30日现场数据</x:v>
      </x:c>
      <x:c r="B5584" s="39" t="str">
        <x:v>2026-08-05T09:50:00</x:v>
      </x:c>
      <x:c r="C5584" s="39" t="str">
        <x:v>2026-08-05T09:55:00</x:v>
      </x:c>
      <x:c r="D5584" s="47" t="n">
        <x:v>5</x:v>
      </x:c>
      <x:c r="E5584" s="40" t="n">
        <x:v>18.5</x:v>
      </x:c>
      <x:c r="F5584" s="40" t="n">
        <x:v>17.2508544921875</x:v>
      </x:c>
      <x:c r="G5584" s="40" t="n">
        <x:v>18.5</x:v>
      </x:c>
      <x:c r="H5584" s="40" t="n">
        <x:f>F5584-E5584</x:f>
        <x:v>-1.2491455078125</x:v>
      </x:c>
      <x:c r="I5584" s="40" t="n">
        <x:f>ABS(H5584)</x:f>
        <x:v>1.2491455078125</x:v>
      </x:c>
      <x:c r="J5584" s="40" t="n">
        <x:f>H5584^2</x:f>
        <x:v>1.5603644996881485</x:v>
      </x:c>
      <x:c r="K5584" s="40" t="n">
        <x:f>G5584-E5584</x:f>
        <x:v>0</x:v>
      </x:c>
      <x:c r="L5584" s="40" t="n">
        <x:f>ABS(K5584)</x:f>
        <x:v>0</x:v>
      </x:c>
      <x:c r="M5584" s="41" t="str">
        <x:v>lstm-soil-v1</x:v>
      </x:c>
    </x:row>
    <x:row r="5585">
      <x:c r="A5585" s="38" t="str">
        <x:v>7月30日现场数据</x:v>
      </x:c>
      <x:c r="B5585" s="39" t="str">
        <x:v>2026-08-05T09:50:00</x:v>
      </x:c>
      <x:c r="C5585" s="39" t="str">
        <x:v>2026-08-05T10:05:00</x:v>
      </x:c>
      <x:c r="D5585" s="47" t="n">
        <x:v>15</x:v>
      </x:c>
      <x:c r="E5585" s="40" t="n">
        <x:v>18.4</x:v>
      </x:c>
      <x:c r="F5585" s="40" t="n">
        <x:v>17.267955780029297</x:v>
      </x:c>
      <x:c r="G5585" s="40" t="n">
        <x:v>18.5</x:v>
      </x:c>
      <x:c r="H5585" s="40" t="n">
        <x:f>F5585-E5585</x:f>
        <x:v>-1.1320442199707017</x:v>
      </x:c>
      <x:c r="I5585" s="40" t="n">
        <x:f>ABS(H5585)</x:f>
        <x:v>1.1320442199707017</x:v>
      </x:c>
      <x:c r="J5585" s="40" t="n">
        <x:f>H5585^2</x:f>
        <x:v>1.2815241159690745</x:v>
      </x:c>
      <x:c r="K5585" s="40" t="n">
        <x:f>G5585-E5585</x:f>
        <x:v>0.10000000000000142</x:v>
      </x:c>
      <x:c r="L5585" s="40" t="n">
        <x:f>ABS(K5585)</x:f>
        <x:v>0.10000000000000142</x:v>
      </x:c>
      <x:c r="M5585" s="41" t="str">
        <x:v>lstm-soil-v1</x:v>
      </x:c>
    </x:row>
    <x:row r="5586">
      <x:c r="A5586" s="38" t="str">
        <x:v>7月30日现场数据</x:v>
      </x:c>
      <x:c r="B5586" s="39" t="str">
        <x:v>2026-08-05T09:50:00</x:v>
      </x:c>
      <x:c r="C5586" s="39" t="str">
        <x:v>2026-08-05T10:20:00</x:v>
      </x:c>
      <x:c r="D5586" s="47" t="n">
        <x:v>30</x:v>
      </x:c>
      <x:c r="E5586" s="40" t="n">
        <x:v>18.3</x:v>
      </x:c>
      <x:c r="F5586" s="40" t="n">
        <x:v>17.78553009033203</x:v>
      </x:c>
      <x:c r="G5586" s="40" t="n">
        <x:v>18.5</x:v>
      </x:c>
      <x:c r="H5586" s="40" t="n">
        <x:f>F5586-E5586</x:f>
        <x:v>-0.5144699096679695</x:v>
      </x:c>
      <x:c r="I5586" s="40" t="n">
        <x:f>ABS(H5586)</x:f>
        <x:v>0.5144699096679695</x:v>
      </x:c>
      <x:c r="J5586" s="40" t="n">
        <x:f>H5586^2</x:f>
        <x:v>0.26467928795376866</x:v>
      </x:c>
      <x:c r="K5586" s="40" t="n">
        <x:f>G5586-E5586</x:f>
        <x:v>0.1999999999999993</x:v>
      </x:c>
      <x:c r="L5586" s="40" t="n">
        <x:f>ABS(K5586)</x:f>
        <x:v>0.1999999999999993</x:v>
      </x:c>
      <x:c r="M5586" s="41" t="str">
        <x:v>lstm-soil-v1</x:v>
      </x:c>
    </x:row>
    <x:row r="5587">
      <x:c r="A5587" s="38" t="str">
        <x:v>7月30日现场数据</x:v>
      </x:c>
      <x:c r="B5587" s="39" t="str">
        <x:v>2026-08-05T09:50:00</x:v>
      </x:c>
      <x:c r="C5587" s="39" t="str">
        <x:v>2026-08-05T10:50:00</x:v>
      </x:c>
      <x:c r="D5587" s="47" t="n">
        <x:v>60</x:v>
      </x:c>
      <x:c r="E5587" s="40" t="n">
        <x:v>18</x:v>
      </x:c>
      <x:c r="F5587" s="40" t="n">
        <x:v>19.52606201171875</x:v>
      </x:c>
      <x:c r="G5587" s="40" t="n">
        <x:v>18.5</x:v>
      </x:c>
      <x:c r="H5587" s="40" t="n">
        <x:f>F5587-E5587</x:f>
        <x:v>1.52606201171875</x:v>
      </x:c>
      <x:c r="I5587" s="40" t="n">
        <x:f>ABS(H5587)</x:f>
        <x:v>1.52606201171875</x:v>
      </x:c>
      <x:c r="J5587" s="40" t="n">
        <x:f>H5587^2</x:f>
        <x:v>2.3288652636110783</x:v>
      </x:c>
      <x:c r="K5587" s="40" t="n">
        <x:f>G5587-E5587</x:f>
        <x:v>0.5</x:v>
      </x:c>
      <x:c r="L5587" s="40" t="n">
        <x:f>ABS(K5587)</x:f>
        <x:v>0.5</x:v>
      </x:c>
      <x:c r="M5587" s="41" t="str">
        <x:v>lstm-soil-v1</x:v>
      </x:c>
    </x:row>
    <x:row r="5588">
      <x:c r="A5588" s="38" t="str">
        <x:v>7月30日现场数据</x:v>
      </x:c>
      <x:c r="B5588" s="39" t="str">
        <x:v>2026-08-05T09:55:00</x:v>
      </x:c>
      <x:c r="C5588" s="39" t="str">
        <x:v>2026-08-05T10:00:00</x:v>
      </x:c>
      <x:c r="D5588" s="47" t="n">
        <x:v>5</x:v>
      </x:c>
      <x:c r="E5588" s="40" t="n">
        <x:v>18.5</x:v>
      </x:c>
      <x:c r="F5588" s="40" t="n">
        <x:v>17.255287170410156</x:v>
      </x:c>
      <x:c r="G5588" s="40" t="n">
        <x:v>18.5</x:v>
      </x:c>
      <x:c r="H5588" s="40" t="n">
        <x:f>F5588-E5588</x:f>
        <x:v>-1.2447128295898438</x:v>
      </x:c>
      <x:c r="I5588" s="40" t="n">
        <x:f>ABS(H5588)</x:f>
        <x:v>1.2447128295898438</x:v>
      </x:c>
      <x:c r="J5588" s="40" t="n">
        <x:f>H5588^2</x:f>
        <x:v>1.5493100281455554</x:v>
      </x:c>
      <x:c r="K5588" s="40" t="n">
        <x:f>G5588-E5588</x:f>
        <x:v>0</x:v>
      </x:c>
      <x:c r="L5588" s="40" t="n">
        <x:f>ABS(K5588)</x:f>
        <x:v>0</x:v>
      </x:c>
      <x:c r="M5588" s="41" t="str">
        <x:v>lstm-soil-v1</x:v>
      </x:c>
    </x:row>
    <x:row r="5589">
      <x:c r="A5589" s="38" t="str">
        <x:v>7月30日现场数据</x:v>
      </x:c>
      <x:c r="B5589" s="39" t="str">
        <x:v>2026-08-05T09:55:00</x:v>
      </x:c>
      <x:c r="C5589" s="39" t="str">
        <x:v>2026-08-05T10:10:00</x:v>
      </x:c>
      <x:c r="D5589" s="47" t="n">
        <x:v>15</x:v>
      </x:c>
      <x:c r="E5589" s="40" t="n">
        <x:v>18.4</x:v>
      </x:c>
      <x:c r="F5589" s="40" t="n">
        <x:v>17.268409729003906</x:v>
      </x:c>
      <x:c r="G5589" s="40" t="n">
        <x:v>18.5</x:v>
      </x:c>
      <x:c r="H5589" s="40" t="n">
        <x:f>F5589-E5589</x:f>
        <x:v>-1.1315902709960923</x:v>
      </x:c>
      <x:c r="I5589" s="40" t="n">
        <x:f>ABS(H5589)</x:f>
        <x:v>1.1315902709960923</x:v>
      </x:c>
      <x:c r="J5589" s="40" t="n">
        <x:f>H5589^2</x:f>
        <x:v>1.2804965414130096</x:v>
      </x:c>
      <x:c r="K5589" s="40" t="n">
        <x:f>G5589-E5589</x:f>
        <x:v>0.10000000000000142</x:v>
      </x:c>
      <x:c r="L5589" s="40" t="n">
        <x:f>ABS(K5589)</x:f>
        <x:v>0.10000000000000142</x:v>
      </x:c>
      <x:c r="M5589" s="41" t="str">
        <x:v>lstm-soil-v1</x:v>
      </x:c>
    </x:row>
    <x:row r="5590">
      <x:c r="A5590" s="38" t="str">
        <x:v>7月30日现场数据</x:v>
      </x:c>
      <x:c r="B5590" s="39" t="str">
        <x:v>2026-08-05T09:55:00</x:v>
      </x:c>
      <x:c r="C5590" s="39" t="str">
        <x:v>2026-08-05T10:25:00</x:v>
      </x:c>
      <x:c r="D5590" s="47" t="n">
        <x:v>30</x:v>
      </x:c>
      <x:c r="E5590" s="40" t="n">
        <x:v>18.3</x:v>
      </x:c>
      <x:c r="F5590" s="40" t="n">
        <x:v>17.7945556640625</x:v>
      </x:c>
      <x:c r="G5590" s="40" t="n">
        <x:v>18.5</x:v>
      </x:c>
      <x:c r="H5590" s="40" t="n">
        <x:f>F5590-E5590</x:f>
        <x:v>-0.5054443359375007</x:v>
      </x:c>
      <x:c r="I5590" s="40" t="n">
        <x:f>ABS(H5590)</x:f>
        <x:v>0.5054443359375007</x:v>
      </x:c>
      <x:c r="J5590" s="40" t="n">
        <x:f>H5590^2</x:f>
        <x:v>0.25547397673130107</x:v>
      </x:c>
      <x:c r="K5590" s="40" t="n">
        <x:f>G5590-E5590</x:f>
        <x:v>0.1999999999999993</x:v>
      </x:c>
      <x:c r="L5590" s="40" t="n">
        <x:f>ABS(K5590)</x:f>
        <x:v>0.1999999999999993</x:v>
      </x:c>
      <x:c r="M5590" s="41" t="str">
        <x:v>lstm-soil-v1</x:v>
      </x:c>
    </x:row>
    <x:row r="5591">
      <x:c r="A5591" s="38" t="str">
        <x:v>7月30日现场数据</x:v>
      </x:c>
      <x:c r="B5591" s="39" t="str">
        <x:v>2026-08-05T09:55:00</x:v>
      </x:c>
      <x:c r="C5591" s="39" t="str">
        <x:v>2026-08-05T10:55:00</x:v>
      </x:c>
      <x:c r="D5591" s="47" t="n">
        <x:v>60</x:v>
      </x:c>
      <x:c r="E5591" s="40" t="n">
        <x:v>18</x:v>
      </x:c>
      <x:c r="F5591" s="40" t="n">
        <x:v>19.542076110839844</x:v>
      </x:c>
      <x:c r="G5591" s="40" t="n">
        <x:v>18.5</x:v>
      </x:c>
      <x:c r="H5591" s="40" t="n">
        <x:f>F5591-E5591</x:f>
        <x:v>1.5420761108398438</x:v>
      </x:c>
      <x:c r="I5591" s="40" t="n">
        <x:f>ABS(H5591)</x:f>
        <x:v>1.5420761108398438</x:v>
      </x:c>
      <x:c r="J5591" s="40" t="n">
        <x:f>H5591^2</x:f>
        <x:v>2.377998731622938</x:v>
      </x:c>
      <x:c r="K5591" s="40" t="n">
        <x:f>G5591-E5591</x:f>
        <x:v>0.5</x:v>
      </x:c>
      <x:c r="L5591" s="40" t="n">
        <x:f>ABS(K5591)</x:f>
        <x:v>0.5</x:v>
      </x:c>
      <x:c r="M5591" s="41" t="str">
        <x:v>lstm-soil-v1</x:v>
      </x:c>
    </x:row>
    <x:row r="5592">
      <x:c r="A5592" s="38" t="str">
        <x:v>7月30日现场数据</x:v>
      </x:c>
      <x:c r="B5592" s="39" t="str">
        <x:v>2026-08-05T10:00:00</x:v>
      </x:c>
      <x:c r="C5592" s="39" t="str">
        <x:v>2026-08-05T10:05:00</x:v>
      </x:c>
      <x:c r="D5592" s="47" t="n">
        <x:v>5</x:v>
      </x:c>
      <x:c r="E5592" s="40" t="n">
        <x:v>18.4</x:v>
      </x:c>
      <x:c r="F5592" s="40" t="n">
        <x:v>17.252227783203125</x:v>
      </x:c>
      <x:c r="G5592" s="40" t="n">
        <x:v>18.5</x:v>
      </x:c>
      <x:c r="H5592" s="40" t="n">
        <x:f>F5592-E5592</x:f>
        <x:v>-1.1477722167968736</x:v>
      </x:c>
      <x:c r="I5592" s="40" t="n">
        <x:f>ABS(H5592)</x:f>
        <x:v>1.1477722167968736</x:v>
      </x:c>
      <x:c r="J5592" s="40" t="n">
        <x:f>H5592^2</x:f>
        <x:v>1.3173810616508093</x:v>
      </x:c>
      <x:c r="K5592" s="40" t="n">
        <x:f>G5592-E5592</x:f>
        <x:v>0.10000000000000142</x:v>
      </x:c>
      <x:c r="L5592" s="40" t="n">
        <x:f>ABS(K5592)</x:f>
        <x:v>0.10000000000000142</x:v>
      </x:c>
      <x:c r="M5592" s="41" t="str">
        <x:v>lstm-soil-v1</x:v>
      </x:c>
    </x:row>
    <x:row r="5593">
      <x:c r="A5593" s="38" t="str">
        <x:v>7月30日现场数据</x:v>
      </x:c>
      <x:c r="B5593" s="39" t="str">
        <x:v>2026-08-05T10:00:00</x:v>
      </x:c>
      <x:c r="C5593" s="39" t="str">
        <x:v>2026-08-05T10:15:00</x:v>
      </x:c>
      <x:c r="D5593" s="47" t="n">
        <x:v>15</x:v>
      </x:c>
      <x:c r="E5593" s="40" t="n">
        <x:v>18.4</x:v>
      </x:c>
      <x:c r="F5593" s="40" t="n">
        <x:v>17.277294158935547</x:v>
      </x:c>
      <x:c r="G5593" s="40" t="n">
        <x:v>18.5</x:v>
      </x:c>
      <x:c r="H5593" s="40" t="n">
        <x:f>F5593-E5593</x:f>
        <x:v>-1.1227058410644517</x:v>
      </x:c>
      <x:c r="I5593" s="40" t="n">
        <x:f>ABS(H5593)</x:f>
        <x:v>1.1227058410644517</x:v>
      </x:c>
      <x:c r="J5593" s="40" t="n">
        <x:f>H5593^2</x:f>
        <x:v>1.260468405560238</x:v>
      </x:c>
      <x:c r="K5593" s="40" t="n">
        <x:f>G5593-E5593</x:f>
        <x:v>0.10000000000000142</x:v>
      </x:c>
      <x:c r="L5593" s="40" t="n">
        <x:f>ABS(K5593)</x:f>
        <x:v>0.10000000000000142</x:v>
      </x:c>
      <x:c r="M5593" s="41" t="str">
        <x:v>lstm-soil-v1</x:v>
      </x:c>
    </x:row>
    <x:row r="5594">
      <x:c r="A5594" s="38" t="str">
        <x:v>7月30日现场数据</x:v>
      </x:c>
      <x:c r="B5594" s="39" t="str">
        <x:v>2026-08-05T10:00:00</x:v>
      </x:c>
      <x:c r="C5594" s="39" t="str">
        <x:v>2026-08-05T10:30:00</x:v>
      </x:c>
      <x:c r="D5594" s="47" t="n">
        <x:v>30</x:v>
      </x:c>
      <x:c r="E5594" s="40" t="n">
        <x:v>18.2</x:v>
      </x:c>
      <x:c r="F5594" s="40" t="n">
        <x:v>17.79178237915039</x:v>
      </x:c>
      <x:c r="G5594" s="40" t="n">
        <x:v>18.5</x:v>
      </x:c>
      <x:c r="H5594" s="40" t="n">
        <x:f>F5594-E5594</x:f>
        <x:v>-0.40821762084960866</x:v>
      </x:c>
      <x:c r="I5594" s="40" t="n">
        <x:f>ABS(H5594)</x:f>
        <x:v>0.40821762084960866</x:v>
      </x:c>
      <x:c r="J5594" s="40" t="n">
        <x:f>H5594^2</x:f>
        <x:v>0.16664162597211485</x:v>
      </x:c>
      <x:c r="K5594" s="40" t="n">
        <x:f>G5594-E5594</x:f>
        <x:v>0.3000000000000007</x:v>
      </x:c>
      <x:c r="L5594" s="40" t="n">
        <x:f>ABS(K5594)</x:f>
        <x:v>0.3000000000000007</x:v>
      </x:c>
      <x:c r="M5594" s="41" t="str">
        <x:v>lstm-soil-v1</x:v>
      </x:c>
    </x:row>
    <x:row r="5595">
      <x:c r="A5595" s="38" t="str">
        <x:v>7月30日现场数据</x:v>
      </x:c>
      <x:c r="B5595" s="39" t="str">
        <x:v>2026-08-05T10:00:00</x:v>
      </x:c>
      <x:c r="C5595" s="39" t="str">
        <x:v>2026-08-05T11:00:00</x:v>
      </x:c>
      <x:c r="D5595" s="47" t="n">
        <x:v>60</x:v>
      </x:c>
      <x:c r="E5595" s="40" t="n">
        <x:v>18</x:v>
      </x:c>
      <x:c r="F5595" s="40" t="n">
        <x:v>19.526081085205078</x:v>
      </x:c>
      <x:c r="G5595" s="40" t="n">
        <x:v>18.5</x:v>
      </x:c>
      <x:c r="H5595" s="40" t="n">
        <x:f>F5595-E5595</x:f>
        <x:v>1.5260810852050781</x:v>
      </x:c>
      <x:c r="I5595" s="40" t="n">
        <x:f>ABS(H5595)</x:f>
        <x:v>1.5260810852050781</x:v>
      </x:c>
      <x:c r="J5595" s="40" t="n">
        <x:f>H5595^2</x:f>
        <x:v>2.328923478620709</x:v>
      </x:c>
      <x:c r="K5595" s="40" t="n">
        <x:f>G5595-E5595</x:f>
        <x:v>0.5</x:v>
      </x:c>
      <x:c r="L5595" s="40" t="n">
        <x:f>ABS(K5595)</x:f>
        <x:v>0.5</x:v>
      </x:c>
      <x:c r="M5595" s="41" t="str">
        <x:v>lstm-soil-v1</x:v>
      </x:c>
    </x:row>
    <x:row r="5596">
      <x:c r="A5596" s="38" t="str">
        <x:v>7月30日现场数据</x:v>
      </x:c>
      <x:c r="B5596" s="39" t="str">
        <x:v>2026-08-05T10:05:00</x:v>
      </x:c>
      <x:c r="C5596" s="39" t="str">
        <x:v>2026-08-05T10:10:00</x:v>
      </x:c>
      <x:c r="D5596" s="47" t="n">
        <x:v>5</x:v>
      </x:c>
      <x:c r="E5596" s="40" t="n">
        <x:v>18.4</x:v>
      </x:c>
      <x:c r="F5596" s="40" t="n">
        <x:v>17.123092651367188</x:v>
      </x:c>
      <x:c r="G5596" s="40" t="n">
        <x:v>18.4</x:v>
      </x:c>
      <x:c r="H5596" s="40" t="n">
        <x:f>F5596-E5596</x:f>
        <x:v>-1.276907348632811</x:v>
      </x:c>
      <x:c r="I5596" s="40" t="n">
        <x:f>ABS(H5596)</x:f>
        <x:v>1.276907348632811</x:v>
      </x:c>
      <x:c r="J5596" s="40" t="n">
        <x:f>H5596^2</x:f>
        <x:v>1.6304923769924753</x:v>
      </x:c>
      <x:c r="K5596" s="40" t="n">
        <x:f>G5596-E5596</x:f>
        <x:v>0</x:v>
      </x:c>
      <x:c r="L5596" s="40" t="n">
        <x:f>ABS(K5596)</x:f>
        <x:v>0</x:v>
      </x:c>
      <x:c r="M5596" s="41" t="str">
        <x:v>lstm-soil-v1</x:v>
      </x:c>
    </x:row>
    <x:row r="5597">
      <x:c r="A5597" s="38" t="str">
        <x:v>7月30日现场数据</x:v>
      </x:c>
      <x:c r="B5597" s="39" t="str">
        <x:v>2026-08-05T10:05:00</x:v>
      </x:c>
      <x:c r="C5597" s="39" t="str">
        <x:v>2026-08-05T10:20:00</x:v>
      </x:c>
      <x:c r="D5597" s="47" t="n">
        <x:v>15</x:v>
      </x:c>
      <x:c r="E5597" s="40" t="n">
        <x:v>18.3</x:v>
      </x:c>
      <x:c r="F5597" s="40" t="n">
        <x:v>17.18227767944336</x:v>
      </x:c>
      <x:c r="G5597" s="40" t="n">
        <x:v>18.4</x:v>
      </x:c>
      <x:c r="H5597" s="40" t="n">
        <x:f>F5597-E5597</x:f>
        <x:v>-1.1177223205566413</x:v>
      </x:c>
      <x:c r="I5597" s="40" t="n">
        <x:f>ABS(H5597)</x:f>
        <x:v>1.1177223205566413</x:v>
      </x:c>
      <x:c r="J5597" s="40" t="n">
        <x:f>H5597^2</x:f>
        <x:v>1.2493031858705232</x:v>
      </x:c>
      <x:c r="K5597" s="40" t="n">
        <x:f>G5597-E5597</x:f>
        <x:v>0.09999999999999787</x:v>
      </x:c>
      <x:c r="L5597" s="40" t="n">
        <x:f>ABS(K5597)</x:f>
        <x:v>0.09999999999999787</x:v>
      </x:c>
      <x:c r="M5597" s="41" t="str">
        <x:v>lstm-soil-v1</x:v>
      </x:c>
    </x:row>
    <x:row r="5598">
      <x:c r="A5598" s="38" t="str">
        <x:v>7月30日现场数据</x:v>
      </x:c>
      <x:c r="B5598" s="39" t="str">
        <x:v>2026-08-05T10:05:00</x:v>
      </x:c>
      <x:c r="C5598" s="39" t="str">
        <x:v>2026-08-05T10:35:00</x:v>
      </x:c>
      <x:c r="D5598" s="47" t="n">
        <x:v>30</x:v>
      </x:c>
      <x:c r="E5598" s="40" t="n">
        <x:v>18.2</x:v>
      </x:c>
      <x:c r="F5598" s="40" t="n">
        <x:v>17.65149688720703</x:v>
      </x:c>
      <x:c r="G5598" s="40" t="n">
        <x:v>18.4</x:v>
      </x:c>
      <x:c r="H5598" s="40" t="n">
        <x:f>F5598-E5598</x:f>
        <x:v>-0.548503112792968</x:v>
      </x:c>
      <x:c r="I5598" s="40" t="n">
        <x:f>ABS(H5598)</x:f>
        <x:v>0.548503112792968</x:v>
      </x:c>
      <x:c r="J5598" s="40" t="n">
        <x:f>H5598^2</x:f>
        <x:v>0.30085566474357545</x:v>
      </x:c>
      <x:c r="K5598" s="40" t="n">
        <x:f>G5598-E5598</x:f>
        <x:v>0.1999999999999993</x:v>
      </x:c>
      <x:c r="L5598" s="40" t="n">
        <x:f>ABS(K5598)</x:f>
        <x:v>0.1999999999999993</x:v>
      </x:c>
      <x:c r="M5598" s="41" t="str">
        <x:v>lstm-soil-v1</x:v>
      </x:c>
    </x:row>
    <x:row r="5599">
      <x:c r="A5599" s="38" t="str">
        <x:v>7月30日现场数据</x:v>
      </x:c>
      <x:c r="B5599" s="39" t="str">
        <x:v>2026-08-05T10:05:00</x:v>
      </x:c>
      <x:c r="C5599" s="39" t="str">
        <x:v>2026-08-05T11:05:00</x:v>
      </x:c>
      <x:c r="D5599" s="47" t="n">
        <x:v>60</x:v>
      </x:c>
      <x:c r="E5599" s="40" t="n">
        <x:v>17.9</x:v>
      </x:c>
      <x:c r="F5599" s="40" t="n">
        <x:v>19.348346710205078</x:v>
      </x:c>
      <x:c r="G5599" s="40" t="n">
        <x:v>18.4</x:v>
      </x:c>
      <x:c r="H5599" s="40" t="n">
        <x:f>F5599-E5599</x:f>
        <x:v>1.4483467102050795</x:v>
      </x:c>
      <x:c r="I5599" s="40" t="n">
        <x:f>ABS(H5599)</x:f>
        <x:v>1.4483467102050795</x:v>
      </x:c>
      <x:c r="J5599" s="40" t="n">
        <x:f>H5599^2</x:f>
        <x:v>2.0977081929618766</x:v>
      </x:c>
      <x:c r="K5599" s="40" t="n">
        <x:f>G5599-E5599</x:f>
        <x:v>0.5</x:v>
      </x:c>
      <x:c r="L5599" s="40" t="n">
        <x:f>ABS(K5599)</x:f>
        <x:v>0.5</x:v>
      </x:c>
      <x:c r="M5599" s="41" t="str">
        <x:v>lstm-soil-v1</x:v>
      </x:c>
    </x:row>
    <x:row r="5600">
      <x:c r="A5600" s="38" t="str">
        <x:v>7月30日现场数据</x:v>
      </x:c>
      <x:c r="B5600" s="39" t="str">
        <x:v>2026-08-05T10:10:00</x:v>
      </x:c>
      <x:c r="C5600" s="39" t="str">
        <x:v>2026-08-05T10:15:00</x:v>
      </x:c>
      <x:c r="D5600" s="47" t="n">
        <x:v>5</x:v>
      </x:c>
      <x:c r="E5600" s="40" t="n">
        <x:v>18.4</x:v>
      </x:c>
      <x:c r="F5600" s="40" t="n">
        <x:v>17.098587036132812</x:v>
      </x:c>
      <x:c r="G5600" s="40" t="n">
        <x:v>18.4</x:v>
      </x:c>
      <x:c r="H5600" s="40" t="n">
        <x:f>F5600-E5600</x:f>
        <x:v>-1.301412963867186</x:v>
      </x:c>
      <x:c r="I5600" s="40" t="n">
        <x:f>ABS(H5600)</x:f>
        <x:v>1.301412963867186</x:v>
      </x:c>
      <x:c r="J5600" s="40" t="n">
        <x:f>H5600^2</x:f>
        <x:v>1.6936757025215738</x:v>
      </x:c>
      <x:c r="K5600" s="40" t="n">
        <x:f>G5600-E5600</x:f>
        <x:v>0</x:v>
      </x:c>
      <x:c r="L5600" s="40" t="n">
        <x:f>ABS(K5600)</x:f>
        <x:v>0</x:v>
      </x:c>
      <x:c r="M5600" s="41" t="str">
        <x:v>lstm-soil-v1</x:v>
      </x:c>
    </x:row>
    <x:row r="5601">
      <x:c r="A5601" s="38" t="str">
        <x:v>7月30日现场数据</x:v>
      </x:c>
      <x:c r="B5601" s="39" t="str">
        <x:v>2026-08-05T10:10:00</x:v>
      </x:c>
      <x:c r="C5601" s="39" t="str">
        <x:v>2026-08-05T10:25:00</x:v>
      </x:c>
      <x:c r="D5601" s="47" t="n">
        <x:v>15</x:v>
      </x:c>
      <x:c r="E5601" s="40" t="n">
        <x:v>18.3</x:v>
      </x:c>
      <x:c r="F5601" s="40" t="n">
        <x:v>17.168018341064453</x:v>
      </x:c>
      <x:c r="G5601" s="40" t="n">
        <x:v>18.4</x:v>
      </x:c>
      <x:c r="H5601" s="40" t="n">
        <x:f>F5601-E5601</x:f>
        <x:v>-1.1319816589355476</x:v>
      </x:c>
      <x:c r="I5601" s="40" t="n">
        <x:f>ABS(H5601)</x:f>
        <x:v>1.1319816589355476</x:v>
      </x:c>
      <x:c r="J5601" s="40" t="n">
        <x:f>H5601^2</x:f>
        <x:v>1.2813824761664743</x:v>
      </x:c>
      <x:c r="K5601" s="40" t="n">
        <x:f>G5601-E5601</x:f>
        <x:v>0.09999999999999787</x:v>
      </x:c>
      <x:c r="L5601" s="40" t="n">
        <x:f>ABS(K5601)</x:f>
        <x:v>0.09999999999999787</x:v>
      </x:c>
      <x:c r="M5601" s="41" t="str">
        <x:v>lstm-soil-v1</x:v>
      </x:c>
    </x:row>
    <x:row r="5602">
      <x:c r="A5602" s="38" t="str">
        <x:v>7月30日现场数据</x:v>
      </x:c>
      <x:c r="B5602" s="39" t="str">
        <x:v>2026-08-05T10:10:00</x:v>
      </x:c>
      <x:c r="C5602" s="39" t="str">
        <x:v>2026-08-05T10:40:00</x:v>
      </x:c>
      <x:c r="D5602" s="47" t="n">
        <x:v>30</x:v>
      </x:c>
      <x:c r="E5602" s="40" t="n">
        <x:v>18.1</x:v>
      </x:c>
      <x:c r="F5602" s="40" t="n">
        <x:v>17.60494613647461</x:v>
      </x:c>
      <x:c r="G5602" s="40" t="n">
        <x:v>18.4</x:v>
      </x:c>
      <x:c r="H5602" s="40" t="n">
        <x:f>F5602-E5602</x:f>
        <x:v>-0.49505386352539205</x:v>
      </x:c>
      <x:c r="I5602" s="40" t="n">
        <x:f>ABS(H5602)</x:f>
        <x:v>0.49505386352539205</x:v>
      </x:c>
      <x:c r="J5602" s="40" t="n">
        <x:f>H5602^2</x:f>
        <x:v>0.2450783277914175</x:v>
      </x:c>
      <x:c r="K5602" s="40" t="n">
        <x:f>G5602-E5602</x:f>
        <x:v>0.29999999999999716</x:v>
      </x:c>
      <x:c r="L5602" s="40" t="n">
        <x:f>ABS(K5602)</x:f>
        <x:v>0.29999999999999716</x:v>
      </x:c>
      <x:c r="M5602" s="41" t="str">
        <x:v>lstm-soil-v1</x:v>
      </x:c>
    </x:row>
    <x:row r="5603">
      <x:c r="A5603" s="38" t="str">
        <x:v>7月30日现场数据</x:v>
      </x:c>
      <x:c r="B5603" s="39" t="str">
        <x:v>2026-08-05T10:10:00</x:v>
      </x:c>
      <x:c r="C5603" s="39" t="str">
        <x:v>2026-08-05T11:10:00</x:v>
      </x:c>
      <x:c r="D5603" s="47" t="n">
        <x:v>60</x:v>
      </x:c>
      <x:c r="E5603" s="40" t="n">
        <x:v>17.9</x:v>
      </x:c>
      <x:c r="F5603" s="40" t="n">
        <x:v>19.291858673095703</x:v>
      </x:c>
      <x:c r="G5603" s="40" t="n">
        <x:v>18.4</x:v>
      </x:c>
      <x:c r="H5603" s="40" t="n">
        <x:f>F5603-E5603</x:f>
        <x:v>1.3918586730957045</x:v>
      </x:c>
      <x:c r="I5603" s="40" t="n">
        <x:f>ABS(H5603)</x:f>
        <x:v>1.3918586730957045</x:v>
      </x:c>
      <x:c r="J5603" s="40" t="n">
        <x:f>H5603^2</x:f>
        <x:v>1.9372705658717353</x:v>
      </x:c>
      <x:c r="K5603" s="40" t="n">
        <x:f>G5603-E5603</x:f>
        <x:v>0.5</x:v>
      </x:c>
      <x:c r="L5603" s="40" t="n">
        <x:f>ABS(K5603)</x:f>
        <x:v>0.5</x:v>
      </x:c>
      <x:c r="M5603" s="41" t="str">
        <x:v>lstm-soil-v1</x:v>
      </x:c>
    </x:row>
    <x:row r="5604">
      <x:c r="A5604" s="38" t="str">
        <x:v>7月30日现场数据</x:v>
      </x:c>
      <x:c r="B5604" s="39" t="str">
        <x:v>2026-08-05T10:15:00</x:v>
      </x:c>
      <x:c r="C5604" s="39" t="str">
        <x:v>2026-08-05T10:20:00</x:v>
      </x:c>
      <x:c r="D5604" s="47" t="n">
        <x:v>5</x:v>
      </x:c>
      <x:c r="E5604" s="40" t="n">
        <x:v>18.3</x:v>
      </x:c>
      <x:c r="F5604" s="40" t="n">
        <x:v>17.083011627197266</x:v>
      </x:c>
      <x:c r="G5604" s="40" t="n">
        <x:v>18.4</x:v>
      </x:c>
      <x:c r="H5604" s="40" t="n">
        <x:f>F5604-E5604</x:f>
        <x:v>-1.216988372802735</x:v>
      </x:c>
      <x:c r="I5604" s="40" t="n">
        <x:f>ABS(H5604)</x:f>
        <x:v>1.216988372802735</x:v>
      </x:c>
      <x:c r="J5604" s="40" t="n">
        <x:f>H5604^2</x:f>
        <x:v>1.481060699537049</x:v>
      </x:c>
      <x:c r="K5604" s="40" t="n">
        <x:f>G5604-E5604</x:f>
        <x:v>0.09999999999999787</x:v>
      </x:c>
      <x:c r="L5604" s="40" t="n">
        <x:f>ABS(K5604)</x:f>
        <x:v>0.09999999999999787</x:v>
      </x:c>
      <x:c r="M5604" s="41" t="str">
        <x:v>lstm-soil-v1</x:v>
      </x:c>
    </x:row>
    <x:row r="5605">
      <x:c r="A5605" s="38" t="str">
        <x:v>7月30日现场数据</x:v>
      </x:c>
      <x:c r="B5605" s="39" t="str">
        <x:v>2026-08-05T10:15:00</x:v>
      </x:c>
      <x:c r="C5605" s="39" t="str">
        <x:v>2026-08-05T10:30:00</x:v>
      </x:c>
      <x:c r="D5605" s="47" t="n">
        <x:v>15</x:v>
      </x:c>
      <x:c r="E5605" s="40" t="n">
        <x:v>18.2</x:v>
      </x:c>
      <x:c r="F5605" s="40" t="n">
        <x:v>17.154666900634766</x:v>
      </x:c>
      <x:c r="G5605" s="40" t="n">
        <x:v>18.4</x:v>
      </x:c>
      <x:c r="H5605" s="40" t="n">
        <x:f>F5605-E5605</x:f>
        <x:v>-1.0453330993652337</x:v>
      </x:c>
      <x:c r="I5605" s="40" t="n">
        <x:f>ABS(H5605)</x:f>
        <x:v>1.0453330993652337</x:v>
      </x:c>
      <x:c r="J5605" s="40" t="n">
        <x:f>H5605^2</x:f>
        <x:v>1.0927212886285256</x:v>
      </x:c>
      <x:c r="K5605" s="40" t="n">
        <x:f>G5605-E5605</x:f>
        <x:v>0.1999999999999993</x:v>
      </x:c>
      <x:c r="L5605" s="40" t="n">
        <x:f>ABS(K5605)</x:f>
        <x:v>0.1999999999999993</x:v>
      </x:c>
      <x:c r="M5605" s="41" t="str">
        <x:v>lstm-soil-v1</x:v>
      </x:c>
    </x:row>
    <x:row r="5606">
      <x:c r="A5606" s="38" t="str">
        <x:v>7月30日现场数据</x:v>
      </x:c>
      <x:c r="B5606" s="39" t="str">
        <x:v>2026-08-05T10:15:00</x:v>
      </x:c>
      <x:c r="C5606" s="39" t="str">
        <x:v>2026-08-05T10:45:00</x:v>
      </x:c>
      <x:c r="D5606" s="47" t="n">
        <x:v>30</x:v>
      </x:c>
      <x:c r="E5606" s="40" t="n">
        <x:v>18.1</x:v>
      </x:c>
      <x:c r="F5606" s="40" t="n">
        <x:v>17.57223129272461</x:v>
      </x:c>
      <x:c r="G5606" s="40" t="n">
        <x:v>18.4</x:v>
      </x:c>
      <x:c r="H5606" s="40" t="n">
        <x:f>F5606-E5606</x:f>
        <x:v>-0.527768707275392</x:v>
      </x:c>
      <x:c r="I5606" s="40" t="n">
        <x:f>ABS(H5606)</x:f>
        <x:v>0.527768707275392</x:v>
      </x:c>
      <x:c r="J5606" s="40" t="n">
        <x:f>H5606^2</x:f>
        <x:v>0.27853980837913844</x:v>
      </x:c>
      <x:c r="K5606" s="40" t="n">
        <x:f>G5606-E5606</x:f>
        <x:v>0.29999999999999716</x:v>
      </x:c>
      <x:c r="L5606" s="40" t="n">
        <x:f>ABS(K5606)</x:f>
        <x:v>0.29999999999999716</x:v>
      </x:c>
      <x:c r="M5606" s="41" t="str">
        <x:v>lstm-soil-v1</x:v>
      </x:c>
    </x:row>
    <x:row r="5607">
      <x:c r="A5607" s="38" t="str">
        <x:v>7月30日现场数据</x:v>
      </x:c>
      <x:c r="B5607" s="39" t="str">
        <x:v>2026-08-05T10:15:00</x:v>
      </x:c>
      <x:c r="C5607" s="39" t="str">
        <x:v>2026-08-05T11:15:00</x:v>
      </x:c>
      <x:c r="D5607" s="47" t="n">
        <x:v>60</x:v>
      </x:c>
      <x:c r="E5607" s="40" t="n">
        <x:v>17.8</x:v>
      </x:c>
      <x:c r="F5607" s="40" t="n">
        <x:v>19.247982025146484</x:v>
      </x:c>
      <x:c r="G5607" s="40" t="n">
        <x:v>18.4</x:v>
      </x:c>
      <x:c r="H5607" s="40" t="n">
        <x:f>F5607-E5607</x:f>
        <x:v>1.4479820251464837</x:v>
      </x:c>
      <x:c r="I5607" s="40" t="n">
        <x:f>ABS(H5607)</x:f>
        <x:v>1.4479820251464837</x:v>
      </x:c>
      <x:c r="J5607" s="40" t="n">
        <x:f>H5607^2</x:f>
        <x:v>2.096651945147312</x:v>
      </x:c>
      <x:c r="K5607" s="40" t="n">
        <x:f>G5607-E5607</x:f>
        <x:v>0.5999999999999979</x:v>
      </x:c>
      <x:c r="L5607" s="40" t="n">
        <x:f>ABS(K5607)</x:f>
        <x:v>0.5999999999999979</x:v>
      </x:c>
      <x:c r="M5607" s="41" t="str">
        <x:v>lstm-soil-v1</x:v>
      </x:c>
    </x:row>
    <x:row r="5608">
      <x:c r="A5608" s="38" t="str">
        <x:v>7月30日现场数据</x:v>
      </x:c>
      <x:c r="B5608" s="39" t="str">
        <x:v>2026-08-05T10:20:00</x:v>
      </x:c>
      <x:c r="C5608" s="39" t="str">
        <x:v>2026-08-05T10:25:00</x:v>
      </x:c>
      <x:c r="D5608" s="47" t="n">
        <x:v>5</x:v>
      </x:c>
      <x:c r="E5608" s="40" t="n">
        <x:v>18.3</x:v>
      </x:c>
      <x:c r="F5608" s="40" t="n">
        <x:v>16.956222534179688</x:v>
      </x:c>
      <x:c r="G5608" s="40" t="n">
        <x:v>18.3</x:v>
      </x:c>
      <x:c r="H5608" s="40" t="n">
        <x:f>F5608-E5608</x:f>
        <x:v>-1.3437774658203132</x:v>
      </x:c>
      <x:c r="I5608" s="40" t="n">
        <x:f>ABS(H5608)</x:f>
        <x:v>1.3437774658203132</x:v>
      </x:c>
      <x:c r="J5608" s="40" t="n">
        <x:f>H5608^2</x:f>
        <x:v>1.805737877646463</x:v>
      </x:c>
      <x:c r="K5608" s="40" t="n">
        <x:f>G5608-E5608</x:f>
        <x:v>0</x:v>
      </x:c>
      <x:c r="L5608" s="40" t="n">
        <x:f>ABS(K5608)</x:f>
        <x:v>0</x:v>
      </x:c>
      <x:c r="M5608" s="41" t="str">
        <x:v>lstm-soil-v1</x:v>
      </x:c>
    </x:row>
    <x:row r="5609">
      <x:c r="A5609" s="38" t="str">
        <x:v>7月30日现场数据</x:v>
      </x:c>
      <x:c r="B5609" s="39" t="str">
        <x:v>2026-08-05T10:20:00</x:v>
      </x:c>
      <x:c r="C5609" s="39" t="str">
        <x:v>2026-08-05T10:35:00</x:v>
      </x:c>
      <x:c r="D5609" s="47" t="n">
        <x:v>15</x:v>
      </x:c>
      <x:c r="E5609" s="40" t="n">
        <x:v>18.2</x:v>
      </x:c>
      <x:c r="F5609" s="40" t="n">
        <x:v>17.03554916381836</x:v>
      </x:c>
      <x:c r="G5609" s="40" t="n">
        <x:v>18.3</x:v>
      </x:c>
      <x:c r="H5609" s="40" t="n">
        <x:f>F5609-E5609</x:f>
        <x:v>-1.16445083618164</x:v>
      </x:c>
      <x:c r="I5609" s="40" t="n">
        <x:f>ABS(H5609)</x:f>
        <x:v>1.16445083618164</x:v>
      </x:c>
      <x:c r="J5609" s="40" t="n">
        <x:f>H5609^2</x:f>
        <x:v>1.3559457498841203</x:v>
      </x:c>
      <x:c r="K5609" s="40" t="n">
        <x:f>G5609-E5609</x:f>
        <x:v>0.10000000000000142</x:v>
      </x:c>
      <x:c r="L5609" s="40" t="n">
        <x:f>ABS(K5609)</x:f>
        <x:v>0.10000000000000142</x:v>
      </x:c>
      <x:c r="M5609" s="41" t="str">
        <x:v>lstm-soil-v1</x:v>
      </x:c>
    </x:row>
    <x:row r="5610">
      <x:c r="A5610" s="38" t="str">
        <x:v>7月30日现场数据</x:v>
      </x:c>
      <x:c r="B5610" s="39" t="str">
        <x:v>2026-08-05T10:20:00</x:v>
      </x:c>
      <x:c r="C5610" s="39" t="str">
        <x:v>2026-08-05T10:50:00</x:v>
      </x:c>
      <x:c r="D5610" s="47" t="n">
        <x:v>30</x:v>
      </x:c>
      <x:c r="E5610" s="40" t="n">
        <x:v>18</x:v>
      </x:c>
      <x:c r="F5610" s="40" t="n">
        <x:v>17.435379028320312</x:v>
      </x:c>
      <x:c r="G5610" s="40" t="n">
        <x:v>18.3</x:v>
      </x:c>
      <x:c r="H5610" s="40" t="n">
        <x:f>F5610-E5610</x:f>
        <x:v>-0.5646209716796875</x:v>
      </x:c>
      <x:c r="I5610" s="40" t="n">
        <x:f>ABS(H5610)</x:f>
        <x:v>0.5646209716796875</x:v>
      </x:c>
      <x:c r="J5610" s="40" t="n">
        <x:f>H5610^2</x:f>
        <x:v>0.3187968416605145</x:v>
      </x:c>
      <x:c r="K5610" s="40" t="n">
        <x:f>G5610-E5610</x:f>
        <x:v>0.3000000000000007</x:v>
      </x:c>
      <x:c r="L5610" s="40" t="n">
        <x:f>ABS(K5610)</x:f>
        <x:v>0.3000000000000007</x:v>
      </x:c>
      <x:c r="M5610" s="41" t="str">
        <x:v>lstm-soil-v1</x:v>
      </x:c>
    </x:row>
    <x:row r="5611">
      <x:c r="A5611" s="38" t="str">
        <x:v>7月30日现场数据</x:v>
      </x:c>
      <x:c r="B5611" s="39" t="str">
        <x:v>2026-08-05T10:20:00</x:v>
      </x:c>
      <x:c r="C5611" s="39" t="str">
        <x:v>2026-08-05T11:20:00</x:v>
      </x:c>
      <x:c r="D5611" s="47" t="n">
        <x:v>60</x:v>
      </x:c>
      <x:c r="E5611" s="40" t="n">
        <x:v>17.8</x:v>
      </x:c>
      <x:c r="F5611" s="40" t="n">
        <x:v>19.101104736328125</x:v>
      </x:c>
      <x:c r="G5611" s="40" t="n">
        <x:v>18.3</x:v>
      </x:c>
      <x:c r="H5611" s="40" t="n">
        <x:f>F5611-E5611</x:f>
        <x:v>1.3011047363281243</x:v>
      </x:c>
      <x:c r="I5611" s="40" t="n">
        <x:f>ABS(H5611)</x:f>
        <x:v>1.3011047363281243</x:v>
      </x:c>
      <x:c r="J5611" s="40" t="n">
        <x:f>H5611^2</x:f>
        <x:v>1.6928735348954778</x:v>
      </x:c>
      <x:c r="K5611" s="40" t="n">
        <x:f>G5611-E5611</x:f>
        <x:v>0.5</x:v>
      </x:c>
      <x:c r="L5611" s="40" t="n">
        <x:f>ABS(K5611)</x:f>
        <x:v>0.5</x:v>
      </x:c>
      <x:c r="M5611" s="41" t="str">
        <x:v>lstm-soil-v1</x:v>
      </x:c>
    </x:row>
    <x:row r="5612">
      <x:c r="A5612" s="38" t="str">
        <x:v>7月30日现场数据</x:v>
      </x:c>
      <x:c r="B5612" s="39" t="str">
        <x:v>2026-08-05T10:25:00</x:v>
      </x:c>
      <x:c r="C5612" s="39" t="str">
        <x:v>2026-08-05T10:30:00</x:v>
      </x:c>
      <x:c r="D5612" s="47" t="n">
        <x:v>5</x:v>
      </x:c>
      <x:c r="E5612" s="40" t="n">
        <x:v>18.2</x:v>
      </x:c>
      <x:c r="F5612" s="40" t="n">
        <x:v>16.944110870361328</x:v>
      </x:c>
      <x:c r="G5612" s="40" t="n">
        <x:v>18.3</x:v>
      </x:c>
      <x:c r="H5612" s="40" t="n">
        <x:f>F5612-E5612</x:f>
        <x:v>-1.2558891296386712</x:v>
      </x:c>
      <x:c r="I5612" s="40" t="n">
        <x:f>ABS(H5612)</x:f>
        <x:v>1.2558891296386712</x:v>
      </x:c>
      <x:c r="J5612" s="40" t="n">
        <x:f>H5612^2</x:f>
        <x:v>1.577257505944579</x:v>
      </x:c>
      <x:c r="K5612" s="40" t="n">
        <x:f>G5612-E5612</x:f>
        <x:v>0.10000000000000142</x:v>
      </x:c>
      <x:c r="L5612" s="40" t="n">
        <x:f>ABS(K5612)</x:f>
        <x:v>0.10000000000000142</x:v>
      </x:c>
      <x:c r="M5612" s="41" t="str">
        <x:v>lstm-soil-v1</x:v>
      </x:c>
    </x:row>
    <x:row r="5613">
      <x:c r="A5613" s="38" t="str">
        <x:v>7月30日现场数据</x:v>
      </x:c>
      <x:c r="B5613" s="39" t="str">
        <x:v>2026-08-05T10:25:00</x:v>
      </x:c>
      <x:c r="C5613" s="39" t="str">
        <x:v>2026-08-05T10:40:00</x:v>
      </x:c>
      <x:c r="D5613" s="47" t="n">
        <x:v>15</x:v>
      </x:c>
      <x:c r="E5613" s="40" t="n">
        <x:v>18.1</x:v>
      </x:c>
      <x:c r="F5613" s="40" t="n">
        <x:v>17.02721405029297</x:v>
      </x:c>
      <x:c r="G5613" s="40" t="n">
        <x:v>18.3</x:v>
      </x:c>
      <x:c r="H5613" s="40" t="n">
        <x:f>F5613-E5613</x:f>
        <x:v>-1.0727859497070327</x:v>
      </x:c>
      <x:c r="I5613" s="40" t="n">
        <x:f>ABS(H5613)</x:f>
        <x:v>1.0727859497070327</x:v>
      </x:c>
      <x:c r="J5613" s="40" t="n">
        <x:f>H5613^2</x:f>
        <x:v>1.15086969388882</x:v>
      </x:c>
      <x:c r="K5613" s="40" t="n">
        <x:f>G5613-E5613</x:f>
        <x:v>0.1999999999999993</x:v>
      </x:c>
      <x:c r="L5613" s="40" t="n">
        <x:f>ABS(K5613)</x:f>
        <x:v>0.1999999999999993</x:v>
      </x:c>
      <x:c r="M5613" s="41" t="str">
        <x:v>lstm-soil-v1</x:v>
      </x:c>
    </x:row>
    <x:row r="5614">
      <x:c r="A5614" s="38" t="str">
        <x:v>7月30日现场数据</x:v>
      </x:c>
      <x:c r="B5614" s="39" t="str">
        <x:v>2026-08-05T10:25:00</x:v>
      </x:c>
      <x:c r="C5614" s="39" t="str">
        <x:v>2026-08-05T10:55:00</x:v>
      </x:c>
      <x:c r="D5614" s="47" t="n">
        <x:v>30</x:v>
      </x:c>
      <x:c r="E5614" s="40" t="n">
        <x:v>18</x:v>
      </x:c>
      <x:c r="F5614" s="40" t="n">
        <x:v>17.416038513183594</x:v>
      </x:c>
      <x:c r="G5614" s="40" t="n">
        <x:v>18.3</x:v>
      </x:c>
      <x:c r="H5614" s="40" t="n">
        <x:f>F5614-E5614</x:f>
        <x:v>-0.5839614868164062</x:v>
      </x:c>
      <x:c r="I5614" s="40" t="n">
        <x:f>ABS(H5614)</x:f>
        <x:v>0.5839614868164062</x:v>
      </x:c>
      <x:c r="J5614" s="40" t="n">
        <x:f>H5614^2</x:f>
        <x:v>0.3410110180848278</x:v>
      </x:c>
      <x:c r="K5614" s="40" t="n">
        <x:f>G5614-E5614</x:f>
        <x:v>0.3000000000000007</x:v>
      </x:c>
      <x:c r="L5614" s="40" t="n">
        <x:f>ABS(K5614)</x:f>
        <x:v>0.3000000000000007</x:v>
      </x:c>
      <x:c r="M5614" s="41" t="str">
        <x:v>lstm-soil-v1</x:v>
      </x:c>
    </x:row>
    <x:row r="5615">
      <x:c r="A5615" s="38" t="str">
        <x:v>7月30日现场数据</x:v>
      </x:c>
      <x:c r="B5615" s="39" t="str">
        <x:v>2026-08-05T10:25:00</x:v>
      </x:c>
      <x:c r="C5615" s="39" t="str">
        <x:v>2026-08-05T11:25:00</x:v>
      </x:c>
      <x:c r="D5615" s="47" t="n">
        <x:v>60</x:v>
      </x:c>
      <x:c r="E5615" s="40" t="n">
        <x:v>17.7</x:v>
      </x:c>
      <x:c r="F5615" s="40" t="n">
        <x:v>19.077701568603516</x:v>
      </x:c>
      <x:c r="G5615" s="40" t="n">
        <x:v>18.3</x:v>
      </x:c>
      <x:c r="H5615" s="40" t="n">
        <x:f>F5615-E5615</x:f>
        <x:v>1.3777015686035163</x:v>
      </x:c>
      <x:c r="I5615" s="40" t="n">
        <x:f>ABS(H5615)</x:f>
        <x:v>1.3777015686035163</x:v>
      </x:c>
      <x:c r="J5615" s="40" t="n">
        <x:f>H5615^2</x:f>
        <x:v>1.8980616121325895</x:v>
      </x:c>
      <x:c r="K5615" s="40" t="n">
        <x:f>G5615-E5615</x:f>
        <x:v>0.6000000000000014</x:v>
      </x:c>
      <x:c r="L5615" s="40" t="n">
        <x:f>ABS(K5615)</x:f>
        <x:v>0.6000000000000014</x:v>
      </x:c>
      <x:c r="M5615" s="41" t="str">
        <x:v>lstm-soil-v1</x:v>
      </x:c>
    </x:row>
    <x:row r="5616">
      <x:c r="A5616" s="38" t="str">
        <x:v>7月30日现场数据</x:v>
      </x:c>
      <x:c r="B5616" s="39" t="str">
        <x:v>2026-08-05T10:30:00</x:v>
      </x:c>
      <x:c r="C5616" s="39" t="str">
        <x:v>2026-08-05T10:35:00</x:v>
      </x:c>
      <x:c r="D5616" s="47" t="n">
        <x:v>5</x:v>
      </x:c>
      <x:c r="E5616" s="40" t="n">
        <x:v>18.2</x:v>
      </x:c>
      <x:c r="F5616" s="40" t="n">
        <x:v>16.826210021972656</x:v>
      </x:c>
      <x:c r="G5616" s="40" t="n">
        <x:v>18.2</x:v>
      </x:c>
      <x:c r="H5616" s="40" t="n">
        <x:f>F5616-E5616</x:f>
        <x:v>-1.373789978027343</x:v>
      </x:c>
      <x:c r="I5616" s="40" t="n">
        <x:f>ABS(H5616)</x:f>
        <x:v>1.373789978027343</x:v>
      </x:c>
      <x:c r="J5616" s="40" t="n">
        <x:f>H5616^2</x:f>
        <x:v>1.8872989037283676</x:v>
      </x:c>
      <x:c r="K5616" s="40" t="n">
        <x:f>G5616-E5616</x:f>
        <x:v>0</x:v>
      </x:c>
      <x:c r="L5616" s="40" t="n">
        <x:f>ABS(K5616)</x:f>
        <x:v>0</x:v>
      </x:c>
      <x:c r="M5616" s="41" t="str">
        <x:v>lstm-soil-v1</x:v>
      </x:c>
    </x:row>
    <x:row r="5617">
      <x:c r="A5617" s="38" t="str">
        <x:v>7月30日现场数据</x:v>
      </x:c>
      <x:c r="B5617" s="39" t="str">
        <x:v>2026-08-05T10:30:00</x:v>
      </x:c>
      <x:c r="C5617" s="39" t="str">
        <x:v>2026-08-05T10:45:00</x:v>
      </x:c>
      <x:c r="D5617" s="47" t="n">
        <x:v>15</x:v>
      </x:c>
      <x:c r="E5617" s="40" t="n">
        <x:v>18.1</x:v>
      </x:c>
      <x:c r="F5617" s="40" t="n">
        <x:v>16.911781311035156</x:v>
      </x:c>
      <x:c r="G5617" s="40" t="n">
        <x:v>18.2</x:v>
      </x:c>
      <x:c r="H5617" s="40" t="n">
        <x:f>F5617-E5617</x:f>
        <x:v>-1.1882186889648452</x:v>
      </x:c>
      <x:c r="I5617" s="40" t="n">
        <x:f>ABS(H5617)</x:f>
        <x:v>1.1882186889648452</x:v>
      </x:c>
      <x:c r="J5617" s="40" t="n">
        <x:f>H5617^2</x:f>
        <x:v>1.4118636528053354</x:v>
      </x:c>
      <x:c r="K5617" s="40" t="n">
        <x:f>G5617-E5617</x:f>
        <x:v>0.09999999999999787</x:v>
      </x:c>
      <x:c r="L5617" s="40" t="n">
        <x:f>ABS(K5617)</x:f>
        <x:v>0.09999999999999787</x:v>
      </x:c>
      <x:c r="M5617" s="41" t="str">
        <x:v>lstm-soil-v1</x:v>
      </x:c>
    </x:row>
    <x:row r="5618">
      <x:c r="A5618" s="38" t="str">
        <x:v>7月30日现场数据</x:v>
      </x:c>
      <x:c r="B5618" s="39" t="str">
        <x:v>2026-08-05T10:30:00</x:v>
      </x:c>
      <x:c r="C5618" s="39" t="str">
        <x:v>2026-08-05T11:00:00</x:v>
      </x:c>
      <x:c r="D5618" s="47" t="n">
        <x:v>30</x:v>
      </x:c>
      <x:c r="E5618" s="40" t="n">
        <x:v>18</x:v>
      </x:c>
      <x:c r="F5618" s="40" t="n">
        <x:v>17.294879913330078</x:v>
      </x:c>
      <x:c r="G5618" s="40" t="n">
        <x:v>18.2</x:v>
      </x:c>
      <x:c r="H5618" s="40" t="n">
        <x:f>F5618-E5618</x:f>
        <x:v>-0.7051200866699219</x:v>
      </x:c>
      <x:c r="I5618" s="40" t="n">
        <x:f>ABS(H5618)</x:f>
        <x:v>0.7051200866699219</x:v>
      </x:c>
      <x:c r="J5618" s="40" t="n">
        <x:f>H5618^2</x:f>
        <x:v>0.49719433662539814</x:v>
      </x:c>
      <x:c r="K5618" s="40" t="n">
        <x:f>G5618-E5618</x:f>
        <x:v>0.1999999999999993</x:v>
      </x:c>
      <x:c r="L5618" s="40" t="n">
        <x:f>ABS(K5618)</x:f>
        <x:v>0.1999999999999993</x:v>
      </x:c>
      <x:c r="M5618" s="41" t="str">
        <x:v>lstm-soil-v1</x:v>
      </x:c>
    </x:row>
    <x:row r="5619">
      <x:c r="A5619" s="38" t="str">
        <x:v>7月30日现场数据</x:v>
      </x:c>
      <x:c r="B5619" s="39" t="str">
        <x:v>2026-08-05T10:30:00</x:v>
      </x:c>
      <x:c r="C5619" s="39" t="str">
        <x:v>2026-08-05T11:30:00</x:v>
      </x:c>
      <x:c r="D5619" s="47" t="n">
        <x:v>60</x:v>
      </x:c>
      <x:c r="E5619" s="40" t="n">
        <x:v>17.7</x:v>
      </x:c>
      <x:c r="F5619" s="40" t="n">
        <x:v>18.952190399169922</x:v>
      </x:c>
      <x:c r="G5619" s="40" t="n">
        <x:v>18.2</x:v>
      </x:c>
      <x:c r="H5619" s="40" t="n">
        <x:f>F5619-E5619</x:f>
        <x:v>1.2521903991699226</x:v>
      </x:c>
      <x:c r="I5619" s="40" t="n">
        <x:f>ABS(H5619)</x:f>
        <x:v>1.2521903991699226</x:v>
      </x:c>
      <x:c r="J5619" s="40" t="n">
        <x:f>H5619^2</x:f>
        <x:v>1.56798079577333</x:v>
      </x:c>
      <x:c r="K5619" s="40" t="n">
        <x:f>G5619-E5619</x:f>
        <x:v>0.5</x:v>
      </x:c>
      <x:c r="L5619" s="40" t="n">
        <x:f>ABS(K5619)</x:f>
        <x:v>0.5</x:v>
      </x:c>
      <x:c r="M5619" s="41" t="str">
        <x:v>lstm-soil-v1</x:v>
      </x:c>
    </x:row>
    <x:row r="5620">
      <x:c r="A5620" s="38" t="str">
        <x:v>7月30日现场数据</x:v>
      </x:c>
      <x:c r="B5620" s="39" t="str">
        <x:v>2026-08-05T10:35:00</x:v>
      </x:c>
      <x:c r="C5620" s="39" t="str">
        <x:v>2026-08-05T10:40:00</x:v>
      </x:c>
      <x:c r="D5620" s="47" t="n">
        <x:v>5</x:v>
      </x:c>
      <x:c r="E5620" s="40" t="n">
        <x:v>18.1</x:v>
      </x:c>
      <x:c r="F5620" s="40" t="n">
        <x:v>16.822799682617188</x:v>
      </x:c>
      <x:c r="G5620" s="40" t="n">
        <x:v>18.2</x:v>
      </x:c>
      <x:c r="H5620" s="40" t="n">
        <x:f>F5620-E5620</x:f>
        <x:v>-1.277200317382814</x:v>
      </x:c>
      <x:c r="I5620" s="40" t="n">
        <x:f>ABS(H5620)</x:f>
        <x:v>1.277200317382814</x:v>
      </x:c>
      <x:c r="J5620" s="40" t="n">
        <x:f>H5620^2</x:f>
        <x:v>1.6312406507227606</x:v>
      </x:c>
      <x:c r="K5620" s="40" t="n">
        <x:f>G5620-E5620</x:f>
        <x:v>0.09999999999999787</x:v>
      </x:c>
      <x:c r="L5620" s="40" t="n">
        <x:f>ABS(K5620)</x:f>
        <x:v>0.09999999999999787</x:v>
      </x:c>
      <x:c r="M5620" s="41" t="str">
        <x:v>lstm-soil-v1</x:v>
      </x:c>
    </x:row>
    <x:row r="5621">
      <x:c r="A5621" s="38" t="str">
        <x:v>7月30日现场数据</x:v>
      </x:c>
      <x:c r="B5621" s="39" t="str">
        <x:v>2026-08-05T10:35:00</x:v>
      </x:c>
      <x:c r="C5621" s="39" t="str">
        <x:v>2026-08-05T10:50:00</x:v>
      </x:c>
      <x:c r="D5621" s="47" t="n">
        <x:v>15</x:v>
      </x:c>
      <x:c r="E5621" s="40" t="n">
        <x:v>18</x:v>
      </x:c>
      <x:c r="F5621" s="40" t="n">
        <x:v>16.908172607421875</x:v>
      </x:c>
      <x:c r="G5621" s="40" t="n">
        <x:v>18.2</x:v>
      </x:c>
      <x:c r="H5621" s="40" t="n">
        <x:f>F5621-E5621</x:f>
        <x:v>-1.091827392578125</x:v>
      </x:c>
      <x:c r="I5621" s="40" t="n">
        <x:f>ABS(H5621)</x:f>
        <x:v>1.091827392578125</x:v>
      </x:c>
      <x:c r="J5621" s="40" t="n">
        <x:f>H5621^2</x:f>
        <x:v>1.192087055183947</x:v>
      </x:c>
      <x:c r="K5621" s="40" t="n">
        <x:f>G5621-E5621</x:f>
        <x:v>0.1999999999999993</x:v>
      </x:c>
      <x:c r="L5621" s="40" t="n">
        <x:f>ABS(K5621)</x:f>
        <x:v>0.1999999999999993</x:v>
      </x:c>
      <x:c r="M5621" s="41" t="str">
        <x:v>lstm-soil-v1</x:v>
      </x:c>
    </x:row>
    <x:row r="5622">
      <x:c r="A5622" s="38" t="str">
        <x:v>7月30日现场数据</x:v>
      </x:c>
      <x:c r="B5622" s="39" t="str">
        <x:v>2026-08-05T10:35:00</x:v>
      </x:c>
      <x:c r="C5622" s="39" t="str">
        <x:v>2026-08-05T11:05:00</x:v>
      </x:c>
      <x:c r="D5622" s="47" t="n">
        <x:v>30</x:v>
      </x:c>
      <x:c r="E5622" s="40" t="n">
        <x:v>17.9</x:v>
      </x:c>
      <x:c r="F5622" s="40" t="n">
        <x:v>17.28982162475586</x:v>
      </x:c>
      <x:c r="G5622" s="40" t="n">
        <x:v>18.2</x:v>
      </x:c>
      <x:c r="H5622" s="40" t="n">
        <x:f>F5622-E5622</x:f>
        <x:v>-0.6101783752441392</x:v>
      </x:c>
      <x:c r="I5622" s="40" t="n">
        <x:f>ABS(H5622)</x:f>
        <x:v>0.6101783752441392</x:v>
      </x:c>
      <x:c r="J5622" s="40" t="n">
        <x:f>H5622^2</x:f>
        <x:v>0.37231764961557756</x:v>
      </x:c>
      <x:c r="K5622" s="40" t="n">
        <x:f>G5622-E5622</x:f>
        <x:v>0.3000000000000007</x:v>
      </x:c>
      <x:c r="L5622" s="40" t="n">
        <x:f>ABS(K5622)</x:f>
        <x:v>0.3000000000000007</x:v>
      </x:c>
      <x:c r="M5622" s="41" t="str">
        <x:v>lstm-soil-v1</x:v>
      </x:c>
    </x:row>
    <x:row r="5623">
      <x:c r="A5623" s="38" t="str">
        <x:v>7月30日现场数据</x:v>
      </x:c>
      <x:c r="B5623" s="39" t="str">
        <x:v>2026-08-05T10:35:00</x:v>
      </x:c>
      <x:c r="C5623" s="39" t="str">
        <x:v>2026-08-05T11:35:00</x:v>
      </x:c>
      <x:c r="D5623" s="47" t="n">
        <x:v>60</x:v>
      </x:c>
      <x:c r="E5623" s="40" t="n">
        <x:v>17.7</x:v>
      </x:c>
      <x:c r="F5623" s="40" t="n">
        <x:v>18.944923400878906</x:v>
      </x:c>
      <x:c r="G5623" s="40" t="n">
        <x:v>18.2</x:v>
      </x:c>
      <x:c r="H5623" s="40" t="n">
        <x:f>F5623-E5623</x:f>
        <x:v>1.244923400878907</x:v>
      </x:c>
      <x:c r="I5623" s="40" t="n">
        <x:f>ABS(H5623)</x:f>
        <x:v>1.244923400878907</x:v>
      </x:c>
      <x:c r="J5623" s="40" t="n">
        <x:f>H5623^2</x:f>
        <x:v>1.5498342740559037</x:v>
      </x:c>
      <x:c r="K5623" s="40" t="n">
        <x:f>G5623-E5623</x:f>
        <x:v>0.5</x:v>
      </x:c>
      <x:c r="L5623" s="40" t="n">
        <x:f>ABS(K5623)</x:f>
        <x:v>0.5</x:v>
      </x:c>
      <x:c r="M5623" s="41" t="str">
        <x:v>lstm-soil-v1</x:v>
      </x:c>
    </x:row>
    <x:row r="5624">
      <x:c r="A5624" s="38" t="str">
        <x:v>7月30日现场数据</x:v>
      </x:c>
      <x:c r="B5624" s="39" t="str">
        <x:v>2026-08-05T10:40:00</x:v>
      </x:c>
      <x:c r="C5624" s="39" t="str">
        <x:v>2026-08-05T10:45:00</x:v>
      </x:c>
      <x:c r="D5624" s="47" t="n">
        <x:v>5</x:v>
      </x:c>
      <x:c r="E5624" s="40" t="n">
        <x:v>18.1</x:v>
      </x:c>
      <x:c r="F5624" s="40" t="n">
        <x:v>16.710365295410156</x:v>
      </x:c>
      <x:c r="G5624" s="40" t="n">
        <x:v>18.1</x:v>
      </x:c>
      <x:c r="H5624" s="40" t="n">
        <x:f>F5624-E5624</x:f>
        <x:v>-1.3896347045898452</x:v>
      </x:c>
      <x:c r="I5624" s="40" t="n">
        <x:f>ABS(H5624)</x:f>
        <x:v>1.3896347045898452</x:v>
      </x:c>
      <x:c r="J5624" s="40" t="n">
        <x:f>H5624^2</x:f>
        <x:v>1.9310846122005063</x:v>
      </x:c>
      <x:c r="K5624" s="40" t="n">
        <x:f>G5624-E5624</x:f>
        <x:v>0</x:v>
      </x:c>
      <x:c r="L5624" s="40" t="n">
        <x:f>ABS(K5624)</x:f>
        <x:v>0</x:v>
      </x:c>
      <x:c r="M5624" s="41" t="str">
        <x:v>lstm-soil-v1</x:v>
      </x:c>
    </x:row>
    <x:row r="5625">
      <x:c r="A5625" s="38" t="str">
        <x:v>7月30日现场数据</x:v>
      </x:c>
      <x:c r="B5625" s="39" t="str">
        <x:v>2026-08-05T10:40:00</x:v>
      </x:c>
      <x:c r="C5625" s="39" t="str">
        <x:v>2026-08-05T10:55:00</x:v>
      </x:c>
      <x:c r="D5625" s="47" t="n">
        <x:v>15</x:v>
      </x:c>
      <x:c r="E5625" s="40" t="n">
        <x:v>18</x:v>
      </x:c>
      <x:c r="F5625" s="40" t="n">
        <x:v>16.796485900878906</x:v>
      </x:c>
      <x:c r="G5625" s="40" t="n">
        <x:v>18.1</x:v>
      </x:c>
      <x:c r="H5625" s="40" t="n">
        <x:f>F5625-E5625</x:f>
        <x:v>-1.2035140991210938</x:v>
      </x:c>
      <x:c r="I5625" s="40" t="n">
        <x:f>ABS(H5625)</x:f>
        <x:v>1.2035140991210938</x:v>
      </x:c>
      <x:c r="J5625" s="40" t="n">
        <x:f>H5625^2</x:f>
        <x:v>1.4484461867832579</x:v>
      </x:c>
      <x:c r="K5625" s="40" t="n">
        <x:f>G5625-E5625</x:f>
        <x:v>0.10000000000000142</x:v>
      </x:c>
      <x:c r="L5625" s="40" t="n">
        <x:f>ABS(K5625)</x:f>
        <x:v>0.10000000000000142</x:v>
      </x:c>
      <x:c r="M5625" s="41" t="str">
        <x:v>lstm-soil-v1</x:v>
      </x:c>
    </x:row>
    <x:row r="5626">
      <x:c r="A5626" s="38" t="str">
        <x:v>7月30日现场数据</x:v>
      </x:c>
      <x:c r="B5626" s="39" t="str">
        <x:v>2026-08-05T10:40:00</x:v>
      </x:c>
      <x:c r="C5626" s="39" t="str">
        <x:v>2026-08-05T11:10:00</x:v>
      </x:c>
      <x:c r="D5626" s="47" t="n">
        <x:v>30</x:v>
      </x:c>
      <x:c r="E5626" s="40" t="n">
        <x:v>17.9</x:v>
      </x:c>
      <x:c r="F5626" s="40" t="n">
        <x:v>17.178058624267578</x:v>
      </x:c>
      <x:c r="G5626" s="40" t="n">
        <x:v>18.1</x:v>
      </x:c>
      <x:c r="H5626" s="40" t="n">
        <x:f>F5626-E5626</x:f>
        <x:v>-0.7219413757324205</x:v>
      </x:c>
      <x:c r="I5626" s="40" t="n">
        <x:f>ABS(H5626)</x:f>
        <x:v>0.7219413757324205</x:v>
      </x:c>
      <x:c r="J5626" s="40" t="n">
        <x:f>H5626^2</x:f>
        <x:v>0.5211993499944199</x:v>
      </x:c>
      <x:c r="K5626" s="40" t="n">
        <x:f>G5626-E5626</x:f>
        <x:v>0.20000000000000284</x:v>
      </x:c>
      <x:c r="L5626" s="40" t="n">
        <x:f>ABS(K5626)</x:f>
        <x:v>0.20000000000000284</x:v>
      </x:c>
      <x:c r="M5626" s="41" t="str">
        <x:v>lstm-soil-v1</x:v>
      </x:c>
    </x:row>
    <x:row r="5627">
      <x:c r="A5627" s="38" t="str">
        <x:v>7月30日现场数据</x:v>
      </x:c>
      <x:c r="B5627" s="39" t="str">
        <x:v>2026-08-05T10:40:00</x:v>
      </x:c>
      <x:c r="C5627" s="39" t="str">
        <x:v>2026-08-05T11:40:00</x:v>
      </x:c>
      <x:c r="D5627" s="47" t="n">
        <x:v>60</x:v>
      </x:c>
      <x:c r="E5627" s="40" t="n">
        <x:v>17.6</x:v>
      </x:c>
      <x:c r="F5627" s="40" t="n">
        <x:v>18.8316650390625</x:v>
      </x:c>
      <x:c r="G5627" s="40" t="n">
        <x:v>18.1</x:v>
      </x:c>
      <x:c r="H5627" s="40" t="n">
        <x:f>F5627-E5627</x:f>
        <x:v>1.2316650390624986</x:v>
      </x:c>
      <x:c r="I5627" s="40" t="n">
        <x:f>ABS(H5627)</x:f>
        <x:v>1.2316650390624986</x:v>
      </x:c>
      <x:c r="J5627" s="40" t="n">
        <x:f>H5627^2</x:f>
        <x:v>1.5169987684488262</x:v>
      </x:c>
      <x:c r="K5627" s="40" t="n">
        <x:f>G5627-E5627</x:f>
        <x:v>0.5</x:v>
      </x:c>
      <x:c r="L5627" s="40" t="n">
        <x:f>ABS(K5627)</x:f>
        <x:v>0.5</x:v>
      </x:c>
      <x:c r="M5627" s="41" t="str">
        <x:v>lstm-soil-v1</x:v>
      </x:c>
    </x:row>
    <x:row r="5628">
      <x:c r="A5628" s="38" t="str">
        <x:v>7月30日现场数据</x:v>
      </x:c>
      <x:c r="B5628" s="39" t="str">
        <x:v>2026-08-05T10:45:00</x:v>
      </x:c>
      <x:c r="C5628" s="39" t="str">
        <x:v>2026-08-05T10:50:00</x:v>
      </x:c>
      <x:c r="D5628" s="47" t="n">
        <x:v>5</x:v>
      </x:c>
      <x:c r="E5628" s="40" t="n">
        <x:v>18</x:v>
      </x:c>
      <x:c r="F5628" s="40" t="n">
        <x:v>16.707088470458984</x:v>
      </x:c>
      <x:c r="G5628" s="40" t="n">
        <x:v>18.1</x:v>
      </x:c>
      <x:c r="H5628" s="40" t="n">
        <x:f>F5628-E5628</x:f>
        <x:v>-1.2929115295410156</x:v>
      </x:c>
      <x:c r="I5628" s="40" t="n">
        <x:f>ABS(H5628)</x:f>
        <x:v>1.2929115295410156</x:v>
      </x:c>
      <x:c r="J5628" s="40" t="n">
        <x:f>H5628^2</x:f>
        <x:v>1.6716202232200885</x:v>
      </x:c>
      <x:c r="K5628" s="40" t="n">
        <x:f>G5628-E5628</x:f>
        <x:v>0.10000000000000142</x:v>
      </x:c>
      <x:c r="L5628" s="40" t="n">
        <x:f>ABS(K5628)</x:f>
        <x:v>0.10000000000000142</x:v>
      </x:c>
      <x:c r="M5628" s="41" t="str">
        <x:v>lstm-soil-v1</x:v>
      </x:c>
    </x:row>
    <x:row r="5629">
      <x:c r="A5629" s="38" t="str">
        <x:v>7月30日现场数据</x:v>
      </x:c>
      <x:c r="B5629" s="39" t="str">
        <x:v>2026-08-05T10:45:00</x:v>
      </x:c>
      <x:c r="C5629" s="39" t="str">
        <x:v>2026-08-05T11:00:00</x:v>
      </x:c>
      <x:c r="D5629" s="47" t="n">
        <x:v>15</x:v>
      </x:c>
      <x:c r="E5629" s="40" t="n">
        <x:v>18</x:v>
      </x:c>
      <x:c r="F5629" s="40" t="n">
        <x:v>16.79717254638672</x:v>
      </x:c>
      <x:c r="G5629" s="40" t="n">
        <x:v>18.1</x:v>
      </x:c>
      <x:c r="H5629" s="40" t="n">
        <x:f>F5629-E5629</x:f>
        <x:v>-1.2028274536132812</x:v>
      </x:c>
      <x:c r="I5629" s="40" t="n">
        <x:f>ABS(H5629)</x:f>
        <x:v>1.2028274536132812</x:v>
      </x:c>
      <x:c r="J5629" s="40" t="n">
        <x:f>H5629^2</x:f>
        <x:v>1.4467938831658103</x:v>
      </x:c>
      <x:c r="K5629" s="40" t="n">
        <x:f>G5629-E5629</x:f>
        <x:v>0.10000000000000142</x:v>
      </x:c>
      <x:c r="L5629" s="40" t="n">
        <x:f>ABS(K5629)</x:f>
        <x:v>0.10000000000000142</x:v>
      </x:c>
      <x:c r="M5629" s="41" t="str">
        <x:v>lstm-soil-v1</x:v>
      </x:c>
    </x:row>
    <x:row r="5630">
      <x:c r="A5630" s="38" t="str">
        <x:v>7月30日现场数据</x:v>
      </x:c>
      <x:c r="B5630" s="39" t="str">
        <x:v>2026-08-05T10:45:00</x:v>
      </x:c>
      <x:c r="C5630" s="39" t="str">
        <x:v>2026-08-05T11:15:00</x:v>
      </x:c>
      <x:c r="D5630" s="47" t="n">
        <x:v>30</x:v>
      </x:c>
      <x:c r="E5630" s="40" t="n">
        <x:v>17.8</x:v>
      </x:c>
      <x:c r="F5630" s="40" t="n">
        <x:v>17.175331115722656</x:v>
      </x:c>
      <x:c r="G5630" s="40" t="n">
        <x:v>18.1</x:v>
      </x:c>
      <x:c r="H5630" s="40" t="n">
        <x:f>F5630-E5630</x:f>
        <x:v>-0.6246688842773445</x:v>
      </x:c>
      <x:c r="I5630" s="40" t="n">
        <x:f>ABS(H5630)</x:f>
        <x:v>0.6246688842773445</x:v>
      </x:c>
      <x:c r="J5630" s="40" t="n">
        <x:f>H5630^2</x:f>
        <x:v>0.3902112149843024</x:v>
      </x:c>
      <x:c r="K5630" s="40" t="n">
        <x:f>G5630-E5630</x:f>
        <x:v>0.3000000000000007</x:v>
      </x:c>
      <x:c r="L5630" s="40" t="n">
        <x:f>ABS(K5630)</x:f>
        <x:v>0.3000000000000007</x:v>
      </x:c>
      <x:c r="M5630" s="41" t="str">
        <x:v>lstm-soil-v1</x:v>
      </x:c>
    </x:row>
    <x:row r="5631">
      <x:c r="A5631" s="38" t="str">
        <x:v>7月30日现场数据</x:v>
      </x:c>
      <x:c r="B5631" s="39" t="str">
        <x:v>2026-08-05T10:45:00</x:v>
      </x:c>
      <x:c r="C5631" s="39" t="str">
        <x:v>2026-08-05T11:45:00</x:v>
      </x:c>
      <x:c r="D5631" s="47" t="n">
        <x:v>60</x:v>
      </x:c>
      <x:c r="E5631" s="40" t="n">
        <x:v>17.6</x:v>
      </x:c>
      <x:c r="F5631" s="40" t="n">
        <x:v>18.827239990234375</x:v>
      </x:c>
      <x:c r="G5631" s="40" t="n">
        <x:v>18.1</x:v>
      </x:c>
      <x:c r="H5631" s="40" t="n">
        <x:f>F5631-E5631</x:f>
        <x:v>1.2272399902343736</x:v>
      </x:c>
      <x:c r="I5631" s="40" t="n">
        <x:f>ABS(H5631)</x:f>
        <x:v>1.2272399902343736</x:v>
      </x:c>
      <x:c r="J5631" s="40" t="n">
        <x:f>H5631^2</x:f>
        <x:v>1.5061179936304654</x:v>
      </x:c>
      <x:c r="K5631" s="40" t="n">
        <x:f>G5631-E5631</x:f>
        <x:v>0.5</x:v>
      </x:c>
      <x:c r="L5631" s="40" t="n">
        <x:f>ABS(K5631)</x:f>
        <x:v>0.5</x:v>
      </x:c>
      <x:c r="M5631" s="41" t="str">
        <x:v>lstm-soil-v1</x:v>
      </x:c>
    </x:row>
    <x:row r="5632">
      <x:c r="A5632" s="38" t="str">
        <x:v>7月30日现场数据</x:v>
      </x:c>
      <x:c r="B5632" s="39" t="str">
        <x:v>2026-08-05T10:50:00</x:v>
      </x:c>
      <x:c r="C5632" s="39" t="str">
        <x:v>2026-08-05T10:55:00</x:v>
      </x:c>
      <x:c r="D5632" s="47" t="n">
        <x:v>5</x:v>
      </x:c>
      <x:c r="E5632" s="40" t="n">
        <x:v>18</x:v>
      </x:c>
      <x:c r="F5632" s="40" t="n">
        <x:v>16.59066390991211</x:v>
      </x:c>
      <x:c r="G5632" s="40" t="n">
        <x:v>18</x:v>
      </x:c>
      <x:c r="H5632" s="40" t="n">
        <x:f>F5632-E5632</x:f>
        <x:v>-1.4093360900878906</x:v>
      </x:c>
      <x:c r="I5632" s="40" t="n">
        <x:f>ABS(H5632)</x:f>
        <x:v>1.4093360900878906</x:v>
      </x:c>
      <x:c r="J5632" s="40" t="n">
        <x:f>H5632^2</x:f>
        <x:v>1.986228214824223</x:v>
      </x:c>
      <x:c r="K5632" s="40" t="n">
        <x:f>G5632-E5632</x:f>
        <x:v>0</x:v>
      </x:c>
      <x:c r="L5632" s="40" t="n">
        <x:f>ABS(K5632)</x:f>
        <x:v>0</x:v>
      </x:c>
      <x:c r="M5632" s="41" t="str">
        <x:v>lstm-soil-v1</x:v>
      </x:c>
    </x:row>
    <x:row r="5633">
      <x:c r="A5633" s="38" t="str">
        <x:v>7月30日现场数据</x:v>
      </x:c>
      <x:c r="B5633" s="39" t="str">
        <x:v>2026-08-05T10:50:00</x:v>
      </x:c>
      <x:c r="C5633" s="39" t="str">
        <x:v>2026-08-05T11:05:00</x:v>
      </x:c>
      <x:c r="D5633" s="47" t="n">
        <x:v>15</x:v>
      </x:c>
      <x:c r="E5633" s="40" t="n">
        <x:v>17.9</x:v>
      </x:c>
      <x:c r="F5633" s="40" t="n">
        <x:v>16.682723999023438</x:v>
      </x:c>
      <x:c r="G5633" s="40" t="n">
        <x:v>18</x:v>
      </x:c>
      <x:c r="H5633" s="40" t="n">
        <x:f>F5633-E5633</x:f>
        <x:v>-1.217276000976561</x:v>
      </x:c>
      <x:c r="I5633" s="40" t="n">
        <x:f>ABS(H5633)</x:f>
        <x:v>1.217276000976561</x:v>
      </x:c>
      <x:c r="J5633" s="40" t="n">
        <x:f>H5633^2</x:f>
        <x:v>1.4817608625534888</x:v>
      </x:c>
      <x:c r="K5633" s="40" t="n">
        <x:f>G5633-E5633</x:f>
        <x:v>0.10000000000000142</x:v>
      </x:c>
      <x:c r="L5633" s="40" t="n">
        <x:f>ABS(K5633)</x:f>
        <x:v>0.10000000000000142</x:v>
      </x:c>
      <x:c r="M5633" s="41" t="str">
        <x:v>lstm-soil-v1</x:v>
      </x:c>
    </x:row>
    <x:row r="5634">
      <x:c r="A5634" s="38" t="str">
        <x:v>7月30日现场数据</x:v>
      </x:c>
      <x:c r="B5634" s="39" t="str">
        <x:v>2026-08-05T10:50:00</x:v>
      </x:c>
      <x:c r="C5634" s="39" t="str">
        <x:v>2026-08-05T11:20:00</x:v>
      </x:c>
      <x:c r="D5634" s="47" t="n">
        <x:v>30</x:v>
      </x:c>
      <x:c r="E5634" s="40" t="n">
        <x:v>17.8</x:v>
      </x:c>
      <x:c r="F5634" s="40" t="n">
        <x:v>17.057666778564453</x:v>
      </x:c>
      <x:c r="G5634" s="40" t="n">
        <x:v>18</x:v>
      </x:c>
      <x:c r="H5634" s="40" t="n">
        <x:f>F5634-E5634</x:f>
        <x:v>-0.7423332214355476</x:v>
      </x:c>
      <x:c r="I5634" s="40" t="n">
        <x:f>ABS(H5634)</x:f>
        <x:v>0.7423332214355476</x:v>
      </x:c>
      <x:c r="J5634" s="40" t="n">
        <x:f>H5634^2</x:f>
        <x:v>0.5510586116468777</x:v>
      </x:c>
      <x:c r="K5634" s="40" t="n">
        <x:f>G5634-E5634</x:f>
        <x:v>0.1999999999999993</x:v>
      </x:c>
      <x:c r="L5634" s="40" t="n">
        <x:f>ABS(K5634)</x:f>
        <x:v>0.1999999999999993</x:v>
      </x:c>
      <x:c r="M5634" s="41" t="str">
        <x:v>lstm-soil-v1</x:v>
      </x:c>
    </x:row>
    <x:row r="5635">
      <x:c r="A5635" s="38" t="str">
        <x:v>7月30日现场数据</x:v>
      </x:c>
      <x:c r="B5635" s="39" t="str">
        <x:v>2026-08-05T10:50:00</x:v>
      </x:c>
      <x:c r="C5635" s="39" t="str">
        <x:v>2026-08-05T11:50:00</x:v>
      </x:c>
      <x:c r="D5635" s="47" t="n">
        <x:v>60</x:v>
      </x:c>
      <x:c r="E5635" s="40" t="n">
        <x:v>17.6</x:v>
      </x:c>
      <x:c r="F5635" s="40" t="n">
        <x:v>18.709136962890625</x:v>
      </x:c>
      <x:c r="G5635" s="40" t="n">
        <x:v>18</x:v>
      </x:c>
      <x:c r="H5635" s="40" t="n">
        <x:f>F5635-E5635</x:f>
        <x:v>1.1091369628906236</x:v>
      </x:c>
      <x:c r="I5635" s="40" t="n">
        <x:f>ABS(H5635)</x:f>
        <x:v>1.1091369628906236</x:v>
      </x:c>
      <x:c r="J5635" s="40" t="n">
        <x:f>H5635^2</x:f>
        <x:v>1.2301848024502364</x:v>
      </x:c>
      <x:c r="K5635" s="40" t="n">
        <x:f>G5635-E5635</x:f>
        <x:v>0.3999999999999986</x:v>
      </x:c>
      <x:c r="L5635" s="40" t="n">
        <x:f>ABS(K5635)</x:f>
        <x:v>0.3999999999999986</x:v>
      </x:c>
      <x:c r="M5635" s="41" t="str">
        <x:v>lstm-soil-v1</x:v>
      </x:c>
    </x:row>
    <x:row r="5636">
      <x:c r="A5636" s="38" t="str">
        <x:v>7月30日现场数据</x:v>
      </x:c>
      <x:c r="B5636" s="39" t="str">
        <x:v>2026-08-05T10:55:00</x:v>
      </x:c>
      <x:c r="C5636" s="39" t="str">
        <x:v>2026-08-05T11:00:00</x:v>
      </x:c>
      <x:c r="D5636" s="47" t="n">
        <x:v>5</x:v>
      </x:c>
      <x:c r="E5636" s="40" t="n">
        <x:v>18</x:v>
      </x:c>
      <x:c r="F5636" s="40" t="n">
        <x:v>16.591209411621094</x:v>
      </x:c>
      <x:c r="G5636" s="40" t="n">
        <x:v>18</x:v>
      </x:c>
      <x:c r="H5636" s="40" t="n">
        <x:f>F5636-E5636</x:f>
        <x:v>-1.4087905883789062</x:v>
      </x:c>
      <x:c r="I5636" s="40" t="n">
        <x:f>ABS(H5636)</x:f>
        <x:v>1.4087905883789062</x:v>
      </x:c>
      <x:c r="J5636" s="40" t="n">
        <x:f>H5636^2</x:f>
        <x:v>1.9846909219049849</x:v>
      </x:c>
      <x:c r="K5636" s="40" t="n">
        <x:f>G5636-E5636</x:f>
        <x:v>0</x:v>
      </x:c>
      <x:c r="L5636" s="40" t="n">
        <x:f>ABS(K5636)</x:f>
        <x:v>0</x:v>
      </x:c>
      <x:c r="M5636" s="41" t="str">
        <x:v>lstm-soil-v1</x:v>
      </x:c>
    </x:row>
    <x:row r="5637">
      <x:c r="A5637" s="38" t="str">
        <x:v>7月30日现场数据</x:v>
      </x:c>
      <x:c r="B5637" s="39" t="str">
        <x:v>2026-08-05T10:55:00</x:v>
      </x:c>
      <x:c r="C5637" s="39" t="str">
        <x:v>2026-08-05T11:10:00</x:v>
      </x:c>
      <x:c r="D5637" s="47" t="n">
        <x:v>15</x:v>
      </x:c>
      <x:c r="E5637" s="40" t="n">
        <x:v>17.9</x:v>
      </x:c>
      <x:c r="F5637" s="40" t="n">
        <x:v>16.678531646728516</x:v>
      </x:c>
      <x:c r="G5637" s="40" t="n">
        <x:v>18</x:v>
      </x:c>
      <x:c r="H5637" s="40" t="n">
        <x:f>F5637-E5637</x:f>
        <x:v>-1.221468353271483</x:v>
      </x:c>
      <x:c r="I5637" s="40" t="n">
        <x:f>ABS(H5637)</x:f>
        <x:v>1.221468353271483</x:v>
      </x:c>
      <x:c r="J5637" s="40" t="n">
        <x:f>H5637^2</x:f>
        <x:v>1.4919849380437482</x:v>
      </x:c>
      <x:c r="K5637" s="40" t="n">
        <x:f>G5637-E5637</x:f>
        <x:v>0.10000000000000142</x:v>
      </x:c>
      <x:c r="L5637" s="40" t="n">
        <x:f>ABS(K5637)</x:f>
        <x:v>0.10000000000000142</x:v>
      </x:c>
      <x:c r="M5637" s="41" t="str">
        <x:v>lstm-soil-v1</x:v>
      </x:c>
    </x:row>
    <x:row r="5638">
      <x:c r="A5638" s="38" t="str">
        <x:v>7月30日现场数据</x:v>
      </x:c>
      <x:c r="B5638" s="39" t="str">
        <x:v>2026-08-05T10:55:00</x:v>
      </x:c>
      <x:c r="C5638" s="39" t="str">
        <x:v>2026-08-05T11:25:00</x:v>
      </x:c>
      <x:c r="D5638" s="47" t="n">
        <x:v>30</x:v>
      </x:c>
      <x:c r="E5638" s="40" t="n">
        <x:v>17.7</x:v>
      </x:c>
      <x:c r="F5638" s="40" t="n">
        <x:v>17.057029724121094</x:v>
      </x:c>
      <x:c r="G5638" s="40" t="n">
        <x:v>18</x:v>
      </x:c>
      <x:c r="H5638" s="40" t="n">
        <x:f>F5638-E5638</x:f>
        <x:v>-0.6429702758789055</x:v>
      </x:c>
      <x:c r="I5638" s="40" t="n">
        <x:f>ABS(H5638)</x:f>
        <x:v>0.6429702758789055</x:v>
      </x:c>
      <x:c r="J5638" s="40" t="n">
        <x:f>H5638^2</x:f>
        <x:v>0.4134107756637959</x:v>
      </x:c>
      <x:c r="K5638" s="40" t="n">
        <x:f>G5638-E5638</x:f>
        <x:v>0.3000000000000007</x:v>
      </x:c>
      <x:c r="L5638" s="40" t="n">
        <x:f>ABS(K5638)</x:f>
        <x:v>0.3000000000000007</x:v>
      </x:c>
      <x:c r="M5638" s="41" t="str">
        <x:v>lstm-soil-v1</x:v>
      </x:c>
    </x:row>
    <x:row r="5639">
      <x:c r="A5639" s="38" t="str">
        <x:v>7月30日现场数据</x:v>
      </x:c>
      <x:c r="B5639" s="39" t="str">
        <x:v>2026-08-05T10:55:00</x:v>
      </x:c>
      <x:c r="C5639" s="39" t="str">
        <x:v>2026-08-05T11:55:00</x:v>
      </x:c>
      <x:c r="D5639" s="47" t="n">
        <x:v>60</x:v>
      </x:c>
      <x:c r="E5639" s="40" t="n">
        <x:v>17.5</x:v>
      </x:c>
      <x:c r="F5639" s="40" t="n">
        <x:v>18.71194839477539</x:v>
      </x:c>
      <x:c r="G5639" s="40" t="n">
        <x:v>18</x:v>
      </x:c>
      <x:c r="H5639" s="40" t="n">
        <x:f>F5639-E5639</x:f>
        <x:v>1.2119483947753906</x:v>
      </x:c>
      <x:c r="I5639" s="40" t="n">
        <x:f>ABS(H5639)</x:f>
        <x:v>1.2119483947753906</x:v>
      </x:c>
      <x:c r="J5639" s="40" t="n">
        <x:f>H5639^2</x:f>
        <x:v>1.468818911598646</x:v>
      </x:c>
      <x:c r="K5639" s="40" t="n">
        <x:f>G5639-E5639</x:f>
        <x:v>0.5</x:v>
      </x:c>
      <x:c r="L5639" s="40" t="n">
        <x:f>ABS(K5639)</x:f>
        <x:v>0.5</x:v>
      </x:c>
      <x:c r="M5639" s="41" t="str">
        <x:v>lstm-soil-v1</x:v>
      </x:c>
    </x:row>
    <x:row r="5640">
      <x:c r="A5640" s="38" t="str">
        <x:v>7月30日现场数据</x:v>
      </x:c>
      <x:c r="B5640" s="39" t="str">
        <x:v>2026-08-05T11:00:00</x:v>
      </x:c>
      <x:c r="C5640" s="39" t="str">
        <x:v>2026-08-05T11:05:00</x:v>
      </x:c>
      <x:c r="D5640" s="47" t="n">
        <x:v>5</x:v>
      </x:c>
      <x:c r="E5640" s="40" t="n">
        <x:v>17.9</x:v>
      </x:c>
      <x:c r="F5640" s="40" t="n">
        <x:v>16.598804473876953</x:v>
      </x:c>
      <x:c r="G5640" s="40" t="n">
        <x:v>18</x:v>
      </x:c>
      <x:c r="H5640" s="40" t="n">
        <x:f>F5640-E5640</x:f>
        <x:v>-1.3011955261230455</x:v>
      </x:c>
      <x:c r="I5640" s="40" t="n">
        <x:f>ABS(H5640)</x:f>
        <x:v>1.3011955261230455</x:v>
      </x:c>
      <x:c r="J5640" s="40" t="n">
        <x:f>H5640^2</x:f>
        <x:v>1.693109797202629</x:v>
      </x:c>
      <x:c r="K5640" s="40" t="n">
        <x:f>G5640-E5640</x:f>
        <x:v>0.10000000000000142</x:v>
      </x:c>
      <x:c r="L5640" s="40" t="n">
        <x:f>ABS(K5640)</x:f>
        <x:v>0.10000000000000142</x:v>
      </x:c>
      <x:c r="M5640" s="41" t="str">
        <x:v>lstm-soil-v1</x:v>
      </x:c>
    </x:row>
    <x:row r="5641">
      <x:c r="A5641" s="38" t="str">
        <x:v>7月30日现场数据</x:v>
      </x:c>
      <x:c r="B5641" s="39" t="str">
        <x:v>2026-08-05T11:00:00</x:v>
      </x:c>
      <x:c r="C5641" s="39" t="str">
        <x:v>2026-08-05T11:15:00</x:v>
      </x:c>
      <x:c r="D5641" s="47" t="n">
        <x:v>15</x:v>
      </x:c>
      <x:c r="E5641" s="40" t="n">
        <x:v>17.8</x:v>
      </x:c>
      <x:c r="F5641" s="40" t="n">
        <x:v>16.678058624267578</x:v>
      </x:c>
      <x:c r="G5641" s="40" t="n">
        <x:v>18</x:v>
      </x:c>
      <x:c r="H5641" s="40" t="n">
        <x:f>F5641-E5641</x:f>
        <x:v>-1.1219413757324226</x:v>
      </x:c>
      <x:c r="I5641" s="40" t="n">
        <x:f>ABS(H5641)</x:f>
        <x:v>1.1219413757324226</x:v>
      </x:c>
      <x:c r="J5641" s="40" t="n">
        <x:f>H5641^2</x:f>
        <x:v>1.2587524505803611</x:v>
      </x:c>
      <x:c r="K5641" s="40" t="n">
        <x:f>G5641-E5641</x:f>
        <x:v>0.1999999999999993</x:v>
      </x:c>
      <x:c r="L5641" s="40" t="n">
        <x:f>ABS(K5641)</x:f>
        <x:v>0.1999999999999993</x:v>
      </x:c>
      <x:c r="M5641" s="41" t="str">
        <x:v>lstm-soil-v1</x:v>
      </x:c>
    </x:row>
    <x:row r="5642">
      <x:c r="A5642" s="38" t="str">
        <x:v>7月30日现场数据</x:v>
      </x:c>
      <x:c r="B5642" s="39" t="str">
        <x:v>2026-08-05T11:00:00</x:v>
      </x:c>
      <x:c r="C5642" s="39" t="str">
        <x:v>2026-08-05T11:30:00</x:v>
      </x:c>
      <x:c r="D5642" s="47" t="n">
        <x:v>30</x:v>
      </x:c>
      <x:c r="E5642" s="40" t="n">
        <x:v>17.7</x:v>
      </x:c>
      <x:c r="F5642" s="40" t="n">
        <x:v>17.065597534179688</x:v>
      </x:c>
      <x:c r="G5642" s="40" t="n">
        <x:v>18</x:v>
      </x:c>
      <x:c r="H5642" s="40" t="n">
        <x:f>F5642-E5642</x:f>
        <x:v>-0.6344024658203118</x:v>
      </x:c>
      <x:c r="I5642" s="40" t="n">
        <x:f>ABS(H5642)</x:f>
        <x:v>0.6344024658203118</x:v>
      </x:c>
      <x:c r="J5642" s="40" t="n">
        <x:f>H5642^2</x:f>
        <x:v>0.4024664886388919</x:v>
      </x:c>
      <x:c r="K5642" s="40" t="n">
        <x:f>G5642-E5642</x:f>
        <x:v>0.3000000000000007</x:v>
      </x:c>
      <x:c r="L5642" s="40" t="n">
        <x:f>ABS(K5642)</x:f>
        <x:v>0.3000000000000007</x:v>
      </x:c>
      <x:c r="M5642" s="41" t="str">
        <x:v>lstm-soil-v1</x:v>
      </x:c>
    </x:row>
    <x:row r="5643">
      <x:c r="A5643" s="38" t="str">
        <x:v>7月30日现场数据</x:v>
      </x:c>
      <x:c r="B5643" s="39" t="str">
        <x:v>2026-08-05T11:00:00</x:v>
      </x:c>
      <x:c r="C5643" s="39" t="str">
        <x:v>2026-08-05T12:00:00</x:v>
      </x:c>
      <x:c r="D5643" s="47" t="n">
        <x:v>60</x:v>
      </x:c>
      <x:c r="E5643" s="40" t="n">
        <x:v>17.5</x:v>
      </x:c>
      <x:c r="F5643" s="40" t="n">
        <x:v>18.727558135986328</x:v>
      </x:c>
      <x:c r="G5643" s="40" t="n">
        <x:v>18</x:v>
      </x:c>
      <x:c r="H5643" s="40" t="n">
        <x:f>F5643-E5643</x:f>
        <x:v>1.2275581359863281</x:v>
      </x:c>
      <x:c r="I5643" s="40" t="n">
        <x:f>ABS(H5643)</x:f>
        <x:v>1.2275581359863281</x:v>
      </x:c>
      <x:c r="J5643" s="40" t="n">
        <x:f>H5643^2</x:f>
        <x:v>1.5068989772262285</x:v>
      </x:c>
      <x:c r="K5643" s="40" t="n">
        <x:f>G5643-E5643</x:f>
        <x:v>0.5</x:v>
      </x:c>
      <x:c r="L5643" s="40" t="n">
        <x:f>ABS(K5643)</x:f>
        <x:v>0.5</x:v>
      </x:c>
      <x:c r="M5643" s="41" t="str">
        <x:v>lstm-soil-v1</x:v>
      </x:c>
    </x:row>
    <x:row r="5644">
      <x:c r="A5644" s="38" t="str">
        <x:v>7月30日现场数据</x:v>
      </x:c>
      <x:c r="B5644" s="39" t="str">
        <x:v>2026-08-05T11:05:00</x:v>
      </x:c>
      <x:c r="C5644" s="39" t="str">
        <x:v>2026-08-05T11:10:00</x:v>
      </x:c>
      <x:c r="D5644" s="47" t="n">
        <x:v>5</x:v>
      </x:c>
      <x:c r="E5644" s="40" t="n">
        <x:v>17.9</x:v>
      </x:c>
      <x:c r="F5644" s="40" t="n">
        <x:v>16.499797821044922</x:v>
      </x:c>
      <x:c r="G5644" s="40" t="n">
        <x:v>17.9</x:v>
      </x:c>
      <x:c r="H5644" s="40" t="n">
        <x:f>F5644-E5644</x:f>
        <x:v>-1.4002021789550767</x:v>
      </x:c>
      <x:c r="I5644" s="40" t="n">
        <x:f>ABS(H5644)</x:f>
        <x:v>1.4002021789550767</x:v>
      </x:c>
      <x:c r="J5644" s="40" t="n">
        <x:f>H5644^2</x:f>
        <x:v>1.9605661419505447</x:v>
      </x:c>
      <x:c r="K5644" s="40" t="n">
        <x:f>G5644-E5644</x:f>
        <x:v>0</x:v>
      </x:c>
      <x:c r="L5644" s="40" t="n">
        <x:f>ABS(K5644)</x:f>
        <x:v>0</x:v>
      </x:c>
      <x:c r="M5644" s="41" t="str">
        <x:v>lstm-soil-v1</x:v>
      </x:c>
    </x:row>
    <x:row r="5645">
      <x:c r="A5645" s="38" t="str">
        <x:v>7月30日现场数据</x:v>
      </x:c>
      <x:c r="B5645" s="39" t="str">
        <x:v>2026-08-05T11:05:00</x:v>
      </x:c>
      <x:c r="C5645" s="39" t="str">
        <x:v>2026-08-05T11:20:00</x:v>
      </x:c>
      <x:c r="D5645" s="47" t="n">
        <x:v>15</x:v>
      </x:c>
      <x:c r="E5645" s="40" t="n">
        <x:v>17.8</x:v>
      </x:c>
      <x:c r="F5645" s="40" t="n">
        <x:v>16.568889617919922</x:v>
      </x:c>
      <x:c r="G5645" s="40" t="n">
        <x:v>17.9</x:v>
      </x:c>
      <x:c r="H5645" s="40" t="n">
        <x:f>F5645-E5645</x:f>
        <x:v>-1.2311103820800788</x:v>
      </x:c>
      <x:c r="I5645" s="40" t="n">
        <x:f>ABS(H5645)</x:f>
        <x:v>1.2311103820800788</x:v>
      </x:c>
      <x:c r="J5645" s="40" t="n">
        <x:f>H5645^2</x:f>
        <x:v>1.5156327728653578</x:v>
      </x:c>
      <x:c r="K5645" s="40" t="n">
        <x:f>G5645-E5645</x:f>
        <x:v>0.09999999999999787</x:v>
      </x:c>
      <x:c r="L5645" s="40" t="n">
        <x:f>ABS(K5645)</x:f>
        <x:v>0.09999999999999787</x:v>
      </x:c>
      <x:c r="M5645" s="41" t="str">
        <x:v>lstm-soil-v1</x:v>
      </x:c>
    </x:row>
    <x:row r="5646">
      <x:c r="A5646" s="38" t="str">
        <x:v>7月30日现场数据</x:v>
      </x:c>
      <x:c r="B5646" s="39" t="str">
        <x:v>2026-08-05T11:05:00</x:v>
      </x:c>
      <x:c r="C5646" s="39" t="str">
        <x:v>2026-08-05T11:35:00</x:v>
      </x:c>
      <x:c r="D5646" s="47" t="n">
        <x:v>30</x:v>
      </x:c>
      <x:c r="E5646" s="40" t="n">
        <x:v>17.7</x:v>
      </x:c>
      <x:c r="F5646" s="40" t="n">
        <x:v>16.967456817626953</x:v>
      </x:c>
      <x:c r="G5646" s="40" t="n">
        <x:v>17.9</x:v>
      </x:c>
      <x:c r="H5646" s="40" t="n">
        <x:f>F5646-E5646</x:f>
        <x:v>-0.7325431823730462</x:v>
      </x:c>
      <x:c r="I5646" s="40" t="n">
        <x:f>ABS(H5646)</x:f>
        <x:v>0.7325431823730462</x:v>
      </x:c>
      <x:c r="J5646" s="40" t="n">
        <x:f>H5646^2</x:f>
        <x:v>0.53661951404123</x:v>
      </x:c>
      <x:c r="K5646" s="40" t="n">
        <x:f>G5646-E5646</x:f>
        <x:v>0.1999999999999993</x:v>
      </x:c>
      <x:c r="L5646" s="40" t="n">
        <x:f>ABS(K5646)</x:f>
        <x:v>0.1999999999999993</x:v>
      </x:c>
      <x:c r="M5646" s="41" t="str">
        <x:v>lstm-soil-v1</x:v>
      </x:c>
    </x:row>
    <x:row r="5647">
      <x:c r="A5647" s="38" t="str">
        <x:v>7月30日现场数据</x:v>
      </x:c>
      <x:c r="B5647" s="39" t="str">
        <x:v>2026-08-05T11:05:00</x:v>
      </x:c>
      <x:c r="C5647" s="39" t="str">
        <x:v>2026-08-05T12:05:00</x:v>
      </x:c>
      <x:c r="D5647" s="47" t="n">
        <x:v>60</x:v>
      </x:c>
      <x:c r="E5647" s="40" t="n">
        <x:v>17.5</x:v>
      </x:c>
      <x:c r="F5647" s="40" t="n">
        <x:v>18.639480590820312</x:v>
      </x:c>
      <x:c r="G5647" s="40" t="n">
        <x:v>17.9</x:v>
      </x:c>
      <x:c r="H5647" s="40" t="n">
        <x:f>F5647-E5647</x:f>
        <x:v>1.1394805908203125</x:v>
      </x:c>
      <x:c r="I5647" s="40" t="n">
        <x:f>ABS(H5647)</x:f>
        <x:v>1.1394805908203125</x:v>
      </x:c>
      <x:c r="J5647" s="40" t="n">
        <x:f>H5647^2</x:f>
        <x:v>1.2984160168562084</x:v>
      </x:c>
      <x:c r="K5647" s="40" t="n">
        <x:f>G5647-E5647</x:f>
        <x:v>0.3999999999999986</x:v>
      </x:c>
      <x:c r="L5647" s="40" t="n">
        <x:f>ABS(K5647)</x:f>
        <x:v>0.3999999999999986</x:v>
      </x:c>
      <x:c r="M5647" s="41" t="str">
        <x:v>lstm-soil-v1</x:v>
      </x:c>
    </x:row>
    <x:row r="5648">
      <x:c r="A5648" s="38" t="str">
        <x:v>7月30日现场数据</x:v>
      </x:c>
      <x:c r="B5648" s="39" t="str">
        <x:v>2026-08-05T11:10:00</x:v>
      </x:c>
      <x:c r="C5648" s="39" t="str">
        <x:v>2026-08-05T11:15:00</x:v>
      </x:c>
      <x:c r="D5648" s="47" t="n">
        <x:v>5</x:v>
      </x:c>
      <x:c r="E5648" s="40" t="n">
        <x:v>17.8</x:v>
      </x:c>
      <x:c r="F5648" s="40" t="n">
        <x:v>16.500110626220703</x:v>
      </x:c>
      <x:c r="G5648" s="40" t="n">
        <x:v>17.9</x:v>
      </x:c>
      <x:c r="H5648" s="40" t="n">
        <x:f>F5648-E5648</x:f>
        <x:v>-1.2998893737792976</x:v>
      </x:c>
      <x:c r="I5648" s="40" t="n">
        <x:f>ABS(H5648)</x:f>
        <x:v>1.2998893737792976</x:v>
      </x:c>
      <x:c r="J5648" s="40" t="n">
        <x:f>H5648^2</x:f>
        <x:v>1.6897123840643344</x:v>
      </x:c>
      <x:c r="K5648" s="40" t="n">
        <x:f>G5648-E5648</x:f>
        <x:v>0.09999999999999787</x:v>
      </x:c>
      <x:c r="L5648" s="40" t="n">
        <x:f>ABS(K5648)</x:f>
        <x:v>0.09999999999999787</x:v>
      </x:c>
      <x:c r="M5648" s="41" t="str">
        <x:v>lstm-soil-v1</x:v>
      </x:c>
    </x:row>
    <x:row r="5649">
      <x:c r="A5649" s="38" t="str">
        <x:v>7月30日现场数据</x:v>
      </x:c>
      <x:c r="B5649" s="39" t="str">
        <x:v>2026-08-05T11:10:00</x:v>
      </x:c>
      <x:c r="C5649" s="39" t="str">
        <x:v>2026-08-05T11:25:00</x:v>
      </x:c>
      <x:c r="D5649" s="47" t="n">
        <x:v>15</x:v>
      </x:c>
      <x:c r="E5649" s="40" t="n">
        <x:v>17.7</x:v>
      </x:c>
      <x:c r="F5649" s="40" t="n">
        <x:v>16.57147216796875</x:v>
      </x:c>
      <x:c r="G5649" s="40" t="n">
        <x:v>17.9</x:v>
      </x:c>
      <x:c r="H5649" s="40" t="n">
        <x:f>F5649-E5649</x:f>
        <x:v>-1.1285278320312493</x:v>
      </x:c>
      <x:c r="I5649" s="40" t="n">
        <x:f>ABS(H5649)</x:f>
        <x:v>1.1285278320312493</x:v>
      </x:c>
      <x:c r="J5649" s="40" t="n">
        <x:f>H5649^2</x:f>
        <x:v>1.2735750676691515</x:v>
      </x:c>
      <x:c r="K5649" s="40" t="n">
        <x:f>G5649-E5649</x:f>
        <x:v>0.1999999999999993</x:v>
      </x:c>
      <x:c r="L5649" s="40" t="n">
        <x:f>ABS(K5649)</x:f>
        <x:v>0.1999999999999993</x:v>
      </x:c>
      <x:c r="M5649" s="41" t="str">
        <x:v>lstm-soil-v1</x:v>
      </x:c>
    </x:row>
    <x:row r="5650">
      <x:c r="A5650" s="38" t="str">
        <x:v>7月30日现场数据</x:v>
      </x:c>
      <x:c r="B5650" s="39" t="str">
        <x:v>2026-08-05T11:10:00</x:v>
      </x:c>
      <x:c r="C5650" s="39" t="str">
        <x:v>2026-08-05T11:40:00</x:v>
      </x:c>
      <x:c r="D5650" s="47" t="n">
        <x:v>30</x:v>
      </x:c>
      <x:c r="E5650" s="40" t="n">
        <x:v>17.6</x:v>
      </x:c>
      <x:c r="F5650" s="40" t="n">
        <x:v>16.96924591064453</x:v>
      </x:c>
      <x:c r="G5650" s="40" t="n">
        <x:v>17.9</x:v>
      </x:c>
      <x:c r="H5650" s="40" t="n">
        <x:f>F5650-E5650</x:f>
        <x:v>-0.6307540893554702</x:v>
      </x:c>
      <x:c r="I5650" s="40" t="n">
        <x:f>ABS(H5650)</x:f>
        <x:v>0.6307540893554702</x:v>
      </x:c>
      <x:c r="J5650" s="40" t="n">
        <x:f>H5650^2</x:f>
        <x:v>0.39785072123864845</x:v>
      </x:c>
      <x:c r="K5650" s="40" t="n">
        <x:f>G5650-E5650</x:f>
        <x:v>0.29999999999999716</x:v>
      </x:c>
      <x:c r="L5650" s="40" t="n">
        <x:f>ABS(K5650)</x:f>
        <x:v>0.29999999999999716</x:v>
      </x:c>
      <x:c r="M5650" s="41" t="str">
        <x:v>lstm-soil-v1</x:v>
      </x:c>
    </x:row>
    <x:row r="5651">
      <x:c r="A5651" s="38" t="str">
        <x:v>7月30日现场数据</x:v>
      </x:c>
      <x:c r="B5651" s="39" t="str">
        <x:v>2026-08-05T11:10:00</x:v>
      </x:c>
      <x:c r="C5651" s="39" t="str">
        <x:v>2026-08-05T12:10:00</x:v>
      </x:c>
      <x:c r="D5651" s="47" t="n">
        <x:v>60</x:v>
      </x:c>
      <x:c r="E5651" s="40" t="n">
        <x:v>17.5</x:v>
      </x:c>
      <x:c r="F5651" s="40" t="n">
        <x:v>18.641403198242188</x:v>
      </x:c>
      <x:c r="G5651" s="40" t="n">
        <x:v>17.9</x:v>
      </x:c>
      <x:c r="H5651" s="40" t="n">
        <x:f>F5651-E5651</x:f>
        <x:v>1.1414031982421875</x:v>
      </x:c>
      <x:c r="I5651" s="40" t="n">
        <x:f>ABS(H5651)</x:f>
        <x:v>1.1414031982421875</x:v>
      </x:c>
      <x:c r="J5651" s="40" t="n">
        <x:f>H5651^2</x:f>
        <x:v>1.3028012609574944</x:v>
      </x:c>
      <x:c r="K5651" s="40" t="n">
        <x:f>G5651-E5651</x:f>
        <x:v>0.3999999999999986</x:v>
      </x:c>
      <x:c r="L5651" s="40" t="n">
        <x:f>ABS(K5651)</x:f>
        <x:v>0.3999999999999986</x:v>
      </x:c>
      <x:c r="M5651" s="41" t="str">
        <x:v>lstm-soil-v1</x:v>
      </x:c>
    </x:row>
    <x:row r="5652">
      <x:c r="A5652" s="38" t="str">
        <x:v>7月30日现场数据</x:v>
      </x:c>
      <x:c r="B5652" s="39" t="str">
        <x:v>2026-08-05T11:15:00</x:v>
      </x:c>
      <x:c r="C5652" s="39" t="str">
        <x:v>2026-08-05T11:20:00</x:v>
      </x:c>
      <x:c r="D5652" s="47" t="n">
        <x:v>5</x:v>
      </x:c>
      <x:c r="E5652" s="40" t="n">
        <x:v>17.8</x:v>
      </x:c>
      <x:c r="F5652" s="40" t="n">
        <x:v>16.387672424316406</x:v>
      </x:c>
      <x:c r="G5652" s="40" t="n">
        <x:v>17.8</x:v>
      </x:c>
      <x:c r="H5652" s="40" t="n">
        <x:f>F5652-E5652</x:f>
        <x:v>-1.4123275756835945</x:v>
      </x:c>
      <x:c r="I5652" s="40" t="n">
        <x:f>ABS(H5652)</x:f>
        <x:v>1.4123275756835945</x:v>
      </x:c>
      <x:c r="J5652" s="40" t="n">
        <x:f>H5652^2</x:f>
        <x:v>1.9946691810362993</x:v>
      </x:c>
      <x:c r="K5652" s="40" t="n">
        <x:f>G5652-E5652</x:f>
        <x:v>0</x:v>
      </x:c>
      <x:c r="L5652" s="40" t="n">
        <x:f>ABS(K5652)</x:f>
        <x:v>0</x:v>
      </x:c>
      <x:c r="M5652" s="41" t="str">
        <x:v>lstm-soil-v1</x:v>
      </x:c>
    </x:row>
    <x:row r="5653">
      <x:c r="A5653" s="38" t="str">
        <x:v>7月30日现场数据</x:v>
      </x:c>
      <x:c r="B5653" s="39" t="str">
        <x:v>2026-08-05T11:15:00</x:v>
      </x:c>
      <x:c r="C5653" s="39" t="str">
        <x:v>2026-08-05T11:30:00</x:v>
      </x:c>
      <x:c r="D5653" s="47" t="n">
        <x:v>15</x:v>
      </x:c>
      <x:c r="E5653" s="40" t="n">
        <x:v>17.7</x:v>
      </x:c>
      <x:c r="F5653" s="40" t="n">
        <x:v>16.460857391357422</x:v>
      </x:c>
      <x:c r="G5653" s="40" t="n">
        <x:v>17.8</x:v>
      </x:c>
      <x:c r="H5653" s="40" t="n">
        <x:f>F5653-E5653</x:f>
        <x:v>-1.2391426086425774</x:v>
      </x:c>
      <x:c r="I5653" s="40" t="n">
        <x:f>ABS(H5653)</x:f>
        <x:v>1.2391426086425774</x:v>
      </x:c>
      <x:c r="J5653" s="40" t="n">
        <x:f>H5653^2</x:f>
        <x:v>1.5354744045535318</x:v>
      </x:c>
      <x:c r="K5653" s="40" t="n">
        <x:f>G5653-E5653</x:f>
        <x:v>0.10000000000000142</x:v>
      </x:c>
      <x:c r="L5653" s="40" t="n">
        <x:f>ABS(K5653)</x:f>
        <x:v>0.10000000000000142</x:v>
      </x:c>
      <x:c r="M5653" s="41" t="str">
        <x:v>lstm-soil-v1</x:v>
      </x:c>
    </x:row>
    <x:row r="5654">
      <x:c r="A5654" s="38" t="str">
        <x:v>7月30日现场数据</x:v>
      </x:c>
      <x:c r="B5654" s="39" t="str">
        <x:v>2026-08-05T11:15:00</x:v>
      </x:c>
      <x:c r="C5654" s="39" t="str">
        <x:v>2026-08-05T11:45:00</x:v>
      </x:c>
      <x:c r="D5654" s="47" t="n">
        <x:v>30</x:v>
      </x:c>
      <x:c r="E5654" s="40" t="n">
        <x:v>17.6</x:v>
      </x:c>
      <x:c r="F5654" s="40" t="n">
        <x:v>16.85491180419922</x:v>
      </x:c>
      <x:c r="G5654" s="40" t="n">
        <x:v>17.8</x:v>
      </x:c>
      <x:c r="H5654" s="40" t="n">
        <x:f>F5654-E5654</x:f>
        <x:v>-0.7450881958007827</x:v>
      </x:c>
      <x:c r="I5654" s="40" t="n">
        <x:f>ABS(H5654)</x:f>
        <x:v>0.7450881958007827</x:v>
      </x:c>
      <x:c r="J5654" s="40" t="n">
        <x:f>H5654^2</x:f>
        <x:v>0.5551564195216655</x:v>
      </x:c>
      <x:c r="K5654" s="40" t="n">
        <x:f>G5654-E5654</x:f>
        <x:v>0.1999999999999993</x:v>
      </x:c>
      <x:c r="L5654" s="40" t="n">
        <x:f>ABS(K5654)</x:f>
        <x:v>0.1999999999999993</x:v>
      </x:c>
      <x:c r="M5654" s="41" t="str">
        <x:v>lstm-soil-v1</x:v>
      </x:c>
    </x:row>
    <x:row r="5655">
      <x:c r="A5655" s="38" t="str">
        <x:v>7月30日现场数据</x:v>
      </x:c>
      <x:c r="B5655" s="39" t="str">
        <x:v>2026-08-05T11:15:00</x:v>
      </x:c>
      <x:c r="C5655" s="39" t="str">
        <x:v>2026-08-05T12:15:00</x:v>
      </x:c>
      <x:c r="D5655" s="47" t="n">
        <x:v>60</x:v>
      </x:c>
      <x:c r="E5655" s="40" t="n">
        <x:v>17.5</x:v>
      </x:c>
      <x:c r="F5655" s="40" t="n">
        <x:v>18.529888153076172</x:v>
      </x:c>
      <x:c r="G5655" s="40" t="n">
        <x:v>17.8</x:v>
      </x:c>
      <x:c r="H5655" s="40" t="n">
        <x:f>F5655-E5655</x:f>
        <x:v>1.0298881530761719</x:v>
      </x:c>
      <x:c r="I5655" s="40" t="n">
        <x:f>ABS(H5655)</x:f>
        <x:v>1.0298881530761719</x:v>
      </x:c>
      <x:c r="J5655" s="40" t="n">
        <x:f>H5655^2</x:f>
        <x:v>1.0606696078466484</x:v>
      </x:c>
      <x:c r="K5655" s="40" t="n">
        <x:f>G5655-E5655</x:f>
        <x:v>0.3000000000000007</x:v>
      </x:c>
      <x:c r="L5655" s="40" t="n">
        <x:f>ABS(K5655)</x:f>
        <x:v>0.3000000000000007</x:v>
      </x:c>
      <x:c r="M5655" s="41" t="str">
        <x:v>lstm-soil-v1</x:v>
      </x:c>
    </x:row>
    <x:row r="5656">
      <x:c r="A5656" s="38" t="str">
        <x:v>7月30日现场数据</x:v>
      </x:c>
      <x:c r="B5656" s="39" t="str">
        <x:v>2026-08-05T11:20:00</x:v>
      </x:c>
      <x:c r="C5656" s="39" t="str">
        <x:v>2026-08-05T11:25:00</x:v>
      </x:c>
      <x:c r="D5656" s="47" t="n">
        <x:v>5</x:v>
      </x:c>
      <x:c r="E5656" s="40" t="n">
        <x:v>17.7</x:v>
      </x:c>
      <x:c r="F5656" s="40" t="n">
        <x:v>16.386302947998047</x:v>
      </x:c>
      <x:c r="G5656" s="40" t="n">
        <x:v>17.8</x:v>
      </x:c>
      <x:c r="H5656" s="40" t="n">
        <x:f>F5656-E5656</x:f>
        <x:v>-1.3136970520019524</x:v>
      </x:c>
      <x:c r="I5656" s="40" t="n">
        <x:f>ABS(H5656)</x:f>
        <x:v>1.3136970520019524</x:v>
      </x:c>
      <x:c r="J5656" s="40" t="n">
        <x:f>H5656^2</x:f>
        <x:v>1.7257999444386205</x:v>
      </x:c>
      <x:c r="K5656" s="40" t="n">
        <x:f>G5656-E5656</x:f>
        <x:v>0.10000000000000142</x:v>
      </x:c>
      <x:c r="L5656" s="40" t="n">
        <x:f>ABS(K5656)</x:f>
        <x:v>0.10000000000000142</x:v>
      </x:c>
      <x:c r="M5656" s="41" t="str">
        <x:v>lstm-soil-v1</x:v>
      </x:c>
    </x:row>
    <x:row r="5657">
      <x:c r="A5657" s="38" t="str">
        <x:v>7月30日现场数据</x:v>
      </x:c>
      <x:c r="B5657" s="39" t="str">
        <x:v>2026-08-05T11:20:00</x:v>
      </x:c>
      <x:c r="C5657" s="39" t="str">
        <x:v>2026-08-05T11:35:00</x:v>
      </x:c>
      <x:c r="D5657" s="47" t="n">
        <x:v>15</x:v>
      </x:c>
      <x:c r="E5657" s="40" t="n">
        <x:v>17.7</x:v>
      </x:c>
      <x:c r="F5657" s="40" t="n">
        <x:v>16.460243225097656</x:v>
      </x:c>
      <x:c r="G5657" s="40" t="n">
        <x:v>17.8</x:v>
      </x:c>
      <x:c r="H5657" s="40" t="n">
        <x:f>F5657-E5657</x:f>
        <x:v>-1.239756774902343</x:v>
      </x:c>
      <x:c r="I5657" s="40" t="n">
        <x:f>ABS(H5657)</x:f>
        <x:v>1.239756774902343</x:v>
      </x:c>
      <x:c r="J5657" s="40" t="n">
        <x:f>H5657^2</x:f>
        <x:v>1.536996860916259</x:v>
      </x:c>
      <x:c r="K5657" s="40" t="n">
        <x:f>G5657-E5657</x:f>
        <x:v>0.10000000000000142</x:v>
      </x:c>
      <x:c r="L5657" s="40" t="n">
        <x:f>ABS(K5657)</x:f>
        <x:v>0.10000000000000142</x:v>
      </x:c>
      <x:c r="M5657" s="41" t="str">
        <x:v>lstm-soil-v1</x:v>
      </x:c>
    </x:row>
    <x:row r="5658">
      <x:c r="A5658" s="38" t="str">
        <x:v>7月30日现场数据</x:v>
      </x:c>
      <x:c r="B5658" s="39" t="str">
        <x:v>2026-08-05T11:20:00</x:v>
      </x:c>
      <x:c r="C5658" s="39" t="str">
        <x:v>2026-08-05T11:50:00</x:v>
      </x:c>
      <x:c r="D5658" s="47" t="n">
        <x:v>30</x:v>
      </x:c>
      <x:c r="E5658" s="40" t="n">
        <x:v>17.6</x:v>
      </x:c>
      <x:c r="F5658" s="40" t="n">
        <x:v>16.851646423339844</x:v>
      </x:c>
      <x:c r="G5658" s="40" t="n">
        <x:v>17.8</x:v>
      </x:c>
      <x:c r="H5658" s="40" t="n">
        <x:f>F5658-E5658</x:f>
        <x:v>-0.7483535766601577</x:v>
      </x:c>
      <x:c r="I5658" s="40" t="n">
        <x:f>ABS(H5658)</x:f>
        <x:v>0.7483535766601577</x:v>
      </x:c>
      <x:c r="J5658" s="40" t="n">
        <x:f>H5658^2</x:f>
        <x:v>0.5600330757000505</x:v>
      </x:c>
      <x:c r="K5658" s="40" t="n">
        <x:f>G5658-E5658</x:f>
        <x:v>0.1999999999999993</x:v>
      </x:c>
      <x:c r="L5658" s="40" t="n">
        <x:f>ABS(K5658)</x:f>
        <x:v>0.1999999999999993</x:v>
      </x:c>
      <x:c r="M5658" s="41" t="str">
        <x:v>lstm-soil-v1</x:v>
      </x:c>
    </x:row>
    <x:row r="5659">
      <x:c r="A5659" s="38" t="str">
        <x:v>7月30日现场数据</x:v>
      </x:c>
      <x:c r="B5659" s="39" t="str">
        <x:v>2026-08-05T11:20:00</x:v>
      </x:c>
      <x:c r="C5659" s="39" t="str">
        <x:v>2026-08-05T12:20:00</x:v>
      </x:c>
      <x:c r="D5659" s="47" t="n">
        <x:v>60</x:v>
      </x:c>
      <x:c r="E5659" s="40" t="n">
        <x:v>17.5</x:v>
      </x:c>
      <x:c r="F5659" s="40" t="n">
        <x:v>18.528404235839844</x:v>
      </x:c>
      <x:c r="G5659" s="40" t="n">
        <x:v>17.8</x:v>
      </x:c>
      <x:c r="H5659" s="40" t="n">
        <x:f>F5659-E5659</x:f>
        <x:v>1.0284042358398438</x:v>
      </x:c>
      <x:c r="I5659" s="40" t="n">
        <x:f>ABS(H5659)</x:f>
        <x:v>1.0284042358398438</x:v>
      </x:c>
      <x:c r="J5659" s="40" t="n">
        <x:f>H5659^2</x:f>
        <x:v>1.057615272293333</x:v>
      </x:c>
      <x:c r="K5659" s="40" t="n">
        <x:f>G5659-E5659</x:f>
        <x:v>0.3000000000000007</x:v>
      </x:c>
      <x:c r="L5659" s="40" t="n">
        <x:f>ABS(K5659)</x:f>
        <x:v>0.3000000000000007</x:v>
      </x:c>
      <x:c r="M5659" s="41" t="str">
        <x:v>lstm-soil-v1</x:v>
      </x:c>
    </x:row>
    <x:row r="5660">
      <x:c r="A5660" s="38" t="str">
        <x:v>7月30日现场数据</x:v>
      </x:c>
      <x:c r="B5660" s="39" t="str">
        <x:v>2026-08-05T11:25:00</x:v>
      </x:c>
      <x:c r="C5660" s="39" t="str">
        <x:v>2026-08-05T11:30:00</x:v>
      </x:c>
      <x:c r="D5660" s="47" t="n">
        <x:v>5</x:v>
      </x:c>
      <x:c r="E5660" s="40" t="n">
        <x:v>17.7</x:v>
      </x:c>
      <x:c r="F5660" s="40" t="n">
        <x:v>16.275707244873047</x:v>
      </x:c>
      <x:c r="G5660" s="40" t="n">
        <x:v>17.7</x:v>
      </x:c>
      <x:c r="H5660" s="40" t="n">
        <x:f>F5660-E5660</x:f>
        <x:v>-1.4242927551269524</x:v>
      </x:c>
      <x:c r="I5660" s="40" t="n">
        <x:f>ABS(H5660)</x:f>
        <x:v>1.4242927551269524</x:v>
      </x:c>
      <x:c r="J5660" s="40" t="n">
        <x:f>H5660^2</x:f>
        <x:v>2.0286098523071248</x:v>
      </x:c>
      <x:c r="K5660" s="40" t="n">
        <x:f>G5660-E5660</x:f>
        <x:v>0</x:v>
      </x:c>
      <x:c r="L5660" s="40" t="n">
        <x:f>ABS(K5660)</x:f>
        <x:v>0</x:v>
      </x:c>
      <x:c r="M5660" s="41" t="str">
        <x:v>lstm-soil-v1</x:v>
      </x:c>
    </x:row>
    <x:row r="5661">
      <x:c r="A5661" s="38" t="str">
        <x:v>7月30日现场数据</x:v>
      </x:c>
      <x:c r="B5661" s="39" t="str">
        <x:v>2026-08-05T11:25:00</x:v>
      </x:c>
      <x:c r="C5661" s="39" t="str">
        <x:v>2026-08-05T11:40:00</x:v>
      </x:c>
      <x:c r="D5661" s="47" t="n">
        <x:v>15</x:v>
      </x:c>
      <x:c r="E5661" s="40" t="n">
        <x:v>17.6</x:v>
      </x:c>
      <x:c r="F5661" s="40" t="n">
        <x:v>16.349712371826172</x:v>
      </x:c>
      <x:c r="G5661" s="40" t="n">
        <x:v>17.7</x:v>
      </x:c>
      <x:c r="H5661" s="40" t="n">
        <x:f>F5661-E5661</x:f>
        <x:v>-1.2502876281738295</x:v>
      </x:c>
      <x:c r="I5661" s="40" t="n">
        <x:f>ABS(H5661)</x:f>
        <x:v>1.2502876281738295</x:v>
      </x:c>
      <x:c r="J5661" s="40" t="n">
        <x:f>H5661^2</x:f>
        <x:v>1.5632191531645403</x:v>
      </x:c>
      <x:c r="K5661" s="40" t="n">
        <x:f>G5661-E5661</x:f>
        <x:v>0.09999999999999787</x:v>
      </x:c>
      <x:c r="L5661" s="40" t="n">
        <x:f>ABS(K5661)</x:f>
        <x:v>0.09999999999999787</x:v>
      </x:c>
      <x:c r="M5661" s="41" t="str">
        <x:v>lstm-soil-v1</x:v>
      </x:c>
    </x:row>
    <x:row r="5662">
      <x:c r="A5662" s="38" t="str">
        <x:v>7月30日现场数据</x:v>
      </x:c>
      <x:c r="B5662" s="39" t="str">
        <x:v>2026-08-05T11:25:00</x:v>
      </x:c>
      <x:c r="C5662" s="39" t="str">
        <x:v>2026-08-05T11:55:00</x:v>
      </x:c>
      <x:c r="D5662" s="47" t="n">
        <x:v>30</x:v>
      </x:c>
      <x:c r="E5662" s="40" t="n">
        <x:v>17.5</x:v>
      </x:c>
      <x:c r="F5662" s="40" t="n">
        <x:v>16.740055084228516</x:v>
      </x:c>
      <x:c r="G5662" s="40" t="n">
        <x:v>17.7</x:v>
      </x:c>
      <x:c r="H5662" s="40" t="n">
        <x:f>F5662-E5662</x:f>
        <x:v>-0.7599449157714844</x:v>
      </x:c>
      <x:c r="I5662" s="40" t="n">
        <x:f>ABS(H5662)</x:f>
        <x:v>0.7599449157714844</x:v>
      </x:c>
      <x:c r="J5662" s="40" t="n">
        <x:f>H5662^2</x:f>
        <x:v>0.5775162750069285</x:v>
      </x:c>
      <x:c r="K5662" s="40" t="n">
        <x:f>G5662-E5662</x:f>
        <x:v>0.1999999999999993</x:v>
      </x:c>
      <x:c r="L5662" s="40" t="n">
        <x:f>ABS(K5662)</x:f>
        <x:v>0.1999999999999993</x:v>
      </x:c>
      <x:c r="M5662" s="41" t="str">
        <x:v>lstm-soil-v1</x:v>
      </x:c>
    </x:row>
    <x:row r="5663">
      <x:c r="A5663" s="38" t="str">
        <x:v>7月30日现场数据</x:v>
      </x:c>
      <x:c r="B5663" s="39" t="str">
        <x:v>2026-08-05T11:25:00</x:v>
      </x:c>
      <x:c r="C5663" s="39" t="str">
        <x:v>2026-08-05T12:25:00</x:v>
      </x:c>
      <x:c r="D5663" s="47" t="n">
        <x:v>60</x:v>
      </x:c>
      <x:c r="E5663" s="40" t="n">
        <x:v>17.9</x:v>
      </x:c>
      <x:c r="F5663" s="40" t="n">
        <x:v>18.41781997680664</x:v>
      </x:c>
      <x:c r="G5663" s="40" t="n">
        <x:v>17.7</x:v>
      </x:c>
      <x:c r="H5663" s="40" t="n">
        <x:f>F5663-E5663</x:f>
        <x:v>0.517819976806642</x:v>
      </x:c>
      <x:c r="I5663" s="40" t="n">
        <x:f>ABS(H5663)</x:f>
        <x:v>0.517819976806642</x:v>
      </x:c>
      <x:c r="J5663" s="40" t="n">
        <x:f>H5663^2</x:f>
        <x:v>0.2681375283800313</x:v>
      </x:c>
      <x:c r="K5663" s="40" t="n">
        <x:f>G5663-E5663</x:f>
        <x:v>-0.1999999999999993</x:v>
      </x:c>
      <x:c r="L5663" s="40" t="n">
        <x:f>ABS(K5663)</x:f>
        <x:v>0.1999999999999993</x:v>
      </x:c>
      <x:c r="M5663" s="41" t="str">
        <x:v>lstm-soil-v1</x:v>
      </x:c>
    </x:row>
    <x:row r="5664">
      <x:c r="A5664" s="38" t="str">
        <x:v>7月30日现场数据</x:v>
      </x:c>
      <x:c r="B5664" s="39" t="str">
        <x:v>2026-08-05T11:30:00</x:v>
      </x:c>
      <x:c r="C5664" s="39" t="str">
        <x:v>2026-08-05T11:35:00</x:v>
      </x:c>
      <x:c r="D5664" s="47" t="n">
        <x:v>5</x:v>
      </x:c>
      <x:c r="E5664" s="40" t="n">
        <x:v>17.7</x:v>
      </x:c>
      <x:c r="F5664" s="40" t="n">
        <x:v>16.27117156982422</x:v>
      </x:c>
      <x:c r="G5664" s="40" t="n">
        <x:v>17.7</x:v>
      </x:c>
      <x:c r="H5664" s="40" t="n">
        <x:f>F5664-E5664</x:f>
        <x:v>-1.4288284301757805</x:v>
      </x:c>
      <x:c r="I5664" s="40" t="n">
        <x:f>ABS(H5664)</x:f>
        <x:v>1.4288284301757805</x:v>
      </x:c>
      <x:c r="J5664" s="40" t="n">
        <x:f>H5664^2</x:f>
        <x:v>2.041550682878585</x:v>
      </x:c>
      <x:c r="K5664" s="40" t="n">
        <x:f>G5664-E5664</x:f>
        <x:v>0</x:v>
      </x:c>
      <x:c r="L5664" s="40" t="n">
        <x:f>ABS(K5664)</x:f>
        <x:v>0</x:v>
      </x:c>
      <x:c r="M5664" s="41" t="str">
        <x:v>lstm-soil-v1</x:v>
      </x:c>
    </x:row>
    <x:row r="5665">
      <x:c r="A5665" s="38" t="str">
        <x:v>7月30日现场数据</x:v>
      </x:c>
      <x:c r="B5665" s="39" t="str">
        <x:v>2026-08-05T11:30:00</x:v>
      </x:c>
      <x:c r="C5665" s="39" t="str">
        <x:v>2026-08-05T11:45:00</x:v>
      </x:c>
      <x:c r="D5665" s="47" t="n">
        <x:v>15</x:v>
      </x:c>
      <x:c r="E5665" s="40" t="n">
        <x:v>17.6</x:v>
      </x:c>
      <x:c r="F5665" s="40" t="n">
        <x:v>16.349468231201172</x:v>
      </x:c>
      <x:c r="G5665" s="40" t="n">
        <x:v>17.7</x:v>
      </x:c>
      <x:c r="H5665" s="40" t="n">
        <x:f>F5665-E5665</x:f>
        <x:v>-1.2505317687988295</x:v>
      </x:c>
      <x:c r="I5665" s="40" t="n">
        <x:f>ABS(H5665)</x:f>
        <x:v>1.2505317687988295</x:v>
      </x:c>
      <x:c r="J5665" s="40" t="n">
        <x:f>H5665^2</x:f>
        <x:v>1.5638297047751293</x:v>
      </x:c>
      <x:c r="K5665" s="40" t="n">
        <x:f>G5665-E5665</x:f>
        <x:v>0.09999999999999787</x:v>
      </x:c>
      <x:c r="L5665" s="40" t="n">
        <x:f>ABS(K5665)</x:f>
        <x:v>0.09999999999999787</x:v>
      </x:c>
      <x:c r="M5665" s="41" t="str">
        <x:v>lstm-soil-v1</x:v>
      </x:c>
    </x:row>
    <x:row r="5666">
      <x:c r="A5666" s="38" t="str">
        <x:v>7月30日现场数据</x:v>
      </x:c>
      <x:c r="B5666" s="39" t="str">
        <x:v>2026-08-05T11:30:00</x:v>
      </x:c>
      <x:c r="C5666" s="39" t="str">
        <x:v>2026-08-05T12:00:00</x:v>
      </x:c>
      <x:c r="D5666" s="47" t="n">
        <x:v>30</x:v>
      </x:c>
      <x:c r="E5666" s="40" t="n">
        <x:v>17.5</x:v>
      </x:c>
      <x:c r="F5666" s="40" t="n">
        <x:v>16.735034942626953</x:v>
      </x:c>
      <x:c r="G5666" s="40" t="n">
        <x:v>17.7</x:v>
      </x:c>
      <x:c r="H5666" s="40" t="n">
        <x:f>F5666-E5666</x:f>
        <x:v>-0.7649650573730469</x:v>
      </x:c>
      <x:c r="I5666" s="40" t="n">
        <x:f>ABS(H5666)</x:f>
        <x:v>0.7649650573730469</x:v>
      </x:c>
      <x:c r="J5666" s="40" t="n">
        <x:f>H5666^2</x:f>
        <x:v>0.5851715390017489</x:v>
      </x:c>
      <x:c r="K5666" s="40" t="n">
        <x:f>G5666-E5666</x:f>
        <x:v>0.1999999999999993</x:v>
      </x:c>
      <x:c r="L5666" s="40" t="n">
        <x:f>ABS(K5666)</x:f>
        <x:v>0.1999999999999993</x:v>
      </x:c>
      <x:c r="M5666" s="41" t="str">
        <x:v>lstm-soil-v1</x:v>
      </x:c>
    </x:row>
    <x:row r="5667">
      <x:c r="A5667" s="38" t="str">
        <x:v>7月30日现场数据</x:v>
      </x:c>
      <x:c r="B5667" s="39" t="str">
        <x:v>2026-08-05T11:30:00</x:v>
      </x:c>
      <x:c r="C5667" s="39" t="str">
        <x:v>2026-08-05T12:30:00</x:v>
      </x:c>
      <x:c r="D5667" s="47" t="n">
        <x:v>60</x:v>
      </x:c>
      <x:c r="E5667" s="40" t="n">
        <x:v>19.8</x:v>
      </x:c>
      <x:c r="F5667" s="40" t="n">
        <x:v>18.41018295288086</x:v>
      </x:c>
      <x:c r="G5667" s="40" t="n">
        <x:v>17.7</x:v>
      </x:c>
      <x:c r="H5667" s="40" t="n">
        <x:f>F5667-E5667</x:f>
        <x:v>-1.3898170471191413</x:v>
      </x:c>
      <x:c r="I5667" s="40" t="n">
        <x:f>ABS(H5667)</x:f>
        <x:v>1.3898170471191413</x:v>
      </x:c>
      <x:c r="J5667" s="40" t="n">
        <x:f>H5667^2</x:f>
        <x:v>1.9315914244629695</x:v>
      </x:c>
      <x:c r="K5667" s="40" t="n">
        <x:f>G5667-E5667</x:f>
        <x:v>-2.1000000000000014</x:v>
      </x:c>
      <x:c r="L5667" s="40" t="n">
        <x:f>ABS(K5667)</x:f>
        <x:v>2.1000000000000014</x:v>
      </x:c>
      <x:c r="M5667" s="41" t="str">
        <x:v>lstm-soil-v1</x:v>
      </x:c>
    </x:row>
    <x:row r="5668">
      <x:c r="A5668" s="38" t="str">
        <x:v>7月30日现场数据</x:v>
      </x:c>
      <x:c r="B5668" s="39" t="str">
        <x:v>2026-08-05T11:35:00</x:v>
      </x:c>
      <x:c r="C5668" s="39" t="str">
        <x:v>2026-08-05T11:40:00</x:v>
      </x:c>
      <x:c r="D5668" s="47" t="n">
        <x:v>5</x:v>
      </x:c>
      <x:c r="E5668" s="40" t="n">
        <x:v>17.6</x:v>
      </x:c>
      <x:c r="F5668" s="40" t="n">
        <x:v>16.26810073852539</x:v>
      </x:c>
      <x:c r="G5668" s="40" t="n">
        <x:v>17.7</x:v>
      </x:c>
      <x:c r="H5668" s="40" t="n">
        <x:f>F5668-E5668</x:f>
        <x:v>-1.3318992614746108</x:v>
      </x:c>
      <x:c r="I5668" s="40" t="n">
        <x:f>ABS(H5668)</x:f>
        <x:v>1.3318992614746108</x:v>
      </x:c>
      <x:c r="J5668" s="40" t="n">
        <x:f>H5668^2</x:f>
        <x:v>1.7739556427166137</x:v>
      </x:c>
      <x:c r="K5668" s="40" t="n">
        <x:f>G5668-E5668</x:f>
        <x:v>0.09999999999999787</x:v>
      </x:c>
      <x:c r="L5668" s="40" t="n">
        <x:f>ABS(K5668)</x:f>
        <x:v>0.09999999999999787</x:v>
      </x:c>
      <x:c r="M5668" s="41" t="str">
        <x:v>lstm-soil-v1</x:v>
      </x:c>
    </x:row>
    <x:row r="5669">
      <x:c r="A5669" s="38" t="str">
        <x:v>7月30日现场数据</x:v>
      </x:c>
      <x:c r="B5669" s="39" t="str">
        <x:v>2026-08-05T11:35:00</x:v>
      </x:c>
      <x:c r="C5669" s="39" t="str">
        <x:v>2026-08-05T11:50:00</x:v>
      </x:c>
      <x:c r="D5669" s="47" t="n">
        <x:v>15</x:v>
      </x:c>
      <x:c r="E5669" s="40" t="n">
        <x:v>17.6</x:v>
      </x:c>
      <x:c r="F5669" s="40" t="n">
        <x:v>16.347557067871094</x:v>
      </x:c>
      <x:c r="G5669" s="40" t="n">
        <x:v>17.7</x:v>
      </x:c>
      <x:c r="H5669" s="40" t="n">
        <x:f>F5669-E5669</x:f>
        <x:v>-1.2524429321289077</x:v>
      </x:c>
      <x:c r="I5669" s="40" t="n">
        <x:f>ABS(H5669)</x:f>
        <x:v>1.2524429321289077</x:v>
      </x:c>
      <x:c r="J5669" s="40" t="n">
        <x:f>H5669^2</x:f>
        <x:v>1.5686132982396557</x:v>
      </x:c>
      <x:c r="K5669" s="40" t="n">
        <x:f>G5669-E5669</x:f>
        <x:v>0.09999999999999787</x:v>
      </x:c>
      <x:c r="L5669" s="40" t="n">
        <x:f>ABS(K5669)</x:f>
        <x:v>0.09999999999999787</x:v>
      </x:c>
      <x:c r="M5669" s="41" t="str">
        <x:v>lstm-soil-v1</x:v>
      </x:c>
    </x:row>
    <x:row r="5670">
      <x:c r="A5670" s="38" t="str">
        <x:v>7月30日现场数据</x:v>
      </x:c>
      <x:c r="B5670" s="39" t="str">
        <x:v>2026-08-05T11:35:00</x:v>
      </x:c>
      <x:c r="C5670" s="39" t="str">
        <x:v>2026-08-05T12:05:00</x:v>
      </x:c>
      <x:c r="D5670" s="47" t="n">
        <x:v>30</x:v>
      </x:c>
      <x:c r="E5670" s="40" t="n">
        <x:v>17.5</x:v>
      </x:c>
      <x:c r="F5670" s="40" t="n">
        <x:v>16.729568481445312</x:v>
      </x:c>
      <x:c r="G5670" s="40" t="n">
        <x:v>17.7</x:v>
      </x:c>
      <x:c r="H5670" s="40" t="n">
        <x:f>F5670-E5670</x:f>
        <x:v>-0.7704315185546875</x:v>
      </x:c>
      <x:c r="I5670" s="40" t="n">
        <x:f>ABS(H5670)</x:f>
        <x:v>0.7704315185546875</x:v>
      </x:c>
      <x:c r="J5670" s="40" t="n">
        <x:f>H5670^2</x:f>
        <x:v>0.5935647247824818</x:v>
      </x:c>
      <x:c r="K5670" s="40" t="n">
        <x:f>G5670-E5670</x:f>
        <x:v>0.1999999999999993</x:v>
      </x:c>
      <x:c r="L5670" s="40" t="n">
        <x:f>ABS(K5670)</x:f>
        <x:v>0.1999999999999993</x:v>
      </x:c>
      <x:c r="M5670" s="41" t="str">
        <x:v>lstm-soil-v1</x:v>
      </x:c>
    </x:row>
    <x:row r="5671">
      <x:c r="A5671" s="38" t="str">
        <x:v>7月30日现场数据</x:v>
      </x:c>
      <x:c r="B5671" s="39" t="str">
        <x:v>2026-08-05T11:35:00</x:v>
      </x:c>
      <x:c r="C5671" s="39" t="str">
        <x:v>2026-08-05T12:35:00</x:v>
      </x:c>
      <x:c r="D5671" s="47" t="n">
        <x:v>60</x:v>
      </x:c>
      <x:c r="E5671" s="40" t="n">
        <x:v>19.5</x:v>
      </x:c>
      <x:c r="F5671" s="40" t="n">
        <x:v>18.40554428100586</x:v>
      </x:c>
      <x:c r="G5671" s="40" t="n">
        <x:v>17.7</x:v>
      </x:c>
      <x:c r="H5671" s="40" t="n">
        <x:f>F5671-E5671</x:f>
        <x:v>-1.0944557189941406</x:v>
      </x:c>
      <x:c r="I5671" s="40" t="n">
        <x:f>ABS(H5671)</x:f>
        <x:v>1.0944557189941406</x:v>
      </x:c>
      <x:c r="J5671" s="40" t="n">
        <x:f>H5671^2</x:f>
        <x:v>1.1978333208389813</x:v>
      </x:c>
      <x:c r="K5671" s="40" t="n">
        <x:f>G5671-E5671</x:f>
        <x:v>-1.8000000000000007</x:v>
      </x:c>
      <x:c r="L5671" s="40" t="n">
        <x:f>ABS(K5671)</x:f>
        <x:v>1.8000000000000007</x:v>
      </x:c>
      <x:c r="M5671" s="41" t="str">
        <x:v>lstm-soil-v1</x:v>
      </x:c>
    </x:row>
    <x:row r="5672">
      <x:c r="A5672" s="38" t="str">
        <x:v>7月30日现场数据</x:v>
      </x:c>
      <x:c r="B5672" s="39" t="str">
        <x:v>2026-08-05T11:40:00</x:v>
      </x:c>
      <x:c r="C5672" s="39" t="str">
        <x:v>2026-08-05T11:45:00</x:v>
      </x:c>
      <x:c r="D5672" s="47" t="n">
        <x:v>5</x:v>
      </x:c>
      <x:c r="E5672" s="40" t="n">
        <x:v>17.6</x:v>
      </x:c>
      <x:c r="F5672" s="40" t="n">
        <x:v>16.160438537597656</x:v>
      </x:c>
      <x:c r="G5672" s="40" t="n">
        <x:v>17.6</x:v>
      </x:c>
      <x:c r="H5672" s="40" t="n">
        <x:f>F5672-E5672</x:f>
        <x:v>-1.4395614624023452</x:v>
      </x:c>
      <x:c r="I5672" s="40" t="n">
        <x:f>ABS(H5672)</x:f>
        <x:v>1.4395614624023452</x:v>
      </x:c>
      <x:c r="J5672" s="40" t="n">
        <x:f>H5672^2</x:f>
        <x:v>2.0723372040339787</x:v>
      </x:c>
      <x:c r="K5672" s="40" t="n">
        <x:f>G5672-E5672</x:f>
        <x:v>0</x:v>
      </x:c>
      <x:c r="L5672" s="40" t="n">
        <x:f>ABS(K5672)</x:f>
        <x:v>0</x:v>
      </x:c>
      <x:c r="M5672" s="41" t="str">
        <x:v>lstm-soil-v1</x:v>
      </x:c>
    </x:row>
    <x:row r="5673">
      <x:c r="A5673" s="38" t="str">
        <x:v>7月30日现场数据</x:v>
      </x:c>
      <x:c r="B5673" s="39" t="str">
        <x:v>2026-08-05T11:40:00</x:v>
      </x:c>
      <x:c r="C5673" s="39" t="str">
        <x:v>2026-08-05T11:55:00</x:v>
      </x:c>
      <x:c r="D5673" s="47" t="n">
        <x:v>15</x:v>
      </x:c>
      <x:c r="E5673" s="40" t="n">
        <x:v>17.5</x:v>
      </x:c>
      <x:c r="F5673" s="40" t="n">
        <x:v>16.235671997070312</x:v>
      </x:c>
      <x:c r="G5673" s="40" t="n">
        <x:v>17.6</x:v>
      </x:c>
      <x:c r="H5673" s="40" t="n">
        <x:f>F5673-E5673</x:f>
        <x:v>-1.2643280029296875</x:v>
      </x:c>
      <x:c r="I5673" s="40" t="n">
        <x:f>ABS(H5673)</x:f>
        <x:v>1.2643280029296875</x:v>
      </x:c>
      <x:c r="J5673" s="40" t="n">
        <x:f>H5673^2</x:f>
        <x:v>1.5985252989921719</x:v>
      </x:c>
      <x:c r="K5673" s="40" t="n">
        <x:f>G5673-E5673</x:f>
        <x:v>0.10000000000000142</x:v>
      </x:c>
      <x:c r="L5673" s="40" t="n">
        <x:f>ABS(K5673)</x:f>
        <x:v>0.10000000000000142</x:v>
      </x:c>
      <x:c r="M5673" s="41" t="str">
        <x:v>lstm-soil-v1</x:v>
      </x:c>
    </x:row>
    <x:row r="5674">
      <x:c r="A5674" s="38" t="str">
        <x:v>7月30日现场数据</x:v>
      </x:c>
      <x:c r="B5674" s="39" t="str">
        <x:v>2026-08-05T11:40:00</x:v>
      </x:c>
      <x:c r="C5674" s="39" t="str">
        <x:v>2026-08-05T12:10:00</x:v>
      </x:c>
      <x:c r="D5674" s="47" t="n">
        <x:v>30</x:v>
      </x:c>
      <x:c r="E5674" s="40" t="n">
        <x:v>17.5</x:v>
      </x:c>
      <x:c r="F5674" s="40" t="n">
        <x:v>16.62041473388672</x:v>
      </x:c>
      <x:c r="G5674" s="40" t="n">
        <x:v>17.6</x:v>
      </x:c>
      <x:c r="H5674" s="40" t="n">
        <x:f>F5674-E5674</x:f>
        <x:v>-0.8795852661132812</x:v>
      </x:c>
      <x:c r="I5674" s="40" t="n">
        <x:f>ABS(H5674)</x:f>
        <x:v>0.8795852661132812</x:v>
      </x:c>
      <x:c r="J5674" s="40" t="n">
        <x:f>H5674^2</x:f>
        <x:v>0.7736702403635718</x:v>
      </x:c>
      <x:c r="K5674" s="40" t="n">
        <x:f>G5674-E5674</x:f>
        <x:v>0.10000000000000142</x:v>
      </x:c>
      <x:c r="L5674" s="40" t="n">
        <x:f>ABS(K5674)</x:f>
        <x:v>0.10000000000000142</x:v>
      </x:c>
      <x:c r="M5674" s="41" t="str">
        <x:v>lstm-soil-v1</x:v>
      </x:c>
    </x:row>
    <x:row r="5675">
      <x:c r="A5675" s="38" t="str">
        <x:v>7月30日现场数据</x:v>
      </x:c>
      <x:c r="B5675" s="39" t="str">
        <x:v>2026-08-05T11:40:00</x:v>
      </x:c>
      <x:c r="C5675" s="39" t="str">
        <x:v>2026-08-05T12:40:00</x:v>
      </x:c>
      <x:c r="D5675" s="47" t="n">
        <x:v>60</x:v>
      </x:c>
      <x:c r="E5675" s="40" t="n">
        <x:v>19.3</x:v>
      </x:c>
      <x:c r="F5675" s="40" t="n">
        <x:v>18.30044937133789</x:v>
      </x:c>
      <x:c r="G5675" s="40" t="n">
        <x:v>17.6</x:v>
      </x:c>
      <x:c r="H5675" s="40" t="n">
        <x:f>F5675-E5675</x:f>
        <x:v>-0.9995506286621101</x:v>
      </x:c>
      <x:c r="I5675" s="40" t="n">
        <x:f>ABS(H5675)</x:f>
        <x:v>0.9995506286621101</x:v>
      </x:c>
      <x:c r="J5675" s="40" t="n">
        <x:f>H5675^2</x:f>
        <x:v>0.9991014592588194</x:v>
      </x:c>
      <x:c r="K5675" s="40" t="n">
        <x:f>G5675-E5675</x:f>
        <x:v>-1.6999999999999993</x:v>
      </x:c>
      <x:c r="L5675" s="40" t="n">
        <x:f>ABS(K5675)</x:f>
        <x:v>1.6999999999999993</x:v>
      </x:c>
      <x:c r="M5675" s="41" t="str">
        <x:v>lstm-soil-v1</x:v>
      </x:c>
    </x:row>
    <x:row r="5676">
      <x:c r="A5676" s="38" t="str">
        <x:v>7月30日现场数据</x:v>
      </x:c>
      <x:c r="B5676" s="39" t="str">
        <x:v>2026-08-05T11:45:00</x:v>
      </x:c>
      <x:c r="C5676" s="39" t="str">
        <x:v>2026-08-05T11:50:00</x:v>
      </x:c>
      <x:c r="D5676" s="47" t="n">
        <x:v>5</x:v>
      </x:c>
      <x:c r="E5676" s="40" t="n">
        <x:v>17.6</x:v>
      </x:c>
      <x:c r="F5676" s="40" t="n">
        <x:v>16.15882110595703</x:v>
      </x:c>
      <x:c r="G5676" s="40" t="n">
        <x:v>17.6</x:v>
      </x:c>
      <x:c r="H5676" s="40" t="n">
        <x:f>F5676-E5676</x:f>
        <x:v>-1.4411788940429702</x:v>
      </x:c>
      <x:c r="I5676" s="40" t="n">
        <x:f>ABS(H5676)</x:f>
        <x:v>1.4411788940429702</x:v>
      </x:c>
      <x:c r="J5676" s="40" t="n">
        <x:f>H5676^2</x:f>
        <x:v>2.076996604634919</x:v>
      </x:c>
      <x:c r="K5676" s="40" t="n">
        <x:f>G5676-E5676</x:f>
        <x:v>0</x:v>
      </x:c>
      <x:c r="L5676" s="40" t="n">
        <x:f>ABS(K5676)</x:f>
        <x:v>0</x:v>
      </x:c>
      <x:c r="M5676" s="41" t="str">
        <x:v>lstm-soil-v1</x:v>
      </x:c>
    </x:row>
    <x:row r="5677">
      <x:c r="A5677" s="38" t="str">
        <x:v>7月30日现场数据</x:v>
      </x:c>
      <x:c r="B5677" s="39" t="str">
        <x:v>2026-08-05T11:45:00</x:v>
      </x:c>
      <x:c r="C5677" s="39" t="str">
        <x:v>2026-08-05T12:00:00</x:v>
      </x:c>
      <x:c r="D5677" s="47" t="n">
        <x:v>15</x:v>
      </x:c>
      <x:c r="E5677" s="40" t="n">
        <x:v>17.5</x:v>
      </x:c>
      <x:c r="F5677" s="40" t="n">
        <x:v>16.235260009765625</x:v>
      </x:c>
      <x:c r="G5677" s="40" t="n">
        <x:v>17.6</x:v>
      </x:c>
      <x:c r="H5677" s="40" t="n">
        <x:f>F5677-E5677</x:f>
        <x:v>-1.264739990234375</x:v>
      </x:c>
      <x:c r="I5677" s="40" t="n">
        <x:f>ABS(H5677)</x:f>
        <x:v>1.264739990234375</x:v>
      </x:c>
      <x:c r="J5677" s="40" t="n">
        <x:f>H5677^2</x:f>
        <x:v>1.599567242898047</x:v>
      </x:c>
      <x:c r="K5677" s="40" t="n">
        <x:f>G5677-E5677</x:f>
        <x:v>0.10000000000000142</x:v>
      </x:c>
      <x:c r="L5677" s="40" t="n">
        <x:f>ABS(K5677)</x:f>
        <x:v>0.10000000000000142</x:v>
      </x:c>
      <x:c r="M5677" s="41" t="str">
        <x:v>lstm-soil-v1</x:v>
      </x:c>
    </x:row>
    <x:row r="5678">
      <x:c r="A5678" s="38" t="str">
        <x:v>7月30日现场数据</x:v>
      </x:c>
      <x:c r="B5678" s="39" t="str">
        <x:v>2026-08-05T11:45:00</x:v>
      </x:c>
      <x:c r="C5678" s="39" t="str">
        <x:v>2026-08-05T12:15:00</x:v>
      </x:c>
      <x:c r="D5678" s="47" t="n">
        <x:v>30</x:v>
      </x:c>
      <x:c r="E5678" s="40" t="n">
        <x:v>17.5</x:v>
      </x:c>
      <x:c r="F5678" s="40" t="n">
        <x:v>16.619041442871094</x:v>
      </x:c>
      <x:c r="G5678" s="40" t="n">
        <x:v>17.6</x:v>
      </x:c>
      <x:c r="H5678" s="40" t="n">
        <x:f>F5678-E5678</x:f>
        <x:v>-0.8809585571289062</x:v>
      </x:c>
      <x:c r="I5678" s="40" t="n">
        <x:f>ABS(H5678)</x:f>
        <x:v>0.8809585571289062</x:v>
      </x:c>
      <x:c r="J5678" s="40" t="n">
        <x:f>H5678^2</x:f>
        <x:v>0.7760879793786444</x:v>
      </x:c>
      <x:c r="K5678" s="40" t="n">
        <x:f>G5678-E5678</x:f>
        <x:v>0.10000000000000142</x:v>
      </x:c>
      <x:c r="L5678" s="40" t="n">
        <x:f>ABS(K5678)</x:f>
        <x:v>0.10000000000000142</x:v>
      </x:c>
      <x:c r="M5678" s="41" t="str">
        <x:v>lstm-soil-v1</x:v>
      </x:c>
    </x:row>
    <x:row r="5679">
      <x:c r="A5679" s="38" t="str">
        <x:v>7月30日现场数据</x:v>
      </x:c>
      <x:c r="B5679" s="39" t="str">
        <x:v>2026-08-05T11:45:00</x:v>
      </x:c>
      <x:c r="C5679" s="39" t="str">
        <x:v>2026-08-05T12:45:00</x:v>
      </x:c>
      <x:c r="D5679" s="47" t="n">
        <x:v>60</x:v>
      </x:c>
      <x:c r="E5679" s="40" t="n">
        <x:v>19.2</x:v>
      </x:c>
      <x:c r="F5679" s="40" t="n">
        <x:v>18.297836303710938</x:v>
      </x:c>
      <x:c r="G5679" s="40" t="n">
        <x:v>17.6</x:v>
      </x:c>
      <x:c r="H5679" s="40" t="n">
        <x:f>F5679-E5679</x:f>
        <x:v>-0.9021636962890618</x:v>
      </x:c>
      <x:c r="I5679" s="40" t="n">
        <x:f>ABS(H5679)</x:f>
        <x:v>0.9021636962890618</x:v>
      </x:c>
      <x:c r="J5679" s="40" t="n">
        <x:f>H5679^2</x:f>
        <x:v>0.8138993349019426</x:v>
      </x:c>
      <x:c r="K5679" s="40" t="n">
        <x:f>G5679-E5679</x:f>
        <x:v>-1.5999999999999979</x:v>
      </x:c>
      <x:c r="L5679" s="40" t="n">
        <x:f>ABS(K5679)</x:f>
        <x:v>1.5999999999999979</x:v>
      </x:c>
      <x:c r="M5679" s="41" t="str">
        <x:v>lstm-soil-v1</x:v>
      </x:c>
    </x:row>
    <x:row r="5680">
      <x:c r="A5680" s="38" t="str">
        <x:v>7月30日现场数据</x:v>
      </x:c>
      <x:c r="B5680" s="39" t="str">
        <x:v>2026-08-05T11:50:00</x:v>
      </x:c>
      <x:c r="C5680" s="39" t="str">
        <x:v>2026-08-05T11:55:00</x:v>
      </x:c>
      <x:c r="D5680" s="47" t="n">
        <x:v>5</x:v>
      </x:c>
      <x:c r="E5680" s="40" t="n">
        <x:v>17.5</x:v>
      </x:c>
      <x:c r="F5680" s="40" t="n">
        <x:v>16.15826416015625</x:v>
      </x:c>
      <x:c r="G5680" s="40" t="n">
        <x:v>17.6</x:v>
      </x:c>
      <x:c r="H5680" s="40" t="n">
        <x:f>F5680-E5680</x:f>
        <x:v>-1.34173583984375</x:v>
      </x:c>
      <x:c r="I5680" s="40" t="n">
        <x:f>ABS(H5680)</x:f>
        <x:v>1.34173583984375</x:v>
      </x:c>
      <x:c r="J5680" s="40" t="n">
        <x:f>H5680^2</x:f>
        <x:v>1.8002550639212132</x:v>
      </x:c>
      <x:c r="K5680" s="40" t="n">
        <x:f>G5680-E5680</x:f>
        <x:v>0.10000000000000142</x:v>
      </x:c>
      <x:c r="L5680" s="40" t="n">
        <x:f>ABS(K5680)</x:f>
        <x:v>0.10000000000000142</x:v>
      </x:c>
      <x:c r="M5680" s="41" t="str">
        <x:v>lstm-soil-v1</x:v>
      </x:c>
    </x:row>
    <x:row r="5681">
      <x:c r="A5681" s="38" t="str">
        <x:v>7月30日现场数据</x:v>
      </x:c>
      <x:c r="B5681" s="39" t="str">
        <x:v>2026-08-05T11:50:00</x:v>
      </x:c>
      <x:c r="C5681" s="39" t="str">
        <x:v>2026-08-05T12:05:00</x:v>
      </x:c>
      <x:c r="D5681" s="47" t="n">
        <x:v>15</x:v>
      </x:c>
      <x:c r="E5681" s="40" t="n">
        <x:v>17.5</x:v>
      </x:c>
      <x:c r="F5681" s="40" t="n">
        <x:v>16.233604431152344</x:v>
      </x:c>
      <x:c r="G5681" s="40" t="n">
        <x:v>17.6</x:v>
      </x:c>
      <x:c r="H5681" s="40" t="n">
        <x:f>F5681-E5681</x:f>
        <x:v>-1.2663955688476562</x:v>
      </x:c>
      <x:c r="I5681" s="40" t="n">
        <x:f>ABS(H5681)</x:f>
        <x:v>1.2663955688476562</x:v>
      </x:c>
      <x:c r="J5681" s="40" t="n">
        <x:f>H5681^2</x:f>
        <x:v>1.6037577367969789</x:v>
      </x:c>
      <x:c r="K5681" s="40" t="n">
        <x:f>G5681-E5681</x:f>
        <x:v>0.10000000000000142</x:v>
      </x:c>
      <x:c r="L5681" s="40" t="n">
        <x:f>ABS(K5681)</x:f>
        <x:v>0.10000000000000142</x:v>
      </x:c>
      <x:c r="M5681" s="41" t="str">
        <x:v>lstm-soil-v1</x:v>
      </x:c>
    </x:row>
    <x:row r="5682">
      <x:c r="A5682" s="38" t="str">
        <x:v>7月30日现场数据</x:v>
      </x:c>
      <x:c r="B5682" s="39" t="str">
        <x:v>2026-08-05T11:50:00</x:v>
      </x:c>
      <x:c r="C5682" s="39" t="str">
        <x:v>2026-08-05T12:20:00</x:v>
      </x:c>
      <x:c r="D5682" s="47" t="n">
        <x:v>30</x:v>
      </x:c>
      <x:c r="E5682" s="40" t="n">
        <x:v>17.5</x:v>
      </x:c>
      <x:c r="F5682" s="40" t="n">
        <x:v>16.61751937866211</x:v>
      </x:c>
      <x:c r="G5682" s="40" t="n">
        <x:v>17.6</x:v>
      </x:c>
      <x:c r="H5682" s="40" t="n">
        <x:f>F5682-E5682</x:f>
        <x:v>-0.8824806213378906</x:v>
      </x:c>
      <x:c r="I5682" s="40" t="n">
        <x:f>ABS(H5682)</x:f>
        <x:v>0.8824806213378906</x:v>
      </x:c>
      <x:c r="J5682" s="40" t="n">
        <x:f>H5682^2</x:f>
        <x:v>0.7787720470369095</x:v>
      </x:c>
      <x:c r="K5682" s="40" t="n">
        <x:f>G5682-E5682</x:f>
        <x:v>0.10000000000000142</x:v>
      </x:c>
      <x:c r="L5682" s="40" t="n">
        <x:f>ABS(K5682)</x:f>
        <x:v>0.10000000000000142</x:v>
      </x:c>
      <x:c r="M5682" s="41" t="str">
        <x:v>lstm-soil-v1</x:v>
      </x:c>
    </x:row>
    <x:row r="5683">
      <x:c r="A5683" s="38" t="str">
        <x:v>7月30日现场数据</x:v>
      </x:c>
      <x:c r="B5683" s="39" t="str">
        <x:v>2026-08-05T11:50:00</x:v>
      </x:c>
      <x:c r="C5683" s="39" t="str">
        <x:v>2026-08-05T12:50:00</x:v>
      </x:c>
      <x:c r="D5683" s="47" t="n">
        <x:v>60</x:v>
      </x:c>
      <x:c r="E5683" s="40" t="n">
        <x:v>19</x:v>
      </x:c>
      <x:c r="F5683" s="40" t="n">
        <x:v>18.298336029052734</x:v>
      </x:c>
      <x:c r="G5683" s="40" t="n">
        <x:v>17.6</x:v>
      </x:c>
      <x:c r="H5683" s="40" t="n">
        <x:f>F5683-E5683</x:f>
        <x:v>-0.7016639709472656</x:v>
      </x:c>
      <x:c r="I5683" s="40" t="n">
        <x:f>ABS(H5683)</x:f>
        <x:v>0.7016639709472656</x:v>
      </x:c>
      <x:c r="J5683" s="40" t="n">
        <x:f>H5683^2</x:f>
        <x:v>0.4923323281254852</x:v>
      </x:c>
      <x:c r="K5683" s="40" t="n">
        <x:f>G5683-E5683</x:f>
        <x:v>-1.3999999999999986</x:v>
      </x:c>
      <x:c r="L5683" s="40" t="n">
        <x:f>ABS(K5683)</x:f>
        <x:v>1.3999999999999986</x:v>
      </x:c>
      <x:c r="M5683" s="41" t="str">
        <x:v>lstm-soil-v1</x:v>
      </x:c>
    </x:row>
    <x:row r="5684">
      <x:c r="A5684" s="38" t="str">
        <x:v>7月30日现场数据</x:v>
      </x:c>
      <x:c r="B5684" s="39" t="str">
        <x:v>2026-08-05T11:55:00</x:v>
      </x:c>
      <x:c r="C5684" s="39" t="str">
        <x:v>2026-08-05T12:00:00</x:v>
      </x:c>
      <x:c r="D5684" s="47" t="n">
        <x:v>5</x:v>
      </x:c>
      <x:c r="E5684" s="40" t="n">
        <x:v>17.5</x:v>
      </x:c>
      <x:c r="F5684" s="40" t="n">
        <x:v>16.049327850341797</x:v>
      </x:c>
      <x:c r="G5684" s="40" t="n">
        <x:v>17.5</x:v>
      </x:c>
      <x:c r="H5684" s="40" t="n">
        <x:f>F5684-E5684</x:f>
        <x:v>-1.4506721496582031</x:v>
      </x:c>
      <x:c r="I5684" s="40" t="n">
        <x:f>ABS(H5684)</x:f>
        <x:v>1.4506721496582031</x:v>
      </x:c>
      <x:c r="J5684" s="40" t="n">
        <x:f>H5684^2</x:f>
        <x:v>2.104449685793952</x:v>
      </x:c>
      <x:c r="K5684" s="40" t="n">
        <x:f>G5684-E5684</x:f>
        <x:v>0</x:v>
      </x:c>
      <x:c r="L5684" s="40" t="n">
        <x:f>ABS(K5684)</x:f>
        <x:v>0</x:v>
      </x:c>
      <x:c r="M5684" s="41" t="str">
        <x:v>lstm-soil-v1</x:v>
      </x:c>
    </x:row>
    <x:row r="5685">
      <x:c r="A5685" s="38" t="str">
        <x:v>7月30日现场数据</x:v>
      </x:c>
      <x:c r="B5685" s="39" t="str">
        <x:v>2026-08-05T11:55:00</x:v>
      </x:c>
      <x:c r="C5685" s="39" t="str">
        <x:v>2026-08-05T12:10:00</x:v>
      </x:c>
      <x:c r="D5685" s="47" t="n">
        <x:v>15</x:v>
      </x:c>
      <x:c r="E5685" s="40" t="n">
        <x:v>17.5</x:v>
      </x:c>
      <x:c r="F5685" s="40" t="n">
        <x:v>16.122879028320312</x:v>
      </x:c>
      <x:c r="G5685" s="40" t="n">
        <x:v>17.5</x:v>
      </x:c>
      <x:c r="H5685" s="40" t="n">
        <x:f>F5685-E5685</x:f>
        <x:v>-1.3771209716796875</x:v>
      </x:c>
      <x:c r="I5685" s="40" t="n">
        <x:f>ABS(H5685)</x:f>
        <x:v>1.3771209716796875</x:v>
      </x:c>
      <x:c r="J5685" s="40" t="n">
        <x:f>H5685^2</x:f>
        <x:v>1.8964621706400067</x:v>
      </x:c>
      <x:c r="K5685" s="40" t="n">
        <x:f>G5685-E5685</x:f>
        <x:v>0</x:v>
      </x:c>
      <x:c r="L5685" s="40" t="n">
        <x:f>ABS(K5685)</x:f>
        <x:v>0</x:v>
      </x:c>
      <x:c r="M5685" s="41" t="str">
        <x:v>lstm-soil-v1</x:v>
      </x:c>
    </x:row>
    <x:row r="5686">
      <x:c r="A5686" s="38" t="str">
        <x:v>7月30日现场数据</x:v>
      </x:c>
      <x:c r="B5686" s="39" t="str">
        <x:v>2026-08-05T11:55:00</x:v>
      </x:c>
      <x:c r="C5686" s="39" t="str">
        <x:v>2026-08-05T12:25:00</x:v>
      </x:c>
      <x:c r="D5686" s="47" t="n">
        <x:v>30</x:v>
      </x:c>
      <x:c r="E5686" s="40" t="n">
        <x:v>17.9</x:v>
      </x:c>
      <x:c r="F5686" s="40" t="n">
        <x:v>16.508712768554688</x:v>
      </x:c>
      <x:c r="G5686" s="40" t="n">
        <x:v>17.5</x:v>
      </x:c>
      <x:c r="H5686" s="40" t="n">
        <x:f>F5686-E5686</x:f>
        <x:v>-1.391287231445311</x:v>
      </x:c>
      <x:c r="I5686" s="40" t="n">
        <x:f>ABS(H5686)</x:f>
        <x:v>1.391287231445311</x:v>
      </x:c>
      <x:c r="J5686" s="40" t="n">
        <x:f>H5686^2</x:f>
        <x:v>1.9356801603827587</x:v>
      </x:c>
      <x:c r="K5686" s="40" t="n">
        <x:f>G5686-E5686</x:f>
        <x:v>-0.3999999999999986</x:v>
      </x:c>
      <x:c r="L5686" s="40" t="n">
        <x:f>ABS(K5686)</x:f>
        <x:v>0.3999999999999986</x:v>
      </x:c>
      <x:c r="M5686" s="41" t="str">
        <x:v>lstm-soil-v1</x:v>
      </x:c>
    </x:row>
    <x:row r="5687">
      <x:c r="A5687" s="38" t="str">
        <x:v>7月30日现场数据</x:v>
      </x:c>
      <x:c r="B5687" s="39" t="str">
        <x:v>2026-08-05T11:55:00</x:v>
      </x:c>
      <x:c r="C5687" s="39" t="str">
        <x:v>2026-08-05T12:55:00</x:v>
      </x:c>
      <x:c r="D5687" s="47" t="n">
        <x:v>60</x:v>
      </x:c>
      <x:c r="E5687" s="40" t="n">
        <x:v>18.9</x:v>
      </x:c>
      <x:c r="F5687" s="40" t="n">
        <x:v>18.190921783447266</x:v>
      </x:c>
      <x:c r="G5687" s="40" t="n">
        <x:v>17.5</x:v>
      </x:c>
      <x:c r="H5687" s="40" t="n">
        <x:f>F5687-E5687</x:f>
        <x:v>-0.709078216552733</x:v>
      </x:c>
      <x:c r="I5687" s="40" t="n">
        <x:f>ABS(H5687)</x:f>
        <x:v>0.709078216552733</x:v>
      </x:c>
      <x:c r="J5687" s="40" t="n">
        <x:f>H5687^2</x:f>
        <x:v>0.5027919171896045</x:v>
      </x:c>
      <x:c r="K5687" s="40" t="n">
        <x:f>G5687-E5687</x:f>
        <x:v>-1.3999999999999986</x:v>
      </x:c>
      <x:c r="L5687" s="40" t="n">
        <x:f>ABS(K5687)</x:f>
        <x:v>1.3999999999999986</x:v>
      </x:c>
      <x:c r="M5687" s="41" t="str">
        <x:v>lstm-soil-v1</x:v>
      </x:c>
    </x:row>
    <x:row r="5688">
      <x:c r="A5688" s="38" t="str">
        <x:v>7月30日现场数据</x:v>
      </x:c>
      <x:c r="B5688" s="39" t="str">
        <x:v>2026-08-05T12:00:00</x:v>
      </x:c>
      <x:c r="C5688" s="39" t="str">
        <x:v>2026-08-05T12:05:00</x:v>
      </x:c>
      <x:c r="D5688" s="47" t="n">
        <x:v>5</x:v>
      </x:c>
      <x:c r="E5688" s="40" t="n">
        <x:v>17.5</x:v>
      </x:c>
      <x:c r="F5688" s="40" t="n">
        <x:v>16.050960540771484</x:v>
      </x:c>
      <x:c r="G5688" s="40" t="n">
        <x:v>17.5</x:v>
      </x:c>
      <x:c r="H5688" s="40" t="n">
        <x:f>F5688-E5688</x:f>
        <x:v>-1.4490394592285156</x:v>
      </x:c>
      <x:c r="I5688" s="40" t="n">
        <x:f>ABS(H5688)</x:f>
        <x:v>1.4490394592285156</x:v>
      </x:c>
      <x:c r="J5688" s="40" t="n">
        <x:f>H5688^2</x:f>
        <x:v>2.099715354401269</x:v>
      </x:c>
      <x:c r="K5688" s="40" t="n">
        <x:f>G5688-E5688</x:f>
        <x:v>0</x:v>
      </x:c>
      <x:c r="L5688" s="40" t="n">
        <x:f>ABS(K5688)</x:f>
        <x:v>0</x:v>
      </x:c>
      <x:c r="M5688" s="41" t="str">
        <x:v>lstm-soil-v1</x:v>
      </x:c>
    </x:row>
    <x:row r="5689">
      <x:c r="A5689" s="38" t="str">
        <x:v>7月30日现场数据</x:v>
      </x:c>
      <x:c r="B5689" s="39" t="str">
        <x:v>2026-08-05T12:00:00</x:v>
      </x:c>
      <x:c r="C5689" s="39" t="str">
        <x:v>2026-08-05T12:15:00</x:v>
      </x:c>
      <x:c r="D5689" s="47" t="n">
        <x:v>15</x:v>
      </x:c>
      <x:c r="E5689" s="40" t="n">
        <x:v>17.5</x:v>
      </x:c>
      <x:c r="F5689" s="40" t="n">
        <x:v>16.125579833984375</x:v>
      </x:c>
      <x:c r="G5689" s="40" t="n">
        <x:v>17.5</x:v>
      </x:c>
      <x:c r="H5689" s="40" t="n">
        <x:f>F5689-E5689</x:f>
        <x:v>-1.374420166015625</x:v>
      </x:c>
      <x:c r="I5689" s="40" t="n">
        <x:f>ABS(H5689)</x:f>
        <x:v>1.374420166015625</x:v>
      </x:c>
      <x:c r="J5689" s="40" t="n">
        <x:f>H5689^2</x:f>
        <x:v>1.8890307927504182</x:v>
      </x:c>
      <x:c r="K5689" s="40" t="n">
        <x:f>G5689-E5689</x:f>
        <x:v>0</x:v>
      </x:c>
      <x:c r="L5689" s="40" t="n">
        <x:f>ABS(K5689)</x:f>
        <x:v>0</x:v>
      </x:c>
      <x:c r="M5689" s="41" t="str">
        <x:v>lstm-soil-v1</x:v>
      </x:c>
    </x:row>
    <x:row r="5690">
      <x:c r="A5690" s="38" t="str">
        <x:v>7月30日现场数据</x:v>
      </x:c>
      <x:c r="B5690" s="39" t="str">
        <x:v>2026-08-05T12:00:00</x:v>
      </x:c>
      <x:c r="C5690" s="39" t="str">
        <x:v>2026-08-05T12:30:00</x:v>
      </x:c>
      <x:c r="D5690" s="47" t="n">
        <x:v>30</x:v>
      </x:c>
      <x:c r="E5690" s="40" t="n">
        <x:v>19.8</x:v>
      </x:c>
      <x:c r="F5690" s="40" t="n">
        <x:v>16.511249542236328</x:v>
      </x:c>
      <x:c r="G5690" s="40" t="n">
        <x:v>17.5</x:v>
      </x:c>
      <x:c r="H5690" s="40" t="n">
        <x:f>F5690-E5690</x:f>
        <x:v>-3.2887504577636726</x:v>
      </x:c>
      <x:c r="I5690" s="40" t="n">
        <x:f>ABS(H5690)</x:f>
        <x:v>3.2887504577636726</x:v>
      </x:c>
      <x:c r="J5690" s="40" t="n">
        <x:f>H5690^2</x:f>
        <x:v>10.815879573440766</x:v>
      </x:c>
      <x:c r="K5690" s="40" t="n">
        <x:f>G5690-E5690</x:f>
        <x:v>-2.3000000000000007</x:v>
      </x:c>
      <x:c r="L5690" s="40" t="n">
        <x:f>ABS(K5690)</x:f>
        <x:v>2.3000000000000007</x:v>
      </x:c>
      <x:c r="M5690" s="41" t="str">
        <x:v>lstm-soil-v1</x:v>
      </x:c>
    </x:row>
    <x:row r="5691">
      <x:c r="A5691" s="38" t="str">
        <x:v>7月30日现场数据</x:v>
      </x:c>
      <x:c r="B5691" s="39" t="str">
        <x:v>2026-08-05T12:00:00</x:v>
      </x:c>
      <x:c r="C5691" s="39" t="str">
        <x:v>2026-08-05T13:00:00</x:v>
      </x:c>
      <x:c r="D5691" s="47" t="n">
        <x:v>60</x:v>
      </x:c>
      <x:c r="E5691" s="40" t="n">
        <x:v>18.8</x:v>
      </x:c>
      <x:c r="F5691" s="40" t="n">
        <x:v>18.193599700927734</x:v>
      </x:c>
      <x:c r="G5691" s="40" t="n">
        <x:v>17.5</x:v>
      </x:c>
      <x:c r="H5691" s="40" t="n">
        <x:f>F5691-E5691</x:f>
        <x:v>-0.6064002990722663</x:v>
      </x:c>
      <x:c r="I5691" s="40" t="n">
        <x:f>ABS(H5691)</x:f>
        <x:v>0.6064002990722663</x:v>
      </x:c>
      <x:c r="J5691" s="40" t="n">
        <x:f>H5691^2</x:f>
        <x:v>0.3677213227149341</x:v>
      </x:c>
      <x:c r="K5691" s="40" t="n">
        <x:f>G5691-E5691</x:f>
        <x:v>-1.3000000000000007</x:v>
      </x:c>
      <x:c r="L5691" s="40" t="n">
        <x:f>ABS(K5691)</x:f>
        <x:v>1.3000000000000007</x:v>
      </x:c>
      <x:c r="M5691" s="41" t="str">
        <x:v>lstm-soil-v1</x:v>
      </x:c>
    </x:row>
    <x:row r="5692">
      <x:c r="A5692" s="38" t="str">
        <x:v>7月30日现场数据</x:v>
      </x:c>
      <x:c r="B5692" s="39" t="str">
        <x:v>2026-08-05T12:05:00</x:v>
      </x:c>
      <x:c r="C5692" s="39" t="str">
        <x:v>2026-08-05T12:10:00</x:v>
      </x:c>
      <x:c r="D5692" s="47" t="n">
        <x:v>5</x:v>
      </x:c>
      <x:c r="E5692" s="40" t="n">
        <x:v>17.5</x:v>
      </x:c>
      <x:c r="F5692" s="40" t="n">
        <x:v>16.05017852783203</x:v>
      </x:c>
      <x:c r="G5692" s="40" t="n">
        <x:v>17.5</x:v>
      </x:c>
      <x:c r="H5692" s="40" t="n">
        <x:f>F5692-E5692</x:f>
        <x:v>-1.4498214721679688</x:v>
      </x:c>
      <x:c r="I5692" s="40" t="n">
        <x:f>ABS(H5692)</x:f>
        <x:v>1.4498214721679688</x:v>
      </x:c>
      <x:c r="J5692" s="40" t="n">
        <x:f>H5692^2</x:f>
        <x:v>2.101982301159296</x:v>
      </x:c>
      <x:c r="K5692" s="40" t="n">
        <x:f>G5692-E5692</x:f>
        <x:v>0</x:v>
      </x:c>
      <x:c r="L5692" s="40" t="n">
        <x:f>ABS(K5692)</x:f>
        <x:v>0</x:v>
      </x:c>
      <x:c r="M5692" s="41" t="str">
        <x:v>lstm-soil-v1</x:v>
      </x:c>
    </x:row>
    <x:row r="5693">
      <x:c r="A5693" s="38" t="str">
        <x:v>7月30日现场数据</x:v>
      </x:c>
      <x:c r="B5693" s="39" t="str">
        <x:v>2026-08-05T12:05:00</x:v>
      </x:c>
      <x:c r="C5693" s="39" t="str">
        <x:v>2026-08-05T12:20:00</x:v>
      </x:c>
      <x:c r="D5693" s="47" t="n">
        <x:v>15</x:v>
      </x:c>
      <x:c r="E5693" s="40" t="n">
        <x:v>17.5</x:v>
      </x:c>
      <x:c r="F5693" s="40" t="n">
        <x:v>16.12625503540039</x:v>
      </x:c>
      <x:c r="G5693" s="40" t="n">
        <x:v>17.5</x:v>
      </x:c>
      <x:c r="H5693" s="40" t="n">
        <x:f>F5693-E5693</x:f>
        <x:v>-1.3737449645996094</x:v>
      </x:c>
      <x:c r="I5693" s="40" t="n">
        <x:f>ABS(H5693)</x:f>
        <x:v>1.3737449645996094</x:v>
      </x:c>
      <x:c r="J5693" s="40" t="n">
        <x:f>H5693^2</x:f>
        <x:v>1.887175227762782</x:v>
      </x:c>
      <x:c r="K5693" s="40" t="n">
        <x:f>G5693-E5693</x:f>
        <x:v>0</x:v>
      </x:c>
      <x:c r="L5693" s="40" t="n">
        <x:f>ABS(K5693)</x:f>
        <x:v>0</x:v>
      </x:c>
      <x:c r="M5693" s="41" t="str">
        <x:v>lstm-soil-v1</x:v>
      </x:c>
    </x:row>
    <x:row r="5694">
      <x:c r="A5694" s="38" t="str">
        <x:v>7月30日现场数据</x:v>
      </x:c>
      <x:c r="B5694" s="39" t="str">
        <x:v>2026-08-05T12:05:00</x:v>
      </x:c>
      <x:c r="C5694" s="39" t="str">
        <x:v>2026-08-05T12:35:00</x:v>
      </x:c>
      <x:c r="D5694" s="47" t="n">
        <x:v>30</x:v>
      </x:c>
      <x:c r="E5694" s="40" t="n">
        <x:v>19.5</x:v>
      </x:c>
      <x:c r="F5694" s="40" t="n">
        <x:v>16.508121490478516</x:v>
      </x:c>
      <x:c r="G5694" s="40" t="n">
        <x:v>17.5</x:v>
      </x:c>
      <x:c r="H5694" s="40" t="n">
        <x:f>F5694-E5694</x:f>
        <x:v>-2.9918785095214844</x:v>
      </x:c>
      <x:c r="I5694" s="40" t="n">
        <x:f>ABS(H5694)</x:f>
        <x:v>2.9918785095214844</x:v>
      </x:c>
      <x:c r="J5694" s="40" t="n">
        <x:f>H5694^2</x:f>
        <x:v>8.951337015736499</x:v>
      </x:c>
      <x:c r="K5694" s="40" t="n">
        <x:f>G5694-E5694</x:f>
        <x:v>-2</x:v>
      </x:c>
      <x:c r="L5694" s="40" t="n">
        <x:f>ABS(K5694)</x:f>
        <x:v>2</x:v>
      </x:c>
      <x:c r="M5694" s="41" t="str">
        <x:v>lstm-soil-v1</x:v>
      </x:c>
    </x:row>
    <x:row r="5695">
      <x:c r="A5695" s="38" t="str">
        <x:v>7月30日现场数据</x:v>
      </x:c>
      <x:c r="B5695" s="39" t="str">
        <x:v>2026-08-05T12:05:00</x:v>
      </x:c>
      <x:c r="C5695" s="39" t="str">
        <x:v>2026-08-05T13:05:00</x:v>
      </x:c>
      <x:c r="D5695" s="47" t="n">
        <x:v>60</x:v>
      </x:c>
      <x:c r="E5695" s="40" t="n">
        <x:v>18.7</x:v>
      </x:c>
      <x:c r="F5695" s="40" t="n">
        <x:v>18.19418716430664</x:v>
      </x:c>
      <x:c r="G5695" s="40" t="n">
        <x:v>17.5</x:v>
      </x:c>
      <x:c r="H5695" s="40" t="n">
        <x:f>F5695-E5695</x:f>
        <x:v>-0.5058128356933587</x:v>
      </x:c>
      <x:c r="I5695" s="40" t="n">
        <x:f>ABS(H5695)</x:f>
        <x:v>0.5058128356933587</x:v>
      </x:c>
      <x:c r="J5695" s="40" t="n">
        <x:f>H5695^2</x:f>
        <x:v>0.25584662475215664</x:v>
      </x:c>
      <x:c r="K5695" s="40" t="n">
        <x:f>G5695-E5695</x:f>
        <x:v>-1.1999999999999993</x:v>
      </x:c>
      <x:c r="L5695" s="40" t="n">
        <x:f>ABS(K5695)</x:f>
        <x:v>1.1999999999999993</x:v>
      </x:c>
      <x:c r="M5695" s="41" t="str">
        <x:v>lstm-soil-v1</x:v>
      </x:c>
    </x:row>
    <x:row r="5696">
      <x:c r="A5696" s="38" t="str">
        <x:v>7月30日现场数据</x:v>
      </x:c>
      <x:c r="B5696" s="39" t="str">
        <x:v>2026-08-05T12:10:00</x:v>
      </x:c>
      <x:c r="C5696" s="39" t="str">
        <x:v>2026-08-05T12:15:00</x:v>
      </x:c>
      <x:c r="D5696" s="47" t="n">
        <x:v>5</x:v>
      </x:c>
      <x:c r="E5696" s="40" t="n">
        <x:v>17.5</x:v>
      </x:c>
      <x:c r="F5696" s="40" t="n">
        <x:v>16.050334930419922</x:v>
      </x:c>
      <x:c r="G5696" s="40" t="n">
        <x:v>17.5</x:v>
      </x:c>
      <x:c r="H5696" s="40" t="n">
        <x:f>F5696-E5696</x:f>
        <x:v>-1.4496650695800781</x:v>
      </x:c>
      <x:c r="I5696" s="40" t="n">
        <x:f>ABS(H5696)</x:f>
        <x:v>1.4496650695800781</x:v>
      </x:c>
      <x:c r="J5696" s="40" t="n">
        <x:f>H5696^2</x:f>
        <x:v>2.1015288139606128</x:v>
      </x:c>
      <x:c r="K5696" s="40" t="n">
        <x:f>G5696-E5696</x:f>
        <x:v>0</x:v>
      </x:c>
      <x:c r="L5696" s="40" t="n">
        <x:f>ABS(K5696)</x:f>
        <x:v>0</x:v>
      </x:c>
      <x:c r="M5696" s="41" t="str">
        <x:v>lstm-soil-v1</x:v>
      </x:c>
    </x:row>
    <x:row r="5697">
      <x:c r="A5697" s="38" t="str">
        <x:v>7月30日现场数据</x:v>
      </x:c>
      <x:c r="B5697" s="39" t="str">
        <x:v>2026-08-05T12:10:00</x:v>
      </x:c>
      <x:c r="C5697" s="39" t="str">
        <x:v>2026-08-05T12:25:00</x:v>
      </x:c>
      <x:c r="D5697" s="47" t="n">
        <x:v>15</x:v>
      </x:c>
      <x:c r="E5697" s="40" t="n">
        <x:v>17.9</x:v>
      </x:c>
      <x:c r="F5697" s="40" t="n">
        <x:v>16.12588882446289</x:v>
      </x:c>
      <x:c r="G5697" s="40" t="n">
        <x:v>17.5</x:v>
      </x:c>
      <x:c r="H5697" s="40" t="n">
        <x:f>F5697-E5697</x:f>
        <x:v>-1.774111175537108</x:v>
      </x:c>
      <x:c r="I5697" s="40" t="n">
        <x:f>ABS(H5697)</x:f>
        <x:v>1.774111175537108</x:v>
      </x:c>
      <x:c r="J5697" s="40" t="n">
        <x:f>H5697^2</x:f>
        <x:v>3.147470463165659</x:v>
      </x:c>
      <x:c r="K5697" s="40" t="n">
        <x:f>G5697-E5697</x:f>
        <x:v>-0.3999999999999986</x:v>
      </x:c>
      <x:c r="L5697" s="40" t="n">
        <x:f>ABS(K5697)</x:f>
        <x:v>0.3999999999999986</x:v>
      </x:c>
      <x:c r="M5697" s="41" t="str">
        <x:v>lstm-soil-v1</x:v>
      </x:c>
    </x:row>
    <x:row r="5698">
      <x:c r="A5698" s="38" t="str">
        <x:v>7月30日现场数据</x:v>
      </x:c>
      <x:c r="B5698" s="39" t="str">
        <x:v>2026-08-05T12:10:00</x:v>
      </x:c>
      <x:c r="C5698" s="39" t="str">
        <x:v>2026-08-05T12:40:00</x:v>
      </x:c>
      <x:c r="D5698" s="47" t="n">
        <x:v>30</x:v>
      </x:c>
      <x:c r="E5698" s="40" t="n">
        <x:v>19.3</x:v>
      </x:c>
      <x:c r="F5698" s="40" t="n">
        <x:v>16.504798889160156</x:v>
      </x:c>
      <x:c r="G5698" s="40" t="n">
        <x:v>17.5</x:v>
      </x:c>
      <x:c r="H5698" s="40" t="n">
        <x:f>F5698-E5698</x:f>
        <x:v>-2.7952011108398445</x:v>
      </x:c>
      <x:c r="I5698" s="40" t="n">
        <x:f>ABS(H5698)</x:f>
        <x:v>2.7952011108398445</x:v>
      </x:c>
      <x:c r="J5698" s="40" t="n">
        <x:f>H5698^2</x:f>
        <x:v>7.813149250040301</x:v>
      </x:c>
      <x:c r="K5698" s="40" t="n">
        <x:f>G5698-E5698</x:f>
        <x:v>-1.8000000000000007</x:v>
      </x:c>
      <x:c r="L5698" s="40" t="n">
        <x:f>ABS(K5698)</x:f>
        <x:v>1.8000000000000007</x:v>
      </x:c>
      <x:c r="M5698" s="41" t="str">
        <x:v>lstm-soil-v1</x:v>
      </x:c>
    </x:row>
    <x:row r="5699">
      <x:c r="A5699" s="38" t="str">
        <x:v>7月30日现场数据</x:v>
      </x:c>
      <x:c r="B5699" s="39" t="str">
        <x:v>2026-08-05T12:10:00</x:v>
      </x:c>
      <x:c r="C5699" s="39" t="str">
        <x:v>2026-08-05T13:10:00</x:v>
      </x:c>
      <x:c r="D5699" s="47" t="n">
        <x:v>60</x:v>
      </x:c>
      <x:c r="E5699" s="40" t="n">
        <x:v>18.7</x:v>
      </x:c>
      <x:c r="F5699" s="40" t="n">
        <x:v>18.196247100830078</x:v>
      </x:c>
      <x:c r="G5699" s="40" t="n">
        <x:v>17.5</x:v>
      </x:c>
      <x:c r="H5699" s="40" t="n">
        <x:f>F5699-E5699</x:f>
        <x:v>-0.5037528991699212</x:v>
      </x:c>
      <x:c r="I5699" s="40" t="n">
        <x:f>ABS(H5699)</x:f>
        <x:v>0.5037528991699212</x:v>
      </x:c>
      <x:c r="J5699" s="40" t="n">
        <x:f>H5699^2</x:f>
        <x:v>0.25376698342210074</x:v>
      </x:c>
      <x:c r="K5699" s="40" t="n">
        <x:f>G5699-E5699</x:f>
        <x:v>-1.1999999999999993</x:v>
      </x:c>
      <x:c r="L5699" s="40" t="n">
        <x:f>ABS(K5699)</x:f>
        <x:v>1.1999999999999993</x:v>
      </x:c>
      <x:c r="M5699" s="41" t="str">
        <x:v>lstm-soil-v1</x:v>
      </x:c>
    </x:row>
    <x:row r="5700">
      <x:c r="A5700" s="38" t="str">
        <x:v>7月30日现场数据</x:v>
      </x:c>
      <x:c r="B5700" s="39" t="str">
        <x:v>2026-08-05T12:15:00</x:v>
      </x:c>
      <x:c r="C5700" s="39" t="str">
        <x:v>2026-08-05T12:20:00</x:v>
      </x:c>
      <x:c r="D5700" s="47" t="n">
        <x:v>5</x:v>
      </x:c>
      <x:c r="E5700" s="40" t="n">
        <x:v>17.5</x:v>
      </x:c>
      <x:c r="F5700" s="40" t="n">
        <x:v>16.050350189208984</x:v>
      </x:c>
      <x:c r="G5700" s="40" t="n">
        <x:v>17.5</x:v>
      </x:c>
      <x:c r="H5700" s="40" t="n">
        <x:f>F5700-E5700</x:f>
        <x:v>-1.4496498107910156</x:v>
      </x:c>
      <x:c r="I5700" s="40" t="n">
        <x:f>ABS(H5700)</x:f>
        <x:v>1.4496498107910156</x:v>
      </x:c>
      <x:c r="J5700" s="40" t="n">
        <x:f>H5700^2</x:f>
        <x:v>2.1014845739264274</x:v>
      </x:c>
      <x:c r="K5700" s="40" t="n">
        <x:f>G5700-E5700</x:f>
        <x:v>0</x:v>
      </x:c>
      <x:c r="L5700" s="40" t="n">
        <x:f>ABS(K5700)</x:f>
        <x:v>0</x:v>
      </x:c>
      <x:c r="M5700" s="41" t="str">
        <x:v>lstm-soil-v1</x:v>
      </x:c>
    </x:row>
    <x:row r="5701">
      <x:c r="A5701" s="38" t="str">
        <x:v>7月30日现场数据</x:v>
      </x:c>
      <x:c r="B5701" s="39" t="str">
        <x:v>2026-08-05T12:15:00</x:v>
      </x:c>
      <x:c r="C5701" s="39" t="str">
        <x:v>2026-08-05T12:30:00</x:v>
      </x:c>
      <x:c r="D5701" s="47" t="n">
        <x:v>15</x:v>
      </x:c>
      <x:c r="E5701" s="40" t="n">
        <x:v>19.8</x:v>
      </x:c>
      <x:c r="F5701" s="40" t="n">
        <x:v>16.125240325927734</x:v>
      </x:c>
      <x:c r="G5701" s="40" t="n">
        <x:v>17.5</x:v>
      </x:c>
      <x:c r="H5701" s="40" t="n">
        <x:f>F5701-E5701</x:f>
        <x:v>-3.6747596740722663</x:v>
      </x:c>
      <x:c r="I5701" s="40" t="n">
        <x:f>ABS(H5701)</x:f>
        <x:v>3.6747596740722663</x:v>
      </x:c>
      <x:c r="J5701" s="40" t="n">
        <x:f>H5701^2</x:f>
        <x:v>13.503858662187708</x:v>
      </x:c>
      <x:c r="K5701" s="40" t="n">
        <x:f>G5701-E5701</x:f>
        <x:v>-2.3000000000000007</x:v>
      </x:c>
      <x:c r="L5701" s="40" t="n">
        <x:f>ABS(K5701)</x:f>
        <x:v>2.3000000000000007</x:v>
      </x:c>
      <x:c r="M5701" s="41" t="str">
        <x:v>lstm-soil-v1</x:v>
      </x:c>
    </x:row>
    <x:row r="5702">
      <x:c r="A5702" s="38" t="str">
        <x:v>7月30日现场数据</x:v>
      </x:c>
      <x:c r="B5702" s="39" t="str">
        <x:v>2026-08-05T12:15:00</x:v>
      </x:c>
      <x:c r="C5702" s="39" t="str">
        <x:v>2026-08-05T12:45:00</x:v>
      </x:c>
      <x:c r="D5702" s="47" t="n">
        <x:v>30</x:v>
      </x:c>
      <x:c r="E5702" s="40" t="n">
        <x:v>19.2</x:v>
      </x:c>
      <x:c r="F5702" s="40" t="n">
        <x:v>16.501609802246094</x:v>
      </x:c>
      <x:c r="G5702" s="40" t="n">
        <x:v>17.5</x:v>
      </x:c>
      <x:c r="H5702" s="40" t="n">
        <x:f>F5702-E5702</x:f>
        <x:v>-2.6983901977539055</x:v>
      </x:c>
      <x:c r="I5702" s="40" t="n">
        <x:f>ABS(H5702)</x:f>
        <x:v>2.6983901977539055</x:v>
      </x:c>
      <x:c r="J5702" s="40" t="n">
        <x:f>H5702^2</x:f>
        <x:v>7.281309659334362</x:v>
      </x:c>
      <x:c r="K5702" s="40" t="n">
        <x:f>G5702-E5702</x:f>
        <x:v>-1.6999999999999993</x:v>
      </x:c>
      <x:c r="L5702" s="40" t="n">
        <x:f>ABS(K5702)</x:f>
        <x:v>1.6999999999999993</x:v>
      </x:c>
      <x:c r="M5702" s="41" t="str">
        <x:v>lstm-soil-v1</x:v>
      </x:c>
    </x:row>
    <x:row r="5703">
      <x:c r="A5703" s="38" t="str">
        <x:v>7月30日现场数据</x:v>
      </x:c>
      <x:c r="B5703" s="39" t="str">
        <x:v>2026-08-05T12:15:00</x:v>
      </x:c>
      <x:c r="C5703" s="39" t="str">
        <x:v>2026-08-05T13:15:00</x:v>
      </x:c>
      <x:c r="D5703" s="47" t="n">
        <x:v>60</x:v>
      </x:c>
      <x:c r="E5703" s="40" t="n">
        <x:v>18.6</x:v>
      </x:c>
      <x:c r="F5703" s="40" t="n">
        <x:v>18.197120666503906</x:v>
      </x:c>
      <x:c r="G5703" s="40" t="n">
        <x:v>17.5</x:v>
      </x:c>
      <x:c r="H5703" s="40" t="n">
        <x:f>F5703-E5703</x:f>
        <x:v>-0.40287933349609517</x:v>
      </x:c>
      <x:c r="I5703" s="40" t="n">
        <x:f>ABS(H5703)</x:f>
        <x:v>0.40287933349609517</x:v>
      </x:c>
      <x:c r="J5703" s="40" t="n">
        <x:f>H5703^2</x:f>
        <x:v>0.16231175735825787</x:v>
      </x:c>
      <x:c r="K5703" s="40" t="n">
        <x:f>G5703-E5703</x:f>
        <x:v>-1.1000000000000014</x:v>
      </x:c>
      <x:c r="L5703" s="40" t="n">
        <x:f>ABS(K5703)</x:f>
        <x:v>1.1000000000000014</x:v>
      </x:c>
      <x:c r="M5703" s="41" t="str">
        <x:v>lstm-soil-v1</x:v>
      </x:c>
    </x:row>
    <x:row r="5704">
      <x:c r="A5704" s="38" t="str">
        <x:v>7月30日现场数据</x:v>
      </x:c>
      <x:c r="B5704" s="39" t="str">
        <x:v>2026-08-05T12:20:00</x:v>
      </x:c>
      <x:c r="C5704" s="39" t="str">
        <x:v>2026-08-05T12:25:00</x:v>
      </x:c>
      <x:c r="D5704" s="47" t="n">
        <x:v>5</x:v>
      </x:c>
      <x:c r="E5704" s="40" t="n">
        <x:v>17.9</x:v>
      </x:c>
      <x:c r="F5704" s="40" t="n">
        <x:v>16.047164916992188</x:v>
      </x:c>
      <x:c r="G5704" s="40" t="n">
        <x:v>17.5</x:v>
      </x:c>
      <x:c r="H5704" s="40" t="n">
        <x:f>F5704-E5704</x:f>
        <x:v>-1.852835083007811</x:v>
      </x:c>
      <x:c r="I5704" s="40" t="n">
        <x:f>ABS(H5704)</x:f>
        <x:v>1.852835083007811</x:v>
      </x:c>
      <x:c r="J5704" s="40" t="n">
        <x:f>H5704^2</x:f>
        <x:v>3.432997844824562</x:v>
      </x:c>
      <x:c r="K5704" s="40" t="n">
        <x:f>G5704-E5704</x:f>
        <x:v>-0.3999999999999986</x:v>
      </x:c>
      <x:c r="L5704" s="40" t="n">
        <x:f>ABS(K5704)</x:f>
        <x:v>0.3999999999999986</x:v>
      </x:c>
      <x:c r="M5704" s="41" t="str">
        <x:v>lstm-soil-v1</x:v>
      </x:c>
    </x:row>
    <x:row r="5705">
      <x:c r="A5705" s="38" t="str">
        <x:v>7月30日现场数据</x:v>
      </x:c>
      <x:c r="B5705" s="39" t="str">
        <x:v>2026-08-05T12:20:00</x:v>
      </x:c>
      <x:c r="C5705" s="39" t="str">
        <x:v>2026-08-05T12:35:00</x:v>
      </x:c>
      <x:c r="D5705" s="47" t="n">
        <x:v>15</x:v>
      </x:c>
      <x:c r="E5705" s="40" t="n">
        <x:v>19.5</x:v>
      </x:c>
      <x:c r="F5705" s="40" t="n">
        <x:v>16.124279022216797</x:v>
      </x:c>
      <x:c r="G5705" s="40" t="n">
        <x:v>17.5</x:v>
      </x:c>
      <x:c r="H5705" s="40" t="n">
        <x:f>F5705-E5705</x:f>
        <x:v>-3.375720977783203</x:v>
      </x:c>
      <x:c r="I5705" s="40" t="n">
        <x:f>ABS(H5705)</x:f>
        <x:v>3.375720977783203</x:v>
      </x:c>
      <x:c r="J5705" s="40" t="n">
        <x:f>H5705^2</x:f>
        <x:v>11.395492119845585</x:v>
      </x:c>
      <x:c r="K5705" s="40" t="n">
        <x:f>G5705-E5705</x:f>
        <x:v>-2</x:v>
      </x:c>
      <x:c r="L5705" s="40" t="n">
        <x:f>ABS(K5705)</x:f>
        <x:v>2</x:v>
      </x:c>
      <x:c r="M5705" s="41" t="str">
        <x:v>lstm-soil-v1</x:v>
      </x:c>
    </x:row>
    <x:row r="5706">
      <x:c r="A5706" s="38" t="str">
        <x:v>7月30日现场数据</x:v>
      </x:c>
      <x:c r="B5706" s="39" t="str">
        <x:v>2026-08-05T12:20:00</x:v>
      </x:c>
      <x:c r="C5706" s="39" t="str">
        <x:v>2026-08-05T12:50:00</x:v>
      </x:c>
      <x:c r="D5706" s="47" t="n">
        <x:v>30</x:v>
      </x:c>
      <x:c r="E5706" s="40" t="n">
        <x:v>19</x:v>
      </x:c>
      <x:c r="F5706" s="40" t="n">
        <x:v>16.49575424194336</x:v>
      </x:c>
      <x:c r="G5706" s="40" t="n">
        <x:v>17.5</x:v>
      </x:c>
      <x:c r="H5706" s="40" t="n">
        <x:f>F5706-E5706</x:f>
        <x:v>-2.5042457580566406</x:v>
      </x:c>
      <x:c r="I5706" s="40" t="n">
        <x:f>ABS(H5706)</x:f>
        <x:v>2.5042457580566406</x:v>
      </x:c>
      <x:c r="J5706" s="40" t="n">
        <x:f>H5706^2</x:f>
        <x:v>6.271246816744679</x:v>
      </x:c>
      <x:c r="K5706" s="40" t="n">
        <x:f>G5706-E5706</x:f>
        <x:v>-1.5</x:v>
      </x:c>
      <x:c r="L5706" s="40" t="n">
        <x:f>ABS(K5706)</x:f>
        <x:v>1.5</x:v>
      </x:c>
      <x:c r="M5706" s="41" t="str">
        <x:v>lstm-soil-v1</x:v>
      </x:c>
    </x:row>
    <x:row r="5707">
      <x:c r="A5707" s="38" t="str">
        <x:v>7月30日现场数据</x:v>
      </x:c>
      <x:c r="B5707" s="39" t="str">
        <x:v>2026-08-05T12:20:00</x:v>
      </x:c>
      <x:c r="C5707" s="39" t="str">
        <x:v>2026-08-05T13:20:00</x:v>
      </x:c>
      <x:c r="D5707" s="47" t="n">
        <x:v>60</x:v>
      </x:c>
      <x:c r="E5707" s="40" t="n">
        <x:v>18.6</x:v>
      </x:c>
      <x:c r="F5707" s="40" t="n">
        <x:v>18.19228744506836</x:v>
      </x:c>
      <x:c r="G5707" s="40" t="n">
        <x:v>17.5</x:v>
      </x:c>
      <x:c r="H5707" s="40" t="n">
        <x:f>F5707-E5707</x:f>
        <x:v>-0.40771255493164205</x:v>
      </x:c>
      <x:c r="I5707" s="40" t="n">
        <x:f>ABS(H5707)</x:f>
        <x:v>0.40771255493164205</x:v>
      </x:c>
      <x:c r="J5707" s="40" t="n">
        <x:f>H5707^2</x:f>
        <x:v>0.16622952744888722</x:v>
      </x:c>
      <x:c r="K5707" s="40" t="n">
        <x:f>G5707-E5707</x:f>
        <x:v>-1.1000000000000014</x:v>
      </x:c>
      <x:c r="L5707" s="40" t="n">
        <x:f>ABS(K5707)</x:f>
        <x:v>1.1000000000000014</x:v>
      </x:c>
      <x:c r="M5707" s="41" t="str">
        <x:v>lstm-soil-v1</x:v>
      </x:c>
    </x:row>
    <x:row r="5708">
      <x:c r="A5708" s="38" t="str">
        <x:v>7月30日现场数据</x:v>
      </x:c>
      <x:c r="B5708" s="39" t="str">
        <x:v>2026-08-05T12:25:00</x:v>
      </x:c>
      <x:c r="C5708" s="39" t="str">
        <x:v>2026-08-05T12:30:00</x:v>
      </x:c>
      <x:c r="D5708" s="47" t="n">
        <x:v>5</x:v>
      </x:c>
      <x:c r="E5708" s="40" t="n">
        <x:v>19.8</x:v>
      </x:c>
      <x:c r="F5708" s="40" t="n">
        <x:v>16.48678207397461</x:v>
      </x:c>
      <x:c r="G5708" s="40" t="n">
        <x:v>17.9</x:v>
      </x:c>
      <x:c r="H5708" s="40" t="n">
        <x:f>F5708-E5708</x:f>
        <x:v>-3.3132179260253913</x:v>
      </x:c>
      <x:c r="I5708" s="40" t="n">
        <x:f>ABS(H5708)</x:f>
        <x:v>3.3132179260253913</x:v>
      </x:c>
      <x:c r="J5708" s="40" t="n">
        <x:f>H5708^2</x:f>
        <x:v>10.977413025335995</x:v>
      </x:c>
      <x:c r="K5708" s="40" t="n">
        <x:f>G5708-E5708</x:f>
        <x:v>-1.9000000000000021</x:v>
      </x:c>
      <x:c r="L5708" s="40" t="n">
        <x:f>ABS(K5708)</x:f>
        <x:v>1.9000000000000021</x:v>
      </x:c>
      <x:c r="M5708" s="41" t="str">
        <x:v>lstm-soil-v1</x:v>
      </x:c>
    </x:row>
    <x:row r="5709">
      <x:c r="A5709" s="38" t="str">
        <x:v>7月30日现场数据</x:v>
      </x:c>
      <x:c r="B5709" s="39" t="str">
        <x:v>2026-08-05T12:25:00</x:v>
      </x:c>
      <x:c r="C5709" s="39" t="str">
        <x:v>2026-08-05T12:40:00</x:v>
      </x:c>
      <x:c r="D5709" s="47" t="n">
        <x:v>15</x:v>
      </x:c>
      <x:c r="E5709" s="40" t="n">
        <x:v>19.3</x:v>
      </x:c>
      <x:c r="F5709" s="40" t="n">
        <x:v>16.563854217529297</x:v>
      </x:c>
      <x:c r="G5709" s="40" t="n">
        <x:v>17.9</x:v>
      </x:c>
      <x:c r="H5709" s="40" t="n">
        <x:f>F5709-E5709</x:f>
        <x:v>-2.736145782470704</x:v>
      </x:c>
      <x:c r="I5709" s="40" t="n">
        <x:f>ABS(H5709)</x:f>
        <x:v>2.736145782470704</x:v>
      </x:c>
      <x:c r="J5709" s="40" t="n">
        <x:f>H5709^2</x:f>
        <x:v>7.48649374293222</x:v>
      </x:c>
      <x:c r="K5709" s="40" t="n">
        <x:f>G5709-E5709</x:f>
        <x:v>-1.4000000000000021</x:v>
      </x:c>
      <x:c r="L5709" s="40" t="n">
        <x:f>ABS(K5709)</x:f>
        <x:v>1.4000000000000021</x:v>
      </x:c>
      <x:c r="M5709" s="41" t="str">
        <x:v>lstm-soil-v1</x:v>
      </x:c>
    </x:row>
    <x:row r="5710">
      <x:c r="A5710" s="38" t="str">
        <x:v>7月30日现场数据</x:v>
      </x:c>
      <x:c r="B5710" s="39" t="str">
        <x:v>2026-08-05T12:25:00</x:v>
      </x:c>
      <x:c r="C5710" s="39" t="str">
        <x:v>2026-08-05T12:55:00</x:v>
      </x:c>
      <x:c r="D5710" s="47" t="n">
        <x:v>30</x:v>
      </x:c>
      <x:c r="E5710" s="40" t="n">
        <x:v>18.9</x:v>
      </x:c>
      <x:c r="F5710" s="40" t="n">
        <x:v>16.932498931884766</x:v>
      </x:c>
      <x:c r="G5710" s="40" t="n">
        <x:v>17.9</x:v>
      </x:c>
      <x:c r="H5710" s="40" t="n">
        <x:f>F5710-E5710</x:f>
        <x:v>-1.967501068115233</x:v>
      </x:c>
      <x:c r="I5710" s="40" t="n">
        <x:f>ABS(H5710)</x:f>
        <x:v>1.967501068115233</x:v>
      </x:c>
      <x:c r="J5710" s="40" t="n">
        <x:f>H5710^2</x:f>
        <x:v>3.8710604530345827</x:v>
      </x:c>
      <x:c r="K5710" s="40" t="n">
        <x:f>G5710-E5710</x:f>
        <x:v>-1</x:v>
      </x:c>
      <x:c r="L5710" s="40" t="n">
        <x:f>ABS(K5710)</x:f>
        <x:v>1</x:v>
      </x:c>
      <x:c r="M5710" s="41" t="str">
        <x:v>lstm-soil-v1</x:v>
      </x:c>
    </x:row>
    <x:row r="5711">
      <x:c r="A5711" s="38" t="str">
        <x:v>7月30日现场数据</x:v>
      </x:c>
      <x:c r="B5711" s="39" t="str">
        <x:v>2026-08-05T12:25:00</x:v>
      </x:c>
      <x:c r="C5711" s="39" t="str">
        <x:v>2026-08-05T13:25:00</x:v>
      </x:c>
      <x:c r="D5711" s="47" t="n">
        <x:v>60</x:v>
      </x:c>
      <x:c r="E5711" s="40" t="n">
        <x:v>18.5</x:v>
      </x:c>
      <x:c r="F5711" s="40" t="n">
        <x:v>18.631916046142578</x:v>
      </x:c>
      <x:c r="G5711" s="40" t="n">
        <x:v>17.9</x:v>
      </x:c>
      <x:c r="H5711" s="40" t="n">
        <x:f>F5711-E5711</x:f>
        <x:v>0.13191604614257812</x:v>
      </x:c>
      <x:c r="I5711" s="40" t="n">
        <x:f>ABS(H5711)</x:f>
        <x:v>0.13191604614257812</x:v>
      </x:c>
      <x:c r="J5711" s="40" t="n">
        <x:f>H5711^2</x:f>
        <x:v>0.0174018432298908</x:v>
      </x:c>
      <x:c r="K5711" s="40" t="n">
        <x:f>G5711-E5711</x:f>
        <x:v>-0.6000000000000014</x:v>
      </x:c>
      <x:c r="L5711" s="40" t="n">
        <x:f>ABS(K5711)</x:f>
        <x:v>0.6000000000000014</x:v>
      </x:c>
      <x:c r="M5711" s="41" t="str">
        <x:v>lstm-soil-v1</x:v>
      </x:c>
    </x:row>
    <x:row r="5712">
      <x:c r="A5712" s="38" t="str">
        <x:v>7月30日现场数据</x:v>
      </x:c>
      <x:c r="B5712" s="39" t="str">
        <x:v>2026-08-05T12:30:00</x:v>
      </x:c>
      <x:c r="C5712" s="39" t="str">
        <x:v>2026-08-05T12:35:00</x:v>
      </x:c>
      <x:c r="D5712" s="47" t="n">
        <x:v>5</x:v>
      </x:c>
      <x:c r="E5712" s="40" t="n">
        <x:v>19.5</x:v>
      </x:c>
      <x:c r="F5712" s="40" t="n">
        <x:v>18.586448669433594</x:v>
      </x:c>
      <x:c r="G5712" s="40" t="n">
        <x:v>19.8</x:v>
      </x:c>
      <x:c r="H5712" s="40" t="n">
        <x:f>F5712-E5712</x:f>
        <x:v>-0.9135513305664062</x:v>
      </x:c>
      <x:c r="I5712" s="40" t="n">
        <x:f>ABS(H5712)</x:f>
        <x:v>0.9135513305664062</x:v>
      </x:c>
      <x:c r="J5712" s="40" t="n">
        <x:f>H5712^2</x:f>
        <x:v>0.8345760335796513</x:v>
      </x:c>
      <x:c r="K5712" s="40" t="n">
        <x:f>G5712-E5712</x:f>
        <x:v>0.3000000000000007</x:v>
      </x:c>
      <x:c r="L5712" s="40" t="n">
        <x:f>ABS(K5712)</x:f>
        <x:v>0.3000000000000007</x:v>
      </x:c>
      <x:c r="M5712" s="41" t="str">
        <x:v>lstm-soil-v1</x:v>
      </x:c>
    </x:row>
    <x:row r="5713">
      <x:c r="A5713" s="38" t="str">
        <x:v>7月30日现场数据</x:v>
      </x:c>
      <x:c r="B5713" s="39" t="str">
        <x:v>2026-08-05T12:30:00</x:v>
      </x:c>
      <x:c r="C5713" s="39" t="str">
        <x:v>2026-08-05T12:45:00</x:v>
      </x:c>
      <x:c r="D5713" s="47" t="n">
        <x:v>15</x:v>
      </x:c>
      <x:c r="E5713" s="40" t="n">
        <x:v>19.2</x:v>
      </x:c>
      <x:c r="F5713" s="40" t="n">
        <x:v>18.657390594482422</x:v>
      </x:c>
      <x:c r="G5713" s="40" t="n">
        <x:v>19.8</x:v>
      </x:c>
      <x:c r="H5713" s="40" t="n">
        <x:f>F5713-E5713</x:f>
        <x:v>-0.5426094055175774</x:v>
      </x:c>
      <x:c r="I5713" s="40" t="n">
        <x:f>ABS(H5713)</x:f>
        <x:v>0.5426094055175774</x:v>
      </x:c>
      <x:c r="J5713" s="40" t="n">
        <x:f>H5713^2</x:f>
        <x:v>0.2944249669561388</x:v>
      </x:c>
      <x:c r="K5713" s="40" t="n">
        <x:f>G5713-E5713</x:f>
        <x:v>0.6000000000000014</x:v>
      </x:c>
      <x:c r="L5713" s="40" t="n">
        <x:f>ABS(K5713)</x:f>
        <x:v>0.6000000000000014</x:v>
      </x:c>
      <x:c r="M5713" s="41" t="str">
        <x:v>lstm-soil-v1</x:v>
      </x:c>
    </x:row>
    <x:row r="5714">
      <x:c r="A5714" s="38" t="str">
        <x:v>7月30日现场数据</x:v>
      </x:c>
      <x:c r="B5714" s="39" t="str">
        <x:v>2026-08-05T12:30:00</x:v>
      </x:c>
      <x:c r="C5714" s="39" t="str">
        <x:v>2026-08-05T13:00:00</x:v>
      </x:c>
      <x:c r="D5714" s="47" t="n">
        <x:v>30</x:v>
      </x:c>
      <x:c r="E5714" s="40" t="n">
        <x:v>18.8</x:v>
      </x:c>
      <x:c r="F5714" s="40" t="n">
        <x:v>19.02756118774414</x:v>
      </x:c>
      <x:c r="G5714" s="40" t="n">
        <x:v>19.8</x:v>
      </x:c>
      <x:c r="H5714" s="40" t="n">
        <x:f>F5714-E5714</x:f>
        <x:v>0.22756118774413991</x:v>
      </x:c>
      <x:c r="I5714" s="40" t="n">
        <x:f>ABS(H5714)</x:f>
        <x:v>0.22756118774413991</x:v>
      </x:c>
      <x:c r="J5714" s="40" t="n">
        <x:f>H5714^2</x:f>
        <x:v>0.05178409416752369</x:v>
      </x:c>
      <x:c r="K5714" s="40" t="n">
        <x:f>G5714-E5714</x:f>
        <x:v>1</x:v>
      </x:c>
      <x:c r="L5714" s="40" t="n">
        <x:f>ABS(K5714)</x:f>
        <x:v>1</x:v>
      </x:c>
      <x:c r="M5714" s="41" t="str">
        <x:v>lstm-soil-v1</x:v>
      </x:c>
    </x:row>
    <x:row r="5715">
      <x:c r="A5715" s="38" t="str">
        <x:v>7月30日现场数据</x:v>
      </x:c>
      <x:c r="B5715" s="39" t="str">
        <x:v>2026-08-05T12:30:00</x:v>
      </x:c>
      <x:c r="C5715" s="39" t="str">
        <x:v>2026-08-05T13:30:00</x:v>
      </x:c>
      <x:c r="D5715" s="47" t="n">
        <x:v>60</x:v>
      </x:c>
      <x:c r="E5715" s="40" t="n">
        <x:v>18.5</x:v>
      </x:c>
      <x:c r="F5715" s="40" t="n">
        <x:v>20.731884002685547</x:v>
      </x:c>
      <x:c r="G5715" s="40" t="n">
        <x:v>19.8</x:v>
      </x:c>
      <x:c r="H5715" s="40" t="n">
        <x:f>F5715-E5715</x:f>
        <x:v>2.231884002685547</x:v>
      </x:c>
      <x:c r="I5715" s="40" t="n">
        <x:f>ABS(H5715)</x:f>
        <x:v>2.231884002685547</x:v>
      </x:c>
      <x:c r="J5715" s="40" t="n">
        <x:f>H5715^2</x:f>
        <x:v>4.981306201443658</x:v>
      </x:c>
      <x:c r="K5715" s="40" t="n">
        <x:f>G5715-E5715</x:f>
        <x:v>1.3000000000000007</x:v>
      </x:c>
      <x:c r="L5715" s="40" t="n">
        <x:f>ABS(K5715)</x:f>
        <x:v>1.3000000000000007</x:v>
      </x:c>
      <x:c r="M5715" s="41" t="str">
        <x:v>lstm-soil-v1</x:v>
      </x:c>
    </x:row>
    <x:row r="5716">
      <x:c r="A5716" s="38" t="str">
        <x:v>7月30日现场数据</x:v>
      </x:c>
      <x:c r="B5716" s="39" t="str">
        <x:v>2026-08-05T12:35:00</x:v>
      </x:c>
      <x:c r="C5716" s="39" t="str">
        <x:v>2026-08-05T12:40:00</x:v>
      </x:c>
      <x:c r="D5716" s="47" t="n">
        <x:v>5</x:v>
      </x:c>
      <x:c r="E5716" s="40" t="n">
        <x:v>19.3</x:v>
      </x:c>
      <x:c r="F5716" s="40" t="n">
        <x:v>18.264026641845703</x:v>
      </x:c>
      <x:c r="G5716" s="40" t="n">
        <x:v>19.5</x:v>
      </x:c>
      <x:c r="H5716" s="40" t="n">
        <x:f>F5716-E5716</x:f>
        <x:v>-1.0359733581542976</x:v>
      </x:c>
      <x:c r="I5716" s="40" t="n">
        <x:f>ABS(H5716)</x:f>
        <x:v>1.0359733581542976</x:v>
      </x:c>
      <x:c r="J5716" s="40" t="n">
        <x:f>H5716^2</x:f>
        <x:v>1.0732407988054926</x:v>
      </x:c>
      <x:c r="K5716" s="40" t="n">
        <x:f>G5716-E5716</x:f>
        <x:v>0.1999999999999993</x:v>
      </x:c>
      <x:c r="L5716" s="40" t="n">
        <x:f>ABS(K5716)</x:f>
        <x:v>0.1999999999999993</x:v>
      </x:c>
      <x:c r="M5716" s="41" t="str">
        <x:v>lstm-soil-v1</x:v>
      </x:c>
    </x:row>
    <x:row r="5717">
      <x:c r="A5717" s="38" t="str">
        <x:v>7月30日现场数据</x:v>
      </x:c>
      <x:c r="B5717" s="39" t="str">
        <x:v>2026-08-05T12:35:00</x:v>
      </x:c>
      <x:c r="C5717" s="39" t="str">
        <x:v>2026-08-05T12:50:00</x:v>
      </x:c>
      <x:c r="D5717" s="47" t="n">
        <x:v>15</x:v>
      </x:c>
      <x:c r="E5717" s="40" t="n">
        <x:v>19</x:v>
      </x:c>
      <x:c r="F5717" s="40" t="n">
        <x:v>18.328327178955078</x:v>
      </x:c>
      <x:c r="G5717" s="40" t="n">
        <x:v>19.5</x:v>
      </x:c>
      <x:c r="H5717" s="40" t="n">
        <x:f>F5717-E5717</x:f>
        <x:v>-0.6716728210449219</x:v>
      </x:c>
      <x:c r="I5717" s="40" t="n">
        <x:f>ABS(H5717)</x:f>
        <x:v>0.6716728210449219</x:v>
      </x:c>
      <x:c r="J5717" s="40" t="n">
        <x:f>H5717^2</x:f>
        <x:v>0.45114437853044365</x:v>
      </x:c>
      <x:c r="K5717" s="40" t="n">
        <x:f>G5717-E5717</x:f>
        <x:v>0.5</x:v>
      </x:c>
      <x:c r="L5717" s="40" t="n">
        <x:f>ABS(K5717)</x:f>
        <x:v>0.5</x:v>
      </x:c>
      <x:c r="M5717" s="41" t="str">
        <x:v>lstm-soil-v1</x:v>
      </x:c>
    </x:row>
    <x:row r="5718">
      <x:c r="A5718" s="38" t="str">
        <x:v>7月30日现场数据</x:v>
      </x:c>
      <x:c r="B5718" s="39" t="str">
        <x:v>2026-08-05T12:35:00</x:v>
      </x:c>
      <x:c r="C5718" s="39" t="str">
        <x:v>2026-08-05T13:05:00</x:v>
      </x:c>
      <x:c r="D5718" s="47" t="n">
        <x:v>30</x:v>
      </x:c>
      <x:c r="E5718" s="40" t="n">
        <x:v>18.7</x:v>
      </x:c>
      <x:c r="F5718" s="40" t="n">
        <x:v>18.699371337890625</x:v>
      </x:c>
      <x:c r="G5718" s="40" t="n">
        <x:v>19.5</x:v>
      </x:c>
      <x:c r="H5718" s="40" t="n">
        <x:f>F5718-E5718</x:f>
        <x:v>-0.0006286621093742895</x:v>
      </x:c>
      <x:c r="I5718" s="40" t="n">
        <x:f>ABS(H5718)</x:f>
        <x:v>0.0006286621093742895</x:v>
      </x:c>
      <x:c r="J5718" s="40" t="n">
        <x:f>H5718^2</x:f>
        <x:v>3.9521604776293107e-7</x:v>
      </x:c>
      <x:c r="K5718" s="40" t="n">
        <x:f>G5718-E5718</x:f>
        <x:v>0.8000000000000007</x:v>
      </x:c>
      <x:c r="L5718" s="40" t="n">
        <x:f>ABS(K5718)</x:f>
        <x:v>0.8000000000000007</x:v>
      </x:c>
      <x:c r="M5718" s="41" t="str">
        <x:v>lstm-soil-v1</x:v>
      </x:c>
    </x:row>
    <x:row r="5719">
      <x:c r="A5719" s="38" t="str">
        <x:v>7月30日现场数据</x:v>
      </x:c>
      <x:c r="B5719" s="39" t="str">
        <x:v>2026-08-05T12:35:00</x:v>
      </x:c>
      <x:c r="C5719" s="39" t="str">
        <x:v>2026-08-05T13:35:00</x:v>
      </x:c>
      <x:c r="D5719" s="47" t="n">
        <x:v>60</x:v>
      </x:c>
      <x:c r="E5719" s="40" t="n">
        <x:v>18.5</x:v>
      </x:c>
      <x:c r="F5719" s="40" t="n">
        <x:v>20.41061019897461</x:v>
      </x:c>
      <x:c r="G5719" s="40" t="n">
        <x:v>19.5</x:v>
      </x:c>
      <x:c r="H5719" s="40" t="n">
        <x:f>F5719-E5719</x:f>
        <x:v>1.9106101989746094</x:v>
      </x:c>
      <x:c r="I5719" s="40" t="n">
        <x:f>ABS(H5719)</x:f>
        <x:v>1.9106101989746094</x:v>
      </x:c>
      <x:c r="J5719" s="40" t="n">
        <x:f>H5719^2</x:f>
        <x:v>3.6504313324257964</x:v>
      </x:c>
      <x:c r="K5719" s="40" t="n">
        <x:f>G5719-E5719</x:f>
        <x:v>1</x:v>
      </x:c>
      <x:c r="L5719" s="40" t="n">
        <x:f>ABS(K5719)</x:f>
        <x:v>1</x:v>
      </x:c>
      <x:c r="M5719" s="41" t="str">
        <x:v>lstm-soil-v1</x:v>
      </x:c>
    </x:row>
    <x:row r="5720">
      <x:c r="A5720" s="38" t="str">
        <x:v>7月30日现场数据</x:v>
      </x:c>
      <x:c r="B5720" s="39" t="str">
        <x:v>2026-08-05T12:40:00</x:v>
      </x:c>
      <x:c r="C5720" s="39" t="str">
        <x:v>2026-08-05T12:45:00</x:v>
      </x:c>
      <x:c r="D5720" s="47" t="n">
        <x:v>5</x:v>
      </x:c>
      <x:c r="E5720" s="40" t="n">
        <x:v>19.2</x:v>
      </x:c>
      <x:c r="F5720" s="40" t="n">
        <x:v>18.048934936523438</x:v>
      </x:c>
      <x:c r="G5720" s="40" t="n">
        <x:v>19.3</x:v>
      </x:c>
      <x:c r="H5720" s="40" t="n">
        <x:f>F5720-E5720</x:f>
        <x:v>-1.1510650634765618</x:v>
      </x:c>
      <x:c r="I5720" s="40" t="n">
        <x:f>ABS(H5720)</x:f>
        <x:v>1.1510650634765618</x:v>
      </x:c>
      <x:c r="J5720" s="40" t="n">
        <x:f>H5720^2</x:f>
        <x:v>1.3249507803563012</x:v>
      </x:c>
      <x:c r="K5720" s="40" t="n">
        <x:f>G5720-E5720</x:f>
        <x:v>0.10000000000000142</x:v>
      </x:c>
      <x:c r="L5720" s="40" t="n">
        <x:f>ABS(K5720)</x:f>
        <x:v>0.10000000000000142</x:v>
      </x:c>
      <x:c r="M5720" s="41" t="str">
        <x:v>lstm-soil-v1</x:v>
      </x:c>
    </x:row>
    <x:row r="5721">
      <x:c r="A5721" s="38" t="str">
        <x:v>7月30日现场数据</x:v>
      </x:c>
      <x:c r="B5721" s="39" t="str">
        <x:v>2026-08-05T12:40:00</x:v>
      </x:c>
      <x:c r="C5721" s="39" t="str">
        <x:v>2026-08-05T12:55:00</x:v>
      </x:c>
      <x:c r="D5721" s="47" t="n">
        <x:v>15</x:v>
      </x:c>
      <x:c r="E5721" s="40" t="n">
        <x:v>18.9</x:v>
      </x:c>
      <x:c r="F5721" s="40" t="n">
        <x:v>18.10806655883789</x:v>
      </x:c>
      <x:c r="G5721" s="40" t="n">
        <x:v>19.3</x:v>
      </x:c>
      <x:c r="H5721" s="40" t="n">
        <x:f>F5721-E5721</x:f>
        <x:v>-0.791933441162108</x:v>
      </x:c>
      <x:c r="I5721" s="40" t="n">
        <x:f>ABS(H5721)</x:f>
        <x:v>0.791933441162108</x:v>
      </x:c>
      <x:c r="J5721" s="40" t="n">
        <x:f>H5721^2</x:f>
        <x:v>0.6271585752308579</x:v>
      </x:c>
      <x:c r="K5721" s="40" t="n">
        <x:f>G5721-E5721</x:f>
        <x:v>0.40000000000000213</x:v>
      </x:c>
      <x:c r="L5721" s="40" t="n">
        <x:f>ABS(K5721)</x:f>
        <x:v>0.40000000000000213</x:v>
      </x:c>
      <x:c r="M5721" s="41" t="str">
        <x:v>lstm-soil-v1</x:v>
      </x:c>
    </x:row>
    <x:row r="5722">
      <x:c r="A5722" s="38" t="str">
        <x:v>7月30日现场数据</x:v>
      </x:c>
      <x:c r="B5722" s="39" t="str">
        <x:v>2026-08-05T12:40:00</x:v>
      </x:c>
      <x:c r="C5722" s="39" t="str">
        <x:v>2026-08-05T13:10:00</x:v>
      </x:c>
      <x:c r="D5722" s="47" t="n">
        <x:v>30</x:v>
      </x:c>
      <x:c r="E5722" s="40" t="n">
        <x:v>18.7</x:v>
      </x:c>
      <x:c r="F5722" s="40" t="n">
        <x:v>18.478229522705078</x:v>
      </x:c>
      <x:c r="G5722" s="40" t="n">
        <x:v>19.3</x:v>
      </x:c>
      <x:c r="H5722" s="40" t="n">
        <x:f>F5722-E5722</x:f>
        <x:v>-0.22177047729492116</x:v>
      </x:c>
      <x:c r="I5722" s="40" t="n">
        <x:f>ABS(H5722)</x:f>
        <x:v>0.22177047729492116</x:v>
      </x:c>
      <x:c r="J5722" s="40" t="n">
        <x:f>H5722^2</x:f>
        <x:v>0.049182144599617145</x:v>
      </x:c>
      <x:c r="K5722" s="40" t="n">
        <x:f>G5722-E5722</x:f>
        <x:v>0.6000000000000014</x:v>
      </x:c>
      <x:c r="L5722" s="40" t="n">
        <x:f>ABS(K5722)</x:f>
        <x:v>0.6000000000000014</x:v>
      </x:c>
      <x:c r="M5722" s="41" t="str">
        <x:v>lstm-soil-v1</x:v>
      </x:c>
    </x:row>
    <x:row r="5723">
      <x:c r="A5723" s="38" t="str">
        <x:v>7月30日现场数据</x:v>
      </x:c>
      <x:c r="B5723" s="39" t="str">
        <x:v>2026-08-05T12:40:00</x:v>
      </x:c>
      <x:c r="C5723" s="39" t="str">
        <x:v>2026-08-05T13:40:00</x:v>
      </x:c>
      <x:c r="D5723" s="47" t="n">
        <x:v>60</x:v>
      </x:c>
      <x:c r="E5723" s="40" t="n">
        <x:v>18.5</x:v>
      </x:c>
      <x:c r="F5723" s="40" t="n">
        <x:v>20.197086334228516</x:v>
      </x:c>
      <x:c r="G5723" s="40" t="n">
        <x:v>19.3</x:v>
      </x:c>
      <x:c r="H5723" s="40" t="n">
        <x:f>F5723-E5723</x:f>
        <x:v>1.6970863342285156</x:v>
      </x:c>
      <x:c r="I5723" s="40" t="n">
        <x:f>ABS(H5723)</x:f>
        <x:v>1.6970863342285156</x:v>
      </x:c>
      <x:c r="J5723" s="40" t="n">
        <x:f>H5723^2</x:f>
        <x:v>2.880102025825181</x:v>
      </x:c>
      <x:c r="K5723" s="40" t="n">
        <x:f>G5723-E5723</x:f>
        <x:v>0.8000000000000007</x:v>
      </x:c>
      <x:c r="L5723" s="40" t="n">
        <x:f>ABS(K5723)</x:f>
        <x:v>0.8000000000000007</x:v>
      </x:c>
      <x:c r="M5723" s="41" t="str">
        <x:v>lstm-soil-v1</x:v>
      </x:c>
    </x:row>
    <x:row r="5724">
      <x:c r="A5724" s="38" t="str">
        <x:v>7月30日现场数据</x:v>
      </x:c>
      <x:c r="B5724" s="39" t="str">
        <x:v>2026-08-05T12:45:00</x:v>
      </x:c>
      <x:c r="C5724" s="39" t="str">
        <x:v>2026-08-05T12:50:00</x:v>
      </x:c>
      <x:c r="D5724" s="47" t="n">
        <x:v>5</x:v>
      </x:c>
      <x:c r="E5724" s="40" t="n">
        <x:v>19</x:v>
      </x:c>
      <x:c r="F5724" s="40" t="n">
        <x:v>17.93838882446289</x:v>
      </x:c>
      <x:c r="G5724" s="40" t="n">
        <x:v>19.2</x:v>
      </x:c>
      <x:c r="H5724" s="40" t="n">
        <x:f>F5724-E5724</x:f>
        <x:v>-1.0616111755371094</x:v>
      </x:c>
      <x:c r="I5724" s="40" t="n">
        <x:f>ABS(H5724)</x:f>
        <x:v>1.0616111755371094</x:v>
      </x:c>
      <x:c r="J5724" s="40" t="n">
        <x:f>H5724^2</x:f>
        <x:v>1.1270182880252833</x:v>
      </x:c>
      <x:c r="K5724" s="40" t="n">
        <x:f>G5724-E5724</x:f>
        <x:v>0.1999999999999993</x:v>
      </x:c>
      <x:c r="L5724" s="40" t="n">
        <x:f>ABS(K5724)</x:f>
        <x:v>0.1999999999999993</x:v>
      </x:c>
      <x:c r="M5724" s="41" t="str">
        <x:v>lstm-soil-v1</x:v>
      </x:c>
    </x:row>
    <x:row r="5725">
      <x:c r="A5725" s="38" t="str">
        <x:v>7月30日现场数据</x:v>
      </x:c>
      <x:c r="B5725" s="39" t="str">
        <x:v>2026-08-05T12:45:00</x:v>
      </x:c>
      <x:c r="C5725" s="39" t="str">
        <x:v>2026-08-05T13:00:00</x:v>
      </x:c>
      <x:c r="D5725" s="47" t="n">
        <x:v>15</x:v>
      </x:c>
      <x:c r="E5725" s="40" t="n">
        <x:v>18.8</x:v>
      </x:c>
      <x:c r="F5725" s="40" t="n">
        <x:v>17.997329711914062</x:v>
      </x:c>
      <x:c r="G5725" s="40" t="n">
        <x:v>19.2</x:v>
      </x:c>
      <x:c r="H5725" s="40" t="n">
        <x:f>F5725-E5725</x:f>
        <x:v>-0.8026702880859382</x:v>
      </x:c>
      <x:c r="I5725" s="40" t="n">
        <x:f>ABS(H5725)</x:f>
        <x:v>0.8026702880859382</x:v>
      </x:c>
      <x:c r="J5725" s="40" t="n">
        <x:f>H5725^2</x:f>
        <x:v>0.644279591375963</x:v>
      </x:c>
      <x:c r="K5725" s="40" t="n">
        <x:f>G5725-E5725</x:f>
        <x:v>0.3999999999999986</x:v>
      </x:c>
      <x:c r="L5725" s="40" t="n">
        <x:f>ABS(K5725)</x:f>
        <x:v>0.3999999999999986</x:v>
      </x:c>
      <x:c r="M5725" s="41" t="str">
        <x:v>lstm-soil-v1</x:v>
      </x:c>
    </x:row>
    <x:row r="5726">
      <x:c r="A5726" s="38" t="str">
        <x:v>7月30日现场数据</x:v>
      </x:c>
      <x:c r="B5726" s="39" t="str">
        <x:v>2026-08-05T12:45:00</x:v>
      </x:c>
      <x:c r="C5726" s="39" t="str">
        <x:v>2026-08-05T13:15:00</x:v>
      </x:c>
      <x:c r="D5726" s="47" t="n">
        <x:v>30</x:v>
      </x:c>
      <x:c r="E5726" s="40" t="n">
        <x:v>18.6</x:v>
      </x:c>
      <x:c r="F5726" s="40" t="n">
        <x:v>18.361858367919922</x:v>
      </x:c>
      <x:c r="G5726" s="40" t="n">
        <x:v>19.2</x:v>
      </x:c>
      <x:c r="H5726" s="40" t="n">
        <x:f>F5726-E5726</x:f>
        <x:v>-0.23814163208007955</x:v>
      </x:c>
      <x:c r="I5726" s="40" t="n">
        <x:f>ABS(H5726)</x:f>
        <x:v>0.23814163208007955</x:v>
      </x:c>
      <x:c r="J5726" s="40" t="n">
        <x:f>H5726^2</x:f>
        <x:v>0.05671143692976397</x:v>
      </x:c>
      <x:c r="K5726" s="40" t="n">
        <x:f>G5726-E5726</x:f>
        <x:v>0.5999999999999979</x:v>
      </x:c>
      <x:c r="L5726" s="40" t="n">
        <x:f>ABS(K5726)</x:f>
        <x:v>0.5999999999999979</x:v>
      </x:c>
      <x:c r="M5726" s="41" t="str">
        <x:v>lstm-soil-v1</x:v>
      </x:c>
    </x:row>
    <x:row r="5727">
      <x:c r="A5727" s="38" t="str">
        <x:v>7月30日现场数据</x:v>
      </x:c>
      <x:c r="B5727" s="39" t="str">
        <x:v>2026-08-05T12:45:00</x:v>
      </x:c>
      <x:c r="C5727" s="39" t="str">
        <x:v>2026-08-05T13:45:00</x:v>
      </x:c>
      <x:c r="D5727" s="47" t="n">
        <x:v>60</x:v>
      </x:c>
      <x:c r="E5727" s="40" t="n">
        <x:v>18.5</x:v>
      </x:c>
      <x:c r="F5727" s="40" t="n">
        <x:v>20.085472106933594</x:v>
      </x:c>
      <x:c r="G5727" s="40" t="n">
        <x:v>19.2</x:v>
      </x:c>
      <x:c r="H5727" s="40" t="n">
        <x:f>F5727-E5727</x:f>
        <x:v>1.5854721069335938</x:v>
      </x:c>
      <x:c r="I5727" s="40" t="n">
        <x:f>ABS(H5727)</x:f>
        <x:v>1.5854721069335938</x:v>
      </x:c>
      <x:c r="J5727" s="40" t="n">
        <x:f>H5727^2</x:f>
        <x:v>2.513721801864449</x:v>
      </x:c>
      <x:c r="K5727" s="40" t="n">
        <x:f>G5727-E5727</x:f>
        <x:v>0.6999999999999993</x:v>
      </x:c>
      <x:c r="L5727" s="40" t="n">
        <x:f>ABS(K5727)</x:f>
        <x:v>0.6999999999999993</x:v>
      </x:c>
      <x:c r="M5727" s="41" t="str">
        <x:v>lstm-soil-v1</x:v>
      </x:c>
    </x:row>
    <x:row r="5728">
      <x:c r="A5728" s="38" t="str">
        <x:v>7月30日现场数据</x:v>
      </x:c>
      <x:c r="B5728" s="39" t="str">
        <x:v>2026-08-05T12:50:00</x:v>
      </x:c>
      <x:c r="C5728" s="39" t="str">
        <x:v>2026-08-05T12:55:00</x:v>
      </x:c>
      <x:c r="D5728" s="47" t="n">
        <x:v>5</x:v>
      </x:c>
      <x:c r="E5728" s="40" t="n">
        <x:v>18.9</x:v>
      </x:c>
      <x:c r="F5728" s="40" t="n">
        <x:v>17.716041564941406</x:v>
      </x:c>
      <x:c r="G5728" s="40" t="n">
        <x:v>19</x:v>
      </x:c>
      <x:c r="H5728" s="40" t="n">
        <x:f>F5728-E5728</x:f>
        <x:v>-1.1839584350585923</x:v>
      </x:c>
      <x:c r="I5728" s="40" t="n">
        <x:f>ABS(H5728)</x:f>
        <x:v>1.1839584350585923</x:v>
      </x:c>
      <x:c r="J5728" s="40" t="n">
        <x:f>H5728^2</x:f>
        <x:v>1.401757575946391</x:v>
      </x:c>
      <x:c r="K5728" s="40" t="n">
        <x:f>G5728-E5728</x:f>
        <x:v>0.10000000000000142</x:v>
      </x:c>
      <x:c r="L5728" s="40" t="n">
        <x:f>ABS(K5728)</x:f>
        <x:v>0.10000000000000142</x:v>
      </x:c>
      <x:c r="M5728" s="41" t="str">
        <x:v>lstm-soil-v1</x:v>
      </x:c>
    </x:row>
    <x:row r="5729">
      <x:c r="A5729" s="38" t="str">
        <x:v>7月30日现场数据</x:v>
      </x:c>
      <x:c r="B5729" s="39" t="str">
        <x:v>2026-08-05T12:50:00</x:v>
      </x:c>
      <x:c r="C5729" s="39" t="str">
        <x:v>2026-08-05T13:05:00</x:v>
      </x:c>
      <x:c r="D5729" s="47" t="n">
        <x:v>15</x:v>
      </x:c>
      <x:c r="E5729" s="40" t="n">
        <x:v>18.7</x:v>
      </x:c>
      <x:c r="F5729" s="40" t="n">
        <x:v>17.775310516357422</x:v>
      </x:c>
      <x:c r="G5729" s="40" t="n">
        <x:v>19</x:v>
      </x:c>
      <x:c r="H5729" s="40" t="n">
        <x:f>F5729-E5729</x:f>
        <x:v>-0.9246894836425774</x:v>
      </x:c>
      <x:c r="I5729" s="40" t="n">
        <x:f>ABS(H5729)</x:f>
        <x:v>0.9246894836425774</x:v>
      </x:c>
      <x:c r="J5729" s="40" t="n">
        <x:f>H5729^2</x:f>
        <x:v>0.8550506411591764</x:v>
      </x:c>
      <x:c r="K5729" s="40" t="n">
        <x:f>G5729-E5729</x:f>
        <x:v>0.3000000000000007</x:v>
      </x:c>
      <x:c r="L5729" s="40" t="n">
        <x:f>ABS(K5729)</x:f>
        <x:v>0.3000000000000007</x:v>
      </x:c>
      <x:c r="M5729" s="41" t="str">
        <x:v>lstm-soil-v1</x:v>
      </x:c>
    </x:row>
    <x:row r="5730">
      <x:c r="A5730" s="38" t="str">
        <x:v>7月30日现场数据</x:v>
      </x:c>
      <x:c r="B5730" s="39" t="str">
        <x:v>2026-08-05T12:50:00</x:v>
      </x:c>
      <x:c r="C5730" s="39" t="str">
        <x:v>2026-08-05T13:20:00</x:v>
      </x:c>
      <x:c r="D5730" s="47" t="n">
        <x:v>30</x:v>
      </x:c>
      <x:c r="E5730" s="40" t="n">
        <x:v>18.6</x:v>
      </x:c>
      <x:c r="F5730" s="40" t="n">
        <x:v>18.13343048095703</x:v>
      </x:c>
      <x:c r="G5730" s="40" t="n">
        <x:v>19</x:v>
      </x:c>
      <x:c r="H5730" s="40" t="n">
        <x:f>F5730-E5730</x:f>
        <x:v>-0.46656951904297017</x:v>
      </x:c>
      <x:c r="I5730" s="40" t="n">
        <x:f>ABS(H5730)</x:f>
        <x:v>0.46656951904297017</x:v>
      </x:c>
      <x:c r="J5730" s="40" t="n">
        <x:f>H5730^2</x:f>
        <x:v>0.2176871160999885</x:v>
      </x:c>
      <x:c r="K5730" s="40" t="n">
        <x:f>G5730-E5730</x:f>
        <x:v>0.3999999999999986</x:v>
      </x:c>
      <x:c r="L5730" s="40" t="n">
        <x:f>ABS(K5730)</x:f>
        <x:v>0.3999999999999986</x:v>
      </x:c>
      <x:c r="M5730" s="41" t="str">
        <x:v>lstm-soil-v1</x:v>
      </x:c>
    </x:row>
    <x:row r="5731">
      <x:c r="A5731" s="38" t="str">
        <x:v>7月30日现场数据</x:v>
      </x:c>
      <x:c r="B5731" s="39" t="str">
        <x:v>2026-08-05T12:50:00</x:v>
      </x:c>
      <x:c r="C5731" s="39" t="str">
        <x:v>2026-08-05T13:50:00</x:v>
      </x:c>
      <x:c r="D5731" s="47" t="n">
        <x:v>60</x:v>
      </x:c>
      <x:c r="E5731" s="40" t="n">
        <x:v>18.5</x:v>
      </x:c>
      <x:c r="F5731" s="40" t="n">
        <x:v>19.862659454345703</x:v>
      </x:c>
      <x:c r="G5731" s="40" t="n">
        <x:v>19</x:v>
      </x:c>
      <x:c r="H5731" s="40" t="n">
        <x:f>F5731-E5731</x:f>
        <x:v>1.3626594543457031</x:v>
      </x:c>
      <x:c r="I5731" s="40" t="n">
        <x:f>ABS(H5731)</x:f>
        <x:v>1.3626594543457031</x:v>
      </x:c>
      <x:c r="J5731" s="40" t="n">
        <x:f>H5731^2</x:f>
        <x:v>1.8568407885177294</x:v>
      </x:c>
      <x:c r="K5731" s="40" t="n">
        <x:f>G5731-E5731</x:f>
        <x:v>0.5</x:v>
      </x:c>
      <x:c r="L5731" s="40" t="n">
        <x:f>ABS(K5731)</x:f>
        <x:v>0.5</x:v>
      </x:c>
      <x:c r="M5731" s="41" t="str">
        <x:v>lstm-soil-v1</x:v>
      </x:c>
    </x:row>
    <x:row r="5732">
      <x:c r="A5732" s="38" t="str">
        <x:v>7月30日现场数据</x:v>
      </x:c>
      <x:c r="B5732" s="39" t="str">
        <x:v>2026-08-05T12:55:00</x:v>
      </x:c>
      <x:c r="C5732" s="39" t="str">
        <x:v>2026-08-05T13:00:00</x:v>
      </x:c>
      <x:c r="D5732" s="47" t="n">
        <x:v>5</x:v>
      </x:c>
      <x:c r="E5732" s="40" t="n">
        <x:v>18.8</x:v>
      </x:c>
      <x:c r="F5732" s="40" t="n">
        <x:v>17.602153778076172</x:v>
      </x:c>
      <x:c r="G5732" s="40" t="n">
        <x:v>18.9</x:v>
      </x:c>
      <x:c r="H5732" s="40" t="n">
        <x:f>F5732-E5732</x:f>
        <x:v>-1.1978462219238288</x:v>
      </x:c>
      <x:c r="I5732" s="40" t="n">
        <x:f>ABS(H5732)</x:f>
        <x:v>1.1978462219238288</x:v>
      </x:c>
      <x:c r="J5732" s="40" t="n">
        <x:f>H5732^2</x:f>
        <x:v>1.4348355713771905</x:v>
      </x:c>
      <x:c r="K5732" s="40" t="n">
        <x:f>G5732-E5732</x:f>
        <x:v>0.09999999999999787</x:v>
      </x:c>
      <x:c r="L5732" s="40" t="n">
        <x:f>ABS(K5732)</x:f>
        <x:v>0.09999999999999787</x:v>
      </x:c>
      <x:c r="M5732" s="41" t="str">
        <x:v>lstm-soil-v1</x:v>
      </x:c>
    </x:row>
    <x:row r="5733">
      <x:c r="A5733" s="38" t="str">
        <x:v>7月30日现场数据</x:v>
      </x:c>
      <x:c r="B5733" s="39" t="str">
        <x:v>2026-08-05T12:55:00</x:v>
      </x:c>
      <x:c r="C5733" s="39" t="str">
        <x:v>2026-08-05T13:10:00</x:v>
      </x:c>
      <x:c r="D5733" s="47" t="n">
        <x:v>15</x:v>
      </x:c>
      <x:c r="E5733" s="40" t="n">
        <x:v>18.7</x:v>
      </x:c>
      <x:c r="F5733" s="40" t="n">
        <x:v>17.663562774658203</x:v>
      </x:c>
      <x:c r="G5733" s="40" t="n">
        <x:v>18.9</x:v>
      </x:c>
      <x:c r="H5733" s="40" t="n">
        <x:f>F5733-E5733</x:f>
        <x:v>-1.0364372253417962</x:v>
      </x:c>
      <x:c r="I5733" s="40" t="n">
        <x:f>ABS(H5733)</x:f>
        <x:v>1.0364372253417962</x:v>
      </x:c>
      <x:c r="J5733" s="40" t="n">
        <x:f>H5733^2</x:f>
        <x:v>1.074202122074201</x:v>
      </x:c>
      <x:c r="K5733" s="40" t="n">
        <x:f>G5733-E5733</x:f>
        <x:v>0.1999999999999993</x:v>
      </x:c>
      <x:c r="L5733" s="40" t="n">
        <x:f>ABS(K5733)</x:f>
        <x:v>0.1999999999999993</x:v>
      </x:c>
      <x:c r="M5733" s="41" t="str">
        <x:v>lstm-soil-v1</x:v>
      </x:c>
    </x:row>
    <x:row r="5734">
      <x:c r="A5734" s="38" t="str">
        <x:v>7月30日现场数据</x:v>
      </x:c>
      <x:c r="B5734" s="39" t="str">
        <x:v>2026-08-05T12:55:00</x:v>
      </x:c>
      <x:c r="C5734" s="39" t="str">
        <x:v>2026-08-05T13:25:00</x:v>
      </x:c>
      <x:c r="D5734" s="47" t="n">
        <x:v>30</x:v>
      </x:c>
      <x:c r="E5734" s="40" t="n">
        <x:v>18.5</x:v>
      </x:c>
      <x:c r="F5734" s="40" t="n">
        <x:v>18.014461517333984</x:v>
      </x:c>
      <x:c r="G5734" s="40" t="n">
        <x:v>18.9</x:v>
      </x:c>
      <x:c r="H5734" s="40" t="n">
        <x:f>F5734-E5734</x:f>
        <x:v>-0.4855384826660156</x:v>
      </x:c>
      <x:c r="I5734" s="40" t="n">
        <x:f>ABS(H5734)</x:f>
        <x:v>0.4855384826660156</x:v>
      </x:c>
      <x:c r="J5734" s="40" t="n">
        <x:f>H5734^2</x:f>
        <x:v>0.23574761814961676</x:v>
      </x:c>
      <x:c r="K5734" s="40" t="n">
        <x:f>G5734-E5734</x:f>
        <x:v>0.3999999999999986</x:v>
      </x:c>
      <x:c r="L5734" s="40" t="n">
        <x:f>ABS(K5734)</x:f>
        <x:v>0.3999999999999986</x:v>
      </x:c>
      <x:c r="M5734" s="41" t="str">
        <x:v>lstm-soil-v1</x:v>
      </x:c>
    </x:row>
    <x:row r="5735">
      <x:c r="A5735" s="38" t="str">
        <x:v>7月30日现场数据</x:v>
      </x:c>
      <x:c r="B5735" s="39" t="str">
        <x:v>2026-08-05T12:55:00</x:v>
      </x:c>
      <x:c r="C5735" s="39" t="str">
        <x:v>2026-08-05T13:55:00</x:v>
      </x:c>
      <x:c r="D5735" s="47" t="n">
        <x:v>60</x:v>
      </x:c>
      <x:c r="E5735" s="40" t="n">
        <x:v>18.4</x:v>
      </x:c>
      <x:c r="F5735" s="40" t="n">
        <x:v>19.747116088867188</x:v>
      </x:c>
      <x:c r="G5735" s="40" t="n">
        <x:v>18.9</x:v>
      </x:c>
      <x:c r="H5735" s="40" t="n">
        <x:f>F5735-E5735</x:f>
        <x:v>1.347116088867189</x:v>
      </x:c>
      <x:c r="I5735" s="40" t="n">
        <x:f>ABS(H5735)</x:f>
        <x:v>1.347116088867189</x:v>
      </x:c>
      <x:c r="J5735" s="40" t="n">
        <x:f>H5735^2</x:f>
        <x:v>1.814721756884832</x:v>
      </x:c>
      <x:c r="K5735" s="40" t="n">
        <x:f>G5735-E5735</x:f>
        <x:v>0.5</x:v>
      </x:c>
      <x:c r="L5735" s="40" t="n">
        <x:f>ABS(K5735)</x:f>
        <x:v>0.5</x:v>
      </x:c>
      <x:c r="M5735" s="41" t="str">
        <x:v>lstm-soil-v1</x:v>
      </x:c>
    </x:row>
    <x:row r="5736">
      <x:c r="A5736" s="38" t="str">
        <x:v>7月30日现场数据</x:v>
      </x:c>
      <x:c r="B5736" s="39" t="str">
        <x:v>2026-08-05T13:00:00</x:v>
      </x:c>
      <x:c r="C5736" s="39" t="str">
        <x:v>2026-08-05T13:05:00</x:v>
      </x:c>
      <x:c r="D5736" s="47" t="n">
        <x:v>5</x:v>
      </x:c>
      <x:c r="E5736" s="40" t="n">
        <x:v>18.7</x:v>
      </x:c>
      <x:c r="F5736" s="40" t="n">
        <x:v>17.49280548095703</x:v>
      </x:c>
      <x:c r="G5736" s="40" t="n">
        <x:v>18.8</x:v>
      </x:c>
      <x:c r="H5736" s="40" t="n">
        <x:f>F5736-E5736</x:f>
        <x:v>-1.207194519042968</x:v>
      </x:c>
      <x:c r="I5736" s="40" t="n">
        <x:f>ABS(H5736)</x:f>
        <x:v>1.207194519042968</x:v>
      </x:c>
      <x:c r="J5736" s="40" t="n">
        <x:f>H5736^2</x:f>
        <x:v>1.457318606807383</x:v>
      </x:c>
      <x:c r="K5736" s="40" t="n">
        <x:f>G5736-E5736</x:f>
        <x:v>0.10000000000000142</x:v>
      </x:c>
      <x:c r="L5736" s="40" t="n">
        <x:f>ABS(K5736)</x:f>
        <x:v>0.10000000000000142</x:v>
      </x:c>
      <x:c r="M5736" s="41" t="str">
        <x:v>lstm-soil-v1</x:v>
      </x:c>
    </x:row>
    <x:row r="5737">
      <x:c r="A5737" s="38" t="str">
        <x:v>7月30日现场数据</x:v>
      </x:c>
      <x:c r="B5737" s="39" t="str">
        <x:v>2026-08-05T13:00:00</x:v>
      </x:c>
      <x:c r="C5737" s="39" t="str">
        <x:v>2026-08-05T13:15:00</x:v>
      </x:c>
      <x:c r="D5737" s="47" t="n">
        <x:v>15</x:v>
      </x:c>
      <x:c r="E5737" s="40" t="n">
        <x:v>18.6</x:v>
      </x:c>
      <x:c r="F5737" s="40" t="n">
        <x:v>17.554180145263672</x:v>
      </x:c>
      <x:c r="G5737" s="40" t="n">
        <x:v>18.8</x:v>
      </x:c>
      <x:c r="H5737" s="40" t="n">
        <x:f>F5737-E5737</x:f>
        <x:v>-1.0458198547363295</x:v>
      </x:c>
      <x:c r="I5737" s="40" t="n">
        <x:f>ABS(H5737)</x:f>
        <x:v>1.0458198547363295</x:v>
      </x:c>
      <x:c r="J5737" s="40" t="n">
        <x:f>H5737^2</x:f>
        <x:v>1.0937391685607174</x:v>
      </x:c>
      <x:c r="K5737" s="40" t="n">
        <x:f>G5737-E5737</x:f>
        <x:v>0.1999999999999993</x:v>
      </x:c>
      <x:c r="L5737" s="40" t="n">
        <x:f>ABS(K5737)</x:f>
        <x:v>0.1999999999999993</x:v>
      </x:c>
      <x:c r="M5737" s="41" t="str">
        <x:v>lstm-soil-v1</x:v>
      </x:c>
    </x:row>
    <x:row r="5738">
      <x:c r="A5738" s="38" t="str">
        <x:v>7月30日现场数据</x:v>
      </x:c>
      <x:c r="B5738" s="39" t="str">
        <x:v>2026-08-05T13:00:00</x:v>
      </x:c>
      <x:c r="C5738" s="39" t="str">
        <x:v>2026-08-05T13:30:00</x:v>
      </x:c>
      <x:c r="D5738" s="47" t="n">
        <x:v>30</x:v>
      </x:c>
      <x:c r="E5738" s="40" t="n">
        <x:v>18.5</x:v>
      </x:c>
      <x:c r="F5738" s="40" t="n">
        <x:v>17.900768280029297</x:v>
      </x:c>
      <x:c r="G5738" s="40" t="n">
        <x:v>18.8</x:v>
      </x:c>
      <x:c r="H5738" s="40" t="n">
        <x:f>F5738-E5738</x:f>
        <x:v>-0.5992317199707031</x:v>
      </x:c>
      <x:c r="I5738" s="40" t="n">
        <x:f>ABS(H5738)</x:f>
        <x:v>0.5992317199707031</x:v>
      </x:c>
      <x:c r="J5738" s="40" t="n">
        <x:f>H5738^2</x:f>
        <x:v>0.35907865421904717</x:v>
      </x:c>
      <x:c r="K5738" s="40" t="n">
        <x:f>G5738-E5738</x:f>
        <x:v>0.3000000000000007</x:v>
      </x:c>
      <x:c r="L5738" s="40" t="n">
        <x:f>ABS(K5738)</x:f>
        <x:v>0.3000000000000007</x:v>
      </x:c>
      <x:c r="M5738" s="41" t="str">
        <x:v>lstm-soil-v1</x:v>
      </x:c>
    </x:row>
    <x:row r="5739">
      <x:c r="A5739" s="38" t="str">
        <x:v>7月30日现场数据</x:v>
      </x:c>
      <x:c r="B5739" s="39" t="str">
        <x:v>2026-08-05T13:00:00</x:v>
      </x:c>
      <x:c r="C5739" s="39" t="str">
        <x:v>2026-08-05T14:00:00</x:v>
      </x:c>
      <x:c r="D5739" s="47" t="n">
        <x:v>60</x:v>
      </x:c>
      <x:c r="E5739" s="40" t="n">
        <x:v>18.4</x:v>
      </x:c>
      <x:c r="F5739" s="40" t="n">
        <x:v>19.6387939453125</x:v>
      </x:c>
      <x:c r="G5739" s="40" t="n">
        <x:v>18.8</x:v>
      </x:c>
      <x:c r="H5739" s="40" t="n">
        <x:f>F5739-E5739</x:f>
        <x:v>1.2387939453125014</x:v>
      </x:c>
      <x:c r="I5739" s="40" t="n">
        <x:f>ABS(H5739)</x:f>
        <x:v>1.2387939453125014</x:v>
      </x:c>
      <x:c r="J5739" s="40" t="n">
        <x:f>H5739^2</x:f>
        <x:v>1.5346104389429127</x:v>
      </x:c>
      <x:c r="K5739" s="40" t="n">
        <x:f>G5739-E5739</x:f>
        <x:v>0.40000000000000213</x:v>
      </x:c>
      <x:c r="L5739" s="40" t="n">
        <x:f>ABS(K5739)</x:f>
        <x:v>0.40000000000000213</x:v>
      </x:c>
      <x:c r="M5739" s="41" t="str">
        <x:v>lstm-soil-v1</x:v>
      </x:c>
    </x:row>
    <x:row r="5740">
      <x:c r="A5740" s="38" t="str">
        <x:v>7月30日现场数据</x:v>
      </x:c>
      <x:c r="B5740" s="39" t="str">
        <x:v>2026-08-05T13:05:00</x:v>
      </x:c>
      <x:c r="C5740" s="39" t="str">
        <x:v>2026-08-05T13:10:00</x:v>
      </x:c>
      <x:c r="D5740" s="47" t="n">
        <x:v>5</x:v>
      </x:c>
      <x:c r="E5740" s="40" t="n">
        <x:v>18.7</x:v>
      </x:c>
      <x:c r="F5740" s="40" t="n">
        <x:v>17.383533477783203</x:v>
      </x:c>
      <x:c r="G5740" s="40" t="n">
        <x:v>18.7</x:v>
      </x:c>
      <x:c r="H5740" s="40" t="n">
        <x:f>F5740-E5740</x:f>
        <x:v>-1.3164665222167962</x:v>
      </x:c>
      <x:c r="I5740" s="40" t="n">
        <x:f>ABS(H5740)</x:f>
        <x:v>1.3164665222167962</x:v>
      </x:c>
      <x:c r="J5740" s="40" t="n">
        <x:f>H5740^2</x:f>
        <x:v>1.7330841041175862</x:v>
      </x:c>
      <x:c r="K5740" s="40" t="n">
        <x:f>G5740-E5740</x:f>
        <x:v>0</x:v>
      </x:c>
      <x:c r="L5740" s="40" t="n">
        <x:f>ABS(K5740)</x:f>
        <x:v>0</x:v>
      </x:c>
      <x:c r="M5740" s="41" t="str">
        <x:v>lstm-soil-v1</x:v>
      </x:c>
    </x:row>
    <x:row r="5741">
      <x:c r="A5741" s="38" t="str">
        <x:v>7月30日现场数据</x:v>
      </x:c>
      <x:c r="B5741" s="39" t="str">
        <x:v>2026-08-05T13:05:00</x:v>
      </x:c>
      <x:c r="C5741" s="39" t="str">
        <x:v>2026-08-05T13:20:00</x:v>
      </x:c>
      <x:c r="D5741" s="47" t="n">
        <x:v>15</x:v>
      </x:c>
      <x:c r="E5741" s="40" t="n">
        <x:v>18.6</x:v>
      </x:c>
      <x:c r="F5741" s="40" t="n">
        <x:v>17.444072723388672</x:v>
      </x:c>
      <x:c r="G5741" s="40" t="n">
        <x:v>18.7</x:v>
      </x:c>
      <x:c r="H5741" s="40" t="n">
        <x:f>F5741-E5741</x:f>
        <x:v>-1.1559272766113295</x:v>
      </x:c>
      <x:c r="I5741" s="40" t="n">
        <x:f>ABS(H5741)</x:f>
        <x:v>1.1559272766113295</x:v>
      </x:c>
      <x:c r="J5741" s="40" t="n">
        <x:f>H5741^2</x:f>
        <x:v>1.3361678688140852</x:v>
      </x:c>
      <x:c r="K5741" s="40" t="n">
        <x:f>G5741-E5741</x:f>
        <x:v>0.09999999999999787</x:v>
      </x:c>
      <x:c r="L5741" s="40" t="n">
        <x:f>ABS(K5741)</x:f>
        <x:v>0.09999999999999787</x:v>
      </x:c>
      <x:c r="M5741" s="41" t="str">
        <x:v>lstm-soil-v1</x:v>
      </x:c>
    </x:row>
    <x:row r="5742">
      <x:c r="A5742" s="38" t="str">
        <x:v>7月30日现场数据</x:v>
      </x:c>
      <x:c r="B5742" s="39" t="str">
        <x:v>2026-08-05T13:05:00</x:v>
      </x:c>
      <x:c r="C5742" s="39" t="str">
        <x:v>2026-08-05T13:35:00</x:v>
      </x:c>
      <x:c r="D5742" s="47" t="n">
        <x:v>30</x:v>
      </x:c>
      <x:c r="E5742" s="40" t="n">
        <x:v>18.5</x:v>
      </x:c>
      <x:c r="F5742" s="40" t="n">
        <x:v>17.786380767822266</x:v>
      </x:c>
      <x:c r="G5742" s="40" t="n">
        <x:v>18.7</x:v>
      </x:c>
      <x:c r="H5742" s="40" t="n">
        <x:f>F5742-E5742</x:f>
        <x:v>-0.7136192321777344</x:v>
      </x:c>
      <x:c r="I5742" s="40" t="n">
        <x:f>ABS(H5742)</x:f>
        <x:v>0.7136192321777344</x:v>
      </x:c>
      <x:c r="J5742" s="40" t="n">
        <x:f>H5742^2</x:f>
        <x:v>0.5092524085339392</x:v>
      </x:c>
      <x:c r="K5742" s="40" t="n">
        <x:f>G5742-E5742</x:f>
        <x:v>0.1999999999999993</x:v>
      </x:c>
      <x:c r="L5742" s="40" t="n">
        <x:f>ABS(K5742)</x:f>
        <x:v>0.1999999999999993</x:v>
      </x:c>
      <x:c r="M5742" s="41" t="str">
        <x:v>lstm-soil-v1</x:v>
      </x:c>
    </x:row>
    <x:row r="5743">
      <x:c r="A5743" s="38" t="str">
        <x:v>7月30日现场数据</x:v>
      </x:c>
      <x:c r="B5743" s="39" t="str">
        <x:v>2026-08-05T13:05:00</x:v>
      </x:c>
      <x:c r="C5743" s="39" t="str">
        <x:v>2026-08-05T14:05:00</x:v>
      </x:c>
      <x:c r="D5743" s="47" t="n">
        <x:v>60</x:v>
      </x:c>
      <x:c r="E5743" s="40" t="n">
        <x:v>18.4</x:v>
      </x:c>
      <x:c r="F5743" s="40" t="n">
        <x:v>19.532020568847656</x:v>
      </x:c>
      <x:c r="G5743" s="40" t="n">
        <x:v>18.7</x:v>
      </x:c>
      <x:c r="H5743" s="40" t="n">
        <x:f>F5743-E5743</x:f>
        <x:v>1.1320205688476577</x:v>
      </x:c>
      <x:c r="I5743" s="40" t="n">
        <x:f>ABS(H5743)</x:f>
        <x:v>1.1320205688476577</x:v>
      </x:c>
      <x:c r="J5743" s="40" t="n">
        <x:f>H5743^2</x:f>
        <x:v>1.2814705682941745</x:v>
      </x:c>
      <x:c r="K5743" s="40" t="n">
        <x:f>G5743-E5743</x:f>
        <x:v>0.3000000000000007</x:v>
      </x:c>
      <x:c r="L5743" s="40" t="n">
        <x:f>ABS(K5743)</x:f>
        <x:v>0.3000000000000007</x:v>
      </x:c>
      <x:c r="M5743" s="41" t="str">
        <x:v>lstm-soil-v1</x:v>
      </x:c>
    </x:row>
    <x:row r="5744">
      <x:c r="A5744" s="38" t="str">
        <x:v>7月30日现场数据</x:v>
      </x:c>
      <x:c r="B5744" s="39" t="str">
        <x:v>2026-08-05T13:10:00</x:v>
      </x:c>
      <x:c r="C5744" s="39" t="str">
        <x:v>2026-08-05T13:15:00</x:v>
      </x:c>
      <x:c r="D5744" s="47" t="n">
        <x:v>5</x:v>
      </x:c>
      <x:c r="E5744" s="40" t="n">
        <x:v>18.6</x:v>
      </x:c>
      <x:c r="F5744" s="40" t="n">
        <x:v>17.38296890258789</x:v>
      </x:c>
      <x:c r="G5744" s="40" t="n">
        <x:v>18.7</x:v>
      </x:c>
      <x:c r="H5744" s="40" t="n">
        <x:f>F5744-E5744</x:f>
        <x:v>-1.2170310974121108</x:v>
      </x:c>
      <x:c r="I5744" s="40" t="n">
        <x:f>ABS(H5744)</x:f>
        <x:v>1.2170310974121108</x:v>
      </x:c>
      <x:c r="J5744" s="40" t="n">
        <x:f>H5744^2</x:f>
        <x:v>1.4811646920681267</x:v>
      </x:c>
      <x:c r="K5744" s="40" t="n">
        <x:f>G5744-E5744</x:f>
        <x:v>0.09999999999999787</x:v>
      </x:c>
      <x:c r="L5744" s="40" t="n">
        <x:f>ABS(K5744)</x:f>
        <x:v>0.09999999999999787</x:v>
      </x:c>
      <x:c r="M5744" s="41" t="str">
        <x:v>lstm-soil-v1</x:v>
      </x:c>
    </x:row>
    <x:row r="5745">
      <x:c r="A5745" s="38" t="str">
        <x:v>7月30日现场数据</x:v>
      </x:c>
      <x:c r="B5745" s="39" t="str">
        <x:v>2026-08-05T13:10:00</x:v>
      </x:c>
      <x:c r="C5745" s="39" t="str">
        <x:v>2026-08-05T13:25:00</x:v>
      </x:c>
      <x:c r="D5745" s="47" t="n">
        <x:v>15</x:v>
      </x:c>
      <x:c r="E5745" s="40" t="n">
        <x:v>18.5</x:v>
      </x:c>
      <x:c r="F5745" s="40" t="n">
        <x:v>17.444087982177734</x:v>
      </x:c>
      <x:c r="G5745" s="40" t="n">
        <x:v>18.7</x:v>
      </x:c>
      <x:c r="H5745" s="40" t="n">
        <x:f>F5745-E5745</x:f>
        <x:v>-1.0559120178222656</x:v>
      </x:c>
      <x:c r="I5745" s="40" t="n">
        <x:f>ABS(H5745)</x:f>
        <x:v>1.0559120178222656</x:v>
      </x:c>
      <x:c r="J5745" s="40" t="n">
        <x:f>H5745^2</x:f>
        <x:v>1.1149501893814886</x:v>
      </x:c>
      <x:c r="K5745" s="40" t="n">
        <x:f>G5745-E5745</x:f>
        <x:v>0.1999999999999993</x:v>
      </x:c>
      <x:c r="L5745" s="40" t="n">
        <x:f>ABS(K5745)</x:f>
        <x:v>0.1999999999999993</x:v>
      </x:c>
      <x:c r="M5745" s="41" t="str">
        <x:v>lstm-soil-v1</x:v>
      </x:c>
    </x:row>
    <x:row r="5746">
      <x:c r="A5746" s="38" t="str">
        <x:v>7月30日现场数据</x:v>
      </x:c>
      <x:c r="B5746" s="39" t="str">
        <x:v>2026-08-05T13:10:00</x:v>
      </x:c>
      <x:c r="C5746" s="39" t="str">
        <x:v>2026-08-05T13:40:00</x:v>
      </x:c>
      <x:c r="D5746" s="47" t="n">
        <x:v>30</x:v>
      </x:c>
      <x:c r="E5746" s="40" t="n">
        <x:v>18.5</x:v>
      </x:c>
      <x:c r="F5746" s="40" t="n">
        <x:v>17.78177261352539</x:v>
      </x:c>
      <x:c r="G5746" s="40" t="n">
        <x:v>18.7</x:v>
      </x:c>
      <x:c r="H5746" s="40" t="n">
        <x:f>F5746-E5746</x:f>
        <x:v>-0.7182273864746094</x:v>
      </x:c>
      <x:c r="I5746" s="40" t="n">
        <x:f>ABS(H5746)</x:f>
        <x:v>0.7182273864746094</x:v>
      </x:c>
      <x:c r="J5746" s="40" t="n">
        <x:f>H5746^2</x:f>
        <x:v>0.5158505786821479</x:v>
      </x:c>
      <x:c r="K5746" s="40" t="n">
        <x:f>G5746-E5746</x:f>
        <x:v>0.1999999999999993</x:v>
      </x:c>
      <x:c r="L5746" s="40" t="n">
        <x:f>ABS(K5746)</x:f>
        <x:v>0.1999999999999993</x:v>
      </x:c>
      <x:c r="M5746" s="41" t="str">
        <x:v>lstm-soil-v1</x:v>
      </x:c>
    </x:row>
    <x:row r="5747">
      <x:c r="A5747" s="38" t="str">
        <x:v>7月30日现场数据</x:v>
      </x:c>
      <x:c r="B5747" s="39" t="str">
        <x:v>2026-08-05T13:10:00</x:v>
      </x:c>
      <x:c r="C5747" s="39" t="str">
        <x:v>2026-08-05T14:10:00</x:v>
      </x:c>
      <x:c r="D5747" s="47" t="n">
        <x:v>60</x:v>
      </x:c>
      <x:c r="E5747" s="40" t="n">
        <x:v>18.4</x:v>
      </x:c>
      <x:c r="F5747" s="40" t="n">
        <x:v>19.533016204833984</x:v>
      </x:c>
      <x:c r="G5747" s="40" t="n">
        <x:v>18.7</x:v>
      </x:c>
      <x:c r="H5747" s="40" t="n">
        <x:f>F5747-E5747</x:f>
        <x:v>1.1330162048339858</x:v>
      </x:c>
      <x:c r="I5747" s="40" t="n">
        <x:f>ABS(H5747)</x:f>
        <x:v>1.1330162048339858</x:v>
      </x:c>
      <x:c r="J5747" s="40" t="n">
        <x:f>H5747^2</x:f>
        <x:v>1.2837257204164085</x:v>
      </x:c>
      <x:c r="K5747" s="40" t="n">
        <x:f>G5747-E5747</x:f>
        <x:v>0.3000000000000007</x:v>
      </x:c>
      <x:c r="L5747" s="40" t="n">
        <x:f>ABS(K5747)</x:f>
        <x:v>0.3000000000000007</x:v>
      </x:c>
      <x:c r="M5747" s="41" t="str">
        <x:v>lstm-soil-v1</x:v>
      </x:c>
    </x:row>
    <x:row r="5748">
      <x:c r="A5748" s="38" t="str">
        <x:v>7月30日现场数据</x:v>
      </x:c>
      <x:c r="B5748" s="39" t="str">
        <x:v>2026-08-05T13:15:00</x:v>
      </x:c>
      <x:c r="C5748" s="39" t="str">
        <x:v>2026-08-05T13:20:00</x:v>
      </x:c>
      <x:c r="D5748" s="47" t="n">
        <x:v>5</x:v>
      </x:c>
      <x:c r="E5748" s="40" t="n">
        <x:v>18.6</x:v>
      </x:c>
      <x:c r="F5748" s="40" t="n">
        <x:v>17.28026580810547</x:v>
      </x:c>
      <x:c r="G5748" s="40" t="n">
        <x:v>18.6</x:v>
      </x:c>
      <x:c r="H5748" s="40" t="n">
        <x:f>F5748-E5748</x:f>
        <x:v>-1.3197341918945327</x:v>
      </x:c>
      <x:c r="I5748" s="40" t="n">
        <x:f>ABS(H5748)</x:f>
        <x:v>1.3197341918945327</x:v>
      </x:c>
      <x:c r="J5748" s="40" t="n">
        <x:f>H5748^2</x:f>
        <x:v>1.7416983372555153</x:v>
      </x:c>
      <x:c r="K5748" s="40" t="n">
        <x:f>G5748-E5748</x:f>
        <x:v>0</x:v>
      </x:c>
      <x:c r="L5748" s="40" t="n">
        <x:f>ABS(K5748)</x:f>
        <x:v>0</x:v>
      </x:c>
      <x:c r="M5748" s="41" t="str">
        <x:v>lstm-soil-v1</x:v>
      </x:c>
    </x:row>
    <x:row r="5749">
      <x:c r="A5749" s="38" t="str">
        <x:v>7月30日现场数据</x:v>
      </x:c>
      <x:c r="B5749" s="39" t="str">
        <x:v>2026-08-05T13:15:00</x:v>
      </x:c>
      <x:c r="C5749" s="39" t="str">
        <x:v>2026-08-05T13:30:00</x:v>
      </x:c>
      <x:c r="D5749" s="47" t="n">
        <x:v>15</x:v>
      </x:c>
      <x:c r="E5749" s="40" t="n">
        <x:v>18.5</x:v>
      </x:c>
      <x:c r="F5749" s="40" t="n">
        <x:v>17.33504867553711</x:v>
      </x:c>
      <x:c r="G5749" s="40" t="n">
        <x:v>18.6</x:v>
      </x:c>
      <x:c r="H5749" s="40" t="n">
        <x:f>F5749-E5749</x:f>
        <x:v>-1.1649513244628906</x:v>
      </x:c>
      <x:c r="I5749" s="40" t="n">
        <x:f>ABS(H5749)</x:f>
        <x:v>1.1649513244628906</x:v>
      </x:c>
      <x:c r="J5749" s="40" t="n">
        <x:f>H5749^2</x:f>
        <x:v>1.357111588367843</x:v>
      </x:c>
      <x:c r="K5749" s="40" t="n">
        <x:f>G5749-E5749</x:f>
        <x:v>0.10000000000000142</x:v>
      </x:c>
      <x:c r="L5749" s="40" t="n">
        <x:f>ABS(K5749)</x:f>
        <x:v>0.10000000000000142</x:v>
      </x:c>
      <x:c r="M5749" s="41" t="str">
        <x:v>lstm-soil-v1</x:v>
      </x:c>
    </x:row>
    <x:row r="5750">
      <x:c r="A5750" s="38" t="str">
        <x:v>7月30日现场数据</x:v>
      </x:c>
      <x:c r="B5750" s="39" t="str">
        <x:v>2026-08-05T13:15:00</x:v>
      </x:c>
      <x:c r="C5750" s="39" t="str">
        <x:v>2026-08-05T13:45:00</x:v>
      </x:c>
      <x:c r="D5750" s="47" t="n">
        <x:v>30</x:v>
      </x:c>
      <x:c r="E5750" s="40" t="n">
        <x:v>18.5</x:v>
      </x:c>
      <x:c r="F5750" s="40" t="n">
        <x:v>17.677490234375</x:v>
      </x:c>
      <x:c r="G5750" s="40" t="n">
        <x:v>18.6</x:v>
      </x:c>
      <x:c r="H5750" s="40" t="n">
        <x:f>F5750-E5750</x:f>
        <x:v>-0.822509765625</x:v>
      </x:c>
      <x:c r="I5750" s="40" t="n">
        <x:f>ABS(H5750)</x:f>
        <x:v>0.822509765625</x:v>
      </x:c>
      <x:c r="J5750" s="40" t="n">
        <x:f>H5750^2</x:f>
        <x:v>0.6765223145484924</x:v>
      </x:c>
      <x:c r="K5750" s="40" t="n">
        <x:f>G5750-E5750</x:f>
        <x:v>0.10000000000000142</x:v>
      </x:c>
      <x:c r="L5750" s="40" t="n">
        <x:f>ABS(K5750)</x:f>
        <x:v>0.10000000000000142</x:v>
      </x:c>
      <x:c r="M5750" s="41" t="str">
        <x:v>lstm-soil-v1</x:v>
      </x:c>
    </x:row>
    <x:row r="5751">
      <x:c r="A5751" s="38" t="str">
        <x:v>7月30日现场数据</x:v>
      </x:c>
      <x:c r="B5751" s="39" t="str">
        <x:v>2026-08-05T13:15:00</x:v>
      </x:c>
      <x:c r="C5751" s="39" t="str">
        <x:v>2026-08-05T14:15:00</x:v>
      </x:c>
      <x:c r="D5751" s="47" t="n">
        <x:v>60</x:v>
      </x:c>
      <x:c r="E5751" s="40" t="n">
        <x:v>18.4</x:v>
      </x:c>
      <x:c r="F5751" s="40" t="n">
        <x:v>19.44019317626953</x:v>
      </x:c>
      <x:c r="G5751" s="40" t="n">
        <x:v>18.6</x:v>
      </x:c>
      <x:c r="H5751" s="40" t="n">
        <x:f>F5751-E5751</x:f>
        <x:v>1.0401931762695327</x:v>
      </x:c>
      <x:c r="I5751" s="40" t="n">
        <x:f>ABS(H5751)</x:f>
        <x:v>1.0401931762695327</x:v>
      </x:c>
      <x:c r="J5751" s="40" t="n">
        <x:f>H5751^2</x:f>
        <x:v>1.082001843957699</x:v>
      </x:c>
      <x:c r="K5751" s="40" t="n">
        <x:f>G5751-E5751</x:f>
        <x:v>0.20000000000000284</x:v>
      </x:c>
      <x:c r="L5751" s="40" t="n">
        <x:f>ABS(K5751)</x:f>
        <x:v>0.20000000000000284</x:v>
      </x:c>
      <x:c r="M5751" s="41" t="str">
        <x:v>lstm-soil-v1</x:v>
      </x:c>
    </x:row>
    <x:row r="5752">
      <x:c r="A5752" s="38" t="str">
        <x:v>7月30日现场数据</x:v>
      </x:c>
      <x:c r="B5752" s="39" t="str">
        <x:v>2026-08-05T13:20:00</x:v>
      </x:c>
      <x:c r="C5752" s="39" t="str">
        <x:v>2026-08-05T13:25:00</x:v>
      </x:c>
      <x:c r="D5752" s="47" t="n">
        <x:v>5</x:v>
      </x:c>
      <x:c r="E5752" s="40" t="n">
        <x:v>18.5</x:v>
      </x:c>
      <x:c r="F5752" s="40" t="n">
        <x:v>17.275646209716797</x:v>
      </x:c>
      <x:c r="G5752" s="40" t="n">
        <x:v>18.6</x:v>
      </x:c>
      <x:c r="H5752" s="40" t="n">
        <x:f>F5752-E5752</x:f>
        <x:v>-1.2243537902832031</x:v>
      </x:c>
      <x:c r="I5752" s="40" t="n">
        <x:f>ABS(H5752)</x:f>
        <x:v>1.2243537902832031</x:v>
      </x:c>
      <x:c r="J5752" s="40" t="n">
        <x:f>H5752^2</x:f>
        <x:v>1.4990422037808457</x:v>
      </x:c>
      <x:c r="K5752" s="40" t="n">
        <x:f>G5752-E5752</x:f>
        <x:v>0.10000000000000142</x:v>
      </x:c>
      <x:c r="L5752" s="40" t="n">
        <x:f>ABS(K5752)</x:f>
        <x:v>0.10000000000000142</x:v>
      </x:c>
      <x:c r="M5752" s="41" t="str">
        <x:v>lstm-soil-v1</x:v>
      </x:c>
    </x:row>
    <x:row r="5753">
      <x:c r="A5753" s="38" t="str">
        <x:v>7月30日现场数据</x:v>
      </x:c>
      <x:c r="B5753" s="39" t="str">
        <x:v>2026-08-05T13:20:00</x:v>
      </x:c>
      <x:c r="C5753" s="39" t="str">
        <x:v>2026-08-05T13:35:00</x:v>
      </x:c>
      <x:c r="D5753" s="47" t="n">
        <x:v>15</x:v>
      </x:c>
      <x:c r="E5753" s="40" t="n">
        <x:v>18.5</x:v>
      </x:c>
      <x:c r="F5753" s="40" t="n">
        <x:v>17.337749481201172</x:v>
      </x:c>
      <x:c r="G5753" s="40" t="n">
        <x:v>18.6</x:v>
      </x:c>
      <x:c r="H5753" s="40" t="n">
        <x:f>F5753-E5753</x:f>
        <x:v>-1.1622505187988281</x:v>
      </x:c>
      <x:c r="I5753" s="40" t="n">
        <x:f>ABS(H5753)</x:f>
        <x:v>1.1622505187988281</x:v>
      </x:c>
      <x:c r="J5753" s="40" t="n">
        <x:f>H5753^2</x:f>
        <x:v>1.3508262684481451</x:v>
      </x:c>
      <x:c r="K5753" s="40" t="n">
        <x:f>G5753-E5753</x:f>
        <x:v>0.10000000000000142</x:v>
      </x:c>
      <x:c r="L5753" s="40" t="n">
        <x:f>ABS(K5753)</x:f>
        <x:v>0.10000000000000142</x:v>
      </x:c>
      <x:c r="M5753" s="41" t="str">
        <x:v>lstm-soil-v1</x:v>
      </x:c>
    </x:row>
    <x:row r="5754">
      <x:c r="A5754" s="38" t="str">
        <x:v>7月30日现场数据</x:v>
      </x:c>
      <x:c r="B5754" s="39" t="str">
        <x:v>2026-08-05T13:20:00</x:v>
      </x:c>
      <x:c r="C5754" s="39" t="str">
        <x:v>2026-08-05T13:50:00</x:v>
      </x:c>
      <x:c r="D5754" s="47" t="n">
        <x:v>30</x:v>
      </x:c>
      <x:c r="E5754" s="40" t="n">
        <x:v>18.5</x:v>
      </x:c>
      <x:c r="F5754" s="40" t="n">
        <x:v>17.673969268798828</x:v>
      </x:c>
      <x:c r="G5754" s="40" t="n">
        <x:v>18.6</x:v>
      </x:c>
      <x:c r="H5754" s="40" t="n">
        <x:f>F5754-E5754</x:f>
        <x:v>-0.8260307312011719</x:v>
      </x:c>
      <x:c r="I5754" s="40" t="n">
        <x:f>ABS(H5754)</x:f>
        <x:v>0.8260307312011719</x:v>
      </x:c>
      <x:c r="J5754" s="40" t="n">
        <x:f>H5754^2</x:f>
        <x:v>0.6823267688887427</x:v>
      </x:c>
      <x:c r="K5754" s="40" t="n">
        <x:f>G5754-E5754</x:f>
        <x:v>0.10000000000000142</x:v>
      </x:c>
      <x:c r="L5754" s="40" t="n">
        <x:f>ABS(K5754)</x:f>
        <x:v>0.10000000000000142</x:v>
      </x:c>
      <x:c r="M5754" s="41" t="str">
        <x:v>lstm-soil-v1</x:v>
      </x:c>
    </x:row>
    <x:row r="5755">
      <x:c r="A5755" s="38" t="str">
        <x:v>7月30日现场数据</x:v>
      </x:c>
      <x:c r="B5755" s="39" t="str">
        <x:v>2026-08-05T13:20:00</x:v>
      </x:c>
      <x:c r="C5755" s="39" t="str">
        <x:v>2026-08-05T14:20:00</x:v>
      </x:c>
      <x:c r="D5755" s="47" t="n">
        <x:v>60</x:v>
      </x:c>
      <x:c r="E5755" s="40" t="n">
        <x:v>18.4</x:v>
      </x:c>
      <x:c r="F5755" s="40" t="n">
        <x:v>19.432247161865234</x:v>
      </x:c>
      <x:c r="G5755" s="40" t="n">
        <x:v>18.6</x:v>
      </x:c>
      <x:c r="H5755" s="40" t="n">
        <x:f>F5755-E5755</x:f>
        <x:v>1.0322471618652358</x:v>
      </x:c>
      <x:c r="I5755" s="40" t="n">
        <x:f>ABS(H5755)</x:f>
        <x:v>1.0322471618652358</x:v>
      </x:c>
      <x:c r="J5755" s="40" t="n">
        <x:f>H5755^2</x:f>
        <x:v>1.0655342031788344</x:v>
      </x:c>
      <x:c r="K5755" s="40" t="n">
        <x:f>G5755-E5755</x:f>
        <x:v>0.20000000000000284</x:v>
      </x:c>
      <x:c r="L5755" s="40" t="n">
        <x:f>ABS(K5755)</x:f>
        <x:v>0.20000000000000284</x:v>
      </x:c>
      <x:c r="M5755" s="41" t="str">
        <x:v>lstm-soil-v1</x:v>
      </x:c>
    </x:row>
    <x:row r="5756">
      <x:c r="A5756" s="38" t="str">
        <x:v>7月30日现场数据</x:v>
      </x:c>
      <x:c r="B5756" s="39" t="str">
        <x:v>2026-08-05T13:25:00</x:v>
      </x:c>
      <x:c r="C5756" s="39" t="str">
        <x:v>2026-08-05T13:30:00</x:v>
      </x:c>
      <x:c r="D5756" s="47" t="n">
        <x:v>5</x:v>
      </x:c>
      <x:c r="E5756" s="40" t="n">
        <x:v>18.5</x:v>
      </x:c>
      <x:c r="F5756" s="40" t="n">
        <x:v>17.163318634033203</x:v>
      </x:c>
      <x:c r="G5756" s="40" t="n">
        <x:v>18.5</x:v>
      </x:c>
      <x:c r="H5756" s="40" t="n">
        <x:f>F5756-E5756</x:f>
        <x:v>-1.3366813659667969</x:v>
      </x:c>
      <x:c r="I5756" s="40" t="n">
        <x:f>ABS(H5756)</x:f>
        <x:v>1.3366813659667969</x:v>
      </x:c>
      <x:c r="J5756" s="40" t="n">
        <x:f>H5756^2</x:f>
        <x:v>1.786717074122862</x:v>
      </x:c>
      <x:c r="K5756" s="40" t="n">
        <x:f>G5756-E5756</x:f>
        <x:v>0</x:v>
      </x:c>
      <x:c r="L5756" s="40" t="n">
        <x:f>ABS(K5756)</x:f>
        <x:v>0</x:v>
      </x:c>
      <x:c r="M5756" s="41" t="str">
        <x:v>lstm-soil-v1</x:v>
      </x:c>
    </x:row>
    <x:row r="5757">
      <x:c r="A5757" s="38" t="str">
        <x:v>7月30日现场数据</x:v>
      </x:c>
      <x:c r="B5757" s="39" t="str">
        <x:v>2026-08-05T13:25:00</x:v>
      </x:c>
      <x:c r="C5757" s="39" t="str">
        <x:v>2026-08-05T13:40:00</x:v>
      </x:c>
      <x:c r="D5757" s="47" t="n">
        <x:v>15</x:v>
      </x:c>
      <x:c r="E5757" s="40" t="n">
        <x:v>18.5</x:v>
      </x:c>
      <x:c r="F5757" s="40" t="n">
        <x:v>17.22675323486328</x:v>
      </x:c>
      <x:c r="G5757" s="40" t="n">
        <x:v>18.5</x:v>
      </x:c>
      <x:c r="H5757" s="40" t="n">
        <x:f>F5757-E5757</x:f>
        <x:v>-1.2732467651367188</x:v>
      </x:c>
      <x:c r="I5757" s="40" t="n">
        <x:f>ABS(H5757)</x:f>
        <x:v>1.2732467651367188</x:v>
      </x:c>
      <x:c r="J5757" s="40" t="n">
        <x:f>H5757^2</x:f>
        <x:v>1.6211573249311186</x:v>
      </x:c>
      <x:c r="K5757" s="40" t="n">
        <x:f>G5757-E5757</x:f>
        <x:v>0</x:v>
      </x:c>
      <x:c r="L5757" s="40" t="n">
        <x:f>ABS(K5757)</x:f>
        <x:v>0</x:v>
      </x:c>
      <x:c r="M5757" s="41" t="str">
        <x:v>lstm-soil-v1</x:v>
      </x:c>
    </x:row>
    <x:row r="5758">
      <x:c r="A5758" s="38" t="str">
        <x:v>7月30日现场数据</x:v>
      </x:c>
      <x:c r="B5758" s="39" t="str">
        <x:v>2026-08-05T13:25:00</x:v>
      </x:c>
      <x:c r="C5758" s="39" t="str">
        <x:v>2026-08-05T13:55:00</x:v>
      </x:c>
      <x:c r="D5758" s="47" t="n">
        <x:v>30</x:v>
      </x:c>
      <x:c r="E5758" s="40" t="n">
        <x:v>18.4</x:v>
      </x:c>
      <x:c r="F5758" s="40" t="n">
        <x:v>17.559906005859375</x:v>
      </x:c>
      <x:c r="G5758" s="40" t="n">
        <x:v>18.5</x:v>
      </x:c>
      <x:c r="H5758" s="40" t="n">
        <x:f>F5758-E5758</x:f>
        <x:v>-0.8400939941406236</x:v>
      </x:c>
      <x:c r="I5758" s="40" t="n">
        <x:f>ABS(H5758)</x:f>
        <x:v>0.8400939941406236</x:v>
      </x:c>
      <x:c r="J5758" s="40" t="n">
        <x:f>H5758^2</x:f>
        <x:v>0.705757918991146</x:v>
      </x:c>
      <x:c r="K5758" s="40" t="n">
        <x:f>G5758-E5758</x:f>
        <x:v>0.10000000000000142</x:v>
      </x:c>
      <x:c r="L5758" s="40" t="n">
        <x:f>ABS(K5758)</x:f>
        <x:v>0.10000000000000142</x:v>
      </x:c>
      <x:c r="M5758" s="41" t="str">
        <x:v>lstm-soil-v1</x:v>
      </x:c>
    </x:row>
    <x:row r="5759">
      <x:c r="A5759" s="38" t="str">
        <x:v>7月30日现场数据</x:v>
      </x:c>
      <x:c r="B5759" s="39" t="str">
        <x:v>2026-08-05T13:25:00</x:v>
      </x:c>
      <x:c r="C5759" s="39" t="str">
        <x:v>2026-08-05T14:25:00</x:v>
      </x:c>
      <x:c r="D5759" s="47" t="n">
        <x:v>60</x:v>
      </x:c>
      <x:c r="E5759" s="40" t="n">
        <x:v>18.4</x:v>
      </x:c>
      <x:c r="F5759" s="40" t="n">
        <x:v>19.32132339477539</x:v>
      </x:c>
      <x:c r="G5759" s="40" t="n">
        <x:v>18.5</x:v>
      </x:c>
      <x:c r="H5759" s="40" t="n">
        <x:f>F5759-E5759</x:f>
        <x:v>0.921323394775392</x:v>
      </x:c>
      <x:c r="I5759" s="40" t="n">
        <x:f>ABS(H5759)</x:f>
        <x:v>0.921323394775392</x:v>
      </x:c>
      <x:c r="J5759" s="40" t="n">
        <x:f>H5759^2</x:f>
        <x:v>0.848836797760453</x:v>
      </x:c>
      <x:c r="K5759" s="40" t="n">
        <x:f>G5759-E5759</x:f>
        <x:v>0.10000000000000142</x:v>
      </x:c>
      <x:c r="L5759" s="40" t="n">
        <x:f>ABS(K5759)</x:f>
        <x:v>0.10000000000000142</x:v>
      </x:c>
      <x:c r="M5759" s="41" t="str">
        <x:v>lstm-soil-v1</x:v>
      </x:c>
    </x:row>
    <x:row r="5760">
      <x:c r="A5760" s="38" t="str">
        <x:v>7月30日现场数据</x:v>
      </x:c>
      <x:c r="B5760" s="39" t="str">
        <x:v>2026-08-05T13:30:00</x:v>
      </x:c>
      <x:c r="C5760" s="39" t="str">
        <x:v>2026-08-05T13:35:00</x:v>
      </x:c>
      <x:c r="D5760" s="47" t="n">
        <x:v>5</x:v>
      </x:c>
      <x:c r="E5760" s="40" t="n">
        <x:v>18.5</x:v>
      </x:c>
      <x:c r="F5760" s="40" t="n">
        <x:v>17.16073226928711</x:v>
      </x:c>
      <x:c r="G5760" s="40" t="n">
        <x:v>18.5</x:v>
      </x:c>
      <x:c r="H5760" s="40" t="n">
        <x:f>F5760-E5760</x:f>
        <x:v>-1.3392677307128906</x:v>
      </x:c>
      <x:c r="I5760" s="40" t="n">
        <x:f>ABS(H5760)</x:f>
        <x:v>1.3392677307128906</x:v>
      </x:c>
      <x:c r="J5760" s="40" t="n">
        <x:f>H5760^2</x:f>
        <x:v>1.7936380545288557</x:v>
      </x:c>
      <x:c r="K5760" s="40" t="n">
        <x:f>G5760-E5760</x:f>
        <x:v>0</x:v>
      </x:c>
      <x:c r="L5760" s="40" t="n">
        <x:f>ABS(K5760)</x:f>
        <x:v>0</x:v>
      </x:c>
      <x:c r="M5760" s="41" t="str">
        <x:v>lstm-soil-v1</x:v>
      </x:c>
    </x:row>
    <x:row r="5761">
      <x:c r="A5761" s="38" t="str">
        <x:v>7月30日现场数据</x:v>
      </x:c>
      <x:c r="B5761" s="39" t="str">
        <x:v>2026-08-05T13:30:00</x:v>
      </x:c>
      <x:c r="C5761" s="39" t="str">
        <x:v>2026-08-05T13:45:00</x:v>
      </x:c>
      <x:c r="D5761" s="47" t="n">
        <x:v>15</x:v>
      </x:c>
      <x:c r="E5761" s="40" t="n">
        <x:v>18.5</x:v>
      </x:c>
      <x:c r="F5761" s="40" t="n">
        <x:v>17.226497650146484</x:v>
      </x:c>
      <x:c r="G5761" s="40" t="n">
        <x:v>18.5</x:v>
      </x:c>
      <x:c r="H5761" s="40" t="n">
        <x:f>F5761-E5761</x:f>
        <x:v>-1.2735023498535156</x:v>
      </x:c>
      <x:c r="I5761" s="40" t="n">
        <x:f>ABS(H5761)</x:f>
        <x:v>1.2735023498535156</x:v>
      </x:c>
      <x:c r="J5761" s="40" t="n">
        <x:f>H5761^2</x:f>
        <x:v>1.621808235082426</x:v>
      </x:c>
      <x:c r="K5761" s="40" t="n">
        <x:f>G5761-E5761</x:f>
        <x:v>0</x:v>
      </x:c>
      <x:c r="L5761" s="40" t="n">
        <x:f>ABS(K5761)</x:f>
        <x:v>0</x:v>
      </x:c>
      <x:c r="M5761" s="41" t="str">
        <x:v>lstm-soil-v1</x:v>
      </x:c>
    </x:row>
    <x:row r="5762">
      <x:c r="A5762" s="38" t="str">
        <x:v>7月30日现场数据</x:v>
      </x:c>
      <x:c r="B5762" s="39" t="str">
        <x:v>2026-08-05T13:30:00</x:v>
      </x:c>
      <x:c r="C5762" s="39" t="str">
        <x:v>2026-08-05T14:00:00</x:v>
      </x:c>
      <x:c r="D5762" s="47" t="n">
        <x:v>30</x:v>
      </x:c>
      <x:c r="E5762" s="40" t="n">
        <x:v>18.4</x:v>
      </x:c>
      <x:c r="F5762" s="40" t="n">
        <x:v>17.556541442871094</x:v>
      </x:c>
      <x:c r="G5762" s="40" t="n">
        <x:v>18.5</x:v>
      </x:c>
      <x:c r="H5762" s="40" t="n">
        <x:f>F5762-E5762</x:f>
        <x:v>-0.8434585571289048</x:v>
      </x:c>
      <x:c r="I5762" s="40" t="n">
        <x:f>ABS(H5762)</x:f>
        <x:v>0.8434585571289048</x:v>
      </x:c>
      <x:c r="J5762" s="40" t="n">
        <x:f>H5762^2</x:f>
        <x:v>0.711422337593974</x:v>
      </x:c>
      <x:c r="K5762" s="40" t="n">
        <x:f>G5762-E5762</x:f>
        <x:v>0.10000000000000142</x:v>
      </x:c>
      <x:c r="L5762" s="40" t="n">
        <x:f>ABS(K5762)</x:f>
        <x:v>0.10000000000000142</x:v>
      </x:c>
      <x:c r="M5762" s="41" t="str">
        <x:v>lstm-soil-v1</x:v>
      </x:c>
    </x:row>
    <x:row r="5763">
      <x:c r="A5763" s="38" t="str">
        <x:v>7月30日现场数据</x:v>
      </x:c>
      <x:c r="B5763" s="39" t="str">
        <x:v>2026-08-05T13:30:00</x:v>
      </x:c>
      <x:c r="C5763" s="39" t="str">
        <x:v>2026-08-05T14:30:00</x:v>
      </x:c>
      <x:c r="D5763" s="47" t="n">
        <x:v>60</x:v>
      </x:c>
      <x:c r="E5763" s="40" t="n">
        <x:v>18.4</x:v>
      </x:c>
      <x:c r="F5763" s="40" t="n">
        <x:v>19.317832946777344</x:v>
      </x:c>
      <x:c r="G5763" s="40" t="n">
        <x:v>18.5</x:v>
      </x:c>
      <x:c r="H5763" s="40" t="n">
        <x:f>F5763-E5763</x:f>
        <x:v>0.9178329467773452</x:v>
      </x:c>
      <x:c r="I5763" s="40" t="n">
        <x:f>ABS(H5763)</x:f>
        <x:v>0.9178329467773452</x:v>
      </x:c>
      <x:c r="J5763" s="40" t="n">
        <x:f>H5763^2</x:f>
        <x:v>0.8424173181899849</x:v>
      </x:c>
      <x:c r="K5763" s="40" t="n">
        <x:f>G5763-E5763</x:f>
        <x:v>0.10000000000000142</x:v>
      </x:c>
      <x:c r="L5763" s="40" t="n">
        <x:f>ABS(K5763)</x:f>
        <x:v>0.10000000000000142</x:v>
      </x:c>
      <x:c r="M5763" s="41" t="str">
        <x:v>lstm-soil-v1</x:v>
      </x:c>
    </x:row>
    <x:row r="5764">
      <x:c r="A5764" s="38" t="str">
        <x:v>7月30日现场数据</x:v>
      </x:c>
      <x:c r="B5764" s="39" t="str">
        <x:v>2026-08-05T13:35:00</x:v>
      </x:c>
      <x:c r="C5764" s="39" t="str">
        <x:v>2026-08-05T13:40:00</x:v>
      </x:c>
      <x:c r="D5764" s="47" t="n">
        <x:v>5</x:v>
      </x:c>
      <x:c r="E5764" s="40" t="n">
        <x:v>18.5</x:v>
      </x:c>
      <x:c r="F5764" s="40" t="n">
        <x:v>17.158035278320312</x:v>
      </x:c>
      <x:c r="G5764" s="40" t="n">
        <x:v>18.5</x:v>
      </x:c>
      <x:c r="H5764" s="40" t="n">
        <x:f>F5764-E5764</x:f>
        <x:v>-1.3419647216796875</x:v>
      </x:c>
      <x:c r="I5764" s="40" t="n">
        <x:f>ABS(H5764)</x:f>
        <x:v>1.3419647216796875</x:v>
      </x:c>
      <x:c r="J5764" s="40" t="n">
        <x:f>H5764^2</x:f>
        <x:v>1.8008693142328411</x:v>
      </x:c>
      <x:c r="K5764" s="40" t="n">
        <x:f>G5764-E5764</x:f>
        <x:v>0</x:v>
      </x:c>
      <x:c r="L5764" s="40" t="n">
        <x:f>ABS(K5764)</x:f>
        <x:v>0</x:v>
      </x:c>
      <x:c r="M5764" s="41" t="str">
        <x:v>lstm-soil-v1</x:v>
      </x:c>
    </x:row>
    <x:row r="5765">
      <x:c r="A5765" s="38" t="str">
        <x:v>7月30日现场数据</x:v>
      </x:c>
      <x:c r="B5765" s="39" t="str">
        <x:v>2026-08-05T13:35:00</x:v>
      </x:c>
      <x:c r="C5765" s="39" t="str">
        <x:v>2026-08-05T13:50:00</x:v>
      </x:c>
      <x:c r="D5765" s="47" t="n">
        <x:v>15</x:v>
      </x:c>
      <x:c r="E5765" s="40" t="n">
        <x:v>18.5</x:v>
      </x:c>
      <x:c r="F5765" s="40" t="n">
        <x:v>17.226516723632812</x:v>
      </x:c>
      <x:c r="G5765" s="40" t="n">
        <x:v>18.5</x:v>
      </x:c>
      <x:c r="H5765" s="40" t="n">
        <x:f>F5765-E5765</x:f>
        <x:v>-1.2734832763671875</x:v>
      </x:c>
      <x:c r="I5765" s="40" t="n">
        <x:f>ABS(H5765)</x:f>
        <x:v>1.2734832763671875</x:v>
      </x:c>
      <x:c r="J5765" s="40" t="n">
        <x:f>H5765^2</x:f>
        <x:v>1.6217596551869065</x:v>
      </x:c>
      <x:c r="K5765" s="40" t="n">
        <x:f>G5765-E5765</x:f>
        <x:v>0</x:v>
      </x:c>
      <x:c r="L5765" s="40" t="n">
        <x:f>ABS(K5765)</x:f>
        <x:v>0</x:v>
      </x:c>
      <x:c r="M5765" s="41" t="str">
        <x:v>lstm-soil-v1</x:v>
      </x:c>
    </x:row>
    <x:row r="5766">
      <x:c r="A5766" s="38" t="str">
        <x:v>7月30日现场数据</x:v>
      </x:c>
      <x:c r="B5766" s="39" t="str">
        <x:v>2026-08-05T13:35:00</x:v>
      </x:c>
      <x:c r="C5766" s="39" t="str">
        <x:v>2026-08-05T14:05:00</x:v>
      </x:c>
      <x:c r="D5766" s="47" t="n">
        <x:v>30</x:v>
      </x:c>
      <x:c r="E5766" s="40" t="n">
        <x:v>18.4</x:v>
      </x:c>
      <x:c r="F5766" s="40" t="n">
        <x:v>17.55353546142578</x:v>
      </x:c>
      <x:c r="G5766" s="40" t="n">
        <x:v>18.5</x:v>
      </x:c>
      <x:c r="H5766" s="40" t="n">
        <x:f>F5766-E5766</x:f>
        <x:v>-0.8464645385742173</x:v>
      </x:c>
      <x:c r="I5766" s="40" t="n">
        <x:f>ABS(H5766)</x:f>
        <x:v>0.8464645385742173</x:v>
      </x:c>
      <x:c r="J5766" s="40" t="n">
        <x:f>H5766^2</x:f>
        <x:v>0.7165022150636626</x:v>
      </x:c>
      <x:c r="K5766" s="40" t="n">
        <x:f>G5766-E5766</x:f>
        <x:v>0.10000000000000142</x:v>
      </x:c>
      <x:c r="L5766" s="40" t="n">
        <x:f>ABS(K5766)</x:f>
        <x:v>0.10000000000000142</x:v>
      </x:c>
      <x:c r="M5766" s="41" t="str">
        <x:v>lstm-soil-v1</x:v>
      </x:c>
    </x:row>
    <x:row r="5767">
      <x:c r="A5767" s="38" t="str">
        <x:v>7月30日现场数据</x:v>
      </x:c>
      <x:c r="B5767" s="39" t="str">
        <x:v>2026-08-05T13:35:00</x:v>
      </x:c>
      <x:c r="C5767" s="39" t="str">
        <x:v>2026-08-05T14:35:00</x:v>
      </x:c>
      <x:c r="D5767" s="47" t="n">
        <x:v>60</x:v>
      </x:c>
      <x:c r="E5767" s="40" t="n">
        <x:v>18.3</x:v>
      </x:c>
      <x:c r="F5767" s="40" t="n">
        <x:v>19.314861297607422</x:v>
      </x:c>
      <x:c r="G5767" s="40" t="n">
        <x:v>18.5</x:v>
      </x:c>
      <x:c r="H5767" s="40" t="n">
        <x:f>F5767-E5767</x:f>
        <x:v>1.0148612976074212</x:v>
      </x:c>
      <x:c r="I5767" s="40" t="n">
        <x:f>ABS(H5767)</x:f>
        <x:v>1.0148612976074212</x:v>
      </x:c>
      <x:c r="J5767" s="40" t="n">
        <x:f>H5767^2</x:f>
        <x:v>1.0299434533814187</x:v>
      </x:c>
      <x:c r="K5767" s="40" t="n">
        <x:f>G5767-E5767</x:f>
        <x:v>0.1999999999999993</x:v>
      </x:c>
      <x:c r="L5767" s="40" t="n">
        <x:f>ABS(K5767)</x:f>
        <x:v>0.1999999999999993</x:v>
      </x:c>
      <x:c r="M5767" s="41" t="str">
        <x:v>lstm-soil-v1</x:v>
      </x:c>
    </x:row>
    <x:row r="5768">
      <x:c r="A5768" s="38" t="str">
        <x:v>7月30日现场数据</x:v>
      </x:c>
      <x:c r="B5768" s="39" t="str">
        <x:v>2026-08-05T13:40:00</x:v>
      </x:c>
      <x:c r="C5768" s="39" t="str">
        <x:v>2026-08-05T13:45:00</x:v>
      </x:c>
      <x:c r="D5768" s="47" t="n">
        <x:v>5</x:v>
      </x:c>
      <x:c r="E5768" s="40" t="n">
        <x:v>18.5</x:v>
      </x:c>
      <x:c r="F5768" s="40" t="n">
        <x:v>17.158035278320312</x:v>
      </x:c>
      <x:c r="G5768" s="40" t="n">
        <x:v>18.5</x:v>
      </x:c>
      <x:c r="H5768" s="40" t="n">
        <x:f>F5768-E5768</x:f>
        <x:v>-1.3419647216796875</x:v>
      </x:c>
      <x:c r="I5768" s="40" t="n">
        <x:f>ABS(H5768)</x:f>
        <x:v>1.3419647216796875</x:v>
      </x:c>
      <x:c r="J5768" s="40" t="n">
        <x:f>H5768^2</x:f>
        <x:v>1.8008693142328411</x:v>
      </x:c>
      <x:c r="K5768" s="40" t="n">
        <x:f>G5768-E5768</x:f>
        <x:v>0</x:v>
      </x:c>
      <x:c r="L5768" s="40" t="n">
        <x:f>ABS(K5768)</x:f>
        <x:v>0</x:v>
      </x:c>
      <x:c r="M5768" s="41" t="str">
        <x:v>lstm-soil-v1</x:v>
      </x:c>
    </x:row>
    <x:row r="5769">
      <x:c r="A5769" s="38" t="str">
        <x:v>7月30日现场数据</x:v>
      </x:c>
      <x:c r="B5769" s="39" t="str">
        <x:v>2026-08-05T13:40:00</x:v>
      </x:c>
      <x:c r="C5769" s="39" t="str">
        <x:v>2026-08-05T13:55:00</x:v>
      </x:c>
      <x:c r="D5769" s="47" t="n">
        <x:v>15</x:v>
      </x:c>
      <x:c r="E5769" s="40" t="n">
        <x:v>18.4</x:v>
      </x:c>
      <x:c r="F5769" s="40" t="n">
        <x:v>17.226600646972656</x:v>
      </x:c>
      <x:c r="G5769" s="40" t="n">
        <x:v>18.5</x:v>
      </x:c>
      <x:c r="H5769" s="40" t="n">
        <x:f>F5769-E5769</x:f>
        <x:v>-1.1733993530273423</x:v>
      </x:c>
      <x:c r="I5769" s="40" t="n">
        <x:f>ABS(H5769)</x:f>
        <x:v>1.1733993530273423</x:v>
      </x:c>
      <x:c r="J5769" s="40" t="n">
        <x:f>H5769^2</x:f>
        <x:v>1.3768660416849856</x:v>
      </x:c>
      <x:c r="K5769" s="40" t="n">
        <x:f>G5769-E5769</x:f>
        <x:v>0.10000000000000142</x:v>
      </x:c>
      <x:c r="L5769" s="40" t="n">
        <x:f>ABS(K5769)</x:f>
        <x:v>0.10000000000000142</x:v>
      </x:c>
      <x:c r="M5769" s="41" t="str">
        <x:v>lstm-soil-v1</x:v>
      </x:c>
    </x:row>
    <x:row r="5770">
      <x:c r="A5770" s="38" t="str">
        <x:v>7月30日现场数据</x:v>
      </x:c>
      <x:c r="B5770" s="39" t="str">
        <x:v>2026-08-05T13:40:00</x:v>
      </x:c>
      <x:c r="C5770" s="39" t="str">
        <x:v>2026-08-05T14:10:00</x:v>
      </x:c>
      <x:c r="D5770" s="47" t="n">
        <x:v>30</x:v>
      </x:c>
      <x:c r="E5770" s="40" t="n">
        <x:v>18.4</x:v>
      </x:c>
      <x:c r="F5770" s="40" t="n">
        <x:v>17.553802490234375</x:v>
      </x:c>
      <x:c r="G5770" s="40" t="n">
        <x:v>18.5</x:v>
      </x:c>
      <x:c r="H5770" s="40" t="n">
        <x:f>F5770-E5770</x:f>
        <x:v>-0.8461975097656236</x:v>
      </x:c>
      <x:c r="I5770" s="40" t="n">
        <x:f>ABS(H5770)</x:f>
        <x:v>0.8461975097656236</x:v>
      </x:c>
      <x:c r="J5770" s="40" t="n">
        <x:f>H5770^2</x:f>
        <x:v>0.7160502255335426</x:v>
      </x:c>
      <x:c r="K5770" s="40" t="n">
        <x:f>G5770-E5770</x:f>
        <x:v>0.10000000000000142</x:v>
      </x:c>
      <x:c r="L5770" s="40" t="n">
        <x:f>ABS(K5770)</x:f>
        <x:v>0.10000000000000142</x:v>
      </x:c>
      <x:c r="M5770" s="41" t="str">
        <x:v>lstm-soil-v1</x:v>
      </x:c>
    </x:row>
    <x:row r="5771">
      <x:c r="A5771" s="38" t="str">
        <x:v>7月30日现场数据</x:v>
      </x:c>
      <x:c r="B5771" s="39" t="str">
        <x:v>2026-08-05T13:40:00</x:v>
      </x:c>
      <x:c r="C5771" s="39" t="str">
        <x:v>2026-08-05T14:40:00</x:v>
      </x:c>
      <x:c r="D5771" s="47" t="n">
        <x:v>60</x:v>
      </x:c>
      <x:c r="E5771" s="40" t="n">
        <x:v>18.3</x:v>
      </x:c>
      <x:c r="F5771" s="40" t="n">
        <x:v>19.31521224975586</x:v>
      </x:c>
      <x:c r="G5771" s="40" t="n">
        <x:v>18.5</x:v>
      </x:c>
      <x:c r="H5771" s="40" t="n">
        <x:f>F5771-E5771</x:f>
        <x:v>1.0152122497558587</x:v>
      </x:c>
      <x:c r="I5771" s="40" t="n">
        <x:f>ABS(H5771)</x:f>
        <x:v>1.0152122497558587</x:v>
      </x:c>
      <x:c r="J5771" s="40" t="n">
        <x:f>H5771^2</x:f>
        <x:v>1.030655912054352</x:v>
      </x:c>
      <x:c r="K5771" s="40" t="n">
        <x:f>G5771-E5771</x:f>
        <x:v>0.1999999999999993</x:v>
      </x:c>
      <x:c r="L5771" s="40" t="n">
        <x:f>ABS(K5771)</x:f>
        <x:v>0.1999999999999993</x:v>
      </x:c>
      <x:c r="M5771" s="41" t="str">
        <x:v>lstm-soil-v1</x:v>
      </x:c>
    </x:row>
    <x:row r="5772">
      <x:c r="A5772" s="38" t="str">
        <x:v>7月30日现场数据</x:v>
      </x:c>
      <x:c r="B5772" s="39" t="str">
        <x:v>2026-08-05T13:45:00</x:v>
      </x:c>
      <x:c r="C5772" s="39" t="str">
        <x:v>2026-08-05T13:50:00</x:v>
      </x:c>
      <x:c r="D5772" s="47" t="n">
        <x:v>5</x:v>
      </x:c>
      <x:c r="E5772" s="40" t="n">
        <x:v>18.5</x:v>
      </x:c>
      <x:c r="F5772" s="40" t="n">
        <x:v>17.157100677490234</x:v>
      </x:c>
      <x:c r="G5772" s="40" t="n">
        <x:v>18.5</x:v>
      </x:c>
      <x:c r="H5772" s="40" t="n">
        <x:f>F5772-E5772</x:f>
        <x:v>-1.3428993225097656</x:v>
      </x:c>
      <x:c r="I5772" s="40" t="n">
        <x:f>ABS(H5772)</x:f>
        <x:v>1.3428993225097656</x:v>
      </x:c>
      <x:c r="J5772" s="40" t="n">
        <x:f>H5772^2</x:f>
        <x:v>1.8033785903971875</x:v>
      </x:c>
      <x:c r="K5772" s="40" t="n">
        <x:f>G5772-E5772</x:f>
        <x:v>0</x:v>
      </x:c>
      <x:c r="L5772" s="40" t="n">
        <x:f>ABS(K5772)</x:f>
        <x:v>0</x:v>
      </x:c>
      <x:c r="M5772" s="41" t="str">
        <x:v>lstm-soil-v1</x:v>
      </x:c>
    </x:row>
    <x:row r="5773">
      <x:c r="A5773" s="38" t="str">
        <x:v>7月30日现场数据</x:v>
      </x:c>
      <x:c r="B5773" s="39" t="str">
        <x:v>2026-08-05T13:45:00</x:v>
      </x:c>
      <x:c r="C5773" s="39" t="str">
        <x:v>2026-08-05T14:00:00</x:v>
      </x:c>
      <x:c r="D5773" s="47" t="n">
        <x:v>15</x:v>
      </x:c>
      <x:c r="E5773" s="40" t="n">
        <x:v>18.4</x:v>
      </x:c>
      <x:c r="F5773" s="40" t="n">
        <x:v>17.22710418701172</x:v>
      </x:c>
      <x:c r="G5773" s="40" t="n">
        <x:v>18.5</x:v>
      </x:c>
      <x:c r="H5773" s="40" t="n">
        <x:f>F5773-E5773</x:f>
        <x:v>-1.1728958129882798</x:v>
      </x:c>
      <x:c r="I5773" s="40" t="n">
        <x:f>ABS(H5773)</x:f>
        <x:v>1.1728958129882798</x:v>
      </x:c>
      <x:c r="J5773" s="40" t="n">
        <x:f>H5773^2</x:f>
        <x:v>1.3756845881254378</x:v>
      </x:c>
      <x:c r="K5773" s="40" t="n">
        <x:f>G5773-E5773</x:f>
        <x:v>0.10000000000000142</x:v>
      </x:c>
      <x:c r="L5773" s="40" t="n">
        <x:f>ABS(K5773)</x:f>
        <x:v>0.10000000000000142</x:v>
      </x:c>
      <x:c r="M5773" s="41" t="str">
        <x:v>lstm-soil-v1</x:v>
      </x:c>
    </x:row>
    <x:row r="5774">
      <x:c r="A5774" s="38" t="str">
        <x:v>7月30日现场数据</x:v>
      </x:c>
      <x:c r="B5774" s="39" t="str">
        <x:v>2026-08-05T13:45:00</x:v>
      </x:c>
      <x:c r="C5774" s="39" t="str">
        <x:v>2026-08-05T14:15:00</x:v>
      </x:c>
      <x:c r="D5774" s="47" t="n">
        <x:v>30</x:v>
      </x:c>
      <x:c r="E5774" s="40" t="n">
        <x:v>18.4</x:v>
      </x:c>
      <x:c r="F5774" s="40" t="n">
        <x:v>17.55364990234375</x:v>
      </x:c>
      <x:c r="G5774" s="40" t="n">
        <x:v>18.5</x:v>
      </x:c>
      <x:c r="H5774" s="40" t="n">
        <x:f>F5774-E5774</x:f>
        <x:v>-0.8463500976562486</x:v>
      </x:c>
      <x:c r="I5774" s="40" t="n">
        <x:f>ABS(H5774)</x:f>
        <x:v>0.8463500976562486</x:v>
      </x:c>
      <x:c r="J5774" s="40" t="n">
        <x:f>H5774^2</x:f>
        <x:v>0.7163084878027415</x:v>
      </x:c>
      <x:c r="K5774" s="40" t="n">
        <x:f>G5774-E5774</x:f>
        <x:v>0.10000000000000142</x:v>
      </x:c>
      <x:c r="L5774" s="40" t="n">
        <x:f>ABS(K5774)</x:f>
        <x:v>0.10000000000000142</x:v>
      </x:c>
      <x:c r="M5774" s="41" t="str">
        <x:v>lstm-soil-v1</x:v>
      </x:c>
    </x:row>
    <x:row r="5775">
      <x:c r="A5775" s="38" t="str">
        <x:v>7月30日现场数据</x:v>
      </x:c>
      <x:c r="B5775" s="39" t="str">
        <x:v>2026-08-05T13:45:00</x:v>
      </x:c>
      <x:c r="C5775" s="39" t="str">
        <x:v>2026-08-05T14:45:00</x:v>
      </x:c>
      <x:c r="D5775" s="47" t="n">
        <x:v>60</x:v>
      </x:c>
      <x:c r="E5775" s="40" t="n">
        <x:v>18.3</x:v>
      </x:c>
      <x:c r="F5775" s="40" t="n">
        <x:v>19.313007354736328</x:v>
      </x:c>
      <x:c r="G5775" s="40" t="n">
        <x:v>18.5</x:v>
      </x:c>
      <x:c r="H5775" s="40" t="n">
        <x:f>F5775-E5775</x:f>
        <x:v>1.0130073547363274</x:v>
      </x:c>
      <x:c r="I5775" s="40" t="n">
        <x:f>ABS(H5775)</x:f>
        <x:v>1.0130073547363274</x:v>
      </x:c>
      <x:c r="J5775" s="40" t="n">
        <x:f>H5775^2</x:f>
        <x:v>1.0261839007498914</x:v>
      </x:c>
      <x:c r="K5775" s="40" t="n">
        <x:f>G5775-E5775</x:f>
        <x:v>0.1999999999999993</x:v>
      </x:c>
      <x:c r="L5775" s="40" t="n">
        <x:f>ABS(K5775)</x:f>
        <x:v>0.1999999999999993</x:v>
      </x:c>
      <x:c r="M5775" s="41" t="str">
        <x:v>lstm-soil-v1</x:v>
      </x:c>
    </x:row>
    <x:row r="5776">
      <x:c r="A5776" s="38" t="str">
        <x:v>7月30日现场数据</x:v>
      </x:c>
      <x:c r="B5776" s="39" t="str">
        <x:v>2026-08-05T13:50:00</x:v>
      </x:c>
      <x:c r="C5776" s="39" t="str">
        <x:v>2026-08-05T13:55:00</x:v>
      </x:c>
      <x:c r="D5776" s="47" t="n">
        <x:v>5</x:v>
      </x:c>
      <x:c r="E5776" s="40" t="n">
        <x:v>18.4</x:v>
      </x:c>
      <x:c r="F5776" s="40" t="n">
        <x:v>17.155906677246094</x:v>
      </x:c>
      <x:c r="G5776" s="40" t="n">
        <x:v>18.5</x:v>
      </x:c>
      <x:c r="H5776" s="40" t="n">
        <x:f>F5776-E5776</x:f>
        <x:v>-1.2440933227539048</x:v>
      </x:c>
      <x:c r="I5776" s="40" t="n">
        <x:f>ABS(H5776)</x:f>
        <x:v>1.2440933227539048</x:v>
      </x:c>
      <x:c r="J5776" s="40" t="n">
        <x:f>H5776^2</x:f>
        <x:v>1.5477681957208516</x:v>
      </x:c>
      <x:c r="K5776" s="40" t="n">
        <x:f>G5776-E5776</x:f>
        <x:v>0.10000000000000142</x:v>
      </x:c>
      <x:c r="L5776" s="40" t="n">
        <x:f>ABS(K5776)</x:f>
        <x:v>0.10000000000000142</x:v>
      </x:c>
      <x:c r="M5776" s="41" t="str">
        <x:v>lstm-soil-v1</x:v>
      </x:c>
    </x:row>
    <x:row r="5777">
      <x:c r="A5777" s="38" t="str">
        <x:v>7月30日现场数据</x:v>
      </x:c>
      <x:c r="B5777" s="39" t="str">
        <x:v>2026-08-05T13:50:00</x:v>
      </x:c>
      <x:c r="C5777" s="39" t="str">
        <x:v>2026-08-05T14:05:00</x:v>
      </x:c>
      <x:c r="D5777" s="47" t="n">
        <x:v>15</x:v>
      </x:c>
      <x:c r="E5777" s="40" t="n">
        <x:v>18.4</x:v>
      </x:c>
      <x:c r="F5777" s="40" t="n">
        <x:v>17.22710418701172</x:v>
      </x:c>
      <x:c r="G5777" s="40" t="n">
        <x:v>18.5</x:v>
      </x:c>
      <x:c r="H5777" s="40" t="n">
        <x:f>F5777-E5777</x:f>
        <x:v>-1.1728958129882798</x:v>
      </x:c>
      <x:c r="I5777" s="40" t="n">
        <x:f>ABS(H5777)</x:f>
        <x:v>1.1728958129882798</x:v>
      </x:c>
      <x:c r="J5777" s="40" t="n">
        <x:f>H5777^2</x:f>
        <x:v>1.3756845881254378</x:v>
      </x:c>
      <x:c r="K5777" s="40" t="n">
        <x:f>G5777-E5777</x:f>
        <x:v>0.10000000000000142</x:v>
      </x:c>
      <x:c r="L5777" s="40" t="n">
        <x:f>ABS(K5777)</x:f>
        <x:v>0.10000000000000142</x:v>
      </x:c>
      <x:c r="M5777" s="41" t="str">
        <x:v>lstm-soil-v1</x:v>
      </x:c>
    </x:row>
    <x:row r="5778">
      <x:c r="A5778" s="38" t="str">
        <x:v>7月30日现场数据</x:v>
      </x:c>
      <x:c r="B5778" s="39" t="str">
        <x:v>2026-08-05T13:50:00</x:v>
      </x:c>
      <x:c r="C5778" s="39" t="str">
        <x:v>2026-08-05T14:20:00</x:v>
      </x:c>
      <x:c r="D5778" s="47" t="n">
        <x:v>30</x:v>
      </x:c>
      <x:c r="E5778" s="40" t="n">
        <x:v>18.4</x:v>
      </x:c>
      <x:c r="F5778" s="40" t="n">
        <x:v>17.552627563476562</x:v>
      </x:c>
      <x:c r="G5778" s="40" t="n">
        <x:v>18.5</x:v>
      </x:c>
      <x:c r="H5778" s="40" t="n">
        <x:f>F5778-E5778</x:f>
        <x:v>-0.8473724365234361</x:v>
      </x:c>
      <x:c r="I5778" s="40" t="n">
        <x:f>ABS(H5778)</x:f>
        <x:v>0.8473724365234361</x:v>
      </x:c>
      <x:c r="J5778" s="40" t="n">
        <x:f>H5778^2</x:f>
        <x:v>0.7180400461796647</x:v>
      </x:c>
      <x:c r="K5778" s="40" t="n">
        <x:f>G5778-E5778</x:f>
        <x:v>0.10000000000000142</x:v>
      </x:c>
      <x:c r="L5778" s="40" t="n">
        <x:f>ABS(K5778)</x:f>
        <x:v>0.10000000000000142</x:v>
      </x:c>
      <x:c r="M5778" s="41" t="str">
        <x:v>lstm-soil-v1</x:v>
      </x:c>
    </x:row>
    <x:row r="5779">
      <x:c r="A5779" s="38" t="str">
        <x:v>7月30日现场数据</x:v>
      </x:c>
      <x:c r="B5779" s="39" t="str">
        <x:v>2026-08-05T13:50:00</x:v>
      </x:c>
      <x:c r="C5779" s="39" t="str">
        <x:v>2026-08-05T14:50:00</x:v>
      </x:c>
      <x:c r="D5779" s="47" t="n">
        <x:v>60</x:v>
      </x:c>
      <x:c r="E5779" s="40" t="n">
        <x:v>18.3</x:v>
      </x:c>
      <x:c r="F5779" s="40" t="n">
        <x:v>19.310718536376953</x:v>
      </x:c>
      <x:c r="G5779" s="40" t="n">
        <x:v>18.5</x:v>
      </x:c>
      <x:c r="H5779" s="40" t="n">
        <x:f>F5779-E5779</x:f>
        <x:v>1.0107185363769524</x:v>
      </x:c>
      <x:c r="I5779" s="40" t="n">
        <x:f>ABS(H5779)</x:f>
        <x:v>1.0107185363769524</x:v>
      </x:c>
      <x:c r="J5779" s="40" t="n">
        <x:f>H5779^2</x:f>
        <x:v>1.0215519597759688</x:v>
      </x:c>
      <x:c r="K5779" s="40" t="n">
        <x:f>G5779-E5779</x:f>
        <x:v>0.1999999999999993</x:v>
      </x:c>
      <x:c r="L5779" s="40" t="n">
        <x:f>ABS(K5779)</x:f>
        <x:v>0.1999999999999993</x:v>
      </x:c>
      <x:c r="M5779" s="41" t="str">
        <x:v>lstm-soil-v1</x:v>
      </x:c>
    </x:row>
    <x:row r="5780">
      <x:c r="A5780" s="38" t="str">
        <x:v>7月30日现场数据</x:v>
      </x:c>
      <x:c r="B5780" s="39" t="str">
        <x:v>2026-08-05T13:55:00</x:v>
      </x:c>
      <x:c r="C5780" s="39" t="str">
        <x:v>2026-08-05T14:00:00</x:v>
      </x:c>
      <x:c r="D5780" s="47" t="n">
        <x:v>5</x:v>
      </x:c>
      <x:c r="E5780" s="40" t="n">
        <x:v>18.4</x:v>
      </x:c>
      <x:c r="F5780" s="40" t="n">
        <x:v>17.04460906982422</x:v>
      </x:c>
      <x:c r="G5780" s="40" t="n">
        <x:v>18.4</x:v>
      </x:c>
      <x:c r="H5780" s="40" t="n">
        <x:f>F5780-E5780</x:f>
        <x:v>-1.3553909301757798</x:v>
      </x:c>
      <x:c r="I5780" s="40" t="n">
        <x:f>ABS(H5780)</x:f>
        <x:v>1.3553909301757798</x:v>
      </x:c>
      <x:c r="J5780" s="40" t="n">
        <x:f>H5780^2</x:f>
        <x:v>1.8370845736027657</x:v>
      </x:c>
      <x:c r="K5780" s="40" t="n">
        <x:f>G5780-E5780</x:f>
        <x:v>0</x:v>
      </x:c>
      <x:c r="L5780" s="40" t="n">
        <x:f>ABS(K5780)</x:f>
        <x:v>0</x:v>
      </x:c>
      <x:c r="M5780" s="41" t="str">
        <x:v>lstm-soil-v1</x:v>
      </x:c>
    </x:row>
    <x:row r="5781">
      <x:c r="A5781" s="38" t="str">
        <x:v>7月30日现场数据</x:v>
      </x:c>
      <x:c r="B5781" s="39" t="str">
        <x:v>2026-08-05T13:55:00</x:v>
      </x:c>
      <x:c r="C5781" s="39" t="str">
        <x:v>2026-08-05T14:10:00</x:v>
      </x:c>
      <x:c r="D5781" s="47" t="n">
        <x:v>15</x:v>
      </x:c>
      <x:c r="E5781" s="40" t="n">
        <x:v>18.4</x:v>
      </x:c>
      <x:c r="F5781" s="40" t="n">
        <x:v>17.117267608642578</x:v>
      </x:c>
      <x:c r="G5781" s="40" t="n">
        <x:v>18.4</x:v>
      </x:c>
      <x:c r="H5781" s="40" t="n">
        <x:f>F5781-E5781</x:f>
        <x:v>-1.2827323913574205</x:v>
      </x:c>
      <x:c r="I5781" s="40" t="n">
        <x:f>ABS(H5781)</x:f>
        <x:v>1.2827323913574205</x:v>
      </x:c>
      <x:c r="J5781" s="40" t="n">
        <x:f>H5781^2</x:f>
        <x:v>1.6454023878375266</x:v>
      </x:c>
      <x:c r="K5781" s="40" t="n">
        <x:f>G5781-E5781</x:f>
        <x:v>0</x:v>
      </x:c>
      <x:c r="L5781" s="40" t="n">
        <x:f>ABS(K5781)</x:f>
        <x:v>0</x:v>
      </x:c>
      <x:c r="M5781" s="41" t="str">
        <x:v>lstm-soil-v1</x:v>
      </x:c>
    </x:row>
    <x:row r="5782">
      <x:c r="A5782" s="38" t="str">
        <x:v>7月30日现场数据</x:v>
      </x:c>
      <x:c r="B5782" s="39" t="str">
        <x:v>2026-08-05T13:55:00</x:v>
      </x:c>
      <x:c r="C5782" s="39" t="str">
        <x:v>2026-08-05T14:25:00</x:v>
      </x:c>
      <x:c r="D5782" s="47" t="n">
        <x:v>30</x:v>
      </x:c>
      <x:c r="E5782" s="40" t="n">
        <x:v>18.4</x:v>
      </x:c>
      <x:c r="F5782" s="40" t="n">
        <x:v>17.44186782836914</x:v>
      </x:c>
      <x:c r="G5782" s="40" t="n">
        <x:v>18.4</x:v>
      </x:c>
      <x:c r="H5782" s="40" t="n">
        <x:f>F5782-E5782</x:f>
        <x:v>-0.958132171630858</x:v>
      </x:c>
      <x:c r="I5782" s="40" t="n">
        <x:f>ABS(H5782)</x:f>
        <x:v>0.958132171630858</x:v>
      </x:c>
      <x:c r="J5782" s="40" t="n">
        <x:f>H5782^2</x:f>
        <x:v>0.9180172583140639</x:v>
      </x:c>
      <x:c r="K5782" s="40" t="n">
        <x:f>G5782-E5782</x:f>
        <x:v>0</x:v>
      </x:c>
      <x:c r="L5782" s="40" t="n">
        <x:f>ABS(K5782)</x:f>
        <x:v>0</x:v>
      </x:c>
      <x:c r="M5782" s="41" t="str">
        <x:v>lstm-soil-v1</x:v>
      </x:c>
    </x:row>
    <x:row r="5783">
      <x:c r="A5783" s="38" t="str">
        <x:v>7月30日现场数据</x:v>
      </x:c>
      <x:c r="B5783" s="39" t="str">
        <x:v>2026-08-05T13:55:00</x:v>
      </x:c>
      <x:c r="C5783" s="39" t="str">
        <x:v>2026-08-05T14:55:00</x:v>
      </x:c>
      <x:c r="D5783" s="47" t="n">
        <x:v>60</x:v>
      </x:c>
      <x:c r="E5783" s="40" t="n">
        <x:v>18.3</x:v>
      </x:c>
      <x:c r="F5783" s="40" t="n">
        <x:v>19.198524475097656</x:v>
      </x:c>
      <x:c r="G5783" s="40" t="n">
        <x:v>18.4</x:v>
      </x:c>
      <x:c r="H5783" s="40" t="n">
        <x:f>F5783-E5783</x:f>
        <x:v>0.8985244750976555</x:v>
      </x:c>
      <x:c r="I5783" s="40" t="n">
        <x:f>ABS(H5783)</x:f>
        <x:v>0.8985244750976555</x:v>
      </x:c>
      <x:c r="J5783" s="40" t="n">
        <x:f>H5783^2</x:f>
        <x:v>0.8073462323495174</x:v>
      </x:c>
      <x:c r="K5783" s="40" t="n">
        <x:f>G5783-E5783</x:f>
        <x:v>0.09999999999999787</x:v>
      </x:c>
      <x:c r="L5783" s="40" t="n">
        <x:f>ABS(K5783)</x:f>
        <x:v>0.09999999999999787</x:v>
      </x:c>
      <x:c r="M5783" s="41" t="str">
        <x:v>lstm-soil-v1</x:v>
      </x:c>
    </x:row>
    <x:row r="5784">
      <x:c r="A5784" s="38" t="str">
        <x:v>7月30日现场数据</x:v>
      </x:c>
      <x:c r="B5784" s="39" t="str">
        <x:v>2026-08-05T14:00:00</x:v>
      </x:c>
      <x:c r="C5784" s="39" t="str">
        <x:v>2026-08-05T14:05:00</x:v>
      </x:c>
      <x:c r="D5784" s="47" t="n">
        <x:v>5</x:v>
      </x:c>
      <x:c r="E5784" s="40" t="n">
        <x:v>18.4</x:v>
      </x:c>
      <x:c r="F5784" s="40" t="n">
        <x:v>17.048473358154297</x:v>
      </x:c>
      <x:c r="G5784" s="40" t="n">
        <x:v>18.4</x:v>
      </x:c>
      <x:c r="H5784" s="40" t="n">
        <x:f>F5784-E5784</x:f>
        <x:v>-1.3515266418457017</x:v>
      </x:c>
      <x:c r="I5784" s="40" t="n">
        <x:f>ABS(H5784)</x:f>
        <x:v>1.3515266418457017</x:v>
      </x:c>
      <x:c r="J5784" s="40" t="n">
        <x:f>H5784^2</x:f>
        <x:v>1.8266242636187195</x:v>
      </x:c>
      <x:c r="K5784" s="40" t="n">
        <x:f>G5784-E5784</x:f>
        <x:v>0</x:v>
      </x:c>
      <x:c r="L5784" s="40" t="n">
        <x:f>ABS(K5784)</x:f>
        <x:v>0</x:v>
      </x:c>
      <x:c r="M5784" s="41" t="str">
        <x:v>lstm-soil-v1</x:v>
      </x:c>
    </x:row>
    <x:row r="5785">
      <x:c r="A5785" s="38" t="str">
        <x:v>7月30日现场数据</x:v>
      </x:c>
      <x:c r="B5785" s="39" t="str">
        <x:v>2026-08-05T14:00:00</x:v>
      </x:c>
      <x:c r="C5785" s="39" t="str">
        <x:v>2026-08-05T14:15:00</x:v>
      </x:c>
      <x:c r="D5785" s="47" t="n">
        <x:v>15</x:v>
      </x:c>
      <x:c r="E5785" s="40" t="n">
        <x:v>18.4</x:v>
      </x:c>
      <x:c r="F5785" s="40" t="n">
        <x:v>17.120254516601562</x:v>
      </x:c>
      <x:c r="G5785" s="40" t="n">
        <x:v>18.4</x:v>
      </x:c>
      <x:c r="H5785" s="40" t="n">
        <x:f>F5785-E5785</x:f>
        <x:v>-1.279745483398436</x:v>
      </x:c>
      <x:c r="I5785" s="40" t="n">
        <x:f>ABS(H5785)</x:f>
        <x:v>1.279745483398436</x:v>
      </x:c>
      <x:c r="J5785" s="40" t="n">
        <x:f>H5785^2</x:f>
        <x:v>1.6377485022786968</x:v>
      </x:c>
      <x:c r="K5785" s="40" t="n">
        <x:f>G5785-E5785</x:f>
        <x:v>0</x:v>
      </x:c>
      <x:c r="L5785" s="40" t="n">
        <x:f>ABS(K5785)</x:f>
        <x:v>0</x:v>
      </x:c>
      <x:c r="M5785" s="41" t="str">
        <x:v>lstm-soil-v1</x:v>
      </x:c>
    </x:row>
    <x:row r="5786">
      <x:c r="A5786" s="38" t="str">
        <x:v>7月30日现场数据</x:v>
      </x:c>
      <x:c r="B5786" s="39" t="str">
        <x:v>2026-08-05T14:00:00</x:v>
      </x:c>
      <x:c r="C5786" s="39" t="str">
        <x:v>2026-08-05T14:30:00</x:v>
      </x:c>
      <x:c r="D5786" s="47" t="n">
        <x:v>30</x:v>
      </x:c>
      <x:c r="E5786" s="40" t="n">
        <x:v>18.4</x:v>
      </x:c>
      <x:c r="F5786" s="40" t="n">
        <x:v>17.44652557373047</x:v>
      </x:c>
      <x:c r="G5786" s="40" t="n">
        <x:v>18.4</x:v>
      </x:c>
      <x:c r="H5786" s="40" t="n">
        <x:f>F5786-E5786</x:f>
        <x:v>-0.9534744262695298</x:v>
      </x:c>
      <x:c r="I5786" s="40" t="n">
        <x:f>ABS(H5786)</x:f>
        <x:v>0.9534744262695298</x:v>
      </x:c>
      <x:c r="J5786" s="40" t="n">
        <x:f>H5786^2</x:f>
        <x:v>0.909113481550009</x:v>
      </x:c>
      <x:c r="K5786" s="40" t="n">
        <x:f>G5786-E5786</x:f>
        <x:v>0</x:v>
      </x:c>
      <x:c r="L5786" s="40" t="n">
        <x:f>ABS(K5786)</x:f>
        <x:v>0</x:v>
      </x:c>
      <x:c r="M5786" s="41" t="str">
        <x:v>lstm-soil-v1</x:v>
      </x:c>
    </x:row>
    <x:row r="5787">
      <x:c r="A5787" s="38" t="str">
        <x:v>7月30日现场数据</x:v>
      </x:c>
      <x:c r="B5787" s="39" t="str">
        <x:v>2026-08-05T14:00:00</x:v>
      </x:c>
      <x:c r="C5787" s="39" t="str">
        <x:v>2026-08-05T15:00:00</x:v>
      </x:c>
      <x:c r="D5787" s="47" t="n">
        <x:v>60</x:v>
      </x:c>
      <x:c r="E5787" s="40" t="n">
        <x:v>18.3</x:v>
      </x:c>
      <x:c r="F5787" s="40" t="n">
        <x:v>19.204299926757812</x:v>
      </x:c>
      <x:c r="G5787" s="40" t="n">
        <x:v>18.4</x:v>
      </x:c>
      <x:c r="H5787" s="40" t="n">
        <x:f>F5787-E5787</x:f>
        <x:v>0.9042999267578118</x:v>
      </x:c>
      <x:c r="I5787" s="40" t="n">
        <x:f>ABS(H5787)</x:f>
        <x:v>0.9042999267578118</x:v>
      </x:c>
      <x:c r="J5787" s="40" t="n">
        <x:f>H5787^2</x:f>
        <x:v>0.8177583575341838</x:v>
      </x:c>
      <x:c r="K5787" s="40" t="n">
        <x:f>G5787-E5787</x:f>
        <x:v>0.09999999999999787</x:v>
      </x:c>
      <x:c r="L5787" s="40" t="n">
        <x:f>ABS(K5787)</x:f>
        <x:v>0.09999999999999787</x:v>
      </x:c>
      <x:c r="M5787" s="41" t="str">
        <x:v>lstm-soil-v1</x:v>
      </x:c>
    </x:row>
    <x:row r="5788">
      <x:c r="A5788" s="38" t="str">
        <x:v>7月30日现场数据</x:v>
      </x:c>
      <x:c r="B5788" s="39" t="str">
        <x:v>2026-08-05T14:05:00</x:v>
      </x:c>
      <x:c r="C5788" s="39" t="str">
        <x:v>2026-08-05T14:10:00</x:v>
      </x:c>
      <x:c r="D5788" s="47" t="n">
        <x:v>5</x:v>
      </x:c>
      <x:c r="E5788" s="40" t="n">
        <x:v>18.4</x:v>
      </x:c>
      <x:c r="F5788" s="40" t="n">
        <x:v>17.05103302001953</x:v>
      </x:c>
      <x:c r="G5788" s="40" t="n">
        <x:v>18.4</x:v>
      </x:c>
      <x:c r="H5788" s="40" t="n">
        <x:f>F5788-E5788</x:f>
        <x:v>-1.3489669799804673</x:v>
      </x:c>
      <x:c r="I5788" s="40" t="n">
        <x:f>ABS(H5788)</x:f>
        <x:v>1.3489669799804673</x:v>
      </x:c>
      <x:c r="J5788" s="40" t="n">
        <x:f>H5788^2</x:f>
        <x:v>1.8197119130776225</x:v>
      </x:c>
      <x:c r="K5788" s="40" t="n">
        <x:f>G5788-E5788</x:f>
        <x:v>0</x:v>
      </x:c>
      <x:c r="L5788" s="40" t="n">
        <x:f>ABS(K5788)</x:f>
        <x:v>0</x:v>
      </x:c>
      <x:c r="M5788" s="41" t="str">
        <x:v>lstm-soil-v1</x:v>
      </x:c>
    </x:row>
    <x:row r="5789">
      <x:c r="A5789" s="38" t="str">
        <x:v>7月30日现场数据</x:v>
      </x:c>
      <x:c r="B5789" s="39" t="str">
        <x:v>2026-08-05T14:05:00</x:v>
      </x:c>
      <x:c r="C5789" s="39" t="str">
        <x:v>2026-08-05T14:20:00</x:v>
      </x:c>
      <x:c r="D5789" s="47" t="n">
        <x:v>15</x:v>
      </x:c>
      <x:c r="E5789" s="40" t="n">
        <x:v>18.4</x:v>
      </x:c>
      <x:c r="F5789" s="40" t="n">
        <x:v>17.12215805053711</x:v>
      </x:c>
      <x:c r="G5789" s="40" t="n">
        <x:v>18.4</x:v>
      </x:c>
      <x:c r="H5789" s="40" t="n">
        <x:f>F5789-E5789</x:f>
        <x:v>-1.2778419494628892</x:v>
      </x:c>
      <x:c r="I5789" s="40" t="n">
        <x:f>ABS(H5789)</x:f>
        <x:v>1.2778419494628892</x:v>
      </x:c>
      <x:c r="J5789" s="40" t="n">
        <x:f>H5789^2</x:f>
        <x:v>1.632880047807117</x:v>
      </x:c>
      <x:c r="K5789" s="40" t="n">
        <x:f>G5789-E5789</x:f>
        <x:v>0</x:v>
      </x:c>
      <x:c r="L5789" s="40" t="n">
        <x:f>ABS(K5789)</x:f>
        <x:v>0</x:v>
      </x:c>
      <x:c r="M5789" s="41" t="str">
        <x:v>lstm-soil-v1</x:v>
      </x:c>
    </x:row>
    <x:row r="5790">
      <x:c r="A5790" s="38" t="str">
        <x:v>7月30日现场数据</x:v>
      </x:c>
      <x:c r="B5790" s="39" t="str">
        <x:v>2026-08-05T14:05:00</x:v>
      </x:c>
      <x:c r="C5790" s="39" t="str">
        <x:v>2026-08-05T14:35:00</x:v>
      </x:c>
      <x:c r="D5790" s="47" t="n">
        <x:v>30</x:v>
      </x:c>
      <x:c r="E5790" s="40" t="n">
        <x:v>18.3</x:v>
      </x:c>
      <x:c r="F5790" s="40" t="n">
        <x:v>17.44812774658203</x:v>
      </x:c>
      <x:c r="G5790" s="40" t="n">
        <x:v>18.4</x:v>
      </x:c>
      <x:c r="H5790" s="40" t="n">
        <x:f>F5790-E5790</x:f>
        <x:v>-0.8518722534179695</x:v>
      </x:c>
      <x:c r="I5790" s="40" t="n">
        <x:f>ABS(H5790)</x:f>
        <x:v>0.8518722534179695</x:v>
      </x:c>
      <x:c r="J5790" s="40" t="n">
        <x:f>H5790^2</x:f>
        <x:v>0.7256863361434092</x:v>
      </x:c>
      <x:c r="K5790" s="40" t="n">
        <x:f>G5790-E5790</x:f>
        <x:v>0.09999999999999787</x:v>
      </x:c>
      <x:c r="L5790" s="40" t="n">
        <x:f>ABS(K5790)</x:f>
        <x:v>0.09999999999999787</x:v>
      </x:c>
      <x:c r="M5790" s="41" t="str">
        <x:v>lstm-soil-v1</x:v>
      </x:c>
    </x:row>
    <x:row r="5791">
      <x:c r="A5791" s="38" t="str">
        <x:v>7月30日现场数据</x:v>
      </x:c>
      <x:c r="B5791" s="39" t="str">
        <x:v>2026-08-05T14:05:00</x:v>
      </x:c>
      <x:c r="C5791" s="39" t="str">
        <x:v>2026-08-05T15:05:00</x:v>
      </x:c>
      <x:c r="D5791" s="47" t="n">
        <x:v>60</x:v>
      </x:c>
      <x:c r="E5791" s="40" t="n">
        <x:v>18.3</x:v>
      </x:c>
      <x:c r="F5791" s="40" t="n">
        <x:v>19.208538055419922</x:v>
      </x:c>
      <x:c r="G5791" s="40" t="n">
        <x:v>18.4</x:v>
      </x:c>
      <x:c r="H5791" s="40" t="n">
        <x:f>F5791-E5791</x:f>
        <x:v>0.9085380554199212</x:v>
      </x:c>
      <x:c r="I5791" s="40" t="n">
        <x:f>ABS(H5791)</x:f>
        <x:v>0.9085380554199212</x:v>
      </x:c>
      <x:c r="J5791" s="40" t="n">
        <x:f>H5791^2</x:f>
        <x:v>0.8254413981462118</x:v>
      </x:c>
      <x:c r="K5791" s="40" t="n">
        <x:f>G5791-E5791</x:f>
        <x:v>0.09999999999999787</x:v>
      </x:c>
      <x:c r="L5791" s="40" t="n">
        <x:f>ABS(K5791)</x:f>
        <x:v>0.09999999999999787</x:v>
      </x:c>
      <x:c r="M5791" s="41" t="str">
        <x:v>lstm-soil-v1</x:v>
      </x:c>
    </x:row>
    <x:row r="5792">
      <x:c r="A5792" s="38" t="str">
        <x:v>7月30日现场数据</x:v>
      </x:c>
      <x:c r="B5792" s="39" t="str">
        <x:v>2026-08-05T14:10:00</x:v>
      </x:c>
      <x:c r="C5792" s="39" t="str">
        <x:v>2026-08-05T14:15:00</x:v>
      </x:c>
      <x:c r="D5792" s="47" t="n">
        <x:v>5</x:v>
      </x:c>
      <x:c r="E5792" s="40" t="n">
        <x:v>18.4</x:v>
      </x:c>
      <x:c r="F5792" s="40" t="n">
        <x:v>17.050434112548828</x:v>
      </x:c>
      <x:c r="G5792" s="40" t="n">
        <x:v>18.4</x:v>
      </x:c>
      <x:c r="H5792" s="40" t="n">
        <x:f>F5792-E5792</x:f>
        <x:v>-1.3495658874511705</x:v>
      </x:c>
      <x:c r="I5792" s="40" t="n">
        <x:f>ABS(H5792)</x:f>
        <x:v>1.3495658874511705</x:v>
      </x:c>
      <x:c r="J5792" s="40" t="n">
        <x:f>H5792^2</x:f>
        <x:v>1.8213280845718653</x:v>
      </x:c>
      <x:c r="K5792" s="40" t="n">
        <x:f>G5792-E5792</x:f>
        <x:v>0</x:v>
      </x:c>
      <x:c r="L5792" s="40" t="n">
        <x:f>ABS(K5792)</x:f>
        <x:v>0</x:v>
      </x:c>
      <x:c r="M5792" s="41" t="str">
        <x:v>lstm-soil-v1</x:v>
      </x:c>
    </x:row>
    <x:row r="5793">
      <x:c r="A5793" s="38" t="str">
        <x:v>7月30日现场数据</x:v>
      </x:c>
      <x:c r="B5793" s="39" t="str">
        <x:v>2026-08-05T14:10:00</x:v>
      </x:c>
      <x:c r="C5793" s="39" t="str">
        <x:v>2026-08-05T14:25:00</x:v>
      </x:c>
      <x:c r="D5793" s="47" t="n">
        <x:v>15</x:v>
      </x:c>
      <x:c r="E5793" s="40" t="n">
        <x:v>18.4</x:v>
      </x:c>
      <x:c r="F5793" s="40" t="n">
        <x:v>17.123119354248047</x:v>
      </x:c>
      <x:c r="G5793" s="40" t="n">
        <x:v>18.4</x:v>
      </x:c>
      <x:c r="H5793" s="40" t="n">
        <x:f>F5793-E5793</x:f>
        <x:v>-1.2768806457519517</x:v>
      </x:c>
      <x:c r="I5793" s="40" t="n">
        <x:f>ABS(H5793)</x:f>
        <x:v>1.2768806457519517</x:v>
      </x:c>
      <x:c r="J5793" s="40" t="n">
        <x:f>H5793^2</x:f>
        <x:v>1.6304241834959212</x:v>
      </x:c>
      <x:c r="K5793" s="40" t="n">
        <x:f>G5793-E5793</x:f>
        <x:v>0</x:v>
      </x:c>
      <x:c r="L5793" s="40" t="n">
        <x:f>ABS(K5793)</x:f>
        <x:v>0</x:v>
      </x:c>
      <x:c r="M5793" s="41" t="str">
        <x:v>lstm-soil-v1</x:v>
      </x:c>
    </x:row>
    <x:row r="5794">
      <x:c r="A5794" s="38" t="str">
        <x:v>7月30日现场数据</x:v>
      </x:c>
      <x:c r="B5794" s="39" t="str">
        <x:v>2026-08-05T14:10:00</x:v>
      </x:c>
      <x:c r="C5794" s="39" t="str">
        <x:v>2026-08-05T14:40:00</x:v>
      </x:c>
      <x:c r="D5794" s="47" t="n">
        <x:v>30</x:v>
      </x:c>
      <x:c r="E5794" s="40" t="n">
        <x:v>18.3</x:v>
      </x:c>
      <x:c r="F5794" s="40" t="n">
        <x:v>17.44622802734375</x:v>
      </x:c>
      <x:c r="G5794" s="40" t="n">
        <x:v>18.4</x:v>
      </x:c>
      <x:c r="H5794" s="40" t="n">
        <x:f>F5794-E5794</x:f>
        <x:v>-0.8537719726562507</x:v>
      </x:c>
      <x:c r="I5794" s="40" t="n">
        <x:f>ABS(H5794)</x:f>
        <x:v>0.8537719726562507</x:v>
      </x:c>
      <x:c r="J5794" s="40" t="n">
        <x:f>H5794^2</x:f>
        <x:v>0.7289265812933458</x:v>
      </x:c>
      <x:c r="K5794" s="40" t="n">
        <x:f>G5794-E5794</x:f>
        <x:v>0.09999999999999787</x:v>
      </x:c>
      <x:c r="L5794" s="40" t="n">
        <x:f>ABS(K5794)</x:f>
        <x:v>0.09999999999999787</x:v>
      </x:c>
      <x:c r="M5794" s="41" t="str">
        <x:v>lstm-soil-v1</x:v>
      </x:c>
    </x:row>
    <x:row r="5795">
      <x:c r="A5795" s="38" t="str">
        <x:v>7月30日现场数据</x:v>
      </x:c>
      <x:c r="B5795" s="39" t="str">
        <x:v>2026-08-05T14:10:00</x:v>
      </x:c>
      <x:c r="C5795" s="39" t="str">
        <x:v>2026-08-05T15:10:00</x:v>
      </x:c>
      <x:c r="D5795" s="47" t="n">
        <x:v>60</x:v>
      </x:c>
      <x:c r="E5795" s="40" t="n">
        <x:v>18.3</x:v>
      </x:c>
      <x:c r="F5795" s="40" t="n">
        <x:v>19.207836151123047</x:v>
      </x:c>
      <x:c r="G5795" s="40" t="n">
        <x:v>18.4</x:v>
      </x:c>
      <x:c r="H5795" s="40" t="n">
        <x:f>F5795-E5795</x:f>
        <x:v>0.9078361511230462</x:v>
      </x:c>
      <x:c r="I5795" s="40" t="n">
        <x:f>ABS(H5795)</x:f>
        <x:v>0.9078361511230462</x:v>
      </x:c>
      <x:c r="J5795" s="40" t="n">
        <x:f>H5795^2</x:f>
        <x:v>0.8241664772859063</x:v>
      </x:c>
      <x:c r="K5795" s="40" t="n">
        <x:f>G5795-E5795</x:f>
        <x:v>0.09999999999999787</x:v>
      </x:c>
      <x:c r="L5795" s="40" t="n">
        <x:f>ABS(K5795)</x:f>
        <x:v>0.09999999999999787</x:v>
      </x:c>
      <x:c r="M5795" s="41" t="str">
        <x:v>lstm-soil-v1</x:v>
      </x:c>
    </x:row>
    <x:row r="5796">
      <x:c r="A5796" s="38" t="str">
        <x:v>7月30日现场数据</x:v>
      </x:c>
      <x:c r="B5796" s="39" t="str">
        <x:v>2026-08-05T14:15:00</x:v>
      </x:c>
      <x:c r="C5796" s="39" t="str">
        <x:v>2026-08-05T14:20:00</x:v>
      </x:c>
      <x:c r="D5796" s="47" t="n">
        <x:v>5</x:v>
      </x:c>
      <x:c r="E5796" s="40" t="n">
        <x:v>18.4</x:v>
      </x:c>
      <x:c r="F5796" s="40" t="n">
        <x:v>17.05089569091797</x:v>
      </x:c>
      <x:c r="G5796" s="40" t="n">
        <x:v>18.4</x:v>
      </x:c>
      <x:c r="H5796" s="40" t="n">
        <x:f>F5796-E5796</x:f>
        <x:v>-1.3491043090820298</x:v>
      </x:c>
      <x:c r="I5796" s="40" t="n">
        <x:f>ABS(H5796)</x:f>
        <x:v>1.3491043090820298</x:v>
      </x:c>
      <x:c r="J5796" s="40" t="n">
        <x:f>H5796^2</x:f>
        <x:v>1.820082436783701</x:v>
      </x:c>
      <x:c r="K5796" s="40" t="n">
        <x:f>G5796-E5796</x:f>
        <x:v>0</x:v>
      </x:c>
      <x:c r="L5796" s="40" t="n">
        <x:f>ABS(K5796)</x:f>
        <x:v>0</x:v>
      </x:c>
      <x:c r="M5796" s="41" t="str">
        <x:v>lstm-soil-v1</x:v>
      </x:c>
    </x:row>
    <x:row r="5797">
      <x:c r="A5797" s="38" t="str">
        <x:v>7月30日现场数据</x:v>
      </x:c>
      <x:c r="B5797" s="39" t="str">
        <x:v>2026-08-05T14:15:00</x:v>
      </x:c>
      <x:c r="C5797" s="39" t="str">
        <x:v>2026-08-05T14:30:00</x:v>
      </x:c>
      <x:c r="D5797" s="47" t="n">
        <x:v>15</x:v>
      </x:c>
      <x:c r="E5797" s="40" t="n">
        <x:v>18.4</x:v>
      </x:c>
      <x:c r="F5797" s="40" t="n">
        <x:v>17.123390197753906</x:v>
      </x:c>
      <x:c r="G5797" s="40" t="n">
        <x:v>18.4</x:v>
      </x:c>
      <x:c r="H5797" s="40" t="n">
        <x:f>F5797-E5797</x:f>
        <x:v>-1.2766098022460923</x:v>
      </x:c>
      <x:c r="I5797" s="40" t="n">
        <x:f>ABS(H5797)</x:f>
        <x:v>1.2766098022460923</x:v>
      </x:c>
      <x:c r="J5797" s="40" t="n">
        <x:f>H5797^2</x:f>
        <x:v>1.629732587190807</x:v>
      </x:c>
      <x:c r="K5797" s="40" t="n">
        <x:f>G5797-E5797</x:f>
        <x:v>0</x:v>
      </x:c>
      <x:c r="L5797" s="40" t="n">
        <x:f>ABS(K5797)</x:f>
        <x:v>0</x:v>
      </x:c>
      <x:c r="M5797" s="41" t="str">
        <x:v>lstm-soil-v1</x:v>
      </x:c>
    </x:row>
    <x:row r="5798">
      <x:c r="A5798" s="38" t="str">
        <x:v>7月30日现场数据</x:v>
      </x:c>
      <x:c r="B5798" s="39" t="str">
        <x:v>2026-08-05T14:15:00</x:v>
      </x:c>
      <x:c r="C5798" s="39" t="str">
        <x:v>2026-08-05T14:45:00</x:v>
      </x:c>
      <x:c r="D5798" s="47" t="n">
        <x:v>30</x:v>
      </x:c>
      <x:c r="E5798" s="40" t="n">
        <x:v>18.3</x:v>
      </x:c>
      <x:c r="F5798" s="40" t="n">
        <x:v>17.4453125</x:v>
      </x:c>
      <x:c r="G5798" s="40" t="n">
        <x:v>18.4</x:v>
      </x:c>
      <x:c r="H5798" s="40" t="n">
        <x:f>F5798-E5798</x:f>
        <x:v>-0.8546875000000007</x:v>
      </x:c>
      <x:c r="I5798" s="40" t="n">
        <x:f>ABS(H5798)</x:f>
        <x:v>0.8546875000000007</x:v>
      </x:c>
      <x:c r="J5798" s="40" t="n">
        <x:f>H5798^2</x:f>
        <x:v>0.7304907226562513</x:v>
      </x:c>
      <x:c r="K5798" s="40" t="n">
        <x:f>G5798-E5798</x:f>
        <x:v>0.09999999999999787</x:v>
      </x:c>
      <x:c r="L5798" s="40" t="n">
        <x:f>ABS(K5798)</x:f>
        <x:v>0.09999999999999787</x:v>
      </x:c>
      <x:c r="M5798" s="41" t="str">
        <x:v>lstm-soil-v1</x:v>
      </x:c>
    </x:row>
    <x:row r="5799">
      <x:c r="A5799" s="38" t="str">
        <x:v>7月30日现场数据</x:v>
      </x:c>
      <x:c r="B5799" s="39" t="str">
        <x:v>2026-08-05T14:15:00</x:v>
      </x:c>
      <x:c r="C5799" s="39" t="str">
        <x:v>2026-08-05T15:15:00</x:v>
      </x:c>
      <x:c r="D5799" s="47" t="n">
        <x:v>60</x:v>
      </x:c>
      <x:c r="E5799" s="40" t="n">
        <x:v>18.3</x:v>
      </x:c>
      <x:c r="F5799" s="40" t="n">
        <x:v>19.20937728881836</x:v>
      </x:c>
      <x:c r="G5799" s="40" t="n">
        <x:v>18.4</x:v>
      </x:c>
      <x:c r="H5799" s="40" t="n">
        <x:f>F5799-E5799</x:f>
        <x:v>0.9093772888183587</x:v>
      </x:c>
      <x:c r="I5799" s="40" t="n">
        <x:f>ABS(H5799)</x:f>
        <x:v>0.9093772888183587</x:v>
      </x:c>
      <x:c r="J5799" s="40" t="n">
        <x:f>H5799^2</x:f>
        <x:v>0.8269670534186285</x:v>
      </x:c>
      <x:c r="K5799" s="40" t="n">
        <x:f>G5799-E5799</x:f>
        <x:v>0.09999999999999787</x:v>
      </x:c>
      <x:c r="L5799" s="40" t="n">
        <x:f>ABS(K5799)</x:f>
        <x:v>0.09999999999999787</x:v>
      </x:c>
      <x:c r="M5799" s="41" t="str">
        <x:v>lstm-soil-v1</x:v>
      </x:c>
    </x:row>
    <x:row r="5800">
      <x:c r="A5800" s="38" t="str">
        <x:v>7月30日现场数据</x:v>
      </x:c>
      <x:c r="B5800" s="39" t="str">
        <x:v>2026-08-05T14:20:00</x:v>
      </x:c>
      <x:c r="C5800" s="39" t="str">
        <x:v>2026-08-05T14:25:00</x:v>
      </x:c>
      <x:c r="D5800" s="47" t="n">
        <x:v>5</x:v>
      </x:c>
      <x:c r="E5800" s="40" t="n">
        <x:v>18.4</x:v>
      </x:c>
      <x:c r="F5800" s="40" t="n">
        <x:v>17.04928970336914</x:v>
      </x:c>
      <x:c r="G5800" s="40" t="n">
        <x:v>18.4</x:v>
      </x:c>
      <x:c r="H5800" s="40" t="n">
        <x:f>F5800-E5800</x:f>
        <x:v>-1.350710296630858</x:v>
      </x:c>
      <x:c r="I5800" s="40" t="n">
        <x:f>ABS(H5800)</x:f>
        <x:v>1.350710296630858</x:v>
      </x:c>
      <x:c r="J5800" s="40" t="n">
        <x:f>H5800^2</x:f>
        <x:v>1.8244183054246204</x:v>
      </x:c>
      <x:c r="K5800" s="40" t="n">
        <x:f>G5800-E5800</x:f>
        <x:v>0</x:v>
      </x:c>
      <x:c r="L5800" s="40" t="n">
        <x:f>ABS(K5800)</x:f>
        <x:v>0</x:v>
      </x:c>
      <x:c r="M5800" s="41" t="str">
        <x:v>lstm-soil-v1</x:v>
      </x:c>
    </x:row>
    <x:row r="5801">
      <x:c r="A5801" s="38" t="str">
        <x:v>7月30日现场数据</x:v>
      </x:c>
      <x:c r="B5801" s="39" t="str">
        <x:v>2026-08-05T14:20:00</x:v>
      </x:c>
      <x:c r="C5801" s="39" t="str">
        <x:v>2026-08-05T14:35:00</x:v>
      </x:c>
      <x:c r="D5801" s="47" t="n">
        <x:v>15</x:v>
      </x:c>
      <x:c r="E5801" s="40" t="n">
        <x:v>18.3</x:v>
      </x:c>
      <x:c r="F5801" s="40" t="n">
        <x:v>17.12407684326172</x:v>
      </x:c>
      <x:c r="G5801" s="40" t="n">
        <x:v>18.4</x:v>
      </x:c>
      <x:c r="H5801" s="40" t="n">
        <x:f>F5801-E5801</x:f>
        <x:v>-1.175923156738282</x:v>
      </x:c>
      <x:c r="I5801" s="40" t="n">
        <x:f>ABS(H5801)</x:f>
        <x:v>1.175923156738282</x:v>
      </x:c>
      <x:c r="J5801" s="40" t="n">
        <x:f>H5801^2</x:f>
        <x:v>1.382795270553326</x:v>
      </x:c>
      <x:c r="K5801" s="40" t="n">
        <x:f>G5801-E5801</x:f>
        <x:v>0.09999999999999787</x:v>
      </x:c>
      <x:c r="L5801" s="40" t="n">
        <x:f>ABS(K5801)</x:f>
        <x:v>0.09999999999999787</x:v>
      </x:c>
      <x:c r="M5801" s="41" t="str">
        <x:v>lstm-soil-v1</x:v>
      </x:c>
    </x:row>
    <x:row r="5802">
      <x:c r="A5802" s="38" t="str">
        <x:v>7月30日现场数据</x:v>
      </x:c>
      <x:c r="B5802" s="39" t="str">
        <x:v>2026-08-05T14:20:00</x:v>
      </x:c>
      <x:c r="C5802" s="39" t="str">
        <x:v>2026-08-05T14:50:00</x:v>
      </x:c>
      <x:c r="D5802" s="47" t="n">
        <x:v>30</x:v>
      </x:c>
      <x:c r="E5802" s="40" t="n">
        <x:v>18.3</x:v>
      </x:c>
      <x:c r="F5802" s="40" t="n">
        <x:v>17.443641662597656</x:v>
      </x:c>
      <x:c r="G5802" s="40" t="n">
        <x:v>18.4</x:v>
      </x:c>
      <x:c r="H5802" s="40" t="n">
        <x:f>F5802-E5802</x:f>
        <x:v>-0.8563583374023445</x:v>
      </x:c>
      <x:c r="I5802" s="40" t="n">
        <x:f>ABS(H5802)</x:f>
        <x:v>0.8563583374023445</x:v>
      </x:c>
      <x:c r="J5802" s="40" t="n">
        <x:f>H5802^2</x:f>
        <x:v>0.7333496020385076</x:v>
      </x:c>
      <x:c r="K5802" s="40" t="n">
        <x:f>G5802-E5802</x:f>
        <x:v>0.09999999999999787</x:v>
      </x:c>
      <x:c r="L5802" s="40" t="n">
        <x:f>ABS(K5802)</x:f>
        <x:v>0.09999999999999787</x:v>
      </x:c>
      <x:c r="M5802" s="41" t="str">
        <x:v>lstm-soil-v1</x:v>
      </x:c>
    </x:row>
    <x:row r="5803">
      <x:c r="A5803" s="38" t="str">
        <x:v>7月30日现场数据</x:v>
      </x:c>
      <x:c r="B5803" s="39" t="str">
        <x:v>2026-08-05T14:20:00</x:v>
      </x:c>
      <x:c r="C5803" s="39" t="str">
        <x:v>2026-08-05T15:20:00</x:v>
      </x:c>
      <x:c r="D5803" s="47" t="n">
        <x:v>60</x:v>
      </x:c>
      <x:c r="E5803" s="40" t="n">
        <x:v>18.3</x:v>
      </x:c>
      <x:c r="F5803" s="40" t="n">
        <x:v>19.206985473632812</x:v>
      </x:c>
      <x:c r="G5803" s="40" t="n">
        <x:v>18.4</x:v>
      </x:c>
      <x:c r="H5803" s="40" t="n">
        <x:f>F5803-E5803</x:f>
        <x:v>0.9069854736328118</x:v>
      </x:c>
      <x:c r="I5803" s="40" t="n">
        <x:f>ABS(H5803)</x:f>
        <x:v>0.9069854736328118</x:v>
      </x:c>
      <x:c r="J5803" s="40" t="n">
        <x:f>H5803^2</x:f>
        <x:v>0.8226226493809359</x:v>
      </x:c>
      <x:c r="K5803" s="40" t="n">
        <x:f>G5803-E5803</x:f>
        <x:v>0.09999999999999787</x:v>
      </x:c>
      <x:c r="L5803" s="40" t="n">
        <x:f>ABS(K5803)</x:f>
        <x:v>0.09999999999999787</x:v>
      </x:c>
      <x:c r="M5803" s="41" t="str">
        <x:v>lstm-soil-v1</x:v>
      </x:c>
    </x:row>
    <x:row r="5804">
      <x:c r="A5804" s="38" t="str">
        <x:v>7月30日现场数据</x:v>
      </x:c>
      <x:c r="B5804" s="39" t="str">
        <x:v>2026-08-05T14:25:00</x:v>
      </x:c>
      <x:c r="C5804" s="39" t="str">
        <x:v>2026-08-05T14:30:00</x:v>
      </x:c>
      <x:c r="D5804" s="47" t="n">
        <x:v>5</x:v>
      </x:c>
      <x:c r="E5804" s="40" t="n">
        <x:v>18.4</x:v>
      </x:c>
      <x:c r="F5804" s="40" t="n">
        <x:v>17.04785919189453</x:v>
      </x:c>
      <x:c r="G5804" s="40" t="n">
        <x:v>18.4</x:v>
      </x:c>
      <x:c r="H5804" s="40" t="n">
        <x:f>F5804-E5804</x:f>
        <x:v>-1.3521408081054673</x:v>
      </x:c>
      <x:c r="I5804" s="40" t="n">
        <x:f>ABS(H5804)</x:f>
        <x:v>1.3521408081054673</x:v>
      </x:c>
      <x:c r="J5804" s="40" t="n">
        <x:f>H5804^2</x:f>
        <x:v>1.8282847649441063</x:v>
      </x:c>
      <x:c r="K5804" s="40" t="n">
        <x:f>G5804-E5804</x:f>
        <x:v>0</x:v>
      </x:c>
      <x:c r="L5804" s="40" t="n">
        <x:f>ABS(K5804)</x:f>
        <x:v>0</x:v>
      </x:c>
      <x:c r="M5804" s="41" t="str">
        <x:v>lstm-soil-v1</x:v>
      </x:c>
    </x:row>
    <x:row r="5805">
      <x:c r="A5805" s="38" t="str">
        <x:v>7月30日现场数据</x:v>
      </x:c>
      <x:c r="B5805" s="39" t="str">
        <x:v>2026-08-05T14:25:00</x:v>
      </x:c>
      <x:c r="C5805" s="39" t="str">
        <x:v>2026-08-05T14:40:00</x:v>
      </x:c>
      <x:c r="D5805" s="47" t="n">
        <x:v>15</x:v>
      </x:c>
      <x:c r="E5805" s="40" t="n">
        <x:v>18.3</x:v>
      </x:c>
      <x:c r="F5805" s="40" t="n">
        <x:v>17.124378204345703</x:v>
      </x:c>
      <x:c r="G5805" s="40" t="n">
        <x:v>18.4</x:v>
      </x:c>
      <x:c r="H5805" s="40" t="n">
        <x:f>F5805-E5805</x:f>
        <x:v>-1.1756217956542976</x:v>
      </x:c>
      <x:c r="I5805" s="40" t="n">
        <x:f>ABS(H5805)</x:f>
        <x:v>1.1756217956542976</x:v>
      </x:c>
      <x:c r="J5805" s="40" t="n">
        <x:f>H5805^2</x:f>
        <x:v>1.382086606417435</x:v>
      </x:c>
      <x:c r="K5805" s="40" t="n">
        <x:f>G5805-E5805</x:f>
        <x:v>0.09999999999999787</x:v>
      </x:c>
      <x:c r="L5805" s="40" t="n">
        <x:f>ABS(K5805)</x:f>
        <x:v>0.09999999999999787</x:v>
      </x:c>
      <x:c r="M5805" s="41" t="str">
        <x:v>lstm-soil-v1</x:v>
      </x:c>
    </x:row>
    <x:row r="5806">
      <x:c r="A5806" s="38" t="str">
        <x:v>7月30日现场数据</x:v>
      </x:c>
      <x:c r="B5806" s="39" t="str">
        <x:v>2026-08-05T14:25:00</x:v>
      </x:c>
      <x:c r="C5806" s="39" t="str">
        <x:v>2026-08-05T14:55:00</x:v>
      </x:c>
      <x:c r="D5806" s="47" t="n">
        <x:v>30</x:v>
      </x:c>
      <x:c r="E5806" s="40" t="n">
        <x:v>18.3</x:v>
      </x:c>
      <x:c r="F5806" s="40" t="n">
        <x:v>17.44192123413086</x:v>
      </x:c>
      <x:c r="G5806" s="40" t="n">
        <x:v>18.4</x:v>
      </x:c>
      <x:c r="H5806" s="40" t="n">
        <x:f>F5806-E5806</x:f>
        <x:v>-0.8580787658691413</x:v>
      </x:c>
      <x:c r="I5806" s="40" t="n">
        <x:f>ABS(H5806)</x:f>
        <x:v>0.8580787658691413</x:v>
      </x:c>
      <x:c r="J5806" s="40" t="n">
        <x:f>H5806^2</x:f>
        <x:v>0.7362991684355087</x:v>
      </x:c>
      <x:c r="K5806" s="40" t="n">
        <x:f>G5806-E5806</x:f>
        <x:v>0.09999999999999787</x:v>
      </x:c>
      <x:c r="L5806" s="40" t="n">
        <x:f>ABS(K5806)</x:f>
        <x:v>0.09999999999999787</x:v>
      </x:c>
      <x:c r="M5806" s="41" t="str">
        <x:v>lstm-soil-v1</x:v>
      </x:c>
    </x:row>
    <x:row r="5807">
      <x:c r="A5807" s="38" t="str">
        <x:v>7月30日现场数据</x:v>
      </x:c>
      <x:c r="B5807" s="39" t="str">
        <x:v>2026-08-05T14:25:00</x:v>
      </x:c>
      <x:c r="C5807" s="39" t="str">
        <x:v>2026-08-05T15:25:00</x:v>
      </x:c>
      <x:c r="D5807" s="47" t="n">
        <x:v>60</x:v>
      </x:c>
      <x:c r="E5807" s="40" t="n">
        <x:v>18.2</x:v>
      </x:c>
      <x:c r="F5807" s="40" t="n">
        <x:v>19.20500946044922</x:v>
      </x:c>
      <x:c r="G5807" s="40" t="n">
        <x:v>18.4</x:v>
      </x:c>
      <x:c r="H5807" s="40" t="n">
        <x:f>F5807-E5807</x:f>
        <x:v>1.0050094604492195</x:v>
      </x:c>
      <x:c r="I5807" s="40" t="n">
        <x:f>ABS(H5807)</x:f>
        <x:v>1.0050094604492195</x:v>
      </x:c>
      <x:c r="J5807" s="40" t="n">
        <x:f>H5807^2</x:f>
        <x:v>1.0100440155924313</x:v>
      </x:c>
      <x:c r="K5807" s="40" t="n">
        <x:f>G5807-E5807</x:f>
        <x:v>0.1999999999999993</x:v>
      </x:c>
      <x:c r="L5807" s="40" t="n">
        <x:f>ABS(K5807)</x:f>
        <x:v>0.1999999999999993</x:v>
      </x:c>
      <x:c r="M5807" s="41" t="str">
        <x:v>lstm-soil-v1</x:v>
      </x:c>
    </x:row>
    <x:row r="5808">
      <x:c r="A5808" s="38" t="str">
        <x:v>7月30日现场数据</x:v>
      </x:c>
      <x:c r="B5808" s="39" t="str">
        <x:v>2026-08-05T14:30:00</x:v>
      </x:c>
      <x:c r="C5808" s="39" t="str">
        <x:v>2026-08-05T14:35:00</x:v>
      </x:c>
      <x:c r="D5808" s="47" t="n">
        <x:v>5</x:v>
      </x:c>
      <x:c r="E5808" s="40" t="n">
        <x:v>18.3</x:v>
      </x:c>
      <x:c r="F5808" s="40" t="n">
        <x:v>17.044559478759766</x:v>
      </x:c>
      <x:c r="G5808" s="40" t="n">
        <x:v>18.4</x:v>
      </x:c>
      <x:c r="H5808" s="40" t="n">
        <x:f>F5808-E5808</x:f>
        <x:v>-1.255440521240235</x:v>
      </x:c>
      <x:c r="I5808" s="40" t="n">
        <x:f>ABS(H5808)</x:f>
        <x:v>1.255440521240235</x:v>
      </x:c>
      <x:c r="J5808" s="40" t="n">
        <x:f>H5808^2</x:f>
        <x:v>1.5761309023719532</x:v>
      </x:c>
      <x:c r="K5808" s="40" t="n">
        <x:f>G5808-E5808</x:f>
        <x:v>0.09999999999999787</x:v>
      </x:c>
      <x:c r="L5808" s="40" t="n">
        <x:f>ABS(K5808)</x:f>
        <x:v>0.09999999999999787</x:v>
      </x:c>
      <x:c r="M5808" s="41" t="str">
        <x:v>lstm-soil-v1</x:v>
      </x:c>
    </x:row>
    <x:row r="5809">
      <x:c r="A5809" s="38" t="str">
        <x:v>7月30日现场数据</x:v>
      </x:c>
      <x:c r="B5809" s="39" t="str">
        <x:v>2026-08-05T14:30:00</x:v>
      </x:c>
      <x:c r="C5809" s="39" t="str">
        <x:v>2026-08-05T14:45:00</x:v>
      </x:c>
      <x:c r="D5809" s="47" t="n">
        <x:v>15</x:v>
      </x:c>
      <x:c r="E5809" s="40" t="n">
        <x:v>18.3</x:v>
      </x:c>
      <x:c r="F5809" s="40" t="n">
        <x:v>17.124290466308594</x:v>
      </x:c>
      <x:c r="G5809" s="40" t="n">
        <x:v>18.4</x:v>
      </x:c>
      <x:c r="H5809" s="40" t="n">
        <x:f>F5809-E5809</x:f>
        <x:v>-1.175709533691407</x:v>
      </x:c>
      <x:c r="I5809" s="40" t="n">
        <x:f>ABS(H5809)</x:f>
        <x:v>1.175709533691407</x:v>
      </x:c>
      <x:c r="J5809" s="40" t="n">
        <x:f>H5809^2</x:f>
        <x:v>1.3822929076128656</x:v>
      </x:c>
      <x:c r="K5809" s="40" t="n">
        <x:f>G5809-E5809</x:f>
        <x:v>0.09999999999999787</x:v>
      </x:c>
      <x:c r="L5809" s="40" t="n">
        <x:f>ABS(K5809)</x:f>
        <x:v>0.09999999999999787</x:v>
      </x:c>
      <x:c r="M5809" s="41" t="str">
        <x:v>lstm-soil-v1</x:v>
      </x:c>
    </x:row>
    <x:row r="5810">
      <x:c r="A5810" s="38" t="str">
        <x:v>7月30日现场数据</x:v>
      </x:c>
      <x:c r="B5810" s="39" t="str">
        <x:v>2026-08-05T14:30:00</x:v>
      </x:c>
      <x:c r="C5810" s="39" t="str">
        <x:v>2026-08-05T15:00:00</x:v>
      </x:c>
      <x:c r="D5810" s="47" t="n">
        <x:v>30</x:v>
      </x:c>
      <x:c r="E5810" s="40" t="n">
        <x:v>18.3</x:v>
      </x:c>
      <x:c r="F5810" s="40" t="n">
        <x:v>17.43804168701172</x:v>
      </x:c>
      <x:c r="G5810" s="40" t="n">
        <x:v>18.4</x:v>
      </x:c>
      <x:c r="H5810" s="40" t="n">
        <x:f>F5810-E5810</x:f>
        <x:v>-0.861958312988282</x:v>
      </x:c>
      <x:c r="I5810" s="40" t="n">
        <x:f>ABS(H5810)</x:f>
        <x:v>0.861958312988282</x:v>
      </x:c>
      <x:c r="J5810" s="40" t="n">
        <x:f>H5810^2</x:f>
        <x:v>0.7429721333296051</x:v>
      </x:c>
      <x:c r="K5810" s="40" t="n">
        <x:f>G5810-E5810</x:f>
        <x:v>0.09999999999999787</x:v>
      </x:c>
      <x:c r="L5810" s="40" t="n">
        <x:f>ABS(K5810)</x:f>
        <x:v>0.09999999999999787</x:v>
      </x:c>
      <x:c r="M5810" s="41" t="str">
        <x:v>lstm-soil-v1</x:v>
      </x:c>
    </x:row>
    <x:row r="5811">
      <x:c r="A5811" s="38" t="str">
        <x:v>7月30日现场数据</x:v>
      </x:c>
      <x:c r="B5811" s="39" t="str">
        <x:v>2026-08-05T14:30:00</x:v>
      </x:c>
      <x:c r="C5811" s="39" t="str">
        <x:v>2026-08-05T15:30:00</x:v>
      </x:c>
      <x:c r="D5811" s="47" t="n">
        <x:v>60</x:v>
      </x:c>
      <x:c r="E5811" s="40" t="n">
        <x:v>18.2</x:v>
      </x:c>
      <x:c r="F5811" s="40" t="n">
        <x:v>19.199005126953125</x:v>
      </x:c>
      <x:c r="G5811" s="40" t="n">
        <x:v>18.4</x:v>
      </x:c>
      <x:c r="H5811" s="40" t="n">
        <x:f>F5811-E5811</x:f>
        <x:v>0.9990051269531257</x:v>
      </x:c>
      <x:c r="I5811" s="40" t="n">
        <x:f>ABS(H5811)</x:f>
        <x:v>0.9990051269531257</x:v>
      </x:c>
      <x:c r="J5811" s="40" t="n">
        <x:f>H5811^2</x:f>
        <x:v>0.9980112436786308</x:v>
      </x:c>
      <x:c r="K5811" s="40" t="n">
        <x:f>G5811-E5811</x:f>
        <x:v>0.1999999999999993</x:v>
      </x:c>
      <x:c r="L5811" s="40" t="n">
        <x:f>ABS(K5811)</x:f>
        <x:v>0.1999999999999993</x:v>
      </x:c>
      <x:c r="M5811" s="41" t="str">
        <x:v>lstm-soil-v1</x:v>
      </x:c>
    </x:row>
    <x:row r="5812">
      <x:c r="A5812" s="38" t="str">
        <x:v>7月30日现场数据</x:v>
      </x:c>
      <x:c r="B5812" s="39" t="str">
        <x:v>2026-08-05T14:35:00</x:v>
      </x:c>
      <x:c r="C5812" s="39" t="str">
        <x:v>2026-08-05T14:40:00</x:v>
      </x:c>
      <x:c r="D5812" s="47" t="n">
        <x:v>5</x:v>
      </x:c>
      <x:c r="E5812" s="40" t="n">
        <x:v>18.3</x:v>
      </x:c>
      <x:c r="F5812" s="40" t="n">
        <x:v>16.931053161621094</x:v>
      </x:c>
      <x:c r="G5812" s="40" t="n">
        <x:v>18.3</x:v>
      </x:c>
      <x:c r="H5812" s="40" t="n">
        <x:f>F5812-E5812</x:f>
        <x:v>-1.368946838378907</x:v>
      </x:c>
      <x:c r="I5812" s="40" t="n">
        <x:f>ABS(H5812)</x:f>
        <x:v>1.368946838378907</x:v>
      </x:c>
      <x:c r="J5812" s="40" t="n">
        <x:f>H5812^2</x:f>
        <x:v>1.8740154463076053</x:v>
      </x:c>
      <x:c r="K5812" s="40" t="n">
        <x:f>G5812-E5812</x:f>
        <x:v>0</x:v>
      </x:c>
      <x:c r="L5812" s="40" t="n">
        <x:f>ABS(K5812)</x:f>
        <x:v>0</x:v>
      </x:c>
      <x:c r="M5812" s="41" t="str">
        <x:v>lstm-soil-v1</x:v>
      </x:c>
    </x:row>
    <x:row r="5813">
      <x:c r="A5813" s="38" t="str">
        <x:v>7月30日现场数据</x:v>
      </x:c>
      <x:c r="B5813" s="39" t="str">
        <x:v>2026-08-05T14:35:00</x:v>
      </x:c>
      <x:c r="C5813" s="39" t="str">
        <x:v>2026-08-05T14:50:00</x:v>
      </x:c>
      <x:c r="D5813" s="47" t="n">
        <x:v>15</x:v>
      </x:c>
      <x:c r="E5813" s="40" t="n">
        <x:v>18.3</x:v>
      </x:c>
      <x:c r="F5813" s="40" t="n">
        <x:v>17.012928009033203</x:v>
      </x:c>
      <x:c r="G5813" s="40" t="n">
        <x:v>18.3</x:v>
      </x:c>
      <x:c r="H5813" s="40" t="n">
        <x:f>F5813-E5813</x:f>
        <x:v>-1.2870719909667976</x:v>
      </x:c>
      <x:c r="I5813" s="40" t="n">
        <x:f>ABS(H5813)</x:f>
        <x:v>1.2870719909667976</x:v>
      </x:c>
      <x:c r="J5813" s="40" t="n">
        <x:f>H5813^2</x:f>
        <x:v>1.6565543099312363</x:v>
      </x:c>
      <x:c r="K5813" s="40" t="n">
        <x:f>G5813-E5813</x:f>
        <x:v>0</x:v>
      </x:c>
      <x:c r="L5813" s="40" t="n">
        <x:f>ABS(K5813)</x:f>
        <x:v>0</x:v>
      </x:c>
      <x:c r="M5813" s="41" t="str">
        <x:v>lstm-soil-v1</x:v>
      </x:c>
    </x:row>
    <x:row r="5814">
      <x:c r="A5814" s="38" t="str">
        <x:v>7月30日现场数据</x:v>
      </x:c>
      <x:c r="B5814" s="39" t="str">
        <x:v>2026-08-05T14:35:00</x:v>
      </x:c>
      <x:c r="C5814" s="39" t="str">
        <x:v>2026-08-05T15:05:00</x:v>
      </x:c>
      <x:c r="D5814" s="47" t="n">
        <x:v>30</x:v>
      </x:c>
      <x:c r="E5814" s="40" t="n">
        <x:v>18.3</x:v>
      </x:c>
      <x:c r="F5814" s="40" t="n">
        <x:v>17.323081970214844</x:v>
      </x:c>
      <x:c r="G5814" s="40" t="n">
        <x:v>18.3</x:v>
      </x:c>
      <x:c r="H5814" s="40" t="n">
        <x:f>F5814-E5814</x:f>
        <x:v>-0.976918029785157</x:v>
      </x:c>
      <x:c r="I5814" s="40" t="n">
        <x:f>ABS(H5814)</x:f>
        <x:v>0.976918029785157</x:v>
      </x:c>
      <x:c r="J5814" s="40" t="n">
        <x:f>H5814^2</x:f>
        <x:v>0.9543688369193128</x:v>
      </x:c>
      <x:c r="K5814" s="40" t="n">
        <x:f>G5814-E5814</x:f>
        <x:v>0</x:v>
      </x:c>
      <x:c r="L5814" s="40" t="n">
        <x:f>ABS(K5814)</x:f>
        <x:v>0</x:v>
      </x:c>
      <x:c r="M5814" s="41" t="str">
        <x:v>lstm-soil-v1</x:v>
      </x:c>
    </x:row>
    <x:row r="5815">
      <x:c r="A5815" s="38" t="str">
        <x:v>7月30日现场数据</x:v>
      </x:c>
      <x:c r="B5815" s="39" t="str">
        <x:v>2026-08-05T14:35:00</x:v>
      </x:c>
      <x:c r="C5815" s="39" t="str">
        <x:v>2026-08-05T15:35:00</x:v>
      </x:c>
      <x:c r="D5815" s="47" t="n">
        <x:v>60</x:v>
      </x:c>
      <x:c r="E5815" s="40" t="n">
        <x:v>18.2</x:v>
      </x:c>
      <x:c r="F5815" s="40" t="n">
        <x:v>19.083255767822266</x:v>
      </x:c>
      <x:c r="G5815" s="40" t="n">
        <x:v>18.3</x:v>
      </x:c>
      <x:c r="H5815" s="40" t="n">
        <x:f>F5815-E5815</x:f>
        <x:v>0.8832557678222663</x:v>
      </x:c>
      <x:c r="I5815" s="40" t="n">
        <x:f>ABS(H5815)</x:f>
        <x:v>0.8832557678222663</x:v>
      </x:c>
      <x:c r="J5815" s="40" t="n">
        <x:f>H5815^2</x:f>
        <x:v>0.7801407513913012</x:v>
      </x:c>
      <x:c r="K5815" s="40" t="n">
        <x:f>G5815-E5815</x:f>
        <x:v>0.10000000000000142</x:v>
      </x:c>
      <x:c r="L5815" s="40" t="n">
        <x:f>ABS(K5815)</x:f>
        <x:v>0.10000000000000142</x:v>
      </x:c>
      <x:c r="M5815" s="41" t="str">
        <x:v>lstm-soil-v1</x:v>
      </x:c>
    </x:row>
    <x:row r="5816">
      <x:c r="A5816" s="38" t="str">
        <x:v>7月30日现场数据</x:v>
      </x:c>
      <x:c r="B5816" s="39" t="str">
        <x:v>2026-08-05T14:40:00</x:v>
      </x:c>
      <x:c r="C5816" s="39" t="str">
        <x:v>2026-08-05T14:45:00</x:v>
      </x:c>
      <x:c r="D5816" s="47" t="n">
        <x:v>5</x:v>
      </x:c>
      <x:c r="E5816" s="40" t="n">
        <x:v>18.3</x:v>
      </x:c>
      <x:c r="F5816" s="40" t="n">
        <x:v>16.93138885498047</x:v>
      </x:c>
      <x:c r="G5816" s="40" t="n">
        <x:v>18.3</x:v>
      </x:c>
      <x:c r="H5816" s="40" t="n">
        <x:f>F5816-E5816</x:f>
        <x:v>-1.368611145019532</x:v>
      </x:c>
      <x:c r="I5816" s="40" t="n">
        <x:f>ABS(H5816)</x:f>
        <x:v>1.368611145019532</x:v>
      </x:c>
      <x:c r="J5816" s="40" t="n">
        <x:f>H5816^2</x:f>
        <x:v>1.8730964662716743</x:v>
      </x:c>
      <x:c r="K5816" s="40" t="n">
        <x:f>G5816-E5816</x:f>
        <x:v>0</x:v>
      </x:c>
      <x:c r="L5816" s="40" t="n">
        <x:f>ABS(K5816)</x:f>
        <x:v>0</x:v>
      </x:c>
      <x:c r="M5816" s="41" t="str">
        <x:v>lstm-soil-v1</x:v>
      </x:c>
    </x:row>
    <x:row r="5817">
      <x:c r="A5817" s="38" t="str">
        <x:v>7月30日现场数据</x:v>
      </x:c>
      <x:c r="B5817" s="39" t="str">
        <x:v>2026-08-05T14:40:00</x:v>
      </x:c>
      <x:c r="C5817" s="39" t="str">
        <x:v>2026-08-05T14:55:00</x:v>
      </x:c>
      <x:c r="D5817" s="47" t="n">
        <x:v>15</x:v>
      </x:c>
      <x:c r="E5817" s="40" t="n">
        <x:v>18.3</x:v>
      </x:c>
      <x:c r="F5817" s="40" t="n">
        <x:v>17.011619567871094</x:v>
      </x:c>
      <x:c r="G5817" s="40" t="n">
        <x:v>18.3</x:v>
      </x:c>
      <x:c r="H5817" s="40" t="n">
        <x:f>F5817-E5817</x:f>
        <x:v>-1.288380432128907</x:v>
      </x:c>
      <x:c r="I5817" s="40" t="n">
        <x:f>ABS(H5817)</x:f>
        <x:v>1.288380432128907</x:v>
      </x:c>
      <x:c r="J5817" s="40" t="n">
        <x:f>H5817^2</x:f>
        <x:v>1.659924137892669</x:v>
      </x:c>
      <x:c r="K5817" s="40" t="n">
        <x:f>G5817-E5817</x:f>
        <x:v>0</x:v>
      </x:c>
      <x:c r="L5817" s="40" t="n">
        <x:f>ABS(K5817)</x:f>
        <x:v>0</x:v>
      </x:c>
      <x:c r="M5817" s="41" t="str">
        <x:v>lstm-soil-v1</x:v>
      </x:c>
    </x:row>
    <x:row r="5818">
      <x:c r="A5818" s="38" t="str">
        <x:v>7月30日现场数据</x:v>
      </x:c>
      <x:c r="B5818" s="39" t="str">
        <x:v>2026-08-05T14:40:00</x:v>
      </x:c>
      <x:c r="C5818" s="39" t="str">
        <x:v>2026-08-05T15:10:00</x:v>
      </x:c>
      <x:c r="D5818" s="47" t="n">
        <x:v>30</x:v>
      </x:c>
      <x:c r="E5818" s="40" t="n">
        <x:v>18.3</x:v>
      </x:c>
      <x:c r="F5818" s="40" t="n">
        <x:v>17.322124481201172</x:v>
      </x:c>
      <x:c r="G5818" s="40" t="n">
        <x:v>18.3</x:v>
      </x:c>
      <x:c r="H5818" s="40" t="n">
        <x:f>F5818-E5818</x:f>
        <x:v>-0.9778755187988288</x:v>
      </x:c>
      <x:c r="I5818" s="40" t="n">
        <x:f>ABS(H5818)</x:f>
        <x:v>0.9778755187988288</x:v>
      </x:c>
      <x:c r="J5818" s="40" t="n">
        <x:f>H5818^2</x:f>
        <x:v>0.9562405302660787</x:v>
      </x:c>
      <x:c r="K5818" s="40" t="n">
        <x:f>G5818-E5818</x:f>
        <x:v>0</x:v>
      </x:c>
      <x:c r="L5818" s="40" t="n">
        <x:f>ABS(K5818)</x:f>
        <x:v>0</x:v>
      </x:c>
      <x:c r="M5818" s="41" t="str">
        <x:v>lstm-soil-v1</x:v>
      </x:c>
    </x:row>
    <x:row r="5819">
      <x:c r="A5819" s="38" t="str">
        <x:v>7月30日现场数据</x:v>
      </x:c>
      <x:c r="B5819" s="39" t="str">
        <x:v>2026-08-05T14:40:00</x:v>
      </x:c>
      <x:c r="C5819" s="39" t="str">
        <x:v>2026-08-05T15:40:00</x:v>
      </x:c>
      <x:c r="D5819" s="47" t="n">
        <x:v>60</x:v>
      </x:c>
      <x:c r="E5819" s="40" t="n">
        <x:v>18.2</x:v>
      </x:c>
      <x:c r="F5819" s="40" t="n">
        <x:v>19.084457397460938</x:v>
      </x:c>
      <x:c r="G5819" s="40" t="n">
        <x:v>18.3</x:v>
      </x:c>
      <x:c r="H5819" s="40" t="n">
        <x:f>F5819-E5819</x:f>
        <x:v>0.8844573974609382</x:v>
      </x:c>
      <x:c r="I5819" s="40" t="n">
        <x:f>ABS(H5819)</x:f>
        <x:v>0.8844573974609382</x:v>
      </x:c>
      <x:c r="J5819" s="40" t="n">
        <x:f>H5819^2</x:f>
        <x:v>0.782264887923376</x:v>
      </x:c>
      <x:c r="K5819" s="40" t="n">
        <x:f>G5819-E5819</x:f>
        <x:v>0.10000000000000142</x:v>
      </x:c>
      <x:c r="L5819" s="40" t="n">
        <x:f>ABS(K5819)</x:f>
        <x:v>0.10000000000000142</x:v>
      </x:c>
      <x:c r="M5819" s="41" t="str">
        <x:v>lstm-soil-v1</x:v>
      </x:c>
    </x:row>
    <x:row r="5820">
      <x:c r="A5820" s="38" t="str">
        <x:v>7月30日现场数据</x:v>
      </x:c>
      <x:c r="B5820" s="39" t="str">
        <x:v>2026-08-05T14:45:00</x:v>
      </x:c>
      <x:c r="C5820" s="39" t="str">
        <x:v>2026-08-05T14:50:00</x:v>
      </x:c>
      <x:c r="D5820" s="47" t="n">
        <x:v>5</x:v>
      </x:c>
      <x:c r="E5820" s="40" t="n">
        <x:v>18.3</x:v>
      </x:c>
      <x:c r="F5820" s="40" t="n">
        <x:v>16.931713104248047</x:v>
      </x:c>
      <x:c r="G5820" s="40" t="n">
        <x:v>18.3</x:v>
      </x:c>
      <x:c r="H5820" s="40" t="n">
        <x:f>F5820-E5820</x:f>
        <x:v>-1.3682868957519538</x:v>
      </x:c>
      <x:c r="I5820" s="40" t="n">
        <x:f>ABS(H5820)</x:f>
        <x:v>1.3682868957519538</x:v>
      </x:c>
      <x:c r="J5820" s="40" t="n">
        <x:f>H5820^2</x:f>
        <x:v>1.872209029086518</x:v>
      </x:c>
      <x:c r="K5820" s="40" t="n">
        <x:f>G5820-E5820</x:f>
        <x:v>0</x:v>
      </x:c>
      <x:c r="L5820" s="40" t="n">
        <x:f>ABS(K5820)</x:f>
        <x:v>0</x:v>
      </x:c>
      <x:c r="M5820" s="41" t="str">
        <x:v>lstm-soil-v1</x:v>
      </x:c>
    </x:row>
    <x:row r="5821">
      <x:c r="A5821" s="38" t="str">
        <x:v>7月30日现场数据</x:v>
      </x:c>
      <x:c r="B5821" s="39" t="str">
        <x:v>2026-08-05T14:45:00</x:v>
      </x:c>
      <x:c r="C5821" s="39" t="str">
        <x:v>2026-08-05T15:00:00</x:v>
      </x:c>
      <x:c r="D5821" s="47" t="n">
        <x:v>15</x:v>
      </x:c>
      <x:c r="E5821" s="40" t="n">
        <x:v>18.3</x:v>
      </x:c>
      <x:c r="F5821" s="40" t="n">
        <x:v>17.012359619140625</x:v>
      </x:c>
      <x:c r="G5821" s="40" t="n">
        <x:v>18.3</x:v>
      </x:c>
      <x:c r="H5821" s="40" t="n">
        <x:f>F5821-E5821</x:f>
        <x:v>-1.2876403808593757</x:v>
      </x:c>
      <x:c r="I5821" s="40" t="n">
        <x:f>ABS(H5821)</x:f>
        <x:v>1.2876403808593757</x:v>
      </x:c>
      <x:c r="J5821" s="40" t="n">
        <x:f>H5821^2</x:f>
        <x:v>1.658017750419678</x:v>
      </x:c>
      <x:c r="K5821" s="40" t="n">
        <x:f>G5821-E5821</x:f>
        <x:v>0</x:v>
      </x:c>
      <x:c r="L5821" s="40" t="n">
        <x:f>ABS(K5821)</x:f>
        <x:v>0</x:v>
      </x:c>
      <x:c r="M5821" s="41" t="str">
        <x:v>lstm-soil-v1</x:v>
      </x:c>
    </x:row>
    <x:row r="5822">
      <x:c r="A5822" s="38" t="str">
        <x:v>7月30日现场数据</x:v>
      </x:c>
      <x:c r="B5822" s="39" t="str">
        <x:v>2026-08-05T14:45:00</x:v>
      </x:c>
      <x:c r="C5822" s="39" t="str">
        <x:v>2026-08-05T15:15:00</x:v>
      </x:c>
      <x:c r="D5822" s="47" t="n">
        <x:v>30</x:v>
      </x:c>
      <x:c r="E5822" s="40" t="n">
        <x:v>18.3</x:v>
      </x:c>
      <x:c r="F5822" s="40" t="n">
        <x:v>17.322330474853516</x:v>
      </x:c>
      <x:c r="G5822" s="40" t="n">
        <x:v>18.3</x:v>
      </x:c>
      <x:c r="H5822" s="40" t="n">
        <x:f>F5822-E5822</x:f>
        <x:v>-0.9776695251464851</x:v>
      </x:c>
      <x:c r="I5822" s="40" t="n">
        <x:f>ABS(H5822)</x:f>
        <x:v>0.9776695251464851</x:v>
      </x:c>
      <x:c r="J5822" s="40" t="n">
        <x:f>H5822^2</x:f>
        <x:v>0.9558377004001536</x:v>
      </x:c>
      <x:c r="K5822" s="40" t="n">
        <x:f>G5822-E5822</x:f>
        <x:v>0</x:v>
      </x:c>
      <x:c r="L5822" s="40" t="n">
        <x:f>ABS(K5822)</x:f>
        <x:v>0</x:v>
      </x:c>
      <x:c r="M5822" s="41" t="str">
        <x:v>lstm-soil-v1</x:v>
      </x:c>
    </x:row>
    <x:row r="5823">
      <x:c r="A5823" s="38" t="str">
        <x:v>7月30日现场数据</x:v>
      </x:c>
      <x:c r="B5823" s="39" t="str">
        <x:v>2026-08-05T14:45:00</x:v>
      </x:c>
      <x:c r="C5823" s="39" t="str">
        <x:v>2026-08-05T15:45:00</x:v>
      </x:c>
      <x:c r="D5823" s="47" t="n">
        <x:v>60</x:v>
      </x:c>
      <x:c r="E5823" s="40" t="n">
        <x:v>18.2</x:v>
      </x:c>
      <x:c r="F5823" s="40" t="n">
        <x:v>19.086925506591797</x:v>
      </x:c>
      <x:c r="G5823" s="40" t="n">
        <x:v>18.3</x:v>
      </x:c>
      <x:c r="H5823" s="40" t="n">
        <x:f>F5823-E5823</x:f>
        <x:v>0.8869255065917976</x:v>
      </x:c>
      <x:c r="I5823" s="40" t="n">
        <x:f>ABS(H5823)</x:f>
        <x:v>0.8869255065917976</x:v>
      </x:c>
      <x:c r="J5823" s="40" t="n">
        <x:f>H5823^2</x:f>
        <x:v>0.7866368542431168</x:v>
      </x:c>
      <x:c r="K5823" s="40" t="n">
        <x:f>G5823-E5823</x:f>
        <x:v>0.10000000000000142</x:v>
      </x:c>
      <x:c r="L5823" s="40" t="n">
        <x:f>ABS(K5823)</x:f>
        <x:v>0.10000000000000142</x:v>
      </x:c>
      <x:c r="M5823" s="41" t="str">
        <x:v>lstm-soil-v1</x:v>
      </x:c>
    </x:row>
    <x:row r="5824">
      <x:c r="A5824" s="38" t="str">
        <x:v>7月30日现场数据</x:v>
      </x:c>
      <x:c r="B5824" s="39" t="str">
        <x:v>2026-08-05T14:50:00</x:v>
      </x:c>
      <x:c r="C5824" s="39" t="str">
        <x:v>2026-08-05T14:55:00</x:v>
      </x:c>
      <x:c r="D5824" s="47" t="n">
        <x:v>5</x:v>
      </x:c>
      <x:c r="E5824" s="40" t="n">
        <x:v>18.3</x:v>
      </x:c>
      <x:c r="F5824" s="40" t="n">
        <x:v>16.931121826171875</x:v>
      </x:c>
      <x:c r="G5824" s="40" t="n">
        <x:v>18.3</x:v>
      </x:c>
      <x:c r="H5824" s="40" t="n">
        <x:f>F5824-E5824</x:f>
        <x:v>-1.3688781738281257</x:v>
      </x:c>
      <x:c r="I5824" s="40" t="n">
        <x:f>ABS(H5824)</x:f>
        <x:v>1.3688781738281257</x:v>
      </x:c>
      <x:c r="J5824" s="40" t="n">
        <x:f>H5824^2</x:f>
        <x:v>1.8738274547830243</x:v>
      </x:c>
      <x:c r="K5824" s="40" t="n">
        <x:f>G5824-E5824</x:f>
        <x:v>0</x:v>
      </x:c>
      <x:c r="L5824" s="40" t="n">
        <x:f>ABS(K5824)</x:f>
        <x:v>0</x:v>
      </x:c>
      <x:c r="M5824" s="41" t="str">
        <x:v>lstm-soil-v1</x:v>
      </x:c>
    </x:row>
    <x:row r="5825">
      <x:c r="A5825" s="38" t="str">
        <x:v>7月30日现场数据</x:v>
      </x:c>
      <x:c r="B5825" s="39" t="str">
        <x:v>2026-08-05T14:50:00</x:v>
      </x:c>
      <x:c r="C5825" s="39" t="str">
        <x:v>2026-08-05T15:05:00</x:v>
      </x:c>
      <x:c r="D5825" s="47" t="n">
        <x:v>15</x:v>
      </x:c>
      <x:c r="E5825" s="40" t="n">
        <x:v>18.3</x:v>
      </x:c>
      <x:c r="F5825" s="40" t="n">
        <x:v>17.011917114257812</x:v>
      </x:c>
      <x:c r="G5825" s="40" t="n">
        <x:v>18.3</x:v>
      </x:c>
      <x:c r="H5825" s="40" t="n">
        <x:f>F5825-E5825</x:f>
        <x:v>-1.2880828857421882</x:v>
      </x:c>
      <x:c r="I5825" s="40" t="n">
        <x:f>ABS(H5825)</x:f>
        <x:v>1.2880828857421882</x:v>
      </x:c>
      <x:c r="J5825" s="40" t="n">
        <x:f>H5825^2</x:f>
        <x:v>1.6591575205419231</x:v>
      </x:c>
      <x:c r="K5825" s="40" t="n">
        <x:f>G5825-E5825</x:f>
        <x:v>0</x:v>
      </x:c>
      <x:c r="L5825" s="40" t="n">
        <x:f>ABS(K5825)</x:f>
        <x:v>0</x:v>
      </x:c>
      <x:c r="M5825" s="41" t="str">
        <x:v>lstm-soil-v1</x:v>
      </x:c>
    </x:row>
    <x:row r="5826">
      <x:c r="A5826" s="38" t="str">
        <x:v>7月30日现场数据</x:v>
      </x:c>
      <x:c r="B5826" s="39" t="str">
        <x:v>2026-08-05T14:50:00</x:v>
      </x:c>
      <x:c r="C5826" s="39" t="str">
        <x:v>2026-08-05T15:20:00</x:v>
      </x:c>
      <x:c r="D5826" s="47" t="n">
        <x:v>30</x:v>
      </x:c>
      <x:c r="E5826" s="40" t="n">
        <x:v>18.3</x:v>
      </x:c>
      <x:c r="F5826" s="40" t="n">
        <x:v>17.32284927368164</x:v>
      </x:c>
      <x:c r="G5826" s="40" t="n">
        <x:v>18.3</x:v>
      </x:c>
      <x:c r="H5826" s="40" t="n">
        <x:f>F5826-E5826</x:f>
        <x:v>-0.9771507263183601</x:v>
      </x:c>
      <x:c r="I5826" s="40" t="n">
        <x:f>ABS(H5826)</x:f>
        <x:v>0.9771507263183601</x:v>
      </x:c>
      <x:c r="J5826" s="40" t="n">
        <x:f>H5826^2</x:f>
        <x:v>0.9548235419444987</x:v>
      </x:c>
      <x:c r="K5826" s="40" t="n">
        <x:f>G5826-E5826</x:f>
        <x:v>0</x:v>
      </x:c>
      <x:c r="L5826" s="40" t="n">
        <x:f>ABS(K5826)</x:f>
        <x:v>0</x:v>
      </x:c>
      <x:c r="M5826" s="41" t="str">
        <x:v>lstm-soil-v1</x:v>
      </x:c>
    </x:row>
    <x:row r="5827">
      <x:c r="A5827" s="38" t="str">
        <x:v>7月30日现场数据</x:v>
      </x:c>
      <x:c r="B5827" s="39" t="str">
        <x:v>2026-08-05T14:50:00</x:v>
      </x:c>
      <x:c r="C5827" s="39" t="str">
        <x:v>2026-08-05T15:50:00</x:v>
      </x:c>
      <x:c r="D5827" s="47" t="n">
        <x:v>60</x:v>
      </x:c>
      <x:c r="E5827" s="40" t="n">
        <x:v>18.2</x:v>
      </x:c>
      <x:c r="F5827" s="40" t="n">
        <x:v>19.086868286132812</x:v>
      </x:c>
      <x:c r="G5827" s="40" t="n">
        <x:v>18.3</x:v>
      </x:c>
      <x:c r="H5827" s="40" t="n">
        <x:f>F5827-E5827</x:f>
        <x:v>0.8868682861328132</x:v>
      </x:c>
      <x:c r="I5827" s="40" t="n">
        <x:f>ABS(H5827)</x:f>
        <x:v>0.8868682861328132</x:v>
      </x:c>
      <x:c r="J5827" s="40" t="n">
        <x:f>H5827^2</x:f>
        <x:v>0.7865353569481535</x:v>
      </x:c>
      <x:c r="K5827" s="40" t="n">
        <x:f>G5827-E5827</x:f>
        <x:v>0.10000000000000142</x:v>
      </x:c>
      <x:c r="L5827" s="40" t="n">
        <x:f>ABS(K5827)</x:f>
        <x:v>0.10000000000000142</x:v>
      </x:c>
      <x:c r="M5827" s="41" t="str">
        <x:v>lstm-soil-v1</x:v>
      </x:c>
    </x:row>
    <x:row r="5828">
      <x:c r="A5828" s="38" t="str">
        <x:v>7月30日现场数据</x:v>
      </x:c>
      <x:c r="B5828" s="39" t="str">
        <x:v>2026-08-05T14:55:00</x:v>
      </x:c>
      <x:c r="C5828" s="39" t="str">
        <x:v>2026-08-05T15:00:00</x:v>
      </x:c>
      <x:c r="D5828" s="47" t="n">
        <x:v>5</x:v>
      </x:c>
      <x:c r="E5828" s="40" t="n">
        <x:v>18.3</x:v>
      </x:c>
      <x:c r="F5828" s="40" t="n">
        <x:v>16.933422088623047</x:v>
      </x:c>
      <x:c r="G5828" s="40" t="n">
        <x:v>18.3</x:v>
      </x:c>
      <x:c r="H5828" s="40" t="n">
        <x:f>F5828-E5828</x:f>
        <x:v>-1.3665779113769538</x:v>
      </x:c>
      <x:c r="I5828" s="40" t="n">
        <x:f>ABS(H5828)</x:f>
        <x:v>1.3665779113769538</x:v>
      </x:c>
      <x:c r="J5828" s="40" t="n">
        <x:f>H5828^2</x:f>
        <x:v>1.8675351878633975</x:v>
      </x:c>
      <x:c r="K5828" s="40" t="n">
        <x:f>G5828-E5828</x:f>
        <x:v>0</x:v>
      </x:c>
      <x:c r="L5828" s="40" t="n">
        <x:f>ABS(K5828)</x:f>
        <x:v>0</x:v>
      </x:c>
      <x:c r="M5828" s="41" t="str">
        <x:v>lstm-soil-v1</x:v>
      </x:c>
    </x:row>
    <x:row r="5829">
      <x:c r="A5829" s="38" t="str">
        <x:v>7月30日现场数据</x:v>
      </x:c>
      <x:c r="B5829" s="39" t="str">
        <x:v>2026-08-05T14:55:00</x:v>
      </x:c>
      <x:c r="C5829" s="39" t="str">
        <x:v>2026-08-05T15:10:00</x:v>
      </x:c>
      <x:c r="D5829" s="47" t="n">
        <x:v>15</x:v>
      </x:c>
      <x:c r="E5829" s="40" t="n">
        <x:v>18.3</x:v>
      </x:c>
      <x:c r="F5829" s="40" t="n">
        <x:v>17.012062072753906</x:v>
      </x:c>
      <x:c r="G5829" s="40" t="n">
        <x:v>18.3</x:v>
      </x:c>
      <x:c r="H5829" s="40" t="n">
        <x:f>F5829-E5829</x:f>
        <x:v>-1.2879379272460945</x:v>
      </x:c>
      <x:c r="I5829" s="40" t="n">
        <x:f>ABS(H5829)</x:f>
        <x:v>1.2879379272460945</x:v>
      </x:c>
      <x:c r="J5829" s="40" t="n">
        <x:f>H5829^2</x:f>
        <x:v>1.6587841044389662</x:v>
      </x:c>
      <x:c r="K5829" s="40" t="n">
        <x:f>G5829-E5829</x:f>
        <x:v>0</x:v>
      </x:c>
      <x:c r="L5829" s="40" t="n">
        <x:f>ABS(K5829)</x:f>
        <x:v>0</x:v>
      </x:c>
      <x:c r="M5829" s="41" t="str">
        <x:v>lstm-soil-v1</x:v>
      </x:c>
    </x:row>
    <x:row r="5830">
      <x:c r="A5830" s="38" t="str">
        <x:v>7月30日现场数据</x:v>
      </x:c>
      <x:c r="B5830" s="39" t="str">
        <x:v>2026-08-05T14:55:00</x:v>
      </x:c>
      <x:c r="C5830" s="39" t="str">
        <x:v>2026-08-05T15:25:00</x:v>
      </x:c>
      <x:c r="D5830" s="47" t="n">
        <x:v>30</x:v>
      </x:c>
      <x:c r="E5830" s="40" t="n">
        <x:v>18.2</x:v>
      </x:c>
      <x:c r="F5830" s="40" t="n">
        <x:v>17.32663345336914</x:v>
      </x:c>
      <x:c r="G5830" s="40" t="n">
        <x:v>18.3</x:v>
      </x:c>
      <x:c r="H5830" s="40" t="n">
        <x:f>F5830-E5830</x:f>
        <x:v>-0.8733665466308587</x:v>
      </x:c>
      <x:c r="I5830" s="40" t="n">
        <x:f>ABS(H5830)</x:f>
        <x:v>0.8733665466308587</x:v>
      </x:c>
      <x:c r="J5830" s="40" t="n">
        <x:f>H5830^2</x:f>
        <x:v>0.7627691247739118</x:v>
      </x:c>
      <x:c r="K5830" s="40" t="n">
        <x:f>G5830-E5830</x:f>
        <x:v>0.10000000000000142</x:v>
      </x:c>
      <x:c r="L5830" s="40" t="n">
        <x:f>ABS(K5830)</x:f>
        <x:v>0.10000000000000142</x:v>
      </x:c>
      <x:c r="M5830" s="41" t="str">
        <x:v>lstm-soil-v1</x:v>
      </x:c>
    </x:row>
    <x:row r="5831">
      <x:c r="A5831" s="38" t="str">
        <x:v>7月30日现场数据</x:v>
      </x:c>
      <x:c r="B5831" s="39" t="str">
        <x:v>2026-08-05T14:55:00</x:v>
      </x:c>
      <x:c r="C5831" s="39" t="str">
        <x:v>2026-08-05T15:55:00</x:v>
      </x:c>
      <x:c r="D5831" s="47" t="n">
        <x:v>60</x:v>
      </x:c>
      <x:c r="E5831" s="40" t="n">
        <x:v>18.1</x:v>
      </x:c>
      <x:c r="F5831" s="40" t="n">
        <x:v>19.091262817382812</x:v>
      </x:c>
      <x:c r="G5831" s="40" t="n">
        <x:v>18.3</x:v>
      </x:c>
      <x:c r="H5831" s="40" t="n">
        <x:f>F5831-E5831</x:f>
        <x:v>0.9912628173828111</x:v>
      </x:c>
      <x:c r="I5831" s="40" t="n">
        <x:f>ABS(H5831)</x:f>
        <x:v>0.9912628173828111</x:v>
      </x:c>
      <x:c r="J5831" s="40" t="n">
        <x:f>H5831^2</x:f>
        <x:v>0.9826019731257083</x:v>
      </x:c>
      <x:c r="K5831" s="40" t="n">
        <x:f>G5831-E5831</x:f>
        <x:v>0.1999999999999993</x:v>
      </x:c>
      <x:c r="L5831" s="40" t="n">
        <x:f>ABS(K5831)</x:f>
        <x:v>0.1999999999999993</x:v>
      </x:c>
      <x:c r="M5831" s="41" t="str">
        <x:v>lstm-soil-v1</x:v>
      </x:c>
    </x:row>
    <x:row r="5832">
      <x:c r="A5832" s="38" t="str">
        <x:v>7月30日现场数据</x:v>
      </x:c>
      <x:c r="B5832" s="39" t="str">
        <x:v>2026-08-05T15:00:00</x:v>
      </x:c>
      <x:c r="C5832" s="39" t="str">
        <x:v>2026-08-05T15:05:00</x:v>
      </x:c>
      <x:c r="D5832" s="47" t="n">
        <x:v>5</x:v>
      </x:c>
      <x:c r="E5832" s="40" t="n">
        <x:v>18.3</x:v>
      </x:c>
      <x:c r="F5832" s="40" t="n">
        <x:v>16.938636779785156</x:v>
      </x:c>
      <x:c r="G5832" s="40" t="n">
        <x:v>18.3</x:v>
      </x:c>
      <x:c r="H5832" s="40" t="n">
        <x:f>F5832-E5832</x:f>
        <x:v>-1.3613632202148445</x:v>
      </x:c>
      <x:c r="I5832" s="40" t="n">
        <x:f>ABS(H5832)</x:f>
        <x:v>1.3613632202148445</x:v>
      </x:c>
      <x:c r="J5832" s="40" t="n">
        <x:f>H5832^2</x:f>
        <x:v>1.853309817353731</x:v>
      </x:c>
      <x:c r="K5832" s="40" t="n">
        <x:f>G5832-E5832</x:f>
        <x:v>0</x:v>
      </x:c>
      <x:c r="L5832" s="40" t="n">
        <x:f>ABS(K5832)</x:f>
        <x:v>0</x:v>
      </x:c>
      <x:c r="M5832" s="41" t="str">
        <x:v>lstm-soil-v1</x:v>
      </x:c>
    </x:row>
    <x:row r="5833">
      <x:c r="A5833" s="38" t="str">
        <x:v>7月30日现场数据</x:v>
      </x:c>
      <x:c r="B5833" s="39" t="str">
        <x:v>2026-08-05T15:00:00</x:v>
      </x:c>
      <x:c r="C5833" s="39" t="str">
        <x:v>2026-08-05T15:15:00</x:v>
      </x:c>
      <x:c r="D5833" s="47" t="n">
        <x:v>15</x:v>
      </x:c>
      <x:c r="E5833" s="40" t="n">
        <x:v>18.3</x:v>
      </x:c>
      <x:c r="F5833" s="40" t="n">
        <x:v>17.014644622802734</x:v>
      </x:c>
      <x:c r="G5833" s="40" t="n">
        <x:v>18.3</x:v>
      </x:c>
      <x:c r="H5833" s="40" t="n">
        <x:f>F5833-E5833</x:f>
        <x:v>-1.2853553771972663</x:v>
      </x:c>
      <x:c r="I5833" s="40" t="n">
        <x:f>ABS(H5833)</x:f>
        <x:v>1.2853553771972663</x:v>
      </x:c>
      <x:c r="J5833" s="40" t="n">
        <x:f>H5833^2</x:f>
        <x:v>1.6521384456899268</x:v>
      </x:c>
      <x:c r="K5833" s="40" t="n">
        <x:f>G5833-E5833</x:f>
        <x:v>0</x:v>
      </x:c>
      <x:c r="L5833" s="40" t="n">
        <x:f>ABS(K5833)</x:f>
        <x:v>0</x:v>
      </x:c>
      <x:c r="M5833" s="41" t="str">
        <x:v>lstm-soil-v1</x:v>
      </x:c>
    </x:row>
    <x:row r="5834">
      <x:c r="A5834" s="38" t="str">
        <x:v>7月30日现场数据</x:v>
      </x:c>
      <x:c r="B5834" s="39" t="str">
        <x:v>2026-08-05T15:00:00</x:v>
      </x:c>
      <x:c r="C5834" s="39" t="str">
        <x:v>2026-08-05T15:30:00</x:v>
      </x:c>
      <x:c r="D5834" s="47" t="n">
        <x:v>30</x:v>
      </x:c>
      <x:c r="E5834" s="40" t="n">
        <x:v>18.2</x:v>
      </x:c>
      <x:c r="F5834" s="40" t="n">
        <x:v>17.333789825439453</x:v>
      </x:c>
      <x:c r="G5834" s="40" t="n">
        <x:v>18.3</x:v>
      </x:c>
      <x:c r="H5834" s="40" t="n">
        <x:f>F5834-E5834</x:f>
        <x:v>-0.8662101745605462</x:v>
      </x:c>
      <x:c r="I5834" s="40" t="n">
        <x:f>ABS(H5834)</x:f>
        <x:v>0.8662101745605462</x:v>
      </x:c>
      <x:c r="J5834" s="40" t="n">
        <x:f>H5834^2</x:f>
        <x:v>0.7503200665122118</x:v>
      </x:c>
      <x:c r="K5834" s="40" t="n">
        <x:f>G5834-E5834</x:f>
        <x:v>0.10000000000000142</x:v>
      </x:c>
      <x:c r="L5834" s="40" t="n">
        <x:f>ABS(K5834)</x:f>
        <x:v>0.10000000000000142</x:v>
      </x:c>
      <x:c r="M5834" s="41" t="str">
        <x:v>lstm-soil-v1</x:v>
      </x:c>
    </x:row>
    <x:row r="5835">
      <x:c r="A5835" s="38" t="str">
        <x:v>7月30日现场数据</x:v>
      </x:c>
      <x:c r="B5835" s="39" t="str">
        <x:v>2026-08-05T15:00:00</x:v>
      </x:c>
      <x:c r="C5835" s="39" t="str">
        <x:v>2026-08-05T16:00:00</x:v>
      </x:c>
      <x:c r="D5835" s="47" t="n">
        <x:v>60</x:v>
      </x:c>
      <x:c r="E5835" s="40" t="n">
        <x:v>18.1</x:v>
      </x:c>
      <x:c r="F5835" s="40" t="n">
        <x:v>19.099285125732422</x:v>
      </x:c>
      <x:c r="G5835" s="40" t="n">
        <x:v>18.3</x:v>
      </x:c>
      <x:c r="H5835" s="40" t="n">
        <x:f>F5835-E5835</x:f>
        <x:v>0.9992851257324205</x:v>
      </x:c>
      <x:c r="I5835" s="40" t="n">
        <x:f>ABS(H5835)</x:f>
        <x:v>0.9992851257324205</x:v>
      </x:c>
      <x:c r="J5835" s="40" t="n">
        <x:f>H5835^2</x:f>
        <x:v>0.9985707625100594</x:v>
      </x:c>
      <x:c r="K5835" s="40" t="n">
        <x:f>G5835-E5835</x:f>
        <x:v>0.1999999999999993</x:v>
      </x:c>
      <x:c r="L5835" s="40" t="n">
        <x:f>ABS(K5835)</x:f>
        <x:v>0.1999999999999993</x:v>
      </x:c>
      <x:c r="M5835" s="41" t="str">
        <x:v>lstm-soil-v1</x:v>
      </x:c>
    </x:row>
    <x:row r="5836">
      <x:c r="A5836" s="38" t="str">
        <x:v>7月30日现场数据</x:v>
      </x:c>
      <x:c r="B5836" s="39" t="str">
        <x:v>2026-08-05T15:05:00</x:v>
      </x:c>
      <x:c r="C5836" s="39" t="str">
        <x:v>2026-08-05T15:10:00</x:v>
      </x:c>
      <x:c r="D5836" s="47" t="n">
        <x:v>5</x:v>
      </x:c>
      <x:c r="E5836" s="40" t="n">
        <x:v>18.3</x:v>
      </x:c>
      <x:c r="F5836" s="40" t="n">
        <x:v>16.940963745117188</x:v>
      </x:c>
      <x:c r="G5836" s="40" t="n">
        <x:v>18.3</x:v>
      </x:c>
      <x:c r="H5836" s="40" t="n">
        <x:f>F5836-E5836</x:f>
        <x:v>-1.3590362548828132</x:v>
      </x:c>
      <x:c r="I5836" s="40" t="n">
        <x:f>ABS(H5836)</x:f>
        <x:v>1.3590362548828132</x:v>
      </x:c>
      <x:c r="J5836" s="40" t="n">
        <x:f>H5836^2</x:f>
        <x:v>1.8469795420859028</x:v>
      </x:c>
      <x:c r="K5836" s="40" t="n">
        <x:f>G5836-E5836</x:f>
        <x:v>0</x:v>
      </x:c>
      <x:c r="L5836" s="40" t="n">
        <x:f>ABS(K5836)</x:f>
        <x:v>0</x:v>
      </x:c>
      <x:c r="M5836" s="41" t="str">
        <x:v>lstm-soil-v1</x:v>
      </x:c>
    </x:row>
    <x:row r="5837">
      <x:c r="A5837" s="38" t="str">
        <x:v>7月30日现场数据</x:v>
      </x:c>
      <x:c r="B5837" s="39" t="str">
        <x:v>2026-08-05T15:05:00</x:v>
      </x:c>
      <x:c r="C5837" s="39" t="str">
        <x:v>2026-08-05T15:20:00</x:v>
      </x:c>
      <x:c r="D5837" s="47" t="n">
        <x:v>15</x:v>
      </x:c>
      <x:c r="E5837" s="40" t="n">
        <x:v>18.3</x:v>
      </x:c>
      <x:c r="F5837" s="40" t="n">
        <x:v>17.016223907470703</x:v>
      </x:c>
      <x:c r="G5837" s="40" t="n">
        <x:v>18.3</x:v>
      </x:c>
      <x:c r="H5837" s="40" t="n">
        <x:f>F5837-E5837</x:f>
        <x:v>-1.2837760925292976</x:v>
      </x:c>
      <x:c r="I5837" s="40" t="n">
        <x:f>ABS(H5837)</x:f>
        <x:v>1.2837760925292976</x:v>
      </x:c>
      <x:c r="J5837" s="40" t="n">
        <x:f>H5837^2</x:f>
        <x:v>1.6480810557497916</x:v>
      </x:c>
      <x:c r="K5837" s="40" t="n">
        <x:f>G5837-E5837</x:f>
        <x:v>0</x:v>
      </x:c>
      <x:c r="L5837" s="40" t="n">
        <x:f>ABS(K5837)</x:f>
        <x:v>0</x:v>
      </x:c>
      <x:c r="M5837" s="41" t="str">
        <x:v>lstm-soil-v1</x:v>
      </x:c>
    </x:row>
    <x:row r="5838">
      <x:c r="A5838" s="38" t="str">
        <x:v>7月30日现场数据</x:v>
      </x:c>
      <x:c r="B5838" s="39" t="str">
        <x:v>2026-08-05T15:05:00</x:v>
      </x:c>
      <x:c r="C5838" s="39" t="str">
        <x:v>2026-08-05T15:35:00</x:v>
      </x:c>
      <x:c r="D5838" s="47" t="n">
        <x:v>30</x:v>
      </x:c>
      <x:c r="E5838" s="40" t="n">
        <x:v>18.2</x:v>
      </x:c>
      <x:c r="F5838" s="40" t="n">
        <x:v>17.336029052734375</x:v>
      </x:c>
      <x:c r="G5838" s="40" t="n">
        <x:v>18.3</x:v>
      </x:c>
      <x:c r="H5838" s="40" t="n">
        <x:f>F5838-E5838</x:f>
        <x:v>-0.8639709472656243</x:v>
      </x:c>
      <x:c r="I5838" s="40" t="n">
        <x:f>ABS(H5838)</x:f>
        <x:v>0.8639709472656243</x:v>
      </x:c>
      <x:c r="J5838" s="40" t="n">
        <x:f>H5838^2</x:f>
        <x:v>0.7464457977190602</x:v>
      </x:c>
      <x:c r="K5838" s="40" t="n">
        <x:f>G5838-E5838</x:f>
        <x:v>0.10000000000000142</x:v>
      </x:c>
      <x:c r="L5838" s="40" t="n">
        <x:f>ABS(K5838)</x:f>
        <x:v>0.10000000000000142</x:v>
      </x:c>
      <x:c r="M5838" s="41" t="str">
        <x:v>lstm-soil-v1</x:v>
      </x:c>
    </x:row>
    <x:row r="5839">
      <x:c r="A5839" s="38" t="str">
        <x:v>7月30日现场数据</x:v>
      </x:c>
      <x:c r="B5839" s="39" t="str">
        <x:v>2026-08-05T15:05:00</x:v>
      </x:c>
      <x:c r="C5839" s="39" t="str">
        <x:v>2026-08-05T16:05:00</x:v>
      </x:c>
      <x:c r="D5839" s="47" t="n">
        <x:v>60</x:v>
      </x:c>
      <x:c r="E5839" s="40" t="n">
        <x:v>18.1</x:v>
      </x:c>
      <x:c r="F5839" s="40" t="n">
        <x:v>19.103363037109375</x:v>
      </x:c>
      <x:c r="G5839" s="40" t="n">
        <x:v>18.3</x:v>
      </x:c>
      <x:c r="H5839" s="40" t="n">
        <x:f>F5839-E5839</x:f>
        <x:v>1.0033630371093736</x:v>
      </x:c>
      <x:c r="I5839" s="40" t="n">
        <x:f>ABS(H5839)</x:f>
        <x:v>1.0033630371093736</x:v>
      </x:c>
      <x:c r="J5839" s="40" t="n">
        <x:f>H5839^2</x:f>
        <x:v>1.0067373842373462</x:v>
      </x:c>
      <x:c r="K5839" s="40" t="n">
        <x:f>G5839-E5839</x:f>
        <x:v>0.1999999999999993</x:v>
      </x:c>
      <x:c r="L5839" s="40" t="n">
        <x:f>ABS(K5839)</x:f>
        <x:v>0.1999999999999993</x:v>
      </x:c>
      <x:c r="M5839" s="41" t="str">
        <x:v>lstm-soil-v1</x:v>
      </x:c>
    </x:row>
    <x:row r="5840">
      <x:c r="A5840" s="38" t="str">
        <x:v>7月30日现场数据</x:v>
      </x:c>
      <x:c r="B5840" s="39" t="str">
        <x:v>2026-08-05T15:10:00</x:v>
      </x:c>
      <x:c r="C5840" s="39" t="str">
        <x:v>2026-08-05T15:15:00</x:v>
      </x:c>
      <x:c r="D5840" s="47" t="n">
        <x:v>5</x:v>
      </x:c>
      <x:c r="E5840" s="40" t="n">
        <x:v>18.3</x:v>
      </x:c>
      <x:c r="F5840" s="40" t="n">
        <x:v>16.93866729736328</x:v>
      </x:c>
      <x:c r="G5840" s="40" t="n">
        <x:v>18.3</x:v>
      </x:c>
      <x:c r="H5840" s="40" t="n">
        <x:f>F5840-E5840</x:f>
        <x:v>-1.3613327026367195</x:v>
      </x:c>
      <x:c r="I5840" s="40" t="n">
        <x:f>ABS(H5840)</x:f>
        <x:v>1.3613327026367195</x:v>
      </x:c>
      <x:c r="J5840" s="40" t="n">
        <x:f>H5840^2</x:f>
        <x:v>1.8532267272681948</x:v>
      </x:c>
      <x:c r="K5840" s="40" t="n">
        <x:f>G5840-E5840</x:f>
        <x:v>0</x:v>
      </x:c>
      <x:c r="L5840" s="40" t="n">
        <x:f>ABS(K5840)</x:f>
        <x:v>0</x:v>
      </x:c>
      <x:c r="M5840" s="41" t="str">
        <x:v>lstm-soil-v1</x:v>
      </x:c>
    </x:row>
    <x:row r="5841">
      <x:c r="A5841" s="38" t="str">
        <x:v>7月30日现场数据</x:v>
      </x:c>
      <x:c r="B5841" s="39" t="str">
        <x:v>2026-08-05T15:10:00</x:v>
      </x:c>
      <x:c r="C5841" s="39" t="str">
        <x:v>2026-08-05T15:25:00</x:v>
      </x:c>
      <x:c r="D5841" s="47" t="n">
        <x:v>15</x:v>
      </x:c>
      <x:c r="E5841" s="40" t="n">
        <x:v>18.2</x:v>
      </x:c>
      <x:c r="F5841" s="40" t="n">
        <x:v>17.01660919189453</x:v>
      </x:c>
      <x:c r="G5841" s="40" t="n">
        <x:v>18.3</x:v>
      </x:c>
      <x:c r="H5841" s="40" t="n">
        <x:f>F5841-E5841</x:f>
        <x:v>-1.183390808105468</x:v>
      </x:c>
      <x:c r="I5841" s="40" t="n">
        <x:f>ABS(H5841)</x:f>
        <x:v>1.183390808105468</x:v>
      </x:c>
      <x:c r="J5841" s="40" t="n">
        <x:f>H5841^2</x:f>
        <x:v>1.4004138047085126</x:v>
      </x:c>
      <x:c r="K5841" s="40" t="n">
        <x:f>G5841-E5841</x:f>
        <x:v>0.10000000000000142</x:v>
      </x:c>
      <x:c r="L5841" s="40" t="n">
        <x:f>ABS(K5841)</x:f>
        <x:v>0.10000000000000142</x:v>
      </x:c>
      <x:c r="M5841" s="41" t="str">
        <x:v>lstm-soil-v1</x:v>
      </x:c>
    </x:row>
    <x:row r="5842">
      <x:c r="A5842" s="38" t="str">
        <x:v>7月30日现场数据</x:v>
      </x:c>
      <x:c r="B5842" s="39" t="str">
        <x:v>2026-08-05T15:10:00</x:v>
      </x:c>
      <x:c r="C5842" s="39" t="str">
        <x:v>2026-08-05T15:40:00</x:v>
      </x:c>
      <x:c r="D5842" s="47" t="n">
        <x:v>30</x:v>
      </x:c>
      <x:c r="E5842" s="40" t="n">
        <x:v>18.2</x:v>
      </x:c>
      <x:c r="F5842" s="40" t="n">
        <x:v>17.332725524902344</x:v>
      </x:c>
      <x:c r="G5842" s="40" t="n">
        <x:v>18.3</x:v>
      </x:c>
      <x:c r="H5842" s="40" t="n">
        <x:f>F5842-E5842</x:f>
        <x:v>-0.8672744750976555</x:v>
      </x:c>
      <x:c r="I5842" s="40" t="n">
        <x:f>ABS(H5842)</x:f>
        <x:v>0.8672744750976555</x:v>
      </x:c>
      <x:c r="J5842" s="40" t="n">
        <x:f>H5842^2</x:f>
        <x:v>0.7521650151559139</x:v>
      </x:c>
      <x:c r="K5842" s="40" t="n">
        <x:f>G5842-E5842</x:f>
        <x:v>0.10000000000000142</x:v>
      </x:c>
      <x:c r="L5842" s="40" t="n">
        <x:f>ABS(K5842)</x:f>
        <x:v>0.10000000000000142</x:v>
      </x:c>
      <x:c r="M5842" s="41" t="str">
        <x:v>lstm-soil-v1</x:v>
      </x:c>
    </x:row>
    <x:row r="5843">
      <x:c r="A5843" s="38" t="str">
        <x:v>7月30日现场数据</x:v>
      </x:c>
      <x:c r="B5843" s="39" t="str">
        <x:v>2026-08-05T15:10:00</x:v>
      </x:c>
      <x:c r="C5843" s="39" t="str">
        <x:v>2026-08-05T16:10:00</x:v>
      </x:c>
      <x:c r="D5843" s="47" t="n">
        <x:v>60</x:v>
      </x:c>
      <x:c r="E5843" s="40" t="n">
        <x:v>18.1</x:v>
      </x:c>
      <x:c r="F5843" s="40" t="n">
        <x:v>19.099761962890625</x:v>
      </x:c>
      <x:c r="G5843" s="40" t="n">
        <x:v>18.3</x:v>
      </x:c>
      <x:c r="H5843" s="40" t="n">
        <x:f>F5843-E5843</x:f>
        <x:v>0.9997619628906236</x:v>
      </x:c>
      <x:c r="I5843" s="40" t="n">
        <x:f>ABS(H5843)</x:f>
        <x:v>0.9997619628906236</x:v>
      </x:c>
      <x:c r="J5843" s="40" t="n">
        <x:f>H5843^2</x:f>
        <x:v>0.9995239824429126</x:v>
      </x:c>
      <x:c r="K5843" s="40" t="n">
        <x:f>G5843-E5843</x:f>
        <x:v>0.1999999999999993</x:v>
      </x:c>
      <x:c r="L5843" s="40" t="n">
        <x:f>ABS(K5843)</x:f>
        <x:v>0.1999999999999993</x:v>
      </x:c>
      <x:c r="M5843" s="41" t="str">
        <x:v>lstm-soil-v1</x:v>
      </x:c>
    </x:row>
    <x:row r="5844">
      <x:c r="A5844" s="38" t="str">
        <x:v>7月30日现场数据</x:v>
      </x:c>
      <x:c r="B5844" s="39" t="str">
        <x:v>2026-08-05T15:15:00</x:v>
      </x:c>
      <x:c r="C5844" s="39" t="str">
        <x:v>2026-08-05T15:20:00</x:v>
      </x:c>
      <x:c r="D5844" s="47" t="n">
        <x:v>5</x:v>
      </x:c>
      <x:c r="E5844" s="40" t="n">
        <x:v>18.3</x:v>
      </x:c>
      <x:c r="F5844" s="40" t="n">
        <x:v>16.936866760253906</x:v>
      </x:c>
      <x:c r="G5844" s="40" t="n">
        <x:v>18.3</x:v>
      </x:c>
      <x:c r="H5844" s="40" t="n">
        <x:f>F5844-E5844</x:f>
        <x:v>-1.3631332397460945</x:v>
      </x:c>
      <x:c r="I5844" s="40" t="n">
        <x:f>ABS(H5844)</x:f>
        <x:v>1.3631332397460945</x:v>
      </x:c>
      <x:c r="J5844" s="40" t="n">
        <x:f>H5844^2</x:f>
        <x:v>1.8581322293006834</x:v>
      </x:c>
      <x:c r="K5844" s="40" t="n">
        <x:f>G5844-E5844</x:f>
        <x:v>0</x:v>
      </x:c>
      <x:c r="L5844" s="40" t="n">
        <x:f>ABS(K5844)</x:f>
        <x:v>0</x:v>
      </x:c>
      <x:c r="M5844" s="41" t="str">
        <x:v>lstm-soil-v1</x:v>
      </x:c>
    </x:row>
    <x:row r="5845">
      <x:c r="A5845" s="38" t="str">
        <x:v>7月30日现场数据</x:v>
      </x:c>
      <x:c r="B5845" s="39" t="str">
        <x:v>2026-08-05T15:15:00</x:v>
      </x:c>
      <x:c r="C5845" s="39" t="str">
        <x:v>2026-08-05T15:30:00</x:v>
      </x:c>
      <x:c r="D5845" s="47" t="n">
        <x:v>15</x:v>
      </x:c>
      <x:c r="E5845" s="40" t="n">
        <x:v>18.2</x:v>
      </x:c>
      <x:c r="F5845" s="40" t="n">
        <x:v>17.01595687866211</x:v>
      </x:c>
      <x:c r="G5845" s="40" t="n">
        <x:v>18.3</x:v>
      </x:c>
      <x:c r="H5845" s="40" t="n">
        <x:f>F5845-E5845</x:f>
        <x:v>-1.18404312133789</x:v>
      </x:c>
      <x:c r="I5845" s="40" t="n">
        <x:f>ABS(H5845)</x:f>
        <x:v>1.18404312133789</x:v>
      </x:c>
      <x:c r="J5845" s="40" t="n">
        <x:f>H5845^2</x:f>
        <x:v>1.4019581131875731</x:v>
      </x:c>
      <x:c r="K5845" s="40" t="n">
        <x:f>G5845-E5845</x:f>
        <x:v>0.10000000000000142</x:v>
      </x:c>
      <x:c r="L5845" s="40" t="n">
        <x:f>ABS(K5845)</x:f>
        <x:v>0.10000000000000142</x:v>
      </x:c>
      <x:c r="M5845" s="41" t="str">
        <x:v>lstm-soil-v1</x:v>
      </x:c>
    </x:row>
    <x:row r="5846">
      <x:c r="A5846" s="38" t="str">
        <x:v>7月30日现场数据</x:v>
      </x:c>
      <x:c r="B5846" s="39" t="str">
        <x:v>2026-08-05T15:15:00</x:v>
      </x:c>
      <x:c r="C5846" s="39" t="str">
        <x:v>2026-08-05T15:45:00</x:v>
      </x:c>
      <x:c r="D5846" s="47" t="n">
        <x:v>30</x:v>
      </x:c>
      <x:c r="E5846" s="40" t="n">
        <x:v>18.2</x:v>
      </x:c>
      <x:c r="F5846" s="40" t="n">
        <x:v>17.32921600341797</x:v>
      </x:c>
      <x:c r="G5846" s="40" t="n">
        <x:v>18.3</x:v>
      </x:c>
      <x:c r="H5846" s="40" t="n">
        <x:f>F5846-E5846</x:f>
        <x:v>-0.8707839965820305</x:v>
      </x:c>
      <x:c r="I5846" s="40" t="n">
        <x:f>ABS(H5846)</x:f>
        <x:v>0.8707839965820305</x:v>
      </x:c>
      <x:c r="J5846" s="40" t="n">
        <x:f>H5846^2</x:f>
        <x:v>0.7582647687033738</x:v>
      </x:c>
      <x:c r="K5846" s="40" t="n">
        <x:f>G5846-E5846</x:f>
        <x:v>0.10000000000000142</x:v>
      </x:c>
      <x:c r="L5846" s="40" t="n">
        <x:f>ABS(K5846)</x:f>
        <x:v>0.10000000000000142</x:v>
      </x:c>
      <x:c r="M5846" s="41" t="str">
        <x:v>lstm-soil-v1</x:v>
      </x:c>
    </x:row>
    <x:row r="5847">
      <x:c r="A5847" s="38" t="str">
        <x:v>7月30日现场数据</x:v>
      </x:c>
      <x:c r="B5847" s="39" t="str">
        <x:v>2026-08-05T15:15:00</x:v>
      </x:c>
      <x:c r="C5847" s="39" t="str">
        <x:v>2026-08-05T16:15:00</x:v>
      </x:c>
      <x:c r="D5847" s="47" t="n">
        <x:v>60</x:v>
      </x:c>
      <x:c r="E5847" s="40" t="n">
        <x:v>18.1</x:v>
      </x:c>
      <x:c r="F5847" s="40" t="n">
        <x:v>19.097599029541016</x:v>
      </x:c>
      <x:c r="G5847" s="40" t="n">
        <x:v>18.3</x:v>
      </x:c>
      <x:c r="H5847" s="40" t="n">
        <x:f>F5847-E5847</x:f>
        <x:v>0.9975990295410142</x:v>
      </x:c>
      <x:c r="I5847" s="40" t="n">
        <x:f>ABS(H5847)</x:f>
        <x:v>0.9975990295410142</x:v>
      </x:c>
      <x:c r="J5847" s="40" t="n">
        <x:f>H5847^2</x:f>
        <x:v>0.9952038237411733</x:v>
      </x:c>
      <x:c r="K5847" s="40" t="n">
        <x:f>G5847-E5847</x:f>
        <x:v>0.1999999999999993</x:v>
      </x:c>
      <x:c r="L5847" s="40" t="n">
        <x:f>ABS(K5847)</x:f>
        <x:v>0.1999999999999993</x:v>
      </x:c>
      <x:c r="M5847" s="41" t="str">
        <x:v>lstm-soil-v1</x:v>
      </x:c>
    </x:row>
    <x:row r="5848">
      <x:c r="A5848" s="38" t="str">
        <x:v>7月30日现场数据</x:v>
      </x:c>
      <x:c r="B5848" s="39" t="str">
        <x:v>2026-08-05T15:20:00</x:v>
      </x:c>
      <x:c r="C5848" s="39" t="str">
        <x:v>2026-08-05T15:25:00</x:v>
      </x:c>
      <x:c r="D5848" s="47" t="n">
        <x:v>5</x:v>
      </x:c>
      <x:c r="E5848" s="40" t="n">
        <x:v>18.2</x:v>
      </x:c>
      <x:c r="F5848" s="40" t="n">
        <x:v>16.93442153930664</x:v>
      </x:c>
      <x:c r="G5848" s="40" t="n">
        <x:v>18.3</x:v>
      </x:c>
      <x:c r="H5848" s="40" t="n">
        <x:f>F5848-E5848</x:f>
        <x:v>-1.2655784606933587</x:v>
      </x:c>
      <x:c r="I5848" s="40" t="n">
        <x:f>ABS(H5848)</x:f>
        <x:v>1.2655784606933587</x:v>
      </x:c>
      <x:c r="J5848" s="40" t="n">
        <x:f>H5848^2</x:f>
        <x:v>1.6016888401709712</x:v>
      </x:c>
      <x:c r="K5848" s="40" t="n">
        <x:f>G5848-E5848</x:f>
        <x:v>0.10000000000000142</x:v>
      </x:c>
      <x:c r="L5848" s="40" t="n">
        <x:f>ABS(K5848)</x:f>
        <x:v>0.10000000000000142</x:v>
      </x:c>
      <x:c r="M5848" s="41" t="str">
        <x:v>lstm-soil-v1</x:v>
      </x:c>
    </x:row>
    <x:row r="5849">
      <x:c r="A5849" s="38" t="str">
        <x:v>7月30日现场数据</x:v>
      </x:c>
      <x:c r="B5849" s="39" t="str">
        <x:v>2026-08-05T15:20:00</x:v>
      </x:c>
      <x:c r="C5849" s="39" t="str">
        <x:v>2026-08-05T15:35:00</x:v>
      </x:c>
      <x:c r="D5849" s="47" t="n">
        <x:v>15</x:v>
      </x:c>
      <x:c r="E5849" s="40" t="n">
        <x:v>18.2</x:v>
      </x:c>
      <x:c r="F5849" s="40" t="n">
        <x:v>17.015277862548828</x:v>
      </x:c>
      <x:c r="G5849" s="40" t="n">
        <x:v>18.3</x:v>
      </x:c>
      <x:c r="H5849" s="40" t="n">
        <x:f>F5849-E5849</x:f>
        <x:v>-1.1847221374511712</x:v>
      </x:c>
      <x:c r="I5849" s="40" t="n">
        <x:f>ABS(H5849)</x:f>
        <x:v>1.1847221374511712</x:v>
      </x:c>
      <x:c r="J5849" s="40" t="n">
        <x:f>H5849^2</x:f>
        <x:v>1.4035665429668718</x:v>
      </x:c>
      <x:c r="K5849" s="40" t="n">
        <x:f>G5849-E5849</x:f>
        <x:v>0.10000000000000142</x:v>
      </x:c>
      <x:c r="L5849" s="40" t="n">
        <x:f>ABS(K5849)</x:f>
        <x:v>0.10000000000000142</x:v>
      </x:c>
      <x:c r="M5849" s="41" t="str">
        <x:v>lstm-soil-v1</x:v>
      </x:c>
    </x:row>
    <x:row r="5850">
      <x:c r="A5850" s="38" t="str">
        <x:v>7月30日现场数据</x:v>
      </x:c>
      <x:c r="B5850" s="39" t="str">
        <x:v>2026-08-05T15:20:00</x:v>
      </x:c>
      <x:c r="C5850" s="39" t="str">
        <x:v>2026-08-05T15:50:00</x:v>
      </x:c>
      <x:c r="D5850" s="47" t="n">
        <x:v>30</x:v>
      </x:c>
      <x:c r="E5850" s="40" t="n">
        <x:v>18.2</x:v>
      </x:c>
      <x:c r="F5850" s="40" t="n">
        <x:v>17.325519561767578</x:v>
      </x:c>
      <x:c r="G5850" s="40" t="n">
        <x:v>18.3</x:v>
      </x:c>
      <x:c r="H5850" s="40" t="n">
        <x:f>F5850-E5850</x:f>
        <x:v>-0.8744804382324212</x:v>
      </x:c>
      <x:c r="I5850" s="40" t="n">
        <x:f>ABS(H5850)</x:f>
        <x:v>0.8744804382324212</x:v>
      </x:c>
      <x:c r="J5850" s="40" t="n">
        <x:f>H5850^2</x:f>
        <x:v>0.7647160368511674</x:v>
      </x:c>
      <x:c r="K5850" s="40" t="n">
        <x:f>G5850-E5850</x:f>
        <x:v>0.10000000000000142</x:v>
      </x:c>
      <x:c r="L5850" s="40" t="n">
        <x:f>ABS(K5850)</x:f>
        <x:v>0.10000000000000142</x:v>
      </x:c>
      <x:c r="M5850" s="41" t="str">
        <x:v>lstm-soil-v1</x:v>
      </x:c>
    </x:row>
    <x:row r="5851">
      <x:c r="A5851" s="38" t="str">
        <x:v>7月30日现场数据</x:v>
      </x:c>
      <x:c r="B5851" s="39" t="str">
        <x:v>2026-08-05T15:20:00</x:v>
      </x:c>
      <x:c r="C5851" s="39" t="str">
        <x:v>2026-08-05T16:20:00</x:v>
      </x:c>
      <x:c r="D5851" s="47" t="n">
        <x:v>60</x:v>
      </x:c>
      <x:c r="E5851" s="40" t="n">
        <x:v>18.1</x:v>
      </x:c>
      <x:c r="F5851" s="40" t="n">
        <x:v>19.093650817871094</x:v>
      </x:c>
      <x:c r="G5851" s="40" t="n">
        <x:v>18.3</x:v>
      </x:c>
      <x:c r="H5851" s="40" t="n">
        <x:f>F5851-E5851</x:f>
        <x:v>0.9936508178710923</x:v>
      </x:c>
      <x:c r="I5851" s="40" t="n">
        <x:f>ABS(H5851)</x:f>
        <x:v>0.9936508178710923</x:v>
      </x:c>
      <x:c r="J5851" s="40" t="n">
        <x:f>H5851^2</x:f>
        <x:v>0.9873419478558907</x:v>
      </x:c>
      <x:c r="K5851" s="40" t="n">
        <x:f>G5851-E5851</x:f>
        <x:v>0.1999999999999993</x:v>
      </x:c>
      <x:c r="L5851" s="40" t="n">
        <x:f>ABS(K5851)</x:f>
        <x:v>0.1999999999999993</x:v>
      </x:c>
      <x:c r="M5851" s="41" t="str">
        <x:v>lstm-soil-v1</x:v>
      </x:c>
    </x:row>
    <x:row r="5852">
      <x:c r="A5852" s="38" t="str">
        <x:v>7月30日现场数据</x:v>
      </x:c>
      <x:c r="B5852" s="39" t="str">
        <x:v>2026-08-05T15:25:00</x:v>
      </x:c>
      <x:c r="C5852" s="39" t="str">
        <x:v>2026-08-05T15:30:00</x:v>
      </x:c>
      <x:c r="D5852" s="47" t="n">
        <x:v>5</x:v>
      </x:c>
      <x:c r="E5852" s="40" t="n">
        <x:v>18.2</x:v>
      </x:c>
      <x:c r="F5852" s="40" t="n">
        <x:v>16.822402954101562</x:v>
      </x:c>
      <x:c r="G5852" s="40" t="n">
        <x:v>18.2</x:v>
      </x:c>
      <x:c r="H5852" s="40" t="n">
        <x:f>F5852-E5852</x:f>
        <x:v>-1.3775970458984368</x:v>
      </x:c>
      <x:c r="I5852" s="40" t="n">
        <x:f>ABS(H5852)</x:f>
        <x:v>1.3775970458984368</x:v>
      </x:c>
      <x:c r="J5852" s="40" t="n">
        <x:f>H5852^2</x:f>
        <x:v>1.8977736208680998</x:v>
      </x:c>
      <x:c r="K5852" s="40" t="n">
        <x:f>G5852-E5852</x:f>
        <x:v>0</x:v>
      </x:c>
      <x:c r="L5852" s="40" t="n">
        <x:f>ABS(K5852)</x:f>
        <x:v>0</x:v>
      </x:c>
      <x:c r="M5852" s="41" t="str">
        <x:v>lstm-soil-v1</x:v>
      </x:c>
    </x:row>
    <x:row r="5853">
      <x:c r="A5853" s="38" t="str">
        <x:v>7月30日现场数据</x:v>
      </x:c>
      <x:c r="B5853" s="39" t="str">
        <x:v>2026-08-05T15:25:00</x:v>
      </x:c>
      <x:c r="C5853" s="39" t="str">
        <x:v>2026-08-05T15:40:00</x:v>
      </x:c>
      <x:c r="D5853" s="47" t="n">
        <x:v>15</x:v>
      </x:c>
      <x:c r="E5853" s="40" t="n">
        <x:v>18.2</x:v>
      </x:c>
      <x:c r="F5853" s="40" t="n">
        <x:v>16.90399169921875</x:v>
      </x:c>
      <x:c r="G5853" s="40" t="n">
        <x:v>18.2</x:v>
      </x:c>
      <x:c r="H5853" s="40" t="n">
        <x:f>F5853-E5853</x:f>
        <x:v>-1.2960083007812493</x:v>
      </x:c>
      <x:c r="I5853" s="40" t="n">
        <x:f>ABS(H5853)</x:f>
        <x:v>1.2960083007812493</x:v>
      </x:c>
      <x:c r="J5853" s="40" t="n">
        <x:f>H5853^2</x:f>
        <x:v>1.6796375156939012</x:v>
      </x:c>
      <x:c r="K5853" s="40" t="n">
        <x:f>G5853-E5853</x:f>
        <x:v>0</x:v>
      </x:c>
      <x:c r="L5853" s="40" t="n">
        <x:f>ABS(K5853)</x:f>
        <x:v>0</x:v>
      </x:c>
      <x:c r="M5853" s="41" t="str">
        <x:v>lstm-soil-v1</x:v>
      </x:c>
    </x:row>
    <x:row r="5854">
      <x:c r="A5854" s="38" t="str">
        <x:v>7月30日现场数据</x:v>
      </x:c>
      <x:c r="B5854" s="39" t="str">
        <x:v>2026-08-05T15:25:00</x:v>
      </x:c>
      <x:c r="C5854" s="39" t="str">
        <x:v>2026-08-05T15:55:00</x:v>
      </x:c>
      <x:c r="D5854" s="47" t="n">
        <x:v>30</x:v>
      </x:c>
      <x:c r="E5854" s="40" t="n">
        <x:v>18.1</x:v>
      </x:c>
      <x:c r="F5854" s="40" t="n">
        <x:v>17.212223052978516</x:v>
      </x:c>
      <x:c r="G5854" s="40" t="n">
        <x:v>18.2</x:v>
      </x:c>
      <x:c r="H5854" s="40" t="n">
        <x:f>F5854-E5854</x:f>
        <x:v>-0.8877769470214858</x:v>
      </x:c>
      <x:c r="I5854" s="40" t="n">
        <x:f>ABS(H5854)</x:f>
        <x:v>0.8877769470214858</x:v>
      </x:c>
      <x:c r="J5854" s="40" t="n">
        <x:f>H5854^2</x:f>
        <x:v>0.78814790766279</x:v>
      </x:c>
      <x:c r="K5854" s="40" t="n">
        <x:f>G5854-E5854</x:f>
        <x:v>0.09999999999999787</x:v>
      </x:c>
      <x:c r="L5854" s="40" t="n">
        <x:f>ABS(K5854)</x:f>
        <x:v>0.09999999999999787</x:v>
      </x:c>
      <x:c r="M5854" s="41" t="str">
        <x:v>lstm-soil-v1</x:v>
      </x:c>
    </x:row>
    <x:row r="5855">
      <x:c r="A5855" s="38" t="str">
        <x:v>7月30日现场数据</x:v>
      </x:c>
      <x:c r="B5855" s="39" t="str">
        <x:v>2026-08-05T15:25:00</x:v>
      </x:c>
      <x:c r="C5855" s="39" t="str">
        <x:v>2026-08-05T16:25:00</x:v>
      </x:c>
      <x:c r="D5855" s="47" t="n">
        <x:v>60</x:v>
      </x:c>
      <x:c r="E5855" s="40" t="n">
        <x:v>18.1</x:v>
      </x:c>
      <x:c r="F5855" s="40" t="n">
        <x:v>18.98101043701172</x:v>
      </x:c>
      <x:c r="G5855" s="40" t="n">
        <x:v>18.2</x:v>
      </x:c>
      <x:c r="H5855" s="40" t="n">
        <x:f>F5855-E5855</x:f>
        <x:v>0.8810104370117173</x:v>
      </x:c>
      <x:c r="I5855" s="40" t="n">
        <x:f>ABS(H5855)</x:f>
        <x:v>0.8810104370117173</x:v>
      </x:c>
      <x:c r="J5855" s="40" t="n">
        <x:f>H5855^2</x:f>
        <x:v>0.7761793901235772</x:v>
      </x:c>
      <x:c r="K5855" s="40" t="n">
        <x:f>G5855-E5855</x:f>
        <x:v>0.09999999999999787</x:v>
      </x:c>
      <x:c r="L5855" s="40" t="n">
        <x:f>ABS(K5855)</x:f>
        <x:v>0.09999999999999787</x:v>
      </x:c>
      <x:c r="M5855" s="41" t="str">
        <x:v>lstm-soil-v1</x:v>
      </x:c>
    </x:row>
    <x:row r="5856">
      <x:c r="A5856" s="38" t="str">
        <x:v>7月30日现场数据</x:v>
      </x:c>
      <x:c r="B5856" s="39" t="str">
        <x:v>2026-08-05T15:30:00</x:v>
      </x:c>
      <x:c r="C5856" s="39" t="str">
        <x:v>2026-08-05T15:35:00</x:v>
      </x:c>
      <x:c r="D5856" s="47" t="n">
        <x:v>5</x:v>
      </x:c>
      <x:c r="E5856" s="40" t="n">
        <x:v>18.2</x:v>
      </x:c>
      <x:c r="F5856" s="40" t="n">
        <x:v>16.82257080078125</x:v>
      </x:c>
      <x:c r="G5856" s="40" t="n">
        <x:v>18.2</x:v>
      </x:c>
      <x:c r="H5856" s="40" t="n">
        <x:f>F5856-E5856</x:f>
        <x:v>-1.3774291992187493</x:v>
      </x:c>
      <x:c r="I5856" s="40" t="n">
        <x:f>ABS(H5856)</x:f>
        <x:v>1.3774291992187493</x:v>
      </x:c>
      <x:c r="J5856" s="40" t="n">
        <x:f>H5856^2</x:f>
        <x:v>1.897311198860405</x:v>
      </x:c>
      <x:c r="K5856" s="40" t="n">
        <x:f>G5856-E5856</x:f>
        <x:v>0</x:v>
      </x:c>
      <x:c r="L5856" s="40" t="n">
        <x:f>ABS(K5856)</x:f>
        <x:v>0</x:v>
      </x:c>
      <x:c r="M5856" s="41" t="str">
        <x:v>lstm-soil-v1</x:v>
      </x:c>
    </x:row>
    <x:row r="5857">
      <x:c r="A5857" s="38" t="str">
        <x:v>7月30日现场数据</x:v>
      </x:c>
      <x:c r="B5857" s="39" t="str">
        <x:v>2026-08-05T15:30:00</x:v>
      </x:c>
      <x:c r="C5857" s="39" t="str">
        <x:v>2026-08-05T15:45:00</x:v>
      </x:c>
      <x:c r="D5857" s="47" t="n">
        <x:v>15</x:v>
      </x:c>
      <x:c r="E5857" s="40" t="n">
        <x:v>18.2</x:v>
      </x:c>
      <x:c r="F5857" s="40" t="n">
        <x:v>16.903053283691406</x:v>
      </x:c>
      <x:c r="G5857" s="40" t="n">
        <x:v>18.2</x:v>
      </x:c>
      <x:c r="H5857" s="40" t="n">
        <x:f>F5857-E5857</x:f>
        <x:v>-1.296946716308593</x:v>
      </x:c>
      <x:c r="I5857" s="40" t="n">
        <x:f>ABS(H5857)</x:f>
        <x:v>1.296946716308593</x:v>
      </x:c>
      <x:c r="J5857" s="40" t="n">
        <x:f>H5857^2</x:f>
        <x:v>1.682070784943642</x:v>
      </x:c>
      <x:c r="K5857" s="40" t="n">
        <x:f>G5857-E5857</x:f>
        <x:v>0</x:v>
      </x:c>
      <x:c r="L5857" s="40" t="n">
        <x:f>ABS(K5857)</x:f>
        <x:v>0</x:v>
      </x:c>
      <x:c r="M5857" s="41" t="str">
        <x:v>lstm-soil-v1</x:v>
      </x:c>
    </x:row>
    <x:row r="5858">
      <x:c r="A5858" s="38" t="str">
        <x:v>7月30日现场数据</x:v>
      </x:c>
      <x:c r="B5858" s="39" t="str">
        <x:v>2026-08-05T15:30:00</x:v>
      </x:c>
      <x:c r="C5858" s="39" t="str">
        <x:v>2026-08-05T16:00:00</x:v>
      </x:c>
      <x:c r="D5858" s="47" t="n">
        <x:v>30</x:v>
      </x:c>
      <x:c r="E5858" s="40" t="n">
        <x:v>18.1</x:v>
      </x:c>
      <x:c r="F5858" s="40" t="n">
        <x:v>17.211692810058594</x:v>
      </x:c>
      <x:c r="G5858" s="40" t="n">
        <x:v>18.2</x:v>
      </x:c>
      <x:c r="H5858" s="40" t="n">
        <x:f>F5858-E5858</x:f>
        <x:v>-0.8883071899414077</x:v>
      </x:c>
      <x:c r="I5858" s="40" t="n">
        <x:f>ABS(H5858)</x:f>
        <x:v>0.8883071899414077</x:v>
      </x:c>
      <x:c r="J5858" s="40" t="n">
        <x:f>H5858^2</x:f>
        <x:v>0.7890896637016002</x:v>
      </x:c>
      <x:c r="K5858" s="40" t="n">
        <x:f>G5858-E5858</x:f>
        <x:v>0.09999999999999787</x:v>
      </x:c>
      <x:c r="L5858" s="40" t="n">
        <x:f>ABS(K5858)</x:f>
        <x:v>0.09999999999999787</x:v>
      </x:c>
      <x:c r="M5858" s="41" t="str">
        <x:v>lstm-soil-v1</x:v>
      </x:c>
    </x:row>
    <x:row r="5859">
      <x:c r="A5859" s="38" t="str">
        <x:v>7月30日现场数据</x:v>
      </x:c>
      <x:c r="B5859" s="39" t="str">
        <x:v>2026-08-05T15:30:00</x:v>
      </x:c>
      <x:c r="C5859" s="39" t="str">
        <x:v>2026-08-05T16:30:00</x:v>
      </x:c>
      <x:c r="D5859" s="47" t="n">
        <x:v>60</x:v>
      </x:c>
      <x:c r="E5859" s="40" t="n">
        <x:v>18.1</x:v>
      </x:c>
      <x:c r="F5859" s="40" t="n">
        <x:v>18.98227310180664</x:v>
      </x:c>
      <x:c r="G5859" s="40" t="n">
        <x:v>18.2</x:v>
      </x:c>
      <x:c r="H5859" s="40" t="n">
        <x:f>F5859-E5859</x:f>
        <x:v>0.8822731018066392</x:v>
      </x:c>
      <x:c r="I5859" s="40" t="n">
        <x:f>ABS(H5859)</x:f>
        <x:v>0.8822731018066392</x:v>
      </x:c>
      <x:c r="J5859" s="40" t="n">
        <x:f>H5859^2</x:f>
        <x:v>0.7784058261715083</x:v>
      </x:c>
      <x:c r="K5859" s="40" t="n">
        <x:f>G5859-E5859</x:f>
        <x:v>0.09999999999999787</x:v>
      </x:c>
      <x:c r="L5859" s="40" t="n">
        <x:f>ABS(K5859)</x:f>
        <x:v>0.09999999999999787</x:v>
      </x:c>
      <x:c r="M5859" s="41" t="str">
        <x:v>lstm-soil-v1</x:v>
      </x:c>
    </x:row>
    <x:row r="5860">
      <x:c r="A5860" s="38" t="str">
        <x:v>7月30日现场数据</x:v>
      </x:c>
      <x:c r="B5860" s="39" t="str">
        <x:v>2026-08-05T15:35:00</x:v>
      </x:c>
      <x:c r="C5860" s="39" t="str">
        <x:v>2026-08-05T15:40:00</x:v>
      </x:c>
      <x:c r="D5860" s="47" t="n">
        <x:v>5</x:v>
      </x:c>
      <x:c r="E5860" s="40" t="n">
        <x:v>18.2</x:v>
      </x:c>
      <x:c r="F5860" s="40" t="n">
        <x:v>16.821002960205078</x:v>
      </x:c>
      <x:c r="G5860" s="40" t="n">
        <x:v>18.2</x:v>
      </x:c>
      <x:c r="H5860" s="40" t="n">
        <x:f>F5860-E5860</x:f>
        <x:v>-1.3789970397949212</x:v>
      </x:c>
      <x:c r="I5860" s="40" t="n">
        <x:f>ABS(H5860)</x:f>
        <x:v>1.3789970397949212</x:v>
      </x:c>
      <x:c r="J5860" s="40" t="n">
        <x:f>H5860^2</x:f>
        <x:v>1.9016328357631553</x:v>
      </x:c>
      <x:c r="K5860" s="40" t="n">
        <x:f>G5860-E5860</x:f>
        <x:v>0</x:v>
      </x:c>
      <x:c r="L5860" s="40" t="n">
        <x:f>ABS(K5860)</x:f>
        <x:v>0</x:v>
      </x:c>
      <x:c r="M5860" s="41" t="str">
        <x:v>lstm-soil-v1</x:v>
      </x:c>
    </x:row>
    <x:row r="5861">
      <x:c r="A5861" s="38" t="str">
        <x:v>7月30日现场数据</x:v>
      </x:c>
      <x:c r="B5861" s="39" t="str">
        <x:v>2026-08-05T15:35:00</x:v>
      </x:c>
      <x:c r="C5861" s="39" t="str">
        <x:v>2026-08-05T15:50:00</x:v>
      </x:c>
      <x:c r="D5861" s="47" t="n">
        <x:v>15</x:v>
      </x:c>
      <x:c r="E5861" s="40" t="n">
        <x:v>18.2</x:v>
      </x:c>
      <x:c r="F5861" s="40" t="n">
        <x:v>16.90249252319336</x:v>
      </x:c>
      <x:c r="G5861" s="40" t="n">
        <x:v>18.2</x:v>
      </x:c>
      <x:c r="H5861" s="40" t="n">
        <x:f>F5861-E5861</x:f>
        <x:v>-1.29750747680664</x:v>
      </x:c>
      <x:c r="I5861" s="40" t="n">
        <x:f>ABS(H5861)</x:f>
        <x:v>1.29750747680664</x:v>
      </x:c>
      <x:c r="J5861" s="40" t="n">
        <x:f>H5861^2</x:f>
        <x:v>1.6835256523691333</x:v>
      </x:c>
      <x:c r="K5861" s="40" t="n">
        <x:f>G5861-E5861</x:f>
        <x:v>0</x:v>
      </x:c>
      <x:c r="L5861" s="40" t="n">
        <x:f>ABS(K5861)</x:f>
        <x:v>0</x:v>
      </x:c>
      <x:c r="M5861" s="41" t="str">
        <x:v>lstm-soil-v1</x:v>
      </x:c>
    </x:row>
    <x:row r="5862">
      <x:c r="A5862" s="38" t="str">
        <x:v>7月30日现场数据</x:v>
      </x:c>
      <x:c r="B5862" s="39" t="str">
        <x:v>2026-08-05T15:35:00</x:v>
      </x:c>
      <x:c r="C5862" s="39" t="str">
        <x:v>2026-08-05T16:05:00</x:v>
      </x:c>
      <x:c r="D5862" s="47" t="n">
        <x:v>30</x:v>
      </x:c>
      <x:c r="E5862" s="40" t="n">
        <x:v>18.1</x:v>
      </x:c>
      <x:c r="F5862" s="40" t="n">
        <x:v>17.210006713867188</x:v>
      </x:c>
      <x:c r="G5862" s="40" t="n">
        <x:v>18.2</x:v>
      </x:c>
      <x:c r="H5862" s="40" t="n">
        <x:f>F5862-E5862</x:f>
        <x:v>-0.8899932861328139</x:v>
      </x:c>
      <x:c r="I5862" s="40" t="n">
        <x:f>ABS(H5862)</x:f>
        <x:v>0.8899932861328139</x:v>
      </x:c>
      <x:c r="J5862" s="40" t="n">
        <x:f>H5862^2</x:f>
        <x:v>0.7920880493614848</x:v>
      </x:c>
      <x:c r="K5862" s="40" t="n">
        <x:f>G5862-E5862</x:f>
        <x:v>0.09999999999999787</x:v>
      </x:c>
      <x:c r="L5862" s="40" t="n">
        <x:f>ABS(K5862)</x:f>
        <x:v>0.09999999999999787</x:v>
      </x:c>
      <x:c r="M5862" s="41" t="str">
        <x:v>lstm-soil-v1</x:v>
      </x:c>
    </x:row>
    <x:row r="5863">
      <x:c r="A5863" s="38" t="str">
        <x:v>7月30日现场数据</x:v>
      </x:c>
      <x:c r="B5863" s="39" t="str">
        <x:v>2026-08-05T15:35:00</x:v>
      </x:c>
      <x:c r="C5863" s="39" t="str">
        <x:v>2026-08-05T16:35:00</x:v>
      </x:c>
      <x:c r="D5863" s="47" t="n">
        <x:v>60</x:v>
      </x:c>
      <x:c r="E5863" s="40" t="n">
        <x:v>18.1</x:v>
      </x:c>
      <x:c r="F5863" s="40" t="n">
        <x:v>18.979957580566406</x:v>
      </x:c>
      <x:c r="G5863" s="40" t="n">
        <x:v>18.2</x:v>
      </x:c>
      <x:c r="H5863" s="40" t="n">
        <x:f>F5863-E5863</x:f>
        <x:v>0.8799575805664048</x:v>
      </x:c>
      <x:c r="I5863" s="40" t="n">
        <x:f>ABS(H5863)</x:f>
        <x:v>0.8799575805664048</x:v>
      </x:c>
      <x:c r="J5863" s="40" t="n">
        <x:f>H5863^2</x:f>
        <x:v>0.7743253435962808</x:v>
      </x:c>
      <x:c r="K5863" s="40" t="n">
        <x:f>G5863-E5863</x:f>
        <x:v>0.09999999999999787</x:v>
      </x:c>
      <x:c r="L5863" s="40" t="n">
        <x:f>ABS(K5863)</x:f>
        <x:v>0.09999999999999787</x:v>
      </x:c>
      <x:c r="M5863" s="41" t="str">
        <x:v>lstm-soil-v1</x:v>
      </x:c>
    </x:row>
    <x:row r="5864">
      <x:c r="A5864" s="38" t="str">
        <x:v>7月30日现场数据</x:v>
      </x:c>
      <x:c r="B5864" s="39" t="str">
        <x:v>2026-08-05T15:40:00</x:v>
      </x:c>
      <x:c r="C5864" s="39" t="str">
        <x:v>2026-08-05T15:45:00</x:v>
      </x:c>
      <x:c r="D5864" s="47" t="n">
        <x:v>5</x:v>
      </x:c>
      <x:c r="E5864" s="40" t="n">
        <x:v>18.2</x:v>
      </x:c>
      <x:c r="F5864" s="40" t="n">
        <x:v>16.819393157958984</x:v>
      </x:c>
      <x:c r="G5864" s="40" t="n">
        <x:v>18.2</x:v>
      </x:c>
      <x:c r="H5864" s="40" t="n">
        <x:f>F5864-E5864</x:f>
        <x:v>-1.380606842041015</x:v>
      </x:c>
      <x:c r="I5864" s="40" t="n">
        <x:f>ABS(H5864)</x:f>
        <x:v>1.380606842041015</x:v>
      </x:c>
      <x:c r="J5864" s="40" t="n">
        <x:f>H5864^2</x:f>
        <x:v>1.9060752522904638</x:v>
      </x:c>
      <x:c r="K5864" s="40" t="n">
        <x:f>G5864-E5864</x:f>
        <x:v>0</x:v>
      </x:c>
      <x:c r="L5864" s="40" t="n">
        <x:f>ABS(K5864)</x:f>
        <x:v>0</x:v>
      </x:c>
      <x:c r="M5864" s="41" t="str">
        <x:v>lstm-soil-v1</x:v>
      </x:c>
    </x:row>
    <x:row r="5865">
      <x:c r="A5865" s="38" t="str">
        <x:v>7月30日现场数据</x:v>
      </x:c>
      <x:c r="B5865" s="39" t="str">
        <x:v>2026-08-05T15:40:00</x:v>
      </x:c>
      <x:c r="C5865" s="39" t="str">
        <x:v>2026-08-05T15:55:00</x:v>
      </x:c>
      <x:c r="D5865" s="47" t="n">
        <x:v>15</x:v>
      </x:c>
      <x:c r="E5865" s="40" t="n">
        <x:v>18.1</x:v>
      </x:c>
      <x:c r="F5865" s="40" t="n">
        <x:v>16.901695251464844</x:v>
      </x:c>
      <x:c r="G5865" s="40" t="n">
        <x:v>18.2</x:v>
      </x:c>
      <x:c r="H5865" s="40" t="n">
        <x:f>F5865-E5865</x:f>
        <x:v>-1.1983047485351577</x:v>
      </x:c>
      <x:c r="I5865" s="40" t="n">
        <x:f>ABS(H5865)</x:f>
        <x:v>1.1983047485351577</x:v>
      </x:c>
      <x:c r="J5865" s="40" t="n">
        <x:f>H5865^2</x:f>
        <x:v>1.4359342703619074</x:v>
      </x:c>
      <x:c r="K5865" s="40" t="n">
        <x:f>G5865-E5865</x:f>
        <x:v>0.09999999999999787</x:v>
      </x:c>
      <x:c r="L5865" s="40" t="n">
        <x:f>ABS(K5865)</x:f>
        <x:v>0.09999999999999787</x:v>
      </x:c>
      <x:c r="M5865" s="41" t="str">
        <x:v>lstm-soil-v1</x:v>
      </x:c>
    </x:row>
    <x:row r="5866">
      <x:c r="A5866" s="38" t="str">
        <x:v>7月30日现场数据</x:v>
      </x:c>
      <x:c r="B5866" s="39" t="str">
        <x:v>2026-08-05T15:40:00</x:v>
      </x:c>
      <x:c r="C5866" s="39" t="str">
        <x:v>2026-08-05T16:10:00</x:v>
      </x:c>
      <x:c r="D5866" s="47" t="n">
        <x:v>30</x:v>
      </x:c>
      <x:c r="E5866" s="40" t="n">
        <x:v>18.1</x:v>
      </x:c>
      <x:c r="F5866" s="40" t="n">
        <x:v>17.2078857421875</x:v>
      </x:c>
      <x:c r="G5866" s="40" t="n">
        <x:v>18.2</x:v>
      </x:c>
      <x:c r="H5866" s="40" t="n">
        <x:f>F5866-E5866</x:f>
        <x:v>-0.8921142578125014</x:v>
      </x:c>
      <x:c r="I5866" s="40" t="n">
        <x:f>ABS(H5866)</x:f>
        <x:v>0.8921142578125014</x:v>
      </x:c>
      <x:c r="J5866" s="40" t="n">
        <x:f>H5866^2</x:f>
        <x:v>0.7958678489923503</x:v>
      </x:c>
      <x:c r="K5866" s="40" t="n">
        <x:f>G5866-E5866</x:f>
        <x:v>0.09999999999999787</x:v>
      </x:c>
      <x:c r="L5866" s="40" t="n">
        <x:f>ABS(K5866)</x:f>
        <x:v>0.09999999999999787</x:v>
      </x:c>
      <x:c r="M5866" s="41" t="str">
        <x:v>lstm-soil-v1</x:v>
      </x:c>
    </x:row>
    <x:row r="5867">
      <x:c r="A5867" s="38" t="str">
        <x:v>7月30日现场数据</x:v>
      </x:c>
      <x:c r="B5867" s="39" t="str">
        <x:v>2026-08-05T15:40:00</x:v>
      </x:c>
      <x:c r="C5867" s="39" t="str">
        <x:v>2026-08-05T16:40:00</x:v>
      </x:c>
      <x:c r="D5867" s="47" t="n">
        <x:v>60</x:v>
      </x:c>
      <x:c r="E5867" s="40" t="n">
        <x:v>18.1</x:v>
      </x:c>
      <x:c r="F5867" s="40" t="n">
        <x:v>18.977760314941406</x:v>
      </x:c>
      <x:c r="G5867" s="40" t="n">
        <x:v>18.2</x:v>
      </x:c>
      <x:c r="H5867" s="40" t="n">
        <x:f>F5867-E5867</x:f>
        <x:v>0.8777603149414048</x:v>
      </x:c>
      <x:c r="I5867" s="40" t="n">
        <x:f>ABS(H5867)</x:f>
        <x:v>0.8777603149414048</x:v>
      </x:c>
      <x:c r="J5867" s="40" t="n">
        <x:f>H5867^2</x:f>
        <x:v>0.7704631704860342</x:v>
      </x:c>
      <x:c r="K5867" s="40" t="n">
        <x:f>G5867-E5867</x:f>
        <x:v>0.09999999999999787</x:v>
      </x:c>
      <x:c r="L5867" s="40" t="n">
        <x:f>ABS(K5867)</x:f>
        <x:v>0.09999999999999787</x:v>
      </x:c>
      <x:c r="M5867" s="41" t="str">
        <x:v>lstm-soil-v1</x:v>
      </x:c>
    </x:row>
    <x:row r="5868">
      <x:c r="A5868" s="38" t="str">
        <x:v>7月30日现场数据</x:v>
      </x:c>
      <x:c r="B5868" s="39" t="str">
        <x:v>2026-08-05T15:45:00</x:v>
      </x:c>
      <x:c r="C5868" s="39" t="str">
        <x:v>2026-08-05T15:50:00</x:v>
      </x:c>
      <x:c r="D5868" s="47" t="n">
        <x:v>5</x:v>
      </x:c>
      <x:c r="E5868" s="40" t="n">
        <x:v>18.2</x:v>
      </x:c>
      <x:c r="F5868" s="40" t="n">
        <x:v>16.816753387451172</x:v>
      </x:c>
      <x:c r="G5868" s="40" t="n">
        <x:v>18.2</x:v>
      </x:c>
      <x:c r="H5868" s="40" t="n">
        <x:f>F5868-E5868</x:f>
        <x:v>-1.3832466125488274</x:v>
      </x:c>
      <x:c r="I5868" s="40" t="n">
        <x:f>ABS(H5868)</x:f>
        <x:v>1.3832466125488274</x:v>
      </x:c>
      <x:c r="J5868" s="40" t="n">
        <x:f>H5868^2</x:f>
        <x:v>1.913371191127806</x:v>
      </x:c>
      <x:c r="K5868" s="40" t="n">
        <x:f>G5868-E5868</x:f>
        <x:v>0</x:v>
      </x:c>
      <x:c r="L5868" s="40" t="n">
        <x:f>ABS(K5868)</x:f>
        <x:v>0</x:v>
      </x:c>
      <x:c r="M5868" s="41" t="str">
        <x:v>lstm-soil-v1</x:v>
      </x:c>
    </x:row>
    <x:row r="5869">
      <x:c r="A5869" s="38" t="str">
        <x:v>7月30日现场数据</x:v>
      </x:c>
      <x:c r="B5869" s="39" t="str">
        <x:v>2026-08-05T15:45:00</x:v>
      </x:c>
      <x:c r="C5869" s="39" t="str">
        <x:v>2026-08-05T16:00:00</x:v>
      </x:c>
      <x:c r="D5869" s="47" t="n">
        <x:v>15</x:v>
      </x:c>
      <x:c r="E5869" s="40" t="n">
        <x:v>18.1</x:v>
      </x:c>
      <x:c r="F5869" s="40" t="n">
        <x:v>16.902694702148438</x:v>
      </x:c>
      <x:c r="G5869" s="40" t="n">
        <x:v>18.2</x:v>
      </x:c>
      <x:c r="H5869" s="40" t="n">
        <x:f>F5869-E5869</x:f>
        <x:v>-1.197305297851564</x:v>
      </x:c>
      <x:c r="I5869" s="40" t="n">
        <x:f>ABS(H5869)</x:f>
        <x:v>1.197305297851564</x:v>
      </x:c>
      <x:c r="J5869" s="40" t="n">
        <x:f>H5869^2</x:f>
        <x:v>1.4335399762634222</x:v>
      </x:c>
      <x:c r="K5869" s="40" t="n">
        <x:f>G5869-E5869</x:f>
        <x:v>0.09999999999999787</x:v>
      </x:c>
      <x:c r="L5869" s="40" t="n">
        <x:f>ABS(K5869)</x:f>
        <x:v>0.09999999999999787</x:v>
      </x:c>
      <x:c r="M5869" s="41" t="str">
        <x:v>lstm-soil-v1</x:v>
      </x:c>
    </x:row>
    <x:row r="5870">
      <x:c r="A5870" s="38" t="str">
        <x:v>7月30日现场数据</x:v>
      </x:c>
      <x:c r="B5870" s="39" t="str">
        <x:v>2026-08-05T15:45:00</x:v>
      </x:c>
      <x:c r="C5870" s="39" t="str">
        <x:v>2026-08-05T16:15:00</x:v>
      </x:c>
      <x:c r="D5870" s="47" t="n">
        <x:v>30</x:v>
      </x:c>
      <x:c r="E5870" s="40" t="n">
        <x:v>18.1</x:v>
      </x:c>
      <x:c r="F5870" s="40" t="n">
        <x:v>17.20498275756836</x:v>
      </x:c>
      <x:c r="G5870" s="40" t="n">
        <x:v>18.2</x:v>
      </x:c>
      <x:c r="H5870" s="40" t="n">
        <x:f>F5870-E5870</x:f>
        <x:v>-0.895017242431642</x:v>
      </x:c>
      <x:c r="I5870" s="40" t="n">
        <x:f>ABS(H5870)</x:f>
        <x:v>0.895017242431642</x:v>
      </x:c>
      <x:c r="J5870" s="40" t="n">
        <x:f>H5870^2</x:f>
        <x:v>0.8010558642499407</x:v>
      </x:c>
      <x:c r="K5870" s="40" t="n">
        <x:f>G5870-E5870</x:f>
        <x:v>0.09999999999999787</x:v>
      </x:c>
      <x:c r="L5870" s="40" t="n">
        <x:f>ABS(K5870)</x:f>
        <x:v>0.09999999999999787</x:v>
      </x:c>
      <x:c r="M5870" s="41" t="str">
        <x:v>lstm-soil-v1</x:v>
      </x:c>
    </x:row>
    <x:row r="5871">
      <x:c r="A5871" s="38" t="str">
        <x:v>7月30日现场数据</x:v>
      </x:c>
      <x:c r="B5871" s="39" t="str">
        <x:v>2026-08-05T15:45:00</x:v>
      </x:c>
      <x:c r="C5871" s="39" t="str">
        <x:v>2026-08-05T16:45:00</x:v>
      </x:c>
      <x:c r="D5871" s="47" t="n">
        <x:v>60</x:v>
      </x:c>
      <x:c r="E5871" s="40" t="n">
        <x:v>18.1</x:v>
      </x:c>
      <x:c r="F5871" s="40" t="n">
        <x:v>18.974254608154297</x:v>
      </x:c>
      <x:c r="G5871" s="40" t="n">
        <x:v>18.2</x:v>
      </x:c>
      <x:c r="H5871" s="40" t="n">
        <x:f>F5871-E5871</x:f>
        <x:v>0.8742546081542955</x:v>
      </x:c>
      <x:c r="I5871" s="40" t="n">
        <x:f>ABS(H5871)</x:f>
        <x:v>0.8742546081542955</x:v>
      </x:c>
      <x:c r="J5871" s="40" t="n">
        <x:f>H5871^2</x:f>
        <x:v>0.7643211198790207</x:v>
      </x:c>
      <x:c r="K5871" s="40" t="n">
        <x:f>G5871-E5871</x:f>
        <x:v>0.09999999999999787</x:v>
      </x:c>
      <x:c r="L5871" s="40" t="n">
        <x:f>ABS(K5871)</x:f>
        <x:v>0.09999999999999787</x:v>
      </x:c>
      <x:c r="M5871" s="41" t="str">
        <x:v>lstm-soil-v1</x:v>
      </x:c>
    </x:row>
    <x:row r="5872">
      <x:c r="A5872" s="38" t="str">
        <x:v>7月30日现场数据</x:v>
      </x:c>
      <x:c r="B5872" s="39" t="str">
        <x:v>2026-08-05T15:50:00</x:v>
      </x:c>
      <x:c r="C5872" s="39" t="str">
        <x:v>2026-08-05T15:55:00</x:v>
      </x:c>
      <x:c r="D5872" s="47" t="n">
        <x:v>5</x:v>
      </x:c>
      <x:c r="E5872" s="40" t="n">
        <x:v>18.1</x:v>
      </x:c>
      <x:c r="F5872" s="40" t="n">
        <x:v>16.813674926757812</x:v>
      </x:c>
      <x:c r="G5872" s="40" t="n">
        <x:v>18.2</x:v>
      </x:c>
      <x:c r="H5872" s="40" t="n">
        <x:f>F5872-E5872</x:f>
        <x:v>-1.286325073242189</x:v>
      </x:c>
      <x:c r="I5872" s="40" t="n">
        <x:f>ABS(H5872)</x:f>
        <x:v>1.286325073242189</x:v>
      </x:c>
      <x:c r="J5872" s="40" t="n">
        <x:f>H5872^2</x:f>
        <x:v>1.6546321940515227</x:v>
      </x:c>
      <x:c r="K5872" s="40" t="n">
        <x:f>G5872-E5872</x:f>
        <x:v>0.09999999999999787</x:v>
      </x:c>
      <x:c r="L5872" s="40" t="n">
        <x:f>ABS(K5872)</x:f>
        <x:v>0.09999999999999787</x:v>
      </x:c>
      <x:c r="M5872" s="41" t="str">
        <x:v>lstm-soil-v1</x:v>
      </x:c>
    </x:row>
    <x:row r="5873">
      <x:c r="A5873" s="38" t="str">
        <x:v>7月30日现场数据</x:v>
      </x:c>
      <x:c r="B5873" s="39" t="str">
        <x:v>2026-08-05T15:50:00</x:v>
      </x:c>
      <x:c r="C5873" s="39" t="str">
        <x:v>2026-08-05T16:05:00</x:v>
      </x:c>
      <x:c r="D5873" s="47" t="n">
        <x:v>15</x:v>
      </x:c>
      <x:c r="E5873" s="40" t="n">
        <x:v>18.1</x:v>
      </x:c>
      <x:c r="F5873" s="40" t="n">
        <x:v>16.901287078857422</x:v>
      </x:c>
      <x:c r="G5873" s="40" t="n">
        <x:v>18.2</x:v>
      </x:c>
      <x:c r="H5873" s="40" t="n">
        <x:f>F5873-E5873</x:f>
        <x:v>-1.1987129211425795</x:v>
      </x:c>
      <x:c r="I5873" s="40" t="n">
        <x:f>ABS(H5873)</x:f>
        <x:v>1.1987129211425795</x:v>
      </x:c>
      <x:c r="J5873" s="40" t="n">
        <x:f>H5873^2</x:f>
        <x:v>1.436912667314176</x:v>
      </x:c>
      <x:c r="K5873" s="40" t="n">
        <x:f>G5873-E5873</x:f>
        <x:v>0.09999999999999787</x:v>
      </x:c>
      <x:c r="L5873" s="40" t="n">
        <x:f>ABS(K5873)</x:f>
        <x:v>0.09999999999999787</x:v>
      </x:c>
      <x:c r="M5873" s="41" t="str">
        <x:v>lstm-soil-v1</x:v>
      </x:c>
    </x:row>
    <x:row r="5874">
      <x:c r="A5874" s="38" t="str">
        <x:v>7月30日现场数据</x:v>
      </x:c>
      <x:c r="B5874" s="39" t="str">
        <x:v>2026-08-05T15:50:00</x:v>
      </x:c>
      <x:c r="C5874" s="39" t="str">
        <x:v>2026-08-05T16:20:00</x:v>
      </x:c>
      <x:c r="D5874" s="47" t="n">
        <x:v>30</x:v>
      </x:c>
      <x:c r="E5874" s="40" t="n">
        <x:v>18.1</x:v>
      </x:c>
      <x:c r="F5874" s="40" t="n">
        <x:v>17.201080322265625</x:v>
      </x:c>
      <x:c r="G5874" s="40" t="n">
        <x:v>18.2</x:v>
      </x:c>
      <x:c r="H5874" s="40" t="n">
        <x:f>F5874-E5874</x:f>
        <x:v>-0.8989196777343764</x:v>
      </x:c>
      <x:c r="I5874" s="40" t="n">
        <x:f>ABS(H5874)</x:f>
        <x:v>0.8989196777343764</x:v>
      </x:c>
      <x:c r="J5874" s="40" t="n">
        <x:f>H5874^2</x:f>
        <x:v>0.8080565870180751</x:v>
      </x:c>
      <x:c r="K5874" s="40" t="n">
        <x:f>G5874-E5874</x:f>
        <x:v>0.09999999999999787</x:v>
      </x:c>
      <x:c r="L5874" s="40" t="n">
        <x:f>ABS(K5874)</x:f>
        <x:v>0.09999999999999787</x:v>
      </x:c>
      <x:c r="M5874" s="41" t="str">
        <x:v>lstm-soil-v1</x:v>
      </x:c>
    </x:row>
    <x:row r="5875">
      <x:c r="A5875" s="38" t="str">
        <x:v>7月30日现场数据</x:v>
      </x:c>
      <x:c r="B5875" s="39" t="str">
        <x:v>2026-08-05T15:50:00</x:v>
      </x:c>
      <x:c r="C5875" s="39" t="str">
        <x:v>2026-08-05T16:50:00</x:v>
      </x:c>
      <x:c r="D5875" s="47" t="n">
        <x:v>60</x:v>
      </x:c>
      <x:c r="E5875" s="40" t="n">
        <x:v>18</x:v>
      </x:c>
      <x:c r="F5875" s="40" t="n">
        <x:v>18.969093322753906</x:v>
      </x:c>
      <x:c r="G5875" s="40" t="n">
        <x:v>18.2</x:v>
      </x:c>
      <x:c r="H5875" s="40" t="n">
        <x:f>F5875-E5875</x:f>
        <x:v>0.9690933227539062</x:v>
      </x:c>
      <x:c r="I5875" s="40" t="n">
        <x:f>ABS(H5875)</x:f>
        <x:v>0.9690933227539062</x:v>
      </x:c>
      <x:c r="J5875" s="40" t="n">
        <x:f>H5875^2</x:f>
        <x:v>0.9391418682062067</x:v>
      </x:c>
      <x:c r="K5875" s="40" t="n">
        <x:f>G5875-E5875</x:f>
        <x:v>0.1999999999999993</x:v>
      </x:c>
      <x:c r="L5875" s="40" t="n">
        <x:f>ABS(K5875)</x:f>
        <x:v>0.1999999999999993</x:v>
      </x:c>
      <x:c r="M5875" s="41" t="str">
        <x:v>lstm-soil-v1</x:v>
      </x:c>
    </x:row>
    <x:row r="5876">
      <x:c r="A5876" s="38" t="str">
        <x:v>7月30日现场数据</x:v>
      </x:c>
      <x:c r="B5876" s="39" t="str">
        <x:v>2026-08-05T15:55:00</x:v>
      </x:c>
      <x:c r="C5876" s="39" t="str">
        <x:v>2026-08-05T16:00:00</x:v>
      </x:c>
      <x:c r="D5876" s="47" t="n">
        <x:v>5</x:v>
      </x:c>
      <x:c r="E5876" s="40" t="n">
        <x:v>18.1</x:v>
      </x:c>
      <x:c r="F5876" s="40" t="n">
        <x:v>16.71161651611328</x:v>
      </x:c>
      <x:c r="G5876" s="40" t="n">
        <x:v>18.1</x:v>
      </x:c>
      <x:c r="H5876" s="40" t="n">
        <x:f>F5876-E5876</x:f>
        <x:v>-1.3883834838867202</x:v>
      </x:c>
      <x:c r="I5876" s="40" t="n">
        <x:f>ABS(H5876)</x:f>
        <x:v>1.3883834838867202</x:v>
      </x:c>
      <x:c r="J5876" s="40" t="n">
        <x:f>H5876^2</x:f>
        <x:v>1.9276086983294265</x:v>
      </x:c>
      <x:c r="K5876" s="40" t="n">
        <x:f>G5876-E5876</x:f>
        <x:v>0</x:v>
      </x:c>
      <x:c r="L5876" s="40" t="n">
        <x:f>ABS(K5876)</x:f>
        <x:v>0</x:v>
      </x:c>
      <x:c r="M5876" s="41" t="str">
        <x:v>lstm-soil-v1</x:v>
      </x:c>
    </x:row>
    <x:row r="5877">
      <x:c r="A5877" s="38" t="str">
        <x:v>7月30日现场数据</x:v>
      </x:c>
      <x:c r="B5877" s="39" t="str">
        <x:v>2026-08-05T15:55:00</x:v>
      </x:c>
      <x:c r="C5877" s="39" t="str">
        <x:v>2026-08-05T16:10:00</x:v>
      </x:c>
      <x:c r="D5877" s="47" t="n">
        <x:v>15</x:v>
      </x:c>
      <x:c r="E5877" s="40" t="n">
        <x:v>18.1</x:v>
      </x:c>
      <x:c r="F5877" s="40" t="n">
        <x:v>16.790851593017578</x:v>
      </x:c>
      <x:c r="G5877" s="40" t="n">
        <x:v>18.1</x:v>
      </x:c>
      <x:c r="H5877" s="40" t="n">
        <x:f>F5877-E5877</x:f>
        <x:v>-1.3091484069824233</x:v>
      </x:c>
      <x:c r="I5877" s="40" t="n">
        <x:f>ABS(H5877)</x:f>
        <x:v>1.3091484069824233</x:v>
      </x:c>
      <x:c r="J5877" s="40" t="n">
        <x:f>H5877^2</x:f>
        <x:v>1.7138695515046167</x:v>
      </x:c>
      <x:c r="K5877" s="40" t="n">
        <x:f>G5877-E5877</x:f>
        <x:v>0</x:v>
      </x:c>
      <x:c r="L5877" s="40" t="n">
        <x:f>ABS(K5877)</x:f>
        <x:v>0</x:v>
      </x:c>
      <x:c r="M5877" s="41" t="str">
        <x:v>lstm-soil-v1</x:v>
      </x:c>
    </x:row>
    <x:row r="5878">
      <x:c r="A5878" s="38" t="str">
        <x:v>7月30日现场数据</x:v>
      </x:c>
      <x:c r="B5878" s="39" t="str">
        <x:v>2026-08-05T15:55:00</x:v>
      </x:c>
      <x:c r="C5878" s="39" t="str">
        <x:v>2026-08-05T16:25:00</x:v>
      </x:c>
      <x:c r="D5878" s="47" t="n">
        <x:v>30</x:v>
      </x:c>
      <x:c r="E5878" s="40" t="n">
        <x:v>18.1</x:v>
      </x:c>
      <x:c r="F5878" s="40" t="n">
        <x:v>17.099910736083984</x:v>
      </x:c>
      <x:c r="G5878" s="40" t="n">
        <x:v>18.1</x:v>
      </x:c>
      <x:c r="H5878" s="40" t="n">
        <x:f>F5878-E5878</x:f>
        <x:v>-1.000089263916017</x:v>
      </x:c>
      <x:c r="I5878" s="40" t="n">
        <x:f>ABS(H5878)</x:f>
        <x:v>1.000089263916017</x:v>
      </x:c>
      <x:c r="J5878" s="40" t="n">
        <x:f>H5878^2</x:f>
        <x:v>1.0001785358000808</x:v>
      </x:c>
      <x:c r="K5878" s="40" t="n">
        <x:f>G5878-E5878</x:f>
        <x:v>0</x:v>
      </x:c>
      <x:c r="L5878" s="40" t="n">
        <x:f>ABS(K5878)</x:f>
        <x:v>0</x:v>
      </x:c>
      <x:c r="M5878" s="41" t="str">
        <x:v>lstm-soil-v1</x:v>
      </x:c>
    </x:row>
    <x:row r="5879">
      <x:c r="A5879" s="38" t="str">
        <x:v>7月30日现场数据</x:v>
      </x:c>
      <x:c r="B5879" s="39" t="str">
        <x:v>2026-08-05T15:55:00</x:v>
      </x:c>
      <x:c r="C5879" s="39" t="str">
        <x:v>2026-08-05T16:55:00</x:v>
      </x:c>
      <x:c r="D5879" s="47" t="n">
        <x:v>60</x:v>
      </x:c>
      <x:c r="E5879" s="40" t="n">
        <x:v>18.1</x:v>
      </x:c>
      <x:c r="F5879" s="40" t="n">
        <x:v>18.87398910522461</x:v>
      </x:c>
      <x:c r="G5879" s="40" t="n">
        <x:v>18.1</x:v>
      </x:c>
      <x:c r="H5879" s="40" t="n">
        <x:f>F5879-E5879</x:f>
        <x:v>0.773989105224608</x:v>
      </x:c>
      <x:c r="I5879" s="40" t="n">
        <x:f>ABS(H5879)</x:f>
        <x:v>0.773989105224608</x:v>
      </x:c>
      <x:c r="J5879" s="40" t="n">
        <x:f>H5879^2</x:f>
        <x:v>0.5990591350063893</x:v>
      </x:c>
      <x:c r="K5879" s="40" t="n">
        <x:f>G5879-E5879</x:f>
        <x:v>0</x:v>
      </x:c>
      <x:c r="L5879" s="40" t="n">
        <x:f>ABS(K5879)</x:f>
        <x:v>0</x:v>
      </x:c>
      <x:c r="M5879" s="41" t="str">
        <x:v>lstm-soil-v1</x:v>
      </x:c>
    </x:row>
    <x:row r="5880">
      <x:c r="A5880" s="38" t="str">
        <x:v>7月30日现场数据</x:v>
      </x:c>
      <x:c r="B5880" s="39" t="str">
        <x:v>2026-08-05T16:00:00</x:v>
      </x:c>
      <x:c r="C5880" s="39" t="str">
        <x:v>2026-08-05T16:05:00</x:v>
      </x:c>
      <x:c r="D5880" s="47" t="n">
        <x:v>5</x:v>
      </x:c>
      <x:c r="E5880" s="40" t="n">
        <x:v>18.1</x:v>
      </x:c>
      <x:c r="F5880" s="40" t="n">
        <x:v>16.712055206298828</x:v>
      </x:c>
      <x:c r="G5880" s="40" t="n">
        <x:v>18.1</x:v>
      </x:c>
      <x:c r="H5880" s="40" t="n">
        <x:f>F5880-E5880</x:f>
        <x:v>-1.3879447937011733</x:v>
      </x:c>
      <x:c r="I5880" s="40" t="n">
        <x:f>ABS(H5880)</x:f>
        <x:v>1.3879447937011733</x:v>
      </x:c>
      <x:c r="J5880" s="40" t="n">
        <x:f>H5880^2</x:f>
        <x:v>1.9263907503621924</x:v>
      </x:c>
      <x:c r="K5880" s="40" t="n">
        <x:f>G5880-E5880</x:f>
        <x:v>0</x:v>
      </x:c>
      <x:c r="L5880" s="40" t="n">
        <x:f>ABS(K5880)</x:f>
        <x:v>0</x:v>
      </x:c>
      <x:c r="M5880" s="41" t="str">
        <x:v>lstm-soil-v1</x:v>
      </x:c>
    </x:row>
    <x:row r="5881">
      <x:c r="A5881" s="38" t="str">
        <x:v>7月30日现场数据</x:v>
      </x:c>
      <x:c r="B5881" s="39" t="str">
        <x:v>2026-08-05T16:00:00</x:v>
      </x:c>
      <x:c r="C5881" s="39" t="str">
        <x:v>2026-08-05T16:15:00</x:v>
      </x:c>
      <x:c r="D5881" s="47" t="n">
        <x:v>15</x:v>
      </x:c>
      <x:c r="E5881" s="40" t="n">
        <x:v>18.1</x:v>
      </x:c>
      <x:c r="F5881" s="40" t="n">
        <x:v>16.793045043945312</x:v>
      </x:c>
      <x:c r="G5881" s="40" t="n">
        <x:v>18.1</x:v>
      </x:c>
      <x:c r="H5881" s="40" t="n">
        <x:f>F5881-E5881</x:f>
        <x:v>-1.306954956054689</x:v>
      </x:c>
      <x:c r="I5881" s="40" t="n">
        <x:f>ABS(H5881)</x:f>
        <x:v>1.306954956054689</x:v>
      </x:c>
      <x:c r="J5881" s="40" t="n">
        <x:f>H5881^2</x:f>
        <x:v>1.7081312571559137</x:v>
      </x:c>
      <x:c r="K5881" s="40" t="n">
        <x:f>G5881-E5881</x:f>
        <x:v>0</x:v>
      </x:c>
      <x:c r="L5881" s="40" t="n">
        <x:f>ABS(K5881)</x:f>
        <x:v>0</x:v>
      </x:c>
      <x:c r="M5881" s="41" t="str">
        <x:v>lstm-soil-v1</x:v>
      </x:c>
    </x:row>
    <x:row r="5882">
      <x:c r="A5882" s="38" t="str">
        <x:v>7月30日现场数据</x:v>
      </x:c>
      <x:c r="B5882" s="39" t="str">
        <x:v>2026-08-05T16:00:00</x:v>
      </x:c>
      <x:c r="C5882" s="39" t="str">
        <x:v>2026-08-05T16:30:00</x:v>
      </x:c>
      <x:c r="D5882" s="47" t="n">
        <x:v>30</x:v>
      </x:c>
      <x:c r="E5882" s="40" t="n">
        <x:v>18.1</x:v>
      </x:c>
      <x:c r="F5882" s="40" t="n">
        <x:v>17.103351593017578</x:v>
      </x:c>
      <x:c r="G5882" s="40" t="n">
        <x:v>18.1</x:v>
      </x:c>
      <x:c r="H5882" s="40" t="n">
        <x:f>F5882-E5882</x:f>
        <x:v>-0.9966484069824233</x:v>
      </x:c>
      <x:c r="I5882" s="40" t="n">
        <x:f>ABS(H5882)</x:f>
        <x:v>0.9966484069824233</x:v>
      </x:c>
      <x:c r="J5882" s="40" t="n">
        <x:f>H5882^2</x:f>
        <x:v>0.9933080471406021</x:v>
      </x:c>
      <x:c r="K5882" s="40" t="n">
        <x:f>G5882-E5882</x:f>
        <x:v>0</x:v>
      </x:c>
      <x:c r="L5882" s="40" t="n">
        <x:f>ABS(K5882)</x:f>
        <x:v>0</x:v>
      </x:c>
      <x:c r="M5882" s="41" t="str">
        <x:v>lstm-soil-v1</x:v>
      </x:c>
    </x:row>
    <x:row r="5883">
      <x:c r="A5883" s="38" t="str">
        <x:v>7月30日现场数据</x:v>
      </x:c>
      <x:c r="B5883" s="39" t="str">
        <x:v>2026-08-05T16:00:00</x:v>
      </x:c>
      <x:c r="C5883" s="39" t="str">
        <x:v>2026-08-05T17:00:00</x:v>
      </x:c>
      <x:c r="D5883" s="47" t="n">
        <x:v>60</x:v>
      </x:c>
      <x:c r="E5883" s="40" t="n">
        <x:v>18.1</x:v>
      </x:c>
      <x:c r="F5883" s="40" t="n">
        <x:v>18.872711181640625</x:v>
      </x:c>
      <x:c r="G5883" s="40" t="n">
        <x:v>18.1</x:v>
      </x:c>
      <x:c r="H5883" s="40" t="n">
        <x:f>F5883-E5883</x:f>
        <x:v>0.7727111816406236</x:v>
      </x:c>
      <x:c r="I5883" s="40" t="n">
        <x:f>ABS(H5883)</x:f>
        <x:v>0.7727111816406236</x:v>
      </x:c>
      <x:c r="J5883" s="40" t="n">
        <x:f>H5883^2</x:f>
        <x:v>0.5970825702324488</x:v>
      </x:c>
      <x:c r="K5883" s="40" t="n">
        <x:f>G5883-E5883</x:f>
        <x:v>0</x:v>
      </x:c>
      <x:c r="L5883" s="40" t="n">
        <x:f>ABS(K5883)</x:f>
        <x:v>0</x:v>
      </x:c>
      <x:c r="M5883" s="41" t="str">
        <x:v>lstm-soil-v1</x:v>
      </x:c>
    </x:row>
    <x:row r="5884">
      <x:c r="A5884" s="38" t="str">
        <x:v>7月30日现场数据</x:v>
      </x:c>
      <x:c r="B5884" s="39" t="str">
        <x:v>2026-08-05T16:05:00</x:v>
      </x:c>
      <x:c r="C5884" s="39" t="str">
        <x:v>2026-08-05T16:10:00</x:v>
      </x:c>
      <x:c r="D5884" s="47" t="n">
        <x:v>5</x:v>
      </x:c>
      <x:c r="E5884" s="40" t="n">
        <x:v>18.1</x:v>
      </x:c>
      <x:c r="F5884" s="40" t="n">
        <x:v>16.709991455078125</x:v>
      </x:c>
      <x:c r="G5884" s="40" t="n">
        <x:v>18.1</x:v>
      </x:c>
      <x:c r="H5884" s="40" t="n">
        <x:f>F5884-E5884</x:f>
        <x:v>-1.3900085449218764</x:v>
      </x:c>
      <x:c r="I5884" s="40" t="n">
        <x:f>ABS(H5884)</x:f>
        <x:v>1.3900085449218764</x:v>
      </x:c>
      <x:c r="J5884" s="40" t="n">
        <x:f>H5884^2</x:f>
        <x:v>1.932123754955832</x:v>
      </x:c>
      <x:c r="K5884" s="40" t="n">
        <x:f>G5884-E5884</x:f>
        <x:v>0</x:v>
      </x:c>
      <x:c r="L5884" s="40" t="n">
        <x:f>ABS(K5884)</x:f>
        <x:v>0</x:v>
      </x:c>
      <x:c r="M5884" s="41" t="str">
        <x:v>lstm-soil-v1</x:v>
      </x:c>
    </x:row>
    <x:row r="5885">
      <x:c r="A5885" s="38" t="str">
        <x:v>7月30日现场数据</x:v>
      </x:c>
      <x:c r="B5885" s="39" t="str">
        <x:v>2026-08-05T16:05:00</x:v>
      </x:c>
      <x:c r="C5885" s="39" t="str">
        <x:v>2026-08-05T16:20:00</x:v>
      </x:c>
      <x:c r="D5885" s="47" t="n">
        <x:v>15</x:v>
      </x:c>
      <x:c r="E5885" s="40" t="n">
        <x:v>18.1</x:v>
      </x:c>
      <x:c r="F5885" s="40" t="n">
        <x:v>16.792072296142578</x:v>
      </x:c>
      <x:c r="G5885" s="40" t="n">
        <x:v>18.1</x:v>
      </x:c>
      <x:c r="H5885" s="40" t="n">
        <x:f>F5885-E5885</x:f>
        <x:v>-1.3079277038574233</x:v>
      </x:c>
      <x:c r="I5885" s="40" t="n">
        <x:f>ABS(H5885)</x:f>
        <x:v>1.3079277038574233</x:v>
      </x:c>
      <x:c r="J5885" s="40" t="n">
        <x:f>H5885^2</x:f>
        <x:v>1.7106748785177517</x:v>
      </x:c>
      <x:c r="K5885" s="40" t="n">
        <x:f>G5885-E5885</x:f>
        <x:v>0</x:v>
      </x:c>
      <x:c r="L5885" s="40" t="n">
        <x:f>ABS(K5885)</x:f>
        <x:v>0</x:v>
      </x:c>
      <x:c r="M5885" s="41" t="str">
        <x:v>lstm-soil-v1</x:v>
      </x:c>
    </x:row>
    <x:row r="5886">
      <x:c r="A5886" s="38" t="str">
        <x:v>7月30日现场数据</x:v>
      </x:c>
      <x:c r="B5886" s="39" t="str">
        <x:v>2026-08-05T16:05:00</x:v>
      </x:c>
      <x:c r="C5886" s="39" t="str">
        <x:v>2026-08-05T16:35:00</x:v>
      </x:c>
      <x:c r="D5886" s="47" t="n">
        <x:v>30</x:v>
      </x:c>
      <x:c r="E5886" s="40" t="n">
        <x:v>18.1</x:v>
      </x:c>
      <x:c r="F5886" s="40" t="n">
        <x:v>17.09963607788086</x:v>
      </x:c>
      <x:c r="G5886" s="40" t="n">
        <x:v>18.1</x:v>
      </x:c>
      <x:c r="H5886" s="40" t="n">
        <x:f>F5886-E5886</x:f>
        <x:v>-1.000363922119142</x:v>
      </x:c>
      <x:c r="I5886" s="40" t="n">
        <x:f>ABS(H5886)</x:f>
        <x:v>1.000363922119142</x:v>
      </x:c>
      <x:c r="J5886" s="40" t="n">
        <x:f>H5886^2</x:f>
        <x:v>1.000727976677593</x:v>
      </x:c>
      <x:c r="K5886" s="40" t="n">
        <x:f>G5886-E5886</x:f>
        <x:v>0</x:v>
      </x:c>
      <x:c r="L5886" s="40" t="n">
        <x:f>ABS(K5886)</x:f>
        <x:v>0</x:v>
      </x:c>
      <x:c r="M5886" s="41" t="str">
        <x:v>lstm-soil-v1</x:v>
      </x:c>
    </x:row>
    <x:row r="5887">
      <x:c r="A5887" s="38" t="str">
        <x:v>7月30日现场数据</x:v>
      </x:c>
      <x:c r="B5887" s="39" t="str">
        <x:v>2026-08-05T16:05:00</x:v>
      </x:c>
      <x:c r="C5887" s="39" t="str">
        <x:v>2026-08-05T17:05:00</x:v>
      </x:c>
      <x:c r="D5887" s="47" t="n">
        <x:v>60</x:v>
      </x:c>
      <x:c r="E5887" s="40" t="n">
        <x:v>18.1</x:v>
      </x:c>
      <x:c r="F5887" s="40" t="n">
        <x:v>18.869789123535156</x:v>
      </x:c>
      <x:c r="G5887" s="40" t="n">
        <x:v>18.1</x:v>
      </x:c>
      <x:c r="H5887" s="40" t="n">
        <x:f>F5887-E5887</x:f>
        <x:v>0.7697891235351548</x:v>
      </x:c>
      <x:c r="I5887" s="40" t="n">
        <x:f>ABS(H5887)</x:f>
        <x:v>0.7697891235351548</x:v>
      </x:c>
      <x:c r="J5887" s="40" t="n">
        <x:f>H5887^2</x:f>
        <x:v>0.5925752947130218</x:v>
      </x:c>
      <x:c r="K5887" s="40" t="n">
        <x:f>G5887-E5887</x:f>
        <x:v>0</x:v>
      </x:c>
      <x:c r="L5887" s="40" t="n">
        <x:f>ABS(K5887)</x:f>
        <x:v>0</x:v>
      </x:c>
      <x:c r="M5887" s="41" t="str">
        <x:v>lstm-soil-v1</x:v>
      </x:c>
    </x:row>
    <x:row r="5888">
      <x:c r="A5888" s="38" t="str">
        <x:v>7月30日现场数据</x:v>
      </x:c>
      <x:c r="B5888" s="39" t="str">
        <x:v>2026-08-05T16:10:00</x:v>
      </x:c>
      <x:c r="C5888" s="39" t="str">
        <x:v>2026-08-05T16:15:00</x:v>
      </x:c>
      <x:c r="D5888" s="47" t="n">
        <x:v>5</x:v>
      </x:c>
      <x:c r="E5888" s="40" t="n">
        <x:v>18.1</x:v>
      </x:c>
      <x:c r="F5888" s="40" t="n">
        <x:v>16.708023071289062</x:v>
      </x:c>
      <x:c r="G5888" s="40" t="n">
        <x:v>18.1</x:v>
      </x:c>
      <x:c r="H5888" s="40" t="n">
        <x:f>F5888-E5888</x:f>
        <x:v>-1.391976928710939</x:v>
      </x:c>
      <x:c r="I5888" s="40" t="n">
        <x:f>ABS(H5888)</x:f>
        <x:v>1.391976928710939</x:v>
      </x:c>
      <x:c r="J5888" s="40" t="n">
        <x:f>H5888^2</x:f>
        <x:v>1.9375997700635383</x:v>
      </x:c>
      <x:c r="K5888" s="40" t="n">
        <x:f>G5888-E5888</x:f>
        <x:v>0</x:v>
      </x:c>
      <x:c r="L5888" s="40" t="n">
        <x:f>ABS(K5888)</x:f>
        <x:v>0</x:v>
      </x:c>
      <x:c r="M5888" s="41" t="str">
        <x:v>lstm-soil-v1</x:v>
      </x:c>
    </x:row>
    <x:row r="5889">
      <x:c r="A5889" s="38" t="str">
        <x:v>7月30日现场数据</x:v>
      </x:c>
      <x:c r="B5889" s="39" t="str">
        <x:v>2026-08-05T16:10:00</x:v>
      </x:c>
      <x:c r="C5889" s="39" t="str">
        <x:v>2026-08-05T16:25:00</x:v>
      </x:c>
      <x:c r="D5889" s="47" t="n">
        <x:v>15</x:v>
      </x:c>
      <x:c r="E5889" s="40" t="n">
        <x:v>18.1</x:v>
      </x:c>
      <x:c r="F5889" s="40" t="n">
        <x:v>16.79064178466797</x:v>
      </x:c>
      <x:c r="G5889" s="40" t="n">
        <x:v>18.1</x:v>
      </x:c>
      <x:c r="H5889" s="40" t="n">
        <x:f>F5889-E5889</x:f>
        <x:v>-1.3093582153320327</x:v>
      </x:c>
      <x:c r="I5889" s="40" t="n">
        <x:f>ABS(H5889)</x:f>
        <x:v>1.3093582153320327</x:v>
      </x:c>
      <x:c r="J5889" s="40" t="n">
        <x:f>H5889^2</x:f>
        <x:v>1.7144189360574857</x:v>
      </x:c>
      <x:c r="K5889" s="40" t="n">
        <x:f>G5889-E5889</x:f>
        <x:v>0</x:v>
      </x:c>
      <x:c r="L5889" s="40" t="n">
        <x:f>ABS(K5889)</x:f>
        <x:v>0</x:v>
      </x:c>
      <x:c r="M5889" s="41" t="str">
        <x:v>lstm-soil-v1</x:v>
      </x:c>
    </x:row>
    <x:row r="5890">
      <x:c r="A5890" s="38" t="str">
        <x:v>7月30日现场数据</x:v>
      </x:c>
      <x:c r="B5890" s="39" t="str">
        <x:v>2026-08-05T16:10:00</x:v>
      </x:c>
      <x:c r="C5890" s="39" t="str">
        <x:v>2026-08-05T16:40:00</x:v>
      </x:c>
      <x:c r="D5890" s="47" t="n">
        <x:v>30</x:v>
      </x:c>
      <x:c r="E5890" s="40" t="n">
        <x:v>18.1</x:v>
      </x:c>
      <x:c r="F5890" s="40" t="n">
        <x:v>17.095561981201172</x:v>
      </x:c>
      <x:c r="G5890" s="40" t="n">
        <x:v>18.1</x:v>
      </x:c>
      <x:c r="H5890" s="40" t="n">
        <x:f>F5890-E5890</x:f>
        <x:v>-1.0044380187988295</x:v>
      </x:c>
      <x:c r="I5890" s="40" t="n">
        <x:f>ABS(H5890)</x:f>
        <x:v>1.0044380187988295</x:v>
      </x:c>
      <x:c r="J5890" s="40" t="n">
        <x:f>H5890^2</x:f>
        <x:v>1.0088957336085178</x:v>
      </x:c>
      <x:c r="K5890" s="40" t="n">
        <x:f>G5890-E5890</x:f>
        <x:v>0</x:v>
      </x:c>
      <x:c r="L5890" s="40" t="n">
        <x:f>ABS(K5890)</x:f>
        <x:v>0</x:v>
      </x:c>
      <x:c r="M5890" s="41" t="str">
        <x:v>lstm-soil-v1</x:v>
      </x:c>
    </x:row>
    <x:row r="5891">
      <x:c r="A5891" s="38" t="str">
        <x:v>7月30日现场数据</x:v>
      </x:c>
      <x:c r="B5891" s="39" t="str">
        <x:v>2026-08-05T16:10:00</x:v>
      </x:c>
      <x:c r="C5891" s="39" t="str">
        <x:v>2026-08-05T17:10:00</x:v>
      </x:c>
      <x:c r="D5891" s="47" t="n">
        <x:v>60</x:v>
      </x:c>
      <x:c r="E5891" s="40" t="n">
        <x:v>18</x:v>
      </x:c>
      <x:c r="F5891" s="40" t="n">
        <x:v>18.86713409423828</x:v>
      </x:c>
      <x:c r="G5891" s="40" t="n">
        <x:v>18.1</x:v>
      </x:c>
      <x:c r="H5891" s="40" t="n">
        <x:f>F5891-E5891</x:f>
        <x:v>0.8671340942382812</x:v>
      </x:c>
      <x:c r="I5891" s="40" t="n">
        <x:f>ABS(H5891)</x:f>
        <x:v>0.8671340942382812</x:v>
      </x:c>
      <x:c r="J5891" s="40" t="n">
        <x:f>H5891^2</x:f>
        <x:v>0.7519215373904444</x:v>
      </x:c>
      <x:c r="K5891" s="40" t="n">
        <x:f>G5891-E5891</x:f>
        <x:v>0.10000000000000142</x:v>
      </x:c>
      <x:c r="L5891" s="40" t="n">
        <x:f>ABS(K5891)</x:f>
        <x:v>0.10000000000000142</x:v>
      </x:c>
      <x:c r="M5891" s="41" t="str">
        <x:v>lstm-soil-v1</x:v>
      </x:c>
    </x:row>
    <x:row r="5892">
      <x:c r="A5892" s="38" t="str">
        <x:v>7月30日现场数据</x:v>
      </x:c>
      <x:c r="B5892" s="39" t="str">
        <x:v>2026-08-05T16:15:00</x:v>
      </x:c>
      <x:c r="C5892" s="39" t="str">
        <x:v>2026-08-05T16:20:00</x:v>
      </x:c>
      <x:c r="D5892" s="47" t="n">
        <x:v>5</x:v>
      </x:c>
      <x:c r="E5892" s="40" t="n">
        <x:v>18.1</x:v>
      </x:c>
      <x:c r="F5892" s="40" t="n">
        <x:v>16.708099365234375</x:v>
      </x:c>
      <x:c r="G5892" s="40" t="n">
        <x:v>18.1</x:v>
      </x:c>
      <x:c r="H5892" s="40" t="n">
        <x:f>F5892-E5892</x:f>
        <x:v>-1.3919006347656264</x:v>
      </x:c>
      <x:c r="I5892" s="40" t="n">
        <x:f>ABS(H5892)</x:f>
        <x:v>1.3919006347656264</x:v>
      </x:c>
      <x:c r="J5892" s="40" t="n">
        <x:f>H5892^2</x:f>
        <x:v>1.9373873770609538</x:v>
      </x:c>
      <x:c r="K5892" s="40" t="n">
        <x:f>G5892-E5892</x:f>
        <x:v>0</x:v>
      </x:c>
      <x:c r="L5892" s="40" t="n">
        <x:f>ABS(K5892)</x:f>
        <x:v>0</x:v>
      </x:c>
      <x:c r="M5892" s="41" t="str">
        <x:v>lstm-soil-v1</x:v>
      </x:c>
    </x:row>
    <x:row r="5893">
      <x:c r="A5893" s="38" t="str">
        <x:v>7月30日现场数据</x:v>
      </x:c>
      <x:c r="B5893" s="39" t="str">
        <x:v>2026-08-05T16:15:00</x:v>
      </x:c>
      <x:c r="C5893" s="39" t="str">
        <x:v>2026-08-05T16:30:00</x:v>
      </x:c>
      <x:c r="D5893" s="47" t="n">
        <x:v>15</x:v>
      </x:c>
      <x:c r="E5893" s="40" t="n">
        <x:v>18.1</x:v>
      </x:c>
      <x:c r="F5893" s="40" t="n">
        <x:v>16.789588928222656</x:v>
      </x:c>
      <x:c r="G5893" s="40" t="n">
        <x:v>18.1</x:v>
      </x:c>
      <x:c r="H5893" s="40" t="n">
        <x:f>F5893-E5893</x:f>
        <x:v>-1.3104110717773452</x:v>
      </x:c>
      <x:c r="I5893" s="40" t="n">
        <x:f>ABS(H5893)</x:f>
        <x:v>1.3104110717773452</x:v>
      </x:c>
      <x:c r="J5893" s="40" t="n">
        <x:f>H5893^2</x:f>
        <x:v>1.7171771770366504</x:v>
      </x:c>
      <x:c r="K5893" s="40" t="n">
        <x:f>G5893-E5893</x:f>
        <x:v>0</x:v>
      </x:c>
      <x:c r="L5893" s="40" t="n">
        <x:f>ABS(K5893)</x:f>
        <x:v>0</x:v>
      </x:c>
      <x:c r="M5893" s="41" t="str">
        <x:v>lstm-soil-v1</x:v>
      </x:c>
    </x:row>
    <x:row r="5894">
      <x:c r="A5894" s="38" t="str">
        <x:v>7月30日现场数据</x:v>
      </x:c>
      <x:c r="B5894" s="39" t="str">
        <x:v>2026-08-05T16:15:00</x:v>
      </x:c>
      <x:c r="C5894" s="39" t="str">
        <x:v>2026-08-05T16:45:00</x:v>
      </x:c>
      <x:c r="D5894" s="47" t="n">
        <x:v>30</x:v>
      </x:c>
      <x:c r="E5894" s="40" t="n">
        <x:v>18.1</x:v>
      </x:c>
      <x:c r="F5894" s="40" t="n">
        <x:v>17.094440460205078</x:v>
      </x:c>
      <x:c r="G5894" s="40" t="n">
        <x:v>18.1</x:v>
      </x:c>
      <x:c r="H5894" s="40" t="n">
        <x:f>F5894-E5894</x:f>
        <x:v>-1.0055595397949233</x:v>
      </x:c>
      <x:c r="I5894" s="40" t="n">
        <x:f>ABS(H5894)</x:f>
        <x:v>1.0055595397949233</x:v>
      </x:c>
      <x:c r="J5894" s="40" t="n">
        <x:f>H5894^2</x:f>
        <x:v>1.0111499880725778</x:v>
      </x:c>
      <x:c r="K5894" s="40" t="n">
        <x:f>G5894-E5894</x:f>
        <x:v>0</x:v>
      </x:c>
      <x:c r="L5894" s="40" t="n">
        <x:f>ABS(K5894)</x:f>
        <x:v>0</x:v>
      </x:c>
      <x:c r="M5894" s="41" t="str">
        <x:v>lstm-soil-v1</x:v>
      </x:c>
    </x:row>
    <x:row r="5895">
      <x:c r="A5895" s="38" t="str">
        <x:v>7月30日现场数据</x:v>
      </x:c>
      <x:c r="B5895" s="39" t="str">
        <x:v>2026-08-05T16:15:00</x:v>
      </x:c>
      <x:c r="C5895" s="39" t="str">
        <x:v>2026-08-05T17:15:00</x:v>
      </x:c>
      <x:c r="D5895" s="47" t="n">
        <x:v>60</x:v>
      </x:c>
      <x:c r="E5895" s="40" t="n">
        <x:v>18</x:v>
      </x:c>
      <x:c r="F5895" s="40" t="n">
        <x:v>18.868431091308594</x:v>
      </x:c>
      <x:c r="G5895" s="40" t="n">
        <x:v>18.1</x:v>
      </x:c>
      <x:c r="H5895" s="40" t="n">
        <x:f>F5895-E5895</x:f>
        <x:v>0.8684310913085938</x:v>
      </x:c>
      <x:c r="I5895" s="40" t="n">
        <x:f>ABS(H5895)</x:f>
        <x:v>0.8684310913085938</x:v>
      </x:c>
      <x:c r="J5895" s="40" t="n">
        <x:f>H5895^2</x:f>
        <x:v>0.7541725603514351</x:v>
      </x:c>
      <x:c r="K5895" s="40" t="n">
        <x:f>G5895-E5895</x:f>
        <x:v>0.10000000000000142</x:v>
      </x:c>
      <x:c r="L5895" s="40" t="n">
        <x:f>ABS(K5895)</x:f>
        <x:v>0.10000000000000142</x:v>
      </x:c>
      <x:c r="M5895" s="41" t="str">
        <x:v>lstm-soil-v1</x:v>
      </x:c>
    </x:row>
    <x:row r="5896">
      <x:c r="A5896" s="38" t="str">
        <x:v>7月30日现场数据</x:v>
      </x:c>
      <x:c r="B5896" s="39" t="str">
        <x:v>2026-08-05T16:20:00</x:v>
      </x:c>
      <x:c r="C5896" s="39" t="str">
        <x:v>2026-08-05T16:25:00</x:v>
      </x:c>
      <x:c r="D5896" s="47" t="n">
        <x:v>5</x:v>
      </x:c>
      <x:c r="E5896" s="40" t="n">
        <x:v>18.1</x:v>
      </x:c>
      <x:c r="F5896" s="40" t="n">
        <x:v>16.705127716064453</x:v>
      </x:c>
      <x:c r="G5896" s="40" t="n">
        <x:v>18.1</x:v>
      </x:c>
      <x:c r="H5896" s="40" t="n">
        <x:f>F5896-E5896</x:f>
        <x:v>-1.3948722839355483</x:v>
      </x:c>
      <x:c r="I5896" s="40" t="n">
        <x:f>ABS(H5896)</x:f>
        <x:v>1.3948722839355483</x:v>
      </x:c>
      <x:c r="J5896" s="40" t="n">
        <x:f>H5896^2</x:f>
        <x:v>1.9456686884915728</x:v>
      </x:c>
      <x:c r="K5896" s="40" t="n">
        <x:f>G5896-E5896</x:f>
        <x:v>0</x:v>
      </x:c>
      <x:c r="L5896" s="40" t="n">
        <x:f>ABS(K5896)</x:f>
        <x:v>0</x:v>
      </x:c>
      <x:c r="M5896" s="41" t="str">
        <x:v>lstm-soil-v1</x:v>
      </x:c>
    </x:row>
    <x:row r="5897">
      <x:c r="A5897" s="38" t="str">
        <x:v>7月30日现场数据</x:v>
      </x:c>
      <x:c r="B5897" s="39" t="str">
        <x:v>2026-08-05T16:20:00</x:v>
      </x:c>
      <x:c r="C5897" s="39" t="str">
        <x:v>2026-08-05T16:35:00</x:v>
      </x:c>
      <x:c r="D5897" s="47" t="n">
        <x:v>15</x:v>
      </x:c>
      <x:c r="E5897" s="40" t="n">
        <x:v>18.1</x:v>
      </x:c>
      <x:c r="F5897" s="40" t="n">
        <x:v>16.788864135742188</x:v>
      </x:c>
      <x:c r="G5897" s="40" t="n">
        <x:v>18.1</x:v>
      </x:c>
      <x:c r="H5897" s="40" t="n">
        <x:f>F5897-E5897</x:f>
        <x:v>-1.311135864257814</x:v>
      </x:c>
      <x:c r="I5897" s="40" t="n">
        <x:f>ABS(H5897)</x:f>
        <x:v>1.311135864257814</x:v>
      </x:c>
      <x:c r="J5897" s="40" t="n">
        <x:f>H5897^2</x:f>
        <x:v>1.7190772545430846</x:v>
      </x:c>
      <x:c r="K5897" s="40" t="n">
        <x:f>G5897-E5897</x:f>
        <x:v>0</x:v>
      </x:c>
      <x:c r="L5897" s="40" t="n">
        <x:f>ABS(K5897)</x:f>
        <x:v>0</x:v>
      </x:c>
      <x:c r="M5897" s="41" t="str">
        <x:v>lstm-soil-v1</x:v>
      </x:c>
    </x:row>
    <x:row r="5898">
      <x:c r="A5898" s="38" t="str">
        <x:v>7月30日现场数据</x:v>
      </x:c>
      <x:c r="B5898" s="39" t="str">
        <x:v>2026-08-05T16:20:00</x:v>
      </x:c>
      <x:c r="C5898" s="39" t="str">
        <x:v>2026-08-05T16:50:00</x:v>
      </x:c>
      <x:c r="D5898" s="47" t="n">
        <x:v>30</x:v>
      </x:c>
      <x:c r="E5898" s="40" t="n">
        <x:v>18</x:v>
      </x:c>
      <x:c r="F5898" s="40" t="n">
        <x:v>17.091114044189453</x:v>
      </x:c>
      <x:c r="G5898" s="40" t="n">
        <x:v>18.1</x:v>
      </x:c>
      <x:c r="H5898" s="40" t="n">
        <x:f>F5898-E5898</x:f>
        <x:v>-0.9088859558105469</x:v>
      </x:c>
      <x:c r="I5898" s="40" t="n">
        <x:f>ABS(H5898)</x:f>
        <x:v>0.9088859558105469</x:v>
      </x:c>
      <x:c r="J5898" s="40" t="n">
        <x:f>H5898^2</x:f>
        <x:v>0.8260736806696514</x:v>
      </x:c>
      <x:c r="K5898" s="40" t="n">
        <x:f>G5898-E5898</x:f>
        <x:v>0.10000000000000142</x:v>
      </x:c>
      <x:c r="L5898" s="40" t="n">
        <x:f>ABS(K5898)</x:f>
        <x:v>0.10000000000000142</x:v>
      </x:c>
      <x:c r="M5898" s="41" t="str">
        <x:v>lstm-soil-v1</x:v>
      </x:c>
    </x:row>
    <x:row r="5899">
      <x:c r="A5899" s="38" t="str">
        <x:v>7月30日现场数据</x:v>
      </x:c>
      <x:c r="B5899" s="39" t="str">
        <x:v>2026-08-05T16:20:00</x:v>
      </x:c>
      <x:c r="C5899" s="39" t="str">
        <x:v>2026-08-05T17:20:00</x:v>
      </x:c>
      <x:c r="D5899" s="47" t="n">
        <x:v>60</x:v>
      </x:c>
      <x:c r="E5899" s="40" t="n">
        <x:v>18</x:v>
      </x:c>
      <x:c r="F5899" s="40" t="n">
        <x:v>18.863601684570312</x:v>
      </x:c>
      <x:c r="G5899" s="40" t="n">
        <x:v>18.1</x:v>
      </x:c>
      <x:c r="H5899" s="40" t="n">
        <x:f>F5899-E5899</x:f>
        <x:v>0.8636016845703125</x:v>
      </x:c>
      <x:c r="I5899" s="40" t="n">
        <x:f>ABS(H5899)</x:f>
        <x:v>0.8636016845703125</x:v>
      </x:c>
      <x:c r="J5899" s="40" t="n">
        <x:f>H5899^2</x:f>
        <x:v>0.7458078695926815</x:v>
      </x:c>
      <x:c r="K5899" s="40" t="n">
        <x:f>G5899-E5899</x:f>
        <x:v>0.10000000000000142</x:v>
      </x:c>
      <x:c r="L5899" s="40" t="n">
        <x:f>ABS(K5899)</x:f>
        <x:v>0.10000000000000142</x:v>
      </x:c>
      <x:c r="M5899" s="41" t="str">
        <x:v>lstm-soil-v1</x:v>
      </x:c>
    </x:row>
    <x:row r="5900">
      <x:c r="A5900" s="38" t="str">
        <x:v>7月30日现场数据</x:v>
      </x:c>
      <x:c r="B5900" s="39" t="str">
        <x:v>2026-08-05T16:25:00</x:v>
      </x:c>
      <x:c r="C5900" s="39" t="str">
        <x:v>2026-08-05T16:30:00</x:v>
      </x:c>
      <x:c r="D5900" s="47" t="n">
        <x:v>5</x:v>
      </x:c>
      <x:c r="E5900" s="40" t="n">
        <x:v>18.1</x:v>
      </x:c>
      <x:c r="F5900" s="40" t="n">
        <x:v>16.70233154296875</x:v>
      </x:c>
      <x:c r="G5900" s="40" t="n">
        <x:v>18.1</x:v>
      </x:c>
      <x:c r="H5900" s="40" t="n">
        <x:f>F5900-E5900</x:f>
        <x:v>-1.3976684570312514</x:v>
      </x:c>
      <x:c r="I5900" s="40" t="n">
        <x:f>ABS(H5900)</x:f>
        <x:v>1.3976684570312514</x:v>
      </x:c>
      <x:c r="J5900" s="40" t="n">
        <x:f>H5900^2</x:f>
        <x:v>1.9534771157801192</x:v>
      </x:c>
      <x:c r="K5900" s="40" t="n">
        <x:f>G5900-E5900</x:f>
        <x:v>0</x:v>
      </x:c>
      <x:c r="L5900" s="40" t="n">
        <x:f>ABS(K5900)</x:f>
        <x:v>0</x:v>
      </x:c>
      <x:c r="M5900" s="41" t="str">
        <x:v>lstm-soil-v1</x:v>
      </x:c>
    </x:row>
    <x:row r="5901">
      <x:c r="A5901" s="38" t="str">
        <x:v>7月30日现场数据</x:v>
      </x:c>
      <x:c r="B5901" s="39" t="str">
        <x:v>2026-08-05T16:25:00</x:v>
      </x:c>
      <x:c r="C5901" s="39" t="str">
        <x:v>2026-08-05T16:40:00</x:v>
      </x:c>
      <x:c r="D5901" s="47" t="n">
        <x:v>15</x:v>
      </x:c>
      <x:c r="E5901" s="40" t="n">
        <x:v>18.1</x:v>
      </x:c>
      <x:c r="F5901" s="40" t="n">
        <x:v>16.787551879882812</x:v>
      </x:c>
      <x:c r="G5901" s="40" t="n">
        <x:v>18.1</x:v>
      </x:c>
      <x:c r="H5901" s="40" t="n">
        <x:f>F5901-E5901</x:f>
        <x:v>-1.312448120117189</x:v>
      </x:c>
      <x:c r="I5901" s="40" t="n">
        <x:f>ABS(H5901)</x:f>
        <x:v>1.312448120117189</x:v>
      </x:c>
      <x:c r="J5901" s="40" t="n">
        <x:f>H5901^2</x:f>
        <x:v>1.7225200679991433</x:v>
      </x:c>
      <x:c r="K5901" s="40" t="n">
        <x:f>G5901-E5901</x:f>
        <x:v>0</x:v>
      </x:c>
      <x:c r="L5901" s="40" t="n">
        <x:f>ABS(K5901)</x:f>
        <x:v>0</x:v>
      </x:c>
      <x:c r="M5901" s="41" t="str">
        <x:v>lstm-soil-v1</x:v>
      </x:c>
    </x:row>
    <x:row r="5902">
      <x:c r="A5902" s="38" t="str">
        <x:v>7月30日现场数据</x:v>
      </x:c>
      <x:c r="B5902" s="39" t="str">
        <x:v>2026-08-05T16:25:00</x:v>
      </x:c>
      <x:c r="C5902" s="39" t="str">
        <x:v>2026-08-05T16:55:00</x:v>
      </x:c>
      <x:c r="D5902" s="47" t="n">
        <x:v>30</x:v>
      </x:c>
      <x:c r="E5902" s="40" t="n">
        <x:v>18.1</x:v>
      </x:c>
      <x:c r="F5902" s="40" t="n">
        <x:v>17.08710479736328</x:v>
      </x:c>
      <x:c r="G5902" s="40" t="n">
        <x:v>18.1</x:v>
      </x:c>
      <x:c r="H5902" s="40" t="n">
        <x:f>F5902-E5902</x:f>
        <x:v>-1.0128952026367202</x:v>
      </x:c>
      <x:c r="I5902" s="40" t="n">
        <x:f>ABS(H5902)</x:f>
        <x:v>1.0128952026367202</x:v>
      </x:c>
      <x:c r="J5902" s="40" t="n">
        <x:f>H5902^2</x:f>
        <x:v>1.0259566915244824</x:v>
      </x:c>
      <x:c r="K5902" s="40" t="n">
        <x:f>G5902-E5902</x:f>
        <x:v>0</x:v>
      </x:c>
      <x:c r="L5902" s="40" t="n">
        <x:f>ABS(K5902)</x:f>
        <x:v>0</x:v>
      </x:c>
      <x:c r="M5902" s="41" t="str">
        <x:v>lstm-soil-v1</x:v>
      </x:c>
    </x:row>
    <x:row r="5903">
      <x:c r="A5903" s="38" t="str">
        <x:v>7月30日现场数据</x:v>
      </x:c>
      <x:c r="B5903" s="39" t="str">
        <x:v>2026-08-05T16:25:00</x:v>
      </x:c>
      <x:c r="C5903" s="39" t="str">
        <x:v>2026-08-05T17:25:00</x:v>
      </x:c>
      <x:c r="D5903" s="47" t="n">
        <x:v>60</x:v>
      </x:c>
      <x:c r="E5903" s="40" t="n">
        <x:v>18</x:v>
      </x:c>
      <x:c r="F5903" s="40" t="n">
        <x:v>18.859355926513672</x:v>
      </x:c>
      <x:c r="G5903" s="40" t="n">
        <x:v>18.1</x:v>
      </x:c>
      <x:c r="H5903" s="40" t="n">
        <x:f>F5903-E5903</x:f>
        <x:v>0.8593559265136719</x:v>
      </x:c>
      <x:c r="I5903" s="40" t="n">
        <x:f>ABS(H5903)</x:f>
        <x:v>0.8593559265136719</x:v>
      </x:c>
      <x:c r="J5903" s="40" t="n">
        <x:f>H5903^2</x:f>
        <x:v>0.7384926084341714</x:v>
      </x:c>
      <x:c r="K5903" s="40" t="n">
        <x:f>G5903-E5903</x:f>
        <x:v>0.10000000000000142</x:v>
      </x:c>
      <x:c r="L5903" s="40" t="n">
        <x:f>ABS(K5903)</x:f>
        <x:v>0.10000000000000142</x:v>
      </x:c>
      <x:c r="M5903" s="41" t="str">
        <x:v>lstm-soil-v1</x:v>
      </x:c>
    </x:row>
    <x:row r="5904">
      <x:c r="A5904" s="38" t="str">
        <x:v>7月30日现场数据</x:v>
      </x:c>
      <x:c r="B5904" s="39" t="str">
        <x:v>2026-08-05T16:30:00</x:v>
      </x:c>
      <x:c r="C5904" s="39" t="str">
        <x:v>2026-08-05T16:35:00</x:v>
      </x:c>
      <x:c r="D5904" s="47" t="n">
        <x:v>5</x:v>
      </x:c>
      <x:c r="E5904" s="40" t="n">
        <x:v>18.1</x:v>
      </x:c>
      <x:c r="F5904" s="40" t="n">
        <x:v>16.70034408569336</x:v>
      </x:c>
      <x:c r="G5904" s="40" t="n">
        <x:v>18.1</x:v>
      </x:c>
      <x:c r="H5904" s="40" t="n">
        <x:f>F5904-E5904</x:f>
        <x:v>-1.399655914306642</x:v>
      </x:c>
      <x:c r="I5904" s="40" t="n">
        <x:f>ABS(H5904)</x:f>
        <x:v>1.399655914306642</x:v>
      </x:c>
      <x:c r="J5904" s="40" t="n">
        <x:f>H5904^2</x:f>
        <x:v>1.959036678453562</x:v>
      </x:c>
      <x:c r="K5904" s="40" t="n">
        <x:f>G5904-E5904</x:f>
        <x:v>0</x:v>
      </x:c>
      <x:c r="L5904" s="40" t="n">
        <x:f>ABS(K5904)</x:f>
        <x:v>0</x:v>
      </x:c>
      <x:c r="M5904" s="41" t="str">
        <x:v>lstm-soil-v1</x:v>
      </x:c>
    </x:row>
    <x:row r="5905">
      <x:c r="A5905" s="38" t="str">
        <x:v>7月30日现场数据</x:v>
      </x:c>
      <x:c r="B5905" s="39" t="str">
        <x:v>2026-08-05T16:30:00</x:v>
      </x:c>
      <x:c r="C5905" s="39" t="str">
        <x:v>2026-08-05T16:45:00</x:v>
      </x:c>
      <x:c r="D5905" s="47" t="n">
        <x:v>15</x:v>
      </x:c>
      <x:c r="E5905" s="40" t="n">
        <x:v>18.1</x:v>
      </x:c>
      <x:c r="F5905" s="40" t="n">
        <x:v>16.786273956298828</x:v>
      </x:c>
      <x:c r="G5905" s="40" t="n">
        <x:v>18.1</x:v>
      </x:c>
      <x:c r="H5905" s="40" t="n">
        <x:f>F5905-E5905</x:f>
        <x:v>-1.3137260437011733</x:v>
      </x:c>
      <x:c r="I5905" s="40" t="n">
        <x:f>ABS(H5905)</x:f>
        <x:v>1.3137260437011733</x:v>
      </x:c>
      <x:c r="J5905" s="40" t="n">
        <x:f>H5905^2</x:f>
        <x:v>1.7258761178987372</x:v>
      </x:c>
      <x:c r="K5905" s="40" t="n">
        <x:f>G5905-E5905</x:f>
        <x:v>0</x:v>
      </x:c>
      <x:c r="L5905" s="40" t="n">
        <x:f>ABS(K5905)</x:f>
        <x:v>0</x:v>
      </x:c>
      <x:c r="M5905" s="41" t="str">
        <x:v>lstm-soil-v1</x:v>
      </x:c>
    </x:row>
    <x:row r="5906">
      <x:c r="A5906" s="38" t="str">
        <x:v>7月30日现场数据</x:v>
      </x:c>
      <x:c r="B5906" s="39" t="str">
        <x:v>2026-08-05T16:30:00</x:v>
      </x:c>
      <x:c r="C5906" s="39" t="str">
        <x:v>2026-08-05T17:00:00</x:v>
      </x:c>
      <x:c r="D5906" s="47" t="n">
        <x:v>30</x:v>
      </x:c>
      <x:c r="E5906" s="40" t="n">
        <x:v>18.1</x:v>
      </x:c>
      <x:c r="F5906" s="40" t="n">
        <x:v>17.0838623046875</x:v>
      </x:c>
      <x:c r="G5906" s="40" t="n">
        <x:v>18.1</x:v>
      </x:c>
      <x:c r="H5906" s="40" t="n">
        <x:f>F5906-E5906</x:f>
        <x:v>-1.0161376953125014</x:v>
      </x:c>
      <x:c r="I5906" s="40" t="n">
        <x:f>ABS(H5906)</x:f>
        <x:v>1.0161376953125014</x:v>
      </x:c>
      <x:c r="J5906" s="40" t="n">
        <x:f>H5906^2</x:f>
        <x:v>1.032535815835002</x:v>
      </x:c>
      <x:c r="K5906" s="40" t="n">
        <x:f>G5906-E5906</x:f>
        <x:v>0</x:v>
      </x:c>
      <x:c r="L5906" s="40" t="n">
        <x:f>ABS(K5906)</x:f>
        <x:v>0</x:v>
      </x:c>
      <x:c r="M5906" s="41" t="str">
        <x:v>lstm-soil-v1</x:v>
      </x:c>
    </x:row>
    <x:row r="5907">
      <x:c r="A5907" s="38" t="str">
        <x:v>7月30日现场数据</x:v>
      </x:c>
      <x:c r="B5907" s="39" t="str">
        <x:v>2026-08-05T16:30:00</x:v>
      </x:c>
      <x:c r="C5907" s="39" t="str">
        <x:v>2026-08-05T17:30:00</x:v>
      </x:c>
      <x:c r="D5907" s="47" t="n">
        <x:v>60</x:v>
      </x:c>
      <x:c r="E5907" s="40" t="n">
        <x:v>18</x:v>
      </x:c>
      <x:c r="F5907" s="40" t="n">
        <x:v>18.856159210205078</x:v>
      </x:c>
      <x:c r="G5907" s="40" t="n">
        <x:v>18.1</x:v>
      </x:c>
      <x:c r="H5907" s="40" t="n">
        <x:f>F5907-E5907</x:f>
        <x:v>0.8561592102050781</x:v>
      </x:c>
      <x:c r="I5907" s="40" t="n">
        <x:f>ABS(H5907)</x:f>
        <x:v>0.8561592102050781</x:v>
      </x:c>
      <x:c r="J5907" s="40" t="n">
        <x:f>H5907^2</x:f>
        <x:v>0.7330085932189832</x:v>
      </x:c>
      <x:c r="K5907" s="40" t="n">
        <x:f>G5907-E5907</x:f>
        <x:v>0.10000000000000142</x:v>
      </x:c>
      <x:c r="L5907" s="40" t="n">
        <x:f>ABS(K5907)</x:f>
        <x:v>0.10000000000000142</x:v>
      </x:c>
      <x:c r="M5907" s="41" t="str">
        <x:v>lstm-soil-v1</x:v>
      </x:c>
    </x:row>
    <x:row r="5908">
      <x:c r="A5908" s="38" t="str">
        <x:v>7月30日现场数据</x:v>
      </x:c>
      <x:c r="B5908" s="39" t="str">
        <x:v>2026-08-05T16:35:00</x:v>
      </x:c>
      <x:c r="C5908" s="39" t="str">
        <x:v>2026-08-05T16:40:00</x:v>
      </x:c>
      <x:c r="D5908" s="47" t="n">
        <x:v>5</x:v>
      </x:c>
      <x:c r="E5908" s="40" t="n">
        <x:v>18.1</x:v>
      </x:c>
      <x:c r="F5908" s="40" t="n">
        <x:v>16.698963165283203</x:v>
      </x:c>
      <x:c r="G5908" s="40" t="n">
        <x:v>18.1</x:v>
      </x:c>
      <x:c r="H5908" s="40" t="n">
        <x:f>F5908-E5908</x:f>
        <x:v>-1.4010368347167983</x:v>
      </x:c>
      <x:c r="I5908" s="40" t="n">
        <x:f>ABS(H5908)</x:f>
        <x:v>1.4010368347167983</x:v>
      </x:c>
      <x:c r="J5908" s="40" t="n">
        <x:f>H5908^2</x:f>
        <x:v>1.9629042122332652</x:v>
      </x:c>
      <x:c r="K5908" s="40" t="n">
        <x:f>G5908-E5908</x:f>
        <x:v>0</x:v>
      </x:c>
      <x:c r="L5908" s="40" t="n">
        <x:f>ABS(K5908)</x:f>
        <x:v>0</x:v>
      </x:c>
      <x:c r="M5908" s="41" t="str">
        <x:v>lstm-soil-v1</x:v>
      </x:c>
    </x:row>
    <x:row r="5909">
      <x:c r="A5909" s="38" t="str">
        <x:v>7月30日现场数据</x:v>
      </x:c>
      <x:c r="B5909" s="39" t="str">
        <x:v>2026-08-05T16:35:00</x:v>
      </x:c>
      <x:c r="C5909" s="39" t="str">
        <x:v>2026-08-05T16:50:00</x:v>
      </x:c>
      <x:c r="D5909" s="47" t="n">
        <x:v>15</x:v>
      </x:c>
      <x:c r="E5909" s="40" t="n">
        <x:v>18</x:v>
      </x:c>
      <x:c r="F5909" s="40" t="n">
        <x:v>16.785045623779297</x:v>
      </x:c>
      <x:c r="G5909" s="40" t="n">
        <x:v>18.1</x:v>
      </x:c>
      <x:c r="H5909" s="40" t="n">
        <x:f>F5909-E5909</x:f>
        <x:v>-1.2149543762207031</x:v>
      </x:c>
      <x:c r="I5909" s="40" t="n">
        <x:f>ABS(H5909)</x:f>
        <x:v>1.2149543762207031</x:v>
      </x:c>
      <x:c r="J5909" s="40" t="n">
        <x:f>H5909^2</x:f>
        <x:v>1.4761141362978378</x:v>
      </x:c>
      <x:c r="K5909" s="40" t="n">
        <x:f>G5909-E5909</x:f>
        <x:v>0.10000000000000142</x:v>
      </x:c>
      <x:c r="L5909" s="40" t="n">
        <x:f>ABS(K5909)</x:f>
        <x:v>0.10000000000000142</x:v>
      </x:c>
      <x:c r="M5909" s="41" t="str">
        <x:v>lstm-soil-v1</x:v>
      </x:c>
    </x:row>
    <x:row r="5910">
      <x:c r="A5910" s="38" t="str">
        <x:v>7月30日现场数据</x:v>
      </x:c>
      <x:c r="B5910" s="39" t="str">
        <x:v>2026-08-05T16:35:00</x:v>
      </x:c>
      <x:c r="C5910" s="39" t="str">
        <x:v>2026-08-05T17:05:00</x:v>
      </x:c>
      <x:c r="D5910" s="47" t="n">
        <x:v>30</x:v>
      </x:c>
      <x:c r="E5910" s="40" t="n">
        <x:v>18.1</x:v>
      </x:c>
      <x:c r="F5910" s="40" t="n">
        <x:v>17.08132553100586</x:v>
      </x:c>
      <x:c r="G5910" s="40" t="n">
        <x:v>18.1</x:v>
      </x:c>
      <x:c r="H5910" s="40" t="n">
        <x:f>F5910-E5910</x:f>
        <x:v>-1.018674468994142</x:v>
      </x:c>
      <x:c r="I5910" s="40" t="n">
        <x:f>ABS(H5910)</x:f>
        <x:v>1.018674468994142</x:v>
      </x:c>
      <x:c r="J5910" s="40" t="n">
        <x:f>H5910^2</x:f>
        <x:v>1.0376976737804973</x:v>
      </x:c>
      <x:c r="K5910" s="40" t="n">
        <x:f>G5910-E5910</x:f>
        <x:v>0</x:v>
      </x:c>
      <x:c r="L5910" s="40" t="n">
        <x:f>ABS(K5910)</x:f>
        <x:v>0</x:v>
      </x:c>
      <x:c r="M5910" s="41" t="str">
        <x:v>lstm-soil-v1</x:v>
      </x:c>
    </x:row>
    <x:row r="5911">
      <x:c r="A5911" s="38" t="str">
        <x:v>7月30日现场数据</x:v>
      </x:c>
      <x:c r="B5911" s="39" t="str">
        <x:v>2026-08-05T16:35:00</x:v>
      </x:c>
      <x:c r="C5911" s="39" t="str">
        <x:v>2026-08-05T17:35:00</x:v>
      </x:c>
      <x:c r="D5911" s="47" t="n">
        <x:v>60</x:v>
      </x:c>
      <x:c r="E5911" s="40" t="n">
        <x:v>18</x:v>
      </x:c>
      <x:c r="F5911" s="40" t="n">
        <x:v>18.853923797607422</x:v>
      </x:c>
      <x:c r="G5911" s="40" t="n">
        <x:v>18.1</x:v>
      </x:c>
      <x:c r="H5911" s="40" t="n">
        <x:f>F5911-E5911</x:f>
        <x:v>0.8539237976074219</x:v>
      </x:c>
      <x:c r="I5911" s="40" t="n">
        <x:f>ABS(H5911)</x:f>
        <x:v>0.8539237976074219</x:v>
      </x:c>
      <x:c r="J5911" s="40" t="n">
        <x:f>H5911^2</x:f>
        <x:v>0.7291858521202812</x:v>
      </x:c>
      <x:c r="K5911" s="40" t="n">
        <x:f>G5911-E5911</x:f>
        <x:v>0.10000000000000142</x:v>
      </x:c>
      <x:c r="L5911" s="40" t="n">
        <x:f>ABS(K5911)</x:f>
        <x:v>0.10000000000000142</x:v>
      </x:c>
      <x:c r="M5911" s="41" t="str">
        <x:v>lstm-soil-v1</x:v>
      </x:c>
    </x:row>
    <x:row r="5912">
      <x:c r="A5912" s="38" t="str">
        <x:v>7月30日现场数据</x:v>
      </x:c>
      <x:c r="B5912" s="39" t="str">
        <x:v>2026-08-05T16:40:00</x:v>
      </x:c>
      <x:c r="C5912" s="39" t="str">
        <x:v>2026-08-05T16:45:00</x:v>
      </x:c>
      <x:c r="D5912" s="47" t="n">
        <x:v>5</x:v>
      </x:c>
      <x:c r="E5912" s="40" t="n">
        <x:v>18.1</x:v>
      </x:c>
      <x:c r="F5912" s="40" t="n">
        <x:v>16.69811248779297</x:v>
      </x:c>
      <x:c r="G5912" s="40" t="n">
        <x:v>18.1</x:v>
      </x:c>
      <x:c r="H5912" s="40" t="n">
        <x:f>F5912-E5912</x:f>
        <x:v>-1.4018875122070327</x:v>
      </x:c>
      <x:c r="I5912" s="40" t="n">
        <x:f>ABS(H5912)</x:f>
        <x:v>1.4018875122070327</x:v>
      </x:c>
      <x:c r="J5912" s="40" t="n">
        <x:f>H5912^2</x:f>
        <x:v>1.9652885968820233</x:v>
      </x:c>
      <x:c r="K5912" s="40" t="n">
        <x:f>G5912-E5912</x:f>
        <x:v>0</x:v>
      </x:c>
      <x:c r="L5912" s="40" t="n">
        <x:f>ABS(K5912)</x:f>
        <x:v>0</x:v>
      </x:c>
      <x:c r="M5912" s="41" t="str">
        <x:v>lstm-soil-v1</x:v>
      </x:c>
    </x:row>
    <x:row r="5913">
      <x:c r="A5913" s="38" t="str">
        <x:v>7月30日现场数据</x:v>
      </x:c>
      <x:c r="B5913" s="39" t="str">
        <x:v>2026-08-05T16:40:00</x:v>
      </x:c>
      <x:c r="C5913" s="39" t="str">
        <x:v>2026-08-05T16:55:00</x:v>
      </x:c>
      <x:c r="D5913" s="47" t="n">
        <x:v>15</x:v>
      </x:c>
      <x:c r="E5913" s="40" t="n">
        <x:v>18.1</x:v>
      </x:c>
      <x:c r="F5913" s="40" t="n">
        <x:v>16.783950805664062</x:v>
      </x:c>
      <x:c r="G5913" s="40" t="n">
        <x:v>18.1</x:v>
      </x:c>
      <x:c r="H5913" s="40" t="n">
        <x:f>F5913-E5913</x:f>
        <x:v>-1.316049194335939</x:v>
      </x:c>
      <x:c r="I5913" s="40" t="n">
        <x:f>ABS(H5913)</x:f>
        <x:v>1.316049194335939</x:v>
      </x:c>
      <x:c r="J5913" s="40" t="n">
        <x:f>H5913^2</x:f>
        <x:v>1.731985481912274</x:v>
      </x:c>
      <x:c r="K5913" s="40" t="n">
        <x:f>G5913-E5913</x:f>
        <x:v>0</x:v>
      </x:c>
      <x:c r="L5913" s="40" t="n">
        <x:f>ABS(K5913)</x:f>
        <x:v>0</x:v>
      </x:c>
      <x:c r="M5913" s="41" t="str">
        <x:v>lstm-soil-v1</x:v>
      </x:c>
    </x:row>
    <x:row r="5914">
      <x:c r="A5914" s="38" t="str">
        <x:v>7月30日现场数据</x:v>
      </x:c>
      <x:c r="B5914" s="39" t="str">
        <x:v>2026-08-05T16:40:00</x:v>
      </x:c>
      <x:c r="C5914" s="39" t="str">
        <x:v>2026-08-05T17:10:00</x:v>
      </x:c>
      <x:c r="D5914" s="47" t="n">
        <x:v>30</x:v>
      </x:c>
      <x:c r="E5914" s="40" t="n">
        <x:v>18</x:v>
      </x:c>
      <x:c r="F5914" s="40" t="n">
        <x:v>17.079471588134766</x:v>
      </x:c>
      <x:c r="G5914" s="40" t="n">
        <x:v>18.1</x:v>
      </x:c>
      <x:c r="H5914" s="40" t="n">
        <x:f>F5914-E5914</x:f>
        <x:v>-0.9205284118652344</x:v>
      </x:c>
      <x:c r="I5914" s="40" t="n">
        <x:f>ABS(H5914)</x:f>
        <x:v>0.9205284118652344</x:v>
      </x:c>
      <x:c r="J5914" s="40" t="n">
        <x:f>H5914^2</x:f>
        <x:v>0.8473725570511306</x:v>
      </x:c>
      <x:c r="K5914" s="40" t="n">
        <x:f>G5914-E5914</x:f>
        <x:v>0.10000000000000142</x:v>
      </x:c>
      <x:c r="L5914" s="40" t="n">
        <x:f>ABS(K5914)</x:f>
        <x:v>0.10000000000000142</x:v>
      </x:c>
      <x:c r="M5914" s="41" t="str">
        <x:v>lstm-soil-v1</x:v>
      </x:c>
    </x:row>
    <x:row r="5915">
      <x:c r="A5915" s="38" t="str">
        <x:v>7月30日现场数据</x:v>
      </x:c>
      <x:c r="B5915" s="39" t="str">
        <x:v>2026-08-05T16:40:00</x:v>
      </x:c>
      <x:c r="C5915" s="39" t="str">
        <x:v>2026-08-05T17:40:00</x:v>
      </x:c>
      <x:c r="D5915" s="47" t="n">
        <x:v>60</x:v>
      </x:c>
      <x:c r="E5915" s="40" t="n">
        <x:v>18</x:v>
      </x:c>
      <x:c r="F5915" s="40" t="n">
        <x:v>18.852638244628906</x:v>
      </x:c>
      <x:c r="G5915" s="40" t="n">
        <x:v>18.1</x:v>
      </x:c>
      <x:c r="H5915" s="40" t="n">
        <x:f>F5915-E5915</x:f>
        <x:v>0.8526382446289062</x:v>
      </x:c>
      <x:c r="I5915" s="40" t="n">
        <x:f>ABS(H5915)</x:f>
        <x:v>0.8526382446289062</x:v>
      </x:c>
      <x:c r="J5915" s="40" t="n">
        <x:f>H5915^2</x:f>
        <x:v>0.7269919762038626</x:v>
      </x:c>
      <x:c r="K5915" s="40" t="n">
        <x:f>G5915-E5915</x:f>
        <x:v>0.10000000000000142</x:v>
      </x:c>
      <x:c r="L5915" s="40" t="n">
        <x:f>ABS(K5915)</x:f>
        <x:v>0.10000000000000142</x:v>
      </x:c>
      <x:c r="M5915" s="41" t="str">
        <x:v>lstm-soil-v1</x:v>
      </x:c>
    </x:row>
    <x:row r="5916">
      <x:c r="A5916" s="38" t="str">
        <x:v>7月30日现场数据</x:v>
      </x:c>
      <x:c r="B5916" s="39" t="str">
        <x:v>2026-08-05T16:45:00</x:v>
      </x:c>
      <x:c r="C5916" s="39" t="str">
        <x:v>2026-08-05T16:50:00</x:v>
      </x:c>
      <x:c r="D5916" s="47" t="n">
        <x:v>5</x:v>
      </x:c>
      <x:c r="E5916" s="40" t="n">
        <x:v>18</x:v>
      </x:c>
      <x:c r="F5916" s="40" t="n">
        <x:v>16.698314666748047</x:v>
      </x:c>
      <x:c r="G5916" s="40" t="n">
        <x:v>18.1</x:v>
      </x:c>
      <x:c r="H5916" s="40" t="n">
        <x:f>F5916-E5916</x:f>
        <x:v>-1.3016853332519531</x:v>
      </x:c>
      <x:c r="I5916" s="40" t="n">
        <x:f>ABS(H5916)</x:f>
        <x:v>1.3016853332519531</x:v>
      </x:c>
      <x:c r="J5916" s="40" t="n">
        <x:f>H5916^2</x:f>
        <x:v>1.6943847068032483</x:v>
      </x:c>
      <x:c r="K5916" s="40" t="n">
        <x:f>G5916-E5916</x:f>
        <x:v>0.10000000000000142</x:v>
      </x:c>
      <x:c r="L5916" s="40" t="n">
        <x:f>ABS(K5916)</x:f>
        <x:v>0.10000000000000142</x:v>
      </x:c>
      <x:c r="M5916" s="41" t="str">
        <x:v>lstm-soil-v1</x:v>
      </x:c>
    </x:row>
    <x:row r="5917">
      <x:c r="A5917" s="38" t="str">
        <x:v>7月30日现场数据</x:v>
      </x:c>
      <x:c r="B5917" s="39" t="str">
        <x:v>2026-08-05T16:45:00</x:v>
      </x:c>
      <x:c r="C5917" s="39" t="str">
        <x:v>2026-08-05T17:00:00</x:v>
      </x:c>
      <x:c r="D5917" s="47" t="n">
        <x:v>15</x:v>
      </x:c>
      <x:c r="E5917" s="40" t="n">
        <x:v>18.1</x:v>
      </x:c>
      <x:c r="F5917" s="40" t="n">
        <x:v>16.783145904541016</x:v>
      </x:c>
      <x:c r="G5917" s="40" t="n">
        <x:v>18.1</x:v>
      </x:c>
      <x:c r="H5917" s="40" t="n">
        <x:f>F5917-E5917</x:f>
        <x:v>-1.3168540954589858</x:v>
      </x:c>
      <x:c r="I5917" s="40" t="n">
        <x:f>ABS(H5917)</x:f>
        <x:v>1.3168540954589858</x:v>
      </x:c>
      <x:c r="J5917" s="40" t="n">
        <x:f>H5917^2</x:f>
        <x:v>1.7341047087271038</x:v>
      </x:c>
      <x:c r="K5917" s="40" t="n">
        <x:f>G5917-E5917</x:f>
        <x:v>0</x:v>
      </x:c>
      <x:c r="L5917" s="40" t="n">
        <x:f>ABS(K5917)</x:f>
        <x:v>0</x:v>
      </x:c>
      <x:c r="M5917" s="41" t="str">
        <x:v>lstm-soil-v1</x:v>
      </x:c>
    </x:row>
    <x:row r="5918">
      <x:c r="A5918" s="38" t="str">
        <x:v>7月30日现场数据</x:v>
      </x:c>
      <x:c r="B5918" s="39" t="str">
        <x:v>2026-08-05T16:45:00</x:v>
      </x:c>
      <x:c r="C5918" s="39" t="str">
        <x:v>2026-08-05T17:15:00</x:v>
      </x:c>
      <x:c r="D5918" s="47" t="n">
        <x:v>30</x:v>
      </x:c>
      <x:c r="E5918" s="40" t="n">
        <x:v>18</x:v>
      </x:c>
      <x:c r="F5918" s="40" t="n">
        <x:v>17.078899383544922</x:v>
      </x:c>
      <x:c r="G5918" s="40" t="n">
        <x:v>18.1</x:v>
      </x:c>
      <x:c r="H5918" s="40" t="n">
        <x:f>F5918-E5918</x:f>
        <x:v>-0.9211006164550781</x:v>
      </x:c>
      <x:c r="I5918" s="40" t="n">
        <x:f>ABS(H5918)</x:f>
        <x:v>0.9211006164550781</x:v>
      </x:c>
      <x:c r="J5918" s="40" t="n">
        <x:f>H5918^2</x:f>
        <x:v>0.8484263456339249</x:v>
      </x:c>
      <x:c r="K5918" s="40" t="n">
        <x:f>G5918-E5918</x:f>
        <x:v>0.10000000000000142</x:v>
      </x:c>
      <x:c r="L5918" s="40" t="n">
        <x:f>ABS(K5918)</x:f>
        <x:v>0.10000000000000142</x:v>
      </x:c>
      <x:c r="M5918" s="41" t="str">
        <x:v>lstm-soil-v1</x:v>
      </x:c>
    </x:row>
    <x:row r="5919">
      <x:c r="A5919" s="38" t="str">
        <x:v>7月30日现场数据</x:v>
      </x:c>
      <x:c r="B5919" s="39" t="str">
        <x:v>2026-08-05T16:45:00</x:v>
      </x:c>
      <x:c r="C5919" s="39" t="str">
        <x:v>2026-08-05T17:45:00</x:v>
      </x:c>
      <x:c r="D5919" s="47" t="n">
        <x:v>60</x:v>
      </x:c>
      <x:c r="E5919" s="40" t="n">
        <x:v>18</x:v>
      </x:c>
      <x:c r="F5919" s="40" t="n">
        <x:v>18.853038787841797</x:v>
      </x:c>
      <x:c r="G5919" s="40" t="n">
        <x:v>18.1</x:v>
      </x:c>
      <x:c r="H5919" s="40" t="n">
        <x:f>F5919-E5919</x:f>
        <x:v>0.8530387878417969</x:v>
      </x:c>
      <x:c r="I5919" s="40" t="n">
        <x:f>ABS(H5919)</x:f>
        <x:v>0.8530387878417969</x:v>
      </x:c>
      <x:c r="J5919" s="40" t="n">
        <x:f>H5919^2</x:f>
        <x:v>0.7276751735626021</x:v>
      </x:c>
      <x:c r="K5919" s="40" t="n">
        <x:f>G5919-E5919</x:f>
        <x:v>0.10000000000000142</x:v>
      </x:c>
      <x:c r="L5919" s="40" t="n">
        <x:f>ABS(K5919)</x:f>
        <x:v>0.10000000000000142</x:v>
      </x:c>
      <x:c r="M5919" s="41" t="str">
        <x:v>lstm-soil-v1</x:v>
      </x:c>
    </x:row>
    <x:row r="5920">
      <x:c r="A5920" s="38" t="str">
        <x:v>7月30日现场数据</x:v>
      </x:c>
      <x:c r="B5920" s="39" t="str">
        <x:v>2026-08-05T16:50:00</x:v>
      </x:c>
      <x:c r="C5920" s="39" t="str">
        <x:v>2026-08-05T16:55:00</x:v>
      </x:c>
      <x:c r="D5920" s="47" t="n">
        <x:v>5</x:v>
      </x:c>
      <x:c r="E5920" s="40" t="n">
        <x:v>18.1</x:v>
      </x:c>
      <x:c r="F5920" s="40" t="n">
        <x:v>16.590057373046875</x:v>
      </x:c>
      <x:c r="G5920" s="40" t="n">
        <x:v>18</x:v>
      </x:c>
      <x:c r="H5920" s="40" t="n">
        <x:f>F5920-E5920</x:f>
        <x:v>-1.5099426269531264</x:v>
      </x:c>
      <x:c r="I5920" s="40" t="n">
        <x:f>ABS(H5920)</x:f>
        <x:v>1.5099426269531264</x:v>
      </x:c>
      <x:c r="J5920" s="40" t="n">
        <x:f>H5920^2</x:f>
        <x:v>2.279926736690108</x:v>
      </x:c>
      <x:c r="K5920" s="40" t="n">
        <x:f>G5920-E5920</x:f>
        <x:v>-0.10000000000000142</x:v>
      </x:c>
      <x:c r="L5920" s="40" t="n">
        <x:f>ABS(K5920)</x:f>
        <x:v>0.10000000000000142</x:v>
      </x:c>
      <x:c r="M5920" s="41" t="str">
        <x:v>lstm-soil-v1</x:v>
      </x:c>
    </x:row>
    <x:row r="5921">
      <x:c r="A5921" s="38" t="str">
        <x:v>7月30日现场数据</x:v>
      </x:c>
      <x:c r="B5921" s="39" t="str">
        <x:v>2026-08-05T16:50:00</x:v>
      </x:c>
      <x:c r="C5921" s="39" t="str">
        <x:v>2026-08-05T17:05:00</x:v>
      </x:c>
      <x:c r="D5921" s="47" t="n">
        <x:v>15</x:v>
      </x:c>
      <x:c r="E5921" s="40" t="n">
        <x:v>18.1</x:v>
      </x:c>
      <x:c r="F5921" s="40" t="n">
        <x:v>16.672916412353516</x:v>
      </x:c>
      <x:c r="G5921" s="40" t="n">
        <x:v>18</x:v>
      </x:c>
      <x:c r="H5921" s="40" t="n">
        <x:f>F5921-E5921</x:f>
        <x:v>-1.4270835876464858</x:v>
      </x:c>
      <x:c r="I5921" s="40" t="n">
        <x:f>ABS(H5921)</x:f>
        <x:v>1.4270835876464858</x:v>
      </x:c>
      <x:c r="J5921" s="40" t="n">
        <x:f>H5921^2</x:f>
        <x:v>2.036567566129965</x:v>
      </x:c>
      <x:c r="K5921" s="40" t="n">
        <x:f>G5921-E5921</x:f>
        <x:v>-0.10000000000000142</x:v>
      </x:c>
      <x:c r="L5921" s="40" t="n">
        <x:f>ABS(K5921)</x:f>
        <x:v>0.10000000000000142</x:v>
      </x:c>
      <x:c r="M5921" s="41" t="str">
        <x:v>lstm-soil-v1</x:v>
      </x:c>
    </x:row>
    <x:row r="5922">
      <x:c r="A5922" s="38" t="str">
        <x:v>7月30日现场数据</x:v>
      </x:c>
      <x:c r="B5922" s="39" t="str">
        <x:v>2026-08-05T16:50:00</x:v>
      </x:c>
      <x:c r="C5922" s="39" t="str">
        <x:v>2026-08-05T17:20:00</x:v>
      </x:c>
      <x:c r="D5922" s="47" t="n">
        <x:v>30</x:v>
      </x:c>
      <x:c r="E5922" s="40" t="n">
        <x:v>18</x:v>
      </x:c>
      <x:c r="F5922" s="40" t="n">
        <x:v>16.970703125</x:v>
      </x:c>
      <x:c r="G5922" s="40" t="n">
        <x:v>18</x:v>
      </x:c>
      <x:c r="H5922" s="40" t="n">
        <x:f>F5922-E5922</x:f>
        <x:v>-1.029296875</x:v>
      </x:c>
      <x:c r="I5922" s="40" t="n">
        <x:f>ABS(H5922)</x:f>
        <x:v>1.029296875</x:v>
      </x:c>
      <x:c r="J5922" s="40" t="n">
        <x:f>H5922^2</x:f>
        <x:v>1.0594520568847656</x:v>
      </x:c>
      <x:c r="K5922" s="40" t="n">
        <x:f>G5922-E5922</x:f>
        <x:v>0</x:v>
      </x:c>
      <x:c r="L5922" s="40" t="n">
        <x:f>ABS(K5922)</x:f>
        <x:v>0</x:v>
      </x:c>
      <x:c r="M5922" s="41" t="str">
        <x:v>lstm-soil-v1</x:v>
      </x:c>
    </x:row>
    <x:row r="5923">
      <x:c r="A5923" s="38" t="str">
        <x:v>7月30日现场数据</x:v>
      </x:c>
      <x:c r="B5923" s="39" t="str">
        <x:v>2026-08-05T16:50:00</x:v>
      </x:c>
      <x:c r="C5923" s="39" t="str">
        <x:v>2026-08-05T17:50:00</x:v>
      </x:c>
      <x:c r="D5923" s="47" t="n">
        <x:v>60</x:v>
      </x:c>
      <x:c r="E5923" s="40" t="n">
        <x:v>18</x:v>
      </x:c>
      <x:c r="F5923" s="40" t="n">
        <x:v>18.746898651123047</x:v>
      </x:c>
      <x:c r="G5923" s="40" t="n">
        <x:v>18</x:v>
      </x:c>
      <x:c r="H5923" s="40" t="n">
        <x:f>F5923-E5923</x:f>
        <x:v>0.7468986511230469</x:v>
      </x:c>
      <x:c r="I5923" s="40" t="n">
        <x:f>ABS(H5923)</x:f>
        <x:v>0.7468986511230469</x:v>
      </x:c>
      <x:c r="J5923" s="40" t="n">
        <x:f>H5923^2</x:f>
        <x:v>0.5578575950494269</x:v>
      </x:c>
      <x:c r="K5923" s="40" t="n">
        <x:f>G5923-E5923</x:f>
        <x:v>0</x:v>
      </x:c>
      <x:c r="L5923" s="40" t="n">
        <x:f>ABS(K5923)</x:f>
        <x:v>0</x:v>
      </x:c>
      <x:c r="M5923" s="41" t="str">
        <x:v>lstm-soil-v1</x:v>
      </x:c>
    </x:row>
    <x:row r="5924">
      <x:c r="A5924" s="38" t="str">
        <x:v>7月30日现场数据</x:v>
      </x:c>
      <x:c r="B5924" s="39" t="str">
        <x:v>2026-08-05T16:55:00</x:v>
      </x:c>
      <x:c r="C5924" s="39" t="str">
        <x:v>2026-08-05T17:00:00</x:v>
      </x:c>
      <x:c r="D5924" s="47" t="n">
        <x:v>5</x:v>
      </x:c>
      <x:c r="E5924" s="40" t="n">
        <x:v>18.1</x:v>
      </x:c>
      <x:c r="F5924" s="40" t="n">
        <x:v>16.701133728027344</x:v>
      </x:c>
      <x:c r="G5924" s="40" t="n">
        <x:v>18.1</x:v>
      </x:c>
      <x:c r="H5924" s="40" t="n">
        <x:f>F5924-E5924</x:f>
        <x:v>-1.3988662719726577</x:v>
      </x:c>
      <x:c r="I5924" s="40" t="n">
        <x:f>ABS(H5924)</x:f>
        <x:v>1.3988662719726577</x:v>
      </x:c>
      <x:c r="J5924" s="40" t="n">
        <x:f>H5924^2</x:f>
        <x:v>1.9568268468626815</x:v>
      </x:c>
      <x:c r="K5924" s="40" t="n">
        <x:f>G5924-E5924</x:f>
        <x:v>0</x:v>
      </x:c>
      <x:c r="L5924" s="40" t="n">
        <x:f>ABS(K5924)</x:f>
        <x:v>0</x:v>
      </x:c>
      <x:c r="M5924" s="41" t="str">
        <x:v>lstm-soil-v1</x:v>
      </x:c>
    </x:row>
    <x:row r="5925">
      <x:c r="A5925" s="38" t="str">
        <x:v>7月30日现场数据</x:v>
      </x:c>
      <x:c r="B5925" s="39" t="str">
        <x:v>2026-08-05T16:55:00</x:v>
      </x:c>
      <x:c r="C5925" s="39" t="str">
        <x:v>2026-08-05T17:10:00</x:v>
      </x:c>
      <x:c r="D5925" s="47" t="n">
        <x:v>15</x:v>
      </x:c>
      <x:c r="E5925" s="40" t="n">
        <x:v>18</x:v>
      </x:c>
      <x:c r="F5925" s="40" t="n">
        <x:v>16.78335189819336</x:v>
      </x:c>
      <x:c r="G5925" s="40" t="n">
        <x:v>18.1</x:v>
      </x:c>
      <x:c r="H5925" s="40" t="n">
        <x:f>F5925-E5925</x:f>
        <x:v>-1.2166481018066406</x:v>
      </x:c>
      <x:c r="I5925" s="40" t="n">
        <x:f>ABS(H5925)</x:f>
        <x:v>1.2166481018066406</x:v>
      </x:c>
      <x:c r="J5925" s="40" t="n">
        <x:f>H5925^2</x:f>
        <x:v>1.4802326036297018</x:v>
      </x:c>
      <x:c r="K5925" s="40" t="n">
        <x:f>G5925-E5925</x:f>
        <x:v>0.10000000000000142</x:v>
      </x:c>
      <x:c r="L5925" s="40" t="n">
        <x:f>ABS(K5925)</x:f>
        <x:v>0.10000000000000142</x:v>
      </x:c>
      <x:c r="M5925" s="41" t="str">
        <x:v>lstm-soil-v1</x:v>
      </x:c>
    </x:row>
    <x:row r="5926">
      <x:c r="A5926" s="38" t="str">
        <x:v>7月30日现场数据</x:v>
      </x:c>
      <x:c r="B5926" s="39" t="str">
        <x:v>2026-08-05T16:55:00</x:v>
      </x:c>
      <x:c r="C5926" s="39" t="str">
        <x:v>2026-08-05T17:25:00</x:v>
      </x:c>
      <x:c r="D5926" s="47" t="n">
        <x:v>30</x:v>
      </x:c>
      <x:c r="E5926" s="40" t="n">
        <x:v>18</x:v>
      </x:c>
      <x:c r="F5926" s="40" t="n">
        <x:v>17.082592010498047</x:v>
      </x:c>
      <x:c r="G5926" s="40" t="n">
        <x:v>18.1</x:v>
      </x:c>
      <x:c r="H5926" s="40" t="n">
        <x:f>F5926-E5926</x:f>
        <x:v>-0.9174079895019531</x:v>
      </x:c>
      <x:c r="I5926" s="40" t="n">
        <x:f>ABS(H5926)</x:f>
        <x:v>0.9174079895019531</x:v>
      </x:c>
      <x:c r="J5926" s="40" t="n">
        <x:f>H5926^2</x:f>
        <x:v>0.8416374192020157</x:v>
      </x:c>
      <x:c r="K5926" s="40" t="n">
        <x:f>G5926-E5926</x:f>
        <x:v>0.10000000000000142</x:v>
      </x:c>
      <x:c r="L5926" s="40" t="n">
        <x:f>ABS(K5926)</x:f>
        <x:v>0.10000000000000142</x:v>
      </x:c>
      <x:c r="M5926" s="41" t="str">
        <x:v>lstm-soil-v1</x:v>
      </x:c>
    </x:row>
    <x:row r="5927">
      <x:c r="A5927" s="38" t="str">
        <x:v>7月30日现场数据</x:v>
      </x:c>
      <x:c r="B5927" s="39" t="str">
        <x:v>2026-08-05T16:55:00</x:v>
      </x:c>
      <x:c r="C5927" s="39" t="str">
        <x:v>2026-08-05T17:55:00</x:v>
      </x:c>
      <x:c r="D5927" s="47" t="n">
        <x:v>60</x:v>
      </x:c>
      <x:c r="E5927" s="40" t="n">
        <x:v>18</x:v>
      </x:c>
      <x:c r="F5927" s="40" t="n">
        <x:v>18.858688354492188</x:v>
      </x:c>
      <x:c r="G5927" s="40" t="n">
        <x:v>18.1</x:v>
      </x:c>
      <x:c r="H5927" s="40" t="n">
        <x:f>F5927-E5927</x:f>
        <x:v>0.8586883544921875</x:v>
      </x:c>
      <x:c r="I5927" s="40" t="n">
        <x:f>ABS(H5927)</x:f>
        <x:v>0.8586883544921875</x:v>
      </x:c>
      <x:c r="J5927" s="40" t="n">
        <x:f>H5927^2</x:f>
        <x:v>0.7373456901405007</x:v>
      </x:c>
      <x:c r="K5927" s="40" t="n">
        <x:f>G5927-E5927</x:f>
        <x:v>0.10000000000000142</x:v>
      </x:c>
      <x:c r="L5927" s="40" t="n">
        <x:f>ABS(K5927)</x:f>
        <x:v>0.10000000000000142</x:v>
      </x:c>
      <x:c r="M5927" s="41" t="str">
        <x:v>lstm-soil-v1</x:v>
      </x:c>
    </x:row>
    <x:row r="5928">
      <x:c r="A5928" s="38" t="str">
        <x:v>7月30日现场数据</x:v>
      </x:c>
      <x:c r="B5928" s="39" t="str">
        <x:v>2026-08-05T17:00:00</x:v>
      </x:c>
      <x:c r="C5928" s="39" t="str">
        <x:v>2026-08-05T17:05:00</x:v>
      </x:c>
      <x:c r="D5928" s="47" t="n">
        <x:v>5</x:v>
      </x:c>
      <x:c r="E5928" s="40" t="n">
        <x:v>18.1</x:v>
      </x:c>
      <x:c r="F5928" s="40" t="n">
        <x:v>16.701637268066406</x:v>
      </x:c>
      <x:c r="G5928" s="40" t="n">
        <x:v>18.1</x:v>
      </x:c>
      <x:c r="H5928" s="40" t="n">
        <x:f>F5928-E5928</x:f>
        <x:v>-1.3983627319335952</x:v>
      </x:c>
      <x:c r="I5928" s="40" t="n">
        <x:f>ABS(H5928)</x:f>
        <x:v>1.3983627319335952</x:v>
      </x:c>
      <x:c r="J5928" s="40" t="n">
        <x:f>H5928^2</x:f>
        <x:v>1.9554183300607877</x:v>
      </x:c>
      <x:c r="K5928" s="40" t="n">
        <x:f>G5928-E5928</x:f>
        <x:v>0</x:v>
      </x:c>
      <x:c r="L5928" s="40" t="n">
        <x:f>ABS(K5928)</x:f>
        <x:v>0</x:v>
      </x:c>
      <x:c r="M5928" s="41" t="str">
        <x:v>lstm-soil-v1</x:v>
      </x:c>
    </x:row>
    <x:row r="5929">
      <x:c r="A5929" s="38" t="str">
        <x:v>7月30日现场数据</x:v>
      </x:c>
      <x:c r="B5929" s="39" t="str">
        <x:v>2026-08-05T17:00:00</x:v>
      </x:c>
      <x:c r="C5929" s="39" t="str">
        <x:v>2026-08-05T17:15:00</x:v>
      </x:c>
      <x:c r="D5929" s="47" t="n">
        <x:v>15</x:v>
      </x:c>
      <x:c r="E5929" s="40" t="n">
        <x:v>18</x:v>
      </x:c>
      <x:c r="F5929" s="40" t="n">
        <x:v>16.784500122070312</x:v>
      </x:c>
      <x:c r="G5929" s="40" t="n">
        <x:v>18.1</x:v>
      </x:c>
      <x:c r="H5929" s="40" t="n">
        <x:f>F5929-E5929</x:f>
        <x:v>-1.2154998779296875</x:v>
      </x:c>
      <x:c r="I5929" s="40" t="n">
        <x:f>ABS(H5929)</x:f>
        <x:v>1.2154998779296875</x:v>
      </x:c>
      <x:c r="J5929" s="40" t="n">
        <x:f>H5929^2</x:f>
        <x:v>1.4774399532470852</x:v>
      </x:c>
      <x:c r="K5929" s="40" t="n">
        <x:f>G5929-E5929</x:f>
        <x:v>0.10000000000000142</x:v>
      </x:c>
      <x:c r="L5929" s="40" t="n">
        <x:f>ABS(K5929)</x:f>
        <x:v>0.10000000000000142</x:v>
      </x:c>
      <x:c r="M5929" s="41" t="str">
        <x:v>lstm-soil-v1</x:v>
      </x:c>
    </x:row>
    <x:row r="5930">
      <x:c r="A5930" s="38" t="str">
        <x:v>7月30日现场数据</x:v>
      </x:c>
      <x:c r="B5930" s="39" t="str">
        <x:v>2026-08-05T17:00:00</x:v>
      </x:c>
      <x:c r="C5930" s="39" t="str">
        <x:v>2026-08-05T17:30:00</x:v>
      </x:c>
      <x:c r="D5930" s="47" t="n">
        <x:v>30</x:v>
      </x:c>
      <x:c r="E5930" s="40" t="n">
        <x:v>18</x:v>
      </x:c>
      <x:c r="F5930" s="40" t="n">
        <x:v>17.084373474121094</x:v>
      </x:c>
      <x:c r="G5930" s="40" t="n">
        <x:v>18.1</x:v>
      </x:c>
      <x:c r="H5930" s="40" t="n">
        <x:f>F5930-E5930</x:f>
        <x:v>-0.9156265258789062</x:v>
      </x:c>
      <x:c r="I5930" s="40" t="n">
        <x:f>ABS(H5930)</x:f>
        <x:v>0.9156265258789062</x:v>
      </x:c>
      <x:c r="J5930" s="40" t="n">
        <x:f>H5930^2</x:f>
        <x:v>0.8383719348930754</x:v>
      </x:c>
      <x:c r="K5930" s="40" t="n">
        <x:f>G5930-E5930</x:f>
        <x:v>0.10000000000000142</x:v>
      </x:c>
      <x:c r="L5930" s="40" t="n">
        <x:f>ABS(K5930)</x:f>
        <x:v>0.10000000000000142</x:v>
      </x:c>
      <x:c r="M5930" s="41" t="str">
        <x:v>lstm-soil-v1</x:v>
      </x:c>
    </x:row>
    <x:row r="5931">
      <x:c r="A5931" s="38" t="str">
        <x:v>7月30日现场数据</x:v>
      </x:c>
      <x:c r="B5931" s="39" t="str">
        <x:v>2026-08-05T17:00:00</x:v>
      </x:c>
      <x:c r="C5931" s="39" t="str">
        <x:v>2026-08-05T18:00:00</x:v>
      </x:c>
      <x:c r="D5931" s="47" t="n">
        <x:v>60</x:v>
      </x:c>
      <x:c r="E5931" s="40" t="n">
        <x:v>17.9</x:v>
      </x:c>
      <x:c r="F5931" s="40" t="n">
        <x:v>18.858699798583984</x:v>
      </x:c>
      <x:c r="G5931" s="40" t="n">
        <x:v>18.1</x:v>
      </x:c>
      <x:c r="H5931" s="40" t="n">
        <x:f>F5931-E5931</x:f>
        <x:v>0.9586997985839858</x:v>
      </x:c>
      <x:c r="I5931" s="40" t="n">
        <x:f>ABS(H5931)</x:f>
        <x:v>0.9586997985839858</x:v>
      </x:c>
      <x:c r="J5931" s="40" t="n">
        <x:f>H5931^2</x:f>
        <x:v>0.9191053038049749</x:v>
      </x:c>
      <x:c r="K5931" s="40" t="n">
        <x:f>G5931-E5931</x:f>
        <x:v>0.20000000000000284</x:v>
      </x:c>
      <x:c r="L5931" s="40" t="n">
        <x:f>ABS(K5931)</x:f>
        <x:v>0.20000000000000284</x:v>
      </x:c>
      <x:c r="M5931" s="41" t="str">
        <x:v>lstm-soil-v1</x:v>
      </x:c>
    </x:row>
    <x:row r="5932">
      <x:c r="A5932" s="38" t="str">
        <x:v>7月30日现场数据</x:v>
      </x:c>
      <x:c r="B5932" s="39" t="str">
        <x:v>2026-08-05T17:05:00</x:v>
      </x:c>
      <x:c r="C5932" s="39" t="str">
        <x:v>2026-08-05T17:10:00</x:v>
      </x:c>
      <x:c r="D5932" s="47" t="n">
        <x:v>5</x:v>
      </x:c>
      <x:c r="E5932" s="40" t="n">
        <x:v>18</x:v>
      </x:c>
      <x:c r="F5932" s="40" t="n">
        <x:v>16.70117950439453</x:v>
      </x:c>
      <x:c r="G5932" s="40" t="n">
        <x:v>18.1</x:v>
      </x:c>
      <x:c r="H5932" s="40" t="n">
        <x:f>F5932-E5932</x:f>
        <x:v>-1.2988204956054688</x:v>
      </x:c>
      <x:c r="I5932" s="40" t="n">
        <x:f>ABS(H5932)</x:f>
        <x:v>1.2988204956054688</x:v>
      </x:c>
      <x:c r="J5932" s="40" t="n">
        <x:f>H5932^2</x:f>
        <x:v>1.6869346798048355</x:v>
      </x:c>
      <x:c r="K5932" s="40" t="n">
        <x:f>G5932-E5932</x:f>
        <x:v>0.10000000000000142</x:v>
      </x:c>
      <x:c r="L5932" s="40" t="n">
        <x:f>ABS(K5932)</x:f>
        <x:v>0.10000000000000142</x:v>
      </x:c>
      <x:c r="M5932" s="41" t="str">
        <x:v>lstm-soil-v1</x:v>
      </x:c>
    </x:row>
    <x:row r="5933">
      <x:c r="A5933" s="38" t="str">
        <x:v>7月30日现场数据</x:v>
      </x:c>
      <x:c r="B5933" s="39" t="str">
        <x:v>2026-08-05T17:05:00</x:v>
      </x:c>
      <x:c r="C5933" s="39" t="str">
        <x:v>2026-08-05T17:20:00</x:v>
      </x:c>
      <x:c r="D5933" s="47" t="n">
        <x:v>15</x:v>
      </x:c>
      <x:c r="E5933" s="40" t="n">
        <x:v>18</x:v>
      </x:c>
      <x:c r="F5933" s="40" t="n">
        <x:v>16.78478240966797</x:v>
      </x:c>
      <x:c r="G5933" s="40" t="n">
        <x:v>18.1</x:v>
      </x:c>
      <x:c r="H5933" s="40" t="n">
        <x:f>F5933-E5933</x:f>
        <x:v>-1.2152175903320312</x:v>
      </x:c>
      <x:c r="I5933" s="40" t="n">
        <x:f>ABS(H5933)</x:f>
        <x:v>1.2152175903320312</x:v>
      </x:c>
      <x:c r="J5933" s="40" t="n">
        <x:f>H5933^2</x:f>
        <x:v>1.4767537918523885</x:v>
      </x:c>
      <x:c r="K5933" s="40" t="n">
        <x:f>G5933-E5933</x:f>
        <x:v>0.10000000000000142</x:v>
      </x:c>
      <x:c r="L5933" s="40" t="n">
        <x:f>ABS(K5933)</x:f>
        <x:v>0.10000000000000142</x:v>
      </x:c>
      <x:c r="M5933" s="41" t="str">
        <x:v>lstm-soil-v1</x:v>
      </x:c>
    </x:row>
    <x:row r="5934">
      <x:c r="A5934" s="38" t="str">
        <x:v>7月30日现场数据</x:v>
      </x:c>
      <x:c r="B5934" s="39" t="str">
        <x:v>2026-08-05T17:05:00</x:v>
      </x:c>
      <x:c r="C5934" s="39" t="str">
        <x:v>2026-08-05T17:35:00</x:v>
      </x:c>
      <x:c r="D5934" s="47" t="n">
        <x:v>30</x:v>
      </x:c>
      <x:c r="E5934" s="40" t="n">
        <x:v>18</x:v>
      </x:c>
      <x:c r="F5934" s="40" t="n">
        <x:v>17.083786010742188</x:v>
      </x:c>
      <x:c r="G5934" s="40" t="n">
        <x:v>18.1</x:v>
      </x:c>
      <x:c r="H5934" s="40" t="n">
        <x:f>F5934-E5934</x:f>
        <x:v>-0.9162139892578125</x:v>
      </x:c>
      <x:c r="I5934" s="40" t="n">
        <x:f>ABS(H5934)</x:f>
        <x:v>0.9162139892578125</x:v>
      </x:c>
      <x:c r="J5934" s="40" t="n">
        <x:f>H5934^2</x:f>
        <x:v>0.839448074111715</x:v>
      </x:c>
      <x:c r="K5934" s="40" t="n">
        <x:f>G5934-E5934</x:f>
        <x:v>0.10000000000000142</x:v>
      </x:c>
      <x:c r="L5934" s="40" t="n">
        <x:f>ABS(K5934)</x:f>
        <x:v>0.10000000000000142</x:v>
      </x:c>
      <x:c r="M5934" s="41" t="str">
        <x:v>lstm-soil-v1</x:v>
      </x:c>
    </x:row>
    <x:row r="5935">
      <x:c r="A5935" s="38" t="str">
        <x:v>7月30日现场数据</x:v>
      </x:c>
      <x:c r="B5935" s="39" t="str">
        <x:v>2026-08-05T17:05:00</x:v>
      </x:c>
      <x:c r="C5935" s="39" t="str">
        <x:v>2026-08-05T18:05:00</x:v>
      </x:c>
      <x:c r="D5935" s="47" t="n">
        <x:v>60</x:v>
      </x:c>
      <x:c r="E5935" s="40" t="n">
        <x:v>17.9</x:v>
      </x:c>
      <x:c r="F5935" s="40" t="n">
        <x:v>18.857345581054688</x:v>
      </x:c>
      <x:c r="G5935" s="40" t="n">
        <x:v>18.1</x:v>
      </x:c>
      <x:c r="H5935" s="40" t="n">
        <x:f>F5935-E5935</x:f>
        <x:v>0.9573455810546889</x:v>
      </x:c>
      <x:c r="I5935" s="40" t="n">
        <x:f>ABS(H5935)</x:f>
        <x:v>0.9573455810546889</x:v>
      </x:c>
      <x:c r="J5935" s="40" t="n">
        <x:f>H5935^2</x:f>
        <x:v>0.9165105615649399</x:v>
      </x:c>
      <x:c r="K5935" s="40" t="n">
        <x:f>G5935-E5935</x:f>
        <x:v>0.20000000000000284</x:v>
      </x:c>
      <x:c r="L5935" s="40" t="n">
        <x:f>ABS(K5935)</x:f>
        <x:v>0.20000000000000284</x:v>
      </x:c>
      <x:c r="M5935" s="41" t="str">
        <x:v>lstm-soil-v1</x:v>
      </x:c>
    </x:row>
    <x:row r="5936">
      <x:c r="A5936" s="38" t="str">
        <x:v>7月30日现场数据</x:v>
      </x:c>
      <x:c r="B5936" s="39" t="str">
        <x:v>2026-08-05T17:10:00</x:v>
      </x:c>
      <x:c r="C5936" s="39" t="str">
        <x:v>2026-08-05T17:15:00</x:v>
      </x:c>
      <x:c r="D5936" s="47" t="n">
        <x:v>5</x:v>
      </x:c>
      <x:c r="E5936" s="40" t="n">
        <x:v>18</x:v>
      </x:c>
      <x:c r="F5936" s="40" t="n">
        <x:v>16.58993148803711</x:v>
      </x:c>
      <x:c r="G5936" s="40" t="n">
        <x:v>18</x:v>
      </x:c>
      <x:c r="H5936" s="40" t="n">
        <x:f>F5936-E5936</x:f>
        <x:v>-1.4100685119628906</x:v>
      </x:c>
      <x:c r="I5936" s="40" t="n">
        <x:f>ABS(H5936)</x:f>
        <x:v>1.4100685119628906</x:v>
      </x:c>
      <x:c r="J5936" s="40" t="n">
        <x:f>H5936^2</x:f>
        <x:v>1.9882932084292406</x:v>
      </x:c>
      <x:c r="K5936" s="40" t="n">
        <x:f>G5936-E5936</x:f>
        <x:v>0</x:v>
      </x:c>
      <x:c r="L5936" s="40" t="n">
        <x:f>ABS(K5936)</x:f>
        <x:v>0</x:v>
      </x:c>
      <x:c r="M5936" s="41" t="str">
        <x:v>lstm-soil-v1</x:v>
      </x:c>
    </x:row>
    <x:row r="5937">
      <x:c r="A5937" s="38" t="str">
        <x:v>7月30日现场数据</x:v>
      </x:c>
      <x:c r="B5937" s="39" t="str">
        <x:v>2026-08-05T17:10:00</x:v>
      </x:c>
      <x:c r="C5937" s="39" t="str">
        <x:v>2026-08-05T17:25:00</x:v>
      </x:c>
      <x:c r="D5937" s="47" t="n">
        <x:v>15</x:v>
      </x:c>
      <x:c r="E5937" s="40" t="n">
        <x:v>18</x:v>
      </x:c>
      <x:c r="F5937" s="40" t="n">
        <x:v>16.67449188232422</x:v>
      </x:c>
      <x:c r="G5937" s="40" t="n">
        <x:v>18</x:v>
      </x:c>
      <x:c r="H5937" s="40" t="n">
        <x:f>F5937-E5937</x:f>
        <x:v>-1.3255081176757812</x:v>
      </x:c>
      <x:c r="I5937" s="40" t="n">
        <x:f>ABS(H5937)</x:f>
        <x:v>1.3255081176757812</x:v>
      </x:c>
      <x:c r="J5937" s="40" t="n">
        <x:f>H5937^2</x:f>
        <x:v>1.7569717700243928</x:v>
      </x:c>
      <x:c r="K5937" s="40" t="n">
        <x:f>G5937-E5937</x:f>
        <x:v>0</x:v>
      </x:c>
      <x:c r="L5937" s="40" t="n">
        <x:f>ABS(K5937)</x:f>
        <x:v>0</x:v>
      </x:c>
      <x:c r="M5937" s="41" t="str">
        <x:v>lstm-soil-v1</x:v>
      </x:c>
    </x:row>
    <x:row r="5938">
      <x:c r="A5938" s="38" t="str">
        <x:v>7月30日现场数据</x:v>
      </x:c>
      <x:c r="B5938" s="39" t="str">
        <x:v>2026-08-05T17:10:00</x:v>
      </x:c>
      <x:c r="C5938" s="39" t="str">
        <x:v>2026-08-05T17:40:00</x:v>
      </x:c>
      <x:c r="D5938" s="47" t="n">
        <x:v>30</x:v>
      </x:c>
      <x:c r="E5938" s="40" t="n">
        <x:v>18</x:v>
      </x:c>
      <x:c r="F5938" s="40" t="n">
        <x:v>16.972553253173828</x:v>
      </x:c>
      <x:c r="G5938" s="40" t="n">
        <x:v>18</x:v>
      </x:c>
      <x:c r="H5938" s="40" t="n">
        <x:f>F5938-E5938</x:f>
        <x:v>-1.0274467468261719</x:v>
      </x:c>
      <x:c r="I5938" s="40" t="n">
        <x:f>ABS(H5938)</x:f>
        <x:v>1.0274467468261719</x:v>
      </x:c>
      <x:c r="J5938" s="40" t="n">
        <x:f>H5938^2</x:f>
        <x:v>1.0556468175636837</x:v>
      </x:c>
      <x:c r="K5938" s="40" t="n">
        <x:f>G5938-E5938</x:f>
        <x:v>0</x:v>
      </x:c>
      <x:c r="L5938" s="40" t="n">
        <x:f>ABS(K5938)</x:f>
        <x:v>0</x:v>
      </x:c>
      <x:c r="M5938" s="41" t="str">
        <x:v>lstm-soil-v1</x:v>
      </x:c>
    </x:row>
    <x:row r="5939">
      <x:c r="A5939" s="38" t="str">
        <x:v>7月30日现场数据</x:v>
      </x:c>
      <x:c r="B5939" s="39" t="str">
        <x:v>2026-08-05T17:10:00</x:v>
      </x:c>
      <x:c r="C5939" s="39" t="str">
        <x:v>2026-08-05T18:10:00</x:v>
      </x:c>
      <x:c r="D5939" s="47" t="n">
        <x:v>60</x:v>
      </x:c>
      <x:c r="E5939" s="40" t="n">
        <x:v>18</x:v>
      </x:c>
      <x:c r="F5939" s="40" t="n">
        <x:v>18.74624252319336</x:v>
      </x:c>
      <x:c r="G5939" s="40" t="n">
        <x:v>18</x:v>
      </x:c>
      <x:c r="H5939" s="40" t="n">
        <x:f>F5939-E5939</x:f>
        <x:v>0.7462425231933594</x:v>
      </x:c>
      <x:c r="I5939" s="40" t="n">
        <x:f>ABS(H5939)</x:f>
        <x:v>0.7462425231933594</x:v>
      </x:c>
      <x:c r="J5939" s="40" t="n">
        <x:f>H5939^2</x:f>
        <x:v>0.5568779034219915</x:v>
      </x:c>
      <x:c r="K5939" s="40" t="n">
        <x:f>G5939-E5939</x:f>
        <x:v>0</x:v>
      </x:c>
      <x:c r="L5939" s="40" t="n">
        <x:f>ABS(K5939)</x:f>
        <x:v>0</x:v>
      </x:c>
      <x:c r="M5939" s="41" t="str">
        <x:v>lstm-soil-v1</x:v>
      </x:c>
    </x:row>
    <x:row r="5940">
      <x:c r="A5940" s="38" t="str">
        <x:v>7月30日现场数据</x:v>
      </x:c>
      <x:c r="B5940" s="39" t="str">
        <x:v>2026-08-05T17:15:00</x:v>
      </x:c>
      <x:c r="C5940" s="39" t="str">
        <x:v>2026-08-05T17:20:00</x:v>
      </x:c>
      <x:c r="D5940" s="47" t="n">
        <x:v>5</x:v>
      </x:c>
      <x:c r="E5940" s="40" t="n">
        <x:v>18</x:v>
      </x:c>
      <x:c r="F5940" s="40" t="n">
        <x:v>16.58853530883789</x:v>
      </x:c>
      <x:c r="G5940" s="40" t="n">
        <x:v>18</x:v>
      </x:c>
      <x:c r="H5940" s="40" t="n">
        <x:f>F5940-E5940</x:f>
        <x:v>-1.4114646911621094</x:v>
      </x:c>
      <x:c r="I5940" s="40" t="n">
        <x:f>ABS(H5940)</x:f>
        <x:v>1.4114646911621094</x:v>
      </x:c>
      <x:c r="J5940" s="40" t="n">
        <x:f>H5940^2</x:f>
        <x:v>1.9922325743973488</x:v>
      </x:c>
      <x:c r="K5940" s="40" t="n">
        <x:f>G5940-E5940</x:f>
        <x:v>0</x:v>
      </x:c>
      <x:c r="L5940" s="40" t="n">
        <x:f>ABS(K5940)</x:f>
        <x:v>0</x:v>
      </x:c>
      <x:c r="M5940" s="41" t="str">
        <x:v>lstm-soil-v1</x:v>
      </x:c>
    </x:row>
    <x:row r="5941">
      <x:c r="A5941" s="38" t="str">
        <x:v>7月30日现场数据</x:v>
      </x:c>
      <x:c r="B5941" s="39" t="str">
        <x:v>2026-08-05T17:15:00</x:v>
      </x:c>
      <x:c r="C5941" s="39" t="str">
        <x:v>2026-08-05T17:30:00</x:v>
      </x:c>
      <x:c r="D5941" s="47" t="n">
        <x:v>15</x:v>
      </x:c>
      <x:c r="E5941" s="40" t="n">
        <x:v>18</x:v>
      </x:c>
      <x:c r="F5941" s="40" t="n">
        <x:v>16.674240112304688</x:v>
      </x:c>
      <x:c r="G5941" s="40" t="n">
        <x:v>18</x:v>
      </x:c>
      <x:c r="H5941" s="40" t="n">
        <x:f>F5941-E5941</x:f>
        <x:v>-1.3257598876953125</x:v>
      </x:c>
      <x:c r="I5941" s="40" t="n">
        <x:f>ABS(H5941)</x:f>
        <x:v>1.3257598876953125</x:v>
      </x:c>
      <x:c r="J5941" s="40" t="n">
        <x:f>H5941^2</x:f>
        <x:v>1.7576392798218876</x:v>
      </x:c>
      <x:c r="K5941" s="40" t="n">
        <x:f>G5941-E5941</x:f>
        <x:v>0</x:v>
      </x:c>
      <x:c r="L5941" s="40" t="n">
        <x:f>ABS(K5941)</x:f>
        <x:v>0</x:v>
      </x:c>
      <x:c r="M5941" s="41" t="str">
        <x:v>lstm-soil-v1</x:v>
      </x:c>
    </x:row>
    <x:row r="5942">
      <x:c r="A5942" s="38" t="str">
        <x:v>7月30日现场数据</x:v>
      </x:c>
      <x:c r="B5942" s="39" t="str">
        <x:v>2026-08-05T17:15:00</x:v>
      </x:c>
      <x:c r="C5942" s="39" t="str">
        <x:v>2026-08-05T17:45:00</x:v>
      </x:c>
      <x:c r="D5942" s="47" t="n">
        <x:v>30</x:v>
      </x:c>
      <x:c r="E5942" s="40" t="n">
        <x:v>18</x:v>
      </x:c>
      <x:c r="F5942" s="40" t="n">
        <x:v>16.971675872802734</x:v>
      </x:c>
      <x:c r="G5942" s="40" t="n">
        <x:v>18</x:v>
      </x:c>
      <x:c r="H5942" s="40" t="n">
        <x:f>F5942-E5942</x:f>
        <x:v>-1.0283241271972656</x:v>
      </x:c>
      <x:c r="I5942" s="40" t="n">
        <x:f>ABS(H5942)</x:f>
        <x:v>1.0283241271972656</x:v>
      </x:c>
      <x:c r="J5942" s="40" t="n">
        <x:f>H5942^2</x:f>
        <x:v>1.0574505105760181</x:v>
      </x:c>
      <x:c r="K5942" s="40" t="n">
        <x:f>G5942-E5942</x:f>
        <x:v>0</x:v>
      </x:c>
      <x:c r="L5942" s="40" t="n">
        <x:f>ABS(K5942)</x:f>
        <x:v>0</x:v>
      </x:c>
      <x:c r="M5942" s="41" t="str">
        <x:v>lstm-soil-v1</x:v>
      </x:c>
    </x:row>
    <x:row r="5943">
      <x:c r="A5943" s="38" t="str">
        <x:v>7月30日现场数据</x:v>
      </x:c>
      <x:c r="B5943" s="39" t="str">
        <x:v>2026-08-05T17:15:00</x:v>
      </x:c>
      <x:c r="C5943" s="39" t="str">
        <x:v>2026-08-05T18:15:00</x:v>
      </x:c>
      <x:c r="D5943" s="47" t="n">
        <x:v>60</x:v>
      </x:c>
      <x:c r="E5943" s="40" t="n">
        <x:v>17.9</x:v>
      </x:c>
      <x:c r="F5943" s="40" t="n">
        <x:v>18.745407104492188</x:v>
      </x:c>
      <x:c r="G5943" s="40" t="n">
        <x:v>18</x:v>
      </x:c>
      <x:c r="H5943" s="40" t="n">
        <x:f>F5943-E5943</x:f>
        <x:v>0.8454071044921889</x:v>
      </x:c>
      <x:c r="I5943" s="40" t="n">
        <x:f>ABS(H5943)</x:f>
        <x:v>0.8454071044921889</x:v>
      </x:c>
      <x:c r="J5943" s="40" t="n">
        <x:f>H5943^2</x:f>
        <x:v>0.7147131723258668</x:v>
      </x:c>
      <x:c r="K5943" s="40" t="n">
        <x:f>G5943-E5943</x:f>
        <x:v>0.10000000000000142</x:v>
      </x:c>
      <x:c r="L5943" s="40" t="n">
        <x:f>ABS(K5943)</x:f>
        <x:v>0.10000000000000142</x:v>
      </x:c>
      <x:c r="M5943" s="41" t="str">
        <x:v>lstm-soil-v1</x:v>
      </x:c>
    </x:row>
    <x:row r="5944">
      <x:c r="A5944" s="38" t="str">
        <x:v>7月30日现场数据</x:v>
      </x:c>
      <x:c r="B5944" s="39" t="str">
        <x:v>2026-08-05T17:20:00</x:v>
      </x:c>
      <x:c r="C5944" s="39" t="str">
        <x:v>2026-08-05T17:25:00</x:v>
      </x:c>
      <x:c r="D5944" s="47" t="n">
        <x:v>5</x:v>
      </x:c>
      <x:c r="E5944" s="40" t="n">
        <x:v>18</x:v>
      </x:c>
      <x:c r="F5944" s="40" t="n">
        <x:v>16.58755111694336</x:v>
      </x:c>
      <x:c r="G5944" s="40" t="n">
        <x:v>18</x:v>
      </x:c>
      <x:c r="H5944" s="40" t="n">
        <x:f>F5944-E5944</x:f>
        <x:v>-1.4124488830566406</x:v>
      </x:c>
      <x:c r="I5944" s="40" t="n">
        <x:f>ABS(H5944)</x:f>
        <x:v>1.4124488830566406</x:v>
      </x:c>
      <x:c r="J5944" s="40" t="n">
        <x:f>H5944^2</x:f>
        <x:v>1.9950118472479517</x:v>
      </x:c>
      <x:c r="K5944" s="40" t="n">
        <x:f>G5944-E5944</x:f>
        <x:v>0</x:v>
      </x:c>
      <x:c r="L5944" s="40" t="n">
        <x:f>ABS(K5944)</x:f>
        <x:v>0</x:v>
      </x:c>
      <x:c r="M5944" s="41" t="str">
        <x:v>lstm-soil-v1</x:v>
      </x:c>
    </x:row>
    <x:row r="5945">
      <x:c r="A5945" s="38" t="str">
        <x:v>7月30日现场数据</x:v>
      </x:c>
      <x:c r="B5945" s="39" t="str">
        <x:v>2026-08-05T17:20:00</x:v>
      </x:c>
      <x:c r="C5945" s="39" t="str">
        <x:v>2026-08-05T17:35:00</x:v>
      </x:c>
      <x:c r="D5945" s="47" t="n">
        <x:v>15</x:v>
      </x:c>
      <x:c r="E5945" s="40" t="n">
        <x:v>18</x:v>
      </x:c>
      <x:c r="F5945" s="40" t="n">
        <x:v>16.673900604248047</x:v>
      </x:c>
      <x:c r="G5945" s="40" t="n">
        <x:v>18</x:v>
      </x:c>
      <x:c r="H5945" s="40" t="n">
        <x:f>F5945-E5945</x:f>
        <x:v>-1.3260993957519531</x:v>
      </x:c>
      <x:c r="I5945" s="40" t="n">
        <x:f>ABS(H5945)</x:f>
        <x:v>1.3260993957519531</x:v>
      </x:c>
      <x:c r="J5945" s="40" t="n">
        <x:f>H5945^2</x:f>
        <x:v>1.7585396074136952</x:v>
      </x:c>
      <x:c r="K5945" s="40" t="n">
        <x:f>G5945-E5945</x:f>
        <x:v>0</x:v>
      </x:c>
      <x:c r="L5945" s="40" t="n">
        <x:f>ABS(K5945)</x:f>
        <x:v>0</x:v>
      </x:c>
      <x:c r="M5945" s="41" t="str">
        <x:v>lstm-soil-v1</x:v>
      </x:c>
    </x:row>
    <x:row r="5946">
      <x:c r="A5946" s="38" t="str">
        <x:v>7月30日现场数据</x:v>
      </x:c>
      <x:c r="B5946" s="39" t="str">
        <x:v>2026-08-05T17:20:00</x:v>
      </x:c>
      <x:c r="C5946" s="39" t="str">
        <x:v>2026-08-05T17:50:00</x:v>
      </x:c>
      <x:c r="D5946" s="47" t="n">
        <x:v>30</x:v>
      </x:c>
      <x:c r="E5946" s="40" t="n">
        <x:v>18</x:v>
      </x:c>
      <x:c r="F5946" s="40" t="n">
        <x:v>16.971420288085938</x:v>
      </x:c>
      <x:c r="G5946" s="40" t="n">
        <x:v>18</x:v>
      </x:c>
      <x:c r="H5946" s="40" t="n">
        <x:f>F5946-E5946</x:f>
        <x:v>-1.0285797119140625</x:v>
      </x:c>
      <x:c r="I5946" s="40" t="n">
        <x:f>ABS(H5946)</x:f>
        <x:v>1.0285797119140625</x:v>
      </x:c>
      <x:c r="J5946" s="40" t="n">
        <x:f>H5946^2</x:f>
        <x:v>1.0579762237612158</x:v>
      </x:c>
      <x:c r="K5946" s="40" t="n">
        <x:f>G5946-E5946</x:f>
        <x:v>0</x:v>
      </x:c>
      <x:c r="L5946" s="40" t="n">
        <x:f>ABS(K5946)</x:f>
        <x:v>0</x:v>
      </x:c>
      <x:c r="M5946" s="41" t="str">
        <x:v>lstm-soil-v1</x:v>
      </x:c>
    </x:row>
    <x:row r="5947">
      <x:c r="A5947" s="38" t="str">
        <x:v>7月30日现场数据</x:v>
      </x:c>
      <x:c r="B5947" s="39" t="str">
        <x:v>2026-08-05T17:20:00</x:v>
      </x:c>
      <x:c r="C5947" s="39" t="str">
        <x:v>2026-08-05T18:20:00</x:v>
      </x:c>
      <x:c r="D5947" s="47" t="n">
        <x:v>60</x:v>
      </x:c>
      <x:c r="E5947" s="40" t="n">
        <x:v>18</x:v>
      </x:c>
      <x:c r="F5947" s="40" t="n">
        <x:v>18.744903564453125</x:v>
      </x:c>
      <x:c r="G5947" s="40" t="n">
        <x:v>18</x:v>
      </x:c>
      <x:c r="H5947" s="40" t="n">
        <x:f>F5947-E5947</x:f>
        <x:v>0.744903564453125</x:v>
      </x:c>
      <x:c r="I5947" s="40" t="n">
        <x:f>ABS(H5947)</x:f>
        <x:v>0.744903564453125</x:v>
      </x:c>
      <x:c r="J5947" s="40" t="n">
        <x:f>H5947^2</x:f>
        <x:v>0.554881320334971</x:v>
      </x:c>
      <x:c r="K5947" s="40" t="n">
        <x:f>G5947-E5947</x:f>
        <x:v>0</x:v>
      </x:c>
      <x:c r="L5947" s="40" t="n">
        <x:f>ABS(K5947)</x:f>
        <x:v>0</x:v>
      </x:c>
      <x:c r="M5947" s="41" t="str">
        <x:v>lstm-soil-v1</x:v>
      </x:c>
    </x:row>
    <x:row r="5948">
      <x:c r="A5948" s="38" t="str">
        <x:v>7月30日现场数据</x:v>
      </x:c>
      <x:c r="B5948" s="39" t="str">
        <x:v>2026-08-05T17:25:00</x:v>
      </x:c>
      <x:c r="C5948" s="39" t="str">
        <x:v>2026-08-05T17:30:00</x:v>
      </x:c>
      <x:c r="D5948" s="47" t="n">
        <x:v>5</x:v>
      </x:c>
      <x:c r="E5948" s="40" t="n">
        <x:v>18</x:v>
      </x:c>
      <x:c r="F5948" s="40" t="n">
        <x:v>16.586414337158203</x:v>
      </x:c>
      <x:c r="G5948" s="40" t="n">
        <x:v>18</x:v>
      </x:c>
      <x:c r="H5948" s="40" t="n">
        <x:f>F5948-E5948</x:f>
        <x:v>-1.4135856628417969</x:v>
      </x:c>
      <x:c r="I5948" s="40" t="n">
        <x:f>ABS(H5948)</x:f>
        <x:v>1.4135856628417969</x:v>
      </x:c>
      <x:c r="J5948" s="40" t="n">
        <x:f>H5948^2</x:f>
        <x:v>1.9982244261918822</x:v>
      </x:c>
      <x:c r="K5948" s="40" t="n">
        <x:f>G5948-E5948</x:f>
        <x:v>0</x:v>
      </x:c>
      <x:c r="L5948" s="40" t="n">
        <x:f>ABS(K5948)</x:f>
        <x:v>0</x:v>
      </x:c>
      <x:c r="M5948" s="41" t="str">
        <x:v>lstm-soil-v1</x:v>
      </x:c>
    </x:row>
    <x:row r="5949">
      <x:c r="A5949" s="38" t="str">
        <x:v>7月30日现场数据</x:v>
      </x:c>
      <x:c r="B5949" s="39" t="str">
        <x:v>2026-08-05T17:25:00</x:v>
      </x:c>
      <x:c r="C5949" s="39" t="str">
        <x:v>2026-08-05T17:40:00</x:v>
      </x:c>
      <x:c r="D5949" s="47" t="n">
        <x:v>15</x:v>
      </x:c>
      <x:c r="E5949" s="40" t="n">
        <x:v>18</x:v>
      </x:c>
      <x:c r="F5949" s="40" t="n">
        <x:v>16.67371368408203</x:v>
      </x:c>
      <x:c r="G5949" s="40" t="n">
        <x:v>18</x:v>
      </x:c>
      <x:c r="H5949" s="40" t="n">
        <x:f>F5949-E5949</x:f>
        <x:v>-1.3262863159179688</x:v>
      </x:c>
      <x:c r="I5949" s="40" t="n">
        <x:f>ABS(H5949)</x:f>
        <x:v>1.3262863159179688</x:v>
      </x:c>
      <x:c r="J5949" s="40" t="n">
        <x:f>H5949^2</x:f>
        <x:v>1.759035391791258</x:v>
      </x:c>
      <x:c r="K5949" s="40" t="n">
        <x:f>G5949-E5949</x:f>
        <x:v>0</x:v>
      </x:c>
      <x:c r="L5949" s="40" t="n">
        <x:f>ABS(K5949)</x:f>
        <x:v>0</x:v>
      </x:c>
      <x:c r="M5949" s="41" t="str">
        <x:v>lstm-soil-v1</x:v>
      </x:c>
    </x:row>
    <x:row r="5950">
      <x:c r="A5950" s="38" t="str">
        <x:v>7月30日现场数据</x:v>
      </x:c>
      <x:c r="B5950" s="39" t="str">
        <x:v>2026-08-05T17:25:00</x:v>
      </x:c>
      <x:c r="C5950" s="39" t="str">
        <x:v>2026-08-05T17:55:00</x:v>
      </x:c>
      <x:c r="D5950" s="47" t="n">
        <x:v>30</x:v>
      </x:c>
      <x:c r="E5950" s="40" t="n">
        <x:v>18</x:v>
      </x:c>
      <x:c r="F5950" s="40" t="n">
        <x:v>16.971179962158203</x:v>
      </x:c>
      <x:c r="G5950" s="40" t="n">
        <x:v>18</x:v>
      </x:c>
      <x:c r="H5950" s="40" t="n">
        <x:f>F5950-E5950</x:f>
        <x:v>-1.0288200378417969</x:v>
      </x:c>
      <x:c r="I5950" s="40" t="n">
        <x:f>ABS(H5950)</x:f>
        <x:v>1.0288200378417969</x:v>
      </x:c>
      <x:c r="J5950" s="40" t="n">
        <x:f>H5950^2</x:f>
        <x:v>1.0584706702647964</x:v>
      </x:c>
      <x:c r="K5950" s="40" t="n">
        <x:f>G5950-E5950</x:f>
        <x:v>0</x:v>
      </x:c>
      <x:c r="L5950" s="40" t="n">
        <x:f>ABS(K5950)</x:f>
        <x:v>0</x:v>
      </x:c>
      <x:c r="M5950" s="41" t="str">
        <x:v>lstm-soil-v1</x:v>
      </x:c>
    </x:row>
    <x:row r="5951">
      <x:c r="A5951" s="38" t="str">
        <x:v>7月30日现场数据</x:v>
      </x:c>
      <x:c r="B5951" s="39" t="str">
        <x:v>2026-08-05T17:25:00</x:v>
      </x:c>
      <x:c r="C5951" s="39" t="str">
        <x:v>2026-08-05T18:25:00</x:v>
      </x:c>
      <x:c r="D5951" s="47" t="n">
        <x:v>60</x:v>
      </x:c>
      <x:c r="E5951" s="40" t="n">
        <x:v>17.9</x:v>
      </x:c>
      <x:c r="F5951" s="40" t="n">
        <x:v>18.743717193603516</x:v>
      </x:c>
      <x:c r="G5951" s="40" t="n">
        <x:v>18</x:v>
      </x:c>
      <x:c r="H5951" s="40" t="n">
        <x:f>F5951-E5951</x:f>
        <x:v>0.843717193603517</x:v>
      </x:c>
      <x:c r="I5951" s="40" t="n">
        <x:f>ABS(H5951)</x:f>
        <x:v>0.843717193603517</x:v>
      </x:c>
      <x:c r="J5951" s="40" t="n">
        <x:f>H5951^2</x:f>
        <x:v>0.7118587027821947</x:v>
      </x:c>
      <x:c r="K5951" s="40" t="n">
        <x:f>G5951-E5951</x:f>
        <x:v>0.10000000000000142</x:v>
      </x:c>
      <x:c r="L5951" s="40" t="n">
        <x:f>ABS(K5951)</x:f>
        <x:v>0.10000000000000142</x:v>
      </x:c>
      <x:c r="M5951" s="41" t="str">
        <x:v>lstm-soil-v1</x:v>
      </x:c>
    </x:row>
    <x:row r="5952">
      <x:c r="A5952" s="38" t="str">
        <x:v>7月30日现场数据</x:v>
      </x:c>
      <x:c r="B5952" s="39" t="str">
        <x:v>2026-08-05T17:30:00</x:v>
      </x:c>
      <x:c r="C5952" s="39" t="str">
        <x:v>2026-08-05T17:35:00</x:v>
      </x:c>
      <x:c r="D5952" s="47" t="n">
        <x:v>5</x:v>
      </x:c>
      <x:c r="E5952" s="40" t="n">
        <x:v>18</x:v>
      </x:c>
      <x:c r="F5952" s="40" t="n">
        <x:v>16.58560562133789</x:v>
      </x:c>
      <x:c r="G5952" s="40" t="n">
        <x:v>18</x:v>
      </x:c>
      <x:c r="H5952" s="40" t="n">
        <x:f>F5952-E5952</x:f>
        <x:v>-1.4143943786621094</x:v>
      </x:c>
      <x:c r="I5952" s="40" t="n">
        <x:f>ABS(H5952)</x:f>
        <x:v>1.4143943786621094</x:v>
      </x:c>
      <x:c r="J5952" s="40" t="n">
        <x:f>H5952^2</x:f>
        <x:v>2.0005114583909744</x:v>
      </x:c>
      <x:c r="K5952" s="40" t="n">
        <x:f>G5952-E5952</x:f>
        <x:v>0</x:v>
      </x:c>
      <x:c r="L5952" s="40" t="n">
        <x:f>ABS(K5952)</x:f>
        <x:v>0</x:v>
      </x:c>
      <x:c r="M5952" s="41" t="str">
        <x:v>lstm-soil-v1</x:v>
      </x:c>
    </x:row>
    <x:row r="5953">
      <x:c r="A5953" s="38" t="str">
        <x:v>7月30日现场数据</x:v>
      </x:c>
      <x:c r="B5953" s="39" t="str">
        <x:v>2026-08-05T17:30:00</x:v>
      </x:c>
      <x:c r="C5953" s="39" t="str">
        <x:v>2026-08-05T17:45:00</x:v>
      </x:c>
      <x:c r="D5953" s="47" t="n">
        <x:v>15</x:v>
      </x:c>
      <x:c r="E5953" s="40" t="n">
        <x:v>18</x:v>
      </x:c>
      <x:c r="F5953" s="40" t="n">
        <x:v>16.673385620117188</x:v>
      </x:c>
      <x:c r="G5953" s="40" t="n">
        <x:v>18</x:v>
      </x:c>
      <x:c r="H5953" s="40" t="n">
        <x:f>F5953-E5953</x:f>
        <x:v>-1.3266143798828125</x:v>
      </x:c>
      <x:c r="I5953" s="40" t="n">
        <x:f>ABS(H5953)</x:f>
        <x:v>1.3266143798828125</x:v>
      </x:c>
      <x:c r="J5953" s="40" t="n">
        <x:f>H5953^2</x:f>
        <x:v>1.7599057129118592</x:v>
      </x:c>
      <x:c r="K5953" s="40" t="n">
        <x:f>G5953-E5953</x:f>
        <x:v>0</x:v>
      </x:c>
      <x:c r="L5953" s="40" t="n">
        <x:f>ABS(K5953)</x:f>
        <x:v>0</x:v>
      </x:c>
      <x:c r="M5953" s="41" t="str">
        <x:v>lstm-soil-v1</x:v>
      </x:c>
    </x:row>
    <x:row r="5954">
      <x:c r="A5954" s="38" t="str">
        <x:v>7月30日现场数据</x:v>
      </x:c>
      <x:c r="B5954" s="39" t="str">
        <x:v>2026-08-05T17:30:00</x:v>
      </x:c>
      <x:c r="C5954" s="39" t="str">
        <x:v>2026-08-05T18:00:00</x:v>
      </x:c>
      <x:c r="D5954" s="47" t="n">
        <x:v>30</x:v>
      </x:c>
      <x:c r="E5954" s="40" t="n">
        <x:v>17.9</x:v>
      </x:c>
      <x:c r="F5954" s="40" t="n">
        <x:v>16.970958709716797</x:v>
      </x:c>
      <x:c r="G5954" s="40" t="n">
        <x:v>18</x:v>
      </x:c>
      <x:c r="H5954" s="40" t="n">
        <x:f>F5954-E5954</x:f>
        <x:v>-0.9290412902832017</x:v>
      </x:c>
      <x:c r="I5954" s="40" t="n">
        <x:f>ABS(H5954)</x:f>
        <x:v>0.9290412902832017</x:v>
      </x:c>
      <x:c r="J5954" s="40" t="n">
        <x:f>H5954^2</x:f>
        <x:v>0.8631177190510763</x:v>
      </x:c>
      <x:c r="K5954" s="40" t="n">
        <x:f>G5954-E5954</x:f>
        <x:v>0.10000000000000142</x:v>
      </x:c>
      <x:c r="L5954" s="40" t="n">
        <x:f>ABS(K5954)</x:f>
        <x:v>0.10000000000000142</x:v>
      </x:c>
      <x:c r="M5954" s="41" t="str">
        <x:v>lstm-soil-v1</x:v>
      </x:c>
    </x:row>
    <x:row r="5955">
      <x:c r="A5955" s="38" t="str">
        <x:v>7月30日现场数据</x:v>
      </x:c>
      <x:c r="B5955" s="39" t="str">
        <x:v>2026-08-05T17:30:00</x:v>
      </x:c>
      <x:c r="C5955" s="39" t="str">
        <x:v>2026-08-05T18:30:00</x:v>
      </x:c>
      <x:c r="D5955" s="47" t="n">
        <x:v>60</x:v>
      </x:c>
      <x:c r="E5955" s="40" t="n">
        <x:v>17.9</x:v>
      </x:c>
      <x:c r="F5955" s="40" t="n">
        <x:v>18.74297332763672</x:v>
      </x:c>
      <x:c r="G5955" s="40" t="n">
        <x:v>18</x:v>
      </x:c>
      <x:c r="H5955" s="40" t="n">
        <x:f>F5955-E5955</x:f>
        <x:v>0.8429733276367202</x:v>
      </x:c>
      <x:c r="I5955" s="40" t="n">
        <x:f>ABS(H5955)</x:f>
        <x:v>0.8429733276367202</x:v>
      </x:c>
      <x:c r="J5955" s="40" t="n">
        <x:f>H5955^2</x:f>
        <x:v>0.7106040311069252</x:v>
      </x:c>
      <x:c r="K5955" s="40" t="n">
        <x:f>G5955-E5955</x:f>
        <x:v>0.10000000000000142</x:v>
      </x:c>
      <x:c r="L5955" s="40" t="n">
        <x:f>ABS(K5955)</x:f>
        <x:v>0.10000000000000142</x:v>
      </x:c>
      <x:c r="M5955" s="41" t="str">
        <x:v>lstm-soil-v1</x:v>
      </x:c>
    </x:row>
    <x:row r="5956">
      <x:c r="A5956" s="38" t="str">
        <x:v>7月30日现场数据</x:v>
      </x:c>
      <x:c r="B5956" s="39" t="str">
        <x:v>2026-08-05T17:35:00</x:v>
      </x:c>
      <x:c r="C5956" s="39" t="str">
        <x:v>2026-08-05T17:40:00</x:v>
      </x:c>
      <x:c r="D5956" s="47" t="n">
        <x:v>5</x:v>
      </x:c>
      <x:c r="E5956" s="40" t="n">
        <x:v>18</x:v>
      </x:c>
      <x:c r="F5956" s="40" t="n">
        <x:v>16.584869384765625</x:v>
      </x:c>
      <x:c r="G5956" s="40" t="n">
        <x:v>18</x:v>
      </x:c>
      <x:c r="H5956" s="40" t="n">
        <x:f>F5956-E5956</x:f>
        <x:v>-1.415130615234375</x:v>
      </x:c>
      <x:c r="I5956" s="40" t="n">
        <x:f>ABS(H5956)</x:f>
        <x:v>1.415130615234375</x:v>
      </x:c>
      <x:c r="J5956" s="40" t="n">
        <x:f>H5956^2</x:f>
        <x:v>2.0025946581736207</x:v>
      </x:c>
      <x:c r="K5956" s="40" t="n">
        <x:f>G5956-E5956</x:f>
        <x:v>0</x:v>
      </x:c>
      <x:c r="L5956" s="40" t="n">
        <x:f>ABS(K5956)</x:f>
        <x:v>0</x:v>
      </x:c>
      <x:c r="M5956" s="41" t="str">
        <x:v>lstm-soil-v1</x:v>
      </x:c>
    </x:row>
    <x:row r="5957">
      <x:c r="A5957" s="38" t="str">
        <x:v>7月30日现场数据</x:v>
      </x:c>
      <x:c r="B5957" s="39" t="str">
        <x:v>2026-08-05T17:35:00</x:v>
      </x:c>
      <x:c r="C5957" s="39" t="str">
        <x:v>2026-08-05T17:50:00</x:v>
      </x:c>
      <x:c r="D5957" s="47" t="n">
        <x:v>15</x:v>
      </x:c>
      <x:c r="E5957" s="40" t="n">
        <x:v>18</x:v>
      </x:c>
      <x:c r="F5957" s="40" t="n">
        <x:v>16.672992706298828</x:v>
      </x:c>
      <x:c r="G5957" s="40" t="n">
        <x:v>18</x:v>
      </x:c>
      <x:c r="H5957" s="40" t="n">
        <x:f>F5957-E5957</x:f>
        <x:v>-1.3270072937011719</x:v>
      </x:c>
      <x:c r="I5957" s="40" t="n">
        <x:f>ABS(H5957)</x:f>
        <x:v>1.3270072937011719</x:v>
      </x:c>
      <x:c r="J5957" s="40" t="n">
        <x:f>H5957^2</x:f>
        <x:v>1.7609483575361082</x:v>
      </x:c>
      <x:c r="K5957" s="40" t="n">
        <x:f>G5957-E5957</x:f>
        <x:v>0</x:v>
      </x:c>
      <x:c r="L5957" s="40" t="n">
        <x:f>ABS(K5957)</x:f>
        <x:v>0</x:v>
      </x:c>
      <x:c r="M5957" s="41" t="str">
        <x:v>lstm-soil-v1</x:v>
      </x:c>
    </x:row>
    <x:row r="5958">
      <x:c r="A5958" s="38" t="str">
        <x:v>7月30日现场数据</x:v>
      </x:c>
      <x:c r="B5958" s="39" t="str">
        <x:v>2026-08-05T17:35:00</x:v>
      </x:c>
      <x:c r="C5958" s="39" t="str">
        <x:v>2026-08-05T18:05:00</x:v>
      </x:c>
      <x:c r="D5958" s="47" t="n">
        <x:v>30</x:v>
      </x:c>
      <x:c r="E5958" s="40" t="n">
        <x:v>17.9</x:v>
      </x:c>
      <x:c r="F5958" s="40" t="n">
        <x:v>16.970565795898438</x:v>
      </x:c>
      <x:c r="G5958" s="40" t="n">
        <x:v>18</x:v>
      </x:c>
      <x:c r="H5958" s="40" t="n">
        <x:f>F5958-E5958</x:f>
        <x:v>-0.9294342041015611</x:v>
      </x:c>
      <x:c r="I5958" s="40" t="n">
        <x:f>ABS(H5958)</x:f>
        <x:v>0.9294342041015611</x:v>
      </x:c>
      <x:c r="J5958" s="40" t="n">
        <x:f>H5958^2</x:f>
        <x:v>0.8638479397539023</x:v>
      </x:c>
      <x:c r="K5958" s="40" t="n">
        <x:f>G5958-E5958</x:f>
        <x:v>0.10000000000000142</x:v>
      </x:c>
      <x:c r="L5958" s="40" t="n">
        <x:f>ABS(K5958)</x:f>
        <x:v>0.10000000000000142</x:v>
      </x:c>
      <x:c r="M5958" s="41" t="str">
        <x:v>lstm-soil-v1</x:v>
      </x:c>
    </x:row>
    <x:row r="5959">
      <x:c r="A5959" s="38" t="str">
        <x:v>7月30日现场数据</x:v>
      </x:c>
      <x:c r="B5959" s="39" t="str">
        <x:v>2026-08-05T17:35:00</x:v>
      </x:c>
      <x:c r="C5959" s="39" t="str">
        <x:v>2026-08-05T18:35:00</x:v>
      </x:c>
      <x:c r="D5959" s="47" t="n">
        <x:v>60</x:v>
      </x:c>
      <x:c r="E5959" s="40" t="n">
        <x:v>17.9</x:v>
      </x:c>
      <x:c r="F5959" s="40" t="n">
        <x:v>18.742061614990234</x:v>
      </x:c>
      <x:c r="G5959" s="40" t="n">
        <x:v>18</x:v>
      </x:c>
      <x:c r="H5959" s="40" t="n">
        <x:f>F5959-E5959</x:f>
        <x:v>0.8420616149902358</x:v>
      </x:c>
      <x:c r="I5959" s="40" t="n">
        <x:f>ABS(H5959)</x:f>
        <x:v>0.8420616149902358</x:v>
      </x:c>
      <x:c r="J5959" s="40" t="n">
        <x:f>H5959^2</x:f>
        <x:v>0.7090677634399641</x:v>
      </x:c>
      <x:c r="K5959" s="40" t="n">
        <x:f>G5959-E5959</x:f>
        <x:v>0.10000000000000142</x:v>
      </x:c>
      <x:c r="L5959" s="40" t="n">
        <x:f>ABS(K5959)</x:f>
        <x:v>0.10000000000000142</x:v>
      </x:c>
      <x:c r="M5959" s="41" t="str">
        <x:v>lstm-soil-v1</x:v>
      </x:c>
    </x:row>
    <x:row r="5960">
      <x:c r="A5960" s="38" t="str">
        <x:v>7月30日现场数据</x:v>
      </x:c>
      <x:c r="B5960" s="39" t="str">
        <x:v>2026-08-05T17:40:00</x:v>
      </x:c>
      <x:c r="C5960" s="39" t="str">
        <x:v>2026-08-05T17:45:00</x:v>
      </x:c>
      <x:c r="D5960" s="47" t="n">
        <x:v>5</x:v>
      </x:c>
      <x:c r="E5960" s="40" t="n">
        <x:v>18</x:v>
      </x:c>
      <x:c r="F5960" s="40" t="n">
        <x:v>16.584247589111328</x:v>
      </x:c>
      <x:c r="G5960" s="40" t="n">
        <x:v>18</x:v>
      </x:c>
      <x:c r="H5960" s="40" t="n">
        <x:f>F5960-E5960</x:f>
        <x:v>-1.4157524108886719</x:v>
      </x:c>
      <x:c r="I5960" s="40" t="n">
        <x:f>ABS(H5960)</x:f>
        <x:v>1.4157524108886719</x:v>
      </x:c>
      <x:c r="J5960" s="40" t="n">
        <x:f>H5960^2</x:f>
        <x:v>2.004354888937087</x:v>
      </x:c>
      <x:c r="K5960" s="40" t="n">
        <x:f>G5960-E5960</x:f>
        <x:v>0</x:v>
      </x:c>
      <x:c r="L5960" s="40" t="n">
        <x:f>ABS(K5960)</x:f>
        <x:v>0</x:v>
      </x:c>
      <x:c r="M5960" s="41" t="str">
        <x:v>lstm-soil-v1</x:v>
      </x:c>
    </x:row>
    <x:row r="5961">
      <x:c r="A5961" s="38" t="str">
        <x:v>7月30日现场数据</x:v>
      </x:c>
      <x:c r="B5961" s="39" t="str">
        <x:v>2026-08-05T17:40:00</x:v>
      </x:c>
      <x:c r="C5961" s="39" t="str">
        <x:v>2026-08-05T17:55:00</x:v>
      </x:c>
      <x:c r="D5961" s="47" t="n">
        <x:v>15</x:v>
      </x:c>
      <x:c r="E5961" s="40" t="n">
        <x:v>18</x:v>
      </x:c>
      <x:c r="F5961" s="40" t="n">
        <x:v>16.672439575195312</x:v>
      </x:c>
      <x:c r="G5961" s="40" t="n">
        <x:v>18</x:v>
      </x:c>
      <x:c r="H5961" s="40" t="n">
        <x:f>F5961-E5961</x:f>
        <x:v>-1.3275604248046875</x:v>
      </x:c>
      <x:c r="I5961" s="40" t="n">
        <x:f>ABS(H5961)</x:f>
        <x:v>1.3275604248046875</x:v>
      </x:c>
      <x:c r="J5961" s="40" t="n">
        <x:f>H5961^2</x:f>
        <x:v>1.7624166815076023</x:v>
      </x:c>
      <x:c r="K5961" s="40" t="n">
        <x:f>G5961-E5961</x:f>
        <x:v>0</x:v>
      </x:c>
      <x:c r="L5961" s="40" t="n">
        <x:f>ABS(K5961)</x:f>
        <x:v>0</x:v>
      </x:c>
      <x:c r="M5961" s="41" t="str">
        <x:v>lstm-soil-v1</x:v>
      </x:c>
    </x:row>
    <x:row r="5962">
      <x:c r="A5962" s="38" t="str">
        <x:v>7月30日现场数据</x:v>
      </x:c>
      <x:c r="B5962" s="39" t="str">
        <x:v>2026-08-05T17:40:00</x:v>
      </x:c>
      <x:c r="C5962" s="39" t="str">
        <x:v>2026-08-05T18:10:00</x:v>
      </x:c>
      <x:c r="D5962" s="47" t="n">
        <x:v>30</x:v>
      </x:c>
      <x:c r="E5962" s="40" t="n">
        <x:v>18</x:v>
      </x:c>
      <x:c r="F5962" s="40" t="n">
        <x:v>16.969959259033203</x:v>
      </x:c>
      <x:c r="G5962" s="40" t="n">
        <x:v>18</x:v>
      </x:c>
      <x:c r="H5962" s="40" t="n">
        <x:f>F5962-E5962</x:f>
        <x:v>-1.0300407409667969</x:v>
      </x:c>
      <x:c r="I5962" s="40" t="n">
        <x:f>ABS(H5962)</x:f>
        <x:v>1.0300407409667969</x:v>
      </x:c>
      <x:c r="J5962" s="40" t="n">
        <x:f>H5962^2</x:f>
        <x:v>1.060983928051428</x:v>
      </x:c>
      <x:c r="K5962" s="40" t="n">
        <x:f>G5962-E5962</x:f>
        <x:v>0</x:v>
      </x:c>
      <x:c r="L5962" s="40" t="n">
        <x:f>ABS(K5962)</x:f>
        <x:v>0</x:v>
      </x:c>
      <x:c r="M5962" s="41" t="str">
        <x:v>lstm-soil-v1</x:v>
      </x:c>
    </x:row>
    <x:row r="5963">
      <x:c r="A5963" s="38" t="str">
        <x:v>7月30日现场数据</x:v>
      </x:c>
      <x:c r="B5963" s="39" t="str">
        <x:v>2026-08-05T17:40:00</x:v>
      </x:c>
      <x:c r="C5963" s="39" t="str">
        <x:v>2026-08-05T18:40:00</x:v>
      </x:c>
      <x:c r="D5963" s="47" t="n">
        <x:v>60</x:v>
      </x:c>
      <x:c r="E5963" s="40" t="n">
        <x:v>17.9</x:v>
      </x:c>
      <x:c r="F5963" s="40" t="n">
        <x:v>18.741256713867188</x:v>
      </x:c>
      <x:c r="G5963" s="40" t="n">
        <x:v>18</x:v>
      </x:c>
      <x:c r="H5963" s="40" t="n">
        <x:f>F5963-E5963</x:f>
        <x:v>0.8412567138671889</x:v>
      </x:c>
      <x:c r="I5963" s="40" t="n">
        <x:f>ABS(H5963)</x:f>
        <x:v>0.8412567138671889</x:v>
      </x:c>
      <x:c r="J5963" s="40" t="n">
        <x:f>H5963^2</x:f>
        <x:v>0.7077128586266214</x:v>
      </x:c>
      <x:c r="K5963" s="40" t="n">
        <x:f>G5963-E5963</x:f>
        <x:v>0.10000000000000142</x:v>
      </x:c>
      <x:c r="L5963" s="40" t="n">
        <x:f>ABS(K5963)</x:f>
        <x:v>0.10000000000000142</x:v>
      </x:c>
      <x:c r="M5963" s="41" t="str">
        <x:v>lstm-soil-v1</x:v>
      </x:c>
    </x:row>
    <x:row r="5964">
      <x:c r="A5964" s="38" t="str">
        <x:v>7月30日现场数据</x:v>
      </x:c>
      <x:c r="B5964" s="39" t="str">
        <x:v>2026-08-05T17:45:00</x:v>
      </x:c>
      <x:c r="C5964" s="39" t="str">
        <x:v>2026-08-05T17:50:00</x:v>
      </x:c>
      <x:c r="D5964" s="47" t="n">
        <x:v>5</x:v>
      </x:c>
      <x:c r="E5964" s="40" t="n">
        <x:v>18</x:v>
      </x:c>
      <x:c r="F5964" s="40" t="n">
        <x:v>16.58330535888672</x:v>
      </x:c>
      <x:c r="G5964" s="40" t="n">
        <x:v>18</x:v>
      </x:c>
      <x:c r="H5964" s="40" t="n">
        <x:f>F5964-E5964</x:f>
        <x:v>-1.4166946411132812</x:v>
      </x:c>
      <x:c r="I5964" s="40" t="n">
        <x:f>ABS(H5964)</x:f>
        <x:v>1.4166946411132812</x:v>
      </x:c>
      <x:c r="J5964" s="40" t="n">
        <x:f>H5964^2</x:f>
        <x:v>2.0070237061590888</x:v>
      </x:c>
      <x:c r="K5964" s="40" t="n">
        <x:f>G5964-E5964</x:f>
        <x:v>0</x:v>
      </x:c>
      <x:c r="L5964" s="40" t="n">
        <x:f>ABS(K5964)</x:f>
        <x:v>0</x:v>
      </x:c>
      <x:c r="M5964" s="41" t="str">
        <x:v>lstm-soil-v1</x:v>
      </x:c>
    </x:row>
    <x:row r="5965">
      <x:c r="A5965" s="38" t="str">
        <x:v>7月30日现场数据</x:v>
      </x:c>
      <x:c r="B5965" s="39" t="str">
        <x:v>2026-08-05T17:45:00</x:v>
      </x:c>
      <x:c r="C5965" s="39" t="str">
        <x:v>2026-08-05T18:00:00</x:v>
      </x:c>
      <x:c r="D5965" s="47" t="n">
        <x:v>15</x:v>
      </x:c>
      <x:c r="E5965" s="40" t="n">
        <x:v>17.9</x:v>
      </x:c>
      <x:c r="F5965" s="40" t="n">
        <x:v>16.67174530029297</x:v>
      </x:c>
      <x:c r="G5965" s="40" t="n">
        <x:v>18</x:v>
      </x:c>
      <x:c r="H5965" s="40" t="n">
        <x:f>F5965-E5965</x:f>
        <x:v>-1.2282546997070298</x:v>
      </x:c>
      <x:c r="I5965" s="40" t="n">
        <x:f>ABS(H5965)</x:f>
        <x:v>1.2282546997070298</x:v>
      </x:c>
      <x:c r="J5965" s="40" t="n">
        <x:f>H5965^2</x:f>
        <x:v>1.508609607352406</x:v>
      </x:c>
      <x:c r="K5965" s="40" t="n">
        <x:f>G5965-E5965</x:f>
        <x:v>0.10000000000000142</x:v>
      </x:c>
      <x:c r="L5965" s="40" t="n">
        <x:f>ABS(K5965)</x:f>
        <x:v>0.10000000000000142</x:v>
      </x:c>
      <x:c r="M5965" s="41" t="str">
        <x:v>lstm-soil-v1</x:v>
      </x:c>
    </x:row>
    <x:row r="5966">
      <x:c r="A5966" s="38" t="str">
        <x:v>7月30日现场数据</x:v>
      </x:c>
      <x:c r="B5966" s="39" t="str">
        <x:v>2026-08-05T17:45:00</x:v>
      </x:c>
      <x:c r="C5966" s="39" t="str">
        <x:v>2026-08-05T18:15:00</x:v>
      </x:c>
      <x:c r="D5966" s="47" t="n">
        <x:v>30</x:v>
      </x:c>
      <x:c r="E5966" s="40" t="n">
        <x:v>17.9</x:v>
      </x:c>
      <x:c r="F5966" s="40" t="n">
        <x:v>16.968753814697266</x:v>
      </x:c>
      <x:c r="G5966" s="40" t="n">
        <x:v>18</x:v>
      </x:c>
      <x:c r="H5966" s="40" t="n">
        <x:f>F5966-E5966</x:f>
        <x:v>-0.931246185302733</x:v>
      </x:c>
      <x:c r="I5966" s="40" t="n">
        <x:f>ABS(H5966)</x:f>
        <x:v>0.931246185302733</x:v>
      </x:c>
      <x:c r="J5966" s="40" t="n">
        <x:f>H5966^2</x:f>
        <x:v>0.867219457640892</x:v>
      </x:c>
      <x:c r="K5966" s="40" t="n">
        <x:f>G5966-E5966</x:f>
        <x:v>0.10000000000000142</x:v>
      </x:c>
      <x:c r="L5966" s="40" t="n">
        <x:f>ABS(K5966)</x:f>
        <x:v>0.10000000000000142</x:v>
      </x:c>
      <x:c r="M5966" s="41" t="str">
        <x:v>lstm-soil-v1</x:v>
      </x:c>
    </x:row>
    <x:row r="5967">
      <x:c r="A5967" s="38" t="str">
        <x:v>7月30日现场数据</x:v>
      </x:c>
      <x:c r="B5967" s="39" t="str">
        <x:v>2026-08-05T17:45:00</x:v>
      </x:c>
      <x:c r="C5967" s="39" t="str">
        <x:v>2026-08-05T18:45:00</x:v>
      </x:c>
      <x:c r="D5967" s="47" t="n">
        <x:v>60</x:v>
      </x:c>
      <x:c r="E5967" s="40" t="n">
        <x:v>17.9</x:v>
      </x:c>
      <x:c r="F5967" s="40" t="n">
        <x:v>18.739734649658203</x:v>
      </x:c>
      <x:c r="G5967" s="40" t="n">
        <x:v>18</x:v>
      </x:c>
      <x:c r="H5967" s="40" t="n">
        <x:f>F5967-E5967</x:f>
        <x:v>0.8397346496582045</x:v>
      </x:c>
      <x:c r="I5967" s="40" t="n">
        <x:f>ABS(H5967)</x:f>
        <x:v>0.8397346496582045</x:v>
      </x:c>
      <x:c r="J5967" s="40" t="n">
        <x:f>H5967^2</x:f>
        <x:v>0.7051542818365876</x:v>
      </x:c>
      <x:c r="K5967" s="40" t="n">
        <x:f>G5967-E5967</x:f>
        <x:v>0.10000000000000142</x:v>
      </x:c>
      <x:c r="L5967" s="40" t="n">
        <x:f>ABS(K5967)</x:f>
        <x:v>0.10000000000000142</x:v>
      </x:c>
      <x:c r="M5967" s="41" t="str">
        <x:v>lstm-soil-v1</x:v>
      </x:c>
    </x:row>
    <x:row r="5968">
      <x:c r="A5968" s="38" t="str">
        <x:v>7月30日现场数据</x:v>
      </x:c>
      <x:c r="B5968" s="39" t="str">
        <x:v>2026-08-05T17:50:00</x:v>
      </x:c>
      <x:c r="C5968" s="39" t="str">
        <x:v>2026-08-05T17:55:00</x:v>
      </x:c>
      <x:c r="D5968" s="47" t="n">
        <x:v>5</x:v>
      </x:c>
      <x:c r="E5968" s="40" t="n">
        <x:v>18</x:v>
      </x:c>
      <x:c r="F5968" s="40" t="n">
        <x:v>16.58255386352539</x:v>
      </x:c>
      <x:c r="G5968" s="40" t="n">
        <x:v>18</x:v>
      </x:c>
      <x:c r="H5968" s="40" t="n">
        <x:f>F5968-E5968</x:f>
        <x:v>-1.4174461364746094</x:v>
      </x:c>
      <x:c r="I5968" s="40" t="n">
        <x:f>ABS(H5968)</x:f>
        <x:v>1.4174461364746094</x:v>
      </x:c>
      <x:c r="J5968" s="40" t="n">
        <x:f>H5968^2</x:f>
        <x:v>2.009153549806797</x:v>
      </x:c>
      <x:c r="K5968" s="40" t="n">
        <x:f>G5968-E5968</x:f>
        <x:v>0</x:v>
      </x:c>
      <x:c r="L5968" s="40" t="n">
        <x:f>ABS(K5968)</x:f>
        <x:v>0</x:v>
      </x:c>
      <x:c r="M5968" s="41" t="str">
        <x:v>lstm-soil-v1</x:v>
      </x:c>
    </x:row>
    <x:row r="5969">
      <x:c r="A5969" s="38" t="str">
        <x:v>7月30日现场数据</x:v>
      </x:c>
      <x:c r="B5969" s="39" t="str">
        <x:v>2026-08-05T17:50:00</x:v>
      </x:c>
      <x:c r="C5969" s="39" t="str">
        <x:v>2026-08-05T18:05:00</x:v>
      </x:c>
      <x:c r="D5969" s="47" t="n">
        <x:v>15</x:v>
      </x:c>
      <x:c r="E5969" s="40" t="n">
        <x:v>17.9</x:v>
      </x:c>
      <x:c r="F5969" s="40" t="n">
        <x:v>16.670944213867188</x:v>
      </x:c>
      <x:c r="G5969" s="40" t="n">
        <x:v>18</x:v>
      </x:c>
      <x:c r="H5969" s="40" t="n">
        <x:f>F5969-E5969</x:f>
        <x:v>-1.229055786132811</x:v>
      </x:c>
      <x:c r="I5969" s="40" t="n">
        <x:f>ABS(H5969)</x:f>
        <x:v>1.229055786132811</x:v>
      </x:c>
      <x:c r="J5969" s="40" t="n">
        <x:f>H5969^2</x:f>
        <x:v>1.5105781254265422</x:v>
      </x:c>
      <x:c r="K5969" s="40" t="n">
        <x:f>G5969-E5969</x:f>
        <x:v>0.10000000000000142</x:v>
      </x:c>
      <x:c r="L5969" s="40" t="n">
        <x:f>ABS(K5969)</x:f>
        <x:v>0.10000000000000142</x:v>
      </x:c>
      <x:c r="M5969" s="41" t="str">
        <x:v>lstm-soil-v1</x:v>
      </x:c>
    </x:row>
    <x:row r="5970">
      <x:c r="A5970" s="38" t="str">
        <x:v>7月30日现场数据</x:v>
      </x:c>
      <x:c r="B5970" s="39" t="str">
        <x:v>2026-08-05T17:50:00</x:v>
      </x:c>
      <x:c r="C5970" s="39" t="str">
        <x:v>2026-08-05T18:20:00</x:v>
      </x:c>
      <x:c r="D5970" s="47" t="n">
        <x:v>30</x:v>
      </x:c>
      <x:c r="E5970" s="40" t="n">
        <x:v>18</x:v>
      </x:c>
      <x:c r="F5970" s="40" t="n">
        <x:v>16.967449188232422</x:v>
      </x:c>
      <x:c r="G5970" s="40" t="n">
        <x:v>18</x:v>
      </x:c>
      <x:c r="H5970" s="40" t="n">
        <x:f>F5970-E5970</x:f>
        <x:v>-1.0325508117675781</x:v>
      </x:c>
      <x:c r="I5970" s="40" t="n">
        <x:f>ABS(H5970)</x:f>
        <x:v>1.0325508117675781</x:v>
      </x:c>
      <x:c r="J5970" s="40" t="n">
        <x:f>H5970^2</x:f>
        <x:v>1.0661611788818846</x:v>
      </x:c>
      <x:c r="K5970" s="40" t="n">
        <x:f>G5970-E5970</x:f>
        <x:v>0</x:v>
      </x:c>
      <x:c r="L5970" s="40" t="n">
        <x:f>ABS(K5970)</x:f>
        <x:v>0</x:v>
      </x:c>
      <x:c r="M5970" s="41" t="str">
        <x:v>lstm-soil-v1</x:v>
      </x:c>
    </x:row>
    <x:row r="5971">
      <x:c r="A5971" s="38" t="str">
        <x:v>7月30日现场数据</x:v>
      </x:c>
      <x:c r="B5971" s="39" t="str">
        <x:v>2026-08-05T17:50:00</x:v>
      </x:c>
      <x:c r="C5971" s="39" t="str">
        <x:v>2026-08-05T18:50:00</x:v>
      </x:c>
      <x:c r="D5971" s="47" t="n">
        <x:v>60</x:v>
      </x:c>
      <x:c r="E5971" s="40" t="n">
        <x:v>17.9</x:v>
      </x:c>
      <x:c r="F5971" s="40" t="n">
        <x:v>18.738494873046875</x:v>
      </x:c>
      <x:c r="G5971" s="40" t="n">
        <x:v>18</x:v>
      </x:c>
      <x:c r="H5971" s="40" t="n">
        <x:f>F5971-E5971</x:f>
        <x:v>0.8384948730468764</x:v>
      </x:c>
      <x:c r="I5971" s="40" t="n">
        <x:f>ABS(H5971)</x:f>
        <x:v>0.8384948730468764</x:v>
      </x:c>
      <x:c r="J5971" s="40" t="n">
        <x:f>H5971^2</x:f>
        <x:v>0.7030736521258975</x:v>
      </x:c>
      <x:c r="K5971" s="40" t="n">
        <x:f>G5971-E5971</x:f>
        <x:v>0.10000000000000142</x:v>
      </x:c>
      <x:c r="L5971" s="40" t="n">
        <x:f>ABS(K5971)</x:f>
        <x:v>0.10000000000000142</x:v>
      </x:c>
      <x:c r="M5971" s="41" t="str">
        <x:v>lstm-soil-v1</x:v>
      </x:c>
    </x:row>
    <x:row r="5972">
      <x:c r="A5972" s="38" t="str">
        <x:v>7月30日现场数据</x:v>
      </x:c>
      <x:c r="B5972" s="39" t="str">
        <x:v>2026-08-05T17:55:00</x:v>
      </x:c>
      <x:c r="C5972" s="39" t="str">
        <x:v>2026-08-05T18:00:00</x:v>
      </x:c>
      <x:c r="D5972" s="47" t="n">
        <x:v>5</x:v>
      </x:c>
      <x:c r="E5972" s="40" t="n">
        <x:v>17.9</x:v>
      </x:c>
      <x:c r="F5972" s="40" t="n">
        <x:v>16.58203125</x:v>
      </x:c>
      <x:c r="G5972" s="40" t="n">
        <x:v>18</x:v>
      </x:c>
      <x:c r="H5972" s="40" t="n">
        <x:f>F5972-E5972</x:f>
        <x:v>-1.3179687499999986</x:v>
      </x:c>
      <x:c r="I5972" s="40" t="n">
        <x:f>ABS(H5972)</x:f>
        <x:v>1.3179687499999986</x:v>
      </x:c>
      <x:c r="J5972" s="40" t="n">
        <x:f>H5972^2</x:f>
        <x:v>1.7370416259765586</x:v>
      </x:c>
      <x:c r="K5972" s="40" t="n">
        <x:f>G5972-E5972</x:f>
        <x:v>0.10000000000000142</x:v>
      </x:c>
      <x:c r="L5972" s="40" t="n">
        <x:f>ABS(K5972)</x:f>
        <x:v>0.10000000000000142</x:v>
      </x:c>
      <x:c r="M5972" s="41" t="str">
        <x:v>lstm-soil-v1</x:v>
      </x:c>
    </x:row>
    <x:row r="5973">
      <x:c r="A5973" s="38" t="str">
        <x:v>7月30日现场数据</x:v>
      </x:c>
      <x:c r="B5973" s="39" t="str">
        <x:v>2026-08-05T17:55:00</x:v>
      </x:c>
      <x:c r="C5973" s="39" t="str">
        <x:v>2026-08-05T18:10:00</x:v>
      </x:c>
      <x:c r="D5973" s="47" t="n">
        <x:v>15</x:v>
      </x:c>
      <x:c r="E5973" s="40" t="n">
        <x:v>18</x:v>
      </x:c>
      <x:c r="F5973" s="40" t="n">
        <x:v>16.670188903808594</x:v>
      </x:c>
      <x:c r="G5973" s="40" t="n">
        <x:v>18</x:v>
      </x:c>
      <x:c r="H5973" s="40" t="n">
        <x:f>F5973-E5973</x:f>
        <x:v>-1.3298110961914062</x:v>
      </x:c>
      <x:c r="I5973" s="40" t="n">
        <x:f>ABS(H5973)</x:f>
        <x:v>1.3298110961914062</x:v>
      </x:c>
      <x:c r="J5973" s="40" t="n">
        <x:f>H5973^2</x:f>
        <x:v>1.7683975515537895</x:v>
      </x:c>
      <x:c r="K5973" s="40" t="n">
        <x:f>G5973-E5973</x:f>
        <x:v>0</x:v>
      </x:c>
      <x:c r="L5973" s="40" t="n">
        <x:f>ABS(K5973)</x:f>
        <x:v>0</x:v>
      </x:c>
      <x:c r="M5973" s="41" t="str">
        <x:v>lstm-soil-v1</x:v>
      </x:c>
    </x:row>
    <x:row r="5974">
      <x:c r="A5974" s="38" t="str">
        <x:v>7月30日现场数据</x:v>
      </x:c>
      <x:c r="B5974" s="39" t="str">
        <x:v>2026-08-05T17:55:00</x:v>
      </x:c>
      <x:c r="C5974" s="39" t="str">
        <x:v>2026-08-05T18:25:00</x:v>
      </x:c>
      <x:c r="D5974" s="47" t="n">
        <x:v>30</x:v>
      </x:c>
      <x:c r="E5974" s="40" t="n">
        <x:v>17.9</x:v>
      </x:c>
      <x:c r="F5974" s="40" t="n">
        <x:v>16.966304779052734</x:v>
      </x:c>
      <x:c r="G5974" s="40" t="n">
        <x:v>18</x:v>
      </x:c>
      <x:c r="H5974" s="40" t="n">
        <x:f>F5974-E5974</x:f>
        <x:v>-0.9336952209472642</x:v>
      </x:c>
      <x:c r="I5974" s="40" t="n">
        <x:f>ABS(H5974)</x:f>
        <x:v>0.9336952209472642</x:v>
      </x:c>
      <x:c r="J5974" s="40" t="n">
        <x:f>H5974^2</x:f>
        <x:v>0.8717867656197605</x:v>
      </x:c>
      <x:c r="K5974" s="40" t="n">
        <x:f>G5974-E5974</x:f>
        <x:v>0.10000000000000142</x:v>
      </x:c>
      <x:c r="L5974" s="40" t="n">
        <x:f>ABS(K5974)</x:f>
        <x:v>0.10000000000000142</x:v>
      </x:c>
      <x:c r="M5974" s="41" t="str">
        <x:v>lstm-soil-v1</x:v>
      </x:c>
    </x:row>
    <x:row r="5975">
      <x:c r="A5975" s="38" t="str">
        <x:v>7月30日现场数据</x:v>
      </x:c>
      <x:c r="B5975" s="39" t="str">
        <x:v>2026-08-05T17:55:00</x:v>
      </x:c>
      <x:c r="C5975" s="39" t="str">
        <x:v>2026-08-05T18:55:00</x:v>
      </x:c>
      <x:c r="D5975" s="47" t="n">
        <x:v>60</x:v>
      </x:c>
      <x:c r="E5975" s="40" t="n">
        <x:v>17.9</x:v>
      </x:c>
      <x:c r="F5975" s="40" t="n">
        <x:v>18.737567901611328</x:v>
      </x:c>
      <x:c r="G5975" s="40" t="n">
        <x:v>18</x:v>
      </x:c>
      <x:c r="H5975" s="40" t="n">
        <x:f>F5975-E5975</x:f>
        <x:v>0.8375679016113295</x:v>
      </x:c>
      <x:c r="I5975" s="40" t="n">
        <x:f>ABS(H5975)</x:f>
        <x:v>0.8375679016113295</x:v>
      </x:c>
      <x:c r="J5975" s="40" t="n">
        <x:f>H5975^2</x:f>
        <x:v>0.7015199898096058</x:v>
      </x:c>
      <x:c r="K5975" s="40" t="n">
        <x:f>G5975-E5975</x:f>
        <x:v>0.10000000000000142</x:v>
      </x:c>
      <x:c r="L5975" s="40" t="n">
        <x:f>ABS(K5975)</x:f>
        <x:v>0.10000000000000142</x:v>
      </x:c>
      <x:c r="M5975" s="41" t="str">
        <x:v>lstm-soil-v1</x:v>
      </x:c>
    </x:row>
    <x:row r="5976">
      <x:c r="A5976" s="38" t="str">
        <x:v>7月30日现场数据</x:v>
      </x:c>
      <x:c r="B5976" s="39" t="str">
        <x:v>2026-08-05T18:00:00</x:v>
      </x:c>
      <x:c r="C5976" s="39" t="str">
        <x:v>2026-08-05T18:05:00</x:v>
      </x:c>
      <x:c r="D5976" s="47" t="n">
        <x:v>5</x:v>
      </x:c>
      <x:c r="E5976" s="40" t="n">
        <x:v>17.9</x:v>
      </x:c>
      <x:c r="F5976" s="40" t="n">
        <x:v>16.470008850097656</x:v>
      </x:c>
      <x:c r="G5976" s="40" t="n">
        <x:v>17.9</x:v>
      </x:c>
      <x:c r="H5976" s="40" t="n">
        <x:f>F5976-E5976</x:f>
        <x:v>-1.4299911499023423</x:v>
      </x:c>
      <x:c r="I5976" s="40" t="n">
        <x:f>ABS(H5976)</x:f>
        <x:v>1.4299911499023423</x:v>
      </x:c>
      <x:c r="J5976" s="40" t="n">
        <x:f>H5976^2</x:f>
        <x:v>2.0448746887990232</x:v>
      </x:c>
      <x:c r="K5976" s="40" t="n">
        <x:f>G5976-E5976</x:f>
        <x:v>0</x:v>
      </x:c>
      <x:c r="L5976" s="40" t="n">
        <x:f>ABS(K5976)</x:f>
        <x:v>0</x:v>
      </x:c>
      <x:c r="M5976" s="41" t="str">
        <x:v>lstm-soil-v1</x:v>
      </x:c>
    </x:row>
    <x:row r="5977">
      <x:c r="A5977" s="38" t="str">
        <x:v>7月30日现场数据</x:v>
      </x:c>
      <x:c r="B5977" s="39" t="str">
        <x:v>2026-08-05T18:00:00</x:v>
      </x:c>
      <x:c r="C5977" s="39" t="str">
        <x:v>2026-08-05T18:15:00</x:v>
      </x:c>
      <x:c r="D5977" s="47" t="n">
        <x:v>15</x:v>
      </x:c>
      <x:c r="E5977" s="40" t="n">
        <x:v>17.9</x:v>
      </x:c>
      <x:c r="F5977" s="40" t="n">
        <x:v>16.559280395507812</x:v>
      </x:c>
      <x:c r="G5977" s="40" t="n">
        <x:v>17.9</x:v>
      </x:c>
      <x:c r="H5977" s="40" t="n">
        <x:f>F5977-E5977</x:f>
        <x:v>-1.340719604492186</x:v>
      </x:c>
      <x:c r="I5977" s="40" t="n">
        <x:f>ABS(H5977)</x:f>
        <x:v>1.340719604492186</x:v>
      </x:c>
      <x:c r="J5977" s="40" t="n">
        <x:f>H5977^2</x:f>
        <x:v>1.7975290578696839</x:v>
      </x:c>
      <x:c r="K5977" s="40" t="n">
        <x:f>G5977-E5977</x:f>
        <x:v>0</x:v>
      </x:c>
      <x:c r="L5977" s="40" t="n">
        <x:f>ABS(K5977)</x:f>
        <x:v>0</x:v>
      </x:c>
      <x:c r="M5977" s="41" t="str">
        <x:v>lstm-soil-v1</x:v>
      </x:c>
    </x:row>
    <x:row r="5978">
      <x:c r="A5978" s="38" t="str">
        <x:v>7月30日现场数据</x:v>
      </x:c>
      <x:c r="B5978" s="39" t="str">
        <x:v>2026-08-05T18:00:00</x:v>
      </x:c>
      <x:c r="C5978" s="39" t="str">
        <x:v>2026-08-05T18:30:00</x:v>
      </x:c>
      <x:c r="D5978" s="47" t="n">
        <x:v>30</x:v>
      </x:c>
      <x:c r="E5978" s="40" t="n">
        <x:v>17.9</x:v>
      </x:c>
      <x:c r="F5978" s="40" t="n">
        <x:v>16.85418701171875</x:v>
      </x:c>
      <x:c r="G5978" s="40" t="n">
        <x:v>17.9</x:v>
      </x:c>
      <x:c r="H5978" s="40" t="n">
        <x:f>F5978-E5978</x:f>
        <x:v>-1.0458129882812486</x:v>
      </x:c>
      <x:c r="I5978" s="40" t="n">
        <x:f>ABS(H5978)</x:f>
        <x:v>1.0458129882812486</x:v>
      </x:c>
      <x:c r="J5978" s="40" t="n">
        <x:f>H5978^2</x:f>
        <x:v>1.093724806457755</x:v>
      </x:c>
      <x:c r="K5978" s="40" t="n">
        <x:f>G5978-E5978</x:f>
        <x:v>0</x:v>
      </x:c>
      <x:c r="L5978" s="40" t="n">
        <x:f>ABS(K5978)</x:f>
        <x:v>0</x:v>
      </x:c>
      <x:c r="M5978" s="41" t="str">
        <x:v>lstm-soil-v1</x:v>
      </x:c>
    </x:row>
    <x:row r="5979">
      <x:c r="A5979" s="38" t="str">
        <x:v>7月30日现场数据</x:v>
      </x:c>
      <x:c r="B5979" s="39" t="str">
        <x:v>2026-08-05T18:00:00</x:v>
      </x:c>
      <x:c r="C5979" s="39" t="str">
        <x:v>2026-08-05T19:00:00</x:v>
      </x:c>
      <x:c r="D5979" s="47" t="n">
        <x:v>60</x:v>
      </x:c>
      <x:c r="E5979" s="40" t="n">
        <x:v>17.9</x:v>
      </x:c>
      <x:c r="F5979" s="40" t="n">
        <x:v>18.623172760009766</x:v>
      </x:c>
      <x:c r="G5979" s="40" t="n">
        <x:v>17.9</x:v>
      </x:c>
      <x:c r="H5979" s="40" t="n">
        <x:f>F5979-E5979</x:f>
        <x:v>0.723172760009767</x:v>
      </x:c>
      <x:c r="I5979" s="40" t="n">
        <x:f>ABS(H5979)</x:f>
        <x:v>0.723172760009767</x:v>
      </x:c>
      <x:c r="J5979" s="40" t="n">
        <x:f>H5979^2</x:f>
        <x:v>0.5229788408201441</x:v>
      </x:c>
      <x:c r="K5979" s="40" t="n">
        <x:f>G5979-E5979</x:f>
        <x:v>0</x:v>
      </x:c>
      <x:c r="L5979" s="40" t="n">
        <x:f>ABS(K5979)</x:f>
        <x:v>0</x:v>
      </x:c>
      <x:c r="M5979" s="41" t="str">
        <x:v>lstm-soil-v1</x:v>
      </x:c>
    </x:row>
    <x:row r="5980">
      <x:c r="A5980" s="38" t="str">
        <x:v>7月30日现场数据</x:v>
      </x:c>
      <x:c r="B5980" s="39" t="str">
        <x:v>2026-08-05T18:05:00</x:v>
      </x:c>
      <x:c r="C5980" s="39" t="str">
        <x:v>2026-08-05T18:10:00</x:v>
      </x:c>
      <x:c r="D5980" s="47" t="n">
        <x:v>5</x:v>
      </x:c>
      <x:c r="E5980" s="40" t="n">
        <x:v>18</x:v>
      </x:c>
      <x:c r="F5980" s="40" t="n">
        <x:v>16.468647003173828</x:v>
      </x:c>
      <x:c r="G5980" s="40" t="n">
        <x:v>17.9</x:v>
      </x:c>
      <x:c r="H5980" s="40" t="n">
        <x:f>F5980-E5980</x:f>
        <x:v>-1.5313529968261719</x:v>
      </x:c>
      <x:c r="I5980" s="40" t="n">
        <x:f>ABS(H5980)</x:f>
        <x:v>1.5313529968261719</x:v>
      </x:c>
      <x:c r="J5980" s="40" t="n">
        <x:f>H5980^2</x:f>
        <x:v>2.3450420008884976</x:v>
      </x:c>
      <x:c r="K5980" s="40" t="n">
        <x:f>G5980-E5980</x:f>
        <x:v>-0.10000000000000142</x:v>
      </x:c>
      <x:c r="L5980" s="40" t="n">
        <x:f>ABS(K5980)</x:f>
        <x:v>0.10000000000000142</x:v>
      </x:c>
      <x:c r="M5980" s="41" t="str">
        <x:v>lstm-soil-v1</x:v>
      </x:c>
    </x:row>
    <x:row r="5981">
      <x:c r="A5981" s="38" t="str">
        <x:v>7月30日现场数据</x:v>
      </x:c>
      <x:c r="B5981" s="39" t="str">
        <x:v>2026-08-05T18:05:00</x:v>
      </x:c>
      <x:c r="C5981" s="39" t="str">
        <x:v>2026-08-05T18:20:00</x:v>
      </x:c>
      <x:c r="D5981" s="47" t="n">
        <x:v>15</x:v>
      </x:c>
      <x:c r="E5981" s="40" t="n">
        <x:v>18</x:v>
      </x:c>
      <x:c r="F5981" s="40" t="n">
        <x:v>16.55821990966797</x:v>
      </x:c>
      <x:c r="G5981" s="40" t="n">
        <x:v>17.9</x:v>
      </x:c>
      <x:c r="H5981" s="40" t="n">
        <x:f>F5981-E5981</x:f>
        <x:v>-1.4417800903320312</x:v>
      </x:c>
      <x:c r="I5981" s="40" t="n">
        <x:f>ABS(H5981)</x:f>
        <x:v>1.4417800903320312</x:v>
      </x:c>
      <x:c r="J5981" s="40" t="n">
        <x:f>H5981^2</x:f>
        <x:v>2.07872982887784</x:v>
      </x:c>
      <x:c r="K5981" s="40" t="n">
        <x:f>G5981-E5981</x:f>
        <x:v>-0.10000000000000142</x:v>
      </x:c>
      <x:c r="L5981" s="40" t="n">
        <x:f>ABS(K5981)</x:f>
        <x:v>0.10000000000000142</x:v>
      </x:c>
      <x:c r="M5981" s="41" t="str">
        <x:v>lstm-soil-v1</x:v>
      </x:c>
    </x:row>
    <x:row r="5982">
      <x:c r="A5982" s="38" t="str">
        <x:v>7月30日现场数据</x:v>
      </x:c>
      <x:c r="B5982" s="39" t="str">
        <x:v>2026-08-05T18:05:00</x:v>
      </x:c>
      <x:c r="C5982" s="39" t="str">
        <x:v>2026-08-05T18:35:00</x:v>
      </x:c>
      <x:c r="D5982" s="47" t="n">
        <x:v>30</x:v>
      </x:c>
      <x:c r="E5982" s="40" t="n">
        <x:v>17.9</x:v>
      </x:c>
      <x:c r="F5982" s="40" t="n">
        <x:v>16.852249145507812</x:v>
      </x:c>
      <x:c r="G5982" s="40" t="n">
        <x:v>17.9</x:v>
      </x:c>
      <x:c r="H5982" s="40" t="n">
        <x:f>F5982-E5982</x:f>
        <x:v>-1.047750854492186</x:v>
      </x:c>
      <x:c r="I5982" s="40" t="n">
        <x:f>ABS(H5982)</x:f>
        <x:v>1.047750854492186</x:v>
      </x:c>
      <x:c r="J5982" s="40" t="n">
        <x:f>H5982^2</x:f>
        <x:v>1.0977818530891061</x:v>
      </x:c>
      <x:c r="K5982" s="40" t="n">
        <x:f>G5982-E5982</x:f>
        <x:v>0</x:v>
      </x:c>
      <x:c r="L5982" s="40" t="n">
        <x:f>ABS(K5982)</x:f>
        <x:v>0</x:v>
      </x:c>
      <x:c r="M5982" s="41" t="str">
        <x:v>lstm-soil-v1</x:v>
      </x:c>
    </x:row>
    <x:row r="5983">
      <x:c r="A5983" s="38" t="str">
        <x:v>7月30日现场数据</x:v>
      </x:c>
      <x:c r="B5983" s="39" t="str">
        <x:v>2026-08-05T18:05:00</x:v>
      </x:c>
      <x:c r="C5983" s="39" t="str">
        <x:v>2026-08-05T19:05:00</x:v>
      </x:c>
      <x:c r="D5983" s="47" t="n">
        <x:v>60</x:v>
      </x:c>
      <x:c r="E5983" s="40" t="n">
        <x:v>17.9</x:v>
      </x:c>
      <x:c r="F5983" s="40" t="n">
        <x:v>18.620201110839844</x:v>
      </x:c>
      <x:c r="G5983" s="40" t="n">
        <x:v>17.9</x:v>
      </x:c>
      <x:c r="H5983" s="40" t="n">
        <x:f>F5983-E5983</x:f>
        <x:v>0.7202011108398452</x:v>
      </x:c>
      <x:c r="I5983" s="40" t="n">
        <x:f>ABS(H5983)</x:f>
        <x:v>0.7202011108398452</x:v>
      </x:c>
      <x:c r="J5983" s="40" t="n">
        <x:f>H5983^2</x:f>
        <x:v>0.518689640054947</x:v>
      </x:c>
      <x:c r="K5983" s="40" t="n">
        <x:f>G5983-E5983</x:f>
        <x:v>0</x:v>
      </x:c>
      <x:c r="L5983" s="40" t="n">
        <x:f>ABS(K5983)</x:f>
        <x:v>0</x:v>
      </x:c>
      <x:c r="M5983" s="41" t="str">
        <x:v>lstm-soil-v1</x:v>
      </x:c>
    </x:row>
    <x:row r="5984">
      <x:c r="A5984" s="38" t="str">
        <x:v>7月30日现场数据</x:v>
      </x:c>
      <x:c r="B5984" s="39" t="str">
        <x:v>2026-08-05T18:10:00</x:v>
      </x:c>
      <x:c r="C5984" s="39" t="str">
        <x:v>2026-08-05T18:15:00</x:v>
      </x:c>
      <x:c r="D5984" s="47" t="n">
        <x:v>5</x:v>
      </x:c>
      <x:c r="E5984" s="40" t="n">
        <x:v>17.9</x:v>
      </x:c>
      <x:c r="F5984" s="40" t="n">
        <x:v>16.577678680419922</x:v>
      </x:c>
      <x:c r="G5984" s="40" t="n">
        <x:v>18</x:v>
      </x:c>
      <x:c r="H5984" s="40" t="n">
        <x:f>F5984-E5984</x:f>
        <x:v>-1.3223213195800767</x:v>
      </x:c>
      <x:c r="I5984" s="40" t="n">
        <x:f>ABS(H5984)</x:f>
        <x:v>1.3223213195800767</x:v>
      </x:c>
      <x:c r="J5984" s="40" t="n">
        <x:f>H5984^2</x:f>
        <x:v>1.7485336722159954</x:v>
      </x:c>
      <x:c r="K5984" s="40" t="n">
        <x:f>G5984-E5984</x:f>
        <x:v>0.10000000000000142</x:v>
      </x:c>
      <x:c r="L5984" s="40" t="n">
        <x:f>ABS(K5984)</x:f>
        <x:v>0.10000000000000142</x:v>
      </x:c>
      <x:c r="M5984" s="41" t="str">
        <x:v>lstm-soil-v1</x:v>
      </x:c>
    </x:row>
    <x:row r="5985">
      <x:c r="A5985" s="38" t="str">
        <x:v>7月30日现场数据</x:v>
      </x:c>
      <x:c r="B5985" s="39" t="str">
        <x:v>2026-08-05T18:10:00</x:v>
      </x:c>
      <x:c r="C5985" s="39" t="str">
        <x:v>2026-08-05T18:25:00</x:v>
      </x:c>
      <x:c r="D5985" s="47" t="n">
        <x:v>15</x:v>
      </x:c>
      <x:c r="E5985" s="40" t="n">
        <x:v>17.9</x:v>
      </x:c>
      <x:c r="F5985" s="40" t="n">
        <x:v>16.66730499267578</x:v>
      </x:c>
      <x:c r="G5985" s="40" t="n">
        <x:v>18</x:v>
      </x:c>
      <x:c r="H5985" s="40" t="n">
        <x:f>F5985-E5985</x:f>
        <x:v>-1.2326950073242173</x:v>
      </x:c>
      <x:c r="I5985" s="40" t="n">
        <x:f>ABS(H5985)</x:f>
        <x:v>1.2326950073242173</x:v>
      </x:c>
      <x:c r="J5985" s="40" t="n">
        <x:f>H5985^2</x:f>
        <x:v>1.5195369810820523</x:v>
      </x:c>
      <x:c r="K5985" s="40" t="n">
        <x:f>G5985-E5985</x:f>
        <x:v>0.10000000000000142</x:v>
      </x:c>
      <x:c r="L5985" s="40" t="n">
        <x:f>ABS(K5985)</x:f>
        <x:v>0.10000000000000142</x:v>
      </x:c>
      <x:c r="M5985" s="41" t="str">
        <x:v>lstm-soil-v1</x:v>
      </x:c>
    </x:row>
    <x:row r="5986">
      <x:c r="A5986" s="38" t="str">
        <x:v>7月30日现场数据</x:v>
      </x:c>
      <x:c r="B5986" s="39" t="str">
        <x:v>2026-08-05T18:10:00</x:v>
      </x:c>
      <x:c r="C5986" s="39" t="str">
        <x:v>2026-08-05T18:40:00</x:v>
      </x:c>
      <x:c r="D5986" s="47" t="n">
        <x:v>30</x:v>
      </x:c>
      <x:c r="E5986" s="40" t="n">
        <x:v>17.9</x:v>
      </x:c>
      <x:c r="F5986" s="40" t="n">
        <x:v>16.960941314697266</x:v>
      </x:c>
      <x:c r="G5986" s="40" t="n">
        <x:v>18</x:v>
      </x:c>
      <x:c r="H5986" s="40" t="n">
        <x:f>F5986-E5986</x:f>
        <x:v>-0.939058685302733</x:v>
      </x:c>
      <x:c r="I5986" s="40" t="n">
        <x:f>ABS(H5986)</x:f>
        <x:v>0.939058685302733</x:v>
      </x:c>
      <x:c r="J5986" s="40" t="n">
        <x:f>H5986^2</x:f>
        <x:v>0.8818312144424972</x:v>
      </x:c>
      <x:c r="K5986" s="40" t="n">
        <x:f>G5986-E5986</x:f>
        <x:v>0.10000000000000142</x:v>
      </x:c>
      <x:c r="L5986" s="40" t="n">
        <x:f>ABS(K5986)</x:f>
        <x:v>0.10000000000000142</x:v>
      </x:c>
      <x:c r="M5986" s="41" t="str">
        <x:v>lstm-soil-v1</x:v>
      </x:c>
    </x:row>
    <x:row r="5987">
      <x:c r="A5987" s="38" t="str">
        <x:v>7月30日现场数据</x:v>
      </x:c>
      <x:c r="B5987" s="39" t="str">
        <x:v>2026-08-05T18:10:00</x:v>
      </x:c>
      <x:c r="C5987" s="39" t="str">
        <x:v>2026-08-05T19:10:00</x:v>
      </x:c>
      <x:c r="D5987" s="47" t="n">
        <x:v>60</x:v>
      </x:c>
      <x:c r="E5987" s="40" t="n">
        <x:v>17.9</x:v>
      </x:c>
      <x:c r="F5987" s="40" t="n">
        <x:v>18.728336334228516</x:v>
      </x:c>
      <x:c r="G5987" s="40" t="n">
        <x:v>18</x:v>
      </x:c>
      <x:c r="H5987" s="40" t="n">
        <x:f>F5987-E5987</x:f>
        <x:v>0.828336334228517</x:v>
      </x:c>
      <x:c r="I5987" s="40" t="n">
        <x:f>ABS(H5987)</x:f>
        <x:v>0.828336334228517</x:v>
      </x:c>
      <x:c r="J5987" s="40" t="n">
        <x:f>H5987^2</x:f>
        <x:v>0.6861410826031376</x:v>
      </x:c>
      <x:c r="K5987" s="40" t="n">
        <x:f>G5987-E5987</x:f>
        <x:v>0.10000000000000142</x:v>
      </x:c>
      <x:c r="L5987" s="40" t="n">
        <x:f>ABS(K5987)</x:f>
        <x:v>0.10000000000000142</x:v>
      </x:c>
      <x:c r="M5987" s="41" t="str">
        <x:v>lstm-soil-v1</x:v>
      </x:c>
    </x:row>
    <x:row r="5988">
      <x:c r="A5988" s="38" t="str">
        <x:v>7月30日现场数据</x:v>
      </x:c>
      <x:c r="B5988" s="39" t="str">
        <x:v>2026-08-05T18:15:00</x:v>
      </x:c>
      <x:c r="C5988" s="39" t="str">
        <x:v>2026-08-05T18:20:00</x:v>
      </x:c>
      <x:c r="D5988" s="47" t="n">
        <x:v>5</x:v>
      </x:c>
      <x:c r="E5988" s="40" t="n">
        <x:v>18</x:v>
      </x:c>
      <x:c r="F5988" s="40" t="n">
        <x:v>16.46631622314453</x:v>
      </x:c>
      <x:c r="G5988" s="40" t="n">
        <x:v>17.9</x:v>
      </x:c>
      <x:c r="H5988" s="40" t="n">
        <x:f>F5988-E5988</x:f>
        <x:v>-1.5336837768554688</x:v>
      </x:c>
      <x:c r="I5988" s="40" t="n">
        <x:f>ABS(H5988)</x:f>
        <x:v>1.5336837768554688</x:v>
      </x:c>
      <x:c r="J5988" s="40" t="n">
        <x:f>H5988^2</x:f>
        <x:v>2.3521859273896553</x:v>
      </x:c>
      <x:c r="K5988" s="40" t="n">
        <x:f>G5988-E5988</x:f>
        <x:v>-0.10000000000000142</x:v>
      </x:c>
      <x:c r="L5988" s="40" t="n">
        <x:f>ABS(K5988)</x:f>
        <x:v>0.10000000000000142</x:v>
      </x:c>
      <x:c r="M5988" s="41" t="str">
        <x:v>lstm-soil-v1</x:v>
      </x:c>
    </x:row>
    <x:row r="5989">
      <x:c r="A5989" s="38" t="str">
        <x:v>7月30日现场数据</x:v>
      </x:c>
      <x:c r="B5989" s="39" t="str">
        <x:v>2026-08-05T18:15:00</x:v>
      </x:c>
      <x:c r="C5989" s="39" t="str">
        <x:v>2026-08-05T18:30:00</x:v>
      </x:c>
      <x:c r="D5989" s="47" t="n">
        <x:v>15</x:v>
      </x:c>
      <x:c r="E5989" s="40" t="n">
        <x:v>17.9</x:v>
      </x:c>
      <x:c r="F5989" s="40" t="n">
        <x:v>16.55618667602539</x:v>
      </x:c>
      <x:c r="G5989" s="40" t="n">
        <x:v>17.9</x:v>
      </x:c>
      <x:c r="H5989" s="40" t="n">
        <x:f>F5989-E5989</x:f>
        <x:v>-1.343813323974608</x:v>
      </x:c>
      <x:c r="I5989" s="40" t="n">
        <x:f>ABS(H5989)</x:f>
        <x:v>1.343813323974608</x:v>
      </x:c>
      <x:c r="J5989" s="40" t="n">
        <x:f>H5989^2</x:f>
        <x:v>1.8058342496916846</x:v>
      </x:c>
      <x:c r="K5989" s="40" t="n">
        <x:f>G5989-E5989</x:f>
        <x:v>0</x:v>
      </x:c>
      <x:c r="L5989" s="40" t="n">
        <x:f>ABS(K5989)</x:f>
        <x:v>0</x:v>
      </x:c>
      <x:c r="M5989" s="41" t="str">
        <x:v>lstm-soil-v1</x:v>
      </x:c>
    </x:row>
    <x:row r="5990">
      <x:c r="A5990" s="38" t="str">
        <x:v>7月30日现场数据</x:v>
      </x:c>
      <x:c r="B5990" s="39" t="str">
        <x:v>2026-08-05T18:15:00</x:v>
      </x:c>
      <x:c r="C5990" s="39" t="str">
        <x:v>2026-08-05T18:45:00</x:v>
      </x:c>
      <x:c r="D5990" s="47" t="n">
        <x:v>30</x:v>
      </x:c>
      <x:c r="E5990" s="40" t="n">
        <x:v>17.9</x:v>
      </x:c>
      <x:c r="F5990" s="40" t="n">
        <x:v>16.849655151367188</x:v>
      </x:c>
      <x:c r="G5990" s="40" t="n">
        <x:v>17.9</x:v>
      </x:c>
      <x:c r="H5990" s="40" t="n">
        <x:f>F5990-E5990</x:f>
        <x:v>-1.050344848632811</x:v>
      </x:c>
      <x:c r="I5990" s="40" t="n">
        <x:f>ABS(H5990)</x:f>
        <x:v>1.050344848632811</x:v>
      </x:c>
      <x:c r="J5990" s="40" t="n">
        <x:f>H5990^2</x:f>
        <x:v>1.1032243010494829</x:v>
      </x:c>
      <x:c r="K5990" s="40" t="n">
        <x:f>G5990-E5990</x:f>
        <x:v>0</x:v>
      </x:c>
      <x:c r="L5990" s="40" t="n">
        <x:f>ABS(K5990)</x:f>
        <x:v>0</x:v>
      </x:c>
      <x:c r="M5990" s="41" t="str">
        <x:v>lstm-soil-v1</x:v>
      </x:c>
    </x:row>
    <x:row r="5991">
      <x:c r="A5991" s="38" t="str">
        <x:v>7月30日现场数据</x:v>
      </x:c>
      <x:c r="B5991" s="39" t="str">
        <x:v>2026-08-05T18:15:00</x:v>
      </x:c>
      <x:c r="C5991" s="39" t="str">
        <x:v>2026-08-05T19:15:00</x:v>
      </x:c>
      <x:c r="D5991" s="47" t="n">
        <x:v>60</x:v>
      </x:c>
      <x:c r="E5991" s="40" t="n">
        <x:v>17.9</x:v>
      </x:c>
      <x:c r="F5991" s="40" t="n">
        <x:v>18.616756439208984</x:v>
      </x:c>
      <x:c r="G5991" s="40" t="n">
        <x:v>17.9</x:v>
      </x:c>
      <x:c r="H5991" s="40" t="n">
        <x:f>F5991-E5991</x:f>
        <x:v>0.7167564392089858</x:v>
      </x:c>
      <x:c r="I5991" s="40" t="n">
        <x:f>ABS(H5991)</x:f>
        <x:v>0.7167564392089858</x:v>
      </x:c>
      <x:c r="J5991" s="40" t="n">
        <x:f>H5991^2</x:f>
        <x:v>0.5137397931475446</x:v>
      </x:c>
      <x:c r="K5991" s="40" t="n">
        <x:f>G5991-E5991</x:f>
        <x:v>0</x:v>
      </x:c>
      <x:c r="L5991" s="40" t="n">
        <x:f>ABS(K5991)</x:f>
        <x:v>0</x:v>
      </x:c>
      <x:c r="M5991" s="41" t="str">
        <x:v>lstm-soil-v1</x:v>
      </x:c>
    </x:row>
    <x:row r="5992">
      <x:c r="A5992" s="38" t="str">
        <x:v>7月30日现场数据</x:v>
      </x:c>
      <x:c r="B5992" s="39" t="str">
        <x:v>2026-08-05T18:20:00</x:v>
      </x:c>
      <x:c r="C5992" s="39" t="str">
        <x:v>2026-08-05T18:25:00</x:v>
      </x:c>
      <x:c r="D5992" s="47" t="n">
        <x:v>5</x:v>
      </x:c>
      <x:c r="E5992" s="40" t="n">
        <x:v>17.9</x:v>
      </x:c>
      <x:c r="F5992" s="40" t="n">
        <x:v>16.575759887695312</x:v>
      </x:c>
      <x:c r="G5992" s="40" t="n">
        <x:v>18</x:v>
      </x:c>
      <x:c r="H5992" s="40" t="n">
        <x:f>F5992-E5992</x:f>
        <x:v>-1.324240112304686</x:v>
      </x:c>
      <x:c r="I5992" s="40" t="n">
        <x:f>ABS(H5992)</x:f>
        <x:v>1.324240112304686</x:v>
      </x:c>
      <x:c r="J5992" s="40" t="n">
        <x:f>H5992^2</x:f>
        <x:v>1.7536118750367276</x:v>
      </x:c>
      <x:c r="K5992" s="40" t="n">
        <x:f>G5992-E5992</x:f>
        <x:v>0.10000000000000142</x:v>
      </x:c>
      <x:c r="L5992" s="40" t="n">
        <x:f>ABS(K5992)</x:f>
        <x:v>0.10000000000000142</x:v>
      </x:c>
      <x:c r="M5992" s="41" t="str">
        <x:v>lstm-soil-v1</x:v>
      </x:c>
    </x:row>
    <x:row r="5993">
      <x:c r="A5993" s="38" t="str">
        <x:v>7月30日现场数据</x:v>
      </x:c>
      <x:c r="B5993" s="39" t="str">
        <x:v>2026-08-05T18:20:00</x:v>
      </x:c>
      <x:c r="C5993" s="39" t="str">
        <x:v>2026-08-05T18:35:00</x:v>
      </x:c>
      <x:c r="D5993" s="47" t="n">
        <x:v>15</x:v>
      </x:c>
      <x:c r="E5993" s="40" t="n">
        <x:v>17.9</x:v>
      </x:c>
      <x:c r="F5993" s="40" t="n">
        <x:v>16.66561508178711</x:v>
      </x:c>
      <x:c r="G5993" s="40" t="n">
        <x:v>18</x:v>
      </x:c>
      <x:c r="H5993" s="40" t="n">
        <x:f>F5993-E5993</x:f>
        <x:v>-1.2343849182128892</x:v>
      </x:c>
      <x:c r="I5993" s="40" t="n">
        <x:f>ABS(H5993)</x:f>
        <x:v>1.2343849182128892</x:v>
      </x:c>
      <x:c r="J5993" s="40" t="n">
        <x:f>H5993^2</x:f>
        <x:v>1.523706126311441</x:v>
      </x:c>
      <x:c r="K5993" s="40" t="n">
        <x:f>G5993-E5993</x:f>
        <x:v>0.10000000000000142</x:v>
      </x:c>
      <x:c r="L5993" s="40" t="n">
        <x:f>ABS(K5993)</x:f>
        <x:v>0.10000000000000142</x:v>
      </x:c>
      <x:c r="M5993" s="41" t="str">
        <x:v>lstm-soil-v1</x:v>
      </x:c>
    </x:row>
    <x:row r="5994">
      <x:c r="A5994" s="38" t="str">
        <x:v>7月30日现场数据</x:v>
      </x:c>
      <x:c r="B5994" s="39" t="str">
        <x:v>2026-08-05T18:20:00</x:v>
      </x:c>
      <x:c r="C5994" s="39" t="str">
        <x:v>2026-08-05T18:50:00</x:v>
      </x:c>
      <x:c r="D5994" s="47" t="n">
        <x:v>30</x:v>
      </x:c>
      <x:c r="E5994" s="40" t="n">
        <x:v>17.9</x:v>
      </x:c>
      <x:c r="F5994" s="40" t="n">
        <x:v>16.959346771240234</x:v>
      </x:c>
      <x:c r="G5994" s="40" t="n">
        <x:v>18</x:v>
      </x:c>
      <x:c r="H5994" s="40" t="n">
        <x:f>F5994-E5994</x:f>
        <x:v>-0.9406532287597642</x:v>
      </x:c>
      <x:c r="I5994" s="40" t="n">
        <x:f>ABS(H5994)</x:f>
        <x:v>0.9406532287597642</x:v>
      </x:c>
      <x:c r="J5994" s="40" t="n">
        <x:f>H5994^2</x:f>
        <x:v>0.8848284967761693</x:v>
      </x:c>
      <x:c r="K5994" s="40" t="n">
        <x:f>G5994-E5994</x:f>
        <x:v>0.10000000000000142</x:v>
      </x:c>
      <x:c r="L5994" s="40" t="n">
        <x:f>ABS(K5994)</x:f>
        <x:v>0.10000000000000142</x:v>
      </x:c>
      <x:c r="M5994" s="41" t="str">
        <x:v>lstm-soil-v1</x:v>
      </x:c>
    </x:row>
    <x:row r="5995">
      <x:c r="A5995" s="38" t="str">
        <x:v>7月30日现场数据</x:v>
      </x:c>
      <x:c r="B5995" s="39" t="str">
        <x:v>2026-08-05T18:20:00</x:v>
      </x:c>
      <x:c r="C5995" s="39" t="str">
        <x:v>2026-08-05T19:20:00</x:v>
      </x:c>
      <x:c r="D5995" s="47" t="n">
        <x:v>60</x:v>
      </x:c>
      <x:c r="E5995" s="40" t="n">
        <x:v>17.9</x:v>
      </x:c>
      <x:c r="F5995" s="40" t="n">
        <x:v>18.726322174072266</x:v>
      </x:c>
      <x:c r="G5995" s="40" t="n">
        <x:v>18</x:v>
      </x:c>
      <x:c r="H5995" s="40" t="n">
        <x:f>F5995-E5995</x:f>
        <x:v>0.826322174072267</x:v>
      </x:c>
      <x:c r="I5995" s="40" t="n">
        <x:f>ABS(H5995)</x:f>
        <x:v>0.826322174072267</x:v>
      </x:c>
      <x:c r="J5995" s="40" t="n">
        <x:f>H5995^2</x:f>
        <x:v>0.682808335363518</x:v>
      </x:c>
      <x:c r="K5995" s="40" t="n">
        <x:f>G5995-E5995</x:f>
        <x:v>0.10000000000000142</x:v>
      </x:c>
      <x:c r="L5995" s="40" t="n">
        <x:f>ABS(K5995)</x:f>
        <x:v>0.10000000000000142</x:v>
      </x:c>
      <x:c r="M5995" s="41" t="str">
        <x:v>lstm-soil-v1</x:v>
      </x:c>
    </x:row>
    <x:row r="5996">
      <x:c r="A5996" s="38" t="str">
        <x:v>7月30日现场数据</x:v>
      </x:c>
      <x:c r="B5996" s="39" t="str">
        <x:v>2026-08-05T18:25:00</x:v>
      </x:c>
      <x:c r="C5996" s="39" t="str">
        <x:v>2026-08-05T18:30:00</x:v>
      </x:c>
      <x:c r="D5996" s="47" t="n">
        <x:v>5</x:v>
      </x:c>
      <x:c r="E5996" s="40" t="n">
        <x:v>17.9</x:v>
      </x:c>
      <x:c r="F5996" s="40" t="n">
        <x:v>16.464920043945312</x:v>
      </x:c>
      <x:c r="G5996" s="40" t="n">
        <x:v>17.9</x:v>
      </x:c>
      <x:c r="H5996" s="40" t="n">
        <x:f>F5996-E5996</x:f>
        <x:v>-1.435079956054686</x:v>
      </x:c>
      <x:c r="I5996" s="40" t="n">
        <x:f>ABS(H5996)</x:f>
        <x:v>1.435079956054686</x:v>
      </x:c>
      <x:c r="J5996" s="40" t="n">
        <x:f>H5996^2</x:f>
        <x:v>2.0594544802699195</x:v>
      </x:c>
      <x:c r="K5996" s="40" t="n">
        <x:f>G5996-E5996</x:f>
        <x:v>0</x:v>
      </x:c>
      <x:c r="L5996" s="40" t="n">
        <x:f>ABS(K5996)</x:f>
        <x:v>0</x:v>
      </x:c>
      <x:c r="M5996" s="41" t="str">
        <x:v>lstm-soil-v1</x:v>
      </x:c>
    </x:row>
    <x:row r="5997">
      <x:c r="A5997" s="38" t="str">
        <x:v>7月30日现场数据</x:v>
      </x:c>
      <x:c r="B5997" s="39" t="str">
        <x:v>2026-08-05T18:25:00</x:v>
      </x:c>
      <x:c r="C5997" s="39" t="str">
        <x:v>2026-08-05T18:40:00</x:v>
      </x:c>
      <x:c r="D5997" s="47" t="n">
        <x:v>15</x:v>
      </x:c>
      <x:c r="E5997" s="40" t="n">
        <x:v>17.9</x:v>
      </x:c>
      <x:c r="F5997" s="40" t="n">
        <x:v>16.554927825927734</x:v>
      </x:c>
      <x:c r="G5997" s="40" t="n">
        <x:v>17.9</x:v>
      </x:c>
      <x:c r="H5997" s="40" t="n">
        <x:f>F5997-E5997</x:f>
        <x:v>-1.3450721740722642</x:v>
      </x:c>
      <x:c r="I5997" s="40" t="n">
        <x:f>ABS(H5997)</x:f>
        <x:v>1.3450721740722642</x:v>
      </x:c>
      <x:c r="J5997" s="40" t="n">
        <x:f>H5997^2</x:f>
        <x:v>1.8092191534634874</x:v>
      </x:c>
      <x:c r="K5997" s="40" t="n">
        <x:f>G5997-E5997</x:f>
        <x:v>0</x:v>
      </x:c>
      <x:c r="L5997" s="40" t="n">
        <x:f>ABS(K5997)</x:f>
        <x:v>0</x:v>
      </x:c>
      <x:c r="M5997" s="41" t="str">
        <x:v>lstm-soil-v1</x:v>
      </x:c>
    </x:row>
    <x:row r="5998">
      <x:c r="A5998" s="38" t="str">
        <x:v>7月30日现场数据</x:v>
      </x:c>
      <x:c r="B5998" s="39" t="str">
        <x:v>2026-08-05T18:25:00</x:v>
      </x:c>
      <x:c r="C5998" s="39" t="str">
        <x:v>2026-08-05T18:55:00</x:v>
      </x:c>
      <x:c r="D5998" s="47" t="n">
        <x:v>30</x:v>
      </x:c>
      <x:c r="E5998" s="40" t="n">
        <x:v>17.9</x:v>
      </x:c>
      <x:c r="F5998" s="40" t="n">
        <x:v>16.84890365600586</x:v>
      </x:c>
      <x:c r="G5998" s="40" t="n">
        <x:v>17.9</x:v>
      </x:c>
      <x:c r="H5998" s="40" t="n">
        <x:f>F5998-E5998</x:f>
        <x:v>-1.0510963439941392</x:v>
      </x:c>
      <x:c r="I5998" s="40" t="n">
        <x:f>ABS(H5998)</x:f>
        <x:v>1.0510963439941392</x:v>
      </x:c>
      <x:c r="J5998" s="40" t="n">
        <x:f>H5998^2</x:f>
        <x:v>1.1048035243578458</x:v>
      </x:c>
      <x:c r="K5998" s="40" t="n">
        <x:f>G5998-E5998</x:f>
        <x:v>0</x:v>
      </x:c>
      <x:c r="L5998" s="40" t="n">
        <x:f>ABS(K5998)</x:f>
        <x:v>0</x:v>
      </x:c>
      <x:c r="M5998" s="41" t="str">
        <x:v>lstm-soil-v1</x:v>
      </x:c>
    </x:row>
    <x:row r="5999">
      <x:c r="A5999" s="38" t="str">
        <x:v>7月30日现场数据</x:v>
      </x:c>
      <x:c r="B5999" s="39" t="str">
        <x:v>2026-08-05T18:25:00</x:v>
      </x:c>
      <x:c r="C5999" s="39" t="str">
        <x:v>2026-08-05T19:25:00</x:v>
      </x:c>
      <x:c r="D5999" s="47" t="n">
        <x:v>60</x:v>
      </x:c>
      <x:c r="E5999" s="40" t="n">
        <x:v>17.9</x:v>
      </x:c>
      <x:c r="F5999" s="40" t="n">
        <x:v>18.615806579589844</x:v>
      </x:c>
      <x:c r="G5999" s="40" t="n">
        <x:v>17.9</x:v>
      </x:c>
      <x:c r="H5999" s="40" t="n">
        <x:f>F5999-E5999</x:f>
        <x:v>0.7158065795898452</x:v>
      </x:c>
      <x:c r="I5999" s="40" t="n">
        <x:f>ABS(H5999)</x:f>
        <x:v>0.7158065795898452</x:v>
      </x:c>
      <x:c r="J5999" s="40" t="n">
        <x:f>H5999^2</x:f>
        <x:v>0.5123790593841133</x:v>
      </x:c>
      <x:c r="K5999" s="40" t="n">
        <x:f>G5999-E5999</x:f>
        <x:v>0</x:v>
      </x:c>
      <x:c r="L5999" s="40" t="n">
        <x:f>ABS(K5999)</x:f>
        <x:v>0</x:v>
      </x:c>
      <x:c r="M5999" s="41" t="str">
        <x:v>lstm-soil-v1</x:v>
      </x:c>
    </x:row>
    <x:row r="6000">
      <x:c r="A6000" s="38" t="str">
        <x:v>7月30日现场数据</x:v>
      </x:c>
      <x:c r="B6000" s="39" t="str">
        <x:v>2026-08-05T18:30:00</x:v>
      </x:c>
      <x:c r="C6000" s="39" t="str">
        <x:v>2026-08-05T18:35:00</x:v>
      </x:c>
      <x:c r="D6000" s="47" t="n">
        <x:v>5</x:v>
      </x:c>
      <x:c r="E6000" s="40" t="n">
        <x:v>17.9</x:v>
      </x:c>
      <x:c r="F6000" s="40" t="n">
        <x:v>16.46432876586914</x:v>
      </x:c>
      <x:c r="G6000" s="40" t="n">
        <x:v>17.9</x:v>
      </x:c>
      <x:c r="H6000" s="40" t="n">
        <x:f>F6000-E6000</x:f>
        <x:v>-1.435671234130858</x:v>
      </x:c>
      <x:c r="I6000" s="40" t="n">
        <x:f>ABS(H6000)</x:f>
        <x:v>1.435671234130858</x:v>
      </x:c>
      <x:c r="J6000" s="40" t="n">
        <x:f>H6000^2</x:f>
        <x:v>2.0611518925108205</x:v>
      </x:c>
      <x:c r="K6000" s="40" t="n">
        <x:f>G6000-E6000</x:f>
        <x:v>0</x:v>
      </x:c>
      <x:c r="L6000" s="40" t="n">
        <x:f>ABS(K6000)</x:f>
        <x:v>0</x:v>
      </x:c>
      <x:c r="M6000" s="41" t="str">
        <x:v>lstm-soil-v1</x:v>
      </x:c>
    </x:row>
    <x:row r="6001">
      <x:c r="A6001" s="38" t="str">
        <x:v>7月30日现场数据</x:v>
      </x:c>
      <x:c r="B6001" s="39" t="str">
        <x:v>2026-08-05T18:30:00</x:v>
      </x:c>
      <x:c r="C6001" s="39" t="str">
        <x:v>2026-08-05T18:45:00</x:v>
      </x:c>
      <x:c r="D6001" s="47" t="n">
        <x:v>15</x:v>
      </x:c>
      <x:c r="E6001" s="40" t="n">
        <x:v>17.9</x:v>
      </x:c>
      <x:c r="F6001" s="40" t="n">
        <x:v>16.554443359375</x:v>
      </x:c>
      <x:c r="G6001" s="40" t="n">
        <x:v>17.9</x:v>
      </x:c>
      <x:c r="H6001" s="40" t="n">
        <x:f>F6001-E6001</x:f>
        <x:v>-1.3455566406249986</x:v>
      </x:c>
      <x:c r="I6001" s="40" t="n">
        <x:f>ABS(H6001)</x:f>
        <x:v>1.3455566406249986</x:v>
      </x:c>
      <x:c r="J6001" s="40" t="n">
        <x:f>H6001^2</x:f>
        <x:v>1.8105226731300317</x:v>
      </x:c>
      <x:c r="K6001" s="40" t="n">
        <x:f>G6001-E6001</x:f>
        <x:v>0</x:v>
      </x:c>
      <x:c r="L6001" s="40" t="n">
        <x:f>ABS(K6001)</x:f>
        <x:v>0</x:v>
      </x:c>
      <x:c r="M6001" s="41" t="str">
        <x:v>lstm-soil-v1</x:v>
      </x:c>
    </x:row>
    <x:row r="6002">
      <x:c r="A6002" s="38" t="str">
        <x:v>7月30日现场数据</x:v>
      </x:c>
      <x:c r="B6002" s="39" t="str">
        <x:v>2026-08-05T18:30:00</x:v>
      </x:c>
      <x:c r="C6002" s="39" t="str">
        <x:v>2026-08-05T19:00:00</x:v>
      </x:c>
      <x:c r="D6002" s="47" t="n">
        <x:v>30</x:v>
      </x:c>
      <x:c r="E6002" s="40" t="n">
        <x:v>17.9</x:v>
      </x:c>
      <x:c r="F6002" s="40" t="n">
        <x:v>16.848766326904297</x:v>
      </x:c>
      <x:c r="G6002" s="40" t="n">
        <x:v>17.9</x:v>
      </x:c>
      <x:c r="H6002" s="40" t="n">
        <x:f>F6002-E6002</x:f>
        <x:v>-1.0512336730957017</x:v>
      </x:c>
      <x:c r="I6002" s="40" t="n">
        <x:f>ABS(H6002)</x:f>
        <x:v>1.0512336730957017</x:v>
      </x:c>
      <x:c r="J6002" s="40" t="n">
        <x:f>H6002^2</x:f>
        <x:v>1.1050922354502806</x:v>
      </x:c>
      <x:c r="K6002" s="40" t="n">
        <x:f>G6002-E6002</x:f>
        <x:v>0</x:v>
      </x:c>
      <x:c r="L6002" s="40" t="n">
        <x:f>ABS(K6002)</x:f>
        <x:v>0</x:v>
      </x:c>
      <x:c r="M6002" s="41" t="str">
        <x:v>lstm-soil-v1</x:v>
      </x:c>
    </x:row>
    <x:row r="6003">
      <x:c r="A6003" s="38" t="str">
        <x:v>7月30日现场数据</x:v>
      </x:c>
      <x:c r="B6003" s="39" t="str">
        <x:v>2026-08-05T18:30:00</x:v>
      </x:c>
      <x:c r="C6003" s="39" t="str">
        <x:v>2026-08-05T19:30:00</x:v>
      </x:c>
      <x:c r="D6003" s="47" t="n">
        <x:v>60</x:v>
      </x:c>
      <x:c r="E6003" s="40" t="n">
        <x:v>17.9</x:v>
      </x:c>
      <x:c r="F6003" s="40" t="n">
        <x:v>18.615577697753906</x:v>
      </x:c>
      <x:c r="G6003" s="40" t="n">
        <x:v>17.9</x:v>
      </x:c>
      <x:c r="H6003" s="40" t="n">
        <x:f>F6003-E6003</x:f>
        <x:v>0.7155776977539077</x:v>
      </x:c>
      <x:c r="I6003" s="40" t="n">
        <x:f>ABS(H6003)</x:f>
        <x:v>0.7155776977539077</x:v>
      </x:c>
      <x:c r="J6003" s="40" t="n">
        <x:f>H6003^2</x:f>
        <x:v>0.5120514415227828</x:v>
      </x:c>
      <x:c r="K6003" s="40" t="n">
        <x:f>G6003-E6003</x:f>
        <x:v>0</x:v>
      </x:c>
      <x:c r="L6003" s="40" t="n">
        <x:f>ABS(K6003)</x:f>
        <x:v>0</x:v>
      </x:c>
      <x:c r="M6003" s="41" t="str">
        <x:v>lstm-soil-v1</x:v>
      </x:c>
    </x:row>
    <x:row r="6004">
      <x:c r="A6004" s="38" t="str">
        <x:v>7月30日现场数据</x:v>
      </x:c>
      <x:c r="B6004" s="39" t="str">
        <x:v>2026-08-05T18:35:00</x:v>
      </x:c>
      <x:c r="C6004" s="39" t="str">
        <x:v>2026-08-05T18:40:00</x:v>
      </x:c>
      <x:c r="D6004" s="47" t="n">
        <x:v>5</x:v>
      </x:c>
      <x:c r="E6004" s="40" t="n">
        <x:v>17.9</x:v>
      </x:c>
      <x:c r="F6004" s="40" t="n">
        <x:v>16.4639892578125</x:v>
      </x:c>
      <x:c r="G6004" s="40" t="n">
        <x:v>17.9</x:v>
      </x:c>
      <x:c r="H6004" s="40" t="n">
        <x:f>F6004-E6004</x:f>
        <x:v>-1.4360107421874986</x:v>
      </x:c>
      <x:c r="I6004" s="40" t="n">
        <x:f>ABS(H6004)</x:f>
        <x:v>1.4360107421874986</x:v>
      </x:c>
      <x:c r="J6004" s="40" t="n">
        <x:f>H6004^2</x:f>
        <x:v>2.0621268516778906</x:v>
      </x:c>
      <x:c r="K6004" s="40" t="n">
        <x:f>G6004-E6004</x:f>
        <x:v>0</x:v>
      </x:c>
      <x:c r="L6004" s="40" t="n">
        <x:f>ABS(K6004)</x:f>
        <x:v>0</x:v>
      </x:c>
      <x:c r="M6004" s="41" t="str">
        <x:v>lstm-soil-v1</x:v>
      </x:c>
    </x:row>
    <x:row r="6005">
      <x:c r="A6005" s="38" t="str">
        <x:v>7月30日现场数据</x:v>
      </x:c>
      <x:c r="B6005" s="39" t="str">
        <x:v>2026-08-05T18:35:00</x:v>
      </x:c>
      <x:c r="C6005" s="39" t="str">
        <x:v>2026-08-05T18:50:00</x:v>
      </x:c>
      <x:c r="D6005" s="47" t="n">
        <x:v>15</x:v>
      </x:c>
      <x:c r="E6005" s="40" t="n">
        <x:v>17.9</x:v>
      </x:c>
      <x:c r="F6005" s="40" t="n">
        <x:v>16.554096221923828</x:v>
      </x:c>
      <x:c r="G6005" s="40" t="n">
        <x:v>17.9</x:v>
      </x:c>
      <x:c r="H6005" s="40" t="n">
        <x:f>F6005-E6005</x:f>
        <x:v>-1.3459037780761705</x:v>
      </x:c>
      <x:c r="I6005" s="40" t="n">
        <x:f>ABS(H6005)</x:f>
        <x:v>1.3459037780761705</x:v>
      </x:c>
      <x:c r="J6005" s="40" t="n">
        <x:f>H6005^2</x:f>
        <x:v>1.8114569798397095</x:v>
      </x:c>
      <x:c r="K6005" s="40" t="n">
        <x:f>G6005-E6005</x:f>
        <x:v>0</x:v>
      </x:c>
      <x:c r="L6005" s="40" t="n">
        <x:f>ABS(K6005)</x:f>
        <x:v>0</x:v>
      </x:c>
      <x:c r="M6005" s="41" t="str">
        <x:v>lstm-soil-v1</x:v>
      </x:c>
    </x:row>
    <x:row r="6006">
      <x:c r="A6006" s="38" t="str">
        <x:v>7月30日现场数据</x:v>
      </x:c>
      <x:c r="B6006" s="39" t="str">
        <x:v>2026-08-05T18:35:00</x:v>
      </x:c>
      <x:c r="C6006" s="39" t="str">
        <x:v>2026-08-05T19:05:00</x:v>
      </x:c>
      <x:c r="D6006" s="47" t="n">
        <x:v>30</x:v>
      </x:c>
      <x:c r="E6006" s="40" t="n">
        <x:v>17.9</x:v>
      </x:c>
      <x:c r="F6006" s="40" t="n">
        <x:v>16.848880767822266</x:v>
      </x:c>
      <x:c r="G6006" s="40" t="n">
        <x:v>17.9</x:v>
      </x:c>
      <x:c r="H6006" s="40" t="n">
        <x:f>F6006-E6006</x:f>
        <x:v>-1.051119232177733</x:v>
      </x:c>
      <x:c r="I6006" s="40" t="n">
        <x:f>ABS(H6006)</x:f>
        <x:v>1.051119232177733</x:v>
      </x:c>
      <x:c r="J6006" s="40" t="n">
        <x:f>H6006^2</x:f>
        <x:v>1.1048516402539068</x:v>
      </x:c>
      <x:c r="K6006" s="40" t="n">
        <x:f>G6006-E6006</x:f>
        <x:v>0</x:v>
      </x:c>
      <x:c r="L6006" s="40" t="n">
        <x:f>ABS(K6006)</x:f>
        <x:v>0</x:v>
      </x:c>
      <x:c r="M6006" s="41" t="str">
        <x:v>lstm-soil-v1</x:v>
      </x:c>
    </x:row>
    <x:row r="6007">
      <x:c r="A6007" s="38" t="str">
        <x:v>7月30日现场数据</x:v>
      </x:c>
      <x:c r="B6007" s="39" t="str">
        <x:v>2026-08-05T18:35:00</x:v>
      </x:c>
      <x:c r="C6007" s="39" t="str">
        <x:v>2026-08-05T19:35:00</x:v>
      </x:c>
      <x:c r="D6007" s="47" t="n">
        <x:v>60</x:v>
      </x:c>
      <x:c r="E6007" s="40" t="n">
        <x:v>17.9</x:v>
      </x:c>
      <x:c r="F6007" s="40" t="n">
        <x:v>18.61560821533203</x:v>
      </x:c>
      <x:c r="G6007" s="40" t="n">
        <x:v>17.9</x:v>
      </x:c>
      <x:c r="H6007" s="40" t="n">
        <x:f>F6007-E6007</x:f>
        <x:v>0.7156082153320327</x:v>
      </x:c>
      <x:c r="I6007" s="40" t="n">
        <x:f>ABS(H6007)</x:f>
        <x:v>0.7156082153320327</x:v>
      </x:c>
      <x:c r="J6007" s="40" t="n">
        <x:f>H6007^2</x:f>
        <x:v>0.5120951178506968</x:v>
      </x:c>
      <x:c r="K6007" s="40" t="n">
        <x:f>G6007-E6007</x:f>
        <x:v>0</x:v>
      </x:c>
      <x:c r="L6007" s="40" t="n">
        <x:f>ABS(K6007)</x:f>
        <x:v>0</x:v>
      </x:c>
      <x:c r="M6007" s="41" t="str">
        <x:v>lstm-soil-v1</x:v>
      </x:c>
    </x:row>
    <x:row r="6008">
      <x:c r="A6008" s="38" t="str">
        <x:v>7月30日现场数据</x:v>
      </x:c>
      <x:c r="B6008" s="39" t="str">
        <x:v>2026-08-05T18:40:00</x:v>
      </x:c>
      <x:c r="C6008" s="39" t="str">
        <x:v>2026-08-05T18:45:00</x:v>
      </x:c>
      <x:c r="D6008" s="47" t="n">
        <x:v>5</x:v>
      </x:c>
      <x:c r="E6008" s="40" t="n">
        <x:v>17.9</x:v>
      </x:c>
      <x:c r="F6008" s="40" t="n">
        <x:v>16.46414566040039</x:v>
      </x:c>
      <x:c r="G6008" s="40" t="n">
        <x:v>17.9</x:v>
      </x:c>
      <x:c r="H6008" s="40" t="n">
        <x:f>F6008-E6008</x:f>
        <x:v>-1.435854339599608</x:v>
      </x:c>
      <x:c r="I6008" s="40" t="n">
        <x:f>ABS(H6008)</x:f>
        <x:v>1.435854339599608</x:v>
      </x:c>
      <x:c r="J6008" s="40" t="n">
        <x:f>H6008^2</x:f>
        <x:v>2.061677684547026</x:v>
      </x:c>
      <x:c r="K6008" s="40" t="n">
        <x:f>G6008-E6008</x:f>
        <x:v>0</x:v>
      </x:c>
      <x:c r="L6008" s="40" t="n">
        <x:f>ABS(K6008)</x:f>
        <x:v>0</x:v>
      </x:c>
      <x:c r="M6008" s="41" t="str">
        <x:v>lstm-soil-v1</x:v>
      </x:c>
    </x:row>
    <x:row r="6009">
      <x:c r="A6009" s="38" t="str">
        <x:v>7月30日现场数据</x:v>
      </x:c>
      <x:c r="B6009" s="39" t="str">
        <x:v>2026-08-05T18:40:00</x:v>
      </x:c>
      <x:c r="C6009" s="39" t="str">
        <x:v>2026-08-05T18:55:00</x:v>
      </x:c>
      <x:c r="D6009" s="47" t="n">
        <x:v>15</x:v>
      </x:c>
      <x:c r="E6009" s="40" t="n">
        <x:v>17.9</x:v>
      </x:c>
      <x:c r="F6009" s="40" t="n">
        <x:v>16.554187774658203</x:v>
      </x:c>
      <x:c r="G6009" s="40" t="n">
        <x:v>17.9</x:v>
      </x:c>
      <x:c r="H6009" s="40" t="n">
        <x:f>F6009-E6009</x:f>
        <x:v>-1.3458122253417955</x:v>
      </x:c>
      <x:c r="I6009" s="40" t="n">
        <x:f>ABS(H6009)</x:f>
        <x:v>1.3458122253417955</x:v>
      </x:c>
      <x:c r="J6009" s="40" t="n">
        <x:f>H6009^2</x:f>
        <x:v>1.8112105458794356</x:v>
      </x:c>
      <x:c r="K6009" s="40" t="n">
        <x:f>G6009-E6009</x:f>
        <x:v>0</x:v>
      </x:c>
      <x:c r="L6009" s="40" t="n">
        <x:f>ABS(K6009)</x:f>
        <x:v>0</x:v>
      </x:c>
      <x:c r="M6009" s="41" t="str">
        <x:v>lstm-soil-v1</x:v>
      </x:c>
    </x:row>
    <x:row r="6010">
      <x:c r="A6010" s="38" t="str">
        <x:v>7月30日现场数据</x:v>
      </x:c>
      <x:c r="B6010" s="39" t="str">
        <x:v>2026-08-05T18:40:00</x:v>
      </x:c>
      <x:c r="C6010" s="39" t="str">
        <x:v>2026-08-05T19:10:00</x:v>
      </x:c>
      <x:c r="D6010" s="47" t="n">
        <x:v>30</x:v>
      </x:c>
      <x:c r="E6010" s="40" t="n">
        <x:v>17.9</x:v>
      </x:c>
      <x:c r="F6010" s="40" t="n">
        <x:v>16.849769592285156</x:v>
      </x:c>
      <x:c r="G6010" s="40" t="n">
        <x:v>17.9</x:v>
      </x:c>
      <x:c r="H6010" s="40" t="n">
        <x:f>F6010-E6010</x:f>
        <x:v>-1.0502304077148423</x:v>
      </x:c>
      <x:c r="I6010" s="40" t="n">
        <x:f>ABS(H6010)</x:f>
        <x:v>1.0502304077148423</x:v>
      </x:c>
      <x:c r="J6010" s="40" t="n">
        <x:f>H6010^2</x:f>
        <x:v>1.102983909288884</x:v>
      </x:c>
      <x:c r="K6010" s="40" t="n">
        <x:f>G6010-E6010</x:f>
        <x:v>0</x:v>
      </x:c>
      <x:c r="L6010" s="40" t="n">
        <x:f>ABS(K6010)</x:f>
        <x:v>0</x:v>
      </x:c>
      <x:c r="M6010" s="41" t="str">
        <x:v>lstm-soil-v1</x:v>
      </x:c>
    </x:row>
    <x:row r="6011">
      <x:c r="A6011" s="38" t="str">
        <x:v>7月30日现场数据</x:v>
      </x:c>
      <x:c r="B6011" s="39" t="str">
        <x:v>2026-08-05T18:40:00</x:v>
      </x:c>
      <x:c r="C6011" s="39" t="str">
        <x:v>2026-08-05T19:40:00</x:v>
      </x:c>
      <x:c r="D6011" s="47" t="n">
        <x:v>60</x:v>
      </x:c>
      <x:c r="E6011" s="40" t="n">
        <x:v>17.9</x:v>
      </x:c>
      <x:c r="F6011" s="40" t="n">
        <x:v>18.616432189941406</x:v>
      </x:c>
      <x:c r="G6011" s="40" t="n">
        <x:v>17.9</x:v>
      </x:c>
      <x:c r="H6011" s="40" t="n">
        <x:f>F6011-E6011</x:f>
        <x:v>0.7164321899414077</x:v>
      </x:c>
      <x:c r="I6011" s="40" t="n">
        <x:f>ABS(H6011)</x:f>
        <x:v>0.7164321899414077</x:v>
      </x:c>
      <x:c r="J6011" s="40" t="n">
        <x:f>H6011^2</x:f>
        <x:v>0.5132750827842413</x:v>
      </x:c>
      <x:c r="K6011" s="40" t="n">
        <x:f>G6011-E6011</x:f>
        <x:v>0</x:v>
      </x:c>
      <x:c r="L6011" s="40" t="n">
        <x:f>ABS(K6011)</x:f>
        <x:v>0</x:v>
      </x:c>
      <x:c r="M6011" s="41" t="str">
        <x:v>lstm-soil-v1</x:v>
      </x:c>
    </x:row>
    <x:row r="6012">
      <x:c r="A6012" s="38" t="str">
        <x:v>7月30日现场数据</x:v>
      </x:c>
      <x:c r="B6012" s="39" t="str">
        <x:v>2026-08-05T18:45:00</x:v>
      </x:c>
      <x:c r="C6012" s="39" t="str">
        <x:v>2026-08-05T18:50:00</x:v>
      </x:c>
      <x:c r="D6012" s="47" t="n">
        <x:v>5</x:v>
      </x:c>
      <x:c r="E6012" s="40" t="n">
        <x:v>17.9</x:v>
      </x:c>
      <x:c r="F6012" s="40" t="n">
        <x:v>16.46404266357422</x:v>
      </x:c>
      <x:c r="G6012" s="40" t="n">
        <x:v>17.9</x:v>
      </x:c>
      <x:c r="H6012" s="40" t="n">
        <x:f>F6012-E6012</x:f>
        <x:v>-1.4359573364257798</x:v>
      </x:c>
      <x:c r="I6012" s="40" t="n">
        <x:f>ABS(H6012)</x:f>
        <x:v>1.4359573364257798</x:v>
      </x:c>
      <x:c r="J6012" s="40" t="n">
        <x:f>H6012^2</x:f>
        <x:v>2.06197347203502</x:v>
      </x:c>
      <x:c r="K6012" s="40" t="n">
        <x:f>G6012-E6012</x:f>
        <x:v>0</x:v>
      </x:c>
      <x:c r="L6012" s="40" t="n">
        <x:f>ABS(K6012)</x:f>
        <x:v>0</x:v>
      </x:c>
      <x:c r="M6012" s="41" t="str">
        <x:v>lstm-soil-v1</x:v>
      </x:c>
    </x:row>
    <x:row r="6013">
      <x:c r="A6013" s="38" t="str">
        <x:v>7月30日现场数据</x:v>
      </x:c>
      <x:c r="B6013" s="39" t="str">
        <x:v>2026-08-05T18:45:00</x:v>
      </x:c>
      <x:c r="C6013" s="39" t="str">
        <x:v>2026-08-05T19:00:00</x:v>
      </x:c>
      <x:c r="D6013" s="47" t="n">
        <x:v>15</x:v>
      </x:c>
      <x:c r="E6013" s="40" t="n">
        <x:v>17.9</x:v>
      </x:c>
      <x:c r="F6013" s="40" t="n">
        <x:v>16.554058074951172</x:v>
      </x:c>
      <x:c r="G6013" s="40" t="n">
        <x:v>17.9</x:v>
      </x:c>
      <x:c r="H6013" s="40" t="n">
        <x:f>F6013-E6013</x:f>
        <x:v>-1.3459419250488267</x:v>
      </x:c>
      <x:c r="I6013" s="40" t="n">
        <x:f>ABS(H6013)</x:f>
        <x:v>1.3459419250488267</x:v>
      </x:c>
      <x:c r="J6013" s="40" t="n">
        <x:f>H6013^2</x:f>
        <x:v>1.8115596656041415</x:v>
      </x:c>
      <x:c r="K6013" s="40" t="n">
        <x:f>G6013-E6013</x:f>
        <x:v>0</x:v>
      </x:c>
      <x:c r="L6013" s="40" t="n">
        <x:f>ABS(K6013)</x:f>
        <x:v>0</x:v>
      </x:c>
      <x:c r="M6013" s="41" t="str">
        <x:v>lstm-soil-v1</x:v>
      </x:c>
    </x:row>
    <x:row r="6014">
      <x:c r="A6014" s="38" t="str">
        <x:v>7月30日现场数据</x:v>
      </x:c>
      <x:c r="B6014" s="39" t="str">
        <x:v>2026-08-05T18:45:00</x:v>
      </x:c>
      <x:c r="C6014" s="39" t="str">
        <x:v>2026-08-05T19:15:00</x:v>
      </x:c>
      <x:c r="D6014" s="47" t="n">
        <x:v>30</x:v>
      </x:c>
      <x:c r="E6014" s="40" t="n">
        <x:v>17.9</x:v>
      </x:c>
      <x:c r="F6014" s="40" t="n">
        <x:v>16.849853515625</x:v>
      </x:c>
      <x:c r="G6014" s="40" t="n">
        <x:v>17.9</x:v>
      </x:c>
      <x:c r="H6014" s="40" t="n">
        <x:f>F6014-E6014</x:f>
        <x:v>-1.0501464843749986</x:v>
      </x:c>
      <x:c r="I6014" s="40" t="n">
        <x:f>ABS(H6014)</x:f>
        <x:v>1.0501464843749986</x:v>
      </x:c>
      <x:c r="J6014" s="40" t="n">
        <x:f>H6014^2</x:f>
        <x:v>1.102807638645169</x:v>
      </x:c>
      <x:c r="K6014" s="40" t="n">
        <x:f>G6014-E6014</x:f>
        <x:v>0</x:v>
      </x:c>
      <x:c r="L6014" s="40" t="n">
        <x:f>ABS(K6014)</x:f>
        <x:v>0</x:v>
      </x:c>
      <x:c r="M6014" s="41" t="str">
        <x:v>lstm-soil-v1</x:v>
      </x:c>
    </x:row>
    <x:row r="6015">
      <x:c r="A6015" s="38" t="str">
        <x:v>7月30日现场数据</x:v>
      </x:c>
      <x:c r="B6015" s="39" t="str">
        <x:v>2026-08-05T18:45:00</x:v>
      </x:c>
      <x:c r="C6015" s="39" t="str">
        <x:v>2026-08-05T19:45:00</x:v>
      </x:c>
      <x:c r="D6015" s="47" t="n">
        <x:v>60</x:v>
      </x:c>
      <x:c r="E6015" s="40" t="n">
        <x:v>17.8</x:v>
      </x:c>
      <x:c r="F6015" s="40" t="n">
        <x:v>18.616390228271484</x:v>
      </x:c>
      <x:c r="G6015" s="40" t="n">
        <x:v>17.9</x:v>
      </x:c>
      <x:c r="H6015" s="40" t="n">
        <x:f>F6015-E6015</x:f>
        <x:v>0.8163902282714837</x:v>
      </x:c>
      <x:c r="I6015" s="40" t="n">
        <x:f>ABS(H6015)</x:f>
        <x:v>0.8163902282714837</x:v>
      </x:c>
      <x:c r="J6015" s="40" t="n">
        <x:f>H6015^2</x:f>
        <x:v>0.6664930048171652</x:v>
      </x:c>
      <x:c r="K6015" s="40" t="n">
        <x:f>G6015-E6015</x:f>
        <x:v>0.09999999999999787</x:v>
      </x:c>
      <x:c r="L6015" s="40" t="n">
        <x:f>ABS(K6015)</x:f>
        <x:v>0.09999999999999787</x:v>
      </x:c>
      <x:c r="M6015" s="41" t="str">
        <x:v>lstm-soil-v1</x:v>
      </x:c>
    </x:row>
    <x:row r="6016">
      <x:c r="A6016" s="38" t="str">
        <x:v>7月30日现场数据</x:v>
      </x:c>
      <x:c r="B6016" s="39" t="str">
        <x:v>2026-08-05T18:50:00</x:v>
      </x:c>
      <x:c r="C6016" s="39" t="str">
        <x:v>2026-08-05T18:55:00</x:v>
      </x:c>
      <x:c r="D6016" s="47" t="n">
        <x:v>5</x:v>
      </x:c>
      <x:c r="E6016" s="40" t="n">
        <x:v>17.9</x:v>
      </x:c>
      <x:c r="F6016" s="40" t="n">
        <x:v>16.46405029296875</x:v>
      </x:c>
      <x:c r="G6016" s="40" t="n">
        <x:v>17.9</x:v>
      </x:c>
      <x:c r="H6016" s="40" t="n">
        <x:f>F6016-E6016</x:f>
        <x:v>-1.4359497070312486</x:v>
      </x:c>
      <x:c r="I6016" s="40" t="n">
        <x:f>ABS(H6016)</x:f>
        <x:v>1.4359497070312486</x:v>
      </x:c>
      <x:c r="J6016" s="40" t="n">
        <x:f>H6016^2</x:f>
        <x:v>2.0619515611231285</x:v>
      </x:c>
      <x:c r="K6016" s="40" t="n">
        <x:f>G6016-E6016</x:f>
        <x:v>0</x:v>
      </x:c>
      <x:c r="L6016" s="40" t="n">
        <x:f>ABS(K6016)</x:f>
        <x:v>0</x:v>
      </x:c>
      <x:c r="M6016" s="41" t="str">
        <x:v>lstm-soil-v1</x:v>
      </x:c>
    </x:row>
    <x:row r="6017">
      <x:c r="A6017" s="38" t="str">
        <x:v>7月30日现场数据</x:v>
      </x:c>
      <x:c r="B6017" s="39" t="str">
        <x:v>2026-08-05T18:50:00</x:v>
      </x:c>
      <x:c r="C6017" s="39" t="str">
        <x:v>2026-08-05T19:05:00</x:v>
      </x:c>
      <x:c r="D6017" s="47" t="n">
        <x:v>15</x:v>
      </x:c>
      <x:c r="E6017" s="40" t="n">
        <x:v>17.9</x:v>
      </x:c>
      <x:c r="F6017" s="40" t="n">
        <x:v>16.553943634033203</x:v>
      </x:c>
      <x:c r="G6017" s="40" t="n">
        <x:v>17.9</x:v>
      </x:c>
      <x:c r="H6017" s="40" t="n">
        <x:f>F6017-E6017</x:f>
        <x:v>-1.3460563659667955</x:v>
      </x:c>
      <x:c r="I6017" s="40" t="n">
        <x:f>ABS(H6017)</x:f>
        <x:v>1.3460563659667955</x:v>
      </x:c>
      <x:c r="J6017" s="40" t="n">
        <x:f>H6017^2</x:f>
        <x:v>1.8118677403597356</x:v>
      </x:c>
      <x:c r="K6017" s="40" t="n">
        <x:f>G6017-E6017</x:f>
        <x:v>0</x:v>
      </x:c>
      <x:c r="L6017" s="40" t="n">
        <x:f>ABS(K6017)</x:f>
        <x:v>0</x:v>
      </x:c>
      <x:c r="M6017" s="41" t="str">
        <x:v>lstm-soil-v1</x:v>
      </x:c>
    </x:row>
    <x:row r="6018">
      <x:c r="A6018" s="38" t="str">
        <x:v>7月30日现场数据</x:v>
      </x:c>
      <x:c r="B6018" s="39" t="str">
        <x:v>2026-08-05T18:50:00</x:v>
      </x:c>
      <x:c r="C6018" s="39" t="str">
        <x:v>2026-08-05T19:20:00</x:v>
      </x:c>
      <x:c r="D6018" s="47" t="n">
        <x:v>30</x:v>
      </x:c>
      <x:c r="E6018" s="40" t="n">
        <x:v>17.9</x:v>
      </x:c>
      <x:c r="F6018" s="40" t="n">
        <x:v>16.849998474121094</x:v>
      </x:c>
      <x:c r="G6018" s="40" t="n">
        <x:v>17.9</x:v>
      </x:c>
      <x:c r="H6018" s="40" t="n">
        <x:f>F6018-E6018</x:f>
        <x:v>-1.0500015258789048</x:v>
      </x:c>
      <x:c r="I6018" s="40" t="n">
        <x:f>ABS(H6018)</x:f>
        <x:v>1.0500015258789048</x:v>
      </x:c>
      <x:c r="J6018" s="40" t="n">
        <x:f>H6018^2</x:f>
        <x:v>1.1025032043480285</x:v>
      </x:c>
      <x:c r="K6018" s="40" t="n">
        <x:f>G6018-E6018</x:f>
        <x:v>0</x:v>
      </x:c>
      <x:c r="L6018" s="40" t="n">
        <x:f>ABS(K6018)</x:f>
        <x:v>0</x:v>
      </x:c>
      <x:c r="M6018" s="41" t="str">
        <x:v>lstm-soil-v1</x:v>
      </x:c>
    </x:row>
    <x:row r="6019">
      <x:c r="A6019" s="38" t="str">
        <x:v>7月30日现场数据</x:v>
      </x:c>
      <x:c r="B6019" s="39" t="str">
        <x:v>2026-08-05T18:50:00</x:v>
      </x:c>
      <x:c r="C6019" s="39" t="str">
        <x:v>2026-08-05T19:50:00</x:v>
      </x:c>
      <x:c r="D6019" s="47" t="n">
        <x:v>60</x:v>
      </x:c>
      <x:c r="E6019" s="40" t="n">
        <x:v>17.9</x:v>
      </x:c>
      <x:c r="F6019" s="40" t="n">
        <x:v>18.616539001464844</x:v>
      </x:c>
      <x:c r="G6019" s="40" t="n">
        <x:v>17.9</x:v>
      </x:c>
      <x:c r="H6019" s="40" t="n">
        <x:f>F6019-E6019</x:f>
        <x:v>0.7165390014648452</x:v>
      </x:c>
      <x:c r="I6019" s="40" t="n">
        <x:f>ABS(H6019)</x:f>
        <x:v>0.7165390014648452</x:v>
      </x:c>
      <x:c r="J6019" s="40" t="n">
        <x:f>H6019^2</x:f>
        <x:v>0.5134281406202373</x:v>
      </x:c>
      <x:c r="K6019" s="40" t="n">
        <x:f>G6019-E6019</x:f>
        <x:v>0</x:v>
      </x:c>
      <x:c r="L6019" s="40" t="n">
        <x:f>ABS(K6019)</x:f>
        <x:v>0</x:v>
      </x:c>
      <x:c r="M6019" s="41" t="str">
        <x:v>lstm-soil-v1</x:v>
      </x:c>
    </x:row>
    <x:row r="6020">
      <x:c r="A6020" s="38" t="str">
        <x:v>7月30日现场数据</x:v>
      </x:c>
      <x:c r="B6020" s="39" t="str">
        <x:v>2026-08-05T18:55:00</x:v>
      </x:c>
      <x:c r="C6020" s="39" t="str">
        <x:v>2026-08-05T19:00:00</x:v>
      </x:c>
      <x:c r="D6020" s="47" t="n">
        <x:v>5</x:v>
      </x:c>
      <x:c r="E6020" s="40" t="n">
        <x:v>17.9</x:v>
      </x:c>
      <x:c r="F6020" s="40" t="n">
        <x:v>16.464130401611328</x:v>
      </x:c>
      <x:c r="G6020" s="40" t="n">
        <x:v>17.9</x:v>
      </x:c>
      <x:c r="H6020" s="40" t="n">
        <x:f>F6020-E6020</x:f>
        <x:v>-1.4358695983886705</x:v>
      </x:c>
      <x:c r="I6020" s="40" t="n">
        <x:f>ABS(H6020)</x:f>
        <x:v>1.4358695983886705</x:v>
      </x:c>
      <x:c r="J6020" s="40" t="n">
        <x:f>H6020^2</x:f>
        <x:v>2.061721503576842</x:v>
      </x:c>
      <x:c r="K6020" s="40" t="n">
        <x:f>G6020-E6020</x:f>
        <x:v>0</x:v>
      </x:c>
      <x:c r="L6020" s="40" t="n">
        <x:f>ABS(K6020)</x:f>
        <x:v>0</x:v>
      </x:c>
      <x:c r="M6020" s="41" t="str">
        <x:v>lstm-soil-v1</x:v>
      </x:c>
    </x:row>
    <x:row r="6021">
      <x:c r="A6021" s="38" t="str">
        <x:v>7月30日现场数据</x:v>
      </x:c>
      <x:c r="B6021" s="39" t="str">
        <x:v>2026-08-05T18:55:00</x:v>
      </x:c>
      <x:c r="C6021" s="39" t="str">
        <x:v>2026-08-05T19:10:00</x:v>
      </x:c>
      <x:c r="D6021" s="47" t="n">
        <x:v>15</x:v>
      </x:c>
      <x:c r="E6021" s="40" t="n">
        <x:v>17.9</x:v>
      </x:c>
      <x:c r="F6021" s="40" t="n">
        <x:v>16.553836822509766</x:v>
      </x:c>
      <x:c r="G6021" s="40" t="n">
        <x:v>17.9</x:v>
      </x:c>
      <x:c r="H6021" s="40" t="n">
        <x:f>F6021-E6021</x:f>
        <x:v>-1.346163177490233</x:v>
      </x:c>
      <x:c r="I6021" s="40" t="n">
        <x:f>ABS(H6021)</x:f>
        <x:v>1.346163177490233</x:v>
      </x:c>
      <x:c r="J6021" s="40" t="n">
        <x:f>H6021^2</x:f>
        <x:v>1.8121553004306004</x:v>
      </x:c>
      <x:c r="K6021" s="40" t="n">
        <x:f>G6021-E6021</x:f>
        <x:v>0</x:v>
      </x:c>
      <x:c r="L6021" s="40" t="n">
        <x:f>ABS(K6021)</x:f>
        <x:v>0</x:v>
      </x:c>
      <x:c r="M6021" s="41" t="str">
        <x:v>lstm-soil-v1</x:v>
      </x:c>
    </x:row>
    <x:row r="6022">
      <x:c r="A6022" s="38" t="str">
        <x:v>7月30日现场数据</x:v>
      </x:c>
      <x:c r="B6022" s="39" t="str">
        <x:v>2026-08-05T18:55:00</x:v>
      </x:c>
      <x:c r="C6022" s="39" t="str">
        <x:v>2026-08-05T19:25:00</x:v>
      </x:c>
      <x:c r="D6022" s="47" t="n">
        <x:v>30</x:v>
      </x:c>
      <x:c r="E6022" s="40" t="n">
        <x:v>17.9</x:v>
      </x:c>
      <x:c r="F6022" s="40" t="n">
        <x:v>16.850204467773438</x:v>
      </x:c>
      <x:c r="G6022" s="40" t="n">
        <x:v>17.9</x:v>
      </x:c>
      <x:c r="H6022" s="40" t="n">
        <x:f>F6022-E6022</x:f>
        <x:v>-1.049795532226561</x:v>
      </x:c>
      <x:c r="I6022" s="40" t="n">
        <x:f>ABS(H6022)</x:f>
        <x:v>1.049795532226561</x:v>
      </x:c>
      <x:c r="J6022" s="40" t="n">
        <x:f>H6022^2</x:f>
        <x:v>1.1020706594828487</x:v>
      </x:c>
      <x:c r="K6022" s="40" t="n">
        <x:f>G6022-E6022</x:f>
        <x:v>0</x:v>
      </x:c>
      <x:c r="L6022" s="40" t="n">
        <x:f>ABS(K6022)</x:f>
        <x:v>0</x:v>
      </x:c>
      <x:c r="M6022" s="41" t="str">
        <x:v>lstm-soil-v1</x:v>
      </x:c>
    </x:row>
    <x:row r="6023">
      <x:c r="A6023" s="38" t="str">
        <x:v>7月30日现场数据</x:v>
      </x:c>
      <x:c r="B6023" s="39" t="str">
        <x:v>2026-08-05T18:55:00</x:v>
      </x:c>
      <x:c r="C6023" s="39" t="str">
        <x:v>2026-08-05T19:55:00</x:v>
      </x:c>
      <x:c r="D6023" s="47" t="n">
        <x:v>60</x:v>
      </x:c>
      <x:c r="E6023" s="40" t="n">
        <x:v>17.9</x:v>
      </x:c>
      <x:c r="F6023" s="40" t="n">
        <x:v>18.616783142089844</x:v>
      </x:c>
      <x:c r="G6023" s="40" t="n">
        <x:v>17.9</x:v>
      </x:c>
      <x:c r="H6023" s="40" t="n">
        <x:f>F6023-E6023</x:f>
        <x:v>0.7167831420898452</x:v>
      </x:c>
      <x:c r="I6023" s="40" t="n">
        <x:f>ABS(H6023)</x:f>
        <x:v>0.7167831420898452</x:v>
      </x:c>
      <x:c r="J6023" s="40" t="n">
        <x:f>H6023^2</x:f>
        <x:v>0.5137780727841912</x:v>
      </x:c>
      <x:c r="K6023" s="40" t="n">
        <x:f>G6023-E6023</x:f>
        <x:v>0</x:v>
      </x:c>
      <x:c r="L6023" s="40" t="n">
        <x:f>ABS(K6023)</x:f>
        <x:v>0</x:v>
      </x:c>
      <x:c r="M6023" s="41" t="str">
        <x:v>lstm-soil-v1</x:v>
      </x:c>
    </x:row>
    <x:row r="6024">
      <x:c r="A6024" s="38" t="str">
        <x:v>7月30日现场数据</x:v>
      </x:c>
      <x:c r="B6024" s="39" t="str">
        <x:v>2026-08-05T19:00:00</x:v>
      </x:c>
      <x:c r="C6024" s="39" t="str">
        <x:v>2026-08-05T19:05:00</x:v>
      </x:c>
      <x:c r="D6024" s="47" t="n">
        <x:v>5</x:v>
      </x:c>
      <x:c r="E6024" s="40" t="n">
        <x:v>17.9</x:v>
      </x:c>
      <x:c r="F6024" s="40" t="n">
        <x:v>16.46181869506836</x:v>
      </x:c>
      <x:c r="G6024" s="40" t="n">
        <x:v>17.9</x:v>
      </x:c>
      <x:c r="H6024" s="40" t="n">
        <x:f>F6024-E6024</x:f>
        <x:v>-1.4381813049316392</x:v>
      </x:c>
      <x:c r="I6024" s="40" t="n">
        <x:f>ABS(H6024)</x:f>
        <x:v>1.4381813049316392</x:v>
      </x:c>
      <x:c r="J6024" s="40" t="n">
        <x:f>H6024^2</x:f>
        <x:v>2.0683654658548725</x:v>
      </x:c>
      <x:c r="K6024" s="40" t="n">
        <x:f>G6024-E6024</x:f>
        <x:v>0</x:v>
      </x:c>
      <x:c r="L6024" s="40" t="n">
        <x:f>ABS(K6024)</x:f>
        <x:v>0</x:v>
      </x:c>
      <x:c r="M6024" s="41" t="str">
        <x:v>lstm-soil-v1</x:v>
      </x:c>
    </x:row>
    <x:row r="6025">
      <x:c r="A6025" s="38" t="str">
        <x:v>7月30日现场数据</x:v>
      </x:c>
      <x:c r="B6025" s="39" t="str">
        <x:v>2026-08-05T19:00:00</x:v>
      </x:c>
      <x:c r="C6025" s="39" t="str">
        <x:v>2026-08-05T19:15:00</x:v>
      </x:c>
      <x:c r="D6025" s="47" t="n">
        <x:v>15</x:v>
      </x:c>
      <x:c r="E6025" s="40" t="n">
        <x:v>17.9</x:v>
      </x:c>
      <x:c r="F6025" s="40" t="n">
        <x:v>16.55322265625</x:v>
      </x:c>
      <x:c r="G6025" s="40" t="n">
        <x:v>17.9</x:v>
      </x:c>
      <x:c r="H6025" s="40" t="n">
        <x:f>F6025-E6025</x:f>
        <x:v>-1.3467773437499986</x:v>
      </x:c>
      <x:c r="I6025" s="40" t="n">
        <x:f>ABS(H6025)</x:f>
        <x:v>1.3467773437499986</x:v>
      </x:c>
      <x:c r="J6025" s="40" t="n">
        <x:f>H6025^2</x:f>
        <x:v>1.813809213638302</x:v>
      </x:c>
      <x:c r="K6025" s="40" t="n">
        <x:f>G6025-E6025</x:f>
        <x:v>0</x:v>
      </x:c>
      <x:c r="L6025" s="40" t="n">
        <x:f>ABS(K6025)</x:f>
        <x:v>0</x:v>
      </x:c>
      <x:c r="M6025" s="41" t="str">
        <x:v>lstm-soil-v1</x:v>
      </x:c>
    </x:row>
    <x:row r="6026">
      <x:c r="A6026" s="38" t="str">
        <x:v>7月30日现场数据</x:v>
      </x:c>
      <x:c r="B6026" s="39" t="str">
        <x:v>2026-08-05T19:00:00</x:v>
      </x:c>
      <x:c r="C6026" s="39" t="str">
        <x:v>2026-08-05T19:30:00</x:v>
      </x:c>
      <x:c r="D6026" s="47" t="n">
        <x:v>30</x:v>
      </x:c>
      <x:c r="E6026" s="40" t="n">
        <x:v>17.9</x:v>
      </x:c>
      <x:c r="F6026" s="40" t="n">
        <x:v>16.848331451416016</x:v>
      </x:c>
      <x:c r="G6026" s="40" t="n">
        <x:v>17.9</x:v>
      </x:c>
      <x:c r="H6026" s="40" t="n">
        <x:f>F6026-E6026</x:f>
        <x:v>-1.051668548583983</x:v>
      </x:c>
      <x:c r="I6026" s="40" t="n">
        <x:f>ABS(H6026)</x:f>
        <x:v>1.051668548583983</x:v>
      </x:c>
      <x:c r="J6026" s="40" t="n">
        <x:f>H6026^2</x:f>
        <x:v>1.1060067360807413</x:v>
      </x:c>
      <x:c r="K6026" s="40" t="n">
        <x:f>G6026-E6026</x:f>
        <x:v>0</x:v>
      </x:c>
      <x:c r="L6026" s="40" t="n">
        <x:f>ABS(K6026)</x:f>
        <x:v>0</x:v>
      </x:c>
      <x:c r="M6026" s="41" t="str">
        <x:v>lstm-soil-v1</x:v>
      </x:c>
    </x:row>
    <x:row r="6027">
      <x:c r="A6027" s="38" t="str">
        <x:v>7月30日现场数据</x:v>
      </x:c>
      <x:c r="B6027" s="39" t="str">
        <x:v>2026-08-05T19:00:00</x:v>
      </x:c>
      <x:c r="C6027" s="39" t="str">
        <x:v>2026-08-05T20:00:00</x:v>
      </x:c>
      <x:c r="D6027" s="47" t="n">
        <x:v>60</x:v>
      </x:c>
      <x:c r="E6027" s="40" t="n">
        <x:v>17.9</x:v>
      </x:c>
      <x:c r="F6027" s="40" t="n">
        <x:v>18.611751556396484</x:v>
      </x:c>
      <x:c r="G6027" s="40" t="n">
        <x:v>17.9</x:v>
      </x:c>
      <x:c r="H6027" s="40" t="n">
        <x:f>F6027-E6027</x:f>
        <x:v>0.7117515563964858</x:v>
      </x:c>
      <x:c r="I6027" s="40" t="n">
        <x:f>ABS(H6027)</x:f>
        <x:v>0.7117515563964858</x:v>
      </x:c>
      <x:c r="J6027" s="40" t="n">
        <x:f>H6027^2</x:f>
        <x:v>0.5065902780328199</x:v>
      </x:c>
      <x:c r="K6027" s="40" t="n">
        <x:f>G6027-E6027</x:f>
        <x:v>0</x:v>
      </x:c>
      <x:c r="L6027" s="40" t="n">
        <x:f>ABS(K6027)</x:f>
        <x:v>0</x:v>
      </x:c>
      <x:c r="M6027" s="41" t="str">
        <x:v>lstm-soil-v1</x:v>
      </x:c>
    </x:row>
    <x:row r="6028">
      <x:c r="A6028" s="38" t="str">
        <x:v>7月30日现场数据</x:v>
      </x:c>
      <x:c r="B6028" s="39" t="str">
        <x:v>2026-08-05T19:05:00</x:v>
      </x:c>
      <x:c r="C6028" s="39" t="str">
        <x:v>2026-08-05T19:10:00</x:v>
      </x:c>
      <x:c r="D6028" s="47" t="n">
        <x:v>5</x:v>
      </x:c>
      <x:c r="E6028" s="40" t="n">
        <x:v>17.9</x:v>
      </x:c>
      <x:c r="F6028" s="40" t="n">
        <x:v>16.4600830078125</x:v>
      </x:c>
      <x:c r="G6028" s="40" t="n">
        <x:v>17.9</x:v>
      </x:c>
      <x:c r="H6028" s="40" t="n">
        <x:f>F6028-E6028</x:f>
        <x:v>-1.4399169921874986</x:v>
      </x:c>
      <x:c r="I6028" s="40" t="n">
        <x:f>ABS(H6028)</x:f>
        <x:v>1.4399169921874986</x:v>
      </x:c>
      <x:c r="J6028" s="40" t="n">
        <x:f>H6028^2</x:f>
        <x:v>2.0733609443902927</x:v>
      </x:c>
      <x:c r="K6028" s="40" t="n">
        <x:f>G6028-E6028</x:f>
        <x:v>0</x:v>
      </x:c>
      <x:c r="L6028" s="40" t="n">
        <x:f>ABS(K6028)</x:f>
        <x:v>0</x:v>
      </x:c>
      <x:c r="M6028" s="41" t="str">
        <x:v>lstm-soil-v1</x:v>
      </x:c>
    </x:row>
    <x:row r="6029">
      <x:c r="A6029" s="38" t="str">
        <x:v>7月30日现场数据</x:v>
      </x:c>
      <x:c r="B6029" s="39" t="str">
        <x:v>2026-08-05T19:05:00</x:v>
      </x:c>
      <x:c r="C6029" s="39" t="str">
        <x:v>2026-08-05T19:20:00</x:v>
      </x:c>
      <x:c r="D6029" s="47" t="n">
        <x:v>15</x:v>
      </x:c>
      <x:c r="E6029" s="40" t="n">
        <x:v>17.9</x:v>
      </x:c>
      <x:c r="F6029" s="40" t="n">
        <x:v>16.55229949951172</x:v>
      </x:c>
      <x:c r="G6029" s="40" t="n">
        <x:v>17.9</x:v>
      </x:c>
      <x:c r="H6029" s="40" t="n">
        <x:f>F6029-E6029</x:f>
        <x:v>-1.3477005004882798</x:v>
      </x:c>
      <x:c r="I6029" s="40" t="n">
        <x:f>ABS(H6029)</x:f>
        <x:v>1.3477005004882798</x:v>
      </x:c>
      <x:c r="J6029" s="40" t="n">
        <x:f>H6029^2</x:f>
        <x:v>1.81629663901636</x:v>
      </x:c>
      <x:c r="K6029" s="40" t="n">
        <x:f>G6029-E6029</x:f>
        <x:v>0</x:v>
      </x:c>
      <x:c r="L6029" s="40" t="n">
        <x:f>ABS(K6029)</x:f>
        <x:v>0</x:v>
      </x:c>
      <x:c r="M6029" s="41" t="str">
        <x:v>lstm-soil-v1</x:v>
      </x:c>
    </x:row>
    <x:row r="6030">
      <x:c r="A6030" s="38" t="str">
        <x:v>7月30日现场数据</x:v>
      </x:c>
      <x:c r="B6030" s="39" t="str">
        <x:v>2026-08-05T19:05:00</x:v>
      </x:c>
      <x:c r="C6030" s="39" t="str">
        <x:v>2026-08-05T19:35:00</x:v>
      </x:c>
      <x:c r="D6030" s="47" t="n">
        <x:v>30</x:v>
      </x:c>
      <x:c r="E6030" s="40" t="n">
        <x:v>17.9</x:v>
      </x:c>
      <x:c r="F6030" s="40" t="n">
        <x:v>16.846778869628906</x:v>
      </x:c>
      <x:c r="G6030" s="40" t="n">
        <x:v>17.9</x:v>
      </x:c>
      <x:c r="H6030" s="40" t="n">
        <x:f>F6030-E6030</x:f>
        <x:v>-1.0532211303710923</x:v>
      </x:c>
      <x:c r="I6030" s="40" t="n">
        <x:f>ABS(H6030)</x:f>
        <x:v>1.0532211303710923</x:v>
      </x:c>
      <x:c r="J6030" s="40" t="n">
        <x:f>H6030^2</x:f>
        <x:v>1.1092747494601614</x:v>
      </x:c>
      <x:c r="K6030" s="40" t="n">
        <x:f>G6030-E6030</x:f>
        <x:v>0</x:v>
      </x:c>
      <x:c r="L6030" s="40" t="n">
        <x:f>ABS(K6030)</x:f>
        <x:v>0</x:v>
      </x:c>
      <x:c r="M6030" s="41" t="str">
        <x:v>lstm-soil-v1</x:v>
      </x:c>
    </x:row>
    <x:row r="6031">
      <x:c r="A6031" s="38" t="str">
        <x:v>7月30日现场数据</x:v>
      </x:c>
      <x:c r="B6031" s="39" t="str">
        <x:v>2026-08-05T19:05:00</x:v>
      </x:c>
      <x:c r="C6031" s="39" t="str">
        <x:v>2026-08-05T20:05:00</x:v>
      </x:c>
      <x:c r="D6031" s="47" t="n">
        <x:v>60</x:v>
      </x:c>
      <x:c r="E6031" s="40" t="n">
        <x:v>17.9</x:v>
      </x:c>
      <x:c r="F6031" s="40" t="n">
        <x:v>18.60765838623047</x:v>
      </x:c>
      <x:c r="G6031" s="40" t="n">
        <x:v>17.9</x:v>
      </x:c>
      <x:c r="H6031" s="40" t="n">
        <x:f>F6031-E6031</x:f>
        <x:v>0.7076583862304702</x:v>
      </x:c>
      <x:c r="I6031" s="40" t="n">
        <x:f>ABS(H6031)</x:f>
        <x:v>0.7076583862304702</x:v>
      </x:c>
      <x:c r="J6031" s="40" t="n">
        <x:f>H6031^2</x:f>
        <x:v>0.5007803916023132</x:v>
      </x:c>
      <x:c r="K6031" s="40" t="n">
        <x:f>G6031-E6031</x:f>
        <x:v>0</x:v>
      </x:c>
      <x:c r="L6031" s="40" t="n">
        <x:f>ABS(K6031)</x:f>
        <x:v>0</x:v>
      </x:c>
      <x:c r="M6031" s="41" t="str">
        <x:v>lstm-soil-v1</x:v>
      </x:c>
    </x:row>
    <x:row r="6032">
      <x:c r="A6032" s="38" t="str">
        <x:v>7月30日现场数据</x:v>
      </x:c>
      <x:c r="B6032" s="39" t="str">
        <x:v>2026-08-05T19:10:00</x:v>
      </x:c>
      <x:c r="C6032" s="39" t="str">
        <x:v>2026-08-05T19:15:00</x:v>
      </x:c>
      <x:c r="D6032" s="47" t="n">
        <x:v>5</x:v>
      </x:c>
      <x:c r="E6032" s="40" t="n">
        <x:v>17.9</x:v>
      </x:c>
      <x:c r="F6032" s="40" t="n">
        <x:v>16.458850860595703</x:v>
      </x:c>
      <x:c r="G6032" s="40" t="n">
        <x:v>17.9</x:v>
      </x:c>
      <x:c r="H6032" s="40" t="n">
        <x:f>F6032-E6032</x:f>
        <x:v>-1.4411491394042955</x:v>
      </x:c>
      <x:c r="I6032" s="40" t="n">
        <x:f>ABS(H6032)</x:f>
        <x:v>1.4411491394042955</x:v>
      </x:c>
      <x:c r="J6032" s="40" t="n">
        <x:f>H6032^2</x:f>
        <x:v>2.0769108420057414</x:v>
      </x:c>
      <x:c r="K6032" s="40" t="n">
        <x:f>G6032-E6032</x:f>
        <x:v>0</x:v>
      </x:c>
      <x:c r="L6032" s="40" t="n">
        <x:f>ABS(K6032)</x:f>
        <x:v>0</x:v>
      </x:c>
      <x:c r="M6032" s="41" t="str">
        <x:v>lstm-soil-v1</x:v>
      </x:c>
    </x:row>
    <x:row r="6033">
      <x:c r="A6033" s="38" t="str">
        <x:v>7月30日现场数据</x:v>
      </x:c>
      <x:c r="B6033" s="39" t="str">
        <x:v>2026-08-05T19:10:00</x:v>
      </x:c>
      <x:c r="C6033" s="39" t="str">
        <x:v>2026-08-05T19:25:00</x:v>
      </x:c>
      <x:c r="D6033" s="47" t="n">
        <x:v>15</x:v>
      </x:c>
      <x:c r="E6033" s="40" t="n">
        <x:v>17.9</x:v>
      </x:c>
      <x:c r="F6033" s="40" t="n">
        <x:v>16.551551818847656</x:v>
      </x:c>
      <x:c r="G6033" s="40" t="n">
        <x:v>17.9</x:v>
      </x:c>
      <x:c r="H6033" s="40" t="n">
        <x:f>F6033-E6033</x:f>
        <x:v>-1.3484481811523423</x:v>
      </x:c>
      <x:c r="I6033" s="40" t="n">
        <x:f>ABS(H6033)</x:f>
        <x:v>1.3484481811523423</x:v>
      </x:c>
      <x:c r="J6033" s="40" t="n">
        <x:f>H6033^2</x:f>
        <x:v>1.8183124972530602</x:v>
      </x:c>
      <x:c r="K6033" s="40" t="n">
        <x:f>G6033-E6033</x:f>
        <x:v>0</x:v>
      </x:c>
      <x:c r="L6033" s="40" t="n">
        <x:f>ABS(K6033)</x:f>
        <x:v>0</x:v>
      </x:c>
      <x:c r="M6033" s="41" t="str">
        <x:v>lstm-soil-v1</x:v>
      </x:c>
    </x:row>
    <x:row r="6034">
      <x:c r="A6034" s="38" t="str">
        <x:v>7月30日现场数据</x:v>
      </x:c>
      <x:c r="B6034" s="39" t="str">
        <x:v>2026-08-05T19:10:00</x:v>
      </x:c>
      <x:c r="C6034" s="39" t="str">
        <x:v>2026-08-05T19:40:00</x:v>
      </x:c>
      <x:c r="D6034" s="47" t="n">
        <x:v>30</x:v>
      </x:c>
      <x:c r="E6034" s="40" t="n">
        <x:v>17.9</x:v>
      </x:c>
      <x:c r="F6034" s="40" t="n">
        <x:v>16.84653091430664</x:v>
      </x:c>
      <x:c r="G6034" s="40" t="n">
        <x:v>17.9</x:v>
      </x:c>
      <x:c r="H6034" s="40" t="n">
        <x:f>F6034-E6034</x:f>
        <x:v>-1.053469085693358</x:v>
      </x:c>
      <x:c r="I6034" s="40" t="n">
        <x:f>ABS(H6034)</x:f>
        <x:v>1.053469085693358</x:v>
      </x:c>
      <x:c r="J6034" s="40" t="n">
        <x:f>H6034^2</x:f>
        <x:v>1.1097971145115995</x:v>
      </x:c>
      <x:c r="K6034" s="40" t="n">
        <x:f>G6034-E6034</x:f>
        <x:v>0</x:v>
      </x:c>
      <x:c r="L6034" s="40" t="n">
        <x:f>ABS(K6034)</x:f>
        <x:v>0</x:v>
      </x:c>
      <x:c r="M6034" s="41" t="str">
        <x:v>lstm-soil-v1</x:v>
      </x:c>
    </x:row>
    <x:row r="6035">
      <x:c r="A6035" s="38" t="str">
        <x:v>7月30日现场数据</x:v>
      </x:c>
      <x:c r="B6035" s="39" t="str">
        <x:v>2026-08-05T19:10:00</x:v>
      </x:c>
      <x:c r="C6035" s="39" t="str">
        <x:v>2026-08-05T20:10:00</x:v>
      </x:c>
      <x:c r="D6035" s="47" t="n">
        <x:v>60</x:v>
      </x:c>
      <x:c r="E6035" s="40" t="n">
        <x:v>17.9</x:v>
      </x:c>
      <x:c r="F6035" s="40" t="n">
        <x:v>18.605484008789062</x:v>
      </x:c>
      <x:c r="G6035" s="40" t="n">
        <x:v>17.9</x:v>
      </x:c>
      <x:c r="H6035" s="40" t="n">
        <x:f>F6035-E6035</x:f>
        <x:v>0.7054840087890639</x:v>
      </x:c>
      <x:c r="I6035" s="40" t="n">
        <x:f>ABS(H6035)</x:f>
        <x:v>0.7054840087890639</x:v>
      </x:c>
      <x:c r="J6035" s="40" t="n">
        <x:f>H6035^2</x:f>
        <x:v>0.49770768665708803</x:v>
      </x:c>
      <x:c r="K6035" s="40" t="n">
        <x:f>G6035-E6035</x:f>
        <x:v>0</x:v>
      </x:c>
      <x:c r="L6035" s="40" t="n">
        <x:f>ABS(K6035)</x:f>
        <x:v>0</x:v>
      </x:c>
      <x:c r="M6035" s="41" t="str">
        <x:v>lstm-soil-v1</x:v>
      </x:c>
    </x:row>
    <x:row r="6036">
      <x:c r="A6036" s="38" t="str">
        <x:v>7月30日现场数据</x:v>
      </x:c>
      <x:c r="B6036" s="39" t="str">
        <x:v>2026-08-05T19:15:00</x:v>
      </x:c>
      <x:c r="C6036" s="39" t="str">
        <x:v>2026-08-05T19:20:00</x:v>
      </x:c>
      <x:c r="D6036" s="47" t="n">
        <x:v>5</x:v>
      </x:c>
      <x:c r="E6036" s="40" t="n">
        <x:v>17.9</x:v>
      </x:c>
      <x:c r="F6036" s="40" t="n">
        <x:v>16.457660675048828</x:v>
      </x:c>
      <x:c r="G6036" s="40" t="n">
        <x:v>17.9</x:v>
      </x:c>
      <x:c r="H6036" s="40" t="n">
        <x:f>F6036-E6036</x:f>
        <x:v>-1.4423393249511705</x:v>
      </x:c>
      <x:c r="I6036" s="40" t="n">
        <x:f>ABS(H6036)</x:f>
        <x:v>1.4423393249511705</x:v>
      </x:c>
      <x:c r="J6036" s="40" t="n">
        <x:f>H6036^2</x:f>
        <x:v>2.080342728300598</x:v>
      </x:c>
      <x:c r="K6036" s="40" t="n">
        <x:f>G6036-E6036</x:f>
        <x:v>0</x:v>
      </x:c>
      <x:c r="L6036" s="40" t="n">
        <x:f>ABS(K6036)</x:f>
        <x:v>0</x:v>
      </x:c>
      <x:c r="M6036" s="41" t="str">
        <x:v>lstm-soil-v1</x:v>
      </x:c>
    </x:row>
    <x:row r="6037">
      <x:c r="A6037" s="38" t="str">
        <x:v>7月30日现场数据</x:v>
      </x:c>
      <x:c r="B6037" s="39" t="str">
        <x:v>2026-08-05T19:15:00</x:v>
      </x:c>
      <x:c r="C6037" s="39" t="str">
        <x:v>2026-08-05T19:30:00</x:v>
      </x:c>
      <x:c r="D6037" s="47" t="n">
        <x:v>15</x:v>
      </x:c>
      <x:c r="E6037" s="40" t="n">
        <x:v>17.9</x:v>
      </x:c>
      <x:c r="F6037" s="40" t="n">
        <x:v>16.55065155029297</x:v>
      </x:c>
      <x:c r="G6037" s="40" t="n">
        <x:v>17.9</x:v>
      </x:c>
      <x:c r="H6037" s="40" t="n">
        <x:f>F6037-E6037</x:f>
        <x:v>-1.3493484497070298</x:v>
      </x:c>
      <x:c r="I6037" s="40" t="n">
        <x:f>ABS(H6037)</x:f>
        <x:v>1.3493484497070298</x:v>
      </x:c>
      <x:c r="J6037" s="40" t="n">
        <x:f>H6037^2</x:f>
        <x:v>1.8207412387267647</x:v>
      </x:c>
      <x:c r="K6037" s="40" t="n">
        <x:f>G6037-E6037</x:f>
        <x:v>0</x:v>
      </x:c>
      <x:c r="L6037" s="40" t="n">
        <x:f>ABS(K6037)</x:f>
        <x:v>0</x:v>
      </x:c>
      <x:c r="M6037" s="41" t="str">
        <x:v>lstm-soil-v1</x:v>
      </x:c>
    </x:row>
    <x:row r="6038">
      <x:c r="A6038" s="38" t="str">
        <x:v>7月30日现场数据</x:v>
      </x:c>
      <x:c r="B6038" s="39" t="str">
        <x:v>2026-08-05T19:15:00</x:v>
      </x:c>
      <x:c r="C6038" s="39" t="str">
        <x:v>2026-08-05T19:45:00</x:v>
      </x:c>
      <x:c r="D6038" s="47" t="n">
        <x:v>30</x:v>
      </x:c>
      <x:c r="E6038" s="40" t="n">
        <x:v>17.8</x:v>
      </x:c>
      <x:c r="F6038" s="40" t="n">
        <x:v>16.84619140625</x:v>
      </x:c>
      <x:c r="G6038" s="40" t="n">
        <x:v>17.9</x:v>
      </x:c>
      <x:c r="H6038" s="40" t="n">
        <x:f>F6038-E6038</x:f>
        <x:v>-0.9538085937500007</x:v>
      </x:c>
      <x:c r="I6038" s="40" t="n">
        <x:f>ABS(H6038)</x:f>
        <x:v>0.9538085937500007</x:v>
      </x:c>
      <x:c r="J6038" s="40" t="n">
        <x:f>H6038^2</x:f>
        <x:v>0.9097508335113539</x:v>
      </x:c>
      <x:c r="K6038" s="40" t="n">
        <x:f>G6038-E6038</x:f>
        <x:v>0.09999999999999787</x:v>
      </x:c>
      <x:c r="L6038" s="40" t="n">
        <x:f>ABS(K6038)</x:f>
        <x:v>0.09999999999999787</x:v>
      </x:c>
      <x:c r="M6038" s="41" t="str">
        <x:v>lstm-soil-v1</x:v>
      </x:c>
    </x:row>
    <x:row r="6039">
      <x:c r="A6039" s="38" t="str">
        <x:v>7月30日现场数据</x:v>
      </x:c>
      <x:c r="B6039" s="39" t="str">
        <x:v>2026-08-05T19:15:00</x:v>
      </x:c>
      <x:c r="C6039" s="39" t="str">
        <x:v>2026-08-05T20:15:00</x:v>
      </x:c>
      <x:c r="D6039" s="47" t="n">
        <x:v>60</x:v>
      </x:c>
      <x:c r="E6039" s="40" t="n">
        <x:v>17.8</x:v>
      </x:c>
      <x:c r="F6039" s="40" t="n">
        <x:v>18.603683471679688</x:v>
      </x:c>
      <x:c r="G6039" s="40" t="n">
        <x:v>17.9</x:v>
      </x:c>
      <x:c r="H6039" s="40" t="n">
        <x:f>F6039-E6039</x:f>
        <x:v>0.8036834716796868</x:v>
      </x:c>
      <x:c r="I6039" s="40" t="n">
        <x:f>ABS(H6039)</x:f>
        <x:v>0.8036834716796868</x:v>
      </x:c>
      <x:c r="J6039" s="40" t="n">
        <x:f>H6039^2</x:f>
        <x:v>0.6459071226511139</x:v>
      </x:c>
      <x:c r="K6039" s="40" t="n">
        <x:f>G6039-E6039</x:f>
        <x:v>0.09999999999999787</x:v>
      </x:c>
      <x:c r="L6039" s="40" t="n">
        <x:f>ABS(K6039)</x:f>
        <x:v>0.09999999999999787</x:v>
      </x:c>
      <x:c r="M6039" s="41" t="str">
        <x:v>lstm-soil-v1</x:v>
      </x:c>
    </x:row>
    <x:row r="6040">
      <x:c r="A6040" s="38" t="str">
        <x:v>7月30日现场数据</x:v>
      </x:c>
      <x:c r="B6040" s="39" t="str">
        <x:v>2026-08-05T19:20:00</x:v>
      </x:c>
      <x:c r="C6040" s="39" t="str">
        <x:v>2026-08-05T19:25:00</x:v>
      </x:c>
      <x:c r="D6040" s="47" t="n">
        <x:v>5</x:v>
      </x:c>
      <x:c r="E6040" s="40" t="n">
        <x:v>17.9</x:v>
      </x:c>
      <x:c r="F6040" s="40" t="n">
        <x:v>16.457000732421875</x:v>
      </x:c>
      <x:c r="G6040" s="40" t="n">
        <x:v>17.9</x:v>
      </x:c>
      <x:c r="H6040" s="40" t="n">
        <x:f>F6040-E6040</x:f>
        <x:v>-1.4429992675781236</x:v>
      </x:c>
      <x:c r="I6040" s="40" t="n">
        <x:f>ABS(H6040)</x:f>
        <x:v>1.4429992675781236</x:v>
      </x:c>
      <x:c r="J6040" s="40" t="n">
        <x:f>H6040^2</x:f>
        <x:v>2.082246886231001</x:v>
      </x:c>
      <x:c r="K6040" s="40" t="n">
        <x:f>G6040-E6040</x:f>
        <x:v>0</x:v>
      </x:c>
      <x:c r="L6040" s="40" t="n">
        <x:f>ABS(K6040)</x:f>
        <x:v>0</x:v>
      </x:c>
      <x:c r="M6040" s="41" t="str">
        <x:v>lstm-soil-v1</x:v>
      </x:c>
    </x:row>
    <x:row r="6041">
      <x:c r="A6041" s="38" t="str">
        <x:v>7月30日现场数据</x:v>
      </x:c>
      <x:c r="B6041" s="39" t="str">
        <x:v>2026-08-05T19:20:00</x:v>
      </x:c>
      <x:c r="C6041" s="39" t="str">
        <x:v>2026-08-05T19:35:00</x:v>
      </x:c>
      <x:c r="D6041" s="47" t="n">
        <x:v>15</x:v>
      </x:c>
      <x:c r="E6041" s="40" t="n">
        <x:v>17.9</x:v>
      </x:c>
      <x:c r="F6041" s="40" t="n">
        <x:v>16.55124282836914</x:v>
      </x:c>
      <x:c r="G6041" s="40" t="n">
        <x:v>17.9</x:v>
      </x:c>
      <x:c r="H6041" s="40" t="n">
        <x:f>F6041-E6041</x:f>
        <x:v>-1.348757171630858</x:v>
      </x:c>
      <x:c r="I6041" s="40" t="n">
        <x:f>ABS(H6041)</x:f>
        <x:v>1.348757171630858</x:v>
      </x:c>
      <x:c r="J6041" s="40" t="n">
        <x:f>H6041^2</x:f>
        <x:v>1.8191459080256716</x:v>
      </x:c>
      <x:c r="K6041" s="40" t="n">
        <x:f>G6041-E6041</x:f>
        <x:v>0</x:v>
      </x:c>
      <x:c r="L6041" s="40" t="n">
        <x:f>ABS(K6041)</x:f>
        <x:v>0</x:v>
      </x:c>
      <x:c r="M6041" s="41" t="str">
        <x:v>lstm-soil-v1</x:v>
      </x:c>
    </x:row>
    <x:row r="6042">
      <x:c r="A6042" s="38" t="str">
        <x:v>7月30日现场数据</x:v>
      </x:c>
      <x:c r="B6042" s="39" t="str">
        <x:v>2026-08-05T19:20:00</x:v>
      </x:c>
      <x:c r="C6042" s="39" t="str">
        <x:v>2026-08-05T19:50:00</x:v>
      </x:c>
      <x:c r="D6042" s="47" t="n">
        <x:v>30</x:v>
      </x:c>
      <x:c r="E6042" s="40" t="n">
        <x:v>17.9</x:v>
      </x:c>
      <x:c r="F6042" s="40" t="n">
        <x:v>16.846660614013672</x:v>
      </x:c>
      <x:c r="G6042" s="40" t="n">
        <x:v>17.9</x:v>
      </x:c>
      <x:c r="H6042" s="40" t="n">
        <x:f>F6042-E6042</x:f>
        <x:v>-1.0533393859863267</x:v>
      </x:c>
      <x:c r="I6042" s="40" t="n">
        <x:f>ABS(H6042)</x:f>
        <x:v>1.0533393859863267</x:v>
      </x:c>
      <x:c r="J6042" s="40" t="n">
        <x:f>H6042^2</x:f>
        <x:v>1.1095238620700518</x:v>
      </x:c>
      <x:c r="K6042" s="40" t="n">
        <x:f>G6042-E6042</x:f>
        <x:v>0</x:v>
      </x:c>
      <x:c r="L6042" s="40" t="n">
        <x:f>ABS(K6042)</x:f>
        <x:v>0</x:v>
      </x:c>
      <x:c r="M6042" s="41" t="str">
        <x:v>lstm-soil-v1</x:v>
      </x:c>
    </x:row>
    <x:row r="6043">
      <x:c r="A6043" s="38" t="str">
        <x:v>7月30日现场数据</x:v>
      </x:c>
      <x:c r="B6043" s="39" t="str">
        <x:v>2026-08-05T19:20:00</x:v>
      </x:c>
      <x:c r="C6043" s="39" t="str">
        <x:v>2026-08-05T20:20:00</x:v>
      </x:c>
      <x:c r="D6043" s="47" t="n">
        <x:v>60</x:v>
      </x:c>
      <x:c r="E6043" s="40" t="n">
        <x:v>17.9</x:v>
      </x:c>
      <x:c r="F6043" s="40" t="n">
        <x:v>18.603897094726562</x:v>
      </x:c>
      <x:c r="G6043" s="40" t="n">
        <x:v>17.9</x:v>
      </x:c>
      <x:c r="H6043" s="40" t="n">
        <x:f>F6043-E6043</x:f>
        <x:v>0.7038970947265639</x:v>
      </x:c>
      <x:c r="I6043" s="40" t="n">
        <x:f>ABS(H6043)</x:f>
        <x:v>0.7038970947265639</x:v>
      </x:c>
      <x:c r="J6043" s="40" t="n">
        <x:f>H6043^2</x:f>
        <x:v>0.4954711199644973</x:v>
      </x:c>
      <x:c r="K6043" s="40" t="n">
        <x:f>G6043-E6043</x:f>
        <x:v>0</x:v>
      </x:c>
      <x:c r="L6043" s="40" t="n">
        <x:f>ABS(K6043)</x:f>
        <x:v>0</x:v>
      </x:c>
      <x:c r="M6043" s="41" t="str">
        <x:v>lstm-soil-v1</x:v>
      </x:c>
    </x:row>
    <x:row r="6044">
      <x:c r="A6044" s="38" t="str">
        <x:v>7月30日现场数据</x:v>
      </x:c>
      <x:c r="B6044" s="39" t="str">
        <x:v>2026-08-05T19:25:00</x:v>
      </x:c>
      <x:c r="C6044" s="39" t="str">
        <x:v>2026-08-05T19:30:00</x:v>
      </x:c>
      <x:c r="D6044" s="47" t="n">
        <x:v>5</x:v>
      </x:c>
      <x:c r="E6044" s="40" t="n">
        <x:v>17.9</x:v>
      </x:c>
      <x:c r="F6044" s="40" t="n">
        <x:v>16.454914093017578</x:v>
      </x:c>
      <x:c r="G6044" s="40" t="n">
        <x:v>17.9</x:v>
      </x:c>
      <x:c r="H6044" s="40" t="n">
        <x:f>F6044-E6044</x:f>
        <x:v>-1.4450859069824205</x:v>
      </x:c>
      <x:c r="I6044" s="40" t="n">
        <x:f>ABS(H6044)</x:f>
        <x:v>1.4450859069824205</x:v>
      </x:c>
      <x:c r="J6044" s="40" t="n">
        <x:f>H6044^2</x:f>
        <x:v>2.0882732785592046</x:v>
      </x:c>
      <x:c r="K6044" s="40" t="n">
        <x:f>G6044-E6044</x:f>
        <x:v>0</x:v>
      </x:c>
      <x:c r="L6044" s="40" t="n">
        <x:f>ABS(K6044)</x:f>
        <x:v>0</x:v>
      </x:c>
      <x:c r="M6044" s="41" t="str">
        <x:v>lstm-soil-v1</x:v>
      </x:c>
    </x:row>
    <x:row r="6045">
      <x:c r="A6045" s="38" t="str">
        <x:v>7月30日现场数据</x:v>
      </x:c>
      <x:c r="B6045" s="39" t="str">
        <x:v>2026-08-05T19:25:00</x:v>
      </x:c>
      <x:c r="C6045" s="39" t="str">
        <x:v>2026-08-05T19:40:00</x:v>
      </x:c>
      <x:c r="D6045" s="47" t="n">
        <x:v>15</x:v>
      </x:c>
      <x:c r="E6045" s="40" t="n">
        <x:v>17.9</x:v>
      </x:c>
      <x:c r="F6045" s="40" t="n">
        <x:v>16.550430297851562</x:v>
      </x:c>
      <x:c r="G6045" s="40" t="n">
        <x:v>17.9</x:v>
      </x:c>
      <x:c r="H6045" s="40" t="n">
        <x:f>F6045-E6045</x:f>
        <x:v>-1.349569702148436</x:v>
      </x:c>
      <x:c r="I6045" s="40" t="n">
        <x:f>ABS(H6045)</x:f>
        <x:v>1.349569702148436</x:v>
      </x:c>
      <x:c r="J6045" s="40" t="n">
        <x:f>H6045^2</x:f>
        <x:v>1.8213383809570185</x:v>
      </x:c>
      <x:c r="K6045" s="40" t="n">
        <x:f>G6045-E6045</x:f>
        <x:v>0</x:v>
      </x:c>
      <x:c r="L6045" s="40" t="n">
        <x:f>ABS(K6045)</x:f>
        <x:v>0</x:v>
      </x:c>
      <x:c r="M6045" s="41" t="str">
        <x:v>lstm-soil-v1</x:v>
      </x:c>
    </x:row>
    <x:row r="6046">
      <x:c r="A6046" s="38" t="str">
        <x:v>7月30日现场数据</x:v>
      </x:c>
      <x:c r="B6046" s="39" t="str">
        <x:v>2026-08-05T19:25:00</x:v>
      </x:c>
      <x:c r="C6046" s="39" t="str">
        <x:v>2026-08-05T19:55:00</x:v>
      </x:c>
      <x:c r="D6046" s="47" t="n">
        <x:v>30</x:v>
      </x:c>
      <x:c r="E6046" s="40" t="n">
        <x:v>17.9</x:v>
      </x:c>
      <x:c r="F6046" s="40" t="n">
        <x:v>16.844993591308594</x:v>
      </x:c>
      <x:c r="G6046" s="40" t="n">
        <x:v>17.9</x:v>
      </x:c>
      <x:c r="H6046" s="40" t="n">
        <x:f>F6046-E6046</x:f>
        <x:v>-1.0550064086914048</x:v>
      </x:c>
      <x:c r="I6046" s="40" t="n">
        <x:f>ABS(H6046)</x:f>
        <x:v>1.0550064086914048</x:v>
      </x:c>
      <x:c r="J6046" s="40" t="n">
        <x:f>H6046^2</x:f>
        <x:v>1.1130385223799355</x:v>
      </x:c>
      <x:c r="K6046" s="40" t="n">
        <x:f>G6046-E6046</x:f>
        <x:v>0</x:v>
      </x:c>
      <x:c r="L6046" s="40" t="n">
        <x:f>ABS(K6046)</x:f>
        <x:v>0</x:v>
      </x:c>
      <x:c r="M6046" s="41" t="str">
        <x:v>lstm-soil-v1</x:v>
      </x:c>
    </x:row>
    <x:row r="6047">
      <x:c r="A6047" s="38" t="str">
        <x:v>7月30日现场数据</x:v>
      </x:c>
      <x:c r="B6047" s="39" t="str">
        <x:v>2026-08-05T19:25:00</x:v>
      </x:c>
      <x:c r="C6047" s="39" t="str">
        <x:v>2026-08-05T20:25:00</x:v>
      </x:c>
      <x:c r="D6047" s="47" t="n">
        <x:v>60</x:v>
      </x:c>
      <x:c r="E6047" s="40" t="n">
        <x:v>17.9</x:v>
      </x:c>
      <x:c r="F6047" s="40" t="n">
        <x:v>18.60034942626953</x:v>
      </x:c>
      <x:c r="G6047" s="40" t="n">
        <x:v>17.9</x:v>
      </x:c>
      <x:c r="H6047" s="40" t="n">
        <x:f>F6047-E6047</x:f>
        <x:v>0.7003494262695327</x:v>
      </x:c>
      <x:c r="I6047" s="40" t="n">
        <x:f>ABS(H6047)</x:f>
        <x:v>0.7003494262695327</x:v>
      </x:c>
      <x:c r="J6047" s="40" t="n">
        <x:f>H6047^2</x:f>
        <x:v>0.49048931887606356</x:v>
      </x:c>
      <x:c r="K6047" s="40" t="n">
        <x:f>G6047-E6047</x:f>
        <x:v>0</x:v>
      </x:c>
      <x:c r="L6047" s="40" t="n">
        <x:f>ABS(K6047)</x:f>
        <x:v>0</x:v>
      </x:c>
      <x:c r="M6047" s="41" t="str">
        <x:v>lstm-soil-v1</x:v>
      </x:c>
    </x:row>
    <x:row r="6048">
      <x:c r="A6048" s="38" t="str">
        <x:v>7月30日现场数据</x:v>
      </x:c>
      <x:c r="B6048" s="39" t="str">
        <x:v>2026-08-05T19:30:00</x:v>
      </x:c>
      <x:c r="C6048" s="39" t="str">
        <x:v>2026-08-05T19:35:00</x:v>
      </x:c>
      <x:c r="D6048" s="47" t="n">
        <x:v>5</x:v>
      </x:c>
      <x:c r="E6048" s="40" t="n">
        <x:v>17.9</x:v>
      </x:c>
      <x:c r="F6048" s="40" t="n">
        <x:v>16.454669952392578</x:v>
      </x:c>
      <x:c r="G6048" s="40" t="n">
        <x:v>17.9</x:v>
      </x:c>
      <x:c r="H6048" s="40" t="n">
        <x:f>F6048-E6048</x:f>
        <x:v>-1.4453300476074205</x:v>
      </x:c>
      <x:c r="I6048" s="40" t="n">
        <x:f>ABS(H6048)</x:f>
        <x:v>1.4453300476074205</x:v>
      </x:c>
      <x:c r="J6048" s="40" t="n">
        <x:f>H6048^2</x:f>
        <x:v>2.0889789465168684</x:v>
      </x:c>
      <x:c r="K6048" s="40" t="n">
        <x:f>G6048-E6048</x:f>
        <x:v>0</x:v>
      </x:c>
      <x:c r="L6048" s="40" t="n">
        <x:f>ABS(K6048)</x:f>
        <x:v>0</x:v>
      </x:c>
      <x:c r="M6048" s="41" t="str">
        <x:v>lstm-soil-v1</x:v>
      </x:c>
    </x:row>
    <x:row r="6049">
      <x:c r="A6049" s="38" t="str">
        <x:v>7月30日现场数据</x:v>
      </x:c>
      <x:c r="B6049" s="39" t="str">
        <x:v>2026-08-05T19:30:00</x:v>
      </x:c>
      <x:c r="C6049" s="39" t="str">
        <x:v>2026-08-05T19:45:00</x:v>
      </x:c>
      <x:c r="D6049" s="47" t="n">
        <x:v>15</x:v>
      </x:c>
      <x:c r="E6049" s="40" t="n">
        <x:v>17.8</x:v>
      </x:c>
      <x:c r="F6049" s="40" t="n">
        <x:v>16.54931640625</x:v>
      </x:c>
      <x:c r="G6049" s="40" t="n">
        <x:v>17.9</x:v>
      </x:c>
      <x:c r="H6049" s="40" t="n">
        <x:f>F6049-E6049</x:f>
        <x:v>-1.2506835937500007</x:v>
      </x:c>
      <x:c r="I6049" s="40" t="n">
        <x:f>ABS(H6049)</x:f>
        <x:v>1.2506835937500007</x:v>
      </x:c>
      <x:c r="J6049" s="40" t="n">
        <x:f>H6049^2</x:f>
        <x:v>1.5642094516754168</x:v>
      </x:c>
      <x:c r="K6049" s="40" t="n">
        <x:f>G6049-E6049</x:f>
        <x:v>0.09999999999999787</x:v>
      </x:c>
      <x:c r="L6049" s="40" t="n">
        <x:f>ABS(K6049)</x:f>
        <x:v>0.09999999999999787</x:v>
      </x:c>
      <x:c r="M6049" s="41" t="str">
        <x:v>lstm-soil-v1</x:v>
      </x:c>
    </x:row>
    <x:row r="6050">
      <x:c r="A6050" s="38" t="str">
        <x:v>7月30日现场数据</x:v>
      </x:c>
      <x:c r="B6050" s="39" t="str">
        <x:v>2026-08-05T19:30:00</x:v>
      </x:c>
      <x:c r="C6050" s="39" t="str">
        <x:v>2026-08-05T20:00:00</x:v>
      </x:c>
      <x:c r="D6050" s="47" t="n">
        <x:v>30</x:v>
      </x:c>
      <x:c r="E6050" s="40" t="n">
        <x:v>17.9</x:v>
      </x:c>
      <x:c r="F6050" s="40" t="n">
        <x:v>16.845741271972656</x:v>
      </x:c>
      <x:c r="G6050" s="40" t="n">
        <x:v>17.9</x:v>
      </x:c>
      <x:c r="H6050" s="40" t="n">
        <x:f>F6050-E6050</x:f>
        <x:v>-1.0542587280273423</x:v>
      </x:c>
      <x:c r="I6050" s="40" t="n">
        <x:f>ABS(H6050)</x:f>
        <x:v>1.0542587280273423</x:v>
      </x:c>
      <x:c r="J6050" s="40" t="n">
        <x:f>H6050^2</x:f>
        <x:v>1.1114614656218298</x:v>
      </x:c>
      <x:c r="K6050" s="40" t="n">
        <x:f>G6050-E6050</x:f>
        <x:v>0</x:v>
      </x:c>
      <x:c r="L6050" s="40" t="n">
        <x:f>ABS(K6050)</x:f>
        <x:v>0</x:v>
      </x:c>
      <x:c r="M6050" s="41" t="str">
        <x:v>lstm-soil-v1</x:v>
      </x:c>
    </x:row>
    <x:row r="6051">
      <x:c r="A6051" s="38" t="str">
        <x:v>7月30日现场数据</x:v>
      </x:c>
      <x:c r="B6051" s="39" t="str">
        <x:v>2026-08-05T19:30:00</x:v>
      </x:c>
      <x:c r="C6051" s="39" t="str">
        <x:v>2026-08-05T20:30:00</x:v>
      </x:c>
      <x:c r="D6051" s="47" t="n">
        <x:v>60</x:v>
      </x:c>
      <x:c r="E6051" s="40" t="n">
        <x:v>17.9</x:v>
      </x:c>
      <x:c r="F6051" s="40" t="n">
        <x:v>18.600540161132812</x:v>
      </x:c>
      <x:c r="G6051" s="40" t="n">
        <x:v>17.9</x:v>
      </x:c>
      <x:c r="H6051" s="40" t="n">
        <x:f>F6051-E6051</x:f>
        <x:v>0.7005401611328139</x:v>
      </x:c>
      <x:c r="I6051" s="40" t="n">
        <x:f>ABS(H6051)</x:f>
        <x:v>0.7005401611328139</x:v>
      </x:c>
      <x:c r="J6051" s="40" t="n">
        <x:f>H6051^2</x:f>
        <x:v>0.4907565173599889</x:v>
      </x:c>
      <x:c r="K6051" s="40" t="n">
        <x:f>G6051-E6051</x:f>
        <x:v>0</x:v>
      </x:c>
      <x:c r="L6051" s="40" t="n">
        <x:f>ABS(K6051)</x:f>
        <x:v>0</x:v>
      </x:c>
      <x:c r="M6051" s="41" t="str">
        <x:v>lstm-soil-v1</x:v>
      </x:c>
    </x:row>
    <x:row r="6052">
      <x:c r="A6052" s="38" t="str">
        <x:v>7月30日现场数据</x:v>
      </x:c>
      <x:c r="B6052" s="39" t="str">
        <x:v>2026-08-05T19:35:00</x:v>
      </x:c>
      <x:c r="C6052" s="39" t="str">
        <x:v>2026-08-05T19:40:00</x:v>
      </x:c>
      <x:c r="D6052" s="47" t="n">
        <x:v>5</x:v>
      </x:c>
      <x:c r="E6052" s="40" t="n">
        <x:v>17.9</x:v>
      </x:c>
      <x:c r="F6052" s="40" t="n">
        <x:v>16.454845428466797</x:v>
      </x:c>
      <x:c r="G6052" s="40" t="n">
        <x:v>17.9</x:v>
      </x:c>
      <x:c r="H6052" s="40" t="n">
        <x:f>F6052-E6052</x:f>
        <x:v>-1.4451545715332017</x:v>
      </x:c>
      <x:c r="I6052" s="40" t="n">
        <x:f>ABS(H6052)</x:f>
        <x:v>1.4451545715332017</x:v>
      </x:c>
      <x:c r="J6052" s="40" t="n">
        <x:f>H6052^2</x:f>
        <x:v>2.088471735623312</x:v>
      </x:c>
      <x:c r="K6052" s="40" t="n">
        <x:f>G6052-E6052</x:f>
        <x:v>0</x:v>
      </x:c>
      <x:c r="L6052" s="40" t="n">
        <x:f>ABS(K6052)</x:f>
        <x:v>0</x:v>
      </x:c>
      <x:c r="M6052" s="41" t="str">
        <x:v>lstm-soil-v1</x:v>
      </x:c>
    </x:row>
    <x:row r="6053">
      <x:c r="A6053" s="38" t="str">
        <x:v>7月30日现场数据</x:v>
      </x:c>
      <x:c r="B6053" s="39" t="str">
        <x:v>2026-08-05T19:35:00</x:v>
      </x:c>
      <x:c r="C6053" s="39" t="str">
        <x:v>2026-08-05T19:50:00</x:v>
      </x:c>
      <x:c r="D6053" s="47" t="n">
        <x:v>15</x:v>
      </x:c>
      <x:c r="E6053" s="40" t="n">
        <x:v>17.9</x:v>
      </x:c>
      <x:c r="F6053" s="40" t="n">
        <x:v>16.54867172241211</x:v>
      </x:c>
      <x:c r="G6053" s="40" t="n">
        <x:v>17.9</x:v>
      </x:c>
      <x:c r="H6053" s="40" t="n">
        <x:f>F6053-E6053</x:f>
        <x:v>-1.3513282775878892</x:v>
      </x:c>
      <x:c r="I6053" s="40" t="n">
        <x:f>ABS(H6053)</x:f>
        <x:v>1.3513282775878892</x:v>
      </x:c>
      <x:c r="J6053" s="40" t="n">
        <x:f>H6053^2</x:f>
        <x:v>1.8260881138086513</x:v>
      </x:c>
      <x:c r="K6053" s="40" t="n">
        <x:f>G6053-E6053</x:f>
        <x:v>0</x:v>
      </x:c>
      <x:c r="L6053" s="40" t="n">
        <x:f>ABS(K6053)</x:f>
        <x:v>0</x:v>
      </x:c>
      <x:c r="M6053" s="41" t="str">
        <x:v>lstm-soil-v1</x:v>
      </x:c>
    </x:row>
    <x:row r="6054">
      <x:c r="A6054" s="38" t="str">
        <x:v>7月30日现场数据</x:v>
      </x:c>
      <x:c r="B6054" s="39" t="str">
        <x:v>2026-08-05T19:35:00</x:v>
      </x:c>
      <x:c r="C6054" s="39" t="str">
        <x:v>2026-08-05T20:05:00</x:v>
      </x:c>
      <x:c r="D6054" s="47" t="n">
        <x:v>30</x:v>
      </x:c>
      <x:c r="E6054" s="40" t="n">
        <x:v>17.9</x:v>
      </x:c>
      <x:c r="F6054" s="40" t="n">
        <x:v>16.847103118896484</x:v>
      </x:c>
      <x:c r="G6054" s="40" t="n">
        <x:v>17.9</x:v>
      </x:c>
      <x:c r="H6054" s="40" t="n">
        <x:f>F6054-E6054</x:f>
        <x:v>-1.0528968811035142</x:v>
      </x:c>
      <x:c r="I6054" s="40" t="n">
        <x:f>ABS(H6054)</x:f>
        <x:v>1.0528968811035142</x:v>
      </x:c>
      <x:c r="J6054" s="40" t="n">
        <x:f>H6054^2</x:f>
        <x:v>1.1085918422375076</x:v>
      </x:c>
      <x:c r="K6054" s="40" t="n">
        <x:f>G6054-E6054</x:f>
        <x:v>0</x:v>
      </x:c>
      <x:c r="L6054" s="40" t="n">
        <x:f>ABS(K6054)</x:f>
        <x:v>0</x:v>
      </x:c>
      <x:c r="M6054" s="41" t="str">
        <x:v>lstm-soil-v1</x:v>
      </x:c>
    </x:row>
    <x:row r="6055">
      <x:c r="A6055" s="38" t="str">
        <x:v>7月30日现场数据</x:v>
      </x:c>
      <x:c r="B6055" s="39" t="str">
        <x:v>2026-08-05T19:35:00</x:v>
      </x:c>
      <x:c r="C6055" s="39" t="str">
        <x:v>2026-08-05T20:35:00</x:v>
      </x:c>
      <x:c r="D6055" s="47" t="n">
        <x:v>60</x:v>
      </x:c>
      <x:c r="E6055" s="40" t="n">
        <x:v>17.8</x:v>
      </x:c>
      <x:c r="F6055" s="40" t="n">
        <x:v>18.601303100585938</x:v>
      </x:c>
      <x:c r="G6055" s="40" t="n">
        <x:v>17.9</x:v>
      </x:c>
      <x:c r="H6055" s="40" t="n">
        <x:f>F6055-E6055</x:f>
        <x:v>0.8013031005859368</x:v>
      </x:c>
      <x:c r="I6055" s="40" t="n">
        <x:f>ABS(H6055)</x:f>
        <x:v>0.8013031005859368</x:v>
      </x:c>
      <x:c r="J6055" s="40" t="n">
        <x:f>H6055^2</x:f>
        <x:v>0.6420866590086359</x:v>
      </x:c>
      <x:c r="K6055" s="40" t="n">
        <x:f>G6055-E6055</x:f>
        <x:v>0.09999999999999787</x:v>
      </x:c>
      <x:c r="L6055" s="40" t="n">
        <x:f>ABS(K6055)</x:f>
        <x:v>0.09999999999999787</x:v>
      </x:c>
      <x:c r="M6055" s="41" t="str">
        <x:v>lstm-soil-v1</x:v>
      </x:c>
    </x:row>
    <x:row r="6056">
      <x:c r="A6056" s="38" t="str">
        <x:v>7月30日现场数据</x:v>
      </x:c>
      <x:c r="B6056" s="39" t="str">
        <x:v>2026-08-05T19:40:00</x:v>
      </x:c>
      <x:c r="C6056" s="39" t="str">
        <x:v>2026-08-05T19:45:00</x:v>
      </x:c>
      <x:c r="D6056" s="47" t="n">
        <x:v>5</x:v>
      </x:c>
      <x:c r="E6056" s="40" t="n">
        <x:v>17.8</x:v>
      </x:c>
      <x:c r="F6056" s="40" t="n">
        <x:v>16.455196380615234</x:v>
      </x:c>
      <x:c r="G6056" s="40" t="n">
        <x:v>17.9</x:v>
      </x:c>
      <x:c r="H6056" s="40" t="n">
        <x:f>F6056-E6056</x:f>
        <x:v>-1.3448036193847663</x:v>
      </x:c>
      <x:c r="I6056" s="40" t="n">
        <x:f>ABS(H6056)</x:f>
        <x:v>1.3448036193847663</x:v>
      </x:c>
      <x:c r="J6056" s="40" t="n">
        <x:f>H6056^2</x:f>
        <x:v>1.8084967747103675</x:v>
      </x:c>
      <x:c r="K6056" s="40" t="n">
        <x:f>G6056-E6056</x:f>
        <x:v>0.09999999999999787</x:v>
      </x:c>
      <x:c r="L6056" s="40" t="n">
        <x:f>ABS(K6056)</x:f>
        <x:v>0.09999999999999787</x:v>
      </x:c>
      <x:c r="M6056" s="41" t="str">
        <x:v>lstm-soil-v1</x:v>
      </x:c>
    </x:row>
    <x:row r="6057">
      <x:c r="A6057" s="38" t="str">
        <x:v>7月30日现场数据</x:v>
      </x:c>
      <x:c r="B6057" s="39" t="str">
        <x:v>2026-08-05T19:40:00</x:v>
      </x:c>
      <x:c r="C6057" s="39" t="str">
        <x:v>2026-08-05T19:55:00</x:v>
      </x:c>
      <x:c r="D6057" s="47" t="n">
        <x:v>15</x:v>
      </x:c>
      <x:c r="E6057" s="40" t="n">
        <x:v>17.9</x:v>
      </x:c>
      <x:c r="F6057" s="40" t="n">
        <x:v>16.54833221435547</x:v>
      </x:c>
      <x:c r="G6057" s="40" t="n">
        <x:v>17.9</x:v>
      </x:c>
      <x:c r="H6057" s="40" t="n">
        <x:f>F6057-E6057</x:f>
        <x:v>-1.3516677856445298</x:v>
      </x:c>
      <x:c r="I6057" s="40" t="n">
        <x:f>ABS(H6057)</x:f>
        <x:v>1.3516677856445298</x:v>
      </x:c>
      <x:c r="J6057" s="40" t="n">
        <x:f>H6057^2</x:f>
        <x:v>1.8270058027491867</x:v>
      </x:c>
      <x:c r="K6057" s="40" t="n">
        <x:f>G6057-E6057</x:f>
        <x:v>0</x:v>
      </x:c>
      <x:c r="L6057" s="40" t="n">
        <x:f>ABS(K6057)</x:f>
        <x:v>0</x:v>
      </x:c>
      <x:c r="M6057" s="41" t="str">
        <x:v>lstm-soil-v1</x:v>
      </x:c>
    </x:row>
    <x:row r="6058">
      <x:c r="A6058" s="38" t="str">
        <x:v>7月30日现场数据</x:v>
      </x:c>
      <x:c r="B6058" s="39" t="str">
        <x:v>2026-08-05T19:40:00</x:v>
      </x:c>
      <x:c r="C6058" s="39" t="str">
        <x:v>2026-08-05T20:10:00</x:v>
      </x:c>
      <x:c r="D6058" s="47" t="n">
        <x:v>30</x:v>
      </x:c>
      <x:c r="E6058" s="40" t="n">
        <x:v>17.9</x:v>
      </x:c>
      <x:c r="F6058" s="40" t="n">
        <x:v>16.84853744506836</x:v>
      </x:c>
      <x:c r="G6058" s="40" t="n">
        <x:v>17.9</x:v>
      </x:c>
      <x:c r="H6058" s="40" t="n">
        <x:f>F6058-E6058</x:f>
        <x:v>-1.0514625549316392</x:v>
      </x:c>
      <x:c r="I6058" s="40" t="n">
        <x:f>ABS(H6058)</x:f>
        <x:v>1.0514625549316392</x:v>
      </x:c>
      <x:c r="J6058" s="40" t="n">
        <x:f>H6058^2</x:f>
        <x:v>1.1055735044233703</x:v>
      </x:c>
      <x:c r="K6058" s="40" t="n">
        <x:f>G6058-E6058</x:f>
        <x:v>0</x:v>
      </x:c>
      <x:c r="L6058" s="40" t="n">
        <x:f>ABS(K6058)</x:f>
        <x:v>0</x:v>
      </x:c>
      <x:c r="M6058" s="41" t="str">
        <x:v>lstm-soil-v1</x:v>
      </x:c>
    </x:row>
    <x:row r="6059">
      <x:c r="A6059" s="38" t="str">
        <x:v>7月30日现场数据</x:v>
      </x:c>
      <x:c r="B6059" s="39" t="str">
        <x:v>2026-08-05T19:40:00</x:v>
      </x:c>
      <x:c r="C6059" s="39" t="str">
        <x:v>2026-08-05T20:40:00</x:v>
      </x:c>
      <x:c r="D6059" s="47" t="n">
        <x:v>60</x:v>
      </x:c>
      <x:c r="E6059" s="40" t="n">
        <x:v>17.8</x:v>
      </x:c>
      <x:c r="F6059" s="40" t="n">
        <x:v>18.602317810058594</x:v>
      </x:c>
      <x:c r="G6059" s="40" t="n">
        <x:v>17.9</x:v>
      </x:c>
      <x:c r="H6059" s="40" t="n">
        <x:f>F6059-E6059</x:f>
        <x:v>0.802317810058593</x:v>
      </x:c>
      <x:c r="I6059" s="40" t="n">
        <x:f>ABS(H6059)</x:f>
        <x:v>0.802317810058593</x:v>
      </x:c>
      <x:c r="J6059" s="40" t="n">
        <x:f>H6059^2</x:f>
        <x:v>0.6437138683372166</x:v>
      </x:c>
      <x:c r="K6059" s="40" t="n">
        <x:f>G6059-E6059</x:f>
        <x:v>0.09999999999999787</x:v>
      </x:c>
      <x:c r="L6059" s="40" t="n">
        <x:f>ABS(K6059)</x:f>
        <x:v>0.09999999999999787</x:v>
      </x:c>
      <x:c r="M6059" s="41" t="str">
        <x:v>lstm-soil-v1</x:v>
      </x:c>
    </x:row>
    <x:row r="6060">
      <x:c r="A6060" s="38" t="str">
        <x:v>7月30日现场数据</x:v>
      </x:c>
      <x:c r="B6060" s="39" t="str">
        <x:v>2026-08-05T19:45:00</x:v>
      </x:c>
      <x:c r="C6060" s="39" t="str">
        <x:v>2026-08-05T19:50:00</x:v>
      </x:c>
      <x:c r="D6060" s="47" t="n">
        <x:v>5</x:v>
      </x:c>
      <x:c r="E6060" s="40" t="n">
        <x:v>17.9</x:v>
      </x:c>
      <x:c r="F6060" s="40" t="n">
        <x:v>16.345157623291016</x:v>
      </x:c>
      <x:c r="G6060" s="40" t="n">
        <x:v>17.8</x:v>
      </x:c>
      <x:c r="H6060" s="40" t="n">
        <x:f>F6060-E6060</x:f>
        <x:v>-1.554842376708983</x:v>
      </x:c>
      <x:c r="I6060" s="40" t="n">
        <x:f>ABS(H6060)</x:f>
        <x:v>1.554842376708983</x:v>
      </x:c>
      <x:c r="J6060" s="40" t="n">
        <x:f>H6060^2</x:f>
        <x:v>2.417534816410039</x:v>
      </x:c>
      <x:c r="K6060" s="40" t="n">
        <x:f>G6060-E6060</x:f>
        <x:v>-0.09999999999999787</x:v>
      </x:c>
      <x:c r="L6060" s="40" t="n">
        <x:f>ABS(K6060)</x:f>
        <x:v>0.09999999999999787</x:v>
      </x:c>
      <x:c r="M6060" s="41" t="str">
        <x:v>lstm-soil-v1</x:v>
      </x:c>
    </x:row>
    <x:row r="6061">
      <x:c r="A6061" s="38" t="str">
        <x:v>7月30日现场数据</x:v>
      </x:c>
      <x:c r="B6061" s="39" t="str">
        <x:v>2026-08-05T19:45:00</x:v>
      </x:c>
      <x:c r="C6061" s="39" t="str">
        <x:v>2026-08-05T20:00:00</x:v>
      </x:c>
      <x:c r="D6061" s="47" t="n">
        <x:v>15</x:v>
      </x:c>
      <x:c r="E6061" s="40" t="n">
        <x:v>17.9</x:v>
      </x:c>
      <x:c r="F6061" s="40" t="n">
        <x:v>16.43793487548828</x:v>
      </x:c>
      <x:c r="G6061" s="40" t="n">
        <x:v>17.8</x:v>
      </x:c>
      <x:c r="H6061" s="40" t="n">
        <x:f>F6061-E6061</x:f>
        <x:v>-1.4620651245117173</x:v>
      </x:c>
      <x:c r="I6061" s="40" t="n">
        <x:f>ABS(H6061)</x:f>
        <x:v>1.4620651245117173</x:v>
      </x:c>
      <x:c r="J6061" s="40" t="n">
        <x:f>H6061^2</x:f>
        <x:v>2.1376344283134636</x:v>
      </x:c>
      <x:c r="K6061" s="40" t="n">
        <x:f>G6061-E6061</x:f>
        <x:v>-0.09999999999999787</x:v>
      </x:c>
      <x:c r="L6061" s="40" t="n">
        <x:f>ABS(K6061)</x:f>
        <x:v>0.09999999999999787</x:v>
      </x:c>
      <x:c r="M6061" s="41" t="str">
        <x:v>lstm-soil-v1</x:v>
      </x:c>
    </x:row>
    <x:row r="6062">
      <x:c r="A6062" s="38" t="str">
        <x:v>7月30日现场数据</x:v>
      </x:c>
      <x:c r="B6062" s="39" t="str">
        <x:v>2026-08-05T19:45:00</x:v>
      </x:c>
      <x:c r="C6062" s="39" t="str">
        <x:v>2026-08-05T20:15:00</x:v>
      </x:c>
      <x:c r="D6062" s="47" t="n">
        <x:v>30</x:v>
      </x:c>
      <x:c r="E6062" s="40" t="n">
        <x:v>17.8</x:v>
      </x:c>
      <x:c r="F6062" s="40" t="n">
        <x:v>16.739490509033203</x:v>
      </x:c>
      <x:c r="G6062" s="40" t="n">
        <x:v>17.8</x:v>
      </x:c>
      <x:c r="H6062" s="40" t="n">
        <x:f>F6062-E6062</x:f>
        <x:v>-1.0605094909667976</x:v>
      </x:c>
      <x:c r="I6062" s="40" t="n">
        <x:f>ABS(H6062)</x:f>
        <x:v>1.0605094909667976</x:v>
      </x:c>
      <x:c r="J6062" s="40" t="n">
        <x:f>H6062^2</x:f>
        <x:v>1.1246803804306562</x:v>
      </x:c>
      <x:c r="K6062" s="40" t="n">
        <x:f>G6062-E6062</x:f>
        <x:v>0</x:v>
      </x:c>
      <x:c r="L6062" s="40" t="n">
        <x:f>ABS(K6062)</x:f>
        <x:v>0</x:v>
      </x:c>
      <x:c r="M6062" s="41" t="str">
        <x:v>lstm-soil-v1</x:v>
      </x:c>
    </x:row>
    <x:row r="6063">
      <x:c r="A6063" s="38" t="str">
        <x:v>7月30日现场数据</x:v>
      </x:c>
      <x:c r="B6063" s="39" t="str">
        <x:v>2026-08-05T19:45:00</x:v>
      </x:c>
      <x:c r="C6063" s="39" t="str">
        <x:v>2026-08-05T20:45:00</x:v>
      </x:c>
      <x:c r="D6063" s="47" t="n">
        <x:v>60</x:v>
      </x:c>
      <x:c r="E6063" s="40" t="n">
        <x:v>17.8</x:v>
      </x:c>
      <x:c r="F6063" s="40" t="n">
        <x:v>18.492820739746094</x:v>
      </x:c>
      <x:c r="G6063" s="40" t="n">
        <x:v>17.8</x:v>
      </x:c>
      <x:c r="H6063" s="40" t="n">
        <x:f>F6063-E6063</x:f>
        <x:v>0.692820739746093</x:v>
      </x:c>
      <x:c r="I6063" s="40" t="n">
        <x:f>ABS(H6063)</x:f>
        <x:v>0.692820739746093</x:v>
      </x:c>
      <x:c r="J6063" s="40" t="n">
        <x:f>H6063^2</x:f>
        <x:v>0.4800005774223236</x:v>
      </x:c>
      <x:c r="K6063" s="40" t="n">
        <x:f>G6063-E6063</x:f>
        <x:v>0</x:v>
      </x:c>
      <x:c r="L6063" s="40" t="n">
        <x:f>ABS(K6063)</x:f>
        <x:v>0</x:v>
      </x:c>
      <x:c r="M6063" s="41" t="str">
        <x:v>lstm-soil-v1</x:v>
      </x:c>
    </x:row>
    <x:row r="6064">
      <x:c r="A6064" s="38" t="str">
        <x:v>7月30日现场数据</x:v>
      </x:c>
      <x:c r="B6064" s="39" t="str">
        <x:v>2026-08-05T19:50:00</x:v>
      </x:c>
      <x:c r="C6064" s="39" t="str">
        <x:v>2026-08-05T19:55:00</x:v>
      </x:c>
      <x:c r="D6064" s="47" t="n">
        <x:v>5</x:v>
      </x:c>
      <x:c r="E6064" s="40" t="n">
        <x:v>17.9</x:v>
      </x:c>
      <x:c r="F6064" s="40" t="n">
        <x:v>16.455692291259766</x:v>
      </x:c>
      <x:c r="G6064" s="40" t="n">
        <x:v>17.9</x:v>
      </x:c>
      <x:c r="H6064" s="40" t="n">
        <x:f>F6064-E6064</x:f>
        <x:v>-1.444307708740233</x:v>
      </x:c>
      <x:c r="I6064" s="40" t="n">
        <x:f>ABS(H6064)</x:f>
        <x:v>1.444307708740233</x:v>
      </x:c>
      <x:c r="J6064" s="40" t="n">
        <x:f>H6064^2</x:f>
        <x:v>2.0860247575264617</x:v>
      </x:c>
      <x:c r="K6064" s="40" t="n">
        <x:f>G6064-E6064</x:f>
        <x:v>0</x:v>
      </x:c>
      <x:c r="L6064" s="40" t="n">
        <x:f>ABS(K6064)</x:f>
        <x:v>0</x:v>
      </x:c>
      <x:c r="M6064" s="41" t="str">
        <x:v>lstm-soil-v1</x:v>
      </x:c>
    </x:row>
    <x:row r="6065">
      <x:c r="A6065" s="38" t="str">
        <x:v>7月30日现场数据</x:v>
      </x:c>
      <x:c r="B6065" s="39" t="str">
        <x:v>2026-08-05T19:50:00</x:v>
      </x:c>
      <x:c r="C6065" s="39" t="str">
        <x:v>2026-08-05T20:05:00</x:v>
      </x:c>
      <x:c r="D6065" s="47" t="n">
        <x:v>15</x:v>
      </x:c>
      <x:c r="E6065" s="40" t="n">
        <x:v>17.9</x:v>
      </x:c>
      <x:c r="F6065" s="40" t="n">
        <x:v>16.547927856445312</x:v>
      </x:c>
      <x:c r="G6065" s="40" t="n">
        <x:v>17.9</x:v>
      </x:c>
      <x:c r="H6065" s="40" t="n">
        <x:f>F6065-E6065</x:f>
        <x:v>-1.352072143554686</x:v>
      </x:c>
      <x:c r="I6065" s="40" t="n">
        <x:f>ABS(H6065)</x:f>
        <x:v>1.352072143554686</x:v>
      </x:c>
      <x:c r="J6065" s="40" t="n">
        <x:f>H6065^2</x:f>
        <x:v>1.8280990813765636</x:v>
      </x:c>
      <x:c r="K6065" s="40" t="n">
        <x:f>G6065-E6065</x:f>
        <x:v>0</x:v>
      </x:c>
      <x:c r="L6065" s="40" t="n">
        <x:f>ABS(K6065)</x:f>
        <x:v>0</x:v>
      </x:c>
      <x:c r="M6065" s="41" t="str">
        <x:v>lstm-soil-v1</x:v>
      </x:c>
    </x:row>
    <x:row r="6066">
      <x:c r="A6066" s="38" t="str">
        <x:v>7月30日现场数据</x:v>
      </x:c>
      <x:c r="B6066" s="39" t="str">
        <x:v>2026-08-05T19:50:00</x:v>
      </x:c>
      <x:c r="C6066" s="39" t="str">
        <x:v>2026-08-05T20:20:00</x:v>
      </x:c>
      <x:c r="D6066" s="47" t="n">
        <x:v>30</x:v>
      </x:c>
      <x:c r="E6066" s="40" t="n">
        <x:v>17.9</x:v>
      </x:c>
      <x:c r="F6066" s="40" t="n">
        <x:v>16.85077667236328</x:v>
      </x:c>
      <x:c r="G6066" s="40" t="n">
        <x:v>17.9</x:v>
      </x:c>
      <x:c r="H6066" s="40" t="n">
        <x:f>F6066-E6066</x:f>
        <x:v>-1.0492233276367173</x:v>
      </x:c>
      <x:c r="I6066" s="40" t="n">
        <x:f>ABS(H6066)</x:f>
        <x:v>1.0492233276367173</x:v>
      </x:c>
      <x:c r="J6066" s="40" t="n">
        <x:f>H6066^2</x:f>
        <x:v>1.1008695912570663</x:v>
      </x:c>
      <x:c r="K6066" s="40" t="n">
        <x:f>G6066-E6066</x:f>
        <x:v>0</x:v>
      </x:c>
      <x:c r="L6066" s="40" t="n">
        <x:f>ABS(K6066)</x:f>
        <x:v>0</x:v>
      </x:c>
      <x:c r="M6066" s="41" t="str">
        <x:v>lstm-soil-v1</x:v>
      </x:c>
    </x:row>
    <x:row r="6067">
      <x:c r="A6067" s="38" t="str">
        <x:v>7月30日现场数据</x:v>
      </x:c>
      <x:c r="B6067" s="39" t="str">
        <x:v>2026-08-05T19:50:00</x:v>
      </x:c>
      <x:c r="C6067" s="39" t="str">
        <x:v>2026-08-05T20:50:00</x:v>
      </x:c>
      <x:c r="D6067" s="47" t="n">
        <x:v>60</x:v>
      </x:c>
      <x:c r="E6067" s="40" t="n">
        <x:v>17.8</x:v>
      </x:c>
      <x:c r="F6067" s="40" t="n">
        <x:v>18.603809356689453</x:v>
      </x:c>
      <x:c r="G6067" s="40" t="n">
        <x:v>17.9</x:v>
      </x:c>
      <x:c r="H6067" s="40" t="n">
        <x:f>F6067-E6067</x:f>
        <x:v>0.8038093566894524</x:v>
      </x:c>
      <x:c r="I6067" s="40" t="n">
        <x:f>ABS(H6067)</x:f>
        <x:v>0.8038093566894524</x:v>
      </x:c>
      <x:c r="J6067" s="40" t="n">
        <x:f>H6067^2</x:f>
        <x:v>0.6461094819015113</x:v>
      </x:c>
      <x:c r="K6067" s="40" t="n">
        <x:f>G6067-E6067</x:f>
        <x:v>0.09999999999999787</x:v>
      </x:c>
      <x:c r="L6067" s="40" t="n">
        <x:f>ABS(K6067)</x:f>
        <x:v>0.09999999999999787</x:v>
      </x:c>
      <x:c r="M6067" s="41" t="str">
        <x:v>lstm-soil-v1</x:v>
      </x:c>
    </x:row>
    <x:row r="6068">
      <x:c r="A6068" s="38" t="str">
        <x:v>7月30日现场数据</x:v>
      </x:c>
      <x:c r="B6068" s="39" t="str">
        <x:v>2026-08-05T19:55:00</x:v>
      </x:c>
      <x:c r="C6068" s="39" t="str">
        <x:v>2026-08-05T20:00:00</x:v>
      </x:c>
      <x:c r="D6068" s="47" t="n">
        <x:v>5</x:v>
      </x:c>
      <x:c r="E6068" s="40" t="n">
        <x:v>17.9</x:v>
      </x:c>
      <x:c r="F6068" s="40" t="n">
        <x:v>16.456195831298828</x:v>
      </x:c>
      <x:c r="G6068" s="40" t="n">
        <x:v>17.9</x:v>
      </x:c>
      <x:c r="H6068" s="40" t="n">
        <x:f>F6068-E6068</x:f>
        <x:v>-1.4438041687011705</x:v>
      </x:c>
      <x:c r="I6068" s="40" t="n">
        <x:f>ABS(H6068)</x:f>
        <x:v>1.4438041687011705</x:v>
      </x:c>
      <x:c r="J6068" s="40" t="n">
        <x:f>H6068^2</x:f>
        <x:v>2.084570477558878</x:v>
      </x:c>
      <x:c r="K6068" s="40" t="n">
        <x:f>G6068-E6068</x:f>
        <x:v>0</x:v>
      </x:c>
      <x:c r="L6068" s="40" t="n">
        <x:f>ABS(K6068)</x:f>
        <x:v>0</x:v>
      </x:c>
      <x:c r="M6068" s="41" t="str">
        <x:v>lstm-soil-v1</x:v>
      </x:c>
    </x:row>
    <x:row r="6069">
      <x:c r="A6069" s="38" t="str">
        <x:v>7月30日现场数据</x:v>
      </x:c>
      <x:c r="B6069" s="39" t="str">
        <x:v>2026-08-05T19:55:00</x:v>
      </x:c>
      <x:c r="C6069" s="39" t="str">
        <x:v>2026-08-05T20:10:00</x:v>
      </x:c>
      <x:c r="D6069" s="47" t="n">
        <x:v>15</x:v>
      </x:c>
      <x:c r="E6069" s="40" t="n">
        <x:v>17.9</x:v>
      </x:c>
      <x:c r="F6069" s="40" t="n">
        <x:v>16.547985076904297</x:v>
      </x:c>
      <x:c r="G6069" s="40" t="n">
        <x:v>17.9</x:v>
      </x:c>
      <x:c r="H6069" s="40" t="n">
        <x:f>F6069-E6069</x:f>
        <x:v>-1.3520149230957017</x:v>
      </x:c>
      <x:c r="I6069" s="40" t="n">
        <x:f>ABS(H6069)</x:f>
        <x:v>1.3520149230957017</x:v>
      </x:c>
      <x:c r="J6069" s="40" t="n">
        <x:f>H6069^2</x:f>
        <x:v>1.8279443522734762</x:v>
      </x:c>
      <x:c r="K6069" s="40" t="n">
        <x:f>G6069-E6069</x:f>
        <x:v>0</x:v>
      </x:c>
      <x:c r="L6069" s="40" t="n">
        <x:f>ABS(K6069)</x:f>
        <x:v>0</x:v>
      </x:c>
      <x:c r="M6069" s="41" t="str">
        <x:v>lstm-soil-v1</x:v>
      </x:c>
    </x:row>
    <x:row r="6070">
      <x:c r="A6070" s="38" t="str">
        <x:v>7月30日现场数据</x:v>
      </x:c>
      <x:c r="B6070" s="39" t="str">
        <x:v>2026-08-05T19:55:00</x:v>
      </x:c>
      <x:c r="C6070" s="39" t="str">
        <x:v>2026-08-05T20:25:00</x:v>
      </x:c>
      <x:c r="D6070" s="47" t="n">
        <x:v>30</x:v>
      </x:c>
      <x:c r="E6070" s="40" t="n">
        <x:v>17.9</x:v>
      </x:c>
      <x:c r="F6070" s="40" t="n">
        <x:v>16.851810455322266</x:v>
      </x:c>
      <x:c r="G6070" s="40" t="n">
        <x:v>17.9</x:v>
      </x:c>
      <x:c r="H6070" s="40" t="n">
        <x:f>F6070-E6070</x:f>
        <x:v>-1.048189544677733</x:v>
      </x:c>
      <x:c r="I6070" s="40" t="n">
        <x:f>ABS(H6070)</x:f>
        <x:v>1.048189544677733</x:v>
      </x:c>
      <x:c r="J6070" s="40" t="n">
        <x:f>H6070^2</x:f>
        <x:v>1.0987013215717132</x:v>
      </x:c>
      <x:c r="K6070" s="40" t="n">
        <x:f>G6070-E6070</x:f>
        <x:v>0</x:v>
      </x:c>
      <x:c r="L6070" s="40" t="n">
        <x:f>ABS(K6070)</x:f>
        <x:v>0</x:v>
      </x:c>
      <x:c r="M6070" s="41" t="str">
        <x:v>lstm-soil-v1</x:v>
      </x:c>
    </x:row>
    <x:row r="6071">
      <x:c r="A6071" s="38" t="str">
        <x:v>7月30日现场数据</x:v>
      </x:c>
      <x:c r="B6071" s="39" t="str">
        <x:v>2026-08-05T19:55:00</x:v>
      </x:c>
      <x:c r="C6071" s="39" t="str">
        <x:v>2026-08-05T20:55:00</x:v>
      </x:c>
      <x:c r="D6071" s="47" t="n">
        <x:v>60</x:v>
      </x:c>
      <x:c r="E6071" s="40" t="n">
        <x:v>17.8</x:v>
      </x:c>
      <x:c r="F6071" s="40" t="n">
        <x:v>18.604633331298828</x:v>
      </x:c>
      <x:c r="G6071" s="40" t="n">
        <x:v>17.9</x:v>
      </x:c>
      <x:c r="H6071" s="40" t="n">
        <x:f>F6071-E6071</x:f>
        <x:v>0.8046333312988274</x:v>
      </x:c>
      <x:c r="I6071" s="40" t="n">
        <x:f>ABS(H6071)</x:f>
        <x:v>0.8046333312988274</x:v>
      </x:c>
      <x:c r="J6071" s="40" t="n">
        <x:f>H6071^2</x:f>
        <x:v>0.6474347978370486</x:v>
      </x:c>
      <x:c r="K6071" s="40" t="n">
        <x:f>G6071-E6071</x:f>
        <x:v>0.09999999999999787</x:v>
      </x:c>
      <x:c r="L6071" s="40" t="n">
        <x:f>ABS(K6071)</x:f>
        <x:v>0.09999999999999787</x:v>
      </x:c>
      <x:c r="M6071" s="41" t="str">
        <x:v>lstm-soil-v1</x:v>
      </x:c>
    </x:row>
    <x:row r="6072">
      <x:c r="A6072" s="38" t="str">
        <x:v>7月30日现场数据</x:v>
      </x:c>
      <x:c r="B6072" s="39" t="str">
        <x:v>2026-08-05T20:00:00</x:v>
      </x:c>
      <x:c r="C6072" s="39" t="str">
        <x:v>2026-08-05T20:05:00</x:v>
      </x:c>
      <x:c r="D6072" s="47" t="n">
        <x:v>5</x:v>
      </x:c>
      <x:c r="E6072" s="40" t="n">
        <x:v>17.9</x:v>
      </x:c>
      <x:c r="F6072" s="40" t="n">
        <x:v>16.45336151123047</x:v>
      </x:c>
      <x:c r="G6072" s="40" t="n">
        <x:v>17.9</x:v>
      </x:c>
      <x:c r="H6072" s="40" t="n">
        <x:f>F6072-E6072</x:f>
        <x:v>-1.4466384887695298</x:v>
      </x:c>
      <x:c r="I6072" s="40" t="n">
        <x:f>ABS(H6072)</x:f>
        <x:v>1.4466384887695298</x:v>
      </x:c>
      <x:c r="J6072" s="40" t="n">
        <x:f>H6072^2</x:f>
        <x:v>2.092762917189389</x:v>
      </x:c>
      <x:c r="K6072" s="40" t="n">
        <x:f>G6072-E6072</x:f>
        <x:v>0</x:v>
      </x:c>
      <x:c r="L6072" s="40" t="n">
        <x:f>ABS(K6072)</x:f>
        <x:v>0</x:v>
      </x:c>
      <x:c r="M6072" s="41" t="str">
        <x:v>lstm-soil-v1</x:v>
      </x:c>
    </x:row>
    <x:row r="6073">
      <x:c r="A6073" s="38" t="str">
        <x:v>7月30日现场数据</x:v>
      </x:c>
      <x:c r="B6073" s="39" t="str">
        <x:v>2026-08-05T20:00:00</x:v>
      </x:c>
      <x:c r="C6073" s="39" t="str">
        <x:v>2026-08-05T20:15:00</x:v>
      </x:c>
      <x:c r="D6073" s="47" t="n">
        <x:v>15</x:v>
      </x:c>
      <x:c r="E6073" s="40" t="n">
        <x:v>17.8</x:v>
      </x:c>
      <x:c r="F6073" s="40" t="n">
        <x:v>16.547168731689453</x:v>
      </x:c>
      <x:c r="G6073" s="40" t="n">
        <x:v>17.9</x:v>
      </x:c>
      <x:c r="H6073" s="40" t="n">
        <x:f>F6073-E6073</x:f>
        <x:v>-1.2528312683105476</x:v>
      </x:c>
      <x:c r="I6073" s="40" t="n">
        <x:f>ABS(H6073)</x:f>
        <x:v>1.2528312683105476</x:v>
      </x:c>
      <x:c r="J6073" s="40" t="n">
        <x:f>H6073^2</x:f>
        <x:v>1.5695861868566152</x:v>
      </x:c>
      <x:c r="K6073" s="40" t="n">
        <x:f>G6073-E6073</x:f>
        <x:v>0.09999999999999787</x:v>
      </x:c>
      <x:c r="L6073" s="40" t="n">
        <x:f>ABS(K6073)</x:f>
        <x:v>0.09999999999999787</x:v>
      </x:c>
      <x:c r="M6073" s="41" t="str">
        <x:v>lstm-soil-v1</x:v>
      </x:c>
    </x:row>
    <x:row r="6074">
      <x:c r="A6074" s="38" t="str">
        <x:v>7月30日现场数据</x:v>
      </x:c>
      <x:c r="B6074" s="39" t="str">
        <x:v>2026-08-05T20:00:00</x:v>
      </x:c>
      <x:c r="C6074" s="39" t="str">
        <x:v>2026-08-05T20:30:00</x:v>
      </x:c>
      <x:c r="D6074" s="47" t="n">
        <x:v>30</x:v>
      </x:c>
      <x:c r="E6074" s="40" t="n">
        <x:v>17.9</x:v>
      </x:c>
      <x:c r="F6074" s="40" t="n">
        <x:v>16.849510192871094</x:v>
      </x:c>
      <x:c r="G6074" s="40" t="n">
        <x:v>17.9</x:v>
      </x:c>
      <x:c r="H6074" s="40" t="n">
        <x:f>F6074-E6074</x:f>
        <x:v>-1.0504898071289048</x:v>
      </x:c>
      <x:c r="I6074" s="40" t="n">
        <x:f>ABS(H6074)</x:f>
        <x:v>1.0504898071289048</x:v>
      </x:c>
      <x:c r="J6074" s="40" t="n">
        <x:f>H6074^2</x:f>
        <x:v>1.1035288348817236</x:v>
      </x:c>
      <x:c r="K6074" s="40" t="n">
        <x:f>G6074-E6074</x:f>
        <x:v>0</x:v>
      </x:c>
      <x:c r="L6074" s="40" t="n">
        <x:f>ABS(K6074)</x:f>
        <x:v>0</x:v>
      </x:c>
      <x:c r="M6074" s="41" t="str">
        <x:v>lstm-soil-v1</x:v>
      </x:c>
    </x:row>
    <x:row r="6075">
      <x:c r="A6075" s="38" t="str">
        <x:v>7月30日现场数据</x:v>
      </x:c>
      <x:c r="B6075" s="39" t="str">
        <x:v>2026-08-05T20:00:00</x:v>
      </x:c>
      <x:c r="C6075" s="39" t="str">
        <x:v>2026-08-05T21:00:00</x:v>
      </x:c>
      <x:c r="D6075" s="47" t="n">
        <x:v>60</x:v>
      </x:c>
      <x:c r="E6075" s="40" t="n">
        <x:v>17.8</x:v>
      </x:c>
      <x:c r="F6075" s="40" t="n">
        <x:v>18.59850311279297</x:v>
      </x:c>
      <x:c r="G6075" s="40" t="n">
        <x:v>17.9</x:v>
      </x:c>
      <x:c r="H6075" s="40" t="n">
        <x:f>F6075-E6075</x:f>
        <x:v>0.798503112792968</x:v>
      </x:c>
      <x:c r="I6075" s="40" t="n">
        <x:f>ABS(H6075)</x:f>
        <x:v>0.798503112792968</x:v>
      </x:c>
      <x:c r="J6075" s="40" t="n">
        <x:f>H6075^2</x:f>
        <x:v>0.6376072211400594</x:v>
      </x:c>
      <x:c r="K6075" s="40" t="n">
        <x:f>G6075-E6075</x:f>
        <x:v>0.09999999999999787</x:v>
      </x:c>
      <x:c r="L6075" s="40" t="n">
        <x:f>ABS(K6075)</x:f>
        <x:v>0.09999999999999787</x:v>
      </x:c>
      <x:c r="M6075" s="41" t="str">
        <x:v>lstm-soil-v1</x:v>
      </x:c>
    </x:row>
    <x:row r="6076">
      <x:c r="A6076" s="38" t="str">
        <x:v>7月30日现场数据</x:v>
      </x:c>
      <x:c r="B6076" s="39" t="str">
        <x:v>2026-08-05T20:05:00</x:v>
      </x:c>
      <x:c r="C6076" s="39" t="str">
        <x:v>2026-08-05T20:10:00</x:v>
      </x:c>
      <x:c r="D6076" s="47" t="n">
        <x:v>5</x:v>
      </x:c>
      <x:c r="E6076" s="40" t="n">
        <x:v>17.9</x:v>
      </x:c>
      <x:c r="F6076" s="40" t="n">
        <x:v>16.451618194580078</x:v>
      </x:c>
      <x:c r="G6076" s="40" t="n">
        <x:v>17.9</x:v>
      </x:c>
      <x:c r="H6076" s="40" t="n">
        <x:f>F6076-E6076</x:f>
        <x:v>-1.4483818054199205</x:v>
      </x:c>
      <x:c r="I6076" s="40" t="n">
        <x:f>ABS(H6076)</x:f>
        <x:v>1.4483818054199205</x:v>
      </x:c>
      <x:c r="J6076" s="40" t="n">
        <x:f>H6076^2</x:f>
        <x:v>2.0978098542714685</x:v>
      </x:c>
      <x:c r="K6076" s="40" t="n">
        <x:f>G6076-E6076</x:f>
        <x:v>0</x:v>
      </x:c>
      <x:c r="L6076" s="40" t="n">
        <x:f>ABS(K6076)</x:f>
        <x:v>0</x:v>
      </x:c>
      <x:c r="M6076" s="41" t="str">
        <x:v>lstm-soil-v1</x:v>
      </x:c>
    </x:row>
    <x:row r="6077">
      <x:c r="A6077" s="38" t="str">
        <x:v>7月30日现场数据</x:v>
      </x:c>
      <x:c r="B6077" s="39" t="str">
        <x:v>2026-08-05T20:05:00</x:v>
      </x:c>
      <x:c r="C6077" s="39" t="str">
        <x:v>2026-08-05T20:20:00</x:v>
      </x:c>
      <x:c r="D6077" s="47" t="n">
        <x:v>15</x:v>
      </x:c>
      <x:c r="E6077" s="40" t="n">
        <x:v>17.9</x:v>
      </x:c>
      <x:c r="F6077" s="40" t="n">
        <x:v>16.54657745361328</x:v>
      </x:c>
      <x:c r="G6077" s="40" t="n">
        <x:v>17.9</x:v>
      </x:c>
      <x:c r="H6077" s="40" t="n">
        <x:f>F6077-E6077</x:f>
        <x:v>-1.3534225463867173</x:v>
      </x:c>
      <x:c r="I6077" s="40" t="n">
        <x:f>ABS(H6077)</x:f>
        <x:v>1.3534225463867173</x:v>
      </x:c>
      <x:c r="J6077" s="40" t="n">
        <x:f>H6077^2</x:f>
        <x:v>1.831752589067906</x:v>
      </x:c>
      <x:c r="K6077" s="40" t="n">
        <x:f>G6077-E6077</x:f>
        <x:v>0</x:v>
      </x:c>
      <x:c r="L6077" s="40" t="n">
        <x:f>ABS(K6077)</x:f>
        <x:v>0</x:v>
      </x:c>
      <x:c r="M6077" s="41" t="str">
        <x:v>lstm-soil-v1</x:v>
      </x:c>
    </x:row>
    <x:row r="6078">
      <x:c r="A6078" s="38" t="str">
        <x:v>7月30日现场数据</x:v>
      </x:c>
      <x:c r="B6078" s="39" t="str">
        <x:v>2026-08-05T20:05:00</x:v>
      </x:c>
      <x:c r="C6078" s="39" t="str">
        <x:v>2026-08-05T20:35:00</x:v>
      </x:c>
      <x:c r="D6078" s="47" t="n">
        <x:v>30</x:v>
      </x:c>
      <x:c r="E6078" s="40" t="n">
        <x:v>17.8</x:v>
      </x:c>
      <x:c r="F6078" s="40" t="n">
        <x:v>16.848796844482422</x:v>
      </x:c>
      <x:c r="G6078" s="40" t="n">
        <x:v>17.9</x:v>
      </x:c>
      <x:c r="H6078" s="40" t="n">
        <x:f>F6078-E6078</x:f>
        <x:v>-0.9512031555175788</x:v>
      </x:c>
      <x:c r="I6078" s="40" t="n">
        <x:f>ABS(H6078)</x:f>
        <x:v>0.9512031555175788</x:v>
      </x:c>
      <x:c r="J6078" s="40" t="n">
        <x:f>H6078^2</x:f>
        <x:v>0.9047874430665993</x:v>
      </x:c>
      <x:c r="K6078" s="40" t="n">
        <x:f>G6078-E6078</x:f>
        <x:v>0.09999999999999787</x:v>
      </x:c>
      <x:c r="L6078" s="40" t="n">
        <x:f>ABS(K6078)</x:f>
        <x:v>0.09999999999999787</x:v>
      </x:c>
      <x:c r="M6078" s="41" t="str">
        <x:v>lstm-soil-v1</x:v>
      </x:c>
    </x:row>
    <x:row r="6079">
      <x:c r="A6079" s="38" t="str">
        <x:v>7月30日现场数据</x:v>
      </x:c>
      <x:c r="B6079" s="39" t="str">
        <x:v>2026-08-05T20:05:00</x:v>
      </x:c>
      <x:c r="C6079" s="39" t="str">
        <x:v>2026-08-05T21:05:00</x:v>
      </x:c>
      <x:c r="D6079" s="47" t="n">
        <x:v>60</x:v>
      </x:c>
      <x:c r="E6079" s="40" t="n">
        <x:v>17.8</x:v>
      </x:c>
      <x:c r="F6079" s="40" t="n">
        <x:v>18.594226837158203</x:v>
      </x:c>
      <x:c r="G6079" s="40" t="n">
        <x:v>17.9</x:v>
      </x:c>
      <x:c r="H6079" s="40" t="n">
        <x:f>F6079-E6079</x:f>
        <x:v>0.7942268371582024</x:v>
      </x:c>
      <x:c r="I6079" s="40" t="n">
        <x:f>ABS(H6079)</x:f>
        <x:v>0.7942268371582024</x:v>
      </x:c>
      <x:c r="J6079" s="40" t="n">
        <x:f>H6079^2</x:f>
        <x:v>0.6307962688623218</x:v>
      </x:c>
      <x:c r="K6079" s="40" t="n">
        <x:f>G6079-E6079</x:f>
        <x:v>0.09999999999999787</x:v>
      </x:c>
      <x:c r="L6079" s="40" t="n">
        <x:f>ABS(K6079)</x:f>
        <x:v>0.09999999999999787</x:v>
      </x:c>
      <x:c r="M6079" s="41" t="str">
        <x:v>lstm-soil-v1</x:v>
      </x:c>
    </x:row>
    <x:row r="6080">
      <x:c r="A6080" s="38" t="str">
        <x:v>7月30日现场数据</x:v>
      </x:c>
      <x:c r="B6080" s="39" t="str">
        <x:v>2026-08-05T20:10:00</x:v>
      </x:c>
      <x:c r="C6080" s="39" t="str">
        <x:v>2026-08-05T20:15:00</x:v>
      </x:c>
      <x:c r="D6080" s="47" t="n">
        <x:v>5</x:v>
      </x:c>
      <x:c r="E6080" s="40" t="n">
        <x:v>17.8</x:v>
      </x:c>
      <x:c r="F6080" s="40" t="n">
        <x:v>16.450347900390625</x:v>
      </x:c>
      <x:c r="G6080" s="40" t="n">
        <x:v>17.9</x:v>
      </x:c>
      <x:c r="H6080" s="40" t="n">
        <x:f>F6080-E6080</x:f>
        <x:v>-1.3496520996093757</x:v>
      </x:c>
      <x:c r="I6080" s="40" t="n">
        <x:f>ABS(H6080)</x:f>
        <x:v>1.3496520996093757</x:v>
      </x:c>
      <x:c r="J6080" s="40" t="n">
        <x:f>H6080^2</x:f>
        <x:v>1.8215607899799962</x:v>
      </x:c>
      <x:c r="K6080" s="40" t="n">
        <x:f>G6080-E6080</x:f>
        <x:v>0.09999999999999787</x:v>
      </x:c>
      <x:c r="L6080" s="40" t="n">
        <x:f>ABS(K6080)</x:f>
        <x:v>0.09999999999999787</x:v>
      </x:c>
      <x:c r="M6080" s="41" t="str">
        <x:v>lstm-soil-v1</x:v>
      </x:c>
    </x:row>
    <x:row r="6081">
      <x:c r="A6081" s="38" t="str">
        <x:v>7月30日现场数据</x:v>
      </x:c>
      <x:c r="B6081" s="39" t="str">
        <x:v>2026-08-05T20:10:00</x:v>
      </x:c>
      <x:c r="C6081" s="39" t="str">
        <x:v>2026-08-05T20:25:00</x:v>
      </x:c>
      <x:c r="D6081" s="47" t="n">
        <x:v>15</x:v>
      </x:c>
      <x:c r="E6081" s="40" t="n">
        <x:v>17.9</x:v>
      </x:c>
      <x:c r="F6081" s="40" t="n">
        <x:v>16.546058654785156</x:v>
      </x:c>
      <x:c r="G6081" s="40" t="n">
        <x:v>17.9</x:v>
      </x:c>
      <x:c r="H6081" s="40" t="n">
        <x:f>F6081-E6081</x:f>
        <x:v>-1.3539413452148423</x:v>
      </x:c>
      <x:c r="I6081" s="40" t="n">
        <x:f>ABS(H6081)</x:f>
        <x:v>1.3539413452148423</x:v>
      </x:c>
      <x:c r="J6081" s="40" t="n">
        <x:f>H6081^2</x:f>
        <x:v>1.8331571662821768</x:v>
      </x:c>
      <x:c r="K6081" s="40" t="n">
        <x:f>G6081-E6081</x:f>
        <x:v>0</x:v>
      </x:c>
      <x:c r="L6081" s="40" t="n">
        <x:f>ABS(K6081)</x:f>
        <x:v>0</x:v>
      </x:c>
      <x:c r="M6081" s="41" t="str">
        <x:v>lstm-soil-v1</x:v>
      </x:c>
    </x:row>
    <x:row r="6082">
      <x:c r="A6082" s="38" t="str">
        <x:v>7月30日现场数据</x:v>
      </x:c>
      <x:c r="B6082" s="39" t="str">
        <x:v>2026-08-05T20:10:00</x:v>
      </x:c>
      <x:c r="C6082" s="39" t="str">
        <x:v>2026-08-05T20:40:00</x:v>
      </x:c>
      <x:c r="D6082" s="47" t="n">
        <x:v>30</x:v>
      </x:c>
      <x:c r="E6082" s="40" t="n">
        <x:v>17.8</x:v>
      </x:c>
      <x:c r="F6082" s="40" t="n">
        <x:v>16.848857879638672</x:v>
      </x:c>
      <x:c r="G6082" s="40" t="n">
        <x:v>17.9</x:v>
      </x:c>
      <x:c r="H6082" s="40" t="n">
        <x:f>F6082-E6082</x:f>
        <x:v>-0.9511421203613288</x:v>
      </x:c>
      <x:c r="I6082" s="40" t="n">
        <x:f>ABS(H6082)</x:f>
        <x:v>0.9511421203613288</x:v>
      </x:c>
      <x:c r="J6082" s="40" t="n">
        <x:f>H6082^2</x:f>
        <x:v>0.9046713331254446</x:v>
      </x:c>
      <x:c r="K6082" s="40" t="n">
        <x:f>G6082-E6082</x:f>
        <x:v>0.09999999999999787</x:v>
      </x:c>
      <x:c r="L6082" s="40" t="n">
        <x:f>ABS(K6082)</x:f>
        <x:v>0.09999999999999787</x:v>
      </x:c>
      <x:c r="M6082" s="41" t="str">
        <x:v>lstm-soil-v1</x:v>
      </x:c>
    </x:row>
    <x:row r="6083">
      <x:c r="A6083" s="38" t="str">
        <x:v>7月30日现场数据</x:v>
      </x:c>
      <x:c r="B6083" s="39" t="str">
        <x:v>2026-08-05T20:10:00</x:v>
      </x:c>
      <x:c r="C6083" s="39" t="str">
        <x:v>2026-08-05T21:10:00</x:v>
      </x:c>
      <x:c r="D6083" s="47" t="n">
        <x:v>60</x:v>
      </x:c>
      <x:c r="E6083" s="40" t="n">
        <x:v>17.8</x:v>
      </x:c>
      <x:c r="F6083" s="40" t="n">
        <x:v>18.591392517089844</x:v>
      </x:c>
      <x:c r="G6083" s="40" t="n">
        <x:v>17.9</x:v>
      </x:c>
      <x:c r="H6083" s="40" t="n">
        <x:f>F6083-E6083</x:f>
        <x:v>0.791392517089843</x:v>
      </x:c>
      <x:c r="I6083" s="40" t="n">
        <x:f>ABS(H6083)</x:f>
        <x:v>0.791392517089843</x:v>
      </x:c>
      <x:c r="J6083" s="40" t="n">
        <x:f>H6083^2</x:f>
        <x:v>0.6263021161057976</x:v>
      </x:c>
      <x:c r="K6083" s="40" t="n">
        <x:f>G6083-E6083</x:f>
        <x:v>0.09999999999999787</x:v>
      </x:c>
      <x:c r="L6083" s="40" t="n">
        <x:f>ABS(K6083)</x:f>
        <x:v>0.09999999999999787</x:v>
      </x:c>
      <x:c r="M6083" s="41" t="str">
        <x:v>lstm-soil-v1</x:v>
      </x:c>
    </x:row>
    <x:row r="6084">
      <x:c r="A6084" s="38" t="str">
        <x:v>7月30日现场数据</x:v>
      </x:c>
      <x:c r="B6084" s="39" t="str">
        <x:v>2026-08-05T20:15:00</x:v>
      </x:c>
      <x:c r="C6084" s="39" t="str">
        <x:v>2026-08-05T20:20:00</x:v>
      </x:c>
      <x:c r="D6084" s="47" t="n">
        <x:v>5</x:v>
      </x:c>
      <x:c r="E6084" s="40" t="n">
        <x:v>17.9</x:v>
      </x:c>
      <x:c r="F6084" s="40" t="n">
        <x:v>16.33911895751953</x:v>
      </x:c>
      <x:c r="G6084" s="40" t="n">
        <x:v>17.8</x:v>
      </x:c>
      <x:c r="H6084" s="40" t="n">
        <x:f>F6084-E6084</x:f>
        <x:v>-1.5608810424804673</x:v>
      </x:c>
      <x:c r="I6084" s="40" t="n">
        <x:f>ABS(H6084)</x:f>
        <x:v>1.5608810424804673</x:v>
      </x:c>
      <x:c r="J6084" s="40" t="n">
        <x:f>H6084^2</x:f>
        <x:v>2.4363496287749102</x:v>
      </x:c>
      <x:c r="K6084" s="40" t="n">
        <x:f>G6084-E6084</x:f>
        <x:v>-0.09999999999999787</x:v>
      </x:c>
      <x:c r="L6084" s="40" t="n">
        <x:f>ABS(K6084)</x:f>
        <x:v>0.09999999999999787</x:v>
      </x:c>
      <x:c r="M6084" s="41" t="str">
        <x:v>lstm-soil-v1</x:v>
      </x:c>
    </x:row>
    <x:row r="6085">
      <x:c r="A6085" s="38" t="str">
        <x:v>7月30日现场数据</x:v>
      </x:c>
      <x:c r="B6085" s="39" t="str">
        <x:v>2026-08-05T20:15:00</x:v>
      </x:c>
      <x:c r="C6085" s="39" t="str">
        <x:v>2026-08-05T20:30:00</x:v>
      </x:c>
      <x:c r="D6085" s="47" t="n">
        <x:v>15</x:v>
      </x:c>
      <x:c r="E6085" s="40" t="n">
        <x:v>17.9</x:v>
      </x:c>
      <x:c r="F6085" s="40" t="n">
        <x:v>16.435420989990234</x:v>
      </x:c>
      <x:c r="G6085" s="40" t="n">
        <x:v>17.8</x:v>
      </x:c>
      <x:c r="H6085" s="40" t="n">
        <x:f>F6085-E6085</x:f>
        <x:v>-1.4645790100097642</x:v>
      </x:c>
      <x:c r="I6085" s="40" t="n">
        <x:f>ABS(H6085)</x:f>
        <x:v>1.4645790100097642</x:v>
      </x:c>
      <x:c r="J6085" s="40" t="n">
        <x:f>H6085^2</x:f>
        <x:v>2.144991676561181</x:v>
      </x:c>
      <x:c r="K6085" s="40" t="n">
        <x:f>G6085-E6085</x:f>
        <x:v>-0.09999999999999787</x:v>
      </x:c>
      <x:c r="L6085" s="40" t="n">
        <x:f>ABS(K6085)</x:f>
        <x:v>0.09999999999999787</x:v>
      </x:c>
      <x:c r="M6085" s="41" t="str">
        <x:v>lstm-soil-v1</x:v>
      </x:c>
    </x:row>
    <x:row r="6086">
      <x:c r="A6086" s="38" t="str">
        <x:v>7月30日现场数据</x:v>
      </x:c>
      <x:c r="B6086" s="39" t="str">
        <x:v>2026-08-05T20:15:00</x:v>
      </x:c>
      <x:c r="C6086" s="39" t="str">
        <x:v>2026-08-05T20:45:00</x:v>
      </x:c>
      <x:c r="D6086" s="47" t="n">
        <x:v>30</x:v>
      </x:c>
      <x:c r="E6086" s="40" t="n">
        <x:v>17.8</x:v>
      </x:c>
      <x:c r="F6086" s="40" t="n">
        <x:v>16.73912811279297</x:v>
      </x:c>
      <x:c r="G6086" s="40" t="n">
        <x:v>17.8</x:v>
      </x:c>
      <x:c r="H6086" s="40" t="n">
        <x:f>F6086-E6086</x:f>
        <x:v>-1.060871887207032</x:v>
      </x:c>
      <x:c r="I6086" s="40" t="n">
        <x:f>ABS(H6086)</x:f>
        <x:v>1.060871887207032</x:v>
      </x:c>
      <x:c r="J6086" s="40" t="n">
        <x:f>H6086^2</x:f>
        <x:v>1.1254491610662096</x:v>
      </x:c>
      <x:c r="K6086" s="40" t="n">
        <x:f>G6086-E6086</x:f>
        <x:v>0</x:v>
      </x:c>
      <x:c r="L6086" s="40" t="n">
        <x:f>ABS(K6086)</x:f>
        <x:v>0</x:v>
      </x:c>
      <x:c r="M6086" s="41" t="str">
        <x:v>lstm-soil-v1</x:v>
      </x:c>
    </x:row>
    <x:row r="6087">
      <x:c r="A6087" s="38" t="str">
        <x:v>7月30日现场数据</x:v>
      </x:c>
      <x:c r="B6087" s="39" t="str">
        <x:v>2026-08-05T20:15:00</x:v>
      </x:c>
      <x:c r="C6087" s="39" t="str">
        <x:v>2026-08-05T21:15:00</x:v>
      </x:c>
      <x:c r="D6087" s="47" t="n">
        <x:v>60</x:v>
      </x:c>
      <x:c r="E6087" s="40" t="n">
        <x:v>17.8</x:v>
      </x:c>
      <x:c r="F6087" s="40" t="n">
        <x:v>18.479530334472656</x:v>
      </x:c>
      <x:c r="G6087" s="40" t="n">
        <x:v>17.8</x:v>
      </x:c>
      <x:c r="H6087" s="40" t="n">
        <x:f>F6087-E6087</x:f>
        <x:v>0.6795303344726555</x:v>
      </x:c>
      <x:c r="I6087" s="40" t="n">
        <x:f>ABS(H6087)</x:f>
        <x:v>0.6795303344726555</x:v>
      </x:c>
      <x:c r="J6087" s="40" t="n">
        <x:f>H6087^2</x:f>
        <x:v>0.4617614754685191</x:v>
      </x:c>
      <x:c r="K6087" s="40" t="n">
        <x:f>G6087-E6087</x:f>
        <x:v>0</x:v>
      </x:c>
      <x:c r="L6087" s="40" t="n">
        <x:f>ABS(K6087)</x:f>
        <x:v>0</x:v>
      </x:c>
      <x:c r="M6087" s="41" t="str">
        <x:v>lstm-soil-v1</x:v>
      </x:c>
    </x:row>
    <x:row r="6088">
      <x:c r="A6088" s="38" t="str">
        <x:v>7月30日现场数据</x:v>
      </x:c>
      <x:c r="B6088" s="39" t="str">
        <x:v>2026-08-05T20:20:00</x:v>
      </x:c>
      <x:c r="C6088" s="39" t="str">
        <x:v>2026-08-05T20:25:00</x:v>
      </x:c>
      <x:c r="D6088" s="47" t="n">
        <x:v>5</x:v>
      </x:c>
      <x:c r="E6088" s="40" t="n">
        <x:v>17.9</x:v>
      </x:c>
      <x:c r="F6088" s="40" t="n">
        <x:v>16.448650360107422</x:v>
      </x:c>
      <x:c r="G6088" s="40" t="n">
        <x:v>17.9</x:v>
      </x:c>
      <x:c r="H6088" s="40" t="n">
        <x:f>F6088-E6088</x:f>
        <x:v>-1.4513496398925767</x:v>
      </x:c>
      <x:c r="I6088" s="40" t="n">
        <x:f>ABS(H6088)</x:f>
        <x:v>1.4513496398925767</x:v>
      </x:c>
      <x:c r="J6088" s="40" t="n">
        <x:f>H6088^2</x:f>
        <x:v>2.106415777216312</x:v>
      </x:c>
      <x:c r="K6088" s="40" t="n">
        <x:f>G6088-E6088</x:f>
        <x:v>0</x:v>
      </x:c>
      <x:c r="L6088" s="40" t="n">
        <x:f>ABS(K6088)</x:f>
        <x:v>0</x:v>
      </x:c>
      <x:c r="M6088" s="41" t="str">
        <x:v>lstm-soil-v1</x:v>
      </x:c>
    </x:row>
    <x:row r="6089">
      <x:c r="A6089" s="38" t="str">
        <x:v>7月30日现场数据</x:v>
      </x:c>
      <x:c r="B6089" s="39" t="str">
        <x:v>2026-08-05T20:20:00</x:v>
      </x:c>
      <x:c r="C6089" s="39" t="str">
        <x:v>2026-08-05T20:35:00</x:v>
      </x:c>
      <x:c r="D6089" s="47" t="n">
        <x:v>15</x:v>
      </x:c>
      <x:c r="E6089" s="40" t="n">
        <x:v>17.8</x:v>
      </x:c>
      <x:c r="F6089" s="40" t="n">
        <x:v>16.544986724853516</x:v>
      </x:c>
      <x:c r="G6089" s="40" t="n">
        <x:v>17.9</x:v>
      </x:c>
      <x:c r="H6089" s="40" t="n">
        <x:f>F6089-E6089</x:f>
        <x:v>-1.255013275146485</x:v>
      </x:c>
      <x:c r="I6089" s="40" t="n">
        <x:f>ABS(H6089)</x:f>
        <x:v>1.255013275146485</x:v>
      </x:c>
      <x:c r="J6089" s="40" t="n">
        <x:f>H6089^2</x:f>
        <x:v>1.575058320793907</x:v>
      </x:c>
      <x:c r="K6089" s="40" t="n">
        <x:f>G6089-E6089</x:f>
        <x:v>0.09999999999999787</x:v>
      </x:c>
      <x:c r="L6089" s="40" t="n">
        <x:f>ABS(K6089)</x:f>
        <x:v>0.09999999999999787</x:v>
      </x:c>
      <x:c r="M6089" s="41" t="str">
        <x:v>lstm-soil-v1</x:v>
      </x:c>
    </x:row>
    <x:row r="6090">
      <x:c r="A6090" s="38" t="str">
        <x:v>7月30日现场数据</x:v>
      </x:c>
      <x:c r="B6090" s="39" t="str">
        <x:v>2026-08-05T20:20:00</x:v>
      </x:c>
      <x:c r="C6090" s="39" t="str">
        <x:v>2026-08-05T20:50:00</x:v>
      </x:c>
      <x:c r="D6090" s="47" t="n">
        <x:v>30</x:v>
      </x:c>
      <x:c r="E6090" s="40" t="n">
        <x:v>17.8</x:v>
      </x:c>
      <x:c r="F6090" s="40" t="n">
        <x:v>16.849777221679688</x:v>
      </x:c>
      <x:c r="G6090" s="40" t="n">
        <x:v>17.9</x:v>
      </x:c>
      <x:c r="H6090" s="40" t="n">
        <x:f>F6090-E6090</x:f>
        <x:v>-0.9502227783203132</x:v>
      </x:c>
      <x:c r="I6090" s="40" t="n">
        <x:f>ABS(H6090)</x:f>
        <x:v>0.9502227783203132</x:v>
      </x:c>
      <x:c r="J6090" s="40" t="n">
        <x:f>H6090^2</x:f>
        <x:v>0.9029233284387751</x:v>
      </x:c>
      <x:c r="K6090" s="40" t="n">
        <x:f>G6090-E6090</x:f>
        <x:v>0.09999999999999787</x:v>
      </x:c>
      <x:c r="L6090" s="40" t="n">
        <x:f>ABS(K6090)</x:f>
        <x:v>0.09999999999999787</x:v>
      </x:c>
      <x:c r="M6090" s="41" t="str">
        <x:v>lstm-soil-v1</x:v>
      </x:c>
    </x:row>
    <x:row r="6091">
      <x:c r="A6091" s="38" t="str">
        <x:v>7月30日现场数据</x:v>
      </x:c>
      <x:c r="B6091" s="39" t="str">
        <x:v>2026-08-05T20:20:00</x:v>
      </x:c>
      <x:c r="C6091" s="39" t="str">
        <x:v>2026-08-05T21:20:00</x:v>
      </x:c>
      <x:c r="D6091" s="47" t="n">
        <x:v>60</x:v>
      </x:c>
      <x:c r="E6091" s="40" t="n">
        <x:v>17.8</x:v>
      </x:c>
      <x:c r="F6091" s="40" t="n">
        <x:v>18.588645935058594</x:v>
      </x:c>
      <x:c r="G6091" s="40" t="n">
        <x:v>17.9</x:v>
      </x:c>
      <x:c r="H6091" s="40" t="n">
        <x:f>F6091-E6091</x:f>
        <x:v>0.788645935058593</x:v>
      </x:c>
      <x:c r="I6091" s="40" t="n">
        <x:f>ABS(H6091)</x:f>
        <x:v>0.788645935058593</x:v>
      </x:c>
      <x:c r="J6091" s="40" t="n">
        <x:f>H6091^2</x:f>
        <x:v>0.6219624108844426</x:v>
      </x:c>
      <x:c r="K6091" s="40" t="n">
        <x:f>G6091-E6091</x:f>
        <x:v>0.09999999999999787</x:v>
      </x:c>
      <x:c r="L6091" s="40" t="n">
        <x:f>ABS(K6091)</x:f>
        <x:v>0.09999999999999787</x:v>
      </x:c>
      <x:c r="M6091" s="41" t="str">
        <x:v>lstm-soil-v1</x:v>
      </x:c>
    </x:row>
    <x:row r="6092">
      <x:c r="A6092" s="38" t="str">
        <x:v>7月30日现场数据</x:v>
      </x:c>
      <x:c r="B6092" s="39" t="str">
        <x:v>2026-08-05T20:25:00</x:v>
      </x:c>
      <x:c r="C6092" s="39" t="str">
        <x:v>2026-08-05T20:30:00</x:v>
      </x:c>
      <x:c r="D6092" s="47" t="n">
        <x:v>5</x:v>
      </x:c>
      <x:c r="E6092" s="40" t="n">
        <x:v>17.9</x:v>
      </x:c>
      <x:c r="F6092" s="40" t="n">
        <x:v>16.448413848876953</x:v>
      </x:c>
      <x:c r="G6092" s="40" t="n">
        <x:v>17.9</x:v>
      </x:c>
      <x:c r="H6092" s="40" t="n">
        <x:f>F6092-E6092</x:f>
        <x:v>-1.4515861511230455</x:v>
      </x:c>
      <x:c r="I6092" s="40" t="n">
        <x:f>ABS(H6092)</x:f>
        <x:v>1.4515861511230455</x:v>
      </x:c>
      <x:c r="J6092" s="40" t="n">
        <x:f>H6092^2</x:f>
        <x:v>2.107102354132217</x:v>
      </x:c>
      <x:c r="K6092" s="40" t="n">
        <x:f>G6092-E6092</x:f>
        <x:v>0</x:v>
      </x:c>
      <x:c r="L6092" s="40" t="n">
        <x:f>ABS(K6092)</x:f>
        <x:v>0</x:v>
      </x:c>
      <x:c r="M6092" s="41" t="str">
        <x:v>lstm-soil-v1</x:v>
      </x:c>
    </x:row>
    <x:row r="6093">
      <x:c r="A6093" s="38" t="str">
        <x:v>7月30日现场数据</x:v>
      </x:c>
      <x:c r="B6093" s="39" t="str">
        <x:v>2026-08-05T20:25:00</x:v>
      </x:c>
      <x:c r="C6093" s="39" t="str">
        <x:v>2026-08-05T20:40:00</x:v>
      </x:c>
      <x:c r="D6093" s="47" t="n">
        <x:v>15</x:v>
      </x:c>
      <x:c r="E6093" s="40" t="n">
        <x:v>17.8</x:v>
      </x:c>
      <x:c r="F6093" s="40" t="n">
        <x:v>16.544544219970703</x:v>
      </x:c>
      <x:c r="G6093" s="40" t="n">
        <x:v>17.9</x:v>
      </x:c>
      <x:c r="H6093" s="40" t="n">
        <x:f>F6093-E6093</x:f>
        <x:v>-1.2554557800292976</x:v>
      </x:c>
      <x:c r="I6093" s="40" t="n">
        <x:f>ABS(H6093)</x:f>
        <x:v>1.2554557800292976</x:v>
      </x:c>
      <x:c r="J6093" s="40" t="n">
        <x:f>H6093^2</x:f>
        <x:v>1.576169215608972</x:v>
      </x:c>
      <x:c r="K6093" s="40" t="n">
        <x:f>G6093-E6093</x:f>
        <x:v>0.09999999999999787</x:v>
      </x:c>
      <x:c r="L6093" s="40" t="n">
        <x:f>ABS(K6093)</x:f>
        <x:v>0.09999999999999787</x:v>
      </x:c>
      <x:c r="M6093" s="41" t="str">
        <x:v>lstm-soil-v1</x:v>
      </x:c>
    </x:row>
    <x:row r="6094">
      <x:c r="A6094" s="38" t="str">
        <x:v>7月30日现场数据</x:v>
      </x:c>
      <x:c r="B6094" s="39" t="str">
        <x:v>2026-08-05T20:25:00</x:v>
      </x:c>
      <x:c r="C6094" s="39" t="str">
        <x:v>2026-08-05T20:55:00</x:v>
      </x:c>
      <x:c r="D6094" s="47" t="n">
        <x:v>30</x:v>
      </x:c>
      <x:c r="E6094" s="40" t="n">
        <x:v>17.8</x:v>
      </x:c>
      <x:c r="F6094" s="40" t="n">
        <x:v>16.850635528564453</x:v>
      </x:c>
      <x:c r="G6094" s="40" t="n">
        <x:v>17.9</x:v>
      </x:c>
      <x:c r="H6094" s="40" t="n">
        <x:f>F6094-E6094</x:f>
        <x:v>-0.9493644714355476</x:v>
      </x:c>
      <x:c r="I6094" s="40" t="n">
        <x:f>ABS(H6094)</x:f>
        <x:v>0.9493644714355476</x:v>
      </x:c>
      <x:c r="J6094" s="40" t="n">
        <x:f>H6094^2</x:f>
        <x:v>0.9012928996240966</x:v>
      </x:c>
      <x:c r="K6094" s="40" t="n">
        <x:f>G6094-E6094</x:f>
        <x:v>0.09999999999999787</x:v>
      </x:c>
      <x:c r="L6094" s="40" t="n">
        <x:f>ABS(K6094)</x:f>
        <x:v>0.09999999999999787</x:v>
      </x:c>
      <x:c r="M6094" s="41" t="str">
        <x:v>lstm-soil-v1</x:v>
      </x:c>
    </x:row>
    <x:row r="6095">
      <x:c r="A6095" s="38" t="str">
        <x:v>7月30日现场数据</x:v>
      </x:c>
      <x:c r="B6095" s="39" t="str">
        <x:v>2026-08-05T20:25:00</x:v>
      </x:c>
      <x:c r="C6095" s="39" t="str">
        <x:v>2026-08-05T21:25:00</x:v>
      </x:c>
      <x:c r="D6095" s="47" t="n">
        <x:v>60</x:v>
      </x:c>
      <x:c r="E6095" s="40" t="n">
        <x:v>17.8</x:v>
      </x:c>
      <x:c r="F6095" s="40" t="n">
        <x:v>18.58844757080078</x:v>
      </x:c>
      <x:c r="G6095" s="40" t="n">
        <x:v>17.9</x:v>
      </x:c>
      <x:c r="H6095" s="40" t="n">
        <x:f>F6095-E6095</x:f>
        <x:v>0.7884475708007805</x:v>
      </x:c>
      <x:c r="I6095" s="40" t="n">
        <x:f>ABS(H6095)</x:f>
        <x:v>0.7884475708007805</x:v>
      </x:c>
      <x:c r="J6095" s="40" t="n">
        <x:f>H6095^2</x:f>
        <x:v>0.6216495719016518</x:v>
      </x:c>
      <x:c r="K6095" s="40" t="n">
        <x:f>G6095-E6095</x:f>
        <x:v>0.09999999999999787</x:v>
      </x:c>
      <x:c r="L6095" s="40" t="n">
        <x:f>ABS(K6095)</x:f>
        <x:v>0.09999999999999787</x:v>
      </x:c>
      <x:c r="M6095" s="41" t="str">
        <x:v>lstm-soil-v1</x:v>
      </x:c>
    </x:row>
    <x:row r="6096">
      <x:c r="A6096" s="38" t="str">
        <x:v>7月30日现场数据</x:v>
      </x:c>
      <x:c r="B6096" s="39" t="str">
        <x:v>2026-08-05T20:30:00</x:v>
      </x:c>
      <x:c r="C6096" s="39" t="str">
        <x:v>2026-08-05T20:35:00</x:v>
      </x:c>
      <x:c r="D6096" s="47" t="n">
        <x:v>5</x:v>
      </x:c>
      <x:c r="E6096" s="40" t="n">
        <x:v>17.8</x:v>
      </x:c>
      <x:c r="F6096" s="40" t="n">
        <x:v>16.448299407958984</x:v>
      </x:c>
      <x:c r="G6096" s="40" t="n">
        <x:v>17.9</x:v>
      </x:c>
      <x:c r="H6096" s="40" t="n">
        <x:f>F6096-E6096</x:f>
        <x:v>-1.3517005920410163</x:v>
      </x:c>
      <x:c r="I6096" s="40" t="n">
        <x:f>ABS(H6096)</x:f>
        <x:v>1.3517005920410163</x:v>
      </x:c>
      <x:c r="J6096" s="40" t="n">
        <x:f>H6096^2</x:f>
        <x:v>1.827094490524034</x:v>
      </x:c>
      <x:c r="K6096" s="40" t="n">
        <x:f>G6096-E6096</x:f>
        <x:v>0.09999999999999787</x:v>
      </x:c>
      <x:c r="L6096" s="40" t="n">
        <x:f>ABS(K6096)</x:f>
        <x:v>0.09999999999999787</x:v>
      </x:c>
      <x:c r="M6096" s="41" t="str">
        <x:v>lstm-soil-v1</x:v>
      </x:c>
    </x:row>
    <x:row r="6097">
      <x:c r="A6097" s="38" t="str">
        <x:v>7月30日现场数据</x:v>
      </x:c>
      <x:c r="B6097" s="39" t="str">
        <x:v>2026-08-05T20:30:00</x:v>
      </x:c>
      <x:c r="C6097" s="39" t="str">
        <x:v>2026-08-05T20:45:00</x:v>
      </x:c>
      <x:c r="D6097" s="47" t="n">
        <x:v>15</x:v>
      </x:c>
      <x:c r="E6097" s="40" t="n">
        <x:v>17.8</x:v>
      </x:c>
      <x:c r="F6097" s="40" t="n">
        <x:v>16.544124603271484</x:v>
      </x:c>
      <x:c r="G6097" s="40" t="n">
        <x:v>17.9</x:v>
      </x:c>
      <x:c r="H6097" s="40" t="n">
        <x:f>F6097-E6097</x:f>
        <x:v>-1.2558753967285163</x:v>
      </x:c>
      <x:c r="I6097" s="40" t="n">
        <x:f>ABS(H6097)</x:f>
        <x:v>1.2558753967285163</x:v>
      </x:c>
      <x:c r="J6097" s="40" t="n">
        <x:f>H6097^2</x:f>
        <x:v>1.5772230121080082</x:v>
      </x:c>
      <x:c r="K6097" s="40" t="n">
        <x:f>G6097-E6097</x:f>
        <x:v>0.09999999999999787</x:v>
      </x:c>
      <x:c r="L6097" s="40" t="n">
        <x:f>ABS(K6097)</x:f>
        <x:v>0.09999999999999787</x:v>
      </x:c>
      <x:c r="M6097" s="41" t="str">
        <x:v>lstm-soil-v1</x:v>
      </x:c>
    </x:row>
    <x:row r="6098">
      <x:c r="A6098" s="38" t="str">
        <x:v>7月30日现场数据</x:v>
      </x:c>
      <x:c r="B6098" s="39" t="str">
        <x:v>2026-08-05T20:30:00</x:v>
      </x:c>
      <x:c r="C6098" s="39" t="str">
        <x:v>2026-08-05T21:00:00</x:v>
      </x:c>
      <x:c r="D6098" s="47" t="n">
        <x:v>30</x:v>
      </x:c>
      <x:c r="E6098" s="40" t="n">
        <x:v>17.8</x:v>
      </x:c>
      <x:c r="F6098" s="40" t="n">
        <x:v>16.85150146484375</x:v>
      </x:c>
      <x:c r="G6098" s="40" t="n">
        <x:v>17.9</x:v>
      </x:c>
      <x:c r="H6098" s="40" t="n">
        <x:f>F6098-E6098</x:f>
        <x:v>-0.9484985351562507</x:v>
      </x:c>
      <x:c r="I6098" s="40" t="n">
        <x:f>ABS(H6098)</x:f>
        <x:v>0.9484985351562507</x:v>
      </x:c>
      <x:c r="J6098" s="40" t="n">
        <x:f>H6098^2</x:f>
        <x:v>0.8996494711935533</x:v>
      </x:c>
      <x:c r="K6098" s="40" t="n">
        <x:f>G6098-E6098</x:f>
        <x:v>0.09999999999999787</x:v>
      </x:c>
      <x:c r="L6098" s="40" t="n">
        <x:f>ABS(K6098)</x:f>
        <x:v>0.09999999999999787</x:v>
      </x:c>
      <x:c r="M6098" s="41" t="str">
        <x:v>lstm-soil-v1</x:v>
      </x:c>
    </x:row>
    <x:row r="6099">
      <x:c r="A6099" s="38" t="str">
        <x:v>7月30日现场数据</x:v>
      </x:c>
      <x:c r="B6099" s="39" t="str">
        <x:v>2026-08-05T20:30:00</x:v>
      </x:c>
      <x:c r="C6099" s="39" t="str">
        <x:v>2026-08-05T21:30:00</x:v>
      </x:c>
      <x:c r="D6099" s="47" t="n">
        <x:v>60</x:v>
      </x:c>
      <x:c r="E6099" s="40" t="n">
        <x:v>17.7</x:v>
      </x:c>
      <x:c r="F6099" s="40" t="n">
        <x:v>18.588558197021484</x:v>
      </x:c>
      <x:c r="G6099" s="40" t="n">
        <x:v>17.9</x:v>
      </x:c>
      <x:c r="H6099" s="40" t="n">
        <x:f>F6099-E6099</x:f>
        <x:v>0.8885581970214851</x:v>
      </x:c>
      <x:c r="I6099" s="40" t="n">
        <x:f>ABS(H6099)</x:f>
        <x:v>0.8885581970214851</x:v>
      </x:c>
      <x:c r="J6099" s="40" t="n">
        <x:f>H6099^2</x:f>
        <x:v>0.7895356694940723</x:v>
      </x:c>
      <x:c r="K6099" s="40" t="n">
        <x:f>G6099-E6099</x:f>
        <x:v>0.1999999999999993</x:v>
      </x:c>
      <x:c r="L6099" s="40" t="n">
        <x:f>ABS(K6099)</x:f>
        <x:v>0.1999999999999993</x:v>
      </x:c>
      <x:c r="M6099" s="41" t="str">
        <x:v>lstm-soil-v1</x:v>
      </x:c>
    </x:row>
    <x:row r="6100">
      <x:c r="A6100" s="38" t="str">
        <x:v>7月30日现场数据</x:v>
      </x:c>
      <x:c r="B6100" s="39" t="str">
        <x:v>2026-08-05T20:35:00</x:v>
      </x:c>
      <x:c r="C6100" s="39" t="str">
        <x:v>2026-08-05T20:40:00</x:v>
      </x:c>
      <x:c r="D6100" s="47" t="n">
        <x:v>5</x:v>
      </x:c>
      <x:c r="E6100" s="40" t="n">
        <x:v>17.8</x:v>
      </x:c>
      <x:c r="F6100" s="40" t="n">
        <x:v>16.337875366210938</x:v>
      </x:c>
      <x:c r="G6100" s="40" t="n">
        <x:v>17.8</x:v>
      </x:c>
      <x:c r="H6100" s="40" t="n">
        <x:f>F6100-E6100</x:f>
        <x:v>-1.4621246337890632</x:v>
      </x:c>
      <x:c r="I6100" s="40" t="n">
        <x:f>ABS(H6100)</x:f>
        <x:v>1.4621246337890632</x:v>
      </x:c>
      <x:c r="J6100" s="40" t="n">
        <x:f>H6100^2</x:f>
        <x:v>2.1378084447328023</x:v>
      </x:c>
      <x:c r="K6100" s="40" t="n">
        <x:f>G6100-E6100</x:f>
        <x:v>0</x:v>
      </x:c>
      <x:c r="L6100" s="40" t="n">
        <x:f>ABS(K6100)</x:f>
        <x:v>0</x:v>
      </x:c>
      <x:c r="M6100" s="41" t="str">
        <x:v>lstm-soil-v1</x:v>
      </x:c>
    </x:row>
    <x:row r="6101">
      <x:c r="A6101" s="38" t="str">
        <x:v>7月30日现场数据</x:v>
      </x:c>
      <x:c r="B6101" s="39" t="str">
        <x:v>2026-08-05T20:35:00</x:v>
      </x:c>
      <x:c r="C6101" s="39" t="str">
        <x:v>2026-08-05T20:50:00</x:v>
      </x:c>
      <x:c r="D6101" s="47" t="n">
        <x:v>15</x:v>
      </x:c>
      <x:c r="E6101" s="40" t="n">
        <x:v>17.8</x:v>
      </x:c>
      <x:c r="F6101" s="40" t="n">
        <x:v>16.433609008789062</x:v>
      </x:c>
      <x:c r="G6101" s="40" t="n">
        <x:v>17.8</x:v>
      </x:c>
      <x:c r="H6101" s="40" t="n">
        <x:f>F6101-E6101</x:f>
        <x:v>-1.3663909912109382</x:v>
      </x:c>
      <x:c r="I6101" s="40" t="n">
        <x:f>ABS(H6101)</x:f>
        <x:v>1.3663909912109382</x:v>
      </x:c>
      <x:c r="J6101" s="40" t="n">
        <x:f>H6101^2</x:f>
        <x:v>1.8670243408624103</x:v>
      </x:c>
      <x:c r="K6101" s="40" t="n">
        <x:f>G6101-E6101</x:f>
        <x:v>0</x:v>
      </x:c>
      <x:c r="L6101" s="40" t="n">
        <x:f>ABS(K6101)</x:f>
        <x:v>0</x:v>
      </x:c>
      <x:c r="M6101" s="41" t="str">
        <x:v>lstm-soil-v1</x:v>
      </x:c>
    </x:row>
    <x:row r="6102">
      <x:c r="A6102" s="38" t="str">
        <x:v>7月30日现场数据</x:v>
      </x:c>
      <x:c r="B6102" s="39" t="str">
        <x:v>2026-08-05T20:35:00</x:v>
      </x:c>
      <x:c r="C6102" s="39" t="str">
        <x:v>2026-08-05T21:05:00</x:v>
      </x:c>
      <x:c r="D6102" s="47" t="n">
        <x:v>30</x:v>
      </x:c>
      <x:c r="E6102" s="40" t="n">
        <x:v>17.8</x:v>
      </x:c>
      <x:c r="F6102" s="40" t="n">
        <x:v>16.742103576660156</x:v>
      </x:c>
      <x:c r="G6102" s="40" t="n">
        <x:v>17.8</x:v>
      </x:c>
      <x:c r="H6102" s="40" t="n">
        <x:f>F6102-E6102</x:f>
        <x:v>-1.0578964233398445</x:v>
      </x:c>
      <x:c r="I6102" s="40" t="n">
        <x:f>ABS(H6102)</x:f>
        <x:v>1.0578964233398445</x:v>
      </x:c>
      <x:c r="J6102" s="40" t="n">
        <x:f>H6102^2</x:f>
        <x:v>1.1191448425152355</x:v>
      </x:c>
      <x:c r="K6102" s="40" t="n">
        <x:f>G6102-E6102</x:f>
        <x:v>0</x:v>
      </x:c>
      <x:c r="L6102" s="40" t="n">
        <x:f>ABS(K6102)</x:f>
        <x:v>0</x:v>
      </x:c>
      <x:c r="M6102" s="41" t="str">
        <x:v>lstm-soil-v1</x:v>
      </x:c>
    </x:row>
    <x:row r="6103">
      <x:c r="A6103" s="38" t="str">
        <x:v>7月30日现场数据</x:v>
      </x:c>
      <x:c r="B6103" s="39" t="str">
        <x:v>2026-08-05T20:35:00</x:v>
      </x:c>
      <x:c r="C6103" s="39" t="str">
        <x:v>2026-08-05T21:35:00</x:v>
      </x:c>
      <x:c r="D6103" s="47" t="n">
        <x:v>60</x:v>
      </x:c>
      <x:c r="E6103" s="40" t="n">
        <x:v>17.8</x:v>
      </x:c>
      <x:c r="F6103" s="40" t="n">
        <x:v>18.478458404541016</x:v>
      </x:c>
      <x:c r="G6103" s="40" t="n">
        <x:v>17.8</x:v>
      </x:c>
      <x:c r="H6103" s="40" t="n">
        <x:f>F6103-E6103</x:f>
        <x:v>0.6784584045410149</x:v>
      </x:c>
      <x:c r="I6103" s="40" t="n">
        <x:f>ABS(H6103)</x:f>
        <x:v>0.6784584045410149</x:v>
      </x:c>
      <x:c r="J6103" s="40" t="n">
        <x:f>H6103^2</x:f>
        <x:v>0.46030580669233945</x:v>
      </x:c>
      <x:c r="K6103" s="40" t="n">
        <x:f>G6103-E6103</x:f>
        <x:v>0</x:v>
      </x:c>
      <x:c r="L6103" s="40" t="n">
        <x:f>ABS(K6103)</x:f>
        <x:v>0</x:v>
      </x:c>
      <x:c r="M6103" s="41" t="str">
        <x:v>lstm-soil-v1</x:v>
      </x:c>
    </x:row>
    <x:row r="6104">
      <x:c r="A6104" s="38" t="str">
        <x:v>7月30日现场数据</x:v>
      </x:c>
      <x:c r="B6104" s="39" t="str">
        <x:v>2026-08-05T20:40:00</x:v>
      </x:c>
      <x:c r="C6104" s="39" t="str">
        <x:v>2026-08-05T20:45:00</x:v>
      </x:c>
      <x:c r="D6104" s="47" t="n">
        <x:v>5</x:v>
      </x:c>
      <x:c r="E6104" s="40" t="n">
        <x:v>17.8</x:v>
      </x:c>
      <x:c r="F6104" s="40" t="n">
        <x:v>16.337684631347656</x:v>
      </x:c>
      <x:c r="G6104" s="40" t="n">
        <x:v>17.8</x:v>
      </x:c>
      <x:c r="H6104" s="40" t="n">
        <x:f>F6104-E6104</x:f>
        <x:v>-1.4623153686523445</x:v>
      </x:c>
      <x:c r="I6104" s="40" t="n">
        <x:f>ABS(H6104)</x:f>
        <x:v>1.4623153686523445</x:v>
      </x:c>
      <x:c r="J6104" s="40" t="n">
        <x:f>H6104^2</x:f>
        <x:v>2.138366237396842</x:v>
      </x:c>
      <x:c r="K6104" s="40" t="n">
        <x:f>G6104-E6104</x:f>
        <x:v>0</x:v>
      </x:c>
      <x:c r="L6104" s="40" t="n">
        <x:f>ABS(K6104)</x:f>
        <x:v>0</x:v>
      </x:c>
      <x:c r="M6104" s="41" t="str">
        <x:v>lstm-soil-v1</x:v>
      </x:c>
    </x:row>
    <x:row r="6105">
      <x:c r="A6105" s="38" t="str">
        <x:v>7月30日现场数据</x:v>
      </x:c>
      <x:c r="B6105" s="39" t="str">
        <x:v>2026-08-05T20:40:00</x:v>
      </x:c>
      <x:c r="C6105" s="39" t="str">
        <x:v>2026-08-05T20:55:00</x:v>
      </x:c>
      <x:c r="D6105" s="47" t="n">
        <x:v>15</x:v>
      </x:c>
      <x:c r="E6105" s="40" t="n">
        <x:v>17.8</x:v>
      </x:c>
      <x:c r="F6105" s="40" t="n">
        <x:v>16.433284759521484</x:v>
      </x:c>
      <x:c r="G6105" s="40" t="n">
        <x:v>17.8</x:v>
      </x:c>
      <x:c r="H6105" s="40" t="n">
        <x:f>F6105-E6105</x:f>
        <x:v>-1.3667152404785163</x:v>
      </x:c>
      <x:c r="I6105" s="40" t="n">
        <x:f>ABS(H6105)</x:f>
        <x:v>1.3667152404785163</x:v>
      </x:c>
      <x:c r="J6105" s="40" t="n">
        <x:f>H6105^2</x:f>
        <x:v>1.8679105485562488</x:v>
      </x:c>
      <x:c r="K6105" s="40" t="n">
        <x:f>G6105-E6105</x:f>
        <x:v>0</x:v>
      </x:c>
      <x:c r="L6105" s="40" t="n">
        <x:f>ABS(K6105)</x:f>
        <x:v>0</x:v>
      </x:c>
      <x:c r="M6105" s="41" t="str">
        <x:v>lstm-soil-v1</x:v>
      </x:c>
    </x:row>
    <x:row r="6106">
      <x:c r="A6106" s="38" t="str">
        <x:v>7月30日现场数据</x:v>
      </x:c>
      <x:c r="B6106" s="39" t="str">
        <x:v>2026-08-05T20:40:00</x:v>
      </x:c>
      <x:c r="C6106" s="39" t="str">
        <x:v>2026-08-05T21:10:00</x:v>
      </x:c>
      <x:c r="D6106" s="47" t="n">
        <x:v>30</x:v>
      </x:c>
      <x:c r="E6106" s="40" t="n">
        <x:v>17.8</x:v>
      </x:c>
      <x:c r="F6106" s="40" t="n">
        <x:v>16.742904663085938</x:v>
      </x:c>
      <x:c r="G6106" s="40" t="n">
        <x:v>17.8</x:v>
      </x:c>
      <x:c r="H6106" s="40" t="n">
        <x:f>F6106-E6106</x:f>
        <x:v>-1.0570953369140632</x:v>
      </x:c>
      <x:c r="I6106" s="40" t="n">
        <x:f>ABS(H6106)</x:f>
        <x:v>1.0570953369140632</x:v>
      </x:c>
      <x:c r="J6106" s="40" t="n">
        <x:f>H6106^2</x:f>
        <x:v>1.117450551325457</x:v>
      </x:c>
      <x:c r="K6106" s="40" t="n">
        <x:f>G6106-E6106</x:f>
        <x:v>0</x:v>
      </x:c>
      <x:c r="L6106" s="40" t="n">
        <x:f>ABS(K6106)</x:f>
        <x:v>0</x:v>
      </x:c>
      <x:c r="M6106" s="41" t="str">
        <x:v>lstm-soil-v1</x:v>
      </x:c>
    </x:row>
    <x:row r="6107">
      <x:c r="A6107" s="38" t="str">
        <x:v>7月30日现场数据</x:v>
      </x:c>
      <x:c r="B6107" s="39" t="str">
        <x:v>2026-08-05T20:40:00</x:v>
      </x:c>
      <x:c r="C6107" s="39" t="str">
        <x:v>2026-08-05T21:40:00</x:v>
      </x:c>
      <x:c r="D6107" s="47" t="n">
        <x:v>60</x:v>
      </x:c>
      <x:c r="E6107" s="40" t="n">
        <x:v>17.8</x:v>
      </x:c>
      <x:c r="F6107" s="40" t="n">
        <x:v>18.47864532470703</x:v>
      </x:c>
      <x:c r="G6107" s="40" t="n">
        <x:v>17.8</x:v>
      </x:c>
      <x:c r="H6107" s="40" t="n">
        <x:f>F6107-E6107</x:f>
        <x:v>0.6786453247070305</x:v>
      </x:c>
      <x:c r="I6107" s="40" t="n">
        <x:f>ABS(H6107)</x:f>
        <x:v>0.6786453247070305</x:v>
      </x:c>
      <x:c r="J6107" s="40" t="n">
        <x:f>H6107^2</x:f>
        <x:v>0.46055947674671094</x:v>
      </x:c>
      <x:c r="K6107" s="40" t="n">
        <x:f>G6107-E6107</x:f>
        <x:v>0</x:v>
      </x:c>
      <x:c r="L6107" s="40" t="n">
        <x:f>ABS(K6107)</x:f>
        <x:v>0</x:v>
      </x:c>
      <x:c r="M6107" s="41" t="str">
        <x:v>lstm-soil-v1</x:v>
      </x:c>
    </x:row>
    <x:row r="6108">
      <x:c r="A6108" s="38" t="str">
        <x:v>7月30日现场数据</x:v>
      </x:c>
      <x:c r="B6108" s="39" t="str">
        <x:v>2026-08-05T20:45:00</x:v>
      </x:c>
      <x:c r="C6108" s="39" t="str">
        <x:v>2026-08-05T20:50:00</x:v>
      </x:c>
      <x:c r="D6108" s="47" t="n">
        <x:v>5</x:v>
      </x:c>
      <x:c r="E6108" s="40" t="n">
        <x:v>17.8</x:v>
      </x:c>
      <x:c r="F6108" s="40" t="n">
        <x:v>16.337677001953125</x:v>
      </x:c>
      <x:c r="G6108" s="40" t="n">
        <x:v>17.8</x:v>
      </x:c>
      <x:c r="H6108" s="40" t="n">
        <x:f>F6108-E6108</x:f>
        <x:v>-1.4623229980468757</x:v>
      </x:c>
      <x:c r="I6108" s="40" t="n">
        <x:f>ABS(H6108)</x:f>
        <x:v>1.4623229980468757</x:v>
      </x:c>
      <x:c r="J6108" s="40" t="n">
        <x:f>H6108^2</x:f>
        <x:v>2.1383885506168028</x:v>
      </x:c>
      <x:c r="K6108" s="40" t="n">
        <x:f>G6108-E6108</x:f>
        <x:v>0</x:v>
      </x:c>
      <x:c r="L6108" s="40" t="n">
        <x:f>ABS(K6108)</x:f>
        <x:v>0</x:v>
      </x:c>
      <x:c r="M6108" s="41" t="str">
        <x:v>lstm-soil-v1</x:v>
      </x:c>
    </x:row>
    <x:row r="6109">
      <x:c r="A6109" s="38" t="str">
        <x:v>7月30日现场数据</x:v>
      </x:c>
      <x:c r="B6109" s="39" t="str">
        <x:v>2026-08-05T20:45:00</x:v>
      </x:c>
      <x:c r="C6109" s="39" t="str">
        <x:v>2026-08-05T21:00:00</x:v>
      </x:c>
      <x:c r="D6109" s="47" t="n">
        <x:v>15</x:v>
      </x:c>
      <x:c r="E6109" s="40" t="n">
        <x:v>17.8</x:v>
      </x:c>
      <x:c r="F6109" s="40" t="n">
        <x:v>16.433094024658203</x:v>
      </x:c>
      <x:c r="G6109" s="40" t="n">
        <x:v>17.8</x:v>
      </x:c>
      <x:c r="H6109" s="40" t="n">
        <x:f>F6109-E6109</x:f>
        <x:v>-1.3669059753417976</x:v>
      </x:c>
      <x:c r="I6109" s="40" t="n">
        <x:f>ABS(H6109)</x:f>
        <x:v>1.3669059753417976</x:v>
      </x:c>
      <x:c r="J6109" s="40" t="n">
        <x:f>H6109^2</x:f>
        <x:v>1.868431945425111</x:v>
      </x:c>
      <x:c r="K6109" s="40" t="n">
        <x:f>G6109-E6109</x:f>
        <x:v>0</x:v>
      </x:c>
      <x:c r="L6109" s="40" t="n">
        <x:f>ABS(K6109)</x:f>
        <x:v>0</x:v>
      </x:c>
      <x:c r="M6109" s="41" t="str">
        <x:v>lstm-soil-v1</x:v>
      </x:c>
    </x:row>
    <x:row r="6110">
      <x:c r="A6110" s="38" t="str">
        <x:v>7月30日现场数据</x:v>
      </x:c>
      <x:c r="B6110" s="39" t="str">
        <x:v>2026-08-05T20:45:00</x:v>
      </x:c>
      <x:c r="C6110" s="39" t="str">
        <x:v>2026-08-05T21:15:00</x:v>
      </x:c>
      <x:c r="D6110" s="47" t="n">
        <x:v>30</x:v>
      </x:c>
      <x:c r="E6110" s="40" t="n">
        <x:v>17.8</x:v>
      </x:c>
      <x:c r="F6110" s="40" t="n">
        <x:v>16.743755340576172</x:v>
      </x:c>
      <x:c r="G6110" s="40" t="n">
        <x:v>17.8</x:v>
      </x:c>
      <x:c r="H6110" s="40" t="n">
        <x:f>F6110-E6110</x:f>
        <x:v>-1.0562446594238288</x:v>
      </x:c>
      <x:c r="I6110" s="40" t="n">
        <x:f>ABS(H6110)</x:f>
        <x:v>1.0562446594238288</x:v>
      </x:c>
      <x:c r="J6110" s="40" t="n">
        <x:f>H6110^2</x:f>
        <x:v>1.11565278056136</x:v>
      </x:c>
      <x:c r="K6110" s="40" t="n">
        <x:f>G6110-E6110</x:f>
        <x:v>0</x:v>
      </x:c>
      <x:c r="L6110" s="40" t="n">
        <x:f>ABS(K6110)</x:f>
        <x:v>0</x:v>
      </x:c>
      <x:c r="M6110" s="41" t="str">
        <x:v>lstm-soil-v1</x:v>
      </x:c>
    </x:row>
    <x:row r="6111">
      <x:c r="A6111" s="38" t="str">
        <x:v>7月30日现场数据</x:v>
      </x:c>
      <x:c r="B6111" s="39" t="str">
        <x:v>2026-08-05T20:45:00</x:v>
      </x:c>
      <x:c r="C6111" s="39" t="str">
        <x:v>2026-08-05T21:45:00</x:v>
      </x:c>
      <x:c r="D6111" s="47" t="n">
        <x:v>60</x:v>
      </x:c>
      <x:c r="E6111" s="40" t="n">
        <x:v>17.7</x:v>
      </x:c>
      <x:c r="F6111" s="40" t="n">
        <x:v>18.47900390625</x:v>
      </x:c>
      <x:c r="G6111" s="40" t="n">
        <x:v>17.8</x:v>
      </x:c>
      <x:c r="H6111" s="40" t="n">
        <x:f>F6111-E6111</x:f>
        <x:v>0.7790039062500007</x:v>
      </x:c>
      <x:c r="I6111" s="40" t="n">
        <x:f>ABS(H6111)</x:f>
        <x:v>0.7790039062500007</x:v>
      </x:c>
      <x:c r="J6111" s="40" t="n">
        <x:f>H6111^2</x:f>
        <x:v>0.6068470859527599</x:v>
      </x:c>
      <x:c r="K6111" s="40" t="n">
        <x:f>G6111-E6111</x:f>
        <x:v>0.10000000000000142</x:v>
      </x:c>
      <x:c r="L6111" s="40" t="n">
        <x:f>ABS(K6111)</x:f>
        <x:v>0.10000000000000142</x:v>
      </x:c>
      <x:c r="M6111" s="41" t="str">
        <x:v>lstm-soil-v1</x:v>
      </x:c>
    </x:row>
    <x:row r="6112">
      <x:c r="A6112" s="38" t="str">
        <x:v>7月30日现场数据</x:v>
      </x:c>
      <x:c r="B6112" s="39" t="str">
        <x:v>2026-08-05T20:50:00</x:v>
      </x:c>
      <x:c r="C6112" s="39" t="str">
        <x:v>2026-08-05T20:55:00</x:v>
      </x:c>
      <x:c r="D6112" s="47" t="n">
        <x:v>5</x:v>
      </x:c>
      <x:c r="E6112" s="40" t="n">
        <x:v>17.8</x:v>
      </x:c>
      <x:c r="F6112" s="40" t="n">
        <x:v>16.33776092529297</x:v>
      </x:c>
      <x:c r="G6112" s="40" t="n">
        <x:v>17.8</x:v>
      </x:c>
      <x:c r="H6112" s="40" t="n">
        <x:f>F6112-E6112</x:f>
        <x:v>-1.462239074707032</x:v>
      </x:c>
      <x:c r="I6112" s="40" t="n">
        <x:f>ABS(H6112)</x:f>
        <x:v>1.462239074707032</x:v>
      </x:c>
      <x:c r="J6112" s="40" t="n">
        <x:f>H6112^2</x:f>
        <x:v>2.138143111600077</x:v>
      </x:c>
      <x:c r="K6112" s="40" t="n">
        <x:f>G6112-E6112</x:f>
        <x:v>0</x:v>
      </x:c>
      <x:c r="L6112" s="40" t="n">
        <x:f>ABS(K6112)</x:f>
        <x:v>0</x:v>
      </x:c>
      <x:c r="M6112" s="41" t="str">
        <x:v>lstm-soil-v1</x:v>
      </x:c>
    </x:row>
    <x:row r="6113">
      <x:c r="A6113" s="38" t="str">
        <x:v>7月30日现场数据</x:v>
      </x:c>
      <x:c r="B6113" s="39" t="str">
        <x:v>2026-08-05T20:50:00</x:v>
      </x:c>
      <x:c r="C6113" s="39" t="str">
        <x:v>2026-08-05T21:05:00</x:v>
      </x:c>
      <x:c r="D6113" s="47" t="n">
        <x:v>15</x:v>
      </x:c>
      <x:c r="E6113" s="40" t="n">
        <x:v>17.8</x:v>
      </x:c>
      <x:c r="F6113" s="40" t="n">
        <x:v>16.432987213134766</x:v>
      </x:c>
      <x:c r="G6113" s="40" t="n">
        <x:v>17.8</x:v>
      </x:c>
      <x:c r="H6113" s="40" t="n">
        <x:f>F6113-E6113</x:f>
        <x:v>-1.367012786865235</x:v>
      </x:c>
      <x:c r="I6113" s="40" t="n">
        <x:f>ABS(H6113)</x:f>
        <x:v>1.367012786865235</x:v>
      </x:c>
      <x:c r="J6113" s="40" t="n">
        <x:f>H6113^2</x:f>
        <x:v>1.8687239594530567</x:v>
      </x:c>
      <x:c r="K6113" s="40" t="n">
        <x:f>G6113-E6113</x:f>
        <x:v>0</x:v>
      </x:c>
      <x:c r="L6113" s="40" t="n">
        <x:f>ABS(K6113)</x:f>
        <x:v>0</x:v>
      </x:c>
      <x:c r="M6113" s="41" t="str">
        <x:v>lstm-soil-v1</x:v>
      </x:c>
    </x:row>
    <x:row r="6114">
      <x:c r="A6114" s="38" t="str">
        <x:v>7月30日现场数据</x:v>
      </x:c>
      <x:c r="B6114" s="39" t="str">
        <x:v>2026-08-05T20:50:00</x:v>
      </x:c>
      <x:c r="C6114" s="39" t="str">
        <x:v>2026-08-05T21:20:00</x:v>
      </x:c>
      <x:c r="D6114" s="47" t="n">
        <x:v>30</x:v>
      </x:c>
      <x:c r="E6114" s="40" t="n">
        <x:v>17.8</x:v>
      </x:c>
      <x:c r="F6114" s="40" t="n">
        <x:v>16.74454116821289</x:v>
      </x:c>
      <x:c r="G6114" s="40" t="n">
        <x:v>17.8</x:v>
      </x:c>
      <x:c r="H6114" s="40" t="n">
        <x:f>F6114-E6114</x:f>
        <x:v>-1.05545883178711</x:v>
      </x:c>
      <x:c r="I6114" s="40" t="n">
        <x:f>ABS(H6114)</x:f>
        <x:v>1.05545883178711</x:v>
      </x:c>
      <x:c r="J6114" s="40" t="n">
        <x:f>H6114^2</x:f>
        <x:v>1.1139933455974111</x:v>
      </x:c>
      <x:c r="K6114" s="40" t="n">
        <x:f>G6114-E6114</x:f>
        <x:v>0</x:v>
      </x:c>
      <x:c r="L6114" s="40" t="n">
        <x:f>ABS(K6114)</x:f>
        <x:v>0</x:v>
      </x:c>
      <x:c r="M6114" s="41" t="str">
        <x:v>lstm-soil-v1</x:v>
      </x:c>
    </x:row>
    <x:row r="6115">
      <x:c r="A6115" s="38" t="str">
        <x:v>7月30日现场数据</x:v>
      </x:c>
      <x:c r="B6115" s="39" t="str">
        <x:v>2026-08-05T20:50:00</x:v>
      </x:c>
      <x:c r="C6115" s="39" t="str">
        <x:v>2026-08-05T21:50:00</x:v>
      </x:c>
      <x:c r="D6115" s="47" t="n">
        <x:v>60</x:v>
      </x:c>
      <x:c r="E6115" s="40" t="n">
        <x:v>17.7</x:v>
      </x:c>
      <x:c r="F6115" s="40" t="n">
        <x:v>18.47940444946289</x:v>
      </x:c>
      <x:c r="G6115" s="40" t="n">
        <x:v>17.8</x:v>
      </x:c>
      <x:c r="H6115" s="40" t="n">
        <x:f>F6115-E6115</x:f>
        <x:v>0.7794044494628913</x:v>
      </x:c>
      <x:c r="I6115" s="40" t="n">
        <x:f>ABS(H6115)</x:f>
        <x:v>0.7794044494628913</x:v>
      </x:c>
      <x:c r="J6115" s="40" t="n">
        <x:f>H6115^2</x:f>
        <x:v>0.6074712958425528</x:v>
      </x:c>
      <x:c r="K6115" s="40" t="n">
        <x:f>G6115-E6115</x:f>
        <x:v>0.10000000000000142</x:v>
      </x:c>
      <x:c r="L6115" s="40" t="n">
        <x:f>ABS(K6115)</x:f>
        <x:v>0.10000000000000142</x:v>
      </x:c>
      <x:c r="M6115" s="41" t="str">
        <x:v>lstm-soil-v1</x:v>
      </x:c>
    </x:row>
    <x:row r="6116">
      <x:c r="A6116" s="38" t="str">
        <x:v>7月30日现场数据</x:v>
      </x:c>
      <x:c r="B6116" s="39" t="str">
        <x:v>2026-08-05T20:55:00</x:v>
      </x:c>
      <x:c r="C6116" s="39" t="str">
        <x:v>2026-08-05T21:00:00</x:v>
      </x:c>
      <x:c r="D6116" s="47" t="n">
        <x:v>5</x:v>
      </x:c>
      <x:c r="E6116" s="40" t="n">
        <x:v>17.8</x:v>
      </x:c>
      <x:c r="F6116" s="40" t="n">
        <x:v>16.33786392211914</x:v>
      </x:c>
      <x:c r="G6116" s="40" t="n">
        <x:v>17.8</x:v>
      </x:c>
      <x:c r="H6116" s="40" t="n">
        <x:f>F6116-E6116</x:f>
        <x:v>-1.46213607788086</x:v>
      </x:c>
      <x:c r="I6116" s="40" t="n">
        <x:f>ABS(H6116)</x:f>
        <x:v>1.46213607788086</x:v>
      </x:c>
      <x:c r="J6116" s="40" t="n">
        <x:f>H6116^2</x:f>
        <x:v>2.1378419102408244</x:v>
      </x:c>
      <x:c r="K6116" s="40" t="n">
        <x:f>G6116-E6116</x:f>
        <x:v>0</x:v>
      </x:c>
      <x:c r="L6116" s="40" t="n">
        <x:f>ABS(K6116)</x:f>
        <x:v>0</x:v>
      </x:c>
      <x:c r="M6116" s="41" t="str">
        <x:v>lstm-soil-v1</x:v>
      </x:c>
    </x:row>
    <x:row r="6117">
      <x:c r="A6117" s="38" t="str">
        <x:v>7月30日现场数据</x:v>
      </x:c>
      <x:c r="B6117" s="39" t="str">
        <x:v>2026-08-05T20:55:00</x:v>
      </x:c>
      <x:c r="C6117" s="39" t="str">
        <x:v>2026-08-05T21:10:00</x:v>
      </x:c>
      <x:c r="D6117" s="47" t="n">
        <x:v>15</x:v>
      </x:c>
      <x:c r="E6117" s="40" t="n">
        <x:v>17.8</x:v>
      </x:c>
      <x:c r="F6117" s="40" t="n">
        <x:v>16.432907104492188</x:v>
      </x:c>
      <x:c r="G6117" s="40" t="n">
        <x:v>17.8</x:v>
      </x:c>
      <x:c r="H6117" s="40" t="n">
        <x:f>F6117-E6117</x:f>
        <x:v>-1.3670928955078132</x:v>
      </x:c>
      <x:c r="I6117" s="40" t="n">
        <x:f>ABS(H6117)</x:f>
        <x:v>1.3670928955078132</x:v>
      </x:c>
      <x:c r="J6117" s="40" t="n">
        <x:f>H6117^2</x:f>
        <x:v>1.8689429849479366</x:v>
      </x:c>
      <x:c r="K6117" s="40" t="n">
        <x:f>G6117-E6117</x:f>
        <x:v>0</x:v>
      </x:c>
      <x:c r="L6117" s="40" t="n">
        <x:f>ABS(K6117)</x:f>
        <x:v>0</x:v>
      </x:c>
      <x:c r="M6117" s="41" t="str">
        <x:v>lstm-soil-v1</x:v>
      </x:c>
    </x:row>
    <x:row r="6118">
      <x:c r="A6118" s="38" t="str">
        <x:v>7月30日现场数据</x:v>
      </x:c>
      <x:c r="B6118" s="39" t="str">
        <x:v>2026-08-05T20:55:00</x:v>
      </x:c>
      <x:c r="C6118" s="39" t="str">
        <x:v>2026-08-05T21:25:00</x:v>
      </x:c>
      <x:c r="D6118" s="47" t="n">
        <x:v>30</x:v>
      </x:c>
      <x:c r="E6118" s="40" t="n">
        <x:v>17.8</x:v>
      </x:c>
      <x:c r="F6118" s="40" t="n">
        <x:v>16.745269775390625</x:v>
      </x:c>
      <x:c r="G6118" s="40" t="n">
        <x:v>17.8</x:v>
      </x:c>
      <x:c r="H6118" s="40" t="n">
        <x:f>F6118-E6118</x:f>
        <x:v>-1.0547302246093757</x:v>
      </x:c>
      <x:c r="I6118" s="40" t="n">
        <x:f>ABS(H6118)</x:f>
        <x:v>1.0547302246093757</x:v>
      </x:c>
      <x:c r="J6118" s="40" t="n">
        <x:f>H6118^2</x:f>
        <x:v>1.1124558467045442</x:v>
      </x:c>
      <x:c r="K6118" s="40" t="n">
        <x:f>G6118-E6118</x:f>
        <x:v>0</x:v>
      </x:c>
      <x:c r="L6118" s="40" t="n">
        <x:f>ABS(K6118)</x:f>
        <x:v>0</x:v>
      </x:c>
      <x:c r="M6118" s="41" t="str">
        <x:v>lstm-soil-v1</x:v>
      </x:c>
    </x:row>
    <x:row r="6119">
      <x:c r="A6119" s="38" t="str">
        <x:v>7月30日现场数据</x:v>
      </x:c>
      <x:c r="B6119" s="39" t="str">
        <x:v>2026-08-05T20:55:00</x:v>
      </x:c>
      <x:c r="C6119" s="39" t="str">
        <x:v>2026-08-05T21:55:00</x:v>
      </x:c>
      <x:c r="D6119" s="47" t="n">
        <x:v>60</x:v>
      </x:c>
      <x:c r="E6119" s="40" t="n">
        <x:v>17.7</x:v>
      </x:c>
      <x:c r="F6119" s="40" t="n">
        <x:v>18.479782104492188</x:v>
      </x:c>
      <x:c r="G6119" s="40" t="n">
        <x:v>17.8</x:v>
      </x:c>
      <x:c r="H6119" s="40" t="n">
        <x:f>F6119-E6119</x:f>
        <x:v>0.7797821044921882</x:v>
      </x:c>
      <x:c r="I6119" s="40" t="n">
        <x:f>ABS(H6119)</x:f>
        <x:v>0.7797821044921882</x:v>
      </x:c>
      <x:c r="J6119" s="40" t="n">
        <x:f>H6119^2</x:f>
        <x:v>0.608060130486266</x:v>
      </x:c>
      <x:c r="K6119" s="40" t="n">
        <x:f>G6119-E6119</x:f>
        <x:v>0.10000000000000142</x:v>
      </x:c>
      <x:c r="L6119" s="40" t="n">
        <x:f>ABS(K6119)</x:f>
        <x:v>0.10000000000000142</x:v>
      </x:c>
      <x:c r="M6119" s="41" t="str">
        <x:v>lstm-soil-v1</x:v>
      </x:c>
    </x:row>
    <x:row r="6120">
      <x:c r="A6120" s="38" t="str">
        <x:v>7月30日现场数据</x:v>
      </x:c>
      <x:c r="B6120" s="39" t="str">
        <x:v>2026-08-05T21:00:00</x:v>
      </x:c>
      <x:c r="C6120" s="39" t="str">
        <x:v>2026-08-05T21:05:00</x:v>
      </x:c>
      <x:c r="D6120" s="47" t="n">
        <x:v>5</x:v>
      </x:c>
      <x:c r="E6120" s="40" t="n">
        <x:v>17.8</x:v>
      </x:c>
      <x:c r="F6120" s="40" t="n">
        <x:v>16.334270477294922</x:v>
      </x:c>
      <x:c r="G6120" s="40" t="n">
        <x:v>17.8</x:v>
      </x:c>
      <x:c r="H6120" s="40" t="n">
        <x:f>F6120-E6120</x:f>
        <x:v>-1.4657295227050788</x:v>
      </x:c>
      <x:c r="I6120" s="40" t="n">
        <x:f>ABS(H6120)</x:f>
        <x:v>1.4657295227050788</x:v>
      </x:c>
      <x:c r="J6120" s="40" t="n">
        <x:f>H6120^2</x:f>
        <x:v>2.1483630337292583</x:v>
      </x:c>
      <x:c r="K6120" s="40" t="n">
        <x:f>G6120-E6120</x:f>
        <x:v>0</x:v>
      </x:c>
      <x:c r="L6120" s="40" t="n">
        <x:f>ABS(K6120)</x:f>
        <x:v>0</x:v>
      </x:c>
      <x:c r="M6120" s="41" t="str">
        <x:v>lstm-soil-v1</x:v>
      </x:c>
    </x:row>
    <x:row r="6121">
      <x:c r="A6121" s="38" t="str">
        <x:v>7月30日现场数据</x:v>
      </x:c>
      <x:c r="B6121" s="39" t="str">
        <x:v>2026-08-05T21:00:00</x:v>
      </x:c>
      <x:c r="C6121" s="39" t="str">
        <x:v>2026-08-05T21:15:00</x:v>
      </x:c>
      <x:c r="D6121" s="47" t="n">
        <x:v>15</x:v>
      </x:c>
      <x:c r="E6121" s="40" t="n">
        <x:v>17.8</x:v>
      </x:c>
      <x:c r="F6121" s="40" t="n">
        <x:v>16.43152618408203</x:v>
      </x:c>
      <x:c r="G6121" s="40" t="n">
        <x:v>17.8</x:v>
      </x:c>
      <x:c r="H6121" s="40" t="n">
        <x:f>F6121-E6121</x:f>
        <x:v>-1.3684738159179695</x:v>
      </x:c>
      <x:c r="I6121" s="40" t="n">
        <x:f>ABS(H6121)</x:f>
        <x:v>1.3684738159179695</x:v>
      </x:c>
      <x:c r="J6121" s="40" t="n">
        <x:f>H6121^2</x:f>
        <x:v>1.8727205848530886</x:v>
      </x:c>
      <x:c r="K6121" s="40" t="n">
        <x:f>G6121-E6121</x:f>
        <x:v>0</x:v>
      </x:c>
      <x:c r="L6121" s="40" t="n">
        <x:f>ABS(K6121)</x:f>
        <x:v>0</x:v>
      </x:c>
      <x:c r="M6121" s="41" t="str">
        <x:v>lstm-soil-v1</x:v>
      </x:c>
    </x:row>
    <x:row r="6122">
      <x:c r="A6122" s="38" t="str">
        <x:v>7月30日现场数据</x:v>
      </x:c>
      <x:c r="B6122" s="39" t="str">
        <x:v>2026-08-05T21:00:00</x:v>
      </x:c>
      <x:c r="C6122" s="39" t="str">
        <x:v>2026-08-05T21:30:00</x:v>
      </x:c>
      <x:c r="D6122" s="47" t="n">
        <x:v>30</x:v>
      </x:c>
      <x:c r="E6122" s="40" t="n">
        <x:v>17.7</x:v>
      </x:c>
      <x:c r="F6122" s="40" t="n">
        <x:v>16.742202758789062</x:v>
      </x:c>
      <x:c r="G6122" s="40" t="n">
        <x:v>17.8</x:v>
      </x:c>
      <x:c r="H6122" s="40" t="n">
        <x:f>F6122-E6122</x:f>
        <x:v>-0.9577972412109368</x:v>
      </x:c>
      <x:c r="I6122" s="40" t="n">
        <x:f>ABS(H6122)</x:f>
        <x:v>0.9577972412109368</x:v>
      </x:c>
      <x:c r="J6122" s="40" t="n">
        <x:f>H6122^2</x:f>
        <x:v>0.9173755552712815</x:v>
      </x:c>
      <x:c r="K6122" s="40" t="n">
        <x:f>G6122-E6122</x:f>
        <x:v>0.10000000000000142</x:v>
      </x:c>
      <x:c r="L6122" s="40" t="n">
        <x:f>ABS(K6122)</x:f>
        <x:v>0.10000000000000142</x:v>
      </x:c>
      <x:c r="M6122" s="41" t="str">
        <x:v>lstm-soil-v1</x:v>
      </x:c>
    </x:row>
    <x:row r="6123">
      <x:c r="A6123" s="38" t="str">
        <x:v>7月30日现场数据</x:v>
      </x:c>
      <x:c r="B6123" s="39" t="str">
        <x:v>2026-08-05T21:00:00</x:v>
      </x:c>
      <x:c r="C6123" s="39" t="str">
        <x:v>2026-08-05T22:00:00</x:v>
      </x:c>
      <x:c r="D6123" s="47" t="n">
        <x:v>60</x:v>
      </x:c>
      <x:c r="E6123" s="40" t="n">
        <x:v>17.7</x:v>
      </x:c>
      <x:c r="F6123" s="40" t="n">
        <x:v>18.472492218017578</x:v>
      </x:c>
      <x:c r="G6123" s="40" t="n">
        <x:v>17.8</x:v>
      </x:c>
      <x:c r="H6123" s="40" t="n">
        <x:f>F6123-E6123</x:f>
        <x:v>0.7724922180175788</x:v>
      </x:c>
      <x:c r="I6123" s="40" t="n">
        <x:f>ABS(H6123)</x:f>
        <x:v>0.7724922180175788</x:v>
      </x:c>
      <x:c r="J6123" s="40" t="n">
        <x:f>H6123^2</x:f>
        <x:v>0.5967442268977186</x:v>
      </x:c>
      <x:c r="K6123" s="40" t="n">
        <x:f>G6123-E6123</x:f>
        <x:v>0.10000000000000142</x:v>
      </x:c>
      <x:c r="L6123" s="40" t="n">
        <x:f>ABS(K6123)</x:f>
        <x:v>0.10000000000000142</x:v>
      </x:c>
      <x:c r="M6123" s="41" t="str">
        <x:v>lstm-soil-v1</x:v>
      </x:c>
    </x:row>
    <x:row r="6124">
      <x:c r="A6124" s="38" t="str">
        <x:v>7月30日现场数据</x:v>
      </x:c>
      <x:c r="B6124" s="39" t="str">
        <x:v>2026-08-05T21:05:00</x:v>
      </x:c>
      <x:c r="C6124" s="39" t="str">
        <x:v>2026-08-05T21:10:00</x:v>
      </x:c>
      <x:c r="D6124" s="47" t="n">
        <x:v>5</x:v>
      </x:c>
      <x:c r="E6124" s="40" t="n">
        <x:v>17.8</x:v>
      </x:c>
      <x:c r="F6124" s="40" t="n">
        <x:v>16.332626342773438</x:v>
      </x:c>
      <x:c r="G6124" s="40" t="n">
        <x:v>17.8</x:v>
      </x:c>
      <x:c r="H6124" s="40" t="n">
        <x:f>F6124-E6124</x:f>
        <x:v>-1.4673736572265632</x:v>
      </x:c>
      <x:c r="I6124" s="40" t="n">
        <x:f>ABS(H6124)</x:f>
        <x:v>1.4673736572265632</x:v>
      </x:c>
      <x:c r="J6124" s="40" t="n">
        <x:f>H6124^2</x:f>
        <x:v>2.1531854499224594</x:v>
      </x:c>
      <x:c r="K6124" s="40" t="n">
        <x:f>G6124-E6124</x:f>
        <x:v>0</x:v>
      </x:c>
      <x:c r="L6124" s="40" t="n">
        <x:f>ABS(K6124)</x:f>
        <x:v>0</x:v>
      </x:c>
      <x:c r="M6124" s="41" t="str">
        <x:v>lstm-soil-v1</x:v>
      </x:c>
    </x:row>
    <x:row r="6125">
      <x:c r="A6125" s="38" t="str">
        <x:v>7月30日现场数据</x:v>
      </x:c>
      <x:c r="B6125" s="39" t="str">
        <x:v>2026-08-05T21:05:00</x:v>
      </x:c>
      <x:c r="C6125" s="39" t="str">
        <x:v>2026-08-05T21:20:00</x:v>
      </x:c>
      <x:c r="D6125" s="47" t="n">
        <x:v>15</x:v>
      </x:c>
      <x:c r="E6125" s="40" t="n">
        <x:v>17.8</x:v>
      </x:c>
      <x:c r="F6125" s="40" t="n">
        <x:v>16.429637908935547</x:v>
      </x:c>
      <x:c r="G6125" s="40" t="n">
        <x:v>17.8</x:v>
      </x:c>
      <x:c r="H6125" s="40" t="n">
        <x:f>F6125-E6125</x:f>
        <x:v>-1.3703620910644538</x:v>
      </x:c>
      <x:c r="I6125" s="40" t="n">
        <x:f>ABS(H6125)</x:f>
        <x:v>1.3703620910644538</x:v>
      </x:c>
      <x:c r="J6125" s="40" t="n">
        <x:f>H6125^2</x:f>
        <x:v>1.8778922606265425</x:v>
      </x:c>
      <x:c r="K6125" s="40" t="n">
        <x:f>G6125-E6125</x:f>
        <x:v>0</x:v>
      </x:c>
      <x:c r="L6125" s="40" t="n">
        <x:f>ABS(K6125)</x:f>
        <x:v>0</x:v>
      </x:c>
      <x:c r="M6125" s="41" t="str">
        <x:v>lstm-soil-v1</x:v>
      </x:c>
    </x:row>
    <x:row r="6126">
      <x:c r="A6126" s="38" t="str">
        <x:v>7月30日现场数据</x:v>
      </x:c>
      <x:c r="B6126" s="39" t="str">
        <x:v>2026-08-05T21:05:00</x:v>
      </x:c>
      <x:c r="C6126" s="39" t="str">
        <x:v>2026-08-05T21:35:00</x:v>
      </x:c>
      <x:c r="D6126" s="47" t="n">
        <x:v>30</x:v>
      </x:c>
      <x:c r="E6126" s="40" t="n">
        <x:v>17.8</x:v>
      </x:c>
      <x:c r="F6126" s="40" t="n">
        <x:v>16.742095947265625</x:v>
      </x:c>
      <x:c r="G6126" s="40" t="n">
        <x:v>17.8</x:v>
      </x:c>
      <x:c r="H6126" s="40" t="n">
        <x:f>F6126-E6126</x:f>
        <x:v>-1.0579040527343757</x:v>
      </x:c>
      <x:c r="I6126" s="40" t="n">
        <x:f>ABS(H6126)</x:f>
        <x:v>1.0579040527343757</x:v>
      </x:c>
      <x:c r="J6126" s="40" t="n">
        <x:f>H6126^2</x:f>
        <x:v>1.1191609847918167</x:v>
      </x:c>
      <x:c r="K6126" s="40" t="n">
        <x:f>G6126-E6126</x:f>
        <x:v>0</x:v>
      </x:c>
      <x:c r="L6126" s="40" t="n">
        <x:f>ABS(K6126)</x:f>
        <x:v>0</x:v>
      </x:c>
      <x:c r="M6126" s="41" t="str">
        <x:v>lstm-soil-v1</x:v>
      </x:c>
    </x:row>
    <x:row r="6127">
      <x:c r="A6127" s="38" t="str">
        <x:v>7月30日现场数据</x:v>
      </x:c>
      <x:c r="B6127" s="39" t="str">
        <x:v>2026-08-05T21:05:00</x:v>
      </x:c>
      <x:c r="C6127" s="39" t="str">
        <x:v>2026-08-05T22:05:00</x:v>
      </x:c>
      <x:c r="D6127" s="47" t="n">
        <x:v>60</x:v>
      </x:c>
      <x:c r="E6127" s="40" t="n">
        <x:v>17.7</x:v>
      </x:c>
      <x:c r="F6127" s="40" t="n">
        <x:v>18.467517852783203</x:v>
      </x:c>
      <x:c r="G6127" s="40" t="n">
        <x:v>17.8</x:v>
      </x:c>
      <x:c r="H6127" s="40" t="n">
        <x:f>F6127-E6127</x:f>
        <x:v>0.7675178527832038</x:v>
      </x:c>
      <x:c r="I6127" s="40" t="n">
        <x:f>ABS(H6127)</x:f>
        <x:v>0.7675178527832038</x:v>
      </x:c>
      <x:c r="J6127" s="40" t="n">
        <x:f>H6127^2</x:f>
        <x:v>0.5890836543409398</x:v>
      </x:c>
      <x:c r="K6127" s="40" t="n">
        <x:f>G6127-E6127</x:f>
        <x:v>0.10000000000000142</x:v>
      </x:c>
      <x:c r="L6127" s="40" t="n">
        <x:f>ABS(K6127)</x:f>
        <x:v>0.10000000000000142</x:v>
      </x:c>
      <x:c r="M6127" s="41" t="str">
        <x:v>lstm-soil-v1</x:v>
      </x:c>
    </x:row>
    <x:row r="6128">
      <x:c r="A6128" s="38" t="str">
        <x:v>7月30日现场数据</x:v>
      </x:c>
      <x:c r="B6128" s="39" t="str">
        <x:v>2026-08-05T21:10:00</x:v>
      </x:c>
      <x:c r="C6128" s="39" t="str">
        <x:v>2026-08-05T21:15:00</x:v>
      </x:c>
      <x:c r="D6128" s="47" t="n">
        <x:v>5</x:v>
      </x:c>
      <x:c r="E6128" s="40" t="n">
        <x:v>17.8</x:v>
      </x:c>
      <x:c r="F6128" s="40" t="n">
        <x:v>16.33175277709961</x:v>
      </x:c>
      <x:c r="G6128" s="40" t="n">
        <x:v>17.8</x:v>
      </x:c>
      <x:c r="H6128" s="40" t="n">
        <x:f>F6128-E6128</x:f>
        <x:v>-1.4682472229003913</x:v>
      </x:c>
      <x:c r="I6128" s="40" t="n">
        <x:f>ABS(H6128)</x:f>
        <x:v>1.4682472229003913</x:v>
      </x:c>
      <x:c r="J6128" s="40" t="n">
        <x:f>H6128^2</x:f>
        <x:v>2.1557499075547115</x:v>
      </x:c>
      <x:c r="K6128" s="40" t="n">
        <x:f>G6128-E6128</x:f>
        <x:v>0</x:v>
      </x:c>
      <x:c r="L6128" s="40" t="n">
        <x:f>ABS(K6128)</x:f>
        <x:v>0</x:v>
      </x:c>
      <x:c r="M6128" s="41" t="str">
        <x:v>lstm-soil-v1</x:v>
      </x:c>
    </x:row>
    <x:row r="6129">
      <x:c r="A6129" s="38" t="str">
        <x:v>7月30日现场数据</x:v>
      </x:c>
      <x:c r="B6129" s="39" t="str">
        <x:v>2026-08-05T21:10:00</x:v>
      </x:c>
      <x:c r="C6129" s="39" t="str">
        <x:v>2026-08-05T21:25:00</x:v>
      </x:c>
      <x:c r="D6129" s="47" t="n">
        <x:v>15</x:v>
      </x:c>
      <x:c r="E6129" s="40" t="n">
        <x:v>17.8</x:v>
      </x:c>
      <x:c r="F6129" s="40" t="n">
        <x:v>16.428142547607422</x:v>
      </x:c>
      <x:c r="G6129" s="40" t="n">
        <x:v>17.8</x:v>
      </x:c>
      <x:c r="H6129" s="40" t="n">
        <x:f>F6129-E6129</x:f>
        <x:v>-1.3718574523925788</x:v>
      </x:c>
      <x:c r="I6129" s="40" t="n">
        <x:f>ABS(H6129)</x:f>
        <x:v>1.3718574523925788</x:v>
      </x:c>
      <x:c r="J6129" s="40" t="n">
        <x:f>H6129^2</x:f>
        <x:v>1.8819928696850567</x:v>
      </x:c>
      <x:c r="K6129" s="40" t="n">
        <x:f>G6129-E6129</x:f>
        <x:v>0</x:v>
      </x:c>
      <x:c r="L6129" s="40" t="n">
        <x:f>ABS(K6129)</x:f>
        <x:v>0</x:v>
      </x:c>
      <x:c r="M6129" s="41" t="str">
        <x:v>lstm-soil-v1</x:v>
      </x:c>
    </x:row>
    <x:row r="6130">
      <x:c r="A6130" s="38" t="str">
        <x:v>7月30日现场数据</x:v>
      </x:c>
      <x:c r="B6130" s="39" t="str">
        <x:v>2026-08-05T21:10:00</x:v>
      </x:c>
      <x:c r="C6130" s="39" t="str">
        <x:v>2026-08-05T21:40:00</x:v>
      </x:c>
      <x:c r="D6130" s="47" t="n">
        <x:v>30</x:v>
      </x:c>
      <x:c r="E6130" s="40" t="n">
        <x:v>17.8</x:v>
      </x:c>
      <x:c r="F6130" s="40" t="n">
        <x:v>16.743072509765625</x:v>
      </x:c>
      <x:c r="G6130" s="40" t="n">
        <x:v>17.8</x:v>
      </x:c>
      <x:c r="H6130" s="40" t="n">
        <x:f>F6130-E6130</x:f>
        <x:v>-1.0569274902343757</x:v>
      </x:c>
      <x:c r="I6130" s="40" t="n">
        <x:f>ABS(H6130)</x:f>
        <x:v>1.0569274902343757</x:v>
      </x:c>
      <x:c r="J6130" s="40" t="n">
        <x:f>H6130^2</x:f>
        <x:v>1.1170957196131364</x:v>
      </x:c>
      <x:c r="K6130" s="40" t="n">
        <x:f>G6130-E6130</x:f>
        <x:v>0</x:v>
      </x:c>
      <x:c r="L6130" s="40" t="n">
        <x:f>ABS(K6130)</x:f>
        <x:v>0</x:v>
      </x:c>
      <x:c r="M6130" s="41" t="str">
        <x:v>lstm-soil-v1</x:v>
      </x:c>
    </x:row>
    <x:row r="6131">
      <x:c r="A6131" s="38" t="str">
        <x:v>7月30日现场数据</x:v>
      </x:c>
      <x:c r="B6131" s="39" t="str">
        <x:v>2026-08-05T21:10:00</x:v>
      </x:c>
      <x:c r="C6131" s="39" t="str">
        <x:v>2026-08-05T22:10:00</x:v>
      </x:c>
      <x:c r="D6131" s="47" t="n">
        <x:v>60</x:v>
      </x:c>
      <x:c r="E6131" s="40" t="n">
        <x:v>17.7</x:v>
      </x:c>
      <x:c r="F6131" s="40" t="n">
        <x:v>18.464405059814453</x:v>
      </x:c>
      <x:c r="G6131" s="40" t="n">
        <x:v>17.8</x:v>
      </x:c>
      <x:c r="H6131" s="40" t="n">
        <x:f>F6131-E6131</x:f>
        <x:v>0.7644050598144538</x:v>
      </x:c>
      <x:c r="I6131" s="40" t="n">
        <x:f>ABS(H6131)</x:f>
        <x:v>0.7644050598144538</x:v>
      </x:c>
      <x:c r="J6131" s="40" t="n">
        <x:f>H6131^2</x:f>
        <x:v>0.5843150954699388</x:v>
      </x:c>
      <x:c r="K6131" s="40" t="n">
        <x:f>G6131-E6131</x:f>
        <x:v>0.10000000000000142</x:v>
      </x:c>
      <x:c r="L6131" s="40" t="n">
        <x:f>ABS(K6131)</x:f>
        <x:v>0.10000000000000142</x:v>
      </x:c>
      <x:c r="M6131" s="41" t="str">
        <x:v>lstm-soil-v1</x:v>
      </x:c>
    </x:row>
    <x:row r="6132">
      <x:c r="A6132" s="38" t="str">
        <x:v>7月30日现场数据</x:v>
      </x:c>
      <x:c r="B6132" s="39" t="str">
        <x:v>2026-08-05T21:15:00</x:v>
      </x:c>
      <x:c r="C6132" s="39" t="str">
        <x:v>2026-08-05T21:20:00</x:v>
      </x:c>
      <x:c r="D6132" s="47" t="n">
        <x:v>5</x:v>
      </x:c>
      <x:c r="E6132" s="40" t="n">
        <x:v>17.8</x:v>
      </x:c>
      <x:c r="F6132" s="40" t="n">
        <x:v>16.331424713134766</x:v>
      </x:c>
      <x:c r="G6132" s="40" t="n">
        <x:v>17.8</x:v>
      </x:c>
      <x:c r="H6132" s="40" t="n">
        <x:f>F6132-E6132</x:f>
        <x:v>-1.468575286865235</x:v>
      </x:c>
      <x:c r="I6132" s="40" t="n">
        <x:f>ABS(H6132)</x:f>
        <x:v>1.468575286865235</x:v>
      </x:c>
      <x:c r="J6132" s="40" t="n">
        <x:f>H6132^2</x:f>
        <x:v>2.1567133731913075</x:v>
      </x:c>
      <x:c r="K6132" s="40" t="n">
        <x:f>G6132-E6132</x:f>
        <x:v>0</x:v>
      </x:c>
      <x:c r="L6132" s="40" t="n">
        <x:f>ABS(K6132)</x:f>
        <x:v>0</x:v>
      </x:c>
      <x:c r="M6132" s="41" t="str">
        <x:v>lstm-soil-v1</x:v>
      </x:c>
    </x:row>
    <x:row r="6133">
      <x:c r="A6133" s="38" t="str">
        <x:v>7月30日现场数据</x:v>
      </x:c>
      <x:c r="B6133" s="39" t="str">
        <x:v>2026-08-05T21:15:00</x:v>
      </x:c>
      <x:c r="C6133" s="39" t="str">
        <x:v>2026-08-05T21:30:00</x:v>
      </x:c>
      <x:c r="D6133" s="47" t="n">
        <x:v>15</x:v>
      </x:c>
      <x:c r="E6133" s="40" t="n">
        <x:v>17.7</x:v>
      </x:c>
      <x:c r="F6133" s="40" t="n">
        <x:v>16.427051544189453</x:v>
      </x:c>
      <x:c r="G6133" s="40" t="n">
        <x:v>17.8</x:v>
      </x:c>
      <x:c r="H6133" s="40" t="n">
        <x:f>F6133-E6133</x:f>
        <x:v>-1.2729484558105462</x:v>
      </x:c>
      <x:c r="I6133" s="40" t="n">
        <x:f>ABS(H6133)</x:f>
        <x:v>1.2729484558105462</x:v>
      </x:c>
      <x:c r="J6133" s="40" t="n">
        <x:f>H6133^2</x:f>
        <x:v>1.620397771150454</x:v>
      </x:c>
      <x:c r="K6133" s="40" t="n">
        <x:f>G6133-E6133</x:f>
        <x:v>0.10000000000000142</x:v>
      </x:c>
      <x:c r="L6133" s="40" t="n">
        <x:f>ABS(K6133)</x:f>
        <x:v>0.10000000000000142</x:v>
      </x:c>
      <x:c r="M6133" s="41" t="str">
        <x:v>lstm-soil-v1</x:v>
      </x:c>
    </x:row>
    <x:row r="6134">
      <x:c r="A6134" s="38" t="str">
        <x:v>7月30日现场数据</x:v>
      </x:c>
      <x:c r="B6134" s="39" t="str">
        <x:v>2026-08-05T21:15:00</x:v>
      </x:c>
      <x:c r="C6134" s="39" t="str">
        <x:v>2026-08-05T21:45:00</x:v>
      </x:c>
      <x:c r="D6134" s="47" t="n">
        <x:v>30</x:v>
      </x:c>
      <x:c r="E6134" s="40" t="n">
        <x:v>17.7</x:v>
      </x:c>
      <x:c r="F6134" s="40" t="n">
        <x:v>16.744556427001953</x:v>
      </x:c>
      <x:c r="G6134" s="40" t="n">
        <x:v>17.8</x:v>
      </x:c>
      <x:c r="H6134" s="40" t="n">
        <x:f>F6134-E6134</x:f>
        <x:v>-0.9554435729980462</x:v>
      </x:c>
      <x:c r="I6134" s="40" t="n">
        <x:f>ABS(H6134)</x:f>
        <x:v>0.9554435729980462</x:v>
      </x:c>
      <x:c r="J6134" s="40" t="n">
        <x:f>H6134^2</x:f>
        <x:v>0.9128724211832727</x:v>
      </x:c>
      <x:c r="K6134" s="40" t="n">
        <x:f>G6134-E6134</x:f>
        <x:v>0.10000000000000142</x:v>
      </x:c>
      <x:c r="L6134" s="40" t="n">
        <x:f>ABS(K6134)</x:f>
        <x:v>0.10000000000000142</x:v>
      </x:c>
      <x:c r="M6134" s="41" t="str">
        <x:v>lstm-soil-v1</x:v>
      </x:c>
    </x:row>
    <x:row r="6135">
      <x:c r="A6135" s="38" t="str">
        <x:v>7月30日现场数据</x:v>
      </x:c>
      <x:c r="B6135" s="39" t="str">
        <x:v>2026-08-05T21:15:00</x:v>
      </x:c>
      <x:c r="C6135" s="39" t="str">
        <x:v>2026-08-05T22:15:00</x:v>
      </x:c>
      <x:c r="D6135" s="47" t="n">
        <x:v>60</x:v>
      </x:c>
      <x:c r="E6135" s="40" t="n">
        <x:v>17.7</x:v>
      </x:c>
      <x:c r="F6135" s="40" t="n">
        <x:v>18.46288299560547</x:v>
      </x:c>
      <x:c r="G6135" s="40" t="n">
        <x:v>17.8</x:v>
      </x:c>
      <x:c r="H6135" s="40" t="n">
        <x:f>F6135-E6135</x:f>
        <x:v>0.7628829956054695</x:v>
      </x:c>
      <x:c r="I6135" s="40" t="n">
        <x:f>ABS(H6135)</x:f>
        <x:v>0.7628829956054695</x:v>
      </x:c>
      <x:c r="J6135" s="40" t="n">
        <x:f>H6135^2</x:f>
        <x:v>0.5819904649839748</x:v>
      </x:c>
      <x:c r="K6135" s="40" t="n">
        <x:f>G6135-E6135</x:f>
        <x:v>0.10000000000000142</x:v>
      </x:c>
      <x:c r="L6135" s="40" t="n">
        <x:f>ABS(K6135)</x:f>
        <x:v>0.10000000000000142</x:v>
      </x:c>
      <x:c r="M6135" s="41" t="str">
        <x:v>lstm-soil-v1</x:v>
      </x:c>
    </x:row>
    <x:row r="6136">
      <x:c r="A6136" s="38" t="str">
        <x:v>7月30日现场数据</x:v>
      </x:c>
      <x:c r="B6136" s="39" t="str">
        <x:v>2026-08-05T21:20:00</x:v>
      </x:c>
      <x:c r="C6136" s="39" t="str">
        <x:v>2026-08-05T21:25:00</x:v>
      </x:c>
      <x:c r="D6136" s="47" t="n">
        <x:v>5</x:v>
      </x:c>
      <x:c r="E6136" s="40" t="n">
        <x:v>17.8</x:v>
      </x:c>
      <x:c r="F6136" s="40" t="n">
        <x:v>16.33148956298828</x:v>
      </x:c>
      <x:c r="G6136" s="40" t="n">
        <x:v>17.8</x:v>
      </x:c>
      <x:c r="H6136" s="40" t="n">
        <x:f>F6136-E6136</x:f>
        <x:v>-1.4685104370117195</x:v>
      </x:c>
      <x:c r="I6136" s="40" t="n">
        <x:f>ABS(H6136)</x:f>
        <x:v>1.4685104370117195</x:v>
      </x:c>
      <x:c r="J6136" s="40" t="n">
        <x:f>H6136^2</x:f>
        <x:v>2.1565229036123514</x:v>
      </x:c>
      <x:c r="K6136" s="40" t="n">
        <x:f>G6136-E6136</x:f>
        <x:v>0</x:v>
      </x:c>
      <x:c r="L6136" s="40" t="n">
        <x:f>ABS(K6136)</x:f>
        <x:v>0</x:v>
      </x:c>
      <x:c r="M6136" s="41" t="str">
        <x:v>lstm-soil-v1</x:v>
      </x:c>
    </x:row>
    <x:row r="6137">
      <x:c r="A6137" s="38" t="str">
        <x:v>7月30日现场数据</x:v>
      </x:c>
      <x:c r="B6137" s="39" t="str">
        <x:v>2026-08-05T21:20:00</x:v>
      </x:c>
      <x:c r="C6137" s="39" t="str">
        <x:v>2026-08-05T21:35:00</x:v>
      </x:c>
      <x:c r="D6137" s="47" t="n">
        <x:v>15</x:v>
      </x:c>
      <x:c r="E6137" s="40" t="n">
        <x:v>17.8</x:v>
      </x:c>
      <x:c r="F6137" s="40" t="n">
        <x:v>16.42635726928711</x:v>
      </x:c>
      <x:c r="G6137" s="40" t="n">
        <x:v>17.8</x:v>
      </x:c>
      <x:c r="H6137" s="40" t="n">
        <x:f>F6137-E6137</x:f>
        <x:v>-1.3736427307128913</x:v>
      </x:c>
      <x:c r="I6137" s="40" t="n">
        <x:f>ABS(H6137)</x:f>
        <x:v>1.3736427307128913</x:v>
      </x:c>
      <x:c r="J6137" s="40" t="n">
        <x:f>H6137^2</x:f>
        <x:v>1.886894351640369</x:v>
      </x:c>
      <x:c r="K6137" s="40" t="n">
        <x:f>G6137-E6137</x:f>
        <x:v>0</x:v>
      </x:c>
      <x:c r="L6137" s="40" t="n">
        <x:f>ABS(K6137)</x:f>
        <x:v>0</x:v>
      </x:c>
      <x:c r="M6137" s="41" t="str">
        <x:v>lstm-soil-v1</x:v>
      </x:c>
    </x:row>
    <x:row r="6138">
      <x:c r="A6138" s="38" t="str">
        <x:v>7月30日现场数据</x:v>
      </x:c>
      <x:c r="B6138" s="39" t="str">
        <x:v>2026-08-05T21:20:00</x:v>
      </x:c>
      <x:c r="C6138" s="39" t="str">
        <x:v>2026-08-05T21:50:00</x:v>
      </x:c>
      <x:c r="D6138" s="47" t="n">
        <x:v>30</x:v>
      </x:c>
      <x:c r="E6138" s="40" t="n">
        <x:v>17.7</x:v>
      </x:c>
      <x:c r="F6138" s="40" t="n">
        <x:v>16.74626922607422</x:v>
      </x:c>
      <x:c r="G6138" s="40" t="n">
        <x:v>17.8</x:v>
      </x:c>
      <x:c r="H6138" s="40" t="n">
        <x:f>F6138-E6138</x:f>
        <x:v>-0.9537307739257805</x:v>
      </x:c>
      <x:c r="I6138" s="40" t="n">
        <x:f>ABS(H6138)</x:f>
        <x:v>0.9537307739257805</x:v>
      </x:c>
      <x:c r="J6138" s="40" t="n">
        <x:f>H6138^2</x:f>
        <x:v>0.9096023891330683</x:v>
      </x:c>
      <x:c r="K6138" s="40" t="n">
        <x:f>G6138-E6138</x:f>
        <x:v>0.10000000000000142</x:v>
      </x:c>
      <x:c r="L6138" s="40" t="n">
        <x:f>ABS(K6138)</x:f>
        <x:v>0.10000000000000142</x:v>
      </x:c>
      <x:c r="M6138" s="41" t="str">
        <x:v>lstm-soil-v1</x:v>
      </x:c>
    </x:row>
    <x:row r="6139">
      <x:c r="A6139" s="42" t="str">
        <x:v>7月30日现场数据</x:v>
      </x:c>
      <x:c r="B6139" s="43" t="str">
        <x:v>2026-08-05T21:20:00</x:v>
      </x:c>
      <x:c r="C6139" s="43" t="str">
        <x:v>2026-08-05T22:20:00</x:v>
      </x:c>
      <x:c r="D6139" s="49" t="n">
        <x:v>60</x:v>
      </x:c>
      <x:c r="E6139" s="44" t="n">
        <x:v>17.7</x:v>
      </x:c>
      <x:c r="F6139" s="44" t="n">
        <x:v>18.462440490722656</x:v>
      </x:c>
      <x:c r="G6139" s="44" t="n">
        <x:v>17.8</x:v>
      </x:c>
      <x:c r="H6139" s="44" t="n">
        <x:f>F6139-E6139</x:f>
        <x:v>0.762440490722657</x:v>
      </x:c>
      <x:c r="I6139" s="44" t="n">
        <x:f>ABS(H6139)</x:f>
        <x:v>0.762440490722657</x:v>
      </x:c>
      <x:c r="J6139" s="44" t="n">
        <x:f>H6139^2</x:f>
        <x:v>0.581315501893406</x:v>
      </x:c>
      <x:c r="K6139" s="44" t="n">
        <x:f>G6139-E6139</x:f>
        <x:v>0.10000000000000142</x:v>
      </x:c>
      <x:c r="L6139" s="44" t="n">
        <x:f>ABS(K6139)</x:f>
        <x:v>0.10000000000000142</x:v>
      </x:c>
      <x:c r="M6139" s="45" t="str">
        <x:v>lstm-soil-v1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4" hidden="0" customWidth="1"/>
  </x:cols>
  <x:sheetData>
    <x:row r="1" ht="34" customHeight="1">
      <x:c r="A1" s="3" t="str">
        <x:v>离线测试集指标｜模型训练产物记录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8" t="str">
        <x:v>模型</x:v>
      </x:c>
      <x:c r="B3" s="36" t="str">
        <x:v>MAE</x:v>
      </x:c>
      <x:c r="C3" s="36" t="str">
        <x:v>RMSE</x:v>
      </x:c>
      <x:c r="D3" s="36" t="str">
        <x:v>R²</x:v>
      </x:c>
      <x:c r="E3" s="36" t="str">
        <x:v>基线MAE</x:v>
      </x:c>
      <x:c r="F3" s="36" t="str">
        <x:v>基线RMSE</x:v>
      </x:c>
      <x:c r="G3" s="36" t="str">
        <x:v>是否可用</x:v>
      </x:c>
      <x:c r="H3" s="36" t="str">
        <x:v>数据阶段</x:v>
      </x:c>
      <x:c r="I3" s="37" t="str">
        <x:v>说明</x:v>
      </x:c>
    </x:row>
    <x:row r="4">
      <x:c r="A4" s="38" t="str">
        <x:v>N-BEATS ET₀</x:v>
      </x:c>
      <x:c r="B4" s="52" t="n">
        <x:v>0.015197984874248505</x:v>
      </x:c>
      <x:c r="C4" s="52" t="n">
        <x:v>0.02226615233800721</x:v>
      </x:c>
      <x:c r="D4" s="52" t="n">
        <x:v>0.9772725701332092</x:v>
      </x:c>
      <x:c r="E4" s="52" t="n">
        <x:v>0.030134977772831917</x:v>
      </x:c>
      <x:c r="F4" s="52" t="n">
        <x:v>0.04452295801276363</x:v>
      </x:c>
      <x:c r="G4" s="53" t="b">
        <x:v>1</x:v>
      </x:c>
      <x:c r="H4" s="47" t="str">
        <x:v>离线测试集</x:v>
      </x:c>
      <x:c r="I4" s="41" t="str">
        <x:v>训练产物 metadata.json；不可替代现场验证</x:v>
      </x:c>
    </x:row>
    <x:row r="5">
      <x:c r="A5" s="42" t="str">
        <x:v>SoilLSTM</x:v>
      </x:c>
      <x:c r="B5" s="54" t="n">
        <x:v>0.07680173218250275</x:v>
      </x:c>
      <x:c r="C5" s="54" t="n">
        <x:v>1.1257249297879486</x:v>
      </x:c>
      <x:c r="D5" s="54" t="n">
        <x:v>0.9918294548988342</x:v>
      </x:c>
      <x:c r="E5" s="54" t="n">
        <x:v>0.11563372076111841</x:v>
      </x:c>
      <x:c r="F5" s="54" t="n">
        <x:v>1.1696854728600772</x:v>
      </x:c>
      <x:c r="G5" s="55" t="b">
        <x:v>1</x:v>
      </x:c>
      <x:c r="H5" s="49" t="str">
        <x:v>离线测试集</x:v>
      </x:c>
      <x:c r="I5" s="45" t="str">
        <x:v>训练数据类型为 proxy；不可替代现场验证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3" t="str">
        <x:v>现场数据质量与有效回测覆盖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8" t="str">
        <x:v>数据源</x:v>
      </x:c>
      <x:c r="B3" s="36" t="str">
        <x:v>原始记录</x:v>
      </x:c>
      <x:c r="C3" s="36" t="str">
        <x:v>起始时间</x:v>
      </x:c>
      <x:c r="D3" s="36" t="str">
        <x:v>结束时间</x:v>
      </x:c>
      <x:c r="E3" s="36" t="str">
        <x:v>设备会话</x:v>
      </x:c>
      <x:c r="F3" s="36" t="str">
        <x:v>土壤零值</x:v>
      </x:c>
      <x:c r="G3" s="36" t="str">
        <x:v>已标异常</x:v>
      </x:c>
      <x:c r="H3" s="36" t="str">
        <x:v>完整自然小时</x:v>
      </x:c>
      <x:c r="I3" s="36" t="str">
        <x:v>ET₀回测点</x:v>
      </x:c>
      <x:c r="J3" s="37" t="str">
        <x:v>土壤回测起点</x:v>
      </x:c>
    </x:row>
    <x:row r="4">
      <x:c r="A4" s="38" t="str">
        <x:v>7月30日现场数据</x:v>
      </x:c>
      <x:c r="B4" s="47" t="n">
        <x:v>1831</x:v>
      </x:c>
      <x:c r="C4" s="47" t="str">
        <x:v>2026-07-30T13:40:00</x:v>
      </x:c>
      <x:c r="D4" s="47" t="str">
        <x:v>2026-08-05T22:22:56.651000</x:v>
      </x:c>
      <x:c r="E4" s="47" t="n">
        <x:v>6</x:v>
      </x:c>
      <x:c r="F4" s="47" t="n">
        <x:v>4</x:v>
      </x:c>
      <x:c r="G4" s="47" t="n">
        <x:v>11</x:v>
      </x:c>
      <x:c r="H4" s="47" t="n">
        <x:v>152</x:v>
      </x:c>
      <x:c r="I4" s="47" t="n">
        <x:v>128</x:v>
      </x:c>
      <x:c r="J4" s="41" t="n">
        <x:v>1534</x:v>
      </x:c>
    </x:row>
    <x:row r="5">
      <x:c r="A5" s="42" t="str">
        <x:v>7月29日现场数据</x:v>
      </x:c>
      <x:c r="B5" s="49" t="n">
        <x:v>284</x:v>
      </x:c>
      <x:c r="C5" s="49" t="str">
        <x:v>2026-07-29T00:30:00</x:v>
      </x:c>
      <x:c r="D5" s="49" t="str">
        <x:v>2026-07-30T04:37:27.719000</x:v>
      </x:c>
      <x:c r="E5" s="49" t="n">
        <x:v>1</x:v>
      </x:c>
      <x:c r="F5" s="49" t="n">
        <x:v>0</x:v>
      </x:c>
      <x:c r="G5" s="49" t="n">
        <x:v>3</x:v>
      </x:c>
      <x:c r="H5" s="49" t="n">
        <x:v>22</x:v>
      </x:c>
      <x:c r="I5" s="49" t="n">
        <x:v>0</x:v>
      </x:c>
      <x:c r="J5" s="45" t="n">
        <x:v>0</x:v>
      </x:c>
    </x:row>
    <x:row r="8">
      <x:c r="A8" s="59" t="str">
        <x:v>说明：7月29日数据不足以形成连续 24 小时 ET₀ 历史窗口或 288 点土壤湿度历史窗口，因此不强行计算模型精度；它仍保留在原始数据与质量统计中。</x:v>
      </x:c>
      <x:c r="B8" s="59"/>
      <x:c r="C8" s="59"/>
      <x:c r="D8" s="59"/>
      <x:c r="E8" s="59"/>
      <x:c r="F8" s="59"/>
      <x:c r="G8" s="59"/>
      <x:c r="H8" s="59"/>
      <x:c r="I8" s="59"/>
      <x:c r="J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</x:sheetData>
  <x:mergeCells>
    <x:mergeCell ref="A1:J1"/>
    <x:mergeCell ref="A8:J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3" hidden="0" customWidth="1"/>
    <x:col min="14" max="14" width="23" hidden="0" customWidth="1"/>
  </x:cols>
  <x:sheetData>
    <x:row r="1" ht="34" customHeight="1">
      <x:c r="A1" s="3" t="str">
        <x:v>现场回测指标汇总与计算规则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6" t="str">
        <x:v>ET₀ 现场指标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8" t="str">
        <x:v>算法</x:v>
      </x:c>
      <x:c r="B4" s="36" t="str">
        <x:v>样本量</x:v>
      </x:c>
      <x:c r="C4" s="36" t="str">
        <x:v>MAE</x:v>
      </x:c>
      <x:c r="D4" s="36" t="str">
        <x:v>RMSE</x:v>
      </x:c>
      <x:c r="E4" s="36" t="str">
        <x:v>R²</x:v>
      </x:c>
      <x:c r="F4" s="36" t="str">
        <x:v>平均偏差</x:v>
      </x:c>
      <x:c r="G4" s="36" t="str">
        <x:v>最大绝对误差</x:v>
      </x:c>
      <x:c r="H4" s="36" t="str">
        <x:v>±0.02命中</x:v>
      </x:c>
      <x:c r="I4" s="36" t="str">
        <x:v>±0.05命中</x:v>
      </x:c>
      <x:c r="J4" s="36" t="str">
        <x:v>±0.10命中</x:v>
      </x:c>
      <x:c r="K4" s="37" t="str">
        <x:v>MAE较基线提升</x:v>
      </x:c>
    </x:row>
    <x:row r="5">
      <x:c r="A5" s="38" t="str">
        <x:v>当前部署版</x:v>
      </x:c>
      <x:c r="B5" s="47" t="n">
        <x:v>128</x:v>
      </x:c>
      <x:c r="C5" s="52" t="n">
        <x:v>0.0831172871245891</x:v>
      </x:c>
      <x:c r="D5" s="52" t="n">
        <x:v>0.18301470551097196</x:v>
      </x:c>
      <x:c r="E5" s="52" t="n">
        <x:v>0.11530710211669493</x:v>
      </x:c>
      <x:c r="F5" s="52" t="n">
        <x:v>-0.004915618398393721</x:v>
      </x:c>
      <x:c r="G5" s="52" t="n">
        <x:v>0.6716755252865683</x:v>
      </x:c>
      <x:c r="H5" s="61" t="n">
        <x:v>0.4140625</x:v>
      </x:c>
      <x:c r="I5" s="61" t="n">
        <x:v>0.765625</x:v>
      </x:c>
      <x:c r="J5" s="61" t="n">
        <x:v>0.859375</x:v>
      </x:c>
      <x:c r="K5" s="62" t="n">
        <x:v>-0.048565555481917544</x:v>
      </x:c>
    </x:row>
    <x:row r="6">
      <x:c r="A6" s="38" t="str">
        <x:v>净辐射修正版</x:v>
      </x:c>
      <x:c r="B6" s="47" t="n">
        <x:v>128</x:v>
      </x:c>
      <x:c r="C6" s="52" t="n">
        <x:v>0.09083492968974083</x:v>
      </x:c>
      <x:c r="D6" s="52" t="n">
        <x:v>0.19917354660836384</x:v>
      </x:c>
      <x:c r="E6" s="52" t="n">
        <x:v>-0.04781323478351451</x:v>
      </x:c>
      <x:c r="F6" s="52" t="n">
        <x:v>0.015767934438605576</x:v>
      </x:c>
      <x:c r="G6" s="52" t="n">
        <x:v>0.8742530566243063</x:v>
      </x:c>
      <x:c r="H6" s="61" t="n">
        <x:v>0.4140625</x:v>
      </x:c>
      <x:c r="I6" s="61" t="n">
        <x:v>0.7421875</x:v>
      </x:c>
      <x:c r="J6" s="61" t="n">
        <x:v>0.84375</x:v>
      </x:c>
      <x:c r="K6" s="62" t="n">
        <x:v>-0.14592742138604642</x:v>
      </x:c>
    </x:row>
    <x:row r="7">
      <x:c r="A7" s="42" t="str">
        <x:v>持久性基线</x:v>
      </x:c>
      <x:c r="B7" s="49" t="n">
        <x:v>128</x:v>
      </x:c>
      <x:c r="C7" s="54" t="n">
        <x:v>0.07926761153849712</x:v>
      </x:c>
      <x:c r="D7" s="54" t="n">
        <x:v>0.19684508141983484</x:v>
      </x:c>
      <x:c r="E7" s="54" t="n">
        <x:v>-0.0234572367420276</x:v>
      </x:c>
      <x:c r="F7" s="54" t="n">
        <x:v>0.0005467728580302207</x:v>
      </x:c>
      <x:c r="G7" s="54" t="n">
        <x:v>0.8808196880206439</x:v>
      </x:c>
      <x:c r="H7" s="63" t="n">
        <x:v>0.6328125</x:v>
      </x:c>
      <x:c r="I7" s="63" t="n">
        <x:v>0.8046875</x:v>
      </x:c>
      <x:c r="J7" s="63" t="n">
        <x:v>0.8671875</x:v>
      </x:c>
      <x:c r="K7" s="64"/>
    </x:row>
    <x:row r="10">
      <x:c r="A10" s="6" t="str">
        <x:v>土壤湿度现场指标</x:v>
      </x:c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18" t="str">
        <x:v>时域(min)</x:v>
      </x:c>
      <x:c r="B11" s="36" t="str">
        <x:v>对象</x:v>
      </x:c>
      <x:c r="C11" s="36" t="str">
        <x:v>样本量</x:v>
      </x:c>
      <x:c r="D11" s="36" t="str">
        <x:v>MAE</x:v>
      </x:c>
      <x:c r="E11" s="36" t="str">
        <x:v>RMSE</x:v>
      </x:c>
      <x:c r="F11" s="36" t="str">
        <x:v>R²</x:v>
      </x:c>
      <x:c r="G11" s="36" t="str">
        <x:v>平均偏差</x:v>
      </x:c>
      <x:c r="H11" s="36" t="str">
        <x:v>最大绝对误差</x:v>
      </x:c>
      <x:c r="I11" s="36" t="str">
        <x:v>±0.5命中</x:v>
      </x:c>
      <x:c r="J11" s="36" t="str">
        <x:v>±1.0命中</x:v>
      </x:c>
      <x:c r="K11" s="36" t="str">
        <x:v>±2.0命中</x:v>
      </x:c>
      <x:c r="L11" s="36" t="str">
        <x:v>MAE较基线提升</x:v>
      </x:c>
      <x:c r="M11" s="36" t="str">
        <x:v>结论</x:v>
      </x:c>
      <x:c r="N11" s="37" t="str">
        <x:v>误差单位</x:v>
      </x:c>
    </x:row>
    <x:row r="12">
      <x:c r="A12" s="38" t="n">
        <x:v>5</x:v>
      </x:c>
      <x:c r="B12" s="47" t="str">
        <x:v>SoilLSTM</x:v>
      </x:c>
      <x:c r="C12" s="47" t="n">
        <x:v>1534</x:v>
      </x:c>
      <x:c r="D12" s="40" t="n">
        <x:v>1.7669249951140045</x:v>
      </x:c>
      <x:c r="E12" s="40" t="n">
        <x:v>1.8193413627700326</x:v>
      </x:c>
      <x:c r="F12" s="40" t="n">
        <x:v>0.5040899405880865</x:v>
      </x:c>
      <x:c r="G12" s="40" t="n">
        <x:v>-1.7612795147156</x:v>
      </x:c>
      <x:c r="H12" s="40" t="n">
        <x:v>8.232151794433594</x:v>
      </x:c>
      <x:c r="I12" s="61" t="n">
        <x:v>0.009126466753585397</x:v>
      </x:c>
      <x:c r="J12" s="61" t="n">
        <x:v>0.01955671447196871</x:v>
      </x:c>
      <x:c r="K12" s="61" t="n">
        <x:v>0.771838331160365</x:v>
      </x:c>
      <x:c r="L12" s="61" t="n">
        <x:v>-24.37886650285472</x:v>
      </x:c>
      <x:c r="M12" s="47" t="str">
        <x:v>现场泛化与校准空间</x:v>
      </x:c>
      <x:c r="N12" s="41" t="str">
        <x:v>土壤湿度百分点</x:v>
      </x:c>
    </x:row>
    <x:row r="13">
      <x:c r="A13" s="38" t="n">
        <x:v>5</x:v>
      </x:c>
      <x:c r="B13" s="47" t="str">
        <x:v>持久性基线</x:v>
      </x:c>
      <x:c r="C13" s="47" t="n">
        <x:v>1534</x:v>
      </x:c>
      <x:c r="D13" s="40" t="n">
        <x:v>0.06962190352020857</x:v>
      </x:c>
      <x:c r="E13" s="40" t="n">
        <x:v>0.3498090371204097</x:v>
      </x:c>
      <x:c r="F13" s="40" t="n">
        <x:v>0.9816668715472748</x:v>
      </x:c>
      <x:c r="G13" s="40" t="n">
        <x:v>-0.0037157757496740556</x:v>
      </x:c>
      <x:c r="H13" s="40" t="n">
        <x:v>6.300000000000001</x:v>
      </x:c>
      <x:c r="I13" s="61" t="n">
        <x:v>0.9758800521512386</x:v>
      </x:c>
      <x:c r="J13" s="61" t="n">
        <x:v>0.9889178617992177</x:v>
      </x:c>
      <x:c r="K13" s="61" t="n">
        <x:v>0.9947848761408083</x:v>
      </x:c>
      <x:c r="L13" s="61"/>
      <x:c r="M13" s="47" t="str">
        <x:v>对照基准</x:v>
      </x:c>
      <x:c r="N13" s="41" t="str">
        <x:v>土壤湿度百分点</x:v>
      </x:c>
    </x:row>
    <x:row r="14">
      <x:c r="A14" s="38" t="n">
        <x:v>15</x:v>
      </x:c>
      <x:c r="B14" s="47" t="str">
        <x:v>SoilLSTM</x:v>
      </x:c>
      <x:c r="C14" s="47" t="n">
        <x:v>1534</x:v>
      </x:c>
      <x:c r="D14" s="40" t="n">
        <x:v>1.7218719574432173</x:v>
      </x:c>
      <x:c r="E14" s="40" t="n">
        <x:v>1.8600657761478039</x:v>
      </x:c>
      <x:c r="F14" s="40" t="n">
        <x:v>0.48171158819011173</x:v>
      </x:c>
      <x:c r="G14" s="40" t="n">
        <x:v>-1.6977279481552103</x:v>
      </x:c>
      <x:c r="H14" s="40" t="n">
        <x:v>15.23316421508789</x:v>
      </x:c>
      <x:c r="I14" s="61" t="n">
        <x:v>0.009778357235984355</x:v>
      </x:c>
      <x:c r="J14" s="61" t="n">
        <x:v>0.03259452411994785</x:v>
      </x:c>
      <x:c r="K14" s="61" t="n">
        <x:v>0.8839634941329857</x:v>
      </x:c>
      <x:c r="L14" s="61" t="n">
        <x:v>-11.03897713180445</x:v>
      </x:c>
      <x:c r="M14" s="47" t="str">
        <x:v>现场泛化与校准空间</x:v>
      </x:c>
      <x:c r="N14" s="41" t="str">
        <x:v>土壤湿度百分点</x:v>
      </x:c>
    </x:row>
    <x:row r="15">
      <x:c r="A15" s="38" t="n">
        <x:v>15</x:v>
      </x:c>
      <x:c r="B15" s="47" t="str">
        <x:v>持久性基线</x:v>
      </x:c>
      <x:c r="C15" s="47" t="n">
        <x:v>1534</x:v>
      </x:c>
      <x:c r="D15" s="40" t="n">
        <x:v>0.14302477183833112</x:v>
      </x:c>
      <x:c r="E15" s="40" t="n">
        <x:v>0.6744257299280983</x:v>
      </x:c>
      <x:c r="F15" s="40" t="n">
        <x:v>0.9318629768350422</x:v>
      </x:c>
      <x:c r="G15" s="40" t="n">
        <x:v>-0.011082138200782271</x:v>
      </x:c>
      <x:c r="H15" s="40" t="n">
        <x:v>13.2</x:v>
      </x:c>
      <x:c r="I15" s="61" t="n">
        <x:v>0.9589308996088657</x:v>
      </x:c>
      <x:c r="J15" s="61" t="n">
        <x:v>0.9739243807040417</x:v>
      </x:c>
      <x:c r="K15" s="61" t="n">
        <x:v>0.9850065189048239</x:v>
      </x:c>
      <x:c r="L15" s="61"/>
      <x:c r="M15" s="47" t="str">
        <x:v>对照基准</x:v>
      </x:c>
      <x:c r="N15" s="41" t="str">
        <x:v>土壤湿度百分点</x:v>
      </x:c>
    </x:row>
    <x:row r="16">
      <x:c r="A16" s="38" t="n">
        <x:v>30</x:v>
      </x:c>
      <x:c r="B16" s="47" t="str">
        <x:v>SoilLSTM</x:v>
      </x:c>
      <x:c r="C16" s="47" t="n">
        <x:v>1534</x:v>
      </x:c>
      <x:c r="D16" s="40" t="n">
        <x:v>1.3471385625070826</x:v>
      </x:c>
      <x:c r="E16" s="40" t="n">
        <x:v>1.641399188383358</x:v>
      </x:c>
      <x:c r="F16" s="40" t="n">
        <x:v>0.5964667745469948</x:v>
      </x:c>
      <x:c r="G16" s="40" t="n">
        <x:v>-1.284104206975467</x:v>
      </x:c>
      <x:c r="H16" s="40" t="n">
        <x:v>14.118978881835936</x:v>
      </x:c>
      <x:c r="I16" s="61" t="n">
        <x:v>0.027379400260756193</x:v>
      </x:c>
      <x:c r="J16" s="61" t="n">
        <x:v>0.18904823989569752</x:v>
      </x:c>
      <x:c r="K16" s="61" t="n">
        <x:v>0.9641460234680573</x:v>
      </x:c>
      <x:c r="L16" s="61" t="n">
        <x:v>-4.592721393466483</x:v>
      </x:c>
      <x:c r="M16" s="47" t="str">
        <x:v>现场泛化与校准空间</x:v>
      </x:c>
      <x:c r="N16" s="41" t="str">
        <x:v>土壤湿度百分点</x:v>
      </x:c>
    </x:row>
    <x:row r="17">
      <x:c r="A17" s="38" t="n">
        <x:v>30</x:v>
      </x:c>
      <x:c r="B17" s="47" t="str">
        <x:v>持久性基线</x:v>
      </x:c>
      <x:c r="C17" s="47" t="n">
        <x:v>1534</x:v>
      </x:c>
      <x:c r="D17" s="40" t="n">
        <x:v>0.24087353324641453</x:v>
      </x:c>
      <x:c r="E17" s="40" t="n">
        <x:v>0.9523866952083637</x:v>
      </x:c>
      <x:c r="F17" s="40" t="n">
        <x:v>0.8641444110641854</x:v>
      </x:c>
      <x:c r="G17" s="40" t="n">
        <x:v>-0.02209908735332464</x:v>
      </x:c>
      <x:c r="H17" s="40" t="n">
        <x:v>12.599999999999998</x:v>
      </x:c>
      <x:c r="I17" s="61" t="n">
        <x:v>0.9295958279009127</x:v>
      </x:c>
      <x:c r="J17" s="61" t="n">
        <x:v>0.9550195567144719</x:v>
      </x:c>
      <x:c r="K17" s="61" t="n">
        <x:v>0.9713168187744459</x:v>
      </x:c>
      <x:c r="L17" s="61"/>
      <x:c r="M17" s="47" t="str">
        <x:v>对照基准</x:v>
      </x:c>
      <x:c r="N17" s="41" t="str">
        <x:v>土壤湿度百分点</x:v>
      </x:c>
    </x:row>
    <x:row r="18">
      <x:c r="A18" s="38" t="n">
        <x:v>60</x:v>
      </x:c>
      <x:c r="B18" s="47" t="str">
        <x:v>SoilLSTM</x:v>
      </x:c>
      <x:c r="C18" s="47" t="n">
        <x:v>1534</x:v>
      </x:c>
      <x:c r="D18" s="40" t="n">
        <x:v>0.7177157400795191</x:v>
      </x:c>
      <x:c r="E18" s="40" t="n">
        <x:v>1.3444617204677562</x:v>
      </x:c>
      <x:c r="F18" s="40" t="n">
        <x:v>0.7292825317020146</x:v>
      </x:c>
      <x:c r="G18" s="40" t="n">
        <x:v>0.3629738236965692</x:v>
      </x:c>
      <x:c r="H18" s="40" t="n">
        <x:v>12.280115509033202</x:v>
      </x:c>
      <x:c r="I18" s="61" t="n">
        <x:v>0.5547588005215124</x:v>
      </x:c>
      <x:c r="J18" s="61" t="n">
        <x:v>0.8689700130378096</x:v>
      </x:c>
      <x:c r="K18" s="61" t="n">
        <x:v>0.9465449804432855</x:v>
      </x:c>
      <x:c r="L18" s="61" t="n">
        <x:v>-0.9005281292628731</x:v>
      </x:c>
      <x:c r="M18" s="47" t="str">
        <x:v>现场泛化与校准空间</x:v>
      </x:c>
      <x:c r="N18" s="41" t="str">
        <x:v>土壤湿度百分点</x:v>
      </x:c>
    </x:row>
    <x:row r="19">
      <x:c r="A19" s="42" t="n">
        <x:v>60</x:v>
      </x:c>
      <x:c r="B19" s="49" t="str">
        <x:v>持久性基线</x:v>
      </x:c>
      <x:c r="C19" s="49" t="n">
        <x:v>1534</x:v>
      </x:c>
      <x:c r="D19" s="44" t="n">
        <x:v>0.37764015645371574</x:v>
      </x:c>
      <x:c r="E19" s="44" t="n">
        <x:v>1.212658677905861</x:v>
      </x:c>
      <x:c r="F19" s="44" t="n">
        <x:v>0.7797598192154169</x:v>
      </x:c>
      <x:c r="G19" s="44" t="n">
        <x:v>-0.0440026075619296</x:v>
      </x:c>
      <x:c r="H19" s="44" t="n">
        <x:v>12.499999999999998</x:v>
      </x:c>
      <x:c r="I19" s="63" t="n">
        <x:v>0.8983050847457628</x:v>
      </x:c>
      <x:c r="J19" s="63" t="n">
        <x:v>0.9269882659713168</x:v>
      </x:c>
      <x:c r="K19" s="63" t="n">
        <x:v>0.9524119947848761</x:v>
      </x:c>
      <x:c r="L19" s="63"/>
      <x:c r="M19" s="49" t="str">
        <x:v>对照基准</x:v>
      </x:c>
      <x:c r="N19" s="45" t="str">
        <x:v>土壤湿度百分点</x:v>
      </x:c>
    </x:row>
    <x:row r="22">
      <x:c r="A22" s="6" t="str">
        <x:v>可审计计算规则</x:v>
      </x:c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18" t="str">
        <x:v>误差</x:v>
      </x:c>
      <x:c r="B23" s="19" t="str">
        <x:v>预测值 - 实测/参考值；见两张现场回测明细表公式列</x:v>
      </x:c>
    </x:row>
    <x:row r="24">
      <x:c r="A24" s="20" t="str">
        <x:v>绝对误差</x:v>
      </x:c>
      <x:c r="B24" s="21" t="str">
        <x:v>ABS(误差)</x:v>
      </x:c>
    </x:row>
    <x:row r="25">
      <x:c r="A25" s="20" t="str">
        <x:v>平方误差</x:v>
      </x:c>
      <x:c r="B25" s="21" t="str">
        <x:v>误差^2</x:v>
      </x:c>
    </x:row>
    <x:row r="26">
      <x:c r="A26" s="20" t="str">
        <x:v>MAE</x:v>
      </x:c>
      <x:c r="B26" s="21" t="str">
        <x:v>AVERAGE(绝对误差)</x:v>
      </x:c>
    </x:row>
    <x:row r="27">
      <x:c r="A27" s="20" t="str">
        <x:v>RMSE</x:v>
      </x:c>
      <x:c r="B27" s="21" t="str">
        <x:v>SQRT(AVERAGE(平方误差))</x:v>
      </x:c>
    </x:row>
    <x:row r="28">
      <x:c r="A28" s="22" t="str">
        <x:v>提升率</x:v>
      </x:c>
      <x:c r="B28" s="23" t="str">
        <x:v>1 - 模型MAE / 持久性基线MAE；负值表示未超过基线</x:v>
      </x:c>
    </x:row>
  </x:sheetData>
  <x:mergeCells>
    <x:mergeCell ref="A1:N1"/>
    <x:mergeCell ref="A3:N3"/>
    <x:mergeCell ref="A10:N10"/>
    <x:mergeCell ref="A22:N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4" customHeight="1">
      <x:c r="A1" s="3" t="str">
        <x:v>现场原始数据副本｜源文件未修改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>
      <x:c r="A3" s="18" t="str">
        <x:v>数据源</x:v>
      </x:c>
      <x:c r="B3" s="36" t="str">
        <x:v>北京时间</x:v>
      </x:c>
      <x:c r="C3" s="36" t="str">
        <x:v>实际间隔ms</x:v>
      </x:c>
      <x:c r="D3" s="36" t="str">
        <x:v>异常状态</x:v>
      </x:c>
      <x:c r="E3" s="36" t="str">
        <x:v>异常说明</x:v>
      </x:c>
      <x:c r="F3" s="36" t="str">
        <x:v>source</x:v>
      </x:c>
      <x:c r="G3" s="36" t="str">
        <x:v>index</x:v>
      </x:c>
      <x:c r="H3" s="36" t="str">
        <x:v>integrityOk</x:v>
      </x:c>
      <x:c r="I3" s="36" t="str">
        <x:v>bootSessionId</x:v>
      </x:c>
      <x:c r="J3" s="36" t="str">
        <x:v>uptimeMs</x:v>
      </x:c>
      <x:c r="K3" s="36" t="str">
        <x:v>windOk</x:v>
      </x:c>
      <x:c r="L3" s="36" t="str">
        <x:v>airOk</x:v>
      </x:c>
      <x:c r="M3" s="36" t="str">
        <x:v>soilOk</x:v>
      </x:c>
      <x:c r="N3" s="36" t="str">
        <x:v>solar1Ok</x:v>
      </x:c>
      <x:c r="O3" s="36" t="str">
        <x:v>solar2Ok</x:v>
      </x:c>
      <x:c r="P3" s="36" t="str">
        <x:v>气压hPa</x:v>
      </x:c>
      <x:c r="Q3" s="36" t="str">
        <x:v>风电压</x:v>
      </x:c>
      <x:c r="R3" s="36" t="str">
        <x:v>风速m/s</x:v>
      </x:c>
      <x:c r="S3" s="36" t="str">
        <x:v>气温°C</x:v>
      </x:c>
      <x:c r="T3" s="36" t="str">
        <x:v>湿度%</x:v>
      </x:c>
      <x:c r="U3" s="36" t="str">
        <x:v>土温°C</x:v>
      </x:c>
      <x:c r="V3" s="36" t="str">
        <x:v>土壤湿度%</x:v>
      </x:c>
      <x:c r="W3" s="36" t="str">
        <x:v>反射辐射</x:v>
      </x:c>
      <x:c r="X3" s="36" t="str">
        <x:v>入射辐射</x:v>
      </x:c>
      <x:c r="Y3" s="37" t="str">
        <x:v>净短波辐射</x:v>
      </x:c>
    </x:row>
    <x:row r="4">
      <x:c r="A4" s="38" t="str">
        <x:v>7月30日现场数据</x:v>
      </x:c>
      <x:c r="B4" s="66" t="str">
        <x:v>2026-07-30T13:40:00</x:v>
      </x:c>
      <x:c r="C4" s="47"/>
      <x:c r="D4" s="47" t="str"/>
      <x:c r="E4" s="47" t="str"/>
      <x:c r="F4" s="47" t="str">
        <x:v>current</x:v>
      </x:c>
      <x:c r="G4" s="47" t="n">
        <x:v>0</x:v>
      </x:c>
      <x:c r="H4" s="53" t="b">
        <x:v>1</x:v>
      </x:c>
      <x:c r="I4" s="47" t="str">
        <x:v>3906736965</x:v>
      </x:c>
      <x:c r="J4" s="47" t="n">
        <x:v>120788</x:v>
      </x:c>
      <x:c r="K4" s="53" t="b">
        <x:v>1</x:v>
      </x:c>
      <x:c r="L4" s="53" t="b">
        <x:v>1</x:v>
      </x:c>
      <x:c r="M4" s="53" t="b">
        <x:v>1</x:v>
      </x:c>
      <x:c r="N4" s="53" t="b">
        <x:v>1</x:v>
      </x:c>
      <x:c r="O4" s="53" t="b">
        <x:v>1</x:v>
      </x:c>
      <x:c r="P4" s="47" t="n">
        <x:v>1009</x:v>
      </x:c>
      <x:c r="Q4" s="47" t="n">
        <x:v>0</x:v>
      </x:c>
      <x:c r="R4" s="47" t="n">
        <x:v>0</x:v>
      </x:c>
      <x:c r="S4" s="47" t="n">
        <x:v>38.11</x:v>
      </x:c>
      <x:c r="T4" s="47" t="n">
        <x:v>55.29</x:v>
      </x:c>
      <x:c r="U4" s="47" t="n">
        <x:v>34.1</x:v>
      </x:c>
      <x:c r="V4" s="47" t="n">
        <x:v>12.5</x:v>
      </x:c>
      <x:c r="W4" s="47" t="n">
        <x:v>19</x:v>
      </x:c>
      <x:c r="X4" s="47" t="n">
        <x:v>81</x:v>
      </x:c>
      <x:c r="Y4" s="41" t="n">
        <x:v>62</x:v>
      </x:c>
    </x:row>
    <x:row r="5">
      <x:c r="A5" s="38" t="str">
        <x:v>7月30日现场数据</x:v>
      </x:c>
      <x:c r="B5" s="66" t="str">
        <x:v>2026-07-30T13:45:00.961000</x:v>
      </x:c>
      <x:c r="C5" s="47" t="n">
        <x:v>300961</x:v>
      </x:c>
      <x:c r="D5" s="47" t="str"/>
      <x:c r="E5" s="47" t="str"/>
      <x:c r="F5" s="47" t="str">
        <x:v>current</x:v>
      </x:c>
      <x:c r="G5" s="47" t="n">
        <x:v>1</x:v>
      </x:c>
      <x:c r="H5" s="53" t="b">
        <x:v>1</x:v>
      </x:c>
      <x:c r="I5" s="47" t="str">
        <x:v>3906736965</x:v>
      </x:c>
      <x:c r="J5" s="47" t="n">
        <x:v>421749</x:v>
      </x:c>
      <x:c r="K5" s="53" t="b">
        <x:v>1</x:v>
      </x:c>
      <x:c r="L5" s="53" t="b">
        <x:v>1</x:v>
      </x:c>
      <x:c r="M5" s="53" t="b">
        <x:v>1</x:v>
      </x:c>
      <x:c r="N5" s="53" t="b">
        <x:v>1</x:v>
      </x:c>
      <x:c r="O5" s="53" t="b">
        <x:v>1</x:v>
      </x:c>
      <x:c r="P5" s="47" t="n">
        <x:v>1010</x:v>
      </x:c>
      <x:c r="Q5" s="47" t="n">
        <x:v>0</x:v>
      </x:c>
      <x:c r="R5" s="47" t="n">
        <x:v>0</x:v>
      </x:c>
      <x:c r="S5" s="47" t="n">
        <x:v>37.95</x:v>
      </x:c>
      <x:c r="T5" s="47" t="n">
        <x:v>55</x:v>
      </x:c>
      <x:c r="U5" s="47" t="n">
        <x:v>34.2</x:v>
      </x:c>
      <x:c r="V5" s="47" t="n">
        <x:v>13.5</x:v>
      </x:c>
      <x:c r="W5" s="47" t="n">
        <x:v>21</x:v>
      </x:c>
      <x:c r="X5" s="47" t="n">
        <x:v>86</x:v>
      </x:c>
      <x:c r="Y5" s="41" t="n">
        <x:v>65</x:v>
      </x:c>
    </x:row>
    <x:row r="6">
      <x:c r="A6" s="38" t="str">
        <x:v>7月30日现场数据</x:v>
      </x:c>
      <x:c r="B6" s="66" t="str">
        <x:v>2026-07-30T13:50:01.917000</x:v>
      </x:c>
      <x:c r="C6" s="47" t="n">
        <x:v>300956</x:v>
      </x:c>
      <x:c r="D6" s="47" t="str"/>
      <x:c r="E6" s="47" t="str"/>
      <x:c r="F6" s="47" t="str">
        <x:v>current</x:v>
      </x:c>
      <x:c r="G6" s="47" t="n">
        <x:v>2</x:v>
      </x:c>
      <x:c r="H6" s="53" t="b">
        <x:v>1</x:v>
      </x:c>
      <x:c r="I6" s="47" t="str">
        <x:v>3906736965</x:v>
      </x:c>
      <x:c r="J6" s="47" t="n">
        <x:v>722705</x:v>
      </x:c>
      <x:c r="K6" s="53" t="b">
        <x:v>1</x:v>
      </x:c>
      <x:c r="L6" s="53" t="b">
        <x:v>1</x:v>
      </x:c>
      <x:c r="M6" s="53" t="b">
        <x:v>1</x:v>
      </x:c>
      <x:c r="N6" s="53" t="b">
        <x:v>1</x:v>
      </x:c>
      <x:c r="O6" s="53" t="b">
        <x:v>1</x:v>
      </x:c>
      <x:c r="P6" s="47" t="n">
        <x:v>1010</x:v>
      </x:c>
      <x:c r="Q6" s="47" t="n">
        <x:v>0</x:v>
      </x:c>
      <x:c r="R6" s="47" t="n">
        <x:v>0</x:v>
      </x:c>
      <x:c r="S6" s="47" t="n">
        <x:v>38.39</x:v>
      </x:c>
      <x:c r="T6" s="47" t="n">
        <x:v>54.93</x:v>
      </x:c>
      <x:c r="U6" s="47" t="n">
        <x:v>34.1</x:v>
      </x:c>
      <x:c r="V6" s="47" t="n">
        <x:v>13.5</x:v>
      </x:c>
      <x:c r="W6" s="47" t="n">
        <x:v>46</x:v>
      </x:c>
      <x:c r="X6" s="47" t="n">
        <x:v>150</x:v>
      </x:c>
      <x:c r="Y6" s="41" t="n">
        <x:v>104</x:v>
      </x:c>
    </x:row>
    <x:row r="7">
      <x:c r="A7" s="38" t="str">
        <x:v>7月30日现场数据</x:v>
      </x:c>
      <x:c r="B7" s="66" t="str">
        <x:v>2026-07-30T13:55:02.878000</x:v>
      </x:c>
      <x:c r="C7" s="47" t="n">
        <x:v>300961</x:v>
      </x:c>
      <x:c r="D7" s="47" t="str"/>
      <x:c r="E7" s="47" t="str"/>
      <x:c r="F7" s="47" t="str">
        <x:v>current</x:v>
      </x:c>
      <x:c r="G7" s="47" t="n">
        <x:v>3</x:v>
      </x:c>
      <x:c r="H7" s="53" t="b">
        <x:v>1</x:v>
      </x:c>
      <x:c r="I7" s="47" t="str">
        <x:v>3906736965</x:v>
      </x:c>
      <x:c r="J7" s="47" t="n">
        <x:v>1023666</x:v>
      </x:c>
      <x:c r="K7" s="53" t="b">
        <x:v>1</x:v>
      </x:c>
      <x:c r="L7" s="53" t="b">
        <x:v>1</x:v>
      </x:c>
      <x:c r="M7" s="53" t="b">
        <x:v>1</x:v>
      </x:c>
      <x:c r="N7" s="53" t="b">
        <x:v>1</x:v>
      </x:c>
      <x:c r="O7" s="53" t="b">
        <x:v>1</x:v>
      </x:c>
      <x:c r="P7" s="47" t="n">
        <x:v>1010</x:v>
      </x:c>
      <x:c r="Q7" s="47" t="n">
        <x:v>0</x:v>
      </x:c>
      <x:c r="R7" s="47" t="n">
        <x:v>0</x:v>
      </x:c>
      <x:c r="S7" s="47" t="n">
        <x:v>38.26</x:v>
      </x:c>
      <x:c r="T7" s="47" t="n">
        <x:v>54.84</x:v>
      </x:c>
      <x:c r="U7" s="47" t="n">
        <x:v>34.2</x:v>
      </x:c>
      <x:c r="V7" s="47" t="n">
        <x:v>13.5</x:v>
      </x:c>
      <x:c r="W7" s="47" t="n">
        <x:v>22</x:v>
      </x:c>
      <x:c r="X7" s="47" t="n">
        <x:v>90</x:v>
      </x:c>
      <x:c r="Y7" s="41" t="n">
        <x:v>68</x:v>
      </x:c>
    </x:row>
    <x:row r="8">
      <x:c r="A8" s="38" t="str">
        <x:v>7月30日现场数据</x:v>
      </x:c>
      <x:c r="B8" s="66" t="str">
        <x:v>2026-07-30T14:00:03.839000</x:v>
      </x:c>
      <x:c r="C8" s="47" t="n">
        <x:v>300961</x:v>
      </x:c>
      <x:c r="D8" s="47" t="str"/>
      <x:c r="E8" s="47" t="str"/>
      <x:c r="F8" s="47" t="str">
        <x:v>current</x:v>
      </x:c>
      <x:c r="G8" s="47" t="n">
        <x:v>4</x:v>
      </x:c>
      <x:c r="H8" s="53" t="b">
        <x:v>1</x:v>
      </x:c>
      <x:c r="I8" s="47" t="str">
        <x:v>3906736965</x:v>
      </x:c>
      <x:c r="J8" s="47" t="n">
        <x:v>1324627</x:v>
      </x:c>
      <x:c r="K8" s="53" t="b">
        <x:v>1</x:v>
      </x:c>
      <x:c r="L8" s="53" t="b">
        <x:v>1</x:v>
      </x:c>
      <x:c r="M8" s="53" t="b">
        <x:v>1</x:v>
      </x:c>
      <x:c r="N8" s="53" t="b">
        <x:v>1</x:v>
      </x:c>
      <x:c r="O8" s="53" t="b">
        <x:v>1</x:v>
      </x:c>
      <x:c r="P8" s="47" t="n">
        <x:v>1010</x:v>
      </x:c>
      <x:c r="Q8" s="47" t="n">
        <x:v>0.016</x:v>
      </x:c>
      <x:c r="R8" s="47" t="n">
        <x:v>0.429</x:v>
      </x:c>
      <x:c r="S8" s="47" t="n">
        <x:v>37.94</x:v>
      </x:c>
      <x:c r="T8" s="47" t="n">
        <x:v>54.65</x:v>
      </x:c>
      <x:c r="U8" s="47" t="n">
        <x:v>34.1</x:v>
      </x:c>
      <x:c r="V8" s="47" t="n">
        <x:v>13.5</x:v>
      </x:c>
      <x:c r="W8" s="47" t="n">
        <x:v>13</x:v>
      </x:c>
      <x:c r="X8" s="47" t="n">
        <x:v>52</x:v>
      </x:c>
      <x:c r="Y8" s="41" t="n">
        <x:v>39</x:v>
      </x:c>
    </x:row>
    <x:row r="9">
      <x:c r="A9" s="38" t="str">
        <x:v>7月30日现场数据</x:v>
      </x:c>
      <x:c r="B9" s="66" t="str">
        <x:v>2026-07-30T14:05:04.846000</x:v>
      </x:c>
      <x:c r="C9" s="47" t="n">
        <x:v>301007</x:v>
      </x:c>
      <x:c r="D9" s="47" t="str"/>
      <x:c r="E9" s="47" t="str"/>
      <x:c r="F9" s="47" t="str">
        <x:v>current</x:v>
      </x:c>
      <x:c r="G9" s="47" t="n">
        <x:v>5</x:v>
      </x:c>
      <x:c r="H9" s="53" t="b">
        <x:v>1</x:v>
      </x:c>
      <x:c r="I9" s="47" t="str">
        <x:v>3906736965</x:v>
      </x:c>
      <x:c r="J9" s="47" t="n">
        <x:v>1625634</x:v>
      </x:c>
      <x:c r="K9" s="53" t="b">
        <x:v>1</x:v>
      </x:c>
      <x:c r="L9" s="53" t="b">
        <x:v>1</x:v>
      </x:c>
      <x:c r="M9" s="53" t="b">
        <x:v>1</x:v>
      </x:c>
      <x:c r="N9" s="53" t="b">
        <x:v>1</x:v>
      </x:c>
      <x:c r="O9" s="53" t="b">
        <x:v>1</x:v>
      </x:c>
      <x:c r="P9" s="47" t="n">
        <x:v>1009</x:v>
      </x:c>
      <x:c r="Q9" s="47" t="n">
        <x:v>0.006</x:v>
      </x:c>
      <x:c r="R9" s="47" t="n">
        <x:v>0.165</x:v>
      </x:c>
      <x:c r="S9" s="47" t="n">
        <x:v>37.29</x:v>
      </x:c>
      <x:c r="T9" s="47" t="n">
        <x:v>54.4</x:v>
      </x:c>
      <x:c r="U9" s="47" t="n">
        <x:v>34.1</x:v>
      </x:c>
      <x:c r="V9" s="47" t="n">
        <x:v>13.5</x:v>
      </x:c>
      <x:c r="W9" s="47" t="n">
        <x:v>10</x:v>
      </x:c>
      <x:c r="X9" s="47" t="n">
        <x:v>42</x:v>
      </x:c>
      <x:c r="Y9" s="41" t="n">
        <x:v>32</x:v>
      </x:c>
    </x:row>
    <x:row r="10">
      <x:c r="A10" s="38" t="str">
        <x:v>7月30日现场数据</x:v>
      </x:c>
      <x:c r="B10" s="66" t="str">
        <x:v>2026-07-30T14:10:05.795000</x:v>
      </x:c>
      <x:c r="C10" s="47" t="n">
        <x:v>300949</x:v>
      </x:c>
      <x:c r="D10" s="47" t="str"/>
      <x:c r="E10" s="47" t="str"/>
      <x:c r="F10" s="47" t="str">
        <x:v>current</x:v>
      </x:c>
      <x:c r="G10" s="47" t="n">
        <x:v>6</x:v>
      </x:c>
      <x:c r="H10" s="53" t="b">
        <x:v>1</x:v>
      </x:c>
      <x:c r="I10" s="47" t="str">
        <x:v>3906736965</x:v>
      </x:c>
      <x:c r="J10" s="47" t="n">
        <x:v>1926583</x:v>
      </x:c>
      <x:c r="K10" s="53" t="b">
        <x:v>1</x:v>
      </x:c>
      <x:c r="L10" s="53" t="b">
        <x:v>1</x:v>
      </x:c>
      <x:c r="M10" s="53" t="b">
        <x:v>1</x:v>
      </x:c>
      <x:c r="N10" s="53" t="b">
        <x:v>1</x:v>
      </x:c>
      <x:c r="O10" s="53" t="b">
        <x:v>1</x:v>
      </x:c>
      <x:c r="P10" s="47" t="n">
        <x:v>1010</x:v>
      </x:c>
      <x:c r="Q10" s="47" t="n">
        <x:v>0</x:v>
      </x:c>
      <x:c r="R10" s="47" t="n">
        <x:v>0</x:v>
      </x:c>
      <x:c r="S10" s="47" t="n">
        <x:v>37.09</x:v>
      </x:c>
      <x:c r="T10" s="47" t="n">
        <x:v>54.21</x:v>
      </x:c>
      <x:c r="U10" s="47" t="n">
        <x:v>34.1</x:v>
      </x:c>
      <x:c r="V10" s="47" t="n">
        <x:v>13.5</x:v>
      </x:c>
      <x:c r="W10" s="47" t="n">
        <x:v>12</x:v>
      </x:c>
      <x:c r="X10" s="47" t="n">
        <x:v>46</x:v>
      </x:c>
      <x:c r="Y10" s="41" t="n">
        <x:v>34</x:v>
      </x:c>
    </x:row>
    <x:row r="11">
      <x:c r="A11" s="38" t="str">
        <x:v>7月30日现场数据</x:v>
      </x:c>
      <x:c r="B11" s="66" t="str">
        <x:v>2026-07-30T14:15:06.750000</x:v>
      </x:c>
      <x:c r="C11" s="47" t="n">
        <x:v>300955</x:v>
      </x:c>
      <x:c r="D11" s="47" t="str"/>
      <x:c r="E11" s="47" t="str"/>
      <x:c r="F11" s="47" t="str">
        <x:v>current</x:v>
      </x:c>
      <x:c r="G11" s="47" t="n">
        <x:v>7</x:v>
      </x:c>
      <x:c r="H11" s="53" t="b">
        <x:v>1</x:v>
      </x:c>
      <x:c r="I11" s="47" t="str">
        <x:v>3906736965</x:v>
      </x:c>
      <x:c r="J11" s="47" t="n">
        <x:v>2227538</x:v>
      </x:c>
      <x:c r="K11" s="53" t="b">
        <x:v>1</x:v>
      </x:c>
      <x:c r="L11" s="53" t="b">
        <x:v>1</x:v>
      </x:c>
      <x:c r="M11" s="53" t="b">
        <x:v>1</x:v>
      </x:c>
      <x:c r="N11" s="53" t="b">
        <x:v>1</x:v>
      </x:c>
      <x:c r="O11" s="53" t="b">
        <x:v>1</x:v>
      </x:c>
      <x:c r="P11" s="47" t="n">
        <x:v>1010</x:v>
      </x:c>
      <x:c r="Q11" s="47" t="n">
        <x:v>0</x:v>
      </x:c>
      <x:c r="R11" s="47" t="n">
        <x:v>0</x:v>
      </x:c>
      <x:c r="S11" s="47" t="n">
        <x:v>37.93</x:v>
      </x:c>
      <x:c r="T11" s="47" t="n">
        <x:v>54.3</x:v>
      </x:c>
      <x:c r="U11" s="47" t="n">
        <x:v>34.1</x:v>
      </x:c>
      <x:c r="V11" s="47" t="n">
        <x:v>13.5</x:v>
      </x:c>
      <x:c r="W11" s="47" t="n">
        <x:v>40</x:v>
      </x:c>
      <x:c r="X11" s="47" t="n">
        <x:v>114</x:v>
      </x:c>
      <x:c r="Y11" s="41" t="n">
        <x:v>74</x:v>
      </x:c>
    </x:row>
    <x:row r="12">
      <x:c r="A12" s="38" t="str">
        <x:v>7月30日现场数据</x:v>
      </x:c>
      <x:c r="B12" s="66" t="str">
        <x:v>2026-07-30T14:20:07.712000</x:v>
      </x:c>
      <x:c r="C12" s="47" t="n">
        <x:v>300962</x:v>
      </x:c>
      <x:c r="D12" s="47" t="str"/>
      <x:c r="E12" s="47" t="str"/>
      <x:c r="F12" s="47" t="str">
        <x:v>current</x:v>
      </x:c>
      <x:c r="G12" s="47" t="n">
        <x:v>8</x:v>
      </x:c>
      <x:c r="H12" s="53" t="b">
        <x:v>1</x:v>
      </x:c>
      <x:c r="I12" s="47" t="str">
        <x:v>3906736965</x:v>
      </x:c>
      <x:c r="J12" s="47" t="n">
        <x:v>2528500</x:v>
      </x:c>
      <x:c r="K12" s="53" t="b">
        <x:v>1</x:v>
      </x:c>
      <x:c r="L12" s="53" t="b">
        <x:v>1</x:v>
      </x:c>
      <x:c r="M12" s="53" t="b">
        <x:v>1</x:v>
      </x:c>
      <x:c r="N12" s="53" t="b">
        <x:v>1</x:v>
      </x:c>
      <x:c r="O12" s="53" t="b">
        <x:v>1</x:v>
      </x:c>
      <x:c r="P12" s="47" t="n">
        <x:v>1009</x:v>
      </x:c>
      <x:c r="Q12" s="47" t="n">
        <x:v>0</x:v>
      </x:c>
      <x:c r="R12" s="47" t="n">
        <x:v>0</x:v>
      </x:c>
      <x:c r="S12" s="47" t="n">
        <x:v>37.5</x:v>
      </x:c>
      <x:c r="T12" s="47" t="n">
        <x:v>54.22</x:v>
      </x:c>
      <x:c r="U12" s="47" t="n">
        <x:v>34.1</x:v>
      </x:c>
      <x:c r="V12" s="47" t="n">
        <x:v>13.5</x:v>
      </x:c>
      <x:c r="W12" s="47" t="n">
        <x:v>7</x:v>
      </x:c>
      <x:c r="X12" s="47" t="n">
        <x:v>31</x:v>
      </x:c>
      <x:c r="Y12" s="41" t="n">
        <x:v>24</x:v>
      </x:c>
    </x:row>
    <x:row r="13">
      <x:c r="A13" s="38" t="str">
        <x:v>7月30日现场数据</x:v>
      </x:c>
      <x:c r="B13" s="66" t="str">
        <x:v>2026-07-30T14:25:08.679000</x:v>
      </x:c>
      <x:c r="C13" s="47" t="n">
        <x:v>300967</x:v>
      </x:c>
      <x:c r="D13" s="47" t="str"/>
      <x:c r="E13" s="47" t="str"/>
      <x:c r="F13" s="47" t="str">
        <x:v>current</x:v>
      </x:c>
      <x:c r="G13" s="47" t="n">
        <x:v>9</x:v>
      </x:c>
      <x:c r="H13" s="53" t="b">
        <x:v>1</x:v>
      </x:c>
      <x:c r="I13" s="47" t="str">
        <x:v>3906736965</x:v>
      </x:c>
      <x:c r="J13" s="47" t="n">
        <x:v>2829467</x:v>
      </x:c>
      <x:c r="K13" s="53" t="b">
        <x:v>1</x:v>
      </x:c>
      <x:c r="L13" s="53" t="b">
        <x:v>1</x:v>
      </x:c>
      <x:c r="M13" s="53" t="b">
        <x:v>1</x:v>
      </x:c>
      <x:c r="N13" s="53" t="b">
        <x:v>1</x:v>
      </x:c>
      <x:c r="O13" s="53" t="b">
        <x:v>1</x:v>
      </x:c>
      <x:c r="P13" s="47" t="n">
        <x:v>1009</x:v>
      </x:c>
      <x:c r="Q13" s="47" t="n">
        <x:v>0</x:v>
      </x:c>
      <x:c r="R13" s="47" t="n">
        <x:v>0</x:v>
      </x:c>
      <x:c r="S13" s="47" t="n">
        <x:v>36.27</x:v>
      </x:c>
      <x:c r="T13" s="47" t="n">
        <x:v>53.89</x:v>
      </x:c>
      <x:c r="U13" s="47" t="n">
        <x:v>34</x:v>
      </x:c>
      <x:c r="V13" s="47" t="n">
        <x:v>13.5</x:v>
      </x:c>
      <x:c r="W13" s="47" t="n">
        <x:v>9</x:v>
      </x:c>
      <x:c r="X13" s="47" t="n">
        <x:v>38</x:v>
      </x:c>
      <x:c r="Y13" s="41" t="n">
        <x:v>29</x:v>
      </x:c>
    </x:row>
    <x:row r="14">
      <x:c r="A14" s="38" t="str">
        <x:v>7月30日现场数据</x:v>
      </x:c>
      <x:c r="B14" s="66" t="str">
        <x:v>2026-07-30T14:30:09.674000</x:v>
      </x:c>
      <x:c r="C14" s="47" t="n">
        <x:v>300995</x:v>
      </x:c>
      <x:c r="D14" s="47" t="str"/>
      <x:c r="E14" s="47" t="str"/>
      <x:c r="F14" s="47" t="str">
        <x:v>current</x:v>
      </x:c>
      <x:c r="G14" s="47" t="n">
        <x:v>10</x:v>
      </x:c>
      <x:c r="H14" s="53" t="b">
        <x:v>1</x:v>
      </x:c>
      <x:c r="I14" s="47" t="str">
        <x:v>3906736965</x:v>
      </x:c>
      <x:c r="J14" s="47" t="n">
        <x:v>3130462</x:v>
      </x:c>
      <x:c r="K14" s="53" t="b">
        <x:v>1</x:v>
      </x:c>
      <x:c r="L14" s="53" t="b">
        <x:v>1</x:v>
      </x:c>
      <x:c r="M14" s="53" t="b">
        <x:v>1</x:v>
      </x:c>
      <x:c r="N14" s="53" t="b">
        <x:v>1</x:v>
      </x:c>
      <x:c r="O14" s="53" t="b">
        <x:v>1</x:v>
      </x:c>
      <x:c r="P14" s="47" t="n">
        <x:v>1009</x:v>
      </x:c>
      <x:c r="Q14" s="47" t="n">
        <x:v>0</x:v>
      </x:c>
      <x:c r="R14" s="47" t="n">
        <x:v>0</x:v>
      </x:c>
      <x:c r="S14" s="47" t="n">
        <x:v>35.47</x:v>
      </x:c>
      <x:c r="T14" s="47" t="n">
        <x:v>53.58</x:v>
      </x:c>
      <x:c r="U14" s="47" t="n">
        <x:v>33.9</x:v>
      </x:c>
      <x:c r="V14" s="47" t="n">
        <x:v>13.5</x:v>
      </x:c>
      <x:c r="W14" s="47" t="n">
        <x:v>9</x:v>
      </x:c>
      <x:c r="X14" s="47" t="n">
        <x:v>42</x:v>
      </x:c>
      <x:c r="Y14" s="41" t="n">
        <x:v>33</x:v>
      </x:c>
    </x:row>
    <x:row r="15">
      <x:c r="A15" s="38" t="str">
        <x:v>7月30日现场数据</x:v>
      </x:c>
      <x:c r="B15" s="66" t="str">
        <x:v>2026-07-30T14:35:10.639000</x:v>
      </x:c>
      <x:c r="C15" s="47" t="n">
        <x:v>300965</x:v>
      </x:c>
      <x:c r="D15" s="47" t="str"/>
      <x:c r="E15" s="47" t="str"/>
      <x:c r="F15" s="47" t="str">
        <x:v>current</x:v>
      </x:c>
      <x:c r="G15" s="47" t="n">
        <x:v>11</x:v>
      </x:c>
      <x:c r="H15" s="53" t="b">
        <x:v>1</x:v>
      </x:c>
      <x:c r="I15" s="47" t="str">
        <x:v>3906736965</x:v>
      </x:c>
      <x:c r="J15" s="47" t="n">
        <x:v>3431427</x:v>
      </x:c>
      <x:c r="K15" s="53" t="b">
        <x:v>1</x:v>
      </x:c>
      <x:c r="L15" s="53" t="b">
        <x:v>1</x:v>
      </x:c>
      <x:c r="M15" s="53" t="b">
        <x:v>1</x:v>
      </x:c>
      <x:c r="N15" s="53" t="b">
        <x:v>1</x:v>
      </x:c>
      <x:c r="O15" s="53" t="b">
        <x:v>1</x:v>
      </x:c>
      <x:c r="P15" s="47" t="n">
        <x:v>1009</x:v>
      </x:c>
      <x:c r="Q15" s="47" t="n">
        <x:v>0</x:v>
      </x:c>
      <x:c r="R15" s="47" t="n">
        <x:v>0</x:v>
      </x:c>
      <x:c r="S15" s="47" t="n">
        <x:v>35.04</x:v>
      </x:c>
      <x:c r="T15" s="47" t="n">
        <x:v>53.48</x:v>
      </x:c>
      <x:c r="U15" s="47" t="n">
        <x:v>33.9</x:v>
      </x:c>
      <x:c r="V15" s="47" t="n">
        <x:v>13.4</x:v>
      </x:c>
      <x:c r="W15" s="47" t="n">
        <x:v>7</x:v>
      </x:c>
      <x:c r="X15" s="47" t="n">
        <x:v>30</x:v>
      </x:c>
      <x:c r="Y15" s="41" t="n">
        <x:v>23</x:v>
      </x:c>
    </x:row>
    <x:row r="16">
      <x:c r="A16" s="38" t="str">
        <x:v>7月30日现场数据</x:v>
      </x:c>
      <x:c r="B16" s="66" t="str">
        <x:v>2026-07-30T14:40:11.604000</x:v>
      </x:c>
      <x:c r="C16" s="47" t="n">
        <x:v>300965</x:v>
      </x:c>
      <x:c r="D16" s="47" t="str"/>
      <x:c r="E16" s="47" t="str"/>
      <x:c r="F16" s="47" t="str">
        <x:v>current</x:v>
      </x:c>
      <x:c r="G16" s="47" t="n">
        <x:v>12</x:v>
      </x:c>
      <x:c r="H16" s="53" t="b">
        <x:v>1</x:v>
      </x:c>
      <x:c r="I16" s="47" t="str">
        <x:v>3906736965</x:v>
      </x:c>
      <x:c r="J16" s="47" t="n">
        <x:v>3732392</x:v>
      </x:c>
      <x:c r="K16" s="53" t="b">
        <x:v>1</x:v>
      </x:c>
      <x:c r="L16" s="53" t="b">
        <x:v>1</x:v>
      </x:c>
      <x:c r="M16" s="53" t="b">
        <x:v>1</x:v>
      </x:c>
      <x:c r="N16" s="53" t="b">
        <x:v>1</x:v>
      </x:c>
      <x:c r="O16" s="53" t="b">
        <x:v>1</x:v>
      </x:c>
      <x:c r="P16" s="47" t="n">
        <x:v>1009</x:v>
      </x:c>
      <x:c r="Q16" s="47" t="n">
        <x:v>0</x:v>
      </x:c>
      <x:c r="R16" s="47" t="n">
        <x:v>0</x:v>
      </x:c>
      <x:c r="S16" s="47" t="n">
        <x:v>34.67</x:v>
      </x:c>
      <x:c r="T16" s="47" t="n">
        <x:v>53.37</x:v>
      </x:c>
      <x:c r="U16" s="47" t="n">
        <x:v>33.8</x:v>
      </x:c>
      <x:c r="V16" s="47" t="n">
        <x:v>13.4</x:v>
      </x:c>
      <x:c r="W16" s="47" t="n">
        <x:v>4</x:v>
      </x:c>
      <x:c r="X16" s="47" t="n">
        <x:v>18</x:v>
      </x:c>
      <x:c r="Y16" s="41" t="n">
        <x:v>14</x:v>
      </x:c>
    </x:row>
    <x:row r="17">
      <x:c r="A17" s="38" t="str">
        <x:v>7月30日现场数据</x:v>
      </x:c>
      <x:c r="B17" s="66" t="str">
        <x:v>2026-07-30T14:45:12.571000</x:v>
      </x:c>
      <x:c r="C17" s="47" t="n">
        <x:v>300967</x:v>
      </x:c>
      <x:c r="D17" s="47" t="str"/>
      <x:c r="E17" s="47" t="str"/>
      <x:c r="F17" s="47" t="str">
        <x:v>current</x:v>
      </x:c>
      <x:c r="G17" s="47" t="n">
        <x:v>13</x:v>
      </x:c>
      <x:c r="H17" s="53" t="b">
        <x:v>1</x:v>
      </x:c>
      <x:c r="I17" s="47" t="str">
        <x:v>3906736965</x:v>
      </x:c>
      <x:c r="J17" s="47" t="n">
        <x:v>4033359</x:v>
      </x:c>
      <x:c r="K17" s="53" t="b">
        <x:v>1</x:v>
      </x:c>
      <x:c r="L17" s="53" t="b">
        <x:v>1</x:v>
      </x:c>
      <x:c r="M17" s="53" t="b">
        <x:v>1</x:v>
      </x:c>
      <x:c r="N17" s="53" t="b">
        <x:v>1</x:v>
      </x:c>
      <x:c r="O17" s="53" t="b">
        <x:v>1</x:v>
      </x:c>
      <x:c r="P17" s="47" t="n">
        <x:v>1009</x:v>
      </x:c>
      <x:c r="Q17" s="47" t="n">
        <x:v>0</x:v>
      </x:c>
      <x:c r="R17" s="47" t="n">
        <x:v>0</x:v>
      </x:c>
      <x:c r="S17" s="47" t="n">
        <x:v>34.43</x:v>
      </x:c>
      <x:c r="T17" s="47" t="n">
        <x:v>53.38</x:v>
      </x:c>
      <x:c r="U17" s="47" t="n">
        <x:v>33.7</x:v>
      </x:c>
      <x:c r="V17" s="47" t="n">
        <x:v>13.4</x:v>
      </x:c>
      <x:c r="W17" s="47" t="n">
        <x:v>5</x:v>
      </x:c>
      <x:c r="X17" s="47" t="n">
        <x:v>23</x:v>
      </x:c>
      <x:c r="Y17" s="41" t="n">
        <x:v>18</x:v>
      </x:c>
    </x:row>
    <x:row r="18">
      <x:c r="A18" s="38" t="str">
        <x:v>7月30日现场数据</x:v>
      </x:c>
      <x:c r="B18" s="66" t="str">
        <x:v>2026-07-30T14:50:13.538000</x:v>
      </x:c>
      <x:c r="C18" s="47" t="n">
        <x:v>300967</x:v>
      </x:c>
      <x:c r="D18" s="47" t="str"/>
      <x:c r="E18" s="47" t="str"/>
      <x:c r="F18" s="47" t="str">
        <x:v>current</x:v>
      </x:c>
      <x:c r="G18" s="47" t="n">
        <x:v>14</x:v>
      </x:c>
      <x:c r="H18" s="53" t="b">
        <x:v>1</x:v>
      </x:c>
      <x:c r="I18" s="47" t="str">
        <x:v>3906736965</x:v>
      </x:c>
      <x:c r="J18" s="47" t="n">
        <x:v>4334326</x:v>
      </x:c>
      <x:c r="K18" s="53" t="b">
        <x:v>1</x:v>
      </x:c>
      <x:c r="L18" s="53" t="b">
        <x:v>1</x:v>
      </x:c>
      <x:c r="M18" s="53" t="b">
        <x:v>1</x:v>
      </x:c>
      <x:c r="N18" s="53" t="b">
        <x:v>1</x:v>
      </x:c>
      <x:c r="O18" s="53" t="b">
        <x:v>1</x:v>
      </x:c>
      <x:c r="P18" s="47" t="n">
        <x:v>1009</x:v>
      </x:c>
      <x:c r="Q18" s="47" t="n">
        <x:v>0</x:v>
      </x:c>
      <x:c r="R18" s="47" t="n">
        <x:v>0</x:v>
      </x:c>
      <x:c r="S18" s="47" t="n">
        <x:v>34.34</x:v>
      </x:c>
      <x:c r="T18" s="47" t="n">
        <x:v>53.42</x:v>
      </x:c>
      <x:c r="U18" s="47" t="n">
        <x:v>33.6</x:v>
      </x:c>
      <x:c r="V18" s="47" t="n">
        <x:v>13.3</x:v>
      </x:c>
      <x:c r="W18" s="47" t="n">
        <x:v>6</x:v>
      </x:c>
      <x:c r="X18" s="47" t="n">
        <x:v>25</x:v>
      </x:c>
      <x:c r="Y18" s="41" t="n">
        <x:v>19</x:v>
      </x:c>
    </x:row>
    <x:row r="19">
      <x:c r="A19" s="38" t="str">
        <x:v>7月30日现场数据</x:v>
      </x:c>
      <x:c r="B19" s="66" t="str">
        <x:v>2026-07-30T14:55:14.506000</x:v>
      </x:c>
      <x:c r="C19" s="47" t="n">
        <x:v>300968</x:v>
      </x:c>
      <x:c r="D19" s="47" t="str"/>
      <x:c r="E19" s="47" t="str"/>
      <x:c r="F19" s="47" t="str">
        <x:v>current</x:v>
      </x:c>
      <x:c r="G19" s="47" t="n">
        <x:v>15</x:v>
      </x:c>
      <x:c r="H19" s="53" t="b">
        <x:v>1</x:v>
      </x:c>
      <x:c r="I19" s="47" t="str">
        <x:v>3906736965</x:v>
      </x:c>
      <x:c r="J19" s="47" t="n">
        <x:v>4635294</x:v>
      </x:c>
      <x:c r="K19" s="53" t="b">
        <x:v>1</x:v>
      </x:c>
      <x:c r="L19" s="53" t="b">
        <x:v>1</x:v>
      </x:c>
      <x:c r="M19" s="53" t="b">
        <x:v>1</x:v>
      </x:c>
      <x:c r="N19" s="53" t="b">
        <x:v>1</x:v>
      </x:c>
      <x:c r="O19" s="53" t="b">
        <x:v>1</x:v>
      </x:c>
      <x:c r="P19" s="47" t="n">
        <x:v>1008</x:v>
      </x:c>
      <x:c r="Q19" s="47" t="n">
        <x:v>0</x:v>
      </x:c>
      <x:c r="R19" s="47" t="n">
        <x:v>0</x:v>
      </x:c>
      <x:c r="S19" s="47" t="n">
        <x:v>34.64</x:v>
      </x:c>
      <x:c r="T19" s="47" t="n">
        <x:v>53.57</x:v>
      </x:c>
      <x:c r="U19" s="47" t="n">
        <x:v>33.6</x:v>
      </x:c>
      <x:c r="V19" s="47" t="n">
        <x:v>13.4</x:v>
      </x:c>
      <x:c r="W19" s="47" t="n">
        <x:v>8</x:v>
      </x:c>
      <x:c r="X19" s="47" t="n">
        <x:v>32</x:v>
      </x:c>
      <x:c r="Y19" s="41" t="n">
        <x:v>24</x:v>
      </x:c>
    </x:row>
    <x:row r="20">
      <x:c r="A20" s="38" t="str">
        <x:v>7月30日现场数据</x:v>
      </x:c>
      <x:c r="B20" s="66" t="str">
        <x:v>2026-07-30T15:00:15.477000</x:v>
      </x:c>
      <x:c r="C20" s="47" t="n">
        <x:v>300971</x:v>
      </x:c>
      <x:c r="D20" s="47" t="str"/>
      <x:c r="E20" s="47" t="str"/>
      <x:c r="F20" s="47" t="str">
        <x:v>current</x:v>
      </x:c>
      <x:c r="G20" s="47" t="n">
        <x:v>16</x:v>
      </x:c>
      <x:c r="H20" s="53" t="b">
        <x:v>1</x:v>
      </x:c>
      <x:c r="I20" s="47" t="str">
        <x:v>3906736965</x:v>
      </x:c>
      <x:c r="J20" s="47" t="n">
        <x:v>4936265</x:v>
      </x:c>
      <x:c r="K20" s="53" t="b">
        <x:v>1</x:v>
      </x:c>
      <x:c r="L20" s="53" t="b">
        <x:v>1</x:v>
      </x:c>
      <x:c r="M20" s="53" t="b">
        <x:v>1</x:v>
      </x:c>
      <x:c r="N20" s="53" t="b">
        <x:v>1</x:v>
      </x:c>
      <x:c r="O20" s="53" t="b">
        <x:v>1</x:v>
      </x:c>
      <x:c r="P20" s="47" t="n">
        <x:v>1009</x:v>
      </x:c>
      <x:c r="Q20" s="47" t="n">
        <x:v>0</x:v>
      </x:c>
      <x:c r="R20" s="47" t="n">
        <x:v>0</x:v>
      </x:c>
      <x:c r="S20" s="47" t="n">
        <x:v>35.01</x:v>
      </x:c>
      <x:c r="T20" s="47" t="n">
        <x:v>53.74</x:v>
      </x:c>
      <x:c r="U20" s="47" t="n">
        <x:v>33.5</x:v>
      </x:c>
      <x:c r="V20" s="47" t="n">
        <x:v>13.3</x:v>
      </x:c>
      <x:c r="W20" s="47" t="n">
        <x:v>13</x:v>
      </x:c>
      <x:c r="X20" s="47" t="n">
        <x:v>47</x:v>
      </x:c>
      <x:c r="Y20" s="41" t="n">
        <x:v>34</x:v>
      </x:c>
    </x:row>
    <x:row r="21">
      <x:c r="A21" s="38" t="str">
        <x:v>7月30日现场数据</x:v>
      </x:c>
      <x:c r="B21" s="66" t="str">
        <x:v>2026-07-30T15:05:16.448000</x:v>
      </x:c>
      <x:c r="C21" s="47" t="n">
        <x:v>300971</x:v>
      </x:c>
      <x:c r="D21" s="47" t="str"/>
      <x:c r="E21" s="47" t="str"/>
      <x:c r="F21" s="47" t="str">
        <x:v>current</x:v>
      </x:c>
      <x:c r="G21" s="47" t="n">
        <x:v>17</x:v>
      </x:c>
      <x:c r="H21" s="53" t="b">
        <x:v>1</x:v>
      </x:c>
      <x:c r="I21" s="47" t="str">
        <x:v>3906736965</x:v>
      </x:c>
      <x:c r="J21" s="47" t="n">
        <x:v>5237236</x:v>
      </x:c>
      <x:c r="K21" s="53" t="b">
        <x:v>1</x:v>
      </x:c>
      <x:c r="L21" s="53" t="b">
        <x:v>1</x:v>
      </x:c>
      <x:c r="M21" s="53" t="b">
        <x:v>1</x:v>
      </x:c>
      <x:c r="N21" s="53" t="b">
        <x:v>1</x:v>
      </x:c>
      <x:c r="O21" s="53" t="b">
        <x:v>1</x:v>
      </x:c>
      <x:c r="P21" s="47" t="n">
        <x:v>1009</x:v>
      </x:c>
      <x:c r="Q21" s="47" t="n">
        <x:v>0</x:v>
      </x:c>
      <x:c r="R21" s="47" t="n">
        <x:v>0</x:v>
      </x:c>
      <x:c r="S21" s="47" t="n">
        <x:v>35.36</x:v>
      </x:c>
      <x:c r="T21" s="47" t="n">
        <x:v>53.95</x:v>
      </x:c>
      <x:c r="U21" s="47" t="n">
        <x:v>33.5</x:v>
      </x:c>
      <x:c r="V21" s="47" t="n">
        <x:v>13.3</x:v>
      </x:c>
      <x:c r="W21" s="47" t="n">
        <x:v>14</x:v>
      </x:c>
      <x:c r="X21" s="47" t="n">
        <x:v>53</x:v>
      </x:c>
      <x:c r="Y21" s="41" t="n">
        <x:v>39</x:v>
      </x:c>
    </x:row>
    <x:row r="22">
      <x:c r="A22" s="38" t="str">
        <x:v>7月30日现场数据</x:v>
      </x:c>
      <x:c r="B22" s="66" t="str">
        <x:v>2026-07-30T15:10:17.422000</x:v>
      </x:c>
      <x:c r="C22" s="47" t="n">
        <x:v>300974</x:v>
      </x:c>
      <x:c r="D22" s="47" t="str"/>
      <x:c r="E22" s="47" t="str"/>
      <x:c r="F22" s="47" t="str">
        <x:v>current</x:v>
      </x:c>
      <x:c r="G22" s="47" t="n">
        <x:v>18</x:v>
      </x:c>
      <x:c r="H22" s="53" t="b">
        <x:v>1</x:v>
      </x:c>
      <x:c r="I22" s="47" t="str">
        <x:v>3906736965</x:v>
      </x:c>
      <x:c r="J22" s="47" t="n">
        <x:v>5538210</x:v>
      </x:c>
      <x:c r="K22" s="53" t="b">
        <x:v>1</x:v>
      </x:c>
      <x:c r="L22" s="53" t="b">
        <x:v>1</x:v>
      </x:c>
      <x:c r="M22" s="53" t="b">
        <x:v>1</x:v>
      </x:c>
      <x:c r="N22" s="53" t="b">
        <x:v>1</x:v>
      </x:c>
      <x:c r="O22" s="53" t="b">
        <x:v>1</x:v>
      </x:c>
      <x:c r="P22" s="47" t="n">
        <x:v>1009</x:v>
      </x:c>
      <x:c r="Q22" s="47" t="n">
        <x:v>0</x:v>
      </x:c>
      <x:c r="R22" s="47" t="n">
        <x:v>0</x:v>
      </x:c>
      <x:c r="S22" s="47" t="n">
        <x:v>35.52</x:v>
      </x:c>
      <x:c r="T22" s="47" t="n">
        <x:v>54.02</x:v>
      </x:c>
      <x:c r="U22" s="47" t="n">
        <x:v>33.4</x:v>
      </x:c>
      <x:c r="V22" s="47" t="n">
        <x:v>13.3</x:v>
      </x:c>
      <x:c r="W22" s="47" t="n">
        <x:v>17</x:v>
      </x:c>
      <x:c r="X22" s="47" t="n">
        <x:v>64</x:v>
      </x:c>
      <x:c r="Y22" s="41" t="n">
        <x:v>47</x:v>
      </x:c>
    </x:row>
    <x:row r="23">
      <x:c r="A23" s="38" t="str">
        <x:v>7月30日现场数据</x:v>
      </x:c>
      <x:c r="B23" s="66" t="str">
        <x:v>2026-07-30T15:15:18.400000</x:v>
      </x:c>
      <x:c r="C23" s="47" t="n">
        <x:v>300978</x:v>
      </x:c>
      <x:c r="D23" s="47" t="str"/>
      <x:c r="E23" s="47" t="str"/>
      <x:c r="F23" s="47" t="str">
        <x:v>current</x:v>
      </x:c>
      <x:c r="G23" s="47" t="n">
        <x:v>19</x:v>
      </x:c>
      <x:c r="H23" s="53" t="b">
        <x:v>1</x:v>
      </x:c>
      <x:c r="I23" s="47" t="str">
        <x:v>3906736965</x:v>
      </x:c>
      <x:c r="J23" s="47" t="n">
        <x:v>5839188</x:v>
      </x:c>
      <x:c r="K23" s="53" t="b">
        <x:v>1</x:v>
      </x:c>
      <x:c r="L23" s="53" t="b">
        <x:v>1</x:v>
      </x:c>
      <x:c r="M23" s="53" t="b">
        <x:v>1</x:v>
      </x:c>
      <x:c r="N23" s="53" t="b">
        <x:v>1</x:v>
      </x:c>
      <x:c r="O23" s="53" t="b">
        <x:v>1</x:v>
      </x:c>
      <x:c r="P23" s="47" t="n">
        <x:v>1009</x:v>
      </x:c>
      <x:c r="Q23" s="47" t="n">
        <x:v>0</x:v>
      </x:c>
      <x:c r="R23" s="47" t="n">
        <x:v>0</x:v>
      </x:c>
      <x:c r="S23" s="47" t="n">
        <x:v>35.82</x:v>
      </x:c>
      <x:c r="T23" s="47" t="n">
        <x:v>54.2</x:v>
      </x:c>
      <x:c r="U23" s="47" t="n">
        <x:v>33.4</x:v>
      </x:c>
      <x:c r="V23" s="47" t="n">
        <x:v>13.3</x:v>
      </x:c>
      <x:c r="W23" s="47" t="n">
        <x:v>20</x:v>
      </x:c>
      <x:c r="X23" s="47" t="n">
        <x:v>78</x:v>
      </x:c>
      <x:c r="Y23" s="41" t="n">
        <x:v>58</x:v>
      </x:c>
    </x:row>
    <x:row r="24">
      <x:c r="A24" s="38" t="str">
        <x:v>7月30日现场数据</x:v>
      </x:c>
      <x:c r="B24" s="66" t="str">
        <x:v>2026-07-30T15:20:19.381000</x:v>
      </x:c>
      <x:c r="C24" s="47" t="n">
        <x:v>300981</x:v>
      </x:c>
      <x:c r="D24" s="47" t="str"/>
      <x:c r="E24" s="47" t="str"/>
      <x:c r="F24" s="47" t="str">
        <x:v>current</x:v>
      </x:c>
      <x:c r="G24" s="47" t="n">
        <x:v>20</x:v>
      </x:c>
      <x:c r="H24" s="53" t="b">
        <x:v>1</x:v>
      </x:c>
      <x:c r="I24" s="47" t="str">
        <x:v>3906736965</x:v>
      </x:c>
      <x:c r="J24" s="47" t="n">
        <x:v>6140169</x:v>
      </x:c>
      <x:c r="K24" s="53" t="b">
        <x:v>1</x:v>
      </x:c>
      <x:c r="L24" s="53" t="b">
        <x:v>1</x:v>
      </x:c>
      <x:c r="M24" s="53" t="b">
        <x:v>1</x:v>
      </x:c>
      <x:c r="N24" s="53" t="b">
        <x:v>1</x:v>
      </x:c>
      <x:c r="O24" s="53" t="b">
        <x:v>1</x:v>
      </x:c>
      <x:c r="P24" s="47" t="n">
        <x:v>1009</x:v>
      </x:c>
      <x:c r="Q24" s="47" t="n">
        <x:v>0</x:v>
      </x:c>
      <x:c r="R24" s="47" t="n">
        <x:v>0</x:v>
      </x:c>
      <x:c r="S24" s="47" t="n">
        <x:v>36.88</x:v>
      </x:c>
      <x:c r="T24" s="47" t="n">
        <x:v>54.42</x:v>
      </x:c>
      <x:c r="U24" s="47" t="n">
        <x:v>33.4</x:v>
      </x:c>
      <x:c r="V24" s="47" t="n">
        <x:v>13.3</x:v>
      </x:c>
      <x:c r="W24" s="47" t="n">
        <x:v>46</x:v>
      </x:c>
      <x:c r="X24" s="47" t="n">
        <x:v>153</x:v>
      </x:c>
      <x:c r="Y24" s="41" t="n">
        <x:v>107</x:v>
      </x:c>
    </x:row>
    <x:row r="25">
      <x:c r="A25" s="38" t="str">
        <x:v>7月30日现场数据</x:v>
      </x:c>
      <x:c r="B25" s="66" t="str">
        <x:v>2026-07-30T15:25:20.362000</x:v>
      </x:c>
      <x:c r="C25" s="47" t="n">
        <x:v>300981</x:v>
      </x:c>
      <x:c r="D25" s="47" t="str"/>
      <x:c r="E25" s="47" t="str"/>
      <x:c r="F25" s="47" t="str">
        <x:v>current</x:v>
      </x:c>
      <x:c r="G25" s="47" t="n">
        <x:v>21</x:v>
      </x:c>
      <x:c r="H25" s="53" t="b">
        <x:v>1</x:v>
      </x:c>
      <x:c r="I25" s="47" t="str">
        <x:v>3906736965</x:v>
      </x:c>
      <x:c r="J25" s="47" t="n">
        <x:v>6441150</x:v>
      </x:c>
      <x:c r="K25" s="53" t="b">
        <x:v>1</x:v>
      </x:c>
      <x:c r="L25" s="53" t="b">
        <x:v>1</x:v>
      </x:c>
      <x:c r="M25" s="53" t="b">
        <x:v>1</x:v>
      </x:c>
      <x:c r="N25" s="53" t="b">
        <x:v>1</x:v>
      </x:c>
      <x:c r="O25" s="53" t="b">
        <x:v>1</x:v>
      </x:c>
      <x:c r="P25" s="47" t="n">
        <x:v>1009</x:v>
      </x:c>
      <x:c r="Q25" s="47" t="n">
        <x:v>0</x:v>
      </x:c>
      <x:c r="R25" s="47" t="n">
        <x:v>0</x:v>
      </x:c>
      <x:c r="S25" s="47" t="n">
        <x:v>37.68</x:v>
      </x:c>
      <x:c r="T25" s="47" t="n">
        <x:v>54.72</x:v>
      </x:c>
      <x:c r="U25" s="47" t="n">
        <x:v>33.4</x:v>
      </x:c>
      <x:c r="V25" s="47" t="n">
        <x:v>13.3</x:v>
      </x:c>
      <x:c r="W25" s="47" t="n">
        <x:v>45</x:v>
      </x:c>
      <x:c r="X25" s="47" t="n">
        <x:v>160</x:v>
      </x:c>
      <x:c r="Y25" s="41" t="n">
        <x:v>115</x:v>
      </x:c>
    </x:row>
    <x:row r="26">
      <x:c r="A26" s="38" t="str">
        <x:v>7月30日现场数据</x:v>
      </x:c>
      <x:c r="B26" s="66" t="str">
        <x:v>2026-07-30T15:30:21.373000</x:v>
      </x:c>
      <x:c r="C26" s="47" t="n">
        <x:v>301011</x:v>
      </x:c>
      <x:c r="D26" s="47" t="str"/>
      <x:c r="E26" s="47" t="str"/>
      <x:c r="F26" s="47" t="str">
        <x:v>current</x:v>
      </x:c>
      <x:c r="G26" s="47" t="n">
        <x:v>22</x:v>
      </x:c>
      <x:c r="H26" s="53" t="b">
        <x:v>1</x:v>
      </x:c>
      <x:c r="I26" s="47" t="str">
        <x:v>3906736965</x:v>
      </x:c>
      <x:c r="J26" s="47" t="n">
        <x:v>6742161</x:v>
      </x:c>
      <x:c r="K26" s="53" t="b">
        <x:v>1</x:v>
      </x:c>
      <x:c r="L26" s="53" t="b">
        <x:v>1</x:v>
      </x:c>
      <x:c r="M26" s="53" t="b">
        <x:v>1</x:v>
      </x:c>
      <x:c r="N26" s="53" t="b">
        <x:v>1</x:v>
      </x:c>
      <x:c r="O26" s="53" t="b">
        <x:v>1</x:v>
      </x:c>
      <x:c r="P26" s="47" t="n">
        <x:v>1009</x:v>
      </x:c>
      <x:c r="Q26" s="47" t="n">
        <x:v>0</x:v>
      </x:c>
      <x:c r="R26" s="47" t="n">
        <x:v>0</x:v>
      </x:c>
      <x:c r="S26" s="47" t="n">
        <x:v>37.68</x:v>
      </x:c>
      <x:c r="T26" s="47" t="n">
        <x:v>54.75</x:v>
      </x:c>
      <x:c r="U26" s="47" t="n">
        <x:v>33.4</x:v>
      </x:c>
      <x:c r="V26" s="47" t="n">
        <x:v>13.4</x:v>
      </x:c>
      <x:c r="W26" s="47" t="n">
        <x:v>31</x:v>
      </x:c>
      <x:c r="X26" s="47" t="n">
        <x:v>120</x:v>
      </x:c>
      <x:c r="Y26" s="41" t="n">
        <x:v>89</x:v>
      </x:c>
    </x:row>
    <x:row r="27">
      <x:c r="A27" s="38" t="str">
        <x:v>7月30日现场数据</x:v>
      </x:c>
      <x:c r="B27" s="66" t="str">
        <x:v>2026-07-30T15:35:22.333000</x:v>
      </x:c>
      <x:c r="C27" s="47" t="n">
        <x:v>300960</x:v>
      </x:c>
      <x:c r="D27" s="47" t="str"/>
      <x:c r="E27" s="47" t="str"/>
      <x:c r="F27" s="47" t="str">
        <x:v>current</x:v>
      </x:c>
      <x:c r="G27" s="47" t="n">
        <x:v>23</x:v>
      </x:c>
      <x:c r="H27" s="53" t="b">
        <x:v>1</x:v>
      </x:c>
      <x:c r="I27" s="47" t="str">
        <x:v>3906736965</x:v>
      </x:c>
      <x:c r="J27" s="47" t="n">
        <x:v>7043121</x:v>
      </x:c>
      <x:c r="K27" s="53" t="b">
        <x:v>1</x:v>
      </x:c>
      <x:c r="L27" s="53" t="b">
        <x:v>1</x:v>
      </x:c>
      <x:c r="M27" s="53" t="b">
        <x:v>1</x:v>
      </x:c>
      <x:c r="N27" s="53" t="b">
        <x:v>1</x:v>
      </x:c>
      <x:c r="O27" s="53" t="b">
        <x:v>1</x:v>
      </x:c>
      <x:c r="P27" s="47" t="n">
        <x:v>1009</x:v>
      </x:c>
      <x:c r="Q27" s="47" t="n">
        <x:v>0</x:v>
      </x:c>
      <x:c r="R27" s="47" t="n">
        <x:v>0</x:v>
      </x:c>
      <x:c r="S27" s="47" t="n">
        <x:v>37.9</x:v>
      </x:c>
      <x:c r="T27" s="47" t="n">
        <x:v>54.8</x:v>
      </x:c>
      <x:c r="U27" s="47" t="n">
        <x:v>33.5</x:v>
      </x:c>
      <x:c r="V27" s="47" t="n">
        <x:v>13.4</x:v>
      </x:c>
      <x:c r="W27" s="47" t="n">
        <x:v>38</x:v>
      </x:c>
      <x:c r="X27" s="47" t="n">
        <x:v>135</x:v>
      </x:c>
      <x:c r="Y27" s="41" t="n">
        <x:v>97</x:v>
      </x:c>
    </x:row>
    <x:row r="28">
      <x:c r="A28" s="38" t="str">
        <x:v>7月30日现场数据</x:v>
      </x:c>
      <x:c r="B28" s="66" t="str">
        <x:v>2026-07-30T15:40:23.293000</x:v>
      </x:c>
      <x:c r="C28" s="47" t="n">
        <x:v>300960</x:v>
      </x:c>
      <x:c r="D28" s="47" t="str"/>
      <x:c r="E28" s="47" t="str"/>
      <x:c r="F28" s="47" t="str">
        <x:v>current</x:v>
      </x:c>
      <x:c r="G28" s="47" t="n">
        <x:v>24</x:v>
      </x:c>
      <x:c r="H28" s="53" t="b">
        <x:v>1</x:v>
      </x:c>
      <x:c r="I28" s="47" t="str">
        <x:v>3906736965</x:v>
      </x:c>
      <x:c r="J28" s="47" t="n">
        <x:v>7344081</x:v>
      </x:c>
      <x:c r="K28" s="53" t="b">
        <x:v>1</x:v>
      </x:c>
      <x:c r="L28" s="53" t="b">
        <x:v>1</x:v>
      </x:c>
      <x:c r="M28" s="53" t="b">
        <x:v>1</x:v>
      </x:c>
      <x:c r="N28" s="53" t="b">
        <x:v>1</x:v>
      </x:c>
      <x:c r="O28" s="53" t="b">
        <x:v>1</x:v>
      </x:c>
      <x:c r="P28" s="47" t="n">
        <x:v>1009</x:v>
      </x:c>
      <x:c r="Q28" s="47" t="n">
        <x:v>0</x:v>
      </x:c>
      <x:c r="R28" s="47" t="n">
        <x:v>0</x:v>
      </x:c>
      <x:c r="S28" s="47" t="n">
        <x:v>38.22</x:v>
      </x:c>
      <x:c r="T28" s="47" t="n">
        <x:v>54.76</x:v>
      </x:c>
      <x:c r="U28" s="47" t="n">
        <x:v>33.5</x:v>
      </x:c>
      <x:c r="V28" s="47" t="n">
        <x:v>13.3</x:v>
      </x:c>
      <x:c r="W28" s="47" t="n">
        <x:v>52</x:v>
      </x:c>
      <x:c r="X28" s="47" t="n">
        <x:v>170</x:v>
      </x:c>
      <x:c r="Y28" s="41" t="n">
        <x:v>118</x:v>
      </x:c>
    </x:row>
    <x:row r="29">
      <x:c r="A29" s="38" t="str">
        <x:v>7月30日现场数据</x:v>
      </x:c>
      <x:c r="B29" s="66" t="str">
        <x:v>2026-07-30T15:45:24.254000</x:v>
      </x:c>
      <x:c r="C29" s="47" t="n">
        <x:v>300961</x:v>
      </x:c>
      <x:c r="D29" s="47" t="str"/>
      <x:c r="E29" s="47" t="str"/>
      <x:c r="F29" s="47" t="str">
        <x:v>current</x:v>
      </x:c>
      <x:c r="G29" s="47" t="n">
        <x:v>25</x:v>
      </x:c>
      <x:c r="H29" s="53" t="b">
        <x:v>1</x:v>
      </x:c>
      <x:c r="I29" s="47" t="str">
        <x:v>3906736965</x:v>
      </x:c>
      <x:c r="J29" s="47" t="n">
        <x:v>7645042</x:v>
      </x:c>
      <x:c r="K29" s="53" t="b">
        <x:v>1</x:v>
      </x:c>
      <x:c r="L29" s="53" t="b">
        <x:v>1</x:v>
      </x:c>
      <x:c r="M29" s="53" t="b">
        <x:v>1</x:v>
      </x:c>
      <x:c r="N29" s="53" t="b">
        <x:v>1</x:v>
      </x:c>
      <x:c r="O29" s="53" t="b">
        <x:v>1</x:v>
      </x:c>
      <x:c r="P29" s="47" t="n">
        <x:v>1009</x:v>
      </x:c>
      <x:c r="Q29" s="47" t="n">
        <x:v>0.028</x:v>
      </x:c>
      <x:c r="R29" s="47" t="n">
        <x:v>0.758</x:v>
      </x:c>
      <x:c r="S29" s="47" t="n">
        <x:v>37.81</x:v>
      </x:c>
      <x:c r="T29" s="47" t="n">
        <x:v>54.77</x:v>
      </x:c>
      <x:c r="U29" s="47" t="n">
        <x:v>33.5</x:v>
      </x:c>
      <x:c r="V29" s="47" t="n">
        <x:v>13.3</x:v>
      </x:c>
      <x:c r="W29" s="47" t="n">
        <x:v>15</x:v>
      </x:c>
      <x:c r="X29" s="47" t="n">
        <x:v>62</x:v>
      </x:c>
      <x:c r="Y29" s="41" t="n">
        <x:v>47</x:v>
      </x:c>
    </x:row>
    <x:row r="30">
      <x:c r="A30" s="38" t="str">
        <x:v>7月30日现场数据</x:v>
      </x:c>
      <x:c r="B30" s="66" t="str">
        <x:v>2026-07-30T15:50:25.216000</x:v>
      </x:c>
      <x:c r="C30" s="47" t="n">
        <x:v>300962</x:v>
      </x:c>
      <x:c r="D30" s="47" t="str"/>
      <x:c r="E30" s="47" t="str"/>
      <x:c r="F30" s="47" t="str">
        <x:v>current</x:v>
      </x:c>
      <x:c r="G30" s="47" t="n">
        <x:v>26</x:v>
      </x:c>
      <x:c r="H30" s="53" t="b">
        <x:v>1</x:v>
      </x:c>
      <x:c r="I30" s="47" t="str">
        <x:v>3906736965</x:v>
      </x:c>
      <x:c r="J30" s="47" t="n">
        <x:v>7946004</x:v>
      </x:c>
      <x:c r="K30" s="53" t="b">
        <x:v>1</x:v>
      </x:c>
      <x:c r="L30" s="53" t="b">
        <x:v>1</x:v>
      </x:c>
      <x:c r="M30" s="53" t="b">
        <x:v>1</x:v>
      </x:c>
      <x:c r="N30" s="53" t="b">
        <x:v>1</x:v>
      </x:c>
      <x:c r="O30" s="53" t="b">
        <x:v>1</x:v>
      </x:c>
      <x:c r="P30" s="47" t="n">
        <x:v>1009</x:v>
      </x:c>
      <x:c r="Q30" s="47" t="n">
        <x:v>0</x:v>
      </x:c>
      <x:c r="R30" s="47" t="n">
        <x:v>0</x:v>
      </x:c>
      <x:c r="S30" s="47" t="n">
        <x:v>36.65</x:v>
      </x:c>
      <x:c r="T30" s="47" t="n">
        <x:v>54.55</x:v>
      </x:c>
      <x:c r="U30" s="47" t="n">
        <x:v>33.5</x:v>
      </x:c>
      <x:c r="V30" s="47" t="n">
        <x:v>13.3</x:v>
      </x:c>
      <x:c r="W30" s="47" t="n">
        <x:v>10</x:v>
      </x:c>
      <x:c r="X30" s="47" t="n">
        <x:v>44</x:v>
      </x:c>
      <x:c r="Y30" s="41" t="n">
        <x:v>34</x:v>
      </x:c>
    </x:row>
    <x:row r="31">
      <x:c r="A31" s="38" t="str">
        <x:v>7月30日现场数据</x:v>
      </x:c>
      <x:c r="B31" s="66" t="str">
        <x:v>2026-07-30T15:55:26.183000</x:v>
      </x:c>
      <x:c r="C31" s="47" t="n">
        <x:v>300967</x:v>
      </x:c>
      <x:c r="D31" s="47" t="str"/>
      <x:c r="E31" s="47" t="str"/>
      <x:c r="F31" s="47" t="str">
        <x:v>current</x:v>
      </x:c>
      <x:c r="G31" s="47" t="n">
        <x:v>27</x:v>
      </x:c>
      <x:c r="H31" s="53" t="b">
        <x:v>1</x:v>
      </x:c>
      <x:c r="I31" s="47" t="str">
        <x:v>3906736965</x:v>
      </x:c>
      <x:c r="J31" s="47" t="n">
        <x:v>8246971</x:v>
      </x:c>
      <x:c r="K31" s="53" t="b">
        <x:v>1</x:v>
      </x:c>
      <x:c r="L31" s="53" t="b">
        <x:v>1</x:v>
      </x:c>
      <x:c r="M31" s="53" t="b">
        <x:v>1</x:v>
      </x:c>
      <x:c r="N31" s="53" t="b">
        <x:v>1</x:v>
      </x:c>
      <x:c r="O31" s="53" t="b">
        <x:v>1</x:v>
      </x:c>
      <x:c r="P31" s="47" t="n">
        <x:v>1009</x:v>
      </x:c>
      <x:c r="Q31" s="47" t="n">
        <x:v>0.016</x:v>
      </x:c>
      <x:c r="R31" s="47" t="n">
        <x:v>0.429</x:v>
      </x:c>
      <x:c r="S31" s="47" t="n">
        <x:v>35.27</x:v>
      </x:c>
      <x:c r="T31" s="47" t="n">
        <x:v>53.97</x:v>
      </x:c>
      <x:c r="U31" s="47" t="n">
        <x:v>33.5</x:v>
      </x:c>
      <x:c r="V31" s="47" t="n">
        <x:v>13.3</x:v>
      </x:c>
      <x:c r="W31" s="47" t="n">
        <x:v>8</x:v>
      </x:c>
      <x:c r="X31" s="47" t="n">
        <x:v>33</x:v>
      </x:c>
      <x:c r="Y31" s="41" t="n">
        <x:v>25</x:v>
      </x:c>
    </x:row>
    <x:row r="32">
      <x:c r="A32" s="38" t="str">
        <x:v>7月30日现场数据</x:v>
      </x:c>
      <x:c r="B32" s="66" t="str">
        <x:v>2026-07-30T16:00:27.151000</x:v>
      </x:c>
      <x:c r="C32" s="47" t="n">
        <x:v>300968</x:v>
      </x:c>
      <x:c r="D32" s="47" t="str"/>
      <x:c r="E32" s="47" t="str"/>
      <x:c r="F32" s="47" t="str">
        <x:v>current</x:v>
      </x:c>
      <x:c r="G32" s="47" t="n">
        <x:v>28</x:v>
      </x:c>
      <x:c r="H32" s="53" t="b">
        <x:v>1</x:v>
      </x:c>
      <x:c r="I32" s="47" t="str">
        <x:v>3906736965</x:v>
      </x:c>
      <x:c r="J32" s="47" t="n">
        <x:v>8547939</x:v>
      </x:c>
      <x:c r="K32" s="53" t="b">
        <x:v>1</x:v>
      </x:c>
      <x:c r="L32" s="53" t="b">
        <x:v>1</x:v>
      </x:c>
      <x:c r="M32" s="53" t="b">
        <x:v>1</x:v>
      </x:c>
      <x:c r="N32" s="53" t="b">
        <x:v>1</x:v>
      </x:c>
      <x:c r="O32" s="53" t="b">
        <x:v>1</x:v>
      </x:c>
      <x:c r="P32" s="47" t="n">
        <x:v>1009</x:v>
      </x:c>
      <x:c r="Q32" s="47" t="n">
        <x:v>0.032</x:v>
      </x:c>
      <x:c r="R32" s="47" t="n">
        <x:v>0.857</x:v>
      </x:c>
      <x:c r="S32" s="47" t="n">
        <x:v>33.36</x:v>
      </x:c>
      <x:c r="T32" s="47" t="n">
        <x:v>53.54</x:v>
      </x:c>
      <x:c r="U32" s="47" t="n">
        <x:v>33.4</x:v>
      </x:c>
      <x:c r="V32" s="47" t="n">
        <x:v>13.3</x:v>
      </x:c>
      <x:c r="W32" s="47" t="n">
        <x:v>4</x:v>
      </x:c>
      <x:c r="X32" s="47" t="n">
        <x:v>20</x:v>
      </x:c>
      <x:c r="Y32" s="41" t="n">
        <x:v>16</x:v>
      </x:c>
    </x:row>
    <x:row r="33">
      <x:c r="A33" s="38" t="str">
        <x:v>7月30日现场数据</x:v>
      </x:c>
      <x:c r="B33" s="66" t="str">
        <x:v>2026-07-30T16:05:28.121000</x:v>
      </x:c>
      <x:c r="C33" s="47" t="n">
        <x:v>300970</x:v>
      </x:c>
      <x:c r="D33" s="47" t="str"/>
      <x:c r="E33" s="47" t="str"/>
      <x:c r="F33" s="47" t="str">
        <x:v>current</x:v>
      </x:c>
      <x:c r="G33" s="47" t="n">
        <x:v>29</x:v>
      </x:c>
      <x:c r="H33" s="53" t="b">
        <x:v>1</x:v>
      </x:c>
      <x:c r="I33" s="47" t="str">
        <x:v>3906736965</x:v>
      </x:c>
      <x:c r="J33" s="47" t="n">
        <x:v>8848909</x:v>
      </x:c>
      <x:c r="K33" s="53" t="b">
        <x:v>1</x:v>
      </x:c>
      <x:c r="L33" s="53" t="b">
        <x:v>1</x:v>
      </x:c>
      <x:c r="M33" s="53" t="b">
        <x:v>1</x:v>
      </x:c>
      <x:c r="N33" s="53" t="b">
        <x:v>1</x:v>
      </x:c>
      <x:c r="O33" s="53" t="b">
        <x:v>1</x:v>
      </x:c>
      <x:c r="P33" s="47" t="n">
        <x:v>1009</x:v>
      </x:c>
      <x:c r="Q33" s="47" t="n">
        <x:v>0.054</x:v>
      </x:c>
      <x:c r="R33" s="47" t="n">
        <x:v>1.451</x:v>
      </x:c>
      <x:c r="S33" s="47" t="n">
        <x:v>30.37</x:v>
      </x:c>
      <x:c r="T33" s="47" t="n">
        <x:v>52.79</x:v>
      </x:c>
      <x:c r="U33" s="47" t="n">
        <x:v>33.2</x:v>
      </x:c>
      <x:c r="V33" s="47" t="n">
        <x:v>12.8</x:v>
      </x:c>
      <x:c r="W33" s="47" t="n">
        <x:v>4</x:v>
      </x:c>
      <x:c r="X33" s="47" t="n">
        <x:v>17</x:v>
      </x:c>
      <x:c r="Y33" s="41" t="n">
        <x:v>13</x:v>
      </x:c>
    </x:row>
    <x:row r="34">
      <x:c r="A34" s="38" t="str">
        <x:v>7月30日现场数据</x:v>
      </x:c>
      <x:c r="B34" s="66" t="str">
        <x:v>2026-07-30T16:10:29.091000</x:v>
      </x:c>
      <x:c r="C34" s="47" t="n">
        <x:v>300970</x:v>
      </x:c>
      <x:c r="D34" s="47" t="str"/>
      <x:c r="E34" s="47" t="str"/>
      <x:c r="F34" s="47" t="str">
        <x:v>current</x:v>
      </x:c>
      <x:c r="G34" s="47" t="n">
        <x:v>30</x:v>
      </x:c>
      <x:c r="H34" s="53" t="b">
        <x:v>1</x:v>
      </x:c>
      <x:c r="I34" s="47" t="str">
        <x:v>3906736965</x:v>
      </x:c>
      <x:c r="J34" s="47" t="n">
        <x:v>9149879</x:v>
      </x:c>
      <x:c r="K34" s="53" t="b">
        <x:v>1</x:v>
      </x:c>
      <x:c r="L34" s="53" t="b">
        <x:v>1</x:v>
      </x:c>
      <x:c r="M34" s="53" t="b">
        <x:v>1</x:v>
      </x:c>
      <x:c r="N34" s="53" t="b">
        <x:v>1</x:v>
      </x:c>
      <x:c r="O34" s="53" t="b">
        <x:v>1</x:v>
      </x:c>
      <x:c r="P34" s="47" t="n">
        <x:v>1009</x:v>
      </x:c>
      <x:c r="Q34" s="47" t="n">
        <x:v>0.023</x:v>
      </x:c>
      <x:c r="R34" s="47" t="n">
        <x:v>0.626</x:v>
      </x:c>
      <x:c r="S34" s="47" t="n">
        <x:v>28.53</x:v>
      </x:c>
      <x:c r="T34" s="47" t="n">
        <x:v>51.89</x:v>
      </x:c>
      <x:c r="U34" s="47" t="n">
        <x:v>32.9</x:v>
      </x:c>
      <x:c r="V34" s="47" t="n">
        <x:v>15.1</x:v>
      </x:c>
      <x:c r="W34" s="47" t="n">
        <x:v>4</x:v>
      </x:c>
      <x:c r="X34" s="47" t="n">
        <x:v>19</x:v>
      </x:c>
      <x:c r="Y34" s="41" t="n">
        <x:v>15</x:v>
      </x:c>
    </x:row>
    <x:row r="35">
      <x:c r="A35" s="38" t="str">
        <x:v>7月30日现场数据</x:v>
      </x:c>
      <x:c r="B35" s="66" t="str">
        <x:v>2026-07-30T16:15:30.065000</x:v>
      </x:c>
      <x:c r="C35" s="47" t="n">
        <x:v>300974</x:v>
      </x:c>
      <x:c r="D35" s="47" t="str"/>
      <x:c r="E35" s="47" t="str"/>
      <x:c r="F35" s="47" t="str">
        <x:v>current</x:v>
      </x:c>
      <x:c r="G35" s="47" t="n">
        <x:v>31</x:v>
      </x:c>
      <x:c r="H35" s="53" t="b">
        <x:v>1</x:v>
      </x:c>
      <x:c r="I35" s="47" t="str">
        <x:v>3906736965</x:v>
      </x:c>
      <x:c r="J35" s="47" t="n">
        <x:v>9450853</x:v>
      </x:c>
      <x:c r="K35" s="53" t="b">
        <x:v>1</x:v>
      </x:c>
      <x:c r="L35" s="53" t="b">
        <x:v>1</x:v>
      </x:c>
      <x:c r="M35" s="53" t="b">
        <x:v>1</x:v>
      </x:c>
      <x:c r="N35" s="53" t="b">
        <x:v>1</x:v>
      </x:c>
      <x:c r="O35" s="53" t="b">
        <x:v>1</x:v>
      </x:c>
      <x:c r="P35" s="47" t="n">
        <x:v>1009</x:v>
      </x:c>
      <x:c r="Q35" s="47" t="n">
        <x:v>0.106</x:v>
      </x:c>
      <x:c r="R35" s="47" t="n">
        <x:v>2.868</x:v>
      </x:c>
      <x:c r="S35" s="47" t="n">
        <x:v>30.19</x:v>
      </x:c>
      <x:c r="T35" s="47" t="n">
        <x:v>52.2</x:v>
      </x:c>
      <x:c r="U35" s="47" t="n">
        <x:v>32.7</x:v>
      </x:c>
      <x:c r="V35" s="47" t="n">
        <x:v>15.1</x:v>
      </x:c>
      <x:c r="W35" s="47" t="n">
        <x:v>4</x:v>
      </x:c>
      <x:c r="X35" s="47" t="n">
        <x:v>20</x:v>
      </x:c>
      <x:c r="Y35" s="41" t="n">
        <x:v>16</x:v>
      </x:c>
    </x:row>
    <x:row r="36">
      <x:c r="A36" s="38" t="str">
        <x:v>7月30日现场数据</x:v>
      </x:c>
      <x:c r="B36" s="66" t="str">
        <x:v>2026-07-30T16:20:31.040000</x:v>
      </x:c>
      <x:c r="C36" s="47" t="n">
        <x:v>300975</x:v>
      </x:c>
      <x:c r="D36" s="47" t="str"/>
      <x:c r="E36" s="47" t="str"/>
      <x:c r="F36" s="47" t="str">
        <x:v>current</x:v>
      </x:c>
      <x:c r="G36" s="47" t="n">
        <x:v>32</x:v>
      </x:c>
      <x:c r="H36" s="53" t="b">
        <x:v>1</x:v>
      </x:c>
      <x:c r="I36" s="47" t="str">
        <x:v>3906736965</x:v>
      </x:c>
      <x:c r="J36" s="47" t="n">
        <x:v>9751828</x:v>
      </x:c>
      <x:c r="K36" s="53" t="b">
        <x:v>1</x:v>
      </x:c>
      <x:c r="L36" s="53" t="b">
        <x:v>1</x:v>
      </x:c>
      <x:c r="M36" s="53" t="b">
        <x:v>1</x:v>
      </x:c>
      <x:c r="N36" s="53" t="b">
        <x:v>1</x:v>
      </x:c>
      <x:c r="O36" s="53" t="b">
        <x:v>1</x:v>
      </x:c>
      <x:c r="P36" s="47" t="n">
        <x:v>1009</x:v>
      </x:c>
      <x:c r="Q36" s="47" t="n">
        <x:v>0.021</x:v>
      </x:c>
      <x:c r="R36" s="47" t="n">
        <x:v>0.56</x:v>
      </x:c>
      <x:c r="S36" s="47" t="n">
        <x:v>29.43</x:v>
      </x:c>
      <x:c r="T36" s="47" t="n">
        <x:v>52.31</x:v>
      </x:c>
      <x:c r="U36" s="47" t="n">
        <x:v>32.5</x:v>
      </x:c>
      <x:c r="V36" s="47" t="n">
        <x:v>14.6</x:v>
      </x:c>
      <x:c r="W36" s="47" t="n">
        <x:v>4</x:v>
      </x:c>
      <x:c r="X36" s="47" t="n">
        <x:v>16</x:v>
      </x:c>
      <x:c r="Y36" s="41" t="n">
        <x:v>12</x:v>
      </x:c>
    </x:row>
    <x:row r="37">
      <x:c r="A37" s="38" t="str">
        <x:v>7月30日现场数据</x:v>
      </x:c>
      <x:c r="B37" s="66" t="str">
        <x:v>2026-07-30T16:25:32.019000</x:v>
      </x:c>
      <x:c r="C37" s="47" t="n">
        <x:v>300979</x:v>
      </x:c>
      <x:c r="D37" s="47" t="str"/>
      <x:c r="E37" s="47" t="str"/>
      <x:c r="F37" s="47" t="str">
        <x:v>current</x:v>
      </x:c>
      <x:c r="G37" s="47" t="n">
        <x:v>33</x:v>
      </x:c>
      <x:c r="H37" s="53" t="b">
        <x:v>1</x:v>
      </x:c>
      <x:c r="I37" s="47" t="str">
        <x:v>3906736965</x:v>
      </x:c>
      <x:c r="J37" s="47" t="n">
        <x:v>10052807</x:v>
      </x:c>
      <x:c r="K37" s="53" t="b">
        <x:v>1</x:v>
      </x:c>
      <x:c r="L37" s="53" t="b">
        <x:v>1</x:v>
      </x:c>
      <x:c r="M37" s="53" t="b">
        <x:v>1</x:v>
      </x:c>
      <x:c r="N37" s="53" t="b">
        <x:v>1</x:v>
      </x:c>
      <x:c r="O37" s="53" t="b">
        <x:v>1</x:v>
      </x:c>
      <x:c r="P37" s="47" t="n">
        <x:v>1009</x:v>
      </x:c>
      <x:c r="Q37" s="47" t="n">
        <x:v>0</x:v>
      </x:c>
      <x:c r="R37" s="47" t="n">
        <x:v>0</x:v>
      </x:c>
      <x:c r="S37" s="47" t="n">
        <x:v>28.89</x:v>
      </x:c>
      <x:c r="T37" s="47" t="n">
        <x:v>52.26</x:v>
      </x:c>
      <x:c r="U37" s="47" t="n">
        <x:v>32.2</x:v>
      </x:c>
      <x:c r="V37" s="47" t="n">
        <x:v>14.4</x:v>
      </x:c>
      <x:c r="W37" s="47" t="n">
        <x:v>4</x:v>
      </x:c>
      <x:c r="X37" s="47" t="n">
        <x:v>17</x:v>
      </x:c>
      <x:c r="Y37" s="41" t="n">
        <x:v>13</x:v>
      </x:c>
    </x:row>
    <x:row r="38">
      <x:c r="A38" s="38" t="str">
        <x:v>7月30日现场数据</x:v>
      </x:c>
      <x:c r="B38" s="66" t="str">
        <x:v>2026-07-30T16:30:32.995000</x:v>
      </x:c>
      <x:c r="C38" s="47" t="n">
        <x:v>300976</x:v>
      </x:c>
      <x:c r="D38" s="47" t="str"/>
      <x:c r="E38" s="47" t="str"/>
      <x:c r="F38" s="47" t="str">
        <x:v>current</x:v>
      </x:c>
      <x:c r="G38" s="47" t="n">
        <x:v>34</x:v>
      </x:c>
      <x:c r="H38" s="53" t="b">
        <x:v>1</x:v>
      </x:c>
      <x:c r="I38" s="47" t="str">
        <x:v>3906736965</x:v>
      </x:c>
      <x:c r="J38" s="47" t="n">
        <x:v>10353783</x:v>
      </x:c>
      <x:c r="K38" s="53" t="b">
        <x:v>1</x:v>
      </x:c>
      <x:c r="L38" s="53" t="b">
        <x:v>1</x:v>
      </x:c>
      <x:c r="M38" s="53" t="b">
        <x:v>1</x:v>
      </x:c>
      <x:c r="N38" s="53" t="b">
        <x:v>1</x:v>
      </x:c>
      <x:c r="O38" s="53" t="b">
        <x:v>1</x:v>
      </x:c>
      <x:c r="P38" s="47" t="n">
        <x:v>1009</x:v>
      </x:c>
      <x:c r="Q38" s="47" t="n">
        <x:v>0</x:v>
      </x:c>
      <x:c r="R38" s="47" t="n">
        <x:v>0</x:v>
      </x:c>
      <x:c r="S38" s="47" t="n">
        <x:v>28.78</x:v>
      </x:c>
      <x:c r="T38" s="47" t="n">
        <x:v>52.38</x:v>
      </x:c>
      <x:c r="U38" s="47" t="n">
        <x:v>32</x:v>
      </x:c>
      <x:c r="V38" s="47" t="n">
        <x:v>14.3</x:v>
      </x:c>
      <x:c r="W38" s="47" t="n">
        <x:v>4</x:v>
      </x:c>
      <x:c r="X38" s="47" t="n">
        <x:v>18</x:v>
      </x:c>
      <x:c r="Y38" s="41" t="n">
        <x:v>14</x:v>
      </x:c>
    </x:row>
    <x:row r="39">
      <x:c r="A39" s="38" t="str">
        <x:v>7月30日现场数据</x:v>
      </x:c>
      <x:c r="B39" s="66" t="str">
        <x:v>2026-07-30T16:35:33.977000</x:v>
      </x:c>
      <x:c r="C39" s="47" t="n">
        <x:v>300982</x:v>
      </x:c>
      <x:c r="D39" s="47" t="str"/>
      <x:c r="E39" s="47" t="str"/>
      <x:c r="F39" s="47" t="str">
        <x:v>current</x:v>
      </x:c>
      <x:c r="G39" s="47" t="n">
        <x:v>35</x:v>
      </x:c>
      <x:c r="H39" s="53" t="b">
        <x:v>1</x:v>
      </x:c>
      <x:c r="I39" s="47" t="str">
        <x:v>3906736965</x:v>
      </x:c>
      <x:c r="J39" s="47" t="n">
        <x:v>10654765</x:v>
      </x:c>
      <x:c r="K39" s="53" t="b">
        <x:v>1</x:v>
      </x:c>
      <x:c r="L39" s="53" t="b">
        <x:v>1</x:v>
      </x:c>
      <x:c r="M39" s="53" t="b">
        <x:v>1</x:v>
      </x:c>
      <x:c r="N39" s="53" t="b">
        <x:v>1</x:v>
      </x:c>
      <x:c r="O39" s="53" t="b">
        <x:v>1</x:v>
      </x:c>
      <x:c r="P39" s="47" t="n">
        <x:v>1009</x:v>
      </x:c>
      <x:c r="Q39" s="47" t="n">
        <x:v>0</x:v>
      </x:c>
      <x:c r="R39" s="47" t="n">
        <x:v>0</x:v>
      </x:c>
      <x:c r="S39" s="47" t="n">
        <x:v>28.7</x:v>
      </x:c>
      <x:c r="T39" s="47" t="n">
        <x:v>52.47</x:v>
      </x:c>
      <x:c r="U39" s="47" t="n">
        <x:v>31.9</x:v>
      </x:c>
      <x:c r="V39" s="47" t="n">
        <x:v>14.3</x:v>
      </x:c>
      <x:c r="W39" s="47" t="n">
        <x:v>4</x:v>
      </x:c>
      <x:c r="X39" s="47" t="n">
        <x:v>17</x:v>
      </x:c>
      <x:c r="Y39" s="41" t="n">
        <x:v>13</x:v>
      </x:c>
    </x:row>
    <x:row r="40">
      <x:c r="A40" s="38" t="str">
        <x:v>7月30日现场数据</x:v>
      </x:c>
      <x:c r="B40" s="66" t="str">
        <x:v>2026-07-30T16:40:34.959000</x:v>
      </x:c>
      <x:c r="C40" s="47" t="n">
        <x:v>300982</x:v>
      </x:c>
      <x:c r="D40" s="47" t="str"/>
      <x:c r="E40" s="47" t="str"/>
      <x:c r="F40" s="47" t="str">
        <x:v>current</x:v>
      </x:c>
      <x:c r="G40" s="47" t="n">
        <x:v>36</x:v>
      </x:c>
      <x:c r="H40" s="53" t="b">
        <x:v>1</x:v>
      </x:c>
      <x:c r="I40" s="47" t="str">
        <x:v>3906736965</x:v>
      </x:c>
      <x:c r="J40" s="47" t="n">
        <x:v>10955747</x:v>
      </x:c>
      <x:c r="K40" s="53" t="b">
        <x:v>1</x:v>
      </x:c>
      <x:c r="L40" s="53" t="b">
        <x:v>1</x:v>
      </x:c>
      <x:c r="M40" s="53" t="b">
        <x:v>1</x:v>
      </x:c>
      <x:c r="N40" s="53" t="b">
        <x:v>1</x:v>
      </x:c>
      <x:c r="O40" s="53" t="b">
        <x:v>1</x:v>
      </x:c>
      <x:c r="P40" s="47" t="n">
        <x:v>1009</x:v>
      </x:c>
      <x:c r="Q40" s="47" t="n">
        <x:v>0</x:v>
      </x:c>
      <x:c r="R40" s="47" t="n">
        <x:v>0</x:v>
      </x:c>
      <x:c r="S40" s="47" t="n">
        <x:v>28.9</x:v>
      </x:c>
      <x:c r="T40" s="47" t="n">
        <x:v>52.62</x:v>
      </x:c>
      <x:c r="U40" s="47" t="n">
        <x:v>31.8</x:v>
      </x:c>
      <x:c r="V40" s="47" t="n">
        <x:v>14.2</x:v>
      </x:c>
      <x:c r="W40" s="47" t="n">
        <x:v>4</x:v>
      </x:c>
      <x:c r="X40" s="47" t="n">
        <x:v>15</x:v>
      </x:c>
      <x:c r="Y40" s="41" t="n">
        <x:v>11</x:v>
      </x:c>
    </x:row>
    <x:row r="41">
      <x:c r="A41" s="38" t="str">
        <x:v>7月30日现场数据</x:v>
      </x:c>
      <x:c r="B41" s="66" t="str">
        <x:v>2026-07-30T16:45:35.941000</x:v>
      </x:c>
      <x:c r="C41" s="47" t="n">
        <x:v>300982</x:v>
      </x:c>
      <x:c r="D41" s="47" t="str"/>
      <x:c r="E41" s="47" t="str"/>
      <x:c r="F41" s="47" t="str">
        <x:v>current</x:v>
      </x:c>
      <x:c r="G41" s="47" t="n">
        <x:v>37</x:v>
      </x:c>
      <x:c r="H41" s="53" t="b">
        <x:v>1</x:v>
      </x:c>
      <x:c r="I41" s="47" t="str">
        <x:v>3906736965</x:v>
      </x:c>
      <x:c r="J41" s="47" t="n">
        <x:v>11256729</x:v>
      </x:c>
      <x:c r="K41" s="53" t="b">
        <x:v>1</x:v>
      </x:c>
      <x:c r="L41" s="53" t="b">
        <x:v>1</x:v>
      </x:c>
      <x:c r="M41" s="53" t="b">
        <x:v>1</x:v>
      </x:c>
      <x:c r="N41" s="53" t="b">
        <x:v>1</x:v>
      </x:c>
      <x:c r="O41" s="53" t="b">
        <x:v>1</x:v>
      </x:c>
      <x:c r="P41" s="47" t="n">
        <x:v>1009</x:v>
      </x:c>
      <x:c r="Q41" s="47" t="n">
        <x:v>0</x:v>
      </x:c>
      <x:c r="R41" s="47" t="n">
        <x:v>0</x:v>
      </x:c>
      <x:c r="S41" s="47" t="n">
        <x:v>29.1</x:v>
      </x:c>
      <x:c r="T41" s="47" t="n">
        <x:v>52.97</x:v>
      </x:c>
      <x:c r="U41" s="47" t="n">
        <x:v>31.8</x:v>
      </x:c>
      <x:c r="V41" s="47" t="n">
        <x:v>14.2</x:v>
      </x:c>
      <x:c r="W41" s="47" t="n">
        <x:v>4</x:v>
      </x:c>
      <x:c r="X41" s="47" t="n">
        <x:v>15</x:v>
      </x:c>
      <x:c r="Y41" s="41" t="n">
        <x:v>11</x:v>
      </x:c>
    </x:row>
    <x:row r="42">
      <x:c r="A42" s="38" t="str">
        <x:v>7月30日现场数据</x:v>
      </x:c>
      <x:c r="B42" s="66" t="str">
        <x:v>2026-07-30T16:50:36.960000</x:v>
      </x:c>
      <x:c r="C42" s="47" t="n">
        <x:v>301019</x:v>
      </x:c>
      <x:c r="D42" s="47" t="str"/>
      <x:c r="E42" s="47" t="str"/>
      <x:c r="F42" s="47" t="str">
        <x:v>current</x:v>
      </x:c>
      <x:c r="G42" s="47" t="n">
        <x:v>38</x:v>
      </x:c>
      <x:c r="H42" s="53" t="b">
        <x:v>1</x:v>
      </x:c>
      <x:c r="I42" s="47" t="str">
        <x:v>3906736965</x:v>
      </x:c>
      <x:c r="J42" s="47" t="n">
        <x:v>11557748</x:v>
      </x:c>
      <x:c r="K42" s="53" t="b">
        <x:v>1</x:v>
      </x:c>
      <x:c r="L42" s="53" t="b">
        <x:v>1</x:v>
      </x:c>
      <x:c r="M42" s="53" t="b">
        <x:v>1</x:v>
      </x:c>
      <x:c r="N42" s="53" t="b">
        <x:v>1</x:v>
      </x:c>
      <x:c r="O42" s="53" t="b">
        <x:v>1</x:v>
      </x:c>
      <x:c r="P42" s="47" t="n">
        <x:v>1009</x:v>
      </x:c>
      <x:c r="Q42" s="47" t="n">
        <x:v>0</x:v>
      </x:c>
      <x:c r="R42" s="47" t="n">
        <x:v>0</x:v>
      </x:c>
      <x:c r="S42" s="47" t="n">
        <x:v>29.17</x:v>
      </x:c>
      <x:c r="T42" s="47" t="n">
        <x:v>53.22</x:v>
      </x:c>
      <x:c r="U42" s="47" t="n">
        <x:v>31.8</x:v>
      </x:c>
      <x:c r="V42" s="47" t="n">
        <x:v>14.1</x:v>
      </x:c>
      <x:c r="W42" s="47" t="n">
        <x:v>3</x:v>
      </x:c>
      <x:c r="X42" s="47" t="n">
        <x:v>13</x:v>
      </x:c>
      <x:c r="Y42" s="41" t="n">
        <x:v>10</x:v>
      </x:c>
    </x:row>
    <x:row r="43">
      <x:c r="A43" s="38" t="str">
        <x:v>7月30日现场数据</x:v>
      </x:c>
      <x:c r="B43" s="66" t="str">
        <x:v>2026-07-30T16:55:37.921000</x:v>
      </x:c>
      <x:c r="C43" s="47" t="n">
        <x:v>300961</x:v>
      </x:c>
      <x:c r="D43" s="47" t="str"/>
      <x:c r="E43" s="47" t="str"/>
      <x:c r="F43" s="47" t="str">
        <x:v>current</x:v>
      </x:c>
      <x:c r="G43" s="47" t="n">
        <x:v>39</x:v>
      </x:c>
      <x:c r="H43" s="53" t="b">
        <x:v>1</x:v>
      </x:c>
      <x:c r="I43" s="47" t="str">
        <x:v>3906736965</x:v>
      </x:c>
      <x:c r="J43" s="47" t="n">
        <x:v>11858709</x:v>
      </x:c>
      <x:c r="K43" s="53" t="b">
        <x:v>1</x:v>
      </x:c>
      <x:c r="L43" s="53" t="b">
        <x:v>1</x:v>
      </x:c>
      <x:c r="M43" s="53" t="b">
        <x:v>1</x:v>
      </x:c>
      <x:c r="N43" s="53" t="b">
        <x:v>1</x:v>
      </x:c>
      <x:c r="O43" s="53" t="b">
        <x:v>1</x:v>
      </x:c>
      <x:c r="P43" s="47" t="n">
        <x:v>1009</x:v>
      </x:c>
      <x:c r="Q43" s="47" t="n">
        <x:v>0</x:v>
      </x:c>
      <x:c r="R43" s="47" t="n">
        <x:v>0</x:v>
      </x:c>
      <x:c r="S43" s="47" t="n">
        <x:v>29.3</x:v>
      </x:c>
      <x:c r="T43" s="47" t="n">
        <x:v>53.46</x:v>
      </x:c>
      <x:c r="U43" s="47" t="n">
        <x:v>31.7</x:v>
      </x:c>
      <x:c r="V43" s="47" t="n">
        <x:v>14</x:v>
      </x:c>
      <x:c r="W43" s="47" t="n">
        <x:v>3</x:v>
      </x:c>
      <x:c r="X43" s="47" t="n">
        <x:v>12</x:v>
      </x:c>
      <x:c r="Y43" s="41" t="n">
        <x:v>9</x:v>
      </x:c>
    </x:row>
    <x:row r="44">
      <x:c r="A44" s="38" t="str">
        <x:v>7月30日现场数据</x:v>
      </x:c>
      <x:c r="B44" s="66" t="str">
        <x:v>2026-07-30T17:00:38.882000</x:v>
      </x:c>
      <x:c r="C44" s="47" t="n">
        <x:v>300961</x:v>
      </x:c>
      <x:c r="D44" s="47" t="str"/>
      <x:c r="E44" s="47" t="str"/>
      <x:c r="F44" s="47" t="str">
        <x:v>current</x:v>
      </x:c>
      <x:c r="G44" s="47" t="n">
        <x:v>40</x:v>
      </x:c>
      <x:c r="H44" s="53" t="b">
        <x:v>1</x:v>
      </x:c>
      <x:c r="I44" s="47" t="str">
        <x:v>3906736965</x:v>
      </x:c>
      <x:c r="J44" s="47" t="n">
        <x:v>12159670</x:v>
      </x:c>
      <x:c r="K44" s="53" t="b">
        <x:v>1</x:v>
      </x:c>
      <x:c r="L44" s="53" t="b">
        <x:v>1</x:v>
      </x:c>
      <x:c r="M44" s="53" t="b">
        <x:v>1</x:v>
      </x:c>
      <x:c r="N44" s="53" t="b">
        <x:v>1</x:v>
      </x:c>
      <x:c r="O44" s="53" t="b">
        <x:v>1</x:v>
      </x:c>
      <x:c r="P44" s="47" t="n">
        <x:v>1009</x:v>
      </x:c>
      <x:c r="Q44" s="47" t="n">
        <x:v>0</x:v>
      </x:c>
      <x:c r="R44" s="47" t="n">
        <x:v>0</x:v>
      </x:c>
      <x:c r="S44" s="47" t="n">
        <x:v>29.43</x:v>
      </x:c>
      <x:c r="T44" s="47" t="n">
        <x:v>53.69</x:v>
      </x:c>
      <x:c r="U44" s="47" t="n">
        <x:v>31.7</x:v>
      </x:c>
      <x:c r="V44" s="47" t="n">
        <x:v>14</x:v>
      </x:c>
      <x:c r="W44" s="47" t="n">
        <x:v>2</x:v>
      </x:c>
      <x:c r="X44" s="47" t="n">
        <x:v>10</x:v>
      </x:c>
      <x:c r="Y44" s="41" t="n">
        <x:v>8</x:v>
      </x:c>
    </x:row>
    <x:row r="45">
      <x:c r="A45" s="38" t="str">
        <x:v>7月30日现场数据</x:v>
      </x:c>
      <x:c r="B45" s="66" t="str">
        <x:v>2026-07-30T17:05:39.846000</x:v>
      </x:c>
      <x:c r="C45" s="47" t="n">
        <x:v>300964</x:v>
      </x:c>
      <x:c r="D45" s="47" t="str"/>
      <x:c r="E45" s="47" t="str"/>
      <x:c r="F45" s="47" t="str">
        <x:v>current</x:v>
      </x:c>
      <x:c r="G45" s="47" t="n">
        <x:v>41</x:v>
      </x:c>
      <x:c r="H45" s="53" t="b">
        <x:v>1</x:v>
      </x:c>
      <x:c r="I45" s="47" t="str">
        <x:v>3906736965</x:v>
      </x:c>
      <x:c r="J45" s="47" t="n">
        <x:v>12460634</x:v>
      </x:c>
      <x:c r="K45" s="53" t="b">
        <x:v>1</x:v>
      </x:c>
      <x:c r="L45" s="53" t="b">
        <x:v>1</x:v>
      </x:c>
      <x:c r="M45" s="53" t="b">
        <x:v>1</x:v>
      </x:c>
      <x:c r="N45" s="53" t="b">
        <x:v>1</x:v>
      </x:c>
      <x:c r="O45" s="53" t="b">
        <x:v>1</x:v>
      </x:c>
      <x:c r="P45" s="47" t="n">
        <x:v>1009</x:v>
      </x:c>
      <x:c r="Q45" s="47" t="n">
        <x:v>0</x:v>
      </x:c>
      <x:c r="R45" s="47" t="n">
        <x:v>0</x:v>
      </x:c>
      <x:c r="S45" s="47" t="n">
        <x:v>29.59</x:v>
      </x:c>
      <x:c r="T45" s="47" t="n">
        <x:v>54.03</x:v>
      </x:c>
      <x:c r="U45" s="47" t="n">
        <x:v>31.7</x:v>
      </x:c>
      <x:c r="V45" s="47" t="n">
        <x:v>13.9</x:v>
      </x:c>
      <x:c r="W45" s="47" t="n">
        <x:v>3</x:v>
      </x:c>
      <x:c r="X45" s="47" t="n">
        <x:v>13</x:v>
      </x:c>
      <x:c r="Y45" s="41" t="n">
        <x:v>10</x:v>
      </x:c>
    </x:row>
    <x:row r="46">
      <x:c r="A46" s="38" t="str">
        <x:v>7月30日现场数据</x:v>
      </x:c>
      <x:c r="B46" s="66" t="str">
        <x:v>2026-07-30T17:10:40.812000</x:v>
      </x:c>
      <x:c r="C46" s="47" t="n">
        <x:v>300966</x:v>
      </x:c>
      <x:c r="D46" s="47" t="str"/>
      <x:c r="E46" s="47" t="str"/>
      <x:c r="F46" s="47" t="str">
        <x:v>current</x:v>
      </x:c>
      <x:c r="G46" s="47" t="n">
        <x:v>42</x:v>
      </x:c>
      <x:c r="H46" s="53" t="b">
        <x:v>1</x:v>
      </x:c>
      <x:c r="I46" s="47" t="str">
        <x:v>3906736965</x:v>
      </x:c>
      <x:c r="J46" s="47" t="n">
        <x:v>12761600</x:v>
      </x:c>
      <x:c r="K46" s="53" t="b">
        <x:v>1</x:v>
      </x:c>
      <x:c r="L46" s="53" t="b">
        <x:v>1</x:v>
      </x:c>
      <x:c r="M46" s="53" t="b">
        <x:v>1</x:v>
      </x:c>
      <x:c r="N46" s="53" t="b">
        <x:v>1</x:v>
      </x:c>
      <x:c r="O46" s="53" t="b">
        <x:v>1</x:v>
      </x:c>
      <x:c r="P46" s="47" t="n">
        <x:v>1009</x:v>
      </x:c>
      <x:c r="Q46" s="47" t="n">
        <x:v>0</x:v>
      </x:c>
      <x:c r="R46" s="47" t="n">
        <x:v>0</x:v>
      </x:c>
      <x:c r="S46" s="47" t="n">
        <x:v>29.98</x:v>
      </x:c>
      <x:c r="T46" s="47" t="n">
        <x:v>54.37</x:v>
      </x:c>
      <x:c r="U46" s="47" t="n">
        <x:v>31.7</x:v>
      </x:c>
      <x:c r="V46" s="47" t="n">
        <x:v>13.9</x:v>
      </x:c>
      <x:c r="W46" s="47" t="n">
        <x:v>8</x:v>
      </x:c>
      <x:c r="X46" s="47" t="n">
        <x:v>35</x:v>
      </x:c>
      <x:c r="Y46" s="41" t="n">
        <x:v>27</x:v>
      </x:c>
    </x:row>
    <x:row r="47">
      <x:c r="A47" s="38" t="str">
        <x:v>7月30日现场数据</x:v>
      </x:c>
      <x:c r="B47" s="66" t="str">
        <x:v>2026-07-30T17:15:41.780000</x:v>
      </x:c>
      <x:c r="C47" s="47" t="n">
        <x:v>300968</x:v>
      </x:c>
      <x:c r="D47" s="47" t="str"/>
      <x:c r="E47" s="47" t="str"/>
      <x:c r="F47" s="47" t="str">
        <x:v>current</x:v>
      </x:c>
      <x:c r="G47" s="47" t="n">
        <x:v>43</x:v>
      </x:c>
      <x:c r="H47" s="53" t="b">
        <x:v>1</x:v>
      </x:c>
      <x:c r="I47" s="47" t="str">
        <x:v>3906736965</x:v>
      </x:c>
      <x:c r="J47" s="47" t="n">
        <x:v>13062568</x:v>
      </x:c>
      <x:c r="K47" s="53" t="b">
        <x:v>1</x:v>
      </x:c>
      <x:c r="L47" s="53" t="b">
        <x:v>1</x:v>
      </x:c>
      <x:c r="M47" s="53" t="b">
        <x:v>1</x:v>
      </x:c>
      <x:c r="N47" s="53" t="b">
        <x:v>1</x:v>
      </x:c>
      <x:c r="O47" s="53" t="b">
        <x:v>1</x:v>
      </x:c>
      <x:c r="P47" s="47" t="n">
        <x:v>1009</x:v>
      </x:c>
      <x:c r="Q47" s="47" t="n">
        <x:v>0</x:v>
      </x:c>
      <x:c r="R47" s="47" t="n">
        <x:v>0</x:v>
      </x:c>
      <x:c r="S47" s="47" t="n">
        <x:v>30.08</x:v>
      </x:c>
      <x:c r="T47" s="47" t="n">
        <x:v>54.65</x:v>
      </x:c>
      <x:c r="U47" s="47" t="n">
        <x:v>31.7</x:v>
      </x:c>
      <x:c r="V47" s="47" t="n">
        <x:v>13.9</x:v>
      </x:c>
      <x:c r="W47" s="47" t="n">
        <x:v>5</x:v>
      </x:c>
      <x:c r="X47" s="47" t="n">
        <x:v>21</x:v>
      </x:c>
      <x:c r="Y47" s="41" t="n">
        <x:v>16</x:v>
      </x:c>
    </x:row>
    <x:row r="48">
      <x:c r="A48" s="38" t="str">
        <x:v>7月30日现场数据</x:v>
      </x:c>
      <x:c r="B48" s="66" t="str">
        <x:v>2026-07-30T17:20:42.751000</x:v>
      </x:c>
      <x:c r="C48" s="47" t="n">
        <x:v>300971</x:v>
      </x:c>
      <x:c r="D48" s="47" t="str"/>
      <x:c r="E48" s="47" t="str"/>
      <x:c r="F48" s="47" t="str">
        <x:v>current</x:v>
      </x:c>
      <x:c r="G48" s="47" t="n">
        <x:v>44</x:v>
      </x:c>
      <x:c r="H48" s="53" t="b">
        <x:v>1</x:v>
      </x:c>
      <x:c r="I48" s="47" t="str">
        <x:v>3906736965</x:v>
      </x:c>
      <x:c r="J48" s="47" t="n">
        <x:v>13363539</x:v>
      </x:c>
      <x:c r="K48" s="53" t="b">
        <x:v>1</x:v>
      </x:c>
      <x:c r="L48" s="53" t="b">
        <x:v>1</x:v>
      </x:c>
      <x:c r="M48" s="53" t="b">
        <x:v>1</x:v>
      </x:c>
      <x:c r="N48" s="53" t="b">
        <x:v>1</x:v>
      </x:c>
      <x:c r="O48" s="53" t="b">
        <x:v>1</x:v>
      </x:c>
      <x:c r="P48" s="47" t="n">
        <x:v>1009</x:v>
      </x:c>
      <x:c r="Q48" s="47" t="n">
        <x:v>0</x:v>
      </x:c>
      <x:c r="R48" s="47" t="n">
        <x:v>0</x:v>
      </x:c>
      <x:c r="S48" s="47" t="n">
        <x:v>30.36</x:v>
      </x:c>
      <x:c r="T48" s="47" t="n">
        <x:v>54.97</x:v>
      </x:c>
      <x:c r="U48" s="47" t="n">
        <x:v>31.6</x:v>
      </x:c>
      <x:c r="V48" s="47" t="n">
        <x:v>13.9</x:v>
      </x:c>
      <x:c r="W48" s="47" t="n">
        <x:v>9</x:v>
      </x:c>
      <x:c r="X48" s="47" t="n">
        <x:v>40</x:v>
      </x:c>
      <x:c r="Y48" s="41" t="n">
        <x:v>31</x:v>
      </x:c>
    </x:row>
    <x:row r="49">
      <x:c r="A49" s="38" t="str">
        <x:v>7月30日现场数据</x:v>
      </x:c>
      <x:c r="B49" s="66" t="str">
        <x:v>2026-07-30T17:25:43.722000</x:v>
      </x:c>
      <x:c r="C49" s="47" t="n">
        <x:v>300971</x:v>
      </x:c>
      <x:c r="D49" s="47" t="str"/>
      <x:c r="E49" s="47" t="str"/>
      <x:c r="F49" s="47" t="str">
        <x:v>current</x:v>
      </x:c>
      <x:c r="G49" s="47" t="n">
        <x:v>45</x:v>
      </x:c>
      <x:c r="H49" s="53" t="b">
        <x:v>1</x:v>
      </x:c>
      <x:c r="I49" s="47" t="str">
        <x:v>3906736965</x:v>
      </x:c>
      <x:c r="J49" s="47" t="n">
        <x:v>13664510</x:v>
      </x:c>
      <x:c r="K49" s="53" t="b">
        <x:v>1</x:v>
      </x:c>
      <x:c r="L49" s="53" t="b">
        <x:v>1</x:v>
      </x:c>
      <x:c r="M49" s="53" t="b">
        <x:v>1</x:v>
      </x:c>
      <x:c r="N49" s="53" t="b">
        <x:v>1</x:v>
      </x:c>
      <x:c r="O49" s="53" t="b">
        <x:v>1</x:v>
      </x:c>
      <x:c r="P49" s="47" t="n">
        <x:v>1009</x:v>
      </x:c>
      <x:c r="Q49" s="47" t="n">
        <x:v>0</x:v>
      </x:c>
      <x:c r="R49" s="47" t="n">
        <x:v>0</x:v>
      </x:c>
      <x:c r="S49" s="47" t="n">
        <x:v>30.75</x:v>
      </x:c>
      <x:c r="T49" s="47" t="n">
        <x:v>55.35</x:v>
      </x:c>
      <x:c r="U49" s="47" t="n">
        <x:v>31.6</x:v>
      </x:c>
      <x:c r="V49" s="47" t="n">
        <x:v>13.9</x:v>
      </x:c>
      <x:c r="W49" s="47" t="n">
        <x:v>9</x:v>
      </x:c>
      <x:c r="X49" s="47" t="n">
        <x:v>38</x:v>
      </x:c>
      <x:c r="Y49" s="41" t="n">
        <x:v>29</x:v>
      </x:c>
    </x:row>
    <x:row r="50">
      <x:c r="A50" s="38" t="str">
        <x:v>7月30日现场数据</x:v>
      </x:c>
      <x:c r="B50" s="66" t="str">
        <x:v>2026-07-30T17:30:44.694000</x:v>
      </x:c>
      <x:c r="C50" s="47" t="n">
        <x:v>300972</x:v>
      </x:c>
      <x:c r="D50" s="47" t="str"/>
      <x:c r="E50" s="47" t="str"/>
      <x:c r="F50" s="47" t="str">
        <x:v>current</x:v>
      </x:c>
      <x:c r="G50" s="47" t="n">
        <x:v>46</x:v>
      </x:c>
      <x:c r="H50" s="53" t="b">
        <x:v>1</x:v>
      </x:c>
      <x:c r="I50" s="47" t="str">
        <x:v>3906736965</x:v>
      </x:c>
      <x:c r="J50" s="47" t="n">
        <x:v>13965482</x:v>
      </x:c>
      <x:c r="K50" s="53" t="b">
        <x:v>1</x:v>
      </x:c>
      <x:c r="L50" s="53" t="b">
        <x:v>1</x:v>
      </x:c>
      <x:c r="M50" s="53" t="b">
        <x:v>1</x:v>
      </x:c>
      <x:c r="N50" s="53" t="b">
        <x:v>1</x:v>
      </x:c>
      <x:c r="O50" s="53" t="b">
        <x:v>1</x:v>
      </x:c>
      <x:c r="P50" s="47" t="n">
        <x:v>1009</x:v>
      </x:c>
      <x:c r="Q50" s="47" t="n">
        <x:v>0</x:v>
      </x:c>
      <x:c r="R50" s="47" t="n">
        <x:v>0</x:v>
      </x:c>
      <x:c r="S50" s="47" t="n">
        <x:v>30.95</x:v>
      </x:c>
      <x:c r="T50" s="47" t="n">
        <x:v>55.71</x:v>
      </x:c>
      <x:c r="U50" s="47" t="n">
        <x:v>31.6</x:v>
      </x:c>
      <x:c r="V50" s="47" t="n">
        <x:v>13.9</x:v>
      </x:c>
      <x:c r="W50" s="47" t="n">
        <x:v>10</x:v>
      </x:c>
      <x:c r="X50" s="47" t="n">
        <x:v>39</x:v>
      </x:c>
      <x:c r="Y50" s="41" t="n">
        <x:v>29</x:v>
      </x:c>
    </x:row>
    <x:row r="51">
      <x:c r="A51" s="38" t="str">
        <x:v>7月30日现场数据</x:v>
      </x:c>
      <x:c r="B51" s="66" t="str">
        <x:v>2026-07-30T17:35:45.670000</x:v>
      </x:c>
      <x:c r="C51" s="47" t="n">
        <x:v>300976</x:v>
      </x:c>
      <x:c r="D51" s="47" t="str"/>
      <x:c r="E51" s="47" t="str"/>
      <x:c r="F51" s="47" t="str">
        <x:v>current</x:v>
      </x:c>
      <x:c r="G51" s="47" t="n">
        <x:v>47</x:v>
      </x:c>
      <x:c r="H51" s="53" t="b">
        <x:v>1</x:v>
      </x:c>
      <x:c r="I51" s="47" t="str">
        <x:v>3906736965</x:v>
      </x:c>
      <x:c r="J51" s="47" t="n">
        <x:v>14266458</x:v>
      </x:c>
      <x:c r="K51" s="53" t="b">
        <x:v>1</x:v>
      </x:c>
      <x:c r="L51" s="53" t="b">
        <x:v>1</x:v>
      </x:c>
      <x:c r="M51" s="53" t="b">
        <x:v>1</x:v>
      </x:c>
      <x:c r="N51" s="53" t="b">
        <x:v>1</x:v>
      </x:c>
      <x:c r="O51" s="53" t="b">
        <x:v>1</x:v>
      </x:c>
      <x:c r="P51" s="47" t="n">
        <x:v>1009</x:v>
      </x:c>
      <x:c r="Q51" s="47" t="n">
        <x:v>0.006</x:v>
      </x:c>
      <x:c r="R51" s="47" t="n">
        <x:v>0.165</x:v>
      </x:c>
      <x:c r="S51" s="47" t="n">
        <x:v>30.96</x:v>
      </x:c>
      <x:c r="T51" s="47" t="n">
        <x:v>56.02</x:v>
      </x:c>
      <x:c r="U51" s="47" t="n">
        <x:v>31.5</x:v>
      </x:c>
      <x:c r="V51" s="47" t="n">
        <x:v>13.9</x:v>
      </x:c>
      <x:c r="W51" s="47" t="n">
        <x:v>9</x:v>
      </x:c>
      <x:c r="X51" s="47" t="n">
        <x:v>37</x:v>
      </x:c>
      <x:c r="Y51" s="41" t="n">
        <x:v>28</x:v>
      </x:c>
    </x:row>
    <x:row r="52">
      <x:c r="A52" s="38" t="str">
        <x:v>7月30日现场数据</x:v>
      </x:c>
      <x:c r="B52" s="66" t="str">
        <x:v>2026-07-30T17:40:46.650000</x:v>
      </x:c>
      <x:c r="C52" s="47" t="n">
        <x:v>300980</x:v>
      </x:c>
      <x:c r="D52" s="47" t="str"/>
      <x:c r="E52" s="47" t="str"/>
      <x:c r="F52" s="47" t="str">
        <x:v>current</x:v>
      </x:c>
      <x:c r="G52" s="47" t="n">
        <x:v>48</x:v>
      </x:c>
      <x:c r="H52" s="53" t="b">
        <x:v>1</x:v>
      </x:c>
      <x:c r="I52" s="47" t="str">
        <x:v>3906736965</x:v>
      </x:c>
      <x:c r="J52" s="47" t="n">
        <x:v>14567438</x:v>
      </x:c>
      <x:c r="K52" s="53" t="b">
        <x:v>1</x:v>
      </x:c>
      <x:c r="L52" s="53" t="b">
        <x:v>1</x:v>
      </x:c>
      <x:c r="M52" s="53" t="b">
        <x:v>1</x:v>
      </x:c>
      <x:c r="N52" s="53" t="b">
        <x:v>1</x:v>
      </x:c>
      <x:c r="O52" s="53" t="b">
        <x:v>1</x:v>
      </x:c>
      <x:c r="P52" s="47" t="n">
        <x:v>1009</x:v>
      </x:c>
      <x:c r="Q52" s="47" t="n">
        <x:v>0</x:v>
      </x:c>
      <x:c r="R52" s="47" t="n">
        <x:v>0</x:v>
      </x:c>
      <x:c r="S52" s="47" t="n">
        <x:v>31.09</x:v>
      </x:c>
      <x:c r="T52" s="47" t="n">
        <x:v>56.31</x:v>
      </x:c>
      <x:c r="U52" s="47" t="n">
        <x:v>31.5</x:v>
      </x:c>
      <x:c r="V52" s="47" t="n">
        <x:v>13.8</x:v>
      </x:c>
      <x:c r="W52" s="47" t="n">
        <x:v>9</x:v>
      </x:c>
      <x:c r="X52" s="47" t="n">
        <x:v>36</x:v>
      </x:c>
      <x:c r="Y52" s="41" t="n">
        <x:v>27</x:v>
      </x:c>
    </x:row>
    <x:row r="53">
      <x:c r="A53" s="38" t="str">
        <x:v>7月30日现场数据</x:v>
      </x:c>
      <x:c r="B53" s="66" t="str">
        <x:v>2026-07-30T17:45:47.628000</x:v>
      </x:c>
      <x:c r="C53" s="47" t="n">
        <x:v>300978</x:v>
      </x:c>
      <x:c r="D53" s="47" t="str"/>
      <x:c r="E53" s="47" t="str"/>
      <x:c r="F53" s="47" t="str">
        <x:v>current</x:v>
      </x:c>
      <x:c r="G53" s="47" t="n">
        <x:v>49</x:v>
      </x:c>
      <x:c r="H53" s="53" t="b">
        <x:v>1</x:v>
      </x:c>
      <x:c r="I53" s="47" t="str">
        <x:v>3906736965</x:v>
      </x:c>
      <x:c r="J53" s="47" t="n">
        <x:v>14868416</x:v>
      </x:c>
      <x:c r="K53" s="53" t="b">
        <x:v>1</x:v>
      </x:c>
      <x:c r="L53" s="53" t="b">
        <x:v>1</x:v>
      </x:c>
      <x:c r="M53" s="53" t="b">
        <x:v>1</x:v>
      </x:c>
      <x:c r="N53" s="53" t="b">
        <x:v>1</x:v>
      </x:c>
      <x:c r="O53" s="53" t="b">
        <x:v>1</x:v>
      </x:c>
      <x:c r="P53" s="47" t="n">
        <x:v>1009</x:v>
      </x:c>
      <x:c r="Q53" s="47" t="n">
        <x:v>0</x:v>
      </x:c>
      <x:c r="R53" s="47" t="n">
        <x:v>0</x:v>
      </x:c>
      <x:c r="S53" s="47" t="n">
        <x:v>31.11</x:v>
      </x:c>
      <x:c r="T53" s="47" t="n">
        <x:v>56.56</x:v>
      </x:c>
      <x:c r="U53" s="47" t="n">
        <x:v>31.5</x:v>
      </x:c>
      <x:c r="V53" s="47" t="n">
        <x:v>13.8</x:v>
      </x:c>
      <x:c r="W53" s="47" t="n">
        <x:v>8</x:v>
      </x:c>
      <x:c r="X53" s="47" t="n">
        <x:v>31</x:v>
      </x:c>
      <x:c r="Y53" s="41" t="n">
        <x:v>23</x:v>
      </x:c>
    </x:row>
    <x:row r="54">
      <x:c r="A54" s="38" t="str">
        <x:v>7月30日现场数据</x:v>
      </x:c>
      <x:c r="B54" s="66" t="str">
        <x:v>2026-07-30T17:50:48.608000</x:v>
      </x:c>
      <x:c r="C54" s="47" t="n">
        <x:v>300980</x:v>
      </x:c>
      <x:c r="D54" s="47" t="str"/>
      <x:c r="E54" s="47" t="str"/>
      <x:c r="F54" s="47" t="str">
        <x:v>current</x:v>
      </x:c>
      <x:c r="G54" s="47" t="n">
        <x:v>50</x:v>
      </x:c>
      <x:c r="H54" s="53" t="b">
        <x:v>1</x:v>
      </x:c>
      <x:c r="I54" s="47" t="str">
        <x:v>3906736965</x:v>
      </x:c>
      <x:c r="J54" s="47" t="n">
        <x:v>15169396</x:v>
      </x:c>
      <x:c r="K54" s="53" t="b">
        <x:v>1</x:v>
      </x:c>
      <x:c r="L54" s="53" t="b">
        <x:v>1</x:v>
      </x:c>
      <x:c r="M54" s="53" t="b">
        <x:v>1</x:v>
      </x:c>
      <x:c r="N54" s="53" t="b">
        <x:v>1</x:v>
      </x:c>
      <x:c r="O54" s="53" t="b">
        <x:v>1</x:v>
      </x:c>
      <x:c r="P54" s="47" t="n">
        <x:v>1009</x:v>
      </x:c>
      <x:c r="Q54" s="47" t="n">
        <x:v>0</x:v>
      </x:c>
      <x:c r="R54" s="47" t="n">
        <x:v>0</x:v>
      </x:c>
      <x:c r="S54" s="47" t="n">
        <x:v>31.09</x:v>
      </x:c>
      <x:c r="T54" s="47" t="n">
        <x:v>56.87</x:v>
      </x:c>
      <x:c r="U54" s="47" t="n">
        <x:v>31.5</x:v>
      </x:c>
      <x:c r="V54" s="47" t="n">
        <x:v>13.8</x:v>
      </x:c>
      <x:c r="W54" s="47" t="n">
        <x:v>5</x:v>
      </x:c>
      <x:c r="X54" s="47" t="n">
        <x:v>20</x:v>
      </x:c>
      <x:c r="Y54" s="41" t="n">
        <x:v>15</x:v>
      </x:c>
    </x:row>
    <x:row r="55">
      <x:c r="A55" s="38" t="str">
        <x:v>7月30日现场数据</x:v>
      </x:c>
      <x:c r="B55" s="66" t="str">
        <x:v>2026-07-30T17:55:49.593000</x:v>
      </x:c>
      <x:c r="C55" s="47" t="n">
        <x:v>300985</x:v>
      </x:c>
      <x:c r="D55" s="47" t="str"/>
      <x:c r="E55" s="47" t="str"/>
      <x:c r="F55" s="47" t="str">
        <x:v>current</x:v>
      </x:c>
      <x:c r="G55" s="47" t="n">
        <x:v>51</x:v>
      </x:c>
      <x:c r="H55" s="53" t="b">
        <x:v>1</x:v>
      </x:c>
      <x:c r="I55" s="47" t="str">
        <x:v>3906736965</x:v>
      </x:c>
      <x:c r="J55" s="47" t="n">
        <x:v>15470381</x:v>
      </x:c>
      <x:c r="K55" s="53" t="b">
        <x:v>1</x:v>
      </x:c>
      <x:c r="L55" s="53" t="b">
        <x:v>1</x:v>
      </x:c>
      <x:c r="M55" s="53" t="b">
        <x:v>1</x:v>
      </x:c>
      <x:c r="N55" s="53" t="b">
        <x:v>1</x:v>
      </x:c>
      <x:c r="O55" s="53" t="b">
        <x:v>1</x:v>
      </x:c>
      <x:c r="P55" s="47" t="n">
        <x:v>1009</x:v>
      </x:c>
      <x:c r="Q55" s="47" t="n">
        <x:v>0.111</x:v>
      </x:c>
      <x:c r="R55" s="47" t="n">
        <x:v>3</x:v>
      </x:c>
      <x:c r="S55" s="47" t="n">
        <x:v>30.88</x:v>
      </x:c>
      <x:c r="T55" s="47" t="n">
        <x:v>57.04</x:v>
      </x:c>
      <x:c r="U55" s="47" t="n">
        <x:v>31.5</x:v>
      </x:c>
      <x:c r="V55" s="47" t="n">
        <x:v>13.8</x:v>
      </x:c>
      <x:c r="W55" s="47" t="n">
        <x:v>5</x:v>
      </x:c>
      <x:c r="X55" s="47" t="n">
        <x:v>20</x:v>
      </x:c>
      <x:c r="Y55" s="41" t="n">
        <x:v>15</x:v>
      </x:c>
    </x:row>
    <x:row r="56">
      <x:c r="A56" s="38" t="str">
        <x:v>7月30日现场数据</x:v>
      </x:c>
      <x:c r="B56" s="66" t="str">
        <x:v>2026-07-30T18:00:50.581000</x:v>
      </x:c>
      <x:c r="C56" s="47" t="n">
        <x:v>300988</x:v>
      </x:c>
      <x:c r="D56" s="47" t="str"/>
      <x:c r="E56" s="47" t="str"/>
      <x:c r="F56" s="47" t="str">
        <x:v>current</x:v>
      </x:c>
      <x:c r="G56" s="47" t="n">
        <x:v>52</x:v>
      </x:c>
      <x:c r="H56" s="53" t="b">
        <x:v>1</x:v>
      </x:c>
      <x:c r="I56" s="47" t="str">
        <x:v>3906736965</x:v>
      </x:c>
      <x:c r="J56" s="47" t="n">
        <x:v>15771369</x:v>
      </x:c>
      <x:c r="K56" s="53" t="b">
        <x:v>1</x:v>
      </x:c>
      <x:c r="L56" s="53" t="b">
        <x:v>1</x:v>
      </x:c>
      <x:c r="M56" s="53" t="b">
        <x:v>1</x:v>
      </x:c>
      <x:c r="N56" s="53" t="b">
        <x:v>1</x:v>
      </x:c>
      <x:c r="O56" s="53" t="b">
        <x:v>1</x:v>
      </x:c>
      <x:c r="P56" s="47" t="n">
        <x:v>1009</x:v>
      </x:c>
      <x:c r="Q56" s="47" t="n">
        <x:v>0</x:v>
      </x:c>
      <x:c r="R56" s="47" t="n">
        <x:v>0</x:v>
      </x:c>
      <x:c r="S56" s="47" t="n">
        <x:v>30.74</x:v>
      </x:c>
      <x:c r="T56" s="47" t="n">
        <x:v>57.2</x:v>
      </x:c>
      <x:c r="U56" s="47" t="n">
        <x:v>31.5</x:v>
      </x:c>
      <x:c r="V56" s="47" t="n">
        <x:v>13.8</x:v>
      </x:c>
      <x:c r="W56" s="47" t="n">
        <x:v>4</x:v>
      </x:c>
      <x:c r="X56" s="47" t="n">
        <x:v>15</x:v>
      </x:c>
      <x:c r="Y56" s="41" t="n">
        <x:v>11</x:v>
      </x:c>
    </x:row>
    <x:row r="57">
      <x:c r="A57" s="38" t="str">
        <x:v>7月30日现场数据</x:v>
      </x:c>
      <x:c r="B57" s="66" t="str">
        <x:v>2026-07-30T18:05:51.568000</x:v>
      </x:c>
      <x:c r="C57" s="47" t="n">
        <x:v>300987</x:v>
      </x:c>
      <x:c r="D57" s="47" t="str"/>
      <x:c r="E57" s="47" t="str"/>
      <x:c r="F57" s="47" t="str">
        <x:v>current</x:v>
      </x:c>
      <x:c r="G57" s="47" t="n">
        <x:v>53</x:v>
      </x:c>
      <x:c r="H57" s="53" t="b">
        <x:v>1</x:v>
      </x:c>
      <x:c r="I57" s="47" t="str">
        <x:v>3906736965</x:v>
      </x:c>
      <x:c r="J57" s="47" t="n">
        <x:v>16072356</x:v>
      </x:c>
      <x:c r="K57" s="53" t="b">
        <x:v>1</x:v>
      </x:c>
      <x:c r="L57" s="53" t="b">
        <x:v>1</x:v>
      </x:c>
      <x:c r="M57" s="53" t="b">
        <x:v>1</x:v>
      </x:c>
      <x:c r="N57" s="53" t="b">
        <x:v>1</x:v>
      </x:c>
      <x:c r="O57" s="53" t="b">
        <x:v>1</x:v>
      </x:c>
      <x:c r="P57" s="47" t="n">
        <x:v>1009</x:v>
      </x:c>
      <x:c r="Q57" s="47" t="n">
        <x:v>0</x:v>
      </x:c>
      <x:c r="R57" s="47" t="n">
        <x:v>0</x:v>
      </x:c>
      <x:c r="S57" s="47" t="n">
        <x:v>30.6</x:v>
      </x:c>
      <x:c r="T57" s="47" t="n">
        <x:v>57.34</x:v>
      </x:c>
      <x:c r="U57" s="47" t="n">
        <x:v>31.4</x:v>
      </x:c>
      <x:c r="V57" s="47" t="n">
        <x:v>13.7</x:v>
      </x:c>
      <x:c r="W57" s="47" t="n">
        <x:v>3</x:v>
      </x:c>
      <x:c r="X57" s="47" t="n">
        <x:v>13</x:v>
      </x:c>
      <x:c r="Y57" s="41" t="n">
        <x:v>10</x:v>
      </x:c>
    </x:row>
    <x:row r="58">
      <x:c r="A58" s="38" t="str">
        <x:v>7月30日现场数据</x:v>
      </x:c>
      <x:c r="B58" s="66" t="str">
        <x:v>2026-07-30T18:10:52.587000</x:v>
      </x:c>
      <x:c r="C58" s="47" t="n">
        <x:v>301019</x:v>
      </x:c>
      <x:c r="D58" s="47" t="str"/>
      <x:c r="E58" s="47" t="str"/>
      <x:c r="F58" s="47" t="str">
        <x:v>current</x:v>
      </x:c>
      <x:c r="G58" s="47" t="n">
        <x:v>54</x:v>
      </x:c>
      <x:c r="H58" s="53" t="b">
        <x:v>1</x:v>
      </x:c>
      <x:c r="I58" s="47" t="str">
        <x:v>3906736965</x:v>
      </x:c>
      <x:c r="J58" s="47" t="n">
        <x:v>16373375</x:v>
      </x:c>
      <x:c r="K58" s="53" t="b">
        <x:v>1</x:v>
      </x:c>
      <x:c r="L58" s="53" t="b">
        <x:v>1</x:v>
      </x:c>
      <x:c r="M58" s="53" t="b">
        <x:v>1</x:v>
      </x:c>
      <x:c r="N58" s="53" t="b">
        <x:v>1</x:v>
      </x:c>
      <x:c r="O58" s="53" t="b">
        <x:v>1</x:v>
      </x:c>
      <x:c r="P58" s="47" t="n">
        <x:v>1009</x:v>
      </x:c>
      <x:c r="Q58" s="47" t="n">
        <x:v>0</x:v>
      </x:c>
      <x:c r="R58" s="47" t="n">
        <x:v>0</x:v>
      </x:c>
      <x:c r="S58" s="47" t="n">
        <x:v>30.57</x:v>
      </x:c>
      <x:c r="T58" s="47" t="n">
        <x:v>57.59</x:v>
      </x:c>
      <x:c r="U58" s="47" t="n">
        <x:v>31.4</x:v>
      </x:c>
      <x:c r="V58" s="47" t="n">
        <x:v>13.8</x:v>
      </x:c>
      <x:c r="W58" s="47" t="n">
        <x:v>3</x:v>
      </x:c>
      <x:c r="X58" s="47" t="n">
        <x:v>12</x:v>
      </x:c>
      <x:c r="Y58" s="41" t="n">
        <x:v>9</x:v>
      </x:c>
    </x:row>
    <x:row r="59">
      <x:c r="A59" s="38" t="str">
        <x:v>7月30日现场数据</x:v>
      </x:c>
      <x:c r="B59" s="66" t="str">
        <x:v>2026-07-30T18:15:53.550000</x:v>
      </x:c>
      <x:c r="C59" s="47" t="n">
        <x:v>300963</x:v>
      </x:c>
      <x:c r="D59" s="47" t="str"/>
      <x:c r="E59" s="47" t="str"/>
      <x:c r="F59" s="47" t="str">
        <x:v>current</x:v>
      </x:c>
      <x:c r="G59" s="47" t="n">
        <x:v>55</x:v>
      </x:c>
      <x:c r="H59" s="53" t="b">
        <x:v>1</x:v>
      </x:c>
      <x:c r="I59" s="47" t="str">
        <x:v>3906736965</x:v>
      </x:c>
      <x:c r="J59" s="47" t="n">
        <x:v>16674338</x:v>
      </x:c>
      <x:c r="K59" s="53" t="b">
        <x:v>1</x:v>
      </x:c>
      <x:c r="L59" s="53" t="b">
        <x:v>1</x:v>
      </x:c>
      <x:c r="M59" s="53" t="b">
        <x:v>1</x:v>
      </x:c>
      <x:c r="N59" s="53" t="b">
        <x:v>1</x:v>
      </x:c>
      <x:c r="O59" s="53" t="b">
        <x:v>1</x:v>
      </x:c>
      <x:c r="P59" s="47" t="n">
        <x:v>1009</x:v>
      </x:c>
      <x:c r="Q59" s="47" t="n">
        <x:v>0</x:v>
      </x:c>
      <x:c r="R59" s="47" t="n">
        <x:v>0</x:v>
      </x:c>
      <x:c r="S59" s="47" t="n">
        <x:v>30.54</x:v>
      </x:c>
      <x:c r="T59" s="47" t="n">
        <x:v>57.8</x:v>
      </x:c>
      <x:c r="U59" s="47" t="n">
        <x:v>31.3</x:v>
      </x:c>
      <x:c r="V59" s="47" t="n">
        <x:v>13.8</x:v>
      </x:c>
      <x:c r="W59" s="47" t="n">
        <x:v>3</x:v>
      </x:c>
      <x:c r="X59" s="47" t="n">
        <x:v>10</x:v>
      </x:c>
      <x:c r="Y59" s="41" t="n">
        <x:v>7</x:v>
      </x:c>
    </x:row>
    <x:row r="60">
      <x:c r="A60" s="38" t="str">
        <x:v>7月30日现场数据</x:v>
      </x:c>
      <x:c r="B60" s="66" t="str">
        <x:v>2026-07-30T18:20:54.517000</x:v>
      </x:c>
      <x:c r="C60" s="47" t="n">
        <x:v>300967</x:v>
      </x:c>
      <x:c r="D60" s="47" t="str"/>
      <x:c r="E60" s="47" t="str"/>
      <x:c r="F60" s="47" t="str">
        <x:v>current</x:v>
      </x:c>
      <x:c r="G60" s="47" t="n">
        <x:v>56</x:v>
      </x:c>
      <x:c r="H60" s="53" t="b">
        <x:v>1</x:v>
      </x:c>
      <x:c r="I60" s="47" t="str">
        <x:v>3906736965</x:v>
      </x:c>
      <x:c r="J60" s="47" t="n">
        <x:v>16975305</x:v>
      </x:c>
      <x:c r="K60" s="53" t="b">
        <x:v>1</x:v>
      </x:c>
      <x:c r="L60" s="53" t="b">
        <x:v>1</x:v>
      </x:c>
      <x:c r="M60" s="53" t="b">
        <x:v>1</x:v>
      </x:c>
      <x:c r="N60" s="53" t="b">
        <x:v>1</x:v>
      </x:c>
      <x:c r="O60" s="53" t="b">
        <x:v>1</x:v>
      </x:c>
      <x:c r="P60" s="47" t="n">
        <x:v>1009</x:v>
      </x:c>
      <x:c r="Q60" s="47" t="n">
        <x:v>0.006</x:v>
      </x:c>
      <x:c r="R60" s="47" t="n">
        <x:v>0.165</x:v>
      </x:c>
      <x:c r="S60" s="47" t="n">
        <x:v>30.42</x:v>
      </x:c>
      <x:c r="T60" s="47" t="n">
        <x:v>57.96</x:v>
      </x:c>
      <x:c r="U60" s="47" t="n">
        <x:v>31.2</x:v>
      </x:c>
      <x:c r="V60" s="47" t="n">
        <x:v>13.8</x:v>
      </x:c>
      <x:c r="W60" s="47" t="n">
        <x:v>2</x:v>
      </x:c>
      <x:c r="X60" s="47" t="n">
        <x:v>8</x:v>
      </x:c>
      <x:c r="Y60" s="41" t="n">
        <x:v>6</x:v>
      </x:c>
    </x:row>
    <x:row r="61">
      <x:c r="A61" s="38" t="str">
        <x:v>7月30日现场数据</x:v>
      </x:c>
      <x:c r="B61" s="66" t="str">
        <x:v>2026-07-30T18:25:55.483000</x:v>
      </x:c>
      <x:c r="C61" s="47" t="n">
        <x:v>300966</x:v>
      </x:c>
      <x:c r="D61" s="47" t="str"/>
      <x:c r="E61" s="47" t="str"/>
      <x:c r="F61" s="47" t="str">
        <x:v>current</x:v>
      </x:c>
      <x:c r="G61" s="47" t="n">
        <x:v>57</x:v>
      </x:c>
      <x:c r="H61" s="53" t="b">
        <x:v>1</x:v>
      </x:c>
      <x:c r="I61" s="47" t="str">
        <x:v>3906736965</x:v>
      </x:c>
      <x:c r="J61" s="47" t="n">
        <x:v>17276271</x:v>
      </x:c>
      <x:c r="K61" s="53" t="b">
        <x:v>1</x:v>
      </x:c>
      <x:c r="L61" s="53" t="b">
        <x:v>1</x:v>
      </x:c>
      <x:c r="M61" s="53" t="b">
        <x:v>1</x:v>
      </x:c>
      <x:c r="N61" s="53" t="b">
        <x:v>1</x:v>
      </x:c>
      <x:c r="O61" s="53" t="b">
        <x:v>1</x:v>
      </x:c>
      <x:c r="P61" s="47" t="n">
        <x:v>1009</x:v>
      </x:c>
      <x:c r="Q61" s="47" t="n">
        <x:v>0</x:v>
      </x:c>
      <x:c r="R61" s="47" t="n">
        <x:v>0</x:v>
      </x:c>
      <x:c r="S61" s="47" t="n">
        <x:v>30.35</x:v>
      </x:c>
      <x:c r="T61" s="47" t="n">
        <x:v>58.07</x:v>
      </x:c>
      <x:c r="U61" s="47" t="n">
        <x:v>31.1</x:v>
      </x:c>
      <x:c r="V61" s="47" t="n">
        <x:v>13.8</x:v>
      </x:c>
      <x:c r="W61" s="47" t="n">
        <x:v>1</x:v>
      </x:c>
      <x:c r="X61" s="47" t="n">
        <x:v>6</x:v>
      </x:c>
      <x:c r="Y61" s="41" t="n">
        <x:v>5</x:v>
      </x:c>
    </x:row>
    <x:row r="62">
      <x:c r="A62" s="38" t="str">
        <x:v>7月30日现场数据</x:v>
      </x:c>
      <x:c r="B62" s="66" t="str">
        <x:v>2026-07-30T18:30:56.450000</x:v>
      </x:c>
      <x:c r="C62" s="47" t="n">
        <x:v>300967</x:v>
      </x:c>
      <x:c r="D62" s="47" t="str"/>
      <x:c r="E62" s="47" t="str"/>
      <x:c r="F62" s="47" t="str">
        <x:v>current</x:v>
      </x:c>
      <x:c r="G62" s="47" t="n">
        <x:v>58</x:v>
      </x:c>
      <x:c r="H62" s="53" t="b">
        <x:v>1</x:v>
      </x:c>
      <x:c r="I62" s="47" t="str">
        <x:v>3906736965</x:v>
      </x:c>
      <x:c r="J62" s="47" t="n">
        <x:v>17577238</x:v>
      </x:c>
      <x:c r="K62" s="53" t="b">
        <x:v>1</x:v>
      </x:c>
      <x:c r="L62" s="53" t="b">
        <x:v>1</x:v>
      </x:c>
      <x:c r="M62" s="53" t="b">
        <x:v>1</x:v>
      </x:c>
      <x:c r="N62" s="53" t="b">
        <x:v>1</x:v>
      </x:c>
      <x:c r="O62" s="53" t="b">
        <x:v>1</x:v>
      </x:c>
      <x:c r="P62" s="47" t="n">
        <x:v>1009</x:v>
      </x:c>
      <x:c r="Q62" s="47" t="n">
        <x:v>0</x:v>
      </x:c>
      <x:c r="R62" s="47" t="n">
        <x:v>0</x:v>
      </x:c>
      <x:c r="S62" s="47" t="n">
        <x:v>30.27</x:v>
      </x:c>
      <x:c r="T62" s="47" t="n">
        <x:v>58.26</x:v>
      </x:c>
      <x:c r="U62" s="47" t="n">
        <x:v>31.1</x:v>
      </x:c>
      <x:c r="V62" s="47" t="n">
        <x:v>13.8</x:v>
      </x:c>
      <x:c r="W62" s="47" t="n">
        <x:v>1</x:v>
      </x:c>
      <x:c r="X62" s="47" t="n">
        <x:v>3</x:v>
      </x:c>
      <x:c r="Y62" s="41" t="n">
        <x:v>2</x:v>
      </x:c>
    </x:row>
    <x:row r="63">
      <x:c r="A63" s="38" t="str">
        <x:v>7月30日现场数据</x:v>
      </x:c>
      <x:c r="B63" s="66" t="str">
        <x:v>2026-07-30T18:35:57.421000</x:v>
      </x:c>
      <x:c r="C63" s="47" t="n">
        <x:v>300971</x:v>
      </x:c>
      <x:c r="D63" s="47" t="str"/>
      <x:c r="E63" s="47" t="str"/>
      <x:c r="F63" s="47" t="str">
        <x:v>current</x:v>
      </x:c>
      <x:c r="G63" s="47" t="n">
        <x:v>59</x:v>
      </x:c>
      <x:c r="H63" s="53" t="b">
        <x:v>1</x:v>
      </x:c>
      <x:c r="I63" s="47" t="str">
        <x:v>3906736965</x:v>
      </x:c>
      <x:c r="J63" s="47" t="n">
        <x:v>17878209</x:v>
      </x:c>
      <x:c r="K63" s="53" t="b">
        <x:v>1</x:v>
      </x:c>
      <x:c r="L63" s="53" t="b">
        <x:v>1</x:v>
      </x:c>
      <x:c r="M63" s="53" t="b">
        <x:v>1</x:v>
      </x:c>
      <x:c r="N63" s="53" t="b">
        <x:v>1</x:v>
      </x:c>
      <x:c r="O63" s="53" t="b">
        <x:v>1</x:v>
      </x:c>
      <x:c r="P63" s="47" t="n">
        <x:v>1009</x:v>
      </x:c>
      <x:c r="Q63" s="47" t="n">
        <x:v>0</x:v>
      </x:c>
      <x:c r="R63" s="47" t="n">
        <x:v>0</x:v>
      </x:c>
      <x:c r="S63" s="47" t="n">
        <x:v>30.27</x:v>
      </x:c>
      <x:c r="T63" s="47" t="n">
        <x:v>58.43</x:v>
      </x:c>
      <x:c r="U63" s="47" t="n">
        <x:v>31</x:v>
      </x:c>
      <x:c r="V63" s="47" t="n">
        <x:v>13.8</x:v>
      </x:c>
      <x:c r="W63" s="47" t="n">
        <x:v>0</x:v>
      </x:c>
      <x:c r="X63" s="47" t="n">
        <x:v>2</x:v>
      </x:c>
      <x:c r="Y63" s="41" t="n">
        <x:v>2</x:v>
      </x:c>
    </x:row>
    <x:row r="64">
      <x:c r="A64" s="38" t="str">
        <x:v>7月30日现场数据</x:v>
      </x:c>
      <x:c r="B64" s="66" t="str">
        <x:v>2026-07-30T18:40:58.395000</x:v>
      </x:c>
      <x:c r="C64" s="47" t="n">
        <x:v>300974</x:v>
      </x:c>
      <x:c r="D64" s="47" t="str"/>
      <x:c r="E64" s="47" t="str"/>
      <x:c r="F64" s="47" t="str">
        <x:v>current</x:v>
      </x:c>
      <x:c r="G64" s="47" t="n">
        <x:v>60</x:v>
      </x:c>
      <x:c r="H64" s="53" t="b">
        <x:v>1</x:v>
      </x:c>
      <x:c r="I64" s="47" t="str">
        <x:v>3906736965</x:v>
      </x:c>
      <x:c r="J64" s="47" t="n">
        <x:v>18179183</x:v>
      </x:c>
      <x:c r="K64" s="53" t="b">
        <x:v>1</x:v>
      </x:c>
      <x:c r="L64" s="53" t="b">
        <x:v>1</x:v>
      </x:c>
      <x:c r="M64" s="53" t="b">
        <x:v>1</x:v>
      </x:c>
      <x:c r="N64" s="53" t="b">
        <x:v>1</x:v>
      </x:c>
      <x:c r="O64" s="53" t="b">
        <x:v>1</x:v>
      </x:c>
      <x:c r="P64" s="47" t="n">
        <x:v>1009</x:v>
      </x:c>
      <x:c r="Q64" s="47" t="n">
        <x:v>0</x:v>
      </x:c>
      <x:c r="R64" s="47" t="n">
        <x:v>0</x:v>
      </x:c>
      <x:c r="S64" s="47" t="n">
        <x:v>30.41</x:v>
      </x:c>
      <x:c r="T64" s="47" t="n">
        <x:v>58.58</x:v>
      </x:c>
      <x:c r="U64" s="47" t="n">
        <x:v>31</x:v>
      </x:c>
      <x:c r="V64" s="47" t="n">
        <x:v>13.8</x:v>
      </x:c>
      <x:c r="W64" s="47" t="n">
        <x:v>1</x:v>
      </x:c>
      <x:c r="X64" s="47" t="n">
        <x:v>2</x:v>
      </x:c>
      <x:c r="Y64" s="41" t="n">
        <x:v>1</x:v>
      </x:c>
    </x:row>
    <x:row r="65">
      <x:c r="A65" s="38" t="str">
        <x:v>7月30日现场数据</x:v>
      </x:c>
      <x:c r="B65" s="66" t="str">
        <x:v>2026-07-30T18:45:59.370000</x:v>
      </x:c>
      <x:c r="C65" s="47" t="n">
        <x:v>300975</x:v>
      </x:c>
      <x:c r="D65" s="47" t="str"/>
      <x:c r="E65" s="47" t="str"/>
      <x:c r="F65" s="47" t="str">
        <x:v>current</x:v>
      </x:c>
      <x:c r="G65" s="47" t="n">
        <x:v>61</x:v>
      </x:c>
      <x:c r="H65" s="53" t="b">
        <x:v>1</x:v>
      </x:c>
      <x:c r="I65" s="47" t="str">
        <x:v>3906736965</x:v>
      </x:c>
      <x:c r="J65" s="47" t="n">
        <x:v>18480158</x:v>
      </x:c>
      <x:c r="K65" s="53" t="b">
        <x:v>1</x:v>
      </x:c>
      <x:c r="L65" s="53" t="b">
        <x:v>1</x:v>
      </x:c>
      <x:c r="M65" s="53" t="b">
        <x:v>1</x:v>
      </x:c>
      <x:c r="N65" s="53" t="b">
        <x:v>1</x:v>
      </x:c>
      <x:c r="O65" s="53" t="b">
        <x:v>1</x:v>
      </x:c>
      <x:c r="P65" s="47" t="n">
        <x:v>1009</x:v>
      </x:c>
      <x:c r="Q65" s="47" t="n">
        <x:v>0</x:v>
      </x:c>
      <x:c r="R65" s="47" t="n">
        <x:v>0</x:v>
      </x:c>
      <x:c r="S65" s="47" t="n">
        <x:v>30.43</x:v>
      </x:c>
      <x:c r="T65" s="47" t="n">
        <x:v>58.74</x:v>
      </x:c>
      <x:c r="U65" s="47" t="n">
        <x:v>30.9</x:v>
      </x:c>
      <x:c r="V65" s="47" t="n">
        <x:v>13.8</x:v>
      </x:c>
      <x:c r="W65" s="47" t="n">
        <x:v>0</x:v>
      </x:c>
      <x:c r="X65" s="47" t="n">
        <x:v>1</x:v>
      </x:c>
      <x:c r="Y65" s="41" t="n">
        <x:v>1</x:v>
      </x:c>
    </x:row>
    <x:row r="66">
      <x:c r="A66" s="38" t="str">
        <x:v>7月30日现场数据</x:v>
      </x:c>
      <x:c r="B66" s="66" t="str">
        <x:v>2026-07-30T18:51:00.346000</x:v>
      </x:c>
      <x:c r="C66" s="47" t="n">
        <x:v>300976</x:v>
      </x:c>
      <x:c r="D66" s="47" t="str"/>
      <x:c r="E66" s="47" t="str"/>
      <x:c r="F66" s="47" t="str">
        <x:v>current</x:v>
      </x:c>
      <x:c r="G66" s="47" t="n">
        <x:v>62</x:v>
      </x:c>
      <x:c r="H66" s="53" t="b">
        <x:v>1</x:v>
      </x:c>
      <x:c r="I66" s="47" t="str">
        <x:v>3906736965</x:v>
      </x:c>
      <x:c r="J66" s="47" t="n">
        <x:v>18781134</x:v>
      </x:c>
      <x:c r="K66" s="53" t="b">
        <x:v>1</x:v>
      </x:c>
      <x:c r="L66" s="53" t="b">
        <x:v>1</x:v>
      </x:c>
      <x:c r="M66" s="53" t="b">
        <x:v>1</x:v>
      </x:c>
      <x:c r="N66" s="53" t="b">
        <x:v>1</x:v>
      </x:c>
      <x:c r="O66" s="53" t="b">
        <x:v>1</x:v>
      </x:c>
      <x:c r="P66" s="47" t="n">
        <x:v>1009</x:v>
      </x:c>
      <x:c r="Q66" s="47" t="n">
        <x:v>0</x:v>
      </x:c>
      <x:c r="R66" s="47" t="n">
        <x:v>0</x:v>
      </x:c>
      <x:c r="S66" s="47" t="n">
        <x:v>30.44</x:v>
      </x:c>
      <x:c r="T66" s="47" t="n">
        <x:v>58.96</x:v>
      </x:c>
      <x:c r="U66" s="47" t="n">
        <x:v>30.9</x:v>
      </x:c>
      <x:c r="V66" s="47" t="n">
        <x:v>13.8</x:v>
      </x:c>
      <x:c r="W66" s="47" t="n">
        <x:v>0</x:v>
      </x:c>
      <x:c r="X66" s="47" t="n">
        <x:v>1</x:v>
      </x:c>
      <x:c r="Y66" s="41" t="n">
        <x:v>1</x:v>
      </x:c>
    </x:row>
    <x:row r="67">
      <x:c r="A67" s="38" t="str">
        <x:v>7月30日现场数据</x:v>
      </x:c>
      <x:c r="B67" s="66" t="str">
        <x:v>2026-07-30T18:56:01.323000</x:v>
      </x:c>
      <x:c r="C67" s="47" t="n">
        <x:v>300977</x:v>
      </x:c>
      <x:c r="D67" s="47" t="str"/>
      <x:c r="E67" s="47" t="str"/>
      <x:c r="F67" s="47" t="str">
        <x:v>current</x:v>
      </x:c>
      <x:c r="G67" s="47" t="n">
        <x:v>63</x:v>
      </x:c>
      <x:c r="H67" s="53" t="b">
        <x:v>1</x:v>
      </x:c>
      <x:c r="I67" s="47" t="str">
        <x:v>3906736965</x:v>
      </x:c>
      <x:c r="J67" s="47" t="n">
        <x:v>19082111</x:v>
      </x:c>
      <x:c r="K67" s="53" t="b">
        <x:v>1</x:v>
      </x:c>
      <x:c r="L67" s="53" t="b">
        <x:v>1</x:v>
      </x:c>
      <x:c r="M67" s="53" t="b">
        <x:v>1</x:v>
      </x:c>
      <x:c r="N67" s="53" t="b">
        <x:v>1</x:v>
      </x:c>
      <x:c r="O67" s="53" t="b">
        <x:v>1</x:v>
      </x:c>
      <x:c r="P67" s="47" t="n">
        <x:v>1009</x:v>
      </x:c>
      <x:c r="Q67" s="47" t="n">
        <x:v>0</x:v>
      </x:c>
      <x:c r="R67" s="47" t="n">
        <x:v>0</x:v>
      </x:c>
      <x:c r="S67" s="47" t="n">
        <x:v>30.53</x:v>
      </x:c>
      <x:c r="T67" s="47" t="n">
        <x:v>59.16</x:v>
      </x:c>
      <x:c r="U67" s="47" t="n">
        <x:v>30.8</x:v>
      </x:c>
      <x:c r="V67" s="47" t="n">
        <x:v>13.8</x:v>
      </x:c>
      <x:c r="W67" s="47" t="n">
        <x:v>0</x:v>
      </x:c>
      <x:c r="X67" s="47" t="n">
        <x:v>0</x:v>
      </x:c>
      <x:c r="Y67" s="41" t="n">
        <x:v>0</x:v>
      </x:c>
    </x:row>
    <x:row r="68">
      <x:c r="A68" s="38" t="str">
        <x:v>7月30日现场数据</x:v>
      </x:c>
      <x:c r="B68" s="66" t="str">
        <x:v>2026-07-30T19:01:02.304000</x:v>
      </x:c>
      <x:c r="C68" s="47" t="n">
        <x:v>300981</x:v>
      </x:c>
      <x:c r="D68" s="47" t="str"/>
      <x:c r="E68" s="47" t="str"/>
      <x:c r="F68" s="47" t="str">
        <x:v>current</x:v>
      </x:c>
      <x:c r="G68" s="47" t="n">
        <x:v>64</x:v>
      </x:c>
      <x:c r="H68" s="53" t="b">
        <x:v>1</x:v>
      </x:c>
      <x:c r="I68" s="47" t="str">
        <x:v>3906736965</x:v>
      </x:c>
      <x:c r="J68" s="47" t="n">
        <x:v>19383092</x:v>
      </x:c>
      <x:c r="K68" s="53" t="b">
        <x:v>1</x:v>
      </x:c>
      <x:c r="L68" s="53" t="b">
        <x:v>1</x:v>
      </x:c>
      <x:c r="M68" s="53" t="b">
        <x:v>1</x:v>
      </x:c>
      <x:c r="N68" s="53" t="b">
        <x:v>1</x:v>
      </x:c>
      <x:c r="O68" s="53" t="b">
        <x:v>1</x:v>
      </x:c>
      <x:c r="P68" s="47" t="n">
        <x:v>1010</x:v>
      </x:c>
      <x:c r="Q68" s="47" t="n">
        <x:v>0</x:v>
      </x:c>
      <x:c r="R68" s="47" t="n">
        <x:v>0</x:v>
      </x:c>
      <x:c r="S68" s="47" t="n">
        <x:v>30.49</x:v>
      </x:c>
      <x:c r="T68" s="47" t="n">
        <x:v>59.2</x:v>
      </x:c>
      <x:c r="U68" s="47" t="n">
        <x:v>30.7</x:v>
      </x:c>
      <x:c r="V68" s="47" t="n">
        <x:v>13.8</x:v>
      </x:c>
      <x:c r="W68" s="47" t="n">
        <x:v>0</x:v>
      </x:c>
      <x:c r="X68" s="47" t="n">
        <x:v>0</x:v>
      </x:c>
      <x:c r="Y68" s="41" t="n">
        <x:v>0</x:v>
      </x:c>
    </x:row>
    <x:row r="69">
      <x:c r="A69" s="38" t="str">
        <x:v>7月30日现场数据</x:v>
      </x:c>
      <x:c r="B69" s="66" t="str">
        <x:v>2026-07-30T19:06:03.285000</x:v>
      </x:c>
      <x:c r="C69" s="47" t="n">
        <x:v>300981</x:v>
      </x:c>
      <x:c r="D69" s="47" t="str"/>
      <x:c r="E69" s="47" t="str"/>
      <x:c r="F69" s="47" t="str">
        <x:v>current</x:v>
      </x:c>
      <x:c r="G69" s="47" t="n">
        <x:v>65</x:v>
      </x:c>
      <x:c r="H69" s="53" t="b">
        <x:v>1</x:v>
      </x:c>
      <x:c r="I69" s="47" t="str">
        <x:v>3906736965</x:v>
      </x:c>
      <x:c r="J69" s="47" t="n">
        <x:v>19684073</x:v>
      </x:c>
      <x:c r="K69" s="53" t="b">
        <x:v>1</x:v>
      </x:c>
      <x:c r="L69" s="53" t="b">
        <x:v>1</x:v>
      </x:c>
      <x:c r="M69" s="53" t="b">
        <x:v>1</x:v>
      </x:c>
      <x:c r="N69" s="53" t="b">
        <x:v>1</x:v>
      </x:c>
      <x:c r="O69" s="53" t="b">
        <x:v>1</x:v>
      </x:c>
      <x:c r="P69" s="47" t="n">
        <x:v>1009</x:v>
      </x:c>
      <x:c r="Q69" s="47" t="n">
        <x:v>0</x:v>
      </x:c>
      <x:c r="R69" s="47" t="n">
        <x:v>0</x:v>
      </x:c>
      <x:c r="S69" s="47" t="n">
        <x:v>30.45</x:v>
      </x:c>
      <x:c r="T69" s="47" t="n">
        <x:v>59.45</x:v>
      </x:c>
      <x:c r="U69" s="47" t="n">
        <x:v>30.7</x:v>
      </x:c>
      <x:c r="V69" s="47" t="n">
        <x:v>13.8</x:v>
      </x:c>
      <x:c r="W69" s="47" t="n">
        <x:v>0</x:v>
      </x:c>
      <x:c r="X69" s="47" t="n">
        <x:v>0</x:v>
      </x:c>
      <x:c r="Y69" s="41" t="n">
        <x:v>0</x:v>
      </x:c>
    </x:row>
    <x:row r="70">
      <x:c r="A70" s="38" t="str">
        <x:v>7月30日现场数据</x:v>
      </x:c>
      <x:c r="B70" s="66" t="str">
        <x:v>2026-07-30T19:11:04.266000</x:v>
      </x:c>
      <x:c r="C70" s="47" t="n">
        <x:v>300981</x:v>
      </x:c>
      <x:c r="D70" s="47" t="str"/>
      <x:c r="E70" s="47" t="str"/>
      <x:c r="F70" s="47" t="str">
        <x:v>current</x:v>
      </x:c>
      <x:c r="G70" s="47" t="n">
        <x:v>66</x:v>
      </x:c>
      <x:c r="H70" s="53" t="b">
        <x:v>1</x:v>
      </x:c>
      <x:c r="I70" s="47" t="str">
        <x:v>3906736965</x:v>
      </x:c>
      <x:c r="J70" s="47" t="n">
        <x:v>19985054</x:v>
      </x:c>
      <x:c r="K70" s="53" t="b">
        <x:v>1</x:v>
      </x:c>
      <x:c r="L70" s="53" t="b">
        <x:v>1</x:v>
      </x:c>
      <x:c r="M70" s="53" t="b">
        <x:v>1</x:v>
      </x:c>
      <x:c r="N70" s="53" t="b">
        <x:v>1</x:v>
      </x:c>
      <x:c r="O70" s="53" t="b">
        <x:v>1</x:v>
      </x:c>
      <x:c r="P70" s="47" t="n">
        <x:v>1010</x:v>
      </x:c>
      <x:c r="Q70" s="47" t="n">
        <x:v>0.048</x:v>
      </x:c>
      <x:c r="R70" s="47" t="n">
        <x:v>1.286</x:v>
      </x:c>
      <x:c r="S70" s="47" t="n">
        <x:v>30.49</x:v>
      </x:c>
      <x:c r="T70" s="47" t="n">
        <x:v>59.53</x:v>
      </x:c>
      <x:c r="U70" s="47" t="n">
        <x:v>30.6</x:v>
      </x:c>
      <x:c r="V70" s="47" t="n">
        <x:v>13.9</x:v>
      </x:c>
      <x:c r="W70" s="47" t="n">
        <x:v>0</x:v>
      </x:c>
      <x:c r="X70" s="47" t="n">
        <x:v>0</x:v>
      </x:c>
      <x:c r="Y70" s="41" t="n">
        <x:v>0</x:v>
      </x:c>
    </x:row>
    <x:row r="71">
      <x:c r="A71" s="38" t="str">
        <x:v>7月30日现场数据</x:v>
      </x:c>
      <x:c r="B71" s="66" t="str">
        <x:v>2026-07-30T19:16:05.252000</x:v>
      </x:c>
      <x:c r="C71" s="47" t="n">
        <x:v>300986</x:v>
      </x:c>
      <x:c r="D71" s="47" t="str"/>
      <x:c r="E71" s="47" t="str"/>
      <x:c r="F71" s="47" t="str">
        <x:v>current</x:v>
      </x:c>
      <x:c r="G71" s="47" t="n">
        <x:v>67</x:v>
      </x:c>
      <x:c r="H71" s="53" t="b">
        <x:v>1</x:v>
      </x:c>
      <x:c r="I71" s="47" t="str">
        <x:v>3906736965</x:v>
      </x:c>
      <x:c r="J71" s="47" t="n">
        <x:v>20286040</x:v>
      </x:c>
      <x:c r="K71" s="53" t="b">
        <x:v>1</x:v>
      </x:c>
      <x:c r="L71" s="53" t="b">
        <x:v>1</x:v>
      </x:c>
      <x:c r="M71" s="53" t="b">
        <x:v>1</x:v>
      </x:c>
      <x:c r="N71" s="53" t="b">
        <x:v>1</x:v>
      </x:c>
      <x:c r="O71" s="53" t="b">
        <x:v>1</x:v>
      </x:c>
      <x:c r="P71" s="47" t="n">
        <x:v>1010</x:v>
      </x:c>
      <x:c r="Q71" s="47" t="n">
        <x:v>0</x:v>
      </x:c>
      <x:c r="R71" s="47" t="n">
        <x:v>0</x:v>
      </x:c>
      <x:c r="S71" s="47" t="n">
        <x:v>30.62</x:v>
      </x:c>
      <x:c r="T71" s="47" t="n">
        <x:v>59.72</x:v>
      </x:c>
      <x:c r="U71" s="47" t="n">
        <x:v>30.6</x:v>
      </x:c>
      <x:c r="V71" s="47" t="n">
        <x:v>13.9</x:v>
      </x:c>
      <x:c r="W71" s="47" t="n">
        <x:v>0</x:v>
      </x:c>
      <x:c r="X71" s="47" t="n">
        <x:v>0</x:v>
      </x:c>
      <x:c r="Y71" s="41" t="n">
        <x:v>0</x:v>
      </x:c>
    </x:row>
    <x:row r="72">
      <x:c r="A72" s="38" t="str">
        <x:v>7月30日现场数据</x:v>
      </x:c>
      <x:c r="B72" s="66" t="str">
        <x:v>2026-07-30T19:21:06.239000</x:v>
      </x:c>
      <x:c r="C72" s="47" t="n">
        <x:v>300987</x:v>
      </x:c>
      <x:c r="D72" s="47" t="str"/>
      <x:c r="E72" s="47" t="str"/>
      <x:c r="F72" s="47" t="str">
        <x:v>current</x:v>
      </x:c>
      <x:c r="G72" s="47" t="n">
        <x:v>68</x:v>
      </x:c>
      <x:c r="H72" s="53" t="b">
        <x:v>1</x:v>
      </x:c>
      <x:c r="I72" s="47" t="str">
        <x:v>3906736965</x:v>
      </x:c>
      <x:c r="J72" s="47" t="n">
        <x:v>20587027</x:v>
      </x:c>
      <x:c r="K72" s="53" t="b">
        <x:v>1</x:v>
      </x:c>
      <x:c r="L72" s="53" t="b">
        <x:v>1</x:v>
      </x:c>
      <x:c r="M72" s="53" t="b">
        <x:v>1</x:v>
      </x:c>
      <x:c r="N72" s="53" t="b">
        <x:v>1</x:v>
      </x:c>
      <x:c r="O72" s="53" t="b">
        <x:v>1</x:v>
      </x:c>
      <x:c r="P72" s="47" t="n">
        <x:v>1010</x:v>
      </x:c>
      <x:c r="Q72" s="47" t="n">
        <x:v>0</x:v>
      </x:c>
      <x:c r="R72" s="47" t="n">
        <x:v>0</x:v>
      </x:c>
      <x:c r="S72" s="47" t="n">
        <x:v>30.98</x:v>
      </x:c>
      <x:c r="T72" s="47" t="n">
        <x:v>59.91</x:v>
      </x:c>
      <x:c r="U72" s="47" t="n">
        <x:v>30.5</x:v>
      </x:c>
      <x:c r="V72" s="47" t="n">
        <x:v>13.9</x:v>
      </x:c>
      <x:c r="W72" s="47" t="n">
        <x:v>0</x:v>
      </x:c>
      <x:c r="X72" s="47" t="n">
        <x:v>0</x:v>
      </x:c>
      <x:c r="Y72" s="41" t="n">
        <x:v>0</x:v>
      </x:c>
    </x:row>
    <x:row r="73">
      <x:c r="A73" s="38" t="str">
        <x:v>7月30日现场数据</x:v>
      </x:c>
      <x:c r="B73" s="66" t="str">
        <x:v>2026-07-30T19:26:07.229000</x:v>
      </x:c>
      <x:c r="C73" s="47" t="n">
        <x:v>300990</x:v>
      </x:c>
      <x:c r="D73" s="47" t="str"/>
      <x:c r="E73" s="47" t="str"/>
      <x:c r="F73" s="47" t="str">
        <x:v>current</x:v>
      </x:c>
      <x:c r="G73" s="47" t="n">
        <x:v>69</x:v>
      </x:c>
      <x:c r="H73" s="53" t="b">
        <x:v>1</x:v>
      </x:c>
      <x:c r="I73" s="47" t="str">
        <x:v>3906736965</x:v>
      </x:c>
      <x:c r="J73" s="47" t="n">
        <x:v>20888017</x:v>
      </x:c>
      <x:c r="K73" s="53" t="b">
        <x:v>1</x:v>
      </x:c>
      <x:c r="L73" s="53" t="b">
        <x:v>1</x:v>
      </x:c>
      <x:c r="M73" s="53" t="b">
        <x:v>1</x:v>
      </x:c>
      <x:c r="N73" s="53" t="b">
        <x:v>1</x:v>
      </x:c>
      <x:c r="O73" s="53" t="b">
        <x:v>1</x:v>
      </x:c>
      <x:c r="P73" s="47" t="n">
        <x:v>1010</x:v>
      </x:c>
      <x:c r="Q73" s="47" t="n">
        <x:v>0</x:v>
      </x:c>
      <x:c r="R73" s="47" t="n">
        <x:v>0</x:v>
      </x:c>
      <x:c r="S73" s="47" t="n">
        <x:v>31.12</x:v>
      </x:c>
      <x:c r="T73" s="47" t="n">
        <x:v>60.1</x:v>
      </x:c>
      <x:c r="U73" s="47" t="n">
        <x:v>30.5</x:v>
      </x:c>
      <x:c r="V73" s="47" t="n">
        <x:v>13.9</x:v>
      </x:c>
      <x:c r="W73" s="47" t="n">
        <x:v>0</x:v>
      </x:c>
      <x:c r="X73" s="47" t="n">
        <x:v>0</x:v>
      </x:c>
      <x:c r="Y73" s="41" t="n">
        <x:v>0</x:v>
      </x:c>
    </x:row>
    <x:row r="74">
      <x:c r="A74" s="38" t="str">
        <x:v>7月30日现场数据</x:v>
      </x:c>
      <x:c r="B74" s="66" t="str">
        <x:v>2026-07-30T19:31:08.250000</x:v>
      </x:c>
      <x:c r="C74" s="47" t="n">
        <x:v>301021</x:v>
      </x:c>
      <x:c r="D74" s="47" t="str"/>
      <x:c r="E74" s="47" t="str"/>
      <x:c r="F74" s="47" t="str">
        <x:v>current</x:v>
      </x:c>
      <x:c r="G74" s="47" t="n">
        <x:v>70</x:v>
      </x:c>
      <x:c r="H74" s="53" t="b">
        <x:v>1</x:v>
      </x:c>
      <x:c r="I74" s="47" t="str">
        <x:v>3906736965</x:v>
      </x:c>
      <x:c r="J74" s="47" t="n">
        <x:v>21189038</x:v>
      </x:c>
      <x:c r="K74" s="53" t="b">
        <x:v>1</x:v>
      </x:c>
      <x:c r="L74" s="53" t="b">
        <x:v>1</x:v>
      </x:c>
      <x:c r="M74" s="53" t="b">
        <x:v>1</x:v>
      </x:c>
      <x:c r="N74" s="53" t="b">
        <x:v>1</x:v>
      </x:c>
      <x:c r="O74" s="53" t="b">
        <x:v>1</x:v>
      </x:c>
      <x:c r="P74" s="47" t="n">
        <x:v>1010</x:v>
      </x:c>
      <x:c r="Q74" s="47" t="n">
        <x:v>0</x:v>
      </x:c>
      <x:c r="R74" s="47" t="n">
        <x:v>0</x:v>
      </x:c>
      <x:c r="S74" s="47" t="n">
        <x:v>31.43</x:v>
      </x:c>
      <x:c r="T74" s="47" t="n">
        <x:v>60.36</x:v>
      </x:c>
      <x:c r="U74" s="47" t="n">
        <x:v>30.4</x:v>
      </x:c>
      <x:c r="V74" s="47" t="n">
        <x:v>13.9</x:v>
      </x:c>
      <x:c r="W74" s="47" t="n">
        <x:v>0</x:v>
      </x:c>
      <x:c r="X74" s="47" t="n">
        <x:v>0</x:v>
      </x:c>
      <x:c r="Y74" s="41" t="n">
        <x:v>0</x:v>
      </x:c>
    </x:row>
    <x:row r="75">
      <x:c r="A75" s="38" t="str">
        <x:v>7月30日现场数据</x:v>
      </x:c>
      <x:c r="B75" s="66" t="str">
        <x:v>2026-07-30T19:36:09.217000</x:v>
      </x:c>
      <x:c r="C75" s="47" t="n">
        <x:v>300967</x:v>
      </x:c>
      <x:c r="D75" s="47" t="str"/>
      <x:c r="E75" s="47" t="str"/>
      <x:c r="F75" s="47" t="str">
        <x:v>current</x:v>
      </x:c>
      <x:c r="G75" s="47" t="n">
        <x:v>71</x:v>
      </x:c>
      <x:c r="H75" s="53" t="b">
        <x:v>1</x:v>
      </x:c>
      <x:c r="I75" s="47" t="str">
        <x:v>3906736965</x:v>
      </x:c>
      <x:c r="J75" s="47" t="n">
        <x:v>21490005</x:v>
      </x:c>
      <x:c r="K75" s="53" t="b">
        <x:v>1</x:v>
      </x:c>
      <x:c r="L75" s="53" t="b">
        <x:v>1</x:v>
      </x:c>
      <x:c r="M75" s="53" t="b">
        <x:v>1</x:v>
      </x:c>
      <x:c r="N75" s="53" t="b">
        <x:v>1</x:v>
      </x:c>
      <x:c r="O75" s="53" t="b">
        <x:v>1</x:v>
      </x:c>
      <x:c r="P75" s="47" t="n">
        <x:v>1010</x:v>
      </x:c>
      <x:c r="Q75" s="47" t="n">
        <x:v>0</x:v>
      </x:c>
      <x:c r="R75" s="47" t="n">
        <x:v>0</x:v>
      </x:c>
      <x:c r="S75" s="47" t="n">
        <x:v>31.46</x:v>
      </x:c>
      <x:c r="T75" s="47" t="n">
        <x:v>60.48</x:v>
      </x:c>
      <x:c r="U75" s="47" t="n">
        <x:v>30.4</x:v>
      </x:c>
      <x:c r="V75" s="47" t="n">
        <x:v>13.9</x:v>
      </x:c>
      <x:c r="W75" s="47" t="n">
        <x:v>0</x:v>
      </x:c>
      <x:c r="X75" s="47" t="n">
        <x:v>0</x:v>
      </x:c>
      <x:c r="Y75" s="41" t="n">
        <x:v>0</x:v>
      </x:c>
    </x:row>
    <x:row r="76">
      <x:c r="A76" s="38" t="str">
        <x:v>7月30日现场数据</x:v>
      </x:c>
      <x:c r="B76" s="66" t="str">
        <x:v>2026-07-30T19:41:10.188000</x:v>
      </x:c>
      <x:c r="C76" s="47" t="n">
        <x:v>300971</x:v>
      </x:c>
      <x:c r="D76" s="47" t="str"/>
      <x:c r="E76" s="47" t="str"/>
      <x:c r="F76" s="47" t="str">
        <x:v>current</x:v>
      </x:c>
      <x:c r="G76" s="47" t="n">
        <x:v>72</x:v>
      </x:c>
      <x:c r="H76" s="53" t="b">
        <x:v>1</x:v>
      </x:c>
      <x:c r="I76" s="47" t="str">
        <x:v>3906736965</x:v>
      </x:c>
      <x:c r="J76" s="47" t="n">
        <x:v>21790976</x:v>
      </x:c>
      <x:c r="K76" s="53" t="b">
        <x:v>1</x:v>
      </x:c>
      <x:c r="L76" s="53" t="b">
        <x:v>1</x:v>
      </x:c>
      <x:c r="M76" s="53" t="b">
        <x:v>1</x:v>
      </x:c>
      <x:c r="N76" s="53" t="b">
        <x:v>1</x:v>
      </x:c>
      <x:c r="O76" s="53" t="b">
        <x:v>1</x:v>
      </x:c>
      <x:c r="P76" s="47" t="n">
        <x:v>1010</x:v>
      </x:c>
      <x:c r="Q76" s="47" t="n">
        <x:v>0.026</x:v>
      </x:c>
      <x:c r="R76" s="47" t="n">
        <x:v>0.692</x:v>
      </x:c>
      <x:c r="S76" s="47" t="n">
        <x:v>31.33</x:v>
      </x:c>
      <x:c r="T76" s="47" t="n">
        <x:v>60.55</x:v>
      </x:c>
      <x:c r="U76" s="47" t="n">
        <x:v>30.4</x:v>
      </x:c>
      <x:c r="V76" s="47" t="n">
        <x:v>13.9</x:v>
      </x:c>
      <x:c r="W76" s="47" t="n">
        <x:v>0</x:v>
      </x:c>
      <x:c r="X76" s="47" t="n">
        <x:v>0</x:v>
      </x:c>
      <x:c r="Y76" s="41" t="n">
        <x:v>0</x:v>
      </x:c>
    </x:row>
    <x:row r="77">
      <x:c r="A77" s="38" t="str">
        <x:v>7月30日现场数据</x:v>
      </x:c>
      <x:c r="B77" s="66" t="str">
        <x:v>2026-07-30T19:46:11.159000</x:v>
      </x:c>
      <x:c r="C77" s="47" t="n">
        <x:v>300971</x:v>
      </x:c>
      <x:c r="D77" s="47" t="str"/>
      <x:c r="E77" s="47" t="str"/>
      <x:c r="F77" s="47" t="str">
        <x:v>current</x:v>
      </x:c>
      <x:c r="G77" s="47" t="n">
        <x:v>73</x:v>
      </x:c>
      <x:c r="H77" s="53" t="b">
        <x:v>1</x:v>
      </x:c>
      <x:c r="I77" s="47" t="str">
        <x:v>3906736965</x:v>
      </x:c>
      <x:c r="J77" s="47" t="n">
        <x:v>22091947</x:v>
      </x:c>
      <x:c r="K77" s="53" t="b">
        <x:v>1</x:v>
      </x:c>
      <x:c r="L77" s="53" t="b">
        <x:v>1</x:v>
      </x:c>
      <x:c r="M77" s="53" t="b">
        <x:v>1</x:v>
      </x:c>
      <x:c r="N77" s="53" t="b">
        <x:v>1</x:v>
      </x:c>
      <x:c r="O77" s="53" t="b">
        <x:v>1</x:v>
      </x:c>
      <x:c r="P77" s="47" t="n">
        <x:v>1010</x:v>
      </x:c>
      <x:c r="Q77" s="47" t="n">
        <x:v>0</x:v>
      </x:c>
      <x:c r="R77" s="47" t="n">
        <x:v>0</x:v>
      </x:c>
      <x:c r="S77" s="47" t="n">
        <x:v>31.18</x:v>
      </x:c>
      <x:c r="T77" s="47" t="n">
        <x:v>60.57</x:v>
      </x:c>
      <x:c r="U77" s="47" t="n">
        <x:v>30.4</x:v>
      </x:c>
      <x:c r="V77" s="47" t="n">
        <x:v>13.9</x:v>
      </x:c>
      <x:c r="W77" s="47" t="n">
        <x:v>0</x:v>
      </x:c>
      <x:c r="X77" s="47" t="n">
        <x:v>0</x:v>
      </x:c>
      <x:c r="Y77" s="41" t="n">
        <x:v>0</x:v>
      </x:c>
    </x:row>
    <x:row r="78">
      <x:c r="A78" s="38" t="str">
        <x:v>7月30日现场数据</x:v>
      </x:c>
      <x:c r="B78" s="66" t="str">
        <x:v>2026-07-30T19:51:28.822000</x:v>
      </x:c>
      <x:c r="C78" s="47" t="n">
        <x:v>317663</x:v>
      </x:c>
      <x:c r="D78" s="47" t="str"/>
      <x:c r="E78" s="47" t="str"/>
      <x:c r="F78" s="47" t="str">
        <x:v>current</x:v>
      </x:c>
      <x:c r="G78" s="47" t="n">
        <x:v>74</x:v>
      </x:c>
      <x:c r="H78" s="53" t="b">
        <x:v>1</x:v>
      </x:c>
      <x:c r="I78" s="47" t="str">
        <x:v>3906736965</x:v>
      </x:c>
      <x:c r="J78" s="47" t="n">
        <x:v>22409610</x:v>
      </x:c>
      <x:c r="K78" s="53" t="b">
        <x:v>1</x:v>
      </x:c>
      <x:c r="L78" s="53" t="b">
        <x:v>1</x:v>
      </x:c>
      <x:c r="M78" s="53" t="b">
        <x:v>1</x:v>
      </x:c>
      <x:c r="N78" s="53" t="b">
        <x:v>1</x:v>
      </x:c>
      <x:c r="O78" s="53" t="b">
        <x:v>1</x:v>
      </x:c>
      <x:c r="P78" s="47" t="n">
        <x:v>1010</x:v>
      </x:c>
      <x:c r="Q78" s="47" t="n">
        <x:v>0.004</x:v>
      </x:c>
      <x:c r="R78" s="47" t="n">
        <x:v>0.099</x:v>
      </x:c>
      <x:c r="S78" s="47" t="n">
        <x:v>31.2</x:v>
      </x:c>
      <x:c r="T78" s="47" t="n">
        <x:v>60.61</x:v>
      </x:c>
      <x:c r="U78" s="47" t="n">
        <x:v>30.4</x:v>
      </x:c>
      <x:c r="V78" s="47" t="n">
        <x:v>13.9</x:v>
      </x:c>
      <x:c r="W78" s="47" t="n">
        <x:v>0</x:v>
      </x:c>
      <x:c r="X78" s="47" t="n">
        <x:v>0</x:v>
      </x:c>
      <x:c r="Y78" s="41" t="n">
        <x:v>0</x:v>
      </x:c>
    </x:row>
    <x:row r="79">
      <x:c r="A79" s="38" t="str">
        <x:v>7月30日现场数据</x:v>
      </x:c>
      <x:c r="B79" s="66" t="str">
        <x:v>2026-07-30T19:56:29.789000</x:v>
      </x:c>
      <x:c r="C79" s="47" t="n">
        <x:v>300967</x:v>
      </x:c>
      <x:c r="D79" s="47" t="str"/>
      <x:c r="E79" s="47" t="str"/>
      <x:c r="F79" s="47" t="str">
        <x:v>current</x:v>
      </x:c>
      <x:c r="G79" s="47" t="n">
        <x:v>75</x:v>
      </x:c>
      <x:c r="H79" s="53" t="b">
        <x:v>1</x:v>
      </x:c>
      <x:c r="I79" s="47" t="str">
        <x:v>3906736965</x:v>
      </x:c>
      <x:c r="J79" s="47" t="n">
        <x:v>22710577</x:v>
      </x:c>
      <x:c r="K79" s="53" t="b">
        <x:v>1</x:v>
      </x:c>
      <x:c r="L79" s="53" t="b">
        <x:v>1</x:v>
      </x:c>
      <x:c r="M79" s="53" t="b">
        <x:v>1</x:v>
      </x:c>
      <x:c r="N79" s="53" t="b">
        <x:v>1</x:v>
      </x:c>
      <x:c r="O79" s="53" t="b">
        <x:v>1</x:v>
      </x:c>
      <x:c r="P79" s="47" t="n">
        <x:v>1010</x:v>
      </x:c>
      <x:c r="Q79" s="47" t="n">
        <x:v>0</x:v>
      </x:c>
      <x:c r="R79" s="47" t="n">
        <x:v>0</x:v>
      </x:c>
      <x:c r="S79" s="47" t="n">
        <x:v>31.3</x:v>
      </x:c>
      <x:c r="T79" s="47" t="n">
        <x:v>60.78</x:v>
      </x:c>
      <x:c r="U79" s="47" t="n">
        <x:v>30.4</x:v>
      </x:c>
      <x:c r="V79" s="47" t="n">
        <x:v>13.9</x:v>
      </x:c>
      <x:c r="W79" s="47" t="n">
        <x:v>0</x:v>
      </x:c>
      <x:c r="X79" s="47" t="n">
        <x:v>0</x:v>
      </x:c>
      <x:c r="Y79" s="41" t="n">
        <x:v>0</x:v>
      </x:c>
    </x:row>
    <x:row r="80">
      <x:c r="A80" s="38" t="str">
        <x:v>7月30日现场数据</x:v>
      </x:c>
      <x:c r="B80" s="66" t="str">
        <x:v>2026-07-30T20:01:30.756000</x:v>
      </x:c>
      <x:c r="C80" s="47" t="n">
        <x:v>300967</x:v>
      </x:c>
      <x:c r="D80" s="47" t="str"/>
      <x:c r="E80" s="47" t="str"/>
      <x:c r="F80" s="47" t="str">
        <x:v>current</x:v>
      </x:c>
      <x:c r="G80" s="47" t="n">
        <x:v>76</x:v>
      </x:c>
      <x:c r="H80" s="53" t="b">
        <x:v>1</x:v>
      </x:c>
      <x:c r="I80" s="47" t="str">
        <x:v>3906736965</x:v>
      </x:c>
      <x:c r="J80" s="47" t="n">
        <x:v>23011544</x:v>
      </x:c>
      <x:c r="K80" s="53" t="b">
        <x:v>1</x:v>
      </x:c>
      <x:c r="L80" s="53" t="b">
        <x:v>1</x:v>
      </x:c>
      <x:c r="M80" s="53" t="b">
        <x:v>1</x:v>
      </x:c>
      <x:c r="N80" s="53" t="b">
        <x:v>1</x:v>
      </x:c>
      <x:c r="O80" s="53" t="b">
        <x:v>1</x:v>
      </x:c>
      <x:c r="P80" s="47" t="n">
        <x:v>1010</x:v>
      </x:c>
      <x:c r="Q80" s="47" t="n">
        <x:v>0</x:v>
      </x:c>
      <x:c r="R80" s="47" t="n">
        <x:v>0</x:v>
      </x:c>
      <x:c r="S80" s="47" t="n">
        <x:v>31.24</x:v>
      </x:c>
      <x:c r="T80" s="47" t="n">
        <x:v>60.81</x:v>
      </x:c>
      <x:c r="U80" s="47" t="n">
        <x:v>30.4</x:v>
      </x:c>
      <x:c r="V80" s="47" t="n">
        <x:v>13.9</x:v>
      </x:c>
      <x:c r="W80" s="47" t="n">
        <x:v>0</x:v>
      </x:c>
      <x:c r="X80" s="47" t="n">
        <x:v>0</x:v>
      </x:c>
      <x:c r="Y80" s="41" t="n">
        <x:v>0</x:v>
      </x:c>
    </x:row>
    <x:row r="81">
      <x:c r="A81" s="38" t="str">
        <x:v>7月30日现场数据</x:v>
      </x:c>
      <x:c r="B81" s="66" t="str">
        <x:v>2026-07-30T20:06:31.726000</x:v>
      </x:c>
      <x:c r="C81" s="47" t="n">
        <x:v>300970</x:v>
      </x:c>
      <x:c r="D81" s="47" t="str"/>
      <x:c r="E81" s="47" t="str"/>
      <x:c r="F81" s="47" t="str">
        <x:v>current</x:v>
      </x:c>
      <x:c r="G81" s="47" t="n">
        <x:v>77</x:v>
      </x:c>
      <x:c r="H81" s="53" t="b">
        <x:v>1</x:v>
      </x:c>
      <x:c r="I81" s="47" t="str">
        <x:v>3906736965</x:v>
      </x:c>
      <x:c r="J81" s="47" t="n">
        <x:v>23312514</x:v>
      </x:c>
      <x:c r="K81" s="53" t="b">
        <x:v>1</x:v>
      </x:c>
      <x:c r="L81" s="53" t="b">
        <x:v>1</x:v>
      </x:c>
      <x:c r="M81" s="53" t="b">
        <x:v>1</x:v>
      </x:c>
      <x:c r="N81" s="53" t="b">
        <x:v>1</x:v>
      </x:c>
      <x:c r="O81" s="53" t="b">
        <x:v>1</x:v>
      </x:c>
      <x:c r="P81" s="47" t="n">
        <x:v>1010</x:v>
      </x:c>
      <x:c r="Q81" s="47" t="n">
        <x:v>0</x:v>
      </x:c>
      <x:c r="R81" s="47" t="n">
        <x:v>0</x:v>
      </x:c>
      <x:c r="S81" s="47" t="n">
        <x:v>31.12</x:v>
      </x:c>
      <x:c r="T81" s="47" t="n">
        <x:v>60.85</x:v>
      </x:c>
      <x:c r="U81" s="47" t="n">
        <x:v>30.3</x:v>
      </x:c>
      <x:c r="V81" s="47" t="n">
        <x:v>14</x:v>
      </x:c>
      <x:c r="W81" s="47" t="n">
        <x:v>0</x:v>
      </x:c>
      <x:c r="X81" s="47" t="n">
        <x:v>0</x:v>
      </x:c>
      <x:c r="Y81" s="41" t="n">
        <x:v>0</x:v>
      </x:c>
    </x:row>
    <x:row r="82">
      <x:c r="A82" s="38" t="str">
        <x:v>7月30日现场数据</x:v>
      </x:c>
      <x:c r="B82" s="66" t="str">
        <x:v>2026-07-30T20:11:32.697000</x:v>
      </x:c>
      <x:c r="C82" s="47" t="n">
        <x:v>300971</x:v>
      </x:c>
      <x:c r="D82" s="47" t="str"/>
      <x:c r="E82" s="47" t="str"/>
      <x:c r="F82" s="47" t="str">
        <x:v>current</x:v>
      </x:c>
      <x:c r="G82" s="47" t="n">
        <x:v>78</x:v>
      </x:c>
      <x:c r="H82" s="53" t="b">
        <x:v>1</x:v>
      </x:c>
      <x:c r="I82" s="47" t="str">
        <x:v>3906736965</x:v>
      </x:c>
      <x:c r="J82" s="47" t="n">
        <x:v>23613485</x:v>
      </x:c>
      <x:c r="K82" s="53" t="b">
        <x:v>1</x:v>
      </x:c>
      <x:c r="L82" s="53" t="b">
        <x:v>1</x:v>
      </x:c>
      <x:c r="M82" s="53" t="b">
        <x:v>1</x:v>
      </x:c>
      <x:c r="N82" s="53" t="b">
        <x:v>1</x:v>
      </x:c>
      <x:c r="O82" s="53" t="b">
        <x:v>1</x:v>
      </x:c>
      <x:c r="P82" s="47" t="n">
        <x:v>1010</x:v>
      </x:c>
      <x:c r="Q82" s="47" t="n">
        <x:v>0.074</x:v>
      </x:c>
      <x:c r="R82" s="47" t="n">
        <x:v>2.011</x:v>
      </x:c>
      <x:c r="S82" s="47" t="n">
        <x:v>31.25</x:v>
      </x:c>
      <x:c r="T82" s="47" t="n">
        <x:v>60.96</x:v>
      </x:c>
      <x:c r="U82" s="47" t="n">
        <x:v>30.3</x:v>
      </x:c>
      <x:c r="V82" s="47" t="n">
        <x:v>13.9</x:v>
      </x:c>
      <x:c r="W82" s="47" t="n">
        <x:v>0</x:v>
      </x:c>
      <x:c r="X82" s="47" t="n">
        <x:v>0</x:v>
      </x:c>
      <x:c r="Y82" s="41" t="n">
        <x:v>0</x:v>
      </x:c>
    </x:row>
    <x:row r="83">
      <x:c r="A83" s="38" t="str">
        <x:v>7月30日现场数据</x:v>
      </x:c>
      <x:c r="B83" s="66" t="str">
        <x:v>2026-07-30T20:16:33.669000</x:v>
      </x:c>
      <x:c r="C83" s="47" t="n">
        <x:v>300972</x:v>
      </x:c>
      <x:c r="D83" s="47" t="str"/>
      <x:c r="E83" s="47" t="str"/>
      <x:c r="F83" s="47" t="str">
        <x:v>current</x:v>
      </x:c>
      <x:c r="G83" s="47" t="n">
        <x:v>79</x:v>
      </x:c>
      <x:c r="H83" s="53" t="b">
        <x:v>1</x:v>
      </x:c>
      <x:c r="I83" s="47" t="str">
        <x:v>3906736965</x:v>
      </x:c>
      <x:c r="J83" s="47" t="n">
        <x:v>23914457</x:v>
      </x:c>
      <x:c r="K83" s="53" t="b">
        <x:v>1</x:v>
      </x:c>
      <x:c r="L83" s="53" t="b">
        <x:v>1</x:v>
      </x:c>
      <x:c r="M83" s="53" t="b">
        <x:v>1</x:v>
      </x:c>
      <x:c r="N83" s="53" t="b">
        <x:v>1</x:v>
      </x:c>
      <x:c r="O83" s="53" t="b">
        <x:v>1</x:v>
      </x:c>
      <x:c r="P83" s="47" t="n">
        <x:v>1010</x:v>
      </x:c>
      <x:c r="Q83" s="47" t="n">
        <x:v>0</x:v>
      </x:c>
      <x:c r="R83" s="47" t="n">
        <x:v>0</x:v>
      </x:c>
      <x:c r="S83" s="47" t="n">
        <x:v>31.16</x:v>
      </x:c>
      <x:c r="T83" s="47" t="n">
        <x:v>61.02</x:v>
      </x:c>
      <x:c r="U83" s="47" t="n">
        <x:v>30.3</x:v>
      </x:c>
      <x:c r="V83" s="47" t="n">
        <x:v>13.9</x:v>
      </x:c>
      <x:c r="W83" s="47" t="n">
        <x:v>0</x:v>
      </x:c>
      <x:c r="X83" s="47" t="n">
        <x:v>0</x:v>
      </x:c>
      <x:c r="Y83" s="41" t="n">
        <x:v>0</x:v>
      </x:c>
    </x:row>
    <x:row r="84">
      <x:c r="A84" s="38" t="str">
        <x:v>7月30日现场数据</x:v>
      </x:c>
      <x:c r="B84" s="66" t="str">
        <x:v>2026-07-30T20:21:34.643000</x:v>
      </x:c>
      <x:c r="C84" s="47" t="n">
        <x:v>300974</x:v>
      </x:c>
      <x:c r="D84" s="47" t="str"/>
      <x:c r="E84" s="47" t="str"/>
      <x:c r="F84" s="47" t="str">
        <x:v>current</x:v>
      </x:c>
      <x:c r="G84" s="47" t="n">
        <x:v>80</x:v>
      </x:c>
      <x:c r="H84" s="53" t="b">
        <x:v>1</x:v>
      </x:c>
      <x:c r="I84" s="47" t="str">
        <x:v>3906736965</x:v>
      </x:c>
      <x:c r="J84" s="47" t="n">
        <x:v>24215431</x:v>
      </x:c>
      <x:c r="K84" s="53" t="b">
        <x:v>1</x:v>
      </x:c>
      <x:c r="L84" s="53" t="b">
        <x:v>1</x:v>
      </x:c>
      <x:c r="M84" s="53" t="b">
        <x:v>1</x:v>
      </x:c>
      <x:c r="N84" s="53" t="b">
        <x:v>1</x:v>
      </x:c>
      <x:c r="O84" s="53" t="b">
        <x:v>1</x:v>
      </x:c>
      <x:c r="P84" s="47" t="n">
        <x:v>1010</x:v>
      </x:c>
      <x:c r="Q84" s="47" t="n">
        <x:v>0</x:v>
      </x:c>
      <x:c r="R84" s="47" t="n">
        <x:v>0</x:v>
      </x:c>
      <x:c r="S84" s="47" t="n">
        <x:v>31.04</x:v>
      </x:c>
      <x:c r="T84" s="47" t="n">
        <x:v>61.06</x:v>
      </x:c>
      <x:c r="U84" s="47" t="n">
        <x:v>30.3</x:v>
      </x:c>
      <x:c r="V84" s="47" t="n">
        <x:v>13.9</x:v>
      </x:c>
      <x:c r="W84" s="47" t="n">
        <x:v>0</x:v>
      </x:c>
      <x:c r="X84" s="47" t="n">
        <x:v>0</x:v>
      </x:c>
      <x:c r="Y84" s="41" t="n">
        <x:v>0</x:v>
      </x:c>
    </x:row>
    <x:row r="85">
      <x:c r="A85" s="38" t="str">
        <x:v>7月30日现场数据</x:v>
      </x:c>
      <x:c r="B85" s="66" t="str">
        <x:v>2026-07-30T20:26:35.624000</x:v>
      </x:c>
      <x:c r="C85" s="47" t="n">
        <x:v>300981</x:v>
      </x:c>
      <x:c r="D85" s="47" t="str"/>
      <x:c r="E85" s="47" t="str"/>
      <x:c r="F85" s="47" t="str">
        <x:v>current</x:v>
      </x:c>
      <x:c r="G85" s="47" t="n">
        <x:v>81</x:v>
      </x:c>
      <x:c r="H85" s="53" t="b">
        <x:v>1</x:v>
      </x:c>
      <x:c r="I85" s="47" t="str">
        <x:v>3906736965</x:v>
      </x:c>
      <x:c r="J85" s="47" t="n">
        <x:v>24516412</x:v>
      </x:c>
      <x:c r="K85" s="53" t="b">
        <x:v>1</x:v>
      </x:c>
      <x:c r="L85" s="53" t="b">
        <x:v>1</x:v>
      </x:c>
      <x:c r="M85" s="53" t="b">
        <x:v>1</x:v>
      </x:c>
      <x:c r="N85" s="53" t="b">
        <x:v>1</x:v>
      </x:c>
      <x:c r="O85" s="53" t="b">
        <x:v>1</x:v>
      </x:c>
      <x:c r="P85" s="47" t="n">
        <x:v>1010</x:v>
      </x:c>
      <x:c r="Q85" s="47" t="n">
        <x:v>0</x:v>
      </x:c>
      <x:c r="R85" s="47" t="n">
        <x:v>0</x:v>
      </x:c>
      <x:c r="S85" s="47" t="n">
        <x:v>31.03</x:v>
      </x:c>
      <x:c r="T85" s="47" t="n">
        <x:v>61.05</x:v>
      </x:c>
      <x:c r="U85" s="47" t="n">
        <x:v>30.3</x:v>
      </x:c>
      <x:c r="V85" s="47" t="n">
        <x:v>13.9</x:v>
      </x:c>
      <x:c r="W85" s="47" t="n">
        <x:v>0</x:v>
      </x:c>
      <x:c r="X85" s="47" t="n">
        <x:v>0</x:v>
      </x:c>
      <x:c r="Y85" s="41" t="n">
        <x:v>0</x:v>
      </x:c>
    </x:row>
    <x:row r="86">
      <x:c r="A86" s="38" t="str">
        <x:v>7月30日现场数据</x:v>
      </x:c>
      <x:c r="B86" s="66" t="str">
        <x:v>2026-07-30T20:31:36.587000</x:v>
      </x:c>
      <x:c r="C86" s="47" t="n">
        <x:v>300963</x:v>
      </x:c>
      <x:c r="D86" s="47" t="str"/>
      <x:c r="E86" s="47" t="str"/>
      <x:c r="F86" s="47" t="str">
        <x:v>current</x:v>
      </x:c>
      <x:c r="G86" s="47" t="n">
        <x:v>82</x:v>
      </x:c>
      <x:c r="H86" s="53" t="b">
        <x:v>1</x:v>
      </x:c>
      <x:c r="I86" s="47" t="str">
        <x:v>3906736965</x:v>
      </x:c>
      <x:c r="J86" s="47" t="n">
        <x:v>24817375</x:v>
      </x:c>
      <x:c r="K86" s="53" t="b">
        <x:v>1</x:v>
      </x:c>
      <x:c r="L86" s="53" t="b">
        <x:v>1</x:v>
      </x:c>
      <x:c r="M86" s="53" t="b">
        <x:v>1</x:v>
      </x:c>
      <x:c r="N86" s="53" t="b">
        <x:v>1</x:v>
      </x:c>
      <x:c r="O86" s="53" t="b">
        <x:v>1</x:v>
      </x:c>
      <x:c r="P86" s="47" t="n">
        <x:v>1010</x:v>
      </x:c>
      <x:c r="Q86" s="47" t="n">
        <x:v>0</x:v>
      </x:c>
      <x:c r="R86" s="47" t="n">
        <x:v>0</x:v>
      </x:c>
      <x:c r="S86" s="47" t="n">
        <x:v>31.05</x:v>
      </x:c>
      <x:c r="T86" s="47" t="n">
        <x:v>61.17</x:v>
      </x:c>
      <x:c r="U86" s="47" t="n">
        <x:v>30.3</x:v>
      </x:c>
      <x:c r="V86" s="47" t="n">
        <x:v>13.9</x:v>
      </x:c>
      <x:c r="W86" s="47" t="n">
        <x:v>0</x:v>
      </x:c>
      <x:c r="X86" s="47" t="n">
        <x:v>0</x:v>
      </x:c>
      <x:c r="Y86" s="41" t="n">
        <x:v>0</x:v>
      </x:c>
    </x:row>
    <x:row r="87">
      <x:c r="A87" s="38" t="str">
        <x:v>7月30日现场数据</x:v>
      </x:c>
      <x:c r="B87" s="66" t="str">
        <x:v>2026-07-30T20:36:37.554000</x:v>
      </x:c>
      <x:c r="C87" s="47" t="n">
        <x:v>300967</x:v>
      </x:c>
      <x:c r="D87" s="47" t="str"/>
      <x:c r="E87" s="47" t="str"/>
      <x:c r="F87" s="47" t="str">
        <x:v>current</x:v>
      </x:c>
      <x:c r="G87" s="47" t="n">
        <x:v>83</x:v>
      </x:c>
      <x:c r="H87" s="53" t="b">
        <x:v>1</x:v>
      </x:c>
      <x:c r="I87" s="47" t="str">
        <x:v>3906736965</x:v>
      </x:c>
      <x:c r="J87" s="47" t="n">
        <x:v>25118342</x:v>
      </x:c>
      <x:c r="K87" s="53" t="b">
        <x:v>1</x:v>
      </x:c>
      <x:c r="L87" s="53" t="b">
        <x:v>1</x:v>
      </x:c>
      <x:c r="M87" s="53" t="b">
        <x:v>1</x:v>
      </x:c>
      <x:c r="N87" s="53" t="b">
        <x:v>1</x:v>
      </x:c>
      <x:c r="O87" s="53" t="b">
        <x:v>1</x:v>
      </x:c>
      <x:c r="P87" s="47" t="n">
        <x:v>1010</x:v>
      </x:c>
      <x:c r="Q87" s="47" t="n">
        <x:v>0</x:v>
      </x:c>
      <x:c r="R87" s="47" t="n">
        <x:v>0</x:v>
      </x:c>
      <x:c r="S87" s="47" t="n">
        <x:v>30.94</x:v>
      </x:c>
      <x:c r="T87" s="47" t="n">
        <x:v>61.18</x:v>
      </x:c>
      <x:c r="U87" s="47" t="n">
        <x:v>30.2</x:v>
      </x:c>
      <x:c r="V87" s="47" t="n">
        <x:v>13.9</x:v>
      </x:c>
      <x:c r="W87" s="47" t="n">
        <x:v>0</x:v>
      </x:c>
      <x:c r="X87" s="47" t="n">
        <x:v>0</x:v>
      </x:c>
      <x:c r="Y87" s="41" t="n">
        <x:v>0</x:v>
      </x:c>
    </x:row>
    <x:row r="88">
      <x:c r="A88" s="38" t="str">
        <x:v>7月30日现场数据</x:v>
      </x:c>
      <x:c r="B88" s="66" t="str">
        <x:v>2026-07-30T20:41:38.524000</x:v>
      </x:c>
      <x:c r="C88" s="47" t="n">
        <x:v>300970</x:v>
      </x:c>
      <x:c r="D88" s="47" t="str"/>
      <x:c r="E88" s="47" t="str"/>
      <x:c r="F88" s="47" t="str">
        <x:v>current</x:v>
      </x:c>
      <x:c r="G88" s="47" t="n">
        <x:v>84</x:v>
      </x:c>
      <x:c r="H88" s="53" t="b">
        <x:v>1</x:v>
      </x:c>
      <x:c r="I88" s="47" t="str">
        <x:v>3906736965</x:v>
      </x:c>
      <x:c r="J88" s="47" t="n">
        <x:v>25419312</x:v>
      </x:c>
      <x:c r="K88" s="53" t="b">
        <x:v>1</x:v>
      </x:c>
      <x:c r="L88" s="53" t="b">
        <x:v>1</x:v>
      </x:c>
      <x:c r="M88" s="53" t="b">
        <x:v>1</x:v>
      </x:c>
      <x:c r="N88" s="53" t="b">
        <x:v>1</x:v>
      </x:c>
      <x:c r="O88" s="53" t="b">
        <x:v>1</x:v>
      </x:c>
      <x:c r="P88" s="47" t="n">
        <x:v>1010</x:v>
      </x:c>
      <x:c r="Q88" s="47" t="n">
        <x:v>0</x:v>
      </x:c>
      <x:c r="R88" s="47" t="n">
        <x:v>0</x:v>
      </x:c>
      <x:c r="S88" s="47" t="n">
        <x:v>30.91</x:v>
      </x:c>
      <x:c r="T88" s="47" t="n">
        <x:v>61.28</x:v>
      </x:c>
      <x:c r="U88" s="47" t="n">
        <x:v>30.2</x:v>
      </x:c>
      <x:c r="V88" s="47" t="n">
        <x:v>13.9</x:v>
      </x:c>
      <x:c r="W88" s="47" t="n">
        <x:v>0</x:v>
      </x:c>
      <x:c r="X88" s="47" t="n">
        <x:v>0</x:v>
      </x:c>
      <x:c r="Y88" s="41" t="n">
        <x:v>0</x:v>
      </x:c>
    </x:row>
    <x:row r="89">
      <x:c r="A89" s="38" t="str">
        <x:v>7月30日现场数据</x:v>
      </x:c>
      <x:c r="B89" s="66" t="str">
        <x:v>2026-07-30T20:46:39.497000</x:v>
      </x:c>
      <x:c r="C89" s="47" t="n">
        <x:v>300973</x:v>
      </x:c>
      <x:c r="D89" s="47" t="str"/>
      <x:c r="E89" s="47" t="str"/>
      <x:c r="F89" s="47" t="str">
        <x:v>current</x:v>
      </x:c>
      <x:c r="G89" s="47" t="n">
        <x:v>85</x:v>
      </x:c>
      <x:c r="H89" s="53" t="b">
        <x:v>1</x:v>
      </x:c>
      <x:c r="I89" s="47" t="str">
        <x:v>3906736965</x:v>
      </x:c>
      <x:c r="J89" s="47" t="n">
        <x:v>25720285</x:v>
      </x:c>
      <x:c r="K89" s="53" t="b">
        <x:v>1</x:v>
      </x:c>
      <x:c r="L89" s="53" t="b">
        <x:v>1</x:v>
      </x:c>
      <x:c r="M89" s="53" t="b">
        <x:v>1</x:v>
      </x:c>
      <x:c r="N89" s="53" t="b">
        <x:v>1</x:v>
      </x:c>
      <x:c r="O89" s="53" t="b">
        <x:v>1</x:v>
      </x:c>
      <x:c r="P89" s="47" t="n">
        <x:v>1010</x:v>
      </x:c>
      <x:c r="Q89" s="47" t="n">
        <x:v>0</x:v>
      </x:c>
      <x:c r="R89" s="47" t="n">
        <x:v>0</x:v>
      </x:c>
      <x:c r="S89" s="47" t="n">
        <x:v>30.86</x:v>
      </x:c>
      <x:c r="T89" s="47" t="n">
        <x:v>61.29</x:v>
      </x:c>
      <x:c r="U89" s="47" t="n">
        <x:v>30.2</x:v>
      </x:c>
      <x:c r="V89" s="47" t="n">
        <x:v>13.9</x:v>
      </x:c>
      <x:c r="W89" s="47" t="n">
        <x:v>0</x:v>
      </x:c>
      <x:c r="X89" s="47" t="n">
        <x:v>0</x:v>
      </x:c>
      <x:c r="Y89" s="41" t="n">
        <x:v>0</x:v>
      </x:c>
    </x:row>
    <x:row r="90">
      <x:c r="A90" s="38" t="str">
        <x:v>7月30日现场数据</x:v>
      </x:c>
      <x:c r="B90" s="66" t="str">
        <x:v>2026-07-30T20:51:40.506000</x:v>
      </x:c>
      <x:c r="C90" s="47" t="n">
        <x:v>301009</x:v>
      </x:c>
      <x:c r="D90" s="47" t="str"/>
      <x:c r="E90" s="47" t="str"/>
      <x:c r="F90" s="47" t="str">
        <x:v>current</x:v>
      </x:c>
      <x:c r="G90" s="47" t="n">
        <x:v>86</x:v>
      </x:c>
      <x:c r="H90" s="53" t="b">
        <x:v>1</x:v>
      </x:c>
      <x:c r="I90" s="47" t="str">
        <x:v>3906736965</x:v>
      </x:c>
      <x:c r="J90" s="47" t="n">
        <x:v>26021294</x:v>
      </x:c>
      <x:c r="K90" s="53" t="b">
        <x:v>1</x:v>
      </x:c>
      <x:c r="L90" s="53" t="b">
        <x:v>1</x:v>
      </x:c>
      <x:c r="M90" s="53" t="b">
        <x:v>1</x:v>
      </x:c>
      <x:c r="N90" s="53" t="b">
        <x:v>1</x:v>
      </x:c>
      <x:c r="O90" s="53" t="b">
        <x:v>1</x:v>
      </x:c>
      <x:c r="P90" s="47" t="n">
        <x:v>1011</x:v>
      </x:c>
      <x:c r="Q90" s="47" t="n">
        <x:v>0</x:v>
      </x:c>
      <x:c r="R90" s="47" t="n">
        <x:v>0</x:v>
      </x:c>
      <x:c r="S90" s="47" t="n">
        <x:v>30.86</x:v>
      </x:c>
      <x:c r="T90" s="47" t="n">
        <x:v>61.39</x:v>
      </x:c>
      <x:c r="U90" s="47" t="n">
        <x:v>30.2</x:v>
      </x:c>
      <x:c r="V90" s="47" t="n">
        <x:v>13.9</x:v>
      </x:c>
      <x:c r="W90" s="47" t="n">
        <x:v>0</x:v>
      </x:c>
      <x:c r="X90" s="47" t="n">
        <x:v>0</x:v>
      </x:c>
      <x:c r="Y90" s="41" t="n">
        <x:v>0</x:v>
      </x:c>
    </x:row>
    <x:row r="91">
      <x:c r="A91" s="38" t="str">
        <x:v>7月30日现场数据</x:v>
      </x:c>
      <x:c r="B91" s="66" t="str">
        <x:v>2026-07-30T20:56:41.452000</x:v>
      </x:c>
      <x:c r="C91" s="47" t="n">
        <x:v>300946</x:v>
      </x:c>
      <x:c r="D91" s="47" t="str"/>
      <x:c r="E91" s="47" t="str"/>
      <x:c r="F91" s="47" t="str">
        <x:v>current</x:v>
      </x:c>
      <x:c r="G91" s="47" t="n">
        <x:v>87</x:v>
      </x:c>
      <x:c r="H91" s="53" t="b">
        <x:v>1</x:v>
      </x:c>
      <x:c r="I91" s="47" t="str">
        <x:v>3906736965</x:v>
      </x:c>
      <x:c r="J91" s="47" t="n">
        <x:v>26322240</x:v>
      </x:c>
      <x:c r="K91" s="53" t="b">
        <x:v>1</x:v>
      </x:c>
      <x:c r="L91" s="53" t="b">
        <x:v>1</x:v>
      </x:c>
      <x:c r="M91" s="53" t="b">
        <x:v>1</x:v>
      </x:c>
      <x:c r="N91" s="53" t="b">
        <x:v>1</x:v>
      </x:c>
      <x:c r="O91" s="53" t="b">
        <x:v>1</x:v>
      </x:c>
      <x:c r="P91" s="47" t="n">
        <x:v>1011</x:v>
      </x:c>
      <x:c r="Q91" s="47" t="n">
        <x:v>0.033</x:v>
      </x:c>
      <x:c r="R91" s="47" t="n">
        <x:v>0.89</x:v>
      </x:c>
      <x:c r="S91" s="47" t="n">
        <x:v>30.8</x:v>
      </x:c>
      <x:c r="T91" s="47" t="n">
        <x:v>61.4</x:v>
      </x:c>
      <x:c r="U91" s="47" t="n">
        <x:v>30.2</x:v>
      </x:c>
      <x:c r="V91" s="47" t="n">
        <x:v>13.9</x:v>
      </x:c>
      <x:c r="W91" s="47" t="n">
        <x:v>0</x:v>
      </x:c>
      <x:c r="X91" s="47" t="n">
        <x:v>0</x:v>
      </x:c>
      <x:c r="Y91" s="41" t="n">
        <x:v>0</x:v>
      </x:c>
    </x:row>
    <x:row r="92">
      <x:c r="A92" s="38" t="str">
        <x:v>7月30日现场数据</x:v>
      </x:c>
      <x:c r="B92" s="66" t="str">
        <x:v>2026-07-30T21:01:42.401000</x:v>
      </x:c>
      <x:c r="C92" s="47" t="n">
        <x:v>300949</x:v>
      </x:c>
      <x:c r="D92" s="47" t="str"/>
      <x:c r="E92" s="47" t="str"/>
      <x:c r="F92" s="47" t="str">
        <x:v>current</x:v>
      </x:c>
      <x:c r="G92" s="47" t="n">
        <x:v>88</x:v>
      </x:c>
      <x:c r="H92" s="53" t="b">
        <x:v>1</x:v>
      </x:c>
      <x:c r="I92" s="47" t="str">
        <x:v>3906736965</x:v>
      </x:c>
      <x:c r="J92" s="47" t="n">
        <x:v>26623189</x:v>
      </x:c>
      <x:c r="K92" s="53" t="b">
        <x:v>1</x:v>
      </x:c>
      <x:c r="L92" s="53" t="b">
        <x:v>1</x:v>
      </x:c>
      <x:c r="M92" s="53" t="b">
        <x:v>1</x:v>
      </x:c>
      <x:c r="N92" s="53" t="b">
        <x:v>1</x:v>
      </x:c>
      <x:c r="O92" s="53" t="b">
        <x:v>1</x:v>
      </x:c>
      <x:c r="P92" s="47" t="n">
        <x:v>1011</x:v>
      </x:c>
      <x:c r="Q92" s="47" t="n">
        <x:v>0</x:v>
      </x:c>
      <x:c r="R92" s="47" t="n">
        <x:v>0</x:v>
      </x:c>
      <x:c r="S92" s="47" t="n">
        <x:v>30.77</x:v>
      </x:c>
      <x:c r="T92" s="47" t="n">
        <x:v>61.47</x:v>
      </x:c>
      <x:c r="U92" s="47" t="n">
        <x:v>30.2</x:v>
      </x:c>
      <x:c r="V92" s="47" t="n">
        <x:v>13.9</x:v>
      </x:c>
      <x:c r="W92" s="47" t="n">
        <x:v>0</x:v>
      </x:c>
      <x:c r="X92" s="47" t="n">
        <x:v>0</x:v>
      </x:c>
      <x:c r="Y92" s="41" t="n">
        <x:v>0</x:v>
      </x:c>
    </x:row>
    <x:row r="93">
      <x:c r="A93" s="38" t="str">
        <x:v>7月30日现场数据</x:v>
      </x:c>
      <x:c r="B93" s="66" t="str">
        <x:v>2026-07-30T21:06:43.351000</x:v>
      </x:c>
      <x:c r="C93" s="47" t="n">
        <x:v>300950</x:v>
      </x:c>
      <x:c r="D93" s="47" t="str"/>
      <x:c r="E93" s="47" t="str"/>
      <x:c r="F93" s="47" t="str">
        <x:v>current</x:v>
      </x:c>
      <x:c r="G93" s="47" t="n">
        <x:v>89</x:v>
      </x:c>
      <x:c r="H93" s="53" t="b">
        <x:v>1</x:v>
      </x:c>
      <x:c r="I93" s="47" t="str">
        <x:v>3906736965</x:v>
      </x:c>
      <x:c r="J93" s="47" t="n">
        <x:v>26924139</x:v>
      </x:c>
      <x:c r="K93" s="53" t="b">
        <x:v>1</x:v>
      </x:c>
      <x:c r="L93" s="53" t="b">
        <x:v>1</x:v>
      </x:c>
      <x:c r="M93" s="53" t="b">
        <x:v>1</x:v>
      </x:c>
      <x:c r="N93" s="53" t="b">
        <x:v>1</x:v>
      </x:c>
      <x:c r="O93" s="53" t="b">
        <x:v>1</x:v>
      </x:c>
      <x:c r="P93" s="47" t="n">
        <x:v>1011</x:v>
      </x:c>
      <x:c r="Q93" s="47" t="n">
        <x:v>0</x:v>
      </x:c>
      <x:c r="R93" s="47" t="n">
        <x:v>0</x:v>
      </x:c>
      <x:c r="S93" s="47" t="n">
        <x:v>30.68</x:v>
      </x:c>
      <x:c r="T93" s="47" t="n">
        <x:v>61.53</x:v>
      </x:c>
      <x:c r="U93" s="47" t="n">
        <x:v>30.2</x:v>
      </x:c>
      <x:c r="V93" s="47" t="n">
        <x:v>13.9</x:v>
      </x:c>
      <x:c r="W93" s="47" t="n">
        <x:v>0</x:v>
      </x:c>
      <x:c r="X93" s="47" t="n">
        <x:v>0</x:v>
      </x:c>
      <x:c r="Y93" s="41" t="n">
        <x:v>0</x:v>
      </x:c>
    </x:row>
    <x:row r="94">
      <x:c r="A94" s="38" t="str">
        <x:v>7月30日现场数据</x:v>
      </x:c>
      <x:c r="B94" s="66" t="str">
        <x:v>2026-07-30T21:11:44.302000</x:v>
      </x:c>
      <x:c r="C94" s="47" t="n">
        <x:v>300951</x:v>
      </x:c>
      <x:c r="D94" s="47" t="str"/>
      <x:c r="E94" s="47" t="str"/>
      <x:c r="F94" s="47" t="str">
        <x:v>current</x:v>
      </x:c>
      <x:c r="G94" s="47" t="n">
        <x:v>90</x:v>
      </x:c>
      <x:c r="H94" s="53" t="b">
        <x:v>1</x:v>
      </x:c>
      <x:c r="I94" s="47" t="str">
        <x:v>3906736965</x:v>
      </x:c>
      <x:c r="J94" s="47" t="n">
        <x:v>27225090</x:v>
      </x:c>
      <x:c r="K94" s="53" t="b">
        <x:v>1</x:v>
      </x:c>
      <x:c r="L94" s="53" t="b">
        <x:v>1</x:v>
      </x:c>
      <x:c r="M94" s="53" t="b">
        <x:v>1</x:v>
      </x:c>
      <x:c r="N94" s="53" t="b">
        <x:v>1</x:v>
      </x:c>
      <x:c r="O94" s="53" t="b">
        <x:v>1</x:v>
      </x:c>
      <x:c r="P94" s="47" t="n">
        <x:v>1011</x:v>
      </x:c>
      <x:c r="Q94" s="47" t="n">
        <x:v>0</x:v>
      </x:c>
      <x:c r="R94" s="47" t="n">
        <x:v>0</x:v>
      </x:c>
      <x:c r="S94" s="47" t="n">
        <x:v>30.71</x:v>
      </x:c>
      <x:c r="T94" s="47" t="n">
        <x:v>61.6</x:v>
      </x:c>
      <x:c r="U94" s="47" t="n">
        <x:v>30.1</x:v>
      </x:c>
      <x:c r="V94" s="47" t="n">
        <x:v>13.9</x:v>
      </x:c>
      <x:c r="W94" s="47" t="n">
        <x:v>0</x:v>
      </x:c>
      <x:c r="X94" s="47" t="n">
        <x:v>0</x:v>
      </x:c>
      <x:c r="Y94" s="41" t="n">
        <x:v>0</x:v>
      </x:c>
    </x:row>
    <x:row r="95">
      <x:c r="A95" s="38" t="str">
        <x:v>7月30日现场数据</x:v>
      </x:c>
      <x:c r="B95" s="66" t="str">
        <x:v>2026-07-30T21:16:45.255000</x:v>
      </x:c>
      <x:c r="C95" s="47" t="n">
        <x:v>300953</x:v>
      </x:c>
      <x:c r="D95" s="47" t="str"/>
      <x:c r="E95" s="47" t="str"/>
      <x:c r="F95" s="47" t="str">
        <x:v>current</x:v>
      </x:c>
      <x:c r="G95" s="47" t="n">
        <x:v>91</x:v>
      </x:c>
      <x:c r="H95" s="53" t="b">
        <x:v>1</x:v>
      </x:c>
      <x:c r="I95" s="47" t="str">
        <x:v>3906736965</x:v>
      </x:c>
      <x:c r="J95" s="47" t="n">
        <x:v>27526043</x:v>
      </x:c>
      <x:c r="K95" s="53" t="b">
        <x:v>1</x:v>
      </x:c>
      <x:c r="L95" s="53" t="b">
        <x:v>1</x:v>
      </x:c>
      <x:c r="M95" s="53" t="b">
        <x:v>1</x:v>
      </x:c>
      <x:c r="N95" s="53" t="b">
        <x:v>1</x:v>
      </x:c>
      <x:c r="O95" s="53" t="b">
        <x:v>1</x:v>
      </x:c>
      <x:c r="P95" s="47" t="n">
        <x:v>1011</x:v>
      </x:c>
      <x:c r="Q95" s="47" t="n">
        <x:v>0</x:v>
      </x:c>
      <x:c r="R95" s="47" t="n">
        <x:v>0</x:v>
      </x:c>
      <x:c r="S95" s="47" t="n">
        <x:v>30.97</x:v>
      </x:c>
      <x:c r="T95" s="47" t="n">
        <x:v>61.73</x:v>
      </x:c>
      <x:c r="U95" s="47" t="n">
        <x:v>30.1</x:v>
      </x:c>
      <x:c r="V95" s="47" t="n">
        <x:v>13.9</x:v>
      </x:c>
      <x:c r="W95" s="47" t="n">
        <x:v>0</x:v>
      </x:c>
      <x:c r="X95" s="47" t="n">
        <x:v>0</x:v>
      </x:c>
      <x:c r="Y95" s="41" t="n">
        <x:v>0</x:v>
      </x:c>
    </x:row>
    <x:row r="96">
      <x:c r="A96" s="38" t="str">
        <x:v>7月30日现场数据</x:v>
      </x:c>
      <x:c r="B96" s="66" t="str">
        <x:v>2026-07-30T21:21:46.212000</x:v>
      </x:c>
      <x:c r="C96" s="47" t="n">
        <x:v>300957</x:v>
      </x:c>
      <x:c r="D96" s="47" t="str"/>
      <x:c r="E96" s="47" t="str"/>
      <x:c r="F96" s="47" t="str">
        <x:v>current</x:v>
      </x:c>
      <x:c r="G96" s="47" t="n">
        <x:v>92</x:v>
      </x:c>
      <x:c r="H96" s="53" t="b">
        <x:v>1</x:v>
      </x:c>
      <x:c r="I96" s="47" t="str">
        <x:v>3906736965</x:v>
      </x:c>
      <x:c r="J96" s="47" t="n">
        <x:v>27827000</x:v>
      </x:c>
      <x:c r="K96" s="53" t="b">
        <x:v>1</x:v>
      </x:c>
      <x:c r="L96" s="53" t="b">
        <x:v>1</x:v>
      </x:c>
      <x:c r="M96" s="53" t="b">
        <x:v>1</x:v>
      </x:c>
      <x:c r="N96" s="53" t="b">
        <x:v>1</x:v>
      </x:c>
      <x:c r="O96" s="53" t="b">
        <x:v>1</x:v>
      </x:c>
      <x:c r="P96" s="47" t="n">
        <x:v>1011</x:v>
      </x:c>
      <x:c r="Q96" s="47" t="n">
        <x:v>0</x:v>
      </x:c>
      <x:c r="R96" s="47" t="n">
        <x:v>0</x:v>
      </x:c>
      <x:c r="S96" s="47" t="n">
        <x:v>31.03</x:v>
      </x:c>
      <x:c r="T96" s="47" t="n">
        <x:v>61.84</x:v>
      </x:c>
      <x:c r="U96" s="47" t="n">
        <x:v>30.1</x:v>
      </x:c>
      <x:c r="V96" s="47" t="n">
        <x:v>13.9</x:v>
      </x:c>
      <x:c r="W96" s="47" t="n">
        <x:v>0</x:v>
      </x:c>
      <x:c r="X96" s="47" t="n">
        <x:v>0</x:v>
      </x:c>
      <x:c r="Y96" s="41" t="n">
        <x:v>0</x:v>
      </x:c>
    </x:row>
    <x:row r="97">
      <x:c r="A97" s="38" t="str">
        <x:v>7月30日现场数据</x:v>
      </x:c>
      <x:c r="B97" s="66" t="str">
        <x:v>2026-07-30T21:26:47.170000</x:v>
      </x:c>
      <x:c r="C97" s="47" t="n">
        <x:v>300958</x:v>
      </x:c>
      <x:c r="D97" s="47" t="str"/>
      <x:c r="E97" s="47" t="str"/>
      <x:c r="F97" s="47" t="str">
        <x:v>current</x:v>
      </x:c>
      <x:c r="G97" s="47" t="n">
        <x:v>93</x:v>
      </x:c>
      <x:c r="H97" s="53" t="b">
        <x:v>1</x:v>
      </x:c>
      <x:c r="I97" s="47" t="str">
        <x:v>3906736965</x:v>
      </x:c>
      <x:c r="J97" s="47" t="n">
        <x:v>28127958</x:v>
      </x:c>
      <x:c r="K97" s="53" t="b">
        <x:v>1</x:v>
      </x:c>
      <x:c r="L97" s="53" t="b">
        <x:v>1</x:v>
      </x:c>
      <x:c r="M97" s="53" t="b">
        <x:v>1</x:v>
      </x:c>
      <x:c r="N97" s="53" t="b">
        <x:v>1</x:v>
      </x:c>
      <x:c r="O97" s="53" t="b">
        <x:v>1</x:v>
      </x:c>
      <x:c r="P97" s="47" t="n">
        <x:v>1011</x:v>
      </x:c>
      <x:c r="Q97" s="47" t="n">
        <x:v>0</x:v>
      </x:c>
      <x:c r="R97" s="47" t="n">
        <x:v>0</x:v>
      </x:c>
      <x:c r="S97" s="47" t="n">
        <x:v>31.09</x:v>
      </x:c>
      <x:c r="T97" s="47" t="n">
        <x:v>61.92</x:v>
      </x:c>
      <x:c r="U97" s="47" t="n">
        <x:v>30.1</x:v>
      </x:c>
      <x:c r="V97" s="47" t="n">
        <x:v>13.9</x:v>
      </x:c>
      <x:c r="W97" s="47" t="n">
        <x:v>0</x:v>
      </x:c>
      <x:c r="X97" s="47" t="n">
        <x:v>0</x:v>
      </x:c>
      <x:c r="Y97" s="41" t="n">
        <x:v>0</x:v>
      </x:c>
    </x:row>
    <x:row r="98">
      <x:c r="A98" s="38" t="str">
        <x:v>7月30日现场数据</x:v>
      </x:c>
      <x:c r="B98" s="66" t="str">
        <x:v>2026-07-30T21:31:48.130000</x:v>
      </x:c>
      <x:c r="C98" s="47" t="n">
        <x:v>300960</x:v>
      </x:c>
      <x:c r="D98" s="47" t="str"/>
      <x:c r="E98" s="47" t="str"/>
      <x:c r="F98" s="47" t="str">
        <x:v>current</x:v>
      </x:c>
      <x:c r="G98" s="47" t="n">
        <x:v>94</x:v>
      </x:c>
      <x:c r="H98" s="53" t="b">
        <x:v>1</x:v>
      </x:c>
      <x:c r="I98" s="47" t="str">
        <x:v>3906736965</x:v>
      </x:c>
      <x:c r="J98" s="47" t="n">
        <x:v>28428918</x:v>
      </x:c>
      <x:c r="K98" s="53" t="b">
        <x:v>1</x:v>
      </x:c>
      <x:c r="L98" s="53" t="b">
        <x:v>1</x:v>
      </x:c>
      <x:c r="M98" s="53" t="b">
        <x:v>1</x:v>
      </x:c>
      <x:c r="N98" s="53" t="b">
        <x:v>1</x:v>
      </x:c>
      <x:c r="O98" s="53" t="b">
        <x:v>1</x:v>
      </x:c>
      <x:c r="P98" s="47" t="n">
        <x:v>1011</x:v>
      </x:c>
      <x:c r="Q98" s="47" t="n">
        <x:v>0</x:v>
      </x:c>
      <x:c r="R98" s="47" t="n">
        <x:v>0</x:v>
      </x:c>
      <x:c r="S98" s="47" t="n">
        <x:v>31.07</x:v>
      </x:c>
      <x:c r="T98" s="47" t="n">
        <x:v>62.03</x:v>
      </x:c>
      <x:c r="U98" s="47" t="n">
        <x:v>30.1</x:v>
      </x:c>
      <x:c r="V98" s="47" t="n">
        <x:v>13.9</x:v>
      </x:c>
      <x:c r="W98" s="47" t="n">
        <x:v>0</x:v>
      </x:c>
      <x:c r="X98" s="47" t="n">
        <x:v>0</x:v>
      </x:c>
      <x:c r="Y98" s="41" t="n">
        <x:v>0</x:v>
      </x:c>
    </x:row>
    <x:row r="99">
      <x:c r="A99" s="38" t="str">
        <x:v>7月30日现场数据</x:v>
      </x:c>
      <x:c r="B99" s="66" t="str">
        <x:v>2026-07-30T21:36:49.090000</x:v>
      </x:c>
      <x:c r="C99" s="47" t="n">
        <x:v>300960</x:v>
      </x:c>
      <x:c r="D99" s="47" t="str"/>
      <x:c r="E99" s="47" t="str"/>
      <x:c r="F99" s="47" t="str">
        <x:v>current</x:v>
      </x:c>
      <x:c r="G99" s="47" t="n">
        <x:v>95</x:v>
      </x:c>
      <x:c r="H99" s="53" t="b">
        <x:v>1</x:v>
      </x:c>
      <x:c r="I99" s="47" t="str">
        <x:v>3906736965</x:v>
      </x:c>
      <x:c r="J99" s="47" t="n">
        <x:v>28729878</x:v>
      </x:c>
      <x:c r="K99" s="53" t="b">
        <x:v>1</x:v>
      </x:c>
      <x:c r="L99" s="53" t="b">
        <x:v>1</x:v>
      </x:c>
      <x:c r="M99" s="53" t="b">
        <x:v>1</x:v>
      </x:c>
      <x:c r="N99" s="53" t="b">
        <x:v>1</x:v>
      </x:c>
      <x:c r="O99" s="53" t="b">
        <x:v>1</x:v>
      </x:c>
      <x:c r="P99" s="47" t="n">
        <x:v>1011</x:v>
      </x:c>
      <x:c r="Q99" s="47" t="n">
        <x:v>0</x:v>
      </x:c>
      <x:c r="R99" s="47" t="n">
        <x:v>0</x:v>
      </x:c>
      <x:c r="S99" s="47" t="n">
        <x:v>31.03</x:v>
      </x:c>
      <x:c r="T99" s="47" t="n">
        <x:v>62</x:v>
      </x:c>
      <x:c r="U99" s="47" t="n">
        <x:v>30.1</x:v>
      </x:c>
      <x:c r="V99" s="47" t="n">
        <x:v>14</x:v>
      </x:c>
      <x:c r="W99" s="47" t="n">
        <x:v>0</x:v>
      </x:c>
      <x:c r="X99" s="47" t="n">
        <x:v>0</x:v>
      </x:c>
      <x:c r="Y99" s="41" t="n">
        <x:v>0</x:v>
      </x:c>
    </x:row>
    <x:row r="100">
      <x:c r="A100" s="38" t="str">
        <x:v>7月30日现场数据</x:v>
      </x:c>
      <x:c r="B100" s="66" t="str">
        <x:v>2026-07-30T21:41:50.053000</x:v>
      </x:c>
      <x:c r="C100" s="47" t="n">
        <x:v>300963</x:v>
      </x:c>
      <x:c r="D100" s="47" t="str"/>
      <x:c r="E100" s="47" t="str"/>
      <x:c r="F100" s="47" t="str">
        <x:v>current</x:v>
      </x:c>
      <x:c r="G100" s="47" t="n">
        <x:v>96</x:v>
      </x:c>
      <x:c r="H100" s="53" t="b">
        <x:v>1</x:v>
      </x:c>
      <x:c r="I100" s="47" t="str">
        <x:v>3906736965</x:v>
      </x:c>
      <x:c r="J100" s="47" t="n">
        <x:v>29030841</x:v>
      </x:c>
      <x:c r="K100" s="53" t="b">
        <x:v>1</x:v>
      </x:c>
      <x:c r="L100" s="53" t="b">
        <x:v>1</x:v>
      </x:c>
      <x:c r="M100" s="53" t="b">
        <x:v>1</x:v>
      </x:c>
      <x:c r="N100" s="53" t="b">
        <x:v>1</x:v>
      </x:c>
      <x:c r="O100" s="53" t="b">
        <x:v>1</x:v>
      </x:c>
      <x:c r="P100" s="47" t="n">
        <x:v>1011</x:v>
      </x:c>
      <x:c r="Q100" s="47" t="n">
        <x:v>0.01</x:v>
      </x:c>
      <x:c r="R100" s="47" t="n">
        <x:v>0.264</x:v>
      </x:c>
      <x:c r="S100" s="47" t="n">
        <x:v>31.05</x:v>
      </x:c>
      <x:c r="T100" s="47" t="n">
        <x:v>62.02</x:v>
      </x:c>
      <x:c r="U100" s="47" t="n">
        <x:v>30.1</x:v>
      </x:c>
      <x:c r="V100" s="47" t="n">
        <x:v>14</x:v>
      </x:c>
      <x:c r="W100" s="47" t="n">
        <x:v>0</x:v>
      </x:c>
      <x:c r="X100" s="47" t="n">
        <x:v>0</x:v>
      </x:c>
      <x:c r="Y100" s="41" t="n">
        <x:v>0</x:v>
      </x:c>
    </x:row>
    <x:row r="101">
      <x:c r="A101" s="38" t="str">
        <x:v>7月30日现场数据</x:v>
      </x:c>
      <x:c r="B101" s="66" t="str">
        <x:v>2026-07-30T21:46:51.019000</x:v>
      </x:c>
      <x:c r="C101" s="47" t="n">
        <x:v>300966</x:v>
      </x:c>
      <x:c r="D101" s="47" t="str"/>
      <x:c r="E101" s="47" t="str"/>
      <x:c r="F101" s="47" t="str">
        <x:v>current</x:v>
      </x:c>
      <x:c r="G101" s="47" t="n">
        <x:v>97</x:v>
      </x:c>
      <x:c r="H101" s="53" t="b">
        <x:v>1</x:v>
      </x:c>
      <x:c r="I101" s="47" t="str">
        <x:v>3906736965</x:v>
      </x:c>
      <x:c r="J101" s="47" t="n">
        <x:v>29331807</x:v>
      </x:c>
      <x:c r="K101" s="53" t="b">
        <x:v>1</x:v>
      </x:c>
      <x:c r="L101" s="53" t="b">
        <x:v>1</x:v>
      </x:c>
      <x:c r="M101" s="53" t="b">
        <x:v>1</x:v>
      </x:c>
      <x:c r="N101" s="53" t="b">
        <x:v>1</x:v>
      </x:c>
      <x:c r="O101" s="53" t="b">
        <x:v>1</x:v>
      </x:c>
      <x:c r="P101" s="47" t="n">
        <x:v>1011</x:v>
      </x:c>
      <x:c r="Q101" s="47" t="n">
        <x:v>0</x:v>
      </x:c>
      <x:c r="R101" s="47" t="n">
        <x:v>0</x:v>
      </x:c>
      <x:c r="S101" s="47" t="n">
        <x:v>31.05</x:v>
      </x:c>
      <x:c r="T101" s="47" t="n">
        <x:v>62.11</x:v>
      </x:c>
      <x:c r="U101" s="47" t="n">
        <x:v>30.1</x:v>
      </x:c>
      <x:c r="V101" s="47" t="n">
        <x:v>13.9</x:v>
      </x:c>
      <x:c r="W101" s="47" t="n">
        <x:v>0</x:v>
      </x:c>
      <x:c r="X101" s="47" t="n">
        <x:v>0</x:v>
      </x:c>
      <x:c r="Y101" s="41" t="n">
        <x:v>0</x:v>
      </x:c>
    </x:row>
    <x:row r="102">
      <x:c r="A102" s="38" t="str">
        <x:v>7月30日现场数据</x:v>
      </x:c>
      <x:c r="B102" s="66" t="str">
        <x:v>2026-07-30T21:51:51.987000</x:v>
      </x:c>
      <x:c r="C102" s="47" t="n">
        <x:v>300968</x:v>
      </x:c>
      <x:c r="D102" s="47" t="str"/>
      <x:c r="E102" s="47" t="str"/>
      <x:c r="F102" s="47" t="str">
        <x:v>current</x:v>
      </x:c>
      <x:c r="G102" s="47" t="n">
        <x:v>98</x:v>
      </x:c>
      <x:c r="H102" s="53" t="b">
        <x:v>1</x:v>
      </x:c>
      <x:c r="I102" s="47" t="str">
        <x:v>3906736965</x:v>
      </x:c>
      <x:c r="J102" s="47" t="n">
        <x:v>29632775</x:v>
      </x:c>
      <x:c r="K102" s="53" t="b">
        <x:v>1</x:v>
      </x:c>
      <x:c r="L102" s="53" t="b">
        <x:v>1</x:v>
      </x:c>
      <x:c r="M102" s="53" t="b">
        <x:v>1</x:v>
      </x:c>
      <x:c r="N102" s="53" t="b">
        <x:v>1</x:v>
      </x:c>
      <x:c r="O102" s="53" t="b">
        <x:v>1</x:v>
      </x:c>
      <x:c r="P102" s="47" t="n">
        <x:v>1010</x:v>
      </x:c>
      <x:c r="Q102" s="47" t="n">
        <x:v>0</x:v>
      </x:c>
      <x:c r="R102" s="47" t="n">
        <x:v>0</x:v>
      </x:c>
      <x:c r="S102" s="47" t="n">
        <x:v>31.2</x:v>
      </x:c>
      <x:c r="T102" s="47" t="n">
        <x:v>62.2</x:v>
      </x:c>
      <x:c r="U102" s="47" t="n">
        <x:v>30</x:v>
      </x:c>
      <x:c r="V102" s="47" t="n">
        <x:v>13.9</x:v>
      </x:c>
      <x:c r="W102" s="47" t="n">
        <x:v>0</x:v>
      </x:c>
      <x:c r="X102" s="47" t="n">
        <x:v>0</x:v>
      </x:c>
      <x:c r="Y102" s="41" t="n">
        <x:v>0</x:v>
      </x:c>
    </x:row>
    <x:row r="103">
      <x:c r="A103" s="38" t="str">
        <x:v>7月30日现场数据</x:v>
      </x:c>
      <x:c r="B103" s="66" t="str">
        <x:v>2026-07-30T21:56:52.957000</x:v>
      </x:c>
      <x:c r="C103" s="47" t="n">
        <x:v>300970</x:v>
      </x:c>
      <x:c r="D103" s="47" t="str"/>
      <x:c r="E103" s="47" t="str"/>
      <x:c r="F103" s="47" t="str">
        <x:v>current</x:v>
      </x:c>
      <x:c r="G103" s="47" t="n">
        <x:v>99</x:v>
      </x:c>
      <x:c r="H103" s="53" t="b">
        <x:v>1</x:v>
      </x:c>
      <x:c r="I103" s="47" t="str">
        <x:v>3906736965</x:v>
      </x:c>
      <x:c r="J103" s="47" t="n">
        <x:v>29933745</x:v>
      </x:c>
      <x:c r="K103" s="53" t="b">
        <x:v>1</x:v>
      </x:c>
      <x:c r="L103" s="53" t="b">
        <x:v>1</x:v>
      </x:c>
      <x:c r="M103" s="53" t="b">
        <x:v>1</x:v>
      </x:c>
      <x:c r="N103" s="53" t="b">
        <x:v>1</x:v>
      </x:c>
      <x:c r="O103" s="53" t="b">
        <x:v>1</x:v>
      </x:c>
      <x:c r="P103" s="47" t="n">
        <x:v>1011</x:v>
      </x:c>
      <x:c r="Q103" s="47" t="n">
        <x:v>0</x:v>
      </x:c>
      <x:c r="R103" s="47" t="n">
        <x:v>0</x:v>
      </x:c>
      <x:c r="S103" s="47" t="n">
        <x:v>31.32</x:v>
      </x:c>
      <x:c r="T103" s="47" t="n">
        <x:v>62.31</x:v>
      </x:c>
      <x:c r="U103" s="47" t="n">
        <x:v>30</x:v>
      </x:c>
      <x:c r="V103" s="47" t="n">
        <x:v>13.9</x:v>
      </x:c>
      <x:c r="W103" s="47" t="n">
        <x:v>0</x:v>
      </x:c>
      <x:c r="X103" s="47" t="n">
        <x:v>0</x:v>
      </x:c>
      <x:c r="Y103" s="41" t="n">
        <x:v>0</x:v>
      </x:c>
    </x:row>
    <x:row r="104">
      <x:c r="A104" s="38" t="str">
        <x:v>7月30日现场数据</x:v>
      </x:c>
      <x:c r="B104" s="66" t="str">
        <x:v>2026-07-30T22:01:53.929000</x:v>
      </x:c>
      <x:c r="C104" s="47" t="n">
        <x:v>300972</x:v>
      </x:c>
      <x:c r="D104" s="47" t="str"/>
      <x:c r="E104" s="47" t="str"/>
      <x:c r="F104" s="47" t="str">
        <x:v>current</x:v>
      </x:c>
      <x:c r="G104" s="47" t="n">
        <x:v>100</x:v>
      </x:c>
      <x:c r="H104" s="53" t="b">
        <x:v>1</x:v>
      </x:c>
      <x:c r="I104" s="47" t="str">
        <x:v>3906736965</x:v>
      </x:c>
      <x:c r="J104" s="47" t="n">
        <x:v>30234717</x:v>
      </x:c>
      <x:c r="K104" s="53" t="b">
        <x:v>1</x:v>
      </x:c>
      <x:c r="L104" s="53" t="b">
        <x:v>1</x:v>
      </x:c>
      <x:c r="M104" s="53" t="b">
        <x:v>1</x:v>
      </x:c>
      <x:c r="N104" s="53" t="b">
        <x:v>1</x:v>
      </x:c>
      <x:c r="O104" s="53" t="b">
        <x:v>1</x:v>
      </x:c>
      <x:c r="P104" s="47" t="n">
        <x:v>1011</x:v>
      </x:c>
      <x:c r="Q104" s="47" t="n">
        <x:v>0</x:v>
      </x:c>
      <x:c r="R104" s="47" t="n">
        <x:v>0</x:v>
      </x:c>
      <x:c r="S104" s="47" t="n">
        <x:v>31.41</x:v>
      </x:c>
      <x:c r="T104" s="47" t="n">
        <x:v>62.42</x:v>
      </x:c>
      <x:c r="U104" s="47" t="n">
        <x:v>30</x:v>
      </x:c>
      <x:c r="V104" s="47" t="n">
        <x:v>13.9</x:v>
      </x:c>
      <x:c r="W104" s="47" t="n">
        <x:v>0</x:v>
      </x:c>
      <x:c r="X104" s="47" t="n">
        <x:v>0</x:v>
      </x:c>
      <x:c r="Y104" s="41" t="n">
        <x:v>0</x:v>
      </x:c>
    </x:row>
    <x:row r="105">
      <x:c r="A105" s="38" t="str">
        <x:v>7月30日现场数据</x:v>
      </x:c>
      <x:c r="B105" s="66" t="str">
        <x:v>2026-07-30T22:06:54.904000</x:v>
      </x:c>
      <x:c r="C105" s="47" t="n">
        <x:v>300975</x:v>
      </x:c>
      <x:c r="D105" s="47" t="str"/>
      <x:c r="E105" s="47" t="str"/>
      <x:c r="F105" s="47" t="str">
        <x:v>current</x:v>
      </x:c>
      <x:c r="G105" s="47" t="n">
        <x:v>101</x:v>
      </x:c>
      <x:c r="H105" s="53" t="b">
        <x:v>1</x:v>
      </x:c>
      <x:c r="I105" s="47" t="str">
        <x:v>3906736965</x:v>
      </x:c>
      <x:c r="J105" s="47" t="n">
        <x:v>30535692</x:v>
      </x:c>
      <x:c r="K105" s="53" t="b">
        <x:v>1</x:v>
      </x:c>
      <x:c r="L105" s="53" t="b">
        <x:v>1</x:v>
      </x:c>
      <x:c r="M105" s="53" t="b">
        <x:v>1</x:v>
      </x:c>
      <x:c r="N105" s="53" t="b">
        <x:v>1</x:v>
      </x:c>
      <x:c r="O105" s="53" t="b">
        <x:v>1</x:v>
      </x:c>
      <x:c r="P105" s="47" t="n">
        <x:v>1011</x:v>
      </x:c>
      <x:c r="Q105" s="47" t="n">
        <x:v>0</x:v>
      </x:c>
      <x:c r="R105" s="47" t="n">
        <x:v>0</x:v>
      </x:c>
      <x:c r="S105" s="47" t="n">
        <x:v>31.53</x:v>
      </x:c>
      <x:c r="T105" s="47" t="n">
        <x:v>62.5</x:v>
      </x:c>
      <x:c r="U105" s="47" t="n">
        <x:v>30</x:v>
      </x:c>
      <x:c r="V105" s="47" t="n">
        <x:v>13.9</x:v>
      </x:c>
      <x:c r="W105" s="47" t="n">
        <x:v>0</x:v>
      </x:c>
      <x:c r="X105" s="47" t="n">
        <x:v>0</x:v>
      </x:c>
      <x:c r="Y105" s="41" t="n">
        <x:v>0</x:v>
      </x:c>
    </x:row>
    <x:row r="106">
      <x:c r="A106" s="38" t="str">
        <x:v>7月30日现场数据</x:v>
      </x:c>
      <x:c r="B106" s="66" t="str">
        <x:v>2026-07-30T22:11:55.913000</x:v>
      </x:c>
      <x:c r="C106" s="47" t="n">
        <x:v>301009</x:v>
      </x:c>
      <x:c r="D106" s="47" t="str"/>
      <x:c r="E106" s="47" t="str"/>
      <x:c r="F106" s="47" t="str">
        <x:v>current</x:v>
      </x:c>
      <x:c r="G106" s="47" t="n">
        <x:v>102</x:v>
      </x:c>
      <x:c r="H106" s="53" t="b">
        <x:v>1</x:v>
      </x:c>
      <x:c r="I106" s="47" t="str">
        <x:v>3906736965</x:v>
      </x:c>
      <x:c r="J106" s="47" t="n">
        <x:v>30836701</x:v>
      </x:c>
      <x:c r="K106" s="53" t="b">
        <x:v>1</x:v>
      </x:c>
      <x:c r="L106" s="53" t="b">
        <x:v>1</x:v>
      </x:c>
      <x:c r="M106" s="53" t="b">
        <x:v>1</x:v>
      </x:c>
      <x:c r="N106" s="53" t="b">
        <x:v>1</x:v>
      </x:c>
      <x:c r="O106" s="53" t="b">
        <x:v>1</x:v>
      </x:c>
      <x:c r="P106" s="47" t="n">
        <x:v>1011</x:v>
      </x:c>
      <x:c r="Q106" s="47" t="n">
        <x:v>0</x:v>
      </x:c>
      <x:c r="R106" s="47" t="n">
        <x:v>0</x:v>
      </x:c>
      <x:c r="S106" s="47" t="n">
        <x:v>31.47</x:v>
      </x:c>
      <x:c r="T106" s="47" t="n">
        <x:v>62.54</x:v>
      </x:c>
      <x:c r="U106" s="47" t="n">
        <x:v>30</x:v>
      </x:c>
      <x:c r="V106" s="47" t="n">
        <x:v>13.9</x:v>
      </x:c>
      <x:c r="W106" s="47" t="n">
        <x:v>0</x:v>
      </x:c>
      <x:c r="X106" s="47" t="n">
        <x:v>0</x:v>
      </x:c>
      <x:c r="Y106" s="41" t="n">
        <x:v>0</x:v>
      </x:c>
    </x:row>
    <x:row r="107">
      <x:c r="A107" s="38" t="str">
        <x:v>7月30日现场数据</x:v>
      </x:c>
      <x:c r="B107" s="66" t="str">
        <x:v>2026-07-30T22:16:56.860000</x:v>
      </x:c>
      <x:c r="C107" s="47" t="n">
        <x:v>300947</x:v>
      </x:c>
      <x:c r="D107" s="47" t="str"/>
      <x:c r="E107" s="47" t="str"/>
      <x:c r="F107" s="47" t="str">
        <x:v>current</x:v>
      </x:c>
      <x:c r="G107" s="47" t="n">
        <x:v>103</x:v>
      </x:c>
      <x:c r="H107" s="53" t="b">
        <x:v>1</x:v>
      </x:c>
      <x:c r="I107" s="47" t="str">
        <x:v>3906736965</x:v>
      </x:c>
      <x:c r="J107" s="47" t="n">
        <x:v>31137648</x:v>
      </x:c>
      <x:c r="K107" s="53" t="b">
        <x:v>1</x:v>
      </x:c>
      <x:c r="L107" s="53" t="b">
        <x:v>1</x:v>
      </x:c>
      <x:c r="M107" s="53" t="b">
        <x:v>1</x:v>
      </x:c>
      <x:c r="N107" s="53" t="b">
        <x:v>1</x:v>
      </x:c>
      <x:c r="O107" s="53" t="b">
        <x:v>1</x:v>
      </x:c>
      <x:c r="P107" s="47" t="n">
        <x:v>1010</x:v>
      </x:c>
      <x:c r="Q107" s="47" t="n">
        <x:v>0</x:v>
      </x:c>
      <x:c r="R107" s="47" t="n">
        <x:v>0</x:v>
      </x:c>
      <x:c r="S107" s="47" t="n">
        <x:v>31.32</x:v>
      </x:c>
      <x:c r="T107" s="47" t="n">
        <x:v>62.53</x:v>
      </x:c>
      <x:c r="U107" s="47" t="n">
        <x:v>30</x:v>
      </x:c>
      <x:c r="V107" s="47" t="n">
        <x:v>13.9</x:v>
      </x:c>
      <x:c r="W107" s="47" t="n">
        <x:v>0</x:v>
      </x:c>
      <x:c r="X107" s="47" t="n">
        <x:v>0</x:v>
      </x:c>
      <x:c r="Y107" s="41" t="n">
        <x:v>0</x:v>
      </x:c>
    </x:row>
    <x:row r="108">
      <x:c r="A108" s="38" t="str">
        <x:v>7月30日现场数据</x:v>
      </x:c>
      <x:c r="B108" s="66" t="str">
        <x:v>2026-07-30T22:21:57.811000</x:v>
      </x:c>
      <x:c r="C108" s="47" t="n">
        <x:v>300951</x:v>
      </x:c>
      <x:c r="D108" s="47" t="str"/>
      <x:c r="E108" s="47" t="str"/>
      <x:c r="F108" s="47" t="str">
        <x:v>current</x:v>
      </x:c>
      <x:c r="G108" s="47" t="n">
        <x:v>104</x:v>
      </x:c>
      <x:c r="H108" s="53" t="b">
        <x:v>1</x:v>
      </x:c>
      <x:c r="I108" s="47" t="str">
        <x:v>3906736965</x:v>
      </x:c>
      <x:c r="J108" s="47" t="n">
        <x:v>31438599</x:v>
      </x:c>
      <x:c r="K108" s="53" t="b">
        <x:v>1</x:v>
      </x:c>
      <x:c r="L108" s="53" t="b">
        <x:v>1</x:v>
      </x:c>
      <x:c r="M108" s="53" t="b">
        <x:v>1</x:v>
      </x:c>
      <x:c r="N108" s="53" t="b">
        <x:v>1</x:v>
      </x:c>
      <x:c r="O108" s="53" t="b">
        <x:v>1</x:v>
      </x:c>
      <x:c r="P108" s="47" t="n">
        <x:v>1011</x:v>
      </x:c>
      <x:c r="Q108" s="47" t="n">
        <x:v>0</x:v>
      </x:c>
      <x:c r="R108" s="47" t="n">
        <x:v>0</x:v>
      </x:c>
      <x:c r="S108" s="47" t="n">
        <x:v>31.29</x:v>
      </x:c>
      <x:c r="T108" s="47" t="n">
        <x:v>62.55</x:v>
      </x:c>
      <x:c r="U108" s="47" t="n">
        <x:v>30</x:v>
      </x:c>
      <x:c r="V108" s="47" t="n">
        <x:v>13.9</x:v>
      </x:c>
      <x:c r="W108" s="47" t="n">
        <x:v>0</x:v>
      </x:c>
      <x:c r="X108" s="47" t="n">
        <x:v>0</x:v>
      </x:c>
      <x:c r="Y108" s="41" t="n">
        <x:v>0</x:v>
      </x:c>
    </x:row>
    <x:row r="109">
      <x:c r="A109" s="38" t="str">
        <x:v>7月30日现场数据</x:v>
      </x:c>
      <x:c r="B109" s="66" t="str">
        <x:v>2026-07-30T22:26:58.762000</x:v>
      </x:c>
      <x:c r="C109" s="47" t="n">
        <x:v>300951</x:v>
      </x:c>
      <x:c r="D109" s="47" t="str"/>
      <x:c r="E109" s="47" t="str"/>
      <x:c r="F109" s="47" t="str">
        <x:v>current</x:v>
      </x:c>
      <x:c r="G109" s="47" t="n">
        <x:v>105</x:v>
      </x:c>
      <x:c r="H109" s="53" t="b">
        <x:v>1</x:v>
      </x:c>
      <x:c r="I109" s="47" t="str">
        <x:v>3906736965</x:v>
      </x:c>
      <x:c r="J109" s="47" t="n">
        <x:v>31739550</x:v>
      </x:c>
      <x:c r="K109" s="53" t="b">
        <x:v>1</x:v>
      </x:c>
      <x:c r="L109" s="53" t="b">
        <x:v>1</x:v>
      </x:c>
      <x:c r="M109" s="53" t="b">
        <x:v>1</x:v>
      </x:c>
      <x:c r="N109" s="53" t="b">
        <x:v>1</x:v>
      </x:c>
      <x:c r="O109" s="53" t="b">
        <x:v>1</x:v>
      </x:c>
      <x:c r="P109" s="47" t="n">
        <x:v>1011</x:v>
      </x:c>
      <x:c r="Q109" s="47" t="n">
        <x:v>0</x:v>
      </x:c>
      <x:c r="R109" s="47" t="n">
        <x:v>0</x:v>
      </x:c>
      <x:c r="S109" s="47" t="n">
        <x:v>31.33</x:v>
      </x:c>
      <x:c r="T109" s="47" t="n">
        <x:v>62.66</x:v>
      </x:c>
      <x:c r="U109" s="47" t="n">
        <x:v>30</x:v>
      </x:c>
      <x:c r="V109" s="47" t="n">
        <x:v>13.9</x:v>
      </x:c>
      <x:c r="W109" s="47" t="n">
        <x:v>0</x:v>
      </x:c>
      <x:c r="X109" s="47" t="n">
        <x:v>0</x:v>
      </x:c>
      <x:c r="Y109" s="41" t="n">
        <x:v>0</x:v>
      </x:c>
    </x:row>
    <x:row r="110">
      <x:c r="A110" s="38" t="str">
        <x:v>7月30日现场数据</x:v>
      </x:c>
      <x:c r="B110" s="66" t="str">
        <x:v>2026-07-30T22:31:59.716000</x:v>
      </x:c>
      <x:c r="C110" s="47" t="n">
        <x:v>300954</x:v>
      </x:c>
      <x:c r="D110" s="47" t="str"/>
      <x:c r="E110" s="47" t="str"/>
      <x:c r="F110" s="47" t="str">
        <x:v>current</x:v>
      </x:c>
      <x:c r="G110" s="47" t="n">
        <x:v>106</x:v>
      </x:c>
      <x:c r="H110" s="53" t="b">
        <x:v>1</x:v>
      </x:c>
      <x:c r="I110" s="47" t="str">
        <x:v>3906736965</x:v>
      </x:c>
      <x:c r="J110" s="47" t="n">
        <x:v>32040504</x:v>
      </x:c>
      <x:c r="K110" s="53" t="b">
        <x:v>1</x:v>
      </x:c>
      <x:c r="L110" s="53" t="b">
        <x:v>1</x:v>
      </x:c>
      <x:c r="M110" s="53" t="b">
        <x:v>1</x:v>
      </x:c>
      <x:c r="N110" s="53" t="b">
        <x:v>1</x:v>
      </x:c>
      <x:c r="O110" s="53" t="b">
        <x:v>1</x:v>
      </x:c>
      <x:c r="P110" s="47" t="n">
        <x:v>1011</x:v>
      </x:c>
      <x:c r="Q110" s="47" t="n">
        <x:v>0</x:v>
      </x:c>
      <x:c r="R110" s="47" t="n">
        <x:v>0</x:v>
      </x:c>
      <x:c r="S110" s="47" t="n">
        <x:v>31.21</x:v>
      </x:c>
      <x:c r="T110" s="47" t="n">
        <x:v>62.66</x:v>
      </x:c>
      <x:c r="U110" s="47" t="n">
        <x:v>30</x:v>
      </x:c>
      <x:c r="V110" s="47" t="n">
        <x:v>13.9</x:v>
      </x:c>
      <x:c r="W110" s="47" t="n">
        <x:v>0</x:v>
      </x:c>
      <x:c r="X110" s="47" t="n">
        <x:v>0</x:v>
      </x:c>
      <x:c r="Y110" s="41" t="n">
        <x:v>0</x:v>
      </x:c>
    </x:row>
    <x:row r="111">
      <x:c r="A111" s="38" t="str">
        <x:v>7月30日现场数据</x:v>
      </x:c>
      <x:c r="B111" s="66" t="str">
        <x:v>2026-07-30T22:37:00.673000</x:v>
      </x:c>
      <x:c r="C111" s="47" t="n">
        <x:v>300957</x:v>
      </x:c>
      <x:c r="D111" s="47" t="str"/>
      <x:c r="E111" s="47" t="str"/>
      <x:c r="F111" s="47" t="str">
        <x:v>current</x:v>
      </x:c>
      <x:c r="G111" s="47" t="n">
        <x:v>107</x:v>
      </x:c>
      <x:c r="H111" s="53" t="b">
        <x:v>1</x:v>
      </x:c>
      <x:c r="I111" s="47" t="str">
        <x:v>3906736965</x:v>
      </x:c>
      <x:c r="J111" s="47" t="n">
        <x:v>32341461</x:v>
      </x:c>
      <x:c r="K111" s="53" t="b">
        <x:v>1</x:v>
      </x:c>
      <x:c r="L111" s="53" t="b">
        <x:v>1</x:v>
      </x:c>
      <x:c r="M111" s="53" t="b">
        <x:v>1</x:v>
      </x:c>
      <x:c r="N111" s="53" t="b">
        <x:v>1</x:v>
      </x:c>
      <x:c r="O111" s="53" t="b">
        <x:v>1</x:v>
      </x:c>
      <x:c r="P111" s="47" t="n">
        <x:v>1010</x:v>
      </x:c>
      <x:c r="Q111" s="47" t="n">
        <x:v>0</x:v>
      </x:c>
      <x:c r="R111" s="47" t="n">
        <x:v>0</x:v>
      </x:c>
      <x:c r="S111" s="47" t="n">
        <x:v>31.09</x:v>
      </x:c>
      <x:c r="T111" s="47" t="n">
        <x:v>62.64</x:v>
      </x:c>
      <x:c r="U111" s="47" t="n">
        <x:v>30</x:v>
      </x:c>
      <x:c r="V111" s="47" t="n">
        <x:v>13.9</x:v>
      </x:c>
      <x:c r="W111" s="47" t="n">
        <x:v>0</x:v>
      </x:c>
      <x:c r="X111" s="47" t="n">
        <x:v>0</x:v>
      </x:c>
      <x:c r="Y111" s="41" t="n">
        <x:v>0</x:v>
      </x:c>
    </x:row>
    <x:row r="112">
      <x:c r="A112" s="38" t="str">
        <x:v>7月30日现场数据</x:v>
      </x:c>
      <x:c r="B112" s="66" t="str">
        <x:v>2026-07-30T22:42:18.323000</x:v>
      </x:c>
      <x:c r="C112" s="47" t="n">
        <x:v>317650</x:v>
      </x:c>
      <x:c r="D112" s="47" t="str"/>
      <x:c r="E112" s="47" t="str"/>
      <x:c r="F112" s="47" t="str">
        <x:v>current</x:v>
      </x:c>
      <x:c r="G112" s="47" t="n">
        <x:v>108</x:v>
      </x:c>
      <x:c r="H112" s="53" t="b">
        <x:v>1</x:v>
      </x:c>
      <x:c r="I112" s="47" t="str">
        <x:v>3906736965</x:v>
      </x:c>
      <x:c r="J112" s="47" t="n">
        <x:v>32659111</x:v>
      </x:c>
      <x:c r="K112" s="53" t="b">
        <x:v>1</x:v>
      </x:c>
      <x:c r="L112" s="53" t="b">
        <x:v>1</x:v>
      </x:c>
      <x:c r="M112" s="53" t="b">
        <x:v>1</x:v>
      </x:c>
      <x:c r="N112" s="53" t="b">
        <x:v>1</x:v>
      </x:c>
      <x:c r="O112" s="53" t="b">
        <x:v>1</x:v>
      </x:c>
      <x:c r="P112" s="47" t="n">
        <x:v>1011</x:v>
      </x:c>
      <x:c r="Q112" s="47" t="n">
        <x:v>0</x:v>
      </x:c>
      <x:c r="R112" s="47" t="n">
        <x:v>0</x:v>
      </x:c>
      <x:c r="S112" s="47" t="n">
        <x:v>31.03</x:v>
      </x:c>
      <x:c r="T112" s="47" t="n">
        <x:v>62.67</x:v>
      </x:c>
      <x:c r="U112" s="47" t="n">
        <x:v>30</x:v>
      </x:c>
      <x:c r="V112" s="47" t="n">
        <x:v>13.9</x:v>
      </x:c>
      <x:c r="W112" s="47" t="n">
        <x:v>0</x:v>
      </x:c>
      <x:c r="X112" s="47" t="n">
        <x:v>0</x:v>
      </x:c>
      <x:c r="Y112" s="41" t="n">
        <x:v>0</x:v>
      </x:c>
    </x:row>
    <x:row r="113">
      <x:c r="A113" s="38" t="str">
        <x:v>7月30日现场数据</x:v>
      </x:c>
      <x:c r="B113" s="66" t="str">
        <x:v>2026-07-30T22:47:19.285000</x:v>
      </x:c>
      <x:c r="C113" s="47" t="n">
        <x:v>300962</x:v>
      </x:c>
      <x:c r="D113" s="47" t="str"/>
      <x:c r="E113" s="47" t="str"/>
      <x:c r="F113" s="47" t="str">
        <x:v>current</x:v>
      </x:c>
      <x:c r="G113" s="47" t="n">
        <x:v>109</x:v>
      </x:c>
      <x:c r="H113" s="53" t="b">
        <x:v>1</x:v>
      </x:c>
      <x:c r="I113" s="47" t="str">
        <x:v>3906736965</x:v>
      </x:c>
      <x:c r="J113" s="47" t="n">
        <x:v>32960073</x:v>
      </x:c>
      <x:c r="K113" s="53" t="b">
        <x:v>1</x:v>
      </x:c>
      <x:c r="L113" s="53" t="b">
        <x:v>1</x:v>
      </x:c>
      <x:c r="M113" s="53" t="b">
        <x:v>1</x:v>
      </x:c>
      <x:c r="N113" s="53" t="b">
        <x:v>1</x:v>
      </x:c>
      <x:c r="O113" s="53" t="b">
        <x:v>1</x:v>
      </x:c>
      <x:c r="P113" s="47" t="n">
        <x:v>1011</x:v>
      </x:c>
      <x:c r="Q113" s="47" t="n">
        <x:v>0</x:v>
      </x:c>
      <x:c r="R113" s="47" t="n">
        <x:v>0</x:v>
      </x:c>
      <x:c r="S113" s="47" t="n">
        <x:v>31.13</x:v>
      </x:c>
      <x:c r="T113" s="47" t="n">
        <x:v>62.75</x:v>
      </x:c>
      <x:c r="U113" s="47" t="n">
        <x:v>30</x:v>
      </x:c>
      <x:c r="V113" s="47" t="n">
        <x:v>13.9</x:v>
      </x:c>
      <x:c r="W113" s="47" t="n">
        <x:v>0</x:v>
      </x:c>
      <x:c r="X113" s="47" t="n">
        <x:v>0</x:v>
      </x:c>
      <x:c r="Y113" s="41" t="n">
        <x:v>0</x:v>
      </x:c>
    </x:row>
    <x:row r="114">
      <x:c r="A114" s="38" t="str">
        <x:v>7月30日现场数据</x:v>
      </x:c>
      <x:c r="B114" s="66" t="str">
        <x:v>2026-07-30T22:52:20.249000</x:v>
      </x:c>
      <x:c r="C114" s="47" t="n">
        <x:v>300964</x:v>
      </x:c>
      <x:c r="D114" s="47" t="str"/>
      <x:c r="E114" s="47" t="str"/>
      <x:c r="F114" s="47" t="str">
        <x:v>current</x:v>
      </x:c>
      <x:c r="G114" s="47" t="n">
        <x:v>110</x:v>
      </x:c>
      <x:c r="H114" s="53" t="b">
        <x:v>1</x:v>
      </x:c>
      <x:c r="I114" s="47" t="str">
        <x:v>3906736965</x:v>
      </x:c>
      <x:c r="J114" s="47" t="n">
        <x:v>33261037</x:v>
      </x:c>
      <x:c r="K114" s="53" t="b">
        <x:v>1</x:v>
      </x:c>
      <x:c r="L114" s="53" t="b">
        <x:v>1</x:v>
      </x:c>
      <x:c r="M114" s="53" t="b">
        <x:v>1</x:v>
      </x:c>
      <x:c r="N114" s="53" t="b">
        <x:v>1</x:v>
      </x:c>
      <x:c r="O114" s="53" t="b">
        <x:v>1</x:v>
      </x:c>
      <x:c r="P114" s="47" t="n">
        <x:v>1011</x:v>
      </x:c>
      <x:c r="Q114" s="47" t="n">
        <x:v>0</x:v>
      </x:c>
      <x:c r="R114" s="47" t="n">
        <x:v>0</x:v>
      </x:c>
      <x:c r="S114" s="47" t="n">
        <x:v>31.23</x:v>
      </x:c>
      <x:c r="T114" s="47" t="n">
        <x:v>62.83</x:v>
      </x:c>
      <x:c r="U114" s="47" t="n">
        <x:v>30</x:v>
      </x:c>
      <x:c r="V114" s="47" t="n">
        <x:v>13.9</x:v>
      </x:c>
      <x:c r="W114" s="47" t="n">
        <x:v>0</x:v>
      </x:c>
      <x:c r="X114" s="47" t="n">
        <x:v>0</x:v>
      </x:c>
      <x:c r="Y114" s="41" t="n">
        <x:v>0</x:v>
      </x:c>
    </x:row>
    <x:row r="115">
      <x:c r="A115" s="38" t="str">
        <x:v>7月30日现场数据</x:v>
      </x:c>
      <x:c r="B115" s="66" t="str">
        <x:v>2026-07-30T22:57:21.213000</x:v>
      </x:c>
      <x:c r="C115" s="47" t="n">
        <x:v>300964</x:v>
      </x:c>
      <x:c r="D115" s="47" t="str"/>
      <x:c r="E115" s="47" t="str"/>
      <x:c r="F115" s="47" t="str">
        <x:v>current</x:v>
      </x:c>
      <x:c r="G115" s="47" t="n">
        <x:v>111</x:v>
      </x:c>
      <x:c r="H115" s="53" t="b">
        <x:v>1</x:v>
      </x:c>
      <x:c r="I115" s="47" t="str">
        <x:v>3906736965</x:v>
      </x:c>
      <x:c r="J115" s="47" t="n">
        <x:v>33562001</x:v>
      </x:c>
      <x:c r="K115" s="53" t="b">
        <x:v>1</x:v>
      </x:c>
      <x:c r="L115" s="53" t="b">
        <x:v>1</x:v>
      </x:c>
      <x:c r="M115" s="53" t="b">
        <x:v>1</x:v>
      </x:c>
      <x:c r="N115" s="53" t="b">
        <x:v>1</x:v>
      </x:c>
      <x:c r="O115" s="53" t="b">
        <x:v>1</x:v>
      </x:c>
      <x:c r="P115" s="47" t="n">
        <x:v>1011</x:v>
      </x:c>
      <x:c r="Q115" s="47" t="n">
        <x:v>0</x:v>
      </x:c>
      <x:c r="R115" s="47" t="n">
        <x:v>0</x:v>
      </x:c>
      <x:c r="S115" s="47" t="n">
        <x:v>31.12</x:v>
      </x:c>
      <x:c r="T115" s="47" t="n">
        <x:v>62.86</x:v>
      </x:c>
      <x:c r="U115" s="47" t="n">
        <x:v>30</x:v>
      </x:c>
      <x:c r="V115" s="47" t="n">
        <x:v>13.9</x:v>
      </x:c>
      <x:c r="W115" s="47" t="n">
        <x:v>0</x:v>
      </x:c>
      <x:c r="X115" s="47" t="n">
        <x:v>0</x:v>
      </x:c>
      <x:c r="Y115" s="41" t="n">
        <x:v>0</x:v>
      </x:c>
    </x:row>
    <x:row r="116">
      <x:c r="A116" s="38" t="str">
        <x:v>7月30日现场数据</x:v>
      </x:c>
      <x:c r="B116" s="66" t="str">
        <x:v>2026-07-30T23:02:22.181000</x:v>
      </x:c>
      <x:c r="C116" s="47" t="n">
        <x:v>300968</x:v>
      </x:c>
      <x:c r="D116" s="47" t="str"/>
      <x:c r="E116" s="47" t="str"/>
      <x:c r="F116" s="47" t="str">
        <x:v>current</x:v>
      </x:c>
      <x:c r="G116" s="47" t="n">
        <x:v>112</x:v>
      </x:c>
      <x:c r="H116" s="53" t="b">
        <x:v>1</x:v>
      </x:c>
      <x:c r="I116" s="47" t="str">
        <x:v>3906736965</x:v>
      </x:c>
      <x:c r="J116" s="47" t="n">
        <x:v>33862969</x:v>
      </x:c>
      <x:c r="K116" s="53" t="b">
        <x:v>1</x:v>
      </x:c>
      <x:c r="L116" s="53" t="b">
        <x:v>1</x:v>
      </x:c>
      <x:c r="M116" s="53" t="b">
        <x:v>1</x:v>
      </x:c>
      <x:c r="N116" s="53" t="b">
        <x:v>1</x:v>
      </x:c>
      <x:c r="O116" s="53" t="b">
        <x:v>1</x:v>
      </x:c>
      <x:c r="P116" s="47" t="n">
        <x:v>1011</x:v>
      </x:c>
      <x:c r="Q116" s="47" t="n">
        <x:v>0</x:v>
      </x:c>
      <x:c r="R116" s="47" t="n">
        <x:v>0</x:v>
      </x:c>
      <x:c r="S116" s="47" t="n">
        <x:v>30.96</x:v>
      </x:c>
      <x:c r="T116" s="47" t="n">
        <x:v>62.9</x:v>
      </x:c>
      <x:c r="U116" s="47" t="n">
        <x:v>30</x:v>
      </x:c>
      <x:c r="V116" s="47" t="n">
        <x:v>13.8</x:v>
      </x:c>
      <x:c r="W116" s="47" t="n">
        <x:v>0</x:v>
      </x:c>
      <x:c r="X116" s="47" t="n">
        <x:v>0</x:v>
      </x:c>
      <x:c r="Y116" s="41" t="n">
        <x:v>0</x:v>
      </x:c>
    </x:row>
    <x:row r="117">
      <x:c r="A117" s="38" t="str">
        <x:v>7月30日现场数据</x:v>
      </x:c>
      <x:c r="B117" s="66" t="str">
        <x:v>2026-07-30T23:07:23.150000</x:v>
      </x:c>
      <x:c r="C117" s="47" t="n">
        <x:v>300969</x:v>
      </x:c>
      <x:c r="D117" s="47" t="str"/>
      <x:c r="E117" s="47" t="str"/>
      <x:c r="F117" s="47" t="str">
        <x:v>current</x:v>
      </x:c>
      <x:c r="G117" s="47" t="n">
        <x:v>113</x:v>
      </x:c>
      <x:c r="H117" s="53" t="b">
        <x:v>1</x:v>
      </x:c>
      <x:c r="I117" s="47" t="str">
        <x:v>3906736965</x:v>
      </x:c>
      <x:c r="J117" s="47" t="n">
        <x:v>34163938</x:v>
      </x:c>
      <x:c r="K117" s="53" t="b">
        <x:v>1</x:v>
      </x:c>
      <x:c r="L117" s="53" t="b">
        <x:v>1</x:v>
      </x:c>
      <x:c r="M117" s="53" t="b">
        <x:v>1</x:v>
      </x:c>
      <x:c r="N117" s="53" t="b">
        <x:v>1</x:v>
      </x:c>
      <x:c r="O117" s="53" t="b">
        <x:v>1</x:v>
      </x:c>
      <x:c r="P117" s="47" t="n">
        <x:v>1011</x:v>
      </x:c>
      <x:c r="Q117" s="47" t="n">
        <x:v>0</x:v>
      </x:c>
      <x:c r="R117" s="47" t="n">
        <x:v>0</x:v>
      </x:c>
      <x:c r="S117" s="47" t="n">
        <x:v>30.92</x:v>
      </x:c>
      <x:c r="T117" s="47" t="n">
        <x:v>62.95</x:v>
      </x:c>
      <x:c r="U117" s="47" t="n">
        <x:v>30</x:v>
      </x:c>
      <x:c r="V117" s="47" t="n">
        <x:v>13.9</x:v>
      </x:c>
      <x:c r="W117" s="47" t="n">
        <x:v>0</x:v>
      </x:c>
      <x:c r="X117" s="47" t="n">
        <x:v>0</x:v>
      </x:c>
      <x:c r="Y117" s="41" t="n">
        <x:v>0</x:v>
      </x:c>
    </x:row>
    <x:row r="118">
      <x:c r="A118" s="38" t="str">
        <x:v>7月30日现场数据</x:v>
      </x:c>
      <x:c r="B118" s="66" t="str">
        <x:v>2026-07-30T23:12:24.119000</x:v>
      </x:c>
      <x:c r="C118" s="47" t="n">
        <x:v>300969</x:v>
      </x:c>
      <x:c r="D118" s="47" t="str"/>
      <x:c r="E118" s="47" t="str"/>
      <x:c r="F118" s="47" t="str">
        <x:v>current</x:v>
      </x:c>
      <x:c r="G118" s="47" t="n">
        <x:v>114</x:v>
      </x:c>
      <x:c r="H118" s="53" t="b">
        <x:v>1</x:v>
      </x:c>
      <x:c r="I118" s="47" t="str">
        <x:v>3906736965</x:v>
      </x:c>
      <x:c r="J118" s="47" t="n">
        <x:v>34464907</x:v>
      </x:c>
      <x:c r="K118" s="53" t="b">
        <x:v>1</x:v>
      </x:c>
      <x:c r="L118" s="53" t="b">
        <x:v>1</x:v>
      </x:c>
      <x:c r="M118" s="53" t="b">
        <x:v>1</x:v>
      </x:c>
      <x:c r="N118" s="53" t="b">
        <x:v>1</x:v>
      </x:c>
      <x:c r="O118" s="53" t="b">
        <x:v>1</x:v>
      </x:c>
      <x:c r="P118" s="47" t="n">
        <x:v>1011</x:v>
      </x:c>
      <x:c r="Q118" s="47" t="n">
        <x:v>0</x:v>
      </x:c>
      <x:c r="R118" s="47" t="n">
        <x:v>0</x:v>
      </x:c>
      <x:c r="S118" s="47" t="n">
        <x:v>30.91</x:v>
      </x:c>
      <x:c r="T118" s="47" t="n">
        <x:v>62.94</x:v>
      </x:c>
      <x:c r="U118" s="47" t="n">
        <x:v>29.9</x:v>
      </x:c>
      <x:c r="V118" s="47" t="n">
        <x:v>13.6</x:v>
      </x:c>
      <x:c r="W118" s="47" t="n">
        <x:v>0</x:v>
      </x:c>
      <x:c r="X118" s="47" t="n">
        <x:v>0</x:v>
      </x:c>
      <x:c r="Y118" s="41" t="n">
        <x:v>0</x:v>
      </x:c>
    </x:row>
    <x:row r="119">
      <x:c r="A119" s="38" t="str">
        <x:v>7月30日现场数据</x:v>
      </x:c>
      <x:c r="B119" s="66" t="str">
        <x:v>2026-07-30T23:17:25.091000</x:v>
      </x:c>
      <x:c r="C119" s="47" t="n">
        <x:v>300972</x:v>
      </x:c>
      <x:c r="D119" s="47" t="str"/>
      <x:c r="E119" s="47" t="str"/>
      <x:c r="F119" s="47" t="str">
        <x:v>current</x:v>
      </x:c>
      <x:c r="G119" s="47" t="n">
        <x:v>115</x:v>
      </x:c>
      <x:c r="H119" s="53" t="b">
        <x:v>1</x:v>
      </x:c>
      <x:c r="I119" s="47" t="str">
        <x:v>3906736965</x:v>
      </x:c>
      <x:c r="J119" s="47" t="n">
        <x:v>34765879</x:v>
      </x:c>
      <x:c r="K119" s="53" t="b">
        <x:v>1</x:v>
      </x:c>
      <x:c r="L119" s="53" t="b">
        <x:v>1</x:v>
      </x:c>
      <x:c r="M119" s="53" t="b">
        <x:v>1</x:v>
      </x:c>
      <x:c r="N119" s="53" t="b">
        <x:v>1</x:v>
      </x:c>
      <x:c r="O119" s="53" t="b">
        <x:v>1</x:v>
      </x:c>
      <x:c r="P119" s="47" t="n">
        <x:v>1011</x:v>
      </x:c>
      <x:c r="Q119" s="47" t="n">
        <x:v>0</x:v>
      </x:c>
      <x:c r="R119" s="47" t="n">
        <x:v>0</x:v>
      </x:c>
      <x:c r="S119" s="47" t="n">
        <x:v>30.88</x:v>
      </x:c>
      <x:c r="T119" s="47" t="n">
        <x:v>62.99</x:v>
      </x:c>
      <x:c r="U119" s="47" t="n">
        <x:v>29.9</x:v>
      </x:c>
      <x:c r="V119" s="47" t="n">
        <x:v>13.8</x:v>
      </x:c>
      <x:c r="W119" s="47" t="n">
        <x:v>0</x:v>
      </x:c>
      <x:c r="X119" s="47" t="n">
        <x:v>0</x:v>
      </x:c>
      <x:c r="Y119" s="41" t="n">
        <x:v>0</x:v>
      </x:c>
    </x:row>
    <x:row r="120">
      <x:c r="A120" s="38" t="str">
        <x:v>7月30日现场数据</x:v>
      </x:c>
      <x:c r="B120" s="66" t="str">
        <x:v>2026-07-30T23:22:26.066000</x:v>
      </x:c>
      <x:c r="C120" s="47" t="n">
        <x:v>300975</x:v>
      </x:c>
      <x:c r="D120" s="47" t="str"/>
      <x:c r="E120" s="47" t="str"/>
      <x:c r="F120" s="47" t="str">
        <x:v>current</x:v>
      </x:c>
      <x:c r="G120" s="47" t="n">
        <x:v>116</x:v>
      </x:c>
      <x:c r="H120" s="53" t="b">
        <x:v>1</x:v>
      </x:c>
      <x:c r="I120" s="47" t="str">
        <x:v>3906736965</x:v>
      </x:c>
      <x:c r="J120" s="47" t="n">
        <x:v>35066854</x:v>
      </x:c>
      <x:c r="K120" s="53" t="b">
        <x:v>1</x:v>
      </x:c>
      <x:c r="L120" s="53" t="b">
        <x:v>1</x:v>
      </x:c>
      <x:c r="M120" s="53" t="b">
        <x:v>1</x:v>
      </x:c>
      <x:c r="N120" s="53" t="b">
        <x:v>1</x:v>
      </x:c>
      <x:c r="O120" s="53" t="b">
        <x:v>1</x:v>
      </x:c>
      <x:c r="P120" s="47" t="n">
        <x:v>1011</x:v>
      </x:c>
      <x:c r="Q120" s="47" t="n">
        <x:v>0</x:v>
      </x:c>
      <x:c r="R120" s="47" t="n">
        <x:v>0</x:v>
      </x:c>
      <x:c r="S120" s="47" t="n">
        <x:v>30.87</x:v>
      </x:c>
      <x:c r="T120" s="47" t="n">
        <x:v>63.04</x:v>
      </x:c>
      <x:c r="U120" s="47" t="n">
        <x:v>29.9</x:v>
      </x:c>
      <x:c r="V120" s="47" t="n">
        <x:v>13.8</x:v>
      </x:c>
      <x:c r="W120" s="47" t="n">
        <x:v>0</x:v>
      </x:c>
      <x:c r="X120" s="47" t="n">
        <x:v>0</x:v>
      </x:c>
      <x:c r="Y120" s="41" t="n">
        <x:v>0</x:v>
      </x:c>
    </x:row>
    <x:row r="121">
      <x:c r="A121" s="38" t="str">
        <x:v>7月30日现场数据</x:v>
      </x:c>
      <x:c r="B121" s="66" t="str">
        <x:v>2026-07-30T23:27:27.041000</x:v>
      </x:c>
      <x:c r="C121" s="47" t="n">
        <x:v>300975</x:v>
      </x:c>
      <x:c r="D121" s="47" t="str"/>
      <x:c r="E121" s="47" t="str"/>
      <x:c r="F121" s="47" t="str">
        <x:v>current</x:v>
      </x:c>
      <x:c r="G121" s="47" t="n">
        <x:v>117</x:v>
      </x:c>
      <x:c r="H121" s="53" t="b">
        <x:v>1</x:v>
      </x:c>
      <x:c r="I121" s="47" t="str">
        <x:v>3906736965</x:v>
      </x:c>
      <x:c r="J121" s="47" t="n">
        <x:v>35367829</x:v>
      </x:c>
      <x:c r="K121" s="53" t="b">
        <x:v>1</x:v>
      </x:c>
      <x:c r="L121" s="53" t="b">
        <x:v>1</x:v>
      </x:c>
      <x:c r="M121" s="53" t="b">
        <x:v>1</x:v>
      </x:c>
      <x:c r="N121" s="53" t="b">
        <x:v>1</x:v>
      </x:c>
      <x:c r="O121" s="53" t="b">
        <x:v>1</x:v>
      </x:c>
      <x:c r="P121" s="47" t="n">
        <x:v>1011</x:v>
      </x:c>
      <x:c r="Q121" s="47" t="n">
        <x:v>0</x:v>
      </x:c>
      <x:c r="R121" s="47" t="n">
        <x:v>0</x:v>
      </x:c>
      <x:c r="S121" s="47" t="n">
        <x:v>30.79</x:v>
      </x:c>
      <x:c r="T121" s="47" t="n">
        <x:v>63.04</x:v>
      </x:c>
      <x:c r="U121" s="47" t="n">
        <x:v>29.9</x:v>
      </x:c>
      <x:c r="V121" s="47" t="n">
        <x:v>13.8</x:v>
      </x:c>
      <x:c r="W121" s="47" t="n">
        <x:v>0</x:v>
      </x:c>
      <x:c r="X121" s="47" t="n">
        <x:v>0</x:v>
      </x:c>
      <x:c r="Y121" s="41" t="n">
        <x:v>0</x:v>
      </x:c>
    </x:row>
    <x:row r="122">
      <x:c r="A122" s="38" t="str">
        <x:v>7月30日现场数据</x:v>
      </x:c>
      <x:c r="B122" s="66" t="str">
        <x:v>2026-07-30T23:32:28.051000</x:v>
      </x:c>
      <x:c r="C122" s="47" t="n">
        <x:v>301010</x:v>
      </x:c>
      <x:c r="D122" s="47" t="str"/>
      <x:c r="E122" s="47" t="str"/>
      <x:c r="F122" s="47" t="str">
        <x:v>current</x:v>
      </x:c>
      <x:c r="G122" s="47" t="n">
        <x:v>118</x:v>
      </x:c>
      <x:c r="H122" s="53" t="b">
        <x:v>1</x:v>
      </x:c>
      <x:c r="I122" s="47" t="str">
        <x:v>3906736965</x:v>
      </x:c>
      <x:c r="J122" s="47" t="n">
        <x:v>35668839</x:v>
      </x:c>
      <x:c r="K122" s="53" t="b">
        <x:v>1</x:v>
      </x:c>
      <x:c r="L122" s="53" t="b">
        <x:v>1</x:v>
      </x:c>
      <x:c r="M122" s="53" t="b">
        <x:v>1</x:v>
      </x:c>
      <x:c r="N122" s="53" t="b">
        <x:v>1</x:v>
      </x:c>
      <x:c r="O122" s="53" t="b">
        <x:v>1</x:v>
      </x:c>
      <x:c r="P122" s="47" t="n">
        <x:v>1011</x:v>
      </x:c>
      <x:c r="Q122" s="47" t="n">
        <x:v>0</x:v>
      </x:c>
      <x:c r="R122" s="47" t="n">
        <x:v>0</x:v>
      </x:c>
      <x:c r="S122" s="47" t="n">
        <x:v>30.99</x:v>
      </x:c>
      <x:c r="T122" s="47" t="n">
        <x:v>63.17</x:v>
      </x:c>
      <x:c r="U122" s="47" t="n">
        <x:v>29.9</x:v>
      </x:c>
      <x:c r="V122" s="47" t="n">
        <x:v>13.8</x:v>
      </x:c>
      <x:c r="W122" s="47" t="n">
        <x:v>0</x:v>
      </x:c>
      <x:c r="X122" s="47" t="n">
        <x:v>0</x:v>
      </x:c>
      <x:c r="Y122" s="41" t="n">
        <x:v>0</x:v>
      </x:c>
    </x:row>
    <x:row r="123">
      <x:c r="A123" s="38" t="str">
        <x:v>7月30日现场数据</x:v>
      </x:c>
      <x:c r="B123" s="66" t="str">
        <x:v>2026-07-30T23:37:29.003000</x:v>
      </x:c>
      <x:c r="C123" s="47" t="n">
        <x:v>300952</x:v>
      </x:c>
      <x:c r="D123" s="47" t="str"/>
      <x:c r="E123" s="47" t="str"/>
      <x:c r="F123" s="47" t="str">
        <x:v>current</x:v>
      </x:c>
      <x:c r="G123" s="47" t="n">
        <x:v>119</x:v>
      </x:c>
      <x:c r="H123" s="53" t="b">
        <x:v>1</x:v>
      </x:c>
      <x:c r="I123" s="47" t="str">
        <x:v>3906736965</x:v>
      </x:c>
      <x:c r="J123" s="47" t="n">
        <x:v>35969791</x:v>
      </x:c>
      <x:c r="K123" s="53" t="b">
        <x:v>1</x:v>
      </x:c>
      <x:c r="L123" s="53" t="b">
        <x:v>1</x:v>
      </x:c>
      <x:c r="M123" s="53" t="b">
        <x:v>1</x:v>
      </x:c>
      <x:c r="N123" s="53" t="b">
        <x:v>1</x:v>
      </x:c>
      <x:c r="O123" s="53" t="b">
        <x:v>1</x:v>
      </x:c>
      <x:c r="P123" s="47" t="n">
        <x:v>1011</x:v>
      </x:c>
      <x:c r="Q123" s="47" t="n">
        <x:v>0</x:v>
      </x:c>
      <x:c r="R123" s="47" t="n">
        <x:v>0</x:v>
      </x:c>
      <x:c r="S123" s="47" t="n">
        <x:v>31.01</x:v>
      </x:c>
      <x:c r="T123" s="47" t="n">
        <x:v>63.27</x:v>
      </x:c>
      <x:c r="U123" s="47" t="n">
        <x:v>29.9</x:v>
      </x:c>
      <x:c r="V123" s="47" t="n">
        <x:v>13.9</x:v>
      </x:c>
      <x:c r="W123" s="47" t="n">
        <x:v>0</x:v>
      </x:c>
      <x:c r="X123" s="47" t="n">
        <x:v>0</x:v>
      </x:c>
      <x:c r="Y123" s="41" t="n">
        <x:v>0</x:v>
      </x:c>
    </x:row>
    <x:row r="124">
      <x:c r="A124" s="38" t="str">
        <x:v>7月30日现场数据</x:v>
      </x:c>
      <x:c r="B124" s="66" t="str">
        <x:v>2026-07-30T23:42:29.955000</x:v>
      </x:c>
      <x:c r="C124" s="47" t="n">
        <x:v>300952</x:v>
      </x:c>
      <x:c r="D124" s="47" t="str"/>
      <x:c r="E124" s="47" t="str"/>
      <x:c r="F124" s="47" t="str">
        <x:v>current</x:v>
      </x:c>
      <x:c r="G124" s="47" t="n">
        <x:v>120</x:v>
      </x:c>
      <x:c r="H124" s="53" t="b">
        <x:v>1</x:v>
      </x:c>
      <x:c r="I124" s="47" t="str">
        <x:v>3906736965</x:v>
      </x:c>
      <x:c r="J124" s="47" t="n">
        <x:v>36270743</x:v>
      </x:c>
      <x:c r="K124" s="53" t="b">
        <x:v>1</x:v>
      </x:c>
      <x:c r="L124" s="53" t="b">
        <x:v>1</x:v>
      </x:c>
      <x:c r="M124" s="53" t="b">
        <x:v>1</x:v>
      </x:c>
      <x:c r="N124" s="53" t="b">
        <x:v>1</x:v>
      </x:c>
      <x:c r="O124" s="53" t="b">
        <x:v>1</x:v>
      </x:c>
      <x:c r="P124" s="47" t="n">
        <x:v>1011</x:v>
      </x:c>
      <x:c r="Q124" s="47" t="n">
        <x:v>0</x:v>
      </x:c>
      <x:c r="R124" s="47" t="n">
        <x:v>0</x:v>
      </x:c>
      <x:c r="S124" s="47" t="n">
        <x:v>30.93</x:v>
      </x:c>
      <x:c r="T124" s="47" t="n">
        <x:v>63.28</x:v>
      </x:c>
      <x:c r="U124" s="47" t="n">
        <x:v>29.9</x:v>
      </x:c>
      <x:c r="V124" s="47" t="n">
        <x:v>13.8</x:v>
      </x:c>
      <x:c r="W124" s="47" t="n">
        <x:v>0</x:v>
      </x:c>
      <x:c r="X124" s="47" t="n">
        <x:v>0</x:v>
      </x:c>
      <x:c r="Y124" s="41" t="n">
        <x:v>0</x:v>
      </x:c>
    </x:row>
    <x:row r="125">
      <x:c r="A125" s="38" t="str">
        <x:v>7月30日现场数据</x:v>
      </x:c>
      <x:c r="B125" s="66" t="str">
        <x:v>2026-07-30T23:47:30.913000</x:v>
      </x:c>
      <x:c r="C125" s="47" t="n">
        <x:v>300958</x:v>
      </x:c>
      <x:c r="D125" s="47" t="str"/>
      <x:c r="E125" s="47" t="str"/>
      <x:c r="F125" s="47" t="str">
        <x:v>current</x:v>
      </x:c>
      <x:c r="G125" s="47" t="n">
        <x:v>121</x:v>
      </x:c>
      <x:c r="H125" s="53" t="b">
        <x:v>1</x:v>
      </x:c>
      <x:c r="I125" s="47" t="str">
        <x:v>3906736965</x:v>
      </x:c>
      <x:c r="J125" s="47" t="n">
        <x:v>36571701</x:v>
      </x:c>
      <x:c r="K125" s="53" t="b">
        <x:v>1</x:v>
      </x:c>
      <x:c r="L125" s="53" t="b">
        <x:v>1</x:v>
      </x:c>
      <x:c r="M125" s="53" t="b">
        <x:v>1</x:v>
      </x:c>
      <x:c r="N125" s="53" t="b">
        <x:v>1</x:v>
      </x:c>
      <x:c r="O125" s="53" t="b">
        <x:v>1</x:v>
      </x:c>
      <x:c r="P125" s="47" t="n">
        <x:v>1011</x:v>
      </x:c>
      <x:c r="Q125" s="47" t="n">
        <x:v>0</x:v>
      </x:c>
      <x:c r="R125" s="47" t="n">
        <x:v>0</x:v>
      </x:c>
      <x:c r="S125" s="47" t="n">
        <x:v>30.82</x:v>
      </x:c>
      <x:c r="T125" s="47" t="n">
        <x:v>63.33</x:v>
      </x:c>
      <x:c r="U125" s="47" t="n">
        <x:v>29.9</x:v>
      </x:c>
      <x:c r="V125" s="47" t="n">
        <x:v>13.8</x:v>
      </x:c>
      <x:c r="W125" s="47" t="n">
        <x:v>0</x:v>
      </x:c>
      <x:c r="X125" s="47" t="n">
        <x:v>0</x:v>
      </x:c>
      <x:c r="Y125" s="41" t="n">
        <x:v>0</x:v>
      </x:c>
    </x:row>
    <x:row r="126">
      <x:c r="A126" s="38" t="str">
        <x:v>7月30日现场数据</x:v>
      </x:c>
      <x:c r="B126" s="66" t="str">
        <x:v>2026-07-30T23:52:31.871000</x:v>
      </x:c>
      <x:c r="C126" s="47" t="n">
        <x:v>300958</x:v>
      </x:c>
      <x:c r="D126" s="47" t="str"/>
      <x:c r="E126" s="47" t="str"/>
      <x:c r="F126" s="47" t="str">
        <x:v>current</x:v>
      </x:c>
      <x:c r="G126" s="47" t="n">
        <x:v>122</x:v>
      </x:c>
      <x:c r="H126" s="53" t="b">
        <x:v>1</x:v>
      </x:c>
      <x:c r="I126" s="47" t="str">
        <x:v>3906736965</x:v>
      </x:c>
      <x:c r="J126" s="47" t="n">
        <x:v>36872659</x:v>
      </x:c>
      <x:c r="K126" s="53" t="b">
        <x:v>1</x:v>
      </x:c>
      <x:c r="L126" s="53" t="b">
        <x:v>1</x:v>
      </x:c>
      <x:c r="M126" s="53" t="b">
        <x:v>1</x:v>
      </x:c>
      <x:c r="N126" s="53" t="b">
        <x:v>1</x:v>
      </x:c>
      <x:c r="O126" s="53" t="b">
        <x:v>1</x:v>
      </x:c>
      <x:c r="P126" s="47" t="n">
        <x:v>1010</x:v>
      </x:c>
      <x:c r="Q126" s="47" t="n">
        <x:v>0</x:v>
      </x:c>
      <x:c r="R126" s="47" t="n">
        <x:v>0</x:v>
      </x:c>
      <x:c r="S126" s="47" t="n">
        <x:v>30.79</x:v>
      </x:c>
      <x:c r="T126" s="47" t="n">
        <x:v>63.36</x:v>
      </x:c>
      <x:c r="U126" s="47" t="n">
        <x:v>29.9</x:v>
      </x:c>
      <x:c r="V126" s="47" t="n">
        <x:v>13.8</x:v>
      </x:c>
      <x:c r="W126" s="47" t="n">
        <x:v>0</x:v>
      </x:c>
      <x:c r="X126" s="47" t="n">
        <x:v>0</x:v>
      </x:c>
      <x:c r="Y126" s="41" t="n">
        <x:v>0</x:v>
      </x:c>
    </x:row>
    <x:row r="127">
      <x:c r="A127" s="38" t="str">
        <x:v>7月30日现场数据</x:v>
      </x:c>
      <x:c r="B127" s="66" t="str">
        <x:v>2026-07-30T23:57:32.831000</x:v>
      </x:c>
      <x:c r="C127" s="47" t="n">
        <x:v>300960</x:v>
      </x:c>
      <x:c r="D127" s="47" t="str"/>
      <x:c r="E127" s="47" t="str"/>
      <x:c r="F127" s="47" t="str">
        <x:v>current</x:v>
      </x:c>
      <x:c r="G127" s="47" t="n">
        <x:v>123</x:v>
      </x:c>
      <x:c r="H127" s="53" t="b">
        <x:v>1</x:v>
      </x:c>
      <x:c r="I127" s="47" t="str">
        <x:v>3906736965</x:v>
      </x:c>
      <x:c r="J127" s="47" t="n">
        <x:v>37173619</x:v>
      </x:c>
      <x:c r="K127" s="53" t="b">
        <x:v>1</x:v>
      </x:c>
      <x:c r="L127" s="53" t="b">
        <x:v>1</x:v>
      </x:c>
      <x:c r="M127" s="53" t="b">
        <x:v>1</x:v>
      </x:c>
      <x:c r="N127" s="53" t="b">
        <x:v>1</x:v>
      </x:c>
      <x:c r="O127" s="53" t="b">
        <x:v>1</x:v>
      </x:c>
      <x:c r="P127" s="47" t="n">
        <x:v>1011</x:v>
      </x:c>
      <x:c r="Q127" s="47" t="n">
        <x:v>0</x:v>
      </x:c>
      <x:c r="R127" s="47" t="n">
        <x:v>0</x:v>
      </x:c>
      <x:c r="S127" s="47" t="n">
        <x:v>30.74</x:v>
      </x:c>
      <x:c r="T127" s="47" t="n">
        <x:v>63.38</x:v>
      </x:c>
      <x:c r="U127" s="47" t="n">
        <x:v>29.9</x:v>
      </x:c>
      <x:c r="V127" s="47" t="n">
        <x:v>13.8</x:v>
      </x:c>
      <x:c r="W127" s="47" t="n">
        <x:v>0</x:v>
      </x:c>
      <x:c r="X127" s="47" t="n">
        <x:v>0</x:v>
      </x:c>
      <x:c r="Y127" s="41" t="n">
        <x:v>0</x:v>
      </x:c>
    </x:row>
    <x:row r="128">
      <x:c r="A128" s="38" t="str">
        <x:v>7月30日现场数据</x:v>
      </x:c>
      <x:c r="B128" s="66" t="str">
        <x:v>2026-07-31T00:02:33.792000</x:v>
      </x:c>
      <x:c r="C128" s="47" t="n">
        <x:v>300961</x:v>
      </x:c>
      <x:c r="D128" s="47" t="str"/>
      <x:c r="E128" s="47" t="str"/>
      <x:c r="F128" s="47" t="str">
        <x:v>current</x:v>
      </x:c>
      <x:c r="G128" s="47" t="n">
        <x:v>124</x:v>
      </x:c>
      <x:c r="H128" s="53" t="b">
        <x:v>1</x:v>
      </x:c>
      <x:c r="I128" s="47" t="str">
        <x:v>3906736965</x:v>
      </x:c>
      <x:c r="J128" s="47" t="n">
        <x:v>37474580</x:v>
      </x:c>
      <x:c r="K128" s="53" t="b">
        <x:v>1</x:v>
      </x:c>
      <x:c r="L128" s="53" t="b">
        <x:v>1</x:v>
      </x:c>
      <x:c r="M128" s="53" t="b">
        <x:v>1</x:v>
      </x:c>
      <x:c r="N128" s="53" t="b">
        <x:v>1</x:v>
      </x:c>
      <x:c r="O128" s="53" t="b">
        <x:v>1</x:v>
      </x:c>
      <x:c r="P128" s="47" t="n">
        <x:v>1011</x:v>
      </x:c>
      <x:c r="Q128" s="47" t="n">
        <x:v>0</x:v>
      </x:c>
      <x:c r="R128" s="47" t="n">
        <x:v>0</x:v>
      </x:c>
      <x:c r="S128" s="47" t="n">
        <x:v>30.66</x:v>
      </x:c>
      <x:c r="T128" s="47" t="n">
        <x:v>63.42</x:v>
      </x:c>
      <x:c r="U128" s="47" t="n">
        <x:v>29.8</x:v>
      </x:c>
      <x:c r="V128" s="47" t="n">
        <x:v>13.8</x:v>
      </x:c>
      <x:c r="W128" s="47" t="n">
        <x:v>0</x:v>
      </x:c>
      <x:c r="X128" s="47" t="n">
        <x:v>0</x:v>
      </x:c>
      <x:c r="Y128" s="41" t="n">
        <x:v>0</x:v>
      </x:c>
    </x:row>
    <x:row r="129">
      <x:c r="A129" s="38" t="str">
        <x:v>7月30日现场数据</x:v>
      </x:c>
      <x:c r="B129" s="66" t="str">
        <x:v>2026-07-31T00:07:34.765000</x:v>
      </x:c>
      <x:c r="C129" s="47" t="n">
        <x:v>300973</x:v>
      </x:c>
      <x:c r="D129" s="47" t="str"/>
      <x:c r="E129" s="47" t="str"/>
      <x:c r="F129" s="47" t="str">
        <x:v>current</x:v>
      </x:c>
      <x:c r="G129" s="47" t="n">
        <x:v>125</x:v>
      </x:c>
      <x:c r="H129" s="53" t="b">
        <x:v>1</x:v>
      </x:c>
      <x:c r="I129" s="47" t="str">
        <x:v>3906736965</x:v>
      </x:c>
      <x:c r="J129" s="47" t="n">
        <x:v>37775553</x:v>
      </x:c>
      <x:c r="K129" s="53" t="b">
        <x:v>1</x:v>
      </x:c>
      <x:c r="L129" s="53" t="b">
        <x:v>1</x:v>
      </x:c>
      <x:c r="M129" s="53" t="b">
        <x:v>1</x:v>
      </x:c>
      <x:c r="N129" s="53" t="b">
        <x:v>1</x:v>
      </x:c>
      <x:c r="O129" s="53" t="b">
        <x:v>1</x:v>
      </x:c>
      <x:c r="P129" s="47" t="n">
        <x:v>1011</x:v>
      </x:c>
      <x:c r="Q129" s="47" t="n">
        <x:v>0</x:v>
      </x:c>
      <x:c r="R129" s="47" t="n">
        <x:v>0</x:v>
      </x:c>
      <x:c r="S129" s="47" t="n">
        <x:v>30.63</x:v>
      </x:c>
      <x:c r="T129" s="47" t="n">
        <x:v>63.49</x:v>
      </x:c>
      <x:c r="U129" s="47" t="n">
        <x:v>29.8</x:v>
      </x:c>
      <x:c r="V129" s="47" t="n">
        <x:v>13.8</x:v>
      </x:c>
      <x:c r="W129" s="47" t="n">
        <x:v>0</x:v>
      </x:c>
      <x:c r="X129" s="47" t="n">
        <x:v>0</x:v>
      </x:c>
      <x:c r="Y129" s="41" t="n">
        <x:v>0</x:v>
      </x:c>
    </x:row>
    <x:row r="130">
      <x:c r="A130" s="38" t="str">
        <x:v>7月30日现场数据</x:v>
      </x:c>
      <x:c r="B130" s="66" t="str">
        <x:v>2026-07-31T00:12:35.732000</x:v>
      </x:c>
      <x:c r="C130" s="47" t="n">
        <x:v>300967</x:v>
      </x:c>
      <x:c r="D130" s="47" t="str"/>
      <x:c r="E130" s="47" t="str"/>
      <x:c r="F130" s="47" t="str">
        <x:v>current</x:v>
      </x:c>
      <x:c r="G130" s="47" t="n">
        <x:v>126</x:v>
      </x:c>
      <x:c r="H130" s="53" t="b">
        <x:v>1</x:v>
      </x:c>
      <x:c r="I130" s="47" t="str">
        <x:v>3906736965</x:v>
      </x:c>
      <x:c r="J130" s="47" t="n">
        <x:v>38076520</x:v>
      </x:c>
      <x:c r="K130" s="53" t="b">
        <x:v>1</x:v>
      </x:c>
      <x:c r="L130" s="53" t="b">
        <x:v>1</x:v>
      </x:c>
      <x:c r="M130" s="53" t="b">
        <x:v>1</x:v>
      </x:c>
      <x:c r="N130" s="53" t="b">
        <x:v>1</x:v>
      </x:c>
      <x:c r="O130" s="53" t="b">
        <x:v>1</x:v>
      </x:c>
      <x:c r="P130" s="47" t="n">
        <x:v>1011</x:v>
      </x:c>
      <x:c r="Q130" s="47" t="n">
        <x:v>0</x:v>
      </x:c>
      <x:c r="R130" s="47" t="n">
        <x:v>0</x:v>
      </x:c>
      <x:c r="S130" s="47" t="n">
        <x:v>30.53</x:v>
      </x:c>
      <x:c r="T130" s="47" t="n">
        <x:v>63.48</x:v>
      </x:c>
      <x:c r="U130" s="47" t="n">
        <x:v>29.8</x:v>
      </x:c>
      <x:c r="V130" s="47" t="n">
        <x:v>13.8</x:v>
      </x:c>
      <x:c r="W130" s="47" t="n">
        <x:v>0</x:v>
      </x:c>
      <x:c r="X130" s="47" t="n">
        <x:v>0</x:v>
      </x:c>
      <x:c r="Y130" s="41" t="n">
        <x:v>0</x:v>
      </x:c>
    </x:row>
    <x:row r="131">
      <x:c r="A131" s="38" t="str">
        <x:v>7月30日现场数据</x:v>
      </x:c>
      <x:c r="B131" s="66" t="str">
        <x:v>2026-07-31T00:17:36.700000</x:v>
      </x:c>
      <x:c r="C131" s="47" t="n">
        <x:v>300968</x:v>
      </x:c>
      <x:c r="D131" s="47" t="str"/>
      <x:c r="E131" s="47" t="str"/>
      <x:c r="F131" s="47" t="str">
        <x:v>current</x:v>
      </x:c>
      <x:c r="G131" s="47" t="n">
        <x:v>127</x:v>
      </x:c>
      <x:c r="H131" s="53" t="b">
        <x:v>1</x:v>
      </x:c>
      <x:c r="I131" s="47" t="str">
        <x:v>3906736965</x:v>
      </x:c>
      <x:c r="J131" s="47" t="n">
        <x:v>38377488</x:v>
      </x:c>
      <x:c r="K131" s="53" t="b">
        <x:v>1</x:v>
      </x:c>
      <x:c r="L131" s="53" t="b">
        <x:v>1</x:v>
      </x:c>
      <x:c r="M131" s="53" t="b">
        <x:v>1</x:v>
      </x:c>
      <x:c r="N131" s="53" t="b">
        <x:v>1</x:v>
      </x:c>
      <x:c r="O131" s="53" t="b">
        <x:v>1</x:v>
      </x:c>
      <x:c r="P131" s="47" t="n">
        <x:v>1010</x:v>
      </x:c>
      <x:c r="Q131" s="47" t="n">
        <x:v>0</x:v>
      </x:c>
      <x:c r="R131" s="47" t="n">
        <x:v>0</x:v>
      </x:c>
      <x:c r="S131" s="47" t="n">
        <x:v>30.45</x:v>
      </x:c>
      <x:c r="T131" s="47" t="n">
        <x:v>63.49</x:v>
      </x:c>
      <x:c r="U131" s="47" t="n">
        <x:v>29.8</x:v>
      </x:c>
      <x:c r="V131" s="47" t="n">
        <x:v>13.8</x:v>
      </x:c>
      <x:c r="W131" s="47" t="n">
        <x:v>0</x:v>
      </x:c>
      <x:c r="X131" s="47" t="n">
        <x:v>0</x:v>
      </x:c>
      <x:c r="Y131" s="41" t="n">
        <x:v>0</x:v>
      </x:c>
    </x:row>
    <x:row r="132">
      <x:c r="A132" s="38" t="str">
        <x:v>7月30日现场数据</x:v>
      </x:c>
      <x:c r="B132" s="66" t="str">
        <x:v>2026-07-31T00:22:37.670000</x:v>
      </x:c>
      <x:c r="C132" s="47" t="n">
        <x:v>300970</x:v>
      </x:c>
      <x:c r="D132" s="47" t="str"/>
      <x:c r="E132" s="47" t="str"/>
      <x:c r="F132" s="47" t="str">
        <x:v>current</x:v>
      </x:c>
      <x:c r="G132" s="47" t="n">
        <x:v>128</x:v>
      </x:c>
      <x:c r="H132" s="53" t="b">
        <x:v>1</x:v>
      </x:c>
      <x:c r="I132" s="47" t="str">
        <x:v>3906736965</x:v>
      </x:c>
      <x:c r="J132" s="47" t="n">
        <x:v>38678458</x:v>
      </x:c>
      <x:c r="K132" s="53" t="b">
        <x:v>1</x:v>
      </x:c>
      <x:c r="L132" s="53" t="b">
        <x:v>1</x:v>
      </x:c>
      <x:c r="M132" s="53" t="b">
        <x:v>1</x:v>
      </x:c>
      <x:c r="N132" s="53" t="b">
        <x:v>1</x:v>
      </x:c>
      <x:c r="O132" s="53" t="b">
        <x:v>1</x:v>
      </x:c>
      <x:c r="P132" s="47" t="n">
        <x:v>1010</x:v>
      </x:c>
      <x:c r="Q132" s="47" t="n">
        <x:v>0</x:v>
      </x:c>
      <x:c r="R132" s="47" t="n">
        <x:v>0</x:v>
      </x:c>
      <x:c r="S132" s="47" t="n">
        <x:v>30.44</x:v>
      </x:c>
      <x:c r="T132" s="47" t="n">
        <x:v>63.58</x:v>
      </x:c>
      <x:c r="U132" s="47" t="n">
        <x:v>29.8</x:v>
      </x:c>
      <x:c r="V132" s="47" t="n">
        <x:v>13.8</x:v>
      </x:c>
      <x:c r="W132" s="47" t="n">
        <x:v>0</x:v>
      </x:c>
      <x:c r="X132" s="47" t="n">
        <x:v>0</x:v>
      </x:c>
      <x:c r="Y132" s="41" t="n">
        <x:v>0</x:v>
      </x:c>
    </x:row>
    <x:row r="133">
      <x:c r="A133" s="38" t="str">
        <x:v>7月30日现场数据</x:v>
      </x:c>
      <x:c r="B133" s="66" t="str">
        <x:v>2026-07-31T00:27:38.640000</x:v>
      </x:c>
      <x:c r="C133" s="47" t="n">
        <x:v>300970</x:v>
      </x:c>
      <x:c r="D133" s="47" t="str"/>
      <x:c r="E133" s="47" t="str"/>
      <x:c r="F133" s="47" t="str">
        <x:v>current</x:v>
      </x:c>
      <x:c r="G133" s="47" t="n">
        <x:v>129</x:v>
      </x:c>
      <x:c r="H133" s="53" t="b">
        <x:v>1</x:v>
      </x:c>
      <x:c r="I133" s="47" t="str">
        <x:v>3906736965</x:v>
      </x:c>
      <x:c r="J133" s="47" t="n">
        <x:v>38979428</x:v>
      </x:c>
      <x:c r="K133" s="53" t="b">
        <x:v>1</x:v>
      </x:c>
      <x:c r="L133" s="53" t="b">
        <x:v>1</x:v>
      </x:c>
      <x:c r="M133" s="53" t="b">
        <x:v>1</x:v>
      </x:c>
      <x:c r="N133" s="53" t="b">
        <x:v>1</x:v>
      </x:c>
      <x:c r="O133" s="53" t="b">
        <x:v>1</x:v>
      </x:c>
      <x:c r="P133" s="47" t="n">
        <x:v>1010</x:v>
      </x:c>
      <x:c r="Q133" s="47" t="n">
        <x:v>0</x:v>
      </x:c>
      <x:c r="R133" s="47" t="n">
        <x:v>0</x:v>
      </x:c>
      <x:c r="S133" s="47" t="n">
        <x:v>30.44</x:v>
      </x:c>
      <x:c r="T133" s="47" t="n">
        <x:v>63.61</x:v>
      </x:c>
      <x:c r="U133" s="47" t="n">
        <x:v>29.8</x:v>
      </x:c>
      <x:c r="V133" s="47" t="n">
        <x:v>13.8</x:v>
      </x:c>
      <x:c r="W133" s="47" t="n">
        <x:v>0</x:v>
      </x:c>
      <x:c r="X133" s="47" t="n">
        <x:v>0</x:v>
      </x:c>
      <x:c r="Y133" s="41" t="n">
        <x:v>0</x:v>
      </x:c>
    </x:row>
    <x:row r="134">
      <x:c r="A134" s="38" t="str">
        <x:v>7月30日现场数据</x:v>
      </x:c>
      <x:c r="B134" s="66" t="str">
        <x:v>2026-07-31T00:32:39.613000</x:v>
      </x:c>
      <x:c r="C134" s="47" t="n">
        <x:v>300973</x:v>
      </x:c>
      <x:c r="D134" s="47" t="str"/>
      <x:c r="E134" s="47" t="str"/>
      <x:c r="F134" s="47" t="str">
        <x:v>current</x:v>
      </x:c>
      <x:c r="G134" s="47" t="n">
        <x:v>130</x:v>
      </x:c>
      <x:c r="H134" s="53" t="b">
        <x:v>1</x:v>
      </x:c>
      <x:c r="I134" s="47" t="str">
        <x:v>3906736965</x:v>
      </x:c>
      <x:c r="J134" s="47" t="n">
        <x:v>39280401</x:v>
      </x:c>
      <x:c r="K134" s="53" t="b">
        <x:v>1</x:v>
      </x:c>
      <x:c r="L134" s="53" t="b">
        <x:v>1</x:v>
      </x:c>
      <x:c r="M134" s="53" t="b">
        <x:v>1</x:v>
      </x:c>
      <x:c r="N134" s="53" t="b">
        <x:v>1</x:v>
      </x:c>
      <x:c r="O134" s="53" t="b">
        <x:v>1</x:v>
      </x:c>
      <x:c r="P134" s="47" t="n">
        <x:v>1010</x:v>
      </x:c>
      <x:c r="Q134" s="47" t="n">
        <x:v>0</x:v>
      </x:c>
      <x:c r="R134" s="47" t="n">
        <x:v>0</x:v>
      </x:c>
      <x:c r="S134" s="47" t="n">
        <x:v>30.43</x:v>
      </x:c>
      <x:c r="T134" s="47" t="n">
        <x:v>63.68</x:v>
      </x:c>
      <x:c r="U134" s="47" t="n">
        <x:v>29.8</x:v>
      </x:c>
      <x:c r="V134" s="47" t="n">
        <x:v>13.8</x:v>
      </x:c>
      <x:c r="W134" s="47" t="n">
        <x:v>0</x:v>
      </x:c>
      <x:c r="X134" s="47" t="n">
        <x:v>0</x:v>
      </x:c>
      <x:c r="Y134" s="41" t="n">
        <x:v>0</x:v>
      </x:c>
    </x:row>
    <x:row r="135">
      <x:c r="A135" s="38" t="str">
        <x:v>7月30日现场数据</x:v>
      </x:c>
      <x:c r="B135" s="66" t="str">
        <x:v>2026-07-31T00:37:40.588000</x:v>
      </x:c>
      <x:c r="C135" s="47" t="n">
        <x:v>300975</x:v>
      </x:c>
      <x:c r="D135" s="47" t="str"/>
      <x:c r="E135" s="47" t="str"/>
      <x:c r="F135" s="47" t="str">
        <x:v>current</x:v>
      </x:c>
      <x:c r="G135" s="47" t="n">
        <x:v>131</x:v>
      </x:c>
      <x:c r="H135" s="53" t="b">
        <x:v>1</x:v>
      </x:c>
      <x:c r="I135" s="47" t="str">
        <x:v>3906736965</x:v>
      </x:c>
      <x:c r="J135" s="47" t="n">
        <x:v>39581376</x:v>
      </x:c>
      <x:c r="K135" s="53" t="b">
        <x:v>1</x:v>
      </x:c>
      <x:c r="L135" s="53" t="b">
        <x:v>1</x:v>
      </x:c>
      <x:c r="M135" s="53" t="b">
        <x:v>1</x:v>
      </x:c>
      <x:c r="N135" s="53" t="b">
        <x:v>1</x:v>
      </x:c>
      <x:c r="O135" s="53" t="b">
        <x:v>1</x:v>
      </x:c>
      <x:c r="P135" s="47" t="n">
        <x:v>1010</x:v>
      </x:c>
      <x:c r="Q135" s="47" t="n">
        <x:v>0.02</x:v>
      </x:c>
      <x:c r="R135" s="47" t="n">
        <x:v>0.527</x:v>
      </x:c>
      <x:c r="S135" s="47" t="n">
        <x:v>30.47</x:v>
      </x:c>
      <x:c r="T135" s="47" t="n">
        <x:v>63.68</x:v>
      </x:c>
      <x:c r="U135" s="47" t="n">
        <x:v>29.8</x:v>
      </x:c>
      <x:c r="V135" s="47" t="n">
        <x:v>13.8</x:v>
      </x:c>
      <x:c r="W135" s="47" t="n">
        <x:v>0</x:v>
      </x:c>
      <x:c r="X135" s="47" t="n">
        <x:v>0</x:v>
      </x:c>
      <x:c r="Y135" s="41" t="n">
        <x:v>0</x:v>
      </x:c>
    </x:row>
    <x:row r="136">
      <x:c r="A136" s="38" t="str">
        <x:v>7月30日现场数据</x:v>
      </x:c>
      <x:c r="B136" s="66" t="str">
        <x:v>2026-07-31T00:42:41.564000</x:v>
      </x:c>
      <x:c r="C136" s="47" t="n">
        <x:v>300976</x:v>
      </x:c>
      <x:c r="D136" s="47" t="str"/>
      <x:c r="E136" s="47" t="str"/>
      <x:c r="F136" s="47" t="str">
        <x:v>current</x:v>
      </x:c>
      <x:c r="G136" s="47" t="n">
        <x:v>132</x:v>
      </x:c>
      <x:c r="H136" s="53" t="b">
        <x:v>1</x:v>
      </x:c>
      <x:c r="I136" s="47" t="str">
        <x:v>3906736965</x:v>
      </x:c>
      <x:c r="J136" s="47" t="n">
        <x:v>39882352</x:v>
      </x:c>
      <x:c r="K136" s="53" t="b">
        <x:v>1</x:v>
      </x:c>
      <x:c r="L136" s="53" t="b">
        <x:v>1</x:v>
      </x:c>
      <x:c r="M136" s="53" t="b">
        <x:v>1</x:v>
      </x:c>
      <x:c r="N136" s="53" t="b">
        <x:v>1</x:v>
      </x:c>
      <x:c r="O136" s="53" t="b">
        <x:v>1</x:v>
      </x:c>
      <x:c r="P136" s="47" t="n">
        <x:v>1010</x:v>
      </x:c>
      <x:c r="Q136" s="47" t="n">
        <x:v>0</x:v>
      </x:c>
      <x:c r="R136" s="47" t="n">
        <x:v>0</x:v>
      </x:c>
      <x:c r="S136" s="47" t="n">
        <x:v>30.47</x:v>
      </x:c>
      <x:c r="T136" s="47" t="n">
        <x:v>63.75</x:v>
      </x:c>
      <x:c r="U136" s="47" t="n">
        <x:v>29.8</x:v>
      </x:c>
      <x:c r="V136" s="47" t="n">
        <x:v>13.8</x:v>
      </x:c>
      <x:c r="W136" s="47" t="n">
        <x:v>0</x:v>
      </x:c>
      <x:c r="X136" s="47" t="n">
        <x:v>0</x:v>
      </x:c>
      <x:c r="Y136" s="41" t="n">
        <x:v>0</x:v>
      </x:c>
    </x:row>
    <x:row r="137">
      <x:c r="A137" s="38" t="str">
        <x:v>7月30日现场数据</x:v>
      </x:c>
      <x:c r="B137" s="66" t="str">
        <x:v>2026-07-31T00:47:42.544000</x:v>
      </x:c>
      <x:c r="C137" s="47" t="n">
        <x:v>300980</x:v>
      </x:c>
      <x:c r="D137" s="47" t="str"/>
      <x:c r="E137" s="47" t="str"/>
      <x:c r="F137" s="47" t="str">
        <x:v>current</x:v>
      </x:c>
      <x:c r="G137" s="47" t="n">
        <x:v>133</x:v>
      </x:c>
      <x:c r="H137" s="53" t="b">
        <x:v>1</x:v>
      </x:c>
      <x:c r="I137" s="47" t="str">
        <x:v>3906736965</x:v>
      </x:c>
      <x:c r="J137" s="47" t="n">
        <x:v>40183332</x:v>
      </x:c>
      <x:c r="K137" s="53" t="b">
        <x:v>1</x:v>
      </x:c>
      <x:c r="L137" s="53" t="b">
        <x:v>1</x:v>
      </x:c>
      <x:c r="M137" s="53" t="b">
        <x:v>1</x:v>
      </x:c>
      <x:c r="N137" s="53" t="b">
        <x:v>1</x:v>
      </x:c>
      <x:c r="O137" s="53" t="b">
        <x:v>1</x:v>
      </x:c>
      <x:c r="P137" s="47" t="n">
        <x:v>1010</x:v>
      </x:c>
      <x:c r="Q137" s="47" t="n">
        <x:v>0</x:v>
      </x:c>
      <x:c r="R137" s="47" t="n">
        <x:v>0</x:v>
      </x:c>
      <x:c r="S137" s="47" t="n">
        <x:v>30.44</x:v>
      </x:c>
      <x:c r="T137" s="47" t="n">
        <x:v>63.82</x:v>
      </x:c>
      <x:c r="U137" s="47" t="n">
        <x:v>29.7</x:v>
      </x:c>
      <x:c r="V137" s="47" t="n">
        <x:v>13.7</x:v>
      </x:c>
      <x:c r="W137" s="47" t="n">
        <x:v>0</x:v>
      </x:c>
      <x:c r="X137" s="47" t="n">
        <x:v>0</x:v>
      </x:c>
      <x:c r="Y137" s="41" t="n">
        <x:v>0</x:v>
      </x:c>
    </x:row>
    <x:row r="138">
      <x:c r="A138" s="38" t="str">
        <x:v>7月30日现场数据</x:v>
      </x:c>
      <x:c r="B138" s="66" t="str">
        <x:v>2026-07-31T00:52:43.557000</x:v>
      </x:c>
      <x:c r="C138" s="47" t="n">
        <x:v>301013</x:v>
      </x:c>
      <x:c r="D138" s="47" t="str"/>
      <x:c r="E138" s="47" t="str"/>
      <x:c r="F138" s="47" t="str">
        <x:v>current</x:v>
      </x:c>
      <x:c r="G138" s="47" t="n">
        <x:v>134</x:v>
      </x:c>
      <x:c r="H138" s="53" t="b">
        <x:v>1</x:v>
      </x:c>
      <x:c r="I138" s="47" t="str">
        <x:v>3906736965</x:v>
      </x:c>
      <x:c r="J138" s="47" t="n">
        <x:v>40484345</x:v>
      </x:c>
      <x:c r="K138" s="53" t="b">
        <x:v>1</x:v>
      </x:c>
      <x:c r="L138" s="53" t="b">
        <x:v>1</x:v>
      </x:c>
      <x:c r="M138" s="53" t="b">
        <x:v>1</x:v>
      </x:c>
      <x:c r="N138" s="53" t="b">
        <x:v>1</x:v>
      </x:c>
      <x:c r="O138" s="53" t="b">
        <x:v>1</x:v>
      </x:c>
      <x:c r="P138" s="47" t="n">
        <x:v>1010</x:v>
      </x:c>
      <x:c r="Q138" s="47" t="n">
        <x:v>0</x:v>
      </x:c>
      <x:c r="R138" s="47" t="n">
        <x:v>0</x:v>
      </x:c>
      <x:c r="S138" s="47" t="n">
        <x:v>30.45</x:v>
      </x:c>
      <x:c r="T138" s="47" t="n">
        <x:v>63.92</x:v>
      </x:c>
      <x:c r="U138" s="47" t="n">
        <x:v>29.8</x:v>
      </x:c>
      <x:c r="V138" s="47" t="n">
        <x:v>13.8</x:v>
      </x:c>
      <x:c r="W138" s="47" t="n">
        <x:v>0</x:v>
      </x:c>
      <x:c r="X138" s="47" t="n">
        <x:v>0</x:v>
      </x:c>
      <x:c r="Y138" s="41" t="n">
        <x:v>0</x:v>
      </x:c>
    </x:row>
    <x:row r="139">
      <x:c r="A139" s="38" t="str">
        <x:v>7月30日现场数据</x:v>
      </x:c>
      <x:c r="B139" s="66" t="str">
        <x:v>2026-07-31T00:57:44.511000</x:v>
      </x:c>
      <x:c r="C139" s="47" t="n">
        <x:v>300954</x:v>
      </x:c>
      <x:c r="D139" s="47" t="str"/>
      <x:c r="E139" s="47" t="str"/>
      <x:c r="F139" s="47" t="str">
        <x:v>current</x:v>
      </x:c>
      <x:c r="G139" s="47" t="n">
        <x:v>135</x:v>
      </x:c>
      <x:c r="H139" s="53" t="b">
        <x:v>1</x:v>
      </x:c>
      <x:c r="I139" s="47" t="str">
        <x:v>3906736965</x:v>
      </x:c>
      <x:c r="J139" s="47" t="n">
        <x:v>40785299</x:v>
      </x:c>
      <x:c r="K139" s="53" t="b">
        <x:v>1</x:v>
      </x:c>
      <x:c r="L139" s="53" t="b">
        <x:v>1</x:v>
      </x:c>
      <x:c r="M139" s="53" t="b">
        <x:v>1</x:v>
      </x:c>
      <x:c r="N139" s="53" t="b">
        <x:v>1</x:v>
      </x:c>
      <x:c r="O139" s="53" t="b">
        <x:v>1</x:v>
      </x:c>
      <x:c r="P139" s="47" t="n">
        <x:v>1010</x:v>
      </x:c>
      <x:c r="Q139" s="47" t="n">
        <x:v>0</x:v>
      </x:c>
      <x:c r="R139" s="47" t="n">
        <x:v>0</x:v>
      </x:c>
      <x:c r="S139" s="47" t="n">
        <x:v>30.4</x:v>
      </x:c>
      <x:c r="T139" s="47" t="n">
        <x:v>63.92</x:v>
      </x:c>
      <x:c r="U139" s="47" t="n">
        <x:v>29.7</x:v>
      </x:c>
      <x:c r="V139" s="47" t="n">
        <x:v>13.8</x:v>
      </x:c>
      <x:c r="W139" s="47" t="n">
        <x:v>0</x:v>
      </x:c>
      <x:c r="X139" s="47" t="n">
        <x:v>0</x:v>
      </x:c>
      <x:c r="Y139" s="41" t="n">
        <x:v>0</x:v>
      </x:c>
    </x:row>
    <x:row r="140">
      <x:c r="A140" s="38" t="str">
        <x:v>7月30日现场数据</x:v>
      </x:c>
      <x:c r="B140" s="66" t="str">
        <x:v>2026-07-31T01:02:45.468000</x:v>
      </x:c>
      <x:c r="C140" s="47" t="n">
        <x:v>300957</x:v>
      </x:c>
      <x:c r="D140" s="47" t="str"/>
      <x:c r="E140" s="47" t="str"/>
      <x:c r="F140" s="47" t="str">
        <x:v>current</x:v>
      </x:c>
      <x:c r="G140" s="47" t="n">
        <x:v>136</x:v>
      </x:c>
      <x:c r="H140" s="53" t="b">
        <x:v>1</x:v>
      </x:c>
      <x:c r="I140" s="47" t="str">
        <x:v>3906736965</x:v>
      </x:c>
      <x:c r="J140" s="47" t="n">
        <x:v>41086256</x:v>
      </x:c>
      <x:c r="K140" s="53" t="b">
        <x:v>1</x:v>
      </x:c>
      <x:c r="L140" s="53" t="b">
        <x:v>1</x:v>
      </x:c>
      <x:c r="M140" s="53" t="b">
        <x:v>1</x:v>
      </x:c>
      <x:c r="N140" s="53" t="b">
        <x:v>1</x:v>
      </x:c>
      <x:c r="O140" s="53" t="b">
        <x:v>1</x:v>
      </x:c>
      <x:c r="P140" s="47" t="n">
        <x:v>1010</x:v>
      </x:c>
      <x:c r="Q140" s="47" t="n">
        <x:v>0.001</x:v>
      </x:c>
      <x:c r="R140" s="47" t="n">
        <x:v>0.033</x:v>
      </x:c>
      <x:c r="S140" s="47" t="n">
        <x:v>30.38</x:v>
      </x:c>
      <x:c r="T140" s="47" t="n">
        <x:v>63.94</x:v>
      </x:c>
      <x:c r="U140" s="47" t="n">
        <x:v>29.8</x:v>
      </x:c>
      <x:c r="V140" s="47" t="n">
        <x:v>13.7</x:v>
      </x:c>
      <x:c r="W140" s="47" t="n">
        <x:v>0</x:v>
      </x:c>
      <x:c r="X140" s="47" t="n">
        <x:v>0</x:v>
      </x:c>
      <x:c r="Y140" s="41" t="n">
        <x:v>0</x:v>
      </x:c>
    </x:row>
    <x:row r="141">
      <x:c r="A141" s="38" t="str">
        <x:v>7月30日现场数据</x:v>
      </x:c>
      <x:c r="B141" s="66" t="str">
        <x:v>2026-07-31T01:07:46.425000</x:v>
      </x:c>
      <x:c r="C141" s="47" t="n">
        <x:v>300957</x:v>
      </x:c>
      <x:c r="D141" s="47" t="str"/>
      <x:c r="E141" s="47" t="str"/>
      <x:c r="F141" s="47" t="str">
        <x:v>current</x:v>
      </x:c>
      <x:c r="G141" s="47" t="n">
        <x:v>137</x:v>
      </x:c>
      <x:c r="H141" s="53" t="b">
        <x:v>1</x:v>
      </x:c>
      <x:c r="I141" s="47" t="str">
        <x:v>3906736965</x:v>
      </x:c>
      <x:c r="J141" s="47" t="n">
        <x:v>41387213</x:v>
      </x:c>
      <x:c r="K141" s="53" t="b">
        <x:v>1</x:v>
      </x:c>
      <x:c r="L141" s="53" t="b">
        <x:v>1</x:v>
      </x:c>
      <x:c r="M141" s="53" t="b">
        <x:v>1</x:v>
      </x:c>
      <x:c r="N141" s="53" t="b">
        <x:v>1</x:v>
      </x:c>
      <x:c r="O141" s="53" t="b">
        <x:v>1</x:v>
      </x:c>
      <x:c r="P141" s="47" t="n">
        <x:v>1010</x:v>
      </x:c>
      <x:c r="Q141" s="47" t="n">
        <x:v>0</x:v>
      </x:c>
      <x:c r="R141" s="47" t="n">
        <x:v>0</x:v>
      </x:c>
      <x:c r="S141" s="47" t="n">
        <x:v>30.43</x:v>
      </x:c>
      <x:c r="T141" s="47" t="n">
        <x:v>64.01</x:v>
      </x:c>
      <x:c r="U141" s="47" t="n">
        <x:v>29.7</x:v>
      </x:c>
      <x:c r="V141" s="47" t="n">
        <x:v>13.8</x:v>
      </x:c>
      <x:c r="W141" s="47" t="n">
        <x:v>0</x:v>
      </x:c>
      <x:c r="X141" s="47" t="n">
        <x:v>0</x:v>
      </x:c>
      <x:c r="Y141" s="41" t="n">
        <x:v>0</x:v>
      </x:c>
    </x:row>
    <x:row r="142">
      <x:c r="A142" s="38" t="str">
        <x:v>7月30日现场数据</x:v>
      </x:c>
      <x:c r="B142" s="66" t="str">
        <x:v>2026-07-31T01:12:47.386000</x:v>
      </x:c>
      <x:c r="C142" s="47" t="n">
        <x:v>300961</x:v>
      </x:c>
      <x:c r="D142" s="47" t="str"/>
      <x:c r="E142" s="47" t="str"/>
      <x:c r="F142" s="47" t="str">
        <x:v>current</x:v>
      </x:c>
      <x:c r="G142" s="47" t="n">
        <x:v>138</x:v>
      </x:c>
      <x:c r="H142" s="53" t="b">
        <x:v>1</x:v>
      </x:c>
      <x:c r="I142" s="47" t="str">
        <x:v>3906736965</x:v>
      </x:c>
      <x:c r="J142" s="47" t="n">
        <x:v>41688174</x:v>
      </x:c>
      <x:c r="K142" s="53" t="b">
        <x:v>1</x:v>
      </x:c>
      <x:c r="L142" s="53" t="b">
        <x:v>1</x:v>
      </x:c>
      <x:c r="M142" s="53" t="b">
        <x:v>1</x:v>
      </x:c>
      <x:c r="N142" s="53" t="b">
        <x:v>1</x:v>
      </x:c>
      <x:c r="O142" s="53" t="b">
        <x:v>1</x:v>
      </x:c>
      <x:c r="P142" s="47" t="n">
        <x:v>1010</x:v>
      </x:c>
      <x:c r="Q142" s="47" t="n">
        <x:v>0</x:v>
      </x:c>
      <x:c r="R142" s="47" t="n">
        <x:v>0</x:v>
      </x:c>
      <x:c r="S142" s="47" t="n">
        <x:v>30.46</x:v>
      </x:c>
      <x:c r="T142" s="47" t="n">
        <x:v>64.14</x:v>
      </x:c>
      <x:c r="U142" s="47" t="n">
        <x:v>29.7</x:v>
      </x:c>
      <x:c r="V142" s="47" t="n">
        <x:v>13.8</x:v>
      </x:c>
      <x:c r="W142" s="47" t="n">
        <x:v>0</x:v>
      </x:c>
      <x:c r="X142" s="47" t="n">
        <x:v>0</x:v>
      </x:c>
      <x:c r="Y142" s="41" t="n">
        <x:v>0</x:v>
      </x:c>
    </x:row>
    <x:row r="143">
      <x:c r="A143" s="38" t="str">
        <x:v>7月30日现场数据</x:v>
      </x:c>
      <x:c r="B143" s="66" t="str">
        <x:v>2026-07-31T01:17:48.348000</x:v>
      </x:c>
      <x:c r="C143" s="47" t="n">
        <x:v>300962</x:v>
      </x:c>
      <x:c r="D143" s="47" t="str"/>
      <x:c r="E143" s="47" t="str"/>
      <x:c r="F143" s="47" t="str">
        <x:v>current</x:v>
      </x:c>
      <x:c r="G143" s="47" t="n">
        <x:v>139</x:v>
      </x:c>
      <x:c r="H143" s="53" t="b">
        <x:v>1</x:v>
      </x:c>
      <x:c r="I143" s="47" t="str">
        <x:v>3906736965</x:v>
      </x:c>
      <x:c r="J143" s="47" t="n">
        <x:v>41989136</x:v>
      </x:c>
      <x:c r="K143" s="53" t="b">
        <x:v>1</x:v>
      </x:c>
      <x:c r="L143" s="53" t="b">
        <x:v>1</x:v>
      </x:c>
      <x:c r="M143" s="53" t="b">
        <x:v>1</x:v>
      </x:c>
      <x:c r="N143" s="53" t="b">
        <x:v>1</x:v>
      </x:c>
      <x:c r="O143" s="53" t="b">
        <x:v>1</x:v>
      </x:c>
      <x:c r="P143" s="47" t="n">
        <x:v>1010</x:v>
      </x:c>
      <x:c r="Q143" s="47" t="n">
        <x:v>0</x:v>
      </x:c>
      <x:c r="R143" s="47" t="n">
        <x:v>0</x:v>
      </x:c>
      <x:c r="S143" s="47" t="n">
        <x:v>30.43</x:v>
      </x:c>
      <x:c r="T143" s="47" t="n">
        <x:v>64.23</x:v>
      </x:c>
      <x:c r="U143" s="47" t="n">
        <x:v>29.7</x:v>
      </x:c>
      <x:c r="V143" s="47" t="n">
        <x:v>13.8</x:v>
      </x:c>
      <x:c r="W143" s="47" t="n">
        <x:v>0</x:v>
      </x:c>
      <x:c r="X143" s="47" t="n">
        <x:v>0</x:v>
      </x:c>
      <x:c r="Y143" s="41" t="n">
        <x:v>0</x:v>
      </x:c>
    </x:row>
    <x:row r="144">
      <x:c r="A144" s="38" t="str">
        <x:v>7月30日现场数据</x:v>
      </x:c>
      <x:c r="B144" s="66" t="str">
        <x:v>2026-07-31T01:22:49.314000</x:v>
      </x:c>
      <x:c r="C144" s="47" t="n">
        <x:v>300966</x:v>
      </x:c>
      <x:c r="D144" s="47" t="str"/>
      <x:c r="E144" s="47" t="str"/>
      <x:c r="F144" s="47" t="str">
        <x:v>current</x:v>
      </x:c>
      <x:c r="G144" s="47" t="n">
        <x:v>140</x:v>
      </x:c>
      <x:c r="H144" s="53" t="b">
        <x:v>1</x:v>
      </x:c>
      <x:c r="I144" s="47" t="str">
        <x:v>3906736965</x:v>
      </x:c>
      <x:c r="J144" s="47" t="n">
        <x:v>42290102</x:v>
      </x:c>
      <x:c r="K144" s="53" t="b">
        <x:v>1</x:v>
      </x:c>
      <x:c r="L144" s="53" t="b">
        <x:v>1</x:v>
      </x:c>
      <x:c r="M144" s="53" t="b">
        <x:v>1</x:v>
      </x:c>
      <x:c r="N144" s="53" t="b">
        <x:v>1</x:v>
      </x:c>
      <x:c r="O144" s="53" t="b">
        <x:v>1</x:v>
      </x:c>
      <x:c r="P144" s="47" t="n">
        <x:v>1010</x:v>
      </x:c>
      <x:c r="Q144" s="47" t="n">
        <x:v>0</x:v>
      </x:c>
      <x:c r="R144" s="47" t="n">
        <x:v>0</x:v>
      </x:c>
      <x:c r="S144" s="47" t="n">
        <x:v>30.38</x:v>
      </x:c>
      <x:c r="T144" s="47" t="n">
        <x:v>64.22</x:v>
      </x:c>
      <x:c r="U144" s="47" t="n">
        <x:v>29.7</x:v>
      </x:c>
      <x:c r="V144" s="47" t="n">
        <x:v>13.8</x:v>
      </x:c>
      <x:c r="W144" s="47" t="n">
        <x:v>0</x:v>
      </x:c>
      <x:c r="X144" s="47" t="n">
        <x:v>0</x:v>
      </x:c>
      <x:c r="Y144" s="41" t="n">
        <x:v>0</x:v>
      </x:c>
    </x:row>
    <x:row r="145">
      <x:c r="A145" s="38" t="str">
        <x:v>7月30日现场数据</x:v>
      </x:c>
      <x:c r="B145" s="66" t="str">
        <x:v>2026-07-31T01:27:50.281000</x:v>
      </x:c>
      <x:c r="C145" s="47" t="n">
        <x:v>300967</x:v>
      </x:c>
      <x:c r="D145" s="47" t="str"/>
      <x:c r="E145" s="47" t="str"/>
      <x:c r="F145" s="47" t="str">
        <x:v>current</x:v>
      </x:c>
      <x:c r="G145" s="47" t="n">
        <x:v>141</x:v>
      </x:c>
      <x:c r="H145" s="53" t="b">
        <x:v>1</x:v>
      </x:c>
      <x:c r="I145" s="47" t="str">
        <x:v>3906736965</x:v>
      </x:c>
      <x:c r="J145" s="47" t="n">
        <x:v>42591069</x:v>
      </x:c>
      <x:c r="K145" s="53" t="b">
        <x:v>1</x:v>
      </x:c>
      <x:c r="L145" s="53" t="b">
        <x:v>1</x:v>
      </x:c>
      <x:c r="M145" s="53" t="b">
        <x:v>1</x:v>
      </x:c>
      <x:c r="N145" s="53" t="b">
        <x:v>1</x:v>
      </x:c>
      <x:c r="O145" s="53" t="b">
        <x:v>1</x:v>
      </x:c>
      <x:c r="P145" s="47" t="n">
        <x:v>1010</x:v>
      </x:c>
      <x:c r="Q145" s="47" t="n">
        <x:v>0</x:v>
      </x:c>
      <x:c r="R145" s="47" t="n">
        <x:v>0</x:v>
      </x:c>
      <x:c r="S145" s="47" t="n">
        <x:v>30.41</x:v>
      </x:c>
      <x:c r="T145" s="47" t="n">
        <x:v>64.24</x:v>
      </x:c>
      <x:c r="U145" s="47" t="n">
        <x:v>29.7</x:v>
      </x:c>
      <x:c r="V145" s="47" t="n">
        <x:v>13.7</x:v>
      </x:c>
      <x:c r="W145" s="47" t="n">
        <x:v>0</x:v>
      </x:c>
      <x:c r="X145" s="47" t="n">
        <x:v>0</x:v>
      </x:c>
      <x:c r="Y145" s="41" t="n">
        <x:v>0</x:v>
      </x:c>
    </x:row>
    <x:row r="146">
      <x:c r="A146" s="38" t="str">
        <x:v>7月30日现场数据</x:v>
      </x:c>
      <x:c r="B146" s="66" t="str">
        <x:v>2026-07-31T01:32:51.251000</x:v>
      </x:c>
      <x:c r="C146" s="47" t="n">
        <x:v>300970</x:v>
      </x:c>
      <x:c r="D146" s="47" t="str"/>
      <x:c r="E146" s="47" t="str"/>
      <x:c r="F146" s="47" t="str">
        <x:v>current</x:v>
      </x:c>
      <x:c r="G146" s="47" t="n">
        <x:v>142</x:v>
      </x:c>
      <x:c r="H146" s="53" t="b">
        <x:v>1</x:v>
      </x:c>
      <x:c r="I146" s="47" t="str">
        <x:v>3906736965</x:v>
      </x:c>
      <x:c r="J146" s="47" t="n">
        <x:v>42892039</x:v>
      </x:c>
      <x:c r="K146" s="53" t="b">
        <x:v>1</x:v>
      </x:c>
      <x:c r="L146" s="53" t="b">
        <x:v>1</x:v>
      </x:c>
      <x:c r="M146" s="53" t="b">
        <x:v>1</x:v>
      </x:c>
      <x:c r="N146" s="53" t="b">
        <x:v>1</x:v>
      </x:c>
      <x:c r="O146" s="53" t="b">
        <x:v>1</x:v>
      </x:c>
      <x:c r="P146" s="47" t="n">
        <x:v>1010</x:v>
      </x:c>
      <x:c r="Q146" s="47" t="n">
        <x:v>0</x:v>
      </x:c>
      <x:c r="R146" s="47" t="n">
        <x:v>0</x:v>
      </x:c>
      <x:c r="S146" s="47" t="n">
        <x:v>30.39</x:v>
      </x:c>
      <x:c r="T146" s="47" t="n">
        <x:v>64.32</x:v>
      </x:c>
      <x:c r="U146" s="47" t="n">
        <x:v>29.7</x:v>
      </x:c>
      <x:c r="V146" s="47" t="n">
        <x:v>13.8</x:v>
      </x:c>
      <x:c r="W146" s="47" t="n">
        <x:v>0</x:v>
      </x:c>
      <x:c r="X146" s="47" t="n">
        <x:v>0</x:v>
      </x:c>
      <x:c r="Y146" s="41" t="n">
        <x:v>0</x:v>
      </x:c>
    </x:row>
    <x:row r="147">
      <x:c r="A147" s="38" t="str">
        <x:v>7月30日现场数据</x:v>
      </x:c>
      <x:c r="B147" s="66" t="str">
        <x:v>2026-07-31T01:37:52.221000</x:v>
      </x:c>
      <x:c r="C147" s="47" t="n">
        <x:v>300970</x:v>
      </x:c>
      <x:c r="D147" s="47" t="str"/>
      <x:c r="E147" s="47" t="str"/>
      <x:c r="F147" s="47" t="str">
        <x:v>current</x:v>
      </x:c>
      <x:c r="G147" s="47" t="n">
        <x:v>143</x:v>
      </x:c>
      <x:c r="H147" s="53" t="b">
        <x:v>1</x:v>
      </x:c>
      <x:c r="I147" s="47" t="str">
        <x:v>3906736965</x:v>
      </x:c>
      <x:c r="J147" s="47" t="n">
        <x:v>43193009</x:v>
      </x:c>
      <x:c r="K147" s="53" t="b">
        <x:v>1</x:v>
      </x:c>
      <x:c r="L147" s="53" t="b">
        <x:v>1</x:v>
      </x:c>
      <x:c r="M147" s="53" t="b">
        <x:v>1</x:v>
      </x:c>
      <x:c r="N147" s="53" t="b">
        <x:v>1</x:v>
      </x:c>
      <x:c r="O147" s="53" t="b">
        <x:v>1</x:v>
      </x:c>
      <x:c r="P147" s="47" t="n">
        <x:v>1010</x:v>
      </x:c>
      <x:c r="Q147" s="47" t="n">
        <x:v>0</x:v>
      </x:c>
      <x:c r="R147" s="47" t="n">
        <x:v>0</x:v>
      </x:c>
      <x:c r="S147" s="47" t="n">
        <x:v>30.35</x:v>
      </x:c>
      <x:c r="T147" s="47" t="n">
        <x:v>64.35</x:v>
      </x:c>
      <x:c r="U147" s="47" t="n">
        <x:v>29.7</x:v>
      </x:c>
      <x:c r="V147" s="47" t="n">
        <x:v>13.8</x:v>
      </x:c>
      <x:c r="W147" s="47" t="n">
        <x:v>0</x:v>
      </x:c>
      <x:c r="X147" s="47" t="n">
        <x:v>0</x:v>
      </x:c>
      <x:c r="Y147" s="41" t="n">
        <x:v>0</x:v>
      </x:c>
    </x:row>
    <x:row r="148">
      <x:c r="A148" s="38" t="str">
        <x:v>7月30日现场数据</x:v>
      </x:c>
      <x:c r="B148" s="66" t="str">
        <x:v>2026-07-31T01:42:53.193000</x:v>
      </x:c>
      <x:c r="C148" s="47" t="n">
        <x:v>300972</x:v>
      </x:c>
      <x:c r="D148" s="47" t="str"/>
      <x:c r="E148" s="47" t="str"/>
      <x:c r="F148" s="47" t="str">
        <x:v>current</x:v>
      </x:c>
      <x:c r="G148" s="47" t="n">
        <x:v>144</x:v>
      </x:c>
      <x:c r="H148" s="53" t="b">
        <x:v>1</x:v>
      </x:c>
      <x:c r="I148" s="47" t="str">
        <x:v>3906736965</x:v>
      </x:c>
      <x:c r="J148" s="47" t="n">
        <x:v>43493981</x:v>
      </x:c>
      <x:c r="K148" s="53" t="b">
        <x:v>1</x:v>
      </x:c>
      <x:c r="L148" s="53" t="b">
        <x:v>1</x:v>
      </x:c>
      <x:c r="M148" s="53" t="b">
        <x:v>1</x:v>
      </x:c>
      <x:c r="N148" s="53" t="b">
        <x:v>1</x:v>
      </x:c>
      <x:c r="O148" s="53" t="b">
        <x:v>1</x:v>
      </x:c>
      <x:c r="P148" s="47" t="n">
        <x:v>1010</x:v>
      </x:c>
      <x:c r="Q148" s="47" t="n">
        <x:v>0</x:v>
      </x:c>
      <x:c r="R148" s="47" t="n">
        <x:v>0</x:v>
      </x:c>
      <x:c r="S148" s="47" t="n">
        <x:v>30.34</x:v>
      </x:c>
      <x:c r="T148" s="47" t="n">
        <x:v>64.43</x:v>
      </x:c>
      <x:c r="U148" s="47" t="n">
        <x:v>29.7</x:v>
      </x:c>
      <x:c r="V148" s="47" t="n">
        <x:v>13.8</x:v>
      </x:c>
      <x:c r="W148" s="47" t="n">
        <x:v>0</x:v>
      </x:c>
      <x:c r="X148" s="47" t="n">
        <x:v>0</x:v>
      </x:c>
      <x:c r="Y148" s="41" t="n">
        <x:v>0</x:v>
      </x:c>
    </x:row>
    <x:row r="149">
      <x:c r="A149" s="38" t="str">
        <x:v>7月30日现场数据</x:v>
      </x:c>
      <x:c r="B149" s="66" t="str">
        <x:v>2026-07-31T01:47:54.166000</x:v>
      </x:c>
      <x:c r="C149" s="47" t="n">
        <x:v>300973</x:v>
      </x:c>
      <x:c r="D149" s="47" t="str"/>
      <x:c r="E149" s="47" t="str"/>
      <x:c r="F149" s="47" t="str">
        <x:v>current</x:v>
      </x:c>
      <x:c r="G149" s="47" t="n">
        <x:v>145</x:v>
      </x:c>
      <x:c r="H149" s="53" t="b">
        <x:v>1</x:v>
      </x:c>
      <x:c r="I149" s="47" t="str">
        <x:v>3906736965</x:v>
      </x:c>
      <x:c r="J149" s="47" t="n">
        <x:v>43794954</x:v>
      </x:c>
      <x:c r="K149" s="53" t="b">
        <x:v>1</x:v>
      </x:c>
      <x:c r="L149" s="53" t="b">
        <x:v>1</x:v>
      </x:c>
      <x:c r="M149" s="53" t="b">
        <x:v>1</x:v>
      </x:c>
      <x:c r="N149" s="53" t="b">
        <x:v>1</x:v>
      </x:c>
      <x:c r="O149" s="53" t="b">
        <x:v>1</x:v>
      </x:c>
      <x:c r="P149" s="47" t="n">
        <x:v>1010</x:v>
      </x:c>
      <x:c r="Q149" s="47" t="n">
        <x:v>0</x:v>
      </x:c>
      <x:c r="R149" s="47" t="n">
        <x:v>0</x:v>
      </x:c>
      <x:c r="S149" s="47" t="n">
        <x:v>30.39</x:v>
      </x:c>
      <x:c r="T149" s="47" t="n">
        <x:v>64.5</x:v>
      </x:c>
      <x:c r="U149" s="47" t="n">
        <x:v>29.7</x:v>
      </x:c>
      <x:c r="V149" s="47" t="n">
        <x:v>13.7</x:v>
      </x:c>
      <x:c r="W149" s="47" t="n">
        <x:v>0</x:v>
      </x:c>
      <x:c r="X149" s="47" t="n">
        <x:v>0</x:v>
      </x:c>
      <x:c r="Y149" s="41" t="n">
        <x:v>0</x:v>
      </x:c>
    </x:row>
    <x:row r="150">
      <x:c r="A150" s="38" t="str">
        <x:v>7月30日现场数据</x:v>
      </x:c>
      <x:c r="B150" s="66" t="str">
        <x:v>2026-07-31T01:52:55.141000</x:v>
      </x:c>
      <x:c r="C150" s="47" t="n">
        <x:v>300975</x:v>
      </x:c>
      <x:c r="D150" s="47" t="str"/>
      <x:c r="E150" s="47" t="str"/>
      <x:c r="F150" s="47" t="str">
        <x:v>current</x:v>
      </x:c>
      <x:c r="G150" s="47" t="n">
        <x:v>146</x:v>
      </x:c>
      <x:c r="H150" s="53" t="b">
        <x:v>1</x:v>
      </x:c>
      <x:c r="I150" s="47" t="str">
        <x:v>3906736965</x:v>
      </x:c>
      <x:c r="J150" s="47" t="n">
        <x:v>44095929</x:v>
      </x:c>
      <x:c r="K150" s="53" t="b">
        <x:v>1</x:v>
      </x:c>
      <x:c r="L150" s="53" t="b">
        <x:v>1</x:v>
      </x:c>
      <x:c r="M150" s="53" t="b">
        <x:v>1</x:v>
      </x:c>
      <x:c r="N150" s="53" t="b">
        <x:v>1</x:v>
      </x:c>
      <x:c r="O150" s="53" t="b">
        <x:v>1</x:v>
      </x:c>
      <x:c r="P150" s="47" t="n">
        <x:v>1010</x:v>
      </x:c>
      <x:c r="Q150" s="47" t="n">
        <x:v>0</x:v>
      </x:c>
      <x:c r="R150" s="47" t="n">
        <x:v>0</x:v>
      </x:c>
      <x:c r="S150" s="47" t="n">
        <x:v>30.42</x:v>
      </x:c>
      <x:c r="T150" s="47" t="n">
        <x:v>64.54</x:v>
      </x:c>
      <x:c r="U150" s="47" t="n">
        <x:v>29.7</x:v>
      </x:c>
      <x:c r="V150" s="47" t="n">
        <x:v>13.8</x:v>
      </x:c>
      <x:c r="W150" s="47" t="n">
        <x:v>0</x:v>
      </x:c>
      <x:c r="X150" s="47" t="n">
        <x:v>0</x:v>
      </x:c>
      <x:c r="Y150" s="41" t="n">
        <x:v>0</x:v>
      </x:c>
    </x:row>
    <x:row r="151">
      <x:c r="A151" s="38" t="str">
        <x:v>7月30日现场数据</x:v>
      </x:c>
      <x:c r="B151" s="66" t="str">
        <x:v>2026-07-31T01:57:56.119000</x:v>
      </x:c>
      <x:c r="C151" s="47" t="n">
        <x:v>300978</x:v>
      </x:c>
      <x:c r="D151" s="47" t="str"/>
      <x:c r="E151" s="47" t="str"/>
      <x:c r="F151" s="47" t="str">
        <x:v>current</x:v>
      </x:c>
      <x:c r="G151" s="47" t="n">
        <x:v>147</x:v>
      </x:c>
      <x:c r="H151" s="53" t="b">
        <x:v>1</x:v>
      </x:c>
      <x:c r="I151" s="47" t="str">
        <x:v>3906736965</x:v>
      </x:c>
      <x:c r="J151" s="47" t="n">
        <x:v>44396907</x:v>
      </x:c>
      <x:c r="K151" s="53" t="b">
        <x:v>1</x:v>
      </x:c>
      <x:c r="L151" s="53" t="b">
        <x:v>1</x:v>
      </x:c>
      <x:c r="M151" s="53" t="b">
        <x:v>1</x:v>
      </x:c>
      <x:c r="N151" s="53" t="b">
        <x:v>1</x:v>
      </x:c>
      <x:c r="O151" s="53" t="b">
        <x:v>1</x:v>
      </x:c>
      <x:c r="P151" s="47" t="n">
        <x:v>1010</x:v>
      </x:c>
      <x:c r="Q151" s="47" t="n">
        <x:v>0</x:v>
      </x:c>
      <x:c r="R151" s="47" t="n">
        <x:v>0</x:v>
      </x:c>
      <x:c r="S151" s="47" t="n">
        <x:v>30.4</x:v>
      </x:c>
      <x:c r="T151" s="47" t="n">
        <x:v>64.56</x:v>
      </x:c>
      <x:c r="U151" s="47" t="n">
        <x:v>29.7</x:v>
      </x:c>
      <x:c r="V151" s="47" t="n">
        <x:v>13.8</x:v>
      </x:c>
      <x:c r="W151" s="47" t="n">
        <x:v>0</x:v>
      </x:c>
      <x:c r="X151" s="47" t="n">
        <x:v>0</x:v>
      </x:c>
      <x:c r="Y151" s="41" t="n">
        <x:v>0</x:v>
      </x:c>
    </x:row>
    <x:row r="152">
      <x:c r="A152" s="38" t="str">
        <x:v>7月30日现场数据</x:v>
      </x:c>
      <x:c r="B152" s="66" t="str">
        <x:v>2026-07-31T02:02:57.106000</x:v>
      </x:c>
      <x:c r="C152" s="47" t="n">
        <x:v>300987</x:v>
      </x:c>
      <x:c r="D152" s="47" t="str"/>
      <x:c r="E152" s="47" t="str"/>
      <x:c r="F152" s="47" t="str">
        <x:v>current</x:v>
      </x:c>
      <x:c r="G152" s="47" t="n">
        <x:v>148</x:v>
      </x:c>
      <x:c r="H152" s="53" t="b">
        <x:v>1</x:v>
      </x:c>
      <x:c r="I152" s="47" t="str">
        <x:v>3906736965</x:v>
      </x:c>
      <x:c r="J152" s="47" t="n">
        <x:v>44697894</x:v>
      </x:c>
      <x:c r="K152" s="53" t="b">
        <x:v>1</x:v>
      </x:c>
      <x:c r="L152" s="53" t="b">
        <x:v>1</x:v>
      </x:c>
      <x:c r="M152" s="53" t="b">
        <x:v>1</x:v>
      </x:c>
      <x:c r="N152" s="53" t="b">
        <x:v>1</x:v>
      </x:c>
      <x:c r="O152" s="53" t="b">
        <x:v>1</x:v>
      </x:c>
      <x:c r="P152" s="47" t="n">
        <x:v>1010</x:v>
      </x:c>
      <x:c r="Q152" s="47" t="n">
        <x:v>0</x:v>
      </x:c>
      <x:c r="R152" s="47" t="n">
        <x:v>0</x:v>
      </x:c>
      <x:c r="S152" s="47" t="n">
        <x:v>30.41</x:v>
      </x:c>
      <x:c r="T152" s="47" t="n">
        <x:v>64.65</x:v>
      </x:c>
      <x:c r="U152" s="47" t="n">
        <x:v>29.6</x:v>
      </x:c>
      <x:c r="V152" s="47" t="n">
        <x:v>13.8</x:v>
      </x:c>
      <x:c r="W152" s="47" t="n">
        <x:v>0</x:v>
      </x:c>
      <x:c r="X152" s="47" t="n">
        <x:v>0</x:v>
      </x:c>
      <x:c r="Y152" s="41" t="n">
        <x:v>0</x:v>
      </x:c>
    </x:row>
    <x:row r="153">
      <x:c r="A153" s="38" t="str">
        <x:v>7月30日现场数据</x:v>
      </x:c>
      <x:c r="B153" s="66" t="str">
        <x:v>2026-07-31T02:07:58.088000</x:v>
      </x:c>
      <x:c r="C153" s="47" t="n">
        <x:v>300982</x:v>
      </x:c>
      <x:c r="D153" s="47" t="str"/>
      <x:c r="E153" s="47" t="str"/>
      <x:c r="F153" s="47" t="str">
        <x:v>current</x:v>
      </x:c>
      <x:c r="G153" s="47" t="n">
        <x:v>149</x:v>
      </x:c>
      <x:c r="H153" s="53" t="b">
        <x:v>1</x:v>
      </x:c>
      <x:c r="I153" s="47" t="str">
        <x:v>3906736965</x:v>
      </x:c>
      <x:c r="J153" s="47" t="n">
        <x:v>44998876</x:v>
      </x:c>
      <x:c r="K153" s="53" t="b">
        <x:v>1</x:v>
      </x:c>
      <x:c r="L153" s="53" t="b">
        <x:v>1</x:v>
      </x:c>
      <x:c r="M153" s="53" t="b">
        <x:v>1</x:v>
      </x:c>
      <x:c r="N153" s="53" t="b">
        <x:v>1</x:v>
      </x:c>
      <x:c r="O153" s="53" t="b">
        <x:v>1</x:v>
      </x:c>
      <x:c r="P153" s="47" t="n">
        <x:v>1010</x:v>
      </x:c>
      <x:c r="Q153" s="47" t="n">
        <x:v>0</x:v>
      </x:c>
      <x:c r="R153" s="47" t="n">
        <x:v>0</x:v>
      </x:c>
      <x:c r="S153" s="47" t="n">
        <x:v>30.5</x:v>
      </x:c>
      <x:c r="T153" s="47" t="n">
        <x:v>64.72</x:v>
      </x:c>
      <x:c r="U153" s="47" t="n">
        <x:v>29.6</x:v>
      </x:c>
      <x:c r="V153" s="47" t="n">
        <x:v>13.8</x:v>
      </x:c>
      <x:c r="W153" s="47" t="n">
        <x:v>0</x:v>
      </x:c>
      <x:c r="X153" s="47" t="n">
        <x:v>0</x:v>
      </x:c>
      <x:c r="Y153" s="41" t="n">
        <x:v>0</x:v>
      </x:c>
    </x:row>
    <x:row r="154">
      <x:c r="A154" s="38" t="str">
        <x:v>7月30日现场数据</x:v>
      </x:c>
      <x:c r="B154" s="66" t="str">
        <x:v>2026-07-31T02:13:15.797000</x:v>
      </x:c>
      <x:c r="C154" s="47" t="n">
        <x:v>317709</x:v>
      </x:c>
      <x:c r="D154" s="47" t="str"/>
      <x:c r="E154" s="47" t="str"/>
      <x:c r="F154" s="47" t="str">
        <x:v>current</x:v>
      </x:c>
      <x:c r="G154" s="47" t="n">
        <x:v>150</x:v>
      </x:c>
      <x:c r="H154" s="53" t="b">
        <x:v>1</x:v>
      </x:c>
      <x:c r="I154" s="47" t="str">
        <x:v>3906736965</x:v>
      </x:c>
      <x:c r="J154" s="47" t="n">
        <x:v>45316585</x:v>
      </x:c>
      <x:c r="K154" s="53" t="b">
        <x:v>1</x:v>
      </x:c>
      <x:c r="L154" s="53" t="b">
        <x:v>1</x:v>
      </x:c>
      <x:c r="M154" s="53" t="b">
        <x:v>1</x:v>
      </x:c>
      <x:c r="N154" s="53" t="b">
        <x:v>1</x:v>
      </x:c>
      <x:c r="O154" s="53" t="b">
        <x:v>1</x:v>
      </x:c>
      <x:c r="P154" s="47" t="n">
        <x:v>1010</x:v>
      </x:c>
      <x:c r="Q154" s="47" t="n">
        <x:v>0</x:v>
      </x:c>
      <x:c r="R154" s="47" t="n">
        <x:v>0</x:v>
      </x:c>
      <x:c r="S154" s="47" t="n">
        <x:v>30.58</x:v>
      </x:c>
      <x:c r="T154" s="47" t="n">
        <x:v>64.85</x:v>
      </x:c>
      <x:c r="U154" s="47" t="n">
        <x:v>29.6</x:v>
      </x:c>
      <x:c r="V154" s="47" t="n">
        <x:v>13.8</x:v>
      </x:c>
      <x:c r="W154" s="47" t="n">
        <x:v>0</x:v>
      </x:c>
      <x:c r="X154" s="47" t="n">
        <x:v>0</x:v>
      </x:c>
      <x:c r="Y154" s="41" t="n">
        <x:v>0</x:v>
      </x:c>
    </x:row>
    <x:row r="155">
      <x:c r="A155" s="38" t="str">
        <x:v>7月30日现场数据</x:v>
      </x:c>
      <x:c r="B155" s="66" t="str">
        <x:v>2026-07-31T02:18:16.754000</x:v>
      </x:c>
      <x:c r="C155" s="47" t="n">
        <x:v>300957</x:v>
      </x:c>
      <x:c r="D155" s="47" t="str"/>
      <x:c r="E155" s="47" t="str"/>
      <x:c r="F155" s="47" t="str">
        <x:v>current</x:v>
      </x:c>
      <x:c r="G155" s="47" t="n">
        <x:v>151</x:v>
      </x:c>
      <x:c r="H155" s="53" t="b">
        <x:v>1</x:v>
      </x:c>
      <x:c r="I155" s="47" t="str">
        <x:v>3906736965</x:v>
      </x:c>
      <x:c r="J155" s="47" t="n">
        <x:v>45617542</x:v>
      </x:c>
      <x:c r="K155" s="53" t="b">
        <x:v>1</x:v>
      </x:c>
      <x:c r="L155" s="53" t="b">
        <x:v>1</x:v>
      </x:c>
      <x:c r="M155" s="53" t="b">
        <x:v>1</x:v>
      </x:c>
      <x:c r="N155" s="53" t="b">
        <x:v>1</x:v>
      </x:c>
      <x:c r="O155" s="53" t="b">
        <x:v>1</x:v>
      </x:c>
      <x:c r="P155" s="47" t="n">
        <x:v>1010</x:v>
      </x:c>
      <x:c r="Q155" s="47" t="n">
        <x:v>0</x:v>
      </x:c>
      <x:c r="R155" s="47" t="n">
        <x:v>0</x:v>
      </x:c>
      <x:c r="S155" s="47" t="n">
        <x:v>30.56</x:v>
      </x:c>
      <x:c r="T155" s="47" t="n">
        <x:v>64.91</x:v>
      </x:c>
      <x:c r="U155" s="47" t="n">
        <x:v>29.6</x:v>
      </x:c>
      <x:c r="V155" s="47" t="n">
        <x:v>13.8</x:v>
      </x:c>
      <x:c r="W155" s="47" t="n">
        <x:v>0</x:v>
      </x:c>
      <x:c r="X155" s="47" t="n">
        <x:v>0</x:v>
      </x:c>
      <x:c r="Y155" s="41" t="n">
        <x:v>0</x:v>
      </x:c>
    </x:row>
    <x:row r="156">
      <x:c r="A156" s="38" t="str">
        <x:v>7月30日现场数据</x:v>
      </x:c>
      <x:c r="B156" s="66" t="str">
        <x:v>2026-07-31T02:23:17.713000</x:v>
      </x:c>
      <x:c r="C156" s="47" t="n">
        <x:v>300959</x:v>
      </x:c>
      <x:c r="D156" s="47" t="str"/>
      <x:c r="E156" s="47" t="str"/>
      <x:c r="F156" s="47" t="str">
        <x:v>current</x:v>
      </x:c>
      <x:c r="G156" s="47" t="n">
        <x:v>152</x:v>
      </x:c>
      <x:c r="H156" s="53" t="b">
        <x:v>1</x:v>
      </x:c>
      <x:c r="I156" s="47" t="str">
        <x:v>3906736965</x:v>
      </x:c>
      <x:c r="J156" s="47" t="n">
        <x:v>45918501</x:v>
      </x:c>
      <x:c r="K156" s="53" t="b">
        <x:v>1</x:v>
      </x:c>
      <x:c r="L156" s="53" t="b">
        <x:v>1</x:v>
      </x:c>
      <x:c r="M156" s="53" t="b">
        <x:v>1</x:v>
      </x:c>
      <x:c r="N156" s="53" t="b">
        <x:v>1</x:v>
      </x:c>
      <x:c r="O156" s="53" t="b">
        <x:v>1</x:v>
      </x:c>
      <x:c r="P156" s="47" t="n">
        <x:v>1010</x:v>
      </x:c>
      <x:c r="Q156" s="47" t="n">
        <x:v>0.001</x:v>
      </x:c>
      <x:c r="R156" s="47" t="n">
        <x:v>0.033</x:v>
      </x:c>
      <x:c r="S156" s="47" t="n">
        <x:v>30.53</x:v>
      </x:c>
      <x:c r="T156" s="47" t="n">
        <x:v>64.89</x:v>
      </x:c>
      <x:c r="U156" s="47" t="n">
        <x:v>29.6</x:v>
      </x:c>
      <x:c r="V156" s="47" t="n">
        <x:v>13.8</x:v>
      </x:c>
      <x:c r="W156" s="47" t="n">
        <x:v>0</x:v>
      </x:c>
      <x:c r="X156" s="47" t="n">
        <x:v>0</x:v>
      </x:c>
      <x:c r="Y156" s="41" t="n">
        <x:v>0</x:v>
      </x:c>
    </x:row>
    <x:row r="157">
      <x:c r="A157" s="38" t="str">
        <x:v>7月30日现场数据</x:v>
      </x:c>
      <x:c r="B157" s="66" t="str">
        <x:v>2026-07-31T02:28:18.675000</x:v>
      </x:c>
      <x:c r="C157" s="47" t="n">
        <x:v>300962</x:v>
      </x:c>
      <x:c r="D157" s="47" t="str"/>
      <x:c r="E157" s="47" t="str"/>
      <x:c r="F157" s="47" t="str">
        <x:v>current</x:v>
      </x:c>
      <x:c r="G157" s="47" t="n">
        <x:v>153</x:v>
      </x:c>
      <x:c r="H157" s="53" t="b">
        <x:v>1</x:v>
      </x:c>
      <x:c r="I157" s="47" t="str">
        <x:v>3906736965</x:v>
      </x:c>
      <x:c r="J157" s="47" t="n">
        <x:v>46219463</x:v>
      </x:c>
      <x:c r="K157" s="53" t="b">
        <x:v>1</x:v>
      </x:c>
      <x:c r="L157" s="53" t="b">
        <x:v>1</x:v>
      </x:c>
      <x:c r="M157" s="53" t="b">
        <x:v>1</x:v>
      </x:c>
      <x:c r="N157" s="53" t="b">
        <x:v>1</x:v>
      </x:c>
      <x:c r="O157" s="53" t="b">
        <x:v>1</x:v>
      </x:c>
      <x:c r="P157" s="47" t="n">
        <x:v>1010</x:v>
      </x:c>
      <x:c r="Q157" s="47" t="n">
        <x:v>0</x:v>
      </x:c>
      <x:c r="R157" s="47" t="n">
        <x:v>0</x:v>
      </x:c>
      <x:c r="S157" s="47" t="n">
        <x:v>30.58</x:v>
      </x:c>
      <x:c r="T157" s="47" t="n">
        <x:v>64.96</x:v>
      </x:c>
      <x:c r="U157" s="47" t="n">
        <x:v>29.6</x:v>
      </x:c>
      <x:c r="V157" s="47" t="n">
        <x:v>13.8</x:v>
      </x:c>
      <x:c r="W157" s="47" t="n">
        <x:v>0</x:v>
      </x:c>
      <x:c r="X157" s="47" t="n">
        <x:v>0</x:v>
      </x:c>
      <x:c r="Y157" s="41" t="n">
        <x:v>0</x:v>
      </x:c>
    </x:row>
    <x:row r="158">
      <x:c r="A158" s="38" t="str">
        <x:v>7月30日现场数据</x:v>
      </x:c>
      <x:c r="B158" s="66" t="str">
        <x:v>2026-07-31T02:33:19.638000</x:v>
      </x:c>
      <x:c r="C158" s="47" t="n">
        <x:v>300963</x:v>
      </x:c>
      <x:c r="D158" s="47" t="str"/>
      <x:c r="E158" s="47" t="str"/>
      <x:c r="F158" s="47" t="str">
        <x:v>current</x:v>
      </x:c>
      <x:c r="G158" s="47" t="n">
        <x:v>154</x:v>
      </x:c>
      <x:c r="H158" s="53" t="b">
        <x:v>1</x:v>
      </x:c>
      <x:c r="I158" s="47" t="str">
        <x:v>3906736965</x:v>
      </x:c>
      <x:c r="J158" s="47" t="n">
        <x:v>46520426</x:v>
      </x:c>
      <x:c r="K158" s="53" t="b">
        <x:v>1</x:v>
      </x:c>
      <x:c r="L158" s="53" t="b">
        <x:v>1</x:v>
      </x:c>
      <x:c r="M158" s="53" t="b">
        <x:v>1</x:v>
      </x:c>
      <x:c r="N158" s="53" t="b">
        <x:v>1</x:v>
      </x:c>
      <x:c r="O158" s="53" t="b">
        <x:v>1</x:v>
      </x:c>
      <x:c r="P158" s="47" t="n">
        <x:v>1010</x:v>
      </x:c>
      <x:c r="Q158" s="47" t="n">
        <x:v>0</x:v>
      </x:c>
      <x:c r="R158" s="47" t="n">
        <x:v>0</x:v>
      </x:c>
      <x:c r="S158" s="47" t="n">
        <x:v>30.57</x:v>
      </x:c>
      <x:c r="T158" s="47" t="n">
        <x:v>65</x:v>
      </x:c>
      <x:c r="U158" s="47" t="n">
        <x:v>29.6</x:v>
      </x:c>
      <x:c r="V158" s="47" t="n">
        <x:v>13.7</x:v>
      </x:c>
      <x:c r="W158" s="47" t="n">
        <x:v>0</x:v>
      </x:c>
      <x:c r="X158" s="47" t="n">
        <x:v>0</x:v>
      </x:c>
      <x:c r="Y158" s="41" t="n">
        <x:v>0</x:v>
      </x:c>
    </x:row>
    <x:row r="159">
      <x:c r="A159" s="38" t="str">
        <x:v>7月30日现场数据</x:v>
      </x:c>
      <x:c r="B159" s="66" t="str">
        <x:v>2026-07-31T02:38:20.605000</x:v>
      </x:c>
      <x:c r="C159" s="47" t="n">
        <x:v>300967</x:v>
      </x:c>
      <x:c r="D159" s="47" t="str"/>
      <x:c r="E159" s="47" t="str"/>
      <x:c r="F159" s="47" t="str">
        <x:v>current</x:v>
      </x:c>
      <x:c r="G159" s="47" t="n">
        <x:v>155</x:v>
      </x:c>
      <x:c r="H159" s="53" t="b">
        <x:v>1</x:v>
      </x:c>
      <x:c r="I159" s="47" t="str">
        <x:v>3906736965</x:v>
      </x:c>
      <x:c r="J159" s="47" t="n">
        <x:v>46821393</x:v>
      </x:c>
      <x:c r="K159" s="53" t="b">
        <x:v>1</x:v>
      </x:c>
      <x:c r="L159" s="53" t="b">
        <x:v>1</x:v>
      </x:c>
      <x:c r="M159" s="53" t="b">
        <x:v>1</x:v>
      </x:c>
      <x:c r="N159" s="53" t="b">
        <x:v>1</x:v>
      </x:c>
      <x:c r="O159" s="53" t="b">
        <x:v>1</x:v>
      </x:c>
      <x:c r="P159" s="47" t="n">
        <x:v>1010</x:v>
      </x:c>
      <x:c r="Q159" s="47" t="n">
        <x:v>0</x:v>
      </x:c>
      <x:c r="R159" s="47" t="n">
        <x:v>0</x:v>
      </x:c>
      <x:c r="S159" s="47" t="n">
        <x:v>30.46</x:v>
      </x:c>
      <x:c r="T159" s="47" t="n">
        <x:v>65</x:v>
      </x:c>
      <x:c r="U159" s="47" t="n">
        <x:v>29.6</x:v>
      </x:c>
      <x:c r="V159" s="47" t="n">
        <x:v>13.8</x:v>
      </x:c>
      <x:c r="W159" s="47" t="n">
        <x:v>0</x:v>
      </x:c>
      <x:c r="X159" s="47" t="n">
        <x:v>0</x:v>
      </x:c>
      <x:c r="Y159" s="41" t="n">
        <x:v>0</x:v>
      </x:c>
    </x:row>
    <x:row r="160">
      <x:c r="A160" s="38" t="str">
        <x:v>7月30日现场数据</x:v>
      </x:c>
      <x:c r="B160" s="66" t="str">
        <x:v>2026-07-31T02:43:21.574000</x:v>
      </x:c>
      <x:c r="C160" s="47" t="n">
        <x:v>300969</x:v>
      </x:c>
      <x:c r="D160" s="47" t="str"/>
      <x:c r="E160" s="47" t="str"/>
      <x:c r="F160" s="47" t="str">
        <x:v>current</x:v>
      </x:c>
      <x:c r="G160" s="47" t="n">
        <x:v>156</x:v>
      </x:c>
      <x:c r="H160" s="53" t="b">
        <x:v>1</x:v>
      </x:c>
      <x:c r="I160" s="47" t="str">
        <x:v>3906736965</x:v>
      </x:c>
      <x:c r="J160" s="47" t="n">
        <x:v>47122362</x:v>
      </x:c>
      <x:c r="K160" s="53" t="b">
        <x:v>1</x:v>
      </x:c>
      <x:c r="L160" s="53" t="b">
        <x:v>1</x:v>
      </x:c>
      <x:c r="M160" s="53" t="b">
        <x:v>1</x:v>
      </x:c>
      <x:c r="N160" s="53" t="b">
        <x:v>1</x:v>
      </x:c>
      <x:c r="O160" s="53" t="b">
        <x:v>1</x:v>
      </x:c>
      <x:c r="P160" s="47" t="n">
        <x:v>1010</x:v>
      </x:c>
      <x:c r="Q160" s="47" t="n">
        <x:v>0</x:v>
      </x:c>
      <x:c r="R160" s="47" t="n">
        <x:v>0</x:v>
      </x:c>
      <x:c r="S160" s="47" t="n">
        <x:v>30.43</x:v>
      </x:c>
      <x:c r="T160" s="47" t="n">
        <x:v>65.03</x:v>
      </x:c>
      <x:c r="U160" s="47" t="n">
        <x:v>29.6</x:v>
      </x:c>
      <x:c r="V160" s="47" t="n">
        <x:v>13.8</x:v>
      </x:c>
      <x:c r="W160" s="47" t="n">
        <x:v>0</x:v>
      </x:c>
      <x:c r="X160" s="47" t="n">
        <x:v>0</x:v>
      </x:c>
      <x:c r="Y160" s="41" t="n">
        <x:v>0</x:v>
      </x:c>
    </x:row>
    <x:row r="161">
      <x:c r="A161" s="38" t="str">
        <x:v>7月30日现场数据</x:v>
      </x:c>
      <x:c r="B161" s="66" t="str">
        <x:v>2026-07-31T02:48:22.545000</x:v>
      </x:c>
      <x:c r="C161" s="47" t="n">
        <x:v>300971</x:v>
      </x:c>
      <x:c r="D161" s="47" t="str"/>
      <x:c r="E161" s="47" t="str"/>
      <x:c r="F161" s="47" t="str">
        <x:v>current</x:v>
      </x:c>
      <x:c r="G161" s="47" t="n">
        <x:v>157</x:v>
      </x:c>
      <x:c r="H161" s="53" t="b">
        <x:v>1</x:v>
      </x:c>
      <x:c r="I161" s="47" t="str">
        <x:v>3906736965</x:v>
      </x:c>
      <x:c r="J161" s="47" t="n">
        <x:v>47423333</x:v>
      </x:c>
      <x:c r="K161" s="53" t="b">
        <x:v>1</x:v>
      </x:c>
      <x:c r="L161" s="53" t="b">
        <x:v>1</x:v>
      </x:c>
      <x:c r="M161" s="53" t="b">
        <x:v>1</x:v>
      </x:c>
      <x:c r="N161" s="53" t="b">
        <x:v>1</x:v>
      </x:c>
      <x:c r="O161" s="53" t="b">
        <x:v>1</x:v>
      </x:c>
      <x:c r="P161" s="47" t="n">
        <x:v>1010</x:v>
      </x:c>
      <x:c r="Q161" s="47" t="n">
        <x:v>0.028</x:v>
      </x:c>
      <x:c r="R161" s="47" t="n">
        <x:v>0.758</x:v>
      </x:c>
      <x:c r="S161" s="47" t="n">
        <x:v>30.37</x:v>
      </x:c>
      <x:c r="T161" s="47" t="n">
        <x:v>65.1</x:v>
      </x:c>
      <x:c r="U161" s="47" t="n">
        <x:v>29.6</x:v>
      </x:c>
      <x:c r="V161" s="47" t="n">
        <x:v>13.7</x:v>
      </x:c>
      <x:c r="W161" s="47" t="n">
        <x:v>0</x:v>
      </x:c>
      <x:c r="X161" s="47" t="n">
        <x:v>0</x:v>
      </x:c>
      <x:c r="Y161" s="41" t="n">
        <x:v>0</x:v>
      </x:c>
    </x:row>
    <x:row r="162">
      <x:c r="A162" s="38" t="str">
        <x:v>7月30日现场数据</x:v>
      </x:c>
      <x:c r="B162" s="66" t="str">
        <x:v>2026-07-31T02:53:23.517000</x:v>
      </x:c>
      <x:c r="C162" s="47" t="n">
        <x:v>300972</x:v>
      </x:c>
      <x:c r="D162" s="47" t="str"/>
      <x:c r="E162" s="47" t="str"/>
      <x:c r="F162" s="47" t="str">
        <x:v>current</x:v>
      </x:c>
      <x:c r="G162" s="47" t="n">
        <x:v>158</x:v>
      </x:c>
      <x:c r="H162" s="53" t="b">
        <x:v>1</x:v>
      </x:c>
      <x:c r="I162" s="47" t="str">
        <x:v>3906736965</x:v>
      </x:c>
      <x:c r="J162" s="47" t="n">
        <x:v>47724305</x:v>
      </x:c>
      <x:c r="K162" s="53" t="b">
        <x:v>1</x:v>
      </x:c>
      <x:c r="L162" s="53" t="b">
        <x:v>1</x:v>
      </x:c>
      <x:c r="M162" s="53" t="b">
        <x:v>1</x:v>
      </x:c>
      <x:c r="N162" s="53" t="b">
        <x:v>1</x:v>
      </x:c>
      <x:c r="O162" s="53" t="b">
        <x:v>1</x:v>
      </x:c>
      <x:c r="P162" s="47" t="n">
        <x:v>1010</x:v>
      </x:c>
      <x:c r="Q162" s="47" t="n">
        <x:v>0</x:v>
      </x:c>
      <x:c r="R162" s="47" t="n">
        <x:v>0</x:v>
      </x:c>
      <x:c r="S162" s="47" t="n">
        <x:v>30.29</x:v>
      </x:c>
      <x:c r="T162" s="47" t="n">
        <x:v>65.02</x:v>
      </x:c>
      <x:c r="U162" s="47" t="n">
        <x:v>29.6</x:v>
      </x:c>
      <x:c r="V162" s="47" t="n">
        <x:v>13.8</x:v>
      </x:c>
      <x:c r="W162" s="47" t="n">
        <x:v>0</x:v>
      </x:c>
      <x:c r="X162" s="47" t="n">
        <x:v>0</x:v>
      </x:c>
      <x:c r="Y162" s="41" t="n">
        <x:v>0</x:v>
      </x:c>
    </x:row>
    <x:row r="163">
      <x:c r="A163" s="38" t="str">
        <x:v>7月30日现场数据</x:v>
      </x:c>
      <x:c r="B163" s="66" t="str">
        <x:v>2026-07-31T02:58:24.491000</x:v>
      </x:c>
      <x:c r="C163" s="47" t="n">
        <x:v>300974</x:v>
      </x:c>
      <x:c r="D163" s="47" t="str"/>
      <x:c r="E163" s="47" t="str"/>
      <x:c r="F163" s="47" t="str">
        <x:v>current</x:v>
      </x:c>
      <x:c r="G163" s="47" t="n">
        <x:v>159</x:v>
      </x:c>
      <x:c r="H163" s="53" t="b">
        <x:v>1</x:v>
      </x:c>
      <x:c r="I163" s="47" t="str">
        <x:v>3906736965</x:v>
      </x:c>
      <x:c r="J163" s="47" t="n">
        <x:v>48025279</x:v>
      </x:c>
      <x:c r="K163" s="53" t="b">
        <x:v>1</x:v>
      </x:c>
      <x:c r="L163" s="53" t="b">
        <x:v>1</x:v>
      </x:c>
      <x:c r="M163" s="53" t="b">
        <x:v>1</x:v>
      </x:c>
      <x:c r="N163" s="53" t="b">
        <x:v>1</x:v>
      </x:c>
      <x:c r="O163" s="53" t="b">
        <x:v>1</x:v>
      </x:c>
      <x:c r="P163" s="47" t="n">
        <x:v>1010</x:v>
      </x:c>
      <x:c r="Q163" s="47" t="n">
        <x:v>0</x:v>
      </x:c>
      <x:c r="R163" s="47" t="n">
        <x:v>0</x:v>
      </x:c>
      <x:c r="S163" s="47" t="n">
        <x:v>30.18</x:v>
      </x:c>
      <x:c r="T163" s="47" t="n">
        <x:v>65.11</x:v>
      </x:c>
      <x:c r="U163" s="47" t="n">
        <x:v>29.6</x:v>
      </x:c>
      <x:c r="V163" s="47" t="n">
        <x:v>13.8</x:v>
      </x:c>
      <x:c r="W163" s="47" t="n">
        <x:v>0</x:v>
      </x:c>
      <x:c r="X163" s="47" t="n">
        <x:v>0</x:v>
      </x:c>
      <x:c r="Y163" s="41" t="n">
        <x:v>0</x:v>
      </x:c>
    </x:row>
    <x:row r="164">
      <x:c r="A164" s="38" t="str">
        <x:v>7月30日现场数据</x:v>
      </x:c>
      <x:c r="B164" s="66" t="str">
        <x:v>2026-07-31T03:03:25.464000</x:v>
      </x:c>
      <x:c r="C164" s="47" t="n">
        <x:v>300973</x:v>
      </x:c>
      <x:c r="D164" s="47" t="str"/>
      <x:c r="E164" s="47" t="str"/>
      <x:c r="F164" s="47" t="str">
        <x:v>current</x:v>
      </x:c>
      <x:c r="G164" s="47" t="n">
        <x:v>160</x:v>
      </x:c>
      <x:c r="H164" s="53" t="b">
        <x:v>1</x:v>
      </x:c>
      <x:c r="I164" s="47" t="str">
        <x:v>3906736965</x:v>
      </x:c>
      <x:c r="J164" s="47" t="n">
        <x:v>48326252</x:v>
      </x:c>
      <x:c r="K164" s="53" t="b">
        <x:v>1</x:v>
      </x:c>
      <x:c r="L164" s="53" t="b">
        <x:v>1</x:v>
      </x:c>
      <x:c r="M164" s="53" t="b">
        <x:v>1</x:v>
      </x:c>
      <x:c r="N164" s="53" t="b">
        <x:v>1</x:v>
      </x:c>
      <x:c r="O164" s="53" t="b">
        <x:v>1</x:v>
      </x:c>
      <x:c r="P164" s="47" t="n">
        <x:v>1010</x:v>
      </x:c>
      <x:c r="Q164" s="47" t="n">
        <x:v>0</x:v>
      </x:c>
      <x:c r="R164" s="47" t="n">
        <x:v>0</x:v>
      </x:c>
      <x:c r="S164" s="47" t="n">
        <x:v>30.07</x:v>
      </x:c>
      <x:c r="T164" s="47" t="n">
        <x:v>65.08</x:v>
      </x:c>
      <x:c r="U164" s="47" t="n">
        <x:v>29.6</x:v>
      </x:c>
      <x:c r="V164" s="47" t="n">
        <x:v>13.7</x:v>
      </x:c>
      <x:c r="W164" s="47" t="n">
        <x:v>0</x:v>
      </x:c>
      <x:c r="X164" s="47" t="n">
        <x:v>0</x:v>
      </x:c>
      <x:c r="Y164" s="41" t="n">
        <x:v>0</x:v>
      </x:c>
    </x:row>
    <x:row r="165">
      <x:c r="A165" s="38" t="str">
        <x:v>7月30日现场数据</x:v>
      </x:c>
      <x:c r="B165" s="66" t="str">
        <x:v>2026-07-31T03:08:26.445000</x:v>
      </x:c>
      <x:c r="C165" s="47" t="n">
        <x:v>300981</x:v>
      </x:c>
      <x:c r="D165" s="47" t="str"/>
      <x:c r="E165" s="47" t="str"/>
      <x:c r="F165" s="47" t="str">
        <x:v>current</x:v>
      </x:c>
      <x:c r="G165" s="47" t="n">
        <x:v>161</x:v>
      </x:c>
      <x:c r="H165" s="53" t="b">
        <x:v>1</x:v>
      </x:c>
      <x:c r="I165" s="47" t="str">
        <x:v>3906736965</x:v>
      </x:c>
      <x:c r="J165" s="47" t="n">
        <x:v>48627233</x:v>
      </x:c>
      <x:c r="K165" s="53" t="b">
        <x:v>1</x:v>
      </x:c>
      <x:c r="L165" s="53" t="b">
        <x:v>1</x:v>
      </x:c>
      <x:c r="M165" s="53" t="b">
        <x:v>1</x:v>
      </x:c>
      <x:c r="N165" s="53" t="b">
        <x:v>1</x:v>
      </x:c>
      <x:c r="O165" s="53" t="b">
        <x:v>1</x:v>
      </x:c>
      <x:c r="P165" s="47" t="n">
        <x:v>1010</x:v>
      </x:c>
      <x:c r="Q165" s="47" t="n">
        <x:v>0</x:v>
      </x:c>
      <x:c r="R165" s="47" t="n">
        <x:v>0</x:v>
      </x:c>
      <x:c r="S165" s="47" t="n">
        <x:v>30.06</x:v>
      </x:c>
      <x:c r="T165" s="47" t="n">
        <x:v>65.14</x:v>
      </x:c>
      <x:c r="U165" s="47" t="n">
        <x:v>29.6</x:v>
      </x:c>
      <x:c r="V165" s="47" t="n">
        <x:v>13.7</x:v>
      </x:c>
      <x:c r="W165" s="47" t="n">
        <x:v>0</x:v>
      </x:c>
      <x:c r="X165" s="47" t="n">
        <x:v>0</x:v>
      </x:c>
      <x:c r="Y165" s="41" t="n">
        <x:v>0</x:v>
      </x:c>
    </x:row>
    <x:row r="166">
      <x:c r="A166" s="38" t="str">
        <x:v>7月30日现场数据</x:v>
      </x:c>
      <x:c r="B166" s="66" t="str">
        <x:v>2026-07-31T03:13:27.409000</x:v>
      </x:c>
      <x:c r="C166" s="47" t="n">
        <x:v>300964</x:v>
      </x:c>
      <x:c r="D166" s="47" t="str"/>
      <x:c r="E166" s="47" t="str"/>
      <x:c r="F166" s="47" t="str">
        <x:v>current</x:v>
      </x:c>
      <x:c r="G166" s="47" t="n">
        <x:v>162</x:v>
      </x:c>
      <x:c r="H166" s="53" t="b">
        <x:v>1</x:v>
      </x:c>
      <x:c r="I166" s="47" t="str">
        <x:v>3906736965</x:v>
      </x:c>
      <x:c r="J166" s="47" t="n">
        <x:v>48928197</x:v>
      </x:c>
      <x:c r="K166" s="53" t="b">
        <x:v>1</x:v>
      </x:c>
      <x:c r="L166" s="53" t="b">
        <x:v>1</x:v>
      </x:c>
      <x:c r="M166" s="53" t="b">
        <x:v>1</x:v>
      </x:c>
      <x:c r="N166" s="53" t="b">
        <x:v>1</x:v>
      </x:c>
      <x:c r="O166" s="53" t="b">
        <x:v>1</x:v>
      </x:c>
      <x:c r="P166" s="47" t="n">
        <x:v>1010</x:v>
      </x:c>
      <x:c r="Q166" s="47" t="n">
        <x:v>0</x:v>
      </x:c>
      <x:c r="R166" s="47" t="n">
        <x:v>0</x:v>
      </x:c>
      <x:c r="S166" s="47" t="n">
        <x:v>30.03</x:v>
      </x:c>
      <x:c r="T166" s="47" t="n">
        <x:v>65.19</x:v>
      </x:c>
      <x:c r="U166" s="47" t="n">
        <x:v>29.6</x:v>
      </x:c>
      <x:c r="V166" s="47" t="n">
        <x:v>13.7</x:v>
      </x:c>
      <x:c r="W166" s="47" t="n">
        <x:v>0</x:v>
      </x:c>
      <x:c r="X166" s="47" t="n">
        <x:v>0</x:v>
      </x:c>
      <x:c r="Y166" s="41" t="n">
        <x:v>0</x:v>
      </x:c>
    </x:row>
    <x:row r="167">
      <x:c r="A167" s="38" t="str">
        <x:v>7月30日现场数据</x:v>
      </x:c>
      <x:c r="B167" s="66" t="str">
        <x:v>2026-07-31T03:18:28.378000</x:v>
      </x:c>
      <x:c r="C167" s="47" t="n">
        <x:v>300969</x:v>
      </x:c>
      <x:c r="D167" s="47" t="str"/>
      <x:c r="E167" s="47" t="str"/>
      <x:c r="F167" s="47" t="str">
        <x:v>current</x:v>
      </x:c>
      <x:c r="G167" s="47" t="n">
        <x:v>163</x:v>
      </x:c>
      <x:c r="H167" s="53" t="b">
        <x:v>1</x:v>
      </x:c>
      <x:c r="I167" s="47" t="str">
        <x:v>3906736965</x:v>
      </x:c>
      <x:c r="J167" s="47" t="n">
        <x:v>49229166</x:v>
      </x:c>
      <x:c r="K167" s="53" t="b">
        <x:v>1</x:v>
      </x:c>
      <x:c r="L167" s="53" t="b">
        <x:v>1</x:v>
      </x:c>
      <x:c r="M167" s="53" t="b">
        <x:v>1</x:v>
      </x:c>
      <x:c r="N167" s="53" t="b">
        <x:v>1</x:v>
      </x:c>
      <x:c r="O167" s="53" t="b">
        <x:v>1</x:v>
      </x:c>
      <x:c r="P167" s="47" t="n">
        <x:v>1010</x:v>
      </x:c>
      <x:c r="Q167" s="47" t="n">
        <x:v>0</x:v>
      </x:c>
      <x:c r="R167" s="47" t="n">
        <x:v>0</x:v>
      </x:c>
      <x:c r="S167" s="47" t="n">
        <x:v>30.04</x:v>
      </x:c>
      <x:c r="T167" s="47" t="n">
        <x:v>65.21</x:v>
      </x:c>
      <x:c r="U167" s="47" t="n">
        <x:v>29.6</x:v>
      </x:c>
      <x:c r="V167" s="47" t="n">
        <x:v>13.7</x:v>
      </x:c>
      <x:c r="W167" s="47" t="n">
        <x:v>0</x:v>
      </x:c>
      <x:c r="X167" s="47" t="n">
        <x:v>0</x:v>
      </x:c>
      <x:c r="Y167" s="41" t="n">
        <x:v>0</x:v>
      </x:c>
    </x:row>
    <x:row r="168">
      <x:c r="A168" s="38" t="str">
        <x:v>7月30日现场数据</x:v>
      </x:c>
      <x:c r="B168" s="66" t="str">
        <x:v>2026-07-31T03:23:29.348000</x:v>
      </x:c>
      <x:c r="C168" s="47" t="n">
        <x:v>300970</x:v>
      </x:c>
      <x:c r="D168" s="47" t="str"/>
      <x:c r="E168" s="47" t="str"/>
      <x:c r="F168" s="47" t="str">
        <x:v>current</x:v>
      </x:c>
      <x:c r="G168" s="47" t="n">
        <x:v>164</x:v>
      </x:c>
      <x:c r="H168" s="53" t="b">
        <x:v>1</x:v>
      </x:c>
      <x:c r="I168" s="47" t="str">
        <x:v>3906736965</x:v>
      </x:c>
      <x:c r="J168" s="47" t="n">
        <x:v>49530136</x:v>
      </x:c>
      <x:c r="K168" s="53" t="b">
        <x:v>1</x:v>
      </x:c>
      <x:c r="L168" s="53" t="b">
        <x:v>1</x:v>
      </x:c>
      <x:c r="M168" s="53" t="b">
        <x:v>1</x:v>
      </x:c>
      <x:c r="N168" s="53" t="b">
        <x:v>1</x:v>
      </x:c>
      <x:c r="O168" s="53" t="b">
        <x:v>1</x:v>
      </x:c>
      <x:c r="P168" s="47" t="n">
        <x:v>1010</x:v>
      </x:c>
      <x:c r="Q168" s="47" t="n">
        <x:v>0</x:v>
      </x:c>
      <x:c r="R168" s="47" t="n">
        <x:v>0</x:v>
      </x:c>
      <x:c r="S168" s="47" t="n">
        <x:v>30.02</x:v>
      </x:c>
      <x:c r="T168" s="47" t="n">
        <x:v>65.25</x:v>
      </x:c>
      <x:c r="U168" s="47" t="n">
        <x:v>29.6</x:v>
      </x:c>
      <x:c r="V168" s="47" t="n">
        <x:v>13.7</x:v>
      </x:c>
      <x:c r="W168" s="47" t="n">
        <x:v>0</x:v>
      </x:c>
      <x:c r="X168" s="47" t="n">
        <x:v>0</x:v>
      </x:c>
      <x:c r="Y168" s="41" t="n">
        <x:v>0</x:v>
      </x:c>
    </x:row>
    <x:row r="169">
      <x:c r="A169" s="38" t="str">
        <x:v>7月30日现场数据</x:v>
      </x:c>
      <x:c r="B169" s="66" t="str">
        <x:v>2026-07-31T03:28:30.320000</x:v>
      </x:c>
      <x:c r="C169" s="47" t="n">
        <x:v>300972</x:v>
      </x:c>
      <x:c r="D169" s="47" t="str"/>
      <x:c r="E169" s="47" t="str"/>
      <x:c r="F169" s="47" t="str">
        <x:v>current</x:v>
      </x:c>
      <x:c r="G169" s="47" t="n">
        <x:v>165</x:v>
      </x:c>
      <x:c r="H169" s="53" t="b">
        <x:v>1</x:v>
      </x:c>
      <x:c r="I169" s="47" t="str">
        <x:v>3906736965</x:v>
      </x:c>
      <x:c r="J169" s="47" t="n">
        <x:v>49831108</x:v>
      </x:c>
      <x:c r="K169" s="53" t="b">
        <x:v>1</x:v>
      </x:c>
      <x:c r="L169" s="53" t="b">
        <x:v>1</x:v>
      </x:c>
      <x:c r="M169" s="53" t="b">
        <x:v>1</x:v>
      </x:c>
      <x:c r="N169" s="53" t="b">
        <x:v>1</x:v>
      </x:c>
      <x:c r="O169" s="53" t="b">
        <x:v>1</x:v>
      </x:c>
      <x:c r="P169" s="47" t="n">
        <x:v>1010</x:v>
      </x:c>
      <x:c r="Q169" s="47" t="n">
        <x:v>0</x:v>
      </x:c>
      <x:c r="R169" s="47" t="n">
        <x:v>0</x:v>
      </x:c>
      <x:c r="S169" s="47" t="n">
        <x:v>30</x:v>
      </x:c>
      <x:c r="T169" s="47" t="n">
        <x:v>65.31</x:v>
      </x:c>
      <x:c r="U169" s="47" t="n">
        <x:v>29.6</x:v>
      </x:c>
      <x:c r="V169" s="47" t="n">
        <x:v>13.7</x:v>
      </x:c>
      <x:c r="W169" s="47" t="n">
        <x:v>0</x:v>
      </x:c>
      <x:c r="X169" s="47" t="n">
        <x:v>0</x:v>
      </x:c>
      <x:c r="Y169" s="41" t="n">
        <x:v>0</x:v>
      </x:c>
    </x:row>
    <x:row r="170">
      <x:c r="A170" s="38" t="str">
        <x:v>7月30日现场数据</x:v>
      </x:c>
      <x:c r="B170" s="66" t="str">
        <x:v>2026-07-31T03:33:31.327000</x:v>
      </x:c>
      <x:c r="C170" s="47" t="n">
        <x:v>301007</x:v>
      </x:c>
      <x:c r="D170" s="47" t="str"/>
      <x:c r="E170" s="47" t="str"/>
      <x:c r="F170" s="47" t="str">
        <x:v>current</x:v>
      </x:c>
      <x:c r="G170" s="47" t="n">
        <x:v>166</x:v>
      </x:c>
      <x:c r="H170" s="53" t="b">
        <x:v>1</x:v>
      </x:c>
      <x:c r="I170" s="47" t="str">
        <x:v>3906736965</x:v>
      </x:c>
      <x:c r="J170" s="47" t="n">
        <x:v>50132115</x:v>
      </x:c>
      <x:c r="K170" s="53" t="b">
        <x:v>1</x:v>
      </x:c>
      <x:c r="L170" s="53" t="b">
        <x:v>1</x:v>
      </x:c>
      <x:c r="M170" s="53" t="b">
        <x:v>1</x:v>
      </x:c>
      <x:c r="N170" s="53" t="b">
        <x:v>1</x:v>
      </x:c>
      <x:c r="O170" s="53" t="b">
        <x:v>1</x:v>
      </x:c>
      <x:c r="P170" s="47" t="n">
        <x:v>1010</x:v>
      </x:c>
      <x:c r="Q170" s="47" t="n">
        <x:v>0</x:v>
      </x:c>
      <x:c r="R170" s="47" t="n">
        <x:v>0</x:v>
      </x:c>
      <x:c r="S170" s="47" t="n">
        <x:v>30</x:v>
      </x:c>
      <x:c r="T170" s="47" t="n">
        <x:v>65.31</x:v>
      </x:c>
      <x:c r="U170" s="47" t="n">
        <x:v>29.5</x:v>
      </x:c>
      <x:c r="V170" s="47" t="n">
        <x:v>13.7</x:v>
      </x:c>
      <x:c r="W170" s="47" t="n">
        <x:v>0</x:v>
      </x:c>
      <x:c r="X170" s="47" t="n">
        <x:v>0</x:v>
      </x:c>
      <x:c r="Y170" s="41" t="n">
        <x:v>0</x:v>
      </x:c>
    </x:row>
    <x:row r="171">
      <x:c r="A171" s="38" t="str">
        <x:v>7月30日现场数据</x:v>
      </x:c>
      <x:c r="B171" s="66" t="str">
        <x:v>2026-07-31T03:38:32.271000</x:v>
      </x:c>
      <x:c r="C171" s="47" t="n">
        <x:v>300944</x:v>
      </x:c>
      <x:c r="D171" s="47" t="str"/>
      <x:c r="E171" s="47" t="str"/>
      <x:c r="F171" s="47" t="str">
        <x:v>current</x:v>
      </x:c>
      <x:c r="G171" s="47" t="n">
        <x:v>167</x:v>
      </x:c>
      <x:c r="H171" s="53" t="b">
        <x:v>1</x:v>
      </x:c>
      <x:c r="I171" s="47" t="str">
        <x:v>3906736965</x:v>
      </x:c>
      <x:c r="J171" s="47" t="n">
        <x:v>50433059</x:v>
      </x:c>
      <x:c r="K171" s="53" t="b">
        <x:v>1</x:v>
      </x:c>
      <x:c r="L171" s="53" t="b">
        <x:v>1</x:v>
      </x:c>
      <x:c r="M171" s="53" t="b">
        <x:v>1</x:v>
      </x:c>
      <x:c r="N171" s="53" t="b">
        <x:v>1</x:v>
      </x:c>
      <x:c r="O171" s="53" t="b">
        <x:v>1</x:v>
      </x:c>
      <x:c r="P171" s="47" t="n">
        <x:v>1010</x:v>
      </x:c>
      <x:c r="Q171" s="47" t="n">
        <x:v>0</x:v>
      </x:c>
      <x:c r="R171" s="47" t="n">
        <x:v>0</x:v>
      </x:c>
      <x:c r="S171" s="47" t="n">
        <x:v>29.97</x:v>
      </x:c>
      <x:c r="T171" s="47" t="n">
        <x:v>65.33</x:v>
      </x:c>
      <x:c r="U171" s="47" t="n">
        <x:v>29.5</x:v>
      </x:c>
      <x:c r="V171" s="47" t="n">
        <x:v>13.7</x:v>
      </x:c>
      <x:c r="W171" s="47" t="n">
        <x:v>0</x:v>
      </x:c>
      <x:c r="X171" s="47" t="n">
        <x:v>0</x:v>
      </x:c>
      <x:c r="Y171" s="41" t="n">
        <x:v>0</x:v>
      </x:c>
    </x:row>
    <x:row r="172">
      <x:c r="A172" s="38" t="str">
        <x:v>7月30日现场数据</x:v>
      </x:c>
      <x:c r="B172" s="66" t="str">
        <x:v>2026-07-31T03:43:33.219000</x:v>
      </x:c>
      <x:c r="C172" s="47" t="n">
        <x:v>300948</x:v>
      </x:c>
      <x:c r="D172" s="47" t="str"/>
      <x:c r="E172" s="47" t="str"/>
      <x:c r="F172" s="47" t="str">
        <x:v>current</x:v>
      </x:c>
      <x:c r="G172" s="47" t="n">
        <x:v>168</x:v>
      </x:c>
      <x:c r="H172" s="53" t="b">
        <x:v>1</x:v>
      </x:c>
      <x:c r="I172" s="47" t="str">
        <x:v>3906736965</x:v>
      </x:c>
      <x:c r="J172" s="47" t="n">
        <x:v>50734007</x:v>
      </x:c>
      <x:c r="K172" s="53" t="b">
        <x:v>1</x:v>
      </x:c>
      <x:c r="L172" s="53" t="b">
        <x:v>1</x:v>
      </x:c>
      <x:c r="M172" s="53" t="b">
        <x:v>1</x:v>
      </x:c>
      <x:c r="N172" s="53" t="b">
        <x:v>1</x:v>
      </x:c>
      <x:c r="O172" s="53" t="b">
        <x:v>1</x:v>
      </x:c>
      <x:c r="P172" s="47" t="n">
        <x:v>1010</x:v>
      </x:c>
      <x:c r="Q172" s="47" t="n">
        <x:v>0</x:v>
      </x:c>
      <x:c r="R172" s="47" t="n">
        <x:v>0</x:v>
      </x:c>
      <x:c r="S172" s="47" t="n">
        <x:v>30.02</x:v>
      </x:c>
      <x:c r="T172" s="47" t="n">
        <x:v>65.36</x:v>
      </x:c>
      <x:c r="U172" s="47" t="n">
        <x:v>29.5</x:v>
      </x:c>
      <x:c r="V172" s="47" t="n">
        <x:v>13.7</x:v>
      </x:c>
      <x:c r="W172" s="47" t="n">
        <x:v>0</x:v>
      </x:c>
      <x:c r="X172" s="47" t="n">
        <x:v>0</x:v>
      </x:c>
      <x:c r="Y172" s="41" t="n">
        <x:v>0</x:v>
      </x:c>
    </x:row>
    <x:row r="173">
      <x:c r="A173" s="38" t="str">
        <x:v>7月30日现场数据</x:v>
      </x:c>
      <x:c r="B173" s="66" t="str">
        <x:v>2026-07-31T03:48:34.170000</x:v>
      </x:c>
      <x:c r="C173" s="47" t="n">
        <x:v>300951</x:v>
      </x:c>
      <x:c r="D173" s="47" t="str"/>
      <x:c r="E173" s="47" t="str"/>
      <x:c r="F173" s="47" t="str">
        <x:v>current</x:v>
      </x:c>
      <x:c r="G173" s="47" t="n">
        <x:v>169</x:v>
      </x:c>
      <x:c r="H173" s="53" t="b">
        <x:v>1</x:v>
      </x:c>
      <x:c r="I173" s="47" t="str">
        <x:v>3906736965</x:v>
      </x:c>
      <x:c r="J173" s="47" t="n">
        <x:v>51034958</x:v>
      </x:c>
      <x:c r="K173" s="53" t="b">
        <x:v>1</x:v>
      </x:c>
      <x:c r="L173" s="53" t="b">
        <x:v>1</x:v>
      </x:c>
      <x:c r="M173" s="53" t="b">
        <x:v>1</x:v>
      </x:c>
      <x:c r="N173" s="53" t="b">
        <x:v>1</x:v>
      </x:c>
      <x:c r="O173" s="53" t="b">
        <x:v>1</x:v>
      </x:c>
      <x:c r="P173" s="47" t="n">
        <x:v>1010</x:v>
      </x:c>
      <x:c r="Q173" s="47" t="n">
        <x:v>0</x:v>
      </x:c>
      <x:c r="R173" s="47" t="n">
        <x:v>0</x:v>
      </x:c>
      <x:c r="S173" s="47" t="n">
        <x:v>30.08</x:v>
      </x:c>
      <x:c r="T173" s="47" t="n">
        <x:v>65.43</x:v>
      </x:c>
      <x:c r="U173" s="47" t="n">
        <x:v>29.5</x:v>
      </x:c>
      <x:c r="V173" s="47" t="n">
        <x:v>13.7</x:v>
      </x:c>
      <x:c r="W173" s="47" t="n">
        <x:v>0</x:v>
      </x:c>
      <x:c r="X173" s="47" t="n">
        <x:v>0</x:v>
      </x:c>
      <x:c r="Y173" s="41" t="n">
        <x:v>0</x:v>
      </x:c>
    </x:row>
    <x:row r="174">
      <x:c r="A174" s="38" t="str">
        <x:v>7月30日现场数据</x:v>
      </x:c>
      <x:c r="B174" s="66" t="str">
        <x:v>2026-07-31T03:53:35.124000</x:v>
      </x:c>
      <x:c r="C174" s="47" t="n">
        <x:v>300954</x:v>
      </x:c>
      <x:c r="D174" s="47" t="str"/>
      <x:c r="E174" s="47" t="str"/>
      <x:c r="F174" s="47" t="str">
        <x:v>current</x:v>
      </x:c>
      <x:c r="G174" s="47" t="n">
        <x:v>170</x:v>
      </x:c>
      <x:c r="H174" s="53" t="b">
        <x:v>1</x:v>
      </x:c>
      <x:c r="I174" s="47" t="str">
        <x:v>3906736965</x:v>
      </x:c>
      <x:c r="J174" s="47" t="n">
        <x:v>51335912</x:v>
      </x:c>
      <x:c r="K174" s="53" t="b">
        <x:v>1</x:v>
      </x:c>
      <x:c r="L174" s="53" t="b">
        <x:v>1</x:v>
      </x:c>
      <x:c r="M174" s="53" t="b">
        <x:v>1</x:v>
      </x:c>
      <x:c r="N174" s="53" t="b">
        <x:v>1</x:v>
      </x:c>
      <x:c r="O174" s="53" t="b">
        <x:v>1</x:v>
      </x:c>
      <x:c r="P174" s="47" t="n">
        <x:v>1010</x:v>
      </x:c>
      <x:c r="Q174" s="47" t="n">
        <x:v>0</x:v>
      </x:c>
      <x:c r="R174" s="47" t="n">
        <x:v>0</x:v>
      </x:c>
      <x:c r="S174" s="47" t="n">
        <x:v>30.06</x:v>
      </x:c>
      <x:c r="T174" s="47" t="n">
        <x:v>65.45</x:v>
      </x:c>
      <x:c r="U174" s="47" t="n">
        <x:v>29.5</x:v>
      </x:c>
      <x:c r="V174" s="47" t="n">
        <x:v>13.7</x:v>
      </x:c>
      <x:c r="W174" s="47" t="n">
        <x:v>0</x:v>
      </x:c>
      <x:c r="X174" s="47" t="n">
        <x:v>0</x:v>
      </x:c>
      <x:c r="Y174" s="41" t="n">
        <x:v>0</x:v>
      </x:c>
    </x:row>
    <x:row r="175">
      <x:c r="A175" s="38" t="str">
        <x:v>7月30日现场数据</x:v>
      </x:c>
      <x:c r="B175" s="66" t="str">
        <x:v>2026-07-31T03:58:36.078000</x:v>
      </x:c>
      <x:c r="C175" s="47" t="n">
        <x:v>300954</x:v>
      </x:c>
      <x:c r="D175" s="47" t="str"/>
      <x:c r="E175" s="47" t="str"/>
      <x:c r="F175" s="47" t="str">
        <x:v>current</x:v>
      </x:c>
      <x:c r="G175" s="47" t="n">
        <x:v>171</x:v>
      </x:c>
      <x:c r="H175" s="53" t="b">
        <x:v>1</x:v>
      </x:c>
      <x:c r="I175" s="47" t="str">
        <x:v>3906736965</x:v>
      </x:c>
      <x:c r="J175" s="47" t="n">
        <x:v>51636866</x:v>
      </x:c>
      <x:c r="K175" s="53" t="b">
        <x:v>1</x:v>
      </x:c>
      <x:c r="L175" s="53" t="b">
        <x:v>1</x:v>
      </x:c>
      <x:c r="M175" s="53" t="b">
        <x:v>1</x:v>
      </x:c>
      <x:c r="N175" s="53" t="b">
        <x:v>1</x:v>
      </x:c>
      <x:c r="O175" s="53" t="b">
        <x:v>1</x:v>
      </x:c>
      <x:c r="P175" s="47" t="n">
        <x:v>1010</x:v>
      </x:c>
      <x:c r="Q175" s="47" t="n">
        <x:v>0</x:v>
      </x:c>
      <x:c r="R175" s="47" t="n">
        <x:v>0</x:v>
      </x:c>
      <x:c r="S175" s="47" t="n">
        <x:v>30.07</x:v>
      </x:c>
      <x:c r="T175" s="47" t="n">
        <x:v>65.48</x:v>
      </x:c>
      <x:c r="U175" s="47" t="n">
        <x:v>29.5</x:v>
      </x:c>
      <x:c r="V175" s="47" t="n">
        <x:v>13.7</x:v>
      </x:c>
      <x:c r="W175" s="47" t="n">
        <x:v>0</x:v>
      </x:c>
      <x:c r="X175" s="47" t="n">
        <x:v>0</x:v>
      </x:c>
      <x:c r="Y175" s="41" t="n">
        <x:v>0</x:v>
      </x:c>
    </x:row>
    <x:row r="176">
      <x:c r="A176" s="38" t="str">
        <x:v>7月30日现场数据</x:v>
      </x:c>
      <x:c r="B176" s="66" t="str">
        <x:v>2026-07-31T04:03:37.034000</x:v>
      </x:c>
      <x:c r="C176" s="47" t="n">
        <x:v>300956</x:v>
      </x:c>
      <x:c r="D176" s="47" t="str"/>
      <x:c r="E176" s="47" t="str"/>
      <x:c r="F176" s="47" t="str">
        <x:v>current</x:v>
      </x:c>
      <x:c r="G176" s="47" t="n">
        <x:v>172</x:v>
      </x:c>
      <x:c r="H176" s="53" t="b">
        <x:v>1</x:v>
      </x:c>
      <x:c r="I176" s="47" t="str">
        <x:v>3906736965</x:v>
      </x:c>
      <x:c r="J176" s="47" t="n">
        <x:v>51937822</x:v>
      </x:c>
      <x:c r="K176" s="53" t="b">
        <x:v>1</x:v>
      </x:c>
      <x:c r="L176" s="53" t="b">
        <x:v>1</x:v>
      </x:c>
      <x:c r="M176" s="53" t="b">
        <x:v>1</x:v>
      </x:c>
      <x:c r="N176" s="53" t="b">
        <x:v>1</x:v>
      </x:c>
      <x:c r="O176" s="53" t="b">
        <x:v>1</x:v>
      </x:c>
      <x:c r="P176" s="47" t="n">
        <x:v>1010</x:v>
      </x:c>
      <x:c r="Q176" s="47" t="n">
        <x:v>0</x:v>
      </x:c>
      <x:c r="R176" s="47" t="n">
        <x:v>0</x:v>
      </x:c>
      <x:c r="S176" s="47" t="n">
        <x:v>30.09</x:v>
      </x:c>
      <x:c r="T176" s="47" t="n">
        <x:v>65.51</x:v>
      </x:c>
      <x:c r="U176" s="47" t="n">
        <x:v>29.5</x:v>
      </x:c>
      <x:c r="V176" s="47" t="n">
        <x:v>13.7</x:v>
      </x:c>
      <x:c r="W176" s="47" t="n">
        <x:v>0</x:v>
      </x:c>
      <x:c r="X176" s="47" t="n">
        <x:v>0</x:v>
      </x:c>
      <x:c r="Y176" s="41" t="n">
        <x:v>0</x:v>
      </x:c>
    </x:row>
    <x:row r="177">
      <x:c r="A177" s="38" t="str">
        <x:v>7月30日现场数据</x:v>
      </x:c>
      <x:c r="B177" s="66" t="str">
        <x:v>2026-07-31T04:08:37.995000</x:v>
      </x:c>
      <x:c r="C177" s="47" t="n">
        <x:v>300961</x:v>
      </x:c>
      <x:c r="D177" s="47" t="str"/>
      <x:c r="E177" s="47" t="str"/>
      <x:c r="F177" s="47" t="str">
        <x:v>current</x:v>
      </x:c>
      <x:c r="G177" s="47" t="n">
        <x:v>173</x:v>
      </x:c>
      <x:c r="H177" s="53" t="b">
        <x:v>1</x:v>
      </x:c>
      <x:c r="I177" s="47" t="str">
        <x:v>3906736965</x:v>
      </x:c>
      <x:c r="J177" s="47" t="n">
        <x:v>52238783</x:v>
      </x:c>
      <x:c r="K177" s="53" t="b">
        <x:v>1</x:v>
      </x:c>
      <x:c r="L177" s="53" t="b">
        <x:v>1</x:v>
      </x:c>
      <x:c r="M177" s="53" t="b">
        <x:v>1</x:v>
      </x:c>
      <x:c r="N177" s="53" t="b">
        <x:v>1</x:v>
      </x:c>
      <x:c r="O177" s="53" t="b">
        <x:v>1</x:v>
      </x:c>
      <x:c r="P177" s="47" t="n">
        <x:v>1010</x:v>
      </x:c>
      <x:c r="Q177" s="47" t="n">
        <x:v>0.001</x:v>
      </x:c>
      <x:c r="R177" s="47" t="n">
        <x:v>0.033</x:v>
      </x:c>
      <x:c r="S177" s="47" t="n">
        <x:v>30.04</x:v>
      </x:c>
      <x:c r="T177" s="47" t="n">
        <x:v>65.49</x:v>
      </x:c>
      <x:c r="U177" s="47" t="n">
        <x:v>29.5</x:v>
      </x:c>
      <x:c r="V177" s="47" t="n">
        <x:v>13.7</x:v>
      </x:c>
      <x:c r="W177" s="47" t="n">
        <x:v>0</x:v>
      </x:c>
      <x:c r="X177" s="47" t="n">
        <x:v>0</x:v>
      </x:c>
      <x:c r="Y177" s="41" t="n">
        <x:v>0</x:v>
      </x:c>
    </x:row>
    <x:row r="178">
      <x:c r="A178" s="38" t="str">
        <x:v>7月30日现场数据</x:v>
      </x:c>
      <x:c r="B178" s="66" t="str">
        <x:v>2026-07-31T04:13:38.954000</x:v>
      </x:c>
      <x:c r="C178" s="47" t="n">
        <x:v>300959</x:v>
      </x:c>
      <x:c r="D178" s="47" t="str"/>
      <x:c r="E178" s="47" t="str"/>
      <x:c r="F178" s="47" t="str">
        <x:v>current</x:v>
      </x:c>
      <x:c r="G178" s="47" t="n">
        <x:v>174</x:v>
      </x:c>
      <x:c r="H178" s="53" t="b">
        <x:v>1</x:v>
      </x:c>
      <x:c r="I178" s="47" t="str">
        <x:v>3906736965</x:v>
      </x:c>
      <x:c r="J178" s="47" t="n">
        <x:v>52539742</x:v>
      </x:c>
      <x:c r="K178" s="53" t="b">
        <x:v>1</x:v>
      </x:c>
      <x:c r="L178" s="53" t="b">
        <x:v>1</x:v>
      </x:c>
      <x:c r="M178" s="53" t="b">
        <x:v>1</x:v>
      </x:c>
      <x:c r="N178" s="53" t="b">
        <x:v>1</x:v>
      </x:c>
      <x:c r="O178" s="53" t="b">
        <x:v>1</x:v>
      </x:c>
      <x:c r="P178" s="47" t="n">
        <x:v>1010</x:v>
      </x:c>
      <x:c r="Q178" s="47" t="n">
        <x:v>0</x:v>
      </x:c>
      <x:c r="R178" s="47" t="n">
        <x:v>0</x:v>
      </x:c>
      <x:c r="S178" s="47" t="n">
        <x:v>29.96</x:v>
      </x:c>
      <x:c r="T178" s="47" t="n">
        <x:v>65.54</x:v>
      </x:c>
      <x:c r="U178" s="47" t="n">
        <x:v>29.5</x:v>
      </x:c>
      <x:c r="V178" s="47" t="n">
        <x:v>13.7</x:v>
      </x:c>
      <x:c r="W178" s="47" t="n">
        <x:v>0</x:v>
      </x:c>
      <x:c r="X178" s="47" t="n">
        <x:v>0</x:v>
      </x:c>
      <x:c r="Y178" s="41" t="n">
        <x:v>0</x:v>
      </x:c>
    </x:row>
    <x:row r="179">
      <x:c r="A179" s="38" t="str">
        <x:v>7月30日现场数据</x:v>
      </x:c>
      <x:c r="B179" s="66" t="str">
        <x:v>2026-07-31T04:18:39.915000</x:v>
      </x:c>
      <x:c r="C179" s="47" t="n">
        <x:v>300961</x:v>
      </x:c>
      <x:c r="D179" s="47" t="str"/>
      <x:c r="E179" s="47" t="str"/>
      <x:c r="F179" s="47" t="str">
        <x:v>current</x:v>
      </x:c>
      <x:c r="G179" s="47" t="n">
        <x:v>175</x:v>
      </x:c>
      <x:c r="H179" s="53" t="b">
        <x:v>1</x:v>
      </x:c>
      <x:c r="I179" s="47" t="str">
        <x:v>3906736965</x:v>
      </x:c>
      <x:c r="J179" s="47" t="n">
        <x:v>52840703</x:v>
      </x:c>
      <x:c r="K179" s="53" t="b">
        <x:v>1</x:v>
      </x:c>
      <x:c r="L179" s="53" t="b">
        <x:v>1</x:v>
      </x:c>
      <x:c r="M179" s="53" t="b">
        <x:v>1</x:v>
      </x:c>
      <x:c r="N179" s="53" t="b">
        <x:v>1</x:v>
      </x:c>
      <x:c r="O179" s="53" t="b">
        <x:v>1</x:v>
      </x:c>
      <x:c r="P179" s="47" t="n">
        <x:v>1010</x:v>
      </x:c>
      <x:c r="Q179" s="47" t="n">
        <x:v>0</x:v>
      </x:c>
      <x:c r="R179" s="47" t="n">
        <x:v>0</x:v>
      </x:c>
      <x:c r="S179" s="47" t="n">
        <x:v>29.89</x:v>
      </x:c>
      <x:c r="T179" s="47" t="n">
        <x:v>65.54</x:v>
      </x:c>
      <x:c r="U179" s="47" t="n">
        <x:v>29.5</x:v>
      </x:c>
      <x:c r="V179" s="47" t="n">
        <x:v>13.7</x:v>
      </x:c>
      <x:c r="W179" s="47" t="n">
        <x:v>0</x:v>
      </x:c>
      <x:c r="X179" s="47" t="n">
        <x:v>0</x:v>
      </x:c>
      <x:c r="Y179" s="41" t="n">
        <x:v>0</x:v>
      </x:c>
    </x:row>
    <x:row r="180">
      <x:c r="A180" s="38" t="str">
        <x:v>7月30日现场数据</x:v>
      </x:c>
      <x:c r="B180" s="66" t="str">
        <x:v>2026-07-31T04:23:40.887000</x:v>
      </x:c>
      <x:c r="C180" s="47" t="n">
        <x:v>300972</x:v>
      </x:c>
      <x:c r="D180" s="47" t="str"/>
      <x:c r="E180" s="47" t="str"/>
      <x:c r="F180" s="47" t="str">
        <x:v>current</x:v>
      </x:c>
      <x:c r="G180" s="47" t="n">
        <x:v>176</x:v>
      </x:c>
      <x:c r="H180" s="53" t="b">
        <x:v>1</x:v>
      </x:c>
      <x:c r="I180" s="47" t="str">
        <x:v>3906736965</x:v>
      </x:c>
      <x:c r="J180" s="47" t="n">
        <x:v>53141675</x:v>
      </x:c>
      <x:c r="K180" s="53" t="b">
        <x:v>1</x:v>
      </x:c>
      <x:c r="L180" s="53" t="b">
        <x:v>1</x:v>
      </x:c>
      <x:c r="M180" s="53" t="b">
        <x:v>1</x:v>
      </x:c>
      <x:c r="N180" s="53" t="b">
        <x:v>1</x:v>
      </x:c>
      <x:c r="O180" s="53" t="b">
        <x:v>1</x:v>
      </x:c>
      <x:c r="P180" s="47" t="n">
        <x:v>1010</x:v>
      </x:c>
      <x:c r="Q180" s="47" t="n">
        <x:v>0</x:v>
      </x:c>
      <x:c r="R180" s="47" t="n">
        <x:v>0</x:v>
      </x:c>
      <x:c r="S180" s="47" t="n">
        <x:v>29.81</x:v>
      </x:c>
      <x:c r="T180" s="47" t="n">
        <x:v>65.54</x:v>
      </x:c>
      <x:c r="U180" s="47" t="n">
        <x:v>29.5</x:v>
      </x:c>
      <x:c r="V180" s="47" t="n">
        <x:v>13.7</x:v>
      </x:c>
      <x:c r="W180" s="47" t="n">
        <x:v>0</x:v>
      </x:c>
      <x:c r="X180" s="47" t="n">
        <x:v>0</x:v>
      </x:c>
      <x:c r="Y180" s="41" t="n">
        <x:v>0</x:v>
      </x:c>
    </x:row>
    <x:row r="181">
      <x:c r="A181" s="38" t="str">
        <x:v>7月30日现场数据</x:v>
      </x:c>
      <x:c r="B181" s="66" t="str">
        <x:v>2026-07-31T04:28:41.862000</x:v>
      </x:c>
      <x:c r="C181" s="47" t="n">
        <x:v>300975</x:v>
      </x:c>
      <x:c r="D181" s="47" t="str"/>
      <x:c r="E181" s="47" t="str"/>
      <x:c r="F181" s="47" t="str">
        <x:v>current</x:v>
      </x:c>
      <x:c r="G181" s="47" t="n">
        <x:v>177</x:v>
      </x:c>
      <x:c r="H181" s="53" t="b">
        <x:v>1</x:v>
      </x:c>
      <x:c r="I181" s="47" t="str">
        <x:v>3906736965</x:v>
      </x:c>
      <x:c r="J181" s="47" t="n">
        <x:v>53442650</x:v>
      </x:c>
      <x:c r="K181" s="53" t="b">
        <x:v>1</x:v>
      </x:c>
      <x:c r="L181" s="53" t="b">
        <x:v>1</x:v>
      </x:c>
      <x:c r="M181" s="53" t="b">
        <x:v>1</x:v>
      </x:c>
      <x:c r="N181" s="53" t="b">
        <x:v>1</x:v>
      </x:c>
      <x:c r="O181" s="53" t="b">
        <x:v>1</x:v>
      </x:c>
      <x:c r="P181" s="47" t="n">
        <x:v>1010</x:v>
      </x:c>
      <x:c r="Q181" s="47" t="n">
        <x:v>0.046</x:v>
      </x:c>
      <x:c r="R181" s="47" t="n">
        <x:v>1.253</x:v>
      </x:c>
      <x:c r="S181" s="47" t="n">
        <x:v>29.73</x:v>
      </x:c>
      <x:c r="T181" s="47" t="n">
        <x:v>65.56</x:v>
      </x:c>
      <x:c r="U181" s="47" t="n">
        <x:v>29.5</x:v>
      </x:c>
      <x:c r="V181" s="47" t="n">
        <x:v>13.7</x:v>
      </x:c>
      <x:c r="W181" s="47" t="n">
        <x:v>0</x:v>
      </x:c>
      <x:c r="X181" s="47" t="n">
        <x:v>0</x:v>
      </x:c>
      <x:c r="Y181" s="41" t="n">
        <x:v>0</x:v>
      </x:c>
    </x:row>
    <x:row r="182">
      <x:c r="A182" s="38" t="str">
        <x:v>7月30日现场数据</x:v>
      </x:c>
      <x:c r="B182" s="66" t="str">
        <x:v>2026-07-31T04:33:42.839000</x:v>
      </x:c>
      <x:c r="C182" s="47" t="n">
        <x:v>300977</x:v>
      </x:c>
      <x:c r="D182" s="47" t="str"/>
      <x:c r="E182" s="47" t="str"/>
      <x:c r="F182" s="47" t="str">
        <x:v>current</x:v>
      </x:c>
      <x:c r="G182" s="47" t="n">
        <x:v>178</x:v>
      </x:c>
      <x:c r="H182" s="53" t="b">
        <x:v>1</x:v>
      </x:c>
      <x:c r="I182" s="47" t="str">
        <x:v>3906736965</x:v>
      </x:c>
      <x:c r="J182" s="47" t="n">
        <x:v>53743627</x:v>
      </x:c>
      <x:c r="K182" s="53" t="b">
        <x:v>1</x:v>
      </x:c>
      <x:c r="L182" s="53" t="b">
        <x:v>1</x:v>
      </x:c>
      <x:c r="M182" s="53" t="b">
        <x:v>1</x:v>
      </x:c>
      <x:c r="N182" s="53" t="b">
        <x:v>1</x:v>
      </x:c>
      <x:c r="O182" s="53" t="b">
        <x:v>1</x:v>
      </x:c>
      <x:c r="P182" s="47" t="n">
        <x:v>1010</x:v>
      </x:c>
      <x:c r="Q182" s="47" t="n">
        <x:v>0</x:v>
      </x:c>
      <x:c r="R182" s="47" t="n">
        <x:v>0</x:v>
      </x:c>
      <x:c r="S182" s="47" t="n">
        <x:v>29.66</x:v>
      </x:c>
      <x:c r="T182" s="47" t="n">
        <x:v>65.55</x:v>
      </x:c>
      <x:c r="U182" s="47" t="n">
        <x:v>29.5</x:v>
      </x:c>
      <x:c r="V182" s="47" t="n">
        <x:v>13.7</x:v>
      </x:c>
      <x:c r="W182" s="47" t="n">
        <x:v>0</x:v>
      </x:c>
      <x:c r="X182" s="47" t="n">
        <x:v>0</x:v>
      </x:c>
      <x:c r="Y182" s="41" t="n">
        <x:v>0</x:v>
      </x:c>
    </x:row>
    <x:row r="183">
      <x:c r="A183" s="38" t="str">
        <x:v>7月30日现场数据</x:v>
      </x:c>
      <x:c r="B183" s="66" t="str">
        <x:v>2026-07-31T04:38:43.816000</x:v>
      </x:c>
      <x:c r="C183" s="47" t="n">
        <x:v>300977</x:v>
      </x:c>
      <x:c r="D183" s="47" t="str"/>
      <x:c r="E183" s="47" t="str"/>
      <x:c r="F183" s="47" t="str">
        <x:v>current</x:v>
      </x:c>
      <x:c r="G183" s="47" t="n">
        <x:v>179</x:v>
      </x:c>
      <x:c r="H183" s="53" t="b">
        <x:v>1</x:v>
      </x:c>
      <x:c r="I183" s="47" t="str">
        <x:v>3906736965</x:v>
      </x:c>
      <x:c r="J183" s="47" t="n">
        <x:v>54044604</x:v>
      </x:c>
      <x:c r="K183" s="53" t="b">
        <x:v>1</x:v>
      </x:c>
      <x:c r="L183" s="53" t="b">
        <x:v>1</x:v>
      </x:c>
      <x:c r="M183" s="53" t="b">
        <x:v>1</x:v>
      </x:c>
      <x:c r="N183" s="53" t="b">
        <x:v>1</x:v>
      </x:c>
      <x:c r="O183" s="53" t="b">
        <x:v>1</x:v>
      </x:c>
      <x:c r="P183" s="47" t="n">
        <x:v>1010</x:v>
      </x:c>
      <x:c r="Q183" s="47" t="n">
        <x:v>0.103</x:v>
      </x:c>
      <x:c r="R183" s="47" t="n">
        <x:v>2.769</x:v>
      </x:c>
      <x:c r="S183" s="47" t="n">
        <x:v>29.6</x:v>
      </x:c>
      <x:c r="T183" s="47" t="n">
        <x:v>65.58</x:v>
      </x:c>
      <x:c r="U183" s="47" t="n">
        <x:v>29.5</x:v>
      </x:c>
      <x:c r="V183" s="47" t="n">
        <x:v>13.7</x:v>
      </x:c>
      <x:c r="W183" s="47" t="n">
        <x:v>0</x:v>
      </x:c>
      <x:c r="X183" s="47" t="n">
        <x:v>0</x:v>
      </x:c>
      <x:c r="Y183" s="41" t="n">
        <x:v>0</x:v>
      </x:c>
    </x:row>
    <x:row r="184">
      <x:c r="A184" s="38" t="str">
        <x:v>7月30日现场数据</x:v>
      </x:c>
      <x:c r="B184" s="66" t="str">
        <x:v>2026-07-31T04:43:44.796000</x:v>
      </x:c>
      <x:c r="C184" s="47" t="n">
        <x:v>300980</x:v>
      </x:c>
      <x:c r="D184" s="47" t="str"/>
      <x:c r="E184" s="47" t="str"/>
      <x:c r="F184" s="47" t="str">
        <x:v>current</x:v>
      </x:c>
      <x:c r="G184" s="47" t="n">
        <x:v>180</x:v>
      </x:c>
      <x:c r="H184" s="53" t="b">
        <x:v>1</x:v>
      </x:c>
      <x:c r="I184" s="47" t="str">
        <x:v>3906736965</x:v>
      </x:c>
      <x:c r="J184" s="47" t="n">
        <x:v>54345584</x:v>
      </x:c>
      <x:c r="K184" s="53" t="b">
        <x:v>1</x:v>
      </x:c>
      <x:c r="L184" s="53" t="b">
        <x:v>1</x:v>
      </x:c>
      <x:c r="M184" s="53" t="b">
        <x:v>1</x:v>
      </x:c>
      <x:c r="N184" s="53" t="b">
        <x:v>1</x:v>
      </x:c>
      <x:c r="O184" s="53" t="b">
        <x:v>1</x:v>
      </x:c>
      <x:c r="P184" s="47" t="n">
        <x:v>1010</x:v>
      </x:c>
      <x:c r="Q184" s="47" t="n">
        <x:v>0</x:v>
      </x:c>
      <x:c r="R184" s="47" t="n">
        <x:v>0</x:v>
      </x:c>
      <x:c r="S184" s="47" t="n">
        <x:v>29.56</x:v>
      </x:c>
      <x:c r="T184" s="47" t="n">
        <x:v>65.65</x:v>
      </x:c>
      <x:c r="U184" s="47" t="n">
        <x:v>29.4</x:v>
      </x:c>
      <x:c r="V184" s="47" t="n">
        <x:v>13.7</x:v>
      </x:c>
      <x:c r="W184" s="47" t="n">
        <x:v>0</x:v>
      </x:c>
      <x:c r="X184" s="47" t="n">
        <x:v>0</x:v>
      </x:c>
      <x:c r="Y184" s="41" t="n">
        <x:v>0</x:v>
      </x:c>
    </x:row>
    <x:row r="185">
      <x:c r="A185" s="38" t="str">
        <x:v>7月30日现场数据</x:v>
      </x:c>
      <x:c r="B185" s="66" t="str">
        <x:v>2026-07-31T04:48:45.780000</x:v>
      </x:c>
      <x:c r="C185" s="47" t="n">
        <x:v>300984</x:v>
      </x:c>
      <x:c r="D185" s="47" t="str"/>
      <x:c r="E185" s="47" t="str"/>
      <x:c r="F185" s="47" t="str">
        <x:v>current</x:v>
      </x:c>
      <x:c r="G185" s="47" t="n">
        <x:v>181</x:v>
      </x:c>
      <x:c r="H185" s="53" t="b">
        <x:v>1</x:v>
      </x:c>
      <x:c r="I185" s="47" t="str">
        <x:v>3906736965</x:v>
      </x:c>
      <x:c r="J185" s="47" t="n">
        <x:v>54646568</x:v>
      </x:c>
      <x:c r="K185" s="53" t="b">
        <x:v>1</x:v>
      </x:c>
      <x:c r="L185" s="53" t="b">
        <x:v>1</x:v>
      </x:c>
      <x:c r="M185" s="53" t="b">
        <x:v>1</x:v>
      </x:c>
      <x:c r="N185" s="53" t="b">
        <x:v>1</x:v>
      </x:c>
      <x:c r="O185" s="53" t="b">
        <x:v>1</x:v>
      </x:c>
      <x:c r="P185" s="47" t="n">
        <x:v>1010</x:v>
      </x:c>
      <x:c r="Q185" s="47" t="n">
        <x:v>0</x:v>
      </x:c>
      <x:c r="R185" s="47" t="n">
        <x:v>0</x:v>
      </x:c>
      <x:c r="S185" s="47" t="n">
        <x:v>29.52</x:v>
      </x:c>
      <x:c r="T185" s="47" t="n">
        <x:v>65.63</x:v>
      </x:c>
      <x:c r="U185" s="47" t="n">
        <x:v>29.4</x:v>
      </x:c>
      <x:c r="V185" s="47" t="n">
        <x:v>13.7</x:v>
      </x:c>
      <x:c r="W185" s="47" t="n">
        <x:v>0</x:v>
      </x:c>
      <x:c r="X185" s="47" t="n">
        <x:v>0</x:v>
      </x:c>
      <x:c r="Y185" s="41" t="n">
        <x:v>0</x:v>
      </x:c>
    </x:row>
    <x:row r="186">
      <x:c r="A186" s="38" t="str">
        <x:v>7月30日现场数据</x:v>
      </x:c>
      <x:c r="B186" s="66" t="str">
        <x:v>2026-07-31T04:53:46.798000</x:v>
      </x:c>
      <x:c r="C186" s="47" t="n">
        <x:v>301018</x:v>
      </x:c>
      <x:c r="D186" s="47" t="str"/>
      <x:c r="E186" s="47" t="str"/>
      <x:c r="F186" s="47" t="str">
        <x:v>current</x:v>
      </x:c>
      <x:c r="G186" s="47" t="n">
        <x:v>182</x:v>
      </x:c>
      <x:c r="H186" s="53" t="b">
        <x:v>1</x:v>
      </x:c>
      <x:c r="I186" s="47" t="str">
        <x:v>3906736965</x:v>
      </x:c>
      <x:c r="J186" s="47" t="n">
        <x:v>54947586</x:v>
      </x:c>
      <x:c r="K186" s="53" t="b">
        <x:v>1</x:v>
      </x:c>
      <x:c r="L186" s="53" t="b">
        <x:v>1</x:v>
      </x:c>
      <x:c r="M186" s="53" t="b">
        <x:v>1</x:v>
      </x:c>
      <x:c r="N186" s="53" t="b">
        <x:v>1</x:v>
      </x:c>
      <x:c r="O186" s="53" t="b">
        <x:v>1</x:v>
      </x:c>
      <x:c r="P186" s="47" t="n">
        <x:v>1010</x:v>
      </x:c>
      <x:c r="Q186" s="47" t="n">
        <x:v>0</x:v>
      </x:c>
      <x:c r="R186" s="47" t="n">
        <x:v>0</x:v>
      </x:c>
      <x:c r="S186" s="47" t="n">
        <x:v>29.48</x:v>
      </x:c>
      <x:c r="T186" s="47" t="n">
        <x:v>65.71</x:v>
      </x:c>
      <x:c r="U186" s="47" t="n">
        <x:v>29.4</x:v>
      </x:c>
      <x:c r="V186" s="47" t="n">
        <x:v>13.7</x:v>
      </x:c>
      <x:c r="W186" s="47" t="n">
        <x:v>0</x:v>
      </x:c>
      <x:c r="X186" s="47" t="n">
        <x:v>0</x:v>
      </x:c>
      <x:c r="Y186" s="41" t="n">
        <x:v>0</x:v>
      </x:c>
    </x:row>
    <x:row r="187">
      <x:c r="A187" s="38" t="str">
        <x:v>7月30日现场数据</x:v>
      </x:c>
      <x:c r="B187" s="66" t="str">
        <x:v>2026-07-31T04:58:47.755000</x:v>
      </x:c>
      <x:c r="C187" s="47" t="n">
        <x:v>300957</x:v>
      </x:c>
      <x:c r="D187" s="47" t="str"/>
      <x:c r="E187" s="47" t="str"/>
      <x:c r="F187" s="47" t="str">
        <x:v>current</x:v>
      </x:c>
      <x:c r="G187" s="47" t="n">
        <x:v>183</x:v>
      </x:c>
      <x:c r="H187" s="53" t="b">
        <x:v>1</x:v>
      </x:c>
      <x:c r="I187" s="47" t="str">
        <x:v>3906736965</x:v>
      </x:c>
      <x:c r="J187" s="47" t="n">
        <x:v>55248543</x:v>
      </x:c>
      <x:c r="K187" s="53" t="b">
        <x:v>1</x:v>
      </x:c>
      <x:c r="L187" s="53" t="b">
        <x:v>1</x:v>
      </x:c>
      <x:c r="M187" s="53" t="b">
        <x:v>1</x:v>
      </x:c>
      <x:c r="N187" s="53" t="b">
        <x:v>1</x:v>
      </x:c>
      <x:c r="O187" s="53" t="b">
        <x:v>1</x:v>
      </x:c>
      <x:c r="P187" s="47" t="n">
        <x:v>1010</x:v>
      </x:c>
      <x:c r="Q187" s="47" t="n">
        <x:v>0</x:v>
      </x:c>
      <x:c r="R187" s="47" t="n">
        <x:v>0</x:v>
      </x:c>
      <x:c r="S187" s="47" t="n">
        <x:v>29.41</x:v>
      </x:c>
      <x:c r="T187" s="47" t="n">
        <x:v>65.71</x:v>
      </x:c>
      <x:c r="U187" s="47" t="n">
        <x:v>29.4</x:v>
      </x:c>
      <x:c r="V187" s="47" t="n">
        <x:v>13.7</x:v>
      </x:c>
      <x:c r="W187" s="47" t="n">
        <x:v>0</x:v>
      </x:c>
      <x:c r="X187" s="47" t="n">
        <x:v>0</x:v>
      </x:c>
      <x:c r="Y187" s="41" t="n">
        <x:v>0</x:v>
      </x:c>
    </x:row>
    <x:row r="188">
      <x:c r="A188" s="38" t="str">
        <x:v>7月30日现场数据</x:v>
      </x:c>
      <x:c r="B188" s="66" t="str">
        <x:v>2026-07-31T05:03:48.715000</x:v>
      </x:c>
      <x:c r="C188" s="47" t="n">
        <x:v>300960</x:v>
      </x:c>
      <x:c r="D188" s="47" t="str"/>
      <x:c r="E188" s="47" t="str"/>
      <x:c r="F188" s="47" t="str">
        <x:v>current</x:v>
      </x:c>
      <x:c r="G188" s="47" t="n">
        <x:v>184</x:v>
      </x:c>
      <x:c r="H188" s="53" t="b">
        <x:v>1</x:v>
      </x:c>
      <x:c r="I188" s="47" t="str">
        <x:v>3906736965</x:v>
      </x:c>
      <x:c r="J188" s="47" t="n">
        <x:v>55549503</x:v>
      </x:c>
      <x:c r="K188" s="53" t="b">
        <x:v>1</x:v>
      </x:c>
      <x:c r="L188" s="53" t="b">
        <x:v>1</x:v>
      </x:c>
      <x:c r="M188" s="53" t="b">
        <x:v>1</x:v>
      </x:c>
      <x:c r="N188" s="53" t="b">
        <x:v>1</x:v>
      </x:c>
      <x:c r="O188" s="53" t="b">
        <x:v>1</x:v>
      </x:c>
      <x:c r="P188" s="47" t="n">
        <x:v>1010</x:v>
      </x:c>
      <x:c r="Q188" s="47" t="n">
        <x:v>0</x:v>
      </x:c>
      <x:c r="R188" s="47" t="n">
        <x:v>0</x:v>
      </x:c>
      <x:c r="S188" s="47" t="n">
        <x:v>29.41</x:v>
      </x:c>
      <x:c r="T188" s="47" t="n">
        <x:v>65.74</x:v>
      </x:c>
      <x:c r="U188" s="47" t="n">
        <x:v>29.4</x:v>
      </x:c>
      <x:c r="V188" s="47" t="n">
        <x:v>13.7</x:v>
      </x:c>
      <x:c r="W188" s="47" t="n">
        <x:v>0</x:v>
      </x:c>
      <x:c r="X188" s="47" t="n">
        <x:v>0</x:v>
      </x:c>
      <x:c r="Y188" s="41" t="n">
        <x:v>0</x:v>
      </x:c>
    </x:row>
    <x:row r="189">
      <x:c r="A189" s="38" t="str">
        <x:v>7月30日现场数据</x:v>
      </x:c>
      <x:c r="B189" s="66" t="str">
        <x:v>2026-07-31T05:08:49.679000</x:v>
      </x:c>
      <x:c r="C189" s="47" t="n">
        <x:v>300964</x:v>
      </x:c>
      <x:c r="D189" s="47" t="str"/>
      <x:c r="E189" s="47" t="str"/>
      <x:c r="F189" s="47" t="str">
        <x:v>current</x:v>
      </x:c>
      <x:c r="G189" s="47" t="n">
        <x:v>185</x:v>
      </x:c>
      <x:c r="H189" s="53" t="b">
        <x:v>1</x:v>
      </x:c>
      <x:c r="I189" s="47" t="str">
        <x:v>3906736965</x:v>
      </x:c>
      <x:c r="J189" s="47" t="n">
        <x:v>55850467</x:v>
      </x:c>
      <x:c r="K189" s="53" t="b">
        <x:v>1</x:v>
      </x:c>
      <x:c r="L189" s="53" t="b">
        <x:v>1</x:v>
      </x:c>
      <x:c r="M189" s="53" t="b">
        <x:v>1</x:v>
      </x:c>
      <x:c r="N189" s="53" t="b">
        <x:v>1</x:v>
      </x:c>
      <x:c r="O189" s="53" t="b">
        <x:v>1</x:v>
      </x:c>
      <x:c r="P189" s="47" t="n">
        <x:v>1010</x:v>
      </x:c>
      <x:c r="Q189" s="47" t="n">
        <x:v>0</x:v>
      </x:c>
      <x:c r="R189" s="47" t="n">
        <x:v>0</x:v>
      </x:c>
      <x:c r="S189" s="47" t="n">
        <x:v>29.43</x:v>
      </x:c>
      <x:c r="T189" s="47" t="n">
        <x:v>65.76</x:v>
      </x:c>
      <x:c r="U189" s="47" t="n">
        <x:v>29.4</x:v>
      </x:c>
      <x:c r="V189" s="47" t="n">
        <x:v>13.7</x:v>
      </x:c>
      <x:c r="W189" s="47" t="n">
        <x:v>0</x:v>
      </x:c>
      <x:c r="X189" s="47" t="n">
        <x:v>1</x:v>
      </x:c>
      <x:c r="Y189" s="41" t="n">
        <x:v>1</x:v>
      </x:c>
    </x:row>
    <x:row r="190">
      <x:c r="A190" s="38" t="str">
        <x:v>7月30日现场数据</x:v>
      </x:c>
      <x:c r="B190" s="66" t="str">
        <x:v>2026-07-31T05:13:50.644000</x:v>
      </x:c>
      <x:c r="C190" s="47" t="n">
        <x:v>300965</x:v>
      </x:c>
      <x:c r="D190" s="47" t="str"/>
      <x:c r="E190" s="47" t="str"/>
      <x:c r="F190" s="47" t="str">
        <x:v>current</x:v>
      </x:c>
      <x:c r="G190" s="47" t="n">
        <x:v>186</x:v>
      </x:c>
      <x:c r="H190" s="53" t="b">
        <x:v>1</x:v>
      </x:c>
      <x:c r="I190" s="47" t="str">
        <x:v>3906736965</x:v>
      </x:c>
      <x:c r="J190" s="47" t="n">
        <x:v>56151432</x:v>
      </x:c>
      <x:c r="K190" s="53" t="b">
        <x:v>1</x:v>
      </x:c>
      <x:c r="L190" s="53" t="b">
        <x:v>1</x:v>
      </x:c>
      <x:c r="M190" s="53" t="b">
        <x:v>1</x:v>
      </x:c>
      <x:c r="N190" s="53" t="b">
        <x:v>1</x:v>
      </x:c>
      <x:c r="O190" s="53" t="b">
        <x:v>1</x:v>
      </x:c>
      <x:c r="P190" s="47" t="n">
        <x:v>1011</x:v>
      </x:c>
      <x:c r="Q190" s="47" t="n">
        <x:v>0</x:v>
      </x:c>
      <x:c r="R190" s="47" t="n">
        <x:v>0</x:v>
      </x:c>
      <x:c r="S190" s="47" t="n">
        <x:v>29.42</x:v>
      </x:c>
      <x:c r="T190" s="47" t="n">
        <x:v>65.82</x:v>
      </x:c>
      <x:c r="U190" s="47" t="n">
        <x:v>29.3</x:v>
      </x:c>
      <x:c r="V190" s="47" t="n">
        <x:v>13.7</x:v>
      </x:c>
      <x:c r="W190" s="47" t="n">
        <x:v>0</x:v>
      </x:c>
      <x:c r="X190" s="47" t="n">
        <x:v>1</x:v>
      </x:c>
      <x:c r="Y190" s="41" t="n">
        <x:v>1</x:v>
      </x:c>
    </x:row>
    <x:row r="191">
      <x:c r="A191" s="38" t="str">
        <x:v>7月30日现场数据</x:v>
      </x:c>
      <x:c r="B191" s="66" t="str">
        <x:v>2026-07-31T05:18:51.612000</x:v>
      </x:c>
      <x:c r="C191" s="47" t="n">
        <x:v>300968</x:v>
      </x:c>
      <x:c r="D191" s="47" t="str"/>
      <x:c r="E191" s="47" t="str"/>
      <x:c r="F191" s="47" t="str">
        <x:v>current</x:v>
      </x:c>
      <x:c r="G191" s="47" t="n">
        <x:v>187</x:v>
      </x:c>
      <x:c r="H191" s="53" t="b">
        <x:v>1</x:v>
      </x:c>
      <x:c r="I191" s="47" t="str">
        <x:v>3906736965</x:v>
      </x:c>
      <x:c r="J191" s="47" t="n">
        <x:v>56452400</x:v>
      </x:c>
      <x:c r="K191" s="53" t="b">
        <x:v>1</x:v>
      </x:c>
      <x:c r="L191" s="53" t="b">
        <x:v>1</x:v>
      </x:c>
      <x:c r="M191" s="53" t="b">
        <x:v>1</x:v>
      </x:c>
      <x:c r="N191" s="53" t="b">
        <x:v>1</x:v>
      </x:c>
      <x:c r="O191" s="53" t="b">
        <x:v>1</x:v>
      </x:c>
      <x:c r="P191" s="47" t="n">
        <x:v>1011</x:v>
      </x:c>
      <x:c r="Q191" s="47" t="n">
        <x:v>0</x:v>
      </x:c>
      <x:c r="R191" s="47" t="n">
        <x:v>0</x:v>
      </x:c>
      <x:c r="S191" s="47" t="n">
        <x:v>29.44</x:v>
      </x:c>
      <x:c r="T191" s="47" t="n">
        <x:v>65.89</x:v>
      </x:c>
      <x:c r="U191" s="47" t="n">
        <x:v>29.4</x:v>
      </x:c>
      <x:c r="V191" s="47" t="n">
        <x:v>13.7</x:v>
      </x:c>
      <x:c r="W191" s="47" t="n">
        <x:v>1</x:v>
      </x:c>
      <x:c r="X191" s="47" t="n">
        <x:v>3</x:v>
      </x:c>
      <x:c r="Y191" s="41" t="n">
        <x:v>2</x:v>
      </x:c>
    </x:row>
    <x:row r="192">
      <x:c r="A192" s="38" t="str">
        <x:v>7月30日现场数据</x:v>
      </x:c>
      <x:c r="B192" s="66" t="str">
        <x:v>2026-07-31T05:23:52.580000</x:v>
      </x:c>
      <x:c r="C192" s="47" t="n">
        <x:v>300968</x:v>
      </x:c>
      <x:c r="D192" s="47" t="str"/>
      <x:c r="E192" s="47" t="str"/>
      <x:c r="F192" s="47" t="str">
        <x:v>current</x:v>
      </x:c>
      <x:c r="G192" s="47" t="n">
        <x:v>188</x:v>
      </x:c>
      <x:c r="H192" s="53" t="b">
        <x:v>1</x:v>
      </x:c>
      <x:c r="I192" s="47" t="str">
        <x:v>3906736965</x:v>
      </x:c>
      <x:c r="J192" s="47" t="n">
        <x:v>56753368</x:v>
      </x:c>
      <x:c r="K192" s="53" t="b">
        <x:v>1</x:v>
      </x:c>
      <x:c r="L192" s="53" t="b">
        <x:v>1</x:v>
      </x:c>
      <x:c r="M192" s="53" t="b">
        <x:v>1</x:v>
      </x:c>
      <x:c r="N192" s="53" t="b">
        <x:v>1</x:v>
      </x:c>
      <x:c r="O192" s="53" t="b">
        <x:v>1</x:v>
      </x:c>
      <x:c r="P192" s="47" t="n">
        <x:v>1010</x:v>
      </x:c>
      <x:c r="Q192" s="47" t="n">
        <x:v>0</x:v>
      </x:c>
      <x:c r="R192" s="47" t="n">
        <x:v>0</x:v>
      </x:c>
      <x:c r="S192" s="47" t="n">
        <x:v>29.46</x:v>
      </x:c>
      <x:c r="T192" s="47" t="n">
        <x:v>66.02</x:v>
      </x:c>
      <x:c r="U192" s="47" t="n">
        <x:v>29.4</x:v>
      </x:c>
      <x:c r="V192" s="47" t="n">
        <x:v>13.7</x:v>
      </x:c>
      <x:c r="W192" s="47" t="n">
        <x:v>1</x:v>
      </x:c>
      <x:c r="X192" s="47" t="n">
        <x:v>3</x:v>
      </x:c>
      <x:c r="Y192" s="41" t="n">
        <x:v>2</x:v>
      </x:c>
    </x:row>
    <x:row r="193">
      <x:c r="A193" s="38" t="str">
        <x:v>7月30日现场数据</x:v>
      </x:c>
      <x:c r="B193" s="66" t="str">
        <x:v>2026-07-31T05:28:53.553000</x:v>
      </x:c>
      <x:c r="C193" s="47" t="n">
        <x:v>300973</x:v>
      </x:c>
      <x:c r="D193" s="47" t="str"/>
      <x:c r="E193" s="47" t="str"/>
      <x:c r="F193" s="47" t="str">
        <x:v>current</x:v>
      </x:c>
      <x:c r="G193" s="47" t="n">
        <x:v>189</x:v>
      </x:c>
      <x:c r="H193" s="53" t="b">
        <x:v>1</x:v>
      </x:c>
      <x:c r="I193" s="47" t="str">
        <x:v>3906736965</x:v>
      </x:c>
      <x:c r="J193" s="47" t="n">
        <x:v>57054341</x:v>
      </x:c>
      <x:c r="K193" s="53" t="b">
        <x:v>1</x:v>
      </x:c>
      <x:c r="L193" s="53" t="b">
        <x:v>1</x:v>
      </x:c>
      <x:c r="M193" s="53" t="b">
        <x:v>1</x:v>
      </x:c>
      <x:c r="N193" s="53" t="b">
        <x:v>1</x:v>
      </x:c>
      <x:c r="O193" s="53" t="b">
        <x:v>1</x:v>
      </x:c>
      <x:c r="P193" s="47" t="n">
        <x:v>1011</x:v>
      </x:c>
      <x:c r="Q193" s="47" t="n">
        <x:v>0</x:v>
      </x:c>
      <x:c r="R193" s="47" t="n">
        <x:v>0</x:v>
      </x:c>
      <x:c r="S193" s="47" t="n">
        <x:v>29.44</x:v>
      </x:c>
      <x:c r="T193" s="47" t="n">
        <x:v>66.02</x:v>
      </x:c>
      <x:c r="U193" s="47" t="n">
        <x:v>29.3</x:v>
      </x:c>
      <x:c r="V193" s="47" t="n">
        <x:v>13.7</x:v>
      </x:c>
      <x:c r="W193" s="47" t="n">
        <x:v>1</x:v>
      </x:c>
      <x:c r="X193" s="47" t="n">
        <x:v>5</x:v>
      </x:c>
      <x:c r="Y193" s="41" t="n">
        <x:v>4</x:v>
      </x:c>
    </x:row>
    <x:row r="194">
      <x:c r="A194" s="38" t="str">
        <x:v>7月30日现场数据</x:v>
      </x:c>
      <x:c r="B194" s="66" t="str">
        <x:v>2026-07-31T05:33:54.526000</x:v>
      </x:c>
      <x:c r="C194" s="47" t="n">
        <x:v>300973</x:v>
      </x:c>
      <x:c r="D194" s="47" t="str"/>
      <x:c r="E194" s="47" t="str"/>
      <x:c r="F194" s="47" t="str">
        <x:v>current</x:v>
      </x:c>
      <x:c r="G194" s="47" t="n">
        <x:v>190</x:v>
      </x:c>
      <x:c r="H194" s="53" t="b">
        <x:v>1</x:v>
      </x:c>
      <x:c r="I194" s="47" t="str">
        <x:v>3906736965</x:v>
      </x:c>
      <x:c r="J194" s="47" t="n">
        <x:v>57355314</x:v>
      </x:c>
      <x:c r="K194" s="53" t="b">
        <x:v>1</x:v>
      </x:c>
      <x:c r="L194" s="53" t="b">
        <x:v>1</x:v>
      </x:c>
      <x:c r="M194" s="53" t="b">
        <x:v>1</x:v>
      </x:c>
      <x:c r="N194" s="53" t="b">
        <x:v>1</x:v>
      </x:c>
      <x:c r="O194" s="53" t="b">
        <x:v>1</x:v>
      </x:c>
      <x:c r="P194" s="47" t="n">
        <x:v>1011</x:v>
      </x:c>
      <x:c r="Q194" s="47" t="n">
        <x:v>0</x:v>
      </x:c>
      <x:c r="R194" s="47" t="n">
        <x:v>0</x:v>
      </x:c>
      <x:c r="S194" s="47" t="n">
        <x:v>29.48</x:v>
      </x:c>
      <x:c r="T194" s="47" t="n">
        <x:v>66.08</x:v>
      </x:c>
      <x:c r="U194" s="47" t="n">
        <x:v>29.3</x:v>
      </x:c>
      <x:c r="V194" s="47" t="n">
        <x:v>13.7</x:v>
      </x:c>
      <x:c r="W194" s="47" t="n">
        <x:v>1</x:v>
      </x:c>
      <x:c r="X194" s="47" t="n">
        <x:v>6</x:v>
      </x:c>
      <x:c r="Y194" s="41" t="n">
        <x:v>5</x:v>
      </x:c>
    </x:row>
    <x:row r="195">
      <x:c r="A195" s="38" t="str">
        <x:v>7月30日现场数据</x:v>
      </x:c>
      <x:c r="B195" s="66" t="str">
        <x:v>2026-07-31T05:38:55.497000</x:v>
      </x:c>
      <x:c r="C195" s="47" t="n">
        <x:v>300971</x:v>
      </x:c>
      <x:c r="D195" s="47" t="str"/>
      <x:c r="E195" s="47" t="str"/>
      <x:c r="F195" s="47" t="str">
        <x:v>current</x:v>
      </x:c>
      <x:c r="G195" s="47" t="n">
        <x:v>191</x:v>
      </x:c>
      <x:c r="H195" s="53" t="b">
        <x:v>1</x:v>
      </x:c>
      <x:c r="I195" s="47" t="str">
        <x:v>3906736965</x:v>
      </x:c>
      <x:c r="J195" s="47" t="n">
        <x:v>57656285</x:v>
      </x:c>
      <x:c r="K195" s="53" t="b">
        <x:v>1</x:v>
      </x:c>
      <x:c r="L195" s="53" t="b">
        <x:v>1</x:v>
      </x:c>
      <x:c r="M195" s="53" t="b">
        <x:v>1</x:v>
      </x:c>
      <x:c r="N195" s="53" t="b">
        <x:v>1</x:v>
      </x:c>
      <x:c r="O195" s="53" t="b">
        <x:v>1</x:v>
      </x:c>
      <x:c r="P195" s="47" t="n">
        <x:v>1011</x:v>
      </x:c>
      <x:c r="Q195" s="47" t="n">
        <x:v>0</x:v>
      </x:c>
      <x:c r="R195" s="47" t="n">
        <x:v>0</x:v>
      </x:c>
      <x:c r="S195" s="47" t="n">
        <x:v>29.48</x:v>
      </x:c>
      <x:c r="T195" s="47" t="n">
        <x:v>66.19</x:v>
      </x:c>
      <x:c r="U195" s="47" t="n">
        <x:v>29.4</x:v>
      </x:c>
      <x:c r="V195" s="47" t="n">
        <x:v>13.6</x:v>
      </x:c>
      <x:c r="W195" s="47" t="n">
        <x:v>2</x:v>
      </x:c>
      <x:c r="X195" s="47" t="n">
        <x:v>7</x:v>
      </x:c>
      <x:c r="Y195" s="41" t="n">
        <x:v>5</x:v>
      </x:c>
    </x:row>
    <x:row r="196">
      <x:c r="A196" s="38" t="str">
        <x:v>7月30日现场数据</x:v>
      </x:c>
      <x:c r="B196" s="66" t="str">
        <x:v>2026-07-31T05:43:56.472000</x:v>
      </x:c>
      <x:c r="C196" s="47" t="n">
        <x:v>300975</x:v>
      </x:c>
      <x:c r="D196" s="47" t="str"/>
      <x:c r="E196" s="47" t="str"/>
      <x:c r="F196" s="47" t="str">
        <x:v>current</x:v>
      </x:c>
      <x:c r="G196" s="47" t="n">
        <x:v>192</x:v>
      </x:c>
      <x:c r="H196" s="53" t="b">
        <x:v>1</x:v>
      </x:c>
      <x:c r="I196" s="47" t="str">
        <x:v>3906736965</x:v>
      </x:c>
      <x:c r="J196" s="47" t="n">
        <x:v>57957260</x:v>
      </x:c>
      <x:c r="K196" s="53" t="b">
        <x:v>1</x:v>
      </x:c>
      <x:c r="L196" s="53" t="b">
        <x:v>1</x:v>
      </x:c>
      <x:c r="M196" s="53" t="b">
        <x:v>1</x:v>
      </x:c>
      <x:c r="N196" s="53" t="b">
        <x:v>1</x:v>
      </x:c>
      <x:c r="O196" s="53" t="b">
        <x:v>1</x:v>
      </x:c>
      <x:c r="P196" s="47" t="n">
        <x:v>1010</x:v>
      </x:c>
      <x:c r="Q196" s="47" t="n">
        <x:v>0</x:v>
      </x:c>
      <x:c r="R196" s="47" t="n">
        <x:v>0</x:v>
      </x:c>
      <x:c r="S196" s="47" t="n">
        <x:v>29.51</x:v>
      </x:c>
      <x:c r="T196" s="47" t="n">
        <x:v>66.21</x:v>
      </x:c>
      <x:c r="U196" s="47" t="n">
        <x:v>29.3</x:v>
      </x:c>
      <x:c r="V196" s="47" t="n">
        <x:v>13.7</x:v>
      </x:c>
      <x:c r="W196" s="47" t="n">
        <x:v>2</x:v>
      </x:c>
      <x:c r="X196" s="47" t="n">
        <x:v>9</x:v>
      </x:c>
      <x:c r="Y196" s="41" t="n">
        <x:v>7</x:v>
      </x:c>
    </x:row>
    <x:row r="197">
      <x:c r="A197" s="38" t="str">
        <x:v>7月30日现场数据</x:v>
      </x:c>
      <x:c r="B197" s="66" t="str">
        <x:v>2026-07-31T05:48:57.450000</x:v>
      </x:c>
      <x:c r="C197" s="47" t="n">
        <x:v>300978</x:v>
      </x:c>
      <x:c r="D197" s="47" t="str"/>
      <x:c r="E197" s="47" t="str"/>
      <x:c r="F197" s="47" t="str">
        <x:v>current</x:v>
      </x:c>
      <x:c r="G197" s="47" t="n">
        <x:v>193</x:v>
      </x:c>
      <x:c r="H197" s="53" t="b">
        <x:v>1</x:v>
      </x:c>
      <x:c r="I197" s="47" t="str">
        <x:v>3906736965</x:v>
      </x:c>
      <x:c r="J197" s="47" t="n">
        <x:v>58258238</x:v>
      </x:c>
      <x:c r="K197" s="53" t="b">
        <x:v>1</x:v>
      </x:c>
      <x:c r="L197" s="53" t="b">
        <x:v>1</x:v>
      </x:c>
      <x:c r="M197" s="53" t="b">
        <x:v>1</x:v>
      </x:c>
      <x:c r="N197" s="53" t="b">
        <x:v>1</x:v>
      </x:c>
      <x:c r="O197" s="53" t="b">
        <x:v>1</x:v>
      </x:c>
      <x:c r="P197" s="47" t="n">
        <x:v>1011</x:v>
      </x:c>
      <x:c r="Q197" s="47" t="n">
        <x:v>0</x:v>
      </x:c>
      <x:c r="R197" s="47" t="n">
        <x:v>0</x:v>
      </x:c>
      <x:c r="S197" s="47" t="n">
        <x:v>29.58</x:v>
      </x:c>
      <x:c r="T197" s="47" t="n">
        <x:v>66.27</x:v>
      </x:c>
      <x:c r="U197" s="47" t="n">
        <x:v>29.3</x:v>
      </x:c>
      <x:c r="V197" s="47" t="n">
        <x:v>13.7</x:v>
      </x:c>
      <x:c r="W197" s="47" t="n">
        <x:v>3</x:v>
      </x:c>
      <x:c r="X197" s="47" t="n">
        <x:v>11</x:v>
      </x:c>
      <x:c r="Y197" s="41" t="n">
        <x:v>8</x:v>
      </x:c>
    </x:row>
    <x:row r="198">
      <x:c r="A198" s="38" t="str">
        <x:v>7月30日现场数据</x:v>
      </x:c>
      <x:c r="B198" s="66" t="str">
        <x:v>2026-07-31T05:53:58.429000</x:v>
      </x:c>
      <x:c r="C198" s="47" t="n">
        <x:v>300979</x:v>
      </x:c>
      <x:c r="D198" s="47" t="str"/>
      <x:c r="E198" s="47" t="str"/>
      <x:c r="F198" s="47" t="str">
        <x:v>current</x:v>
      </x:c>
      <x:c r="G198" s="47" t="n">
        <x:v>194</x:v>
      </x:c>
      <x:c r="H198" s="53" t="b">
        <x:v>1</x:v>
      </x:c>
      <x:c r="I198" s="47" t="str">
        <x:v>3906736965</x:v>
      </x:c>
      <x:c r="J198" s="47" t="n">
        <x:v>58559217</x:v>
      </x:c>
      <x:c r="K198" s="53" t="b">
        <x:v>1</x:v>
      </x:c>
      <x:c r="L198" s="53" t="b">
        <x:v>1</x:v>
      </x:c>
      <x:c r="M198" s="53" t="b">
        <x:v>1</x:v>
      </x:c>
      <x:c r="N198" s="53" t="b">
        <x:v>1</x:v>
      </x:c>
      <x:c r="O198" s="53" t="b">
        <x:v>1</x:v>
      </x:c>
      <x:c r="P198" s="47" t="n">
        <x:v>1011</x:v>
      </x:c>
      <x:c r="Q198" s="47" t="n">
        <x:v>0</x:v>
      </x:c>
      <x:c r="R198" s="47" t="n">
        <x:v>0</x:v>
      </x:c>
      <x:c r="S198" s="47" t="n">
        <x:v>29.64</x:v>
      </x:c>
      <x:c r="T198" s="47" t="n">
        <x:v>66.4</x:v>
      </x:c>
      <x:c r="U198" s="47" t="n">
        <x:v>29.3</x:v>
      </x:c>
      <x:c r="V198" s="47" t="n">
        <x:v>13.7</x:v>
      </x:c>
      <x:c r="W198" s="47" t="n">
        <x:v>3</x:v>
      </x:c>
      <x:c r="X198" s="47" t="n">
        <x:v>12</x:v>
      </x:c>
      <x:c r="Y198" s="41" t="n">
        <x:v>9</x:v>
      </x:c>
    </x:row>
    <x:row r="199">
      <x:c r="A199" s="38" t="str">
        <x:v>7月30日现场数据</x:v>
      </x:c>
      <x:c r="B199" s="66" t="str">
        <x:v>2026-07-31T05:58:59.410000</x:v>
      </x:c>
      <x:c r="C199" s="47" t="n">
        <x:v>300981</x:v>
      </x:c>
      <x:c r="D199" s="47" t="str"/>
      <x:c r="E199" s="47" t="str"/>
      <x:c r="F199" s="47" t="str">
        <x:v>current</x:v>
      </x:c>
      <x:c r="G199" s="47" t="n">
        <x:v>195</x:v>
      </x:c>
      <x:c r="H199" s="53" t="b">
        <x:v>1</x:v>
      </x:c>
      <x:c r="I199" s="47" t="str">
        <x:v>3906736965</x:v>
      </x:c>
      <x:c r="J199" s="47" t="n">
        <x:v>58860198</x:v>
      </x:c>
      <x:c r="K199" s="53" t="b">
        <x:v>1</x:v>
      </x:c>
      <x:c r="L199" s="53" t="b">
        <x:v>1</x:v>
      </x:c>
      <x:c r="M199" s="53" t="b">
        <x:v>1</x:v>
      </x:c>
      <x:c r="N199" s="53" t="b">
        <x:v>1</x:v>
      </x:c>
      <x:c r="O199" s="53" t="b">
        <x:v>1</x:v>
      </x:c>
      <x:c r="P199" s="47" t="n">
        <x:v>1011</x:v>
      </x:c>
      <x:c r="Q199" s="47" t="n">
        <x:v>0.013</x:v>
      </x:c>
      <x:c r="R199" s="47" t="n">
        <x:v>0.363</x:v>
      </x:c>
      <x:c r="S199" s="47" t="n">
        <x:v>29.69</x:v>
      </x:c>
      <x:c r="T199" s="47" t="n">
        <x:v>66.46</x:v>
      </x:c>
      <x:c r="U199" s="47" t="n">
        <x:v>29.3</x:v>
      </x:c>
      <x:c r="V199" s="47" t="n">
        <x:v>13.7</x:v>
      </x:c>
      <x:c r="W199" s="47" t="n">
        <x:v>3</x:v>
      </x:c>
      <x:c r="X199" s="47" t="n">
        <x:v>13</x:v>
      </x:c>
      <x:c r="Y199" s="41" t="n">
        <x:v>10</x:v>
      </x:c>
    </x:row>
    <x:row r="200">
      <x:c r="A200" s="38" t="str">
        <x:v>7月30日现场数据</x:v>
      </x:c>
      <x:c r="B200" s="66" t="str">
        <x:v>2026-07-31T06:04:00.395000</x:v>
      </x:c>
      <x:c r="C200" s="47" t="n">
        <x:v>300985</x:v>
      </x:c>
      <x:c r="D200" s="47" t="str"/>
      <x:c r="E200" s="47" t="str"/>
      <x:c r="F200" s="47" t="str">
        <x:v>current</x:v>
      </x:c>
      <x:c r="G200" s="47" t="n">
        <x:v>196</x:v>
      </x:c>
      <x:c r="H200" s="53" t="b">
        <x:v>1</x:v>
      </x:c>
      <x:c r="I200" s="47" t="str">
        <x:v>3906736965</x:v>
      </x:c>
      <x:c r="J200" s="47" t="n">
        <x:v>59161183</x:v>
      </x:c>
      <x:c r="K200" s="53" t="b">
        <x:v>1</x:v>
      </x:c>
      <x:c r="L200" s="53" t="b">
        <x:v>1</x:v>
      </x:c>
      <x:c r="M200" s="53" t="b">
        <x:v>1</x:v>
      </x:c>
      <x:c r="N200" s="53" t="b">
        <x:v>1</x:v>
      </x:c>
      <x:c r="O200" s="53" t="b">
        <x:v>1</x:v>
      </x:c>
      <x:c r="P200" s="47" t="n">
        <x:v>1011</x:v>
      </x:c>
      <x:c r="Q200" s="47" t="n">
        <x:v>0</x:v>
      </x:c>
      <x:c r="R200" s="47" t="n">
        <x:v>0</x:v>
      </x:c>
      <x:c r="S200" s="47" t="n">
        <x:v>29.78</x:v>
      </x:c>
      <x:c r="T200" s="47" t="n">
        <x:v>66.6</x:v>
      </x:c>
      <x:c r="U200" s="47" t="n">
        <x:v>29.4</x:v>
      </x:c>
      <x:c r="V200" s="47" t="n">
        <x:v>13.7</x:v>
      </x:c>
      <x:c r="W200" s="47" t="n">
        <x:v>4</x:v>
      </x:c>
      <x:c r="X200" s="47" t="n">
        <x:v>15</x:v>
      </x:c>
      <x:c r="Y200" s="41" t="n">
        <x:v>11</x:v>
      </x:c>
    </x:row>
    <x:row r="201">
      <x:c r="A201" s="38" t="str">
        <x:v>7月30日现场数据</x:v>
      </x:c>
      <x:c r="B201" s="66" t="str">
        <x:v>2026-07-31T06:09:01.379000</x:v>
      </x:c>
      <x:c r="C201" s="47" t="n">
        <x:v>300984</x:v>
      </x:c>
      <x:c r="D201" s="47" t="str"/>
      <x:c r="E201" s="47" t="str"/>
      <x:c r="F201" s="47" t="str">
        <x:v>current</x:v>
      </x:c>
      <x:c r="G201" s="47" t="n">
        <x:v>197</x:v>
      </x:c>
      <x:c r="H201" s="53" t="b">
        <x:v>1</x:v>
      </x:c>
      <x:c r="I201" s="47" t="str">
        <x:v>3906736965</x:v>
      </x:c>
      <x:c r="J201" s="47" t="n">
        <x:v>59462167</x:v>
      </x:c>
      <x:c r="K201" s="53" t="b">
        <x:v>1</x:v>
      </x:c>
      <x:c r="L201" s="53" t="b">
        <x:v>1</x:v>
      </x:c>
      <x:c r="M201" s="53" t="b">
        <x:v>1</x:v>
      </x:c>
      <x:c r="N201" s="53" t="b">
        <x:v>1</x:v>
      </x:c>
      <x:c r="O201" s="53" t="b">
        <x:v>1</x:v>
      </x:c>
      <x:c r="P201" s="47" t="n">
        <x:v>1011</x:v>
      </x:c>
      <x:c r="Q201" s="47" t="n">
        <x:v>0</x:v>
      </x:c>
      <x:c r="R201" s="47" t="n">
        <x:v>0</x:v>
      </x:c>
      <x:c r="S201" s="47" t="n">
        <x:v>29.86</x:v>
      </x:c>
      <x:c r="T201" s="47" t="n">
        <x:v>66.63</x:v>
      </x:c>
      <x:c r="U201" s="47" t="n">
        <x:v>29.4</x:v>
      </x:c>
      <x:c r="V201" s="47" t="n">
        <x:v>13.7</x:v>
      </x:c>
      <x:c r="W201" s="47" t="n">
        <x:v>4</x:v>
      </x:c>
      <x:c r="X201" s="47" t="n">
        <x:v>17</x:v>
      </x:c>
      <x:c r="Y201" s="41" t="n">
        <x:v>13</x:v>
      </x:c>
    </x:row>
    <x:row r="202">
      <x:c r="A202" s="38" t="str">
        <x:v>7月30日现场数据</x:v>
      </x:c>
      <x:c r="B202" s="66" t="str">
        <x:v>2026-07-31T06:14:02.397000</x:v>
      </x:c>
      <x:c r="C202" s="47" t="n">
        <x:v>301018</x:v>
      </x:c>
      <x:c r="D202" s="47" t="str"/>
      <x:c r="E202" s="47" t="str"/>
      <x:c r="F202" s="47" t="str">
        <x:v>current</x:v>
      </x:c>
      <x:c r="G202" s="47" t="n">
        <x:v>198</x:v>
      </x:c>
      <x:c r="H202" s="53" t="b">
        <x:v>1</x:v>
      </x:c>
      <x:c r="I202" s="47" t="str">
        <x:v>3906736965</x:v>
      </x:c>
      <x:c r="J202" s="47" t="n">
        <x:v>59763185</x:v>
      </x:c>
      <x:c r="K202" s="53" t="b">
        <x:v>1</x:v>
      </x:c>
      <x:c r="L202" s="53" t="b">
        <x:v>1</x:v>
      </x:c>
      <x:c r="M202" s="53" t="b">
        <x:v>1</x:v>
      </x:c>
      <x:c r="N202" s="53" t="b">
        <x:v>1</x:v>
      </x:c>
      <x:c r="O202" s="53" t="b">
        <x:v>1</x:v>
      </x:c>
      <x:c r="P202" s="47" t="n">
        <x:v>1011</x:v>
      </x:c>
      <x:c r="Q202" s="47" t="n">
        <x:v>0</x:v>
      </x:c>
      <x:c r="R202" s="47" t="n">
        <x:v>0</x:v>
      </x:c>
      <x:c r="S202" s="47" t="n">
        <x:v>30.2</x:v>
      </x:c>
      <x:c r="T202" s="47" t="n">
        <x:v>66.77</x:v>
      </x:c>
      <x:c r="U202" s="47" t="n">
        <x:v>29.4</x:v>
      </x:c>
      <x:c r="V202" s="47" t="n">
        <x:v>13.7</x:v>
      </x:c>
      <x:c r="W202" s="47" t="n">
        <x:v>4</x:v>
      </x:c>
      <x:c r="X202" s="47" t="n">
        <x:v>19</x:v>
      </x:c>
      <x:c r="Y202" s="41" t="n">
        <x:v>15</x:v>
      </x:c>
    </x:row>
    <x:row r="203">
      <x:c r="A203" s="38" t="str">
        <x:v>7月30日现场数据</x:v>
      </x:c>
      <x:c r="B203" s="66" t="str">
        <x:v>2026-07-31T06:19:03.357000</x:v>
      </x:c>
      <x:c r="C203" s="47" t="n">
        <x:v>300960</x:v>
      </x:c>
      <x:c r="D203" s="47" t="str"/>
      <x:c r="E203" s="47" t="str"/>
      <x:c r="F203" s="47" t="str">
        <x:v>current</x:v>
      </x:c>
      <x:c r="G203" s="47" t="n">
        <x:v>199</x:v>
      </x:c>
      <x:c r="H203" s="53" t="b">
        <x:v>1</x:v>
      </x:c>
      <x:c r="I203" s="47" t="str">
        <x:v>3906736965</x:v>
      </x:c>
      <x:c r="J203" s="47" t="n">
        <x:v>60064145</x:v>
      </x:c>
      <x:c r="K203" s="53" t="b">
        <x:v>1</x:v>
      </x:c>
      <x:c r="L203" s="53" t="b">
        <x:v>1</x:v>
      </x:c>
      <x:c r="M203" s="53" t="b">
        <x:v>1</x:v>
      </x:c>
      <x:c r="N203" s="53" t="b">
        <x:v>1</x:v>
      </x:c>
      <x:c r="O203" s="53" t="b">
        <x:v>1</x:v>
      </x:c>
      <x:c r="P203" s="47" t="n">
        <x:v>1011</x:v>
      </x:c>
      <x:c r="Q203" s="47" t="n">
        <x:v>0</x:v>
      </x:c>
      <x:c r="R203" s="47" t="n">
        <x:v>0</x:v>
      </x:c>
      <x:c r="S203" s="47" t="n">
        <x:v>30.43</x:v>
      </x:c>
      <x:c r="T203" s="47" t="n">
        <x:v>66.92</x:v>
      </x:c>
      <x:c r="U203" s="47" t="n">
        <x:v>29.4</x:v>
      </x:c>
      <x:c r="V203" s="47" t="n">
        <x:v>13.7</x:v>
      </x:c>
      <x:c r="W203" s="47" t="n">
        <x:v>4</x:v>
      </x:c>
      <x:c r="X203" s="47" t="n">
        <x:v>20</x:v>
      </x:c>
      <x:c r="Y203" s="41" t="n">
        <x:v>16</x:v>
      </x:c>
    </x:row>
    <x:row r="204">
      <x:c r="A204" s="38" t="str">
        <x:v>7月30日现场数据</x:v>
      </x:c>
      <x:c r="B204" s="66" t="str">
        <x:v>2026-07-31T06:24:04.321000</x:v>
      </x:c>
      <x:c r="C204" s="47" t="n">
        <x:v>300964</x:v>
      </x:c>
      <x:c r="D204" s="47" t="str"/>
      <x:c r="E204" s="47" t="str"/>
      <x:c r="F204" s="47" t="str">
        <x:v>current</x:v>
      </x:c>
      <x:c r="G204" s="47" t="n">
        <x:v>200</x:v>
      </x:c>
      <x:c r="H204" s="53" t="b">
        <x:v>1</x:v>
      </x:c>
      <x:c r="I204" s="47" t="str">
        <x:v>3906736965</x:v>
      </x:c>
      <x:c r="J204" s="47" t="n">
        <x:v>60365109</x:v>
      </x:c>
      <x:c r="K204" s="53" t="b">
        <x:v>1</x:v>
      </x:c>
      <x:c r="L204" s="53" t="b">
        <x:v>1</x:v>
      </x:c>
      <x:c r="M204" s="53" t="b">
        <x:v>1</x:v>
      </x:c>
      <x:c r="N204" s="53" t="b">
        <x:v>1</x:v>
      </x:c>
      <x:c r="O204" s="53" t="b">
        <x:v>1</x:v>
      </x:c>
      <x:c r="P204" s="47" t="n">
        <x:v>1011</x:v>
      </x:c>
      <x:c r="Q204" s="47" t="n">
        <x:v>0</x:v>
      </x:c>
      <x:c r="R204" s="47" t="n">
        <x:v>0</x:v>
      </x:c>
      <x:c r="S204" s="47" t="n">
        <x:v>30.61</x:v>
      </x:c>
      <x:c r="T204" s="47" t="n">
        <x:v>67.06</x:v>
      </x:c>
      <x:c r="U204" s="47" t="n">
        <x:v>29.4</x:v>
      </x:c>
      <x:c r="V204" s="47" t="n">
        <x:v>13.7</x:v>
      </x:c>
      <x:c r="W204" s="47" t="n">
        <x:v>5</x:v>
      </x:c>
      <x:c r="X204" s="47" t="n">
        <x:v>22</x:v>
      </x:c>
      <x:c r="Y204" s="41" t="n">
        <x:v>17</x:v>
      </x:c>
    </x:row>
    <x:row r="205">
      <x:c r="A205" s="38" t="str">
        <x:v>7月30日现场数据</x:v>
      </x:c>
      <x:c r="B205" s="66" t="str">
        <x:v>2026-07-31T06:29:05.288000</x:v>
      </x:c>
      <x:c r="C205" s="47" t="n">
        <x:v>300967</x:v>
      </x:c>
      <x:c r="D205" s="47" t="str"/>
      <x:c r="E205" s="47" t="str"/>
      <x:c r="F205" s="47" t="str">
        <x:v>current</x:v>
      </x:c>
      <x:c r="G205" s="47" t="n">
        <x:v>201</x:v>
      </x:c>
      <x:c r="H205" s="53" t="b">
        <x:v>1</x:v>
      </x:c>
      <x:c r="I205" s="47" t="str">
        <x:v>3906736965</x:v>
      </x:c>
      <x:c r="J205" s="47" t="n">
        <x:v>60666076</x:v>
      </x:c>
      <x:c r="K205" s="53" t="b">
        <x:v>1</x:v>
      </x:c>
      <x:c r="L205" s="53" t="b">
        <x:v>1</x:v>
      </x:c>
      <x:c r="M205" s="53" t="b">
        <x:v>1</x:v>
      </x:c>
      <x:c r="N205" s="53" t="b">
        <x:v>1</x:v>
      </x:c>
      <x:c r="O205" s="53" t="b">
        <x:v>1</x:v>
      </x:c>
      <x:c r="P205" s="47" t="n">
        <x:v>1011</x:v>
      </x:c>
      <x:c r="Q205" s="47" t="n">
        <x:v>0</x:v>
      </x:c>
      <x:c r="R205" s="47" t="n">
        <x:v>0</x:v>
      </x:c>
      <x:c r="S205" s="47" t="n">
        <x:v>30.76</x:v>
      </x:c>
      <x:c r="T205" s="47" t="n">
        <x:v>67.2</x:v>
      </x:c>
      <x:c r="U205" s="47" t="n">
        <x:v>29.5</x:v>
      </x:c>
      <x:c r="V205" s="47" t="n">
        <x:v>13.7</x:v>
      </x:c>
      <x:c r="W205" s="47" t="n">
        <x:v>5</x:v>
      </x:c>
      <x:c r="X205" s="47" t="n">
        <x:v>23</x:v>
      </x:c>
      <x:c r="Y205" s="41" t="n">
        <x:v>18</x:v>
      </x:c>
    </x:row>
    <x:row r="206">
      <x:c r="A206" s="38" t="str">
        <x:v>7月30日现场数据</x:v>
      </x:c>
      <x:c r="B206" s="66" t="str">
        <x:v>2026-07-31T06:34:06.259000</x:v>
      </x:c>
      <x:c r="C206" s="47" t="n">
        <x:v>300971</x:v>
      </x:c>
      <x:c r="D206" s="47" t="str"/>
      <x:c r="E206" s="47" t="str"/>
      <x:c r="F206" s="47" t="str">
        <x:v>current</x:v>
      </x:c>
      <x:c r="G206" s="47" t="n">
        <x:v>202</x:v>
      </x:c>
      <x:c r="H206" s="53" t="b">
        <x:v>1</x:v>
      </x:c>
      <x:c r="I206" s="47" t="str">
        <x:v>3906736965</x:v>
      </x:c>
      <x:c r="J206" s="47" t="n">
        <x:v>60967047</x:v>
      </x:c>
      <x:c r="K206" s="53" t="b">
        <x:v>1</x:v>
      </x:c>
      <x:c r="L206" s="53" t="b">
        <x:v>1</x:v>
      </x:c>
      <x:c r="M206" s="53" t="b">
        <x:v>1</x:v>
      </x:c>
      <x:c r="N206" s="53" t="b">
        <x:v>1</x:v>
      </x:c>
      <x:c r="O206" s="53" t="b">
        <x:v>1</x:v>
      </x:c>
      <x:c r="P206" s="47" t="n">
        <x:v>1011</x:v>
      </x:c>
      <x:c r="Q206" s="47" t="n">
        <x:v>0</x:v>
      </x:c>
      <x:c r="R206" s="47" t="n">
        <x:v>0</x:v>
      </x:c>
      <x:c r="S206" s="47" t="n">
        <x:v>30.78</x:v>
      </x:c>
      <x:c r="T206" s="47" t="n">
        <x:v>67.29</x:v>
      </x:c>
      <x:c r="U206" s="47" t="n">
        <x:v>29.5</x:v>
      </x:c>
      <x:c r="V206" s="47" t="n">
        <x:v>13.7</x:v>
      </x:c>
      <x:c r="W206" s="47" t="n">
        <x:v>5</x:v>
      </x:c>
      <x:c r="X206" s="47" t="n">
        <x:v>24</x:v>
      </x:c>
      <x:c r="Y206" s="41" t="n">
        <x:v>19</x:v>
      </x:c>
    </x:row>
    <x:row r="207">
      <x:c r="A207" s="38" t="str">
        <x:v>7月30日现场数据</x:v>
      </x:c>
      <x:c r="B207" s="66" t="str">
        <x:v>2026-07-31T06:39:07.226000</x:v>
      </x:c>
      <x:c r="C207" s="47" t="n">
        <x:v>300967</x:v>
      </x:c>
      <x:c r="D207" s="47" t="str"/>
      <x:c r="E207" s="47" t="str"/>
      <x:c r="F207" s="47" t="str">
        <x:v>current</x:v>
      </x:c>
      <x:c r="G207" s="47" t="n">
        <x:v>203</x:v>
      </x:c>
      <x:c r="H207" s="53" t="b">
        <x:v>1</x:v>
      </x:c>
      <x:c r="I207" s="47" t="str">
        <x:v>3906736965</x:v>
      </x:c>
      <x:c r="J207" s="47" t="n">
        <x:v>61268014</x:v>
      </x:c>
      <x:c r="K207" s="53" t="b">
        <x:v>1</x:v>
      </x:c>
      <x:c r="L207" s="53" t="b">
        <x:v>1</x:v>
      </x:c>
      <x:c r="M207" s="53" t="b">
        <x:v>1</x:v>
      </x:c>
      <x:c r="N207" s="53" t="b">
        <x:v>1</x:v>
      </x:c>
      <x:c r="O207" s="53" t="b">
        <x:v>1</x:v>
      </x:c>
      <x:c r="P207" s="47" t="n">
        <x:v>1011</x:v>
      </x:c>
      <x:c r="Q207" s="47" t="n">
        <x:v>0</x:v>
      </x:c>
      <x:c r="R207" s="47" t="n">
        <x:v>0</x:v>
      </x:c>
      <x:c r="S207" s="47" t="n">
        <x:v>30.86</x:v>
      </x:c>
      <x:c r="T207" s="47" t="n">
        <x:v>67.39</x:v>
      </x:c>
      <x:c r="U207" s="47" t="n">
        <x:v>29.5</x:v>
      </x:c>
      <x:c r="V207" s="47" t="n">
        <x:v>13.7</x:v>
      </x:c>
      <x:c r="W207" s="47" t="n">
        <x:v>6</x:v>
      </x:c>
      <x:c r="X207" s="47" t="n">
        <x:v>25</x:v>
      </x:c>
      <x:c r="Y207" s="41" t="n">
        <x:v>19</x:v>
      </x:c>
    </x:row>
    <x:row r="208">
      <x:c r="A208" s="38" t="str">
        <x:v>7月30日现场数据</x:v>
      </x:c>
      <x:c r="B208" s="66" t="str">
        <x:v>2026-07-31T06:44:08.197000</x:v>
      </x:c>
      <x:c r="C208" s="47" t="n">
        <x:v>300971</x:v>
      </x:c>
      <x:c r="D208" s="47" t="str"/>
      <x:c r="E208" s="47" t="str"/>
      <x:c r="F208" s="47" t="str">
        <x:v>current</x:v>
      </x:c>
      <x:c r="G208" s="47" t="n">
        <x:v>204</x:v>
      </x:c>
      <x:c r="H208" s="53" t="b">
        <x:v>1</x:v>
      </x:c>
      <x:c r="I208" s="47" t="str">
        <x:v>3906736965</x:v>
      </x:c>
      <x:c r="J208" s="47" t="n">
        <x:v>61568985</x:v>
      </x:c>
      <x:c r="K208" s="53" t="b">
        <x:v>1</x:v>
      </x:c>
      <x:c r="L208" s="53" t="b">
        <x:v>1</x:v>
      </x:c>
      <x:c r="M208" s="53" t="b">
        <x:v>1</x:v>
      </x:c>
      <x:c r="N208" s="53" t="b">
        <x:v>1</x:v>
      </x:c>
      <x:c r="O208" s="53" t="b">
        <x:v>1</x:v>
      </x:c>
      <x:c r="P208" s="47" t="n">
        <x:v>1011</x:v>
      </x:c>
      <x:c r="Q208" s="47" t="n">
        <x:v>0</x:v>
      </x:c>
      <x:c r="R208" s="47" t="n">
        <x:v>0</x:v>
      </x:c>
      <x:c r="S208" s="47" t="n">
        <x:v>30.9</x:v>
      </x:c>
      <x:c r="T208" s="47" t="n">
        <x:v>67.45</x:v>
      </x:c>
      <x:c r="U208" s="47" t="n">
        <x:v>29.5</x:v>
      </x:c>
      <x:c r="V208" s="47" t="n">
        <x:v>13.7</x:v>
      </x:c>
      <x:c r="W208" s="47" t="n">
        <x:v>6</x:v>
      </x:c>
      <x:c r="X208" s="47" t="n">
        <x:v>27</x:v>
      </x:c>
      <x:c r="Y208" s="41" t="n">
        <x:v>21</x:v>
      </x:c>
    </x:row>
    <x:row r="209">
      <x:c r="A209" s="38" t="str">
        <x:v>7月30日现场数据</x:v>
      </x:c>
      <x:c r="B209" s="66" t="str">
        <x:v>2026-07-31T06:49:09.170000</x:v>
      </x:c>
      <x:c r="C209" s="47" t="n">
        <x:v>300973</x:v>
      </x:c>
      <x:c r="D209" s="47" t="str"/>
      <x:c r="E209" s="47" t="str"/>
      <x:c r="F209" s="47" t="str">
        <x:v>current</x:v>
      </x:c>
      <x:c r="G209" s="47" t="n">
        <x:v>205</x:v>
      </x:c>
      <x:c r="H209" s="53" t="b">
        <x:v>1</x:v>
      </x:c>
      <x:c r="I209" s="47" t="str">
        <x:v>3906736965</x:v>
      </x:c>
      <x:c r="J209" s="47" t="n">
        <x:v>61869958</x:v>
      </x:c>
      <x:c r="K209" s="53" t="b">
        <x:v>1</x:v>
      </x:c>
      <x:c r="L209" s="53" t="b">
        <x:v>1</x:v>
      </x:c>
      <x:c r="M209" s="53" t="b">
        <x:v>1</x:v>
      </x:c>
      <x:c r="N209" s="53" t="b">
        <x:v>1</x:v>
      </x:c>
      <x:c r="O209" s="53" t="b">
        <x:v>1</x:v>
      </x:c>
      <x:c r="P209" s="47" t="n">
        <x:v>1011</x:v>
      </x:c>
      <x:c r="Q209" s="47" t="n">
        <x:v>0</x:v>
      </x:c>
      <x:c r="R209" s="47" t="n">
        <x:v>0</x:v>
      </x:c>
      <x:c r="S209" s="47" t="n">
        <x:v>30.96</x:v>
      </x:c>
      <x:c r="T209" s="47" t="n">
        <x:v>67.46</x:v>
      </x:c>
      <x:c r="U209" s="47" t="n">
        <x:v>29.5</x:v>
      </x:c>
      <x:c r="V209" s="47" t="n">
        <x:v>13.7</x:v>
      </x:c>
      <x:c r="W209" s="47" t="n">
        <x:v>7</x:v>
      </x:c>
      <x:c r="X209" s="47" t="n">
        <x:v>30</x:v>
      </x:c>
      <x:c r="Y209" s="41" t="n">
        <x:v>23</x:v>
      </x:c>
    </x:row>
    <x:row r="210">
      <x:c r="A210" s="38" t="str">
        <x:v>7月30日现场数据</x:v>
      </x:c>
      <x:c r="B210" s="66" t="str">
        <x:v>2026-07-31T06:54:10.144000</x:v>
      </x:c>
      <x:c r="C210" s="47" t="n">
        <x:v>300974</x:v>
      </x:c>
      <x:c r="D210" s="47" t="str"/>
      <x:c r="E210" s="47" t="str"/>
      <x:c r="F210" s="47" t="str">
        <x:v>current</x:v>
      </x:c>
      <x:c r="G210" s="47" t="n">
        <x:v>206</x:v>
      </x:c>
      <x:c r="H210" s="53" t="b">
        <x:v>1</x:v>
      </x:c>
      <x:c r="I210" s="47" t="str">
        <x:v>3906736965</x:v>
      </x:c>
      <x:c r="J210" s="47" t="n">
        <x:v>62170932</x:v>
      </x:c>
      <x:c r="K210" s="53" t="b">
        <x:v>1</x:v>
      </x:c>
      <x:c r="L210" s="53" t="b">
        <x:v>1</x:v>
      </x:c>
      <x:c r="M210" s="53" t="b">
        <x:v>1</x:v>
      </x:c>
      <x:c r="N210" s="53" t="b">
        <x:v>1</x:v>
      </x:c>
      <x:c r="O210" s="53" t="b">
        <x:v>1</x:v>
      </x:c>
      <x:c r="P210" s="47" t="n">
        <x:v>1011</x:v>
      </x:c>
      <x:c r="Q210" s="47" t="n">
        <x:v>0</x:v>
      </x:c>
      <x:c r="R210" s="47" t="n">
        <x:v>0</x:v>
      </x:c>
      <x:c r="S210" s="47" t="n">
        <x:v>31.08</x:v>
      </x:c>
      <x:c r="T210" s="47" t="n">
        <x:v>67.58</x:v>
      </x:c>
      <x:c r="U210" s="47" t="n">
        <x:v>29.5</x:v>
      </x:c>
      <x:c r="V210" s="47" t="n">
        <x:v>13.7</x:v>
      </x:c>
      <x:c r="W210" s="47" t="n">
        <x:v>7</x:v>
      </x:c>
      <x:c r="X210" s="47" t="n">
        <x:v>31</x:v>
      </x:c>
      <x:c r="Y210" s="41" t="n">
        <x:v>24</x:v>
      </x:c>
    </x:row>
    <x:row r="211">
      <x:c r="A211" s="38" t="str">
        <x:v>7月30日现场数据</x:v>
      </x:c>
      <x:c r="B211" s="66" t="str">
        <x:v>2026-07-31T06:59:11.119000</x:v>
      </x:c>
      <x:c r="C211" s="47" t="n">
        <x:v>300975</x:v>
      </x:c>
      <x:c r="D211" s="47" t="str"/>
      <x:c r="E211" s="47" t="str"/>
      <x:c r="F211" s="47" t="str">
        <x:v>current</x:v>
      </x:c>
      <x:c r="G211" s="47" t="n">
        <x:v>207</x:v>
      </x:c>
      <x:c r="H211" s="53" t="b">
        <x:v>1</x:v>
      </x:c>
      <x:c r="I211" s="47" t="str">
        <x:v>3906736965</x:v>
      </x:c>
      <x:c r="J211" s="47" t="n">
        <x:v>62471907</x:v>
      </x:c>
      <x:c r="K211" s="53" t="b">
        <x:v>1</x:v>
      </x:c>
      <x:c r="L211" s="53" t="b">
        <x:v>1</x:v>
      </x:c>
      <x:c r="M211" s="53" t="b">
        <x:v>1</x:v>
      </x:c>
      <x:c r="N211" s="53" t="b">
        <x:v>1</x:v>
      </x:c>
      <x:c r="O211" s="53" t="b">
        <x:v>1</x:v>
      </x:c>
      <x:c r="P211" s="47" t="n">
        <x:v>1011</x:v>
      </x:c>
      <x:c r="Q211" s="47" t="n">
        <x:v>0</x:v>
      </x:c>
      <x:c r="R211" s="47" t="n">
        <x:v>0</x:v>
      </x:c>
      <x:c r="S211" s="47" t="n">
        <x:v>31.18</x:v>
      </x:c>
      <x:c r="T211" s="47" t="n">
        <x:v>67.65</x:v>
      </x:c>
      <x:c r="U211" s="47" t="n">
        <x:v>29.5</x:v>
      </x:c>
      <x:c r="V211" s="47" t="n">
        <x:v>13.6</x:v>
      </x:c>
      <x:c r="W211" s="47" t="n">
        <x:v>8</x:v>
      </x:c>
      <x:c r="X211" s="47" t="n">
        <x:v>33</x:v>
      </x:c>
      <x:c r="Y211" s="41" t="n">
        <x:v>25</x:v>
      </x:c>
    </x:row>
    <x:row r="212">
      <x:c r="A212" s="38" t="str">
        <x:v>7月30日现场数据</x:v>
      </x:c>
      <x:c r="B212" s="66" t="str">
        <x:v>2026-07-31T07:04:12.097000</x:v>
      </x:c>
      <x:c r="C212" s="47" t="n">
        <x:v>300978</x:v>
      </x:c>
      <x:c r="D212" s="47" t="str"/>
      <x:c r="E212" s="47" t="str"/>
      <x:c r="F212" s="47" t="str">
        <x:v>current</x:v>
      </x:c>
      <x:c r="G212" s="47" t="n">
        <x:v>208</x:v>
      </x:c>
      <x:c r="H212" s="53" t="b">
        <x:v>1</x:v>
      </x:c>
      <x:c r="I212" s="47" t="str">
        <x:v>3906736965</x:v>
      </x:c>
      <x:c r="J212" s="47" t="n">
        <x:v>62772885</x:v>
      </x:c>
      <x:c r="K212" s="53" t="b">
        <x:v>1</x:v>
      </x:c>
      <x:c r="L212" s="53" t="b">
        <x:v>1</x:v>
      </x:c>
      <x:c r="M212" s="53" t="b">
        <x:v>1</x:v>
      </x:c>
      <x:c r="N212" s="53" t="b">
        <x:v>1</x:v>
      </x:c>
      <x:c r="O212" s="53" t="b">
        <x:v>1</x:v>
      </x:c>
      <x:c r="P212" s="47" t="n">
        <x:v>1011</x:v>
      </x:c>
      <x:c r="Q212" s="47" t="n">
        <x:v>0</x:v>
      </x:c>
      <x:c r="R212" s="47" t="n">
        <x:v>0</x:v>
      </x:c>
      <x:c r="S212" s="47" t="n">
        <x:v>31.31</x:v>
      </x:c>
      <x:c r="T212" s="47" t="n">
        <x:v>67.72</x:v>
      </x:c>
      <x:c r="U212" s="47" t="n">
        <x:v>29.6</x:v>
      </x:c>
      <x:c r="V212" s="47" t="n">
        <x:v>13.6</x:v>
      </x:c>
      <x:c r="W212" s="47" t="n">
        <x:v>8</x:v>
      </x:c>
      <x:c r="X212" s="47" t="n">
        <x:v>34</x:v>
      </x:c>
      <x:c r="Y212" s="41" t="n">
        <x:v>26</x:v>
      </x:c>
    </x:row>
    <x:row r="213">
      <x:c r="A213" s="38" t="str">
        <x:v>7月30日现场数据</x:v>
      </x:c>
      <x:c r="B213" s="66" t="str">
        <x:v>2026-07-31T07:09:13.076000</x:v>
      </x:c>
      <x:c r="C213" s="47" t="n">
        <x:v>300979</x:v>
      </x:c>
      <x:c r="D213" s="47" t="str"/>
      <x:c r="E213" s="47" t="str"/>
      <x:c r="F213" s="47" t="str">
        <x:v>current</x:v>
      </x:c>
      <x:c r="G213" s="47" t="n">
        <x:v>209</x:v>
      </x:c>
      <x:c r="H213" s="53" t="b">
        <x:v>1</x:v>
      </x:c>
      <x:c r="I213" s="47" t="str">
        <x:v>3906736965</x:v>
      </x:c>
      <x:c r="J213" s="47" t="n">
        <x:v>63073864</x:v>
      </x:c>
      <x:c r="K213" s="53" t="b">
        <x:v>1</x:v>
      </x:c>
      <x:c r="L213" s="53" t="b">
        <x:v>1</x:v>
      </x:c>
      <x:c r="M213" s="53" t="b">
        <x:v>1</x:v>
      </x:c>
      <x:c r="N213" s="53" t="b">
        <x:v>1</x:v>
      </x:c>
      <x:c r="O213" s="53" t="b">
        <x:v>1</x:v>
      </x:c>
      <x:c r="P213" s="47" t="n">
        <x:v>1011</x:v>
      </x:c>
      <x:c r="Q213" s="47" t="n">
        <x:v>0</x:v>
      </x:c>
      <x:c r="R213" s="47" t="n">
        <x:v>0</x:v>
      </x:c>
      <x:c r="S213" s="47" t="n">
        <x:v>31.27</x:v>
      </x:c>
      <x:c r="T213" s="47" t="n">
        <x:v>67.83</x:v>
      </x:c>
      <x:c r="U213" s="47" t="n">
        <x:v>29.6</x:v>
      </x:c>
      <x:c r="V213" s="47" t="n">
        <x:v>13.6</x:v>
      </x:c>
      <x:c r="W213" s="47" t="n">
        <x:v>8</x:v>
      </x:c>
      <x:c r="X213" s="47" t="n">
        <x:v>35</x:v>
      </x:c>
      <x:c r="Y213" s="41" t="n">
        <x:v>27</x:v>
      </x:c>
    </x:row>
    <x:row r="214">
      <x:c r="A214" s="38" t="str">
        <x:v>7月30日现场数据</x:v>
      </x:c>
      <x:c r="B214" s="66" t="str">
        <x:v>2026-07-31T07:14:14.055000</x:v>
      </x:c>
      <x:c r="C214" s="47" t="n">
        <x:v>300979</x:v>
      </x:c>
      <x:c r="D214" s="47" t="str"/>
      <x:c r="E214" s="47" t="str"/>
      <x:c r="F214" s="47" t="str">
        <x:v>current</x:v>
      </x:c>
      <x:c r="G214" s="47" t="n">
        <x:v>210</x:v>
      </x:c>
      <x:c r="H214" s="53" t="b">
        <x:v>1</x:v>
      </x:c>
      <x:c r="I214" s="47" t="str">
        <x:v>3906736965</x:v>
      </x:c>
      <x:c r="J214" s="47" t="n">
        <x:v>63374843</x:v>
      </x:c>
      <x:c r="K214" s="53" t="b">
        <x:v>1</x:v>
      </x:c>
      <x:c r="L214" s="53" t="b">
        <x:v>1</x:v>
      </x:c>
      <x:c r="M214" s="53" t="b">
        <x:v>1</x:v>
      </x:c>
      <x:c r="N214" s="53" t="b">
        <x:v>1</x:v>
      </x:c>
      <x:c r="O214" s="53" t="b">
        <x:v>1</x:v>
      </x:c>
      <x:c r="P214" s="47" t="n">
        <x:v>1011</x:v>
      </x:c>
      <x:c r="Q214" s="47" t="n">
        <x:v>0.002</x:v>
      </x:c>
      <x:c r="R214" s="47" t="n">
        <x:v>0.066</x:v>
      </x:c>
      <x:c r="S214" s="47" t="n">
        <x:v>31.39</x:v>
      </x:c>
      <x:c r="T214" s="47" t="n">
        <x:v>67.9</x:v>
      </x:c>
      <x:c r="U214" s="47" t="n">
        <x:v>29.6</x:v>
      </x:c>
      <x:c r="V214" s="47" t="n">
        <x:v>13.6</x:v>
      </x:c>
      <x:c r="W214" s="47" t="n">
        <x:v>8</x:v>
      </x:c>
      <x:c r="X214" s="47" t="n">
        <x:v>37</x:v>
      </x:c>
      <x:c r="Y214" s="41" t="n">
        <x:v>29</x:v>
      </x:c>
    </x:row>
    <x:row r="215">
      <x:c r="A215" s="38" t="str">
        <x:v>7月30日现场数据</x:v>
      </x:c>
      <x:c r="B215" s="66" t="str">
        <x:v>2026-07-31T07:19:15.036000</x:v>
      </x:c>
      <x:c r="C215" s="47" t="n">
        <x:v>300981</x:v>
      </x:c>
      <x:c r="D215" s="47" t="str"/>
      <x:c r="E215" s="47" t="str"/>
      <x:c r="F215" s="47" t="str">
        <x:v>current</x:v>
      </x:c>
      <x:c r="G215" s="47" t="n">
        <x:v>211</x:v>
      </x:c>
      <x:c r="H215" s="53" t="b">
        <x:v>1</x:v>
      </x:c>
      <x:c r="I215" s="47" t="str">
        <x:v>3906736965</x:v>
      </x:c>
      <x:c r="J215" s="47" t="n">
        <x:v>63675824</x:v>
      </x:c>
      <x:c r="K215" s="53" t="b">
        <x:v>1</x:v>
      </x:c>
      <x:c r="L215" s="53" t="b">
        <x:v>1</x:v>
      </x:c>
      <x:c r="M215" s="53" t="b">
        <x:v>1</x:v>
      </x:c>
      <x:c r="N215" s="53" t="b">
        <x:v>1</x:v>
      </x:c>
      <x:c r="O215" s="53" t="b">
        <x:v>1</x:v>
      </x:c>
      <x:c r="P215" s="47" t="n">
        <x:v>1011</x:v>
      </x:c>
      <x:c r="Q215" s="47" t="n">
        <x:v>0</x:v>
      </x:c>
      <x:c r="R215" s="47" t="n">
        <x:v>0</x:v>
      </x:c>
      <x:c r="S215" s="47" t="n">
        <x:v>31.46</x:v>
      </x:c>
      <x:c r="T215" s="47" t="n">
        <x:v>67.95</x:v>
      </x:c>
      <x:c r="U215" s="47" t="n">
        <x:v>29.6</x:v>
      </x:c>
      <x:c r="V215" s="47" t="n">
        <x:v>13.7</x:v>
      </x:c>
      <x:c r="W215" s="47" t="n">
        <x:v>9</x:v>
      </x:c>
      <x:c r="X215" s="47" t="n">
        <x:v>41</x:v>
      </x:c>
      <x:c r="Y215" s="41" t="n">
        <x:v>32</x:v>
      </x:c>
    </x:row>
    <x:row r="216">
      <x:c r="A216" s="38" t="str">
        <x:v>7月30日现场数据</x:v>
      </x:c>
      <x:c r="B216" s="66" t="str">
        <x:v>2026-07-31T07:24:16.021000</x:v>
      </x:c>
      <x:c r="C216" s="47" t="n">
        <x:v>300985</x:v>
      </x:c>
      <x:c r="D216" s="47" t="str"/>
      <x:c r="E216" s="47" t="str"/>
      <x:c r="F216" s="47" t="str">
        <x:v>current</x:v>
      </x:c>
      <x:c r="G216" s="47" t="n">
        <x:v>212</x:v>
      </x:c>
      <x:c r="H216" s="53" t="b">
        <x:v>1</x:v>
      </x:c>
      <x:c r="I216" s="47" t="str">
        <x:v>3906736965</x:v>
      </x:c>
      <x:c r="J216" s="47" t="n">
        <x:v>63976809</x:v>
      </x:c>
      <x:c r="K216" s="53" t="b">
        <x:v>1</x:v>
      </x:c>
      <x:c r="L216" s="53" t="b">
        <x:v>1</x:v>
      </x:c>
      <x:c r="M216" s="53" t="b">
        <x:v>1</x:v>
      </x:c>
      <x:c r="N216" s="53" t="b">
        <x:v>1</x:v>
      </x:c>
      <x:c r="O216" s="53" t="b">
        <x:v>1</x:v>
      </x:c>
      <x:c r="P216" s="47" t="n">
        <x:v>1011</x:v>
      </x:c>
      <x:c r="Q216" s="47" t="n">
        <x:v>0</x:v>
      </x:c>
      <x:c r="R216" s="47" t="n">
        <x:v>0</x:v>
      </x:c>
      <x:c r="S216" s="47" t="n">
        <x:v>31.59</x:v>
      </x:c>
      <x:c r="T216" s="47" t="n">
        <x:v>68.05</x:v>
      </x:c>
      <x:c r="U216" s="47" t="n">
        <x:v>29.6</x:v>
      </x:c>
      <x:c r="V216" s="47" t="n">
        <x:v>13.6</x:v>
      </x:c>
      <x:c r="W216" s="47" t="n">
        <x:v>9</x:v>
      </x:c>
      <x:c r="X216" s="47" t="n">
        <x:v>45</x:v>
      </x:c>
      <x:c r="Y216" s="41" t="n">
        <x:v>36</x:v>
      </x:c>
    </x:row>
    <x:row r="217">
      <x:c r="A217" s="38" t="str">
        <x:v>7月30日现场数据</x:v>
      </x:c>
      <x:c r="B217" s="66" t="str">
        <x:v>2026-07-31T07:29:17.009000</x:v>
      </x:c>
      <x:c r="C217" s="47" t="n">
        <x:v>300988</x:v>
      </x:c>
      <x:c r="D217" s="47" t="str"/>
      <x:c r="E217" s="47" t="str"/>
      <x:c r="F217" s="47" t="str">
        <x:v>current</x:v>
      </x:c>
      <x:c r="G217" s="47" t="n">
        <x:v>213</x:v>
      </x:c>
      <x:c r="H217" s="53" t="b">
        <x:v>1</x:v>
      </x:c>
      <x:c r="I217" s="47" t="str">
        <x:v>3906736965</x:v>
      </x:c>
      <x:c r="J217" s="47" t="n">
        <x:v>64277797</x:v>
      </x:c>
      <x:c r="K217" s="53" t="b">
        <x:v>1</x:v>
      </x:c>
      <x:c r="L217" s="53" t="b">
        <x:v>1</x:v>
      </x:c>
      <x:c r="M217" s="53" t="b">
        <x:v>1</x:v>
      </x:c>
      <x:c r="N217" s="53" t="b">
        <x:v>1</x:v>
      </x:c>
      <x:c r="O217" s="53" t="b">
        <x:v>1</x:v>
      </x:c>
      <x:c r="P217" s="47" t="n">
        <x:v>1011</x:v>
      </x:c>
      <x:c r="Q217" s="47" t="n">
        <x:v>0</x:v>
      </x:c>
      <x:c r="R217" s="47" t="n">
        <x:v>0</x:v>
      </x:c>
      <x:c r="S217" s="47" t="n">
        <x:v>31.81</x:v>
      </x:c>
      <x:c r="T217" s="47" t="n">
        <x:v>68.16</x:v>
      </x:c>
      <x:c r="U217" s="47" t="n">
        <x:v>29.6</x:v>
      </x:c>
      <x:c r="V217" s="47" t="n">
        <x:v>13.7</x:v>
      </x:c>
      <x:c r="W217" s="47" t="n">
        <x:v>11</x:v>
      </x:c>
      <x:c r="X217" s="47" t="n">
        <x:v>49</x:v>
      </x:c>
      <x:c r="Y217" s="41" t="n">
        <x:v>38</x:v>
      </x:c>
    </x:row>
    <x:row r="218">
      <x:c r="A218" s="38" t="str">
        <x:v>7月30日现场数据</x:v>
      </x:c>
      <x:c r="B218" s="66" t="str">
        <x:v>2026-07-31T07:34:18.031000</x:v>
      </x:c>
      <x:c r="C218" s="47" t="n">
        <x:v>301022</x:v>
      </x:c>
      <x:c r="D218" s="47" t="str"/>
      <x:c r="E218" s="47" t="str"/>
      <x:c r="F218" s="47" t="str">
        <x:v>current</x:v>
      </x:c>
      <x:c r="G218" s="47" t="n">
        <x:v>214</x:v>
      </x:c>
      <x:c r="H218" s="53" t="b">
        <x:v>1</x:v>
      </x:c>
      <x:c r="I218" s="47" t="str">
        <x:v>3906736965</x:v>
      </x:c>
      <x:c r="J218" s="47" t="n">
        <x:v>64578819</x:v>
      </x:c>
      <x:c r="K218" s="53" t="b">
        <x:v>1</x:v>
      </x:c>
      <x:c r="L218" s="53" t="b">
        <x:v>1</x:v>
      </x:c>
      <x:c r="M218" s="53" t="b">
        <x:v>1</x:v>
      </x:c>
      <x:c r="N218" s="53" t="b">
        <x:v>1</x:v>
      </x:c>
      <x:c r="O218" s="53" t="b">
        <x:v>1</x:v>
      </x:c>
      <x:c r="P218" s="47" t="n">
        <x:v>1011</x:v>
      </x:c>
      <x:c r="Q218" s="47" t="n">
        <x:v>0</x:v>
      </x:c>
      <x:c r="R218" s="47" t="n">
        <x:v>0</x:v>
      </x:c>
      <x:c r="S218" s="47" t="n">
        <x:v>31.8</x:v>
      </x:c>
      <x:c r="T218" s="47" t="n">
        <x:v>68.25</x:v>
      </x:c>
      <x:c r="U218" s="47" t="n">
        <x:v>29.6</x:v>
      </x:c>
      <x:c r="V218" s="47" t="n">
        <x:v>13.6</x:v>
      </x:c>
      <x:c r="W218" s="47" t="n">
        <x:v>11</x:v>
      </x:c>
      <x:c r="X218" s="47" t="n">
        <x:v>50</x:v>
      </x:c>
      <x:c r="Y218" s="41" t="n">
        <x:v>39</x:v>
      </x:c>
    </x:row>
    <x:row r="219">
      <x:c r="A219" s="38" t="str">
        <x:v>7月30日现场数据</x:v>
      </x:c>
      <x:c r="B219" s="66" t="str">
        <x:v>2026-07-31T07:39:18.998000</x:v>
      </x:c>
      <x:c r="C219" s="47" t="n">
        <x:v>300967</x:v>
      </x:c>
      <x:c r="D219" s="47" t="str"/>
      <x:c r="E219" s="47" t="str"/>
      <x:c r="F219" s="47" t="str">
        <x:v>current</x:v>
      </x:c>
      <x:c r="G219" s="47" t="n">
        <x:v>215</x:v>
      </x:c>
      <x:c r="H219" s="53" t="b">
        <x:v>1</x:v>
      </x:c>
      <x:c r="I219" s="47" t="str">
        <x:v>3906736965</x:v>
      </x:c>
      <x:c r="J219" s="47" t="n">
        <x:v>64879786</x:v>
      </x:c>
      <x:c r="K219" s="53" t="b">
        <x:v>1</x:v>
      </x:c>
      <x:c r="L219" s="53" t="b">
        <x:v>1</x:v>
      </x:c>
      <x:c r="M219" s="53" t="b">
        <x:v>1</x:v>
      </x:c>
      <x:c r="N219" s="53" t="b">
        <x:v>1</x:v>
      </x:c>
      <x:c r="O219" s="53" t="b">
        <x:v>1</x:v>
      </x:c>
      <x:c r="P219" s="47" t="n">
        <x:v>1011</x:v>
      </x:c>
      <x:c r="Q219" s="47" t="n">
        <x:v>0</x:v>
      </x:c>
      <x:c r="R219" s="47" t="n">
        <x:v>0</x:v>
      </x:c>
      <x:c r="S219" s="47" t="n">
        <x:v>31.96</x:v>
      </x:c>
      <x:c r="T219" s="47" t="n">
        <x:v>68.29</x:v>
      </x:c>
      <x:c r="U219" s="47" t="n">
        <x:v>29.6</x:v>
      </x:c>
      <x:c r="V219" s="47" t="n">
        <x:v>13.6</x:v>
      </x:c>
      <x:c r="W219" s="47" t="n">
        <x:v>11</x:v>
      </x:c>
      <x:c r="X219" s="47" t="n">
        <x:v>52</x:v>
      </x:c>
      <x:c r="Y219" s="41" t="n">
        <x:v>41</x:v>
      </x:c>
    </x:row>
    <x:row r="220">
      <x:c r="A220" s="38" t="str">
        <x:v>7月30日现场数据</x:v>
      </x:c>
      <x:c r="B220" s="66" t="str">
        <x:v>2026-07-31T07:44:19.966000</x:v>
      </x:c>
      <x:c r="C220" s="47" t="n">
        <x:v>300968</x:v>
      </x:c>
      <x:c r="D220" s="47" t="str"/>
      <x:c r="E220" s="47" t="str"/>
      <x:c r="F220" s="47" t="str">
        <x:v>current</x:v>
      </x:c>
      <x:c r="G220" s="47" t="n">
        <x:v>216</x:v>
      </x:c>
      <x:c r="H220" s="53" t="b">
        <x:v>1</x:v>
      </x:c>
      <x:c r="I220" s="47" t="str">
        <x:v>3906736965</x:v>
      </x:c>
      <x:c r="J220" s="47" t="n">
        <x:v>65180754</x:v>
      </x:c>
      <x:c r="K220" s="53" t="b">
        <x:v>1</x:v>
      </x:c>
      <x:c r="L220" s="53" t="b">
        <x:v>1</x:v>
      </x:c>
      <x:c r="M220" s="53" t="b">
        <x:v>1</x:v>
      </x:c>
      <x:c r="N220" s="53" t="b">
        <x:v>1</x:v>
      </x:c>
      <x:c r="O220" s="53" t="b">
        <x:v>1</x:v>
      </x:c>
      <x:c r="P220" s="47" t="n">
        <x:v>1011</x:v>
      </x:c>
      <x:c r="Q220" s="47" t="n">
        <x:v>0</x:v>
      </x:c>
      <x:c r="R220" s="47" t="n">
        <x:v>0</x:v>
      </x:c>
      <x:c r="S220" s="47" t="n">
        <x:v>32.06</x:v>
      </x:c>
      <x:c r="T220" s="47" t="n">
        <x:v>68.38</x:v>
      </x:c>
      <x:c r="U220" s="47" t="n">
        <x:v>29.6</x:v>
      </x:c>
      <x:c r="V220" s="47" t="n">
        <x:v>13.6</x:v>
      </x:c>
      <x:c r="W220" s="47" t="n">
        <x:v>12</x:v>
      </x:c>
      <x:c r="X220" s="47" t="n">
        <x:v>56</x:v>
      </x:c>
      <x:c r="Y220" s="41" t="n">
        <x:v>44</x:v>
      </x:c>
    </x:row>
    <x:row r="221">
      <x:c r="A221" s="38" t="str">
        <x:v>7月30日现场数据</x:v>
      </x:c>
      <x:c r="B221" s="66" t="str">
        <x:v>2026-07-31T07:49:20.931000</x:v>
      </x:c>
      <x:c r="C221" s="47" t="n">
        <x:v>300965</x:v>
      </x:c>
      <x:c r="D221" s="47" t="str"/>
      <x:c r="E221" s="47" t="str"/>
      <x:c r="F221" s="47" t="str">
        <x:v>current</x:v>
      </x:c>
      <x:c r="G221" s="47" t="n">
        <x:v>217</x:v>
      </x:c>
      <x:c r="H221" s="53" t="b">
        <x:v>1</x:v>
      </x:c>
      <x:c r="I221" s="47" t="str">
        <x:v>3906736965</x:v>
      </x:c>
      <x:c r="J221" s="47" t="n">
        <x:v>65481719</x:v>
      </x:c>
      <x:c r="K221" s="53" t="b">
        <x:v>1</x:v>
      </x:c>
      <x:c r="L221" s="53" t="b">
        <x:v>1</x:v>
      </x:c>
      <x:c r="M221" s="53" t="b">
        <x:v>1</x:v>
      </x:c>
      <x:c r="N221" s="53" t="b">
        <x:v>1</x:v>
      </x:c>
      <x:c r="O221" s="53" t="b">
        <x:v>1</x:v>
      </x:c>
      <x:c r="P221" s="47" t="n">
        <x:v>1011</x:v>
      </x:c>
      <x:c r="Q221" s="47" t="n">
        <x:v>0</x:v>
      </x:c>
      <x:c r="R221" s="47" t="n">
        <x:v>0</x:v>
      </x:c>
      <x:c r="S221" s="47" t="n">
        <x:v>32.18</x:v>
      </x:c>
      <x:c r="T221" s="47" t="n">
        <x:v>68.46</x:v>
      </x:c>
      <x:c r="U221" s="47" t="n">
        <x:v>29.7</x:v>
      </x:c>
      <x:c r="V221" s="47" t="n">
        <x:v>13.6</x:v>
      </x:c>
      <x:c r="W221" s="47" t="n">
        <x:v>13</x:v>
      </x:c>
      <x:c r="X221" s="47" t="n">
        <x:v>60</x:v>
      </x:c>
      <x:c r="Y221" s="41" t="n">
        <x:v>47</x:v>
      </x:c>
    </x:row>
    <x:row r="222">
      <x:c r="A222" s="38" t="str">
        <x:v>7月30日现场数据</x:v>
      </x:c>
      <x:c r="B222" s="66" t="str">
        <x:v>2026-07-31T07:54:21.901000</x:v>
      </x:c>
      <x:c r="C222" s="47" t="n">
        <x:v>300970</x:v>
      </x:c>
      <x:c r="D222" s="47" t="str"/>
      <x:c r="E222" s="47" t="str"/>
      <x:c r="F222" s="47" t="str">
        <x:v>current</x:v>
      </x:c>
      <x:c r="G222" s="47" t="n">
        <x:v>218</x:v>
      </x:c>
      <x:c r="H222" s="53" t="b">
        <x:v>1</x:v>
      </x:c>
      <x:c r="I222" s="47" t="str">
        <x:v>3906736965</x:v>
      </x:c>
      <x:c r="J222" s="47" t="n">
        <x:v>65782689</x:v>
      </x:c>
      <x:c r="K222" s="53" t="b">
        <x:v>1</x:v>
      </x:c>
      <x:c r="L222" s="53" t="b">
        <x:v>1</x:v>
      </x:c>
      <x:c r="M222" s="53" t="b">
        <x:v>1</x:v>
      </x:c>
      <x:c r="N222" s="53" t="b">
        <x:v>1</x:v>
      </x:c>
      <x:c r="O222" s="53" t="b">
        <x:v>1</x:v>
      </x:c>
      <x:c r="P222" s="47" t="n">
        <x:v>1011</x:v>
      </x:c>
      <x:c r="Q222" s="47" t="n">
        <x:v>0</x:v>
      </x:c>
      <x:c r="R222" s="47" t="n">
        <x:v>0</x:v>
      </x:c>
      <x:c r="S222" s="47" t="n">
        <x:v>32.41</x:v>
      </x:c>
      <x:c r="T222" s="47" t="n">
        <x:v>68.56</x:v>
      </x:c>
      <x:c r="U222" s="47" t="n">
        <x:v>29.7</x:v>
      </x:c>
      <x:c r="V222" s="47" t="n">
        <x:v>13.6</x:v>
      </x:c>
      <x:c r="W222" s="47" t="n">
        <x:v>14</x:v>
      </x:c>
      <x:c r="X222" s="47" t="n">
        <x:v>65</x:v>
      </x:c>
      <x:c r="Y222" s="41" t="n">
        <x:v>51</x:v>
      </x:c>
    </x:row>
    <x:row r="223">
      <x:c r="A223" s="38" t="str">
        <x:v>7月30日现场数据</x:v>
      </x:c>
      <x:c r="B223" s="66" t="str">
        <x:v>2026-07-31T07:59:22.875000</x:v>
      </x:c>
      <x:c r="C223" s="47" t="n">
        <x:v>300974</x:v>
      </x:c>
      <x:c r="D223" s="47" t="str"/>
      <x:c r="E223" s="47" t="str"/>
      <x:c r="F223" s="47" t="str">
        <x:v>current</x:v>
      </x:c>
      <x:c r="G223" s="47" t="n">
        <x:v>219</x:v>
      </x:c>
      <x:c r="H223" s="53" t="b">
        <x:v>1</x:v>
      </x:c>
      <x:c r="I223" s="47" t="str">
        <x:v>3906736965</x:v>
      </x:c>
      <x:c r="J223" s="47" t="n">
        <x:v>66083663</x:v>
      </x:c>
      <x:c r="K223" s="53" t="b">
        <x:v>1</x:v>
      </x:c>
      <x:c r="L223" s="53" t="b">
        <x:v>1</x:v>
      </x:c>
      <x:c r="M223" s="53" t="b">
        <x:v>1</x:v>
      </x:c>
      <x:c r="N223" s="53" t="b">
        <x:v>1</x:v>
      </x:c>
      <x:c r="O223" s="53" t="b">
        <x:v>1</x:v>
      </x:c>
      <x:c r="P223" s="47" t="n">
        <x:v>1011</x:v>
      </x:c>
      <x:c r="Q223" s="47" t="n">
        <x:v>0</x:v>
      </x:c>
      <x:c r="R223" s="47" t="n">
        <x:v>0</x:v>
      </x:c>
      <x:c r="S223" s="47" t="n">
        <x:v>32.49</x:v>
      </x:c>
      <x:c r="T223" s="47" t="n">
        <x:v>68.56</x:v>
      </x:c>
      <x:c r="U223" s="47" t="n">
        <x:v>29.8</x:v>
      </x:c>
      <x:c r="V223" s="47" t="n">
        <x:v>13.6</x:v>
      </x:c>
      <x:c r="W223" s="47" t="n">
        <x:v>15</x:v>
      </x:c>
      <x:c r="X223" s="47" t="n">
        <x:v>67</x:v>
      </x:c>
      <x:c r="Y223" s="41" t="n">
        <x:v>52</x:v>
      </x:c>
    </x:row>
    <x:row r="224">
      <x:c r="A224" s="38" t="str">
        <x:v>7月30日现场数据</x:v>
      </x:c>
      <x:c r="B224" s="66" t="str">
        <x:v>2026-07-31T08:04:23.849000</x:v>
      </x:c>
      <x:c r="C224" s="47" t="n">
        <x:v>300974</x:v>
      </x:c>
      <x:c r="D224" s="47" t="str"/>
      <x:c r="E224" s="47" t="str"/>
      <x:c r="F224" s="47" t="str">
        <x:v>current</x:v>
      </x:c>
      <x:c r="G224" s="47" t="n">
        <x:v>220</x:v>
      </x:c>
      <x:c r="H224" s="53" t="b">
        <x:v>1</x:v>
      </x:c>
      <x:c r="I224" s="47" t="str">
        <x:v>3906736965</x:v>
      </x:c>
      <x:c r="J224" s="47" t="n">
        <x:v>66384637</x:v>
      </x:c>
      <x:c r="K224" s="53" t="b">
        <x:v>1</x:v>
      </x:c>
      <x:c r="L224" s="53" t="b">
        <x:v>1</x:v>
      </x:c>
      <x:c r="M224" s="53" t="b">
        <x:v>1</x:v>
      </x:c>
      <x:c r="N224" s="53" t="b">
        <x:v>1</x:v>
      </x:c>
      <x:c r="O224" s="53" t="b">
        <x:v>1</x:v>
      </x:c>
      <x:c r="P224" s="47" t="n">
        <x:v>1011</x:v>
      </x:c>
      <x:c r="Q224" s="47" t="n">
        <x:v>0.009</x:v>
      </x:c>
      <x:c r="R224" s="47" t="n">
        <x:v>0.231</x:v>
      </x:c>
      <x:c r="S224" s="47" t="n">
        <x:v>32.66</x:v>
      </x:c>
      <x:c r="T224" s="47" t="n">
        <x:v>68.68</x:v>
      </x:c>
      <x:c r="U224" s="47" t="n">
        <x:v>29.8</x:v>
      </x:c>
      <x:c r="V224" s="47" t="n">
        <x:v>13.6</x:v>
      </x:c>
      <x:c r="W224" s="47" t="n">
        <x:v>16</x:v>
      </x:c>
      <x:c r="X224" s="47" t="n">
        <x:v>72</x:v>
      </x:c>
      <x:c r="Y224" s="41" t="n">
        <x:v>56</x:v>
      </x:c>
    </x:row>
    <x:row r="225">
      <x:c r="A225" s="38" t="str">
        <x:v>7月30日现场数据</x:v>
      </x:c>
      <x:c r="B225" s="66" t="str">
        <x:v>2026-07-31T08:09:24.823000</x:v>
      </x:c>
      <x:c r="C225" s="47" t="n">
        <x:v>300974</x:v>
      </x:c>
      <x:c r="D225" s="47" t="str"/>
      <x:c r="E225" s="47" t="str"/>
      <x:c r="F225" s="47" t="str">
        <x:v>current</x:v>
      </x:c>
      <x:c r="G225" s="47" t="n">
        <x:v>221</x:v>
      </x:c>
      <x:c r="H225" s="53" t="b">
        <x:v>1</x:v>
      </x:c>
      <x:c r="I225" s="47" t="str">
        <x:v>3906736965</x:v>
      </x:c>
      <x:c r="J225" s="47" t="n">
        <x:v>66685611</x:v>
      </x:c>
      <x:c r="K225" s="53" t="b">
        <x:v>1</x:v>
      </x:c>
      <x:c r="L225" s="53" t="b">
        <x:v>1</x:v>
      </x:c>
      <x:c r="M225" s="53" t="b">
        <x:v>1</x:v>
      </x:c>
      <x:c r="N225" s="53" t="b">
        <x:v>1</x:v>
      </x:c>
      <x:c r="O225" s="53" t="b">
        <x:v>1</x:v>
      </x:c>
      <x:c r="P225" s="47" t="n">
        <x:v>1011</x:v>
      </x:c>
      <x:c r="Q225" s="47" t="n">
        <x:v>0</x:v>
      </x:c>
      <x:c r="R225" s="47" t="n">
        <x:v>0</x:v>
      </x:c>
      <x:c r="S225" s="47" t="n">
        <x:v>32.81</x:v>
      </x:c>
      <x:c r="T225" s="47" t="n">
        <x:v>68.76</x:v>
      </x:c>
      <x:c r="U225" s="47" t="n">
        <x:v>29.8</x:v>
      </x:c>
      <x:c r="V225" s="47" t="n">
        <x:v>13.6</x:v>
      </x:c>
      <x:c r="W225" s="47" t="n">
        <x:v>18</x:v>
      </x:c>
      <x:c r="X225" s="47" t="n">
        <x:v>80</x:v>
      </x:c>
      <x:c r="Y225" s="41" t="n">
        <x:v>62</x:v>
      </x:c>
    </x:row>
    <x:row r="226">
      <x:c r="A226" s="38" t="str">
        <x:v>7月30日现场数据</x:v>
      </x:c>
      <x:c r="B226" s="66" t="str">
        <x:v>2026-07-31T08:14:25.799000</x:v>
      </x:c>
      <x:c r="C226" s="47" t="n">
        <x:v>300976</x:v>
      </x:c>
      <x:c r="D226" s="47" t="str"/>
      <x:c r="E226" s="47" t="str"/>
      <x:c r="F226" s="47" t="str">
        <x:v>current</x:v>
      </x:c>
      <x:c r="G226" s="47" t="n">
        <x:v>222</x:v>
      </x:c>
      <x:c r="H226" s="53" t="b">
        <x:v>1</x:v>
      </x:c>
      <x:c r="I226" s="47" t="str">
        <x:v>3906736965</x:v>
      </x:c>
      <x:c r="J226" s="47" t="n">
        <x:v>66986587</x:v>
      </x:c>
      <x:c r="K226" s="53" t="b">
        <x:v>1</x:v>
      </x:c>
      <x:c r="L226" s="53" t="b">
        <x:v>1</x:v>
      </x:c>
      <x:c r="M226" s="53" t="b">
        <x:v>1</x:v>
      </x:c>
      <x:c r="N226" s="53" t="b">
        <x:v>1</x:v>
      </x:c>
      <x:c r="O226" s="53" t="b">
        <x:v>1</x:v>
      </x:c>
      <x:c r="P226" s="47" t="n">
        <x:v>1011</x:v>
      </x:c>
      <x:c r="Q226" s="47" t="n">
        <x:v>0</x:v>
      </x:c>
      <x:c r="R226" s="47" t="n">
        <x:v>0</x:v>
      </x:c>
      <x:c r="S226" s="47" t="n">
        <x:v>33.19</x:v>
      </x:c>
      <x:c r="T226" s="47" t="n">
        <x:v>68.83</x:v>
      </x:c>
      <x:c r="U226" s="47" t="n">
        <x:v>29.8</x:v>
      </x:c>
      <x:c r="V226" s="47" t="n">
        <x:v>13.6</x:v>
      </x:c>
      <x:c r="W226" s="47" t="n">
        <x:v>20</x:v>
      </x:c>
      <x:c r="X226" s="47" t="n">
        <x:v>90</x:v>
      </x:c>
      <x:c r="Y226" s="41" t="n">
        <x:v>70</x:v>
      </x:c>
    </x:row>
    <x:row r="227">
      <x:c r="A227" s="38" t="str">
        <x:v>7月30日现场数据</x:v>
      </x:c>
      <x:c r="B227" s="66" t="str">
        <x:v>2026-07-31T08:19:26.777000</x:v>
      </x:c>
      <x:c r="C227" s="47" t="n">
        <x:v>300978</x:v>
      </x:c>
      <x:c r="D227" s="47" t="str"/>
      <x:c r="E227" s="47" t="str"/>
      <x:c r="F227" s="47" t="str">
        <x:v>current</x:v>
      </x:c>
      <x:c r="G227" s="47" t="n">
        <x:v>223</x:v>
      </x:c>
      <x:c r="H227" s="53" t="b">
        <x:v>1</x:v>
      </x:c>
      <x:c r="I227" s="47" t="str">
        <x:v>3906736965</x:v>
      </x:c>
      <x:c r="J227" s="47" t="n">
        <x:v>67287565</x:v>
      </x:c>
      <x:c r="K227" s="53" t="b">
        <x:v>1</x:v>
      </x:c>
      <x:c r="L227" s="53" t="b">
        <x:v>1</x:v>
      </x:c>
      <x:c r="M227" s="53" t="b">
        <x:v>1</x:v>
      </x:c>
      <x:c r="N227" s="53" t="b">
        <x:v>1</x:v>
      </x:c>
      <x:c r="O227" s="53" t="b">
        <x:v>1</x:v>
      </x:c>
      <x:c r="P227" s="47" t="n">
        <x:v>1011</x:v>
      </x:c>
      <x:c r="Q227" s="47" t="n">
        <x:v>0</x:v>
      </x:c>
      <x:c r="R227" s="47" t="n">
        <x:v>0</x:v>
      </x:c>
      <x:c r="S227" s="47" t="n">
        <x:v>33.3</x:v>
      </x:c>
      <x:c r="T227" s="47" t="n">
        <x:v>68.87</x:v>
      </x:c>
      <x:c r="U227" s="47" t="n">
        <x:v>29.9</x:v>
      </x:c>
      <x:c r="V227" s="47" t="n">
        <x:v>13.6</x:v>
      </x:c>
      <x:c r="W227" s="47" t="n">
        <x:v>21</x:v>
      </x:c>
      <x:c r="X227" s="47" t="n">
        <x:v>95</x:v>
      </x:c>
      <x:c r="Y227" s="41" t="n">
        <x:v>74</x:v>
      </x:c>
    </x:row>
    <x:row r="228">
      <x:c r="A228" s="38" t="str">
        <x:v>7月30日现场数据</x:v>
      </x:c>
      <x:c r="B228" s="66" t="str">
        <x:v>2026-07-31T08:24:27.759000</x:v>
      </x:c>
      <x:c r="C228" s="47" t="n">
        <x:v>300982</x:v>
      </x:c>
      <x:c r="D228" s="47" t="str"/>
      <x:c r="E228" s="47" t="str"/>
      <x:c r="F228" s="47" t="str">
        <x:v>current</x:v>
      </x:c>
      <x:c r="G228" s="47" t="n">
        <x:v>224</x:v>
      </x:c>
      <x:c r="H228" s="53" t="b">
        <x:v>1</x:v>
      </x:c>
      <x:c r="I228" s="47" t="str">
        <x:v>3906736965</x:v>
      </x:c>
      <x:c r="J228" s="47" t="n">
        <x:v>67588547</x:v>
      </x:c>
      <x:c r="K228" s="53" t="b">
        <x:v>1</x:v>
      </x:c>
      <x:c r="L228" s="53" t="b">
        <x:v>1</x:v>
      </x:c>
      <x:c r="M228" s="53" t="b">
        <x:v>1</x:v>
      </x:c>
      <x:c r="N228" s="53" t="b">
        <x:v>1</x:v>
      </x:c>
      <x:c r="O228" s="53" t="b">
        <x:v>1</x:v>
      </x:c>
      <x:c r="P228" s="47" t="n">
        <x:v>1011</x:v>
      </x:c>
      <x:c r="Q228" s="47" t="n">
        <x:v>0</x:v>
      </x:c>
      <x:c r="R228" s="47" t="n">
        <x:v>0</x:v>
      </x:c>
      <x:c r="S228" s="47" t="n">
        <x:v>33.33</x:v>
      </x:c>
      <x:c r="T228" s="47" t="n">
        <x:v>68.94</x:v>
      </x:c>
      <x:c r="U228" s="47" t="n">
        <x:v>29.9</x:v>
      </x:c>
      <x:c r="V228" s="47" t="n">
        <x:v>13.6</x:v>
      </x:c>
      <x:c r="W228" s="47" t="n">
        <x:v>23</x:v>
      </x:c>
      <x:c r="X228" s="47" t="n">
        <x:v>103</x:v>
      </x:c>
      <x:c r="Y228" s="41" t="n">
        <x:v>80</x:v>
      </x:c>
    </x:row>
    <x:row r="229">
      <x:c r="A229" s="38" t="str">
        <x:v>7月30日现场数据</x:v>
      </x:c>
      <x:c r="B229" s="66" t="str">
        <x:v>2026-07-31T08:29:28.741000</x:v>
      </x:c>
      <x:c r="C229" s="47" t="n">
        <x:v>300982</x:v>
      </x:c>
      <x:c r="D229" s="47" t="str"/>
      <x:c r="E229" s="47" t="str"/>
      <x:c r="F229" s="47" t="str">
        <x:v>current</x:v>
      </x:c>
      <x:c r="G229" s="47" t="n">
        <x:v>225</x:v>
      </x:c>
      <x:c r="H229" s="53" t="b">
        <x:v>1</x:v>
      </x:c>
      <x:c r="I229" s="47" t="str">
        <x:v>3906736965</x:v>
      </x:c>
      <x:c r="J229" s="47" t="n">
        <x:v>67889529</x:v>
      </x:c>
      <x:c r="K229" s="53" t="b">
        <x:v>1</x:v>
      </x:c>
      <x:c r="L229" s="53" t="b">
        <x:v>1</x:v>
      </x:c>
      <x:c r="M229" s="53" t="b">
        <x:v>1</x:v>
      </x:c>
      <x:c r="N229" s="53" t="b">
        <x:v>1</x:v>
      </x:c>
      <x:c r="O229" s="53" t="b">
        <x:v>1</x:v>
      </x:c>
      <x:c r="P229" s="47" t="n">
        <x:v>1011</x:v>
      </x:c>
      <x:c r="Q229" s="47" t="n">
        <x:v>0</x:v>
      </x:c>
      <x:c r="R229" s="47" t="n">
        <x:v>0</x:v>
      </x:c>
      <x:c r="S229" s="47" t="n">
        <x:v>33.54</x:v>
      </x:c>
      <x:c r="T229" s="47" t="n">
        <x:v>68.91</x:v>
      </x:c>
      <x:c r="U229" s="47" t="n">
        <x:v>29.9</x:v>
      </x:c>
      <x:c r="V229" s="47" t="n">
        <x:v>13.6</x:v>
      </x:c>
      <x:c r="W229" s="47" t="n">
        <x:v>26</x:v>
      </x:c>
      <x:c r="X229" s="47" t="n">
        <x:v>116</x:v>
      </x:c>
      <x:c r="Y229" s="41" t="n">
        <x:v>90</x:v>
      </x:c>
    </x:row>
    <x:row r="230">
      <x:c r="A230" s="38" t="str">
        <x:v>7月30日现场数据</x:v>
      </x:c>
      <x:c r="B230" s="66" t="str">
        <x:v>2026-07-31T08:34:29.725000</x:v>
      </x:c>
      <x:c r="C230" s="47" t="n">
        <x:v>300984</x:v>
      </x:c>
      <x:c r="D230" s="47" t="str"/>
      <x:c r="E230" s="47" t="str"/>
      <x:c r="F230" s="47" t="str">
        <x:v>current</x:v>
      </x:c>
      <x:c r="G230" s="47" t="n">
        <x:v>226</x:v>
      </x:c>
      <x:c r="H230" s="53" t="b">
        <x:v>1</x:v>
      </x:c>
      <x:c r="I230" s="47" t="str">
        <x:v>3906736965</x:v>
      </x:c>
      <x:c r="J230" s="47" t="n">
        <x:v>68190513</x:v>
      </x:c>
      <x:c r="K230" s="53" t="b">
        <x:v>1</x:v>
      </x:c>
      <x:c r="L230" s="53" t="b">
        <x:v>1</x:v>
      </x:c>
      <x:c r="M230" s="53" t="b">
        <x:v>1</x:v>
      </x:c>
      <x:c r="N230" s="53" t="b">
        <x:v>1</x:v>
      </x:c>
      <x:c r="O230" s="53" t="b">
        <x:v>1</x:v>
      </x:c>
      <x:c r="P230" s="47" t="n">
        <x:v>1011</x:v>
      </x:c>
      <x:c r="Q230" s="47" t="n">
        <x:v>0</x:v>
      </x:c>
      <x:c r="R230" s="47" t="n">
        <x:v>0</x:v>
      </x:c>
      <x:c r="S230" s="47" t="n">
        <x:v>33.63</x:v>
      </x:c>
      <x:c r="T230" s="47" t="n">
        <x:v>69.02</x:v>
      </x:c>
      <x:c r="U230" s="47" t="n">
        <x:v>29.9</x:v>
      </x:c>
      <x:c r="V230" s="47" t="n">
        <x:v>13.6</x:v>
      </x:c>
      <x:c r="W230" s="47" t="n">
        <x:v>30</x:v>
      </x:c>
      <x:c r="X230" s="47" t="n">
        <x:v>128</x:v>
      </x:c>
      <x:c r="Y230" s="41" t="n">
        <x:v>98</x:v>
      </x:c>
    </x:row>
    <x:row r="231">
      <x:c r="A231" s="38" t="str">
        <x:v>7月30日现场数据</x:v>
      </x:c>
      <x:c r="B231" s="66" t="str">
        <x:v>2026-07-31T08:39:30.712000</x:v>
      </x:c>
      <x:c r="C231" s="47" t="n">
        <x:v>300987</x:v>
      </x:c>
      <x:c r="D231" s="47" t="str"/>
      <x:c r="E231" s="47" t="str"/>
      <x:c r="F231" s="47" t="str">
        <x:v>current</x:v>
      </x:c>
      <x:c r="G231" s="47" t="n">
        <x:v>227</x:v>
      </x:c>
      <x:c r="H231" s="53" t="b">
        <x:v>1</x:v>
      </x:c>
      <x:c r="I231" s="47" t="str">
        <x:v>3906736965</x:v>
      </x:c>
      <x:c r="J231" s="47" t="n">
        <x:v>68491500</x:v>
      </x:c>
      <x:c r="K231" s="53" t="b">
        <x:v>1</x:v>
      </x:c>
      <x:c r="L231" s="53" t="b">
        <x:v>1</x:v>
      </x:c>
      <x:c r="M231" s="53" t="b">
        <x:v>1</x:v>
      </x:c>
      <x:c r="N231" s="53" t="b">
        <x:v>1</x:v>
      </x:c>
      <x:c r="O231" s="53" t="b">
        <x:v>1</x:v>
      </x:c>
      <x:c r="P231" s="47" t="n">
        <x:v>1011</x:v>
      </x:c>
      <x:c r="Q231" s="47" t="n">
        <x:v>0</x:v>
      </x:c>
      <x:c r="R231" s="47" t="n">
        <x:v>0</x:v>
      </x:c>
      <x:c r="S231" s="47" t="n">
        <x:v>34.02</x:v>
      </x:c>
      <x:c r="T231" s="47" t="n">
        <x:v>69.02</x:v>
      </x:c>
      <x:c r="U231" s="47" t="n">
        <x:v>29.9</x:v>
      </x:c>
      <x:c r="V231" s="47" t="n">
        <x:v>13.6</x:v>
      </x:c>
      <x:c r="W231" s="47" t="n">
        <x:v>39</x:v>
      </x:c>
      <x:c r="X231" s="47" t="n">
        <x:v>135</x:v>
      </x:c>
      <x:c r="Y231" s="41" t="n">
        <x:v>96</x:v>
      </x:c>
    </x:row>
    <x:row r="232">
      <x:c r="A232" s="38" t="str">
        <x:v>7月30日现场数据</x:v>
      </x:c>
      <x:c r="B232" s="66" t="str">
        <x:v>2026-07-31T08:44:31.700000</x:v>
      </x:c>
      <x:c r="C232" s="47" t="n">
        <x:v>300988</x:v>
      </x:c>
      <x:c r="D232" s="47" t="str"/>
      <x:c r="E232" s="47" t="str"/>
      <x:c r="F232" s="47" t="str">
        <x:v>current</x:v>
      </x:c>
      <x:c r="G232" s="47" t="n">
        <x:v>228</x:v>
      </x:c>
      <x:c r="H232" s="53" t="b">
        <x:v>1</x:v>
      </x:c>
      <x:c r="I232" s="47" t="str">
        <x:v>3906736965</x:v>
      </x:c>
      <x:c r="J232" s="47" t="n">
        <x:v>68792488</x:v>
      </x:c>
      <x:c r="K232" s="53" t="b">
        <x:v>1</x:v>
      </x:c>
      <x:c r="L232" s="53" t="b">
        <x:v>1</x:v>
      </x:c>
      <x:c r="M232" s="53" t="b">
        <x:v>1</x:v>
      </x:c>
      <x:c r="N232" s="53" t="b">
        <x:v>1</x:v>
      </x:c>
      <x:c r="O232" s="53" t="b">
        <x:v>1</x:v>
      </x:c>
      <x:c r="P232" s="47" t="n">
        <x:v>1011</x:v>
      </x:c>
      <x:c r="Q232" s="47" t="n">
        <x:v>0</x:v>
      </x:c>
      <x:c r="R232" s="47" t="n">
        <x:v>0</x:v>
      </x:c>
      <x:c r="S232" s="47" t="n">
        <x:v>34.28</x:v>
      </x:c>
      <x:c r="T232" s="47" t="n">
        <x:v>69.06</x:v>
      </x:c>
      <x:c r="U232" s="47" t="n">
        <x:v>30</x:v>
      </x:c>
      <x:c r="V232" s="47" t="n">
        <x:v>13.6</x:v>
      </x:c>
      <x:c r="W232" s="47" t="n">
        <x:v>79</x:v>
      </x:c>
      <x:c r="X232" s="47" t="n">
        <x:v>713</x:v>
      </x:c>
      <x:c r="Y232" s="41" t="n">
        <x:v>634</x:v>
      </x:c>
    </x:row>
    <x:row r="233">
      <x:c r="A233" s="38" t="str">
        <x:v>7月30日现场数据</x:v>
      </x:c>
      <x:c r="B233" s="66" t="str">
        <x:v>2026-07-31T08:49:32.686000</x:v>
      </x:c>
      <x:c r="C233" s="47" t="n">
        <x:v>300986</x:v>
      </x:c>
      <x:c r="D233" s="47" t="str"/>
      <x:c r="E233" s="47" t="str"/>
      <x:c r="F233" s="47" t="str">
        <x:v>current</x:v>
      </x:c>
      <x:c r="G233" s="47" t="n">
        <x:v>229</x:v>
      </x:c>
      <x:c r="H233" s="53" t="b">
        <x:v>1</x:v>
      </x:c>
      <x:c r="I233" s="47" t="str">
        <x:v>3906736965</x:v>
      </x:c>
      <x:c r="J233" s="47" t="n">
        <x:v>69093474</x:v>
      </x:c>
      <x:c r="K233" s="53" t="b">
        <x:v>1</x:v>
      </x:c>
      <x:c r="L233" s="53" t="b">
        <x:v>1</x:v>
      </x:c>
      <x:c r="M233" s="53" t="b">
        <x:v>1</x:v>
      </x:c>
      <x:c r="N233" s="53" t="b">
        <x:v>1</x:v>
      </x:c>
      <x:c r="O233" s="53" t="b">
        <x:v>1</x:v>
      </x:c>
      <x:c r="P233" s="47" t="n">
        <x:v>1013</x:v>
      </x:c>
      <x:c r="Q233" s="47" t="n">
        <x:v>0</x:v>
      </x:c>
      <x:c r="R233" s="47" t="n">
        <x:v>0</x:v>
      </x:c>
      <x:c r="S233" s="47" t="n">
        <x:v>39.43</x:v>
      </x:c>
      <x:c r="T233" s="47" t="n">
        <x:v>69.5</x:v>
      </x:c>
      <x:c r="U233" s="47" t="n">
        <x:v>30</x:v>
      </x:c>
      <x:c r="V233" s="47" t="n">
        <x:v>13.6</x:v>
      </x:c>
      <x:c r="W233" s="47" t="n">
        <x:v>126</x:v>
      </x:c>
      <x:c r="X233" s="47" t="n">
        <x:v>711</x:v>
      </x:c>
      <x:c r="Y233" s="41" t="n">
        <x:v>585</x:v>
      </x:c>
    </x:row>
    <x:row r="234">
      <x:c r="A234" s="38" t="str">
        <x:v>7月30日现场数据</x:v>
      </x:c>
      <x:c r="B234" s="66" t="str">
        <x:v>2026-07-31T08:54:33.708000</x:v>
      </x:c>
      <x:c r="C234" s="47" t="n">
        <x:v>301022</x:v>
      </x:c>
      <x:c r="D234" s="47" t="str"/>
      <x:c r="E234" s="47" t="str"/>
      <x:c r="F234" s="47" t="str">
        <x:v>current</x:v>
      </x:c>
      <x:c r="G234" s="47" t="n">
        <x:v>230</x:v>
      </x:c>
      <x:c r="H234" s="53" t="b">
        <x:v>1</x:v>
      </x:c>
      <x:c r="I234" s="47" t="str">
        <x:v>3906736965</x:v>
      </x:c>
      <x:c r="J234" s="47" t="n">
        <x:v>69394496</x:v>
      </x:c>
      <x:c r="K234" s="53" t="b">
        <x:v>1</x:v>
      </x:c>
      <x:c r="L234" s="53" t="b">
        <x:v>1</x:v>
      </x:c>
      <x:c r="M234" s="53" t="b">
        <x:v>1</x:v>
      </x:c>
      <x:c r="N234" s="53" t="b">
        <x:v>1</x:v>
      </x:c>
      <x:c r="O234" s="53" t="b">
        <x:v>1</x:v>
      </x:c>
      <x:c r="P234" s="47" t="n">
        <x:v>1012</x:v>
      </x:c>
      <x:c r="Q234" s="47" t="n">
        <x:v>0</x:v>
      </x:c>
      <x:c r="R234" s="47" t="n">
        <x:v>0</x:v>
      </x:c>
      <x:c r="S234" s="47" t="n">
        <x:v>40.31</x:v>
      </x:c>
      <x:c r="T234" s="47" t="n">
        <x:v>70.4</x:v>
      </x:c>
      <x:c r="U234" s="47" t="n">
        <x:v>30.3</x:v>
      </x:c>
      <x:c r="V234" s="47" t="n">
        <x:v>13.6</x:v>
      </x:c>
      <x:c r="W234" s="47" t="n">
        <x:v>155</x:v>
      </x:c>
      <x:c r="X234" s="47" t="n">
        <x:v>720</x:v>
      </x:c>
      <x:c r="Y234" s="41" t="n">
        <x:v>565</x:v>
      </x:c>
    </x:row>
    <x:row r="235">
      <x:c r="A235" s="38" t="str">
        <x:v>7月30日现场数据</x:v>
      </x:c>
      <x:c r="B235" s="66" t="str">
        <x:v>2026-07-31T08:59:34.675000</x:v>
      </x:c>
      <x:c r="C235" s="47" t="n">
        <x:v>300967</x:v>
      </x:c>
      <x:c r="D235" s="47" t="str"/>
      <x:c r="E235" s="47" t="str"/>
      <x:c r="F235" s="47" t="str">
        <x:v>current</x:v>
      </x:c>
      <x:c r="G235" s="47" t="n">
        <x:v>231</x:v>
      </x:c>
      <x:c r="H235" s="53" t="b">
        <x:v>1</x:v>
      </x:c>
      <x:c r="I235" s="47" t="str">
        <x:v>3906736965</x:v>
      </x:c>
      <x:c r="J235" s="47" t="n">
        <x:v>69695463</x:v>
      </x:c>
      <x:c r="K235" s="53" t="b">
        <x:v>1</x:v>
      </x:c>
      <x:c r="L235" s="53" t="b">
        <x:v>1</x:v>
      </x:c>
      <x:c r="M235" s="53" t="b">
        <x:v>1</x:v>
      </x:c>
      <x:c r="N235" s="53" t="b">
        <x:v>1</x:v>
      </x:c>
      <x:c r="O235" s="53" t="b">
        <x:v>1</x:v>
      </x:c>
      <x:c r="P235" s="47" t="n">
        <x:v>1012</x:v>
      </x:c>
      <x:c r="Q235" s="47" t="n">
        <x:v>0</x:v>
      </x:c>
      <x:c r="R235" s="47" t="n">
        <x:v>0</x:v>
      </x:c>
      <x:c r="S235" s="47" t="n">
        <x:v>43.06</x:v>
      </x:c>
      <x:c r="T235" s="47" t="n">
        <x:v>70.03</x:v>
      </x:c>
      <x:c r="U235" s="47" t="n">
        <x:v>30.7</x:v>
      </x:c>
      <x:c r="V235" s="47" t="n">
        <x:v>13.7</x:v>
      </x:c>
      <x:c r="W235" s="47" t="n">
        <x:v>169</x:v>
      </x:c>
      <x:c r="X235" s="47" t="n">
        <x:v>740</x:v>
      </x:c>
      <x:c r="Y235" s="41" t="n">
        <x:v>571</x:v>
      </x:c>
    </x:row>
    <x:row r="236">
      <x:c r="A236" s="38" t="str">
        <x:v>7月30日现场数据</x:v>
      </x:c>
      <x:c r="B236" s="66" t="str">
        <x:v>2026-07-31T09:04:35.643000</x:v>
      </x:c>
      <x:c r="C236" s="47" t="n">
        <x:v>300968</x:v>
      </x:c>
      <x:c r="D236" s="47" t="str"/>
      <x:c r="E236" s="47" t="str"/>
      <x:c r="F236" s="47" t="str">
        <x:v>current</x:v>
      </x:c>
      <x:c r="G236" s="47" t="n">
        <x:v>232</x:v>
      </x:c>
      <x:c r="H236" s="53" t="b">
        <x:v>1</x:v>
      </x:c>
      <x:c r="I236" s="47" t="str">
        <x:v>3906736965</x:v>
      </x:c>
      <x:c r="J236" s="47" t="n">
        <x:v>69996431</x:v>
      </x:c>
      <x:c r="K236" s="53" t="b">
        <x:v>1</x:v>
      </x:c>
      <x:c r="L236" s="53" t="b">
        <x:v>1</x:v>
      </x:c>
      <x:c r="M236" s="53" t="b">
        <x:v>1</x:v>
      </x:c>
      <x:c r="N236" s="53" t="b">
        <x:v>1</x:v>
      </x:c>
      <x:c r="O236" s="53" t="b">
        <x:v>1</x:v>
      </x:c>
      <x:c r="P236" s="47" t="n">
        <x:v>1012</x:v>
      </x:c>
      <x:c r="Q236" s="47" t="n">
        <x:v>0</x:v>
      </x:c>
      <x:c r="R236" s="47" t="n">
        <x:v>0</x:v>
      </x:c>
      <x:c r="S236" s="47" t="n">
        <x:v>44.78</x:v>
      </x:c>
      <x:c r="T236" s="47" t="n">
        <x:v>70.06</x:v>
      </x:c>
      <x:c r="U236" s="47" t="n">
        <x:v>31.1</x:v>
      </x:c>
      <x:c r="V236" s="47" t="n">
        <x:v>13.7</x:v>
      </x:c>
      <x:c r="W236" s="47" t="n">
        <x:v>181</x:v>
      </x:c>
      <x:c r="X236" s="47" t="n">
        <x:v>774</x:v>
      </x:c>
      <x:c r="Y236" s="41" t="n">
        <x:v>593</x:v>
      </x:c>
    </x:row>
    <x:row r="237">
      <x:c r="A237" s="38" t="str">
        <x:v>7月30日现场数据</x:v>
      </x:c>
      <x:c r="B237" s="66" t="str">
        <x:v>2026-07-31T09:09:36.613000</x:v>
      </x:c>
      <x:c r="C237" s="47" t="n">
        <x:v>300970</x:v>
      </x:c>
      <x:c r="D237" s="47" t="str"/>
      <x:c r="E237" s="47" t="str"/>
      <x:c r="F237" s="47" t="str">
        <x:v>current</x:v>
      </x:c>
      <x:c r="G237" s="47" t="n">
        <x:v>233</x:v>
      </x:c>
      <x:c r="H237" s="53" t="b">
        <x:v>1</x:v>
      </x:c>
      <x:c r="I237" s="47" t="str">
        <x:v>3906736965</x:v>
      </x:c>
      <x:c r="J237" s="47" t="n">
        <x:v>70297401</x:v>
      </x:c>
      <x:c r="K237" s="53" t="b">
        <x:v>1</x:v>
      </x:c>
      <x:c r="L237" s="53" t="b">
        <x:v>1</x:v>
      </x:c>
      <x:c r="M237" s="53" t="b">
        <x:v>1</x:v>
      </x:c>
      <x:c r="N237" s="53" t="b">
        <x:v>1</x:v>
      </x:c>
      <x:c r="O237" s="53" t="b">
        <x:v>1</x:v>
      </x:c>
      <x:c r="P237" s="47" t="n">
        <x:v>1012</x:v>
      </x:c>
      <x:c r="Q237" s="47" t="n">
        <x:v>0</x:v>
      </x:c>
      <x:c r="R237" s="47" t="n">
        <x:v>0</x:v>
      </x:c>
      <x:c r="S237" s="47" t="n">
        <x:v>46.04</x:v>
      </x:c>
      <x:c r="T237" s="47" t="n">
        <x:v>69.83</x:v>
      </x:c>
      <x:c r="U237" s="47" t="n">
        <x:v>31.5</x:v>
      </x:c>
      <x:c r="V237" s="47" t="n">
        <x:v>13.7</x:v>
      </x:c>
      <x:c r="W237" s="47" t="n">
        <x:v>185</x:v>
      </x:c>
      <x:c r="X237" s="47" t="n">
        <x:v>776</x:v>
      </x:c>
      <x:c r="Y237" s="41" t="n">
        <x:v>591</x:v>
      </x:c>
    </x:row>
    <x:row r="238">
      <x:c r="A238" s="38" t="str">
        <x:v>7月30日现场数据</x:v>
      </x:c>
      <x:c r="B238" s="66" t="str">
        <x:v>2026-07-31T09:14:37.590000</x:v>
      </x:c>
      <x:c r="C238" s="47" t="n">
        <x:v>300977</x:v>
      </x:c>
      <x:c r="D238" s="47" t="str"/>
      <x:c r="E238" s="47" t="str"/>
      <x:c r="F238" s="47" t="str">
        <x:v>current</x:v>
      </x:c>
      <x:c r="G238" s="47" t="n">
        <x:v>234</x:v>
      </x:c>
      <x:c r="H238" s="53" t="b">
        <x:v>1</x:v>
      </x:c>
      <x:c r="I238" s="47" t="str">
        <x:v>3906736965</x:v>
      </x:c>
      <x:c r="J238" s="47" t="n">
        <x:v>70598378</x:v>
      </x:c>
      <x:c r="K238" s="53" t="b">
        <x:v>1</x:v>
      </x:c>
      <x:c r="L238" s="53" t="b">
        <x:v>1</x:v>
      </x:c>
      <x:c r="M238" s="53" t="b">
        <x:v>1</x:v>
      </x:c>
      <x:c r="N238" s="53" t="b">
        <x:v>1</x:v>
      </x:c>
      <x:c r="O238" s="53" t="b">
        <x:v>1</x:v>
      </x:c>
      <x:c r="P238" s="47" t="n">
        <x:v>1012</x:v>
      </x:c>
      <x:c r="Q238" s="47" t="n">
        <x:v>0</x:v>
      </x:c>
      <x:c r="R238" s="47" t="n">
        <x:v>0</x:v>
      </x:c>
      <x:c r="S238" s="47" t="n">
        <x:v>45.35</x:v>
      </x:c>
      <x:c r="T238" s="47" t="n">
        <x:v>69.19</x:v>
      </x:c>
      <x:c r="U238" s="47" t="n">
        <x:v>31.8</x:v>
      </x:c>
      <x:c r="V238" s="47" t="n">
        <x:v>13.7</x:v>
      </x:c>
      <x:c r="W238" s="47" t="n">
        <x:v>192</x:v>
      </x:c>
      <x:c r="X238" s="47" t="n">
        <x:v>808</x:v>
      </x:c>
      <x:c r="Y238" s="41" t="n">
        <x:v>616</x:v>
      </x:c>
    </x:row>
    <x:row r="239">
      <x:c r="A239" s="38" t="str">
        <x:v>7月30日现场数据</x:v>
      </x:c>
      <x:c r="B239" s="66" t="str">
        <x:v>2026-07-31T09:19:38.565000</x:v>
      </x:c>
      <x:c r="C239" s="47" t="n">
        <x:v>300975</x:v>
      </x:c>
      <x:c r="D239" s="47" t="str"/>
      <x:c r="E239" s="47" t="str"/>
      <x:c r="F239" s="47" t="str">
        <x:v>current</x:v>
      </x:c>
      <x:c r="G239" s="47" t="n">
        <x:v>235</x:v>
      </x:c>
      <x:c r="H239" s="53" t="b">
        <x:v>1</x:v>
      </x:c>
      <x:c r="I239" s="47" t="str">
        <x:v>3906736965</x:v>
      </x:c>
      <x:c r="J239" s="47" t="n">
        <x:v>70899353</x:v>
      </x:c>
      <x:c r="K239" s="53" t="b">
        <x:v>1</x:v>
      </x:c>
      <x:c r="L239" s="53" t="b">
        <x:v>1</x:v>
      </x:c>
      <x:c r="M239" s="53" t="b">
        <x:v>1</x:v>
      </x:c>
      <x:c r="N239" s="53" t="b">
        <x:v>1</x:v>
      </x:c>
      <x:c r="O239" s="53" t="b">
        <x:v>1</x:v>
      </x:c>
      <x:c r="P239" s="47" t="n">
        <x:v>1012</x:v>
      </x:c>
      <x:c r="Q239" s="47" t="n">
        <x:v>0</x:v>
      </x:c>
      <x:c r="R239" s="47" t="n">
        <x:v>0</x:v>
      </x:c>
      <x:c r="S239" s="47" t="n">
        <x:v>45.52</x:v>
      </x:c>
      <x:c r="T239" s="47" t="n">
        <x:v>68.72</x:v>
      </x:c>
      <x:c r="U239" s="47" t="n">
        <x:v>32</x:v>
      </x:c>
      <x:c r="V239" s="47" t="n">
        <x:v>13.7</x:v>
      </x:c>
      <x:c r="W239" s="47" t="n">
        <x:v>191</x:v>
      </x:c>
      <x:c r="X239" s="47" t="n">
        <x:v>812</x:v>
      </x:c>
      <x:c r="Y239" s="41" t="n">
        <x:v>621</x:v>
      </x:c>
    </x:row>
    <x:row r="240">
      <x:c r="A240" s="38" t="str">
        <x:v>7月30日现场数据</x:v>
      </x:c>
      <x:c r="B240" s="66" t="str">
        <x:v>2026-07-31T09:24:39.540000</x:v>
      </x:c>
      <x:c r="C240" s="47" t="n">
        <x:v>300975</x:v>
      </x:c>
      <x:c r="D240" s="47" t="str"/>
      <x:c r="E240" s="47" t="str"/>
      <x:c r="F240" s="47" t="str">
        <x:v>current</x:v>
      </x:c>
      <x:c r="G240" s="47" t="n">
        <x:v>236</x:v>
      </x:c>
      <x:c r="H240" s="53" t="b">
        <x:v>1</x:v>
      </x:c>
      <x:c r="I240" s="47" t="str">
        <x:v>3906736965</x:v>
      </x:c>
      <x:c r="J240" s="47" t="n">
        <x:v>71200328</x:v>
      </x:c>
      <x:c r="K240" s="53" t="b">
        <x:v>1</x:v>
      </x:c>
      <x:c r="L240" s="53" t="b">
        <x:v>1</x:v>
      </x:c>
      <x:c r="M240" s="53" t="b">
        <x:v>1</x:v>
      </x:c>
      <x:c r="N240" s="53" t="b">
        <x:v>1</x:v>
      </x:c>
      <x:c r="O240" s="53" t="b">
        <x:v>1</x:v>
      </x:c>
      <x:c r="P240" s="47" t="n">
        <x:v>1012</x:v>
      </x:c>
      <x:c r="Q240" s="47" t="n">
        <x:v>0</x:v>
      </x:c>
      <x:c r="R240" s="47" t="n">
        <x:v>0</x:v>
      </x:c>
      <x:c r="S240" s="47" t="n">
        <x:v>45.25</x:v>
      </x:c>
      <x:c r="T240" s="47" t="n">
        <x:v>68.13</x:v>
      </x:c>
      <x:c r="U240" s="47" t="n">
        <x:v>32.2</x:v>
      </x:c>
      <x:c r="V240" s="47" t="n">
        <x:v>13.7</x:v>
      </x:c>
      <x:c r="W240" s="47" t="n">
        <x:v>191</x:v>
      </x:c>
      <x:c r="X240" s="47" t="n">
        <x:v>820</x:v>
      </x:c>
      <x:c r="Y240" s="41" t="n">
        <x:v>629</x:v>
      </x:c>
    </x:row>
    <x:row r="241">
      <x:c r="A241" s="38" t="str">
        <x:v>7月30日现场数据</x:v>
      </x:c>
      <x:c r="B241" s="66" t="str">
        <x:v>2026-07-31T09:29:40.516000</x:v>
      </x:c>
      <x:c r="C241" s="47" t="n">
        <x:v>300976</x:v>
      </x:c>
      <x:c r="D241" s="47" t="str"/>
      <x:c r="E241" s="47" t="str"/>
      <x:c r="F241" s="47" t="str">
        <x:v>current</x:v>
      </x:c>
      <x:c r="G241" s="47" t="n">
        <x:v>237</x:v>
      </x:c>
      <x:c r="H241" s="53" t="b">
        <x:v>1</x:v>
      </x:c>
      <x:c r="I241" s="47" t="str">
        <x:v>3906736965</x:v>
      </x:c>
      <x:c r="J241" s="47" t="n">
        <x:v>71501304</x:v>
      </x:c>
      <x:c r="K241" s="53" t="b">
        <x:v>1</x:v>
      </x:c>
      <x:c r="L241" s="53" t="b">
        <x:v>1</x:v>
      </x:c>
      <x:c r="M241" s="53" t="b">
        <x:v>1</x:v>
      </x:c>
      <x:c r="N241" s="53" t="b">
        <x:v>1</x:v>
      </x:c>
      <x:c r="O241" s="53" t="b">
        <x:v>1</x:v>
      </x:c>
      <x:c r="P241" s="47" t="n">
        <x:v>1012</x:v>
      </x:c>
      <x:c r="Q241" s="47" t="n">
        <x:v>0</x:v>
      </x:c>
      <x:c r="R241" s="47" t="n">
        <x:v>0</x:v>
      </x:c>
      <x:c r="S241" s="47" t="n">
        <x:v>44.75</x:v>
      </x:c>
      <x:c r="T241" s="47" t="n">
        <x:v>67.43</x:v>
      </x:c>
      <x:c r="U241" s="47" t="n">
        <x:v>32.3</x:v>
      </x:c>
      <x:c r="V241" s="47" t="n">
        <x:v>13.6</x:v>
      </x:c>
      <x:c r="W241" s="47" t="n">
        <x:v>192</x:v>
      </x:c>
      <x:c r="X241" s="47" t="n">
        <x:v>828</x:v>
      </x:c>
      <x:c r="Y241" s="41" t="n">
        <x:v>636</x:v>
      </x:c>
    </x:row>
    <x:row r="242">
      <x:c r="A242" s="38" t="str">
        <x:v>7月30日现场数据</x:v>
      </x:c>
      <x:c r="B242" s="66" t="str">
        <x:v>2026-07-31T09:34:41.498000</x:v>
      </x:c>
      <x:c r="C242" s="47" t="n">
        <x:v>300982</x:v>
      </x:c>
      <x:c r="D242" s="47" t="str"/>
      <x:c r="E242" s="47" t="str"/>
      <x:c r="F242" s="47" t="str">
        <x:v>current</x:v>
      </x:c>
      <x:c r="G242" s="47" t="n">
        <x:v>238</x:v>
      </x:c>
      <x:c r="H242" s="53" t="b">
        <x:v>1</x:v>
      </x:c>
      <x:c r="I242" s="47" t="str">
        <x:v>3906736965</x:v>
      </x:c>
      <x:c r="J242" s="47" t="n">
        <x:v>71802286</x:v>
      </x:c>
      <x:c r="K242" s="53" t="b">
        <x:v>1</x:v>
      </x:c>
      <x:c r="L242" s="53" t="b">
        <x:v>1</x:v>
      </x:c>
      <x:c r="M242" s="53" t="b">
        <x:v>1</x:v>
      </x:c>
      <x:c r="N242" s="53" t="b">
        <x:v>1</x:v>
      </x:c>
      <x:c r="O242" s="53" t="b">
        <x:v>1</x:v>
      </x:c>
      <x:c r="P242" s="47" t="n">
        <x:v>1012</x:v>
      </x:c>
      <x:c r="Q242" s="47" t="n">
        <x:v>0.001</x:v>
      </x:c>
      <x:c r="R242" s="47" t="n">
        <x:v>0.033</x:v>
      </x:c>
      <x:c r="S242" s="47" t="n">
        <x:v>45.38</x:v>
      </x:c>
      <x:c r="T242" s="47" t="n">
        <x:v>67.03</x:v>
      </x:c>
      <x:c r="U242" s="47" t="n">
        <x:v>32.4</x:v>
      </x:c>
      <x:c r="V242" s="47" t="n">
        <x:v>13.6</x:v>
      </x:c>
      <x:c r="W242" s="47" t="n">
        <x:v>197</x:v>
      </x:c>
      <x:c r="X242" s="47" t="n">
        <x:v>860</x:v>
      </x:c>
      <x:c r="Y242" s="41" t="n">
        <x:v>663</x:v>
      </x:c>
    </x:row>
    <x:row r="243">
      <x:c r="A243" s="38" t="str">
        <x:v>7月30日现场数据</x:v>
      </x:c>
      <x:c r="B243" s="66" t="str">
        <x:v>2026-07-31T09:39:42.482000</x:v>
      </x:c>
      <x:c r="C243" s="47" t="n">
        <x:v>300984</x:v>
      </x:c>
      <x:c r="D243" s="47" t="str"/>
      <x:c r="E243" s="47" t="str"/>
      <x:c r="F243" s="47" t="str">
        <x:v>current</x:v>
      </x:c>
      <x:c r="G243" s="47" t="n">
        <x:v>239</x:v>
      </x:c>
      <x:c r="H243" s="53" t="b">
        <x:v>1</x:v>
      </x:c>
      <x:c r="I243" s="47" t="str">
        <x:v>3906736965</x:v>
      </x:c>
      <x:c r="J243" s="47" t="n">
        <x:v>72103270</x:v>
      </x:c>
      <x:c r="K243" s="53" t="b">
        <x:v>1</x:v>
      </x:c>
      <x:c r="L243" s="53" t="b">
        <x:v>1</x:v>
      </x:c>
      <x:c r="M243" s="53" t="b">
        <x:v>1</x:v>
      </x:c>
      <x:c r="N243" s="53" t="b">
        <x:v>1</x:v>
      </x:c>
      <x:c r="O243" s="53" t="b">
        <x:v>1</x:v>
      </x:c>
      <x:c r="P243" s="47" t="n">
        <x:v>1012</x:v>
      </x:c>
      <x:c r="Q243" s="47" t="n">
        <x:v>0</x:v>
      </x:c>
      <x:c r="R243" s="47" t="n">
        <x:v>0</x:v>
      </x:c>
      <x:c r="S243" s="47" t="n">
        <x:v>45.79</x:v>
      </x:c>
      <x:c r="T243" s="47" t="n">
        <x:v>66.62</x:v>
      </x:c>
      <x:c r="U243" s="47" t="n">
        <x:v>32.5</x:v>
      </x:c>
      <x:c r="V243" s="47" t="n">
        <x:v>13.6</x:v>
      </x:c>
      <x:c r="W243" s="47" t="n">
        <x:v>203</x:v>
      </x:c>
      <x:c r="X243" s="47" t="n">
        <x:v>891</x:v>
      </x:c>
      <x:c r="Y243" s="41" t="n">
        <x:v>688</x:v>
      </x:c>
    </x:row>
    <x:row r="244">
      <x:c r="A244" s="38" t="str">
        <x:v>7月30日现场数据</x:v>
      </x:c>
      <x:c r="B244" s="66" t="str">
        <x:v>2026-07-31T09:44:43.465000</x:v>
      </x:c>
      <x:c r="C244" s="47" t="n">
        <x:v>300983</x:v>
      </x:c>
      <x:c r="D244" s="47" t="str"/>
      <x:c r="E244" s="47" t="str"/>
      <x:c r="F244" s="47" t="str">
        <x:v>current</x:v>
      </x:c>
      <x:c r="G244" s="47" t="n">
        <x:v>240</x:v>
      </x:c>
      <x:c r="H244" s="53" t="b">
        <x:v>1</x:v>
      </x:c>
      <x:c r="I244" s="47" t="str">
        <x:v>3906736965</x:v>
      </x:c>
      <x:c r="J244" s="47" t="n">
        <x:v>72404253</x:v>
      </x:c>
      <x:c r="K244" s="53" t="b">
        <x:v>1</x:v>
      </x:c>
      <x:c r="L244" s="53" t="b">
        <x:v>1</x:v>
      </x:c>
      <x:c r="M244" s="53" t="b">
        <x:v>1</x:v>
      </x:c>
      <x:c r="N244" s="53" t="b">
        <x:v>1</x:v>
      </x:c>
      <x:c r="O244" s="53" t="b">
        <x:v>1</x:v>
      </x:c>
      <x:c r="P244" s="47" t="n">
        <x:v>1012</x:v>
      </x:c>
      <x:c r="Q244" s="47" t="n">
        <x:v>0</x:v>
      </x:c>
      <x:c r="R244" s="47" t="n">
        <x:v>0</x:v>
      </x:c>
      <x:c r="S244" s="47" t="n">
        <x:v>47.51</x:v>
      </x:c>
      <x:c r="T244" s="47" t="n">
        <x:v>65.98</x:v>
      </x:c>
      <x:c r="U244" s="47" t="n">
        <x:v>32.6</x:v>
      </x:c>
      <x:c r="V244" s="47" t="n">
        <x:v>13.6</x:v>
      </x:c>
      <x:c r="W244" s="47" t="n">
        <x:v>201</x:v>
      </x:c>
      <x:c r="X244" s="47" t="n">
        <x:v>902</x:v>
      </x:c>
      <x:c r="Y244" s="41" t="n">
        <x:v>701</x:v>
      </x:c>
    </x:row>
    <x:row r="245">
      <x:c r="A245" s="38" t="str">
        <x:v>7月30日现场数据</x:v>
      </x:c>
      <x:c r="B245" s="66" t="str">
        <x:v>2026-07-31T09:49:44.464000</x:v>
      </x:c>
      <x:c r="C245" s="47" t="n">
        <x:v>300999</x:v>
      </x:c>
      <x:c r="D245" s="47" t="str"/>
      <x:c r="E245" s="47" t="str"/>
      <x:c r="F245" s="47" t="str">
        <x:v>current</x:v>
      </x:c>
      <x:c r="G245" s="47" t="n">
        <x:v>241</x:v>
      </x:c>
      <x:c r="H245" s="53" t="b">
        <x:v>1</x:v>
      </x:c>
      <x:c r="I245" s="47" t="str">
        <x:v>3906736965</x:v>
      </x:c>
      <x:c r="J245" s="47" t="n">
        <x:v>72705252</x:v>
      </x:c>
      <x:c r="K245" s="53" t="b">
        <x:v>1</x:v>
      </x:c>
      <x:c r="L245" s="53" t="b">
        <x:v>1</x:v>
      </x:c>
      <x:c r="M245" s="53" t="b">
        <x:v>1</x:v>
      </x:c>
      <x:c r="N245" s="53" t="b">
        <x:v>1</x:v>
      </x:c>
      <x:c r="O245" s="53" t="b">
        <x:v>1</x:v>
      </x:c>
      <x:c r="P245" s="47" t="n">
        <x:v>1011</x:v>
      </x:c>
      <x:c r="Q245" s="47" t="n">
        <x:v>0</x:v>
      </x:c>
      <x:c r="R245" s="47" t="n">
        <x:v>0</x:v>
      </x:c>
      <x:c r="S245" s="47" t="n">
        <x:v>47.66</x:v>
      </x:c>
      <x:c r="T245" s="47" t="n">
        <x:v>65.64</x:v>
      </x:c>
      <x:c r="U245" s="47" t="n">
        <x:v>32.7</x:v>
      </x:c>
      <x:c r="V245" s="47" t="n">
        <x:v>13.5</x:v>
      </x:c>
      <x:c r="W245" s="47" t="n">
        <x:v>191</x:v>
      </x:c>
      <x:c r="X245" s="47" t="n">
        <x:v>863</x:v>
      </x:c>
      <x:c r="Y245" s="41" t="n">
        <x:v>672</x:v>
      </x:c>
    </x:row>
    <x:row r="246">
      <x:c r="A246" s="38" t="str">
        <x:v>7月30日现场数据</x:v>
      </x:c>
      <x:c r="B246" s="66" t="str">
        <x:v>2026-07-31T09:55:02.130000</x:v>
      </x:c>
      <x:c r="C246" s="47" t="n">
        <x:v>317666</x:v>
      </x:c>
      <x:c r="D246" s="47" t="str"/>
      <x:c r="E246" s="47" t="str"/>
      <x:c r="F246" s="47" t="str">
        <x:v>current</x:v>
      </x:c>
      <x:c r="G246" s="47" t="n">
        <x:v>242</x:v>
      </x:c>
      <x:c r="H246" s="53" t="b">
        <x:v>1</x:v>
      </x:c>
      <x:c r="I246" s="47" t="str">
        <x:v>3906736965</x:v>
      </x:c>
      <x:c r="J246" s="47" t="n">
        <x:v>73022918</x:v>
      </x:c>
      <x:c r="K246" s="53" t="b">
        <x:v>1</x:v>
      </x:c>
      <x:c r="L246" s="53" t="b">
        <x:v>1</x:v>
      </x:c>
      <x:c r="M246" s="53" t="b">
        <x:v>1</x:v>
      </x:c>
      <x:c r="N246" s="53" t="b">
        <x:v>1</x:v>
      </x:c>
      <x:c r="O246" s="53" t="b">
        <x:v>1</x:v>
      </x:c>
      <x:c r="P246" s="47" t="n">
        <x:v>1012</x:v>
      </x:c>
      <x:c r="Q246" s="47" t="n">
        <x:v>0</x:v>
      </x:c>
      <x:c r="R246" s="47" t="n">
        <x:v>0</x:v>
      </x:c>
      <x:c r="S246" s="47" t="n">
        <x:v>47.36</x:v>
      </x:c>
      <x:c r="T246" s="47" t="n">
        <x:v>64.9</x:v>
      </x:c>
      <x:c r="U246" s="47" t="n">
        <x:v>32.8</x:v>
      </x:c>
      <x:c r="V246" s="47" t="n">
        <x:v>13.6</x:v>
      </x:c>
      <x:c r="W246" s="47" t="n">
        <x:v>194</x:v>
      </x:c>
      <x:c r="X246" s="47" t="n">
        <x:v>892</x:v>
      </x:c>
      <x:c r="Y246" s="41" t="n">
        <x:v>698</x:v>
      </x:c>
    </x:row>
    <x:row r="247">
      <x:c r="A247" s="38" t="str">
        <x:v>7月30日现场数据</x:v>
      </x:c>
      <x:c r="B247" s="66" t="str">
        <x:v>2026-07-31T10:00:03.104000</x:v>
      </x:c>
      <x:c r="C247" s="47" t="n">
        <x:v>300974</x:v>
      </x:c>
      <x:c r="D247" s="47" t="str"/>
      <x:c r="E247" s="47" t="str"/>
      <x:c r="F247" s="47" t="str">
        <x:v>current</x:v>
      </x:c>
      <x:c r="G247" s="47" t="n">
        <x:v>243</x:v>
      </x:c>
      <x:c r="H247" s="53" t="b">
        <x:v>1</x:v>
      </x:c>
      <x:c r="I247" s="47" t="str">
        <x:v>3906736965</x:v>
      </x:c>
      <x:c r="J247" s="47" t="n">
        <x:v>73323892</x:v>
      </x:c>
      <x:c r="K247" s="53" t="b">
        <x:v>1</x:v>
      </x:c>
      <x:c r="L247" s="53" t="b">
        <x:v>1</x:v>
      </x:c>
      <x:c r="M247" s="53" t="b">
        <x:v>1</x:v>
      </x:c>
      <x:c r="N247" s="53" t="b">
        <x:v>1</x:v>
      </x:c>
      <x:c r="O247" s="53" t="b">
        <x:v>1</x:v>
      </x:c>
      <x:c r="P247" s="47" t="n">
        <x:v>1012</x:v>
      </x:c>
      <x:c r="Q247" s="47" t="n">
        <x:v>0</x:v>
      </x:c>
      <x:c r="R247" s="47" t="n">
        <x:v>0</x:v>
      </x:c>
      <x:c r="S247" s="47" t="n">
        <x:v>48.37</x:v>
      </x:c>
      <x:c r="T247" s="47" t="n">
        <x:v>64.42</x:v>
      </x:c>
      <x:c r="U247" s="47" t="n">
        <x:v>32.9</x:v>
      </x:c>
      <x:c r="V247" s="47" t="n">
        <x:v>13.5</x:v>
      </x:c>
      <x:c r="W247" s="47" t="n">
        <x:v>200</x:v>
      </x:c>
      <x:c r="X247" s="47" t="n">
        <x:v>942</x:v>
      </x:c>
      <x:c r="Y247" s="41" t="n">
        <x:v>742</x:v>
      </x:c>
    </x:row>
    <x:row r="248">
      <x:c r="A248" s="38" t="str">
        <x:v>7月30日现场数据</x:v>
      </x:c>
      <x:c r="B248" s="66" t="str">
        <x:v>2026-07-31T10:05:04.080000</x:v>
      </x:c>
      <x:c r="C248" s="47" t="n">
        <x:v>300976</x:v>
      </x:c>
      <x:c r="D248" s="47" t="str"/>
      <x:c r="E248" s="47" t="str"/>
      <x:c r="F248" s="47" t="str">
        <x:v>current</x:v>
      </x:c>
      <x:c r="G248" s="47" t="n">
        <x:v>244</x:v>
      </x:c>
      <x:c r="H248" s="53" t="b">
        <x:v>1</x:v>
      </x:c>
      <x:c r="I248" s="47" t="str">
        <x:v>3906736965</x:v>
      </x:c>
      <x:c r="J248" s="47" t="n">
        <x:v>73624868</x:v>
      </x:c>
      <x:c r="K248" s="53" t="b">
        <x:v>1</x:v>
      </x:c>
      <x:c r="L248" s="53" t="b">
        <x:v>1</x:v>
      </x:c>
      <x:c r="M248" s="53" t="b">
        <x:v>1</x:v>
      </x:c>
      <x:c r="N248" s="53" t="b">
        <x:v>1</x:v>
      </x:c>
      <x:c r="O248" s="53" t="b">
        <x:v>1</x:v>
      </x:c>
      <x:c r="P248" s="47" t="n">
        <x:v>1012</x:v>
      </x:c>
      <x:c r="Q248" s="47" t="n">
        <x:v>0</x:v>
      </x:c>
      <x:c r="R248" s="47" t="n">
        <x:v>0</x:v>
      </x:c>
      <x:c r="S248" s="47" t="n">
        <x:v>48.67</x:v>
      </x:c>
      <x:c r="T248" s="47" t="n">
        <x:v>64.21</x:v>
      </x:c>
      <x:c r="U248" s="47" t="n">
        <x:v>33.1</x:v>
      </x:c>
      <x:c r="V248" s="47" t="n">
        <x:v>13.5</x:v>
      </x:c>
      <x:c r="W248" s="47" t="n">
        <x:v>194</x:v>
      </x:c>
      <x:c r="X248" s="47" t="n">
        <x:v>935</x:v>
      </x:c>
      <x:c r="Y248" s="41" t="n">
        <x:v>741</x:v>
      </x:c>
    </x:row>
    <x:row r="249">
      <x:c r="A249" s="38" t="str">
        <x:v>7月30日现场数据</x:v>
      </x:c>
      <x:c r="B249" s="66" t="str">
        <x:v>2026-07-31T10:10:05.059000</x:v>
      </x:c>
      <x:c r="C249" s="47" t="n">
        <x:v>300979</x:v>
      </x:c>
      <x:c r="D249" s="47" t="str"/>
      <x:c r="E249" s="47" t="str"/>
      <x:c r="F249" s="47" t="str">
        <x:v>current</x:v>
      </x:c>
      <x:c r="G249" s="47" t="n">
        <x:v>245</x:v>
      </x:c>
      <x:c r="H249" s="53" t="b">
        <x:v>1</x:v>
      </x:c>
      <x:c r="I249" s="47" t="str">
        <x:v>3906736965</x:v>
      </x:c>
      <x:c r="J249" s="47" t="n">
        <x:v>73925847</x:v>
      </x:c>
      <x:c r="K249" s="53" t="b">
        <x:v>1</x:v>
      </x:c>
      <x:c r="L249" s="53" t="b">
        <x:v>1</x:v>
      </x:c>
      <x:c r="M249" s="53" t="b">
        <x:v>1</x:v>
      </x:c>
      <x:c r="N249" s="53" t="b">
        <x:v>1</x:v>
      </x:c>
      <x:c r="O249" s="53" t="b">
        <x:v>1</x:v>
      </x:c>
      <x:c r="P249" s="47" t="n">
        <x:v>1011</x:v>
      </x:c>
      <x:c r="Q249" s="47" t="n">
        <x:v>0.038</x:v>
      </x:c>
      <x:c r="R249" s="47" t="n">
        <x:v>1.022</x:v>
      </x:c>
      <x:c r="S249" s="47" t="n">
        <x:v>45.58</x:v>
      </x:c>
      <x:c r="T249" s="47" t="n">
        <x:v>63.68</x:v>
      </x:c>
      <x:c r="U249" s="47" t="n">
        <x:v>33.3</x:v>
      </x:c>
      <x:c r="V249" s="47" t="n">
        <x:v>13.5</x:v>
      </x:c>
      <x:c r="W249" s="47" t="n">
        <x:v>186</x:v>
      </x:c>
      <x:c r="X249" s="47" t="n">
        <x:v>913</x:v>
      </x:c>
      <x:c r="Y249" s="41" t="n">
        <x:v>727</x:v>
      </x:c>
    </x:row>
    <x:row r="250">
      <x:c r="A250" s="38" t="str">
        <x:v>7月30日现场数据</x:v>
      </x:c>
      <x:c r="B250" s="66" t="str">
        <x:v>2026-07-31T10:15:06.073000</x:v>
      </x:c>
      <x:c r="C250" s="47" t="n">
        <x:v>301014</x:v>
      </x:c>
      <x:c r="D250" s="47" t="str"/>
      <x:c r="E250" s="47" t="str"/>
      <x:c r="F250" s="47" t="str">
        <x:v>current</x:v>
      </x:c>
      <x:c r="G250" s="47" t="n">
        <x:v>246</x:v>
      </x:c>
      <x:c r="H250" s="53" t="b">
        <x:v>1</x:v>
      </x:c>
      <x:c r="I250" s="47" t="str">
        <x:v>3906736965</x:v>
      </x:c>
      <x:c r="J250" s="47" t="n">
        <x:v>74226861</x:v>
      </x:c>
      <x:c r="K250" s="53" t="b">
        <x:v>1</x:v>
      </x:c>
      <x:c r="L250" s="53" t="b">
        <x:v>1</x:v>
      </x:c>
      <x:c r="M250" s="53" t="b">
        <x:v>1</x:v>
      </x:c>
      <x:c r="N250" s="53" t="b">
        <x:v>1</x:v>
      </x:c>
      <x:c r="O250" s="53" t="b">
        <x:v>1</x:v>
      </x:c>
      <x:c r="P250" s="47" t="n">
        <x:v>1012</x:v>
      </x:c>
      <x:c r="Q250" s="47" t="n">
        <x:v>0</x:v>
      </x:c>
      <x:c r="R250" s="47" t="n">
        <x:v>0</x:v>
      </x:c>
      <x:c r="S250" s="47" t="n">
        <x:v>45.84</x:v>
      </x:c>
      <x:c r="T250" s="47" t="n">
        <x:v>62.25</x:v>
      </x:c>
      <x:c r="U250" s="47" t="n">
        <x:v>33.3</x:v>
      </x:c>
      <x:c r="V250" s="47" t="n">
        <x:v>13.5</x:v>
      </x:c>
      <x:c r="W250" s="47" t="n">
        <x:v>170</x:v>
      </x:c>
      <x:c r="X250" s="47" t="n">
        <x:v>594</x:v>
      </x:c>
      <x:c r="Y250" s="41" t="n">
        <x:v>424</x:v>
      </x:c>
    </x:row>
    <x:row r="251">
      <x:c r="A251" s="38" t="str">
        <x:v>7月30日现场数据</x:v>
      </x:c>
      <x:c r="B251" s="66" t="str">
        <x:v>2026-07-31T10:20:07.028000</x:v>
      </x:c>
      <x:c r="C251" s="47" t="n">
        <x:v>300955</x:v>
      </x:c>
      <x:c r="D251" s="47" t="str"/>
      <x:c r="E251" s="47" t="str"/>
      <x:c r="F251" s="47" t="str">
        <x:v>current</x:v>
      </x:c>
      <x:c r="G251" s="47" t="n">
        <x:v>247</x:v>
      </x:c>
      <x:c r="H251" s="53" t="b">
        <x:v>1</x:v>
      </x:c>
      <x:c r="I251" s="47" t="str">
        <x:v>3906736965</x:v>
      </x:c>
      <x:c r="J251" s="47" t="n">
        <x:v>74527816</x:v>
      </x:c>
      <x:c r="K251" s="53" t="b">
        <x:v>1</x:v>
      </x:c>
      <x:c r="L251" s="53" t="b">
        <x:v>1</x:v>
      </x:c>
      <x:c r="M251" s="53" t="b">
        <x:v>1</x:v>
      </x:c>
      <x:c r="N251" s="53" t="b">
        <x:v>1</x:v>
      </x:c>
      <x:c r="O251" s="53" t="b">
        <x:v>1</x:v>
      </x:c>
      <x:c r="P251" s="47" t="n">
        <x:v>1012</x:v>
      </x:c>
      <x:c r="Q251" s="47" t="n">
        <x:v>0</x:v>
      </x:c>
      <x:c r="R251" s="47" t="n">
        <x:v>0</x:v>
      </x:c>
      <x:c r="S251" s="47" t="n">
        <x:v>46.66</x:v>
      </x:c>
      <x:c r="T251" s="47" t="n">
        <x:v>61.69</x:v>
      </x:c>
      <x:c r="U251" s="47" t="n">
        <x:v>33.3</x:v>
      </x:c>
      <x:c r="V251" s="47" t="n">
        <x:v>13.5</x:v>
      </x:c>
      <x:c r="W251" s="47" t="n">
        <x:v>184</x:v>
      </x:c>
      <x:c r="X251" s="47" t="n">
        <x:v>248</x:v>
      </x:c>
      <x:c r="Y251" s="41" t="n">
        <x:v>64</x:v>
      </x:c>
    </x:row>
    <x:row r="252">
      <x:c r="A252" s="38" t="str">
        <x:v>7月30日现场数据</x:v>
      </x:c>
      <x:c r="B252" s="66" t="str">
        <x:v>2026-07-31T10:25:07.987000</x:v>
      </x:c>
      <x:c r="C252" s="47" t="n">
        <x:v>300959</x:v>
      </x:c>
      <x:c r="D252" s="47" t="str"/>
      <x:c r="E252" s="47" t="str"/>
      <x:c r="F252" s="47" t="str">
        <x:v>current</x:v>
      </x:c>
      <x:c r="G252" s="47" t="n">
        <x:v>248</x:v>
      </x:c>
      <x:c r="H252" s="53" t="b">
        <x:v>1</x:v>
      </x:c>
      <x:c r="I252" s="47" t="str">
        <x:v>3906736965</x:v>
      </x:c>
      <x:c r="J252" s="47" t="n">
        <x:v>74828775</x:v>
      </x:c>
      <x:c r="K252" s="53" t="b">
        <x:v>1</x:v>
      </x:c>
      <x:c r="L252" s="53" t="b">
        <x:v>1</x:v>
      </x:c>
      <x:c r="M252" s="53" t="b">
        <x:v>1</x:v>
      </x:c>
      <x:c r="N252" s="53" t="b">
        <x:v>1</x:v>
      </x:c>
      <x:c r="O252" s="53" t="b">
        <x:v>1</x:v>
      </x:c>
      <x:c r="P252" s="47" t="n">
        <x:v>1011</x:v>
      </x:c>
      <x:c r="Q252" s="47" t="n">
        <x:v>0</x:v>
      </x:c>
      <x:c r="R252" s="47" t="n">
        <x:v>0</x:v>
      </x:c>
      <x:c r="S252" s="47" t="n">
        <x:v>49.23</x:v>
      </x:c>
      <x:c r="T252" s="47" t="n">
        <x:v>61.75</x:v>
      </x:c>
      <x:c r="U252" s="47" t="n">
        <x:v>33.4</x:v>
      </x:c>
      <x:c r="V252" s="47" t="n">
        <x:v>13.5</x:v>
      </x:c>
      <x:c r="W252" s="47" t="n">
        <x:v>180</x:v>
      </x:c>
      <x:c r="X252" s="47" t="n">
        <x:v>187</x:v>
      </x:c>
      <x:c r="Y252" s="41" t="n">
        <x:v>7</x:v>
      </x:c>
    </x:row>
    <x:row r="253">
      <x:c r="A253" s="38" t="str">
        <x:v>7月30日现场数据</x:v>
      </x:c>
      <x:c r="B253" s="66" t="str">
        <x:v>2026-07-31T10:30:08.948000</x:v>
      </x:c>
      <x:c r="C253" s="47" t="n">
        <x:v>300961</x:v>
      </x:c>
      <x:c r="D253" s="47" t="str">
        <x:v>气温孤立跳变</x:v>
      </x:c>
      <x:c r="E253" s="47" t="str">
        <x:v>与前后记录均相差至少 6°C</x:v>
      </x:c>
      <x:c r="F253" s="47" t="str">
        <x:v>current</x:v>
      </x:c>
      <x:c r="G253" s="47" t="n">
        <x:v>249</x:v>
      </x:c>
      <x:c r="H253" s="53" t="b">
        <x:v>1</x:v>
      </x:c>
      <x:c r="I253" s="47" t="str">
        <x:v>3906736965</x:v>
      </x:c>
      <x:c r="J253" s="47" t="n">
        <x:v>75129736</x:v>
      </x:c>
      <x:c r="K253" s="53" t="b">
        <x:v>1</x:v>
      </x:c>
      <x:c r="L253" s="53" t="b">
        <x:v>1</x:v>
      </x:c>
      <x:c r="M253" s="53" t="b">
        <x:v>1</x:v>
      </x:c>
      <x:c r="N253" s="53" t="b">
        <x:v>1</x:v>
      </x:c>
      <x:c r="O253" s="53" t="b">
        <x:v>1</x:v>
      </x:c>
      <x:c r="P253" s="47" t="n">
        <x:v>1010</x:v>
      </x:c>
      <x:c r="Q253" s="47" t="n">
        <x:v>0</x:v>
      </x:c>
      <x:c r="R253" s="47" t="n">
        <x:v>0</x:v>
      </x:c>
      <x:c r="S253" s="47" t="n">
        <x:v>39.73</x:v>
      </x:c>
      <x:c r="T253" s="47" t="n">
        <x:v>60.54</x:v>
      </x:c>
      <x:c r="U253" s="47" t="n">
        <x:v>33.4</x:v>
      </x:c>
      <x:c r="V253" s="47" t="n">
        <x:v>13.4</x:v>
      </x:c>
      <x:c r="W253" s="47" t="n">
        <x:v>27</x:v>
      </x:c>
      <x:c r="X253" s="47" t="n">
        <x:v>98</x:v>
      </x:c>
      <x:c r="Y253" s="41" t="n">
        <x:v>71</x:v>
      </x:c>
    </x:row>
    <x:row r="254">
      <x:c r="A254" s="38" t="str">
        <x:v>7月30日现场数据</x:v>
      </x:c>
      <x:c r="B254" s="66" t="str">
        <x:v>2026-07-31T10:35:09.909000</x:v>
      </x:c>
      <x:c r="C254" s="47" t="n">
        <x:v>300961</x:v>
      </x:c>
      <x:c r="D254" s="47" t="str"/>
      <x:c r="E254" s="47" t="str"/>
      <x:c r="F254" s="47" t="str">
        <x:v>current</x:v>
      </x:c>
      <x:c r="G254" s="47" t="n">
        <x:v>250</x:v>
      </x:c>
      <x:c r="H254" s="53" t="b">
        <x:v>1</x:v>
      </x:c>
      <x:c r="I254" s="47" t="str">
        <x:v>3906736965</x:v>
      </x:c>
      <x:c r="J254" s="47" t="n">
        <x:v>75430697</x:v>
      </x:c>
      <x:c r="K254" s="53" t="b">
        <x:v>1</x:v>
      </x:c>
      <x:c r="L254" s="53" t="b">
        <x:v>1</x:v>
      </x:c>
      <x:c r="M254" s="53" t="b">
        <x:v>1</x:v>
      </x:c>
      <x:c r="N254" s="53" t="b">
        <x:v>1</x:v>
      </x:c>
      <x:c r="O254" s="53" t="b">
        <x:v>1</x:v>
      </x:c>
      <x:c r="P254" s="47" t="n">
        <x:v>1011</x:v>
      </x:c>
      <x:c r="Q254" s="47" t="n">
        <x:v>0</x:v>
      </x:c>
      <x:c r="R254" s="47" t="n">
        <x:v>0</x:v>
      </x:c>
      <x:c r="S254" s="47" t="n">
        <x:v>46.5</x:v>
      </x:c>
      <x:c r="T254" s="47" t="n">
        <x:v>60.26</x:v>
      </x:c>
      <x:c r="U254" s="47" t="n">
        <x:v>33.4</x:v>
      </x:c>
      <x:c r="V254" s="47" t="n">
        <x:v>13.4</x:v>
      </x:c>
      <x:c r="W254" s="47" t="n">
        <x:v>164</x:v>
      </x:c>
      <x:c r="X254" s="47" t="n">
        <x:v>171</x:v>
      </x:c>
      <x:c r="Y254" s="41" t="n">
        <x:v>7</x:v>
      </x:c>
    </x:row>
    <x:row r="255">
      <x:c r="A255" s="38" t="str">
        <x:v>7月30日现场数据</x:v>
      </x:c>
      <x:c r="B255" s="66" t="str">
        <x:v>2026-07-31T10:40:10.873000</x:v>
      </x:c>
      <x:c r="C255" s="47" t="n">
        <x:v>300964</x:v>
      </x:c>
      <x:c r="D255" s="47" t="str"/>
      <x:c r="E255" s="47" t="str"/>
      <x:c r="F255" s="47" t="str">
        <x:v>current</x:v>
      </x:c>
      <x:c r="G255" s="47" t="n">
        <x:v>251</x:v>
      </x:c>
      <x:c r="H255" s="53" t="b">
        <x:v>1</x:v>
      </x:c>
      <x:c r="I255" s="47" t="str">
        <x:v>3906736965</x:v>
      </x:c>
      <x:c r="J255" s="47" t="n">
        <x:v>75731661</x:v>
      </x:c>
      <x:c r="K255" s="53" t="b">
        <x:v>1</x:v>
      </x:c>
      <x:c r="L255" s="53" t="b">
        <x:v>1</x:v>
      </x:c>
      <x:c r="M255" s="53" t="b">
        <x:v>1</x:v>
      </x:c>
      <x:c r="N255" s="53" t="b">
        <x:v>1</x:v>
      </x:c>
      <x:c r="O255" s="53" t="b">
        <x:v>1</x:v>
      </x:c>
      <x:c r="P255" s="47" t="n">
        <x:v>1011</x:v>
      </x:c>
      <x:c r="Q255" s="47" t="n">
        <x:v>0</x:v>
      </x:c>
      <x:c r="R255" s="47" t="n">
        <x:v>0</x:v>
      </x:c>
      <x:c r="S255" s="47" t="n">
        <x:v>47.42</x:v>
      </x:c>
      <x:c r="T255" s="47" t="n">
        <x:v>60.37</x:v>
      </x:c>
      <x:c r="U255" s="47" t="n">
        <x:v>33.6</x:v>
      </x:c>
      <x:c r="V255" s="47" t="n">
        <x:v>13.4</x:v>
      </x:c>
      <x:c r="W255" s="47" t="n">
        <x:v>173</x:v>
      </x:c>
      <x:c r="X255" s="47" t="n">
        <x:v>165</x:v>
      </x:c>
      <x:c r="Y255" s="41" t="n">
        <x:v>0</x:v>
      </x:c>
    </x:row>
    <x:row r="256">
      <x:c r="A256" s="38" t="str">
        <x:v>7月30日现场数据</x:v>
      </x:c>
      <x:c r="B256" s="66" t="str">
        <x:v>2026-07-31T10:45:11.839000</x:v>
      </x:c>
      <x:c r="C256" s="47" t="n">
        <x:v>300966</x:v>
      </x:c>
      <x:c r="D256" s="47" t="str"/>
      <x:c r="E256" s="47" t="str"/>
      <x:c r="F256" s="47" t="str">
        <x:v>current</x:v>
      </x:c>
      <x:c r="G256" s="47" t="n">
        <x:v>252</x:v>
      </x:c>
      <x:c r="H256" s="53" t="b">
        <x:v>1</x:v>
      </x:c>
      <x:c r="I256" s="47" t="str">
        <x:v>3906736965</x:v>
      </x:c>
      <x:c r="J256" s="47" t="n">
        <x:v>76032627</x:v>
      </x:c>
      <x:c r="K256" s="53" t="b">
        <x:v>1</x:v>
      </x:c>
      <x:c r="L256" s="53" t="b">
        <x:v>1</x:v>
      </x:c>
      <x:c r="M256" s="53" t="b">
        <x:v>1</x:v>
      </x:c>
      <x:c r="N256" s="53" t="b">
        <x:v>1</x:v>
      </x:c>
      <x:c r="O256" s="53" t="b">
        <x:v>1</x:v>
      </x:c>
      <x:c r="P256" s="47" t="n">
        <x:v>1011</x:v>
      </x:c>
      <x:c r="Q256" s="47" t="n">
        <x:v>0</x:v>
      </x:c>
      <x:c r="R256" s="47" t="n">
        <x:v>0</x:v>
      </x:c>
      <x:c r="S256" s="47" t="n">
        <x:v>48.7</x:v>
      </x:c>
      <x:c r="T256" s="47" t="n">
        <x:v>60.3</x:v>
      </x:c>
      <x:c r="U256" s="47" t="n">
        <x:v>33.7</x:v>
      </x:c>
      <x:c r="V256" s="47" t="n">
        <x:v>13.4</x:v>
      </x:c>
      <x:c r="W256" s="47" t="n">
        <x:v>160</x:v>
      </x:c>
      <x:c r="X256" s="47" t="n">
        <x:v>169</x:v>
      </x:c>
      <x:c r="Y256" s="41" t="n">
        <x:v>9</x:v>
      </x:c>
    </x:row>
    <x:row r="257">
      <x:c r="A257" s="38" t="str">
        <x:v>7月30日现场数据</x:v>
      </x:c>
      <x:c r="B257" s="66" t="str">
        <x:v>2026-07-31T10:50:12.807000</x:v>
      </x:c>
      <x:c r="C257" s="47" t="n">
        <x:v>300968</x:v>
      </x:c>
      <x:c r="D257" s="47" t="str"/>
      <x:c r="E257" s="47" t="str"/>
      <x:c r="F257" s="47" t="str">
        <x:v>current</x:v>
      </x:c>
      <x:c r="G257" s="47" t="n">
        <x:v>253</x:v>
      </x:c>
      <x:c r="H257" s="53" t="b">
        <x:v>1</x:v>
      </x:c>
      <x:c r="I257" s="47" t="str">
        <x:v>3906736965</x:v>
      </x:c>
      <x:c r="J257" s="47" t="n">
        <x:v>76333595</x:v>
      </x:c>
      <x:c r="K257" s="53" t="b">
        <x:v>1</x:v>
      </x:c>
      <x:c r="L257" s="53" t="b">
        <x:v>1</x:v>
      </x:c>
      <x:c r="M257" s="53" t="b">
        <x:v>1</x:v>
      </x:c>
      <x:c r="N257" s="53" t="b">
        <x:v>1</x:v>
      </x:c>
      <x:c r="O257" s="53" t="b">
        <x:v>1</x:v>
      </x:c>
      <x:c r="P257" s="47" t="n">
        <x:v>1011</x:v>
      </x:c>
      <x:c r="Q257" s="47" t="n">
        <x:v>0.053</x:v>
      </x:c>
      <x:c r="R257" s="47" t="n">
        <x:v>1.418</x:v>
      </x:c>
      <x:c r="S257" s="47" t="n">
        <x:v>47.88</x:v>
      </x:c>
      <x:c r="T257" s="47" t="n">
        <x:v>59.51</x:v>
      </x:c>
      <x:c r="U257" s="47" t="n">
        <x:v>33.6</x:v>
      </x:c>
      <x:c r="V257" s="47" t="n">
        <x:v>13.4</x:v>
      </x:c>
      <x:c r="W257" s="47" t="n">
        <x:v>169</x:v>
      </x:c>
      <x:c r="X257" s="47" t="n">
        <x:v>239</x:v>
      </x:c>
      <x:c r="Y257" s="41" t="n">
        <x:v>70</x:v>
      </x:c>
    </x:row>
    <x:row r="258">
      <x:c r="A258" s="38" t="str">
        <x:v>7月30日现场数据</x:v>
      </x:c>
      <x:c r="B258" s="66" t="str">
        <x:v>2026-07-31T10:55:13.777000</x:v>
      </x:c>
      <x:c r="C258" s="47" t="n">
        <x:v>300970</x:v>
      </x:c>
      <x:c r="D258" s="47" t="str"/>
      <x:c r="E258" s="47" t="str"/>
      <x:c r="F258" s="47" t="str">
        <x:v>current</x:v>
      </x:c>
      <x:c r="G258" s="47" t="n">
        <x:v>254</x:v>
      </x:c>
      <x:c r="H258" s="53" t="b">
        <x:v>1</x:v>
      </x:c>
      <x:c r="I258" s="47" t="str">
        <x:v>3906736965</x:v>
      </x:c>
      <x:c r="J258" s="47" t="n">
        <x:v>76634565</x:v>
      </x:c>
      <x:c r="K258" s="53" t="b">
        <x:v>1</x:v>
      </x:c>
      <x:c r="L258" s="53" t="b">
        <x:v>1</x:v>
      </x:c>
      <x:c r="M258" s="53" t="b">
        <x:v>1</x:v>
      </x:c>
      <x:c r="N258" s="53" t="b">
        <x:v>1</x:v>
      </x:c>
      <x:c r="O258" s="53" t="b">
        <x:v>1</x:v>
      </x:c>
      <x:c r="P258" s="47" t="n">
        <x:v>1011</x:v>
      </x:c>
      <x:c r="Q258" s="47" t="n">
        <x:v>0</x:v>
      </x:c>
      <x:c r="R258" s="47" t="n">
        <x:v>0</x:v>
      </x:c>
      <x:c r="S258" s="47" t="n">
        <x:v>46.41</x:v>
      </x:c>
      <x:c r="T258" s="47" t="n">
        <x:v>59.09</x:v>
      </x:c>
      <x:c r="U258" s="47" t="n">
        <x:v>33.6</x:v>
      </x:c>
      <x:c r="V258" s="47" t="n">
        <x:v>13.3</x:v>
      </x:c>
      <x:c r="W258" s="47" t="n">
        <x:v>139</x:v>
      </x:c>
      <x:c r="X258" s="47" t="n">
        <x:v>186</x:v>
      </x:c>
      <x:c r="Y258" s="41" t="n">
        <x:v>47</x:v>
      </x:c>
    </x:row>
    <x:row r="259">
      <x:c r="A259" s="38" t="str">
        <x:v>7月30日现场数据</x:v>
      </x:c>
      <x:c r="B259" s="66" t="str">
        <x:v>2026-07-31T11:00:14.747000</x:v>
      </x:c>
      <x:c r="C259" s="47" t="n">
        <x:v>300970</x:v>
      </x:c>
      <x:c r="D259" s="47" t="str"/>
      <x:c r="E259" s="47" t="str"/>
      <x:c r="F259" s="47" t="str">
        <x:v>current</x:v>
      </x:c>
      <x:c r="G259" s="47" t="n">
        <x:v>255</x:v>
      </x:c>
      <x:c r="H259" s="53" t="b">
        <x:v>1</x:v>
      </x:c>
      <x:c r="I259" s="47" t="str">
        <x:v>3906736965</x:v>
      </x:c>
      <x:c r="J259" s="47" t="n">
        <x:v>76935535</x:v>
      </x:c>
      <x:c r="K259" s="53" t="b">
        <x:v>1</x:v>
      </x:c>
      <x:c r="L259" s="53" t="b">
        <x:v>1</x:v>
      </x:c>
      <x:c r="M259" s="53" t="b">
        <x:v>1</x:v>
      </x:c>
      <x:c r="N259" s="53" t="b">
        <x:v>1</x:v>
      </x:c>
      <x:c r="O259" s="53" t="b">
        <x:v>1</x:v>
      </x:c>
      <x:c r="P259" s="47" t="n">
        <x:v>1010</x:v>
      </x:c>
      <x:c r="Q259" s="47" t="n">
        <x:v>0</x:v>
      </x:c>
      <x:c r="R259" s="47" t="n">
        <x:v>0</x:v>
      </x:c>
      <x:c r="S259" s="47" t="n">
        <x:v>42.02</x:v>
      </x:c>
      <x:c r="T259" s="47" t="n">
        <x:v>58.01</x:v>
      </x:c>
      <x:c r="U259" s="47" t="n">
        <x:v>33.6</x:v>
      </x:c>
      <x:c r="V259" s="47" t="n">
        <x:v>13.3</x:v>
      </x:c>
      <x:c r="W259" s="47" t="n">
        <x:v>125</x:v>
      </x:c>
      <x:c r="X259" s="47" t="n">
        <x:v>334</x:v>
      </x:c>
      <x:c r="Y259" s="41" t="n">
        <x:v>209</x:v>
      </x:c>
    </x:row>
    <x:row r="260">
      <x:c r="A260" s="38" t="str">
        <x:v>7月30日现场数据</x:v>
      </x:c>
      <x:c r="B260" s="66" t="str">
        <x:v>2026-07-31T11:05:15.722000</x:v>
      </x:c>
      <x:c r="C260" s="47" t="n">
        <x:v>300975</x:v>
      </x:c>
      <x:c r="D260" s="47" t="str"/>
      <x:c r="E260" s="47" t="str"/>
      <x:c r="F260" s="47" t="str">
        <x:v>current</x:v>
      </x:c>
      <x:c r="G260" s="47" t="n">
        <x:v>256</x:v>
      </x:c>
      <x:c r="H260" s="53" t="b">
        <x:v>1</x:v>
      </x:c>
      <x:c r="I260" s="47" t="str">
        <x:v>3906736965</x:v>
      </x:c>
      <x:c r="J260" s="47" t="n">
        <x:v>77236510</x:v>
      </x:c>
      <x:c r="K260" s="53" t="b">
        <x:v>1</x:v>
      </x:c>
      <x:c r="L260" s="53" t="b">
        <x:v>1</x:v>
      </x:c>
      <x:c r="M260" s="53" t="b">
        <x:v>1</x:v>
      </x:c>
      <x:c r="N260" s="53" t="b">
        <x:v>1</x:v>
      </x:c>
      <x:c r="O260" s="53" t="b">
        <x:v>1</x:v>
      </x:c>
      <x:c r="P260" s="47" t="n">
        <x:v>1010</x:v>
      </x:c>
      <x:c r="Q260" s="47" t="n">
        <x:v>0</x:v>
      </x:c>
      <x:c r="R260" s="47" t="n">
        <x:v>0</x:v>
      </x:c>
      <x:c r="S260" s="47" t="n">
        <x:v>40.28</x:v>
      </x:c>
      <x:c r="T260" s="47" t="n">
        <x:v>57.07</x:v>
      </x:c>
      <x:c r="U260" s="47" t="n">
        <x:v>33.5</x:v>
      </x:c>
      <x:c r="V260" s="47" t="n">
        <x:v>13.3</x:v>
      </x:c>
      <x:c r="W260" s="47" t="n">
        <x:v>118</x:v>
      </x:c>
      <x:c r="X260" s="47" t="n">
        <x:v>165</x:v>
      </x:c>
      <x:c r="Y260" s="41" t="n">
        <x:v>47</x:v>
      </x:c>
    </x:row>
    <x:row r="261">
      <x:c r="A261" s="38" t="str">
        <x:v>7月30日现场数据</x:v>
      </x:c>
      <x:c r="B261" s="66" t="str">
        <x:v>2026-07-31T11:10:16.699000</x:v>
      </x:c>
      <x:c r="C261" s="47" t="n">
        <x:v>300977</x:v>
      </x:c>
      <x:c r="D261" s="47" t="str"/>
      <x:c r="E261" s="47" t="str"/>
      <x:c r="F261" s="47" t="str">
        <x:v>current</x:v>
      </x:c>
      <x:c r="G261" s="47" t="n">
        <x:v>257</x:v>
      </x:c>
      <x:c r="H261" s="53" t="b">
        <x:v>1</x:v>
      </x:c>
      <x:c r="I261" s="47" t="str">
        <x:v>3906736965</x:v>
      </x:c>
      <x:c r="J261" s="47" t="n">
        <x:v>77537487</x:v>
      </x:c>
      <x:c r="K261" s="53" t="b">
        <x:v>1</x:v>
      </x:c>
      <x:c r="L261" s="53" t="b">
        <x:v>1</x:v>
      </x:c>
      <x:c r="M261" s="53" t="b">
        <x:v>1</x:v>
      </x:c>
      <x:c r="N261" s="53" t="b">
        <x:v>1</x:v>
      </x:c>
      <x:c r="O261" s="53" t="b">
        <x:v>1</x:v>
      </x:c>
      <x:c r="P261" s="47" t="n">
        <x:v>1011</x:v>
      </x:c>
      <x:c r="Q261" s="47" t="n">
        <x:v>0</x:v>
      </x:c>
      <x:c r="R261" s="47" t="n">
        <x:v>0</x:v>
      </x:c>
      <x:c r="S261" s="47" t="n">
        <x:v>41.2</x:v>
      </x:c>
      <x:c r="T261" s="47" t="n">
        <x:v>56.91</x:v>
      </x:c>
      <x:c r="U261" s="47" t="n">
        <x:v>33.5</x:v>
      </x:c>
      <x:c r="V261" s="47" t="n">
        <x:v>13.3</x:v>
      </x:c>
      <x:c r="W261" s="47" t="n">
        <x:v>111</x:v>
      </x:c>
      <x:c r="X261" s="47" t="n">
        <x:v>169</x:v>
      </x:c>
      <x:c r="Y261" s="41" t="n">
        <x:v>58</x:v>
      </x:c>
    </x:row>
    <x:row r="262">
      <x:c r="A262" s="38" t="str">
        <x:v>7月30日现场数据</x:v>
      </x:c>
      <x:c r="B262" s="66" t="str">
        <x:v>2026-07-31T11:15:17.674000</x:v>
      </x:c>
      <x:c r="C262" s="47" t="n">
        <x:v>300975</x:v>
      </x:c>
      <x:c r="D262" s="47" t="str"/>
      <x:c r="E262" s="47" t="str"/>
      <x:c r="F262" s="47" t="str">
        <x:v>current</x:v>
      </x:c>
      <x:c r="G262" s="47" t="n">
        <x:v>258</x:v>
      </x:c>
      <x:c r="H262" s="53" t="b">
        <x:v>1</x:v>
      </x:c>
      <x:c r="I262" s="47" t="str">
        <x:v>3906736965</x:v>
      </x:c>
      <x:c r="J262" s="47" t="n">
        <x:v>77838462</x:v>
      </x:c>
      <x:c r="K262" s="53" t="b">
        <x:v>1</x:v>
      </x:c>
      <x:c r="L262" s="53" t="b">
        <x:v>1</x:v>
      </x:c>
      <x:c r="M262" s="53" t="b">
        <x:v>1</x:v>
      </x:c>
      <x:c r="N262" s="53" t="b">
        <x:v>1</x:v>
      </x:c>
      <x:c r="O262" s="53" t="b">
        <x:v>1</x:v>
      </x:c>
      <x:c r="P262" s="47" t="n">
        <x:v>1010</x:v>
      </x:c>
      <x:c r="Q262" s="47" t="n">
        <x:v>0</x:v>
      </x:c>
      <x:c r="R262" s="47" t="n">
        <x:v>0</x:v>
      </x:c>
      <x:c r="S262" s="47" t="n">
        <x:v>41.29</x:v>
      </x:c>
      <x:c r="T262" s="47" t="n">
        <x:v>56.91</x:v>
      </x:c>
      <x:c r="U262" s="47" t="n">
        <x:v>33.6</x:v>
      </x:c>
      <x:c r="V262" s="47" t="n">
        <x:v>13.3</x:v>
      </x:c>
      <x:c r="W262" s="47" t="n">
        <x:v>104</x:v>
      </x:c>
      <x:c r="X262" s="47" t="n">
        <x:v>300</x:v>
      </x:c>
      <x:c r="Y262" s="41" t="n">
        <x:v>196</x:v>
      </x:c>
    </x:row>
    <x:row r="263">
      <x:c r="A263" s="38" t="str">
        <x:v>7月30日现场数据</x:v>
      </x:c>
      <x:c r="B263" s="66" t="str">
        <x:v>2026-07-31T11:20:18.650000</x:v>
      </x:c>
      <x:c r="C263" s="47" t="n">
        <x:v>300976</x:v>
      </x:c>
      <x:c r="D263" s="47" t="str"/>
      <x:c r="E263" s="47" t="str"/>
      <x:c r="F263" s="47" t="str">
        <x:v>current</x:v>
      </x:c>
      <x:c r="G263" s="47" t="n">
        <x:v>259</x:v>
      </x:c>
      <x:c r="H263" s="53" t="b">
        <x:v>1</x:v>
      </x:c>
      <x:c r="I263" s="47" t="str">
        <x:v>3906736965</x:v>
      </x:c>
      <x:c r="J263" s="47" t="n">
        <x:v>78139438</x:v>
      </x:c>
      <x:c r="K263" s="53" t="b">
        <x:v>1</x:v>
      </x:c>
      <x:c r="L263" s="53" t="b">
        <x:v>1</x:v>
      </x:c>
      <x:c r="M263" s="53" t="b">
        <x:v>1</x:v>
      </x:c>
      <x:c r="N263" s="53" t="b">
        <x:v>1</x:v>
      </x:c>
      <x:c r="O263" s="53" t="b">
        <x:v>1</x:v>
      </x:c>
      <x:c r="P263" s="47" t="n">
        <x:v>1010</x:v>
      </x:c>
      <x:c r="Q263" s="47" t="n">
        <x:v>0</x:v>
      </x:c>
      <x:c r="R263" s="47" t="n">
        <x:v>0</x:v>
      </x:c>
      <x:c r="S263" s="47" t="n">
        <x:v>39.88</x:v>
      </x:c>
      <x:c r="T263" s="47" t="n">
        <x:v>56.42</x:v>
      </x:c>
      <x:c r="U263" s="47" t="n">
        <x:v>33.6</x:v>
      </x:c>
      <x:c r="V263" s="47" t="n">
        <x:v>13.2</x:v>
      </x:c>
      <x:c r="W263" s="47" t="n">
        <x:v>100</x:v>
      </x:c>
      <x:c r="X263" s="47" t="n">
        <x:v>430</x:v>
      </x:c>
      <x:c r="Y263" s="41" t="n">
        <x:v>330</x:v>
      </x:c>
    </x:row>
    <x:row r="264">
      <x:c r="A264" s="38" t="str">
        <x:v>7月30日现场数据</x:v>
      </x:c>
      <x:c r="B264" s="66" t="str">
        <x:v>2026-07-31T11:25:19.632000</x:v>
      </x:c>
      <x:c r="C264" s="47" t="n">
        <x:v>300982</x:v>
      </x:c>
      <x:c r="D264" s="47" t="str"/>
      <x:c r="E264" s="47" t="str"/>
      <x:c r="F264" s="47" t="str">
        <x:v>current</x:v>
      </x:c>
      <x:c r="G264" s="47" t="n">
        <x:v>260</x:v>
      </x:c>
      <x:c r="H264" s="53" t="b">
        <x:v>1</x:v>
      </x:c>
      <x:c r="I264" s="47" t="str">
        <x:v>3906736965</x:v>
      </x:c>
      <x:c r="J264" s="47" t="n">
        <x:v>78440420</x:v>
      </x:c>
      <x:c r="K264" s="53" t="b">
        <x:v>1</x:v>
      </x:c>
      <x:c r="L264" s="53" t="b">
        <x:v>1</x:v>
      </x:c>
      <x:c r="M264" s="53" t="b">
        <x:v>1</x:v>
      </x:c>
      <x:c r="N264" s="53" t="b">
        <x:v>1</x:v>
      </x:c>
      <x:c r="O264" s="53" t="b">
        <x:v>1</x:v>
      </x:c>
      <x:c r="P264" s="47" t="n">
        <x:v>1010</x:v>
      </x:c>
      <x:c r="Q264" s="47" t="n">
        <x:v>0</x:v>
      </x:c>
      <x:c r="R264" s="47" t="n">
        <x:v>0</x:v>
      </x:c>
      <x:c r="S264" s="47" t="n">
        <x:v>38.89</x:v>
      </x:c>
      <x:c r="T264" s="47" t="n">
        <x:v>56.15</x:v>
      </x:c>
      <x:c r="U264" s="47" t="n">
        <x:v>33.5</x:v>
      </x:c>
      <x:c r="V264" s="47" t="n">
        <x:v>13.2</x:v>
      </x:c>
      <x:c r="W264" s="47" t="n">
        <x:v>20</x:v>
      </x:c>
      <x:c r="X264" s="47" t="n">
        <x:v>78</x:v>
      </x:c>
      <x:c r="Y264" s="41" t="n">
        <x:v>58</x:v>
      </x:c>
    </x:row>
    <x:row r="265">
      <x:c r="A265" s="38" t="str">
        <x:v>7月30日现场数据</x:v>
      </x:c>
      <x:c r="B265" s="66" t="str">
        <x:v>2026-07-31T11:30:20.614000</x:v>
      </x:c>
      <x:c r="C265" s="47" t="n">
        <x:v>300982</x:v>
      </x:c>
      <x:c r="D265" s="47" t="str"/>
      <x:c r="E265" s="47" t="str"/>
      <x:c r="F265" s="47" t="str">
        <x:v>current</x:v>
      </x:c>
      <x:c r="G265" s="47" t="n">
        <x:v>261</x:v>
      </x:c>
      <x:c r="H265" s="53" t="b">
        <x:v>1</x:v>
      </x:c>
      <x:c r="I265" s="47" t="str">
        <x:v>3906736965</x:v>
      </x:c>
      <x:c r="J265" s="47" t="n">
        <x:v>78741402</x:v>
      </x:c>
      <x:c r="K265" s="53" t="b">
        <x:v>1</x:v>
      </x:c>
      <x:c r="L265" s="53" t="b">
        <x:v>1</x:v>
      </x:c>
      <x:c r="M265" s="53" t="b">
        <x:v>1</x:v>
      </x:c>
      <x:c r="N265" s="53" t="b">
        <x:v>1</x:v>
      </x:c>
      <x:c r="O265" s="53" t="b">
        <x:v>1</x:v>
      </x:c>
      <x:c r="P265" s="47" t="n">
        <x:v>1010</x:v>
      </x:c>
      <x:c r="Q265" s="47" t="n">
        <x:v>0</x:v>
      </x:c>
      <x:c r="R265" s="47" t="n">
        <x:v>0</x:v>
      </x:c>
      <x:c r="S265" s="47" t="n">
        <x:v>39.56</x:v>
      </x:c>
      <x:c r="T265" s="47" t="n">
        <x:v>55.95</x:v>
      </x:c>
      <x:c r="U265" s="47" t="n">
        <x:v>33.5</x:v>
      </x:c>
      <x:c r="V265" s="47" t="n">
        <x:v>13.2</x:v>
      </x:c>
      <x:c r="W265" s="47" t="n">
        <x:v>94</x:v>
      </x:c>
      <x:c r="X265" s="47" t="n">
        <x:v>203</x:v>
      </x:c>
      <x:c r="Y265" s="41" t="n">
        <x:v>109</x:v>
      </x:c>
    </x:row>
    <x:row r="266">
      <x:c r="A266" s="38" t="str">
        <x:v>7月30日现场数据</x:v>
      </x:c>
      <x:c r="B266" s="66" t="str">
        <x:v>2026-07-31T11:35:21.629000</x:v>
      </x:c>
      <x:c r="C266" s="47" t="n">
        <x:v>301015</x:v>
      </x:c>
      <x:c r="D266" s="47" t="str"/>
      <x:c r="E266" s="47" t="str"/>
      <x:c r="F266" s="47" t="str">
        <x:v>current</x:v>
      </x:c>
      <x:c r="G266" s="47" t="n">
        <x:v>262</x:v>
      </x:c>
      <x:c r="H266" s="53" t="b">
        <x:v>1</x:v>
      </x:c>
      <x:c r="I266" s="47" t="str">
        <x:v>3906736965</x:v>
      </x:c>
      <x:c r="J266" s="47" t="n">
        <x:v>79042417</x:v>
      </x:c>
      <x:c r="K266" s="53" t="b">
        <x:v>1</x:v>
      </x:c>
      <x:c r="L266" s="53" t="b">
        <x:v>1</x:v>
      </x:c>
      <x:c r="M266" s="53" t="b">
        <x:v>1</x:v>
      </x:c>
      <x:c r="N266" s="53" t="b">
        <x:v>1</x:v>
      </x:c>
      <x:c r="O266" s="53" t="b">
        <x:v>1</x:v>
      </x:c>
      <x:c r="P266" s="47" t="n">
        <x:v>1010</x:v>
      </x:c>
      <x:c r="Q266" s="47" t="n">
        <x:v>0</x:v>
      </x:c>
      <x:c r="R266" s="47" t="n">
        <x:v>0</x:v>
      </x:c>
      <x:c r="S266" s="47" t="n">
        <x:v>38.79</x:v>
      </x:c>
      <x:c r="T266" s="47" t="n">
        <x:v>55.81</x:v>
      </x:c>
      <x:c r="U266" s="47" t="n">
        <x:v>33.4</x:v>
      </x:c>
      <x:c r="V266" s="47" t="n">
        <x:v>13.2</x:v>
      </x:c>
      <x:c r="W266" s="47" t="n">
        <x:v>18</x:v>
      </x:c>
      <x:c r="X266" s="47" t="n">
        <x:v>76</x:v>
      </x:c>
      <x:c r="Y266" s="41" t="n">
        <x:v>58</x:v>
      </x:c>
    </x:row>
    <x:row r="267">
      <x:c r="A267" s="38" t="str">
        <x:v>7月30日现场数据</x:v>
      </x:c>
      <x:c r="B267" s="66" t="str">
        <x:v>2026-07-31T11:40:22.588000</x:v>
      </x:c>
      <x:c r="C267" s="47" t="n">
        <x:v>300959</x:v>
      </x:c>
      <x:c r="D267" s="47" t="str"/>
      <x:c r="E267" s="47" t="str"/>
      <x:c r="F267" s="47" t="str">
        <x:v>current</x:v>
      </x:c>
      <x:c r="G267" s="47" t="n">
        <x:v>263</x:v>
      </x:c>
      <x:c r="H267" s="53" t="b">
        <x:v>1</x:v>
      </x:c>
      <x:c r="I267" s="47" t="str">
        <x:v>3906736965</x:v>
      </x:c>
      <x:c r="J267" s="47" t="n">
        <x:v>79343376</x:v>
      </x:c>
      <x:c r="K267" s="53" t="b">
        <x:v>1</x:v>
      </x:c>
      <x:c r="L267" s="53" t="b">
        <x:v>1</x:v>
      </x:c>
      <x:c r="M267" s="53" t="b">
        <x:v>1</x:v>
      </x:c>
      <x:c r="N267" s="53" t="b">
        <x:v>1</x:v>
      </x:c>
      <x:c r="O267" s="53" t="b">
        <x:v>1</x:v>
      </x:c>
      <x:c r="P267" s="47" t="n">
        <x:v>1010</x:v>
      </x:c>
      <x:c r="Q267" s="47" t="n">
        <x:v>0</x:v>
      </x:c>
      <x:c r="R267" s="47" t="n">
        <x:v>0</x:v>
      </x:c>
      <x:c r="S267" s="47" t="n">
        <x:v>38.75</x:v>
      </x:c>
      <x:c r="T267" s="47" t="n">
        <x:v>55.59</x:v>
      </x:c>
      <x:c r="U267" s="47" t="n">
        <x:v>33.4</x:v>
      </x:c>
      <x:c r="V267" s="47" t="n">
        <x:v>13.2</x:v>
      </x:c>
      <x:c r="W267" s="47" t="n">
        <x:v>90</x:v>
      </x:c>
      <x:c r="X267" s="47" t="n">
        <x:v>219</x:v>
      </x:c>
      <x:c r="Y267" s="41" t="n">
        <x:v>129</x:v>
      </x:c>
    </x:row>
    <x:row r="268">
      <x:c r="A268" s="38" t="str">
        <x:v>7月30日现场数据</x:v>
      </x:c>
      <x:c r="B268" s="66" t="str">
        <x:v>2026-07-31T11:45:23.549000</x:v>
      </x:c>
      <x:c r="C268" s="47" t="n">
        <x:v>300961</x:v>
      </x:c>
      <x:c r="D268" s="47" t="str"/>
      <x:c r="E268" s="47" t="str"/>
      <x:c r="F268" s="47" t="str">
        <x:v>current</x:v>
      </x:c>
      <x:c r="G268" s="47" t="n">
        <x:v>264</x:v>
      </x:c>
      <x:c r="H268" s="53" t="b">
        <x:v>1</x:v>
      </x:c>
      <x:c r="I268" s="47" t="str">
        <x:v>3906736965</x:v>
      </x:c>
      <x:c r="J268" s="47" t="n">
        <x:v>79644337</x:v>
      </x:c>
      <x:c r="K268" s="53" t="b">
        <x:v>1</x:v>
      </x:c>
      <x:c r="L268" s="53" t="b">
        <x:v>1</x:v>
      </x:c>
      <x:c r="M268" s="53" t="b">
        <x:v>1</x:v>
      </x:c>
      <x:c r="N268" s="53" t="b">
        <x:v>1</x:v>
      </x:c>
      <x:c r="O268" s="53" t="b">
        <x:v>1</x:v>
      </x:c>
      <x:c r="P268" s="47" t="n">
        <x:v>1010</x:v>
      </x:c>
      <x:c r="Q268" s="47" t="n">
        <x:v>0</x:v>
      </x:c>
      <x:c r="R268" s="47" t="n">
        <x:v>0</x:v>
      </x:c>
      <x:c r="S268" s="47" t="n">
        <x:v>38.56</x:v>
      </x:c>
      <x:c r="T268" s="47" t="n">
        <x:v>55.65</x:v>
      </x:c>
      <x:c r="U268" s="47" t="n">
        <x:v>33.4</x:v>
      </x:c>
      <x:c r="V268" s="47" t="n">
        <x:v>13.2</x:v>
      </x:c>
      <x:c r="W268" s="47" t="n">
        <x:v>68</x:v>
      </x:c>
      <x:c r="X268" s="47" t="n">
        <x:v>149</x:v>
      </x:c>
      <x:c r="Y268" s="41" t="n">
        <x:v>81</x:v>
      </x:c>
    </x:row>
    <x:row r="269">
      <x:c r="A269" s="38" t="str">
        <x:v>7月30日现场数据</x:v>
      </x:c>
      <x:c r="B269" s="66" t="str">
        <x:v>2026-07-31T11:50:24.508000</x:v>
      </x:c>
      <x:c r="C269" s="47" t="n">
        <x:v>300959</x:v>
      </x:c>
      <x:c r="D269" s="47" t="str"/>
      <x:c r="E269" s="47" t="str"/>
      <x:c r="F269" s="47" t="str">
        <x:v>current</x:v>
      </x:c>
      <x:c r="G269" s="47" t="n">
        <x:v>265</x:v>
      </x:c>
      <x:c r="H269" s="53" t="b">
        <x:v>1</x:v>
      </x:c>
      <x:c r="I269" s="47" t="str">
        <x:v>3906736965</x:v>
      </x:c>
      <x:c r="J269" s="47" t="n">
        <x:v>79945296</x:v>
      </x:c>
      <x:c r="K269" s="53" t="b">
        <x:v>1</x:v>
      </x:c>
      <x:c r="L269" s="53" t="b">
        <x:v>1</x:v>
      </x:c>
      <x:c r="M269" s="53" t="b">
        <x:v>1</x:v>
      </x:c>
      <x:c r="N269" s="53" t="b">
        <x:v>1</x:v>
      </x:c>
      <x:c r="O269" s="53" t="b">
        <x:v>1</x:v>
      </x:c>
      <x:c r="P269" s="47" t="n">
        <x:v>1010</x:v>
      </x:c>
      <x:c r="Q269" s="47" t="n">
        <x:v>0</x:v>
      </x:c>
      <x:c r="R269" s="47" t="n">
        <x:v>0</x:v>
      </x:c>
      <x:c r="S269" s="47" t="n">
        <x:v>38.53</x:v>
      </x:c>
      <x:c r="T269" s="47" t="n">
        <x:v>55.48</x:v>
      </x:c>
      <x:c r="U269" s="47" t="n">
        <x:v>33.3</x:v>
      </x:c>
      <x:c r="V269" s="47" t="n">
        <x:v>13.2</x:v>
      </x:c>
      <x:c r="W269" s="47" t="n">
        <x:v>25</x:v>
      </x:c>
      <x:c r="X269" s="47" t="n">
        <x:v>100</x:v>
      </x:c>
      <x:c r="Y269" s="41" t="n">
        <x:v>75</x:v>
      </x:c>
    </x:row>
    <x:row r="270">
      <x:c r="A270" s="38" t="str">
        <x:v>7月30日现场数据</x:v>
      </x:c>
      <x:c r="B270" s="66" t="str">
        <x:v>2026-07-31T11:55:25.471000</x:v>
      </x:c>
      <x:c r="C270" s="47" t="n">
        <x:v>300963</x:v>
      </x:c>
      <x:c r="D270" s="47" t="str"/>
      <x:c r="E270" s="47" t="str"/>
      <x:c r="F270" s="47" t="str">
        <x:v>current</x:v>
      </x:c>
      <x:c r="G270" s="47" t="n">
        <x:v>266</x:v>
      </x:c>
      <x:c r="H270" s="53" t="b">
        <x:v>1</x:v>
      </x:c>
      <x:c r="I270" s="47" t="str">
        <x:v>3906736965</x:v>
      </x:c>
      <x:c r="J270" s="47" t="n">
        <x:v>80246259</x:v>
      </x:c>
      <x:c r="K270" s="53" t="b">
        <x:v>1</x:v>
      </x:c>
      <x:c r="L270" s="53" t="b">
        <x:v>1</x:v>
      </x:c>
      <x:c r="M270" s="53" t="b">
        <x:v>1</x:v>
      </x:c>
      <x:c r="N270" s="53" t="b">
        <x:v>1</x:v>
      </x:c>
      <x:c r="O270" s="53" t="b">
        <x:v>1</x:v>
      </x:c>
      <x:c r="P270" s="47" t="n">
        <x:v>1010</x:v>
      </x:c>
      <x:c r="Q270" s="47" t="n">
        <x:v>0.078</x:v>
      </x:c>
      <x:c r="R270" s="47" t="n">
        <x:v>2.11</x:v>
      </x:c>
      <x:c r="S270" s="47" t="n">
        <x:v>38.88</x:v>
      </x:c>
      <x:c r="T270" s="47" t="n">
        <x:v>55.61</x:v>
      </x:c>
      <x:c r="U270" s="47" t="n">
        <x:v>33.3</x:v>
      </x:c>
      <x:c r="V270" s="47" t="n">
        <x:v>13.1</x:v>
      </x:c>
      <x:c r="W270" s="47" t="n">
        <x:v>85</x:v>
      </x:c>
      <x:c r="X270" s="47" t="n">
        <x:v>187</x:v>
      </x:c>
      <x:c r="Y270" s="41" t="n">
        <x:v>102</x:v>
      </x:c>
    </x:row>
    <x:row r="271">
      <x:c r="A271" s="38" t="str">
        <x:v>7月30日现场数据</x:v>
      </x:c>
      <x:c r="B271" s="66" t="str">
        <x:v>2026-07-31T12:00:26.438000</x:v>
      </x:c>
      <x:c r="C271" s="47" t="n">
        <x:v>300967</x:v>
      </x:c>
      <x:c r="D271" s="47" t="str"/>
      <x:c r="E271" s="47" t="str"/>
      <x:c r="F271" s="47" t="str">
        <x:v>current</x:v>
      </x:c>
      <x:c r="G271" s="47" t="n">
        <x:v>267</x:v>
      </x:c>
      <x:c r="H271" s="53" t="b">
        <x:v>1</x:v>
      </x:c>
      <x:c r="I271" s="47" t="str">
        <x:v>3906736965</x:v>
      </x:c>
      <x:c r="J271" s="47" t="n">
        <x:v>80547226</x:v>
      </x:c>
      <x:c r="K271" s="53" t="b">
        <x:v>1</x:v>
      </x:c>
      <x:c r="L271" s="53" t="b">
        <x:v>1</x:v>
      </x:c>
      <x:c r="M271" s="53" t="b">
        <x:v>1</x:v>
      </x:c>
      <x:c r="N271" s="53" t="b">
        <x:v>1</x:v>
      </x:c>
      <x:c r="O271" s="53" t="b">
        <x:v>1</x:v>
      </x:c>
      <x:c r="P271" s="47" t="n">
        <x:v>1010</x:v>
      </x:c>
      <x:c r="Q271" s="47" t="n">
        <x:v>0</x:v>
      </x:c>
      <x:c r="R271" s="47" t="n">
        <x:v>0</x:v>
      </x:c>
      <x:c r="S271" s="47" t="n">
        <x:v>38.82</x:v>
      </x:c>
      <x:c r="T271" s="47" t="n">
        <x:v>55.4</x:v>
      </x:c>
      <x:c r="U271" s="47" t="n">
        <x:v>33.3</x:v>
      </x:c>
      <x:c r="V271" s="47" t="n">
        <x:v>13.1</x:v>
      </x:c>
      <x:c r="W271" s="47" t="n">
        <x:v>80</x:v>
      </x:c>
      <x:c r="X271" s="47" t="n">
        <x:v>180</x:v>
      </x:c>
      <x:c r="Y271" s="41" t="n">
        <x:v>100</x:v>
      </x:c>
    </x:row>
    <x:row r="272">
      <x:c r="A272" s="38" t="str">
        <x:v>7月30日现场数据</x:v>
      </x:c>
      <x:c r="B272" s="66" t="str">
        <x:v>2026-07-31T12:05:27.408000</x:v>
      </x:c>
      <x:c r="C272" s="47" t="n">
        <x:v>300970</x:v>
      </x:c>
      <x:c r="D272" s="47" t="str"/>
      <x:c r="E272" s="47" t="str"/>
      <x:c r="F272" s="47" t="str">
        <x:v>current</x:v>
      </x:c>
      <x:c r="G272" s="47" t="n">
        <x:v>268</x:v>
      </x:c>
      <x:c r="H272" s="53" t="b">
        <x:v>1</x:v>
      </x:c>
      <x:c r="I272" s="47" t="str">
        <x:v>3906736965</x:v>
      </x:c>
      <x:c r="J272" s="47" t="n">
        <x:v>80848196</x:v>
      </x:c>
      <x:c r="K272" s="53" t="b">
        <x:v>1</x:v>
      </x:c>
      <x:c r="L272" s="53" t="b">
        <x:v>1</x:v>
      </x:c>
      <x:c r="M272" s="53" t="b">
        <x:v>1</x:v>
      </x:c>
      <x:c r="N272" s="53" t="b">
        <x:v>1</x:v>
      </x:c>
      <x:c r="O272" s="53" t="b">
        <x:v>1</x:v>
      </x:c>
      <x:c r="P272" s="47" t="n">
        <x:v>1010</x:v>
      </x:c>
      <x:c r="Q272" s="47" t="n">
        <x:v>0</x:v>
      </x:c>
      <x:c r="R272" s="47" t="n">
        <x:v>0</x:v>
      </x:c>
      <x:c r="S272" s="47" t="n">
        <x:v>40.28</x:v>
      </x:c>
      <x:c r="T272" s="47" t="n">
        <x:v>55.58</x:v>
      </x:c>
      <x:c r="U272" s="47" t="n">
        <x:v>33.3</x:v>
      </x:c>
      <x:c r="V272" s="47" t="n">
        <x:v>13.1</x:v>
      </x:c>
      <x:c r="W272" s="47" t="n">
        <x:v>81</x:v>
      </x:c>
      <x:c r="X272" s="47" t="n">
        <x:v>178</x:v>
      </x:c>
      <x:c r="Y272" s="41" t="n">
        <x:v>97</x:v>
      </x:c>
    </x:row>
    <x:row r="273">
      <x:c r="A273" s="38" t="str">
        <x:v>7月30日现场数据</x:v>
      </x:c>
      <x:c r="B273" s="66" t="str">
        <x:v>2026-07-31T12:10:28.376000</x:v>
      </x:c>
      <x:c r="C273" s="47" t="n">
        <x:v>300968</x:v>
      </x:c>
      <x:c r="D273" s="47" t="str"/>
      <x:c r="E273" s="47" t="str"/>
      <x:c r="F273" s="47" t="str">
        <x:v>current</x:v>
      </x:c>
      <x:c r="G273" s="47" t="n">
        <x:v>269</x:v>
      </x:c>
      <x:c r="H273" s="53" t="b">
        <x:v>1</x:v>
      </x:c>
      <x:c r="I273" s="47" t="str">
        <x:v>3906736965</x:v>
      </x:c>
      <x:c r="J273" s="47" t="n">
        <x:v>81149164</x:v>
      </x:c>
      <x:c r="K273" s="53" t="b">
        <x:v>1</x:v>
      </x:c>
      <x:c r="L273" s="53" t="b">
        <x:v>1</x:v>
      </x:c>
      <x:c r="M273" s="53" t="b">
        <x:v>1</x:v>
      </x:c>
      <x:c r="N273" s="53" t="b">
        <x:v>1</x:v>
      </x:c>
      <x:c r="O273" s="53" t="b">
        <x:v>1</x:v>
      </x:c>
      <x:c r="P273" s="47" t="n">
        <x:v>1009</x:v>
      </x:c>
      <x:c r="Q273" s="47" t="n">
        <x:v>0</x:v>
      </x:c>
      <x:c r="R273" s="47" t="n">
        <x:v>0</x:v>
      </x:c>
      <x:c r="S273" s="47" t="n">
        <x:v>39.59</x:v>
      </x:c>
      <x:c r="T273" s="47" t="n">
        <x:v>55.58</x:v>
      </x:c>
      <x:c r="U273" s="47" t="n">
        <x:v>33.3</x:v>
      </x:c>
      <x:c r="V273" s="47" t="n">
        <x:v>13.1</x:v>
      </x:c>
      <x:c r="W273" s="47" t="n">
        <x:v>55</x:v>
      </x:c>
      <x:c r="X273" s="47" t="n">
        <x:v>152</x:v>
      </x:c>
      <x:c r="Y273" s="41" t="n">
        <x:v>97</x:v>
      </x:c>
    </x:row>
    <x:row r="274">
      <x:c r="A274" s="38" t="str">
        <x:v>7月30日现场数据</x:v>
      </x:c>
      <x:c r="B274" s="66" t="str">
        <x:v>2026-07-31T12:15:29.348000</x:v>
      </x:c>
      <x:c r="C274" s="47" t="n">
        <x:v>300972</x:v>
      </x:c>
      <x:c r="D274" s="47" t="str"/>
      <x:c r="E274" s="47" t="str"/>
      <x:c r="F274" s="47" t="str">
        <x:v>current</x:v>
      </x:c>
      <x:c r="G274" s="47" t="n">
        <x:v>270</x:v>
      </x:c>
      <x:c r="H274" s="53" t="b">
        <x:v>1</x:v>
      </x:c>
      <x:c r="I274" s="47" t="str">
        <x:v>3906736965</x:v>
      </x:c>
      <x:c r="J274" s="47" t="n">
        <x:v>81450136</x:v>
      </x:c>
      <x:c r="K274" s="53" t="b">
        <x:v>1</x:v>
      </x:c>
      <x:c r="L274" s="53" t="b">
        <x:v>1</x:v>
      </x:c>
      <x:c r="M274" s="53" t="b">
        <x:v>1</x:v>
      </x:c>
      <x:c r="N274" s="53" t="b">
        <x:v>1</x:v>
      </x:c>
      <x:c r="O274" s="53" t="b">
        <x:v>1</x:v>
      </x:c>
      <x:c r="P274" s="47" t="n">
        <x:v>1009</x:v>
      </x:c>
      <x:c r="Q274" s="47" t="n">
        <x:v>0</x:v>
      </x:c>
      <x:c r="R274" s="47" t="n">
        <x:v>0</x:v>
      </x:c>
      <x:c r="S274" s="47" t="n">
        <x:v>39.77</x:v>
      </x:c>
      <x:c r="T274" s="47" t="n">
        <x:v>55.56</x:v>
      </x:c>
      <x:c r="U274" s="47" t="n">
        <x:v>33.4</x:v>
      </x:c>
      <x:c r="V274" s="47" t="n">
        <x:v>13.1</x:v>
      </x:c>
      <x:c r="W274" s="47" t="n">
        <x:v>74</x:v>
      </x:c>
      <x:c r="X274" s="47" t="n">
        <x:v>183</x:v>
      </x:c>
      <x:c r="Y274" s="41" t="n">
        <x:v>109</x:v>
      </x:c>
    </x:row>
    <x:row r="275">
      <x:c r="A275" s="38" t="str">
        <x:v>7月30日现场数据</x:v>
      </x:c>
      <x:c r="B275" s="66" t="str">
        <x:v>2026-07-31T12:20:30.324000</x:v>
      </x:c>
      <x:c r="C275" s="47" t="n">
        <x:v>300976</x:v>
      </x:c>
      <x:c r="D275" s="47" t="str"/>
      <x:c r="E275" s="47" t="str"/>
      <x:c r="F275" s="47" t="str">
        <x:v>current</x:v>
      </x:c>
      <x:c r="G275" s="47" t="n">
        <x:v>271</x:v>
      </x:c>
      <x:c r="H275" s="53" t="b">
        <x:v>1</x:v>
      </x:c>
      <x:c r="I275" s="47" t="str">
        <x:v>3906736965</x:v>
      </x:c>
      <x:c r="J275" s="47" t="n">
        <x:v>81751112</x:v>
      </x:c>
      <x:c r="K275" s="53" t="b">
        <x:v>1</x:v>
      </x:c>
      <x:c r="L275" s="53" t="b">
        <x:v>1</x:v>
      </x:c>
      <x:c r="M275" s="53" t="b">
        <x:v>1</x:v>
      </x:c>
      <x:c r="N275" s="53" t="b">
        <x:v>1</x:v>
      </x:c>
      <x:c r="O275" s="53" t="b">
        <x:v>1</x:v>
      </x:c>
      <x:c r="P275" s="47" t="n">
        <x:v>1009</x:v>
      </x:c>
      <x:c r="Q275" s="47" t="n">
        <x:v>0.088</x:v>
      </x:c>
      <x:c r="R275" s="47" t="n">
        <x:v>2.374</x:v>
      </x:c>
      <x:c r="S275" s="47" t="n">
        <x:v>38.85</x:v>
      </x:c>
      <x:c r="T275" s="47" t="n">
        <x:v>55.3</x:v>
      </x:c>
      <x:c r="U275" s="47" t="n">
        <x:v>33.3</x:v>
      </x:c>
      <x:c r="V275" s="47" t="n">
        <x:v>13.1</x:v>
      </x:c>
      <x:c r="W275" s="47" t="n">
        <x:v>69</x:v>
      </x:c>
      <x:c r="X275" s="47" t="n">
        <x:v>250</x:v>
      </x:c>
      <x:c r="Y275" s="41" t="n">
        <x:v>181</x:v>
      </x:c>
    </x:row>
    <x:row r="276">
      <x:c r="A276" s="38" t="str">
        <x:v>7月30日现场数据</x:v>
      </x:c>
      <x:c r="B276" s="66" t="str">
        <x:v>2026-07-31T12:25:31.301000</x:v>
      </x:c>
      <x:c r="C276" s="47" t="n">
        <x:v>300977</x:v>
      </x:c>
      <x:c r="D276" s="47" t="str"/>
      <x:c r="E276" s="47" t="str"/>
      <x:c r="F276" s="47" t="str">
        <x:v>current</x:v>
      </x:c>
      <x:c r="G276" s="47" t="n">
        <x:v>272</x:v>
      </x:c>
      <x:c r="H276" s="53" t="b">
        <x:v>1</x:v>
      </x:c>
      <x:c r="I276" s="47" t="str">
        <x:v>3906736965</x:v>
      </x:c>
      <x:c r="J276" s="47" t="n">
        <x:v>82052089</x:v>
      </x:c>
      <x:c r="K276" s="53" t="b">
        <x:v>1</x:v>
      </x:c>
      <x:c r="L276" s="53" t="b">
        <x:v>1</x:v>
      </x:c>
      <x:c r="M276" s="53" t="b">
        <x:v>1</x:v>
      </x:c>
      <x:c r="N276" s="53" t="b">
        <x:v>1</x:v>
      </x:c>
      <x:c r="O276" s="53" t="b">
        <x:v>1</x:v>
      </x:c>
      <x:c r="P276" s="47" t="n">
        <x:v>1009</x:v>
      </x:c>
      <x:c r="Q276" s="47" t="n">
        <x:v>0.009</x:v>
      </x:c>
      <x:c r="R276" s="47" t="n">
        <x:v>0.231</x:v>
      </x:c>
      <x:c r="S276" s="47" t="n">
        <x:v>38.78</x:v>
      </x:c>
      <x:c r="T276" s="47" t="n">
        <x:v>55.05</x:v>
      </x:c>
      <x:c r="U276" s="47" t="n">
        <x:v>33.3</x:v>
      </x:c>
      <x:c r="V276" s="47" t="n">
        <x:v>13.1</x:v>
      </x:c>
      <x:c r="W276" s="47" t="n">
        <x:v>59</x:v>
      </x:c>
      <x:c r="X276" s="47" t="n">
        <x:v>196</x:v>
      </x:c>
      <x:c r="Y276" s="41" t="n">
        <x:v>137</x:v>
      </x:c>
    </x:row>
    <x:row r="277">
      <x:c r="A277" s="38" t="str">
        <x:v>7月30日现场数据</x:v>
      </x:c>
      <x:c r="B277" s="66" t="str">
        <x:v>2026-07-31T12:30:32.276000</x:v>
      </x:c>
      <x:c r="C277" s="47" t="n">
        <x:v>300975</x:v>
      </x:c>
      <x:c r="D277" s="47" t="str"/>
      <x:c r="E277" s="47" t="str"/>
      <x:c r="F277" s="47" t="str">
        <x:v>current</x:v>
      </x:c>
      <x:c r="G277" s="47" t="n">
        <x:v>273</x:v>
      </x:c>
      <x:c r="H277" s="53" t="b">
        <x:v>1</x:v>
      </x:c>
      <x:c r="I277" s="47" t="str">
        <x:v>3906736965</x:v>
      </x:c>
      <x:c r="J277" s="47" t="n">
        <x:v>82353064</x:v>
      </x:c>
      <x:c r="K277" s="53" t="b">
        <x:v>1</x:v>
      </x:c>
      <x:c r="L277" s="53" t="b">
        <x:v>1</x:v>
      </x:c>
      <x:c r="M277" s="53" t="b">
        <x:v>1</x:v>
      </x:c>
      <x:c r="N277" s="53" t="b">
        <x:v>1</x:v>
      </x:c>
      <x:c r="O277" s="53" t="b">
        <x:v>1</x:v>
      </x:c>
      <x:c r="P277" s="47" t="n">
        <x:v>1009</x:v>
      </x:c>
      <x:c r="Q277" s="47" t="n">
        <x:v>0</x:v>
      </x:c>
      <x:c r="R277" s="47" t="n">
        <x:v>0</x:v>
      </x:c>
      <x:c r="S277" s="47" t="n">
        <x:v>40.34</x:v>
      </x:c>
      <x:c r="T277" s="47" t="n">
        <x:v>55.27</x:v>
      </x:c>
      <x:c r="U277" s="47" t="n">
        <x:v>33.3</x:v>
      </x:c>
      <x:c r="V277" s="47" t="n">
        <x:v>13.1</x:v>
      </x:c>
      <x:c r="W277" s="47" t="n">
        <x:v>67</x:v>
      </x:c>
      <x:c r="X277" s="47" t="n">
        <x:v>179</x:v>
      </x:c>
      <x:c r="Y277" s="41" t="n">
        <x:v>112</x:v>
      </x:c>
    </x:row>
    <x:row r="278">
      <x:c r="A278" s="38" t="str">
        <x:v>7月30日现场数据</x:v>
      </x:c>
      <x:c r="B278" s="66" t="str">
        <x:v>2026-07-31T12:35:33.254000</x:v>
      </x:c>
      <x:c r="C278" s="47" t="n">
        <x:v>300978</x:v>
      </x:c>
      <x:c r="D278" s="47" t="str"/>
      <x:c r="E278" s="47" t="str"/>
      <x:c r="F278" s="47" t="str">
        <x:v>current</x:v>
      </x:c>
      <x:c r="G278" s="47" t="n">
        <x:v>274</x:v>
      </x:c>
      <x:c r="H278" s="53" t="b">
        <x:v>1</x:v>
      </x:c>
      <x:c r="I278" s="47" t="str">
        <x:v>3906736965</x:v>
      </x:c>
      <x:c r="J278" s="47" t="n">
        <x:v>82654042</x:v>
      </x:c>
      <x:c r="K278" s="53" t="b">
        <x:v>1</x:v>
      </x:c>
      <x:c r="L278" s="53" t="b">
        <x:v>1</x:v>
      </x:c>
      <x:c r="M278" s="53" t="b">
        <x:v>1</x:v>
      </x:c>
      <x:c r="N278" s="53" t="b">
        <x:v>1</x:v>
      </x:c>
      <x:c r="O278" s="53" t="b">
        <x:v>1</x:v>
      </x:c>
      <x:c r="P278" s="47" t="n">
        <x:v>1009</x:v>
      </x:c>
      <x:c r="Q278" s="47" t="n">
        <x:v>0.044</x:v>
      </x:c>
      <x:c r="R278" s="47" t="n">
        <x:v>1.187</x:v>
      </x:c>
      <x:c r="S278" s="47" t="n">
        <x:v>40.29</x:v>
      </x:c>
      <x:c r="T278" s="47" t="n">
        <x:v>55.57</x:v>
      </x:c>
      <x:c r="U278" s="47" t="n">
        <x:v>33.4</x:v>
      </x:c>
      <x:c r="V278" s="47" t="n">
        <x:v>13.1</x:v>
      </x:c>
      <x:c r="W278" s="47" t="n">
        <x:v>70</x:v>
      </x:c>
      <x:c r="X278" s="47" t="n">
        <x:v>272</x:v>
      </x:c>
      <x:c r="Y278" s="41" t="n">
        <x:v>202</x:v>
      </x:c>
    </x:row>
    <x:row r="279">
      <x:c r="A279" s="38" t="str">
        <x:v>7月30日现场数据</x:v>
      </x:c>
      <x:c r="B279" s="66" t="str">
        <x:v>2026-07-31T12:40:34.237000</x:v>
      </x:c>
      <x:c r="C279" s="47" t="n">
        <x:v>300983</x:v>
      </x:c>
      <x:c r="D279" s="47" t="str"/>
      <x:c r="E279" s="47" t="str"/>
      <x:c r="F279" s="47" t="str">
        <x:v>current</x:v>
      </x:c>
      <x:c r="G279" s="47" t="n">
        <x:v>275</x:v>
      </x:c>
      <x:c r="H279" s="53" t="b">
        <x:v>1</x:v>
      </x:c>
      <x:c r="I279" s="47" t="str">
        <x:v>3906736965</x:v>
      </x:c>
      <x:c r="J279" s="47" t="n">
        <x:v>82955025</x:v>
      </x:c>
      <x:c r="K279" s="53" t="b">
        <x:v>1</x:v>
      </x:c>
      <x:c r="L279" s="53" t="b">
        <x:v>1</x:v>
      </x:c>
      <x:c r="M279" s="53" t="b">
        <x:v>1</x:v>
      </x:c>
      <x:c r="N279" s="53" t="b">
        <x:v>1</x:v>
      </x:c>
      <x:c r="O279" s="53" t="b">
        <x:v>1</x:v>
      </x:c>
      <x:c r="P279" s="47" t="n">
        <x:v>1009</x:v>
      </x:c>
      <x:c r="Q279" s="47" t="n">
        <x:v>0</x:v>
      </x:c>
      <x:c r="R279" s="47" t="n">
        <x:v>0</x:v>
      </x:c>
      <x:c r="S279" s="47" t="n">
        <x:v>40.13</x:v>
      </x:c>
      <x:c r="T279" s="47" t="n">
        <x:v>55.12</x:v>
      </x:c>
      <x:c r="U279" s="47" t="n">
        <x:v>33.3</x:v>
      </x:c>
      <x:c r="V279" s="47" t="n">
        <x:v>13.1</x:v>
      </x:c>
      <x:c r="W279" s="47" t="n">
        <x:v>67</x:v>
      </x:c>
      <x:c r="X279" s="47" t="n">
        <x:v>187</x:v>
      </x:c>
      <x:c r="Y279" s="41" t="n">
        <x:v>120</x:v>
      </x:c>
    </x:row>
    <x:row r="280">
      <x:c r="A280" s="38" t="str">
        <x:v>7月30日现场数据</x:v>
      </x:c>
      <x:c r="B280" s="66" t="str">
        <x:v>2026-07-31T12:45:35.220000</x:v>
      </x:c>
      <x:c r="C280" s="47" t="n">
        <x:v>300983</x:v>
      </x:c>
      <x:c r="D280" s="47" t="str"/>
      <x:c r="E280" s="47" t="str"/>
      <x:c r="F280" s="47" t="str">
        <x:v>current</x:v>
      </x:c>
      <x:c r="G280" s="47" t="n">
        <x:v>276</x:v>
      </x:c>
      <x:c r="H280" s="53" t="b">
        <x:v>1</x:v>
      </x:c>
      <x:c r="I280" s="47" t="str">
        <x:v>3906736965</x:v>
      </x:c>
      <x:c r="J280" s="47" t="n">
        <x:v>83256008</x:v>
      </x:c>
      <x:c r="K280" s="53" t="b">
        <x:v>1</x:v>
      </x:c>
      <x:c r="L280" s="53" t="b">
        <x:v>1</x:v>
      </x:c>
      <x:c r="M280" s="53" t="b">
        <x:v>1</x:v>
      </x:c>
      <x:c r="N280" s="53" t="b">
        <x:v>1</x:v>
      </x:c>
      <x:c r="O280" s="53" t="b">
        <x:v>1</x:v>
      </x:c>
      <x:c r="P280" s="47" t="n">
        <x:v>1009</x:v>
      </x:c>
      <x:c r="Q280" s="47" t="n">
        <x:v>0</x:v>
      </x:c>
      <x:c r="R280" s="47" t="n">
        <x:v>0</x:v>
      </x:c>
      <x:c r="S280" s="47" t="n">
        <x:v>39.86</x:v>
      </x:c>
      <x:c r="T280" s="47" t="n">
        <x:v>55.11</x:v>
      </x:c>
      <x:c r="U280" s="47" t="n">
        <x:v>33.4</x:v>
      </x:c>
      <x:c r="V280" s="47" t="n">
        <x:v>13.1</x:v>
      </x:c>
      <x:c r="W280" s="47" t="n">
        <x:v>43</x:v>
      </x:c>
      <x:c r="X280" s="47" t="n">
        <x:v>141</x:v>
      </x:c>
      <x:c r="Y280" s="41" t="n">
        <x:v>98</x:v>
      </x:c>
    </x:row>
    <x:row r="281">
      <x:c r="A281" s="38" t="str">
        <x:v>7月30日现场数据</x:v>
      </x:c>
      <x:c r="B281" s="66" t="str">
        <x:v>2026-07-31T12:50:36.202000</x:v>
      </x:c>
      <x:c r="C281" s="47" t="n">
        <x:v>300982</x:v>
      </x:c>
      <x:c r="D281" s="47" t="str"/>
      <x:c r="E281" s="47" t="str"/>
      <x:c r="F281" s="47" t="str">
        <x:v>current</x:v>
      </x:c>
      <x:c r="G281" s="47" t="n">
        <x:v>277</x:v>
      </x:c>
      <x:c r="H281" s="53" t="b">
        <x:v>1</x:v>
      </x:c>
      <x:c r="I281" s="47" t="str">
        <x:v>3906736965</x:v>
      </x:c>
      <x:c r="J281" s="47" t="n">
        <x:v>83556990</x:v>
      </x:c>
      <x:c r="K281" s="53" t="b">
        <x:v>1</x:v>
      </x:c>
      <x:c r="L281" s="53" t="b">
        <x:v>1</x:v>
      </x:c>
      <x:c r="M281" s="53" t="b">
        <x:v>1</x:v>
      </x:c>
      <x:c r="N281" s="53" t="b">
        <x:v>1</x:v>
      </x:c>
      <x:c r="O281" s="53" t="b">
        <x:v>1</x:v>
      </x:c>
      <x:c r="P281" s="47" t="n">
        <x:v>1009</x:v>
      </x:c>
      <x:c r="Q281" s="47" t="n">
        <x:v>0</x:v>
      </x:c>
      <x:c r="R281" s="47" t="n">
        <x:v>0</x:v>
      </x:c>
      <x:c r="S281" s="47" t="n">
        <x:v>41</x:v>
      </x:c>
      <x:c r="T281" s="47" t="n">
        <x:v>55.14</x:v>
      </x:c>
      <x:c r="U281" s="47" t="n">
        <x:v>33.4</x:v>
      </x:c>
      <x:c r="V281" s="47" t="n">
        <x:v>13.1</x:v>
      </x:c>
      <x:c r="W281" s="47" t="n">
        <x:v>64</x:v>
      </x:c>
      <x:c r="X281" s="47" t="n">
        <x:v>176</x:v>
      </x:c>
      <x:c r="Y281" s="41" t="n">
        <x:v>112</x:v>
      </x:c>
    </x:row>
    <x:row r="282">
      <x:c r="A282" s="38" t="str">
        <x:v>7月30日现场数据</x:v>
      </x:c>
      <x:c r="B282" s="66" t="str">
        <x:v>2026-07-31T12:55:37.220000</x:v>
      </x:c>
      <x:c r="C282" s="47" t="n">
        <x:v>301018</x:v>
      </x:c>
      <x:c r="D282" s="47" t="str"/>
      <x:c r="E282" s="47" t="str"/>
      <x:c r="F282" s="47" t="str">
        <x:v>current</x:v>
      </x:c>
      <x:c r="G282" s="47" t="n">
        <x:v>278</x:v>
      </x:c>
      <x:c r="H282" s="53" t="b">
        <x:v>1</x:v>
      </x:c>
      <x:c r="I282" s="47" t="str">
        <x:v>3906736965</x:v>
      </x:c>
      <x:c r="J282" s="47" t="n">
        <x:v>83858008</x:v>
      </x:c>
      <x:c r="K282" s="53" t="b">
        <x:v>1</x:v>
      </x:c>
      <x:c r="L282" s="53" t="b">
        <x:v>1</x:v>
      </x:c>
      <x:c r="M282" s="53" t="b">
        <x:v>1</x:v>
      </x:c>
      <x:c r="N282" s="53" t="b">
        <x:v>1</x:v>
      </x:c>
      <x:c r="O282" s="53" t="b">
        <x:v>1</x:v>
      </x:c>
      <x:c r="P282" s="47" t="n">
        <x:v>1009</x:v>
      </x:c>
      <x:c r="Q282" s="47" t="n">
        <x:v>0.009</x:v>
      </x:c>
      <x:c r="R282" s="47" t="n">
        <x:v>0.231</x:v>
      </x:c>
      <x:c r="S282" s="47" t="n">
        <x:v>41.19</x:v>
      </x:c>
      <x:c r="T282" s="47" t="n">
        <x:v>55.17</x:v>
      </x:c>
      <x:c r="U282" s="47" t="n">
        <x:v>33.5</x:v>
      </x:c>
      <x:c r="V282" s="47" t="n">
        <x:v>13</x:v>
      </x:c>
      <x:c r="W282" s="47" t="n">
        <x:v>60</x:v>
      </x:c>
      <x:c r="X282" s="47" t="n">
        <x:v>175</x:v>
      </x:c>
      <x:c r="Y282" s="41" t="n">
        <x:v>115</x:v>
      </x:c>
    </x:row>
    <x:row r="283">
      <x:c r="A283" s="38" t="str">
        <x:v>7月30日现场数据</x:v>
      </x:c>
      <x:c r="B283" s="66" t="str">
        <x:v>2026-07-31T13:00:38.182000</x:v>
      </x:c>
      <x:c r="C283" s="47" t="n">
        <x:v>300962</x:v>
      </x:c>
      <x:c r="D283" s="47" t="str"/>
      <x:c r="E283" s="47" t="str"/>
      <x:c r="F283" s="47" t="str">
        <x:v>current</x:v>
      </x:c>
      <x:c r="G283" s="47" t="n">
        <x:v>279</x:v>
      </x:c>
      <x:c r="H283" s="53" t="b">
        <x:v>1</x:v>
      </x:c>
      <x:c r="I283" s="47" t="str">
        <x:v>3906736965</x:v>
      </x:c>
      <x:c r="J283" s="47" t="n">
        <x:v>84158970</x:v>
      </x:c>
      <x:c r="K283" s="53" t="b">
        <x:v>1</x:v>
      </x:c>
      <x:c r="L283" s="53" t="b">
        <x:v>1</x:v>
      </x:c>
      <x:c r="M283" s="53" t="b">
        <x:v>1</x:v>
      </x:c>
      <x:c r="N283" s="53" t="b">
        <x:v>1</x:v>
      </x:c>
      <x:c r="O283" s="53" t="b">
        <x:v>1</x:v>
      </x:c>
      <x:c r="P283" s="47" t="n">
        <x:v>1009</x:v>
      </x:c>
      <x:c r="Q283" s="47" t="n">
        <x:v>0</x:v>
      </x:c>
      <x:c r="R283" s="47" t="n">
        <x:v>0</x:v>
      </x:c>
      <x:c r="S283" s="47" t="n">
        <x:v>40.73</x:v>
      </x:c>
      <x:c r="T283" s="47" t="n">
        <x:v>55.03</x:v>
      </x:c>
      <x:c r="U283" s="47" t="n">
        <x:v>33.5</x:v>
      </x:c>
      <x:c r="V283" s="47" t="n">
        <x:v>13</x:v>
      </x:c>
      <x:c r="W283" s="47" t="n">
        <x:v>31</x:v>
      </x:c>
      <x:c r="X283" s="47" t="n">
        <x:v>110</x:v>
      </x:c>
      <x:c r="Y283" s="41" t="n">
        <x:v>79</x:v>
      </x:c>
    </x:row>
    <x:row r="284">
      <x:c r="A284" s="38" t="str">
        <x:v>7月30日现场数据</x:v>
      </x:c>
      <x:c r="B284" s="66" t="str">
        <x:v>2026-07-31T13:05:39.143000</x:v>
      </x:c>
      <x:c r="C284" s="47" t="n">
        <x:v>300961</x:v>
      </x:c>
      <x:c r="D284" s="47" t="str"/>
      <x:c r="E284" s="47" t="str"/>
      <x:c r="F284" s="47" t="str">
        <x:v>current</x:v>
      </x:c>
      <x:c r="G284" s="47" t="n">
        <x:v>280</x:v>
      </x:c>
      <x:c r="H284" s="53" t="b">
        <x:v>1</x:v>
      </x:c>
      <x:c r="I284" s="47" t="str">
        <x:v>3906736965</x:v>
      </x:c>
      <x:c r="J284" s="47" t="n">
        <x:v>84459931</x:v>
      </x:c>
      <x:c r="K284" s="53" t="b">
        <x:v>1</x:v>
      </x:c>
      <x:c r="L284" s="53" t="b">
        <x:v>1</x:v>
      </x:c>
      <x:c r="M284" s="53" t="b">
        <x:v>1</x:v>
      </x:c>
      <x:c r="N284" s="53" t="b">
        <x:v>1</x:v>
      </x:c>
      <x:c r="O284" s="53" t="b">
        <x:v>1</x:v>
      </x:c>
      <x:c r="P284" s="47" t="n">
        <x:v>1009</x:v>
      </x:c>
      <x:c r="Q284" s="47" t="n">
        <x:v>0</x:v>
      </x:c>
      <x:c r="R284" s="47" t="n">
        <x:v>0</x:v>
      </x:c>
      <x:c r="S284" s="47" t="n">
        <x:v>39.8</x:v>
      </x:c>
      <x:c r="T284" s="47" t="n">
        <x:v>54.66</x:v>
      </x:c>
      <x:c r="U284" s="47" t="n">
        <x:v>33.6</x:v>
      </x:c>
      <x:c r="V284" s="47" t="n">
        <x:v>13</x:v>
      </x:c>
      <x:c r="W284" s="47" t="n">
        <x:v>46</x:v>
      </x:c>
      <x:c r="X284" s="47" t="n">
        <x:v>130</x:v>
      </x:c>
      <x:c r="Y284" s="41" t="n">
        <x:v>84</x:v>
      </x:c>
    </x:row>
    <x:row r="285">
      <x:c r="A285" s="38" t="str">
        <x:v>7月30日现场数据</x:v>
      </x:c>
      <x:c r="B285" s="66" t="str">
        <x:v>2026-07-31T13:10:40.106000</x:v>
      </x:c>
      <x:c r="C285" s="47" t="n">
        <x:v>300963</x:v>
      </x:c>
      <x:c r="D285" s="47" t="str"/>
      <x:c r="E285" s="47" t="str"/>
      <x:c r="F285" s="47" t="str">
        <x:v>current</x:v>
      </x:c>
      <x:c r="G285" s="47" t="n">
        <x:v>281</x:v>
      </x:c>
      <x:c r="H285" s="53" t="b">
        <x:v>1</x:v>
      </x:c>
      <x:c r="I285" s="47" t="str">
        <x:v>3906736965</x:v>
      </x:c>
      <x:c r="J285" s="47" t="n">
        <x:v>84760894</x:v>
      </x:c>
      <x:c r="K285" s="53" t="b">
        <x:v>1</x:v>
      </x:c>
      <x:c r="L285" s="53" t="b">
        <x:v>1</x:v>
      </x:c>
      <x:c r="M285" s="53" t="b">
        <x:v>1</x:v>
      </x:c>
      <x:c r="N285" s="53" t="b">
        <x:v>1</x:v>
      </x:c>
      <x:c r="O285" s="53" t="b">
        <x:v>1</x:v>
      </x:c>
      <x:c r="P285" s="47" t="n">
        <x:v>1008</x:v>
      </x:c>
      <x:c r="Q285" s="47" t="n">
        <x:v>0</x:v>
      </x:c>
      <x:c r="R285" s="47" t="n">
        <x:v>0</x:v>
      </x:c>
      <x:c r="S285" s="47" t="n">
        <x:v>39.75</x:v>
      </x:c>
      <x:c r="T285" s="47" t="n">
        <x:v>54.61</x:v>
      </x:c>
      <x:c r="U285" s="47" t="n">
        <x:v>33.6</x:v>
      </x:c>
      <x:c r="V285" s="47" t="n">
        <x:v>13</x:v>
      </x:c>
      <x:c r="W285" s="47" t="n">
        <x:v>22</x:v>
      </x:c>
      <x:c r="X285" s="47" t="n">
        <x:v>87</x:v>
      </x:c>
      <x:c r="Y285" s="41" t="n">
        <x:v>65</x:v>
      </x:c>
    </x:row>
    <x:row r="286">
      <x:c r="A286" s="38" t="str">
        <x:v>7月30日现场数据</x:v>
      </x:c>
      <x:c r="B286" s="66" t="str">
        <x:v>2026-07-31T13:15:41.074000</x:v>
      </x:c>
      <x:c r="C286" s="47" t="n">
        <x:v>300968</x:v>
      </x:c>
      <x:c r="D286" s="47" t="str"/>
      <x:c r="E286" s="47" t="str"/>
      <x:c r="F286" s="47" t="str">
        <x:v>current</x:v>
      </x:c>
      <x:c r="G286" s="47" t="n">
        <x:v>282</x:v>
      </x:c>
      <x:c r="H286" s="53" t="b">
        <x:v>1</x:v>
      </x:c>
      <x:c r="I286" s="47" t="str">
        <x:v>3906736965</x:v>
      </x:c>
      <x:c r="J286" s="47" t="n">
        <x:v>85061862</x:v>
      </x:c>
      <x:c r="K286" s="53" t="b">
        <x:v>1</x:v>
      </x:c>
      <x:c r="L286" s="53" t="b">
        <x:v>1</x:v>
      </x:c>
      <x:c r="M286" s="53" t="b">
        <x:v>1</x:v>
      </x:c>
      <x:c r="N286" s="53" t="b">
        <x:v>1</x:v>
      </x:c>
      <x:c r="O286" s="53" t="b">
        <x:v>1</x:v>
      </x:c>
      <x:c r="P286" s="47" t="n">
        <x:v>1008</x:v>
      </x:c>
      <x:c r="Q286" s="47" t="n">
        <x:v>0</x:v>
      </x:c>
      <x:c r="R286" s="47" t="n">
        <x:v>0</x:v>
      </x:c>
      <x:c r="S286" s="47" t="n">
        <x:v>38.65</x:v>
      </x:c>
      <x:c r="T286" s="47" t="n">
        <x:v>54.34</x:v>
      </x:c>
      <x:c r="U286" s="47" t="n">
        <x:v>33.6</x:v>
      </x:c>
      <x:c r="V286" s="47" t="n">
        <x:v>13</x:v>
      </x:c>
      <x:c r="W286" s="47" t="n">
        <x:v>18</x:v>
      </x:c>
      <x:c r="X286" s="47" t="n">
        <x:v>78</x:v>
      </x:c>
      <x:c r="Y286" s="41" t="n">
        <x:v>60</x:v>
      </x:c>
    </x:row>
    <x:row r="287">
      <x:c r="A287" s="38" t="str">
        <x:v>7月30日现场数据</x:v>
      </x:c>
      <x:c r="B287" s="66" t="str">
        <x:v>2026-07-31T13:20:42.044000</x:v>
      </x:c>
      <x:c r="C287" s="47" t="n">
        <x:v>300970</x:v>
      </x:c>
      <x:c r="D287" s="47" t="str"/>
      <x:c r="E287" s="47" t="str"/>
      <x:c r="F287" s="47" t="str">
        <x:v>current</x:v>
      </x:c>
      <x:c r="G287" s="47" t="n">
        <x:v>283</x:v>
      </x:c>
      <x:c r="H287" s="53" t="b">
        <x:v>1</x:v>
      </x:c>
      <x:c r="I287" s="47" t="str">
        <x:v>3906736965</x:v>
      </x:c>
      <x:c r="J287" s="47" t="n">
        <x:v>85362832</x:v>
      </x:c>
      <x:c r="K287" s="53" t="b">
        <x:v>1</x:v>
      </x:c>
      <x:c r="L287" s="53" t="b">
        <x:v>1</x:v>
      </x:c>
      <x:c r="M287" s="53" t="b">
        <x:v>1</x:v>
      </x:c>
      <x:c r="N287" s="53" t="b">
        <x:v>1</x:v>
      </x:c>
      <x:c r="O287" s="53" t="b">
        <x:v>1</x:v>
      </x:c>
      <x:c r="P287" s="47" t="n">
        <x:v>1008</x:v>
      </x:c>
      <x:c r="Q287" s="47" t="n">
        <x:v>0</x:v>
      </x:c>
      <x:c r="R287" s="47" t="n">
        <x:v>0</x:v>
      </x:c>
      <x:c r="S287" s="47" t="n">
        <x:v>38.46</x:v>
      </x:c>
      <x:c r="T287" s="47" t="n">
        <x:v>54.2</x:v>
      </x:c>
      <x:c r="U287" s="47" t="n">
        <x:v>33.5</x:v>
      </x:c>
      <x:c r="V287" s="47" t="n">
        <x:v>12.8</x:v>
      </x:c>
      <x:c r="W287" s="47" t="n">
        <x:v>17</x:v>
      </x:c>
      <x:c r="X287" s="47" t="n">
        <x:v>73</x:v>
      </x:c>
      <x:c r="Y287" s="41" t="n">
        <x:v>56</x:v>
      </x:c>
    </x:row>
    <x:row r="288">
      <x:c r="A288" s="38" t="str">
        <x:v>7月30日现场数据</x:v>
      </x:c>
      <x:c r="B288" s="66" t="str">
        <x:v>2026-07-31T13:20:43.419000</x:v>
      </x:c>
      <x:c r="C288" s="47" t="n">
        <x:v>1375</x:v>
      </x:c>
      <x:c r="D288" s="47" t="str">
        <x:v>设备重启</x:v>
      </x:c>
      <x:c r="E288" s="47" t="str">
        <x:v>bootSessionId 变化，uptime 重置；土壤温湿度均为 0</x:v>
      </x:c>
      <x:c r="F288" s="47" t="str">
        <x:v>current</x:v>
      </x:c>
      <x:c r="G288" s="47" t="n">
        <x:v>284</x:v>
      </x:c>
      <x:c r="H288" s="53" t="b">
        <x:v>1</x:v>
      </x:c>
      <x:c r="I288" s="47" t="str">
        <x:v>3442566635</x:v>
      </x:c>
      <x:c r="J288" s="47" t="n">
        <x:v>1375</x:v>
      </x:c>
      <x:c r="K288" s="53" t="b">
        <x:v>1</x:v>
      </x:c>
      <x:c r="L288" s="53" t="b">
        <x:v>1</x:v>
      </x:c>
      <x:c r="M288" s="53" t="b">
        <x:v>1</x:v>
      </x:c>
      <x:c r="N288" s="53" t="b">
        <x:v>1</x:v>
      </x:c>
      <x:c r="O288" s="53" t="b">
        <x:v>1</x:v>
      </x:c>
      <x:c r="P288" s="47" t="n">
        <x:v>1008</x:v>
      </x:c>
      <x:c r="Q288" s="47" t="n">
        <x:v>0</x:v>
      </x:c>
      <x:c r="R288" s="47" t="n">
        <x:v>0</x:v>
      </x:c>
      <x:c r="S288" s="47" t="n">
        <x:v>37.88</x:v>
      </x:c>
      <x:c r="T288" s="47" t="n">
        <x:v>53.97</x:v>
      </x:c>
      <x:c r="U288" s="47" t="n">
        <x:v>0</x:v>
      </x:c>
      <x:c r="V288" s="47" t="n">
        <x:v>0</x:v>
      </x:c>
      <x:c r="W288" s="47" t="n">
        <x:v>13</x:v>
      </x:c>
      <x:c r="X288" s="47" t="n">
        <x:v>59</x:v>
      </x:c>
      <x:c r="Y288" s="41" t="n">
        <x:v>46</x:v>
      </x:c>
    </x:row>
    <x:row r="289">
      <x:c r="A289" s="38" t="str">
        <x:v>7月30日现场数据</x:v>
      </x:c>
      <x:c r="B289" s="66" t="str">
        <x:v>2026-07-31T13:25:44.407000</x:v>
      </x:c>
      <x:c r="C289" s="47" t="n">
        <x:v>300988</x:v>
      </x:c>
      <x:c r="D289" s="47" t="str"/>
      <x:c r="E289" s="47" t="str"/>
      <x:c r="F289" s="47" t="str">
        <x:v>current</x:v>
      </x:c>
      <x:c r="G289" s="47" t="n">
        <x:v>285</x:v>
      </x:c>
      <x:c r="H289" s="53" t="b">
        <x:v>1</x:v>
      </x:c>
      <x:c r="I289" s="47" t="str">
        <x:v>3442566635</x:v>
      </x:c>
      <x:c r="J289" s="47" t="n">
        <x:v>302363</x:v>
      </x:c>
      <x:c r="K289" s="53" t="b">
        <x:v>1</x:v>
      </x:c>
      <x:c r="L289" s="53" t="b">
        <x:v>1</x:v>
      </x:c>
      <x:c r="M289" s="53" t="b">
        <x:v>1</x:v>
      </x:c>
      <x:c r="N289" s="53" t="b">
        <x:v>1</x:v>
      </x:c>
      <x:c r="O289" s="53" t="b">
        <x:v>1</x:v>
      </x:c>
      <x:c r="P289" s="47" t="n">
        <x:v>1008</x:v>
      </x:c>
      <x:c r="Q289" s="47" t="n">
        <x:v>0</x:v>
      </x:c>
      <x:c r="R289" s="47" t="n">
        <x:v>0</x:v>
      </x:c>
      <x:c r="S289" s="47" t="n">
        <x:v>36.87</x:v>
      </x:c>
      <x:c r="T289" s="47" t="n">
        <x:v>53.68</x:v>
      </x:c>
      <x:c r="U289" s="47" t="n">
        <x:v>33.4</x:v>
      </x:c>
      <x:c r="V289" s="47" t="n">
        <x:v>12.2</x:v>
      </x:c>
      <x:c r="W289" s="47" t="n">
        <x:v>11</x:v>
      </x:c>
      <x:c r="X289" s="47" t="n">
        <x:v>45</x:v>
      </x:c>
      <x:c r="Y289" s="41" t="n">
        <x:v>34</x:v>
      </x:c>
    </x:row>
    <x:row r="290">
      <x:c r="A290" s="38" t="str">
        <x:v>7月30日现场数据</x:v>
      </x:c>
      <x:c r="B290" s="66" t="str">
        <x:v>2026-07-31T13:30:45.382000</x:v>
      </x:c>
      <x:c r="C290" s="47" t="n">
        <x:v>300975</x:v>
      </x:c>
      <x:c r="D290" s="47" t="str"/>
      <x:c r="E290" s="47" t="str"/>
      <x:c r="F290" s="47" t="str">
        <x:v>current</x:v>
      </x:c>
      <x:c r="G290" s="47" t="n">
        <x:v>286</x:v>
      </x:c>
      <x:c r="H290" s="53" t="b">
        <x:v>1</x:v>
      </x:c>
      <x:c r="I290" s="47" t="str">
        <x:v>3442566635</x:v>
      </x:c>
      <x:c r="J290" s="47" t="n">
        <x:v>603338</x:v>
      </x:c>
      <x:c r="K290" s="53" t="b">
        <x:v>1</x:v>
      </x:c>
      <x:c r="L290" s="53" t="b">
        <x:v>1</x:v>
      </x:c>
      <x:c r="M290" s="53" t="b">
        <x:v>1</x:v>
      </x:c>
      <x:c r="N290" s="53" t="b">
        <x:v>1</x:v>
      </x:c>
      <x:c r="O290" s="53" t="b">
        <x:v>1</x:v>
      </x:c>
      <x:c r="P290" s="47" t="n">
        <x:v>1008</x:v>
      </x:c>
      <x:c r="Q290" s="47" t="n">
        <x:v>0</x:v>
      </x:c>
      <x:c r="R290" s="47" t="n">
        <x:v>0</x:v>
      </x:c>
      <x:c r="S290" s="47" t="n">
        <x:v>36.58</x:v>
      </x:c>
      <x:c r="T290" s="47" t="n">
        <x:v>53.66</x:v>
      </x:c>
      <x:c r="U290" s="47" t="n">
        <x:v>33.4</x:v>
      </x:c>
      <x:c r="V290" s="47" t="n">
        <x:v>12.1</x:v>
      </x:c>
      <x:c r="W290" s="47" t="n">
        <x:v>11</x:v>
      </x:c>
      <x:c r="X290" s="47" t="n">
        <x:v>47</x:v>
      </x:c>
      <x:c r="Y290" s="41" t="n">
        <x:v>36</x:v>
      </x:c>
    </x:row>
    <x:row r="291">
      <x:c r="A291" s="38" t="str">
        <x:v>7月30日现场数据</x:v>
      </x:c>
      <x:c r="B291" s="66" t="str">
        <x:v>2026-07-31T13:35:46.360000</x:v>
      </x:c>
      <x:c r="C291" s="47" t="n">
        <x:v>300978</x:v>
      </x:c>
      <x:c r="D291" s="47" t="str"/>
      <x:c r="E291" s="47" t="str"/>
      <x:c r="F291" s="47" t="str">
        <x:v>current</x:v>
      </x:c>
      <x:c r="G291" s="47" t="n">
        <x:v>287</x:v>
      </x:c>
      <x:c r="H291" s="53" t="b">
        <x:v>1</x:v>
      </x:c>
      <x:c r="I291" s="47" t="str">
        <x:v>3442566635</x:v>
      </x:c>
      <x:c r="J291" s="47" t="n">
        <x:v>904316</x:v>
      </x:c>
      <x:c r="K291" s="53" t="b">
        <x:v>1</x:v>
      </x:c>
      <x:c r="L291" s="53" t="b">
        <x:v>1</x:v>
      </x:c>
      <x:c r="M291" s="53" t="b">
        <x:v>1</x:v>
      </x:c>
      <x:c r="N291" s="53" t="b">
        <x:v>1</x:v>
      </x:c>
      <x:c r="O291" s="53" t="b">
        <x:v>1</x:v>
      </x:c>
      <x:c r="P291" s="47" t="n">
        <x:v>1008</x:v>
      </x:c>
      <x:c r="Q291" s="47" t="n">
        <x:v>0</x:v>
      </x:c>
      <x:c r="R291" s="47" t="n">
        <x:v>0</x:v>
      </x:c>
      <x:c r="S291" s="47" t="n">
        <x:v>36.63</x:v>
      </x:c>
      <x:c r="T291" s="47" t="n">
        <x:v>53.64</x:v>
      </x:c>
      <x:c r="U291" s="47" t="n">
        <x:v>33.3</x:v>
      </x:c>
      <x:c r="V291" s="47" t="n">
        <x:v>12.1</x:v>
      </x:c>
      <x:c r="W291" s="47" t="n">
        <x:v>18</x:v>
      </x:c>
      <x:c r="X291" s="47" t="n">
        <x:v>67</x:v>
      </x:c>
      <x:c r="Y291" s="41" t="n">
        <x:v>49</x:v>
      </x:c>
    </x:row>
    <x:row r="292">
      <x:c r="A292" s="38" t="str">
        <x:v>7月30日现场数据</x:v>
      </x:c>
      <x:c r="B292" s="66" t="str">
        <x:v>2026-07-31T13:40:47.337000</x:v>
      </x:c>
      <x:c r="C292" s="47" t="n">
        <x:v>300977</x:v>
      </x:c>
      <x:c r="D292" s="47" t="str"/>
      <x:c r="E292" s="47" t="str"/>
      <x:c r="F292" s="47" t="str">
        <x:v>current</x:v>
      </x:c>
      <x:c r="G292" s="47" t="n">
        <x:v>288</x:v>
      </x:c>
      <x:c r="H292" s="53" t="b">
        <x:v>1</x:v>
      </x:c>
      <x:c r="I292" s="47" t="str">
        <x:v>3442566635</x:v>
      </x:c>
      <x:c r="J292" s="47" t="n">
        <x:v>1205293</x:v>
      </x:c>
      <x:c r="K292" s="53" t="b">
        <x:v>1</x:v>
      </x:c>
      <x:c r="L292" s="53" t="b">
        <x:v>1</x:v>
      </x:c>
      <x:c r="M292" s="53" t="b">
        <x:v>1</x:v>
      </x:c>
      <x:c r="N292" s="53" t="b">
        <x:v>1</x:v>
      </x:c>
      <x:c r="O292" s="53" t="b">
        <x:v>1</x:v>
      </x:c>
      <x:c r="P292" s="47" t="n">
        <x:v>1008</x:v>
      </x:c>
      <x:c r="Q292" s="47" t="n">
        <x:v>0</x:v>
      </x:c>
      <x:c r="R292" s="47" t="n">
        <x:v>0</x:v>
      </x:c>
      <x:c r="S292" s="47" t="n">
        <x:v>37.32</x:v>
      </x:c>
      <x:c r="T292" s="47" t="n">
        <x:v>53.83</x:v>
      </x:c>
      <x:c r="U292" s="47" t="n">
        <x:v>33.3</x:v>
      </x:c>
      <x:c r="V292" s="47" t="n">
        <x:v>12.1</x:v>
      </x:c>
      <x:c r="W292" s="47" t="n">
        <x:v>22</x:v>
      </x:c>
      <x:c r="X292" s="47" t="n">
        <x:v>89</x:v>
      </x:c>
      <x:c r="Y292" s="41" t="n">
        <x:v>67</x:v>
      </x:c>
    </x:row>
    <x:row r="293">
      <x:c r="A293" s="38" t="str">
        <x:v>7月30日现场数据</x:v>
      </x:c>
      <x:c r="B293" s="66" t="str">
        <x:v>2026-07-31T13:45:48.316000</x:v>
      </x:c>
      <x:c r="C293" s="47" t="n">
        <x:v>300979</x:v>
      </x:c>
      <x:c r="D293" s="47" t="str"/>
      <x:c r="E293" s="47" t="str"/>
      <x:c r="F293" s="47" t="str">
        <x:v>current</x:v>
      </x:c>
      <x:c r="G293" s="47" t="n">
        <x:v>289</x:v>
      </x:c>
      <x:c r="H293" s="53" t="b">
        <x:v>1</x:v>
      </x:c>
      <x:c r="I293" s="47" t="str">
        <x:v>3442566635</x:v>
      </x:c>
      <x:c r="J293" s="47" t="n">
        <x:v>1506272</x:v>
      </x:c>
      <x:c r="K293" s="53" t="b">
        <x:v>1</x:v>
      </x:c>
      <x:c r="L293" s="53" t="b">
        <x:v>1</x:v>
      </x:c>
      <x:c r="M293" s="53" t="b">
        <x:v>1</x:v>
      </x:c>
      <x:c r="N293" s="53" t="b">
        <x:v>1</x:v>
      </x:c>
      <x:c r="O293" s="53" t="b">
        <x:v>1</x:v>
      </x:c>
      <x:c r="P293" s="47" t="n">
        <x:v>1008</x:v>
      </x:c>
      <x:c r="Q293" s="47" t="n">
        <x:v>0</x:v>
      </x:c>
      <x:c r="R293" s="47" t="n">
        <x:v>0</x:v>
      </x:c>
      <x:c r="S293" s="47" t="n">
        <x:v>36.33</x:v>
      </x:c>
      <x:c r="T293" s="47" t="n">
        <x:v>53.77</x:v>
      </x:c>
      <x:c r="U293" s="47" t="n">
        <x:v>33.2</x:v>
      </x:c>
      <x:c r="V293" s="47" t="n">
        <x:v>12.1</x:v>
      </x:c>
      <x:c r="W293" s="47" t="n">
        <x:v>16</x:v>
      </x:c>
      <x:c r="X293" s="47" t="n">
        <x:v>62</x:v>
      </x:c>
      <x:c r="Y293" s="41" t="n">
        <x:v>46</x:v>
      </x:c>
    </x:row>
    <x:row r="294">
      <x:c r="A294" s="38" t="str">
        <x:v>7月30日现场数据</x:v>
      </x:c>
      <x:c r="B294" s="66" t="str">
        <x:v>2026-07-31T13:50:49.298000</x:v>
      </x:c>
      <x:c r="C294" s="47" t="n">
        <x:v>300982</x:v>
      </x:c>
      <x:c r="D294" s="47" t="str"/>
      <x:c r="E294" s="47" t="str"/>
      <x:c r="F294" s="47" t="str">
        <x:v>current</x:v>
      </x:c>
      <x:c r="G294" s="47" t="n">
        <x:v>290</x:v>
      </x:c>
      <x:c r="H294" s="53" t="b">
        <x:v>1</x:v>
      </x:c>
      <x:c r="I294" s="47" t="str">
        <x:v>3442566635</x:v>
      </x:c>
      <x:c r="J294" s="47" t="n">
        <x:v>1807254</x:v>
      </x:c>
      <x:c r="K294" s="53" t="b">
        <x:v>1</x:v>
      </x:c>
      <x:c r="L294" s="53" t="b">
        <x:v>1</x:v>
      </x:c>
      <x:c r="M294" s="53" t="b">
        <x:v>1</x:v>
      </x:c>
      <x:c r="N294" s="53" t="b">
        <x:v>1</x:v>
      </x:c>
      <x:c r="O294" s="53" t="b">
        <x:v>1</x:v>
      </x:c>
      <x:c r="P294" s="47" t="n">
        <x:v>1009</x:v>
      </x:c>
      <x:c r="Q294" s="47" t="n">
        <x:v>0</x:v>
      </x:c>
      <x:c r="R294" s="47" t="n">
        <x:v>0</x:v>
      </x:c>
      <x:c r="S294" s="47" t="n">
        <x:v>35.64</x:v>
      </x:c>
      <x:c r="T294" s="47" t="n">
        <x:v>53.49</x:v>
      </x:c>
      <x:c r="U294" s="47" t="n">
        <x:v>33.1</x:v>
      </x:c>
      <x:c r="V294" s="47" t="n">
        <x:v>12.1</x:v>
      </x:c>
      <x:c r="W294" s="47" t="n">
        <x:v>35</x:v>
      </x:c>
      <x:c r="X294" s="47" t="n">
        <x:v>114</x:v>
      </x:c>
      <x:c r="Y294" s="41" t="n">
        <x:v>79</x:v>
      </x:c>
    </x:row>
    <x:row r="295">
      <x:c r="A295" s="38" t="str">
        <x:v>7月30日现场数据</x:v>
      </x:c>
      <x:c r="B295" s="66" t="str">
        <x:v>2026-07-31T13:55:50.282000</x:v>
      </x:c>
      <x:c r="C295" s="47" t="n">
        <x:v>300984</x:v>
      </x:c>
      <x:c r="D295" s="47" t="str"/>
      <x:c r="E295" s="47" t="str"/>
      <x:c r="F295" s="47" t="str">
        <x:v>current</x:v>
      </x:c>
      <x:c r="G295" s="47" t="n">
        <x:v>291</x:v>
      </x:c>
      <x:c r="H295" s="53" t="b">
        <x:v>1</x:v>
      </x:c>
      <x:c r="I295" s="47" t="str">
        <x:v>3442566635</x:v>
      </x:c>
      <x:c r="J295" s="47" t="n">
        <x:v>2108238</x:v>
      </x:c>
      <x:c r="K295" s="53" t="b">
        <x:v>1</x:v>
      </x:c>
      <x:c r="L295" s="53" t="b">
        <x:v>1</x:v>
      </x:c>
      <x:c r="M295" s="53" t="b">
        <x:v>1</x:v>
      </x:c>
      <x:c r="N295" s="53" t="b">
        <x:v>1</x:v>
      </x:c>
      <x:c r="O295" s="53" t="b">
        <x:v>1</x:v>
      </x:c>
      <x:c r="P295" s="47" t="n">
        <x:v>1008</x:v>
      </x:c>
      <x:c r="Q295" s="47" t="n">
        <x:v>0</x:v>
      </x:c>
      <x:c r="R295" s="47" t="n">
        <x:v>0</x:v>
      </x:c>
      <x:c r="S295" s="47" t="n">
        <x:v>36.17</x:v>
      </x:c>
      <x:c r="T295" s="47" t="n">
        <x:v>53.6</x:v>
      </x:c>
      <x:c r="U295" s="47" t="n">
        <x:v>33.1</x:v>
      </x:c>
      <x:c r="V295" s="47" t="n">
        <x:v>12.1</x:v>
      </x:c>
      <x:c r="W295" s="47" t="n">
        <x:v>38</x:v>
      </x:c>
      <x:c r="X295" s="47" t="n">
        <x:v>144</x:v>
      </x:c>
      <x:c r="Y295" s="41" t="n">
        <x:v>106</x:v>
      </x:c>
    </x:row>
    <x:row r="296">
      <x:c r="A296" s="38" t="str">
        <x:v>7月30日现场数据</x:v>
      </x:c>
      <x:c r="B296" s="66" t="str">
        <x:v>2026-07-31T14:00:51.266000</x:v>
      </x:c>
      <x:c r="C296" s="47" t="n">
        <x:v>300984</x:v>
      </x:c>
      <x:c r="D296" s="47" t="str"/>
      <x:c r="E296" s="47" t="str"/>
      <x:c r="F296" s="47" t="str">
        <x:v>current</x:v>
      </x:c>
      <x:c r="G296" s="47" t="n">
        <x:v>292</x:v>
      </x:c>
      <x:c r="H296" s="53" t="b">
        <x:v>1</x:v>
      </x:c>
      <x:c r="I296" s="47" t="str">
        <x:v>3442566635</x:v>
      </x:c>
      <x:c r="J296" s="47" t="n">
        <x:v>2409222</x:v>
      </x:c>
      <x:c r="K296" s="53" t="b">
        <x:v>1</x:v>
      </x:c>
      <x:c r="L296" s="53" t="b">
        <x:v>1</x:v>
      </x:c>
      <x:c r="M296" s="53" t="b">
        <x:v>1</x:v>
      </x:c>
      <x:c r="N296" s="53" t="b">
        <x:v>1</x:v>
      </x:c>
      <x:c r="O296" s="53" t="b">
        <x:v>1</x:v>
      </x:c>
      <x:c r="P296" s="47" t="n">
        <x:v>1008</x:v>
      </x:c>
      <x:c r="Q296" s="47" t="n">
        <x:v>0.021</x:v>
      </x:c>
      <x:c r="R296" s="47" t="n">
        <x:v>0.56</x:v>
      </x:c>
      <x:c r="S296" s="47" t="n">
        <x:v>37.29</x:v>
      </x:c>
      <x:c r="T296" s="47" t="n">
        <x:v>53.8</x:v>
      </x:c>
      <x:c r="U296" s="47" t="n">
        <x:v>33</x:v>
      </x:c>
      <x:c r="V296" s="47" t="n">
        <x:v>12.1</x:v>
      </x:c>
      <x:c r="W296" s="47" t="n">
        <x:v>49</x:v>
      </x:c>
      <x:c r="X296" s="47" t="n">
        <x:v>163</x:v>
      </x:c>
      <x:c r="Y296" s="41" t="n">
        <x:v>114</x:v>
      </x:c>
    </x:row>
    <x:row r="297">
      <x:c r="A297" s="38" t="str">
        <x:v>7月30日现场数据</x:v>
      </x:c>
      <x:c r="B297" s="66" t="str">
        <x:v>2026-07-31T14:05:52.251000</x:v>
      </x:c>
      <x:c r="C297" s="47" t="n">
        <x:v>300985</x:v>
      </x:c>
      <x:c r="D297" s="47" t="str"/>
      <x:c r="E297" s="47" t="str"/>
      <x:c r="F297" s="47" t="str">
        <x:v>current</x:v>
      </x:c>
      <x:c r="G297" s="47" t="n">
        <x:v>293</x:v>
      </x:c>
      <x:c r="H297" s="53" t="b">
        <x:v>1</x:v>
      </x:c>
      <x:c r="I297" s="47" t="str">
        <x:v>3442566635</x:v>
      </x:c>
      <x:c r="J297" s="47" t="n">
        <x:v>2710207</x:v>
      </x:c>
      <x:c r="K297" s="53" t="b">
        <x:v>1</x:v>
      </x:c>
      <x:c r="L297" s="53" t="b">
        <x:v>1</x:v>
      </x:c>
      <x:c r="M297" s="53" t="b">
        <x:v>1</x:v>
      </x:c>
      <x:c r="N297" s="53" t="b">
        <x:v>1</x:v>
      </x:c>
      <x:c r="O297" s="53" t="b">
        <x:v>1</x:v>
      </x:c>
      <x:c r="P297" s="47" t="n">
        <x:v>1008</x:v>
      </x:c>
      <x:c r="Q297" s="47" t="n">
        <x:v>0</x:v>
      </x:c>
      <x:c r="R297" s="47" t="n">
        <x:v>0</x:v>
      </x:c>
      <x:c r="S297" s="47" t="n">
        <x:v>37.38</x:v>
      </x:c>
      <x:c r="T297" s="47" t="n">
        <x:v>53.98</x:v>
      </x:c>
      <x:c r="U297" s="47" t="n">
        <x:v>33</x:v>
      </x:c>
      <x:c r="V297" s="47" t="n">
        <x:v>12.1</x:v>
      </x:c>
      <x:c r="W297" s="47" t="n">
        <x:v>12</x:v>
      </x:c>
      <x:c r="X297" s="47" t="n">
        <x:v>46</x:v>
      </x:c>
      <x:c r="Y297" s="41" t="n">
        <x:v>34</x:v>
      </x:c>
    </x:row>
    <x:row r="298">
      <x:c r="A298" s="38" t="str">
        <x:v>7月30日现场数据</x:v>
      </x:c>
      <x:c r="B298" s="66" t="str">
        <x:v>2026-07-31T14:10:53.272000</x:v>
      </x:c>
      <x:c r="C298" s="47" t="n">
        <x:v>301021</x:v>
      </x:c>
      <x:c r="D298" s="47" t="str"/>
      <x:c r="E298" s="47" t="str"/>
      <x:c r="F298" s="47" t="str">
        <x:v>current</x:v>
      </x:c>
      <x:c r="G298" s="47" t="n">
        <x:v>294</x:v>
      </x:c>
      <x:c r="H298" s="53" t="b">
        <x:v>1</x:v>
      </x:c>
      <x:c r="I298" s="47" t="str">
        <x:v>3442566635</x:v>
      </x:c>
      <x:c r="J298" s="47" t="n">
        <x:v>3011228</x:v>
      </x:c>
      <x:c r="K298" s="53" t="b">
        <x:v>1</x:v>
      </x:c>
      <x:c r="L298" s="53" t="b">
        <x:v>1</x:v>
      </x:c>
      <x:c r="M298" s="53" t="b">
        <x:v>1</x:v>
      </x:c>
      <x:c r="N298" s="53" t="b">
        <x:v>1</x:v>
      </x:c>
      <x:c r="O298" s="53" t="b">
        <x:v>1</x:v>
      </x:c>
      <x:c r="P298" s="47" t="n">
        <x:v>1008</x:v>
      </x:c>
      <x:c r="Q298" s="47" t="n">
        <x:v>0</x:v>
      </x:c>
      <x:c r="R298" s="47" t="n">
        <x:v>0</x:v>
      </x:c>
      <x:c r="S298" s="47" t="n">
        <x:v>36.53</x:v>
      </x:c>
      <x:c r="T298" s="47" t="n">
        <x:v>53.7</x:v>
      </x:c>
      <x:c r="U298" s="47" t="n">
        <x:v>33</x:v>
      </x:c>
      <x:c r="V298" s="47" t="n">
        <x:v>12.1</x:v>
      </x:c>
      <x:c r="W298" s="47" t="n">
        <x:v>12</x:v>
      </x:c>
      <x:c r="X298" s="47" t="n">
        <x:v>48</x:v>
      </x:c>
      <x:c r="Y298" s="41" t="n">
        <x:v>36</x:v>
      </x:c>
    </x:row>
    <x:row r="299">
      <x:c r="A299" s="38" t="str">
        <x:v>7月30日现场数据</x:v>
      </x:c>
      <x:c r="B299" s="66" t="str">
        <x:v>2026-07-31T14:15:54.237000</x:v>
      </x:c>
      <x:c r="C299" s="47" t="n">
        <x:v>300965</x:v>
      </x:c>
      <x:c r="D299" s="47" t="str"/>
      <x:c r="E299" s="47" t="str"/>
      <x:c r="F299" s="47" t="str">
        <x:v>current</x:v>
      </x:c>
      <x:c r="G299" s="47" t="n">
        <x:v>295</x:v>
      </x:c>
      <x:c r="H299" s="53" t="b">
        <x:v>1</x:v>
      </x:c>
      <x:c r="I299" s="47" t="str">
        <x:v>3442566635</x:v>
      </x:c>
      <x:c r="J299" s="47" t="n">
        <x:v>3312193</x:v>
      </x:c>
      <x:c r="K299" s="53" t="b">
        <x:v>1</x:v>
      </x:c>
      <x:c r="L299" s="53" t="b">
        <x:v>1</x:v>
      </x:c>
      <x:c r="M299" s="53" t="b">
        <x:v>1</x:v>
      </x:c>
      <x:c r="N299" s="53" t="b">
        <x:v>1</x:v>
      </x:c>
      <x:c r="O299" s="53" t="b">
        <x:v>1</x:v>
      </x:c>
      <x:c r="P299" s="47" t="n">
        <x:v>1008</x:v>
      </x:c>
      <x:c r="Q299" s="47" t="n">
        <x:v>0</x:v>
      </x:c>
      <x:c r="R299" s="47" t="n">
        <x:v>0</x:v>
      </x:c>
      <x:c r="S299" s="47" t="n">
        <x:v>35.97</x:v>
      </x:c>
      <x:c r="T299" s="47" t="n">
        <x:v>53.5</x:v>
      </x:c>
      <x:c r="U299" s="47" t="n">
        <x:v>33</x:v>
      </x:c>
      <x:c r="V299" s="47" t="n">
        <x:v>12.1</x:v>
      </x:c>
      <x:c r="W299" s="47" t="n">
        <x:v>6</x:v>
      </x:c>
      <x:c r="X299" s="47" t="n">
        <x:v>25</x:v>
      </x:c>
      <x:c r="Y299" s="41" t="n">
        <x:v>19</x:v>
      </x:c>
    </x:row>
    <x:row r="300">
      <x:c r="A300" s="38" t="str">
        <x:v>7月30日现场数据</x:v>
      </x:c>
      <x:c r="B300" s="66" t="str">
        <x:v>2026-07-31T14:20:55.202000</x:v>
      </x:c>
      <x:c r="C300" s="47" t="n">
        <x:v>300965</x:v>
      </x:c>
      <x:c r="D300" s="47" t="str"/>
      <x:c r="E300" s="47" t="str"/>
      <x:c r="F300" s="47" t="str">
        <x:v>current</x:v>
      </x:c>
      <x:c r="G300" s="47" t="n">
        <x:v>296</x:v>
      </x:c>
      <x:c r="H300" s="53" t="b">
        <x:v>1</x:v>
      </x:c>
      <x:c r="I300" s="47" t="str">
        <x:v>3442566635</x:v>
      </x:c>
      <x:c r="J300" s="47" t="n">
        <x:v>3613158</x:v>
      </x:c>
      <x:c r="K300" s="53" t="b">
        <x:v>1</x:v>
      </x:c>
      <x:c r="L300" s="53" t="b">
        <x:v>1</x:v>
      </x:c>
      <x:c r="M300" s="53" t="b">
        <x:v>1</x:v>
      </x:c>
      <x:c r="N300" s="53" t="b">
        <x:v>1</x:v>
      </x:c>
      <x:c r="O300" s="53" t="b">
        <x:v>1</x:v>
      </x:c>
      <x:c r="P300" s="47" t="n">
        <x:v>1008</x:v>
      </x:c>
      <x:c r="Q300" s="47" t="n">
        <x:v>0</x:v>
      </x:c>
      <x:c r="R300" s="47" t="n">
        <x:v>0</x:v>
      </x:c>
      <x:c r="S300" s="47" t="n">
        <x:v>35.58</x:v>
      </x:c>
      <x:c r="T300" s="47" t="n">
        <x:v>53.38</x:v>
      </x:c>
      <x:c r="U300" s="47" t="n">
        <x:v>32.9</x:v>
      </x:c>
      <x:c r="V300" s="47" t="n">
        <x:v>12.1</x:v>
      </x:c>
      <x:c r="W300" s="47" t="n">
        <x:v>8</x:v>
      </x:c>
      <x:c r="X300" s="47" t="n">
        <x:v>34</x:v>
      </x:c>
      <x:c r="Y300" s="41" t="n">
        <x:v>26</x:v>
      </x:c>
    </x:row>
    <x:row r="301">
      <x:c r="A301" s="38" t="str">
        <x:v>7月30日现场数据</x:v>
      </x:c>
      <x:c r="B301" s="66" t="str">
        <x:v>2026-07-31T14:25:56.170000</x:v>
      </x:c>
      <x:c r="C301" s="47" t="n">
        <x:v>300968</x:v>
      </x:c>
      <x:c r="D301" s="47" t="str"/>
      <x:c r="E301" s="47" t="str"/>
      <x:c r="F301" s="47" t="str">
        <x:v>current</x:v>
      </x:c>
      <x:c r="G301" s="47" t="n">
        <x:v>297</x:v>
      </x:c>
      <x:c r="H301" s="53" t="b">
        <x:v>1</x:v>
      </x:c>
      <x:c r="I301" s="47" t="str">
        <x:v>3442566635</x:v>
      </x:c>
      <x:c r="J301" s="47" t="n">
        <x:v>3914126</x:v>
      </x:c>
      <x:c r="K301" s="53" t="b">
        <x:v>1</x:v>
      </x:c>
      <x:c r="L301" s="53" t="b">
        <x:v>1</x:v>
      </x:c>
      <x:c r="M301" s="53" t="b">
        <x:v>1</x:v>
      </x:c>
      <x:c r="N301" s="53" t="b">
        <x:v>1</x:v>
      </x:c>
      <x:c r="O301" s="53" t="b">
        <x:v>1</x:v>
      </x:c>
      <x:c r="P301" s="47" t="n">
        <x:v>1008</x:v>
      </x:c>
      <x:c r="Q301" s="47" t="n">
        <x:v>0.05</x:v>
      </x:c>
      <x:c r="R301" s="47" t="n">
        <x:v>1.352</x:v>
      </x:c>
      <x:c r="S301" s="47" t="n">
        <x:v>35.27</x:v>
      </x:c>
      <x:c r="T301" s="47" t="n">
        <x:v>53.28</x:v>
      </x:c>
      <x:c r="U301" s="47" t="n">
        <x:v>32.9</x:v>
      </x:c>
      <x:c r="V301" s="47" t="n">
        <x:v>12</x:v>
      </x:c>
      <x:c r="W301" s="47" t="n">
        <x:v>4</x:v>
      </x:c>
      <x:c r="X301" s="47" t="n">
        <x:v>16</x:v>
      </x:c>
      <x:c r="Y301" s="41" t="n">
        <x:v>12</x:v>
      </x:c>
    </x:row>
    <x:row r="302">
      <x:c r="A302" s="38" t="str">
        <x:v>7月30日现场数据</x:v>
      </x:c>
      <x:c r="B302" s="66" t="str">
        <x:v>2026-07-31T14:25:57.509000</x:v>
      </x:c>
      <x:c r="C302" s="47" t="n">
        <x:v>1339</x:v>
      </x:c>
      <x:c r="D302" s="47" t="str">
        <x:v>设备重启</x:v>
      </x:c>
      <x:c r="E302" s="47" t="str">
        <x:v>bootSessionId 变化，uptime 重置；土壤温湿度均为 0</x:v>
      </x:c>
      <x:c r="F302" s="47" t="str">
        <x:v>current</x:v>
      </x:c>
      <x:c r="G302" s="47" t="n">
        <x:v>298</x:v>
      </x:c>
      <x:c r="H302" s="53" t="b">
        <x:v>1</x:v>
      </x:c>
      <x:c r="I302" s="47" t="str">
        <x:v>3045069830</x:v>
      </x:c>
      <x:c r="J302" s="47" t="n">
        <x:v>1339</x:v>
      </x:c>
      <x:c r="K302" s="53" t="b">
        <x:v>1</x:v>
      </x:c>
      <x:c r="L302" s="53" t="b">
        <x:v>1</x:v>
      </x:c>
      <x:c r="M302" s="53" t="b">
        <x:v>1</x:v>
      </x:c>
      <x:c r="N302" s="53" t="b">
        <x:v>1</x:v>
      </x:c>
      <x:c r="O302" s="53" t="b">
        <x:v>1</x:v>
      </x:c>
      <x:c r="P302" s="47" t="n">
        <x:v>1008</x:v>
      </x:c>
      <x:c r="Q302" s="47" t="n">
        <x:v>0.065</x:v>
      </x:c>
      <x:c r="R302" s="47" t="n">
        <x:v>1.747</x:v>
      </x:c>
      <x:c r="S302" s="47" t="n">
        <x:v>35.12</x:v>
      </x:c>
      <x:c r="T302" s="47" t="n">
        <x:v>53.21</x:v>
      </x:c>
      <x:c r="U302" s="47" t="n">
        <x:v>0</x:v>
      </x:c>
      <x:c r="V302" s="47" t="n">
        <x:v>0</x:v>
      </x:c>
      <x:c r="W302" s="47" t="n">
        <x:v>2</x:v>
      </x:c>
      <x:c r="X302" s="47" t="n">
        <x:v>10</x:v>
      </x:c>
      <x:c r="Y302" s="41" t="n">
        <x:v>8</x:v>
      </x:c>
    </x:row>
    <x:row r="303">
      <x:c r="A303" s="38" t="str">
        <x:v>7月30日现场数据</x:v>
      </x:c>
      <x:c r="B303" s="66" t="str">
        <x:v>2026-07-31T14:30:58.490000</x:v>
      </x:c>
      <x:c r="C303" s="47" t="n">
        <x:v>300981</x:v>
      </x:c>
      <x:c r="D303" s="47" t="str"/>
      <x:c r="E303" s="47" t="str"/>
      <x:c r="F303" s="47" t="str">
        <x:v>current</x:v>
      </x:c>
      <x:c r="G303" s="47" t="n">
        <x:v>299</x:v>
      </x:c>
      <x:c r="H303" s="53" t="b">
        <x:v>1</x:v>
      </x:c>
      <x:c r="I303" s="47" t="str">
        <x:v>3045069830</x:v>
      </x:c>
      <x:c r="J303" s="47" t="n">
        <x:v>302320</x:v>
      </x:c>
      <x:c r="K303" s="53" t="b">
        <x:v>1</x:v>
      </x:c>
      <x:c r="L303" s="53" t="b">
        <x:v>1</x:v>
      </x:c>
      <x:c r="M303" s="53" t="b">
        <x:v>1</x:v>
      </x:c>
      <x:c r="N303" s="53" t="b">
        <x:v>1</x:v>
      </x:c>
      <x:c r="O303" s="53" t="b">
        <x:v>1</x:v>
      </x:c>
      <x:c r="P303" s="47" t="n">
        <x:v>1008</x:v>
      </x:c>
      <x:c r="Q303" s="47" t="n">
        <x:v>0.128</x:v>
      </x:c>
      <x:c r="R303" s="47" t="n">
        <x:v>3.462</x:v>
      </x:c>
      <x:c r="S303" s="47" t="n">
        <x:v>33.99</x:v>
      </x:c>
      <x:c r="T303" s="47" t="n">
        <x:v>53.04</x:v>
      </x:c>
      <x:c r="U303" s="47" t="n">
        <x:v>32.7</x:v>
      </x:c>
      <x:c r="V303" s="47" t="n">
        <x:v>12.2</x:v>
      </x:c>
      <x:c r="W303" s="47" t="n">
        <x:v>1</x:v>
      </x:c>
      <x:c r="X303" s="47" t="n">
        <x:v>6</x:v>
      </x:c>
      <x:c r="Y303" s="41" t="n">
        <x:v>5</x:v>
      </x:c>
    </x:row>
    <x:row r="304">
      <x:c r="A304" s="38" t="str">
        <x:v>7月30日现场数据</x:v>
      </x:c>
      <x:c r="B304" s="66" t="str">
        <x:v>2026-07-31T14:35:59.463000</x:v>
      </x:c>
      <x:c r="C304" s="47" t="n">
        <x:v>300973</x:v>
      </x:c>
      <x:c r="D304" s="47" t="str"/>
      <x:c r="E304" s="47" t="str"/>
      <x:c r="F304" s="47" t="str">
        <x:v>current</x:v>
      </x:c>
      <x:c r="G304" s="47" t="n">
        <x:v>300</x:v>
      </x:c>
      <x:c r="H304" s="53" t="b">
        <x:v>1</x:v>
      </x:c>
      <x:c r="I304" s="47" t="str">
        <x:v>3045069830</x:v>
      </x:c>
      <x:c r="J304" s="47" t="n">
        <x:v>603293</x:v>
      </x:c>
      <x:c r="K304" s="53" t="b">
        <x:v>1</x:v>
      </x:c>
      <x:c r="L304" s="53" t="b">
        <x:v>1</x:v>
      </x:c>
      <x:c r="M304" s="53" t="b">
        <x:v>1</x:v>
      </x:c>
      <x:c r="N304" s="53" t="b">
        <x:v>1</x:v>
      </x:c>
      <x:c r="O304" s="53" t="b">
        <x:v>1</x:v>
      </x:c>
      <x:c r="P304" s="47" t="n">
        <x:v>1008</x:v>
      </x:c>
      <x:c r="Q304" s="47" t="n">
        <x:v>0.055</x:v>
      </x:c>
      <x:c r="R304" s="47" t="n">
        <x:v>1.484</x:v>
      </x:c>
      <x:c r="S304" s="47" t="n">
        <x:v>33.49</x:v>
      </x:c>
      <x:c r="T304" s="47" t="n">
        <x:v>52.81</x:v>
      </x:c>
      <x:c r="U304" s="47" t="n">
        <x:v>32.6</x:v>
      </x:c>
      <x:c r="V304" s="47" t="n">
        <x:v>12.2</x:v>
      </x:c>
      <x:c r="W304" s="47" t="n">
        <x:v>3</x:v>
      </x:c>
      <x:c r="X304" s="47" t="n">
        <x:v>10</x:v>
      </x:c>
      <x:c r="Y304" s="41" t="n">
        <x:v>7</x:v>
      </x:c>
    </x:row>
    <x:row r="305">
      <x:c r="A305" s="38" t="str">
        <x:v>7月30日现场数据</x:v>
      </x:c>
      <x:c r="B305" s="66" t="str">
        <x:v>2026-07-31T14:41:00.439000</x:v>
      </x:c>
      <x:c r="C305" s="47" t="n">
        <x:v>300976</x:v>
      </x:c>
      <x:c r="D305" s="47" t="str"/>
      <x:c r="E305" s="47" t="str"/>
      <x:c r="F305" s="47" t="str">
        <x:v>current</x:v>
      </x:c>
      <x:c r="G305" s="47" t="n">
        <x:v>301</x:v>
      </x:c>
      <x:c r="H305" s="53" t="b">
        <x:v>1</x:v>
      </x:c>
      <x:c r="I305" s="47" t="str">
        <x:v>3045069830</x:v>
      </x:c>
      <x:c r="J305" s="47" t="n">
        <x:v>904269</x:v>
      </x:c>
      <x:c r="K305" s="53" t="b">
        <x:v>1</x:v>
      </x:c>
      <x:c r="L305" s="53" t="b">
        <x:v>1</x:v>
      </x:c>
      <x:c r="M305" s="53" t="b">
        <x:v>1</x:v>
      </x:c>
      <x:c r="N305" s="53" t="b">
        <x:v>1</x:v>
      </x:c>
      <x:c r="O305" s="53" t="b">
        <x:v>1</x:v>
      </x:c>
      <x:c r="P305" s="47" t="n">
        <x:v>1008</x:v>
      </x:c>
      <x:c r="Q305" s="47" t="n">
        <x:v>0</x:v>
      </x:c>
      <x:c r="R305" s="47" t="n">
        <x:v>0</x:v>
      </x:c>
      <x:c r="S305" s="47" t="n">
        <x:v>33.18</x:v>
      </x:c>
      <x:c r="T305" s="47" t="n">
        <x:v>52.71</x:v>
      </x:c>
      <x:c r="U305" s="47" t="n">
        <x:v>32.5</x:v>
      </x:c>
      <x:c r="V305" s="47" t="n">
        <x:v>12.2</x:v>
      </x:c>
      <x:c r="W305" s="47" t="n">
        <x:v>3</x:v>
      </x:c>
      <x:c r="X305" s="47" t="n">
        <x:v>11</x:v>
      </x:c>
      <x:c r="Y305" s="41" t="n">
        <x:v>8</x:v>
      </x:c>
    </x:row>
    <x:row r="306">
      <x:c r="A306" s="38" t="str">
        <x:v>7月30日现场数据</x:v>
      </x:c>
      <x:c r="B306" s="66" t="str">
        <x:v>2026-07-31T14:46:01.416000</x:v>
      </x:c>
      <x:c r="C306" s="47" t="n">
        <x:v>300977</x:v>
      </x:c>
      <x:c r="D306" s="47" t="str"/>
      <x:c r="E306" s="47" t="str"/>
      <x:c r="F306" s="47" t="str">
        <x:v>current</x:v>
      </x:c>
      <x:c r="G306" s="47" t="n">
        <x:v>302</x:v>
      </x:c>
      <x:c r="H306" s="53" t="b">
        <x:v>1</x:v>
      </x:c>
      <x:c r="I306" s="47" t="str">
        <x:v>3045069830</x:v>
      </x:c>
      <x:c r="J306" s="47" t="n">
        <x:v>1205246</x:v>
      </x:c>
      <x:c r="K306" s="53" t="b">
        <x:v>1</x:v>
      </x:c>
      <x:c r="L306" s="53" t="b">
        <x:v>1</x:v>
      </x:c>
      <x:c r="M306" s="53" t="b">
        <x:v>1</x:v>
      </x:c>
      <x:c r="N306" s="53" t="b">
        <x:v>1</x:v>
      </x:c>
      <x:c r="O306" s="53" t="b">
        <x:v>1</x:v>
      </x:c>
      <x:c r="P306" s="47" t="n">
        <x:v>1008</x:v>
      </x:c>
      <x:c r="Q306" s="47" t="n">
        <x:v>0</x:v>
      </x:c>
      <x:c r="R306" s="47" t="n">
        <x:v>0</x:v>
      </x:c>
      <x:c r="S306" s="47" t="n">
        <x:v>33.16</x:v>
      </x:c>
      <x:c r="T306" s="47" t="n">
        <x:v>52.65</x:v>
      </x:c>
      <x:c r="U306" s="47" t="n">
        <x:v>32.5</x:v>
      </x:c>
      <x:c r="V306" s="47" t="n">
        <x:v>12.2</x:v>
      </x:c>
      <x:c r="W306" s="47" t="n">
        <x:v>2</x:v>
      </x:c>
      <x:c r="X306" s="47" t="n">
        <x:v>9</x:v>
      </x:c>
      <x:c r="Y306" s="41" t="n">
        <x:v>7</x:v>
      </x:c>
    </x:row>
    <x:row r="307">
      <x:c r="A307" s="38" t="str">
        <x:v>7月30日现场数据</x:v>
      </x:c>
      <x:c r="B307" s="66" t="str">
        <x:v>2026-07-31T14:51:02.395000</x:v>
      </x:c>
      <x:c r="C307" s="47" t="n">
        <x:v>300979</x:v>
      </x:c>
      <x:c r="D307" s="47" t="str"/>
      <x:c r="E307" s="47" t="str"/>
      <x:c r="F307" s="47" t="str">
        <x:v>current</x:v>
      </x:c>
      <x:c r="G307" s="47" t="n">
        <x:v>303</x:v>
      </x:c>
      <x:c r="H307" s="53" t="b">
        <x:v>1</x:v>
      </x:c>
      <x:c r="I307" s="47" t="str">
        <x:v>3045069830</x:v>
      </x:c>
      <x:c r="J307" s="47" t="n">
        <x:v>1506225</x:v>
      </x:c>
      <x:c r="K307" s="53" t="b">
        <x:v>1</x:v>
      </x:c>
      <x:c r="L307" s="53" t="b">
        <x:v>1</x:v>
      </x:c>
      <x:c r="M307" s="53" t="b">
        <x:v>1</x:v>
      </x:c>
      <x:c r="N307" s="53" t="b">
        <x:v>1</x:v>
      </x:c>
      <x:c r="O307" s="53" t="b">
        <x:v>1</x:v>
      </x:c>
      <x:c r="P307" s="47" t="n">
        <x:v>1008</x:v>
      </x:c>
      <x:c r="Q307" s="47" t="n">
        <x:v>0</x:v>
      </x:c>
      <x:c r="R307" s="47" t="n">
        <x:v>0</x:v>
      </x:c>
      <x:c r="S307" s="47" t="n">
        <x:v>32.74</x:v>
      </x:c>
      <x:c r="T307" s="47" t="n">
        <x:v>52.65</x:v>
      </x:c>
      <x:c r="U307" s="47" t="n">
        <x:v>32.4</x:v>
      </x:c>
      <x:c r="V307" s="47" t="n">
        <x:v>12.2</x:v>
      </x:c>
      <x:c r="W307" s="47" t="n">
        <x:v>2</x:v>
      </x:c>
      <x:c r="X307" s="47" t="n">
        <x:v>9</x:v>
      </x:c>
      <x:c r="Y307" s="41" t="n">
        <x:v>7</x:v>
      </x:c>
    </x:row>
    <x:row r="308">
      <x:c r="A308" s="38" t="str">
        <x:v>7月30日现场数据</x:v>
      </x:c>
      <x:c r="B308" s="66" t="str">
        <x:v>2026-07-31T14:56:03.376000</x:v>
      </x:c>
      <x:c r="C308" s="47" t="n">
        <x:v>300981</x:v>
      </x:c>
      <x:c r="D308" s="47" t="str"/>
      <x:c r="E308" s="47" t="str"/>
      <x:c r="F308" s="47" t="str">
        <x:v>current</x:v>
      </x:c>
      <x:c r="G308" s="47" t="n">
        <x:v>304</x:v>
      </x:c>
      <x:c r="H308" s="53" t="b">
        <x:v>1</x:v>
      </x:c>
      <x:c r="I308" s="47" t="str">
        <x:v>3045069830</x:v>
      </x:c>
      <x:c r="J308" s="47" t="n">
        <x:v>1807206</x:v>
      </x:c>
      <x:c r="K308" s="53" t="b">
        <x:v>1</x:v>
      </x:c>
      <x:c r="L308" s="53" t="b">
        <x:v>1</x:v>
      </x:c>
      <x:c r="M308" s="53" t="b">
        <x:v>1</x:v>
      </x:c>
      <x:c r="N308" s="53" t="b">
        <x:v>1</x:v>
      </x:c>
      <x:c r="O308" s="53" t="b">
        <x:v>1</x:v>
      </x:c>
      <x:c r="P308" s="47" t="n">
        <x:v>1008</x:v>
      </x:c>
      <x:c r="Q308" s="47" t="n">
        <x:v>0</x:v>
      </x:c>
      <x:c r="R308" s="47" t="n">
        <x:v>0</x:v>
      </x:c>
      <x:c r="S308" s="47" t="n">
        <x:v>32.58</x:v>
      </x:c>
      <x:c r="T308" s="47" t="n">
        <x:v>52.7</x:v>
      </x:c>
      <x:c r="U308" s="47" t="n">
        <x:v>32.3</x:v>
      </x:c>
      <x:c r="V308" s="47" t="n">
        <x:v>12.1</x:v>
      </x:c>
      <x:c r="W308" s="47" t="n">
        <x:v>3</x:v>
      </x:c>
      <x:c r="X308" s="47" t="n">
        <x:v>11</x:v>
      </x:c>
      <x:c r="Y308" s="41" t="n">
        <x:v>8</x:v>
      </x:c>
    </x:row>
    <x:row r="309">
      <x:c r="A309" s="38" t="str">
        <x:v>7月30日现场数据</x:v>
      </x:c>
      <x:c r="B309" s="66" t="str">
        <x:v>2026-07-31T15:01:04.359000</x:v>
      </x:c>
      <x:c r="C309" s="47" t="n">
        <x:v>300983</x:v>
      </x:c>
      <x:c r="D309" s="47" t="str"/>
      <x:c r="E309" s="47" t="str"/>
      <x:c r="F309" s="47" t="str">
        <x:v>current</x:v>
      </x:c>
      <x:c r="G309" s="47" t="n">
        <x:v>305</x:v>
      </x:c>
      <x:c r="H309" s="53" t="b">
        <x:v>1</x:v>
      </x:c>
      <x:c r="I309" s="47" t="str">
        <x:v>3045069830</x:v>
      </x:c>
      <x:c r="J309" s="47" t="n">
        <x:v>2108189</x:v>
      </x:c>
      <x:c r="K309" s="53" t="b">
        <x:v>1</x:v>
      </x:c>
      <x:c r="L309" s="53" t="b">
        <x:v>1</x:v>
      </x:c>
      <x:c r="M309" s="53" t="b">
        <x:v>1</x:v>
      </x:c>
      <x:c r="N309" s="53" t="b">
        <x:v>1</x:v>
      </x:c>
      <x:c r="O309" s="53" t="b">
        <x:v>1</x:v>
      </x:c>
      <x:c r="P309" s="47" t="n">
        <x:v>1008</x:v>
      </x:c>
      <x:c r="Q309" s="47" t="n">
        <x:v>0</x:v>
      </x:c>
      <x:c r="R309" s="47" t="n">
        <x:v>0</x:v>
      </x:c>
      <x:c r="S309" s="47" t="n">
        <x:v>32.44</x:v>
      </x:c>
      <x:c r="T309" s="47" t="n">
        <x:v>52.7</x:v>
      </x:c>
      <x:c r="U309" s="47" t="n">
        <x:v>32.2</x:v>
      </x:c>
      <x:c r="V309" s="47" t="n">
        <x:v>12.1</x:v>
      </x:c>
      <x:c r="W309" s="47" t="n">
        <x:v>4</x:v>
      </x:c>
      <x:c r="X309" s="47" t="n">
        <x:v>13</x:v>
      </x:c>
      <x:c r="Y309" s="41" t="n">
        <x:v>9</x:v>
      </x:c>
    </x:row>
    <x:row r="310">
      <x:c r="A310" s="38" t="str">
        <x:v>7月30日现场数据</x:v>
      </x:c>
      <x:c r="B310" s="66" t="str">
        <x:v>2026-07-31T15:06:05.343000</x:v>
      </x:c>
      <x:c r="C310" s="47" t="n">
        <x:v>300984</x:v>
      </x:c>
      <x:c r="D310" s="47" t="str"/>
      <x:c r="E310" s="47" t="str"/>
      <x:c r="F310" s="47" t="str">
        <x:v>current</x:v>
      </x:c>
      <x:c r="G310" s="47" t="n">
        <x:v>306</x:v>
      </x:c>
      <x:c r="H310" s="53" t="b">
        <x:v>1</x:v>
      </x:c>
      <x:c r="I310" s="47" t="str">
        <x:v>3045069830</x:v>
      </x:c>
      <x:c r="J310" s="47" t="n">
        <x:v>2409173</x:v>
      </x:c>
      <x:c r="K310" s="53" t="b">
        <x:v>1</x:v>
      </x:c>
      <x:c r="L310" s="53" t="b">
        <x:v>1</x:v>
      </x:c>
      <x:c r="M310" s="53" t="b">
        <x:v>1</x:v>
      </x:c>
      <x:c r="N310" s="53" t="b">
        <x:v>1</x:v>
      </x:c>
      <x:c r="O310" s="53" t="b">
        <x:v>1</x:v>
      </x:c>
      <x:c r="P310" s="47" t="n">
        <x:v>1008</x:v>
      </x:c>
      <x:c r="Q310" s="47" t="n">
        <x:v>0</x:v>
      </x:c>
      <x:c r="R310" s="47" t="n">
        <x:v>0</x:v>
      </x:c>
      <x:c r="S310" s="47" t="n">
        <x:v>32.3</x:v>
      </x:c>
      <x:c r="T310" s="47" t="n">
        <x:v>52.63</x:v>
      </x:c>
      <x:c r="U310" s="47" t="n">
        <x:v>32.2</x:v>
      </x:c>
      <x:c r="V310" s="47" t="n">
        <x:v>12.1</x:v>
      </x:c>
      <x:c r="W310" s="47" t="n">
        <x:v>4</x:v>
      </x:c>
      <x:c r="X310" s="47" t="n">
        <x:v>13</x:v>
      </x:c>
      <x:c r="Y310" s="41" t="n">
        <x:v>9</x:v>
      </x:c>
    </x:row>
    <x:row r="311">
      <x:c r="A311" s="38" t="str">
        <x:v>7月30日现场数据</x:v>
      </x:c>
      <x:c r="B311" s="66" t="str">
        <x:v>2026-07-31T15:11:06.329000</x:v>
      </x:c>
      <x:c r="C311" s="47" t="n">
        <x:v>300986</x:v>
      </x:c>
      <x:c r="D311" s="47" t="str"/>
      <x:c r="E311" s="47" t="str"/>
      <x:c r="F311" s="47" t="str">
        <x:v>current</x:v>
      </x:c>
      <x:c r="G311" s="47" t="n">
        <x:v>307</x:v>
      </x:c>
      <x:c r="H311" s="53" t="b">
        <x:v>1</x:v>
      </x:c>
      <x:c r="I311" s="47" t="str">
        <x:v>3045069830</x:v>
      </x:c>
      <x:c r="J311" s="47" t="n">
        <x:v>2710159</x:v>
      </x:c>
      <x:c r="K311" s="53" t="b">
        <x:v>1</x:v>
      </x:c>
      <x:c r="L311" s="53" t="b">
        <x:v>1</x:v>
      </x:c>
      <x:c r="M311" s="53" t="b">
        <x:v>1</x:v>
      </x:c>
      <x:c r="N311" s="53" t="b">
        <x:v>1</x:v>
      </x:c>
      <x:c r="O311" s="53" t="b">
        <x:v>1</x:v>
      </x:c>
      <x:c r="P311" s="47" t="n">
        <x:v>1008</x:v>
      </x:c>
      <x:c r="Q311" s="47" t="n">
        <x:v>0</x:v>
      </x:c>
      <x:c r="R311" s="47" t="n">
        <x:v>0</x:v>
      </x:c>
      <x:c r="S311" s="47" t="n">
        <x:v>32.17</x:v>
      </x:c>
      <x:c r="T311" s="47" t="n">
        <x:v>52.74</x:v>
      </x:c>
      <x:c r="U311" s="47" t="n">
        <x:v>32.1</x:v>
      </x:c>
      <x:c r="V311" s="47" t="n">
        <x:v>12.1</x:v>
      </x:c>
      <x:c r="W311" s="47" t="n">
        <x:v>3</x:v>
      </x:c>
      <x:c r="X311" s="47" t="n">
        <x:v>13</x:v>
      </x:c>
      <x:c r="Y311" s="41" t="n">
        <x:v>10</x:v>
      </x:c>
    </x:row>
    <x:row r="312">
      <x:c r="A312" s="38" t="str">
        <x:v>7月30日现场数据</x:v>
      </x:c>
      <x:c r="B312" s="66" t="str">
        <x:v>2026-07-31T15:16:07.317000</x:v>
      </x:c>
      <x:c r="C312" s="47" t="n">
        <x:v>300988</x:v>
      </x:c>
      <x:c r="D312" s="47" t="str"/>
      <x:c r="E312" s="47" t="str"/>
      <x:c r="F312" s="47" t="str">
        <x:v>current</x:v>
      </x:c>
      <x:c r="G312" s="47" t="n">
        <x:v>308</x:v>
      </x:c>
      <x:c r="H312" s="53" t="b">
        <x:v>1</x:v>
      </x:c>
      <x:c r="I312" s="47" t="str">
        <x:v>3045069830</x:v>
      </x:c>
      <x:c r="J312" s="47" t="n">
        <x:v>3011147</x:v>
      </x:c>
      <x:c r="K312" s="53" t="b">
        <x:v>1</x:v>
      </x:c>
      <x:c r="L312" s="53" t="b">
        <x:v>1</x:v>
      </x:c>
      <x:c r="M312" s="53" t="b">
        <x:v>1</x:v>
      </x:c>
      <x:c r="N312" s="53" t="b">
        <x:v>1</x:v>
      </x:c>
      <x:c r="O312" s="53" t="b">
        <x:v>1</x:v>
      </x:c>
      <x:c r="P312" s="47" t="n">
        <x:v>1008</x:v>
      </x:c>
      <x:c r="Q312" s="47" t="n">
        <x:v>0</x:v>
      </x:c>
      <x:c r="R312" s="47" t="n">
        <x:v>0</x:v>
      </x:c>
      <x:c r="S312" s="47" t="n">
        <x:v>32.15</x:v>
      </x:c>
      <x:c r="T312" s="47" t="n">
        <x:v>52.76</x:v>
      </x:c>
      <x:c r="U312" s="47" t="n">
        <x:v>32</x:v>
      </x:c>
      <x:c r="V312" s="47" t="n">
        <x:v>12.1</x:v>
      </x:c>
      <x:c r="W312" s="47" t="n">
        <x:v>3</x:v>
      </x:c>
      <x:c r="X312" s="47" t="n">
        <x:v>12</x:v>
      </x:c>
      <x:c r="Y312" s="41" t="n">
        <x:v>9</x:v>
      </x:c>
    </x:row>
    <x:row r="313">
      <x:c r="A313" s="38" t="str">
        <x:v>7月30日现场数据</x:v>
      </x:c>
      <x:c r="B313" s="66" t="str">
        <x:v>2026-07-31T15:21:08.310000</x:v>
      </x:c>
      <x:c r="C313" s="47" t="n">
        <x:v>300993</x:v>
      </x:c>
      <x:c r="D313" s="47" t="str"/>
      <x:c r="E313" s="47" t="str"/>
      <x:c r="F313" s="47" t="str">
        <x:v>current</x:v>
      </x:c>
      <x:c r="G313" s="47" t="n">
        <x:v>309</x:v>
      </x:c>
      <x:c r="H313" s="53" t="b">
        <x:v>1</x:v>
      </x:c>
      <x:c r="I313" s="47" t="str">
        <x:v>3045069830</x:v>
      </x:c>
      <x:c r="J313" s="47" t="n">
        <x:v>3312140</x:v>
      </x:c>
      <x:c r="K313" s="53" t="b">
        <x:v>1</x:v>
      </x:c>
      <x:c r="L313" s="53" t="b">
        <x:v>1</x:v>
      </x:c>
      <x:c r="M313" s="53" t="b">
        <x:v>1</x:v>
      </x:c>
      <x:c r="N313" s="53" t="b">
        <x:v>1</x:v>
      </x:c>
      <x:c r="O313" s="53" t="b">
        <x:v>1</x:v>
      </x:c>
      <x:c r="P313" s="47" t="n">
        <x:v>1008</x:v>
      </x:c>
      <x:c r="Q313" s="47" t="n">
        <x:v>0</x:v>
      </x:c>
      <x:c r="R313" s="47" t="n">
        <x:v>0</x:v>
      </x:c>
      <x:c r="S313" s="47" t="n">
        <x:v>32.16</x:v>
      </x:c>
      <x:c r="T313" s="47" t="n">
        <x:v>52.82</x:v>
      </x:c>
      <x:c r="U313" s="47" t="n">
        <x:v>32</x:v>
      </x:c>
      <x:c r="V313" s="47" t="n">
        <x:v>12.1</x:v>
      </x:c>
      <x:c r="W313" s="47" t="n">
        <x:v>3</x:v>
      </x:c>
      <x:c r="X313" s="47" t="n">
        <x:v>12</x:v>
      </x:c>
      <x:c r="Y313" s="41" t="n">
        <x:v>9</x:v>
      </x:c>
    </x:row>
    <x:row r="314">
      <x:c r="A314" s="38" t="str">
        <x:v>7月30日现场数据</x:v>
      </x:c>
      <x:c r="B314" s="66" t="str">
        <x:v>2026-07-31T15:26:09.333000</x:v>
      </x:c>
      <x:c r="C314" s="47" t="n">
        <x:v>301023</x:v>
      </x:c>
      <x:c r="D314" s="47" t="str"/>
      <x:c r="E314" s="47" t="str"/>
      <x:c r="F314" s="47" t="str">
        <x:v>current</x:v>
      </x:c>
      <x:c r="G314" s="47" t="n">
        <x:v>310</x:v>
      </x:c>
      <x:c r="H314" s="53" t="b">
        <x:v>1</x:v>
      </x:c>
      <x:c r="I314" s="47" t="str">
        <x:v>3045069830</x:v>
      </x:c>
      <x:c r="J314" s="47" t="n">
        <x:v>3613163</x:v>
      </x:c>
      <x:c r="K314" s="53" t="b">
        <x:v>1</x:v>
      </x:c>
      <x:c r="L314" s="53" t="b">
        <x:v>1</x:v>
      </x:c>
      <x:c r="M314" s="53" t="b">
        <x:v>1</x:v>
      </x:c>
      <x:c r="N314" s="53" t="b">
        <x:v>1</x:v>
      </x:c>
      <x:c r="O314" s="53" t="b">
        <x:v>1</x:v>
      </x:c>
      <x:c r="P314" s="47" t="n">
        <x:v>1008</x:v>
      </x:c>
      <x:c r="Q314" s="47" t="n">
        <x:v>0</x:v>
      </x:c>
      <x:c r="R314" s="47" t="n">
        <x:v>0</x:v>
      </x:c>
      <x:c r="S314" s="47" t="n">
        <x:v>32.11</x:v>
      </x:c>
      <x:c r="T314" s="47" t="n">
        <x:v>52.88</x:v>
      </x:c>
      <x:c r="U314" s="47" t="n">
        <x:v>31.9</x:v>
      </x:c>
      <x:c r="V314" s="47" t="n">
        <x:v>12.1</x:v>
      </x:c>
      <x:c r="W314" s="47" t="n">
        <x:v>3</x:v>
      </x:c>
      <x:c r="X314" s="47" t="n">
        <x:v>13</x:v>
      </x:c>
      <x:c r="Y314" s="41" t="n">
        <x:v>10</x:v>
      </x:c>
    </x:row>
    <x:row r="315">
      <x:c r="A315" s="38" t="str">
        <x:v>7月30日现场数据</x:v>
      </x:c>
      <x:c r="B315" s="66" t="str">
        <x:v>2026-07-31T15:31:10.300000</x:v>
      </x:c>
      <x:c r="C315" s="47" t="n">
        <x:v>300967</x:v>
      </x:c>
      <x:c r="D315" s="47" t="str"/>
      <x:c r="E315" s="47" t="str"/>
      <x:c r="F315" s="47" t="str">
        <x:v>current</x:v>
      </x:c>
      <x:c r="G315" s="47" t="n">
        <x:v>311</x:v>
      </x:c>
      <x:c r="H315" s="53" t="b">
        <x:v>1</x:v>
      </x:c>
      <x:c r="I315" s="47" t="str">
        <x:v>3045069830</x:v>
      </x:c>
      <x:c r="J315" s="47" t="n">
        <x:v>3914130</x:v>
      </x:c>
      <x:c r="K315" s="53" t="b">
        <x:v>1</x:v>
      </x:c>
      <x:c r="L315" s="53" t="b">
        <x:v>1</x:v>
      </x:c>
      <x:c r="M315" s="53" t="b">
        <x:v>1</x:v>
      </x:c>
      <x:c r="N315" s="53" t="b">
        <x:v>1</x:v>
      </x:c>
      <x:c r="O315" s="53" t="b">
        <x:v>1</x:v>
      </x:c>
      <x:c r="P315" s="47" t="n">
        <x:v>1008</x:v>
      </x:c>
      <x:c r="Q315" s="47" t="n">
        <x:v>0</x:v>
      </x:c>
      <x:c r="R315" s="47" t="n">
        <x:v>0</x:v>
      </x:c>
      <x:c r="S315" s="47" t="n">
        <x:v>32.05</x:v>
      </x:c>
      <x:c r="T315" s="47" t="n">
        <x:v>52.9</x:v>
      </x:c>
      <x:c r="U315" s="47" t="n">
        <x:v>31.8</x:v>
      </x:c>
      <x:c r="V315" s="47" t="n">
        <x:v>12</x:v>
      </x:c>
      <x:c r="W315" s="47" t="n">
        <x:v>3</x:v>
      </x:c>
      <x:c r="X315" s="47" t="n">
        <x:v>12</x:v>
      </x:c>
      <x:c r="Y315" s="41" t="n">
        <x:v>9</x:v>
      </x:c>
    </x:row>
    <x:row r="316">
      <x:c r="A316" s="38" t="str">
        <x:v>7月30日现场数据</x:v>
      </x:c>
      <x:c r="B316" s="66" t="str">
        <x:v>2026-07-31T15:36:11.271000</x:v>
      </x:c>
      <x:c r="C316" s="47" t="n">
        <x:v>300971</x:v>
      </x:c>
      <x:c r="D316" s="47" t="str"/>
      <x:c r="E316" s="47" t="str"/>
      <x:c r="F316" s="47" t="str">
        <x:v>current</x:v>
      </x:c>
      <x:c r="G316" s="47" t="n">
        <x:v>312</x:v>
      </x:c>
      <x:c r="H316" s="53" t="b">
        <x:v>1</x:v>
      </x:c>
      <x:c r="I316" s="47" t="str">
        <x:v>3045069830</x:v>
      </x:c>
      <x:c r="J316" s="47" t="n">
        <x:v>4215101</x:v>
      </x:c>
      <x:c r="K316" s="53" t="b">
        <x:v>1</x:v>
      </x:c>
      <x:c r="L316" s="53" t="b">
        <x:v>1</x:v>
      </x:c>
      <x:c r="M316" s="53" t="b">
        <x:v>1</x:v>
      </x:c>
      <x:c r="N316" s="53" t="b">
        <x:v>1</x:v>
      </x:c>
      <x:c r="O316" s="53" t="b">
        <x:v>1</x:v>
      </x:c>
      <x:c r="P316" s="47" t="n">
        <x:v>1009</x:v>
      </x:c>
      <x:c r="Q316" s="47" t="n">
        <x:v>0</x:v>
      </x:c>
      <x:c r="R316" s="47" t="n">
        <x:v>0</x:v>
      </x:c>
      <x:c r="S316" s="47" t="n">
        <x:v>32.07</x:v>
      </x:c>
      <x:c r="T316" s="47" t="n">
        <x:v>52.95</x:v>
      </x:c>
      <x:c r="U316" s="47" t="n">
        <x:v>31.7</x:v>
      </x:c>
      <x:c r="V316" s="47" t="n">
        <x:v>12.1</x:v>
      </x:c>
      <x:c r="W316" s="47" t="n">
        <x:v>3</x:v>
      </x:c>
      <x:c r="X316" s="47" t="n">
        <x:v>13</x:v>
      </x:c>
      <x:c r="Y316" s="41" t="n">
        <x:v>10</x:v>
      </x:c>
    </x:row>
    <x:row r="317">
      <x:c r="A317" s="38" t="str">
        <x:v>7月30日现场数据</x:v>
      </x:c>
      <x:c r="B317" s="66" t="str">
        <x:v>2026-07-31T15:41:12.246000</x:v>
      </x:c>
      <x:c r="C317" s="47" t="n">
        <x:v>300975</x:v>
      </x:c>
      <x:c r="D317" s="47" t="str"/>
      <x:c r="E317" s="47" t="str"/>
      <x:c r="F317" s="47" t="str">
        <x:v>current</x:v>
      </x:c>
      <x:c r="G317" s="47" t="n">
        <x:v>313</x:v>
      </x:c>
      <x:c r="H317" s="53" t="b">
        <x:v>1</x:v>
      </x:c>
      <x:c r="I317" s="47" t="str">
        <x:v>3045069830</x:v>
      </x:c>
      <x:c r="J317" s="47" t="n">
        <x:v>4516076</x:v>
      </x:c>
      <x:c r="K317" s="53" t="b">
        <x:v>1</x:v>
      </x:c>
      <x:c r="L317" s="53" t="b">
        <x:v>1</x:v>
      </x:c>
      <x:c r="M317" s="53" t="b">
        <x:v>1</x:v>
      </x:c>
      <x:c r="N317" s="53" t="b">
        <x:v>1</x:v>
      </x:c>
      <x:c r="O317" s="53" t="b">
        <x:v>1</x:v>
      </x:c>
      <x:c r="P317" s="47" t="n">
        <x:v>1007</x:v>
      </x:c>
      <x:c r="Q317" s="47" t="n">
        <x:v>0</x:v>
      </x:c>
      <x:c r="R317" s="47" t="n">
        <x:v>0</x:v>
      </x:c>
      <x:c r="S317" s="47" t="n">
        <x:v>31.97</x:v>
      </x:c>
      <x:c r="T317" s="47" t="n">
        <x:v>53.01</x:v>
      </x:c>
      <x:c r="U317" s="47" t="n">
        <x:v>31.7</x:v>
      </x:c>
      <x:c r="V317" s="47" t="n">
        <x:v>12.1</x:v>
      </x:c>
      <x:c r="W317" s="47" t="n">
        <x:v>4</x:v>
      </x:c>
      <x:c r="X317" s="47" t="n">
        <x:v>14</x:v>
      </x:c>
      <x:c r="Y317" s="41" t="n">
        <x:v>10</x:v>
      </x:c>
    </x:row>
    <x:row r="318">
      <x:c r="A318" s="38" t="str">
        <x:v>7月30日现场数据</x:v>
      </x:c>
      <x:c r="B318" s="66" t="str">
        <x:v>2026-07-31T15:46:13.221000</x:v>
      </x:c>
      <x:c r="C318" s="47" t="n">
        <x:v>300975</x:v>
      </x:c>
      <x:c r="D318" s="47" t="str"/>
      <x:c r="E318" s="47" t="str"/>
      <x:c r="F318" s="47" t="str">
        <x:v>current</x:v>
      </x:c>
      <x:c r="G318" s="47" t="n">
        <x:v>314</x:v>
      </x:c>
      <x:c r="H318" s="53" t="b">
        <x:v>1</x:v>
      </x:c>
      <x:c r="I318" s="47" t="str">
        <x:v>3045069830</x:v>
      </x:c>
      <x:c r="J318" s="47" t="n">
        <x:v>4817051</x:v>
      </x:c>
      <x:c r="K318" s="53" t="b">
        <x:v>1</x:v>
      </x:c>
      <x:c r="L318" s="53" t="b">
        <x:v>1</x:v>
      </x:c>
      <x:c r="M318" s="53" t="b">
        <x:v>1</x:v>
      </x:c>
      <x:c r="N318" s="53" t="b">
        <x:v>1</x:v>
      </x:c>
      <x:c r="O318" s="53" t="b">
        <x:v>1</x:v>
      </x:c>
      <x:c r="P318" s="47" t="n">
        <x:v>1009</x:v>
      </x:c>
      <x:c r="Q318" s="47" t="n">
        <x:v>0</x:v>
      </x:c>
      <x:c r="R318" s="47" t="n">
        <x:v>0</x:v>
      </x:c>
      <x:c r="S318" s="47" t="n">
        <x:v>31.78</x:v>
      </x:c>
      <x:c r="T318" s="47" t="n">
        <x:v>52.95</x:v>
      </x:c>
      <x:c r="U318" s="47" t="n">
        <x:v>31.6</x:v>
      </x:c>
      <x:c r="V318" s="47" t="n">
        <x:v>12.1</x:v>
      </x:c>
      <x:c r="W318" s="47" t="n">
        <x:v>4</x:v>
      </x:c>
      <x:c r="X318" s="47" t="n">
        <x:v>16</x:v>
      </x:c>
      <x:c r="Y318" s="41" t="n">
        <x:v>12</x:v>
      </x:c>
    </x:row>
    <x:row r="319">
      <x:c r="A319" s="38" t="str">
        <x:v>7月30日现场数据</x:v>
      </x:c>
      <x:c r="B319" s="66" t="str">
        <x:v>2026-07-31T15:51:14.198000</x:v>
      </x:c>
      <x:c r="C319" s="47" t="n">
        <x:v>300977</x:v>
      </x:c>
      <x:c r="D319" s="47" t="str"/>
      <x:c r="E319" s="47" t="str"/>
      <x:c r="F319" s="47" t="str">
        <x:v>current</x:v>
      </x:c>
      <x:c r="G319" s="47" t="n">
        <x:v>315</x:v>
      </x:c>
      <x:c r="H319" s="53" t="b">
        <x:v>1</x:v>
      </x:c>
      <x:c r="I319" s="47" t="str">
        <x:v>3045069830</x:v>
      </x:c>
      <x:c r="J319" s="47" t="n">
        <x:v>5118028</x:v>
      </x:c>
      <x:c r="K319" s="53" t="b">
        <x:v>1</x:v>
      </x:c>
      <x:c r="L319" s="53" t="b">
        <x:v>1</x:v>
      </x:c>
      <x:c r="M319" s="53" t="b">
        <x:v>1</x:v>
      </x:c>
      <x:c r="N319" s="53" t="b">
        <x:v>1</x:v>
      </x:c>
      <x:c r="O319" s="53" t="b">
        <x:v>1</x:v>
      </x:c>
      <x:c r="P319" s="47" t="n">
        <x:v>1009</x:v>
      </x:c>
      <x:c r="Q319" s="47" t="n">
        <x:v>0</x:v>
      </x:c>
      <x:c r="R319" s="47" t="n">
        <x:v>0</x:v>
      </x:c>
      <x:c r="S319" s="47" t="n">
        <x:v>31.72</x:v>
      </x:c>
      <x:c r="T319" s="47" t="n">
        <x:v>52.96</x:v>
      </x:c>
      <x:c r="U319" s="47" t="n">
        <x:v>31.6</x:v>
      </x:c>
      <x:c r="V319" s="47" t="n">
        <x:v>12</x:v>
      </x:c>
      <x:c r="W319" s="47" t="n">
        <x:v>4</x:v>
      </x:c>
      <x:c r="X319" s="47" t="n">
        <x:v>15</x:v>
      </x:c>
      <x:c r="Y319" s="41" t="n">
        <x:v>11</x:v>
      </x:c>
    </x:row>
    <x:row r="320">
      <x:c r="A320" s="38" t="str">
        <x:v>7月30日现场数据</x:v>
      </x:c>
      <x:c r="B320" s="66" t="str">
        <x:v>2026-07-31T15:56:15.179000</x:v>
      </x:c>
      <x:c r="C320" s="47" t="n">
        <x:v>300981</x:v>
      </x:c>
      <x:c r="D320" s="47" t="str"/>
      <x:c r="E320" s="47" t="str"/>
      <x:c r="F320" s="47" t="str">
        <x:v>current</x:v>
      </x:c>
      <x:c r="G320" s="47" t="n">
        <x:v>316</x:v>
      </x:c>
      <x:c r="H320" s="53" t="b">
        <x:v>1</x:v>
      </x:c>
      <x:c r="I320" s="47" t="str">
        <x:v>3045069830</x:v>
      </x:c>
      <x:c r="J320" s="47" t="n">
        <x:v>5419009</x:v>
      </x:c>
      <x:c r="K320" s="53" t="b">
        <x:v>1</x:v>
      </x:c>
      <x:c r="L320" s="53" t="b">
        <x:v>1</x:v>
      </x:c>
      <x:c r="M320" s="53" t="b">
        <x:v>1</x:v>
      </x:c>
      <x:c r="N320" s="53" t="b">
        <x:v>1</x:v>
      </x:c>
      <x:c r="O320" s="53" t="b">
        <x:v>1</x:v>
      </x:c>
      <x:c r="P320" s="47" t="n">
        <x:v>1009</x:v>
      </x:c>
      <x:c r="Q320" s="47" t="n">
        <x:v>0</x:v>
      </x:c>
      <x:c r="R320" s="47" t="n">
        <x:v>0</x:v>
      </x:c>
      <x:c r="S320" s="47" t="n">
        <x:v>31.76</x:v>
      </x:c>
      <x:c r="T320" s="47" t="n">
        <x:v>53.01</x:v>
      </x:c>
      <x:c r="U320" s="47" t="n">
        <x:v>31.5</x:v>
      </x:c>
      <x:c r="V320" s="47" t="n">
        <x:v>12.1</x:v>
      </x:c>
      <x:c r="W320" s="47" t="n">
        <x:v>4</x:v>
      </x:c>
      <x:c r="X320" s="47" t="n">
        <x:v>13</x:v>
      </x:c>
      <x:c r="Y320" s="41" t="n">
        <x:v>9</x:v>
      </x:c>
    </x:row>
    <x:row r="321">
      <x:c r="A321" s="38" t="str">
        <x:v>7月30日现场数据</x:v>
      </x:c>
      <x:c r="B321" s="66" t="str">
        <x:v>2026-07-31T16:01:16.160000</x:v>
      </x:c>
      <x:c r="C321" s="47" t="n">
        <x:v>300981</x:v>
      </x:c>
      <x:c r="D321" s="47" t="str"/>
      <x:c r="E321" s="47" t="str"/>
      <x:c r="F321" s="47" t="str">
        <x:v>current</x:v>
      </x:c>
      <x:c r="G321" s="47" t="n">
        <x:v>317</x:v>
      </x:c>
      <x:c r="H321" s="53" t="b">
        <x:v>1</x:v>
      </x:c>
      <x:c r="I321" s="47" t="str">
        <x:v>3045069830</x:v>
      </x:c>
      <x:c r="J321" s="47" t="n">
        <x:v>5719990</x:v>
      </x:c>
      <x:c r="K321" s="53" t="b">
        <x:v>1</x:v>
      </x:c>
      <x:c r="L321" s="53" t="b">
        <x:v>1</x:v>
      </x:c>
      <x:c r="M321" s="53" t="b">
        <x:v>1</x:v>
      </x:c>
      <x:c r="N321" s="53" t="b">
        <x:v>1</x:v>
      </x:c>
      <x:c r="O321" s="53" t="b">
        <x:v>1</x:v>
      </x:c>
      <x:c r="P321" s="47" t="n">
        <x:v>1009</x:v>
      </x:c>
      <x:c r="Q321" s="47" t="n">
        <x:v>0.001</x:v>
      </x:c>
      <x:c r="R321" s="47" t="n">
        <x:v>0.033</x:v>
      </x:c>
      <x:c r="S321" s="47" t="n">
        <x:v>31.22</x:v>
      </x:c>
      <x:c r="T321" s="47" t="n">
        <x:v>52.91</x:v>
      </x:c>
      <x:c r="U321" s="47" t="n">
        <x:v>31.4</x:v>
      </x:c>
      <x:c r="V321" s="47" t="n">
        <x:v>12.1</x:v>
      </x:c>
      <x:c r="W321" s="47" t="n">
        <x:v>4</x:v>
      </x:c>
      <x:c r="X321" s="47" t="n">
        <x:v>13</x:v>
      </x:c>
      <x:c r="Y321" s="41" t="n">
        <x:v>9</x:v>
      </x:c>
    </x:row>
    <x:row r="322">
      <x:c r="A322" s="38" t="str">
        <x:v>7月30日现场数据</x:v>
      </x:c>
      <x:c r="B322" s="66" t="str">
        <x:v>2026-07-31T16:06:17.140000</x:v>
      </x:c>
      <x:c r="C322" s="47" t="n">
        <x:v>300980</x:v>
      </x:c>
      <x:c r="D322" s="47" t="str"/>
      <x:c r="E322" s="47" t="str"/>
      <x:c r="F322" s="47" t="str">
        <x:v>current</x:v>
      </x:c>
      <x:c r="G322" s="47" t="n">
        <x:v>318</x:v>
      </x:c>
      <x:c r="H322" s="53" t="b">
        <x:v>1</x:v>
      </x:c>
      <x:c r="I322" s="47" t="str">
        <x:v>3045069830</x:v>
      </x:c>
      <x:c r="J322" s="47" t="n">
        <x:v>6020970</x:v>
      </x:c>
      <x:c r="K322" s="53" t="b">
        <x:v>1</x:v>
      </x:c>
      <x:c r="L322" s="53" t="b">
        <x:v>1</x:v>
      </x:c>
      <x:c r="M322" s="53" t="b">
        <x:v>1</x:v>
      </x:c>
      <x:c r="N322" s="53" t="b">
        <x:v>1</x:v>
      </x:c>
      <x:c r="O322" s="53" t="b">
        <x:v>1</x:v>
      </x:c>
      <x:c r="P322" s="47" t="n">
        <x:v>1009</x:v>
      </x:c>
      <x:c r="Q322" s="47" t="n">
        <x:v>0</x:v>
      </x:c>
      <x:c r="R322" s="47" t="n">
        <x:v>0</x:v>
      </x:c>
      <x:c r="S322" s="47" t="n">
        <x:v>30.94</x:v>
      </x:c>
      <x:c r="T322" s="47" t="n">
        <x:v>52.78</x:v>
      </x:c>
      <x:c r="U322" s="47" t="n">
        <x:v>31.3</x:v>
      </x:c>
      <x:c r="V322" s="47" t="n">
        <x:v>12.1</x:v>
      </x:c>
      <x:c r="W322" s="47" t="n">
        <x:v>3</x:v>
      </x:c>
      <x:c r="X322" s="47" t="n">
        <x:v>12</x:v>
      </x:c>
      <x:c r="Y322" s="41" t="n">
        <x:v>9</x:v>
      </x:c>
    </x:row>
    <x:row r="323">
      <x:c r="A323" s="38" t="str">
        <x:v>7月30日现场数据</x:v>
      </x:c>
      <x:c r="B323" s="66" t="str">
        <x:v>2026-07-31T16:11:18.125000</x:v>
      </x:c>
      <x:c r="C323" s="47" t="n">
        <x:v>300985</x:v>
      </x:c>
      <x:c r="D323" s="47" t="str"/>
      <x:c r="E323" s="47" t="str"/>
      <x:c r="F323" s="47" t="str">
        <x:v>current</x:v>
      </x:c>
      <x:c r="G323" s="47" t="n">
        <x:v>319</x:v>
      </x:c>
      <x:c r="H323" s="53" t="b">
        <x:v>1</x:v>
      </x:c>
      <x:c r="I323" s="47" t="str">
        <x:v>3045069830</x:v>
      </x:c>
      <x:c r="J323" s="47" t="n">
        <x:v>6321955</x:v>
      </x:c>
      <x:c r="K323" s="53" t="b">
        <x:v>1</x:v>
      </x:c>
      <x:c r="L323" s="53" t="b">
        <x:v>1</x:v>
      </x:c>
      <x:c r="M323" s="53" t="b">
        <x:v>1</x:v>
      </x:c>
      <x:c r="N323" s="53" t="b">
        <x:v>1</x:v>
      </x:c>
      <x:c r="O323" s="53" t="b">
        <x:v>1</x:v>
      </x:c>
      <x:c r="P323" s="47" t="n">
        <x:v>1009</x:v>
      </x:c>
      <x:c r="Q323" s="47" t="n">
        <x:v>0</x:v>
      </x:c>
      <x:c r="R323" s="47" t="n">
        <x:v>0</x:v>
      </x:c>
      <x:c r="S323" s="47" t="n">
        <x:v>30.7</x:v>
      </x:c>
      <x:c r="T323" s="47" t="n">
        <x:v>52.68</x:v>
      </x:c>
      <x:c r="U323" s="47" t="n">
        <x:v>31.2</x:v>
      </x:c>
      <x:c r="V323" s="47" t="n">
        <x:v>12.1</x:v>
      </x:c>
      <x:c r="W323" s="47" t="n">
        <x:v>3</x:v>
      </x:c>
      <x:c r="X323" s="47" t="n">
        <x:v>12</x:v>
      </x:c>
      <x:c r="Y323" s="41" t="n">
        <x:v>9</x:v>
      </x:c>
    </x:row>
    <x:row r="324">
      <x:c r="A324" s="38" t="str">
        <x:v>7月30日现场数据</x:v>
      </x:c>
      <x:c r="B324" s="66" t="str">
        <x:v>2026-07-31T16:16:19.112000</x:v>
      </x:c>
      <x:c r="C324" s="47" t="n">
        <x:v>300987</x:v>
      </x:c>
      <x:c r="D324" s="47" t="str"/>
      <x:c r="E324" s="47" t="str"/>
      <x:c r="F324" s="47" t="str">
        <x:v>current</x:v>
      </x:c>
      <x:c r="G324" s="47" t="n">
        <x:v>320</x:v>
      </x:c>
      <x:c r="H324" s="53" t="b">
        <x:v>1</x:v>
      </x:c>
      <x:c r="I324" s="47" t="str">
        <x:v>3045069830</x:v>
      </x:c>
      <x:c r="J324" s="47" t="n">
        <x:v>6622942</x:v>
      </x:c>
      <x:c r="K324" s="53" t="b">
        <x:v>1</x:v>
      </x:c>
      <x:c r="L324" s="53" t="b">
        <x:v>1</x:v>
      </x:c>
      <x:c r="M324" s="53" t="b">
        <x:v>1</x:v>
      </x:c>
      <x:c r="N324" s="53" t="b">
        <x:v>1</x:v>
      </x:c>
      <x:c r="O324" s="53" t="b">
        <x:v>1</x:v>
      </x:c>
      <x:c r="P324" s="47" t="n">
        <x:v>1008</x:v>
      </x:c>
      <x:c r="Q324" s="47" t="n">
        <x:v>0</x:v>
      </x:c>
      <x:c r="R324" s="47" t="n">
        <x:v>0</x:v>
      </x:c>
      <x:c r="S324" s="47" t="n">
        <x:v>30.57</x:v>
      </x:c>
      <x:c r="T324" s="47" t="n">
        <x:v>52.68</x:v>
      </x:c>
      <x:c r="U324" s="47" t="n">
        <x:v>31.2</x:v>
      </x:c>
      <x:c r="V324" s="47" t="n">
        <x:v>12.1</x:v>
      </x:c>
      <x:c r="W324" s="47" t="n">
        <x:v>3</x:v>
      </x:c>
      <x:c r="X324" s="47" t="n">
        <x:v>11</x:v>
      </x:c>
      <x:c r="Y324" s="41" t="n">
        <x:v>8</x:v>
      </x:c>
    </x:row>
    <x:row r="325">
      <x:c r="A325" s="38" t="str">
        <x:v>7月30日现场数据</x:v>
      </x:c>
      <x:c r="B325" s="66" t="str">
        <x:v>2026-07-31T16:21:20.110000</x:v>
      </x:c>
      <x:c r="C325" s="47" t="n">
        <x:v>300998</x:v>
      </x:c>
      <x:c r="D325" s="47" t="str"/>
      <x:c r="E325" s="47" t="str"/>
      <x:c r="F325" s="47" t="str">
        <x:v>current</x:v>
      </x:c>
      <x:c r="G325" s="47" t="n">
        <x:v>321</x:v>
      </x:c>
      <x:c r="H325" s="53" t="b">
        <x:v>1</x:v>
      </x:c>
      <x:c r="I325" s="47" t="str">
        <x:v>3045069830</x:v>
      </x:c>
      <x:c r="J325" s="47" t="n">
        <x:v>6923940</x:v>
      </x:c>
      <x:c r="K325" s="53" t="b">
        <x:v>1</x:v>
      </x:c>
      <x:c r="L325" s="53" t="b">
        <x:v>1</x:v>
      </x:c>
      <x:c r="M325" s="53" t="b">
        <x:v>1</x:v>
      </x:c>
      <x:c r="N325" s="53" t="b">
        <x:v>1</x:v>
      </x:c>
      <x:c r="O325" s="53" t="b">
        <x:v>1</x:v>
      </x:c>
      <x:c r="P325" s="47" t="n">
        <x:v>1008</x:v>
      </x:c>
      <x:c r="Q325" s="47" t="n">
        <x:v>0</x:v>
      </x:c>
      <x:c r="R325" s="47" t="n">
        <x:v>0</x:v>
      </x:c>
      <x:c r="S325" s="47" t="n">
        <x:v>30.59</x:v>
      </x:c>
      <x:c r="T325" s="47" t="n">
        <x:v>52.72</x:v>
      </x:c>
      <x:c r="U325" s="47" t="n">
        <x:v>31.2</x:v>
      </x:c>
      <x:c r="V325" s="47" t="n">
        <x:v>12.1</x:v>
      </x:c>
      <x:c r="W325" s="47" t="n">
        <x:v>3</x:v>
      </x:c>
      <x:c r="X325" s="47" t="n">
        <x:v>11</x:v>
      </x:c>
      <x:c r="Y325" s="41" t="n">
        <x:v>8</x:v>
      </x:c>
    </x:row>
    <x:row r="326">
      <x:c r="A326" s="38" t="str">
        <x:v>7月30日现场数据</x:v>
      </x:c>
      <x:c r="B326" s="66" t="str">
        <x:v>2026-07-31T16:26:21.085000</x:v>
      </x:c>
      <x:c r="C326" s="47" t="n">
        <x:v>300975</x:v>
      </x:c>
      <x:c r="D326" s="47" t="str"/>
      <x:c r="E326" s="47" t="str"/>
      <x:c r="F326" s="47" t="str">
        <x:v>current</x:v>
      </x:c>
      <x:c r="G326" s="47" t="n">
        <x:v>322</x:v>
      </x:c>
      <x:c r="H326" s="53" t="b">
        <x:v>1</x:v>
      </x:c>
      <x:c r="I326" s="47" t="str">
        <x:v>3045069830</x:v>
      </x:c>
      <x:c r="J326" s="47" t="n">
        <x:v>7224915</x:v>
      </x:c>
      <x:c r="K326" s="53" t="b">
        <x:v>1</x:v>
      </x:c>
      <x:c r="L326" s="53" t="b">
        <x:v>1</x:v>
      </x:c>
      <x:c r="M326" s="53" t="b">
        <x:v>1</x:v>
      </x:c>
      <x:c r="N326" s="53" t="b">
        <x:v>1</x:v>
      </x:c>
      <x:c r="O326" s="53" t="b">
        <x:v>1</x:v>
      </x:c>
      <x:c r="P326" s="47" t="n">
        <x:v>1008</x:v>
      </x:c>
      <x:c r="Q326" s="47" t="n">
        <x:v>0</x:v>
      </x:c>
      <x:c r="R326" s="47" t="n">
        <x:v>0</x:v>
      </x:c>
      <x:c r="S326" s="47" t="n">
        <x:v>30.59</x:v>
      </x:c>
      <x:c r="T326" s="47" t="n">
        <x:v>52.84</x:v>
      </x:c>
      <x:c r="U326" s="47" t="n">
        <x:v>31.2</x:v>
      </x:c>
      <x:c r="V326" s="47" t="n">
        <x:v>12</x:v>
      </x:c>
      <x:c r="W326" s="47" t="n">
        <x:v>3</x:v>
      </x:c>
      <x:c r="X326" s="47" t="n">
        <x:v>11</x:v>
      </x:c>
      <x:c r="Y326" s="41" t="n">
        <x:v>8</x:v>
      </x:c>
    </x:row>
    <x:row r="327">
      <x:c r="A327" s="38" t="str">
        <x:v>7月30日现场数据</x:v>
      </x:c>
      <x:c r="B327" s="66" t="str">
        <x:v>2026-07-31T16:31:22.063000</x:v>
      </x:c>
      <x:c r="C327" s="47" t="n">
        <x:v>300978</x:v>
      </x:c>
      <x:c r="D327" s="47" t="str"/>
      <x:c r="E327" s="47" t="str"/>
      <x:c r="F327" s="47" t="str">
        <x:v>current</x:v>
      </x:c>
      <x:c r="G327" s="47" t="n">
        <x:v>323</x:v>
      </x:c>
      <x:c r="H327" s="53" t="b">
        <x:v>1</x:v>
      </x:c>
      <x:c r="I327" s="47" t="str">
        <x:v>3045069830</x:v>
      </x:c>
      <x:c r="J327" s="47" t="n">
        <x:v>7525893</x:v>
      </x:c>
      <x:c r="K327" s="53" t="b">
        <x:v>1</x:v>
      </x:c>
      <x:c r="L327" s="53" t="b">
        <x:v>1</x:v>
      </x:c>
      <x:c r="M327" s="53" t="b">
        <x:v>1</x:v>
      </x:c>
      <x:c r="N327" s="53" t="b">
        <x:v>1</x:v>
      </x:c>
      <x:c r="O327" s="53" t="b">
        <x:v>1</x:v>
      </x:c>
      <x:c r="P327" s="47" t="n">
        <x:v>1008</x:v>
      </x:c>
      <x:c r="Q327" s="47" t="n">
        <x:v>0.026</x:v>
      </x:c>
      <x:c r="R327" s="47" t="n">
        <x:v>0.692</x:v>
      </x:c>
      <x:c r="S327" s="47" t="n">
        <x:v>30.54</x:v>
      </x:c>
      <x:c r="T327" s="47" t="n">
        <x:v>52.85</x:v>
      </x:c>
      <x:c r="U327" s="47" t="n">
        <x:v>31.1</x:v>
      </x:c>
      <x:c r="V327" s="47" t="n">
        <x:v>12.1</x:v>
      </x:c>
      <x:c r="W327" s="47" t="n">
        <x:v>3</x:v>
      </x:c>
      <x:c r="X327" s="47" t="n">
        <x:v>10</x:v>
      </x:c>
      <x:c r="Y327" s="41" t="n">
        <x:v>7</x:v>
      </x:c>
    </x:row>
    <x:row r="328">
      <x:c r="A328" s="38" t="str">
        <x:v>7月30日现场数据</x:v>
      </x:c>
      <x:c r="B328" s="66" t="str">
        <x:v>2026-07-31T16:36:23.043000</x:v>
      </x:c>
      <x:c r="C328" s="47" t="n">
        <x:v>300980</x:v>
      </x:c>
      <x:c r="D328" s="47" t="str"/>
      <x:c r="E328" s="47" t="str"/>
      <x:c r="F328" s="47" t="str">
        <x:v>current</x:v>
      </x:c>
      <x:c r="G328" s="47" t="n">
        <x:v>324</x:v>
      </x:c>
      <x:c r="H328" s="53" t="b">
        <x:v>1</x:v>
      </x:c>
      <x:c r="I328" s="47" t="str">
        <x:v>3045069830</x:v>
      </x:c>
      <x:c r="J328" s="47" t="n">
        <x:v>7826873</x:v>
      </x:c>
      <x:c r="K328" s="53" t="b">
        <x:v>1</x:v>
      </x:c>
      <x:c r="L328" s="53" t="b">
        <x:v>1</x:v>
      </x:c>
      <x:c r="M328" s="53" t="b">
        <x:v>1</x:v>
      </x:c>
      <x:c r="N328" s="53" t="b">
        <x:v>1</x:v>
      </x:c>
      <x:c r="O328" s="53" t="b">
        <x:v>1</x:v>
      </x:c>
      <x:c r="P328" s="47" t="n">
        <x:v>1008</x:v>
      </x:c>
      <x:c r="Q328" s="47" t="n">
        <x:v>0</x:v>
      </x:c>
      <x:c r="R328" s="47" t="n">
        <x:v>0</x:v>
      </x:c>
      <x:c r="S328" s="47" t="n">
        <x:v>30.57</x:v>
      </x:c>
      <x:c r="T328" s="47" t="n">
        <x:v>52.91</x:v>
      </x:c>
      <x:c r="U328" s="47" t="n">
        <x:v>31.1</x:v>
      </x:c>
      <x:c r="V328" s="47" t="n">
        <x:v>12</x:v>
      </x:c>
      <x:c r="W328" s="47" t="n">
        <x:v>3</x:v>
      </x:c>
      <x:c r="X328" s="47" t="n">
        <x:v>11</x:v>
      </x:c>
      <x:c r="Y328" s="41" t="n">
        <x:v>8</x:v>
      </x:c>
    </x:row>
    <x:row r="329">
      <x:c r="A329" s="38" t="str">
        <x:v>7月30日现场数据</x:v>
      </x:c>
      <x:c r="B329" s="66" t="str">
        <x:v>2026-07-31T16:41:24.023000</x:v>
      </x:c>
      <x:c r="C329" s="47" t="n">
        <x:v>300980</x:v>
      </x:c>
      <x:c r="D329" s="47" t="str"/>
      <x:c r="E329" s="47" t="str"/>
      <x:c r="F329" s="47" t="str">
        <x:v>current</x:v>
      </x:c>
      <x:c r="G329" s="47" t="n">
        <x:v>325</x:v>
      </x:c>
      <x:c r="H329" s="53" t="b">
        <x:v>1</x:v>
      </x:c>
      <x:c r="I329" s="47" t="str">
        <x:v>3045069830</x:v>
      </x:c>
      <x:c r="J329" s="47" t="n">
        <x:v>8127853</x:v>
      </x:c>
      <x:c r="K329" s="53" t="b">
        <x:v>1</x:v>
      </x:c>
      <x:c r="L329" s="53" t="b">
        <x:v>1</x:v>
      </x:c>
      <x:c r="M329" s="53" t="b">
        <x:v>1</x:v>
      </x:c>
      <x:c r="N329" s="53" t="b">
        <x:v>1</x:v>
      </x:c>
      <x:c r="O329" s="53" t="b">
        <x:v>1</x:v>
      </x:c>
      <x:c r="P329" s="47" t="n">
        <x:v>1008</x:v>
      </x:c>
      <x:c r="Q329" s="47" t="n">
        <x:v>0</x:v>
      </x:c>
      <x:c r="R329" s="47" t="n">
        <x:v>0</x:v>
      </x:c>
      <x:c r="S329" s="47" t="n">
        <x:v>30.59</x:v>
      </x:c>
      <x:c r="T329" s="47" t="n">
        <x:v>52.95</x:v>
      </x:c>
      <x:c r="U329" s="47" t="n">
        <x:v>31</x:v>
      </x:c>
      <x:c r="V329" s="47" t="n">
        <x:v>12.1</x:v>
      </x:c>
      <x:c r="W329" s="47" t="n">
        <x:v>3</x:v>
      </x:c>
      <x:c r="X329" s="47" t="n">
        <x:v>11</x:v>
      </x:c>
      <x:c r="Y329" s="41" t="n">
        <x:v>8</x:v>
      </x:c>
    </x:row>
    <x:row r="330">
      <x:c r="A330" s="38" t="str">
        <x:v>7月30日现场数据</x:v>
      </x:c>
      <x:c r="B330" s="66" t="str">
        <x:v>2026-07-31T16:46:25.039000</x:v>
      </x:c>
      <x:c r="C330" s="47" t="n">
        <x:v>301016</x:v>
      </x:c>
      <x:c r="D330" s="47" t="str"/>
      <x:c r="E330" s="47" t="str"/>
      <x:c r="F330" s="47" t="str">
        <x:v>current</x:v>
      </x:c>
      <x:c r="G330" s="47" t="n">
        <x:v>326</x:v>
      </x:c>
      <x:c r="H330" s="53" t="b">
        <x:v>1</x:v>
      </x:c>
      <x:c r="I330" s="47" t="str">
        <x:v>3045069830</x:v>
      </x:c>
      <x:c r="J330" s="47" t="n">
        <x:v>8428869</x:v>
      </x:c>
      <x:c r="K330" s="53" t="b">
        <x:v>1</x:v>
      </x:c>
      <x:c r="L330" s="53" t="b">
        <x:v>1</x:v>
      </x:c>
      <x:c r="M330" s="53" t="b">
        <x:v>1</x:v>
      </x:c>
      <x:c r="N330" s="53" t="b">
        <x:v>1</x:v>
      </x:c>
      <x:c r="O330" s="53" t="b">
        <x:v>1</x:v>
      </x:c>
      <x:c r="P330" s="47" t="n">
        <x:v>1008</x:v>
      </x:c>
      <x:c r="Q330" s="47" t="n">
        <x:v>0</x:v>
      </x:c>
      <x:c r="R330" s="47" t="n">
        <x:v>0</x:v>
      </x:c>
      <x:c r="S330" s="47" t="n">
        <x:v>30.62</x:v>
      </x:c>
      <x:c r="T330" s="47" t="n">
        <x:v>53.08</x:v>
      </x:c>
      <x:c r="U330" s="47" t="n">
        <x:v>31</x:v>
      </x:c>
      <x:c r="V330" s="47" t="n">
        <x:v>12.1</x:v>
      </x:c>
      <x:c r="W330" s="47" t="n">
        <x:v>3</x:v>
      </x:c>
      <x:c r="X330" s="47" t="n">
        <x:v>12</x:v>
      </x:c>
      <x:c r="Y330" s="41" t="n">
        <x:v>9</x:v>
      </x:c>
    </x:row>
    <x:row r="331">
      <x:c r="A331" s="38" t="str">
        <x:v>7月30日现场数据</x:v>
      </x:c>
      <x:c r="B331" s="66" t="str">
        <x:v>2026-07-31T16:51:25.996000</x:v>
      </x:c>
      <x:c r="C331" s="47" t="n">
        <x:v>300957</x:v>
      </x:c>
      <x:c r="D331" s="47" t="str"/>
      <x:c r="E331" s="47" t="str"/>
      <x:c r="F331" s="47" t="str">
        <x:v>current</x:v>
      </x:c>
      <x:c r="G331" s="47" t="n">
        <x:v>327</x:v>
      </x:c>
      <x:c r="H331" s="53" t="b">
        <x:v>1</x:v>
      </x:c>
      <x:c r="I331" s="47" t="str">
        <x:v>3045069830</x:v>
      </x:c>
      <x:c r="J331" s="47" t="n">
        <x:v>8729826</x:v>
      </x:c>
      <x:c r="K331" s="53" t="b">
        <x:v>1</x:v>
      </x:c>
      <x:c r="L331" s="53" t="b">
        <x:v>1</x:v>
      </x:c>
      <x:c r="M331" s="53" t="b">
        <x:v>1</x:v>
      </x:c>
      <x:c r="N331" s="53" t="b">
        <x:v>1</x:v>
      </x:c>
      <x:c r="O331" s="53" t="b">
        <x:v>1</x:v>
      </x:c>
      <x:c r="P331" s="47" t="n">
        <x:v>1008</x:v>
      </x:c>
      <x:c r="Q331" s="47" t="n">
        <x:v>0</x:v>
      </x:c>
      <x:c r="R331" s="47" t="n">
        <x:v>0</x:v>
      </x:c>
      <x:c r="S331" s="47" t="n">
        <x:v>30.53</x:v>
      </x:c>
      <x:c r="T331" s="47" t="n">
        <x:v>53.1</x:v>
      </x:c>
      <x:c r="U331" s="47" t="n">
        <x:v>30.9</x:v>
      </x:c>
      <x:c r="V331" s="47" t="n">
        <x:v>12.1</x:v>
      </x:c>
      <x:c r="W331" s="47" t="n">
        <x:v>3</x:v>
      </x:c>
      <x:c r="X331" s="47" t="n">
        <x:v>13</x:v>
      </x:c>
      <x:c r="Y331" s="41" t="n">
        <x:v>10</x:v>
      </x:c>
    </x:row>
    <x:row r="332">
      <x:c r="A332" s="38" t="str">
        <x:v>7月30日现场数据</x:v>
      </x:c>
      <x:c r="B332" s="66" t="str">
        <x:v>2026-07-31T16:56:26.957000</x:v>
      </x:c>
      <x:c r="C332" s="47" t="n">
        <x:v>300961</x:v>
      </x:c>
      <x:c r="D332" s="47" t="str"/>
      <x:c r="E332" s="47" t="str"/>
      <x:c r="F332" s="47" t="str">
        <x:v>current</x:v>
      </x:c>
      <x:c r="G332" s="47" t="n">
        <x:v>328</x:v>
      </x:c>
      <x:c r="H332" s="53" t="b">
        <x:v>1</x:v>
      </x:c>
      <x:c r="I332" s="47" t="str">
        <x:v>3045069830</x:v>
      </x:c>
      <x:c r="J332" s="47" t="n">
        <x:v>9030787</x:v>
      </x:c>
      <x:c r="K332" s="53" t="b">
        <x:v>1</x:v>
      </x:c>
      <x:c r="L332" s="53" t="b">
        <x:v>1</x:v>
      </x:c>
      <x:c r="M332" s="53" t="b">
        <x:v>1</x:v>
      </x:c>
      <x:c r="N332" s="53" t="b">
        <x:v>1</x:v>
      </x:c>
      <x:c r="O332" s="53" t="b">
        <x:v>1</x:v>
      </x:c>
      <x:c r="P332" s="47" t="n">
        <x:v>1008</x:v>
      </x:c>
      <x:c r="Q332" s="47" t="n">
        <x:v>0</x:v>
      </x:c>
      <x:c r="R332" s="47" t="n">
        <x:v>0</x:v>
      </x:c>
      <x:c r="S332" s="47" t="n">
        <x:v>30.53</x:v>
      </x:c>
      <x:c r="T332" s="47" t="n">
        <x:v>53.05</x:v>
      </x:c>
      <x:c r="U332" s="47" t="n">
        <x:v>30.9</x:v>
      </x:c>
      <x:c r="V332" s="47" t="n">
        <x:v>12</x:v>
      </x:c>
      <x:c r="W332" s="47" t="n">
        <x:v>4</x:v>
      </x:c>
      <x:c r="X332" s="47" t="n">
        <x:v>16</x:v>
      </x:c>
      <x:c r="Y332" s="41" t="n">
        <x:v>12</x:v>
      </x:c>
    </x:row>
    <x:row r="333">
      <x:c r="A333" s="38" t="str">
        <x:v>7月30日现场数据</x:v>
      </x:c>
      <x:c r="B333" s="66" t="str">
        <x:v>2026-07-31T17:01:27.918000</x:v>
      </x:c>
      <x:c r="C333" s="47" t="n">
        <x:v>300961</x:v>
      </x:c>
      <x:c r="D333" s="47" t="str"/>
      <x:c r="E333" s="47" t="str"/>
      <x:c r="F333" s="47" t="str">
        <x:v>current</x:v>
      </x:c>
      <x:c r="G333" s="47" t="n">
        <x:v>329</x:v>
      </x:c>
      <x:c r="H333" s="53" t="b">
        <x:v>1</x:v>
      </x:c>
      <x:c r="I333" s="47" t="str">
        <x:v>3045069830</x:v>
      </x:c>
      <x:c r="J333" s="47" t="n">
        <x:v>9331748</x:v>
      </x:c>
      <x:c r="K333" s="53" t="b">
        <x:v>1</x:v>
      </x:c>
      <x:c r="L333" s="53" t="b">
        <x:v>1</x:v>
      </x:c>
      <x:c r="M333" s="53" t="b">
        <x:v>1</x:v>
      </x:c>
      <x:c r="N333" s="53" t="b">
        <x:v>1</x:v>
      </x:c>
      <x:c r="O333" s="53" t="b">
        <x:v>1</x:v>
      </x:c>
      <x:c r="P333" s="47" t="n">
        <x:v>1008</x:v>
      </x:c>
      <x:c r="Q333" s="47" t="n">
        <x:v>0</x:v>
      </x:c>
      <x:c r="R333" s="47" t="n">
        <x:v>0</x:v>
      </x:c>
      <x:c r="S333" s="47" t="n">
        <x:v>30.68</x:v>
      </x:c>
      <x:c r="T333" s="47" t="n">
        <x:v>53.2</x:v>
      </x:c>
      <x:c r="U333" s="47" t="n">
        <x:v>30.9</x:v>
      </x:c>
      <x:c r="V333" s="47" t="n">
        <x:v>12</x:v>
      </x:c>
      <x:c r="W333" s="47" t="n">
        <x:v>5</x:v>
      </x:c>
      <x:c r="X333" s="47" t="n">
        <x:v>21</x:v>
      </x:c>
      <x:c r="Y333" s="41" t="n">
        <x:v>16</x:v>
      </x:c>
    </x:row>
    <x:row r="334">
      <x:c r="A334" s="38" t="str">
        <x:v>7月30日现场数据</x:v>
      </x:c>
      <x:c r="B334" s="66" t="str">
        <x:v>2026-07-31T17:06:28.880000</x:v>
      </x:c>
      <x:c r="C334" s="47" t="n">
        <x:v>300962</x:v>
      </x:c>
      <x:c r="D334" s="47" t="str"/>
      <x:c r="E334" s="47" t="str"/>
      <x:c r="F334" s="47" t="str">
        <x:v>current</x:v>
      </x:c>
      <x:c r="G334" s="47" t="n">
        <x:v>330</x:v>
      </x:c>
      <x:c r="H334" s="53" t="b">
        <x:v>1</x:v>
      </x:c>
      <x:c r="I334" s="47" t="str">
        <x:v>3045069830</x:v>
      </x:c>
      <x:c r="J334" s="47" t="n">
        <x:v>9632710</x:v>
      </x:c>
      <x:c r="K334" s="53" t="b">
        <x:v>1</x:v>
      </x:c>
      <x:c r="L334" s="53" t="b">
        <x:v>1</x:v>
      </x:c>
      <x:c r="M334" s="53" t="b">
        <x:v>1</x:v>
      </x:c>
      <x:c r="N334" s="53" t="b">
        <x:v>1</x:v>
      </x:c>
      <x:c r="O334" s="53" t="b">
        <x:v>1</x:v>
      </x:c>
      <x:c r="P334" s="47" t="n">
        <x:v>1008</x:v>
      </x:c>
      <x:c r="Q334" s="47" t="n">
        <x:v>0</x:v>
      </x:c>
      <x:c r="R334" s="47" t="n">
        <x:v>0</x:v>
      </x:c>
      <x:c r="S334" s="47" t="n">
        <x:v>31.2</x:v>
      </x:c>
      <x:c r="T334" s="47" t="n">
        <x:v>53.36</x:v>
      </x:c>
      <x:c r="U334" s="47" t="n">
        <x:v>30.9</x:v>
      </x:c>
      <x:c r="V334" s="47" t="n">
        <x:v>12.1</x:v>
      </x:c>
      <x:c r="W334" s="47" t="n">
        <x:v>15</x:v>
      </x:c>
      <x:c r="X334" s="47" t="n">
        <x:v>58</x:v>
      </x:c>
      <x:c r="Y334" s="41" t="n">
        <x:v>43</x:v>
      </x:c>
    </x:row>
    <x:row r="335">
      <x:c r="A335" s="38" t="str">
        <x:v>7月30日现场数据</x:v>
      </x:c>
      <x:c r="B335" s="66" t="str">
        <x:v>2026-07-31T17:11:29.846000</x:v>
      </x:c>
      <x:c r="C335" s="47" t="n">
        <x:v>300966</x:v>
      </x:c>
      <x:c r="D335" s="47" t="str"/>
      <x:c r="E335" s="47" t="str"/>
      <x:c r="F335" s="47" t="str">
        <x:v>current</x:v>
      </x:c>
      <x:c r="G335" s="47" t="n">
        <x:v>331</x:v>
      </x:c>
      <x:c r="H335" s="53" t="b">
        <x:v>1</x:v>
      </x:c>
      <x:c r="I335" s="47" t="str">
        <x:v>3045069830</x:v>
      </x:c>
      <x:c r="J335" s="47" t="n">
        <x:v>9933676</x:v>
      </x:c>
      <x:c r="K335" s="53" t="b">
        <x:v>1</x:v>
      </x:c>
      <x:c r="L335" s="53" t="b">
        <x:v>1</x:v>
      </x:c>
      <x:c r="M335" s="53" t="b">
        <x:v>1</x:v>
      </x:c>
      <x:c r="N335" s="53" t="b">
        <x:v>1</x:v>
      </x:c>
      <x:c r="O335" s="53" t="b">
        <x:v>1</x:v>
      </x:c>
      <x:c r="P335" s="47" t="n">
        <x:v>1008</x:v>
      </x:c>
      <x:c r="Q335" s="47" t="n">
        <x:v>0</x:v>
      </x:c>
      <x:c r="R335" s="47" t="n">
        <x:v>0</x:v>
      </x:c>
      <x:c r="S335" s="47" t="n">
        <x:v>31.56</x:v>
      </x:c>
      <x:c r="T335" s="47" t="n">
        <x:v>53.58</x:v>
      </x:c>
      <x:c r="U335" s="47" t="n">
        <x:v>30.9</x:v>
      </x:c>
      <x:c r="V335" s="47" t="n">
        <x:v>12.1</x:v>
      </x:c>
      <x:c r="W335" s="47" t="n">
        <x:v>15</x:v>
      </x:c>
      <x:c r="X335" s="47" t="n">
        <x:v>55</x:v>
      </x:c>
      <x:c r="Y335" s="41" t="n">
        <x:v>40</x:v>
      </x:c>
    </x:row>
    <x:row r="336">
      <x:c r="A336" s="38" t="str">
        <x:v>7月30日现场数据</x:v>
      </x:c>
      <x:c r="B336" s="66" t="str">
        <x:v>2026-07-31T17:16:30.814000</x:v>
      </x:c>
      <x:c r="C336" s="47" t="n">
        <x:v>300968</x:v>
      </x:c>
      <x:c r="D336" s="47" t="str"/>
      <x:c r="E336" s="47" t="str"/>
      <x:c r="F336" s="47" t="str">
        <x:v>current</x:v>
      </x:c>
      <x:c r="G336" s="47" t="n">
        <x:v>332</x:v>
      </x:c>
      <x:c r="H336" s="53" t="b">
        <x:v>1</x:v>
      </x:c>
      <x:c r="I336" s="47" t="str">
        <x:v>3045069830</x:v>
      </x:c>
      <x:c r="J336" s="47" t="n">
        <x:v>10234644</x:v>
      </x:c>
      <x:c r="K336" s="53" t="b">
        <x:v>1</x:v>
      </x:c>
      <x:c r="L336" s="53" t="b">
        <x:v>1</x:v>
      </x:c>
      <x:c r="M336" s="53" t="b">
        <x:v>1</x:v>
      </x:c>
      <x:c r="N336" s="53" t="b">
        <x:v>1</x:v>
      </x:c>
      <x:c r="O336" s="53" t="b">
        <x:v>1</x:v>
      </x:c>
      <x:c r="P336" s="47" t="n">
        <x:v>1008</x:v>
      </x:c>
      <x:c r="Q336" s="47" t="n">
        <x:v>0</x:v>
      </x:c>
      <x:c r="R336" s="47" t="n">
        <x:v>0</x:v>
      </x:c>
      <x:c r="S336" s="47" t="n">
        <x:v>31.9</x:v>
      </x:c>
      <x:c r="T336" s="47" t="n">
        <x:v>53.77</x:v>
      </x:c>
      <x:c r="U336" s="47" t="n">
        <x:v>30.9</x:v>
      </x:c>
      <x:c r="V336" s="47" t="n">
        <x:v>12</x:v>
      </x:c>
      <x:c r="W336" s="47" t="n">
        <x:v>15</x:v>
      </x:c>
      <x:c r="X336" s="47" t="n">
        <x:v>53</x:v>
      </x:c>
      <x:c r="Y336" s="41" t="n">
        <x:v>38</x:v>
      </x:c>
    </x:row>
    <x:row r="337">
      <x:c r="A337" s="38" t="str">
        <x:v>7月30日现场数据</x:v>
      </x:c>
      <x:c r="B337" s="66" t="str">
        <x:v>2026-07-31T17:21:31.780000</x:v>
      </x:c>
      <x:c r="C337" s="47" t="n">
        <x:v>300966</x:v>
      </x:c>
      <x:c r="D337" s="47" t="str"/>
      <x:c r="E337" s="47" t="str"/>
      <x:c r="F337" s="47" t="str">
        <x:v>current</x:v>
      </x:c>
      <x:c r="G337" s="47" t="n">
        <x:v>333</x:v>
      </x:c>
      <x:c r="H337" s="53" t="b">
        <x:v>1</x:v>
      </x:c>
      <x:c r="I337" s="47" t="str">
        <x:v>3045069830</x:v>
      </x:c>
      <x:c r="J337" s="47" t="n">
        <x:v>10535610</x:v>
      </x:c>
      <x:c r="K337" s="53" t="b">
        <x:v>1</x:v>
      </x:c>
      <x:c r="L337" s="53" t="b">
        <x:v>1</x:v>
      </x:c>
      <x:c r="M337" s="53" t="b">
        <x:v>1</x:v>
      </x:c>
      <x:c r="N337" s="53" t="b">
        <x:v>1</x:v>
      </x:c>
      <x:c r="O337" s="53" t="b">
        <x:v>1</x:v>
      </x:c>
      <x:c r="P337" s="47" t="n">
        <x:v>1008</x:v>
      </x:c>
      <x:c r="Q337" s="47" t="n">
        <x:v>0</x:v>
      </x:c>
      <x:c r="R337" s="47" t="n">
        <x:v>0</x:v>
      </x:c>
      <x:c r="S337" s="47" t="n">
        <x:v>31.91</x:v>
      </x:c>
      <x:c r="T337" s="47" t="n">
        <x:v>53.84</x:v>
      </x:c>
      <x:c r="U337" s="47" t="n">
        <x:v>30.9</x:v>
      </x:c>
      <x:c r="V337" s="47" t="n">
        <x:v>12.1</x:v>
      </x:c>
      <x:c r="W337" s="47" t="n">
        <x:v>14</x:v>
      </x:c>
      <x:c r="X337" s="47" t="n">
        <x:v>51</x:v>
      </x:c>
      <x:c r="Y337" s="41" t="n">
        <x:v>37</x:v>
      </x:c>
    </x:row>
    <x:row r="338">
      <x:c r="A338" s="38" t="str">
        <x:v>7月30日现场数据</x:v>
      </x:c>
      <x:c r="B338" s="66" t="str">
        <x:v>2026-07-31T17:26:32.751000</x:v>
      </x:c>
      <x:c r="C338" s="47" t="n">
        <x:v>300971</x:v>
      </x:c>
      <x:c r="D338" s="47" t="str">
        <x:v>气压孤立跳变</x:v>
      </x:c>
      <x:c r="E338" s="47" t="str">
        <x:v>与前后记录均相差至少 3 hPa</x:v>
      </x:c>
      <x:c r="F338" s="47" t="str">
        <x:v>current</x:v>
      </x:c>
      <x:c r="G338" s="47" t="n">
        <x:v>334</x:v>
      </x:c>
      <x:c r="H338" s="53" t="b">
        <x:v>1</x:v>
      </x:c>
      <x:c r="I338" s="47" t="str">
        <x:v>3045069830</x:v>
      </x:c>
      <x:c r="J338" s="47" t="n">
        <x:v>10836581</x:v>
      </x:c>
      <x:c r="K338" s="53" t="b">
        <x:v>1</x:v>
      </x:c>
      <x:c r="L338" s="53" t="b">
        <x:v>1</x:v>
      </x:c>
      <x:c r="M338" s="53" t="b">
        <x:v>1</x:v>
      </x:c>
      <x:c r="N338" s="53" t="b">
        <x:v>1</x:v>
      </x:c>
      <x:c r="O338" s="53" t="b">
        <x:v>1</x:v>
      </x:c>
      <x:c r="P338" s="47" t="n">
        <x:v>1005</x:v>
      </x:c>
      <x:c r="Q338" s="47" t="n">
        <x:v>0</x:v>
      </x:c>
      <x:c r="R338" s="47" t="n">
        <x:v>0</x:v>
      </x:c>
      <x:c r="S338" s="47" t="n">
        <x:v>31.71</x:v>
      </x:c>
      <x:c r="T338" s="47" t="n">
        <x:v>53.9</x:v>
      </x:c>
      <x:c r="U338" s="47" t="n">
        <x:v>30.9</x:v>
      </x:c>
      <x:c r="V338" s="47" t="n">
        <x:v>12.1</x:v>
      </x:c>
      <x:c r="W338" s="47" t="n">
        <x:v>13</x:v>
      </x:c>
      <x:c r="X338" s="47" t="n">
        <x:v>45</x:v>
      </x:c>
      <x:c r="Y338" s="41" t="n">
        <x:v>32</x:v>
      </x:c>
    </x:row>
    <x:row r="339">
      <x:c r="A339" s="38" t="str">
        <x:v>7月30日现场数据</x:v>
      </x:c>
      <x:c r="B339" s="66" t="str">
        <x:v>2026-07-31T17:31:33.724000</x:v>
      </x:c>
      <x:c r="C339" s="47" t="n">
        <x:v>300973</x:v>
      </x:c>
      <x:c r="D339" s="47" t="str"/>
      <x:c r="E339" s="47" t="str"/>
      <x:c r="F339" s="47" t="str">
        <x:v>current</x:v>
      </x:c>
      <x:c r="G339" s="47" t="n">
        <x:v>335</x:v>
      </x:c>
      <x:c r="H339" s="53" t="b">
        <x:v>1</x:v>
      </x:c>
      <x:c r="I339" s="47" t="str">
        <x:v>3045069830</x:v>
      </x:c>
      <x:c r="J339" s="47" t="n">
        <x:v>11137554</x:v>
      </x:c>
      <x:c r="K339" s="53" t="b">
        <x:v>1</x:v>
      </x:c>
      <x:c r="L339" s="53" t="b">
        <x:v>1</x:v>
      </x:c>
      <x:c r="M339" s="53" t="b">
        <x:v>1</x:v>
      </x:c>
      <x:c r="N339" s="53" t="b">
        <x:v>1</x:v>
      </x:c>
      <x:c r="O339" s="53" t="b">
        <x:v>1</x:v>
      </x:c>
      <x:c r="P339" s="47" t="n">
        <x:v>1008</x:v>
      </x:c>
      <x:c r="Q339" s="47" t="n">
        <x:v>0</x:v>
      </x:c>
      <x:c r="R339" s="47" t="n">
        <x:v>0</x:v>
      </x:c>
      <x:c r="S339" s="47" t="n">
        <x:v>31.63</x:v>
      </x:c>
      <x:c r="T339" s="47" t="n">
        <x:v>53.87</x:v>
      </x:c>
      <x:c r="U339" s="47" t="n">
        <x:v>30.9</x:v>
      </x:c>
      <x:c r="V339" s="47" t="n">
        <x:v>12.1</x:v>
      </x:c>
      <x:c r="W339" s="47" t="n">
        <x:v>11</x:v>
      </x:c>
      <x:c r="X339" s="47" t="n">
        <x:v>41</x:v>
      </x:c>
      <x:c r="Y339" s="41" t="n">
        <x:v>30</x:v>
      </x:c>
    </x:row>
    <x:row r="340">
      <x:c r="A340" s="38" t="str">
        <x:v>7月30日现场数据</x:v>
      </x:c>
      <x:c r="B340" s="66" t="str">
        <x:v>2026-07-31T17:36:34.697000</x:v>
      </x:c>
      <x:c r="C340" s="47" t="n">
        <x:v>300973</x:v>
      </x:c>
      <x:c r="D340" s="47" t="str"/>
      <x:c r="E340" s="47" t="str"/>
      <x:c r="F340" s="47" t="str">
        <x:v>current</x:v>
      </x:c>
      <x:c r="G340" s="47" t="n">
        <x:v>336</x:v>
      </x:c>
      <x:c r="H340" s="53" t="b">
        <x:v>1</x:v>
      </x:c>
      <x:c r="I340" s="47" t="str">
        <x:v>3045069830</x:v>
      </x:c>
      <x:c r="J340" s="47" t="n">
        <x:v>11438527</x:v>
      </x:c>
      <x:c r="K340" s="53" t="b">
        <x:v>1</x:v>
      </x:c>
      <x:c r="L340" s="53" t="b">
        <x:v>1</x:v>
      </x:c>
      <x:c r="M340" s="53" t="b">
        <x:v>1</x:v>
      </x:c>
      <x:c r="N340" s="53" t="b">
        <x:v>1</x:v>
      </x:c>
      <x:c r="O340" s="53" t="b">
        <x:v>1</x:v>
      </x:c>
      <x:c r="P340" s="47" t="n">
        <x:v>1008</x:v>
      </x:c>
      <x:c r="Q340" s="47" t="n">
        <x:v>0</x:v>
      </x:c>
      <x:c r="R340" s="47" t="n">
        <x:v>0</x:v>
      </x:c>
      <x:c r="S340" s="47" t="n">
        <x:v>31.67</x:v>
      </x:c>
      <x:c r="T340" s="47" t="n">
        <x:v>53.92</x:v>
      </x:c>
      <x:c r="U340" s="47" t="n">
        <x:v>30.9</x:v>
      </x:c>
      <x:c r="V340" s="47" t="n">
        <x:v>12.1</x:v>
      </x:c>
      <x:c r="W340" s="47" t="n">
        <x:v>9</x:v>
      </x:c>
      <x:c r="X340" s="47" t="n">
        <x:v>34</x:v>
      </x:c>
      <x:c r="Y340" s="41" t="n">
        <x:v>25</x:v>
      </x:c>
    </x:row>
    <x:row r="341">
      <x:c r="A341" s="38" t="str">
        <x:v>7月30日现场数据</x:v>
      </x:c>
      <x:c r="B341" s="66" t="str">
        <x:v>2026-07-31T17:41:35.672000</x:v>
      </x:c>
      <x:c r="C341" s="47" t="n">
        <x:v>300975</x:v>
      </x:c>
      <x:c r="D341" s="47" t="str"/>
      <x:c r="E341" s="47" t="str"/>
      <x:c r="F341" s="47" t="str">
        <x:v>current</x:v>
      </x:c>
      <x:c r="G341" s="47" t="n">
        <x:v>337</x:v>
      </x:c>
      <x:c r="H341" s="53" t="b">
        <x:v>1</x:v>
      </x:c>
      <x:c r="I341" s="47" t="str">
        <x:v>3045069830</x:v>
      </x:c>
      <x:c r="J341" s="47" t="n">
        <x:v>11739502</x:v>
      </x:c>
      <x:c r="K341" s="53" t="b">
        <x:v>1</x:v>
      </x:c>
      <x:c r="L341" s="53" t="b">
        <x:v>1</x:v>
      </x:c>
      <x:c r="M341" s="53" t="b">
        <x:v>1</x:v>
      </x:c>
      <x:c r="N341" s="53" t="b">
        <x:v>1</x:v>
      </x:c>
      <x:c r="O341" s="53" t="b">
        <x:v>1</x:v>
      </x:c>
      <x:c r="P341" s="47" t="n">
        <x:v>1008</x:v>
      </x:c>
      <x:c r="Q341" s="47" t="n">
        <x:v>0</x:v>
      </x:c>
      <x:c r="R341" s="47" t="n">
        <x:v>0</x:v>
      </x:c>
      <x:c r="S341" s="47" t="n">
        <x:v>31.6</x:v>
      </x:c>
      <x:c r="T341" s="47" t="n">
        <x:v>53.92</x:v>
      </x:c>
      <x:c r="U341" s="47" t="n">
        <x:v>30.9</x:v>
      </x:c>
      <x:c r="V341" s="47" t="n">
        <x:v>12.1</x:v>
      </x:c>
      <x:c r="W341" s="47" t="n">
        <x:v>8</x:v>
      </x:c>
      <x:c r="X341" s="47" t="n">
        <x:v>31</x:v>
      </x:c>
      <x:c r="Y341" s="41" t="n">
        <x:v>23</x:v>
      </x:c>
    </x:row>
    <x:row r="342">
      <x:c r="A342" s="38" t="str">
        <x:v>7月30日现场数据</x:v>
      </x:c>
      <x:c r="B342" s="66" t="str">
        <x:v>2026-07-31T17:46:36.651000</x:v>
      </x:c>
      <x:c r="C342" s="47" t="n">
        <x:v>300979</x:v>
      </x:c>
      <x:c r="D342" s="47" t="str"/>
      <x:c r="E342" s="47" t="str"/>
      <x:c r="F342" s="47" t="str">
        <x:v>current</x:v>
      </x:c>
      <x:c r="G342" s="47" t="n">
        <x:v>338</x:v>
      </x:c>
      <x:c r="H342" s="53" t="b">
        <x:v>1</x:v>
      </x:c>
      <x:c r="I342" s="47" t="str">
        <x:v>3045069830</x:v>
      </x:c>
      <x:c r="J342" s="47" t="n">
        <x:v>12040481</x:v>
      </x:c>
      <x:c r="K342" s="53" t="b">
        <x:v>1</x:v>
      </x:c>
      <x:c r="L342" s="53" t="b">
        <x:v>1</x:v>
      </x:c>
      <x:c r="M342" s="53" t="b">
        <x:v>1</x:v>
      </x:c>
      <x:c r="N342" s="53" t="b">
        <x:v>1</x:v>
      </x:c>
      <x:c r="O342" s="53" t="b">
        <x:v>1</x:v>
      </x:c>
      <x:c r="P342" s="47" t="n">
        <x:v>1008</x:v>
      </x:c>
      <x:c r="Q342" s="47" t="n">
        <x:v>0</x:v>
      </x:c>
      <x:c r="R342" s="47" t="n">
        <x:v>0</x:v>
      </x:c>
      <x:c r="S342" s="47" t="n">
        <x:v>31.4</x:v>
      </x:c>
      <x:c r="T342" s="47" t="n">
        <x:v>53.91</x:v>
      </x:c>
      <x:c r="U342" s="47" t="n">
        <x:v>30.9</x:v>
      </x:c>
      <x:c r="V342" s="47" t="n">
        <x:v>12</x:v>
      </x:c>
      <x:c r="W342" s="47" t="n">
        <x:v>8</x:v>
      </x:c>
      <x:c r="X342" s="47" t="n">
        <x:v>28</x:v>
      </x:c>
      <x:c r="Y342" s="41" t="n">
        <x:v>20</x:v>
      </x:c>
    </x:row>
    <x:row r="343">
      <x:c r="A343" s="38" t="str">
        <x:v>7月30日现场数据</x:v>
      </x:c>
      <x:c r="B343" s="66" t="str">
        <x:v>2026-07-31T17:51:37.632000</x:v>
      </x:c>
      <x:c r="C343" s="47" t="n">
        <x:v>300981</x:v>
      </x:c>
      <x:c r="D343" s="47" t="str"/>
      <x:c r="E343" s="47" t="str"/>
      <x:c r="F343" s="47" t="str">
        <x:v>current</x:v>
      </x:c>
      <x:c r="G343" s="47" t="n">
        <x:v>339</x:v>
      </x:c>
      <x:c r="H343" s="53" t="b">
        <x:v>1</x:v>
      </x:c>
      <x:c r="I343" s="47" t="str">
        <x:v>3045069830</x:v>
      </x:c>
      <x:c r="J343" s="47" t="n">
        <x:v>12341462</x:v>
      </x:c>
      <x:c r="K343" s="53" t="b">
        <x:v>1</x:v>
      </x:c>
      <x:c r="L343" s="53" t="b">
        <x:v>1</x:v>
      </x:c>
      <x:c r="M343" s="53" t="b">
        <x:v>1</x:v>
      </x:c>
      <x:c r="N343" s="53" t="b">
        <x:v>1</x:v>
      </x:c>
      <x:c r="O343" s="53" t="b">
        <x:v>1</x:v>
      </x:c>
      <x:c r="P343" s="47" t="n">
        <x:v>1008</x:v>
      </x:c>
      <x:c r="Q343" s="47" t="n">
        <x:v>0</x:v>
      </x:c>
      <x:c r="R343" s="47" t="n">
        <x:v>0</x:v>
      </x:c>
      <x:c r="S343" s="47" t="n">
        <x:v>31.36</x:v>
      </x:c>
      <x:c r="T343" s="47" t="n">
        <x:v>53.89</x:v>
      </x:c>
      <x:c r="U343" s="47" t="n">
        <x:v>30.9</x:v>
      </x:c>
      <x:c r="V343" s="47" t="n">
        <x:v>12.1</x:v>
      </x:c>
      <x:c r="W343" s="47" t="n">
        <x:v>6</x:v>
      </x:c>
      <x:c r="X343" s="47" t="n">
        <x:v>22</x:v>
      </x:c>
      <x:c r="Y343" s="41" t="n">
        <x:v>16</x:v>
      </x:c>
    </x:row>
    <x:row r="344">
      <x:c r="A344" s="38" t="str">
        <x:v>7月30日现场数据</x:v>
      </x:c>
      <x:c r="B344" s="66" t="str">
        <x:v>2026-07-31T17:56:38.614000</x:v>
      </x:c>
      <x:c r="C344" s="47" t="n">
        <x:v>300982</x:v>
      </x:c>
      <x:c r="D344" s="47" t="str"/>
      <x:c r="E344" s="47" t="str"/>
      <x:c r="F344" s="47" t="str">
        <x:v>current</x:v>
      </x:c>
      <x:c r="G344" s="47" t="n">
        <x:v>340</x:v>
      </x:c>
      <x:c r="H344" s="53" t="b">
        <x:v>1</x:v>
      </x:c>
      <x:c r="I344" s="47" t="str">
        <x:v>3045069830</x:v>
      </x:c>
      <x:c r="J344" s="47" t="n">
        <x:v>12642444</x:v>
      </x:c>
      <x:c r="K344" s="53" t="b">
        <x:v>1</x:v>
      </x:c>
      <x:c r="L344" s="53" t="b">
        <x:v>1</x:v>
      </x:c>
      <x:c r="M344" s="53" t="b">
        <x:v>1</x:v>
      </x:c>
      <x:c r="N344" s="53" t="b">
        <x:v>1</x:v>
      </x:c>
      <x:c r="O344" s="53" t="b">
        <x:v>1</x:v>
      </x:c>
      <x:c r="P344" s="47" t="n">
        <x:v>1007</x:v>
      </x:c>
      <x:c r="Q344" s="47" t="n">
        <x:v>0</x:v>
      </x:c>
      <x:c r="R344" s="47" t="n">
        <x:v>0</x:v>
      </x:c>
      <x:c r="S344" s="47" t="n">
        <x:v>31.47</x:v>
      </x:c>
      <x:c r="T344" s="47" t="n">
        <x:v>53.96</x:v>
      </x:c>
      <x:c r="U344" s="47" t="n">
        <x:v>30.9</x:v>
      </x:c>
      <x:c r="V344" s="47" t="n">
        <x:v>12.1</x:v>
      </x:c>
      <x:c r="W344" s="47" t="n">
        <x:v>5</x:v>
      </x:c>
      <x:c r="X344" s="47" t="n">
        <x:v>18</x:v>
      </x:c>
      <x:c r="Y344" s="41" t="n">
        <x:v>13</x:v>
      </x:c>
    </x:row>
    <x:row r="345">
      <x:c r="A345" s="38" t="str">
        <x:v>7月30日现场数据</x:v>
      </x:c>
      <x:c r="B345" s="66" t="str">
        <x:v>2026-07-31T18:01:39.594000</x:v>
      </x:c>
      <x:c r="C345" s="47" t="n">
        <x:v>300980</x:v>
      </x:c>
      <x:c r="D345" s="47" t="str"/>
      <x:c r="E345" s="47" t="str"/>
      <x:c r="F345" s="47" t="str">
        <x:v>current</x:v>
      </x:c>
      <x:c r="G345" s="47" t="n">
        <x:v>341</x:v>
      </x:c>
      <x:c r="H345" s="53" t="b">
        <x:v>1</x:v>
      </x:c>
      <x:c r="I345" s="47" t="str">
        <x:v>3045069830</x:v>
      </x:c>
      <x:c r="J345" s="47" t="n">
        <x:v>12943424</x:v>
      </x:c>
      <x:c r="K345" s="53" t="b">
        <x:v>1</x:v>
      </x:c>
      <x:c r="L345" s="53" t="b">
        <x:v>1</x:v>
      </x:c>
      <x:c r="M345" s="53" t="b">
        <x:v>1</x:v>
      </x:c>
      <x:c r="N345" s="53" t="b">
        <x:v>1</x:v>
      </x:c>
      <x:c r="O345" s="53" t="b">
        <x:v>1</x:v>
      </x:c>
      <x:c r="P345" s="47" t="n">
        <x:v>1008</x:v>
      </x:c>
      <x:c r="Q345" s="47" t="n">
        <x:v>0</x:v>
      </x:c>
      <x:c r="R345" s="47" t="n">
        <x:v>0</x:v>
      </x:c>
      <x:c r="S345" s="47" t="n">
        <x:v>31.37</x:v>
      </x:c>
      <x:c r="T345" s="47" t="n">
        <x:v>53.99</x:v>
      </x:c>
      <x:c r="U345" s="47" t="n">
        <x:v>30.9</x:v>
      </x:c>
      <x:c r="V345" s="47" t="n">
        <x:v>12</x:v>
      </x:c>
      <x:c r="W345" s="47" t="n">
        <x:v>4</x:v>
      </x:c>
      <x:c r="X345" s="47" t="n">
        <x:v>14</x:v>
      </x:c>
      <x:c r="Y345" s="41" t="n">
        <x:v>10</x:v>
      </x:c>
    </x:row>
    <x:row r="346">
      <x:c r="A346" s="38" t="str">
        <x:v>7月30日现场数据</x:v>
      </x:c>
      <x:c r="B346" s="66" t="str">
        <x:v>2026-07-31T18:06:40.614000</x:v>
      </x:c>
      <x:c r="C346" s="47" t="n">
        <x:v>301020</x:v>
      </x:c>
      <x:c r="D346" s="47" t="str"/>
      <x:c r="E346" s="47" t="str"/>
      <x:c r="F346" s="47" t="str">
        <x:v>current</x:v>
      </x:c>
      <x:c r="G346" s="47" t="n">
        <x:v>342</x:v>
      </x:c>
      <x:c r="H346" s="53" t="b">
        <x:v>1</x:v>
      </x:c>
      <x:c r="I346" s="47" t="str">
        <x:v>3045069830</x:v>
      </x:c>
      <x:c r="J346" s="47" t="n">
        <x:v>13244444</x:v>
      </x:c>
      <x:c r="K346" s="53" t="b">
        <x:v>1</x:v>
      </x:c>
      <x:c r="L346" s="53" t="b">
        <x:v>1</x:v>
      </x:c>
      <x:c r="M346" s="53" t="b">
        <x:v>1</x:v>
      </x:c>
      <x:c r="N346" s="53" t="b">
        <x:v>1</x:v>
      </x:c>
      <x:c r="O346" s="53" t="b">
        <x:v>1</x:v>
      </x:c>
      <x:c r="P346" s="47" t="n">
        <x:v>1008</x:v>
      </x:c>
      <x:c r="Q346" s="47" t="n">
        <x:v>0</x:v>
      </x:c>
      <x:c r="R346" s="47" t="n">
        <x:v>0</x:v>
      </x:c>
      <x:c r="S346" s="47" t="n">
        <x:v>31.3</x:v>
      </x:c>
      <x:c r="T346" s="47" t="n">
        <x:v>53.99</x:v>
      </x:c>
      <x:c r="U346" s="47" t="n">
        <x:v>30.9</x:v>
      </x:c>
      <x:c r="V346" s="47" t="n">
        <x:v>12</x:v>
      </x:c>
      <x:c r="W346" s="47" t="n">
        <x:v>3</x:v>
      </x:c>
      <x:c r="X346" s="47" t="n">
        <x:v>11</x:v>
      </x:c>
      <x:c r="Y346" s="41" t="n">
        <x:v>8</x:v>
      </x:c>
    </x:row>
    <x:row r="347">
      <x:c r="A347" s="38" t="str">
        <x:v>7月30日现场数据</x:v>
      </x:c>
      <x:c r="B347" s="66" t="str">
        <x:v>2026-07-31T18:11:41.575000</x:v>
      </x:c>
      <x:c r="C347" s="47" t="n">
        <x:v>300961</x:v>
      </x:c>
      <x:c r="D347" s="47" t="str"/>
      <x:c r="E347" s="47" t="str"/>
      <x:c r="F347" s="47" t="str">
        <x:v>current</x:v>
      </x:c>
      <x:c r="G347" s="47" t="n">
        <x:v>343</x:v>
      </x:c>
      <x:c r="H347" s="53" t="b">
        <x:v>1</x:v>
      </x:c>
      <x:c r="I347" s="47" t="str">
        <x:v>3045069830</x:v>
      </x:c>
      <x:c r="J347" s="47" t="n">
        <x:v>13545405</x:v>
      </x:c>
      <x:c r="K347" s="53" t="b">
        <x:v>1</x:v>
      </x:c>
      <x:c r="L347" s="53" t="b">
        <x:v>1</x:v>
      </x:c>
      <x:c r="M347" s="53" t="b">
        <x:v>1</x:v>
      </x:c>
      <x:c r="N347" s="53" t="b">
        <x:v>1</x:v>
      </x:c>
      <x:c r="O347" s="53" t="b">
        <x:v>1</x:v>
      </x:c>
      <x:c r="P347" s="47" t="n">
        <x:v>1008</x:v>
      </x:c>
      <x:c r="Q347" s="47" t="n">
        <x:v>0</x:v>
      </x:c>
      <x:c r="R347" s="47" t="n">
        <x:v>0</x:v>
      </x:c>
      <x:c r="S347" s="47" t="n">
        <x:v>31.35</x:v>
      </x:c>
      <x:c r="T347" s="47" t="n">
        <x:v>54.04</x:v>
      </x:c>
      <x:c r="U347" s="47" t="n">
        <x:v>30.8</x:v>
      </x:c>
      <x:c r="V347" s="47" t="n">
        <x:v>12.1</x:v>
      </x:c>
      <x:c r="W347" s="47" t="n">
        <x:v>2</x:v>
      </x:c>
      <x:c r="X347" s="47" t="n">
        <x:v>7</x:v>
      </x:c>
      <x:c r="Y347" s="41" t="n">
        <x:v>5</x:v>
      </x:c>
    </x:row>
    <x:row r="348">
      <x:c r="A348" s="38" t="str">
        <x:v>7月30日现场数据</x:v>
      </x:c>
      <x:c r="B348" s="66" t="str">
        <x:v>2026-07-31T18:16:42.537000</x:v>
      </x:c>
      <x:c r="C348" s="47" t="n">
        <x:v>300962</x:v>
      </x:c>
      <x:c r="D348" s="47" t="str"/>
      <x:c r="E348" s="47" t="str"/>
      <x:c r="F348" s="47" t="str">
        <x:v>current</x:v>
      </x:c>
      <x:c r="G348" s="47" t="n">
        <x:v>344</x:v>
      </x:c>
      <x:c r="H348" s="53" t="b">
        <x:v>1</x:v>
      </x:c>
      <x:c r="I348" s="47" t="str">
        <x:v>3045069830</x:v>
      </x:c>
      <x:c r="J348" s="47" t="n">
        <x:v>13846367</x:v>
      </x:c>
      <x:c r="K348" s="53" t="b">
        <x:v>1</x:v>
      </x:c>
      <x:c r="L348" s="53" t="b">
        <x:v>1</x:v>
      </x:c>
      <x:c r="M348" s="53" t="b">
        <x:v>1</x:v>
      </x:c>
      <x:c r="N348" s="53" t="b">
        <x:v>1</x:v>
      </x:c>
      <x:c r="O348" s="53" t="b">
        <x:v>1</x:v>
      </x:c>
      <x:c r="P348" s="47" t="n">
        <x:v>1008</x:v>
      </x:c>
      <x:c r="Q348" s="47" t="n">
        <x:v>0</x:v>
      </x:c>
      <x:c r="R348" s="47" t="n">
        <x:v>0</x:v>
      </x:c>
      <x:c r="S348" s="47" t="n">
        <x:v>31.21</x:v>
      </x:c>
      <x:c r="T348" s="47" t="n">
        <x:v>53.99</x:v>
      </x:c>
      <x:c r="U348" s="47" t="n">
        <x:v>30.8</x:v>
      </x:c>
      <x:c r="V348" s="47" t="n">
        <x:v>12.1</x:v>
      </x:c>
      <x:c r="W348" s="47" t="n">
        <x:v>1</x:v>
      </x:c>
      <x:c r="X348" s="47" t="n">
        <x:v>3</x:v>
      </x:c>
      <x:c r="Y348" s="41" t="n">
        <x:v>2</x:v>
      </x:c>
    </x:row>
    <x:row r="349">
      <x:c r="A349" s="38" t="str">
        <x:v>7月30日现场数据</x:v>
      </x:c>
      <x:c r="B349" s="66" t="str">
        <x:v>2026-07-31T18:21:43.500000</x:v>
      </x:c>
      <x:c r="C349" s="47" t="n">
        <x:v>300963</x:v>
      </x:c>
      <x:c r="D349" s="47" t="str"/>
      <x:c r="E349" s="47" t="str"/>
      <x:c r="F349" s="47" t="str">
        <x:v>current</x:v>
      </x:c>
      <x:c r="G349" s="47" t="n">
        <x:v>345</x:v>
      </x:c>
      <x:c r="H349" s="53" t="b">
        <x:v>1</x:v>
      </x:c>
      <x:c r="I349" s="47" t="str">
        <x:v>3045069830</x:v>
      </x:c>
      <x:c r="J349" s="47" t="n">
        <x:v>14147330</x:v>
      </x:c>
      <x:c r="K349" s="53" t="b">
        <x:v>1</x:v>
      </x:c>
      <x:c r="L349" s="53" t="b">
        <x:v>1</x:v>
      </x:c>
      <x:c r="M349" s="53" t="b">
        <x:v>1</x:v>
      </x:c>
      <x:c r="N349" s="53" t="b">
        <x:v>1</x:v>
      </x:c>
      <x:c r="O349" s="53" t="b">
        <x:v>1</x:v>
      </x:c>
      <x:c r="P349" s="47" t="n">
        <x:v>1008</x:v>
      </x:c>
      <x:c r="Q349" s="47" t="n">
        <x:v>0</x:v>
      </x:c>
      <x:c r="R349" s="47" t="n">
        <x:v>0</x:v>
      </x:c>
      <x:c r="S349" s="47" t="n">
        <x:v>31.08</x:v>
      </x:c>
      <x:c r="T349" s="47" t="n">
        <x:v>53.98</x:v>
      </x:c>
      <x:c r="U349" s="47" t="n">
        <x:v>30.8</x:v>
      </x:c>
      <x:c r="V349" s="47" t="n">
        <x:v>12</x:v>
      </x:c>
      <x:c r="W349" s="47" t="n">
        <x:v>1</x:v>
      </x:c>
      <x:c r="X349" s="47" t="n">
        <x:v>2</x:v>
      </x:c>
      <x:c r="Y349" s="41" t="n">
        <x:v>1</x:v>
      </x:c>
    </x:row>
    <x:row r="350">
      <x:c r="A350" s="38" t="str">
        <x:v>7月30日现场数据</x:v>
      </x:c>
      <x:c r="B350" s="66" t="str">
        <x:v>2026-07-31T18:26:44.466000</x:v>
      </x:c>
      <x:c r="C350" s="47" t="n">
        <x:v>300966</x:v>
      </x:c>
      <x:c r="D350" s="47" t="str"/>
      <x:c r="E350" s="47" t="str"/>
      <x:c r="F350" s="47" t="str">
        <x:v>current</x:v>
      </x:c>
      <x:c r="G350" s="47" t="n">
        <x:v>346</x:v>
      </x:c>
      <x:c r="H350" s="53" t="b">
        <x:v>1</x:v>
      </x:c>
      <x:c r="I350" s="47" t="str">
        <x:v>3045069830</x:v>
      </x:c>
      <x:c r="J350" s="47" t="n">
        <x:v>14448296</x:v>
      </x:c>
      <x:c r="K350" s="53" t="b">
        <x:v>1</x:v>
      </x:c>
      <x:c r="L350" s="53" t="b">
        <x:v>1</x:v>
      </x:c>
      <x:c r="M350" s="53" t="b">
        <x:v>1</x:v>
      </x:c>
      <x:c r="N350" s="53" t="b">
        <x:v>1</x:v>
      </x:c>
      <x:c r="O350" s="53" t="b">
        <x:v>1</x:v>
      </x:c>
      <x:c r="P350" s="47" t="n">
        <x:v>1008</x:v>
      </x:c>
      <x:c r="Q350" s="47" t="n">
        <x:v>0</x:v>
      </x:c>
      <x:c r="R350" s="47" t="n">
        <x:v>0</x:v>
      </x:c>
      <x:c r="S350" s="47" t="n">
        <x:v>30.98</x:v>
      </x:c>
      <x:c r="T350" s="47" t="n">
        <x:v>54</x:v>
      </x:c>
      <x:c r="U350" s="47" t="n">
        <x:v>30.8</x:v>
      </x:c>
      <x:c r="V350" s="47" t="n">
        <x:v>12</x:v>
      </x:c>
      <x:c r="W350" s="47" t="n">
        <x:v>0</x:v>
      </x:c>
      <x:c r="X350" s="47" t="n">
        <x:v>2</x:v>
      </x:c>
      <x:c r="Y350" s="41" t="n">
        <x:v>2</x:v>
      </x:c>
    </x:row>
    <x:row r="351">
      <x:c r="A351" s="38" t="str">
        <x:v>7月30日现场数据</x:v>
      </x:c>
      <x:c r="B351" s="66" t="str">
        <x:v>2026-07-31T18:31:45.434000</x:v>
      </x:c>
      <x:c r="C351" s="47" t="n">
        <x:v>300968</x:v>
      </x:c>
      <x:c r="D351" s="47" t="str"/>
      <x:c r="E351" s="47" t="str"/>
      <x:c r="F351" s="47" t="str">
        <x:v>current</x:v>
      </x:c>
      <x:c r="G351" s="47" t="n">
        <x:v>347</x:v>
      </x:c>
      <x:c r="H351" s="53" t="b">
        <x:v>1</x:v>
      </x:c>
      <x:c r="I351" s="47" t="str">
        <x:v>3045069830</x:v>
      </x:c>
      <x:c r="J351" s="47" t="n">
        <x:v>14749264</x:v>
      </x:c>
      <x:c r="K351" s="53" t="b">
        <x:v>1</x:v>
      </x:c>
      <x:c r="L351" s="53" t="b">
        <x:v>1</x:v>
      </x:c>
      <x:c r="M351" s="53" t="b">
        <x:v>1</x:v>
      </x:c>
      <x:c r="N351" s="53" t="b">
        <x:v>1</x:v>
      </x:c>
      <x:c r="O351" s="53" t="b">
        <x:v>1</x:v>
      </x:c>
      <x:c r="P351" s="47" t="n">
        <x:v>1008</x:v>
      </x:c>
      <x:c r="Q351" s="47" t="n">
        <x:v>0</x:v>
      </x:c>
      <x:c r="R351" s="47" t="n">
        <x:v>0</x:v>
      </x:c>
      <x:c r="S351" s="47" t="n">
        <x:v>30.95</x:v>
      </x:c>
      <x:c r="T351" s="47" t="n">
        <x:v>53.97</x:v>
      </x:c>
      <x:c r="U351" s="47" t="n">
        <x:v>30.8</x:v>
      </x:c>
      <x:c r="V351" s="47" t="n">
        <x:v>11.9</x:v>
      </x:c>
      <x:c r="W351" s="47" t="n">
        <x:v>0</x:v>
      </x:c>
      <x:c r="X351" s="47" t="n">
        <x:v>1</x:v>
      </x:c>
      <x:c r="Y351" s="41" t="n">
        <x:v>1</x:v>
      </x:c>
    </x:row>
    <x:row r="352">
      <x:c r="A352" s="38" t="str">
        <x:v>7月30日现场数据</x:v>
      </x:c>
      <x:c r="B352" s="66" t="str">
        <x:v>2026-07-31T18:36:46.403000</x:v>
      </x:c>
      <x:c r="C352" s="47" t="n">
        <x:v>300969</x:v>
      </x:c>
      <x:c r="D352" s="47" t="str"/>
      <x:c r="E352" s="47" t="str"/>
      <x:c r="F352" s="47" t="str">
        <x:v>current</x:v>
      </x:c>
      <x:c r="G352" s="47" t="n">
        <x:v>348</x:v>
      </x:c>
      <x:c r="H352" s="53" t="b">
        <x:v>1</x:v>
      </x:c>
      <x:c r="I352" s="47" t="str">
        <x:v>3045069830</x:v>
      </x:c>
      <x:c r="J352" s="47" t="n">
        <x:v>15050233</x:v>
      </x:c>
      <x:c r="K352" s="53" t="b">
        <x:v>1</x:v>
      </x:c>
      <x:c r="L352" s="53" t="b">
        <x:v>1</x:v>
      </x:c>
      <x:c r="M352" s="53" t="b">
        <x:v>1</x:v>
      </x:c>
      <x:c r="N352" s="53" t="b">
        <x:v>1</x:v>
      </x:c>
      <x:c r="O352" s="53" t="b">
        <x:v>1</x:v>
      </x:c>
      <x:c r="P352" s="47" t="n">
        <x:v>1008</x:v>
      </x:c>
      <x:c r="Q352" s="47" t="n">
        <x:v>0</x:v>
      </x:c>
      <x:c r="R352" s="47" t="n">
        <x:v>0</x:v>
      </x:c>
      <x:c r="S352" s="47" t="n">
        <x:v>31.07</x:v>
      </x:c>
      <x:c r="T352" s="47" t="n">
        <x:v>54.02</x:v>
      </x:c>
      <x:c r="U352" s="47" t="n">
        <x:v>30.7</x:v>
      </x:c>
      <x:c r="V352" s="47" t="n">
        <x:v>12</x:v>
      </x:c>
      <x:c r="W352" s="47" t="n">
        <x:v>0</x:v>
      </x:c>
      <x:c r="X352" s="47" t="n">
        <x:v>1</x:v>
      </x:c>
      <x:c r="Y352" s="41" t="n">
        <x:v>1</x:v>
      </x:c>
    </x:row>
    <x:row r="353">
      <x:c r="A353" s="38" t="str">
        <x:v>7月30日现场数据</x:v>
      </x:c>
      <x:c r="B353" s="66" t="str">
        <x:v>2026-07-31T18:41:47.375000</x:v>
      </x:c>
      <x:c r="C353" s="47" t="n">
        <x:v>300972</x:v>
      </x:c>
      <x:c r="D353" s="47" t="str"/>
      <x:c r="E353" s="47" t="str"/>
      <x:c r="F353" s="47" t="str">
        <x:v>current</x:v>
      </x:c>
      <x:c r="G353" s="47" t="n">
        <x:v>349</x:v>
      </x:c>
      <x:c r="H353" s="53" t="b">
        <x:v>1</x:v>
      </x:c>
      <x:c r="I353" s="47" t="str">
        <x:v>3045069830</x:v>
      </x:c>
      <x:c r="J353" s="47" t="n">
        <x:v>15351205</x:v>
      </x:c>
      <x:c r="K353" s="53" t="b">
        <x:v>1</x:v>
      </x:c>
      <x:c r="L353" s="53" t="b">
        <x:v>1</x:v>
      </x:c>
      <x:c r="M353" s="53" t="b">
        <x:v>1</x:v>
      </x:c>
      <x:c r="N353" s="53" t="b">
        <x:v>1</x:v>
      </x:c>
      <x:c r="O353" s="53" t="b">
        <x:v>1</x:v>
      </x:c>
      <x:c r="P353" s="47" t="n">
        <x:v>1008</x:v>
      </x:c>
      <x:c r="Q353" s="47" t="n">
        <x:v>0</x:v>
      </x:c>
      <x:c r="R353" s="47" t="n">
        <x:v>0</x:v>
      </x:c>
      <x:c r="S353" s="47" t="n">
        <x:v>31.14</x:v>
      </x:c>
      <x:c r="T353" s="47" t="n">
        <x:v>54.08</x:v>
      </x:c>
      <x:c r="U353" s="47" t="n">
        <x:v>30.7</x:v>
      </x:c>
      <x:c r="V353" s="47" t="n">
        <x:v>12</x:v>
      </x:c>
      <x:c r="W353" s="47" t="n">
        <x:v>0</x:v>
      </x:c>
      <x:c r="X353" s="47" t="n">
        <x:v>0</x:v>
      </x:c>
      <x:c r="Y353" s="41" t="n">
        <x:v>0</x:v>
      </x:c>
    </x:row>
    <x:row r="354">
      <x:c r="A354" s="38" t="str">
        <x:v>7月30日现场数据</x:v>
      </x:c>
      <x:c r="B354" s="66" t="str">
        <x:v>2026-07-31T18:46:48.346000</x:v>
      </x:c>
      <x:c r="C354" s="47" t="n">
        <x:v>300971</x:v>
      </x:c>
      <x:c r="D354" s="47" t="str"/>
      <x:c r="E354" s="47" t="str"/>
      <x:c r="F354" s="47" t="str">
        <x:v>current</x:v>
      </x:c>
      <x:c r="G354" s="47" t="n">
        <x:v>350</x:v>
      </x:c>
      <x:c r="H354" s="53" t="b">
        <x:v>1</x:v>
      </x:c>
      <x:c r="I354" s="47" t="str">
        <x:v>3045069830</x:v>
      </x:c>
      <x:c r="J354" s="47" t="n">
        <x:v>15652176</x:v>
      </x:c>
      <x:c r="K354" s="53" t="b">
        <x:v>1</x:v>
      </x:c>
      <x:c r="L354" s="53" t="b">
        <x:v>1</x:v>
      </x:c>
      <x:c r="M354" s="53" t="b">
        <x:v>1</x:v>
      </x:c>
      <x:c r="N354" s="53" t="b">
        <x:v>1</x:v>
      </x:c>
      <x:c r="O354" s="53" t="b">
        <x:v>1</x:v>
      </x:c>
      <x:c r="P354" s="47" t="n">
        <x:v>1008</x:v>
      </x:c>
      <x:c r="Q354" s="47" t="n">
        <x:v>0.005</x:v>
      </x:c>
      <x:c r="R354" s="47" t="n">
        <x:v>0.132</x:v>
      </x:c>
      <x:c r="S354" s="47" t="n">
        <x:v>31.09</x:v>
      </x:c>
      <x:c r="T354" s="47" t="n">
        <x:v>54.16</x:v>
      </x:c>
      <x:c r="U354" s="47" t="n">
        <x:v>30.7</x:v>
      </x:c>
      <x:c r="V354" s="47" t="n">
        <x:v>12</x:v>
      </x:c>
      <x:c r="W354" s="47" t="n">
        <x:v>0</x:v>
      </x:c>
      <x:c r="X354" s="47" t="n">
        <x:v>0</x:v>
      </x:c>
      <x:c r="Y354" s="41" t="n">
        <x:v>0</x:v>
      </x:c>
    </x:row>
    <x:row r="355">
      <x:c r="A355" s="38" t="str">
        <x:v>7月30日现场数据</x:v>
      </x:c>
      <x:c r="B355" s="66" t="str">
        <x:v>2026-07-31T18:51:49.320000</x:v>
      </x:c>
      <x:c r="C355" s="47" t="n">
        <x:v>300974</x:v>
      </x:c>
      <x:c r="D355" s="47" t="str"/>
      <x:c r="E355" s="47" t="str"/>
      <x:c r="F355" s="47" t="str">
        <x:v>current</x:v>
      </x:c>
      <x:c r="G355" s="47" t="n">
        <x:v>351</x:v>
      </x:c>
      <x:c r="H355" s="53" t="b">
        <x:v>1</x:v>
      </x:c>
      <x:c r="I355" s="47" t="str">
        <x:v>3045069830</x:v>
      </x:c>
      <x:c r="J355" s="47" t="n">
        <x:v>15953150</x:v>
      </x:c>
      <x:c r="K355" s="53" t="b">
        <x:v>1</x:v>
      </x:c>
      <x:c r="L355" s="53" t="b">
        <x:v>1</x:v>
      </x:c>
      <x:c r="M355" s="53" t="b">
        <x:v>1</x:v>
      </x:c>
      <x:c r="N355" s="53" t="b">
        <x:v>1</x:v>
      </x:c>
      <x:c r="O355" s="53" t="b">
        <x:v>1</x:v>
      </x:c>
      <x:c r="P355" s="47" t="n">
        <x:v>1008</x:v>
      </x:c>
      <x:c r="Q355" s="47" t="n">
        <x:v>0</x:v>
      </x:c>
      <x:c r="R355" s="47" t="n">
        <x:v>0</x:v>
      </x:c>
      <x:c r="S355" s="47" t="n">
        <x:v>30.97</x:v>
      </x:c>
      <x:c r="T355" s="47" t="n">
        <x:v>54.07</x:v>
      </x:c>
      <x:c r="U355" s="47" t="n">
        <x:v>30.7</x:v>
      </x:c>
      <x:c r="V355" s="47" t="n">
        <x:v>12</x:v>
      </x:c>
      <x:c r="W355" s="47" t="n">
        <x:v>0</x:v>
      </x:c>
      <x:c r="X355" s="47" t="n">
        <x:v>0</x:v>
      </x:c>
      <x:c r="Y355" s="41" t="n">
        <x:v>0</x:v>
      </x:c>
    </x:row>
    <x:row r="356">
      <x:c r="A356" s="38" t="str">
        <x:v>7月30日现场数据</x:v>
      </x:c>
      <x:c r="B356" s="66" t="str">
        <x:v>2026-07-31T18:56:50.296000</x:v>
      </x:c>
      <x:c r="C356" s="47" t="n">
        <x:v>300976</x:v>
      </x:c>
      <x:c r="D356" s="47" t="str"/>
      <x:c r="E356" s="47" t="str"/>
      <x:c r="F356" s="47" t="str">
        <x:v>current</x:v>
      </x:c>
      <x:c r="G356" s="47" t="n">
        <x:v>352</x:v>
      </x:c>
      <x:c r="H356" s="53" t="b">
        <x:v>1</x:v>
      </x:c>
      <x:c r="I356" s="47" t="str">
        <x:v>3045069830</x:v>
      </x:c>
      <x:c r="J356" s="47" t="n">
        <x:v>16254126</x:v>
      </x:c>
      <x:c r="K356" s="53" t="b">
        <x:v>1</x:v>
      </x:c>
      <x:c r="L356" s="53" t="b">
        <x:v>1</x:v>
      </x:c>
      <x:c r="M356" s="53" t="b">
        <x:v>1</x:v>
      </x:c>
      <x:c r="N356" s="53" t="b">
        <x:v>1</x:v>
      </x:c>
      <x:c r="O356" s="53" t="b">
        <x:v>1</x:v>
      </x:c>
      <x:c r="P356" s="47" t="n">
        <x:v>1008</x:v>
      </x:c>
      <x:c r="Q356" s="47" t="n">
        <x:v>0</x:v>
      </x:c>
      <x:c r="R356" s="47" t="n">
        <x:v>0</x:v>
      </x:c>
      <x:c r="S356" s="47" t="n">
        <x:v>30.93</x:v>
      </x:c>
      <x:c r="T356" s="47" t="n">
        <x:v>54.1</x:v>
      </x:c>
      <x:c r="U356" s="47" t="n">
        <x:v>30.6</x:v>
      </x:c>
      <x:c r="V356" s="47" t="n">
        <x:v>12</x:v>
      </x:c>
      <x:c r="W356" s="47" t="n">
        <x:v>0</x:v>
      </x:c>
      <x:c r="X356" s="47" t="n">
        <x:v>0</x:v>
      </x:c>
      <x:c r="Y356" s="41" t="n">
        <x:v>0</x:v>
      </x:c>
    </x:row>
    <x:row r="357">
      <x:c r="A357" s="38" t="str">
        <x:v>7月30日现场数据</x:v>
      </x:c>
      <x:c r="B357" s="66" t="str">
        <x:v>2026-07-31T19:01:51.274000</x:v>
      </x:c>
      <x:c r="C357" s="47" t="n">
        <x:v>300978</x:v>
      </x:c>
      <x:c r="D357" s="47" t="str"/>
      <x:c r="E357" s="47" t="str"/>
      <x:c r="F357" s="47" t="str">
        <x:v>current</x:v>
      </x:c>
      <x:c r="G357" s="47" t="n">
        <x:v>353</x:v>
      </x:c>
      <x:c r="H357" s="53" t="b">
        <x:v>1</x:v>
      </x:c>
      <x:c r="I357" s="47" t="str">
        <x:v>3045069830</x:v>
      </x:c>
      <x:c r="J357" s="47" t="n">
        <x:v>16555104</x:v>
      </x:c>
      <x:c r="K357" s="53" t="b">
        <x:v>1</x:v>
      </x:c>
      <x:c r="L357" s="53" t="b">
        <x:v>1</x:v>
      </x:c>
      <x:c r="M357" s="53" t="b">
        <x:v>1</x:v>
      </x:c>
      <x:c r="N357" s="53" t="b">
        <x:v>1</x:v>
      </x:c>
      <x:c r="O357" s="53" t="b">
        <x:v>1</x:v>
      </x:c>
      <x:c r="P357" s="47" t="n">
        <x:v>1008</x:v>
      </x:c>
      <x:c r="Q357" s="47" t="n">
        <x:v>0</x:v>
      </x:c>
      <x:c r="R357" s="47" t="n">
        <x:v>0</x:v>
      </x:c>
      <x:c r="S357" s="47" t="n">
        <x:v>30.92</x:v>
      </x:c>
      <x:c r="T357" s="47" t="n">
        <x:v>54.17</x:v>
      </x:c>
      <x:c r="U357" s="47" t="n">
        <x:v>30.6</x:v>
      </x:c>
      <x:c r="V357" s="47" t="n">
        <x:v>12</x:v>
      </x:c>
      <x:c r="W357" s="47" t="n">
        <x:v>0</x:v>
      </x:c>
      <x:c r="X357" s="47" t="n">
        <x:v>0</x:v>
      </x:c>
      <x:c r="Y357" s="41" t="n">
        <x:v>0</x:v>
      </x:c>
    </x:row>
    <x:row r="358">
      <x:c r="A358" s="38" t="str">
        <x:v>7月30日现场数据</x:v>
      </x:c>
      <x:c r="B358" s="66" t="str">
        <x:v>2026-07-31T19:06:52.254000</x:v>
      </x:c>
      <x:c r="C358" s="47" t="n">
        <x:v>300980</x:v>
      </x:c>
      <x:c r="D358" s="47" t="str"/>
      <x:c r="E358" s="47" t="str"/>
      <x:c r="F358" s="47" t="str">
        <x:v>current</x:v>
      </x:c>
      <x:c r="G358" s="47" t="n">
        <x:v>354</x:v>
      </x:c>
      <x:c r="H358" s="53" t="b">
        <x:v>1</x:v>
      </x:c>
      <x:c r="I358" s="47" t="str">
        <x:v>3045069830</x:v>
      </x:c>
      <x:c r="J358" s="47" t="n">
        <x:v>16856084</x:v>
      </x:c>
      <x:c r="K358" s="53" t="b">
        <x:v>1</x:v>
      </x:c>
      <x:c r="L358" s="53" t="b">
        <x:v>1</x:v>
      </x:c>
      <x:c r="M358" s="53" t="b">
        <x:v>1</x:v>
      </x:c>
      <x:c r="N358" s="53" t="b">
        <x:v>1</x:v>
      </x:c>
      <x:c r="O358" s="53" t="b">
        <x:v>1</x:v>
      </x:c>
      <x:c r="P358" s="47" t="n">
        <x:v>1008</x:v>
      </x:c>
      <x:c r="Q358" s="47" t="n">
        <x:v>0</x:v>
      </x:c>
      <x:c r="R358" s="47" t="n">
        <x:v>0</x:v>
      </x:c>
      <x:c r="S358" s="47" t="n">
        <x:v>30.97</x:v>
      </x:c>
      <x:c r="T358" s="47" t="n">
        <x:v>54.2</x:v>
      </x:c>
      <x:c r="U358" s="47" t="n">
        <x:v>30.6</x:v>
      </x:c>
      <x:c r="V358" s="47" t="n">
        <x:v>12</x:v>
      </x:c>
      <x:c r="W358" s="47" t="n">
        <x:v>0</x:v>
      </x:c>
      <x:c r="X358" s="47" t="n">
        <x:v>0</x:v>
      </x:c>
      <x:c r="Y358" s="41" t="n">
        <x:v>0</x:v>
      </x:c>
    </x:row>
    <x:row r="359">
      <x:c r="A359" s="38" t="str">
        <x:v>7月30日现场数据</x:v>
      </x:c>
      <x:c r="B359" s="66" t="str">
        <x:v>2026-07-31T19:11:53.236000</x:v>
      </x:c>
      <x:c r="C359" s="47" t="n">
        <x:v>300982</x:v>
      </x:c>
      <x:c r="D359" s="47" t="str"/>
      <x:c r="E359" s="47" t="str"/>
      <x:c r="F359" s="47" t="str">
        <x:v>current</x:v>
      </x:c>
      <x:c r="G359" s="47" t="n">
        <x:v>355</x:v>
      </x:c>
      <x:c r="H359" s="53" t="b">
        <x:v>1</x:v>
      </x:c>
      <x:c r="I359" s="47" t="str">
        <x:v>3045069830</x:v>
      </x:c>
      <x:c r="J359" s="47" t="n">
        <x:v>17157066</x:v>
      </x:c>
      <x:c r="K359" s="53" t="b">
        <x:v>1</x:v>
      </x:c>
      <x:c r="L359" s="53" t="b">
        <x:v>1</x:v>
      </x:c>
      <x:c r="M359" s="53" t="b">
        <x:v>1</x:v>
      </x:c>
      <x:c r="N359" s="53" t="b">
        <x:v>1</x:v>
      </x:c>
      <x:c r="O359" s="53" t="b">
        <x:v>1</x:v>
      </x:c>
      <x:c r="P359" s="47" t="n">
        <x:v>1008</x:v>
      </x:c>
      <x:c r="Q359" s="47" t="n">
        <x:v>0</x:v>
      </x:c>
      <x:c r="R359" s="47" t="n">
        <x:v>0</x:v>
      </x:c>
      <x:c r="S359" s="47" t="n">
        <x:v>30.94</x:v>
      </x:c>
      <x:c r="T359" s="47" t="n">
        <x:v>54.22</x:v>
      </x:c>
      <x:c r="U359" s="47" t="n">
        <x:v>30.5</x:v>
      </x:c>
      <x:c r="V359" s="47" t="n">
        <x:v>12</x:v>
      </x:c>
      <x:c r="W359" s="47" t="n">
        <x:v>0</x:v>
      </x:c>
      <x:c r="X359" s="47" t="n">
        <x:v>0</x:v>
      </x:c>
      <x:c r="Y359" s="41" t="n">
        <x:v>0</x:v>
      </x:c>
    </x:row>
    <x:row r="360">
      <x:c r="A360" s="38" t="str">
        <x:v>7月30日现场数据</x:v>
      </x:c>
      <x:c r="B360" s="66" t="str">
        <x:v>2026-07-31T19:16:54.220000</x:v>
      </x:c>
      <x:c r="C360" s="47" t="n">
        <x:v>300984</x:v>
      </x:c>
      <x:c r="D360" s="47" t="str"/>
      <x:c r="E360" s="47" t="str"/>
      <x:c r="F360" s="47" t="str">
        <x:v>current</x:v>
      </x:c>
      <x:c r="G360" s="47" t="n">
        <x:v>356</x:v>
      </x:c>
      <x:c r="H360" s="53" t="b">
        <x:v>1</x:v>
      </x:c>
      <x:c r="I360" s="47" t="str">
        <x:v>3045069830</x:v>
      </x:c>
      <x:c r="J360" s="47" t="n">
        <x:v>17458050</x:v>
      </x:c>
      <x:c r="K360" s="53" t="b">
        <x:v>1</x:v>
      </x:c>
      <x:c r="L360" s="53" t="b">
        <x:v>1</x:v>
      </x:c>
      <x:c r="M360" s="53" t="b">
        <x:v>1</x:v>
      </x:c>
      <x:c r="N360" s="53" t="b">
        <x:v>1</x:v>
      </x:c>
      <x:c r="O360" s="53" t="b">
        <x:v>1</x:v>
      </x:c>
      <x:c r="P360" s="47" t="n">
        <x:v>1008</x:v>
      </x:c>
      <x:c r="Q360" s="47" t="n">
        <x:v>0</x:v>
      </x:c>
      <x:c r="R360" s="47" t="n">
        <x:v>0</x:v>
      </x:c>
      <x:c r="S360" s="47" t="n">
        <x:v>30.96</x:v>
      </x:c>
      <x:c r="T360" s="47" t="n">
        <x:v>54.27</x:v>
      </x:c>
      <x:c r="U360" s="47" t="n">
        <x:v>30.5</x:v>
      </x:c>
      <x:c r="V360" s="47" t="n">
        <x:v>12</x:v>
      </x:c>
      <x:c r="W360" s="47" t="n">
        <x:v>0</x:v>
      </x:c>
      <x:c r="X360" s="47" t="n">
        <x:v>0</x:v>
      </x:c>
      <x:c r="Y360" s="41" t="n">
        <x:v>0</x:v>
      </x:c>
    </x:row>
    <x:row r="361">
      <x:c r="A361" s="38" t="str">
        <x:v>7月30日现场数据</x:v>
      </x:c>
      <x:c r="B361" s="66" t="str">
        <x:v>2026-07-31T19:21:55.206000</x:v>
      </x:c>
      <x:c r="C361" s="47" t="n">
        <x:v>300986</x:v>
      </x:c>
      <x:c r="D361" s="47" t="str"/>
      <x:c r="E361" s="47" t="str"/>
      <x:c r="F361" s="47" t="str">
        <x:v>current</x:v>
      </x:c>
      <x:c r="G361" s="47" t="n">
        <x:v>357</x:v>
      </x:c>
      <x:c r="H361" s="53" t="b">
        <x:v>1</x:v>
      </x:c>
      <x:c r="I361" s="47" t="str">
        <x:v>3045069830</x:v>
      </x:c>
      <x:c r="J361" s="47" t="n">
        <x:v>17759036</x:v>
      </x:c>
      <x:c r="K361" s="53" t="b">
        <x:v>1</x:v>
      </x:c>
      <x:c r="L361" s="53" t="b">
        <x:v>1</x:v>
      </x:c>
      <x:c r="M361" s="53" t="b">
        <x:v>1</x:v>
      </x:c>
      <x:c r="N361" s="53" t="b">
        <x:v>1</x:v>
      </x:c>
      <x:c r="O361" s="53" t="b">
        <x:v>1</x:v>
      </x:c>
      <x:c r="P361" s="47" t="n">
        <x:v>1008</x:v>
      </x:c>
      <x:c r="Q361" s="47" t="n">
        <x:v>0</x:v>
      </x:c>
      <x:c r="R361" s="47" t="n">
        <x:v>0</x:v>
      </x:c>
      <x:c r="S361" s="47" t="n">
        <x:v>30.81</x:v>
      </x:c>
      <x:c r="T361" s="47" t="n">
        <x:v>54.26</x:v>
      </x:c>
      <x:c r="U361" s="47" t="n">
        <x:v>30.5</x:v>
      </x:c>
      <x:c r="V361" s="47" t="n">
        <x:v>12</x:v>
      </x:c>
      <x:c r="W361" s="47" t="n">
        <x:v>0</x:v>
      </x:c>
      <x:c r="X361" s="47" t="n">
        <x:v>0</x:v>
      </x:c>
      <x:c r="Y361" s="41" t="n">
        <x:v>0</x:v>
      </x:c>
    </x:row>
    <x:row r="362">
      <x:c r="A362" s="38" t="str">
        <x:v>7月30日现场数据</x:v>
      </x:c>
      <x:c r="B362" s="66" t="str">
        <x:v>2026-07-31T19:26:56.227000</x:v>
      </x:c>
      <x:c r="C362" s="47" t="n">
        <x:v>301021</x:v>
      </x:c>
      <x:c r="D362" s="47" t="str"/>
      <x:c r="E362" s="47" t="str"/>
      <x:c r="F362" s="47" t="str">
        <x:v>current</x:v>
      </x:c>
      <x:c r="G362" s="47" t="n">
        <x:v>358</x:v>
      </x:c>
      <x:c r="H362" s="53" t="b">
        <x:v>1</x:v>
      </x:c>
      <x:c r="I362" s="47" t="str">
        <x:v>3045069830</x:v>
      </x:c>
      <x:c r="J362" s="47" t="n">
        <x:v>18060057</x:v>
      </x:c>
      <x:c r="K362" s="53" t="b">
        <x:v>1</x:v>
      </x:c>
      <x:c r="L362" s="53" t="b">
        <x:v>1</x:v>
      </x:c>
      <x:c r="M362" s="53" t="b">
        <x:v>1</x:v>
      </x:c>
      <x:c r="N362" s="53" t="b">
        <x:v>1</x:v>
      </x:c>
      <x:c r="O362" s="53" t="b">
        <x:v>1</x:v>
      </x:c>
      <x:c r="P362" s="47" t="n">
        <x:v>1008</x:v>
      </x:c>
      <x:c r="Q362" s="47" t="n">
        <x:v>0</x:v>
      </x:c>
      <x:c r="R362" s="47" t="n">
        <x:v>0</x:v>
      </x:c>
      <x:c r="S362" s="47" t="n">
        <x:v>30.69</x:v>
      </x:c>
      <x:c r="T362" s="47" t="n">
        <x:v>54.27</x:v>
      </x:c>
      <x:c r="U362" s="47" t="n">
        <x:v>30.5</x:v>
      </x:c>
      <x:c r="V362" s="47" t="n">
        <x:v>12</x:v>
      </x:c>
      <x:c r="W362" s="47" t="n">
        <x:v>0</x:v>
      </x:c>
      <x:c r="X362" s="47" t="n">
        <x:v>0</x:v>
      </x:c>
      <x:c r="Y362" s="41" t="n">
        <x:v>0</x:v>
      </x:c>
    </x:row>
    <x:row r="363">
      <x:c r="A363" s="38" t="str">
        <x:v>7月30日现场数据</x:v>
      </x:c>
      <x:c r="B363" s="66" t="str">
        <x:v>2026-07-31T19:31:57.189000</x:v>
      </x:c>
      <x:c r="C363" s="47" t="n">
        <x:v>300962</x:v>
      </x:c>
      <x:c r="D363" s="47" t="str"/>
      <x:c r="E363" s="47" t="str"/>
      <x:c r="F363" s="47" t="str">
        <x:v>current</x:v>
      </x:c>
      <x:c r="G363" s="47" t="n">
        <x:v>359</x:v>
      </x:c>
      <x:c r="H363" s="53" t="b">
        <x:v>1</x:v>
      </x:c>
      <x:c r="I363" s="47" t="str">
        <x:v>3045069830</x:v>
      </x:c>
      <x:c r="J363" s="47" t="n">
        <x:v>18361019</x:v>
      </x:c>
      <x:c r="K363" s="53" t="b">
        <x:v>1</x:v>
      </x:c>
      <x:c r="L363" s="53" t="b">
        <x:v>1</x:v>
      </x:c>
      <x:c r="M363" s="53" t="b">
        <x:v>1</x:v>
      </x:c>
      <x:c r="N363" s="53" t="b">
        <x:v>1</x:v>
      </x:c>
      <x:c r="O363" s="53" t="b">
        <x:v>1</x:v>
      </x:c>
      <x:c r="P363" s="47" t="n">
        <x:v>1008</x:v>
      </x:c>
      <x:c r="Q363" s="47" t="n">
        <x:v>0</x:v>
      </x:c>
      <x:c r="R363" s="47" t="n">
        <x:v>0</x:v>
      </x:c>
      <x:c r="S363" s="47" t="n">
        <x:v>30.54</x:v>
      </x:c>
      <x:c r="T363" s="47" t="n">
        <x:v>54.24</x:v>
      </x:c>
      <x:c r="U363" s="47" t="n">
        <x:v>30.5</x:v>
      </x:c>
      <x:c r="V363" s="47" t="n">
        <x:v>12</x:v>
      </x:c>
      <x:c r="W363" s="47" t="n">
        <x:v>0</x:v>
      </x:c>
      <x:c r="X363" s="47" t="n">
        <x:v>0</x:v>
      </x:c>
      <x:c r="Y363" s="41" t="n">
        <x:v>0</x:v>
      </x:c>
    </x:row>
    <x:row r="364">
      <x:c r="A364" s="38" t="str">
        <x:v>7月30日现场数据</x:v>
      </x:c>
      <x:c r="B364" s="66" t="str">
        <x:v>2026-07-31T19:36:58.153000</x:v>
      </x:c>
      <x:c r="C364" s="47" t="n">
        <x:v>300964</x:v>
      </x:c>
      <x:c r="D364" s="47" t="str"/>
      <x:c r="E364" s="47" t="str"/>
      <x:c r="F364" s="47" t="str">
        <x:v>current</x:v>
      </x:c>
      <x:c r="G364" s="47" t="n">
        <x:v>360</x:v>
      </x:c>
      <x:c r="H364" s="53" t="b">
        <x:v>1</x:v>
      </x:c>
      <x:c r="I364" s="47" t="str">
        <x:v>3045069830</x:v>
      </x:c>
      <x:c r="J364" s="47" t="n">
        <x:v>18661983</x:v>
      </x:c>
      <x:c r="K364" s="53" t="b">
        <x:v>1</x:v>
      </x:c>
      <x:c r="L364" s="53" t="b">
        <x:v>1</x:v>
      </x:c>
      <x:c r="M364" s="53" t="b">
        <x:v>1</x:v>
      </x:c>
      <x:c r="N364" s="53" t="b">
        <x:v>1</x:v>
      </x:c>
      <x:c r="O364" s="53" t="b">
        <x:v>1</x:v>
      </x:c>
      <x:c r="P364" s="47" t="n">
        <x:v>1008</x:v>
      </x:c>
      <x:c r="Q364" s="47" t="n">
        <x:v>0</x:v>
      </x:c>
      <x:c r="R364" s="47" t="n">
        <x:v>0</x:v>
      </x:c>
      <x:c r="S364" s="47" t="n">
        <x:v>30.4</x:v>
      </x:c>
      <x:c r="T364" s="47" t="n">
        <x:v>54.23</x:v>
      </x:c>
      <x:c r="U364" s="47" t="n">
        <x:v>30.5</x:v>
      </x:c>
      <x:c r="V364" s="47" t="n">
        <x:v>11.9</x:v>
      </x:c>
      <x:c r="W364" s="47" t="n">
        <x:v>0</x:v>
      </x:c>
      <x:c r="X364" s="47" t="n">
        <x:v>0</x:v>
      </x:c>
      <x:c r="Y364" s="41" t="n">
        <x:v>0</x:v>
      </x:c>
    </x:row>
    <x:row r="365">
      <x:c r="A365" s="38" t="str">
        <x:v>7月30日现场数据</x:v>
      </x:c>
      <x:c r="B365" s="66" t="str">
        <x:v>2026-07-31T19:41:59.117000</x:v>
      </x:c>
      <x:c r="C365" s="47" t="n">
        <x:v>300964</x:v>
      </x:c>
      <x:c r="D365" s="47" t="str"/>
      <x:c r="E365" s="47" t="str"/>
      <x:c r="F365" s="47" t="str">
        <x:v>current</x:v>
      </x:c>
      <x:c r="G365" s="47" t="n">
        <x:v>361</x:v>
      </x:c>
      <x:c r="H365" s="53" t="b">
        <x:v>1</x:v>
      </x:c>
      <x:c r="I365" s="47" t="str">
        <x:v>3045069830</x:v>
      </x:c>
      <x:c r="J365" s="47" t="n">
        <x:v>18962947</x:v>
      </x:c>
      <x:c r="K365" s="53" t="b">
        <x:v>1</x:v>
      </x:c>
      <x:c r="L365" s="53" t="b">
        <x:v>1</x:v>
      </x:c>
      <x:c r="M365" s="53" t="b">
        <x:v>1</x:v>
      </x:c>
      <x:c r="N365" s="53" t="b">
        <x:v>1</x:v>
      </x:c>
      <x:c r="O365" s="53" t="b">
        <x:v>1</x:v>
      </x:c>
      <x:c r="P365" s="47" t="n">
        <x:v>1008</x:v>
      </x:c>
      <x:c r="Q365" s="47" t="n">
        <x:v>0</x:v>
      </x:c>
      <x:c r="R365" s="47" t="n">
        <x:v>0</x:v>
      </x:c>
      <x:c r="S365" s="47" t="n">
        <x:v>30.38</x:v>
      </x:c>
      <x:c r="T365" s="47" t="n">
        <x:v>54.29</x:v>
      </x:c>
      <x:c r="U365" s="47" t="n">
        <x:v>30.4</x:v>
      </x:c>
      <x:c r="V365" s="47" t="n">
        <x:v>12</x:v>
      </x:c>
      <x:c r="W365" s="47" t="n">
        <x:v>0</x:v>
      </x:c>
      <x:c r="X365" s="47" t="n">
        <x:v>0</x:v>
      </x:c>
      <x:c r="Y365" s="41" t="n">
        <x:v>0</x:v>
      </x:c>
    </x:row>
    <x:row r="366">
      <x:c r="A366" s="38" t="str">
        <x:v>7月30日现场数据</x:v>
      </x:c>
      <x:c r="B366" s="66" t="str">
        <x:v>2026-07-31T19:47:00.085000</x:v>
      </x:c>
      <x:c r="C366" s="47" t="n">
        <x:v>300968</x:v>
      </x:c>
      <x:c r="D366" s="47" t="str"/>
      <x:c r="E366" s="47" t="str"/>
      <x:c r="F366" s="47" t="str">
        <x:v>current</x:v>
      </x:c>
      <x:c r="G366" s="47" t="n">
        <x:v>362</x:v>
      </x:c>
      <x:c r="H366" s="53" t="b">
        <x:v>1</x:v>
      </x:c>
      <x:c r="I366" s="47" t="str">
        <x:v>3045069830</x:v>
      </x:c>
      <x:c r="J366" s="47" t="n">
        <x:v>19263915</x:v>
      </x:c>
      <x:c r="K366" s="53" t="b">
        <x:v>1</x:v>
      </x:c>
      <x:c r="L366" s="53" t="b">
        <x:v>1</x:v>
      </x:c>
      <x:c r="M366" s="53" t="b">
        <x:v>1</x:v>
      </x:c>
      <x:c r="N366" s="53" t="b">
        <x:v>1</x:v>
      </x:c>
      <x:c r="O366" s="53" t="b">
        <x:v>1</x:v>
      </x:c>
      <x:c r="P366" s="47" t="n">
        <x:v>1009</x:v>
      </x:c>
      <x:c r="Q366" s="47" t="n">
        <x:v>0</x:v>
      </x:c>
      <x:c r="R366" s="47" t="n">
        <x:v>0</x:v>
      </x:c>
      <x:c r="S366" s="47" t="n">
        <x:v>30.37</x:v>
      </x:c>
      <x:c r="T366" s="47" t="n">
        <x:v>54.31</x:v>
      </x:c>
      <x:c r="U366" s="47" t="n">
        <x:v>30.4</x:v>
      </x:c>
      <x:c r="V366" s="47" t="n">
        <x:v>12</x:v>
      </x:c>
      <x:c r="W366" s="47" t="n">
        <x:v>0</x:v>
      </x:c>
      <x:c r="X366" s="47" t="n">
        <x:v>0</x:v>
      </x:c>
      <x:c r="Y366" s="41" t="n">
        <x:v>0</x:v>
      </x:c>
    </x:row>
    <x:row r="367">
      <x:c r="A367" s="38" t="str">
        <x:v>7月30日现场数据</x:v>
      </x:c>
      <x:c r="B367" s="66" t="str">
        <x:v>2026-07-31T19:52:01.054000</x:v>
      </x:c>
      <x:c r="C367" s="47" t="n">
        <x:v>300969</x:v>
      </x:c>
      <x:c r="D367" s="47" t="str"/>
      <x:c r="E367" s="47" t="str"/>
      <x:c r="F367" s="47" t="str">
        <x:v>current</x:v>
      </x:c>
      <x:c r="G367" s="47" t="n">
        <x:v>363</x:v>
      </x:c>
      <x:c r="H367" s="53" t="b">
        <x:v>1</x:v>
      </x:c>
      <x:c r="I367" s="47" t="str">
        <x:v>3045069830</x:v>
      </x:c>
      <x:c r="J367" s="47" t="n">
        <x:v>19564884</x:v>
      </x:c>
      <x:c r="K367" s="53" t="b">
        <x:v>1</x:v>
      </x:c>
      <x:c r="L367" s="53" t="b">
        <x:v>1</x:v>
      </x:c>
      <x:c r="M367" s="53" t="b">
        <x:v>1</x:v>
      </x:c>
      <x:c r="N367" s="53" t="b">
        <x:v>1</x:v>
      </x:c>
      <x:c r="O367" s="53" t="b">
        <x:v>1</x:v>
      </x:c>
      <x:c r="P367" s="47" t="n">
        <x:v>1008</x:v>
      </x:c>
      <x:c r="Q367" s="47" t="n">
        <x:v>0</x:v>
      </x:c>
      <x:c r="R367" s="47" t="n">
        <x:v>0</x:v>
      </x:c>
      <x:c r="S367" s="47" t="n">
        <x:v>30.39</x:v>
      </x:c>
      <x:c r="T367" s="47" t="n">
        <x:v>54.4</x:v>
      </x:c>
      <x:c r="U367" s="47" t="n">
        <x:v>30.4</x:v>
      </x:c>
      <x:c r="V367" s="47" t="n">
        <x:v>12</x:v>
      </x:c>
      <x:c r="W367" s="47" t="n">
        <x:v>0</x:v>
      </x:c>
      <x:c r="X367" s="47" t="n">
        <x:v>0</x:v>
      </x:c>
      <x:c r="Y367" s="41" t="n">
        <x:v>0</x:v>
      </x:c>
    </x:row>
    <x:row r="368">
      <x:c r="A368" s="38" t="str">
        <x:v>7月30日现场数据</x:v>
      </x:c>
      <x:c r="B368" s="66" t="str">
        <x:v>2026-07-31T19:57:02.026000</x:v>
      </x:c>
      <x:c r="C368" s="47" t="n">
        <x:v>300972</x:v>
      </x:c>
      <x:c r="D368" s="47" t="str"/>
      <x:c r="E368" s="47" t="str"/>
      <x:c r="F368" s="47" t="str">
        <x:v>current</x:v>
      </x:c>
      <x:c r="G368" s="47" t="n">
        <x:v>364</x:v>
      </x:c>
      <x:c r="H368" s="53" t="b">
        <x:v>1</x:v>
      </x:c>
      <x:c r="I368" s="47" t="str">
        <x:v>3045069830</x:v>
      </x:c>
      <x:c r="J368" s="47" t="n">
        <x:v>19865856</x:v>
      </x:c>
      <x:c r="K368" s="53" t="b">
        <x:v>1</x:v>
      </x:c>
      <x:c r="L368" s="53" t="b">
        <x:v>1</x:v>
      </x:c>
      <x:c r="M368" s="53" t="b">
        <x:v>1</x:v>
      </x:c>
      <x:c r="N368" s="53" t="b">
        <x:v>1</x:v>
      </x:c>
      <x:c r="O368" s="53" t="b">
        <x:v>1</x:v>
      </x:c>
      <x:c r="P368" s="47" t="n">
        <x:v>1008</x:v>
      </x:c>
      <x:c r="Q368" s="47" t="n">
        <x:v>0</x:v>
      </x:c>
      <x:c r="R368" s="47" t="n">
        <x:v>0</x:v>
      </x:c>
      <x:c r="S368" s="47" t="n">
        <x:v>30.34</x:v>
      </x:c>
      <x:c r="T368" s="47" t="n">
        <x:v>54.43</x:v>
      </x:c>
      <x:c r="U368" s="47" t="n">
        <x:v>30.4</x:v>
      </x:c>
      <x:c r="V368" s="47" t="n">
        <x:v>12</x:v>
      </x:c>
      <x:c r="W368" s="47" t="n">
        <x:v>0</x:v>
      </x:c>
      <x:c r="X368" s="47" t="n">
        <x:v>0</x:v>
      </x:c>
      <x:c r="Y368" s="41" t="n">
        <x:v>0</x:v>
      </x:c>
    </x:row>
    <x:row r="369">
      <x:c r="A369" s="38" t="str">
        <x:v>7月30日现场数据</x:v>
      </x:c>
      <x:c r="B369" s="66" t="str">
        <x:v>2026-07-31T20:02:02.999000</x:v>
      </x:c>
      <x:c r="C369" s="47" t="n">
        <x:v>300973</x:v>
      </x:c>
      <x:c r="D369" s="47" t="str"/>
      <x:c r="E369" s="47" t="str"/>
      <x:c r="F369" s="47" t="str">
        <x:v>current</x:v>
      </x:c>
      <x:c r="G369" s="47" t="n">
        <x:v>365</x:v>
      </x:c>
      <x:c r="H369" s="53" t="b">
        <x:v>1</x:v>
      </x:c>
      <x:c r="I369" s="47" t="str">
        <x:v>3045069830</x:v>
      </x:c>
      <x:c r="J369" s="47" t="n">
        <x:v>20166829</x:v>
      </x:c>
      <x:c r="K369" s="53" t="b">
        <x:v>1</x:v>
      </x:c>
      <x:c r="L369" s="53" t="b">
        <x:v>1</x:v>
      </x:c>
      <x:c r="M369" s="53" t="b">
        <x:v>1</x:v>
      </x:c>
      <x:c r="N369" s="53" t="b">
        <x:v>1</x:v>
      </x:c>
      <x:c r="O369" s="53" t="b">
        <x:v>1</x:v>
      </x:c>
      <x:c r="P369" s="47" t="n">
        <x:v>1008</x:v>
      </x:c>
      <x:c r="Q369" s="47" t="n">
        <x:v>0</x:v>
      </x:c>
      <x:c r="R369" s="47" t="n">
        <x:v>0</x:v>
      </x:c>
      <x:c r="S369" s="47" t="n">
        <x:v>30.31</x:v>
      </x:c>
      <x:c r="T369" s="47" t="n">
        <x:v>54.48</x:v>
      </x:c>
      <x:c r="U369" s="47" t="n">
        <x:v>30.4</x:v>
      </x:c>
      <x:c r="V369" s="47" t="n">
        <x:v>12</x:v>
      </x:c>
      <x:c r="W369" s="47" t="n">
        <x:v>0</x:v>
      </x:c>
      <x:c r="X369" s="47" t="n">
        <x:v>0</x:v>
      </x:c>
      <x:c r="Y369" s="41" t="n">
        <x:v>0</x:v>
      </x:c>
    </x:row>
    <x:row r="370">
      <x:c r="A370" s="38" t="str">
        <x:v>7月30日现场数据</x:v>
      </x:c>
      <x:c r="B370" s="66" t="str">
        <x:v>2026-07-31T20:07:03.973000</x:v>
      </x:c>
      <x:c r="C370" s="47" t="n">
        <x:v>300974</x:v>
      </x:c>
      <x:c r="D370" s="47" t="str"/>
      <x:c r="E370" s="47" t="str"/>
      <x:c r="F370" s="47" t="str">
        <x:v>current</x:v>
      </x:c>
      <x:c r="G370" s="47" t="n">
        <x:v>366</x:v>
      </x:c>
      <x:c r="H370" s="53" t="b">
        <x:v>1</x:v>
      </x:c>
      <x:c r="I370" s="47" t="str">
        <x:v>3045069830</x:v>
      </x:c>
      <x:c r="J370" s="47" t="n">
        <x:v>20467803</x:v>
      </x:c>
      <x:c r="K370" s="53" t="b">
        <x:v>1</x:v>
      </x:c>
      <x:c r="L370" s="53" t="b">
        <x:v>1</x:v>
      </x:c>
      <x:c r="M370" s="53" t="b">
        <x:v>1</x:v>
      </x:c>
      <x:c r="N370" s="53" t="b">
        <x:v>1</x:v>
      </x:c>
      <x:c r="O370" s="53" t="b">
        <x:v>1</x:v>
      </x:c>
      <x:c r="P370" s="47" t="n">
        <x:v>1008</x:v>
      </x:c>
      <x:c r="Q370" s="47" t="n">
        <x:v>0</x:v>
      </x:c>
      <x:c r="R370" s="47" t="n">
        <x:v>0</x:v>
      </x:c>
      <x:c r="S370" s="47" t="n">
        <x:v>30.29</x:v>
      </x:c>
      <x:c r="T370" s="47" t="n">
        <x:v>54.52</x:v>
      </x:c>
      <x:c r="U370" s="47" t="n">
        <x:v>30.4</x:v>
      </x:c>
      <x:c r="V370" s="47" t="n">
        <x:v>12</x:v>
      </x:c>
      <x:c r="W370" s="47" t="n">
        <x:v>0</x:v>
      </x:c>
      <x:c r="X370" s="47" t="n">
        <x:v>0</x:v>
      </x:c>
      <x:c r="Y370" s="41" t="n">
        <x:v>0</x:v>
      </x:c>
    </x:row>
    <x:row r="371">
      <x:c r="A371" s="38" t="str">
        <x:v>7月30日现场数据</x:v>
      </x:c>
      <x:c r="B371" s="66" t="str">
        <x:v>2026-07-31T20:12:04.950000</x:v>
      </x:c>
      <x:c r="C371" s="47" t="n">
        <x:v>300977</x:v>
      </x:c>
      <x:c r="D371" s="47" t="str"/>
      <x:c r="E371" s="47" t="str"/>
      <x:c r="F371" s="47" t="str">
        <x:v>current</x:v>
      </x:c>
      <x:c r="G371" s="47" t="n">
        <x:v>367</x:v>
      </x:c>
      <x:c r="H371" s="53" t="b">
        <x:v>1</x:v>
      </x:c>
      <x:c r="I371" s="47" t="str">
        <x:v>3045069830</x:v>
      </x:c>
      <x:c r="J371" s="47" t="n">
        <x:v>20768780</x:v>
      </x:c>
      <x:c r="K371" s="53" t="b">
        <x:v>1</x:v>
      </x:c>
      <x:c r="L371" s="53" t="b">
        <x:v>1</x:v>
      </x:c>
      <x:c r="M371" s="53" t="b">
        <x:v>1</x:v>
      </x:c>
      <x:c r="N371" s="53" t="b">
        <x:v>1</x:v>
      </x:c>
      <x:c r="O371" s="53" t="b">
        <x:v>1</x:v>
      </x:c>
      <x:c r="P371" s="47" t="n">
        <x:v>1009</x:v>
      </x:c>
      <x:c r="Q371" s="47" t="n">
        <x:v>0</x:v>
      </x:c>
      <x:c r="R371" s="47" t="n">
        <x:v>0</x:v>
      </x:c>
      <x:c r="S371" s="47" t="n">
        <x:v>30.18</x:v>
      </x:c>
      <x:c r="T371" s="47" t="n">
        <x:v>54.48</x:v>
      </x:c>
      <x:c r="U371" s="47" t="n">
        <x:v>30.4</x:v>
      </x:c>
      <x:c r="V371" s="47" t="n">
        <x:v>12</x:v>
      </x:c>
      <x:c r="W371" s="47" t="n">
        <x:v>0</x:v>
      </x:c>
      <x:c r="X371" s="47" t="n">
        <x:v>0</x:v>
      </x:c>
      <x:c r="Y371" s="41" t="n">
        <x:v>0</x:v>
      </x:c>
    </x:row>
    <x:row r="372">
      <x:c r="A372" s="38" t="str">
        <x:v>7月30日现场数据</x:v>
      </x:c>
      <x:c r="B372" s="66" t="str">
        <x:v>2026-07-31T20:17:05.929000</x:v>
      </x:c>
      <x:c r="C372" s="47" t="n">
        <x:v>300979</x:v>
      </x:c>
      <x:c r="D372" s="47" t="str"/>
      <x:c r="E372" s="47" t="str"/>
      <x:c r="F372" s="47" t="str">
        <x:v>current</x:v>
      </x:c>
      <x:c r="G372" s="47" t="n">
        <x:v>368</x:v>
      </x:c>
      <x:c r="H372" s="53" t="b">
        <x:v>1</x:v>
      </x:c>
      <x:c r="I372" s="47" t="str">
        <x:v>3045069830</x:v>
      </x:c>
      <x:c r="J372" s="47" t="n">
        <x:v>21069759</x:v>
      </x:c>
      <x:c r="K372" s="53" t="b">
        <x:v>1</x:v>
      </x:c>
      <x:c r="L372" s="53" t="b">
        <x:v>1</x:v>
      </x:c>
      <x:c r="M372" s="53" t="b">
        <x:v>1</x:v>
      </x:c>
      <x:c r="N372" s="53" t="b">
        <x:v>1</x:v>
      </x:c>
      <x:c r="O372" s="53" t="b">
        <x:v>1</x:v>
      </x:c>
      <x:c r="P372" s="47" t="n">
        <x:v>1009</x:v>
      </x:c>
      <x:c r="Q372" s="47" t="n">
        <x:v>0</x:v>
      </x:c>
      <x:c r="R372" s="47" t="n">
        <x:v>0</x:v>
      </x:c>
      <x:c r="S372" s="47" t="n">
        <x:v>30.16</x:v>
      </x:c>
      <x:c r="T372" s="47" t="n">
        <x:v>54.58</x:v>
      </x:c>
      <x:c r="U372" s="47" t="n">
        <x:v>30.3</x:v>
      </x:c>
      <x:c r="V372" s="47" t="n">
        <x:v>12</x:v>
      </x:c>
      <x:c r="W372" s="47" t="n">
        <x:v>0</x:v>
      </x:c>
      <x:c r="X372" s="47" t="n">
        <x:v>0</x:v>
      </x:c>
      <x:c r="Y372" s="41" t="n">
        <x:v>0</x:v>
      </x:c>
    </x:row>
    <x:row r="373">
      <x:c r="A373" s="38" t="str">
        <x:v>7月30日现场数据</x:v>
      </x:c>
      <x:c r="B373" s="66" t="str">
        <x:v>2026-07-31T20:22:06.908000</x:v>
      </x:c>
      <x:c r="C373" s="47" t="n">
        <x:v>300979</x:v>
      </x:c>
      <x:c r="D373" s="47" t="str"/>
      <x:c r="E373" s="47" t="str"/>
      <x:c r="F373" s="47" t="str">
        <x:v>current</x:v>
      </x:c>
      <x:c r="G373" s="47" t="n">
        <x:v>369</x:v>
      </x:c>
      <x:c r="H373" s="53" t="b">
        <x:v>1</x:v>
      </x:c>
      <x:c r="I373" s="47" t="str">
        <x:v>3045069830</x:v>
      </x:c>
      <x:c r="J373" s="47" t="n">
        <x:v>21370738</x:v>
      </x:c>
      <x:c r="K373" s="53" t="b">
        <x:v>1</x:v>
      </x:c>
      <x:c r="L373" s="53" t="b">
        <x:v>1</x:v>
      </x:c>
      <x:c r="M373" s="53" t="b">
        <x:v>1</x:v>
      </x:c>
      <x:c r="N373" s="53" t="b">
        <x:v>1</x:v>
      </x:c>
      <x:c r="O373" s="53" t="b">
        <x:v>1</x:v>
      </x:c>
      <x:c r="P373" s="47" t="n">
        <x:v>1009</x:v>
      </x:c>
      <x:c r="Q373" s="47" t="n">
        <x:v>0</x:v>
      </x:c>
      <x:c r="R373" s="47" t="n">
        <x:v>0</x:v>
      </x:c>
      <x:c r="S373" s="47" t="n">
        <x:v>30.17</x:v>
      </x:c>
      <x:c r="T373" s="47" t="n">
        <x:v>54.6</x:v>
      </x:c>
      <x:c r="U373" s="47" t="n">
        <x:v>30.3</x:v>
      </x:c>
      <x:c r="V373" s="47" t="n">
        <x:v>12</x:v>
      </x:c>
      <x:c r="W373" s="47" t="n">
        <x:v>0</x:v>
      </x:c>
      <x:c r="X373" s="47" t="n">
        <x:v>0</x:v>
      </x:c>
      <x:c r="Y373" s="41" t="n">
        <x:v>0</x:v>
      </x:c>
    </x:row>
    <x:row r="374">
      <x:c r="A374" s="38" t="str">
        <x:v>7月30日现场数据</x:v>
      </x:c>
      <x:c r="B374" s="66" t="str">
        <x:v>2026-07-31T20:27:07.889000</x:v>
      </x:c>
      <x:c r="C374" s="47" t="n">
        <x:v>300981</x:v>
      </x:c>
      <x:c r="D374" s="47" t="str"/>
      <x:c r="E374" s="47" t="str"/>
      <x:c r="F374" s="47" t="str">
        <x:v>current</x:v>
      </x:c>
      <x:c r="G374" s="47" t="n">
        <x:v>370</x:v>
      </x:c>
      <x:c r="H374" s="53" t="b">
        <x:v>1</x:v>
      </x:c>
      <x:c r="I374" s="47" t="str">
        <x:v>3045069830</x:v>
      </x:c>
      <x:c r="J374" s="47" t="n">
        <x:v>21671719</x:v>
      </x:c>
      <x:c r="K374" s="53" t="b">
        <x:v>1</x:v>
      </x:c>
      <x:c r="L374" s="53" t="b">
        <x:v>1</x:v>
      </x:c>
      <x:c r="M374" s="53" t="b">
        <x:v>1</x:v>
      </x:c>
      <x:c r="N374" s="53" t="b">
        <x:v>1</x:v>
      </x:c>
      <x:c r="O374" s="53" t="b">
        <x:v>1</x:v>
      </x:c>
      <x:c r="P374" s="47" t="n">
        <x:v>1009</x:v>
      </x:c>
      <x:c r="Q374" s="47" t="n">
        <x:v>0</x:v>
      </x:c>
      <x:c r="R374" s="47" t="n">
        <x:v>0</x:v>
      </x:c>
      <x:c r="S374" s="47" t="n">
        <x:v>30.26</x:v>
      </x:c>
      <x:c r="T374" s="47" t="n">
        <x:v>54.7</x:v>
      </x:c>
      <x:c r="U374" s="47" t="n">
        <x:v>30.3</x:v>
      </x:c>
      <x:c r="V374" s="47" t="n">
        <x:v>12</x:v>
      </x:c>
      <x:c r="W374" s="47" t="n">
        <x:v>0</x:v>
      </x:c>
      <x:c r="X374" s="47" t="n">
        <x:v>0</x:v>
      </x:c>
      <x:c r="Y374" s="41" t="n">
        <x:v>0</x:v>
      </x:c>
    </x:row>
    <x:row r="375">
      <x:c r="A375" s="38" t="str">
        <x:v>7月30日现场数据</x:v>
      </x:c>
      <x:c r="B375" s="66" t="str">
        <x:v>2026-07-31T20:32:08.875000</x:v>
      </x:c>
      <x:c r="C375" s="47" t="n">
        <x:v>300986</x:v>
      </x:c>
      <x:c r="D375" s="47" t="str"/>
      <x:c r="E375" s="47" t="str"/>
      <x:c r="F375" s="47" t="str">
        <x:v>current</x:v>
      </x:c>
      <x:c r="G375" s="47" t="n">
        <x:v>371</x:v>
      </x:c>
      <x:c r="H375" s="53" t="b">
        <x:v>1</x:v>
      </x:c>
      <x:c r="I375" s="47" t="str">
        <x:v>3045069830</x:v>
      </x:c>
      <x:c r="J375" s="47" t="n">
        <x:v>21972705</x:v>
      </x:c>
      <x:c r="K375" s="53" t="b">
        <x:v>1</x:v>
      </x:c>
      <x:c r="L375" s="53" t="b">
        <x:v>1</x:v>
      </x:c>
      <x:c r="M375" s="53" t="b">
        <x:v>1</x:v>
      </x:c>
      <x:c r="N375" s="53" t="b">
        <x:v>1</x:v>
      </x:c>
      <x:c r="O375" s="53" t="b">
        <x:v>1</x:v>
      </x:c>
      <x:c r="P375" s="47" t="n">
        <x:v>1009</x:v>
      </x:c>
      <x:c r="Q375" s="47" t="n">
        <x:v>0</x:v>
      </x:c>
      <x:c r="R375" s="47" t="n">
        <x:v>0</x:v>
      </x:c>
      <x:c r="S375" s="47" t="n">
        <x:v>30.26</x:v>
      </x:c>
      <x:c r="T375" s="47" t="n">
        <x:v>54.76</x:v>
      </x:c>
      <x:c r="U375" s="47" t="n">
        <x:v>30.3</x:v>
      </x:c>
      <x:c r="V375" s="47" t="n">
        <x:v>12</x:v>
      </x:c>
      <x:c r="W375" s="47" t="n">
        <x:v>0</x:v>
      </x:c>
      <x:c r="X375" s="47" t="n">
        <x:v>0</x:v>
      </x:c>
      <x:c r="Y375" s="41" t="n">
        <x:v>0</x:v>
      </x:c>
    </x:row>
    <x:row r="376">
      <x:c r="A376" s="38" t="str">
        <x:v>7月30日现场数据</x:v>
      </x:c>
      <x:c r="B376" s="66" t="str">
        <x:v>2026-07-31T20:37:09.861000</x:v>
      </x:c>
      <x:c r="C376" s="47" t="n">
        <x:v>300986</x:v>
      </x:c>
      <x:c r="D376" s="47" t="str"/>
      <x:c r="E376" s="47" t="str"/>
      <x:c r="F376" s="47" t="str">
        <x:v>current</x:v>
      </x:c>
      <x:c r="G376" s="47" t="n">
        <x:v>372</x:v>
      </x:c>
      <x:c r="H376" s="53" t="b">
        <x:v>1</x:v>
      </x:c>
      <x:c r="I376" s="47" t="str">
        <x:v>3045069830</x:v>
      </x:c>
      <x:c r="J376" s="47" t="n">
        <x:v>22273691</x:v>
      </x:c>
      <x:c r="K376" s="53" t="b">
        <x:v>1</x:v>
      </x:c>
      <x:c r="L376" s="53" t="b">
        <x:v>1</x:v>
      </x:c>
      <x:c r="M376" s="53" t="b">
        <x:v>1</x:v>
      </x:c>
      <x:c r="N376" s="53" t="b">
        <x:v>1</x:v>
      </x:c>
      <x:c r="O376" s="53" t="b">
        <x:v>1</x:v>
      </x:c>
      <x:c r="P376" s="47" t="n">
        <x:v>1009</x:v>
      </x:c>
      <x:c r="Q376" s="47" t="n">
        <x:v>0</x:v>
      </x:c>
      <x:c r="R376" s="47" t="n">
        <x:v>0</x:v>
      </x:c>
      <x:c r="S376" s="47" t="n">
        <x:v>30.23</x:v>
      </x:c>
      <x:c r="T376" s="47" t="n">
        <x:v>54.82</x:v>
      </x:c>
      <x:c r="U376" s="47" t="n">
        <x:v>30.2</x:v>
      </x:c>
      <x:c r="V376" s="47" t="n">
        <x:v>12</x:v>
      </x:c>
      <x:c r="W376" s="47" t="n">
        <x:v>0</x:v>
      </x:c>
      <x:c r="X376" s="47" t="n">
        <x:v>0</x:v>
      </x:c>
      <x:c r="Y376" s="41" t="n">
        <x:v>0</x:v>
      </x:c>
    </x:row>
    <x:row r="377">
      <x:c r="A377" s="38" t="str">
        <x:v>7月30日现场数据</x:v>
      </x:c>
      <x:c r="B377" s="66" t="str">
        <x:v>2026-07-31T20:42:10.848000</x:v>
      </x:c>
      <x:c r="C377" s="47" t="n">
        <x:v>300987</x:v>
      </x:c>
      <x:c r="D377" s="47" t="str"/>
      <x:c r="E377" s="47" t="str"/>
      <x:c r="F377" s="47" t="str">
        <x:v>current</x:v>
      </x:c>
      <x:c r="G377" s="47" t="n">
        <x:v>373</x:v>
      </x:c>
      <x:c r="H377" s="53" t="b">
        <x:v>1</x:v>
      </x:c>
      <x:c r="I377" s="47" t="str">
        <x:v>3045069830</x:v>
      </x:c>
      <x:c r="J377" s="47" t="n">
        <x:v>22574678</x:v>
      </x:c>
      <x:c r="K377" s="53" t="b">
        <x:v>1</x:v>
      </x:c>
      <x:c r="L377" s="53" t="b">
        <x:v>1</x:v>
      </x:c>
      <x:c r="M377" s="53" t="b">
        <x:v>1</x:v>
      </x:c>
      <x:c r="N377" s="53" t="b">
        <x:v>1</x:v>
      </x:c>
      <x:c r="O377" s="53" t="b">
        <x:v>1</x:v>
      </x:c>
      <x:c r="P377" s="47" t="n">
        <x:v>1009</x:v>
      </x:c>
      <x:c r="Q377" s="47" t="n">
        <x:v>0</x:v>
      </x:c>
      <x:c r="R377" s="47" t="n">
        <x:v>0</x:v>
      </x:c>
      <x:c r="S377" s="47" t="n">
        <x:v>30.19</x:v>
      </x:c>
      <x:c r="T377" s="47" t="n">
        <x:v>54.88</x:v>
      </x:c>
      <x:c r="U377" s="47" t="n">
        <x:v>30.2</x:v>
      </x:c>
      <x:c r="V377" s="47" t="n">
        <x:v>12</x:v>
      </x:c>
      <x:c r="W377" s="47" t="n">
        <x:v>0</x:v>
      </x:c>
      <x:c r="X377" s="47" t="n">
        <x:v>0</x:v>
      </x:c>
      <x:c r="Y377" s="41" t="n">
        <x:v>0</x:v>
      </x:c>
    </x:row>
    <x:row r="378">
      <x:c r="A378" s="38" t="str">
        <x:v>7月30日现场数据</x:v>
      </x:c>
      <x:c r="B378" s="66" t="str">
        <x:v>2026-07-31T20:47:11.869000</x:v>
      </x:c>
      <x:c r="C378" s="47" t="n">
        <x:v>301021</x:v>
      </x:c>
      <x:c r="D378" s="47" t="str"/>
      <x:c r="E378" s="47" t="str"/>
      <x:c r="F378" s="47" t="str">
        <x:v>current</x:v>
      </x:c>
      <x:c r="G378" s="47" t="n">
        <x:v>374</x:v>
      </x:c>
      <x:c r="H378" s="53" t="b">
        <x:v>1</x:v>
      </x:c>
      <x:c r="I378" s="47" t="str">
        <x:v>3045069830</x:v>
      </x:c>
      <x:c r="J378" s="47" t="n">
        <x:v>22875699</x:v>
      </x:c>
      <x:c r="K378" s="53" t="b">
        <x:v>1</x:v>
      </x:c>
      <x:c r="L378" s="53" t="b">
        <x:v>1</x:v>
      </x:c>
      <x:c r="M378" s="53" t="b">
        <x:v>1</x:v>
      </x:c>
      <x:c r="N378" s="53" t="b">
        <x:v>1</x:v>
      </x:c>
      <x:c r="O378" s="53" t="b">
        <x:v>1</x:v>
      </x:c>
      <x:c r="P378" s="47" t="n">
        <x:v>1009</x:v>
      </x:c>
      <x:c r="Q378" s="47" t="n">
        <x:v>0</x:v>
      </x:c>
      <x:c r="R378" s="47" t="n">
        <x:v>0</x:v>
      </x:c>
      <x:c r="S378" s="47" t="n">
        <x:v>30.17</x:v>
      </x:c>
      <x:c r="T378" s="47" t="n">
        <x:v>54.88</x:v>
      </x:c>
      <x:c r="U378" s="47" t="n">
        <x:v>30.2</x:v>
      </x:c>
      <x:c r="V378" s="47" t="n">
        <x:v>12</x:v>
      </x:c>
      <x:c r="W378" s="47" t="n">
        <x:v>0</x:v>
      </x:c>
      <x:c r="X378" s="47" t="n">
        <x:v>0</x:v>
      </x:c>
      <x:c r="Y378" s="41" t="n">
        <x:v>0</x:v>
      </x:c>
    </x:row>
    <x:row r="379">
      <x:c r="A379" s="38" t="str">
        <x:v>7月30日现场数据</x:v>
      </x:c>
      <x:c r="B379" s="66" t="str">
        <x:v>2026-07-31T20:52:12.834000</x:v>
      </x:c>
      <x:c r="C379" s="47" t="n">
        <x:v>300965</x:v>
      </x:c>
      <x:c r="D379" s="47" t="str"/>
      <x:c r="E379" s="47" t="str"/>
      <x:c r="F379" s="47" t="str">
        <x:v>current</x:v>
      </x:c>
      <x:c r="G379" s="47" t="n">
        <x:v>375</x:v>
      </x:c>
      <x:c r="H379" s="53" t="b">
        <x:v>1</x:v>
      </x:c>
      <x:c r="I379" s="47" t="str">
        <x:v>3045069830</x:v>
      </x:c>
      <x:c r="J379" s="47" t="n">
        <x:v>23176664</x:v>
      </x:c>
      <x:c r="K379" s="53" t="b">
        <x:v>1</x:v>
      </x:c>
      <x:c r="L379" s="53" t="b">
        <x:v>1</x:v>
      </x:c>
      <x:c r="M379" s="53" t="b">
        <x:v>1</x:v>
      </x:c>
      <x:c r="N379" s="53" t="b">
        <x:v>1</x:v>
      </x:c>
      <x:c r="O379" s="53" t="b">
        <x:v>1</x:v>
      </x:c>
      <x:c r="P379" s="47" t="n">
        <x:v>1009</x:v>
      </x:c>
      <x:c r="Q379" s="47" t="n">
        <x:v>0</x:v>
      </x:c>
      <x:c r="R379" s="47" t="n">
        <x:v>0</x:v>
      </x:c>
      <x:c r="S379" s="47" t="n">
        <x:v>30.16</x:v>
      </x:c>
      <x:c r="T379" s="47" t="n">
        <x:v>54.92</x:v>
      </x:c>
      <x:c r="U379" s="47" t="n">
        <x:v>30.2</x:v>
      </x:c>
      <x:c r="V379" s="47" t="n">
        <x:v>12</x:v>
      </x:c>
      <x:c r="W379" s="47" t="n">
        <x:v>0</x:v>
      </x:c>
      <x:c r="X379" s="47" t="n">
        <x:v>0</x:v>
      </x:c>
      <x:c r="Y379" s="41" t="n">
        <x:v>0</x:v>
      </x:c>
    </x:row>
    <x:row r="380">
      <x:c r="A380" s="38" t="str">
        <x:v>7月30日现场数据</x:v>
      </x:c>
      <x:c r="B380" s="66" t="str">
        <x:v>2026-07-31T20:57:13.801000</x:v>
      </x:c>
      <x:c r="C380" s="47" t="n">
        <x:v>300967</x:v>
      </x:c>
      <x:c r="D380" s="47" t="str"/>
      <x:c r="E380" s="47" t="str"/>
      <x:c r="F380" s="47" t="str">
        <x:v>current</x:v>
      </x:c>
      <x:c r="G380" s="47" t="n">
        <x:v>376</x:v>
      </x:c>
      <x:c r="H380" s="53" t="b">
        <x:v>1</x:v>
      </x:c>
      <x:c r="I380" s="47" t="str">
        <x:v>3045069830</x:v>
      </x:c>
      <x:c r="J380" s="47" t="n">
        <x:v>23477631</x:v>
      </x:c>
      <x:c r="K380" s="53" t="b">
        <x:v>1</x:v>
      </x:c>
      <x:c r="L380" s="53" t="b">
        <x:v>1</x:v>
      </x:c>
      <x:c r="M380" s="53" t="b">
        <x:v>1</x:v>
      </x:c>
      <x:c r="N380" s="53" t="b">
        <x:v>1</x:v>
      </x:c>
      <x:c r="O380" s="53" t="b">
        <x:v>1</x:v>
      </x:c>
      <x:c r="P380" s="47" t="n">
        <x:v>1009</x:v>
      </x:c>
      <x:c r="Q380" s="47" t="n">
        <x:v>0</x:v>
      </x:c>
      <x:c r="R380" s="47" t="n">
        <x:v>0</x:v>
      </x:c>
      <x:c r="S380" s="47" t="n">
        <x:v>30.16</x:v>
      </x:c>
      <x:c r="T380" s="47" t="n">
        <x:v>54.99</x:v>
      </x:c>
      <x:c r="U380" s="47" t="n">
        <x:v>30.2</x:v>
      </x:c>
      <x:c r="V380" s="47" t="n">
        <x:v>12</x:v>
      </x:c>
      <x:c r="W380" s="47" t="n">
        <x:v>0</x:v>
      </x:c>
      <x:c r="X380" s="47" t="n">
        <x:v>0</x:v>
      </x:c>
      <x:c r="Y380" s="41" t="n">
        <x:v>0</x:v>
      </x:c>
    </x:row>
    <x:row r="381">
      <x:c r="A381" s="38" t="str">
        <x:v>7月30日现场数据</x:v>
      </x:c>
      <x:c r="B381" s="66" t="str">
        <x:v>2026-07-31T21:02:14.770000</x:v>
      </x:c>
      <x:c r="C381" s="47" t="n">
        <x:v>300969</x:v>
      </x:c>
      <x:c r="D381" s="47" t="str"/>
      <x:c r="E381" s="47" t="str"/>
      <x:c r="F381" s="47" t="str">
        <x:v>current</x:v>
      </x:c>
      <x:c r="G381" s="47" t="n">
        <x:v>377</x:v>
      </x:c>
      <x:c r="H381" s="53" t="b">
        <x:v>1</x:v>
      </x:c>
      <x:c r="I381" s="47" t="str">
        <x:v>3045069830</x:v>
      </x:c>
      <x:c r="J381" s="47" t="n">
        <x:v>23778600</x:v>
      </x:c>
      <x:c r="K381" s="53" t="b">
        <x:v>1</x:v>
      </x:c>
      <x:c r="L381" s="53" t="b">
        <x:v>1</x:v>
      </x:c>
      <x:c r="M381" s="53" t="b">
        <x:v>1</x:v>
      </x:c>
      <x:c r="N381" s="53" t="b">
        <x:v>1</x:v>
      </x:c>
      <x:c r="O381" s="53" t="b">
        <x:v>1</x:v>
      </x:c>
      <x:c r="P381" s="47" t="n">
        <x:v>1009</x:v>
      </x:c>
      <x:c r="Q381" s="47" t="n">
        <x:v>0</x:v>
      </x:c>
      <x:c r="R381" s="47" t="n">
        <x:v>0</x:v>
      </x:c>
      <x:c r="S381" s="47" t="n">
        <x:v>30.14</x:v>
      </x:c>
      <x:c r="T381" s="47" t="n">
        <x:v>55.16</x:v>
      </x:c>
      <x:c r="U381" s="47" t="n">
        <x:v>30.2</x:v>
      </x:c>
      <x:c r="V381" s="47" t="n">
        <x:v>12</x:v>
      </x:c>
      <x:c r="W381" s="47" t="n">
        <x:v>0</x:v>
      </x:c>
      <x:c r="X381" s="47" t="n">
        <x:v>0</x:v>
      </x:c>
      <x:c r="Y381" s="41" t="n">
        <x:v>0</x:v>
      </x:c>
    </x:row>
    <x:row r="382">
      <x:c r="A382" s="38" t="str">
        <x:v>7月30日现场数据</x:v>
      </x:c>
      <x:c r="B382" s="66" t="str">
        <x:v>2026-07-31T21:07:15.741000</x:v>
      </x:c>
      <x:c r="C382" s="47" t="n">
        <x:v>300971</x:v>
      </x:c>
      <x:c r="D382" s="47" t="str"/>
      <x:c r="E382" s="47" t="str"/>
      <x:c r="F382" s="47" t="str">
        <x:v>current</x:v>
      </x:c>
      <x:c r="G382" s="47" t="n">
        <x:v>378</x:v>
      </x:c>
      <x:c r="H382" s="53" t="b">
        <x:v>1</x:v>
      </x:c>
      <x:c r="I382" s="47" t="str">
        <x:v>3045069830</x:v>
      </x:c>
      <x:c r="J382" s="47" t="n">
        <x:v>24079571</x:v>
      </x:c>
      <x:c r="K382" s="53" t="b">
        <x:v>1</x:v>
      </x:c>
      <x:c r="L382" s="53" t="b">
        <x:v>1</x:v>
      </x:c>
      <x:c r="M382" s="53" t="b">
        <x:v>1</x:v>
      </x:c>
      <x:c r="N382" s="53" t="b">
        <x:v>1</x:v>
      </x:c>
      <x:c r="O382" s="53" t="b">
        <x:v>1</x:v>
      </x:c>
      <x:c r="P382" s="47" t="n">
        <x:v>1009</x:v>
      </x:c>
      <x:c r="Q382" s="47" t="n">
        <x:v>0.006</x:v>
      </x:c>
      <x:c r="R382" s="47" t="n">
        <x:v>0.165</x:v>
      </x:c>
      <x:c r="S382" s="47" t="n">
        <x:v>30.08</x:v>
      </x:c>
      <x:c r="T382" s="47" t="n">
        <x:v>55.17</x:v>
      </x:c>
      <x:c r="U382" s="47" t="n">
        <x:v>30.2</x:v>
      </x:c>
      <x:c r="V382" s="47" t="n">
        <x:v>12</x:v>
      </x:c>
      <x:c r="W382" s="47" t="n">
        <x:v>0</x:v>
      </x:c>
      <x:c r="X382" s="47" t="n">
        <x:v>0</x:v>
      </x:c>
      <x:c r="Y382" s="41" t="n">
        <x:v>0</x:v>
      </x:c>
    </x:row>
    <x:row r="383">
      <x:c r="A383" s="38" t="str">
        <x:v>7月30日现场数据</x:v>
      </x:c>
      <x:c r="B383" s="66" t="str">
        <x:v>2026-07-31T21:12:16.714000</x:v>
      </x:c>
      <x:c r="C383" s="47" t="n">
        <x:v>300973</x:v>
      </x:c>
      <x:c r="D383" s="47" t="str"/>
      <x:c r="E383" s="47" t="str"/>
      <x:c r="F383" s="47" t="str">
        <x:v>current</x:v>
      </x:c>
      <x:c r="G383" s="47" t="n">
        <x:v>379</x:v>
      </x:c>
      <x:c r="H383" s="53" t="b">
        <x:v>1</x:v>
      </x:c>
      <x:c r="I383" s="47" t="str">
        <x:v>3045069830</x:v>
      </x:c>
      <x:c r="J383" s="47" t="n">
        <x:v>24380544</x:v>
      </x:c>
      <x:c r="K383" s="53" t="b">
        <x:v>1</x:v>
      </x:c>
      <x:c r="L383" s="53" t="b">
        <x:v>1</x:v>
      </x:c>
      <x:c r="M383" s="53" t="b">
        <x:v>1</x:v>
      </x:c>
      <x:c r="N383" s="53" t="b">
        <x:v>1</x:v>
      </x:c>
      <x:c r="O383" s="53" t="b">
        <x:v>1</x:v>
      </x:c>
      <x:c r="P383" s="47" t="n">
        <x:v>1009</x:v>
      </x:c>
      <x:c r="Q383" s="47" t="n">
        <x:v>0</x:v>
      </x:c>
      <x:c r="R383" s="47" t="n">
        <x:v>0</x:v>
      </x:c>
      <x:c r="S383" s="47" t="n">
        <x:v>30.09</x:v>
      </x:c>
      <x:c r="T383" s="47" t="n">
        <x:v>55.21</x:v>
      </x:c>
      <x:c r="U383" s="47" t="n">
        <x:v>30.2</x:v>
      </x:c>
      <x:c r="V383" s="47" t="n">
        <x:v>12</x:v>
      </x:c>
      <x:c r="W383" s="47" t="n">
        <x:v>0</x:v>
      </x:c>
      <x:c r="X383" s="47" t="n">
        <x:v>0</x:v>
      </x:c>
      <x:c r="Y383" s="41" t="n">
        <x:v>0</x:v>
      </x:c>
    </x:row>
    <x:row r="384">
      <x:c r="A384" s="38" t="str">
        <x:v>7月30日现场数据</x:v>
      </x:c>
      <x:c r="B384" s="66" t="str">
        <x:v>2026-07-31T21:17:17.691000</x:v>
      </x:c>
      <x:c r="C384" s="47" t="n">
        <x:v>300977</x:v>
      </x:c>
      <x:c r="D384" s="47" t="str"/>
      <x:c r="E384" s="47" t="str"/>
      <x:c r="F384" s="47" t="str">
        <x:v>current</x:v>
      </x:c>
      <x:c r="G384" s="47" t="n">
        <x:v>380</x:v>
      </x:c>
      <x:c r="H384" s="53" t="b">
        <x:v>1</x:v>
      </x:c>
      <x:c r="I384" s="47" t="str">
        <x:v>3045069830</x:v>
      </x:c>
      <x:c r="J384" s="47" t="n">
        <x:v>24681521</x:v>
      </x:c>
      <x:c r="K384" s="53" t="b">
        <x:v>1</x:v>
      </x:c>
      <x:c r="L384" s="53" t="b">
        <x:v>1</x:v>
      </x:c>
      <x:c r="M384" s="53" t="b">
        <x:v>1</x:v>
      </x:c>
      <x:c r="N384" s="53" t="b">
        <x:v>1</x:v>
      </x:c>
      <x:c r="O384" s="53" t="b">
        <x:v>1</x:v>
      </x:c>
      <x:c r="P384" s="47" t="n">
        <x:v>1009</x:v>
      </x:c>
      <x:c r="Q384" s="47" t="n">
        <x:v>0</x:v>
      </x:c>
      <x:c r="R384" s="47" t="n">
        <x:v>0</x:v>
      </x:c>
      <x:c r="S384" s="47" t="n">
        <x:v>30.09</x:v>
      </x:c>
      <x:c r="T384" s="47" t="n">
        <x:v>55.29</x:v>
      </x:c>
      <x:c r="U384" s="47" t="n">
        <x:v>30.2</x:v>
      </x:c>
      <x:c r="V384" s="47" t="n">
        <x:v>12</x:v>
      </x:c>
      <x:c r="W384" s="47" t="n">
        <x:v>0</x:v>
      </x:c>
      <x:c r="X384" s="47" t="n">
        <x:v>0</x:v>
      </x:c>
      <x:c r="Y384" s="41" t="n">
        <x:v>0</x:v>
      </x:c>
    </x:row>
    <x:row r="385">
      <x:c r="A385" s="38" t="str">
        <x:v>7月30日现场数据</x:v>
      </x:c>
      <x:c r="B385" s="66" t="str">
        <x:v>2026-07-31T21:22:18.667000</x:v>
      </x:c>
      <x:c r="C385" s="47" t="n">
        <x:v>300976</x:v>
      </x:c>
      <x:c r="D385" s="47" t="str"/>
      <x:c r="E385" s="47" t="str"/>
      <x:c r="F385" s="47" t="str">
        <x:v>current</x:v>
      </x:c>
      <x:c r="G385" s="47" t="n">
        <x:v>381</x:v>
      </x:c>
      <x:c r="H385" s="53" t="b">
        <x:v>1</x:v>
      </x:c>
      <x:c r="I385" s="47" t="str">
        <x:v>3045069830</x:v>
      </x:c>
      <x:c r="J385" s="47" t="n">
        <x:v>24982497</x:v>
      </x:c>
      <x:c r="K385" s="53" t="b">
        <x:v>1</x:v>
      </x:c>
      <x:c r="L385" s="53" t="b">
        <x:v>1</x:v>
      </x:c>
      <x:c r="M385" s="53" t="b">
        <x:v>1</x:v>
      </x:c>
      <x:c r="N385" s="53" t="b">
        <x:v>1</x:v>
      </x:c>
      <x:c r="O385" s="53" t="b">
        <x:v>1</x:v>
      </x:c>
      <x:c r="P385" s="47" t="n">
        <x:v>1009</x:v>
      </x:c>
      <x:c r="Q385" s="47" t="n">
        <x:v>0</x:v>
      </x:c>
      <x:c r="R385" s="47" t="n">
        <x:v>0</x:v>
      </x:c>
      <x:c r="S385" s="47" t="n">
        <x:v>30.14</x:v>
      </x:c>
      <x:c r="T385" s="47" t="n">
        <x:v>55.28</x:v>
      </x:c>
      <x:c r="U385" s="47" t="n">
        <x:v>30.2</x:v>
      </x:c>
      <x:c r="V385" s="47" t="n">
        <x:v>12</x:v>
      </x:c>
      <x:c r="W385" s="47" t="n">
        <x:v>0</x:v>
      </x:c>
      <x:c r="X385" s="47" t="n">
        <x:v>0</x:v>
      </x:c>
      <x:c r="Y385" s="41" t="n">
        <x:v>0</x:v>
      </x:c>
    </x:row>
    <x:row r="386">
      <x:c r="A386" s="38" t="str">
        <x:v>7月30日现场数据</x:v>
      </x:c>
      <x:c r="B386" s="66" t="str">
        <x:v>2026-07-31T21:27:19.645000</x:v>
      </x:c>
      <x:c r="C386" s="47" t="n">
        <x:v>300978</x:v>
      </x:c>
      <x:c r="D386" s="47" t="str"/>
      <x:c r="E386" s="47" t="str"/>
      <x:c r="F386" s="47" t="str">
        <x:v>current</x:v>
      </x:c>
      <x:c r="G386" s="47" t="n">
        <x:v>382</x:v>
      </x:c>
      <x:c r="H386" s="53" t="b">
        <x:v>1</x:v>
      </x:c>
      <x:c r="I386" s="47" t="str">
        <x:v>3045069830</x:v>
      </x:c>
      <x:c r="J386" s="47" t="n">
        <x:v>25283475</x:v>
      </x:c>
      <x:c r="K386" s="53" t="b">
        <x:v>1</x:v>
      </x:c>
      <x:c r="L386" s="53" t="b">
        <x:v>1</x:v>
      </x:c>
      <x:c r="M386" s="53" t="b">
        <x:v>1</x:v>
      </x:c>
      <x:c r="N386" s="53" t="b">
        <x:v>1</x:v>
      </x:c>
      <x:c r="O386" s="53" t="b">
        <x:v>1</x:v>
      </x:c>
      <x:c r="P386" s="47" t="n">
        <x:v>1009</x:v>
      </x:c>
      <x:c r="Q386" s="47" t="n">
        <x:v>0.016</x:v>
      </x:c>
      <x:c r="R386" s="47" t="n">
        <x:v>0.429</x:v>
      </x:c>
      <x:c r="S386" s="47" t="n">
        <x:v>30.19</x:v>
      </x:c>
      <x:c r="T386" s="47" t="n">
        <x:v>55.39</x:v>
      </x:c>
      <x:c r="U386" s="47" t="n">
        <x:v>30.2</x:v>
      </x:c>
      <x:c r="V386" s="47" t="n">
        <x:v>12</x:v>
      </x:c>
      <x:c r="W386" s="47" t="n">
        <x:v>0</x:v>
      </x:c>
      <x:c r="X386" s="47" t="n">
        <x:v>0</x:v>
      </x:c>
      <x:c r="Y386" s="41" t="n">
        <x:v>0</x:v>
      </x:c>
    </x:row>
    <x:row r="387">
      <x:c r="A387" s="38" t="str">
        <x:v>7月30日现场数据</x:v>
      </x:c>
      <x:c r="B387" s="66" t="str">
        <x:v>2026-07-31T21:32:20.624000</x:v>
      </x:c>
      <x:c r="C387" s="47" t="n">
        <x:v>300979</x:v>
      </x:c>
      <x:c r="D387" s="47" t="str"/>
      <x:c r="E387" s="47" t="str"/>
      <x:c r="F387" s="47" t="str">
        <x:v>current</x:v>
      </x:c>
      <x:c r="G387" s="47" t="n">
        <x:v>383</x:v>
      </x:c>
      <x:c r="H387" s="53" t="b">
        <x:v>1</x:v>
      </x:c>
      <x:c r="I387" s="47" t="str">
        <x:v>3045069830</x:v>
      </x:c>
      <x:c r="J387" s="47" t="n">
        <x:v>25584454</x:v>
      </x:c>
      <x:c r="K387" s="53" t="b">
        <x:v>1</x:v>
      </x:c>
      <x:c r="L387" s="53" t="b">
        <x:v>1</x:v>
      </x:c>
      <x:c r="M387" s="53" t="b">
        <x:v>1</x:v>
      </x:c>
      <x:c r="N387" s="53" t="b">
        <x:v>1</x:v>
      </x:c>
      <x:c r="O387" s="53" t="b">
        <x:v>1</x:v>
      </x:c>
      <x:c r="P387" s="47" t="n">
        <x:v>1009</x:v>
      </x:c>
      <x:c r="Q387" s="47" t="n">
        <x:v>0</x:v>
      </x:c>
      <x:c r="R387" s="47" t="n">
        <x:v>0</x:v>
      </x:c>
      <x:c r="S387" s="47" t="n">
        <x:v>30.26</x:v>
      </x:c>
      <x:c r="T387" s="47" t="n">
        <x:v>55.54</x:v>
      </x:c>
      <x:c r="U387" s="47" t="n">
        <x:v>30.2</x:v>
      </x:c>
      <x:c r="V387" s="47" t="n">
        <x:v>12</x:v>
      </x:c>
      <x:c r="W387" s="47" t="n">
        <x:v>0</x:v>
      </x:c>
      <x:c r="X387" s="47" t="n">
        <x:v>0</x:v>
      </x:c>
      <x:c r="Y387" s="41" t="n">
        <x:v>0</x:v>
      </x:c>
    </x:row>
    <x:row r="388">
      <x:c r="A388" s="38" t="str">
        <x:v>7月30日现场数据</x:v>
      </x:c>
      <x:c r="B388" s="66" t="str">
        <x:v>2026-07-31T21:37:21.607000</x:v>
      </x:c>
      <x:c r="C388" s="47" t="n">
        <x:v>300983</x:v>
      </x:c>
      <x:c r="D388" s="47" t="str"/>
      <x:c r="E388" s="47" t="str"/>
      <x:c r="F388" s="47" t="str">
        <x:v>current</x:v>
      </x:c>
      <x:c r="G388" s="47" t="n">
        <x:v>384</x:v>
      </x:c>
      <x:c r="H388" s="53" t="b">
        <x:v>1</x:v>
      </x:c>
      <x:c r="I388" s="47" t="str">
        <x:v>3045069830</x:v>
      </x:c>
      <x:c r="J388" s="47" t="n">
        <x:v>25885437</x:v>
      </x:c>
      <x:c r="K388" s="53" t="b">
        <x:v>1</x:v>
      </x:c>
      <x:c r="L388" s="53" t="b">
        <x:v>1</x:v>
      </x:c>
      <x:c r="M388" s="53" t="b">
        <x:v>1</x:v>
      </x:c>
      <x:c r="N388" s="53" t="b">
        <x:v>1</x:v>
      </x:c>
      <x:c r="O388" s="53" t="b">
        <x:v>1</x:v>
      </x:c>
      <x:c r="P388" s="47" t="n">
        <x:v>1009</x:v>
      </x:c>
      <x:c r="Q388" s="47" t="n">
        <x:v>0</x:v>
      </x:c>
      <x:c r="R388" s="47" t="n">
        <x:v>0</x:v>
      </x:c>
      <x:c r="S388" s="47" t="n">
        <x:v>30.26</x:v>
      </x:c>
      <x:c r="T388" s="47" t="n">
        <x:v>55.59</x:v>
      </x:c>
      <x:c r="U388" s="47" t="n">
        <x:v>30.2</x:v>
      </x:c>
      <x:c r="V388" s="47" t="n">
        <x:v>12</x:v>
      </x:c>
      <x:c r="W388" s="47" t="n">
        <x:v>0</x:v>
      </x:c>
      <x:c r="X388" s="47" t="n">
        <x:v>0</x:v>
      </x:c>
      <x:c r="Y388" s="41" t="n">
        <x:v>0</x:v>
      </x:c>
    </x:row>
    <x:row r="389">
      <x:c r="A389" s="38" t="str">
        <x:v>7月30日现场数据</x:v>
      </x:c>
      <x:c r="B389" s="66" t="str">
        <x:v>2026-07-31T21:42:22.589000</x:v>
      </x:c>
      <x:c r="C389" s="47" t="n">
        <x:v>300982</x:v>
      </x:c>
      <x:c r="D389" s="47" t="str"/>
      <x:c r="E389" s="47" t="str"/>
      <x:c r="F389" s="47" t="str">
        <x:v>current</x:v>
      </x:c>
      <x:c r="G389" s="47" t="n">
        <x:v>385</x:v>
      </x:c>
      <x:c r="H389" s="53" t="b">
        <x:v>1</x:v>
      </x:c>
      <x:c r="I389" s="47" t="str">
        <x:v>3045069830</x:v>
      </x:c>
      <x:c r="J389" s="47" t="n">
        <x:v>26186419</x:v>
      </x:c>
      <x:c r="K389" s="53" t="b">
        <x:v>1</x:v>
      </x:c>
      <x:c r="L389" s="53" t="b">
        <x:v>1</x:v>
      </x:c>
      <x:c r="M389" s="53" t="b">
        <x:v>1</x:v>
      </x:c>
      <x:c r="N389" s="53" t="b">
        <x:v>1</x:v>
      </x:c>
      <x:c r="O389" s="53" t="b">
        <x:v>1</x:v>
      </x:c>
      <x:c r="P389" s="47" t="n">
        <x:v>1009</x:v>
      </x:c>
      <x:c r="Q389" s="47" t="n">
        <x:v>0</x:v>
      </x:c>
      <x:c r="R389" s="47" t="n">
        <x:v>0</x:v>
      </x:c>
      <x:c r="S389" s="47" t="n">
        <x:v>30.28</x:v>
      </x:c>
      <x:c r="T389" s="47" t="n">
        <x:v>55.66</x:v>
      </x:c>
      <x:c r="U389" s="47" t="n">
        <x:v>30.2</x:v>
      </x:c>
      <x:c r="V389" s="47" t="n">
        <x:v>12</x:v>
      </x:c>
      <x:c r="W389" s="47" t="n">
        <x:v>0</x:v>
      </x:c>
      <x:c r="X389" s="47" t="n">
        <x:v>0</x:v>
      </x:c>
      <x:c r="Y389" s="41" t="n">
        <x:v>0</x:v>
      </x:c>
    </x:row>
    <x:row r="390">
      <x:c r="A390" s="38" t="str">
        <x:v>7月30日现场数据</x:v>
      </x:c>
      <x:c r="B390" s="66" t="str">
        <x:v>2026-07-31T21:47:23.574000</x:v>
      </x:c>
      <x:c r="C390" s="47" t="n">
        <x:v>300985</x:v>
      </x:c>
      <x:c r="D390" s="47" t="str"/>
      <x:c r="E390" s="47" t="str"/>
      <x:c r="F390" s="47" t="str">
        <x:v>current</x:v>
      </x:c>
      <x:c r="G390" s="47" t="n">
        <x:v>386</x:v>
      </x:c>
      <x:c r="H390" s="53" t="b">
        <x:v>1</x:v>
      </x:c>
      <x:c r="I390" s="47" t="str">
        <x:v>3045069830</x:v>
      </x:c>
      <x:c r="J390" s="47" t="n">
        <x:v>26487404</x:v>
      </x:c>
      <x:c r="K390" s="53" t="b">
        <x:v>1</x:v>
      </x:c>
      <x:c r="L390" s="53" t="b">
        <x:v>1</x:v>
      </x:c>
      <x:c r="M390" s="53" t="b">
        <x:v>1</x:v>
      </x:c>
      <x:c r="N390" s="53" t="b">
        <x:v>1</x:v>
      </x:c>
      <x:c r="O390" s="53" t="b">
        <x:v>1</x:v>
      </x:c>
      <x:c r="P390" s="47" t="n">
        <x:v>1009</x:v>
      </x:c>
      <x:c r="Q390" s="47" t="n">
        <x:v>0</x:v>
      </x:c>
      <x:c r="R390" s="47" t="n">
        <x:v>0</x:v>
      </x:c>
      <x:c r="S390" s="47" t="n">
        <x:v>30.32</x:v>
      </x:c>
      <x:c r="T390" s="47" t="n">
        <x:v>55.74</x:v>
      </x:c>
      <x:c r="U390" s="47" t="n">
        <x:v>30.2</x:v>
      </x:c>
      <x:c r="V390" s="47" t="n">
        <x:v>12</x:v>
      </x:c>
      <x:c r="W390" s="47" t="n">
        <x:v>0</x:v>
      </x:c>
      <x:c r="X390" s="47" t="n">
        <x:v>0</x:v>
      </x:c>
      <x:c r="Y390" s="41" t="n">
        <x:v>0</x:v>
      </x:c>
    </x:row>
    <x:row r="391">
      <x:c r="A391" s="38" t="str">
        <x:v>7月30日现场数据</x:v>
      </x:c>
      <x:c r="B391" s="66" t="str">
        <x:v>2026-07-31T21:52:24.560000</x:v>
      </x:c>
      <x:c r="C391" s="47" t="n">
        <x:v>300986</x:v>
      </x:c>
      <x:c r="D391" s="47" t="str"/>
      <x:c r="E391" s="47" t="str"/>
      <x:c r="F391" s="47" t="str">
        <x:v>current</x:v>
      </x:c>
      <x:c r="G391" s="47" t="n">
        <x:v>387</x:v>
      </x:c>
      <x:c r="H391" s="53" t="b">
        <x:v>1</x:v>
      </x:c>
      <x:c r="I391" s="47" t="str">
        <x:v>3045069830</x:v>
      </x:c>
      <x:c r="J391" s="47" t="n">
        <x:v>26788390</x:v>
      </x:c>
      <x:c r="K391" s="53" t="b">
        <x:v>1</x:v>
      </x:c>
      <x:c r="L391" s="53" t="b">
        <x:v>1</x:v>
      </x:c>
      <x:c r="M391" s="53" t="b">
        <x:v>1</x:v>
      </x:c>
      <x:c r="N391" s="53" t="b">
        <x:v>1</x:v>
      </x:c>
      <x:c r="O391" s="53" t="b">
        <x:v>1</x:v>
      </x:c>
      <x:c r="P391" s="47" t="n">
        <x:v>1009</x:v>
      </x:c>
      <x:c r="Q391" s="47" t="n">
        <x:v>0</x:v>
      </x:c>
      <x:c r="R391" s="47" t="n">
        <x:v>0</x:v>
      </x:c>
      <x:c r="S391" s="47" t="n">
        <x:v>30.34</x:v>
      </x:c>
      <x:c r="T391" s="47" t="n">
        <x:v>55.84</x:v>
      </x:c>
      <x:c r="U391" s="47" t="n">
        <x:v>30.2</x:v>
      </x:c>
      <x:c r="V391" s="47" t="n">
        <x:v>12</x:v>
      </x:c>
      <x:c r="W391" s="47" t="n">
        <x:v>0</x:v>
      </x:c>
      <x:c r="X391" s="47" t="n">
        <x:v>0</x:v>
      </x:c>
      <x:c r="Y391" s="41" t="n">
        <x:v>0</x:v>
      </x:c>
    </x:row>
    <x:row r="392">
      <x:c r="A392" s="38" t="str">
        <x:v>7月30日现场数据</x:v>
      </x:c>
      <x:c r="B392" s="66" t="str">
        <x:v>2026-07-31T21:57:25.549000</x:v>
      </x:c>
      <x:c r="C392" s="47" t="n">
        <x:v>300989</x:v>
      </x:c>
      <x:c r="D392" s="47" t="str"/>
      <x:c r="E392" s="47" t="str"/>
      <x:c r="F392" s="47" t="str">
        <x:v>current</x:v>
      </x:c>
      <x:c r="G392" s="47" t="n">
        <x:v>388</x:v>
      </x:c>
      <x:c r="H392" s="53" t="b">
        <x:v>1</x:v>
      </x:c>
      <x:c r="I392" s="47" t="str">
        <x:v>3045069830</x:v>
      </x:c>
      <x:c r="J392" s="47" t="n">
        <x:v>27089379</x:v>
      </x:c>
      <x:c r="K392" s="53" t="b">
        <x:v>1</x:v>
      </x:c>
      <x:c r="L392" s="53" t="b">
        <x:v>1</x:v>
      </x:c>
      <x:c r="M392" s="53" t="b">
        <x:v>1</x:v>
      </x:c>
      <x:c r="N392" s="53" t="b">
        <x:v>1</x:v>
      </x:c>
      <x:c r="O392" s="53" t="b">
        <x:v>1</x:v>
      </x:c>
      <x:c r="P392" s="47" t="n">
        <x:v>1009</x:v>
      </x:c>
      <x:c r="Q392" s="47" t="n">
        <x:v>0</x:v>
      </x:c>
      <x:c r="R392" s="47" t="n">
        <x:v>0</x:v>
      </x:c>
      <x:c r="S392" s="47" t="n">
        <x:v>30.36</x:v>
      </x:c>
      <x:c r="T392" s="47" t="n">
        <x:v>55.93</x:v>
      </x:c>
      <x:c r="U392" s="47" t="n">
        <x:v>30.2</x:v>
      </x:c>
      <x:c r="V392" s="47" t="n">
        <x:v>12</x:v>
      </x:c>
      <x:c r="W392" s="47" t="n">
        <x:v>0</x:v>
      </x:c>
      <x:c r="X392" s="47" t="n">
        <x:v>0</x:v>
      </x:c>
      <x:c r="Y392" s="41" t="n">
        <x:v>0</x:v>
      </x:c>
    </x:row>
    <x:row r="393">
      <x:c r="A393" s="38" t="str">
        <x:v>7月30日现场数据</x:v>
      </x:c>
      <x:c r="B393" s="66" t="str">
        <x:v>2026-07-31T22:02:26.537000</x:v>
      </x:c>
      <x:c r="C393" s="47" t="n">
        <x:v>300988</x:v>
      </x:c>
      <x:c r="D393" s="47" t="str"/>
      <x:c r="E393" s="47" t="str"/>
      <x:c r="F393" s="47" t="str">
        <x:v>current</x:v>
      </x:c>
      <x:c r="G393" s="47" t="n">
        <x:v>389</x:v>
      </x:c>
      <x:c r="H393" s="53" t="b">
        <x:v>1</x:v>
      </x:c>
      <x:c r="I393" s="47" t="str">
        <x:v>3045069830</x:v>
      </x:c>
      <x:c r="J393" s="47" t="n">
        <x:v>27390367</x:v>
      </x:c>
      <x:c r="K393" s="53" t="b">
        <x:v>1</x:v>
      </x:c>
      <x:c r="L393" s="53" t="b">
        <x:v>1</x:v>
      </x:c>
      <x:c r="M393" s="53" t="b">
        <x:v>1</x:v>
      </x:c>
      <x:c r="N393" s="53" t="b">
        <x:v>1</x:v>
      </x:c>
      <x:c r="O393" s="53" t="b">
        <x:v>1</x:v>
      </x:c>
      <x:c r="P393" s="47" t="n">
        <x:v>1009</x:v>
      </x:c>
      <x:c r="Q393" s="47" t="n">
        <x:v>0</x:v>
      </x:c>
      <x:c r="R393" s="47" t="n">
        <x:v>0</x:v>
      </x:c>
      <x:c r="S393" s="47" t="n">
        <x:v>30.39</x:v>
      </x:c>
      <x:c r="T393" s="47" t="n">
        <x:v>56</x:v>
      </x:c>
      <x:c r="U393" s="47" t="n">
        <x:v>30.2</x:v>
      </x:c>
      <x:c r="V393" s="47" t="n">
        <x:v>12</x:v>
      </x:c>
      <x:c r="W393" s="47" t="n">
        <x:v>0</x:v>
      </x:c>
      <x:c r="X393" s="47" t="n">
        <x:v>0</x:v>
      </x:c>
      <x:c r="Y393" s="41" t="n">
        <x:v>0</x:v>
      </x:c>
    </x:row>
    <x:row r="394">
      <x:c r="A394" s="38" t="str">
        <x:v>7月30日现场数据</x:v>
      </x:c>
      <x:c r="B394" s="66" t="str">
        <x:v>2026-07-31T22:07:27.560000</x:v>
      </x:c>
      <x:c r="C394" s="47" t="n">
        <x:v>301023</x:v>
      </x:c>
      <x:c r="D394" s="47" t="str"/>
      <x:c r="E394" s="47" t="str"/>
      <x:c r="F394" s="47" t="str">
        <x:v>current</x:v>
      </x:c>
      <x:c r="G394" s="47" t="n">
        <x:v>390</x:v>
      </x:c>
      <x:c r="H394" s="53" t="b">
        <x:v>1</x:v>
      </x:c>
      <x:c r="I394" s="47" t="str">
        <x:v>3045069830</x:v>
      </x:c>
      <x:c r="J394" s="47" t="n">
        <x:v>27691390</x:v>
      </x:c>
      <x:c r="K394" s="53" t="b">
        <x:v>1</x:v>
      </x:c>
      <x:c r="L394" s="53" t="b">
        <x:v>1</x:v>
      </x:c>
      <x:c r="M394" s="53" t="b">
        <x:v>1</x:v>
      </x:c>
      <x:c r="N394" s="53" t="b">
        <x:v>1</x:v>
      </x:c>
      <x:c r="O394" s="53" t="b">
        <x:v>1</x:v>
      </x:c>
      <x:c r="P394" s="47" t="n">
        <x:v>1009</x:v>
      </x:c>
      <x:c r="Q394" s="47" t="n">
        <x:v>0.104</x:v>
      </x:c>
      <x:c r="R394" s="47" t="n">
        <x:v>2.802</x:v>
      </x:c>
      <x:c r="S394" s="47" t="n">
        <x:v>30.57</x:v>
      </x:c>
      <x:c r="T394" s="47" t="n">
        <x:v>56.16</x:v>
      </x:c>
      <x:c r="U394" s="47" t="n">
        <x:v>30.2</x:v>
      </x:c>
      <x:c r="V394" s="47" t="n">
        <x:v>12</x:v>
      </x:c>
      <x:c r="W394" s="47" t="n">
        <x:v>0</x:v>
      </x:c>
      <x:c r="X394" s="47" t="n">
        <x:v>0</x:v>
      </x:c>
      <x:c r="Y394" s="41" t="n">
        <x:v>0</x:v>
      </x:c>
    </x:row>
    <x:row r="395">
      <x:c r="A395" s="38" t="str">
        <x:v>7月30日现场数据</x:v>
      </x:c>
      <x:c r="B395" s="66" t="str">
        <x:v>2026-07-31T22:12:28.527000</x:v>
      </x:c>
      <x:c r="C395" s="47" t="n">
        <x:v>300967</x:v>
      </x:c>
      <x:c r="D395" s="47" t="str"/>
      <x:c r="E395" s="47" t="str"/>
      <x:c r="F395" s="47" t="str">
        <x:v>current</x:v>
      </x:c>
      <x:c r="G395" s="47" t="n">
        <x:v>391</x:v>
      </x:c>
      <x:c r="H395" s="53" t="b">
        <x:v>1</x:v>
      </x:c>
      <x:c r="I395" s="47" t="str">
        <x:v>3045069830</x:v>
      </x:c>
      <x:c r="J395" s="47" t="n">
        <x:v>27992357</x:v>
      </x:c>
      <x:c r="K395" s="53" t="b">
        <x:v>1</x:v>
      </x:c>
      <x:c r="L395" s="53" t="b">
        <x:v>1</x:v>
      </x:c>
      <x:c r="M395" s="53" t="b">
        <x:v>1</x:v>
      </x:c>
      <x:c r="N395" s="53" t="b">
        <x:v>1</x:v>
      </x:c>
      <x:c r="O395" s="53" t="b">
        <x:v>1</x:v>
      </x:c>
      <x:c r="P395" s="47" t="n">
        <x:v>1009</x:v>
      </x:c>
      <x:c r="Q395" s="47" t="n">
        <x:v>0</x:v>
      </x:c>
      <x:c r="R395" s="47" t="n">
        <x:v>0</x:v>
      </x:c>
      <x:c r="S395" s="47" t="n">
        <x:v>30.71</x:v>
      </x:c>
      <x:c r="T395" s="47" t="n">
        <x:v>56.29</x:v>
      </x:c>
      <x:c r="U395" s="47" t="n">
        <x:v>30.2</x:v>
      </x:c>
      <x:c r="V395" s="47" t="n">
        <x:v>12</x:v>
      </x:c>
      <x:c r="W395" s="47" t="n">
        <x:v>0</x:v>
      </x:c>
      <x:c r="X395" s="47" t="n">
        <x:v>0</x:v>
      </x:c>
      <x:c r="Y395" s="41" t="n">
        <x:v>0</x:v>
      </x:c>
    </x:row>
    <x:row r="396">
      <x:c r="A396" s="38" t="str">
        <x:v>7月30日现场数据</x:v>
      </x:c>
      <x:c r="B396" s="66" t="str">
        <x:v>2026-07-31T22:17:29.499000</x:v>
      </x:c>
      <x:c r="C396" s="47" t="n">
        <x:v>300972</x:v>
      </x:c>
      <x:c r="D396" s="47" t="str"/>
      <x:c r="E396" s="47" t="str"/>
      <x:c r="F396" s="47" t="str">
        <x:v>current</x:v>
      </x:c>
      <x:c r="G396" s="47" t="n">
        <x:v>392</x:v>
      </x:c>
      <x:c r="H396" s="53" t="b">
        <x:v>1</x:v>
      </x:c>
      <x:c r="I396" s="47" t="str">
        <x:v>3045069830</x:v>
      </x:c>
      <x:c r="J396" s="47" t="n">
        <x:v>28293329</x:v>
      </x:c>
      <x:c r="K396" s="53" t="b">
        <x:v>1</x:v>
      </x:c>
      <x:c r="L396" s="53" t="b">
        <x:v>1</x:v>
      </x:c>
      <x:c r="M396" s="53" t="b">
        <x:v>1</x:v>
      </x:c>
      <x:c r="N396" s="53" t="b">
        <x:v>1</x:v>
      </x:c>
      <x:c r="O396" s="53" t="b">
        <x:v>1</x:v>
      </x:c>
      <x:c r="P396" s="47" t="n">
        <x:v>1009</x:v>
      </x:c>
      <x:c r="Q396" s="47" t="n">
        <x:v>0</x:v>
      </x:c>
      <x:c r="R396" s="47" t="n">
        <x:v>0</x:v>
      </x:c>
      <x:c r="S396" s="47" t="n">
        <x:v>30.81</x:v>
      </x:c>
      <x:c r="T396" s="47" t="n">
        <x:v>56.4</x:v>
      </x:c>
      <x:c r="U396" s="47" t="n">
        <x:v>30.2</x:v>
      </x:c>
      <x:c r="V396" s="47" t="n">
        <x:v>12</x:v>
      </x:c>
      <x:c r="W396" s="47" t="n">
        <x:v>0</x:v>
      </x:c>
      <x:c r="X396" s="47" t="n">
        <x:v>0</x:v>
      </x:c>
      <x:c r="Y396" s="41" t="n">
        <x:v>0</x:v>
      </x:c>
    </x:row>
    <x:row r="397">
      <x:c r="A397" s="38" t="str">
        <x:v>7月30日现场数据</x:v>
      </x:c>
      <x:c r="B397" s="66" t="str">
        <x:v>2026-07-31T22:22:30.471000</x:v>
      </x:c>
      <x:c r="C397" s="47" t="n">
        <x:v>300972</x:v>
      </x:c>
      <x:c r="D397" s="47" t="str"/>
      <x:c r="E397" s="47" t="str"/>
      <x:c r="F397" s="47" t="str">
        <x:v>current</x:v>
      </x:c>
      <x:c r="G397" s="47" t="n">
        <x:v>393</x:v>
      </x:c>
      <x:c r="H397" s="53" t="b">
        <x:v>1</x:v>
      </x:c>
      <x:c r="I397" s="47" t="str">
        <x:v>3045069830</x:v>
      </x:c>
      <x:c r="J397" s="47" t="n">
        <x:v>28594301</x:v>
      </x:c>
      <x:c r="K397" s="53" t="b">
        <x:v>1</x:v>
      </x:c>
      <x:c r="L397" s="53" t="b">
        <x:v>1</x:v>
      </x:c>
      <x:c r="M397" s="53" t="b">
        <x:v>1</x:v>
      </x:c>
      <x:c r="N397" s="53" t="b">
        <x:v>1</x:v>
      </x:c>
      <x:c r="O397" s="53" t="b">
        <x:v>1</x:v>
      </x:c>
      <x:c r="P397" s="47" t="n">
        <x:v>1009</x:v>
      </x:c>
      <x:c r="Q397" s="47" t="n">
        <x:v>0</x:v>
      </x:c>
      <x:c r="R397" s="47" t="n">
        <x:v>0</x:v>
      </x:c>
      <x:c r="S397" s="47" t="n">
        <x:v>30.86</x:v>
      </x:c>
      <x:c r="T397" s="47" t="n">
        <x:v>56.54</x:v>
      </x:c>
      <x:c r="U397" s="47" t="n">
        <x:v>30.2</x:v>
      </x:c>
      <x:c r="V397" s="47" t="n">
        <x:v>12</x:v>
      </x:c>
      <x:c r="W397" s="47" t="n">
        <x:v>0</x:v>
      </x:c>
      <x:c r="X397" s="47" t="n">
        <x:v>0</x:v>
      </x:c>
      <x:c r="Y397" s="41" t="n">
        <x:v>0</x:v>
      </x:c>
    </x:row>
    <x:row r="398">
      <x:c r="A398" s="38" t="str">
        <x:v>7月30日现场数据</x:v>
      </x:c>
      <x:c r="B398" s="66" t="str">
        <x:v>2026-07-31T22:27:31.446000</x:v>
      </x:c>
      <x:c r="C398" s="47" t="n">
        <x:v>300975</x:v>
      </x:c>
      <x:c r="D398" s="47" t="str"/>
      <x:c r="E398" s="47" t="str"/>
      <x:c r="F398" s="47" t="str">
        <x:v>current</x:v>
      </x:c>
      <x:c r="G398" s="47" t="n">
        <x:v>394</x:v>
      </x:c>
      <x:c r="H398" s="53" t="b">
        <x:v>1</x:v>
      </x:c>
      <x:c r="I398" s="47" t="str">
        <x:v>3045069830</x:v>
      </x:c>
      <x:c r="J398" s="47" t="n">
        <x:v>28895276</x:v>
      </x:c>
      <x:c r="K398" s="53" t="b">
        <x:v>1</x:v>
      </x:c>
      <x:c r="L398" s="53" t="b">
        <x:v>1</x:v>
      </x:c>
      <x:c r="M398" s="53" t="b">
        <x:v>1</x:v>
      </x:c>
      <x:c r="N398" s="53" t="b">
        <x:v>1</x:v>
      </x:c>
      <x:c r="O398" s="53" t="b">
        <x:v>1</x:v>
      </x:c>
      <x:c r="P398" s="47" t="n">
        <x:v>1009</x:v>
      </x:c>
      <x:c r="Q398" s="47" t="n">
        <x:v>0</x:v>
      </x:c>
      <x:c r="R398" s="47" t="n">
        <x:v>0</x:v>
      </x:c>
      <x:c r="S398" s="47" t="n">
        <x:v>30.84</x:v>
      </x:c>
      <x:c r="T398" s="47" t="n">
        <x:v>56.61</x:v>
      </x:c>
      <x:c r="U398" s="47" t="n">
        <x:v>30.2</x:v>
      </x:c>
      <x:c r="V398" s="47" t="n">
        <x:v>12</x:v>
      </x:c>
      <x:c r="W398" s="47" t="n">
        <x:v>0</x:v>
      </x:c>
      <x:c r="X398" s="47" t="n">
        <x:v>0</x:v>
      </x:c>
      <x:c r="Y398" s="41" t="n">
        <x:v>0</x:v>
      </x:c>
    </x:row>
    <x:row r="399">
      <x:c r="A399" s="38" t="str">
        <x:v>7月30日现场数据</x:v>
      </x:c>
      <x:c r="B399" s="66" t="str">
        <x:v>2026-07-31T22:32:32.423000</x:v>
      </x:c>
      <x:c r="C399" s="47" t="n">
        <x:v>300977</x:v>
      </x:c>
      <x:c r="D399" s="47" t="str"/>
      <x:c r="E399" s="47" t="str"/>
      <x:c r="F399" s="47" t="str">
        <x:v>current</x:v>
      </x:c>
      <x:c r="G399" s="47" t="n">
        <x:v>395</x:v>
      </x:c>
      <x:c r="H399" s="53" t="b">
        <x:v>1</x:v>
      </x:c>
      <x:c r="I399" s="47" t="str">
        <x:v>3045069830</x:v>
      </x:c>
      <x:c r="J399" s="47" t="n">
        <x:v>29196253</x:v>
      </x:c>
      <x:c r="K399" s="53" t="b">
        <x:v>1</x:v>
      </x:c>
      <x:c r="L399" s="53" t="b">
        <x:v>1</x:v>
      </x:c>
      <x:c r="M399" s="53" t="b">
        <x:v>1</x:v>
      </x:c>
      <x:c r="N399" s="53" t="b">
        <x:v>1</x:v>
      </x:c>
      <x:c r="O399" s="53" t="b">
        <x:v>1</x:v>
      </x:c>
      <x:c r="P399" s="47" t="n">
        <x:v>1009</x:v>
      </x:c>
      <x:c r="Q399" s="47" t="n">
        <x:v>0</x:v>
      </x:c>
      <x:c r="R399" s="47" t="n">
        <x:v>0</x:v>
      </x:c>
      <x:c r="S399" s="47" t="n">
        <x:v>30.83</x:v>
      </x:c>
      <x:c r="T399" s="47" t="n">
        <x:v>56.71</x:v>
      </x:c>
      <x:c r="U399" s="47" t="n">
        <x:v>30.2</x:v>
      </x:c>
      <x:c r="V399" s="47" t="n">
        <x:v>12</x:v>
      </x:c>
      <x:c r="W399" s="47" t="n">
        <x:v>0</x:v>
      </x:c>
      <x:c r="X399" s="47" t="n">
        <x:v>0</x:v>
      </x:c>
      <x:c r="Y399" s="41" t="n">
        <x:v>0</x:v>
      </x:c>
    </x:row>
    <x:row r="400">
      <x:c r="A400" s="38" t="str">
        <x:v>7月30日现场数据</x:v>
      </x:c>
      <x:c r="B400" s="66" t="str">
        <x:v>2026-07-31T22:37:33.401000</x:v>
      </x:c>
      <x:c r="C400" s="47" t="n">
        <x:v>300978</x:v>
      </x:c>
      <x:c r="D400" s="47" t="str"/>
      <x:c r="E400" s="47" t="str"/>
      <x:c r="F400" s="47" t="str">
        <x:v>current</x:v>
      </x:c>
      <x:c r="G400" s="47" t="n">
        <x:v>396</x:v>
      </x:c>
      <x:c r="H400" s="53" t="b">
        <x:v>1</x:v>
      </x:c>
      <x:c r="I400" s="47" t="str">
        <x:v>3045069830</x:v>
      </x:c>
      <x:c r="J400" s="47" t="n">
        <x:v>29497231</x:v>
      </x:c>
      <x:c r="K400" s="53" t="b">
        <x:v>1</x:v>
      </x:c>
      <x:c r="L400" s="53" t="b">
        <x:v>1</x:v>
      </x:c>
      <x:c r="M400" s="53" t="b">
        <x:v>1</x:v>
      </x:c>
      <x:c r="N400" s="53" t="b">
        <x:v>1</x:v>
      </x:c>
      <x:c r="O400" s="53" t="b">
        <x:v>1</x:v>
      </x:c>
      <x:c r="P400" s="47" t="n">
        <x:v>1009</x:v>
      </x:c>
      <x:c r="Q400" s="47" t="n">
        <x:v>0</x:v>
      </x:c>
      <x:c r="R400" s="47" t="n">
        <x:v>0</x:v>
      </x:c>
      <x:c r="S400" s="47" t="n">
        <x:v>30.85</x:v>
      </x:c>
      <x:c r="T400" s="47" t="n">
        <x:v>56.88</x:v>
      </x:c>
      <x:c r="U400" s="47" t="n">
        <x:v>30.2</x:v>
      </x:c>
      <x:c r="V400" s="47" t="n">
        <x:v>12</x:v>
      </x:c>
      <x:c r="W400" s="47" t="n">
        <x:v>0</x:v>
      </x:c>
      <x:c r="X400" s="47" t="n">
        <x:v>0</x:v>
      </x:c>
      <x:c r="Y400" s="41" t="n">
        <x:v>0</x:v>
      </x:c>
    </x:row>
    <x:row r="401">
      <x:c r="A401" s="38" t="str">
        <x:v>7月30日现场数据</x:v>
      </x:c>
      <x:c r="B401" s="66" t="str">
        <x:v>2026-07-31T22:42:34.381000</x:v>
      </x:c>
      <x:c r="C401" s="47" t="n">
        <x:v>300980</x:v>
      </x:c>
      <x:c r="D401" s="47" t="str"/>
      <x:c r="E401" s="47" t="str"/>
      <x:c r="F401" s="47" t="str">
        <x:v>current</x:v>
      </x:c>
      <x:c r="G401" s="47" t="n">
        <x:v>397</x:v>
      </x:c>
      <x:c r="H401" s="53" t="b">
        <x:v>1</x:v>
      </x:c>
      <x:c r="I401" s="47" t="str">
        <x:v>3045069830</x:v>
      </x:c>
      <x:c r="J401" s="47" t="n">
        <x:v>29798211</x:v>
      </x:c>
      <x:c r="K401" s="53" t="b">
        <x:v>1</x:v>
      </x:c>
      <x:c r="L401" s="53" t="b">
        <x:v>1</x:v>
      </x:c>
      <x:c r="M401" s="53" t="b">
        <x:v>1</x:v>
      </x:c>
      <x:c r="N401" s="53" t="b">
        <x:v>1</x:v>
      </x:c>
      <x:c r="O401" s="53" t="b">
        <x:v>1</x:v>
      </x:c>
      <x:c r="P401" s="47" t="n">
        <x:v>1009</x:v>
      </x:c>
      <x:c r="Q401" s="47" t="n">
        <x:v>0</x:v>
      </x:c>
      <x:c r="R401" s="47" t="n">
        <x:v>0</x:v>
      </x:c>
      <x:c r="S401" s="47" t="n">
        <x:v>30.73</x:v>
      </x:c>
      <x:c r="T401" s="47" t="n">
        <x:v>56.88</x:v>
      </x:c>
      <x:c r="U401" s="47" t="n">
        <x:v>30.2</x:v>
      </x:c>
      <x:c r="V401" s="47" t="n">
        <x:v>12</x:v>
      </x:c>
      <x:c r="W401" s="47" t="n">
        <x:v>0</x:v>
      </x:c>
      <x:c r="X401" s="47" t="n">
        <x:v>0</x:v>
      </x:c>
      <x:c r="Y401" s="41" t="n">
        <x:v>0</x:v>
      </x:c>
    </x:row>
    <x:row r="402">
      <x:c r="A402" s="38" t="str">
        <x:v>7月30日现场数据</x:v>
      </x:c>
      <x:c r="B402" s="66" t="str">
        <x:v>2026-07-31T22:47:35.362000</x:v>
      </x:c>
      <x:c r="C402" s="47" t="n">
        <x:v>300981</x:v>
      </x:c>
      <x:c r="D402" s="47" t="str"/>
      <x:c r="E402" s="47" t="str"/>
      <x:c r="F402" s="47" t="str">
        <x:v>current</x:v>
      </x:c>
      <x:c r="G402" s="47" t="n">
        <x:v>398</x:v>
      </x:c>
      <x:c r="H402" s="53" t="b">
        <x:v>1</x:v>
      </x:c>
      <x:c r="I402" s="47" t="str">
        <x:v>3045069830</x:v>
      </x:c>
      <x:c r="J402" s="47" t="n">
        <x:v>30099192</x:v>
      </x:c>
      <x:c r="K402" s="53" t="b">
        <x:v>1</x:v>
      </x:c>
      <x:c r="L402" s="53" t="b">
        <x:v>1</x:v>
      </x:c>
      <x:c r="M402" s="53" t="b">
        <x:v>1</x:v>
      </x:c>
      <x:c r="N402" s="53" t="b">
        <x:v>1</x:v>
      </x:c>
      <x:c r="O402" s="53" t="b">
        <x:v>1</x:v>
      </x:c>
      <x:c r="P402" s="47" t="n">
        <x:v>1009</x:v>
      </x:c>
      <x:c r="Q402" s="47" t="n">
        <x:v>0</x:v>
      </x:c>
      <x:c r="R402" s="47" t="n">
        <x:v>0</x:v>
      </x:c>
      <x:c r="S402" s="47" t="n">
        <x:v>30.69</x:v>
      </x:c>
      <x:c r="T402" s="47" t="n">
        <x:v>56.98</x:v>
      </x:c>
      <x:c r="U402" s="47" t="n">
        <x:v>30.2</x:v>
      </x:c>
      <x:c r="V402" s="47" t="n">
        <x:v>12</x:v>
      </x:c>
      <x:c r="W402" s="47" t="n">
        <x:v>0</x:v>
      </x:c>
      <x:c r="X402" s="47" t="n">
        <x:v>0</x:v>
      </x:c>
      <x:c r="Y402" s="41" t="n">
        <x:v>0</x:v>
      </x:c>
    </x:row>
    <x:row r="403">
      <x:c r="A403" s="38" t="str">
        <x:v>7月30日现场数据</x:v>
      </x:c>
      <x:c r="B403" s="66" t="str">
        <x:v>2026-07-31T22:52:36.348000</x:v>
      </x:c>
      <x:c r="C403" s="47" t="n">
        <x:v>300986</x:v>
      </x:c>
      <x:c r="D403" s="47" t="str"/>
      <x:c r="E403" s="47" t="str"/>
      <x:c r="F403" s="47" t="str">
        <x:v>current</x:v>
      </x:c>
      <x:c r="G403" s="47" t="n">
        <x:v>399</x:v>
      </x:c>
      <x:c r="H403" s="53" t="b">
        <x:v>1</x:v>
      </x:c>
      <x:c r="I403" s="47" t="str">
        <x:v>3045069830</x:v>
      </x:c>
      <x:c r="J403" s="47" t="n">
        <x:v>30400178</x:v>
      </x:c>
      <x:c r="K403" s="53" t="b">
        <x:v>1</x:v>
      </x:c>
      <x:c r="L403" s="53" t="b">
        <x:v>1</x:v>
      </x:c>
      <x:c r="M403" s="53" t="b">
        <x:v>1</x:v>
      </x:c>
      <x:c r="N403" s="53" t="b">
        <x:v>1</x:v>
      </x:c>
      <x:c r="O403" s="53" t="b">
        <x:v>1</x:v>
      </x:c>
      <x:c r="P403" s="47" t="n">
        <x:v>1009</x:v>
      </x:c>
      <x:c r="Q403" s="47" t="n">
        <x:v>0</x:v>
      </x:c>
      <x:c r="R403" s="47" t="n">
        <x:v>0</x:v>
      </x:c>
      <x:c r="S403" s="47" t="n">
        <x:v>30.69</x:v>
      </x:c>
      <x:c r="T403" s="47" t="n">
        <x:v>57.06</x:v>
      </x:c>
      <x:c r="U403" s="47" t="n">
        <x:v>30.2</x:v>
      </x:c>
      <x:c r="V403" s="47" t="n">
        <x:v>12</x:v>
      </x:c>
      <x:c r="W403" s="47" t="n">
        <x:v>0</x:v>
      </x:c>
      <x:c r="X403" s="47" t="n">
        <x:v>0</x:v>
      </x:c>
      <x:c r="Y403" s="41" t="n">
        <x:v>0</x:v>
      </x:c>
    </x:row>
    <x:row r="404">
      <x:c r="A404" s="38" t="str">
        <x:v>7月30日现场数据</x:v>
      </x:c>
      <x:c r="B404" s="66" t="str">
        <x:v>2026-07-31T22:57:37.334000</x:v>
      </x:c>
      <x:c r="C404" s="47" t="n">
        <x:v>300986</x:v>
      </x:c>
      <x:c r="D404" s="47" t="str"/>
      <x:c r="E404" s="47" t="str"/>
      <x:c r="F404" s="47" t="str">
        <x:v>current</x:v>
      </x:c>
      <x:c r="G404" s="47" t="n">
        <x:v>400</x:v>
      </x:c>
      <x:c r="H404" s="53" t="b">
        <x:v>1</x:v>
      </x:c>
      <x:c r="I404" s="47" t="str">
        <x:v>3045069830</x:v>
      </x:c>
      <x:c r="J404" s="47" t="n">
        <x:v>30701164</x:v>
      </x:c>
      <x:c r="K404" s="53" t="b">
        <x:v>1</x:v>
      </x:c>
      <x:c r="L404" s="53" t="b">
        <x:v>1</x:v>
      </x:c>
      <x:c r="M404" s="53" t="b">
        <x:v>1</x:v>
      </x:c>
      <x:c r="N404" s="53" t="b">
        <x:v>1</x:v>
      </x:c>
      <x:c r="O404" s="53" t="b">
        <x:v>1</x:v>
      </x:c>
      <x:c r="P404" s="47" t="n">
        <x:v>1009</x:v>
      </x:c>
      <x:c r="Q404" s="47" t="n">
        <x:v>0</x:v>
      </x:c>
      <x:c r="R404" s="47" t="n">
        <x:v>0</x:v>
      </x:c>
      <x:c r="S404" s="47" t="n">
        <x:v>30.65</x:v>
      </x:c>
      <x:c r="T404" s="47" t="n">
        <x:v>57.13</x:v>
      </x:c>
      <x:c r="U404" s="47" t="n">
        <x:v>30.2</x:v>
      </x:c>
      <x:c r="V404" s="47" t="n">
        <x:v>12</x:v>
      </x:c>
      <x:c r="W404" s="47" t="n">
        <x:v>0</x:v>
      </x:c>
      <x:c r="X404" s="47" t="n">
        <x:v>0</x:v>
      </x:c>
      <x:c r="Y404" s="41" t="n">
        <x:v>0</x:v>
      </x:c>
    </x:row>
    <x:row r="405">
      <x:c r="A405" s="38" t="str">
        <x:v>7月30日现场数据</x:v>
      </x:c>
      <x:c r="B405" s="66" t="str">
        <x:v>2026-07-31T23:02:38.320000</x:v>
      </x:c>
      <x:c r="C405" s="47" t="n">
        <x:v>300986</x:v>
      </x:c>
      <x:c r="D405" s="47" t="str"/>
      <x:c r="E405" s="47" t="str"/>
      <x:c r="F405" s="47" t="str">
        <x:v>current</x:v>
      </x:c>
      <x:c r="G405" s="47" t="n">
        <x:v>401</x:v>
      </x:c>
      <x:c r="H405" s="53" t="b">
        <x:v>1</x:v>
      </x:c>
      <x:c r="I405" s="47" t="str">
        <x:v>3045069830</x:v>
      </x:c>
      <x:c r="J405" s="47" t="n">
        <x:v>31002150</x:v>
      </x:c>
      <x:c r="K405" s="53" t="b">
        <x:v>1</x:v>
      </x:c>
      <x:c r="L405" s="53" t="b">
        <x:v>1</x:v>
      </x:c>
      <x:c r="M405" s="53" t="b">
        <x:v>1</x:v>
      </x:c>
      <x:c r="N405" s="53" t="b">
        <x:v>1</x:v>
      </x:c>
      <x:c r="O405" s="53" t="b">
        <x:v>1</x:v>
      </x:c>
      <x:c r="P405" s="47" t="n">
        <x:v>1008</x:v>
      </x:c>
      <x:c r="Q405" s="47" t="n">
        <x:v>0</x:v>
      </x:c>
      <x:c r="R405" s="47" t="n">
        <x:v>0</x:v>
      </x:c>
      <x:c r="S405" s="47" t="n">
        <x:v>30.54</x:v>
      </x:c>
      <x:c r="T405" s="47" t="n">
        <x:v>57.16</x:v>
      </x:c>
      <x:c r="U405" s="47" t="n">
        <x:v>30.2</x:v>
      </x:c>
      <x:c r="V405" s="47" t="n">
        <x:v>12</x:v>
      </x:c>
      <x:c r="W405" s="47" t="n">
        <x:v>0</x:v>
      </x:c>
      <x:c r="X405" s="47" t="n">
        <x:v>0</x:v>
      </x:c>
      <x:c r="Y405" s="41" t="n">
        <x:v>0</x:v>
      </x:c>
    </x:row>
    <x:row r="406">
      <x:c r="A406" s="38" t="str">
        <x:v>7月30日现场数据</x:v>
      </x:c>
      <x:c r="B406" s="66" t="str">
        <x:v>2026-07-31T23:07:39.323000</x:v>
      </x:c>
      <x:c r="C406" s="47" t="n">
        <x:v>301003</x:v>
      </x:c>
      <x:c r="D406" s="47" t="str"/>
      <x:c r="E406" s="47" t="str"/>
      <x:c r="F406" s="47" t="str">
        <x:v>current</x:v>
      </x:c>
      <x:c r="G406" s="47" t="n">
        <x:v>402</x:v>
      </x:c>
      <x:c r="H406" s="53" t="b">
        <x:v>1</x:v>
      </x:c>
      <x:c r="I406" s="47" t="str">
        <x:v>3045069830</x:v>
      </x:c>
      <x:c r="J406" s="47" t="n">
        <x:v>31303153</x:v>
      </x:c>
      <x:c r="K406" s="53" t="b">
        <x:v>1</x:v>
      </x:c>
      <x:c r="L406" s="53" t="b">
        <x:v>1</x:v>
      </x:c>
      <x:c r="M406" s="53" t="b">
        <x:v>1</x:v>
      </x:c>
      <x:c r="N406" s="53" t="b">
        <x:v>1</x:v>
      </x:c>
      <x:c r="O406" s="53" t="b">
        <x:v>1</x:v>
      </x:c>
      <x:c r="P406" s="47" t="n">
        <x:v>1009</x:v>
      </x:c>
      <x:c r="Q406" s="47" t="n">
        <x:v>0</x:v>
      </x:c>
      <x:c r="R406" s="47" t="n">
        <x:v>0</x:v>
      </x:c>
      <x:c r="S406" s="47" t="n">
        <x:v>30.47</x:v>
      </x:c>
      <x:c r="T406" s="47" t="n">
        <x:v>57.21</x:v>
      </x:c>
      <x:c r="U406" s="47" t="n">
        <x:v>30.2</x:v>
      </x:c>
      <x:c r="V406" s="47" t="n">
        <x:v>12</x:v>
      </x:c>
      <x:c r="W406" s="47" t="n">
        <x:v>0</x:v>
      </x:c>
      <x:c r="X406" s="47" t="n">
        <x:v>0</x:v>
      </x:c>
      <x:c r="Y406" s="41" t="n">
        <x:v>0</x:v>
      </x:c>
    </x:row>
    <x:row r="407">
      <x:c r="A407" s="38" t="str">
        <x:v>7月30日现场数据</x:v>
      </x:c>
      <x:c r="B407" s="66" t="str">
        <x:v>2026-07-31T23:12:40.300000</x:v>
      </x:c>
      <x:c r="C407" s="47" t="n">
        <x:v>300977</x:v>
      </x:c>
      <x:c r="D407" s="47" t="str"/>
      <x:c r="E407" s="47" t="str"/>
      <x:c r="F407" s="47" t="str">
        <x:v>current</x:v>
      </x:c>
      <x:c r="G407" s="47" t="n">
        <x:v>403</x:v>
      </x:c>
      <x:c r="H407" s="53" t="b">
        <x:v>1</x:v>
      </x:c>
      <x:c r="I407" s="47" t="str">
        <x:v>3045069830</x:v>
      </x:c>
      <x:c r="J407" s="47" t="n">
        <x:v>31604130</x:v>
      </x:c>
      <x:c r="K407" s="53" t="b">
        <x:v>1</x:v>
      </x:c>
      <x:c r="L407" s="53" t="b">
        <x:v>1</x:v>
      </x:c>
      <x:c r="M407" s="53" t="b">
        <x:v>1</x:v>
      </x:c>
      <x:c r="N407" s="53" t="b">
        <x:v>1</x:v>
      </x:c>
      <x:c r="O407" s="53" t="b">
        <x:v>1</x:v>
      </x:c>
      <x:c r="P407" s="47" t="n">
        <x:v>1009</x:v>
      </x:c>
      <x:c r="Q407" s="47" t="n">
        <x:v>0</x:v>
      </x:c>
      <x:c r="R407" s="47" t="n">
        <x:v>0</x:v>
      </x:c>
      <x:c r="S407" s="47" t="n">
        <x:v>30.41</x:v>
      </x:c>
      <x:c r="T407" s="47" t="n">
        <x:v>57.3</x:v>
      </x:c>
      <x:c r="U407" s="47" t="n">
        <x:v>30.2</x:v>
      </x:c>
      <x:c r="V407" s="47" t="n">
        <x:v>12</x:v>
      </x:c>
      <x:c r="W407" s="47" t="n">
        <x:v>0</x:v>
      </x:c>
      <x:c r="X407" s="47" t="n">
        <x:v>0</x:v>
      </x:c>
      <x:c r="Y407" s="41" t="n">
        <x:v>0</x:v>
      </x:c>
    </x:row>
    <x:row r="408">
      <x:c r="A408" s="38" t="str">
        <x:v>7月30日现场数据</x:v>
      </x:c>
      <x:c r="B408" s="66" t="str">
        <x:v>2026-07-31T23:17:41.278000</x:v>
      </x:c>
      <x:c r="C408" s="47" t="n">
        <x:v>300978</x:v>
      </x:c>
      <x:c r="D408" s="47" t="str"/>
      <x:c r="E408" s="47" t="str"/>
      <x:c r="F408" s="47" t="str">
        <x:v>current</x:v>
      </x:c>
      <x:c r="G408" s="47" t="n">
        <x:v>404</x:v>
      </x:c>
      <x:c r="H408" s="53" t="b">
        <x:v>1</x:v>
      </x:c>
      <x:c r="I408" s="47" t="str">
        <x:v>3045069830</x:v>
      </x:c>
      <x:c r="J408" s="47" t="n">
        <x:v>31905108</x:v>
      </x:c>
      <x:c r="K408" s="53" t="b">
        <x:v>1</x:v>
      </x:c>
      <x:c r="L408" s="53" t="b">
        <x:v>1</x:v>
      </x:c>
      <x:c r="M408" s="53" t="b">
        <x:v>1</x:v>
      </x:c>
      <x:c r="N408" s="53" t="b">
        <x:v>1</x:v>
      </x:c>
      <x:c r="O408" s="53" t="b">
        <x:v>1</x:v>
      </x:c>
      <x:c r="P408" s="47" t="n">
        <x:v>1008</x:v>
      </x:c>
      <x:c r="Q408" s="47" t="n">
        <x:v>0</x:v>
      </x:c>
      <x:c r="R408" s="47" t="n">
        <x:v>0</x:v>
      </x:c>
      <x:c r="S408" s="47" t="n">
        <x:v>30.43</x:v>
      </x:c>
      <x:c r="T408" s="47" t="n">
        <x:v>57.39</x:v>
      </x:c>
      <x:c r="U408" s="47" t="n">
        <x:v>30.2</x:v>
      </x:c>
      <x:c r="V408" s="47" t="n">
        <x:v>12</x:v>
      </x:c>
      <x:c r="W408" s="47" t="n">
        <x:v>0</x:v>
      </x:c>
      <x:c r="X408" s="47" t="n">
        <x:v>0</x:v>
      </x:c>
      <x:c r="Y408" s="41" t="n">
        <x:v>0</x:v>
      </x:c>
    </x:row>
    <x:row r="409">
      <x:c r="A409" s="38" t="str">
        <x:v>7月30日现场数据</x:v>
      </x:c>
      <x:c r="B409" s="66" t="str">
        <x:v>2026-07-31T23:22:42.258000</x:v>
      </x:c>
      <x:c r="C409" s="47" t="n">
        <x:v>300980</x:v>
      </x:c>
      <x:c r="D409" s="47" t="str"/>
      <x:c r="E409" s="47" t="str"/>
      <x:c r="F409" s="47" t="str">
        <x:v>current</x:v>
      </x:c>
      <x:c r="G409" s="47" t="n">
        <x:v>405</x:v>
      </x:c>
      <x:c r="H409" s="53" t="b">
        <x:v>1</x:v>
      </x:c>
      <x:c r="I409" s="47" t="str">
        <x:v>3045069830</x:v>
      </x:c>
      <x:c r="J409" s="47" t="n">
        <x:v>32206088</x:v>
      </x:c>
      <x:c r="K409" s="53" t="b">
        <x:v>1</x:v>
      </x:c>
      <x:c r="L409" s="53" t="b">
        <x:v>1</x:v>
      </x:c>
      <x:c r="M409" s="53" t="b">
        <x:v>1</x:v>
      </x:c>
      <x:c r="N409" s="53" t="b">
        <x:v>1</x:v>
      </x:c>
      <x:c r="O409" s="53" t="b">
        <x:v>1</x:v>
      </x:c>
      <x:c r="P409" s="47" t="n">
        <x:v>1009</x:v>
      </x:c>
      <x:c r="Q409" s="47" t="n">
        <x:v>0</x:v>
      </x:c>
      <x:c r="R409" s="47" t="n">
        <x:v>0</x:v>
      </x:c>
      <x:c r="S409" s="47" t="n">
        <x:v>30.44</x:v>
      </x:c>
      <x:c r="T409" s="47" t="n">
        <x:v>57.48</x:v>
      </x:c>
      <x:c r="U409" s="47" t="n">
        <x:v>30.2</x:v>
      </x:c>
      <x:c r="V409" s="47" t="n">
        <x:v>12</x:v>
      </x:c>
      <x:c r="W409" s="47" t="n">
        <x:v>0</x:v>
      </x:c>
      <x:c r="X409" s="47" t="n">
        <x:v>0</x:v>
      </x:c>
      <x:c r="Y409" s="41" t="n">
        <x:v>0</x:v>
      </x:c>
    </x:row>
    <x:row r="410">
      <x:c r="A410" s="38" t="str">
        <x:v>7月30日现场数据</x:v>
      </x:c>
      <x:c r="B410" s="66" t="str">
        <x:v>2026-07-31T23:27:43.274000</x:v>
      </x:c>
      <x:c r="C410" s="47" t="n">
        <x:v>301016</x:v>
      </x:c>
      <x:c r="D410" s="47" t="str"/>
      <x:c r="E410" s="47" t="str"/>
      <x:c r="F410" s="47" t="str">
        <x:v>current</x:v>
      </x:c>
      <x:c r="G410" s="47" t="n">
        <x:v>406</x:v>
      </x:c>
      <x:c r="H410" s="53" t="b">
        <x:v>1</x:v>
      </x:c>
      <x:c r="I410" s="47" t="str">
        <x:v>3045069830</x:v>
      </x:c>
      <x:c r="J410" s="47" t="n">
        <x:v>32507104</x:v>
      </x:c>
      <x:c r="K410" s="53" t="b">
        <x:v>1</x:v>
      </x:c>
      <x:c r="L410" s="53" t="b">
        <x:v>1</x:v>
      </x:c>
      <x:c r="M410" s="53" t="b">
        <x:v>1</x:v>
      </x:c>
      <x:c r="N410" s="53" t="b">
        <x:v>1</x:v>
      </x:c>
      <x:c r="O410" s="53" t="b">
        <x:v>1</x:v>
      </x:c>
      <x:c r="P410" s="47" t="n">
        <x:v>1009</x:v>
      </x:c>
      <x:c r="Q410" s="47" t="n">
        <x:v>0</x:v>
      </x:c>
      <x:c r="R410" s="47" t="n">
        <x:v>0</x:v>
      </x:c>
      <x:c r="S410" s="47" t="n">
        <x:v>30.39</x:v>
      </x:c>
      <x:c r="T410" s="47" t="n">
        <x:v>57.53</x:v>
      </x:c>
      <x:c r="U410" s="47" t="n">
        <x:v>30.2</x:v>
      </x:c>
      <x:c r="V410" s="47" t="n">
        <x:v>12</x:v>
      </x:c>
      <x:c r="W410" s="47" t="n">
        <x:v>0</x:v>
      </x:c>
      <x:c r="X410" s="47" t="n">
        <x:v>0</x:v>
      </x:c>
      <x:c r="Y410" s="41" t="n">
        <x:v>0</x:v>
      </x:c>
    </x:row>
    <x:row r="411">
      <x:c r="A411" s="38" t="str">
        <x:v>7月30日现场数据</x:v>
      </x:c>
      <x:c r="B411" s="66" t="str">
        <x:v>2026-07-31T23:32:44.232000</x:v>
      </x:c>
      <x:c r="C411" s="47" t="n">
        <x:v>300958</x:v>
      </x:c>
      <x:c r="D411" s="47" t="str"/>
      <x:c r="E411" s="47" t="str"/>
      <x:c r="F411" s="47" t="str">
        <x:v>current</x:v>
      </x:c>
      <x:c r="G411" s="47" t="n">
        <x:v>407</x:v>
      </x:c>
      <x:c r="H411" s="53" t="b">
        <x:v>1</x:v>
      </x:c>
      <x:c r="I411" s="47" t="str">
        <x:v>3045069830</x:v>
      </x:c>
      <x:c r="J411" s="47" t="n">
        <x:v>32808062</x:v>
      </x:c>
      <x:c r="K411" s="53" t="b">
        <x:v>1</x:v>
      </x:c>
      <x:c r="L411" s="53" t="b">
        <x:v>1</x:v>
      </x:c>
      <x:c r="M411" s="53" t="b">
        <x:v>1</x:v>
      </x:c>
      <x:c r="N411" s="53" t="b">
        <x:v>1</x:v>
      </x:c>
      <x:c r="O411" s="53" t="b">
        <x:v>1</x:v>
      </x:c>
      <x:c r="P411" s="47" t="n">
        <x:v>1009</x:v>
      </x:c>
      <x:c r="Q411" s="47" t="n">
        <x:v>0</x:v>
      </x:c>
      <x:c r="R411" s="47" t="n">
        <x:v>0</x:v>
      </x:c>
      <x:c r="S411" s="47" t="n">
        <x:v>30.31</x:v>
      </x:c>
      <x:c r="T411" s="47" t="n">
        <x:v>57.6</x:v>
      </x:c>
      <x:c r="U411" s="47" t="n">
        <x:v>30.2</x:v>
      </x:c>
      <x:c r="V411" s="47" t="n">
        <x:v>12</x:v>
      </x:c>
      <x:c r="W411" s="47" t="n">
        <x:v>0</x:v>
      </x:c>
      <x:c r="X411" s="47" t="n">
        <x:v>0</x:v>
      </x:c>
      <x:c r="Y411" s="41" t="n">
        <x:v>0</x:v>
      </x:c>
    </x:row>
    <x:row r="412">
      <x:c r="A412" s="38" t="str">
        <x:v>7月30日现场数据</x:v>
      </x:c>
      <x:c r="B412" s="66" t="str">
        <x:v>2026-07-31T23:37:45.191000</x:v>
      </x:c>
      <x:c r="C412" s="47" t="n">
        <x:v>300959</x:v>
      </x:c>
      <x:c r="D412" s="47" t="str"/>
      <x:c r="E412" s="47" t="str"/>
      <x:c r="F412" s="47" t="str">
        <x:v>current</x:v>
      </x:c>
      <x:c r="G412" s="47" t="n">
        <x:v>408</x:v>
      </x:c>
      <x:c r="H412" s="53" t="b">
        <x:v>1</x:v>
      </x:c>
      <x:c r="I412" s="47" t="str">
        <x:v>3045069830</x:v>
      </x:c>
      <x:c r="J412" s="47" t="n">
        <x:v>33109021</x:v>
      </x:c>
      <x:c r="K412" s="53" t="b">
        <x:v>1</x:v>
      </x:c>
      <x:c r="L412" s="53" t="b">
        <x:v>1</x:v>
      </x:c>
      <x:c r="M412" s="53" t="b">
        <x:v>1</x:v>
      </x:c>
      <x:c r="N412" s="53" t="b">
        <x:v>1</x:v>
      </x:c>
      <x:c r="O412" s="53" t="b">
        <x:v>1</x:v>
      </x:c>
      <x:c r="P412" s="47" t="n">
        <x:v>1009</x:v>
      </x:c>
      <x:c r="Q412" s="47" t="n">
        <x:v>0</x:v>
      </x:c>
      <x:c r="R412" s="47" t="n">
        <x:v>0</x:v>
      </x:c>
      <x:c r="S412" s="47" t="n">
        <x:v>30.24</x:v>
      </x:c>
      <x:c r="T412" s="47" t="n">
        <x:v>57.68</x:v>
      </x:c>
      <x:c r="U412" s="47" t="n">
        <x:v>30.2</x:v>
      </x:c>
      <x:c r="V412" s="47" t="n">
        <x:v>12</x:v>
      </x:c>
      <x:c r="W412" s="47" t="n">
        <x:v>0</x:v>
      </x:c>
      <x:c r="X412" s="47" t="n">
        <x:v>0</x:v>
      </x:c>
      <x:c r="Y412" s="41" t="n">
        <x:v>0</x:v>
      </x:c>
    </x:row>
    <x:row r="413">
      <x:c r="A413" s="38" t="str">
        <x:v>7月30日现场数据</x:v>
      </x:c>
      <x:c r="B413" s="66" t="str">
        <x:v>2026-07-31T23:42:46.152000</x:v>
      </x:c>
      <x:c r="C413" s="47" t="n">
        <x:v>300961</x:v>
      </x:c>
      <x:c r="D413" s="47" t="str"/>
      <x:c r="E413" s="47" t="str"/>
      <x:c r="F413" s="47" t="str">
        <x:v>current</x:v>
      </x:c>
      <x:c r="G413" s="47" t="n">
        <x:v>409</x:v>
      </x:c>
      <x:c r="H413" s="53" t="b">
        <x:v>1</x:v>
      </x:c>
      <x:c r="I413" s="47" t="str">
        <x:v>3045069830</x:v>
      </x:c>
      <x:c r="J413" s="47" t="n">
        <x:v>33409982</x:v>
      </x:c>
      <x:c r="K413" s="53" t="b">
        <x:v>1</x:v>
      </x:c>
      <x:c r="L413" s="53" t="b">
        <x:v>1</x:v>
      </x:c>
      <x:c r="M413" s="53" t="b">
        <x:v>1</x:v>
      </x:c>
      <x:c r="N413" s="53" t="b">
        <x:v>1</x:v>
      </x:c>
      <x:c r="O413" s="53" t="b">
        <x:v>1</x:v>
      </x:c>
      <x:c r="P413" s="47" t="n">
        <x:v>1008</x:v>
      </x:c>
      <x:c r="Q413" s="47" t="n">
        <x:v>0</x:v>
      </x:c>
      <x:c r="R413" s="47" t="n">
        <x:v>0</x:v>
      </x:c>
      <x:c r="S413" s="47" t="n">
        <x:v>30.17</x:v>
      </x:c>
      <x:c r="T413" s="47" t="n">
        <x:v>57.7</x:v>
      </x:c>
      <x:c r="U413" s="47" t="n">
        <x:v>30.1</x:v>
      </x:c>
      <x:c r="V413" s="47" t="n">
        <x:v>12</x:v>
      </x:c>
      <x:c r="W413" s="47" t="n">
        <x:v>0</x:v>
      </x:c>
      <x:c r="X413" s="47" t="n">
        <x:v>0</x:v>
      </x:c>
      <x:c r="Y413" s="41" t="n">
        <x:v>0</x:v>
      </x:c>
    </x:row>
    <x:row r="414">
      <x:c r="A414" s="38" t="str">
        <x:v>7月30日现场数据</x:v>
      </x:c>
      <x:c r="B414" s="66" t="str">
        <x:v>2026-07-31T23:47:47.115000</x:v>
      </x:c>
      <x:c r="C414" s="47" t="n">
        <x:v>300963</x:v>
      </x:c>
      <x:c r="D414" s="47" t="str"/>
      <x:c r="E414" s="47" t="str"/>
      <x:c r="F414" s="47" t="str">
        <x:v>current</x:v>
      </x:c>
      <x:c r="G414" s="47" t="n">
        <x:v>410</x:v>
      </x:c>
      <x:c r="H414" s="53" t="b">
        <x:v>1</x:v>
      </x:c>
      <x:c r="I414" s="47" t="str">
        <x:v>3045069830</x:v>
      </x:c>
      <x:c r="J414" s="47" t="n">
        <x:v>33710945</x:v>
      </x:c>
      <x:c r="K414" s="53" t="b">
        <x:v>1</x:v>
      </x:c>
      <x:c r="L414" s="53" t="b">
        <x:v>1</x:v>
      </x:c>
      <x:c r="M414" s="53" t="b">
        <x:v>1</x:v>
      </x:c>
      <x:c r="N414" s="53" t="b">
        <x:v>1</x:v>
      </x:c>
      <x:c r="O414" s="53" t="b">
        <x:v>1</x:v>
      </x:c>
      <x:c r="P414" s="47" t="n">
        <x:v>1009</x:v>
      </x:c>
      <x:c r="Q414" s="47" t="n">
        <x:v>0</x:v>
      </x:c>
      <x:c r="R414" s="47" t="n">
        <x:v>0</x:v>
      </x:c>
      <x:c r="S414" s="47" t="n">
        <x:v>30.11</x:v>
      </x:c>
      <x:c r="T414" s="47" t="n">
        <x:v>57.75</x:v>
      </x:c>
      <x:c r="U414" s="47" t="n">
        <x:v>30.1</x:v>
      </x:c>
      <x:c r="V414" s="47" t="n">
        <x:v>12</x:v>
      </x:c>
      <x:c r="W414" s="47" t="n">
        <x:v>0</x:v>
      </x:c>
      <x:c r="X414" s="47" t="n">
        <x:v>0</x:v>
      </x:c>
      <x:c r="Y414" s="41" t="n">
        <x:v>0</x:v>
      </x:c>
    </x:row>
    <x:row r="415">
      <x:c r="A415" s="38" t="str">
        <x:v>7月30日现场数据</x:v>
      </x:c>
      <x:c r="B415" s="66" t="str">
        <x:v>2026-07-31T23:52:48.082000</x:v>
      </x:c>
      <x:c r="C415" s="47" t="n">
        <x:v>300967</x:v>
      </x:c>
      <x:c r="D415" s="47" t="str"/>
      <x:c r="E415" s="47" t="str"/>
      <x:c r="F415" s="47" t="str">
        <x:v>current</x:v>
      </x:c>
      <x:c r="G415" s="47" t="n">
        <x:v>411</x:v>
      </x:c>
      <x:c r="H415" s="53" t="b">
        <x:v>1</x:v>
      </x:c>
      <x:c r="I415" s="47" t="str">
        <x:v>3045069830</x:v>
      </x:c>
      <x:c r="J415" s="47" t="n">
        <x:v>34011912</x:v>
      </x:c>
      <x:c r="K415" s="53" t="b">
        <x:v>1</x:v>
      </x:c>
      <x:c r="L415" s="53" t="b">
        <x:v>1</x:v>
      </x:c>
      <x:c r="M415" s="53" t="b">
        <x:v>1</x:v>
      </x:c>
      <x:c r="N415" s="53" t="b">
        <x:v>1</x:v>
      </x:c>
      <x:c r="O415" s="53" t="b">
        <x:v>1</x:v>
      </x:c>
      <x:c r="P415" s="47" t="n">
        <x:v>1009</x:v>
      </x:c>
      <x:c r="Q415" s="47" t="n">
        <x:v>0</x:v>
      </x:c>
      <x:c r="R415" s="47" t="n">
        <x:v>0</x:v>
      </x:c>
      <x:c r="S415" s="47" t="n">
        <x:v>30.08</x:v>
      </x:c>
      <x:c r="T415" s="47" t="n">
        <x:v>57.87</x:v>
      </x:c>
      <x:c r="U415" s="47" t="n">
        <x:v>30.1</x:v>
      </x:c>
      <x:c r="V415" s="47" t="n">
        <x:v>12</x:v>
      </x:c>
      <x:c r="W415" s="47" t="n">
        <x:v>0</x:v>
      </x:c>
      <x:c r="X415" s="47" t="n">
        <x:v>0</x:v>
      </x:c>
      <x:c r="Y415" s="41" t="n">
        <x:v>0</x:v>
      </x:c>
    </x:row>
    <x:row r="416">
      <x:c r="A416" s="38" t="str">
        <x:v>7月30日现场数据</x:v>
      </x:c>
      <x:c r="B416" s="66" t="str">
        <x:v>2026-07-31T23:57:49.050000</x:v>
      </x:c>
      <x:c r="C416" s="47" t="n">
        <x:v>300968</x:v>
      </x:c>
      <x:c r="D416" s="47" t="str"/>
      <x:c r="E416" s="47" t="str"/>
      <x:c r="F416" s="47" t="str">
        <x:v>current</x:v>
      </x:c>
      <x:c r="G416" s="47" t="n">
        <x:v>412</x:v>
      </x:c>
      <x:c r="H416" s="53" t="b">
        <x:v>1</x:v>
      </x:c>
      <x:c r="I416" s="47" t="str">
        <x:v>3045069830</x:v>
      </x:c>
      <x:c r="J416" s="47" t="n">
        <x:v>34312880</x:v>
      </x:c>
      <x:c r="K416" s="53" t="b">
        <x:v>1</x:v>
      </x:c>
      <x:c r="L416" s="53" t="b">
        <x:v>1</x:v>
      </x:c>
      <x:c r="M416" s="53" t="b">
        <x:v>1</x:v>
      </x:c>
      <x:c r="N416" s="53" t="b">
        <x:v>1</x:v>
      </x:c>
      <x:c r="O416" s="53" t="b">
        <x:v>1</x:v>
      </x:c>
      <x:c r="P416" s="47" t="n">
        <x:v>1009</x:v>
      </x:c>
      <x:c r="Q416" s="47" t="n">
        <x:v>0</x:v>
      </x:c>
      <x:c r="R416" s="47" t="n">
        <x:v>0</x:v>
      </x:c>
      <x:c r="S416" s="47" t="n">
        <x:v>30.02</x:v>
      </x:c>
      <x:c r="T416" s="47" t="n">
        <x:v>57.97</x:v>
      </x:c>
      <x:c r="U416" s="47" t="n">
        <x:v>30.1</x:v>
      </x:c>
      <x:c r="V416" s="47" t="n">
        <x:v>12</x:v>
      </x:c>
      <x:c r="W416" s="47" t="n">
        <x:v>0</x:v>
      </x:c>
      <x:c r="X416" s="47" t="n">
        <x:v>0</x:v>
      </x:c>
      <x:c r="Y416" s="41" t="n">
        <x:v>0</x:v>
      </x:c>
    </x:row>
    <x:row r="417">
      <x:c r="A417" s="38" t="str">
        <x:v>7月30日现场数据</x:v>
      </x:c>
      <x:c r="B417" s="66" t="str">
        <x:v>2026-08-01T00:02:50.018000</x:v>
      </x:c>
      <x:c r="C417" s="47" t="n">
        <x:v>300968</x:v>
      </x:c>
      <x:c r="D417" s="47" t="str"/>
      <x:c r="E417" s="47" t="str"/>
      <x:c r="F417" s="47" t="str">
        <x:v>current</x:v>
      </x:c>
      <x:c r="G417" s="47" t="n">
        <x:v>413</x:v>
      </x:c>
      <x:c r="H417" s="53" t="b">
        <x:v>1</x:v>
      </x:c>
      <x:c r="I417" s="47" t="str">
        <x:v>3045069830</x:v>
      </x:c>
      <x:c r="J417" s="47" t="n">
        <x:v>34613848</x:v>
      </x:c>
      <x:c r="K417" s="53" t="b">
        <x:v>1</x:v>
      </x:c>
      <x:c r="L417" s="53" t="b">
        <x:v>1</x:v>
      </x:c>
      <x:c r="M417" s="53" t="b">
        <x:v>1</x:v>
      </x:c>
      <x:c r="N417" s="53" t="b">
        <x:v>1</x:v>
      </x:c>
      <x:c r="O417" s="53" t="b">
        <x:v>1</x:v>
      </x:c>
      <x:c r="P417" s="47" t="n">
        <x:v>1009</x:v>
      </x:c>
      <x:c r="Q417" s="47" t="n">
        <x:v>0</x:v>
      </x:c>
      <x:c r="R417" s="47" t="n">
        <x:v>0</x:v>
      </x:c>
      <x:c r="S417" s="47" t="n">
        <x:v>29.99</x:v>
      </x:c>
      <x:c r="T417" s="47" t="n">
        <x:v>57.96</x:v>
      </x:c>
      <x:c r="U417" s="47" t="n">
        <x:v>30.1</x:v>
      </x:c>
      <x:c r="V417" s="47" t="n">
        <x:v>12</x:v>
      </x:c>
      <x:c r="W417" s="47" t="n">
        <x:v>0</x:v>
      </x:c>
      <x:c r="X417" s="47" t="n">
        <x:v>0</x:v>
      </x:c>
      <x:c r="Y417" s="41" t="n">
        <x:v>0</x:v>
      </x:c>
    </x:row>
    <x:row r="418">
      <x:c r="A418" s="38" t="str">
        <x:v>7月30日现场数据</x:v>
      </x:c>
      <x:c r="B418" s="66" t="str">
        <x:v>2026-08-01T00:07:50.988000</x:v>
      </x:c>
      <x:c r="C418" s="47" t="n">
        <x:v>300970</x:v>
      </x:c>
      <x:c r="D418" s="47" t="str"/>
      <x:c r="E418" s="47" t="str"/>
      <x:c r="F418" s="47" t="str">
        <x:v>current</x:v>
      </x:c>
      <x:c r="G418" s="47" t="n">
        <x:v>414</x:v>
      </x:c>
      <x:c r="H418" s="53" t="b">
        <x:v>1</x:v>
      </x:c>
      <x:c r="I418" s="47" t="str">
        <x:v>3045069830</x:v>
      </x:c>
      <x:c r="J418" s="47" t="n">
        <x:v>34914818</x:v>
      </x:c>
      <x:c r="K418" s="53" t="b">
        <x:v>1</x:v>
      </x:c>
      <x:c r="L418" s="53" t="b">
        <x:v>1</x:v>
      </x:c>
      <x:c r="M418" s="53" t="b">
        <x:v>1</x:v>
      </x:c>
      <x:c r="N418" s="53" t="b">
        <x:v>1</x:v>
      </x:c>
      <x:c r="O418" s="53" t="b">
        <x:v>1</x:v>
      </x:c>
      <x:c r="P418" s="47" t="n">
        <x:v>1009</x:v>
      </x:c>
      <x:c r="Q418" s="47" t="n">
        <x:v>0</x:v>
      </x:c>
      <x:c r="R418" s="47" t="n">
        <x:v>0</x:v>
      </x:c>
      <x:c r="S418" s="47" t="n">
        <x:v>29.96</x:v>
      </x:c>
      <x:c r="T418" s="47" t="n">
        <x:v>58.04</x:v>
      </x:c>
      <x:c r="U418" s="47" t="n">
        <x:v>30.1</x:v>
      </x:c>
      <x:c r="V418" s="47" t="n">
        <x:v>12</x:v>
      </x:c>
      <x:c r="W418" s="47" t="n">
        <x:v>0</x:v>
      </x:c>
      <x:c r="X418" s="47" t="n">
        <x:v>0</x:v>
      </x:c>
      <x:c r="Y418" s="41" t="n">
        <x:v>0</x:v>
      </x:c>
    </x:row>
    <x:row r="419">
      <x:c r="A419" s="38" t="str">
        <x:v>7月30日现场数据</x:v>
      </x:c>
      <x:c r="B419" s="66" t="str">
        <x:v>2026-08-01T00:12:51.961000</x:v>
      </x:c>
      <x:c r="C419" s="47" t="n">
        <x:v>300973</x:v>
      </x:c>
      <x:c r="D419" s="47" t="str"/>
      <x:c r="E419" s="47" t="str"/>
      <x:c r="F419" s="47" t="str">
        <x:v>current</x:v>
      </x:c>
      <x:c r="G419" s="47" t="n">
        <x:v>415</x:v>
      </x:c>
      <x:c r="H419" s="53" t="b">
        <x:v>1</x:v>
      </x:c>
      <x:c r="I419" s="47" t="str">
        <x:v>3045069830</x:v>
      </x:c>
      <x:c r="J419" s="47" t="n">
        <x:v>35215791</x:v>
      </x:c>
      <x:c r="K419" s="53" t="b">
        <x:v>1</x:v>
      </x:c>
      <x:c r="L419" s="53" t="b">
        <x:v>1</x:v>
      </x:c>
      <x:c r="M419" s="53" t="b">
        <x:v>1</x:v>
      </x:c>
      <x:c r="N419" s="53" t="b">
        <x:v>1</x:v>
      </x:c>
      <x:c r="O419" s="53" t="b">
        <x:v>1</x:v>
      </x:c>
      <x:c r="P419" s="47" t="n">
        <x:v>1009</x:v>
      </x:c>
      <x:c r="Q419" s="47" t="n">
        <x:v>0</x:v>
      </x:c>
      <x:c r="R419" s="47" t="n">
        <x:v>0</x:v>
      </x:c>
      <x:c r="S419" s="47" t="n">
        <x:v>29.93</x:v>
      </x:c>
      <x:c r="T419" s="47" t="n">
        <x:v>58.16</x:v>
      </x:c>
      <x:c r="U419" s="47" t="n">
        <x:v>30.1</x:v>
      </x:c>
      <x:c r="V419" s="47" t="n">
        <x:v>12</x:v>
      </x:c>
      <x:c r="W419" s="47" t="n">
        <x:v>0</x:v>
      </x:c>
      <x:c r="X419" s="47" t="n">
        <x:v>0</x:v>
      </x:c>
      <x:c r="Y419" s="41" t="n">
        <x:v>0</x:v>
      </x:c>
    </x:row>
    <x:row r="420">
      <x:c r="A420" s="38" t="str">
        <x:v>7月30日现场数据</x:v>
      </x:c>
      <x:c r="B420" s="66" t="str">
        <x:v>2026-08-01T00:17:52.933000</x:v>
      </x:c>
      <x:c r="C420" s="47" t="n">
        <x:v>300972</x:v>
      </x:c>
      <x:c r="D420" s="47" t="str"/>
      <x:c r="E420" s="47" t="str"/>
      <x:c r="F420" s="47" t="str">
        <x:v>current</x:v>
      </x:c>
      <x:c r="G420" s="47" t="n">
        <x:v>416</x:v>
      </x:c>
      <x:c r="H420" s="53" t="b">
        <x:v>1</x:v>
      </x:c>
      <x:c r="I420" s="47" t="str">
        <x:v>3045069830</x:v>
      </x:c>
      <x:c r="J420" s="47" t="n">
        <x:v>35516763</x:v>
      </x:c>
      <x:c r="K420" s="53" t="b">
        <x:v>1</x:v>
      </x:c>
      <x:c r="L420" s="53" t="b">
        <x:v>1</x:v>
      </x:c>
      <x:c r="M420" s="53" t="b">
        <x:v>1</x:v>
      </x:c>
      <x:c r="N420" s="53" t="b">
        <x:v>1</x:v>
      </x:c>
      <x:c r="O420" s="53" t="b">
        <x:v>1</x:v>
      </x:c>
      <x:c r="P420" s="47" t="n">
        <x:v>1009</x:v>
      </x:c>
      <x:c r="Q420" s="47" t="n">
        <x:v>0</x:v>
      </x:c>
      <x:c r="R420" s="47" t="n">
        <x:v>0</x:v>
      </x:c>
      <x:c r="S420" s="47" t="n">
        <x:v>29.94</x:v>
      </x:c>
      <x:c r="T420" s="47" t="n">
        <x:v>58.25</x:v>
      </x:c>
      <x:c r="U420" s="47" t="n">
        <x:v>30.1</x:v>
      </x:c>
      <x:c r="V420" s="47" t="n">
        <x:v>12</x:v>
      </x:c>
      <x:c r="W420" s="47" t="n">
        <x:v>0</x:v>
      </x:c>
      <x:c r="X420" s="47" t="n">
        <x:v>0</x:v>
      </x:c>
      <x:c r="Y420" s="41" t="n">
        <x:v>0</x:v>
      </x:c>
    </x:row>
    <x:row r="421">
      <x:c r="A421" s="38" t="str">
        <x:v>7月30日现场数据</x:v>
      </x:c>
      <x:c r="B421" s="66" t="str">
        <x:v>2026-08-01T00:22:53.909000</x:v>
      </x:c>
      <x:c r="C421" s="47" t="n">
        <x:v>300976</x:v>
      </x:c>
      <x:c r="D421" s="47" t="str"/>
      <x:c r="E421" s="47" t="str"/>
      <x:c r="F421" s="47" t="str">
        <x:v>current</x:v>
      </x:c>
      <x:c r="G421" s="47" t="n">
        <x:v>417</x:v>
      </x:c>
      <x:c r="H421" s="53" t="b">
        <x:v>1</x:v>
      </x:c>
      <x:c r="I421" s="47" t="str">
        <x:v>3045069830</x:v>
      </x:c>
      <x:c r="J421" s="47" t="n">
        <x:v>35817739</x:v>
      </x:c>
      <x:c r="K421" s="53" t="b">
        <x:v>1</x:v>
      </x:c>
      <x:c r="L421" s="53" t="b">
        <x:v>1</x:v>
      </x:c>
      <x:c r="M421" s="53" t="b">
        <x:v>1</x:v>
      </x:c>
      <x:c r="N421" s="53" t="b">
        <x:v>1</x:v>
      </x:c>
      <x:c r="O421" s="53" t="b">
        <x:v>1</x:v>
      </x:c>
      <x:c r="P421" s="47" t="n">
        <x:v>1009</x:v>
      </x:c>
      <x:c r="Q421" s="47" t="n">
        <x:v>0.066</x:v>
      </x:c>
      <x:c r="R421" s="47" t="n">
        <x:v>1.78</x:v>
      </x:c>
      <x:c r="S421" s="47" t="n">
        <x:v>29.89</x:v>
      </x:c>
      <x:c r="T421" s="47" t="n">
        <x:v>58.35</x:v>
      </x:c>
      <x:c r="U421" s="47" t="n">
        <x:v>30</x:v>
      </x:c>
      <x:c r="V421" s="47" t="n">
        <x:v>12</x:v>
      </x:c>
      <x:c r="W421" s="47" t="n">
        <x:v>0</x:v>
      </x:c>
      <x:c r="X421" s="47" t="n">
        <x:v>0</x:v>
      </x:c>
      <x:c r="Y421" s="41" t="n">
        <x:v>0</x:v>
      </x:c>
    </x:row>
    <x:row r="422">
      <x:c r="A422" s="38" t="str">
        <x:v>7月30日现场数据</x:v>
      </x:c>
      <x:c r="B422" s="66" t="str">
        <x:v>2026-08-01T00:27:54.888000</x:v>
      </x:c>
      <x:c r="C422" s="47" t="n">
        <x:v>300979</x:v>
      </x:c>
      <x:c r="D422" s="47" t="str"/>
      <x:c r="E422" s="47" t="str"/>
      <x:c r="F422" s="47" t="str">
        <x:v>current</x:v>
      </x:c>
      <x:c r="G422" s="47" t="n">
        <x:v>418</x:v>
      </x:c>
      <x:c r="H422" s="53" t="b">
        <x:v>1</x:v>
      </x:c>
      <x:c r="I422" s="47" t="str">
        <x:v>3045069830</x:v>
      </x:c>
      <x:c r="J422" s="47" t="n">
        <x:v>36118718</x:v>
      </x:c>
      <x:c r="K422" s="53" t="b">
        <x:v>1</x:v>
      </x:c>
      <x:c r="L422" s="53" t="b">
        <x:v>1</x:v>
      </x:c>
      <x:c r="M422" s="53" t="b">
        <x:v>1</x:v>
      </x:c>
      <x:c r="N422" s="53" t="b">
        <x:v>1</x:v>
      </x:c>
      <x:c r="O422" s="53" t="b">
        <x:v>1</x:v>
      </x:c>
      <x:c r="P422" s="47" t="n">
        <x:v>1009</x:v>
      </x:c>
      <x:c r="Q422" s="47" t="n">
        <x:v>0</x:v>
      </x:c>
      <x:c r="R422" s="47" t="n">
        <x:v>0</x:v>
      </x:c>
      <x:c r="S422" s="47" t="n">
        <x:v>29.86</x:v>
      </x:c>
      <x:c r="T422" s="47" t="n">
        <x:v>58.44</x:v>
      </x:c>
      <x:c r="U422" s="47" t="n">
        <x:v>30</x:v>
      </x:c>
      <x:c r="V422" s="47" t="n">
        <x:v>12</x:v>
      </x:c>
      <x:c r="W422" s="47" t="n">
        <x:v>0</x:v>
      </x:c>
      <x:c r="X422" s="47" t="n">
        <x:v>0</x:v>
      </x:c>
      <x:c r="Y422" s="41" t="n">
        <x:v>0</x:v>
      </x:c>
    </x:row>
    <x:row r="423">
      <x:c r="A423" s="38" t="str">
        <x:v>7月30日现场数据</x:v>
      </x:c>
      <x:c r="B423" s="66" t="str">
        <x:v>2026-08-01T00:32:55.866000</x:v>
      </x:c>
      <x:c r="C423" s="47" t="n">
        <x:v>300978</x:v>
      </x:c>
      <x:c r="D423" s="47" t="str"/>
      <x:c r="E423" s="47" t="str"/>
      <x:c r="F423" s="47" t="str">
        <x:v>current</x:v>
      </x:c>
      <x:c r="G423" s="47" t="n">
        <x:v>419</x:v>
      </x:c>
      <x:c r="H423" s="53" t="b">
        <x:v>1</x:v>
      </x:c>
      <x:c r="I423" s="47" t="str">
        <x:v>3045069830</x:v>
      </x:c>
      <x:c r="J423" s="47" t="n">
        <x:v>36419696</x:v>
      </x:c>
      <x:c r="K423" s="53" t="b">
        <x:v>1</x:v>
      </x:c>
      <x:c r="L423" s="53" t="b">
        <x:v>1</x:v>
      </x:c>
      <x:c r="M423" s="53" t="b">
        <x:v>1</x:v>
      </x:c>
      <x:c r="N423" s="53" t="b">
        <x:v>1</x:v>
      </x:c>
      <x:c r="O423" s="53" t="b">
        <x:v>1</x:v>
      </x:c>
      <x:c r="P423" s="47" t="n">
        <x:v>1009</x:v>
      </x:c>
      <x:c r="Q423" s="47" t="n">
        <x:v>0</x:v>
      </x:c>
      <x:c r="R423" s="47" t="n">
        <x:v>0</x:v>
      </x:c>
      <x:c r="S423" s="47" t="n">
        <x:v>29.82</x:v>
      </x:c>
      <x:c r="T423" s="47" t="n">
        <x:v>58.44</x:v>
      </x:c>
      <x:c r="U423" s="47" t="n">
        <x:v>30</x:v>
      </x:c>
      <x:c r="V423" s="47" t="n">
        <x:v>12</x:v>
      </x:c>
      <x:c r="W423" s="47" t="n">
        <x:v>0</x:v>
      </x:c>
      <x:c r="X423" s="47" t="n">
        <x:v>0</x:v>
      </x:c>
      <x:c r="Y423" s="41" t="n">
        <x:v>0</x:v>
      </x:c>
    </x:row>
    <x:row r="424">
      <x:c r="A424" s="38" t="str">
        <x:v>7月30日现场数据</x:v>
      </x:c>
      <x:c r="B424" s="66" t="str">
        <x:v>2026-08-01T00:37:56.845000</x:v>
      </x:c>
      <x:c r="C424" s="47" t="n">
        <x:v>300979</x:v>
      </x:c>
      <x:c r="D424" s="47" t="str"/>
      <x:c r="E424" s="47" t="str"/>
      <x:c r="F424" s="47" t="str">
        <x:v>current</x:v>
      </x:c>
      <x:c r="G424" s="47" t="n">
        <x:v>420</x:v>
      </x:c>
      <x:c r="H424" s="53" t="b">
        <x:v>1</x:v>
      </x:c>
      <x:c r="I424" s="47" t="str">
        <x:v>3045069830</x:v>
      </x:c>
      <x:c r="J424" s="47" t="n">
        <x:v>36720675</x:v>
      </x:c>
      <x:c r="K424" s="53" t="b">
        <x:v>1</x:v>
      </x:c>
      <x:c r="L424" s="53" t="b">
        <x:v>1</x:v>
      </x:c>
      <x:c r="M424" s="53" t="b">
        <x:v>1</x:v>
      </x:c>
      <x:c r="N424" s="53" t="b">
        <x:v>1</x:v>
      </x:c>
      <x:c r="O424" s="53" t="b">
        <x:v>1</x:v>
      </x:c>
      <x:c r="P424" s="47" t="n">
        <x:v>1009</x:v>
      </x:c>
      <x:c r="Q424" s="47" t="n">
        <x:v>0</x:v>
      </x:c>
      <x:c r="R424" s="47" t="n">
        <x:v>0</x:v>
      </x:c>
      <x:c r="S424" s="47" t="n">
        <x:v>29.82</x:v>
      </x:c>
      <x:c r="T424" s="47" t="n">
        <x:v>58.63</x:v>
      </x:c>
      <x:c r="U424" s="47" t="n">
        <x:v>30</x:v>
      </x:c>
      <x:c r="V424" s="47" t="n">
        <x:v>12</x:v>
      </x:c>
      <x:c r="W424" s="47" t="n">
        <x:v>0</x:v>
      </x:c>
      <x:c r="X424" s="47" t="n">
        <x:v>0</x:v>
      </x:c>
      <x:c r="Y424" s="41" t="n">
        <x:v>0</x:v>
      </x:c>
    </x:row>
    <x:row r="425">
      <x:c r="A425" s="38" t="str">
        <x:v>7月30日现场数据</x:v>
      </x:c>
      <x:c r="B425" s="66" t="str">
        <x:v>2026-08-01T00:42:57.828000</x:v>
      </x:c>
      <x:c r="C425" s="47" t="n">
        <x:v>300983</x:v>
      </x:c>
      <x:c r="D425" s="47" t="str"/>
      <x:c r="E425" s="47" t="str"/>
      <x:c r="F425" s="47" t="str">
        <x:v>current</x:v>
      </x:c>
      <x:c r="G425" s="47" t="n">
        <x:v>421</x:v>
      </x:c>
      <x:c r="H425" s="53" t="b">
        <x:v>1</x:v>
      </x:c>
      <x:c r="I425" s="47" t="str">
        <x:v>3045069830</x:v>
      </x:c>
      <x:c r="J425" s="47" t="n">
        <x:v>37021658</x:v>
      </x:c>
      <x:c r="K425" s="53" t="b">
        <x:v>1</x:v>
      </x:c>
      <x:c r="L425" s="53" t="b">
        <x:v>1</x:v>
      </x:c>
      <x:c r="M425" s="53" t="b">
        <x:v>1</x:v>
      </x:c>
      <x:c r="N425" s="53" t="b">
        <x:v>1</x:v>
      </x:c>
      <x:c r="O425" s="53" t="b">
        <x:v>1</x:v>
      </x:c>
      <x:c r="P425" s="47" t="n">
        <x:v>1009</x:v>
      </x:c>
      <x:c r="Q425" s="47" t="n">
        <x:v>0</x:v>
      </x:c>
      <x:c r="R425" s="47" t="n">
        <x:v>0</x:v>
      </x:c>
      <x:c r="S425" s="47" t="n">
        <x:v>29.85</x:v>
      </x:c>
      <x:c r="T425" s="47" t="n">
        <x:v>58.67</x:v>
      </x:c>
      <x:c r="U425" s="47" t="n">
        <x:v>30</x:v>
      </x:c>
      <x:c r="V425" s="47" t="n">
        <x:v>12</x:v>
      </x:c>
      <x:c r="W425" s="47" t="n">
        <x:v>0</x:v>
      </x:c>
      <x:c r="X425" s="47" t="n">
        <x:v>0</x:v>
      </x:c>
      <x:c r="Y425" s="41" t="n">
        <x:v>0</x:v>
      </x:c>
    </x:row>
    <x:row r="426">
      <x:c r="A426" s="38" t="str">
        <x:v>7月30日现场数据</x:v>
      </x:c>
      <x:c r="B426" s="66" t="str">
        <x:v>2026-08-01T00:47:58.845000</x:v>
      </x:c>
      <x:c r="C426" s="47" t="n">
        <x:v>301017</x:v>
      </x:c>
      <x:c r="D426" s="47" t="str"/>
      <x:c r="E426" s="47" t="str"/>
      <x:c r="F426" s="47" t="str">
        <x:v>current</x:v>
      </x:c>
      <x:c r="G426" s="47" t="n">
        <x:v>422</x:v>
      </x:c>
      <x:c r="H426" s="53" t="b">
        <x:v>1</x:v>
      </x:c>
      <x:c r="I426" s="47" t="str">
        <x:v>3045069830</x:v>
      </x:c>
      <x:c r="J426" s="47" t="n">
        <x:v>37322675</x:v>
      </x:c>
      <x:c r="K426" s="53" t="b">
        <x:v>1</x:v>
      </x:c>
      <x:c r="L426" s="53" t="b">
        <x:v>1</x:v>
      </x:c>
      <x:c r="M426" s="53" t="b">
        <x:v>1</x:v>
      </x:c>
      <x:c r="N426" s="53" t="b">
        <x:v>1</x:v>
      </x:c>
      <x:c r="O426" s="53" t="b">
        <x:v>1</x:v>
      </x:c>
      <x:c r="P426" s="47" t="n">
        <x:v>1009</x:v>
      </x:c>
      <x:c r="Q426" s="47" t="n">
        <x:v>0</x:v>
      </x:c>
      <x:c r="R426" s="47" t="n">
        <x:v>0</x:v>
      </x:c>
      <x:c r="S426" s="47" t="n">
        <x:v>29.87</x:v>
      </x:c>
      <x:c r="T426" s="47" t="n">
        <x:v>58.75</x:v>
      </x:c>
      <x:c r="U426" s="47" t="n">
        <x:v>30</x:v>
      </x:c>
      <x:c r="V426" s="47" t="n">
        <x:v>12</x:v>
      </x:c>
      <x:c r="W426" s="47" t="n">
        <x:v>0</x:v>
      </x:c>
      <x:c r="X426" s="47" t="n">
        <x:v>0</x:v>
      </x:c>
      <x:c r="Y426" s="41" t="n">
        <x:v>0</x:v>
      </x:c>
    </x:row>
    <x:row r="427">
      <x:c r="A427" s="38" t="str">
        <x:v>7月30日现场数据</x:v>
      </x:c>
      <x:c r="B427" s="66" t="str">
        <x:v>2026-08-01T00:52:59.803000</x:v>
      </x:c>
      <x:c r="C427" s="47" t="n">
        <x:v>300958</x:v>
      </x:c>
      <x:c r="D427" s="47" t="str"/>
      <x:c r="E427" s="47" t="str"/>
      <x:c r="F427" s="47" t="str">
        <x:v>current</x:v>
      </x:c>
      <x:c r="G427" s="47" t="n">
        <x:v>423</x:v>
      </x:c>
      <x:c r="H427" s="53" t="b">
        <x:v>1</x:v>
      </x:c>
      <x:c r="I427" s="47" t="str">
        <x:v>3045069830</x:v>
      </x:c>
      <x:c r="J427" s="47" t="n">
        <x:v>37623633</x:v>
      </x:c>
      <x:c r="K427" s="53" t="b">
        <x:v>1</x:v>
      </x:c>
      <x:c r="L427" s="53" t="b">
        <x:v>1</x:v>
      </x:c>
      <x:c r="M427" s="53" t="b">
        <x:v>1</x:v>
      </x:c>
      <x:c r="N427" s="53" t="b">
        <x:v>1</x:v>
      </x:c>
      <x:c r="O427" s="53" t="b">
        <x:v>1</x:v>
      </x:c>
      <x:c r="P427" s="47" t="n">
        <x:v>1009</x:v>
      </x:c>
      <x:c r="Q427" s="47" t="n">
        <x:v>0</x:v>
      </x:c>
      <x:c r="R427" s="47" t="n">
        <x:v>0</x:v>
      </x:c>
      <x:c r="S427" s="47" t="n">
        <x:v>29.84</x:v>
      </x:c>
      <x:c r="T427" s="47" t="n">
        <x:v>58.87</x:v>
      </x:c>
      <x:c r="U427" s="47" t="n">
        <x:v>30</x:v>
      </x:c>
      <x:c r="V427" s="47" t="n">
        <x:v>12</x:v>
      </x:c>
      <x:c r="W427" s="47" t="n">
        <x:v>0</x:v>
      </x:c>
      <x:c r="X427" s="47" t="n">
        <x:v>0</x:v>
      </x:c>
      <x:c r="Y427" s="41" t="n">
        <x:v>0</x:v>
      </x:c>
    </x:row>
    <x:row r="428">
      <x:c r="A428" s="38" t="str">
        <x:v>7月30日现场数据</x:v>
      </x:c>
      <x:c r="B428" s="66" t="str">
        <x:v>2026-08-01T00:58:00.763000</x:v>
      </x:c>
      <x:c r="C428" s="47" t="n">
        <x:v>300960</x:v>
      </x:c>
      <x:c r="D428" s="47" t="str"/>
      <x:c r="E428" s="47" t="str"/>
      <x:c r="F428" s="47" t="str">
        <x:v>current</x:v>
      </x:c>
      <x:c r="G428" s="47" t="n">
        <x:v>424</x:v>
      </x:c>
      <x:c r="H428" s="53" t="b">
        <x:v>1</x:v>
      </x:c>
      <x:c r="I428" s="47" t="str">
        <x:v>3045069830</x:v>
      </x:c>
      <x:c r="J428" s="47" t="n">
        <x:v>37924593</x:v>
      </x:c>
      <x:c r="K428" s="53" t="b">
        <x:v>1</x:v>
      </x:c>
      <x:c r="L428" s="53" t="b">
        <x:v>1</x:v>
      </x:c>
      <x:c r="M428" s="53" t="b">
        <x:v>1</x:v>
      </x:c>
      <x:c r="N428" s="53" t="b">
        <x:v>1</x:v>
      </x:c>
      <x:c r="O428" s="53" t="b">
        <x:v>1</x:v>
      </x:c>
      <x:c r="P428" s="47" t="n">
        <x:v>1009</x:v>
      </x:c>
      <x:c r="Q428" s="47" t="n">
        <x:v>0</x:v>
      </x:c>
      <x:c r="R428" s="47" t="n">
        <x:v>0</x:v>
      </x:c>
      <x:c r="S428" s="47" t="n">
        <x:v>29.82</x:v>
      </x:c>
      <x:c r="T428" s="47" t="n">
        <x:v>58.98</x:v>
      </x:c>
      <x:c r="U428" s="47" t="n">
        <x:v>30</x:v>
      </x:c>
      <x:c r="V428" s="47" t="n">
        <x:v>12</x:v>
      </x:c>
      <x:c r="W428" s="47" t="n">
        <x:v>0</x:v>
      </x:c>
      <x:c r="X428" s="47" t="n">
        <x:v>0</x:v>
      </x:c>
      <x:c r="Y428" s="41" t="n">
        <x:v>0</x:v>
      </x:c>
    </x:row>
    <x:row r="429">
      <x:c r="A429" s="38" t="str">
        <x:v>7月30日现场数据</x:v>
      </x:c>
      <x:c r="B429" s="66" t="str">
        <x:v>2026-08-01T01:03:01.725000</x:v>
      </x:c>
      <x:c r="C429" s="47" t="n">
        <x:v>300962</x:v>
      </x:c>
      <x:c r="D429" s="47" t="str"/>
      <x:c r="E429" s="47" t="str"/>
      <x:c r="F429" s="47" t="str">
        <x:v>current</x:v>
      </x:c>
      <x:c r="G429" s="47" t="n">
        <x:v>425</x:v>
      </x:c>
      <x:c r="H429" s="53" t="b">
        <x:v>1</x:v>
      </x:c>
      <x:c r="I429" s="47" t="str">
        <x:v>3045069830</x:v>
      </x:c>
      <x:c r="J429" s="47" t="n">
        <x:v>38225555</x:v>
      </x:c>
      <x:c r="K429" s="53" t="b">
        <x:v>1</x:v>
      </x:c>
      <x:c r="L429" s="53" t="b">
        <x:v>1</x:v>
      </x:c>
      <x:c r="M429" s="53" t="b">
        <x:v>1</x:v>
      </x:c>
      <x:c r="N429" s="53" t="b">
        <x:v>1</x:v>
      </x:c>
      <x:c r="O429" s="53" t="b">
        <x:v>1</x:v>
      </x:c>
      <x:c r="P429" s="47" t="n">
        <x:v>1009</x:v>
      </x:c>
      <x:c r="Q429" s="47" t="n">
        <x:v>0</x:v>
      </x:c>
      <x:c r="R429" s="47" t="n">
        <x:v>0</x:v>
      </x:c>
      <x:c r="S429" s="47" t="n">
        <x:v>29.83</x:v>
      </x:c>
      <x:c r="T429" s="47" t="n">
        <x:v>59.08</x:v>
      </x:c>
      <x:c r="U429" s="47" t="n">
        <x:v>30</x:v>
      </x:c>
      <x:c r="V429" s="47" t="n">
        <x:v>12</x:v>
      </x:c>
      <x:c r="W429" s="47" t="n">
        <x:v>0</x:v>
      </x:c>
      <x:c r="X429" s="47" t="n">
        <x:v>0</x:v>
      </x:c>
      <x:c r="Y429" s="41" t="n">
        <x:v>0</x:v>
      </x:c>
    </x:row>
    <x:row r="430">
      <x:c r="A430" s="38" t="str">
        <x:v>7月30日现场数据</x:v>
      </x:c>
      <x:c r="B430" s="66" t="str">
        <x:v>2026-08-01T01:08:02.690000</x:v>
      </x:c>
      <x:c r="C430" s="47" t="n">
        <x:v>300965</x:v>
      </x:c>
      <x:c r="D430" s="47" t="str"/>
      <x:c r="E430" s="47" t="str"/>
      <x:c r="F430" s="47" t="str">
        <x:v>current</x:v>
      </x:c>
      <x:c r="G430" s="47" t="n">
        <x:v>426</x:v>
      </x:c>
      <x:c r="H430" s="53" t="b">
        <x:v>1</x:v>
      </x:c>
      <x:c r="I430" s="47" t="str">
        <x:v>3045069830</x:v>
      </x:c>
      <x:c r="J430" s="47" t="n">
        <x:v>38526520</x:v>
      </x:c>
      <x:c r="K430" s="53" t="b">
        <x:v>1</x:v>
      </x:c>
      <x:c r="L430" s="53" t="b">
        <x:v>1</x:v>
      </x:c>
      <x:c r="M430" s="53" t="b">
        <x:v>1</x:v>
      </x:c>
      <x:c r="N430" s="53" t="b">
        <x:v>1</x:v>
      </x:c>
      <x:c r="O430" s="53" t="b">
        <x:v>1</x:v>
      </x:c>
      <x:c r="P430" s="47" t="n">
        <x:v>1009</x:v>
      </x:c>
      <x:c r="Q430" s="47" t="n">
        <x:v>0</x:v>
      </x:c>
      <x:c r="R430" s="47" t="n">
        <x:v>0</x:v>
      </x:c>
      <x:c r="S430" s="47" t="n">
        <x:v>29.81</x:v>
      </x:c>
      <x:c r="T430" s="47" t="n">
        <x:v>59.18</x:v>
      </x:c>
      <x:c r="U430" s="47" t="n">
        <x:v>30</x:v>
      </x:c>
      <x:c r="V430" s="47" t="n">
        <x:v>12</x:v>
      </x:c>
      <x:c r="W430" s="47" t="n">
        <x:v>0</x:v>
      </x:c>
      <x:c r="X430" s="47" t="n">
        <x:v>0</x:v>
      </x:c>
      <x:c r="Y430" s="41" t="n">
        <x:v>0</x:v>
      </x:c>
    </x:row>
    <x:row r="431">
      <x:c r="A431" s="38" t="str">
        <x:v>7月30日现场数据</x:v>
      </x:c>
      <x:c r="B431" s="66" t="str">
        <x:v>2026-08-01T01:13:03.657000</x:v>
      </x:c>
      <x:c r="C431" s="47" t="n">
        <x:v>300967</x:v>
      </x:c>
      <x:c r="D431" s="47" t="str"/>
      <x:c r="E431" s="47" t="str"/>
      <x:c r="F431" s="47" t="str">
        <x:v>current</x:v>
      </x:c>
      <x:c r="G431" s="47" t="n">
        <x:v>427</x:v>
      </x:c>
      <x:c r="H431" s="53" t="b">
        <x:v>1</x:v>
      </x:c>
      <x:c r="I431" s="47" t="str">
        <x:v>3045069830</x:v>
      </x:c>
      <x:c r="J431" s="47" t="n">
        <x:v>38827487</x:v>
      </x:c>
      <x:c r="K431" s="53" t="b">
        <x:v>1</x:v>
      </x:c>
      <x:c r="L431" s="53" t="b">
        <x:v>1</x:v>
      </x:c>
      <x:c r="M431" s="53" t="b">
        <x:v>1</x:v>
      </x:c>
      <x:c r="N431" s="53" t="b">
        <x:v>1</x:v>
      </x:c>
      <x:c r="O431" s="53" t="b">
        <x:v>1</x:v>
      </x:c>
      <x:c r="P431" s="47" t="n">
        <x:v>1009</x:v>
      </x:c>
      <x:c r="Q431" s="47" t="n">
        <x:v>0</x:v>
      </x:c>
      <x:c r="R431" s="47" t="n">
        <x:v>0</x:v>
      </x:c>
      <x:c r="S431" s="47" t="n">
        <x:v>29.78</x:v>
      </x:c>
      <x:c r="T431" s="47" t="n">
        <x:v>59.29</x:v>
      </x:c>
      <x:c r="U431" s="47" t="n">
        <x:v>30</x:v>
      </x:c>
      <x:c r="V431" s="47" t="n">
        <x:v>12</x:v>
      </x:c>
      <x:c r="W431" s="47" t="n">
        <x:v>0</x:v>
      </x:c>
      <x:c r="X431" s="47" t="n">
        <x:v>0</x:v>
      </x:c>
      <x:c r="Y431" s="41" t="n">
        <x:v>0</x:v>
      </x:c>
    </x:row>
    <x:row r="432">
      <x:c r="A432" s="38" t="str">
        <x:v>7月30日现场数据</x:v>
      </x:c>
      <x:c r="B432" s="66" t="str">
        <x:v>2026-08-01T01:18:04.625000</x:v>
      </x:c>
      <x:c r="C432" s="47" t="n">
        <x:v>300968</x:v>
      </x:c>
      <x:c r="D432" s="47" t="str"/>
      <x:c r="E432" s="47" t="str"/>
      <x:c r="F432" s="47" t="str">
        <x:v>current</x:v>
      </x:c>
      <x:c r="G432" s="47" t="n">
        <x:v>428</x:v>
      </x:c>
      <x:c r="H432" s="53" t="b">
        <x:v>1</x:v>
      </x:c>
      <x:c r="I432" s="47" t="str">
        <x:v>3045069830</x:v>
      </x:c>
      <x:c r="J432" s="47" t="n">
        <x:v>39128455</x:v>
      </x:c>
      <x:c r="K432" s="53" t="b">
        <x:v>1</x:v>
      </x:c>
      <x:c r="L432" s="53" t="b">
        <x:v>1</x:v>
      </x:c>
      <x:c r="M432" s="53" t="b">
        <x:v>1</x:v>
      </x:c>
      <x:c r="N432" s="53" t="b">
        <x:v>1</x:v>
      </x:c>
      <x:c r="O432" s="53" t="b">
        <x:v>1</x:v>
      </x:c>
      <x:c r="P432" s="47" t="n">
        <x:v>1009</x:v>
      </x:c>
      <x:c r="Q432" s="47" t="n">
        <x:v>0</x:v>
      </x:c>
      <x:c r="R432" s="47" t="n">
        <x:v>0</x:v>
      </x:c>
      <x:c r="S432" s="47" t="n">
        <x:v>29.76</x:v>
      </x:c>
      <x:c r="T432" s="47" t="n">
        <x:v>59.38</x:v>
      </x:c>
      <x:c r="U432" s="47" t="n">
        <x:v>30</x:v>
      </x:c>
      <x:c r="V432" s="47" t="n">
        <x:v>12</x:v>
      </x:c>
      <x:c r="W432" s="47" t="n">
        <x:v>0</x:v>
      </x:c>
      <x:c r="X432" s="47" t="n">
        <x:v>0</x:v>
      </x:c>
      <x:c r="Y432" s="41" t="n">
        <x:v>0</x:v>
      </x:c>
    </x:row>
    <x:row r="433">
      <x:c r="A433" s="38" t="str">
        <x:v>7月30日现场数据</x:v>
      </x:c>
      <x:c r="B433" s="66" t="str">
        <x:v>2026-08-01T01:23:05.594000</x:v>
      </x:c>
      <x:c r="C433" s="47" t="n">
        <x:v>300969</x:v>
      </x:c>
      <x:c r="D433" s="47" t="str"/>
      <x:c r="E433" s="47" t="str"/>
      <x:c r="F433" s="47" t="str">
        <x:v>current</x:v>
      </x:c>
      <x:c r="G433" s="47" t="n">
        <x:v>429</x:v>
      </x:c>
      <x:c r="H433" s="53" t="b">
        <x:v>1</x:v>
      </x:c>
      <x:c r="I433" s="47" t="str">
        <x:v>3045069830</x:v>
      </x:c>
      <x:c r="J433" s="47" t="n">
        <x:v>39429424</x:v>
      </x:c>
      <x:c r="K433" s="53" t="b">
        <x:v>1</x:v>
      </x:c>
      <x:c r="L433" s="53" t="b">
        <x:v>1</x:v>
      </x:c>
      <x:c r="M433" s="53" t="b">
        <x:v>1</x:v>
      </x:c>
      <x:c r="N433" s="53" t="b">
        <x:v>1</x:v>
      </x:c>
      <x:c r="O433" s="53" t="b">
        <x:v>1</x:v>
      </x:c>
      <x:c r="P433" s="47" t="n">
        <x:v>1009</x:v>
      </x:c>
      <x:c r="Q433" s="47" t="n">
        <x:v>0</x:v>
      </x:c>
      <x:c r="R433" s="47" t="n">
        <x:v>0</x:v>
      </x:c>
      <x:c r="S433" s="47" t="n">
        <x:v>29.7</x:v>
      </x:c>
      <x:c r="T433" s="47" t="n">
        <x:v>59.48</x:v>
      </x:c>
      <x:c r="U433" s="47" t="n">
        <x:v>30</x:v>
      </x:c>
      <x:c r="V433" s="47" t="n">
        <x:v>12</x:v>
      </x:c>
      <x:c r="W433" s="47" t="n">
        <x:v>0</x:v>
      </x:c>
      <x:c r="X433" s="47" t="n">
        <x:v>0</x:v>
      </x:c>
      <x:c r="Y433" s="41" t="n">
        <x:v>0</x:v>
      </x:c>
    </x:row>
    <x:row r="434">
      <x:c r="A434" s="38" t="str">
        <x:v>7月30日现场数据</x:v>
      </x:c>
      <x:c r="B434" s="66" t="str">
        <x:v>2026-08-01T01:28:06.567000</x:v>
      </x:c>
      <x:c r="C434" s="47" t="n">
        <x:v>300973</x:v>
      </x:c>
      <x:c r="D434" s="47" t="str"/>
      <x:c r="E434" s="47" t="str"/>
      <x:c r="F434" s="47" t="str">
        <x:v>current</x:v>
      </x:c>
      <x:c r="G434" s="47" t="n">
        <x:v>430</x:v>
      </x:c>
      <x:c r="H434" s="53" t="b">
        <x:v>1</x:v>
      </x:c>
      <x:c r="I434" s="47" t="str">
        <x:v>3045069830</x:v>
      </x:c>
      <x:c r="J434" s="47" t="n">
        <x:v>39730397</x:v>
      </x:c>
      <x:c r="K434" s="53" t="b">
        <x:v>1</x:v>
      </x:c>
      <x:c r="L434" s="53" t="b">
        <x:v>1</x:v>
      </x:c>
      <x:c r="M434" s="53" t="b">
        <x:v>1</x:v>
      </x:c>
      <x:c r="N434" s="53" t="b">
        <x:v>1</x:v>
      </x:c>
      <x:c r="O434" s="53" t="b">
        <x:v>1</x:v>
      </x:c>
      <x:c r="P434" s="47" t="n">
        <x:v>1009</x:v>
      </x:c>
      <x:c r="Q434" s="47" t="n">
        <x:v>0</x:v>
      </x:c>
      <x:c r="R434" s="47" t="n">
        <x:v>0</x:v>
      </x:c>
      <x:c r="S434" s="47" t="n">
        <x:v>29.7</x:v>
      </x:c>
      <x:c r="T434" s="47" t="n">
        <x:v>59.58</x:v>
      </x:c>
      <x:c r="U434" s="47" t="n">
        <x:v>30</x:v>
      </x:c>
      <x:c r="V434" s="47" t="n">
        <x:v>12</x:v>
      </x:c>
      <x:c r="W434" s="47" t="n">
        <x:v>0</x:v>
      </x:c>
      <x:c r="X434" s="47" t="n">
        <x:v>0</x:v>
      </x:c>
      <x:c r="Y434" s="41" t="n">
        <x:v>0</x:v>
      </x:c>
    </x:row>
    <x:row r="435">
      <x:c r="A435" s="38" t="str">
        <x:v>7月30日现场数据</x:v>
      </x:c>
      <x:c r="B435" s="66" t="str">
        <x:v>2026-08-01T01:33:07.540000</x:v>
      </x:c>
      <x:c r="C435" s="47" t="n">
        <x:v>300973</x:v>
      </x:c>
      <x:c r="D435" s="47" t="str"/>
      <x:c r="E435" s="47" t="str"/>
      <x:c r="F435" s="47" t="str">
        <x:v>current</x:v>
      </x:c>
      <x:c r="G435" s="47" t="n">
        <x:v>431</x:v>
      </x:c>
      <x:c r="H435" s="53" t="b">
        <x:v>1</x:v>
      </x:c>
      <x:c r="I435" s="47" t="str">
        <x:v>3045069830</x:v>
      </x:c>
      <x:c r="J435" s="47" t="n">
        <x:v>40031370</x:v>
      </x:c>
      <x:c r="K435" s="53" t="b">
        <x:v>1</x:v>
      </x:c>
      <x:c r="L435" s="53" t="b">
        <x:v>1</x:v>
      </x:c>
      <x:c r="M435" s="53" t="b">
        <x:v>1</x:v>
      </x:c>
      <x:c r="N435" s="53" t="b">
        <x:v>1</x:v>
      </x:c>
      <x:c r="O435" s="53" t="b">
        <x:v>1</x:v>
      </x:c>
      <x:c r="P435" s="47" t="n">
        <x:v>1009</x:v>
      </x:c>
      <x:c r="Q435" s="47" t="n">
        <x:v>0</x:v>
      </x:c>
      <x:c r="R435" s="47" t="n">
        <x:v>0</x:v>
      </x:c>
      <x:c r="S435" s="47" t="n">
        <x:v>29.67</x:v>
      </x:c>
      <x:c r="T435" s="47" t="n">
        <x:v>59.65</x:v>
      </x:c>
      <x:c r="U435" s="47" t="n">
        <x:v>30</x:v>
      </x:c>
      <x:c r="V435" s="47" t="n">
        <x:v>12</x:v>
      </x:c>
      <x:c r="W435" s="47" t="n">
        <x:v>0</x:v>
      </x:c>
      <x:c r="X435" s="47" t="n">
        <x:v>0</x:v>
      </x:c>
      <x:c r="Y435" s="41" t="n">
        <x:v>0</x:v>
      </x:c>
    </x:row>
    <x:row r="436">
      <x:c r="A436" s="38" t="str">
        <x:v>7月30日现场数据</x:v>
      </x:c>
      <x:c r="B436" s="66" t="str">
        <x:v>2026-08-01T01:38:08.517000</x:v>
      </x:c>
      <x:c r="C436" s="47" t="n">
        <x:v>300977</x:v>
      </x:c>
      <x:c r="D436" s="47" t="str"/>
      <x:c r="E436" s="47" t="str"/>
      <x:c r="F436" s="47" t="str">
        <x:v>current</x:v>
      </x:c>
      <x:c r="G436" s="47" t="n">
        <x:v>432</x:v>
      </x:c>
      <x:c r="H436" s="53" t="b">
        <x:v>1</x:v>
      </x:c>
      <x:c r="I436" s="47" t="str">
        <x:v>3045069830</x:v>
      </x:c>
      <x:c r="J436" s="47" t="n">
        <x:v>40332347</x:v>
      </x:c>
      <x:c r="K436" s="53" t="b">
        <x:v>1</x:v>
      </x:c>
      <x:c r="L436" s="53" t="b">
        <x:v>1</x:v>
      </x:c>
      <x:c r="M436" s="53" t="b">
        <x:v>1</x:v>
      </x:c>
      <x:c r="N436" s="53" t="b">
        <x:v>1</x:v>
      </x:c>
      <x:c r="O436" s="53" t="b">
        <x:v>1</x:v>
      </x:c>
      <x:c r="P436" s="47" t="n">
        <x:v>1009</x:v>
      </x:c>
      <x:c r="Q436" s="47" t="n">
        <x:v>0.01</x:v>
      </x:c>
      <x:c r="R436" s="47" t="n">
        <x:v>0.264</x:v>
      </x:c>
      <x:c r="S436" s="47" t="n">
        <x:v>29.71</x:v>
      </x:c>
      <x:c r="T436" s="47" t="n">
        <x:v>59.72</x:v>
      </x:c>
      <x:c r="U436" s="47" t="n">
        <x:v>30</x:v>
      </x:c>
      <x:c r="V436" s="47" t="n">
        <x:v>12</x:v>
      </x:c>
      <x:c r="W436" s="47" t="n">
        <x:v>0</x:v>
      </x:c>
      <x:c r="X436" s="47" t="n">
        <x:v>0</x:v>
      </x:c>
      <x:c r="Y436" s="41" t="n">
        <x:v>0</x:v>
      </x:c>
    </x:row>
    <x:row r="437">
      <x:c r="A437" s="38" t="str">
        <x:v>7月30日现场数据</x:v>
      </x:c>
      <x:c r="B437" s="66" t="str">
        <x:v>2026-08-01T01:43:09.495000</x:v>
      </x:c>
      <x:c r="C437" s="47" t="n">
        <x:v>300978</x:v>
      </x:c>
      <x:c r="D437" s="47" t="str"/>
      <x:c r="E437" s="47" t="str"/>
      <x:c r="F437" s="47" t="str">
        <x:v>current</x:v>
      </x:c>
      <x:c r="G437" s="47" t="n">
        <x:v>433</x:v>
      </x:c>
      <x:c r="H437" s="53" t="b">
        <x:v>1</x:v>
      </x:c>
      <x:c r="I437" s="47" t="str">
        <x:v>3045069830</x:v>
      </x:c>
      <x:c r="J437" s="47" t="n">
        <x:v>40633325</x:v>
      </x:c>
      <x:c r="K437" s="53" t="b">
        <x:v>1</x:v>
      </x:c>
      <x:c r="L437" s="53" t="b">
        <x:v>1</x:v>
      </x:c>
      <x:c r="M437" s="53" t="b">
        <x:v>1</x:v>
      </x:c>
      <x:c r="N437" s="53" t="b">
        <x:v>1</x:v>
      </x:c>
      <x:c r="O437" s="53" t="b">
        <x:v>1</x:v>
      </x:c>
      <x:c r="P437" s="47" t="n">
        <x:v>1009</x:v>
      </x:c>
      <x:c r="Q437" s="47" t="n">
        <x:v>0</x:v>
      </x:c>
      <x:c r="R437" s="47" t="n">
        <x:v>0</x:v>
      </x:c>
      <x:c r="S437" s="47" t="n">
        <x:v>29.77</x:v>
      </x:c>
      <x:c r="T437" s="47" t="n">
        <x:v>59.83</x:v>
      </x:c>
      <x:c r="U437" s="47" t="n">
        <x:v>30</x:v>
      </x:c>
      <x:c r="V437" s="47" t="n">
        <x:v>12</x:v>
      </x:c>
      <x:c r="W437" s="47" t="n">
        <x:v>0</x:v>
      </x:c>
      <x:c r="X437" s="47" t="n">
        <x:v>0</x:v>
      </x:c>
      <x:c r="Y437" s="41" t="n">
        <x:v>0</x:v>
      </x:c>
    </x:row>
    <x:row r="438">
      <x:c r="A438" s="38" t="str">
        <x:v>7月30日现场数据</x:v>
      </x:c>
      <x:c r="B438" s="66" t="str">
        <x:v>2026-08-01T01:48:10.476000</x:v>
      </x:c>
      <x:c r="C438" s="47" t="n">
        <x:v>300981</x:v>
      </x:c>
      <x:c r="D438" s="47" t="str"/>
      <x:c r="E438" s="47" t="str"/>
      <x:c r="F438" s="47" t="str">
        <x:v>current</x:v>
      </x:c>
      <x:c r="G438" s="47" t="n">
        <x:v>434</x:v>
      </x:c>
      <x:c r="H438" s="53" t="b">
        <x:v>1</x:v>
      </x:c>
      <x:c r="I438" s="47" t="str">
        <x:v>3045069830</x:v>
      </x:c>
      <x:c r="J438" s="47" t="n">
        <x:v>40934306</x:v>
      </x:c>
      <x:c r="K438" s="53" t="b">
        <x:v>1</x:v>
      </x:c>
      <x:c r="L438" s="53" t="b">
        <x:v>1</x:v>
      </x:c>
      <x:c r="M438" s="53" t="b">
        <x:v>1</x:v>
      </x:c>
      <x:c r="N438" s="53" t="b">
        <x:v>1</x:v>
      </x:c>
      <x:c r="O438" s="53" t="b">
        <x:v>1</x:v>
      </x:c>
      <x:c r="P438" s="47" t="n">
        <x:v>1009</x:v>
      </x:c>
      <x:c r="Q438" s="47" t="n">
        <x:v>0.042</x:v>
      </x:c>
      <x:c r="R438" s="47" t="n">
        <x:v>1.121</x:v>
      </x:c>
      <x:c r="S438" s="47" t="n">
        <x:v>29.79</x:v>
      </x:c>
      <x:c r="T438" s="47" t="n">
        <x:v>59.96</x:v>
      </x:c>
      <x:c r="U438" s="47" t="n">
        <x:v>30</x:v>
      </x:c>
      <x:c r="V438" s="47" t="n">
        <x:v>12</x:v>
      </x:c>
      <x:c r="W438" s="47" t="n">
        <x:v>0</x:v>
      </x:c>
      <x:c r="X438" s="47" t="n">
        <x:v>0</x:v>
      </x:c>
      <x:c r="Y438" s="41" t="n">
        <x:v>0</x:v>
      </x:c>
    </x:row>
    <x:row r="439">
      <x:c r="A439" s="38" t="str">
        <x:v>7月30日现场数据</x:v>
      </x:c>
      <x:c r="B439" s="66" t="str">
        <x:v>2026-08-01T01:53:11.459000</x:v>
      </x:c>
      <x:c r="C439" s="47" t="n">
        <x:v>300983</x:v>
      </x:c>
      <x:c r="D439" s="47" t="str"/>
      <x:c r="E439" s="47" t="str"/>
      <x:c r="F439" s="47" t="str">
        <x:v>current</x:v>
      </x:c>
      <x:c r="G439" s="47" t="n">
        <x:v>435</x:v>
      </x:c>
      <x:c r="H439" s="53" t="b">
        <x:v>1</x:v>
      </x:c>
      <x:c r="I439" s="47" t="str">
        <x:v>3045069830</x:v>
      </x:c>
      <x:c r="J439" s="47" t="n">
        <x:v>41235289</x:v>
      </x:c>
      <x:c r="K439" s="53" t="b">
        <x:v>1</x:v>
      </x:c>
      <x:c r="L439" s="53" t="b">
        <x:v>1</x:v>
      </x:c>
      <x:c r="M439" s="53" t="b">
        <x:v>1</x:v>
      </x:c>
      <x:c r="N439" s="53" t="b">
        <x:v>1</x:v>
      </x:c>
      <x:c r="O439" s="53" t="b">
        <x:v>1</x:v>
      </x:c>
      <x:c r="P439" s="47" t="n">
        <x:v>1009</x:v>
      </x:c>
      <x:c r="Q439" s="47" t="n">
        <x:v>0</x:v>
      </x:c>
      <x:c r="R439" s="47" t="n">
        <x:v>0</x:v>
      </x:c>
      <x:c r="S439" s="47" t="n">
        <x:v>29.77</x:v>
      </x:c>
      <x:c r="T439" s="47" t="n">
        <x:v>60.03</x:v>
      </x:c>
      <x:c r="U439" s="47" t="n">
        <x:v>30</x:v>
      </x:c>
      <x:c r="V439" s="47" t="n">
        <x:v>12</x:v>
      </x:c>
      <x:c r="W439" s="47" t="n">
        <x:v>0</x:v>
      </x:c>
      <x:c r="X439" s="47" t="n">
        <x:v>0</x:v>
      </x:c>
      <x:c r="Y439" s="41" t="n">
        <x:v>0</x:v>
      </x:c>
    </x:row>
    <x:row r="440">
      <x:c r="A440" s="38" t="str">
        <x:v>7月30日现场数据</x:v>
      </x:c>
      <x:c r="B440" s="66" t="str">
        <x:v>2026-08-01T01:58:12.442000</x:v>
      </x:c>
      <x:c r="C440" s="47" t="n">
        <x:v>300983</x:v>
      </x:c>
      <x:c r="D440" s="47" t="str"/>
      <x:c r="E440" s="47" t="str"/>
      <x:c r="F440" s="47" t="str">
        <x:v>current</x:v>
      </x:c>
      <x:c r="G440" s="47" t="n">
        <x:v>436</x:v>
      </x:c>
      <x:c r="H440" s="53" t="b">
        <x:v>1</x:v>
      </x:c>
      <x:c r="I440" s="47" t="str">
        <x:v>3045069830</x:v>
      </x:c>
      <x:c r="J440" s="47" t="n">
        <x:v>41536272</x:v>
      </x:c>
      <x:c r="K440" s="53" t="b">
        <x:v>1</x:v>
      </x:c>
      <x:c r="L440" s="53" t="b">
        <x:v>1</x:v>
      </x:c>
      <x:c r="M440" s="53" t="b">
        <x:v>1</x:v>
      </x:c>
      <x:c r="N440" s="53" t="b">
        <x:v>1</x:v>
      </x:c>
      <x:c r="O440" s="53" t="b">
        <x:v>1</x:v>
      </x:c>
      <x:c r="P440" s="47" t="n">
        <x:v>1009</x:v>
      </x:c>
      <x:c r="Q440" s="47" t="n">
        <x:v>0</x:v>
      </x:c>
      <x:c r="R440" s="47" t="n">
        <x:v>0</x:v>
      </x:c>
      <x:c r="S440" s="47" t="n">
        <x:v>29.77</x:v>
      </x:c>
      <x:c r="T440" s="47" t="n">
        <x:v>60.17</x:v>
      </x:c>
      <x:c r="U440" s="47" t="n">
        <x:v>30</x:v>
      </x:c>
      <x:c r="V440" s="47" t="n">
        <x:v>12</x:v>
      </x:c>
      <x:c r="W440" s="47" t="n">
        <x:v>0</x:v>
      </x:c>
      <x:c r="X440" s="47" t="n">
        <x:v>0</x:v>
      </x:c>
      <x:c r="Y440" s="41" t="n">
        <x:v>0</x:v>
      </x:c>
    </x:row>
    <x:row r="441">
      <x:c r="A441" s="38" t="str">
        <x:v>7月30日现场数据</x:v>
      </x:c>
      <x:c r="B441" s="66" t="str">
        <x:v>2026-08-01T02:03:13.427000</x:v>
      </x:c>
      <x:c r="C441" s="47" t="n">
        <x:v>300985</x:v>
      </x:c>
      <x:c r="D441" s="47" t="str"/>
      <x:c r="E441" s="47" t="str"/>
      <x:c r="F441" s="47" t="str">
        <x:v>current</x:v>
      </x:c>
      <x:c r="G441" s="47" t="n">
        <x:v>437</x:v>
      </x:c>
      <x:c r="H441" s="53" t="b">
        <x:v>1</x:v>
      </x:c>
      <x:c r="I441" s="47" t="str">
        <x:v>3045069830</x:v>
      </x:c>
      <x:c r="J441" s="47" t="n">
        <x:v>41837257</x:v>
      </x:c>
      <x:c r="K441" s="53" t="b">
        <x:v>1</x:v>
      </x:c>
      <x:c r="L441" s="53" t="b">
        <x:v>1</x:v>
      </x:c>
      <x:c r="M441" s="53" t="b">
        <x:v>1</x:v>
      </x:c>
      <x:c r="N441" s="53" t="b">
        <x:v>1</x:v>
      </x:c>
      <x:c r="O441" s="53" t="b">
        <x:v>1</x:v>
      </x:c>
      <x:c r="P441" s="47" t="n">
        <x:v>1009</x:v>
      </x:c>
      <x:c r="Q441" s="47" t="n">
        <x:v>0.011</x:v>
      </x:c>
      <x:c r="R441" s="47" t="n">
        <x:v>0.297</x:v>
      </x:c>
      <x:c r="S441" s="47" t="n">
        <x:v>29.77</x:v>
      </x:c>
      <x:c r="T441" s="47" t="n">
        <x:v>60.27</x:v>
      </x:c>
      <x:c r="U441" s="47" t="n">
        <x:v>30</x:v>
      </x:c>
      <x:c r="V441" s="47" t="n">
        <x:v>12</x:v>
      </x:c>
      <x:c r="W441" s="47" t="n">
        <x:v>0</x:v>
      </x:c>
      <x:c r="X441" s="47" t="n">
        <x:v>0</x:v>
      </x:c>
      <x:c r="Y441" s="41" t="n">
        <x:v>0</x:v>
      </x:c>
    </x:row>
    <x:row r="442">
      <x:c r="A442" s="38" t="str">
        <x:v>7月30日现场数据</x:v>
      </x:c>
      <x:c r="B442" s="66" t="str">
        <x:v>2026-08-01T02:08:14.448000</x:v>
      </x:c>
      <x:c r="C442" s="47" t="n">
        <x:v>301021</x:v>
      </x:c>
      <x:c r="D442" s="47" t="str"/>
      <x:c r="E442" s="47" t="str"/>
      <x:c r="F442" s="47" t="str">
        <x:v>current</x:v>
      </x:c>
      <x:c r="G442" s="47" t="n">
        <x:v>438</x:v>
      </x:c>
      <x:c r="H442" s="53" t="b">
        <x:v>1</x:v>
      </x:c>
      <x:c r="I442" s="47" t="str">
        <x:v>3045069830</x:v>
      </x:c>
      <x:c r="J442" s="47" t="n">
        <x:v>42138278</x:v>
      </x:c>
      <x:c r="K442" s="53" t="b">
        <x:v>1</x:v>
      </x:c>
      <x:c r="L442" s="53" t="b">
        <x:v>1</x:v>
      </x:c>
      <x:c r="M442" s="53" t="b">
        <x:v>1</x:v>
      </x:c>
      <x:c r="N442" s="53" t="b">
        <x:v>1</x:v>
      </x:c>
      <x:c r="O442" s="53" t="b">
        <x:v>1</x:v>
      </x:c>
      <x:c r="P442" s="47" t="n">
        <x:v>1009</x:v>
      </x:c>
      <x:c r="Q442" s="47" t="n">
        <x:v>0</x:v>
      </x:c>
      <x:c r="R442" s="47" t="n">
        <x:v>0</x:v>
      </x:c>
      <x:c r="S442" s="47" t="n">
        <x:v>29.74</x:v>
      </x:c>
      <x:c r="T442" s="47" t="n">
        <x:v>60.38</x:v>
      </x:c>
      <x:c r="U442" s="47" t="n">
        <x:v>29.9</x:v>
      </x:c>
      <x:c r="V442" s="47" t="n">
        <x:v>12</x:v>
      </x:c>
      <x:c r="W442" s="47" t="n">
        <x:v>0</x:v>
      </x:c>
      <x:c r="X442" s="47" t="n">
        <x:v>0</x:v>
      </x:c>
      <x:c r="Y442" s="41" t="n">
        <x:v>0</x:v>
      </x:c>
    </x:row>
    <x:row r="443">
      <x:c r="A443" s="38" t="str">
        <x:v>7月30日现场数据</x:v>
      </x:c>
      <x:c r="B443" s="66" t="str">
        <x:v>2026-08-01T02:13:15.409000</x:v>
      </x:c>
      <x:c r="C443" s="47" t="n">
        <x:v>300961</x:v>
      </x:c>
      <x:c r="D443" s="47" t="str"/>
      <x:c r="E443" s="47" t="str"/>
      <x:c r="F443" s="47" t="str">
        <x:v>current</x:v>
      </x:c>
      <x:c r="G443" s="47" t="n">
        <x:v>439</x:v>
      </x:c>
      <x:c r="H443" s="53" t="b">
        <x:v>1</x:v>
      </x:c>
      <x:c r="I443" s="47" t="str">
        <x:v>3045069830</x:v>
      </x:c>
      <x:c r="J443" s="47" t="n">
        <x:v>42439239</x:v>
      </x:c>
      <x:c r="K443" s="53" t="b">
        <x:v>1</x:v>
      </x:c>
      <x:c r="L443" s="53" t="b">
        <x:v>1</x:v>
      </x:c>
      <x:c r="M443" s="53" t="b">
        <x:v>1</x:v>
      </x:c>
      <x:c r="N443" s="53" t="b">
        <x:v>1</x:v>
      </x:c>
      <x:c r="O443" s="53" t="b">
        <x:v>1</x:v>
      </x:c>
      <x:c r="P443" s="47" t="n">
        <x:v>1009</x:v>
      </x:c>
      <x:c r="Q443" s="47" t="n">
        <x:v>0.009</x:v>
      </x:c>
      <x:c r="R443" s="47" t="n">
        <x:v>0.231</x:v>
      </x:c>
      <x:c r="S443" s="47" t="n">
        <x:v>29.72</x:v>
      </x:c>
      <x:c r="T443" s="47" t="n">
        <x:v>60.45</x:v>
      </x:c>
      <x:c r="U443" s="47" t="n">
        <x:v>30</x:v>
      </x:c>
      <x:c r="V443" s="47" t="n">
        <x:v>12</x:v>
      </x:c>
      <x:c r="W443" s="47" t="n">
        <x:v>0</x:v>
      </x:c>
      <x:c r="X443" s="47" t="n">
        <x:v>0</x:v>
      </x:c>
      <x:c r="Y443" s="41" t="n">
        <x:v>0</x:v>
      </x:c>
    </x:row>
    <x:row r="444">
      <x:c r="A444" s="38" t="str">
        <x:v>7月30日现场数据</x:v>
      </x:c>
      <x:c r="B444" s="66" t="str">
        <x:v>2026-08-01T02:18:16.371000</x:v>
      </x:c>
      <x:c r="C444" s="47" t="n">
        <x:v>300962</x:v>
      </x:c>
      <x:c r="D444" s="47" t="str"/>
      <x:c r="E444" s="47" t="str"/>
      <x:c r="F444" s="47" t="str">
        <x:v>current</x:v>
      </x:c>
      <x:c r="G444" s="47" t="n">
        <x:v>440</x:v>
      </x:c>
      <x:c r="H444" s="53" t="b">
        <x:v>1</x:v>
      </x:c>
      <x:c r="I444" s="47" t="str">
        <x:v>3045069830</x:v>
      </x:c>
      <x:c r="J444" s="47" t="n">
        <x:v>42740201</x:v>
      </x:c>
      <x:c r="K444" s="53" t="b">
        <x:v>1</x:v>
      </x:c>
      <x:c r="L444" s="53" t="b">
        <x:v>1</x:v>
      </x:c>
      <x:c r="M444" s="53" t="b">
        <x:v>1</x:v>
      </x:c>
      <x:c r="N444" s="53" t="b">
        <x:v>1</x:v>
      </x:c>
      <x:c r="O444" s="53" t="b">
        <x:v>1</x:v>
      </x:c>
      <x:c r="P444" s="47" t="n">
        <x:v>1009</x:v>
      </x:c>
      <x:c r="Q444" s="47" t="n">
        <x:v>0</x:v>
      </x:c>
      <x:c r="R444" s="47" t="n">
        <x:v>0</x:v>
      </x:c>
      <x:c r="S444" s="47" t="n">
        <x:v>29.72</x:v>
      </x:c>
      <x:c r="T444" s="47" t="n">
        <x:v>60.58</x:v>
      </x:c>
      <x:c r="U444" s="47" t="n">
        <x:v>30</x:v>
      </x:c>
      <x:c r="V444" s="47" t="n">
        <x:v>12</x:v>
      </x:c>
      <x:c r="W444" s="47" t="n">
        <x:v>0</x:v>
      </x:c>
      <x:c r="X444" s="47" t="n">
        <x:v>0</x:v>
      </x:c>
      <x:c r="Y444" s="41" t="n">
        <x:v>0</x:v>
      </x:c>
    </x:row>
    <x:row r="445">
      <x:c r="A445" s="38" t="str">
        <x:v>7月30日现场数据</x:v>
      </x:c>
      <x:c r="B445" s="66" t="str">
        <x:v>2026-08-01T02:23:17.338000</x:v>
      </x:c>
      <x:c r="C445" s="47" t="n">
        <x:v>300967</x:v>
      </x:c>
      <x:c r="D445" s="47" t="str"/>
      <x:c r="E445" s="47" t="str"/>
      <x:c r="F445" s="47" t="str">
        <x:v>current</x:v>
      </x:c>
      <x:c r="G445" s="47" t="n">
        <x:v>441</x:v>
      </x:c>
      <x:c r="H445" s="53" t="b">
        <x:v>1</x:v>
      </x:c>
      <x:c r="I445" s="47" t="str">
        <x:v>3045069830</x:v>
      </x:c>
      <x:c r="J445" s="47" t="n">
        <x:v>43041168</x:v>
      </x:c>
      <x:c r="K445" s="53" t="b">
        <x:v>1</x:v>
      </x:c>
      <x:c r="L445" s="53" t="b">
        <x:v>1</x:v>
      </x:c>
      <x:c r="M445" s="53" t="b">
        <x:v>1</x:v>
      </x:c>
      <x:c r="N445" s="53" t="b">
        <x:v>1</x:v>
      </x:c>
      <x:c r="O445" s="53" t="b">
        <x:v>1</x:v>
      </x:c>
      <x:c r="P445" s="47" t="n">
        <x:v>1009</x:v>
      </x:c>
      <x:c r="Q445" s="47" t="n">
        <x:v>0.015</x:v>
      </x:c>
      <x:c r="R445" s="47" t="n">
        <x:v>0.396</x:v>
      </x:c>
      <x:c r="S445" s="47" t="n">
        <x:v>29.67</x:v>
      </x:c>
      <x:c r="T445" s="47" t="n">
        <x:v>60.65</x:v>
      </x:c>
      <x:c r="U445" s="47" t="n">
        <x:v>29.9</x:v>
      </x:c>
      <x:c r="V445" s="47" t="n">
        <x:v>12</x:v>
      </x:c>
      <x:c r="W445" s="47" t="n">
        <x:v>0</x:v>
      </x:c>
      <x:c r="X445" s="47" t="n">
        <x:v>0</x:v>
      </x:c>
      <x:c r="Y445" s="41" t="n">
        <x:v>0</x:v>
      </x:c>
    </x:row>
    <x:row r="446">
      <x:c r="A446" s="38" t="str">
        <x:v>7月30日现场数据</x:v>
      </x:c>
      <x:c r="B446" s="66" t="str">
        <x:v>2026-08-01T02:28:18.307000</x:v>
      </x:c>
      <x:c r="C446" s="47" t="n">
        <x:v>300969</x:v>
      </x:c>
      <x:c r="D446" s="47" t="str"/>
      <x:c r="E446" s="47" t="str"/>
      <x:c r="F446" s="47" t="str">
        <x:v>current</x:v>
      </x:c>
      <x:c r="G446" s="47" t="n">
        <x:v>442</x:v>
      </x:c>
      <x:c r="H446" s="53" t="b">
        <x:v>1</x:v>
      </x:c>
      <x:c r="I446" s="47" t="str">
        <x:v>3045069830</x:v>
      </x:c>
      <x:c r="J446" s="47" t="n">
        <x:v>43342137</x:v>
      </x:c>
      <x:c r="K446" s="53" t="b">
        <x:v>1</x:v>
      </x:c>
      <x:c r="L446" s="53" t="b">
        <x:v>1</x:v>
      </x:c>
      <x:c r="M446" s="53" t="b">
        <x:v>1</x:v>
      </x:c>
      <x:c r="N446" s="53" t="b">
        <x:v>1</x:v>
      </x:c>
      <x:c r="O446" s="53" t="b">
        <x:v>1</x:v>
      </x:c>
      <x:c r="P446" s="47" t="n">
        <x:v>1009</x:v>
      </x:c>
      <x:c r="Q446" s="47" t="n">
        <x:v>0</x:v>
      </x:c>
      <x:c r="R446" s="47" t="n">
        <x:v>0</x:v>
      </x:c>
      <x:c r="S446" s="47" t="n">
        <x:v>29.65</x:v>
      </x:c>
      <x:c r="T446" s="47" t="n">
        <x:v>60.82</x:v>
      </x:c>
      <x:c r="U446" s="47" t="n">
        <x:v>29.9</x:v>
      </x:c>
      <x:c r="V446" s="47" t="n">
        <x:v>12</x:v>
      </x:c>
      <x:c r="W446" s="47" t="n">
        <x:v>0</x:v>
      </x:c>
      <x:c r="X446" s="47" t="n">
        <x:v>0</x:v>
      </x:c>
      <x:c r="Y446" s="41" t="n">
        <x:v>0</x:v>
      </x:c>
    </x:row>
    <x:row r="447">
      <x:c r="A447" s="38" t="str">
        <x:v>7月30日现场数据</x:v>
      </x:c>
      <x:c r="B447" s="66" t="str">
        <x:v>2026-08-01T02:33:19.280000</x:v>
      </x:c>
      <x:c r="C447" s="47" t="n">
        <x:v>300973</x:v>
      </x:c>
      <x:c r="D447" s="47" t="str"/>
      <x:c r="E447" s="47" t="str"/>
      <x:c r="F447" s="47" t="str">
        <x:v>current</x:v>
      </x:c>
      <x:c r="G447" s="47" t="n">
        <x:v>443</x:v>
      </x:c>
      <x:c r="H447" s="53" t="b">
        <x:v>1</x:v>
      </x:c>
      <x:c r="I447" s="47" t="str">
        <x:v>3045069830</x:v>
      </x:c>
      <x:c r="J447" s="47" t="n">
        <x:v>43643110</x:v>
      </x:c>
      <x:c r="K447" s="53" t="b">
        <x:v>1</x:v>
      </x:c>
      <x:c r="L447" s="53" t="b">
        <x:v>1</x:v>
      </x:c>
      <x:c r="M447" s="53" t="b">
        <x:v>1</x:v>
      </x:c>
      <x:c r="N447" s="53" t="b">
        <x:v>1</x:v>
      </x:c>
      <x:c r="O447" s="53" t="b">
        <x:v>1</x:v>
      </x:c>
      <x:c r="P447" s="47" t="n">
        <x:v>1009</x:v>
      </x:c>
      <x:c r="Q447" s="47" t="n">
        <x:v>0.012</x:v>
      </x:c>
      <x:c r="R447" s="47" t="n">
        <x:v>0.33</x:v>
      </x:c>
      <x:c r="S447" s="47" t="n">
        <x:v>29.67</x:v>
      </x:c>
      <x:c r="T447" s="47" t="n">
        <x:v>60.87</x:v>
      </x:c>
      <x:c r="U447" s="47" t="n">
        <x:v>29.9</x:v>
      </x:c>
      <x:c r="V447" s="47" t="n">
        <x:v>12</x:v>
      </x:c>
      <x:c r="W447" s="47" t="n">
        <x:v>0</x:v>
      </x:c>
      <x:c r="X447" s="47" t="n">
        <x:v>0</x:v>
      </x:c>
      <x:c r="Y447" s="41" t="n">
        <x:v>0</x:v>
      </x:c>
    </x:row>
    <x:row r="448">
      <x:c r="A448" s="38" t="str">
        <x:v>7月30日现场数据</x:v>
      </x:c>
      <x:c r="B448" s="66" t="str">
        <x:v>2026-08-01T02:38:20.251000</x:v>
      </x:c>
      <x:c r="C448" s="47" t="n">
        <x:v>300971</x:v>
      </x:c>
      <x:c r="D448" s="47" t="str">
        <x:v>气压孤立跳变</x:v>
      </x:c>
      <x:c r="E448" s="47" t="str">
        <x:v>与前后记录均相差至少 3 hPa</x:v>
      </x:c>
      <x:c r="F448" s="47" t="str">
        <x:v>current</x:v>
      </x:c>
      <x:c r="G448" s="47" t="n">
        <x:v>444</x:v>
      </x:c>
      <x:c r="H448" s="53" t="b">
        <x:v>1</x:v>
      </x:c>
      <x:c r="I448" s="47" t="str">
        <x:v>3045069830</x:v>
      </x:c>
      <x:c r="J448" s="47" t="n">
        <x:v>43944081</x:v>
      </x:c>
      <x:c r="K448" s="53" t="b">
        <x:v>1</x:v>
      </x:c>
      <x:c r="L448" s="53" t="b">
        <x:v>1</x:v>
      </x:c>
      <x:c r="M448" s="53" t="b">
        <x:v>1</x:v>
      </x:c>
      <x:c r="N448" s="53" t="b">
        <x:v>1</x:v>
      </x:c>
      <x:c r="O448" s="53" t="b">
        <x:v>1</x:v>
      </x:c>
      <x:c r="P448" s="47" t="n">
        <x:v>1006</x:v>
      </x:c>
      <x:c r="Q448" s="47" t="n">
        <x:v>0</x:v>
      </x:c>
      <x:c r="R448" s="47" t="n">
        <x:v>0</x:v>
      </x:c>
      <x:c r="S448" s="47" t="n">
        <x:v>29.67</x:v>
      </x:c>
      <x:c r="T448" s="47" t="n">
        <x:v>60.97</x:v>
      </x:c>
      <x:c r="U448" s="47" t="n">
        <x:v>29.9</x:v>
      </x:c>
      <x:c r="V448" s="47" t="n">
        <x:v>12</x:v>
      </x:c>
      <x:c r="W448" s="47" t="n">
        <x:v>0</x:v>
      </x:c>
      <x:c r="X448" s="47" t="n">
        <x:v>0</x:v>
      </x:c>
      <x:c r="Y448" s="41" t="n">
        <x:v>0</x:v>
      </x:c>
    </x:row>
    <x:row r="449">
      <x:c r="A449" s="38" t="str">
        <x:v>7月30日现场数据</x:v>
      </x:c>
      <x:c r="B449" s="66" t="str">
        <x:v>2026-08-01T02:43:21.224000</x:v>
      </x:c>
      <x:c r="C449" s="47" t="n">
        <x:v>300973</x:v>
      </x:c>
      <x:c r="D449" s="47" t="str"/>
      <x:c r="E449" s="47" t="str"/>
      <x:c r="F449" s="47" t="str">
        <x:v>current</x:v>
      </x:c>
      <x:c r="G449" s="47" t="n">
        <x:v>445</x:v>
      </x:c>
      <x:c r="H449" s="53" t="b">
        <x:v>1</x:v>
      </x:c>
      <x:c r="I449" s="47" t="str">
        <x:v>3045069830</x:v>
      </x:c>
      <x:c r="J449" s="47" t="n">
        <x:v>44245054</x:v>
      </x:c>
      <x:c r="K449" s="53" t="b">
        <x:v>1</x:v>
      </x:c>
      <x:c r="L449" s="53" t="b">
        <x:v>1</x:v>
      </x:c>
      <x:c r="M449" s="53" t="b">
        <x:v>1</x:v>
      </x:c>
      <x:c r="N449" s="53" t="b">
        <x:v>1</x:v>
      </x:c>
      <x:c r="O449" s="53" t="b">
        <x:v>1</x:v>
      </x:c>
      <x:c r="P449" s="47" t="n">
        <x:v>1009</x:v>
      </x:c>
      <x:c r="Q449" s="47" t="n">
        <x:v>0</x:v>
      </x:c>
      <x:c r="R449" s="47" t="n">
        <x:v>0</x:v>
      </x:c>
      <x:c r="S449" s="47" t="n">
        <x:v>29.61</x:v>
      </x:c>
      <x:c r="T449" s="47" t="n">
        <x:v>61.02</x:v>
      </x:c>
      <x:c r="U449" s="47" t="n">
        <x:v>29.9</x:v>
      </x:c>
      <x:c r="V449" s="47" t="n">
        <x:v>12</x:v>
      </x:c>
      <x:c r="W449" s="47" t="n">
        <x:v>0</x:v>
      </x:c>
      <x:c r="X449" s="47" t="n">
        <x:v>0</x:v>
      </x:c>
      <x:c r="Y449" s="41" t="n">
        <x:v>0</x:v>
      </x:c>
    </x:row>
    <x:row r="450">
      <x:c r="A450" s="38" t="str">
        <x:v>7月30日现场数据</x:v>
      </x:c>
      <x:c r="B450" s="66" t="str">
        <x:v>2026-08-01T02:48:22.200000</x:v>
      </x:c>
      <x:c r="C450" s="47" t="n">
        <x:v>300976</x:v>
      </x:c>
      <x:c r="D450" s="47" t="str"/>
      <x:c r="E450" s="47" t="str"/>
      <x:c r="F450" s="47" t="str">
        <x:v>current</x:v>
      </x:c>
      <x:c r="G450" s="47" t="n">
        <x:v>446</x:v>
      </x:c>
      <x:c r="H450" s="53" t="b">
        <x:v>1</x:v>
      </x:c>
      <x:c r="I450" s="47" t="str">
        <x:v>3045069830</x:v>
      </x:c>
      <x:c r="J450" s="47" t="n">
        <x:v>44546030</x:v>
      </x:c>
      <x:c r="K450" s="53" t="b">
        <x:v>1</x:v>
      </x:c>
      <x:c r="L450" s="53" t="b">
        <x:v>1</x:v>
      </x:c>
      <x:c r="M450" s="53" t="b">
        <x:v>1</x:v>
      </x:c>
      <x:c r="N450" s="53" t="b">
        <x:v>1</x:v>
      </x:c>
      <x:c r="O450" s="53" t="b">
        <x:v>1</x:v>
      </x:c>
      <x:c r="P450" s="47" t="n">
        <x:v>1009</x:v>
      </x:c>
      <x:c r="Q450" s="47" t="n">
        <x:v>0</x:v>
      </x:c>
      <x:c r="R450" s="47" t="n">
        <x:v>0</x:v>
      </x:c>
      <x:c r="S450" s="47" t="n">
        <x:v>29.6</x:v>
      </x:c>
      <x:c r="T450" s="47" t="n">
        <x:v>61.11</x:v>
      </x:c>
      <x:c r="U450" s="47" t="n">
        <x:v>29.9</x:v>
      </x:c>
      <x:c r="V450" s="47" t="n">
        <x:v>12</x:v>
      </x:c>
      <x:c r="W450" s="47" t="n">
        <x:v>0</x:v>
      </x:c>
      <x:c r="X450" s="47" t="n">
        <x:v>0</x:v>
      </x:c>
      <x:c r="Y450" s="41" t="n">
        <x:v>0</x:v>
      </x:c>
    </x:row>
    <x:row r="451">
      <x:c r="A451" s="38" t="str">
        <x:v>7月30日现场数据</x:v>
      </x:c>
      <x:c r="B451" s="66" t="str">
        <x:v>2026-08-01T02:53:23.176000</x:v>
      </x:c>
      <x:c r="C451" s="47" t="n">
        <x:v>300976</x:v>
      </x:c>
      <x:c r="D451" s="47" t="str"/>
      <x:c r="E451" s="47" t="str"/>
      <x:c r="F451" s="47" t="str">
        <x:v>current</x:v>
      </x:c>
      <x:c r="G451" s="47" t="n">
        <x:v>447</x:v>
      </x:c>
      <x:c r="H451" s="53" t="b">
        <x:v>1</x:v>
      </x:c>
      <x:c r="I451" s="47" t="str">
        <x:v>3045069830</x:v>
      </x:c>
      <x:c r="J451" s="47" t="n">
        <x:v>44847006</x:v>
      </x:c>
      <x:c r="K451" s="53" t="b">
        <x:v>1</x:v>
      </x:c>
      <x:c r="L451" s="53" t="b">
        <x:v>1</x:v>
      </x:c>
      <x:c r="M451" s="53" t="b">
        <x:v>1</x:v>
      </x:c>
      <x:c r="N451" s="53" t="b">
        <x:v>1</x:v>
      </x:c>
      <x:c r="O451" s="53" t="b">
        <x:v>1</x:v>
      </x:c>
      <x:c r="P451" s="47" t="n">
        <x:v>1009</x:v>
      </x:c>
      <x:c r="Q451" s="47" t="n">
        <x:v>0</x:v>
      </x:c>
      <x:c r="R451" s="47" t="n">
        <x:v>0</x:v>
      </x:c>
      <x:c r="S451" s="47" t="n">
        <x:v>29.56</x:v>
      </x:c>
      <x:c r="T451" s="47" t="n">
        <x:v>61.27</x:v>
      </x:c>
      <x:c r="U451" s="47" t="n">
        <x:v>29.8</x:v>
      </x:c>
      <x:c r="V451" s="47" t="n">
        <x:v>12</x:v>
      </x:c>
      <x:c r="W451" s="47" t="n">
        <x:v>0</x:v>
      </x:c>
      <x:c r="X451" s="47" t="n">
        <x:v>0</x:v>
      </x:c>
      <x:c r="Y451" s="41" t="n">
        <x:v>0</x:v>
      </x:c>
    </x:row>
    <x:row r="452">
      <x:c r="A452" s="38" t="str">
        <x:v>7月30日现场数据</x:v>
      </x:c>
      <x:c r="B452" s="66" t="str">
        <x:v>2026-08-01T02:58:24.156000</x:v>
      </x:c>
      <x:c r="C452" s="47" t="n">
        <x:v>300980</x:v>
      </x:c>
      <x:c r="D452" s="47" t="str"/>
      <x:c r="E452" s="47" t="str"/>
      <x:c r="F452" s="47" t="str">
        <x:v>current</x:v>
      </x:c>
      <x:c r="G452" s="47" t="n">
        <x:v>448</x:v>
      </x:c>
      <x:c r="H452" s="53" t="b">
        <x:v>1</x:v>
      </x:c>
      <x:c r="I452" s="47" t="str">
        <x:v>3045069830</x:v>
      </x:c>
      <x:c r="J452" s="47" t="n">
        <x:v>45147986</x:v>
      </x:c>
      <x:c r="K452" s="53" t="b">
        <x:v>1</x:v>
      </x:c>
      <x:c r="L452" s="53" t="b">
        <x:v>1</x:v>
      </x:c>
      <x:c r="M452" s="53" t="b">
        <x:v>1</x:v>
      </x:c>
      <x:c r="N452" s="53" t="b">
        <x:v>1</x:v>
      </x:c>
      <x:c r="O452" s="53" t="b">
        <x:v>1</x:v>
      </x:c>
      <x:c r="P452" s="47" t="n">
        <x:v>1009</x:v>
      </x:c>
      <x:c r="Q452" s="47" t="n">
        <x:v>0</x:v>
      </x:c>
      <x:c r="R452" s="47" t="n">
        <x:v>0</x:v>
      </x:c>
      <x:c r="S452" s="47" t="n">
        <x:v>29.51</x:v>
      </x:c>
      <x:c r="T452" s="47" t="n">
        <x:v>61.35</x:v>
      </x:c>
      <x:c r="U452" s="47" t="n">
        <x:v>29.8</x:v>
      </x:c>
      <x:c r="V452" s="47" t="n">
        <x:v>12</x:v>
      </x:c>
      <x:c r="W452" s="47" t="n">
        <x:v>0</x:v>
      </x:c>
      <x:c r="X452" s="47" t="n">
        <x:v>0</x:v>
      </x:c>
      <x:c r="Y452" s="41" t="n">
        <x:v>0</x:v>
      </x:c>
    </x:row>
    <x:row r="453">
      <x:c r="A453" s="38" t="str">
        <x:v>7月30日现场数据</x:v>
      </x:c>
      <x:c r="B453" s="66" t="str">
        <x:v>2026-08-01T03:03:25.137000</x:v>
      </x:c>
      <x:c r="C453" s="47" t="n">
        <x:v>300981</x:v>
      </x:c>
      <x:c r="D453" s="47" t="str"/>
      <x:c r="E453" s="47" t="str"/>
      <x:c r="F453" s="47" t="str">
        <x:v>current</x:v>
      </x:c>
      <x:c r="G453" s="47" t="n">
        <x:v>449</x:v>
      </x:c>
      <x:c r="H453" s="53" t="b">
        <x:v>1</x:v>
      </x:c>
      <x:c r="I453" s="47" t="str">
        <x:v>3045069830</x:v>
      </x:c>
      <x:c r="J453" s="47" t="n">
        <x:v>45448967</x:v>
      </x:c>
      <x:c r="K453" s="53" t="b">
        <x:v>1</x:v>
      </x:c>
      <x:c r="L453" s="53" t="b">
        <x:v>1</x:v>
      </x:c>
      <x:c r="M453" s="53" t="b">
        <x:v>1</x:v>
      </x:c>
      <x:c r="N453" s="53" t="b">
        <x:v>1</x:v>
      </x:c>
      <x:c r="O453" s="53" t="b">
        <x:v>1</x:v>
      </x:c>
      <x:c r="P453" s="47" t="n">
        <x:v>1009</x:v>
      </x:c>
      <x:c r="Q453" s="47" t="n">
        <x:v>0</x:v>
      </x:c>
      <x:c r="R453" s="47" t="n">
        <x:v>0</x:v>
      </x:c>
      <x:c r="S453" s="47" t="n">
        <x:v>29.54</x:v>
      </x:c>
      <x:c r="T453" s="47" t="n">
        <x:v>61.41</x:v>
      </x:c>
      <x:c r="U453" s="47" t="n">
        <x:v>29.8</x:v>
      </x:c>
      <x:c r="V453" s="47" t="n">
        <x:v>12</x:v>
      </x:c>
      <x:c r="W453" s="47" t="n">
        <x:v>0</x:v>
      </x:c>
      <x:c r="X453" s="47" t="n">
        <x:v>0</x:v>
      </x:c>
      <x:c r="Y453" s="41" t="n">
        <x:v>0</x:v>
      </x:c>
    </x:row>
    <x:row r="454">
      <x:c r="A454" s="38" t="str">
        <x:v>7月30日现场数据</x:v>
      </x:c>
      <x:c r="B454" s="66" t="str">
        <x:v>2026-08-01T03:08:26.120000</x:v>
      </x:c>
      <x:c r="C454" s="47" t="n">
        <x:v>300983</x:v>
      </x:c>
      <x:c r="D454" s="47" t="str"/>
      <x:c r="E454" s="47" t="str"/>
      <x:c r="F454" s="47" t="str">
        <x:v>current</x:v>
      </x:c>
      <x:c r="G454" s="47" t="n">
        <x:v>450</x:v>
      </x:c>
      <x:c r="H454" s="53" t="b">
        <x:v>1</x:v>
      </x:c>
      <x:c r="I454" s="47" t="str">
        <x:v>3045069830</x:v>
      </x:c>
      <x:c r="J454" s="47" t="n">
        <x:v>45749950</x:v>
      </x:c>
      <x:c r="K454" s="53" t="b">
        <x:v>1</x:v>
      </x:c>
      <x:c r="L454" s="53" t="b">
        <x:v>1</x:v>
      </x:c>
      <x:c r="M454" s="53" t="b">
        <x:v>1</x:v>
      </x:c>
      <x:c r="N454" s="53" t="b">
        <x:v>1</x:v>
      </x:c>
      <x:c r="O454" s="53" t="b">
        <x:v>1</x:v>
      </x:c>
      <x:c r="P454" s="47" t="n">
        <x:v>1009</x:v>
      </x:c>
      <x:c r="Q454" s="47" t="n">
        <x:v>0</x:v>
      </x:c>
      <x:c r="R454" s="47" t="n">
        <x:v>0</x:v>
      </x:c>
      <x:c r="S454" s="47" t="n">
        <x:v>29.56</x:v>
      </x:c>
      <x:c r="T454" s="47" t="n">
        <x:v>61.52</x:v>
      </x:c>
      <x:c r="U454" s="47" t="n">
        <x:v>29.8</x:v>
      </x:c>
      <x:c r="V454" s="47" t="n">
        <x:v>12</x:v>
      </x:c>
      <x:c r="W454" s="47" t="n">
        <x:v>0</x:v>
      </x:c>
      <x:c r="X454" s="47" t="n">
        <x:v>0</x:v>
      </x:c>
      <x:c r="Y454" s="41" t="n">
        <x:v>0</x:v>
      </x:c>
    </x:row>
    <x:row r="455">
      <x:c r="A455" s="38" t="str">
        <x:v>7月30日现场数据</x:v>
      </x:c>
      <x:c r="B455" s="66" t="str">
        <x:v>2026-08-01T03:13:27.103000</x:v>
      </x:c>
      <x:c r="C455" s="47" t="n">
        <x:v>300983</x:v>
      </x:c>
      <x:c r="D455" s="47" t="str"/>
      <x:c r="E455" s="47" t="str"/>
      <x:c r="F455" s="47" t="str">
        <x:v>current</x:v>
      </x:c>
      <x:c r="G455" s="47" t="n">
        <x:v>451</x:v>
      </x:c>
      <x:c r="H455" s="53" t="b">
        <x:v>1</x:v>
      </x:c>
      <x:c r="I455" s="47" t="str">
        <x:v>3045069830</x:v>
      </x:c>
      <x:c r="J455" s="47" t="n">
        <x:v>46050933</x:v>
      </x:c>
      <x:c r="K455" s="53" t="b">
        <x:v>1</x:v>
      </x:c>
      <x:c r="L455" s="53" t="b">
        <x:v>1</x:v>
      </x:c>
      <x:c r="M455" s="53" t="b">
        <x:v>1</x:v>
      </x:c>
      <x:c r="N455" s="53" t="b">
        <x:v>1</x:v>
      </x:c>
      <x:c r="O455" s="53" t="b">
        <x:v>1</x:v>
      </x:c>
      <x:c r="P455" s="47" t="n">
        <x:v>1009</x:v>
      </x:c>
      <x:c r="Q455" s="47" t="n">
        <x:v>0</x:v>
      </x:c>
      <x:c r="R455" s="47" t="n">
        <x:v>0</x:v>
      </x:c>
      <x:c r="S455" s="47" t="n">
        <x:v>29.51</x:v>
      </x:c>
      <x:c r="T455" s="47" t="n">
        <x:v>61.61</x:v>
      </x:c>
      <x:c r="U455" s="47" t="n">
        <x:v>29.8</x:v>
      </x:c>
      <x:c r="V455" s="47" t="n">
        <x:v>12</x:v>
      </x:c>
      <x:c r="W455" s="47" t="n">
        <x:v>0</x:v>
      </x:c>
      <x:c r="X455" s="47" t="n">
        <x:v>0</x:v>
      </x:c>
      <x:c r="Y455" s="41" t="n">
        <x:v>0</x:v>
      </x:c>
    </x:row>
    <x:row r="456">
      <x:c r="A456" s="38" t="str">
        <x:v>7月30日现场数据</x:v>
      </x:c>
      <x:c r="B456" s="66" t="str">
        <x:v>2026-08-01T03:18:28.088000</x:v>
      </x:c>
      <x:c r="C456" s="47" t="n">
        <x:v>300985</x:v>
      </x:c>
      <x:c r="D456" s="47" t="str"/>
      <x:c r="E456" s="47" t="str"/>
      <x:c r="F456" s="47" t="str">
        <x:v>current</x:v>
      </x:c>
      <x:c r="G456" s="47" t="n">
        <x:v>452</x:v>
      </x:c>
      <x:c r="H456" s="53" t="b">
        <x:v>1</x:v>
      </x:c>
      <x:c r="I456" s="47" t="str">
        <x:v>3045069830</x:v>
      </x:c>
      <x:c r="J456" s="47" t="n">
        <x:v>46351918</x:v>
      </x:c>
      <x:c r="K456" s="53" t="b">
        <x:v>1</x:v>
      </x:c>
      <x:c r="L456" s="53" t="b">
        <x:v>1</x:v>
      </x:c>
      <x:c r="M456" s="53" t="b">
        <x:v>1</x:v>
      </x:c>
      <x:c r="N456" s="53" t="b">
        <x:v>1</x:v>
      </x:c>
      <x:c r="O456" s="53" t="b">
        <x:v>1</x:v>
      </x:c>
      <x:c r="P456" s="47" t="n">
        <x:v>1009</x:v>
      </x:c>
      <x:c r="Q456" s="47" t="n">
        <x:v>0</x:v>
      </x:c>
      <x:c r="R456" s="47" t="n">
        <x:v>0</x:v>
      </x:c>
      <x:c r="S456" s="47" t="n">
        <x:v>29.48</x:v>
      </x:c>
      <x:c r="T456" s="47" t="n">
        <x:v>61.69</x:v>
      </x:c>
      <x:c r="U456" s="47" t="n">
        <x:v>29.8</x:v>
      </x:c>
      <x:c r="V456" s="47" t="n">
        <x:v>12</x:v>
      </x:c>
      <x:c r="W456" s="47" t="n">
        <x:v>0</x:v>
      </x:c>
      <x:c r="X456" s="47" t="n">
        <x:v>0</x:v>
      </x:c>
      <x:c r="Y456" s="41" t="n">
        <x:v>0</x:v>
      </x:c>
    </x:row>
    <x:row r="457">
      <x:c r="A457" s="38" t="str">
        <x:v>7月30日现场数据</x:v>
      </x:c>
      <x:c r="B457" s="66" t="str">
        <x:v>2026-08-01T03:23:29.074000</x:v>
      </x:c>
      <x:c r="C457" s="47" t="n">
        <x:v>300986</x:v>
      </x:c>
      <x:c r="D457" s="47" t="str"/>
      <x:c r="E457" s="47" t="str"/>
      <x:c r="F457" s="47" t="str">
        <x:v>current</x:v>
      </x:c>
      <x:c r="G457" s="47" t="n">
        <x:v>453</x:v>
      </x:c>
      <x:c r="H457" s="53" t="b">
        <x:v>1</x:v>
      </x:c>
      <x:c r="I457" s="47" t="str">
        <x:v>3045069830</x:v>
      </x:c>
      <x:c r="J457" s="47" t="n">
        <x:v>46652904</x:v>
      </x:c>
      <x:c r="K457" s="53" t="b">
        <x:v>1</x:v>
      </x:c>
      <x:c r="L457" s="53" t="b">
        <x:v>1</x:v>
      </x:c>
      <x:c r="M457" s="53" t="b">
        <x:v>1</x:v>
      </x:c>
      <x:c r="N457" s="53" t="b">
        <x:v>1</x:v>
      </x:c>
      <x:c r="O457" s="53" t="b">
        <x:v>1</x:v>
      </x:c>
      <x:c r="P457" s="47" t="n">
        <x:v>1009</x:v>
      </x:c>
      <x:c r="Q457" s="47" t="n">
        <x:v>0</x:v>
      </x:c>
      <x:c r="R457" s="47" t="n">
        <x:v>0</x:v>
      </x:c>
      <x:c r="S457" s="47" t="n">
        <x:v>29.41</x:v>
      </x:c>
      <x:c r="T457" s="47" t="n">
        <x:v>61.76</x:v>
      </x:c>
      <x:c r="U457" s="47" t="n">
        <x:v>29.8</x:v>
      </x:c>
      <x:c r="V457" s="47" t="n">
        <x:v>12</x:v>
      </x:c>
      <x:c r="W457" s="47" t="n">
        <x:v>0</x:v>
      </x:c>
      <x:c r="X457" s="47" t="n">
        <x:v>0</x:v>
      </x:c>
      <x:c r="Y457" s="41" t="n">
        <x:v>0</x:v>
      </x:c>
    </x:row>
    <x:row r="458">
      <x:c r="A458" s="38" t="str">
        <x:v>7月30日现场数据</x:v>
      </x:c>
      <x:c r="B458" s="66" t="str">
        <x:v>2026-08-01T03:28:30.095000</x:v>
      </x:c>
      <x:c r="C458" s="47" t="n">
        <x:v>301021</x:v>
      </x:c>
      <x:c r="D458" s="47" t="str"/>
      <x:c r="E458" s="47" t="str"/>
      <x:c r="F458" s="47" t="str">
        <x:v>current</x:v>
      </x:c>
      <x:c r="G458" s="47" t="n">
        <x:v>454</x:v>
      </x:c>
      <x:c r="H458" s="53" t="b">
        <x:v>1</x:v>
      </x:c>
      <x:c r="I458" s="47" t="str">
        <x:v>3045069830</x:v>
      </x:c>
      <x:c r="J458" s="47" t="n">
        <x:v>46953925</x:v>
      </x:c>
      <x:c r="K458" s="53" t="b">
        <x:v>1</x:v>
      </x:c>
      <x:c r="L458" s="53" t="b">
        <x:v>1</x:v>
      </x:c>
      <x:c r="M458" s="53" t="b">
        <x:v>1</x:v>
      </x:c>
      <x:c r="N458" s="53" t="b">
        <x:v>1</x:v>
      </x:c>
      <x:c r="O458" s="53" t="b">
        <x:v>1</x:v>
      </x:c>
      <x:c r="P458" s="47" t="n">
        <x:v>1009</x:v>
      </x:c>
      <x:c r="Q458" s="47" t="n">
        <x:v>0</x:v>
      </x:c>
      <x:c r="R458" s="47" t="n">
        <x:v>0</x:v>
      </x:c>
      <x:c r="S458" s="47" t="n">
        <x:v>29.4</x:v>
      </x:c>
      <x:c r="T458" s="47" t="n">
        <x:v>61.89</x:v>
      </x:c>
      <x:c r="U458" s="47" t="n">
        <x:v>29.8</x:v>
      </x:c>
      <x:c r="V458" s="47" t="n">
        <x:v>12</x:v>
      </x:c>
      <x:c r="W458" s="47" t="n">
        <x:v>0</x:v>
      </x:c>
      <x:c r="X458" s="47" t="n">
        <x:v>0</x:v>
      </x:c>
      <x:c r="Y458" s="41" t="n">
        <x:v>0</x:v>
      </x:c>
    </x:row>
    <x:row r="459">
      <x:c r="A459" s="38" t="str">
        <x:v>7月30日现场数据</x:v>
      </x:c>
      <x:c r="B459" s="66" t="str">
        <x:v>2026-08-01T03:33:31.057000</x:v>
      </x:c>
      <x:c r="C459" s="47" t="n">
        <x:v>300962</x:v>
      </x:c>
      <x:c r="D459" s="47" t="str"/>
      <x:c r="E459" s="47" t="str"/>
      <x:c r="F459" s="47" t="str">
        <x:v>current</x:v>
      </x:c>
      <x:c r="G459" s="47" t="n">
        <x:v>455</x:v>
      </x:c>
      <x:c r="H459" s="53" t="b">
        <x:v>1</x:v>
      </x:c>
      <x:c r="I459" s="47" t="str">
        <x:v>3045069830</x:v>
      </x:c>
      <x:c r="J459" s="47" t="n">
        <x:v>47254887</x:v>
      </x:c>
      <x:c r="K459" s="53" t="b">
        <x:v>1</x:v>
      </x:c>
      <x:c r="L459" s="53" t="b">
        <x:v>1</x:v>
      </x:c>
      <x:c r="M459" s="53" t="b">
        <x:v>1</x:v>
      </x:c>
      <x:c r="N459" s="53" t="b">
        <x:v>1</x:v>
      </x:c>
      <x:c r="O459" s="53" t="b">
        <x:v>1</x:v>
      </x:c>
      <x:c r="P459" s="47" t="n">
        <x:v>1009</x:v>
      </x:c>
      <x:c r="Q459" s="47" t="n">
        <x:v>0</x:v>
      </x:c>
      <x:c r="R459" s="47" t="n">
        <x:v>0</x:v>
      </x:c>
      <x:c r="S459" s="47" t="n">
        <x:v>29.34</x:v>
      </x:c>
      <x:c r="T459" s="47" t="n">
        <x:v>61.95</x:v>
      </x:c>
      <x:c r="U459" s="47" t="n">
        <x:v>29.8</x:v>
      </x:c>
      <x:c r="V459" s="47" t="n">
        <x:v>12</x:v>
      </x:c>
      <x:c r="W459" s="47" t="n">
        <x:v>0</x:v>
      </x:c>
      <x:c r="X459" s="47" t="n">
        <x:v>0</x:v>
      </x:c>
      <x:c r="Y459" s="41" t="n">
        <x:v>0</x:v>
      </x:c>
    </x:row>
    <x:row r="460">
      <x:c r="A460" s="38" t="str">
        <x:v>7月30日现场数据</x:v>
      </x:c>
      <x:c r="B460" s="66" t="str">
        <x:v>2026-08-01T03:38:32.023000</x:v>
      </x:c>
      <x:c r="C460" s="47" t="n">
        <x:v>300966</x:v>
      </x:c>
      <x:c r="D460" s="47" t="str"/>
      <x:c r="E460" s="47" t="str"/>
      <x:c r="F460" s="47" t="str">
        <x:v>current</x:v>
      </x:c>
      <x:c r="G460" s="47" t="n">
        <x:v>456</x:v>
      </x:c>
      <x:c r="H460" s="53" t="b">
        <x:v>1</x:v>
      </x:c>
      <x:c r="I460" s="47" t="str">
        <x:v>3045069830</x:v>
      </x:c>
      <x:c r="J460" s="47" t="n">
        <x:v>47555853</x:v>
      </x:c>
      <x:c r="K460" s="53" t="b">
        <x:v>1</x:v>
      </x:c>
      <x:c r="L460" s="53" t="b">
        <x:v>1</x:v>
      </x:c>
      <x:c r="M460" s="53" t="b">
        <x:v>1</x:v>
      </x:c>
      <x:c r="N460" s="53" t="b">
        <x:v>1</x:v>
      </x:c>
      <x:c r="O460" s="53" t="b">
        <x:v>1</x:v>
      </x:c>
      <x:c r="P460" s="47" t="n">
        <x:v>1009</x:v>
      </x:c>
      <x:c r="Q460" s="47" t="n">
        <x:v>0</x:v>
      </x:c>
      <x:c r="R460" s="47" t="n">
        <x:v>0</x:v>
      </x:c>
      <x:c r="S460" s="47" t="n">
        <x:v>29.32</x:v>
      </x:c>
      <x:c r="T460" s="47" t="n">
        <x:v>62.09</x:v>
      </x:c>
      <x:c r="U460" s="47" t="n">
        <x:v>29.8</x:v>
      </x:c>
      <x:c r="V460" s="47" t="n">
        <x:v>12</x:v>
      </x:c>
      <x:c r="W460" s="47" t="n">
        <x:v>0</x:v>
      </x:c>
      <x:c r="X460" s="47" t="n">
        <x:v>0</x:v>
      </x:c>
      <x:c r="Y460" s="41" t="n">
        <x:v>0</x:v>
      </x:c>
    </x:row>
    <x:row r="461">
      <x:c r="A461" s="38" t="str">
        <x:v>7月30日现场数据</x:v>
      </x:c>
      <x:c r="B461" s="66" t="str">
        <x:v>2026-08-01T03:43:32.990000</x:v>
      </x:c>
      <x:c r="C461" s="47" t="n">
        <x:v>300967</x:v>
      </x:c>
      <x:c r="D461" s="47" t="str"/>
      <x:c r="E461" s="47" t="str"/>
      <x:c r="F461" s="47" t="str">
        <x:v>current</x:v>
      </x:c>
      <x:c r="G461" s="47" t="n">
        <x:v>457</x:v>
      </x:c>
      <x:c r="H461" s="53" t="b">
        <x:v>1</x:v>
      </x:c>
      <x:c r="I461" s="47" t="str">
        <x:v>3045069830</x:v>
      </x:c>
      <x:c r="J461" s="47" t="n">
        <x:v>47856820</x:v>
      </x:c>
      <x:c r="K461" s="53" t="b">
        <x:v>1</x:v>
      </x:c>
      <x:c r="L461" s="53" t="b">
        <x:v>1</x:v>
      </x:c>
      <x:c r="M461" s="53" t="b">
        <x:v>1</x:v>
      </x:c>
      <x:c r="N461" s="53" t="b">
        <x:v>1</x:v>
      </x:c>
      <x:c r="O461" s="53" t="b">
        <x:v>1</x:v>
      </x:c>
      <x:c r="P461" s="47" t="n">
        <x:v>1009</x:v>
      </x:c>
      <x:c r="Q461" s="47" t="n">
        <x:v>0</x:v>
      </x:c>
      <x:c r="R461" s="47" t="n">
        <x:v>0</x:v>
      </x:c>
      <x:c r="S461" s="47" t="n">
        <x:v>29.35</x:v>
      </x:c>
      <x:c r="T461" s="47" t="n">
        <x:v>62.19</x:v>
      </x:c>
      <x:c r="U461" s="47" t="n">
        <x:v>29.8</x:v>
      </x:c>
      <x:c r="V461" s="47" t="n">
        <x:v>12</x:v>
      </x:c>
      <x:c r="W461" s="47" t="n">
        <x:v>0</x:v>
      </x:c>
      <x:c r="X461" s="47" t="n">
        <x:v>0</x:v>
      </x:c>
      <x:c r="Y461" s="41" t="n">
        <x:v>0</x:v>
      </x:c>
    </x:row>
    <x:row r="462">
      <x:c r="A462" s="38" t="str">
        <x:v>7月30日现场数据</x:v>
      </x:c>
      <x:c r="B462" s="66" t="str">
        <x:v>2026-08-01T03:48:33.959000</x:v>
      </x:c>
      <x:c r="C462" s="47" t="n">
        <x:v>300969</x:v>
      </x:c>
      <x:c r="D462" s="47" t="str"/>
      <x:c r="E462" s="47" t="str"/>
      <x:c r="F462" s="47" t="str">
        <x:v>current</x:v>
      </x:c>
      <x:c r="G462" s="47" t="n">
        <x:v>458</x:v>
      </x:c>
      <x:c r="H462" s="53" t="b">
        <x:v>1</x:v>
      </x:c>
      <x:c r="I462" s="47" t="str">
        <x:v>3045069830</x:v>
      </x:c>
      <x:c r="J462" s="47" t="n">
        <x:v>48157789</x:v>
      </x:c>
      <x:c r="K462" s="53" t="b">
        <x:v>1</x:v>
      </x:c>
      <x:c r="L462" s="53" t="b">
        <x:v>1</x:v>
      </x:c>
      <x:c r="M462" s="53" t="b">
        <x:v>1</x:v>
      </x:c>
      <x:c r="N462" s="53" t="b">
        <x:v>1</x:v>
      </x:c>
      <x:c r="O462" s="53" t="b">
        <x:v>1</x:v>
      </x:c>
      <x:c r="P462" s="47" t="n">
        <x:v>1009</x:v>
      </x:c>
      <x:c r="Q462" s="47" t="n">
        <x:v>0</x:v>
      </x:c>
      <x:c r="R462" s="47" t="n">
        <x:v>0</x:v>
      </x:c>
      <x:c r="S462" s="47" t="n">
        <x:v>29.39</x:v>
      </x:c>
      <x:c r="T462" s="47" t="n">
        <x:v>62.26</x:v>
      </x:c>
      <x:c r="U462" s="47" t="n">
        <x:v>29.8</x:v>
      </x:c>
      <x:c r="V462" s="47" t="n">
        <x:v>12</x:v>
      </x:c>
      <x:c r="W462" s="47" t="n">
        <x:v>0</x:v>
      </x:c>
      <x:c r="X462" s="47" t="n">
        <x:v>0</x:v>
      </x:c>
      <x:c r="Y462" s="41" t="n">
        <x:v>0</x:v>
      </x:c>
    </x:row>
    <x:row r="463">
      <x:c r="A463" s="38" t="str">
        <x:v>7月30日现场数据</x:v>
      </x:c>
      <x:c r="B463" s="66" t="str">
        <x:v>2026-08-01T03:53:34.929000</x:v>
      </x:c>
      <x:c r="C463" s="47" t="n">
        <x:v>300970</x:v>
      </x:c>
      <x:c r="D463" s="47" t="str"/>
      <x:c r="E463" s="47" t="str"/>
      <x:c r="F463" s="47" t="str">
        <x:v>current</x:v>
      </x:c>
      <x:c r="G463" s="47" t="n">
        <x:v>459</x:v>
      </x:c>
      <x:c r="H463" s="53" t="b">
        <x:v>1</x:v>
      </x:c>
      <x:c r="I463" s="47" t="str">
        <x:v>3045069830</x:v>
      </x:c>
      <x:c r="J463" s="47" t="n">
        <x:v>48458759</x:v>
      </x:c>
      <x:c r="K463" s="53" t="b">
        <x:v>1</x:v>
      </x:c>
      <x:c r="L463" s="53" t="b">
        <x:v>1</x:v>
      </x:c>
      <x:c r="M463" s="53" t="b">
        <x:v>1</x:v>
      </x:c>
      <x:c r="N463" s="53" t="b">
        <x:v>1</x:v>
      </x:c>
      <x:c r="O463" s="53" t="b">
        <x:v>1</x:v>
      </x:c>
      <x:c r="P463" s="47" t="n">
        <x:v>1009</x:v>
      </x:c>
      <x:c r="Q463" s="47" t="n">
        <x:v>0</x:v>
      </x:c>
      <x:c r="R463" s="47" t="n">
        <x:v>0</x:v>
      </x:c>
      <x:c r="S463" s="47" t="n">
        <x:v>29.39</x:v>
      </x:c>
      <x:c r="T463" s="47" t="n">
        <x:v>62.39</x:v>
      </x:c>
      <x:c r="U463" s="47" t="n">
        <x:v>29.8</x:v>
      </x:c>
      <x:c r="V463" s="47" t="n">
        <x:v>12</x:v>
      </x:c>
      <x:c r="W463" s="47" t="n">
        <x:v>0</x:v>
      </x:c>
      <x:c r="X463" s="47" t="n">
        <x:v>0</x:v>
      </x:c>
      <x:c r="Y463" s="41" t="n">
        <x:v>0</x:v>
      </x:c>
    </x:row>
    <x:row r="464">
      <x:c r="A464" s="38" t="str">
        <x:v>7月30日现场数据</x:v>
      </x:c>
      <x:c r="B464" s="66" t="str">
        <x:v>2026-08-01T03:58:35.904000</x:v>
      </x:c>
      <x:c r="C464" s="47" t="n">
        <x:v>300975</x:v>
      </x:c>
      <x:c r="D464" s="47" t="str"/>
      <x:c r="E464" s="47" t="str"/>
      <x:c r="F464" s="47" t="str">
        <x:v>current</x:v>
      </x:c>
      <x:c r="G464" s="47" t="n">
        <x:v>460</x:v>
      </x:c>
      <x:c r="H464" s="53" t="b">
        <x:v>1</x:v>
      </x:c>
      <x:c r="I464" s="47" t="str">
        <x:v>3045069830</x:v>
      </x:c>
      <x:c r="J464" s="47" t="n">
        <x:v>48759734</x:v>
      </x:c>
      <x:c r="K464" s="53" t="b">
        <x:v>1</x:v>
      </x:c>
      <x:c r="L464" s="53" t="b">
        <x:v>1</x:v>
      </x:c>
      <x:c r="M464" s="53" t="b">
        <x:v>1</x:v>
      </x:c>
      <x:c r="N464" s="53" t="b">
        <x:v>1</x:v>
      </x:c>
      <x:c r="O464" s="53" t="b">
        <x:v>1</x:v>
      </x:c>
      <x:c r="P464" s="47" t="n">
        <x:v>1009</x:v>
      </x:c>
      <x:c r="Q464" s="47" t="n">
        <x:v>0.004</x:v>
      </x:c>
      <x:c r="R464" s="47" t="n">
        <x:v>0.099</x:v>
      </x:c>
      <x:c r="S464" s="47" t="n">
        <x:v>29.35</x:v>
      </x:c>
      <x:c r="T464" s="47" t="n">
        <x:v>62.47</x:v>
      </x:c>
      <x:c r="U464" s="47" t="n">
        <x:v>29.8</x:v>
      </x:c>
      <x:c r="V464" s="47" t="n">
        <x:v>12</x:v>
      </x:c>
      <x:c r="W464" s="47" t="n">
        <x:v>0</x:v>
      </x:c>
      <x:c r="X464" s="47" t="n">
        <x:v>0</x:v>
      </x:c>
      <x:c r="Y464" s="41" t="n">
        <x:v>0</x:v>
      </x:c>
    </x:row>
    <x:row r="465">
      <x:c r="A465" s="38" t="str">
        <x:v>7月30日现场数据</x:v>
      </x:c>
      <x:c r="B465" s="66" t="str">
        <x:v>2026-08-01T04:03:36.879000</x:v>
      </x:c>
      <x:c r="C465" s="47" t="n">
        <x:v>300975</x:v>
      </x:c>
      <x:c r="D465" s="47" t="str"/>
      <x:c r="E465" s="47" t="str"/>
      <x:c r="F465" s="47" t="str">
        <x:v>current</x:v>
      </x:c>
      <x:c r="G465" s="47" t="n">
        <x:v>461</x:v>
      </x:c>
      <x:c r="H465" s="53" t="b">
        <x:v>1</x:v>
      </x:c>
      <x:c r="I465" s="47" t="str">
        <x:v>3045069830</x:v>
      </x:c>
      <x:c r="J465" s="47" t="n">
        <x:v>49060709</x:v>
      </x:c>
      <x:c r="K465" s="53" t="b">
        <x:v>1</x:v>
      </x:c>
      <x:c r="L465" s="53" t="b">
        <x:v>1</x:v>
      </x:c>
      <x:c r="M465" s="53" t="b">
        <x:v>1</x:v>
      </x:c>
      <x:c r="N465" s="53" t="b">
        <x:v>1</x:v>
      </x:c>
      <x:c r="O465" s="53" t="b">
        <x:v>1</x:v>
      </x:c>
      <x:c r="P465" s="47" t="n">
        <x:v>1009</x:v>
      </x:c>
      <x:c r="Q465" s="47" t="n">
        <x:v>0</x:v>
      </x:c>
      <x:c r="R465" s="47" t="n">
        <x:v>0</x:v>
      </x:c>
      <x:c r="S465" s="47" t="n">
        <x:v>29.28</x:v>
      </x:c>
      <x:c r="T465" s="47" t="n">
        <x:v>62.56</x:v>
      </x:c>
      <x:c r="U465" s="47" t="n">
        <x:v>29.8</x:v>
      </x:c>
      <x:c r="V465" s="47" t="n">
        <x:v>12</x:v>
      </x:c>
      <x:c r="W465" s="47" t="n">
        <x:v>0</x:v>
      </x:c>
      <x:c r="X465" s="47" t="n">
        <x:v>0</x:v>
      </x:c>
      <x:c r="Y465" s="41" t="n">
        <x:v>0</x:v>
      </x:c>
    </x:row>
    <x:row r="466">
      <x:c r="A466" s="38" t="str">
        <x:v>7月30日现场数据</x:v>
      </x:c>
      <x:c r="B466" s="66" t="str">
        <x:v>2026-08-01T04:08:37.857000</x:v>
      </x:c>
      <x:c r="C466" s="47" t="n">
        <x:v>300978</x:v>
      </x:c>
      <x:c r="D466" s="47" t="str"/>
      <x:c r="E466" s="47" t="str"/>
      <x:c r="F466" s="47" t="str">
        <x:v>current</x:v>
      </x:c>
      <x:c r="G466" s="47" t="n">
        <x:v>462</x:v>
      </x:c>
      <x:c r="H466" s="53" t="b">
        <x:v>1</x:v>
      </x:c>
      <x:c r="I466" s="47" t="str">
        <x:v>3045069830</x:v>
      </x:c>
      <x:c r="J466" s="47" t="n">
        <x:v>49361687</x:v>
      </x:c>
      <x:c r="K466" s="53" t="b">
        <x:v>1</x:v>
      </x:c>
      <x:c r="L466" s="53" t="b">
        <x:v>1</x:v>
      </x:c>
      <x:c r="M466" s="53" t="b">
        <x:v>1</x:v>
      </x:c>
      <x:c r="N466" s="53" t="b">
        <x:v>1</x:v>
      </x:c>
      <x:c r="O466" s="53" t="b">
        <x:v>1</x:v>
      </x:c>
      <x:c r="P466" s="47" t="n">
        <x:v>1009</x:v>
      </x:c>
      <x:c r="Q466" s="47" t="n">
        <x:v>0</x:v>
      </x:c>
      <x:c r="R466" s="47" t="n">
        <x:v>0</x:v>
      </x:c>
      <x:c r="S466" s="47" t="n">
        <x:v>29.2</x:v>
      </x:c>
      <x:c r="T466" s="47" t="n">
        <x:v>62.64</x:v>
      </x:c>
      <x:c r="U466" s="47" t="n">
        <x:v>29.7</x:v>
      </x:c>
      <x:c r="V466" s="47" t="n">
        <x:v>12</x:v>
      </x:c>
      <x:c r="W466" s="47" t="n">
        <x:v>0</x:v>
      </x:c>
      <x:c r="X466" s="47" t="n">
        <x:v>0</x:v>
      </x:c>
      <x:c r="Y466" s="41" t="n">
        <x:v>0</x:v>
      </x:c>
    </x:row>
    <x:row r="467">
      <x:c r="A467" s="38" t="str">
        <x:v>7月30日现场数据</x:v>
      </x:c>
      <x:c r="B467" s="66" t="str">
        <x:v>2026-08-01T04:13:38.838000</x:v>
      </x:c>
      <x:c r="C467" s="47" t="n">
        <x:v>300981</x:v>
      </x:c>
      <x:c r="D467" s="47" t="str"/>
      <x:c r="E467" s="47" t="str"/>
      <x:c r="F467" s="47" t="str">
        <x:v>current</x:v>
      </x:c>
      <x:c r="G467" s="47" t="n">
        <x:v>463</x:v>
      </x:c>
      <x:c r="H467" s="53" t="b">
        <x:v>1</x:v>
      </x:c>
      <x:c r="I467" s="47" t="str">
        <x:v>3045069830</x:v>
      </x:c>
      <x:c r="J467" s="47" t="n">
        <x:v>49662668</x:v>
      </x:c>
      <x:c r="K467" s="53" t="b">
        <x:v>1</x:v>
      </x:c>
      <x:c r="L467" s="53" t="b">
        <x:v>1</x:v>
      </x:c>
      <x:c r="M467" s="53" t="b">
        <x:v>1</x:v>
      </x:c>
      <x:c r="N467" s="53" t="b">
        <x:v>1</x:v>
      </x:c>
      <x:c r="O467" s="53" t="b">
        <x:v>1</x:v>
      </x:c>
      <x:c r="P467" s="47" t="n">
        <x:v>1009</x:v>
      </x:c>
      <x:c r="Q467" s="47" t="n">
        <x:v>0</x:v>
      </x:c>
      <x:c r="R467" s="47" t="n">
        <x:v>0</x:v>
      </x:c>
      <x:c r="S467" s="47" t="n">
        <x:v>29.22</x:v>
      </x:c>
      <x:c r="T467" s="47" t="n">
        <x:v>62.72</x:v>
      </x:c>
      <x:c r="U467" s="47" t="n">
        <x:v>29.7</x:v>
      </x:c>
      <x:c r="V467" s="47" t="n">
        <x:v>11.9</x:v>
      </x:c>
      <x:c r="W467" s="47" t="n">
        <x:v>0</x:v>
      </x:c>
      <x:c r="X467" s="47" t="n">
        <x:v>0</x:v>
      </x:c>
      <x:c r="Y467" s="41" t="n">
        <x:v>0</x:v>
      </x:c>
    </x:row>
    <x:row r="468">
      <x:c r="A468" s="38" t="str">
        <x:v>7月30日现场数据</x:v>
      </x:c>
      <x:c r="B468" s="66" t="str">
        <x:v>2026-08-01T04:18:39.818000</x:v>
      </x:c>
      <x:c r="C468" s="47" t="n">
        <x:v>300980</x:v>
      </x:c>
      <x:c r="D468" s="47" t="str"/>
      <x:c r="E468" s="47" t="str"/>
      <x:c r="F468" s="47" t="str">
        <x:v>current</x:v>
      </x:c>
      <x:c r="G468" s="47" t="n">
        <x:v>464</x:v>
      </x:c>
      <x:c r="H468" s="53" t="b">
        <x:v>1</x:v>
      </x:c>
      <x:c r="I468" s="47" t="str">
        <x:v>3045069830</x:v>
      </x:c>
      <x:c r="J468" s="47" t="n">
        <x:v>49963648</x:v>
      </x:c>
      <x:c r="K468" s="53" t="b">
        <x:v>1</x:v>
      </x:c>
      <x:c r="L468" s="53" t="b">
        <x:v>1</x:v>
      </x:c>
      <x:c r="M468" s="53" t="b">
        <x:v>1</x:v>
      </x:c>
      <x:c r="N468" s="53" t="b">
        <x:v>1</x:v>
      </x:c>
      <x:c r="O468" s="53" t="b">
        <x:v>1</x:v>
      </x:c>
      <x:c r="P468" s="47" t="n">
        <x:v>1009</x:v>
      </x:c>
      <x:c r="Q468" s="47" t="n">
        <x:v>0</x:v>
      </x:c>
      <x:c r="R468" s="47" t="n">
        <x:v>0</x:v>
      </x:c>
      <x:c r="S468" s="47" t="n">
        <x:v>29.2</x:v>
      </x:c>
      <x:c r="T468" s="47" t="n">
        <x:v>62.81</x:v>
      </x:c>
      <x:c r="U468" s="47" t="n">
        <x:v>29.8</x:v>
      </x:c>
      <x:c r="V468" s="47" t="n">
        <x:v>12</x:v>
      </x:c>
      <x:c r="W468" s="47" t="n">
        <x:v>0</x:v>
      </x:c>
      <x:c r="X468" s="47" t="n">
        <x:v>0</x:v>
      </x:c>
      <x:c r="Y468" s="41" t="n">
        <x:v>0</x:v>
      </x:c>
    </x:row>
    <x:row r="469">
      <x:c r="A469" s="38" t="str">
        <x:v>7月30日现场数据</x:v>
      </x:c>
      <x:c r="B469" s="66" t="str">
        <x:v>2026-08-01T04:23:40.800000</x:v>
      </x:c>
      <x:c r="C469" s="47" t="n">
        <x:v>300982</x:v>
      </x:c>
      <x:c r="D469" s="47" t="str"/>
      <x:c r="E469" s="47" t="str"/>
      <x:c r="F469" s="47" t="str">
        <x:v>current</x:v>
      </x:c>
      <x:c r="G469" s="47" t="n">
        <x:v>465</x:v>
      </x:c>
      <x:c r="H469" s="53" t="b">
        <x:v>1</x:v>
      </x:c>
      <x:c r="I469" s="47" t="str">
        <x:v>3045069830</x:v>
      </x:c>
      <x:c r="J469" s="47" t="n">
        <x:v>50264630</x:v>
      </x:c>
      <x:c r="K469" s="53" t="b">
        <x:v>1</x:v>
      </x:c>
      <x:c r="L469" s="53" t="b">
        <x:v>1</x:v>
      </x:c>
      <x:c r="M469" s="53" t="b">
        <x:v>1</x:v>
      </x:c>
      <x:c r="N469" s="53" t="b">
        <x:v>1</x:v>
      </x:c>
      <x:c r="O469" s="53" t="b">
        <x:v>1</x:v>
      </x:c>
      <x:c r="P469" s="47" t="n">
        <x:v>1009</x:v>
      </x:c>
      <x:c r="Q469" s="47" t="n">
        <x:v>0</x:v>
      </x:c>
      <x:c r="R469" s="47" t="n">
        <x:v>0</x:v>
      </x:c>
      <x:c r="S469" s="47" t="n">
        <x:v>29.18</x:v>
      </x:c>
      <x:c r="T469" s="47" t="n">
        <x:v>62.91</x:v>
      </x:c>
      <x:c r="U469" s="47" t="n">
        <x:v>29.8</x:v>
      </x:c>
      <x:c r="V469" s="47" t="n">
        <x:v>12</x:v>
      </x:c>
      <x:c r="W469" s="47" t="n">
        <x:v>0</x:v>
      </x:c>
      <x:c r="X469" s="47" t="n">
        <x:v>0</x:v>
      </x:c>
      <x:c r="Y469" s="41" t="n">
        <x:v>0</x:v>
      </x:c>
    </x:row>
    <x:row r="470">
      <x:c r="A470" s="38" t="str">
        <x:v>7月30日现场数据</x:v>
      </x:c>
      <x:c r="B470" s="66" t="str">
        <x:v>2026-08-01T04:28:41.784000</x:v>
      </x:c>
      <x:c r="C470" s="47" t="n">
        <x:v>300984</x:v>
      </x:c>
      <x:c r="D470" s="47" t="str"/>
      <x:c r="E470" s="47" t="str"/>
      <x:c r="F470" s="47" t="str">
        <x:v>current</x:v>
      </x:c>
      <x:c r="G470" s="47" t="n">
        <x:v>466</x:v>
      </x:c>
      <x:c r="H470" s="53" t="b">
        <x:v>1</x:v>
      </x:c>
      <x:c r="I470" s="47" t="str">
        <x:v>3045069830</x:v>
      </x:c>
      <x:c r="J470" s="47" t="n">
        <x:v>50565614</x:v>
      </x:c>
      <x:c r="K470" s="53" t="b">
        <x:v>1</x:v>
      </x:c>
      <x:c r="L470" s="53" t="b">
        <x:v>1</x:v>
      </x:c>
      <x:c r="M470" s="53" t="b">
        <x:v>1</x:v>
      </x:c>
      <x:c r="N470" s="53" t="b">
        <x:v>1</x:v>
      </x:c>
      <x:c r="O470" s="53" t="b">
        <x:v>1</x:v>
      </x:c>
      <x:c r="P470" s="47" t="n">
        <x:v>1009</x:v>
      </x:c>
      <x:c r="Q470" s="47" t="n">
        <x:v>0</x:v>
      </x:c>
      <x:c r="R470" s="47" t="n">
        <x:v>0</x:v>
      </x:c>
      <x:c r="S470" s="47" t="n">
        <x:v>29.17</x:v>
      </x:c>
      <x:c r="T470" s="47" t="n">
        <x:v>63</x:v>
      </x:c>
      <x:c r="U470" s="47" t="n">
        <x:v>29.7</x:v>
      </x:c>
      <x:c r="V470" s="47" t="n">
        <x:v>12</x:v>
      </x:c>
      <x:c r="W470" s="47" t="n">
        <x:v>0</x:v>
      </x:c>
      <x:c r="X470" s="47" t="n">
        <x:v>0</x:v>
      </x:c>
      <x:c r="Y470" s="41" t="n">
        <x:v>0</x:v>
      </x:c>
    </x:row>
    <x:row r="471">
      <x:c r="A471" s="38" t="str">
        <x:v>7月30日现场数据</x:v>
      </x:c>
      <x:c r="B471" s="66" t="str">
        <x:v>2026-08-01T04:33:42.771000</x:v>
      </x:c>
      <x:c r="C471" s="47" t="n">
        <x:v>300987</x:v>
      </x:c>
      <x:c r="D471" s="47" t="str"/>
      <x:c r="E471" s="47" t="str"/>
      <x:c r="F471" s="47" t="str">
        <x:v>current</x:v>
      </x:c>
      <x:c r="G471" s="47" t="n">
        <x:v>467</x:v>
      </x:c>
      <x:c r="H471" s="53" t="b">
        <x:v>1</x:v>
      </x:c>
      <x:c r="I471" s="47" t="str">
        <x:v>3045069830</x:v>
      </x:c>
      <x:c r="J471" s="47" t="n">
        <x:v>50866601</x:v>
      </x:c>
      <x:c r="K471" s="53" t="b">
        <x:v>1</x:v>
      </x:c>
      <x:c r="L471" s="53" t="b">
        <x:v>1</x:v>
      </x:c>
      <x:c r="M471" s="53" t="b">
        <x:v>1</x:v>
      </x:c>
      <x:c r="N471" s="53" t="b">
        <x:v>1</x:v>
      </x:c>
      <x:c r="O471" s="53" t="b">
        <x:v>1</x:v>
      </x:c>
      <x:c r="P471" s="47" t="n">
        <x:v>1009</x:v>
      </x:c>
      <x:c r="Q471" s="47" t="n">
        <x:v>0</x:v>
      </x:c>
      <x:c r="R471" s="47" t="n">
        <x:v>0</x:v>
      </x:c>
      <x:c r="S471" s="47" t="n">
        <x:v>29.16</x:v>
      </x:c>
      <x:c r="T471" s="47" t="n">
        <x:v>63.09</x:v>
      </x:c>
      <x:c r="U471" s="47" t="n">
        <x:v>29.7</x:v>
      </x:c>
      <x:c r="V471" s="47" t="n">
        <x:v>12</x:v>
      </x:c>
      <x:c r="W471" s="47" t="n">
        <x:v>0</x:v>
      </x:c>
      <x:c r="X471" s="47" t="n">
        <x:v>0</x:v>
      </x:c>
      <x:c r="Y471" s="41" t="n">
        <x:v>0</x:v>
      </x:c>
    </x:row>
    <x:row r="472">
      <x:c r="A472" s="38" t="str">
        <x:v>7月30日现场数据</x:v>
      </x:c>
      <x:c r="B472" s="66" t="str">
        <x:v>2026-08-01T04:38:43.759000</x:v>
      </x:c>
      <x:c r="C472" s="47" t="n">
        <x:v>300988</x:v>
      </x:c>
      <x:c r="D472" s="47" t="str"/>
      <x:c r="E472" s="47" t="str"/>
      <x:c r="F472" s="47" t="str">
        <x:v>current</x:v>
      </x:c>
      <x:c r="G472" s="47" t="n">
        <x:v>468</x:v>
      </x:c>
      <x:c r="H472" s="53" t="b">
        <x:v>1</x:v>
      </x:c>
      <x:c r="I472" s="47" t="str">
        <x:v>3045069830</x:v>
      </x:c>
      <x:c r="J472" s="47" t="n">
        <x:v>51167589</x:v>
      </x:c>
      <x:c r="K472" s="53" t="b">
        <x:v>1</x:v>
      </x:c>
      <x:c r="L472" s="53" t="b">
        <x:v>1</x:v>
      </x:c>
      <x:c r="M472" s="53" t="b">
        <x:v>1</x:v>
      </x:c>
      <x:c r="N472" s="53" t="b">
        <x:v>1</x:v>
      </x:c>
      <x:c r="O472" s="53" t="b">
        <x:v>1</x:v>
      </x:c>
      <x:c r="P472" s="47" t="n">
        <x:v>1009</x:v>
      </x:c>
      <x:c r="Q472" s="47" t="n">
        <x:v>0</x:v>
      </x:c>
      <x:c r="R472" s="47" t="n">
        <x:v>0</x:v>
      </x:c>
      <x:c r="S472" s="47" t="n">
        <x:v>29.17</x:v>
      </x:c>
      <x:c r="T472" s="47" t="n">
        <x:v>63.21</x:v>
      </x:c>
      <x:c r="U472" s="47" t="n">
        <x:v>29.7</x:v>
      </x:c>
      <x:c r="V472" s="47" t="n">
        <x:v>12</x:v>
      </x:c>
      <x:c r="W472" s="47" t="n">
        <x:v>0</x:v>
      </x:c>
      <x:c r="X472" s="47" t="n">
        <x:v>0</x:v>
      </x:c>
      <x:c r="Y472" s="41" t="n">
        <x:v>0</x:v>
      </x:c>
    </x:row>
    <x:row r="473">
      <x:c r="A473" s="38" t="str">
        <x:v>7月30日现场数据</x:v>
      </x:c>
      <x:c r="B473" s="66" t="str">
        <x:v>2026-08-01T04:43:44.748000</x:v>
      </x:c>
      <x:c r="C473" s="47" t="n">
        <x:v>300989</x:v>
      </x:c>
      <x:c r="D473" s="47" t="str"/>
      <x:c r="E473" s="47" t="str"/>
      <x:c r="F473" s="47" t="str">
        <x:v>current</x:v>
      </x:c>
      <x:c r="G473" s="47" t="n">
        <x:v>469</x:v>
      </x:c>
      <x:c r="H473" s="53" t="b">
        <x:v>1</x:v>
      </x:c>
      <x:c r="I473" s="47" t="str">
        <x:v>3045069830</x:v>
      </x:c>
      <x:c r="J473" s="47" t="n">
        <x:v>51468578</x:v>
      </x:c>
      <x:c r="K473" s="53" t="b">
        <x:v>1</x:v>
      </x:c>
      <x:c r="L473" s="53" t="b">
        <x:v>1</x:v>
      </x:c>
      <x:c r="M473" s="53" t="b">
        <x:v>1</x:v>
      </x:c>
      <x:c r="N473" s="53" t="b">
        <x:v>1</x:v>
      </x:c>
      <x:c r="O473" s="53" t="b">
        <x:v>1</x:v>
      </x:c>
      <x:c r="P473" s="47" t="n">
        <x:v>1009</x:v>
      </x:c>
      <x:c r="Q473" s="47" t="n">
        <x:v>0</x:v>
      </x:c>
      <x:c r="R473" s="47" t="n">
        <x:v>0</x:v>
      </x:c>
      <x:c r="S473" s="47" t="n">
        <x:v>29.16</x:v>
      </x:c>
      <x:c r="T473" s="47" t="n">
        <x:v>63.32</x:v>
      </x:c>
      <x:c r="U473" s="47" t="n">
        <x:v>29.7</x:v>
      </x:c>
      <x:c r="V473" s="47" t="n">
        <x:v>12</x:v>
      </x:c>
      <x:c r="W473" s="47" t="n">
        <x:v>0</x:v>
      </x:c>
      <x:c r="X473" s="47" t="n">
        <x:v>0</x:v>
      </x:c>
      <x:c r="Y473" s="41" t="n">
        <x:v>0</x:v>
      </x:c>
    </x:row>
    <x:row r="474">
      <x:c r="A474" s="38" t="str">
        <x:v>7月30日现场数据</x:v>
      </x:c>
      <x:c r="B474" s="66" t="str">
        <x:v>2026-08-01T04:48:45.776000</x:v>
      </x:c>
      <x:c r="C474" s="47" t="n">
        <x:v>301028</x:v>
      </x:c>
      <x:c r="D474" s="47" t="str"/>
      <x:c r="E474" s="47" t="str"/>
      <x:c r="F474" s="47" t="str">
        <x:v>current</x:v>
      </x:c>
      <x:c r="G474" s="47" t="n">
        <x:v>470</x:v>
      </x:c>
      <x:c r="H474" s="53" t="b">
        <x:v>1</x:v>
      </x:c>
      <x:c r="I474" s="47" t="str">
        <x:v>3045069830</x:v>
      </x:c>
      <x:c r="J474" s="47" t="n">
        <x:v>51769606</x:v>
      </x:c>
      <x:c r="K474" s="53" t="b">
        <x:v>1</x:v>
      </x:c>
      <x:c r="L474" s="53" t="b">
        <x:v>1</x:v>
      </x:c>
      <x:c r="M474" s="53" t="b">
        <x:v>1</x:v>
      </x:c>
      <x:c r="N474" s="53" t="b">
        <x:v>1</x:v>
      </x:c>
      <x:c r="O474" s="53" t="b">
        <x:v>1</x:v>
      </x:c>
      <x:c r="P474" s="47" t="n">
        <x:v>1009</x:v>
      </x:c>
      <x:c r="Q474" s="47" t="n">
        <x:v>0</x:v>
      </x:c>
      <x:c r="R474" s="47" t="n">
        <x:v>0</x:v>
      </x:c>
      <x:c r="S474" s="47" t="n">
        <x:v>29.15</x:v>
      </x:c>
      <x:c r="T474" s="47" t="n">
        <x:v>63.44</x:v>
      </x:c>
      <x:c r="U474" s="47" t="n">
        <x:v>29.7</x:v>
      </x:c>
      <x:c r="V474" s="47" t="n">
        <x:v>12</x:v>
      </x:c>
      <x:c r="W474" s="47" t="n">
        <x:v>0</x:v>
      </x:c>
      <x:c r="X474" s="47" t="n">
        <x:v>0</x:v>
      </x:c>
      <x:c r="Y474" s="41" t="n">
        <x:v>0</x:v>
      </x:c>
    </x:row>
    <x:row r="475">
      <x:c r="A475" s="38" t="str">
        <x:v>7月30日现场数据</x:v>
      </x:c>
      <x:c r="B475" s="66" t="str">
        <x:v>2026-08-01T04:53:46.744000</x:v>
      </x:c>
      <x:c r="C475" s="47" t="n">
        <x:v>300968</x:v>
      </x:c>
      <x:c r="D475" s="47" t="str"/>
      <x:c r="E475" s="47" t="str"/>
      <x:c r="F475" s="47" t="str">
        <x:v>current</x:v>
      </x:c>
      <x:c r="G475" s="47" t="n">
        <x:v>471</x:v>
      </x:c>
      <x:c r="H475" s="53" t="b">
        <x:v>1</x:v>
      </x:c>
      <x:c r="I475" s="47" t="str">
        <x:v>3045069830</x:v>
      </x:c>
      <x:c r="J475" s="47" t="n">
        <x:v>52070574</x:v>
      </x:c>
      <x:c r="K475" s="53" t="b">
        <x:v>1</x:v>
      </x:c>
      <x:c r="L475" s="53" t="b">
        <x:v>1</x:v>
      </x:c>
      <x:c r="M475" s="53" t="b">
        <x:v>1</x:v>
      </x:c>
      <x:c r="N475" s="53" t="b">
        <x:v>1</x:v>
      </x:c>
      <x:c r="O475" s="53" t="b">
        <x:v>1</x:v>
      </x:c>
      <x:c r="P475" s="47" t="n">
        <x:v>1009</x:v>
      </x:c>
      <x:c r="Q475" s="47" t="n">
        <x:v>0</x:v>
      </x:c>
      <x:c r="R475" s="47" t="n">
        <x:v>0</x:v>
      </x:c>
      <x:c r="S475" s="47" t="n">
        <x:v>29.14</x:v>
      </x:c>
      <x:c r="T475" s="47" t="n">
        <x:v>63.49</x:v>
      </x:c>
      <x:c r="U475" s="47" t="n">
        <x:v>29.7</x:v>
      </x:c>
      <x:c r="V475" s="47" t="n">
        <x:v>12</x:v>
      </x:c>
      <x:c r="W475" s="47" t="n">
        <x:v>0</x:v>
      </x:c>
      <x:c r="X475" s="47" t="n">
        <x:v>0</x:v>
      </x:c>
      <x:c r="Y475" s="41" t="n">
        <x:v>0</x:v>
      </x:c>
    </x:row>
    <x:row r="476">
      <x:c r="A476" s="38" t="str">
        <x:v>7月30日现场数据</x:v>
      </x:c>
      <x:c r="B476" s="66" t="str">
        <x:v>2026-08-01T04:58:47.712000</x:v>
      </x:c>
      <x:c r="C476" s="47" t="n">
        <x:v>300968</x:v>
      </x:c>
      <x:c r="D476" s="47" t="str"/>
      <x:c r="E476" s="47" t="str"/>
      <x:c r="F476" s="47" t="str">
        <x:v>current</x:v>
      </x:c>
      <x:c r="G476" s="47" t="n">
        <x:v>472</x:v>
      </x:c>
      <x:c r="H476" s="53" t="b">
        <x:v>1</x:v>
      </x:c>
      <x:c r="I476" s="47" t="str">
        <x:v>3045069830</x:v>
      </x:c>
      <x:c r="J476" s="47" t="n">
        <x:v>52371542</x:v>
      </x:c>
      <x:c r="K476" s="53" t="b">
        <x:v>1</x:v>
      </x:c>
      <x:c r="L476" s="53" t="b">
        <x:v>1</x:v>
      </x:c>
      <x:c r="M476" s="53" t="b">
        <x:v>1</x:v>
      </x:c>
      <x:c r="N476" s="53" t="b">
        <x:v>1</x:v>
      </x:c>
      <x:c r="O476" s="53" t="b">
        <x:v>1</x:v>
      </x:c>
      <x:c r="P476" s="47" t="n">
        <x:v>1009</x:v>
      </x:c>
      <x:c r="Q476" s="47" t="n">
        <x:v>0</x:v>
      </x:c>
      <x:c r="R476" s="47" t="n">
        <x:v>0</x:v>
      </x:c>
      <x:c r="S476" s="47" t="n">
        <x:v>29.15</x:v>
      </x:c>
      <x:c r="T476" s="47" t="n">
        <x:v>63.6</x:v>
      </x:c>
      <x:c r="U476" s="47" t="n">
        <x:v>29.7</x:v>
      </x:c>
      <x:c r="V476" s="47" t="n">
        <x:v>12.1</x:v>
      </x:c>
      <x:c r="W476" s="47" t="n">
        <x:v>0</x:v>
      </x:c>
      <x:c r="X476" s="47" t="n">
        <x:v>1</x:v>
      </x:c>
      <x:c r="Y476" s="41" t="n">
        <x:v>1</x:v>
      </x:c>
    </x:row>
    <x:row r="477">
      <x:c r="A477" s="38" t="str">
        <x:v>7月30日现场数据</x:v>
      </x:c>
      <x:c r="B477" s="66" t="str">
        <x:v>2026-08-01T05:03:48.685000</x:v>
      </x:c>
      <x:c r="C477" s="47" t="n">
        <x:v>300973</x:v>
      </x:c>
      <x:c r="D477" s="47" t="str"/>
      <x:c r="E477" s="47" t="str"/>
      <x:c r="F477" s="47" t="str">
        <x:v>current</x:v>
      </x:c>
      <x:c r="G477" s="47" t="n">
        <x:v>473</x:v>
      </x:c>
      <x:c r="H477" s="53" t="b">
        <x:v>1</x:v>
      </x:c>
      <x:c r="I477" s="47" t="str">
        <x:v>3045069830</x:v>
      </x:c>
      <x:c r="J477" s="47" t="n">
        <x:v>52672515</x:v>
      </x:c>
      <x:c r="K477" s="53" t="b">
        <x:v>1</x:v>
      </x:c>
      <x:c r="L477" s="53" t="b">
        <x:v>1</x:v>
      </x:c>
      <x:c r="M477" s="53" t="b">
        <x:v>1</x:v>
      </x:c>
      <x:c r="N477" s="53" t="b">
        <x:v>1</x:v>
      </x:c>
      <x:c r="O477" s="53" t="b">
        <x:v>1</x:v>
      </x:c>
      <x:c r="P477" s="47" t="n">
        <x:v>1009</x:v>
      </x:c>
      <x:c r="Q477" s="47" t="n">
        <x:v>0</x:v>
      </x:c>
      <x:c r="R477" s="47" t="n">
        <x:v>0</x:v>
      </x:c>
      <x:c r="S477" s="47" t="n">
        <x:v>29.14</x:v>
      </x:c>
      <x:c r="T477" s="47" t="n">
        <x:v>63.68</x:v>
      </x:c>
      <x:c r="U477" s="47" t="n">
        <x:v>29.7</x:v>
      </x:c>
      <x:c r="V477" s="47" t="n">
        <x:v>12</x:v>
      </x:c>
      <x:c r="W477" s="47" t="n">
        <x:v>0</x:v>
      </x:c>
      <x:c r="X477" s="47" t="n">
        <x:v>1</x:v>
      </x:c>
      <x:c r="Y477" s="41" t="n">
        <x:v>1</x:v>
      </x:c>
    </x:row>
    <x:row r="478">
      <x:c r="A478" s="38" t="str">
        <x:v>7月30日现场数据</x:v>
      </x:c>
      <x:c r="B478" s="66" t="str">
        <x:v>2026-08-01T05:08:49.661000</x:v>
      </x:c>
      <x:c r="C478" s="47" t="n">
        <x:v>300976</x:v>
      </x:c>
      <x:c r="D478" s="47" t="str"/>
      <x:c r="E478" s="47" t="str"/>
      <x:c r="F478" s="47" t="str">
        <x:v>current</x:v>
      </x:c>
      <x:c r="G478" s="47" t="n">
        <x:v>474</x:v>
      </x:c>
      <x:c r="H478" s="53" t="b">
        <x:v>1</x:v>
      </x:c>
      <x:c r="I478" s="47" t="str">
        <x:v>3045069830</x:v>
      </x:c>
      <x:c r="J478" s="47" t="n">
        <x:v>52973491</x:v>
      </x:c>
      <x:c r="K478" s="53" t="b">
        <x:v>1</x:v>
      </x:c>
      <x:c r="L478" s="53" t="b">
        <x:v>1</x:v>
      </x:c>
      <x:c r="M478" s="53" t="b">
        <x:v>1</x:v>
      </x:c>
      <x:c r="N478" s="53" t="b">
        <x:v>1</x:v>
      </x:c>
      <x:c r="O478" s="53" t="b">
        <x:v>1</x:v>
      </x:c>
      <x:c r="P478" s="47" t="n">
        <x:v>1009</x:v>
      </x:c>
      <x:c r="Q478" s="47" t="n">
        <x:v>0</x:v>
      </x:c>
      <x:c r="R478" s="47" t="n">
        <x:v>0</x:v>
      </x:c>
      <x:c r="S478" s="47" t="n">
        <x:v>29.13</x:v>
      </x:c>
      <x:c r="T478" s="47" t="n">
        <x:v>63.81</x:v>
      </x:c>
      <x:c r="U478" s="47" t="n">
        <x:v>29.7</x:v>
      </x:c>
      <x:c r="V478" s="47" t="n">
        <x:v>12</x:v>
      </x:c>
      <x:c r="W478" s="47" t="n">
        <x:v>1</x:v>
      </x:c>
      <x:c r="X478" s="47" t="n">
        <x:v>3</x:v>
      </x:c>
      <x:c r="Y478" s="41" t="n">
        <x:v>2</x:v>
      </x:c>
    </x:row>
    <x:row r="479">
      <x:c r="A479" s="38" t="str">
        <x:v>7月30日现场数据</x:v>
      </x:c>
      <x:c r="B479" s="66" t="str">
        <x:v>2026-08-01T05:13:50.636000</x:v>
      </x:c>
      <x:c r="C479" s="47" t="n">
        <x:v>300975</x:v>
      </x:c>
      <x:c r="D479" s="47" t="str"/>
      <x:c r="E479" s="47" t="str"/>
      <x:c r="F479" s="47" t="str">
        <x:v>current</x:v>
      </x:c>
      <x:c r="G479" s="47" t="n">
        <x:v>475</x:v>
      </x:c>
      <x:c r="H479" s="53" t="b">
        <x:v>1</x:v>
      </x:c>
      <x:c r="I479" s="47" t="str">
        <x:v>3045069830</x:v>
      </x:c>
      <x:c r="J479" s="47" t="n">
        <x:v>53274466</x:v>
      </x:c>
      <x:c r="K479" s="53" t="b">
        <x:v>1</x:v>
      </x:c>
      <x:c r="L479" s="53" t="b">
        <x:v>1</x:v>
      </x:c>
      <x:c r="M479" s="53" t="b">
        <x:v>1</x:v>
      </x:c>
      <x:c r="N479" s="53" t="b">
        <x:v>1</x:v>
      </x:c>
      <x:c r="O479" s="53" t="b">
        <x:v>1</x:v>
      </x:c>
      <x:c r="P479" s="47" t="n">
        <x:v>1009</x:v>
      </x:c>
      <x:c r="Q479" s="47" t="n">
        <x:v>0</x:v>
      </x:c>
      <x:c r="R479" s="47" t="n">
        <x:v>0</x:v>
      </x:c>
      <x:c r="S479" s="47" t="n">
        <x:v>29.14</x:v>
      </x:c>
      <x:c r="T479" s="47" t="n">
        <x:v>63.88</x:v>
      </x:c>
      <x:c r="U479" s="47" t="n">
        <x:v>29.7</x:v>
      </x:c>
      <x:c r="V479" s="47" t="n">
        <x:v>12</x:v>
      </x:c>
      <x:c r="W479" s="47" t="n">
        <x:v>1</x:v>
      </x:c>
      <x:c r="X479" s="47" t="n">
        <x:v>3</x:v>
      </x:c>
      <x:c r="Y479" s="41" t="n">
        <x:v>2</x:v>
      </x:c>
    </x:row>
    <x:row r="480">
      <x:c r="A480" s="38" t="str">
        <x:v>7月30日现场数据</x:v>
      </x:c>
      <x:c r="B480" s="66" t="str">
        <x:v>2026-08-01T05:18:51.614000</x:v>
      </x:c>
      <x:c r="C480" s="47" t="n">
        <x:v>300978</x:v>
      </x:c>
      <x:c r="D480" s="47" t="str"/>
      <x:c r="E480" s="47" t="str"/>
      <x:c r="F480" s="47" t="str">
        <x:v>current</x:v>
      </x:c>
      <x:c r="G480" s="47" t="n">
        <x:v>476</x:v>
      </x:c>
      <x:c r="H480" s="53" t="b">
        <x:v>1</x:v>
      </x:c>
      <x:c r="I480" s="47" t="str">
        <x:v>3045069830</x:v>
      </x:c>
      <x:c r="J480" s="47" t="n">
        <x:v>53575444</x:v>
      </x:c>
      <x:c r="K480" s="53" t="b">
        <x:v>1</x:v>
      </x:c>
      <x:c r="L480" s="53" t="b">
        <x:v>1</x:v>
      </x:c>
      <x:c r="M480" s="53" t="b">
        <x:v>1</x:v>
      </x:c>
      <x:c r="N480" s="53" t="b">
        <x:v>1</x:v>
      </x:c>
      <x:c r="O480" s="53" t="b">
        <x:v>1</x:v>
      </x:c>
      <x:c r="P480" s="47" t="n">
        <x:v>1009</x:v>
      </x:c>
      <x:c r="Q480" s="47" t="n">
        <x:v>0</x:v>
      </x:c>
      <x:c r="R480" s="47" t="n">
        <x:v>0</x:v>
      </x:c>
      <x:c r="S480" s="47" t="n">
        <x:v>29.15</x:v>
      </x:c>
      <x:c r="T480" s="47" t="n">
        <x:v>63.95</x:v>
      </x:c>
      <x:c r="U480" s="47" t="n">
        <x:v>29.7</x:v>
      </x:c>
      <x:c r="V480" s="47" t="n">
        <x:v>12</x:v>
      </x:c>
      <x:c r="W480" s="47" t="n">
        <x:v>1</x:v>
      </x:c>
      <x:c r="X480" s="47" t="n">
        <x:v>5</x:v>
      </x:c>
      <x:c r="Y480" s="41" t="n">
        <x:v>4</x:v>
      </x:c>
    </x:row>
    <x:row r="481">
      <x:c r="A481" s="38" t="str">
        <x:v>7月30日现场数据</x:v>
      </x:c>
      <x:c r="B481" s="66" t="str">
        <x:v>2026-08-01T05:23:52.593000</x:v>
      </x:c>
      <x:c r="C481" s="47" t="n">
        <x:v>300979</x:v>
      </x:c>
      <x:c r="D481" s="47" t="str"/>
      <x:c r="E481" s="47" t="str"/>
      <x:c r="F481" s="47" t="str">
        <x:v>current</x:v>
      </x:c>
      <x:c r="G481" s="47" t="n">
        <x:v>477</x:v>
      </x:c>
      <x:c r="H481" s="53" t="b">
        <x:v>1</x:v>
      </x:c>
      <x:c r="I481" s="47" t="str">
        <x:v>3045069830</x:v>
      </x:c>
      <x:c r="J481" s="47" t="n">
        <x:v>53876423</x:v>
      </x:c>
      <x:c r="K481" s="53" t="b">
        <x:v>1</x:v>
      </x:c>
      <x:c r="L481" s="53" t="b">
        <x:v>1</x:v>
      </x:c>
      <x:c r="M481" s="53" t="b">
        <x:v>1</x:v>
      </x:c>
      <x:c r="N481" s="53" t="b">
        <x:v>1</x:v>
      </x:c>
      <x:c r="O481" s="53" t="b">
        <x:v>1</x:v>
      </x:c>
      <x:c r="P481" s="47" t="n">
        <x:v>1009</x:v>
      </x:c>
      <x:c r="Q481" s="47" t="n">
        <x:v>0</x:v>
      </x:c>
      <x:c r="R481" s="47" t="n">
        <x:v>0</x:v>
      </x:c>
      <x:c r="S481" s="47" t="n">
        <x:v>29.2</x:v>
      </x:c>
      <x:c r="T481" s="47" t="n">
        <x:v>64.16</x:v>
      </x:c>
      <x:c r="U481" s="47" t="n">
        <x:v>29.7</x:v>
      </x:c>
      <x:c r="V481" s="47" t="n">
        <x:v>12</x:v>
      </x:c>
      <x:c r="W481" s="47" t="n">
        <x:v>2</x:v>
      </x:c>
      <x:c r="X481" s="47" t="n">
        <x:v>6</x:v>
      </x:c>
      <x:c r="Y481" s="41" t="n">
        <x:v>4</x:v>
      </x:c>
    </x:row>
    <x:row r="482">
      <x:c r="A482" s="38" t="str">
        <x:v>7月30日现场数据</x:v>
      </x:c>
      <x:c r="B482" s="66" t="str">
        <x:v>2026-08-01T05:28:53.575000</x:v>
      </x:c>
      <x:c r="C482" s="47" t="n">
        <x:v>300982</x:v>
      </x:c>
      <x:c r="D482" s="47" t="str"/>
      <x:c r="E482" s="47" t="str"/>
      <x:c r="F482" s="47" t="str">
        <x:v>current</x:v>
      </x:c>
      <x:c r="G482" s="47" t="n">
        <x:v>478</x:v>
      </x:c>
      <x:c r="H482" s="53" t="b">
        <x:v>1</x:v>
      </x:c>
      <x:c r="I482" s="47" t="str">
        <x:v>3045069830</x:v>
      </x:c>
      <x:c r="J482" s="47" t="n">
        <x:v>54177405</x:v>
      </x:c>
      <x:c r="K482" s="53" t="b">
        <x:v>1</x:v>
      </x:c>
      <x:c r="L482" s="53" t="b">
        <x:v>1</x:v>
      </x:c>
      <x:c r="M482" s="53" t="b">
        <x:v>1</x:v>
      </x:c>
      <x:c r="N482" s="53" t="b">
        <x:v>1</x:v>
      </x:c>
      <x:c r="O482" s="53" t="b">
        <x:v>1</x:v>
      </x:c>
      <x:c r="P482" s="47" t="n">
        <x:v>1009</x:v>
      </x:c>
      <x:c r="Q482" s="47" t="n">
        <x:v>0</x:v>
      </x:c>
      <x:c r="R482" s="47" t="n">
        <x:v>0</x:v>
      </x:c>
      <x:c r="S482" s="47" t="n">
        <x:v>29.26</x:v>
      </x:c>
      <x:c r="T482" s="47" t="n">
        <x:v>64.19</x:v>
      </x:c>
      <x:c r="U482" s="47" t="n">
        <x:v>29.6</x:v>
      </x:c>
      <x:c r="V482" s="47" t="n">
        <x:v>12</x:v>
      </x:c>
      <x:c r="W482" s="47" t="n">
        <x:v>2</x:v>
      </x:c>
      <x:c r="X482" s="47" t="n">
        <x:v>7</x:v>
      </x:c>
      <x:c r="Y482" s="41" t="n">
        <x:v>5</x:v>
      </x:c>
    </x:row>
    <x:row r="483">
      <x:c r="A483" s="38" t="str">
        <x:v>7月30日现场数据</x:v>
      </x:c>
      <x:c r="B483" s="66" t="str">
        <x:v>2026-08-01T05:33:54.556000</x:v>
      </x:c>
      <x:c r="C483" s="47" t="n">
        <x:v>300981</x:v>
      </x:c>
      <x:c r="D483" s="47" t="str"/>
      <x:c r="E483" s="47" t="str"/>
      <x:c r="F483" s="47" t="str">
        <x:v>current</x:v>
      </x:c>
      <x:c r="G483" s="47" t="n">
        <x:v>479</x:v>
      </x:c>
      <x:c r="H483" s="53" t="b">
        <x:v>1</x:v>
      </x:c>
      <x:c r="I483" s="47" t="str">
        <x:v>3045069830</x:v>
      </x:c>
      <x:c r="J483" s="47" t="n">
        <x:v>54478386</x:v>
      </x:c>
      <x:c r="K483" s="53" t="b">
        <x:v>1</x:v>
      </x:c>
      <x:c r="L483" s="53" t="b">
        <x:v>1</x:v>
      </x:c>
      <x:c r="M483" s="53" t="b">
        <x:v>1</x:v>
      </x:c>
      <x:c r="N483" s="53" t="b">
        <x:v>1</x:v>
      </x:c>
      <x:c r="O483" s="53" t="b">
        <x:v>1</x:v>
      </x:c>
      <x:c r="P483" s="47" t="n">
        <x:v>1009</x:v>
      </x:c>
      <x:c r="Q483" s="47" t="n">
        <x:v>0</x:v>
      </x:c>
      <x:c r="R483" s="47" t="n">
        <x:v>0</x:v>
      </x:c>
      <x:c r="S483" s="47" t="n">
        <x:v>29.33</x:v>
      </x:c>
      <x:c r="T483" s="47" t="n">
        <x:v>64.33</x:v>
      </x:c>
      <x:c r="U483" s="47" t="n">
        <x:v>29.6</x:v>
      </x:c>
      <x:c r="V483" s="47" t="n">
        <x:v>12</x:v>
      </x:c>
      <x:c r="W483" s="47" t="n">
        <x:v>2</x:v>
      </x:c>
      <x:c r="X483" s="47" t="n">
        <x:v>9</x:v>
      </x:c>
      <x:c r="Y483" s="41" t="n">
        <x:v>7</x:v>
      </x:c>
    </x:row>
    <x:row r="484">
      <x:c r="A484" s="38" t="str">
        <x:v>7月30日现场数据</x:v>
      </x:c>
      <x:c r="B484" s="66" t="str">
        <x:v>2026-08-01T05:38:55.540000</x:v>
      </x:c>
      <x:c r="C484" s="47" t="n">
        <x:v>300984</x:v>
      </x:c>
      <x:c r="D484" s="47" t="str"/>
      <x:c r="E484" s="47" t="str"/>
      <x:c r="F484" s="47" t="str">
        <x:v>current</x:v>
      </x:c>
      <x:c r="G484" s="47" t="n">
        <x:v>480</x:v>
      </x:c>
      <x:c r="H484" s="53" t="b">
        <x:v>1</x:v>
      </x:c>
      <x:c r="I484" s="47" t="str">
        <x:v>3045069830</x:v>
      </x:c>
      <x:c r="J484" s="47" t="n">
        <x:v>54779370</x:v>
      </x:c>
      <x:c r="K484" s="53" t="b">
        <x:v>1</x:v>
      </x:c>
      <x:c r="L484" s="53" t="b">
        <x:v>1</x:v>
      </x:c>
      <x:c r="M484" s="53" t="b">
        <x:v>1</x:v>
      </x:c>
      <x:c r="N484" s="53" t="b">
        <x:v>1</x:v>
      </x:c>
      <x:c r="O484" s="53" t="b">
        <x:v>1</x:v>
      </x:c>
      <x:c r="P484" s="47" t="n">
        <x:v>1009</x:v>
      </x:c>
      <x:c r="Q484" s="47" t="n">
        <x:v>0</x:v>
      </x:c>
      <x:c r="R484" s="47" t="n">
        <x:v>0</x:v>
      </x:c>
      <x:c r="S484" s="47" t="n">
        <x:v>29.4</x:v>
      </x:c>
      <x:c r="T484" s="47" t="n">
        <x:v>64.44</x:v>
      </x:c>
      <x:c r="U484" s="47" t="n">
        <x:v>29.6</x:v>
      </x:c>
      <x:c r="V484" s="47" t="n">
        <x:v>12</x:v>
      </x:c>
      <x:c r="W484" s="47" t="n">
        <x:v>3</x:v>
      </x:c>
      <x:c r="X484" s="47" t="n">
        <x:v>10</x:v>
      </x:c>
      <x:c r="Y484" s="41" t="n">
        <x:v>7</x:v>
      </x:c>
    </x:row>
    <x:row r="485">
      <x:c r="A485" s="38" t="str">
        <x:v>7月30日现场数据</x:v>
      </x:c>
      <x:c r="B485" s="66" t="str">
        <x:v>2026-08-01T05:43:56.527000</x:v>
      </x:c>
      <x:c r="C485" s="47" t="n">
        <x:v>300987</x:v>
      </x:c>
      <x:c r="D485" s="47" t="str"/>
      <x:c r="E485" s="47" t="str"/>
      <x:c r="F485" s="47" t="str">
        <x:v>current</x:v>
      </x:c>
      <x:c r="G485" s="47" t="n">
        <x:v>481</x:v>
      </x:c>
      <x:c r="H485" s="53" t="b">
        <x:v>1</x:v>
      </x:c>
      <x:c r="I485" s="47" t="str">
        <x:v>3045069830</x:v>
      </x:c>
      <x:c r="J485" s="47" t="n">
        <x:v>55080357</x:v>
      </x:c>
      <x:c r="K485" s="53" t="b">
        <x:v>1</x:v>
      </x:c>
      <x:c r="L485" s="53" t="b">
        <x:v>1</x:v>
      </x:c>
      <x:c r="M485" s="53" t="b">
        <x:v>1</x:v>
      </x:c>
      <x:c r="N485" s="53" t="b">
        <x:v>1</x:v>
      </x:c>
      <x:c r="O485" s="53" t="b">
        <x:v>1</x:v>
      </x:c>
      <x:c r="P485" s="47" t="n">
        <x:v>1009</x:v>
      </x:c>
      <x:c r="Q485" s="47" t="n">
        <x:v>0</x:v>
      </x:c>
      <x:c r="R485" s="47" t="n">
        <x:v>0</x:v>
      </x:c>
      <x:c r="S485" s="47" t="n">
        <x:v>29.45</x:v>
      </x:c>
      <x:c r="T485" s="47" t="n">
        <x:v>64.55</x:v>
      </x:c>
      <x:c r="U485" s="47" t="n">
        <x:v>29.6</x:v>
      </x:c>
      <x:c r="V485" s="47" t="n">
        <x:v>12.1</x:v>
      </x:c>
      <x:c r="W485" s="47" t="n">
        <x:v>3</x:v>
      </x:c>
      <x:c r="X485" s="47" t="n">
        <x:v>11</x:v>
      </x:c>
      <x:c r="Y485" s="41" t="n">
        <x:v>8</x:v>
      </x:c>
    </x:row>
    <x:row r="486">
      <x:c r="A486" s="38" t="str">
        <x:v>7月30日现场数据</x:v>
      </x:c>
      <x:c r="B486" s="66" t="str">
        <x:v>2026-08-01T05:48:57.529000</x:v>
      </x:c>
      <x:c r="C486" s="47" t="n">
        <x:v>301002</x:v>
      </x:c>
      <x:c r="D486" s="47" t="str"/>
      <x:c r="E486" s="47" t="str"/>
      <x:c r="F486" s="47" t="str">
        <x:v>current</x:v>
      </x:c>
      <x:c r="G486" s="47" t="n">
        <x:v>482</x:v>
      </x:c>
      <x:c r="H486" s="53" t="b">
        <x:v>1</x:v>
      </x:c>
      <x:c r="I486" s="47" t="str">
        <x:v>3045069830</x:v>
      </x:c>
      <x:c r="J486" s="47" t="n">
        <x:v>55381359</x:v>
      </x:c>
      <x:c r="K486" s="53" t="b">
        <x:v>1</x:v>
      </x:c>
      <x:c r="L486" s="53" t="b">
        <x:v>1</x:v>
      </x:c>
      <x:c r="M486" s="53" t="b">
        <x:v>1</x:v>
      </x:c>
      <x:c r="N486" s="53" t="b">
        <x:v>1</x:v>
      </x:c>
      <x:c r="O486" s="53" t="b">
        <x:v>1</x:v>
      </x:c>
      <x:c r="P486" s="47" t="n">
        <x:v>1009</x:v>
      </x:c>
      <x:c r="Q486" s="47" t="n">
        <x:v>0</x:v>
      </x:c>
      <x:c r="R486" s="47" t="n">
        <x:v>0</x:v>
      </x:c>
      <x:c r="S486" s="47" t="n">
        <x:v>29.51</x:v>
      </x:c>
      <x:c r="T486" s="47" t="n">
        <x:v>64.69</x:v>
      </x:c>
      <x:c r="U486" s="47" t="n">
        <x:v>29.6</x:v>
      </x:c>
      <x:c r="V486" s="47" t="n">
        <x:v>12</x:v>
      </x:c>
      <x:c r="W486" s="47" t="n">
        <x:v>3</x:v>
      </x:c>
      <x:c r="X486" s="47" t="n">
        <x:v>13</x:v>
      </x:c>
      <x:c r="Y486" s="41" t="n">
        <x:v>10</x:v>
      </x:c>
    </x:row>
    <x:row r="487">
      <x:c r="A487" s="38" t="str">
        <x:v>7月30日现场数据</x:v>
      </x:c>
      <x:c r="B487" s="66" t="str">
        <x:v>2026-08-01T05:53:58.504000</x:v>
      </x:c>
      <x:c r="C487" s="47" t="n">
        <x:v>300975</x:v>
      </x:c>
      <x:c r="D487" s="47" t="str"/>
      <x:c r="E487" s="47" t="str"/>
      <x:c r="F487" s="47" t="str">
        <x:v>current</x:v>
      </x:c>
      <x:c r="G487" s="47" t="n">
        <x:v>483</x:v>
      </x:c>
      <x:c r="H487" s="53" t="b">
        <x:v>1</x:v>
      </x:c>
      <x:c r="I487" s="47" t="str">
        <x:v>3045069830</x:v>
      </x:c>
      <x:c r="J487" s="47" t="n">
        <x:v>55682334</x:v>
      </x:c>
      <x:c r="K487" s="53" t="b">
        <x:v>1</x:v>
      </x:c>
      <x:c r="L487" s="53" t="b">
        <x:v>1</x:v>
      </x:c>
      <x:c r="M487" s="53" t="b">
        <x:v>1</x:v>
      </x:c>
      <x:c r="N487" s="53" t="b">
        <x:v>1</x:v>
      </x:c>
      <x:c r="O487" s="53" t="b">
        <x:v>1</x:v>
      </x:c>
      <x:c r="P487" s="47" t="n">
        <x:v>1009</x:v>
      </x:c>
      <x:c r="Q487" s="47" t="n">
        <x:v>0</x:v>
      </x:c>
      <x:c r="R487" s="47" t="n">
        <x:v>0</x:v>
      </x:c>
      <x:c r="S487" s="47" t="n">
        <x:v>29.52</x:v>
      </x:c>
      <x:c r="T487" s="47" t="n">
        <x:v>64.75</x:v>
      </x:c>
      <x:c r="U487" s="47" t="n">
        <x:v>29.7</x:v>
      </x:c>
      <x:c r="V487" s="47" t="n">
        <x:v>12</x:v>
      </x:c>
      <x:c r="W487" s="47" t="n">
        <x:v>3</x:v>
      </x:c>
      <x:c r="X487" s="47" t="n">
        <x:v>14</x:v>
      </x:c>
      <x:c r="Y487" s="41" t="n">
        <x:v>11</x:v>
      </x:c>
    </x:row>
    <x:row r="488">
      <x:c r="A488" s="38" t="str">
        <x:v>7月30日现场数据</x:v>
      </x:c>
      <x:c r="B488" s="66" t="str">
        <x:v>2026-08-01T05:58:59.481000</x:v>
      </x:c>
      <x:c r="C488" s="47" t="n">
        <x:v>300977</x:v>
      </x:c>
      <x:c r="D488" s="47" t="str"/>
      <x:c r="E488" s="47" t="str"/>
      <x:c r="F488" s="47" t="str">
        <x:v>current</x:v>
      </x:c>
      <x:c r="G488" s="47" t="n">
        <x:v>484</x:v>
      </x:c>
      <x:c r="H488" s="53" t="b">
        <x:v>1</x:v>
      </x:c>
      <x:c r="I488" s="47" t="str">
        <x:v>3045069830</x:v>
      </x:c>
      <x:c r="J488" s="47" t="n">
        <x:v>55983311</x:v>
      </x:c>
      <x:c r="K488" s="53" t="b">
        <x:v>1</x:v>
      </x:c>
      <x:c r="L488" s="53" t="b">
        <x:v>1</x:v>
      </x:c>
      <x:c r="M488" s="53" t="b">
        <x:v>1</x:v>
      </x:c>
      <x:c r="N488" s="53" t="b">
        <x:v>1</x:v>
      </x:c>
      <x:c r="O488" s="53" t="b">
        <x:v>1</x:v>
      </x:c>
      <x:c r="P488" s="47" t="n">
        <x:v>1009</x:v>
      </x:c>
      <x:c r="Q488" s="47" t="n">
        <x:v>0</x:v>
      </x:c>
      <x:c r="R488" s="47" t="n">
        <x:v>0</x:v>
      </x:c>
      <x:c r="S488" s="47" t="n">
        <x:v>29.64</x:v>
      </x:c>
      <x:c r="T488" s="47" t="n">
        <x:v>64.94</x:v>
      </x:c>
      <x:c r="U488" s="47" t="n">
        <x:v>29.6</x:v>
      </x:c>
      <x:c r="V488" s="47" t="n">
        <x:v>12</x:v>
      </x:c>
      <x:c r="W488" s="47" t="n">
        <x:v>4</x:v>
      </x:c>
      <x:c r="X488" s="47" t="n">
        <x:v>16</x:v>
      </x:c>
      <x:c r="Y488" s="41" t="n">
        <x:v>12</x:v>
      </x:c>
    </x:row>
    <x:row r="489">
      <x:c r="A489" s="38" t="str">
        <x:v>7月30日现场数据</x:v>
      </x:c>
      <x:c r="B489" s="66" t="str">
        <x:v>2026-08-01T06:04:00.460000</x:v>
      </x:c>
      <x:c r="C489" s="47" t="n">
        <x:v>300979</x:v>
      </x:c>
      <x:c r="D489" s="47" t="str"/>
      <x:c r="E489" s="47" t="str"/>
      <x:c r="F489" s="47" t="str">
        <x:v>current</x:v>
      </x:c>
      <x:c r="G489" s="47" t="n">
        <x:v>485</x:v>
      </x:c>
      <x:c r="H489" s="53" t="b">
        <x:v>1</x:v>
      </x:c>
      <x:c r="I489" s="47" t="str">
        <x:v>3045069830</x:v>
      </x:c>
      <x:c r="J489" s="47" t="n">
        <x:v>56284290</x:v>
      </x:c>
      <x:c r="K489" s="53" t="b">
        <x:v>1</x:v>
      </x:c>
      <x:c r="L489" s="53" t="b">
        <x:v>1</x:v>
      </x:c>
      <x:c r="M489" s="53" t="b">
        <x:v>1</x:v>
      </x:c>
      <x:c r="N489" s="53" t="b">
        <x:v>1</x:v>
      </x:c>
      <x:c r="O489" s="53" t="b">
        <x:v>1</x:v>
      </x:c>
      <x:c r="P489" s="47" t="n">
        <x:v>1009</x:v>
      </x:c>
      <x:c r="Q489" s="47" t="n">
        <x:v>0</x:v>
      </x:c>
      <x:c r="R489" s="47" t="n">
        <x:v>0</x:v>
      </x:c>
      <x:c r="S489" s="47" t="n">
        <x:v>29.72</x:v>
      </x:c>
      <x:c r="T489" s="47" t="n">
        <x:v>65.05</x:v>
      </x:c>
      <x:c r="U489" s="47" t="n">
        <x:v>29.7</x:v>
      </x:c>
      <x:c r="V489" s="47" t="n">
        <x:v>12</x:v>
      </x:c>
      <x:c r="W489" s="47" t="n">
        <x:v>4</x:v>
      </x:c>
      <x:c r="X489" s="47" t="n">
        <x:v>17</x:v>
      </x:c>
      <x:c r="Y489" s="41" t="n">
        <x:v>13</x:v>
      </x:c>
    </x:row>
    <x:row r="490">
      <x:c r="A490" s="38" t="str">
        <x:v>7月30日现场数据</x:v>
      </x:c>
      <x:c r="B490" s="66" t="str">
        <x:v>2026-08-01T06:09:01.476000</x:v>
      </x:c>
      <x:c r="C490" s="47" t="n">
        <x:v>301016</x:v>
      </x:c>
      <x:c r="D490" s="47" t="str"/>
      <x:c r="E490" s="47" t="str"/>
      <x:c r="F490" s="47" t="str">
        <x:v>current</x:v>
      </x:c>
      <x:c r="G490" s="47" t="n">
        <x:v>486</x:v>
      </x:c>
      <x:c r="H490" s="53" t="b">
        <x:v>1</x:v>
      </x:c>
      <x:c r="I490" s="47" t="str">
        <x:v>3045069830</x:v>
      </x:c>
      <x:c r="J490" s="47" t="n">
        <x:v>56585306</x:v>
      </x:c>
      <x:c r="K490" s="53" t="b">
        <x:v>1</x:v>
      </x:c>
      <x:c r="L490" s="53" t="b">
        <x:v>1</x:v>
      </x:c>
      <x:c r="M490" s="53" t="b">
        <x:v>1</x:v>
      </x:c>
      <x:c r="N490" s="53" t="b">
        <x:v>1</x:v>
      </x:c>
      <x:c r="O490" s="53" t="b">
        <x:v>1</x:v>
      </x:c>
      <x:c r="P490" s="47" t="n">
        <x:v>1009</x:v>
      </x:c>
      <x:c r="Q490" s="47" t="n">
        <x:v>0</x:v>
      </x:c>
      <x:c r="R490" s="47" t="n">
        <x:v>0</x:v>
      </x:c>
      <x:c r="S490" s="47" t="n">
        <x:v>29.81</x:v>
      </x:c>
      <x:c r="T490" s="47" t="n">
        <x:v>65.1</x:v>
      </x:c>
      <x:c r="U490" s="47" t="n">
        <x:v>29.7</x:v>
      </x:c>
      <x:c r="V490" s="47" t="n">
        <x:v>12</x:v>
      </x:c>
      <x:c r="W490" s="47" t="n">
        <x:v>4</x:v>
      </x:c>
      <x:c r="X490" s="47" t="n">
        <x:v>17</x:v>
      </x:c>
      <x:c r="Y490" s="41" t="n">
        <x:v>13</x:v>
      </x:c>
    </x:row>
    <x:row r="491">
      <x:c r="A491" s="38" t="str">
        <x:v>7月30日现场数据</x:v>
      </x:c>
      <x:c r="B491" s="66" t="str">
        <x:v>2026-08-01T06:14:02.432000</x:v>
      </x:c>
      <x:c r="C491" s="47" t="n">
        <x:v>300956</x:v>
      </x:c>
      <x:c r="D491" s="47" t="str"/>
      <x:c r="E491" s="47" t="str"/>
      <x:c r="F491" s="47" t="str">
        <x:v>current</x:v>
      </x:c>
      <x:c r="G491" s="47" t="n">
        <x:v>487</x:v>
      </x:c>
      <x:c r="H491" s="53" t="b">
        <x:v>1</x:v>
      </x:c>
      <x:c r="I491" s="47" t="str">
        <x:v>3045069830</x:v>
      </x:c>
      <x:c r="J491" s="47" t="n">
        <x:v>56886262</x:v>
      </x:c>
      <x:c r="K491" s="53" t="b">
        <x:v>1</x:v>
      </x:c>
      <x:c r="L491" s="53" t="b">
        <x:v>1</x:v>
      </x:c>
      <x:c r="M491" s="53" t="b">
        <x:v>1</x:v>
      </x:c>
      <x:c r="N491" s="53" t="b">
        <x:v>1</x:v>
      </x:c>
      <x:c r="O491" s="53" t="b">
        <x:v>1</x:v>
      </x:c>
      <x:c r="P491" s="47" t="n">
        <x:v>1009</x:v>
      </x:c>
      <x:c r="Q491" s="47" t="n">
        <x:v>0</x:v>
      </x:c>
      <x:c r="R491" s="47" t="n">
        <x:v>0</x:v>
      </x:c>
      <x:c r="S491" s="47" t="n">
        <x:v>29.94</x:v>
      </x:c>
      <x:c r="T491" s="47" t="n">
        <x:v>65.29</x:v>
      </x:c>
      <x:c r="U491" s="47" t="n">
        <x:v>29.7</x:v>
      </x:c>
      <x:c r="V491" s="47" t="n">
        <x:v>12</x:v>
      </x:c>
      <x:c r="W491" s="47" t="n">
        <x:v>4</x:v>
      </x:c>
      <x:c r="X491" s="47" t="n">
        <x:v>18</x:v>
      </x:c>
      <x:c r="Y491" s="41" t="n">
        <x:v>14</x:v>
      </x:c>
    </x:row>
    <x:row r="492">
      <x:c r="A492" s="38" t="str">
        <x:v>7月30日现场数据</x:v>
      </x:c>
      <x:c r="B492" s="66" t="str">
        <x:v>2026-08-01T06:19:03.392000</x:v>
      </x:c>
      <x:c r="C492" s="47" t="n">
        <x:v>300960</x:v>
      </x:c>
      <x:c r="D492" s="47" t="str"/>
      <x:c r="E492" s="47" t="str"/>
      <x:c r="F492" s="47" t="str">
        <x:v>current</x:v>
      </x:c>
      <x:c r="G492" s="47" t="n">
        <x:v>488</x:v>
      </x:c>
      <x:c r="H492" s="53" t="b">
        <x:v>1</x:v>
      </x:c>
      <x:c r="I492" s="47" t="str">
        <x:v>3045069830</x:v>
      </x:c>
      <x:c r="J492" s="47" t="n">
        <x:v>57187222</x:v>
      </x:c>
      <x:c r="K492" s="53" t="b">
        <x:v>1</x:v>
      </x:c>
      <x:c r="L492" s="53" t="b">
        <x:v>1</x:v>
      </x:c>
      <x:c r="M492" s="53" t="b">
        <x:v>1</x:v>
      </x:c>
      <x:c r="N492" s="53" t="b">
        <x:v>1</x:v>
      </x:c>
      <x:c r="O492" s="53" t="b">
        <x:v>1</x:v>
      </x:c>
      <x:c r="P492" s="47" t="n">
        <x:v>1009</x:v>
      </x:c>
      <x:c r="Q492" s="47" t="n">
        <x:v>0</x:v>
      </x:c>
      <x:c r="R492" s="47" t="n">
        <x:v>0</x:v>
      </x:c>
      <x:c r="S492" s="47" t="n">
        <x:v>30.04</x:v>
      </x:c>
      <x:c r="T492" s="47" t="n">
        <x:v>65.39</x:v>
      </x:c>
      <x:c r="U492" s="47" t="n">
        <x:v>29.7</x:v>
      </x:c>
      <x:c r="V492" s="47" t="n">
        <x:v>12</x:v>
      </x:c>
      <x:c r="W492" s="47" t="n">
        <x:v>4</x:v>
      </x:c>
      <x:c r="X492" s="47" t="n">
        <x:v>19</x:v>
      </x:c>
      <x:c r="Y492" s="41" t="n">
        <x:v>15</x:v>
      </x:c>
    </x:row>
    <x:row r="493">
      <x:c r="A493" s="38" t="str">
        <x:v>7月30日现场数据</x:v>
      </x:c>
      <x:c r="B493" s="66" t="str">
        <x:v>2026-08-01T06:24:04.353000</x:v>
      </x:c>
      <x:c r="C493" s="47" t="n">
        <x:v>300961</x:v>
      </x:c>
      <x:c r="D493" s="47" t="str"/>
      <x:c r="E493" s="47" t="str"/>
      <x:c r="F493" s="47" t="str">
        <x:v>current</x:v>
      </x:c>
      <x:c r="G493" s="47" t="n">
        <x:v>489</x:v>
      </x:c>
      <x:c r="H493" s="53" t="b">
        <x:v>1</x:v>
      </x:c>
      <x:c r="I493" s="47" t="str">
        <x:v>3045069830</x:v>
      </x:c>
      <x:c r="J493" s="47" t="n">
        <x:v>57488183</x:v>
      </x:c>
      <x:c r="K493" s="53" t="b">
        <x:v>1</x:v>
      </x:c>
      <x:c r="L493" s="53" t="b">
        <x:v>1</x:v>
      </x:c>
      <x:c r="M493" s="53" t="b">
        <x:v>1</x:v>
      </x:c>
      <x:c r="N493" s="53" t="b">
        <x:v>1</x:v>
      </x:c>
      <x:c r="O493" s="53" t="b">
        <x:v>1</x:v>
      </x:c>
      <x:c r="P493" s="47" t="n">
        <x:v>1009</x:v>
      </x:c>
      <x:c r="Q493" s="47" t="n">
        <x:v>0</x:v>
      </x:c>
      <x:c r="R493" s="47" t="n">
        <x:v>0</x:v>
      </x:c>
      <x:c r="S493" s="47" t="n">
        <x:v>30.06</x:v>
      </x:c>
      <x:c r="T493" s="47" t="n">
        <x:v>65.47</x:v>
      </x:c>
      <x:c r="U493" s="47" t="n">
        <x:v>29.7</x:v>
      </x:c>
      <x:c r="V493" s="47" t="n">
        <x:v>12</x:v>
      </x:c>
      <x:c r="W493" s="47" t="n">
        <x:v>4</x:v>
      </x:c>
      <x:c r="X493" s="47" t="n">
        <x:v>20</x:v>
      </x:c>
      <x:c r="Y493" s="41" t="n">
        <x:v>16</x:v>
      </x:c>
    </x:row>
    <x:row r="494">
      <x:c r="A494" s="38" t="str">
        <x:v>7月30日现场数据</x:v>
      </x:c>
      <x:c r="B494" s="66" t="str">
        <x:v>2026-08-01T06:29:05.315000</x:v>
      </x:c>
      <x:c r="C494" s="47" t="n">
        <x:v>300962</x:v>
      </x:c>
      <x:c r="D494" s="47" t="str"/>
      <x:c r="E494" s="47" t="str"/>
      <x:c r="F494" s="47" t="str">
        <x:v>current</x:v>
      </x:c>
      <x:c r="G494" s="47" t="n">
        <x:v>490</x:v>
      </x:c>
      <x:c r="H494" s="53" t="b">
        <x:v>1</x:v>
      </x:c>
      <x:c r="I494" s="47" t="str">
        <x:v>3045069830</x:v>
      </x:c>
      <x:c r="J494" s="47" t="n">
        <x:v>57789145</x:v>
      </x:c>
      <x:c r="K494" s="53" t="b">
        <x:v>1</x:v>
      </x:c>
      <x:c r="L494" s="53" t="b">
        <x:v>1</x:v>
      </x:c>
      <x:c r="M494" s="53" t="b">
        <x:v>1</x:v>
      </x:c>
      <x:c r="N494" s="53" t="b">
        <x:v>1</x:v>
      </x:c>
      <x:c r="O494" s="53" t="b">
        <x:v>1</x:v>
      </x:c>
      <x:c r="P494" s="47" t="n">
        <x:v>1009</x:v>
      </x:c>
      <x:c r="Q494" s="47" t="n">
        <x:v>0</x:v>
      </x:c>
      <x:c r="R494" s="47" t="n">
        <x:v>0</x:v>
      </x:c>
      <x:c r="S494" s="47" t="n">
        <x:v>30.13</x:v>
      </x:c>
      <x:c r="T494" s="47" t="n">
        <x:v>65.58</x:v>
      </x:c>
      <x:c r="U494" s="47" t="n">
        <x:v>29.7</x:v>
      </x:c>
      <x:c r="V494" s="47" t="n">
        <x:v>12.1</x:v>
      </x:c>
      <x:c r="W494" s="47" t="n">
        <x:v>4</x:v>
      </x:c>
      <x:c r="X494" s="47" t="n">
        <x:v>21</x:v>
      </x:c>
      <x:c r="Y494" s="41" t="n">
        <x:v>17</x:v>
      </x:c>
    </x:row>
    <x:row r="495">
      <x:c r="A495" s="38" t="str">
        <x:v>7月30日现场数据</x:v>
      </x:c>
      <x:c r="B495" s="66" t="str">
        <x:v>2026-08-01T06:34:06.279000</x:v>
      </x:c>
      <x:c r="C495" s="47" t="n">
        <x:v>300964</x:v>
      </x:c>
      <x:c r="D495" s="47" t="str"/>
      <x:c r="E495" s="47" t="str"/>
      <x:c r="F495" s="47" t="str">
        <x:v>current</x:v>
      </x:c>
      <x:c r="G495" s="47" t="n">
        <x:v>491</x:v>
      </x:c>
      <x:c r="H495" s="53" t="b">
        <x:v>1</x:v>
      </x:c>
      <x:c r="I495" s="47" t="str">
        <x:v>3045069830</x:v>
      </x:c>
      <x:c r="J495" s="47" t="n">
        <x:v>58090109</x:v>
      </x:c>
      <x:c r="K495" s="53" t="b">
        <x:v>1</x:v>
      </x:c>
      <x:c r="L495" s="53" t="b">
        <x:v>1</x:v>
      </x:c>
      <x:c r="M495" s="53" t="b">
        <x:v>1</x:v>
      </x:c>
      <x:c r="N495" s="53" t="b">
        <x:v>1</x:v>
      </x:c>
      <x:c r="O495" s="53" t="b">
        <x:v>1</x:v>
      </x:c>
      <x:c r="P495" s="47" t="n">
        <x:v>1009</x:v>
      </x:c>
      <x:c r="Q495" s="47" t="n">
        <x:v>0</x:v>
      </x:c>
      <x:c r="R495" s="47" t="n">
        <x:v>0</x:v>
      </x:c>
      <x:c r="S495" s="47" t="n">
        <x:v>30.18</x:v>
      </x:c>
      <x:c r="T495" s="47" t="n">
        <x:v>65.68</x:v>
      </x:c>
      <x:c r="U495" s="47" t="n">
        <x:v>29.7</x:v>
      </x:c>
      <x:c r="V495" s="47" t="n">
        <x:v>12</x:v>
      </x:c>
      <x:c r="W495" s="47" t="n">
        <x:v>4</x:v>
      </x:c>
      <x:c r="X495" s="47" t="n">
        <x:v>22</x:v>
      </x:c>
      <x:c r="Y495" s="41" t="n">
        <x:v>18</x:v>
      </x:c>
    </x:row>
    <x:row r="496">
      <x:c r="A496" s="38" t="str">
        <x:v>7月30日现场数据</x:v>
      </x:c>
      <x:c r="B496" s="66" t="str">
        <x:v>2026-08-01T06:39:07.246000</x:v>
      </x:c>
      <x:c r="C496" s="47" t="n">
        <x:v>300967</x:v>
      </x:c>
      <x:c r="D496" s="47" t="str"/>
      <x:c r="E496" s="47" t="str"/>
      <x:c r="F496" s="47" t="str">
        <x:v>current</x:v>
      </x:c>
      <x:c r="G496" s="47" t="n">
        <x:v>492</x:v>
      </x:c>
      <x:c r="H496" s="53" t="b">
        <x:v>1</x:v>
      </x:c>
      <x:c r="I496" s="47" t="str">
        <x:v>3045069830</x:v>
      </x:c>
      <x:c r="J496" s="47" t="n">
        <x:v>58391076</x:v>
      </x:c>
      <x:c r="K496" s="53" t="b">
        <x:v>1</x:v>
      </x:c>
      <x:c r="L496" s="53" t="b">
        <x:v>1</x:v>
      </x:c>
      <x:c r="M496" s="53" t="b">
        <x:v>1</x:v>
      </x:c>
      <x:c r="N496" s="53" t="b">
        <x:v>1</x:v>
      </x:c>
      <x:c r="O496" s="53" t="b">
        <x:v>1</x:v>
      </x:c>
      <x:c r="P496" s="47" t="n">
        <x:v>1009</x:v>
      </x:c>
      <x:c r="Q496" s="47" t="n">
        <x:v>0</x:v>
      </x:c>
      <x:c r="R496" s="47" t="n">
        <x:v>0</x:v>
      </x:c>
      <x:c r="S496" s="47" t="n">
        <x:v>30.24</x:v>
      </x:c>
      <x:c r="T496" s="47" t="n">
        <x:v>65.74</x:v>
      </x:c>
      <x:c r="U496" s="47" t="n">
        <x:v>29.7</x:v>
      </x:c>
      <x:c r="V496" s="47" t="n">
        <x:v>12</x:v>
      </x:c>
      <x:c r="W496" s="47" t="n">
        <x:v>5</x:v>
      </x:c>
      <x:c r="X496" s="47" t="n">
        <x:v>23</x:v>
      </x:c>
      <x:c r="Y496" s="41" t="n">
        <x:v>18</x:v>
      </x:c>
    </x:row>
    <x:row r="497">
      <x:c r="A497" s="38" t="str">
        <x:v>7月30日现场数据</x:v>
      </x:c>
      <x:c r="B497" s="66" t="str">
        <x:v>2026-08-01T06:44:08.215000</x:v>
      </x:c>
      <x:c r="C497" s="47" t="n">
        <x:v>300969</x:v>
      </x:c>
      <x:c r="D497" s="47" t="str"/>
      <x:c r="E497" s="47" t="str"/>
      <x:c r="F497" s="47" t="str">
        <x:v>current</x:v>
      </x:c>
      <x:c r="G497" s="47" t="n">
        <x:v>493</x:v>
      </x:c>
      <x:c r="H497" s="53" t="b">
        <x:v>1</x:v>
      </x:c>
      <x:c r="I497" s="47" t="str">
        <x:v>3045069830</x:v>
      </x:c>
      <x:c r="J497" s="47" t="n">
        <x:v>58692045</x:v>
      </x:c>
      <x:c r="K497" s="53" t="b">
        <x:v>1</x:v>
      </x:c>
      <x:c r="L497" s="53" t="b">
        <x:v>1</x:v>
      </x:c>
      <x:c r="M497" s="53" t="b">
        <x:v>1</x:v>
      </x:c>
      <x:c r="N497" s="53" t="b">
        <x:v>1</x:v>
      </x:c>
      <x:c r="O497" s="53" t="b">
        <x:v>1</x:v>
      </x:c>
      <x:c r="P497" s="47" t="n">
        <x:v>1009</x:v>
      </x:c>
      <x:c r="Q497" s="47" t="n">
        <x:v>0</x:v>
      </x:c>
      <x:c r="R497" s="47" t="n">
        <x:v>0</x:v>
      </x:c>
      <x:c r="S497" s="47" t="n">
        <x:v>30.29</x:v>
      </x:c>
      <x:c r="T497" s="47" t="n">
        <x:v>65.96</x:v>
      </x:c>
      <x:c r="U497" s="47" t="n">
        <x:v>29.7</x:v>
      </x:c>
      <x:c r="V497" s="47" t="n">
        <x:v>12.1</x:v>
      </x:c>
      <x:c r="W497" s="47" t="n">
        <x:v>5</x:v>
      </x:c>
      <x:c r="X497" s="47" t="n">
        <x:v>24</x:v>
      </x:c>
      <x:c r="Y497" s="41" t="n">
        <x:v>19</x:v>
      </x:c>
    </x:row>
    <x:row r="498">
      <x:c r="A498" s="38" t="str">
        <x:v>7月30日现场数据</x:v>
      </x:c>
      <x:c r="B498" s="66" t="str">
        <x:v>2026-08-01T06:49:09.187000</x:v>
      </x:c>
      <x:c r="C498" s="47" t="n">
        <x:v>300972</x:v>
      </x:c>
      <x:c r="D498" s="47" t="str"/>
      <x:c r="E498" s="47" t="str"/>
      <x:c r="F498" s="47" t="str">
        <x:v>current</x:v>
      </x:c>
      <x:c r="G498" s="47" t="n">
        <x:v>494</x:v>
      </x:c>
      <x:c r="H498" s="53" t="b">
        <x:v>1</x:v>
      </x:c>
      <x:c r="I498" s="47" t="str">
        <x:v>3045069830</x:v>
      </x:c>
      <x:c r="J498" s="47" t="n">
        <x:v>58993017</x:v>
      </x:c>
      <x:c r="K498" s="53" t="b">
        <x:v>1</x:v>
      </x:c>
      <x:c r="L498" s="53" t="b">
        <x:v>1</x:v>
      </x:c>
      <x:c r="M498" s="53" t="b">
        <x:v>1</x:v>
      </x:c>
      <x:c r="N498" s="53" t="b">
        <x:v>1</x:v>
      </x:c>
      <x:c r="O498" s="53" t="b">
        <x:v>1</x:v>
      </x:c>
      <x:c r="P498" s="47" t="n">
        <x:v>1009</x:v>
      </x:c>
      <x:c r="Q498" s="47" t="n">
        <x:v>0</x:v>
      </x:c>
      <x:c r="R498" s="47" t="n">
        <x:v>0</x:v>
      </x:c>
      <x:c r="S498" s="47" t="n">
        <x:v>30.41</x:v>
      </x:c>
      <x:c r="T498" s="47" t="n">
        <x:v>66</x:v>
      </x:c>
      <x:c r="U498" s="47" t="n">
        <x:v>29.7</x:v>
      </x:c>
      <x:c r="V498" s="47" t="n">
        <x:v>12.1</x:v>
      </x:c>
      <x:c r="W498" s="47" t="n">
        <x:v>6</x:v>
      </x:c>
      <x:c r="X498" s="47" t="n">
        <x:v>25</x:v>
      </x:c>
      <x:c r="Y498" s="41" t="n">
        <x:v>19</x:v>
      </x:c>
    </x:row>
    <x:row r="499">
      <x:c r="A499" s="38" t="str">
        <x:v>7月30日现场数据</x:v>
      </x:c>
      <x:c r="B499" s="66" t="str">
        <x:v>2026-08-01T06:54:10.159000</x:v>
      </x:c>
      <x:c r="C499" s="47" t="n">
        <x:v>300972</x:v>
      </x:c>
      <x:c r="D499" s="47" t="str"/>
      <x:c r="E499" s="47" t="str"/>
      <x:c r="F499" s="47" t="str">
        <x:v>current</x:v>
      </x:c>
      <x:c r="G499" s="47" t="n">
        <x:v>495</x:v>
      </x:c>
      <x:c r="H499" s="53" t="b">
        <x:v>1</x:v>
      </x:c>
      <x:c r="I499" s="47" t="str">
        <x:v>3045069830</x:v>
      </x:c>
      <x:c r="J499" s="47" t="n">
        <x:v>59293989</x:v>
      </x:c>
      <x:c r="K499" s="53" t="b">
        <x:v>1</x:v>
      </x:c>
      <x:c r="L499" s="53" t="b">
        <x:v>1</x:v>
      </x:c>
      <x:c r="M499" s="53" t="b">
        <x:v>1</x:v>
      </x:c>
      <x:c r="N499" s="53" t="b">
        <x:v>1</x:v>
      </x:c>
      <x:c r="O499" s="53" t="b">
        <x:v>1</x:v>
      </x:c>
      <x:c r="P499" s="47" t="n">
        <x:v>1009</x:v>
      </x:c>
      <x:c r="Q499" s="47" t="n">
        <x:v>0</x:v>
      </x:c>
      <x:c r="R499" s="47" t="n">
        <x:v>0</x:v>
      </x:c>
      <x:c r="S499" s="47" t="n">
        <x:v>30.6</x:v>
      </x:c>
      <x:c r="T499" s="47" t="n">
        <x:v>66.15</x:v>
      </x:c>
      <x:c r="U499" s="47" t="n">
        <x:v>29.7</x:v>
      </x:c>
      <x:c r="V499" s="47" t="n">
        <x:v>12.1</x:v>
      </x:c>
      <x:c r="W499" s="47" t="n">
        <x:v>6</x:v>
      </x:c>
      <x:c r="X499" s="47" t="n">
        <x:v>27</x:v>
      </x:c>
      <x:c r="Y499" s="41" t="n">
        <x:v>21</x:v>
      </x:c>
    </x:row>
    <x:row r="500">
      <x:c r="A500" s="38" t="str">
        <x:v>7月30日现场数据</x:v>
      </x:c>
      <x:c r="B500" s="66" t="str">
        <x:v>2026-08-01T06:59:11.133000</x:v>
      </x:c>
      <x:c r="C500" s="47" t="n">
        <x:v>300974</x:v>
      </x:c>
      <x:c r="D500" s="47" t="str"/>
      <x:c r="E500" s="47" t="str"/>
      <x:c r="F500" s="47" t="str">
        <x:v>current</x:v>
      </x:c>
      <x:c r="G500" s="47" t="n">
        <x:v>496</x:v>
      </x:c>
      <x:c r="H500" s="53" t="b">
        <x:v>1</x:v>
      </x:c>
      <x:c r="I500" s="47" t="str">
        <x:v>3045069830</x:v>
      </x:c>
      <x:c r="J500" s="47" t="n">
        <x:v>59594963</x:v>
      </x:c>
      <x:c r="K500" s="53" t="b">
        <x:v>1</x:v>
      </x:c>
      <x:c r="L500" s="53" t="b">
        <x:v>1</x:v>
      </x:c>
      <x:c r="M500" s="53" t="b">
        <x:v>1</x:v>
      </x:c>
      <x:c r="N500" s="53" t="b">
        <x:v>1</x:v>
      </x:c>
      <x:c r="O500" s="53" t="b">
        <x:v>1</x:v>
      </x:c>
      <x:c r="P500" s="47" t="n">
        <x:v>1009</x:v>
      </x:c>
      <x:c r="Q500" s="47" t="n">
        <x:v>0</x:v>
      </x:c>
      <x:c r="R500" s="47" t="n">
        <x:v>0</x:v>
      </x:c>
      <x:c r="S500" s="47" t="n">
        <x:v>30.77</x:v>
      </x:c>
      <x:c r="T500" s="47" t="n">
        <x:v>66.22</x:v>
      </x:c>
      <x:c r="U500" s="47" t="n">
        <x:v>29.8</x:v>
      </x:c>
      <x:c r="V500" s="47" t="n">
        <x:v>12.1</x:v>
      </x:c>
      <x:c r="W500" s="47" t="n">
        <x:v>6</x:v>
      </x:c>
      <x:c r="X500" s="47" t="n">
        <x:v>28</x:v>
      </x:c>
      <x:c r="Y500" s="41" t="n">
        <x:v>22</x:v>
      </x:c>
    </x:row>
    <x:row r="501">
      <x:c r="A501" s="38" t="str">
        <x:v>7月30日现场数据</x:v>
      </x:c>
      <x:c r="B501" s="66" t="str">
        <x:v>2026-08-01T07:04:12.109000</x:v>
      </x:c>
      <x:c r="C501" s="47" t="n">
        <x:v>300976</x:v>
      </x:c>
      <x:c r="D501" s="47" t="str"/>
      <x:c r="E501" s="47" t="str"/>
      <x:c r="F501" s="47" t="str">
        <x:v>current</x:v>
      </x:c>
      <x:c r="G501" s="47" t="n">
        <x:v>497</x:v>
      </x:c>
      <x:c r="H501" s="53" t="b">
        <x:v>1</x:v>
      </x:c>
      <x:c r="I501" s="47" t="str">
        <x:v>3045069830</x:v>
      </x:c>
      <x:c r="J501" s="47" t="n">
        <x:v>59895939</x:v>
      </x:c>
      <x:c r="K501" s="53" t="b">
        <x:v>1</x:v>
      </x:c>
      <x:c r="L501" s="53" t="b">
        <x:v>1</x:v>
      </x:c>
      <x:c r="M501" s="53" t="b">
        <x:v>1</x:v>
      </x:c>
      <x:c r="N501" s="53" t="b">
        <x:v>1</x:v>
      </x:c>
      <x:c r="O501" s="53" t="b">
        <x:v>1</x:v>
      </x:c>
      <x:c r="P501" s="47" t="n">
        <x:v>1009</x:v>
      </x:c>
      <x:c r="Q501" s="47" t="n">
        <x:v>0</x:v>
      </x:c>
      <x:c r="R501" s="47" t="n">
        <x:v>0</x:v>
      </x:c>
      <x:c r="S501" s="47" t="n">
        <x:v>30.8</x:v>
      </x:c>
      <x:c r="T501" s="47" t="n">
        <x:v>66.4</x:v>
      </x:c>
      <x:c r="U501" s="47" t="n">
        <x:v>29.8</x:v>
      </x:c>
      <x:c r="V501" s="47" t="n">
        <x:v>12.1</x:v>
      </x:c>
      <x:c r="W501" s="47" t="n">
        <x:v>6</x:v>
      </x:c>
      <x:c r="X501" s="47" t="n">
        <x:v>29</x:v>
      </x:c>
      <x:c r="Y501" s="41" t="n">
        <x:v>23</x:v>
      </x:c>
    </x:row>
    <x:row r="502">
      <x:c r="A502" s="38" t="str">
        <x:v>7月30日现场数据</x:v>
      </x:c>
      <x:c r="B502" s="66" t="str">
        <x:v>2026-08-01T07:09:13.087000</x:v>
      </x:c>
      <x:c r="C502" s="47" t="n">
        <x:v>300978</x:v>
      </x:c>
      <x:c r="D502" s="47" t="str"/>
      <x:c r="E502" s="47" t="str"/>
      <x:c r="F502" s="47" t="str">
        <x:v>current</x:v>
      </x:c>
      <x:c r="G502" s="47" t="n">
        <x:v>498</x:v>
      </x:c>
      <x:c r="H502" s="53" t="b">
        <x:v>1</x:v>
      </x:c>
      <x:c r="I502" s="47" t="str">
        <x:v>3045069830</x:v>
      </x:c>
      <x:c r="J502" s="47" t="n">
        <x:v>60196917</x:v>
      </x:c>
      <x:c r="K502" s="53" t="b">
        <x:v>1</x:v>
      </x:c>
      <x:c r="L502" s="53" t="b">
        <x:v>1</x:v>
      </x:c>
      <x:c r="M502" s="53" t="b">
        <x:v>1</x:v>
      </x:c>
      <x:c r="N502" s="53" t="b">
        <x:v>1</x:v>
      </x:c>
      <x:c r="O502" s="53" t="b">
        <x:v>1</x:v>
      </x:c>
      <x:c r="P502" s="47" t="n">
        <x:v>1009</x:v>
      </x:c>
      <x:c r="Q502" s="47" t="n">
        <x:v>0</x:v>
      </x:c>
      <x:c r="R502" s="47" t="n">
        <x:v>0</x:v>
      </x:c>
      <x:c r="S502" s="47" t="n">
        <x:v>30.87</x:v>
      </x:c>
      <x:c r="T502" s="47" t="n">
        <x:v>66.44</x:v>
      </x:c>
      <x:c r="U502" s="47" t="n">
        <x:v>29.8</x:v>
      </x:c>
      <x:c r="V502" s="47" t="n">
        <x:v>12.1</x:v>
      </x:c>
      <x:c r="W502" s="47" t="n">
        <x:v>7</x:v>
      </x:c>
      <x:c r="X502" s="47" t="n">
        <x:v>30</x:v>
      </x:c>
      <x:c r="Y502" s="41" t="n">
        <x:v>23</x:v>
      </x:c>
    </x:row>
    <x:row r="503">
      <x:c r="A503" s="38" t="str">
        <x:v>7月30日现场数据</x:v>
      </x:c>
      <x:c r="B503" s="66" t="str">
        <x:v>2026-08-01T07:14:14.066000</x:v>
      </x:c>
      <x:c r="C503" s="47" t="n">
        <x:v>300979</x:v>
      </x:c>
      <x:c r="D503" s="47" t="str"/>
      <x:c r="E503" s="47" t="str"/>
      <x:c r="F503" s="47" t="str">
        <x:v>current</x:v>
      </x:c>
      <x:c r="G503" s="47" t="n">
        <x:v>499</x:v>
      </x:c>
      <x:c r="H503" s="53" t="b">
        <x:v>1</x:v>
      </x:c>
      <x:c r="I503" s="47" t="str">
        <x:v>3045069830</x:v>
      </x:c>
      <x:c r="J503" s="47" t="n">
        <x:v>60497896</x:v>
      </x:c>
      <x:c r="K503" s="53" t="b">
        <x:v>1</x:v>
      </x:c>
      <x:c r="L503" s="53" t="b">
        <x:v>1</x:v>
      </x:c>
      <x:c r="M503" s="53" t="b">
        <x:v>1</x:v>
      </x:c>
      <x:c r="N503" s="53" t="b">
        <x:v>1</x:v>
      </x:c>
      <x:c r="O503" s="53" t="b">
        <x:v>1</x:v>
      </x:c>
      <x:c r="P503" s="47" t="n">
        <x:v>1009</x:v>
      </x:c>
      <x:c r="Q503" s="47" t="n">
        <x:v>0</x:v>
      </x:c>
      <x:c r="R503" s="47" t="n">
        <x:v>0</x:v>
      </x:c>
      <x:c r="S503" s="47" t="n">
        <x:v>30.93</x:v>
      </x:c>
      <x:c r="T503" s="47" t="n">
        <x:v>66.59</x:v>
      </x:c>
      <x:c r="U503" s="47" t="n">
        <x:v>29.8</x:v>
      </x:c>
      <x:c r="V503" s="47" t="n">
        <x:v>12</x:v>
      </x:c>
      <x:c r="W503" s="47" t="n">
        <x:v>7</x:v>
      </x:c>
      <x:c r="X503" s="47" t="n">
        <x:v>31</x:v>
      </x:c>
      <x:c r="Y503" s="41" t="n">
        <x:v>24</x:v>
      </x:c>
    </x:row>
    <x:row r="504">
      <x:c r="A504" s="38" t="str">
        <x:v>7月30日现场数据</x:v>
      </x:c>
      <x:c r="B504" s="66" t="str">
        <x:v>2026-08-01T07:19:15.047000</x:v>
      </x:c>
      <x:c r="C504" s="47" t="n">
        <x:v>300981</x:v>
      </x:c>
      <x:c r="D504" s="47" t="str"/>
      <x:c r="E504" s="47" t="str"/>
      <x:c r="F504" s="47" t="str">
        <x:v>current</x:v>
      </x:c>
      <x:c r="G504" s="47" t="n">
        <x:v>500</x:v>
      </x:c>
      <x:c r="H504" s="53" t="b">
        <x:v>1</x:v>
      </x:c>
      <x:c r="I504" s="47" t="str">
        <x:v>3045069830</x:v>
      </x:c>
      <x:c r="J504" s="47" t="n">
        <x:v>60798877</x:v>
      </x:c>
      <x:c r="K504" s="53" t="b">
        <x:v>1</x:v>
      </x:c>
      <x:c r="L504" s="53" t="b">
        <x:v>1</x:v>
      </x:c>
      <x:c r="M504" s="53" t="b">
        <x:v>1</x:v>
      </x:c>
      <x:c r="N504" s="53" t="b">
        <x:v>1</x:v>
      </x:c>
      <x:c r="O504" s="53" t="b">
        <x:v>1</x:v>
      </x:c>
      <x:c r="P504" s="47" t="n">
        <x:v>1009</x:v>
      </x:c>
      <x:c r="Q504" s="47" t="n">
        <x:v>0</x:v>
      </x:c>
      <x:c r="R504" s="47" t="n">
        <x:v>0</x:v>
      </x:c>
      <x:c r="S504" s="47" t="n">
        <x:v>31.03</x:v>
      </x:c>
      <x:c r="T504" s="47" t="n">
        <x:v>66.69</x:v>
      </x:c>
      <x:c r="U504" s="47" t="n">
        <x:v>29.8</x:v>
      </x:c>
      <x:c r="V504" s="47" t="n">
        <x:v>12.1</x:v>
      </x:c>
      <x:c r="W504" s="47" t="n">
        <x:v>7</x:v>
      </x:c>
      <x:c r="X504" s="47" t="n">
        <x:v>32</x:v>
      </x:c>
      <x:c r="Y504" s="41" t="n">
        <x:v>25</x:v>
      </x:c>
    </x:row>
    <x:row r="505">
      <x:c r="A505" s="38" t="str">
        <x:v>7月30日现场数据</x:v>
      </x:c>
      <x:c r="B505" s="66" t="str">
        <x:v>2026-08-01T07:24:16.031000</x:v>
      </x:c>
      <x:c r="C505" s="47" t="n">
        <x:v>300984</x:v>
      </x:c>
      <x:c r="D505" s="47" t="str"/>
      <x:c r="E505" s="47" t="str"/>
      <x:c r="F505" s="47" t="str">
        <x:v>current</x:v>
      </x:c>
      <x:c r="G505" s="47" t="n">
        <x:v>501</x:v>
      </x:c>
      <x:c r="H505" s="53" t="b">
        <x:v>1</x:v>
      </x:c>
      <x:c r="I505" s="47" t="str">
        <x:v>3045069830</x:v>
      </x:c>
      <x:c r="J505" s="47" t="n">
        <x:v>61099861</x:v>
      </x:c>
      <x:c r="K505" s="53" t="b">
        <x:v>1</x:v>
      </x:c>
      <x:c r="L505" s="53" t="b">
        <x:v>1</x:v>
      </x:c>
      <x:c r="M505" s="53" t="b">
        <x:v>1</x:v>
      </x:c>
      <x:c r="N505" s="53" t="b">
        <x:v>1</x:v>
      </x:c>
      <x:c r="O505" s="53" t="b">
        <x:v>1</x:v>
      </x:c>
      <x:c r="P505" s="47" t="n">
        <x:v>1009</x:v>
      </x:c>
      <x:c r="Q505" s="47" t="n">
        <x:v>0</x:v>
      </x:c>
      <x:c r="R505" s="47" t="n">
        <x:v>0</x:v>
      </x:c>
      <x:c r="S505" s="47" t="n">
        <x:v>31.16</x:v>
      </x:c>
      <x:c r="T505" s="47" t="n">
        <x:v>66.72</x:v>
      </x:c>
      <x:c r="U505" s="47" t="n">
        <x:v>29.8</x:v>
      </x:c>
      <x:c r="V505" s="47" t="n">
        <x:v>12.1</x:v>
      </x:c>
      <x:c r="W505" s="47" t="n">
        <x:v>7</x:v>
      </x:c>
      <x:c r="X505" s="47" t="n">
        <x:v>34</x:v>
      </x:c>
      <x:c r="Y505" s="41" t="n">
        <x:v>27</x:v>
      </x:c>
    </x:row>
    <x:row r="506">
      <x:c r="A506" s="38" t="str">
        <x:v>7月30日现场数据</x:v>
      </x:c>
      <x:c r="B506" s="66" t="str">
        <x:v>2026-08-01T07:29:17.047000</x:v>
      </x:c>
      <x:c r="C506" s="47" t="n">
        <x:v>301016</x:v>
      </x:c>
      <x:c r="D506" s="47" t="str"/>
      <x:c r="E506" s="47" t="str"/>
      <x:c r="F506" s="47" t="str">
        <x:v>current</x:v>
      </x:c>
      <x:c r="G506" s="47" t="n">
        <x:v>502</x:v>
      </x:c>
      <x:c r="H506" s="53" t="b">
        <x:v>1</x:v>
      </x:c>
      <x:c r="I506" s="47" t="str">
        <x:v>3045069830</x:v>
      </x:c>
      <x:c r="J506" s="47" t="n">
        <x:v>61400877</x:v>
      </x:c>
      <x:c r="K506" s="53" t="b">
        <x:v>1</x:v>
      </x:c>
      <x:c r="L506" s="53" t="b">
        <x:v>1</x:v>
      </x:c>
      <x:c r="M506" s="53" t="b">
        <x:v>1</x:v>
      </x:c>
      <x:c r="N506" s="53" t="b">
        <x:v>1</x:v>
      </x:c>
      <x:c r="O506" s="53" t="b">
        <x:v>1</x:v>
      </x:c>
      <x:c r="P506" s="47" t="n">
        <x:v>1009</x:v>
      </x:c>
      <x:c r="Q506" s="47" t="n">
        <x:v>0</x:v>
      </x:c>
      <x:c r="R506" s="47" t="n">
        <x:v>0</x:v>
      </x:c>
      <x:c r="S506" s="47" t="n">
        <x:v>31.29</x:v>
      </x:c>
      <x:c r="T506" s="47" t="n">
        <x:v>66.83</x:v>
      </x:c>
      <x:c r="U506" s="47" t="n">
        <x:v>29.9</x:v>
      </x:c>
      <x:c r="V506" s="47" t="n">
        <x:v>12</x:v>
      </x:c>
      <x:c r="W506" s="47" t="n">
        <x:v>8</x:v>
      </x:c>
      <x:c r="X506" s="47" t="n">
        <x:v>36</x:v>
      </x:c>
      <x:c r="Y506" s="41" t="n">
        <x:v>28</x:v>
      </x:c>
    </x:row>
    <x:row r="507">
      <x:c r="A507" s="38" t="str">
        <x:v>7月30日现场数据</x:v>
      </x:c>
      <x:c r="B507" s="66" t="str">
        <x:v>2026-08-01T07:34:18.006000</x:v>
      </x:c>
      <x:c r="C507" s="47" t="n">
        <x:v>300959</x:v>
      </x:c>
      <x:c r="D507" s="47" t="str"/>
      <x:c r="E507" s="47" t="str"/>
      <x:c r="F507" s="47" t="str">
        <x:v>current</x:v>
      </x:c>
      <x:c r="G507" s="47" t="n">
        <x:v>503</x:v>
      </x:c>
      <x:c r="H507" s="53" t="b">
        <x:v>1</x:v>
      </x:c>
      <x:c r="I507" s="47" t="str">
        <x:v>3045069830</x:v>
      </x:c>
      <x:c r="J507" s="47" t="n">
        <x:v>61701836</x:v>
      </x:c>
      <x:c r="K507" s="53" t="b">
        <x:v>1</x:v>
      </x:c>
      <x:c r="L507" s="53" t="b">
        <x:v>1</x:v>
      </x:c>
      <x:c r="M507" s="53" t="b">
        <x:v>1</x:v>
      </x:c>
      <x:c r="N507" s="53" t="b">
        <x:v>1</x:v>
      </x:c>
      <x:c r="O507" s="53" t="b">
        <x:v>1</x:v>
      </x:c>
      <x:c r="P507" s="47" t="n">
        <x:v>1009</x:v>
      </x:c>
      <x:c r="Q507" s="47" t="n">
        <x:v>0</x:v>
      </x:c>
      <x:c r="R507" s="47" t="n">
        <x:v>0</x:v>
      </x:c>
      <x:c r="S507" s="47" t="n">
        <x:v>31.44</x:v>
      </x:c>
      <x:c r="T507" s="47" t="n">
        <x:v>66.92</x:v>
      </x:c>
      <x:c r="U507" s="47" t="n">
        <x:v>29.9</x:v>
      </x:c>
      <x:c r="V507" s="47" t="n">
        <x:v>12.1</x:v>
      </x:c>
      <x:c r="W507" s="47" t="n">
        <x:v>9</x:v>
      </x:c>
      <x:c r="X507" s="47" t="n">
        <x:v>38</x:v>
      </x:c>
      <x:c r="Y507" s="41" t="n">
        <x:v>29</x:v>
      </x:c>
    </x:row>
    <x:row r="508">
      <x:c r="A508" s="38" t="str">
        <x:v>7月30日现场数据</x:v>
      </x:c>
      <x:c r="B508" s="66" t="str">
        <x:v>2026-08-01T07:39:18.966000</x:v>
      </x:c>
      <x:c r="C508" s="47" t="n">
        <x:v>300960</x:v>
      </x:c>
      <x:c r="D508" s="47" t="str"/>
      <x:c r="E508" s="47" t="str"/>
      <x:c r="F508" s="47" t="str">
        <x:v>current</x:v>
      </x:c>
      <x:c r="G508" s="47" t="n">
        <x:v>504</x:v>
      </x:c>
      <x:c r="H508" s="53" t="b">
        <x:v>1</x:v>
      </x:c>
      <x:c r="I508" s="47" t="str">
        <x:v>3045069830</x:v>
      </x:c>
      <x:c r="J508" s="47" t="n">
        <x:v>62002796</x:v>
      </x:c>
      <x:c r="K508" s="53" t="b">
        <x:v>1</x:v>
      </x:c>
      <x:c r="L508" s="53" t="b">
        <x:v>1</x:v>
      </x:c>
      <x:c r="M508" s="53" t="b">
        <x:v>1</x:v>
      </x:c>
      <x:c r="N508" s="53" t="b">
        <x:v>1</x:v>
      </x:c>
      <x:c r="O508" s="53" t="b">
        <x:v>1</x:v>
      </x:c>
      <x:c r="P508" s="47" t="n">
        <x:v>1009</x:v>
      </x:c>
      <x:c r="Q508" s="47" t="n">
        <x:v>0</x:v>
      </x:c>
      <x:c r="R508" s="47" t="n">
        <x:v>0</x:v>
      </x:c>
      <x:c r="S508" s="47" t="n">
        <x:v>31.53</x:v>
      </x:c>
      <x:c r="T508" s="47" t="n">
        <x:v>67.04</x:v>
      </x:c>
      <x:c r="U508" s="47" t="n">
        <x:v>29.9</x:v>
      </x:c>
      <x:c r="V508" s="47" t="n">
        <x:v>12.1</x:v>
      </x:c>
      <x:c r="W508" s="47" t="n">
        <x:v>9</x:v>
      </x:c>
      <x:c r="X508" s="47" t="n">
        <x:v>41</x:v>
      </x:c>
      <x:c r="Y508" s="41" t="n">
        <x:v>32</x:v>
      </x:c>
    </x:row>
    <x:row r="509">
      <x:c r="A509" s="38" t="str">
        <x:v>7月30日现场数据</x:v>
      </x:c>
      <x:c r="B509" s="66" t="str">
        <x:v>2026-08-01T07:44:19.930000</x:v>
      </x:c>
      <x:c r="C509" s="47" t="n">
        <x:v>300964</x:v>
      </x:c>
      <x:c r="D509" s="47" t="str"/>
      <x:c r="E509" s="47" t="str"/>
      <x:c r="F509" s="47" t="str">
        <x:v>current</x:v>
      </x:c>
      <x:c r="G509" s="47" t="n">
        <x:v>505</x:v>
      </x:c>
      <x:c r="H509" s="53" t="b">
        <x:v>1</x:v>
      </x:c>
      <x:c r="I509" s="47" t="str">
        <x:v>3045069830</x:v>
      </x:c>
      <x:c r="J509" s="47" t="n">
        <x:v>62303760</x:v>
      </x:c>
      <x:c r="K509" s="53" t="b">
        <x:v>1</x:v>
      </x:c>
      <x:c r="L509" s="53" t="b">
        <x:v>1</x:v>
      </x:c>
      <x:c r="M509" s="53" t="b">
        <x:v>1</x:v>
      </x:c>
      <x:c r="N509" s="53" t="b">
        <x:v>1</x:v>
      </x:c>
      <x:c r="O509" s="53" t="b">
        <x:v>1</x:v>
      </x:c>
      <x:c r="P509" s="47" t="n">
        <x:v>1009</x:v>
      </x:c>
      <x:c r="Q509" s="47" t="n">
        <x:v>0</x:v>
      </x:c>
      <x:c r="R509" s="47" t="n">
        <x:v>0</x:v>
      </x:c>
      <x:c r="S509" s="47" t="n">
        <x:v>31.68</x:v>
      </x:c>
      <x:c r="T509" s="47" t="n">
        <x:v>67.09</x:v>
      </x:c>
      <x:c r="U509" s="47" t="n">
        <x:v>29.9</x:v>
      </x:c>
      <x:c r="V509" s="47" t="n">
        <x:v>12</x:v>
      </x:c>
      <x:c r="W509" s="47" t="n">
        <x:v>10</x:v>
      </x:c>
      <x:c r="X509" s="47" t="n">
        <x:v>44</x:v>
      </x:c>
      <x:c r="Y509" s="41" t="n">
        <x:v>34</x:v>
      </x:c>
    </x:row>
    <x:row r="510">
      <x:c r="A510" s="38" t="str">
        <x:v>7月30日现场数据</x:v>
      </x:c>
      <x:c r="B510" s="66" t="str">
        <x:v>2026-08-01T07:49:20.896000</x:v>
      </x:c>
      <x:c r="C510" s="47" t="n">
        <x:v>300966</x:v>
      </x:c>
      <x:c r="D510" s="47" t="str"/>
      <x:c r="E510" s="47" t="str"/>
      <x:c r="F510" s="47" t="str">
        <x:v>current</x:v>
      </x:c>
      <x:c r="G510" s="47" t="n">
        <x:v>506</x:v>
      </x:c>
      <x:c r="H510" s="53" t="b">
        <x:v>1</x:v>
      </x:c>
      <x:c r="I510" s="47" t="str">
        <x:v>3045069830</x:v>
      </x:c>
      <x:c r="J510" s="47" t="n">
        <x:v>62604726</x:v>
      </x:c>
      <x:c r="K510" s="53" t="b">
        <x:v>1</x:v>
      </x:c>
      <x:c r="L510" s="53" t="b">
        <x:v>1</x:v>
      </x:c>
      <x:c r="M510" s="53" t="b">
        <x:v>1</x:v>
      </x:c>
      <x:c r="N510" s="53" t="b">
        <x:v>1</x:v>
      </x:c>
      <x:c r="O510" s="53" t="b">
        <x:v>1</x:v>
      </x:c>
      <x:c r="P510" s="47" t="n">
        <x:v>1009</x:v>
      </x:c>
      <x:c r="Q510" s="47" t="n">
        <x:v>0</x:v>
      </x:c>
      <x:c r="R510" s="47" t="n">
        <x:v>0</x:v>
      </x:c>
      <x:c r="S510" s="47" t="n">
        <x:v>31.71</x:v>
      </x:c>
      <x:c r="T510" s="47" t="n">
        <x:v>67.21</x:v>
      </x:c>
      <x:c r="U510" s="47" t="n">
        <x:v>29.9</x:v>
      </x:c>
      <x:c r="V510" s="47" t="n">
        <x:v>12.1</x:v>
      </x:c>
      <x:c r="W510" s="47" t="n">
        <x:v>11</x:v>
      </x:c>
      <x:c r="X510" s="47" t="n">
        <x:v>48</x:v>
      </x:c>
      <x:c r="Y510" s="41" t="n">
        <x:v>37</x:v>
      </x:c>
    </x:row>
    <x:row r="511">
      <x:c r="A511" s="38" t="str">
        <x:v>7月30日现场数据</x:v>
      </x:c>
      <x:c r="B511" s="66" t="str">
        <x:v>2026-08-01T07:54:21.863000</x:v>
      </x:c>
      <x:c r="C511" s="47" t="n">
        <x:v>300967</x:v>
      </x:c>
      <x:c r="D511" s="47" t="str"/>
      <x:c r="E511" s="47" t="str"/>
      <x:c r="F511" s="47" t="str">
        <x:v>current</x:v>
      </x:c>
      <x:c r="G511" s="47" t="n">
        <x:v>507</x:v>
      </x:c>
      <x:c r="H511" s="53" t="b">
        <x:v>1</x:v>
      </x:c>
      <x:c r="I511" s="47" t="str">
        <x:v>3045069830</x:v>
      </x:c>
      <x:c r="J511" s="47" t="n">
        <x:v>62905693</x:v>
      </x:c>
      <x:c r="K511" s="53" t="b">
        <x:v>1</x:v>
      </x:c>
      <x:c r="L511" s="53" t="b">
        <x:v>1</x:v>
      </x:c>
      <x:c r="M511" s="53" t="b">
        <x:v>1</x:v>
      </x:c>
      <x:c r="N511" s="53" t="b">
        <x:v>1</x:v>
      </x:c>
      <x:c r="O511" s="53" t="b">
        <x:v>1</x:v>
      </x:c>
      <x:c r="P511" s="47" t="n">
        <x:v>1009</x:v>
      </x:c>
      <x:c r="Q511" s="47" t="n">
        <x:v>0</x:v>
      </x:c>
      <x:c r="R511" s="47" t="n">
        <x:v>0</x:v>
      </x:c>
      <x:c r="S511" s="47" t="n">
        <x:v>31.99</x:v>
      </x:c>
      <x:c r="T511" s="47" t="n">
        <x:v>67.29</x:v>
      </x:c>
      <x:c r="U511" s="47" t="n">
        <x:v>29.9</x:v>
      </x:c>
      <x:c r="V511" s="47" t="n">
        <x:v>12.1</x:v>
      </x:c>
      <x:c r="W511" s="47" t="n">
        <x:v>12</x:v>
      </x:c>
      <x:c r="X511" s="47" t="n">
        <x:v>52</x:v>
      </x:c>
      <x:c r="Y511" s="41" t="n">
        <x:v>40</x:v>
      </x:c>
    </x:row>
    <x:row r="512">
      <x:c r="A512" s="38" t="str">
        <x:v>7月30日现场数据</x:v>
      </x:c>
      <x:c r="B512" s="66" t="str">
        <x:v>2026-08-01T07:59:22.831000</x:v>
      </x:c>
      <x:c r="C512" s="47" t="n">
        <x:v>300968</x:v>
      </x:c>
      <x:c r="D512" s="47" t="str"/>
      <x:c r="E512" s="47" t="str"/>
      <x:c r="F512" s="47" t="str">
        <x:v>current</x:v>
      </x:c>
      <x:c r="G512" s="47" t="n">
        <x:v>508</x:v>
      </x:c>
      <x:c r="H512" s="53" t="b">
        <x:v>1</x:v>
      </x:c>
      <x:c r="I512" s="47" t="str">
        <x:v>3045069830</x:v>
      </x:c>
      <x:c r="J512" s="47" t="n">
        <x:v>63206661</x:v>
      </x:c>
      <x:c r="K512" s="53" t="b">
        <x:v>1</x:v>
      </x:c>
      <x:c r="L512" s="53" t="b">
        <x:v>1</x:v>
      </x:c>
      <x:c r="M512" s="53" t="b">
        <x:v>1</x:v>
      </x:c>
      <x:c r="N512" s="53" t="b">
        <x:v>1</x:v>
      </x:c>
      <x:c r="O512" s="53" t="b">
        <x:v>1</x:v>
      </x:c>
      <x:c r="P512" s="47" t="n">
        <x:v>1009</x:v>
      </x:c>
      <x:c r="Q512" s="47" t="n">
        <x:v>0</x:v>
      </x:c>
      <x:c r="R512" s="47" t="n">
        <x:v>0</x:v>
      </x:c>
      <x:c r="S512" s="47" t="n">
        <x:v>32.17</x:v>
      </x:c>
      <x:c r="T512" s="47" t="n">
        <x:v>67.44</x:v>
      </x:c>
      <x:c r="U512" s="47" t="n">
        <x:v>30</x:v>
      </x:c>
      <x:c r="V512" s="47" t="n">
        <x:v>12.1</x:v>
      </x:c>
      <x:c r="W512" s="47" t="n">
        <x:v>14</x:v>
      </x:c>
      <x:c r="X512" s="47" t="n">
        <x:v>58</x:v>
      </x:c>
      <x:c r="Y512" s="41" t="n">
        <x:v>44</x:v>
      </x:c>
    </x:row>
    <x:row r="513">
      <x:c r="A513" s="38" t="str">
        <x:v>7月30日现场数据</x:v>
      </x:c>
      <x:c r="B513" s="66" t="str">
        <x:v>2026-08-01T08:04:23.803000</x:v>
      </x:c>
      <x:c r="C513" s="47" t="n">
        <x:v>300972</x:v>
      </x:c>
      <x:c r="D513" s="47" t="str"/>
      <x:c r="E513" s="47" t="str"/>
      <x:c r="F513" s="47" t="str">
        <x:v>current</x:v>
      </x:c>
      <x:c r="G513" s="47" t="n">
        <x:v>509</x:v>
      </x:c>
      <x:c r="H513" s="53" t="b">
        <x:v>1</x:v>
      </x:c>
      <x:c r="I513" s="47" t="str">
        <x:v>3045069830</x:v>
      </x:c>
      <x:c r="J513" s="47" t="n">
        <x:v>63507633</x:v>
      </x:c>
      <x:c r="K513" s="53" t="b">
        <x:v>1</x:v>
      </x:c>
      <x:c r="L513" s="53" t="b">
        <x:v>1</x:v>
      </x:c>
      <x:c r="M513" s="53" t="b">
        <x:v>1</x:v>
      </x:c>
      <x:c r="N513" s="53" t="b">
        <x:v>1</x:v>
      </x:c>
      <x:c r="O513" s="53" t="b">
        <x:v>1</x:v>
      </x:c>
      <x:c r="P513" s="47" t="n">
        <x:v>1009</x:v>
      </x:c>
      <x:c r="Q513" s="47" t="n">
        <x:v>0</x:v>
      </x:c>
      <x:c r="R513" s="47" t="n">
        <x:v>0</x:v>
      </x:c>
      <x:c r="S513" s="47" t="n">
        <x:v>32.15</x:v>
      </x:c>
      <x:c r="T513" s="47" t="n">
        <x:v>67.47</x:v>
      </x:c>
      <x:c r="U513" s="47" t="n">
        <x:v>30</x:v>
      </x:c>
      <x:c r="V513" s="47" t="n">
        <x:v>12</x:v>
      </x:c>
      <x:c r="W513" s="47" t="n">
        <x:v>15</x:v>
      </x:c>
      <x:c r="X513" s="47" t="n">
        <x:v>63</x:v>
      </x:c>
      <x:c r="Y513" s="41" t="n">
        <x:v>48</x:v>
      </x:c>
    </x:row>
    <x:row r="514">
      <x:c r="A514" s="38" t="str">
        <x:v>7月30日现场数据</x:v>
      </x:c>
      <x:c r="B514" s="66" t="str">
        <x:v>2026-08-01T08:09:24.775000</x:v>
      </x:c>
      <x:c r="C514" s="47" t="n">
        <x:v>300972</x:v>
      </x:c>
      <x:c r="D514" s="47" t="str"/>
      <x:c r="E514" s="47" t="str"/>
      <x:c r="F514" s="47" t="str">
        <x:v>current</x:v>
      </x:c>
      <x:c r="G514" s="47" t="n">
        <x:v>510</x:v>
      </x:c>
      <x:c r="H514" s="53" t="b">
        <x:v>1</x:v>
      </x:c>
      <x:c r="I514" s="47" t="str">
        <x:v>3045069830</x:v>
      </x:c>
      <x:c r="J514" s="47" t="n">
        <x:v>63808605</x:v>
      </x:c>
      <x:c r="K514" s="53" t="b">
        <x:v>1</x:v>
      </x:c>
      <x:c r="L514" s="53" t="b">
        <x:v>1</x:v>
      </x:c>
      <x:c r="M514" s="53" t="b">
        <x:v>1</x:v>
      </x:c>
      <x:c r="N514" s="53" t="b">
        <x:v>1</x:v>
      </x:c>
      <x:c r="O514" s="53" t="b">
        <x:v>1</x:v>
      </x:c>
      <x:c r="P514" s="47" t="n">
        <x:v>1009</x:v>
      </x:c>
      <x:c r="Q514" s="47" t="n">
        <x:v>0</x:v>
      </x:c>
      <x:c r="R514" s="47" t="n">
        <x:v>0</x:v>
      </x:c>
      <x:c r="S514" s="47" t="n">
        <x:v>32.29</x:v>
      </x:c>
      <x:c r="T514" s="47" t="n">
        <x:v>67.58</x:v>
      </x:c>
      <x:c r="U514" s="47" t="n">
        <x:v>30</x:v>
      </x:c>
      <x:c r="V514" s="47" t="n">
        <x:v>12.1</x:v>
      </x:c>
      <x:c r="W514" s="47" t="n">
        <x:v>17</x:v>
      </x:c>
      <x:c r="X514" s="47" t="n">
        <x:v>71</x:v>
      </x:c>
      <x:c r="Y514" s="41" t="n">
        <x:v>54</x:v>
      </x:c>
    </x:row>
    <x:row r="515">
      <x:c r="A515" s="38" t="str">
        <x:v>7月30日现场数据</x:v>
      </x:c>
      <x:c r="B515" s="66" t="str">
        <x:v>2026-08-01T08:14:25.747000</x:v>
      </x:c>
      <x:c r="C515" s="47" t="n">
        <x:v>300972</x:v>
      </x:c>
      <x:c r="D515" s="47" t="str"/>
      <x:c r="E515" s="47" t="str"/>
      <x:c r="F515" s="47" t="str">
        <x:v>current</x:v>
      </x:c>
      <x:c r="G515" s="47" t="n">
        <x:v>511</x:v>
      </x:c>
      <x:c r="H515" s="53" t="b">
        <x:v>1</x:v>
      </x:c>
      <x:c r="I515" s="47" t="str">
        <x:v>3045069830</x:v>
      </x:c>
      <x:c r="J515" s="47" t="n">
        <x:v>64109577</x:v>
      </x:c>
      <x:c r="K515" s="53" t="b">
        <x:v>1</x:v>
      </x:c>
      <x:c r="L515" s="53" t="b">
        <x:v>1</x:v>
      </x:c>
      <x:c r="M515" s="53" t="b">
        <x:v>1</x:v>
      </x:c>
      <x:c r="N515" s="53" t="b">
        <x:v>1</x:v>
      </x:c>
      <x:c r="O515" s="53" t="b">
        <x:v>1</x:v>
      </x:c>
      <x:c r="P515" s="47" t="n">
        <x:v>1009</x:v>
      </x:c>
      <x:c r="Q515" s="47" t="n">
        <x:v>0</x:v>
      </x:c>
      <x:c r="R515" s="47" t="n">
        <x:v>0</x:v>
      </x:c>
      <x:c r="S515" s="47" t="n">
        <x:v>32.65</x:v>
      </x:c>
      <x:c r="T515" s="47" t="n">
        <x:v>67.62</x:v>
      </x:c>
      <x:c r="U515" s="47" t="n">
        <x:v>30</x:v>
      </x:c>
      <x:c r="V515" s="47" t="n">
        <x:v>12</x:v>
      </x:c>
      <x:c r="W515" s="47" t="n">
        <x:v>19</x:v>
      </x:c>
      <x:c r="X515" s="47" t="n">
        <x:v>80</x:v>
      </x:c>
      <x:c r="Y515" s="41" t="n">
        <x:v>61</x:v>
      </x:c>
    </x:row>
    <x:row r="516">
      <x:c r="A516" s="38" t="str">
        <x:v>7月30日现场数据</x:v>
      </x:c>
      <x:c r="B516" s="66" t="str">
        <x:v>2026-08-01T08:19:26.723000</x:v>
      </x:c>
      <x:c r="C516" s="47" t="n">
        <x:v>300976</x:v>
      </x:c>
      <x:c r="D516" s="47" t="str"/>
      <x:c r="E516" s="47" t="str"/>
      <x:c r="F516" s="47" t="str">
        <x:v>current</x:v>
      </x:c>
      <x:c r="G516" s="47" t="n">
        <x:v>512</x:v>
      </x:c>
      <x:c r="H516" s="53" t="b">
        <x:v>1</x:v>
      </x:c>
      <x:c r="I516" s="47" t="str">
        <x:v>3045069830</x:v>
      </x:c>
      <x:c r="J516" s="47" t="n">
        <x:v>64410553</x:v>
      </x:c>
      <x:c r="K516" s="53" t="b">
        <x:v>1</x:v>
      </x:c>
      <x:c r="L516" s="53" t="b">
        <x:v>1</x:v>
      </x:c>
      <x:c r="M516" s="53" t="b">
        <x:v>1</x:v>
      </x:c>
      <x:c r="N516" s="53" t="b">
        <x:v>1</x:v>
      </x:c>
      <x:c r="O516" s="53" t="b">
        <x:v>1</x:v>
      </x:c>
      <x:c r="P516" s="47" t="n">
        <x:v>1010</x:v>
      </x:c>
      <x:c r="Q516" s="47" t="n">
        <x:v>0</x:v>
      </x:c>
      <x:c r="R516" s="47" t="n">
        <x:v>0</x:v>
      </x:c>
      <x:c r="S516" s="47" t="n">
        <x:v>33.1</x:v>
      </x:c>
      <x:c r="T516" s="47" t="n">
        <x:v>67.8</x:v>
      </x:c>
      <x:c r="U516" s="47" t="n">
        <x:v>30</x:v>
      </x:c>
      <x:c r="V516" s="47" t="n">
        <x:v>12.1</x:v>
      </x:c>
      <x:c r="W516" s="47" t="n">
        <x:v>21</x:v>
      </x:c>
      <x:c r="X516" s="47" t="n">
        <x:v>93</x:v>
      </x:c>
      <x:c r="Y516" s="41" t="n">
        <x:v>72</x:v>
      </x:c>
    </x:row>
    <x:row r="517">
      <x:c r="A517" s="38" t="str">
        <x:v>7月30日现场数据</x:v>
      </x:c>
      <x:c r="B517" s="66" t="str">
        <x:v>2026-08-01T08:24:27.700000</x:v>
      </x:c>
      <x:c r="C517" s="47" t="n">
        <x:v>300977</x:v>
      </x:c>
      <x:c r="D517" s="47" t="str"/>
      <x:c r="E517" s="47" t="str"/>
      <x:c r="F517" s="47" t="str">
        <x:v>current</x:v>
      </x:c>
      <x:c r="G517" s="47" t="n">
        <x:v>513</x:v>
      </x:c>
      <x:c r="H517" s="53" t="b">
        <x:v>1</x:v>
      </x:c>
      <x:c r="I517" s="47" t="str">
        <x:v>3045069830</x:v>
      </x:c>
      <x:c r="J517" s="47" t="n">
        <x:v>64711530</x:v>
      </x:c>
      <x:c r="K517" s="53" t="b">
        <x:v>1</x:v>
      </x:c>
      <x:c r="L517" s="53" t="b">
        <x:v>1</x:v>
      </x:c>
      <x:c r="M517" s="53" t="b">
        <x:v>1</x:v>
      </x:c>
      <x:c r="N517" s="53" t="b">
        <x:v>1</x:v>
      </x:c>
      <x:c r="O517" s="53" t="b">
        <x:v>1</x:v>
      </x:c>
      <x:c r="P517" s="47" t="n">
        <x:v>1009</x:v>
      </x:c>
      <x:c r="Q517" s="47" t="n">
        <x:v>0</x:v>
      </x:c>
      <x:c r="R517" s="47" t="n">
        <x:v>0</x:v>
      </x:c>
      <x:c r="S517" s="47" t="n">
        <x:v>33.45</x:v>
      </x:c>
      <x:c r="T517" s="47" t="n">
        <x:v>67.82</x:v>
      </x:c>
      <x:c r="U517" s="47" t="n">
        <x:v>30</x:v>
      </x:c>
      <x:c r="V517" s="47" t="n">
        <x:v>12.1</x:v>
      </x:c>
      <x:c r="W517" s="47" t="n">
        <x:v>25</x:v>
      </x:c>
      <x:c r="X517" s="47" t="n">
        <x:v>107</x:v>
      </x:c>
      <x:c r="Y517" s="41" t="n">
        <x:v>82</x:v>
      </x:c>
    </x:row>
    <x:row r="518">
      <x:c r="A518" s="38" t="str">
        <x:v>7月30日现场数据</x:v>
      </x:c>
      <x:c r="B518" s="66" t="str">
        <x:v>2026-08-01T08:29:28.677000</x:v>
      </x:c>
      <x:c r="C518" s="47" t="n">
        <x:v>300977</x:v>
      </x:c>
      <x:c r="D518" s="47" t="str"/>
      <x:c r="E518" s="47" t="str"/>
      <x:c r="F518" s="47" t="str">
        <x:v>current</x:v>
      </x:c>
      <x:c r="G518" s="47" t="n">
        <x:v>514</x:v>
      </x:c>
      <x:c r="H518" s="53" t="b">
        <x:v>1</x:v>
      </x:c>
      <x:c r="I518" s="47" t="str">
        <x:v>3045069830</x:v>
      </x:c>
      <x:c r="J518" s="47" t="n">
        <x:v>65012507</x:v>
      </x:c>
      <x:c r="K518" s="53" t="b">
        <x:v>1</x:v>
      </x:c>
      <x:c r="L518" s="53" t="b">
        <x:v>1</x:v>
      </x:c>
      <x:c r="M518" s="53" t="b">
        <x:v>1</x:v>
      </x:c>
      <x:c r="N518" s="53" t="b">
        <x:v>1</x:v>
      </x:c>
      <x:c r="O518" s="53" t="b">
        <x:v>1</x:v>
      </x:c>
      <x:c r="P518" s="47" t="n">
        <x:v>1009</x:v>
      </x:c>
      <x:c r="Q518" s="47" t="n">
        <x:v>0</x:v>
      </x:c>
      <x:c r="R518" s="47" t="n">
        <x:v>0</x:v>
      </x:c>
      <x:c r="S518" s="47" t="n">
        <x:v>33.76</x:v>
      </x:c>
      <x:c r="T518" s="47" t="n">
        <x:v>67.98</x:v>
      </x:c>
      <x:c r="U518" s="47" t="n">
        <x:v>30.1</x:v>
      </x:c>
      <x:c r="V518" s="47" t="n">
        <x:v>12.1</x:v>
      </x:c>
      <x:c r="W518" s="47" t="n">
        <x:v>33</x:v>
      </x:c>
      <x:c r="X518" s="47" t="n">
        <x:v>116</x:v>
      </x:c>
      <x:c r="Y518" s="41" t="n">
        <x:v>83</x:v>
      </x:c>
    </x:row>
    <x:row r="519">
      <x:c r="A519" s="38" t="str">
        <x:v>7月30日现场数据</x:v>
      </x:c>
      <x:c r="B519" s="66" t="str">
        <x:v>2026-08-01T08:34:29.659000</x:v>
      </x:c>
      <x:c r="C519" s="47" t="n">
        <x:v>300982</x:v>
      </x:c>
      <x:c r="D519" s="47" t="str"/>
      <x:c r="E519" s="47" t="str"/>
      <x:c r="F519" s="47" t="str">
        <x:v>current</x:v>
      </x:c>
      <x:c r="G519" s="47" t="n">
        <x:v>515</x:v>
      </x:c>
      <x:c r="H519" s="53" t="b">
        <x:v>1</x:v>
      </x:c>
      <x:c r="I519" s="47" t="str">
        <x:v>3045069830</x:v>
      </x:c>
      <x:c r="J519" s="47" t="n">
        <x:v>65313489</x:v>
      </x:c>
      <x:c r="K519" s="53" t="b">
        <x:v>1</x:v>
      </x:c>
      <x:c r="L519" s="53" t="b">
        <x:v>1</x:v>
      </x:c>
      <x:c r="M519" s="53" t="b">
        <x:v>1</x:v>
      </x:c>
      <x:c r="N519" s="53" t="b">
        <x:v>1</x:v>
      </x:c>
      <x:c r="O519" s="53" t="b">
        <x:v>1</x:v>
      </x:c>
      <x:c r="P519" s="47" t="n">
        <x:v>1009</x:v>
      </x:c>
      <x:c r="Q519" s="47" t="n">
        <x:v>0.1</x:v>
      </x:c>
      <x:c r="R519" s="47" t="n">
        <x:v>2.703</x:v>
      </x:c>
      <x:c r="S519" s="47" t="n">
        <x:v>34.07</x:v>
      </x:c>
      <x:c r="T519" s="47" t="n">
        <x:v>68.05</x:v>
      </x:c>
      <x:c r="U519" s="47" t="n">
        <x:v>30.1</x:v>
      </x:c>
      <x:c r="V519" s="47" t="n">
        <x:v>12.1</x:v>
      </x:c>
      <x:c r="W519" s="47" t="n">
        <x:v>66</x:v>
      </x:c>
      <x:c r="X519" s="47" t="n">
        <x:v>825</x:v>
      </x:c>
      <x:c r="Y519" s="41" t="n">
        <x:v>759</x:v>
      </x:c>
    </x:row>
    <x:row r="520">
      <x:c r="A520" s="38" t="str">
        <x:v>7月30日现场数据</x:v>
      </x:c>
      <x:c r="B520" s="66" t="str">
        <x:v>2026-08-01T08:39:30.643000</x:v>
      </x:c>
      <x:c r="C520" s="47" t="n">
        <x:v>300984</x:v>
      </x:c>
      <x:c r="D520" s="47" t="str"/>
      <x:c r="E520" s="47" t="str"/>
      <x:c r="F520" s="47" t="str">
        <x:v>current</x:v>
      </x:c>
      <x:c r="G520" s="47" t="n">
        <x:v>516</x:v>
      </x:c>
      <x:c r="H520" s="53" t="b">
        <x:v>1</x:v>
      </x:c>
      <x:c r="I520" s="47" t="str">
        <x:v>3045069830</x:v>
      </x:c>
      <x:c r="J520" s="47" t="n">
        <x:v>65614473</x:v>
      </x:c>
      <x:c r="K520" s="53" t="b">
        <x:v>1</x:v>
      </x:c>
      <x:c r="L520" s="53" t="b">
        <x:v>1</x:v>
      </x:c>
      <x:c r="M520" s="53" t="b">
        <x:v>1</x:v>
      </x:c>
      <x:c r="N520" s="53" t="b">
        <x:v>1</x:v>
      </x:c>
      <x:c r="O520" s="53" t="b">
        <x:v>1</x:v>
      </x:c>
      <x:c r="P520" s="47" t="n">
        <x:v>1008</x:v>
      </x:c>
      <x:c r="Q520" s="47" t="n">
        <x:v>0</x:v>
      </x:c>
      <x:c r="R520" s="47" t="n">
        <x:v>0</x:v>
      </x:c>
      <x:c r="S520" s="47" t="n">
        <x:v>37.2</x:v>
      </x:c>
      <x:c r="T520" s="47" t="n">
        <x:v>68.16</x:v>
      </x:c>
      <x:c r="U520" s="47" t="n">
        <x:v>30.1</x:v>
      </x:c>
      <x:c r="V520" s="47" t="n">
        <x:v>12.1</x:v>
      </x:c>
      <x:c r="W520" s="47" t="n">
        <x:v>131</x:v>
      </x:c>
      <x:c r="X520" s="47" t="n">
        <x:v>832</x:v>
      </x:c>
      <x:c r="Y520" s="41" t="n">
        <x:v>701</x:v>
      </x:c>
    </x:row>
    <x:row r="521">
      <x:c r="A521" s="38" t="str">
        <x:v>7月30日现场数据</x:v>
      </x:c>
      <x:c r="B521" s="66" t="str">
        <x:v>2026-08-01T08:49:35.263000</x:v>
      </x:c>
      <x:c r="C521" s="47" t="n">
        <x:v>604620</x:v>
      </x:c>
      <x:c r="D521" s="47" t="str">
        <x:v>采样空档</x:v>
      </x:c>
      <x:c r="E521" s="47" t="str">
        <x:v>同一启动会话内 uptime 增加约 10.1 分钟</x:v>
      </x:c>
      <x:c r="F521" s="47" t="str">
        <x:v>current</x:v>
      </x:c>
      <x:c r="G521" s="47" t="n">
        <x:v>517</x:v>
      </x:c>
      <x:c r="H521" s="53" t="b">
        <x:v>1</x:v>
      </x:c>
      <x:c r="I521" s="47" t="str">
        <x:v>3045069830</x:v>
      </x:c>
      <x:c r="J521" s="47" t="n">
        <x:v>66219093</x:v>
      </x:c>
      <x:c r="K521" s="53" t="b">
        <x:v>1</x:v>
      </x:c>
      <x:c r="L521" s="53" t="b">
        <x:v>1</x:v>
      </x:c>
      <x:c r="M521" s="53" t="b">
        <x:v>1</x:v>
      </x:c>
      <x:c r="N521" s="53" t="b">
        <x:v>1</x:v>
      </x:c>
      <x:c r="O521" s="53" t="b">
        <x:v>1</x:v>
      </x:c>
      <x:c r="P521" s="47" t="n">
        <x:v>1010</x:v>
      </x:c>
      <x:c r="Q521" s="47" t="n">
        <x:v>0</x:v>
      </x:c>
      <x:c r="R521" s="47" t="n">
        <x:v>0</x:v>
      </x:c>
      <x:c r="S521" s="47" t="n">
        <x:v>44.87</x:v>
      </x:c>
      <x:c r="T521" s="47" t="n">
        <x:v>69.64</x:v>
      </x:c>
      <x:c r="U521" s="47" t="n">
        <x:v>30.9</x:v>
      </x:c>
      <x:c r="V521" s="47" t="n">
        <x:v>12.2</x:v>
      </x:c>
      <x:c r="W521" s="47" t="n">
        <x:v>194</x:v>
      </x:c>
      <x:c r="X521" s="47" t="n">
        <x:v>877</x:v>
      </x:c>
      <x:c r="Y521" s="41" t="n">
        <x:v>683</x:v>
      </x:c>
    </x:row>
    <x:row r="522">
      <x:c r="A522" s="38" t="str">
        <x:v>7月30日现场数据</x:v>
      </x:c>
      <x:c r="B522" s="66" t="str">
        <x:v>2026-08-01T08:54:36.280000</x:v>
      </x:c>
      <x:c r="C522" s="47" t="n">
        <x:v>301017</x:v>
      </x:c>
      <x:c r="D522" s="47" t="str"/>
      <x:c r="E522" s="47" t="str"/>
      <x:c r="F522" s="47" t="str">
        <x:v>current</x:v>
      </x:c>
      <x:c r="G522" s="47" t="n">
        <x:v>518</x:v>
      </x:c>
      <x:c r="H522" s="53" t="b">
        <x:v>1</x:v>
      </x:c>
      <x:c r="I522" s="47" t="str">
        <x:v>3045069830</x:v>
      </x:c>
      <x:c r="J522" s="47" t="n">
        <x:v>66520110</x:v>
      </x:c>
      <x:c r="K522" s="53" t="b">
        <x:v>1</x:v>
      </x:c>
      <x:c r="L522" s="53" t="b">
        <x:v>1</x:v>
      </x:c>
      <x:c r="M522" s="53" t="b">
        <x:v>1</x:v>
      </x:c>
      <x:c r="N522" s="53" t="b">
        <x:v>1</x:v>
      </x:c>
      <x:c r="O522" s="53" t="b">
        <x:v>1</x:v>
      </x:c>
      <x:c r="P522" s="47" t="n">
        <x:v>1010</x:v>
      </x:c>
      <x:c r="Q522" s="47" t="n">
        <x:v>0</x:v>
      </x:c>
      <x:c r="R522" s="47" t="n">
        <x:v>0</x:v>
      </x:c>
      <x:c r="S522" s="47" t="n">
        <x:v>45.8</x:v>
      </x:c>
      <x:c r="T522" s="47" t="n">
        <x:v>69.73</x:v>
      </x:c>
      <x:c r="U522" s="47" t="n">
        <x:v>31.4</x:v>
      </x:c>
      <x:c r="V522" s="47" t="n">
        <x:v>12.3</x:v>
      </x:c>
      <x:c r="W522" s="47" t="n">
        <x:v>207</x:v>
      </x:c>
      <x:c r="X522" s="47" t="n">
        <x:v>895</x:v>
      </x:c>
      <x:c r="Y522" s="41" t="n">
        <x:v>688</x:v>
      </x:c>
    </x:row>
    <x:row r="523">
      <x:c r="A523" s="38" t="str">
        <x:v>7月30日现场数据</x:v>
      </x:c>
      <x:c r="B523" s="66" t="str">
        <x:v>2026-08-01T08:59:37.241000</x:v>
      </x:c>
      <x:c r="C523" s="47" t="n">
        <x:v>300961</x:v>
      </x:c>
      <x:c r="D523" s="47" t="str"/>
      <x:c r="E523" s="47" t="str"/>
      <x:c r="F523" s="47" t="str">
        <x:v>current</x:v>
      </x:c>
      <x:c r="G523" s="47" t="n">
        <x:v>519</x:v>
      </x:c>
      <x:c r="H523" s="53" t="b">
        <x:v>1</x:v>
      </x:c>
      <x:c r="I523" s="47" t="str">
        <x:v>3045069830</x:v>
      </x:c>
      <x:c r="J523" s="47" t="n">
        <x:v>66821071</x:v>
      </x:c>
      <x:c r="K523" s="53" t="b">
        <x:v>1</x:v>
      </x:c>
      <x:c r="L523" s="53" t="b">
        <x:v>1</x:v>
      </x:c>
      <x:c r="M523" s="53" t="b">
        <x:v>1</x:v>
      </x:c>
      <x:c r="N523" s="53" t="b">
        <x:v>1</x:v>
      </x:c>
      <x:c r="O523" s="53" t="b">
        <x:v>1</x:v>
      </x:c>
      <x:c r="P523" s="47" t="n">
        <x:v>1011</x:v>
      </x:c>
      <x:c r="Q523" s="47" t="n">
        <x:v>0</x:v>
      </x:c>
      <x:c r="R523" s="47" t="n">
        <x:v>0</x:v>
      </x:c>
      <x:c r="S523" s="47" t="n">
        <x:v>46.63</x:v>
      </x:c>
      <x:c r="T523" s="47" t="n">
        <x:v>69.42</x:v>
      </x:c>
      <x:c r="U523" s="47" t="n">
        <x:v>31.9</x:v>
      </x:c>
      <x:c r="V523" s="47" t="n">
        <x:v>12.4</x:v>
      </x:c>
      <x:c r="W523" s="47" t="n">
        <x:v>210</x:v>
      </x:c>
      <x:c r="X523" s="47" t="n">
        <x:v>894</x:v>
      </x:c>
      <x:c r="Y523" s="41" t="n">
        <x:v>684</x:v>
      </x:c>
    </x:row>
    <x:row r="524">
      <x:c r="A524" s="38" t="str">
        <x:v>7月30日现场数据</x:v>
      </x:c>
      <x:c r="B524" s="66" t="str">
        <x:v>2026-08-01T09:04:38.202000</x:v>
      </x:c>
      <x:c r="C524" s="47" t="n">
        <x:v>300961</x:v>
      </x:c>
      <x:c r="D524" s="47" t="str"/>
      <x:c r="E524" s="47" t="str"/>
      <x:c r="F524" s="47" t="str">
        <x:v>current</x:v>
      </x:c>
      <x:c r="G524" s="47" t="n">
        <x:v>520</x:v>
      </x:c>
      <x:c r="H524" s="53" t="b">
        <x:v>1</x:v>
      </x:c>
      <x:c r="I524" s="47" t="str">
        <x:v>3045069830</x:v>
      </x:c>
      <x:c r="J524" s="47" t="n">
        <x:v>67122032</x:v>
      </x:c>
      <x:c r="K524" s="53" t="b">
        <x:v>1</x:v>
      </x:c>
      <x:c r="L524" s="53" t="b">
        <x:v>1</x:v>
      </x:c>
      <x:c r="M524" s="53" t="b">
        <x:v>1</x:v>
      </x:c>
      <x:c r="N524" s="53" t="b">
        <x:v>1</x:v>
      </x:c>
      <x:c r="O524" s="53" t="b">
        <x:v>1</x:v>
      </x:c>
      <x:c r="P524" s="47" t="n">
        <x:v>1011</x:v>
      </x:c>
      <x:c r="Q524" s="47" t="n">
        <x:v>0</x:v>
      </x:c>
      <x:c r="R524" s="47" t="n">
        <x:v>0</x:v>
      </x:c>
      <x:c r="S524" s="47" t="n">
        <x:v>44.96</x:v>
      </x:c>
      <x:c r="T524" s="47" t="n">
        <x:v>68.99</x:v>
      </x:c>
      <x:c r="U524" s="47" t="n">
        <x:v>32.4</x:v>
      </x:c>
      <x:c r="V524" s="47" t="n">
        <x:v>12.4</x:v>
      </x:c>
      <x:c r="W524" s="47" t="n">
        <x:v>212</x:v>
      </x:c>
      <x:c r="X524" s="47" t="n">
        <x:v>893</x:v>
      </x:c>
      <x:c r="Y524" s="41" t="n">
        <x:v>681</x:v>
      </x:c>
    </x:row>
    <x:row r="525">
      <x:c r="A525" s="38" t="str">
        <x:v>7月30日现场数据</x:v>
      </x:c>
      <x:c r="B525" s="66" t="str">
        <x:v>2026-08-01T09:09:39.165000</x:v>
      </x:c>
      <x:c r="C525" s="47" t="n">
        <x:v>300963</x:v>
      </x:c>
      <x:c r="D525" s="47" t="str"/>
      <x:c r="E525" s="47" t="str"/>
      <x:c r="F525" s="47" t="str">
        <x:v>current</x:v>
      </x:c>
      <x:c r="G525" s="47" t="n">
        <x:v>521</x:v>
      </x:c>
      <x:c r="H525" s="53" t="b">
        <x:v>1</x:v>
      </x:c>
      <x:c r="I525" s="47" t="str">
        <x:v>3045069830</x:v>
      </x:c>
      <x:c r="J525" s="47" t="n">
        <x:v>67422995</x:v>
      </x:c>
      <x:c r="K525" s="53" t="b">
        <x:v>1</x:v>
      </x:c>
      <x:c r="L525" s="53" t="b">
        <x:v>1</x:v>
      </x:c>
      <x:c r="M525" s="53" t="b">
        <x:v>1</x:v>
      </x:c>
      <x:c r="N525" s="53" t="b">
        <x:v>1</x:v>
      </x:c>
      <x:c r="O525" s="53" t="b">
        <x:v>1</x:v>
      </x:c>
      <x:c r="P525" s="47" t="n">
        <x:v>1011</x:v>
      </x:c>
      <x:c r="Q525" s="47" t="n">
        <x:v>0</x:v>
      </x:c>
      <x:c r="R525" s="47" t="n">
        <x:v>0</x:v>
      </x:c>
      <x:c r="S525" s="47" t="n">
        <x:v>44.93</x:v>
      </x:c>
      <x:c r="T525" s="47" t="n">
        <x:v>68.47</x:v>
      </x:c>
      <x:c r="U525" s="47" t="n">
        <x:v>32.7</x:v>
      </x:c>
      <x:c r="V525" s="47" t="n">
        <x:v>12.4</x:v>
      </x:c>
      <x:c r="W525" s="47" t="n">
        <x:v>214</x:v>
      </x:c>
      <x:c r="X525" s="47" t="n">
        <x:v>912</x:v>
      </x:c>
      <x:c r="Y525" s="41" t="n">
        <x:v>698</x:v>
      </x:c>
    </x:row>
    <x:row r="526">
      <x:c r="A526" s="38" t="str">
        <x:v>7月30日现场数据</x:v>
      </x:c>
      <x:c r="B526" s="66" t="str">
        <x:v>2026-08-01T09:14:40.132000</x:v>
      </x:c>
      <x:c r="C526" s="47" t="n">
        <x:v>300967</x:v>
      </x:c>
      <x:c r="D526" s="47" t="str"/>
      <x:c r="E526" s="47" t="str"/>
      <x:c r="F526" s="47" t="str">
        <x:v>current</x:v>
      </x:c>
      <x:c r="G526" s="47" t="n">
        <x:v>522</x:v>
      </x:c>
      <x:c r="H526" s="53" t="b">
        <x:v>1</x:v>
      </x:c>
      <x:c r="I526" s="47" t="str">
        <x:v>3045069830</x:v>
      </x:c>
      <x:c r="J526" s="47" t="n">
        <x:v>67723962</x:v>
      </x:c>
      <x:c r="K526" s="53" t="b">
        <x:v>1</x:v>
      </x:c>
      <x:c r="L526" s="53" t="b">
        <x:v>1</x:v>
      </x:c>
      <x:c r="M526" s="53" t="b">
        <x:v>1</x:v>
      </x:c>
      <x:c r="N526" s="53" t="b">
        <x:v>1</x:v>
      </x:c>
      <x:c r="O526" s="53" t="b">
        <x:v>1</x:v>
      </x:c>
      <x:c r="P526" s="47" t="n">
        <x:v>1010</x:v>
      </x:c>
      <x:c r="Q526" s="47" t="n">
        <x:v>0</x:v>
      </x:c>
      <x:c r="R526" s="47" t="n">
        <x:v>0</x:v>
      </x:c>
      <x:c r="S526" s="47" t="n">
        <x:v>43.9</x:v>
      </x:c>
      <x:c r="T526" s="47" t="n">
        <x:v>68.02</x:v>
      </x:c>
      <x:c r="U526" s="47" t="n">
        <x:v>33</x:v>
      </x:c>
      <x:c r="V526" s="47" t="n">
        <x:v>12.4</x:v>
      </x:c>
      <x:c r="W526" s="47" t="n">
        <x:v>216</x:v>
      </x:c>
      <x:c r="X526" s="47" t="n">
        <x:v>929</x:v>
      </x:c>
      <x:c r="Y526" s="41" t="n">
        <x:v>713</x:v>
      </x:c>
    </x:row>
    <x:row r="527">
      <x:c r="A527" s="38" t="str">
        <x:v>7月30日现场数据</x:v>
      </x:c>
      <x:c r="B527" s="66" t="str">
        <x:v>2026-08-01T09:19:41.099000</x:v>
      </x:c>
      <x:c r="C527" s="47" t="n">
        <x:v>300967</x:v>
      </x:c>
      <x:c r="D527" s="47" t="str"/>
      <x:c r="E527" s="47" t="str"/>
      <x:c r="F527" s="47" t="str">
        <x:v>current</x:v>
      </x:c>
      <x:c r="G527" s="47" t="n">
        <x:v>523</x:v>
      </x:c>
      <x:c r="H527" s="53" t="b">
        <x:v>1</x:v>
      </x:c>
      <x:c r="I527" s="47" t="str">
        <x:v>3045069830</x:v>
      </x:c>
      <x:c r="J527" s="47" t="n">
        <x:v>68024929</x:v>
      </x:c>
      <x:c r="K527" s="53" t="b">
        <x:v>1</x:v>
      </x:c>
      <x:c r="L527" s="53" t="b">
        <x:v>1</x:v>
      </x:c>
      <x:c r="M527" s="53" t="b">
        <x:v>1</x:v>
      </x:c>
      <x:c r="N527" s="53" t="b">
        <x:v>1</x:v>
      </x:c>
      <x:c r="O527" s="53" t="b">
        <x:v>1</x:v>
      </x:c>
      <x:c r="P527" s="47" t="n">
        <x:v>1010</x:v>
      </x:c>
      <x:c r="Q527" s="47" t="n">
        <x:v>0</x:v>
      </x:c>
      <x:c r="R527" s="47" t="n">
        <x:v>0</x:v>
      </x:c>
      <x:c r="S527" s="47" t="n">
        <x:v>44.4</x:v>
      </x:c>
      <x:c r="T527" s="47" t="n">
        <x:v>67.71</x:v>
      </x:c>
      <x:c r="U527" s="47" t="n">
        <x:v>33.2</x:v>
      </x:c>
      <x:c r="V527" s="47" t="n">
        <x:v>12.4</x:v>
      </x:c>
      <x:c r="W527" s="47" t="n">
        <x:v>218</x:v>
      </x:c>
      <x:c r="X527" s="47" t="n">
        <x:v>944</x:v>
      </x:c>
      <x:c r="Y527" s="41" t="n">
        <x:v>726</x:v>
      </x:c>
    </x:row>
    <x:row r="528">
      <x:c r="A528" s="38" t="str">
        <x:v>7月30日现场数据</x:v>
      </x:c>
      <x:c r="B528" s="66" t="str">
        <x:v>2026-08-01T09:24:42.069000</x:v>
      </x:c>
      <x:c r="C528" s="47" t="n">
        <x:v>300970</x:v>
      </x:c>
      <x:c r="D528" s="47" t="str"/>
      <x:c r="E528" s="47" t="str"/>
      <x:c r="F528" s="47" t="str">
        <x:v>current</x:v>
      </x:c>
      <x:c r="G528" s="47" t="n">
        <x:v>524</x:v>
      </x:c>
      <x:c r="H528" s="53" t="b">
        <x:v>1</x:v>
      </x:c>
      <x:c r="I528" s="47" t="str">
        <x:v>3045069830</x:v>
      </x:c>
      <x:c r="J528" s="47" t="n">
        <x:v>68325899</x:v>
      </x:c>
      <x:c r="K528" s="53" t="b">
        <x:v>1</x:v>
      </x:c>
      <x:c r="L528" s="53" t="b">
        <x:v>1</x:v>
      </x:c>
      <x:c r="M528" s="53" t="b">
        <x:v>1</x:v>
      </x:c>
      <x:c r="N528" s="53" t="b">
        <x:v>1</x:v>
      </x:c>
      <x:c r="O528" s="53" t="b">
        <x:v>1</x:v>
      </x:c>
      <x:c r="P528" s="47" t="n">
        <x:v>1011</x:v>
      </x:c>
      <x:c r="Q528" s="47" t="n">
        <x:v>0.022</x:v>
      </x:c>
      <x:c r="R528" s="47" t="n">
        <x:v>0.593</x:v>
      </x:c>
      <x:c r="S528" s="47" t="n">
        <x:v>43.92</x:v>
      </x:c>
      <x:c r="T528" s="47" t="n">
        <x:v>67.31</x:v>
      </x:c>
      <x:c r="U528" s="47" t="n">
        <x:v>33.4</x:v>
      </x:c>
      <x:c r="V528" s="47" t="n">
        <x:v>12.3</x:v>
      </x:c>
      <x:c r="W528" s="47" t="n">
        <x:v>220</x:v>
      </x:c>
      <x:c r="X528" s="47" t="n">
        <x:v>961</x:v>
      </x:c>
      <x:c r="Y528" s="41" t="n">
        <x:v>741</x:v>
      </x:c>
    </x:row>
    <x:row r="529">
      <x:c r="A529" s="38" t="str">
        <x:v>7月30日现场数据</x:v>
      </x:c>
      <x:c r="B529" s="66" t="str">
        <x:v>2026-08-01T09:29:43.041000</x:v>
      </x:c>
      <x:c r="C529" s="47" t="n">
        <x:v>300972</x:v>
      </x:c>
      <x:c r="D529" s="47" t="str"/>
      <x:c r="E529" s="47" t="str"/>
      <x:c r="F529" s="47" t="str">
        <x:v>current</x:v>
      </x:c>
      <x:c r="G529" s="47" t="n">
        <x:v>525</x:v>
      </x:c>
      <x:c r="H529" s="53" t="b">
        <x:v>1</x:v>
      </x:c>
      <x:c r="I529" s="47" t="str">
        <x:v>3045069830</x:v>
      </x:c>
      <x:c r="J529" s="47" t="n">
        <x:v>68626871</x:v>
      </x:c>
      <x:c r="K529" s="53" t="b">
        <x:v>1</x:v>
      </x:c>
      <x:c r="L529" s="53" t="b">
        <x:v>1</x:v>
      </x:c>
      <x:c r="M529" s="53" t="b">
        <x:v>1</x:v>
      </x:c>
      <x:c r="N529" s="53" t="b">
        <x:v>1</x:v>
      </x:c>
      <x:c r="O529" s="53" t="b">
        <x:v>1</x:v>
      </x:c>
      <x:c r="P529" s="47" t="n">
        <x:v>1010</x:v>
      </x:c>
      <x:c r="Q529" s="47" t="n">
        <x:v>0</x:v>
      </x:c>
      <x:c r="R529" s="47" t="n">
        <x:v>0</x:v>
      </x:c>
      <x:c r="S529" s="47" t="n">
        <x:v>46.06</x:v>
      </x:c>
      <x:c r="T529" s="47" t="n">
        <x:v>66.85</x:v>
      </x:c>
      <x:c r="U529" s="47" t="n">
        <x:v>33.6</x:v>
      </x:c>
      <x:c r="V529" s="47" t="n">
        <x:v>12.3</x:v>
      </x:c>
      <x:c r="W529" s="47" t="n">
        <x:v>220</x:v>
      </x:c>
      <x:c r="X529" s="47" t="n">
        <x:v>967</x:v>
      </x:c>
      <x:c r="Y529" s="41" t="n">
        <x:v>747</x:v>
      </x:c>
    </x:row>
    <x:row r="530">
      <x:c r="A530" s="38" t="str">
        <x:v>7月30日现场数据</x:v>
      </x:c>
      <x:c r="B530" s="66" t="str">
        <x:v>2026-08-01T09:34:44.017000</x:v>
      </x:c>
      <x:c r="C530" s="47" t="n">
        <x:v>300976</x:v>
      </x:c>
      <x:c r="D530" s="47" t="str"/>
      <x:c r="E530" s="47" t="str"/>
      <x:c r="F530" s="47" t="str">
        <x:v>current</x:v>
      </x:c>
      <x:c r="G530" s="47" t="n">
        <x:v>526</x:v>
      </x:c>
      <x:c r="H530" s="53" t="b">
        <x:v>1</x:v>
      </x:c>
      <x:c r="I530" s="47" t="str">
        <x:v>3045069830</x:v>
      </x:c>
      <x:c r="J530" s="47" t="n">
        <x:v>68927847</x:v>
      </x:c>
      <x:c r="K530" s="53" t="b">
        <x:v>1</x:v>
      </x:c>
      <x:c r="L530" s="53" t="b">
        <x:v>1</x:v>
      </x:c>
      <x:c r="M530" s="53" t="b">
        <x:v>1</x:v>
      </x:c>
      <x:c r="N530" s="53" t="b">
        <x:v>1</x:v>
      </x:c>
      <x:c r="O530" s="53" t="b">
        <x:v>1</x:v>
      </x:c>
      <x:c r="P530" s="47" t="n">
        <x:v>1010</x:v>
      </x:c>
      <x:c r="Q530" s="47" t="n">
        <x:v>0</x:v>
      </x:c>
      <x:c r="R530" s="47" t="n">
        <x:v>0</x:v>
      </x:c>
      <x:c r="S530" s="47" t="n">
        <x:v>44.76</x:v>
      </x:c>
      <x:c r="T530" s="47" t="n">
        <x:v>66.43</x:v>
      </x:c>
      <x:c r="U530" s="47" t="n">
        <x:v>33.8</x:v>
      </x:c>
      <x:c r="V530" s="47" t="n">
        <x:v>12.3</x:v>
      </x:c>
      <x:c r="W530" s="47" t="n">
        <x:v>225</x:v>
      </x:c>
      <x:c r="X530" s="47" t="n">
        <x:v>1002</x:v>
      </x:c>
      <x:c r="Y530" s="41" t="n">
        <x:v>777</x:v>
      </x:c>
    </x:row>
    <x:row r="531">
      <x:c r="A531" s="38" t="str">
        <x:v>7月30日现场数据</x:v>
      </x:c>
      <x:c r="B531" s="66" t="str">
        <x:v>2026-08-01T09:39:44.994000</x:v>
      </x:c>
      <x:c r="C531" s="47" t="n">
        <x:v>300977</x:v>
      </x:c>
      <x:c r="D531" s="47" t="str"/>
      <x:c r="E531" s="47" t="str"/>
      <x:c r="F531" s="47" t="str">
        <x:v>current</x:v>
      </x:c>
      <x:c r="G531" s="47" t="n">
        <x:v>527</x:v>
      </x:c>
      <x:c r="H531" s="53" t="b">
        <x:v>1</x:v>
      </x:c>
      <x:c r="I531" s="47" t="str">
        <x:v>3045069830</x:v>
      </x:c>
      <x:c r="J531" s="47" t="n">
        <x:v>69228824</x:v>
      </x:c>
      <x:c r="K531" s="53" t="b">
        <x:v>1</x:v>
      </x:c>
      <x:c r="L531" s="53" t="b">
        <x:v>1</x:v>
      </x:c>
      <x:c r="M531" s="53" t="b">
        <x:v>1</x:v>
      </x:c>
      <x:c r="N531" s="53" t="b">
        <x:v>1</x:v>
      </x:c>
      <x:c r="O531" s="53" t="b">
        <x:v>1</x:v>
      </x:c>
      <x:c r="P531" s="47" t="n">
        <x:v>1010</x:v>
      </x:c>
      <x:c r="Q531" s="47" t="n">
        <x:v>0</x:v>
      </x:c>
      <x:c r="R531" s="47" t="n">
        <x:v>0</x:v>
      </x:c>
      <x:c r="S531" s="47" t="n">
        <x:v>48.67</x:v>
      </x:c>
      <x:c r="T531" s="47" t="n">
        <x:v>66.12</x:v>
      </x:c>
      <x:c r="U531" s="47" t="n">
        <x:v>34</x:v>
      </x:c>
      <x:c r="V531" s="47" t="n">
        <x:v>12.3</x:v>
      </x:c>
      <x:c r="W531" s="47" t="n">
        <x:v>224</x:v>
      </x:c>
      <x:c r="X531" s="47" t="n">
        <x:v>1013</x:v>
      </x:c>
      <x:c r="Y531" s="41" t="n">
        <x:v>789</x:v>
      </x:c>
    </x:row>
    <x:row r="532">
      <x:c r="A532" s="38" t="str">
        <x:v>7月30日现场数据</x:v>
      </x:c>
      <x:c r="B532" s="66" t="str">
        <x:v>2026-08-01T09:44:45.971000</x:v>
      </x:c>
      <x:c r="C532" s="47" t="n">
        <x:v>300977</x:v>
      </x:c>
      <x:c r="D532" s="47" t="str"/>
      <x:c r="E532" s="47" t="str"/>
      <x:c r="F532" s="47" t="str">
        <x:v>current</x:v>
      </x:c>
      <x:c r="G532" s="47" t="n">
        <x:v>528</x:v>
      </x:c>
      <x:c r="H532" s="53" t="b">
        <x:v>1</x:v>
      </x:c>
      <x:c r="I532" s="47" t="str">
        <x:v>3045069830</x:v>
      </x:c>
      <x:c r="J532" s="47" t="n">
        <x:v>69529801</x:v>
      </x:c>
      <x:c r="K532" s="53" t="b">
        <x:v>1</x:v>
      </x:c>
      <x:c r="L532" s="53" t="b">
        <x:v>1</x:v>
      </x:c>
      <x:c r="M532" s="53" t="b">
        <x:v>1</x:v>
      </x:c>
      <x:c r="N532" s="53" t="b">
        <x:v>1</x:v>
      </x:c>
      <x:c r="O532" s="53" t="b">
        <x:v>1</x:v>
      </x:c>
      <x:c r="P532" s="47" t="n">
        <x:v>1010</x:v>
      </x:c>
      <x:c r="Q532" s="47" t="n">
        <x:v>0</x:v>
      </x:c>
      <x:c r="R532" s="47" t="n">
        <x:v>0</x:v>
      </x:c>
      <x:c r="S532" s="47" t="n">
        <x:v>48.79</x:v>
      </x:c>
      <x:c r="T532" s="47" t="n">
        <x:v>65.85</x:v>
      </x:c>
      <x:c r="U532" s="47" t="n">
        <x:v>34.1</x:v>
      </x:c>
      <x:c r="V532" s="47" t="n">
        <x:v>12.3</x:v>
      </x:c>
      <x:c r="W532" s="47" t="n">
        <x:v>231</x:v>
      </x:c>
      <x:c r="X532" s="47" t="n">
        <x:v>995</x:v>
      </x:c>
      <x:c r="Y532" s="41" t="n">
        <x:v>764</x:v>
      </x:c>
    </x:row>
    <x:row r="533">
      <x:c r="A533" s="38" t="str">
        <x:v>7月30日现场数据</x:v>
      </x:c>
      <x:c r="B533" s="66" t="str">
        <x:v>2026-08-01T09:49:46.950000</x:v>
      </x:c>
      <x:c r="C533" s="47" t="n">
        <x:v>300979</x:v>
      </x:c>
      <x:c r="D533" s="47" t="str"/>
      <x:c r="E533" s="47" t="str"/>
      <x:c r="F533" s="47" t="str">
        <x:v>current</x:v>
      </x:c>
      <x:c r="G533" s="47" t="n">
        <x:v>529</x:v>
      </x:c>
      <x:c r="H533" s="53" t="b">
        <x:v>1</x:v>
      </x:c>
      <x:c r="I533" s="47" t="str">
        <x:v>3045069830</x:v>
      </x:c>
      <x:c r="J533" s="47" t="n">
        <x:v>69830780</x:v>
      </x:c>
      <x:c r="K533" s="53" t="b">
        <x:v>1</x:v>
      </x:c>
      <x:c r="L533" s="53" t="b">
        <x:v>1</x:v>
      </x:c>
      <x:c r="M533" s="53" t="b">
        <x:v>1</x:v>
      </x:c>
      <x:c r="N533" s="53" t="b">
        <x:v>1</x:v>
      </x:c>
      <x:c r="O533" s="53" t="b">
        <x:v>1</x:v>
      </x:c>
      <x:c r="P533" s="47" t="n">
        <x:v>1010</x:v>
      </x:c>
      <x:c r="Q533" s="47" t="n">
        <x:v>0</x:v>
      </x:c>
      <x:c r="R533" s="47" t="n">
        <x:v>0</x:v>
      </x:c>
      <x:c r="S533" s="47" t="n">
        <x:v>48</x:v>
      </x:c>
      <x:c r="T533" s="47" t="n">
        <x:v>65.41</x:v>
      </x:c>
      <x:c r="U533" s="47" t="n">
        <x:v>34.2</x:v>
      </x:c>
      <x:c r="V533" s="47" t="n">
        <x:v>12.3</x:v>
      </x:c>
      <x:c r="W533" s="47" t="n">
        <x:v>234</x:v>
      </x:c>
      <x:c r="X533" s="47" t="n">
        <x:v>1005</x:v>
      </x:c>
      <x:c r="Y533" s="41" t="n">
        <x:v>771</x:v>
      </x:c>
    </x:row>
    <x:row r="534">
      <x:c r="A534" s="38" t="str">
        <x:v>7月30日现场数据</x:v>
      </x:c>
      <x:c r="B534" s="66" t="str">
        <x:v>2026-08-01T09:54:47.931000</x:v>
      </x:c>
      <x:c r="C534" s="47" t="n">
        <x:v>300981</x:v>
      </x:c>
      <x:c r="D534" s="47" t="str"/>
      <x:c r="E534" s="47" t="str"/>
      <x:c r="F534" s="47" t="str">
        <x:v>current</x:v>
      </x:c>
      <x:c r="G534" s="47" t="n">
        <x:v>530</x:v>
      </x:c>
      <x:c r="H534" s="53" t="b">
        <x:v>1</x:v>
      </x:c>
      <x:c r="I534" s="47" t="str">
        <x:v>3045069830</x:v>
      </x:c>
      <x:c r="J534" s="47" t="n">
        <x:v>70131761</x:v>
      </x:c>
      <x:c r="K534" s="53" t="b">
        <x:v>1</x:v>
      </x:c>
      <x:c r="L534" s="53" t="b">
        <x:v>1</x:v>
      </x:c>
      <x:c r="M534" s="53" t="b">
        <x:v>1</x:v>
      </x:c>
      <x:c r="N534" s="53" t="b">
        <x:v>1</x:v>
      </x:c>
      <x:c r="O534" s="53" t="b">
        <x:v>1</x:v>
      </x:c>
      <x:c r="P534" s="47" t="n">
        <x:v>1010</x:v>
      </x:c>
      <x:c r="Q534" s="47" t="n">
        <x:v>0</x:v>
      </x:c>
      <x:c r="R534" s="47" t="n">
        <x:v>0</x:v>
      </x:c>
      <x:c r="S534" s="47" t="n">
        <x:v>49.19</x:v>
      </x:c>
      <x:c r="T534" s="47" t="n">
        <x:v>64.8</x:v>
      </x:c>
      <x:c r="U534" s="47" t="n">
        <x:v>34.4</x:v>
      </x:c>
      <x:c r="V534" s="47" t="n">
        <x:v>12.3</x:v>
      </x:c>
      <x:c r="W534" s="47" t="n">
        <x:v>220</x:v>
      </x:c>
      <x:c r="X534" s="47" t="n">
        <x:v>968</x:v>
      </x:c>
      <x:c r="Y534" s="41" t="n">
        <x:v>748</x:v>
      </x:c>
    </x:row>
    <x:row r="535">
      <x:c r="A535" s="38" t="str">
        <x:v>7月30日现场数据</x:v>
      </x:c>
      <x:c r="B535" s="66" t="str">
        <x:v>2026-08-01T09:59:48.916000</x:v>
      </x:c>
      <x:c r="C535" s="47" t="n">
        <x:v>300985</x:v>
      </x:c>
      <x:c r="D535" s="47" t="str"/>
      <x:c r="E535" s="47" t="str"/>
      <x:c r="F535" s="47" t="str">
        <x:v>current</x:v>
      </x:c>
      <x:c r="G535" s="47" t="n">
        <x:v>531</x:v>
      </x:c>
      <x:c r="H535" s="53" t="b">
        <x:v>1</x:v>
      </x:c>
      <x:c r="I535" s="47" t="str">
        <x:v>3045069830</x:v>
      </x:c>
      <x:c r="J535" s="47" t="n">
        <x:v>70432746</x:v>
      </x:c>
      <x:c r="K535" s="53" t="b">
        <x:v>1</x:v>
      </x:c>
      <x:c r="L535" s="53" t="b">
        <x:v>1</x:v>
      </x:c>
      <x:c r="M535" s="53" t="b">
        <x:v>1</x:v>
      </x:c>
      <x:c r="N535" s="53" t="b">
        <x:v>1</x:v>
      </x:c>
      <x:c r="O535" s="53" t="b">
        <x:v>1</x:v>
      </x:c>
      <x:c r="P535" s="47" t="n">
        <x:v>1010</x:v>
      </x:c>
      <x:c r="Q535" s="47" t="n">
        <x:v>0</x:v>
      </x:c>
      <x:c r="R535" s="47" t="n">
        <x:v>0</x:v>
      </x:c>
      <x:c r="S535" s="47" t="n">
        <x:v>48.95</x:v>
      </x:c>
      <x:c r="T535" s="47" t="n">
        <x:v>63.79</x:v>
      </x:c>
      <x:c r="U535" s="47" t="n">
        <x:v>34.5</x:v>
      </x:c>
      <x:c r="V535" s="47" t="n">
        <x:v>12.3</x:v>
      </x:c>
      <x:c r="W535" s="47" t="n">
        <x:v>220</x:v>
      </x:c>
      <x:c r="X535" s="47" t="n">
        <x:v>992</x:v>
      </x:c>
      <x:c r="Y535" s="41" t="n">
        <x:v>772</x:v>
      </x:c>
    </x:row>
    <x:row r="536">
      <x:c r="A536" s="38" t="str">
        <x:v>7月30日现场数据</x:v>
      </x:c>
      <x:c r="B536" s="66" t="str">
        <x:v>2026-08-01T10:04:49.901000</x:v>
      </x:c>
      <x:c r="C536" s="47" t="n">
        <x:v>300985</x:v>
      </x:c>
      <x:c r="D536" s="47" t="str"/>
      <x:c r="E536" s="47" t="str"/>
      <x:c r="F536" s="47" t="str">
        <x:v>current</x:v>
      </x:c>
      <x:c r="G536" s="47" t="n">
        <x:v>532</x:v>
      </x:c>
      <x:c r="H536" s="53" t="b">
        <x:v>1</x:v>
      </x:c>
      <x:c r="I536" s="47" t="str">
        <x:v>3045069830</x:v>
      </x:c>
      <x:c r="J536" s="47" t="n">
        <x:v>70733731</x:v>
      </x:c>
      <x:c r="K536" s="53" t="b">
        <x:v>1</x:v>
      </x:c>
      <x:c r="L536" s="53" t="b">
        <x:v>1</x:v>
      </x:c>
      <x:c r="M536" s="53" t="b">
        <x:v>1</x:v>
      </x:c>
      <x:c r="N536" s="53" t="b">
        <x:v>1</x:v>
      </x:c>
      <x:c r="O536" s="53" t="b">
        <x:v>1</x:v>
      </x:c>
      <x:c r="P536" s="47" t="n">
        <x:v>1010</x:v>
      </x:c>
      <x:c r="Q536" s="47" t="n">
        <x:v>0</x:v>
      </x:c>
      <x:c r="R536" s="47" t="n">
        <x:v>0</x:v>
      </x:c>
      <x:c r="S536" s="47" t="n">
        <x:v>49.14</x:v>
      </x:c>
      <x:c r="T536" s="47" t="n">
        <x:v>63.66</x:v>
      </x:c>
      <x:c r="U536" s="47" t="n">
        <x:v>34.5</x:v>
      </x:c>
      <x:c r="V536" s="47" t="n">
        <x:v>12.3</x:v>
      </x:c>
      <x:c r="W536" s="47" t="n">
        <x:v>219</x:v>
      </x:c>
      <x:c r="X536" s="47" t="n">
        <x:v>817</x:v>
      </x:c>
      <x:c r="Y536" s="41" t="n">
        <x:v>598</x:v>
      </x:c>
    </x:row>
    <x:row r="537">
      <x:c r="A537" s="38" t="str">
        <x:v>7月30日现场数据</x:v>
      </x:c>
      <x:c r="B537" s="66" t="str">
        <x:v>2026-08-01T10:09:50.886000</x:v>
      </x:c>
      <x:c r="C537" s="47" t="n">
        <x:v>300985</x:v>
      </x:c>
      <x:c r="D537" s="47" t="str"/>
      <x:c r="E537" s="47" t="str"/>
      <x:c r="F537" s="47" t="str">
        <x:v>current</x:v>
      </x:c>
      <x:c r="G537" s="47" t="n">
        <x:v>533</x:v>
      </x:c>
      <x:c r="H537" s="53" t="b">
        <x:v>1</x:v>
      </x:c>
      <x:c r="I537" s="47" t="str">
        <x:v>3045069830</x:v>
      </x:c>
      <x:c r="J537" s="47" t="n">
        <x:v>71034716</x:v>
      </x:c>
      <x:c r="K537" s="53" t="b">
        <x:v>1</x:v>
      </x:c>
      <x:c r="L537" s="53" t="b">
        <x:v>1</x:v>
      </x:c>
      <x:c r="M537" s="53" t="b">
        <x:v>1</x:v>
      </x:c>
      <x:c r="N537" s="53" t="b">
        <x:v>1</x:v>
      </x:c>
      <x:c r="O537" s="53" t="b">
        <x:v>1</x:v>
      </x:c>
      <x:c r="P537" s="47" t="n">
        <x:v>1010</x:v>
      </x:c>
      <x:c r="Q537" s="47" t="n">
        <x:v>0</x:v>
      </x:c>
      <x:c r="R537" s="47" t="n">
        <x:v>0</x:v>
      </x:c>
      <x:c r="S537" s="47" t="n">
        <x:v>49.61</x:v>
      </x:c>
      <x:c r="T537" s="47" t="n">
        <x:v>63.13</x:v>
      </x:c>
      <x:c r="U537" s="47" t="n">
        <x:v>34.6</x:v>
      </x:c>
      <x:c r="V537" s="47" t="n">
        <x:v>12.3</x:v>
      </x:c>
      <x:c r="W537" s="47" t="n">
        <x:v>221</x:v>
      </x:c>
      <x:c r="X537" s="47" t="n">
        <x:v>928</x:v>
      </x:c>
      <x:c r="Y537" s="41" t="n">
        <x:v>707</x:v>
      </x:c>
    </x:row>
    <x:row r="538">
      <x:c r="A538" s="38" t="str">
        <x:v>7月30日现场数据</x:v>
      </x:c>
      <x:c r="B538" s="66" t="str">
        <x:v>2026-08-01T10:14:51.908000</x:v>
      </x:c>
      <x:c r="C538" s="47" t="n">
        <x:v>301022</x:v>
      </x:c>
      <x:c r="D538" s="47" t="str"/>
      <x:c r="E538" s="47" t="str"/>
      <x:c r="F538" s="47" t="str">
        <x:v>current</x:v>
      </x:c>
      <x:c r="G538" s="47" t="n">
        <x:v>534</x:v>
      </x:c>
      <x:c r="H538" s="53" t="b">
        <x:v>1</x:v>
      </x:c>
      <x:c r="I538" s="47" t="str">
        <x:v>3045069830</x:v>
      </x:c>
      <x:c r="J538" s="47" t="n">
        <x:v>71335738</x:v>
      </x:c>
      <x:c r="K538" s="53" t="b">
        <x:v>1</x:v>
      </x:c>
      <x:c r="L538" s="53" t="b">
        <x:v>1</x:v>
      </x:c>
      <x:c r="M538" s="53" t="b">
        <x:v>1</x:v>
      </x:c>
      <x:c r="N538" s="53" t="b">
        <x:v>1</x:v>
      </x:c>
      <x:c r="O538" s="53" t="b">
        <x:v>1</x:v>
      </x:c>
      <x:c r="P538" s="47" t="n">
        <x:v>1010</x:v>
      </x:c>
      <x:c r="Q538" s="47" t="n">
        <x:v>0</x:v>
      </x:c>
      <x:c r="R538" s="47" t="n">
        <x:v>0</x:v>
      </x:c>
      <x:c r="S538" s="47" t="n">
        <x:v>49.91</x:v>
      </x:c>
      <x:c r="T538" s="47" t="n">
        <x:v>61.95</x:v>
      </x:c>
      <x:c r="U538" s="47" t="n">
        <x:v>34.6</x:v>
      </x:c>
      <x:c r="V538" s="47" t="n">
        <x:v>12.3</x:v>
      </x:c>
      <x:c r="W538" s="47" t="n">
        <x:v>198</x:v>
      </x:c>
      <x:c r="X538" s="47" t="n">
        <x:v>147</x:v>
      </x:c>
      <x:c r="Y538" s="41" t="n">
        <x:v>0</x:v>
      </x:c>
    </x:row>
    <x:row r="539">
      <x:c r="A539" s="38" t="str">
        <x:v>7月30日现场数据</x:v>
      </x:c>
      <x:c r="B539" s="66" t="str">
        <x:v>2026-08-01T10:19:52.871000</x:v>
      </x:c>
      <x:c r="C539" s="47" t="n">
        <x:v>300963</x:v>
      </x:c>
      <x:c r="D539" s="47" t="str">
        <x:v>高温需关注</x:v>
      </x:c>
      <x:c r="E539" s="47" t="str">
        <x:v>空气温度达到或超过 50°C；请结合安装位置和日照判断</x:v>
      </x:c>
      <x:c r="F539" s="47" t="str">
        <x:v>current</x:v>
      </x:c>
      <x:c r="G539" s="47" t="n">
        <x:v>535</x:v>
      </x:c>
      <x:c r="H539" s="53" t="b">
        <x:v>1</x:v>
      </x:c>
      <x:c r="I539" s="47" t="str">
        <x:v>3045069830</x:v>
      </x:c>
      <x:c r="J539" s="47" t="n">
        <x:v>71636701</x:v>
      </x:c>
      <x:c r="K539" s="53" t="b">
        <x:v>1</x:v>
      </x:c>
      <x:c r="L539" s="53" t="b">
        <x:v>1</x:v>
      </x:c>
      <x:c r="M539" s="53" t="b">
        <x:v>1</x:v>
      </x:c>
      <x:c r="N539" s="53" t="b">
        <x:v>1</x:v>
      </x:c>
      <x:c r="O539" s="53" t="b">
        <x:v>1</x:v>
      </x:c>
      <x:c r="P539" s="47" t="n">
        <x:v>1010</x:v>
      </x:c>
      <x:c r="Q539" s="47" t="n">
        <x:v>0</x:v>
      </x:c>
      <x:c r="R539" s="47" t="n">
        <x:v>0</x:v>
      </x:c>
      <x:c r="S539" s="47" t="n">
        <x:v>50.18</x:v>
      </x:c>
      <x:c r="T539" s="47" t="n">
        <x:v>61.69</x:v>
      </x:c>
      <x:c r="U539" s="47" t="n">
        <x:v>34.7</x:v>
      </x:c>
      <x:c r="V539" s="47" t="n">
        <x:v>12.2</x:v>
      </x:c>
      <x:c r="W539" s="47" t="n">
        <x:v>186</x:v>
      </x:c>
      <x:c r="X539" s="47" t="n">
        <x:v>147</x:v>
      </x:c>
      <x:c r="Y539" s="41" t="n">
        <x:v>0</x:v>
      </x:c>
    </x:row>
    <x:row r="540">
      <x:c r="A540" s="38" t="str">
        <x:v>7月30日现场数据</x:v>
      </x:c>
      <x:c r="B540" s="66" t="str">
        <x:v>2026-08-01T10:24:53.838000</x:v>
      </x:c>
      <x:c r="C540" s="47" t="n">
        <x:v>300967</x:v>
      </x:c>
      <x:c r="D540" s="47" t="str">
        <x:v>高温需关注</x:v>
      </x:c>
      <x:c r="E540" s="47" t="str">
        <x:v>空气温度达到或超过 50°C；请结合安装位置和日照判断</x:v>
      </x:c>
      <x:c r="F540" s="47" t="str">
        <x:v>current</x:v>
      </x:c>
      <x:c r="G540" s="47" t="n">
        <x:v>536</x:v>
      </x:c>
      <x:c r="H540" s="53" t="b">
        <x:v>1</x:v>
      </x:c>
      <x:c r="I540" s="47" t="str">
        <x:v>3045069830</x:v>
      </x:c>
      <x:c r="J540" s="47" t="n">
        <x:v>71937668</x:v>
      </x:c>
      <x:c r="K540" s="53" t="b">
        <x:v>1</x:v>
      </x:c>
      <x:c r="L540" s="53" t="b">
        <x:v>1</x:v>
      </x:c>
      <x:c r="M540" s="53" t="b">
        <x:v>1</x:v>
      </x:c>
      <x:c r="N540" s="53" t="b">
        <x:v>1</x:v>
      </x:c>
      <x:c r="O540" s="53" t="b">
        <x:v>1</x:v>
      </x:c>
      <x:c r="P540" s="47" t="n">
        <x:v>1010</x:v>
      </x:c>
      <x:c r="Q540" s="47" t="n">
        <x:v>0</x:v>
      </x:c>
      <x:c r="R540" s="47" t="n">
        <x:v>0</x:v>
      </x:c>
      <x:c r="S540" s="47" t="n">
        <x:v>50.3</x:v>
      </x:c>
      <x:c r="T540" s="47" t="n">
        <x:v>60.93</x:v>
      </x:c>
      <x:c r="U540" s="47" t="n">
        <x:v>34.7</x:v>
      </x:c>
      <x:c r="V540" s="47" t="n">
        <x:v>12.3</x:v>
      </x:c>
      <x:c r="W540" s="47" t="n">
        <x:v>170</x:v>
      </x:c>
      <x:c r="X540" s="47" t="n">
        <x:v>148</x:v>
      </x:c>
      <x:c r="Y540" s="41" t="n">
        <x:v>0</x:v>
      </x:c>
    </x:row>
    <x:row r="541">
      <x:c r="A541" s="38" t="str">
        <x:v>7月30日现场数据</x:v>
      </x:c>
      <x:c r="B541" s="66" t="str">
        <x:v>2026-08-01T10:29:54.806000</x:v>
      </x:c>
      <x:c r="C541" s="47" t="n">
        <x:v>300968</x:v>
      </x:c>
      <x:c r="D541" s="47" t="str"/>
      <x:c r="E541" s="47" t="str"/>
      <x:c r="F541" s="47" t="str">
        <x:v>current</x:v>
      </x:c>
      <x:c r="G541" s="47" t="n">
        <x:v>537</x:v>
      </x:c>
      <x:c r="H541" s="53" t="b">
        <x:v>1</x:v>
      </x:c>
      <x:c r="I541" s="47" t="str">
        <x:v>3045069830</x:v>
      </x:c>
      <x:c r="J541" s="47" t="n">
        <x:v>72238636</x:v>
      </x:c>
      <x:c r="K541" s="53" t="b">
        <x:v>1</x:v>
      </x:c>
      <x:c r="L541" s="53" t="b">
        <x:v>1</x:v>
      </x:c>
      <x:c r="M541" s="53" t="b">
        <x:v>1</x:v>
      </x:c>
      <x:c r="N541" s="53" t="b">
        <x:v>1</x:v>
      </x:c>
      <x:c r="O541" s="53" t="b">
        <x:v>1</x:v>
      </x:c>
      <x:c r="P541" s="47" t="n">
        <x:v>1010</x:v>
      </x:c>
      <x:c r="Q541" s="47" t="n">
        <x:v>0</x:v>
      </x:c>
      <x:c r="R541" s="47" t="n">
        <x:v>0</x:v>
      </x:c>
      <x:c r="S541" s="47" t="n">
        <x:v>48.65</x:v>
      </x:c>
      <x:c r="T541" s="47" t="n">
        <x:v>60.36</x:v>
      </x:c>
      <x:c r="U541" s="47" t="n">
        <x:v>34.8</x:v>
      </x:c>
      <x:c r="V541" s="47" t="n">
        <x:v>12.3</x:v>
      </x:c>
      <x:c r="W541" s="47" t="n">
        <x:v>179</x:v>
      </x:c>
      <x:c r="X541" s="47" t="n">
        <x:v>149</x:v>
      </x:c>
      <x:c r="Y541" s="41" t="n">
        <x:v>0</x:v>
      </x:c>
    </x:row>
    <x:row r="542">
      <x:c r="A542" s="38" t="str">
        <x:v>7月30日现场数据</x:v>
      </x:c>
      <x:c r="B542" s="66" t="str">
        <x:v>2026-08-01T10:34:55.778000</x:v>
      </x:c>
      <x:c r="C542" s="47" t="n">
        <x:v>300972</x:v>
      </x:c>
      <x:c r="D542" s="47" t="str"/>
      <x:c r="E542" s="47" t="str"/>
      <x:c r="F542" s="47" t="str">
        <x:v>current</x:v>
      </x:c>
      <x:c r="G542" s="47" t="n">
        <x:v>538</x:v>
      </x:c>
      <x:c r="H542" s="53" t="b">
        <x:v>1</x:v>
      </x:c>
      <x:c r="I542" s="47" t="str">
        <x:v>3045069830</x:v>
      </x:c>
      <x:c r="J542" s="47" t="n">
        <x:v>72539608</x:v>
      </x:c>
      <x:c r="K542" s="53" t="b">
        <x:v>1</x:v>
      </x:c>
      <x:c r="L542" s="53" t="b">
        <x:v>1</x:v>
      </x:c>
      <x:c r="M542" s="53" t="b">
        <x:v>1</x:v>
      </x:c>
      <x:c r="N542" s="53" t="b">
        <x:v>1</x:v>
      </x:c>
      <x:c r="O542" s="53" t="b">
        <x:v>1</x:v>
      </x:c>
      <x:c r="P542" s="47" t="n">
        <x:v>1009</x:v>
      </x:c>
      <x:c r="Q542" s="47" t="n">
        <x:v>0</x:v>
      </x:c>
      <x:c r="R542" s="47" t="n">
        <x:v>0</x:v>
      </x:c>
      <x:c r="S542" s="47" t="n">
        <x:v>48.96</x:v>
      </x:c>
      <x:c r="T542" s="47" t="n">
        <x:v>59.73</x:v>
      </x:c>
      <x:c r="U542" s="47" t="n">
        <x:v>34.9</x:v>
      </x:c>
      <x:c r="V542" s="47" t="n">
        <x:v>12.2</x:v>
      </x:c>
      <x:c r="W542" s="47" t="n">
        <x:v>178</x:v>
      </x:c>
      <x:c r="X542" s="47" t="n">
        <x:v>155</x:v>
      </x:c>
      <x:c r="Y542" s="41" t="n">
        <x:v>0</x:v>
      </x:c>
    </x:row>
    <x:row r="543">
      <x:c r="A543" s="38" t="str">
        <x:v>7月30日现场数据</x:v>
      </x:c>
      <x:c r="B543" s="66" t="str">
        <x:v>2026-08-01T10:39:56.748000</x:v>
      </x:c>
      <x:c r="C543" s="47" t="n">
        <x:v>300970</x:v>
      </x:c>
      <x:c r="D543" s="47" t="str"/>
      <x:c r="E543" s="47" t="str"/>
      <x:c r="F543" s="47" t="str">
        <x:v>current</x:v>
      </x:c>
      <x:c r="G543" s="47" t="n">
        <x:v>539</x:v>
      </x:c>
      <x:c r="H543" s="53" t="b">
        <x:v>1</x:v>
      </x:c>
      <x:c r="I543" s="47" t="str">
        <x:v>3045069830</x:v>
      </x:c>
      <x:c r="J543" s="47" t="n">
        <x:v>72840578</x:v>
      </x:c>
      <x:c r="K543" s="53" t="b">
        <x:v>1</x:v>
      </x:c>
      <x:c r="L543" s="53" t="b">
        <x:v>1</x:v>
      </x:c>
      <x:c r="M543" s="53" t="b">
        <x:v>1</x:v>
      </x:c>
      <x:c r="N543" s="53" t="b">
        <x:v>1</x:v>
      </x:c>
      <x:c r="O543" s="53" t="b">
        <x:v>1</x:v>
      </x:c>
      <x:c r="P543" s="47" t="n">
        <x:v>1009</x:v>
      </x:c>
      <x:c r="Q543" s="47" t="n">
        <x:v>0</x:v>
      </x:c>
      <x:c r="R543" s="47" t="n">
        <x:v>0</x:v>
      </x:c>
      <x:c r="S543" s="47" t="n">
        <x:v>46.66</x:v>
      </x:c>
      <x:c r="T543" s="47" t="n">
        <x:v>59.28</x:v>
      </x:c>
      <x:c r="U543" s="47" t="n">
        <x:v>34.8</x:v>
      </x:c>
      <x:c r="V543" s="47" t="n">
        <x:v>12.2</x:v>
      </x:c>
      <x:c r="W543" s="47" t="n">
        <x:v>159</x:v>
      </x:c>
      <x:c r="X543" s="47" t="n">
        <x:v>174</x:v>
      </x:c>
      <x:c r="Y543" s="41" t="n">
        <x:v>15</x:v>
      </x:c>
    </x:row>
    <x:row r="544">
      <x:c r="A544" s="38" t="str">
        <x:v>7月30日现场数据</x:v>
      </x:c>
      <x:c r="B544" s="66" t="str">
        <x:v>2026-08-01T10:44:57.719000</x:v>
      </x:c>
      <x:c r="C544" s="47" t="n">
        <x:v>300971</x:v>
      </x:c>
      <x:c r="D544" s="47" t="str"/>
      <x:c r="E544" s="47" t="str"/>
      <x:c r="F544" s="47" t="str">
        <x:v>current</x:v>
      </x:c>
      <x:c r="G544" s="47" t="n">
        <x:v>540</x:v>
      </x:c>
      <x:c r="H544" s="53" t="b">
        <x:v>1</x:v>
      </x:c>
      <x:c r="I544" s="47" t="str">
        <x:v>3045069830</x:v>
      </x:c>
      <x:c r="J544" s="47" t="n">
        <x:v>73141549</x:v>
      </x:c>
      <x:c r="K544" s="53" t="b">
        <x:v>1</x:v>
      </x:c>
      <x:c r="L544" s="53" t="b">
        <x:v>1</x:v>
      </x:c>
      <x:c r="M544" s="53" t="b">
        <x:v>1</x:v>
      </x:c>
      <x:c r="N544" s="53" t="b">
        <x:v>1</x:v>
      </x:c>
      <x:c r="O544" s="53" t="b">
        <x:v>1</x:v>
      </x:c>
      <x:c r="P544" s="47" t="n">
        <x:v>1009</x:v>
      </x:c>
      <x:c r="Q544" s="47" t="n">
        <x:v>0</x:v>
      </x:c>
      <x:c r="R544" s="47" t="n">
        <x:v>0</x:v>
      </x:c>
      <x:c r="S544" s="47" t="n">
        <x:v>45.42</x:v>
      </x:c>
      <x:c r="T544" s="47" t="n">
        <x:v>58.47</x:v>
      </x:c>
      <x:c r="U544" s="47" t="n">
        <x:v>34.7</x:v>
      </x:c>
      <x:c r="V544" s="47" t="n">
        <x:v>12.1</x:v>
      </x:c>
      <x:c r="W544" s="47" t="n">
        <x:v>139</x:v>
      </x:c>
      <x:c r="X544" s="47" t="n">
        <x:v>248</x:v>
      </x:c>
      <x:c r="Y544" s="41" t="n">
        <x:v>109</x:v>
      </x:c>
    </x:row>
    <x:row r="545">
      <x:c r="A545" s="38" t="str">
        <x:v>7月30日现场数据</x:v>
      </x:c>
      <x:c r="B545" s="66" t="str">
        <x:v>2026-08-01T10:49:58.695000</x:v>
      </x:c>
      <x:c r="C545" s="47" t="n">
        <x:v>300976</x:v>
      </x:c>
      <x:c r="D545" s="47" t="str"/>
      <x:c r="E545" s="47" t="str"/>
      <x:c r="F545" s="47" t="str">
        <x:v>current</x:v>
      </x:c>
      <x:c r="G545" s="47" t="n">
        <x:v>541</x:v>
      </x:c>
      <x:c r="H545" s="53" t="b">
        <x:v>1</x:v>
      </x:c>
      <x:c r="I545" s="47" t="str">
        <x:v>3045069830</x:v>
      </x:c>
      <x:c r="J545" s="47" t="n">
        <x:v>73442525</x:v>
      </x:c>
      <x:c r="K545" s="53" t="b">
        <x:v>1</x:v>
      </x:c>
      <x:c r="L545" s="53" t="b">
        <x:v>1</x:v>
      </x:c>
      <x:c r="M545" s="53" t="b">
        <x:v>1</x:v>
      </x:c>
      <x:c r="N545" s="53" t="b">
        <x:v>1</x:v>
      </x:c>
      <x:c r="O545" s="53" t="b">
        <x:v>1</x:v>
      </x:c>
      <x:c r="P545" s="47" t="n">
        <x:v>1009</x:v>
      </x:c>
      <x:c r="Q545" s="47" t="n">
        <x:v>0</x:v>
      </x:c>
      <x:c r="R545" s="47" t="n">
        <x:v>0</x:v>
      </x:c>
      <x:c r="S545" s="47" t="n">
        <x:v>42.53</x:v>
      </x:c>
      <x:c r="T545" s="47" t="n">
        <x:v>57.42</x:v>
      </x:c>
      <x:c r="U545" s="47" t="n">
        <x:v>34.7</x:v>
      </x:c>
      <x:c r="V545" s="47" t="n">
        <x:v>12.1</x:v>
      </x:c>
      <x:c r="W545" s="47" t="n">
        <x:v>129</x:v>
      </x:c>
      <x:c r="X545" s="47" t="n">
        <x:v>145</x:v>
      </x:c>
      <x:c r="Y545" s="41" t="n">
        <x:v>16</x:v>
      </x:c>
    </x:row>
    <x:row r="546">
      <x:c r="A546" s="38" t="str">
        <x:v>7月30日现场数据</x:v>
      </x:c>
      <x:c r="B546" s="66" t="str">
        <x:v>2026-08-01T10:54:59.674000</x:v>
      </x:c>
      <x:c r="C546" s="47" t="n">
        <x:v>300979</x:v>
      </x:c>
      <x:c r="D546" s="47" t="str"/>
      <x:c r="E546" s="47" t="str"/>
      <x:c r="F546" s="47" t="str">
        <x:v>current</x:v>
      </x:c>
      <x:c r="G546" s="47" t="n">
        <x:v>542</x:v>
      </x:c>
      <x:c r="H546" s="53" t="b">
        <x:v>1</x:v>
      </x:c>
      <x:c r="I546" s="47" t="str">
        <x:v>3045069830</x:v>
      </x:c>
      <x:c r="J546" s="47" t="n">
        <x:v>73743504</x:v>
      </x:c>
      <x:c r="K546" s="53" t="b">
        <x:v>1</x:v>
      </x:c>
      <x:c r="L546" s="53" t="b">
        <x:v>1</x:v>
      </x:c>
      <x:c r="M546" s="53" t="b">
        <x:v>1</x:v>
      </x:c>
      <x:c r="N546" s="53" t="b">
        <x:v>1</x:v>
      </x:c>
      <x:c r="O546" s="53" t="b">
        <x:v>1</x:v>
      </x:c>
      <x:c r="P546" s="47" t="n">
        <x:v>1009</x:v>
      </x:c>
      <x:c r="Q546" s="47" t="n">
        <x:v>0</x:v>
      </x:c>
      <x:c r="R546" s="47" t="n">
        <x:v>0</x:v>
      </x:c>
      <x:c r="S546" s="47" t="n">
        <x:v>41.3</x:v>
      </x:c>
      <x:c r="T546" s="47" t="n">
        <x:v>56.74</x:v>
      </x:c>
      <x:c r="U546" s="47" t="n">
        <x:v>34.6</x:v>
      </x:c>
      <x:c r="V546" s="47" t="n">
        <x:v>12.1</x:v>
      </x:c>
      <x:c r="W546" s="47" t="n">
        <x:v>120</x:v>
      </x:c>
      <x:c r="X546" s="47" t="n">
        <x:v>192</x:v>
      </x:c>
      <x:c r="Y546" s="41" t="n">
        <x:v>72</x:v>
      </x:c>
    </x:row>
    <x:row r="547">
      <x:c r="A547" s="38" t="str">
        <x:v>7月30日现场数据</x:v>
      </x:c>
      <x:c r="B547" s="66" t="str">
        <x:v>2026-08-01T11:00:00.649000</x:v>
      </x:c>
      <x:c r="C547" s="47" t="n">
        <x:v>300975</x:v>
      </x:c>
      <x:c r="D547" s="47" t="str"/>
      <x:c r="E547" s="47" t="str"/>
      <x:c r="F547" s="47" t="str">
        <x:v>current</x:v>
      </x:c>
      <x:c r="G547" s="47" t="n">
        <x:v>543</x:v>
      </x:c>
      <x:c r="H547" s="53" t="b">
        <x:v>1</x:v>
      </x:c>
      <x:c r="I547" s="47" t="str">
        <x:v>3045069830</x:v>
      </x:c>
      <x:c r="J547" s="47" t="n">
        <x:v>74044479</x:v>
      </x:c>
      <x:c r="K547" s="53" t="b">
        <x:v>1</x:v>
      </x:c>
      <x:c r="L547" s="53" t="b">
        <x:v>1</x:v>
      </x:c>
      <x:c r="M547" s="53" t="b">
        <x:v>1</x:v>
      </x:c>
      <x:c r="N547" s="53" t="b">
        <x:v>1</x:v>
      </x:c>
      <x:c r="O547" s="53" t="b">
        <x:v>1</x:v>
      </x:c>
      <x:c r="P547" s="47" t="n">
        <x:v>1009</x:v>
      </x:c>
      <x:c r="Q547" s="47" t="n">
        <x:v>0</x:v>
      </x:c>
      <x:c r="R547" s="47" t="n">
        <x:v>0</x:v>
      </x:c>
      <x:c r="S547" s="47" t="n">
        <x:v>40.63</x:v>
      </x:c>
      <x:c r="T547" s="47" t="n">
        <x:v>56.43</x:v>
      </x:c>
      <x:c r="U547" s="47" t="n">
        <x:v>34.5</x:v>
      </x:c>
      <x:c r="V547" s="47" t="n">
        <x:v>12</x:v>
      </x:c>
      <x:c r="W547" s="47" t="n">
        <x:v>110</x:v>
      </x:c>
      <x:c r="X547" s="47" t="n">
        <x:v>225</x:v>
      </x:c>
      <x:c r="Y547" s="41" t="n">
        <x:v>115</x:v>
      </x:c>
    </x:row>
    <x:row r="548">
      <x:c r="A548" s="38" t="str">
        <x:v>7月30日现场数据</x:v>
      </x:c>
      <x:c r="B548" s="66" t="str">
        <x:v>2026-08-01T11:05:01.629000</x:v>
      </x:c>
      <x:c r="C548" s="47" t="n">
        <x:v>300980</x:v>
      </x:c>
      <x:c r="D548" s="47" t="str"/>
      <x:c r="E548" s="47" t="str"/>
      <x:c r="F548" s="47" t="str">
        <x:v>current</x:v>
      </x:c>
      <x:c r="G548" s="47" t="n">
        <x:v>544</x:v>
      </x:c>
      <x:c r="H548" s="53" t="b">
        <x:v>1</x:v>
      </x:c>
      <x:c r="I548" s="47" t="str">
        <x:v>3045069830</x:v>
      </x:c>
      <x:c r="J548" s="47" t="n">
        <x:v>74345459</x:v>
      </x:c>
      <x:c r="K548" s="53" t="b">
        <x:v>1</x:v>
      </x:c>
      <x:c r="L548" s="53" t="b">
        <x:v>1</x:v>
      </x:c>
      <x:c r="M548" s="53" t="b">
        <x:v>1</x:v>
      </x:c>
      <x:c r="N548" s="53" t="b">
        <x:v>1</x:v>
      </x:c>
      <x:c r="O548" s="53" t="b">
        <x:v>1</x:v>
      </x:c>
      <x:c r="P548" s="47" t="n">
        <x:v>1009</x:v>
      </x:c>
      <x:c r="Q548" s="47" t="n">
        <x:v>0</x:v>
      </x:c>
      <x:c r="R548" s="47" t="n">
        <x:v>0</x:v>
      </x:c>
      <x:c r="S548" s="47" t="n">
        <x:v>40.94</x:v>
      </x:c>
      <x:c r="T548" s="47" t="n">
        <x:v>56.15</x:v>
      </x:c>
      <x:c r="U548" s="47" t="n">
        <x:v>34.5</x:v>
      </x:c>
      <x:c r="V548" s="47" t="n">
        <x:v>12</x:v>
      </x:c>
      <x:c r="W548" s="47" t="n">
        <x:v>107</x:v>
      </x:c>
      <x:c r="X548" s="47" t="n">
        <x:v>145</x:v>
      </x:c>
      <x:c r="Y548" s="41" t="n">
        <x:v>38</x:v>
      </x:c>
    </x:row>
    <x:row r="549">
      <x:c r="A549" s="38" t="str">
        <x:v>7月30日现场数据</x:v>
      </x:c>
      <x:c r="B549" s="66" t="str">
        <x:v>2026-08-01T11:10:02.613000</x:v>
      </x:c>
      <x:c r="C549" s="47" t="n">
        <x:v>300984</x:v>
      </x:c>
      <x:c r="D549" s="47" t="str"/>
      <x:c r="E549" s="47" t="str"/>
      <x:c r="F549" s="47" t="str">
        <x:v>current</x:v>
      </x:c>
      <x:c r="G549" s="47" t="n">
        <x:v>545</x:v>
      </x:c>
      <x:c r="H549" s="53" t="b">
        <x:v>1</x:v>
      </x:c>
      <x:c r="I549" s="47" t="str">
        <x:v>3045069830</x:v>
      </x:c>
      <x:c r="J549" s="47" t="n">
        <x:v>74646443</x:v>
      </x:c>
      <x:c r="K549" s="53" t="b">
        <x:v>1</x:v>
      </x:c>
      <x:c r="L549" s="53" t="b">
        <x:v>1</x:v>
      </x:c>
      <x:c r="M549" s="53" t="b">
        <x:v>1</x:v>
      </x:c>
      <x:c r="N549" s="53" t="b">
        <x:v>1</x:v>
      </x:c>
      <x:c r="O549" s="53" t="b">
        <x:v>1</x:v>
      </x:c>
      <x:c r="P549" s="47" t="n">
        <x:v>1009</x:v>
      </x:c>
      <x:c r="Q549" s="47" t="n">
        <x:v>0</x:v>
      </x:c>
      <x:c r="R549" s="47" t="n">
        <x:v>0</x:v>
      </x:c>
      <x:c r="S549" s="47" t="n">
        <x:v>40.92</x:v>
      </x:c>
      <x:c r="T549" s="47" t="n">
        <x:v>56.13</x:v>
      </x:c>
      <x:c r="U549" s="47" t="n">
        <x:v>34.5</x:v>
      </x:c>
      <x:c r="V549" s="47" t="n">
        <x:v>12</x:v>
      </x:c>
      <x:c r="W549" s="47" t="n">
        <x:v>100</x:v>
      </x:c>
      <x:c r="X549" s="47" t="n">
        <x:v>165</x:v>
      </x:c>
      <x:c r="Y549" s="41" t="n">
        <x:v>65</x:v>
      </x:c>
    </x:row>
    <x:row r="550">
      <x:c r="A550" s="38" t="str">
        <x:v>7月30日现场数据</x:v>
      </x:c>
      <x:c r="B550" s="66" t="str">
        <x:v>2026-08-01T11:15:03.598000</x:v>
      </x:c>
      <x:c r="C550" s="47" t="n">
        <x:v>300985</x:v>
      </x:c>
      <x:c r="D550" s="47" t="str"/>
      <x:c r="E550" s="47" t="str"/>
      <x:c r="F550" s="47" t="str">
        <x:v>current</x:v>
      </x:c>
      <x:c r="G550" s="47" t="n">
        <x:v>546</x:v>
      </x:c>
      <x:c r="H550" s="53" t="b">
        <x:v>1</x:v>
      </x:c>
      <x:c r="I550" s="47" t="str">
        <x:v>3045069830</x:v>
      </x:c>
      <x:c r="J550" s="47" t="n">
        <x:v>74947428</x:v>
      </x:c>
      <x:c r="K550" s="53" t="b">
        <x:v>1</x:v>
      </x:c>
      <x:c r="L550" s="53" t="b">
        <x:v>1</x:v>
      </x:c>
      <x:c r="M550" s="53" t="b">
        <x:v>1</x:v>
      </x:c>
      <x:c r="N550" s="53" t="b">
        <x:v>1</x:v>
      </x:c>
      <x:c r="O550" s="53" t="b">
        <x:v>1</x:v>
      </x:c>
      <x:c r="P550" s="47" t="n">
        <x:v>1009</x:v>
      </x:c>
      <x:c r="Q550" s="47" t="n">
        <x:v>0</x:v>
      </x:c>
      <x:c r="R550" s="47" t="n">
        <x:v>0</x:v>
      </x:c>
      <x:c r="S550" s="47" t="n">
        <x:v>41.25</x:v>
      </x:c>
      <x:c r="T550" s="47" t="n">
        <x:v>55.95</x:v>
      </x:c>
      <x:c r="U550" s="47" t="n">
        <x:v>34.5</x:v>
      </x:c>
      <x:c r="V550" s="47" t="n">
        <x:v>12</x:v>
      </x:c>
      <x:c r="W550" s="47" t="n">
        <x:v>100</x:v>
      </x:c>
      <x:c r="X550" s="47" t="n">
        <x:v>166</x:v>
      </x:c>
      <x:c r="Y550" s="41" t="n">
        <x:v>66</x:v>
      </x:c>
    </x:row>
    <x:row r="551">
      <x:c r="A551" s="38" t="str">
        <x:v>7月30日现场数据</x:v>
      </x:c>
      <x:c r="B551" s="66" t="str">
        <x:v>2026-08-01T11:20:04.581000</x:v>
      </x:c>
      <x:c r="C551" s="47" t="n">
        <x:v>300983</x:v>
      </x:c>
      <x:c r="D551" s="47" t="str"/>
      <x:c r="E551" s="47" t="str"/>
      <x:c r="F551" s="47" t="str">
        <x:v>current</x:v>
      </x:c>
      <x:c r="G551" s="47" t="n">
        <x:v>547</x:v>
      </x:c>
      <x:c r="H551" s="53" t="b">
        <x:v>1</x:v>
      </x:c>
      <x:c r="I551" s="47" t="str">
        <x:v>3045069830</x:v>
      </x:c>
      <x:c r="J551" s="47" t="n">
        <x:v>75248411</x:v>
      </x:c>
      <x:c r="K551" s="53" t="b">
        <x:v>1</x:v>
      </x:c>
      <x:c r="L551" s="53" t="b">
        <x:v>1</x:v>
      </x:c>
      <x:c r="M551" s="53" t="b">
        <x:v>1</x:v>
      </x:c>
      <x:c r="N551" s="53" t="b">
        <x:v>1</x:v>
      </x:c>
      <x:c r="O551" s="53" t="b">
        <x:v>1</x:v>
      </x:c>
      <x:c r="P551" s="47" t="n">
        <x:v>1009</x:v>
      </x:c>
      <x:c r="Q551" s="47" t="n">
        <x:v>0</x:v>
      </x:c>
      <x:c r="R551" s="47" t="n">
        <x:v>0</x:v>
      </x:c>
      <x:c r="S551" s="47" t="n">
        <x:v>41.95</x:v>
      </x:c>
      <x:c r="T551" s="47" t="n">
        <x:v>55.92</x:v>
      </x:c>
      <x:c r="U551" s="47" t="n">
        <x:v>34.5</x:v>
      </x:c>
      <x:c r="V551" s="47" t="n">
        <x:v>12</x:v>
      </x:c>
      <x:c r="W551" s="47" t="n">
        <x:v>99</x:v>
      </x:c>
      <x:c r="X551" s="47" t="n">
        <x:v>160</x:v>
      </x:c>
      <x:c r="Y551" s="41" t="n">
        <x:v>61</x:v>
      </x:c>
    </x:row>
    <x:row r="552">
      <x:c r="A552" s="38" t="str">
        <x:v>7月30日现场数据</x:v>
      </x:c>
      <x:c r="B552" s="66" t="str">
        <x:v>2026-08-01T11:25:05.567000</x:v>
      </x:c>
      <x:c r="C552" s="47" t="n">
        <x:v>300986</x:v>
      </x:c>
      <x:c r="D552" s="47" t="str"/>
      <x:c r="E552" s="47" t="str"/>
      <x:c r="F552" s="47" t="str">
        <x:v>current</x:v>
      </x:c>
      <x:c r="G552" s="47" t="n">
        <x:v>548</x:v>
      </x:c>
      <x:c r="H552" s="53" t="b">
        <x:v>1</x:v>
      </x:c>
      <x:c r="I552" s="47" t="str">
        <x:v>3045069830</x:v>
      </x:c>
      <x:c r="J552" s="47" t="n">
        <x:v>75549397</x:v>
      </x:c>
      <x:c r="K552" s="53" t="b">
        <x:v>1</x:v>
      </x:c>
      <x:c r="L552" s="53" t="b">
        <x:v>1</x:v>
      </x:c>
      <x:c r="M552" s="53" t="b">
        <x:v>1</x:v>
      </x:c>
      <x:c r="N552" s="53" t="b">
        <x:v>1</x:v>
      </x:c>
      <x:c r="O552" s="53" t="b">
        <x:v>1</x:v>
      </x:c>
      <x:c r="P552" s="47" t="n">
        <x:v>1009</x:v>
      </x:c>
      <x:c r="Q552" s="47" t="n">
        <x:v>0</x:v>
      </x:c>
      <x:c r="R552" s="47" t="n">
        <x:v>0</x:v>
      </x:c>
      <x:c r="S552" s="47" t="n">
        <x:v>41.96</x:v>
      </x:c>
      <x:c r="T552" s="47" t="n">
        <x:v>55.83</x:v>
      </x:c>
      <x:c r="U552" s="47" t="n">
        <x:v>34.4</x:v>
      </x:c>
      <x:c r="V552" s="47" t="n">
        <x:v>12</x:v>
      </x:c>
      <x:c r="W552" s="47" t="n">
        <x:v>94</x:v>
      </x:c>
      <x:c r="X552" s="47" t="n">
        <x:v>164</x:v>
      </x:c>
      <x:c r="Y552" s="41" t="n">
        <x:v>70</x:v>
      </x:c>
    </x:row>
    <x:row r="553">
      <x:c r="A553" s="38" t="str">
        <x:v>7月30日现场数据</x:v>
      </x:c>
      <x:c r="B553" s="66" t="str">
        <x:v>2026-08-01T11:30:06.556000</x:v>
      </x:c>
      <x:c r="C553" s="47" t="n">
        <x:v>300989</x:v>
      </x:c>
      <x:c r="D553" s="47" t="str"/>
      <x:c r="E553" s="47" t="str"/>
      <x:c r="F553" s="47" t="str">
        <x:v>current</x:v>
      </x:c>
      <x:c r="G553" s="47" t="n">
        <x:v>549</x:v>
      </x:c>
      <x:c r="H553" s="53" t="b">
        <x:v>1</x:v>
      </x:c>
      <x:c r="I553" s="47" t="str">
        <x:v>3045069830</x:v>
      </x:c>
      <x:c r="J553" s="47" t="n">
        <x:v>75850386</x:v>
      </x:c>
      <x:c r="K553" s="53" t="b">
        <x:v>1</x:v>
      </x:c>
      <x:c r="L553" s="53" t="b">
        <x:v>1</x:v>
      </x:c>
      <x:c r="M553" s="53" t="b">
        <x:v>1</x:v>
      </x:c>
      <x:c r="N553" s="53" t="b">
        <x:v>1</x:v>
      </x:c>
      <x:c r="O553" s="53" t="b">
        <x:v>1</x:v>
      </x:c>
      <x:c r="P553" s="47" t="n">
        <x:v>1009</x:v>
      </x:c>
      <x:c r="Q553" s="47" t="n">
        <x:v>0</x:v>
      </x:c>
      <x:c r="R553" s="47" t="n">
        <x:v>0</x:v>
      </x:c>
      <x:c r="S553" s="47" t="n">
        <x:v>41.44</x:v>
      </x:c>
      <x:c r="T553" s="47" t="n">
        <x:v>55.6</x:v>
      </x:c>
      <x:c r="U553" s="47" t="n">
        <x:v>34.4</x:v>
      </x:c>
      <x:c r="V553" s="47" t="n">
        <x:v>12</x:v>
      </x:c>
      <x:c r="W553" s="47" t="n">
        <x:v>91</x:v>
      </x:c>
      <x:c r="X553" s="47" t="n">
        <x:v>165</x:v>
      </x:c>
      <x:c r="Y553" s="41" t="n">
        <x:v>74</x:v>
      </x:c>
    </x:row>
    <x:row r="554">
      <x:c r="A554" s="38" t="str">
        <x:v>7月30日现场数据</x:v>
      </x:c>
      <x:c r="B554" s="66" t="str">
        <x:v>2026-08-01T11:35:07.579000</x:v>
      </x:c>
      <x:c r="C554" s="47" t="n">
        <x:v>301023</x:v>
      </x:c>
      <x:c r="D554" s="47" t="str"/>
      <x:c r="E554" s="47" t="str"/>
      <x:c r="F554" s="47" t="str">
        <x:v>current</x:v>
      </x:c>
      <x:c r="G554" s="47" t="n">
        <x:v>550</x:v>
      </x:c>
      <x:c r="H554" s="53" t="b">
        <x:v>1</x:v>
      </x:c>
      <x:c r="I554" s="47" t="str">
        <x:v>3045069830</x:v>
      </x:c>
      <x:c r="J554" s="47" t="n">
        <x:v>76151409</x:v>
      </x:c>
      <x:c r="K554" s="53" t="b">
        <x:v>1</x:v>
      </x:c>
      <x:c r="L554" s="53" t="b">
        <x:v>1</x:v>
      </x:c>
      <x:c r="M554" s="53" t="b">
        <x:v>1</x:v>
      </x:c>
      <x:c r="N554" s="53" t="b">
        <x:v>1</x:v>
      </x:c>
      <x:c r="O554" s="53" t="b">
        <x:v>1</x:v>
      </x:c>
      <x:c r="P554" s="47" t="n">
        <x:v>1009</x:v>
      </x:c>
      <x:c r="Q554" s="47" t="n">
        <x:v>0</x:v>
      </x:c>
      <x:c r="R554" s="47" t="n">
        <x:v>0</x:v>
      </x:c>
      <x:c r="S554" s="47" t="n">
        <x:v>41.88</x:v>
      </x:c>
      <x:c r="T554" s="47" t="n">
        <x:v>55.39</x:v>
      </x:c>
      <x:c r="U554" s="47" t="n">
        <x:v>34.4</x:v>
      </x:c>
      <x:c r="V554" s="47" t="n">
        <x:v>12</x:v>
      </x:c>
      <x:c r="W554" s="47" t="n">
        <x:v>90</x:v>
      </x:c>
      <x:c r="X554" s="47" t="n">
        <x:v>240</x:v>
      </x:c>
      <x:c r="Y554" s="41" t="n">
        <x:v>150</x:v>
      </x:c>
    </x:row>
    <x:row r="555">
      <x:c r="A555" s="38" t="str">
        <x:v>7月30日现场数据</x:v>
      </x:c>
      <x:c r="B555" s="66" t="str">
        <x:v>2026-08-01T11:40:08.545000</x:v>
      </x:c>
      <x:c r="C555" s="47" t="n">
        <x:v>300966</x:v>
      </x:c>
      <x:c r="D555" s="47" t="str"/>
      <x:c r="E555" s="47" t="str"/>
      <x:c r="F555" s="47" t="str">
        <x:v>current</x:v>
      </x:c>
      <x:c r="G555" s="47" t="n">
        <x:v>551</x:v>
      </x:c>
      <x:c r="H555" s="53" t="b">
        <x:v>1</x:v>
      </x:c>
      <x:c r="I555" s="47" t="str">
        <x:v>3045069830</x:v>
      </x:c>
      <x:c r="J555" s="47" t="n">
        <x:v>76452375</x:v>
      </x:c>
      <x:c r="K555" s="53" t="b">
        <x:v>1</x:v>
      </x:c>
      <x:c r="L555" s="53" t="b">
        <x:v>1</x:v>
      </x:c>
      <x:c r="M555" s="53" t="b">
        <x:v>1</x:v>
      </x:c>
      <x:c r="N555" s="53" t="b">
        <x:v>1</x:v>
      </x:c>
      <x:c r="O555" s="53" t="b">
        <x:v>1</x:v>
      </x:c>
      <x:c r="P555" s="47" t="n">
        <x:v>1009</x:v>
      </x:c>
      <x:c r="Q555" s="47" t="n">
        <x:v>0.004</x:v>
      </x:c>
      <x:c r="R555" s="47" t="n">
        <x:v>0.099</x:v>
      </x:c>
      <x:c r="S555" s="47" t="n">
        <x:v>41.36</x:v>
      </x:c>
      <x:c r="T555" s="47" t="n">
        <x:v>55.19</x:v>
      </x:c>
      <x:c r="U555" s="47" t="n">
        <x:v>34.3</x:v>
      </x:c>
      <x:c r="V555" s="47" t="n">
        <x:v>12</x:v>
      </x:c>
      <x:c r="W555" s="47" t="n">
        <x:v>84</x:v>
      </x:c>
      <x:c r="X555" s="47" t="n">
        <x:v>164</x:v>
      </x:c>
      <x:c r="Y555" s="41" t="n">
        <x:v>80</x:v>
      </x:c>
    </x:row>
    <x:row r="556">
      <x:c r="A556" s="38" t="str">
        <x:v>7月30日现场数据</x:v>
      </x:c>
      <x:c r="B556" s="66" t="str">
        <x:v>2026-08-01T11:45:09.515000</x:v>
      </x:c>
      <x:c r="C556" s="47" t="n">
        <x:v>300970</x:v>
      </x:c>
      <x:c r="D556" s="47" t="str"/>
      <x:c r="E556" s="47" t="str"/>
      <x:c r="F556" s="47" t="str">
        <x:v>current</x:v>
      </x:c>
      <x:c r="G556" s="47" t="n">
        <x:v>552</x:v>
      </x:c>
      <x:c r="H556" s="53" t="b">
        <x:v>1</x:v>
      </x:c>
      <x:c r="I556" s="47" t="str">
        <x:v>3045069830</x:v>
      </x:c>
      <x:c r="J556" s="47" t="n">
        <x:v>76753345</x:v>
      </x:c>
      <x:c r="K556" s="53" t="b">
        <x:v>1</x:v>
      </x:c>
      <x:c r="L556" s="53" t="b">
        <x:v>1</x:v>
      </x:c>
      <x:c r="M556" s="53" t="b">
        <x:v>1</x:v>
      </x:c>
      <x:c r="N556" s="53" t="b">
        <x:v>1</x:v>
      </x:c>
      <x:c r="O556" s="53" t="b">
        <x:v>1</x:v>
      </x:c>
      <x:c r="P556" s="47" t="n">
        <x:v>1007</x:v>
      </x:c>
      <x:c r="Q556" s="47" t="n">
        <x:v>0</x:v>
      </x:c>
      <x:c r="R556" s="47" t="n">
        <x:v>0</x:v>
      </x:c>
      <x:c r="S556" s="47" t="n">
        <x:v>41.41</x:v>
      </x:c>
      <x:c r="T556" s="47" t="n">
        <x:v>54.97</x:v>
      </x:c>
      <x:c r="U556" s="47" t="n">
        <x:v>34.3</x:v>
      </x:c>
      <x:c r="V556" s="47" t="n">
        <x:v>12</x:v>
      </x:c>
      <x:c r="W556" s="47" t="n">
        <x:v>80</x:v>
      </x:c>
      <x:c r="X556" s="47" t="n">
        <x:v>157</x:v>
      </x:c>
      <x:c r="Y556" s="41" t="n">
        <x:v>77</x:v>
      </x:c>
    </x:row>
    <x:row r="557">
      <x:c r="A557" s="38" t="str">
        <x:v>7月30日现场数据</x:v>
      </x:c>
      <x:c r="B557" s="66" t="str">
        <x:v>2026-08-01T11:50:10.486000</x:v>
      </x:c>
      <x:c r="C557" s="47" t="n">
        <x:v>300971</x:v>
      </x:c>
      <x:c r="D557" s="47" t="str"/>
      <x:c r="E557" s="47" t="str"/>
      <x:c r="F557" s="47" t="str">
        <x:v>current</x:v>
      </x:c>
      <x:c r="G557" s="47" t="n">
        <x:v>553</x:v>
      </x:c>
      <x:c r="H557" s="53" t="b">
        <x:v>1</x:v>
      </x:c>
      <x:c r="I557" s="47" t="str">
        <x:v>3045069830</x:v>
      </x:c>
      <x:c r="J557" s="47" t="n">
        <x:v>77054316</x:v>
      </x:c>
      <x:c r="K557" s="53" t="b">
        <x:v>1</x:v>
      </x:c>
      <x:c r="L557" s="53" t="b">
        <x:v>1</x:v>
      </x:c>
      <x:c r="M557" s="53" t="b">
        <x:v>1</x:v>
      </x:c>
      <x:c r="N557" s="53" t="b">
        <x:v>1</x:v>
      </x:c>
      <x:c r="O557" s="53" t="b">
        <x:v>1</x:v>
      </x:c>
      <x:c r="P557" s="47" t="n">
        <x:v>1009</x:v>
      </x:c>
      <x:c r="Q557" s="47" t="n">
        <x:v>0</x:v>
      </x:c>
      <x:c r="R557" s="47" t="n">
        <x:v>0</x:v>
      </x:c>
      <x:c r="S557" s="47" t="n">
        <x:v>41.46</x:v>
      </x:c>
      <x:c r="T557" s="47" t="n">
        <x:v>54.87</x:v>
      </x:c>
      <x:c r="U557" s="47" t="n">
        <x:v>34.3</x:v>
      </x:c>
      <x:c r="V557" s="47" t="n">
        <x:v>12</x:v>
      </x:c>
      <x:c r="W557" s="47" t="n">
        <x:v>79</x:v>
      </x:c>
      <x:c r="X557" s="47" t="n">
        <x:v>168</x:v>
      </x:c>
      <x:c r="Y557" s="41" t="n">
        <x:v>89</x:v>
      </x:c>
    </x:row>
    <x:row r="558">
      <x:c r="A558" s="38" t="str">
        <x:v>7月30日现场数据</x:v>
      </x:c>
      <x:c r="B558" s="66" t="str">
        <x:v>2026-08-01T11:55:11.458000</x:v>
      </x:c>
      <x:c r="C558" s="47" t="n">
        <x:v>300972</x:v>
      </x:c>
      <x:c r="D558" s="47" t="str"/>
      <x:c r="E558" s="47" t="str"/>
      <x:c r="F558" s="47" t="str">
        <x:v>current</x:v>
      </x:c>
      <x:c r="G558" s="47" t="n">
        <x:v>554</x:v>
      </x:c>
      <x:c r="H558" s="53" t="b">
        <x:v>1</x:v>
      </x:c>
      <x:c r="I558" s="47" t="str">
        <x:v>3045069830</x:v>
      </x:c>
      <x:c r="J558" s="47" t="n">
        <x:v>77355288</x:v>
      </x:c>
      <x:c r="K558" s="53" t="b">
        <x:v>1</x:v>
      </x:c>
      <x:c r="L558" s="53" t="b">
        <x:v>1</x:v>
      </x:c>
      <x:c r="M558" s="53" t="b">
        <x:v>1</x:v>
      </x:c>
      <x:c r="N558" s="53" t="b">
        <x:v>1</x:v>
      </x:c>
      <x:c r="O558" s="53" t="b">
        <x:v>1</x:v>
      </x:c>
      <x:c r="P558" s="47" t="n">
        <x:v>1008</x:v>
      </x:c>
      <x:c r="Q558" s="47" t="n">
        <x:v>0</x:v>
      </x:c>
      <x:c r="R558" s="47" t="n">
        <x:v>0</x:v>
      </x:c>
      <x:c r="S558" s="47" t="n">
        <x:v>39.55</x:v>
      </x:c>
      <x:c r="T558" s="47" t="n">
        <x:v>54.45</x:v>
      </x:c>
      <x:c r="U558" s="47" t="n">
        <x:v>34.3</x:v>
      </x:c>
      <x:c r="V558" s="47" t="n">
        <x:v>12</x:v>
      </x:c>
      <x:c r="W558" s="47" t="n">
        <x:v>72</x:v>
      </x:c>
      <x:c r="X558" s="47" t="n">
        <x:v>156</x:v>
      </x:c>
      <x:c r="Y558" s="41" t="n">
        <x:v>84</x:v>
      </x:c>
    </x:row>
    <x:row r="559">
      <x:c r="A559" s="38" t="str">
        <x:v>7月30日现场数据</x:v>
      </x:c>
      <x:c r="B559" s="66" t="str">
        <x:v>2026-08-01T12:00:12.432000</x:v>
      </x:c>
      <x:c r="C559" s="47" t="n">
        <x:v>300974</x:v>
      </x:c>
      <x:c r="D559" s="47" t="str"/>
      <x:c r="E559" s="47" t="str"/>
      <x:c r="F559" s="47" t="str">
        <x:v>current</x:v>
      </x:c>
      <x:c r="G559" s="47" t="n">
        <x:v>555</x:v>
      </x:c>
      <x:c r="H559" s="53" t="b">
        <x:v>1</x:v>
      </x:c>
      <x:c r="I559" s="47" t="str">
        <x:v>3045069830</x:v>
      </x:c>
      <x:c r="J559" s="47" t="n">
        <x:v>77656262</x:v>
      </x:c>
      <x:c r="K559" s="53" t="b">
        <x:v>1</x:v>
      </x:c>
      <x:c r="L559" s="53" t="b">
        <x:v>1</x:v>
      </x:c>
      <x:c r="M559" s="53" t="b">
        <x:v>1</x:v>
      </x:c>
      <x:c r="N559" s="53" t="b">
        <x:v>1</x:v>
      </x:c>
      <x:c r="O559" s="53" t="b">
        <x:v>1</x:v>
      </x:c>
      <x:c r="P559" s="47" t="n">
        <x:v>1008</x:v>
      </x:c>
      <x:c r="Q559" s="47" t="n">
        <x:v>0</x:v>
      </x:c>
      <x:c r="R559" s="47" t="n">
        <x:v>0</x:v>
      </x:c>
      <x:c r="S559" s="47" t="n">
        <x:v>40.38</x:v>
      </x:c>
      <x:c r="T559" s="47" t="n">
        <x:v>54.35</x:v>
      </x:c>
      <x:c r="U559" s="47" t="n">
        <x:v>34.3</x:v>
      </x:c>
      <x:c r="V559" s="47" t="n">
        <x:v>12</x:v>
      </x:c>
      <x:c r="W559" s="47" t="n">
        <x:v>75</x:v>
      </x:c>
      <x:c r="X559" s="47" t="n">
        <x:v>153</x:v>
      </x:c>
      <x:c r="Y559" s="41" t="n">
        <x:v>78</x:v>
      </x:c>
    </x:row>
    <x:row r="560">
      <x:c r="A560" s="38" t="str">
        <x:v>7月30日现场数据</x:v>
      </x:c>
      <x:c r="B560" s="66" t="str">
        <x:v>2026-08-01T12:05:13.411000</x:v>
      </x:c>
      <x:c r="C560" s="47" t="n">
        <x:v>300979</x:v>
      </x:c>
      <x:c r="D560" s="47" t="str"/>
      <x:c r="E560" s="47" t="str"/>
      <x:c r="F560" s="47" t="str">
        <x:v>current</x:v>
      </x:c>
      <x:c r="G560" s="47" t="n">
        <x:v>556</x:v>
      </x:c>
      <x:c r="H560" s="53" t="b">
        <x:v>1</x:v>
      </x:c>
      <x:c r="I560" s="47" t="str">
        <x:v>3045069830</x:v>
      </x:c>
      <x:c r="J560" s="47" t="n">
        <x:v>77957241</x:v>
      </x:c>
      <x:c r="K560" s="53" t="b">
        <x:v>1</x:v>
      </x:c>
      <x:c r="L560" s="53" t="b">
        <x:v>1</x:v>
      </x:c>
      <x:c r="M560" s="53" t="b">
        <x:v>1</x:v>
      </x:c>
      <x:c r="N560" s="53" t="b">
        <x:v>1</x:v>
      </x:c>
      <x:c r="O560" s="53" t="b">
        <x:v>1</x:v>
      </x:c>
      <x:c r="P560" s="47" t="n">
        <x:v>1008</x:v>
      </x:c>
      <x:c r="Q560" s="47" t="n">
        <x:v>0.078</x:v>
      </x:c>
      <x:c r="R560" s="47" t="n">
        <x:v>2.11</x:v>
      </x:c>
      <x:c r="S560" s="47" t="n">
        <x:v>40.96</x:v>
      </x:c>
      <x:c r="T560" s="47" t="n">
        <x:v>54.31</x:v>
      </x:c>
      <x:c r="U560" s="47" t="n">
        <x:v>34.2</x:v>
      </x:c>
      <x:c r="V560" s="47" t="n">
        <x:v>12</x:v>
      </x:c>
      <x:c r="W560" s="47" t="n">
        <x:v>73</x:v>
      </x:c>
      <x:c r="X560" s="47" t="n">
        <x:v>167</x:v>
      </x:c>
      <x:c r="Y560" s="41" t="n">
        <x:v>94</x:v>
      </x:c>
    </x:row>
    <x:row r="561">
      <x:c r="A561" s="38" t="str">
        <x:v>7月30日现场数据</x:v>
      </x:c>
      <x:c r="B561" s="66" t="str">
        <x:v>2026-08-01T12:10:14.390000</x:v>
      </x:c>
      <x:c r="C561" s="47" t="n">
        <x:v>300979</x:v>
      </x:c>
      <x:c r="D561" s="47" t="str"/>
      <x:c r="E561" s="47" t="str"/>
      <x:c r="F561" s="47" t="str">
        <x:v>current</x:v>
      </x:c>
      <x:c r="G561" s="47" t="n">
        <x:v>557</x:v>
      </x:c>
      <x:c r="H561" s="53" t="b">
        <x:v>1</x:v>
      </x:c>
      <x:c r="I561" s="47" t="str">
        <x:v>3045069830</x:v>
      </x:c>
      <x:c r="J561" s="47" t="n">
        <x:v>78258220</x:v>
      </x:c>
      <x:c r="K561" s="53" t="b">
        <x:v>1</x:v>
      </x:c>
      <x:c r="L561" s="53" t="b">
        <x:v>1</x:v>
      </x:c>
      <x:c r="M561" s="53" t="b">
        <x:v>1</x:v>
      </x:c>
      <x:c r="N561" s="53" t="b">
        <x:v>1</x:v>
      </x:c>
      <x:c r="O561" s="53" t="b">
        <x:v>1</x:v>
      </x:c>
      <x:c r="P561" s="47" t="n">
        <x:v>1008</x:v>
      </x:c>
      <x:c r="Q561" s="47" t="n">
        <x:v>0</x:v>
      </x:c>
      <x:c r="R561" s="47" t="n">
        <x:v>0</x:v>
      </x:c>
      <x:c r="S561" s="47" t="n">
        <x:v>41.23</x:v>
      </x:c>
      <x:c r="T561" s="47" t="n">
        <x:v>54.36</x:v>
      </x:c>
      <x:c r="U561" s="47" t="n">
        <x:v>34.2</x:v>
      </x:c>
      <x:c r="V561" s="47" t="n">
        <x:v>12</x:v>
      </x:c>
      <x:c r="W561" s="47" t="n">
        <x:v>73</x:v>
      </x:c>
      <x:c r="X561" s="47" t="n">
        <x:v>167</x:v>
      </x:c>
      <x:c r="Y561" s="41" t="n">
        <x:v>94</x:v>
      </x:c>
    </x:row>
    <x:row r="562">
      <x:c r="A562" s="38" t="str">
        <x:v>7月30日现场数据</x:v>
      </x:c>
      <x:c r="B562" s="66" t="str">
        <x:v>2026-08-01T12:15:15.371000</x:v>
      </x:c>
      <x:c r="C562" s="47" t="n">
        <x:v>300981</x:v>
      </x:c>
      <x:c r="D562" s="47" t="str"/>
      <x:c r="E562" s="47" t="str"/>
      <x:c r="F562" s="47" t="str">
        <x:v>current</x:v>
      </x:c>
      <x:c r="G562" s="47" t="n">
        <x:v>558</x:v>
      </x:c>
      <x:c r="H562" s="53" t="b">
        <x:v>1</x:v>
      </x:c>
      <x:c r="I562" s="47" t="str">
        <x:v>3045069830</x:v>
      </x:c>
      <x:c r="J562" s="47" t="n">
        <x:v>78559201</x:v>
      </x:c>
      <x:c r="K562" s="53" t="b">
        <x:v>1</x:v>
      </x:c>
      <x:c r="L562" s="53" t="b">
        <x:v>1</x:v>
      </x:c>
      <x:c r="M562" s="53" t="b">
        <x:v>1</x:v>
      </x:c>
      <x:c r="N562" s="53" t="b">
        <x:v>1</x:v>
      </x:c>
      <x:c r="O562" s="53" t="b">
        <x:v>1</x:v>
      </x:c>
      <x:c r="P562" s="47" t="n">
        <x:v>1008</x:v>
      </x:c>
      <x:c r="Q562" s="47" t="n">
        <x:v>0</x:v>
      </x:c>
      <x:c r="R562" s="47" t="n">
        <x:v>0</x:v>
      </x:c>
      <x:c r="S562" s="47" t="n">
        <x:v>41.5</x:v>
      </x:c>
      <x:c r="T562" s="47" t="n">
        <x:v>54.18</x:v>
      </x:c>
      <x:c r="U562" s="47" t="n">
        <x:v>34.2</x:v>
      </x:c>
      <x:c r="V562" s="47" t="n">
        <x:v>12</x:v>
      </x:c>
      <x:c r="W562" s="47" t="n">
        <x:v>56</x:v>
      </x:c>
      <x:c r="X562" s="47" t="n">
        <x:v>155</x:v>
      </x:c>
      <x:c r="Y562" s="41" t="n">
        <x:v>99</x:v>
      </x:c>
    </x:row>
    <x:row r="563">
      <x:c r="A563" s="38" t="str">
        <x:v>7月30日现场数据</x:v>
      </x:c>
      <x:c r="B563" s="66" t="str">
        <x:v>2026-08-01T12:20:16.351000</x:v>
      </x:c>
      <x:c r="C563" s="47" t="n">
        <x:v>300980</x:v>
      </x:c>
      <x:c r="D563" s="47" t="str"/>
      <x:c r="E563" s="47" t="str"/>
      <x:c r="F563" s="47" t="str">
        <x:v>current</x:v>
      </x:c>
      <x:c r="G563" s="47" t="n">
        <x:v>559</x:v>
      </x:c>
      <x:c r="H563" s="53" t="b">
        <x:v>1</x:v>
      </x:c>
      <x:c r="I563" s="47" t="str">
        <x:v>3045069830</x:v>
      </x:c>
      <x:c r="J563" s="47" t="n">
        <x:v>78860181</x:v>
      </x:c>
      <x:c r="K563" s="53" t="b">
        <x:v>1</x:v>
      </x:c>
      <x:c r="L563" s="53" t="b">
        <x:v>1</x:v>
      </x:c>
      <x:c r="M563" s="53" t="b">
        <x:v>1</x:v>
      </x:c>
      <x:c r="N563" s="53" t="b">
        <x:v>1</x:v>
      </x:c>
      <x:c r="O563" s="53" t="b">
        <x:v>1</x:v>
      </x:c>
      <x:c r="P563" s="47" t="n">
        <x:v>1008</x:v>
      </x:c>
      <x:c r="Q563" s="47" t="n">
        <x:v>0</x:v>
      </x:c>
      <x:c r="R563" s="47" t="n">
        <x:v>0</x:v>
      </x:c>
      <x:c r="S563" s="47" t="n">
        <x:v>41.44</x:v>
      </x:c>
      <x:c r="T563" s="47" t="n">
        <x:v>54.13</x:v>
      </x:c>
      <x:c r="U563" s="47" t="n">
        <x:v>34.2</x:v>
      </x:c>
      <x:c r="V563" s="47" t="n">
        <x:v>12</x:v>
      </x:c>
      <x:c r="W563" s="47" t="n">
        <x:v>72</x:v>
      </x:c>
      <x:c r="X563" s="47" t="n">
        <x:v>190</x:v>
      </x:c>
      <x:c r="Y563" s="41" t="n">
        <x:v>118</x:v>
      </x:c>
    </x:row>
    <x:row r="564">
      <x:c r="A564" s="38" t="str">
        <x:v>7月30日现场数据</x:v>
      </x:c>
      <x:c r="B564" s="66" t="str">
        <x:v>2026-08-01T12:25:17.337000</x:v>
      </x:c>
      <x:c r="C564" s="47" t="n">
        <x:v>300986</x:v>
      </x:c>
      <x:c r="D564" s="47" t="str"/>
      <x:c r="E564" s="47" t="str"/>
      <x:c r="F564" s="47" t="str">
        <x:v>current</x:v>
      </x:c>
      <x:c r="G564" s="47" t="n">
        <x:v>560</x:v>
      </x:c>
      <x:c r="H564" s="53" t="b">
        <x:v>1</x:v>
      </x:c>
      <x:c r="I564" s="47" t="str">
        <x:v>3045069830</x:v>
      </x:c>
      <x:c r="J564" s="47" t="n">
        <x:v>79161167</x:v>
      </x:c>
      <x:c r="K564" s="53" t="b">
        <x:v>1</x:v>
      </x:c>
      <x:c r="L564" s="53" t="b">
        <x:v>1</x:v>
      </x:c>
      <x:c r="M564" s="53" t="b">
        <x:v>1</x:v>
      </x:c>
      <x:c r="N564" s="53" t="b">
        <x:v>1</x:v>
      </x:c>
      <x:c r="O564" s="53" t="b">
        <x:v>1</x:v>
      </x:c>
      <x:c r="P564" s="47" t="n">
        <x:v>1008</x:v>
      </x:c>
      <x:c r="Q564" s="47" t="n">
        <x:v>0</x:v>
      </x:c>
      <x:c r="R564" s="47" t="n">
        <x:v>0</x:v>
      </x:c>
      <x:c r="S564" s="47" t="n">
        <x:v>41.42</x:v>
      </x:c>
      <x:c r="T564" s="47" t="n">
        <x:v>53.93</x:v>
      </x:c>
      <x:c r="U564" s="47" t="n">
        <x:v>34.2</x:v>
      </x:c>
      <x:c r="V564" s="47" t="n">
        <x:v>12</x:v>
      </x:c>
      <x:c r="W564" s="47" t="n">
        <x:v>67</x:v>
      </x:c>
      <x:c r="X564" s="47" t="n">
        <x:v>216</x:v>
      </x:c>
      <x:c r="Y564" s="41" t="n">
        <x:v>149</x:v>
      </x:c>
    </x:row>
    <x:row r="565">
      <x:c r="A565" s="38" t="str">
        <x:v>7月30日现场数据</x:v>
      </x:c>
      <x:c r="B565" s="66" t="str">
        <x:v>2026-08-01T12:30:18.321000</x:v>
      </x:c>
      <x:c r="C565" s="47" t="n">
        <x:v>300984</x:v>
      </x:c>
      <x:c r="D565" s="47" t="str"/>
      <x:c r="E565" s="47" t="str"/>
      <x:c r="F565" s="47" t="str">
        <x:v>current</x:v>
      </x:c>
      <x:c r="G565" s="47" t="n">
        <x:v>561</x:v>
      </x:c>
      <x:c r="H565" s="53" t="b">
        <x:v>1</x:v>
      </x:c>
      <x:c r="I565" s="47" t="str">
        <x:v>3045069830</x:v>
      </x:c>
      <x:c r="J565" s="47" t="n">
        <x:v>79462151</x:v>
      </x:c>
      <x:c r="K565" s="53" t="b">
        <x:v>1</x:v>
      </x:c>
      <x:c r="L565" s="53" t="b">
        <x:v>1</x:v>
      </x:c>
      <x:c r="M565" s="53" t="b">
        <x:v>1</x:v>
      </x:c>
      <x:c r="N565" s="53" t="b">
        <x:v>1</x:v>
      </x:c>
      <x:c r="O565" s="53" t="b">
        <x:v>1</x:v>
      </x:c>
      <x:c r="P565" s="47" t="n">
        <x:v>1008</x:v>
      </x:c>
      <x:c r="Q565" s="47" t="n">
        <x:v>0</x:v>
      </x:c>
      <x:c r="R565" s="47" t="n">
        <x:v>0</x:v>
      </x:c>
      <x:c r="S565" s="47" t="n">
        <x:v>39.84</x:v>
      </x:c>
      <x:c r="T565" s="47" t="n">
        <x:v>53.68</x:v>
      </x:c>
      <x:c r="U565" s="47" t="n">
        <x:v>34.2</x:v>
      </x:c>
      <x:c r="V565" s="47" t="n">
        <x:v>12</x:v>
      </x:c>
      <x:c r="W565" s="47" t="n">
        <x:v>19</x:v>
      </x:c>
      <x:c r="X565" s="47" t="n">
        <x:v>76</x:v>
      </x:c>
      <x:c r="Y565" s="41" t="n">
        <x:v>57</x:v>
      </x:c>
    </x:row>
    <x:row r="566">
      <x:c r="A566" s="38" t="str">
        <x:v>7月30日现场数据</x:v>
      </x:c>
      <x:c r="B566" s="66" t="str">
        <x:v>2026-08-01T12:35:19.320000</x:v>
      </x:c>
      <x:c r="C566" s="47" t="n">
        <x:v>300999</x:v>
      </x:c>
      <x:c r="D566" s="47" t="str"/>
      <x:c r="E566" s="47" t="str"/>
      <x:c r="F566" s="47" t="str">
        <x:v>current</x:v>
      </x:c>
      <x:c r="G566" s="47" t="n">
        <x:v>562</x:v>
      </x:c>
      <x:c r="H566" s="53" t="b">
        <x:v>1</x:v>
      </x:c>
      <x:c r="I566" s="47" t="str">
        <x:v>3045069830</x:v>
      </x:c>
      <x:c r="J566" s="47" t="n">
        <x:v>79763150</x:v>
      </x:c>
      <x:c r="K566" s="53" t="b">
        <x:v>1</x:v>
      </x:c>
      <x:c r="L566" s="53" t="b">
        <x:v>1</x:v>
      </x:c>
      <x:c r="M566" s="53" t="b">
        <x:v>1</x:v>
      </x:c>
      <x:c r="N566" s="53" t="b">
        <x:v>1</x:v>
      </x:c>
      <x:c r="O566" s="53" t="b">
        <x:v>1</x:v>
      </x:c>
      <x:c r="P566" s="47" t="n">
        <x:v>1008</x:v>
      </x:c>
      <x:c r="Q566" s="47" t="n">
        <x:v>0</x:v>
      </x:c>
      <x:c r="R566" s="47" t="n">
        <x:v>0</x:v>
      </x:c>
      <x:c r="S566" s="47" t="n">
        <x:v>40.57</x:v>
      </x:c>
      <x:c r="T566" s="47" t="n">
        <x:v>53.47</x:v>
      </x:c>
      <x:c r="U566" s="47" t="n">
        <x:v>34.2</x:v>
      </x:c>
      <x:c r="V566" s="47" t="n">
        <x:v>11.9</x:v>
      </x:c>
      <x:c r="W566" s="47" t="n">
        <x:v>62</x:v>
      </x:c>
      <x:c r="X566" s="47" t="n">
        <x:v>154</x:v>
      </x:c>
      <x:c r="Y566" s="41" t="n">
        <x:v>92</x:v>
      </x:c>
    </x:row>
    <x:row r="567">
      <x:c r="A567" s="38" t="str">
        <x:v>7月30日现场数据</x:v>
      </x:c>
      <x:c r="B567" s="66" t="str">
        <x:v>2026-08-01T12:40:20.297000</x:v>
      </x:c>
      <x:c r="C567" s="47" t="n">
        <x:v>300977</x:v>
      </x:c>
      <x:c r="D567" s="47" t="str"/>
      <x:c r="E567" s="47" t="str"/>
      <x:c r="F567" s="47" t="str">
        <x:v>current</x:v>
      </x:c>
      <x:c r="G567" s="47" t="n">
        <x:v>563</x:v>
      </x:c>
      <x:c r="H567" s="53" t="b">
        <x:v>1</x:v>
      </x:c>
      <x:c r="I567" s="47" t="str">
        <x:v>3045069830</x:v>
      </x:c>
      <x:c r="J567" s="47" t="n">
        <x:v>80064127</x:v>
      </x:c>
      <x:c r="K567" s="53" t="b">
        <x:v>1</x:v>
      </x:c>
      <x:c r="L567" s="53" t="b">
        <x:v>1</x:v>
      </x:c>
      <x:c r="M567" s="53" t="b">
        <x:v>1</x:v>
      </x:c>
      <x:c r="N567" s="53" t="b">
        <x:v>1</x:v>
      </x:c>
      <x:c r="O567" s="53" t="b">
        <x:v>1</x:v>
      </x:c>
      <x:c r="P567" s="47" t="n">
        <x:v>1008</x:v>
      </x:c>
      <x:c r="Q567" s="47" t="n">
        <x:v>0</x:v>
      </x:c>
      <x:c r="R567" s="47" t="n">
        <x:v>0</x:v>
      </x:c>
      <x:c r="S567" s="47" t="n">
        <x:v>40.89</x:v>
      </x:c>
      <x:c r="T567" s="47" t="n">
        <x:v>53.44</x:v>
      </x:c>
      <x:c r="U567" s="47" t="n">
        <x:v>34.2</x:v>
      </x:c>
      <x:c r="V567" s="47" t="n">
        <x:v>11.9</x:v>
      </x:c>
      <x:c r="W567" s="47" t="n">
        <x:v>63</x:v>
      </x:c>
      <x:c r="X567" s="47" t="n">
        <x:v>164</x:v>
      </x:c>
      <x:c r="Y567" s="41" t="n">
        <x:v>101</x:v>
      </x:c>
    </x:row>
    <x:row r="568">
      <x:c r="A568" s="38" t="str">
        <x:v>7月30日现场数据</x:v>
      </x:c>
      <x:c r="B568" s="66" t="str">
        <x:v>2026-08-01T12:45:21.276000</x:v>
      </x:c>
      <x:c r="C568" s="47" t="n">
        <x:v>300979</x:v>
      </x:c>
      <x:c r="D568" s="47" t="str"/>
      <x:c r="E568" s="47" t="str"/>
      <x:c r="F568" s="47" t="str">
        <x:v>current</x:v>
      </x:c>
      <x:c r="G568" s="47" t="n">
        <x:v>564</x:v>
      </x:c>
      <x:c r="H568" s="53" t="b">
        <x:v>1</x:v>
      </x:c>
      <x:c r="I568" s="47" t="str">
        <x:v>3045069830</x:v>
      </x:c>
      <x:c r="J568" s="47" t="n">
        <x:v>80365106</x:v>
      </x:c>
      <x:c r="K568" s="53" t="b">
        <x:v>1</x:v>
      </x:c>
      <x:c r="L568" s="53" t="b">
        <x:v>1</x:v>
      </x:c>
      <x:c r="M568" s="53" t="b">
        <x:v>1</x:v>
      </x:c>
      <x:c r="N568" s="53" t="b">
        <x:v>1</x:v>
      </x:c>
      <x:c r="O568" s="53" t="b">
        <x:v>1</x:v>
      </x:c>
      <x:c r="P568" s="47" t="n">
        <x:v>1008</x:v>
      </x:c>
      <x:c r="Q568" s="47" t="n">
        <x:v>0</x:v>
      </x:c>
      <x:c r="R568" s="47" t="n">
        <x:v>0</x:v>
      </x:c>
      <x:c r="S568" s="47" t="n">
        <x:v>39.8</x:v>
      </x:c>
      <x:c r="T568" s="47" t="n">
        <x:v>53.32</x:v>
      </x:c>
      <x:c r="U568" s="47" t="n">
        <x:v>34.2</x:v>
      </x:c>
      <x:c r="V568" s="47" t="n">
        <x:v>11.9</x:v>
      </x:c>
      <x:c r="W568" s="47" t="n">
        <x:v>43</x:v>
      </x:c>
      <x:c r="X568" s="47" t="n">
        <x:v>138</x:v>
      </x:c>
      <x:c r="Y568" s="41" t="n">
        <x:v>95</x:v>
      </x:c>
    </x:row>
    <x:row r="569">
      <x:c r="A569" s="38" t="str">
        <x:v>7月30日现场数据</x:v>
      </x:c>
      <x:c r="B569" s="66" t="str">
        <x:v>2026-08-01T12:50:22.253000</x:v>
      </x:c>
      <x:c r="C569" s="47" t="n">
        <x:v>300977</x:v>
      </x:c>
      <x:c r="D569" s="47" t="str"/>
      <x:c r="E569" s="47" t="str"/>
      <x:c r="F569" s="47" t="str">
        <x:v>current</x:v>
      </x:c>
      <x:c r="G569" s="47" t="n">
        <x:v>565</x:v>
      </x:c>
      <x:c r="H569" s="53" t="b">
        <x:v>1</x:v>
      </x:c>
      <x:c r="I569" s="47" t="str">
        <x:v>3045069830</x:v>
      </x:c>
      <x:c r="J569" s="47" t="n">
        <x:v>80666083</x:v>
      </x:c>
      <x:c r="K569" s="53" t="b">
        <x:v>1</x:v>
      </x:c>
      <x:c r="L569" s="53" t="b">
        <x:v>1</x:v>
      </x:c>
      <x:c r="M569" s="53" t="b">
        <x:v>1</x:v>
      </x:c>
      <x:c r="N569" s="53" t="b">
        <x:v>1</x:v>
      </x:c>
      <x:c r="O569" s="53" t="b">
        <x:v>1</x:v>
      </x:c>
      <x:c r="P569" s="47" t="n">
        <x:v>1008</x:v>
      </x:c>
      <x:c r="Q569" s="47" t="n">
        <x:v>0.022</x:v>
      </x:c>
      <x:c r="R569" s="47" t="n">
        <x:v>0.593</x:v>
      </x:c>
      <x:c r="S569" s="47" t="n">
        <x:v>39.25</x:v>
      </x:c>
      <x:c r="T569" s="47" t="n">
        <x:v>53.03</x:v>
      </x:c>
      <x:c r="U569" s="47" t="n">
        <x:v>34.1</x:v>
      </x:c>
      <x:c r="V569" s="47" t="n">
        <x:v>11.9</x:v>
      </x:c>
      <x:c r="W569" s="47" t="n">
        <x:v>67</x:v>
      </x:c>
      <x:c r="X569" s="47" t="n">
        <x:v>183</x:v>
      </x:c>
      <x:c r="Y569" s="41" t="n">
        <x:v>116</x:v>
      </x:c>
    </x:row>
    <x:row r="570">
      <x:c r="A570" s="38" t="str">
        <x:v>7月30日现场数据</x:v>
      </x:c>
      <x:c r="B570" s="66" t="str">
        <x:v>2026-08-01T12:55:23.269000</x:v>
      </x:c>
      <x:c r="C570" s="47" t="n">
        <x:v>301016</x:v>
      </x:c>
      <x:c r="D570" s="47" t="str"/>
      <x:c r="E570" s="47" t="str"/>
      <x:c r="F570" s="47" t="str">
        <x:v>current</x:v>
      </x:c>
      <x:c r="G570" s="47" t="n">
        <x:v>566</x:v>
      </x:c>
      <x:c r="H570" s="53" t="b">
        <x:v>1</x:v>
      </x:c>
      <x:c r="I570" s="47" t="str">
        <x:v>3045069830</x:v>
      </x:c>
      <x:c r="J570" s="47" t="n">
        <x:v>80967099</x:v>
      </x:c>
      <x:c r="K570" s="53" t="b">
        <x:v>1</x:v>
      </x:c>
      <x:c r="L570" s="53" t="b">
        <x:v>1</x:v>
      </x:c>
      <x:c r="M570" s="53" t="b">
        <x:v>1</x:v>
      </x:c>
      <x:c r="N570" s="53" t="b">
        <x:v>1</x:v>
      </x:c>
      <x:c r="O570" s="53" t="b">
        <x:v>1</x:v>
      </x:c>
      <x:c r="P570" s="47" t="n">
        <x:v>1007</x:v>
      </x:c>
      <x:c r="Q570" s="47" t="n">
        <x:v>0.053</x:v>
      </x:c>
      <x:c r="R570" s="47" t="n">
        <x:v>1.418</x:v>
      </x:c>
      <x:c r="S570" s="47" t="n">
        <x:v>39.87</x:v>
      </x:c>
      <x:c r="T570" s="47" t="n">
        <x:v>52.85</x:v>
      </x:c>
      <x:c r="U570" s="47" t="n">
        <x:v>34.1</x:v>
      </x:c>
      <x:c r="V570" s="47" t="n">
        <x:v>11.9</x:v>
      </x:c>
      <x:c r="W570" s="47" t="n">
        <x:v>68</x:v>
      </x:c>
      <x:c r="X570" s="47" t="n">
        <x:v>225</x:v>
      </x:c>
      <x:c r="Y570" s="41" t="n">
        <x:v>157</x:v>
      </x:c>
    </x:row>
    <x:row r="571">
      <x:c r="A571" s="38" t="str">
        <x:v>7月30日现场数据</x:v>
      </x:c>
      <x:c r="B571" s="66" t="str">
        <x:v>2026-08-01T13:00:24.227000</x:v>
      </x:c>
      <x:c r="C571" s="47" t="n">
        <x:v>300958</x:v>
      </x:c>
      <x:c r="D571" s="47" t="str"/>
      <x:c r="E571" s="47" t="str"/>
      <x:c r="F571" s="47" t="str">
        <x:v>current</x:v>
      </x:c>
      <x:c r="G571" s="47" t="n">
        <x:v>567</x:v>
      </x:c>
      <x:c r="H571" s="53" t="b">
        <x:v>1</x:v>
      </x:c>
      <x:c r="I571" s="47" t="str">
        <x:v>3045069830</x:v>
      </x:c>
      <x:c r="J571" s="47" t="n">
        <x:v>81268057</x:v>
      </x:c>
      <x:c r="K571" s="53" t="b">
        <x:v>1</x:v>
      </x:c>
      <x:c r="L571" s="53" t="b">
        <x:v>1</x:v>
      </x:c>
      <x:c r="M571" s="53" t="b">
        <x:v>1</x:v>
      </x:c>
      <x:c r="N571" s="53" t="b">
        <x:v>1</x:v>
      </x:c>
      <x:c r="O571" s="53" t="b">
        <x:v>1</x:v>
      </x:c>
      <x:c r="P571" s="47" t="n">
        <x:v>1008</x:v>
      </x:c>
      <x:c r="Q571" s="47" t="n">
        <x:v>0</x:v>
      </x:c>
      <x:c r="R571" s="47" t="n">
        <x:v>0</x:v>
      </x:c>
      <x:c r="S571" s="47" t="n">
        <x:v>39.82</x:v>
      </x:c>
      <x:c r="T571" s="47" t="n">
        <x:v>52.65</x:v>
      </x:c>
      <x:c r="U571" s="47" t="n">
        <x:v>34.1</x:v>
      </x:c>
      <x:c r="V571" s="47" t="n">
        <x:v>11.9</x:v>
      </x:c>
      <x:c r="W571" s="47" t="n">
        <x:v>62</x:v>
      </x:c>
      <x:c r="X571" s="47" t="n">
        <x:v>182</x:v>
      </x:c>
      <x:c r="Y571" s="41" t="n">
        <x:v>120</x:v>
      </x:c>
    </x:row>
    <x:row r="572">
      <x:c r="A572" s="38" t="str">
        <x:v>7月30日现场数据</x:v>
      </x:c>
      <x:c r="B572" s="66" t="str">
        <x:v>2026-08-01T13:05:25.183000</x:v>
      </x:c>
      <x:c r="C572" s="47" t="n">
        <x:v>300956</x:v>
      </x:c>
      <x:c r="D572" s="47" t="str"/>
      <x:c r="E572" s="47" t="str"/>
      <x:c r="F572" s="47" t="str">
        <x:v>current</x:v>
      </x:c>
      <x:c r="G572" s="47" t="n">
        <x:v>568</x:v>
      </x:c>
      <x:c r="H572" s="53" t="b">
        <x:v>1</x:v>
      </x:c>
      <x:c r="I572" s="47" t="str">
        <x:v>3045069830</x:v>
      </x:c>
      <x:c r="J572" s="47" t="n">
        <x:v>81569013</x:v>
      </x:c>
      <x:c r="K572" s="53" t="b">
        <x:v>1</x:v>
      </x:c>
      <x:c r="L572" s="53" t="b">
        <x:v>1</x:v>
      </x:c>
      <x:c r="M572" s="53" t="b">
        <x:v>1</x:v>
      </x:c>
      <x:c r="N572" s="53" t="b">
        <x:v>1</x:v>
      </x:c>
      <x:c r="O572" s="53" t="b">
        <x:v>1</x:v>
      </x:c>
      <x:c r="P572" s="47" t="n">
        <x:v>1008</x:v>
      </x:c>
      <x:c r="Q572" s="47" t="n">
        <x:v>0</x:v>
      </x:c>
      <x:c r="R572" s="47" t="n">
        <x:v>0</x:v>
      </x:c>
      <x:c r="S572" s="47" t="n">
        <x:v>41.42</x:v>
      </x:c>
      <x:c r="T572" s="47" t="n">
        <x:v>52.89</x:v>
      </x:c>
      <x:c r="U572" s="47" t="n">
        <x:v>34.1</x:v>
      </x:c>
      <x:c r="V572" s="47" t="n">
        <x:v>11.9</x:v>
      </x:c>
      <x:c r="W572" s="47" t="n">
        <x:v>65</x:v>
      </x:c>
      <x:c r="X572" s="47" t="n">
        <x:v>327</x:v>
      </x:c>
      <x:c r="Y572" s="41" t="n">
        <x:v>262</x:v>
      </x:c>
    </x:row>
    <x:row r="573">
      <x:c r="A573" s="38" t="str">
        <x:v>7月30日现场数据</x:v>
      </x:c>
      <x:c r="B573" s="66" t="str">
        <x:v>2026-08-01T13:10:26.142000</x:v>
      </x:c>
      <x:c r="C573" s="47" t="n">
        <x:v>300959</x:v>
      </x:c>
      <x:c r="D573" s="47" t="str"/>
      <x:c r="E573" s="47" t="str"/>
      <x:c r="F573" s="47" t="str">
        <x:v>current</x:v>
      </x:c>
      <x:c r="G573" s="47" t="n">
        <x:v>569</x:v>
      </x:c>
      <x:c r="H573" s="53" t="b">
        <x:v>1</x:v>
      </x:c>
      <x:c r="I573" s="47" t="str">
        <x:v>3045069830</x:v>
      </x:c>
      <x:c r="J573" s="47" t="n">
        <x:v>81869972</x:v>
      </x:c>
      <x:c r="K573" s="53" t="b">
        <x:v>1</x:v>
      </x:c>
      <x:c r="L573" s="53" t="b">
        <x:v>1</x:v>
      </x:c>
      <x:c r="M573" s="53" t="b">
        <x:v>1</x:v>
      </x:c>
      <x:c r="N573" s="53" t="b">
        <x:v>1</x:v>
      </x:c>
      <x:c r="O573" s="53" t="b">
        <x:v>1</x:v>
      </x:c>
      <x:c r="P573" s="47" t="n">
        <x:v>1008</x:v>
      </x:c>
      <x:c r="Q573" s="47" t="n">
        <x:v>0</x:v>
      </x:c>
      <x:c r="R573" s="47" t="n">
        <x:v>0</x:v>
      </x:c>
      <x:c r="S573" s="47" t="n">
        <x:v>41.79</x:v>
      </x:c>
      <x:c r="T573" s="47" t="n">
        <x:v>53.1</x:v>
      </x:c>
      <x:c r="U573" s="47" t="n">
        <x:v>34.2</x:v>
      </x:c>
      <x:c r="V573" s="47" t="n">
        <x:v>11.9</x:v>
      </x:c>
      <x:c r="W573" s="47" t="n">
        <x:v>67</x:v>
      </x:c>
      <x:c r="X573" s="47" t="n">
        <x:v>222</x:v>
      </x:c>
      <x:c r="Y573" s="41" t="n">
        <x:v>155</x:v>
      </x:c>
    </x:row>
    <x:row r="574">
      <x:c r="A574" s="38" t="str">
        <x:v>7月30日现场数据</x:v>
      </x:c>
      <x:c r="B574" s="66" t="str">
        <x:v>2026-08-01T13:15:27.106000</x:v>
      </x:c>
      <x:c r="C574" s="47" t="n">
        <x:v>300964</x:v>
      </x:c>
      <x:c r="D574" s="47" t="str"/>
      <x:c r="E574" s="47" t="str"/>
      <x:c r="F574" s="47" t="str">
        <x:v>current</x:v>
      </x:c>
      <x:c r="G574" s="47" t="n">
        <x:v>570</x:v>
      </x:c>
      <x:c r="H574" s="53" t="b">
        <x:v>1</x:v>
      </x:c>
      <x:c r="I574" s="47" t="str">
        <x:v>3045069830</x:v>
      </x:c>
      <x:c r="J574" s="47" t="n">
        <x:v>82170936</x:v>
      </x:c>
      <x:c r="K574" s="53" t="b">
        <x:v>1</x:v>
      </x:c>
      <x:c r="L574" s="53" t="b">
        <x:v>1</x:v>
      </x:c>
      <x:c r="M574" s="53" t="b">
        <x:v>1</x:v>
      </x:c>
      <x:c r="N574" s="53" t="b">
        <x:v>1</x:v>
      </x:c>
      <x:c r="O574" s="53" t="b">
        <x:v>1</x:v>
      </x:c>
      <x:c r="P574" s="47" t="n">
        <x:v>1008</x:v>
      </x:c>
      <x:c r="Q574" s="47" t="n">
        <x:v>0</x:v>
      </x:c>
      <x:c r="R574" s="47" t="n">
        <x:v>0</x:v>
      </x:c>
      <x:c r="S574" s="47" t="n">
        <x:v>42.04</x:v>
      </x:c>
      <x:c r="T574" s="47" t="n">
        <x:v>53.12</x:v>
      </x:c>
      <x:c r="U574" s="47" t="n">
        <x:v>34.2</x:v>
      </x:c>
      <x:c r="V574" s="47" t="n">
        <x:v>11.9</x:v>
      </x:c>
      <x:c r="W574" s="47" t="n">
        <x:v>63</x:v>
      </x:c>
      <x:c r="X574" s="47" t="n">
        <x:v>238</x:v>
      </x:c>
      <x:c r="Y574" s="41" t="n">
        <x:v>175</x:v>
      </x:c>
    </x:row>
    <x:row r="575">
      <x:c r="A575" s="38" t="str">
        <x:v>7月30日现场数据</x:v>
      </x:c>
      <x:c r="B575" s="66" t="str">
        <x:v>2026-08-01T13:20:28.070000</x:v>
      </x:c>
      <x:c r="C575" s="47" t="n">
        <x:v>300964</x:v>
      </x:c>
      <x:c r="D575" s="47" t="str"/>
      <x:c r="E575" s="47" t="str"/>
      <x:c r="F575" s="47" t="str">
        <x:v>current</x:v>
      </x:c>
      <x:c r="G575" s="47" t="n">
        <x:v>571</x:v>
      </x:c>
      <x:c r="H575" s="53" t="b">
        <x:v>1</x:v>
      </x:c>
      <x:c r="I575" s="47" t="str">
        <x:v>3045069830</x:v>
      </x:c>
      <x:c r="J575" s="47" t="n">
        <x:v>82471900</x:v>
      </x:c>
      <x:c r="K575" s="53" t="b">
        <x:v>1</x:v>
      </x:c>
      <x:c r="L575" s="53" t="b">
        <x:v>1</x:v>
      </x:c>
      <x:c r="M575" s="53" t="b">
        <x:v>1</x:v>
      </x:c>
      <x:c r="N575" s="53" t="b">
        <x:v>1</x:v>
      </x:c>
      <x:c r="O575" s="53" t="b">
        <x:v>1</x:v>
      </x:c>
      <x:c r="P575" s="47" t="n">
        <x:v>1007</x:v>
      </x:c>
      <x:c r="Q575" s="47" t="n">
        <x:v>0</x:v>
      </x:c>
      <x:c r="R575" s="47" t="n">
        <x:v>0</x:v>
      </x:c>
      <x:c r="S575" s="47" t="n">
        <x:v>41.27</x:v>
      </x:c>
      <x:c r="T575" s="47" t="n">
        <x:v>52.73</x:v>
      </x:c>
      <x:c r="U575" s="47" t="n">
        <x:v>34.2</x:v>
      </x:c>
      <x:c r="V575" s="47" t="n">
        <x:v>11.9</x:v>
      </x:c>
      <x:c r="W575" s="47" t="n">
        <x:v>52</x:v>
      </x:c>
      <x:c r="X575" s="47" t="n">
        <x:v>303</x:v>
      </x:c>
      <x:c r="Y575" s="41" t="n">
        <x:v>251</x:v>
      </x:c>
    </x:row>
    <x:row r="576">
      <x:c r="A576" s="38" t="str">
        <x:v>7月30日现场数据</x:v>
      </x:c>
      <x:c r="B576" s="66" t="str">
        <x:v>2026-08-01T13:25:29.035000</x:v>
      </x:c>
      <x:c r="C576" s="47" t="n">
        <x:v>300965</x:v>
      </x:c>
      <x:c r="D576" s="47" t="str"/>
      <x:c r="E576" s="47" t="str"/>
      <x:c r="F576" s="47" t="str">
        <x:v>current</x:v>
      </x:c>
      <x:c r="G576" s="47" t="n">
        <x:v>572</x:v>
      </x:c>
      <x:c r="H576" s="53" t="b">
        <x:v>1</x:v>
      </x:c>
      <x:c r="I576" s="47" t="str">
        <x:v>3045069830</x:v>
      </x:c>
      <x:c r="J576" s="47" t="n">
        <x:v>82772865</x:v>
      </x:c>
      <x:c r="K576" s="53" t="b">
        <x:v>1</x:v>
      </x:c>
      <x:c r="L576" s="53" t="b">
        <x:v>1</x:v>
      </x:c>
      <x:c r="M576" s="53" t="b">
        <x:v>1</x:v>
      </x:c>
      <x:c r="N576" s="53" t="b">
        <x:v>1</x:v>
      </x:c>
      <x:c r="O576" s="53" t="b">
        <x:v>1</x:v>
      </x:c>
      <x:c r="P576" s="47" t="n">
        <x:v>1007</x:v>
      </x:c>
      <x:c r="Q576" s="47" t="n">
        <x:v>0.023</x:v>
      </x:c>
      <x:c r="R576" s="47" t="n">
        <x:v>0.626</x:v>
      </x:c>
      <x:c r="S576" s="47" t="n">
        <x:v>40</x:v>
      </x:c>
      <x:c r="T576" s="47" t="n">
        <x:v>52.5</x:v>
      </x:c>
      <x:c r="U576" s="47" t="n">
        <x:v>34.2</x:v>
      </x:c>
      <x:c r="V576" s="47" t="n">
        <x:v>11.9</x:v>
      </x:c>
      <x:c r="W576" s="47" t="n">
        <x:v>63</x:v>
      </x:c>
      <x:c r="X576" s="47" t="n">
        <x:v>208</x:v>
      </x:c>
      <x:c r="Y576" s="41" t="n">
        <x:v>145</x:v>
      </x:c>
    </x:row>
    <x:row r="577">
      <x:c r="A577" s="38" t="str">
        <x:v>7月30日现场数据</x:v>
      </x:c>
      <x:c r="B577" s="66" t="str">
        <x:v>2026-08-01T13:30:30.001000</x:v>
      </x:c>
      <x:c r="C577" s="47" t="n">
        <x:v>300966</x:v>
      </x:c>
      <x:c r="D577" s="47" t="str"/>
      <x:c r="E577" s="47" t="str"/>
      <x:c r="F577" s="47" t="str">
        <x:v>current</x:v>
      </x:c>
      <x:c r="G577" s="47" t="n">
        <x:v>573</x:v>
      </x:c>
      <x:c r="H577" s="53" t="b">
        <x:v>1</x:v>
      </x:c>
      <x:c r="I577" s="47" t="str">
        <x:v>3045069830</x:v>
      </x:c>
      <x:c r="J577" s="47" t="n">
        <x:v>83073831</x:v>
      </x:c>
      <x:c r="K577" s="53" t="b">
        <x:v>1</x:v>
      </x:c>
      <x:c r="L577" s="53" t="b">
        <x:v>1</x:v>
      </x:c>
      <x:c r="M577" s="53" t="b">
        <x:v>1</x:v>
      </x:c>
      <x:c r="N577" s="53" t="b">
        <x:v>1</x:v>
      </x:c>
      <x:c r="O577" s="53" t="b">
        <x:v>1</x:v>
      </x:c>
      <x:c r="P577" s="47" t="n">
        <x:v>1007</x:v>
      </x:c>
      <x:c r="Q577" s="47" t="n">
        <x:v>0</x:v>
      </x:c>
      <x:c r="R577" s="47" t="n">
        <x:v>0</x:v>
      </x:c>
      <x:c r="S577" s="47" t="n">
        <x:v>39.68</x:v>
      </x:c>
      <x:c r="T577" s="47" t="n">
        <x:v>52.14</x:v>
      </x:c>
      <x:c r="U577" s="47" t="n">
        <x:v>34.2</x:v>
      </x:c>
      <x:c r="V577" s="47" t="n">
        <x:v>11.9</x:v>
      </x:c>
      <x:c r="W577" s="47" t="n">
        <x:v>18</x:v>
      </x:c>
      <x:c r="X577" s="47" t="n">
        <x:v>69</x:v>
      </x:c>
      <x:c r="Y577" s="41" t="n">
        <x:v>51</x:v>
      </x:c>
    </x:row>
    <x:row r="578">
      <x:c r="A578" s="38" t="str">
        <x:v>7月30日现场数据</x:v>
      </x:c>
      <x:c r="B578" s="66" t="str">
        <x:v>2026-08-01T13:35:30.971000</x:v>
      </x:c>
      <x:c r="C578" s="47" t="n">
        <x:v>300970</x:v>
      </x:c>
      <x:c r="D578" s="47" t="str"/>
      <x:c r="E578" s="47" t="str"/>
      <x:c r="F578" s="47" t="str">
        <x:v>current</x:v>
      </x:c>
      <x:c r="G578" s="47" t="n">
        <x:v>574</x:v>
      </x:c>
      <x:c r="H578" s="53" t="b">
        <x:v>1</x:v>
      </x:c>
      <x:c r="I578" s="47" t="str">
        <x:v>3045069830</x:v>
      </x:c>
      <x:c r="J578" s="47" t="n">
        <x:v>83374801</x:v>
      </x:c>
      <x:c r="K578" s="53" t="b">
        <x:v>1</x:v>
      </x:c>
      <x:c r="L578" s="53" t="b">
        <x:v>1</x:v>
      </x:c>
      <x:c r="M578" s="53" t="b">
        <x:v>1</x:v>
      </x:c>
      <x:c r="N578" s="53" t="b">
        <x:v>1</x:v>
      </x:c>
      <x:c r="O578" s="53" t="b">
        <x:v>1</x:v>
      </x:c>
      <x:c r="P578" s="47" t="n">
        <x:v>1007</x:v>
      </x:c>
      <x:c r="Q578" s="47" t="n">
        <x:v>0</x:v>
      </x:c>
      <x:c r="R578" s="47" t="n">
        <x:v>0</x:v>
      </x:c>
      <x:c r="S578" s="47" t="n">
        <x:v>38.3</x:v>
      </x:c>
      <x:c r="T578" s="47" t="n">
        <x:v>51.72</x:v>
      </x:c>
      <x:c r="U578" s="47" t="n">
        <x:v>34.2</x:v>
      </x:c>
      <x:c r="V578" s="47" t="n">
        <x:v>11.9</x:v>
      </x:c>
      <x:c r="W578" s="47" t="n">
        <x:v>9</x:v>
      </x:c>
      <x:c r="X578" s="47" t="n">
        <x:v>36</x:v>
      </x:c>
      <x:c r="Y578" s="41" t="n">
        <x:v>27</x:v>
      </x:c>
    </x:row>
    <x:row r="579">
      <x:c r="A579" s="38" t="str">
        <x:v>7月30日现场数据</x:v>
      </x:c>
      <x:c r="B579" s="66" t="str">
        <x:v>2026-08-01T13:40:31.943000</x:v>
      </x:c>
      <x:c r="C579" s="47" t="n">
        <x:v>300972</x:v>
      </x:c>
      <x:c r="D579" s="47" t="str"/>
      <x:c r="E579" s="47" t="str"/>
      <x:c r="F579" s="47" t="str">
        <x:v>current</x:v>
      </x:c>
      <x:c r="G579" s="47" t="n">
        <x:v>575</x:v>
      </x:c>
      <x:c r="H579" s="53" t="b">
        <x:v>1</x:v>
      </x:c>
      <x:c r="I579" s="47" t="str">
        <x:v>3045069830</x:v>
      </x:c>
      <x:c r="J579" s="47" t="n">
        <x:v>83675773</x:v>
      </x:c>
      <x:c r="K579" s="53" t="b">
        <x:v>1</x:v>
      </x:c>
      <x:c r="L579" s="53" t="b">
        <x:v>1</x:v>
      </x:c>
      <x:c r="M579" s="53" t="b">
        <x:v>1</x:v>
      </x:c>
      <x:c r="N579" s="53" t="b">
        <x:v>1</x:v>
      </x:c>
      <x:c r="O579" s="53" t="b">
        <x:v>1</x:v>
      </x:c>
      <x:c r="P579" s="47" t="n">
        <x:v>1007</x:v>
      </x:c>
      <x:c r="Q579" s="47" t="n">
        <x:v>0</x:v>
      </x:c>
      <x:c r="R579" s="47" t="n">
        <x:v>0</x:v>
      </x:c>
      <x:c r="S579" s="47" t="n">
        <x:v>37.82</x:v>
      </x:c>
      <x:c r="T579" s="47" t="n">
        <x:v>51.49</x:v>
      </x:c>
      <x:c r="U579" s="47" t="n">
        <x:v>34.2</x:v>
      </x:c>
      <x:c r="V579" s="47" t="n">
        <x:v>11.8</x:v>
      </x:c>
      <x:c r="W579" s="47" t="n">
        <x:v>6</x:v>
      </x:c>
      <x:c r="X579" s="47" t="n">
        <x:v>22</x:v>
      </x:c>
      <x:c r="Y579" s="41" t="n">
        <x:v>16</x:v>
      </x:c>
    </x:row>
    <x:row r="580">
      <x:c r="A580" s="38" t="str">
        <x:v>7月30日现场数据</x:v>
      </x:c>
      <x:c r="B580" s="66" t="str">
        <x:v>2026-08-01T13:45:32.915000</x:v>
      </x:c>
      <x:c r="C580" s="47" t="n">
        <x:v>300972</x:v>
      </x:c>
      <x:c r="D580" s="47" t="str"/>
      <x:c r="E580" s="47" t="str"/>
      <x:c r="F580" s="47" t="str">
        <x:v>current</x:v>
      </x:c>
      <x:c r="G580" s="47" t="n">
        <x:v>576</x:v>
      </x:c>
      <x:c r="H580" s="53" t="b">
        <x:v>1</x:v>
      </x:c>
      <x:c r="I580" s="47" t="str">
        <x:v>3045069830</x:v>
      </x:c>
      <x:c r="J580" s="47" t="n">
        <x:v>83976745</x:v>
      </x:c>
      <x:c r="K580" s="53" t="b">
        <x:v>1</x:v>
      </x:c>
      <x:c r="L580" s="53" t="b">
        <x:v>1</x:v>
      </x:c>
      <x:c r="M580" s="53" t="b">
        <x:v>1</x:v>
      </x:c>
      <x:c r="N580" s="53" t="b">
        <x:v>1</x:v>
      </x:c>
      <x:c r="O580" s="53" t="b">
        <x:v>1</x:v>
      </x:c>
      <x:c r="P580" s="47" t="n">
        <x:v>1007</x:v>
      </x:c>
      <x:c r="Q580" s="47" t="n">
        <x:v>0</x:v>
      </x:c>
      <x:c r="R580" s="47" t="n">
        <x:v>0</x:v>
      </x:c>
      <x:c r="S580" s="47" t="n">
        <x:v>37.25</x:v>
      </x:c>
      <x:c r="T580" s="47" t="n">
        <x:v>51.24</x:v>
      </x:c>
      <x:c r="U580" s="47" t="n">
        <x:v>34.1</x:v>
      </x:c>
      <x:c r="V580" s="47" t="n">
        <x:v>11.8</x:v>
      </x:c>
      <x:c r="W580" s="47" t="n">
        <x:v>3</x:v>
      </x:c>
      <x:c r="X580" s="47" t="n">
        <x:v>13</x:v>
      </x:c>
      <x:c r="Y580" s="41" t="n">
        <x:v>10</x:v>
      </x:c>
    </x:row>
    <x:row r="581">
      <x:c r="A581" s="38" t="str">
        <x:v>7月30日现场数据</x:v>
      </x:c>
      <x:c r="B581" s="66" t="str">
        <x:v>2026-08-01T13:50:33.887000</x:v>
      </x:c>
      <x:c r="C581" s="47" t="n">
        <x:v>300972</x:v>
      </x:c>
      <x:c r="D581" s="47" t="str"/>
      <x:c r="E581" s="47" t="str"/>
      <x:c r="F581" s="47" t="str">
        <x:v>current</x:v>
      </x:c>
      <x:c r="G581" s="47" t="n">
        <x:v>577</x:v>
      </x:c>
      <x:c r="H581" s="53" t="b">
        <x:v>1</x:v>
      </x:c>
      <x:c r="I581" s="47" t="str">
        <x:v>3045069830</x:v>
      </x:c>
      <x:c r="J581" s="47" t="n">
        <x:v>84277717</x:v>
      </x:c>
      <x:c r="K581" s="53" t="b">
        <x:v>1</x:v>
      </x:c>
      <x:c r="L581" s="53" t="b">
        <x:v>1</x:v>
      </x:c>
      <x:c r="M581" s="53" t="b">
        <x:v>1</x:v>
      </x:c>
      <x:c r="N581" s="53" t="b">
        <x:v>1</x:v>
      </x:c>
      <x:c r="O581" s="53" t="b">
        <x:v>1</x:v>
      </x:c>
      <x:c r="P581" s="47" t="n">
        <x:v>1007</x:v>
      </x:c>
      <x:c r="Q581" s="47" t="n">
        <x:v>0</x:v>
      </x:c>
      <x:c r="R581" s="47" t="n">
        <x:v>0</x:v>
      </x:c>
      <x:c r="S581" s="47" t="n">
        <x:v>36.41</x:v>
      </x:c>
      <x:c r="T581" s="47" t="n">
        <x:v>51.06</x:v>
      </x:c>
      <x:c r="U581" s="47" t="n">
        <x:v>34.1</x:v>
      </x:c>
      <x:c r="V581" s="47" t="n">
        <x:v>11.8</x:v>
      </x:c>
      <x:c r="W581" s="47" t="n">
        <x:v>3</x:v>
      </x:c>
      <x:c r="X581" s="47" t="n">
        <x:v>10</x:v>
      </x:c>
      <x:c r="Y581" s="41" t="n">
        <x:v>7</x:v>
      </x:c>
    </x:row>
    <x:row r="582">
      <x:c r="A582" s="38" t="str">
        <x:v>7月30日现场数据</x:v>
      </x:c>
      <x:c r="B582" s="66" t="str">
        <x:v>2026-08-01T13:55:34.864000</x:v>
      </x:c>
      <x:c r="C582" s="47" t="n">
        <x:v>300977</x:v>
      </x:c>
      <x:c r="D582" s="47" t="str"/>
      <x:c r="E582" s="47" t="str"/>
      <x:c r="F582" s="47" t="str">
        <x:v>current</x:v>
      </x:c>
      <x:c r="G582" s="47" t="n">
        <x:v>578</x:v>
      </x:c>
      <x:c r="H582" s="53" t="b">
        <x:v>1</x:v>
      </x:c>
      <x:c r="I582" s="47" t="str">
        <x:v>3045069830</x:v>
      </x:c>
      <x:c r="J582" s="47" t="n">
        <x:v>84578694</x:v>
      </x:c>
      <x:c r="K582" s="53" t="b">
        <x:v>1</x:v>
      </x:c>
      <x:c r="L582" s="53" t="b">
        <x:v>1</x:v>
      </x:c>
      <x:c r="M582" s="53" t="b">
        <x:v>1</x:v>
      </x:c>
      <x:c r="N582" s="53" t="b">
        <x:v>1</x:v>
      </x:c>
      <x:c r="O582" s="53" t="b">
        <x:v>1</x:v>
      </x:c>
      <x:c r="P582" s="47" t="n">
        <x:v>1006</x:v>
      </x:c>
      <x:c r="Q582" s="47" t="n">
        <x:v>0.088</x:v>
      </x:c>
      <x:c r="R582" s="47" t="n">
        <x:v>2.374</x:v>
      </x:c>
      <x:c r="S582" s="47" t="n">
        <x:v>32.38</x:v>
      </x:c>
      <x:c r="T582" s="47" t="n">
        <x:v>50.1</x:v>
      </x:c>
      <x:c r="U582" s="47" t="n">
        <x:v>33.9</x:v>
      </x:c>
      <x:c r="V582" s="47" t="n">
        <x:v>11.2</x:v>
      </x:c>
      <x:c r="W582" s="47" t="n">
        <x:v>2</x:v>
      </x:c>
      <x:c r="X582" s="47" t="n">
        <x:v>10</x:v>
      </x:c>
      <x:c r="Y582" s="41" t="n">
        <x:v>8</x:v>
      </x:c>
    </x:row>
    <x:row r="583">
      <x:c r="A583" s="38" t="str">
        <x:v>7月30日现场数据</x:v>
      </x:c>
      <x:c r="B583" s="66" t="str">
        <x:v>2026-08-01T14:00:35.844000</x:v>
      </x:c>
      <x:c r="C583" s="47" t="n">
        <x:v>300980</x:v>
      </x:c>
      <x:c r="D583" s="47" t="str"/>
      <x:c r="E583" s="47" t="str"/>
      <x:c r="F583" s="47" t="str">
        <x:v>current</x:v>
      </x:c>
      <x:c r="G583" s="47" t="n">
        <x:v>579</x:v>
      </x:c>
      <x:c r="H583" s="53" t="b">
        <x:v>1</x:v>
      </x:c>
      <x:c r="I583" s="47" t="str">
        <x:v>3045069830</x:v>
      </x:c>
      <x:c r="J583" s="47" t="n">
        <x:v>84879674</x:v>
      </x:c>
      <x:c r="K583" s="53" t="b">
        <x:v>1</x:v>
      </x:c>
      <x:c r="L583" s="53" t="b">
        <x:v>1</x:v>
      </x:c>
      <x:c r="M583" s="53" t="b">
        <x:v>1</x:v>
      </x:c>
      <x:c r="N583" s="53" t="b">
        <x:v>1</x:v>
      </x:c>
      <x:c r="O583" s="53" t="b">
        <x:v>1</x:v>
      </x:c>
      <x:c r="P583" s="47" t="n">
        <x:v>1007</x:v>
      </x:c>
      <x:c r="Q583" s="47" t="n">
        <x:v>0</x:v>
      </x:c>
      <x:c r="R583" s="47" t="n">
        <x:v>0</x:v>
      </x:c>
      <x:c r="S583" s="47" t="n">
        <x:v>29.1</x:v>
      </x:c>
      <x:c r="T583" s="47" t="n">
        <x:v>48.77</x:v>
      </x:c>
      <x:c r="U583" s="47" t="n">
        <x:v>33.5</x:v>
      </x:c>
      <x:c r="V583" s="47" t="n">
        <x:v>13</x:v>
      </x:c>
      <x:c r="W583" s="47" t="n">
        <x:v>2</x:v>
      </x:c>
      <x:c r="X583" s="47" t="n">
        <x:v>9</x:v>
      </x:c>
      <x:c r="Y583" s="41" t="n">
        <x:v>7</x:v>
      </x:c>
    </x:row>
    <x:row r="584">
      <x:c r="A584" s="38" t="str">
        <x:v>7月30日现场数据</x:v>
      </x:c>
      <x:c r="B584" s="66" t="str">
        <x:v>2026-08-01T14:05:36.821000</x:v>
      </x:c>
      <x:c r="C584" s="47" t="n">
        <x:v>300977</x:v>
      </x:c>
      <x:c r="D584" s="47" t="str"/>
      <x:c r="E584" s="47" t="str"/>
      <x:c r="F584" s="47" t="str">
        <x:v>current</x:v>
      </x:c>
      <x:c r="G584" s="47" t="n">
        <x:v>580</x:v>
      </x:c>
      <x:c r="H584" s="53" t="b">
        <x:v>1</x:v>
      </x:c>
      <x:c r="I584" s="47" t="str">
        <x:v>3045069830</x:v>
      </x:c>
      <x:c r="J584" s="47" t="n">
        <x:v>85180651</x:v>
      </x:c>
      <x:c r="K584" s="53" t="b">
        <x:v>1</x:v>
      </x:c>
      <x:c r="L584" s="53" t="b">
        <x:v>1</x:v>
      </x:c>
      <x:c r="M584" s="53" t="b">
        <x:v>1</x:v>
      </x:c>
      <x:c r="N584" s="53" t="b">
        <x:v>1</x:v>
      </x:c>
      <x:c r="O584" s="53" t="b">
        <x:v>1</x:v>
      </x:c>
      <x:c r="P584" s="47" t="n">
        <x:v>1007</x:v>
      </x:c>
      <x:c r="Q584" s="47" t="n">
        <x:v>0</x:v>
      </x:c>
      <x:c r="R584" s="47" t="n">
        <x:v>0</x:v>
      </x:c>
      <x:c r="S584" s="47" t="n">
        <x:v>28.05</x:v>
      </x:c>
      <x:c r="T584" s="47" t="n">
        <x:v>48.24</x:v>
      </x:c>
      <x:c r="U584" s="47" t="n">
        <x:v>32</x:v>
      </x:c>
      <x:c r="V584" s="47" t="n">
        <x:v>19.3</x:v>
      </x:c>
      <x:c r="W584" s="47" t="n">
        <x:v>2</x:v>
      </x:c>
      <x:c r="X584" s="47" t="n">
        <x:v>10</x:v>
      </x:c>
      <x:c r="Y584" s="41" t="n">
        <x:v>8</x:v>
      </x:c>
    </x:row>
    <x:row r="585">
      <x:c r="A585" s="38" t="str">
        <x:v>7月30日现场数据</x:v>
      </x:c>
      <x:c r="B585" s="66" t="str">
        <x:v>2026-08-01T14:10:37.801000</x:v>
      </x:c>
      <x:c r="C585" s="47" t="n">
        <x:v>300980</x:v>
      </x:c>
      <x:c r="D585" s="47" t="str"/>
      <x:c r="E585" s="47" t="str"/>
      <x:c r="F585" s="47" t="str">
        <x:v>current</x:v>
      </x:c>
      <x:c r="G585" s="47" t="n">
        <x:v>581</x:v>
      </x:c>
      <x:c r="H585" s="53" t="b">
        <x:v>1</x:v>
      </x:c>
      <x:c r="I585" s="47" t="str">
        <x:v>3045069830</x:v>
      </x:c>
      <x:c r="J585" s="47" t="n">
        <x:v>85481631</x:v>
      </x:c>
      <x:c r="K585" s="53" t="b">
        <x:v>1</x:v>
      </x:c>
      <x:c r="L585" s="53" t="b">
        <x:v>1</x:v>
      </x:c>
      <x:c r="M585" s="53" t="b">
        <x:v>1</x:v>
      </x:c>
      <x:c r="N585" s="53" t="b">
        <x:v>1</x:v>
      </x:c>
      <x:c r="O585" s="53" t="b">
        <x:v>1</x:v>
      </x:c>
      <x:c r="P585" s="47" t="n">
        <x:v>1007</x:v>
      </x:c>
      <x:c r="Q585" s="47" t="n">
        <x:v>0.147</x:v>
      </x:c>
      <x:c r="R585" s="47" t="n">
        <x:v>3.956</x:v>
      </x:c>
      <x:c r="S585" s="47" t="n">
        <x:v>28.07</x:v>
      </x:c>
      <x:c r="T585" s="47" t="n">
        <x:v>48.28</x:v>
      </x:c>
      <x:c r="U585" s="47" t="n">
        <x:v>31.1</x:v>
      </x:c>
      <x:c r="V585" s="47" t="n">
        <x:v>24.4</x:v>
      </x:c>
      <x:c r="W585" s="47" t="n">
        <x:v>3</x:v>
      </x:c>
      <x:c r="X585" s="47" t="n">
        <x:v>15</x:v>
      </x:c>
      <x:c r="Y585" s="41" t="n">
        <x:v>12</x:v>
      </x:c>
    </x:row>
    <x:row r="586">
      <x:c r="A586" s="38" t="str">
        <x:v>7月30日现场数据</x:v>
      </x:c>
      <x:c r="B586" s="66" t="str">
        <x:v>2026-08-01T14:15:38.820000</x:v>
      </x:c>
      <x:c r="C586" s="47" t="n">
        <x:v>301019</x:v>
      </x:c>
      <x:c r="D586" s="47" t="str"/>
      <x:c r="E586" s="47" t="str"/>
      <x:c r="F586" s="47" t="str">
        <x:v>current</x:v>
      </x:c>
      <x:c r="G586" s="47" t="n">
        <x:v>582</x:v>
      </x:c>
      <x:c r="H586" s="53" t="b">
        <x:v>1</x:v>
      </x:c>
      <x:c r="I586" s="47" t="str">
        <x:v>3045069830</x:v>
      </x:c>
      <x:c r="J586" s="47" t="n">
        <x:v>85782650</x:v>
      </x:c>
      <x:c r="K586" s="53" t="b">
        <x:v>1</x:v>
      </x:c>
      <x:c r="L586" s="53" t="b">
        <x:v>1</x:v>
      </x:c>
      <x:c r="M586" s="53" t="b">
        <x:v>1</x:v>
      </x:c>
      <x:c r="N586" s="53" t="b">
        <x:v>1</x:v>
      </x:c>
      <x:c r="O586" s="53" t="b">
        <x:v>1</x:v>
      </x:c>
      <x:c r="P586" s="47" t="n">
        <x:v>1007</x:v>
      </x:c>
      <x:c r="Q586" s="47" t="n">
        <x:v>0</x:v>
      </x:c>
      <x:c r="R586" s="47" t="n">
        <x:v>0</x:v>
      </x:c>
      <x:c r="S586" s="47" t="n">
        <x:v>27.95</x:v>
      </x:c>
      <x:c r="T586" s="47" t="n">
        <x:v>48.31</x:v>
      </x:c>
      <x:c r="U586" s="47" t="n">
        <x:v>31.4</x:v>
      </x:c>
      <x:c r="V586" s="47" t="n">
        <x:v>22.7</x:v>
      </x:c>
      <x:c r="W586" s="47" t="n">
        <x:v>2</x:v>
      </x:c>
      <x:c r="X586" s="47" t="n">
        <x:v>13</x:v>
      </x:c>
      <x:c r="Y586" s="41" t="n">
        <x:v>11</x:v>
      </x:c>
    </x:row>
    <x:row r="587">
      <x:c r="A587" s="38" t="str">
        <x:v>7月30日现场数据</x:v>
      </x:c>
      <x:c r="B587" s="66" t="str">
        <x:v>2026-08-01T14:20:39.777000</x:v>
      </x:c>
      <x:c r="C587" s="47" t="n">
        <x:v>300957</x:v>
      </x:c>
      <x:c r="D587" s="47" t="str"/>
      <x:c r="E587" s="47" t="str"/>
      <x:c r="F587" s="47" t="str">
        <x:v>current</x:v>
      </x:c>
      <x:c r="G587" s="47" t="n">
        <x:v>583</x:v>
      </x:c>
      <x:c r="H587" s="53" t="b">
        <x:v>1</x:v>
      </x:c>
      <x:c r="I587" s="47" t="str">
        <x:v>3045069830</x:v>
      </x:c>
      <x:c r="J587" s="47" t="n">
        <x:v>86083607</x:v>
      </x:c>
      <x:c r="K587" s="53" t="b">
        <x:v>1</x:v>
      </x:c>
      <x:c r="L587" s="53" t="b">
        <x:v>1</x:v>
      </x:c>
      <x:c r="M587" s="53" t="b">
        <x:v>1</x:v>
      </x:c>
      <x:c r="N587" s="53" t="b">
        <x:v>1</x:v>
      </x:c>
      <x:c r="O587" s="53" t="b">
        <x:v>1</x:v>
      </x:c>
      <x:c r="P587" s="47" t="n">
        <x:v>1007</x:v>
      </x:c>
      <x:c r="Q587" s="47" t="n">
        <x:v>0</x:v>
      </x:c>
      <x:c r="R587" s="47" t="n">
        <x:v>0</x:v>
      </x:c>
      <x:c r="S587" s="47" t="n">
        <x:v>28.24</x:v>
      </x:c>
      <x:c r="T587" s="47" t="n">
        <x:v>48.58</x:v>
      </x:c>
      <x:c r="U587" s="47" t="n">
        <x:v>31.5</x:v>
      </x:c>
      <x:c r="V587" s="47" t="n">
        <x:v>21.6</x:v>
      </x:c>
      <x:c r="W587" s="47" t="n">
        <x:v>2</x:v>
      </x:c>
      <x:c r="X587" s="47" t="n">
        <x:v>11</x:v>
      </x:c>
      <x:c r="Y587" s="41" t="n">
        <x:v>9</x:v>
      </x:c>
    </x:row>
    <x:row r="588">
      <x:c r="A588" s="38" t="str">
        <x:v>7月30日现场数据</x:v>
      </x:c>
      <x:c r="B588" s="66" t="str">
        <x:v>2026-08-01T14:25:40.735000</x:v>
      </x:c>
      <x:c r="C588" s="47" t="n">
        <x:v>300958</x:v>
      </x:c>
      <x:c r="D588" s="47" t="str"/>
      <x:c r="E588" s="47" t="str"/>
      <x:c r="F588" s="47" t="str">
        <x:v>current</x:v>
      </x:c>
      <x:c r="G588" s="47" t="n">
        <x:v>584</x:v>
      </x:c>
      <x:c r="H588" s="53" t="b">
        <x:v>1</x:v>
      </x:c>
      <x:c r="I588" s="47" t="str">
        <x:v>3045069830</x:v>
      </x:c>
      <x:c r="J588" s="47" t="n">
        <x:v>86384565</x:v>
      </x:c>
      <x:c r="K588" s="53" t="b">
        <x:v>1</x:v>
      </x:c>
      <x:c r="L588" s="53" t="b">
        <x:v>1</x:v>
      </x:c>
      <x:c r="M588" s="53" t="b">
        <x:v>1</x:v>
      </x:c>
      <x:c r="N588" s="53" t="b">
        <x:v>1</x:v>
      </x:c>
      <x:c r="O588" s="53" t="b">
        <x:v>1</x:v>
      </x:c>
      <x:c r="P588" s="47" t="n">
        <x:v>1007</x:v>
      </x:c>
      <x:c r="Q588" s="47" t="n">
        <x:v>0</x:v>
      </x:c>
      <x:c r="R588" s="47" t="n">
        <x:v>0</x:v>
      </x:c>
      <x:c r="S588" s="47" t="n">
        <x:v>28.11</x:v>
      </x:c>
      <x:c r="T588" s="47" t="n">
        <x:v>48.79</x:v>
      </x:c>
      <x:c r="U588" s="47" t="n">
        <x:v>31.5</x:v>
      </x:c>
      <x:c r="V588" s="47" t="n">
        <x:v>22.1</x:v>
      </x:c>
      <x:c r="W588" s="47" t="n">
        <x:v>1</x:v>
      </x:c>
      <x:c r="X588" s="47" t="n">
        <x:v>8</x:v>
      </x:c>
      <x:c r="Y588" s="41" t="n">
        <x:v>7</x:v>
      </x:c>
    </x:row>
    <x:row r="589">
      <x:c r="A589" s="38" t="str">
        <x:v>7月30日现场数据</x:v>
      </x:c>
      <x:c r="B589" s="66" t="str">
        <x:v>2026-08-01T14:30:41.697000</x:v>
      </x:c>
      <x:c r="C589" s="47" t="n">
        <x:v>300962</x:v>
      </x:c>
      <x:c r="D589" s="47" t="str"/>
      <x:c r="E589" s="47" t="str"/>
      <x:c r="F589" s="47" t="str">
        <x:v>current</x:v>
      </x:c>
      <x:c r="G589" s="47" t="n">
        <x:v>585</x:v>
      </x:c>
      <x:c r="H589" s="53" t="b">
        <x:v>1</x:v>
      </x:c>
      <x:c r="I589" s="47" t="str">
        <x:v>3045069830</x:v>
      </x:c>
      <x:c r="J589" s="47" t="n">
        <x:v>86685527</x:v>
      </x:c>
      <x:c r="K589" s="53" t="b">
        <x:v>1</x:v>
      </x:c>
      <x:c r="L589" s="53" t="b">
        <x:v>1</x:v>
      </x:c>
      <x:c r="M589" s="53" t="b">
        <x:v>1</x:v>
      </x:c>
      <x:c r="N589" s="53" t="b">
        <x:v>1</x:v>
      </x:c>
      <x:c r="O589" s="53" t="b">
        <x:v>1</x:v>
      </x:c>
      <x:c r="P589" s="47" t="n">
        <x:v>1007</x:v>
      </x:c>
      <x:c r="Q589" s="47" t="n">
        <x:v>0</x:v>
      </x:c>
      <x:c r="R589" s="47" t="n">
        <x:v>0</x:v>
      </x:c>
      <x:c r="S589" s="47" t="n">
        <x:v>27.8</x:v>
      </x:c>
      <x:c r="T589" s="47" t="n">
        <x:v>48.9</x:v>
      </x:c>
      <x:c r="U589" s="47" t="n">
        <x:v>31.3</x:v>
      </x:c>
      <x:c r="V589" s="47" t="n">
        <x:v>22.9</x:v>
      </x:c>
      <x:c r="W589" s="47" t="n">
        <x:v>1</x:v>
      </x:c>
      <x:c r="X589" s="47" t="n">
        <x:v>6</x:v>
      </x:c>
      <x:c r="Y589" s="41" t="n">
        <x:v>5</x:v>
      </x:c>
    </x:row>
    <x:row r="590">
      <x:c r="A590" s="38" t="str">
        <x:v>7月30日现场数据</x:v>
      </x:c>
      <x:c r="B590" s="66" t="str">
        <x:v>2026-08-01T14:35:42.663000</x:v>
      </x:c>
      <x:c r="C590" s="47" t="n">
        <x:v>300966</x:v>
      </x:c>
      <x:c r="D590" s="47" t="str"/>
      <x:c r="E590" s="47" t="str"/>
      <x:c r="F590" s="47" t="str">
        <x:v>current</x:v>
      </x:c>
      <x:c r="G590" s="47" t="n">
        <x:v>586</x:v>
      </x:c>
      <x:c r="H590" s="53" t="b">
        <x:v>1</x:v>
      </x:c>
      <x:c r="I590" s="47" t="str">
        <x:v>3045069830</x:v>
      </x:c>
      <x:c r="J590" s="47" t="n">
        <x:v>86986493</x:v>
      </x:c>
      <x:c r="K590" s="53" t="b">
        <x:v>1</x:v>
      </x:c>
      <x:c r="L590" s="53" t="b">
        <x:v>1</x:v>
      </x:c>
      <x:c r="M590" s="53" t="b">
        <x:v>1</x:v>
      </x:c>
      <x:c r="N590" s="53" t="b">
        <x:v>1</x:v>
      </x:c>
      <x:c r="O590" s="53" t="b">
        <x:v>1</x:v>
      </x:c>
      <x:c r="P590" s="47" t="n">
        <x:v>1007</x:v>
      </x:c>
      <x:c r="Q590" s="47" t="n">
        <x:v>0</x:v>
      </x:c>
      <x:c r="R590" s="47" t="n">
        <x:v>0</x:v>
      </x:c>
      <x:c r="S590" s="47" t="n">
        <x:v>27.7</x:v>
      </x:c>
      <x:c r="T590" s="47" t="n">
        <x:v>49.06</x:v>
      </x:c>
      <x:c r="U590" s="47" t="n">
        <x:v>31.2</x:v>
      </x:c>
      <x:c r="V590" s="47" t="n">
        <x:v>21.9</x:v>
      </x:c>
      <x:c r="W590" s="47" t="n">
        <x:v>1</x:v>
      </x:c>
      <x:c r="X590" s="47" t="n">
        <x:v>7</x:v>
      </x:c>
      <x:c r="Y590" s="41" t="n">
        <x:v>6</x:v>
      </x:c>
    </x:row>
    <x:row r="591">
      <x:c r="A591" s="38" t="str">
        <x:v>7月30日现场数据</x:v>
      </x:c>
      <x:c r="B591" s="66" t="str">
        <x:v>2026-08-01T14:35:44.001000</x:v>
      </x:c>
      <x:c r="C591" s="47" t="n">
        <x:v>1338</x:v>
      </x:c>
      <x:c r="D591" s="47" t="str">
        <x:v>设备重启</x:v>
      </x:c>
      <x:c r="E591" s="47" t="str">
        <x:v>bootSessionId 变化，uptime 重置；土壤温湿度均为 0</x:v>
      </x:c>
      <x:c r="F591" s="47" t="str">
        <x:v>current</x:v>
      </x:c>
      <x:c r="G591" s="47" t="n">
        <x:v>587</x:v>
      </x:c>
      <x:c r="H591" s="53" t="b">
        <x:v>1</x:v>
      </x:c>
      <x:c r="I591" s="47" t="str">
        <x:v>2682537910</x:v>
      </x:c>
      <x:c r="J591" s="47" t="n">
        <x:v>1338</x:v>
      </x:c>
      <x:c r="K591" s="53" t="b">
        <x:v>1</x:v>
      </x:c>
      <x:c r="L591" s="53" t="b">
        <x:v>1</x:v>
      </x:c>
      <x:c r="M591" s="53" t="b">
        <x:v>1</x:v>
      </x:c>
      <x:c r="N591" s="53" t="b">
        <x:v>1</x:v>
      </x:c>
      <x:c r="O591" s="53" t="b">
        <x:v>1</x:v>
      </x:c>
      <x:c r="P591" s="47" t="n">
        <x:v>1007</x:v>
      </x:c>
      <x:c r="Q591" s="47" t="n">
        <x:v>0.029</x:v>
      </x:c>
      <x:c r="R591" s="47" t="n">
        <x:v>0.791</x:v>
      </x:c>
      <x:c r="S591" s="47" t="n">
        <x:v>27.72</x:v>
      </x:c>
      <x:c r="T591" s="47" t="n">
        <x:v>49.07</x:v>
      </x:c>
      <x:c r="U591" s="47" t="n">
        <x:v>0</x:v>
      </x:c>
      <x:c r="V591" s="47" t="n">
        <x:v>0</x:v>
      </x:c>
      <x:c r="W591" s="47" t="n">
        <x:v>1</x:v>
      </x:c>
      <x:c r="X591" s="47" t="n">
        <x:v>7</x:v>
      </x:c>
      <x:c r="Y591" s="41" t="n">
        <x:v>6</x:v>
      </x:c>
    </x:row>
    <x:row r="592">
      <x:c r="A592" s="38" t="str">
        <x:v>7月30日现场数据</x:v>
      </x:c>
      <x:c r="B592" s="66" t="str">
        <x:v>2026-08-01T14:40:44.981000</x:v>
      </x:c>
      <x:c r="C592" s="47" t="n">
        <x:v>300980</x:v>
      </x:c>
      <x:c r="D592" s="47" t="str"/>
      <x:c r="E592" s="47" t="str"/>
      <x:c r="F592" s="47" t="str">
        <x:v>current</x:v>
      </x:c>
      <x:c r="G592" s="47" t="n">
        <x:v>588</x:v>
      </x:c>
      <x:c r="H592" s="53" t="b">
        <x:v>1</x:v>
      </x:c>
      <x:c r="I592" s="47" t="str">
        <x:v>2682537910</x:v>
      </x:c>
      <x:c r="J592" s="47" t="n">
        <x:v>302318</x:v>
      </x:c>
      <x:c r="K592" s="53" t="b">
        <x:v>1</x:v>
      </x:c>
      <x:c r="L592" s="53" t="b">
        <x:v>1</x:v>
      </x:c>
      <x:c r="M592" s="53" t="b">
        <x:v>1</x:v>
      </x:c>
      <x:c r="N592" s="53" t="b">
        <x:v>1</x:v>
      </x:c>
      <x:c r="O592" s="53" t="b">
        <x:v>1</x:v>
      </x:c>
      <x:c r="P592" s="47" t="n">
        <x:v>1008</x:v>
      </x:c>
      <x:c r="Q592" s="47" t="n">
        <x:v>0</x:v>
      </x:c>
      <x:c r="R592" s="47" t="n">
        <x:v>0</x:v>
      </x:c>
      <x:c r="S592" s="47" t="n">
        <x:v>27.81</x:v>
      </x:c>
      <x:c r="T592" s="47" t="n">
        <x:v>49.35</x:v>
      </x:c>
      <x:c r="U592" s="47" t="n">
        <x:v>31.2</x:v>
      </x:c>
      <x:c r="V592" s="47" t="n">
        <x:v>21.2</x:v>
      </x:c>
      <x:c r="W592" s="47" t="n">
        <x:v>1</x:v>
      </x:c>
      <x:c r="X592" s="47" t="n">
        <x:v>7</x:v>
      </x:c>
      <x:c r="Y592" s="41" t="n">
        <x:v>6</x:v>
      </x:c>
    </x:row>
    <x:row r="593">
      <x:c r="A593" s="38" t="str">
        <x:v>7月30日现场数据</x:v>
      </x:c>
      <x:c r="B593" s="66" t="str">
        <x:v>2026-08-01T14:45:45.947000</x:v>
      </x:c>
      <x:c r="C593" s="47" t="n">
        <x:v>300966</x:v>
      </x:c>
      <x:c r="D593" s="47" t="str"/>
      <x:c r="E593" s="47" t="str"/>
      <x:c r="F593" s="47" t="str">
        <x:v>current</x:v>
      </x:c>
      <x:c r="G593" s="47" t="n">
        <x:v>589</x:v>
      </x:c>
      <x:c r="H593" s="53" t="b">
        <x:v>1</x:v>
      </x:c>
      <x:c r="I593" s="47" t="str">
        <x:v>2682537910</x:v>
      </x:c>
      <x:c r="J593" s="47" t="n">
        <x:v>603284</x:v>
      </x:c>
      <x:c r="K593" s="53" t="b">
        <x:v>1</x:v>
      </x:c>
      <x:c r="L593" s="53" t="b">
        <x:v>1</x:v>
      </x:c>
      <x:c r="M593" s="53" t="b">
        <x:v>1</x:v>
      </x:c>
      <x:c r="N593" s="53" t="b">
        <x:v>1</x:v>
      </x:c>
      <x:c r="O593" s="53" t="b">
        <x:v>1</x:v>
      </x:c>
      <x:c r="P593" s="47" t="n">
        <x:v>1008</x:v>
      </x:c>
      <x:c r="Q593" s="47" t="n">
        <x:v>0</x:v>
      </x:c>
      <x:c r="R593" s="47" t="n">
        <x:v>0</x:v>
      </x:c>
      <x:c r="S593" s="47" t="n">
        <x:v>27.9</x:v>
      </x:c>
      <x:c r="T593" s="47" t="n">
        <x:v>49.67</x:v>
      </x:c>
      <x:c r="U593" s="47" t="n">
        <x:v>31.1</x:v>
      </x:c>
      <x:c r="V593" s="47" t="n">
        <x:v>20.6</x:v>
      </x:c>
      <x:c r="W593" s="47" t="n">
        <x:v>1</x:v>
      </x:c>
      <x:c r="X593" s="47" t="n">
        <x:v>3</x:v>
      </x:c>
      <x:c r="Y593" s="41" t="n">
        <x:v>2</x:v>
      </x:c>
    </x:row>
    <x:row r="594">
      <x:c r="A594" s="38" t="str">
        <x:v>7月30日现场数据</x:v>
      </x:c>
      <x:c r="B594" s="66" t="str">
        <x:v>2026-08-01T14:50:46.918000</x:v>
      </x:c>
      <x:c r="C594" s="47" t="n">
        <x:v>300971</x:v>
      </x:c>
      <x:c r="D594" s="47" t="str"/>
      <x:c r="E594" s="47" t="str"/>
      <x:c r="F594" s="47" t="str">
        <x:v>current</x:v>
      </x:c>
      <x:c r="G594" s="47" t="n">
        <x:v>590</x:v>
      </x:c>
      <x:c r="H594" s="53" t="b">
        <x:v>1</x:v>
      </x:c>
      <x:c r="I594" s="47" t="str">
        <x:v>2682537910</x:v>
      </x:c>
      <x:c r="J594" s="47" t="n">
        <x:v>904255</x:v>
      </x:c>
      <x:c r="K594" s="53" t="b">
        <x:v>1</x:v>
      </x:c>
      <x:c r="L594" s="53" t="b">
        <x:v>1</x:v>
      </x:c>
      <x:c r="M594" s="53" t="b">
        <x:v>1</x:v>
      </x:c>
      <x:c r="N594" s="53" t="b">
        <x:v>1</x:v>
      </x:c>
      <x:c r="O594" s="53" t="b">
        <x:v>1</x:v>
      </x:c>
      <x:c r="P594" s="47" t="n">
        <x:v>1008</x:v>
      </x:c>
      <x:c r="Q594" s="47" t="n">
        <x:v>0.341</x:v>
      </x:c>
      <x:c r="R594" s="47" t="n">
        <x:v>9.198</x:v>
      </x:c>
      <x:c r="S594" s="47" t="n">
        <x:v>27.95</x:v>
      </x:c>
      <x:c r="T594" s="47" t="n">
        <x:v>49.99</x:v>
      </x:c>
      <x:c r="U594" s="47" t="n">
        <x:v>31</x:v>
      </x:c>
      <x:c r="V594" s="47" t="n">
        <x:v>19.9</x:v>
      </x:c>
      <x:c r="W594" s="47" t="n">
        <x:v>0</x:v>
      </x:c>
      <x:c r="X594" s="47" t="n">
        <x:v>3</x:v>
      </x:c>
      <x:c r="Y594" s="41" t="n">
        <x:v>3</x:v>
      </x:c>
    </x:row>
    <x:row r="595">
      <x:c r="A595" s="38" t="str">
        <x:v>7月30日现场数据</x:v>
      </x:c>
      <x:c r="B595" s="66" t="str">
        <x:v>2026-08-01T14:55:47.893000</x:v>
      </x:c>
      <x:c r="C595" s="47" t="n">
        <x:v>300975</x:v>
      </x:c>
      <x:c r="D595" s="47" t="str"/>
      <x:c r="E595" s="47" t="str"/>
      <x:c r="F595" s="47" t="str">
        <x:v>current</x:v>
      </x:c>
      <x:c r="G595" s="47" t="n">
        <x:v>591</x:v>
      </x:c>
      <x:c r="H595" s="53" t="b">
        <x:v>1</x:v>
      </x:c>
      <x:c r="I595" s="47" t="str">
        <x:v>2682537910</x:v>
      </x:c>
      <x:c r="J595" s="47" t="n">
        <x:v>1205230</x:v>
      </x:c>
      <x:c r="K595" s="53" t="b">
        <x:v>1</x:v>
      </x:c>
      <x:c r="L595" s="53" t="b">
        <x:v>1</x:v>
      </x:c>
      <x:c r="M595" s="53" t="b">
        <x:v>1</x:v>
      </x:c>
      <x:c r="N595" s="53" t="b">
        <x:v>1</x:v>
      </x:c>
      <x:c r="O595" s="53" t="b">
        <x:v>1</x:v>
      </x:c>
      <x:c r="P595" s="47" t="n">
        <x:v>1008</x:v>
      </x:c>
      <x:c r="Q595" s="47" t="n">
        <x:v>0.094</x:v>
      </x:c>
      <x:c r="R595" s="47" t="n">
        <x:v>2.538</x:v>
      </x:c>
      <x:c r="S595" s="47" t="n">
        <x:v>27.91</x:v>
      </x:c>
      <x:c r="T595" s="47" t="n">
        <x:v>50.21</x:v>
      </x:c>
      <x:c r="U595" s="47" t="n">
        <x:v>30.9</x:v>
      </x:c>
      <x:c r="V595" s="47" t="n">
        <x:v>19.6</x:v>
      </x:c>
      <x:c r="W595" s="47" t="n">
        <x:v>1</x:v>
      </x:c>
      <x:c r="X595" s="47" t="n">
        <x:v>6</x:v>
      </x:c>
      <x:c r="Y595" s="41" t="n">
        <x:v>5</x:v>
      </x:c>
    </x:row>
    <x:row r="596">
      <x:c r="A596" s="38" t="str">
        <x:v>7月30日现场数据</x:v>
      </x:c>
      <x:c r="B596" s="66" t="str">
        <x:v>2026-08-01T15:00:48.869000</x:v>
      </x:c>
      <x:c r="C596" s="47" t="n">
        <x:v>300976</x:v>
      </x:c>
      <x:c r="D596" s="47" t="str"/>
      <x:c r="E596" s="47" t="str"/>
      <x:c r="F596" s="47" t="str">
        <x:v>current</x:v>
      </x:c>
      <x:c r="G596" s="47" t="n">
        <x:v>592</x:v>
      </x:c>
      <x:c r="H596" s="53" t="b">
        <x:v>1</x:v>
      </x:c>
      <x:c r="I596" s="47" t="str">
        <x:v>2682537910</x:v>
      </x:c>
      <x:c r="J596" s="47" t="n">
        <x:v>1506206</x:v>
      </x:c>
      <x:c r="K596" s="53" t="b">
        <x:v>1</x:v>
      </x:c>
      <x:c r="L596" s="53" t="b">
        <x:v>1</x:v>
      </x:c>
      <x:c r="M596" s="53" t="b">
        <x:v>1</x:v>
      </x:c>
      <x:c r="N596" s="53" t="b">
        <x:v>1</x:v>
      </x:c>
      <x:c r="O596" s="53" t="b">
        <x:v>1</x:v>
      </x:c>
      <x:c r="P596" s="47" t="n">
        <x:v>1008</x:v>
      </x:c>
      <x:c r="Q596" s="47" t="n">
        <x:v>0</x:v>
      </x:c>
      <x:c r="R596" s="47" t="n">
        <x:v>0</x:v>
      </x:c>
      <x:c r="S596" s="47" t="n">
        <x:v>27.84</x:v>
      </x:c>
      <x:c r="T596" s="47" t="n">
        <x:v>50.47</x:v>
      </x:c>
      <x:c r="U596" s="47" t="n">
        <x:v>30.7</x:v>
      </x:c>
      <x:c r="V596" s="47" t="n">
        <x:v>19.3</x:v>
      </x:c>
      <x:c r="W596" s="47" t="n">
        <x:v>1</x:v>
      </x:c>
      <x:c r="X596" s="47" t="n">
        <x:v>6</x:v>
      </x:c>
      <x:c r="Y596" s="41" t="n">
        <x:v>5</x:v>
      </x:c>
    </x:row>
    <x:row r="597">
      <x:c r="A597" s="38" t="str">
        <x:v>7月30日现场数据</x:v>
      </x:c>
      <x:c r="B597" s="66" t="str">
        <x:v>2026-08-01T15:05:49.845000</x:v>
      </x:c>
      <x:c r="C597" s="47" t="n">
        <x:v>300976</x:v>
      </x:c>
      <x:c r="D597" s="47" t="str"/>
      <x:c r="E597" s="47" t="str"/>
      <x:c r="F597" s="47" t="str">
        <x:v>current</x:v>
      </x:c>
      <x:c r="G597" s="47" t="n">
        <x:v>593</x:v>
      </x:c>
      <x:c r="H597" s="53" t="b">
        <x:v>1</x:v>
      </x:c>
      <x:c r="I597" s="47" t="str">
        <x:v>2682537910</x:v>
      </x:c>
      <x:c r="J597" s="47" t="n">
        <x:v>1807182</x:v>
      </x:c>
      <x:c r="K597" s="53" t="b">
        <x:v>1</x:v>
      </x:c>
      <x:c r="L597" s="53" t="b">
        <x:v>1</x:v>
      </x:c>
      <x:c r="M597" s="53" t="b">
        <x:v>1</x:v>
      </x:c>
      <x:c r="N597" s="53" t="b">
        <x:v>1</x:v>
      </x:c>
      <x:c r="O597" s="53" t="b">
        <x:v>1</x:v>
      </x:c>
      <x:c r="P597" s="47" t="n">
        <x:v>1008</x:v>
      </x:c>
      <x:c r="Q597" s="47" t="n">
        <x:v>0</x:v>
      </x:c>
      <x:c r="R597" s="47" t="n">
        <x:v>0</x:v>
      </x:c>
      <x:c r="S597" s="47" t="n">
        <x:v>27.6</x:v>
      </x:c>
      <x:c r="T597" s="47" t="n">
        <x:v>50.74</x:v>
      </x:c>
      <x:c r="U597" s="47" t="n">
        <x:v>30.6</x:v>
      </x:c>
      <x:c r="V597" s="47" t="n">
        <x:v>19.1</x:v>
      </x:c>
      <x:c r="W597" s="47" t="n">
        <x:v>2</x:v>
      </x:c>
      <x:c r="X597" s="47" t="n">
        <x:v>11</x:v>
      </x:c>
      <x:c r="Y597" s="41" t="n">
        <x:v>9</x:v>
      </x:c>
    </x:row>
    <x:row r="598">
      <x:c r="A598" s="38" t="str">
        <x:v>7月30日现场数据</x:v>
      </x:c>
      <x:c r="B598" s="66" t="str">
        <x:v>2026-08-01T15:10:50.823000</x:v>
      </x:c>
      <x:c r="C598" s="47" t="n">
        <x:v>300978</x:v>
      </x:c>
      <x:c r="D598" s="47" t="str"/>
      <x:c r="E598" s="47" t="str"/>
      <x:c r="F598" s="47" t="str">
        <x:v>current</x:v>
      </x:c>
      <x:c r="G598" s="47" t="n">
        <x:v>594</x:v>
      </x:c>
      <x:c r="H598" s="53" t="b">
        <x:v>1</x:v>
      </x:c>
      <x:c r="I598" s="47" t="str">
        <x:v>2682537910</x:v>
      </x:c>
      <x:c r="J598" s="47" t="n">
        <x:v>2108160</x:v>
      </x:c>
      <x:c r="K598" s="53" t="b">
        <x:v>1</x:v>
      </x:c>
      <x:c r="L598" s="53" t="b">
        <x:v>1</x:v>
      </x:c>
      <x:c r="M598" s="53" t="b">
        <x:v>1</x:v>
      </x:c>
      <x:c r="N598" s="53" t="b">
        <x:v>1</x:v>
      </x:c>
      <x:c r="O598" s="53" t="b">
        <x:v>1</x:v>
      </x:c>
      <x:c r="P598" s="47" t="n">
        <x:v>1008</x:v>
      </x:c>
      <x:c r="Q598" s="47" t="n">
        <x:v>0</x:v>
      </x:c>
      <x:c r="R598" s="47" t="n">
        <x:v>0</x:v>
      </x:c>
      <x:c r="S598" s="47" t="n">
        <x:v>27.49</x:v>
      </x:c>
      <x:c r="T598" s="47" t="n">
        <x:v>50.94</x:v>
      </x:c>
      <x:c r="U598" s="47" t="n">
        <x:v>30.4</x:v>
      </x:c>
      <x:c r="V598" s="47" t="n">
        <x:v>18.9</x:v>
      </x:c>
      <x:c r="W598" s="47" t="n">
        <x:v>3</x:v>
      </x:c>
      <x:c r="X598" s="47" t="n">
        <x:v>13</x:v>
      </x:c>
      <x:c r="Y598" s="41" t="n">
        <x:v>10</x:v>
      </x:c>
    </x:row>
    <x:row r="599">
      <x:c r="A599" s="38" t="str">
        <x:v>7月30日现场数据</x:v>
      </x:c>
      <x:c r="B599" s="66" t="str">
        <x:v>2026-08-01T15:15:51.806000</x:v>
      </x:c>
      <x:c r="C599" s="47" t="n">
        <x:v>300983</x:v>
      </x:c>
      <x:c r="D599" s="47" t="str"/>
      <x:c r="E599" s="47" t="str"/>
      <x:c r="F599" s="47" t="str">
        <x:v>current</x:v>
      </x:c>
      <x:c r="G599" s="47" t="n">
        <x:v>595</x:v>
      </x:c>
      <x:c r="H599" s="53" t="b">
        <x:v>1</x:v>
      </x:c>
      <x:c r="I599" s="47" t="str">
        <x:v>2682537910</x:v>
      </x:c>
      <x:c r="J599" s="47" t="n">
        <x:v>2409143</x:v>
      </x:c>
      <x:c r="K599" s="53" t="b">
        <x:v>1</x:v>
      </x:c>
      <x:c r="L599" s="53" t="b">
        <x:v>1</x:v>
      </x:c>
      <x:c r="M599" s="53" t="b">
        <x:v>1</x:v>
      </x:c>
      <x:c r="N599" s="53" t="b">
        <x:v>1</x:v>
      </x:c>
      <x:c r="O599" s="53" t="b">
        <x:v>1</x:v>
      </x:c>
      <x:c r="P599" s="47" t="n">
        <x:v>1007</x:v>
      </x:c>
      <x:c r="Q599" s="47" t="n">
        <x:v>0</x:v>
      </x:c>
      <x:c r="R599" s="47" t="n">
        <x:v>0</x:v>
      </x:c>
      <x:c r="S599" s="47" t="n">
        <x:v>27.43</x:v>
      </x:c>
      <x:c r="T599" s="47" t="n">
        <x:v>51.16</x:v>
      </x:c>
      <x:c r="U599" s="47" t="n">
        <x:v>30.4</x:v>
      </x:c>
      <x:c r="V599" s="47" t="n">
        <x:v>18.6</x:v>
      </x:c>
      <x:c r="W599" s="47" t="n">
        <x:v>3</x:v>
      </x:c>
      <x:c r="X599" s="47" t="n">
        <x:v>15</x:v>
      </x:c>
      <x:c r="Y599" s="41" t="n">
        <x:v>12</x:v>
      </x:c>
    </x:row>
    <x:row r="600">
      <x:c r="A600" s="38" t="str">
        <x:v>7月30日现场数据</x:v>
      </x:c>
      <x:c r="B600" s="66" t="str">
        <x:v>2026-08-01T15:20:52.790000</x:v>
      </x:c>
      <x:c r="C600" s="47" t="n">
        <x:v>300984</x:v>
      </x:c>
      <x:c r="D600" s="47" t="str"/>
      <x:c r="E600" s="47" t="str"/>
      <x:c r="F600" s="47" t="str">
        <x:v>current</x:v>
      </x:c>
      <x:c r="G600" s="47" t="n">
        <x:v>596</x:v>
      </x:c>
      <x:c r="H600" s="53" t="b">
        <x:v>1</x:v>
      </x:c>
      <x:c r="I600" s="47" t="str">
        <x:v>2682537910</x:v>
      </x:c>
      <x:c r="J600" s="47" t="n">
        <x:v>2710127</x:v>
      </x:c>
      <x:c r="K600" s="53" t="b">
        <x:v>1</x:v>
      </x:c>
      <x:c r="L600" s="53" t="b">
        <x:v>1</x:v>
      </x:c>
      <x:c r="M600" s="53" t="b">
        <x:v>1</x:v>
      </x:c>
      <x:c r="N600" s="53" t="b">
        <x:v>1</x:v>
      </x:c>
      <x:c r="O600" s="53" t="b">
        <x:v>1</x:v>
      </x:c>
      <x:c r="P600" s="47" t="n">
        <x:v>1007</x:v>
      </x:c>
      <x:c r="Q600" s="47" t="n">
        <x:v>0</x:v>
      </x:c>
      <x:c r="R600" s="47" t="n">
        <x:v>0</x:v>
      </x:c>
      <x:c r="S600" s="47" t="n">
        <x:v>27.57</x:v>
      </x:c>
      <x:c r="T600" s="47" t="n">
        <x:v>51.46</x:v>
      </x:c>
      <x:c r="U600" s="47" t="n">
        <x:v>30.3</x:v>
      </x:c>
      <x:c r="V600" s="47" t="n">
        <x:v>18.5</x:v>
      </x:c>
      <x:c r="W600" s="47" t="n">
        <x:v>3</x:v>
      </x:c>
      <x:c r="X600" s="47" t="n">
        <x:v>13</x:v>
      </x:c>
      <x:c r="Y600" s="41" t="n">
        <x:v>10</x:v>
      </x:c>
    </x:row>
    <x:row r="601">
      <x:c r="A601" s="38" t="str">
        <x:v>7月30日现场数据</x:v>
      </x:c>
      <x:c r="B601" s="66" t="str">
        <x:v>2026-08-01T15:25:53.773000</x:v>
      </x:c>
      <x:c r="C601" s="47" t="n">
        <x:v>300983</x:v>
      </x:c>
      <x:c r="D601" s="47" t="str"/>
      <x:c r="E601" s="47" t="str"/>
      <x:c r="F601" s="47" t="str">
        <x:v>current</x:v>
      </x:c>
      <x:c r="G601" s="47" t="n">
        <x:v>597</x:v>
      </x:c>
      <x:c r="H601" s="53" t="b">
        <x:v>1</x:v>
      </x:c>
      <x:c r="I601" s="47" t="str">
        <x:v>2682537910</x:v>
      </x:c>
      <x:c r="J601" s="47" t="n">
        <x:v>3011110</x:v>
      </x:c>
      <x:c r="K601" s="53" t="b">
        <x:v>1</x:v>
      </x:c>
      <x:c r="L601" s="53" t="b">
        <x:v>1</x:v>
      </x:c>
      <x:c r="M601" s="53" t="b">
        <x:v>1</x:v>
      </x:c>
      <x:c r="N601" s="53" t="b">
        <x:v>1</x:v>
      </x:c>
      <x:c r="O601" s="53" t="b">
        <x:v>1</x:v>
      </x:c>
      <x:c r="P601" s="47" t="n">
        <x:v>1008</x:v>
      </x:c>
      <x:c r="Q601" s="47" t="n">
        <x:v>0</x:v>
      </x:c>
      <x:c r="R601" s="47" t="n">
        <x:v>0</x:v>
      </x:c>
      <x:c r="S601" s="47" t="n">
        <x:v>27.71</x:v>
      </x:c>
      <x:c r="T601" s="47" t="n">
        <x:v>51.81</x:v>
      </x:c>
      <x:c r="U601" s="47" t="n">
        <x:v>30.2</x:v>
      </x:c>
      <x:c r="V601" s="47" t="n">
        <x:v>18.4</x:v>
      </x:c>
      <x:c r="W601" s="47" t="n">
        <x:v>2</x:v>
      </x:c>
      <x:c r="X601" s="47" t="n">
        <x:v>11</x:v>
      </x:c>
      <x:c r="Y601" s="41" t="n">
        <x:v>9</x:v>
      </x:c>
    </x:row>
    <x:row r="602">
      <x:c r="A602" s="38" t="str">
        <x:v>7月30日现场数据</x:v>
      </x:c>
      <x:c r="B602" s="66" t="str">
        <x:v>2026-08-01T15:30:54.794000</x:v>
      </x:c>
      <x:c r="C602" s="47" t="n">
        <x:v>301021</x:v>
      </x:c>
      <x:c r="D602" s="47" t="str"/>
      <x:c r="E602" s="47" t="str"/>
      <x:c r="F602" s="47" t="str">
        <x:v>current</x:v>
      </x:c>
      <x:c r="G602" s="47" t="n">
        <x:v>598</x:v>
      </x:c>
      <x:c r="H602" s="53" t="b">
        <x:v>1</x:v>
      </x:c>
      <x:c r="I602" s="47" t="str">
        <x:v>2682537910</x:v>
      </x:c>
      <x:c r="J602" s="47" t="n">
        <x:v>3312131</x:v>
      </x:c>
      <x:c r="K602" s="53" t="b">
        <x:v>1</x:v>
      </x:c>
      <x:c r="L602" s="53" t="b">
        <x:v>1</x:v>
      </x:c>
      <x:c r="M602" s="53" t="b">
        <x:v>1</x:v>
      </x:c>
      <x:c r="N602" s="53" t="b">
        <x:v>1</x:v>
      </x:c>
      <x:c r="O602" s="53" t="b">
        <x:v>1</x:v>
      </x:c>
      <x:c r="P602" s="47" t="n">
        <x:v>1008</x:v>
      </x:c>
      <x:c r="Q602" s="47" t="n">
        <x:v>0</x:v>
      </x:c>
      <x:c r="R602" s="47" t="n">
        <x:v>0</x:v>
      </x:c>
      <x:c r="S602" s="47" t="n">
        <x:v>27.76</x:v>
      </x:c>
      <x:c r="T602" s="47" t="n">
        <x:v>52.12</x:v>
      </x:c>
      <x:c r="U602" s="47" t="n">
        <x:v>30.2</x:v>
      </x:c>
      <x:c r="V602" s="47" t="n">
        <x:v>18.2</x:v>
      </x:c>
      <x:c r="W602" s="47" t="n">
        <x:v>3</x:v>
      </x:c>
      <x:c r="X602" s="47" t="n">
        <x:v>15</x:v>
      </x:c>
      <x:c r="Y602" s="41" t="n">
        <x:v>12</x:v>
      </x:c>
    </x:row>
    <x:row r="603">
      <x:c r="A603" s="38" t="str">
        <x:v>7月30日现场数据</x:v>
      </x:c>
      <x:c r="B603" s="66" t="str">
        <x:v>2026-08-01T15:35:55.755000</x:v>
      </x:c>
      <x:c r="C603" s="47" t="n">
        <x:v>300961</x:v>
      </x:c>
      <x:c r="D603" s="47" t="str"/>
      <x:c r="E603" s="47" t="str"/>
      <x:c r="F603" s="47" t="str">
        <x:v>current</x:v>
      </x:c>
      <x:c r="G603" s="47" t="n">
        <x:v>599</x:v>
      </x:c>
      <x:c r="H603" s="53" t="b">
        <x:v>1</x:v>
      </x:c>
      <x:c r="I603" s="47" t="str">
        <x:v>2682537910</x:v>
      </x:c>
      <x:c r="J603" s="47" t="n">
        <x:v>3613092</x:v>
      </x:c>
      <x:c r="K603" s="53" t="b">
        <x:v>1</x:v>
      </x:c>
      <x:c r="L603" s="53" t="b">
        <x:v>1</x:v>
      </x:c>
      <x:c r="M603" s="53" t="b">
        <x:v>1</x:v>
      </x:c>
      <x:c r="N603" s="53" t="b">
        <x:v>1</x:v>
      </x:c>
      <x:c r="O603" s="53" t="b">
        <x:v>1</x:v>
      </x:c>
      <x:c r="P603" s="47" t="n">
        <x:v>1007</x:v>
      </x:c>
      <x:c r="Q603" s="47" t="n">
        <x:v>0.048</x:v>
      </x:c>
      <x:c r="R603" s="47" t="n">
        <x:v>1.286</x:v>
      </x:c>
      <x:c r="S603" s="47" t="n">
        <x:v>27.86</x:v>
      </x:c>
      <x:c r="T603" s="47" t="n">
        <x:v>52.41</x:v>
      </x:c>
      <x:c r="U603" s="47" t="n">
        <x:v>30.2</x:v>
      </x:c>
      <x:c r="V603" s="47" t="n">
        <x:v>18</x:v>
      </x:c>
      <x:c r="W603" s="47" t="n">
        <x:v>3</x:v>
      </x:c>
      <x:c r="X603" s="47" t="n">
        <x:v>15</x:v>
      </x:c>
      <x:c r="Y603" s="41" t="n">
        <x:v>12</x:v>
      </x:c>
    </x:row>
    <x:row r="604">
      <x:c r="A604" s="38" t="str">
        <x:v>7月30日现场数据</x:v>
      </x:c>
      <x:c r="B604" s="66" t="str">
        <x:v>2026-08-01T15:40:56.717000</x:v>
      </x:c>
      <x:c r="C604" s="47" t="n">
        <x:v>300962</x:v>
      </x:c>
      <x:c r="D604" s="47" t="str"/>
      <x:c r="E604" s="47" t="str"/>
      <x:c r="F604" s="47" t="str">
        <x:v>current</x:v>
      </x:c>
      <x:c r="G604" s="47" t="n">
        <x:v>600</x:v>
      </x:c>
      <x:c r="H604" s="53" t="b">
        <x:v>1</x:v>
      </x:c>
      <x:c r="I604" s="47" t="str">
        <x:v>2682537910</x:v>
      </x:c>
      <x:c r="J604" s="47" t="n">
        <x:v>3914054</x:v>
      </x:c>
      <x:c r="K604" s="53" t="b">
        <x:v>1</x:v>
      </x:c>
      <x:c r="L604" s="53" t="b">
        <x:v>1</x:v>
      </x:c>
      <x:c r="M604" s="53" t="b">
        <x:v>1</x:v>
      </x:c>
      <x:c r="N604" s="53" t="b">
        <x:v>1</x:v>
      </x:c>
      <x:c r="O604" s="53" t="b">
        <x:v>1</x:v>
      </x:c>
      <x:c r="P604" s="47" t="n">
        <x:v>1007</x:v>
      </x:c>
      <x:c r="Q604" s="47" t="n">
        <x:v>0</x:v>
      </x:c>
      <x:c r="R604" s="47" t="n">
        <x:v>0</x:v>
      </x:c>
      <x:c r="S604" s="47" t="n">
        <x:v>27.94</x:v>
      </x:c>
      <x:c r="T604" s="47" t="n">
        <x:v>52.77</x:v>
      </x:c>
      <x:c r="U604" s="47" t="n">
        <x:v>30.2</x:v>
      </x:c>
      <x:c r="V604" s="47" t="n">
        <x:v>17.9</x:v>
      </x:c>
      <x:c r="W604" s="47" t="n">
        <x:v>3</x:v>
      </x:c>
      <x:c r="X604" s="47" t="n">
        <x:v>14</x:v>
      </x:c>
      <x:c r="Y604" s="41" t="n">
        <x:v>11</x:v>
      </x:c>
    </x:row>
    <x:row r="605">
      <x:c r="A605" s="38" t="str">
        <x:v>7月30日现场数据</x:v>
      </x:c>
      <x:c r="B605" s="66" t="str">
        <x:v>2026-08-01T15:45:57.682000</x:v>
      </x:c>
      <x:c r="C605" s="47" t="n">
        <x:v>300965</x:v>
      </x:c>
      <x:c r="D605" s="47" t="str"/>
      <x:c r="E605" s="47" t="str"/>
      <x:c r="F605" s="47" t="str">
        <x:v>current</x:v>
      </x:c>
      <x:c r="G605" s="47" t="n">
        <x:v>601</x:v>
      </x:c>
      <x:c r="H605" s="53" t="b">
        <x:v>1</x:v>
      </x:c>
      <x:c r="I605" s="47" t="str">
        <x:v>2682537910</x:v>
      </x:c>
      <x:c r="J605" s="47" t="n">
        <x:v>4215019</x:v>
      </x:c>
      <x:c r="K605" s="53" t="b">
        <x:v>1</x:v>
      </x:c>
      <x:c r="L605" s="53" t="b">
        <x:v>1</x:v>
      </x:c>
      <x:c r="M605" s="53" t="b">
        <x:v>1</x:v>
      </x:c>
      <x:c r="N605" s="53" t="b">
        <x:v>1</x:v>
      </x:c>
      <x:c r="O605" s="53" t="b">
        <x:v>1</x:v>
      </x:c>
      <x:c r="P605" s="47" t="n">
        <x:v>1008</x:v>
      </x:c>
      <x:c r="Q605" s="47" t="n">
        <x:v>0</x:v>
      </x:c>
      <x:c r="R605" s="47" t="n">
        <x:v>0</x:v>
      </x:c>
      <x:c r="S605" s="47" t="n">
        <x:v>28.11</x:v>
      </x:c>
      <x:c r="T605" s="47" t="n">
        <x:v>52.99</x:v>
      </x:c>
      <x:c r="U605" s="47" t="n">
        <x:v>30.1</x:v>
      </x:c>
      <x:c r="V605" s="47" t="n">
        <x:v>17.8</x:v>
      </x:c>
      <x:c r="W605" s="47" t="n">
        <x:v>3</x:v>
      </x:c>
      <x:c r="X605" s="47" t="n">
        <x:v>13</x:v>
      </x:c>
      <x:c r="Y605" s="41" t="n">
        <x:v>10</x:v>
      </x:c>
    </x:row>
    <x:row r="606">
      <x:c r="A606" s="38" t="str">
        <x:v>7月30日现场数据</x:v>
      </x:c>
      <x:c r="B606" s="66" t="str">
        <x:v>2026-08-01T15:50:58.651000</x:v>
      </x:c>
      <x:c r="C606" s="47" t="n">
        <x:v>300969</x:v>
      </x:c>
      <x:c r="D606" s="47" t="str"/>
      <x:c r="E606" s="47" t="str"/>
      <x:c r="F606" s="47" t="str">
        <x:v>current</x:v>
      </x:c>
      <x:c r="G606" s="47" t="n">
        <x:v>602</x:v>
      </x:c>
      <x:c r="H606" s="53" t="b">
        <x:v>1</x:v>
      </x:c>
      <x:c r="I606" s="47" t="str">
        <x:v>2682537910</x:v>
      </x:c>
      <x:c r="J606" s="47" t="n">
        <x:v>4515988</x:v>
      </x:c>
      <x:c r="K606" s="53" t="b">
        <x:v>1</x:v>
      </x:c>
      <x:c r="L606" s="53" t="b">
        <x:v>1</x:v>
      </x:c>
      <x:c r="M606" s="53" t="b">
        <x:v>1</x:v>
      </x:c>
      <x:c r="N606" s="53" t="b">
        <x:v>1</x:v>
      </x:c>
      <x:c r="O606" s="53" t="b">
        <x:v>1</x:v>
      </x:c>
      <x:c r="P606" s="47" t="n">
        <x:v>1008</x:v>
      </x:c>
      <x:c r="Q606" s="47" t="n">
        <x:v>0.02</x:v>
      </x:c>
      <x:c r="R606" s="47" t="n">
        <x:v>0.527</x:v>
      </x:c>
      <x:c r="S606" s="47" t="n">
        <x:v>28.33</x:v>
      </x:c>
      <x:c r="T606" s="47" t="n">
        <x:v>53.37</x:v>
      </x:c>
      <x:c r="U606" s="47" t="n">
        <x:v>30.1</x:v>
      </x:c>
      <x:c r="V606" s="47" t="n">
        <x:v>17.6</x:v>
      </x:c>
      <x:c r="W606" s="47" t="n">
        <x:v>2</x:v>
      </x:c>
      <x:c r="X606" s="47" t="n">
        <x:v>11</x:v>
      </x:c>
      <x:c r="Y606" s="41" t="n">
        <x:v>9</x:v>
      </x:c>
    </x:row>
    <x:row r="607">
      <x:c r="A607" s="38" t="str">
        <x:v>7月30日现场数据</x:v>
      </x:c>
      <x:c r="B607" s="66" t="str">
        <x:v>2026-08-01T15:55:59.623000</x:v>
      </x:c>
      <x:c r="C607" s="47" t="n">
        <x:v>300972</x:v>
      </x:c>
      <x:c r="D607" s="47" t="str"/>
      <x:c r="E607" s="47" t="str"/>
      <x:c r="F607" s="47" t="str">
        <x:v>current</x:v>
      </x:c>
      <x:c r="G607" s="47" t="n">
        <x:v>603</x:v>
      </x:c>
      <x:c r="H607" s="53" t="b">
        <x:v>1</x:v>
      </x:c>
      <x:c r="I607" s="47" t="str">
        <x:v>2682537910</x:v>
      </x:c>
      <x:c r="J607" s="47" t="n">
        <x:v>4816960</x:v>
      </x:c>
      <x:c r="K607" s="53" t="b">
        <x:v>1</x:v>
      </x:c>
      <x:c r="L607" s="53" t="b">
        <x:v>1</x:v>
      </x:c>
      <x:c r="M607" s="53" t="b">
        <x:v>1</x:v>
      </x:c>
      <x:c r="N607" s="53" t="b">
        <x:v>1</x:v>
      </x:c>
      <x:c r="O607" s="53" t="b">
        <x:v>1</x:v>
      </x:c>
      <x:c r="P607" s="47" t="n">
        <x:v>1006</x:v>
      </x:c>
      <x:c r="Q607" s="47" t="n">
        <x:v>0</x:v>
      </x:c>
      <x:c r="R607" s="47" t="n">
        <x:v>0</x:v>
      </x:c>
      <x:c r="S607" s="47" t="n">
        <x:v>28.33</x:v>
      </x:c>
      <x:c r="T607" s="47" t="n">
        <x:v>53.7</x:v>
      </x:c>
      <x:c r="U607" s="47" t="n">
        <x:v>30</x:v>
      </x:c>
      <x:c r="V607" s="47" t="n">
        <x:v>17.6</x:v>
      </x:c>
      <x:c r="W607" s="47" t="n">
        <x:v>2</x:v>
      </x:c>
      <x:c r="X607" s="47" t="n">
        <x:v>11</x:v>
      </x:c>
      <x:c r="Y607" s="41" t="n">
        <x:v>9</x:v>
      </x:c>
    </x:row>
    <x:row r="608">
      <x:c r="A608" s="38" t="str">
        <x:v>7月30日现场数据</x:v>
      </x:c>
      <x:c r="B608" s="66" t="str">
        <x:v>2026-08-01T16:01:00.593000</x:v>
      </x:c>
      <x:c r="C608" s="47" t="n">
        <x:v>300970</x:v>
      </x:c>
      <x:c r="D608" s="47" t="str"/>
      <x:c r="E608" s="47" t="str"/>
      <x:c r="F608" s="47" t="str">
        <x:v>current</x:v>
      </x:c>
      <x:c r="G608" s="47" t="n">
        <x:v>604</x:v>
      </x:c>
      <x:c r="H608" s="53" t="b">
        <x:v>1</x:v>
      </x:c>
      <x:c r="I608" s="47" t="str">
        <x:v>2682537910</x:v>
      </x:c>
      <x:c r="J608" s="47" t="n">
        <x:v>5117930</x:v>
      </x:c>
      <x:c r="K608" s="53" t="b">
        <x:v>1</x:v>
      </x:c>
      <x:c r="L608" s="53" t="b">
        <x:v>1</x:v>
      </x:c>
      <x:c r="M608" s="53" t="b">
        <x:v>1</x:v>
      </x:c>
      <x:c r="N608" s="53" t="b">
        <x:v>1</x:v>
      </x:c>
      <x:c r="O608" s="53" t="b">
        <x:v>1</x:v>
      </x:c>
      <x:c r="P608" s="47" t="n">
        <x:v>1008</x:v>
      </x:c>
      <x:c r="Q608" s="47" t="n">
        <x:v>0</x:v>
      </x:c>
      <x:c r="R608" s="47" t="n">
        <x:v>0</x:v>
      </x:c>
      <x:c r="S608" s="47" t="n">
        <x:v>28.37</x:v>
      </x:c>
      <x:c r="T608" s="47" t="n">
        <x:v>54.03</x:v>
      </x:c>
      <x:c r="U608" s="47" t="n">
        <x:v>30</x:v>
      </x:c>
      <x:c r="V608" s="47" t="n">
        <x:v>17.5</x:v>
      </x:c>
      <x:c r="W608" s="47" t="n">
        <x:v>1</x:v>
      </x:c>
      <x:c r="X608" s="47" t="n">
        <x:v>8</x:v>
      </x:c>
      <x:c r="Y608" s="41" t="n">
        <x:v>7</x:v>
      </x:c>
    </x:row>
    <x:row r="609">
      <x:c r="A609" s="38" t="str">
        <x:v>7月30日现场数据</x:v>
      </x:c>
      <x:c r="B609" s="66" t="str">
        <x:v>2026-08-01T16:06:01.567000</x:v>
      </x:c>
      <x:c r="C609" s="47" t="n">
        <x:v>300974</x:v>
      </x:c>
      <x:c r="D609" s="47" t="str"/>
      <x:c r="E609" s="47" t="str"/>
      <x:c r="F609" s="47" t="str">
        <x:v>current</x:v>
      </x:c>
      <x:c r="G609" s="47" t="n">
        <x:v>605</x:v>
      </x:c>
      <x:c r="H609" s="53" t="b">
        <x:v>1</x:v>
      </x:c>
      <x:c r="I609" s="47" t="str">
        <x:v>2682537910</x:v>
      </x:c>
      <x:c r="J609" s="47" t="n">
        <x:v>5418904</x:v>
      </x:c>
      <x:c r="K609" s="53" t="b">
        <x:v>1</x:v>
      </x:c>
      <x:c r="L609" s="53" t="b">
        <x:v>1</x:v>
      </x:c>
      <x:c r="M609" s="53" t="b">
        <x:v>1</x:v>
      </x:c>
      <x:c r="N609" s="53" t="b">
        <x:v>1</x:v>
      </x:c>
      <x:c r="O609" s="53" t="b">
        <x:v>1</x:v>
      </x:c>
      <x:c r="P609" s="47" t="n">
        <x:v>1008</x:v>
      </x:c>
      <x:c r="Q609" s="47" t="n">
        <x:v>0</x:v>
      </x:c>
      <x:c r="R609" s="47" t="n">
        <x:v>0</x:v>
      </x:c>
      <x:c r="S609" s="47" t="n">
        <x:v>28.44</x:v>
      </x:c>
      <x:c r="T609" s="47" t="n">
        <x:v>54.26</x:v>
      </x:c>
      <x:c r="U609" s="47" t="n">
        <x:v>30</x:v>
      </x:c>
      <x:c r="V609" s="47" t="n">
        <x:v>17.4</x:v>
      </x:c>
      <x:c r="W609" s="47" t="n">
        <x:v>1</x:v>
      </x:c>
      <x:c r="X609" s="47" t="n">
        <x:v>8</x:v>
      </x:c>
      <x:c r="Y609" s="41" t="n">
        <x:v>7</x:v>
      </x:c>
    </x:row>
    <x:row r="610">
      <x:c r="A610" s="38" t="str">
        <x:v>7月30日现场数据</x:v>
      </x:c>
      <x:c r="B610" s="66" t="str">
        <x:v>2026-08-01T16:11:02.542000</x:v>
      </x:c>
      <x:c r="C610" s="47" t="n">
        <x:v>300975</x:v>
      </x:c>
      <x:c r="D610" s="47" t="str"/>
      <x:c r="E610" s="47" t="str"/>
      <x:c r="F610" s="47" t="str">
        <x:v>current</x:v>
      </x:c>
      <x:c r="G610" s="47" t="n">
        <x:v>606</x:v>
      </x:c>
      <x:c r="H610" s="53" t="b">
        <x:v>1</x:v>
      </x:c>
      <x:c r="I610" s="47" t="str">
        <x:v>2682537910</x:v>
      </x:c>
      <x:c r="J610" s="47" t="n">
        <x:v>5719879</x:v>
      </x:c>
      <x:c r="K610" s="53" t="b">
        <x:v>1</x:v>
      </x:c>
      <x:c r="L610" s="53" t="b">
        <x:v>1</x:v>
      </x:c>
      <x:c r="M610" s="53" t="b">
        <x:v>1</x:v>
      </x:c>
      <x:c r="N610" s="53" t="b">
        <x:v>1</x:v>
      </x:c>
      <x:c r="O610" s="53" t="b">
        <x:v>1</x:v>
      </x:c>
      <x:c r="P610" s="47" t="n">
        <x:v>1008</x:v>
      </x:c>
      <x:c r="Q610" s="47" t="n">
        <x:v>0</x:v>
      </x:c>
      <x:c r="R610" s="47" t="n">
        <x:v>0</x:v>
      </x:c>
      <x:c r="S610" s="47" t="n">
        <x:v>28.45</x:v>
      </x:c>
      <x:c r="T610" s="47" t="n">
        <x:v>54.56</x:v>
      </x:c>
      <x:c r="U610" s="47" t="n">
        <x:v>30</x:v>
      </x:c>
      <x:c r="V610" s="47" t="n">
        <x:v>17.3</x:v>
      </x:c>
      <x:c r="W610" s="47" t="n">
        <x:v>1</x:v>
      </x:c>
      <x:c r="X610" s="47" t="n">
        <x:v>8</x:v>
      </x:c>
      <x:c r="Y610" s="41" t="n">
        <x:v>7</x:v>
      </x:c>
    </x:row>
    <x:row r="611">
      <x:c r="A611" s="38" t="str">
        <x:v>7月30日现场数据</x:v>
      </x:c>
      <x:c r="B611" s="66" t="str">
        <x:v>2026-08-01T16:16:03.520000</x:v>
      </x:c>
      <x:c r="C611" s="47" t="n">
        <x:v>300978</x:v>
      </x:c>
      <x:c r="D611" s="47" t="str"/>
      <x:c r="E611" s="47" t="str"/>
      <x:c r="F611" s="47" t="str">
        <x:v>current</x:v>
      </x:c>
      <x:c r="G611" s="47" t="n">
        <x:v>607</x:v>
      </x:c>
      <x:c r="H611" s="53" t="b">
        <x:v>1</x:v>
      </x:c>
      <x:c r="I611" s="47" t="str">
        <x:v>2682537910</x:v>
      </x:c>
      <x:c r="J611" s="47" t="n">
        <x:v>6020857</x:v>
      </x:c>
      <x:c r="K611" s="53" t="b">
        <x:v>1</x:v>
      </x:c>
      <x:c r="L611" s="53" t="b">
        <x:v>1</x:v>
      </x:c>
      <x:c r="M611" s="53" t="b">
        <x:v>1</x:v>
      </x:c>
      <x:c r="N611" s="53" t="b">
        <x:v>1</x:v>
      </x:c>
      <x:c r="O611" s="53" t="b">
        <x:v>1</x:v>
      </x:c>
      <x:c r="P611" s="47" t="n">
        <x:v>1008</x:v>
      </x:c>
      <x:c r="Q611" s="47" t="n">
        <x:v>0</x:v>
      </x:c>
      <x:c r="R611" s="47" t="n">
        <x:v>0</x:v>
      </x:c>
      <x:c r="S611" s="47" t="n">
        <x:v>28.51</x:v>
      </x:c>
      <x:c r="T611" s="47" t="n">
        <x:v>54.85</x:v>
      </x:c>
      <x:c r="U611" s="47" t="n">
        <x:v>30</x:v>
      </x:c>
      <x:c r="V611" s="47" t="n">
        <x:v>17.3</x:v>
      </x:c>
      <x:c r="W611" s="47" t="n">
        <x:v>1</x:v>
      </x:c>
      <x:c r="X611" s="47" t="n">
        <x:v>8</x:v>
      </x:c>
      <x:c r="Y611" s="41" t="n">
        <x:v>7</x:v>
      </x:c>
    </x:row>
    <x:row r="612">
      <x:c r="A612" s="38" t="str">
        <x:v>7月30日现场数据</x:v>
      </x:c>
      <x:c r="B612" s="66" t="str">
        <x:v>2026-08-01T16:21:04.495000</x:v>
      </x:c>
      <x:c r="C612" s="47" t="n">
        <x:v>300975</x:v>
      </x:c>
      <x:c r="D612" s="47" t="str"/>
      <x:c r="E612" s="47" t="str"/>
      <x:c r="F612" s="47" t="str">
        <x:v>current</x:v>
      </x:c>
      <x:c r="G612" s="47" t="n">
        <x:v>608</x:v>
      </x:c>
      <x:c r="H612" s="53" t="b">
        <x:v>1</x:v>
      </x:c>
      <x:c r="I612" s="47" t="str">
        <x:v>2682537910</x:v>
      </x:c>
      <x:c r="J612" s="47" t="n">
        <x:v>6321832</x:v>
      </x:c>
      <x:c r="K612" s="53" t="b">
        <x:v>1</x:v>
      </x:c>
      <x:c r="L612" s="53" t="b">
        <x:v>1</x:v>
      </x:c>
      <x:c r="M612" s="53" t="b">
        <x:v>1</x:v>
      </x:c>
      <x:c r="N612" s="53" t="b">
        <x:v>1</x:v>
      </x:c>
      <x:c r="O612" s="53" t="b">
        <x:v>1</x:v>
      </x:c>
      <x:c r="P612" s="47" t="n">
        <x:v>1008</x:v>
      </x:c>
      <x:c r="Q612" s="47" t="n">
        <x:v>0</x:v>
      </x:c>
      <x:c r="R612" s="47" t="n">
        <x:v>0</x:v>
      </x:c>
      <x:c r="S612" s="47" t="n">
        <x:v>28.55</x:v>
      </x:c>
      <x:c r="T612" s="47" t="n">
        <x:v>55.08</x:v>
      </x:c>
      <x:c r="U612" s="47" t="n">
        <x:v>29.9</x:v>
      </x:c>
      <x:c r="V612" s="47" t="n">
        <x:v>17.2</x:v>
      </x:c>
      <x:c r="W612" s="47" t="n">
        <x:v>2</x:v>
      </x:c>
      <x:c r="X612" s="47" t="n">
        <x:v>8</x:v>
      </x:c>
      <x:c r="Y612" s="41" t="n">
        <x:v>6</x:v>
      </x:c>
    </x:row>
    <x:row r="613">
      <x:c r="A613" s="38" t="str">
        <x:v>7月30日现场数据</x:v>
      </x:c>
      <x:c r="B613" s="66" t="str">
        <x:v>2026-08-01T16:26:05.476000</x:v>
      </x:c>
      <x:c r="C613" s="47" t="n">
        <x:v>300981</x:v>
      </x:c>
      <x:c r="D613" s="47" t="str"/>
      <x:c r="E613" s="47" t="str"/>
      <x:c r="F613" s="47" t="str">
        <x:v>current</x:v>
      </x:c>
      <x:c r="G613" s="47" t="n">
        <x:v>609</x:v>
      </x:c>
      <x:c r="H613" s="53" t="b">
        <x:v>1</x:v>
      </x:c>
      <x:c r="I613" s="47" t="str">
        <x:v>2682537910</x:v>
      </x:c>
      <x:c r="J613" s="47" t="n">
        <x:v>6622813</x:v>
      </x:c>
      <x:c r="K613" s="53" t="b">
        <x:v>1</x:v>
      </x:c>
      <x:c r="L613" s="53" t="b">
        <x:v>1</x:v>
      </x:c>
      <x:c r="M613" s="53" t="b">
        <x:v>1</x:v>
      </x:c>
      <x:c r="N613" s="53" t="b">
        <x:v>1</x:v>
      </x:c>
      <x:c r="O613" s="53" t="b">
        <x:v>1</x:v>
      </x:c>
      <x:c r="P613" s="47" t="n">
        <x:v>1008</x:v>
      </x:c>
      <x:c r="Q613" s="47" t="n">
        <x:v>0</x:v>
      </x:c>
      <x:c r="R613" s="47" t="n">
        <x:v>0</x:v>
      </x:c>
      <x:c r="S613" s="47" t="n">
        <x:v>28.55</x:v>
      </x:c>
      <x:c r="T613" s="47" t="n">
        <x:v>55.39</x:v>
      </x:c>
      <x:c r="U613" s="47" t="n">
        <x:v>29.9</x:v>
      </x:c>
      <x:c r="V613" s="47" t="n">
        <x:v>17.1</x:v>
      </x:c>
      <x:c r="W613" s="47" t="n">
        <x:v>2</x:v>
      </x:c>
      <x:c r="X613" s="47" t="n">
        <x:v>9</x:v>
      </x:c>
      <x:c r="Y613" s="41" t="n">
        <x:v>7</x:v>
      </x:c>
    </x:row>
    <x:row r="614">
      <x:c r="A614" s="38" t="str">
        <x:v>7月30日现场数据</x:v>
      </x:c>
      <x:c r="B614" s="66" t="str">
        <x:v>2026-08-01T16:31:06.458000</x:v>
      </x:c>
      <x:c r="C614" s="47" t="n">
        <x:v>300982</x:v>
      </x:c>
      <x:c r="D614" s="47" t="str"/>
      <x:c r="E614" s="47" t="str"/>
      <x:c r="F614" s="47" t="str">
        <x:v>current</x:v>
      </x:c>
      <x:c r="G614" s="47" t="n">
        <x:v>610</x:v>
      </x:c>
      <x:c r="H614" s="53" t="b">
        <x:v>1</x:v>
      </x:c>
      <x:c r="I614" s="47" t="str">
        <x:v>2682537910</x:v>
      </x:c>
      <x:c r="J614" s="47" t="n">
        <x:v>6923795</x:v>
      </x:c>
      <x:c r="K614" s="53" t="b">
        <x:v>1</x:v>
      </x:c>
      <x:c r="L614" s="53" t="b">
        <x:v>1</x:v>
      </x:c>
      <x:c r="M614" s="53" t="b">
        <x:v>1</x:v>
      </x:c>
      <x:c r="N614" s="53" t="b">
        <x:v>1</x:v>
      </x:c>
      <x:c r="O614" s="53" t="b">
        <x:v>1</x:v>
      </x:c>
      <x:c r="P614" s="47" t="n">
        <x:v>1007</x:v>
      </x:c>
      <x:c r="Q614" s="47" t="n">
        <x:v>0.004</x:v>
      </x:c>
      <x:c r="R614" s="47" t="n">
        <x:v>0.099</x:v>
      </x:c>
      <x:c r="S614" s="47" t="n">
        <x:v>28.53</x:v>
      </x:c>
      <x:c r="T614" s="47" t="n">
        <x:v>55.69</x:v>
      </x:c>
      <x:c r="U614" s="47" t="n">
        <x:v>29.9</x:v>
      </x:c>
      <x:c r="V614" s="47" t="n">
        <x:v>17.1</x:v>
      </x:c>
      <x:c r="W614" s="47" t="n">
        <x:v>2</x:v>
      </x:c>
      <x:c r="X614" s="47" t="n">
        <x:v>10</x:v>
      </x:c>
      <x:c r="Y614" s="41" t="n">
        <x:v>8</x:v>
      </x:c>
    </x:row>
    <x:row r="615">
      <x:c r="A615" s="38" t="str">
        <x:v>7月30日现场数据</x:v>
      </x:c>
      <x:c r="B615" s="66" t="str">
        <x:v>2026-08-01T16:36:07.441000</x:v>
      </x:c>
      <x:c r="C615" s="47" t="n">
        <x:v>300983</x:v>
      </x:c>
      <x:c r="D615" s="47" t="str"/>
      <x:c r="E615" s="47" t="str"/>
      <x:c r="F615" s="47" t="str">
        <x:v>current</x:v>
      </x:c>
      <x:c r="G615" s="47" t="n">
        <x:v>611</x:v>
      </x:c>
      <x:c r="H615" s="53" t="b">
        <x:v>1</x:v>
      </x:c>
      <x:c r="I615" s="47" t="str">
        <x:v>2682537910</x:v>
      </x:c>
      <x:c r="J615" s="47" t="n">
        <x:v>7224778</x:v>
      </x:c>
      <x:c r="K615" s="53" t="b">
        <x:v>1</x:v>
      </x:c>
      <x:c r="L615" s="53" t="b">
        <x:v>1</x:v>
      </x:c>
      <x:c r="M615" s="53" t="b">
        <x:v>1</x:v>
      </x:c>
      <x:c r="N615" s="53" t="b">
        <x:v>1</x:v>
      </x:c>
      <x:c r="O615" s="53" t="b">
        <x:v>1</x:v>
      </x:c>
      <x:c r="P615" s="47" t="n">
        <x:v>1007</x:v>
      </x:c>
      <x:c r="Q615" s="47" t="n">
        <x:v>0</x:v>
      </x:c>
      <x:c r="R615" s="47" t="n">
        <x:v>0</x:v>
      </x:c>
      <x:c r="S615" s="47" t="n">
        <x:v>28.55</x:v>
      </x:c>
      <x:c r="T615" s="47" t="n">
        <x:v>55.95</x:v>
      </x:c>
      <x:c r="U615" s="47" t="n">
        <x:v>29.9</x:v>
      </x:c>
      <x:c r="V615" s="47" t="n">
        <x:v>17</x:v>
      </x:c>
      <x:c r="W615" s="47" t="n">
        <x:v>2</x:v>
      </x:c>
      <x:c r="X615" s="47" t="n">
        <x:v>11</x:v>
      </x:c>
      <x:c r="Y615" s="41" t="n">
        <x:v>9</x:v>
      </x:c>
    </x:row>
    <x:row r="616">
      <x:c r="A616" s="38" t="str">
        <x:v>7月30日现场数据</x:v>
      </x:c>
      <x:c r="B616" s="66" t="str">
        <x:v>2026-08-01T16:41:08.423000</x:v>
      </x:c>
      <x:c r="C616" s="47" t="n">
        <x:v>300982</x:v>
      </x:c>
      <x:c r="D616" s="47" t="str"/>
      <x:c r="E616" s="47" t="str"/>
      <x:c r="F616" s="47" t="str">
        <x:v>current</x:v>
      </x:c>
      <x:c r="G616" s="47" t="n">
        <x:v>612</x:v>
      </x:c>
      <x:c r="H616" s="53" t="b">
        <x:v>1</x:v>
      </x:c>
      <x:c r="I616" s="47" t="str">
        <x:v>2682537910</x:v>
      </x:c>
      <x:c r="J616" s="47" t="n">
        <x:v>7525760</x:v>
      </x:c>
      <x:c r="K616" s="53" t="b">
        <x:v>1</x:v>
      </x:c>
      <x:c r="L616" s="53" t="b">
        <x:v>1</x:v>
      </x:c>
      <x:c r="M616" s="53" t="b">
        <x:v>1</x:v>
      </x:c>
      <x:c r="N616" s="53" t="b">
        <x:v>1</x:v>
      </x:c>
      <x:c r="O616" s="53" t="b">
        <x:v>1</x:v>
      </x:c>
      <x:c r="P616" s="47" t="n">
        <x:v>1007</x:v>
      </x:c>
      <x:c r="Q616" s="47" t="n">
        <x:v>0</x:v>
      </x:c>
      <x:c r="R616" s="47" t="n">
        <x:v>0</x:v>
      </x:c>
      <x:c r="S616" s="47" t="n">
        <x:v>28.59</x:v>
      </x:c>
      <x:c r="T616" s="47" t="n">
        <x:v>56.3</x:v>
      </x:c>
      <x:c r="U616" s="47" t="n">
        <x:v>29.8</x:v>
      </x:c>
      <x:c r="V616" s="47" t="n">
        <x:v>17</x:v>
      </x:c>
      <x:c r="W616" s="47" t="n">
        <x:v>2</x:v>
      </x:c>
      <x:c r="X616" s="47" t="n">
        <x:v>11</x:v>
      </x:c>
      <x:c r="Y616" s="41" t="n">
        <x:v>9</x:v>
      </x:c>
    </x:row>
    <x:row r="617">
      <x:c r="A617" s="38" t="str">
        <x:v>7月30日现场数据</x:v>
      </x:c>
      <x:c r="B617" s="66" t="str">
        <x:v>2026-08-01T16:46:09.409000</x:v>
      </x:c>
      <x:c r="C617" s="47" t="n">
        <x:v>300986</x:v>
      </x:c>
      <x:c r="D617" s="47" t="str"/>
      <x:c r="E617" s="47" t="str"/>
      <x:c r="F617" s="47" t="str">
        <x:v>current</x:v>
      </x:c>
      <x:c r="G617" s="47" t="n">
        <x:v>613</x:v>
      </x:c>
      <x:c r="H617" s="53" t="b">
        <x:v>1</x:v>
      </x:c>
      <x:c r="I617" s="47" t="str">
        <x:v>2682537910</x:v>
      </x:c>
      <x:c r="J617" s="47" t="n">
        <x:v>7826746</x:v>
      </x:c>
      <x:c r="K617" s="53" t="b">
        <x:v>1</x:v>
      </x:c>
      <x:c r="L617" s="53" t="b">
        <x:v>1</x:v>
      </x:c>
      <x:c r="M617" s="53" t="b">
        <x:v>1</x:v>
      </x:c>
      <x:c r="N617" s="53" t="b">
        <x:v>1</x:v>
      </x:c>
      <x:c r="O617" s="53" t="b">
        <x:v>1</x:v>
      </x:c>
      <x:c r="P617" s="47" t="n">
        <x:v>1007</x:v>
      </x:c>
      <x:c r="Q617" s="47" t="n">
        <x:v>0</x:v>
      </x:c>
      <x:c r="R617" s="47" t="n">
        <x:v>0</x:v>
      </x:c>
      <x:c r="S617" s="47" t="n">
        <x:v>28.64</x:v>
      </x:c>
      <x:c r="T617" s="47" t="n">
        <x:v>56.5</x:v>
      </x:c>
      <x:c r="U617" s="47" t="n">
        <x:v>29.8</x:v>
      </x:c>
      <x:c r="V617" s="47" t="n">
        <x:v>16.9</x:v>
      </x:c>
      <x:c r="W617" s="47" t="n">
        <x:v>2</x:v>
      </x:c>
      <x:c r="X617" s="47" t="n">
        <x:v>10</x:v>
      </x:c>
      <x:c r="Y617" s="41" t="n">
        <x:v>8</x:v>
      </x:c>
    </x:row>
    <x:row r="618">
      <x:c r="A618" s="38" t="str">
        <x:v>7月30日现场数据</x:v>
      </x:c>
      <x:c r="B618" s="66" t="str">
        <x:v>2026-08-01T16:51:10.430000</x:v>
      </x:c>
      <x:c r="C618" s="47" t="n">
        <x:v>301021</x:v>
      </x:c>
      <x:c r="D618" s="47" t="str"/>
      <x:c r="E618" s="47" t="str"/>
      <x:c r="F618" s="47" t="str">
        <x:v>current</x:v>
      </x:c>
      <x:c r="G618" s="47" t="n">
        <x:v>614</x:v>
      </x:c>
      <x:c r="H618" s="53" t="b">
        <x:v>1</x:v>
      </x:c>
      <x:c r="I618" s="47" t="str">
        <x:v>2682537910</x:v>
      </x:c>
      <x:c r="J618" s="47" t="n">
        <x:v>8127767</x:v>
      </x:c>
      <x:c r="K618" s="53" t="b">
        <x:v>1</x:v>
      </x:c>
      <x:c r="L618" s="53" t="b">
        <x:v>1</x:v>
      </x:c>
      <x:c r="M618" s="53" t="b">
        <x:v>1</x:v>
      </x:c>
      <x:c r="N618" s="53" t="b">
        <x:v>1</x:v>
      </x:c>
      <x:c r="O618" s="53" t="b">
        <x:v>1</x:v>
      </x:c>
      <x:c r="P618" s="47" t="n">
        <x:v>1007</x:v>
      </x:c>
      <x:c r="Q618" s="47" t="n">
        <x:v>0</x:v>
      </x:c>
      <x:c r="R618" s="47" t="n">
        <x:v>0</x:v>
      </x:c>
      <x:c r="S618" s="47" t="n">
        <x:v>28.69</x:v>
      </x:c>
      <x:c r="T618" s="47" t="n">
        <x:v>56.85</x:v>
      </x:c>
      <x:c r="U618" s="47" t="n">
        <x:v>29.8</x:v>
      </x:c>
      <x:c r="V618" s="47" t="n">
        <x:v>16.9</x:v>
      </x:c>
      <x:c r="W618" s="47" t="n">
        <x:v>2</x:v>
      </x:c>
      <x:c r="X618" s="47" t="n">
        <x:v>9</x:v>
      </x:c>
      <x:c r="Y618" s="41" t="n">
        <x:v>7</x:v>
      </x:c>
    </x:row>
    <x:row r="619">
      <x:c r="A619" s="38" t="str">
        <x:v>7月30日现场数据</x:v>
      </x:c>
      <x:c r="B619" s="66" t="str">
        <x:v>2026-08-01T16:56:11.394000</x:v>
      </x:c>
      <x:c r="C619" s="47" t="n">
        <x:v>300964</x:v>
      </x:c>
      <x:c r="D619" s="47" t="str"/>
      <x:c r="E619" s="47" t="str"/>
      <x:c r="F619" s="47" t="str">
        <x:v>current</x:v>
      </x:c>
      <x:c r="G619" s="47" t="n">
        <x:v>615</x:v>
      </x:c>
      <x:c r="H619" s="53" t="b">
        <x:v>1</x:v>
      </x:c>
      <x:c r="I619" s="47" t="str">
        <x:v>2682537910</x:v>
      </x:c>
      <x:c r="J619" s="47" t="n">
        <x:v>8428731</x:v>
      </x:c>
      <x:c r="K619" s="53" t="b">
        <x:v>1</x:v>
      </x:c>
      <x:c r="L619" s="53" t="b">
        <x:v>1</x:v>
      </x:c>
      <x:c r="M619" s="53" t="b">
        <x:v>1</x:v>
      </x:c>
      <x:c r="N619" s="53" t="b">
        <x:v>1</x:v>
      </x:c>
      <x:c r="O619" s="53" t="b">
        <x:v>1</x:v>
      </x:c>
      <x:c r="P619" s="47" t="n">
        <x:v>1007</x:v>
      </x:c>
      <x:c r="Q619" s="47" t="n">
        <x:v>0</x:v>
      </x:c>
      <x:c r="R619" s="47" t="n">
        <x:v>0</x:v>
      </x:c>
      <x:c r="S619" s="47" t="n">
        <x:v>28.64</x:v>
      </x:c>
      <x:c r="T619" s="47" t="n">
        <x:v>57.08</x:v>
      </x:c>
      <x:c r="U619" s="47" t="n">
        <x:v>29.7</x:v>
      </x:c>
      <x:c r="V619" s="47" t="n">
        <x:v>16.8</x:v>
      </x:c>
      <x:c r="W619" s="47" t="n">
        <x:v>2</x:v>
      </x:c>
      <x:c r="X619" s="47" t="n">
        <x:v>7</x:v>
      </x:c>
      <x:c r="Y619" s="41" t="n">
        <x:v>5</x:v>
      </x:c>
    </x:row>
    <x:row r="620">
      <x:c r="A620" s="38" t="str">
        <x:v>7月30日现场数据</x:v>
      </x:c>
      <x:c r="B620" s="66" t="str">
        <x:v>2026-08-01T17:01:12.359000</x:v>
      </x:c>
      <x:c r="C620" s="47" t="n">
        <x:v>300965</x:v>
      </x:c>
      <x:c r="D620" s="47" t="str"/>
      <x:c r="E620" s="47" t="str"/>
      <x:c r="F620" s="47" t="str">
        <x:v>current</x:v>
      </x:c>
      <x:c r="G620" s="47" t="n">
        <x:v>616</x:v>
      </x:c>
      <x:c r="H620" s="53" t="b">
        <x:v>1</x:v>
      </x:c>
      <x:c r="I620" s="47" t="str">
        <x:v>2682537910</x:v>
      </x:c>
      <x:c r="J620" s="47" t="n">
        <x:v>8729696</x:v>
      </x:c>
      <x:c r="K620" s="53" t="b">
        <x:v>1</x:v>
      </x:c>
      <x:c r="L620" s="53" t="b">
        <x:v>1</x:v>
      </x:c>
      <x:c r="M620" s="53" t="b">
        <x:v>1</x:v>
      </x:c>
      <x:c r="N620" s="53" t="b">
        <x:v>1</x:v>
      </x:c>
      <x:c r="O620" s="53" t="b">
        <x:v>1</x:v>
      </x:c>
      <x:c r="P620" s="47" t="n">
        <x:v>1007</x:v>
      </x:c>
      <x:c r="Q620" s="47" t="n">
        <x:v>0</x:v>
      </x:c>
      <x:c r="R620" s="47" t="n">
        <x:v>0</x:v>
      </x:c>
      <x:c r="S620" s="47" t="n">
        <x:v>28.66</x:v>
      </x:c>
      <x:c r="T620" s="47" t="n">
        <x:v>57.33</x:v>
      </x:c>
      <x:c r="U620" s="47" t="n">
        <x:v>29.7</x:v>
      </x:c>
      <x:c r="V620" s="47" t="n">
        <x:v>16.8</x:v>
      </x:c>
      <x:c r="W620" s="47" t="n">
        <x:v>1</x:v>
      </x:c>
      <x:c r="X620" s="47" t="n">
        <x:v>6</x:v>
      </x:c>
      <x:c r="Y620" s="41" t="n">
        <x:v>5</x:v>
      </x:c>
    </x:row>
    <x:row r="621">
      <x:c r="A621" s="38" t="str">
        <x:v>7月30日现场数据</x:v>
      </x:c>
      <x:c r="B621" s="66" t="str">
        <x:v>2026-08-01T17:06:13.326000</x:v>
      </x:c>
      <x:c r="C621" s="47" t="n">
        <x:v>300967</x:v>
      </x:c>
      <x:c r="D621" s="47" t="str"/>
      <x:c r="E621" s="47" t="str"/>
      <x:c r="F621" s="47" t="str">
        <x:v>current</x:v>
      </x:c>
      <x:c r="G621" s="47" t="n">
        <x:v>617</x:v>
      </x:c>
      <x:c r="H621" s="53" t="b">
        <x:v>1</x:v>
      </x:c>
      <x:c r="I621" s="47" t="str">
        <x:v>2682537910</x:v>
      </x:c>
      <x:c r="J621" s="47" t="n">
        <x:v>9030663</x:v>
      </x:c>
      <x:c r="K621" s="53" t="b">
        <x:v>1</x:v>
      </x:c>
      <x:c r="L621" s="53" t="b">
        <x:v>1</x:v>
      </x:c>
      <x:c r="M621" s="53" t="b">
        <x:v>1</x:v>
      </x:c>
      <x:c r="N621" s="53" t="b">
        <x:v>1</x:v>
      </x:c>
      <x:c r="O621" s="53" t="b">
        <x:v>1</x:v>
      </x:c>
      <x:c r="P621" s="47" t="n">
        <x:v>1007</x:v>
      </x:c>
      <x:c r="Q621" s="47" t="n">
        <x:v>0</x:v>
      </x:c>
      <x:c r="R621" s="47" t="n">
        <x:v>0</x:v>
      </x:c>
      <x:c r="S621" s="47" t="n">
        <x:v>28.57</x:v>
      </x:c>
      <x:c r="T621" s="47" t="n">
        <x:v>57.6</x:v>
      </x:c>
      <x:c r="U621" s="47" t="n">
        <x:v>29.6</x:v>
      </x:c>
      <x:c r="V621" s="47" t="n">
        <x:v>16.8</x:v>
      </x:c>
      <x:c r="W621" s="47" t="n">
        <x:v>1</x:v>
      </x:c>
      <x:c r="X621" s="47" t="n">
        <x:v>6</x:v>
      </x:c>
      <x:c r="Y621" s="41" t="n">
        <x:v>5</x:v>
      </x:c>
    </x:row>
    <x:row r="622">
      <x:c r="A622" s="38" t="str">
        <x:v>7月30日现场数据</x:v>
      </x:c>
      <x:c r="B622" s="66" t="str">
        <x:v>2026-08-01T17:11:14.295000</x:v>
      </x:c>
      <x:c r="C622" s="47" t="n">
        <x:v>300969</x:v>
      </x:c>
      <x:c r="D622" s="47" t="str"/>
      <x:c r="E622" s="47" t="str"/>
      <x:c r="F622" s="47" t="str">
        <x:v>current</x:v>
      </x:c>
      <x:c r="G622" s="47" t="n">
        <x:v>618</x:v>
      </x:c>
      <x:c r="H622" s="53" t="b">
        <x:v>1</x:v>
      </x:c>
      <x:c r="I622" s="47" t="str">
        <x:v>2682537910</x:v>
      </x:c>
      <x:c r="J622" s="47" t="n">
        <x:v>9331632</x:v>
      </x:c>
      <x:c r="K622" s="53" t="b">
        <x:v>1</x:v>
      </x:c>
      <x:c r="L622" s="53" t="b">
        <x:v>1</x:v>
      </x:c>
      <x:c r="M622" s="53" t="b">
        <x:v>1</x:v>
      </x:c>
      <x:c r="N622" s="53" t="b">
        <x:v>1</x:v>
      </x:c>
      <x:c r="O622" s="53" t="b">
        <x:v>1</x:v>
      </x:c>
      <x:c r="P622" s="47" t="n">
        <x:v>1007</x:v>
      </x:c>
      <x:c r="Q622" s="47" t="n">
        <x:v>0</x:v>
      </x:c>
      <x:c r="R622" s="47" t="n">
        <x:v>0</x:v>
      </x:c>
      <x:c r="S622" s="47" t="n">
        <x:v>28.51</x:v>
      </x:c>
      <x:c r="T622" s="47" t="n">
        <x:v>57.8</x:v>
      </x:c>
      <x:c r="U622" s="47" t="n">
        <x:v>29.6</x:v>
      </x:c>
      <x:c r="V622" s="47" t="n">
        <x:v>16.7</x:v>
      </x:c>
      <x:c r="W622" s="47" t="n">
        <x:v>1</x:v>
      </x:c>
      <x:c r="X622" s="47" t="n">
        <x:v>7</x:v>
      </x:c>
      <x:c r="Y622" s="41" t="n">
        <x:v>6</x:v>
      </x:c>
    </x:row>
    <x:row r="623">
      <x:c r="A623" s="38" t="str">
        <x:v>7月30日现场数据</x:v>
      </x:c>
      <x:c r="B623" s="66" t="str">
        <x:v>2026-08-01T17:16:15.266000</x:v>
      </x:c>
      <x:c r="C623" s="47" t="n">
        <x:v>300971</x:v>
      </x:c>
      <x:c r="D623" s="47" t="str"/>
      <x:c r="E623" s="47" t="str"/>
      <x:c r="F623" s="47" t="str">
        <x:v>current</x:v>
      </x:c>
      <x:c r="G623" s="47" t="n">
        <x:v>619</x:v>
      </x:c>
      <x:c r="H623" s="53" t="b">
        <x:v>1</x:v>
      </x:c>
      <x:c r="I623" s="47" t="str">
        <x:v>2682537910</x:v>
      </x:c>
      <x:c r="J623" s="47" t="n">
        <x:v>9632603</x:v>
      </x:c>
      <x:c r="K623" s="53" t="b">
        <x:v>1</x:v>
      </x:c>
      <x:c r="L623" s="53" t="b">
        <x:v>1</x:v>
      </x:c>
      <x:c r="M623" s="53" t="b">
        <x:v>1</x:v>
      </x:c>
      <x:c r="N623" s="53" t="b">
        <x:v>1</x:v>
      </x:c>
      <x:c r="O623" s="53" t="b">
        <x:v>1</x:v>
      </x:c>
      <x:c r="P623" s="47" t="n">
        <x:v>1007</x:v>
      </x:c>
      <x:c r="Q623" s="47" t="n">
        <x:v>0</x:v>
      </x:c>
      <x:c r="R623" s="47" t="n">
        <x:v>0</x:v>
      </x:c>
      <x:c r="S623" s="47" t="n">
        <x:v>28.5</x:v>
      </x:c>
      <x:c r="T623" s="47" t="n">
        <x:v>58.06</x:v>
      </x:c>
      <x:c r="U623" s="47" t="n">
        <x:v>29.6</x:v>
      </x:c>
      <x:c r="V623" s="47" t="n">
        <x:v>16.7</x:v>
      </x:c>
      <x:c r="W623" s="47" t="n">
        <x:v>1</x:v>
      </x:c>
      <x:c r="X623" s="47" t="n">
        <x:v>7</x:v>
      </x:c>
      <x:c r="Y623" s="41" t="n">
        <x:v>6</x:v>
      </x:c>
    </x:row>
    <x:row r="624">
      <x:c r="A624" s="38" t="str">
        <x:v>7月30日现场数据</x:v>
      </x:c>
      <x:c r="B624" s="66" t="str">
        <x:v>2026-08-01T17:21:16.240000</x:v>
      </x:c>
      <x:c r="C624" s="47" t="n">
        <x:v>300974</x:v>
      </x:c>
      <x:c r="D624" s="47" t="str"/>
      <x:c r="E624" s="47" t="str"/>
      <x:c r="F624" s="47" t="str">
        <x:v>current</x:v>
      </x:c>
      <x:c r="G624" s="47" t="n">
        <x:v>620</x:v>
      </x:c>
      <x:c r="H624" s="53" t="b">
        <x:v>1</x:v>
      </x:c>
      <x:c r="I624" s="47" t="str">
        <x:v>2682537910</x:v>
      </x:c>
      <x:c r="J624" s="47" t="n">
        <x:v>9933577</x:v>
      </x:c>
      <x:c r="K624" s="53" t="b">
        <x:v>1</x:v>
      </x:c>
      <x:c r="L624" s="53" t="b">
        <x:v>1</x:v>
      </x:c>
      <x:c r="M624" s="53" t="b">
        <x:v>1</x:v>
      </x:c>
      <x:c r="N624" s="53" t="b">
        <x:v>1</x:v>
      </x:c>
      <x:c r="O624" s="53" t="b">
        <x:v>1</x:v>
      </x:c>
      <x:c r="P624" s="47" t="n">
        <x:v>1007</x:v>
      </x:c>
      <x:c r="Q624" s="47" t="n">
        <x:v>0</x:v>
      </x:c>
      <x:c r="R624" s="47" t="n">
        <x:v>0</x:v>
      </x:c>
      <x:c r="S624" s="47" t="n">
        <x:v>28.57</x:v>
      </x:c>
      <x:c r="T624" s="47" t="n">
        <x:v>58.31</x:v>
      </x:c>
      <x:c r="U624" s="47" t="n">
        <x:v>29.6</x:v>
      </x:c>
      <x:c r="V624" s="47" t="n">
        <x:v>16.7</x:v>
      </x:c>
      <x:c r="W624" s="47" t="n">
        <x:v>1</x:v>
      </x:c>
      <x:c r="X624" s="47" t="n">
        <x:v>8</x:v>
      </x:c>
      <x:c r="Y624" s="41" t="n">
        <x:v>7</x:v>
      </x:c>
    </x:row>
    <x:row r="625">
      <x:c r="A625" s="38" t="str">
        <x:v>7月30日现场数据</x:v>
      </x:c>
      <x:c r="B625" s="66" t="str">
        <x:v>2026-08-01T17:26:17.213000</x:v>
      </x:c>
      <x:c r="C625" s="47" t="n">
        <x:v>300973</x:v>
      </x:c>
      <x:c r="D625" s="47" t="str"/>
      <x:c r="E625" s="47" t="str"/>
      <x:c r="F625" s="47" t="str">
        <x:v>current</x:v>
      </x:c>
      <x:c r="G625" s="47" t="n">
        <x:v>621</x:v>
      </x:c>
      <x:c r="H625" s="53" t="b">
        <x:v>1</x:v>
      </x:c>
      <x:c r="I625" s="47" t="str">
        <x:v>2682537910</x:v>
      </x:c>
      <x:c r="J625" s="47" t="n">
        <x:v>10234550</x:v>
      </x:c>
      <x:c r="K625" s="53" t="b">
        <x:v>1</x:v>
      </x:c>
      <x:c r="L625" s="53" t="b">
        <x:v>1</x:v>
      </x:c>
      <x:c r="M625" s="53" t="b">
        <x:v>1</x:v>
      </x:c>
      <x:c r="N625" s="53" t="b">
        <x:v>1</x:v>
      </x:c>
      <x:c r="O625" s="53" t="b">
        <x:v>1</x:v>
      </x:c>
      <x:c r="P625" s="47" t="n">
        <x:v>1007</x:v>
      </x:c>
      <x:c r="Q625" s="47" t="n">
        <x:v>0</x:v>
      </x:c>
      <x:c r="R625" s="47" t="n">
        <x:v>0</x:v>
      </x:c>
      <x:c r="S625" s="47" t="n">
        <x:v>28.6</x:v>
      </x:c>
      <x:c r="T625" s="47" t="n">
        <x:v>58.63</x:v>
      </x:c>
      <x:c r="U625" s="47" t="n">
        <x:v>29.6</x:v>
      </x:c>
      <x:c r="V625" s="47" t="n">
        <x:v>16.6</x:v>
      </x:c>
      <x:c r="W625" s="47" t="n">
        <x:v>2</x:v>
      </x:c>
      <x:c r="X625" s="47" t="n">
        <x:v>9</x:v>
      </x:c>
      <x:c r="Y625" s="41" t="n">
        <x:v>7</x:v>
      </x:c>
    </x:row>
    <x:row r="626">
      <x:c r="A626" s="38" t="str">
        <x:v>7月30日现场数据</x:v>
      </x:c>
      <x:c r="B626" s="66" t="str">
        <x:v>2026-08-01T17:31:18.192000</x:v>
      </x:c>
      <x:c r="C626" s="47" t="n">
        <x:v>300979</x:v>
      </x:c>
      <x:c r="D626" s="47" t="str"/>
      <x:c r="E626" s="47" t="str"/>
      <x:c r="F626" s="47" t="str">
        <x:v>current</x:v>
      </x:c>
      <x:c r="G626" s="47" t="n">
        <x:v>622</x:v>
      </x:c>
      <x:c r="H626" s="53" t="b">
        <x:v>1</x:v>
      </x:c>
      <x:c r="I626" s="47" t="str">
        <x:v>2682537910</x:v>
      </x:c>
      <x:c r="J626" s="47" t="n">
        <x:v>10535529</x:v>
      </x:c>
      <x:c r="K626" s="53" t="b">
        <x:v>1</x:v>
      </x:c>
      <x:c r="L626" s="53" t="b">
        <x:v>1</x:v>
      </x:c>
      <x:c r="M626" s="53" t="b">
        <x:v>1</x:v>
      </x:c>
      <x:c r="N626" s="53" t="b">
        <x:v>1</x:v>
      </x:c>
      <x:c r="O626" s="53" t="b">
        <x:v>1</x:v>
      </x:c>
      <x:c r="P626" s="47" t="n">
        <x:v>1007</x:v>
      </x:c>
      <x:c r="Q626" s="47" t="n">
        <x:v>0</x:v>
      </x:c>
      <x:c r="R626" s="47" t="n">
        <x:v>0</x:v>
      </x:c>
      <x:c r="S626" s="47" t="n">
        <x:v>28.65</x:v>
      </x:c>
      <x:c r="T626" s="47" t="n">
        <x:v>58.84</x:v>
      </x:c>
      <x:c r="U626" s="47" t="n">
        <x:v>29.6</x:v>
      </x:c>
      <x:c r="V626" s="47" t="n">
        <x:v>16.6</x:v>
      </x:c>
      <x:c r="W626" s="47" t="n">
        <x:v>2</x:v>
      </x:c>
      <x:c r="X626" s="47" t="n">
        <x:v>11</x:v>
      </x:c>
      <x:c r="Y626" s="41" t="n">
        <x:v>9</x:v>
      </x:c>
    </x:row>
    <x:row r="627">
      <x:c r="A627" s="38" t="str">
        <x:v>7月30日现场数据</x:v>
      </x:c>
      <x:c r="B627" s="66" t="str">
        <x:v>2026-08-01T17:36:19.173000</x:v>
      </x:c>
      <x:c r="C627" s="47" t="n">
        <x:v>300981</x:v>
      </x:c>
      <x:c r="D627" s="47" t="str"/>
      <x:c r="E627" s="47" t="str"/>
      <x:c r="F627" s="47" t="str">
        <x:v>current</x:v>
      </x:c>
      <x:c r="G627" s="47" t="n">
        <x:v>623</x:v>
      </x:c>
      <x:c r="H627" s="53" t="b">
        <x:v>1</x:v>
      </x:c>
      <x:c r="I627" s="47" t="str">
        <x:v>2682537910</x:v>
      </x:c>
      <x:c r="J627" s="47" t="n">
        <x:v>10836510</x:v>
      </x:c>
      <x:c r="K627" s="53" t="b">
        <x:v>1</x:v>
      </x:c>
      <x:c r="L627" s="53" t="b">
        <x:v>1</x:v>
      </x:c>
      <x:c r="M627" s="53" t="b">
        <x:v>1</x:v>
      </x:c>
      <x:c r="N627" s="53" t="b">
        <x:v>1</x:v>
      </x:c>
      <x:c r="O627" s="53" t="b">
        <x:v>1</x:v>
      </x:c>
      <x:c r="P627" s="47" t="n">
        <x:v>1007</x:v>
      </x:c>
      <x:c r="Q627" s="47" t="n">
        <x:v>0</x:v>
      </x:c>
      <x:c r="R627" s="47" t="n">
        <x:v>0</x:v>
      </x:c>
      <x:c r="S627" s="47" t="n">
        <x:v>28.68</x:v>
      </x:c>
      <x:c r="T627" s="47" t="n">
        <x:v>59.13</x:v>
      </x:c>
      <x:c r="U627" s="47" t="n">
        <x:v>29.5</x:v>
      </x:c>
      <x:c r="V627" s="47" t="n">
        <x:v>16.6</x:v>
      </x:c>
      <x:c r="W627" s="47" t="n">
        <x:v>3</x:v>
      </x:c>
      <x:c r="X627" s="47" t="n">
        <x:v>17</x:v>
      </x:c>
      <x:c r="Y627" s="41" t="n">
        <x:v>14</x:v>
      </x:c>
    </x:row>
    <x:row r="628">
      <x:c r="A628" s="38" t="str">
        <x:v>7月30日现场数据</x:v>
      </x:c>
      <x:c r="B628" s="66" t="str">
        <x:v>2026-08-01T17:41:20.152000</x:v>
      </x:c>
      <x:c r="C628" s="47" t="n">
        <x:v>300979</x:v>
      </x:c>
      <x:c r="D628" s="47" t="str"/>
      <x:c r="E628" s="47" t="str"/>
      <x:c r="F628" s="47" t="str">
        <x:v>current</x:v>
      </x:c>
      <x:c r="G628" s="47" t="n">
        <x:v>624</x:v>
      </x:c>
      <x:c r="H628" s="53" t="b">
        <x:v>1</x:v>
      </x:c>
      <x:c r="I628" s="47" t="str">
        <x:v>2682537910</x:v>
      </x:c>
      <x:c r="J628" s="47" t="n">
        <x:v>11137489</x:v>
      </x:c>
      <x:c r="K628" s="53" t="b">
        <x:v>1</x:v>
      </x:c>
      <x:c r="L628" s="53" t="b">
        <x:v>1</x:v>
      </x:c>
      <x:c r="M628" s="53" t="b">
        <x:v>1</x:v>
      </x:c>
      <x:c r="N628" s="53" t="b">
        <x:v>1</x:v>
      </x:c>
      <x:c r="O628" s="53" t="b">
        <x:v>1</x:v>
      </x:c>
      <x:c r="P628" s="47" t="n">
        <x:v>1007</x:v>
      </x:c>
      <x:c r="Q628" s="47" t="n">
        <x:v>0</x:v>
      </x:c>
      <x:c r="R628" s="47" t="n">
        <x:v>0</x:v>
      </x:c>
      <x:c r="S628" s="47" t="n">
        <x:v>28.86</x:v>
      </x:c>
      <x:c r="T628" s="47" t="n">
        <x:v>59.35</x:v>
      </x:c>
      <x:c r="U628" s="47" t="n">
        <x:v>29.5</x:v>
      </x:c>
      <x:c r="V628" s="47" t="n">
        <x:v>16.6</x:v>
      </x:c>
      <x:c r="W628" s="47" t="n">
        <x:v>5</x:v>
      </x:c>
      <x:c r="X628" s="47" t="n">
        <x:v>24</x:v>
      </x:c>
      <x:c r="Y628" s="41" t="n">
        <x:v>19</x:v>
      </x:c>
    </x:row>
    <x:row r="629">
      <x:c r="A629" s="38" t="str">
        <x:v>7月30日现场数据</x:v>
      </x:c>
      <x:c r="B629" s="66" t="str">
        <x:v>2026-08-01T17:46:21.135000</x:v>
      </x:c>
      <x:c r="C629" s="47" t="n">
        <x:v>300983</x:v>
      </x:c>
      <x:c r="D629" s="47" t="str"/>
      <x:c r="E629" s="47" t="str"/>
      <x:c r="F629" s="47" t="str">
        <x:v>current</x:v>
      </x:c>
      <x:c r="G629" s="47" t="n">
        <x:v>625</x:v>
      </x:c>
      <x:c r="H629" s="53" t="b">
        <x:v>1</x:v>
      </x:c>
      <x:c r="I629" s="47" t="str">
        <x:v>2682537910</x:v>
      </x:c>
      <x:c r="J629" s="47" t="n">
        <x:v>11438472</x:v>
      </x:c>
      <x:c r="K629" s="53" t="b">
        <x:v>1</x:v>
      </x:c>
      <x:c r="L629" s="53" t="b">
        <x:v>1</x:v>
      </x:c>
      <x:c r="M629" s="53" t="b">
        <x:v>1</x:v>
      </x:c>
      <x:c r="N629" s="53" t="b">
        <x:v>1</x:v>
      </x:c>
      <x:c r="O629" s="53" t="b">
        <x:v>1</x:v>
      </x:c>
      <x:c r="P629" s="47" t="n">
        <x:v>1007</x:v>
      </x:c>
      <x:c r="Q629" s="47" t="n">
        <x:v>0</x:v>
      </x:c>
      <x:c r="R629" s="47" t="n">
        <x:v>0</x:v>
      </x:c>
      <x:c r="S629" s="47" t="n">
        <x:v>29.1</x:v>
      </x:c>
      <x:c r="T629" s="47" t="n">
        <x:v>59.77</x:v>
      </x:c>
      <x:c r="U629" s="47" t="n">
        <x:v>29.5</x:v>
      </x:c>
      <x:c r="V629" s="47" t="n">
        <x:v>16.6</x:v>
      </x:c>
      <x:c r="W629" s="47" t="n">
        <x:v>6</x:v>
      </x:c>
      <x:c r="X629" s="47" t="n">
        <x:v>28</x:v>
      </x:c>
      <x:c r="Y629" s="41" t="n">
        <x:v>22</x:v>
      </x:c>
    </x:row>
    <x:row r="630">
      <x:c r="A630" s="38" t="str">
        <x:v>7月30日现场数据</x:v>
      </x:c>
      <x:c r="B630" s="66" t="str">
        <x:v>2026-08-01T17:51:22.121000</x:v>
      </x:c>
      <x:c r="C630" s="47" t="n">
        <x:v>300986</x:v>
      </x:c>
      <x:c r="D630" s="47" t="str"/>
      <x:c r="E630" s="47" t="str"/>
      <x:c r="F630" s="47" t="str">
        <x:v>current</x:v>
      </x:c>
      <x:c r="G630" s="47" t="n">
        <x:v>626</x:v>
      </x:c>
      <x:c r="H630" s="53" t="b">
        <x:v>1</x:v>
      </x:c>
      <x:c r="I630" s="47" t="str">
        <x:v>2682537910</x:v>
      </x:c>
      <x:c r="J630" s="47" t="n">
        <x:v>11739458</x:v>
      </x:c>
      <x:c r="K630" s="53" t="b">
        <x:v>1</x:v>
      </x:c>
      <x:c r="L630" s="53" t="b">
        <x:v>1</x:v>
      </x:c>
      <x:c r="M630" s="53" t="b">
        <x:v>1</x:v>
      </x:c>
      <x:c r="N630" s="53" t="b">
        <x:v>1</x:v>
      </x:c>
      <x:c r="O630" s="53" t="b">
        <x:v>1</x:v>
      </x:c>
      <x:c r="P630" s="47" t="n">
        <x:v>1007</x:v>
      </x:c>
      <x:c r="Q630" s="47" t="n">
        <x:v>0</x:v>
      </x:c>
      <x:c r="R630" s="47" t="n">
        <x:v>0</x:v>
      </x:c>
      <x:c r="S630" s="47" t="n">
        <x:v>29.23</x:v>
      </x:c>
      <x:c r="T630" s="47" t="n">
        <x:v>60.06</x:v>
      </x:c>
      <x:c r="U630" s="47" t="n">
        <x:v>29.5</x:v>
      </x:c>
      <x:c r="V630" s="47" t="n">
        <x:v>16.5</x:v>
      </x:c>
      <x:c r="W630" s="47" t="n">
        <x:v>5</x:v>
      </x:c>
      <x:c r="X630" s="47" t="n">
        <x:v>25</x:v>
      </x:c>
      <x:c r="Y630" s="41" t="n">
        <x:v>20</x:v>
      </x:c>
    </x:row>
    <x:row r="631">
      <x:c r="A631" s="38" t="str">
        <x:v>7月30日现场数据</x:v>
      </x:c>
      <x:c r="B631" s="66" t="str">
        <x:v>2026-08-01T17:56:23.106000</x:v>
      </x:c>
      <x:c r="C631" s="47" t="n">
        <x:v>300985</x:v>
      </x:c>
      <x:c r="D631" s="47" t="str"/>
      <x:c r="E631" s="47" t="str"/>
      <x:c r="F631" s="47" t="str">
        <x:v>current</x:v>
      </x:c>
      <x:c r="G631" s="47" t="n">
        <x:v>627</x:v>
      </x:c>
      <x:c r="H631" s="53" t="b">
        <x:v>1</x:v>
      </x:c>
      <x:c r="I631" s="47" t="str">
        <x:v>2682537910</x:v>
      </x:c>
      <x:c r="J631" s="47" t="n">
        <x:v>12040443</x:v>
      </x:c>
      <x:c r="K631" s="53" t="b">
        <x:v>1</x:v>
      </x:c>
      <x:c r="L631" s="53" t="b">
        <x:v>1</x:v>
      </x:c>
      <x:c r="M631" s="53" t="b">
        <x:v>1</x:v>
      </x:c>
      <x:c r="N631" s="53" t="b">
        <x:v>1</x:v>
      </x:c>
      <x:c r="O631" s="53" t="b">
        <x:v>1</x:v>
      </x:c>
      <x:c r="P631" s="47" t="n">
        <x:v>1007</x:v>
      </x:c>
      <x:c r="Q631" s="47" t="n">
        <x:v>0.125</x:v>
      </x:c>
      <x:c r="R631" s="47" t="n">
        <x:v>3.363</x:v>
      </x:c>
      <x:c r="S631" s="47" t="n">
        <x:v>29.32</x:v>
      </x:c>
      <x:c r="T631" s="47" t="n">
        <x:v>60.31</x:v>
      </x:c>
      <x:c r="U631" s="47" t="n">
        <x:v>29.5</x:v>
      </x:c>
      <x:c r="V631" s="47" t="n">
        <x:v>16.5</x:v>
      </x:c>
      <x:c r="W631" s="47" t="n">
        <x:v>4</x:v>
      </x:c>
      <x:c r="X631" s="47" t="n">
        <x:v>21</x:v>
      </x:c>
      <x:c r="Y631" s="41" t="n">
        <x:v>17</x:v>
      </x:c>
    </x:row>
    <x:row r="632">
      <x:c r="A632" s="38" t="str">
        <x:v>7月30日现场数据</x:v>
      </x:c>
      <x:c r="B632" s="66" t="str">
        <x:v>2026-08-01T18:01:24.092000</x:v>
      </x:c>
      <x:c r="C632" s="47" t="n">
        <x:v>300986</x:v>
      </x:c>
      <x:c r="D632" s="47" t="str"/>
      <x:c r="E632" s="47" t="str"/>
      <x:c r="F632" s="47" t="str">
        <x:v>current</x:v>
      </x:c>
      <x:c r="G632" s="47" t="n">
        <x:v>628</x:v>
      </x:c>
      <x:c r="H632" s="53" t="b">
        <x:v>1</x:v>
      </x:c>
      <x:c r="I632" s="47" t="str">
        <x:v>2682537910</x:v>
      </x:c>
      <x:c r="J632" s="47" t="n">
        <x:v>12341429</x:v>
      </x:c>
      <x:c r="K632" s="53" t="b">
        <x:v>1</x:v>
      </x:c>
      <x:c r="L632" s="53" t="b">
        <x:v>1</x:v>
      </x:c>
      <x:c r="M632" s="53" t="b">
        <x:v>1</x:v>
      </x:c>
      <x:c r="N632" s="53" t="b">
        <x:v>1</x:v>
      </x:c>
      <x:c r="O632" s="53" t="b">
        <x:v>1</x:v>
      </x:c>
      <x:c r="P632" s="47" t="n">
        <x:v>1007</x:v>
      </x:c>
      <x:c r="Q632" s="47" t="n">
        <x:v>0</x:v>
      </x:c>
      <x:c r="R632" s="47" t="n">
        <x:v>0</x:v>
      </x:c>
      <x:c r="S632" s="47" t="n">
        <x:v>29.37</x:v>
      </x:c>
      <x:c r="T632" s="47" t="n">
        <x:v>60.6</x:v>
      </x:c>
      <x:c r="U632" s="47" t="n">
        <x:v>29.5</x:v>
      </x:c>
      <x:c r="V632" s="47" t="n">
        <x:v>16.5</x:v>
      </x:c>
      <x:c r="W632" s="47" t="n">
        <x:v>3</x:v>
      </x:c>
      <x:c r="X632" s="47" t="n">
        <x:v>14</x:v>
      </x:c>
      <x:c r="Y632" s="41" t="n">
        <x:v>11</x:v>
      </x:c>
    </x:row>
    <x:row r="633">
      <x:c r="A633" s="38" t="str">
        <x:v>7月30日现场数据</x:v>
      </x:c>
      <x:c r="B633" s="66" t="str">
        <x:v>2026-08-01T18:06:25.081000</x:v>
      </x:c>
      <x:c r="C633" s="47" t="n">
        <x:v>300989</x:v>
      </x:c>
      <x:c r="D633" s="47" t="str"/>
      <x:c r="E633" s="47" t="str"/>
      <x:c r="F633" s="47" t="str">
        <x:v>current</x:v>
      </x:c>
      <x:c r="G633" s="47" t="n">
        <x:v>629</x:v>
      </x:c>
      <x:c r="H633" s="53" t="b">
        <x:v>1</x:v>
      </x:c>
      <x:c r="I633" s="47" t="str">
        <x:v>2682537910</x:v>
      </x:c>
      <x:c r="J633" s="47" t="n">
        <x:v>12642418</x:v>
      </x:c>
      <x:c r="K633" s="53" t="b">
        <x:v>1</x:v>
      </x:c>
      <x:c r="L633" s="53" t="b">
        <x:v>1</x:v>
      </x:c>
      <x:c r="M633" s="53" t="b">
        <x:v>1</x:v>
      </x:c>
      <x:c r="N633" s="53" t="b">
        <x:v>1</x:v>
      </x:c>
      <x:c r="O633" s="53" t="b">
        <x:v>1</x:v>
      </x:c>
      <x:c r="P633" s="47" t="n">
        <x:v>1007</x:v>
      </x:c>
      <x:c r="Q633" s="47" t="n">
        <x:v>0</x:v>
      </x:c>
      <x:c r="R633" s="47" t="n">
        <x:v>0</x:v>
      </x:c>
      <x:c r="S633" s="47" t="n">
        <x:v>29.37</x:v>
      </x:c>
      <x:c r="T633" s="47" t="n">
        <x:v>60.84</x:v>
      </x:c>
      <x:c r="U633" s="47" t="n">
        <x:v>29.5</x:v>
      </x:c>
      <x:c r="V633" s="47" t="n">
        <x:v>16.5</x:v>
      </x:c>
      <x:c r="W633" s="47" t="n">
        <x:v>2</x:v>
      </x:c>
      <x:c r="X633" s="47" t="n">
        <x:v>10</x:v>
      </x:c>
      <x:c r="Y633" s="41" t="n">
        <x:v>8</x:v>
      </x:c>
    </x:row>
    <x:row r="634">
      <x:c r="A634" s="38" t="str">
        <x:v>7月30日现场数据</x:v>
      </x:c>
      <x:c r="B634" s="66" t="str">
        <x:v>2026-08-01T18:11:26.107000</x:v>
      </x:c>
      <x:c r="C634" s="47" t="n">
        <x:v>301026</x:v>
      </x:c>
      <x:c r="D634" s="47" t="str"/>
      <x:c r="E634" s="47" t="str"/>
      <x:c r="F634" s="47" t="str">
        <x:v>current</x:v>
      </x:c>
      <x:c r="G634" s="47" t="n">
        <x:v>630</x:v>
      </x:c>
      <x:c r="H634" s="53" t="b">
        <x:v>1</x:v>
      </x:c>
      <x:c r="I634" s="47" t="str">
        <x:v>2682537910</x:v>
      </x:c>
      <x:c r="J634" s="47" t="n">
        <x:v>12943444</x:v>
      </x:c>
      <x:c r="K634" s="53" t="b">
        <x:v>1</x:v>
      </x:c>
      <x:c r="L634" s="53" t="b">
        <x:v>1</x:v>
      </x:c>
      <x:c r="M634" s="53" t="b">
        <x:v>1</x:v>
      </x:c>
      <x:c r="N634" s="53" t="b">
        <x:v>1</x:v>
      </x:c>
      <x:c r="O634" s="53" t="b">
        <x:v>1</x:v>
      </x:c>
      <x:c r="P634" s="47" t="n">
        <x:v>1007</x:v>
      </x:c>
      <x:c r="Q634" s="47" t="n">
        <x:v>0</x:v>
      </x:c>
      <x:c r="R634" s="47" t="n">
        <x:v>0</x:v>
      </x:c>
      <x:c r="S634" s="47" t="n">
        <x:v>29.31</x:v>
      </x:c>
      <x:c r="T634" s="47" t="n">
        <x:v>61.06</x:v>
      </x:c>
      <x:c r="U634" s="47" t="n">
        <x:v>29.5</x:v>
      </x:c>
      <x:c r="V634" s="47" t="n">
        <x:v>16.5</x:v>
      </x:c>
      <x:c r="W634" s="47" t="n">
        <x:v>1</x:v>
      </x:c>
      <x:c r="X634" s="47" t="n">
        <x:v>6</x:v>
      </x:c>
      <x:c r="Y634" s="41" t="n">
        <x:v>5</x:v>
      </x:c>
    </x:row>
    <x:row r="635">
      <x:c r="A635" s="38" t="str">
        <x:v>7月30日现场数据</x:v>
      </x:c>
      <x:c r="B635" s="66" t="str">
        <x:v>2026-08-01T18:16:27.077000</x:v>
      </x:c>
      <x:c r="C635" s="47" t="n">
        <x:v>300970</x:v>
      </x:c>
      <x:c r="D635" s="47" t="str"/>
      <x:c r="E635" s="47" t="str"/>
      <x:c r="F635" s="47" t="str">
        <x:v>current</x:v>
      </x:c>
      <x:c r="G635" s="47" t="n">
        <x:v>631</x:v>
      </x:c>
      <x:c r="H635" s="53" t="b">
        <x:v>1</x:v>
      </x:c>
      <x:c r="I635" s="47" t="str">
        <x:v>2682537910</x:v>
      </x:c>
      <x:c r="J635" s="47" t="n">
        <x:v>13244414</x:v>
      </x:c>
      <x:c r="K635" s="53" t="b">
        <x:v>1</x:v>
      </x:c>
      <x:c r="L635" s="53" t="b">
        <x:v>1</x:v>
      </x:c>
      <x:c r="M635" s="53" t="b">
        <x:v>1</x:v>
      </x:c>
      <x:c r="N635" s="53" t="b">
        <x:v>1</x:v>
      </x:c>
      <x:c r="O635" s="53" t="b">
        <x:v>1</x:v>
      </x:c>
      <x:c r="P635" s="47" t="n">
        <x:v>1008</x:v>
      </x:c>
      <x:c r="Q635" s="47" t="n">
        <x:v>0</x:v>
      </x:c>
      <x:c r="R635" s="47" t="n">
        <x:v>0</x:v>
      </x:c>
      <x:c r="S635" s="47" t="n">
        <x:v>29.23</x:v>
      </x:c>
      <x:c r="T635" s="47" t="n">
        <x:v>61.28</x:v>
      </x:c>
      <x:c r="U635" s="47" t="n">
        <x:v>29.5</x:v>
      </x:c>
      <x:c r="V635" s="47" t="n">
        <x:v>16.5</x:v>
      </x:c>
      <x:c r="W635" s="47" t="n">
        <x:v>1</x:v>
      </x:c>
      <x:c r="X635" s="47" t="n">
        <x:v>3</x:v>
      </x:c>
      <x:c r="Y635" s="41" t="n">
        <x:v>2</x:v>
      </x:c>
    </x:row>
    <x:row r="636">
      <x:c r="A636" s="38" t="str">
        <x:v>7月30日现场数据</x:v>
      </x:c>
      <x:c r="B636" s="66" t="str">
        <x:v>2026-08-01T18:21:28.048000</x:v>
      </x:c>
      <x:c r="C636" s="47" t="n">
        <x:v>300971</x:v>
      </x:c>
      <x:c r="D636" s="47" t="str"/>
      <x:c r="E636" s="47" t="str"/>
      <x:c r="F636" s="47" t="str">
        <x:v>current</x:v>
      </x:c>
      <x:c r="G636" s="47" t="n">
        <x:v>632</x:v>
      </x:c>
      <x:c r="H636" s="53" t="b">
        <x:v>1</x:v>
      </x:c>
      <x:c r="I636" s="47" t="str">
        <x:v>2682537910</x:v>
      </x:c>
      <x:c r="J636" s="47" t="n">
        <x:v>13545385</x:v>
      </x:c>
      <x:c r="K636" s="53" t="b">
        <x:v>1</x:v>
      </x:c>
      <x:c r="L636" s="53" t="b">
        <x:v>1</x:v>
      </x:c>
      <x:c r="M636" s="53" t="b">
        <x:v>1</x:v>
      </x:c>
      <x:c r="N636" s="53" t="b">
        <x:v>1</x:v>
      </x:c>
      <x:c r="O636" s="53" t="b">
        <x:v>1</x:v>
      </x:c>
      <x:c r="P636" s="47" t="n">
        <x:v>1008</x:v>
      </x:c>
      <x:c r="Q636" s="47" t="n">
        <x:v>0</x:v>
      </x:c>
      <x:c r="R636" s="47" t="n">
        <x:v>0</x:v>
      </x:c>
      <x:c r="S636" s="47" t="n">
        <x:v>29.16</x:v>
      </x:c>
      <x:c r="T636" s="47" t="n">
        <x:v>61.51</x:v>
      </x:c>
      <x:c r="U636" s="47" t="n">
        <x:v>29.4</x:v>
      </x:c>
      <x:c r="V636" s="47" t="n">
        <x:v>16.5</x:v>
      </x:c>
      <x:c r="W636" s="47" t="n">
        <x:v>0</x:v>
      </x:c>
      <x:c r="X636" s="47" t="n">
        <x:v>3</x:v>
      </x:c>
      <x:c r="Y636" s="41" t="n">
        <x:v>3</x:v>
      </x:c>
    </x:row>
    <x:row r="637">
      <x:c r="A637" s="38" t="str">
        <x:v>7月30日现场数据</x:v>
      </x:c>
      <x:c r="B637" s="66" t="str">
        <x:v>2026-08-01T18:26:29.021000</x:v>
      </x:c>
      <x:c r="C637" s="47" t="n">
        <x:v>300973</x:v>
      </x:c>
      <x:c r="D637" s="47" t="str"/>
      <x:c r="E637" s="47" t="str"/>
      <x:c r="F637" s="47" t="str">
        <x:v>current</x:v>
      </x:c>
      <x:c r="G637" s="47" t="n">
        <x:v>633</x:v>
      </x:c>
      <x:c r="H637" s="53" t="b">
        <x:v>1</x:v>
      </x:c>
      <x:c r="I637" s="47" t="str">
        <x:v>2682537910</x:v>
      </x:c>
      <x:c r="J637" s="47" t="n">
        <x:v>13846358</x:v>
      </x:c>
      <x:c r="K637" s="53" t="b">
        <x:v>1</x:v>
      </x:c>
      <x:c r="L637" s="53" t="b">
        <x:v>1</x:v>
      </x:c>
      <x:c r="M637" s="53" t="b">
        <x:v>1</x:v>
      </x:c>
      <x:c r="N637" s="53" t="b">
        <x:v>1</x:v>
      </x:c>
      <x:c r="O637" s="53" t="b">
        <x:v>1</x:v>
      </x:c>
      <x:c r="P637" s="47" t="n">
        <x:v>1008</x:v>
      </x:c>
      <x:c r="Q637" s="47" t="n">
        <x:v>0</x:v>
      </x:c>
      <x:c r="R637" s="47" t="n">
        <x:v>0</x:v>
      </x:c>
      <x:c r="S637" s="47" t="n">
        <x:v>29.12</x:v>
      </x:c>
      <x:c r="T637" s="47" t="n">
        <x:v>61.67</x:v>
      </x:c>
      <x:c r="U637" s="47" t="n">
        <x:v>29.4</x:v>
      </x:c>
      <x:c r="V637" s="47" t="n">
        <x:v>16.4</x:v>
      </x:c>
      <x:c r="W637" s="47" t="n">
        <x:v>0</x:v>
      </x:c>
      <x:c r="X637" s="47" t="n">
        <x:v>2</x:v>
      </x:c>
      <x:c r="Y637" s="41" t="n">
        <x:v>2</x:v>
      </x:c>
    </x:row>
    <x:row r="638">
      <x:c r="A638" s="38" t="str">
        <x:v>7月30日现场数据</x:v>
      </x:c>
      <x:c r="B638" s="66" t="str">
        <x:v>2026-08-01T18:31:29.997000</x:v>
      </x:c>
      <x:c r="C638" s="47" t="n">
        <x:v>300976</x:v>
      </x:c>
      <x:c r="D638" s="47" t="str"/>
      <x:c r="E638" s="47" t="str"/>
      <x:c r="F638" s="47" t="str">
        <x:v>current</x:v>
      </x:c>
      <x:c r="G638" s="47" t="n">
        <x:v>634</x:v>
      </x:c>
      <x:c r="H638" s="53" t="b">
        <x:v>1</x:v>
      </x:c>
      <x:c r="I638" s="47" t="str">
        <x:v>2682537910</x:v>
      </x:c>
      <x:c r="J638" s="47" t="n">
        <x:v>14147334</x:v>
      </x:c>
      <x:c r="K638" s="53" t="b">
        <x:v>1</x:v>
      </x:c>
      <x:c r="L638" s="53" t="b">
        <x:v>1</x:v>
      </x:c>
      <x:c r="M638" s="53" t="b">
        <x:v>1</x:v>
      </x:c>
      <x:c r="N638" s="53" t="b">
        <x:v>1</x:v>
      </x:c>
      <x:c r="O638" s="53" t="b">
        <x:v>1</x:v>
      </x:c>
      <x:c r="P638" s="47" t="n">
        <x:v>1008</x:v>
      </x:c>
      <x:c r="Q638" s="47" t="n">
        <x:v>0</x:v>
      </x:c>
      <x:c r="R638" s="47" t="n">
        <x:v>0</x:v>
      </x:c>
      <x:c r="S638" s="47" t="n">
        <x:v>29.06</x:v>
      </x:c>
      <x:c r="T638" s="47" t="n">
        <x:v>61.88</x:v>
      </x:c>
      <x:c r="U638" s="47" t="n">
        <x:v>29.4</x:v>
      </x:c>
      <x:c r="V638" s="47" t="n">
        <x:v>16.4</x:v>
      </x:c>
      <x:c r="W638" s="47" t="n">
        <x:v>0</x:v>
      </x:c>
      <x:c r="X638" s="47" t="n">
        <x:v>2</x:v>
      </x:c>
      <x:c r="Y638" s="41" t="n">
        <x:v>2</x:v>
      </x:c>
    </x:row>
    <x:row r="639">
      <x:c r="A639" s="38" t="str">
        <x:v>7月30日现场数据</x:v>
      </x:c>
      <x:c r="B639" s="66" t="str">
        <x:v>2026-08-01T18:36:30.974000</x:v>
      </x:c>
      <x:c r="C639" s="47" t="n">
        <x:v>300977</x:v>
      </x:c>
      <x:c r="D639" s="47" t="str"/>
      <x:c r="E639" s="47" t="str"/>
      <x:c r="F639" s="47" t="str">
        <x:v>current</x:v>
      </x:c>
      <x:c r="G639" s="47" t="n">
        <x:v>635</x:v>
      </x:c>
      <x:c r="H639" s="53" t="b">
        <x:v>1</x:v>
      </x:c>
      <x:c r="I639" s="47" t="str">
        <x:v>2682537910</x:v>
      </x:c>
      <x:c r="J639" s="47" t="n">
        <x:v>14448311</x:v>
      </x:c>
      <x:c r="K639" s="53" t="b">
        <x:v>1</x:v>
      </x:c>
      <x:c r="L639" s="53" t="b">
        <x:v>1</x:v>
      </x:c>
      <x:c r="M639" s="53" t="b">
        <x:v>1</x:v>
      </x:c>
      <x:c r="N639" s="53" t="b">
        <x:v>1</x:v>
      </x:c>
      <x:c r="O639" s="53" t="b">
        <x:v>1</x:v>
      </x:c>
      <x:c r="P639" s="47" t="n">
        <x:v>1008</x:v>
      </x:c>
      <x:c r="Q639" s="47" t="n">
        <x:v>0</x:v>
      </x:c>
      <x:c r="R639" s="47" t="n">
        <x:v>0</x:v>
      </x:c>
      <x:c r="S639" s="47" t="n">
        <x:v>29.05</x:v>
      </x:c>
      <x:c r="T639" s="47" t="n">
        <x:v>62.13</x:v>
      </x:c>
      <x:c r="U639" s="47" t="n">
        <x:v>29.4</x:v>
      </x:c>
      <x:c r="V639" s="47" t="n">
        <x:v>16.4</x:v>
      </x:c>
      <x:c r="W639" s="47" t="n">
        <x:v>0</x:v>
      </x:c>
      <x:c r="X639" s="47" t="n">
        <x:v>1</x:v>
      </x:c>
      <x:c r="Y639" s="41" t="n">
        <x:v>1</x:v>
      </x:c>
    </x:row>
    <x:row r="640">
      <x:c r="A640" s="38" t="str">
        <x:v>7月30日现场数据</x:v>
      </x:c>
      <x:c r="B640" s="66" t="str">
        <x:v>2026-08-01T18:41:31.951000</x:v>
      </x:c>
      <x:c r="C640" s="47" t="n">
        <x:v>300977</x:v>
      </x:c>
      <x:c r="D640" s="47" t="str"/>
      <x:c r="E640" s="47" t="str"/>
      <x:c r="F640" s="47" t="str">
        <x:v>current</x:v>
      </x:c>
      <x:c r="G640" s="47" t="n">
        <x:v>636</x:v>
      </x:c>
      <x:c r="H640" s="53" t="b">
        <x:v>1</x:v>
      </x:c>
      <x:c r="I640" s="47" t="str">
        <x:v>2682537910</x:v>
      </x:c>
      <x:c r="J640" s="47" t="n">
        <x:v>14749288</x:v>
      </x:c>
      <x:c r="K640" s="53" t="b">
        <x:v>1</x:v>
      </x:c>
      <x:c r="L640" s="53" t="b">
        <x:v>1</x:v>
      </x:c>
      <x:c r="M640" s="53" t="b">
        <x:v>1</x:v>
      </x:c>
      <x:c r="N640" s="53" t="b">
        <x:v>1</x:v>
      </x:c>
      <x:c r="O640" s="53" t="b">
        <x:v>1</x:v>
      </x:c>
      <x:c r="P640" s="47" t="n">
        <x:v>1008</x:v>
      </x:c>
      <x:c r="Q640" s="47" t="n">
        <x:v>0</x:v>
      </x:c>
      <x:c r="R640" s="47" t="n">
        <x:v>0</x:v>
      </x:c>
      <x:c r="S640" s="47" t="n">
        <x:v>29.04</x:v>
      </x:c>
      <x:c r="T640" s="47" t="n">
        <x:v>62.34</x:v>
      </x:c>
      <x:c r="U640" s="47" t="n">
        <x:v>29.4</x:v>
      </x:c>
      <x:c r="V640" s="47" t="n">
        <x:v>16.4</x:v>
      </x:c>
      <x:c r="W640" s="47" t="n">
        <x:v>0</x:v>
      </x:c>
      <x:c r="X640" s="47" t="n">
        <x:v>1</x:v>
      </x:c>
      <x:c r="Y640" s="41" t="n">
        <x:v>1</x:v>
      </x:c>
    </x:row>
    <x:row r="641">
      <x:c r="A641" s="38" t="str">
        <x:v>7月30日现场数据</x:v>
      </x:c>
      <x:c r="B641" s="66" t="str">
        <x:v>2026-08-01T18:46:32.932000</x:v>
      </x:c>
      <x:c r="C641" s="47" t="n">
        <x:v>300981</x:v>
      </x:c>
      <x:c r="D641" s="47" t="str"/>
      <x:c r="E641" s="47" t="str"/>
      <x:c r="F641" s="47" t="str">
        <x:v>current</x:v>
      </x:c>
      <x:c r="G641" s="47" t="n">
        <x:v>637</x:v>
      </x:c>
      <x:c r="H641" s="53" t="b">
        <x:v>1</x:v>
      </x:c>
      <x:c r="I641" s="47" t="str">
        <x:v>2682537910</x:v>
      </x:c>
      <x:c r="J641" s="47" t="n">
        <x:v>15050269</x:v>
      </x:c>
      <x:c r="K641" s="53" t="b">
        <x:v>1</x:v>
      </x:c>
      <x:c r="L641" s="53" t="b">
        <x:v>1</x:v>
      </x:c>
      <x:c r="M641" s="53" t="b">
        <x:v>1</x:v>
      </x:c>
      <x:c r="N641" s="53" t="b">
        <x:v>1</x:v>
      </x:c>
      <x:c r="O641" s="53" t="b">
        <x:v>1</x:v>
      </x:c>
      <x:c r="P641" s="47" t="n">
        <x:v>1008</x:v>
      </x:c>
      <x:c r="Q641" s="47" t="n">
        <x:v>0</x:v>
      </x:c>
      <x:c r="R641" s="47" t="n">
        <x:v>0</x:v>
      </x:c>
      <x:c r="S641" s="47" t="n">
        <x:v>29.07</x:v>
      </x:c>
      <x:c r="T641" s="47" t="n">
        <x:v>62.62</x:v>
      </x:c>
      <x:c r="U641" s="47" t="n">
        <x:v>29.4</x:v>
      </x:c>
      <x:c r="V641" s="47" t="n">
        <x:v>16.4</x:v>
      </x:c>
      <x:c r="W641" s="47" t="n">
        <x:v>0</x:v>
      </x:c>
      <x:c r="X641" s="47" t="n">
        <x:v>0</x:v>
      </x:c>
      <x:c r="Y641" s="41" t="n">
        <x:v>0</x:v>
      </x:c>
    </x:row>
    <x:row r="642">
      <x:c r="A642" s="38" t="str">
        <x:v>7月30日现场数据</x:v>
      </x:c>
      <x:c r="B642" s="66" t="str">
        <x:v>2026-08-01T18:51:33.914000</x:v>
      </x:c>
      <x:c r="C642" s="47" t="n">
        <x:v>300982</x:v>
      </x:c>
      <x:c r="D642" s="47" t="str"/>
      <x:c r="E642" s="47" t="str"/>
      <x:c r="F642" s="47" t="str">
        <x:v>current</x:v>
      </x:c>
      <x:c r="G642" s="47" t="n">
        <x:v>638</x:v>
      </x:c>
      <x:c r="H642" s="53" t="b">
        <x:v>1</x:v>
      </x:c>
      <x:c r="I642" s="47" t="str">
        <x:v>2682537910</x:v>
      </x:c>
      <x:c r="J642" s="47" t="n">
        <x:v>15351251</x:v>
      </x:c>
      <x:c r="K642" s="53" t="b">
        <x:v>1</x:v>
      </x:c>
      <x:c r="L642" s="53" t="b">
        <x:v>1</x:v>
      </x:c>
      <x:c r="M642" s="53" t="b">
        <x:v>1</x:v>
      </x:c>
      <x:c r="N642" s="53" t="b">
        <x:v>1</x:v>
      </x:c>
      <x:c r="O642" s="53" t="b">
        <x:v>1</x:v>
      </x:c>
      <x:c r="P642" s="47" t="n">
        <x:v>1008</x:v>
      </x:c>
      <x:c r="Q642" s="47" t="n">
        <x:v>0</x:v>
      </x:c>
      <x:c r="R642" s="47" t="n">
        <x:v>0</x:v>
      </x:c>
      <x:c r="S642" s="47" t="n">
        <x:v>29.11</x:v>
      </x:c>
      <x:c r="T642" s="47" t="n">
        <x:v>62.86</x:v>
      </x:c>
      <x:c r="U642" s="47" t="n">
        <x:v>29.3</x:v>
      </x:c>
      <x:c r="V642" s="47" t="n">
        <x:v>16.4</x:v>
      </x:c>
      <x:c r="W642" s="47" t="n">
        <x:v>0</x:v>
      </x:c>
      <x:c r="X642" s="47" t="n">
        <x:v>0</x:v>
      </x:c>
      <x:c r="Y642" s="41" t="n">
        <x:v>0</x:v>
      </x:c>
    </x:row>
    <x:row r="643">
      <x:c r="A643" s="38" t="str">
        <x:v>7月30日现场数据</x:v>
      </x:c>
      <x:c r="B643" s="66" t="str">
        <x:v>2026-08-01T18:56:34.897000</x:v>
      </x:c>
      <x:c r="C643" s="47" t="n">
        <x:v>300983</x:v>
      </x:c>
      <x:c r="D643" s="47" t="str"/>
      <x:c r="E643" s="47" t="str"/>
      <x:c r="F643" s="47" t="str">
        <x:v>current</x:v>
      </x:c>
      <x:c r="G643" s="47" t="n">
        <x:v>639</x:v>
      </x:c>
      <x:c r="H643" s="53" t="b">
        <x:v>1</x:v>
      </x:c>
      <x:c r="I643" s="47" t="str">
        <x:v>2682537910</x:v>
      </x:c>
      <x:c r="J643" s="47" t="n">
        <x:v>15652234</x:v>
      </x:c>
      <x:c r="K643" s="53" t="b">
        <x:v>1</x:v>
      </x:c>
      <x:c r="L643" s="53" t="b">
        <x:v>1</x:v>
      </x:c>
      <x:c r="M643" s="53" t="b">
        <x:v>1</x:v>
      </x:c>
      <x:c r="N643" s="53" t="b">
        <x:v>1</x:v>
      </x:c>
      <x:c r="O643" s="53" t="b">
        <x:v>1</x:v>
      </x:c>
      <x:c r="P643" s="47" t="n">
        <x:v>1008</x:v>
      </x:c>
      <x:c r="Q643" s="47" t="n">
        <x:v>0</x:v>
      </x:c>
      <x:c r="R643" s="47" t="n">
        <x:v>0</x:v>
      </x:c>
      <x:c r="S643" s="47" t="n">
        <x:v>29.17</x:v>
      </x:c>
      <x:c r="T643" s="47" t="n">
        <x:v>63.09</x:v>
      </x:c>
      <x:c r="U643" s="47" t="n">
        <x:v>29.4</x:v>
      </x:c>
      <x:c r="V643" s="47" t="n">
        <x:v>16.4</x:v>
      </x:c>
      <x:c r="W643" s="47" t="n">
        <x:v>0</x:v>
      </x:c>
      <x:c r="X643" s="47" t="n">
        <x:v>0</x:v>
      </x:c>
      <x:c r="Y643" s="41" t="n">
        <x:v>0</x:v>
      </x:c>
    </x:row>
    <x:row r="644">
      <x:c r="A644" s="38" t="str">
        <x:v>7月30日现场数据</x:v>
      </x:c>
      <x:c r="B644" s="66" t="str">
        <x:v>2026-08-01T19:01:35.882000</x:v>
      </x:c>
      <x:c r="C644" s="47" t="n">
        <x:v>300985</x:v>
      </x:c>
      <x:c r="D644" s="47" t="str"/>
      <x:c r="E644" s="47" t="str"/>
      <x:c r="F644" s="47" t="str">
        <x:v>current</x:v>
      </x:c>
      <x:c r="G644" s="47" t="n">
        <x:v>640</x:v>
      </x:c>
      <x:c r="H644" s="53" t="b">
        <x:v>1</x:v>
      </x:c>
      <x:c r="I644" s="47" t="str">
        <x:v>2682537910</x:v>
      </x:c>
      <x:c r="J644" s="47" t="n">
        <x:v>15953219</x:v>
      </x:c>
      <x:c r="K644" s="53" t="b">
        <x:v>1</x:v>
      </x:c>
      <x:c r="L644" s="53" t="b">
        <x:v>1</x:v>
      </x:c>
      <x:c r="M644" s="53" t="b">
        <x:v>1</x:v>
      </x:c>
      <x:c r="N644" s="53" t="b">
        <x:v>1</x:v>
      </x:c>
      <x:c r="O644" s="53" t="b">
        <x:v>1</x:v>
      </x:c>
      <x:c r="P644" s="47" t="n">
        <x:v>1006</x:v>
      </x:c>
      <x:c r="Q644" s="47" t="n">
        <x:v>0</x:v>
      </x:c>
      <x:c r="R644" s="47" t="n">
        <x:v>0</x:v>
      </x:c>
      <x:c r="S644" s="47" t="n">
        <x:v>29.16</x:v>
      </x:c>
      <x:c r="T644" s="47" t="n">
        <x:v>63.3</x:v>
      </x:c>
      <x:c r="U644" s="47" t="n">
        <x:v>29.3</x:v>
      </x:c>
      <x:c r="V644" s="47" t="n">
        <x:v>16.4</x:v>
      </x:c>
      <x:c r="W644" s="47" t="n">
        <x:v>0</x:v>
      </x:c>
      <x:c r="X644" s="47" t="n">
        <x:v>0</x:v>
      </x:c>
      <x:c r="Y644" s="41" t="n">
        <x:v>0</x:v>
      </x:c>
    </x:row>
    <x:row r="645">
      <x:c r="A645" s="38" t="str">
        <x:v>7月30日现场数据</x:v>
      </x:c>
      <x:c r="B645" s="66" t="str">
        <x:v>2026-08-01T19:06:36.868000</x:v>
      </x:c>
      <x:c r="C645" s="47" t="n">
        <x:v>300986</x:v>
      </x:c>
      <x:c r="D645" s="47" t="str"/>
      <x:c r="E645" s="47" t="str"/>
      <x:c r="F645" s="47" t="str">
        <x:v>current</x:v>
      </x:c>
      <x:c r="G645" s="47" t="n">
        <x:v>641</x:v>
      </x:c>
      <x:c r="H645" s="53" t="b">
        <x:v>1</x:v>
      </x:c>
      <x:c r="I645" s="47" t="str">
        <x:v>2682537910</x:v>
      </x:c>
      <x:c r="J645" s="47" t="n">
        <x:v>16254205</x:v>
      </x:c>
      <x:c r="K645" s="53" t="b">
        <x:v>1</x:v>
      </x:c>
      <x:c r="L645" s="53" t="b">
        <x:v>1</x:v>
      </x:c>
      <x:c r="M645" s="53" t="b">
        <x:v>1</x:v>
      </x:c>
      <x:c r="N645" s="53" t="b">
        <x:v>1</x:v>
      </x:c>
      <x:c r="O645" s="53" t="b">
        <x:v>1</x:v>
      </x:c>
      <x:c r="P645" s="47" t="n">
        <x:v>1008</x:v>
      </x:c>
      <x:c r="Q645" s="47" t="n">
        <x:v>0</x:v>
      </x:c>
      <x:c r="R645" s="47" t="n">
        <x:v>0</x:v>
      </x:c>
      <x:c r="S645" s="47" t="n">
        <x:v>29.19</x:v>
      </x:c>
      <x:c r="T645" s="47" t="n">
        <x:v>63.52</x:v>
      </x:c>
      <x:c r="U645" s="47" t="n">
        <x:v>29.3</x:v>
      </x:c>
      <x:c r="V645" s="47" t="n">
        <x:v>16.4</x:v>
      </x:c>
      <x:c r="W645" s="47" t="n">
        <x:v>0</x:v>
      </x:c>
      <x:c r="X645" s="47" t="n">
        <x:v>0</x:v>
      </x:c>
      <x:c r="Y645" s="41" t="n">
        <x:v>0</x:v>
      </x:c>
    </x:row>
    <x:row r="646">
      <x:c r="A646" s="38" t="str">
        <x:v>7月30日现场数据</x:v>
      </x:c>
      <x:c r="B646" s="66" t="str">
        <x:v>2026-08-01T19:11:37.873000</x:v>
      </x:c>
      <x:c r="C646" s="47" t="n">
        <x:v>301005</x:v>
      </x:c>
      <x:c r="D646" s="47" t="str"/>
      <x:c r="E646" s="47" t="str"/>
      <x:c r="F646" s="47" t="str">
        <x:v>current</x:v>
      </x:c>
      <x:c r="G646" s="47" t="n">
        <x:v>642</x:v>
      </x:c>
      <x:c r="H646" s="53" t="b">
        <x:v>1</x:v>
      </x:c>
      <x:c r="I646" s="47" t="str">
        <x:v>2682537910</x:v>
      </x:c>
      <x:c r="J646" s="47" t="n">
        <x:v>16555210</x:v>
      </x:c>
      <x:c r="K646" s="53" t="b">
        <x:v>1</x:v>
      </x:c>
      <x:c r="L646" s="53" t="b">
        <x:v>1</x:v>
      </x:c>
      <x:c r="M646" s="53" t="b">
        <x:v>1</x:v>
      </x:c>
      <x:c r="N646" s="53" t="b">
        <x:v>1</x:v>
      </x:c>
      <x:c r="O646" s="53" t="b">
        <x:v>1</x:v>
      </x:c>
      <x:c r="P646" s="47" t="n">
        <x:v>1008</x:v>
      </x:c>
      <x:c r="Q646" s="47" t="n">
        <x:v>0</x:v>
      </x:c>
      <x:c r="R646" s="47" t="n">
        <x:v>0</x:v>
      </x:c>
      <x:c r="S646" s="47" t="n">
        <x:v>29.21</x:v>
      </x:c>
      <x:c r="T646" s="47" t="n">
        <x:v>63.76</x:v>
      </x:c>
      <x:c r="U646" s="47" t="n">
        <x:v>29.3</x:v>
      </x:c>
      <x:c r="V646" s="47" t="n">
        <x:v>16.3</x:v>
      </x:c>
      <x:c r="W646" s="47" t="n">
        <x:v>0</x:v>
      </x:c>
      <x:c r="X646" s="47" t="n">
        <x:v>0</x:v>
      </x:c>
      <x:c r="Y646" s="41" t="n">
        <x:v>0</x:v>
      </x:c>
    </x:row>
    <x:row r="647">
      <x:c r="A647" s="38" t="str">
        <x:v>7月30日现场数据</x:v>
      </x:c>
      <x:c r="B647" s="66" t="str">
        <x:v>2026-08-01T19:16:38.851000</x:v>
      </x:c>
      <x:c r="C647" s="47" t="n">
        <x:v>300978</x:v>
      </x:c>
      <x:c r="D647" s="47" t="str"/>
      <x:c r="E647" s="47" t="str"/>
      <x:c r="F647" s="47" t="str">
        <x:v>current</x:v>
      </x:c>
      <x:c r="G647" s="47" t="n">
        <x:v>643</x:v>
      </x:c>
      <x:c r="H647" s="53" t="b">
        <x:v>1</x:v>
      </x:c>
      <x:c r="I647" s="47" t="str">
        <x:v>2682537910</x:v>
      </x:c>
      <x:c r="J647" s="47" t="n">
        <x:v>16856188</x:v>
      </x:c>
      <x:c r="K647" s="53" t="b">
        <x:v>1</x:v>
      </x:c>
      <x:c r="L647" s="53" t="b">
        <x:v>1</x:v>
      </x:c>
      <x:c r="M647" s="53" t="b">
        <x:v>1</x:v>
      </x:c>
      <x:c r="N647" s="53" t="b">
        <x:v>1</x:v>
      </x:c>
      <x:c r="O647" s="53" t="b">
        <x:v>1</x:v>
      </x:c>
      <x:c r="P647" s="47" t="n">
        <x:v>1008</x:v>
      </x:c>
      <x:c r="Q647" s="47" t="n">
        <x:v>0</x:v>
      </x:c>
      <x:c r="R647" s="47" t="n">
        <x:v>0</x:v>
      </x:c>
      <x:c r="S647" s="47" t="n">
        <x:v>29.26</x:v>
      </x:c>
      <x:c r="T647" s="47" t="n">
        <x:v>63.99</x:v>
      </x:c>
      <x:c r="U647" s="47" t="n">
        <x:v>29.3</x:v>
      </x:c>
      <x:c r="V647" s="47" t="n">
        <x:v>16.3</x:v>
      </x:c>
      <x:c r="W647" s="47" t="n">
        <x:v>0</x:v>
      </x:c>
      <x:c r="X647" s="47" t="n">
        <x:v>0</x:v>
      </x:c>
      <x:c r="Y647" s="41" t="n">
        <x:v>0</x:v>
      </x:c>
    </x:row>
    <x:row r="648">
      <x:c r="A648" s="38" t="str">
        <x:v>7月30日现场数据</x:v>
      </x:c>
      <x:c r="B648" s="66" t="str">
        <x:v>2026-08-01T19:21:39.829000</x:v>
      </x:c>
      <x:c r="C648" s="47" t="n">
        <x:v>300978</x:v>
      </x:c>
      <x:c r="D648" s="47" t="str"/>
      <x:c r="E648" s="47" t="str"/>
      <x:c r="F648" s="47" t="str">
        <x:v>current</x:v>
      </x:c>
      <x:c r="G648" s="47" t="n">
        <x:v>644</x:v>
      </x:c>
      <x:c r="H648" s="53" t="b">
        <x:v>1</x:v>
      </x:c>
      <x:c r="I648" s="47" t="str">
        <x:v>2682537910</x:v>
      </x:c>
      <x:c r="J648" s="47" t="n">
        <x:v>17157166</x:v>
      </x:c>
      <x:c r="K648" s="53" t="b">
        <x:v>1</x:v>
      </x:c>
      <x:c r="L648" s="53" t="b">
        <x:v>1</x:v>
      </x:c>
      <x:c r="M648" s="53" t="b">
        <x:v>1</x:v>
      </x:c>
      <x:c r="N648" s="53" t="b">
        <x:v>1</x:v>
      </x:c>
      <x:c r="O648" s="53" t="b">
        <x:v>1</x:v>
      </x:c>
      <x:c r="P648" s="47" t="n">
        <x:v>1008</x:v>
      </x:c>
      <x:c r="Q648" s="47" t="n">
        <x:v>0</x:v>
      </x:c>
      <x:c r="R648" s="47" t="n">
        <x:v>0</x:v>
      </x:c>
      <x:c r="S648" s="47" t="n">
        <x:v>29.26</x:v>
      </x:c>
      <x:c r="T648" s="47" t="n">
        <x:v>64.21</x:v>
      </x:c>
      <x:c r="U648" s="47" t="n">
        <x:v>29.3</x:v>
      </x:c>
      <x:c r="V648" s="47" t="n">
        <x:v>16.3</x:v>
      </x:c>
      <x:c r="W648" s="47" t="n">
        <x:v>0</x:v>
      </x:c>
      <x:c r="X648" s="47" t="n">
        <x:v>0</x:v>
      </x:c>
      <x:c r="Y648" s="41" t="n">
        <x:v>0</x:v>
      </x:c>
    </x:row>
    <x:row r="649">
      <x:c r="A649" s="38" t="str">
        <x:v>7月30日现场数据</x:v>
      </x:c>
      <x:c r="B649" s="66" t="str">
        <x:v>2026-08-01T19:26:40.809000</x:v>
      </x:c>
      <x:c r="C649" s="47" t="n">
        <x:v>300980</x:v>
      </x:c>
      <x:c r="D649" s="47" t="str"/>
      <x:c r="E649" s="47" t="str"/>
      <x:c r="F649" s="47" t="str">
        <x:v>current</x:v>
      </x:c>
      <x:c r="G649" s="47" t="n">
        <x:v>645</x:v>
      </x:c>
      <x:c r="H649" s="53" t="b">
        <x:v>1</x:v>
      </x:c>
      <x:c r="I649" s="47" t="str">
        <x:v>2682537910</x:v>
      </x:c>
      <x:c r="J649" s="47" t="n">
        <x:v>17458146</x:v>
      </x:c>
      <x:c r="K649" s="53" t="b">
        <x:v>1</x:v>
      </x:c>
      <x:c r="L649" s="53" t="b">
        <x:v>1</x:v>
      </x:c>
      <x:c r="M649" s="53" t="b">
        <x:v>1</x:v>
      </x:c>
      <x:c r="N649" s="53" t="b">
        <x:v>1</x:v>
      </x:c>
      <x:c r="O649" s="53" t="b">
        <x:v>1</x:v>
      </x:c>
      <x:c r="P649" s="47" t="n">
        <x:v>1008</x:v>
      </x:c>
      <x:c r="Q649" s="47" t="n">
        <x:v>0.053</x:v>
      </x:c>
      <x:c r="R649" s="47" t="n">
        <x:v>1.418</x:v>
      </x:c>
      <x:c r="S649" s="47" t="n">
        <x:v>29.27</x:v>
      </x:c>
      <x:c r="T649" s="47" t="n">
        <x:v>64.46</x:v>
      </x:c>
      <x:c r="U649" s="47" t="n">
        <x:v>29.3</x:v>
      </x:c>
      <x:c r="V649" s="47" t="n">
        <x:v>16.3</x:v>
      </x:c>
      <x:c r="W649" s="47" t="n">
        <x:v>0</x:v>
      </x:c>
      <x:c r="X649" s="47" t="n">
        <x:v>0</x:v>
      </x:c>
      <x:c r="Y649" s="41" t="n">
        <x:v>0</x:v>
      </x:c>
    </x:row>
    <x:row r="650">
      <x:c r="A650" s="38" t="str">
        <x:v>7月30日现场数据</x:v>
      </x:c>
      <x:c r="B650" s="66" t="str">
        <x:v>2026-08-01T19:31:41.826000</x:v>
      </x:c>
      <x:c r="C650" s="47" t="n">
        <x:v>301017</x:v>
      </x:c>
      <x:c r="D650" s="47" t="str"/>
      <x:c r="E650" s="47" t="str"/>
      <x:c r="F650" s="47" t="str">
        <x:v>current</x:v>
      </x:c>
      <x:c r="G650" s="47" t="n">
        <x:v>646</x:v>
      </x:c>
      <x:c r="H650" s="53" t="b">
        <x:v>1</x:v>
      </x:c>
      <x:c r="I650" s="47" t="str">
        <x:v>2682537910</x:v>
      </x:c>
      <x:c r="J650" s="47" t="n">
        <x:v>17759163</x:v>
      </x:c>
      <x:c r="K650" s="53" t="b">
        <x:v>1</x:v>
      </x:c>
      <x:c r="L650" s="53" t="b">
        <x:v>1</x:v>
      </x:c>
      <x:c r="M650" s="53" t="b">
        <x:v>1</x:v>
      </x:c>
      <x:c r="N650" s="53" t="b">
        <x:v>1</x:v>
      </x:c>
      <x:c r="O650" s="53" t="b">
        <x:v>1</x:v>
      </x:c>
      <x:c r="P650" s="47" t="n">
        <x:v>1008</x:v>
      </x:c>
      <x:c r="Q650" s="47" t="n">
        <x:v>0</x:v>
      </x:c>
      <x:c r="R650" s="47" t="n">
        <x:v>0</x:v>
      </x:c>
      <x:c r="S650" s="47" t="n">
        <x:v>29.29</x:v>
      </x:c>
      <x:c r="T650" s="47" t="n">
        <x:v>64.67</x:v>
      </x:c>
      <x:c r="U650" s="47" t="n">
        <x:v>29.3</x:v>
      </x:c>
      <x:c r="V650" s="47" t="n">
        <x:v>16.3</x:v>
      </x:c>
      <x:c r="W650" s="47" t="n">
        <x:v>0</x:v>
      </x:c>
      <x:c r="X650" s="47" t="n">
        <x:v>0</x:v>
      </x:c>
      <x:c r="Y650" s="41" t="n">
        <x:v>0</x:v>
      </x:c>
    </x:row>
    <x:row r="651">
      <x:c r="A651" s="38" t="str">
        <x:v>7月30日现场数据</x:v>
      </x:c>
      <x:c r="B651" s="66" t="str">
        <x:v>2026-08-01T19:36:42.781000</x:v>
      </x:c>
      <x:c r="C651" s="47" t="n">
        <x:v>300955</x:v>
      </x:c>
      <x:c r="D651" s="47" t="str"/>
      <x:c r="E651" s="47" t="str"/>
      <x:c r="F651" s="47" t="str">
        <x:v>current</x:v>
      </x:c>
      <x:c r="G651" s="47" t="n">
        <x:v>647</x:v>
      </x:c>
      <x:c r="H651" s="53" t="b">
        <x:v>1</x:v>
      </x:c>
      <x:c r="I651" s="47" t="str">
        <x:v>2682537910</x:v>
      </x:c>
      <x:c r="J651" s="47" t="n">
        <x:v>18060118</x:v>
      </x:c>
      <x:c r="K651" s="53" t="b">
        <x:v>1</x:v>
      </x:c>
      <x:c r="L651" s="53" t="b">
        <x:v>1</x:v>
      </x:c>
      <x:c r="M651" s="53" t="b">
        <x:v>1</x:v>
      </x:c>
      <x:c r="N651" s="53" t="b">
        <x:v>1</x:v>
      </x:c>
      <x:c r="O651" s="53" t="b">
        <x:v>1</x:v>
      </x:c>
      <x:c r="P651" s="47" t="n">
        <x:v>1008</x:v>
      </x:c>
      <x:c r="Q651" s="47" t="n">
        <x:v>0</x:v>
      </x:c>
      <x:c r="R651" s="47" t="n">
        <x:v>0</x:v>
      </x:c>
      <x:c r="S651" s="47" t="n">
        <x:v>29.28</x:v>
      </x:c>
      <x:c r="T651" s="47" t="n">
        <x:v>64.86</x:v>
      </x:c>
      <x:c r="U651" s="47" t="n">
        <x:v>29.3</x:v>
      </x:c>
      <x:c r="V651" s="47" t="n">
        <x:v>16.3</x:v>
      </x:c>
      <x:c r="W651" s="47" t="n">
        <x:v>0</x:v>
      </x:c>
      <x:c r="X651" s="47" t="n">
        <x:v>0</x:v>
      </x:c>
      <x:c r="Y651" s="41" t="n">
        <x:v>0</x:v>
      </x:c>
    </x:row>
    <x:row r="652">
      <x:c r="A652" s="38" t="str">
        <x:v>7月30日现场数据</x:v>
      </x:c>
      <x:c r="B652" s="66" t="str">
        <x:v>2026-08-01T19:41:43.739000</x:v>
      </x:c>
      <x:c r="C652" s="47" t="n">
        <x:v>300958</x:v>
      </x:c>
      <x:c r="D652" s="47" t="str"/>
      <x:c r="E652" s="47" t="str"/>
      <x:c r="F652" s="47" t="str">
        <x:v>current</x:v>
      </x:c>
      <x:c r="G652" s="47" t="n">
        <x:v>648</x:v>
      </x:c>
      <x:c r="H652" s="53" t="b">
        <x:v>1</x:v>
      </x:c>
      <x:c r="I652" s="47" t="str">
        <x:v>2682537910</x:v>
      </x:c>
      <x:c r="J652" s="47" t="n">
        <x:v>18361076</x:v>
      </x:c>
      <x:c r="K652" s="53" t="b">
        <x:v>1</x:v>
      </x:c>
      <x:c r="L652" s="53" t="b">
        <x:v>1</x:v>
      </x:c>
      <x:c r="M652" s="53" t="b">
        <x:v>1</x:v>
      </x:c>
      <x:c r="N652" s="53" t="b">
        <x:v>1</x:v>
      </x:c>
      <x:c r="O652" s="53" t="b">
        <x:v>1</x:v>
      </x:c>
      <x:c r="P652" s="47" t="n">
        <x:v>1009</x:v>
      </x:c>
      <x:c r="Q652" s="47" t="n">
        <x:v>0</x:v>
      </x:c>
      <x:c r="R652" s="47" t="n">
        <x:v>0</x:v>
      </x:c>
      <x:c r="S652" s="47" t="n">
        <x:v>29.34</x:v>
      </x:c>
      <x:c r="T652" s="47" t="n">
        <x:v>65.05</x:v>
      </x:c>
      <x:c r="U652" s="47" t="n">
        <x:v>29.3</x:v>
      </x:c>
      <x:c r="V652" s="47" t="n">
        <x:v>16.3</x:v>
      </x:c>
      <x:c r="W652" s="47" t="n">
        <x:v>0</x:v>
      </x:c>
      <x:c r="X652" s="47" t="n">
        <x:v>0</x:v>
      </x:c>
      <x:c r="Y652" s="41" t="n">
        <x:v>0</x:v>
      </x:c>
    </x:row>
    <x:row r="653">
      <x:c r="A653" s="38" t="str">
        <x:v>7月30日现场数据</x:v>
      </x:c>
      <x:c r="B653" s="66" t="str">
        <x:v>2026-08-01T19:46:44.699000</x:v>
      </x:c>
      <x:c r="C653" s="47" t="n">
        <x:v>300960</x:v>
      </x:c>
      <x:c r="D653" s="47" t="str"/>
      <x:c r="E653" s="47" t="str"/>
      <x:c r="F653" s="47" t="str">
        <x:v>current</x:v>
      </x:c>
      <x:c r="G653" s="47" t="n">
        <x:v>649</x:v>
      </x:c>
      <x:c r="H653" s="53" t="b">
        <x:v>1</x:v>
      </x:c>
      <x:c r="I653" s="47" t="str">
        <x:v>2682537910</x:v>
      </x:c>
      <x:c r="J653" s="47" t="n">
        <x:v>18662036</x:v>
      </x:c>
      <x:c r="K653" s="53" t="b">
        <x:v>1</x:v>
      </x:c>
      <x:c r="L653" s="53" t="b">
        <x:v>1</x:v>
      </x:c>
      <x:c r="M653" s="53" t="b">
        <x:v>1</x:v>
      </x:c>
      <x:c r="N653" s="53" t="b">
        <x:v>1</x:v>
      </x:c>
      <x:c r="O653" s="53" t="b">
        <x:v>1</x:v>
      </x:c>
      <x:c r="P653" s="47" t="n">
        <x:v>1009</x:v>
      </x:c>
      <x:c r="Q653" s="47" t="n">
        <x:v>0</x:v>
      </x:c>
      <x:c r="R653" s="47" t="n">
        <x:v>0</x:v>
      </x:c>
      <x:c r="S653" s="47" t="n">
        <x:v>29.44</x:v>
      </x:c>
      <x:c r="T653" s="47" t="n">
        <x:v>65.26</x:v>
      </x:c>
      <x:c r="U653" s="47" t="n">
        <x:v>29.3</x:v>
      </x:c>
      <x:c r="V653" s="47" t="n">
        <x:v>16.3</x:v>
      </x:c>
      <x:c r="W653" s="47" t="n">
        <x:v>0</x:v>
      </x:c>
      <x:c r="X653" s="47" t="n">
        <x:v>0</x:v>
      </x:c>
      <x:c r="Y653" s="41" t="n">
        <x:v>0</x:v>
      </x:c>
    </x:row>
    <x:row r="654">
      <x:c r="A654" s="38" t="str">
        <x:v>7月30日现场数据</x:v>
      </x:c>
      <x:c r="B654" s="66" t="str">
        <x:v>2026-08-01T19:51:45.662000</x:v>
      </x:c>
      <x:c r="C654" s="47" t="n">
        <x:v>300963</x:v>
      </x:c>
      <x:c r="D654" s="47" t="str"/>
      <x:c r="E654" s="47" t="str"/>
      <x:c r="F654" s="47" t="str">
        <x:v>current</x:v>
      </x:c>
      <x:c r="G654" s="47" t="n">
        <x:v>650</x:v>
      </x:c>
      <x:c r="H654" s="53" t="b">
        <x:v>1</x:v>
      </x:c>
      <x:c r="I654" s="47" t="str">
        <x:v>2682537910</x:v>
      </x:c>
      <x:c r="J654" s="47" t="n">
        <x:v>18962999</x:v>
      </x:c>
      <x:c r="K654" s="53" t="b">
        <x:v>1</x:v>
      </x:c>
      <x:c r="L654" s="53" t="b">
        <x:v>1</x:v>
      </x:c>
      <x:c r="M654" s="53" t="b">
        <x:v>1</x:v>
      </x:c>
      <x:c r="N654" s="53" t="b">
        <x:v>1</x:v>
      </x:c>
      <x:c r="O654" s="53" t="b">
        <x:v>1</x:v>
      </x:c>
      <x:c r="P654" s="47" t="n">
        <x:v>1009</x:v>
      </x:c>
      <x:c r="Q654" s="47" t="n">
        <x:v>0</x:v>
      </x:c>
      <x:c r="R654" s="47" t="n">
        <x:v>0</x:v>
      </x:c>
      <x:c r="S654" s="47" t="n">
        <x:v>29.54</x:v>
      </x:c>
      <x:c r="T654" s="47" t="n">
        <x:v>65.54</x:v>
      </x:c>
      <x:c r="U654" s="47" t="n">
        <x:v>29.3</x:v>
      </x:c>
      <x:c r="V654" s="47" t="n">
        <x:v>16.3</x:v>
      </x:c>
      <x:c r="W654" s="47" t="n">
        <x:v>0</x:v>
      </x:c>
      <x:c r="X654" s="47" t="n">
        <x:v>0</x:v>
      </x:c>
      <x:c r="Y654" s="41" t="n">
        <x:v>0</x:v>
      </x:c>
    </x:row>
    <x:row r="655">
      <x:c r="A655" s="38" t="str">
        <x:v>7月30日现场数据</x:v>
      </x:c>
      <x:c r="B655" s="66" t="str">
        <x:v>2026-08-01T19:56:46.624000</x:v>
      </x:c>
      <x:c r="C655" s="47" t="n">
        <x:v>300962</x:v>
      </x:c>
      <x:c r="D655" s="47" t="str"/>
      <x:c r="E655" s="47" t="str"/>
      <x:c r="F655" s="47" t="str">
        <x:v>current</x:v>
      </x:c>
      <x:c r="G655" s="47" t="n">
        <x:v>651</x:v>
      </x:c>
      <x:c r="H655" s="53" t="b">
        <x:v>1</x:v>
      </x:c>
      <x:c r="I655" s="47" t="str">
        <x:v>2682537910</x:v>
      </x:c>
      <x:c r="J655" s="47" t="n">
        <x:v>19263961</x:v>
      </x:c>
      <x:c r="K655" s="53" t="b">
        <x:v>1</x:v>
      </x:c>
      <x:c r="L655" s="53" t="b">
        <x:v>1</x:v>
      </x:c>
      <x:c r="M655" s="53" t="b">
        <x:v>1</x:v>
      </x:c>
      <x:c r="N655" s="53" t="b">
        <x:v>1</x:v>
      </x:c>
      <x:c r="O655" s="53" t="b">
        <x:v>1</x:v>
      </x:c>
      <x:c r="P655" s="47" t="n">
        <x:v>1009</x:v>
      </x:c>
      <x:c r="Q655" s="47" t="n">
        <x:v>0</x:v>
      </x:c>
      <x:c r="R655" s="47" t="n">
        <x:v>0</x:v>
      </x:c>
      <x:c r="S655" s="47" t="n">
        <x:v>29.56</x:v>
      </x:c>
      <x:c r="T655" s="47" t="n">
        <x:v>65.74</x:v>
      </x:c>
      <x:c r="U655" s="47" t="n">
        <x:v>29.3</x:v>
      </x:c>
      <x:c r="V655" s="47" t="n">
        <x:v>16.3</x:v>
      </x:c>
      <x:c r="W655" s="47" t="n">
        <x:v>0</x:v>
      </x:c>
      <x:c r="X655" s="47" t="n">
        <x:v>0</x:v>
      </x:c>
      <x:c r="Y655" s="41" t="n">
        <x:v>0</x:v>
      </x:c>
    </x:row>
    <x:row r="656">
      <x:c r="A656" s="38" t="str">
        <x:v>7月30日现场数据</x:v>
      </x:c>
      <x:c r="B656" s="66" t="str">
        <x:v>2026-08-01T20:01:47.589000</x:v>
      </x:c>
      <x:c r="C656" s="47" t="n">
        <x:v>300965</x:v>
      </x:c>
      <x:c r="D656" s="47" t="str"/>
      <x:c r="E656" s="47" t="str"/>
      <x:c r="F656" s="47" t="str">
        <x:v>current</x:v>
      </x:c>
      <x:c r="G656" s="47" t="n">
        <x:v>652</x:v>
      </x:c>
      <x:c r="H656" s="53" t="b">
        <x:v>1</x:v>
      </x:c>
      <x:c r="I656" s="47" t="str">
        <x:v>2682537910</x:v>
      </x:c>
      <x:c r="J656" s="47" t="n">
        <x:v>19564926</x:v>
      </x:c>
      <x:c r="K656" s="53" t="b">
        <x:v>1</x:v>
      </x:c>
      <x:c r="L656" s="53" t="b">
        <x:v>1</x:v>
      </x:c>
      <x:c r="M656" s="53" t="b">
        <x:v>1</x:v>
      </x:c>
      <x:c r="N656" s="53" t="b">
        <x:v>1</x:v>
      </x:c>
      <x:c r="O656" s="53" t="b">
        <x:v>1</x:v>
      </x:c>
      <x:c r="P656" s="47" t="n">
        <x:v>1009</x:v>
      </x:c>
      <x:c r="Q656" s="47" t="n">
        <x:v>0</x:v>
      </x:c>
      <x:c r="R656" s="47" t="n">
        <x:v>0</x:v>
      </x:c>
      <x:c r="S656" s="47" t="n">
        <x:v>29.54</x:v>
      </x:c>
      <x:c r="T656" s="47" t="n">
        <x:v>65.94</x:v>
      </x:c>
      <x:c r="U656" s="47" t="n">
        <x:v>29.3</x:v>
      </x:c>
      <x:c r="V656" s="47" t="n">
        <x:v>16.3</x:v>
      </x:c>
      <x:c r="W656" s="47" t="n">
        <x:v>0</x:v>
      </x:c>
      <x:c r="X656" s="47" t="n">
        <x:v>0</x:v>
      </x:c>
      <x:c r="Y656" s="41" t="n">
        <x:v>0</x:v>
      </x:c>
    </x:row>
    <x:row r="657">
      <x:c r="A657" s="38" t="str">
        <x:v>7月30日现场数据</x:v>
      </x:c>
      <x:c r="B657" s="66" t="str">
        <x:v>2026-08-01T20:06:48.557000</x:v>
      </x:c>
      <x:c r="C657" s="47" t="n">
        <x:v>300968</x:v>
      </x:c>
      <x:c r="D657" s="47" t="str"/>
      <x:c r="E657" s="47" t="str"/>
      <x:c r="F657" s="47" t="str">
        <x:v>current</x:v>
      </x:c>
      <x:c r="G657" s="47" t="n">
        <x:v>653</x:v>
      </x:c>
      <x:c r="H657" s="53" t="b">
        <x:v>1</x:v>
      </x:c>
      <x:c r="I657" s="47" t="str">
        <x:v>2682537910</x:v>
      </x:c>
      <x:c r="J657" s="47" t="n">
        <x:v>19865894</x:v>
      </x:c>
      <x:c r="K657" s="53" t="b">
        <x:v>1</x:v>
      </x:c>
      <x:c r="L657" s="53" t="b">
        <x:v>1</x:v>
      </x:c>
      <x:c r="M657" s="53" t="b">
        <x:v>1</x:v>
      </x:c>
      <x:c r="N657" s="53" t="b">
        <x:v>1</x:v>
      </x:c>
      <x:c r="O657" s="53" t="b">
        <x:v>1</x:v>
      </x:c>
      <x:c r="P657" s="47" t="n">
        <x:v>1009</x:v>
      </x:c>
      <x:c r="Q657" s="47" t="n">
        <x:v>0</x:v>
      </x:c>
      <x:c r="R657" s="47" t="n">
        <x:v>0</x:v>
      </x:c>
      <x:c r="S657" s="47" t="n">
        <x:v>29.51</x:v>
      </x:c>
      <x:c r="T657" s="47" t="n">
        <x:v>66.15</x:v>
      </x:c>
      <x:c r="U657" s="47" t="n">
        <x:v>29.3</x:v>
      </x:c>
      <x:c r="V657" s="47" t="n">
        <x:v>16.2</x:v>
      </x:c>
      <x:c r="W657" s="47" t="n">
        <x:v>0</x:v>
      </x:c>
      <x:c r="X657" s="47" t="n">
        <x:v>0</x:v>
      </x:c>
      <x:c r="Y657" s="41" t="n">
        <x:v>0</x:v>
      </x:c>
    </x:row>
    <x:row r="658">
      <x:c r="A658" s="38" t="str">
        <x:v>7月30日现场数据</x:v>
      </x:c>
      <x:c r="B658" s="66" t="str">
        <x:v>2026-08-01T20:11:49.530000</x:v>
      </x:c>
      <x:c r="C658" s="47" t="n">
        <x:v>300973</x:v>
      </x:c>
      <x:c r="D658" s="47" t="str"/>
      <x:c r="E658" s="47" t="str"/>
      <x:c r="F658" s="47" t="str">
        <x:v>current</x:v>
      </x:c>
      <x:c r="G658" s="47" t="n">
        <x:v>654</x:v>
      </x:c>
      <x:c r="H658" s="53" t="b">
        <x:v>1</x:v>
      </x:c>
      <x:c r="I658" s="47" t="str">
        <x:v>2682537910</x:v>
      </x:c>
      <x:c r="J658" s="47" t="n">
        <x:v>20166867</x:v>
      </x:c>
      <x:c r="K658" s="53" t="b">
        <x:v>1</x:v>
      </x:c>
      <x:c r="L658" s="53" t="b">
        <x:v>1</x:v>
      </x:c>
      <x:c r="M658" s="53" t="b">
        <x:v>1</x:v>
      </x:c>
      <x:c r="N658" s="53" t="b">
        <x:v>1</x:v>
      </x:c>
      <x:c r="O658" s="53" t="b">
        <x:v>1</x:v>
      </x:c>
      <x:c r="P658" s="47" t="n">
        <x:v>1009</x:v>
      </x:c>
      <x:c r="Q658" s="47" t="n">
        <x:v>0</x:v>
      </x:c>
      <x:c r="R658" s="47" t="n">
        <x:v>0</x:v>
      </x:c>
      <x:c r="S658" s="47" t="n">
        <x:v>29.64</x:v>
      </x:c>
      <x:c r="T658" s="47" t="n">
        <x:v>66.3</x:v>
      </x:c>
      <x:c r="U658" s="47" t="n">
        <x:v>29.3</x:v>
      </x:c>
      <x:c r="V658" s="47" t="n">
        <x:v>16.3</x:v>
      </x:c>
      <x:c r="W658" s="47" t="n">
        <x:v>0</x:v>
      </x:c>
      <x:c r="X658" s="47" t="n">
        <x:v>0</x:v>
      </x:c>
      <x:c r="Y658" s="41" t="n">
        <x:v>0</x:v>
      </x:c>
    </x:row>
    <x:row r="659">
      <x:c r="A659" s="38" t="str">
        <x:v>7月30日现场数据</x:v>
      </x:c>
      <x:c r="B659" s="66" t="str">
        <x:v>2026-08-01T20:16:50.501000</x:v>
      </x:c>
      <x:c r="C659" s="47" t="n">
        <x:v>300971</x:v>
      </x:c>
      <x:c r="D659" s="47" t="str"/>
      <x:c r="E659" s="47" t="str"/>
      <x:c r="F659" s="47" t="str">
        <x:v>current</x:v>
      </x:c>
      <x:c r="G659" s="47" t="n">
        <x:v>655</x:v>
      </x:c>
      <x:c r="H659" s="53" t="b">
        <x:v>1</x:v>
      </x:c>
      <x:c r="I659" s="47" t="str">
        <x:v>2682537910</x:v>
      </x:c>
      <x:c r="J659" s="47" t="n">
        <x:v>20467838</x:v>
      </x:c>
      <x:c r="K659" s="53" t="b">
        <x:v>1</x:v>
      </x:c>
      <x:c r="L659" s="53" t="b">
        <x:v>1</x:v>
      </x:c>
      <x:c r="M659" s="53" t="b">
        <x:v>1</x:v>
      </x:c>
      <x:c r="N659" s="53" t="b">
        <x:v>1</x:v>
      </x:c>
      <x:c r="O659" s="53" t="b">
        <x:v>1</x:v>
      </x:c>
      <x:c r="P659" s="47" t="n">
        <x:v>1009</x:v>
      </x:c>
      <x:c r="Q659" s="47" t="n">
        <x:v>0</x:v>
      </x:c>
      <x:c r="R659" s="47" t="n">
        <x:v>0</x:v>
      </x:c>
      <x:c r="S659" s="47" t="n">
        <x:v>29.77</x:v>
      </x:c>
      <x:c r="T659" s="47" t="n">
        <x:v>66.59</x:v>
      </x:c>
      <x:c r="U659" s="47" t="n">
        <x:v>29.3</x:v>
      </x:c>
      <x:c r="V659" s="47" t="n">
        <x:v>16.3</x:v>
      </x:c>
      <x:c r="W659" s="47" t="n">
        <x:v>0</x:v>
      </x:c>
      <x:c r="X659" s="47" t="n">
        <x:v>0</x:v>
      </x:c>
      <x:c r="Y659" s="41" t="n">
        <x:v>0</x:v>
      </x:c>
    </x:row>
    <x:row r="660">
      <x:c r="A660" s="38" t="str">
        <x:v>7月30日现场数据</x:v>
      </x:c>
      <x:c r="B660" s="66" t="str">
        <x:v>2026-08-01T20:21:51.474000</x:v>
      </x:c>
      <x:c r="C660" s="47" t="n">
        <x:v>300973</x:v>
      </x:c>
      <x:c r="D660" s="47" t="str"/>
      <x:c r="E660" s="47" t="str"/>
      <x:c r="F660" s="47" t="str">
        <x:v>current</x:v>
      </x:c>
      <x:c r="G660" s="47" t="n">
        <x:v>656</x:v>
      </x:c>
      <x:c r="H660" s="53" t="b">
        <x:v>1</x:v>
      </x:c>
      <x:c r="I660" s="47" t="str">
        <x:v>2682537910</x:v>
      </x:c>
      <x:c r="J660" s="47" t="n">
        <x:v>20768811</x:v>
      </x:c>
      <x:c r="K660" s="53" t="b">
        <x:v>1</x:v>
      </x:c>
      <x:c r="L660" s="53" t="b">
        <x:v>1</x:v>
      </x:c>
      <x:c r="M660" s="53" t="b">
        <x:v>1</x:v>
      </x:c>
      <x:c r="N660" s="53" t="b">
        <x:v>1</x:v>
      </x:c>
      <x:c r="O660" s="53" t="b">
        <x:v>1</x:v>
      </x:c>
      <x:c r="P660" s="47" t="n">
        <x:v>1009</x:v>
      </x:c>
      <x:c r="Q660" s="47" t="n">
        <x:v>0</x:v>
      </x:c>
      <x:c r="R660" s="47" t="n">
        <x:v>0</x:v>
      </x:c>
      <x:c r="S660" s="47" t="n">
        <x:v>29.85</x:v>
      </x:c>
      <x:c r="T660" s="47" t="n">
        <x:v>66.79</x:v>
      </x:c>
      <x:c r="U660" s="47" t="n">
        <x:v>29.3</x:v>
      </x:c>
      <x:c r="V660" s="47" t="n">
        <x:v>16.2</x:v>
      </x:c>
      <x:c r="W660" s="47" t="n">
        <x:v>0</x:v>
      </x:c>
      <x:c r="X660" s="47" t="n">
        <x:v>0</x:v>
      </x:c>
      <x:c r="Y660" s="41" t="n">
        <x:v>0</x:v>
      </x:c>
    </x:row>
    <x:row r="661">
      <x:c r="A661" s="38" t="str">
        <x:v>7月30日现场数据</x:v>
      </x:c>
      <x:c r="B661" s="66" t="str">
        <x:v>2026-08-01T20:26:52.449000</x:v>
      </x:c>
      <x:c r="C661" s="47" t="n">
        <x:v>300975</x:v>
      </x:c>
      <x:c r="D661" s="47" t="str"/>
      <x:c r="E661" s="47" t="str"/>
      <x:c r="F661" s="47" t="str">
        <x:v>current</x:v>
      </x:c>
      <x:c r="G661" s="47" t="n">
        <x:v>657</x:v>
      </x:c>
      <x:c r="H661" s="53" t="b">
        <x:v>1</x:v>
      </x:c>
      <x:c r="I661" s="47" t="str">
        <x:v>2682537910</x:v>
      </x:c>
      <x:c r="J661" s="47" t="n">
        <x:v>21069786</x:v>
      </x:c>
      <x:c r="K661" s="53" t="b">
        <x:v>1</x:v>
      </x:c>
      <x:c r="L661" s="53" t="b">
        <x:v>1</x:v>
      </x:c>
      <x:c r="M661" s="53" t="b">
        <x:v>1</x:v>
      </x:c>
      <x:c r="N661" s="53" t="b">
        <x:v>1</x:v>
      </x:c>
      <x:c r="O661" s="53" t="b">
        <x:v>1</x:v>
      </x:c>
      <x:c r="P661" s="47" t="n">
        <x:v>1009</x:v>
      </x:c>
      <x:c r="Q661" s="47" t="n">
        <x:v>0</x:v>
      </x:c>
      <x:c r="R661" s="47" t="n">
        <x:v>0</x:v>
      </x:c>
      <x:c r="S661" s="47" t="n">
        <x:v>29.83</x:v>
      </x:c>
      <x:c r="T661" s="47" t="n">
        <x:v>67.01</x:v>
      </x:c>
      <x:c r="U661" s="47" t="n">
        <x:v>29.3</x:v>
      </x:c>
      <x:c r="V661" s="47" t="n">
        <x:v>16.2</x:v>
      </x:c>
      <x:c r="W661" s="47" t="n">
        <x:v>0</x:v>
      </x:c>
      <x:c r="X661" s="47" t="n">
        <x:v>0</x:v>
      </x:c>
      <x:c r="Y661" s="41" t="n">
        <x:v>0</x:v>
      </x:c>
    </x:row>
    <x:row r="662">
      <x:c r="A662" s="38" t="str">
        <x:v>7月30日现场数据</x:v>
      </x:c>
      <x:c r="B662" s="66" t="str">
        <x:v>2026-08-01T20:31:53.426000</x:v>
      </x:c>
      <x:c r="C662" s="47" t="n">
        <x:v>300977</x:v>
      </x:c>
      <x:c r="D662" s="47" t="str"/>
      <x:c r="E662" s="47" t="str"/>
      <x:c r="F662" s="47" t="str">
        <x:v>current</x:v>
      </x:c>
      <x:c r="G662" s="47" t="n">
        <x:v>658</x:v>
      </x:c>
      <x:c r="H662" s="53" t="b">
        <x:v>1</x:v>
      </x:c>
      <x:c r="I662" s="47" t="str">
        <x:v>2682537910</x:v>
      </x:c>
      <x:c r="J662" s="47" t="n">
        <x:v>21370763</x:v>
      </x:c>
      <x:c r="K662" s="53" t="b">
        <x:v>1</x:v>
      </x:c>
      <x:c r="L662" s="53" t="b">
        <x:v>1</x:v>
      </x:c>
      <x:c r="M662" s="53" t="b">
        <x:v>1</x:v>
      </x:c>
      <x:c r="N662" s="53" t="b">
        <x:v>1</x:v>
      </x:c>
      <x:c r="O662" s="53" t="b">
        <x:v>1</x:v>
      </x:c>
      <x:c r="P662" s="47" t="n">
        <x:v>1009</x:v>
      </x:c>
      <x:c r="Q662" s="47" t="n">
        <x:v>0.01</x:v>
      </x:c>
      <x:c r="R662" s="47" t="n">
        <x:v>0.264</x:v>
      </x:c>
      <x:c r="S662" s="47" t="n">
        <x:v>29.77</x:v>
      </x:c>
      <x:c r="T662" s="47" t="n">
        <x:v>67.17</x:v>
      </x:c>
      <x:c r="U662" s="47" t="n">
        <x:v>29.3</x:v>
      </x:c>
      <x:c r="V662" s="47" t="n">
        <x:v>16.2</x:v>
      </x:c>
      <x:c r="W662" s="47" t="n">
        <x:v>0</x:v>
      </x:c>
      <x:c r="X662" s="47" t="n">
        <x:v>0</x:v>
      </x:c>
      <x:c r="Y662" s="41" t="n">
        <x:v>0</x:v>
      </x:c>
    </x:row>
    <x:row r="663">
      <x:c r="A663" s="38" t="str">
        <x:v>7月30日现场数据</x:v>
      </x:c>
      <x:c r="B663" s="66" t="str">
        <x:v>2026-08-01T20:36:54.403000</x:v>
      </x:c>
      <x:c r="C663" s="47" t="n">
        <x:v>300977</x:v>
      </x:c>
      <x:c r="D663" s="47" t="str"/>
      <x:c r="E663" s="47" t="str"/>
      <x:c r="F663" s="47" t="str">
        <x:v>current</x:v>
      </x:c>
      <x:c r="G663" s="47" t="n">
        <x:v>659</x:v>
      </x:c>
      <x:c r="H663" s="53" t="b">
        <x:v>1</x:v>
      </x:c>
      <x:c r="I663" s="47" t="str">
        <x:v>2682537910</x:v>
      </x:c>
      <x:c r="J663" s="47" t="n">
        <x:v>21671740</x:v>
      </x:c>
      <x:c r="K663" s="53" t="b">
        <x:v>1</x:v>
      </x:c>
      <x:c r="L663" s="53" t="b">
        <x:v>1</x:v>
      </x:c>
      <x:c r="M663" s="53" t="b">
        <x:v>1</x:v>
      </x:c>
      <x:c r="N663" s="53" t="b">
        <x:v>1</x:v>
      </x:c>
      <x:c r="O663" s="53" t="b">
        <x:v>1</x:v>
      </x:c>
      <x:c r="P663" s="47" t="n">
        <x:v>1009</x:v>
      </x:c>
      <x:c r="Q663" s="47" t="n">
        <x:v>0</x:v>
      </x:c>
      <x:c r="R663" s="47" t="n">
        <x:v>0</x:v>
      </x:c>
      <x:c r="S663" s="47" t="n">
        <x:v>29.75</x:v>
      </x:c>
      <x:c r="T663" s="47" t="n">
        <x:v>67.4</x:v>
      </x:c>
      <x:c r="U663" s="47" t="n">
        <x:v>29.3</x:v>
      </x:c>
      <x:c r="V663" s="47" t="n">
        <x:v>16.2</x:v>
      </x:c>
      <x:c r="W663" s="47" t="n">
        <x:v>0</x:v>
      </x:c>
      <x:c r="X663" s="47" t="n">
        <x:v>0</x:v>
      </x:c>
      <x:c r="Y663" s="41" t="n">
        <x:v>0</x:v>
      </x:c>
    </x:row>
    <x:row r="664">
      <x:c r="A664" s="38" t="str">
        <x:v>7月30日现场数据</x:v>
      </x:c>
      <x:c r="B664" s="66" t="str">
        <x:v>2026-08-01T20:41:55.387000</x:v>
      </x:c>
      <x:c r="C664" s="47" t="n">
        <x:v>300984</x:v>
      </x:c>
      <x:c r="D664" s="47" t="str"/>
      <x:c r="E664" s="47" t="str"/>
      <x:c r="F664" s="47" t="str">
        <x:v>current</x:v>
      </x:c>
      <x:c r="G664" s="47" t="n">
        <x:v>660</x:v>
      </x:c>
      <x:c r="H664" s="53" t="b">
        <x:v>1</x:v>
      </x:c>
      <x:c r="I664" s="47" t="str">
        <x:v>2682537910</x:v>
      </x:c>
      <x:c r="J664" s="47" t="n">
        <x:v>21972724</x:v>
      </x:c>
      <x:c r="K664" s="53" t="b">
        <x:v>1</x:v>
      </x:c>
      <x:c r="L664" s="53" t="b">
        <x:v>1</x:v>
      </x:c>
      <x:c r="M664" s="53" t="b">
        <x:v>1</x:v>
      </x:c>
      <x:c r="N664" s="53" t="b">
        <x:v>1</x:v>
      </x:c>
      <x:c r="O664" s="53" t="b">
        <x:v>1</x:v>
      </x:c>
      <x:c r="P664" s="47" t="n">
        <x:v>1009</x:v>
      </x:c>
      <x:c r="Q664" s="47" t="n">
        <x:v>0</x:v>
      </x:c>
      <x:c r="R664" s="47" t="n">
        <x:v>0</x:v>
      </x:c>
      <x:c r="S664" s="47" t="n">
        <x:v>29.72</x:v>
      </x:c>
      <x:c r="T664" s="47" t="n">
        <x:v>67.52</x:v>
      </x:c>
      <x:c r="U664" s="47" t="n">
        <x:v>29.3</x:v>
      </x:c>
      <x:c r="V664" s="47" t="n">
        <x:v>16.2</x:v>
      </x:c>
      <x:c r="W664" s="47" t="n">
        <x:v>0</x:v>
      </x:c>
      <x:c r="X664" s="47" t="n">
        <x:v>0</x:v>
      </x:c>
      <x:c r="Y664" s="41" t="n">
        <x:v>0</x:v>
      </x:c>
    </x:row>
    <x:row r="665">
      <x:c r="A665" s="38" t="str">
        <x:v>7月30日现场数据</x:v>
      </x:c>
      <x:c r="B665" s="66" t="str">
        <x:v>2026-08-01T20:46:56.369000</x:v>
      </x:c>
      <x:c r="C665" s="47" t="n">
        <x:v>300982</x:v>
      </x:c>
      <x:c r="D665" s="47" t="str"/>
      <x:c r="E665" s="47" t="str"/>
      <x:c r="F665" s="47" t="str">
        <x:v>current</x:v>
      </x:c>
      <x:c r="G665" s="47" t="n">
        <x:v>661</x:v>
      </x:c>
      <x:c r="H665" s="53" t="b">
        <x:v>1</x:v>
      </x:c>
      <x:c r="I665" s="47" t="str">
        <x:v>2682537910</x:v>
      </x:c>
      <x:c r="J665" s="47" t="n">
        <x:v>22273706</x:v>
      </x:c>
      <x:c r="K665" s="53" t="b">
        <x:v>1</x:v>
      </x:c>
      <x:c r="L665" s="53" t="b">
        <x:v>1</x:v>
      </x:c>
      <x:c r="M665" s="53" t="b">
        <x:v>1</x:v>
      </x:c>
      <x:c r="N665" s="53" t="b">
        <x:v>1</x:v>
      </x:c>
      <x:c r="O665" s="53" t="b">
        <x:v>1</x:v>
      </x:c>
      <x:c r="P665" s="47" t="n">
        <x:v>1009</x:v>
      </x:c>
      <x:c r="Q665" s="47" t="n">
        <x:v>0</x:v>
      </x:c>
      <x:c r="R665" s="47" t="n">
        <x:v>0</x:v>
      </x:c>
      <x:c r="S665" s="47" t="n">
        <x:v>29.71</x:v>
      </x:c>
      <x:c r="T665" s="47" t="n">
        <x:v>67.74</x:v>
      </x:c>
      <x:c r="U665" s="47" t="n">
        <x:v>29.3</x:v>
      </x:c>
      <x:c r="V665" s="47" t="n">
        <x:v>16.2</x:v>
      </x:c>
      <x:c r="W665" s="47" t="n">
        <x:v>0</x:v>
      </x:c>
      <x:c r="X665" s="47" t="n">
        <x:v>0</x:v>
      </x:c>
      <x:c r="Y665" s="41" t="n">
        <x:v>0</x:v>
      </x:c>
    </x:row>
    <x:row r="666">
      <x:c r="A666" s="38" t="str">
        <x:v>7月30日现场数据</x:v>
      </x:c>
      <x:c r="B666" s="66" t="str">
        <x:v>2026-08-01T20:51:57.387000</x:v>
      </x:c>
      <x:c r="C666" s="47" t="n">
        <x:v>301018</x:v>
      </x:c>
      <x:c r="D666" s="47" t="str"/>
      <x:c r="E666" s="47" t="str"/>
      <x:c r="F666" s="47" t="str">
        <x:v>current</x:v>
      </x:c>
      <x:c r="G666" s="47" t="n">
        <x:v>662</x:v>
      </x:c>
      <x:c r="H666" s="53" t="b">
        <x:v>1</x:v>
      </x:c>
      <x:c r="I666" s="47" t="str">
        <x:v>2682537910</x:v>
      </x:c>
      <x:c r="J666" s="47" t="n">
        <x:v>22574724</x:v>
      </x:c>
      <x:c r="K666" s="53" t="b">
        <x:v>1</x:v>
      </x:c>
      <x:c r="L666" s="53" t="b">
        <x:v>1</x:v>
      </x:c>
      <x:c r="M666" s="53" t="b">
        <x:v>1</x:v>
      </x:c>
      <x:c r="N666" s="53" t="b">
        <x:v>1</x:v>
      </x:c>
      <x:c r="O666" s="53" t="b">
        <x:v>1</x:v>
      </x:c>
      <x:c r="P666" s="47" t="n">
        <x:v>1009</x:v>
      </x:c>
      <x:c r="Q666" s="47" t="n">
        <x:v>0</x:v>
      </x:c>
      <x:c r="R666" s="47" t="n">
        <x:v>0</x:v>
      </x:c>
      <x:c r="S666" s="47" t="n">
        <x:v>29.67</x:v>
      </x:c>
      <x:c r="T666" s="47" t="n">
        <x:v>67.89</x:v>
      </x:c>
      <x:c r="U666" s="47" t="n">
        <x:v>29.2</x:v>
      </x:c>
      <x:c r="V666" s="47" t="n">
        <x:v>16.2</x:v>
      </x:c>
      <x:c r="W666" s="47" t="n">
        <x:v>0</x:v>
      </x:c>
      <x:c r="X666" s="47" t="n">
        <x:v>0</x:v>
      </x:c>
      <x:c r="Y666" s="41" t="n">
        <x:v>0</x:v>
      </x:c>
    </x:row>
    <x:row r="667">
      <x:c r="A667" s="38" t="str">
        <x:v>7月30日现场数据</x:v>
      </x:c>
      <x:c r="B667" s="66" t="str">
        <x:v>2026-08-01T20:56:58.345000</x:v>
      </x:c>
      <x:c r="C667" s="47" t="n">
        <x:v>300958</x:v>
      </x:c>
      <x:c r="D667" s="47" t="str"/>
      <x:c r="E667" s="47" t="str"/>
      <x:c r="F667" s="47" t="str">
        <x:v>current</x:v>
      </x:c>
      <x:c r="G667" s="47" t="n">
        <x:v>663</x:v>
      </x:c>
      <x:c r="H667" s="53" t="b">
        <x:v>1</x:v>
      </x:c>
      <x:c r="I667" s="47" t="str">
        <x:v>2682537910</x:v>
      </x:c>
      <x:c r="J667" s="47" t="n">
        <x:v>22875682</x:v>
      </x:c>
      <x:c r="K667" s="53" t="b">
        <x:v>1</x:v>
      </x:c>
      <x:c r="L667" s="53" t="b">
        <x:v>1</x:v>
      </x:c>
      <x:c r="M667" s="53" t="b">
        <x:v>1</x:v>
      </x:c>
      <x:c r="N667" s="53" t="b">
        <x:v>1</x:v>
      </x:c>
      <x:c r="O667" s="53" t="b">
        <x:v>1</x:v>
      </x:c>
      <x:c r="P667" s="47" t="n">
        <x:v>1009</x:v>
      </x:c>
      <x:c r="Q667" s="47" t="n">
        <x:v>0</x:v>
      </x:c>
      <x:c r="R667" s="47" t="n">
        <x:v>0</x:v>
      </x:c>
      <x:c r="S667" s="47" t="n">
        <x:v>29.63</x:v>
      </x:c>
      <x:c r="T667" s="47" t="n">
        <x:v>68.04</x:v>
      </x:c>
      <x:c r="U667" s="47" t="n">
        <x:v>29.3</x:v>
      </x:c>
      <x:c r="V667" s="47" t="n">
        <x:v>16.2</x:v>
      </x:c>
      <x:c r="W667" s="47" t="n">
        <x:v>0</x:v>
      </x:c>
      <x:c r="X667" s="47" t="n">
        <x:v>0</x:v>
      </x:c>
      <x:c r="Y667" s="41" t="n">
        <x:v>0</x:v>
      </x:c>
    </x:row>
    <x:row r="668">
      <x:c r="A668" s="38" t="str">
        <x:v>7月30日现场数据</x:v>
      </x:c>
      <x:c r="B668" s="66" t="str">
        <x:v>2026-08-01T21:01:59.306000</x:v>
      </x:c>
      <x:c r="C668" s="47" t="n">
        <x:v>300961</x:v>
      </x:c>
      <x:c r="D668" s="47" t="str"/>
      <x:c r="E668" s="47" t="str"/>
      <x:c r="F668" s="47" t="str">
        <x:v>current</x:v>
      </x:c>
      <x:c r="G668" s="47" t="n">
        <x:v>664</x:v>
      </x:c>
      <x:c r="H668" s="53" t="b">
        <x:v>1</x:v>
      </x:c>
      <x:c r="I668" s="47" t="str">
        <x:v>2682537910</x:v>
      </x:c>
      <x:c r="J668" s="47" t="n">
        <x:v>23176643</x:v>
      </x:c>
      <x:c r="K668" s="53" t="b">
        <x:v>1</x:v>
      </x:c>
      <x:c r="L668" s="53" t="b">
        <x:v>1</x:v>
      </x:c>
      <x:c r="M668" s="53" t="b">
        <x:v>1</x:v>
      </x:c>
      <x:c r="N668" s="53" t="b">
        <x:v>1</x:v>
      </x:c>
      <x:c r="O668" s="53" t="b">
        <x:v>1</x:v>
      </x:c>
      <x:c r="P668" s="47" t="n">
        <x:v>1009</x:v>
      </x:c>
      <x:c r="Q668" s="47" t="n">
        <x:v>0</x:v>
      </x:c>
      <x:c r="R668" s="47" t="n">
        <x:v>0</x:v>
      </x:c>
      <x:c r="S668" s="47" t="n">
        <x:v>29.58</x:v>
      </x:c>
      <x:c r="T668" s="47" t="n">
        <x:v>68.22</x:v>
      </x:c>
      <x:c r="U668" s="47" t="n">
        <x:v>29.3</x:v>
      </x:c>
      <x:c r="V668" s="47" t="n">
        <x:v>16.2</x:v>
      </x:c>
      <x:c r="W668" s="47" t="n">
        <x:v>0</x:v>
      </x:c>
      <x:c r="X668" s="47" t="n">
        <x:v>0</x:v>
      </x:c>
      <x:c r="Y668" s="41" t="n">
        <x:v>0</x:v>
      </x:c>
    </x:row>
    <x:row r="669">
      <x:c r="A669" s="38" t="str">
        <x:v>7月30日现场数据</x:v>
      </x:c>
      <x:c r="B669" s="66" t="str">
        <x:v>2026-08-01T21:07:00.270000</x:v>
      </x:c>
      <x:c r="C669" s="47" t="n">
        <x:v>300964</x:v>
      </x:c>
      <x:c r="D669" s="47" t="str"/>
      <x:c r="E669" s="47" t="str"/>
      <x:c r="F669" s="47" t="str">
        <x:v>current</x:v>
      </x:c>
      <x:c r="G669" s="47" t="n">
        <x:v>665</x:v>
      </x:c>
      <x:c r="H669" s="53" t="b">
        <x:v>1</x:v>
      </x:c>
      <x:c r="I669" s="47" t="str">
        <x:v>2682537910</x:v>
      </x:c>
      <x:c r="J669" s="47" t="n">
        <x:v>23477607</x:v>
      </x:c>
      <x:c r="K669" s="53" t="b">
        <x:v>1</x:v>
      </x:c>
      <x:c r="L669" s="53" t="b">
        <x:v>1</x:v>
      </x:c>
      <x:c r="M669" s="53" t="b">
        <x:v>1</x:v>
      </x:c>
      <x:c r="N669" s="53" t="b">
        <x:v>1</x:v>
      </x:c>
      <x:c r="O669" s="53" t="b">
        <x:v>1</x:v>
      </x:c>
      <x:c r="P669" s="47" t="n">
        <x:v>1009</x:v>
      </x:c>
      <x:c r="Q669" s="47" t="n">
        <x:v>0</x:v>
      </x:c>
      <x:c r="R669" s="47" t="n">
        <x:v>0</x:v>
      </x:c>
      <x:c r="S669" s="47" t="n">
        <x:v>29.53</x:v>
      </x:c>
      <x:c r="T669" s="47" t="n">
        <x:v>68.37</x:v>
      </x:c>
      <x:c r="U669" s="47" t="n">
        <x:v>29.3</x:v>
      </x:c>
      <x:c r="V669" s="47" t="n">
        <x:v>16.2</x:v>
      </x:c>
      <x:c r="W669" s="47" t="n">
        <x:v>0</x:v>
      </x:c>
      <x:c r="X669" s="47" t="n">
        <x:v>0</x:v>
      </x:c>
      <x:c r="Y669" s="41" t="n">
        <x:v>0</x:v>
      </x:c>
    </x:row>
    <x:row r="670">
      <x:c r="A670" s="38" t="str">
        <x:v>7月30日现场数据</x:v>
      </x:c>
      <x:c r="B670" s="66" t="str">
        <x:v>2026-08-01T21:12:01.236000</x:v>
      </x:c>
      <x:c r="C670" s="47" t="n">
        <x:v>300966</x:v>
      </x:c>
      <x:c r="D670" s="47" t="str"/>
      <x:c r="E670" s="47" t="str"/>
      <x:c r="F670" s="47" t="str">
        <x:v>current</x:v>
      </x:c>
      <x:c r="G670" s="47" t="n">
        <x:v>666</x:v>
      </x:c>
      <x:c r="H670" s="53" t="b">
        <x:v>1</x:v>
      </x:c>
      <x:c r="I670" s="47" t="str">
        <x:v>2682537910</x:v>
      </x:c>
      <x:c r="J670" s="47" t="n">
        <x:v>23778573</x:v>
      </x:c>
      <x:c r="K670" s="53" t="b">
        <x:v>1</x:v>
      </x:c>
      <x:c r="L670" s="53" t="b">
        <x:v>1</x:v>
      </x:c>
      <x:c r="M670" s="53" t="b">
        <x:v>1</x:v>
      </x:c>
      <x:c r="N670" s="53" t="b">
        <x:v>1</x:v>
      </x:c>
      <x:c r="O670" s="53" t="b">
        <x:v>1</x:v>
      </x:c>
      <x:c r="P670" s="47" t="n">
        <x:v>1009</x:v>
      </x:c>
      <x:c r="Q670" s="47" t="n">
        <x:v>0</x:v>
      </x:c>
      <x:c r="R670" s="47" t="n">
        <x:v>0</x:v>
      </x:c>
      <x:c r="S670" s="47" t="n">
        <x:v>29.47</x:v>
      </x:c>
      <x:c r="T670" s="47" t="n">
        <x:v>68.53</x:v>
      </x:c>
      <x:c r="U670" s="47" t="n">
        <x:v>29.2</x:v>
      </x:c>
      <x:c r="V670" s="47" t="n">
        <x:v>16.2</x:v>
      </x:c>
      <x:c r="W670" s="47" t="n">
        <x:v>0</x:v>
      </x:c>
      <x:c r="X670" s="47" t="n">
        <x:v>0</x:v>
      </x:c>
      <x:c r="Y670" s="41" t="n">
        <x:v>0</x:v>
      </x:c>
    </x:row>
    <x:row r="671">
      <x:c r="A671" s="38" t="str">
        <x:v>7月30日现场数据</x:v>
      </x:c>
      <x:c r="B671" s="66" t="str">
        <x:v>2026-08-01T21:17:02.205000</x:v>
      </x:c>
      <x:c r="C671" s="47" t="n">
        <x:v>300969</x:v>
      </x:c>
      <x:c r="D671" s="47" t="str"/>
      <x:c r="E671" s="47" t="str"/>
      <x:c r="F671" s="47" t="str">
        <x:v>current</x:v>
      </x:c>
      <x:c r="G671" s="47" t="n">
        <x:v>667</x:v>
      </x:c>
      <x:c r="H671" s="53" t="b">
        <x:v>1</x:v>
      </x:c>
      <x:c r="I671" s="47" t="str">
        <x:v>2682537910</x:v>
      </x:c>
      <x:c r="J671" s="47" t="n">
        <x:v>24079542</x:v>
      </x:c>
      <x:c r="K671" s="53" t="b">
        <x:v>1</x:v>
      </x:c>
      <x:c r="L671" s="53" t="b">
        <x:v>1</x:v>
      </x:c>
      <x:c r="M671" s="53" t="b">
        <x:v>1</x:v>
      </x:c>
      <x:c r="N671" s="53" t="b">
        <x:v>1</x:v>
      </x:c>
      <x:c r="O671" s="53" t="b">
        <x:v>1</x:v>
      </x:c>
      <x:c r="P671" s="47" t="n">
        <x:v>1010</x:v>
      </x:c>
      <x:c r="Q671" s="47" t="n">
        <x:v>0</x:v>
      </x:c>
      <x:c r="R671" s="47" t="n">
        <x:v>0</x:v>
      </x:c>
      <x:c r="S671" s="47" t="n">
        <x:v>29.49</x:v>
      </x:c>
      <x:c r="T671" s="47" t="n">
        <x:v>68.7</x:v>
      </x:c>
      <x:c r="U671" s="47" t="n">
        <x:v>29.2</x:v>
      </x:c>
      <x:c r="V671" s="47" t="n">
        <x:v>16.2</x:v>
      </x:c>
      <x:c r="W671" s="47" t="n">
        <x:v>0</x:v>
      </x:c>
      <x:c r="X671" s="47" t="n">
        <x:v>0</x:v>
      </x:c>
      <x:c r="Y671" s="41" t="n">
        <x:v>0</x:v>
      </x:c>
    </x:row>
    <x:row r="672">
      <x:c r="A672" s="38" t="str">
        <x:v>7月30日现场数据</x:v>
      </x:c>
      <x:c r="B672" s="66" t="str">
        <x:v>2026-08-01T21:22:03.174000</x:v>
      </x:c>
      <x:c r="C672" s="47" t="n">
        <x:v>300969</x:v>
      </x:c>
      <x:c r="D672" s="47" t="str"/>
      <x:c r="E672" s="47" t="str"/>
      <x:c r="F672" s="47" t="str">
        <x:v>current</x:v>
      </x:c>
      <x:c r="G672" s="47" t="n">
        <x:v>668</x:v>
      </x:c>
      <x:c r="H672" s="53" t="b">
        <x:v>1</x:v>
      </x:c>
      <x:c r="I672" s="47" t="str">
        <x:v>2682537910</x:v>
      </x:c>
      <x:c r="J672" s="47" t="n">
        <x:v>24380511</x:v>
      </x:c>
      <x:c r="K672" s="53" t="b">
        <x:v>1</x:v>
      </x:c>
      <x:c r="L672" s="53" t="b">
        <x:v>1</x:v>
      </x:c>
      <x:c r="M672" s="53" t="b">
        <x:v>1</x:v>
      </x:c>
      <x:c r="N672" s="53" t="b">
        <x:v>1</x:v>
      </x:c>
      <x:c r="O672" s="53" t="b">
        <x:v>1</x:v>
      </x:c>
      <x:c r="P672" s="47" t="n">
        <x:v>1010</x:v>
      </x:c>
      <x:c r="Q672" s="47" t="n">
        <x:v>0</x:v>
      </x:c>
      <x:c r="R672" s="47" t="n">
        <x:v>0</x:v>
      </x:c>
      <x:c r="S672" s="47" t="n">
        <x:v>29.51</x:v>
      </x:c>
      <x:c r="T672" s="47" t="n">
        <x:v>68.87</x:v>
      </x:c>
      <x:c r="U672" s="47" t="n">
        <x:v>29.2</x:v>
      </x:c>
      <x:c r="V672" s="47" t="n">
        <x:v>16.2</x:v>
      </x:c>
      <x:c r="W672" s="47" t="n">
        <x:v>0</x:v>
      </x:c>
      <x:c r="X672" s="47" t="n">
        <x:v>0</x:v>
      </x:c>
      <x:c r="Y672" s="41" t="n">
        <x:v>0</x:v>
      </x:c>
    </x:row>
    <x:row r="673">
      <x:c r="A673" s="38" t="str">
        <x:v>7月30日现场数据</x:v>
      </x:c>
      <x:c r="B673" s="66" t="str">
        <x:v>2026-08-01T21:27:04.146000</x:v>
      </x:c>
      <x:c r="C673" s="47" t="n">
        <x:v>300972</x:v>
      </x:c>
      <x:c r="D673" s="47" t="str"/>
      <x:c r="E673" s="47" t="str"/>
      <x:c r="F673" s="47" t="str">
        <x:v>current</x:v>
      </x:c>
      <x:c r="G673" s="47" t="n">
        <x:v>669</x:v>
      </x:c>
      <x:c r="H673" s="53" t="b">
        <x:v>1</x:v>
      </x:c>
      <x:c r="I673" s="47" t="str">
        <x:v>2682537910</x:v>
      </x:c>
      <x:c r="J673" s="47" t="n">
        <x:v>24681483</x:v>
      </x:c>
      <x:c r="K673" s="53" t="b">
        <x:v>1</x:v>
      </x:c>
      <x:c r="L673" s="53" t="b">
        <x:v>1</x:v>
      </x:c>
      <x:c r="M673" s="53" t="b">
        <x:v>1</x:v>
      </x:c>
      <x:c r="N673" s="53" t="b">
        <x:v>1</x:v>
      </x:c>
      <x:c r="O673" s="53" t="b">
        <x:v>1</x:v>
      </x:c>
      <x:c r="P673" s="47" t="n">
        <x:v>1010</x:v>
      </x:c>
      <x:c r="Q673" s="47" t="n">
        <x:v>0</x:v>
      </x:c>
      <x:c r="R673" s="47" t="n">
        <x:v>0</x:v>
      </x:c>
      <x:c r="S673" s="47" t="n">
        <x:v>29.52</x:v>
      </x:c>
      <x:c r="T673" s="47" t="n">
        <x:v>69.08</x:v>
      </x:c>
      <x:c r="U673" s="47" t="n">
        <x:v>29.2</x:v>
      </x:c>
      <x:c r="V673" s="47" t="n">
        <x:v>16.2</x:v>
      </x:c>
      <x:c r="W673" s="47" t="n">
        <x:v>0</x:v>
      </x:c>
      <x:c r="X673" s="47" t="n">
        <x:v>0</x:v>
      </x:c>
      <x:c r="Y673" s="41" t="n">
        <x:v>0</x:v>
      </x:c>
    </x:row>
    <x:row r="674">
      <x:c r="A674" s="38" t="str">
        <x:v>7月30日现场数据</x:v>
      </x:c>
      <x:c r="B674" s="66" t="str">
        <x:v>2026-08-01T21:32:05.120000</x:v>
      </x:c>
      <x:c r="C674" s="47" t="n">
        <x:v>300974</x:v>
      </x:c>
      <x:c r="D674" s="47" t="str"/>
      <x:c r="E674" s="47" t="str"/>
      <x:c r="F674" s="47" t="str">
        <x:v>current</x:v>
      </x:c>
      <x:c r="G674" s="47" t="n">
        <x:v>670</x:v>
      </x:c>
      <x:c r="H674" s="53" t="b">
        <x:v>1</x:v>
      </x:c>
      <x:c r="I674" s="47" t="str">
        <x:v>2682537910</x:v>
      </x:c>
      <x:c r="J674" s="47" t="n">
        <x:v>24982457</x:v>
      </x:c>
      <x:c r="K674" s="53" t="b">
        <x:v>1</x:v>
      </x:c>
      <x:c r="L674" s="53" t="b">
        <x:v>1</x:v>
      </x:c>
      <x:c r="M674" s="53" t="b">
        <x:v>1</x:v>
      </x:c>
      <x:c r="N674" s="53" t="b">
        <x:v>1</x:v>
      </x:c>
      <x:c r="O674" s="53" t="b">
        <x:v>1</x:v>
      </x:c>
      <x:c r="P674" s="47" t="n">
        <x:v>1010</x:v>
      </x:c>
      <x:c r="Q674" s="47" t="n">
        <x:v>0</x:v>
      </x:c>
      <x:c r="R674" s="47" t="n">
        <x:v>0</x:v>
      </x:c>
      <x:c r="S674" s="47" t="n">
        <x:v>29.5</x:v>
      </x:c>
      <x:c r="T674" s="47" t="n">
        <x:v>69.21</x:v>
      </x:c>
      <x:c r="U674" s="47" t="n">
        <x:v>29.2</x:v>
      </x:c>
      <x:c r="V674" s="47" t="n">
        <x:v>16.1</x:v>
      </x:c>
      <x:c r="W674" s="47" t="n">
        <x:v>0</x:v>
      </x:c>
      <x:c r="X674" s="47" t="n">
        <x:v>0</x:v>
      </x:c>
      <x:c r="Y674" s="41" t="n">
        <x:v>0</x:v>
      </x:c>
    </x:row>
    <x:row r="675">
      <x:c r="A675" s="38" t="str">
        <x:v>7月30日现场数据</x:v>
      </x:c>
      <x:c r="B675" s="66" t="str">
        <x:v>2026-08-01T21:37:06.093000</x:v>
      </x:c>
      <x:c r="C675" s="47" t="n">
        <x:v>300973</x:v>
      </x:c>
      <x:c r="D675" s="47" t="str"/>
      <x:c r="E675" s="47" t="str"/>
      <x:c r="F675" s="47" t="str">
        <x:v>current</x:v>
      </x:c>
      <x:c r="G675" s="47" t="n">
        <x:v>671</x:v>
      </x:c>
      <x:c r="H675" s="53" t="b">
        <x:v>1</x:v>
      </x:c>
      <x:c r="I675" s="47" t="str">
        <x:v>2682537910</x:v>
      </x:c>
      <x:c r="J675" s="47" t="n">
        <x:v>25283430</x:v>
      </x:c>
      <x:c r="K675" s="53" t="b">
        <x:v>1</x:v>
      </x:c>
      <x:c r="L675" s="53" t="b">
        <x:v>1</x:v>
      </x:c>
      <x:c r="M675" s="53" t="b">
        <x:v>1</x:v>
      </x:c>
      <x:c r="N675" s="53" t="b">
        <x:v>1</x:v>
      </x:c>
      <x:c r="O675" s="53" t="b">
        <x:v>1</x:v>
      </x:c>
      <x:c r="P675" s="47" t="n">
        <x:v>1010</x:v>
      </x:c>
      <x:c r="Q675" s="47" t="n">
        <x:v>0</x:v>
      </x:c>
      <x:c r="R675" s="47" t="n">
        <x:v>0</x:v>
      </x:c>
      <x:c r="S675" s="47" t="n">
        <x:v>29.45</x:v>
      </x:c>
      <x:c r="T675" s="47" t="n">
        <x:v>69.4</x:v>
      </x:c>
      <x:c r="U675" s="47" t="n">
        <x:v>29.2</x:v>
      </x:c>
      <x:c r="V675" s="47" t="n">
        <x:v>16.1</x:v>
      </x:c>
      <x:c r="W675" s="47" t="n">
        <x:v>0</x:v>
      </x:c>
      <x:c r="X675" s="47" t="n">
        <x:v>0</x:v>
      </x:c>
      <x:c r="Y675" s="41" t="n">
        <x:v>0</x:v>
      </x:c>
    </x:row>
    <x:row r="676">
      <x:c r="A676" s="38" t="str">
        <x:v>7月30日现场数据</x:v>
      </x:c>
      <x:c r="B676" s="66" t="str">
        <x:v>2026-08-01T21:42:07.069000</x:v>
      </x:c>
      <x:c r="C676" s="47" t="n">
        <x:v>300976</x:v>
      </x:c>
      <x:c r="D676" s="47" t="str"/>
      <x:c r="E676" s="47" t="str"/>
      <x:c r="F676" s="47" t="str">
        <x:v>current</x:v>
      </x:c>
      <x:c r="G676" s="47" t="n">
        <x:v>672</x:v>
      </x:c>
      <x:c r="H676" s="53" t="b">
        <x:v>1</x:v>
      </x:c>
      <x:c r="I676" s="47" t="str">
        <x:v>2682537910</x:v>
      </x:c>
      <x:c r="J676" s="47" t="n">
        <x:v>25584406</x:v>
      </x:c>
      <x:c r="K676" s="53" t="b">
        <x:v>1</x:v>
      </x:c>
      <x:c r="L676" s="53" t="b">
        <x:v>1</x:v>
      </x:c>
      <x:c r="M676" s="53" t="b">
        <x:v>1</x:v>
      </x:c>
      <x:c r="N676" s="53" t="b">
        <x:v>1</x:v>
      </x:c>
      <x:c r="O676" s="53" t="b">
        <x:v>1</x:v>
      </x:c>
      <x:c r="P676" s="47" t="n">
        <x:v>1010</x:v>
      </x:c>
      <x:c r="Q676" s="47" t="n">
        <x:v>0</x:v>
      </x:c>
      <x:c r="R676" s="47" t="n">
        <x:v>0</x:v>
      </x:c>
      <x:c r="S676" s="47" t="n">
        <x:v>29.43</x:v>
      </x:c>
      <x:c r="T676" s="47" t="n">
        <x:v>69.56</x:v>
      </x:c>
      <x:c r="U676" s="47" t="n">
        <x:v>29.2</x:v>
      </x:c>
      <x:c r="V676" s="47" t="n">
        <x:v>16.1</x:v>
      </x:c>
      <x:c r="W676" s="47" t="n">
        <x:v>0</x:v>
      </x:c>
      <x:c r="X676" s="47" t="n">
        <x:v>0</x:v>
      </x:c>
      <x:c r="Y676" s="41" t="n">
        <x:v>0</x:v>
      </x:c>
    </x:row>
    <x:row r="677">
      <x:c r="A677" s="38" t="str">
        <x:v>7月30日现场数据</x:v>
      </x:c>
      <x:c r="B677" s="66" t="str">
        <x:v>2026-08-01T21:47:08.046000</x:v>
      </x:c>
      <x:c r="C677" s="47" t="n">
        <x:v>300977</x:v>
      </x:c>
      <x:c r="D677" s="47" t="str"/>
      <x:c r="E677" s="47" t="str"/>
      <x:c r="F677" s="47" t="str">
        <x:v>current</x:v>
      </x:c>
      <x:c r="G677" s="47" t="n">
        <x:v>673</x:v>
      </x:c>
      <x:c r="H677" s="53" t="b">
        <x:v>1</x:v>
      </x:c>
      <x:c r="I677" s="47" t="str">
        <x:v>2682537910</x:v>
      </x:c>
      <x:c r="J677" s="47" t="n">
        <x:v>25885383</x:v>
      </x:c>
      <x:c r="K677" s="53" t="b">
        <x:v>1</x:v>
      </x:c>
      <x:c r="L677" s="53" t="b">
        <x:v>1</x:v>
      </x:c>
      <x:c r="M677" s="53" t="b">
        <x:v>1</x:v>
      </x:c>
      <x:c r="N677" s="53" t="b">
        <x:v>1</x:v>
      </x:c>
      <x:c r="O677" s="53" t="b">
        <x:v>1</x:v>
      </x:c>
      <x:c r="P677" s="47" t="n">
        <x:v>1010</x:v>
      </x:c>
      <x:c r="Q677" s="47" t="n">
        <x:v>0</x:v>
      </x:c>
      <x:c r="R677" s="47" t="n">
        <x:v>0</x:v>
      </x:c>
      <x:c r="S677" s="47" t="n">
        <x:v>29.48</x:v>
      </x:c>
      <x:c r="T677" s="47" t="n">
        <x:v>69.77</x:v>
      </x:c>
      <x:c r="U677" s="47" t="n">
        <x:v>29.2</x:v>
      </x:c>
      <x:c r="V677" s="47" t="n">
        <x:v>16.1</x:v>
      </x:c>
      <x:c r="W677" s="47" t="n">
        <x:v>0</x:v>
      </x:c>
      <x:c r="X677" s="47" t="n">
        <x:v>0</x:v>
      </x:c>
      <x:c r="Y677" s="41" t="n">
        <x:v>0</x:v>
      </x:c>
    </x:row>
    <x:row r="678">
      <x:c r="A678" s="38" t="str">
        <x:v>7月30日现场数据</x:v>
      </x:c>
      <x:c r="B678" s="66" t="str">
        <x:v>2026-08-01T21:52:09.027000</x:v>
      </x:c>
      <x:c r="C678" s="47" t="n">
        <x:v>300981</x:v>
      </x:c>
      <x:c r="D678" s="47" t="str"/>
      <x:c r="E678" s="47" t="str"/>
      <x:c r="F678" s="47" t="str">
        <x:v>current</x:v>
      </x:c>
      <x:c r="G678" s="47" t="n">
        <x:v>674</x:v>
      </x:c>
      <x:c r="H678" s="53" t="b">
        <x:v>1</x:v>
      </x:c>
      <x:c r="I678" s="47" t="str">
        <x:v>2682537910</x:v>
      </x:c>
      <x:c r="J678" s="47" t="n">
        <x:v>26186364</x:v>
      </x:c>
      <x:c r="K678" s="53" t="b">
        <x:v>1</x:v>
      </x:c>
      <x:c r="L678" s="53" t="b">
        <x:v>1</x:v>
      </x:c>
      <x:c r="M678" s="53" t="b">
        <x:v>1</x:v>
      </x:c>
      <x:c r="N678" s="53" t="b">
        <x:v>1</x:v>
      </x:c>
      <x:c r="O678" s="53" t="b">
        <x:v>1</x:v>
      </x:c>
      <x:c r="P678" s="47" t="n">
        <x:v>1010</x:v>
      </x:c>
      <x:c r="Q678" s="47" t="n">
        <x:v>0</x:v>
      </x:c>
      <x:c r="R678" s="47" t="n">
        <x:v>0</x:v>
      </x:c>
      <x:c r="S678" s="47" t="n">
        <x:v>29.46</x:v>
      </x:c>
      <x:c r="T678" s="47" t="n">
        <x:v>69.92</x:v>
      </x:c>
      <x:c r="U678" s="47" t="n">
        <x:v>29.2</x:v>
      </x:c>
      <x:c r="V678" s="47" t="n">
        <x:v>16.1</x:v>
      </x:c>
      <x:c r="W678" s="47" t="n">
        <x:v>0</x:v>
      </x:c>
      <x:c r="X678" s="47" t="n">
        <x:v>0</x:v>
      </x:c>
      <x:c r="Y678" s="41" t="n">
        <x:v>0</x:v>
      </x:c>
    </x:row>
    <x:row r="679">
      <x:c r="A679" s="38" t="str">
        <x:v>7月30日现场数据</x:v>
      </x:c>
      <x:c r="B679" s="66" t="str">
        <x:v>2026-08-01T21:57:10.009000</x:v>
      </x:c>
      <x:c r="C679" s="47" t="n">
        <x:v>300982</x:v>
      </x:c>
      <x:c r="D679" s="47" t="str"/>
      <x:c r="E679" s="47" t="str"/>
      <x:c r="F679" s="47" t="str">
        <x:v>current</x:v>
      </x:c>
      <x:c r="G679" s="47" t="n">
        <x:v>675</x:v>
      </x:c>
      <x:c r="H679" s="53" t="b">
        <x:v>1</x:v>
      </x:c>
      <x:c r="I679" s="47" t="str">
        <x:v>2682537910</x:v>
      </x:c>
      <x:c r="J679" s="47" t="n">
        <x:v>26487346</x:v>
      </x:c>
      <x:c r="K679" s="53" t="b">
        <x:v>1</x:v>
      </x:c>
      <x:c r="L679" s="53" t="b">
        <x:v>1</x:v>
      </x:c>
      <x:c r="M679" s="53" t="b">
        <x:v>1</x:v>
      </x:c>
      <x:c r="N679" s="53" t="b">
        <x:v>1</x:v>
      </x:c>
      <x:c r="O679" s="53" t="b">
        <x:v>1</x:v>
      </x:c>
      <x:c r="P679" s="47" t="n">
        <x:v>1010</x:v>
      </x:c>
      <x:c r="Q679" s="47" t="n">
        <x:v>0</x:v>
      </x:c>
      <x:c r="R679" s="47" t="n">
        <x:v>0</x:v>
      </x:c>
      <x:c r="S679" s="47" t="n">
        <x:v>29.52</x:v>
      </x:c>
      <x:c r="T679" s="47" t="n">
        <x:v>70.1</x:v>
      </x:c>
      <x:c r="U679" s="47" t="n">
        <x:v>29.2</x:v>
      </x:c>
      <x:c r="V679" s="47" t="n">
        <x:v>16.1</x:v>
      </x:c>
      <x:c r="W679" s="47" t="n">
        <x:v>0</x:v>
      </x:c>
      <x:c r="X679" s="47" t="n">
        <x:v>0</x:v>
      </x:c>
      <x:c r="Y679" s="41" t="n">
        <x:v>0</x:v>
      </x:c>
    </x:row>
    <x:row r="680">
      <x:c r="A680" s="38" t="str">
        <x:v>7月30日现场数据</x:v>
      </x:c>
      <x:c r="B680" s="66" t="str">
        <x:v>2026-08-01T22:02:10.992000</x:v>
      </x:c>
      <x:c r="C680" s="47" t="n">
        <x:v>300983</x:v>
      </x:c>
      <x:c r="D680" s="47" t="str"/>
      <x:c r="E680" s="47" t="str"/>
      <x:c r="F680" s="47" t="str">
        <x:v>current</x:v>
      </x:c>
      <x:c r="G680" s="47" t="n">
        <x:v>676</x:v>
      </x:c>
      <x:c r="H680" s="53" t="b">
        <x:v>1</x:v>
      </x:c>
      <x:c r="I680" s="47" t="str">
        <x:v>2682537910</x:v>
      </x:c>
      <x:c r="J680" s="47" t="n">
        <x:v>26788329</x:v>
      </x:c>
      <x:c r="K680" s="53" t="b">
        <x:v>1</x:v>
      </x:c>
      <x:c r="L680" s="53" t="b">
        <x:v>1</x:v>
      </x:c>
      <x:c r="M680" s="53" t="b">
        <x:v>1</x:v>
      </x:c>
      <x:c r="N680" s="53" t="b">
        <x:v>1</x:v>
      </x:c>
      <x:c r="O680" s="53" t="b">
        <x:v>1</x:v>
      </x:c>
      <x:c r="P680" s="47" t="n">
        <x:v>1010</x:v>
      </x:c>
      <x:c r="Q680" s="47" t="n">
        <x:v>0</x:v>
      </x:c>
      <x:c r="R680" s="47" t="n">
        <x:v>0</x:v>
      </x:c>
      <x:c r="S680" s="47" t="n">
        <x:v>29.5</x:v>
      </x:c>
      <x:c r="T680" s="47" t="n">
        <x:v>70.22</x:v>
      </x:c>
      <x:c r="U680" s="47" t="n">
        <x:v>29.2</x:v>
      </x:c>
      <x:c r="V680" s="47" t="n">
        <x:v>16.1</x:v>
      </x:c>
      <x:c r="W680" s="47" t="n">
        <x:v>0</x:v>
      </x:c>
      <x:c r="X680" s="47" t="n">
        <x:v>0</x:v>
      </x:c>
      <x:c r="Y680" s="41" t="n">
        <x:v>0</x:v>
      </x:c>
    </x:row>
    <x:row r="681">
      <x:c r="A681" s="38" t="str">
        <x:v>7月30日现场数据</x:v>
      </x:c>
      <x:c r="B681" s="66" t="str">
        <x:v>2026-08-01T22:07:11.978000</x:v>
      </x:c>
      <x:c r="C681" s="47" t="n">
        <x:v>300986</x:v>
      </x:c>
      <x:c r="D681" s="47" t="str"/>
      <x:c r="E681" s="47" t="str"/>
      <x:c r="F681" s="47" t="str">
        <x:v>current</x:v>
      </x:c>
      <x:c r="G681" s="47" t="n">
        <x:v>677</x:v>
      </x:c>
      <x:c r="H681" s="53" t="b">
        <x:v>1</x:v>
      </x:c>
      <x:c r="I681" s="47" t="str">
        <x:v>2682537910</x:v>
      </x:c>
      <x:c r="J681" s="47" t="n">
        <x:v>27089315</x:v>
      </x:c>
      <x:c r="K681" s="53" t="b">
        <x:v>1</x:v>
      </x:c>
      <x:c r="L681" s="53" t="b">
        <x:v>1</x:v>
      </x:c>
      <x:c r="M681" s="53" t="b">
        <x:v>1</x:v>
      </x:c>
      <x:c r="N681" s="53" t="b">
        <x:v>1</x:v>
      </x:c>
      <x:c r="O681" s="53" t="b">
        <x:v>1</x:v>
      </x:c>
      <x:c r="P681" s="47" t="n">
        <x:v>1010</x:v>
      </x:c>
      <x:c r="Q681" s="47" t="n">
        <x:v>0</x:v>
      </x:c>
      <x:c r="R681" s="47" t="n">
        <x:v>0</x:v>
      </x:c>
      <x:c r="S681" s="47" t="n">
        <x:v>29.49</x:v>
      </x:c>
      <x:c r="T681" s="47" t="n">
        <x:v>70.42</x:v>
      </x:c>
      <x:c r="U681" s="47" t="n">
        <x:v>29.2</x:v>
      </x:c>
      <x:c r="V681" s="47" t="n">
        <x:v>16.1</x:v>
      </x:c>
      <x:c r="W681" s="47" t="n">
        <x:v>0</x:v>
      </x:c>
      <x:c r="X681" s="47" t="n">
        <x:v>0</x:v>
      </x:c>
      <x:c r="Y681" s="41" t="n">
        <x:v>0</x:v>
      </x:c>
    </x:row>
    <x:row r="682">
      <x:c r="A682" s="38" t="str">
        <x:v>7月30日现场数据</x:v>
      </x:c>
      <x:c r="B682" s="66" t="str">
        <x:v>2026-08-01T22:12:12.998000</x:v>
      </x:c>
      <x:c r="C682" s="47" t="n">
        <x:v>301020</x:v>
      </x:c>
      <x:c r="D682" s="47" t="str"/>
      <x:c r="E682" s="47" t="str"/>
      <x:c r="F682" s="47" t="str">
        <x:v>current</x:v>
      </x:c>
      <x:c r="G682" s="47" t="n">
        <x:v>678</x:v>
      </x:c>
      <x:c r="H682" s="53" t="b">
        <x:v>1</x:v>
      </x:c>
      <x:c r="I682" s="47" t="str">
        <x:v>2682537910</x:v>
      </x:c>
      <x:c r="J682" s="47" t="n">
        <x:v>27390335</x:v>
      </x:c>
      <x:c r="K682" s="53" t="b">
        <x:v>1</x:v>
      </x:c>
      <x:c r="L682" s="53" t="b">
        <x:v>1</x:v>
      </x:c>
      <x:c r="M682" s="53" t="b">
        <x:v>1</x:v>
      </x:c>
      <x:c r="N682" s="53" t="b">
        <x:v>1</x:v>
      </x:c>
      <x:c r="O682" s="53" t="b">
        <x:v>1</x:v>
      </x:c>
      <x:c r="P682" s="47" t="n">
        <x:v>1010</x:v>
      </x:c>
      <x:c r="Q682" s="47" t="n">
        <x:v>0</x:v>
      </x:c>
      <x:c r="R682" s="47" t="n">
        <x:v>0</x:v>
      </x:c>
      <x:c r="S682" s="47" t="n">
        <x:v>29.52</x:v>
      </x:c>
      <x:c r="T682" s="47" t="n">
        <x:v>70.54</x:v>
      </x:c>
      <x:c r="U682" s="47" t="n">
        <x:v>29.2</x:v>
      </x:c>
      <x:c r="V682" s="47" t="n">
        <x:v>16.1</x:v>
      </x:c>
      <x:c r="W682" s="47" t="n">
        <x:v>0</x:v>
      </x:c>
      <x:c r="X682" s="47" t="n">
        <x:v>0</x:v>
      </x:c>
      <x:c r="Y682" s="41" t="n">
        <x:v>0</x:v>
      </x:c>
    </x:row>
    <x:row r="683">
      <x:c r="A683" s="38" t="str">
        <x:v>7月30日现场数据</x:v>
      </x:c>
      <x:c r="B683" s="66" t="str">
        <x:v>2026-08-01T22:17:13.959000</x:v>
      </x:c>
      <x:c r="C683" s="47" t="n">
        <x:v>300961</x:v>
      </x:c>
      <x:c r="D683" s="47" t="str"/>
      <x:c r="E683" s="47" t="str"/>
      <x:c r="F683" s="47" t="str">
        <x:v>current</x:v>
      </x:c>
      <x:c r="G683" s="47" t="n">
        <x:v>679</x:v>
      </x:c>
      <x:c r="H683" s="53" t="b">
        <x:v>1</x:v>
      </x:c>
      <x:c r="I683" s="47" t="str">
        <x:v>2682537910</x:v>
      </x:c>
      <x:c r="J683" s="47" t="n">
        <x:v>27691296</x:v>
      </x:c>
      <x:c r="K683" s="53" t="b">
        <x:v>1</x:v>
      </x:c>
      <x:c r="L683" s="53" t="b">
        <x:v>1</x:v>
      </x:c>
      <x:c r="M683" s="53" t="b">
        <x:v>1</x:v>
      </x:c>
      <x:c r="N683" s="53" t="b">
        <x:v>1</x:v>
      </x:c>
      <x:c r="O683" s="53" t="b">
        <x:v>1</x:v>
      </x:c>
      <x:c r="P683" s="47" t="n">
        <x:v>1009</x:v>
      </x:c>
      <x:c r="Q683" s="47" t="n">
        <x:v>0</x:v>
      </x:c>
      <x:c r="R683" s="47" t="n">
        <x:v>0</x:v>
      </x:c>
      <x:c r="S683" s="47" t="n">
        <x:v>29.59</x:v>
      </x:c>
      <x:c r="T683" s="47" t="n">
        <x:v>70.71</x:v>
      </x:c>
      <x:c r="U683" s="47" t="n">
        <x:v>29.2</x:v>
      </x:c>
      <x:c r="V683" s="47" t="n">
        <x:v>16.1</x:v>
      </x:c>
      <x:c r="W683" s="47" t="n">
        <x:v>0</x:v>
      </x:c>
      <x:c r="X683" s="47" t="n">
        <x:v>0</x:v>
      </x:c>
      <x:c r="Y683" s="41" t="n">
        <x:v>0</x:v>
      </x:c>
    </x:row>
    <x:row r="684">
      <x:c r="A684" s="38" t="str">
        <x:v>7月30日现场数据</x:v>
      </x:c>
      <x:c r="B684" s="66" t="str">
        <x:v>2026-08-01T22:22:14.923000</x:v>
      </x:c>
      <x:c r="C684" s="47" t="n">
        <x:v>300964</x:v>
      </x:c>
      <x:c r="D684" s="47" t="str"/>
      <x:c r="E684" s="47" t="str"/>
      <x:c r="F684" s="47" t="str">
        <x:v>current</x:v>
      </x:c>
      <x:c r="G684" s="47" t="n">
        <x:v>680</x:v>
      </x:c>
      <x:c r="H684" s="53" t="b">
        <x:v>1</x:v>
      </x:c>
      <x:c r="I684" s="47" t="str">
        <x:v>2682537910</x:v>
      </x:c>
      <x:c r="J684" s="47" t="n">
        <x:v>27992260</x:v>
      </x:c>
      <x:c r="K684" s="53" t="b">
        <x:v>1</x:v>
      </x:c>
      <x:c r="L684" s="53" t="b">
        <x:v>1</x:v>
      </x:c>
      <x:c r="M684" s="53" t="b">
        <x:v>1</x:v>
      </x:c>
      <x:c r="N684" s="53" t="b">
        <x:v>1</x:v>
      </x:c>
      <x:c r="O684" s="53" t="b">
        <x:v>1</x:v>
      </x:c>
      <x:c r="P684" s="47" t="n">
        <x:v>1009</x:v>
      </x:c>
      <x:c r="Q684" s="47" t="n">
        <x:v>0</x:v>
      </x:c>
      <x:c r="R684" s="47" t="n">
        <x:v>0</x:v>
      </x:c>
      <x:c r="S684" s="47" t="n">
        <x:v>29.54</x:v>
      </x:c>
      <x:c r="T684" s="47" t="n">
        <x:v>70.87</x:v>
      </x:c>
      <x:c r="U684" s="47" t="n">
        <x:v>29.2</x:v>
      </x:c>
      <x:c r="V684" s="47" t="n">
        <x:v>16.1</x:v>
      </x:c>
      <x:c r="W684" s="47" t="n">
        <x:v>0</x:v>
      </x:c>
      <x:c r="X684" s="47" t="n">
        <x:v>0</x:v>
      </x:c>
      <x:c r="Y684" s="41" t="n">
        <x:v>0</x:v>
      </x:c>
    </x:row>
    <x:row r="685">
      <x:c r="A685" s="38" t="str">
        <x:v>7月30日现场数据</x:v>
      </x:c>
      <x:c r="B685" s="66" t="str">
        <x:v>2026-08-01T22:27:15.888000</x:v>
      </x:c>
      <x:c r="C685" s="47" t="n">
        <x:v>300965</x:v>
      </x:c>
      <x:c r="D685" s="47" t="str"/>
      <x:c r="E685" s="47" t="str"/>
      <x:c r="F685" s="47" t="str">
        <x:v>current</x:v>
      </x:c>
      <x:c r="G685" s="47" t="n">
        <x:v>681</x:v>
      </x:c>
      <x:c r="H685" s="53" t="b">
        <x:v>1</x:v>
      </x:c>
      <x:c r="I685" s="47" t="str">
        <x:v>2682537910</x:v>
      </x:c>
      <x:c r="J685" s="47" t="n">
        <x:v>28293225</x:v>
      </x:c>
      <x:c r="K685" s="53" t="b">
        <x:v>1</x:v>
      </x:c>
      <x:c r="L685" s="53" t="b">
        <x:v>1</x:v>
      </x:c>
      <x:c r="M685" s="53" t="b">
        <x:v>1</x:v>
      </x:c>
      <x:c r="N685" s="53" t="b">
        <x:v>1</x:v>
      </x:c>
      <x:c r="O685" s="53" t="b">
        <x:v>1</x:v>
      </x:c>
      <x:c r="P685" s="47" t="n">
        <x:v>1009</x:v>
      </x:c>
      <x:c r="Q685" s="47" t="n">
        <x:v>0</x:v>
      </x:c>
      <x:c r="R685" s="47" t="n">
        <x:v>0</x:v>
      </x:c>
      <x:c r="S685" s="47" t="n">
        <x:v>29.53</x:v>
      </x:c>
      <x:c r="T685" s="47" t="n">
        <x:v>71.03</x:v>
      </x:c>
      <x:c r="U685" s="47" t="n">
        <x:v>29.2</x:v>
      </x:c>
      <x:c r="V685" s="47" t="n">
        <x:v>16.1</x:v>
      </x:c>
      <x:c r="W685" s="47" t="n">
        <x:v>0</x:v>
      </x:c>
      <x:c r="X685" s="47" t="n">
        <x:v>0</x:v>
      </x:c>
      <x:c r="Y685" s="41" t="n">
        <x:v>0</x:v>
      </x:c>
    </x:row>
    <x:row r="686">
      <x:c r="A686" s="38" t="str">
        <x:v>7月30日现场数据</x:v>
      </x:c>
      <x:c r="B686" s="66" t="str">
        <x:v>2026-08-01T22:32:16.856000</x:v>
      </x:c>
      <x:c r="C686" s="47" t="n">
        <x:v>300968</x:v>
      </x:c>
      <x:c r="D686" s="47" t="str"/>
      <x:c r="E686" s="47" t="str"/>
      <x:c r="F686" s="47" t="str">
        <x:v>current</x:v>
      </x:c>
      <x:c r="G686" s="47" t="n">
        <x:v>682</x:v>
      </x:c>
      <x:c r="H686" s="53" t="b">
        <x:v>1</x:v>
      </x:c>
      <x:c r="I686" s="47" t="str">
        <x:v>2682537910</x:v>
      </x:c>
      <x:c r="J686" s="47" t="n">
        <x:v>28594193</x:v>
      </x:c>
      <x:c r="K686" s="53" t="b">
        <x:v>1</x:v>
      </x:c>
      <x:c r="L686" s="53" t="b">
        <x:v>1</x:v>
      </x:c>
      <x:c r="M686" s="53" t="b">
        <x:v>1</x:v>
      </x:c>
      <x:c r="N686" s="53" t="b">
        <x:v>1</x:v>
      </x:c>
      <x:c r="O686" s="53" t="b">
        <x:v>1</x:v>
      </x:c>
      <x:c r="P686" s="47" t="n">
        <x:v>1009</x:v>
      </x:c>
      <x:c r="Q686" s="47" t="n">
        <x:v>0</x:v>
      </x:c>
      <x:c r="R686" s="47" t="n">
        <x:v>0</x:v>
      </x:c>
      <x:c r="S686" s="47" t="n">
        <x:v>29.44</x:v>
      </x:c>
      <x:c r="T686" s="47" t="n">
        <x:v>71.17</x:v>
      </x:c>
      <x:c r="U686" s="47" t="n">
        <x:v>29.2</x:v>
      </x:c>
      <x:c r="V686" s="47" t="n">
        <x:v>16.1</x:v>
      </x:c>
      <x:c r="W686" s="47" t="n">
        <x:v>0</x:v>
      </x:c>
      <x:c r="X686" s="47" t="n">
        <x:v>0</x:v>
      </x:c>
      <x:c r="Y686" s="41" t="n">
        <x:v>0</x:v>
      </x:c>
    </x:row>
    <x:row r="687">
      <x:c r="A687" s="38" t="str">
        <x:v>7月30日现场数据</x:v>
      </x:c>
      <x:c r="B687" s="66" t="str">
        <x:v>2026-08-01T22:37:17.825000</x:v>
      </x:c>
      <x:c r="C687" s="47" t="n">
        <x:v>300969</x:v>
      </x:c>
      <x:c r="D687" s="47" t="str"/>
      <x:c r="E687" s="47" t="str"/>
      <x:c r="F687" s="47" t="str">
        <x:v>current</x:v>
      </x:c>
      <x:c r="G687" s="47" t="n">
        <x:v>683</x:v>
      </x:c>
      <x:c r="H687" s="53" t="b">
        <x:v>1</x:v>
      </x:c>
      <x:c r="I687" s="47" t="str">
        <x:v>2682537910</x:v>
      </x:c>
      <x:c r="J687" s="47" t="n">
        <x:v>28895162</x:v>
      </x:c>
      <x:c r="K687" s="53" t="b">
        <x:v>1</x:v>
      </x:c>
      <x:c r="L687" s="53" t="b">
        <x:v>1</x:v>
      </x:c>
      <x:c r="M687" s="53" t="b">
        <x:v>1</x:v>
      </x:c>
      <x:c r="N687" s="53" t="b">
        <x:v>1</x:v>
      </x:c>
      <x:c r="O687" s="53" t="b">
        <x:v>1</x:v>
      </x:c>
      <x:c r="P687" s="47" t="n">
        <x:v>1009</x:v>
      </x:c>
      <x:c r="Q687" s="47" t="n">
        <x:v>0.089</x:v>
      </x:c>
      <x:c r="R687" s="47" t="n">
        <x:v>2.407</x:v>
      </x:c>
      <x:c r="S687" s="47" t="n">
        <x:v>29.42</x:v>
      </x:c>
      <x:c r="T687" s="47" t="n">
        <x:v>71.31</x:v>
      </x:c>
      <x:c r="U687" s="47" t="n">
        <x:v>29.1</x:v>
      </x:c>
      <x:c r="V687" s="47" t="n">
        <x:v>16.1</x:v>
      </x:c>
      <x:c r="W687" s="47" t="n">
        <x:v>0</x:v>
      </x:c>
      <x:c r="X687" s="47" t="n">
        <x:v>0</x:v>
      </x:c>
      <x:c r="Y687" s="41" t="n">
        <x:v>0</x:v>
      </x:c>
    </x:row>
    <x:row r="688">
      <x:c r="A688" s="38" t="str">
        <x:v>7月30日现场数据</x:v>
      </x:c>
      <x:c r="B688" s="66" t="str">
        <x:v>2026-08-01T22:42:18.795000</x:v>
      </x:c>
      <x:c r="C688" s="47" t="n">
        <x:v>300970</x:v>
      </x:c>
      <x:c r="D688" s="47" t="str"/>
      <x:c r="E688" s="47" t="str"/>
      <x:c r="F688" s="47" t="str">
        <x:v>current</x:v>
      </x:c>
      <x:c r="G688" s="47" t="n">
        <x:v>684</x:v>
      </x:c>
      <x:c r="H688" s="53" t="b">
        <x:v>1</x:v>
      </x:c>
      <x:c r="I688" s="47" t="str">
        <x:v>2682537910</x:v>
      </x:c>
      <x:c r="J688" s="47" t="n">
        <x:v>29196132</x:v>
      </x:c>
      <x:c r="K688" s="53" t="b">
        <x:v>1</x:v>
      </x:c>
      <x:c r="L688" s="53" t="b">
        <x:v>1</x:v>
      </x:c>
      <x:c r="M688" s="53" t="b">
        <x:v>1</x:v>
      </x:c>
      <x:c r="N688" s="53" t="b">
        <x:v>1</x:v>
      </x:c>
      <x:c r="O688" s="53" t="b">
        <x:v>1</x:v>
      </x:c>
      <x:c r="P688" s="47" t="n">
        <x:v>1009</x:v>
      </x:c>
      <x:c r="Q688" s="47" t="n">
        <x:v>0</x:v>
      </x:c>
      <x:c r="R688" s="47" t="n">
        <x:v>0</x:v>
      </x:c>
      <x:c r="S688" s="47" t="n">
        <x:v>29.36</x:v>
      </x:c>
      <x:c r="T688" s="47" t="n">
        <x:v>71.46</x:v>
      </x:c>
      <x:c r="U688" s="47" t="n">
        <x:v>29.2</x:v>
      </x:c>
      <x:c r="V688" s="47" t="n">
        <x:v>16.1</x:v>
      </x:c>
      <x:c r="W688" s="47" t="n">
        <x:v>0</x:v>
      </x:c>
      <x:c r="X688" s="47" t="n">
        <x:v>0</x:v>
      </x:c>
      <x:c r="Y688" s="41" t="n">
        <x:v>0</x:v>
      </x:c>
    </x:row>
    <x:row r="689">
      <x:c r="A689" s="38" t="str">
        <x:v>7月30日现场数据</x:v>
      </x:c>
      <x:c r="B689" s="66" t="str">
        <x:v>2026-08-01T22:47:19.766000</x:v>
      </x:c>
      <x:c r="C689" s="47" t="n">
        <x:v>300971</x:v>
      </x:c>
      <x:c r="D689" s="47" t="str"/>
      <x:c r="E689" s="47" t="str"/>
      <x:c r="F689" s="47" t="str">
        <x:v>current</x:v>
      </x:c>
      <x:c r="G689" s="47" t="n">
        <x:v>685</x:v>
      </x:c>
      <x:c r="H689" s="53" t="b">
        <x:v>1</x:v>
      </x:c>
      <x:c r="I689" s="47" t="str">
        <x:v>2682537910</x:v>
      </x:c>
      <x:c r="J689" s="47" t="n">
        <x:v>29497103</x:v>
      </x:c>
      <x:c r="K689" s="53" t="b">
        <x:v>1</x:v>
      </x:c>
      <x:c r="L689" s="53" t="b">
        <x:v>1</x:v>
      </x:c>
      <x:c r="M689" s="53" t="b">
        <x:v>1</x:v>
      </x:c>
      <x:c r="N689" s="53" t="b">
        <x:v>1</x:v>
      </x:c>
      <x:c r="O689" s="53" t="b">
        <x:v>1</x:v>
      </x:c>
      <x:c r="P689" s="47" t="n">
        <x:v>1009</x:v>
      </x:c>
      <x:c r="Q689" s="47" t="n">
        <x:v>0</x:v>
      </x:c>
      <x:c r="R689" s="47" t="n">
        <x:v>0</x:v>
      </x:c>
      <x:c r="S689" s="47" t="n">
        <x:v>29.32</x:v>
      </x:c>
      <x:c r="T689" s="47" t="n">
        <x:v>71.61</x:v>
      </x:c>
      <x:c r="U689" s="47" t="n">
        <x:v>29.2</x:v>
      </x:c>
      <x:c r="V689" s="47" t="n">
        <x:v>16</x:v>
      </x:c>
      <x:c r="W689" s="47" t="n">
        <x:v>0</x:v>
      </x:c>
      <x:c r="X689" s="47" t="n">
        <x:v>0</x:v>
      </x:c>
      <x:c r="Y689" s="41" t="n">
        <x:v>0</x:v>
      </x:c>
    </x:row>
    <x:row r="690">
      <x:c r="A690" s="38" t="str">
        <x:v>7月30日现场数据</x:v>
      </x:c>
      <x:c r="B690" s="66" t="str">
        <x:v>2026-08-01T22:52:20.744000</x:v>
      </x:c>
      <x:c r="C690" s="47" t="n">
        <x:v>300978</x:v>
      </x:c>
      <x:c r="D690" s="47" t="str"/>
      <x:c r="E690" s="47" t="str"/>
      <x:c r="F690" s="47" t="str">
        <x:v>current</x:v>
      </x:c>
      <x:c r="G690" s="47" t="n">
        <x:v>686</x:v>
      </x:c>
      <x:c r="H690" s="53" t="b">
        <x:v>1</x:v>
      </x:c>
      <x:c r="I690" s="47" t="str">
        <x:v>2682537910</x:v>
      </x:c>
      <x:c r="J690" s="47" t="n">
        <x:v>29798081</x:v>
      </x:c>
      <x:c r="K690" s="53" t="b">
        <x:v>1</x:v>
      </x:c>
      <x:c r="L690" s="53" t="b">
        <x:v>1</x:v>
      </x:c>
      <x:c r="M690" s="53" t="b">
        <x:v>1</x:v>
      </x:c>
      <x:c r="N690" s="53" t="b">
        <x:v>1</x:v>
      </x:c>
      <x:c r="O690" s="53" t="b">
        <x:v>1</x:v>
      </x:c>
      <x:c r="P690" s="47" t="n">
        <x:v>1009</x:v>
      </x:c>
      <x:c r="Q690" s="47" t="n">
        <x:v>0.089</x:v>
      </x:c>
      <x:c r="R690" s="47" t="n">
        <x:v>2.407</x:v>
      </x:c>
      <x:c r="S690" s="47" t="n">
        <x:v>29.32</x:v>
      </x:c>
      <x:c r="T690" s="47" t="n">
        <x:v>71.74</x:v>
      </x:c>
      <x:c r="U690" s="47" t="n">
        <x:v>29.2</x:v>
      </x:c>
      <x:c r="V690" s="47" t="n">
        <x:v>16</x:v>
      </x:c>
      <x:c r="W690" s="47" t="n">
        <x:v>0</x:v>
      </x:c>
      <x:c r="X690" s="47" t="n">
        <x:v>0</x:v>
      </x:c>
      <x:c r="Y690" s="41" t="n">
        <x:v>0</x:v>
      </x:c>
    </x:row>
    <x:row r="691">
      <x:c r="A691" s="38" t="str">
        <x:v>7月30日现场数据</x:v>
      </x:c>
      <x:c r="B691" s="66" t="str">
        <x:v>2026-08-01T22:57:21.721000</x:v>
      </x:c>
      <x:c r="C691" s="47" t="n">
        <x:v>300977</x:v>
      </x:c>
      <x:c r="D691" s="47" t="str"/>
      <x:c r="E691" s="47" t="str"/>
      <x:c r="F691" s="47" t="str">
        <x:v>current</x:v>
      </x:c>
      <x:c r="G691" s="47" t="n">
        <x:v>687</x:v>
      </x:c>
      <x:c r="H691" s="53" t="b">
        <x:v>1</x:v>
      </x:c>
      <x:c r="I691" s="47" t="str">
        <x:v>2682537910</x:v>
      </x:c>
      <x:c r="J691" s="47" t="n">
        <x:v>30099058</x:v>
      </x:c>
      <x:c r="K691" s="53" t="b">
        <x:v>1</x:v>
      </x:c>
      <x:c r="L691" s="53" t="b">
        <x:v>1</x:v>
      </x:c>
      <x:c r="M691" s="53" t="b">
        <x:v>1</x:v>
      </x:c>
      <x:c r="N691" s="53" t="b">
        <x:v>1</x:v>
      </x:c>
      <x:c r="O691" s="53" t="b">
        <x:v>1</x:v>
      </x:c>
      <x:c r="P691" s="47" t="n">
        <x:v>1009</x:v>
      </x:c>
      <x:c r="Q691" s="47" t="n">
        <x:v>0</x:v>
      </x:c>
      <x:c r="R691" s="47" t="n">
        <x:v>0</x:v>
      </x:c>
      <x:c r="S691" s="47" t="n">
        <x:v>29.33</x:v>
      </x:c>
      <x:c r="T691" s="47" t="n">
        <x:v>71.93</x:v>
      </x:c>
      <x:c r="U691" s="47" t="n">
        <x:v>29.2</x:v>
      </x:c>
      <x:c r="V691" s="47" t="n">
        <x:v>16</x:v>
      </x:c>
      <x:c r="W691" s="47" t="n">
        <x:v>0</x:v>
      </x:c>
      <x:c r="X691" s="47" t="n">
        <x:v>0</x:v>
      </x:c>
      <x:c r="Y691" s="41" t="n">
        <x:v>0</x:v>
      </x:c>
    </x:row>
    <x:row r="692">
      <x:c r="A692" s="38" t="str">
        <x:v>7月30日现场数据</x:v>
      </x:c>
      <x:c r="B692" s="66" t="str">
        <x:v>2026-08-01T23:02:22.701000</x:v>
      </x:c>
      <x:c r="C692" s="47" t="n">
        <x:v>300980</x:v>
      </x:c>
      <x:c r="D692" s="47" t="str"/>
      <x:c r="E692" s="47" t="str"/>
      <x:c r="F692" s="47" t="str">
        <x:v>current</x:v>
      </x:c>
      <x:c r="G692" s="47" t="n">
        <x:v>688</x:v>
      </x:c>
      <x:c r="H692" s="53" t="b">
        <x:v>1</x:v>
      </x:c>
      <x:c r="I692" s="47" t="str">
        <x:v>2682537910</x:v>
      </x:c>
      <x:c r="J692" s="47" t="n">
        <x:v>30400038</x:v>
      </x:c>
      <x:c r="K692" s="53" t="b">
        <x:v>1</x:v>
      </x:c>
      <x:c r="L692" s="53" t="b">
        <x:v>1</x:v>
      </x:c>
      <x:c r="M692" s="53" t="b">
        <x:v>1</x:v>
      </x:c>
      <x:c r="N692" s="53" t="b">
        <x:v>1</x:v>
      </x:c>
      <x:c r="O692" s="53" t="b">
        <x:v>1</x:v>
      </x:c>
      <x:c r="P692" s="47" t="n">
        <x:v>1009</x:v>
      </x:c>
      <x:c r="Q692" s="47" t="n">
        <x:v>0</x:v>
      </x:c>
      <x:c r="R692" s="47" t="n">
        <x:v>0</x:v>
      </x:c>
      <x:c r="S692" s="47" t="n">
        <x:v>29.34</x:v>
      </x:c>
      <x:c r="T692" s="47" t="n">
        <x:v>72.05</x:v>
      </x:c>
      <x:c r="U692" s="47" t="n">
        <x:v>29.2</x:v>
      </x:c>
      <x:c r="V692" s="47" t="n">
        <x:v>16</x:v>
      </x:c>
      <x:c r="W692" s="47" t="n">
        <x:v>0</x:v>
      </x:c>
      <x:c r="X692" s="47" t="n">
        <x:v>0</x:v>
      </x:c>
      <x:c r="Y692" s="41" t="n">
        <x:v>0</x:v>
      </x:c>
    </x:row>
    <x:row r="693">
      <x:c r="A693" s="38" t="str">
        <x:v>7月30日现场数据</x:v>
      </x:c>
      <x:c r="B693" s="66" t="str">
        <x:v>2026-08-01T23:07:23.682000</x:v>
      </x:c>
      <x:c r="C693" s="47" t="n">
        <x:v>300981</x:v>
      </x:c>
      <x:c r="D693" s="47" t="str"/>
      <x:c r="E693" s="47" t="str"/>
      <x:c r="F693" s="47" t="str">
        <x:v>current</x:v>
      </x:c>
      <x:c r="G693" s="47" t="n">
        <x:v>689</x:v>
      </x:c>
      <x:c r="H693" s="53" t="b">
        <x:v>1</x:v>
      </x:c>
      <x:c r="I693" s="47" t="str">
        <x:v>2682537910</x:v>
      </x:c>
      <x:c r="J693" s="47" t="n">
        <x:v>30701019</x:v>
      </x:c>
      <x:c r="K693" s="53" t="b">
        <x:v>1</x:v>
      </x:c>
      <x:c r="L693" s="53" t="b">
        <x:v>1</x:v>
      </x:c>
      <x:c r="M693" s="53" t="b">
        <x:v>1</x:v>
      </x:c>
      <x:c r="N693" s="53" t="b">
        <x:v>1</x:v>
      </x:c>
      <x:c r="O693" s="53" t="b">
        <x:v>1</x:v>
      </x:c>
      <x:c r="P693" s="47" t="n">
        <x:v>1009</x:v>
      </x:c>
      <x:c r="Q693" s="47" t="n">
        <x:v>0</x:v>
      </x:c>
      <x:c r="R693" s="47" t="n">
        <x:v>0</x:v>
      </x:c>
      <x:c r="S693" s="47" t="n">
        <x:v>29.32</x:v>
      </x:c>
      <x:c r="T693" s="47" t="n">
        <x:v>72.18</x:v>
      </x:c>
      <x:c r="U693" s="47" t="n">
        <x:v>29.2</x:v>
      </x:c>
      <x:c r="V693" s="47" t="n">
        <x:v>16</x:v>
      </x:c>
      <x:c r="W693" s="47" t="n">
        <x:v>0</x:v>
      </x:c>
      <x:c r="X693" s="47" t="n">
        <x:v>0</x:v>
      </x:c>
      <x:c r="Y693" s="41" t="n">
        <x:v>0</x:v>
      </x:c>
    </x:row>
    <x:row r="694">
      <x:c r="A694" s="38" t="str">
        <x:v>7月30日现场数据</x:v>
      </x:c>
      <x:c r="B694" s="66" t="str">
        <x:v>2026-08-01T23:12:24.666000</x:v>
      </x:c>
      <x:c r="C694" s="47" t="n">
        <x:v>300984</x:v>
      </x:c>
      <x:c r="D694" s="47" t="str"/>
      <x:c r="E694" s="47" t="str"/>
      <x:c r="F694" s="47" t="str">
        <x:v>current</x:v>
      </x:c>
      <x:c r="G694" s="47" t="n">
        <x:v>690</x:v>
      </x:c>
      <x:c r="H694" s="53" t="b">
        <x:v>1</x:v>
      </x:c>
      <x:c r="I694" s="47" t="str">
        <x:v>2682537910</x:v>
      </x:c>
      <x:c r="J694" s="47" t="n">
        <x:v>31002003</x:v>
      </x:c>
      <x:c r="K694" s="53" t="b">
        <x:v>1</x:v>
      </x:c>
      <x:c r="L694" s="53" t="b">
        <x:v>1</x:v>
      </x:c>
      <x:c r="M694" s="53" t="b">
        <x:v>1</x:v>
      </x:c>
      <x:c r="N694" s="53" t="b">
        <x:v>1</x:v>
      </x:c>
      <x:c r="O694" s="53" t="b">
        <x:v>1</x:v>
      </x:c>
      <x:c r="P694" s="47" t="n">
        <x:v>1009</x:v>
      </x:c>
      <x:c r="Q694" s="47" t="n">
        <x:v>0</x:v>
      </x:c>
      <x:c r="R694" s="47" t="n">
        <x:v>0</x:v>
      </x:c>
      <x:c r="S694" s="47" t="n">
        <x:v>29.32</x:v>
      </x:c>
      <x:c r="T694" s="47" t="n">
        <x:v>72.33</x:v>
      </x:c>
      <x:c r="U694" s="47" t="n">
        <x:v>29.1</x:v>
      </x:c>
      <x:c r="V694" s="47" t="n">
        <x:v>16</x:v>
      </x:c>
      <x:c r="W694" s="47" t="n">
        <x:v>0</x:v>
      </x:c>
      <x:c r="X694" s="47" t="n">
        <x:v>0</x:v>
      </x:c>
      <x:c r="Y694" s="41" t="n">
        <x:v>0</x:v>
      </x:c>
    </x:row>
    <x:row r="695">
      <x:c r="A695" s="38" t="str">
        <x:v>7月30日现场数据</x:v>
      </x:c>
      <x:c r="B695" s="66" t="str">
        <x:v>2026-08-01T23:17:25.650000</x:v>
      </x:c>
      <x:c r="C695" s="47" t="n">
        <x:v>300984</x:v>
      </x:c>
      <x:c r="D695" s="47" t="str"/>
      <x:c r="E695" s="47" t="str"/>
      <x:c r="F695" s="47" t="str">
        <x:v>current</x:v>
      </x:c>
      <x:c r="G695" s="47" t="n">
        <x:v>691</x:v>
      </x:c>
      <x:c r="H695" s="53" t="b">
        <x:v>1</x:v>
      </x:c>
      <x:c r="I695" s="47" t="str">
        <x:v>2682537910</x:v>
      </x:c>
      <x:c r="J695" s="47" t="n">
        <x:v>31302987</x:v>
      </x:c>
      <x:c r="K695" s="53" t="b">
        <x:v>1</x:v>
      </x:c>
      <x:c r="L695" s="53" t="b">
        <x:v>1</x:v>
      </x:c>
      <x:c r="M695" s="53" t="b">
        <x:v>1</x:v>
      </x:c>
      <x:c r="N695" s="53" t="b">
        <x:v>1</x:v>
      </x:c>
      <x:c r="O695" s="53" t="b">
        <x:v>1</x:v>
      </x:c>
      <x:c r="P695" s="47" t="n">
        <x:v>1009</x:v>
      </x:c>
      <x:c r="Q695" s="47" t="n">
        <x:v>0</x:v>
      </x:c>
      <x:c r="R695" s="47" t="n">
        <x:v>0</x:v>
      </x:c>
      <x:c r="S695" s="47" t="n">
        <x:v>29.33</x:v>
      </x:c>
      <x:c r="T695" s="47" t="n">
        <x:v>72.48</x:v>
      </x:c>
      <x:c r="U695" s="47" t="n">
        <x:v>29.1</x:v>
      </x:c>
      <x:c r="V695" s="47" t="n">
        <x:v>16</x:v>
      </x:c>
      <x:c r="W695" s="47" t="n">
        <x:v>0</x:v>
      </x:c>
      <x:c r="X695" s="47" t="n">
        <x:v>0</x:v>
      </x:c>
      <x:c r="Y695" s="41" t="n">
        <x:v>0</x:v>
      </x:c>
    </x:row>
    <x:row r="696">
      <x:c r="A696" s="38" t="str">
        <x:v>7月30日现场数据</x:v>
      </x:c>
      <x:c r="B696" s="66" t="str">
        <x:v>2026-08-01T23:22:26.636000</x:v>
      </x:c>
      <x:c r="C696" s="47" t="n">
        <x:v>300986</x:v>
      </x:c>
      <x:c r="D696" s="47" t="str"/>
      <x:c r="E696" s="47" t="str"/>
      <x:c r="F696" s="47" t="str">
        <x:v>current</x:v>
      </x:c>
      <x:c r="G696" s="47" t="n">
        <x:v>692</x:v>
      </x:c>
      <x:c r="H696" s="53" t="b">
        <x:v>1</x:v>
      </x:c>
      <x:c r="I696" s="47" t="str">
        <x:v>2682537910</x:v>
      </x:c>
      <x:c r="J696" s="47" t="n">
        <x:v>31603973</x:v>
      </x:c>
      <x:c r="K696" s="53" t="b">
        <x:v>1</x:v>
      </x:c>
      <x:c r="L696" s="53" t="b">
        <x:v>1</x:v>
      </x:c>
      <x:c r="M696" s="53" t="b">
        <x:v>1</x:v>
      </x:c>
      <x:c r="N696" s="53" t="b">
        <x:v>1</x:v>
      </x:c>
      <x:c r="O696" s="53" t="b">
        <x:v>1</x:v>
      </x:c>
      <x:c r="P696" s="47" t="n">
        <x:v>1009</x:v>
      </x:c>
      <x:c r="Q696" s="47" t="n">
        <x:v>0</x:v>
      </x:c>
      <x:c r="R696" s="47" t="n">
        <x:v>0</x:v>
      </x:c>
      <x:c r="S696" s="47" t="n">
        <x:v>29.3</x:v>
      </x:c>
      <x:c r="T696" s="47" t="n">
        <x:v>72.6</x:v>
      </x:c>
      <x:c r="U696" s="47" t="n">
        <x:v>29.1</x:v>
      </x:c>
      <x:c r="V696" s="47" t="n">
        <x:v>16</x:v>
      </x:c>
      <x:c r="W696" s="47" t="n">
        <x:v>0</x:v>
      </x:c>
      <x:c r="X696" s="47" t="n">
        <x:v>0</x:v>
      </x:c>
      <x:c r="Y696" s="41" t="n">
        <x:v>0</x:v>
      </x:c>
    </x:row>
    <x:row r="697">
      <x:c r="A697" s="38" t="str">
        <x:v>7月30日现场数据</x:v>
      </x:c>
      <x:c r="B697" s="66" t="str">
        <x:v>2026-08-01T23:27:27.623000</x:v>
      </x:c>
      <x:c r="C697" s="47" t="n">
        <x:v>300987</x:v>
      </x:c>
      <x:c r="D697" s="47" t="str"/>
      <x:c r="E697" s="47" t="str"/>
      <x:c r="F697" s="47" t="str">
        <x:v>current</x:v>
      </x:c>
      <x:c r="G697" s="47" t="n">
        <x:v>693</x:v>
      </x:c>
      <x:c r="H697" s="53" t="b">
        <x:v>1</x:v>
      </x:c>
      <x:c r="I697" s="47" t="str">
        <x:v>2682537910</x:v>
      </x:c>
      <x:c r="J697" s="47" t="n">
        <x:v>31904960</x:v>
      </x:c>
      <x:c r="K697" s="53" t="b">
        <x:v>1</x:v>
      </x:c>
      <x:c r="L697" s="53" t="b">
        <x:v>1</x:v>
      </x:c>
      <x:c r="M697" s="53" t="b">
        <x:v>1</x:v>
      </x:c>
      <x:c r="N697" s="53" t="b">
        <x:v>1</x:v>
      </x:c>
      <x:c r="O697" s="53" t="b">
        <x:v>1</x:v>
      </x:c>
      <x:c r="P697" s="47" t="n">
        <x:v>1009</x:v>
      </x:c>
      <x:c r="Q697" s="47" t="n">
        <x:v>0</x:v>
      </x:c>
      <x:c r="R697" s="47" t="n">
        <x:v>0</x:v>
      </x:c>
      <x:c r="S697" s="47" t="n">
        <x:v>29.28</x:v>
      </x:c>
      <x:c r="T697" s="47" t="n">
        <x:v>72.77</x:v>
      </x:c>
      <x:c r="U697" s="47" t="n">
        <x:v>29.1</x:v>
      </x:c>
      <x:c r="V697" s="47" t="n">
        <x:v>16</x:v>
      </x:c>
      <x:c r="W697" s="47" t="n">
        <x:v>0</x:v>
      </x:c>
      <x:c r="X697" s="47" t="n">
        <x:v>0</x:v>
      </x:c>
      <x:c r="Y697" s="41" t="n">
        <x:v>0</x:v>
      </x:c>
    </x:row>
    <x:row r="698">
      <x:c r="A698" s="38" t="str">
        <x:v>7月30日现场数据</x:v>
      </x:c>
      <x:c r="B698" s="66" t="str">
        <x:v>2026-08-01T23:32:28.646000</x:v>
      </x:c>
      <x:c r="C698" s="47" t="n">
        <x:v>301023</x:v>
      </x:c>
      <x:c r="D698" s="47" t="str"/>
      <x:c r="E698" s="47" t="str"/>
      <x:c r="F698" s="47" t="str">
        <x:v>current</x:v>
      </x:c>
      <x:c r="G698" s="47" t="n">
        <x:v>694</x:v>
      </x:c>
      <x:c r="H698" s="53" t="b">
        <x:v>1</x:v>
      </x:c>
      <x:c r="I698" s="47" t="str">
        <x:v>2682537910</x:v>
      </x:c>
      <x:c r="J698" s="47" t="n">
        <x:v>32205983</x:v>
      </x:c>
      <x:c r="K698" s="53" t="b">
        <x:v>1</x:v>
      </x:c>
      <x:c r="L698" s="53" t="b">
        <x:v>1</x:v>
      </x:c>
      <x:c r="M698" s="53" t="b">
        <x:v>1</x:v>
      </x:c>
      <x:c r="N698" s="53" t="b">
        <x:v>1</x:v>
      </x:c>
      <x:c r="O698" s="53" t="b">
        <x:v>1</x:v>
      </x:c>
      <x:c r="P698" s="47" t="n">
        <x:v>1009</x:v>
      </x:c>
      <x:c r="Q698" s="47" t="n">
        <x:v>0</x:v>
      </x:c>
      <x:c r="R698" s="47" t="n">
        <x:v>0</x:v>
      </x:c>
      <x:c r="S698" s="47" t="n">
        <x:v>29.27</x:v>
      </x:c>
      <x:c r="T698" s="47" t="n">
        <x:v>72.93</x:v>
      </x:c>
      <x:c r="U698" s="47" t="n">
        <x:v>29.2</x:v>
      </x:c>
      <x:c r="V698" s="47" t="n">
        <x:v>16</x:v>
      </x:c>
      <x:c r="W698" s="47" t="n">
        <x:v>0</x:v>
      </x:c>
      <x:c r="X698" s="47" t="n">
        <x:v>0</x:v>
      </x:c>
      <x:c r="Y698" s="41" t="n">
        <x:v>0</x:v>
      </x:c>
    </x:row>
    <x:row r="699">
      <x:c r="A699" s="38" t="str">
        <x:v>7月30日现场数据</x:v>
      </x:c>
      <x:c r="B699" s="66" t="str">
        <x:v>2026-08-01T23:37:29.609000</x:v>
      </x:c>
      <x:c r="C699" s="47" t="n">
        <x:v>300963</x:v>
      </x:c>
      <x:c r="D699" s="47" t="str"/>
      <x:c r="E699" s="47" t="str"/>
      <x:c r="F699" s="47" t="str">
        <x:v>current</x:v>
      </x:c>
      <x:c r="G699" s="47" t="n">
        <x:v>695</x:v>
      </x:c>
      <x:c r="H699" s="53" t="b">
        <x:v>1</x:v>
      </x:c>
      <x:c r="I699" s="47" t="str">
        <x:v>2682537910</x:v>
      </x:c>
      <x:c r="J699" s="47" t="n">
        <x:v>32506946</x:v>
      </x:c>
      <x:c r="K699" s="53" t="b">
        <x:v>1</x:v>
      </x:c>
      <x:c r="L699" s="53" t="b">
        <x:v>1</x:v>
      </x:c>
      <x:c r="M699" s="53" t="b">
        <x:v>1</x:v>
      </x:c>
      <x:c r="N699" s="53" t="b">
        <x:v>1</x:v>
      </x:c>
      <x:c r="O699" s="53" t="b">
        <x:v>1</x:v>
      </x:c>
      <x:c r="P699" s="47" t="n">
        <x:v>1009</x:v>
      </x:c>
      <x:c r="Q699" s="47" t="n">
        <x:v>0.07</x:v>
      </x:c>
      <x:c r="R699" s="47" t="n">
        <x:v>1.879</x:v>
      </x:c>
      <x:c r="S699" s="47" t="n">
        <x:v>29.26</x:v>
      </x:c>
      <x:c r="T699" s="47" t="n">
        <x:v>73.03</x:v>
      </x:c>
      <x:c r="U699" s="47" t="n">
        <x:v>29.1</x:v>
      </x:c>
      <x:c r="V699" s="47" t="n">
        <x:v>16</x:v>
      </x:c>
      <x:c r="W699" s="47" t="n">
        <x:v>0</x:v>
      </x:c>
      <x:c r="X699" s="47" t="n">
        <x:v>0</x:v>
      </x:c>
      <x:c r="Y699" s="41" t="n">
        <x:v>0</x:v>
      </x:c>
    </x:row>
    <x:row r="700">
      <x:c r="A700" s="38" t="str">
        <x:v>7月30日现场数据</x:v>
      </x:c>
      <x:c r="B700" s="66" t="str">
        <x:v>2026-08-01T23:42:30.575000</x:v>
      </x:c>
      <x:c r="C700" s="47" t="n">
        <x:v>300966</x:v>
      </x:c>
      <x:c r="D700" s="47" t="str"/>
      <x:c r="E700" s="47" t="str"/>
      <x:c r="F700" s="47" t="str">
        <x:v>current</x:v>
      </x:c>
      <x:c r="G700" s="47" t="n">
        <x:v>696</x:v>
      </x:c>
      <x:c r="H700" s="53" t="b">
        <x:v>1</x:v>
      </x:c>
      <x:c r="I700" s="47" t="str">
        <x:v>2682537910</x:v>
      </x:c>
      <x:c r="J700" s="47" t="n">
        <x:v>32807912</x:v>
      </x:c>
      <x:c r="K700" s="53" t="b">
        <x:v>1</x:v>
      </x:c>
      <x:c r="L700" s="53" t="b">
        <x:v>1</x:v>
      </x:c>
      <x:c r="M700" s="53" t="b">
        <x:v>1</x:v>
      </x:c>
      <x:c r="N700" s="53" t="b">
        <x:v>1</x:v>
      </x:c>
      <x:c r="O700" s="53" t="b">
        <x:v>1</x:v>
      </x:c>
      <x:c r="P700" s="47" t="n">
        <x:v>1009</x:v>
      </x:c>
      <x:c r="Q700" s="47" t="n">
        <x:v>0</x:v>
      </x:c>
      <x:c r="R700" s="47" t="n">
        <x:v>0</x:v>
      </x:c>
      <x:c r="S700" s="47" t="n">
        <x:v>29.25</x:v>
      </x:c>
      <x:c r="T700" s="47" t="n">
        <x:v>73.13</x:v>
      </x:c>
      <x:c r="U700" s="47" t="n">
        <x:v>29.1</x:v>
      </x:c>
      <x:c r="V700" s="47" t="n">
        <x:v>16</x:v>
      </x:c>
      <x:c r="W700" s="47" t="n">
        <x:v>0</x:v>
      </x:c>
      <x:c r="X700" s="47" t="n">
        <x:v>0</x:v>
      </x:c>
      <x:c r="Y700" s="41" t="n">
        <x:v>0</x:v>
      </x:c>
    </x:row>
    <x:row r="701">
      <x:c r="A701" s="38" t="str">
        <x:v>7月30日现场数据</x:v>
      </x:c>
      <x:c r="B701" s="66" t="str">
        <x:v>2026-08-01T23:47:31.543000</x:v>
      </x:c>
      <x:c r="C701" s="47" t="n">
        <x:v>300968</x:v>
      </x:c>
      <x:c r="D701" s="47" t="str"/>
      <x:c r="E701" s="47" t="str"/>
      <x:c r="F701" s="47" t="str">
        <x:v>current</x:v>
      </x:c>
      <x:c r="G701" s="47" t="n">
        <x:v>697</x:v>
      </x:c>
      <x:c r="H701" s="53" t="b">
        <x:v>1</x:v>
      </x:c>
      <x:c r="I701" s="47" t="str">
        <x:v>2682537910</x:v>
      </x:c>
      <x:c r="J701" s="47" t="n">
        <x:v>33108880</x:v>
      </x:c>
      <x:c r="K701" s="53" t="b">
        <x:v>1</x:v>
      </x:c>
      <x:c r="L701" s="53" t="b">
        <x:v>1</x:v>
      </x:c>
      <x:c r="M701" s="53" t="b">
        <x:v>1</x:v>
      </x:c>
      <x:c r="N701" s="53" t="b">
        <x:v>1</x:v>
      </x:c>
      <x:c r="O701" s="53" t="b">
        <x:v>1</x:v>
      </x:c>
      <x:c r="P701" s="47" t="n">
        <x:v>1009</x:v>
      </x:c>
      <x:c r="Q701" s="47" t="n">
        <x:v>0</x:v>
      </x:c>
      <x:c r="R701" s="47" t="n">
        <x:v>0</x:v>
      </x:c>
      <x:c r="S701" s="47" t="n">
        <x:v>29.2</x:v>
      </x:c>
      <x:c r="T701" s="47" t="n">
        <x:v>73.31</x:v>
      </x:c>
      <x:c r="U701" s="47" t="n">
        <x:v>29.1</x:v>
      </x:c>
      <x:c r="V701" s="47" t="n">
        <x:v>16</x:v>
      </x:c>
      <x:c r="W701" s="47" t="n">
        <x:v>0</x:v>
      </x:c>
      <x:c r="X701" s="47" t="n">
        <x:v>0</x:v>
      </x:c>
      <x:c r="Y701" s="41" t="n">
        <x:v>0</x:v>
      </x:c>
    </x:row>
    <x:row r="702">
      <x:c r="A702" s="38" t="str">
        <x:v>7月30日现场数据</x:v>
      </x:c>
      <x:c r="B702" s="66" t="str">
        <x:v>2026-08-01T23:52:32.516000</x:v>
      </x:c>
      <x:c r="C702" s="47" t="n">
        <x:v>300973</x:v>
      </x:c>
      <x:c r="D702" s="47" t="str"/>
      <x:c r="E702" s="47" t="str"/>
      <x:c r="F702" s="47" t="str">
        <x:v>current</x:v>
      </x:c>
      <x:c r="G702" s="47" t="n">
        <x:v>698</x:v>
      </x:c>
      <x:c r="H702" s="53" t="b">
        <x:v>1</x:v>
      </x:c>
      <x:c r="I702" s="47" t="str">
        <x:v>2682537910</x:v>
      </x:c>
      <x:c r="J702" s="47" t="n">
        <x:v>33409853</x:v>
      </x:c>
      <x:c r="K702" s="53" t="b">
        <x:v>1</x:v>
      </x:c>
      <x:c r="L702" s="53" t="b">
        <x:v>1</x:v>
      </x:c>
      <x:c r="M702" s="53" t="b">
        <x:v>1</x:v>
      </x:c>
      <x:c r="N702" s="53" t="b">
        <x:v>1</x:v>
      </x:c>
      <x:c r="O702" s="53" t="b">
        <x:v>1</x:v>
      </x:c>
      <x:c r="P702" s="47" t="n">
        <x:v>1009</x:v>
      </x:c>
      <x:c r="Q702" s="47" t="n">
        <x:v>0.006</x:v>
      </x:c>
      <x:c r="R702" s="47" t="n">
        <x:v>0.165</x:v>
      </x:c>
      <x:c r="S702" s="47" t="n">
        <x:v>29.2</x:v>
      </x:c>
      <x:c r="T702" s="47" t="n">
        <x:v>73.43</x:v>
      </x:c>
      <x:c r="U702" s="47" t="n">
        <x:v>29.1</x:v>
      </x:c>
      <x:c r="V702" s="47" t="n">
        <x:v>16</x:v>
      </x:c>
      <x:c r="W702" s="47" t="n">
        <x:v>0</x:v>
      </x:c>
      <x:c r="X702" s="47" t="n">
        <x:v>0</x:v>
      </x:c>
      <x:c r="Y702" s="41" t="n">
        <x:v>0</x:v>
      </x:c>
    </x:row>
    <x:row r="703">
      <x:c r="A703" s="38" t="str">
        <x:v>7月30日现场数据</x:v>
      </x:c>
      <x:c r="B703" s="66" t="str">
        <x:v>2026-08-01T23:57:33.488000</x:v>
      </x:c>
      <x:c r="C703" s="47" t="n">
        <x:v>300972</x:v>
      </x:c>
      <x:c r="D703" s="47" t="str"/>
      <x:c r="E703" s="47" t="str"/>
      <x:c r="F703" s="47" t="str">
        <x:v>current</x:v>
      </x:c>
      <x:c r="G703" s="47" t="n">
        <x:v>699</x:v>
      </x:c>
      <x:c r="H703" s="53" t="b">
        <x:v>1</x:v>
      </x:c>
      <x:c r="I703" s="47" t="str">
        <x:v>2682537910</x:v>
      </x:c>
      <x:c r="J703" s="47" t="n">
        <x:v>33710825</x:v>
      </x:c>
      <x:c r="K703" s="53" t="b">
        <x:v>1</x:v>
      </x:c>
      <x:c r="L703" s="53" t="b">
        <x:v>1</x:v>
      </x:c>
      <x:c r="M703" s="53" t="b">
        <x:v>1</x:v>
      </x:c>
      <x:c r="N703" s="53" t="b">
        <x:v>1</x:v>
      </x:c>
      <x:c r="O703" s="53" t="b">
        <x:v>1</x:v>
      </x:c>
      <x:c r="P703" s="47" t="n">
        <x:v>1009</x:v>
      </x:c>
      <x:c r="Q703" s="47" t="n">
        <x:v>0</x:v>
      </x:c>
      <x:c r="R703" s="47" t="n">
        <x:v>0</x:v>
      </x:c>
      <x:c r="S703" s="47" t="n">
        <x:v>29.17</x:v>
      </x:c>
      <x:c r="T703" s="47" t="n">
        <x:v>73.56</x:v>
      </x:c>
      <x:c r="U703" s="47" t="n">
        <x:v>29.1</x:v>
      </x:c>
      <x:c r="V703" s="47" t="n">
        <x:v>16</x:v>
      </x:c>
      <x:c r="W703" s="47" t="n">
        <x:v>0</x:v>
      </x:c>
      <x:c r="X703" s="47" t="n">
        <x:v>0</x:v>
      </x:c>
      <x:c r="Y703" s="41" t="n">
        <x:v>0</x:v>
      </x:c>
    </x:row>
    <x:row r="704">
      <x:c r="A704" s="38" t="str">
        <x:v>7月30日现场数据</x:v>
      </x:c>
      <x:c r="B704" s="66" t="str">
        <x:v>2026-08-02T00:02:34.461000</x:v>
      </x:c>
      <x:c r="C704" s="47" t="n">
        <x:v>300973</x:v>
      </x:c>
      <x:c r="D704" s="47" t="str"/>
      <x:c r="E704" s="47" t="str"/>
      <x:c r="F704" s="47" t="str">
        <x:v>current</x:v>
      </x:c>
      <x:c r="G704" s="47" t="n">
        <x:v>700</x:v>
      </x:c>
      <x:c r="H704" s="53" t="b">
        <x:v>1</x:v>
      </x:c>
      <x:c r="I704" s="47" t="str">
        <x:v>2682537910</x:v>
      </x:c>
      <x:c r="J704" s="47" t="n">
        <x:v>34011798</x:v>
      </x:c>
      <x:c r="K704" s="53" t="b">
        <x:v>1</x:v>
      </x:c>
      <x:c r="L704" s="53" t="b">
        <x:v>1</x:v>
      </x:c>
      <x:c r="M704" s="53" t="b">
        <x:v>1</x:v>
      </x:c>
      <x:c r="N704" s="53" t="b">
        <x:v>1</x:v>
      </x:c>
      <x:c r="O704" s="53" t="b">
        <x:v>1</x:v>
      </x:c>
      <x:c r="P704" s="47" t="n">
        <x:v>1009</x:v>
      </x:c>
      <x:c r="Q704" s="47" t="n">
        <x:v>0</x:v>
      </x:c>
      <x:c r="R704" s="47" t="n">
        <x:v>0</x:v>
      </x:c>
      <x:c r="S704" s="47" t="n">
        <x:v>29.14</x:v>
      </x:c>
      <x:c r="T704" s="47" t="n">
        <x:v>73.65</x:v>
      </x:c>
      <x:c r="U704" s="47" t="n">
        <x:v>29.1</x:v>
      </x:c>
      <x:c r="V704" s="47" t="n">
        <x:v>16</x:v>
      </x:c>
      <x:c r="W704" s="47" t="n">
        <x:v>0</x:v>
      </x:c>
      <x:c r="X704" s="47" t="n">
        <x:v>0</x:v>
      </x:c>
      <x:c r="Y704" s="41" t="n">
        <x:v>0</x:v>
      </x:c>
    </x:row>
    <x:row r="705">
      <x:c r="A705" s="38" t="str">
        <x:v>7月30日现场数据</x:v>
      </x:c>
      <x:c r="B705" s="66" t="str">
        <x:v>2026-08-02T00:07:35.436000</x:v>
      </x:c>
      <x:c r="C705" s="47" t="n">
        <x:v>300975</x:v>
      </x:c>
      <x:c r="D705" s="47" t="str"/>
      <x:c r="E705" s="47" t="str"/>
      <x:c r="F705" s="47" t="str">
        <x:v>current</x:v>
      </x:c>
      <x:c r="G705" s="47" t="n">
        <x:v>701</x:v>
      </x:c>
      <x:c r="H705" s="53" t="b">
        <x:v>1</x:v>
      </x:c>
      <x:c r="I705" s="47" t="str">
        <x:v>2682537910</x:v>
      </x:c>
      <x:c r="J705" s="47" t="n">
        <x:v>34312773</x:v>
      </x:c>
      <x:c r="K705" s="53" t="b">
        <x:v>1</x:v>
      </x:c>
      <x:c r="L705" s="53" t="b">
        <x:v>1</x:v>
      </x:c>
      <x:c r="M705" s="53" t="b">
        <x:v>1</x:v>
      </x:c>
      <x:c r="N705" s="53" t="b">
        <x:v>1</x:v>
      </x:c>
      <x:c r="O705" s="53" t="b">
        <x:v>1</x:v>
      </x:c>
      <x:c r="P705" s="47" t="n">
        <x:v>1009</x:v>
      </x:c>
      <x:c r="Q705" s="47" t="n">
        <x:v>0</x:v>
      </x:c>
      <x:c r="R705" s="47" t="n">
        <x:v>0</x:v>
      </x:c>
      <x:c r="S705" s="47" t="n">
        <x:v>29.14</x:v>
      </x:c>
      <x:c r="T705" s="47" t="n">
        <x:v>73.78</x:v>
      </x:c>
      <x:c r="U705" s="47" t="n">
        <x:v>29.1</x:v>
      </x:c>
      <x:c r="V705" s="47" t="n">
        <x:v>16</x:v>
      </x:c>
      <x:c r="W705" s="47" t="n">
        <x:v>0</x:v>
      </x:c>
      <x:c r="X705" s="47" t="n">
        <x:v>0</x:v>
      </x:c>
      <x:c r="Y705" s="41" t="n">
        <x:v>0</x:v>
      </x:c>
    </x:row>
    <x:row r="706">
      <x:c r="A706" s="38" t="str">
        <x:v>7月30日现场数据</x:v>
      </x:c>
      <x:c r="B706" s="66" t="str">
        <x:v>2026-08-02T00:12:36.413000</x:v>
      </x:c>
      <x:c r="C706" s="47" t="n">
        <x:v>300977</x:v>
      </x:c>
      <x:c r="D706" s="47" t="str"/>
      <x:c r="E706" s="47" t="str"/>
      <x:c r="F706" s="47" t="str">
        <x:v>current</x:v>
      </x:c>
      <x:c r="G706" s="47" t="n">
        <x:v>702</x:v>
      </x:c>
      <x:c r="H706" s="53" t="b">
        <x:v>1</x:v>
      </x:c>
      <x:c r="I706" s="47" t="str">
        <x:v>2682537910</x:v>
      </x:c>
      <x:c r="J706" s="47" t="n">
        <x:v>34613750</x:v>
      </x:c>
      <x:c r="K706" s="53" t="b">
        <x:v>1</x:v>
      </x:c>
      <x:c r="L706" s="53" t="b">
        <x:v>1</x:v>
      </x:c>
      <x:c r="M706" s="53" t="b">
        <x:v>1</x:v>
      </x:c>
      <x:c r="N706" s="53" t="b">
        <x:v>1</x:v>
      </x:c>
      <x:c r="O706" s="53" t="b">
        <x:v>1</x:v>
      </x:c>
      <x:c r="P706" s="47" t="n">
        <x:v>1009</x:v>
      </x:c>
      <x:c r="Q706" s="47" t="n">
        <x:v>0</x:v>
      </x:c>
      <x:c r="R706" s="47" t="n">
        <x:v>0</x:v>
      </x:c>
      <x:c r="S706" s="47" t="n">
        <x:v>29.14</x:v>
      </x:c>
      <x:c r="T706" s="47" t="n">
        <x:v>73.86</x:v>
      </x:c>
      <x:c r="U706" s="47" t="n">
        <x:v>29.1</x:v>
      </x:c>
      <x:c r="V706" s="47" t="n">
        <x:v>16</x:v>
      </x:c>
      <x:c r="W706" s="47" t="n">
        <x:v>0</x:v>
      </x:c>
      <x:c r="X706" s="47" t="n">
        <x:v>0</x:v>
      </x:c>
      <x:c r="Y706" s="41" t="n">
        <x:v>0</x:v>
      </x:c>
    </x:row>
    <x:row r="707">
      <x:c r="A707" s="38" t="str">
        <x:v>7月30日现场数据</x:v>
      </x:c>
      <x:c r="B707" s="66" t="str">
        <x:v>2026-08-02T00:17:37.392000</x:v>
      </x:c>
      <x:c r="C707" s="47" t="n">
        <x:v>300979</x:v>
      </x:c>
      <x:c r="D707" s="47" t="str"/>
      <x:c r="E707" s="47" t="str"/>
      <x:c r="F707" s="47" t="str">
        <x:v>current</x:v>
      </x:c>
      <x:c r="G707" s="47" t="n">
        <x:v>703</x:v>
      </x:c>
      <x:c r="H707" s="53" t="b">
        <x:v>1</x:v>
      </x:c>
      <x:c r="I707" s="47" t="str">
        <x:v>2682537910</x:v>
      </x:c>
      <x:c r="J707" s="47" t="n">
        <x:v>34914729</x:v>
      </x:c>
      <x:c r="K707" s="53" t="b">
        <x:v>1</x:v>
      </x:c>
      <x:c r="L707" s="53" t="b">
        <x:v>1</x:v>
      </x:c>
      <x:c r="M707" s="53" t="b">
        <x:v>1</x:v>
      </x:c>
      <x:c r="N707" s="53" t="b">
        <x:v>1</x:v>
      </x:c>
      <x:c r="O707" s="53" t="b">
        <x:v>1</x:v>
      </x:c>
      <x:c r="P707" s="47" t="n">
        <x:v>1008</x:v>
      </x:c>
      <x:c r="Q707" s="47" t="n">
        <x:v>0</x:v>
      </x:c>
      <x:c r="R707" s="47" t="n">
        <x:v>0</x:v>
      </x:c>
      <x:c r="S707" s="47" t="n">
        <x:v>29.11</x:v>
      </x:c>
      <x:c r="T707" s="47" t="n">
        <x:v>74.03</x:v>
      </x:c>
      <x:c r="U707" s="47" t="n">
        <x:v>29.1</x:v>
      </x:c>
      <x:c r="V707" s="47" t="n">
        <x:v>16</x:v>
      </x:c>
      <x:c r="W707" s="47" t="n">
        <x:v>0</x:v>
      </x:c>
      <x:c r="X707" s="47" t="n">
        <x:v>0</x:v>
      </x:c>
      <x:c r="Y707" s="41" t="n">
        <x:v>0</x:v>
      </x:c>
    </x:row>
    <x:row r="708">
      <x:c r="A708" s="38" t="str">
        <x:v>7月30日现场数据</x:v>
      </x:c>
      <x:c r="B708" s="66" t="str">
        <x:v>2026-08-02T00:22:38.372000</x:v>
      </x:c>
      <x:c r="C708" s="47" t="n">
        <x:v>300980</x:v>
      </x:c>
      <x:c r="D708" s="47" t="str"/>
      <x:c r="E708" s="47" t="str"/>
      <x:c r="F708" s="47" t="str">
        <x:v>current</x:v>
      </x:c>
      <x:c r="G708" s="47" t="n">
        <x:v>704</x:v>
      </x:c>
      <x:c r="H708" s="53" t="b">
        <x:v>1</x:v>
      </x:c>
      <x:c r="I708" s="47" t="str">
        <x:v>2682537910</x:v>
      </x:c>
      <x:c r="J708" s="47" t="n">
        <x:v>35215709</x:v>
      </x:c>
      <x:c r="K708" s="53" t="b">
        <x:v>1</x:v>
      </x:c>
      <x:c r="L708" s="53" t="b">
        <x:v>1</x:v>
      </x:c>
      <x:c r="M708" s="53" t="b">
        <x:v>1</x:v>
      </x:c>
      <x:c r="N708" s="53" t="b">
        <x:v>1</x:v>
      </x:c>
      <x:c r="O708" s="53" t="b">
        <x:v>1</x:v>
      </x:c>
      <x:c r="P708" s="47" t="n">
        <x:v>1009</x:v>
      </x:c>
      <x:c r="Q708" s="47" t="n">
        <x:v>0</x:v>
      </x:c>
      <x:c r="R708" s="47" t="n">
        <x:v>0</x:v>
      </x:c>
      <x:c r="S708" s="47" t="n">
        <x:v>29.15</x:v>
      </x:c>
      <x:c r="T708" s="47" t="n">
        <x:v>74.16</x:v>
      </x:c>
      <x:c r="U708" s="47" t="n">
        <x:v>29.1</x:v>
      </x:c>
      <x:c r="V708" s="47" t="n">
        <x:v>16</x:v>
      </x:c>
      <x:c r="W708" s="47" t="n">
        <x:v>0</x:v>
      </x:c>
      <x:c r="X708" s="47" t="n">
        <x:v>0</x:v>
      </x:c>
      <x:c r="Y708" s="41" t="n">
        <x:v>0</x:v>
      </x:c>
    </x:row>
    <x:row r="709">
      <x:c r="A709" s="38" t="str">
        <x:v>7月30日现场数据</x:v>
      </x:c>
      <x:c r="B709" s="66" t="str">
        <x:v>2026-08-02T00:27:39.357000</x:v>
      </x:c>
      <x:c r="C709" s="47" t="n">
        <x:v>300985</x:v>
      </x:c>
      <x:c r="D709" s="47" t="str"/>
      <x:c r="E709" s="47" t="str"/>
      <x:c r="F709" s="47" t="str">
        <x:v>current</x:v>
      </x:c>
      <x:c r="G709" s="47" t="n">
        <x:v>705</x:v>
      </x:c>
      <x:c r="H709" s="53" t="b">
        <x:v>1</x:v>
      </x:c>
      <x:c r="I709" s="47" t="str">
        <x:v>2682537910</x:v>
      </x:c>
      <x:c r="J709" s="47" t="n">
        <x:v>35516694</x:v>
      </x:c>
      <x:c r="K709" s="53" t="b">
        <x:v>1</x:v>
      </x:c>
      <x:c r="L709" s="53" t="b">
        <x:v>1</x:v>
      </x:c>
      <x:c r="M709" s="53" t="b">
        <x:v>1</x:v>
      </x:c>
      <x:c r="N709" s="53" t="b">
        <x:v>1</x:v>
      </x:c>
      <x:c r="O709" s="53" t="b">
        <x:v>1</x:v>
      </x:c>
      <x:c r="P709" s="47" t="n">
        <x:v>1009</x:v>
      </x:c>
      <x:c r="Q709" s="47" t="n">
        <x:v>0</x:v>
      </x:c>
      <x:c r="R709" s="47" t="n">
        <x:v>0</x:v>
      </x:c>
      <x:c r="S709" s="47" t="n">
        <x:v>29.16</x:v>
      </x:c>
      <x:c r="T709" s="47" t="n">
        <x:v>74.33</x:v>
      </x:c>
      <x:c r="U709" s="47" t="n">
        <x:v>29.1</x:v>
      </x:c>
      <x:c r="V709" s="47" t="n">
        <x:v>15.9</x:v>
      </x:c>
      <x:c r="W709" s="47" t="n">
        <x:v>0</x:v>
      </x:c>
      <x:c r="X709" s="47" t="n">
        <x:v>0</x:v>
      </x:c>
      <x:c r="Y709" s="41" t="n">
        <x:v>0</x:v>
      </x:c>
    </x:row>
    <x:row r="710">
      <x:c r="A710" s="38" t="str">
        <x:v>7月30日现场数据</x:v>
      </x:c>
      <x:c r="B710" s="66" t="str">
        <x:v>2026-08-02T00:32:40.341000</x:v>
      </x:c>
      <x:c r="C710" s="47" t="n">
        <x:v>300984</x:v>
      </x:c>
      <x:c r="D710" s="47" t="str"/>
      <x:c r="E710" s="47" t="str"/>
      <x:c r="F710" s="47" t="str">
        <x:v>current</x:v>
      </x:c>
      <x:c r="G710" s="47" t="n">
        <x:v>706</x:v>
      </x:c>
      <x:c r="H710" s="53" t="b">
        <x:v>1</x:v>
      </x:c>
      <x:c r="I710" s="47" t="str">
        <x:v>2682537910</x:v>
      </x:c>
      <x:c r="J710" s="47" t="n">
        <x:v>35817678</x:v>
      </x:c>
      <x:c r="K710" s="53" t="b">
        <x:v>1</x:v>
      </x:c>
      <x:c r="L710" s="53" t="b">
        <x:v>1</x:v>
      </x:c>
      <x:c r="M710" s="53" t="b">
        <x:v>1</x:v>
      </x:c>
      <x:c r="N710" s="53" t="b">
        <x:v>1</x:v>
      </x:c>
      <x:c r="O710" s="53" t="b">
        <x:v>1</x:v>
      </x:c>
      <x:c r="P710" s="47" t="n">
        <x:v>1009</x:v>
      </x:c>
      <x:c r="Q710" s="47" t="n">
        <x:v>0</x:v>
      </x:c>
      <x:c r="R710" s="47" t="n">
        <x:v>0</x:v>
      </x:c>
      <x:c r="S710" s="47" t="n">
        <x:v>29.16</x:v>
      </x:c>
      <x:c r="T710" s="47" t="n">
        <x:v>74.48</x:v>
      </x:c>
      <x:c r="U710" s="47" t="n">
        <x:v>29.1</x:v>
      </x:c>
      <x:c r="V710" s="47" t="n">
        <x:v>15.9</x:v>
      </x:c>
      <x:c r="W710" s="47" t="n">
        <x:v>0</x:v>
      </x:c>
      <x:c r="X710" s="47" t="n">
        <x:v>0</x:v>
      </x:c>
      <x:c r="Y710" s="41" t="n">
        <x:v>0</x:v>
      </x:c>
    </x:row>
    <x:row r="711">
      <x:c r="A711" s="38" t="str">
        <x:v>7月30日现场数据</x:v>
      </x:c>
      <x:c r="B711" s="66" t="str">
        <x:v>2026-08-02T00:37:41.326000</x:v>
      </x:c>
      <x:c r="C711" s="47" t="n">
        <x:v>300985</x:v>
      </x:c>
      <x:c r="D711" s="47" t="str"/>
      <x:c r="E711" s="47" t="str"/>
      <x:c r="F711" s="47" t="str">
        <x:v>current</x:v>
      </x:c>
      <x:c r="G711" s="47" t="n">
        <x:v>707</x:v>
      </x:c>
      <x:c r="H711" s="53" t="b">
        <x:v>1</x:v>
      </x:c>
      <x:c r="I711" s="47" t="str">
        <x:v>2682537910</x:v>
      </x:c>
      <x:c r="J711" s="47" t="n">
        <x:v>36118663</x:v>
      </x:c>
      <x:c r="K711" s="53" t="b">
        <x:v>1</x:v>
      </x:c>
      <x:c r="L711" s="53" t="b">
        <x:v>1</x:v>
      </x:c>
      <x:c r="M711" s="53" t="b">
        <x:v>1</x:v>
      </x:c>
      <x:c r="N711" s="53" t="b">
        <x:v>1</x:v>
      </x:c>
      <x:c r="O711" s="53" t="b">
        <x:v>1</x:v>
      </x:c>
      <x:c r="P711" s="47" t="n">
        <x:v>1009</x:v>
      </x:c>
      <x:c r="Q711" s="47" t="n">
        <x:v>0</x:v>
      </x:c>
      <x:c r="R711" s="47" t="n">
        <x:v>0</x:v>
      </x:c>
      <x:c r="S711" s="47" t="n">
        <x:v>29.12</x:v>
      </x:c>
      <x:c r="T711" s="47" t="n">
        <x:v>74.57</x:v>
      </x:c>
      <x:c r="U711" s="47" t="n">
        <x:v>29.1</x:v>
      </x:c>
      <x:c r="V711" s="47" t="n">
        <x:v>16</x:v>
      </x:c>
      <x:c r="W711" s="47" t="n">
        <x:v>0</x:v>
      </x:c>
      <x:c r="X711" s="47" t="n">
        <x:v>0</x:v>
      </x:c>
      <x:c r="Y711" s="41" t="n">
        <x:v>0</x:v>
      </x:c>
    </x:row>
    <x:row r="712">
      <x:c r="A712" s="38" t="str">
        <x:v>7月30日现场数据</x:v>
      </x:c>
      <x:c r="B712" s="66" t="str">
        <x:v>2026-08-02T00:42:42.313000</x:v>
      </x:c>
      <x:c r="C712" s="47" t="n">
        <x:v>300987</x:v>
      </x:c>
      <x:c r="D712" s="47" t="str"/>
      <x:c r="E712" s="47" t="str"/>
      <x:c r="F712" s="47" t="str">
        <x:v>current</x:v>
      </x:c>
      <x:c r="G712" s="47" t="n">
        <x:v>708</x:v>
      </x:c>
      <x:c r="H712" s="53" t="b">
        <x:v>1</x:v>
      </x:c>
      <x:c r="I712" s="47" t="str">
        <x:v>2682537910</x:v>
      </x:c>
      <x:c r="J712" s="47" t="n">
        <x:v>36419650</x:v>
      </x:c>
      <x:c r="K712" s="53" t="b">
        <x:v>1</x:v>
      </x:c>
      <x:c r="L712" s="53" t="b">
        <x:v>1</x:v>
      </x:c>
      <x:c r="M712" s="53" t="b">
        <x:v>1</x:v>
      </x:c>
      <x:c r="N712" s="53" t="b">
        <x:v>1</x:v>
      </x:c>
      <x:c r="O712" s="53" t="b">
        <x:v>1</x:v>
      </x:c>
      <x:c r="P712" s="47" t="n">
        <x:v>1009</x:v>
      </x:c>
      <x:c r="Q712" s="47" t="n">
        <x:v>0</x:v>
      </x:c>
      <x:c r="R712" s="47" t="n">
        <x:v>0</x:v>
      </x:c>
      <x:c r="S712" s="47" t="n">
        <x:v>29.08</x:v>
      </x:c>
      <x:c r="T712" s="47" t="n">
        <x:v>74.65</x:v>
      </x:c>
      <x:c r="U712" s="47" t="n">
        <x:v>29.1</x:v>
      </x:c>
      <x:c r="V712" s="47" t="n">
        <x:v>16</x:v>
      </x:c>
      <x:c r="W712" s="47" t="n">
        <x:v>0</x:v>
      </x:c>
      <x:c r="X712" s="47" t="n">
        <x:v>0</x:v>
      </x:c>
      <x:c r="Y712" s="41" t="n">
        <x:v>0</x:v>
      </x:c>
    </x:row>
    <x:row r="713">
      <x:c r="A713" s="38" t="str">
        <x:v>7月30日现场数据</x:v>
      </x:c>
      <x:c r="B713" s="66" t="str">
        <x:v>2026-08-02T00:47:43.303000</x:v>
      </x:c>
      <x:c r="C713" s="47" t="n">
        <x:v>300990</x:v>
      </x:c>
      <x:c r="D713" s="47" t="str"/>
      <x:c r="E713" s="47" t="str"/>
      <x:c r="F713" s="47" t="str">
        <x:v>current</x:v>
      </x:c>
      <x:c r="G713" s="47" t="n">
        <x:v>709</x:v>
      </x:c>
      <x:c r="H713" s="53" t="b">
        <x:v>1</x:v>
      </x:c>
      <x:c r="I713" s="47" t="str">
        <x:v>2682537910</x:v>
      </x:c>
      <x:c r="J713" s="47" t="n">
        <x:v>36720640</x:v>
      </x:c>
      <x:c r="K713" s="53" t="b">
        <x:v>1</x:v>
      </x:c>
      <x:c r="L713" s="53" t="b">
        <x:v>1</x:v>
      </x:c>
      <x:c r="M713" s="53" t="b">
        <x:v>1</x:v>
      </x:c>
      <x:c r="N713" s="53" t="b">
        <x:v>1</x:v>
      </x:c>
      <x:c r="O713" s="53" t="b">
        <x:v>1</x:v>
      </x:c>
      <x:c r="P713" s="47" t="n">
        <x:v>1009</x:v>
      </x:c>
      <x:c r="Q713" s="47" t="n">
        <x:v>0</x:v>
      </x:c>
      <x:c r="R713" s="47" t="n">
        <x:v>0</x:v>
      </x:c>
      <x:c r="S713" s="47" t="n">
        <x:v>29.05</x:v>
      </x:c>
      <x:c r="T713" s="47" t="n">
        <x:v>74.82</x:v>
      </x:c>
      <x:c r="U713" s="47" t="n">
        <x:v>29.1</x:v>
      </x:c>
      <x:c r="V713" s="47" t="n">
        <x:v>15.9</x:v>
      </x:c>
      <x:c r="W713" s="47" t="n">
        <x:v>0</x:v>
      </x:c>
      <x:c r="X713" s="47" t="n">
        <x:v>0</x:v>
      </x:c>
      <x:c r="Y713" s="41" t="n">
        <x:v>0</x:v>
      </x:c>
    </x:row>
    <x:row r="714">
      <x:c r="A714" s="38" t="str">
        <x:v>7月30日现场数据</x:v>
      </x:c>
      <x:c r="B714" s="66" t="str">
        <x:v>2026-08-02T00:52:44.331000</x:v>
      </x:c>
      <x:c r="C714" s="47" t="n">
        <x:v>301028</x:v>
      </x:c>
      <x:c r="D714" s="47" t="str"/>
      <x:c r="E714" s="47" t="str"/>
      <x:c r="F714" s="47" t="str">
        <x:v>current</x:v>
      </x:c>
      <x:c r="G714" s="47" t="n">
        <x:v>710</x:v>
      </x:c>
      <x:c r="H714" s="53" t="b">
        <x:v>1</x:v>
      </x:c>
      <x:c r="I714" s="47" t="str">
        <x:v>2682537910</x:v>
      </x:c>
      <x:c r="J714" s="47" t="n">
        <x:v>37021668</x:v>
      </x:c>
      <x:c r="K714" s="53" t="b">
        <x:v>1</x:v>
      </x:c>
      <x:c r="L714" s="53" t="b">
        <x:v>1</x:v>
      </x:c>
      <x:c r="M714" s="53" t="b">
        <x:v>1</x:v>
      </x:c>
      <x:c r="N714" s="53" t="b">
        <x:v>1</x:v>
      </x:c>
      <x:c r="O714" s="53" t="b">
        <x:v>1</x:v>
      </x:c>
      <x:c r="P714" s="47" t="n">
        <x:v>1009</x:v>
      </x:c>
      <x:c r="Q714" s="47" t="n">
        <x:v>0</x:v>
      </x:c>
      <x:c r="R714" s="47" t="n">
        <x:v>0</x:v>
      </x:c>
      <x:c r="S714" s="47" t="n">
        <x:v>29.04</x:v>
      </x:c>
      <x:c r="T714" s="47" t="n">
        <x:v>74.8</x:v>
      </x:c>
      <x:c r="U714" s="47" t="n">
        <x:v>29.1</x:v>
      </x:c>
      <x:c r="V714" s="47" t="n">
        <x:v>15.9</x:v>
      </x:c>
      <x:c r="W714" s="47" t="n">
        <x:v>0</x:v>
      </x:c>
      <x:c r="X714" s="47" t="n">
        <x:v>0</x:v>
      </x:c>
      <x:c r="Y714" s="41" t="n">
        <x:v>0</x:v>
      </x:c>
    </x:row>
    <x:row r="715">
      <x:c r="A715" s="38" t="str">
        <x:v>7月30日现场数据</x:v>
      </x:c>
      <x:c r="B715" s="66" t="str">
        <x:v>2026-08-02T00:57:45.299000</x:v>
      </x:c>
      <x:c r="C715" s="47" t="n">
        <x:v>300968</x:v>
      </x:c>
      <x:c r="D715" s="47" t="str"/>
      <x:c r="E715" s="47" t="str"/>
      <x:c r="F715" s="47" t="str">
        <x:v>current</x:v>
      </x:c>
      <x:c r="G715" s="47" t="n">
        <x:v>711</x:v>
      </x:c>
      <x:c r="H715" s="53" t="b">
        <x:v>1</x:v>
      </x:c>
      <x:c r="I715" s="47" t="str">
        <x:v>2682537910</x:v>
      </x:c>
      <x:c r="J715" s="47" t="n">
        <x:v>37322636</x:v>
      </x:c>
      <x:c r="K715" s="53" t="b">
        <x:v>1</x:v>
      </x:c>
      <x:c r="L715" s="53" t="b">
        <x:v>1</x:v>
      </x:c>
      <x:c r="M715" s="53" t="b">
        <x:v>1</x:v>
      </x:c>
      <x:c r="N715" s="53" t="b">
        <x:v>1</x:v>
      </x:c>
      <x:c r="O715" s="53" t="b">
        <x:v>1</x:v>
      </x:c>
      <x:c r="P715" s="47" t="n">
        <x:v>1009</x:v>
      </x:c>
      <x:c r="Q715" s="47" t="n">
        <x:v>0</x:v>
      </x:c>
      <x:c r="R715" s="47" t="n">
        <x:v>0</x:v>
      </x:c>
      <x:c r="S715" s="47" t="n">
        <x:v>29.04</x:v>
      </x:c>
      <x:c r="T715" s="47" t="n">
        <x:v>75.05</x:v>
      </x:c>
      <x:c r="U715" s="47" t="n">
        <x:v>29.1</x:v>
      </x:c>
      <x:c r="V715" s="47" t="n">
        <x:v>15.9</x:v>
      </x:c>
      <x:c r="W715" s="47" t="n">
        <x:v>0</x:v>
      </x:c>
      <x:c r="X715" s="47" t="n">
        <x:v>0</x:v>
      </x:c>
      <x:c r="Y715" s="41" t="n">
        <x:v>0</x:v>
      </x:c>
    </x:row>
    <x:row r="716">
      <x:c r="A716" s="38" t="str">
        <x:v>7月30日现场数据</x:v>
      </x:c>
      <x:c r="B716" s="66" t="str">
        <x:v>2026-08-02T01:02:46.270000</x:v>
      </x:c>
      <x:c r="C716" s="47" t="n">
        <x:v>300971</x:v>
      </x:c>
      <x:c r="D716" s="47" t="str"/>
      <x:c r="E716" s="47" t="str"/>
      <x:c r="F716" s="47" t="str">
        <x:v>current</x:v>
      </x:c>
      <x:c r="G716" s="47" t="n">
        <x:v>712</x:v>
      </x:c>
      <x:c r="H716" s="53" t="b">
        <x:v>1</x:v>
      </x:c>
      <x:c r="I716" s="47" t="str">
        <x:v>2682537910</x:v>
      </x:c>
      <x:c r="J716" s="47" t="n">
        <x:v>37623607</x:v>
      </x:c>
      <x:c r="K716" s="53" t="b">
        <x:v>1</x:v>
      </x:c>
      <x:c r="L716" s="53" t="b">
        <x:v>1</x:v>
      </x:c>
      <x:c r="M716" s="53" t="b">
        <x:v>1</x:v>
      </x:c>
      <x:c r="N716" s="53" t="b">
        <x:v>1</x:v>
      </x:c>
      <x:c r="O716" s="53" t="b">
        <x:v>1</x:v>
      </x:c>
      <x:c r="P716" s="47" t="n">
        <x:v>1009</x:v>
      </x:c>
      <x:c r="Q716" s="47" t="n">
        <x:v>0</x:v>
      </x:c>
      <x:c r="R716" s="47" t="n">
        <x:v>0</x:v>
      </x:c>
      <x:c r="S716" s="47" t="n">
        <x:v>29</x:v>
      </x:c>
      <x:c r="T716" s="47" t="n">
        <x:v>75.17</x:v>
      </x:c>
      <x:c r="U716" s="47" t="n">
        <x:v>29.1</x:v>
      </x:c>
      <x:c r="V716" s="47" t="n">
        <x:v>15.9</x:v>
      </x:c>
      <x:c r="W716" s="47" t="n">
        <x:v>0</x:v>
      </x:c>
      <x:c r="X716" s="47" t="n">
        <x:v>0</x:v>
      </x:c>
      <x:c r="Y716" s="41" t="n">
        <x:v>0</x:v>
      </x:c>
    </x:row>
    <x:row r="717">
      <x:c r="A717" s="38" t="str">
        <x:v>7月30日现场数据</x:v>
      </x:c>
      <x:c r="B717" s="66" t="str">
        <x:v>2026-08-02T01:07:47.243000</x:v>
      </x:c>
      <x:c r="C717" s="47" t="n">
        <x:v>300973</x:v>
      </x:c>
      <x:c r="D717" s="47" t="str"/>
      <x:c r="E717" s="47" t="str"/>
      <x:c r="F717" s="47" t="str">
        <x:v>current</x:v>
      </x:c>
      <x:c r="G717" s="47" t="n">
        <x:v>713</x:v>
      </x:c>
      <x:c r="H717" s="53" t="b">
        <x:v>1</x:v>
      </x:c>
      <x:c r="I717" s="47" t="str">
        <x:v>2682537910</x:v>
      </x:c>
      <x:c r="J717" s="47" t="n">
        <x:v>37924580</x:v>
      </x:c>
      <x:c r="K717" s="53" t="b">
        <x:v>1</x:v>
      </x:c>
      <x:c r="L717" s="53" t="b">
        <x:v>1</x:v>
      </x:c>
      <x:c r="M717" s="53" t="b">
        <x:v>1</x:v>
      </x:c>
      <x:c r="N717" s="53" t="b">
        <x:v>1</x:v>
      </x:c>
      <x:c r="O717" s="53" t="b">
        <x:v>1</x:v>
      </x:c>
      <x:c r="P717" s="47" t="n">
        <x:v>1009</x:v>
      </x:c>
      <x:c r="Q717" s="47" t="n">
        <x:v>0</x:v>
      </x:c>
      <x:c r="R717" s="47" t="n">
        <x:v>0</x:v>
      </x:c>
      <x:c r="S717" s="47" t="n">
        <x:v>28.98</x:v>
      </x:c>
      <x:c r="T717" s="47" t="n">
        <x:v>75.28</x:v>
      </x:c>
      <x:c r="U717" s="47" t="n">
        <x:v>29.1</x:v>
      </x:c>
      <x:c r="V717" s="47" t="n">
        <x:v>15.9</x:v>
      </x:c>
      <x:c r="W717" s="47" t="n">
        <x:v>0</x:v>
      </x:c>
      <x:c r="X717" s="47" t="n">
        <x:v>0</x:v>
      </x:c>
      <x:c r="Y717" s="41" t="n">
        <x:v>0</x:v>
      </x:c>
    </x:row>
    <x:row r="718">
      <x:c r="A718" s="38" t="str">
        <x:v>7月30日现场数据</x:v>
      </x:c>
      <x:c r="B718" s="66" t="str">
        <x:v>2026-08-02T01:12:48.218000</x:v>
      </x:c>
      <x:c r="C718" s="47" t="n">
        <x:v>300975</x:v>
      </x:c>
      <x:c r="D718" s="47" t="str"/>
      <x:c r="E718" s="47" t="str"/>
      <x:c r="F718" s="47" t="str">
        <x:v>current</x:v>
      </x:c>
      <x:c r="G718" s="47" t="n">
        <x:v>714</x:v>
      </x:c>
      <x:c r="H718" s="53" t="b">
        <x:v>1</x:v>
      </x:c>
      <x:c r="I718" s="47" t="str">
        <x:v>2682537910</x:v>
      </x:c>
      <x:c r="J718" s="47" t="n">
        <x:v>38225555</x:v>
      </x:c>
      <x:c r="K718" s="53" t="b">
        <x:v>1</x:v>
      </x:c>
      <x:c r="L718" s="53" t="b">
        <x:v>1</x:v>
      </x:c>
      <x:c r="M718" s="53" t="b">
        <x:v>1</x:v>
      </x:c>
      <x:c r="N718" s="53" t="b">
        <x:v>1</x:v>
      </x:c>
      <x:c r="O718" s="53" t="b">
        <x:v>1</x:v>
      </x:c>
      <x:c r="P718" s="47" t="n">
        <x:v>1009</x:v>
      </x:c>
      <x:c r="Q718" s="47" t="n">
        <x:v>0</x:v>
      </x:c>
      <x:c r="R718" s="47" t="n">
        <x:v>0</x:v>
      </x:c>
      <x:c r="S718" s="47" t="n">
        <x:v>28.97</x:v>
      </x:c>
      <x:c r="T718" s="47" t="n">
        <x:v>75.43</x:v>
      </x:c>
      <x:c r="U718" s="47" t="n">
        <x:v>29.1</x:v>
      </x:c>
      <x:c r="V718" s="47" t="n">
        <x:v>15.9</x:v>
      </x:c>
      <x:c r="W718" s="47" t="n">
        <x:v>0</x:v>
      </x:c>
      <x:c r="X718" s="47" t="n">
        <x:v>0</x:v>
      </x:c>
      <x:c r="Y718" s="41" t="n">
        <x:v>0</x:v>
      </x:c>
    </x:row>
    <x:row r="719">
      <x:c r="A719" s="38" t="str">
        <x:v>7月30日现场数据</x:v>
      </x:c>
      <x:c r="B719" s="66" t="str">
        <x:v>2026-08-02T01:17:49.193000</x:v>
      </x:c>
      <x:c r="C719" s="47" t="n">
        <x:v>300975</x:v>
      </x:c>
      <x:c r="D719" s="47" t="str"/>
      <x:c r="E719" s="47" t="str"/>
      <x:c r="F719" s="47" t="str">
        <x:v>current</x:v>
      </x:c>
      <x:c r="G719" s="47" t="n">
        <x:v>715</x:v>
      </x:c>
      <x:c r="H719" s="53" t="b">
        <x:v>1</x:v>
      </x:c>
      <x:c r="I719" s="47" t="str">
        <x:v>2682537910</x:v>
      </x:c>
      <x:c r="J719" s="47" t="n">
        <x:v>38526530</x:v>
      </x:c>
      <x:c r="K719" s="53" t="b">
        <x:v>1</x:v>
      </x:c>
      <x:c r="L719" s="53" t="b">
        <x:v>1</x:v>
      </x:c>
      <x:c r="M719" s="53" t="b">
        <x:v>1</x:v>
      </x:c>
      <x:c r="N719" s="53" t="b">
        <x:v>1</x:v>
      </x:c>
      <x:c r="O719" s="53" t="b">
        <x:v>1</x:v>
      </x:c>
      <x:c r="P719" s="47" t="n">
        <x:v>1009</x:v>
      </x:c>
      <x:c r="Q719" s="47" t="n">
        <x:v>0</x:v>
      </x:c>
      <x:c r="R719" s="47" t="n">
        <x:v>0</x:v>
      </x:c>
      <x:c r="S719" s="47" t="n">
        <x:v>28.98</x:v>
      </x:c>
      <x:c r="T719" s="47" t="n">
        <x:v>75.48</x:v>
      </x:c>
      <x:c r="U719" s="47" t="n">
        <x:v>29.1</x:v>
      </x:c>
      <x:c r="V719" s="47" t="n">
        <x:v>15.9</x:v>
      </x:c>
      <x:c r="W719" s="47" t="n">
        <x:v>0</x:v>
      </x:c>
      <x:c r="X719" s="47" t="n">
        <x:v>0</x:v>
      </x:c>
      <x:c r="Y719" s="41" t="n">
        <x:v>0</x:v>
      </x:c>
    </x:row>
    <x:row r="720">
      <x:c r="A720" s="38" t="str">
        <x:v>7月30日现场数据</x:v>
      </x:c>
      <x:c r="B720" s="66" t="str">
        <x:v>2026-08-02T01:22:50.171000</x:v>
      </x:c>
      <x:c r="C720" s="47" t="n">
        <x:v>300978</x:v>
      </x:c>
      <x:c r="D720" s="47" t="str"/>
      <x:c r="E720" s="47" t="str"/>
      <x:c r="F720" s="47" t="str">
        <x:v>current</x:v>
      </x:c>
      <x:c r="G720" s="47" t="n">
        <x:v>716</x:v>
      </x:c>
      <x:c r="H720" s="53" t="b">
        <x:v>1</x:v>
      </x:c>
      <x:c r="I720" s="47" t="str">
        <x:v>2682537910</x:v>
      </x:c>
      <x:c r="J720" s="47" t="n">
        <x:v>38827508</x:v>
      </x:c>
      <x:c r="K720" s="53" t="b">
        <x:v>1</x:v>
      </x:c>
      <x:c r="L720" s="53" t="b">
        <x:v>1</x:v>
      </x:c>
      <x:c r="M720" s="53" t="b">
        <x:v>1</x:v>
      </x:c>
      <x:c r="N720" s="53" t="b">
        <x:v>1</x:v>
      </x:c>
      <x:c r="O720" s="53" t="b">
        <x:v>1</x:v>
      </x:c>
      <x:c r="P720" s="47" t="n">
        <x:v>1009</x:v>
      </x:c>
      <x:c r="Q720" s="47" t="n">
        <x:v>0</x:v>
      </x:c>
      <x:c r="R720" s="47" t="n">
        <x:v>0</x:v>
      </x:c>
      <x:c r="S720" s="47" t="n">
        <x:v>28.97</x:v>
      </x:c>
      <x:c r="T720" s="47" t="n">
        <x:v>75.62</x:v>
      </x:c>
      <x:c r="U720" s="47" t="n">
        <x:v>29.1</x:v>
      </x:c>
      <x:c r="V720" s="47" t="n">
        <x:v>15.9</x:v>
      </x:c>
      <x:c r="W720" s="47" t="n">
        <x:v>0</x:v>
      </x:c>
      <x:c r="X720" s="47" t="n">
        <x:v>0</x:v>
      </x:c>
      <x:c r="Y720" s="41" t="n">
        <x:v>0</x:v>
      </x:c>
    </x:row>
    <x:row r="721">
      <x:c r="A721" s="38" t="str">
        <x:v>7月30日现场数据</x:v>
      </x:c>
      <x:c r="B721" s="66" t="str">
        <x:v>2026-08-02T01:27:51.150000</x:v>
      </x:c>
      <x:c r="C721" s="47" t="n">
        <x:v>300979</x:v>
      </x:c>
      <x:c r="D721" s="47" t="str"/>
      <x:c r="E721" s="47" t="str"/>
      <x:c r="F721" s="47" t="str">
        <x:v>current</x:v>
      </x:c>
      <x:c r="G721" s="47" t="n">
        <x:v>717</x:v>
      </x:c>
      <x:c r="H721" s="53" t="b">
        <x:v>1</x:v>
      </x:c>
      <x:c r="I721" s="47" t="str">
        <x:v>2682537910</x:v>
      </x:c>
      <x:c r="J721" s="47" t="n">
        <x:v>39128487</x:v>
      </x:c>
      <x:c r="K721" s="53" t="b">
        <x:v>1</x:v>
      </x:c>
      <x:c r="L721" s="53" t="b">
        <x:v>1</x:v>
      </x:c>
      <x:c r="M721" s="53" t="b">
        <x:v>1</x:v>
      </x:c>
      <x:c r="N721" s="53" t="b">
        <x:v>1</x:v>
      </x:c>
      <x:c r="O721" s="53" t="b">
        <x:v>1</x:v>
      </x:c>
      <x:c r="P721" s="47" t="n">
        <x:v>1009</x:v>
      </x:c>
      <x:c r="Q721" s="47" t="n">
        <x:v>0</x:v>
      </x:c>
      <x:c r="R721" s="47" t="n">
        <x:v>0</x:v>
      </x:c>
      <x:c r="S721" s="47" t="n">
        <x:v>28.96</x:v>
      </x:c>
      <x:c r="T721" s="47" t="n">
        <x:v>75.7</x:v>
      </x:c>
      <x:c r="U721" s="47" t="n">
        <x:v>29.1</x:v>
      </x:c>
      <x:c r="V721" s="47" t="n">
        <x:v>15.9</x:v>
      </x:c>
      <x:c r="W721" s="47" t="n">
        <x:v>0</x:v>
      </x:c>
      <x:c r="X721" s="47" t="n">
        <x:v>0</x:v>
      </x:c>
      <x:c r="Y721" s="41" t="n">
        <x:v>0</x:v>
      </x:c>
    </x:row>
    <x:row r="722">
      <x:c r="A722" s="38" t="str">
        <x:v>7月30日现场数据</x:v>
      </x:c>
      <x:c r="B722" s="66" t="str">
        <x:v>2026-08-02T01:32:52.133000</x:v>
      </x:c>
      <x:c r="C722" s="47" t="n">
        <x:v>300983</x:v>
      </x:c>
      <x:c r="D722" s="47" t="str"/>
      <x:c r="E722" s="47" t="str"/>
      <x:c r="F722" s="47" t="str">
        <x:v>current</x:v>
      </x:c>
      <x:c r="G722" s="47" t="n">
        <x:v>718</x:v>
      </x:c>
      <x:c r="H722" s="53" t="b">
        <x:v>1</x:v>
      </x:c>
      <x:c r="I722" s="47" t="str">
        <x:v>2682537910</x:v>
      </x:c>
      <x:c r="J722" s="47" t="n">
        <x:v>39429470</x:v>
      </x:c>
      <x:c r="K722" s="53" t="b">
        <x:v>1</x:v>
      </x:c>
      <x:c r="L722" s="53" t="b">
        <x:v>1</x:v>
      </x:c>
      <x:c r="M722" s="53" t="b">
        <x:v>1</x:v>
      </x:c>
      <x:c r="N722" s="53" t="b">
        <x:v>1</x:v>
      </x:c>
      <x:c r="O722" s="53" t="b">
        <x:v>1</x:v>
      </x:c>
      <x:c r="P722" s="47" t="n">
        <x:v>1009</x:v>
      </x:c>
      <x:c r="Q722" s="47" t="n">
        <x:v>0</x:v>
      </x:c>
      <x:c r="R722" s="47" t="n">
        <x:v>0</x:v>
      </x:c>
      <x:c r="S722" s="47" t="n">
        <x:v>28.95</x:v>
      </x:c>
      <x:c r="T722" s="47" t="n">
        <x:v>75.89</x:v>
      </x:c>
      <x:c r="U722" s="47" t="n">
        <x:v>29.1</x:v>
      </x:c>
      <x:c r="V722" s="47" t="n">
        <x:v>15.9</x:v>
      </x:c>
      <x:c r="W722" s="47" t="n">
        <x:v>0</x:v>
      </x:c>
      <x:c r="X722" s="47" t="n">
        <x:v>0</x:v>
      </x:c>
      <x:c r="Y722" s="41" t="n">
        <x:v>0</x:v>
      </x:c>
    </x:row>
    <x:row r="723">
      <x:c r="A723" s="38" t="str">
        <x:v>7月30日现场数据</x:v>
      </x:c>
      <x:c r="B723" s="66" t="str">
        <x:v>2026-08-02T01:37:53.116000</x:v>
      </x:c>
      <x:c r="C723" s="47" t="n">
        <x:v>300983</x:v>
      </x:c>
      <x:c r="D723" s="47" t="str"/>
      <x:c r="E723" s="47" t="str"/>
      <x:c r="F723" s="47" t="str">
        <x:v>current</x:v>
      </x:c>
      <x:c r="G723" s="47" t="n">
        <x:v>719</x:v>
      </x:c>
      <x:c r="H723" s="53" t="b">
        <x:v>1</x:v>
      </x:c>
      <x:c r="I723" s="47" t="str">
        <x:v>2682537910</x:v>
      </x:c>
      <x:c r="J723" s="47" t="n">
        <x:v>39730453</x:v>
      </x:c>
      <x:c r="K723" s="53" t="b">
        <x:v>1</x:v>
      </x:c>
      <x:c r="L723" s="53" t="b">
        <x:v>1</x:v>
      </x:c>
      <x:c r="M723" s="53" t="b">
        <x:v>1</x:v>
      </x:c>
      <x:c r="N723" s="53" t="b">
        <x:v>1</x:v>
      </x:c>
      <x:c r="O723" s="53" t="b">
        <x:v>1</x:v>
      </x:c>
      <x:c r="P723" s="47" t="n">
        <x:v>1009</x:v>
      </x:c>
      <x:c r="Q723" s="47" t="n">
        <x:v>0</x:v>
      </x:c>
      <x:c r="R723" s="47" t="n">
        <x:v>0</x:v>
      </x:c>
      <x:c r="S723" s="47" t="n">
        <x:v>28.94</x:v>
      </x:c>
      <x:c r="T723" s="47" t="n">
        <x:v>75.94</x:v>
      </x:c>
      <x:c r="U723" s="47" t="n">
        <x:v>29.1</x:v>
      </x:c>
      <x:c r="V723" s="47" t="n">
        <x:v>15.9</x:v>
      </x:c>
      <x:c r="W723" s="47" t="n">
        <x:v>0</x:v>
      </x:c>
      <x:c r="X723" s="47" t="n">
        <x:v>0</x:v>
      </x:c>
      <x:c r="Y723" s="41" t="n">
        <x:v>0</x:v>
      </x:c>
    </x:row>
    <x:row r="724">
      <x:c r="A724" s="38" t="str">
        <x:v>7月30日现场数据</x:v>
      </x:c>
      <x:c r="B724" s="66" t="str">
        <x:v>2026-08-02T01:42:54.102000</x:v>
      </x:c>
      <x:c r="C724" s="47" t="n">
        <x:v>300986</x:v>
      </x:c>
      <x:c r="D724" s="47" t="str"/>
      <x:c r="E724" s="47" t="str"/>
      <x:c r="F724" s="47" t="str">
        <x:v>current</x:v>
      </x:c>
      <x:c r="G724" s="47" t="n">
        <x:v>720</x:v>
      </x:c>
      <x:c r="H724" s="53" t="b">
        <x:v>1</x:v>
      </x:c>
      <x:c r="I724" s="47" t="str">
        <x:v>2682537910</x:v>
      </x:c>
      <x:c r="J724" s="47" t="n">
        <x:v>40031439</x:v>
      </x:c>
      <x:c r="K724" s="53" t="b">
        <x:v>1</x:v>
      </x:c>
      <x:c r="L724" s="53" t="b">
        <x:v>1</x:v>
      </x:c>
      <x:c r="M724" s="53" t="b">
        <x:v>1</x:v>
      </x:c>
      <x:c r="N724" s="53" t="b">
        <x:v>1</x:v>
      </x:c>
      <x:c r="O724" s="53" t="b">
        <x:v>1</x:v>
      </x:c>
      <x:c r="P724" s="47" t="n">
        <x:v>1009</x:v>
      </x:c>
      <x:c r="Q724" s="47" t="n">
        <x:v>0</x:v>
      </x:c>
      <x:c r="R724" s="47" t="n">
        <x:v>0</x:v>
      </x:c>
      <x:c r="S724" s="47" t="n">
        <x:v>28.94</x:v>
      </x:c>
      <x:c r="T724" s="47" t="n">
        <x:v>76.11</x:v>
      </x:c>
      <x:c r="U724" s="47" t="n">
        <x:v>29.1</x:v>
      </x:c>
      <x:c r="V724" s="47" t="n">
        <x:v>15.9</x:v>
      </x:c>
      <x:c r="W724" s="47" t="n">
        <x:v>0</x:v>
      </x:c>
      <x:c r="X724" s="47" t="n">
        <x:v>0</x:v>
      </x:c>
      <x:c r="Y724" s="41" t="n">
        <x:v>0</x:v>
      </x:c>
    </x:row>
    <x:row r="725">
      <x:c r="A725" s="38" t="str">
        <x:v>7月30日现场数据</x:v>
      </x:c>
      <x:c r="B725" s="66" t="str">
        <x:v>2026-08-02T01:47:55.088000</x:v>
      </x:c>
      <x:c r="C725" s="47" t="n">
        <x:v>300986</x:v>
      </x:c>
      <x:c r="D725" s="47" t="str"/>
      <x:c r="E725" s="47" t="str"/>
      <x:c r="F725" s="47" t="str">
        <x:v>current</x:v>
      </x:c>
      <x:c r="G725" s="47" t="n">
        <x:v>721</x:v>
      </x:c>
      <x:c r="H725" s="53" t="b">
        <x:v>1</x:v>
      </x:c>
      <x:c r="I725" s="47" t="str">
        <x:v>2682537910</x:v>
      </x:c>
      <x:c r="J725" s="47" t="n">
        <x:v>40332425</x:v>
      </x:c>
      <x:c r="K725" s="53" t="b">
        <x:v>1</x:v>
      </x:c>
      <x:c r="L725" s="53" t="b">
        <x:v>1</x:v>
      </x:c>
      <x:c r="M725" s="53" t="b">
        <x:v>1</x:v>
      </x:c>
      <x:c r="N725" s="53" t="b">
        <x:v>1</x:v>
      </x:c>
      <x:c r="O725" s="53" t="b">
        <x:v>1</x:v>
      </x:c>
      <x:c r="P725" s="47" t="n">
        <x:v>1009</x:v>
      </x:c>
      <x:c r="Q725" s="47" t="n">
        <x:v>0</x:v>
      </x:c>
      <x:c r="R725" s="47" t="n">
        <x:v>0</x:v>
      </x:c>
      <x:c r="S725" s="47" t="n">
        <x:v>28.92</x:v>
      </x:c>
      <x:c r="T725" s="47" t="n">
        <x:v>76.18</x:v>
      </x:c>
      <x:c r="U725" s="47" t="n">
        <x:v>29.1</x:v>
      </x:c>
      <x:c r="V725" s="47" t="n">
        <x:v>15.9</x:v>
      </x:c>
      <x:c r="W725" s="47" t="n">
        <x:v>0</x:v>
      </x:c>
      <x:c r="X725" s="47" t="n">
        <x:v>0</x:v>
      </x:c>
      <x:c r="Y725" s="41" t="n">
        <x:v>0</x:v>
      </x:c>
    </x:row>
    <x:row r="726">
      <x:c r="A726" s="38" t="str">
        <x:v>7月30日现场数据</x:v>
      </x:c>
      <x:c r="B726" s="66" t="str">
        <x:v>2026-08-02T01:52:56.091000</x:v>
      </x:c>
      <x:c r="C726" s="47" t="n">
        <x:v>301003</x:v>
      </x:c>
      <x:c r="D726" s="47" t="str"/>
      <x:c r="E726" s="47" t="str"/>
      <x:c r="F726" s="47" t="str">
        <x:v>current</x:v>
      </x:c>
      <x:c r="G726" s="47" t="n">
        <x:v>722</x:v>
      </x:c>
      <x:c r="H726" s="53" t="b">
        <x:v>1</x:v>
      </x:c>
      <x:c r="I726" s="47" t="str">
        <x:v>2682537910</x:v>
      </x:c>
      <x:c r="J726" s="47" t="n">
        <x:v>40633428</x:v>
      </x:c>
      <x:c r="K726" s="53" t="b">
        <x:v>1</x:v>
      </x:c>
      <x:c r="L726" s="53" t="b">
        <x:v>1</x:v>
      </x:c>
      <x:c r="M726" s="53" t="b">
        <x:v>1</x:v>
      </x:c>
      <x:c r="N726" s="53" t="b">
        <x:v>1</x:v>
      </x:c>
      <x:c r="O726" s="53" t="b">
        <x:v>1</x:v>
      </x:c>
      <x:c r="P726" s="47" t="n">
        <x:v>1009</x:v>
      </x:c>
      <x:c r="Q726" s="47" t="n">
        <x:v>0</x:v>
      </x:c>
      <x:c r="R726" s="47" t="n">
        <x:v>0</x:v>
      </x:c>
      <x:c r="S726" s="47" t="n">
        <x:v>28.94</x:v>
      </x:c>
      <x:c r="T726" s="47" t="n">
        <x:v>76.32</x:v>
      </x:c>
      <x:c r="U726" s="47" t="n">
        <x:v>29.1</x:v>
      </x:c>
      <x:c r="V726" s="47" t="n">
        <x:v>15.9</x:v>
      </x:c>
      <x:c r="W726" s="47" t="n">
        <x:v>0</x:v>
      </x:c>
      <x:c r="X726" s="47" t="n">
        <x:v>0</x:v>
      </x:c>
      <x:c r="Y726" s="41" t="n">
        <x:v>0</x:v>
      </x:c>
    </x:row>
    <x:row r="727">
      <x:c r="A727" s="38" t="str">
        <x:v>7月30日现场数据</x:v>
      </x:c>
      <x:c r="B727" s="66" t="str">
        <x:v>2026-08-02T01:57:57.066000</x:v>
      </x:c>
      <x:c r="C727" s="47" t="n">
        <x:v>300975</x:v>
      </x:c>
      <x:c r="D727" s="47" t="str"/>
      <x:c r="E727" s="47" t="str"/>
      <x:c r="F727" s="47" t="str">
        <x:v>current</x:v>
      </x:c>
      <x:c r="G727" s="47" t="n">
        <x:v>723</x:v>
      </x:c>
      <x:c r="H727" s="53" t="b">
        <x:v>1</x:v>
      </x:c>
      <x:c r="I727" s="47" t="str">
        <x:v>2682537910</x:v>
      </x:c>
      <x:c r="J727" s="47" t="n">
        <x:v>40934403</x:v>
      </x:c>
      <x:c r="K727" s="53" t="b">
        <x:v>1</x:v>
      </x:c>
      <x:c r="L727" s="53" t="b">
        <x:v>1</x:v>
      </x:c>
      <x:c r="M727" s="53" t="b">
        <x:v>1</x:v>
      </x:c>
      <x:c r="N727" s="53" t="b">
        <x:v>1</x:v>
      </x:c>
      <x:c r="O727" s="53" t="b">
        <x:v>1</x:v>
      </x:c>
      <x:c r="P727" s="47" t="n">
        <x:v>1009</x:v>
      </x:c>
      <x:c r="Q727" s="47" t="n">
        <x:v>0</x:v>
      </x:c>
      <x:c r="R727" s="47" t="n">
        <x:v>0</x:v>
      </x:c>
      <x:c r="S727" s="47" t="n">
        <x:v>28.93</x:v>
      </x:c>
      <x:c r="T727" s="47" t="n">
        <x:v>76.4</x:v>
      </x:c>
      <x:c r="U727" s="47" t="n">
        <x:v>29.1</x:v>
      </x:c>
      <x:c r="V727" s="47" t="n">
        <x:v>15.9</x:v>
      </x:c>
      <x:c r="W727" s="47" t="n">
        <x:v>0</x:v>
      </x:c>
      <x:c r="X727" s="47" t="n">
        <x:v>0</x:v>
      </x:c>
      <x:c r="Y727" s="41" t="n">
        <x:v>0</x:v>
      </x:c>
    </x:row>
    <x:row r="728">
      <x:c r="A728" s="38" t="str">
        <x:v>7月30日现场数据</x:v>
      </x:c>
      <x:c r="B728" s="66" t="str">
        <x:v>2026-08-02T02:02:58.045000</x:v>
      </x:c>
      <x:c r="C728" s="47" t="n">
        <x:v>300979</x:v>
      </x:c>
      <x:c r="D728" s="47" t="str"/>
      <x:c r="E728" s="47" t="str"/>
      <x:c r="F728" s="47" t="str">
        <x:v>current</x:v>
      </x:c>
      <x:c r="G728" s="47" t="n">
        <x:v>724</x:v>
      </x:c>
      <x:c r="H728" s="53" t="b">
        <x:v>1</x:v>
      </x:c>
      <x:c r="I728" s="47" t="str">
        <x:v>2682537910</x:v>
      </x:c>
      <x:c r="J728" s="47" t="n">
        <x:v>41235382</x:v>
      </x:c>
      <x:c r="K728" s="53" t="b">
        <x:v>1</x:v>
      </x:c>
      <x:c r="L728" s="53" t="b">
        <x:v>1</x:v>
      </x:c>
      <x:c r="M728" s="53" t="b">
        <x:v>1</x:v>
      </x:c>
      <x:c r="N728" s="53" t="b">
        <x:v>1</x:v>
      </x:c>
      <x:c r="O728" s="53" t="b">
        <x:v>1</x:v>
      </x:c>
      <x:c r="P728" s="47" t="n">
        <x:v>1009</x:v>
      </x:c>
      <x:c r="Q728" s="47" t="n">
        <x:v>0.013</x:v>
      </x:c>
      <x:c r="R728" s="47" t="n">
        <x:v>0.363</x:v>
      </x:c>
      <x:c r="S728" s="47" t="n">
        <x:v>28.93</x:v>
      </x:c>
      <x:c r="T728" s="47" t="n">
        <x:v>76.54</x:v>
      </x:c>
      <x:c r="U728" s="47" t="n">
        <x:v>29.1</x:v>
      </x:c>
      <x:c r="V728" s="47" t="n">
        <x:v>15.9</x:v>
      </x:c>
      <x:c r="W728" s="47" t="n">
        <x:v>0</x:v>
      </x:c>
      <x:c r="X728" s="47" t="n">
        <x:v>0</x:v>
      </x:c>
      <x:c r="Y728" s="41" t="n">
        <x:v>0</x:v>
      </x:c>
    </x:row>
    <x:row r="729">
      <x:c r="A729" s="38" t="str">
        <x:v>7月30日现场数据</x:v>
      </x:c>
      <x:c r="B729" s="66" t="str">
        <x:v>2026-08-02T02:07:59.027000</x:v>
      </x:c>
      <x:c r="C729" s="47" t="n">
        <x:v>300982</x:v>
      </x:c>
      <x:c r="D729" s="47" t="str"/>
      <x:c r="E729" s="47" t="str"/>
      <x:c r="F729" s="47" t="str">
        <x:v>current</x:v>
      </x:c>
      <x:c r="G729" s="47" t="n">
        <x:v>725</x:v>
      </x:c>
      <x:c r="H729" s="53" t="b">
        <x:v>1</x:v>
      </x:c>
      <x:c r="I729" s="47" t="str">
        <x:v>2682537910</x:v>
      </x:c>
      <x:c r="J729" s="47" t="n">
        <x:v>41536364</x:v>
      </x:c>
      <x:c r="K729" s="53" t="b">
        <x:v>1</x:v>
      </x:c>
      <x:c r="L729" s="53" t="b">
        <x:v>1</x:v>
      </x:c>
      <x:c r="M729" s="53" t="b">
        <x:v>1</x:v>
      </x:c>
      <x:c r="N729" s="53" t="b">
        <x:v>1</x:v>
      </x:c>
      <x:c r="O729" s="53" t="b">
        <x:v>1</x:v>
      </x:c>
      <x:c r="P729" s="47" t="n">
        <x:v>1009</x:v>
      </x:c>
      <x:c r="Q729" s="47" t="n">
        <x:v>0</x:v>
      </x:c>
      <x:c r="R729" s="47" t="n">
        <x:v>0</x:v>
      </x:c>
      <x:c r="S729" s="47" t="n">
        <x:v>29.11</x:v>
      </x:c>
      <x:c r="T729" s="47" t="n">
        <x:v>76.7</x:v>
      </x:c>
      <x:c r="U729" s="47" t="n">
        <x:v>29.1</x:v>
      </x:c>
      <x:c r="V729" s="47" t="n">
        <x:v>15.9</x:v>
      </x:c>
      <x:c r="W729" s="47" t="n">
        <x:v>0</x:v>
      </x:c>
      <x:c r="X729" s="47" t="n">
        <x:v>0</x:v>
      </x:c>
      <x:c r="Y729" s="41" t="n">
        <x:v>0</x:v>
      </x:c>
    </x:row>
    <x:row r="730">
      <x:c r="A730" s="38" t="str">
        <x:v>7月30日现场数据</x:v>
      </x:c>
      <x:c r="B730" s="66" t="str">
        <x:v>2026-08-02T02:13:00.042000</x:v>
      </x:c>
      <x:c r="C730" s="47" t="n">
        <x:v>301015</x:v>
      </x:c>
      <x:c r="D730" s="47" t="str"/>
      <x:c r="E730" s="47" t="str"/>
      <x:c r="F730" s="47" t="str">
        <x:v>current</x:v>
      </x:c>
      <x:c r="G730" s="47" t="n">
        <x:v>726</x:v>
      </x:c>
      <x:c r="H730" s="53" t="b">
        <x:v>1</x:v>
      </x:c>
      <x:c r="I730" s="47" t="str">
        <x:v>2682537910</x:v>
      </x:c>
      <x:c r="J730" s="47" t="n">
        <x:v>41837379</x:v>
      </x:c>
      <x:c r="K730" s="53" t="b">
        <x:v>1</x:v>
      </x:c>
      <x:c r="L730" s="53" t="b">
        <x:v>1</x:v>
      </x:c>
      <x:c r="M730" s="53" t="b">
        <x:v>1</x:v>
      </x:c>
      <x:c r="N730" s="53" t="b">
        <x:v>1</x:v>
      </x:c>
      <x:c r="O730" s="53" t="b">
        <x:v>1</x:v>
      </x:c>
      <x:c r="P730" s="47" t="n">
        <x:v>1009</x:v>
      </x:c>
      <x:c r="Q730" s="47" t="n">
        <x:v>0</x:v>
      </x:c>
      <x:c r="R730" s="47" t="n">
        <x:v>0</x:v>
      </x:c>
      <x:c r="S730" s="47" t="n">
        <x:v>29.33</x:v>
      </x:c>
      <x:c r="T730" s="47" t="n">
        <x:v>76.84</x:v>
      </x:c>
      <x:c r="U730" s="47" t="n">
        <x:v>29.1</x:v>
      </x:c>
      <x:c r="V730" s="47" t="n">
        <x:v>15.9</x:v>
      </x:c>
      <x:c r="W730" s="47" t="n">
        <x:v>0</x:v>
      </x:c>
      <x:c r="X730" s="47" t="n">
        <x:v>0</x:v>
      </x:c>
      <x:c r="Y730" s="41" t="n">
        <x:v>0</x:v>
      </x:c>
    </x:row>
    <x:row r="731">
      <x:c r="A731" s="38" t="str">
        <x:v>7月30日现场数据</x:v>
      </x:c>
      <x:c r="B731" s="66" t="str">
        <x:v>2026-08-02T02:18:01</x:v>
      </x:c>
      <x:c r="C731" s="47" t="n">
        <x:v>300958</x:v>
      </x:c>
      <x:c r="D731" s="47" t="str"/>
      <x:c r="E731" s="47" t="str"/>
      <x:c r="F731" s="47" t="str">
        <x:v>current</x:v>
      </x:c>
      <x:c r="G731" s="47" t="n">
        <x:v>727</x:v>
      </x:c>
      <x:c r="H731" s="53" t="b">
        <x:v>1</x:v>
      </x:c>
      <x:c r="I731" s="47" t="str">
        <x:v>2682537910</x:v>
      </x:c>
      <x:c r="J731" s="47" t="n">
        <x:v>42138337</x:v>
      </x:c>
      <x:c r="K731" s="53" t="b">
        <x:v>1</x:v>
      </x:c>
      <x:c r="L731" s="53" t="b">
        <x:v>1</x:v>
      </x:c>
      <x:c r="M731" s="53" t="b">
        <x:v>1</x:v>
      </x:c>
      <x:c r="N731" s="53" t="b">
        <x:v>1</x:v>
      </x:c>
      <x:c r="O731" s="53" t="b">
        <x:v>1</x:v>
      </x:c>
      <x:c r="P731" s="47" t="n">
        <x:v>1008</x:v>
      </x:c>
      <x:c r="Q731" s="47" t="n">
        <x:v>0</x:v>
      </x:c>
      <x:c r="R731" s="47" t="n">
        <x:v>0</x:v>
      </x:c>
      <x:c r="S731" s="47" t="n">
        <x:v>29.46</x:v>
      </x:c>
      <x:c r="T731" s="47" t="n">
        <x:v>77.02</x:v>
      </x:c>
      <x:c r="U731" s="47" t="n">
        <x:v>29.1</x:v>
      </x:c>
      <x:c r="V731" s="47" t="n">
        <x:v>15.9</x:v>
      </x:c>
      <x:c r="W731" s="47" t="n">
        <x:v>0</x:v>
      </x:c>
      <x:c r="X731" s="47" t="n">
        <x:v>0</x:v>
      </x:c>
      <x:c r="Y731" s="41" t="n">
        <x:v>0</x:v>
      </x:c>
    </x:row>
    <x:row r="732">
      <x:c r="A732" s="38" t="str">
        <x:v>7月30日现场数据</x:v>
      </x:c>
      <x:c r="B732" s="66" t="str">
        <x:v>2026-08-02T02:23:01.958000</x:v>
      </x:c>
      <x:c r="C732" s="47" t="n">
        <x:v>300958</x:v>
      </x:c>
      <x:c r="D732" s="47" t="str"/>
      <x:c r="E732" s="47" t="str"/>
      <x:c r="F732" s="47" t="str">
        <x:v>current</x:v>
      </x:c>
      <x:c r="G732" s="47" t="n">
        <x:v>728</x:v>
      </x:c>
      <x:c r="H732" s="53" t="b">
        <x:v>1</x:v>
      </x:c>
      <x:c r="I732" s="47" t="str">
        <x:v>2682537910</x:v>
      </x:c>
      <x:c r="J732" s="47" t="n">
        <x:v>42439295</x:v>
      </x:c>
      <x:c r="K732" s="53" t="b">
        <x:v>1</x:v>
      </x:c>
      <x:c r="L732" s="53" t="b">
        <x:v>1</x:v>
      </x:c>
      <x:c r="M732" s="53" t="b">
        <x:v>1</x:v>
      </x:c>
      <x:c r="N732" s="53" t="b">
        <x:v>1</x:v>
      </x:c>
      <x:c r="O732" s="53" t="b">
        <x:v>1</x:v>
      </x:c>
      <x:c r="P732" s="47" t="n">
        <x:v>1010</x:v>
      </x:c>
      <x:c r="Q732" s="47" t="n">
        <x:v>0</x:v>
      </x:c>
      <x:c r="R732" s="47" t="n">
        <x:v>0</x:v>
      </x:c>
      <x:c r="S732" s="47" t="n">
        <x:v>29.51</x:v>
      </x:c>
      <x:c r="T732" s="47" t="n">
        <x:v>77.2</x:v>
      </x:c>
      <x:c r="U732" s="47" t="n">
        <x:v>29.1</x:v>
      </x:c>
      <x:c r="V732" s="47" t="n">
        <x:v>15.9</x:v>
      </x:c>
      <x:c r="W732" s="47" t="n">
        <x:v>0</x:v>
      </x:c>
      <x:c r="X732" s="47" t="n">
        <x:v>0</x:v>
      </x:c>
      <x:c r="Y732" s="41" t="n">
        <x:v>0</x:v>
      </x:c>
    </x:row>
    <x:row r="733">
      <x:c r="A733" s="38" t="str">
        <x:v>7月30日现场数据</x:v>
      </x:c>
      <x:c r="B733" s="66" t="str">
        <x:v>2026-08-02T02:28:02.920000</x:v>
      </x:c>
      <x:c r="C733" s="47" t="n">
        <x:v>300962</x:v>
      </x:c>
      <x:c r="D733" s="47" t="str"/>
      <x:c r="E733" s="47" t="str"/>
      <x:c r="F733" s="47" t="str">
        <x:v>current</x:v>
      </x:c>
      <x:c r="G733" s="47" t="n">
        <x:v>729</x:v>
      </x:c>
      <x:c r="H733" s="53" t="b">
        <x:v>1</x:v>
      </x:c>
      <x:c r="I733" s="47" t="str">
        <x:v>2682537910</x:v>
      </x:c>
      <x:c r="J733" s="47" t="n">
        <x:v>42740257</x:v>
      </x:c>
      <x:c r="K733" s="53" t="b">
        <x:v>1</x:v>
      </x:c>
      <x:c r="L733" s="53" t="b">
        <x:v>1</x:v>
      </x:c>
      <x:c r="M733" s="53" t="b">
        <x:v>1</x:v>
      </x:c>
      <x:c r="N733" s="53" t="b">
        <x:v>1</x:v>
      </x:c>
      <x:c r="O733" s="53" t="b">
        <x:v>1</x:v>
      </x:c>
      <x:c r="P733" s="47" t="n">
        <x:v>1010</x:v>
      </x:c>
      <x:c r="Q733" s="47" t="n">
        <x:v>0</x:v>
      </x:c>
      <x:c r="R733" s="47" t="n">
        <x:v>0</x:v>
      </x:c>
      <x:c r="S733" s="47" t="n">
        <x:v>29.54</x:v>
      </x:c>
      <x:c r="T733" s="47" t="n">
        <x:v>77.27</x:v>
      </x:c>
      <x:c r="U733" s="47" t="n">
        <x:v>29.2</x:v>
      </x:c>
      <x:c r="V733" s="47" t="n">
        <x:v>15.9</x:v>
      </x:c>
      <x:c r="W733" s="47" t="n">
        <x:v>0</x:v>
      </x:c>
      <x:c r="X733" s="47" t="n">
        <x:v>0</x:v>
      </x:c>
      <x:c r="Y733" s="41" t="n">
        <x:v>0</x:v>
      </x:c>
    </x:row>
    <x:row r="734">
      <x:c r="A734" s="38" t="str">
        <x:v>7月30日现场数据</x:v>
      </x:c>
      <x:c r="B734" s="66" t="str">
        <x:v>2026-08-02T02:33:03.883000</x:v>
      </x:c>
      <x:c r="C734" s="47" t="n">
        <x:v>300963</x:v>
      </x:c>
      <x:c r="D734" s="47" t="str"/>
      <x:c r="E734" s="47" t="str"/>
      <x:c r="F734" s="47" t="str">
        <x:v>current</x:v>
      </x:c>
      <x:c r="G734" s="47" t="n">
        <x:v>730</x:v>
      </x:c>
      <x:c r="H734" s="53" t="b">
        <x:v>1</x:v>
      </x:c>
      <x:c r="I734" s="47" t="str">
        <x:v>2682537910</x:v>
      </x:c>
      <x:c r="J734" s="47" t="n">
        <x:v>43041220</x:v>
      </x:c>
      <x:c r="K734" s="53" t="b">
        <x:v>1</x:v>
      </x:c>
      <x:c r="L734" s="53" t="b">
        <x:v>1</x:v>
      </x:c>
      <x:c r="M734" s="53" t="b">
        <x:v>1</x:v>
      </x:c>
      <x:c r="N734" s="53" t="b">
        <x:v>1</x:v>
      </x:c>
      <x:c r="O734" s="53" t="b">
        <x:v>1</x:v>
      </x:c>
      <x:c r="P734" s="47" t="n">
        <x:v>1010</x:v>
      </x:c>
      <x:c r="Q734" s="47" t="n">
        <x:v>0</x:v>
      </x:c>
      <x:c r="R734" s="47" t="n">
        <x:v>0</x:v>
      </x:c>
      <x:c r="S734" s="47" t="n">
        <x:v>29.5</x:v>
      </x:c>
      <x:c r="T734" s="47" t="n">
        <x:v>77.44</x:v>
      </x:c>
      <x:c r="U734" s="47" t="n">
        <x:v>29.1</x:v>
      </x:c>
      <x:c r="V734" s="47" t="n">
        <x:v>15.9</x:v>
      </x:c>
      <x:c r="W734" s="47" t="n">
        <x:v>0</x:v>
      </x:c>
      <x:c r="X734" s="47" t="n">
        <x:v>0</x:v>
      </x:c>
      <x:c r="Y734" s="41" t="n">
        <x:v>0</x:v>
      </x:c>
    </x:row>
    <x:row r="735">
      <x:c r="A735" s="38" t="str">
        <x:v>7月30日现场数据</x:v>
      </x:c>
      <x:c r="B735" s="66" t="str">
        <x:v>2026-08-02T02:38:04.847000</x:v>
      </x:c>
      <x:c r="C735" s="47" t="n">
        <x:v>300964</x:v>
      </x:c>
      <x:c r="D735" s="47" t="str"/>
      <x:c r="E735" s="47" t="str"/>
      <x:c r="F735" s="47" t="str">
        <x:v>current</x:v>
      </x:c>
      <x:c r="G735" s="47" t="n">
        <x:v>731</x:v>
      </x:c>
      <x:c r="H735" s="53" t="b">
        <x:v>1</x:v>
      </x:c>
      <x:c r="I735" s="47" t="str">
        <x:v>2682537910</x:v>
      </x:c>
      <x:c r="J735" s="47" t="n">
        <x:v>43342184</x:v>
      </x:c>
      <x:c r="K735" s="53" t="b">
        <x:v>1</x:v>
      </x:c>
      <x:c r="L735" s="53" t="b">
        <x:v>1</x:v>
      </x:c>
      <x:c r="M735" s="53" t="b">
        <x:v>1</x:v>
      </x:c>
      <x:c r="N735" s="53" t="b">
        <x:v>1</x:v>
      </x:c>
      <x:c r="O735" s="53" t="b">
        <x:v>1</x:v>
      </x:c>
      <x:c r="P735" s="47" t="n">
        <x:v>1010</x:v>
      </x:c>
      <x:c r="Q735" s="47" t="n">
        <x:v>0</x:v>
      </x:c>
      <x:c r="R735" s="47" t="n">
        <x:v>0</x:v>
      </x:c>
      <x:c r="S735" s="47" t="n">
        <x:v>29.53</x:v>
      </x:c>
      <x:c r="T735" s="47" t="n">
        <x:v>77.51</x:v>
      </x:c>
      <x:c r="U735" s="47" t="n">
        <x:v>29.1</x:v>
      </x:c>
      <x:c r="V735" s="47" t="n">
        <x:v>15.9</x:v>
      </x:c>
      <x:c r="W735" s="47" t="n">
        <x:v>0</x:v>
      </x:c>
      <x:c r="X735" s="47" t="n">
        <x:v>0</x:v>
      </x:c>
      <x:c r="Y735" s="41" t="n">
        <x:v>0</x:v>
      </x:c>
    </x:row>
    <x:row r="736">
      <x:c r="A736" s="38" t="str">
        <x:v>7月30日现场数据</x:v>
      </x:c>
      <x:c r="B736" s="66" t="str">
        <x:v>2026-08-02T02:43:05.812000</x:v>
      </x:c>
      <x:c r="C736" s="47" t="n">
        <x:v>300965</x:v>
      </x:c>
      <x:c r="D736" s="47" t="str"/>
      <x:c r="E736" s="47" t="str"/>
      <x:c r="F736" s="47" t="str">
        <x:v>current</x:v>
      </x:c>
      <x:c r="G736" s="47" t="n">
        <x:v>732</x:v>
      </x:c>
      <x:c r="H736" s="53" t="b">
        <x:v>1</x:v>
      </x:c>
      <x:c r="I736" s="47" t="str">
        <x:v>2682537910</x:v>
      </x:c>
      <x:c r="J736" s="47" t="n">
        <x:v>43643149</x:v>
      </x:c>
      <x:c r="K736" s="53" t="b">
        <x:v>1</x:v>
      </x:c>
      <x:c r="L736" s="53" t="b">
        <x:v>1</x:v>
      </x:c>
      <x:c r="M736" s="53" t="b">
        <x:v>1</x:v>
      </x:c>
      <x:c r="N736" s="53" t="b">
        <x:v>1</x:v>
      </x:c>
      <x:c r="O736" s="53" t="b">
        <x:v>1</x:v>
      </x:c>
      <x:c r="P736" s="47" t="n">
        <x:v>1010</x:v>
      </x:c>
      <x:c r="Q736" s="47" t="n">
        <x:v>0</x:v>
      </x:c>
      <x:c r="R736" s="47" t="n">
        <x:v>0</x:v>
      </x:c>
      <x:c r="S736" s="47" t="n">
        <x:v>29.51</x:v>
      </x:c>
      <x:c r="T736" s="47" t="n">
        <x:v>77.62</x:v>
      </x:c>
      <x:c r="U736" s="47" t="n">
        <x:v>29.1</x:v>
      </x:c>
      <x:c r="V736" s="47" t="n">
        <x:v>15.9</x:v>
      </x:c>
      <x:c r="W736" s="47" t="n">
        <x:v>0</x:v>
      </x:c>
      <x:c r="X736" s="47" t="n">
        <x:v>0</x:v>
      </x:c>
      <x:c r="Y736" s="41" t="n">
        <x:v>0</x:v>
      </x:c>
    </x:row>
    <x:row r="737">
      <x:c r="A737" s="38" t="str">
        <x:v>7月30日现场数据</x:v>
      </x:c>
      <x:c r="B737" s="66" t="str">
        <x:v>2026-08-02T02:48:06.780000</x:v>
      </x:c>
      <x:c r="C737" s="47" t="n">
        <x:v>300968</x:v>
      </x:c>
      <x:c r="D737" s="47" t="str"/>
      <x:c r="E737" s="47" t="str"/>
      <x:c r="F737" s="47" t="str">
        <x:v>current</x:v>
      </x:c>
      <x:c r="G737" s="47" t="n">
        <x:v>733</x:v>
      </x:c>
      <x:c r="H737" s="53" t="b">
        <x:v>1</x:v>
      </x:c>
      <x:c r="I737" s="47" t="str">
        <x:v>2682537910</x:v>
      </x:c>
      <x:c r="J737" s="47" t="n">
        <x:v>43944117</x:v>
      </x:c>
      <x:c r="K737" s="53" t="b">
        <x:v>1</x:v>
      </x:c>
      <x:c r="L737" s="53" t="b">
        <x:v>1</x:v>
      </x:c>
      <x:c r="M737" s="53" t="b">
        <x:v>1</x:v>
      </x:c>
      <x:c r="N737" s="53" t="b">
        <x:v>1</x:v>
      </x:c>
      <x:c r="O737" s="53" t="b">
        <x:v>1</x:v>
      </x:c>
      <x:c r="P737" s="47" t="n">
        <x:v>1010</x:v>
      </x:c>
      <x:c r="Q737" s="47" t="n">
        <x:v>0</x:v>
      </x:c>
      <x:c r="R737" s="47" t="n">
        <x:v>0</x:v>
      </x:c>
      <x:c r="S737" s="47" t="n">
        <x:v>29.54</x:v>
      </x:c>
      <x:c r="T737" s="47" t="n">
        <x:v>77.74</x:v>
      </x:c>
      <x:c r="U737" s="47" t="n">
        <x:v>29.2</x:v>
      </x:c>
      <x:c r="V737" s="47" t="n">
        <x:v>15.9</x:v>
      </x:c>
      <x:c r="W737" s="47" t="n">
        <x:v>0</x:v>
      </x:c>
      <x:c r="X737" s="47" t="n">
        <x:v>0</x:v>
      </x:c>
      <x:c r="Y737" s="41" t="n">
        <x:v>0</x:v>
      </x:c>
    </x:row>
    <x:row r="738">
      <x:c r="A738" s="38" t="str">
        <x:v>7月30日现场数据</x:v>
      </x:c>
      <x:c r="B738" s="66" t="str">
        <x:v>2026-08-02T02:53:07.749000</x:v>
      </x:c>
      <x:c r="C738" s="47" t="n">
        <x:v>300969</x:v>
      </x:c>
      <x:c r="D738" s="47" t="str"/>
      <x:c r="E738" s="47" t="str"/>
      <x:c r="F738" s="47" t="str">
        <x:v>current</x:v>
      </x:c>
      <x:c r="G738" s="47" t="n">
        <x:v>734</x:v>
      </x:c>
      <x:c r="H738" s="53" t="b">
        <x:v>1</x:v>
      </x:c>
      <x:c r="I738" s="47" t="str">
        <x:v>2682537910</x:v>
      </x:c>
      <x:c r="J738" s="47" t="n">
        <x:v>44245086</x:v>
      </x:c>
      <x:c r="K738" s="53" t="b">
        <x:v>1</x:v>
      </x:c>
      <x:c r="L738" s="53" t="b">
        <x:v>1</x:v>
      </x:c>
      <x:c r="M738" s="53" t="b">
        <x:v>1</x:v>
      </x:c>
      <x:c r="N738" s="53" t="b">
        <x:v>1</x:v>
      </x:c>
      <x:c r="O738" s="53" t="b">
        <x:v>1</x:v>
      </x:c>
      <x:c r="P738" s="47" t="n">
        <x:v>1010</x:v>
      </x:c>
      <x:c r="Q738" s="47" t="n">
        <x:v>0.026</x:v>
      </x:c>
      <x:c r="R738" s="47" t="n">
        <x:v>0.692</x:v>
      </x:c>
      <x:c r="S738" s="47" t="n">
        <x:v>29.52</x:v>
      </x:c>
      <x:c r="T738" s="47" t="n">
        <x:v>77.83</x:v>
      </x:c>
      <x:c r="U738" s="47" t="n">
        <x:v>29.2</x:v>
      </x:c>
      <x:c r="V738" s="47" t="n">
        <x:v>15.9</x:v>
      </x:c>
      <x:c r="W738" s="47" t="n">
        <x:v>0</x:v>
      </x:c>
      <x:c r="X738" s="47" t="n">
        <x:v>0</x:v>
      </x:c>
      <x:c r="Y738" s="41" t="n">
        <x:v>0</x:v>
      </x:c>
    </x:row>
    <x:row r="739">
      <x:c r="A739" s="38" t="str">
        <x:v>7月30日现场数据</x:v>
      </x:c>
      <x:c r="B739" s="66" t="str">
        <x:v>2026-08-02T02:58:25.412000</x:v>
      </x:c>
      <x:c r="C739" s="47" t="n">
        <x:v>317663</x:v>
      </x:c>
      <x:c r="D739" s="47" t="str"/>
      <x:c r="E739" s="47" t="str"/>
      <x:c r="F739" s="47" t="str">
        <x:v>current</x:v>
      </x:c>
      <x:c r="G739" s="47" t="n">
        <x:v>735</x:v>
      </x:c>
      <x:c r="H739" s="53" t="b">
        <x:v>1</x:v>
      </x:c>
      <x:c r="I739" s="47" t="str">
        <x:v>2682537910</x:v>
      </x:c>
      <x:c r="J739" s="47" t="n">
        <x:v>44562749</x:v>
      </x:c>
      <x:c r="K739" s="53" t="b">
        <x:v>1</x:v>
      </x:c>
      <x:c r="L739" s="53" t="b">
        <x:v>1</x:v>
      </x:c>
      <x:c r="M739" s="53" t="b">
        <x:v>1</x:v>
      </x:c>
      <x:c r="N739" s="53" t="b">
        <x:v>1</x:v>
      </x:c>
      <x:c r="O739" s="53" t="b">
        <x:v>1</x:v>
      </x:c>
      <x:c r="P739" s="47" t="n">
        <x:v>1010</x:v>
      </x:c>
      <x:c r="Q739" s="47" t="n">
        <x:v>0</x:v>
      </x:c>
      <x:c r="R739" s="47" t="n">
        <x:v>0</x:v>
      </x:c>
      <x:c r="S739" s="47" t="n">
        <x:v>29.48</x:v>
      </x:c>
      <x:c r="T739" s="47" t="n">
        <x:v>77.96</x:v>
      </x:c>
      <x:c r="U739" s="47" t="n">
        <x:v>29.2</x:v>
      </x:c>
      <x:c r="V739" s="47" t="n">
        <x:v>15.9</x:v>
      </x:c>
      <x:c r="W739" s="47" t="n">
        <x:v>0</x:v>
      </x:c>
      <x:c r="X739" s="47" t="n">
        <x:v>0</x:v>
      </x:c>
      <x:c r="Y739" s="41" t="n">
        <x:v>0</x:v>
      </x:c>
    </x:row>
    <x:row r="740">
      <x:c r="A740" s="38" t="str">
        <x:v>7月30日现场数据</x:v>
      </x:c>
      <x:c r="B740" s="66" t="str">
        <x:v>2026-08-02T03:03:26.385000</x:v>
      </x:c>
      <x:c r="C740" s="47" t="n">
        <x:v>300973</x:v>
      </x:c>
      <x:c r="D740" s="47" t="str"/>
      <x:c r="E740" s="47" t="str"/>
      <x:c r="F740" s="47" t="str">
        <x:v>current</x:v>
      </x:c>
      <x:c r="G740" s="47" t="n">
        <x:v>736</x:v>
      </x:c>
      <x:c r="H740" s="53" t="b">
        <x:v>1</x:v>
      </x:c>
      <x:c r="I740" s="47" t="str">
        <x:v>2682537910</x:v>
      </x:c>
      <x:c r="J740" s="47" t="n">
        <x:v>44863722</x:v>
      </x:c>
      <x:c r="K740" s="53" t="b">
        <x:v>1</x:v>
      </x:c>
      <x:c r="L740" s="53" t="b">
        <x:v>1</x:v>
      </x:c>
      <x:c r="M740" s="53" t="b">
        <x:v>1</x:v>
      </x:c>
      <x:c r="N740" s="53" t="b">
        <x:v>1</x:v>
      </x:c>
      <x:c r="O740" s="53" t="b">
        <x:v>1</x:v>
      </x:c>
      <x:c r="P740" s="47" t="n">
        <x:v>1010</x:v>
      </x:c>
      <x:c r="Q740" s="47" t="n">
        <x:v>0</x:v>
      </x:c>
      <x:c r="R740" s="47" t="n">
        <x:v>0</x:v>
      </x:c>
      <x:c r="S740" s="47" t="n">
        <x:v>29.5</x:v>
      </x:c>
      <x:c r="T740" s="47" t="n">
        <x:v>78.08</x:v>
      </x:c>
      <x:c r="U740" s="47" t="n">
        <x:v>29.2</x:v>
      </x:c>
      <x:c r="V740" s="47" t="n">
        <x:v>15.9</x:v>
      </x:c>
      <x:c r="W740" s="47" t="n">
        <x:v>0</x:v>
      </x:c>
      <x:c r="X740" s="47" t="n">
        <x:v>0</x:v>
      </x:c>
      <x:c r="Y740" s="41" t="n">
        <x:v>0</x:v>
      </x:c>
    </x:row>
    <x:row r="741">
      <x:c r="A741" s="38" t="str">
        <x:v>7月30日现场数据</x:v>
      </x:c>
      <x:c r="B741" s="66" t="str">
        <x:v>2026-08-02T03:08:27.360000</x:v>
      </x:c>
      <x:c r="C741" s="47" t="n">
        <x:v>300975</x:v>
      </x:c>
      <x:c r="D741" s="47" t="str"/>
      <x:c r="E741" s="47" t="str"/>
      <x:c r="F741" s="47" t="str">
        <x:v>current</x:v>
      </x:c>
      <x:c r="G741" s="47" t="n">
        <x:v>737</x:v>
      </x:c>
      <x:c r="H741" s="53" t="b">
        <x:v>1</x:v>
      </x:c>
      <x:c r="I741" s="47" t="str">
        <x:v>2682537910</x:v>
      </x:c>
      <x:c r="J741" s="47" t="n">
        <x:v>45164697</x:v>
      </x:c>
      <x:c r="K741" s="53" t="b">
        <x:v>1</x:v>
      </x:c>
      <x:c r="L741" s="53" t="b">
        <x:v>1</x:v>
      </x:c>
      <x:c r="M741" s="53" t="b">
        <x:v>1</x:v>
      </x:c>
      <x:c r="N741" s="53" t="b">
        <x:v>1</x:v>
      </x:c>
      <x:c r="O741" s="53" t="b">
        <x:v>1</x:v>
      </x:c>
      <x:c r="P741" s="47" t="n">
        <x:v>1010</x:v>
      </x:c>
      <x:c r="Q741" s="47" t="n">
        <x:v>0</x:v>
      </x:c>
      <x:c r="R741" s="47" t="n">
        <x:v>0</x:v>
      </x:c>
      <x:c r="S741" s="47" t="n">
        <x:v>29.46</x:v>
      </x:c>
      <x:c r="T741" s="47" t="n">
        <x:v>78.17</x:v>
      </x:c>
      <x:c r="U741" s="47" t="n">
        <x:v>29.2</x:v>
      </x:c>
      <x:c r="V741" s="47" t="n">
        <x:v>15.9</x:v>
      </x:c>
      <x:c r="W741" s="47" t="n">
        <x:v>0</x:v>
      </x:c>
      <x:c r="X741" s="47" t="n">
        <x:v>0</x:v>
      </x:c>
      <x:c r="Y741" s="41" t="n">
        <x:v>0</x:v>
      </x:c>
    </x:row>
    <x:row r="742">
      <x:c r="A742" s="38" t="str">
        <x:v>7月30日现场数据</x:v>
      </x:c>
      <x:c r="B742" s="66" t="str">
        <x:v>2026-08-02T03:13:28.336000</x:v>
      </x:c>
      <x:c r="C742" s="47" t="n">
        <x:v>300976</x:v>
      </x:c>
      <x:c r="D742" s="47" t="str"/>
      <x:c r="E742" s="47" t="str"/>
      <x:c r="F742" s="47" t="str">
        <x:v>current</x:v>
      </x:c>
      <x:c r="G742" s="47" t="n">
        <x:v>738</x:v>
      </x:c>
      <x:c r="H742" s="53" t="b">
        <x:v>1</x:v>
      </x:c>
      <x:c r="I742" s="47" t="str">
        <x:v>2682537910</x:v>
      </x:c>
      <x:c r="J742" s="47" t="n">
        <x:v>45465673</x:v>
      </x:c>
      <x:c r="K742" s="53" t="b">
        <x:v>1</x:v>
      </x:c>
      <x:c r="L742" s="53" t="b">
        <x:v>1</x:v>
      </x:c>
      <x:c r="M742" s="53" t="b">
        <x:v>1</x:v>
      </x:c>
      <x:c r="N742" s="53" t="b">
        <x:v>1</x:v>
      </x:c>
      <x:c r="O742" s="53" t="b">
        <x:v>1</x:v>
      </x:c>
      <x:c r="P742" s="47" t="n">
        <x:v>1010</x:v>
      </x:c>
      <x:c r="Q742" s="47" t="n">
        <x:v>0.057</x:v>
      </x:c>
      <x:c r="R742" s="47" t="n">
        <x:v>1.549</x:v>
      </x:c>
      <x:c r="S742" s="47" t="n">
        <x:v>29.45</x:v>
      </x:c>
      <x:c r="T742" s="47" t="n">
        <x:v>78.25</x:v>
      </x:c>
      <x:c r="U742" s="47" t="n">
        <x:v>29.1</x:v>
      </x:c>
      <x:c r="V742" s="47" t="n">
        <x:v>15.9</x:v>
      </x:c>
      <x:c r="W742" s="47" t="n">
        <x:v>0</x:v>
      </x:c>
      <x:c r="X742" s="47" t="n">
        <x:v>0</x:v>
      </x:c>
      <x:c r="Y742" s="41" t="n">
        <x:v>0</x:v>
      </x:c>
    </x:row>
    <x:row r="743">
      <x:c r="A743" s="38" t="str">
        <x:v>7月30日现场数据</x:v>
      </x:c>
      <x:c r="B743" s="66" t="str">
        <x:v>2026-08-02T03:18:29.316000</x:v>
      </x:c>
      <x:c r="C743" s="47" t="n">
        <x:v>300980</x:v>
      </x:c>
      <x:c r="D743" s="47" t="str"/>
      <x:c r="E743" s="47" t="str"/>
      <x:c r="F743" s="47" t="str">
        <x:v>current</x:v>
      </x:c>
      <x:c r="G743" s="47" t="n">
        <x:v>739</x:v>
      </x:c>
      <x:c r="H743" s="53" t="b">
        <x:v>1</x:v>
      </x:c>
      <x:c r="I743" s="47" t="str">
        <x:v>2682537910</x:v>
      </x:c>
      <x:c r="J743" s="47" t="n">
        <x:v>45766653</x:v>
      </x:c>
      <x:c r="K743" s="53" t="b">
        <x:v>1</x:v>
      </x:c>
      <x:c r="L743" s="53" t="b">
        <x:v>1</x:v>
      </x:c>
      <x:c r="M743" s="53" t="b">
        <x:v>1</x:v>
      </x:c>
      <x:c r="N743" s="53" t="b">
        <x:v>1</x:v>
      </x:c>
      <x:c r="O743" s="53" t="b">
        <x:v>1</x:v>
      </x:c>
      <x:c r="P743" s="47" t="n">
        <x:v>1010</x:v>
      </x:c>
      <x:c r="Q743" s="47" t="n">
        <x:v>0</x:v>
      </x:c>
      <x:c r="R743" s="47" t="n">
        <x:v>0</x:v>
      </x:c>
      <x:c r="S743" s="47" t="n">
        <x:v>29.42</x:v>
      </x:c>
      <x:c r="T743" s="47" t="n">
        <x:v>78.39</x:v>
      </x:c>
      <x:c r="U743" s="47" t="n">
        <x:v>29.1</x:v>
      </x:c>
      <x:c r="V743" s="47" t="n">
        <x:v>15.9</x:v>
      </x:c>
      <x:c r="W743" s="47" t="n">
        <x:v>0</x:v>
      </x:c>
      <x:c r="X743" s="47" t="n">
        <x:v>0</x:v>
      </x:c>
      <x:c r="Y743" s="41" t="n">
        <x:v>0</x:v>
      </x:c>
    </x:row>
    <x:row r="744">
      <x:c r="A744" s="38" t="str">
        <x:v>7月30日现场数据</x:v>
      </x:c>
      <x:c r="B744" s="66" t="str">
        <x:v>2026-08-02T03:23:30.296000</x:v>
      </x:c>
      <x:c r="C744" s="47" t="n">
        <x:v>300980</x:v>
      </x:c>
      <x:c r="D744" s="47" t="str"/>
      <x:c r="E744" s="47" t="str"/>
      <x:c r="F744" s="47" t="str">
        <x:v>current</x:v>
      </x:c>
      <x:c r="G744" s="47" t="n">
        <x:v>740</x:v>
      </x:c>
      <x:c r="H744" s="53" t="b">
        <x:v>1</x:v>
      </x:c>
      <x:c r="I744" s="47" t="str">
        <x:v>2682537910</x:v>
      </x:c>
      <x:c r="J744" s="47" t="n">
        <x:v>46067633</x:v>
      </x:c>
      <x:c r="K744" s="53" t="b">
        <x:v>1</x:v>
      </x:c>
      <x:c r="L744" s="53" t="b">
        <x:v>1</x:v>
      </x:c>
      <x:c r="M744" s="53" t="b">
        <x:v>1</x:v>
      </x:c>
      <x:c r="N744" s="53" t="b">
        <x:v>1</x:v>
      </x:c>
      <x:c r="O744" s="53" t="b">
        <x:v>1</x:v>
      </x:c>
      <x:c r="P744" s="47" t="n">
        <x:v>1010</x:v>
      </x:c>
      <x:c r="Q744" s="47" t="n">
        <x:v>0</x:v>
      </x:c>
      <x:c r="R744" s="47" t="n">
        <x:v>0</x:v>
      </x:c>
      <x:c r="S744" s="47" t="n">
        <x:v>29.35</x:v>
      </x:c>
      <x:c r="T744" s="47" t="n">
        <x:v>78.45</x:v>
      </x:c>
      <x:c r="U744" s="47" t="n">
        <x:v>29.2</x:v>
      </x:c>
      <x:c r="V744" s="47" t="n">
        <x:v>15.9</x:v>
      </x:c>
      <x:c r="W744" s="47" t="n">
        <x:v>0</x:v>
      </x:c>
      <x:c r="X744" s="47" t="n">
        <x:v>0</x:v>
      </x:c>
      <x:c r="Y744" s="41" t="n">
        <x:v>0</x:v>
      </x:c>
    </x:row>
    <x:row r="745">
      <x:c r="A745" s="38" t="str">
        <x:v>7月30日现场数据</x:v>
      </x:c>
      <x:c r="B745" s="66" t="str">
        <x:v>2026-08-02T03:28:31.280000</x:v>
      </x:c>
      <x:c r="C745" s="47" t="n">
        <x:v>300984</x:v>
      </x:c>
      <x:c r="D745" s="47" t="str"/>
      <x:c r="E745" s="47" t="str"/>
      <x:c r="F745" s="47" t="str">
        <x:v>current</x:v>
      </x:c>
      <x:c r="G745" s="47" t="n">
        <x:v>741</x:v>
      </x:c>
      <x:c r="H745" s="53" t="b">
        <x:v>1</x:v>
      </x:c>
      <x:c r="I745" s="47" t="str">
        <x:v>2682537910</x:v>
      </x:c>
      <x:c r="J745" s="47" t="n">
        <x:v>46368617</x:v>
      </x:c>
      <x:c r="K745" s="53" t="b">
        <x:v>1</x:v>
      </x:c>
      <x:c r="L745" s="53" t="b">
        <x:v>1</x:v>
      </x:c>
      <x:c r="M745" s="53" t="b">
        <x:v>1</x:v>
      </x:c>
      <x:c r="N745" s="53" t="b">
        <x:v>1</x:v>
      </x:c>
      <x:c r="O745" s="53" t="b">
        <x:v>1</x:v>
      </x:c>
      <x:c r="P745" s="47" t="n">
        <x:v>1010</x:v>
      </x:c>
      <x:c r="Q745" s="47" t="n">
        <x:v>0</x:v>
      </x:c>
      <x:c r="R745" s="47" t="n">
        <x:v>0</x:v>
      </x:c>
      <x:c r="S745" s="47" t="n">
        <x:v>29.3</x:v>
      </x:c>
      <x:c r="T745" s="47" t="n">
        <x:v>78.57</x:v>
      </x:c>
      <x:c r="U745" s="47" t="n">
        <x:v>29.2</x:v>
      </x:c>
      <x:c r="V745" s="47" t="n">
        <x:v>15.9</x:v>
      </x:c>
      <x:c r="W745" s="47" t="n">
        <x:v>0</x:v>
      </x:c>
      <x:c r="X745" s="47" t="n">
        <x:v>0</x:v>
      </x:c>
      <x:c r="Y745" s="41" t="n">
        <x:v>0</x:v>
      </x:c>
    </x:row>
    <x:row r="746">
      <x:c r="A746" s="38" t="str">
        <x:v>7月30日现场数据</x:v>
      </x:c>
      <x:c r="B746" s="66" t="str">
        <x:v>2026-08-02T03:33:32.296000</x:v>
      </x:c>
      <x:c r="C746" s="47" t="n">
        <x:v>301016</x:v>
      </x:c>
      <x:c r="D746" s="47" t="str"/>
      <x:c r="E746" s="47" t="str"/>
      <x:c r="F746" s="47" t="str">
        <x:v>current</x:v>
      </x:c>
      <x:c r="G746" s="47" t="n">
        <x:v>742</x:v>
      </x:c>
      <x:c r="H746" s="53" t="b">
        <x:v>1</x:v>
      </x:c>
      <x:c r="I746" s="47" t="str">
        <x:v>2682537910</x:v>
      </x:c>
      <x:c r="J746" s="47" t="n">
        <x:v>46669633</x:v>
      </x:c>
      <x:c r="K746" s="53" t="b">
        <x:v>1</x:v>
      </x:c>
      <x:c r="L746" s="53" t="b">
        <x:v>1</x:v>
      </x:c>
      <x:c r="M746" s="53" t="b">
        <x:v>1</x:v>
      </x:c>
      <x:c r="N746" s="53" t="b">
        <x:v>1</x:v>
      </x:c>
      <x:c r="O746" s="53" t="b">
        <x:v>1</x:v>
      </x:c>
      <x:c r="P746" s="47" t="n">
        <x:v>1010</x:v>
      </x:c>
      <x:c r="Q746" s="47" t="n">
        <x:v>0</x:v>
      </x:c>
      <x:c r="R746" s="47" t="n">
        <x:v>0</x:v>
      </x:c>
      <x:c r="S746" s="47" t="n">
        <x:v>29.28</x:v>
      </x:c>
      <x:c r="T746" s="47" t="n">
        <x:v>78.6</x:v>
      </x:c>
      <x:c r="U746" s="47" t="n">
        <x:v>29.2</x:v>
      </x:c>
      <x:c r="V746" s="47" t="n">
        <x:v>15.9</x:v>
      </x:c>
      <x:c r="W746" s="47" t="n">
        <x:v>0</x:v>
      </x:c>
      <x:c r="X746" s="47" t="n">
        <x:v>0</x:v>
      </x:c>
      <x:c r="Y746" s="41" t="n">
        <x:v>0</x:v>
      </x:c>
    </x:row>
    <x:row r="747">
      <x:c r="A747" s="38" t="str">
        <x:v>7月30日现场数据</x:v>
      </x:c>
      <x:c r="B747" s="66" t="str">
        <x:v>2026-08-02T03:38:33.254000</x:v>
      </x:c>
      <x:c r="C747" s="47" t="n">
        <x:v>300958</x:v>
      </x:c>
      <x:c r="D747" s="47" t="str"/>
      <x:c r="E747" s="47" t="str"/>
      <x:c r="F747" s="47" t="str">
        <x:v>current</x:v>
      </x:c>
      <x:c r="G747" s="47" t="n">
        <x:v>743</x:v>
      </x:c>
      <x:c r="H747" s="53" t="b">
        <x:v>1</x:v>
      </x:c>
      <x:c r="I747" s="47" t="str">
        <x:v>2682537910</x:v>
      </x:c>
      <x:c r="J747" s="47" t="n">
        <x:v>46970591</x:v>
      </x:c>
      <x:c r="K747" s="53" t="b">
        <x:v>1</x:v>
      </x:c>
      <x:c r="L747" s="53" t="b">
        <x:v>1</x:v>
      </x:c>
      <x:c r="M747" s="53" t="b">
        <x:v>1</x:v>
      </x:c>
      <x:c r="N747" s="53" t="b">
        <x:v>1</x:v>
      </x:c>
      <x:c r="O747" s="53" t="b">
        <x:v>1</x:v>
      </x:c>
      <x:c r="P747" s="47" t="n">
        <x:v>1010</x:v>
      </x:c>
      <x:c r="Q747" s="47" t="n">
        <x:v>0</x:v>
      </x:c>
      <x:c r="R747" s="47" t="n">
        <x:v>0</x:v>
      </x:c>
      <x:c r="S747" s="47" t="n">
        <x:v>29.24</x:v>
      </x:c>
      <x:c r="T747" s="47" t="n">
        <x:v>78.72</x:v>
      </x:c>
      <x:c r="U747" s="47" t="n">
        <x:v>29.2</x:v>
      </x:c>
      <x:c r="V747" s="47" t="n">
        <x:v>15.9</x:v>
      </x:c>
      <x:c r="W747" s="47" t="n">
        <x:v>0</x:v>
      </x:c>
      <x:c r="X747" s="47" t="n">
        <x:v>0</x:v>
      </x:c>
      <x:c r="Y747" s="41" t="n">
        <x:v>0</x:v>
      </x:c>
    </x:row>
    <x:row r="748">
      <x:c r="A748" s="38" t="str">
        <x:v>7月30日现场数据</x:v>
      </x:c>
      <x:c r="B748" s="66" t="str">
        <x:v>2026-08-02T03:43:34.216000</x:v>
      </x:c>
      <x:c r="C748" s="47" t="n">
        <x:v>300962</x:v>
      </x:c>
      <x:c r="D748" s="47" t="str"/>
      <x:c r="E748" s="47" t="str"/>
      <x:c r="F748" s="47" t="str">
        <x:v>current</x:v>
      </x:c>
      <x:c r="G748" s="47" t="n">
        <x:v>744</x:v>
      </x:c>
      <x:c r="H748" s="53" t="b">
        <x:v>1</x:v>
      </x:c>
      <x:c r="I748" s="47" t="str">
        <x:v>2682537910</x:v>
      </x:c>
      <x:c r="J748" s="47" t="n">
        <x:v>47271553</x:v>
      </x:c>
      <x:c r="K748" s="53" t="b">
        <x:v>1</x:v>
      </x:c>
      <x:c r="L748" s="53" t="b">
        <x:v>1</x:v>
      </x:c>
      <x:c r="M748" s="53" t="b">
        <x:v>1</x:v>
      </x:c>
      <x:c r="N748" s="53" t="b">
        <x:v>1</x:v>
      </x:c>
      <x:c r="O748" s="53" t="b">
        <x:v>1</x:v>
      </x:c>
      <x:c r="P748" s="47" t="n">
        <x:v>1010</x:v>
      </x:c>
      <x:c r="Q748" s="47" t="n">
        <x:v>0</x:v>
      </x:c>
      <x:c r="R748" s="47" t="n">
        <x:v>0</x:v>
      </x:c>
      <x:c r="S748" s="47" t="n">
        <x:v>29.21</x:v>
      </x:c>
      <x:c r="T748" s="47" t="n">
        <x:v>78.8</x:v>
      </x:c>
      <x:c r="U748" s="47" t="n">
        <x:v>29.1</x:v>
      </x:c>
      <x:c r="V748" s="47" t="n">
        <x:v>15.8</x:v>
      </x:c>
      <x:c r="W748" s="47" t="n">
        <x:v>0</x:v>
      </x:c>
      <x:c r="X748" s="47" t="n">
        <x:v>0</x:v>
      </x:c>
      <x:c r="Y748" s="41" t="n">
        <x:v>0</x:v>
      </x:c>
    </x:row>
    <x:row r="749">
      <x:c r="A749" s="38" t="str">
        <x:v>7月30日现场数据</x:v>
      </x:c>
      <x:c r="B749" s="66" t="str">
        <x:v>2026-08-02T03:48:35.179000</x:v>
      </x:c>
      <x:c r="C749" s="47" t="n">
        <x:v>300963</x:v>
      </x:c>
      <x:c r="D749" s="47" t="str"/>
      <x:c r="E749" s="47" t="str"/>
      <x:c r="F749" s="47" t="str">
        <x:v>current</x:v>
      </x:c>
      <x:c r="G749" s="47" t="n">
        <x:v>745</x:v>
      </x:c>
      <x:c r="H749" s="53" t="b">
        <x:v>1</x:v>
      </x:c>
      <x:c r="I749" s="47" t="str">
        <x:v>2682537910</x:v>
      </x:c>
      <x:c r="J749" s="47" t="n">
        <x:v>47572516</x:v>
      </x:c>
      <x:c r="K749" s="53" t="b">
        <x:v>1</x:v>
      </x:c>
      <x:c r="L749" s="53" t="b">
        <x:v>1</x:v>
      </x:c>
      <x:c r="M749" s="53" t="b">
        <x:v>1</x:v>
      </x:c>
      <x:c r="N749" s="53" t="b">
        <x:v>1</x:v>
      </x:c>
      <x:c r="O749" s="53" t="b">
        <x:v>1</x:v>
      </x:c>
      <x:c r="P749" s="47" t="n">
        <x:v>1010</x:v>
      </x:c>
      <x:c r="Q749" s="47" t="n">
        <x:v>0.004</x:v>
      </x:c>
      <x:c r="R749" s="47" t="n">
        <x:v>0.099</x:v>
      </x:c>
      <x:c r="S749" s="47" t="n">
        <x:v>29.14</x:v>
      </x:c>
      <x:c r="T749" s="47" t="n">
        <x:v>78.83</x:v>
      </x:c>
      <x:c r="U749" s="47" t="n">
        <x:v>29.1</x:v>
      </x:c>
      <x:c r="V749" s="47" t="n">
        <x:v>15.9</x:v>
      </x:c>
      <x:c r="W749" s="47" t="n">
        <x:v>0</x:v>
      </x:c>
      <x:c r="X749" s="47" t="n">
        <x:v>0</x:v>
      </x:c>
      <x:c r="Y749" s="41" t="n">
        <x:v>0</x:v>
      </x:c>
    </x:row>
    <x:row r="750">
      <x:c r="A750" s="38" t="str">
        <x:v>7月30日现场数据</x:v>
      </x:c>
      <x:c r="B750" s="66" t="str">
        <x:v>2026-08-02T03:53:36.143000</x:v>
      </x:c>
      <x:c r="C750" s="47" t="n">
        <x:v>300964</x:v>
      </x:c>
      <x:c r="D750" s="47" t="str"/>
      <x:c r="E750" s="47" t="str"/>
      <x:c r="F750" s="47" t="str">
        <x:v>current</x:v>
      </x:c>
      <x:c r="G750" s="47" t="n">
        <x:v>746</x:v>
      </x:c>
      <x:c r="H750" s="53" t="b">
        <x:v>1</x:v>
      </x:c>
      <x:c r="I750" s="47" t="str">
        <x:v>2682537910</x:v>
      </x:c>
      <x:c r="J750" s="47" t="n">
        <x:v>47873480</x:v>
      </x:c>
      <x:c r="K750" s="53" t="b">
        <x:v>1</x:v>
      </x:c>
      <x:c r="L750" s="53" t="b">
        <x:v>1</x:v>
      </x:c>
      <x:c r="M750" s="53" t="b">
        <x:v>1</x:v>
      </x:c>
      <x:c r="N750" s="53" t="b">
        <x:v>1</x:v>
      </x:c>
      <x:c r="O750" s="53" t="b">
        <x:v>1</x:v>
      </x:c>
      <x:c r="P750" s="47" t="n">
        <x:v>1010</x:v>
      </x:c>
      <x:c r="Q750" s="47" t="n">
        <x:v>0</x:v>
      </x:c>
      <x:c r="R750" s="47" t="n">
        <x:v>0</x:v>
      </x:c>
      <x:c r="S750" s="47" t="n">
        <x:v>29.07</x:v>
      </x:c>
      <x:c r="T750" s="47" t="n">
        <x:v>78.98</x:v>
      </x:c>
      <x:c r="U750" s="47" t="n">
        <x:v>29.1</x:v>
      </x:c>
      <x:c r="V750" s="47" t="n">
        <x:v>15.8</x:v>
      </x:c>
      <x:c r="W750" s="47" t="n">
        <x:v>0</x:v>
      </x:c>
      <x:c r="X750" s="47" t="n">
        <x:v>0</x:v>
      </x:c>
      <x:c r="Y750" s="41" t="n">
        <x:v>0</x:v>
      </x:c>
    </x:row>
    <x:row r="751">
      <x:c r="A751" s="38" t="str">
        <x:v>7月30日现场数据</x:v>
      </x:c>
      <x:c r="B751" s="66" t="str">
        <x:v>2026-08-02T03:58:37.111000</x:v>
      </x:c>
      <x:c r="C751" s="47" t="n">
        <x:v>300968</x:v>
      </x:c>
      <x:c r="D751" s="47" t="str"/>
      <x:c r="E751" s="47" t="str"/>
      <x:c r="F751" s="47" t="str">
        <x:v>current</x:v>
      </x:c>
      <x:c r="G751" s="47" t="n">
        <x:v>747</x:v>
      </x:c>
      <x:c r="H751" s="53" t="b">
        <x:v>1</x:v>
      </x:c>
      <x:c r="I751" s="47" t="str">
        <x:v>2682537910</x:v>
      </x:c>
      <x:c r="J751" s="47" t="n">
        <x:v>48174448</x:v>
      </x:c>
      <x:c r="K751" s="53" t="b">
        <x:v>1</x:v>
      </x:c>
      <x:c r="L751" s="53" t="b">
        <x:v>1</x:v>
      </x:c>
      <x:c r="M751" s="53" t="b">
        <x:v>1</x:v>
      </x:c>
      <x:c r="N751" s="53" t="b">
        <x:v>1</x:v>
      </x:c>
      <x:c r="O751" s="53" t="b">
        <x:v>1</x:v>
      </x:c>
      <x:c r="P751" s="47" t="n">
        <x:v>1010</x:v>
      </x:c>
      <x:c r="Q751" s="47" t="n">
        <x:v>0</x:v>
      </x:c>
      <x:c r="R751" s="47" t="n">
        <x:v>0</x:v>
      </x:c>
      <x:c r="S751" s="47" t="n">
        <x:v>28.98</x:v>
      </x:c>
      <x:c r="T751" s="47" t="n">
        <x:v>79.04</x:v>
      </x:c>
      <x:c r="U751" s="47" t="n">
        <x:v>29.1</x:v>
      </x:c>
      <x:c r="V751" s="47" t="n">
        <x:v>15.8</x:v>
      </x:c>
      <x:c r="W751" s="47" t="n">
        <x:v>0</x:v>
      </x:c>
      <x:c r="X751" s="47" t="n">
        <x:v>0</x:v>
      </x:c>
      <x:c r="Y751" s="41" t="n">
        <x:v>0</x:v>
      </x:c>
    </x:row>
    <x:row r="752">
      <x:c r="A752" s="38" t="str">
        <x:v>7月30日现场数据</x:v>
      </x:c>
      <x:c r="B752" s="66" t="str">
        <x:v>2026-08-02T04:03:38.080000</x:v>
      </x:c>
      <x:c r="C752" s="47" t="n">
        <x:v>300969</x:v>
      </x:c>
      <x:c r="D752" s="47" t="str"/>
      <x:c r="E752" s="47" t="str"/>
      <x:c r="F752" s="47" t="str">
        <x:v>current</x:v>
      </x:c>
      <x:c r="G752" s="47" t="n">
        <x:v>748</x:v>
      </x:c>
      <x:c r="H752" s="53" t="b">
        <x:v>1</x:v>
      </x:c>
      <x:c r="I752" s="47" t="str">
        <x:v>2682537910</x:v>
      </x:c>
      <x:c r="J752" s="47" t="n">
        <x:v>48475417</x:v>
      </x:c>
      <x:c r="K752" s="53" t="b">
        <x:v>1</x:v>
      </x:c>
      <x:c r="L752" s="53" t="b">
        <x:v>1</x:v>
      </x:c>
      <x:c r="M752" s="53" t="b">
        <x:v>1</x:v>
      </x:c>
      <x:c r="N752" s="53" t="b">
        <x:v>1</x:v>
      </x:c>
      <x:c r="O752" s="53" t="b">
        <x:v>1</x:v>
      </x:c>
      <x:c r="P752" s="47" t="n">
        <x:v>1010</x:v>
      </x:c>
      <x:c r="Q752" s="47" t="n">
        <x:v>0</x:v>
      </x:c>
      <x:c r="R752" s="47" t="n">
        <x:v>0</x:v>
      </x:c>
      <x:c r="S752" s="47" t="n">
        <x:v>28.94</x:v>
      </x:c>
      <x:c r="T752" s="47" t="n">
        <x:v>79.12</x:v>
      </x:c>
      <x:c r="U752" s="47" t="n">
        <x:v>29.1</x:v>
      </x:c>
      <x:c r="V752" s="47" t="n">
        <x:v>15.8</x:v>
      </x:c>
      <x:c r="W752" s="47" t="n">
        <x:v>0</x:v>
      </x:c>
      <x:c r="X752" s="47" t="n">
        <x:v>0</x:v>
      </x:c>
      <x:c r="Y752" s="41" t="n">
        <x:v>0</x:v>
      </x:c>
    </x:row>
    <x:row r="753">
      <x:c r="A753" s="38" t="str">
        <x:v>7月30日现场数据</x:v>
      </x:c>
      <x:c r="B753" s="66" t="str">
        <x:v>2026-08-02T04:08:39.052000</x:v>
      </x:c>
      <x:c r="C753" s="47" t="n">
        <x:v>300972</x:v>
      </x:c>
      <x:c r="D753" s="47" t="str"/>
      <x:c r="E753" s="47" t="str"/>
      <x:c r="F753" s="47" t="str">
        <x:v>current</x:v>
      </x:c>
      <x:c r="G753" s="47" t="n">
        <x:v>749</x:v>
      </x:c>
      <x:c r="H753" s="53" t="b">
        <x:v>1</x:v>
      </x:c>
      <x:c r="I753" s="47" t="str">
        <x:v>2682537910</x:v>
      </x:c>
      <x:c r="J753" s="47" t="n">
        <x:v>48776389</x:v>
      </x:c>
      <x:c r="K753" s="53" t="b">
        <x:v>1</x:v>
      </x:c>
      <x:c r="L753" s="53" t="b">
        <x:v>1</x:v>
      </x:c>
      <x:c r="M753" s="53" t="b">
        <x:v>1</x:v>
      </x:c>
      <x:c r="N753" s="53" t="b">
        <x:v>1</x:v>
      </x:c>
      <x:c r="O753" s="53" t="b">
        <x:v>1</x:v>
      </x:c>
      <x:c r="P753" s="47" t="n">
        <x:v>1010</x:v>
      </x:c>
      <x:c r="Q753" s="47" t="n">
        <x:v>0</x:v>
      </x:c>
      <x:c r="R753" s="47" t="n">
        <x:v>0</x:v>
      </x:c>
      <x:c r="S753" s="47" t="n">
        <x:v>28.87</x:v>
      </x:c>
      <x:c r="T753" s="47" t="n">
        <x:v>79.22</x:v>
      </x:c>
      <x:c r="U753" s="47" t="n">
        <x:v>29.1</x:v>
      </x:c>
      <x:c r="V753" s="47" t="n">
        <x:v>15.8</x:v>
      </x:c>
      <x:c r="W753" s="47" t="n">
        <x:v>0</x:v>
      </x:c>
      <x:c r="X753" s="47" t="n">
        <x:v>0</x:v>
      </x:c>
      <x:c r="Y753" s="41" t="n">
        <x:v>0</x:v>
      </x:c>
    </x:row>
    <x:row r="754">
      <x:c r="A754" s="38" t="str">
        <x:v>7月30日现场数据</x:v>
      </x:c>
      <x:c r="B754" s="66" t="str">
        <x:v>2026-08-02T04:13:40.025000</x:v>
      </x:c>
      <x:c r="C754" s="47" t="n">
        <x:v>300973</x:v>
      </x:c>
      <x:c r="D754" s="47" t="str"/>
      <x:c r="E754" s="47" t="str"/>
      <x:c r="F754" s="47" t="str">
        <x:v>current</x:v>
      </x:c>
      <x:c r="G754" s="47" t="n">
        <x:v>750</x:v>
      </x:c>
      <x:c r="H754" s="53" t="b">
        <x:v>1</x:v>
      </x:c>
      <x:c r="I754" s="47" t="str">
        <x:v>2682537910</x:v>
      </x:c>
      <x:c r="J754" s="47" t="n">
        <x:v>49077362</x:v>
      </x:c>
      <x:c r="K754" s="53" t="b">
        <x:v>1</x:v>
      </x:c>
      <x:c r="L754" s="53" t="b">
        <x:v>1</x:v>
      </x:c>
      <x:c r="M754" s="53" t="b">
        <x:v>1</x:v>
      </x:c>
      <x:c r="N754" s="53" t="b">
        <x:v>1</x:v>
      </x:c>
      <x:c r="O754" s="53" t="b">
        <x:v>1</x:v>
      </x:c>
      <x:c r="P754" s="47" t="n">
        <x:v>1010</x:v>
      </x:c>
      <x:c r="Q754" s="47" t="n">
        <x:v>0</x:v>
      </x:c>
      <x:c r="R754" s="47" t="n">
        <x:v>0</x:v>
      </x:c>
      <x:c r="S754" s="47" t="n">
        <x:v>28.83</x:v>
      </x:c>
      <x:c r="T754" s="47" t="n">
        <x:v>79.24</x:v>
      </x:c>
      <x:c r="U754" s="47" t="n">
        <x:v>29.1</x:v>
      </x:c>
      <x:c r="V754" s="47" t="n">
        <x:v>15.8</x:v>
      </x:c>
      <x:c r="W754" s="47" t="n">
        <x:v>0</x:v>
      </x:c>
      <x:c r="X754" s="47" t="n">
        <x:v>0</x:v>
      </x:c>
      <x:c r="Y754" s="41" t="n">
        <x:v>0</x:v>
      </x:c>
    </x:row>
    <x:row r="755">
      <x:c r="A755" s="38" t="str">
        <x:v>7月30日现场数据</x:v>
      </x:c>
      <x:c r="B755" s="66" t="str">
        <x:v>2026-08-02T04:18:40.997000</x:v>
      </x:c>
      <x:c r="C755" s="47" t="n">
        <x:v>300972</x:v>
      </x:c>
      <x:c r="D755" s="47" t="str"/>
      <x:c r="E755" s="47" t="str"/>
      <x:c r="F755" s="47" t="str">
        <x:v>current</x:v>
      </x:c>
      <x:c r="G755" s="47" t="n">
        <x:v>751</x:v>
      </x:c>
      <x:c r="H755" s="53" t="b">
        <x:v>1</x:v>
      </x:c>
      <x:c r="I755" s="47" t="str">
        <x:v>2682537910</x:v>
      </x:c>
      <x:c r="J755" s="47" t="n">
        <x:v>49378334</x:v>
      </x:c>
      <x:c r="K755" s="53" t="b">
        <x:v>1</x:v>
      </x:c>
      <x:c r="L755" s="53" t="b">
        <x:v>1</x:v>
      </x:c>
      <x:c r="M755" s="53" t="b">
        <x:v>1</x:v>
      </x:c>
      <x:c r="N755" s="53" t="b">
        <x:v>1</x:v>
      </x:c>
      <x:c r="O755" s="53" t="b">
        <x:v>1</x:v>
      </x:c>
      <x:c r="P755" s="47" t="n">
        <x:v>1010</x:v>
      </x:c>
      <x:c r="Q755" s="47" t="n">
        <x:v>0</x:v>
      </x:c>
      <x:c r="R755" s="47" t="n">
        <x:v>0</x:v>
      </x:c>
      <x:c r="S755" s="47" t="n">
        <x:v>28.76</x:v>
      </x:c>
      <x:c r="T755" s="47" t="n">
        <x:v>79.33</x:v>
      </x:c>
      <x:c r="U755" s="47" t="n">
        <x:v>29.1</x:v>
      </x:c>
      <x:c r="V755" s="47" t="n">
        <x:v>15.8</x:v>
      </x:c>
      <x:c r="W755" s="47" t="n">
        <x:v>0</x:v>
      </x:c>
      <x:c r="X755" s="47" t="n">
        <x:v>0</x:v>
      </x:c>
      <x:c r="Y755" s="41" t="n">
        <x:v>0</x:v>
      </x:c>
    </x:row>
    <x:row r="756">
      <x:c r="A756" s="38" t="str">
        <x:v>7月30日现场数据</x:v>
      </x:c>
      <x:c r="B756" s="66" t="str">
        <x:v>2026-08-02T04:23:41.971000</x:v>
      </x:c>
      <x:c r="C756" s="47" t="n">
        <x:v>300974</x:v>
      </x:c>
      <x:c r="D756" s="47" t="str"/>
      <x:c r="E756" s="47" t="str"/>
      <x:c r="F756" s="47" t="str">
        <x:v>current</x:v>
      </x:c>
      <x:c r="G756" s="47" t="n">
        <x:v>752</x:v>
      </x:c>
      <x:c r="H756" s="53" t="b">
        <x:v>1</x:v>
      </x:c>
      <x:c r="I756" s="47" t="str">
        <x:v>2682537910</x:v>
      </x:c>
      <x:c r="J756" s="47" t="n">
        <x:v>49679308</x:v>
      </x:c>
      <x:c r="K756" s="53" t="b">
        <x:v>1</x:v>
      </x:c>
      <x:c r="L756" s="53" t="b">
        <x:v>1</x:v>
      </x:c>
      <x:c r="M756" s="53" t="b">
        <x:v>1</x:v>
      </x:c>
      <x:c r="N756" s="53" t="b">
        <x:v>1</x:v>
      </x:c>
      <x:c r="O756" s="53" t="b">
        <x:v>1</x:v>
      </x:c>
      <x:c r="P756" s="47" t="n">
        <x:v>1010</x:v>
      </x:c>
      <x:c r="Q756" s="47" t="n">
        <x:v>0</x:v>
      </x:c>
      <x:c r="R756" s="47" t="n">
        <x:v>0</x:v>
      </x:c>
      <x:c r="S756" s="47" t="n">
        <x:v>28.73</x:v>
      </x:c>
      <x:c r="T756" s="47" t="n">
        <x:v>79.43</x:v>
      </x:c>
      <x:c r="U756" s="47" t="n">
        <x:v>29.1</x:v>
      </x:c>
      <x:c r="V756" s="47" t="n">
        <x:v>15.8</x:v>
      </x:c>
      <x:c r="W756" s="47" t="n">
        <x:v>0</x:v>
      </x:c>
      <x:c r="X756" s="47" t="n">
        <x:v>0</x:v>
      </x:c>
      <x:c r="Y756" s="41" t="n">
        <x:v>0</x:v>
      </x:c>
    </x:row>
    <x:row r="757">
      <x:c r="A757" s="38" t="str">
        <x:v>7月30日现场数据</x:v>
      </x:c>
      <x:c r="B757" s="66" t="str">
        <x:v>2026-08-02T04:28:42.950000</x:v>
      </x:c>
      <x:c r="C757" s="47" t="n">
        <x:v>300979</x:v>
      </x:c>
      <x:c r="D757" s="47" t="str"/>
      <x:c r="E757" s="47" t="str"/>
      <x:c r="F757" s="47" t="str">
        <x:v>current</x:v>
      </x:c>
      <x:c r="G757" s="47" t="n">
        <x:v>753</x:v>
      </x:c>
      <x:c r="H757" s="53" t="b">
        <x:v>1</x:v>
      </x:c>
      <x:c r="I757" s="47" t="str">
        <x:v>2682537910</x:v>
      </x:c>
      <x:c r="J757" s="47" t="n">
        <x:v>49980287</x:v>
      </x:c>
      <x:c r="K757" s="53" t="b">
        <x:v>1</x:v>
      </x:c>
      <x:c r="L757" s="53" t="b">
        <x:v>1</x:v>
      </x:c>
      <x:c r="M757" s="53" t="b">
        <x:v>1</x:v>
      </x:c>
      <x:c r="N757" s="53" t="b">
        <x:v>1</x:v>
      </x:c>
      <x:c r="O757" s="53" t="b">
        <x:v>1</x:v>
      </x:c>
      <x:c r="P757" s="47" t="n">
        <x:v>1010</x:v>
      </x:c>
      <x:c r="Q757" s="47" t="n">
        <x:v>0</x:v>
      </x:c>
      <x:c r="R757" s="47" t="n">
        <x:v>0</x:v>
      </x:c>
      <x:c r="S757" s="47" t="n">
        <x:v>28.7</x:v>
      </x:c>
      <x:c r="T757" s="47" t="n">
        <x:v>79.51</x:v>
      </x:c>
      <x:c r="U757" s="47" t="n">
        <x:v>29.1</x:v>
      </x:c>
      <x:c r="V757" s="47" t="n">
        <x:v>15.8</x:v>
      </x:c>
      <x:c r="W757" s="47" t="n">
        <x:v>0</x:v>
      </x:c>
      <x:c r="X757" s="47" t="n">
        <x:v>0</x:v>
      </x:c>
      <x:c r="Y757" s="41" t="n">
        <x:v>0</x:v>
      </x:c>
    </x:row>
    <x:row r="758">
      <x:c r="A758" s="38" t="str">
        <x:v>7月30日现场数据</x:v>
      </x:c>
      <x:c r="B758" s="66" t="str">
        <x:v>2026-08-02T04:33:43.929000</x:v>
      </x:c>
      <x:c r="C758" s="47" t="n">
        <x:v>300979</x:v>
      </x:c>
      <x:c r="D758" s="47" t="str"/>
      <x:c r="E758" s="47" t="str"/>
      <x:c r="F758" s="47" t="str">
        <x:v>current</x:v>
      </x:c>
      <x:c r="G758" s="47" t="n">
        <x:v>754</x:v>
      </x:c>
      <x:c r="H758" s="53" t="b">
        <x:v>1</x:v>
      </x:c>
      <x:c r="I758" s="47" t="str">
        <x:v>2682537910</x:v>
      </x:c>
      <x:c r="J758" s="47" t="n">
        <x:v>50281266</x:v>
      </x:c>
      <x:c r="K758" s="53" t="b">
        <x:v>1</x:v>
      </x:c>
      <x:c r="L758" s="53" t="b">
        <x:v>1</x:v>
      </x:c>
      <x:c r="M758" s="53" t="b">
        <x:v>1</x:v>
      </x:c>
      <x:c r="N758" s="53" t="b">
        <x:v>1</x:v>
      </x:c>
      <x:c r="O758" s="53" t="b">
        <x:v>1</x:v>
      </x:c>
      <x:c r="P758" s="47" t="n">
        <x:v>1010</x:v>
      </x:c>
      <x:c r="Q758" s="47" t="n">
        <x:v>0.071</x:v>
      </x:c>
      <x:c r="R758" s="47" t="n">
        <x:v>1.912</x:v>
      </x:c>
      <x:c r="S758" s="47" t="n">
        <x:v>28.67</x:v>
      </x:c>
      <x:c r="T758" s="47" t="n">
        <x:v>79.62</x:v>
      </x:c>
      <x:c r="U758" s="47" t="n">
        <x:v>29</x:v>
      </x:c>
      <x:c r="V758" s="47" t="n">
        <x:v>15.8</x:v>
      </x:c>
      <x:c r="W758" s="47" t="n">
        <x:v>0</x:v>
      </x:c>
      <x:c r="X758" s="47" t="n">
        <x:v>0</x:v>
      </x:c>
      <x:c r="Y758" s="41" t="n">
        <x:v>0</x:v>
      </x:c>
    </x:row>
    <x:row r="759">
      <x:c r="A759" s="38" t="str">
        <x:v>7月30日现场数据</x:v>
      </x:c>
      <x:c r="B759" s="66" t="str">
        <x:v>2026-08-02T04:38:44.909000</x:v>
      </x:c>
      <x:c r="C759" s="47" t="n">
        <x:v>300980</x:v>
      </x:c>
      <x:c r="D759" s="47" t="str"/>
      <x:c r="E759" s="47" t="str"/>
      <x:c r="F759" s="47" t="str">
        <x:v>current</x:v>
      </x:c>
      <x:c r="G759" s="47" t="n">
        <x:v>755</x:v>
      </x:c>
      <x:c r="H759" s="53" t="b">
        <x:v>1</x:v>
      </x:c>
      <x:c r="I759" s="47" t="str">
        <x:v>2682537910</x:v>
      </x:c>
      <x:c r="J759" s="47" t="n">
        <x:v>50582246</x:v>
      </x:c>
      <x:c r="K759" s="53" t="b">
        <x:v>1</x:v>
      </x:c>
      <x:c r="L759" s="53" t="b">
        <x:v>1</x:v>
      </x:c>
      <x:c r="M759" s="53" t="b">
        <x:v>1</x:v>
      </x:c>
      <x:c r="N759" s="53" t="b">
        <x:v>1</x:v>
      </x:c>
      <x:c r="O759" s="53" t="b">
        <x:v>1</x:v>
      </x:c>
      <x:c r="P759" s="47" t="n">
        <x:v>1010</x:v>
      </x:c>
      <x:c r="Q759" s="47" t="n">
        <x:v>0</x:v>
      </x:c>
      <x:c r="R759" s="47" t="n">
        <x:v>0</x:v>
      </x:c>
      <x:c r="S759" s="47" t="n">
        <x:v>28.66</x:v>
      </x:c>
      <x:c r="T759" s="47" t="n">
        <x:v>79.65</x:v>
      </x:c>
      <x:c r="U759" s="47" t="n">
        <x:v>29</x:v>
      </x:c>
      <x:c r="V759" s="47" t="n">
        <x:v>15.8</x:v>
      </x:c>
      <x:c r="W759" s="47" t="n">
        <x:v>0</x:v>
      </x:c>
      <x:c r="X759" s="47" t="n">
        <x:v>0</x:v>
      </x:c>
      <x:c r="Y759" s="41" t="n">
        <x:v>0</x:v>
      </x:c>
    </x:row>
    <x:row r="760">
      <x:c r="A760" s="38" t="str">
        <x:v>7月30日现场数据</x:v>
      </x:c>
      <x:c r="B760" s="66" t="str">
        <x:v>2026-08-02T04:43:45.893000</x:v>
      </x:c>
      <x:c r="C760" s="47" t="n">
        <x:v>300984</x:v>
      </x:c>
      <x:c r="D760" s="47" t="str"/>
      <x:c r="E760" s="47" t="str"/>
      <x:c r="F760" s="47" t="str">
        <x:v>current</x:v>
      </x:c>
      <x:c r="G760" s="47" t="n">
        <x:v>756</x:v>
      </x:c>
      <x:c r="H760" s="53" t="b">
        <x:v>1</x:v>
      </x:c>
      <x:c r="I760" s="47" t="str">
        <x:v>2682537910</x:v>
      </x:c>
      <x:c r="J760" s="47" t="n">
        <x:v>50883230</x:v>
      </x:c>
      <x:c r="K760" s="53" t="b">
        <x:v>1</x:v>
      </x:c>
      <x:c r="L760" s="53" t="b">
        <x:v>1</x:v>
      </x:c>
      <x:c r="M760" s="53" t="b">
        <x:v>1</x:v>
      </x:c>
      <x:c r="N760" s="53" t="b">
        <x:v>1</x:v>
      </x:c>
      <x:c r="O760" s="53" t="b">
        <x:v>1</x:v>
      </x:c>
      <x:c r="P760" s="47" t="n">
        <x:v>1010</x:v>
      </x:c>
      <x:c r="Q760" s="47" t="n">
        <x:v>0</x:v>
      </x:c>
      <x:c r="R760" s="47" t="n">
        <x:v>0</x:v>
      </x:c>
      <x:c r="S760" s="47" t="n">
        <x:v>28.65</x:v>
      </x:c>
      <x:c r="T760" s="47" t="n">
        <x:v>79.75</x:v>
      </x:c>
      <x:c r="U760" s="47" t="n">
        <x:v>29</x:v>
      </x:c>
      <x:c r="V760" s="47" t="n">
        <x:v>15.8</x:v>
      </x:c>
      <x:c r="W760" s="47" t="n">
        <x:v>0</x:v>
      </x:c>
      <x:c r="X760" s="47" t="n">
        <x:v>0</x:v>
      </x:c>
      <x:c r="Y760" s="41" t="n">
        <x:v>0</x:v>
      </x:c>
    </x:row>
    <x:row r="761">
      <x:c r="A761" s="38" t="str">
        <x:v>7月30日现场数据</x:v>
      </x:c>
      <x:c r="B761" s="66" t="str">
        <x:v>2026-08-02T04:48:46.880000</x:v>
      </x:c>
      <x:c r="C761" s="47" t="n">
        <x:v>300987</x:v>
      </x:c>
      <x:c r="D761" s="47" t="str"/>
      <x:c r="E761" s="47" t="str"/>
      <x:c r="F761" s="47" t="str">
        <x:v>current</x:v>
      </x:c>
      <x:c r="G761" s="47" t="n">
        <x:v>757</x:v>
      </x:c>
      <x:c r="H761" s="53" t="b">
        <x:v>1</x:v>
      </x:c>
      <x:c r="I761" s="47" t="str">
        <x:v>2682537910</x:v>
      </x:c>
      <x:c r="J761" s="47" t="n">
        <x:v>51184217</x:v>
      </x:c>
      <x:c r="K761" s="53" t="b">
        <x:v>1</x:v>
      </x:c>
      <x:c r="L761" s="53" t="b">
        <x:v>1</x:v>
      </x:c>
      <x:c r="M761" s="53" t="b">
        <x:v>1</x:v>
      </x:c>
      <x:c r="N761" s="53" t="b">
        <x:v>1</x:v>
      </x:c>
      <x:c r="O761" s="53" t="b">
        <x:v>1</x:v>
      </x:c>
      <x:c r="P761" s="47" t="n">
        <x:v>1010</x:v>
      </x:c>
      <x:c r="Q761" s="47" t="n">
        <x:v>0</x:v>
      </x:c>
      <x:c r="R761" s="47" t="n">
        <x:v>0</x:v>
      </x:c>
      <x:c r="S761" s="47" t="n">
        <x:v>28.63</x:v>
      </x:c>
      <x:c r="T761" s="47" t="n">
        <x:v>79.82</x:v>
      </x:c>
      <x:c r="U761" s="47" t="n">
        <x:v>29</x:v>
      </x:c>
      <x:c r="V761" s="47" t="n">
        <x:v>15.8</x:v>
      </x:c>
      <x:c r="W761" s="47" t="n">
        <x:v>0</x:v>
      </x:c>
      <x:c r="X761" s="47" t="n">
        <x:v>0</x:v>
      </x:c>
      <x:c r="Y761" s="41" t="n">
        <x:v>0</x:v>
      </x:c>
    </x:row>
    <x:row r="762">
      <x:c r="A762" s="38" t="str">
        <x:v>7月30日现场数据</x:v>
      </x:c>
      <x:c r="B762" s="66" t="str">
        <x:v>2026-08-02T04:53:47.901000</x:v>
      </x:c>
      <x:c r="C762" s="47" t="n">
        <x:v>301021</x:v>
      </x:c>
      <x:c r="D762" s="47" t="str"/>
      <x:c r="E762" s="47" t="str"/>
      <x:c r="F762" s="47" t="str">
        <x:v>current</x:v>
      </x:c>
      <x:c r="G762" s="47" t="n">
        <x:v>758</x:v>
      </x:c>
      <x:c r="H762" s="53" t="b">
        <x:v>1</x:v>
      </x:c>
      <x:c r="I762" s="47" t="str">
        <x:v>2682537910</x:v>
      </x:c>
      <x:c r="J762" s="47" t="n">
        <x:v>51485238</x:v>
      </x:c>
      <x:c r="K762" s="53" t="b">
        <x:v>1</x:v>
      </x:c>
      <x:c r="L762" s="53" t="b">
        <x:v>1</x:v>
      </x:c>
      <x:c r="M762" s="53" t="b">
        <x:v>1</x:v>
      </x:c>
      <x:c r="N762" s="53" t="b">
        <x:v>1</x:v>
      </x:c>
      <x:c r="O762" s="53" t="b">
        <x:v>1</x:v>
      </x:c>
      <x:c r="P762" s="47" t="n">
        <x:v>1010</x:v>
      </x:c>
      <x:c r="Q762" s="47" t="n">
        <x:v>0</x:v>
      </x:c>
      <x:c r="R762" s="47" t="n">
        <x:v>0</x:v>
      </x:c>
      <x:c r="S762" s="47" t="n">
        <x:v>28.58</x:v>
      </x:c>
      <x:c r="T762" s="47" t="n">
        <x:v>79.91</x:v>
      </x:c>
      <x:c r="U762" s="47" t="n">
        <x:v>29</x:v>
      </x:c>
      <x:c r="V762" s="47" t="n">
        <x:v>15.8</x:v>
      </x:c>
      <x:c r="W762" s="47" t="n">
        <x:v>0</x:v>
      </x:c>
      <x:c r="X762" s="47" t="n">
        <x:v>0</x:v>
      </x:c>
      <x:c r="Y762" s="41" t="n">
        <x:v>0</x:v>
      </x:c>
    </x:row>
    <x:row r="763">
      <x:c r="A763" s="38" t="str">
        <x:v>7月30日现场数据</x:v>
      </x:c>
      <x:c r="B763" s="66" t="str">
        <x:v>2026-08-02T04:58:48.864000</x:v>
      </x:c>
      <x:c r="C763" s="47" t="n">
        <x:v>300963</x:v>
      </x:c>
      <x:c r="D763" s="47" t="str"/>
      <x:c r="E763" s="47" t="str"/>
      <x:c r="F763" s="47" t="str">
        <x:v>current</x:v>
      </x:c>
      <x:c r="G763" s="47" t="n">
        <x:v>759</x:v>
      </x:c>
      <x:c r="H763" s="53" t="b">
        <x:v>1</x:v>
      </x:c>
      <x:c r="I763" s="47" t="str">
        <x:v>2682537910</x:v>
      </x:c>
      <x:c r="J763" s="47" t="n">
        <x:v>51786201</x:v>
      </x:c>
      <x:c r="K763" s="53" t="b">
        <x:v>1</x:v>
      </x:c>
      <x:c r="L763" s="53" t="b">
        <x:v>1</x:v>
      </x:c>
      <x:c r="M763" s="53" t="b">
        <x:v>1</x:v>
      </x:c>
      <x:c r="N763" s="53" t="b">
        <x:v>1</x:v>
      </x:c>
      <x:c r="O763" s="53" t="b">
        <x:v>1</x:v>
      </x:c>
      <x:c r="P763" s="47" t="n">
        <x:v>1010</x:v>
      </x:c>
      <x:c r="Q763" s="47" t="n">
        <x:v>0</x:v>
      </x:c>
      <x:c r="R763" s="47" t="n">
        <x:v>0</x:v>
      </x:c>
      <x:c r="S763" s="47" t="n">
        <x:v>28.6</x:v>
      </x:c>
      <x:c r="T763" s="47" t="n">
        <x:v>79.98</x:v>
      </x:c>
      <x:c r="U763" s="47" t="n">
        <x:v>29</x:v>
      </x:c>
      <x:c r="V763" s="47" t="n">
        <x:v>15.8</x:v>
      </x:c>
      <x:c r="W763" s="47" t="n">
        <x:v>0</x:v>
      </x:c>
      <x:c r="X763" s="47" t="n">
        <x:v>0</x:v>
      </x:c>
      <x:c r="Y763" s="41" t="n">
        <x:v>0</x:v>
      </x:c>
    </x:row>
    <x:row r="764">
      <x:c r="A764" s="38" t="str">
        <x:v>7月30日现场数据</x:v>
      </x:c>
      <x:c r="B764" s="66" t="str">
        <x:v>2026-08-02T05:03:49.828000</x:v>
      </x:c>
      <x:c r="C764" s="47" t="n">
        <x:v>300964</x:v>
      </x:c>
      <x:c r="D764" s="47" t="str"/>
      <x:c r="E764" s="47" t="str"/>
      <x:c r="F764" s="47" t="str">
        <x:v>current</x:v>
      </x:c>
      <x:c r="G764" s="47" t="n">
        <x:v>760</x:v>
      </x:c>
      <x:c r="H764" s="53" t="b">
        <x:v>1</x:v>
      </x:c>
      <x:c r="I764" s="47" t="str">
        <x:v>2682537910</x:v>
      </x:c>
      <x:c r="J764" s="47" t="n">
        <x:v>52087165</x:v>
      </x:c>
      <x:c r="K764" s="53" t="b">
        <x:v>1</x:v>
      </x:c>
      <x:c r="L764" s="53" t="b">
        <x:v>1</x:v>
      </x:c>
      <x:c r="M764" s="53" t="b">
        <x:v>1</x:v>
      </x:c>
      <x:c r="N764" s="53" t="b">
        <x:v>1</x:v>
      </x:c>
      <x:c r="O764" s="53" t="b">
        <x:v>1</x:v>
      </x:c>
      <x:c r="P764" s="47" t="n">
        <x:v>1010</x:v>
      </x:c>
      <x:c r="Q764" s="47" t="n">
        <x:v>0</x:v>
      </x:c>
      <x:c r="R764" s="47" t="n">
        <x:v>0</x:v>
      </x:c>
      <x:c r="S764" s="47" t="n">
        <x:v>28.64</x:v>
      </x:c>
      <x:c r="T764" s="47" t="n">
        <x:v>80.11</x:v>
      </x:c>
      <x:c r="U764" s="47" t="n">
        <x:v>28.9</x:v>
      </x:c>
      <x:c r="V764" s="47" t="n">
        <x:v>15.8</x:v>
      </x:c>
      <x:c r="W764" s="47" t="n">
        <x:v>0</x:v>
      </x:c>
      <x:c r="X764" s="47" t="n">
        <x:v>1</x:v>
      </x:c>
      <x:c r="Y764" s="41" t="n">
        <x:v>1</x:v>
      </x:c>
    </x:row>
    <x:row r="765">
      <x:c r="A765" s="38" t="str">
        <x:v>7月30日现场数据</x:v>
      </x:c>
      <x:c r="B765" s="66" t="str">
        <x:v>2026-08-02T05:08:50.796000</x:v>
      </x:c>
      <x:c r="C765" s="47" t="n">
        <x:v>300968</x:v>
      </x:c>
      <x:c r="D765" s="47" t="str"/>
      <x:c r="E765" s="47" t="str"/>
      <x:c r="F765" s="47" t="str">
        <x:v>current</x:v>
      </x:c>
      <x:c r="G765" s="47" t="n">
        <x:v>761</x:v>
      </x:c>
      <x:c r="H765" s="53" t="b">
        <x:v>1</x:v>
      </x:c>
      <x:c r="I765" s="47" t="str">
        <x:v>2682537910</x:v>
      </x:c>
      <x:c r="J765" s="47" t="n">
        <x:v>52388133</x:v>
      </x:c>
      <x:c r="K765" s="53" t="b">
        <x:v>1</x:v>
      </x:c>
      <x:c r="L765" s="53" t="b">
        <x:v>1</x:v>
      </x:c>
      <x:c r="M765" s="53" t="b">
        <x:v>1</x:v>
      </x:c>
      <x:c r="N765" s="53" t="b">
        <x:v>1</x:v>
      </x:c>
      <x:c r="O765" s="53" t="b">
        <x:v>1</x:v>
      </x:c>
      <x:c r="P765" s="47" t="n">
        <x:v>1010</x:v>
      </x:c>
      <x:c r="Q765" s="47" t="n">
        <x:v>0</x:v>
      </x:c>
      <x:c r="R765" s="47" t="n">
        <x:v>0</x:v>
      </x:c>
      <x:c r="S765" s="47" t="n">
        <x:v>28.67</x:v>
      </x:c>
      <x:c r="T765" s="47" t="n">
        <x:v>80.19</x:v>
      </x:c>
      <x:c r="U765" s="47" t="n">
        <x:v>28.9</x:v>
      </x:c>
      <x:c r="V765" s="47" t="n">
        <x:v>15.8</x:v>
      </x:c>
      <x:c r="W765" s="47" t="n">
        <x:v>0</x:v>
      </x:c>
      <x:c r="X765" s="47" t="n">
        <x:v>2</x:v>
      </x:c>
      <x:c r="Y765" s="41" t="n">
        <x:v>2</x:v>
      </x:c>
    </x:row>
    <x:row r="766">
      <x:c r="A766" s="38" t="str">
        <x:v>7月30日现场数据</x:v>
      </x:c>
      <x:c r="B766" s="66" t="str">
        <x:v>2026-08-02T05:13:51.763000</x:v>
      </x:c>
      <x:c r="C766" s="47" t="n">
        <x:v>300967</x:v>
      </x:c>
      <x:c r="D766" s="47" t="str"/>
      <x:c r="E766" s="47" t="str"/>
      <x:c r="F766" s="47" t="str">
        <x:v>current</x:v>
      </x:c>
      <x:c r="G766" s="47" t="n">
        <x:v>762</x:v>
      </x:c>
      <x:c r="H766" s="53" t="b">
        <x:v>1</x:v>
      </x:c>
      <x:c r="I766" s="47" t="str">
        <x:v>2682537910</x:v>
      </x:c>
      <x:c r="J766" s="47" t="n">
        <x:v>52689100</x:v>
      </x:c>
      <x:c r="K766" s="53" t="b">
        <x:v>1</x:v>
      </x:c>
      <x:c r="L766" s="53" t="b">
        <x:v>1</x:v>
      </x:c>
      <x:c r="M766" s="53" t="b">
        <x:v>1</x:v>
      </x:c>
      <x:c r="N766" s="53" t="b">
        <x:v>1</x:v>
      </x:c>
      <x:c r="O766" s="53" t="b">
        <x:v>1</x:v>
      </x:c>
      <x:c r="P766" s="47" t="n">
        <x:v>1010</x:v>
      </x:c>
      <x:c r="Q766" s="47" t="n">
        <x:v>0</x:v>
      </x:c>
      <x:c r="R766" s="47" t="n">
        <x:v>0</x:v>
      </x:c>
      <x:c r="S766" s="47" t="n">
        <x:v>28.66</x:v>
      </x:c>
      <x:c r="T766" s="47" t="n">
        <x:v>80.25</x:v>
      </x:c>
      <x:c r="U766" s="47" t="n">
        <x:v>28.9</x:v>
      </x:c>
      <x:c r="V766" s="47" t="n">
        <x:v>15.8</x:v>
      </x:c>
      <x:c r="W766" s="47" t="n">
        <x:v>0</x:v>
      </x:c>
      <x:c r="X766" s="47" t="n">
        <x:v>3</x:v>
      </x:c>
      <x:c r="Y766" s="41" t="n">
        <x:v>3</x:v>
      </x:c>
    </x:row>
    <x:row r="767">
      <x:c r="A767" s="38" t="str">
        <x:v>7月30日现场数据</x:v>
      </x:c>
      <x:c r="B767" s="66" t="str">
        <x:v>2026-08-02T05:18:52.731000</x:v>
      </x:c>
      <x:c r="C767" s="47" t="n">
        <x:v>300968</x:v>
      </x:c>
      <x:c r="D767" s="47" t="str"/>
      <x:c r="E767" s="47" t="str"/>
      <x:c r="F767" s="47" t="str">
        <x:v>current</x:v>
      </x:c>
      <x:c r="G767" s="47" t="n">
        <x:v>763</x:v>
      </x:c>
      <x:c r="H767" s="53" t="b">
        <x:v>1</x:v>
      </x:c>
      <x:c r="I767" s="47" t="str">
        <x:v>2682537910</x:v>
      </x:c>
      <x:c r="J767" s="47" t="n">
        <x:v>52990068</x:v>
      </x:c>
      <x:c r="K767" s="53" t="b">
        <x:v>1</x:v>
      </x:c>
      <x:c r="L767" s="53" t="b">
        <x:v>1</x:v>
      </x:c>
      <x:c r="M767" s="53" t="b">
        <x:v>1</x:v>
      </x:c>
      <x:c r="N767" s="53" t="b">
        <x:v>1</x:v>
      </x:c>
      <x:c r="O767" s="53" t="b">
        <x:v>1</x:v>
      </x:c>
      <x:c r="P767" s="47" t="n">
        <x:v>1010</x:v>
      </x:c>
      <x:c r="Q767" s="47" t="n">
        <x:v>0</x:v>
      </x:c>
      <x:c r="R767" s="47" t="n">
        <x:v>0</x:v>
      </x:c>
      <x:c r="S767" s="47" t="n">
        <x:v>28.63</x:v>
      </x:c>
      <x:c r="T767" s="47" t="n">
        <x:v>80.34</x:v>
      </x:c>
      <x:c r="U767" s="47" t="n">
        <x:v>28.9</x:v>
      </x:c>
      <x:c r="V767" s="47" t="n">
        <x:v>15.8</x:v>
      </x:c>
      <x:c r="W767" s="47" t="n">
        <x:v>1</x:v>
      </x:c>
      <x:c r="X767" s="47" t="n">
        <x:v>3</x:v>
      </x:c>
      <x:c r="Y767" s="41" t="n">
        <x:v>2</x:v>
      </x:c>
    </x:row>
    <x:row r="768">
      <x:c r="A768" s="38" t="str">
        <x:v>7月30日现场数据</x:v>
      </x:c>
      <x:c r="B768" s="66" t="str">
        <x:v>2026-08-02T05:23:53.703000</x:v>
      </x:c>
      <x:c r="C768" s="47" t="n">
        <x:v>300972</x:v>
      </x:c>
      <x:c r="D768" s="47" t="str"/>
      <x:c r="E768" s="47" t="str"/>
      <x:c r="F768" s="47" t="str">
        <x:v>current</x:v>
      </x:c>
      <x:c r="G768" s="47" t="n">
        <x:v>764</x:v>
      </x:c>
      <x:c r="H768" s="53" t="b">
        <x:v>1</x:v>
      </x:c>
      <x:c r="I768" s="47" t="str">
        <x:v>2682537910</x:v>
      </x:c>
      <x:c r="J768" s="47" t="n">
        <x:v>53291040</x:v>
      </x:c>
      <x:c r="K768" s="53" t="b">
        <x:v>1</x:v>
      </x:c>
      <x:c r="L768" s="53" t="b">
        <x:v>1</x:v>
      </x:c>
      <x:c r="M768" s="53" t="b">
        <x:v>1</x:v>
      </x:c>
      <x:c r="N768" s="53" t="b">
        <x:v>1</x:v>
      </x:c>
      <x:c r="O768" s="53" t="b">
        <x:v>1</x:v>
      </x:c>
      <x:c r="P768" s="47" t="n">
        <x:v>1010</x:v>
      </x:c>
      <x:c r="Q768" s="47" t="n">
        <x:v>0.033</x:v>
      </x:c>
      <x:c r="R768" s="47" t="n">
        <x:v>0.89</x:v>
      </x:c>
      <x:c r="S768" s="47" t="n">
        <x:v>28.63</x:v>
      </x:c>
      <x:c r="T768" s="47" t="n">
        <x:v>80.4</x:v>
      </x:c>
      <x:c r="U768" s="47" t="n">
        <x:v>28.9</x:v>
      </x:c>
      <x:c r="V768" s="47" t="n">
        <x:v>15.8</x:v>
      </x:c>
      <x:c r="W768" s="47" t="n">
        <x:v>1</x:v>
      </x:c>
      <x:c r="X768" s="47" t="n">
        <x:v>5</x:v>
      </x:c>
      <x:c r="Y768" s="41" t="n">
        <x:v>4</x:v>
      </x:c>
    </x:row>
    <x:row r="769">
      <x:c r="A769" s="38" t="str">
        <x:v>7月30日现场数据</x:v>
      </x:c>
      <x:c r="B769" s="66" t="str">
        <x:v>2026-08-02T05:28:54.677000</x:v>
      </x:c>
      <x:c r="C769" s="47" t="n">
        <x:v>300974</x:v>
      </x:c>
      <x:c r="D769" s="47" t="str"/>
      <x:c r="E769" s="47" t="str"/>
      <x:c r="F769" s="47" t="str">
        <x:v>current</x:v>
      </x:c>
      <x:c r="G769" s="47" t="n">
        <x:v>765</x:v>
      </x:c>
      <x:c r="H769" s="53" t="b">
        <x:v>1</x:v>
      </x:c>
      <x:c r="I769" s="47" t="str">
        <x:v>2682537910</x:v>
      </x:c>
      <x:c r="J769" s="47" t="n">
        <x:v>53592014</x:v>
      </x:c>
      <x:c r="K769" s="53" t="b">
        <x:v>1</x:v>
      </x:c>
      <x:c r="L769" s="53" t="b">
        <x:v>1</x:v>
      </x:c>
      <x:c r="M769" s="53" t="b">
        <x:v>1</x:v>
      </x:c>
      <x:c r="N769" s="53" t="b">
        <x:v>1</x:v>
      </x:c>
      <x:c r="O769" s="53" t="b">
        <x:v>1</x:v>
      </x:c>
      <x:c r="P769" s="47" t="n">
        <x:v>1010</x:v>
      </x:c>
      <x:c r="Q769" s="47" t="n">
        <x:v>0</x:v>
      </x:c>
      <x:c r="R769" s="47" t="n">
        <x:v>0</x:v>
      </x:c>
      <x:c r="S769" s="47" t="n">
        <x:v>28.62</x:v>
      </x:c>
      <x:c r="T769" s="47" t="n">
        <x:v>80.47</x:v>
      </x:c>
      <x:c r="U769" s="47" t="n">
        <x:v>28.9</x:v>
      </x:c>
      <x:c r="V769" s="47" t="n">
        <x:v>15.8</x:v>
      </x:c>
      <x:c r="W769" s="47" t="n">
        <x:v>1</x:v>
      </x:c>
      <x:c r="X769" s="47" t="n">
        <x:v>6</x:v>
      </x:c>
      <x:c r="Y769" s="41" t="n">
        <x:v>5</x:v>
      </x:c>
    </x:row>
    <x:row r="770">
      <x:c r="A770" s="38" t="str">
        <x:v>7月30日现场数据</x:v>
      </x:c>
      <x:c r="B770" s="66" t="str">
        <x:v>2026-08-02T05:33:55.651000</x:v>
      </x:c>
      <x:c r="C770" s="47" t="n">
        <x:v>300974</x:v>
      </x:c>
      <x:c r="D770" s="47" t="str"/>
      <x:c r="E770" s="47" t="str"/>
      <x:c r="F770" s="47" t="str">
        <x:v>current</x:v>
      </x:c>
      <x:c r="G770" s="47" t="n">
        <x:v>766</x:v>
      </x:c>
      <x:c r="H770" s="53" t="b">
        <x:v>1</x:v>
      </x:c>
      <x:c r="I770" s="47" t="str">
        <x:v>2682537910</x:v>
      </x:c>
      <x:c r="J770" s="47" t="n">
        <x:v>53892988</x:v>
      </x:c>
      <x:c r="K770" s="53" t="b">
        <x:v>1</x:v>
      </x:c>
      <x:c r="L770" s="53" t="b">
        <x:v>1</x:v>
      </x:c>
      <x:c r="M770" s="53" t="b">
        <x:v>1</x:v>
      </x:c>
      <x:c r="N770" s="53" t="b">
        <x:v>1</x:v>
      </x:c>
      <x:c r="O770" s="53" t="b">
        <x:v>1</x:v>
      </x:c>
      <x:c r="P770" s="47" t="n">
        <x:v>1010</x:v>
      </x:c>
      <x:c r="Q770" s="47" t="n">
        <x:v>0</x:v>
      </x:c>
      <x:c r="R770" s="47" t="n">
        <x:v>0</x:v>
      </x:c>
      <x:c r="S770" s="47" t="n">
        <x:v>28.64</x:v>
      </x:c>
      <x:c r="T770" s="47" t="n">
        <x:v>80.59</x:v>
      </x:c>
      <x:c r="U770" s="47" t="n">
        <x:v>28.9</x:v>
      </x:c>
      <x:c r="V770" s="47" t="n">
        <x:v>15.8</x:v>
      </x:c>
      <x:c r="W770" s="47" t="n">
        <x:v>1</x:v>
      </x:c>
      <x:c r="X770" s="47" t="n">
        <x:v>7</x:v>
      </x:c>
      <x:c r="Y770" s="41" t="n">
        <x:v>6</x:v>
      </x:c>
    </x:row>
    <x:row r="771">
      <x:c r="A771" s="38" t="str">
        <x:v>7月30日现场数据</x:v>
      </x:c>
      <x:c r="B771" s="66" t="str">
        <x:v>2026-08-02T05:38:56.626000</x:v>
      </x:c>
      <x:c r="C771" s="47" t="n">
        <x:v>300975</x:v>
      </x:c>
      <x:c r="D771" s="47" t="str"/>
      <x:c r="E771" s="47" t="str"/>
      <x:c r="F771" s="47" t="str">
        <x:v>current</x:v>
      </x:c>
      <x:c r="G771" s="47" t="n">
        <x:v>767</x:v>
      </x:c>
      <x:c r="H771" s="53" t="b">
        <x:v>1</x:v>
      </x:c>
      <x:c r="I771" s="47" t="str">
        <x:v>2682537910</x:v>
      </x:c>
      <x:c r="J771" s="47" t="n">
        <x:v>54193963</x:v>
      </x:c>
      <x:c r="K771" s="53" t="b">
        <x:v>1</x:v>
      </x:c>
      <x:c r="L771" s="53" t="b">
        <x:v>1</x:v>
      </x:c>
      <x:c r="M771" s="53" t="b">
        <x:v>1</x:v>
      </x:c>
      <x:c r="N771" s="53" t="b">
        <x:v>1</x:v>
      </x:c>
      <x:c r="O771" s="53" t="b">
        <x:v>1</x:v>
      </x:c>
      <x:c r="P771" s="47" t="n">
        <x:v>1010</x:v>
      </x:c>
      <x:c r="Q771" s="47" t="n">
        <x:v>0</x:v>
      </x:c>
      <x:c r="R771" s="47" t="n">
        <x:v>0</x:v>
      </x:c>
      <x:c r="S771" s="47" t="n">
        <x:v>28.69</x:v>
      </x:c>
      <x:c r="T771" s="47" t="n">
        <x:v>80.66</x:v>
      </x:c>
      <x:c r="U771" s="47" t="n">
        <x:v>28.9</x:v>
      </x:c>
      <x:c r="V771" s="47" t="n">
        <x:v>15.8</x:v>
      </x:c>
      <x:c r="W771" s="47" t="n">
        <x:v>1</x:v>
      </x:c>
      <x:c r="X771" s="47" t="n">
        <x:v>8</x:v>
      </x:c>
      <x:c r="Y771" s="41" t="n">
        <x:v>7</x:v>
      </x:c>
    </x:row>
    <x:row r="772">
      <x:c r="A772" s="38" t="str">
        <x:v>7月30日现场数据</x:v>
      </x:c>
      <x:c r="B772" s="66" t="str">
        <x:v>2026-08-02T05:43:57.605000</x:v>
      </x:c>
      <x:c r="C772" s="47" t="n">
        <x:v>300979</x:v>
      </x:c>
      <x:c r="D772" s="47" t="str"/>
      <x:c r="E772" s="47" t="str"/>
      <x:c r="F772" s="47" t="str">
        <x:v>current</x:v>
      </x:c>
      <x:c r="G772" s="47" t="n">
        <x:v>768</x:v>
      </x:c>
      <x:c r="H772" s="53" t="b">
        <x:v>1</x:v>
      </x:c>
      <x:c r="I772" s="47" t="str">
        <x:v>2682537910</x:v>
      </x:c>
      <x:c r="J772" s="47" t="n">
        <x:v>54494942</x:v>
      </x:c>
      <x:c r="K772" s="53" t="b">
        <x:v>1</x:v>
      </x:c>
      <x:c r="L772" s="53" t="b">
        <x:v>1</x:v>
      </x:c>
      <x:c r="M772" s="53" t="b">
        <x:v>1</x:v>
      </x:c>
      <x:c r="N772" s="53" t="b">
        <x:v>1</x:v>
      </x:c>
      <x:c r="O772" s="53" t="b">
        <x:v>1</x:v>
      </x:c>
      <x:c r="P772" s="47" t="n">
        <x:v>1010</x:v>
      </x:c>
      <x:c r="Q772" s="47" t="n">
        <x:v>0</x:v>
      </x:c>
      <x:c r="R772" s="47" t="n">
        <x:v>0</x:v>
      </x:c>
      <x:c r="S772" s="47" t="n">
        <x:v>28.73</x:v>
      </x:c>
      <x:c r="T772" s="47" t="n">
        <x:v>80.72</x:v>
      </x:c>
      <x:c r="U772" s="47" t="n">
        <x:v>28.9</x:v>
      </x:c>
      <x:c r="V772" s="47" t="n">
        <x:v>15.8</x:v>
      </x:c>
      <x:c r="W772" s="47" t="n">
        <x:v>2</x:v>
      </x:c>
      <x:c r="X772" s="47" t="n">
        <x:v>9</x:v>
      </x:c>
      <x:c r="Y772" s="41" t="n">
        <x:v>7</x:v>
      </x:c>
    </x:row>
    <x:row r="773">
      <x:c r="A773" s="38" t="str">
        <x:v>7月30日现场数据</x:v>
      </x:c>
      <x:c r="B773" s="66" t="str">
        <x:v>2026-08-02T05:48:58.585000</x:v>
      </x:c>
      <x:c r="C773" s="47" t="n">
        <x:v>300980</x:v>
      </x:c>
      <x:c r="D773" s="47" t="str"/>
      <x:c r="E773" s="47" t="str"/>
      <x:c r="F773" s="47" t="str">
        <x:v>current</x:v>
      </x:c>
      <x:c r="G773" s="47" t="n">
        <x:v>769</x:v>
      </x:c>
      <x:c r="H773" s="53" t="b">
        <x:v>1</x:v>
      </x:c>
      <x:c r="I773" s="47" t="str">
        <x:v>2682537910</x:v>
      </x:c>
      <x:c r="J773" s="47" t="n">
        <x:v>54795922</x:v>
      </x:c>
      <x:c r="K773" s="53" t="b">
        <x:v>1</x:v>
      </x:c>
      <x:c r="L773" s="53" t="b">
        <x:v>1</x:v>
      </x:c>
      <x:c r="M773" s="53" t="b">
        <x:v>1</x:v>
      </x:c>
      <x:c r="N773" s="53" t="b">
        <x:v>1</x:v>
      </x:c>
      <x:c r="O773" s="53" t="b">
        <x:v>1</x:v>
      </x:c>
      <x:c r="P773" s="47" t="n">
        <x:v>1010</x:v>
      </x:c>
      <x:c r="Q773" s="47" t="n">
        <x:v>0</x:v>
      </x:c>
      <x:c r="R773" s="47" t="n">
        <x:v>0</x:v>
      </x:c>
      <x:c r="S773" s="47" t="n">
        <x:v>28.8</x:v>
      </x:c>
      <x:c r="T773" s="47" t="n">
        <x:v>80.85</x:v>
      </x:c>
      <x:c r="U773" s="47" t="n">
        <x:v>28.9</x:v>
      </x:c>
      <x:c r="V773" s="47" t="n">
        <x:v>15.8</x:v>
      </x:c>
      <x:c r="W773" s="47" t="n">
        <x:v>2</x:v>
      </x:c>
      <x:c r="X773" s="47" t="n">
        <x:v>9</x:v>
      </x:c>
      <x:c r="Y773" s="41" t="n">
        <x:v>7</x:v>
      </x:c>
    </x:row>
    <x:row r="774">
      <x:c r="A774" s="38" t="str">
        <x:v>7月30日现场数据</x:v>
      </x:c>
      <x:c r="B774" s="66" t="str">
        <x:v>2026-08-02T05:53:59.565000</x:v>
      </x:c>
      <x:c r="C774" s="47" t="n">
        <x:v>300980</x:v>
      </x:c>
      <x:c r="D774" s="47" t="str"/>
      <x:c r="E774" s="47" t="str"/>
      <x:c r="F774" s="47" t="str">
        <x:v>current</x:v>
      </x:c>
      <x:c r="G774" s="47" t="n">
        <x:v>770</x:v>
      </x:c>
      <x:c r="H774" s="53" t="b">
        <x:v>1</x:v>
      </x:c>
      <x:c r="I774" s="47" t="str">
        <x:v>2682537910</x:v>
      </x:c>
      <x:c r="J774" s="47" t="n">
        <x:v>55096902</x:v>
      </x:c>
      <x:c r="K774" s="53" t="b">
        <x:v>1</x:v>
      </x:c>
      <x:c r="L774" s="53" t="b">
        <x:v>1</x:v>
      </x:c>
      <x:c r="M774" s="53" t="b">
        <x:v>1</x:v>
      </x:c>
      <x:c r="N774" s="53" t="b">
        <x:v>1</x:v>
      </x:c>
      <x:c r="O774" s="53" t="b">
        <x:v>1</x:v>
      </x:c>
      <x:c r="P774" s="47" t="n">
        <x:v>1010</x:v>
      </x:c>
      <x:c r="Q774" s="47" t="n">
        <x:v>0.001</x:v>
      </x:c>
      <x:c r="R774" s="47" t="n">
        <x:v>0.033</x:v>
      </x:c>
      <x:c r="S774" s="47" t="n">
        <x:v>28.9</x:v>
      </x:c>
      <x:c r="T774" s="47" t="n">
        <x:v>80.9</x:v>
      </x:c>
      <x:c r="U774" s="47" t="n">
        <x:v>28.9</x:v>
      </x:c>
      <x:c r="V774" s="47" t="n">
        <x:v>15.8</x:v>
      </x:c>
      <x:c r="W774" s="47" t="n">
        <x:v>2</x:v>
      </x:c>
      <x:c r="X774" s="47" t="n">
        <x:v>10</x:v>
      </x:c>
      <x:c r="Y774" s="41" t="n">
        <x:v>8</x:v>
      </x:c>
    </x:row>
    <x:row r="775">
      <x:c r="A775" s="38" t="str">
        <x:v>7月30日现场数据</x:v>
      </x:c>
      <x:c r="B775" s="66" t="str">
        <x:v>2026-08-02T05:59:00.549000</x:v>
      </x:c>
      <x:c r="C775" s="47" t="n">
        <x:v>300984</x:v>
      </x:c>
      <x:c r="D775" s="47" t="str"/>
      <x:c r="E775" s="47" t="str"/>
      <x:c r="F775" s="47" t="str">
        <x:v>current</x:v>
      </x:c>
      <x:c r="G775" s="47" t="n">
        <x:v>771</x:v>
      </x:c>
      <x:c r="H775" s="53" t="b">
        <x:v>1</x:v>
      </x:c>
      <x:c r="I775" s="47" t="str">
        <x:v>2682537910</x:v>
      </x:c>
      <x:c r="J775" s="47" t="n">
        <x:v>55397886</x:v>
      </x:c>
      <x:c r="K775" s="53" t="b">
        <x:v>1</x:v>
      </x:c>
      <x:c r="L775" s="53" t="b">
        <x:v>1</x:v>
      </x:c>
      <x:c r="M775" s="53" t="b">
        <x:v>1</x:v>
      </x:c>
      <x:c r="N775" s="53" t="b">
        <x:v>1</x:v>
      </x:c>
      <x:c r="O775" s="53" t="b">
        <x:v>1</x:v>
      </x:c>
      <x:c r="P775" s="47" t="n">
        <x:v>1010</x:v>
      </x:c>
      <x:c r="Q775" s="47" t="n">
        <x:v>0</x:v>
      </x:c>
      <x:c r="R775" s="47" t="n">
        <x:v>0</x:v>
      </x:c>
      <x:c r="S775" s="47" t="n">
        <x:v>28.98</x:v>
      </x:c>
      <x:c r="T775" s="47" t="n">
        <x:v>80.97</x:v>
      </x:c>
      <x:c r="U775" s="47" t="n">
        <x:v>28.9</x:v>
      </x:c>
      <x:c r="V775" s="47" t="n">
        <x:v>15.7</x:v>
      </x:c>
      <x:c r="W775" s="47" t="n">
        <x:v>2</x:v>
      </x:c>
      <x:c r="X775" s="47" t="n">
        <x:v>11</x:v>
      </x:c>
      <x:c r="Y775" s="41" t="n">
        <x:v>9</x:v>
      </x:c>
    </x:row>
    <x:row r="776">
      <x:c r="A776" s="38" t="str">
        <x:v>7月30日现场数据</x:v>
      </x:c>
      <x:c r="B776" s="66" t="str">
        <x:v>2026-08-02T06:04:01.534000</x:v>
      </x:c>
      <x:c r="C776" s="47" t="n">
        <x:v>300985</x:v>
      </x:c>
      <x:c r="D776" s="47" t="str"/>
      <x:c r="E776" s="47" t="str"/>
      <x:c r="F776" s="47" t="str">
        <x:v>current</x:v>
      </x:c>
      <x:c r="G776" s="47" t="n">
        <x:v>772</x:v>
      </x:c>
      <x:c r="H776" s="53" t="b">
        <x:v>1</x:v>
      </x:c>
      <x:c r="I776" s="47" t="str">
        <x:v>2682537910</x:v>
      </x:c>
      <x:c r="J776" s="47" t="n">
        <x:v>55698871</x:v>
      </x:c>
      <x:c r="K776" s="53" t="b">
        <x:v>1</x:v>
      </x:c>
      <x:c r="L776" s="53" t="b">
        <x:v>1</x:v>
      </x:c>
      <x:c r="M776" s="53" t="b">
        <x:v>1</x:v>
      </x:c>
      <x:c r="N776" s="53" t="b">
        <x:v>1</x:v>
      </x:c>
      <x:c r="O776" s="53" t="b">
        <x:v>1</x:v>
      </x:c>
      <x:c r="P776" s="47" t="n">
        <x:v>1010</x:v>
      </x:c>
      <x:c r="Q776" s="47" t="n">
        <x:v>0</x:v>
      </x:c>
      <x:c r="R776" s="47" t="n">
        <x:v>0</x:v>
      </x:c>
      <x:c r="S776" s="47" t="n">
        <x:v>29.01</x:v>
      </x:c>
      <x:c r="T776" s="47" t="n">
        <x:v>81.04</x:v>
      </x:c>
      <x:c r="U776" s="47" t="n">
        <x:v>28.9</x:v>
      </x:c>
      <x:c r="V776" s="47" t="n">
        <x:v>15.8</x:v>
      </x:c>
      <x:c r="W776" s="47" t="n">
        <x:v>2</x:v>
      </x:c>
      <x:c r="X776" s="47" t="n">
        <x:v>11</x:v>
      </x:c>
      <x:c r="Y776" s="41" t="n">
        <x:v>9</x:v>
      </x:c>
    </x:row>
    <x:row r="777">
      <x:c r="A777" s="38" t="str">
        <x:v>7月30日现场数据</x:v>
      </x:c>
      <x:c r="B777" s="66" t="str">
        <x:v>2026-08-02T06:09:02.520000</x:v>
      </x:c>
      <x:c r="C777" s="47" t="n">
        <x:v>300986</x:v>
      </x:c>
      <x:c r="D777" s="47" t="str"/>
      <x:c r="E777" s="47" t="str"/>
      <x:c r="F777" s="47" t="str">
        <x:v>current</x:v>
      </x:c>
      <x:c r="G777" s="47" t="n">
        <x:v>773</x:v>
      </x:c>
      <x:c r="H777" s="53" t="b">
        <x:v>1</x:v>
      </x:c>
      <x:c r="I777" s="47" t="str">
        <x:v>2682537910</x:v>
      </x:c>
      <x:c r="J777" s="47" t="n">
        <x:v>55999857</x:v>
      </x:c>
      <x:c r="K777" s="53" t="b">
        <x:v>1</x:v>
      </x:c>
      <x:c r="L777" s="53" t="b">
        <x:v>1</x:v>
      </x:c>
      <x:c r="M777" s="53" t="b">
        <x:v>1</x:v>
      </x:c>
      <x:c r="N777" s="53" t="b">
        <x:v>1</x:v>
      </x:c>
      <x:c r="O777" s="53" t="b">
        <x:v>1</x:v>
      </x:c>
      <x:c r="P777" s="47" t="n">
        <x:v>1010</x:v>
      </x:c>
      <x:c r="Q777" s="47" t="n">
        <x:v>0</x:v>
      </x:c>
      <x:c r="R777" s="47" t="n">
        <x:v>0</x:v>
      </x:c>
      <x:c r="S777" s="47" t="n">
        <x:v>29.08</x:v>
      </x:c>
      <x:c r="T777" s="47" t="n">
        <x:v>81.16</x:v>
      </x:c>
      <x:c r="U777" s="47" t="n">
        <x:v>28.8</x:v>
      </x:c>
      <x:c r="V777" s="47" t="n">
        <x:v>15.8</x:v>
      </x:c>
      <x:c r="W777" s="47" t="n">
        <x:v>2</x:v>
      </x:c>
      <x:c r="X777" s="47" t="n">
        <x:v>12</x:v>
      </x:c>
      <x:c r="Y777" s="41" t="n">
        <x:v>10</x:v>
      </x:c>
    </x:row>
    <x:row r="778">
      <x:c r="A778" s="38" t="str">
        <x:v>7月30日现场数据</x:v>
      </x:c>
      <x:c r="B778" s="66" t="str">
        <x:v>2026-08-02T06:14:03.543000</x:v>
      </x:c>
      <x:c r="C778" s="47" t="n">
        <x:v>301023</x:v>
      </x:c>
      <x:c r="D778" s="47" t="str"/>
      <x:c r="E778" s="47" t="str"/>
      <x:c r="F778" s="47" t="str">
        <x:v>current</x:v>
      </x:c>
      <x:c r="G778" s="47" t="n">
        <x:v>774</x:v>
      </x:c>
      <x:c r="H778" s="53" t="b">
        <x:v>1</x:v>
      </x:c>
      <x:c r="I778" s="47" t="str">
        <x:v>2682537910</x:v>
      </x:c>
      <x:c r="J778" s="47" t="n">
        <x:v>56300880</x:v>
      </x:c>
      <x:c r="K778" s="53" t="b">
        <x:v>1</x:v>
      </x:c>
      <x:c r="L778" s="53" t="b">
        <x:v>1</x:v>
      </x:c>
      <x:c r="M778" s="53" t="b">
        <x:v>1</x:v>
      </x:c>
      <x:c r="N778" s="53" t="b">
        <x:v>1</x:v>
      </x:c>
      <x:c r="O778" s="53" t="b">
        <x:v>1</x:v>
      </x:c>
      <x:c r="P778" s="47" t="n">
        <x:v>1011</x:v>
      </x:c>
      <x:c r="Q778" s="47" t="n">
        <x:v>0</x:v>
      </x:c>
      <x:c r="R778" s="47" t="n">
        <x:v>0</x:v>
      </x:c>
      <x:c r="S778" s="47" t="n">
        <x:v>29.07</x:v>
      </x:c>
      <x:c r="T778" s="47" t="n">
        <x:v>81.2</x:v>
      </x:c>
      <x:c r="U778" s="47" t="n">
        <x:v>28.9</x:v>
      </x:c>
      <x:c r="V778" s="47" t="n">
        <x:v>15.7</x:v>
      </x:c>
      <x:c r="W778" s="47" t="n">
        <x:v>2</x:v>
      </x:c>
      <x:c r="X778" s="47" t="n">
        <x:v>12</x:v>
      </x:c>
      <x:c r="Y778" s="41" t="n">
        <x:v>10</x:v>
      </x:c>
    </x:row>
    <x:row r="779">
      <x:c r="A779" s="38" t="str">
        <x:v>7月30日现场数据</x:v>
      </x:c>
      <x:c r="B779" s="66" t="str">
        <x:v>2026-08-02T06:19:04.507000</x:v>
      </x:c>
      <x:c r="C779" s="47" t="n">
        <x:v>300964</x:v>
      </x:c>
      <x:c r="D779" s="47" t="str"/>
      <x:c r="E779" s="47" t="str"/>
      <x:c r="F779" s="47" t="str">
        <x:v>current</x:v>
      </x:c>
      <x:c r="G779" s="47" t="n">
        <x:v>775</x:v>
      </x:c>
      <x:c r="H779" s="53" t="b">
        <x:v>1</x:v>
      </x:c>
      <x:c r="I779" s="47" t="str">
        <x:v>2682537910</x:v>
      </x:c>
      <x:c r="J779" s="47" t="n">
        <x:v>56601844</x:v>
      </x:c>
      <x:c r="K779" s="53" t="b">
        <x:v>1</x:v>
      </x:c>
      <x:c r="L779" s="53" t="b">
        <x:v>1</x:v>
      </x:c>
      <x:c r="M779" s="53" t="b">
        <x:v>1</x:v>
      </x:c>
      <x:c r="N779" s="53" t="b">
        <x:v>1</x:v>
      </x:c>
      <x:c r="O779" s="53" t="b">
        <x:v>1</x:v>
      </x:c>
      <x:c r="P779" s="47" t="n">
        <x:v>1010</x:v>
      </x:c>
      <x:c r="Q779" s="47" t="n">
        <x:v>0</x:v>
      </x:c>
      <x:c r="R779" s="47" t="n">
        <x:v>0</x:v>
      </x:c>
      <x:c r="S779" s="47" t="n">
        <x:v>29.07</x:v>
      </x:c>
      <x:c r="T779" s="47" t="n">
        <x:v>81.23</x:v>
      </x:c>
      <x:c r="U779" s="47" t="n">
        <x:v>28.8</x:v>
      </x:c>
      <x:c r="V779" s="47" t="n">
        <x:v>15.8</x:v>
      </x:c>
      <x:c r="W779" s="47" t="n">
        <x:v>2</x:v>
      </x:c>
      <x:c r="X779" s="47" t="n">
        <x:v>13</x:v>
      </x:c>
      <x:c r="Y779" s="41" t="n">
        <x:v>11</x:v>
      </x:c>
    </x:row>
    <x:row r="780">
      <x:c r="A780" s="38" t="str">
        <x:v>7月30日现场数据</x:v>
      </x:c>
      <x:c r="B780" s="66" t="str">
        <x:v>2026-08-02T06:24:05.474000</x:v>
      </x:c>
      <x:c r="C780" s="47" t="n">
        <x:v>300967</x:v>
      </x:c>
      <x:c r="D780" s="47" t="str"/>
      <x:c r="E780" s="47" t="str"/>
      <x:c r="F780" s="47" t="str">
        <x:v>current</x:v>
      </x:c>
      <x:c r="G780" s="47" t="n">
        <x:v>776</x:v>
      </x:c>
      <x:c r="H780" s="53" t="b">
        <x:v>1</x:v>
      </x:c>
      <x:c r="I780" s="47" t="str">
        <x:v>2682537910</x:v>
      </x:c>
      <x:c r="J780" s="47" t="n">
        <x:v>56902811</x:v>
      </x:c>
      <x:c r="K780" s="53" t="b">
        <x:v>1</x:v>
      </x:c>
      <x:c r="L780" s="53" t="b">
        <x:v>1</x:v>
      </x:c>
      <x:c r="M780" s="53" t="b">
        <x:v>1</x:v>
      </x:c>
      <x:c r="N780" s="53" t="b">
        <x:v>1</x:v>
      </x:c>
      <x:c r="O780" s="53" t="b">
        <x:v>1</x:v>
      </x:c>
      <x:c r="P780" s="47" t="n">
        <x:v>1010</x:v>
      </x:c>
      <x:c r="Q780" s="47" t="n">
        <x:v>0</x:v>
      </x:c>
      <x:c r="R780" s="47" t="n">
        <x:v>0</x:v>
      </x:c>
      <x:c r="S780" s="47" t="n">
        <x:v>29.09</x:v>
      </x:c>
      <x:c r="T780" s="47" t="n">
        <x:v>81.33</x:v>
      </x:c>
      <x:c r="U780" s="47" t="n">
        <x:v>28.8</x:v>
      </x:c>
      <x:c r="V780" s="47" t="n">
        <x:v>15.8</x:v>
      </x:c>
      <x:c r="W780" s="47" t="n">
        <x:v>2</x:v>
      </x:c>
      <x:c r="X780" s="47" t="n">
        <x:v>13</x:v>
      </x:c>
      <x:c r="Y780" s="41" t="n">
        <x:v>11</x:v>
      </x:c>
    </x:row>
    <x:row r="781">
      <x:c r="A781" s="38" t="str">
        <x:v>7月30日现场数据</x:v>
      </x:c>
      <x:c r="B781" s="66" t="str">
        <x:v>2026-08-02T06:29:06.441000</x:v>
      </x:c>
      <x:c r="C781" s="47" t="n">
        <x:v>300967</x:v>
      </x:c>
      <x:c r="D781" s="47" t="str"/>
      <x:c r="E781" s="47" t="str"/>
      <x:c r="F781" s="47" t="str">
        <x:v>current</x:v>
      </x:c>
      <x:c r="G781" s="47" t="n">
        <x:v>777</x:v>
      </x:c>
      <x:c r="H781" s="53" t="b">
        <x:v>1</x:v>
      </x:c>
      <x:c r="I781" s="47" t="str">
        <x:v>2682537910</x:v>
      </x:c>
      <x:c r="J781" s="47" t="n">
        <x:v>57203778</x:v>
      </x:c>
      <x:c r="K781" s="53" t="b">
        <x:v>1</x:v>
      </x:c>
      <x:c r="L781" s="53" t="b">
        <x:v>1</x:v>
      </x:c>
      <x:c r="M781" s="53" t="b">
        <x:v>1</x:v>
      </x:c>
      <x:c r="N781" s="53" t="b">
        <x:v>1</x:v>
      </x:c>
      <x:c r="O781" s="53" t="b">
        <x:v>1</x:v>
      </x:c>
      <x:c r="P781" s="47" t="n">
        <x:v>1011</x:v>
      </x:c>
      <x:c r="Q781" s="47" t="n">
        <x:v>0</x:v>
      </x:c>
      <x:c r="R781" s="47" t="n">
        <x:v>0</x:v>
      </x:c>
      <x:c r="S781" s="47" t="n">
        <x:v>29.14</x:v>
      </x:c>
      <x:c r="T781" s="47" t="n">
        <x:v>81.42</x:v>
      </x:c>
      <x:c r="U781" s="47" t="n">
        <x:v>28.8</x:v>
      </x:c>
      <x:c r="V781" s="47" t="n">
        <x:v>15.7</x:v>
      </x:c>
      <x:c r="W781" s="47" t="n">
        <x:v>2</x:v>
      </x:c>
      <x:c r="X781" s="47" t="n">
        <x:v>14</x:v>
      </x:c>
      <x:c r="Y781" s="41" t="n">
        <x:v>12</x:v>
      </x:c>
    </x:row>
    <x:row r="782">
      <x:c r="A782" s="38" t="str">
        <x:v>7月30日现场数据</x:v>
      </x:c>
      <x:c r="B782" s="66" t="str">
        <x:v>2026-08-02T06:34:07.410000</x:v>
      </x:c>
      <x:c r="C782" s="47" t="n">
        <x:v>300969</x:v>
      </x:c>
      <x:c r="D782" s="47" t="str"/>
      <x:c r="E782" s="47" t="str"/>
      <x:c r="F782" s="47" t="str">
        <x:v>current</x:v>
      </x:c>
      <x:c r="G782" s="47" t="n">
        <x:v>778</x:v>
      </x:c>
      <x:c r="H782" s="53" t="b">
        <x:v>1</x:v>
      </x:c>
      <x:c r="I782" s="47" t="str">
        <x:v>2682537910</x:v>
      </x:c>
      <x:c r="J782" s="47" t="n">
        <x:v>57504747</x:v>
      </x:c>
      <x:c r="K782" s="53" t="b">
        <x:v>1</x:v>
      </x:c>
      <x:c r="L782" s="53" t="b">
        <x:v>1</x:v>
      </x:c>
      <x:c r="M782" s="53" t="b">
        <x:v>1</x:v>
      </x:c>
      <x:c r="N782" s="53" t="b">
        <x:v>1</x:v>
      </x:c>
      <x:c r="O782" s="53" t="b">
        <x:v>1</x:v>
      </x:c>
      <x:c r="P782" s="47" t="n">
        <x:v>1011</x:v>
      </x:c>
      <x:c r="Q782" s="47" t="n">
        <x:v>0</x:v>
      </x:c>
      <x:c r="R782" s="47" t="n">
        <x:v>0</x:v>
      </x:c>
      <x:c r="S782" s="47" t="n">
        <x:v>29.15</x:v>
      </x:c>
      <x:c r="T782" s="47" t="n">
        <x:v>81.44</x:v>
      </x:c>
      <x:c r="U782" s="47" t="n">
        <x:v>28.8</x:v>
      </x:c>
      <x:c r="V782" s="47" t="n">
        <x:v>15.7</x:v>
      </x:c>
      <x:c r="W782" s="47" t="n">
        <x:v>3</x:v>
      </x:c>
      <x:c r="X782" s="47" t="n">
        <x:v>15</x:v>
      </x:c>
      <x:c r="Y782" s="41" t="n">
        <x:v>12</x:v>
      </x:c>
    </x:row>
    <x:row r="783">
      <x:c r="A783" s="38" t="str">
        <x:v>7月30日现场数据</x:v>
      </x:c>
      <x:c r="B783" s="66" t="str">
        <x:v>2026-08-02T06:39:08.383000</x:v>
      </x:c>
      <x:c r="C783" s="47" t="n">
        <x:v>300973</x:v>
      </x:c>
      <x:c r="D783" s="47" t="str"/>
      <x:c r="E783" s="47" t="str"/>
      <x:c r="F783" s="47" t="str">
        <x:v>current</x:v>
      </x:c>
      <x:c r="G783" s="47" t="n">
        <x:v>779</x:v>
      </x:c>
      <x:c r="H783" s="53" t="b">
        <x:v>1</x:v>
      </x:c>
      <x:c r="I783" s="47" t="str">
        <x:v>2682537910</x:v>
      </x:c>
      <x:c r="J783" s="47" t="n">
        <x:v>57805720</x:v>
      </x:c>
      <x:c r="K783" s="53" t="b">
        <x:v>1</x:v>
      </x:c>
      <x:c r="L783" s="53" t="b">
        <x:v>1</x:v>
      </x:c>
      <x:c r="M783" s="53" t="b">
        <x:v>1</x:v>
      </x:c>
      <x:c r="N783" s="53" t="b">
        <x:v>1</x:v>
      </x:c>
      <x:c r="O783" s="53" t="b">
        <x:v>1</x:v>
      </x:c>
      <x:c r="P783" s="47" t="n">
        <x:v>1011</x:v>
      </x:c>
      <x:c r="Q783" s="47" t="n">
        <x:v>0</x:v>
      </x:c>
      <x:c r="R783" s="47" t="n">
        <x:v>0</x:v>
      </x:c>
      <x:c r="S783" s="47" t="n">
        <x:v>29.21</x:v>
      </x:c>
      <x:c r="T783" s="47" t="n">
        <x:v>81.52</x:v>
      </x:c>
      <x:c r="U783" s="47" t="n">
        <x:v>28.8</x:v>
      </x:c>
      <x:c r="V783" s="47" t="n">
        <x:v>15.7</x:v>
      </x:c>
      <x:c r="W783" s="47" t="n">
        <x:v>3</x:v>
      </x:c>
      <x:c r="X783" s="47" t="n">
        <x:v>16</x:v>
      </x:c>
      <x:c r="Y783" s="41" t="n">
        <x:v>13</x:v>
      </x:c>
    </x:row>
    <x:row r="784">
      <x:c r="A784" s="38" t="str">
        <x:v>7月30日现场数据</x:v>
      </x:c>
      <x:c r="B784" s="66" t="str">
        <x:v>2026-08-02T06:44:09.357000</x:v>
      </x:c>
      <x:c r="C784" s="47" t="n">
        <x:v>300974</x:v>
      </x:c>
      <x:c r="D784" s="47" t="str"/>
      <x:c r="E784" s="47" t="str"/>
      <x:c r="F784" s="47" t="str">
        <x:v>current</x:v>
      </x:c>
      <x:c r="G784" s="47" t="n">
        <x:v>780</x:v>
      </x:c>
      <x:c r="H784" s="53" t="b">
        <x:v>1</x:v>
      </x:c>
      <x:c r="I784" s="47" t="str">
        <x:v>2682537910</x:v>
      </x:c>
      <x:c r="J784" s="47" t="n">
        <x:v>58106694</x:v>
      </x:c>
      <x:c r="K784" s="53" t="b">
        <x:v>1</x:v>
      </x:c>
      <x:c r="L784" s="53" t="b">
        <x:v>1</x:v>
      </x:c>
      <x:c r="M784" s="53" t="b">
        <x:v>1</x:v>
      </x:c>
      <x:c r="N784" s="53" t="b">
        <x:v>1</x:v>
      </x:c>
      <x:c r="O784" s="53" t="b">
        <x:v>1</x:v>
      </x:c>
      <x:c r="P784" s="47" t="n">
        <x:v>1011</x:v>
      </x:c>
      <x:c r="Q784" s="47" t="n">
        <x:v>0</x:v>
      </x:c>
      <x:c r="R784" s="47" t="n">
        <x:v>0</x:v>
      </x:c>
      <x:c r="S784" s="47" t="n">
        <x:v>29.26</x:v>
      </x:c>
      <x:c r="T784" s="47" t="n">
        <x:v>81.56</x:v>
      </x:c>
      <x:c r="U784" s="47" t="n">
        <x:v>28.8</x:v>
      </x:c>
      <x:c r="V784" s="47" t="n">
        <x:v>15.7</x:v>
      </x:c>
      <x:c r="W784" s="47" t="n">
        <x:v>3</x:v>
      </x:c>
      <x:c r="X784" s="47" t="n">
        <x:v>17</x:v>
      </x:c>
      <x:c r="Y784" s="41" t="n">
        <x:v>14</x:v>
      </x:c>
    </x:row>
    <x:row r="785">
      <x:c r="A785" s="38" t="str">
        <x:v>7月30日现场数据</x:v>
      </x:c>
      <x:c r="B785" s="66" t="str">
        <x:v>2026-08-02T06:49:10.332000</x:v>
      </x:c>
      <x:c r="C785" s="47" t="n">
        <x:v>300975</x:v>
      </x:c>
      <x:c r="D785" s="47" t="str"/>
      <x:c r="E785" s="47" t="str"/>
      <x:c r="F785" s="47" t="str">
        <x:v>current</x:v>
      </x:c>
      <x:c r="G785" s="47" t="n">
        <x:v>781</x:v>
      </x:c>
      <x:c r="H785" s="53" t="b">
        <x:v>1</x:v>
      </x:c>
      <x:c r="I785" s="47" t="str">
        <x:v>2682537910</x:v>
      </x:c>
      <x:c r="J785" s="47" t="n">
        <x:v>58407669</x:v>
      </x:c>
      <x:c r="K785" s="53" t="b">
        <x:v>1</x:v>
      </x:c>
      <x:c r="L785" s="53" t="b">
        <x:v>1</x:v>
      </x:c>
      <x:c r="M785" s="53" t="b">
        <x:v>1</x:v>
      </x:c>
      <x:c r="N785" s="53" t="b">
        <x:v>1</x:v>
      </x:c>
      <x:c r="O785" s="53" t="b">
        <x:v>1</x:v>
      </x:c>
      <x:c r="P785" s="47" t="n">
        <x:v>1011</x:v>
      </x:c>
      <x:c r="Q785" s="47" t="n">
        <x:v>0</x:v>
      </x:c>
      <x:c r="R785" s="47" t="n">
        <x:v>0</x:v>
      </x:c>
      <x:c r="S785" s="47" t="n">
        <x:v>29.36</x:v>
      </x:c>
      <x:c r="T785" s="47" t="n">
        <x:v>81.6</x:v>
      </x:c>
      <x:c r="U785" s="47" t="n">
        <x:v>28.8</x:v>
      </x:c>
      <x:c r="V785" s="47" t="n">
        <x:v>15.7</x:v>
      </x:c>
      <x:c r="W785" s="47" t="n">
        <x:v>3</x:v>
      </x:c>
      <x:c r="X785" s="47" t="n">
        <x:v>18</x:v>
      </x:c>
      <x:c r="Y785" s="41" t="n">
        <x:v>15</x:v>
      </x:c>
    </x:row>
    <x:row r="786">
      <x:c r="A786" s="38" t="str">
        <x:v>7月30日现场数据</x:v>
      </x:c>
      <x:c r="B786" s="66" t="str">
        <x:v>2026-08-02T06:54:11.310000</x:v>
      </x:c>
      <x:c r="C786" s="47" t="n">
        <x:v>300978</x:v>
      </x:c>
      <x:c r="D786" s="47" t="str"/>
      <x:c r="E786" s="47" t="str"/>
      <x:c r="F786" s="47" t="str">
        <x:v>current</x:v>
      </x:c>
      <x:c r="G786" s="47" t="n">
        <x:v>782</x:v>
      </x:c>
      <x:c r="H786" s="53" t="b">
        <x:v>1</x:v>
      </x:c>
      <x:c r="I786" s="47" t="str">
        <x:v>2682537910</x:v>
      </x:c>
      <x:c r="J786" s="47" t="n">
        <x:v>58708647</x:v>
      </x:c>
      <x:c r="K786" s="53" t="b">
        <x:v>1</x:v>
      </x:c>
      <x:c r="L786" s="53" t="b">
        <x:v>1</x:v>
      </x:c>
      <x:c r="M786" s="53" t="b">
        <x:v>1</x:v>
      </x:c>
      <x:c r="N786" s="53" t="b">
        <x:v>1</x:v>
      </x:c>
      <x:c r="O786" s="53" t="b">
        <x:v>1</x:v>
      </x:c>
      <x:c r="P786" s="47" t="n">
        <x:v>1011</x:v>
      </x:c>
      <x:c r="Q786" s="47" t="n">
        <x:v>0.043</x:v>
      </x:c>
      <x:c r="R786" s="47" t="n">
        <x:v>1.154</x:v>
      </x:c>
      <x:c r="S786" s="47" t="n">
        <x:v>29.43</x:v>
      </x:c>
      <x:c r="T786" s="47" t="n">
        <x:v>81.68</x:v>
      </x:c>
      <x:c r="U786" s="47" t="n">
        <x:v>28.8</x:v>
      </x:c>
      <x:c r="V786" s="47" t="n">
        <x:v>15.7</x:v>
      </x:c>
      <x:c r="W786" s="47" t="n">
        <x:v>4</x:v>
      </x:c>
      <x:c r="X786" s="47" t="n">
        <x:v>19</x:v>
      </x:c>
      <x:c r="Y786" s="41" t="n">
        <x:v>15</x:v>
      </x:c>
    </x:row>
    <x:row r="787">
      <x:c r="A787" s="38" t="str">
        <x:v>7月30日现场数据</x:v>
      </x:c>
      <x:c r="B787" s="66" t="str">
        <x:v>2026-08-02T06:59:12.289000</x:v>
      </x:c>
      <x:c r="C787" s="47" t="n">
        <x:v>300979</x:v>
      </x:c>
      <x:c r="D787" s="47" t="str"/>
      <x:c r="E787" s="47" t="str"/>
      <x:c r="F787" s="47" t="str">
        <x:v>current</x:v>
      </x:c>
      <x:c r="G787" s="47" t="n">
        <x:v>783</x:v>
      </x:c>
      <x:c r="H787" s="53" t="b">
        <x:v>1</x:v>
      </x:c>
      <x:c r="I787" s="47" t="str">
        <x:v>2682537910</x:v>
      </x:c>
      <x:c r="J787" s="47" t="n">
        <x:v>59009626</x:v>
      </x:c>
      <x:c r="K787" s="53" t="b">
        <x:v>1</x:v>
      </x:c>
      <x:c r="L787" s="53" t="b">
        <x:v>1</x:v>
      </x:c>
      <x:c r="M787" s="53" t="b">
        <x:v>1</x:v>
      </x:c>
      <x:c r="N787" s="53" t="b">
        <x:v>1</x:v>
      </x:c>
      <x:c r="O787" s="53" t="b">
        <x:v>1</x:v>
      </x:c>
      <x:c r="P787" s="47" t="n">
        <x:v>1011</x:v>
      </x:c>
      <x:c r="Q787" s="47" t="n">
        <x:v>0</x:v>
      </x:c>
      <x:c r="R787" s="47" t="n">
        <x:v>0</x:v>
      </x:c>
      <x:c r="S787" s="47" t="n">
        <x:v>29.52</x:v>
      </x:c>
      <x:c r="T787" s="47" t="n">
        <x:v>81.77</x:v>
      </x:c>
      <x:c r="U787" s="47" t="n">
        <x:v>28.8</x:v>
      </x:c>
      <x:c r="V787" s="47" t="n">
        <x:v>15.7</x:v>
      </x:c>
      <x:c r="W787" s="47" t="n">
        <x:v>4</x:v>
      </x:c>
      <x:c r="X787" s="47" t="n">
        <x:v>20</x:v>
      </x:c>
      <x:c r="Y787" s="41" t="n">
        <x:v>16</x:v>
      </x:c>
    </x:row>
    <x:row r="788">
      <x:c r="A788" s="38" t="str">
        <x:v>7月30日现场数据</x:v>
      </x:c>
      <x:c r="B788" s="66" t="str">
        <x:v>2026-08-02T07:04:13.269000</x:v>
      </x:c>
      <x:c r="C788" s="47" t="n">
        <x:v>300980</x:v>
      </x:c>
      <x:c r="D788" s="47" t="str"/>
      <x:c r="E788" s="47" t="str"/>
      <x:c r="F788" s="47" t="str">
        <x:v>current</x:v>
      </x:c>
      <x:c r="G788" s="47" t="n">
        <x:v>784</x:v>
      </x:c>
      <x:c r="H788" s="53" t="b">
        <x:v>1</x:v>
      </x:c>
      <x:c r="I788" s="47" t="str">
        <x:v>2682537910</x:v>
      </x:c>
      <x:c r="J788" s="47" t="n">
        <x:v>59310606</x:v>
      </x:c>
      <x:c r="K788" s="53" t="b">
        <x:v>1</x:v>
      </x:c>
      <x:c r="L788" s="53" t="b">
        <x:v>1</x:v>
      </x:c>
      <x:c r="M788" s="53" t="b">
        <x:v>1</x:v>
      </x:c>
      <x:c r="N788" s="53" t="b">
        <x:v>1</x:v>
      </x:c>
      <x:c r="O788" s="53" t="b">
        <x:v>1</x:v>
      </x:c>
      <x:c r="P788" s="47" t="n">
        <x:v>1009</x:v>
      </x:c>
      <x:c r="Q788" s="47" t="n">
        <x:v>0</x:v>
      </x:c>
      <x:c r="R788" s="47" t="n">
        <x:v>0</x:v>
      </x:c>
      <x:c r="S788" s="47" t="n">
        <x:v>29.63</x:v>
      </x:c>
      <x:c r="T788" s="47" t="n">
        <x:v>81.85</x:v>
      </x:c>
      <x:c r="U788" s="47" t="n">
        <x:v>28.8</x:v>
      </x:c>
      <x:c r="V788" s="47" t="n">
        <x:v>15.7</x:v>
      </x:c>
      <x:c r="W788" s="47" t="n">
        <x:v>4</x:v>
      </x:c>
      <x:c r="X788" s="47" t="n">
        <x:v>22</x:v>
      </x:c>
      <x:c r="Y788" s="41" t="n">
        <x:v>18</x:v>
      </x:c>
    </x:row>
    <x:row r="789">
      <x:c r="A789" s="38" t="str">
        <x:v>7月30日现场数据</x:v>
      </x:c>
      <x:c r="B789" s="66" t="str">
        <x:v>2026-08-02T07:09:14.253000</x:v>
      </x:c>
      <x:c r="C789" s="47" t="n">
        <x:v>300984</x:v>
      </x:c>
      <x:c r="D789" s="47" t="str"/>
      <x:c r="E789" s="47" t="str"/>
      <x:c r="F789" s="47" t="str">
        <x:v>current</x:v>
      </x:c>
      <x:c r="G789" s="47" t="n">
        <x:v>785</x:v>
      </x:c>
      <x:c r="H789" s="53" t="b">
        <x:v>1</x:v>
      </x:c>
      <x:c r="I789" s="47" t="str">
        <x:v>2682537910</x:v>
      </x:c>
      <x:c r="J789" s="47" t="n">
        <x:v>59611590</x:v>
      </x:c>
      <x:c r="K789" s="53" t="b">
        <x:v>1</x:v>
      </x:c>
      <x:c r="L789" s="53" t="b">
        <x:v>1</x:v>
      </x:c>
      <x:c r="M789" s="53" t="b">
        <x:v>1</x:v>
      </x:c>
      <x:c r="N789" s="53" t="b">
        <x:v>1</x:v>
      </x:c>
      <x:c r="O789" s="53" t="b">
        <x:v>1</x:v>
      </x:c>
      <x:c r="P789" s="47" t="n">
        <x:v>1011</x:v>
      </x:c>
      <x:c r="Q789" s="47" t="n">
        <x:v>0</x:v>
      </x:c>
      <x:c r="R789" s="47" t="n">
        <x:v>0</x:v>
      </x:c>
      <x:c r="S789" s="47" t="n">
        <x:v>29.72</x:v>
      </x:c>
      <x:c r="T789" s="47" t="n">
        <x:v>81.92</x:v>
      </x:c>
      <x:c r="U789" s="47" t="n">
        <x:v>28.8</x:v>
      </x:c>
      <x:c r="V789" s="47" t="n">
        <x:v>15.7</x:v>
      </x:c>
      <x:c r="W789" s="47" t="n">
        <x:v>4</x:v>
      </x:c>
      <x:c r="X789" s="47" t="n">
        <x:v>22</x:v>
      </x:c>
      <x:c r="Y789" s="41" t="n">
        <x:v>18</x:v>
      </x:c>
    </x:row>
    <x:row r="790">
      <x:c r="A790" s="38" t="str">
        <x:v>7月30日现场数据</x:v>
      </x:c>
      <x:c r="B790" s="66" t="str">
        <x:v>2026-08-02T07:14:15.238000</x:v>
      </x:c>
      <x:c r="C790" s="47" t="n">
        <x:v>300985</x:v>
      </x:c>
      <x:c r="D790" s="47" t="str"/>
      <x:c r="E790" s="47" t="str"/>
      <x:c r="F790" s="47" t="str">
        <x:v>current</x:v>
      </x:c>
      <x:c r="G790" s="47" t="n">
        <x:v>786</x:v>
      </x:c>
      <x:c r="H790" s="53" t="b">
        <x:v>1</x:v>
      </x:c>
      <x:c r="I790" s="47" t="str">
        <x:v>2682537910</x:v>
      </x:c>
      <x:c r="J790" s="47" t="n">
        <x:v>59912575</x:v>
      </x:c>
      <x:c r="K790" s="53" t="b">
        <x:v>1</x:v>
      </x:c>
      <x:c r="L790" s="53" t="b">
        <x:v>1</x:v>
      </x:c>
      <x:c r="M790" s="53" t="b">
        <x:v>1</x:v>
      </x:c>
      <x:c r="N790" s="53" t="b">
        <x:v>1</x:v>
      </x:c>
      <x:c r="O790" s="53" t="b">
        <x:v>1</x:v>
      </x:c>
      <x:c r="P790" s="47" t="n">
        <x:v>1011</x:v>
      </x:c>
      <x:c r="Q790" s="47" t="n">
        <x:v>0</x:v>
      </x:c>
      <x:c r="R790" s="47" t="n">
        <x:v>0</x:v>
      </x:c>
      <x:c r="S790" s="47" t="n">
        <x:v>29.82</x:v>
      </x:c>
      <x:c r="T790" s="47" t="n">
        <x:v>81.92</x:v>
      </x:c>
      <x:c r="U790" s="47" t="n">
        <x:v>28.8</x:v>
      </x:c>
      <x:c r="V790" s="47" t="n">
        <x:v>15.7</x:v>
      </x:c>
      <x:c r="W790" s="47" t="n">
        <x:v>4</x:v>
      </x:c>
      <x:c r="X790" s="47" t="n">
        <x:v>23</x:v>
      </x:c>
      <x:c r="Y790" s="41" t="n">
        <x:v>19</x:v>
      </x:c>
    </x:row>
    <x:row r="791">
      <x:c r="A791" s="38" t="str">
        <x:v>7月30日现场数据</x:v>
      </x:c>
      <x:c r="B791" s="66" t="str">
        <x:v>2026-08-02T07:19:16.223000</x:v>
      </x:c>
      <x:c r="C791" s="47" t="n">
        <x:v>300985</x:v>
      </x:c>
      <x:c r="D791" s="47" t="str"/>
      <x:c r="E791" s="47" t="str"/>
      <x:c r="F791" s="47" t="str">
        <x:v>current</x:v>
      </x:c>
      <x:c r="G791" s="47" t="n">
        <x:v>787</x:v>
      </x:c>
      <x:c r="H791" s="53" t="b">
        <x:v>1</x:v>
      </x:c>
      <x:c r="I791" s="47" t="str">
        <x:v>2682537910</x:v>
      </x:c>
      <x:c r="J791" s="47" t="n">
        <x:v>60213560</x:v>
      </x:c>
      <x:c r="K791" s="53" t="b">
        <x:v>1</x:v>
      </x:c>
      <x:c r="L791" s="53" t="b">
        <x:v>1</x:v>
      </x:c>
      <x:c r="M791" s="53" t="b">
        <x:v>1</x:v>
      </x:c>
      <x:c r="N791" s="53" t="b">
        <x:v>1</x:v>
      </x:c>
      <x:c r="O791" s="53" t="b">
        <x:v>1</x:v>
      </x:c>
      <x:c r="P791" s="47" t="n">
        <x:v>1011</x:v>
      </x:c>
      <x:c r="Q791" s="47" t="n">
        <x:v>0</x:v>
      </x:c>
      <x:c r="R791" s="47" t="n">
        <x:v>0</x:v>
      </x:c>
      <x:c r="S791" s="47" t="n">
        <x:v>29.94</x:v>
      </x:c>
      <x:c r="T791" s="47" t="n">
        <x:v>81.97</x:v>
      </x:c>
      <x:c r="U791" s="47" t="n">
        <x:v>28.8</x:v>
      </x:c>
      <x:c r="V791" s="47" t="n">
        <x:v>15.7</x:v>
      </x:c>
      <x:c r="W791" s="47" t="n">
        <x:v>4</x:v>
      </x:c>
      <x:c r="X791" s="47" t="n">
        <x:v>25</x:v>
      </x:c>
      <x:c r="Y791" s="41" t="n">
        <x:v>21</x:v>
      </x:c>
    </x:row>
    <x:row r="792">
      <x:c r="A792" s="38" t="str">
        <x:v>7月30日现场数据</x:v>
      </x:c>
      <x:c r="B792" s="66" t="str">
        <x:v>2026-08-02T07:24:17.213000</x:v>
      </x:c>
      <x:c r="C792" s="47" t="n">
        <x:v>300990</x:v>
      </x:c>
      <x:c r="D792" s="47" t="str"/>
      <x:c r="E792" s="47" t="str"/>
      <x:c r="F792" s="47" t="str">
        <x:v>current</x:v>
      </x:c>
      <x:c r="G792" s="47" t="n">
        <x:v>788</x:v>
      </x:c>
      <x:c r="H792" s="53" t="b">
        <x:v>1</x:v>
      </x:c>
      <x:c r="I792" s="47" t="str">
        <x:v>2682537910</x:v>
      </x:c>
      <x:c r="J792" s="47" t="n">
        <x:v>60514550</x:v>
      </x:c>
      <x:c r="K792" s="53" t="b">
        <x:v>1</x:v>
      </x:c>
      <x:c r="L792" s="53" t="b">
        <x:v>1</x:v>
      </x:c>
      <x:c r="M792" s="53" t="b">
        <x:v>1</x:v>
      </x:c>
      <x:c r="N792" s="53" t="b">
        <x:v>1</x:v>
      </x:c>
      <x:c r="O792" s="53" t="b">
        <x:v>1</x:v>
      </x:c>
      <x:c r="P792" s="47" t="n">
        <x:v>1011</x:v>
      </x:c>
      <x:c r="Q792" s="47" t="n">
        <x:v>0</x:v>
      </x:c>
      <x:c r="R792" s="47" t="n">
        <x:v>0</x:v>
      </x:c>
      <x:c r="S792" s="47" t="n">
        <x:v>30.07</x:v>
      </x:c>
      <x:c r="T792" s="47" t="n">
        <x:v>82.07</x:v>
      </x:c>
      <x:c r="U792" s="47" t="n">
        <x:v>28.8</x:v>
      </x:c>
      <x:c r="V792" s="47" t="n">
        <x:v>15.7</x:v>
      </x:c>
      <x:c r="W792" s="47" t="n">
        <x:v>4</x:v>
      </x:c>
      <x:c r="X792" s="47" t="n">
        <x:v>27</x:v>
      </x:c>
      <x:c r="Y792" s="41" t="n">
        <x:v>23</x:v>
      </x:c>
    </x:row>
    <x:row r="793">
      <x:c r="A793" s="38" t="str">
        <x:v>7月30日现场数据</x:v>
      </x:c>
      <x:c r="B793" s="66" t="str">
        <x:v>2026-08-02T07:29:18.202000</x:v>
      </x:c>
      <x:c r="C793" s="47" t="n">
        <x:v>300989</x:v>
      </x:c>
      <x:c r="D793" s="47" t="str"/>
      <x:c r="E793" s="47" t="str"/>
      <x:c r="F793" s="47" t="str">
        <x:v>current</x:v>
      </x:c>
      <x:c r="G793" s="47" t="n">
        <x:v>789</x:v>
      </x:c>
      <x:c r="H793" s="53" t="b">
        <x:v>1</x:v>
      </x:c>
      <x:c r="I793" s="47" t="str">
        <x:v>2682537910</x:v>
      </x:c>
      <x:c r="J793" s="47" t="n">
        <x:v>60815539</x:v>
      </x:c>
      <x:c r="K793" s="53" t="b">
        <x:v>1</x:v>
      </x:c>
      <x:c r="L793" s="53" t="b">
        <x:v>1</x:v>
      </x:c>
      <x:c r="M793" s="53" t="b">
        <x:v>1</x:v>
      </x:c>
      <x:c r="N793" s="53" t="b">
        <x:v>1</x:v>
      </x:c>
      <x:c r="O793" s="53" t="b">
        <x:v>1</x:v>
      </x:c>
      <x:c r="P793" s="47" t="n">
        <x:v>1011</x:v>
      </x:c>
      <x:c r="Q793" s="47" t="n">
        <x:v>0</x:v>
      </x:c>
      <x:c r="R793" s="47" t="n">
        <x:v>0</x:v>
      </x:c>
      <x:c r="S793" s="47" t="n">
        <x:v>30.22</x:v>
      </x:c>
      <x:c r="T793" s="47" t="n">
        <x:v>82.12</x:v>
      </x:c>
      <x:c r="U793" s="47" t="n">
        <x:v>28.8</x:v>
      </x:c>
      <x:c r="V793" s="47" t="n">
        <x:v>15.7</x:v>
      </x:c>
      <x:c r="W793" s="47" t="n">
        <x:v>5</x:v>
      </x:c>
      <x:c r="X793" s="47" t="n">
        <x:v>30</x:v>
      </x:c>
      <x:c r="Y793" s="41" t="n">
        <x:v>25</x:v>
      </x:c>
    </x:row>
    <x:row r="794">
      <x:c r="A794" s="38" t="str">
        <x:v>7月30日现场数据</x:v>
      </x:c>
      <x:c r="B794" s="66" t="str">
        <x:v>2026-08-02T07:34:19.229000</x:v>
      </x:c>
      <x:c r="C794" s="47" t="n">
        <x:v>301027</x:v>
      </x:c>
      <x:c r="D794" s="47" t="str"/>
      <x:c r="E794" s="47" t="str"/>
      <x:c r="F794" s="47" t="str">
        <x:v>current</x:v>
      </x:c>
      <x:c r="G794" s="47" t="n">
        <x:v>790</x:v>
      </x:c>
      <x:c r="H794" s="53" t="b">
        <x:v>1</x:v>
      </x:c>
      <x:c r="I794" s="47" t="str">
        <x:v>2682537910</x:v>
      </x:c>
      <x:c r="J794" s="47" t="n">
        <x:v>61116566</x:v>
      </x:c>
      <x:c r="K794" s="53" t="b">
        <x:v>1</x:v>
      </x:c>
      <x:c r="L794" s="53" t="b">
        <x:v>1</x:v>
      </x:c>
      <x:c r="M794" s="53" t="b">
        <x:v>1</x:v>
      </x:c>
      <x:c r="N794" s="53" t="b">
        <x:v>1</x:v>
      </x:c>
      <x:c r="O794" s="53" t="b">
        <x:v>1</x:v>
      </x:c>
      <x:c r="P794" s="47" t="n">
        <x:v>1011</x:v>
      </x:c>
      <x:c r="Q794" s="47" t="n">
        <x:v>0</x:v>
      </x:c>
      <x:c r="R794" s="47" t="n">
        <x:v>0</x:v>
      </x:c>
      <x:c r="S794" s="47" t="n">
        <x:v>30.37</x:v>
      </x:c>
      <x:c r="T794" s="47" t="n">
        <x:v>82.23</x:v>
      </x:c>
      <x:c r="U794" s="47" t="n">
        <x:v>28.8</x:v>
      </x:c>
      <x:c r="V794" s="47" t="n">
        <x:v>15.7</x:v>
      </x:c>
      <x:c r="W794" s="47" t="n">
        <x:v>5</x:v>
      </x:c>
      <x:c r="X794" s="47" t="n">
        <x:v>32</x:v>
      </x:c>
      <x:c r="Y794" s="41" t="n">
        <x:v>27</x:v>
      </x:c>
    </x:row>
    <x:row r="795">
      <x:c r="A795" s="38" t="str">
        <x:v>7月30日现场数据</x:v>
      </x:c>
      <x:c r="B795" s="66" t="str">
        <x:v>2026-08-02T07:39:20.197000</x:v>
      </x:c>
      <x:c r="C795" s="47" t="n">
        <x:v>300968</x:v>
      </x:c>
      <x:c r="D795" s="47" t="str"/>
      <x:c r="E795" s="47" t="str"/>
      <x:c r="F795" s="47" t="str">
        <x:v>current</x:v>
      </x:c>
      <x:c r="G795" s="47" t="n">
        <x:v>791</x:v>
      </x:c>
      <x:c r="H795" s="53" t="b">
        <x:v>1</x:v>
      </x:c>
      <x:c r="I795" s="47" t="str">
        <x:v>2682537910</x:v>
      </x:c>
      <x:c r="J795" s="47" t="n">
        <x:v>61417534</x:v>
      </x:c>
      <x:c r="K795" s="53" t="b">
        <x:v>1</x:v>
      </x:c>
      <x:c r="L795" s="53" t="b">
        <x:v>1</x:v>
      </x:c>
      <x:c r="M795" s="53" t="b">
        <x:v>1</x:v>
      </x:c>
      <x:c r="N795" s="53" t="b">
        <x:v>1</x:v>
      </x:c>
      <x:c r="O795" s="53" t="b">
        <x:v>1</x:v>
      </x:c>
      <x:c r="P795" s="47" t="n">
        <x:v>1010</x:v>
      </x:c>
      <x:c r="Q795" s="47" t="n">
        <x:v>0</x:v>
      </x:c>
      <x:c r="R795" s="47" t="n">
        <x:v>0</x:v>
      </x:c>
      <x:c r="S795" s="47" t="n">
        <x:v>30.54</x:v>
      </x:c>
      <x:c r="T795" s="47" t="n">
        <x:v>82.27</x:v>
      </x:c>
      <x:c r="U795" s="47" t="n">
        <x:v>28.8</x:v>
      </x:c>
      <x:c r="V795" s="47" t="n">
        <x:v>15.7</x:v>
      </x:c>
      <x:c r="W795" s="47" t="n">
        <x:v>6</x:v>
      </x:c>
      <x:c r="X795" s="47" t="n">
        <x:v>35</x:v>
      </x:c>
      <x:c r="Y795" s="41" t="n">
        <x:v>29</x:v>
      </x:c>
    </x:row>
    <x:row r="796">
      <x:c r="A796" s="38" t="str">
        <x:v>7月30日现场数据</x:v>
      </x:c>
      <x:c r="B796" s="66" t="str">
        <x:v>2026-08-02T07:44:21.167000</x:v>
      </x:c>
      <x:c r="C796" s="47" t="n">
        <x:v>300970</x:v>
      </x:c>
      <x:c r="D796" s="47" t="str"/>
      <x:c r="E796" s="47" t="str"/>
      <x:c r="F796" s="47" t="str">
        <x:v>current</x:v>
      </x:c>
      <x:c r="G796" s="47" t="n">
        <x:v>792</x:v>
      </x:c>
      <x:c r="H796" s="53" t="b">
        <x:v>1</x:v>
      </x:c>
      <x:c r="I796" s="47" t="str">
        <x:v>2682537910</x:v>
      </x:c>
      <x:c r="J796" s="47" t="n">
        <x:v>61718504</x:v>
      </x:c>
      <x:c r="K796" s="53" t="b">
        <x:v>1</x:v>
      </x:c>
      <x:c r="L796" s="53" t="b">
        <x:v>1</x:v>
      </x:c>
      <x:c r="M796" s="53" t="b">
        <x:v>1</x:v>
      </x:c>
      <x:c r="N796" s="53" t="b">
        <x:v>1</x:v>
      </x:c>
      <x:c r="O796" s="53" t="b">
        <x:v>1</x:v>
      </x:c>
      <x:c r="P796" s="47" t="n">
        <x:v>1010</x:v>
      </x:c>
      <x:c r="Q796" s="47" t="n">
        <x:v>0</x:v>
      </x:c>
      <x:c r="R796" s="47" t="n">
        <x:v>0</x:v>
      </x:c>
      <x:c r="S796" s="47" t="n">
        <x:v>30.69</x:v>
      </x:c>
      <x:c r="T796" s="47" t="n">
        <x:v>82.31</x:v>
      </x:c>
      <x:c r="U796" s="47" t="n">
        <x:v>28.8</x:v>
      </x:c>
      <x:c r="V796" s="47" t="n">
        <x:v>15.7</x:v>
      </x:c>
      <x:c r="W796" s="47" t="n">
        <x:v>7</x:v>
      </x:c>
      <x:c r="X796" s="47" t="n">
        <x:v>38</x:v>
      </x:c>
      <x:c r="Y796" s="41" t="n">
        <x:v>31</x:v>
      </x:c>
    </x:row>
    <x:row r="797">
      <x:c r="A797" s="38" t="str">
        <x:v>7月30日现场数据</x:v>
      </x:c>
      <x:c r="B797" s="66" t="str">
        <x:v>2026-08-02T07:49:22.141000</x:v>
      </x:c>
      <x:c r="C797" s="47" t="n">
        <x:v>300974</x:v>
      </x:c>
      <x:c r="D797" s="47" t="str"/>
      <x:c r="E797" s="47" t="str"/>
      <x:c r="F797" s="47" t="str">
        <x:v>current</x:v>
      </x:c>
      <x:c r="G797" s="47" t="n">
        <x:v>793</x:v>
      </x:c>
      <x:c r="H797" s="53" t="b">
        <x:v>1</x:v>
      </x:c>
      <x:c r="I797" s="47" t="str">
        <x:v>2682537910</x:v>
      </x:c>
      <x:c r="J797" s="47" t="n">
        <x:v>62019478</x:v>
      </x:c>
      <x:c r="K797" s="53" t="b">
        <x:v>1</x:v>
      </x:c>
      <x:c r="L797" s="53" t="b">
        <x:v>1</x:v>
      </x:c>
      <x:c r="M797" s="53" t="b">
        <x:v>1</x:v>
      </x:c>
      <x:c r="N797" s="53" t="b">
        <x:v>1</x:v>
      </x:c>
      <x:c r="O797" s="53" t="b">
        <x:v>1</x:v>
      </x:c>
      <x:c r="P797" s="47" t="n">
        <x:v>1010</x:v>
      </x:c>
      <x:c r="Q797" s="47" t="n">
        <x:v>0</x:v>
      </x:c>
      <x:c r="R797" s="47" t="n">
        <x:v>0</x:v>
      </x:c>
      <x:c r="S797" s="47" t="n">
        <x:v>30.83</x:v>
      </x:c>
      <x:c r="T797" s="47" t="n">
        <x:v>82.35</x:v>
      </x:c>
      <x:c r="U797" s="47" t="n">
        <x:v>28.9</x:v>
      </x:c>
      <x:c r="V797" s="47" t="n">
        <x:v>15.7</x:v>
      </x:c>
      <x:c r="W797" s="47" t="n">
        <x:v>8</x:v>
      </x:c>
      <x:c r="X797" s="47" t="n">
        <x:v>43</x:v>
      </x:c>
      <x:c r="Y797" s="41" t="n">
        <x:v>35</x:v>
      </x:c>
    </x:row>
    <x:row r="798">
      <x:c r="A798" s="38" t="str">
        <x:v>7月30日现场数据</x:v>
      </x:c>
      <x:c r="B798" s="66" t="str">
        <x:v>2026-08-02T07:54:23.117000</x:v>
      </x:c>
      <x:c r="C798" s="47" t="n">
        <x:v>300976</x:v>
      </x:c>
      <x:c r="D798" s="47" t="str"/>
      <x:c r="E798" s="47" t="str"/>
      <x:c r="F798" s="47" t="str">
        <x:v>current</x:v>
      </x:c>
      <x:c r="G798" s="47" t="n">
        <x:v>794</x:v>
      </x:c>
      <x:c r="H798" s="53" t="b">
        <x:v>1</x:v>
      </x:c>
      <x:c r="I798" s="47" t="str">
        <x:v>2682537910</x:v>
      </x:c>
      <x:c r="J798" s="47" t="n">
        <x:v>62320454</x:v>
      </x:c>
      <x:c r="K798" s="53" t="b">
        <x:v>1</x:v>
      </x:c>
      <x:c r="L798" s="53" t="b">
        <x:v>1</x:v>
      </x:c>
      <x:c r="M798" s="53" t="b">
        <x:v>1</x:v>
      </x:c>
      <x:c r="N798" s="53" t="b">
        <x:v>1</x:v>
      </x:c>
      <x:c r="O798" s="53" t="b">
        <x:v>1</x:v>
      </x:c>
      <x:c r="P798" s="47" t="n">
        <x:v>1010</x:v>
      </x:c>
      <x:c r="Q798" s="47" t="n">
        <x:v>0</x:v>
      </x:c>
      <x:c r="R798" s="47" t="n">
        <x:v>0</x:v>
      </x:c>
      <x:c r="S798" s="47" t="n">
        <x:v>31.04</x:v>
      </x:c>
      <x:c r="T798" s="47" t="n">
        <x:v>82.47</x:v>
      </x:c>
      <x:c r="U798" s="47" t="n">
        <x:v>28.9</x:v>
      </x:c>
      <x:c r="V798" s="47" t="n">
        <x:v>15.7</x:v>
      </x:c>
      <x:c r="W798" s="47" t="n">
        <x:v>9</x:v>
      </x:c>
      <x:c r="X798" s="47" t="n">
        <x:v>48</x:v>
      </x:c>
      <x:c r="Y798" s="41" t="n">
        <x:v>39</x:v>
      </x:c>
    </x:row>
    <x:row r="799">
      <x:c r="A799" s="38" t="str">
        <x:v>7月30日现场数据</x:v>
      </x:c>
      <x:c r="B799" s="66" t="str">
        <x:v>2026-08-02T07:59:24.093000</x:v>
      </x:c>
      <x:c r="C799" s="47" t="n">
        <x:v>300976</x:v>
      </x:c>
      <x:c r="D799" s="47" t="str"/>
      <x:c r="E799" s="47" t="str"/>
      <x:c r="F799" s="47" t="str">
        <x:v>current</x:v>
      </x:c>
      <x:c r="G799" s="47" t="n">
        <x:v>795</x:v>
      </x:c>
      <x:c r="H799" s="53" t="b">
        <x:v>1</x:v>
      </x:c>
      <x:c r="I799" s="47" t="str">
        <x:v>2682537910</x:v>
      </x:c>
      <x:c r="J799" s="47" t="n">
        <x:v>62621430</x:v>
      </x:c>
      <x:c r="K799" s="53" t="b">
        <x:v>1</x:v>
      </x:c>
      <x:c r="L799" s="53" t="b">
        <x:v>1</x:v>
      </x:c>
      <x:c r="M799" s="53" t="b">
        <x:v>1</x:v>
      </x:c>
      <x:c r="N799" s="53" t="b">
        <x:v>1</x:v>
      </x:c>
      <x:c r="O799" s="53" t="b">
        <x:v>1</x:v>
      </x:c>
      <x:c r="P799" s="47" t="n">
        <x:v>1010</x:v>
      </x:c>
      <x:c r="Q799" s="47" t="n">
        <x:v>0.007</x:v>
      </x:c>
      <x:c r="R799" s="47" t="n">
        <x:v>0.198</x:v>
      </x:c>
      <x:c r="S799" s="47" t="n">
        <x:v>31.23</x:v>
      </x:c>
      <x:c r="T799" s="47" t="n">
        <x:v>82.5</x:v>
      </x:c>
      <x:c r="U799" s="47" t="n">
        <x:v>28.9</x:v>
      </x:c>
      <x:c r="V799" s="47" t="n">
        <x:v>15.7</x:v>
      </x:c>
      <x:c r="W799" s="47" t="n">
        <x:v>9</x:v>
      </x:c>
      <x:c r="X799" s="47" t="n">
        <x:v>53</x:v>
      </x:c>
      <x:c r="Y799" s="41" t="n">
        <x:v>44</x:v>
      </x:c>
    </x:row>
    <x:row r="800">
      <x:c r="A800" s="38" t="str">
        <x:v>7月30日现场数据</x:v>
      </x:c>
      <x:c r="B800" s="66" t="str">
        <x:v>2026-08-02T08:04:25.070000</x:v>
      </x:c>
      <x:c r="C800" s="47" t="n">
        <x:v>300977</x:v>
      </x:c>
      <x:c r="D800" s="47" t="str"/>
      <x:c r="E800" s="47" t="str"/>
      <x:c r="F800" s="47" t="str">
        <x:v>current</x:v>
      </x:c>
      <x:c r="G800" s="47" t="n">
        <x:v>796</x:v>
      </x:c>
      <x:c r="H800" s="53" t="b">
        <x:v>1</x:v>
      </x:c>
      <x:c r="I800" s="47" t="str">
        <x:v>2682537910</x:v>
      </x:c>
      <x:c r="J800" s="47" t="n">
        <x:v>62922407</x:v>
      </x:c>
      <x:c r="K800" s="53" t="b">
        <x:v>1</x:v>
      </x:c>
      <x:c r="L800" s="53" t="b">
        <x:v>1</x:v>
      </x:c>
      <x:c r="M800" s="53" t="b">
        <x:v>1</x:v>
      </x:c>
      <x:c r="N800" s="53" t="b">
        <x:v>1</x:v>
      </x:c>
      <x:c r="O800" s="53" t="b">
        <x:v>1</x:v>
      </x:c>
      <x:c r="P800" s="47" t="n">
        <x:v>1010</x:v>
      </x:c>
      <x:c r="Q800" s="47" t="n">
        <x:v>0.01</x:v>
      </x:c>
      <x:c r="R800" s="47" t="n">
        <x:v>0.264</x:v>
      </x:c>
      <x:c r="S800" s="47" t="n">
        <x:v>31.44</x:v>
      </x:c>
      <x:c r="T800" s="47" t="n">
        <x:v>82.55</x:v>
      </x:c>
      <x:c r="U800" s="47" t="n">
        <x:v>28.9</x:v>
      </x:c>
      <x:c r="V800" s="47" t="n">
        <x:v>15.7</x:v>
      </x:c>
      <x:c r="W800" s="47" t="n">
        <x:v>11</x:v>
      </x:c>
      <x:c r="X800" s="47" t="n">
        <x:v>60</x:v>
      </x:c>
      <x:c r="Y800" s="41" t="n">
        <x:v>49</x:v>
      </x:c>
    </x:row>
    <x:row r="801">
      <x:c r="A801" s="38" t="str">
        <x:v>7月30日现场数据</x:v>
      </x:c>
      <x:c r="B801" s="66" t="str">
        <x:v>2026-08-02T08:09:26.052000</x:v>
      </x:c>
      <x:c r="C801" s="47" t="n">
        <x:v>300982</x:v>
      </x:c>
      <x:c r="D801" s="47" t="str"/>
      <x:c r="E801" s="47" t="str"/>
      <x:c r="F801" s="47" t="str">
        <x:v>current</x:v>
      </x:c>
      <x:c r="G801" s="47" t="n">
        <x:v>797</x:v>
      </x:c>
      <x:c r="H801" s="53" t="b">
        <x:v>1</x:v>
      </x:c>
      <x:c r="I801" s="47" t="str">
        <x:v>2682537910</x:v>
      </x:c>
      <x:c r="J801" s="47" t="n">
        <x:v>63223389</x:v>
      </x:c>
      <x:c r="K801" s="53" t="b">
        <x:v>1</x:v>
      </x:c>
      <x:c r="L801" s="53" t="b">
        <x:v>1</x:v>
      </x:c>
      <x:c r="M801" s="53" t="b">
        <x:v>1</x:v>
      </x:c>
      <x:c r="N801" s="53" t="b">
        <x:v>1</x:v>
      </x:c>
      <x:c r="O801" s="53" t="b">
        <x:v>1</x:v>
      </x:c>
      <x:c r="P801" s="47" t="n">
        <x:v>1010</x:v>
      </x:c>
      <x:c r="Q801" s="47" t="n">
        <x:v>0</x:v>
      </x:c>
      <x:c r="R801" s="47" t="n">
        <x:v>0</x:v>
      </x:c>
      <x:c r="S801" s="47" t="n">
        <x:v>31.76</x:v>
      </x:c>
      <x:c r="T801" s="47" t="n">
        <x:v>82.63</x:v>
      </x:c>
      <x:c r="U801" s="47" t="n">
        <x:v>28.9</x:v>
      </x:c>
      <x:c r="V801" s="47" t="n">
        <x:v>15.7</x:v>
      </x:c>
      <x:c r="W801" s="47" t="n">
        <x:v>12</x:v>
      </x:c>
      <x:c r="X801" s="47" t="n">
        <x:v>68</x:v>
      </x:c>
      <x:c r="Y801" s="41" t="n">
        <x:v>56</x:v>
      </x:c>
    </x:row>
    <x:row r="802">
      <x:c r="A802" s="38" t="str">
        <x:v>7月30日现场数据</x:v>
      </x:c>
      <x:c r="B802" s="66" t="str">
        <x:v>2026-08-02T08:14:27.033000</x:v>
      </x:c>
      <x:c r="C802" s="47" t="n">
        <x:v>300981</x:v>
      </x:c>
      <x:c r="D802" s="47" t="str"/>
      <x:c r="E802" s="47" t="str"/>
      <x:c r="F802" s="47" t="str">
        <x:v>current</x:v>
      </x:c>
      <x:c r="G802" s="47" t="n">
        <x:v>798</x:v>
      </x:c>
      <x:c r="H802" s="53" t="b">
        <x:v>1</x:v>
      </x:c>
      <x:c r="I802" s="47" t="str">
        <x:v>2682537910</x:v>
      </x:c>
      <x:c r="J802" s="47" t="n">
        <x:v>63524370</x:v>
      </x:c>
      <x:c r="K802" s="53" t="b">
        <x:v>1</x:v>
      </x:c>
      <x:c r="L802" s="53" t="b">
        <x:v>1</x:v>
      </x:c>
      <x:c r="M802" s="53" t="b">
        <x:v>1</x:v>
      </x:c>
      <x:c r="N802" s="53" t="b">
        <x:v>1</x:v>
      </x:c>
      <x:c r="O802" s="53" t="b">
        <x:v>1</x:v>
      </x:c>
      <x:c r="P802" s="47" t="n">
        <x:v>1009</x:v>
      </x:c>
      <x:c r="Q802" s="47" t="n">
        <x:v>0.007</x:v>
      </x:c>
      <x:c r="R802" s="47" t="n">
        <x:v>0.198</x:v>
      </x:c>
      <x:c r="S802" s="47" t="n">
        <x:v>32.05</x:v>
      </x:c>
      <x:c r="T802" s="47" t="n">
        <x:v>82.72</x:v>
      </x:c>
      <x:c r="U802" s="47" t="n">
        <x:v>28.9</x:v>
      </x:c>
      <x:c r="V802" s="47" t="n">
        <x:v>15.7</x:v>
      </x:c>
      <x:c r="W802" s="47" t="n">
        <x:v>14</x:v>
      </x:c>
      <x:c r="X802" s="47" t="n">
        <x:v>77</x:v>
      </x:c>
      <x:c r="Y802" s="41" t="n">
        <x:v>63</x:v>
      </x:c>
    </x:row>
    <x:row r="803">
      <x:c r="A803" s="38" t="str">
        <x:v>7月30日现场数据</x:v>
      </x:c>
      <x:c r="B803" s="66" t="str">
        <x:v>2026-08-02T08:19:28.015000</x:v>
      </x:c>
      <x:c r="C803" s="47" t="n">
        <x:v>300982</x:v>
      </x:c>
      <x:c r="D803" s="47" t="str"/>
      <x:c r="E803" s="47" t="str"/>
      <x:c r="F803" s="47" t="str">
        <x:v>current</x:v>
      </x:c>
      <x:c r="G803" s="47" t="n">
        <x:v>799</x:v>
      </x:c>
      <x:c r="H803" s="53" t="b">
        <x:v>1</x:v>
      </x:c>
      <x:c r="I803" s="47" t="str">
        <x:v>2682537910</x:v>
      </x:c>
      <x:c r="J803" s="47" t="n">
        <x:v>63825352</x:v>
      </x:c>
      <x:c r="K803" s="53" t="b">
        <x:v>1</x:v>
      </x:c>
      <x:c r="L803" s="53" t="b">
        <x:v>1</x:v>
      </x:c>
      <x:c r="M803" s="53" t="b">
        <x:v>1</x:v>
      </x:c>
      <x:c r="N803" s="53" t="b">
        <x:v>1</x:v>
      </x:c>
      <x:c r="O803" s="53" t="b">
        <x:v>1</x:v>
      </x:c>
      <x:c r="P803" s="47" t="n">
        <x:v>1010</x:v>
      </x:c>
      <x:c r="Q803" s="47" t="n">
        <x:v>0</x:v>
      </x:c>
      <x:c r="R803" s="47" t="n">
        <x:v>0</x:v>
      </x:c>
      <x:c r="S803" s="47" t="n">
        <x:v>32.3</x:v>
      </x:c>
      <x:c r="T803" s="47" t="n">
        <x:v>82.77</x:v>
      </x:c>
      <x:c r="U803" s="47" t="n">
        <x:v>29</x:v>
      </x:c>
      <x:c r="V803" s="47" t="n">
        <x:v>15.7</x:v>
      </x:c>
      <x:c r="W803" s="47" t="n">
        <x:v>16</x:v>
      </x:c>
      <x:c r="X803" s="47" t="n">
        <x:v>91</x:v>
      </x:c>
      <x:c r="Y803" s="41" t="n">
        <x:v>75</x:v>
      </x:c>
    </x:row>
    <x:row r="804">
      <x:c r="A804" s="38" t="str">
        <x:v>7月30日现场数据</x:v>
      </x:c>
      <x:c r="B804" s="66" t="str">
        <x:v>2026-08-02T08:24:28.998000</x:v>
      </x:c>
      <x:c r="C804" s="47" t="n">
        <x:v>300983</x:v>
      </x:c>
      <x:c r="D804" s="47" t="str"/>
      <x:c r="E804" s="47" t="str"/>
      <x:c r="F804" s="47" t="str">
        <x:v>current</x:v>
      </x:c>
      <x:c r="G804" s="47" t="n">
        <x:v>800</x:v>
      </x:c>
      <x:c r="H804" s="53" t="b">
        <x:v>1</x:v>
      </x:c>
      <x:c r="I804" s="47" t="str">
        <x:v>2682537910</x:v>
      </x:c>
      <x:c r="J804" s="47" t="n">
        <x:v>64126335</x:v>
      </x:c>
      <x:c r="K804" s="53" t="b">
        <x:v>1</x:v>
      </x:c>
      <x:c r="L804" s="53" t="b">
        <x:v>1</x:v>
      </x:c>
      <x:c r="M804" s="53" t="b">
        <x:v>1</x:v>
      </x:c>
      <x:c r="N804" s="53" t="b">
        <x:v>1</x:v>
      </x:c>
      <x:c r="O804" s="53" t="b">
        <x:v>1</x:v>
      </x:c>
      <x:c r="P804" s="47" t="n">
        <x:v>1011</x:v>
      </x:c>
      <x:c r="Q804" s="47" t="n">
        <x:v>0</x:v>
      </x:c>
      <x:c r="R804" s="47" t="n">
        <x:v>0</x:v>
      </x:c>
      <x:c r="S804" s="47" t="n">
        <x:v>32.53</x:v>
      </x:c>
      <x:c r="T804" s="47" t="n">
        <x:v>82.82</x:v>
      </x:c>
      <x:c r="U804" s="47" t="n">
        <x:v>28.9</x:v>
      </x:c>
      <x:c r="V804" s="47" t="n">
        <x:v>15.7</x:v>
      </x:c>
      <x:c r="W804" s="47" t="n">
        <x:v>19</x:v>
      </x:c>
      <x:c r="X804" s="47" t="n">
        <x:v>103</x:v>
      </x:c>
      <x:c r="Y804" s="41" t="n">
        <x:v>84</x:v>
      </x:c>
    </x:row>
    <x:row r="805">
      <x:c r="A805" s="38" t="str">
        <x:v>7月30日现场数据</x:v>
      </x:c>
      <x:c r="B805" s="66" t="str">
        <x:v>2026-08-02T08:29:29.985000</x:v>
      </x:c>
      <x:c r="C805" s="47" t="n">
        <x:v>300987</x:v>
      </x:c>
      <x:c r="D805" s="47" t="str"/>
      <x:c r="E805" s="47" t="str"/>
      <x:c r="F805" s="47" t="str">
        <x:v>current</x:v>
      </x:c>
      <x:c r="G805" s="47" t="n">
        <x:v>801</x:v>
      </x:c>
      <x:c r="H805" s="53" t="b">
        <x:v>1</x:v>
      </x:c>
      <x:c r="I805" s="47" t="str">
        <x:v>2682537910</x:v>
      </x:c>
      <x:c r="J805" s="47" t="n">
        <x:v>64427322</x:v>
      </x:c>
      <x:c r="K805" s="53" t="b">
        <x:v>1</x:v>
      </x:c>
      <x:c r="L805" s="53" t="b">
        <x:v>1</x:v>
      </x:c>
      <x:c r="M805" s="53" t="b">
        <x:v>1</x:v>
      </x:c>
      <x:c r="N805" s="53" t="b">
        <x:v>1</x:v>
      </x:c>
      <x:c r="O805" s="53" t="b">
        <x:v>1</x:v>
      </x:c>
      <x:c r="P805" s="47" t="n">
        <x:v>1011</x:v>
      </x:c>
      <x:c r="Q805" s="47" t="n">
        <x:v>0.009</x:v>
      </x:c>
      <x:c r="R805" s="47" t="n">
        <x:v>0.231</x:v>
      </x:c>
      <x:c r="S805" s="47" t="n">
        <x:v>32.88</x:v>
      </x:c>
      <x:c r="T805" s="47" t="n">
        <x:v>82.9</x:v>
      </x:c>
      <x:c r="U805" s="47" t="n">
        <x:v>28.9</x:v>
      </x:c>
      <x:c r="V805" s="47" t="n">
        <x:v>15.7</x:v>
      </x:c>
      <x:c r="W805" s="47" t="n">
        <x:v>26</x:v>
      </x:c>
      <x:c r="X805" s="47" t="n">
        <x:v>110</x:v>
      </x:c>
      <x:c r="Y805" s="41" t="n">
        <x:v>84</x:v>
      </x:c>
    </x:row>
    <x:row r="806">
      <x:c r="A806" s="38" t="str">
        <x:v>7月30日现场数据</x:v>
      </x:c>
      <x:c r="B806" s="66" t="str">
        <x:v>2026-08-02T08:34:30.985000</x:v>
      </x:c>
      <x:c r="C806" s="47" t="n">
        <x:v>301000</x:v>
      </x:c>
      <x:c r="D806" s="47" t="str"/>
      <x:c r="E806" s="47" t="str"/>
      <x:c r="F806" s="47" t="str">
        <x:v>current</x:v>
      </x:c>
      <x:c r="G806" s="47" t="n">
        <x:v>802</x:v>
      </x:c>
      <x:c r="H806" s="53" t="b">
        <x:v>1</x:v>
      </x:c>
      <x:c r="I806" s="47" t="str">
        <x:v>2682537910</x:v>
      </x:c>
      <x:c r="J806" s="47" t="n">
        <x:v>64728322</x:v>
      </x:c>
      <x:c r="K806" s="53" t="b">
        <x:v>1</x:v>
      </x:c>
      <x:c r="L806" s="53" t="b">
        <x:v>1</x:v>
      </x:c>
      <x:c r="M806" s="53" t="b">
        <x:v>1</x:v>
      </x:c>
      <x:c r="N806" s="53" t="b">
        <x:v>1</x:v>
      </x:c>
      <x:c r="O806" s="53" t="b">
        <x:v>1</x:v>
      </x:c>
      <x:c r="P806" s="47" t="n">
        <x:v>1010</x:v>
      </x:c>
      <x:c r="Q806" s="47" t="n">
        <x:v>0</x:v>
      </x:c>
      <x:c r="R806" s="47" t="n">
        <x:v>0</x:v>
      </x:c>
      <x:c r="S806" s="47" t="n">
        <x:v>33.24</x:v>
      </x:c>
      <x:c r="T806" s="47" t="n">
        <x:v>82.97</x:v>
      </x:c>
      <x:c r="U806" s="47" t="n">
        <x:v>28.9</x:v>
      </x:c>
      <x:c r="V806" s="47" t="n">
        <x:v>15.7</x:v>
      </x:c>
      <x:c r="W806" s="47" t="n">
        <x:v>58</x:v>
      </x:c>
      <x:c r="X806" s="47" t="n">
        <x:v>868</x:v>
      </x:c>
      <x:c r="Y806" s="41" t="n">
        <x:v>810</x:v>
      </x:c>
    </x:row>
    <x:row r="807">
      <x:c r="A807" s="38" t="str">
        <x:v>7月30日现场数据</x:v>
      </x:c>
      <x:c r="B807" s="66" t="str">
        <x:v>2026-08-02T08:39:31.960000</x:v>
      </x:c>
      <x:c r="C807" s="47" t="n">
        <x:v>300975</x:v>
      </x:c>
      <x:c r="D807" s="47" t="str"/>
      <x:c r="E807" s="47" t="str"/>
      <x:c r="F807" s="47" t="str">
        <x:v>current</x:v>
      </x:c>
      <x:c r="G807" s="47" t="n">
        <x:v>803</x:v>
      </x:c>
      <x:c r="H807" s="53" t="b">
        <x:v>1</x:v>
      </x:c>
      <x:c r="I807" s="47" t="str">
        <x:v>2682537910</x:v>
      </x:c>
      <x:c r="J807" s="47" t="n">
        <x:v>65029297</x:v>
      </x:c>
      <x:c r="K807" s="53" t="b">
        <x:v>1</x:v>
      </x:c>
      <x:c r="L807" s="53" t="b">
        <x:v>1</x:v>
      </x:c>
      <x:c r="M807" s="53" t="b">
        <x:v>1</x:v>
      </x:c>
      <x:c r="N807" s="53" t="b">
        <x:v>1</x:v>
      </x:c>
      <x:c r="O807" s="53" t="b">
        <x:v>1</x:v>
      </x:c>
      <x:c r="P807" s="47" t="n">
        <x:v>1011</x:v>
      </x:c>
      <x:c r="Q807" s="47" t="n">
        <x:v>0</x:v>
      </x:c>
      <x:c r="R807" s="47" t="n">
        <x:v>0</x:v>
      </x:c>
      <x:c r="S807" s="47" t="n">
        <x:v>34.56</x:v>
      </x:c>
      <x:c r="T807" s="47" t="n">
        <x:v>82.89</x:v>
      </x:c>
      <x:c r="U807" s="47" t="n">
        <x:v>29</x:v>
      </x:c>
      <x:c r="V807" s="47" t="n">
        <x:v>15.7</x:v>
      </x:c>
      <x:c r="W807" s="47" t="n">
        <x:v>112</x:v>
      </x:c>
      <x:c r="X807" s="47" t="n">
        <x:v>882</x:v>
      </x:c>
      <x:c r="Y807" s="41" t="n">
        <x:v>770</x:v>
      </x:c>
    </x:row>
    <x:row r="808">
      <x:c r="A808" s="38" t="str">
        <x:v>7月30日现场数据</x:v>
      </x:c>
      <x:c r="B808" s="66" t="str">
        <x:v>2026-08-02T08:44:32.938000</x:v>
      </x:c>
      <x:c r="C808" s="47" t="n">
        <x:v>300978</x:v>
      </x:c>
      <x:c r="D808" s="47" t="str"/>
      <x:c r="E808" s="47" t="str"/>
      <x:c r="F808" s="47" t="str">
        <x:v>current</x:v>
      </x:c>
      <x:c r="G808" s="47" t="n">
        <x:v>804</x:v>
      </x:c>
      <x:c r="H808" s="53" t="b">
        <x:v>1</x:v>
      </x:c>
      <x:c r="I808" s="47" t="str">
        <x:v>2682537910</x:v>
      </x:c>
      <x:c r="J808" s="47" t="n">
        <x:v>65330275</x:v>
      </x:c>
      <x:c r="K808" s="53" t="b">
        <x:v>1</x:v>
      </x:c>
      <x:c r="L808" s="53" t="b">
        <x:v>1</x:v>
      </x:c>
      <x:c r="M808" s="53" t="b">
        <x:v>1</x:v>
      </x:c>
      <x:c r="N808" s="53" t="b">
        <x:v>1</x:v>
      </x:c>
      <x:c r="O808" s="53" t="b">
        <x:v>1</x:v>
      </x:c>
      <x:c r="P808" s="47" t="n">
        <x:v>1011</x:v>
      </x:c>
      <x:c r="Q808" s="47" t="n">
        <x:v>0</x:v>
      </x:c>
      <x:c r="R808" s="47" t="n">
        <x:v>0</x:v>
      </x:c>
      <x:c r="S808" s="47" t="n">
        <x:v>38.4</x:v>
      </x:c>
      <x:c r="T808" s="47" t="n">
        <x:v>83.28</x:v>
      </x:c>
      <x:c r="U808" s="47" t="n">
        <x:v>29.1</x:v>
      </x:c>
      <x:c r="V808" s="47" t="n">
        <x:v>15.8</x:v>
      </x:c>
      <x:c r="W808" s="47" t="n">
        <x:v>139</x:v>
      </x:c>
      <x:c r="X808" s="47" t="n">
        <x:v>903</x:v>
      </x:c>
      <x:c r="Y808" s="41" t="n">
        <x:v>764</x:v>
      </x:c>
    </x:row>
    <x:row r="809">
      <x:c r="A809" s="38" t="str">
        <x:v>7月30日现场数据</x:v>
      </x:c>
      <x:c r="B809" s="66" t="str">
        <x:v>2026-08-02T08:49:33.918000</x:v>
      </x:c>
      <x:c r="C809" s="47" t="n">
        <x:v>300980</x:v>
      </x:c>
      <x:c r="D809" s="47" t="str"/>
      <x:c r="E809" s="47" t="str"/>
      <x:c r="F809" s="47" t="str">
        <x:v>current</x:v>
      </x:c>
      <x:c r="G809" s="47" t="n">
        <x:v>805</x:v>
      </x:c>
      <x:c r="H809" s="53" t="b">
        <x:v>1</x:v>
      </x:c>
      <x:c r="I809" s="47" t="str">
        <x:v>2682537910</x:v>
      </x:c>
      <x:c r="J809" s="47" t="n">
        <x:v>65631255</x:v>
      </x:c>
      <x:c r="K809" s="53" t="b">
        <x:v>1</x:v>
      </x:c>
      <x:c r="L809" s="53" t="b">
        <x:v>1</x:v>
      </x:c>
      <x:c r="M809" s="53" t="b">
        <x:v>1</x:v>
      </x:c>
      <x:c r="N809" s="53" t="b">
        <x:v>1</x:v>
      </x:c>
      <x:c r="O809" s="53" t="b">
        <x:v>1</x:v>
      </x:c>
      <x:c r="P809" s="47" t="n">
        <x:v>1011</x:v>
      </x:c>
      <x:c r="Q809" s="47" t="n">
        <x:v>0</x:v>
      </x:c>
      <x:c r="R809" s="47" t="n">
        <x:v>0</x:v>
      </x:c>
      <x:c r="S809" s="47" t="n">
        <x:v>41.57</x:v>
      </x:c>
      <x:c r="T809" s="47" t="n">
        <x:v>83.64</x:v>
      </x:c>
      <x:c r="U809" s="47" t="n">
        <x:v>29.3</x:v>
      </x:c>
      <x:c r="V809" s="47" t="n">
        <x:v>15.9</x:v>
      </x:c>
      <x:c r="W809" s="47" t="n">
        <x:v>155</x:v>
      </x:c>
      <x:c r="X809" s="47" t="n">
        <x:v>912</x:v>
      </x:c>
      <x:c r="Y809" s="41" t="n">
        <x:v>757</x:v>
      </x:c>
    </x:row>
    <x:row r="810">
      <x:c r="A810" s="38" t="str">
        <x:v>7月30日现场数据</x:v>
      </x:c>
      <x:c r="B810" s="66" t="str">
        <x:v>2026-08-02T08:54:34.930000</x:v>
      </x:c>
      <x:c r="C810" s="47" t="n">
        <x:v>301012</x:v>
      </x:c>
      <x:c r="D810" s="47" t="str"/>
      <x:c r="E810" s="47" t="str"/>
      <x:c r="F810" s="47" t="str">
        <x:v>current</x:v>
      </x:c>
      <x:c r="G810" s="47" t="n">
        <x:v>806</x:v>
      </x:c>
      <x:c r="H810" s="53" t="b">
        <x:v>1</x:v>
      </x:c>
      <x:c r="I810" s="47" t="str">
        <x:v>2682537910</x:v>
      </x:c>
      <x:c r="J810" s="47" t="n">
        <x:v>65932267</x:v>
      </x:c>
      <x:c r="K810" s="53" t="b">
        <x:v>1</x:v>
      </x:c>
      <x:c r="L810" s="53" t="b">
        <x:v>1</x:v>
      </x:c>
      <x:c r="M810" s="53" t="b">
        <x:v>1</x:v>
      </x:c>
      <x:c r="N810" s="53" t="b">
        <x:v>1</x:v>
      </x:c>
      <x:c r="O810" s="53" t="b">
        <x:v>1</x:v>
      </x:c>
      <x:c r="P810" s="47" t="n">
        <x:v>1011</x:v>
      </x:c>
      <x:c r="Q810" s="47" t="n">
        <x:v>0</x:v>
      </x:c>
      <x:c r="R810" s="47" t="n">
        <x:v>0</x:v>
      </x:c>
      <x:c r="S810" s="47" t="n">
        <x:v>43.33</x:v>
      </x:c>
      <x:c r="T810" s="47" t="n">
        <x:v>83.81</x:v>
      </x:c>
      <x:c r="U810" s="47" t="n">
        <x:v>29.5</x:v>
      </x:c>
      <x:c r="V810" s="47" t="n">
        <x:v>15.9</x:v>
      </x:c>
      <x:c r="W810" s="47" t="n">
        <x:v>167</x:v>
      </x:c>
      <x:c r="X810" s="47" t="n">
        <x:v>919</x:v>
      </x:c>
      <x:c r="Y810" s="41" t="n">
        <x:v>752</x:v>
      </x:c>
    </x:row>
    <x:row r="811">
      <x:c r="A811" s="38" t="str">
        <x:v>7月30日现场数据</x:v>
      </x:c>
      <x:c r="B811" s="66" t="str">
        <x:v>2026-08-02T08:59:35.886000</x:v>
      </x:c>
      <x:c r="C811" s="47" t="n">
        <x:v>300956</x:v>
      </x:c>
      <x:c r="D811" s="47" t="str"/>
      <x:c r="E811" s="47" t="str"/>
      <x:c r="F811" s="47" t="str">
        <x:v>current</x:v>
      </x:c>
      <x:c r="G811" s="47" t="n">
        <x:v>807</x:v>
      </x:c>
      <x:c r="H811" s="53" t="b">
        <x:v>1</x:v>
      </x:c>
      <x:c r="I811" s="47" t="str">
        <x:v>2682537910</x:v>
      </x:c>
      <x:c r="J811" s="47" t="n">
        <x:v>66233223</x:v>
      </x:c>
      <x:c r="K811" s="53" t="b">
        <x:v>1</x:v>
      </x:c>
      <x:c r="L811" s="53" t="b">
        <x:v>1</x:v>
      </x:c>
      <x:c r="M811" s="53" t="b">
        <x:v>1</x:v>
      </x:c>
      <x:c r="N811" s="53" t="b">
        <x:v>1</x:v>
      </x:c>
      <x:c r="O811" s="53" t="b">
        <x:v>1</x:v>
      </x:c>
      <x:c r="P811" s="47" t="n">
        <x:v>1012</x:v>
      </x:c>
      <x:c r="Q811" s="47" t="n">
        <x:v>0</x:v>
      </x:c>
      <x:c r="R811" s="47" t="n">
        <x:v>0</x:v>
      </x:c>
      <x:c r="S811" s="47" t="n">
        <x:v>44.21</x:v>
      </x:c>
      <x:c r="T811" s="47" t="n">
        <x:v>83.49</x:v>
      </x:c>
      <x:c r="U811" s="47" t="n">
        <x:v>29.6</x:v>
      </x:c>
      <x:c r="V811" s="47" t="n">
        <x:v>15.9</x:v>
      </x:c>
      <x:c r="W811" s="47" t="n">
        <x:v>176</x:v>
      </x:c>
      <x:c r="X811" s="47" t="n">
        <x:v>932</x:v>
      </x:c>
      <x:c r="Y811" s="41" t="n">
        <x:v>756</x:v>
      </x:c>
    </x:row>
    <x:row r="812">
      <x:c r="A812" s="38" t="str">
        <x:v>7月30日现场数据</x:v>
      </x:c>
      <x:c r="B812" s="66" t="str">
        <x:v>2026-08-02T09:04:36.845000</x:v>
      </x:c>
      <x:c r="C812" s="47" t="n">
        <x:v>300959</x:v>
      </x:c>
      <x:c r="D812" s="47" t="str"/>
      <x:c r="E812" s="47" t="str"/>
      <x:c r="F812" s="47" t="str">
        <x:v>current</x:v>
      </x:c>
      <x:c r="G812" s="47" t="n">
        <x:v>808</x:v>
      </x:c>
      <x:c r="H812" s="53" t="b">
        <x:v>1</x:v>
      </x:c>
      <x:c r="I812" s="47" t="str">
        <x:v>2682537910</x:v>
      </x:c>
      <x:c r="J812" s="47" t="n">
        <x:v>66534182</x:v>
      </x:c>
      <x:c r="K812" s="53" t="b">
        <x:v>1</x:v>
      </x:c>
      <x:c r="L812" s="53" t="b">
        <x:v>1</x:v>
      </x:c>
      <x:c r="M812" s="53" t="b">
        <x:v>1</x:v>
      </x:c>
      <x:c r="N812" s="53" t="b">
        <x:v>1</x:v>
      </x:c>
      <x:c r="O812" s="53" t="b">
        <x:v>1</x:v>
      </x:c>
      <x:c r="P812" s="47" t="n">
        <x:v>1012</x:v>
      </x:c>
      <x:c r="Q812" s="47" t="n">
        <x:v>0</x:v>
      </x:c>
      <x:c r="R812" s="47" t="n">
        <x:v>0</x:v>
      </x:c>
      <x:c r="S812" s="47" t="n">
        <x:v>45.46</x:v>
      </x:c>
      <x:c r="T812" s="47" t="n">
        <x:v>83.09</x:v>
      </x:c>
      <x:c r="U812" s="47" t="n">
        <x:v>29.8</x:v>
      </x:c>
      <x:c r="V812" s="47" t="n">
        <x:v>15.9</x:v>
      </x:c>
      <x:c r="W812" s="47" t="n">
        <x:v>181</x:v>
      </x:c>
      <x:c r="X812" s="47" t="n">
        <x:v>949</x:v>
      </x:c>
      <x:c r="Y812" s="41" t="n">
        <x:v>768</x:v>
      </x:c>
    </x:row>
    <x:row r="813">
      <x:c r="A813" s="38" t="str">
        <x:v>7月30日现场数据</x:v>
      </x:c>
      <x:c r="B813" s="66" t="str">
        <x:v>2026-08-02T09:09:37.805000</x:v>
      </x:c>
      <x:c r="C813" s="47" t="n">
        <x:v>300960</x:v>
      </x:c>
      <x:c r="D813" s="47" t="str"/>
      <x:c r="E813" s="47" t="str"/>
      <x:c r="F813" s="47" t="str">
        <x:v>current</x:v>
      </x:c>
      <x:c r="G813" s="47" t="n">
        <x:v>809</x:v>
      </x:c>
      <x:c r="H813" s="53" t="b">
        <x:v>1</x:v>
      </x:c>
      <x:c r="I813" s="47" t="str">
        <x:v>2682537910</x:v>
      </x:c>
      <x:c r="J813" s="47" t="n">
        <x:v>66835142</x:v>
      </x:c>
      <x:c r="K813" s="53" t="b">
        <x:v>1</x:v>
      </x:c>
      <x:c r="L813" s="53" t="b">
        <x:v>1</x:v>
      </x:c>
      <x:c r="M813" s="53" t="b">
        <x:v>1</x:v>
      </x:c>
      <x:c r="N813" s="53" t="b">
        <x:v>1</x:v>
      </x:c>
      <x:c r="O813" s="53" t="b">
        <x:v>1</x:v>
      </x:c>
      <x:c r="P813" s="47" t="n">
        <x:v>1012</x:v>
      </x:c>
      <x:c r="Q813" s="47" t="n">
        <x:v>0</x:v>
      </x:c>
      <x:c r="R813" s="47" t="n">
        <x:v>0</x:v>
      </x:c>
      <x:c r="S813" s="47" t="n">
        <x:v>46.22</x:v>
      </x:c>
      <x:c r="T813" s="47" t="n">
        <x:v>82.58</x:v>
      </x:c>
      <x:c r="U813" s="47" t="n">
        <x:v>29.9</x:v>
      </x:c>
      <x:c r="V813" s="47" t="n">
        <x:v>15.9</x:v>
      </x:c>
      <x:c r="W813" s="47" t="n">
        <x:v>182</x:v>
      </x:c>
      <x:c r="X813" s="47" t="n">
        <x:v>954</x:v>
      </x:c>
      <x:c r="Y813" s="41" t="n">
        <x:v>772</x:v>
      </x:c>
    </x:row>
    <x:row r="814">
      <x:c r="A814" s="38" t="str">
        <x:v>7月30日现场数据</x:v>
      </x:c>
      <x:c r="B814" s="66" t="str">
        <x:v>2026-08-02T09:14:38.765000</x:v>
      </x:c>
      <x:c r="C814" s="47" t="n">
        <x:v>300960</x:v>
      </x:c>
      <x:c r="D814" s="47" t="str"/>
      <x:c r="E814" s="47" t="str"/>
      <x:c r="F814" s="47" t="str">
        <x:v>current</x:v>
      </x:c>
      <x:c r="G814" s="47" t="n">
        <x:v>810</x:v>
      </x:c>
      <x:c r="H814" s="53" t="b">
        <x:v>1</x:v>
      </x:c>
      <x:c r="I814" s="47" t="str">
        <x:v>2682537910</x:v>
      </x:c>
      <x:c r="J814" s="47" t="n">
        <x:v>67136102</x:v>
      </x:c>
      <x:c r="K814" s="53" t="b">
        <x:v>1</x:v>
      </x:c>
      <x:c r="L814" s="53" t="b">
        <x:v>1</x:v>
      </x:c>
      <x:c r="M814" s="53" t="b">
        <x:v>1</x:v>
      </x:c>
      <x:c r="N814" s="53" t="b">
        <x:v>1</x:v>
      </x:c>
      <x:c r="O814" s="53" t="b">
        <x:v>1</x:v>
      </x:c>
      <x:c r="P814" s="47" t="n">
        <x:v>1011</x:v>
      </x:c>
      <x:c r="Q814" s="47" t="n">
        <x:v>0</x:v>
      </x:c>
      <x:c r="R814" s="47" t="n">
        <x:v>0</x:v>
      </x:c>
      <x:c r="S814" s="47" t="n">
        <x:v>46.72</x:v>
      </x:c>
      <x:c r="T814" s="47" t="n">
        <x:v>82.04</x:v>
      </x:c>
      <x:c r="U814" s="47" t="n">
        <x:v>30</x:v>
      </x:c>
      <x:c r="V814" s="47" t="n">
        <x:v>15.9</x:v>
      </x:c>
      <x:c r="W814" s="47" t="n">
        <x:v>183</x:v>
      </x:c>
      <x:c r="X814" s="47" t="n">
        <x:v>960</x:v>
      </x:c>
      <x:c r="Y814" s="41" t="n">
        <x:v>777</x:v>
      </x:c>
    </x:row>
    <x:row r="815">
      <x:c r="A815" s="38" t="str">
        <x:v>7月30日现场数据</x:v>
      </x:c>
      <x:c r="B815" s="66" t="str">
        <x:v>2026-08-02T09:19:39.730000</x:v>
      </x:c>
      <x:c r="C815" s="47" t="n">
        <x:v>300965</x:v>
      </x:c>
      <x:c r="D815" s="47" t="str"/>
      <x:c r="E815" s="47" t="str"/>
      <x:c r="F815" s="47" t="str">
        <x:v>current</x:v>
      </x:c>
      <x:c r="G815" s="47" t="n">
        <x:v>811</x:v>
      </x:c>
      <x:c r="H815" s="53" t="b">
        <x:v>1</x:v>
      </x:c>
      <x:c r="I815" s="47" t="str">
        <x:v>2682537910</x:v>
      </x:c>
      <x:c r="J815" s="47" t="n">
        <x:v>67437067</x:v>
      </x:c>
      <x:c r="K815" s="53" t="b">
        <x:v>1</x:v>
      </x:c>
      <x:c r="L815" s="53" t="b">
        <x:v>1</x:v>
      </x:c>
      <x:c r="M815" s="53" t="b">
        <x:v>1</x:v>
      </x:c>
      <x:c r="N815" s="53" t="b">
        <x:v>1</x:v>
      </x:c>
      <x:c r="O815" s="53" t="b">
        <x:v>1</x:v>
      </x:c>
      <x:c r="P815" s="47" t="n">
        <x:v>1011</x:v>
      </x:c>
      <x:c r="Q815" s="47" t="n">
        <x:v>0</x:v>
      </x:c>
      <x:c r="R815" s="47" t="n">
        <x:v>0</x:v>
      </x:c>
      <x:c r="S815" s="47" t="n">
        <x:v>46.88</x:v>
      </x:c>
      <x:c r="T815" s="47" t="n">
        <x:v>81.37</x:v>
      </x:c>
      <x:c r="U815" s="47" t="n">
        <x:v>30.1</x:v>
      </x:c>
      <x:c r="V815" s="47" t="n">
        <x:v>15.8</x:v>
      </x:c>
      <x:c r="W815" s="47" t="n">
        <x:v>185</x:v>
      </x:c>
      <x:c r="X815" s="47" t="n">
        <x:v>975</x:v>
      </x:c>
      <x:c r="Y815" s="41" t="n">
        <x:v>790</x:v>
      </x:c>
    </x:row>
    <x:row r="816">
      <x:c r="A816" s="38" t="str">
        <x:v>7月30日现场数据</x:v>
      </x:c>
      <x:c r="B816" s="66" t="str">
        <x:v>2026-08-02T09:24:40.697000</x:v>
      </x:c>
      <x:c r="C816" s="47" t="n">
        <x:v>300967</x:v>
      </x:c>
      <x:c r="D816" s="47" t="str"/>
      <x:c r="E816" s="47" t="str"/>
      <x:c r="F816" s="47" t="str">
        <x:v>current</x:v>
      </x:c>
      <x:c r="G816" s="47" t="n">
        <x:v>812</x:v>
      </x:c>
      <x:c r="H816" s="53" t="b">
        <x:v>1</x:v>
      </x:c>
      <x:c r="I816" s="47" t="str">
        <x:v>2682537910</x:v>
      </x:c>
      <x:c r="J816" s="47" t="n">
        <x:v>67738034</x:v>
      </x:c>
      <x:c r="K816" s="53" t="b">
        <x:v>1</x:v>
      </x:c>
      <x:c r="L816" s="53" t="b">
        <x:v>1</x:v>
      </x:c>
      <x:c r="M816" s="53" t="b">
        <x:v>1</x:v>
      </x:c>
      <x:c r="N816" s="53" t="b">
        <x:v>1</x:v>
      </x:c>
      <x:c r="O816" s="53" t="b">
        <x:v>1</x:v>
      </x:c>
      <x:c r="P816" s="47" t="n">
        <x:v>1011</x:v>
      </x:c>
      <x:c r="Q816" s="47" t="n">
        <x:v>0</x:v>
      </x:c>
      <x:c r="R816" s="47" t="n">
        <x:v>0</x:v>
      </x:c>
      <x:c r="S816" s="47" t="n">
        <x:v>47.14</x:v>
      </x:c>
      <x:c r="T816" s="47" t="n">
        <x:v>80.7</x:v>
      </x:c>
      <x:c r="U816" s="47" t="n">
        <x:v>30.2</x:v>
      </x:c>
      <x:c r="V816" s="47" t="n">
        <x:v>15.8</x:v>
      </x:c>
      <x:c r="W816" s="47" t="n">
        <x:v>186</x:v>
      </x:c>
      <x:c r="X816" s="47" t="n">
        <x:v>989</x:v>
      </x:c>
      <x:c r="Y816" s="41" t="n">
        <x:v>803</x:v>
      </x:c>
    </x:row>
    <x:row r="817">
      <x:c r="A817" s="38" t="str">
        <x:v>7月30日现场数据</x:v>
      </x:c>
      <x:c r="B817" s="66" t="str">
        <x:v>2026-08-02T09:29:41.665000</x:v>
      </x:c>
      <x:c r="C817" s="47" t="n">
        <x:v>300968</x:v>
      </x:c>
      <x:c r="D817" s="47" t="str"/>
      <x:c r="E817" s="47" t="str"/>
      <x:c r="F817" s="47" t="str">
        <x:v>current</x:v>
      </x:c>
      <x:c r="G817" s="47" t="n">
        <x:v>813</x:v>
      </x:c>
      <x:c r="H817" s="53" t="b">
        <x:v>1</x:v>
      </x:c>
      <x:c r="I817" s="47" t="str">
        <x:v>2682537910</x:v>
      </x:c>
      <x:c r="J817" s="47" t="n">
        <x:v>68039002</x:v>
      </x:c>
      <x:c r="K817" s="53" t="b">
        <x:v>1</x:v>
      </x:c>
      <x:c r="L817" s="53" t="b">
        <x:v>1</x:v>
      </x:c>
      <x:c r="M817" s="53" t="b">
        <x:v>1</x:v>
      </x:c>
      <x:c r="N817" s="53" t="b">
        <x:v>1</x:v>
      </x:c>
      <x:c r="O817" s="53" t="b">
        <x:v>1</x:v>
      </x:c>
      <x:c r="P817" s="47" t="n">
        <x:v>1011</x:v>
      </x:c>
      <x:c r="Q817" s="47" t="n">
        <x:v>0</x:v>
      </x:c>
      <x:c r="R817" s="47" t="n">
        <x:v>0</x:v>
      </x:c>
      <x:c r="S817" s="47" t="n">
        <x:v>47.8</x:v>
      </x:c>
      <x:c r="T817" s="47" t="n">
        <x:v>79.95</x:v>
      </x:c>
      <x:c r="U817" s="47" t="n">
        <x:v>30.3</x:v>
      </x:c>
      <x:c r="V817" s="47" t="n">
        <x:v>15.8</x:v>
      </x:c>
      <x:c r="W817" s="47" t="n">
        <x:v>186</x:v>
      </x:c>
      <x:c r="X817" s="47" t="n">
        <x:v>997</x:v>
      </x:c>
      <x:c r="Y817" s="41" t="n">
        <x:v>811</x:v>
      </x:c>
    </x:row>
    <x:row r="818">
      <x:c r="A818" s="38" t="str">
        <x:v>7月30日现场数据</x:v>
      </x:c>
      <x:c r="B818" s="66" t="str">
        <x:v>2026-08-02T09:34:42.632000</x:v>
      </x:c>
      <x:c r="C818" s="47" t="n">
        <x:v>300967</x:v>
      </x:c>
      <x:c r="D818" s="47" t="str"/>
      <x:c r="E818" s="47" t="str"/>
      <x:c r="F818" s="47" t="str">
        <x:v>current</x:v>
      </x:c>
      <x:c r="G818" s="47" t="n">
        <x:v>814</x:v>
      </x:c>
      <x:c r="H818" s="53" t="b">
        <x:v>1</x:v>
      </x:c>
      <x:c r="I818" s="47" t="str">
        <x:v>2682537910</x:v>
      </x:c>
      <x:c r="J818" s="47" t="n">
        <x:v>68339969</x:v>
      </x:c>
      <x:c r="K818" s="53" t="b">
        <x:v>1</x:v>
      </x:c>
      <x:c r="L818" s="53" t="b">
        <x:v>1</x:v>
      </x:c>
      <x:c r="M818" s="53" t="b">
        <x:v>1</x:v>
      </x:c>
      <x:c r="N818" s="53" t="b">
        <x:v>1</x:v>
      </x:c>
      <x:c r="O818" s="53" t="b">
        <x:v>1</x:v>
      </x:c>
      <x:c r="P818" s="47" t="n">
        <x:v>1011</x:v>
      </x:c>
      <x:c r="Q818" s="47" t="n">
        <x:v>0</x:v>
      </x:c>
      <x:c r="R818" s="47" t="n">
        <x:v>0</x:v>
      </x:c>
      <x:c r="S818" s="47" t="n">
        <x:v>48.23</x:v>
      </x:c>
      <x:c r="T818" s="47" t="n">
        <x:v>79.27</x:v>
      </x:c>
      <x:c r="U818" s="47" t="n">
        <x:v>30.4</x:v>
      </x:c>
      <x:c r="V818" s="47" t="n">
        <x:v>15.8</x:v>
      </x:c>
      <x:c r="W818" s="47" t="n">
        <x:v>186</x:v>
      </x:c>
      <x:c r="X818" s="47" t="n">
        <x:v>1007</x:v>
      </x:c>
      <x:c r="Y818" s="41" t="n">
        <x:v>821</x:v>
      </x:c>
    </x:row>
    <x:row r="819">
      <x:c r="A819" s="38" t="str">
        <x:v>7月30日现场数据</x:v>
      </x:c>
      <x:c r="B819" s="66" t="str">
        <x:v>2026-08-02T09:39:43.604000</x:v>
      </x:c>
      <x:c r="C819" s="47" t="n">
        <x:v>300972</x:v>
      </x:c>
      <x:c r="D819" s="47" t="str"/>
      <x:c r="E819" s="47" t="str"/>
      <x:c r="F819" s="47" t="str">
        <x:v>current</x:v>
      </x:c>
      <x:c r="G819" s="47" t="n">
        <x:v>815</x:v>
      </x:c>
      <x:c r="H819" s="53" t="b">
        <x:v>1</x:v>
      </x:c>
      <x:c r="I819" s="47" t="str">
        <x:v>2682537910</x:v>
      </x:c>
      <x:c r="J819" s="47" t="n">
        <x:v>68640941</x:v>
      </x:c>
      <x:c r="K819" s="53" t="b">
        <x:v>1</x:v>
      </x:c>
      <x:c r="L819" s="53" t="b">
        <x:v>1</x:v>
      </x:c>
      <x:c r="M819" s="53" t="b">
        <x:v>1</x:v>
      </x:c>
      <x:c r="N819" s="53" t="b">
        <x:v>1</x:v>
      </x:c>
      <x:c r="O819" s="53" t="b">
        <x:v>1</x:v>
      </x:c>
      <x:c r="P819" s="47" t="n">
        <x:v>1011</x:v>
      </x:c>
      <x:c r="Q819" s="47" t="n">
        <x:v>0</x:v>
      </x:c>
      <x:c r="R819" s="47" t="n">
        <x:v>0</x:v>
      </x:c>
      <x:c r="S819" s="47" t="n">
        <x:v>48.4</x:v>
      </x:c>
      <x:c r="T819" s="47" t="n">
        <x:v>78.5</x:v>
      </x:c>
      <x:c r="U819" s="47" t="n">
        <x:v>30.5</x:v>
      </x:c>
      <x:c r="V819" s="47" t="n">
        <x:v>15.8</x:v>
      </x:c>
      <x:c r="W819" s="47" t="n">
        <x:v>184</x:v>
      </x:c>
      <x:c r="X819" s="47" t="n">
        <x:v>1014</x:v>
      </x:c>
      <x:c r="Y819" s="41" t="n">
        <x:v>830</x:v>
      </x:c>
    </x:row>
    <x:row r="820">
      <x:c r="A820" s="38" t="str">
        <x:v>7月30日现场数据</x:v>
      </x:c>
      <x:c r="B820" s="66" t="str">
        <x:v>2026-08-02T09:44:44.578000</x:v>
      </x:c>
      <x:c r="C820" s="47" t="n">
        <x:v>300974</x:v>
      </x:c>
      <x:c r="D820" s="47" t="str"/>
      <x:c r="E820" s="47" t="str"/>
      <x:c r="F820" s="47" t="str">
        <x:v>current</x:v>
      </x:c>
      <x:c r="G820" s="47" t="n">
        <x:v>816</x:v>
      </x:c>
      <x:c r="H820" s="53" t="b">
        <x:v>1</x:v>
      </x:c>
      <x:c r="I820" s="47" t="str">
        <x:v>2682537910</x:v>
      </x:c>
      <x:c r="J820" s="47" t="n">
        <x:v>68941915</x:v>
      </x:c>
      <x:c r="K820" s="53" t="b">
        <x:v>1</x:v>
      </x:c>
      <x:c r="L820" s="53" t="b">
        <x:v>1</x:v>
      </x:c>
      <x:c r="M820" s="53" t="b">
        <x:v>1</x:v>
      </x:c>
      <x:c r="N820" s="53" t="b">
        <x:v>1</x:v>
      </x:c>
      <x:c r="O820" s="53" t="b">
        <x:v>1</x:v>
      </x:c>
      <x:c r="P820" s="47" t="n">
        <x:v>1011</x:v>
      </x:c>
      <x:c r="Q820" s="47" t="n">
        <x:v>0</x:v>
      </x:c>
      <x:c r="R820" s="47" t="n">
        <x:v>0</x:v>
      </x:c>
      <x:c r="S820" s="47" t="n">
        <x:v>48.9</x:v>
      </x:c>
      <x:c r="T820" s="47" t="n">
        <x:v>77.8</x:v>
      </x:c>
      <x:c r="U820" s="47" t="n">
        <x:v>30.6</x:v>
      </x:c>
      <x:c r="V820" s="47" t="n">
        <x:v>15.8</x:v>
      </x:c>
      <x:c r="W820" s="47" t="n">
        <x:v>182</x:v>
      </x:c>
      <x:c r="X820" s="47" t="n">
        <x:v>1018</x:v>
      </x:c>
      <x:c r="Y820" s="41" t="n">
        <x:v>836</x:v>
      </x:c>
    </x:row>
    <x:row r="821">
      <x:c r="A821" s="38" t="str">
        <x:v>7月30日现场数据</x:v>
      </x:c>
      <x:c r="B821" s="66" t="str">
        <x:v>2026-08-02T09:49:45.553000</x:v>
      </x:c>
      <x:c r="C821" s="47" t="n">
        <x:v>300975</x:v>
      </x:c>
      <x:c r="D821" s="47" t="str"/>
      <x:c r="E821" s="47" t="str"/>
      <x:c r="F821" s="47" t="str">
        <x:v>current</x:v>
      </x:c>
      <x:c r="G821" s="47" t="n">
        <x:v>817</x:v>
      </x:c>
      <x:c r="H821" s="53" t="b">
        <x:v>1</x:v>
      </x:c>
      <x:c r="I821" s="47" t="str">
        <x:v>2682537910</x:v>
      </x:c>
      <x:c r="J821" s="47" t="n">
        <x:v>69242890</x:v>
      </x:c>
      <x:c r="K821" s="53" t="b">
        <x:v>1</x:v>
      </x:c>
      <x:c r="L821" s="53" t="b">
        <x:v>1</x:v>
      </x:c>
      <x:c r="M821" s="53" t="b">
        <x:v>1</x:v>
      </x:c>
      <x:c r="N821" s="53" t="b">
        <x:v>1</x:v>
      </x:c>
      <x:c r="O821" s="53" t="b">
        <x:v>1</x:v>
      </x:c>
      <x:c r="P821" s="47" t="n">
        <x:v>1011</x:v>
      </x:c>
      <x:c r="Q821" s="47" t="n">
        <x:v>0</x:v>
      </x:c>
      <x:c r="R821" s="47" t="n">
        <x:v>0</x:v>
      </x:c>
      <x:c r="S821" s="47" t="n">
        <x:v>48.79</x:v>
      </x:c>
      <x:c r="T821" s="47" t="n">
        <x:v>77.05</x:v>
      </x:c>
      <x:c r="U821" s="47" t="n">
        <x:v>30.7</x:v>
      </x:c>
      <x:c r="V821" s="47" t="n">
        <x:v>15.8</x:v>
      </x:c>
      <x:c r="W821" s="47" t="n">
        <x:v>180</x:v>
      </x:c>
      <x:c r="X821" s="47" t="n">
        <x:v>1024</x:v>
      </x:c>
      <x:c r="Y821" s="41" t="n">
        <x:v>844</x:v>
      </x:c>
    </x:row>
    <x:row r="822">
      <x:c r="A822" s="38" t="str">
        <x:v>7月30日现场数据</x:v>
      </x:c>
      <x:c r="B822" s="66" t="str">
        <x:v>2026-08-02T09:54:46.529000</x:v>
      </x:c>
      <x:c r="C822" s="47" t="n">
        <x:v>300976</x:v>
      </x:c>
      <x:c r="D822" s="47" t="str"/>
      <x:c r="E822" s="47" t="str"/>
      <x:c r="F822" s="47" t="str">
        <x:v>current</x:v>
      </x:c>
      <x:c r="G822" s="47" t="n">
        <x:v>818</x:v>
      </x:c>
      <x:c r="H822" s="53" t="b">
        <x:v>1</x:v>
      </x:c>
      <x:c r="I822" s="47" t="str">
        <x:v>2682537910</x:v>
      </x:c>
      <x:c r="J822" s="47" t="n">
        <x:v>69543866</x:v>
      </x:c>
      <x:c r="K822" s="53" t="b">
        <x:v>1</x:v>
      </x:c>
      <x:c r="L822" s="53" t="b">
        <x:v>1</x:v>
      </x:c>
      <x:c r="M822" s="53" t="b">
        <x:v>1</x:v>
      </x:c>
      <x:c r="N822" s="53" t="b">
        <x:v>1</x:v>
      </x:c>
      <x:c r="O822" s="53" t="b">
        <x:v>1</x:v>
      </x:c>
      <x:c r="P822" s="47" t="n">
        <x:v>1010</x:v>
      </x:c>
      <x:c r="Q822" s="47" t="n">
        <x:v>0</x:v>
      </x:c>
      <x:c r="R822" s="47" t="n">
        <x:v>0</x:v>
      </x:c>
      <x:c r="S822" s="47" t="n">
        <x:v>48.04</x:v>
      </x:c>
      <x:c r="T822" s="47" t="n">
        <x:v>76.28</x:v>
      </x:c>
      <x:c r="U822" s="47" t="n">
        <x:v>30.8</x:v>
      </x:c>
      <x:c r="V822" s="47" t="n">
        <x:v>15.8</x:v>
      </x:c>
      <x:c r="W822" s="47" t="n">
        <x:v>178</x:v>
      </x:c>
      <x:c r="X822" s="47" t="n">
        <x:v>1032</x:v>
      </x:c>
      <x:c r="Y822" s="41" t="n">
        <x:v>854</x:v>
      </x:c>
    </x:row>
    <x:row r="823">
      <x:c r="A823" s="38" t="str">
        <x:v>7月30日现场数据</x:v>
      </x:c>
      <x:c r="B823" s="66" t="str">
        <x:v>2026-08-02T09:59:47.506000</x:v>
      </x:c>
      <x:c r="C823" s="47" t="n">
        <x:v>300977</x:v>
      </x:c>
      <x:c r="D823" s="47" t="str"/>
      <x:c r="E823" s="47" t="str"/>
      <x:c r="F823" s="47" t="str">
        <x:v>current</x:v>
      </x:c>
      <x:c r="G823" s="47" t="n">
        <x:v>819</x:v>
      </x:c>
      <x:c r="H823" s="53" t="b">
        <x:v>1</x:v>
      </x:c>
      <x:c r="I823" s="47" t="str">
        <x:v>2682537910</x:v>
      </x:c>
      <x:c r="J823" s="47" t="n">
        <x:v>69844843</x:v>
      </x:c>
      <x:c r="K823" s="53" t="b">
        <x:v>1</x:v>
      </x:c>
      <x:c r="L823" s="53" t="b">
        <x:v>1</x:v>
      </x:c>
      <x:c r="M823" s="53" t="b">
        <x:v>1</x:v>
      </x:c>
      <x:c r="N823" s="53" t="b">
        <x:v>1</x:v>
      </x:c>
      <x:c r="O823" s="53" t="b">
        <x:v>1</x:v>
      </x:c>
      <x:c r="P823" s="47" t="n">
        <x:v>1011</x:v>
      </x:c>
      <x:c r="Q823" s="47" t="n">
        <x:v>0</x:v>
      </x:c>
      <x:c r="R823" s="47" t="n">
        <x:v>0</x:v>
      </x:c>
      <x:c r="S823" s="47" t="n">
        <x:v>47.21</x:v>
      </x:c>
      <x:c r="T823" s="47" t="n">
        <x:v>75.54</x:v>
      </x:c>
      <x:c r="U823" s="47" t="n">
        <x:v>30.8</x:v>
      </x:c>
      <x:c r="V823" s="47" t="n">
        <x:v>15.8</x:v>
      </x:c>
      <x:c r="W823" s="47" t="n">
        <x:v>174</x:v>
      </x:c>
      <x:c r="X823" s="47" t="n">
        <x:v>205</x:v>
      </x:c>
      <x:c r="Y823" s="41" t="n">
        <x:v>31</x:v>
      </x:c>
    </x:row>
    <x:row r="824">
      <x:c r="A824" s="38" t="str">
        <x:v>7月30日现场数据</x:v>
      </x:c>
      <x:c r="B824" s="66" t="str">
        <x:v>2026-08-02T10:04:48.486000</x:v>
      </x:c>
      <x:c r="C824" s="47" t="n">
        <x:v>300980</x:v>
      </x:c>
      <x:c r="D824" s="47" t="str"/>
      <x:c r="E824" s="47" t="str"/>
      <x:c r="F824" s="47" t="str">
        <x:v>current</x:v>
      </x:c>
      <x:c r="G824" s="47" t="n">
        <x:v>820</x:v>
      </x:c>
      <x:c r="H824" s="53" t="b">
        <x:v>1</x:v>
      </x:c>
      <x:c r="I824" s="47" t="str">
        <x:v>2682537910</x:v>
      </x:c>
      <x:c r="J824" s="47" t="n">
        <x:v>70145823</x:v>
      </x:c>
      <x:c r="K824" s="53" t="b">
        <x:v>1</x:v>
      </x:c>
      <x:c r="L824" s="53" t="b">
        <x:v>1</x:v>
      </x:c>
      <x:c r="M824" s="53" t="b">
        <x:v>1</x:v>
      </x:c>
      <x:c r="N824" s="53" t="b">
        <x:v>1</x:v>
      </x:c>
      <x:c r="O824" s="53" t="b">
        <x:v>1</x:v>
      </x:c>
      <x:c r="P824" s="47" t="n">
        <x:v>1010</x:v>
      </x:c>
      <x:c r="Q824" s="47" t="n">
        <x:v>0</x:v>
      </x:c>
      <x:c r="R824" s="47" t="n">
        <x:v>0</x:v>
      </x:c>
      <x:c r="S824" s="47" t="n">
        <x:v>47.59</x:v>
      </x:c>
      <x:c r="T824" s="47" t="n">
        <x:v>74.87</x:v>
      </x:c>
      <x:c r="U824" s="47" t="n">
        <x:v>30.9</x:v>
      </x:c>
      <x:c r="V824" s="47" t="n">
        <x:v>15.8</x:v>
      </x:c>
      <x:c r="W824" s="47" t="n">
        <x:v>170</x:v>
      </x:c>
      <x:c r="X824" s="47" t="n">
        <x:v>132</x:v>
      </x:c>
      <x:c r="Y824" s="41" t="n">
        <x:v>0</x:v>
      </x:c>
    </x:row>
    <x:row r="825">
      <x:c r="A825" s="38" t="str">
        <x:v>7月30日现场数据</x:v>
      </x:c>
      <x:c r="B825" s="66" t="str">
        <x:v>2026-08-02T10:09:49.467000</x:v>
      </x:c>
      <x:c r="C825" s="47" t="n">
        <x:v>300981</x:v>
      </x:c>
      <x:c r="D825" s="47" t="str"/>
      <x:c r="E825" s="47" t="str"/>
      <x:c r="F825" s="47" t="str">
        <x:v>current</x:v>
      </x:c>
      <x:c r="G825" s="47" t="n">
        <x:v>821</x:v>
      </x:c>
      <x:c r="H825" s="53" t="b">
        <x:v>1</x:v>
      </x:c>
      <x:c r="I825" s="47" t="str">
        <x:v>2682537910</x:v>
      </x:c>
      <x:c r="J825" s="47" t="n">
        <x:v>70446804</x:v>
      </x:c>
      <x:c r="K825" s="53" t="b">
        <x:v>1</x:v>
      </x:c>
      <x:c r="L825" s="53" t="b">
        <x:v>1</x:v>
      </x:c>
      <x:c r="M825" s="53" t="b">
        <x:v>1</x:v>
      </x:c>
      <x:c r="N825" s="53" t="b">
        <x:v>1</x:v>
      </x:c>
      <x:c r="O825" s="53" t="b">
        <x:v>1</x:v>
      </x:c>
      <x:c r="P825" s="47" t="n">
        <x:v>1011</x:v>
      </x:c>
      <x:c r="Q825" s="47" t="n">
        <x:v>0</x:v>
      </x:c>
      <x:c r="R825" s="47" t="n">
        <x:v>0</x:v>
      </x:c>
      <x:c r="S825" s="47" t="n">
        <x:v>48.26</x:v>
      </x:c>
      <x:c r="T825" s="47" t="n">
        <x:v>74.23</x:v>
      </x:c>
      <x:c r="U825" s="47" t="n">
        <x:v>31</x:v>
      </x:c>
      <x:c r="V825" s="47" t="n">
        <x:v>15.8</x:v>
      </x:c>
      <x:c r="W825" s="47" t="n">
        <x:v>163</x:v>
      </x:c>
      <x:c r="X825" s="47" t="n">
        <x:v>130</x:v>
      </x:c>
      <x:c r="Y825" s="41" t="n">
        <x:v>0</x:v>
      </x:c>
    </x:row>
    <x:row r="826">
      <x:c r="A826" s="38" t="str">
        <x:v>7月30日现场数据</x:v>
      </x:c>
      <x:c r="B826" s="66" t="str">
        <x:v>2026-08-02T10:14:50.484000</x:v>
      </x:c>
      <x:c r="C826" s="47" t="n">
        <x:v>301017</x:v>
      </x:c>
      <x:c r="D826" s="47" t="str"/>
      <x:c r="E826" s="47" t="str"/>
      <x:c r="F826" s="47" t="str">
        <x:v>current</x:v>
      </x:c>
      <x:c r="G826" s="47" t="n">
        <x:v>822</x:v>
      </x:c>
      <x:c r="H826" s="53" t="b">
        <x:v>1</x:v>
      </x:c>
      <x:c r="I826" s="47" t="str">
        <x:v>2682537910</x:v>
      </x:c>
      <x:c r="J826" s="47" t="n">
        <x:v>70747821</x:v>
      </x:c>
      <x:c r="K826" s="53" t="b">
        <x:v>1</x:v>
      </x:c>
      <x:c r="L826" s="53" t="b">
        <x:v>1</x:v>
      </x:c>
      <x:c r="M826" s="53" t="b">
        <x:v>1</x:v>
      </x:c>
      <x:c r="N826" s="53" t="b">
        <x:v>1</x:v>
      </x:c>
      <x:c r="O826" s="53" t="b">
        <x:v>1</x:v>
      </x:c>
      <x:c r="P826" s="47" t="n">
        <x:v>1010</x:v>
      </x:c>
      <x:c r="Q826" s="47" t="n">
        <x:v>0</x:v>
      </x:c>
      <x:c r="R826" s="47" t="n">
        <x:v>0</x:v>
      </x:c>
      <x:c r="S826" s="47" t="n">
        <x:v>48.59</x:v>
      </x:c>
      <x:c r="T826" s="47" t="n">
        <x:v>73.67</x:v>
      </x:c>
      <x:c r="U826" s="47" t="n">
        <x:v>31.1</x:v>
      </x:c>
      <x:c r="V826" s="47" t="n">
        <x:v>15.7</x:v>
      </x:c>
      <x:c r="W826" s="47" t="n">
        <x:v>157</x:v>
      </x:c>
      <x:c r="X826" s="47" t="n">
        <x:v>129</x:v>
      </x:c>
      <x:c r="Y826" s="41" t="n">
        <x:v>0</x:v>
      </x:c>
    </x:row>
    <x:row r="827">
      <x:c r="A827" s="38" t="str">
        <x:v>7月30日现场数据</x:v>
      </x:c>
      <x:c r="B827" s="66" t="str">
        <x:v>2026-08-02T10:19:51.445000</x:v>
      </x:c>
      <x:c r="C827" s="47" t="n">
        <x:v>300961</x:v>
      </x:c>
      <x:c r="D827" s="47" t="str"/>
      <x:c r="E827" s="47" t="str"/>
      <x:c r="F827" s="47" t="str">
        <x:v>current</x:v>
      </x:c>
      <x:c r="G827" s="47" t="n">
        <x:v>823</x:v>
      </x:c>
      <x:c r="H827" s="53" t="b">
        <x:v>1</x:v>
      </x:c>
      <x:c r="I827" s="47" t="str">
        <x:v>2682537910</x:v>
      </x:c>
      <x:c r="J827" s="47" t="n">
        <x:v>71048782</x:v>
      </x:c>
      <x:c r="K827" s="53" t="b">
        <x:v>1</x:v>
      </x:c>
      <x:c r="L827" s="53" t="b">
        <x:v>1</x:v>
      </x:c>
      <x:c r="M827" s="53" t="b">
        <x:v>1</x:v>
      </x:c>
      <x:c r="N827" s="53" t="b">
        <x:v>1</x:v>
      </x:c>
      <x:c r="O827" s="53" t="b">
        <x:v>1</x:v>
      </x:c>
      <x:c r="P827" s="47" t="n">
        <x:v>1010</x:v>
      </x:c>
      <x:c r="Q827" s="47" t="n">
        <x:v>0</x:v>
      </x:c>
      <x:c r="R827" s="47" t="n">
        <x:v>0</x:v>
      </x:c>
      <x:c r="S827" s="47" t="n">
        <x:v>48.86</x:v>
      </x:c>
      <x:c r="T827" s="47" t="n">
        <x:v>73.02</x:v>
      </x:c>
      <x:c r="U827" s="47" t="n">
        <x:v>31.1</x:v>
      </x:c>
      <x:c r="V827" s="47" t="n">
        <x:v>15.7</x:v>
      </x:c>
      <x:c r="W827" s="47" t="n">
        <x:v>150</x:v>
      </x:c>
      <x:c r="X827" s="47" t="n">
        <x:v>129</x:v>
      </x:c>
      <x:c r="Y827" s="41" t="n">
        <x:v>0</x:v>
      </x:c>
    </x:row>
    <x:row r="828">
      <x:c r="A828" s="38" t="str">
        <x:v>7月30日现场数据</x:v>
      </x:c>
      <x:c r="B828" s="66" t="str">
        <x:v>2026-08-02T10:24:52.408000</x:v>
      </x:c>
      <x:c r="C828" s="47" t="n">
        <x:v>300963</x:v>
      </x:c>
      <x:c r="D828" s="47" t="str"/>
      <x:c r="E828" s="47" t="str"/>
      <x:c r="F828" s="47" t="str">
        <x:v>current</x:v>
      </x:c>
      <x:c r="G828" s="47" t="n">
        <x:v>824</x:v>
      </x:c>
      <x:c r="H828" s="53" t="b">
        <x:v>1</x:v>
      </x:c>
      <x:c r="I828" s="47" t="str">
        <x:v>2682537910</x:v>
      </x:c>
      <x:c r="J828" s="47" t="n">
        <x:v>71349745</x:v>
      </x:c>
      <x:c r="K828" s="53" t="b">
        <x:v>1</x:v>
      </x:c>
      <x:c r="L828" s="53" t="b">
        <x:v>1</x:v>
      </x:c>
      <x:c r="M828" s="53" t="b">
        <x:v>1</x:v>
      </x:c>
      <x:c r="N828" s="53" t="b">
        <x:v>1</x:v>
      </x:c>
      <x:c r="O828" s="53" t="b">
        <x:v>1</x:v>
      </x:c>
      <x:c r="P828" s="47" t="n">
        <x:v>1010</x:v>
      </x:c>
      <x:c r="Q828" s="47" t="n">
        <x:v>0</x:v>
      </x:c>
      <x:c r="R828" s="47" t="n">
        <x:v>0</x:v>
      </x:c>
      <x:c r="S828" s="47" t="n">
        <x:v>49.02</x:v>
      </x:c>
      <x:c r="T828" s="47" t="n">
        <x:v>72.33</x:v>
      </x:c>
      <x:c r="U828" s="47" t="n">
        <x:v>31.2</x:v>
      </x:c>
      <x:c r="V828" s="47" t="n">
        <x:v>15.7</x:v>
      </x:c>
      <x:c r="W828" s="47" t="n">
        <x:v>144</x:v>
      </x:c>
      <x:c r="X828" s="47" t="n">
        <x:v>205</x:v>
      </x:c>
      <x:c r="Y828" s="41" t="n">
        <x:v>61</x:v>
      </x:c>
    </x:row>
    <x:row r="829">
      <x:c r="A829" s="38" t="str">
        <x:v>7月30日现场数据</x:v>
      </x:c>
      <x:c r="B829" s="66" t="str">
        <x:v>2026-08-02T10:29:53.372000</x:v>
      </x:c>
      <x:c r="C829" s="47" t="n">
        <x:v>300964</x:v>
      </x:c>
      <x:c r="D829" s="47" t="str"/>
      <x:c r="E829" s="47" t="str"/>
      <x:c r="F829" s="47" t="str">
        <x:v>current</x:v>
      </x:c>
      <x:c r="G829" s="47" t="n">
        <x:v>825</x:v>
      </x:c>
      <x:c r="H829" s="53" t="b">
        <x:v>1</x:v>
      </x:c>
      <x:c r="I829" s="47" t="str">
        <x:v>2682537910</x:v>
      </x:c>
      <x:c r="J829" s="47" t="n">
        <x:v>71650709</x:v>
      </x:c>
      <x:c r="K829" s="53" t="b">
        <x:v>1</x:v>
      </x:c>
      <x:c r="L829" s="53" t="b">
        <x:v>1</x:v>
      </x:c>
      <x:c r="M829" s="53" t="b">
        <x:v>1</x:v>
      </x:c>
      <x:c r="N829" s="53" t="b">
        <x:v>1</x:v>
      </x:c>
      <x:c r="O829" s="53" t="b">
        <x:v>1</x:v>
      </x:c>
      <x:c r="P829" s="47" t="n">
        <x:v>1010</x:v>
      </x:c>
      <x:c r="Q829" s="47" t="n">
        <x:v>0.02</x:v>
      </x:c>
      <x:c r="R829" s="47" t="n">
        <x:v>0.527</x:v>
      </x:c>
      <x:c r="S829" s="47" t="n">
        <x:v>49.11</x:v>
      </x:c>
      <x:c r="T829" s="47" t="n">
        <x:v>71.63</x:v>
      </x:c>
      <x:c r="U829" s="47" t="n">
        <x:v>31.2</x:v>
      </x:c>
      <x:c r="V829" s="47" t="n">
        <x:v>15.7</x:v>
      </x:c>
      <x:c r="W829" s="47" t="n">
        <x:v>137</x:v>
      </x:c>
      <x:c r="X829" s="47" t="n">
        <x:v>128</x:v>
      </x:c>
      <x:c r="Y829" s="41" t="n">
        <x:v>0</x:v>
      </x:c>
    </x:row>
    <x:row r="830">
      <x:c r="A830" s="38" t="str">
        <x:v>7月30日现场数据</x:v>
      </x:c>
      <x:c r="B830" s="66" t="str">
        <x:v>2026-08-02T10:34:54.339000</x:v>
      </x:c>
      <x:c r="C830" s="47" t="n">
        <x:v>300967</x:v>
      </x:c>
      <x:c r="D830" s="47" t="str"/>
      <x:c r="E830" s="47" t="str"/>
      <x:c r="F830" s="47" t="str">
        <x:v>current</x:v>
      </x:c>
      <x:c r="G830" s="47" t="n">
        <x:v>826</x:v>
      </x:c>
      <x:c r="H830" s="53" t="b">
        <x:v>1</x:v>
      </x:c>
      <x:c r="I830" s="47" t="str">
        <x:v>2682537910</x:v>
      </x:c>
      <x:c r="J830" s="47" t="n">
        <x:v>71951676</x:v>
      </x:c>
      <x:c r="K830" s="53" t="b">
        <x:v>1</x:v>
      </x:c>
      <x:c r="L830" s="53" t="b">
        <x:v>1</x:v>
      </x:c>
      <x:c r="M830" s="53" t="b">
        <x:v>1</x:v>
      </x:c>
      <x:c r="N830" s="53" t="b">
        <x:v>1</x:v>
      </x:c>
      <x:c r="O830" s="53" t="b">
        <x:v>1</x:v>
      </x:c>
      <x:c r="P830" s="47" t="n">
        <x:v>1010</x:v>
      </x:c>
      <x:c r="Q830" s="47" t="n">
        <x:v>0</x:v>
      </x:c>
      <x:c r="R830" s="47" t="n">
        <x:v>0</x:v>
      </x:c>
      <x:c r="S830" s="47" t="n">
        <x:v>48.91</x:v>
      </x:c>
      <x:c r="T830" s="47" t="n">
        <x:v>71.01</x:v>
      </x:c>
      <x:c r="U830" s="47" t="n">
        <x:v>31.3</x:v>
      </x:c>
      <x:c r="V830" s="47" t="n">
        <x:v>15.7</x:v>
      </x:c>
      <x:c r="W830" s="47" t="n">
        <x:v>130</x:v>
      </x:c>
      <x:c r="X830" s="47" t="n">
        <x:v>128</x:v>
      </x:c>
      <x:c r="Y830" s="41" t="n">
        <x:v>0</x:v>
      </x:c>
    </x:row>
    <x:row r="831">
      <x:c r="A831" s="38" t="str">
        <x:v>7月30日现场数据</x:v>
      </x:c>
      <x:c r="B831" s="66" t="str">
        <x:v>2026-08-02T10:39:55.305000</x:v>
      </x:c>
      <x:c r="C831" s="47" t="n">
        <x:v>300966</x:v>
      </x:c>
      <x:c r="D831" s="47" t="str"/>
      <x:c r="E831" s="47" t="str"/>
      <x:c r="F831" s="47" t="str">
        <x:v>current</x:v>
      </x:c>
      <x:c r="G831" s="47" t="n">
        <x:v>827</x:v>
      </x:c>
      <x:c r="H831" s="53" t="b">
        <x:v>1</x:v>
      </x:c>
      <x:c r="I831" s="47" t="str">
        <x:v>2682537910</x:v>
      </x:c>
      <x:c r="J831" s="47" t="n">
        <x:v>72252642</x:v>
      </x:c>
      <x:c r="K831" s="53" t="b">
        <x:v>1</x:v>
      </x:c>
      <x:c r="L831" s="53" t="b">
        <x:v>1</x:v>
      </x:c>
      <x:c r="M831" s="53" t="b">
        <x:v>1</x:v>
      </x:c>
      <x:c r="N831" s="53" t="b">
        <x:v>1</x:v>
      </x:c>
      <x:c r="O831" s="53" t="b">
        <x:v>1</x:v>
      </x:c>
      <x:c r="P831" s="47" t="n">
        <x:v>1010</x:v>
      </x:c>
      <x:c r="Q831" s="47" t="n">
        <x:v>0</x:v>
      </x:c>
      <x:c r="R831" s="47" t="n">
        <x:v>0</x:v>
      </x:c>
      <x:c r="S831" s="47" t="n">
        <x:v>47.91</x:v>
      </x:c>
      <x:c r="T831" s="47" t="n">
        <x:v>70.33</x:v>
      </x:c>
      <x:c r="U831" s="47" t="n">
        <x:v>31.3</x:v>
      </x:c>
      <x:c r="V831" s="47" t="n">
        <x:v>15.7</x:v>
      </x:c>
      <x:c r="W831" s="47" t="n">
        <x:v>119</x:v>
      </x:c>
      <x:c r="X831" s="47" t="n">
        <x:v>295</x:v>
      </x:c>
      <x:c r="Y831" s="41" t="n">
        <x:v>176</x:v>
      </x:c>
    </x:row>
    <x:row r="832">
      <x:c r="A832" s="38" t="str">
        <x:v>7月30日现场数据</x:v>
      </x:c>
      <x:c r="B832" s="66" t="str">
        <x:v>2026-08-02T10:44:56.273000</x:v>
      </x:c>
      <x:c r="C832" s="47" t="n">
        <x:v>300968</x:v>
      </x:c>
      <x:c r="D832" s="47" t="str"/>
      <x:c r="E832" s="47" t="str"/>
      <x:c r="F832" s="47" t="str">
        <x:v>current</x:v>
      </x:c>
      <x:c r="G832" s="47" t="n">
        <x:v>828</x:v>
      </x:c>
      <x:c r="H832" s="53" t="b">
        <x:v>1</x:v>
      </x:c>
      <x:c r="I832" s="47" t="str">
        <x:v>2682537910</x:v>
      </x:c>
      <x:c r="J832" s="47" t="n">
        <x:v>72553610</x:v>
      </x:c>
      <x:c r="K832" s="53" t="b">
        <x:v>1</x:v>
      </x:c>
      <x:c r="L832" s="53" t="b">
        <x:v>1</x:v>
      </x:c>
      <x:c r="M832" s="53" t="b">
        <x:v>1</x:v>
      </x:c>
      <x:c r="N832" s="53" t="b">
        <x:v>1</x:v>
      </x:c>
      <x:c r="O832" s="53" t="b">
        <x:v>1</x:v>
      </x:c>
      <x:c r="P832" s="47" t="n">
        <x:v>1009</x:v>
      </x:c>
      <x:c r="Q832" s="47" t="n">
        <x:v>0</x:v>
      </x:c>
      <x:c r="R832" s="47" t="n">
        <x:v>0</x:v>
      </x:c>
      <x:c r="S832" s="47" t="n">
        <x:v>45.76</x:v>
      </x:c>
      <x:c r="T832" s="47" t="n">
        <x:v>69.5</x:v>
      </x:c>
      <x:c r="U832" s="47" t="n">
        <x:v>31.4</x:v>
      </x:c>
      <x:c r="V832" s="47" t="n">
        <x:v>15.6</x:v>
      </x:c>
      <x:c r="W832" s="47" t="n">
        <x:v>112</x:v>
      </x:c>
      <x:c r="X832" s="47" t="n">
        <x:v>127</x:v>
      </x:c>
      <x:c r="Y832" s="41" t="n">
        <x:v>15</x:v>
      </x:c>
    </x:row>
    <x:row r="833">
      <x:c r="A833" s="38" t="str">
        <x:v>7月30日现场数据</x:v>
      </x:c>
      <x:c r="B833" s="66" t="str">
        <x:v>2026-08-02T10:49:57.243000</x:v>
      </x:c>
      <x:c r="C833" s="47" t="n">
        <x:v>300970</x:v>
      </x:c>
      <x:c r="D833" s="47" t="str"/>
      <x:c r="E833" s="47" t="str"/>
      <x:c r="F833" s="47" t="str">
        <x:v>current</x:v>
      </x:c>
      <x:c r="G833" s="47" t="n">
        <x:v>829</x:v>
      </x:c>
      <x:c r="H833" s="53" t="b">
        <x:v>1</x:v>
      </x:c>
      <x:c r="I833" s="47" t="str">
        <x:v>2682537910</x:v>
      </x:c>
      <x:c r="J833" s="47" t="n">
        <x:v>72854580</x:v>
      </x:c>
      <x:c r="K833" s="53" t="b">
        <x:v>1</x:v>
      </x:c>
      <x:c r="L833" s="53" t="b">
        <x:v>1</x:v>
      </x:c>
      <x:c r="M833" s="53" t="b">
        <x:v>1</x:v>
      </x:c>
      <x:c r="N833" s="53" t="b">
        <x:v>1</x:v>
      </x:c>
      <x:c r="O833" s="53" t="b">
        <x:v>1</x:v>
      </x:c>
      <x:c r="P833" s="47" t="n">
        <x:v>1009</x:v>
      </x:c>
      <x:c r="Q833" s="47" t="n">
        <x:v>0</x:v>
      </x:c>
      <x:c r="R833" s="47" t="n">
        <x:v>0</x:v>
      </x:c>
      <x:c r="S833" s="47" t="n">
        <x:v>44.84</x:v>
      </x:c>
      <x:c r="T833" s="47" t="n">
        <x:v>68.81</x:v>
      </x:c>
      <x:c r="U833" s="47" t="n">
        <x:v>31.4</x:v>
      </x:c>
      <x:c r="V833" s="47" t="n">
        <x:v>15.6</x:v>
      </x:c>
      <x:c r="W833" s="47" t="n">
        <x:v>109</x:v>
      </x:c>
      <x:c r="X833" s="47" t="n">
        <x:v>128</x:v>
      </x:c>
      <x:c r="Y833" s="41" t="n">
        <x:v>19</x:v>
      </x:c>
    </x:row>
    <x:row r="834">
      <x:c r="A834" s="38" t="str">
        <x:v>7月30日现场数据</x:v>
      </x:c>
      <x:c r="B834" s="66" t="str">
        <x:v>2026-08-02T10:54:58.215000</x:v>
      </x:c>
      <x:c r="C834" s="47" t="n">
        <x:v>300972</x:v>
      </x:c>
      <x:c r="D834" s="47" t="str"/>
      <x:c r="E834" s="47" t="str"/>
      <x:c r="F834" s="47" t="str">
        <x:v>current</x:v>
      </x:c>
      <x:c r="G834" s="47" t="n">
        <x:v>830</x:v>
      </x:c>
      <x:c r="H834" s="53" t="b">
        <x:v>1</x:v>
      </x:c>
      <x:c r="I834" s="47" t="str">
        <x:v>2682537910</x:v>
      </x:c>
      <x:c r="J834" s="47" t="n">
        <x:v>73155552</x:v>
      </x:c>
      <x:c r="K834" s="53" t="b">
        <x:v>1</x:v>
      </x:c>
      <x:c r="L834" s="53" t="b">
        <x:v>1</x:v>
      </x:c>
      <x:c r="M834" s="53" t="b">
        <x:v>1</x:v>
      </x:c>
      <x:c r="N834" s="53" t="b">
        <x:v>1</x:v>
      </x:c>
      <x:c r="O834" s="53" t="b">
        <x:v>1</x:v>
      </x:c>
      <x:c r="P834" s="47" t="n">
        <x:v>1009</x:v>
      </x:c>
      <x:c r="Q834" s="47" t="n">
        <x:v>0</x:v>
      </x:c>
      <x:c r="R834" s="47" t="n">
        <x:v>0</x:v>
      </x:c>
      <x:c r="S834" s="47" t="n">
        <x:v>43.95</x:v>
      </x:c>
      <x:c r="T834" s="47" t="n">
        <x:v>68.29</x:v>
      </x:c>
      <x:c r="U834" s="47" t="n">
        <x:v>31.5</x:v>
      </x:c>
      <x:c r="V834" s="47" t="n">
        <x:v>15.6</x:v>
      </x:c>
      <x:c r="W834" s="47" t="n">
        <x:v>104</x:v>
      </x:c>
      <x:c r="X834" s="47" t="n">
        <x:v>439</x:v>
      </x:c>
      <x:c r="Y834" s="41" t="n">
        <x:v>335</x:v>
      </x:c>
    </x:row>
    <x:row r="835">
      <x:c r="A835" s="38" t="str">
        <x:v>7月30日现场数据</x:v>
      </x:c>
      <x:c r="B835" s="66" t="str">
        <x:v>2026-08-02T10:59:59.190000</x:v>
      </x:c>
      <x:c r="C835" s="47" t="n">
        <x:v>300975</x:v>
      </x:c>
      <x:c r="D835" s="47" t="str"/>
      <x:c r="E835" s="47" t="str"/>
      <x:c r="F835" s="47" t="str">
        <x:v>current</x:v>
      </x:c>
      <x:c r="G835" s="47" t="n">
        <x:v>831</x:v>
      </x:c>
      <x:c r="H835" s="53" t="b">
        <x:v>1</x:v>
      </x:c>
      <x:c r="I835" s="47" t="str">
        <x:v>2682537910</x:v>
      </x:c>
      <x:c r="J835" s="47" t="n">
        <x:v>73456527</x:v>
      </x:c>
      <x:c r="K835" s="53" t="b">
        <x:v>1</x:v>
      </x:c>
      <x:c r="L835" s="53" t="b">
        <x:v>1</x:v>
      </x:c>
      <x:c r="M835" s="53" t="b">
        <x:v>1</x:v>
      </x:c>
      <x:c r="N835" s="53" t="b">
        <x:v>1</x:v>
      </x:c>
      <x:c r="O835" s="53" t="b">
        <x:v>1</x:v>
      </x:c>
      <x:c r="P835" s="47" t="n">
        <x:v>1009</x:v>
      </x:c>
      <x:c r="Q835" s="47" t="n">
        <x:v>0</x:v>
      </x:c>
      <x:c r="R835" s="47" t="n">
        <x:v>0</x:v>
      </x:c>
      <x:c r="S835" s="47" t="n">
        <x:v>43.38</x:v>
      </x:c>
      <x:c r="T835" s="47" t="n">
        <x:v>67.81</x:v>
      </x:c>
      <x:c r="U835" s="47" t="n">
        <x:v>31.5</x:v>
      </x:c>
      <x:c r="V835" s="47" t="n">
        <x:v>15.6</x:v>
      </x:c>
      <x:c r="W835" s="47" t="n">
        <x:v>97</x:v>
      </x:c>
      <x:c r="X835" s="47" t="n">
        <x:v>338</x:v>
      </x:c>
      <x:c r="Y835" s="41" t="n">
        <x:v>241</x:v>
      </x:c>
    </x:row>
    <x:row r="836">
      <x:c r="A836" s="38" t="str">
        <x:v>7月30日现场数据</x:v>
      </x:c>
      <x:c r="B836" s="66" t="str">
        <x:v>2026-08-02T11:05:00.166000</x:v>
      </x:c>
      <x:c r="C836" s="47" t="n">
        <x:v>300976</x:v>
      </x:c>
      <x:c r="D836" s="47" t="str"/>
      <x:c r="E836" s="47" t="str"/>
      <x:c r="F836" s="47" t="str">
        <x:v>current</x:v>
      </x:c>
      <x:c r="G836" s="47" t="n">
        <x:v>832</x:v>
      </x:c>
      <x:c r="H836" s="53" t="b">
        <x:v>1</x:v>
      </x:c>
      <x:c r="I836" s="47" t="str">
        <x:v>2682537910</x:v>
      </x:c>
      <x:c r="J836" s="47" t="n">
        <x:v>73757503</x:v>
      </x:c>
      <x:c r="K836" s="53" t="b">
        <x:v>1</x:v>
      </x:c>
      <x:c r="L836" s="53" t="b">
        <x:v>1</x:v>
      </x:c>
      <x:c r="M836" s="53" t="b">
        <x:v>1</x:v>
      </x:c>
      <x:c r="N836" s="53" t="b">
        <x:v>1</x:v>
      </x:c>
      <x:c r="O836" s="53" t="b">
        <x:v>1</x:v>
      </x:c>
      <x:c r="P836" s="47" t="n">
        <x:v>1009</x:v>
      </x:c>
      <x:c r="Q836" s="47" t="n">
        <x:v>0.059</x:v>
      </x:c>
      <x:c r="R836" s="47" t="n">
        <x:v>1.582</x:v>
      </x:c>
      <x:c r="S836" s="47" t="n">
        <x:v>43.32</x:v>
      </x:c>
      <x:c r="T836" s="47" t="n">
        <x:v>67.34</x:v>
      </x:c>
      <x:c r="U836" s="47" t="n">
        <x:v>31.6</x:v>
      </x:c>
      <x:c r="V836" s="47" t="n">
        <x:v>15.6</x:v>
      </x:c>
      <x:c r="W836" s="47" t="n">
        <x:v>90</x:v>
      </x:c>
      <x:c r="X836" s="47" t="n">
        <x:v>401</x:v>
      </x:c>
      <x:c r="Y836" s="41" t="n">
        <x:v>311</x:v>
      </x:c>
    </x:row>
    <x:row r="837">
      <x:c r="A837" s="38" t="str">
        <x:v>7月30日现场数据</x:v>
      </x:c>
      <x:c r="B837" s="66" t="str">
        <x:v>2026-08-02T11:10:01.146000</x:v>
      </x:c>
      <x:c r="C837" s="47" t="n">
        <x:v>300980</x:v>
      </x:c>
      <x:c r="D837" s="47" t="str"/>
      <x:c r="E837" s="47" t="str"/>
      <x:c r="F837" s="47" t="str">
        <x:v>current</x:v>
      </x:c>
      <x:c r="G837" s="47" t="n">
        <x:v>833</x:v>
      </x:c>
      <x:c r="H837" s="53" t="b">
        <x:v>1</x:v>
      </x:c>
      <x:c r="I837" s="47" t="str">
        <x:v>2682537910</x:v>
      </x:c>
      <x:c r="J837" s="47" t="n">
        <x:v>74058483</x:v>
      </x:c>
      <x:c r="K837" s="53" t="b">
        <x:v>1</x:v>
      </x:c>
      <x:c r="L837" s="53" t="b">
        <x:v>1</x:v>
      </x:c>
      <x:c r="M837" s="53" t="b">
        <x:v>1</x:v>
      </x:c>
      <x:c r="N837" s="53" t="b">
        <x:v>1</x:v>
      </x:c>
      <x:c r="O837" s="53" t="b">
        <x:v>1</x:v>
      </x:c>
      <x:c r="P837" s="47" t="n">
        <x:v>1009</x:v>
      </x:c>
      <x:c r="Q837" s="47" t="n">
        <x:v>0</x:v>
      </x:c>
      <x:c r="R837" s="47" t="n">
        <x:v>0</x:v>
      </x:c>
      <x:c r="S837" s="47" t="n">
        <x:v>42.76</x:v>
      </x:c>
      <x:c r="T837" s="47" t="n">
        <x:v>66.97</x:v>
      </x:c>
      <x:c r="U837" s="47" t="n">
        <x:v>31.6</x:v>
      </x:c>
      <x:c r="V837" s="47" t="n">
        <x:v>15.6</x:v>
      </x:c>
      <x:c r="W837" s="47" t="n">
        <x:v>89</x:v>
      </x:c>
      <x:c r="X837" s="47" t="n">
        <x:v>156</x:v>
      </x:c>
      <x:c r="Y837" s="41" t="n">
        <x:v>67</x:v>
      </x:c>
    </x:row>
    <x:row r="838">
      <x:c r="A838" s="38" t="str">
        <x:v>7月30日现场数据</x:v>
      </x:c>
      <x:c r="B838" s="66" t="str">
        <x:v>2026-08-02T11:15:02.124000</x:v>
      </x:c>
      <x:c r="C838" s="47" t="n">
        <x:v>300978</x:v>
      </x:c>
      <x:c r="D838" s="47" t="str"/>
      <x:c r="E838" s="47" t="str"/>
      <x:c r="F838" s="47" t="str">
        <x:v>current</x:v>
      </x:c>
      <x:c r="G838" s="47" t="n">
        <x:v>834</x:v>
      </x:c>
      <x:c r="H838" s="53" t="b">
        <x:v>1</x:v>
      </x:c>
      <x:c r="I838" s="47" t="str">
        <x:v>2682537910</x:v>
      </x:c>
      <x:c r="J838" s="47" t="n">
        <x:v>74359461</x:v>
      </x:c>
      <x:c r="K838" s="53" t="b">
        <x:v>1</x:v>
      </x:c>
      <x:c r="L838" s="53" t="b">
        <x:v>1</x:v>
      </x:c>
      <x:c r="M838" s="53" t="b">
        <x:v>1</x:v>
      </x:c>
      <x:c r="N838" s="53" t="b">
        <x:v>1</x:v>
      </x:c>
      <x:c r="O838" s="53" t="b">
        <x:v>1</x:v>
      </x:c>
      <x:c r="P838" s="47" t="n">
        <x:v>1009</x:v>
      </x:c>
      <x:c r="Q838" s="47" t="n">
        <x:v>0</x:v>
      </x:c>
      <x:c r="R838" s="47" t="n">
        <x:v>0</x:v>
      </x:c>
      <x:c r="S838" s="47" t="n">
        <x:v>42.61</x:v>
      </x:c>
      <x:c r="T838" s="47" t="n">
        <x:v>66.66</x:v>
      </x:c>
      <x:c r="U838" s="47" t="n">
        <x:v>31.7</x:v>
      </x:c>
      <x:c r="V838" s="47" t="n">
        <x:v>15.5</x:v>
      </x:c>
      <x:c r="W838" s="47" t="n">
        <x:v>90</x:v>
      </x:c>
      <x:c r="X838" s="47" t="n">
        <x:v>165</x:v>
      </x:c>
      <x:c r="Y838" s="41" t="n">
        <x:v>75</x:v>
      </x:c>
    </x:row>
    <x:row r="839">
      <x:c r="A839" s="38" t="str">
        <x:v>7月30日现场数据</x:v>
      </x:c>
      <x:c r="B839" s="66" t="str">
        <x:v>2026-08-02T11:20:03.106000</x:v>
      </x:c>
      <x:c r="C839" s="47" t="n">
        <x:v>300982</x:v>
      </x:c>
      <x:c r="D839" s="47" t="str"/>
      <x:c r="E839" s="47" t="str"/>
      <x:c r="F839" s="47" t="str">
        <x:v>current</x:v>
      </x:c>
      <x:c r="G839" s="47" t="n">
        <x:v>835</x:v>
      </x:c>
      <x:c r="H839" s="53" t="b">
        <x:v>1</x:v>
      </x:c>
      <x:c r="I839" s="47" t="str">
        <x:v>2682537910</x:v>
      </x:c>
      <x:c r="J839" s="47" t="n">
        <x:v>74660443</x:v>
      </x:c>
      <x:c r="K839" s="53" t="b">
        <x:v>1</x:v>
      </x:c>
      <x:c r="L839" s="53" t="b">
        <x:v>1</x:v>
      </x:c>
      <x:c r="M839" s="53" t="b">
        <x:v>1</x:v>
      </x:c>
      <x:c r="N839" s="53" t="b">
        <x:v>1</x:v>
      </x:c>
      <x:c r="O839" s="53" t="b">
        <x:v>1</x:v>
      </x:c>
      <x:c r="P839" s="47" t="n">
        <x:v>1009</x:v>
      </x:c>
      <x:c r="Q839" s="47" t="n">
        <x:v>0</x:v>
      </x:c>
      <x:c r="R839" s="47" t="n">
        <x:v>0</x:v>
      </x:c>
      <x:c r="S839" s="47" t="n">
        <x:v>42.4</x:v>
      </x:c>
      <x:c r="T839" s="47" t="n">
        <x:v>66.38</x:v>
      </x:c>
      <x:c r="U839" s="47" t="n">
        <x:v>31.7</x:v>
      </x:c>
      <x:c r="V839" s="47" t="n">
        <x:v>15.5</x:v>
      </x:c>
      <x:c r="W839" s="47" t="n">
        <x:v>88</x:v>
      </x:c>
      <x:c r="X839" s="47" t="n">
        <x:v>387</x:v>
      </x:c>
      <x:c r="Y839" s="41" t="n">
        <x:v>299</x:v>
      </x:c>
    </x:row>
    <x:row r="840">
      <x:c r="A840" s="38" t="str">
        <x:v>7月30日现场数据</x:v>
      </x:c>
      <x:c r="B840" s="66" t="str">
        <x:v>2026-08-02T11:25:04.090000</x:v>
      </x:c>
      <x:c r="C840" s="47" t="n">
        <x:v>300984</x:v>
      </x:c>
      <x:c r="D840" s="47" t="str"/>
      <x:c r="E840" s="47" t="str"/>
      <x:c r="F840" s="47" t="str">
        <x:v>current</x:v>
      </x:c>
      <x:c r="G840" s="47" t="n">
        <x:v>836</x:v>
      </x:c>
      <x:c r="H840" s="53" t="b">
        <x:v>1</x:v>
      </x:c>
      <x:c r="I840" s="47" t="str">
        <x:v>2682537910</x:v>
      </x:c>
      <x:c r="J840" s="47" t="n">
        <x:v>74961427</x:v>
      </x:c>
      <x:c r="K840" s="53" t="b">
        <x:v>1</x:v>
      </x:c>
      <x:c r="L840" s="53" t="b">
        <x:v>1</x:v>
      </x:c>
      <x:c r="M840" s="53" t="b">
        <x:v>1</x:v>
      </x:c>
      <x:c r="N840" s="53" t="b">
        <x:v>1</x:v>
      </x:c>
      <x:c r="O840" s="53" t="b">
        <x:v>1</x:v>
      </x:c>
      <x:c r="P840" s="47" t="n">
        <x:v>1009</x:v>
      </x:c>
      <x:c r="Q840" s="47" t="n">
        <x:v>0</x:v>
      </x:c>
      <x:c r="R840" s="47" t="n">
        <x:v>0</x:v>
      </x:c>
      <x:c r="S840" s="47" t="n">
        <x:v>42.36</x:v>
      </x:c>
      <x:c r="T840" s="47" t="n">
        <x:v>66.07</x:v>
      </x:c>
      <x:c r="U840" s="47" t="n">
        <x:v>31.7</x:v>
      </x:c>
      <x:c r="V840" s="47" t="n">
        <x:v>15.5</x:v>
      </x:c>
      <x:c r="W840" s="47" t="n">
        <x:v>84</x:v>
      </x:c>
      <x:c r="X840" s="47" t="n">
        <x:v>246</x:v>
      </x:c>
      <x:c r="Y840" s="41" t="n">
        <x:v>162</x:v>
      </x:c>
    </x:row>
    <x:row r="841">
      <x:c r="A841" s="38" t="str">
        <x:v>7月30日现场数据</x:v>
      </x:c>
      <x:c r="B841" s="66" t="str">
        <x:v>2026-08-02T11:30:05.074000</x:v>
      </x:c>
      <x:c r="C841" s="47" t="n">
        <x:v>300984</x:v>
      </x:c>
      <x:c r="D841" s="47" t="str"/>
      <x:c r="E841" s="47" t="str"/>
      <x:c r="F841" s="47" t="str">
        <x:v>current</x:v>
      </x:c>
      <x:c r="G841" s="47" t="n">
        <x:v>837</x:v>
      </x:c>
      <x:c r="H841" s="53" t="b">
        <x:v>1</x:v>
      </x:c>
      <x:c r="I841" s="47" t="str">
        <x:v>2682537910</x:v>
      </x:c>
      <x:c r="J841" s="47" t="n">
        <x:v>75262411</x:v>
      </x:c>
      <x:c r="K841" s="53" t="b">
        <x:v>1</x:v>
      </x:c>
      <x:c r="L841" s="53" t="b">
        <x:v>1</x:v>
      </x:c>
      <x:c r="M841" s="53" t="b">
        <x:v>1</x:v>
      </x:c>
      <x:c r="N841" s="53" t="b">
        <x:v>1</x:v>
      </x:c>
      <x:c r="O841" s="53" t="b">
        <x:v>1</x:v>
      </x:c>
      <x:c r="P841" s="47" t="n">
        <x:v>1009</x:v>
      </x:c>
      <x:c r="Q841" s="47" t="n">
        <x:v>0</x:v>
      </x:c>
      <x:c r="R841" s="47" t="n">
        <x:v>0</x:v>
      </x:c>
      <x:c r="S841" s="47" t="n">
        <x:v>42.15</x:v>
      </x:c>
      <x:c r="T841" s="47" t="n">
        <x:v>65.81</x:v>
      </x:c>
      <x:c r="U841" s="47" t="n">
        <x:v>31.7</x:v>
      </x:c>
      <x:c r="V841" s="47" t="n">
        <x:v>15.5</x:v>
      </x:c>
      <x:c r="W841" s="47" t="n">
        <x:v>82</x:v>
      </x:c>
      <x:c r="X841" s="47" t="n">
        <x:v>189</x:v>
      </x:c>
      <x:c r="Y841" s="41" t="n">
        <x:v>107</x:v>
      </x:c>
    </x:row>
    <x:row r="842">
      <x:c r="A842" s="38" t="str">
        <x:v>7月30日现场数据</x:v>
      </x:c>
      <x:c r="B842" s="66" t="str">
        <x:v>2026-08-02T11:35:06.095000</x:v>
      </x:c>
      <x:c r="C842" s="47" t="n">
        <x:v>301021</x:v>
      </x:c>
      <x:c r="D842" s="47" t="str"/>
      <x:c r="E842" s="47" t="str"/>
      <x:c r="F842" s="47" t="str">
        <x:v>current</x:v>
      </x:c>
      <x:c r="G842" s="47" t="n">
        <x:v>838</x:v>
      </x:c>
      <x:c r="H842" s="53" t="b">
        <x:v>1</x:v>
      </x:c>
      <x:c r="I842" s="47" t="str">
        <x:v>2682537910</x:v>
      </x:c>
      <x:c r="J842" s="47" t="n">
        <x:v>75563432</x:v>
      </x:c>
      <x:c r="K842" s="53" t="b">
        <x:v>1</x:v>
      </x:c>
      <x:c r="L842" s="53" t="b">
        <x:v>1</x:v>
      </x:c>
      <x:c r="M842" s="53" t="b">
        <x:v>1</x:v>
      </x:c>
      <x:c r="N842" s="53" t="b">
        <x:v>1</x:v>
      </x:c>
      <x:c r="O842" s="53" t="b">
        <x:v>1</x:v>
      </x:c>
      <x:c r="P842" s="47" t="n">
        <x:v>1009</x:v>
      </x:c>
      <x:c r="Q842" s="47" t="n">
        <x:v>0</x:v>
      </x:c>
      <x:c r="R842" s="47" t="n">
        <x:v>0</x:v>
      </x:c>
      <x:c r="S842" s="47" t="n">
        <x:v>42.18</x:v>
      </x:c>
      <x:c r="T842" s="47" t="n">
        <x:v>65.52</x:v>
      </x:c>
      <x:c r="U842" s="47" t="n">
        <x:v>31.7</x:v>
      </x:c>
      <x:c r="V842" s="47" t="n">
        <x:v>15.5</x:v>
      </x:c>
      <x:c r="W842" s="47" t="n">
        <x:v>78</x:v>
      </x:c>
      <x:c r="X842" s="47" t="n">
        <x:v>183</x:v>
      </x:c>
      <x:c r="Y842" s="41" t="n">
        <x:v>105</x:v>
      </x:c>
    </x:row>
    <x:row r="843">
      <x:c r="A843" s="38" t="str">
        <x:v>7月30日现场数据</x:v>
      </x:c>
      <x:c r="B843" s="66" t="str">
        <x:v>2026-08-02T11:40:07.056000</x:v>
      </x:c>
      <x:c r="C843" s="47" t="n">
        <x:v>300961</x:v>
      </x:c>
      <x:c r="D843" s="47" t="str"/>
      <x:c r="E843" s="47" t="str"/>
      <x:c r="F843" s="47" t="str">
        <x:v>current</x:v>
      </x:c>
      <x:c r="G843" s="47" t="n">
        <x:v>839</x:v>
      </x:c>
      <x:c r="H843" s="53" t="b">
        <x:v>1</x:v>
      </x:c>
      <x:c r="I843" s="47" t="str">
        <x:v>2682537910</x:v>
      </x:c>
      <x:c r="J843" s="47" t="n">
        <x:v>75864393</x:v>
      </x:c>
      <x:c r="K843" s="53" t="b">
        <x:v>1</x:v>
      </x:c>
      <x:c r="L843" s="53" t="b">
        <x:v>1</x:v>
      </x:c>
      <x:c r="M843" s="53" t="b">
        <x:v>1</x:v>
      </x:c>
      <x:c r="N843" s="53" t="b">
        <x:v>1</x:v>
      </x:c>
      <x:c r="O843" s="53" t="b">
        <x:v>1</x:v>
      </x:c>
      <x:c r="P843" s="47" t="n">
        <x:v>1009</x:v>
      </x:c>
      <x:c r="Q843" s="47" t="n">
        <x:v>0</x:v>
      </x:c>
      <x:c r="R843" s="47" t="n">
        <x:v>0</x:v>
      </x:c>
      <x:c r="S843" s="47" t="n">
        <x:v>41.21</x:v>
      </x:c>
      <x:c r="T843" s="47" t="n">
        <x:v>65.14</x:v>
      </x:c>
      <x:c r="U843" s="47" t="n">
        <x:v>31.8</x:v>
      </x:c>
      <x:c r="V843" s="47" t="n">
        <x:v>15.5</x:v>
      </x:c>
      <x:c r="W843" s="47" t="n">
        <x:v>23</x:v>
      </x:c>
      <x:c r="X843" s="47" t="n">
        <x:v>101</x:v>
      </x:c>
      <x:c r="Y843" s="41" t="n">
        <x:v>78</x:v>
      </x:c>
    </x:row>
    <x:row r="844">
      <x:c r="A844" s="38" t="str">
        <x:v>7月30日现场数据</x:v>
      </x:c>
      <x:c r="B844" s="66" t="str">
        <x:v>2026-08-02T11:45:08.020000</x:v>
      </x:c>
      <x:c r="C844" s="47" t="n">
        <x:v>300964</x:v>
      </x:c>
      <x:c r="D844" s="47" t="str"/>
      <x:c r="E844" s="47" t="str"/>
      <x:c r="F844" s="47" t="str">
        <x:v>current</x:v>
      </x:c>
      <x:c r="G844" s="47" t="n">
        <x:v>840</x:v>
      </x:c>
      <x:c r="H844" s="53" t="b">
        <x:v>1</x:v>
      </x:c>
      <x:c r="I844" s="47" t="str">
        <x:v>2682537910</x:v>
      </x:c>
      <x:c r="J844" s="47" t="n">
        <x:v>76165357</x:v>
      </x:c>
      <x:c r="K844" s="53" t="b">
        <x:v>1</x:v>
      </x:c>
      <x:c r="L844" s="53" t="b">
        <x:v>1</x:v>
      </x:c>
      <x:c r="M844" s="53" t="b">
        <x:v>1</x:v>
      </x:c>
      <x:c r="N844" s="53" t="b">
        <x:v>1</x:v>
      </x:c>
      <x:c r="O844" s="53" t="b">
        <x:v>1</x:v>
      </x:c>
      <x:c r="P844" s="47" t="n">
        <x:v>1009</x:v>
      </x:c>
      <x:c r="Q844" s="47" t="n">
        <x:v>0</x:v>
      </x:c>
      <x:c r="R844" s="47" t="n">
        <x:v>0</x:v>
      </x:c>
      <x:c r="S844" s="47" t="n">
        <x:v>40.42</x:v>
      </x:c>
      <x:c r="T844" s="47" t="n">
        <x:v>64.69</x:v>
      </x:c>
      <x:c r="U844" s="47" t="n">
        <x:v>31.8</x:v>
      </x:c>
      <x:c r="V844" s="47" t="n">
        <x:v>15.4</x:v>
      </x:c>
      <x:c r="W844" s="47" t="n">
        <x:v>23</x:v>
      </x:c>
      <x:c r="X844" s="47" t="n">
        <x:v>99</x:v>
      </x:c>
      <x:c r="Y844" s="41" t="n">
        <x:v>76</x:v>
      </x:c>
    </x:row>
    <x:row r="845">
      <x:c r="A845" s="38" t="str">
        <x:v>7月30日现场数据</x:v>
      </x:c>
      <x:c r="B845" s="66" t="str">
        <x:v>2026-08-02T11:50:08.985000</x:v>
      </x:c>
      <x:c r="C845" s="47" t="n">
        <x:v>300965</x:v>
      </x:c>
      <x:c r="D845" s="47" t="str"/>
      <x:c r="E845" s="47" t="str"/>
      <x:c r="F845" s="47" t="str">
        <x:v>current</x:v>
      </x:c>
      <x:c r="G845" s="47" t="n">
        <x:v>841</x:v>
      </x:c>
      <x:c r="H845" s="53" t="b">
        <x:v>1</x:v>
      </x:c>
      <x:c r="I845" s="47" t="str">
        <x:v>2682537910</x:v>
      </x:c>
      <x:c r="J845" s="47" t="n">
        <x:v>76466322</x:v>
      </x:c>
      <x:c r="K845" s="53" t="b">
        <x:v>1</x:v>
      </x:c>
      <x:c r="L845" s="53" t="b">
        <x:v>1</x:v>
      </x:c>
      <x:c r="M845" s="53" t="b">
        <x:v>1</x:v>
      </x:c>
      <x:c r="N845" s="53" t="b">
        <x:v>1</x:v>
      </x:c>
      <x:c r="O845" s="53" t="b">
        <x:v>1</x:v>
      </x:c>
      <x:c r="P845" s="47" t="n">
        <x:v>1009</x:v>
      </x:c>
      <x:c r="Q845" s="47" t="n">
        <x:v>0</x:v>
      </x:c>
      <x:c r="R845" s="47" t="n">
        <x:v>0</x:v>
      </x:c>
      <x:c r="S845" s="47" t="n">
        <x:v>39.46</x:v>
      </x:c>
      <x:c r="T845" s="47" t="n">
        <x:v>64.3</x:v>
      </x:c>
      <x:c r="U845" s="47" t="n">
        <x:v>31.8</x:v>
      </x:c>
      <x:c r="V845" s="47" t="n">
        <x:v>15.4</x:v>
      </x:c>
      <x:c r="W845" s="47" t="n">
        <x:v>19</x:v>
      </x:c>
      <x:c r="X845" s="47" t="n">
        <x:v>86</x:v>
      </x:c>
      <x:c r="Y845" s="41" t="n">
        <x:v>67</x:v>
      </x:c>
    </x:row>
    <x:row r="846">
      <x:c r="A846" s="38" t="str">
        <x:v>7月30日现场数据</x:v>
      </x:c>
      <x:c r="B846" s="66" t="str">
        <x:v>2026-08-02T11:55:09.953000</x:v>
      </x:c>
      <x:c r="C846" s="47" t="n">
        <x:v>300968</x:v>
      </x:c>
      <x:c r="D846" s="47" t="str"/>
      <x:c r="E846" s="47" t="str"/>
      <x:c r="F846" s="47" t="str">
        <x:v>current</x:v>
      </x:c>
      <x:c r="G846" s="47" t="n">
        <x:v>842</x:v>
      </x:c>
      <x:c r="H846" s="53" t="b">
        <x:v>1</x:v>
      </x:c>
      <x:c r="I846" s="47" t="str">
        <x:v>2682537910</x:v>
      </x:c>
      <x:c r="J846" s="47" t="n">
        <x:v>76767290</x:v>
      </x:c>
      <x:c r="K846" s="53" t="b">
        <x:v>1</x:v>
      </x:c>
      <x:c r="L846" s="53" t="b">
        <x:v>1</x:v>
      </x:c>
      <x:c r="M846" s="53" t="b">
        <x:v>1</x:v>
      </x:c>
      <x:c r="N846" s="53" t="b">
        <x:v>1</x:v>
      </x:c>
      <x:c r="O846" s="53" t="b">
        <x:v>1</x:v>
      </x:c>
      <x:c r="P846" s="47" t="n">
        <x:v>1009</x:v>
      </x:c>
      <x:c r="Q846" s="47" t="n">
        <x:v>0</x:v>
      </x:c>
      <x:c r="R846" s="47" t="n">
        <x:v>0</x:v>
      </x:c>
      <x:c r="S846" s="47" t="n">
        <x:v>38.98</x:v>
      </x:c>
      <x:c r="T846" s="47" t="n">
        <x:v>64</x:v>
      </x:c>
      <x:c r="U846" s="47" t="n">
        <x:v>31.7</x:v>
      </x:c>
      <x:c r="V846" s="47" t="n">
        <x:v>15.4</x:v>
      </x:c>
      <x:c r="W846" s="47" t="n">
        <x:v>25</x:v>
      </x:c>
      <x:c r="X846" s="47" t="n">
        <x:v>101</x:v>
      </x:c>
      <x:c r="Y846" s="41" t="n">
        <x:v>76</x:v>
      </x:c>
    </x:row>
    <x:row r="847">
      <x:c r="A847" s="38" t="str">
        <x:v>7月30日现场数据</x:v>
      </x:c>
      <x:c r="B847" s="66" t="str">
        <x:v>2026-08-02T12:00:10.921000</x:v>
      </x:c>
      <x:c r="C847" s="47" t="n">
        <x:v>300968</x:v>
      </x:c>
      <x:c r="D847" s="47" t="str"/>
      <x:c r="E847" s="47" t="str"/>
      <x:c r="F847" s="47" t="str">
        <x:v>current</x:v>
      </x:c>
      <x:c r="G847" s="47" t="n">
        <x:v>843</x:v>
      </x:c>
      <x:c r="H847" s="53" t="b">
        <x:v>1</x:v>
      </x:c>
      <x:c r="I847" s="47" t="str">
        <x:v>2682537910</x:v>
      </x:c>
      <x:c r="J847" s="47" t="n">
        <x:v>77068258</x:v>
      </x:c>
      <x:c r="K847" s="53" t="b">
        <x:v>1</x:v>
      </x:c>
      <x:c r="L847" s="53" t="b">
        <x:v>1</x:v>
      </x:c>
      <x:c r="M847" s="53" t="b">
        <x:v>1</x:v>
      </x:c>
      <x:c r="N847" s="53" t="b">
        <x:v>1</x:v>
      </x:c>
      <x:c r="O847" s="53" t="b">
        <x:v>1</x:v>
      </x:c>
      <x:c r="P847" s="47" t="n">
        <x:v>1009</x:v>
      </x:c>
      <x:c r="Q847" s="47" t="n">
        <x:v>0</x:v>
      </x:c>
      <x:c r="R847" s="47" t="n">
        <x:v>0</x:v>
      </x:c>
      <x:c r="S847" s="47" t="n">
        <x:v>39.34</x:v>
      </x:c>
      <x:c r="T847" s="47" t="n">
        <x:v>63.82</x:v>
      </x:c>
      <x:c r="U847" s="47" t="n">
        <x:v>31.8</x:v>
      </x:c>
      <x:c r="V847" s="47" t="n">
        <x:v>15.4</x:v>
      </x:c>
      <x:c r="W847" s="47" t="n">
        <x:v>30</x:v>
      </x:c>
      <x:c r="X847" s="47" t="n">
        <x:v>118</x:v>
      </x:c>
      <x:c r="Y847" s="41" t="n">
        <x:v>88</x:v>
      </x:c>
    </x:row>
    <x:row r="848">
      <x:c r="A848" s="38" t="str">
        <x:v>7月30日现场数据</x:v>
      </x:c>
      <x:c r="B848" s="66" t="str">
        <x:v>2026-08-02T12:05:11.893000</x:v>
      </x:c>
      <x:c r="C848" s="47" t="n">
        <x:v>300972</x:v>
      </x:c>
      <x:c r="D848" s="47" t="str"/>
      <x:c r="E848" s="47" t="str"/>
      <x:c r="F848" s="47" t="str">
        <x:v>current</x:v>
      </x:c>
      <x:c r="G848" s="47" t="n">
        <x:v>844</x:v>
      </x:c>
      <x:c r="H848" s="53" t="b">
        <x:v>1</x:v>
      </x:c>
      <x:c r="I848" s="47" t="str">
        <x:v>2682537910</x:v>
      </x:c>
      <x:c r="J848" s="47" t="n">
        <x:v>77369230</x:v>
      </x:c>
      <x:c r="K848" s="53" t="b">
        <x:v>1</x:v>
      </x:c>
      <x:c r="L848" s="53" t="b">
        <x:v>1</x:v>
      </x:c>
      <x:c r="M848" s="53" t="b">
        <x:v>1</x:v>
      </x:c>
      <x:c r="N848" s="53" t="b">
        <x:v>1</x:v>
      </x:c>
      <x:c r="O848" s="53" t="b">
        <x:v>1</x:v>
      </x:c>
      <x:c r="P848" s="47" t="n">
        <x:v>1009</x:v>
      </x:c>
      <x:c r="Q848" s="47" t="n">
        <x:v>0.076</x:v>
      </x:c>
      <x:c r="R848" s="47" t="n">
        <x:v>2.044</x:v>
      </x:c>
      <x:c r="S848" s="47" t="n">
        <x:v>39.71</x:v>
      </x:c>
      <x:c r="T848" s="47" t="n">
        <x:v>63.79</x:v>
      </x:c>
      <x:c r="U848" s="47" t="n">
        <x:v>31.8</x:v>
      </x:c>
      <x:c r="V848" s="47" t="n">
        <x:v>15.4</x:v>
      </x:c>
      <x:c r="W848" s="47" t="n">
        <x:v>53</x:v>
      </x:c>
      <x:c r="X848" s="47" t="n">
        <x:v>180</x:v>
      </x:c>
      <x:c r="Y848" s="41" t="n">
        <x:v>127</x:v>
      </x:c>
    </x:row>
    <x:row r="849">
      <x:c r="A849" s="38" t="str">
        <x:v>7月30日现场数据</x:v>
      </x:c>
      <x:c r="B849" s="66" t="str">
        <x:v>2026-08-02T12:10:12.862000</x:v>
      </x:c>
      <x:c r="C849" s="47" t="n">
        <x:v>300969</x:v>
      </x:c>
      <x:c r="D849" s="47" t="str"/>
      <x:c r="E849" s="47" t="str"/>
      <x:c r="F849" s="47" t="str">
        <x:v>current</x:v>
      </x:c>
      <x:c r="G849" s="47" t="n">
        <x:v>845</x:v>
      </x:c>
      <x:c r="H849" s="53" t="b">
        <x:v>1</x:v>
      </x:c>
      <x:c r="I849" s="47" t="str">
        <x:v>2682537910</x:v>
      </x:c>
      <x:c r="J849" s="47" t="n">
        <x:v>77670199</x:v>
      </x:c>
      <x:c r="K849" s="53" t="b">
        <x:v>1</x:v>
      </x:c>
      <x:c r="L849" s="53" t="b">
        <x:v>1</x:v>
      </x:c>
      <x:c r="M849" s="53" t="b">
        <x:v>1</x:v>
      </x:c>
      <x:c r="N849" s="53" t="b">
        <x:v>1</x:v>
      </x:c>
      <x:c r="O849" s="53" t="b">
        <x:v>1</x:v>
      </x:c>
      <x:c r="P849" s="47" t="n">
        <x:v>1009</x:v>
      </x:c>
      <x:c r="Q849" s="47" t="n">
        <x:v>0</x:v>
      </x:c>
      <x:c r="R849" s="47" t="n">
        <x:v>0</x:v>
      </x:c>
      <x:c r="S849" s="47" t="n">
        <x:v>39.33</x:v>
      </x:c>
      <x:c r="T849" s="47" t="n">
        <x:v>63.61</x:v>
      </x:c>
      <x:c r="U849" s="47" t="n">
        <x:v>31.7</x:v>
      </x:c>
      <x:c r="V849" s="47" t="n">
        <x:v>15.4</x:v>
      </x:c>
      <x:c r="W849" s="47" t="n">
        <x:v>48</x:v>
      </x:c>
      <x:c r="X849" s="47" t="n">
        <x:v>143</x:v>
      </x:c>
      <x:c r="Y849" s="41" t="n">
        <x:v>95</x:v>
      </x:c>
    </x:row>
    <x:row r="850">
      <x:c r="A850" s="38" t="str">
        <x:v>7月30日现场数据</x:v>
      </x:c>
      <x:c r="B850" s="66" t="str">
        <x:v>2026-08-02T12:15:13.835000</x:v>
      </x:c>
      <x:c r="C850" s="47" t="n">
        <x:v>300973</x:v>
      </x:c>
      <x:c r="D850" s="47" t="str"/>
      <x:c r="E850" s="47" t="str"/>
      <x:c r="F850" s="47" t="str">
        <x:v>current</x:v>
      </x:c>
      <x:c r="G850" s="47" t="n">
        <x:v>846</x:v>
      </x:c>
      <x:c r="H850" s="53" t="b">
        <x:v>1</x:v>
      </x:c>
      <x:c r="I850" s="47" t="str">
        <x:v>2682537910</x:v>
      </x:c>
      <x:c r="J850" s="47" t="n">
        <x:v>77971172</x:v>
      </x:c>
      <x:c r="K850" s="53" t="b">
        <x:v>1</x:v>
      </x:c>
      <x:c r="L850" s="53" t="b">
        <x:v>1</x:v>
      </x:c>
      <x:c r="M850" s="53" t="b">
        <x:v>1</x:v>
      </x:c>
      <x:c r="N850" s="53" t="b">
        <x:v>1</x:v>
      </x:c>
      <x:c r="O850" s="53" t="b">
        <x:v>1</x:v>
      </x:c>
      <x:c r="P850" s="47" t="n">
        <x:v>1009</x:v>
      </x:c>
      <x:c r="Q850" s="47" t="n">
        <x:v>0.074</x:v>
      </x:c>
      <x:c r="R850" s="47" t="n">
        <x:v>2.011</x:v>
      </x:c>
      <x:c r="S850" s="47" t="n">
        <x:v>39.61</x:v>
      </x:c>
      <x:c r="T850" s="47" t="n">
        <x:v>63.44</x:v>
      </x:c>
      <x:c r="U850" s="47" t="n">
        <x:v>31.7</x:v>
      </x:c>
      <x:c r="V850" s="47" t="n">
        <x:v>15.3</x:v>
      </x:c>
      <x:c r="W850" s="47" t="n">
        <x:v>59</x:v>
      </x:c>
      <x:c r="X850" s="47" t="n">
        <x:v>173</x:v>
      </x:c>
      <x:c r="Y850" s="41" t="n">
        <x:v>114</x:v>
      </x:c>
    </x:row>
    <x:row r="851">
      <x:c r="A851" s="38" t="str">
        <x:v>7月30日现场数据</x:v>
      </x:c>
      <x:c r="B851" s="66" t="str">
        <x:v>2026-08-02T12:20:14.811000</x:v>
      </x:c>
      <x:c r="C851" s="47" t="n">
        <x:v>300976</x:v>
      </x:c>
      <x:c r="D851" s="47" t="str"/>
      <x:c r="E851" s="47" t="str"/>
      <x:c r="F851" s="47" t="str">
        <x:v>current</x:v>
      </x:c>
      <x:c r="G851" s="47" t="n">
        <x:v>847</x:v>
      </x:c>
      <x:c r="H851" s="53" t="b">
        <x:v>1</x:v>
      </x:c>
      <x:c r="I851" s="47" t="str">
        <x:v>2682537910</x:v>
      </x:c>
      <x:c r="J851" s="47" t="n">
        <x:v>78272148</x:v>
      </x:c>
      <x:c r="K851" s="53" t="b">
        <x:v>1</x:v>
      </x:c>
      <x:c r="L851" s="53" t="b">
        <x:v>1</x:v>
      </x:c>
      <x:c r="M851" s="53" t="b">
        <x:v>1</x:v>
      </x:c>
      <x:c r="N851" s="53" t="b">
        <x:v>1</x:v>
      </x:c>
      <x:c r="O851" s="53" t="b">
        <x:v>1</x:v>
      </x:c>
      <x:c r="P851" s="47" t="n">
        <x:v>1009</x:v>
      </x:c>
      <x:c r="Q851" s="47" t="n">
        <x:v>0</x:v>
      </x:c>
      <x:c r="R851" s="47" t="n">
        <x:v>0</x:v>
      </x:c>
      <x:c r="S851" s="47" t="n">
        <x:v>40.19</x:v>
      </x:c>
      <x:c r="T851" s="47" t="n">
        <x:v>63.39</x:v>
      </x:c>
      <x:c r="U851" s="47" t="n">
        <x:v>31.8</x:v>
      </x:c>
      <x:c r="V851" s="47" t="n">
        <x:v>15.3</x:v>
      </x:c>
      <x:c r="W851" s="47" t="n">
        <x:v>55</x:v>
      </x:c>
      <x:c r="X851" s="47" t="n">
        <x:v>169</x:v>
      </x:c>
      <x:c r="Y851" s="41" t="n">
        <x:v>114</x:v>
      </x:c>
    </x:row>
    <x:row r="852">
      <x:c r="A852" s="38" t="str">
        <x:v>7月30日现场数据</x:v>
      </x:c>
      <x:c r="B852" s="66" t="str">
        <x:v>2026-08-02T12:25:15.790000</x:v>
      </x:c>
      <x:c r="C852" s="47" t="n">
        <x:v>300979</x:v>
      </x:c>
      <x:c r="D852" s="47" t="str"/>
      <x:c r="E852" s="47" t="str"/>
      <x:c r="F852" s="47" t="str">
        <x:v>current</x:v>
      </x:c>
      <x:c r="G852" s="47" t="n">
        <x:v>848</x:v>
      </x:c>
      <x:c r="H852" s="53" t="b">
        <x:v>1</x:v>
      </x:c>
      <x:c r="I852" s="47" t="str">
        <x:v>2682537910</x:v>
      </x:c>
      <x:c r="J852" s="47" t="n">
        <x:v>78573127</x:v>
      </x:c>
      <x:c r="K852" s="53" t="b">
        <x:v>1</x:v>
      </x:c>
      <x:c r="L852" s="53" t="b">
        <x:v>1</x:v>
      </x:c>
      <x:c r="M852" s="53" t="b">
        <x:v>1</x:v>
      </x:c>
      <x:c r="N852" s="53" t="b">
        <x:v>1</x:v>
      </x:c>
      <x:c r="O852" s="53" t="b">
        <x:v>1</x:v>
      </x:c>
      <x:c r="P852" s="47" t="n">
        <x:v>1009</x:v>
      </x:c>
      <x:c r="Q852" s="47" t="n">
        <x:v>0</x:v>
      </x:c>
      <x:c r="R852" s="47" t="n">
        <x:v>0</x:v>
      </x:c>
      <x:c r="S852" s="47" t="n">
        <x:v>40.64</x:v>
      </x:c>
      <x:c r="T852" s="47" t="n">
        <x:v>63.35</x:v>
      </x:c>
      <x:c r="U852" s="47" t="n">
        <x:v>31.8</x:v>
      </x:c>
      <x:c r="V852" s="47" t="n">
        <x:v>15.3</x:v>
      </x:c>
      <x:c r="W852" s="47" t="n">
        <x:v>54</x:v>
      </x:c>
      <x:c r="X852" s="47" t="n">
        <x:v>172</x:v>
      </x:c>
      <x:c r="Y852" s="41" t="n">
        <x:v>118</x:v>
      </x:c>
    </x:row>
    <x:row r="853">
      <x:c r="A853" s="38" t="str">
        <x:v>7月30日现场数据</x:v>
      </x:c>
      <x:c r="B853" s="66" t="str">
        <x:v>2026-08-02T12:30:16.767000</x:v>
      </x:c>
      <x:c r="C853" s="47" t="n">
        <x:v>300977</x:v>
      </x:c>
      <x:c r="D853" s="47" t="str"/>
      <x:c r="E853" s="47" t="str"/>
      <x:c r="F853" s="47" t="str">
        <x:v>current</x:v>
      </x:c>
      <x:c r="G853" s="47" t="n">
        <x:v>849</x:v>
      </x:c>
      <x:c r="H853" s="53" t="b">
        <x:v>1</x:v>
      </x:c>
      <x:c r="I853" s="47" t="str">
        <x:v>2682537910</x:v>
      </x:c>
      <x:c r="J853" s="47" t="n">
        <x:v>78874104</x:v>
      </x:c>
      <x:c r="K853" s="53" t="b">
        <x:v>1</x:v>
      </x:c>
      <x:c r="L853" s="53" t="b">
        <x:v>1</x:v>
      </x:c>
      <x:c r="M853" s="53" t="b">
        <x:v>1</x:v>
      </x:c>
      <x:c r="N853" s="53" t="b">
        <x:v>1</x:v>
      </x:c>
      <x:c r="O853" s="53" t="b">
        <x:v>1</x:v>
      </x:c>
      <x:c r="P853" s="47" t="n">
        <x:v>1009</x:v>
      </x:c>
      <x:c r="Q853" s="47" t="n">
        <x:v>0.077</x:v>
      </x:c>
      <x:c r="R853" s="47" t="n">
        <x:v>2.077</x:v>
      </x:c>
      <x:c r="S853" s="47" t="n">
        <x:v>40.55</x:v>
      </x:c>
      <x:c r="T853" s="47" t="n">
        <x:v>63.25</x:v>
      </x:c>
      <x:c r="U853" s="47" t="n">
        <x:v>31.8</x:v>
      </x:c>
      <x:c r="V853" s="47" t="n">
        <x:v>15.3</x:v>
      </x:c>
      <x:c r="W853" s="47" t="n">
        <x:v>57</x:v>
      </x:c>
      <x:c r="X853" s="47" t="n">
        <x:v>182</x:v>
      </x:c>
      <x:c r="Y853" s="41" t="n">
        <x:v>125</x:v>
      </x:c>
    </x:row>
    <x:row r="854">
      <x:c r="A854" s="38" t="str">
        <x:v>7月30日现场数据</x:v>
      </x:c>
      <x:c r="B854" s="66" t="str">
        <x:v>2026-08-02T12:35:17.746000</x:v>
      </x:c>
      <x:c r="C854" s="47" t="n">
        <x:v>300979</x:v>
      </x:c>
      <x:c r="D854" s="47" t="str"/>
      <x:c r="E854" s="47" t="str"/>
      <x:c r="F854" s="47" t="str">
        <x:v>current</x:v>
      </x:c>
      <x:c r="G854" s="47" t="n">
        <x:v>850</x:v>
      </x:c>
      <x:c r="H854" s="53" t="b">
        <x:v>1</x:v>
      </x:c>
      <x:c r="I854" s="47" t="str">
        <x:v>2682537910</x:v>
      </x:c>
      <x:c r="J854" s="47" t="n">
        <x:v>79175083</x:v>
      </x:c>
      <x:c r="K854" s="53" t="b">
        <x:v>1</x:v>
      </x:c>
      <x:c r="L854" s="53" t="b">
        <x:v>1</x:v>
      </x:c>
      <x:c r="M854" s="53" t="b">
        <x:v>1</x:v>
      </x:c>
      <x:c r="N854" s="53" t="b">
        <x:v>1</x:v>
      </x:c>
      <x:c r="O854" s="53" t="b">
        <x:v>1</x:v>
      </x:c>
      <x:c r="P854" s="47" t="n">
        <x:v>1008</x:v>
      </x:c>
      <x:c r="Q854" s="47" t="n">
        <x:v>0</x:v>
      </x:c>
      <x:c r="R854" s="47" t="n">
        <x:v>0</x:v>
      </x:c>
      <x:c r="S854" s="47" t="n">
        <x:v>40.59</x:v>
      </x:c>
      <x:c r="T854" s="47" t="n">
        <x:v>63.03</x:v>
      </x:c>
      <x:c r="U854" s="47" t="n">
        <x:v>31.8</x:v>
      </x:c>
      <x:c r="V854" s="47" t="n">
        <x:v>15.3</x:v>
      </x:c>
      <x:c r="W854" s="47" t="n">
        <x:v>52</x:v>
      </x:c>
      <x:c r="X854" s="47" t="n">
        <x:v>162</x:v>
      </x:c>
      <x:c r="Y854" s="41" t="n">
        <x:v>110</x:v>
      </x:c>
    </x:row>
    <x:row r="855">
      <x:c r="A855" s="38" t="str">
        <x:v>7月30日现场数据</x:v>
      </x:c>
      <x:c r="B855" s="66" t="str">
        <x:v>2026-08-02T12:40:18.729000</x:v>
      </x:c>
      <x:c r="C855" s="47" t="n">
        <x:v>300983</x:v>
      </x:c>
      <x:c r="D855" s="47" t="str"/>
      <x:c r="E855" s="47" t="str"/>
      <x:c r="F855" s="47" t="str">
        <x:v>current</x:v>
      </x:c>
      <x:c r="G855" s="47" t="n">
        <x:v>851</x:v>
      </x:c>
      <x:c r="H855" s="53" t="b">
        <x:v>1</x:v>
      </x:c>
      <x:c r="I855" s="47" t="str">
        <x:v>2682537910</x:v>
      </x:c>
      <x:c r="J855" s="47" t="n">
        <x:v>79476066</x:v>
      </x:c>
      <x:c r="K855" s="53" t="b">
        <x:v>1</x:v>
      </x:c>
      <x:c r="L855" s="53" t="b">
        <x:v>1</x:v>
      </x:c>
      <x:c r="M855" s="53" t="b">
        <x:v>1</x:v>
      </x:c>
      <x:c r="N855" s="53" t="b">
        <x:v>1</x:v>
      </x:c>
      <x:c r="O855" s="53" t="b">
        <x:v>1</x:v>
      </x:c>
      <x:c r="P855" s="47" t="n">
        <x:v>1009</x:v>
      </x:c>
      <x:c r="Q855" s="47" t="n">
        <x:v>0</x:v>
      </x:c>
      <x:c r="R855" s="47" t="n">
        <x:v>0</x:v>
      </x:c>
      <x:c r="S855" s="47" t="n">
        <x:v>40.65</x:v>
      </x:c>
      <x:c r="T855" s="47" t="n">
        <x:v>62.92</x:v>
      </x:c>
      <x:c r="U855" s="47" t="n">
        <x:v>31.9</x:v>
      </x:c>
      <x:c r="V855" s="47" t="n">
        <x:v>15.3</x:v>
      </x:c>
      <x:c r="W855" s="47" t="n">
        <x:v>50</x:v>
      </x:c>
      <x:c r="X855" s="47" t="n">
        <x:v>159</x:v>
      </x:c>
      <x:c r="Y855" s="41" t="n">
        <x:v>109</x:v>
      </x:c>
    </x:row>
    <x:row r="856">
      <x:c r="A856" s="38" t="str">
        <x:v>7月30日现场数据</x:v>
      </x:c>
      <x:c r="B856" s="66" t="str">
        <x:v>2026-08-02T12:45:19.714000</x:v>
      </x:c>
      <x:c r="C856" s="47" t="n">
        <x:v>300985</x:v>
      </x:c>
      <x:c r="D856" s="47" t="str"/>
      <x:c r="E856" s="47" t="str"/>
      <x:c r="F856" s="47" t="str">
        <x:v>current</x:v>
      </x:c>
      <x:c r="G856" s="47" t="n">
        <x:v>852</x:v>
      </x:c>
      <x:c r="H856" s="53" t="b">
        <x:v>1</x:v>
      </x:c>
      <x:c r="I856" s="47" t="str">
        <x:v>2682537910</x:v>
      </x:c>
      <x:c r="J856" s="47" t="n">
        <x:v>79777051</x:v>
      </x:c>
      <x:c r="K856" s="53" t="b">
        <x:v>1</x:v>
      </x:c>
      <x:c r="L856" s="53" t="b">
        <x:v>1</x:v>
      </x:c>
      <x:c r="M856" s="53" t="b">
        <x:v>1</x:v>
      </x:c>
      <x:c r="N856" s="53" t="b">
        <x:v>1</x:v>
      </x:c>
      <x:c r="O856" s="53" t="b">
        <x:v>1</x:v>
      </x:c>
      <x:c r="P856" s="47" t="n">
        <x:v>1008</x:v>
      </x:c>
      <x:c r="Q856" s="47" t="n">
        <x:v>0</x:v>
      </x:c>
      <x:c r="R856" s="47" t="n">
        <x:v>0</x:v>
      </x:c>
      <x:c r="S856" s="47" t="n">
        <x:v>40.3</x:v>
      </x:c>
      <x:c r="T856" s="47" t="n">
        <x:v>62.65</x:v>
      </x:c>
      <x:c r="U856" s="47" t="n">
        <x:v>31.9</x:v>
      </x:c>
      <x:c r="V856" s="47" t="n">
        <x:v>15.3</x:v>
      </x:c>
      <x:c r="W856" s="47" t="n">
        <x:v>52</x:v>
      </x:c>
      <x:c r="X856" s="47" t="n">
        <x:v>159</x:v>
      </x:c>
      <x:c r="Y856" s="41" t="n">
        <x:v>107</x:v>
      </x:c>
    </x:row>
    <x:row r="857">
      <x:c r="A857" s="38" t="str">
        <x:v>7月30日现场数据</x:v>
      </x:c>
      <x:c r="B857" s="66" t="str">
        <x:v>2026-08-02T12:50:20.699000</x:v>
      </x:c>
      <x:c r="C857" s="47" t="n">
        <x:v>300985</x:v>
      </x:c>
      <x:c r="D857" s="47" t="str"/>
      <x:c r="E857" s="47" t="str"/>
      <x:c r="F857" s="47" t="str">
        <x:v>current</x:v>
      </x:c>
      <x:c r="G857" s="47" t="n">
        <x:v>853</x:v>
      </x:c>
      <x:c r="H857" s="53" t="b">
        <x:v>1</x:v>
      </x:c>
      <x:c r="I857" s="47" t="str">
        <x:v>2682537910</x:v>
      </x:c>
      <x:c r="J857" s="47" t="n">
        <x:v>80078036</x:v>
      </x:c>
      <x:c r="K857" s="53" t="b">
        <x:v>1</x:v>
      </x:c>
      <x:c r="L857" s="53" t="b">
        <x:v>1</x:v>
      </x:c>
      <x:c r="M857" s="53" t="b">
        <x:v>1</x:v>
      </x:c>
      <x:c r="N857" s="53" t="b">
        <x:v>1</x:v>
      </x:c>
      <x:c r="O857" s="53" t="b">
        <x:v>1</x:v>
      </x:c>
      <x:c r="P857" s="47" t="n">
        <x:v>1008</x:v>
      </x:c>
      <x:c r="Q857" s="47" t="n">
        <x:v>0</x:v>
      </x:c>
      <x:c r="R857" s="47" t="n">
        <x:v>0</x:v>
      </x:c>
      <x:c r="S857" s="47" t="n">
        <x:v>39.82</x:v>
      </x:c>
      <x:c r="T857" s="47" t="n">
        <x:v>62.46</x:v>
      </x:c>
      <x:c r="U857" s="47" t="n">
        <x:v>31.8</x:v>
      </x:c>
      <x:c r="V857" s="47" t="n">
        <x:v>15.3</x:v>
      </x:c>
      <x:c r="W857" s="47" t="n">
        <x:v>17</x:v>
      </x:c>
      <x:c r="X857" s="47" t="n">
        <x:v>80</x:v>
      </x:c>
      <x:c r="Y857" s="41" t="n">
        <x:v>63</x:v>
      </x:c>
    </x:row>
    <x:row r="858">
      <x:c r="A858" s="38" t="str">
        <x:v>7月30日现场数据</x:v>
      </x:c>
      <x:c r="B858" s="66" t="str">
        <x:v>2026-08-02T12:55:21.719000</x:v>
      </x:c>
      <x:c r="C858" s="47" t="n">
        <x:v>301020</x:v>
      </x:c>
      <x:c r="D858" s="47" t="str"/>
      <x:c r="E858" s="47" t="str"/>
      <x:c r="F858" s="47" t="str">
        <x:v>current</x:v>
      </x:c>
      <x:c r="G858" s="47" t="n">
        <x:v>854</x:v>
      </x:c>
      <x:c r="H858" s="53" t="b">
        <x:v>1</x:v>
      </x:c>
      <x:c r="I858" s="47" t="str">
        <x:v>2682537910</x:v>
      </x:c>
      <x:c r="J858" s="47" t="n">
        <x:v>80379056</x:v>
      </x:c>
      <x:c r="K858" s="53" t="b">
        <x:v>1</x:v>
      </x:c>
      <x:c r="L858" s="53" t="b">
        <x:v>1</x:v>
      </x:c>
      <x:c r="M858" s="53" t="b">
        <x:v>1</x:v>
      </x:c>
      <x:c r="N858" s="53" t="b">
        <x:v>1</x:v>
      </x:c>
      <x:c r="O858" s="53" t="b">
        <x:v>1</x:v>
      </x:c>
      <x:c r="P858" s="47" t="n">
        <x:v>1008</x:v>
      </x:c>
      <x:c r="Q858" s="47" t="n">
        <x:v>0</x:v>
      </x:c>
      <x:c r="R858" s="47" t="n">
        <x:v>0</x:v>
      </x:c>
      <x:c r="S858" s="47" t="n">
        <x:v>38.78</x:v>
      </x:c>
      <x:c r="T858" s="47" t="n">
        <x:v>62.01</x:v>
      </x:c>
      <x:c r="U858" s="47" t="n">
        <x:v>31.8</x:v>
      </x:c>
      <x:c r="V858" s="47" t="n">
        <x:v>15.3</x:v>
      </x:c>
      <x:c r="W858" s="47" t="n">
        <x:v>16</x:v>
      </x:c>
      <x:c r="X858" s="47" t="n">
        <x:v>73</x:v>
      </x:c>
      <x:c r="Y858" s="41" t="n">
        <x:v>57</x:v>
      </x:c>
    </x:row>
    <x:row r="859">
      <x:c r="A859" s="38" t="str">
        <x:v>7月30日现场数据</x:v>
      </x:c>
      <x:c r="B859" s="66" t="str">
        <x:v>2026-08-02T13:00:22.685000</x:v>
      </x:c>
      <x:c r="C859" s="47" t="n">
        <x:v>300966</x:v>
      </x:c>
      <x:c r="D859" s="47" t="str"/>
      <x:c r="E859" s="47" t="str"/>
      <x:c r="F859" s="47" t="str">
        <x:v>current</x:v>
      </x:c>
      <x:c r="G859" s="47" t="n">
        <x:v>855</x:v>
      </x:c>
      <x:c r="H859" s="53" t="b">
        <x:v>1</x:v>
      </x:c>
      <x:c r="I859" s="47" t="str">
        <x:v>2682537910</x:v>
      </x:c>
      <x:c r="J859" s="47" t="n">
        <x:v>80680022</x:v>
      </x:c>
      <x:c r="K859" s="53" t="b">
        <x:v>1</x:v>
      </x:c>
      <x:c r="L859" s="53" t="b">
        <x:v>1</x:v>
      </x:c>
      <x:c r="M859" s="53" t="b">
        <x:v>1</x:v>
      </x:c>
      <x:c r="N859" s="53" t="b">
        <x:v>1</x:v>
      </x:c>
      <x:c r="O859" s="53" t="b">
        <x:v>1</x:v>
      </x:c>
      <x:c r="P859" s="47" t="n">
        <x:v>1008</x:v>
      </x:c>
      <x:c r="Q859" s="47" t="n">
        <x:v>0</x:v>
      </x:c>
      <x:c r="R859" s="47" t="n">
        <x:v>0</x:v>
      </x:c>
      <x:c r="S859" s="47" t="n">
        <x:v>38.44</x:v>
      </x:c>
      <x:c r="T859" s="47" t="n">
        <x:v>61.78</x:v>
      </x:c>
      <x:c r="U859" s="47" t="n">
        <x:v>31.8</x:v>
      </x:c>
      <x:c r="V859" s="47" t="n">
        <x:v>15.2</x:v>
      </x:c>
      <x:c r="W859" s="47" t="n">
        <x:v>16</x:v>
      </x:c>
      <x:c r="X859" s="47" t="n">
        <x:v>75</x:v>
      </x:c>
      <x:c r="Y859" s="41" t="n">
        <x:v>59</x:v>
      </x:c>
    </x:row>
    <x:row r="860">
      <x:c r="A860" s="38" t="str">
        <x:v>7月30日现场数据</x:v>
      </x:c>
      <x:c r="B860" s="66" t="str">
        <x:v>2026-08-02T13:05:23.651000</x:v>
      </x:c>
      <x:c r="C860" s="47" t="n">
        <x:v>300966</x:v>
      </x:c>
      <x:c r="D860" s="47" t="str"/>
      <x:c r="E860" s="47" t="str"/>
      <x:c r="F860" s="47" t="str">
        <x:v>current</x:v>
      </x:c>
      <x:c r="G860" s="47" t="n">
        <x:v>856</x:v>
      </x:c>
      <x:c r="H860" s="53" t="b">
        <x:v>1</x:v>
      </x:c>
      <x:c r="I860" s="47" t="str">
        <x:v>2682537910</x:v>
      </x:c>
      <x:c r="J860" s="47" t="n">
        <x:v>80980988</x:v>
      </x:c>
      <x:c r="K860" s="53" t="b">
        <x:v>1</x:v>
      </x:c>
      <x:c r="L860" s="53" t="b">
        <x:v>1</x:v>
      </x:c>
      <x:c r="M860" s="53" t="b">
        <x:v>1</x:v>
      </x:c>
      <x:c r="N860" s="53" t="b">
        <x:v>1</x:v>
      </x:c>
      <x:c r="O860" s="53" t="b">
        <x:v>1</x:v>
      </x:c>
      <x:c r="P860" s="47" t="n">
        <x:v>1008</x:v>
      </x:c>
      <x:c r="Q860" s="47" t="n">
        <x:v>0</x:v>
      </x:c>
      <x:c r="R860" s="47" t="n">
        <x:v>0</x:v>
      </x:c>
      <x:c r="S860" s="47" t="n">
        <x:v>38.19</x:v>
      </x:c>
      <x:c r="T860" s="47" t="n">
        <x:v>61.48</x:v>
      </x:c>
      <x:c r="U860" s="47" t="n">
        <x:v>31.8</x:v>
      </x:c>
      <x:c r="V860" s="47" t="n">
        <x:v>15.2</x:v>
      </x:c>
      <x:c r="W860" s="47" t="n">
        <x:v>19</x:v>
      </x:c>
      <x:c r="X860" s="47" t="n">
        <x:v>87</x:v>
      </x:c>
      <x:c r="Y860" s="41" t="n">
        <x:v>68</x:v>
      </x:c>
    </x:row>
    <x:row r="861">
      <x:c r="A861" s="38" t="str">
        <x:v>7月30日现场数据</x:v>
      </x:c>
      <x:c r="B861" s="66" t="str">
        <x:v>2026-08-02T13:10:24.618000</x:v>
      </x:c>
      <x:c r="C861" s="47" t="n">
        <x:v>300967</x:v>
      </x:c>
      <x:c r="D861" s="47" t="str"/>
      <x:c r="E861" s="47" t="str"/>
      <x:c r="F861" s="47" t="str">
        <x:v>current</x:v>
      </x:c>
      <x:c r="G861" s="47" t="n">
        <x:v>857</x:v>
      </x:c>
      <x:c r="H861" s="53" t="b">
        <x:v>1</x:v>
      </x:c>
      <x:c r="I861" s="47" t="str">
        <x:v>2682537910</x:v>
      </x:c>
      <x:c r="J861" s="47" t="n">
        <x:v>81281955</x:v>
      </x:c>
      <x:c r="K861" s="53" t="b">
        <x:v>1</x:v>
      </x:c>
      <x:c r="L861" s="53" t="b">
        <x:v>1</x:v>
      </x:c>
      <x:c r="M861" s="53" t="b">
        <x:v>1</x:v>
      </x:c>
      <x:c r="N861" s="53" t="b">
        <x:v>1</x:v>
      </x:c>
      <x:c r="O861" s="53" t="b">
        <x:v>1</x:v>
      </x:c>
      <x:c r="P861" s="47" t="n">
        <x:v>1008</x:v>
      </x:c>
      <x:c r="Q861" s="47" t="n">
        <x:v>0</x:v>
      </x:c>
      <x:c r="R861" s="47" t="n">
        <x:v>0</x:v>
      </x:c>
      <x:c r="S861" s="47" t="n">
        <x:v>38.51</x:v>
      </x:c>
      <x:c r="T861" s="47" t="n">
        <x:v>61.4</x:v>
      </x:c>
      <x:c r="U861" s="47" t="n">
        <x:v>31.8</x:v>
      </x:c>
      <x:c r="V861" s="47" t="n">
        <x:v>15.2</x:v>
      </x:c>
      <x:c r="W861" s="47" t="n">
        <x:v>45</x:v>
      </x:c>
      <x:c r="X861" s="47" t="n">
        <x:v>182</x:v>
      </x:c>
      <x:c r="Y861" s="41" t="n">
        <x:v>137</x:v>
      </x:c>
    </x:row>
    <x:row r="862">
      <x:c r="A862" s="38" t="str">
        <x:v>7月30日现场数据</x:v>
      </x:c>
      <x:c r="B862" s="66" t="str">
        <x:v>2026-08-02T13:15:25.588000</x:v>
      </x:c>
      <x:c r="C862" s="47" t="n">
        <x:v>300970</x:v>
      </x:c>
      <x:c r="D862" s="47" t="str"/>
      <x:c r="E862" s="47" t="str"/>
      <x:c r="F862" s="47" t="str">
        <x:v>current</x:v>
      </x:c>
      <x:c r="G862" s="47" t="n">
        <x:v>858</x:v>
      </x:c>
      <x:c r="H862" s="53" t="b">
        <x:v>1</x:v>
      </x:c>
      <x:c r="I862" s="47" t="str">
        <x:v>2682537910</x:v>
      </x:c>
      <x:c r="J862" s="47" t="n">
        <x:v>81582925</x:v>
      </x:c>
      <x:c r="K862" s="53" t="b">
        <x:v>1</x:v>
      </x:c>
      <x:c r="L862" s="53" t="b">
        <x:v>1</x:v>
      </x:c>
      <x:c r="M862" s="53" t="b">
        <x:v>1</x:v>
      </x:c>
      <x:c r="N862" s="53" t="b">
        <x:v>1</x:v>
      </x:c>
      <x:c r="O862" s="53" t="b">
        <x:v>1</x:v>
      </x:c>
      <x:c r="P862" s="47" t="n">
        <x:v>1008</x:v>
      </x:c>
      <x:c r="Q862" s="47" t="n">
        <x:v>0</x:v>
      </x:c>
      <x:c r="R862" s="47" t="n">
        <x:v>0</x:v>
      </x:c>
      <x:c r="S862" s="47" t="n">
        <x:v>39.24</x:v>
      </x:c>
      <x:c r="T862" s="47" t="n">
        <x:v>61.48</x:v>
      </x:c>
      <x:c r="U862" s="47" t="n">
        <x:v>31.8</x:v>
      </x:c>
      <x:c r="V862" s="47" t="n">
        <x:v>15.2</x:v>
      </x:c>
      <x:c r="W862" s="47" t="n">
        <x:v>44</x:v>
      </x:c>
      <x:c r="X862" s="47" t="n">
        <x:v>661</x:v>
      </x:c>
      <x:c r="Y862" s="41" t="n">
        <x:v>617</x:v>
      </x:c>
    </x:row>
    <x:row r="863">
      <x:c r="A863" s="38" t="str">
        <x:v>7月30日现场数据</x:v>
      </x:c>
      <x:c r="B863" s="66" t="str">
        <x:v>2026-08-02T13:20:26.563000</x:v>
      </x:c>
      <x:c r="C863" s="47" t="n">
        <x:v>300975</x:v>
      </x:c>
      <x:c r="D863" s="47" t="str"/>
      <x:c r="E863" s="47" t="str"/>
      <x:c r="F863" s="47" t="str">
        <x:v>current</x:v>
      </x:c>
      <x:c r="G863" s="47" t="n">
        <x:v>859</x:v>
      </x:c>
      <x:c r="H863" s="53" t="b">
        <x:v>1</x:v>
      </x:c>
      <x:c r="I863" s="47" t="str">
        <x:v>2682537910</x:v>
      </x:c>
      <x:c r="J863" s="47" t="n">
        <x:v>81883900</x:v>
      </x:c>
      <x:c r="K863" s="53" t="b">
        <x:v>1</x:v>
      </x:c>
      <x:c r="L863" s="53" t="b">
        <x:v>1</x:v>
      </x:c>
      <x:c r="M863" s="53" t="b">
        <x:v>1</x:v>
      </x:c>
      <x:c r="N863" s="53" t="b">
        <x:v>1</x:v>
      </x:c>
      <x:c r="O863" s="53" t="b">
        <x:v>1</x:v>
      </x:c>
      <x:c r="P863" s="47" t="n">
        <x:v>1008</x:v>
      </x:c>
      <x:c r="Q863" s="47" t="n">
        <x:v>0</x:v>
      </x:c>
      <x:c r="R863" s="47" t="n">
        <x:v>0</x:v>
      </x:c>
      <x:c r="S863" s="47" t="n">
        <x:v>39.6</x:v>
      </x:c>
      <x:c r="T863" s="47" t="n">
        <x:v>61.47</x:v>
      </x:c>
      <x:c r="U863" s="47" t="n">
        <x:v>31.8</x:v>
      </x:c>
      <x:c r="V863" s="47" t="n">
        <x:v>15.2</x:v>
      </x:c>
      <x:c r="W863" s="47" t="n">
        <x:v>42</x:v>
      </x:c>
      <x:c r="X863" s="47" t="n">
        <x:v>141</x:v>
      </x:c>
      <x:c r="Y863" s="41" t="n">
        <x:v>99</x:v>
      </x:c>
    </x:row>
    <x:row r="864">
      <x:c r="A864" s="38" t="str">
        <x:v>7月30日现场数据</x:v>
      </x:c>
      <x:c r="B864" s="66" t="str">
        <x:v>2026-08-02T13:25:27.536000</x:v>
      </x:c>
      <x:c r="C864" s="47" t="n">
        <x:v>300973</x:v>
      </x:c>
      <x:c r="D864" s="47" t="str"/>
      <x:c r="E864" s="47" t="str"/>
      <x:c r="F864" s="47" t="str">
        <x:v>current</x:v>
      </x:c>
      <x:c r="G864" s="47" t="n">
        <x:v>860</x:v>
      </x:c>
      <x:c r="H864" s="53" t="b">
        <x:v>1</x:v>
      </x:c>
      <x:c r="I864" s="47" t="str">
        <x:v>2682537910</x:v>
      </x:c>
      <x:c r="J864" s="47" t="n">
        <x:v>82184873</x:v>
      </x:c>
      <x:c r="K864" s="53" t="b">
        <x:v>1</x:v>
      </x:c>
      <x:c r="L864" s="53" t="b">
        <x:v>1</x:v>
      </x:c>
      <x:c r="M864" s="53" t="b">
        <x:v>1</x:v>
      </x:c>
      <x:c r="N864" s="53" t="b">
        <x:v>1</x:v>
      </x:c>
      <x:c r="O864" s="53" t="b">
        <x:v>1</x:v>
      </x:c>
      <x:c r="P864" s="47" t="n">
        <x:v>1008</x:v>
      </x:c>
      <x:c r="Q864" s="47" t="n">
        <x:v>0</x:v>
      </x:c>
      <x:c r="R864" s="47" t="n">
        <x:v>0</x:v>
      </x:c>
      <x:c r="S864" s="47" t="n">
        <x:v>39.86</x:v>
      </x:c>
      <x:c r="T864" s="47" t="n">
        <x:v>61.37</x:v>
      </x:c>
      <x:c r="U864" s="47" t="n">
        <x:v>31.9</x:v>
      </x:c>
      <x:c r="V864" s="47" t="n">
        <x:v>15.2</x:v>
      </x:c>
      <x:c r="W864" s="47" t="n">
        <x:v>47</x:v>
      </x:c>
      <x:c r="X864" s="47" t="n">
        <x:v>157</x:v>
      </x:c>
      <x:c r="Y864" s="41" t="n">
        <x:v>110</x:v>
      </x:c>
    </x:row>
    <x:row r="865">
      <x:c r="A865" s="38" t="str">
        <x:v>7月30日现场数据</x:v>
      </x:c>
      <x:c r="B865" s="66" t="str">
        <x:v>2026-08-02T13:30:28.510000</x:v>
      </x:c>
      <x:c r="C865" s="47" t="n">
        <x:v>300974</x:v>
      </x:c>
      <x:c r="D865" s="47" t="str"/>
      <x:c r="E865" s="47" t="str"/>
      <x:c r="F865" s="47" t="str">
        <x:v>current</x:v>
      </x:c>
      <x:c r="G865" s="47" t="n">
        <x:v>861</x:v>
      </x:c>
      <x:c r="H865" s="53" t="b">
        <x:v>1</x:v>
      </x:c>
      <x:c r="I865" s="47" t="str">
        <x:v>2682537910</x:v>
      </x:c>
      <x:c r="J865" s="47" t="n">
        <x:v>82485847</x:v>
      </x:c>
      <x:c r="K865" s="53" t="b">
        <x:v>1</x:v>
      </x:c>
      <x:c r="L865" s="53" t="b">
        <x:v>1</x:v>
      </x:c>
      <x:c r="M865" s="53" t="b">
        <x:v>1</x:v>
      </x:c>
      <x:c r="N865" s="53" t="b">
        <x:v>1</x:v>
      </x:c>
      <x:c r="O865" s="53" t="b">
        <x:v>1</x:v>
      </x:c>
      <x:c r="P865" s="47" t="n">
        <x:v>1008</x:v>
      </x:c>
      <x:c r="Q865" s="47" t="n">
        <x:v>0.004</x:v>
      </x:c>
      <x:c r="R865" s="47" t="n">
        <x:v>0.099</x:v>
      </x:c>
      <x:c r="S865" s="47" t="n">
        <x:v>40.33</x:v>
      </x:c>
      <x:c r="T865" s="47" t="n">
        <x:v>61.36</x:v>
      </x:c>
      <x:c r="U865" s="47" t="n">
        <x:v>32</x:v>
      </x:c>
      <x:c r="V865" s="47" t="n">
        <x:v>15.2</x:v>
      </x:c>
      <x:c r="W865" s="47" t="n">
        <x:v>50</x:v>
      </x:c>
      <x:c r="X865" s="47" t="n">
        <x:v>169</x:v>
      </x:c>
      <x:c r="Y865" s="41" t="n">
        <x:v>119</x:v>
      </x:c>
    </x:row>
    <x:row r="866">
      <x:c r="A866" s="38" t="str">
        <x:v>7月30日现场数据</x:v>
      </x:c>
      <x:c r="B866" s="66" t="str">
        <x:v>2026-08-02T13:35:29.488000</x:v>
      </x:c>
      <x:c r="C866" s="47" t="n">
        <x:v>300978</x:v>
      </x:c>
      <x:c r="D866" s="47" t="str"/>
      <x:c r="E866" s="47" t="str"/>
      <x:c r="F866" s="47" t="str">
        <x:v>current</x:v>
      </x:c>
      <x:c r="G866" s="47" t="n">
        <x:v>862</x:v>
      </x:c>
      <x:c r="H866" s="53" t="b">
        <x:v>1</x:v>
      </x:c>
      <x:c r="I866" s="47" t="str">
        <x:v>2682537910</x:v>
      </x:c>
      <x:c r="J866" s="47" t="n">
        <x:v>82786825</x:v>
      </x:c>
      <x:c r="K866" s="53" t="b">
        <x:v>1</x:v>
      </x:c>
      <x:c r="L866" s="53" t="b">
        <x:v>1</x:v>
      </x:c>
      <x:c r="M866" s="53" t="b">
        <x:v>1</x:v>
      </x:c>
      <x:c r="N866" s="53" t="b">
        <x:v>1</x:v>
      </x:c>
      <x:c r="O866" s="53" t="b">
        <x:v>1</x:v>
      </x:c>
      <x:c r="P866" s="47" t="n">
        <x:v>1008</x:v>
      </x:c>
      <x:c r="Q866" s="47" t="n">
        <x:v>0</x:v>
      </x:c>
      <x:c r="R866" s="47" t="n">
        <x:v>0</x:v>
      </x:c>
      <x:c r="S866" s="47" t="n">
        <x:v>40.59</x:v>
      </x:c>
      <x:c r="T866" s="47" t="n">
        <x:v>61.24</x:v>
      </x:c>
      <x:c r="U866" s="47" t="n">
        <x:v>32</x:v>
      </x:c>
      <x:c r="V866" s="47" t="n">
        <x:v>15.2</x:v>
      </x:c>
      <x:c r="W866" s="47" t="n">
        <x:v>48</x:v>
      </x:c>
      <x:c r="X866" s="47" t="n">
        <x:v>177</x:v>
      </x:c>
      <x:c r="Y866" s="41" t="n">
        <x:v>129</x:v>
      </x:c>
    </x:row>
    <x:row r="867">
      <x:c r="A867" s="38" t="str">
        <x:v>7月30日现场数据</x:v>
      </x:c>
      <x:c r="B867" s="66" t="str">
        <x:v>2026-08-02T13:40:30.467000</x:v>
      </x:c>
      <x:c r="C867" s="47" t="n">
        <x:v>300979</x:v>
      </x:c>
      <x:c r="D867" s="47" t="str"/>
      <x:c r="E867" s="47" t="str"/>
      <x:c r="F867" s="47" t="str">
        <x:v>current</x:v>
      </x:c>
      <x:c r="G867" s="47" t="n">
        <x:v>863</x:v>
      </x:c>
      <x:c r="H867" s="53" t="b">
        <x:v>1</x:v>
      </x:c>
      <x:c r="I867" s="47" t="str">
        <x:v>2682537910</x:v>
      </x:c>
      <x:c r="J867" s="47" t="n">
        <x:v>83087804</x:v>
      </x:c>
      <x:c r="K867" s="53" t="b">
        <x:v>1</x:v>
      </x:c>
      <x:c r="L867" s="53" t="b">
        <x:v>1</x:v>
      </x:c>
      <x:c r="M867" s="53" t="b">
        <x:v>1</x:v>
      </x:c>
      <x:c r="N867" s="53" t="b">
        <x:v>1</x:v>
      </x:c>
      <x:c r="O867" s="53" t="b">
        <x:v>1</x:v>
      </x:c>
      <x:c r="P867" s="47" t="n">
        <x:v>1008</x:v>
      </x:c>
      <x:c r="Q867" s="47" t="n">
        <x:v>0</x:v>
      </x:c>
      <x:c r="R867" s="47" t="n">
        <x:v>0</x:v>
      </x:c>
      <x:c r="S867" s="47" t="n">
        <x:v>40.77</x:v>
      </x:c>
      <x:c r="T867" s="47" t="n">
        <x:v>61.15</x:v>
      </x:c>
      <x:c r="U867" s="47" t="n">
        <x:v>32.1</x:v>
      </x:c>
      <x:c r="V867" s="47" t="n">
        <x:v>15.2</x:v>
      </x:c>
      <x:c r="W867" s="47" t="n">
        <x:v>33</x:v>
      </x:c>
      <x:c r="X867" s="47" t="n">
        <x:v>117</x:v>
      </x:c>
      <x:c r="Y867" s="41" t="n">
        <x:v>84</x:v>
      </x:c>
    </x:row>
    <x:row r="868">
      <x:c r="A868" s="38" t="str">
        <x:v>7月30日现场数据</x:v>
      </x:c>
      <x:c r="B868" s="66" t="str">
        <x:v>2026-08-02T13:45:31.445000</x:v>
      </x:c>
      <x:c r="C868" s="47" t="n">
        <x:v>300978</x:v>
      </x:c>
      <x:c r="D868" s="47" t="str"/>
      <x:c r="E868" s="47" t="str"/>
      <x:c r="F868" s="47" t="str">
        <x:v>current</x:v>
      </x:c>
      <x:c r="G868" s="47" t="n">
        <x:v>864</x:v>
      </x:c>
      <x:c r="H868" s="53" t="b">
        <x:v>1</x:v>
      </x:c>
      <x:c r="I868" s="47" t="str">
        <x:v>2682537910</x:v>
      </x:c>
      <x:c r="J868" s="47" t="n">
        <x:v>83388782</x:v>
      </x:c>
      <x:c r="K868" s="53" t="b">
        <x:v>1</x:v>
      </x:c>
      <x:c r="L868" s="53" t="b">
        <x:v>1</x:v>
      </x:c>
      <x:c r="M868" s="53" t="b">
        <x:v>1</x:v>
      </x:c>
      <x:c r="N868" s="53" t="b">
        <x:v>1</x:v>
      </x:c>
      <x:c r="O868" s="53" t="b">
        <x:v>1</x:v>
      </x:c>
      <x:c r="P868" s="47" t="n">
        <x:v>1008</x:v>
      </x:c>
      <x:c r="Q868" s="47" t="n">
        <x:v>0</x:v>
      </x:c>
      <x:c r="R868" s="47" t="n">
        <x:v>0</x:v>
      </x:c>
      <x:c r="S868" s="47" t="n">
        <x:v>40.16</x:v>
      </x:c>
      <x:c r="T868" s="47" t="n">
        <x:v>60.88</x:v>
      </x:c>
      <x:c r="U868" s="47" t="n">
        <x:v>32.1</x:v>
      </x:c>
      <x:c r="V868" s="47" t="n">
        <x:v>15.2</x:v>
      </x:c>
      <x:c r="W868" s="47" t="n">
        <x:v>24</x:v>
      </x:c>
      <x:c r="X868" s="47" t="n">
        <x:v>88</x:v>
      </x:c>
      <x:c r="Y868" s="41" t="n">
        <x:v>64</x:v>
      </x:c>
    </x:row>
    <x:row r="869">
      <x:c r="A869" s="38" t="str">
        <x:v>7月30日现场数据</x:v>
      </x:c>
      <x:c r="B869" s="66" t="str">
        <x:v>2026-08-02T13:50:32.426000</x:v>
      </x:c>
      <x:c r="C869" s="47" t="n">
        <x:v>300981</x:v>
      </x:c>
      <x:c r="D869" s="47" t="str"/>
      <x:c r="E869" s="47" t="str"/>
      <x:c r="F869" s="47" t="str">
        <x:v>current</x:v>
      </x:c>
      <x:c r="G869" s="47" t="n">
        <x:v>865</x:v>
      </x:c>
      <x:c r="H869" s="53" t="b">
        <x:v>1</x:v>
      </x:c>
      <x:c r="I869" s="47" t="str">
        <x:v>2682537910</x:v>
      </x:c>
      <x:c r="J869" s="47" t="n">
        <x:v>83689763</x:v>
      </x:c>
      <x:c r="K869" s="53" t="b">
        <x:v>1</x:v>
      </x:c>
      <x:c r="L869" s="53" t="b">
        <x:v>1</x:v>
      </x:c>
      <x:c r="M869" s="53" t="b">
        <x:v>1</x:v>
      </x:c>
      <x:c r="N869" s="53" t="b">
        <x:v>1</x:v>
      </x:c>
      <x:c r="O869" s="53" t="b">
        <x:v>1</x:v>
      </x:c>
      <x:c r="P869" s="47" t="n">
        <x:v>1008</x:v>
      </x:c>
      <x:c r="Q869" s="47" t="n">
        <x:v>0</x:v>
      </x:c>
      <x:c r="R869" s="47" t="n">
        <x:v>0</x:v>
      </x:c>
      <x:c r="S869" s="47" t="n">
        <x:v>39.31</x:v>
      </x:c>
      <x:c r="T869" s="47" t="n">
        <x:v>60.51</x:v>
      </x:c>
      <x:c r="U869" s="47" t="n">
        <x:v>32.1</x:v>
      </x:c>
      <x:c r="V869" s="47" t="n">
        <x:v>15.2</x:v>
      </x:c>
      <x:c r="W869" s="47" t="n">
        <x:v>14</x:v>
      </x:c>
      <x:c r="X869" s="47" t="n">
        <x:v>63</x:v>
      </x:c>
      <x:c r="Y869" s="41" t="n">
        <x:v>49</x:v>
      </x:c>
    </x:row>
    <x:row r="870">
      <x:c r="A870" s="38" t="str">
        <x:v>7月30日现场数据</x:v>
      </x:c>
      <x:c r="B870" s="66" t="str">
        <x:v>2026-08-02T13:55:33.409000</x:v>
      </x:c>
      <x:c r="C870" s="47" t="n">
        <x:v>300983</x:v>
      </x:c>
      <x:c r="D870" s="47" t="str"/>
      <x:c r="E870" s="47" t="str"/>
      <x:c r="F870" s="47" t="str">
        <x:v>current</x:v>
      </x:c>
      <x:c r="G870" s="47" t="n">
        <x:v>866</x:v>
      </x:c>
      <x:c r="H870" s="53" t="b">
        <x:v>1</x:v>
      </x:c>
      <x:c r="I870" s="47" t="str">
        <x:v>2682537910</x:v>
      </x:c>
      <x:c r="J870" s="47" t="n">
        <x:v>83990746</x:v>
      </x:c>
      <x:c r="K870" s="53" t="b">
        <x:v>1</x:v>
      </x:c>
      <x:c r="L870" s="53" t="b">
        <x:v>1</x:v>
      </x:c>
      <x:c r="M870" s="53" t="b">
        <x:v>1</x:v>
      </x:c>
      <x:c r="N870" s="53" t="b">
        <x:v>1</x:v>
      </x:c>
      <x:c r="O870" s="53" t="b">
        <x:v>1</x:v>
      </x:c>
      <x:c r="P870" s="47" t="n">
        <x:v>1008</x:v>
      </x:c>
      <x:c r="Q870" s="47" t="n">
        <x:v>0</x:v>
      </x:c>
      <x:c r="R870" s="47" t="n">
        <x:v>0</x:v>
      </x:c>
      <x:c r="S870" s="47" t="n">
        <x:v>38.58</x:v>
      </x:c>
      <x:c r="T870" s="47" t="n">
        <x:v>60.06</x:v>
      </x:c>
      <x:c r="U870" s="47" t="n">
        <x:v>32.1</x:v>
      </x:c>
      <x:c r="V870" s="47" t="n">
        <x:v>15.1</x:v>
      </x:c>
      <x:c r="W870" s="47" t="n">
        <x:v>15</x:v>
      </x:c>
      <x:c r="X870" s="47" t="n">
        <x:v>66</x:v>
      </x:c>
      <x:c r="Y870" s="41" t="n">
        <x:v>51</x:v>
      </x:c>
    </x:row>
    <x:row r="871">
      <x:c r="A871" s="38" t="str">
        <x:v>7月30日现场数据</x:v>
      </x:c>
      <x:c r="B871" s="66" t="str">
        <x:v>2026-08-02T14:00:34.398000</x:v>
      </x:c>
      <x:c r="C871" s="47" t="n">
        <x:v>300989</x:v>
      </x:c>
      <x:c r="D871" s="47" t="str"/>
      <x:c r="E871" s="47" t="str"/>
      <x:c r="F871" s="47" t="str">
        <x:v>current</x:v>
      </x:c>
      <x:c r="G871" s="47" t="n">
        <x:v>867</x:v>
      </x:c>
      <x:c r="H871" s="53" t="b">
        <x:v>1</x:v>
      </x:c>
      <x:c r="I871" s="47" t="str">
        <x:v>2682537910</x:v>
      </x:c>
      <x:c r="J871" s="47" t="n">
        <x:v>84291735</x:v>
      </x:c>
      <x:c r="K871" s="53" t="b">
        <x:v>1</x:v>
      </x:c>
      <x:c r="L871" s="53" t="b">
        <x:v>1</x:v>
      </x:c>
      <x:c r="M871" s="53" t="b">
        <x:v>1</x:v>
      </x:c>
      <x:c r="N871" s="53" t="b">
        <x:v>1</x:v>
      </x:c>
      <x:c r="O871" s="53" t="b">
        <x:v>1</x:v>
      </x:c>
      <x:c r="P871" s="47" t="n">
        <x:v>1008</x:v>
      </x:c>
      <x:c r="Q871" s="47" t="n">
        <x:v>0</x:v>
      </x:c>
      <x:c r="R871" s="47" t="n">
        <x:v>0</x:v>
      </x:c>
      <x:c r="S871" s="47" t="n">
        <x:v>38.46</x:v>
      </x:c>
      <x:c r="T871" s="47" t="n">
        <x:v>59.77</x:v>
      </x:c>
      <x:c r="U871" s="47" t="n">
        <x:v>32.1</x:v>
      </x:c>
      <x:c r="V871" s="47" t="n">
        <x:v>15.1</x:v>
      </x:c>
      <x:c r="W871" s="47" t="n">
        <x:v>46</x:v>
      </x:c>
      <x:c r="X871" s="47" t="n">
        <x:v>166</x:v>
      </x:c>
      <x:c r="Y871" s="41" t="n">
        <x:v>120</x:v>
      </x:c>
    </x:row>
    <x:row r="872">
      <x:c r="A872" s="38" t="str">
        <x:v>7月30日现场数据</x:v>
      </x:c>
      <x:c r="B872" s="66" t="str">
        <x:v>2026-08-02T14:05:35.382000</x:v>
      </x:c>
      <x:c r="C872" s="47" t="n">
        <x:v>300984</x:v>
      </x:c>
      <x:c r="D872" s="47" t="str"/>
      <x:c r="E872" s="47" t="str"/>
      <x:c r="F872" s="47" t="str">
        <x:v>current</x:v>
      </x:c>
      <x:c r="G872" s="47" t="n">
        <x:v>868</x:v>
      </x:c>
      <x:c r="H872" s="53" t="b">
        <x:v>1</x:v>
      </x:c>
      <x:c r="I872" s="47" t="str">
        <x:v>2682537910</x:v>
      </x:c>
      <x:c r="J872" s="47" t="n">
        <x:v>84592719</x:v>
      </x:c>
      <x:c r="K872" s="53" t="b">
        <x:v>1</x:v>
      </x:c>
      <x:c r="L872" s="53" t="b">
        <x:v>1</x:v>
      </x:c>
      <x:c r="M872" s="53" t="b">
        <x:v>1</x:v>
      </x:c>
      <x:c r="N872" s="53" t="b">
        <x:v>1</x:v>
      </x:c>
      <x:c r="O872" s="53" t="b">
        <x:v>1</x:v>
      </x:c>
      <x:c r="P872" s="47" t="n">
        <x:v>1008</x:v>
      </x:c>
      <x:c r="Q872" s="47" t="n">
        <x:v>0</x:v>
      </x:c>
      <x:c r="R872" s="47" t="n">
        <x:v>0</x:v>
      </x:c>
      <x:c r="S872" s="47" t="n">
        <x:v>39.04</x:v>
      </x:c>
      <x:c r="T872" s="47" t="n">
        <x:v>59.74</x:v>
      </x:c>
      <x:c r="U872" s="47" t="n">
        <x:v>32.1</x:v>
      </x:c>
      <x:c r="V872" s="47" t="n">
        <x:v>15.1</x:v>
      </x:c>
      <x:c r="W872" s="47" t="n">
        <x:v>44</x:v>
      </x:c>
      <x:c r="X872" s="47" t="n">
        <x:v>153</x:v>
      </x:c>
      <x:c r="Y872" s="41" t="n">
        <x:v>109</x:v>
      </x:c>
    </x:row>
    <x:row r="873">
      <x:c r="A873" s="38" t="str">
        <x:v>7月30日现场数据</x:v>
      </x:c>
      <x:c r="B873" s="66" t="str">
        <x:v>2026-08-02T14:10:36.370000</x:v>
      </x:c>
      <x:c r="C873" s="47" t="n">
        <x:v>300988</x:v>
      </x:c>
      <x:c r="D873" s="47" t="str"/>
      <x:c r="E873" s="47" t="str"/>
      <x:c r="F873" s="47" t="str">
        <x:v>current</x:v>
      </x:c>
      <x:c r="G873" s="47" t="n">
        <x:v>869</x:v>
      </x:c>
      <x:c r="H873" s="53" t="b">
        <x:v>1</x:v>
      </x:c>
      <x:c r="I873" s="47" t="str">
        <x:v>2682537910</x:v>
      </x:c>
      <x:c r="J873" s="47" t="n">
        <x:v>84893707</x:v>
      </x:c>
      <x:c r="K873" s="53" t="b">
        <x:v>1</x:v>
      </x:c>
      <x:c r="L873" s="53" t="b">
        <x:v>1</x:v>
      </x:c>
      <x:c r="M873" s="53" t="b">
        <x:v>1</x:v>
      </x:c>
      <x:c r="N873" s="53" t="b">
        <x:v>1</x:v>
      </x:c>
      <x:c r="O873" s="53" t="b">
        <x:v>1</x:v>
      </x:c>
      <x:c r="P873" s="47" t="n">
        <x:v>1008</x:v>
      </x:c>
      <x:c r="Q873" s="47" t="n">
        <x:v>0</x:v>
      </x:c>
      <x:c r="R873" s="47" t="n">
        <x:v>0</x:v>
      </x:c>
      <x:c r="S873" s="47" t="n">
        <x:v>38.47</x:v>
      </x:c>
      <x:c r="T873" s="47" t="n">
        <x:v>59.58</x:v>
      </x:c>
      <x:c r="U873" s="47" t="n">
        <x:v>32.1</x:v>
      </x:c>
      <x:c r="V873" s="47" t="n">
        <x:v>15.1</x:v>
      </x:c>
      <x:c r="W873" s="47" t="n">
        <x:v>9</x:v>
      </x:c>
      <x:c r="X873" s="47" t="n">
        <x:v>41</x:v>
      </x:c>
      <x:c r="Y873" s="41" t="n">
        <x:v>32</x:v>
      </x:c>
    </x:row>
    <x:row r="874">
      <x:c r="A874" s="38" t="str">
        <x:v>7月30日现场数据</x:v>
      </x:c>
      <x:c r="B874" s="66" t="str">
        <x:v>2026-08-02T14:15:37.397000</x:v>
      </x:c>
      <x:c r="C874" s="47" t="n">
        <x:v>301027</x:v>
      </x:c>
      <x:c r="D874" s="47" t="str"/>
      <x:c r="E874" s="47" t="str"/>
      <x:c r="F874" s="47" t="str">
        <x:v>current</x:v>
      </x:c>
      <x:c r="G874" s="47" t="n">
        <x:v>870</x:v>
      </x:c>
      <x:c r="H874" s="53" t="b">
        <x:v>1</x:v>
      </x:c>
      <x:c r="I874" s="47" t="str">
        <x:v>2682537910</x:v>
      </x:c>
      <x:c r="J874" s="47" t="n">
        <x:v>85194734</x:v>
      </x:c>
      <x:c r="K874" s="53" t="b">
        <x:v>1</x:v>
      </x:c>
      <x:c r="L874" s="53" t="b">
        <x:v>1</x:v>
      </x:c>
      <x:c r="M874" s="53" t="b">
        <x:v>1</x:v>
      </x:c>
      <x:c r="N874" s="53" t="b">
        <x:v>1</x:v>
      </x:c>
      <x:c r="O874" s="53" t="b">
        <x:v>1</x:v>
      </x:c>
      <x:c r="P874" s="47" t="n">
        <x:v>1008</x:v>
      </x:c>
      <x:c r="Q874" s="47" t="n">
        <x:v>0</x:v>
      </x:c>
      <x:c r="R874" s="47" t="n">
        <x:v>0</x:v>
      </x:c>
      <x:c r="S874" s="47" t="n">
        <x:v>37.75</x:v>
      </x:c>
      <x:c r="T874" s="47" t="n">
        <x:v>59.3</x:v>
      </x:c>
      <x:c r="U874" s="47" t="n">
        <x:v>32.1</x:v>
      </x:c>
      <x:c r="V874" s="47" t="n">
        <x:v>15.1</x:v>
      </x:c>
      <x:c r="W874" s="47" t="n">
        <x:v>9</x:v>
      </x:c>
      <x:c r="X874" s="47" t="n">
        <x:v>37</x:v>
      </x:c>
      <x:c r="Y874" s="41" t="n">
        <x:v>28</x:v>
      </x:c>
    </x:row>
    <x:row r="875">
      <x:c r="A875" s="38" t="str">
        <x:v>7月30日现场数据</x:v>
      </x:c>
      <x:c r="B875" s="66" t="str">
        <x:v>2026-08-02T14:20:38.361000</x:v>
      </x:c>
      <x:c r="C875" s="47" t="n">
        <x:v>300964</x:v>
      </x:c>
      <x:c r="D875" s="47" t="str"/>
      <x:c r="E875" s="47" t="str"/>
      <x:c r="F875" s="47" t="str">
        <x:v>current</x:v>
      </x:c>
      <x:c r="G875" s="47" t="n">
        <x:v>871</x:v>
      </x:c>
      <x:c r="H875" s="53" t="b">
        <x:v>1</x:v>
      </x:c>
      <x:c r="I875" s="47" t="str">
        <x:v>2682537910</x:v>
      </x:c>
      <x:c r="J875" s="47" t="n">
        <x:v>85495698</x:v>
      </x:c>
      <x:c r="K875" s="53" t="b">
        <x:v>1</x:v>
      </x:c>
      <x:c r="L875" s="53" t="b">
        <x:v>1</x:v>
      </x:c>
      <x:c r="M875" s="53" t="b">
        <x:v>1</x:v>
      </x:c>
      <x:c r="N875" s="53" t="b">
        <x:v>1</x:v>
      </x:c>
      <x:c r="O875" s="53" t="b">
        <x:v>1</x:v>
      </x:c>
      <x:c r="P875" s="47" t="n">
        <x:v>1008</x:v>
      </x:c>
      <x:c r="Q875" s="47" t="n">
        <x:v>0</x:v>
      </x:c>
      <x:c r="R875" s="47" t="n">
        <x:v>0</x:v>
      </x:c>
      <x:c r="S875" s="47" t="n">
        <x:v>37.27</x:v>
      </x:c>
      <x:c r="T875" s="47" t="n">
        <x:v>58.99</x:v>
      </x:c>
      <x:c r="U875" s="47" t="n">
        <x:v>32</x:v>
      </x:c>
      <x:c r="V875" s="47" t="n">
        <x:v>15.1</x:v>
      </x:c>
      <x:c r="W875" s="47" t="n">
        <x:v>12</x:v>
      </x:c>
      <x:c r="X875" s="47" t="n">
        <x:v>50</x:v>
      </x:c>
      <x:c r="Y875" s="41" t="n">
        <x:v>38</x:v>
      </x:c>
    </x:row>
    <x:row r="876">
      <x:c r="A876" s="38" t="str">
        <x:v>7月30日现场数据</x:v>
      </x:c>
      <x:c r="B876" s="66" t="str">
        <x:v>2026-08-02T14:25:39.329000</x:v>
      </x:c>
      <x:c r="C876" s="47" t="n">
        <x:v>300968</x:v>
      </x:c>
      <x:c r="D876" s="47" t="str"/>
      <x:c r="E876" s="47" t="str"/>
      <x:c r="F876" s="47" t="str">
        <x:v>current</x:v>
      </x:c>
      <x:c r="G876" s="47" t="n">
        <x:v>872</x:v>
      </x:c>
      <x:c r="H876" s="53" t="b">
        <x:v>1</x:v>
      </x:c>
      <x:c r="I876" s="47" t="str">
        <x:v>2682537910</x:v>
      </x:c>
      <x:c r="J876" s="47" t="n">
        <x:v>85796666</x:v>
      </x:c>
      <x:c r="K876" s="53" t="b">
        <x:v>1</x:v>
      </x:c>
      <x:c r="L876" s="53" t="b">
        <x:v>1</x:v>
      </x:c>
      <x:c r="M876" s="53" t="b">
        <x:v>1</x:v>
      </x:c>
      <x:c r="N876" s="53" t="b">
        <x:v>1</x:v>
      </x:c>
      <x:c r="O876" s="53" t="b">
        <x:v>1</x:v>
      </x:c>
      <x:c r="P876" s="47" t="n">
        <x:v>1008</x:v>
      </x:c>
      <x:c r="Q876" s="47" t="n">
        <x:v>0</x:v>
      </x:c>
      <x:c r="R876" s="47" t="n">
        <x:v>0</x:v>
      </x:c>
      <x:c r="S876" s="47" t="n">
        <x:v>37.07</x:v>
      </x:c>
      <x:c r="T876" s="47" t="n">
        <x:v>58.87</x:v>
      </x:c>
      <x:c r="U876" s="47" t="n">
        <x:v>32</x:v>
      </x:c>
      <x:c r="V876" s="47" t="n">
        <x:v>15.1</x:v>
      </x:c>
      <x:c r="W876" s="47" t="n">
        <x:v>12</x:v>
      </x:c>
      <x:c r="X876" s="47" t="n">
        <x:v>48</x:v>
      </x:c>
      <x:c r="Y876" s="41" t="n">
        <x:v>36</x:v>
      </x:c>
    </x:row>
    <x:row r="877">
      <x:c r="A877" s="38" t="str">
        <x:v>7月30日现场数据</x:v>
      </x:c>
      <x:c r="B877" s="66" t="str">
        <x:v>2026-08-02T14:30:40.301000</x:v>
      </x:c>
      <x:c r="C877" s="47" t="n">
        <x:v>300972</x:v>
      </x:c>
      <x:c r="D877" s="47" t="str"/>
      <x:c r="E877" s="47" t="str"/>
      <x:c r="F877" s="47" t="str">
        <x:v>current</x:v>
      </x:c>
      <x:c r="G877" s="47" t="n">
        <x:v>873</x:v>
      </x:c>
      <x:c r="H877" s="53" t="b">
        <x:v>1</x:v>
      </x:c>
      <x:c r="I877" s="47" t="str">
        <x:v>2682537910</x:v>
      </x:c>
      <x:c r="J877" s="47" t="n">
        <x:v>86097638</x:v>
      </x:c>
      <x:c r="K877" s="53" t="b">
        <x:v>1</x:v>
      </x:c>
      <x:c r="L877" s="53" t="b">
        <x:v>1</x:v>
      </x:c>
      <x:c r="M877" s="53" t="b">
        <x:v>1</x:v>
      </x:c>
      <x:c r="N877" s="53" t="b">
        <x:v>1</x:v>
      </x:c>
      <x:c r="O877" s="53" t="b">
        <x:v>1</x:v>
      </x:c>
      <x:c r="P877" s="47" t="n">
        <x:v>1007</x:v>
      </x:c>
      <x:c r="Q877" s="47" t="n">
        <x:v>0</x:v>
      </x:c>
      <x:c r="R877" s="47" t="n">
        <x:v>0</x:v>
      </x:c>
      <x:c r="S877" s="47" t="n">
        <x:v>36.93</x:v>
      </x:c>
      <x:c r="T877" s="47" t="n">
        <x:v>58.72</x:v>
      </x:c>
      <x:c r="U877" s="47" t="n">
        <x:v>32</x:v>
      </x:c>
      <x:c r="V877" s="47" t="n">
        <x:v>15</x:v>
      </x:c>
      <x:c r="W877" s="47" t="n">
        <x:v>10</x:v>
      </x:c>
      <x:c r="X877" s="47" t="n">
        <x:v>42</x:v>
      </x:c>
      <x:c r="Y877" s="41" t="n">
        <x:v>32</x:v>
      </x:c>
    </x:row>
    <x:row r="878">
      <x:c r="A878" s="38" t="str">
        <x:v>7月30日现场数据</x:v>
      </x:c>
      <x:c r="B878" s="66" t="str">
        <x:v>2026-08-02T14:35:41.275000</x:v>
      </x:c>
      <x:c r="C878" s="47" t="n">
        <x:v>300974</x:v>
      </x:c>
      <x:c r="D878" s="47" t="str"/>
      <x:c r="E878" s="47" t="str"/>
      <x:c r="F878" s="47" t="str">
        <x:v>current</x:v>
      </x:c>
      <x:c r="G878" s="47" t="n">
        <x:v>874</x:v>
      </x:c>
      <x:c r="H878" s="53" t="b">
        <x:v>1</x:v>
      </x:c>
      <x:c r="I878" s="47" t="str">
        <x:v>2682537910</x:v>
      </x:c>
      <x:c r="J878" s="47" t="n">
        <x:v>86398612</x:v>
      </x:c>
      <x:c r="K878" s="53" t="b">
        <x:v>1</x:v>
      </x:c>
      <x:c r="L878" s="53" t="b">
        <x:v>1</x:v>
      </x:c>
      <x:c r="M878" s="53" t="b">
        <x:v>1</x:v>
      </x:c>
      <x:c r="N878" s="53" t="b">
        <x:v>1</x:v>
      </x:c>
      <x:c r="O878" s="53" t="b">
        <x:v>1</x:v>
      </x:c>
      <x:c r="P878" s="47" t="n">
        <x:v>1008</x:v>
      </x:c>
      <x:c r="Q878" s="47" t="n">
        <x:v>0</x:v>
      </x:c>
      <x:c r="R878" s="47" t="n">
        <x:v>0</x:v>
      </x:c>
      <x:c r="S878" s="47" t="n">
        <x:v>36.76</x:v>
      </x:c>
      <x:c r="T878" s="47" t="n">
        <x:v>58.59</x:v>
      </x:c>
      <x:c r="U878" s="47" t="n">
        <x:v>32</x:v>
      </x:c>
      <x:c r="V878" s="47" t="n">
        <x:v>15</x:v>
      </x:c>
      <x:c r="W878" s="47" t="n">
        <x:v>8</x:v>
      </x:c>
      <x:c r="X878" s="47" t="n">
        <x:v>33</x:v>
      </x:c>
      <x:c r="Y878" s="41" t="n">
        <x:v>25</x:v>
      </x:c>
    </x:row>
    <x:row r="879">
      <x:c r="A879" s="38" t="str">
        <x:v>7月30日现场数据</x:v>
      </x:c>
      <x:c r="B879" s="66" t="str">
        <x:v>2026-08-02T14:40:42.248000</x:v>
      </x:c>
      <x:c r="C879" s="47" t="n">
        <x:v>300973</x:v>
      </x:c>
      <x:c r="D879" s="47" t="str"/>
      <x:c r="E879" s="47" t="str"/>
      <x:c r="F879" s="47" t="str">
        <x:v>current</x:v>
      </x:c>
      <x:c r="G879" s="47" t="n">
        <x:v>875</x:v>
      </x:c>
      <x:c r="H879" s="53" t="b">
        <x:v>1</x:v>
      </x:c>
      <x:c r="I879" s="47" t="str">
        <x:v>2682537910</x:v>
      </x:c>
      <x:c r="J879" s="47" t="n">
        <x:v>86699585</x:v>
      </x:c>
      <x:c r="K879" s="53" t="b">
        <x:v>1</x:v>
      </x:c>
      <x:c r="L879" s="53" t="b">
        <x:v>1</x:v>
      </x:c>
      <x:c r="M879" s="53" t="b">
        <x:v>1</x:v>
      </x:c>
      <x:c r="N879" s="53" t="b">
        <x:v>1</x:v>
      </x:c>
      <x:c r="O879" s="53" t="b">
        <x:v>1</x:v>
      </x:c>
      <x:c r="P879" s="47" t="n">
        <x:v>1008</x:v>
      </x:c>
      <x:c r="Q879" s="47" t="n">
        <x:v>0</x:v>
      </x:c>
      <x:c r="R879" s="47" t="n">
        <x:v>0</x:v>
      </x:c>
      <x:c r="S879" s="47" t="n">
        <x:v>36.4</x:v>
      </x:c>
      <x:c r="T879" s="47" t="n">
        <x:v>58.45</x:v>
      </x:c>
      <x:c r="U879" s="47" t="n">
        <x:v>32</x:v>
      </x:c>
      <x:c r="V879" s="47" t="n">
        <x:v>15</x:v>
      </x:c>
      <x:c r="W879" s="47" t="n">
        <x:v>5</x:v>
      </x:c>
      <x:c r="X879" s="47" t="n">
        <x:v>23</x:v>
      </x:c>
      <x:c r="Y879" s="41" t="n">
        <x:v>18</x:v>
      </x:c>
    </x:row>
    <x:row r="880">
      <x:c r="A880" s="38" t="str">
        <x:v>7月30日现场数据</x:v>
      </x:c>
      <x:c r="B880" s="66" t="str">
        <x:v>2026-08-02T14:45:43.226000</x:v>
      </x:c>
      <x:c r="C880" s="47" t="n">
        <x:v>300978</x:v>
      </x:c>
      <x:c r="D880" s="47" t="str"/>
      <x:c r="E880" s="47" t="str"/>
      <x:c r="F880" s="47" t="str">
        <x:v>current</x:v>
      </x:c>
      <x:c r="G880" s="47" t="n">
        <x:v>876</x:v>
      </x:c>
      <x:c r="H880" s="53" t="b">
        <x:v>1</x:v>
      </x:c>
      <x:c r="I880" s="47" t="str">
        <x:v>2682537910</x:v>
      </x:c>
      <x:c r="J880" s="47" t="n">
        <x:v>87000563</x:v>
      </x:c>
      <x:c r="K880" s="53" t="b">
        <x:v>1</x:v>
      </x:c>
      <x:c r="L880" s="53" t="b">
        <x:v>1</x:v>
      </x:c>
      <x:c r="M880" s="53" t="b">
        <x:v>1</x:v>
      </x:c>
      <x:c r="N880" s="53" t="b">
        <x:v>1</x:v>
      </x:c>
      <x:c r="O880" s="53" t="b">
        <x:v>1</x:v>
      </x:c>
      <x:c r="P880" s="47" t="n">
        <x:v>1008</x:v>
      </x:c>
      <x:c r="Q880" s="47" t="n">
        <x:v>0</x:v>
      </x:c>
      <x:c r="R880" s="47" t="n">
        <x:v>0</x:v>
      </x:c>
      <x:c r="S880" s="47" t="n">
        <x:v>36.06</x:v>
      </x:c>
      <x:c r="T880" s="47" t="n">
        <x:v>58.26</x:v>
      </x:c>
      <x:c r="U880" s="47" t="n">
        <x:v>32</x:v>
      </x:c>
      <x:c r="V880" s="47" t="n">
        <x:v>15</x:v>
      </x:c>
      <x:c r="W880" s="47" t="n">
        <x:v>4</x:v>
      </x:c>
      <x:c r="X880" s="47" t="n">
        <x:v>17</x:v>
      </x:c>
      <x:c r="Y880" s="41" t="n">
        <x:v>13</x:v>
      </x:c>
    </x:row>
    <x:row r="881">
      <x:c r="A881" s="38" t="str">
        <x:v>7月30日现场数据</x:v>
      </x:c>
      <x:c r="B881" s="66" t="str">
        <x:v>2026-08-02T14:50:44.206000</x:v>
      </x:c>
      <x:c r="C881" s="47" t="n">
        <x:v>300980</x:v>
      </x:c>
      <x:c r="D881" s="47" t="str"/>
      <x:c r="E881" s="47" t="str"/>
      <x:c r="F881" s="47" t="str">
        <x:v>current</x:v>
      </x:c>
      <x:c r="G881" s="47" t="n">
        <x:v>877</x:v>
      </x:c>
      <x:c r="H881" s="53" t="b">
        <x:v>1</x:v>
      </x:c>
      <x:c r="I881" s="47" t="str">
        <x:v>2682537910</x:v>
      </x:c>
      <x:c r="J881" s="47" t="n">
        <x:v>87301543</x:v>
      </x:c>
      <x:c r="K881" s="53" t="b">
        <x:v>1</x:v>
      </x:c>
      <x:c r="L881" s="53" t="b">
        <x:v>1</x:v>
      </x:c>
      <x:c r="M881" s="53" t="b">
        <x:v>1</x:v>
      </x:c>
      <x:c r="N881" s="53" t="b">
        <x:v>1</x:v>
      </x:c>
      <x:c r="O881" s="53" t="b">
        <x:v>1</x:v>
      </x:c>
      <x:c r="P881" s="47" t="n">
        <x:v>1008</x:v>
      </x:c>
      <x:c r="Q881" s="47" t="n">
        <x:v>0</x:v>
      </x:c>
      <x:c r="R881" s="47" t="n">
        <x:v>0</x:v>
      </x:c>
      <x:c r="S881" s="47" t="n">
        <x:v>35.84</x:v>
      </x:c>
      <x:c r="T881" s="47" t="n">
        <x:v>58.12</x:v>
      </x:c>
      <x:c r="U881" s="47" t="n">
        <x:v>31.9</x:v>
      </x:c>
      <x:c r="V881" s="47" t="n">
        <x:v>15</x:v>
      </x:c>
      <x:c r="W881" s="47" t="n">
        <x:v>3</x:v>
      </x:c>
      <x:c r="X881" s="47" t="n">
        <x:v>14</x:v>
      </x:c>
      <x:c r="Y881" s="41" t="n">
        <x:v>11</x:v>
      </x:c>
    </x:row>
    <x:row r="882">
      <x:c r="A882" s="38" t="str">
        <x:v>7月30日现场数据</x:v>
      </x:c>
      <x:c r="B882" s="66" t="str">
        <x:v>2026-08-02T14:55:45.188000</x:v>
      </x:c>
      <x:c r="C882" s="47" t="n">
        <x:v>300982</x:v>
      </x:c>
      <x:c r="D882" s="47" t="str"/>
      <x:c r="E882" s="47" t="str"/>
      <x:c r="F882" s="47" t="str">
        <x:v>current</x:v>
      </x:c>
      <x:c r="G882" s="47" t="n">
        <x:v>878</x:v>
      </x:c>
      <x:c r="H882" s="53" t="b">
        <x:v>1</x:v>
      </x:c>
      <x:c r="I882" s="47" t="str">
        <x:v>2682537910</x:v>
      </x:c>
      <x:c r="J882" s="47" t="n">
        <x:v>87602525</x:v>
      </x:c>
      <x:c r="K882" s="53" t="b">
        <x:v>1</x:v>
      </x:c>
      <x:c r="L882" s="53" t="b">
        <x:v>1</x:v>
      </x:c>
      <x:c r="M882" s="53" t="b">
        <x:v>1</x:v>
      </x:c>
      <x:c r="N882" s="53" t="b">
        <x:v>1</x:v>
      </x:c>
      <x:c r="O882" s="53" t="b">
        <x:v>1</x:v>
      </x:c>
      <x:c r="P882" s="47" t="n">
        <x:v>1008</x:v>
      </x:c>
      <x:c r="Q882" s="47" t="n">
        <x:v>0</x:v>
      </x:c>
      <x:c r="R882" s="47" t="n">
        <x:v>0</x:v>
      </x:c>
      <x:c r="S882" s="47" t="n">
        <x:v>35.51</x:v>
      </x:c>
      <x:c r="T882" s="47" t="n">
        <x:v>58</x:v>
      </x:c>
      <x:c r="U882" s="47" t="n">
        <x:v>31.9</x:v>
      </x:c>
      <x:c r="V882" s="47" t="n">
        <x:v>15</x:v>
      </x:c>
      <x:c r="W882" s="47" t="n">
        <x:v>3</x:v>
      </x:c>
      <x:c r="X882" s="47" t="n">
        <x:v>12</x:v>
      </x:c>
      <x:c r="Y882" s="41" t="n">
        <x:v>9</x:v>
      </x:c>
    </x:row>
    <x:row r="883">
      <x:c r="A883" s="38" t="str">
        <x:v>7月30日现场数据</x:v>
      </x:c>
      <x:c r="B883" s="66" t="str">
        <x:v>2026-08-02T15:00:46.172000</x:v>
      </x:c>
      <x:c r="C883" s="47" t="n">
        <x:v>300984</x:v>
      </x:c>
      <x:c r="D883" s="47" t="str"/>
      <x:c r="E883" s="47" t="str"/>
      <x:c r="F883" s="47" t="str">
        <x:v>current</x:v>
      </x:c>
      <x:c r="G883" s="47" t="n">
        <x:v>879</x:v>
      </x:c>
      <x:c r="H883" s="53" t="b">
        <x:v>1</x:v>
      </x:c>
      <x:c r="I883" s="47" t="str">
        <x:v>2682537910</x:v>
      </x:c>
      <x:c r="J883" s="47" t="n">
        <x:v>87903509</x:v>
      </x:c>
      <x:c r="K883" s="53" t="b">
        <x:v>1</x:v>
      </x:c>
      <x:c r="L883" s="53" t="b">
        <x:v>1</x:v>
      </x:c>
      <x:c r="M883" s="53" t="b">
        <x:v>1</x:v>
      </x:c>
      <x:c r="N883" s="53" t="b">
        <x:v>1</x:v>
      </x:c>
      <x:c r="O883" s="53" t="b">
        <x:v>1</x:v>
      </x:c>
      <x:c r="P883" s="47" t="n">
        <x:v>1007</x:v>
      </x:c>
      <x:c r="Q883" s="47" t="n">
        <x:v>0</x:v>
      </x:c>
      <x:c r="R883" s="47" t="n">
        <x:v>0</x:v>
      </x:c>
      <x:c r="S883" s="47" t="n">
        <x:v>35.32</x:v>
      </x:c>
      <x:c r="T883" s="47" t="n">
        <x:v>57.91</x:v>
      </x:c>
      <x:c r="U883" s="47" t="n">
        <x:v>31.9</x:v>
      </x:c>
      <x:c r="V883" s="47" t="n">
        <x:v>15</x:v>
      </x:c>
      <x:c r="W883" s="47" t="n">
        <x:v>2</x:v>
      </x:c>
      <x:c r="X883" s="47" t="n">
        <x:v>10</x:v>
      </x:c>
      <x:c r="Y883" s="41" t="n">
        <x:v>8</x:v>
      </x:c>
    </x:row>
    <x:row r="884">
      <x:c r="A884" s="38" t="str">
        <x:v>7月30日现场数据</x:v>
      </x:c>
      <x:c r="B884" s="66" t="str">
        <x:v>2026-08-02T15:05:47.156000</x:v>
      </x:c>
      <x:c r="C884" s="47" t="n">
        <x:v>300984</x:v>
      </x:c>
      <x:c r="D884" s="47" t="str"/>
      <x:c r="E884" s="47" t="str"/>
      <x:c r="F884" s="47" t="str">
        <x:v>current</x:v>
      </x:c>
      <x:c r="G884" s="47" t="n">
        <x:v>880</x:v>
      </x:c>
      <x:c r="H884" s="53" t="b">
        <x:v>1</x:v>
      </x:c>
      <x:c r="I884" s="47" t="str">
        <x:v>2682537910</x:v>
      </x:c>
      <x:c r="J884" s="47" t="n">
        <x:v>88204493</x:v>
      </x:c>
      <x:c r="K884" s="53" t="b">
        <x:v>1</x:v>
      </x:c>
      <x:c r="L884" s="53" t="b">
        <x:v>1</x:v>
      </x:c>
      <x:c r="M884" s="53" t="b">
        <x:v>1</x:v>
      </x:c>
      <x:c r="N884" s="53" t="b">
        <x:v>1</x:v>
      </x:c>
      <x:c r="O884" s="53" t="b">
        <x:v>1</x:v>
      </x:c>
      <x:c r="P884" s="47" t="n">
        <x:v>1007</x:v>
      </x:c>
      <x:c r="Q884" s="47" t="n">
        <x:v>0</x:v>
      </x:c>
      <x:c r="R884" s="47" t="n">
        <x:v>0</x:v>
      </x:c>
      <x:c r="S884" s="47" t="n">
        <x:v>35.21</x:v>
      </x:c>
      <x:c r="T884" s="47" t="n">
        <x:v>57.83</x:v>
      </x:c>
      <x:c r="U884" s="47" t="n">
        <x:v>31.9</x:v>
      </x:c>
      <x:c r="V884" s="47" t="n">
        <x:v>14.9</x:v>
      </x:c>
      <x:c r="W884" s="47" t="n">
        <x:v>2</x:v>
      </x:c>
      <x:c r="X884" s="47" t="n">
        <x:v>9</x:v>
      </x:c>
      <x:c r="Y884" s="41" t="n">
        <x:v>7</x:v>
      </x:c>
    </x:row>
    <x:row r="885">
      <x:c r="A885" s="38" t="str">
        <x:v>7月30日现场数据</x:v>
      </x:c>
      <x:c r="B885" s="66" t="str">
        <x:v>2026-08-02T15:10:48.143000</x:v>
      </x:c>
      <x:c r="C885" s="47" t="n">
        <x:v>300987</x:v>
      </x:c>
      <x:c r="D885" s="47" t="str"/>
      <x:c r="E885" s="47" t="str"/>
      <x:c r="F885" s="47" t="str">
        <x:v>current</x:v>
      </x:c>
      <x:c r="G885" s="47" t="n">
        <x:v>881</x:v>
      </x:c>
      <x:c r="H885" s="53" t="b">
        <x:v>1</x:v>
      </x:c>
      <x:c r="I885" s="47" t="str">
        <x:v>2682537910</x:v>
      </x:c>
      <x:c r="J885" s="47" t="n">
        <x:v>88505480</x:v>
      </x:c>
      <x:c r="K885" s="53" t="b">
        <x:v>1</x:v>
      </x:c>
      <x:c r="L885" s="53" t="b">
        <x:v>1</x:v>
      </x:c>
      <x:c r="M885" s="53" t="b">
        <x:v>1</x:v>
      </x:c>
      <x:c r="N885" s="53" t="b">
        <x:v>1</x:v>
      </x:c>
      <x:c r="O885" s="53" t="b">
        <x:v>1</x:v>
      </x:c>
      <x:c r="P885" s="47" t="n">
        <x:v>1008</x:v>
      </x:c>
      <x:c r="Q885" s="47" t="n">
        <x:v>0</x:v>
      </x:c>
      <x:c r="R885" s="47" t="n">
        <x:v>0</x:v>
      </x:c>
      <x:c r="S885" s="47" t="n">
        <x:v>34.89</x:v>
      </x:c>
      <x:c r="T885" s="47" t="n">
        <x:v>57.76</x:v>
      </x:c>
      <x:c r="U885" s="47" t="n">
        <x:v>31.9</x:v>
      </x:c>
      <x:c r="V885" s="47" t="n">
        <x:v>15</x:v>
      </x:c>
      <x:c r="W885" s="47" t="n">
        <x:v>1</x:v>
      </x:c>
      <x:c r="X885" s="47" t="n">
        <x:v>6</x:v>
      </x:c>
      <x:c r="Y885" s="41" t="n">
        <x:v>5</x:v>
      </x:c>
    </x:row>
    <x:row r="886">
      <x:c r="A886" s="38" t="str">
        <x:v>7月30日现场数据</x:v>
      </x:c>
      <x:c r="B886" s="66" t="str">
        <x:v>2026-08-02T15:15:49.133000</x:v>
      </x:c>
      <x:c r="C886" s="47" t="n">
        <x:v>300990</x:v>
      </x:c>
      <x:c r="D886" s="47" t="str"/>
      <x:c r="E886" s="47" t="str"/>
      <x:c r="F886" s="47" t="str">
        <x:v>current</x:v>
      </x:c>
      <x:c r="G886" s="47" t="n">
        <x:v>882</x:v>
      </x:c>
      <x:c r="H886" s="53" t="b">
        <x:v>1</x:v>
      </x:c>
      <x:c r="I886" s="47" t="str">
        <x:v>2682537910</x:v>
      </x:c>
      <x:c r="J886" s="47" t="n">
        <x:v>88806470</x:v>
      </x:c>
      <x:c r="K886" s="53" t="b">
        <x:v>1</x:v>
      </x:c>
      <x:c r="L886" s="53" t="b">
        <x:v>1</x:v>
      </x:c>
      <x:c r="M886" s="53" t="b">
        <x:v>1</x:v>
      </x:c>
      <x:c r="N886" s="53" t="b">
        <x:v>1</x:v>
      </x:c>
      <x:c r="O886" s="53" t="b">
        <x:v>1</x:v>
      </x:c>
      <x:c r="P886" s="47" t="n">
        <x:v>1008</x:v>
      </x:c>
      <x:c r="Q886" s="47" t="n">
        <x:v>0</x:v>
      </x:c>
      <x:c r="R886" s="47" t="n">
        <x:v>0</x:v>
      </x:c>
      <x:c r="S886" s="47" t="n">
        <x:v>34.53</x:v>
      </x:c>
      <x:c r="T886" s="47" t="n">
        <x:v>57.64</x:v>
      </x:c>
      <x:c r="U886" s="47" t="n">
        <x:v>31.8</x:v>
      </x:c>
      <x:c r="V886" s="47" t="n">
        <x:v>15</x:v>
      </x:c>
      <x:c r="W886" s="47" t="n">
        <x:v>1</x:v>
      </x:c>
      <x:c r="X886" s="47" t="n">
        <x:v>5</x:v>
      </x:c>
      <x:c r="Y886" s="41" t="n">
        <x:v>4</x:v>
      </x:c>
    </x:row>
    <x:row r="887">
      <x:c r="A887" s="38" t="str">
        <x:v>7月30日现场数据</x:v>
      </x:c>
      <x:c r="B887" s="66" t="str">
        <x:v>2026-08-02T15:20:50.133000</x:v>
      </x:c>
      <x:c r="C887" s="47" t="n">
        <x:v>301000</x:v>
      </x:c>
      <x:c r="D887" s="47" t="str"/>
      <x:c r="E887" s="47" t="str"/>
      <x:c r="F887" s="47" t="str">
        <x:v>current</x:v>
      </x:c>
      <x:c r="G887" s="47" t="n">
        <x:v>883</x:v>
      </x:c>
      <x:c r="H887" s="53" t="b">
        <x:v>1</x:v>
      </x:c>
      <x:c r="I887" s="47" t="str">
        <x:v>2682537910</x:v>
      </x:c>
      <x:c r="J887" s="47" t="n">
        <x:v>89107470</x:v>
      </x:c>
      <x:c r="K887" s="53" t="b">
        <x:v>1</x:v>
      </x:c>
      <x:c r="L887" s="53" t="b">
        <x:v>1</x:v>
      </x:c>
      <x:c r="M887" s="53" t="b">
        <x:v>1</x:v>
      </x:c>
      <x:c r="N887" s="53" t="b">
        <x:v>1</x:v>
      </x:c>
      <x:c r="O887" s="53" t="b">
        <x:v>1</x:v>
      </x:c>
      <x:c r="P887" s="47" t="n">
        <x:v>1007</x:v>
      </x:c>
      <x:c r="Q887" s="47" t="n">
        <x:v>0</x:v>
      </x:c>
      <x:c r="R887" s="47" t="n">
        <x:v>0</x:v>
      </x:c>
      <x:c r="S887" s="47" t="n">
        <x:v>34.18</x:v>
      </x:c>
      <x:c r="T887" s="47" t="n">
        <x:v>57.61</x:v>
      </x:c>
      <x:c r="U887" s="47" t="n">
        <x:v>31.8</x:v>
      </x:c>
      <x:c r="V887" s="47" t="n">
        <x:v>14.9</x:v>
      </x:c>
      <x:c r="W887" s="47" t="n">
        <x:v>1</x:v>
      </x:c>
      <x:c r="X887" s="47" t="n">
        <x:v>4</x:v>
      </x:c>
      <x:c r="Y887" s="41" t="n">
        <x:v>3</x:v>
      </x:c>
    </x:row>
    <x:row r="888">
      <x:c r="A888" s="38" t="str">
        <x:v>7月30日现场数据</x:v>
      </x:c>
      <x:c r="B888" s="66" t="str">
        <x:v>2026-08-02T15:25:51.110000</x:v>
      </x:c>
      <x:c r="C888" s="47" t="n">
        <x:v>300977</x:v>
      </x:c>
      <x:c r="D888" s="47" t="str"/>
      <x:c r="E888" s="47" t="str"/>
      <x:c r="F888" s="47" t="str">
        <x:v>current</x:v>
      </x:c>
      <x:c r="G888" s="47" t="n">
        <x:v>884</x:v>
      </x:c>
      <x:c r="H888" s="53" t="b">
        <x:v>1</x:v>
      </x:c>
      <x:c r="I888" s="47" t="str">
        <x:v>2682537910</x:v>
      </x:c>
      <x:c r="J888" s="47" t="n">
        <x:v>89408447</x:v>
      </x:c>
      <x:c r="K888" s="53" t="b">
        <x:v>1</x:v>
      </x:c>
      <x:c r="L888" s="53" t="b">
        <x:v>1</x:v>
      </x:c>
      <x:c r="M888" s="53" t="b">
        <x:v>1</x:v>
      </x:c>
      <x:c r="N888" s="53" t="b">
        <x:v>1</x:v>
      </x:c>
      <x:c r="O888" s="53" t="b">
        <x:v>1</x:v>
      </x:c>
      <x:c r="P888" s="47" t="n">
        <x:v>1008</x:v>
      </x:c>
      <x:c r="Q888" s="47" t="n">
        <x:v>0</x:v>
      </x:c>
      <x:c r="R888" s="47" t="n">
        <x:v>0</x:v>
      </x:c>
      <x:c r="S888" s="47" t="n">
        <x:v>33.93</x:v>
      </x:c>
      <x:c r="T888" s="47" t="n">
        <x:v>57.56</x:v>
      </x:c>
      <x:c r="U888" s="47" t="n">
        <x:v>31.8</x:v>
      </x:c>
      <x:c r="V888" s="47" t="n">
        <x:v>14.9</x:v>
      </x:c>
      <x:c r="W888" s="47" t="n">
        <x:v>1</x:v>
      </x:c>
      <x:c r="X888" s="47" t="n">
        <x:v>4</x:v>
      </x:c>
      <x:c r="Y888" s="41" t="n">
        <x:v>3</x:v>
      </x:c>
    </x:row>
    <x:row r="889">
      <x:c r="A889" s="38" t="str">
        <x:v>7月30日现场数据</x:v>
      </x:c>
      <x:c r="B889" s="66" t="str">
        <x:v>2026-08-02T15:30:52.090000</x:v>
      </x:c>
      <x:c r="C889" s="47" t="n">
        <x:v>300980</x:v>
      </x:c>
      <x:c r="D889" s="47" t="str"/>
      <x:c r="E889" s="47" t="str"/>
      <x:c r="F889" s="47" t="str">
        <x:v>current</x:v>
      </x:c>
      <x:c r="G889" s="47" t="n">
        <x:v>885</x:v>
      </x:c>
      <x:c r="H889" s="53" t="b">
        <x:v>1</x:v>
      </x:c>
      <x:c r="I889" s="47" t="str">
        <x:v>2682537910</x:v>
      </x:c>
      <x:c r="J889" s="47" t="n">
        <x:v>89709427</x:v>
      </x:c>
      <x:c r="K889" s="53" t="b">
        <x:v>1</x:v>
      </x:c>
      <x:c r="L889" s="53" t="b">
        <x:v>1</x:v>
      </x:c>
      <x:c r="M889" s="53" t="b">
        <x:v>1</x:v>
      </x:c>
      <x:c r="N889" s="53" t="b">
        <x:v>1</x:v>
      </x:c>
      <x:c r="O889" s="53" t="b">
        <x:v>1</x:v>
      </x:c>
      <x:c r="P889" s="47" t="n">
        <x:v>1009</x:v>
      </x:c>
      <x:c r="Q889" s="47" t="n">
        <x:v>0</x:v>
      </x:c>
      <x:c r="R889" s="47" t="n">
        <x:v>0</x:v>
      </x:c>
      <x:c r="S889" s="47" t="n">
        <x:v>33.63</x:v>
      </x:c>
      <x:c r="T889" s="47" t="n">
        <x:v>57.55</x:v>
      </x:c>
      <x:c r="U889" s="47" t="n">
        <x:v>31.7</x:v>
      </x:c>
      <x:c r="V889" s="47" t="n">
        <x:v>14.9</x:v>
      </x:c>
      <x:c r="W889" s="47" t="n">
        <x:v>1</x:v>
      </x:c>
      <x:c r="X889" s="47" t="n">
        <x:v>4</x:v>
      </x:c>
      <x:c r="Y889" s="41" t="n">
        <x:v>3</x:v>
      </x:c>
    </x:row>
    <x:row r="890">
      <x:c r="A890" s="38" t="str">
        <x:v>7月30日现场数据</x:v>
      </x:c>
      <x:c r="B890" s="66" t="str">
        <x:v>2026-08-02T15:35:53.104000</x:v>
      </x:c>
      <x:c r="C890" s="47" t="n">
        <x:v>301014</x:v>
      </x:c>
      <x:c r="D890" s="47" t="str"/>
      <x:c r="E890" s="47" t="str"/>
      <x:c r="F890" s="47" t="str">
        <x:v>current</x:v>
      </x:c>
      <x:c r="G890" s="47" t="n">
        <x:v>886</x:v>
      </x:c>
      <x:c r="H890" s="53" t="b">
        <x:v>1</x:v>
      </x:c>
      <x:c r="I890" s="47" t="str">
        <x:v>2682537910</x:v>
      </x:c>
      <x:c r="J890" s="47" t="n">
        <x:v>90010441</x:v>
      </x:c>
      <x:c r="K890" s="53" t="b">
        <x:v>1</x:v>
      </x:c>
      <x:c r="L890" s="53" t="b">
        <x:v>1</x:v>
      </x:c>
      <x:c r="M890" s="53" t="b">
        <x:v>1</x:v>
      </x:c>
      <x:c r="N890" s="53" t="b">
        <x:v>1</x:v>
      </x:c>
      <x:c r="O890" s="53" t="b">
        <x:v>1</x:v>
      </x:c>
      <x:c r="P890" s="47" t="n">
        <x:v>1008</x:v>
      </x:c>
      <x:c r="Q890" s="47" t="n">
        <x:v>0</x:v>
      </x:c>
      <x:c r="R890" s="47" t="n">
        <x:v>0</x:v>
      </x:c>
      <x:c r="S890" s="47" t="n">
        <x:v>33.42</x:v>
      </x:c>
      <x:c r="T890" s="47" t="n">
        <x:v>57.57</x:v>
      </x:c>
      <x:c r="U890" s="47" t="n">
        <x:v>31.6</x:v>
      </x:c>
      <x:c r="V890" s="47" t="n">
        <x:v>14.8</x:v>
      </x:c>
      <x:c r="W890" s="47" t="n">
        <x:v>1</x:v>
      </x:c>
      <x:c r="X890" s="47" t="n">
        <x:v>4</x:v>
      </x:c>
      <x:c r="Y890" s="41" t="n">
        <x:v>3</x:v>
      </x:c>
    </x:row>
    <x:row r="891">
      <x:c r="A891" s="38" t="str">
        <x:v>7月30日现场数据</x:v>
      </x:c>
      <x:c r="B891" s="66" t="str">
        <x:v>2026-08-02T15:40:54.061000</x:v>
      </x:c>
      <x:c r="C891" s="47" t="n">
        <x:v>300957</x:v>
      </x:c>
      <x:c r="D891" s="47" t="str"/>
      <x:c r="E891" s="47" t="str"/>
      <x:c r="F891" s="47" t="str">
        <x:v>current</x:v>
      </x:c>
      <x:c r="G891" s="47" t="n">
        <x:v>887</x:v>
      </x:c>
      <x:c r="H891" s="53" t="b">
        <x:v>1</x:v>
      </x:c>
      <x:c r="I891" s="47" t="str">
        <x:v>2682537910</x:v>
      </x:c>
      <x:c r="J891" s="47" t="n">
        <x:v>90311398</x:v>
      </x:c>
      <x:c r="K891" s="53" t="b">
        <x:v>1</x:v>
      </x:c>
      <x:c r="L891" s="53" t="b">
        <x:v>1</x:v>
      </x:c>
      <x:c r="M891" s="53" t="b">
        <x:v>1</x:v>
      </x:c>
      <x:c r="N891" s="53" t="b">
        <x:v>1</x:v>
      </x:c>
      <x:c r="O891" s="53" t="b">
        <x:v>1</x:v>
      </x:c>
      <x:c r="P891" s="47" t="n">
        <x:v>1009</x:v>
      </x:c>
      <x:c r="Q891" s="47" t="n">
        <x:v>0</x:v>
      </x:c>
      <x:c r="R891" s="47" t="n">
        <x:v>0</x:v>
      </x:c>
      <x:c r="S891" s="47" t="n">
        <x:v>33.01</x:v>
      </x:c>
      <x:c r="T891" s="47" t="n">
        <x:v>57.48</x:v>
      </x:c>
      <x:c r="U891" s="47" t="n">
        <x:v>31.6</x:v>
      </x:c>
      <x:c r="V891" s="47" t="n">
        <x:v>14.8</x:v>
      </x:c>
      <x:c r="W891" s="47" t="n">
        <x:v>1</x:v>
      </x:c>
      <x:c r="X891" s="47" t="n">
        <x:v>5</x:v>
      </x:c>
      <x:c r="Y891" s="41" t="n">
        <x:v>4</x:v>
      </x:c>
    </x:row>
    <x:row r="892">
      <x:c r="A892" s="38" t="str">
        <x:v>7月30日现场数据</x:v>
      </x:c>
      <x:c r="B892" s="66" t="str">
        <x:v>2026-08-02T15:45:55.021000</x:v>
      </x:c>
      <x:c r="C892" s="47" t="n">
        <x:v>300960</x:v>
      </x:c>
      <x:c r="D892" s="47" t="str"/>
      <x:c r="E892" s="47" t="str"/>
      <x:c r="F892" s="47" t="str">
        <x:v>current</x:v>
      </x:c>
      <x:c r="G892" s="47" t="n">
        <x:v>888</x:v>
      </x:c>
      <x:c r="H892" s="53" t="b">
        <x:v>1</x:v>
      </x:c>
      <x:c r="I892" s="47" t="str">
        <x:v>2682537910</x:v>
      </x:c>
      <x:c r="J892" s="47" t="n">
        <x:v>90612358</x:v>
      </x:c>
      <x:c r="K892" s="53" t="b">
        <x:v>1</x:v>
      </x:c>
      <x:c r="L892" s="53" t="b">
        <x:v>1</x:v>
      </x:c>
      <x:c r="M892" s="53" t="b">
        <x:v>1</x:v>
      </x:c>
      <x:c r="N892" s="53" t="b">
        <x:v>1</x:v>
      </x:c>
      <x:c r="O892" s="53" t="b">
        <x:v>1</x:v>
      </x:c>
      <x:c r="P892" s="47" t="n">
        <x:v>1009</x:v>
      </x:c>
      <x:c r="Q892" s="47" t="n">
        <x:v>0</x:v>
      </x:c>
      <x:c r="R892" s="47" t="n">
        <x:v>0</x:v>
      </x:c>
      <x:c r="S892" s="47" t="n">
        <x:v>32.66</x:v>
      </x:c>
      <x:c r="T892" s="47" t="n">
        <x:v>57.44</x:v>
      </x:c>
      <x:c r="U892" s="47" t="n">
        <x:v>31.5</x:v>
      </x:c>
      <x:c r="V892" s="47" t="n">
        <x:v>14.9</x:v>
      </x:c>
      <x:c r="W892" s="47" t="n">
        <x:v>1</x:v>
      </x:c>
      <x:c r="X892" s="47" t="n">
        <x:v>6</x:v>
      </x:c>
      <x:c r="Y892" s="41" t="n">
        <x:v>5</x:v>
      </x:c>
    </x:row>
    <x:row r="893">
      <x:c r="A893" s="38" t="str">
        <x:v>7月30日现场数据</x:v>
      </x:c>
      <x:c r="B893" s="66" t="str">
        <x:v>2026-08-02T15:50:55.979000</x:v>
      </x:c>
      <x:c r="C893" s="47" t="n">
        <x:v>300958</x:v>
      </x:c>
      <x:c r="D893" s="47" t="str"/>
      <x:c r="E893" s="47" t="str"/>
      <x:c r="F893" s="47" t="str">
        <x:v>current</x:v>
      </x:c>
      <x:c r="G893" s="47" t="n">
        <x:v>889</x:v>
      </x:c>
      <x:c r="H893" s="53" t="b">
        <x:v>1</x:v>
      </x:c>
      <x:c r="I893" s="47" t="str">
        <x:v>2682537910</x:v>
      </x:c>
      <x:c r="J893" s="47" t="n">
        <x:v>90913316</x:v>
      </x:c>
      <x:c r="K893" s="53" t="b">
        <x:v>1</x:v>
      </x:c>
      <x:c r="L893" s="53" t="b">
        <x:v>1</x:v>
      </x:c>
      <x:c r="M893" s="53" t="b">
        <x:v>1</x:v>
      </x:c>
      <x:c r="N893" s="53" t="b">
        <x:v>1</x:v>
      </x:c>
      <x:c r="O893" s="53" t="b">
        <x:v>1</x:v>
      </x:c>
      <x:c r="P893" s="47" t="n">
        <x:v>1009</x:v>
      </x:c>
      <x:c r="Q893" s="47" t="n">
        <x:v>0</x:v>
      </x:c>
      <x:c r="R893" s="47" t="n">
        <x:v>0</x:v>
      </x:c>
      <x:c r="S893" s="47" t="n">
        <x:v>32.43</x:v>
      </x:c>
      <x:c r="T893" s="47" t="n">
        <x:v>57.44</x:v>
      </x:c>
      <x:c r="U893" s="47" t="n">
        <x:v>31.5</x:v>
      </x:c>
      <x:c r="V893" s="47" t="n">
        <x:v>14.8</x:v>
      </x:c>
      <x:c r="W893" s="47" t="n">
        <x:v>1</x:v>
      </x:c>
      <x:c r="X893" s="47" t="n">
        <x:v>7</x:v>
      </x:c>
      <x:c r="Y893" s="41" t="n">
        <x:v>6</x:v>
      </x:c>
    </x:row>
    <x:row r="894">
      <x:c r="A894" s="38" t="str">
        <x:v>7月30日现场数据</x:v>
      </x:c>
      <x:c r="B894" s="66" t="str">
        <x:v>2026-08-02T15:55:56.939000</x:v>
      </x:c>
      <x:c r="C894" s="47" t="n">
        <x:v>300960</x:v>
      </x:c>
      <x:c r="D894" s="47" t="str"/>
      <x:c r="E894" s="47" t="str"/>
      <x:c r="F894" s="47" t="str">
        <x:v>current</x:v>
      </x:c>
      <x:c r="G894" s="47" t="n">
        <x:v>890</x:v>
      </x:c>
      <x:c r="H894" s="53" t="b">
        <x:v>1</x:v>
      </x:c>
      <x:c r="I894" s="47" t="str">
        <x:v>2682537910</x:v>
      </x:c>
      <x:c r="J894" s="47" t="n">
        <x:v>91214276</x:v>
      </x:c>
      <x:c r="K894" s="53" t="b">
        <x:v>1</x:v>
      </x:c>
      <x:c r="L894" s="53" t="b">
        <x:v>1</x:v>
      </x:c>
      <x:c r="M894" s="53" t="b">
        <x:v>1</x:v>
      </x:c>
      <x:c r="N894" s="53" t="b">
        <x:v>1</x:v>
      </x:c>
      <x:c r="O894" s="53" t="b">
        <x:v>1</x:v>
      </x:c>
      <x:c r="P894" s="47" t="n">
        <x:v>1008</x:v>
      </x:c>
      <x:c r="Q894" s="47" t="n">
        <x:v>0</x:v>
      </x:c>
      <x:c r="R894" s="47" t="n">
        <x:v>0</x:v>
      </x:c>
      <x:c r="S894" s="47" t="n">
        <x:v>32.21</x:v>
      </x:c>
      <x:c r="T894" s="47" t="n">
        <x:v>57.45</x:v>
      </x:c>
      <x:c r="U894" s="47" t="n">
        <x:v>31.4</x:v>
      </x:c>
      <x:c r="V894" s="47" t="n">
        <x:v>14.8</x:v>
      </x:c>
      <x:c r="W894" s="47" t="n">
        <x:v>2</x:v>
      </x:c>
      <x:c r="X894" s="47" t="n">
        <x:v>8</x:v>
      </x:c>
      <x:c r="Y894" s="41" t="n">
        <x:v>6</x:v>
      </x:c>
    </x:row>
    <x:row r="895">
      <x:c r="A895" s="38" t="str">
        <x:v>7月30日现场数据</x:v>
      </x:c>
      <x:c r="B895" s="66" t="str">
        <x:v>2026-08-02T16:00:57.904000</x:v>
      </x:c>
      <x:c r="C895" s="47" t="n">
        <x:v>300965</x:v>
      </x:c>
      <x:c r="D895" s="47" t="str"/>
      <x:c r="E895" s="47" t="str"/>
      <x:c r="F895" s="47" t="str">
        <x:v>current</x:v>
      </x:c>
      <x:c r="G895" s="47" t="n">
        <x:v>891</x:v>
      </x:c>
      <x:c r="H895" s="53" t="b">
        <x:v>1</x:v>
      </x:c>
      <x:c r="I895" s="47" t="str">
        <x:v>2682537910</x:v>
      </x:c>
      <x:c r="J895" s="47" t="n">
        <x:v>91515241</x:v>
      </x:c>
      <x:c r="K895" s="53" t="b">
        <x:v>1</x:v>
      </x:c>
      <x:c r="L895" s="53" t="b">
        <x:v>1</x:v>
      </x:c>
      <x:c r="M895" s="53" t="b">
        <x:v>1</x:v>
      </x:c>
      <x:c r="N895" s="53" t="b">
        <x:v>1</x:v>
      </x:c>
      <x:c r="O895" s="53" t="b">
        <x:v>1</x:v>
      </x:c>
      <x:c r="P895" s="47" t="n">
        <x:v>1008</x:v>
      </x:c>
      <x:c r="Q895" s="47" t="n">
        <x:v>0</x:v>
      </x:c>
      <x:c r="R895" s="47" t="n">
        <x:v>0</x:v>
      </x:c>
      <x:c r="S895" s="47" t="n">
        <x:v>31.97</x:v>
      </x:c>
      <x:c r="T895" s="47" t="n">
        <x:v>57.42</x:v>
      </x:c>
      <x:c r="U895" s="47" t="n">
        <x:v>31.4</x:v>
      </x:c>
      <x:c r="V895" s="47" t="n">
        <x:v>14.8</x:v>
      </x:c>
      <x:c r="W895" s="47" t="n">
        <x:v>2</x:v>
      </x:c>
      <x:c r="X895" s="47" t="n">
        <x:v>8</x:v>
      </x:c>
      <x:c r="Y895" s="41" t="n">
        <x:v>6</x:v>
      </x:c>
    </x:row>
    <x:row r="896">
      <x:c r="A896" s="38" t="str">
        <x:v>7月30日现场数据</x:v>
      </x:c>
      <x:c r="B896" s="66" t="str">
        <x:v>2026-08-02T16:05:58.870000</x:v>
      </x:c>
      <x:c r="C896" s="47" t="n">
        <x:v>300966</x:v>
      </x:c>
      <x:c r="D896" s="47" t="str"/>
      <x:c r="E896" s="47" t="str"/>
      <x:c r="F896" s="47" t="str">
        <x:v>current</x:v>
      </x:c>
      <x:c r="G896" s="47" t="n">
        <x:v>892</x:v>
      </x:c>
      <x:c r="H896" s="53" t="b">
        <x:v>1</x:v>
      </x:c>
      <x:c r="I896" s="47" t="str">
        <x:v>2682537910</x:v>
      </x:c>
      <x:c r="J896" s="47" t="n">
        <x:v>91816207</x:v>
      </x:c>
      <x:c r="K896" s="53" t="b">
        <x:v>1</x:v>
      </x:c>
      <x:c r="L896" s="53" t="b">
        <x:v>1</x:v>
      </x:c>
      <x:c r="M896" s="53" t="b">
        <x:v>1</x:v>
      </x:c>
      <x:c r="N896" s="53" t="b">
        <x:v>1</x:v>
      </x:c>
      <x:c r="O896" s="53" t="b">
        <x:v>1</x:v>
      </x:c>
      <x:c r="P896" s="47" t="n">
        <x:v>1008</x:v>
      </x:c>
      <x:c r="Q896" s="47" t="n">
        <x:v>0</x:v>
      </x:c>
      <x:c r="R896" s="47" t="n">
        <x:v>0</x:v>
      </x:c>
      <x:c r="S896" s="47" t="n">
        <x:v>31.82</x:v>
      </x:c>
      <x:c r="T896" s="47" t="n">
        <x:v>57.34</x:v>
      </x:c>
      <x:c r="U896" s="47" t="n">
        <x:v>31.4</x:v>
      </x:c>
      <x:c r="V896" s="47" t="n">
        <x:v>14.8</x:v>
      </x:c>
      <x:c r="W896" s="47" t="n">
        <x:v>2</x:v>
      </x:c>
      <x:c r="X896" s="47" t="n">
        <x:v>8</x:v>
      </x:c>
      <x:c r="Y896" s="41" t="n">
        <x:v>6</x:v>
      </x:c>
    </x:row>
    <x:row r="897">
      <x:c r="A897" s="38" t="str">
        <x:v>7月30日现场数据</x:v>
      </x:c>
      <x:c r="B897" s="66" t="str">
        <x:v>2026-08-02T16:10:59.837000</x:v>
      </x:c>
      <x:c r="C897" s="47" t="n">
        <x:v>300967</x:v>
      </x:c>
      <x:c r="D897" s="47" t="str"/>
      <x:c r="E897" s="47" t="str"/>
      <x:c r="F897" s="47" t="str">
        <x:v>current</x:v>
      </x:c>
      <x:c r="G897" s="47" t="n">
        <x:v>893</x:v>
      </x:c>
      <x:c r="H897" s="53" t="b">
        <x:v>1</x:v>
      </x:c>
      <x:c r="I897" s="47" t="str">
        <x:v>2682537910</x:v>
      </x:c>
      <x:c r="J897" s="47" t="n">
        <x:v>92117174</x:v>
      </x:c>
      <x:c r="K897" s="53" t="b">
        <x:v>1</x:v>
      </x:c>
      <x:c r="L897" s="53" t="b">
        <x:v>1</x:v>
      </x:c>
      <x:c r="M897" s="53" t="b">
        <x:v>1</x:v>
      </x:c>
      <x:c r="N897" s="53" t="b">
        <x:v>1</x:v>
      </x:c>
      <x:c r="O897" s="53" t="b">
        <x:v>1</x:v>
      </x:c>
      <x:c r="P897" s="47" t="n">
        <x:v>1007</x:v>
      </x:c>
      <x:c r="Q897" s="47" t="n">
        <x:v>0.088</x:v>
      </x:c>
      <x:c r="R897" s="47" t="n">
        <x:v>2.374</x:v>
      </x:c>
      <x:c r="S897" s="47" t="n">
        <x:v>31.73</x:v>
      </x:c>
      <x:c r="T897" s="47" t="n">
        <x:v>57.45</x:v>
      </x:c>
      <x:c r="U897" s="47" t="n">
        <x:v>31.3</x:v>
      </x:c>
      <x:c r="V897" s="47" t="n">
        <x:v>14.8</x:v>
      </x:c>
      <x:c r="W897" s="47" t="n">
        <x:v>2</x:v>
      </x:c>
      <x:c r="X897" s="47" t="n">
        <x:v>9</x:v>
      </x:c>
      <x:c r="Y897" s="41" t="n">
        <x:v>7</x:v>
      </x:c>
    </x:row>
    <x:row r="898">
      <x:c r="A898" s="38" t="str">
        <x:v>7月30日现场数据</x:v>
      </x:c>
      <x:c r="B898" s="66" t="str">
        <x:v>2026-08-02T16:16:00.806000</x:v>
      </x:c>
      <x:c r="C898" s="47" t="n">
        <x:v>300969</x:v>
      </x:c>
      <x:c r="D898" s="47" t="str"/>
      <x:c r="E898" s="47" t="str"/>
      <x:c r="F898" s="47" t="str">
        <x:v>current</x:v>
      </x:c>
      <x:c r="G898" s="47" t="n">
        <x:v>894</x:v>
      </x:c>
      <x:c r="H898" s="53" t="b">
        <x:v>1</x:v>
      </x:c>
      <x:c r="I898" s="47" t="str">
        <x:v>2682537910</x:v>
      </x:c>
      <x:c r="J898" s="47" t="n">
        <x:v>92418143</x:v>
      </x:c>
      <x:c r="K898" s="53" t="b">
        <x:v>1</x:v>
      </x:c>
      <x:c r="L898" s="53" t="b">
        <x:v>1</x:v>
      </x:c>
      <x:c r="M898" s="53" t="b">
        <x:v>1</x:v>
      </x:c>
      <x:c r="N898" s="53" t="b">
        <x:v>1</x:v>
      </x:c>
      <x:c r="O898" s="53" t="b">
        <x:v>1</x:v>
      </x:c>
      <x:c r="P898" s="47" t="n">
        <x:v>1008</x:v>
      </x:c>
      <x:c r="Q898" s="47" t="n">
        <x:v>0</x:v>
      </x:c>
      <x:c r="R898" s="47" t="n">
        <x:v>0</x:v>
      </x:c>
      <x:c r="S898" s="47" t="n">
        <x:v>31.71</x:v>
      </x:c>
      <x:c r="T898" s="47" t="n">
        <x:v>57.52</x:v>
      </x:c>
      <x:c r="U898" s="47" t="n">
        <x:v>31.3</x:v>
      </x:c>
      <x:c r="V898" s="47" t="n">
        <x:v>14.8</x:v>
      </x:c>
      <x:c r="W898" s="47" t="n">
        <x:v>2</x:v>
      </x:c>
      <x:c r="X898" s="47" t="n">
        <x:v>9</x:v>
      </x:c>
      <x:c r="Y898" s="41" t="n">
        <x:v>7</x:v>
      </x:c>
    </x:row>
    <x:row r="899">
      <x:c r="A899" s="38" t="str">
        <x:v>7月30日现场数据</x:v>
      </x:c>
      <x:c r="B899" s="66" t="str">
        <x:v>2026-08-02T16:21:01.779000</x:v>
      </x:c>
      <x:c r="C899" s="47" t="n">
        <x:v>300973</x:v>
      </x:c>
      <x:c r="D899" s="47" t="str"/>
      <x:c r="E899" s="47" t="str"/>
      <x:c r="F899" s="47" t="str">
        <x:v>current</x:v>
      </x:c>
      <x:c r="G899" s="47" t="n">
        <x:v>895</x:v>
      </x:c>
      <x:c r="H899" s="53" t="b">
        <x:v>1</x:v>
      </x:c>
      <x:c r="I899" s="47" t="str">
        <x:v>2682537910</x:v>
      </x:c>
      <x:c r="J899" s="47" t="n">
        <x:v>92719116</x:v>
      </x:c>
      <x:c r="K899" s="53" t="b">
        <x:v>1</x:v>
      </x:c>
      <x:c r="L899" s="53" t="b">
        <x:v>1</x:v>
      </x:c>
      <x:c r="M899" s="53" t="b">
        <x:v>1</x:v>
      </x:c>
      <x:c r="N899" s="53" t="b">
        <x:v>1</x:v>
      </x:c>
      <x:c r="O899" s="53" t="b">
        <x:v>1</x:v>
      </x:c>
      <x:c r="P899" s="47" t="n">
        <x:v>1008</x:v>
      </x:c>
      <x:c r="Q899" s="47" t="n">
        <x:v>0.005</x:v>
      </x:c>
      <x:c r="R899" s="47" t="n">
        <x:v>0.132</x:v>
      </x:c>
      <x:c r="S899" s="47" t="n">
        <x:v>31.73</x:v>
      </x:c>
      <x:c r="T899" s="47" t="n">
        <x:v>57.59</x:v>
      </x:c>
      <x:c r="U899" s="47" t="n">
        <x:v>31.2</x:v>
      </x:c>
      <x:c r="V899" s="47" t="n">
        <x:v>14.8</x:v>
      </x:c>
      <x:c r="W899" s="47" t="n">
        <x:v>2</x:v>
      </x:c>
      <x:c r="X899" s="47" t="n">
        <x:v>9</x:v>
      </x:c>
      <x:c r="Y899" s="41" t="n">
        <x:v>7</x:v>
      </x:c>
    </x:row>
    <x:row r="900">
      <x:c r="A900" s="38" t="str">
        <x:v>7月30日现场数据</x:v>
      </x:c>
      <x:c r="B900" s="66" t="str">
        <x:v>2026-08-02T16:26:02.754000</x:v>
      </x:c>
      <x:c r="C900" s="47" t="n">
        <x:v>300975</x:v>
      </x:c>
      <x:c r="D900" s="47" t="str"/>
      <x:c r="E900" s="47" t="str"/>
      <x:c r="F900" s="47" t="str">
        <x:v>current</x:v>
      </x:c>
      <x:c r="G900" s="47" t="n">
        <x:v>896</x:v>
      </x:c>
      <x:c r="H900" s="53" t="b">
        <x:v>1</x:v>
      </x:c>
      <x:c r="I900" s="47" t="str">
        <x:v>2682537910</x:v>
      </x:c>
      <x:c r="J900" s="47" t="n">
        <x:v>93020091</x:v>
      </x:c>
      <x:c r="K900" s="53" t="b">
        <x:v>1</x:v>
      </x:c>
      <x:c r="L900" s="53" t="b">
        <x:v>1</x:v>
      </x:c>
      <x:c r="M900" s="53" t="b">
        <x:v>1</x:v>
      </x:c>
      <x:c r="N900" s="53" t="b">
        <x:v>1</x:v>
      </x:c>
      <x:c r="O900" s="53" t="b">
        <x:v>1</x:v>
      </x:c>
      <x:c r="P900" s="47" t="n">
        <x:v>1008</x:v>
      </x:c>
      <x:c r="Q900" s="47" t="n">
        <x:v>0</x:v>
      </x:c>
      <x:c r="R900" s="47" t="n">
        <x:v>0</x:v>
      </x:c>
      <x:c r="S900" s="47" t="n">
        <x:v>31.77</x:v>
      </x:c>
      <x:c r="T900" s="47" t="n">
        <x:v>57.68</x:v>
      </x:c>
      <x:c r="U900" s="47" t="n">
        <x:v>31.2</x:v>
      </x:c>
      <x:c r="V900" s="47" t="n">
        <x:v>14.8</x:v>
      </x:c>
      <x:c r="W900" s="47" t="n">
        <x:v>3</x:v>
      </x:c>
      <x:c r="X900" s="47" t="n">
        <x:v>13</x:v>
      </x:c>
      <x:c r="Y900" s="41" t="n">
        <x:v>10</x:v>
      </x:c>
    </x:row>
    <x:row r="901">
      <x:c r="A901" s="38" t="str">
        <x:v>7月30日现场数据</x:v>
      </x:c>
      <x:c r="B901" s="66" t="str">
        <x:v>2026-08-02T16:31:20.417000</x:v>
      </x:c>
      <x:c r="C901" s="47" t="n">
        <x:v>317663</x:v>
      </x:c>
      <x:c r="D901" s="47" t="str"/>
      <x:c r="E901" s="47" t="str"/>
      <x:c r="F901" s="47" t="str">
        <x:v>current</x:v>
      </x:c>
      <x:c r="G901" s="47" t="n">
        <x:v>897</x:v>
      </x:c>
      <x:c r="H901" s="53" t="b">
        <x:v>1</x:v>
      </x:c>
      <x:c r="I901" s="47" t="str">
        <x:v>2682537910</x:v>
      </x:c>
      <x:c r="J901" s="47" t="n">
        <x:v>93337754</x:v>
      </x:c>
      <x:c r="K901" s="53" t="b">
        <x:v>1</x:v>
      </x:c>
      <x:c r="L901" s="53" t="b">
        <x:v>1</x:v>
      </x:c>
      <x:c r="M901" s="53" t="b">
        <x:v>1</x:v>
      </x:c>
      <x:c r="N901" s="53" t="b">
        <x:v>1</x:v>
      </x:c>
      <x:c r="O901" s="53" t="b">
        <x:v>1</x:v>
      </x:c>
      <x:c r="P901" s="47" t="n">
        <x:v>1008</x:v>
      </x:c>
      <x:c r="Q901" s="47" t="n">
        <x:v>0</x:v>
      </x:c>
      <x:c r="R901" s="47" t="n">
        <x:v>0</x:v>
      </x:c>
      <x:c r="S901" s="47" t="n">
        <x:v>31.88</x:v>
      </x:c>
      <x:c r="T901" s="47" t="n">
        <x:v>57.79</x:v>
      </x:c>
      <x:c r="U901" s="47" t="n">
        <x:v>31.2</x:v>
      </x:c>
      <x:c r="V901" s="47" t="n">
        <x:v>14.8</x:v>
      </x:c>
      <x:c r="W901" s="47" t="n">
        <x:v>5</x:v>
      </x:c>
      <x:c r="X901" s="47" t="n">
        <x:v>22</x:v>
      </x:c>
      <x:c r="Y901" s="41" t="n">
        <x:v>17</x:v>
      </x:c>
    </x:row>
    <x:row r="902">
      <x:c r="A902" s="38" t="str">
        <x:v>7月30日现场数据</x:v>
      </x:c>
      <x:c r="B902" s="66" t="str">
        <x:v>2026-08-02T16:36:21.394000</x:v>
      </x:c>
      <x:c r="C902" s="47" t="n">
        <x:v>300977</x:v>
      </x:c>
      <x:c r="D902" s="47" t="str"/>
      <x:c r="E902" s="47" t="str"/>
      <x:c r="F902" s="47" t="str">
        <x:v>current</x:v>
      </x:c>
      <x:c r="G902" s="47" t="n">
        <x:v>898</x:v>
      </x:c>
      <x:c r="H902" s="53" t="b">
        <x:v>1</x:v>
      </x:c>
      <x:c r="I902" s="47" t="str">
        <x:v>2682537910</x:v>
      </x:c>
      <x:c r="J902" s="47" t="n">
        <x:v>93638731</x:v>
      </x:c>
      <x:c r="K902" s="53" t="b">
        <x:v>1</x:v>
      </x:c>
      <x:c r="L902" s="53" t="b">
        <x:v>1</x:v>
      </x:c>
      <x:c r="M902" s="53" t="b">
        <x:v>1</x:v>
      </x:c>
      <x:c r="N902" s="53" t="b">
        <x:v>1</x:v>
      </x:c>
      <x:c r="O902" s="53" t="b">
        <x:v>1</x:v>
      </x:c>
      <x:c r="P902" s="47" t="n">
        <x:v>1009</x:v>
      </x:c>
      <x:c r="Q902" s="47" t="n">
        <x:v>0</x:v>
      </x:c>
      <x:c r="R902" s="47" t="n">
        <x:v>0</x:v>
      </x:c>
      <x:c r="S902" s="47" t="n">
        <x:v>32.06</x:v>
      </x:c>
      <x:c r="T902" s="47" t="n">
        <x:v>57.93</x:v>
      </x:c>
      <x:c r="U902" s="47" t="n">
        <x:v>31.2</x:v>
      </x:c>
      <x:c r="V902" s="47" t="n">
        <x:v>14.8</x:v>
      </x:c>
      <x:c r="W902" s="47" t="n">
        <x:v>5</x:v>
      </x:c>
      <x:c r="X902" s="47" t="n">
        <x:v>20</x:v>
      </x:c>
      <x:c r="Y902" s="41" t="n">
        <x:v>15</x:v>
      </x:c>
    </x:row>
    <x:row r="903">
      <x:c r="A903" s="38" t="str">
        <x:v>7月30日现场数据</x:v>
      </x:c>
      <x:c r="B903" s="66" t="str">
        <x:v>2026-08-02T16:41:22.372000</x:v>
      </x:c>
      <x:c r="C903" s="47" t="n">
        <x:v>300978</x:v>
      </x:c>
      <x:c r="D903" s="47" t="str"/>
      <x:c r="E903" s="47" t="str"/>
      <x:c r="F903" s="47" t="str">
        <x:v>current</x:v>
      </x:c>
      <x:c r="G903" s="47" t="n">
        <x:v>899</x:v>
      </x:c>
      <x:c r="H903" s="53" t="b">
        <x:v>1</x:v>
      </x:c>
      <x:c r="I903" s="47" t="str">
        <x:v>2682537910</x:v>
      </x:c>
      <x:c r="J903" s="47" t="n">
        <x:v>93939709</x:v>
      </x:c>
      <x:c r="K903" s="53" t="b">
        <x:v>1</x:v>
      </x:c>
      <x:c r="L903" s="53" t="b">
        <x:v>1</x:v>
      </x:c>
      <x:c r="M903" s="53" t="b">
        <x:v>1</x:v>
      </x:c>
      <x:c r="N903" s="53" t="b">
        <x:v>1</x:v>
      </x:c>
      <x:c r="O903" s="53" t="b">
        <x:v>1</x:v>
      </x:c>
      <x:c r="P903" s="47" t="n">
        <x:v>1009</x:v>
      </x:c>
      <x:c r="Q903" s="47" t="n">
        <x:v>0</x:v>
      </x:c>
      <x:c r="R903" s="47" t="n">
        <x:v>0</x:v>
      </x:c>
      <x:c r="S903" s="47" t="n">
        <x:v>32.19</x:v>
      </x:c>
      <x:c r="T903" s="47" t="n">
        <x:v>58.03</x:v>
      </x:c>
      <x:c r="U903" s="47" t="n">
        <x:v>31.1</x:v>
      </x:c>
      <x:c r="V903" s="47" t="n">
        <x:v>14.8</x:v>
      </x:c>
      <x:c r="W903" s="47" t="n">
        <x:v>5</x:v>
      </x:c>
      <x:c r="X903" s="47" t="n">
        <x:v>18</x:v>
      </x:c>
      <x:c r="Y903" s="41" t="n">
        <x:v>13</x:v>
      </x:c>
    </x:row>
    <x:row r="904">
      <x:c r="A904" s="38" t="str">
        <x:v>7月30日现场数据</x:v>
      </x:c>
      <x:c r="B904" s="66" t="str">
        <x:v>2026-08-02T16:46:23.354000</x:v>
      </x:c>
      <x:c r="C904" s="47" t="n">
        <x:v>300982</x:v>
      </x:c>
      <x:c r="D904" s="47" t="str"/>
      <x:c r="E904" s="47" t="str"/>
      <x:c r="F904" s="47" t="str">
        <x:v>current</x:v>
      </x:c>
      <x:c r="G904" s="47" t="n">
        <x:v>900</x:v>
      </x:c>
      <x:c r="H904" s="53" t="b">
        <x:v>1</x:v>
      </x:c>
      <x:c r="I904" s="47" t="str">
        <x:v>2682537910</x:v>
      </x:c>
      <x:c r="J904" s="47" t="n">
        <x:v>94240691</x:v>
      </x:c>
      <x:c r="K904" s="53" t="b">
        <x:v>1</x:v>
      </x:c>
      <x:c r="L904" s="53" t="b">
        <x:v>1</x:v>
      </x:c>
      <x:c r="M904" s="53" t="b">
        <x:v>1</x:v>
      </x:c>
      <x:c r="N904" s="53" t="b">
        <x:v>1</x:v>
      </x:c>
      <x:c r="O904" s="53" t="b">
        <x:v>1</x:v>
      </x:c>
      <x:c r="P904" s="47" t="n">
        <x:v>1009</x:v>
      </x:c>
      <x:c r="Q904" s="47" t="n">
        <x:v>0</x:v>
      </x:c>
      <x:c r="R904" s="47" t="n">
        <x:v>0</x:v>
      </x:c>
      <x:c r="S904" s="47" t="n">
        <x:v>32.31</x:v>
      </x:c>
      <x:c r="T904" s="47" t="n">
        <x:v>58.16</x:v>
      </x:c>
      <x:c r="U904" s="47" t="n">
        <x:v>31.1</x:v>
      </x:c>
      <x:c r="V904" s="47" t="n">
        <x:v>14.8</x:v>
      </x:c>
      <x:c r="W904" s="47" t="n">
        <x:v>3</x:v>
      </x:c>
      <x:c r="X904" s="47" t="n">
        <x:v>11</x:v>
      </x:c>
      <x:c r="Y904" s="41" t="n">
        <x:v>8</x:v>
      </x:c>
    </x:row>
    <x:row r="905">
      <x:c r="A905" s="38" t="str">
        <x:v>7月30日现场数据</x:v>
      </x:c>
      <x:c r="B905" s="66" t="str">
        <x:v>2026-08-02T16:51:24.333000</x:v>
      </x:c>
      <x:c r="C905" s="47" t="n">
        <x:v>300979</x:v>
      </x:c>
      <x:c r="D905" s="47" t="str"/>
      <x:c r="E905" s="47" t="str"/>
      <x:c r="F905" s="47" t="str">
        <x:v>current</x:v>
      </x:c>
      <x:c r="G905" s="47" t="n">
        <x:v>901</x:v>
      </x:c>
      <x:c r="H905" s="53" t="b">
        <x:v>1</x:v>
      </x:c>
      <x:c r="I905" s="47" t="str">
        <x:v>2682537910</x:v>
      </x:c>
      <x:c r="J905" s="47" t="n">
        <x:v>94541670</x:v>
      </x:c>
      <x:c r="K905" s="53" t="b">
        <x:v>1</x:v>
      </x:c>
      <x:c r="L905" s="53" t="b">
        <x:v>1</x:v>
      </x:c>
      <x:c r="M905" s="53" t="b">
        <x:v>1</x:v>
      </x:c>
      <x:c r="N905" s="53" t="b">
        <x:v>1</x:v>
      </x:c>
      <x:c r="O905" s="53" t="b">
        <x:v>1</x:v>
      </x:c>
      <x:c r="P905" s="47" t="n">
        <x:v>1009</x:v>
      </x:c>
      <x:c r="Q905" s="47" t="n">
        <x:v>0</x:v>
      </x:c>
      <x:c r="R905" s="47" t="n">
        <x:v>0</x:v>
      </x:c>
      <x:c r="S905" s="47" t="n">
        <x:v>32.23</x:v>
      </x:c>
      <x:c r="T905" s="47" t="n">
        <x:v>58.22</x:v>
      </x:c>
      <x:c r="U905" s="47" t="n">
        <x:v>31.1</x:v>
      </x:c>
      <x:c r="V905" s="47" t="n">
        <x:v>14.8</x:v>
      </x:c>
      <x:c r="W905" s="47" t="n">
        <x:v>2</x:v>
      </x:c>
      <x:c r="X905" s="47" t="n">
        <x:v>8</x:v>
      </x:c>
      <x:c r="Y905" s="41" t="n">
        <x:v>6</x:v>
      </x:c>
    </x:row>
    <x:row r="906">
      <x:c r="A906" s="38" t="str">
        <x:v>7月30日现场数据</x:v>
      </x:c>
      <x:c r="B906" s="66" t="str">
        <x:v>2026-08-02T16:56:25.351000</x:v>
      </x:c>
      <x:c r="C906" s="47" t="n">
        <x:v>301018</x:v>
      </x:c>
      <x:c r="D906" s="47" t="str"/>
      <x:c r="E906" s="47" t="str"/>
      <x:c r="F906" s="47" t="str">
        <x:v>current</x:v>
      </x:c>
      <x:c r="G906" s="47" t="n">
        <x:v>902</x:v>
      </x:c>
      <x:c r="H906" s="53" t="b">
        <x:v>1</x:v>
      </x:c>
      <x:c r="I906" s="47" t="str">
        <x:v>2682537910</x:v>
      </x:c>
      <x:c r="J906" s="47" t="n">
        <x:v>94842688</x:v>
      </x:c>
      <x:c r="K906" s="53" t="b">
        <x:v>1</x:v>
      </x:c>
      <x:c r="L906" s="53" t="b">
        <x:v>1</x:v>
      </x:c>
      <x:c r="M906" s="53" t="b">
        <x:v>1</x:v>
      </x:c>
      <x:c r="N906" s="53" t="b">
        <x:v>1</x:v>
      </x:c>
      <x:c r="O906" s="53" t="b">
        <x:v>1</x:v>
      </x:c>
      <x:c r="P906" s="47" t="n">
        <x:v>1009</x:v>
      </x:c>
      <x:c r="Q906" s="47" t="n">
        <x:v>0</x:v>
      </x:c>
      <x:c r="R906" s="47" t="n">
        <x:v>0</x:v>
      </x:c>
      <x:c r="S906" s="47" t="n">
        <x:v>32.22</x:v>
      </x:c>
      <x:c r="T906" s="47" t="n">
        <x:v>58.21</x:v>
      </x:c>
      <x:c r="U906" s="47" t="n">
        <x:v>31.1</x:v>
      </x:c>
      <x:c r="V906" s="47" t="n">
        <x:v>14.8</x:v>
      </x:c>
      <x:c r="W906" s="47" t="n">
        <x:v>2</x:v>
      </x:c>
      <x:c r="X906" s="47" t="n">
        <x:v>10</x:v>
      </x:c>
      <x:c r="Y906" s="41" t="n">
        <x:v>8</x:v>
      </x:c>
    </x:row>
    <x:row r="907">
      <x:c r="A907" s="38" t="str">
        <x:v>7月30日现场数据</x:v>
      </x:c>
      <x:c r="B907" s="66" t="str">
        <x:v>2026-08-02T17:01:26.309000</x:v>
      </x:c>
      <x:c r="C907" s="47" t="n">
        <x:v>300958</x:v>
      </x:c>
      <x:c r="D907" s="47" t="str"/>
      <x:c r="E907" s="47" t="str"/>
      <x:c r="F907" s="47" t="str">
        <x:v>current</x:v>
      </x:c>
      <x:c r="G907" s="47" t="n">
        <x:v>903</x:v>
      </x:c>
      <x:c r="H907" s="53" t="b">
        <x:v>1</x:v>
      </x:c>
      <x:c r="I907" s="47" t="str">
        <x:v>2682537910</x:v>
      </x:c>
      <x:c r="J907" s="47" t="n">
        <x:v>95143646</x:v>
      </x:c>
      <x:c r="K907" s="53" t="b">
        <x:v>1</x:v>
      </x:c>
      <x:c r="L907" s="53" t="b">
        <x:v>1</x:v>
      </x:c>
      <x:c r="M907" s="53" t="b">
        <x:v>1</x:v>
      </x:c>
      <x:c r="N907" s="53" t="b">
        <x:v>1</x:v>
      </x:c>
      <x:c r="O907" s="53" t="b">
        <x:v>1</x:v>
      </x:c>
      <x:c r="P907" s="47" t="n">
        <x:v>1009</x:v>
      </x:c>
      <x:c r="Q907" s="47" t="n">
        <x:v>0</x:v>
      </x:c>
      <x:c r="R907" s="47" t="n">
        <x:v>0</x:v>
      </x:c>
      <x:c r="S907" s="47" t="n">
        <x:v>32.28</x:v>
      </x:c>
      <x:c r="T907" s="47" t="n">
        <x:v>58.2</x:v>
      </x:c>
      <x:c r="U907" s="47" t="n">
        <x:v>31</x:v>
      </x:c>
      <x:c r="V907" s="47" t="n">
        <x:v>14.7</x:v>
      </x:c>
      <x:c r="W907" s="47" t="n">
        <x:v>3</x:v>
      </x:c>
      <x:c r="X907" s="47" t="n">
        <x:v>12</x:v>
      </x:c>
      <x:c r="Y907" s="41" t="n">
        <x:v>9</x:v>
      </x:c>
    </x:row>
    <x:row r="908">
      <x:c r="A908" s="38" t="str">
        <x:v>7月30日现场数据</x:v>
      </x:c>
      <x:c r="B908" s="66" t="str">
        <x:v>2026-08-02T17:06:27.267000</x:v>
      </x:c>
      <x:c r="C908" s="47" t="n">
        <x:v>300958</x:v>
      </x:c>
      <x:c r="D908" s="47" t="str"/>
      <x:c r="E908" s="47" t="str"/>
      <x:c r="F908" s="47" t="str">
        <x:v>current</x:v>
      </x:c>
      <x:c r="G908" s="47" t="n">
        <x:v>904</x:v>
      </x:c>
      <x:c r="H908" s="53" t="b">
        <x:v>1</x:v>
      </x:c>
      <x:c r="I908" s="47" t="str">
        <x:v>2682537910</x:v>
      </x:c>
      <x:c r="J908" s="47" t="n">
        <x:v>95444604</x:v>
      </x:c>
      <x:c r="K908" s="53" t="b">
        <x:v>1</x:v>
      </x:c>
      <x:c r="L908" s="53" t="b">
        <x:v>1</x:v>
      </x:c>
      <x:c r="M908" s="53" t="b">
        <x:v>1</x:v>
      </x:c>
      <x:c r="N908" s="53" t="b">
        <x:v>1</x:v>
      </x:c>
      <x:c r="O908" s="53" t="b">
        <x:v>1</x:v>
      </x:c>
      <x:c r="P908" s="47" t="n">
        <x:v>1008</x:v>
      </x:c>
      <x:c r="Q908" s="47" t="n">
        <x:v>0</x:v>
      </x:c>
      <x:c r="R908" s="47" t="n">
        <x:v>0</x:v>
      </x:c>
      <x:c r="S908" s="47" t="n">
        <x:v>32.29</x:v>
      </x:c>
      <x:c r="T908" s="47" t="n">
        <x:v>58.42</x:v>
      </x:c>
      <x:c r="U908" s="47" t="n">
        <x:v>31</x:v>
      </x:c>
      <x:c r="V908" s="47" t="n">
        <x:v>14.8</x:v>
      </x:c>
      <x:c r="W908" s="47" t="n">
        <x:v>2</x:v>
      </x:c>
      <x:c r="X908" s="47" t="n">
        <x:v>10</x:v>
      </x:c>
      <x:c r="Y908" s="41" t="n">
        <x:v>8</x:v>
      </x:c>
    </x:row>
    <x:row r="909">
      <x:c r="A909" s="38" t="str">
        <x:v>7月30日现场数据</x:v>
      </x:c>
      <x:c r="B909" s="66" t="str">
        <x:v>2026-08-02T17:11:28.227000</x:v>
      </x:c>
      <x:c r="C909" s="47" t="n">
        <x:v>300960</x:v>
      </x:c>
      <x:c r="D909" s="47" t="str"/>
      <x:c r="E909" s="47" t="str"/>
      <x:c r="F909" s="47" t="str">
        <x:v>current</x:v>
      </x:c>
      <x:c r="G909" s="47" t="n">
        <x:v>905</x:v>
      </x:c>
      <x:c r="H909" s="53" t="b">
        <x:v>1</x:v>
      </x:c>
      <x:c r="I909" s="47" t="str">
        <x:v>2682537910</x:v>
      </x:c>
      <x:c r="J909" s="47" t="n">
        <x:v>95745564</x:v>
      </x:c>
      <x:c r="K909" s="53" t="b">
        <x:v>1</x:v>
      </x:c>
      <x:c r="L909" s="53" t="b">
        <x:v>1</x:v>
      </x:c>
      <x:c r="M909" s="53" t="b">
        <x:v>1</x:v>
      </x:c>
      <x:c r="N909" s="53" t="b">
        <x:v>1</x:v>
      </x:c>
      <x:c r="O909" s="53" t="b">
        <x:v>1</x:v>
      </x:c>
      <x:c r="P909" s="47" t="n">
        <x:v>1009</x:v>
      </x:c>
      <x:c r="Q909" s="47" t="n">
        <x:v>0</x:v>
      </x:c>
      <x:c r="R909" s="47" t="n">
        <x:v>0</x:v>
      </x:c>
      <x:c r="S909" s="47" t="n">
        <x:v>32.26</x:v>
      </x:c>
      <x:c r="T909" s="47" t="n">
        <x:v>58.43</x:v>
      </x:c>
      <x:c r="U909" s="47" t="n">
        <x:v>31</x:v>
      </x:c>
      <x:c r="V909" s="47" t="n">
        <x:v>14.8</x:v>
      </x:c>
      <x:c r="W909" s="47" t="n">
        <x:v>3</x:v>
      </x:c>
      <x:c r="X909" s="47" t="n">
        <x:v>15</x:v>
      </x:c>
      <x:c r="Y909" s="41" t="n">
        <x:v>12</x:v>
      </x:c>
    </x:row>
    <x:row r="910">
      <x:c r="A910" s="38" t="str">
        <x:v>7月30日现场数据</x:v>
      </x:c>
      <x:c r="B910" s="66" t="str">
        <x:v>2026-08-02T17:16:29.192000</x:v>
      </x:c>
      <x:c r="C910" s="47" t="n">
        <x:v>300965</x:v>
      </x:c>
      <x:c r="D910" s="47" t="str"/>
      <x:c r="E910" s="47" t="str"/>
      <x:c r="F910" s="47" t="str">
        <x:v>current</x:v>
      </x:c>
      <x:c r="G910" s="47" t="n">
        <x:v>906</x:v>
      </x:c>
      <x:c r="H910" s="53" t="b">
        <x:v>1</x:v>
      </x:c>
      <x:c r="I910" s="47" t="str">
        <x:v>2682537910</x:v>
      </x:c>
      <x:c r="J910" s="47" t="n">
        <x:v>96046529</x:v>
      </x:c>
      <x:c r="K910" s="53" t="b">
        <x:v>1</x:v>
      </x:c>
      <x:c r="L910" s="53" t="b">
        <x:v>1</x:v>
      </x:c>
      <x:c r="M910" s="53" t="b">
        <x:v>1</x:v>
      </x:c>
      <x:c r="N910" s="53" t="b">
        <x:v>1</x:v>
      </x:c>
      <x:c r="O910" s="53" t="b">
        <x:v>1</x:v>
      </x:c>
      <x:c r="P910" s="47" t="n">
        <x:v>1009</x:v>
      </x:c>
      <x:c r="Q910" s="47" t="n">
        <x:v>0.048</x:v>
      </x:c>
      <x:c r="R910" s="47" t="n">
        <x:v>1.286</x:v>
      </x:c>
      <x:c r="S910" s="47" t="n">
        <x:v>32.23</x:v>
      </x:c>
      <x:c r="T910" s="47" t="n">
        <x:v>58.46</x:v>
      </x:c>
      <x:c r="U910" s="47" t="n">
        <x:v>30.9</x:v>
      </x:c>
      <x:c r="V910" s="47" t="n">
        <x:v>14.7</x:v>
      </x:c>
      <x:c r="W910" s="47" t="n">
        <x:v>3</x:v>
      </x:c>
      <x:c r="X910" s="47" t="n">
        <x:v>15</x:v>
      </x:c>
      <x:c r="Y910" s="41" t="n">
        <x:v>12</x:v>
      </x:c>
    </x:row>
    <x:row r="911">
      <x:c r="A911" s="38" t="str">
        <x:v>7月30日现场数据</x:v>
      </x:c>
      <x:c r="B911" s="66" t="str">
        <x:v>2026-08-02T17:21:30.158000</x:v>
      </x:c>
      <x:c r="C911" s="47" t="n">
        <x:v>300966</x:v>
      </x:c>
      <x:c r="D911" s="47" t="str"/>
      <x:c r="E911" s="47" t="str"/>
      <x:c r="F911" s="47" t="str">
        <x:v>current</x:v>
      </x:c>
      <x:c r="G911" s="47" t="n">
        <x:v>907</x:v>
      </x:c>
      <x:c r="H911" s="53" t="b">
        <x:v>1</x:v>
      </x:c>
      <x:c r="I911" s="47" t="str">
        <x:v>2682537910</x:v>
      </x:c>
      <x:c r="J911" s="47" t="n">
        <x:v>96347495</x:v>
      </x:c>
      <x:c r="K911" s="53" t="b">
        <x:v>1</x:v>
      </x:c>
      <x:c r="L911" s="53" t="b">
        <x:v>1</x:v>
      </x:c>
      <x:c r="M911" s="53" t="b">
        <x:v>1</x:v>
      </x:c>
      <x:c r="N911" s="53" t="b">
        <x:v>1</x:v>
      </x:c>
      <x:c r="O911" s="53" t="b">
        <x:v>1</x:v>
      </x:c>
      <x:c r="P911" s="47" t="n">
        <x:v>1009</x:v>
      </x:c>
      <x:c r="Q911" s="47" t="n">
        <x:v>0.038</x:v>
      </x:c>
      <x:c r="R911" s="47" t="n">
        <x:v>1.022</x:v>
      </x:c>
      <x:c r="S911" s="47" t="n">
        <x:v>32.13</x:v>
      </x:c>
      <x:c r="T911" s="47" t="n">
        <x:v>58.53</x:v>
      </x:c>
      <x:c r="U911" s="47" t="n">
        <x:v>30.8</x:v>
      </x:c>
      <x:c r="V911" s="47" t="n">
        <x:v>14.8</x:v>
      </x:c>
      <x:c r="W911" s="47" t="n">
        <x:v>2</x:v>
      </x:c>
      <x:c r="X911" s="47" t="n">
        <x:v>12</x:v>
      </x:c>
      <x:c r="Y911" s="41" t="n">
        <x:v>10</x:v>
      </x:c>
    </x:row>
    <x:row r="912">
      <x:c r="A912" s="38" t="str">
        <x:v>7月30日现场数据</x:v>
      </x:c>
      <x:c r="B912" s="66" t="str">
        <x:v>2026-08-02T17:26:31.126000</x:v>
      </x:c>
      <x:c r="C912" s="47" t="n">
        <x:v>300968</x:v>
      </x:c>
      <x:c r="D912" s="47" t="str"/>
      <x:c r="E912" s="47" t="str"/>
      <x:c r="F912" s="47" t="str">
        <x:v>current</x:v>
      </x:c>
      <x:c r="G912" s="47" t="n">
        <x:v>908</x:v>
      </x:c>
      <x:c r="H912" s="53" t="b">
        <x:v>1</x:v>
      </x:c>
      <x:c r="I912" s="47" t="str">
        <x:v>2682537910</x:v>
      </x:c>
      <x:c r="J912" s="47" t="n">
        <x:v>96648463</x:v>
      </x:c>
      <x:c r="K912" s="53" t="b">
        <x:v>1</x:v>
      </x:c>
      <x:c r="L912" s="53" t="b">
        <x:v>1</x:v>
      </x:c>
      <x:c r="M912" s="53" t="b">
        <x:v>1</x:v>
      </x:c>
      <x:c r="N912" s="53" t="b">
        <x:v>1</x:v>
      </x:c>
      <x:c r="O912" s="53" t="b">
        <x:v>1</x:v>
      </x:c>
      <x:c r="P912" s="47" t="n">
        <x:v>1009</x:v>
      </x:c>
      <x:c r="Q912" s="47" t="n">
        <x:v>0.143</x:v>
      </x:c>
      <x:c r="R912" s="47" t="n">
        <x:v>3.857</x:v>
      </x:c>
      <x:c r="S912" s="47" t="n">
        <x:v>32.11</x:v>
      </x:c>
      <x:c r="T912" s="47" t="n">
        <x:v>58.56</x:v>
      </x:c>
      <x:c r="U912" s="47" t="n">
        <x:v>30.7</x:v>
      </x:c>
      <x:c r="V912" s="47" t="n">
        <x:v>14.8</x:v>
      </x:c>
      <x:c r="W912" s="47" t="n">
        <x:v>2</x:v>
      </x:c>
      <x:c r="X912" s="47" t="n">
        <x:v>9</x:v>
      </x:c>
      <x:c r="Y912" s="41" t="n">
        <x:v>7</x:v>
      </x:c>
    </x:row>
    <x:row r="913">
      <x:c r="A913" s="38" t="str">
        <x:v>7月30日现场数据</x:v>
      </x:c>
      <x:c r="B913" s="66" t="str">
        <x:v>2026-08-02T17:31:32.094000</x:v>
      </x:c>
      <x:c r="C913" s="47" t="n">
        <x:v>300968</x:v>
      </x:c>
      <x:c r="D913" s="47" t="str"/>
      <x:c r="E913" s="47" t="str"/>
      <x:c r="F913" s="47" t="str">
        <x:v>current</x:v>
      </x:c>
      <x:c r="G913" s="47" t="n">
        <x:v>909</x:v>
      </x:c>
      <x:c r="H913" s="53" t="b">
        <x:v>1</x:v>
      </x:c>
      <x:c r="I913" s="47" t="str">
        <x:v>2682537910</x:v>
      </x:c>
      <x:c r="J913" s="47" t="n">
        <x:v>96949431</x:v>
      </x:c>
      <x:c r="K913" s="53" t="b">
        <x:v>1</x:v>
      </x:c>
      <x:c r="L913" s="53" t="b">
        <x:v>1</x:v>
      </x:c>
      <x:c r="M913" s="53" t="b">
        <x:v>1</x:v>
      </x:c>
      <x:c r="N913" s="53" t="b">
        <x:v>1</x:v>
      </x:c>
      <x:c r="O913" s="53" t="b">
        <x:v>1</x:v>
      </x:c>
      <x:c r="P913" s="47" t="n">
        <x:v>1009</x:v>
      </x:c>
      <x:c r="Q913" s="47" t="n">
        <x:v>0</x:v>
      </x:c>
      <x:c r="R913" s="47" t="n">
        <x:v>0</x:v>
      </x:c>
      <x:c r="S913" s="47" t="n">
        <x:v>32.06</x:v>
      </x:c>
      <x:c r="T913" s="47" t="n">
        <x:v>58.61</x:v>
      </x:c>
      <x:c r="U913" s="47" t="n">
        <x:v>30.6</x:v>
      </x:c>
      <x:c r="V913" s="47" t="n">
        <x:v>14.8</x:v>
      </x:c>
      <x:c r="W913" s="47" t="n">
        <x:v>1</x:v>
      </x:c>
      <x:c r="X913" s="47" t="n">
        <x:v>7</x:v>
      </x:c>
      <x:c r="Y913" s="41" t="n">
        <x:v>6</x:v>
      </x:c>
    </x:row>
    <x:row r="914">
      <x:c r="A914" s="38" t="str">
        <x:v>7月30日现场数据</x:v>
      </x:c>
      <x:c r="B914" s="66" t="str">
        <x:v>2026-08-02T17:36:33.068000</x:v>
      </x:c>
      <x:c r="C914" s="47" t="n">
        <x:v>300974</x:v>
      </x:c>
      <x:c r="D914" s="47" t="str"/>
      <x:c r="E914" s="47" t="str"/>
      <x:c r="F914" s="47" t="str">
        <x:v>current</x:v>
      </x:c>
      <x:c r="G914" s="47" t="n">
        <x:v>910</x:v>
      </x:c>
      <x:c r="H914" s="53" t="b">
        <x:v>1</x:v>
      </x:c>
      <x:c r="I914" s="47" t="str">
        <x:v>2682537910</x:v>
      </x:c>
      <x:c r="J914" s="47" t="n">
        <x:v>97250405</x:v>
      </x:c>
      <x:c r="K914" s="53" t="b">
        <x:v>1</x:v>
      </x:c>
      <x:c r="L914" s="53" t="b">
        <x:v>1</x:v>
      </x:c>
      <x:c r="M914" s="53" t="b">
        <x:v>1</x:v>
      </x:c>
      <x:c r="N914" s="53" t="b">
        <x:v>1</x:v>
      </x:c>
      <x:c r="O914" s="53" t="b">
        <x:v>1</x:v>
      </x:c>
      <x:c r="P914" s="47" t="n">
        <x:v>1009</x:v>
      </x:c>
      <x:c r="Q914" s="47" t="n">
        <x:v>0</x:v>
      </x:c>
      <x:c r="R914" s="47" t="n">
        <x:v>0</x:v>
      </x:c>
      <x:c r="S914" s="47" t="n">
        <x:v>32.07</x:v>
      </x:c>
      <x:c r="T914" s="47" t="n">
        <x:v>58.63</x:v>
      </x:c>
      <x:c r="U914" s="47" t="n">
        <x:v>30.5</x:v>
      </x:c>
      <x:c r="V914" s="47" t="n">
        <x:v>14.8</x:v>
      </x:c>
      <x:c r="W914" s="47" t="n">
        <x:v>1</x:v>
      </x:c>
      <x:c r="X914" s="47" t="n">
        <x:v>6</x:v>
      </x:c>
      <x:c r="Y914" s="41" t="n">
        <x:v>5</x:v>
      </x:c>
    </x:row>
    <x:row r="915">
      <x:c r="A915" s="38" t="str">
        <x:v>7月30日现场数据</x:v>
      </x:c>
      <x:c r="B915" s="66" t="str">
        <x:v>2026-08-02T17:41:34.044000</x:v>
      </x:c>
      <x:c r="C915" s="47" t="n">
        <x:v>300976</x:v>
      </x:c>
      <x:c r="D915" s="47" t="str"/>
      <x:c r="E915" s="47" t="str"/>
      <x:c r="F915" s="47" t="str">
        <x:v>current</x:v>
      </x:c>
      <x:c r="G915" s="47" t="n">
        <x:v>911</x:v>
      </x:c>
      <x:c r="H915" s="53" t="b">
        <x:v>1</x:v>
      </x:c>
      <x:c r="I915" s="47" t="str">
        <x:v>2682537910</x:v>
      </x:c>
      <x:c r="J915" s="47" t="n">
        <x:v>97551381</x:v>
      </x:c>
      <x:c r="K915" s="53" t="b">
        <x:v>1</x:v>
      </x:c>
      <x:c r="L915" s="53" t="b">
        <x:v>1</x:v>
      </x:c>
      <x:c r="M915" s="53" t="b">
        <x:v>1</x:v>
      </x:c>
      <x:c r="N915" s="53" t="b">
        <x:v>1</x:v>
      </x:c>
      <x:c r="O915" s="53" t="b">
        <x:v>1</x:v>
      </x:c>
      <x:c r="P915" s="47" t="n">
        <x:v>1009</x:v>
      </x:c>
      <x:c r="Q915" s="47" t="n">
        <x:v>0</x:v>
      </x:c>
      <x:c r="R915" s="47" t="n">
        <x:v>0</x:v>
      </x:c>
      <x:c r="S915" s="47" t="n">
        <x:v>32.09</x:v>
      </x:c>
      <x:c r="T915" s="47" t="n">
        <x:v>58.74</x:v>
      </x:c>
      <x:c r="U915" s="47" t="n">
        <x:v>30.5</x:v>
      </x:c>
      <x:c r="V915" s="47" t="n">
        <x:v>14.8</x:v>
      </x:c>
      <x:c r="W915" s="47" t="n">
        <x:v>1</x:v>
      </x:c>
      <x:c r="X915" s="47" t="n">
        <x:v>5</x:v>
      </x:c>
      <x:c r="Y915" s="41" t="n">
        <x:v>4</x:v>
      </x:c>
    </x:row>
    <x:row r="916">
      <x:c r="A916" s="38" t="str">
        <x:v>7月30日现场数据</x:v>
      </x:c>
      <x:c r="B916" s="66" t="str">
        <x:v>2026-08-02T17:46:35.018000</x:v>
      </x:c>
      <x:c r="C916" s="47" t="n">
        <x:v>300974</x:v>
      </x:c>
      <x:c r="D916" s="47" t="str"/>
      <x:c r="E916" s="47" t="str"/>
      <x:c r="F916" s="47" t="str">
        <x:v>current</x:v>
      </x:c>
      <x:c r="G916" s="47" t="n">
        <x:v>912</x:v>
      </x:c>
      <x:c r="H916" s="53" t="b">
        <x:v>1</x:v>
      </x:c>
      <x:c r="I916" s="47" t="str">
        <x:v>2682537910</x:v>
      </x:c>
      <x:c r="J916" s="47" t="n">
        <x:v>97852355</x:v>
      </x:c>
      <x:c r="K916" s="53" t="b">
        <x:v>1</x:v>
      </x:c>
      <x:c r="L916" s="53" t="b">
        <x:v>1</x:v>
      </x:c>
      <x:c r="M916" s="53" t="b">
        <x:v>1</x:v>
      </x:c>
      <x:c r="N916" s="53" t="b">
        <x:v>1</x:v>
      </x:c>
      <x:c r="O916" s="53" t="b">
        <x:v>1</x:v>
      </x:c>
      <x:c r="P916" s="47" t="n">
        <x:v>1008</x:v>
      </x:c>
      <x:c r="Q916" s="47" t="n">
        <x:v>0</x:v>
      </x:c>
      <x:c r="R916" s="47" t="n">
        <x:v>0</x:v>
      </x:c>
      <x:c r="S916" s="47" t="n">
        <x:v>32.06</x:v>
      </x:c>
      <x:c r="T916" s="47" t="n">
        <x:v>58.83</x:v>
      </x:c>
      <x:c r="U916" s="47" t="n">
        <x:v>30.6</x:v>
      </x:c>
      <x:c r="V916" s="47" t="n">
        <x:v>14.7</x:v>
      </x:c>
      <x:c r="W916" s="47" t="n">
        <x:v>1</x:v>
      </x:c>
      <x:c r="X916" s="47" t="n">
        <x:v>4</x:v>
      </x:c>
      <x:c r="Y916" s="41" t="n">
        <x:v>3</x:v>
      </x:c>
    </x:row>
    <x:row r="917">
      <x:c r="A917" s="38" t="str">
        <x:v>7月30日现场数据</x:v>
      </x:c>
      <x:c r="B917" s="66" t="str">
        <x:v>2026-08-02T17:51:35.995000</x:v>
      </x:c>
      <x:c r="C917" s="47" t="n">
        <x:v>300977</x:v>
      </x:c>
      <x:c r="D917" s="47" t="str"/>
      <x:c r="E917" s="47" t="str"/>
      <x:c r="F917" s="47" t="str">
        <x:v>current</x:v>
      </x:c>
      <x:c r="G917" s="47" t="n">
        <x:v>913</x:v>
      </x:c>
      <x:c r="H917" s="53" t="b">
        <x:v>1</x:v>
      </x:c>
      <x:c r="I917" s="47" t="str">
        <x:v>2682537910</x:v>
      </x:c>
      <x:c r="J917" s="47" t="n">
        <x:v>98153332</x:v>
      </x:c>
      <x:c r="K917" s="53" t="b">
        <x:v>1</x:v>
      </x:c>
      <x:c r="L917" s="53" t="b">
        <x:v>1</x:v>
      </x:c>
      <x:c r="M917" s="53" t="b">
        <x:v>1</x:v>
      </x:c>
      <x:c r="N917" s="53" t="b">
        <x:v>1</x:v>
      </x:c>
      <x:c r="O917" s="53" t="b">
        <x:v>1</x:v>
      </x:c>
      <x:c r="P917" s="47" t="n">
        <x:v>1008</x:v>
      </x:c>
      <x:c r="Q917" s="47" t="n">
        <x:v>0</x:v>
      </x:c>
      <x:c r="R917" s="47" t="n">
        <x:v>0</x:v>
      </x:c>
      <x:c r="S917" s="47" t="n">
        <x:v>31.96</x:v>
      </x:c>
      <x:c r="T917" s="47" t="n">
        <x:v>58.86</x:v>
      </x:c>
      <x:c r="U917" s="47" t="n">
        <x:v>30.6</x:v>
      </x:c>
      <x:c r="V917" s="47" t="n">
        <x:v>14.7</x:v>
      </x:c>
      <x:c r="W917" s="47" t="n">
        <x:v>1</x:v>
      </x:c>
      <x:c r="X917" s="47" t="n">
        <x:v>4</x:v>
      </x:c>
      <x:c r="Y917" s="41" t="n">
        <x:v>3</x:v>
      </x:c>
    </x:row>
    <x:row r="918">
      <x:c r="A918" s="38" t="str">
        <x:v>7月30日现场数据</x:v>
      </x:c>
      <x:c r="B918" s="66" t="str">
        <x:v>2026-08-02T17:56:36.974000</x:v>
      </x:c>
      <x:c r="C918" s="47" t="n">
        <x:v>300979</x:v>
      </x:c>
      <x:c r="D918" s="47" t="str"/>
      <x:c r="E918" s="47" t="str"/>
      <x:c r="F918" s="47" t="str">
        <x:v>current</x:v>
      </x:c>
      <x:c r="G918" s="47" t="n">
        <x:v>914</x:v>
      </x:c>
      <x:c r="H918" s="53" t="b">
        <x:v>1</x:v>
      </x:c>
      <x:c r="I918" s="47" t="str">
        <x:v>2682537910</x:v>
      </x:c>
      <x:c r="J918" s="47" t="n">
        <x:v>98454311</x:v>
      </x:c>
      <x:c r="K918" s="53" t="b">
        <x:v>1</x:v>
      </x:c>
      <x:c r="L918" s="53" t="b">
        <x:v>1</x:v>
      </x:c>
      <x:c r="M918" s="53" t="b">
        <x:v>1</x:v>
      </x:c>
      <x:c r="N918" s="53" t="b">
        <x:v>1</x:v>
      </x:c>
      <x:c r="O918" s="53" t="b">
        <x:v>1</x:v>
      </x:c>
      <x:c r="P918" s="47" t="n">
        <x:v>1008</x:v>
      </x:c>
      <x:c r="Q918" s="47" t="n">
        <x:v>0</x:v>
      </x:c>
      <x:c r="R918" s="47" t="n">
        <x:v>0</x:v>
      </x:c>
      <x:c r="S918" s="47" t="n">
        <x:v>31.92</x:v>
      </x:c>
      <x:c r="T918" s="47" t="n">
        <x:v>58.9</x:v>
      </x:c>
      <x:c r="U918" s="47" t="n">
        <x:v>30.7</x:v>
      </x:c>
      <x:c r="V918" s="47" t="n">
        <x:v>14.7</x:v>
      </x:c>
      <x:c r="W918" s="47" t="n">
        <x:v>1</x:v>
      </x:c>
      <x:c r="X918" s="47" t="n">
        <x:v>4</x:v>
      </x:c>
      <x:c r="Y918" s="41" t="n">
        <x:v>3</x:v>
      </x:c>
    </x:row>
    <x:row r="919">
      <x:c r="A919" s="38" t="str">
        <x:v>7月30日现场数据</x:v>
      </x:c>
      <x:c r="B919" s="66" t="str">
        <x:v>2026-08-02T18:01:37.957000</x:v>
      </x:c>
      <x:c r="C919" s="47" t="n">
        <x:v>300983</x:v>
      </x:c>
      <x:c r="D919" s="47" t="str"/>
      <x:c r="E919" s="47" t="str"/>
      <x:c r="F919" s="47" t="str">
        <x:v>current</x:v>
      </x:c>
      <x:c r="G919" s="47" t="n">
        <x:v>915</x:v>
      </x:c>
      <x:c r="H919" s="53" t="b">
        <x:v>1</x:v>
      </x:c>
      <x:c r="I919" s="47" t="str">
        <x:v>2682537910</x:v>
      </x:c>
      <x:c r="J919" s="47" t="n">
        <x:v>98755294</x:v>
      </x:c>
      <x:c r="K919" s="53" t="b">
        <x:v>1</x:v>
      </x:c>
      <x:c r="L919" s="53" t="b">
        <x:v>1</x:v>
      </x:c>
      <x:c r="M919" s="53" t="b">
        <x:v>1</x:v>
      </x:c>
      <x:c r="N919" s="53" t="b">
        <x:v>1</x:v>
      </x:c>
      <x:c r="O919" s="53" t="b">
        <x:v>1</x:v>
      </x:c>
      <x:c r="P919" s="47" t="n">
        <x:v>1007</x:v>
      </x:c>
      <x:c r="Q919" s="47" t="n">
        <x:v>0</x:v>
      </x:c>
      <x:c r="R919" s="47" t="n">
        <x:v>0</x:v>
      </x:c>
      <x:c r="S919" s="47" t="n">
        <x:v>31.91</x:v>
      </x:c>
      <x:c r="T919" s="47" t="n">
        <x:v>58.9</x:v>
      </x:c>
      <x:c r="U919" s="47" t="n">
        <x:v>30.7</x:v>
      </x:c>
      <x:c r="V919" s="47" t="n">
        <x:v>14.7</x:v>
      </x:c>
      <x:c r="W919" s="47" t="n">
        <x:v>1</x:v>
      </x:c>
      <x:c r="X919" s="47" t="n">
        <x:v>3</x:v>
      </x:c>
      <x:c r="Y919" s="41" t="n">
        <x:v>2</x:v>
      </x:c>
    </x:row>
    <x:row r="920">
      <x:c r="A920" s="38" t="str">
        <x:v>7月30日现场数据</x:v>
      </x:c>
      <x:c r="B920" s="66" t="str">
        <x:v>2026-08-02T18:06:38.937000</x:v>
      </x:c>
      <x:c r="C920" s="47" t="n">
        <x:v>300980</x:v>
      </x:c>
      <x:c r="D920" s="47" t="str"/>
      <x:c r="E920" s="47" t="str"/>
      <x:c r="F920" s="47" t="str">
        <x:v>current</x:v>
      </x:c>
      <x:c r="G920" s="47" t="n">
        <x:v>916</x:v>
      </x:c>
      <x:c r="H920" s="53" t="b">
        <x:v>1</x:v>
      </x:c>
      <x:c r="I920" s="47" t="str">
        <x:v>2682537910</x:v>
      </x:c>
      <x:c r="J920" s="47" t="n">
        <x:v>99056274</x:v>
      </x:c>
      <x:c r="K920" s="53" t="b">
        <x:v>1</x:v>
      </x:c>
      <x:c r="L920" s="53" t="b">
        <x:v>1</x:v>
      </x:c>
      <x:c r="M920" s="53" t="b">
        <x:v>1</x:v>
      </x:c>
      <x:c r="N920" s="53" t="b">
        <x:v>1</x:v>
      </x:c>
      <x:c r="O920" s="53" t="b">
        <x:v>1</x:v>
      </x:c>
      <x:c r="P920" s="47" t="n">
        <x:v>1008</x:v>
      </x:c>
      <x:c r="Q920" s="47" t="n">
        <x:v>0</x:v>
      </x:c>
      <x:c r="R920" s="47" t="n">
        <x:v>0</x:v>
      </x:c>
      <x:c r="S920" s="47" t="n">
        <x:v>31.92</x:v>
      </x:c>
      <x:c r="T920" s="47" t="n">
        <x:v>58.97</x:v>
      </x:c>
      <x:c r="U920" s="47" t="n">
        <x:v>30.7</x:v>
      </x:c>
      <x:c r="V920" s="47" t="n">
        <x:v>14.7</x:v>
      </x:c>
      <x:c r="W920" s="47" t="n">
        <x:v>1</x:v>
      </x:c>
      <x:c r="X920" s="47" t="n">
        <x:v>4</x:v>
      </x:c>
      <x:c r="Y920" s="41" t="n">
        <x:v>3</x:v>
      </x:c>
    </x:row>
    <x:row r="921">
      <x:c r="A921" s="38" t="str">
        <x:v>7月30日现场数据</x:v>
      </x:c>
      <x:c r="B921" s="66" t="str">
        <x:v>2026-08-02T18:11:39.920000</x:v>
      </x:c>
      <x:c r="C921" s="47" t="n">
        <x:v>300983</x:v>
      </x:c>
      <x:c r="D921" s="47" t="str"/>
      <x:c r="E921" s="47" t="str"/>
      <x:c r="F921" s="47" t="str">
        <x:v>current</x:v>
      </x:c>
      <x:c r="G921" s="47" t="n">
        <x:v>917</x:v>
      </x:c>
      <x:c r="H921" s="53" t="b">
        <x:v>1</x:v>
      </x:c>
      <x:c r="I921" s="47" t="str">
        <x:v>2682537910</x:v>
      </x:c>
      <x:c r="J921" s="47" t="n">
        <x:v>99357257</x:v>
      </x:c>
      <x:c r="K921" s="53" t="b">
        <x:v>1</x:v>
      </x:c>
      <x:c r="L921" s="53" t="b">
        <x:v>1</x:v>
      </x:c>
      <x:c r="M921" s="53" t="b">
        <x:v>1</x:v>
      </x:c>
      <x:c r="N921" s="53" t="b">
        <x:v>1</x:v>
      </x:c>
      <x:c r="O921" s="53" t="b">
        <x:v>1</x:v>
      </x:c>
      <x:c r="P921" s="47" t="n">
        <x:v>1008</x:v>
      </x:c>
      <x:c r="Q921" s="47" t="n">
        <x:v>0</x:v>
      </x:c>
      <x:c r="R921" s="47" t="n">
        <x:v>0</x:v>
      </x:c>
      <x:c r="S921" s="47" t="n">
        <x:v>31.93</x:v>
      </x:c>
      <x:c r="T921" s="47" t="n">
        <x:v>59.08</x:v>
      </x:c>
      <x:c r="U921" s="47" t="n">
        <x:v>30.7</x:v>
      </x:c>
      <x:c r="V921" s="47" t="n">
        <x:v>14.7</x:v>
      </x:c>
      <x:c r="W921" s="47" t="n">
        <x:v>1</x:v>
      </x:c>
      <x:c r="X921" s="47" t="n">
        <x:v>6</x:v>
      </x:c>
      <x:c r="Y921" s="41" t="n">
        <x:v>5</x:v>
      </x:c>
    </x:row>
    <x:row r="922">
      <x:c r="A922" s="38" t="str">
        <x:v>7月30日现场数据</x:v>
      </x:c>
      <x:c r="B922" s="66" t="str">
        <x:v>2026-08-02T18:16:40.943000</x:v>
      </x:c>
      <x:c r="C922" s="47" t="n">
        <x:v>301023</x:v>
      </x:c>
      <x:c r="D922" s="47" t="str"/>
      <x:c r="E922" s="47" t="str"/>
      <x:c r="F922" s="47" t="str">
        <x:v>current</x:v>
      </x:c>
      <x:c r="G922" s="47" t="n">
        <x:v>918</x:v>
      </x:c>
      <x:c r="H922" s="53" t="b">
        <x:v>1</x:v>
      </x:c>
      <x:c r="I922" s="47" t="str">
        <x:v>2682537910</x:v>
      </x:c>
      <x:c r="J922" s="47" t="n">
        <x:v>99658280</x:v>
      </x:c>
      <x:c r="K922" s="53" t="b">
        <x:v>1</x:v>
      </x:c>
      <x:c r="L922" s="53" t="b">
        <x:v>1</x:v>
      </x:c>
      <x:c r="M922" s="53" t="b">
        <x:v>1</x:v>
      </x:c>
      <x:c r="N922" s="53" t="b">
        <x:v>1</x:v>
      </x:c>
      <x:c r="O922" s="53" t="b">
        <x:v>1</x:v>
      </x:c>
      <x:c r="P922" s="47" t="n">
        <x:v>1008</x:v>
      </x:c>
      <x:c r="Q922" s="47" t="n">
        <x:v>0</x:v>
      </x:c>
      <x:c r="R922" s="47" t="n">
        <x:v>0</x:v>
      </x:c>
      <x:c r="S922" s="47" t="n">
        <x:v>31.9</x:v>
      </x:c>
      <x:c r="T922" s="47" t="n">
        <x:v>59.14</x:v>
      </x:c>
      <x:c r="U922" s="47" t="n">
        <x:v>30.7</x:v>
      </x:c>
      <x:c r="V922" s="47" t="n">
        <x:v>14.7</x:v>
      </x:c>
      <x:c r="W922" s="47" t="n">
        <x:v>1</x:v>
      </x:c>
      <x:c r="X922" s="47" t="n">
        <x:v>6</x:v>
      </x:c>
      <x:c r="Y922" s="41" t="n">
        <x:v>5</x:v>
      </x:c>
    </x:row>
    <x:row r="923">
      <x:c r="A923" s="38" t="str">
        <x:v>7月30日现场数据</x:v>
      </x:c>
      <x:c r="B923" s="66" t="str">
        <x:v>2026-08-02T18:21:41.903000</x:v>
      </x:c>
      <x:c r="C923" s="47" t="n">
        <x:v>300960</x:v>
      </x:c>
      <x:c r="D923" s="47" t="str"/>
      <x:c r="E923" s="47" t="str"/>
      <x:c r="F923" s="47" t="str">
        <x:v>current</x:v>
      </x:c>
      <x:c r="G923" s="47" t="n">
        <x:v>919</x:v>
      </x:c>
      <x:c r="H923" s="53" t="b">
        <x:v>1</x:v>
      </x:c>
      <x:c r="I923" s="47" t="str">
        <x:v>2682537910</x:v>
      </x:c>
      <x:c r="J923" s="47" t="n">
        <x:v>99959240</x:v>
      </x:c>
      <x:c r="K923" s="53" t="b">
        <x:v>1</x:v>
      </x:c>
      <x:c r="L923" s="53" t="b">
        <x:v>1</x:v>
      </x:c>
      <x:c r="M923" s="53" t="b">
        <x:v>1</x:v>
      </x:c>
      <x:c r="N923" s="53" t="b">
        <x:v>1</x:v>
      </x:c>
      <x:c r="O923" s="53" t="b">
        <x:v>1</x:v>
      </x:c>
      <x:c r="P923" s="47" t="n">
        <x:v>1008</x:v>
      </x:c>
      <x:c r="Q923" s="47" t="n">
        <x:v>0.01</x:v>
      </x:c>
      <x:c r="R923" s="47" t="n">
        <x:v>0.264</x:v>
      </x:c>
      <x:c r="S923" s="47" t="n">
        <x:v>31.83</x:v>
      </x:c>
      <x:c r="T923" s="47" t="n">
        <x:v>59.21</x:v>
      </x:c>
      <x:c r="U923" s="47" t="n">
        <x:v>30.7</x:v>
      </x:c>
      <x:c r="V923" s="47" t="n">
        <x:v>14.6</x:v>
      </x:c>
      <x:c r="W923" s="47" t="n">
        <x:v>1</x:v>
      </x:c>
      <x:c r="X923" s="47" t="n">
        <x:v>3</x:v>
      </x:c>
      <x:c r="Y923" s="41" t="n">
        <x:v>2</x:v>
      </x:c>
    </x:row>
    <x:row r="924">
      <x:c r="A924" s="38" t="str">
        <x:v>7月30日现场数据</x:v>
      </x:c>
      <x:c r="B924" s="66" t="str">
        <x:v>2026-08-02T18:26:42.864000</x:v>
      </x:c>
      <x:c r="C924" s="47" t="n">
        <x:v>300961</x:v>
      </x:c>
      <x:c r="D924" s="47" t="str"/>
      <x:c r="E924" s="47" t="str"/>
      <x:c r="F924" s="47" t="str">
        <x:v>current</x:v>
      </x:c>
      <x:c r="G924" s="47" t="n">
        <x:v>920</x:v>
      </x:c>
      <x:c r="H924" s="53" t="b">
        <x:v>1</x:v>
      </x:c>
      <x:c r="I924" s="47" t="str">
        <x:v>2682537910</x:v>
      </x:c>
      <x:c r="J924" s="47" t="n">
        <x:v>100260201</x:v>
      </x:c>
      <x:c r="K924" s="53" t="b">
        <x:v>1</x:v>
      </x:c>
      <x:c r="L924" s="53" t="b">
        <x:v>1</x:v>
      </x:c>
      <x:c r="M924" s="53" t="b">
        <x:v>1</x:v>
      </x:c>
      <x:c r="N924" s="53" t="b">
        <x:v>1</x:v>
      </x:c>
      <x:c r="O924" s="53" t="b">
        <x:v>1</x:v>
      </x:c>
      <x:c r="P924" s="47" t="n">
        <x:v>1008</x:v>
      </x:c>
      <x:c r="Q924" s="47" t="n">
        <x:v>0</x:v>
      </x:c>
      <x:c r="R924" s="47" t="n">
        <x:v>0</x:v>
      </x:c>
      <x:c r="S924" s="47" t="n">
        <x:v>31.74</x:v>
      </x:c>
      <x:c r="T924" s="47" t="n">
        <x:v>59.2</x:v>
      </x:c>
      <x:c r="U924" s="47" t="n">
        <x:v>30.7</x:v>
      </x:c>
      <x:c r="V924" s="47" t="n">
        <x:v>14.7</x:v>
      </x:c>
      <x:c r="W924" s="47" t="n">
        <x:v>0</x:v>
      </x:c>
      <x:c r="X924" s="47" t="n">
        <x:v>2</x:v>
      </x:c>
      <x:c r="Y924" s="41" t="n">
        <x:v>2</x:v>
      </x:c>
    </x:row>
    <x:row r="925">
      <x:c r="A925" s="38" t="str">
        <x:v>7月30日现场数据</x:v>
      </x:c>
      <x:c r="B925" s="66" t="str">
        <x:v>2026-08-02T18:31:43.832000</x:v>
      </x:c>
      <x:c r="C925" s="47" t="n">
        <x:v>300968</x:v>
      </x:c>
      <x:c r="D925" s="47" t="str"/>
      <x:c r="E925" s="47" t="str"/>
      <x:c r="F925" s="47" t="str">
        <x:v>current</x:v>
      </x:c>
      <x:c r="G925" s="47" t="n">
        <x:v>921</x:v>
      </x:c>
      <x:c r="H925" s="53" t="b">
        <x:v>1</x:v>
      </x:c>
      <x:c r="I925" s="47" t="str">
        <x:v>2682537910</x:v>
      </x:c>
      <x:c r="J925" s="47" t="n">
        <x:v>100561169</x:v>
      </x:c>
      <x:c r="K925" s="53" t="b">
        <x:v>1</x:v>
      </x:c>
      <x:c r="L925" s="53" t="b">
        <x:v>1</x:v>
      </x:c>
      <x:c r="M925" s="53" t="b">
        <x:v>1</x:v>
      </x:c>
      <x:c r="N925" s="53" t="b">
        <x:v>1</x:v>
      </x:c>
      <x:c r="O925" s="53" t="b">
        <x:v>1</x:v>
      </x:c>
      <x:c r="P925" s="47" t="n">
        <x:v>1008</x:v>
      </x:c>
      <x:c r="Q925" s="47" t="n">
        <x:v>0</x:v>
      </x:c>
      <x:c r="R925" s="47" t="n">
        <x:v>0</x:v>
      </x:c>
      <x:c r="S925" s="47" t="n">
        <x:v>31.61</x:v>
      </x:c>
      <x:c r="T925" s="47" t="n">
        <x:v>59.25</x:v>
      </x:c>
      <x:c r="U925" s="47" t="n">
        <x:v>30.7</x:v>
      </x:c>
      <x:c r="V925" s="47" t="n">
        <x:v>14.7</x:v>
      </x:c>
      <x:c r="W925" s="47" t="n">
        <x:v>0</x:v>
      </x:c>
      <x:c r="X925" s="47" t="n">
        <x:v>1</x:v>
      </x:c>
      <x:c r="Y925" s="41" t="n">
        <x:v>1</x:v>
      </x:c>
    </x:row>
    <x:row r="926">
      <x:c r="A926" s="38" t="str">
        <x:v>7月30日现场数据</x:v>
      </x:c>
      <x:c r="B926" s="66" t="str">
        <x:v>2026-08-02T18:36:44.800000</x:v>
      </x:c>
      <x:c r="C926" s="47" t="n">
        <x:v>300968</x:v>
      </x:c>
      <x:c r="D926" s="47" t="str"/>
      <x:c r="E926" s="47" t="str"/>
      <x:c r="F926" s="47" t="str">
        <x:v>current</x:v>
      </x:c>
      <x:c r="G926" s="47" t="n">
        <x:v>922</x:v>
      </x:c>
      <x:c r="H926" s="53" t="b">
        <x:v>1</x:v>
      </x:c>
      <x:c r="I926" s="47" t="str">
        <x:v>2682537910</x:v>
      </x:c>
      <x:c r="J926" s="47" t="n">
        <x:v>100862137</x:v>
      </x:c>
      <x:c r="K926" s="53" t="b">
        <x:v>1</x:v>
      </x:c>
      <x:c r="L926" s="53" t="b">
        <x:v>1</x:v>
      </x:c>
      <x:c r="M926" s="53" t="b">
        <x:v>1</x:v>
      </x:c>
      <x:c r="N926" s="53" t="b">
        <x:v>1</x:v>
      </x:c>
      <x:c r="O926" s="53" t="b">
        <x:v>1</x:v>
      </x:c>
      <x:c r="P926" s="47" t="n">
        <x:v>1008</x:v>
      </x:c>
      <x:c r="Q926" s="47" t="n">
        <x:v>0</x:v>
      </x:c>
      <x:c r="R926" s="47" t="n">
        <x:v>0</x:v>
      </x:c>
      <x:c r="S926" s="47" t="n">
        <x:v>31.51</x:v>
      </x:c>
      <x:c r="T926" s="47" t="n">
        <x:v>59.25</x:v>
      </x:c>
      <x:c r="U926" s="47" t="n">
        <x:v>30.7</x:v>
      </x:c>
      <x:c r="V926" s="47" t="n">
        <x:v>14.7</x:v>
      </x:c>
      <x:c r="W926" s="47" t="n">
        <x:v>0</x:v>
      </x:c>
      <x:c r="X926" s="47" t="n">
        <x:v>1</x:v>
      </x:c>
      <x:c r="Y926" s="41" t="n">
        <x:v>1</x:v>
      </x:c>
    </x:row>
    <x:row r="927">
      <x:c r="A927" s="38" t="str">
        <x:v>7月30日现场数据</x:v>
      </x:c>
      <x:c r="B927" s="66" t="str">
        <x:v>2026-08-02T18:41:45.768000</x:v>
      </x:c>
      <x:c r="C927" s="47" t="n">
        <x:v>300968</x:v>
      </x:c>
      <x:c r="D927" s="47" t="str"/>
      <x:c r="E927" s="47" t="str"/>
      <x:c r="F927" s="47" t="str">
        <x:v>current</x:v>
      </x:c>
      <x:c r="G927" s="47" t="n">
        <x:v>923</x:v>
      </x:c>
      <x:c r="H927" s="53" t="b">
        <x:v>1</x:v>
      </x:c>
      <x:c r="I927" s="47" t="str">
        <x:v>2682537910</x:v>
      </x:c>
      <x:c r="J927" s="47" t="n">
        <x:v>101163105</x:v>
      </x:c>
      <x:c r="K927" s="53" t="b">
        <x:v>1</x:v>
      </x:c>
      <x:c r="L927" s="53" t="b">
        <x:v>1</x:v>
      </x:c>
      <x:c r="M927" s="53" t="b">
        <x:v>1</x:v>
      </x:c>
      <x:c r="N927" s="53" t="b">
        <x:v>1</x:v>
      </x:c>
      <x:c r="O927" s="53" t="b">
        <x:v>1</x:v>
      </x:c>
      <x:c r="P927" s="47" t="n">
        <x:v>1008</x:v>
      </x:c>
      <x:c r="Q927" s="47" t="n">
        <x:v>0.028</x:v>
      </x:c>
      <x:c r="R927" s="47" t="n">
        <x:v>0.758</x:v>
      </x:c>
      <x:c r="S927" s="47" t="n">
        <x:v>31.43</x:v>
      </x:c>
      <x:c r="T927" s="47" t="n">
        <x:v>59.32</x:v>
      </x:c>
      <x:c r="U927" s="47" t="n">
        <x:v>30.7</x:v>
      </x:c>
      <x:c r="V927" s="47" t="n">
        <x:v>14.7</x:v>
      </x:c>
      <x:c r="W927" s="47" t="n">
        <x:v>0</x:v>
      </x:c>
      <x:c r="X927" s="47" t="n">
        <x:v>0</x:v>
      </x:c>
      <x:c r="Y927" s="41" t="n">
        <x:v>0</x:v>
      </x:c>
    </x:row>
    <x:row r="928">
      <x:c r="A928" s="38" t="str">
        <x:v>7月30日现场数据</x:v>
      </x:c>
      <x:c r="B928" s="66" t="str">
        <x:v>2026-08-02T18:46:46.737000</x:v>
      </x:c>
      <x:c r="C928" s="47" t="n">
        <x:v>300969</x:v>
      </x:c>
      <x:c r="D928" s="47" t="str"/>
      <x:c r="E928" s="47" t="str"/>
      <x:c r="F928" s="47" t="str">
        <x:v>current</x:v>
      </x:c>
      <x:c r="G928" s="47" t="n">
        <x:v>924</x:v>
      </x:c>
      <x:c r="H928" s="53" t="b">
        <x:v>1</x:v>
      </x:c>
      <x:c r="I928" s="47" t="str">
        <x:v>2682537910</x:v>
      </x:c>
      <x:c r="J928" s="47" t="n">
        <x:v>101464074</x:v>
      </x:c>
      <x:c r="K928" s="53" t="b">
        <x:v>1</x:v>
      </x:c>
      <x:c r="L928" s="53" t="b">
        <x:v>1</x:v>
      </x:c>
      <x:c r="M928" s="53" t="b">
        <x:v>1</x:v>
      </x:c>
      <x:c r="N928" s="53" t="b">
        <x:v>1</x:v>
      </x:c>
      <x:c r="O928" s="53" t="b">
        <x:v>1</x:v>
      </x:c>
      <x:c r="P928" s="47" t="n">
        <x:v>1008</x:v>
      </x:c>
      <x:c r="Q928" s="47" t="n">
        <x:v>0</x:v>
      </x:c>
      <x:c r="R928" s="47" t="n">
        <x:v>0</x:v>
      </x:c>
      <x:c r="S928" s="47" t="n">
        <x:v>31.37</x:v>
      </x:c>
      <x:c r="T928" s="47" t="n">
        <x:v>59.39</x:v>
      </x:c>
      <x:c r="U928" s="47" t="n">
        <x:v>30.7</x:v>
      </x:c>
      <x:c r="V928" s="47" t="n">
        <x:v>14.7</x:v>
      </x:c>
      <x:c r="W928" s="47" t="n">
        <x:v>0</x:v>
      </x:c>
      <x:c r="X928" s="47" t="n">
        <x:v>0</x:v>
      </x:c>
      <x:c r="Y928" s="41" t="n">
        <x:v>0</x:v>
      </x:c>
    </x:row>
    <x:row r="929">
      <x:c r="A929" s="38" t="str">
        <x:v>7月30日现场数据</x:v>
      </x:c>
      <x:c r="B929" s="66" t="str">
        <x:v>2026-08-02T18:51:47.710000</x:v>
      </x:c>
      <x:c r="C929" s="47" t="n">
        <x:v>300973</x:v>
      </x:c>
      <x:c r="D929" s="47" t="str"/>
      <x:c r="E929" s="47" t="str"/>
      <x:c r="F929" s="47" t="str">
        <x:v>current</x:v>
      </x:c>
      <x:c r="G929" s="47" t="n">
        <x:v>925</x:v>
      </x:c>
      <x:c r="H929" s="53" t="b">
        <x:v>1</x:v>
      </x:c>
      <x:c r="I929" s="47" t="str">
        <x:v>2682537910</x:v>
      </x:c>
      <x:c r="J929" s="47" t="n">
        <x:v>101765047</x:v>
      </x:c>
      <x:c r="K929" s="53" t="b">
        <x:v>1</x:v>
      </x:c>
      <x:c r="L929" s="53" t="b">
        <x:v>1</x:v>
      </x:c>
      <x:c r="M929" s="53" t="b">
        <x:v>1</x:v>
      </x:c>
      <x:c r="N929" s="53" t="b">
        <x:v>1</x:v>
      </x:c>
      <x:c r="O929" s="53" t="b">
        <x:v>1</x:v>
      </x:c>
      <x:c r="P929" s="47" t="n">
        <x:v>1009</x:v>
      </x:c>
      <x:c r="Q929" s="47" t="n">
        <x:v>0</x:v>
      </x:c>
      <x:c r="R929" s="47" t="n">
        <x:v>0</x:v>
      </x:c>
      <x:c r="S929" s="47" t="n">
        <x:v>31.36</x:v>
      </x:c>
      <x:c r="T929" s="47" t="n">
        <x:v>59.44</x:v>
      </x:c>
      <x:c r="U929" s="47" t="n">
        <x:v>30.7</x:v>
      </x:c>
      <x:c r="V929" s="47" t="n">
        <x:v>14.7</x:v>
      </x:c>
      <x:c r="W929" s="47" t="n">
        <x:v>0</x:v>
      </x:c>
      <x:c r="X929" s="47" t="n">
        <x:v>0</x:v>
      </x:c>
      <x:c r="Y929" s="41" t="n">
        <x:v>0</x:v>
      </x:c>
    </x:row>
    <x:row r="930">
      <x:c r="A930" s="38" t="str">
        <x:v>7月30日现场数据</x:v>
      </x:c>
      <x:c r="B930" s="66" t="str">
        <x:v>2026-08-02T18:56:48.685000</x:v>
      </x:c>
      <x:c r="C930" s="47" t="n">
        <x:v>300975</x:v>
      </x:c>
      <x:c r="D930" s="47" t="str"/>
      <x:c r="E930" s="47" t="str"/>
      <x:c r="F930" s="47" t="str">
        <x:v>current</x:v>
      </x:c>
      <x:c r="G930" s="47" t="n">
        <x:v>926</x:v>
      </x:c>
      <x:c r="H930" s="53" t="b">
        <x:v>1</x:v>
      </x:c>
      <x:c r="I930" s="47" t="str">
        <x:v>2682537910</x:v>
      </x:c>
      <x:c r="J930" s="47" t="n">
        <x:v>102066022</x:v>
      </x:c>
      <x:c r="K930" s="53" t="b">
        <x:v>1</x:v>
      </x:c>
      <x:c r="L930" s="53" t="b">
        <x:v>1</x:v>
      </x:c>
      <x:c r="M930" s="53" t="b">
        <x:v>1</x:v>
      </x:c>
      <x:c r="N930" s="53" t="b">
        <x:v>1</x:v>
      </x:c>
      <x:c r="O930" s="53" t="b">
        <x:v>1</x:v>
      </x:c>
      <x:c r="P930" s="47" t="n">
        <x:v>1009</x:v>
      </x:c>
      <x:c r="Q930" s="47" t="n">
        <x:v>0</x:v>
      </x:c>
      <x:c r="R930" s="47" t="n">
        <x:v>0</x:v>
      </x:c>
      <x:c r="S930" s="47" t="n">
        <x:v>31.3</x:v>
      </x:c>
      <x:c r="T930" s="47" t="n">
        <x:v>59.49</x:v>
      </x:c>
      <x:c r="U930" s="47" t="n">
        <x:v>30.7</x:v>
      </x:c>
      <x:c r="V930" s="47" t="n">
        <x:v>14.7</x:v>
      </x:c>
      <x:c r="W930" s="47" t="n">
        <x:v>0</x:v>
      </x:c>
      <x:c r="X930" s="47" t="n">
        <x:v>0</x:v>
      </x:c>
      <x:c r="Y930" s="41" t="n">
        <x:v>0</x:v>
      </x:c>
    </x:row>
    <x:row r="931">
      <x:c r="A931" s="38" t="str">
        <x:v>7月30日现场数据</x:v>
      </x:c>
      <x:c r="B931" s="66" t="str">
        <x:v>2026-08-02T19:01:49.660000</x:v>
      </x:c>
      <x:c r="C931" s="47" t="n">
        <x:v>300975</x:v>
      </x:c>
      <x:c r="D931" s="47" t="str"/>
      <x:c r="E931" s="47" t="str"/>
      <x:c r="F931" s="47" t="str">
        <x:v>current</x:v>
      </x:c>
      <x:c r="G931" s="47" t="n">
        <x:v>927</x:v>
      </x:c>
      <x:c r="H931" s="53" t="b">
        <x:v>1</x:v>
      </x:c>
      <x:c r="I931" s="47" t="str">
        <x:v>2682537910</x:v>
      </x:c>
      <x:c r="J931" s="47" t="n">
        <x:v>102366997</x:v>
      </x:c>
      <x:c r="K931" s="53" t="b">
        <x:v>1</x:v>
      </x:c>
      <x:c r="L931" s="53" t="b">
        <x:v>1</x:v>
      </x:c>
      <x:c r="M931" s="53" t="b">
        <x:v>1</x:v>
      </x:c>
      <x:c r="N931" s="53" t="b">
        <x:v>1</x:v>
      </x:c>
      <x:c r="O931" s="53" t="b">
        <x:v>1</x:v>
      </x:c>
      <x:c r="P931" s="47" t="n">
        <x:v>1009</x:v>
      </x:c>
      <x:c r="Q931" s="47" t="n">
        <x:v>0</x:v>
      </x:c>
      <x:c r="R931" s="47" t="n">
        <x:v>0</x:v>
      </x:c>
      <x:c r="S931" s="47" t="n">
        <x:v>31.26</x:v>
      </x:c>
      <x:c r="T931" s="47" t="n">
        <x:v>59.52</x:v>
      </x:c>
      <x:c r="U931" s="47" t="n">
        <x:v>30.7</x:v>
      </x:c>
      <x:c r="V931" s="47" t="n">
        <x:v>14.7</x:v>
      </x:c>
      <x:c r="W931" s="47" t="n">
        <x:v>0</x:v>
      </x:c>
      <x:c r="X931" s="47" t="n">
        <x:v>0</x:v>
      </x:c>
      <x:c r="Y931" s="41" t="n">
        <x:v>0</x:v>
      </x:c>
    </x:row>
    <x:row r="932">
      <x:c r="A932" s="38" t="str">
        <x:v>7月30日现场数据</x:v>
      </x:c>
      <x:c r="B932" s="66" t="str">
        <x:v>2026-08-02T19:06:50.636000</x:v>
      </x:c>
      <x:c r="C932" s="47" t="n">
        <x:v>300976</x:v>
      </x:c>
      <x:c r="D932" s="47" t="str"/>
      <x:c r="E932" s="47" t="str"/>
      <x:c r="F932" s="47" t="str">
        <x:v>current</x:v>
      </x:c>
      <x:c r="G932" s="47" t="n">
        <x:v>928</x:v>
      </x:c>
      <x:c r="H932" s="53" t="b">
        <x:v>1</x:v>
      </x:c>
      <x:c r="I932" s="47" t="str">
        <x:v>2682537910</x:v>
      </x:c>
      <x:c r="J932" s="47" t="n">
        <x:v>102667973</x:v>
      </x:c>
      <x:c r="K932" s="53" t="b">
        <x:v>1</x:v>
      </x:c>
      <x:c r="L932" s="53" t="b">
        <x:v>1</x:v>
      </x:c>
      <x:c r="M932" s="53" t="b">
        <x:v>1</x:v>
      </x:c>
      <x:c r="N932" s="53" t="b">
        <x:v>1</x:v>
      </x:c>
      <x:c r="O932" s="53" t="b">
        <x:v>1</x:v>
      </x:c>
      <x:c r="P932" s="47" t="n">
        <x:v>1009</x:v>
      </x:c>
      <x:c r="Q932" s="47" t="n">
        <x:v>0</x:v>
      </x:c>
      <x:c r="R932" s="47" t="n">
        <x:v>0</x:v>
      </x:c>
      <x:c r="S932" s="47" t="n">
        <x:v>31.24</x:v>
      </x:c>
      <x:c r="T932" s="47" t="n">
        <x:v>59.64</x:v>
      </x:c>
      <x:c r="U932" s="47" t="n">
        <x:v>30.6</x:v>
      </x:c>
      <x:c r="V932" s="47" t="n">
        <x:v>14.7</x:v>
      </x:c>
      <x:c r="W932" s="47" t="n">
        <x:v>0</x:v>
      </x:c>
      <x:c r="X932" s="47" t="n">
        <x:v>0</x:v>
      </x:c>
      <x:c r="Y932" s="41" t="n">
        <x:v>0</x:v>
      </x:c>
    </x:row>
    <x:row r="933">
      <x:c r="A933" s="38" t="str">
        <x:v>7月30日现场数据</x:v>
      </x:c>
      <x:c r="B933" s="66" t="str">
        <x:v>2026-08-02T19:11:51.615000</x:v>
      </x:c>
      <x:c r="C933" s="47" t="n">
        <x:v>300979</x:v>
      </x:c>
      <x:c r="D933" s="47" t="str"/>
      <x:c r="E933" s="47" t="str"/>
      <x:c r="F933" s="47" t="str">
        <x:v>current</x:v>
      </x:c>
      <x:c r="G933" s="47" t="n">
        <x:v>929</x:v>
      </x:c>
      <x:c r="H933" s="53" t="b">
        <x:v>1</x:v>
      </x:c>
      <x:c r="I933" s="47" t="str">
        <x:v>2682537910</x:v>
      </x:c>
      <x:c r="J933" s="47" t="n">
        <x:v>102968952</x:v>
      </x:c>
      <x:c r="K933" s="53" t="b">
        <x:v>1</x:v>
      </x:c>
      <x:c r="L933" s="53" t="b">
        <x:v>1</x:v>
      </x:c>
      <x:c r="M933" s="53" t="b">
        <x:v>1</x:v>
      </x:c>
      <x:c r="N933" s="53" t="b">
        <x:v>1</x:v>
      </x:c>
      <x:c r="O933" s="53" t="b">
        <x:v>1</x:v>
      </x:c>
      <x:c r="P933" s="47" t="n">
        <x:v>1009</x:v>
      </x:c>
      <x:c r="Q933" s="47" t="n">
        <x:v>0</x:v>
      </x:c>
      <x:c r="R933" s="47" t="n">
        <x:v>0</x:v>
      </x:c>
      <x:c r="S933" s="47" t="n">
        <x:v>31.2</x:v>
      </x:c>
      <x:c r="T933" s="47" t="n">
        <x:v>59.68</x:v>
      </x:c>
      <x:c r="U933" s="47" t="n">
        <x:v>30.6</x:v>
      </x:c>
      <x:c r="V933" s="47" t="n">
        <x:v>14.7</x:v>
      </x:c>
      <x:c r="W933" s="47" t="n">
        <x:v>0</x:v>
      </x:c>
      <x:c r="X933" s="47" t="n">
        <x:v>0</x:v>
      </x:c>
      <x:c r="Y933" s="41" t="n">
        <x:v>0</x:v>
      </x:c>
    </x:row>
    <x:row r="934">
      <x:c r="A934" s="38" t="str">
        <x:v>7月30日现场数据</x:v>
      </x:c>
      <x:c r="B934" s="66" t="str">
        <x:v>2026-08-02T19:16:52.598000</x:v>
      </x:c>
      <x:c r="C934" s="47" t="n">
        <x:v>300983</x:v>
      </x:c>
      <x:c r="D934" s="47" t="str"/>
      <x:c r="E934" s="47" t="str"/>
      <x:c r="F934" s="47" t="str">
        <x:v>current</x:v>
      </x:c>
      <x:c r="G934" s="47" t="n">
        <x:v>930</x:v>
      </x:c>
      <x:c r="H934" s="53" t="b">
        <x:v>1</x:v>
      </x:c>
      <x:c r="I934" s="47" t="str">
        <x:v>2682537910</x:v>
      </x:c>
      <x:c r="J934" s="47" t="n">
        <x:v>103269935</x:v>
      </x:c>
      <x:c r="K934" s="53" t="b">
        <x:v>1</x:v>
      </x:c>
      <x:c r="L934" s="53" t="b">
        <x:v>1</x:v>
      </x:c>
      <x:c r="M934" s="53" t="b">
        <x:v>1</x:v>
      </x:c>
      <x:c r="N934" s="53" t="b">
        <x:v>1</x:v>
      </x:c>
      <x:c r="O934" s="53" t="b">
        <x:v>1</x:v>
      </x:c>
      <x:c r="P934" s="47" t="n">
        <x:v>1009</x:v>
      </x:c>
      <x:c r="Q934" s="47" t="n">
        <x:v>0</x:v>
      </x:c>
      <x:c r="R934" s="47" t="n">
        <x:v>0</x:v>
      </x:c>
      <x:c r="S934" s="47" t="n">
        <x:v>31.19</x:v>
      </x:c>
      <x:c r="T934" s="47" t="n">
        <x:v>59.72</x:v>
      </x:c>
      <x:c r="U934" s="47" t="n">
        <x:v>30.6</x:v>
      </x:c>
      <x:c r="V934" s="47" t="n">
        <x:v>14.6</x:v>
      </x:c>
      <x:c r="W934" s="47" t="n">
        <x:v>0</x:v>
      </x:c>
      <x:c r="X934" s="47" t="n">
        <x:v>0</x:v>
      </x:c>
      <x:c r="Y934" s="41" t="n">
        <x:v>0</x:v>
      </x:c>
    </x:row>
    <x:row r="935">
      <x:c r="A935" s="38" t="str">
        <x:v>7月30日现场数据</x:v>
      </x:c>
      <x:c r="B935" s="66" t="str">
        <x:v>2026-08-02T19:21:53.581000</x:v>
      </x:c>
      <x:c r="C935" s="47" t="n">
        <x:v>300983</x:v>
      </x:c>
      <x:c r="D935" s="47" t="str"/>
      <x:c r="E935" s="47" t="str"/>
      <x:c r="F935" s="47" t="str">
        <x:v>current</x:v>
      </x:c>
      <x:c r="G935" s="47" t="n">
        <x:v>931</x:v>
      </x:c>
      <x:c r="H935" s="53" t="b">
        <x:v>1</x:v>
      </x:c>
      <x:c r="I935" s="47" t="str">
        <x:v>2682537910</x:v>
      </x:c>
      <x:c r="J935" s="47" t="n">
        <x:v>103570918</x:v>
      </x:c>
      <x:c r="K935" s="53" t="b">
        <x:v>1</x:v>
      </x:c>
      <x:c r="L935" s="53" t="b">
        <x:v>1</x:v>
      </x:c>
      <x:c r="M935" s="53" t="b">
        <x:v>1</x:v>
      </x:c>
      <x:c r="N935" s="53" t="b">
        <x:v>1</x:v>
      </x:c>
      <x:c r="O935" s="53" t="b">
        <x:v>1</x:v>
      </x:c>
      <x:c r="P935" s="47" t="n">
        <x:v>1009</x:v>
      </x:c>
      <x:c r="Q935" s="47" t="n">
        <x:v>0</x:v>
      </x:c>
      <x:c r="R935" s="47" t="n">
        <x:v>0</x:v>
      </x:c>
      <x:c r="S935" s="47" t="n">
        <x:v>31.17</x:v>
      </x:c>
      <x:c r="T935" s="47" t="n">
        <x:v>59.82</x:v>
      </x:c>
      <x:c r="U935" s="47" t="n">
        <x:v>30.6</x:v>
      </x:c>
      <x:c r="V935" s="47" t="n">
        <x:v>14.7</x:v>
      </x:c>
      <x:c r="W935" s="47" t="n">
        <x:v>0</x:v>
      </x:c>
      <x:c r="X935" s="47" t="n">
        <x:v>0</x:v>
      </x:c>
      <x:c r="Y935" s="41" t="n">
        <x:v>0</x:v>
      </x:c>
    </x:row>
    <x:row r="936">
      <x:c r="A936" s="38" t="str">
        <x:v>7月30日现场数据</x:v>
      </x:c>
      <x:c r="B936" s="66" t="str">
        <x:v>2026-08-02T19:26:54.565000</x:v>
      </x:c>
      <x:c r="C936" s="47" t="n">
        <x:v>300984</x:v>
      </x:c>
      <x:c r="D936" s="47" t="str"/>
      <x:c r="E936" s="47" t="str"/>
      <x:c r="F936" s="47" t="str">
        <x:v>current</x:v>
      </x:c>
      <x:c r="G936" s="47" t="n">
        <x:v>932</x:v>
      </x:c>
      <x:c r="H936" s="53" t="b">
        <x:v>1</x:v>
      </x:c>
      <x:c r="I936" s="47" t="str">
        <x:v>2682537910</x:v>
      </x:c>
      <x:c r="J936" s="47" t="n">
        <x:v>103871902</x:v>
      </x:c>
      <x:c r="K936" s="53" t="b">
        <x:v>1</x:v>
      </x:c>
      <x:c r="L936" s="53" t="b">
        <x:v>1</x:v>
      </x:c>
      <x:c r="M936" s="53" t="b">
        <x:v>1</x:v>
      </x:c>
      <x:c r="N936" s="53" t="b">
        <x:v>1</x:v>
      </x:c>
      <x:c r="O936" s="53" t="b">
        <x:v>1</x:v>
      </x:c>
      <x:c r="P936" s="47" t="n">
        <x:v>1009</x:v>
      </x:c>
      <x:c r="Q936" s="47" t="n">
        <x:v>0</x:v>
      </x:c>
      <x:c r="R936" s="47" t="n">
        <x:v>0</x:v>
      </x:c>
      <x:c r="S936" s="47" t="n">
        <x:v>31.12</x:v>
      </x:c>
      <x:c r="T936" s="47" t="n">
        <x:v>59.9</x:v>
      </x:c>
      <x:c r="U936" s="47" t="n">
        <x:v>30.6</x:v>
      </x:c>
      <x:c r="V936" s="47" t="n">
        <x:v>14.7</x:v>
      </x:c>
      <x:c r="W936" s="47" t="n">
        <x:v>0</x:v>
      </x:c>
      <x:c r="X936" s="47" t="n">
        <x:v>0</x:v>
      </x:c>
      <x:c r="Y936" s="41" t="n">
        <x:v>0</x:v>
      </x:c>
    </x:row>
    <x:row r="937">
      <x:c r="A937" s="38" t="str">
        <x:v>7月30日现场数据</x:v>
      </x:c>
      <x:c r="B937" s="66" t="str">
        <x:v>2026-08-02T19:31:55.554000</x:v>
      </x:c>
      <x:c r="C937" s="47" t="n">
        <x:v>300989</x:v>
      </x:c>
      <x:c r="D937" s="47" t="str"/>
      <x:c r="E937" s="47" t="str"/>
      <x:c r="F937" s="47" t="str">
        <x:v>current</x:v>
      </x:c>
      <x:c r="G937" s="47" t="n">
        <x:v>933</x:v>
      </x:c>
      <x:c r="H937" s="53" t="b">
        <x:v>1</x:v>
      </x:c>
      <x:c r="I937" s="47" t="str">
        <x:v>2682537910</x:v>
      </x:c>
      <x:c r="J937" s="47" t="n">
        <x:v>104172891</x:v>
      </x:c>
      <x:c r="K937" s="53" t="b">
        <x:v>1</x:v>
      </x:c>
      <x:c r="L937" s="53" t="b">
        <x:v>1</x:v>
      </x:c>
      <x:c r="M937" s="53" t="b">
        <x:v>1</x:v>
      </x:c>
      <x:c r="N937" s="53" t="b">
        <x:v>1</x:v>
      </x:c>
      <x:c r="O937" s="53" t="b">
        <x:v>1</x:v>
      </x:c>
      <x:c r="P937" s="47" t="n">
        <x:v>1009</x:v>
      </x:c>
      <x:c r="Q937" s="47" t="n">
        <x:v>0</x:v>
      </x:c>
      <x:c r="R937" s="47" t="n">
        <x:v>0</x:v>
      </x:c>
      <x:c r="S937" s="47" t="n">
        <x:v>31.07</x:v>
      </x:c>
      <x:c r="T937" s="47" t="n">
        <x:v>59.95</x:v>
      </x:c>
      <x:c r="U937" s="47" t="n">
        <x:v>30.5</x:v>
      </x:c>
      <x:c r="V937" s="47" t="n">
        <x:v>14.7</x:v>
      </x:c>
      <x:c r="W937" s="47" t="n">
        <x:v>0</x:v>
      </x:c>
      <x:c r="X937" s="47" t="n">
        <x:v>0</x:v>
      </x:c>
      <x:c r="Y937" s="41" t="n">
        <x:v>0</x:v>
      </x:c>
    </x:row>
    <x:row r="938">
      <x:c r="A938" s="38" t="str">
        <x:v>7月30日现场数据</x:v>
      </x:c>
      <x:c r="B938" s="66" t="str">
        <x:v>2026-08-02T19:36:56.576000</x:v>
      </x:c>
      <x:c r="C938" s="47" t="n">
        <x:v>301022</x:v>
      </x:c>
      <x:c r="D938" s="47" t="str"/>
      <x:c r="E938" s="47" t="str"/>
      <x:c r="F938" s="47" t="str">
        <x:v>current</x:v>
      </x:c>
      <x:c r="G938" s="47" t="n">
        <x:v>934</x:v>
      </x:c>
      <x:c r="H938" s="53" t="b">
        <x:v>1</x:v>
      </x:c>
      <x:c r="I938" s="47" t="str">
        <x:v>2682537910</x:v>
      </x:c>
      <x:c r="J938" s="47" t="n">
        <x:v>104473913</x:v>
      </x:c>
      <x:c r="K938" s="53" t="b">
        <x:v>1</x:v>
      </x:c>
      <x:c r="L938" s="53" t="b">
        <x:v>1</x:v>
      </x:c>
      <x:c r="M938" s="53" t="b">
        <x:v>1</x:v>
      </x:c>
      <x:c r="N938" s="53" t="b">
        <x:v>1</x:v>
      </x:c>
      <x:c r="O938" s="53" t="b">
        <x:v>1</x:v>
      </x:c>
      <x:c r="P938" s="47" t="n">
        <x:v>1009</x:v>
      </x:c>
      <x:c r="Q938" s="47" t="n">
        <x:v>0</x:v>
      </x:c>
      <x:c r="R938" s="47" t="n">
        <x:v>0</x:v>
      </x:c>
      <x:c r="S938" s="47" t="n">
        <x:v>31.07</x:v>
      </x:c>
      <x:c r="T938" s="47" t="n">
        <x:v>59.99</x:v>
      </x:c>
      <x:c r="U938" s="47" t="n">
        <x:v>30.5</x:v>
      </x:c>
      <x:c r="V938" s="47" t="n">
        <x:v>14.7</x:v>
      </x:c>
      <x:c r="W938" s="47" t="n">
        <x:v>0</x:v>
      </x:c>
      <x:c r="X938" s="47" t="n">
        <x:v>0</x:v>
      </x:c>
      <x:c r="Y938" s="41" t="n">
        <x:v>0</x:v>
      </x:c>
    </x:row>
    <x:row r="939">
      <x:c r="A939" s="38" t="str">
        <x:v>7月30日现场数据</x:v>
      </x:c>
      <x:c r="B939" s="66" t="str">
        <x:v>2026-08-02T19:41:57.537000</x:v>
      </x:c>
      <x:c r="C939" s="47" t="n">
        <x:v>300961</x:v>
      </x:c>
      <x:c r="D939" s="47" t="str"/>
      <x:c r="E939" s="47" t="str"/>
      <x:c r="F939" s="47" t="str">
        <x:v>current</x:v>
      </x:c>
      <x:c r="G939" s="47" t="n">
        <x:v>935</x:v>
      </x:c>
      <x:c r="H939" s="53" t="b">
        <x:v>1</x:v>
      </x:c>
      <x:c r="I939" s="47" t="str">
        <x:v>2682537910</x:v>
      </x:c>
      <x:c r="J939" s="47" t="n">
        <x:v>104774874</x:v>
      </x:c>
      <x:c r="K939" s="53" t="b">
        <x:v>1</x:v>
      </x:c>
      <x:c r="L939" s="53" t="b">
        <x:v>1</x:v>
      </x:c>
      <x:c r="M939" s="53" t="b">
        <x:v>1</x:v>
      </x:c>
      <x:c r="N939" s="53" t="b">
        <x:v>1</x:v>
      </x:c>
      <x:c r="O939" s="53" t="b">
        <x:v>1</x:v>
      </x:c>
      <x:c r="P939" s="47" t="n">
        <x:v>1009</x:v>
      </x:c>
      <x:c r="Q939" s="47" t="n">
        <x:v>0</x:v>
      </x:c>
      <x:c r="R939" s="47" t="n">
        <x:v>0</x:v>
      </x:c>
      <x:c r="S939" s="47" t="n">
        <x:v>31.02</x:v>
      </x:c>
      <x:c r="T939" s="47" t="n">
        <x:v>60.16</x:v>
      </x:c>
      <x:c r="U939" s="47" t="n">
        <x:v>30.5</x:v>
      </x:c>
      <x:c r="V939" s="47" t="n">
        <x:v>14.7</x:v>
      </x:c>
      <x:c r="W939" s="47" t="n">
        <x:v>0</x:v>
      </x:c>
      <x:c r="X939" s="47" t="n">
        <x:v>0</x:v>
      </x:c>
      <x:c r="Y939" s="41" t="n">
        <x:v>0</x:v>
      </x:c>
    </x:row>
    <x:row r="940">
      <x:c r="A940" s="38" t="str">
        <x:v>7月30日现场数据</x:v>
      </x:c>
      <x:c r="B940" s="66" t="str">
        <x:v>2026-08-02T19:46:58.504000</x:v>
      </x:c>
      <x:c r="C940" s="47" t="n">
        <x:v>300967</x:v>
      </x:c>
      <x:c r="D940" s="47" t="str"/>
      <x:c r="E940" s="47" t="str"/>
      <x:c r="F940" s="47" t="str">
        <x:v>current</x:v>
      </x:c>
      <x:c r="G940" s="47" t="n">
        <x:v>936</x:v>
      </x:c>
      <x:c r="H940" s="53" t="b">
        <x:v>1</x:v>
      </x:c>
      <x:c r="I940" s="47" t="str">
        <x:v>2682537910</x:v>
      </x:c>
      <x:c r="J940" s="47" t="n">
        <x:v>105075841</x:v>
      </x:c>
      <x:c r="K940" s="53" t="b">
        <x:v>1</x:v>
      </x:c>
      <x:c r="L940" s="53" t="b">
        <x:v>1</x:v>
      </x:c>
      <x:c r="M940" s="53" t="b">
        <x:v>1</x:v>
      </x:c>
      <x:c r="N940" s="53" t="b">
        <x:v>1</x:v>
      </x:c>
      <x:c r="O940" s="53" t="b">
        <x:v>1</x:v>
      </x:c>
      <x:c r="P940" s="47" t="n">
        <x:v>1009</x:v>
      </x:c>
      <x:c r="Q940" s="47" t="n">
        <x:v>0</x:v>
      </x:c>
      <x:c r="R940" s="47" t="n">
        <x:v>0</x:v>
      </x:c>
      <x:c r="S940" s="47" t="n">
        <x:v>31</x:v>
      </x:c>
      <x:c r="T940" s="47" t="n">
        <x:v>60.16</x:v>
      </x:c>
      <x:c r="U940" s="47" t="n">
        <x:v>30.5</x:v>
      </x:c>
      <x:c r="V940" s="47" t="n">
        <x:v>14.7</x:v>
      </x:c>
      <x:c r="W940" s="47" t="n">
        <x:v>0</x:v>
      </x:c>
      <x:c r="X940" s="47" t="n">
        <x:v>0</x:v>
      </x:c>
      <x:c r="Y940" s="41" t="n">
        <x:v>0</x:v>
      </x:c>
    </x:row>
    <x:row r="941">
      <x:c r="A941" s="38" t="str">
        <x:v>7月30日现场数据</x:v>
      </x:c>
      <x:c r="B941" s="66" t="str">
        <x:v>2026-08-02T19:51:59.473000</x:v>
      </x:c>
      <x:c r="C941" s="47" t="n">
        <x:v>300969</x:v>
      </x:c>
      <x:c r="D941" s="47" t="str"/>
      <x:c r="E941" s="47" t="str"/>
      <x:c r="F941" s="47" t="str">
        <x:v>current</x:v>
      </x:c>
      <x:c r="G941" s="47" t="n">
        <x:v>937</x:v>
      </x:c>
      <x:c r="H941" s="53" t="b">
        <x:v>1</x:v>
      </x:c>
      <x:c r="I941" s="47" t="str">
        <x:v>2682537910</x:v>
      </x:c>
      <x:c r="J941" s="47" t="n">
        <x:v>105376810</x:v>
      </x:c>
      <x:c r="K941" s="53" t="b">
        <x:v>1</x:v>
      </x:c>
      <x:c r="L941" s="53" t="b">
        <x:v>1</x:v>
      </x:c>
      <x:c r="M941" s="53" t="b">
        <x:v>1</x:v>
      </x:c>
      <x:c r="N941" s="53" t="b">
        <x:v>1</x:v>
      </x:c>
      <x:c r="O941" s="53" t="b">
        <x:v>1</x:v>
      </x:c>
      <x:c r="P941" s="47" t="n">
        <x:v>1010</x:v>
      </x:c>
      <x:c r="Q941" s="47" t="n">
        <x:v>0</x:v>
      </x:c>
      <x:c r="R941" s="47" t="n">
        <x:v>0</x:v>
      </x:c>
      <x:c r="S941" s="47" t="n">
        <x:v>30.99</x:v>
      </x:c>
      <x:c r="T941" s="47" t="n">
        <x:v>60.23</x:v>
      </x:c>
      <x:c r="U941" s="47" t="n">
        <x:v>30.5</x:v>
      </x:c>
      <x:c r="V941" s="47" t="n">
        <x:v>14.7</x:v>
      </x:c>
      <x:c r="W941" s="47" t="n">
        <x:v>0</x:v>
      </x:c>
      <x:c r="X941" s="47" t="n">
        <x:v>0</x:v>
      </x:c>
      <x:c r="Y941" s="41" t="n">
        <x:v>0</x:v>
      </x:c>
    </x:row>
    <x:row r="942">
      <x:c r="A942" s="38" t="str">
        <x:v>7月30日现场数据</x:v>
      </x:c>
      <x:c r="B942" s="66" t="str">
        <x:v>2026-08-02T19:57:00.440000</x:v>
      </x:c>
      <x:c r="C942" s="47" t="n">
        <x:v>300967</x:v>
      </x:c>
      <x:c r="D942" s="47" t="str"/>
      <x:c r="E942" s="47" t="str"/>
      <x:c r="F942" s="47" t="str">
        <x:v>current</x:v>
      </x:c>
      <x:c r="G942" s="47" t="n">
        <x:v>938</x:v>
      </x:c>
      <x:c r="H942" s="53" t="b">
        <x:v>1</x:v>
      </x:c>
      <x:c r="I942" s="47" t="str">
        <x:v>2682537910</x:v>
      </x:c>
      <x:c r="J942" s="47" t="n">
        <x:v>105677777</x:v>
      </x:c>
      <x:c r="K942" s="53" t="b">
        <x:v>1</x:v>
      </x:c>
      <x:c r="L942" s="53" t="b">
        <x:v>1</x:v>
      </x:c>
      <x:c r="M942" s="53" t="b">
        <x:v>1</x:v>
      </x:c>
      <x:c r="N942" s="53" t="b">
        <x:v>1</x:v>
      </x:c>
      <x:c r="O942" s="53" t="b">
        <x:v>1</x:v>
      </x:c>
      <x:c r="P942" s="47" t="n">
        <x:v>1010</x:v>
      </x:c>
      <x:c r="Q942" s="47" t="n">
        <x:v>0</x:v>
      </x:c>
      <x:c r="R942" s="47" t="n">
        <x:v>0</x:v>
      </x:c>
      <x:c r="S942" s="47" t="n">
        <x:v>30.99</x:v>
      </x:c>
      <x:c r="T942" s="47" t="n">
        <x:v>60.36</x:v>
      </x:c>
      <x:c r="U942" s="47" t="n">
        <x:v>30.5</x:v>
      </x:c>
      <x:c r="V942" s="47" t="n">
        <x:v>14.6</x:v>
      </x:c>
      <x:c r="W942" s="47" t="n">
        <x:v>0</x:v>
      </x:c>
      <x:c r="X942" s="47" t="n">
        <x:v>0</x:v>
      </x:c>
      <x:c r="Y942" s="41" t="n">
        <x:v>0</x:v>
      </x:c>
    </x:row>
    <x:row r="943">
      <x:c r="A943" s="38" t="str">
        <x:v>7月30日现场数据</x:v>
      </x:c>
      <x:c r="B943" s="66" t="str">
        <x:v>2026-08-02T20:02:01.409000</x:v>
      </x:c>
      <x:c r="C943" s="47" t="n">
        <x:v>300969</x:v>
      </x:c>
      <x:c r="D943" s="47" t="str"/>
      <x:c r="E943" s="47" t="str"/>
      <x:c r="F943" s="47" t="str">
        <x:v>current</x:v>
      </x:c>
      <x:c r="G943" s="47" t="n">
        <x:v>939</x:v>
      </x:c>
      <x:c r="H943" s="53" t="b">
        <x:v>1</x:v>
      </x:c>
      <x:c r="I943" s="47" t="str">
        <x:v>2682537910</x:v>
      </x:c>
      <x:c r="J943" s="47" t="n">
        <x:v>105978746</x:v>
      </x:c>
      <x:c r="K943" s="53" t="b">
        <x:v>1</x:v>
      </x:c>
      <x:c r="L943" s="53" t="b">
        <x:v>1</x:v>
      </x:c>
      <x:c r="M943" s="53" t="b">
        <x:v>1</x:v>
      </x:c>
      <x:c r="N943" s="53" t="b">
        <x:v>1</x:v>
      </x:c>
      <x:c r="O943" s="53" t="b">
        <x:v>1</x:v>
      </x:c>
      <x:c r="P943" s="47" t="n">
        <x:v>1010</x:v>
      </x:c>
      <x:c r="Q943" s="47" t="n">
        <x:v>0</x:v>
      </x:c>
      <x:c r="R943" s="47" t="n">
        <x:v>0</x:v>
      </x:c>
      <x:c r="S943" s="47" t="n">
        <x:v>31.01</x:v>
      </x:c>
      <x:c r="T943" s="47" t="n">
        <x:v>60.44</x:v>
      </x:c>
      <x:c r="U943" s="47" t="n">
        <x:v>30.5</x:v>
      </x:c>
      <x:c r="V943" s="47" t="n">
        <x:v>14.6</x:v>
      </x:c>
      <x:c r="W943" s="47" t="n">
        <x:v>0</x:v>
      </x:c>
      <x:c r="X943" s="47" t="n">
        <x:v>0</x:v>
      </x:c>
      <x:c r="Y943" s="41" t="n">
        <x:v>0</x:v>
      </x:c>
    </x:row>
    <x:row r="944">
      <x:c r="A944" s="38" t="str">
        <x:v>7月30日现场数据</x:v>
      </x:c>
      <x:c r="B944" s="66" t="str">
        <x:v>2026-08-02T20:07:02.383000</x:v>
      </x:c>
      <x:c r="C944" s="47" t="n">
        <x:v>300974</x:v>
      </x:c>
      <x:c r="D944" s="47" t="str"/>
      <x:c r="E944" s="47" t="str"/>
      <x:c r="F944" s="47" t="str">
        <x:v>current</x:v>
      </x:c>
      <x:c r="G944" s="47" t="n">
        <x:v>940</x:v>
      </x:c>
      <x:c r="H944" s="53" t="b">
        <x:v>1</x:v>
      </x:c>
      <x:c r="I944" s="47" t="str">
        <x:v>2682537910</x:v>
      </x:c>
      <x:c r="J944" s="47" t="n">
        <x:v>106279720</x:v>
      </x:c>
      <x:c r="K944" s="53" t="b">
        <x:v>1</x:v>
      </x:c>
      <x:c r="L944" s="53" t="b">
        <x:v>1</x:v>
      </x:c>
      <x:c r="M944" s="53" t="b">
        <x:v>1</x:v>
      </x:c>
      <x:c r="N944" s="53" t="b">
        <x:v>1</x:v>
      </x:c>
      <x:c r="O944" s="53" t="b">
        <x:v>1</x:v>
      </x:c>
      <x:c r="P944" s="47" t="n">
        <x:v>1010</x:v>
      </x:c>
      <x:c r="Q944" s="47" t="n">
        <x:v>0</x:v>
      </x:c>
      <x:c r="R944" s="47" t="n">
        <x:v>0</x:v>
      </x:c>
      <x:c r="S944" s="47" t="n">
        <x:v>30.98</x:v>
      </x:c>
      <x:c r="T944" s="47" t="n">
        <x:v>60.52</x:v>
      </x:c>
      <x:c r="U944" s="47" t="n">
        <x:v>30.4</x:v>
      </x:c>
      <x:c r="V944" s="47" t="n">
        <x:v>14.7</x:v>
      </x:c>
      <x:c r="W944" s="47" t="n">
        <x:v>0</x:v>
      </x:c>
      <x:c r="X944" s="47" t="n">
        <x:v>0</x:v>
      </x:c>
      <x:c r="Y944" s="41" t="n">
        <x:v>0</x:v>
      </x:c>
    </x:row>
    <x:row r="945">
      <x:c r="A945" s="38" t="str">
        <x:v>7月30日现场数据</x:v>
      </x:c>
      <x:c r="B945" s="66" t="str">
        <x:v>2026-08-02T20:12:03.357000</x:v>
      </x:c>
      <x:c r="C945" s="47" t="n">
        <x:v>300974</x:v>
      </x:c>
      <x:c r="D945" s="47" t="str"/>
      <x:c r="E945" s="47" t="str"/>
      <x:c r="F945" s="47" t="str">
        <x:v>current</x:v>
      </x:c>
      <x:c r="G945" s="47" t="n">
        <x:v>941</x:v>
      </x:c>
      <x:c r="H945" s="53" t="b">
        <x:v>1</x:v>
      </x:c>
      <x:c r="I945" s="47" t="str">
        <x:v>2682537910</x:v>
      </x:c>
      <x:c r="J945" s="47" t="n">
        <x:v>106580694</x:v>
      </x:c>
      <x:c r="K945" s="53" t="b">
        <x:v>1</x:v>
      </x:c>
      <x:c r="L945" s="53" t="b">
        <x:v>1</x:v>
      </x:c>
      <x:c r="M945" s="53" t="b">
        <x:v>1</x:v>
      </x:c>
      <x:c r="N945" s="53" t="b">
        <x:v>1</x:v>
      </x:c>
      <x:c r="O945" s="53" t="b">
        <x:v>1</x:v>
      </x:c>
      <x:c r="P945" s="47" t="n">
        <x:v>1010</x:v>
      </x:c>
      <x:c r="Q945" s="47" t="n">
        <x:v>0</x:v>
      </x:c>
      <x:c r="R945" s="47" t="n">
        <x:v>0</x:v>
      </x:c>
      <x:c r="S945" s="47" t="n">
        <x:v>30.95</x:v>
      </x:c>
      <x:c r="T945" s="47" t="n">
        <x:v>60.59</x:v>
      </x:c>
      <x:c r="U945" s="47" t="n">
        <x:v>30.4</x:v>
      </x:c>
      <x:c r="V945" s="47" t="n">
        <x:v>14.6</x:v>
      </x:c>
      <x:c r="W945" s="47" t="n">
        <x:v>0</x:v>
      </x:c>
      <x:c r="X945" s="47" t="n">
        <x:v>0</x:v>
      </x:c>
      <x:c r="Y945" s="41" t="n">
        <x:v>0</x:v>
      </x:c>
    </x:row>
    <x:row r="946">
      <x:c r="A946" s="38" t="str">
        <x:v>7月30日现场数据</x:v>
      </x:c>
      <x:c r="B946" s="66" t="str">
        <x:v>2026-08-02T20:17:04.334000</x:v>
      </x:c>
      <x:c r="C946" s="47" t="n">
        <x:v>300977</x:v>
      </x:c>
      <x:c r="D946" s="47" t="str"/>
      <x:c r="E946" s="47" t="str"/>
      <x:c r="F946" s="47" t="str">
        <x:v>current</x:v>
      </x:c>
      <x:c r="G946" s="47" t="n">
        <x:v>942</x:v>
      </x:c>
      <x:c r="H946" s="53" t="b">
        <x:v>1</x:v>
      </x:c>
      <x:c r="I946" s="47" t="str">
        <x:v>2682537910</x:v>
      </x:c>
      <x:c r="J946" s="47" t="n">
        <x:v>106881671</x:v>
      </x:c>
      <x:c r="K946" s="53" t="b">
        <x:v>1</x:v>
      </x:c>
      <x:c r="L946" s="53" t="b">
        <x:v>1</x:v>
      </x:c>
      <x:c r="M946" s="53" t="b">
        <x:v>1</x:v>
      </x:c>
      <x:c r="N946" s="53" t="b">
        <x:v>1</x:v>
      </x:c>
      <x:c r="O946" s="53" t="b">
        <x:v>1</x:v>
      </x:c>
      <x:c r="P946" s="47" t="n">
        <x:v>1010</x:v>
      </x:c>
      <x:c r="Q946" s="47" t="n">
        <x:v>0</x:v>
      </x:c>
      <x:c r="R946" s="47" t="n">
        <x:v>0</x:v>
      </x:c>
      <x:c r="S946" s="47" t="n">
        <x:v>30.94</x:v>
      </x:c>
      <x:c r="T946" s="47" t="n">
        <x:v>60.64</x:v>
      </x:c>
      <x:c r="U946" s="47" t="n">
        <x:v>30.4</x:v>
      </x:c>
      <x:c r="V946" s="47" t="n">
        <x:v>14.7</x:v>
      </x:c>
      <x:c r="W946" s="47" t="n">
        <x:v>0</x:v>
      </x:c>
      <x:c r="X946" s="47" t="n">
        <x:v>0</x:v>
      </x:c>
      <x:c r="Y946" s="41" t="n">
        <x:v>0</x:v>
      </x:c>
    </x:row>
    <x:row r="947">
      <x:c r="A947" s="38" t="str">
        <x:v>7月30日现场数据</x:v>
      </x:c>
      <x:c r="B947" s="66" t="str">
        <x:v>2026-08-02T20:22:05.312000</x:v>
      </x:c>
      <x:c r="C947" s="47" t="n">
        <x:v>300978</x:v>
      </x:c>
      <x:c r="D947" s="47" t="str"/>
      <x:c r="E947" s="47" t="str"/>
      <x:c r="F947" s="47" t="str">
        <x:v>current</x:v>
      </x:c>
      <x:c r="G947" s="47" t="n">
        <x:v>943</x:v>
      </x:c>
      <x:c r="H947" s="53" t="b">
        <x:v>1</x:v>
      </x:c>
      <x:c r="I947" s="47" t="str">
        <x:v>2682537910</x:v>
      </x:c>
      <x:c r="J947" s="47" t="n">
        <x:v>107182649</x:v>
      </x:c>
      <x:c r="K947" s="53" t="b">
        <x:v>1</x:v>
      </x:c>
      <x:c r="L947" s="53" t="b">
        <x:v>1</x:v>
      </x:c>
      <x:c r="M947" s="53" t="b">
        <x:v>1</x:v>
      </x:c>
      <x:c r="N947" s="53" t="b">
        <x:v>1</x:v>
      </x:c>
      <x:c r="O947" s="53" t="b">
        <x:v>1</x:v>
      </x:c>
      <x:c r="P947" s="47" t="n">
        <x:v>1010</x:v>
      </x:c>
      <x:c r="Q947" s="47" t="n">
        <x:v>0</x:v>
      </x:c>
      <x:c r="R947" s="47" t="n">
        <x:v>0</x:v>
      </x:c>
      <x:c r="S947" s="47" t="n">
        <x:v>30.91</x:v>
      </x:c>
      <x:c r="T947" s="47" t="n">
        <x:v>60.78</x:v>
      </x:c>
      <x:c r="U947" s="47" t="n">
        <x:v>30.4</x:v>
      </x:c>
      <x:c r="V947" s="47" t="n">
        <x:v>14.6</x:v>
      </x:c>
      <x:c r="W947" s="47" t="n">
        <x:v>0</x:v>
      </x:c>
      <x:c r="X947" s="47" t="n">
        <x:v>0</x:v>
      </x:c>
      <x:c r="Y947" s="41" t="n">
        <x:v>0</x:v>
      </x:c>
    </x:row>
    <x:row r="948">
      <x:c r="A948" s="38" t="str">
        <x:v>7月30日现场数据</x:v>
      </x:c>
      <x:c r="B948" s="66" t="str">
        <x:v>2026-08-02T20:27:06.293000</x:v>
      </x:c>
      <x:c r="C948" s="47" t="n">
        <x:v>300981</x:v>
      </x:c>
      <x:c r="D948" s="47" t="str"/>
      <x:c r="E948" s="47" t="str"/>
      <x:c r="F948" s="47" t="str">
        <x:v>current</x:v>
      </x:c>
      <x:c r="G948" s="47" t="n">
        <x:v>944</x:v>
      </x:c>
      <x:c r="H948" s="53" t="b">
        <x:v>1</x:v>
      </x:c>
      <x:c r="I948" s="47" t="str">
        <x:v>2682537910</x:v>
      </x:c>
      <x:c r="J948" s="47" t="n">
        <x:v>107483630</x:v>
      </x:c>
      <x:c r="K948" s="53" t="b">
        <x:v>1</x:v>
      </x:c>
      <x:c r="L948" s="53" t="b">
        <x:v>1</x:v>
      </x:c>
      <x:c r="M948" s="53" t="b">
        <x:v>1</x:v>
      </x:c>
      <x:c r="N948" s="53" t="b">
        <x:v>1</x:v>
      </x:c>
      <x:c r="O948" s="53" t="b">
        <x:v>1</x:v>
      </x:c>
      <x:c r="P948" s="47" t="n">
        <x:v>1010</x:v>
      </x:c>
      <x:c r="Q948" s="47" t="n">
        <x:v>0</x:v>
      </x:c>
      <x:c r="R948" s="47" t="n">
        <x:v>0</x:v>
      </x:c>
      <x:c r="S948" s="47" t="n">
        <x:v>30.92</x:v>
      </x:c>
      <x:c r="T948" s="47" t="n">
        <x:v>60.83</x:v>
      </x:c>
      <x:c r="U948" s="47" t="n">
        <x:v>30.4</x:v>
      </x:c>
      <x:c r="V948" s="47" t="n">
        <x:v>14.6</x:v>
      </x:c>
      <x:c r="W948" s="47" t="n">
        <x:v>0</x:v>
      </x:c>
      <x:c r="X948" s="47" t="n">
        <x:v>0</x:v>
      </x:c>
      <x:c r="Y948" s="41" t="n">
        <x:v>0</x:v>
      </x:c>
    </x:row>
    <x:row r="949">
      <x:c r="A949" s="38" t="str">
        <x:v>7月30日现场数据</x:v>
      </x:c>
      <x:c r="B949" s="66" t="str">
        <x:v>2026-08-02T20:32:07.276000</x:v>
      </x:c>
      <x:c r="C949" s="47" t="n">
        <x:v>300983</x:v>
      </x:c>
      <x:c r="D949" s="47" t="str"/>
      <x:c r="E949" s="47" t="str"/>
      <x:c r="F949" s="47" t="str">
        <x:v>current</x:v>
      </x:c>
      <x:c r="G949" s="47" t="n">
        <x:v>945</x:v>
      </x:c>
      <x:c r="H949" s="53" t="b">
        <x:v>1</x:v>
      </x:c>
      <x:c r="I949" s="47" t="str">
        <x:v>2682537910</x:v>
      </x:c>
      <x:c r="J949" s="47" t="n">
        <x:v>107784613</x:v>
      </x:c>
      <x:c r="K949" s="53" t="b">
        <x:v>1</x:v>
      </x:c>
      <x:c r="L949" s="53" t="b">
        <x:v>1</x:v>
      </x:c>
      <x:c r="M949" s="53" t="b">
        <x:v>1</x:v>
      </x:c>
      <x:c r="N949" s="53" t="b">
        <x:v>1</x:v>
      </x:c>
      <x:c r="O949" s="53" t="b">
        <x:v>1</x:v>
      </x:c>
      <x:c r="P949" s="47" t="n">
        <x:v>1010</x:v>
      </x:c>
      <x:c r="Q949" s="47" t="n">
        <x:v>0</x:v>
      </x:c>
      <x:c r="R949" s="47" t="n">
        <x:v>0</x:v>
      </x:c>
      <x:c r="S949" s="47" t="n">
        <x:v>30.88</x:v>
      </x:c>
      <x:c r="T949" s="47" t="n">
        <x:v>60.91</x:v>
      </x:c>
      <x:c r="U949" s="47" t="n">
        <x:v>30.4</x:v>
      </x:c>
      <x:c r="V949" s="47" t="n">
        <x:v>14.7</x:v>
      </x:c>
      <x:c r="W949" s="47" t="n">
        <x:v>0</x:v>
      </x:c>
      <x:c r="X949" s="47" t="n">
        <x:v>0</x:v>
      </x:c>
      <x:c r="Y949" s="41" t="n">
        <x:v>0</x:v>
      </x:c>
    </x:row>
    <x:row r="950">
      <x:c r="A950" s="38" t="str">
        <x:v>7月30日现场数据</x:v>
      </x:c>
      <x:c r="B950" s="66" t="str">
        <x:v>2026-08-02T20:37:08.259000</x:v>
      </x:c>
      <x:c r="C950" s="47" t="n">
        <x:v>300983</x:v>
      </x:c>
      <x:c r="D950" s="47" t="str"/>
      <x:c r="E950" s="47" t="str"/>
      <x:c r="F950" s="47" t="str">
        <x:v>current</x:v>
      </x:c>
      <x:c r="G950" s="47" t="n">
        <x:v>946</x:v>
      </x:c>
      <x:c r="H950" s="53" t="b">
        <x:v>1</x:v>
      </x:c>
      <x:c r="I950" s="47" t="str">
        <x:v>2682537910</x:v>
      </x:c>
      <x:c r="J950" s="47" t="n">
        <x:v>108085596</x:v>
      </x:c>
      <x:c r="K950" s="53" t="b">
        <x:v>1</x:v>
      </x:c>
      <x:c r="L950" s="53" t="b">
        <x:v>1</x:v>
      </x:c>
      <x:c r="M950" s="53" t="b">
        <x:v>1</x:v>
      </x:c>
      <x:c r="N950" s="53" t="b">
        <x:v>1</x:v>
      </x:c>
      <x:c r="O950" s="53" t="b">
        <x:v>1</x:v>
      </x:c>
      <x:c r="P950" s="47" t="n">
        <x:v>1010</x:v>
      </x:c>
      <x:c r="Q950" s="47" t="n">
        <x:v>0</x:v>
      </x:c>
      <x:c r="R950" s="47" t="n">
        <x:v>0</x:v>
      </x:c>
      <x:c r="S950" s="47" t="n">
        <x:v>30.87</x:v>
      </x:c>
      <x:c r="T950" s="47" t="n">
        <x:v>60.98</x:v>
      </x:c>
      <x:c r="U950" s="47" t="n">
        <x:v>30.4</x:v>
      </x:c>
      <x:c r="V950" s="47" t="n">
        <x:v>14.6</x:v>
      </x:c>
      <x:c r="W950" s="47" t="n">
        <x:v>0</x:v>
      </x:c>
      <x:c r="X950" s="47" t="n">
        <x:v>0</x:v>
      </x:c>
      <x:c r="Y950" s="41" t="n">
        <x:v>0</x:v>
      </x:c>
    </x:row>
    <x:row r="951">
      <x:c r="A951" s="38" t="str">
        <x:v>7月30日现场数据</x:v>
      </x:c>
      <x:c r="B951" s="66" t="str">
        <x:v>2026-08-02T20:42:09.243000</x:v>
      </x:c>
      <x:c r="C951" s="47" t="n">
        <x:v>300984</x:v>
      </x:c>
      <x:c r="D951" s="47" t="str"/>
      <x:c r="E951" s="47" t="str"/>
      <x:c r="F951" s="47" t="str">
        <x:v>current</x:v>
      </x:c>
      <x:c r="G951" s="47" t="n">
        <x:v>947</x:v>
      </x:c>
      <x:c r="H951" s="53" t="b">
        <x:v>1</x:v>
      </x:c>
      <x:c r="I951" s="47" t="str">
        <x:v>2682537910</x:v>
      </x:c>
      <x:c r="J951" s="47" t="n">
        <x:v>108386580</x:v>
      </x:c>
      <x:c r="K951" s="53" t="b">
        <x:v>1</x:v>
      </x:c>
      <x:c r="L951" s="53" t="b">
        <x:v>1</x:v>
      </x:c>
      <x:c r="M951" s="53" t="b">
        <x:v>1</x:v>
      </x:c>
      <x:c r="N951" s="53" t="b">
        <x:v>1</x:v>
      </x:c>
      <x:c r="O951" s="53" t="b">
        <x:v>1</x:v>
      </x:c>
      <x:c r="P951" s="47" t="n">
        <x:v>1010</x:v>
      </x:c>
      <x:c r="Q951" s="47" t="n">
        <x:v>0</x:v>
      </x:c>
      <x:c r="R951" s="47" t="n">
        <x:v>0</x:v>
      </x:c>
      <x:c r="S951" s="47" t="n">
        <x:v>30.86</x:v>
      </x:c>
      <x:c r="T951" s="47" t="n">
        <x:v>61.04</x:v>
      </x:c>
      <x:c r="U951" s="47" t="n">
        <x:v>30.4</x:v>
      </x:c>
      <x:c r="V951" s="47" t="n">
        <x:v>14.6</x:v>
      </x:c>
      <x:c r="W951" s="47" t="n">
        <x:v>0</x:v>
      </x:c>
      <x:c r="X951" s="47" t="n">
        <x:v>0</x:v>
      </x:c>
      <x:c r="Y951" s="41" t="n">
        <x:v>0</x:v>
      </x:c>
    </x:row>
    <x:row r="952">
      <x:c r="A952" s="38" t="str">
        <x:v>7月30日现场数据</x:v>
      </x:c>
      <x:c r="B952" s="66" t="str">
        <x:v>2026-08-02T20:47:10.232000</x:v>
      </x:c>
      <x:c r="C952" s="47" t="n">
        <x:v>300989</x:v>
      </x:c>
      <x:c r="D952" s="47" t="str"/>
      <x:c r="E952" s="47" t="str"/>
      <x:c r="F952" s="47" t="str">
        <x:v>current</x:v>
      </x:c>
      <x:c r="G952" s="47" t="n">
        <x:v>948</x:v>
      </x:c>
      <x:c r="H952" s="53" t="b">
        <x:v>1</x:v>
      </x:c>
      <x:c r="I952" s="47" t="str">
        <x:v>2682537910</x:v>
      </x:c>
      <x:c r="J952" s="47" t="n">
        <x:v>108687569</x:v>
      </x:c>
      <x:c r="K952" s="53" t="b">
        <x:v>1</x:v>
      </x:c>
      <x:c r="L952" s="53" t="b">
        <x:v>1</x:v>
      </x:c>
      <x:c r="M952" s="53" t="b">
        <x:v>1</x:v>
      </x:c>
      <x:c r="N952" s="53" t="b">
        <x:v>1</x:v>
      </x:c>
      <x:c r="O952" s="53" t="b">
        <x:v>1</x:v>
      </x:c>
      <x:c r="P952" s="47" t="n">
        <x:v>1010</x:v>
      </x:c>
      <x:c r="Q952" s="47" t="n">
        <x:v>0</x:v>
      </x:c>
      <x:c r="R952" s="47" t="n">
        <x:v>0</x:v>
      </x:c>
      <x:c r="S952" s="47" t="n">
        <x:v>30.86</x:v>
      </x:c>
      <x:c r="T952" s="47" t="n">
        <x:v>61.14</x:v>
      </x:c>
      <x:c r="U952" s="47" t="n">
        <x:v>30.4</x:v>
      </x:c>
      <x:c r="V952" s="47" t="n">
        <x:v>14.7</x:v>
      </x:c>
      <x:c r="W952" s="47" t="n">
        <x:v>0</x:v>
      </x:c>
      <x:c r="X952" s="47" t="n">
        <x:v>0</x:v>
      </x:c>
      <x:c r="Y952" s="41" t="n">
        <x:v>0</x:v>
      </x:c>
    </x:row>
    <x:row r="953">
      <x:c r="A953" s="38" t="str">
        <x:v>7月30日现场数据</x:v>
      </x:c>
      <x:c r="B953" s="66" t="str">
        <x:v>2026-08-02T20:52:11.221000</x:v>
      </x:c>
      <x:c r="C953" s="47" t="n">
        <x:v>300989</x:v>
      </x:c>
      <x:c r="D953" s="47" t="str"/>
      <x:c r="E953" s="47" t="str"/>
      <x:c r="F953" s="47" t="str">
        <x:v>current</x:v>
      </x:c>
      <x:c r="G953" s="47" t="n">
        <x:v>949</x:v>
      </x:c>
      <x:c r="H953" s="53" t="b">
        <x:v>1</x:v>
      </x:c>
      <x:c r="I953" s="47" t="str">
        <x:v>2682537910</x:v>
      </x:c>
      <x:c r="J953" s="47" t="n">
        <x:v>108988558</x:v>
      </x:c>
      <x:c r="K953" s="53" t="b">
        <x:v>1</x:v>
      </x:c>
      <x:c r="L953" s="53" t="b">
        <x:v>1</x:v>
      </x:c>
      <x:c r="M953" s="53" t="b">
        <x:v>1</x:v>
      </x:c>
      <x:c r="N953" s="53" t="b">
        <x:v>1</x:v>
      </x:c>
      <x:c r="O953" s="53" t="b">
        <x:v>1</x:v>
      </x:c>
      <x:c r="P953" s="47" t="n">
        <x:v>1010</x:v>
      </x:c>
      <x:c r="Q953" s="47" t="n">
        <x:v>0.004</x:v>
      </x:c>
      <x:c r="R953" s="47" t="n">
        <x:v>0.099</x:v>
      </x:c>
      <x:c r="S953" s="47" t="n">
        <x:v>30.82</x:v>
      </x:c>
      <x:c r="T953" s="47" t="n">
        <x:v>61.25</x:v>
      </x:c>
      <x:c r="U953" s="47" t="n">
        <x:v>30.4</x:v>
      </x:c>
      <x:c r="V953" s="47" t="n">
        <x:v>14.6</x:v>
      </x:c>
      <x:c r="W953" s="47" t="n">
        <x:v>0</x:v>
      </x:c>
      <x:c r="X953" s="47" t="n">
        <x:v>0</x:v>
      </x:c>
      <x:c r="Y953" s="41" t="n">
        <x:v>0</x:v>
      </x:c>
    </x:row>
    <x:row r="954">
      <x:c r="A954" s="38" t="str">
        <x:v>7月30日现场数据</x:v>
      </x:c>
      <x:c r="B954" s="66" t="str">
        <x:v>2026-08-02T20:57:12.243000</x:v>
      </x:c>
      <x:c r="C954" s="47" t="n">
        <x:v>301022</x:v>
      </x:c>
      <x:c r="D954" s="47" t="str"/>
      <x:c r="E954" s="47" t="str"/>
      <x:c r="F954" s="47" t="str">
        <x:v>current</x:v>
      </x:c>
      <x:c r="G954" s="47" t="n">
        <x:v>950</x:v>
      </x:c>
      <x:c r="H954" s="53" t="b">
        <x:v>1</x:v>
      </x:c>
      <x:c r="I954" s="47" t="str">
        <x:v>2682537910</x:v>
      </x:c>
      <x:c r="J954" s="47" t="n">
        <x:v>109289580</x:v>
      </x:c>
      <x:c r="K954" s="53" t="b">
        <x:v>1</x:v>
      </x:c>
      <x:c r="L954" s="53" t="b">
        <x:v>1</x:v>
      </x:c>
      <x:c r="M954" s="53" t="b">
        <x:v>1</x:v>
      </x:c>
      <x:c r="N954" s="53" t="b">
        <x:v>1</x:v>
      </x:c>
      <x:c r="O954" s="53" t="b">
        <x:v>1</x:v>
      </x:c>
      <x:c r="P954" s="47" t="n">
        <x:v>1010</x:v>
      </x:c>
      <x:c r="Q954" s="47" t="n">
        <x:v>0</x:v>
      </x:c>
      <x:c r="R954" s="47" t="n">
        <x:v>0</x:v>
      </x:c>
      <x:c r="S954" s="47" t="n">
        <x:v>30.8</x:v>
      </x:c>
      <x:c r="T954" s="47" t="n">
        <x:v>61.27</x:v>
      </x:c>
      <x:c r="U954" s="47" t="n">
        <x:v>30.4</x:v>
      </x:c>
      <x:c r="V954" s="47" t="n">
        <x:v>14.6</x:v>
      </x:c>
      <x:c r="W954" s="47" t="n">
        <x:v>0</x:v>
      </x:c>
      <x:c r="X954" s="47" t="n">
        <x:v>0</x:v>
      </x:c>
      <x:c r="Y954" s="41" t="n">
        <x:v>0</x:v>
      </x:c>
    </x:row>
    <x:row r="955">
      <x:c r="A955" s="38" t="str">
        <x:v>7月30日现场数据</x:v>
      </x:c>
      <x:c r="B955" s="66" t="str">
        <x:v>2026-08-02T21:02:13.213000</x:v>
      </x:c>
      <x:c r="C955" s="47" t="n">
        <x:v>300970</x:v>
      </x:c>
      <x:c r="D955" s="47" t="str"/>
      <x:c r="E955" s="47" t="str"/>
      <x:c r="F955" s="47" t="str">
        <x:v>current</x:v>
      </x:c>
      <x:c r="G955" s="47" t="n">
        <x:v>951</x:v>
      </x:c>
      <x:c r="H955" s="53" t="b">
        <x:v>1</x:v>
      </x:c>
      <x:c r="I955" s="47" t="str">
        <x:v>2682537910</x:v>
      </x:c>
      <x:c r="J955" s="47" t="n">
        <x:v>109590550</x:v>
      </x:c>
      <x:c r="K955" s="53" t="b">
        <x:v>1</x:v>
      </x:c>
      <x:c r="L955" s="53" t="b">
        <x:v>1</x:v>
      </x:c>
      <x:c r="M955" s="53" t="b">
        <x:v>1</x:v>
      </x:c>
      <x:c r="N955" s="53" t="b">
        <x:v>1</x:v>
      </x:c>
      <x:c r="O955" s="53" t="b">
        <x:v>1</x:v>
      </x:c>
      <x:c r="P955" s="47" t="n">
        <x:v>1010</x:v>
      </x:c>
      <x:c r="Q955" s="47" t="n">
        <x:v>0</x:v>
      </x:c>
      <x:c r="R955" s="47" t="n">
        <x:v>0</x:v>
      </x:c>
      <x:c r="S955" s="47" t="n">
        <x:v>30.75</x:v>
      </x:c>
      <x:c r="T955" s="47" t="n">
        <x:v>61.38</x:v>
      </x:c>
      <x:c r="U955" s="47" t="n">
        <x:v>30.4</x:v>
      </x:c>
      <x:c r="V955" s="47" t="n">
        <x:v>14.6</x:v>
      </x:c>
      <x:c r="W955" s="47" t="n">
        <x:v>0</x:v>
      </x:c>
      <x:c r="X955" s="47" t="n">
        <x:v>0</x:v>
      </x:c>
      <x:c r="Y955" s="41" t="n">
        <x:v>0</x:v>
      </x:c>
    </x:row>
    <x:row r="956">
      <x:c r="A956" s="38" t="str">
        <x:v>7月30日现场数据</x:v>
      </x:c>
      <x:c r="B956" s="66" t="str">
        <x:v>2026-08-02T21:07:14.181000</x:v>
      </x:c>
      <x:c r="C956" s="47" t="n">
        <x:v>300968</x:v>
      </x:c>
      <x:c r="D956" s="47" t="str"/>
      <x:c r="E956" s="47" t="str"/>
      <x:c r="F956" s="47" t="str">
        <x:v>current</x:v>
      </x:c>
      <x:c r="G956" s="47" t="n">
        <x:v>952</x:v>
      </x:c>
      <x:c r="H956" s="53" t="b">
        <x:v>1</x:v>
      </x:c>
      <x:c r="I956" s="47" t="str">
        <x:v>2682537910</x:v>
      </x:c>
      <x:c r="J956" s="47" t="n">
        <x:v>109891518</x:v>
      </x:c>
      <x:c r="K956" s="53" t="b">
        <x:v>1</x:v>
      </x:c>
      <x:c r="L956" s="53" t="b">
        <x:v>1</x:v>
      </x:c>
      <x:c r="M956" s="53" t="b">
        <x:v>1</x:v>
      </x:c>
      <x:c r="N956" s="53" t="b">
        <x:v>1</x:v>
      </x:c>
      <x:c r="O956" s="53" t="b">
        <x:v>1</x:v>
      </x:c>
      <x:c r="P956" s="47" t="n">
        <x:v>1010</x:v>
      </x:c>
      <x:c r="Q956" s="47" t="n">
        <x:v>0</x:v>
      </x:c>
      <x:c r="R956" s="47" t="n">
        <x:v>0</x:v>
      </x:c>
      <x:c r="S956" s="47" t="n">
        <x:v>30.71</x:v>
      </x:c>
      <x:c r="T956" s="47" t="n">
        <x:v>61.44</x:v>
      </x:c>
      <x:c r="U956" s="47" t="n">
        <x:v>30.4</x:v>
      </x:c>
      <x:c r="V956" s="47" t="n">
        <x:v>14.7</x:v>
      </x:c>
      <x:c r="W956" s="47" t="n">
        <x:v>0</x:v>
      </x:c>
      <x:c r="X956" s="47" t="n">
        <x:v>0</x:v>
      </x:c>
      <x:c r="Y956" s="41" t="n">
        <x:v>0</x:v>
      </x:c>
    </x:row>
    <x:row r="957">
      <x:c r="A957" s="38" t="str">
        <x:v>7月30日现场数据</x:v>
      </x:c>
      <x:c r="B957" s="66" t="str">
        <x:v>2026-08-02T21:12:15.151000</x:v>
      </x:c>
      <x:c r="C957" s="47" t="n">
        <x:v>300970</x:v>
      </x:c>
      <x:c r="D957" s="47" t="str"/>
      <x:c r="E957" s="47" t="str"/>
      <x:c r="F957" s="47" t="str">
        <x:v>current</x:v>
      </x:c>
      <x:c r="G957" s="47" t="n">
        <x:v>953</x:v>
      </x:c>
      <x:c r="H957" s="53" t="b">
        <x:v>1</x:v>
      </x:c>
      <x:c r="I957" s="47" t="str">
        <x:v>2682537910</x:v>
      </x:c>
      <x:c r="J957" s="47" t="n">
        <x:v>110192488</x:v>
      </x:c>
      <x:c r="K957" s="53" t="b">
        <x:v>1</x:v>
      </x:c>
      <x:c r="L957" s="53" t="b">
        <x:v>1</x:v>
      </x:c>
      <x:c r="M957" s="53" t="b">
        <x:v>1</x:v>
      </x:c>
      <x:c r="N957" s="53" t="b">
        <x:v>1</x:v>
      </x:c>
      <x:c r="O957" s="53" t="b">
        <x:v>1</x:v>
      </x:c>
      <x:c r="P957" s="47" t="n">
        <x:v>1010</x:v>
      </x:c>
      <x:c r="Q957" s="47" t="n">
        <x:v>0</x:v>
      </x:c>
      <x:c r="R957" s="47" t="n">
        <x:v>0</x:v>
      </x:c>
      <x:c r="S957" s="47" t="n">
        <x:v>30.69</x:v>
      </x:c>
      <x:c r="T957" s="47" t="n">
        <x:v>61.56</x:v>
      </x:c>
      <x:c r="U957" s="47" t="n">
        <x:v>30.4</x:v>
      </x:c>
      <x:c r="V957" s="47" t="n">
        <x:v>14.6</x:v>
      </x:c>
      <x:c r="W957" s="47" t="n">
        <x:v>0</x:v>
      </x:c>
      <x:c r="X957" s="47" t="n">
        <x:v>0</x:v>
      </x:c>
      <x:c r="Y957" s="41" t="n">
        <x:v>0</x:v>
      </x:c>
    </x:row>
    <x:row r="958">
      <x:c r="A958" s="38" t="str">
        <x:v>7月30日现场数据</x:v>
      </x:c>
      <x:c r="B958" s="66" t="str">
        <x:v>2026-08-02T21:17:16.123000</x:v>
      </x:c>
      <x:c r="C958" s="47" t="n">
        <x:v>300972</x:v>
      </x:c>
      <x:c r="D958" s="47" t="str"/>
      <x:c r="E958" s="47" t="str"/>
      <x:c r="F958" s="47" t="str">
        <x:v>current</x:v>
      </x:c>
      <x:c r="G958" s="47" t="n">
        <x:v>954</x:v>
      </x:c>
      <x:c r="H958" s="53" t="b">
        <x:v>1</x:v>
      </x:c>
      <x:c r="I958" s="47" t="str">
        <x:v>2682537910</x:v>
      </x:c>
      <x:c r="J958" s="47" t="n">
        <x:v>110493460</x:v>
      </x:c>
      <x:c r="K958" s="53" t="b">
        <x:v>1</x:v>
      </x:c>
      <x:c r="L958" s="53" t="b">
        <x:v>1</x:v>
      </x:c>
      <x:c r="M958" s="53" t="b">
        <x:v>1</x:v>
      </x:c>
      <x:c r="N958" s="53" t="b">
        <x:v>1</x:v>
      </x:c>
      <x:c r="O958" s="53" t="b">
        <x:v>1</x:v>
      </x:c>
      <x:c r="P958" s="47" t="n">
        <x:v>1010</x:v>
      </x:c>
      <x:c r="Q958" s="47" t="n">
        <x:v>0</x:v>
      </x:c>
      <x:c r="R958" s="47" t="n">
        <x:v>0</x:v>
      </x:c>
      <x:c r="S958" s="47" t="n">
        <x:v>30.67</x:v>
      </x:c>
      <x:c r="T958" s="47" t="n">
        <x:v>61.62</x:v>
      </x:c>
      <x:c r="U958" s="47" t="n">
        <x:v>30.4</x:v>
      </x:c>
      <x:c r="V958" s="47" t="n">
        <x:v>14.6</x:v>
      </x:c>
      <x:c r="W958" s="47" t="n">
        <x:v>0</x:v>
      </x:c>
      <x:c r="X958" s="47" t="n">
        <x:v>0</x:v>
      </x:c>
      <x:c r="Y958" s="41" t="n">
        <x:v>0</x:v>
      </x:c>
    </x:row>
    <x:row r="959">
      <x:c r="A959" s="38" t="str">
        <x:v>7月30日现场数据</x:v>
      </x:c>
      <x:c r="B959" s="66" t="str">
        <x:v>2026-08-02T21:22:17.101000</x:v>
      </x:c>
      <x:c r="C959" s="47" t="n">
        <x:v>300978</x:v>
      </x:c>
      <x:c r="D959" s="47" t="str"/>
      <x:c r="E959" s="47" t="str"/>
      <x:c r="F959" s="47" t="str">
        <x:v>current</x:v>
      </x:c>
      <x:c r="G959" s="47" t="n">
        <x:v>955</x:v>
      </x:c>
      <x:c r="H959" s="53" t="b">
        <x:v>1</x:v>
      </x:c>
      <x:c r="I959" s="47" t="str">
        <x:v>2682537910</x:v>
      </x:c>
      <x:c r="J959" s="47" t="n">
        <x:v>110794438</x:v>
      </x:c>
      <x:c r="K959" s="53" t="b">
        <x:v>1</x:v>
      </x:c>
      <x:c r="L959" s="53" t="b">
        <x:v>1</x:v>
      </x:c>
      <x:c r="M959" s="53" t="b">
        <x:v>1</x:v>
      </x:c>
      <x:c r="N959" s="53" t="b">
        <x:v>1</x:v>
      </x:c>
      <x:c r="O959" s="53" t="b">
        <x:v>1</x:v>
      </x:c>
      <x:c r="P959" s="47" t="n">
        <x:v>1010</x:v>
      </x:c>
      <x:c r="Q959" s="47" t="n">
        <x:v>0</x:v>
      </x:c>
      <x:c r="R959" s="47" t="n">
        <x:v>0</x:v>
      </x:c>
      <x:c r="S959" s="47" t="n">
        <x:v>30.61</x:v>
      </x:c>
      <x:c r="T959" s="47" t="n">
        <x:v>61.7</x:v>
      </x:c>
      <x:c r="U959" s="47" t="n">
        <x:v>30.3</x:v>
      </x:c>
      <x:c r="V959" s="47" t="n">
        <x:v>14.7</x:v>
      </x:c>
      <x:c r="W959" s="47" t="n">
        <x:v>0</x:v>
      </x:c>
      <x:c r="X959" s="47" t="n">
        <x:v>0</x:v>
      </x:c>
      <x:c r="Y959" s="41" t="n">
        <x:v>0</x:v>
      </x:c>
    </x:row>
    <x:row r="960">
      <x:c r="A960" s="38" t="str">
        <x:v>7月30日现场数据</x:v>
      </x:c>
      <x:c r="B960" s="66" t="str">
        <x:v>2026-08-02T21:27:18.079000</x:v>
      </x:c>
      <x:c r="C960" s="47" t="n">
        <x:v>300978</x:v>
      </x:c>
      <x:c r="D960" s="47" t="str"/>
      <x:c r="E960" s="47" t="str"/>
      <x:c r="F960" s="47" t="str">
        <x:v>current</x:v>
      </x:c>
      <x:c r="G960" s="47" t="n">
        <x:v>956</x:v>
      </x:c>
      <x:c r="H960" s="53" t="b">
        <x:v>1</x:v>
      </x:c>
      <x:c r="I960" s="47" t="str">
        <x:v>2682537910</x:v>
      </x:c>
      <x:c r="J960" s="47" t="n">
        <x:v>111095416</x:v>
      </x:c>
      <x:c r="K960" s="53" t="b">
        <x:v>1</x:v>
      </x:c>
      <x:c r="L960" s="53" t="b">
        <x:v>1</x:v>
      </x:c>
      <x:c r="M960" s="53" t="b">
        <x:v>1</x:v>
      </x:c>
      <x:c r="N960" s="53" t="b">
        <x:v>1</x:v>
      </x:c>
      <x:c r="O960" s="53" t="b">
        <x:v>1</x:v>
      </x:c>
      <x:c r="P960" s="47" t="n">
        <x:v>1010</x:v>
      </x:c>
      <x:c r="Q960" s="47" t="n">
        <x:v>0</x:v>
      </x:c>
      <x:c r="R960" s="47" t="n">
        <x:v>0</x:v>
      </x:c>
      <x:c r="S960" s="47" t="n">
        <x:v>30.62</x:v>
      </x:c>
      <x:c r="T960" s="47" t="n">
        <x:v>61.78</x:v>
      </x:c>
      <x:c r="U960" s="47" t="n">
        <x:v>30.3</x:v>
      </x:c>
      <x:c r="V960" s="47" t="n">
        <x:v>14.6</x:v>
      </x:c>
      <x:c r="W960" s="47" t="n">
        <x:v>0</x:v>
      </x:c>
      <x:c r="X960" s="47" t="n">
        <x:v>0</x:v>
      </x:c>
      <x:c r="Y960" s="41" t="n">
        <x:v>0</x:v>
      </x:c>
    </x:row>
    <x:row r="961">
      <x:c r="A961" s="38" t="str">
        <x:v>7月30日现场数据</x:v>
      </x:c>
      <x:c r="B961" s="66" t="str">
        <x:v>2026-08-02T21:32:19.055000</x:v>
      </x:c>
      <x:c r="C961" s="47" t="n">
        <x:v>300976</x:v>
      </x:c>
      <x:c r="D961" s="47" t="str"/>
      <x:c r="E961" s="47" t="str"/>
      <x:c r="F961" s="47" t="str">
        <x:v>current</x:v>
      </x:c>
      <x:c r="G961" s="47" t="n">
        <x:v>957</x:v>
      </x:c>
      <x:c r="H961" s="53" t="b">
        <x:v>1</x:v>
      </x:c>
      <x:c r="I961" s="47" t="str">
        <x:v>2682537910</x:v>
      </x:c>
      <x:c r="J961" s="47" t="n">
        <x:v>111396392</x:v>
      </x:c>
      <x:c r="K961" s="53" t="b">
        <x:v>1</x:v>
      </x:c>
      <x:c r="L961" s="53" t="b">
        <x:v>1</x:v>
      </x:c>
      <x:c r="M961" s="53" t="b">
        <x:v>1</x:v>
      </x:c>
      <x:c r="N961" s="53" t="b">
        <x:v>1</x:v>
      </x:c>
      <x:c r="O961" s="53" t="b">
        <x:v>1</x:v>
      </x:c>
      <x:c r="P961" s="47" t="n">
        <x:v>1010</x:v>
      </x:c>
      <x:c r="Q961" s="47" t="n">
        <x:v>0</x:v>
      </x:c>
      <x:c r="R961" s="47" t="n">
        <x:v>0</x:v>
      </x:c>
      <x:c r="S961" s="47" t="n">
        <x:v>30.58</x:v>
      </x:c>
      <x:c r="T961" s="47" t="n">
        <x:v>61.82</x:v>
      </x:c>
      <x:c r="U961" s="47" t="n">
        <x:v>30.3</x:v>
      </x:c>
      <x:c r="V961" s="47" t="n">
        <x:v>14.6</x:v>
      </x:c>
      <x:c r="W961" s="47" t="n">
        <x:v>0</x:v>
      </x:c>
      <x:c r="X961" s="47" t="n">
        <x:v>0</x:v>
      </x:c>
      <x:c r="Y961" s="41" t="n">
        <x:v>0</x:v>
      </x:c>
    </x:row>
    <x:row r="962">
      <x:c r="A962" s="38" t="str">
        <x:v>7月30日现场数据</x:v>
      </x:c>
      <x:c r="B962" s="66" t="str">
        <x:v>2026-08-02T21:37:20.038000</x:v>
      </x:c>
      <x:c r="C962" s="47" t="n">
        <x:v>300983</x:v>
      </x:c>
      <x:c r="D962" s="47" t="str"/>
      <x:c r="E962" s="47" t="str"/>
      <x:c r="F962" s="47" t="str">
        <x:v>current</x:v>
      </x:c>
      <x:c r="G962" s="47" t="n">
        <x:v>958</x:v>
      </x:c>
      <x:c r="H962" s="53" t="b">
        <x:v>1</x:v>
      </x:c>
      <x:c r="I962" s="47" t="str">
        <x:v>2682537910</x:v>
      </x:c>
      <x:c r="J962" s="47" t="n">
        <x:v>111697375</x:v>
      </x:c>
      <x:c r="K962" s="53" t="b">
        <x:v>1</x:v>
      </x:c>
      <x:c r="L962" s="53" t="b">
        <x:v>1</x:v>
      </x:c>
      <x:c r="M962" s="53" t="b">
        <x:v>1</x:v>
      </x:c>
      <x:c r="N962" s="53" t="b">
        <x:v>1</x:v>
      </x:c>
      <x:c r="O962" s="53" t="b">
        <x:v>1</x:v>
      </x:c>
      <x:c r="P962" s="47" t="n">
        <x:v>1010</x:v>
      </x:c>
      <x:c r="Q962" s="47" t="n">
        <x:v>0.043</x:v>
      </x:c>
      <x:c r="R962" s="47" t="n">
        <x:v>1.154</x:v>
      </x:c>
      <x:c r="S962" s="47" t="n">
        <x:v>30.59</x:v>
      </x:c>
      <x:c r="T962" s="47" t="n">
        <x:v>61.96</x:v>
      </x:c>
      <x:c r="U962" s="47" t="n">
        <x:v>30.3</x:v>
      </x:c>
      <x:c r="V962" s="47" t="n">
        <x:v>14.6</x:v>
      </x:c>
      <x:c r="W962" s="47" t="n">
        <x:v>0</x:v>
      </x:c>
      <x:c r="X962" s="47" t="n">
        <x:v>0</x:v>
      </x:c>
      <x:c r="Y962" s="41" t="n">
        <x:v>0</x:v>
      </x:c>
    </x:row>
    <x:row r="963">
      <x:c r="A963" s="38" t="str">
        <x:v>7月30日现场数据</x:v>
      </x:c>
      <x:c r="B963" s="66" t="str">
        <x:v>2026-08-02T21:42:21.021000</x:v>
      </x:c>
      <x:c r="C963" s="47" t="n">
        <x:v>300983</x:v>
      </x:c>
      <x:c r="D963" s="47" t="str"/>
      <x:c r="E963" s="47" t="str"/>
      <x:c r="F963" s="47" t="str">
        <x:v>current</x:v>
      </x:c>
      <x:c r="G963" s="47" t="n">
        <x:v>959</x:v>
      </x:c>
      <x:c r="H963" s="53" t="b">
        <x:v>1</x:v>
      </x:c>
      <x:c r="I963" s="47" t="str">
        <x:v>2682537910</x:v>
      </x:c>
      <x:c r="J963" s="47" t="n">
        <x:v>111998358</x:v>
      </x:c>
      <x:c r="K963" s="53" t="b">
        <x:v>1</x:v>
      </x:c>
      <x:c r="L963" s="53" t="b">
        <x:v>1</x:v>
      </x:c>
      <x:c r="M963" s="53" t="b">
        <x:v>1</x:v>
      </x:c>
      <x:c r="N963" s="53" t="b">
        <x:v>1</x:v>
      </x:c>
      <x:c r="O963" s="53" t="b">
        <x:v>1</x:v>
      </x:c>
      <x:c r="P963" s="47" t="n">
        <x:v>1010</x:v>
      </x:c>
      <x:c r="Q963" s="47" t="n">
        <x:v>0</x:v>
      </x:c>
      <x:c r="R963" s="47" t="n">
        <x:v>0</x:v>
      </x:c>
      <x:c r="S963" s="47" t="n">
        <x:v>30.57</x:v>
      </x:c>
      <x:c r="T963" s="47" t="n">
        <x:v>61.99</x:v>
      </x:c>
      <x:c r="U963" s="47" t="n">
        <x:v>30.3</x:v>
      </x:c>
      <x:c r="V963" s="47" t="n">
        <x:v>14.6</x:v>
      </x:c>
      <x:c r="W963" s="47" t="n">
        <x:v>0</x:v>
      </x:c>
      <x:c r="X963" s="47" t="n">
        <x:v>0</x:v>
      </x:c>
      <x:c r="Y963" s="41" t="n">
        <x:v>0</x:v>
      </x:c>
    </x:row>
    <x:row r="964">
      <x:c r="A964" s="38" t="str">
        <x:v>7月30日现场数据</x:v>
      </x:c>
      <x:c r="B964" s="66" t="str">
        <x:v>2026-08-02T21:47:22.007000</x:v>
      </x:c>
      <x:c r="C964" s="47" t="n">
        <x:v>300986</x:v>
      </x:c>
      <x:c r="D964" s="47" t="str"/>
      <x:c r="E964" s="47" t="str"/>
      <x:c r="F964" s="47" t="str">
        <x:v>current</x:v>
      </x:c>
      <x:c r="G964" s="47" t="n">
        <x:v>960</x:v>
      </x:c>
      <x:c r="H964" s="53" t="b">
        <x:v>1</x:v>
      </x:c>
      <x:c r="I964" s="47" t="str">
        <x:v>2682537910</x:v>
      </x:c>
      <x:c r="J964" s="47" t="n">
        <x:v>112299344</x:v>
      </x:c>
      <x:c r="K964" s="53" t="b">
        <x:v>1</x:v>
      </x:c>
      <x:c r="L964" s="53" t="b">
        <x:v>1</x:v>
      </x:c>
      <x:c r="M964" s="53" t="b">
        <x:v>1</x:v>
      </x:c>
      <x:c r="N964" s="53" t="b">
        <x:v>1</x:v>
      </x:c>
      <x:c r="O964" s="53" t="b">
        <x:v>1</x:v>
      </x:c>
      <x:c r="P964" s="47" t="n">
        <x:v>1010</x:v>
      </x:c>
      <x:c r="Q964" s="47" t="n">
        <x:v>0</x:v>
      </x:c>
      <x:c r="R964" s="47" t="n">
        <x:v>0</x:v>
      </x:c>
      <x:c r="S964" s="47" t="n">
        <x:v>30.61</x:v>
      </x:c>
      <x:c r="T964" s="47" t="n">
        <x:v>62.1</x:v>
      </x:c>
      <x:c r="U964" s="47" t="n">
        <x:v>30.3</x:v>
      </x:c>
      <x:c r="V964" s="47" t="n">
        <x:v>14.6</x:v>
      </x:c>
      <x:c r="W964" s="47" t="n">
        <x:v>0</x:v>
      </x:c>
      <x:c r="X964" s="47" t="n">
        <x:v>0</x:v>
      </x:c>
      <x:c r="Y964" s="41" t="n">
        <x:v>0</x:v>
      </x:c>
    </x:row>
    <x:row r="965">
      <x:c r="A965" s="38" t="str">
        <x:v>7月30日现场数据</x:v>
      </x:c>
      <x:c r="B965" s="66" t="str">
        <x:v>2026-08-02T21:52:22.991000</x:v>
      </x:c>
      <x:c r="C965" s="47" t="n">
        <x:v>300984</x:v>
      </x:c>
      <x:c r="D965" s="47" t="str"/>
      <x:c r="E965" s="47" t="str"/>
      <x:c r="F965" s="47" t="str">
        <x:v>current</x:v>
      </x:c>
      <x:c r="G965" s="47" t="n">
        <x:v>961</x:v>
      </x:c>
      <x:c r="H965" s="53" t="b">
        <x:v>1</x:v>
      </x:c>
      <x:c r="I965" s="47" t="str">
        <x:v>2682537910</x:v>
      </x:c>
      <x:c r="J965" s="47" t="n">
        <x:v>112600328</x:v>
      </x:c>
      <x:c r="K965" s="53" t="b">
        <x:v>1</x:v>
      </x:c>
      <x:c r="L965" s="53" t="b">
        <x:v>1</x:v>
      </x:c>
      <x:c r="M965" s="53" t="b">
        <x:v>1</x:v>
      </x:c>
      <x:c r="N965" s="53" t="b">
        <x:v>1</x:v>
      </x:c>
      <x:c r="O965" s="53" t="b">
        <x:v>1</x:v>
      </x:c>
      <x:c r="P965" s="47" t="n">
        <x:v>1010</x:v>
      </x:c>
      <x:c r="Q965" s="47" t="n">
        <x:v>0.011</x:v>
      </x:c>
      <x:c r="R965" s="47" t="n">
        <x:v>0.297</x:v>
      </x:c>
      <x:c r="S965" s="47" t="n">
        <x:v>30.63</x:v>
      </x:c>
      <x:c r="T965" s="47" t="n">
        <x:v>62.19</x:v>
      </x:c>
      <x:c r="U965" s="47" t="n">
        <x:v>30.3</x:v>
      </x:c>
      <x:c r="V965" s="47" t="n">
        <x:v>14.6</x:v>
      </x:c>
      <x:c r="W965" s="47" t="n">
        <x:v>0</x:v>
      </x:c>
      <x:c r="X965" s="47" t="n">
        <x:v>0</x:v>
      </x:c>
      <x:c r="Y965" s="41" t="n">
        <x:v>0</x:v>
      </x:c>
    </x:row>
    <x:row r="966">
      <x:c r="A966" s="38" t="str">
        <x:v>7月30日现场数据</x:v>
      </x:c>
      <x:c r="B966" s="66" t="str">
        <x:v>2026-08-02T21:57:23.980000</x:v>
      </x:c>
      <x:c r="C966" s="47" t="n">
        <x:v>300989</x:v>
      </x:c>
      <x:c r="D966" s="47" t="str"/>
      <x:c r="E966" s="47" t="str"/>
      <x:c r="F966" s="47" t="str">
        <x:v>current</x:v>
      </x:c>
      <x:c r="G966" s="47" t="n">
        <x:v>962</x:v>
      </x:c>
      <x:c r="H966" s="53" t="b">
        <x:v>1</x:v>
      </x:c>
      <x:c r="I966" s="47" t="str">
        <x:v>2682537910</x:v>
      </x:c>
      <x:c r="J966" s="47" t="n">
        <x:v>112901317</x:v>
      </x:c>
      <x:c r="K966" s="53" t="b">
        <x:v>1</x:v>
      </x:c>
      <x:c r="L966" s="53" t="b">
        <x:v>1</x:v>
      </x:c>
      <x:c r="M966" s="53" t="b">
        <x:v>1</x:v>
      </x:c>
      <x:c r="N966" s="53" t="b">
        <x:v>1</x:v>
      </x:c>
      <x:c r="O966" s="53" t="b">
        <x:v>1</x:v>
      </x:c>
      <x:c r="P966" s="47" t="n">
        <x:v>1010</x:v>
      </x:c>
      <x:c r="Q966" s="47" t="n">
        <x:v>0</x:v>
      </x:c>
      <x:c r="R966" s="47" t="n">
        <x:v>0</x:v>
      </x:c>
      <x:c r="S966" s="47" t="n">
        <x:v>30.65</x:v>
      </x:c>
      <x:c r="T966" s="47" t="n">
        <x:v>62.32</x:v>
      </x:c>
      <x:c r="U966" s="47" t="n">
        <x:v>30.3</x:v>
      </x:c>
      <x:c r="V966" s="47" t="n">
        <x:v>14.6</x:v>
      </x:c>
      <x:c r="W966" s="47" t="n">
        <x:v>0</x:v>
      </x:c>
      <x:c r="X966" s="47" t="n">
        <x:v>0</x:v>
      </x:c>
      <x:c r="Y966" s="41" t="n">
        <x:v>0</x:v>
      </x:c>
    </x:row>
    <x:row r="967">
      <x:c r="A967" s="38" t="str">
        <x:v>7月30日现场数据</x:v>
      </x:c>
      <x:c r="B967" s="66" t="str">
        <x:v>2026-08-02T22:02:24.987000</x:v>
      </x:c>
      <x:c r="C967" s="47" t="n">
        <x:v>301007</x:v>
      </x:c>
      <x:c r="D967" s="47" t="str"/>
      <x:c r="E967" s="47" t="str"/>
      <x:c r="F967" s="47" t="str">
        <x:v>current</x:v>
      </x:c>
      <x:c r="G967" s="47" t="n">
        <x:v>963</x:v>
      </x:c>
      <x:c r="H967" s="53" t="b">
        <x:v>1</x:v>
      </x:c>
      <x:c r="I967" s="47" t="str">
        <x:v>2682537910</x:v>
      </x:c>
      <x:c r="J967" s="47" t="n">
        <x:v>113202324</x:v>
      </x:c>
      <x:c r="K967" s="53" t="b">
        <x:v>1</x:v>
      </x:c>
      <x:c r="L967" s="53" t="b">
        <x:v>1</x:v>
      </x:c>
      <x:c r="M967" s="53" t="b">
        <x:v>1</x:v>
      </x:c>
      <x:c r="N967" s="53" t="b">
        <x:v>1</x:v>
      </x:c>
      <x:c r="O967" s="53" t="b">
        <x:v>1</x:v>
      </x:c>
      <x:c r="P967" s="47" t="n">
        <x:v>1010</x:v>
      </x:c>
      <x:c r="Q967" s="47" t="n">
        <x:v>0</x:v>
      </x:c>
      <x:c r="R967" s="47" t="n">
        <x:v>0</x:v>
      </x:c>
      <x:c r="S967" s="47" t="n">
        <x:v>30.67</x:v>
      </x:c>
      <x:c r="T967" s="47" t="n">
        <x:v>62.4</x:v>
      </x:c>
      <x:c r="U967" s="47" t="n">
        <x:v>30.3</x:v>
      </x:c>
      <x:c r="V967" s="47" t="n">
        <x:v>14.6</x:v>
      </x:c>
      <x:c r="W967" s="47" t="n">
        <x:v>0</x:v>
      </x:c>
      <x:c r="X967" s="47" t="n">
        <x:v>0</x:v>
      </x:c>
      <x:c r="Y967" s="41" t="n">
        <x:v>0</x:v>
      </x:c>
    </x:row>
    <x:row r="968">
      <x:c r="A968" s="38" t="str">
        <x:v>7月30日现场数据</x:v>
      </x:c>
      <x:c r="B968" s="66" t="str">
        <x:v>2026-08-02T22:07:25.963000</x:v>
      </x:c>
      <x:c r="C968" s="47" t="n">
        <x:v>300976</x:v>
      </x:c>
      <x:c r="D968" s="47" t="str"/>
      <x:c r="E968" s="47" t="str"/>
      <x:c r="F968" s="47" t="str">
        <x:v>current</x:v>
      </x:c>
      <x:c r="G968" s="47" t="n">
        <x:v>964</x:v>
      </x:c>
      <x:c r="H968" s="53" t="b">
        <x:v>1</x:v>
      </x:c>
      <x:c r="I968" s="47" t="str">
        <x:v>2682537910</x:v>
      </x:c>
      <x:c r="J968" s="47" t="n">
        <x:v>113503300</x:v>
      </x:c>
      <x:c r="K968" s="53" t="b">
        <x:v>1</x:v>
      </x:c>
      <x:c r="L968" s="53" t="b">
        <x:v>1</x:v>
      </x:c>
      <x:c r="M968" s="53" t="b">
        <x:v>1</x:v>
      </x:c>
      <x:c r="N968" s="53" t="b">
        <x:v>1</x:v>
      </x:c>
      <x:c r="O968" s="53" t="b">
        <x:v>1</x:v>
      </x:c>
      <x:c r="P968" s="47" t="n">
        <x:v>1010</x:v>
      </x:c>
      <x:c r="Q968" s="47" t="n">
        <x:v>0</x:v>
      </x:c>
      <x:c r="R968" s="47" t="n">
        <x:v>0</x:v>
      </x:c>
      <x:c r="S968" s="47" t="n">
        <x:v>30.68</x:v>
      </x:c>
      <x:c r="T968" s="47" t="n">
        <x:v>62.49</x:v>
      </x:c>
      <x:c r="U968" s="47" t="n">
        <x:v>30.3</x:v>
      </x:c>
      <x:c r="V968" s="47" t="n">
        <x:v>14.6</x:v>
      </x:c>
      <x:c r="W968" s="47" t="n">
        <x:v>0</x:v>
      </x:c>
      <x:c r="X968" s="47" t="n">
        <x:v>0</x:v>
      </x:c>
      <x:c r="Y968" s="41" t="n">
        <x:v>0</x:v>
      </x:c>
    </x:row>
    <x:row r="969">
      <x:c r="A969" s="38" t="str">
        <x:v>7月30日现场数据</x:v>
      </x:c>
      <x:c r="B969" s="66" t="str">
        <x:v>2026-08-02T22:12:26.941000</x:v>
      </x:c>
      <x:c r="C969" s="47" t="n">
        <x:v>300978</x:v>
      </x:c>
      <x:c r="D969" s="47" t="str"/>
      <x:c r="E969" s="47" t="str"/>
      <x:c r="F969" s="47" t="str">
        <x:v>current</x:v>
      </x:c>
      <x:c r="G969" s="47" t="n">
        <x:v>965</x:v>
      </x:c>
      <x:c r="H969" s="53" t="b">
        <x:v>1</x:v>
      </x:c>
      <x:c r="I969" s="47" t="str">
        <x:v>2682537910</x:v>
      </x:c>
      <x:c r="J969" s="47" t="n">
        <x:v>113804278</x:v>
      </x:c>
      <x:c r="K969" s="53" t="b">
        <x:v>1</x:v>
      </x:c>
      <x:c r="L969" s="53" t="b">
        <x:v>1</x:v>
      </x:c>
      <x:c r="M969" s="53" t="b">
        <x:v>1</x:v>
      </x:c>
      <x:c r="N969" s="53" t="b">
        <x:v>1</x:v>
      </x:c>
      <x:c r="O969" s="53" t="b">
        <x:v>1</x:v>
      </x:c>
      <x:c r="P969" s="47" t="n">
        <x:v>1010</x:v>
      </x:c>
      <x:c r="Q969" s="47" t="n">
        <x:v>0</x:v>
      </x:c>
      <x:c r="R969" s="47" t="n">
        <x:v>0</x:v>
      </x:c>
      <x:c r="S969" s="47" t="n">
        <x:v>30.68</x:v>
      </x:c>
      <x:c r="T969" s="47" t="n">
        <x:v>62.55</x:v>
      </x:c>
      <x:c r="U969" s="47" t="n">
        <x:v>30.3</x:v>
      </x:c>
      <x:c r="V969" s="47" t="n">
        <x:v>14.6</x:v>
      </x:c>
      <x:c r="W969" s="47" t="n">
        <x:v>0</x:v>
      </x:c>
      <x:c r="X969" s="47" t="n">
        <x:v>0</x:v>
      </x:c>
      <x:c r="Y969" s="41" t="n">
        <x:v>0</x:v>
      </x:c>
    </x:row>
    <x:row r="970">
      <x:c r="A970" s="38" t="str">
        <x:v>7月30日现场数据</x:v>
      </x:c>
      <x:c r="B970" s="66" t="str">
        <x:v>2026-08-02T22:17:27.958000</x:v>
      </x:c>
      <x:c r="C970" s="47" t="n">
        <x:v>301017</x:v>
      </x:c>
      <x:c r="D970" s="47" t="str"/>
      <x:c r="E970" s="47" t="str"/>
      <x:c r="F970" s="47" t="str">
        <x:v>current</x:v>
      </x:c>
      <x:c r="G970" s="47" t="n">
        <x:v>966</x:v>
      </x:c>
      <x:c r="H970" s="53" t="b">
        <x:v>1</x:v>
      </x:c>
      <x:c r="I970" s="47" t="str">
        <x:v>2682537910</x:v>
      </x:c>
      <x:c r="J970" s="47" t="n">
        <x:v>114105295</x:v>
      </x:c>
      <x:c r="K970" s="53" t="b">
        <x:v>1</x:v>
      </x:c>
      <x:c r="L970" s="53" t="b">
        <x:v>1</x:v>
      </x:c>
      <x:c r="M970" s="53" t="b">
        <x:v>1</x:v>
      </x:c>
      <x:c r="N970" s="53" t="b">
        <x:v>1</x:v>
      </x:c>
      <x:c r="O970" s="53" t="b">
        <x:v>1</x:v>
      </x:c>
      <x:c r="P970" s="47" t="n">
        <x:v>1010</x:v>
      </x:c>
      <x:c r="Q970" s="47" t="n">
        <x:v>0</x:v>
      </x:c>
      <x:c r="R970" s="47" t="n">
        <x:v>0</x:v>
      </x:c>
      <x:c r="S970" s="47" t="n">
        <x:v>30.68</x:v>
      </x:c>
      <x:c r="T970" s="47" t="n">
        <x:v>62.6</x:v>
      </x:c>
      <x:c r="U970" s="47" t="n">
        <x:v>30.2</x:v>
      </x:c>
      <x:c r="V970" s="47" t="n">
        <x:v>14.6</x:v>
      </x:c>
      <x:c r="W970" s="47" t="n">
        <x:v>0</x:v>
      </x:c>
      <x:c r="X970" s="47" t="n">
        <x:v>0</x:v>
      </x:c>
      <x:c r="Y970" s="41" t="n">
        <x:v>0</x:v>
      </x:c>
    </x:row>
    <x:row r="971">
      <x:c r="A971" s="38" t="str">
        <x:v>7月30日现场数据</x:v>
      </x:c>
      <x:c r="B971" s="66" t="str">
        <x:v>2026-08-02T22:22:28.915000</x:v>
      </x:c>
      <x:c r="C971" s="47" t="n">
        <x:v>300957</x:v>
      </x:c>
      <x:c r="D971" s="47" t="str"/>
      <x:c r="E971" s="47" t="str"/>
      <x:c r="F971" s="47" t="str">
        <x:v>current</x:v>
      </x:c>
      <x:c r="G971" s="47" t="n">
        <x:v>967</x:v>
      </x:c>
      <x:c r="H971" s="53" t="b">
        <x:v>1</x:v>
      </x:c>
      <x:c r="I971" s="47" t="str">
        <x:v>2682537910</x:v>
      </x:c>
      <x:c r="J971" s="47" t="n">
        <x:v>114406252</x:v>
      </x:c>
      <x:c r="K971" s="53" t="b">
        <x:v>1</x:v>
      </x:c>
      <x:c r="L971" s="53" t="b">
        <x:v>1</x:v>
      </x:c>
      <x:c r="M971" s="53" t="b">
        <x:v>1</x:v>
      </x:c>
      <x:c r="N971" s="53" t="b">
        <x:v>1</x:v>
      </x:c>
      <x:c r="O971" s="53" t="b">
        <x:v>1</x:v>
      </x:c>
      <x:c r="P971" s="47" t="n">
        <x:v>1009</x:v>
      </x:c>
      <x:c r="Q971" s="47" t="n">
        <x:v>0</x:v>
      </x:c>
      <x:c r="R971" s="47" t="n">
        <x:v>0</x:v>
      </x:c>
      <x:c r="S971" s="47" t="n">
        <x:v>30.65</x:v>
      </x:c>
      <x:c r="T971" s="47" t="n">
        <x:v>62.7</x:v>
      </x:c>
      <x:c r="U971" s="47" t="n">
        <x:v>30.2</x:v>
      </x:c>
      <x:c r="V971" s="47" t="n">
        <x:v>14.6</x:v>
      </x:c>
      <x:c r="W971" s="47" t="n">
        <x:v>0</x:v>
      </x:c>
      <x:c r="X971" s="47" t="n">
        <x:v>0</x:v>
      </x:c>
      <x:c r="Y971" s="41" t="n">
        <x:v>0</x:v>
      </x:c>
    </x:row>
    <x:row r="972">
      <x:c r="A972" s="38" t="str">
        <x:v>7月30日现场数据</x:v>
      </x:c>
      <x:c r="B972" s="66" t="str">
        <x:v>2026-08-02T22:27:29.873000</x:v>
      </x:c>
      <x:c r="C972" s="47" t="n">
        <x:v>300958</x:v>
      </x:c>
      <x:c r="D972" s="47" t="str"/>
      <x:c r="E972" s="47" t="str"/>
      <x:c r="F972" s="47" t="str">
        <x:v>current</x:v>
      </x:c>
      <x:c r="G972" s="47" t="n">
        <x:v>968</x:v>
      </x:c>
      <x:c r="H972" s="53" t="b">
        <x:v>1</x:v>
      </x:c>
      <x:c r="I972" s="47" t="str">
        <x:v>2682537910</x:v>
      </x:c>
      <x:c r="J972" s="47" t="n">
        <x:v>114707210</x:v>
      </x:c>
      <x:c r="K972" s="53" t="b">
        <x:v>1</x:v>
      </x:c>
      <x:c r="L972" s="53" t="b">
        <x:v>1</x:v>
      </x:c>
      <x:c r="M972" s="53" t="b">
        <x:v>1</x:v>
      </x:c>
      <x:c r="N972" s="53" t="b">
        <x:v>1</x:v>
      </x:c>
      <x:c r="O972" s="53" t="b">
        <x:v>1</x:v>
      </x:c>
      <x:c r="P972" s="47" t="n">
        <x:v>1010</x:v>
      </x:c>
      <x:c r="Q972" s="47" t="n">
        <x:v>0</x:v>
      </x:c>
      <x:c r="R972" s="47" t="n">
        <x:v>0</x:v>
      </x:c>
      <x:c r="S972" s="47" t="n">
        <x:v>30.64</x:v>
      </x:c>
      <x:c r="T972" s="47" t="n">
        <x:v>62.82</x:v>
      </x:c>
      <x:c r="U972" s="47" t="n">
        <x:v>30.2</x:v>
      </x:c>
      <x:c r="V972" s="47" t="n">
        <x:v>14.6</x:v>
      </x:c>
      <x:c r="W972" s="47" t="n">
        <x:v>0</x:v>
      </x:c>
      <x:c r="X972" s="47" t="n">
        <x:v>0</x:v>
      </x:c>
      <x:c r="Y972" s="41" t="n">
        <x:v>0</x:v>
      </x:c>
    </x:row>
    <x:row r="973">
      <x:c r="A973" s="38" t="str">
        <x:v>7月30日现场数据</x:v>
      </x:c>
      <x:c r="B973" s="66" t="str">
        <x:v>2026-08-02T22:32:30.834000</x:v>
      </x:c>
      <x:c r="C973" s="47" t="n">
        <x:v>300961</x:v>
      </x:c>
      <x:c r="D973" s="47" t="str"/>
      <x:c r="E973" s="47" t="str"/>
      <x:c r="F973" s="47" t="str">
        <x:v>current</x:v>
      </x:c>
      <x:c r="G973" s="47" t="n">
        <x:v>969</x:v>
      </x:c>
      <x:c r="H973" s="53" t="b">
        <x:v>1</x:v>
      </x:c>
      <x:c r="I973" s="47" t="str">
        <x:v>2682537910</x:v>
      </x:c>
      <x:c r="J973" s="47" t="n">
        <x:v>115008171</x:v>
      </x:c>
      <x:c r="K973" s="53" t="b">
        <x:v>1</x:v>
      </x:c>
      <x:c r="L973" s="53" t="b">
        <x:v>1</x:v>
      </x:c>
      <x:c r="M973" s="53" t="b">
        <x:v>1</x:v>
      </x:c>
      <x:c r="N973" s="53" t="b">
        <x:v>1</x:v>
      </x:c>
      <x:c r="O973" s="53" t="b">
        <x:v>1</x:v>
      </x:c>
      <x:c r="P973" s="47" t="n">
        <x:v>1010</x:v>
      </x:c>
      <x:c r="Q973" s="47" t="n">
        <x:v>0</x:v>
      </x:c>
      <x:c r="R973" s="47" t="n">
        <x:v>0</x:v>
      </x:c>
      <x:c r="S973" s="47" t="n">
        <x:v>30.63</x:v>
      </x:c>
      <x:c r="T973" s="47" t="n">
        <x:v>62.89</x:v>
      </x:c>
      <x:c r="U973" s="47" t="n">
        <x:v>30.2</x:v>
      </x:c>
      <x:c r="V973" s="47" t="n">
        <x:v>14.6</x:v>
      </x:c>
      <x:c r="W973" s="47" t="n">
        <x:v>0</x:v>
      </x:c>
      <x:c r="X973" s="47" t="n">
        <x:v>0</x:v>
      </x:c>
      <x:c r="Y973" s="41" t="n">
        <x:v>0</x:v>
      </x:c>
    </x:row>
    <x:row r="974">
      <x:c r="A974" s="38" t="str">
        <x:v>7月30日现场数据</x:v>
      </x:c>
      <x:c r="B974" s="66" t="str">
        <x:v>2026-08-02T22:37:31.798000</x:v>
      </x:c>
      <x:c r="C974" s="47" t="n">
        <x:v>300964</x:v>
      </x:c>
      <x:c r="D974" s="47" t="str"/>
      <x:c r="E974" s="47" t="str"/>
      <x:c r="F974" s="47" t="str">
        <x:v>current</x:v>
      </x:c>
      <x:c r="G974" s="47" t="n">
        <x:v>970</x:v>
      </x:c>
      <x:c r="H974" s="53" t="b">
        <x:v>1</x:v>
      </x:c>
      <x:c r="I974" s="47" t="str">
        <x:v>2682537910</x:v>
      </x:c>
      <x:c r="J974" s="47" t="n">
        <x:v>115309135</x:v>
      </x:c>
      <x:c r="K974" s="53" t="b">
        <x:v>1</x:v>
      </x:c>
      <x:c r="L974" s="53" t="b">
        <x:v>1</x:v>
      </x:c>
      <x:c r="M974" s="53" t="b">
        <x:v>1</x:v>
      </x:c>
      <x:c r="N974" s="53" t="b">
        <x:v>1</x:v>
      </x:c>
      <x:c r="O974" s="53" t="b">
        <x:v>1</x:v>
      </x:c>
      <x:c r="P974" s="47" t="n">
        <x:v>1010</x:v>
      </x:c>
      <x:c r="Q974" s="47" t="n">
        <x:v>0</x:v>
      </x:c>
      <x:c r="R974" s="47" t="n">
        <x:v>0</x:v>
      </x:c>
      <x:c r="S974" s="47" t="n">
        <x:v>30.62</x:v>
      </x:c>
      <x:c r="T974" s="47" t="n">
        <x:v>62.94</x:v>
      </x:c>
      <x:c r="U974" s="47" t="n">
        <x:v>30.2</x:v>
      </x:c>
      <x:c r="V974" s="47" t="n">
        <x:v>14.6</x:v>
      </x:c>
      <x:c r="W974" s="47" t="n">
        <x:v>0</x:v>
      </x:c>
      <x:c r="X974" s="47" t="n">
        <x:v>0</x:v>
      </x:c>
      <x:c r="Y974" s="41" t="n">
        <x:v>0</x:v>
      </x:c>
    </x:row>
    <x:row r="975">
      <x:c r="A975" s="38" t="str">
        <x:v>7月30日现场数据</x:v>
      </x:c>
      <x:c r="B975" s="66" t="str">
        <x:v>2026-08-02T22:42:32.760000</x:v>
      </x:c>
      <x:c r="C975" s="47" t="n">
        <x:v>300962</x:v>
      </x:c>
      <x:c r="D975" s="47" t="str"/>
      <x:c r="E975" s="47" t="str"/>
      <x:c r="F975" s="47" t="str">
        <x:v>current</x:v>
      </x:c>
      <x:c r="G975" s="47" t="n">
        <x:v>971</x:v>
      </x:c>
      <x:c r="H975" s="53" t="b">
        <x:v>1</x:v>
      </x:c>
      <x:c r="I975" s="47" t="str">
        <x:v>2682537910</x:v>
      </x:c>
      <x:c r="J975" s="47" t="n">
        <x:v>115610097</x:v>
      </x:c>
      <x:c r="K975" s="53" t="b">
        <x:v>1</x:v>
      </x:c>
      <x:c r="L975" s="53" t="b">
        <x:v>1</x:v>
      </x:c>
      <x:c r="M975" s="53" t="b">
        <x:v>1</x:v>
      </x:c>
      <x:c r="N975" s="53" t="b">
        <x:v>1</x:v>
      </x:c>
      <x:c r="O975" s="53" t="b">
        <x:v>1</x:v>
      </x:c>
      <x:c r="P975" s="47" t="n">
        <x:v>1010</x:v>
      </x:c>
      <x:c r="Q975" s="47" t="n">
        <x:v>0</x:v>
      </x:c>
      <x:c r="R975" s="47" t="n">
        <x:v>0</x:v>
      </x:c>
      <x:c r="S975" s="47" t="n">
        <x:v>30.56</x:v>
      </x:c>
      <x:c r="T975" s="47" t="n">
        <x:v>63.03</x:v>
      </x:c>
      <x:c r="U975" s="47" t="n">
        <x:v>30.2</x:v>
      </x:c>
      <x:c r="V975" s="47" t="n">
        <x:v>14.6</x:v>
      </x:c>
      <x:c r="W975" s="47" t="n">
        <x:v>0</x:v>
      </x:c>
      <x:c r="X975" s="47" t="n">
        <x:v>0</x:v>
      </x:c>
      <x:c r="Y975" s="41" t="n">
        <x:v>0</x:v>
      </x:c>
    </x:row>
    <x:row r="976">
      <x:c r="A976" s="38" t="str">
        <x:v>7月30日现场数据</x:v>
      </x:c>
      <x:c r="B976" s="66" t="str">
        <x:v>2026-08-02T22:47:33.727000</x:v>
      </x:c>
      <x:c r="C976" s="47" t="n">
        <x:v>300967</x:v>
      </x:c>
      <x:c r="D976" s="47" t="str"/>
      <x:c r="E976" s="47" t="str"/>
      <x:c r="F976" s="47" t="str">
        <x:v>current</x:v>
      </x:c>
      <x:c r="G976" s="47" t="n">
        <x:v>972</x:v>
      </x:c>
      <x:c r="H976" s="53" t="b">
        <x:v>1</x:v>
      </x:c>
      <x:c r="I976" s="47" t="str">
        <x:v>2682537910</x:v>
      </x:c>
      <x:c r="J976" s="47" t="n">
        <x:v>115911064</x:v>
      </x:c>
      <x:c r="K976" s="53" t="b">
        <x:v>1</x:v>
      </x:c>
      <x:c r="L976" s="53" t="b">
        <x:v>1</x:v>
      </x:c>
      <x:c r="M976" s="53" t="b">
        <x:v>1</x:v>
      </x:c>
      <x:c r="N976" s="53" t="b">
        <x:v>1</x:v>
      </x:c>
      <x:c r="O976" s="53" t="b">
        <x:v>1</x:v>
      </x:c>
      <x:c r="P976" s="47" t="n">
        <x:v>1010</x:v>
      </x:c>
      <x:c r="Q976" s="47" t="n">
        <x:v>0</x:v>
      </x:c>
      <x:c r="R976" s="47" t="n">
        <x:v>0</x:v>
      </x:c>
      <x:c r="S976" s="47" t="n">
        <x:v>30.51</x:v>
      </x:c>
      <x:c r="T976" s="47" t="n">
        <x:v>63.09</x:v>
      </x:c>
      <x:c r="U976" s="47" t="n">
        <x:v>30.2</x:v>
      </x:c>
      <x:c r="V976" s="47" t="n">
        <x:v>14.6</x:v>
      </x:c>
      <x:c r="W976" s="47" t="n">
        <x:v>0</x:v>
      </x:c>
      <x:c r="X976" s="47" t="n">
        <x:v>0</x:v>
      </x:c>
      <x:c r="Y976" s="41" t="n">
        <x:v>0</x:v>
      </x:c>
    </x:row>
    <x:row r="977">
      <x:c r="A977" s="38" t="str">
        <x:v>7月30日现场数据</x:v>
      </x:c>
      <x:c r="B977" s="66" t="str">
        <x:v>2026-08-02T22:52:34.695000</x:v>
      </x:c>
      <x:c r="C977" s="47" t="n">
        <x:v>300968</x:v>
      </x:c>
      <x:c r="D977" s="47" t="str"/>
      <x:c r="E977" s="47" t="str"/>
      <x:c r="F977" s="47" t="str">
        <x:v>current</x:v>
      </x:c>
      <x:c r="G977" s="47" t="n">
        <x:v>973</x:v>
      </x:c>
      <x:c r="H977" s="53" t="b">
        <x:v>1</x:v>
      </x:c>
      <x:c r="I977" s="47" t="str">
        <x:v>2682537910</x:v>
      </x:c>
      <x:c r="J977" s="47" t="n">
        <x:v>116212032</x:v>
      </x:c>
      <x:c r="K977" s="53" t="b">
        <x:v>1</x:v>
      </x:c>
      <x:c r="L977" s="53" t="b">
        <x:v>1</x:v>
      </x:c>
      <x:c r="M977" s="53" t="b">
        <x:v>1</x:v>
      </x:c>
      <x:c r="N977" s="53" t="b">
        <x:v>1</x:v>
      </x:c>
      <x:c r="O977" s="53" t="b">
        <x:v>1</x:v>
      </x:c>
      <x:c r="P977" s="47" t="n">
        <x:v>1010</x:v>
      </x:c>
      <x:c r="Q977" s="47" t="n">
        <x:v>0</x:v>
      </x:c>
      <x:c r="R977" s="47" t="n">
        <x:v>0</x:v>
      </x:c>
      <x:c r="S977" s="47" t="n">
        <x:v>30.47</x:v>
      </x:c>
      <x:c r="T977" s="47" t="n">
        <x:v>63.1</x:v>
      </x:c>
      <x:c r="U977" s="47" t="n">
        <x:v>30.2</x:v>
      </x:c>
      <x:c r="V977" s="47" t="n">
        <x:v>14.6</x:v>
      </x:c>
      <x:c r="W977" s="47" t="n">
        <x:v>0</x:v>
      </x:c>
      <x:c r="X977" s="47" t="n">
        <x:v>0</x:v>
      </x:c>
      <x:c r="Y977" s="41" t="n">
        <x:v>0</x:v>
      </x:c>
    </x:row>
    <x:row r="978">
      <x:c r="A978" s="38" t="str">
        <x:v>7月30日现场数据</x:v>
      </x:c>
      <x:c r="B978" s="66" t="str">
        <x:v>2026-08-02T22:57:35.665000</x:v>
      </x:c>
      <x:c r="C978" s="47" t="n">
        <x:v>300970</x:v>
      </x:c>
      <x:c r="D978" s="47" t="str"/>
      <x:c r="E978" s="47" t="str"/>
      <x:c r="F978" s="47" t="str">
        <x:v>current</x:v>
      </x:c>
      <x:c r="G978" s="47" t="n">
        <x:v>974</x:v>
      </x:c>
      <x:c r="H978" s="53" t="b">
        <x:v>1</x:v>
      </x:c>
      <x:c r="I978" s="47" t="str">
        <x:v>2682537910</x:v>
      </x:c>
      <x:c r="J978" s="47" t="n">
        <x:v>116513002</x:v>
      </x:c>
      <x:c r="K978" s="53" t="b">
        <x:v>1</x:v>
      </x:c>
      <x:c r="L978" s="53" t="b">
        <x:v>1</x:v>
      </x:c>
      <x:c r="M978" s="53" t="b">
        <x:v>1</x:v>
      </x:c>
      <x:c r="N978" s="53" t="b">
        <x:v>1</x:v>
      </x:c>
      <x:c r="O978" s="53" t="b">
        <x:v>1</x:v>
      </x:c>
      <x:c r="P978" s="47" t="n">
        <x:v>1009</x:v>
      </x:c>
      <x:c r="Q978" s="47" t="n">
        <x:v>0</x:v>
      </x:c>
      <x:c r="R978" s="47" t="n">
        <x:v>0</x:v>
      </x:c>
      <x:c r="S978" s="47" t="n">
        <x:v>30.39</x:v>
      </x:c>
      <x:c r="T978" s="47" t="n">
        <x:v>63.22</x:v>
      </x:c>
      <x:c r="U978" s="47" t="n">
        <x:v>30.2</x:v>
      </x:c>
      <x:c r="V978" s="47" t="n">
        <x:v>14.6</x:v>
      </x:c>
      <x:c r="W978" s="47" t="n">
        <x:v>0</x:v>
      </x:c>
      <x:c r="X978" s="47" t="n">
        <x:v>0</x:v>
      </x:c>
      <x:c r="Y978" s="41" t="n">
        <x:v>0</x:v>
      </x:c>
    </x:row>
    <x:row r="979">
      <x:c r="A979" s="38" t="str">
        <x:v>7月30日现场数据</x:v>
      </x:c>
      <x:c r="B979" s="66" t="str">
        <x:v>2026-08-02T23:02:36.635000</x:v>
      </x:c>
      <x:c r="C979" s="47" t="n">
        <x:v>300970</x:v>
      </x:c>
      <x:c r="D979" s="47" t="str"/>
      <x:c r="E979" s="47" t="str"/>
      <x:c r="F979" s="47" t="str">
        <x:v>current</x:v>
      </x:c>
      <x:c r="G979" s="47" t="n">
        <x:v>975</x:v>
      </x:c>
      <x:c r="H979" s="53" t="b">
        <x:v>1</x:v>
      </x:c>
      <x:c r="I979" s="47" t="str">
        <x:v>2682537910</x:v>
      </x:c>
      <x:c r="J979" s="47" t="n">
        <x:v>116813972</x:v>
      </x:c>
      <x:c r="K979" s="53" t="b">
        <x:v>1</x:v>
      </x:c>
      <x:c r="L979" s="53" t="b">
        <x:v>1</x:v>
      </x:c>
      <x:c r="M979" s="53" t="b">
        <x:v>1</x:v>
      </x:c>
      <x:c r="N979" s="53" t="b">
        <x:v>1</x:v>
      </x:c>
      <x:c r="O979" s="53" t="b">
        <x:v>1</x:v>
      </x:c>
      <x:c r="P979" s="47" t="n">
        <x:v>1010</x:v>
      </x:c>
      <x:c r="Q979" s="47" t="n">
        <x:v>0</x:v>
      </x:c>
      <x:c r="R979" s="47" t="n">
        <x:v>0</x:v>
      </x:c>
      <x:c r="S979" s="47" t="n">
        <x:v>30.35</x:v>
      </x:c>
      <x:c r="T979" s="47" t="n">
        <x:v>63.28</x:v>
      </x:c>
      <x:c r="U979" s="47" t="n">
        <x:v>30.1</x:v>
      </x:c>
      <x:c r="V979" s="47" t="n">
        <x:v>14.5</x:v>
      </x:c>
      <x:c r="W979" s="47" t="n">
        <x:v>0</x:v>
      </x:c>
      <x:c r="X979" s="47" t="n">
        <x:v>0</x:v>
      </x:c>
      <x:c r="Y979" s="41" t="n">
        <x:v>0</x:v>
      </x:c>
    </x:row>
    <x:row r="980">
      <x:c r="A980" s="38" t="str">
        <x:v>7月30日现场数据</x:v>
      </x:c>
      <x:c r="B980" s="66" t="str">
        <x:v>2026-08-02T23:07:37.608000</x:v>
      </x:c>
      <x:c r="C980" s="47" t="n">
        <x:v>300973</x:v>
      </x:c>
      <x:c r="D980" s="47" t="str"/>
      <x:c r="E980" s="47" t="str"/>
      <x:c r="F980" s="47" t="str">
        <x:v>current</x:v>
      </x:c>
      <x:c r="G980" s="47" t="n">
        <x:v>976</x:v>
      </x:c>
      <x:c r="H980" s="53" t="b">
        <x:v>1</x:v>
      </x:c>
      <x:c r="I980" s="47" t="str">
        <x:v>2682537910</x:v>
      </x:c>
      <x:c r="J980" s="47" t="n">
        <x:v>117114945</x:v>
      </x:c>
      <x:c r="K980" s="53" t="b">
        <x:v>1</x:v>
      </x:c>
      <x:c r="L980" s="53" t="b">
        <x:v>1</x:v>
      </x:c>
      <x:c r="M980" s="53" t="b">
        <x:v>1</x:v>
      </x:c>
      <x:c r="N980" s="53" t="b">
        <x:v>1</x:v>
      </x:c>
      <x:c r="O980" s="53" t="b">
        <x:v>1</x:v>
      </x:c>
      <x:c r="P980" s="47" t="n">
        <x:v>1010</x:v>
      </x:c>
      <x:c r="Q980" s="47" t="n">
        <x:v>0</x:v>
      </x:c>
      <x:c r="R980" s="47" t="n">
        <x:v>0</x:v>
      </x:c>
      <x:c r="S980" s="47" t="n">
        <x:v>30.32</x:v>
      </x:c>
      <x:c r="T980" s="47" t="n">
        <x:v>63.37</x:v>
      </x:c>
      <x:c r="U980" s="47" t="n">
        <x:v>30.1</x:v>
      </x:c>
      <x:c r="V980" s="47" t="n">
        <x:v>14.6</x:v>
      </x:c>
      <x:c r="W980" s="47" t="n">
        <x:v>0</x:v>
      </x:c>
      <x:c r="X980" s="47" t="n">
        <x:v>0</x:v>
      </x:c>
      <x:c r="Y980" s="41" t="n">
        <x:v>0</x:v>
      </x:c>
    </x:row>
    <x:row r="981">
      <x:c r="A981" s="38" t="str">
        <x:v>7月30日现场数据</x:v>
      </x:c>
      <x:c r="B981" s="66" t="str">
        <x:v>2026-08-02T23:12:38.583000</x:v>
      </x:c>
      <x:c r="C981" s="47" t="n">
        <x:v>300975</x:v>
      </x:c>
      <x:c r="D981" s="47" t="str"/>
      <x:c r="E981" s="47" t="str"/>
      <x:c r="F981" s="47" t="str">
        <x:v>current</x:v>
      </x:c>
      <x:c r="G981" s="47" t="n">
        <x:v>977</x:v>
      </x:c>
      <x:c r="H981" s="53" t="b">
        <x:v>1</x:v>
      </x:c>
      <x:c r="I981" s="47" t="str">
        <x:v>2682537910</x:v>
      </x:c>
      <x:c r="J981" s="47" t="n">
        <x:v>117415920</x:v>
      </x:c>
      <x:c r="K981" s="53" t="b">
        <x:v>1</x:v>
      </x:c>
      <x:c r="L981" s="53" t="b">
        <x:v>1</x:v>
      </x:c>
      <x:c r="M981" s="53" t="b">
        <x:v>1</x:v>
      </x:c>
      <x:c r="N981" s="53" t="b">
        <x:v>1</x:v>
      </x:c>
      <x:c r="O981" s="53" t="b">
        <x:v>1</x:v>
      </x:c>
      <x:c r="P981" s="47" t="n">
        <x:v>1010</x:v>
      </x:c>
      <x:c r="Q981" s="47" t="n">
        <x:v>0</x:v>
      </x:c>
      <x:c r="R981" s="47" t="n">
        <x:v>0</x:v>
      </x:c>
      <x:c r="S981" s="47" t="n">
        <x:v>30.29</x:v>
      </x:c>
      <x:c r="T981" s="47" t="n">
        <x:v>63.36</x:v>
      </x:c>
      <x:c r="U981" s="47" t="n">
        <x:v>30.1</x:v>
      </x:c>
      <x:c r="V981" s="47" t="n">
        <x:v>14.6</x:v>
      </x:c>
      <x:c r="W981" s="47" t="n">
        <x:v>0</x:v>
      </x:c>
      <x:c r="X981" s="47" t="n">
        <x:v>0</x:v>
      </x:c>
      <x:c r="Y981" s="41" t="n">
        <x:v>0</x:v>
      </x:c>
    </x:row>
    <x:row r="982">
      <x:c r="A982" s="38" t="str">
        <x:v>7月30日现场数据</x:v>
      </x:c>
      <x:c r="B982" s="66" t="str">
        <x:v>2026-08-02T23:17:39.563000</x:v>
      </x:c>
      <x:c r="C982" s="47" t="n">
        <x:v>300980</x:v>
      </x:c>
      <x:c r="D982" s="47" t="str"/>
      <x:c r="E982" s="47" t="str"/>
      <x:c r="F982" s="47" t="str">
        <x:v>current</x:v>
      </x:c>
      <x:c r="G982" s="47" t="n">
        <x:v>978</x:v>
      </x:c>
      <x:c r="H982" s="53" t="b">
        <x:v>1</x:v>
      </x:c>
      <x:c r="I982" s="47" t="str">
        <x:v>2682537910</x:v>
      </x:c>
      <x:c r="J982" s="47" t="n">
        <x:v>117716900</x:v>
      </x:c>
      <x:c r="K982" s="53" t="b">
        <x:v>1</x:v>
      </x:c>
      <x:c r="L982" s="53" t="b">
        <x:v>1</x:v>
      </x:c>
      <x:c r="M982" s="53" t="b">
        <x:v>1</x:v>
      </x:c>
      <x:c r="N982" s="53" t="b">
        <x:v>1</x:v>
      </x:c>
      <x:c r="O982" s="53" t="b">
        <x:v>1</x:v>
      </x:c>
      <x:c r="P982" s="47" t="n">
        <x:v>1010</x:v>
      </x:c>
      <x:c r="Q982" s="47" t="n">
        <x:v>0</x:v>
      </x:c>
      <x:c r="R982" s="47" t="n">
        <x:v>0</x:v>
      </x:c>
      <x:c r="S982" s="47" t="n">
        <x:v>30.29</x:v>
      </x:c>
      <x:c r="T982" s="47" t="n">
        <x:v>63.44</x:v>
      </x:c>
      <x:c r="U982" s="47" t="n">
        <x:v>30.1</x:v>
      </x:c>
      <x:c r="V982" s="47" t="n">
        <x:v>14.6</x:v>
      </x:c>
      <x:c r="W982" s="47" t="n">
        <x:v>0</x:v>
      </x:c>
      <x:c r="X982" s="47" t="n">
        <x:v>0</x:v>
      </x:c>
      <x:c r="Y982" s="41" t="n">
        <x:v>0</x:v>
      </x:c>
    </x:row>
    <x:row r="983">
      <x:c r="A983" s="38" t="str">
        <x:v>7月30日现场数据</x:v>
      </x:c>
      <x:c r="B983" s="66" t="str">
        <x:v>2026-08-02T23:22:40.539000</x:v>
      </x:c>
      <x:c r="C983" s="47" t="n">
        <x:v>300976</x:v>
      </x:c>
      <x:c r="D983" s="47" t="str"/>
      <x:c r="E983" s="47" t="str"/>
      <x:c r="F983" s="47" t="str">
        <x:v>current</x:v>
      </x:c>
      <x:c r="G983" s="47" t="n">
        <x:v>979</x:v>
      </x:c>
      <x:c r="H983" s="53" t="b">
        <x:v>1</x:v>
      </x:c>
      <x:c r="I983" s="47" t="str">
        <x:v>2682537910</x:v>
      </x:c>
      <x:c r="J983" s="47" t="n">
        <x:v>118017876</x:v>
      </x:c>
      <x:c r="K983" s="53" t="b">
        <x:v>1</x:v>
      </x:c>
      <x:c r="L983" s="53" t="b">
        <x:v>1</x:v>
      </x:c>
      <x:c r="M983" s="53" t="b">
        <x:v>1</x:v>
      </x:c>
      <x:c r="N983" s="53" t="b">
        <x:v>1</x:v>
      </x:c>
      <x:c r="O983" s="53" t="b">
        <x:v>1</x:v>
      </x:c>
      <x:c r="P983" s="47" t="n">
        <x:v>1010</x:v>
      </x:c>
      <x:c r="Q983" s="47" t="n">
        <x:v>0</x:v>
      </x:c>
      <x:c r="R983" s="47" t="n">
        <x:v>0</x:v>
      </x:c>
      <x:c r="S983" s="47" t="n">
        <x:v>30.29</x:v>
      </x:c>
      <x:c r="T983" s="47" t="n">
        <x:v>63.51</x:v>
      </x:c>
      <x:c r="U983" s="47" t="n">
        <x:v>30</x:v>
      </x:c>
      <x:c r="V983" s="47" t="n">
        <x:v>14.6</x:v>
      </x:c>
      <x:c r="W983" s="47" t="n">
        <x:v>0</x:v>
      </x:c>
      <x:c r="X983" s="47" t="n">
        <x:v>0</x:v>
      </x:c>
      <x:c r="Y983" s="41" t="n">
        <x:v>0</x:v>
      </x:c>
    </x:row>
    <x:row r="984">
      <x:c r="A984" s="38" t="str">
        <x:v>7月30日现场数据</x:v>
      </x:c>
      <x:c r="B984" s="66" t="str">
        <x:v>2026-08-02T23:27:41.519000</x:v>
      </x:c>
      <x:c r="C984" s="47" t="n">
        <x:v>300980</x:v>
      </x:c>
      <x:c r="D984" s="47" t="str"/>
      <x:c r="E984" s="47" t="str"/>
      <x:c r="F984" s="47" t="str">
        <x:v>current</x:v>
      </x:c>
      <x:c r="G984" s="47" t="n">
        <x:v>980</x:v>
      </x:c>
      <x:c r="H984" s="53" t="b">
        <x:v>1</x:v>
      </x:c>
      <x:c r="I984" s="47" t="str">
        <x:v>2682537910</x:v>
      </x:c>
      <x:c r="J984" s="47" t="n">
        <x:v>118318856</x:v>
      </x:c>
      <x:c r="K984" s="53" t="b">
        <x:v>1</x:v>
      </x:c>
      <x:c r="L984" s="53" t="b">
        <x:v>1</x:v>
      </x:c>
      <x:c r="M984" s="53" t="b">
        <x:v>1</x:v>
      </x:c>
      <x:c r="N984" s="53" t="b">
        <x:v>1</x:v>
      </x:c>
      <x:c r="O984" s="53" t="b">
        <x:v>1</x:v>
      </x:c>
      <x:c r="P984" s="47" t="n">
        <x:v>1010</x:v>
      </x:c>
      <x:c r="Q984" s="47" t="n">
        <x:v>0</x:v>
      </x:c>
      <x:c r="R984" s="47" t="n">
        <x:v>0</x:v>
      </x:c>
      <x:c r="S984" s="47" t="n">
        <x:v>30.27</x:v>
      </x:c>
      <x:c r="T984" s="47" t="n">
        <x:v>63.57</x:v>
      </x:c>
      <x:c r="U984" s="47" t="n">
        <x:v>30</x:v>
      </x:c>
      <x:c r="V984" s="47" t="n">
        <x:v>14.6</x:v>
      </x:c>
      <x:c r="W984" s="47" t="n">
        <x:v>0</x:v>
      </x:c>
      <x:c r="X984" s="47" t="n">
        <x:v>0</x:v>
      </x:c>
      <x:c r="Y984" s="41" t="n">
        <x:v>0</x:v>
      </x:c>
    </x:row>
    <x:row r="985">
      <x:c r="A985" s="38" t="str">
        <x:v>7月30日现场数据</x:v>
      </x:c>
      <x:c r="B985" s="66" t="str">
        <x:v>2026-08-02T23:32:42.500000</x:v>
      </x:c>
      <x:c r="C985" s="47" t="n">
        <x:v>300981</x:v>
      </x:c>
      <x:c r="D985" s="47" t="str"/>
      <x:c r="E985" s="47" t="str"/>
      <x:c r="F985" s="47" t="str">
        <x:v>current</x:v>
      </x:c>
      <x:c r="G985" s="47" t="n">
        <x:v>981</x:v>
      </x:c>
      <x:c r="H985" s="53" t="b">
        <x:v>1</x:v>
      </x:c>
      <x:c r="I985" s="47" t="str">
        <x:v>2682537910</x:v>
      </x:c>
      <x:c r="J985" s="47" t="n">
        <x:v>118619837</x:v>
      </x:c>
      <x:c r="K985" s="53" t="b">
        <x:v>1</x:v>
      </x:c>
      <x:c r="L985" s="53" t="b">
        <x:v>1</x:v>
      </x:c>
      <x:c r="M985" s="53" t="b">
        <x:v>1</x:v>
      </x:c>
      <x:c r="N985" s="53" t="b">
        <x:v>1</x:v>
      </x:c>
      <x:c r="O985" s="53" t="b">
        <x:v>1</x:v>
      </x:c>
      <x:c r="P985" s="47" t="n">
        <x:v>1010</x:v>
      </x:c>
      <x:c r="Q985" s="47" t="n">
        <x:v>0</x:v>
      </x:c>
      <x:c r="R985" s="47" t="n">
        <x:v>0</x:v>
      </x:c>
      <x:c r="S985" s="47" t="n">
        <x:v>30.3</x:v>
      </x:c>
      <x:c r="T985" s="47" t="n">
        <x:v>63.66</x:v>
      </x:c>
      <x:c r="U985" s="47" t="n">
        <x:v>30</x:v>
      </x:c>
      <x:c r="V985" s="47" t="n">
        <x:v>14.6</x:v>
      </x:c>
      <x:c r="W985" s="47" t="n">
        <x:v>0</x:v>
      </x:c>
      <x:c r="X985" s="47" t="n">
        <x:v>0</x:v>
      </x:c>
      <x:c r="Y985" s="41" t="n">
        <x:v>0</x:v>
      </x:c>
    </x:row>
    <x:row r="986">
      <x:c r="A986" s="38" t="str">
        <x:v>7月30日现场数据</x:v>
      </x:c>
      <x:c r="B986" s="66" t="str">
        <x:v>2026-08-02T23:37:43.520000</x:v>
      </x:c>
      <x:c r="C986" s="47" t="n">
        <x:v>301020</x:v>
      </x:c>
      <x:c r="D986" s="47" t="str"/>
      <x:c r="E986" s="47" t="str"/>
      <x:c r="F986" s="47" t="str">
        <x:v>current</x:v>
      </x:c>
      <x:c r="G986" s="47" t="n">
        <x:v>982</x:v>
      </x:c>
      <x:c r="H986" s="53" t="b">
        <x:v>1</x:v>
      </x:c>
      <x:c r="I986" s="47" t="str">
        <x:v>2682537910</x:v>
      </x:c>
      <x:c r="J986" s="47" t="n">
        <x:v>118920857</x:v>
      </x:c>
      <x:c r="K986" s="53" t="b">
        <x:v>1</x:v>
      </x:c>
      <x:c r="L986" s="53" t="b">
        <x:v>1</x:v>
      </x:c>
      <x:c r="M986" s="53" t="b">
        <x:v>1</x:v>
      </x:c>
      <x:c r="N986" s="53" t="b">
        <x:v>1</x:v>
      </x:c>
      <x:c r="O986" s="53" t="b">
        <x:v>1</x:v>
      </x:c>
      <x:c r="P986" s="47" t="n">
        <x:v>1010</x:v>
      </x:c>
      <x:c r="Q986" s="47" t="n">
        <x:v>0</x:v>
      </x:c>
      <x:c r="R986" s="47" t="n">
        <x:v>0</x:v>
      </x:c>
      <x:c r="S986" s="47" t="n">
        <x:v>30.26</x:v>
      </x:c>
      <x:c r="T986" s="47" t="n">
        <x:v>63.76</x:v>
      </x:c>
      <x:c r="U986" s="47" t="n">
        <x:v>30</x:v>
      </x:c>
      <x:c r="V986" s="47" t="n">
        <x:v>14.5</x:v>
      </x:c>
      <x:c r="W986" s="47" t="n">
        <x:v>0</x:v>
      </x:c>
      <x:c r="X986" s="47" t="n">
        <x:v>0</x:v>
      </x:c>
      <x:c r="Y986" s="41" t="n">
        <x:v>0</x:v>
      </x:c>
    </x:row>
    <x:row r="987">
      <x:c r="A987" s="38" t="str">
        <x:v>7月30日现场数据</x:v>
      </x:c>
      <x:c r="B987" s="66" t="str">
        <x:v>2026-08-02T23:42:44.479000</x:v>
      </x:c>
      <x:c r="C987" s="47" t="n">
        <x:v>300959</x:v>
      </x:c>
      <x:c r="D987" s="47" t="str"/>
      <x:c r="E987" s="47" t="str"/>
      <x:c r="F987" s="47" t="str">
        <x:v>current</x:v>
      </x:c>
      <x:c r="G987" s="47" t="n">
        <x:v>983</x:v>
      </x:c>
      <x:c r="H987" s="53" t="b">
        <x:v>1</x:v>
      </x:c>
      <x:c r="I987" s="47" t="str">
        <x:v>2682537910</x:v>
      </x:c>
      <x:c r="J987" s="47" t="n">
        <x:v>119221816</x:v>
      </x:c>
      <x:c r="K987" s="53" t="b">
        <x:v>1</x:v>
      </x:c>
      <x:c r="L987" s="53" t="b">
        <x:v>1</x:v>
      </x:c>
      <x:c r="M987" s="53" t="b">
        <x:v>1</x:v>
      </x:c>
      <x:c r="N987" s="53" t="b">
        <x:v>1</x:v>
      </x:c>
      <x:c r="O987" s="53" t="b">
        <x:v>1</x:v>
      </x:c>
      <x:c r="P987" s="47" t="n">
        <x:v>1010</x:v>
      </x:c>
      <x:c r="Q987" s="47" t="n">
        <x:v>0</x:v>
      </x:c>
      <x:c r="R987" s="47" t="n">
        <x:v>0</x:v>
      </x:c>
      <x:c r="S987" s="47" t="n">
        <x:v>30.23</x:v>
      </x:c>
      <x:c r="T987" s="47" t="n">
        <x:v>63.8</x:v>
      </x:c>
      <x:c r="U987" s="47" t="n">
        <x:v>30</x:v>
      </x:c>
      <x:c r="V987" s="47" t="n">
        <x:v>14.6</x:v>
      </x:c>
      <x:c r="W987" s="47" t="n">
        <x:v>0</x:v>
      </x:c>
      <x:c r="X987" s="47" t="n">
        <x:v>0</x:v>
      </x:c>
      <x:c r="Y987" s="41" t="n">
        <x:v>0</x:v>
      </x:c>
    </x:row>
    <x:row r="988">
      <x:c r="A988" s="38" t="str">
        <x:v>7月30日现场数据</x:v>
      </x:c>
      <x:c r="B988" s="66" t="str">
        <x:v>2026-08-02T23:47:45.439000</x:v>
      </x:c>
      <x:c r="C988" s="47" t="n">
        <x:v>300960</x:v>
      </x:c>
      <x:c r="D988" s="47" t="str"/>
      <x:c r="E988" s="47" t="str"/>
      <x:c r="F988" s="47" t="str">
        <x:v>current</x:v>
      </x:c>
      <x:c r="G988" s="47" t="n">
        <x:v>984</x:v>
      </x:c>
      <x:c r="H988" s="53" t="b">
        <x:v>1</x:v>
      </x:c>
      <x:c r="I988" s="47" t="str">
        <x:v>2682537910</x:v>
      </x:c>
      <x:c r="J988" s="47" t="n">
        <x:v>119522776</x:v>
      </x:c>
      <x:c r="K988" s="53" t="b">
        <x:v>1</x:v>
      </x:c>
      <x:c r="L988" s="53" t="b">
        <x:v>1</x:v>
      </x:c>
      <x:c r="M988" s="53" t="b">
        <x:v>1</x:v>
      </x:c>
      <x:c r="N988" s="53" t="b">
        <x:v>1</x:v>
      </x:c>
      <x:c r="O988" s="53" t="b">
        <x:v>1</x:v>
      </x:c>
      <x:c r="P988" s="47" t="n">
        <x:v>1010</x:v>
      </x:c>
      <x:c r="Q988" s="47" t="n">
        <x:v>0</x:v>
      </x:c>
      <x:c r="R988" s="47" t="n">
        <x:v>0</x:v>
      </x:c>
      <x:c r="S988" s="47" t="n">
        <x:v>30.22</x:v>
      </x:c>
      <x:c r="T988" s="47" t="n">
        <x:v>63.86</x:v>
      </x:c>
      <x:c r="U988" s="47" t="n">
        <x:v>30</x:v>
      </x:c>
      <x:c r="V988" s="47" t="n">
        <x:v>14.5</x:v>
      </x:c>
      <x:c r="W988" s="47" t="n">
        <x:v>0</x:v>
      </x:c>
      <x:c r="X988" s="47" t="n">
        <x:v>0</x:v>
      </x:c>
      <x:c r="Y988" s="41" t="n">
        <x:v>0</x:v>
      </x:c>
    </x:row>
    <x:row r="989">
      <x:c r="A989" s="38" t="str">
        <x:v>7月30日现场数据</x:v>
      </x:c>
      <x:c r="B989" s="66" t="str">
        <x:v>2026-08-02T23:52:46.404000</x:v>
      </x:c>
      <x:c r="C989" s="47" t="n">
        <x:v>300965</x:v>
      </x:c>
      <x:c r="D989" s="47" t="str"/>
      <x:c r="E989" s="47" t="str"/>
      <x:c r="F989" s="47" t="str">
        <x:v>current</x:v>
      </x:c>
      <x:c r="G989" s="47" t="n">
        <x:v>985</x:v>
      </x:c>
      <x:c r="H989" s="53" t="b">
        <x:v>1</x:v>
      </x:c>
      <x:c r="I989" s="47" t="str">
        <x:v>2682537910</x:v>
      </x:c>
      <x:c r="J989" s="47" t="n">
        <x:v>119823741</x:v>
      </x:c>
      <x:c r="K989" s="53" t="b">
        <x:v>1</x:v>
      </x:c>
      <x:c r="L989" s="53" t="b">
        <x:v>1</x:v>
      </x:c>
      <x:c r="M989" s="53" t="b">
        <x:v>1</x:v>
      </x:c>
      <x:c r="N989" s="53" t="b">
        <x:v>1</x:v>
      </x:c>
      <x:c r="O989" s="53" t="b">
        <x:v>1</x:v>
      </x:c>
      <x:c r="P989" s="47" t="n">
        <x:v>1010</x:v>
      </x:c>
      <x:c r="Q989" s="47" t="n">
        <x:v>0</x:v>
      </x:c>
      <x:c r="R989" s="47" t="n">
        <x:v>0</x:v>
      </x:c>
      <x:c r="S989" s="47" t="n">
        <x:v>30.22</x:v>
      </x:c>
      <x:c r="T989" s="47" t="n">
        <x:v>63.91</x:v>
      </x:c>
      <x:c r="U989" s="47" t="n">
        <x:v>30</x:v>
      </x:c>
      <x:c r="V989" s="47" t="n">
        <x:v>14.6</x:v>
      </x:c>
      <x:c r="W989" s="47" t="n">
        <x:v>0</x:v>
      </x:c>
      <x:c r="X989" s="47" t="n">
        <x:v>0</x:v>
      </x:c>
      <x:c r="Y989" s="41" t="n">
        <x:v>0</x:v>
      </x:c>
    </x:row>
    <x:row r="990">
      <x:c r="A990" s="38" t="str">
        <x:v>7月30日现场数据</x:v>
      </x:c>
      <x:c r="B990" s="66" t="str">
        <x:v>2026-08-02T23:57:47.370000</x:v>
      </x:c>
      <x:c r="C990" s="47" t="n">
        <x:v>300966</x:v>
      </x:c>
      <x:c r="D990" s="47" t="str"/>
      <x:c r="E990" s="47" t="str"/>
      <x:c r="F990" s="47" t="str">
        <x:v>current</x:v>
      </x:c>
      <x:c r="G990" s="47" t="n">
        <x:v>986</x:v>
      </x:c>
      <x:c r="H990" s="53" t="b">
        <x:v>1</x:v>
      </x:c>
      <x:c r="I990" s="47" t="str">
        <x:v>2682537910</x:v>
      </x:c>
      <x:c r="J990" s="47" t="n">
        <x:v>120124707</x:v>
      </x:c>
      <x:c r="K990" s="53" t="b">
        <x:v>1</x:v>
      </x:c>
      <x:c r="L990" s="53" t="b">
        <x:v>1</x:v>
      </x:c>
      <x:c r="M990" s="53" t="b">
        <x:v>1</x:v>
      </x:c>
      <x:c r="N990" s="53" t="b">
        <x:v>1</x:v>
      </x:c>
      <x:c r="O990" s="53" t="b">
        <x:v>1</x:v>
      </x:c>
      <x:c r="P990" s="47" t="n">
        <x:v>1010</x:v>
      </x:c>
      <x:c r="Q990" s="47" t="n">
        <x:v>0</x:v>
      </x:c>
      <x:c r="R990" s="47" t="n">
        <x:v>0</x:v>
      </x:c>
      <x:c r="S990" s="47" t="n">
        <x:v>30.22</x:v>
      </x:c>
      <x:c r="T990" s="47" t="n">
        <x:v>63.99</x:v>
      </x:c>
      <x:c r="U990" s="47" t="n">
        <x:v>30</x:v>
      </x:c>
      <x:c r="V990" s="47" t="n">
        <x:v>14.6</x:v>
      </x:c>
      <x:c r="W990" s="47" t="n">
        <x:v>0</x:v>
      </x:c>
      <x:c r="X990" s="47" t="n">
        <x:v>0</x:v>
      </x:c>
      <x:c r="Y990" s="41" t="n">
        <x:v>0</x:v>
      </x:c>
    </x:row>
    <x:row r="991">
      <x:c r="A991" s="38" t="str">
        <x:v>7月30日现场数据</x:v>
      </x:c>
      <x:c r="B991" s="66" t="str">
        <x:v>2026-08-03T00:02:48.335000</x:v>
      </x:c>
      <x:c r="C991" s="47" t="n">
        <x:v>300965</x:v>
      </x:c>
      <x:c r="D991" s="47" t="str"/>
      <x:c r="E991" s="47" t="str"/>
      <x:c r="F991" s="47" t="str">
        <x:v>current</x:v>
      </x:c>
      <x:c r="G991" s="47" t="n">
        <x:v>987</x:v>
      </x:c>
      <x:c r="H991" s="53" t="b">
        <x:v>1</x:v>
      </x:c>
      <x:c r="I991" s="47" t="str">
        <x:v>2682537910</x:v>
      </x:c>
      <x:c r="J991" s="47" t="n">
        <x:v>120425672</x:v>
      </x:c>
      <x:c r="K991" s="53" t="b">
        <x:v>1</x:v>
      </x:c>
      <x:c r="L991" s="53" t="b">
        <x:v>1</x:v>
      </x:c>
      <x:c r="M991" s="53" t="b">
        <x:v>1</x:v>
      </x:c>
      <x:c r="N991" s="53" t="b">
        <x:v>1</x:v>
      </x:c>
      <x:c r="O991" s="53" t="b">
        <x:v>1</x:v>
      </x:c>
      <x:c r="P991" s="47" t="n">
        <x:v>1010</x:v>
      </x:c>
      <x:c r="Q991" s="47" t="n">
        <x:v>0</x:v>
      </x:c>
      <x:c r="R991" s="47" t="n">
        <x:v>0</x:v>
      </x:c>
      <x:c r="S991" s="47" t="n">
        <x:v>30.25</x:v>
      </x:c>
      <x:c r="T991" s="47" t="n">
        <x:v>64.06</x:v>
      </x:c>
      <x:c r="U991" s="47" t="n">
        <x:v>30</x:v>
      </x:c>
      <x:c r="V991" s="47" t="n">
        <x:v>14.6</x:v>
      </x:c>
      <x:c r="W991" s="47" t="n">
        <x:v>0</x:v>
      </x:c>
      <x:c r="X991" s="47" t="n">
        <x:v>0</x:v>
      </x:c>
      <x:c r="Y991" s="41" t="n">
        <x:v>0</x:v>
      </x:c>
    </x:row>
    <x:row r="992">
      <x:c r="A992" s="38" t="str">
        <x:v>7月30日现场数据</x:v>
      </x:c>
      <x:c r="B992" s="66" t="str">
        <x:v>2026-08-03T00:07:49.305000</x:v>
      </x:c>
      <x:c r="C992" s="47" t="n">
        <x:v>300970</x:v>
      </x:c>
      <x:c r="D992" s="47" t="str"/>
      <x:c r="E992" s="47" t="str"/>
      <x:c r="F992" s="47" t="str">
        <x:v>current</x:v>
      </x:c>
      <x:c r="G992" s="47" t="n">
        <x:v>988</x:v>
      </x:c>
      <x:c r="H992" s="53" t="b">
        <x:v>1</x:v>
      </x:c>
      <x:c r="I992" s="47" t="str">
        <x:v>2682537910</x:v>
      </x:c>
      <x:c r="J992" s="47" t="n">
        <x:v>120726642</x:v>
      </x:c>
      <x:c r="K992" s="53" t="b">
        <x:v>1</x:v>
      </x:c>
      <x:c r="L992" s="53" t="b">
        <x:v>1</x:v>
      </x:c>
      <x:c r="M992" s="53" t="b">
        <x:v>1</x:v>
      </x:c>
      <x:c r="N992" s="53" t="b">
        <x:v>1</x:v>
      </x:c>
      <x:c r="O992" s="53" t="b">
        <x:v>1</x:v>
      </x:c>
      <x:c r="P992" s="47" t="n">
        <x:v>1010</x:v>
      </x:c>
      <x:c r="Q992" s="47" t="n">
        <x:v>0</x:v>
      </x:c>
      <x:c r="R992" s="47" t="n">
        <x:v>0</x:v>
      </x:c>
      <x:c r="S992" s="47" t="n">
        <x:v>30.24</x:v>
      </x:c>
      <x:c r="T992" s="47" t="n">
        <x:v>64.09</x:v>
      </x:c>
      <x:c r="U992" s="47" t="n">
        <x:v>30</x:v>
      </x:c>
      <x:c r="V992" s="47" t="n">
        <x:v>14.6</x:v>
      </x:c>
      <x:c r="W992" s="47" t="n">
        <x:v>0</x:v>
      </x:c>
      <x:c r="X992" s="47" t="n">
        <x:v>0</x:v>
      </x:c>
      <x:c r="Y992" s="41" t="n">
        <x:v>0</x:v>
      </x:c>
    </x:row>
    <x:row r="993">
      <x:c r="A993" s="38" t="str">
        <x:v>7月30日现场数据</x:v>
      </x:c>
      <x:c r="B993" s="66" t="str">
        <x:v>2026-08-03T00:12:50.274000</x:v>
      </x:c>
      <x:c r="C993" s="47" t="n">
        <x:v>300969</x:v>
      </x:c>
      <x:c r="D993" s="47" t="str"/>
      <x:c r="E993" s="47" t="str"/>
      <x:c r="F993" s="47" t="str">
        <x:v>current</x:v>
      </x:c>
      <x:c r="G993" s="47" t="n">
        <x:v>989</x:v>
      </x:c>
      <x:c r="H993" s="53" t="b">
        <x:v>1</x:v>
      </x:c>
      <x:c r="I993" s="47" t="str">
        <x:v>2682537910</x:v>
      </x:c>
      <x:c r="J993" s="47" t="n">
        <x:v>121027611</x:v>
      </x:c>
      <x:c r="K993" s="53" t="b">
        <x:v>1</x:v>
      </x:c>
      <x:c r="L993" s="53" t="b">
        <x:v>1</x:v>
      </x:c>
      <x:c r="M993" s="53" t="b">
        <x:v>1</x:v>
      </x:c>
      <x:c r="N993" s="53" t="b">
        <x:v>1</x:v>
      </x:c>
      <x:c r="O993" s="53" t="b">
        <x:v>1</x:v>
      </x:c>
      <x:c r="P993" s="47" t="n">
        <x:v>1010</x:v>
      </x:c>
      <x:c r="Q993" s="47" t="n">
        <x:v>0</x:v>
      </x:c>
      <x:c r="R993" s="47" t="n">
        <x:v>0</x:v>
      </x:c>
      <x:c r="S993" s="47" t="n">
        <x:v>30.25</x:v>
      </x:c>
      <x:c r="T993" s="47" t="n">
        <x:v>64.15</x:v>
      </x:c>
      <x:c r="U993" s="47" t="n">
        <x:v>30</x:v>
      </x:c>
      <x:c r="V993" s="47" t="n">
        <x:v>14.6</x:v>
      </x:c>
      <x:c r="W993" s="47" t="n">
        <x:v>0</x:v>
      </x:c>
      <x:c r="X993" s="47" t="n">
        <x:v>0</x:v>
      </x:c>
      <x:c r="Y993" s="41" t="n">
        <x:v>0</x:v>
      </x:c>
    </x:row>
    <x:row r="994">
      <x:c r="A994" s="38" t="str">
        <x:v>7月30日现场数据</x:v>
      </x:c>
      <x:c r="B994" s="66" t="str">
        <x:v>2026-08-03T00:17:51.246000</x:v>
      </x:c>
      <x:c r="C994" s="47" t="n">
        <x:v>300972</x:v>
      </x:c>
      <x:c r="D994" s="47" t="str"/>
      <x:c r="E994" s="47" t="str"/>
      <x:c r="F994" s="47" t="str">
        <x:v>current</x:v>
      </x:c>
      <x:c r="G994" s="47" t="n">
        <x:v>990</x:v>
      </x:c>
      <x:c r="H994" s="53" t="b">
        <x:v>1</x:v>
      </x:c>
      <x:c r="I994" s="47" t="str">
        <x:v>2682537910</x:v>
      </x:c>
      <x:c r="J994" s="47" t="n">
        <x:v>121328583</x:v>
      </x:c>
      <x:c r="K994" s="53" t="b">
        <x:v>1</x:v>
      </x:c>
      <x:c r="L994" s="53" t="b">
        <x:v>1</x:v>
      </x:c>
      <x:c r="M994" s="53" t="b">
        <x:v>1</x:v>
      </x:c>
      <x:c r="N994" s="53" t="b">
        <x:v>1</x:v>
      </x:c>
      <x:c r="O994" s="53" t="b">
        <x:v>1</x:v>
      </x:c>
      <x:c r="P994" s="47" t="n">
        <x:v>1009</x:v>
      </x:c>
      <x:c r="Q994" s="47" t="n">
        <x:v>0</x:v>
      </x:c>
      <x:c r="R994" s="47" t="n">
        <x:v>0</x:v>
      </x:c>
      <x:c r="S994" s="47" t="n">
        <x:v>30.24</x:v>
      </x:c>
      <x:c r="T994" s="47" t="n">
        <x:v>64.24</x:v>
      </x:c>
      <x:c r="U994" s="47" t="n">
        <x:v>30</x:v>
      </x:c>
      <x:c r="V994" s="47" t="n">
        <x:v>14.6</x:v>
      </x:c>
      <x:c r="W994" s="47" t="n">
        <x:v>0</x:v>
      </x:c>
      <x:c r="X994" s="47" t="n">
        <x:v>0</x:v>
      </x:c>
      <x:c r="Y994" s="41" t="n">
        <x:v>0</x:v>
      </x:c>
    </x:row>
    <x:row r="995">
      <x:c r="A995" s="38" t="str">
        <x:v>7月30日现场数据</x:v>
      </x:c>
      <x:c r="B995" s="66" t="str">
        <x:v>2026-08-03T00:22:52.219000</x:v>
      </x:c>
      <x:c r="C995" s="47" t="n">
        <x:v>300973</x:v>
      </x:c>
      <x:c r="D995" s="47" t="str"/>
      <x:c r="E995" s="47" t="str"/>
      <x:c r="F995" s="47" t="str">
        <x:v>current</x:v>
      </x:c>
      <x:c r="G995" s="47" t="n">
        <x:v>991</x:v>
      </x:c>
      <x:c r="H995" s="53" t="b">
        <x:v>1</x:v>
      </x:c>
      <x:c r="I995" s="47" t="str">
        <x:v>2682537910</x:v>
      </x:c>
      <x:c r="J995" s="47" t="n">
        <x:v>121629556</x:v>
      </x:c>
      <x:c r="K995" s="53" t="b">
        <x:v>1</x:v>
      </x:c>
      <x:c r="L995" s="53" t="b">
        <x:v>1</x:v>
      </x:c>
      <x:c r="M995" s="53" t="b">
        <x:v>1</x:v>
      </x:c>
      <x:c r="N995" s="53" t="b">
        <x:v>1</x:v>
      </x:c>
      <x:c r="O995" s="53" t="b">
        <x:v>1</x:v>
      </x:c>
      <x:c r="P995" s="47" t="n">
        <x:v>1010</x:v>
      </x:c>
      <x:c r="Q995" s="47" t="n">
        <x:v>0</x:v>
      </x:c>
      <x:c r="R995" s="47" t="n">
        <x:v>0</x:v>
      </x:c>
      <x:c r="S995" s="47" t="n">
        <x:v>30.17</x:v>
      </x:c>
      <x:c r="T995" s="47" t="n">
        <x:v>64.35</x:v>
      </x:c>
      <x:c r="U995" s="47" t="n">
        <x:v>30</x:v>
      </x:c>
      <x:c r="V995" s="47" t="n">
        <x:v>14.6</x:v>
      </x:c>
      <x:c r="W995" s="47" t="n">
        <x:v>0</x:v>
      </x:c>
      <x:c r="X995" s="47" t="n">
        <x:v>0</x:v>
      </x:c>
      <x:c r="Y995" s="41" t="n">
        <x:v>0</x:v>
      </x:c>
    </x:row>
    <x:row r="996">
      <x:c r="A996" s="38" t="str">
        <x:v>7月30日现场数据</x:v>
      </x:c>
      <x:c r="B996" s="66" t="str">
        <x:v>2026-08-03T00:27:53.195000</x:v>
      </x:c>
      <x:c r="C996" s="47" t="n">
        <x:v>300976</x:v>
      </x:c>
      <x:c r="D996" s="47" t="str"/>
      <x:c r="E996" s="47" t="str"/>
      <x:c r="F996" s="47" t="str">
        <x:v>current</x:v>
      </x:c>
      <x:c r="G996" s="47" t="n">
        <x:v>992</x:v>
      </x:c>
      <x:c r="H996" s="53" t="b">
        <x:v>1</x:v>
      </x:c>
      <x:c r="I996" s="47" t="str">
        <x:v>2682537910</x:v>
      </x:c>
      <x:c r="J996" s="47" t="n">
        <x:v>121930532</x:v>
      </x:c>
      <x:c r="K996" s="53" t="b">
        <x:v>1</x:v>
      </x:c>
      <x:c r="L996" s="53" t="b">
        <x:v>1</x:v>
      </x:c>
      <x:c r="M996" s="53" t="b">
        <x:v>1</x:v>
      </x:c>
      <x:c r="N996" s="53" t="b">
        <x:v>1</x:v>
      </x:c>
      <x:c r="O996" s="53" t="b">
        <x:v>1</x:v>
      </x:c>
      <x:c r="P996" s="47" t="n">
        <x:v>1010</x:v>
      </x:c>
      <x:c r="Q996" s="47" t="n">
        <x:v>0</x:v>
      </x:c>
      <x:c r="R996" s="47" t="n">
        <x:v>0</x:v>
      </x:c>
      <x:c r="S996" s="47" t="n">
        <x:v>30.15</x:v>
      </x:c>
      <x:c r="T996" s="47" t="n">
        <x:v>64.35</x:v>
      </x:c>
      <x:c r="U996" s="47" t="n">
        <x:v>30</x:v>
      </x:c>
      <x:c r="V996" s="47" t="n">
        <x:v>14.5</x:v>
      </x:c>
      <x:c r="W996" s="47" t="n">
        <x:v>0</x:v>
      </x:c>
      <x:c r="X996" s="47" t="n">
        <x:v>0</x:v>
      </x:c>
      <x:c r="Y996" s="41" t="n">
        <x:v>0</x:v>
      </x:c>
    </x:row>
    <x:row r="997">
      <x:c r="A997" s="38" t="str">
        <x:v>7月30日现场数据</x:v>
      </x:c>
      <x:c r="B997" s="66" t="str">
        <x:v>2026-08-03T00:32:54.172000</x:v>
      </x:c>
      <x:c r="C997" s="47" t="n">
        <x:v>300977</x:v>
      </x:c>
      <x:c r="D997" s="47" t="str"/>
      <x:c r="E997" s="47" t="str"/>
      <x:c r="F997" s="47" t="str">
        <x:v>current</x:v>
      </x:c>
      <x:c r="G997" s="47" t="n">
        <x:v>993</x:v>
      </x:c>
      <x:c r="H997" s="53" t="b">
        <x:v>1</x:v>
      </x:c>
      <x:c r="I997" s="47" t="str">
        <x:v>2682537910</x:v>
      </x:c>
      <x:c r="J997" s="47" t="n">
        <x:v>122231509</x:v>
      </x:c>
      <x:c r="K997" s="53" t="b">
        <x:v>1</x:v>
      </x:c>
      <x:c r="L997" s="53" t="b">
        <x:v>1</x:v>
      </x:c>
      <x:c r="M997" s="53" t="b">
        <x:v>1</x:v>
      </x:c>
      <x:c r="N997" s="53" t="b">
        <x:v>1</x:v>
      </x:c>
      <x:c r="O997" s="53" t="b">
        <x:v>1</x:v>
      </x:c>
      <x:c r="P997" s="47" t="n">
        <x:v>1010</x:v>
      </x:c>
      <x:c r="Q997" s="47" t="n">
        <x:v>0</x:v>
      </x:c>
      <x:c r="R997" s="47" t="n">
        <x:v>0</x:v>
      </x:c>
      <x:c r="S997" s="47" t="n">
        <x:v>30.12</x:v>
      </x:c>
      <x:c r="T997" s="47" t="n">
        <x:v>64.41</x:v>
      </x:c>
      <x:c r="U997" s="47" t="n">
        <x:v>29.9</x:v>
      </x:c>
      <x:c r="V997" s="47" t="n">
        <x:v>14.6</x:v>
      </x:c>
      <x:c r="W997" s="47" t="n">
        <x:v>0</x:v>
      </x:c>
      <x:c r="X997" s="47" t="n">
        <x:v>0</x:v>
      </x:c>
      <x:c r="Y997" s="41" t="n">
        <x:v>0</x:v>
      </x:c>
    </x:row>
    <x:row r="998">
      <x:c r="A998" s="38" t="str">
        <x:v>7月30日现场数据</x:v>
      </x:c>
      <x:c r="B998" s="66" t="str">
        <x:v>2026-08-03T00:37:55.151000</x:v>
      </x:c>
      <x:c r="C998" s="47" t="n">
        <x:v>300979</x:v>
      </x:c>
      <x:c r="D998" s="47" t="str"/>
      <x:c r="E998" s="47" t="str"/>
      <x:c r="F998" s="47" t="str">
        <x:v>current</x:v>
      </x:c>
      <x:c r="G998" s="47" t="n">
        <x:v>994</x:v>
      </x:c>
      <x:c r="H998" s="53" t="b">
        <x:v>1</x:v>
      </x:c>
      <x:c r="I998" s="47" t="str">
        <x:v>2682537910</x:v>
      </x:c>
      <x:c r="J998" s="47" t="n">
        <x:v>122532488</x:v>
      </x:c>
      <x:c r="K998" s="53" t="b">
        <x:v>1</x:v>
      </x:c>
      <x:c r="L998" s="53" t="b">
        <x:v>1</x:v>
      </x:c>
      <x:c r="M998" s="53" t="b">
        <x:v>1</x:v>
      </x:c>
      <x:c r="N998" s="53" t="b">
        <x:v>1</x:v>
      </x:c>
      <x:c r="O998" s="53" t="b">
        <x:v>1</x:v>
      </x:c>
      <x:c r="P998" s="47" t="n">
        <x:v>1010</x:v>
      </x:c>
      <x:c r="Q998" s="47" t="n">
        <x:v>0</x:v>
      </x:c>
      <x:c r="R998" s="47" t="n">
        <x:v>0</x:v>
      </x:c>
      <x:c r="S998" s="47" t="n">
        <x:v>30.11</x:v>
      </x:c>
      <x:c r="T998" s="47" t="n">
        <x:v>64.46</x:v>
      </x:c>
      <x:c r="U998" s="47" t="n">
        <x:v>29.9</x:v>
      </x:c>
      <x:c r="V998" s="47" t="n">
        <x:v>14.6</x:v>
      </x:c>
      <x:c r="W998" s="47" t="n">
        <x:v>0</x:v>
      </x:c>
      <x:c r="X998" s="47" t="n">
        <x:v>0</x:v>
      </x:c>
      <x:c r="Y998" s="41" t="n">
        <x:v>0</x:v>
      </x:c>
    </x:row>
    <x:row r="999">
      <x:c r="A999" s="38" t="str">
        <x:v>7月30日现场数据</x:v>
      </x:c>
      <x:c r="B999" s="66" t="str">
        <x:v>2026-08-03T00:42:56.131000</x:v>
      </x:c>
      <x:c r="C999" s="47" t="n">
        <x:v>300980</x:v>
      </x:c>
      <x:c r="D999" s="47" t="str"/>
      <x:c r="E999" s="47" t="str"/>
      <x:c r="F999" s="47" t="str">
        <x:v>current</x:v>
      </x:c>
      <x:c r="G999" s="47" t="n">
        <x:v>995</x:v>
      </x:c>
      <x:c r="H999" s="53" t="b">
        <x:v>1</x:v>
      </x:c>
      <x:c r="I999" s="47" t="str">
        <x:v>2682537910</x:v>
      </x:c>
      <x:c r="J999" s="47" t="n">
        <x:v>122833468</x:v>
      </x:c>
      <x:c r="K999" s="53" t="b">
        <x:v>1</x:v>
      </x:c>
      <x:c r="L999" s="53" t="b">
        <x:v>1</x:v>
      </x:c>
      <x:c r="M999" s="53" t="b">
        <x:v>1</x:v>
      </x:c>
      <x:c r="N999" s="53" t="b">
        <x:v>1</x:v>
      </x:c>
      <x:c r="O999" s="53" t="b">
        <x:v>1</x:v>
      </x:c>
      <x:c r="P999" s="47" t="n">
        <x:v>1010</x:v>
      </x:c>
      <x:c r="Q999" s="47" t="n">
        <x:v>0</x:v>
      </x:c>
      <x:c r="R999" s="47" t="n">
        <x:v>0</x:v>
      </x:c>
      <x:c r="S999" s="47" t="n">
        <x:v>30.07</x:v>
      </x:c>
      <x:c r="T999" s="47" t="n">
        <x:v>64.49</x:v>
      </x:c>
      <x:c r="U999" s="47" t="n">
        <x:v>29.9</x:v>
      </x:c>
      <x:c r="V999" s="47" t="n">
        <x:v>14.6</x:v>
      </x:c>
      <x:c r="W999" s="47" t="n">
        <x:v>0</x:v>
      </x:c>
      <x:c r="X999" s="47" t="n">
        <x:v>0</x:v>
      </x:c>
      <x:c r="Y999" s="41" t="n">
        <x:v>0</x:v>
      </x:c>
    </x:row>
    <x:row r="1000">
      <x:c r="A1000" s="38" t="str">
        <x:v>7月30日现场数据</x:v>
      </x:c>
      <x:c r="B1000" s="66" t="str">
        <x:v>2026-08-03T00:47:57.114000</x:v>
      </x:c>
      <x:c r="C1000" s="47" t="n">
        <x:v>300983</x:v>
      </x:c>
      <x:c r="D1000" s="47" t="str"/>
      <x:c r="E1000" s="47" t="str"/>
      <x:c r="F1000" s="47" t="str">
        <x:v>current</x:v>
      </x:c>
      <x:c r="G1000" s="47" t="n">
        <x:v>996</x:v>
      </x:c>
      <x:c r="H1000" s="53" t="b">
        <x:v>1</x:v>
      </x:c>
      <x:c r="I1000" s="47" t="str">
        <x:v>2682537910</x:v>
      </x:c>
      <x:c r="J1000" s="47" t="n">
        <x:v>123134451</x:v>
      </x:c>
      <x:c r="K1000" s="53" t="b">
        <x:v>1</x:v>
      </x:c>
      <x:c r="L1000" s="53" t="b">
        <x:v>1</x:v>
      </x:c>
      <x:c r="M1000" s="53" t="b">
        <x:v>1</x:v>
      </x:c>
      <x:c r="N1000" s="53" t="b">
        <x:v>1</x:v>
      </x:c>
      <x:c r="O1000" s="53" t="b">
        <x:v>1</x:v>
      </x:c>
      <x:c r="P1000" s="47" t="n">
        <x:v>1010</x:v>
      </x:c>
      <x:c r="Q1000" s="47" t="n">
        <x:v>0</x:v>
      </x:c>
      <x:c r="R1000" s="47" t="n">
        <x:v>0</x:v>
      </x:c>
      <x:c r="S1000" s="47" t="n">
        <x:v>30.04</x:v>
      </x:c>
      <x:c r="T1000" s="47" t="n">
        <x:v>64.57</x:v>
      </x:c>
      <x:c r="U1000" s="47" t="n">
        <x:v>29.9</x:v>
      </x:c>
      <x:c r="V1000" s="47" t="n">
        <x:v>14.5</x:v>
      </x:c>
      <x:c r="W1000" s="47" t="n">
        <x:v>0</x:v>
      </x:c>
      <x:c r="X1000" s="47" t="n">
        <x:v>0</x:v>
      </x:c>
      <x:c r="Y1000" s="41" t="n">
        <x:v>0</x:v>
      </x:c>
    </x:row>
    <x:row r="1001">
      <x:c r="A1001" s="38" t="str">
        <x:v>7月30日现场数据</x:v>
      </x:c>
      <x:c r="B1001" s="66" t="str">
        <x:v>2026-08-03T00:52:58.099000</x:v>
      </x:c>
      <x:c r="C1001" s="47" t="n">
        <x:v>300985</x:v>
      </x:c>
      <x:c r="D1001" s="47" t="str"/>
      <x:c r="E1001" s="47" t="str"/>
      <x:c r="F1001" s="47" t="str">
        <x:v>current</x:v>
      </x:c>
      <x:c r="G1001" s="47" t="n">
        <x:v>997</x:v>
      </x:c>
      <x:c r="H1001" s="53" t="b">
        <x:v>1</x:v>
      </x:c>
      <x:c r="I1001" s="47" t="str">
        <x:v>2682537910</x:v>
      </x:c>
      <x:c r="J1001" s="47" t="n">
        <x:v>123435436</x:v>
      </x:c>
      <x:c r="K1001" s="53" t="b">
        <x:v>1</x:v>
      </x:c>
      <x:c r="L1001" s="53" t="b">
        <x:v>1</x:v>
      </x:c>
      <x:c r="M1001" s="53" t="b">
        <x:v>1</x:v>
      </x:c>
      <x:c r="N1001" s="53" t="b">
        <x:v>1</x:v>
      </x:c>
      <x:c r="O1001" s="53" t="b">
        <x:v>1</x:v>
      </x:c>
      <x:c r="P1001" s="47" t="n">
        <x:v>1010</x:v>
      </x:c>
      <x:c r="Q1001" s="47" t="n">
        <x:v>0</x:v>
      </x:c>
      <x:c r="R1001" s="47" t="n">
        <x:v>0</x:v>
      </x:c>
      <x:c r="S1001" s="47" t="n">
        <x:v>30.01</x:v>
      </x:c>
      <x:c r="T1001" s="47" t="n">
        <x:v>64.59</x:v>
      </x:c>
      <x:c r="U1001" s="47" t="n">
        <x:v>29.9</x:v>
      </x:c>
      <x:c r="V1001" s="47" t="n">
        <x:v>14.5</x:v>
      </x:c>
      <x:c r="W1001" s="47" t="n">
        <x:v>0</x:v>
      </x:c>
      <x:c r="X1001" s="47" t="n">
        <x:v>0</x:v>
      </x:c>
      <x:c r="Y1001" s="41" t="n">
        <x:v>0</x:v>
      </x:c>
    </x:row>
    <x:row r="1002">
      <x:c r="A1002" s="38" t="str">
        <x:v>7月30日现场数据</x:v>
      </x:c>
      <x:c r="B1002" s="66" t="str">
        <x:v>2026-08-03T00:57:59.119000</x:v>
      </x:c>
      <x:c r="C1002" s="47" t="n">
        <x:v>301020</x:v>
      </x:c>
      <x:c r="D1002" s="47" t="str"/>
      <x:c r="E1002" s="47" t="str"/>
      <x:c r="F1002" s="47" t="str">
        <x:v>current</x:v>
      </x:c>
      <x:c r="G1002" s="47" t="n">
        <x:v>998</x:v>
      </x:c>
      <x:c r="H1002" s="53" t="b">
        <x:v>1</x:v>
      </x:c>
      <x:c r="I1002" s="47" t="str">
        <x:v>2682537910</x:v>
      </x:c>
      <x:c r="J1002" s="47" t="n">
        <x:v>123736456</x:v>
      </x:c>
      <x:c r="K1002" s="53" t="b">
        <x:v>1</x:v>
      </x:c>
      <x:c r="L1002" s="53" t="b">
        <x:v>1</x:v>
      </x:c>
      <x:c r="M1002" s="53" t="b">
        <x:v>1</x:v>
      </x:c>
      <x:c r="N1002" s="53" t="b">
        <x:v>1</x:v>
      </x:c>
      <x:c r="O1002" s="53" t="b">
        <x:v>1</x:v>
      </x:c>
      <x:c r="P1002" s="47" t="n">
        <x:v>1010</x:v>
      </x:c>
      <x:c r="Q1002" s="47" t="n">
        <x:v>0</x:v>
      </x:c>
      <x:c r="R1002" s="47" t="n">
        <x:v>0</x:v>
      </x:c>
      <x:c r="S1002" s="47" t="n">
        <x:v>29.99</x:v>
      </x:c>
      <x:c r="T1002" s="47" t="n">
        <x:v>64.66</x:v>
      </x:c>
      <x:c r="U1002" s="47" t="n">
        <x:v>29.9</x:v>
      </x:c>
      <x:c r="V1002" s="47" t="n">
        <x:v>14.6</x:v>
      </x:c>
      <x:c r="W1002" s="47" t="n">
        <x:v>0</x:v>
      </x:c>
      <x:c r="X1002" s="47" t="n">
        <x:v>0</x:v>
      </x:c>
      <x:c r="Y1002" s="41" t="n">
        <x:v>0</x:v>
      </x:c>
    </x:row>
    <x:row r="1003">
      <x:c r="A1003" s="38" t="str">
        <x:v>7月30日现场数据</x:v>
      </x:c>
      <x:c r="B1003" s="66" t="str">
        <x:v>2026-08-03T01:03:00.080000</x:v>
      </x:c>
      <x:c r="C1003" s="47" t="n">
        <x:v>300961</x:v>
      </x:c>
      <x:c r="D1003" s="47" t="str"/>
      <x:c r="E1003" s="47" t="str"/>
      <x:c r="F1003" s="47" t="str">
        <x:v>current</x:v>
      </x:c>
      <x:c r="G1003" s="47" t="n">
        <x:v>999</x:v>
      </x:c>
      <x:c r="H1003" s="53" t="b">
        <x:v>1</x:v>
      </x:c>
      <x:c r="I1003" s="47" t="str">
        <x:v>2682537910</x:v>
      </x:c>
      <x:c r="J1003" s="47" t="n">
        <x:v>124037417</x:v>
      </x:c>
      <x:c r="K1003" s="53" t="b">
        <x:v>1</x:v>
      </x:c>
      <x:c r="L1003" s="53" t="b">
        <x:v>1</x:v>
      </x:c>
      <x:c r="M1003" s="53" t="b">
        <x:v>1</x:v>
      </x:c>
      <x:c r="N1003" s="53" t="b">
        <x:v>1</x:v>
      </x:c>
      <x:c r="O1003" s="53" t="b">
        <x:v>1</x:v>
      </x:c>
      <x:c r="P1003" s="47" t="n">
        <x:v>1010</x:v>
      </x:c>
      <x:c r="Q1003" s="47" t="n">
        <x:v>0</x:v>
      </x:c>
      <x:c r="R1003" s="47" t="n">
        <x:v>0</x:v>
      </x:c>
      <x:c r="S1003" s="47" t="n">
        <x:v>29.98</x:v>
      </x:c>
      <x:c r="T1003" s="47" t="n">
        <x:v>64.65</x:v>
      </x:c>
      <x:c r="U1003" s="47" t="n">
        <x:v>29.9</x:v>
      </x:c>
      <x:c r="V1003" s="47" t="n">
        <x:v>14.5</x:v>
      </x:c>
      <x:c r="W1003" s="47" t="n">
        <x:v>0</x:v>
      </x:c>
      <x:c r="X1003" s="47" t="n">
        <x:v>0</x:v>
      </x:c>
      <x:c r="Y1003" s="41" t="n">
        <x:v>0</x:v>
      </x:c>
    </x:row>
    <x:row r="1004">
      <x:c r="A1004" s="38" t="str">
        <x:v>7月30日现场数据</x:v>
      </x:c>
      <x:c r="B1004" s="66" t="str">
        <x:v>2026-08-03T01:08:01.043000</x:v>
      </x:c>
      <x:c r="C1004" s="47" t="n">
        <x:v>300963</x:v>
      </x:c>
      <x:c r="D1004" s="47" t="str"/>
      <x:c r="E1004" s="47" t="str"/>
      <x:c r="F1004" s="47" t="str">
        <x:v>current</x:v>
      </x:c>
      <x:c r="G1004" s="47" t="n">
        <x:v>1000</x:v>
      </x:c>
      <x:c r="H1004" s="53" t="b">
        <x:v>1</x:v>
      </x:c>
      <x:c r="I1004" s="47" t="str">
        <x:v>2682537910</x:v>
      </x:c>
      <x:c r="J1004" s="47" t="n">
        <x:v>124338380</x:v>
      </x:c>
      <x:c r="K1004" s="53" t="b">
        <x:v>1</x:v>
      </x:c>
      <x:c r="L1004" s="53" t="b">
        <x:v>1</x:v>
      </x:c>
      <x:c r="M1004" s="53" t="b">
        <x:v>1</x:v>
      </x:c>
      <x:c r="N1004" s="53" t="b">
        <x:v>1</x:v>
      </x:c>
      <x:c r="O1004" s="53" t="b">
        <x:v>1</x:v>
      </x:c>
      <x:c r="P1004" s="47" t="n">
        <x:v>1010</x:v>
      </x:c>
      <x:c r="Q1004" s="47" t="n">
        <x:v>0</x:v>
      </x:c>
      <x:c r="R1004" s="47" t="n">
        <x:v>0</x:v>
      </x:c>
      <x:c r="S1004" s="47" t="n">
        <x:v>29.97</x:v>
      </x:c>
      <x:c r="T1004" s="47" t="n">
        <x:v>64.76</x:v>
      </x:c>
      <x:c r="U1004" s="47" t="n">
        <x:v>29.9</x:v>
      </x:c>
      <x:c r="V1004" s="47" t="n">
        <x:v>14.5</x:v>
      </x:c>
      <x:c r="W1004" s="47" t="n">
        <x:v>0</x:v>
      </x:c>
      <x:c r="X1004" s="47" t="n">
        <x:v>0</x:v>
      </x:c>
      <x:c r="Y1004" s="41" t="n">
        <x:v>0</x:v>
      </x:c>
    </x:row>
    <x:row r="1005">
      <x:c r="A1005" s="38" t="str">
        <x:v>7月30日现场数据</x:v>
      </x:c>
      <x:c r="B1005" s="66" t="str">
        <x:v>2026-08-03T01:13:02.010000</x:v>
      </x:c>
      <x:c r="C1005" s="47" t="n">
        <x:v>300967</x:v>
      </x:c>
      <x:c r="D1005" s="47" t="str"/>
      <x:c r="E1005" s="47" t="str"/>
      <x:c r="F1005" s="47" t="str">
        <x:v>current</x:v>
      </x:c>
      <x:c r="G1005" s="47" t="n">
        <x:v>1001</x:v>
      </x:c>
      <x:c r="H1005" s="53" t="b">
        <x:v>1</x:v>
      </x:c>
      <x:c r="I1005" s="47" t="str">
        <x:v>2682537910</x:v>
      </x:c>
      <x:c r="J1005" s="47" t="n">
        <x:v>124639347</x:v>
      </x:c>
      <x:c r="K1005" s="53" t="b">
        <x:v>1</x:v>
      </x:c>
      <x:c r="L1005" s="53" t="b">
        <x:v>1</x:v>
      </x:c>
      <x:c r="M1005" s="53" t="b">
        <x:v>1</x:v>
      </x:c>
      <x:c r="N1005" s="53" t="b">
        <x:v>1</x:v>
      </x:c>
      <x:c r="O1005" s="53" t="b">
        <x:v>1</x:v>
      </x:c>
      <x:c r="P1005" s="47" t="n">
        <x:v>1010</x:v>
      </x:c>
      <x:c r="Q1005" s="47" t="n">
        <x:v>0</x:v>
      </x:c>
      <x:c r="R1005" s="47" t="n">
        <x:v>0</x:v>
      </x:c>
      <x:c r="S1005" s="47" t="n">
        <x:v>29.93</x:v>
      </x:c>
      <x:c r="T1005" s="47" t="n">
        <x:v>64.78</x:v>
      </x:c>
      <x:c r="U1005" s="47" t="n">
        <x:v>29.9</x:v>
      </x:c>
      <x:c r="V1005" s="47" t="n">
        <x:v>14.6</x:v>
      </x:c>
      <x:c r="W1005" s="47" t="n">
        <x:v>0</x:v>
      </x:c>
      <x:c r="X1005" s="47" t="n">
        <x:v>0</x:v>
      </x:c>
      <x:c r="Y1005" s="41" t="n">
        <x:v>0</x:v>
      </x:c>
    </x:row>
    <x:row r="1006">
      <x:c r="A1006" s="38" t="str">
        <x:v>7月30日现场数据</x:v>
      </x:c>
      <x:c r="B1006" s="66" t="str">
        <x:v>2026-08-03T01:18:02.978000</x:v>
      </x:c>
      <x:c r="C1006" s="47" t="n">
        <x:v>300968</x:v>
      </x:c>
      <x:c r="D1006" s="47" t="str"/>
      <x:c r="E1006" s="47" t="str"/>
      <x:c r="F1006" s="47" t="str">
        <x:v>current</x:v>
      </x:c>
      <x:c r="G1006" s="47" t="n">
        <x:v>1002</x:v>
      </x:c>
      <x:c r="H1006" s="53" t="b">
        <x:v>1</x:v>
      </x:c>
      <x:c r="I1006" s="47" t="str">
        <x:v>2682537910</x:v>
      </x:c>
      <x:c r="J1006" s="47" t="n">
        <x:v>124940315</x:v>
      </x:c>
      <x:c r="K1006" s="53" t="b">
        <x:v>1</x:v>
      </x:c>
      <x:c r="L1006" s="53" t="b">
        <x:v>1</x:v>
      </x:c>
      <x:c r="M1006" s="53" t="b">
        <x:v>1</x:v>
      </x:c>
      <x:c r="N1006" s="53" t="b">
        <x:v>1</x:v>
      </x:c>
      <x:c r="O1006" s="53" t="b">
        <x:v>1</x:v>
      </x:c>
      <x:c r="P1006" s="47" t="n">
        <x:v>1010</x:v>
      </x:c>
      <x:c r="Q1006" s="47" t="n">
        <x:v>0</x:v>
      </x:c>
      <x:c r="R1006" s="47" t="n">
        <x:v>0</x:v>
      </x:c>
      <x:c r="S1006" s="47" t="n">
        <x:v>29.91</x:v>
      </x:c>
      <x:c r="T1006" s="47" t="n">
        <x:v>64.83</x:v>
      </x:c>
      <x:c r="U1006" s="47" t="n">
        <x:v>29.9</x:v>
      </x:c>
      <x:c r="V1006" s="47" t="n">
        <x:v>14.5</x:v>
      </x:c>
      <x:c r="W1006" s="47" t="n">
        <x:v>0</x:v>
      </x:c>
      <x:c r="X1006" s="47" t="n">
        <x:v>0</x:v>
      </x:c>
      <x:c r="Y1006" s="41" t="n">
        <x:v>0</x:v>
      </x:c>
    </x:row>
    <x:row r="1007">
      <x:c r="A1007" s="38" t="str">
        <x:v>7月30日现场数据</x:v>
      </x:c>
      <x:c r="B1007" s="66" t="str">
        <x:v>2026-08-03T01:23:03.946000</x:v>
      </x:c>
      <x:c r="C1007" s="47" t="n">
        <x:v>300968</x:v>
      </x:c>
      <x:c r="D1007" s="47" t="str"/>
      <x:c r="E1007" s="47" t="str"/>
      <x:c r="F1007" s="47" t="str">
        <x:v>current</x:v>
      </x:c>
      <x:c r="G1007" s="47" t="n">
        <x:v>1003</x:v>
      </x:c>
      <x:c r="H1007" s="53" t="b">
        <x:v>1</x:v>
      </x:c>
      <x:c r="I1007" s="47" t="str">
        <x:v>2682537910</x:v>
      </x:c>
      <x:c r="J1007" s="47" t="n">
        <x:v>125241283</x:v>
      </x:c>
      <x:c r="K1007" s="53" t="b">
        <x:v>1</x:v>
      </x:c>
      <x:c r="L1007" s="53" t="b">
        <x:v>1</x:v>
      </x:c>
      <x:c r="M1007" s="53" t="b">
        <x:v>1</x:v>
      </x:c>
      <x:c r="N1007" s="53" t="b">
        <x:v>1</x:v>
      </x:c>
      <x:c r="O1007" s="53" t="b">
        <x:v>1</x:v>
      </x:c>
      <x:c r="P1007" s="47" t="n">
        <x:v>1010</x:v>
      </x:c>
      <x:c r="Q1007" s="47" t="n">
        <x:v>0</x:v>
      </x:c>
      <x:c r="R1007" s="47" t="n">
        <x:v>0</x:v>
      </x:c>
      <x:c r="S1007" s="47" t="n">
        <x:v>29.85</x:v>
      </x:c>
      <x:c r="T1007" s="47" t="n">
        <x:v>64.83</x:v>
      </x:c>
      <x:c r="U1007" s="47" t="n">
        <x:v>29.9</x:v>
      </x:c>
      <x:c r="V1007" s="47" t="n">
        <x:v>14.5</x:v>
      </x:c>
      <x:c r="W1007" s="47" t="n">
        <x:v>0</x:v>
      </x:c>
      <x:c r="X1007" s="47" t="n">
        <x:v>0</x:v>
      </x:c>
      <x:c r="Y1007" s="41" t="n">
        <x:v>0</x:v>
      </x:c>
    </x:row>
    <x:row r="1008">
      <x:c r="A1008" s="38" t="str">
        <x:v>7月30日现场数据</x:v>
      </x:c>
      <x:c r="B1008" s="66" t="str">
        <x:v>2026-08-03T01:28:04.916000</x:v>
      </x:c>
      <x:c r="C1008" s="47" t="n">
        <x:v>300970</x:v>
      </x:c>
      <x:c r="D1008" s="47" t="str"/>
      <x:c r="E1008" s="47" t="str"/>
      <x:c r="F1008" s="47" t="str">
        <x:v>current</x:v>
      </x:c>
      <x:c r="G1008" s="47" t="n">
        <x:v>1004</x:v>
      </x:c>
      <x:c r="H1008" s="53" t="b">
        <x:v>1</x:v>
      </x:c>
      <x:c r="I1008" s="47" t="str">
        <x:v>2682537910</x:v>
      </x:c>
      <x:c r="J1008" s="47" t="n">
        <x:v>125542253</x:v>
      </x:c>
      <x:c r="K1008" s="53" t="b">
        <x:v>1</x:v>
      </x:c>
      <x:c r="L1008" s="53" t="b">
        <x:v>1</x:v>
      </x:c>
      <x:c r="M1008" s="53" t="b">
        <x:v>1</x:v>
      </x:c>
      <x:c r="N1008" s="53" t="b">
        <x:v>1</x:v>
      </x:c>
      <x:c r="O1008" s="53" t="b">
        <x:v>1</x:v>
      </x:c>
      <x:c r="P1008" s="47" t="n">
        <x:v>1010</x:v>
      </x:c>
      <x:c r="Q1008" s="47" t="n">
        <x:v>0.05</x:v>
      </x:c>
      <x:c r="R1008" s="47" t="n">
        <x:v>1.352</x:v>
      </x:c>
      <x:c r="S1008" s="47" t="n">
        <x:v>29.82</x:v>
      </x:c>
      <x:c r="T1008" s="47" t="n">
        <x:v>64.88</x:v>
      </x:c>
      <x:c r="U1008" s="47" t="n">
        <x:v>29.8</x:v>
      </x:c>
      <x:c r="V1008" s="47" t="n">
        <x:v>14.5</x:v>
      </x:c>
      <x:c r="W1008" s="47" t="n">
        <x:v>0</x:v>
      </x:c>
      <x:c r="X1008" s="47" t="n">
        <x:v>0</x:v>
      </x:c>
      <x:c r="Y1008" s="41" t="n">
        <x:v>0</x:v>
      </x:c>
    </x:row>
    <x:row r="1009">
      <x:c r="A1009" s="38" t="str">
        <x:v>7月30日现场数据</x:v>
      </x:c>
      <x:c r="B1009" s="66" t="str">
        <x:v>2026-08-03T01:33:05.890000</x:v>
      </x:c>
      <x:c r="C1009" s="47" t="n">
        <x:v>300974</x:v>
      </x:c>
      <x:c r="D1009" s="47" t="str"/>
      <x:c r="E1009" s="47" t="str"/>
      <x:c r="F1009" s="47" t="str">
        <x:v>current</x:v>
      </x:c>
      <x:c r="G1009" s="47" t="n">
        <x:v>1005</x:v>
      </x:c>
      <x:c r="H1009" s="53" t="b">
        <x:v>1</x:v>
      </x:c>
      <x:c r="I1009" s="47" t="str">
        <x:v>2682537910</x:v>
      </x:c>
      <x:c r="J1009" s="47" t="n">
        <x:v>125843227</x:v>
      </x:c>
      <x:c r="K1009" s="53" t="b">
        <x:v>1</x:v>
      </x:c>
      <x:c r="L1009" s="53" t="b">
        <x:v>1</x:v>
      </x:c>
      <x:c r="M1009" s="53" t="b">
        <x:v>1</x:v>
      </x:c>
      <x:c r="N1009" s="53" t="b">
        <x:v>1</x:v>
      </x:c>
      <x:c r="O1009" s="53" t="b">
        <x:v>1</x:v>
      </x:c>
      <x:c r="P1009" s="47" t="n">
        <x:v>1010</x:v>
      </x:c>
      <x:c r="Q1009" s="47" t="n">
        <x:v>0</x:v>
      </x:c>
      <x:c r="R1009" s="47" t="n">
        <x:v>0</x:v>
      </x:c>
      <x:c r="S1009" s="47" t="n">
        <x:v>29.76</x:v>
      </x:c>
      <x:c r="T1009" s="47" t="n">
        <x:v>64.96</x:v>
      </x:c>
      <x:c r="U1009" s="47" t="n">
        <x:v>29.8</x:v>
      </x:c>
      <x:c r="V1009" s="47" t="n">
        <x:v>14.5</x:v>
      </x:c>
      <x:c r="W1009" s="47" t="n">
        <x:v>0</x:v>
      </x:c>
      <x:c r="X1009" s="47" t="n">
        <x:v>0</x:v>
      </x:c>
      <x:c r="Y1009" s="41" t="n">
        <x:v>0</x:v>
      </x:c>
    </x:row>
    <x:row r="1010">
      <x:c r="A1010" s="38" t="str">
        <x:v>7月30日现场数据</x:v>
      </x:c>
      <x:c r="B1010" s="66" t="str">
        <x:v>2026-08-03T01:38:06.865000</x:v>
      </x:c>
      <x:c r="C1010" s="47" t="n">
        <x:v>300975</x:v>
      </x:c>
      <x:c r="D1010" s="47" t="str"/>
      <x:c r="E1010" s="47" t="str"/>
      <x:c r="F1010" s="47" t="str">
        <x:v>current</x:v>
      </x:c>
      <x:c r="G1010" s="47" t="n">
        <x:v>1006</x:v>
      </x:c>
      <x:c r="H1010" s="53" t="b">
        <x:v>1</x:v>
      </x:c>
      <x:c r="I1010" s="47" t="str">
        <x:v>2682537910</x:v>
      </x:c>
      <x:c r="J1010" s="47" t="n">
        <x:v>126144202</x:v>
      </x:c>
      <x:c r="K1010" s="53" t="b">
        <x:v>1</x:v>
      </x:c>
      <x:c r="L1010" s="53" t="b">
        <x:v>1</x:v>
      </x:c>
      <x:c r="M1010" s="53" t="b">
        <x:v>1</x:v>
      </x:c>
      <x:c r="N1010" s="53" t="b">
        <x:v>1</x:v>
      </x:c>
      <x:c r="O1010" s="53" t="b">
        <x:v>1</x:v>
      </x:c>
      <x:c r="P1010" s="47" t="n">
        <x:v>1010</x:v>
      </x:c>
      <x:c r="Q1010" s="47" t="n">
        <x:v>0</x:v>
      </x:c>
      <x:c r="R1010" s="47" t="n">
        <x:v>0</x:v>
      </x:c>
      <x:c r="S1010" s="47" t="n">
        <x:v>29.73</x:v>
      </x:c>
      <x:c r="T1010" s="47" t="n">
        <x:v>65.02</x:v>
      </x:c>
      <x:c r="U1010" s="47" t="n">
        <x:v>29.8</x:v>
      </x:c>
      <x:c r="V1010" s="47" t="n">
        <x:v>14.5</x:v>
      </x:c>
      <x:c r="W1010" s="47" t="n">
        <x:v>0</x:v>
      </x:c>
      <x:c r="X1010" s="47" t="n">
        <x:v>0</x:v>
      </x:c>
      <x:c r="Y1010" s="41" t="n">
        <x:v>0</x:v>
      </x:c>
    </x:row>
    <x:row r="1011">
      <x:c r="A1011" s="38" t="str">
        <x:v>7月30日现场数据</x:v>
      </x:c>
      <x:c r="B1011" s="66" t="str">
        <x:v>2026-08-03T01:43:07.842000</x:v>
      </x:c>
      <x:c r="C1011" s="47" t="n">
        <x:v>300977</x:v>
      </x:c>
      <x:c r="D1011" s="47" t="str"/>
      <x:c r="E1011" s="47" t="str"/>
      <x:c r="F1011" s="47" t="str">
        <x:v>current</x:v>
      </x:c>
      <x:c r="G1011" s="47" t="n">
        <x:v>1007</x:v>
      </x:c>
      <x:c r="H1011" s="53" t="b">
        <x:v>1</x:v>
      </x:c>
      <x:c r="I1011" s="47" t="str">
        <x:v>2682537910</x:v>
      </x:c>
      <x:c r="J1011" s="47" t="n">
        <x:v>126445179</x:v>
      </x:c>
      <x:c r="K1011" s="53" t="b">
        <x:v>1</x:v>
      </x:c>
      <x:c r="L1011" s="53" t="b">
        <x:v>1</x:v>
      </x:c>
      <x:c r="M1011" s="53" t="b">
        <x:v>1</x:v>
      </x:c>
      <x:c r="N1011" s="53" t="b">
        <x:v>1</x:v>
      </x:c>
      <x:c r="O1011" s="53" t="b">
        <x:v>1</x:v>
      </x:c>
      <x:c r="P1011" s="47" t="n">
        <x:v>1010</x:v>
      </x:c>
      <x:c r="Q1011" s="47" t="n">
        <x:v>0</x:v>
      </x:c>
      <x:c r="R1011" s="47" t="n">
        <x:v>0</x:v>
      </x:c>
      <x:c r="S1011" s="47" t="n">
        <x:v>29.68</x:v>
      </x:c>
      <x:c r="T1011" s="47" t="n">
        <x:v>65.03</x:v>
      </x:c>
      <x:c r="U1011" s="47" t="n">
        <x:v>29.8</x:v>
      </x:c>
      <x:c r="V1011" s="47" t="n">
        <x:v>14.5</x:v>
      </x:c>
      <x:c r="W1011" s="47" t="n">
        <x:v>0</x:v>
      </x:c>
      <x:c r="X1011" s="47" t="n">
        <x:v>0</x:v>
      </x:c>
      <x:c r="Y1011" s="41" t="n">
        <x:v>0</x:v>
      </x:c>
    </x:row>
    <x:row r="1012">
      <x:c r="A1012" s="38" t="str">
        <x:v>7月30日现场数据</x:v>
      </x:c>
      <x:c r="B1012" s="66" t="str">
        <x:v>2026-08-03T01:48:08.821000</x:v>
      </x:c>
      <x:c r="C1012" s="47" t="n">
        <x:v>300979</x:v>
      </x:c>
      <x:c r="D1012" s="47" t="str"/>
      <x:c r="E1012" s="47" t="str"/>
      <x:c r="F1012" s="47" t="str">
        <x:v>current</x:v>
      </x:c>
      <x:c r="G1012" s="47" t="n">
        <x:v>1008</x:v>
      </x:c>
      <x:c r="H1012" s="53" t="b">
        <x:v>1</x:v>
      </x:c>
      <x:c r="I1012" s="47" t="str">
        <x:v>2682537910</x:v>
      </x:c>
      <x:c r="J1012" s="47" t="n">
        <x:v>126746158</x:v>
      </x:c>
      <x:c r="K1012" s="53" t="b">
        <x:v>1</x:v>
      </x:c>
      <x:c r="L1012" s="53" t="b">
        <x:v>1</x:v>
      </x:c>
      <x:c r="M1012" s="53" t="b">
        <x:v>1</x:v>
      </x:c>
      <x:c r="N1012" s="53" t="b">
        <x:v>1</x:v>
      </x:c>
      <x:c r="O1012" s="53" t="b">
        <x:v>1</x:v>
      </x:c>
      <x:c r="P1012" s="47" t="n">
        <x:v>1010</x:v>
      </x:c>
      <x:c r="Q1012" s="47" t="n">
        <x:v>0</x:v>
      </x:c>
      <x:c r="R1012" s="47" t="n">
        <x:v>0</x:v>
      </x:c>
      <x:c r="S1012" s="47" t="n">
        <x:v>29.67</x:v>
      </x:c>
      <x:c r="T1012" s="47" t="n">
        <x:v>65.07</x:v>
      </x:c>
      <x:c r="U1012" s="47" t="n">
        <x:v>29.8</x:v>
      </x:c>
      <x:c r="V1012" s="47" t="n">
        <x:v>14.5</x:v>
      </x:c>
      <x:c r="W1012" s="47" t="n">
        <x:v>0</x:v>
      </x:c>
      <x:c r="X1012" s="47" t="n">
        <x:v>0</x:v>
      </x:c>
      <x:c r="Y1012" s="41" t="n">
        <x:v>0</x:v>
      </x:c>
    </x:row>
    <x:row r="1013">
      <x:c r="A1013" s="38" t="str">
        <x:v>7月30日现场数据</x:v>
      </x:c>
      <x:c r="B1013" s="66" t="str">
        <x:v>2026-08-03T01:53:09.801000</x:v>
      </x:c>
      <x:c r="C1013" s="47" t="n">
        <x:v>300980</x:v>
      </x:c>
      <x:c r="D1013" s="47" t="str"/>
      <x:c r="E1013" s="47" t="str"/>
      <x:c r="F1013" s="47" t="str">
        <x:v>current</x:v>
      </x:c>
      <x:c r="G1013" s="47" t="n">
        <x:v>1009</x:v>
      </x:c>
      <x:c r="H1013" s="53" t="b">
        <x:v>1</x:v>
      </x:c>
      <x:c r="I1013" s="47" t="str">
        <x:v>2682537910</x:v>
      </x:c>
      <x:c r="J1013" s="47" t="n">
        <x:v>127047138</x:v>
      </x:c>
      <x:c r="K1013" s="53" t="b">
        <x:v>1</x:v>
      </x:c>
      <x:c r="L1013" s="53" t="b">
        <x:v>1</x:v>
      </x:c>
      <x:c r="M1013" s="53" t="b">
        <x:v>1</x:v>
      </x:c>
      <x:c r="N1013" s="53" t="b">
        <x:v>1</x:v>
      </x:c>
      <x:c r="O1013" s="53" t="b">
        <x:v>1</x:v>
      </x:c>
      <x:c r="P1013" s="47" t="n">
        <x:v>1010</x:v>
      </x:c>
      <x:c r="Q1013" s="47" t="n">
        <x:v>0</x:v>
      </x:c>
      <x:c r="R1013" s="47" t="n">
        <x:v>0</x:v>
      </x:c>
      <x:c r="S1013" s="47" t="n">
        <x:v>29.66</x:v>
      </x:c>
      <x:c r="T1013" s="47" t="n">
        <x:v>65.14</x:v>
      </x:c>
      <x:c r="U1013" s="47" t="n">
        <x:v>29.8</x:v>
      </x:c>
      <x:c r="V1013" s="47" t="n">
        <x:v>14.5</x:v>
      </x:c>
      <x:c r="W1013" s="47" t="n">
        <x:v>0</x:v>
      </x:c>
      <x:c r="X1013" s="47" t="n">
        <x:v>0</x:v>
      </x:c>
      <x:c r="Y1013" s="41" t="n">
        <x:v>0</x:v>
      </x:c>
    </x:row>
    <x:row r="1014">
      <x:c r="A1014" s="38" t="str">
        <x:v>7月30日现场数据</x:v>
      </x:c>
      <x:c r="B1014" s="66" t="str">
        <x:v>2026-08-03T01:58:10.784000</x:v>
      </x:c>
      <x:c r="C1014" s="47" t="n">
        <x:v>300983</x:v>
      </x:c>
      <x:c r="D1014" s="47" t="str"/>
      <x:c r="E1014" s="47" t="str"/>
      <x:c r="F1014" s="47" t="str">
        <x:v>current</x:v>
      </x:c>
      <x:c r="G1014" s="47" t="n">
        <x:v>1010</x:v>
      </x:c>
      <x:c r="H1014" s="53" t="b">
        <x:v>1</x:v>
      </x:c>
      <x:c r="I1014" s="47" t="str">
        <x:v>2682537910</x:v>
      </x:c>
      <x:c r="J1014" s="47" t="n">
        <x:v>127348121</x:v>
      </x:c>
      <x:c r="K1014" s="53" t="b">
        <x:v>1</x:v>
      </x:c>
      <x:c r="L1014" s="53" t="b">
        <x:v>1</x:v>
      </x:c>
      <x:c r="M1014" s="53" t="b">
        <x:v>1</x:v>
      </x:c>
      <x:c r="N1014" s="53" t="b">
        <x:v>1</x:v>
      </x:c>
      <x:c r="O1014" s="53" t="b">
        <x:v>1</x:v>
      </x:c>
      <x:c r="P1014" s="47" t="n">
        <x:v>1010</x:v>
      </x:c>
      <x:c r="Q1014" s="47" t="n">
        <x:v>0</x:v>
      </x:c>
      <x:c r="R1014" s="47" t="n">
        <x:v>0</x:v>
      </x:c>
      <x:c r="S1014" s="47" t="n">
        <x:v>29.65</x:v>
      </x:c>
      <x:c r="T1014" s="47" t="n">
        <x:v>65.25</x:v>
      </x:c>
      <x:c r="U1014" s="47" t="n">
        <x:v>29.8</x:v>
      </x:c>
      <x:c r="V1014" s="47" t="n">
        <x:v>14.5</x:v>
      </x:c>
      <x:c r="W1014" s="47" t="n">
        <x:v>0</x:v>
      </x:c>
      <x:c r="X1014" s="47" t="n">
        <x:v>0</x:v>
      </x:c>
      <x:c r="Y1014" s="41" t="n">
        <x:v>0</x:v>
      </x:c>
    </x:row>
    <x:row r="1015">
      <x:c r="A1015" s="38" t="str">
        <x:v>7月30日现场数据</x:v>
      </x:c>
      <x:c r="B1015" s="66" t="str">
        <x:v>2026-08-03T02:03:11.767000</x:v>
      </x:c>
      <x:c r="C1015" s="47" t="n">
        <x:v>300983</x:v>
      </x:c>
      <x:c r="D1015" s="47" t="str"/>
      <x:c r="E1015" s="47" t="str"/>
      <x:c r="F1015" s="47" t="str">
        <x:v>current</x:v>
      </x:c>
      <x:c r="G1015" s="47" t="n">
        <x:v>1011</x:v>
      </x:c>
      <x:c r="H1015" s="53" t="b">
        <x:v>1</x:v>
      </x:c>
      <x:c r="I1015" s="47" t="str">
        <x:v>2682537910</x:v>
      </x:c>
      <x:c r="J1015" s="47" t="n">
        <x:v>127649104</x:v>
      </x:c>
      <x:c r="K1015" s="53" t="b">
        <x:v>1</x:v>
      </x:c>
      <x:c r="L1015" s="53" t="b">
        <x:v>1</x:v>
      </x:c>
      <x:c r="M1015" s="53" t="b">
        <x:v>1</x:v>
      </x:c>
      <x:c r="N1015" s="53" t="b">
        <x:v>1</x:v>
      </x:c>
      <x:c r="O1015" s="53" t="b">
        <x:v>1</x:v>
      </x:c>
      <x:c r="P1015" s="47" t="n">
        <x:v>1010</x:v>
      </x:c>
      <x:c r="Q1015" s="47" t="n">
        <x:v>0</x:v>
      </x:c>
      <x:c r="R1015" s="47" t="n">
        <x:v>0</x:v>
      </x:c>
      <x:c r="S1015" s="47" t="n">
        <x:v>29.64</x:v>
      </x:c>
      <x:c r="T1015" s="47" t="n">
        <x:v>65.23</x:v>
      </x:c>
      <x:c r="U1015" s="47" t="n">
        <x:v>29.8</x:v>
      </x:c>
      <x:c r="V1015" s="47" t="n">
        <x:v>14.4</x:v>
      </x:c>
      <x:c r="W1015" s="47" t="n">
        <x:v>0</x:v>
      </x:c>
      <x:c r="X1015" s="47" t="n">
        <x:v>0</x:v>
      </x:c>
      <x:c r="Y1015" s="41" t="n">
        <x:v>0</x:v>
      </x:c>
    </x:row>
    <x:row r="1016">
      <x:c r="A1016" s="38" t="str">
        <x:v>7月30日现场数据</x:v>
      </x:c>
      <x:c r="B1016" s="66" t="str">
        <x:v>2026-08-03T02:08:12.751000</x:v>
      </x:c>
      <x:c r="C1016" s="47" t="n">
        <x:v>300984</x:v>
      </x:c>
      <x:c r="D1016" s="47" t="str"/>
      <x:c r="E1016" s="47" t="str"/>
      <x:c r="F1016" s="47" t="str">
        <x:v>current</x:v>
      </x:c>
      <x:c r="G1016" s="47" t="n">
        <x:v>1012</x:v>
      </x:c>
      <x:c r="H1016" s="53" t="b">
        <x:v>1</x:v>
      </x:c>
      <x:c r="I1016" s="47" t="str">
        <x:v>2682537910</x:v>
      </x:c>
      <x:c r="J1016" s="47" t="n">
        <x:v>127950088</x:v>
      </x:c>
      <x:c r="K1016" s="53" t="b">
        <x:v>1</x:v>
      </x:c>
      <x:c r="L1016" s="53" t="b">
        <x:v>1</x:v>
      </x:c>
      <x:c r="M1016" s="53" t="b">
        <x:v>1</x:v>
      </x:c>
      <x:c r="N1016" s="53" t="b">
        <x:v>1</x:v>
      </x:c>
      <x:c r="O1016" s="53" t="b">
        <x:v>1</x:v>
      </x:c>
      <x:c r="P1016" s="47" t="n">
        <x:v>1010</x:v>
      </x:c>
      <x:c r="Q1016" s="47" t="n">
        <x:v>0</x:v>
      </x:c>
      <x:c r="R1016" s="47" t="n">
        <x:v>0</x:v>
      </x:c>
      <x:c r="S1016" s="47" t="n">
        <x:v>29.63</x:v>
      </x:c>
      <x:c r="T1016" s="47" t="n">
        <x:v>65.36</x:v>
      </x:c>
      <x:c r="U1016" s="47" t="n">
        <x:v>29.8</x:v>
      </x:c>
      <x:c r="V1016" s="47" t="n">
        <x:v>14.5</x:v>
      </x:c>
      <x:c r="W1016" s="47" t="n">
        <x:v>0</x:v>
      </x:c>
      <x:c r="X1016" s="47" t="n">
        <x:v>0</x:v>
      </x:c>
      <x:c r="Y1016" s="41" t="n">
        <x:v>0</x:v>
      </x:c>
    </x:row>
    <x:row r="1017">
      <x:c r="A1017" s="38" t="str">
        <x:v>7月30日现场数据</x:v>
      </x:c>
      <x:c r="B1017" s="66" t="str">
        <x:v>2026-08-03T02:13:13.741000</x:v>
      </x:c>
      <x:c r="C1017" s="47" t="n">
        <x:v>300990</x:v>
      </x:c>
      <x:c r="D1017" s="47" t="str"/>
      <x:c r="E1017" s="47" t="str"/>
      <x:c r="F1017" s="47" t="str">
        <x:v>current</x:v>
      </x:c>
      <x:c r="G1017" s="47" t="n">
        <x:v>1013</x:v>
      </x:c>
      <x:c r="H1017" s="53" t="b">
        <x:v>1</x:v>
      </x:c>
      <x:c r="I1017" s="47" t="str">
        <x:v>2682537910</x:v>
      </x:c>
      <x:c r="J1017" s="47" t="n">
        <x:v>128251078</x:v>
      </x:c>
      <x:c r="K1017" s="53" t="b">
        <x:v>1</x:v>
      </x:c>
      <x:c r="L1017" s="53" t="b">
        <x:v>1</x:v>
      </x:c>
      <x:c r="M1017" s="53" t="b">
        <x:v>1</x:v>
      </x:c>
      <x:c r="N1017" s="53" t="b">
        <x:v>1</x:v>
      </x:c>
      <x:c r="O1017" s="53" t="b">
        <x:v>1</x:v>
      </x:c>
      <x:c r="P1017" s="47" t="n">
        <x:v>1010</x:v>
      </x:c>
      <x:c r="Q1017" s="47" t="n">
        <x:v>0</x:v>
      </x:c>
      <x:c r="R1017" s="47" t="n">
        <x:v>0</x:v>
      </x:c>
      <x:c r="S1017" s="47" t="n">
        <x:v>29.59</x:v>
      </x:c>
      <x:c r="T1017" s="47" t="n">
        <x:v>65.37</x:v>
      </x:c>
      <x:c r="U1017" s="47" t="n">
        <x:v>29.8</x:v>
      </x:c>
      <x:c r="V1017" s="47" t="n">
        <x:v>14.5</x:v>
      </x:c>
      <x:c r="W1017" s="47" t="n">
        <x:v>0</x:v>
      </x:c>
      <x:c r="X1017" s="47" t="n">
        <x:v>0</x:v>
      </x:c>
      <x:c r="Y1017" s="41" t="n">
        <x:v>0</x:v>
      </x:c>
    </x:row>
    <x:row r="1018">
      <x:c r="A1018" s="38" t="str">
        <x:v>7月30日现场数据</x:v>
      </x:c>
      <x:c r="B1018" s="66" t="str">
        <x:v>2026-08-03T02:18:14.763000</x:v>
      </x:c>
      <x:c r="C1018" s="47" t="n">
        <x:v>301022</x:v>
      </x:c>
      <x:c r="D1018" s="47" t="str"/>
      <x:c r="E1018" s="47" t="str"/>
      <x:c r="F1018" s="47" t="str">
        <x:v>current</x:v>
      </x:c>
      <x:c r="G1018" s="47" t="n">
        <x:v>1014</x:v>
      </x:c>
      <x:c r="H1018" s="53" t="b">
        <x:v>1</x:v>
      </x:c>
      <x:c r="I1018" s="47" t="str">
        <x:v>2682537910</x:v>
      </x:c>
      <x:c r="J1018" s="47" t="n">
        <x:v>128552100</x:v>
      </x:c>
      <x:c r="K1018" s="53" t="b">
        <x:v>1</x:v>
      </x:c>
      <x:c r="L1018" s="53" t="b">
        <x:v>1</x:v>
      </x:c>
      <x:c r="M1018" s="53" t="b">
        <x:v>1</x:v>
      </x:c>
      <x:c r="N1018" s="53" t="b">
        <x:v>1</x:v>
      </x:c>
      <x:c r="O1018" s="53" t="b">
        <x:v>1</x:v>
      </x:c>
      <x:c r="P1018" s="47" t="n">
        <x:v>1010</x:v>
      </x:c>
      <x:c r="Q1018" s="47" t="n">
        <x:v>0</x:v>
      </x:c>
      <x:c r="R1018" s="47" t="n">
        <x:v>0</x:v>
      </x:c>
      <x:c r="S1018" s="47" t="n">
        <x:v>29.59</x:v>
      </x:c>
      <x:c r="T1018" s="47" t="n">
        <x:v>65.42</x:v>
      </x:c>
      <x:c r="U1018" s="47" t="n">
        <x:v>29.8</x:v>
      </x:c>
      <x:c r="V1018" s="47" t="n">
        <x:v>14.5</x:v>
      </x:c>
      <x:c r="W1018" s="47" t="n">
        <x:v>0</x:v>
      </x:c>
      <x:c r="X1018" s="47" t="n">
        <x:v>0</x:v>
      </x:c>
      <x:c r="Y1018" s="41" t="n">
        <x:v>0</x:v>
      </x:c>
    </x:row>
    <x:row r="1019">
      <x:c r="A1019" s="38" t="str">
        <x:v>7月30日现场数据</x:v>
      </x:c>
      <x:c r="B1019" s="66" t="str">
        <x:v>2026-08-03T02:23:15.726000</x:v>
      </x:c>
      <x:c r="C1019" s="47" t="n">
        <x:v>300963</x:v>
      </x:c>
      <x:c r="D1019" s="47" t="str"/>
      <x:c r="E1019" s="47" t="str"/>
      <x:c r="F1019" s="47" t="str">
        <x:v>current</x:v>
      </x:c>
      <x:c r="G1019" s="47" t="n">
        <x:v>1015</x:v>
      </x:c>
      <x:c r="H1019" s="53" t="b">
        <x:v>1</x:v>
      </x:c>
      <x:c r="I1019" s="47" t="str">
        <x:v>2682537910</x:v>
      </x:c>
      <x:c r="J1019" s="47" t="n">
        <x:v>128853063</x:v>
      </x:c>
      <x:c r="K1019" s="53" t="b">
        <x:v>1</x:v>
      </x:c>
      <x:c r="L1019" s="53" t="b">
        <x:v>1</x:v>
      </x:c>
      <x:c r="M1019" s="53" t="b">
        <x:v>1</x:v>
      </x:c>
      <x:c r="N1019" s="53" t="b">
        <x:v>1</x:v>
      </x:c>
      <x:c r="O1019" s="53" t="b">
        <x:v>1</x:v>
      </x:c>
      <x:c r="P1019" s="47" t="n">
        <x:v>1010</x:v>
      </x:c>
      <x:c r="Q1019" s="47" t="n">
        <x:v>0</x:v>
      </x:c>
      <x:c r="R1019" s="47" t="n">
        <x:v>0</x:v>
      </x:c>
      <x:c r="S1019" s="47" t="n">
        <x:v>29.54</x:v>
      </x:c>
      <x:c r="T1019" s="47" t="n">
        <x:v>65.51</x:v>
      </x:c>
      <x:c r="U1019" s="47" t="n">
        <x:v>29.7</x:v>
      </x:c>
      <x:c r="V1019" s="47" t="n">
        <x:v>14.5</x:v>
      </x:c>
      <x:c r="W1019" s="47" t="n">
        <x:v>0</x:v>
      </x:c>
      <x:c r="X1019" s="47" t="n">
        <x:v>0</x:v>
      </x:c>
      <x:c r="Y1019" s="41" t="n">
        <x:v>0</x:v>
      </x:c>
    </x:row>
    <x:row r="1020">
      <x:c r="A1020" s="38" t="str">
        <x:v>7月30日现场数据</x:v>
      </x:c>
      <x:c r="B1020" s="66" t="str">
        <x:v>2026-08-03T02:28:16.692000</x:v>
      </x:c>
      <x:c r="C1020" s="47" t="n">
        <x:v>300966</x:v>
      </x:c>
      <x:c r="D1020" s="47" t="str"/>
      <x:c r="E1020" s="47" t="str"/>
      <x:c r="F1020" s="47" t="str">
        <x:v>current</x:v>
      </x:c>
      <x:c r="G1020" s="47" t="n">
        <x:v>1016</x:v>
      </x:c>
      <x:c r="H1020" s="53" t="b">
        <x:v>1</x:v>
      </x:c>
      <x:c r="I1020" s="47" t="str">
        <x:v>2682537910</x:v>
      </x:c>
      <x:c r="J1020" s="47" t="n">
        <x:v>129154029</x:v>
      </x:c>
      <x:c r="K1020" s="53" t="b">
        <x:v>1</x:v>
      </x:c>
      <x:c r="L1020" s="53" t="b">
        <x:v>1</x:v>
      </x:c>
      <x:c r="M1020" s="53" t="b">
        <x:v>1</x:v>
      </x:c>
      <x:c r="N1020" s="53" t="b">
        <x:v>1</x:v>
      </x:c>
      <x:c r="O1020" s="53" t="b">
        <x:v>1</x:v>
      </x:c>
      <x:c r="P1020" s="47" t="n">
        <x:v>1010</x:v>
      </x:c>
      <x:c r="Q1020" s="47" t="n">
        <x:v>0</x:v>
      </x:c>
      <x:c r="R1020" s="47" t="n">
        <x:v>0</x:v>
      </x:c>
      <x:c r="S1020" s="47" t="n">
        <x:v>29.5</x:v>
      </x:c>
      <x:c r="T1020" s="47" t="n">
        <x:v>65.54</x:v>
      </x:c>
      <x:c r="U1020" s="47" t="n">
        <x:v>29.7</x:v>
      </x:c>
      <x:c r="V1020" s="47" t="n">
        <x:v>14.5</x:v>
      </x:c>
      <x:c r="W1020" s="47" t="n">
        <x:v>0</x:v>
      </x:c>
      <x:c r="X1020" s="47" t="n">
        <x:v>0</x:v>
      </x:c>
      <x:c r="Y1020" s="41" t="n">
        <x:v>0</x:v>
      </x:c>
    </x:row>
    <x:row r="1021">
      <x:c r="A1021" s="38" t="str">
        <x:v>7月30日现场数据</x:v>
      </x:c>
      <x:c r="B1021" s="66" t="str">
        <x:v>2026-08-03T02:33:17.661000</x:v>
      </x:c>
      <x:c r="C1021" s="47" t="n">
        <x:v>300969</x:v>
      </x:c>
      <x:c r="D1021" s="47" t="str"/>
      <x:c r="E1021" s="47" t="str"/>
      <x:c r="F1021" s="47" t="str">
        <x:v>current</x:v>
      </x:c>
      <x:c r="G1021" s="47" t="n">
        <x:v>1017</x:v>
      </x:c>
      <x:c r="H1021" s="53" t="b">
        <x:v>1</x:v>
      </x:c>
      <x:c r="I1021" s="47" t="str">
        <x:v>2682537910</x:v>
      </x:c>
      <x:c r="J1021" s="47" t="n">
        <x:v>129454998</x:v>
      </x:c>
      <x:c r="K1021" s="53" t="b">
        <x:v>1</x:v>
      </x:c>
      <x:c r="L1021" s="53" t="b">
        <x:v>1</x:v>
      </x:c>
      <x:c r="M1021" s="53" t="b">
        <x:v>1</x:v>
      </x:c>
      <x:c r="N1021" s="53" t="b">
        <x:v>1</x:v>
      </x:c>
      <x:c r="O1021" s="53" t="b">
        <x:v>1</x:v>
      </x:c>
      <x:c r="P1021" s="47" t="n">
        <x:v>1010</x:v>
      </x:c>
      <x:c r="Q1021" s="47" t="n">
        <x:v>0</x:v>
      </x:c>
      <x:c r="R1021" s="47" t="n">
        <x:v>0</x:v>
      </x:c>
      <x:c r="S1021" s="47" t="n">
        <x:v>29.49</x:v>
      </x:c>
      <x:c r="T1021" s="47" t="n">
        <x:v>65.6</x:v>
      </x:c>
      <x:c r="U1021" s="47" t="n">
        <x:v>29.7</x:v>
      </x:c>
      <x:c r="V1021" s="47" t="n">
        <x:v>14.5</x:v>
      </x:c>
      <x:c r="W1021" s="47" t="n">
        <x:v>0</x:v>
      </x:c>
      <x:c r="X1021" s="47" t="n">
        <x:v>0</x:v>
      </x:c>
      <x:c r="Y1021" s="41" t="n">
        <x:v>0</x:v>
      </x:c>
    </x:row>
    <x:row r="1022">
      <x:c r="A1022" s="38" t="str">
        <x:v>7月30日现场数据</x:v>
      </x:c>
      <x:c r="B1022" s="66" t="str">
        <x:v>2026-08-03T02:38:18.634000</x:v>
      </x:c>
      <x:c r="C1022" s="47" t="n">
        <x:v>300973</x:v>
      </x:c>
      <x:c r="D1022" s="47" t="str"/>
      <x:c r="E1022" s="47" t="str"/>
      <x:c r="F1022" s="47" t="str">
        <x:v>current</x:v>
      </x:c>
      <x:c r="G1022" s="47" t="n">
        <x:v>1018</x:v>
      </x:c>
      <x:c r="H1022" s="53" t="b">
        <x:v>1</x:v>
      </x:c>
      <x:c r="I1022" s="47" t="str">
        <x:v>2682537910</x:v>
      </x:c>
      <x:c r="J1022" s="47" t="n">
        <x:v>129755971</x:v>
      </x:c>
      <x:c r="K1022" s="53" t="b">
        <x:v>1</x:v>
      </x:c>
      <x:c r="L1022" s="53" t="b">
        <x:v>1</x:v>
      </x:c>
      <x:c r="M1022" s="53" t="b">
        <x:v>1</x:v>
      </x:c>
      <x:c r="N1022" s="53" t="b">
        <x:v>1</x:v>
      </x:c>
      <x:c r="O1022" s="53" t="b">
        <x:v>1</x:v>
      </x:c>
      <x:c r="P1022" s="47" t="n">
        <x:v>1009</x:v>
      </x:c>
      <x:c r="Q1022" s="47" t="n">
        <x:v>0</x:v>
      </x:c>
      <x:c r="R1022" s="47" t="n">
        <x:v>0</x:v>
      </x:c>
      <x:c r="S1022" s="47" t="n">
        <x:v>29.48</x:v>
      </x:c>
      <x:c r="T1022" s="47" t="n">
        <x:v>65.69</x:v>
      </x:c>
      <x:c r="U1022" s="47" t="n">
        <x:v>29.7</x:v>
      </x:c>
      <x:c r="V1022" s="47" t="n">
        <x:v>14.5</x:v>
      </x:c>
      <x:c r="W1022" s="47" t="n">
        <x:v>0</x:v>
      </x:c>
      <x:c r="X1022" s="47" t="n">
        <x:v>0</x:v>
      </x:c>
      <x:c r="Y1022" s="41" t="n">
        <x:v>0</x:v>
      </x:c>
    </x:row>
    <x:row r="1023">
      <x:c r="A1023" s="38" t="str">
        <x:v>7月30日现场数据</x:v>
      </x:c>
      <x:c r="B1023" s="66" t="str">
        <x:v>2026-08-03T02:43:19.607000</x:v>
      </x:c>
      <x:c r="C1023" s="47" t="n">
        <x:v>300973</x:v>
      </x:c>
      <x:c r="D1023" s="47" t="str"/>
      <x:c r="E1023" s="47" t="str"/>
      <x:c r="F1023" s="47" t="str">
        <x:v>current</x:v>
      </x:c>
      <x:c r="G1023" s="47" t="n">
        <x:v>1019</x:v>
      </x:c>
      <x:c r="H1023" s="53" t="b">
        <x:v>1</x:v>
      </x:c>
      <x:c r="I1023" s="47" t="str">
        <x:v>2682537910</x:v>
      </x:c>
      <x:c r="J1023" s="47" t="n">
        <x:v>130056944</x:v>
      </x:c>
      <x:c r="K1023" s="53" t="b">
        <x:v>1</x:v>
      </x:c>
      <x:c r="L1023" s="53" t="b">
        <x:v>1</x:v>
      </x:c>
      <x:c r="M1023" s="53" t="b">
        <x:v>1</x:v>
      </x:c>
      <x:c r="N1023" s="53" t="b">
        <x:v>1</x:v>
      </x:c>
      <x:c r="O1023" s="53" t="b">
        <x:v>1</x:v>
      </x:c>
      <x:c r="P1023" s="47" t="n">
        <x:v>1010</x:v>
      </x:c>
      <x:c r="Q1023" s="47" t="n">
        <x:v>0</x:v>
      </x:c>
      <x:c r="R1023" s="47" t="n">
        <x:v>0</x:v>
      </x:c>
      <x:c r="S1023" s="47" t="n">
        <x:v>29.45</x:v>
      </x:c>
      <x:c r="T1023" s="47" t="n">
        <x:v>65.71</x:v>
      </x:c>
      <x:c r="U1023" s="47" t="n">
        <x:v>29.7</x:v>
      </x:c>
      <x:c r="V1023" s="47" t="n">
        <x:v>14.5</x:v>
      </x:c>
      <x:c r="W1023" s="47" t="n">
        <x:v>0</x:v>
      </x:c>
      <x:c r="X1023" s="47" t="n">
        <x:v>0</x:v>
      </x:c>
      <x:c r="Y1023" s="41" t="n">
        <x:v>0</x:v>
      </x:c>
    </x:row>
    <x:row r="1024">
      <x:c r="A1024" s="38" t="str">
        <x:v>7月30日现场数据</x:v>
      </x:c>
      <x:c r="B1024" s="66" t="str">
        <x:v>2026-08-03T02:48:20.580000</x:v>
      </x:c>
      <x:c r="C1024" s="47" t="n">
        <x:v>300973</x:v>
      </x:c>
      <x:c r="D1024" s="47" t="str"/>
      <x:c r="E1024" s="47" t="str"/>
      <x:c r="F1024" s="47" t="str">
        <x:v>current</x:v>
      </x:c>
      <x:c r="G1024" s="47" t="n">
        <x:v>1020</x:v>
      </x:c>
      <x:c r="H1024" s="53" t="b">
        <x:v>1</x:v>
      </x:c>
      <x:c r="I1024" s="47" t="str">
        <x:v>2682537910</x:v>
      </x:c>
      <x:c r="J1024" s="47" t="n">
        <x:v>130357917</x:v>
      </x:c>
      <x:c r="K1024" s="53" t="b">
        <x:v>1</x:v>
      </x:c>
      <x:c r="L1024" s="53" t="b">
        <x:v>1</x:v>
      </x:c>
      <x:c r="M1024" s="53" t="b">
        <x:v>1</x:v>
      </x:c>
      <x:c r="N1024" s="53" t="b">
        <x:v>1</x:v>
      </x:c>
      <x:c r="O1024" s="53" t="b">
        <x:v>1</x:v>
      </x:c>
      <x:c r="P1024" s="47" t="n">
        <x:v>1010</x:v>
      </x:c>
      <x:c r="Q1024" s="47" t="n">
        <x:v>0</x:v>
      </x:c>
      <x:c r="R1024" s="47" t="n">
        <x:v>0</x:v>
      </x:c>
      <x:c r="S1024" s="47" t="n">
        <x:v>29.42</x:v>
      </x:c>
      <x:c r="T1024" s="47" t="n">
        <x:v>65.73</x:v>
      </x:c>
      <x:c r="U1024" s="47" t="n">
        <x:v>29.7</x:v>
      </x:c>
      <x:c r="V1024" s="47" t="n">
        <x:v>14.5</x:v>
      </x:c>
      <x:c r="W1024" s="47" t="n">
        <x:v>0</x:v>
      </x:c>
      <x:c r="X1024" s="47" t="n">
        <x:v>0</x:v>
      </x:c>
      <x:c r="Y1024" s="41" t="n">
        <x:v>0</x:v>
      </x:c>
    </x:row>
    <x:row r="1025">
      <x:c r="A1025" s="38" t="str">
        <x:v>7月30日现场数据</x:v>
      </x:c>
      <x:c r="B1025" s="66" t="str">
        <x:v>2026-08-03T02:53:21.556000</x:v>
      </x:c>
      <x:c r="C1025" s="47" t="n">
        <x:v>300976</x:v>
      </x:c>
      <x:c r="D1025" s="47" t="str"/>
      <x:c r="E1025" s="47" t="str"/>
      <x:c r="F1025" s="47" t="str">
        <x:v>current</x:v>
      </x:c>
      <x:c r="G1025" s="47" t="n">
        <x:v>1021</x:v>
      </x:c>
      <x:c r="H1025" s="53" t="b">
        <x:v>1</x:v>
      </x:c>
      <x:c r="I1025" s="47" t="str">
        <x:v>2682537910</x:v>
      </x:c>
      <x:c r="J1025" s="47" t="n">
        <x:v>130658893</x:v>
      </x:c>
      <x:c r="K1025" s="53" t="b">
        <x:v>1</x:v>
      </x:c>
      <x:c r="L1025" s="53" t="b">
        <x:v>1</x:v>
      </x:c>
      <x:c r="M1025" s="53" t="b">
        <x:v>1</x:v>
      </x:c>
      <x:c r="N1025" s="53" t="b">
        <x:v>1</x:v>
      </x:c>
      <x:c r="O1025" s="53" t="b">
        <x:v>1</x:v>
      </x:c>
      <x:c r="P1025" s="47" t="n">
        <x:v>1010</x:v>
      </x:c>
      <x:c r="Q1025" s="47" t="n">
        <x:v>0</x:v>
      </x:c>
      <x:c r="R1025" s="47" t="n">
        <x:v>0</x:v>
      </x:c>
      <x:c r="S1025" s="47" t="n">
        <x:v>29.41</x:v>
      </x:c>
      <x:c r="T1025" s="47" t="n">
        <x:v>65.85</x:v>
      </x:c>
      <x:c r="U1025" s="47" t="n">
        <x:v>29.7</x:v>
      </x:c>
      <x:c r="V1025" s="47" t="n">
        <x:v>14.5</x:v>
      </x:c>
      <x:c r="W1025" s="47" t="n">
        <x:v>0</x:v>
      </x:c>
      <x:c r="X1025" s="47" t="n">
        <x:v>0</x:v>
      </x:c>
      <x:c r="Y1025" s="41" t="n">
        <x:v>0</x:v>
      </x:c>
    </x:row>
    <x:row r="1026">
      <x:c r="A1026" s="38" t="str">
        <x:v>7月30日现场数据</x:v>
      </x:c>
      <x:c r="B1026" s="66" t="str">
        <x:v>2026-08-03T02:58:22.534000</x:v>
      </x:c>
      <x:c r="C1026" s="47" t="n">
        <x:v>300978</x:v>
      </x:c>
      <x:c r="D1026" s="47" t="str"/>
      <x:c r="E1026" s="47" t="str"/>
      <x:c r="F1026" s="47" t="str">
        <x:v>current</x:v>
      </x:c>
      <x:c r="G1026" s="47" t="n">
        <x:v>1022</x:v>
      </x:c>
      <x:c r="H1026" s="53" t="b">
        <x:v>1</x:v>
      </x:c>
      <x:c r="I1026" s="47" t="str">
        <x:v>2682537910</x:v>
      </x:c>
      <x:c r="J1026" s="47" t="n">
        <x:v>130959871</x:v>
      </x:c>
      <x:c r="K1026" s="53" t="b">
        <x:v>1</x:v>
      </x:c>
      <x:c r="L1026" s="53" t="b">
        <x:v>1</x:v>
      </x:c>
      <x:c r="M1026" s="53" t="b">
        <x:v>1</x:v>
      </x:c>
      <x:c r="N1026" s="53" t="b">
        <x:v>1</x:v>
      </x:c>
      <x:c r="O1026" s="53" t="b">
        <x:v>1</x:v>
      </x:c>
      <x:c r="P1026" s="47" t="n">
        <x:v>1010</x:v>
      </x:c>
      <x:c r="Q1026" s="47" t="n">
        <x:v>0</x:v>
      </x:c>
      <x:c r="R1026" s="47" t="n">
        <x:v>0</x:v>
      </x:c>
      <x:c r="S1026" s="47" t="n">
        <x:v>29.38</x:v>
      </x:c>
      <x:c r="T1026" s="47" t="n">
        <x:v>65.87</x:v>
      </x:c>
      <x:c r="U1026" s="47" t="n">
        <x:v>29.7</x:v>
      </x:c>
      <x:c r="V1026" s="47" t="n">
        <x:v>14.5</x:v>
      </x:c>
      <x:c r="W1026" s="47" t="n">
        <x:v>0</x:v>
      </x:c>
      <x:c r="X1026" s="47" t="n">
        <x:v>0</x:v>
      </x:c>
      <x:c r="Y1026" s="41" t="n">
        <x:v>0</x:v>
      </x:c>
    </x:row>
    <x:row r="1027">
      <x:c r="A1027" s="38" t="str">
        <x:v>7月30日现场数据</x:v>
      </x:c>
      <x:c r="B1027" s="66" t="str">
        <x:v>2026-08-03T03:03:23.513000</x:v>
      </x:c>
      <x:c r="C1027" s="47" t="n">
        <x:v>300979</x:v>
      </x:c>
      <x:c r="D1027" s="47" t="str"/>
      <x:c r="E1027" s="47" t="str"/>
      <x:c r="F1027" s="47" t="str">
        <x:v>current</x:v>
      </x:c>
      <x:c r="G1027" s="47" t="n">
        <x:v>1023</x:v>
      </x:c>
      <x:c r="H1027" s="53" t="b">
        <x:v>1</x:v>
      </x:c>
      <x:c r="I1027" s="47" t="str">
        <x:v>2682537910</x:v>
      </x:c>
      <x:c r="J1027" s="47" t="n">
        <x:v>131260850</x:v>
      </x:c>
      <x:c r="K1027" s="53" t="b">
        <x:v>1</x:v>
      </x:c>
      <x:c r="L1027" s="53" t="b">
        <x:v>1</x:v>
      </x:c>
      <x:c r="M1027" s="53" t="b">
        <x:v>1</x:v>
      </x:c>
      <x:c r="N1027" s="53" t="b">
        <x:v>1</x:v>
      </x:c>
      <x:c r="O1027" s="53" t="b">
        <x:v>1</x:v>
      </x:c>
      <x:c r="P1027" s="47" t="n">
        <x:v>1010</x:v>
      </x:c>
      <x:c r="Q1027" s="47" t="n">
        <x:v>0</x:v>
      </x:c>
      <x:c r="R1027" s="47" t="n">
        <x:v>0</x:v>
      </x:c>
      <x:c r="S1027" s="47" t="n">
        <x:v>29.34</x:v>
      </x:c>
      <x:c r="T1027" s="47" t="n">
        <x:v>65.95</x:v>
      </x:c>
      <x:c r="U1027" s="47" t="n">
        <x:v>29.7</x:v>
      </x:c>
      <x:c r="V1027" s="47" t="n">
        <x:v>14.5</x:v>
      </x:c>
      <x:c r="W1027" s="47" t="n">
        <x:v>0</x:v>
      </x:c>
      <x:c r="X1027" s="47" t="n">
        <x:v>0</x:v>
      </x:c>
      <x:c r="Y1027" s="41" t="n">
        <x:v>0</x:v>
      </x:c>
    </x:row>
    <x:row r="1028">
      <x:c r="A1028" s="38" t="str">
        <x:v>7月30日现场数据</x:v>
      </x:c>
      <x:c r="B1028" s="66" t="str">
        <x:v>2026-08-03T03:08:24.494000</x:v>
      </x:c>
      <x:c r="C1028" s="47" t="n">
        <x:v>300981</x:v>
      </x:c>
      <x:c r="D1028" s="47" t="str"/>
      <x:c r="E1028" s="47" t="str"/>
      <x:c r="F1028" s="47" t="str">
        <x:v>current</x:v>
      </x:c>
      <x:c r="G1028" s="47" t="n">
        <x:v>1024</x:v>
      </x:c>
      <x:c r="H1028" s="53" t="b">
        <x:v>1</x:v>
      </x:c>
      <x:c r="I1028" s="47" t="str">
        <x:v>2682537910</x:v>
      </x:c>
      <x:c r="J1028" s="47" t="n">
        <x:v>131561831</x:v>
      </x:c>
      <x:c r="K1028" s="53" t="b">
        <x:v>1</x:v>
      </x:c>
      <x:c r="L1028" s="53" t="b">
        <x:v>1</x:v>
      </x:c>
      <x:c r="M1028" s="53" t="b">
        <x:v>1</x:v>
      </x:c>
      <x:c r="N1028" s="53" t="b">
        <x:v>1</x:v>
      </x:c>
      <x:c r="O1028" s="53" t="b">
        <x:v>1</x:v>
      </x:c>
      <x:c r="P1028" s="47" t="n">
        <x:v>1010</x:v>
      </x:c>
      <x:c r="Q1028" s="47" t="n">
        <x:v>0</x:v>
      </x:c>
      <x:c r="R1028" s="47" t="n">
        <x:v>0</x:v>
      </x:c>
      <x:c r="S1028" s="47" t="n">
        <x:v>29.3</x:v>
      </x:c>
      <x:c r="T1028" s="47" t="n">
        <x:v>66.01</x:v>
      </x:c>
      <x:c r="U1028" s="47" t="n">
        <x:v>29.7</x:v>
      </x:c>
      <x:c r="V1028" s="47" t="n">
        <x:v>14.5</x:v>
      </x:c>
      <x:c r="W1028" s="47" t="n">
        <x:v>0</x:v>
      </x:c>
      <x:c r="X1028" s="47" t="n">
        <x:v>0</x:v>
      </x:c>
      <x:c r="Y1028" s="41" t="n">
        <x:v>0</x:v>
      </x:c>
    </x:row>
    <x:row r="1029">
      <x:c r="A1029" s="38" t="str">
        <x:v>7月30日现场数据</x:v>
      </x:c>
      <x:c r="B1029" s="66" t="str">
        <x:v>2026-08-03T03:13:25.479000</x:v>
      </x:c>
      <x:c r="C1029" s="47" t="n">
        <x:v>300985</x:v>
      </x:c>
      <x:c r="D1029" s="47" t="str"/>
      <x:c r="E1029" s="47" t="str"/>
      <x:c r="F1029" s="47" t="str">
        <x:v>current</x:v>
      </x:c>
      <x:c r="G1029" s="47" t="n">
        <x:v>1025</x:v>
      </x:c>
      <x:c r="H1029" s="53" t="b">
        <x:v>1</x:v>
      </x:c>
      <x:c r="I1029" s="47" t="str">
        <x:v>2682537910</x:v>
      </x:c>
      <x:c r="J1029" s="47" t="n">
        <x:v>131862816</x:v>
      </x:c>
      <x:c r="K1029" s="53" t="b">
        <x:v>1</x:v>
      </x:c>
      <x:c r="L1029" s="53" t="b">
        <x:v>1</x:v>
      </x:c>
      <x:c r="M1029" s="53" t="b">
        <x:v>1</x:v>
      </x:c>
      <x:c r="N1029" s="53" t="b">
        <x:v>1</x:v>
      </x:c>
      <x:c r="O1029" s="53" t="b">
        <x:v>1</x:v>
      </x:c>
      <x:c r="P1029" s="47" t="n">
        <x:v>1010</x:v>
      </x:c>
      <x:c r="Q1029" s="47" t="n">
        <x:v>0</x:v>
      </x:c>
      <x:c r="R1029" s="47" t="n">
        <x:v>0</x:v>
      </x:c>
      <x:c r="S1029" s="47" t="n">
        <x:v>29.27</x:v>
      </x:c>
      <x:c r="T1029" s="47" t="n">
        <x:v>66.02</x:v>
      </x:c>
      <x:c r="U1029" s="47" t="n">
        <x:v>29.7</x:v>
      </x:c>
      <x:c r="V1029" s="47" t="n">
        <x:v>14.4</x:v>
      </x:c>
      <x:c r="W1029" s="47" t="n">
        <x:v>0</x:v>
      </x:c>
      <x:c r="X1029" s="47" t="n">
        <x:v>0</x:v>
      </x:c>
      <x:c r="Y1029" s="41" t="n">
        <x:v>0</x:v>
      </x:c>
    </x:row>
    <x:row r="1030">
      <x:c r="A1030" s="38" t="str">
        <x:v>7月30日现场数据</x:v>
      </x:c>
      <x:c r="B1030" s="66" t="str">
        <x:v>2026-08-03T03:18:26.466000</x:v>
      </x:c>
      <x:c r="C1030" s="47" t="n">
        <x:v>300987</x:v>
      </x:c>
      <x:c r="D1030" s="47" t="str"/>
      <x:c r="E1030" s="47" t="str"/>
      <x:c r="F1030" s="47" t="str">
        <x:v>current</x:v>
      </x:c>
      <x:c r="G1030" s="47" t="n">
        <x:v>1026</x:v>
      </x:c>
      <x:c r="H1030" s="53" t="b">
        <x:v>1</x:v>
      </x:c>
      <x:c r="I1030" s="47" t="str">
        <x:v>2682537910</x:v>
      </x:c>
      <x:c r="J1030" s="47" t="n">
        <x:v>132163803</x:v>
      </x:c>
      <x:c r="K1030" s="53" t="b">
        <x:v>1</x:v>
      </x:c>
      <x:c r="L1030" s="53" t="b">
        <x:v>1</x:v>
      </x:c>
      <x:c r="M1030" s="53" t="b">
        <x:v>1</x:v>
      </x:c>
      <x:c r="N1030" s="53" t="b">
        <x:v>1</x:v>
      </x:c>
      <x:c r="O1030" s="53" t="b">
        <x:v>1</x:v>
      </x:c>
      <x:c r="P1030" s="47" t="n">
        <x:v>1010</x:v>
      </x:c>
      <x:c r="Q1030" s="47" t="n">
        <x:v>0</x:v>
      </x:c>
      <x:c r="R1030" s="47" t="n">
        <x:v>0</x:v>
      </x:c>
      <x:c r="S1030" s="47" t="n">
        <x:v>29.26</x:v>
      </x:c>
      <x:c r="T1030" s="47" t="n">
        <x:v>66.13</x:v>
      </x:c>
      <x:c r="U1030" s="47" t="n">
        <x:v>29.7</x:v>
      </x:c>
      <x:c r="V1030" s="47" t="n">
        <x:v>14.5</x:v>
      </x:c>
      <x:c r="W1030" s="47" t="n">
        <x:v>0</x:v>
      </x:c>
      <x:c r="X1030" s="47" t="n">
        <x:v>0</x:v>
      </x:c>
      <x:c r="Y1030" s="41" t="n">
        <x:v>0</x:v>
      </x:c>
    </x:row>
    <x:row r="1031">
      <x:c r="A1031" s="38" t="str">
        <x:v>7月30日现场数据</x:v>
      </x:c>
      <x:c r="B1031" s="66" t="str">
        <x:v>2026-08-03T03:23:27.452000</x:v>
      </x:c>
      <x:c r="C1031" s="47" t="n">
        <x:v>300986</x:v>
      </x:c>
      <x:c r="D1031" s="47" t="str"/>
      <x:c r="E1031" s="47" t="str"/>
      <x:c r="F1031" s="47" t="str">
        <x:v>current</x:v>
      </x:c>
      <x:c r="G1031" s="47" t="n">
        <x:v>1027</x:v>
      </x:c>
      <x:c r="H1031" s="53" t="b">
        <x:v>1</x:v>
      </x:c>
      <x:c r="I1031" s="47" t="str">
        <x:v>2682537910</x:v>
      </x:c>
      <x:c r="J1031" s="47" t="n">
        <x:v>132464789</x:v>
      </x:c>
      <x:c r="K1031" s="53" t="b">
        <x:v>1</x:v>
      </x:c>
      <x:c r="L1031" s="53" t="b">
        <x:v>1</x:v>
      </x:c>
      <x:c r="M1031" s="53" t="b">
        <x:v>1</x:v>
      </x:c>
      <x:c r="N1031" s="53" t="b">
        <x:v>1</x:v>
      </x:c>
      <x:c r="O1031" s="53" t="b">
        <x:v>1</x:v>
      </x:c>
      <x:c r="P1031" s="47" t="n">
        <x:v>1010</x:v>
      </x:c>
      <x:c r="Q1031" s="47" t="n">
        <x:v>0</x:v>
      </x:c>
      <x:c r="R1031" s="47" t="n">
        <x:v>0</x:v>
      </x:c>
      <x:c r="S1031" s="47" t="n">
        <x:v>29.27</x:v>
      </x:c>
      <x:c r="T1031" s="47" t="n">
        <x:v>66.12</x:v>
      </x:c>
      <x:c r="U1031" s="47" t="n">
        <x:v>29.7</x:v>
      </x:c>
      <x:c r="V1031" s="47" t="n">
        <x:v>14.5</x:v>
      </x:c>
      <x:c r="W1031" s="47" t="n">
        <x:v>0</x:v>
      </x:c>
      <x:c r="X1031" s="47" t="n">
        <x:v>0</x:v>
      </x:c>
      <x:c r="Y1031" s="41" t="n">
        <x:v>0</x:v>
      </x:c>
    </x:row>
    <x:row r="1032">
      <x:c r="A1032" s="38" t="str">
        <x:v>7月30日现场数据</x:v>
      </x:c>
      <x:c r="B1032" s="66" t="str">
        <x:v>2026-08-03T03:28:28.439000</x:v>
      </x:c>
      <x:c r="C1032" s="47" t="n">
        <x:v>300987</x:v>
      </x:c>
      <x:c r="D1032" s="47" t="str"/>
      <x:c r="E1032" s="47" t="str"/>
      <x:c r="F1032" s="47" t="str">
        <x:v>current</x:v>
      </x:c>
      <x:c r="G1032" s="47" t="n">
        <x:v>1028</x:v>
      </x:c>
      <x:c r="H1032" s="53" t="b">
        <x:v>1</x:v>
      </x:c>
      <x:c r="I1032" s="47" t="str">
        <x:v>2682537910</x:v>
      </x:c>
      <x:c r="J1032" s="47" t="n">
        <x:v>132765776</x:v>
      </x:c>
      <x:c r="K1032" s="53" t="b">
        <x:v>1</x:v>
      </x:c>
      <x:c r="L1032" s="53" t="b">
        <x:v>1</x:v>
      </x:c>
      <x:c r="M1032" s="53" t="b">
        <x:v>1</x:v>
      </x:c>
      <x:c r="N1032" s="53" t="b">
        <x:v>1</x:v>
      </x:c>
      <x:c r="O1032" s="53" t="b">
        <x:v>1</x:v>
      </x:c>
      <x:c r="P1032" s="47" t="n">
        <x:v>1010</x:v>
      </x:c>
      <x:c r="Q1032" s="47" t="n">
        <x:v>0</x:v>
      </x:c>
      <x:c r="R1032" s="47" t="n">
        <x:v>0</x:v>
      </x:c>
      <x:c r="S1032" s="47" t="n">
        <x:v>29.27</x:v>
      </x:c>
      <x:c r="T1032" s="47" t="n">
        <x:v>66.24</x:v>
      </x:c>
      <x:c r="U1032" s="47" t="n">
        <x:v>29.6</x:v>
      </x:c>
      <x:c r="V1032" s="47" t="n">
        <x:v>14.5</x:v>
      </x:c>
      <x:c r="W1032" s="47" t="n">
        <x:v>0</x:v>
      </x:c>
      <x:c r="X1032" s="47" t="n">
        <x:v>0</x:v>
      </x:c>
      <x:c r="Y1032" s="41" t="n">
        <x:v>0</x:v>
      </x:c>
    </x:row>
    <x:row r="1033">
      <x:c r="A1033" s="38" t="str">
        <x:v>7月30日现场数据</x:v>
      </x:c>
      <x:c r="B1033" s="66" t="str">
        <x:v>2026-08-03T03:33:29.429000</x:v>
      </x:c>
      <x:c r="C1033" s="47" t="n">
        <x:v>300990</x:v>
      </x:c>
      <x:c r="D1033" s="47" t="str"/>
      <x:c r="E1033" s="47" t="str"/>
      <x:c r="F1033" s="47" t="str">
        <x:v>current</x:v>
      </x:c>
      <x:c r="G1033" s="47" t="n">
        <x:v>1029</x:v>
      </x:c>
      <x:c r="H1033" s="53" t="b">
        <x:v>1</x:v>
      </x:c>
      <x:c r="I1033" s="47" t="str">
        <x:v>2682537910</x:v>
      </x:c>
      <x:c r="J1033" s="47" t="n">
        <x:v>133066766</x:v>
      </x:c>
      <x:c r="K1033" s="53" t="b">
        <x:v>1</x:v>
      </x:c>
      <x:c r="L1033" s="53" t="b">
        <x:v>1</x:v>
      </x:c>
      <x:c r="M1033" s="53" t="b">
        <x:v>1</x:v>
      </x:c>
      <x:c r="N1033" s="53" t="b">
        <x:v>1</x:v>
      </x:c>
      <x:c r="O1033" s="53" t="b">
        <x:v>1</x:v>
      </x:c>
      <x:c r="P1033" s="47" t="n">
        <x:v>1010</x:v>
      </x:c>
      <x:c r="Q1033" s="47" t="n">
        <x:v>0</x:v>
      </x:c>
      <x:c r="R1033" s="47" t="n">
        <x:v>0</x:v>
      </x:c>
      <x:c r="S1033" s="47" t="n">
        <x:v>29.29</x:v>
      </x:c>
      <x:c r="T1033" s="47" t="n">
        <x:v>66.3</x:v>
      </x:c>
      <x:c r="U1033" s="47" t="n">
        <x:v>29.6</x:v>
      </x:c>
      <x:c r="V1033" s="47" t="n">
        <x:v>14.5</x:v>
      </x:c>
      <x:c r="W1033" s="47" t="n">
        <x:v>0</x:v>
      </x:c>
      <x:c r="X1033" s="47" t="n">
        <x:v>0</x:v>
      </x:c>
      <x:c r="Y1033" s="41" t="n">
        <x:v>0</x:v>
      </x:c>
    </x:row>
    <x:row r="1034">
      <x:c r="A1034" s="38" t="str">
        <x:v>7月30日现场数据</x:v>
      </x:c>
      <x:c r="B1034" s="66" t="str">
        <x:v>2026-08-03T03:38:30.455000</x:v>
      </x:c>
      <x:c r="C1034" s="47" t="n">
        <x:v>301026</x:v>
      </x:c>
      <x:c r="D1034" s="47" t="str"/>
      <x:c r="E1034" s="47" t="str"/>
      <x:c r="F1034" s="47" t="str">
        <x:v>current</x:v>
      </x:c>
      <x:c r="G1034" s="47" t="n">
        <x:v>1030</x:v>
      </x:c>
      <x:c r="H1034" s="53" t="b">
        <x:v>1</x:v>
      </x:c>
      <x:c r="I1034" s="47" t="str">
        <x:v>2682537910</x:v>
      </x:c>
      <x:c r="J1034" s="47" t="n">
        <x:v>133367792</x:v>
      </x:c>
      <x:c r="K1034" s="53" t="b">
        <x:v>1</x:v>
      </x:c>
      <x:c r="L1034" s="53" t="b">
        <x:v>1</x:v>
      </x:c>
      <x:c r="M1034" s="53" t="b">
        <x:v>1</x:v>
      </x:c>
      <x:c r="N1034" s="53" t="b">
        <x:v>1</x:v>
      </x:c>
      <x:c r="O1034" s="53" t="b">
        <x:v>1</x:v>
      </x:c>
      <x:c r="P1034" s="47" t="n">
        <x:v>1010</x:v>
      </x:c>
      <x:c r="Q1034" s="47" t="n">
        <x:v>0</x:v>
      </x:c>
      <x:c r="R1034" s="47" t="n">
        <x:v>0</x:v>
      </x:c>
      <x:c r="S1034" s="47" t="n">
        <x:v>29.27</x:v>
      </x:c>
      <x:c r="T1034" s="47" t="n">
        <x:v>66.39</x:v>
      </x:c>
      <x:c r="U1034" s="47" t="n">
        <x:v>29.6</x:v>
      </x:c>
      <x:c r="V1034" s="47" t="n">
        <x:v>14.5</x:v>
      </x:c>
      <x:c r="W1034" s="47" t="n">
        <x:v>0</x:v>
      </x:c>
      <x:c r="X1034" s="47" t="n">
        <x:v>0</x:v>
      </x:c>
      <x:c r="Y1034" s="41" t="n">
        <x:v>0</x:v>
      </x:c>
    </x:row>
    <x:row r="1035">
      <x:c r="A1035" s="38" t="str">
        <x:v>7月30日现场数据</x:v>
      </x:c>
      <x:c r="B1035" s="66" t="str">
        <x:v>2026-08-03T03:43:31.421000</x:v>
      </x:c>
      <x:c r="C1035" s="47" t="n">
        <x:v>300966</x:v>
      </x:c>
      <x:c r="D1035" s="47" t="str"/>
      <x:c r="E1035" s="47" t="str"/>
      <x:c r="F1035" s="47" t="str">
        <x:v>current</x:v>
      </x:c>
      <x:c r="G1035" s="47" t="n">
        <x:v>1031</x:v>
      </x:c>
      <x:c r="H1035" s="53" t="b">
        <x:v>1</x:v>
      </x:c>
      <x:c r="I1035" s="47" t="str">
        <x:v>2682537910</x:v>
      </x:c>
      <x:c r="J1035" s="47" t="n">
        <x:v>133668758</x:v>
      </x:c>
      <x:c r="K1035" s="53" t="b">
        <x:v>1</x:v>
      </x:c>
      <x:c r="L1035" s="53" t="b">
        <x:v>1</x:v>
      </x:c>
      <x:c r="M1035" s="53" t="b">
        <x:v>1</x:v>
      </x:c>
      <x:c r="N1035" s="53" t="b">
        <x:v>1</x:v>
      </x:c>
      <x:c r="O1035" s="53" t="b">
        <x:v>1</x:v>
      </x:c>
      <x:c r="P1035" s="47" t="n">
        <x:v>1010</x:v>
      </x:c>
      <x:c r="Q1035" s="47" t="n">
        <x:v>0</x:v>
      </x:c>
      <x:c r="R1035" s="47" t="n">
        <x:v>0</x:v>
      </x:c>
      <x:c r="S1035" s="47" t="n">
        <x:v>29.25</x:v>
      </x:c>
      <x:c r="T1035" s="47" t="n">
        <x:v>66.44</x:v>
      </x:c>
      <x:c r="U1035" s="47" t="n">
        <x:v>29.6</x:v>
      </x:c>
      <x:c r="V1035" s="47" t="n">
        <x:v>14.5</x:v>
      </x:c>
      <x:c r="W1035" s="47" t="n">
        <x:v>0</x:v>
      </x:c>
      <x:c r="X1035" s="47" t="n">
        <x:v>0</x:v>
      </x:c>
      <x:c r="Y1035" s="41" t="n">
        <x:v>0</x:v>
      </x:c>
    </x:row>
    <x:row r="1036">
      <x:c r="A1036" s="38" t="str">
        <x:v>7月30日现场数据</x:v>
      </x:c>
      <x:c r="B1036" s="66" t="str">
        <x:v>2026-08-03T03:48:32.391000</x:v>
      </x:c>
      <x:c r="C1036" s="47" t="n">
        <x:v>300970</x:v>
      </x:c>
      <x:c r="D1036" s="47" t="str"/>
      <x:c r="E1036" s="47" t="str"/>
      <x:c r="F1036" s="47" t="str">
        <x:v>current</x:v>
      </x:c>
      <x:c r="G1036" s="47" t="n">
        <x:v>1032</x:v>
      </x:c>
      <x:c r="H1036" s="53" t="b">
        <x:v>1</x:v>
      </x:c>
      <x:c r="I1036" s="47" t="str">
        <x:v>2682537910</x:v>
      </x:c>
      <x:c r="J1036" s="47" t="n">
        <x:v>133969728</x:v>
      </x:c>
      <x:c r="K1036" s="53" t="b">
        <x:v>1</x:v>
      </x:c>
      <x:c r="L1036" s="53" t="b">
        <x:v>1</x:v>
      </x:c>
      <x:c r="M1036" s="53" t="b">
        <x:v>1</x:v>
      </x:c>
      <x:c r="N1036" s="53" t="b">
        <x:v>1</x:v>
      </x:c>
      <x:c r="O1036" s="53" t="b">
        <x:v>1</x:v>
      </x:c>
      <x:c r="P1036" s="47" t="n">
        <x:v>1010</x:v>
      </x:c>
      <x:c r="Q1036" s="47" t="n">
        <x:v>0</x:v>
      </x:c>
      <x:c r="R1036" s="47" t="n">
        <x:v>0</x:v>
      </x:c>
      <x:c r="S1036" s="47" t="n">
        <x:v>29.24</x:v>
      </x:c>
      <x:c r="T1036" s="47" t="n">
        <x:v>66.5</x:v>
      </x:c>
      <x:c r="U1036" s="47" t="n">
        <x:v>29.6</x:v>
      </x:c>
      <x:c r="V1036" s="47" t="n">
        <x:v>14.5</x:v>
      </x:c>
      <x:c r="W1036" s="47" t="n">
        <x:v>0</x:v>
      </x:c>
      <x:c r="X1036" s="47" t="n">
        <x:v>0</x:v>
      </x:c>
      <x:c r="Y1036" s="41" t="n">
        <x:v>0</x:v>
      </x:c>
    </x:row>
    <x:row r="1037">
      <x:c r="A1037" s="38" t="str">
        <x:v>7月30日现场数据</x:v>
      </x:c>
      <x:c r="B1037" s="66" t="str">
        <x:v>2026-08-03T03:53:33.365000</x:v>
      </x:c>
      <x:c r="C1037" s="47" t="n">
        <x:v>300974</x:v>
      </x:c>
      <x:c r="D1037" s="47" t="str"/>
      <x:c r="E1037" s="47" t="str"/>
      <x:c r="F1037" s="47" t="str">
        <x:v>current</x:v>
      </x:c>
      <x:c r="G1037" s="47" t="n">
        <x:v>1033</x:v>
      </x:c>
      <x:c r="H1037" s="53" t="b">
        <x:v>1</x:v>
      </x:c>
      <x:c r="I1037" s="47" t="str">
        <x:v>2682537910</x:v>
      </x:c>
      <x:c r="J1037" s="47" t="n">
        <x:v>134270702</x:v>
      </x:c>
      <x:c r="K1037" s="53" t="b">
        <x:v>1</x:v>
      </x:c>
      <x:c r="L1037" s="53" t="b">
        <x:v>1</x:v>
      </x:c>
      <x:c r="M1037" s="53" t="b">
        <x:v>1</x:v>
      </x:c>
      <x:c r="N1037" s="53" t="b">
        <x:v>1</x:v>
      </x:c>
      <x:c r="O1037" s="53" t="b">
        <x:v>1</x:v>
      </x:c>
      <x:c r="P1037" s="47" t="n">
        <x:v>1010</x:v>
      </x:c>
      <x:c r="Q1037" s="47" t="n">
        <x:v>0</x:v>
      </x:c>
      <x:c r="R1037" s="47" t="n">
        <x:v>0</x:v>
      </x:c>
      <x:c r="S1037" s="47" t="n">
        <x:v>29.19</x:v>
      </x:c>
      <x:c r="T1037" s="47" t="n">
        <x:v>66.57</x:v>
      </x:c>
      <x:c r="U1037" s="47" t="n">
        <x:v>29.6</x:v>
      </x:c>
      <x:c r="V1037" s="47" t="n">
        <x:v>14.5</x:v>
      </x:c>
      <x:c r="W1037" s="47" t="n">
        <x:v>0</x:v>
      </x:c>
      <x:c r="X1037" s="47" t="n">
        <x:v>0</x:v>
      </x:c>
      <x:c r="Y1037" s="41" t="n">
        <x:v>0</x:v>
      </x:c>
    </x:row>
    <x:row r="1038">
      <x:c r="A1038" s="38" t="str">
        <x:v>7月30日现场数据</x:v>
      </x:c>
      <x:c r="B1038" s="66" t="str">
        <x:v>2026-08-03T03:58:34.340000</x:v>
      </x:c>
      <x:c r="C1038" s="47" t="n">
        <x:v>300975</x:v>
      </x:c>
      <x:c r="D1038" s="47" t="str"/>
      <x:c r="E1038" s="47" t="str"/>
      <x:c r="F1038" s="47" t="str">
        <x:v>current</x:v>
      </x:c>
      <x:c r="G1038" s="47" t="n">
        <x:v>1034</x:v>
      </x:c>
      <x:c r="H1038" s="53" t="b">
        <x:v>1</x:v>
      </x:c>
      <x:c r="I1038" s="47" t="str">
        <x:v>2682537910</x:v>
      </x:c>
      <x:c r="J1038" s="47" t="n">
        <x:v>134571677</x:v>
      </x:c>
      <x:c r="K1038" s="53" t="b">
        <x:v>1</x:v>
      </x:c>
      <x:c r="L1038" s="53" t="b">
        <x:v>1</x:v>
      </x:c>
      <x:c r="M1038" s="53" t="b">
        <x:v>1</x:v>
      </x:c>
      <x:c r="N1038" s="53" t="b">
        <x:v>1</x:v>
      </x:c>
      <x:c r="O1038" s="53" t="b">
        <x:v>1</x:v>
      </x:c>
      <x:c r="P1038" s="47" t="n">
        <x:v>1010</x:v>
      </x:c>
      <x:c r="Q1038" s="47" t="n">
        <x:v>0</x:v>
      </x:c>
      <x:c r="R1038" s="47" t="n">
        <x:v>0</x:v>
      </x:c>
      <x:c r="S1038" s="47" t="n">
        <x:v>29.2</x:v>
      </x:c>
      <x:c r="T1038" s="47" t="n">
        <x:v>66.66</x:v>
      </x:c>
      <x:c r="U1038" s="47" t="n">
        <x:v>29.6</x:v>
      </x:c>
      <x:c r="V1038" s="47" t="n">
        <x:v>14.5</x:v>
      </x:c>
      <x:c r="W1038" s="47" t="n">
        <x:v>0</x:v>
      </x:c>
      <x:c r="X1038" s="47" t="n">
        <x:v>0</x:v>
      </x:c>
      <x:c r="Y1038" s="41" t="n">
        <x:v>0</x:v>
      </x:c>
    </x:row>
    <x:row r="1039">
      <x:c r="A1039" s="38" t="str">
        <x:v>7月30日现场数据</x:v>
      </x:c>
      <x:c r="B1039" s="66" t="str">
        <x:v>2026-08-03T04:03:35.315000</x:v>
      </x:c>
      <x:c r="C1039" s="47" t="n">
        <x:v>300975</x:v>
      </x:c>
      <x:c r="D1039" s="47" t="str"/>
      <x:c r="E1039" s="47" t="str"/>
      <x:c r="F1039" s="47" t="str">
        <x:v>current</x:v>
      </x:c>
      <x:c r="G1039" s="47" t="n">
        <x:v>1035</x:v>
      </x:c>
      <x:c r="H1039" s="53" t="b">
        <x:v>1</x:v>
      </x:c>
      <x:c r="I1039" s="47" t="str">
        <x:v>2682537910</x:v>
      </x:c>
      <x:c r="J1039" s="47" t="n">
        <x:v>134872652</x:v>
      </x:c>
      <x:c r="K1039" s="53" t="b">
        <x:v>1</x:v>
      </x:c>
      <x:c r="L1039" s="53" t="b">
        <x:v>1</x:v>
      </x:c>
      <x:c r="M1039" s="53" t="b">
        <x:v>1</x:v>
      </x:c>
      <x:c r="N1039" s="53" t="b">
        <x:v>1</x:v>
      </x:c>
      <x:c r="O1039" s="53" t="b">
        <x:v>1</x:v>
      </x:c>
      <x:c r="P1039" s="47" t="n">
        <x:v>1010</x:v>
      </x:c>
      <x:c r="Q1039" s="47" t="n">
        <x:v>0</x:v>
      </x:c>
      <x:c r="R1039" s="47" t="n">
        <x:v>0</x:v>
      </x:c>
      <x:c r="S1039" s="47" t="n">
        <x:v>29.18</x:v>
      </x:c>
      <x:c r="T1039" s="47" t="n">
        <x:v>66.67</x:v>
      </x:c>
      <x:c r="U1039" s="47" t="n">
        <x:v>29.6</x:v>
      </x:c>
      <x:c r="V1039" s="47" t="n">
        <x:v>14.5</x:v>
      </x:c>
      <x:c r="W1039" s="47" t="n">
        <x:v>0</x:v>
      </x:c>
      <x:c r="X1039" s="47" t="n">
        <x:v>0</x:v>
      </x:c>
      <x:c r="Y1039" s="41" t="n">
        <x:v>0</x:v>
      </x:c>
    </x:row>
    <x:row r="1040">
      <x:c r="A1040" s="38" t="str">
        <x:v>7月30日现场数据</x:v>
      </x:c>
      <x:c r="B1040" s="66" t="str">
        <x:v>2026-08-03T04:08:36.294000</x:v>
      </x:c>
      <x:c r="C1040" s="47" t="n">
        <x:v>300979</x:v>
      </x:c>
      <x:c r="D1040" s="47" t="str"/>
      <x:c r="E1040" s="47" t="str"/>
      <x:c r="F1040" s="47" t="str">
        <x:v>current</x:v>
      </x:c>
      <x:c r="G1040" s="47" t="n">
        <x:v>1036</x:v>
      </x:c>
      <x:c r="H1040" s="53" t="b">
        <x:v>1</x:v>
      </x:c>
      <x:c r="I1040" s="47" t="str">
        <x:v>2682537910</x:v>
      </x:c>
      <x:c r="J1040" s="47" t="n">
        <x:v>135173631</x:v>
      </x:c>
      <x:c r="K1040" s="53" t="b">
        <x:v>1</x:v>
      </x:c>
      <x:c r="L1040" s="53" t="b">
        <x:v>1</x:v>
      </x:c>
      <x:c r="M1040" s="53" t="b">
        <x:v>1</x:v>
      </x:c>
      <x:c r="N1040" s="53" t="b">
        <x:v>1</x:v>
      </x:c>
      <x:c r="O1040" s="53" t="b">
        <x:v>1</x:v>
      </x:c>
      <x:c r="P1040" s="47" t="n">
        <x:v>1010</x:v>
      </x:c>
      <x:c r="Q1040" s="47" t="n">
        <x:v>0.055</x:v>
      </x:c>
      <x:c r="R1040" s="47" t="n">
        <x:v>1.484</x:v>
      </x:c>
      <x:c r="S1040" s="47" t="n">
        <x:v>29.12</x:v>
      </x:c>
      <x:c r="T1040" s="47" t="n">
        <x:v>66.7</x:v>
      </x:c>
      <x:c r="U1040" s="47" t="n">
        <x:v>29.6</x:v>
      </x:c>
      <x:c r="V1040" s="47" t="n">
        <x:v>14.5</x:v>
      </x:c>
      <x:c r="W1040" s="47" t="n">
        <x:v>0</x:v>
      </x:c>
      <x:c r="X1040" s="47" t="n">
        <x:v>0</x:v>
      </x:c>
      <x:c r="Y1040" s="41" t="n">
        <x:v>0</x:v>
      </x:c>
    </x:row>
    <x:row r="1041">
      <x:c r="A1041" s="38" t="str">
        <x:v>7月30日现场数据</x:v>
      </x:c>
      <x:c r="B1041" s="66" t="str">
        <x:v>2026-08-03T04:13:37.273000</x:v>
      </x:c>
      <x:c r="C1041" s="47" t="n">
        <x:v>300979</x:v>
      </x:c>
      <x:c r="D1041" s="47" t="str"/>
      <x:c r="E1041" s="47" t="str"/>
      <x:c r="F1041" s="47" t="str">
        <x:v>current</x:v>
      </x:c>
      <x:c r="G1041" s="47" t="n">
        <x:v>1037</x:v>
      </x:c>
      <x:c r="H1041" s="53" t="b">
        <x:v>1</x:v>
      </x:c>
      <x:c r="I1041" s="47" t="str">
        <x:v>2682537910</x:v>
      </x:c>
      <x:c r="J1041" s="47" t="n">
        <x:v>135474610</x:v>
      </x:c>
      <x:c r="K1041" s="53" t="b">
        <x:v>1</x:v>
      </x:c>
      <x:c r="L1041" s="53" t="b">
        <x:v>1</x:v>
      </x:c>
      <x:c r="M1041" s="53" t="b">
        <x:v>1</x:v>
      </x:c>
      <x:c r="N1041" s="53" t="b">
        <x:v>1</x:v>
      </x:c>
      <x:c r="O1041" s="53" t="b">
        <x:v>1</x:v>
      </x:c>
      <x:c r="P1041" s="47" t="n">
        <x:v>1010</x:v>
      </x:c>
      <x:c r="Q1041" s="47" t="n">
        <x:v>0</x:v>
      </x:c>
      <x:c r="R1041" s="47" t="n">
        <x:v>0</x:v>
      </x:c>
      <x:c r="S1041" s="47" t="n">
        <x:v>29.11</x:v>
      </x:c>
      <x:c r="T1041" s="47" t="n">
        <x:v>66.79</x:v>
      </x:c>
      <x:c r="U1041" s="47" t="n">
        <x:v>29.6</x:v>
      </x:c>
      <x:c r="V1041" s="47" t="n">
        <x:v>14.5</x:v>
      </x:c>
      <x:c r="W1041" s="47" t="n">
        <x:v>0</x:v>
      </x:c>
      <x:c r="X1041" s="47" t="n">
        <x:v>0</x:v>
      </x:c>
      <x:c r="Y1041" s="41" t="n">
        <x:v>0</x:v>
      </x:c>
    </x:row>
    <x:row r="1042">
      <x:c r="A1042" s="38" t="str">
        <x:v>7月30日现场数据</x:v>
      </x:c>
      <x:c r="B1042" s="66" t="str">
        <x:v>2026-08-03T04:18:38.256000</x:v>
      </x:c>
      <x:c r="C1042" s="47" t="n">
        <x:v>300983</x:v>
      </x:c>
      <x:c r="D1042" s="47" t="str"/>
      <x:c r="E1042" s="47" t="str"/>
      <x:c r="F1042" s="47" t="str">
        <x:v>current</x:v>
      </x:c>
      <x:c r="G1042" s="47" t="n">
        <x:v>1038</x:v>
      </x:c>
      <x:c r="H1042" s="53" t="b">
        <x:v>1</x:v>
      </x:c>
      <x:c r="I1042" s="47" t="str">
        <x:v>2682537910</x:v>
      </x:c>
      <x:c r="J1042" s="47" t="n">
        <x:v>135775593</x:v>
      </x:c>
      <x:c r="K1042" s="53" t="b">
        <x:v>1</x:v>
      </x:c>
      <x:c r="L1042" s="53" t="b">
        <x:v>1</x:v>
      </x:c>
      <x:c r="M1042" s="53" t="b">
        <x:v>1</x:v>
      </x:c>
      <x:c r="N1042" s="53" t="b">
        <x:v>1</x:v>
      </x:c>
      <x:c r="O1042" s="53" t="b">
        <x:v>1</x:v>
      </x:c>
      <x:c r="P1042" s="47" t="n">
        <x:v>1010</x:v>
      </x:c>
      <x:c r="Q1042" s="47" t="n">
        <x:v>0</x:v>
      </x:c>
      <x:c r="R1042" s="47" t="n">
        <x:v>0</x:v>
      </x:c>
      <x:c r="S1042" s="47" t="n">
        <x:v>29.08</x:v>
      </x:c>
      <x:c r="T1042" s="47" t="n">
        <x:v>66.81</x:v>
      </x:c>
      <x:c r="U1042" s="47" t="n">
        <x:v>29.6</x:v>
      </x:c>
      <x:c r="V1042" s="47" t="n">
        <x:v>14.5</x:v>
      </x:c>
      <x:c r="W1042" s="47" t="n">
        <x:v>0</x:v>
      </x:c>
      <x:c r="X1042" s="47" t="n">
        <x:v>0</x:v>
      </x:c>
      <x:c r="Y1042" s="41" t="n">
        <x:v>0</x:v>
      </x:c>
    </x:row>
    <x:row r="1043">
      <x:c r="A1043" s="38" t="str">
        <x:v>7月30日现场数据</x:v>
      </x:c>
      <x:c r="B1043" s="66" t="str">
        <x:v>2026-08-03T04:23:39.240000</x:v>
      </x:c>
      <x:c r="C1043" s="47" t="n">
        <x:v>300984</x:v>
      </x:c>
      <x:c r="D1043" s="47" t="str"/>
      <x:c r="E1043" s="47" t="str"/>
      <x:c r="F1043" s="47" t="str">
        <x:v>current</x:v>
      </x:c>
      <x:c r="G1043" s="47" t="n">
        <x:v>1039</x:v>
      </x:c>
      <x:c r="H1043" s="53" t="b">
        <x:v>1</x:v>
      </x:c>
      <x:c r="I1043" s="47" t="str">
        <x:v>2682537910</x:v>
      </x:c>
      <x:c r="J1043" s="47" t="n">
        <x:v>136076577</x:v>
      </x:c>
      <x:c r="K1043" s="53" t="b">
        <x:v>1</x:v>
      </x:c>
      <x:c r="L1043" s="53" t="b">
        <x:v>1</x:v>
      </x:c>
      <x:c r="M1043" s="53" t="b">
        <x:v>1</x:v>
      </x:c>
      <x:c r="N1043" s="53" t="b">
        <x:v>1</x:v>
      </x:c>
      <x:c r="O1043" s="53" t="b">
        <x:v>1</x:v>
      </x:c>
      <x:c r="P1043" s="47" t="n">
        <x:v>1010</x:v>
      </x:c>
      <x:c r="Q1043" s="47" t="n">
        <x:v>0</x:v>
      </x:c>
      <x:c r="R1043" s="47" t="n">
        <x:v>0</x:v>
      </x:c>
      <x:c r="S1043" s="47" t="n">
        <x:v>29.06</x:v>
      </x:c>
      <x:c r="T1043" s="47" t="n">
        <x:v>66.92</x:v>
      </x:c>
      <x:c r="U1043" s="47" t="n">
        <x:v>29.6</x:v>
      </x:c>
      <x:c r="V1043" s="47" t="n">
        <x:v>14.5</x:v>
      </x:c>
      <x:c r="W1043" s="47" t="n">
        <x:v>0</x:v>
      </x:c>
      <x:c r="X1043" s="47" t="n">
        <x:v>0</x:v>
      </x:c>
      <x:c r="Y1043" s="41" t="n">
        <x:v>0</x:v>
      </x:c>
    </x:row>
    <x:row r="1044">
      <x:c r="A1044" s="38" t="str">
        <x:v>7月30日现场数据</x:v>
      </x:c>
      <x:c r="B1044" s="66" t="str">
        <x:v>2026-08-03T04:28:40.224000</x:v>
      </x:c>
      <x:c r="C1044" s="47" t="n">
        <x:v>300984</x:v>
      </x:c>
      <x:c r="D1044" s="47" t="str"/>
      <x:c r="E1044" s="47" t="str"/>
      <x:c r="F1044" s="47" t="str">
        <x:v>current</x:v>
      </x:c>
      <x:c r="G1044" s="47" t="n">
        <x:v>1040</x:v>
      </x:c>
      <x:c r="H1044" s="53" t="b">
        <x:v>1</x:v>
      </x:c>
      <x:c r="I1044" s="47" t="str">
        <x:v>2682537910</x:v>
      </x:c>
      <x:c r="J1044" s="47" t="n">
        <x:v>136377561</x:v>
      </x:c>
      <x:c r="K1044" s="53" t="b">
        <x:v>1</x:v>
      </x:c>
      <x:c r="L1044" s="53" t="b">
        <x:v>1</x:v>
      </x:c>
      <x:c r="M1044" s="53" t="b">
        <x:v>1</x:v>
      </x:c>
      <x:c r="N1044" s="53" t="b">
        <x:v>1</x:v>
      </x:c>
      <x:c r="O1044" s="53" t="b">
        <x:v>1</x:v>
      </x:c>
      <x:c r="P1044" s="47" t="n">
        <x:v>1010</x:v>
      </x:c>
      <x:c r="Q1044" s="47" t="n">
        <x:v>0.004</x:v>
      </x:c>
      <x:c r="R1044" s="47" t="n">
        <x:v>0.099</x:v>
      </x:c>
      <x:c r="S1044" s="47" t="n">
        <x:v>29.05</x:v>
      </x:c>
      <x:c r="T1044" s="47" t="n">
        <x:v>66.94</x:v>
      </x:c>
      <x:c r="U1044" s="47" t="n">
        <x:v>29.6</x:v>
      </x:c>
      <x:c r="V1044" s="47" t="n">
        <x:v>14.5</x:v>
      </x:c>
      <x:c r="W1044" s="47" t="n">
        <x:v>0</x:v>
      </x:c>
      <x:c r="X1044" s="47" t="n">
        <x:v>0</x:v>
      </x:c>
      <x:c r="Y1044" s="41" t="n">
        <x:v>0</x:v>
      </x:c>
    </x:row>
    <x:row r="1045">
      <x:c r="A1045" s="38" t="str">
        <x:v>7月30日现场数据</x:v>
      </x:c>
      <x:c r="B1045" s="66" t="str">
        <x:v>2026-08-03T04:33:41.209000</x:v>
      </x:c>
      <x:c r="C1045" s="47" t="n">
        <x:v>300985</x:v>
      </x:c>
      <x:c r="D1045" s="47" t="str"/>
      <x:c r="E1045" s="47" t="str"/>
      <x:c r="F1045" s="47" t="str">
        <x:v>current</x:v>
      </x:c>
      <x:c r="G1045" s="47" t="n">
        <x:v>1041</x:v>
      </x:c>
      <x:c r="H1045" s="53" t="b">
        <x:v>1</x:v>
      </x:c>
      <x:c r="I1045" s="47" t="str">
        <x:v>2682537910</x:v>
      </x:c>
      <x:c r="J1045" s="47" t="n">
        <x:v>136678546</x:v>
      </x:c>
      <x:c r="K1045" s="53" t="b">
        <x:v>1</x:v>
      </x:c>
      <x:c r="L1045" s="53" t="b">
        <x:v>1</x:v>
      </x:c>
      <x:c r="M1045" s="53" t="b">
        <x:v>1</x:v>
      </x:c>
      <x:c r="N1045" s="53" t="b">
        <x:v>1</x:v>
      </x:c>
      <x:c r="O1045" s="53" t="b">
        <x:v>1</x:v>
      </x:c>
      <x:c r="P1045" s="47" t="n">
        <x:v>1010</x:v>
      </x:c>
      <x:c r="Q1045" s="47" t="n">
        <x:v>0</x:v>
      </x:c>
      <x:c r="R1045" s="47" t="n">
        <x:v>0</x:v>
      </x:c>
      <x:c r="S1045" s="47" t="n">
        <x:v>29.04</x:v>
      </x:c>
      <x:c r="T1045" s="47" t="n">
        <x:v>67.06</x:v>
      </x:c>
      <x:c r="U1045" s="47" t="n">
        <x:v>29.6</x:v>
      </x:c>
      <x:c r="V1045" s="47" t="n">
        <x:v>14.5</x:v>
      </x:c>
      <x:c r="W1045" s="47" t="n">
        <x:v>0</x:v>
      </x:c>
      <x:c r="X1045" s="47" t="n">
        <x:v>0</x:v>
      </x:c>
      <x:c r="Y1045" s="41" t="n">
        <x:v>0</x:v>
      </x:c>
    </x:row>
    <x:row r="1046">
      <x:c r="A1046" s="38" t="str">
        <x:v>7月30日现场数据</x:v>
      </x:c>
      <x:c r="B1046" s="66" t="str">
        <x:v>2026-08-03T04:38:42.199000</x:v>
      </x:c>
      <x:c r="C1046" s="47" t="n">
        <x:v>300990</x:v>
      </x:c>
      <x:c r="D1046" s="47" t="str"/>
      <x:c r="E1046" s="47" t="str"/>
      <x:c r="F1046" s="47" t="str">
        <x:v>current</x:v>
      </x:c>
      <x:c r="G1046" s="47" t="n">
        <x:v>1042</x:v>
      </x:c>
      <x:c r="H1046" s="53" t="b">
        <x:v>1</x:v>
      </x:c>
      <x:c r="I1046" s="47" t="str">
        <x:v>2682537910</x:v>
      </x:c>
      <x:c r="J1046" s="47" t="n">
        <x:v>136979536</x:v>
      </x:c>
      <x:c r="K1046" s="53" t="b">
        <x:v>1</x:v>
      </x:c>
      <x:c r="L1046" s="53" t="b">
        <x:v>1</x:v>
      </x:c>
      <x:c r="M1046" s="53" t="b">
        <x:v>1</x:v>
      </x:c>
      <x:c r="N1046" s="53" t="b">
        <x:v>1</x:v>
      </x:c>
      <x:c r="O1046" s="53" t="b">
        <x:v>1</x:v>
      </x:c>
      <x:c r="P1046" s="47" t="n">
        <x:v>1010</x:v>
      </x:c>
      <x:c r="Q1046" s="47" t="n">
        <x:v>0</x:v>
      </x:c>
      <x:c r="R1046" s="47" t="n">
        <x:v>0</x:v>
      </x:c>
      <x:c r="S1046" s="47" t="n">
        <x:v>29.02</x:v>
      </x:c>
      <x:c r="T1046" s="47" t="n">
        <x:v>67.08</x:v>
      </x:c>
      <x:c r="U1046" s="47" t="n">
        <x:v>29.5</x:v>
      </x:c>
      <x:c r="V1046" s="47" t="n">
        <x:v>14.5</x:v>
      </x:c>
      <x:c r="W1046" s="47" t="n">
        <x:v>0</x:v>
      </x:c>
      <x:c r="X1046" s="47" t="n">
        <x:v>0</x:v>
      </x:c>
      <x:c r="Y1046" s="41" t="n">
        <x:v>0</x:v>
      </x:c>
    </x:row>
    <x:row r="1047">
      <x:c r="A1047" s="38" t="str">
        <x:v>7月30日现场数据</x:v>
      </x:c>
      <x:c r="B1047" s="66" t="str">
        <x:v>2026-08-03T04:43:43.205000</x:v>
      </x:c>
      <x:c r="C1047" s="47" t="n">
        <x:v>301006</x:v>
      </x:c>
      <x:c r="D1047" s="47" t="str"/>
      <x:c r="E1047" s="47" t="str"/>
      <x:c r="F1047" s="47" t="str">
        <x:v>current</x:v>
      </x:c>
      <x:c r="G1047" s="47" t="n">
        <x:v>1043</x:v>
      </x:c>
      <x:c r="H1047" s="53" t="b">
        <x:v>1</x:v>
      </x:c>
      <x:c r="I1047" s="47" t="str">
        <x:v>2682537910</x:v>
      </x:c>
      <x:c r="J1047" s="47" t="n">
        <x:v>137280542</x:v>
      </x:c>
      <x:c r="K1047" s="53" t="b">
        <x:v>1</x:v>
      </x:c>
      <x:c r="L1047" s="53" t="b">
        <x:v>1</x:v>
      </x:c>
      <x:c r="M1047" s="53" t="b">
        <x:v>1</x:v>
      </x:c>
      <x:c r="N1047" s="53" t="b">
        <x:v>1</x:v>
      </x:c>
      <x:c r="O1047" s="53" t="b">
        <x:v>1</x:v>
      </x:c>
      <x:c r="P1047" s="47" t="n">
        <x:v>1010</x:v>
      </x:c>
      <x:c r="Q1047" s="47" t="n">
        <x:v>0</x:v>
      </x:c>
      <x:c r="R1047" s="47" t="n">
        <x:v>0</x:v>
      </x:c>
      <x:c r="S1047" s="47" t="n">
        <x:v>28.99</x:v>
      </x:c>
      <x:c r="T1047" s="47" t="n">
        <x:v>67.16</x:v>
      </x:c>
      <x:c r="U1047" s="47" t="n">
        <x:v>29.5</x:v>
      </x:c>
      <x:c r="V1047" s="47" t="n">
        <x:v>14.5</x:v>
      </x:c>
      <x:c r="W1047" s="47" t="n">
        <x:v>0</x:v>
      </x:c>
      <x:c r="X1047" s="47" t="n">
        <x:v>0</x:v>
      </x:c>
      <x:c r="Y1047" s="41" t="n">
        <x:v>0</x:v>
      </x:c>
    </x:row>
    <x:row r="1048">
      <x:c r="A1048" s="38" t="str">
        <x:v>7月30日现场数据</x:v>
      </x:c>
      <x:c r="B1048" s="66" t="str">
        <x:v>2026-08-03T04:48:44.183000</x:v>
      </x:c>
      <x:c r="C1048" s="47" t="n">
        <x:v>300978</x:v>
      </x:c>
      <x:c r="D1048" s="47" t="str"/>
      <x:c r="E1048" s="47" t="str"/>
      <x:c r="F1048" s="47" t="str">
        <x:v>current</x:v>
      </x:c>
      <x:c r="G1048" s="47" t="n">
        <x:v>1044</x:v>
      </x:c>
      <x:c r="H1048" s="53" t="b">
        <x:v>1</x:v>
      </x:c>
      <x:c r="I1048" s="47" t="str">
        <x:v>2682537910</x:v>
      </x:c>
      <x:c r="J1048" s="47" t="n">
        <x:v>137581520</x:v>
      </x:c>
      <x:c r="K1048" s="53" t="b">
        <x:v>1</x:v>
      </x:c>
      <x:c r="L1048" s="53" t="b">
        <x:v>1</x:v>
      </x:c>
      <x:c r="M1048" s="53" t="b">
        <x:v>1</x:v>
      </x:c>
      <x:c r="N1048" s="53" t="b">
        <x:v>1</x:v>
      </x:c>
      <x:c r="O1048" s="53" t="b">
        <x:v>1</x:v>
      </x:c>
      <x:c r="P1048" s="47" t="n">
        <x:v>1010</x:v>
      </x:c>
      <x:c r="Q1048" s="47" t="n">
        <x:v>0</x:v>
      </x:c>
      <x:c r="R1048" s="47" t="n">
        <x:v>0</x:v>
      </x:c>
      <x:c r="S1048" s="47" t="n">
        <x:v>28.99</x:v>
      </x:c>
      <x:c r="T1048" s="47" t="n">
        <x:v>67.2</x:v>
      </x:c>
      <x:c r="U1048" s="47" t="n">
        <x:v>29.5</x:v>
      </x:c>
      <x:c r="V1048" s="47" t="n">
        <x:v>14.5</x:v>
      </x:c>
      <x:c r="W1048" s="47" t="n">
        <x:v>0</x:v>
      </x:c>
      <x:c r="X1048" s="47" t="n">
        <x:v>0</x:v>
      </x:c>
      <x:c r="Y1048" s="41" t="n">
        <x:v>0</x:v>
      </x:c>
    </x:row>
    <x:row r="1049">
      <x:c r="A1049" s="38" t="str">
        <x:v>7月30日现场数据</x:v>
      </x:c>
      <x:c r="B1049" s="66" t="str">
        <x:v>2026-08-03T04:53:45.163000</x:v>
      </x:c>
      <x:c r="C1049" s="47" t="n">
        <x:v>300980</x:v>
      </x:c>
      <x:c r="D1049" s="47" t="str"/>
      <x:c r="E1049" s="47" t="str"/>
      <x:c r="F1049" s="47" t="str">
        <x:v>current</x:v>
      </x:c>
      <x:c r="G1049" s="47" t="n">
        <x:v>1045</x:v>
      </x:c>
      <x:c r="H1049" s="53" t="b">
        <x:v>1</x:v>
      </x:c>
      <x:c r="I1049" s="47" t="str">
        <x:v>2682537910</x:v>
      </x:c>
      <x:c r="J1049" s="47" t="n">
        <x:v>137882500</x:v>
      </x:c>
      <x:c r="K1049" s="53" t="b">
        <x:v>1</x:v>
      </x:c>
      <x:c r="L1049" s="53" t="b">
        <x:v>1</x:v>
      </x:c>
      <x:c r="M1049" s="53" t="b">
        <x:v>1</x:v>
      </x:c>
      <x:c r="N1049" s="53" t="b">
        <x:v>1</x:v>
      </x:c>
      <x:c r="O1049" s="53" t="b">
        <x:v>1</x:v>
      </x:c>
      <x:c r="P1049" s="47" t="n">
        <x:v>1010</x:v>
      </x:c>
      <x:c r="Q1049" s="47" t="n">
        <x:v>0</x:v>
      </x:c>
      <x:c r="R1049" s="47" t="n">
        <x:v>0</x:v>
      </x:c>
      <x:c r="S1049" s="47" t="n">
        <x:v>28.98</x:v>
      </x:c>
      <x:c r="T1049" s="47" t="n">
        <x:v>67.28</x:v>
      </x:c>
      <x:c r="U1049" s="47" t="n">
        <x:v>29.5</x:v>
      </x:c>
      <x:c r="V1049" s="47" t="n">
        <x:v>14.5</x:v>
      </x:c>
      <x:c r="W1049" s="47" t="n">
        <x:v>0</x:v>
      </x:c>
      <x:c r="X1049" s="47" t="n">
        <x:v>0</x:v>
      </x:c>
      <x:c r="Y1049" s="41" t="n">
        <x:v>0</x:v>
      </x:c>
    </x:row>
    <x:row r="1050">
      <x:c r="A1050" s="38" t="str">
        <x:v>7月30日现场数据</x:v>
      </x:c>
      <x:c r="B1050" s="66" t="str">
        <x:v>2026-08-03T04:58:46.177000</x:v>
      </x:c>
      <x:c r="C1050" s="47" t="n">
        <x:v>301014</x:v>
      </x:c>
      <x:c r="D1050" s="47" t="str"/>
      <x:c r="E1050" s="47" t="str"/>
      <x:c r="F1050" s="47" t="str">
        <x:v>current</x:v>
      </x:c>
      <x:c r="G1050" s="47" t="n">
        <x:v>1046</x:v>
      </x:c>
      <x:c r="H1050" s="53" t="b">
        <x:v>1</x:v>
      </x:c>
      <x:c r="I1050" s="47" t="str">
        <x:v>2682537910</x:v>
      </x:c>
      <x:c r="J1050" s="47" t="n">
        <x:v>138183514</x:v>
      </x:c>
      <x:c r="K1050" s="53" t="b">
        <x:v>1</x:v>
      </x:c>
      <x:c r="L1050" s="53" t="b">
        <x:v>1</x:v>
      </x:c>
      <x:c r="M1050" s="53" t="b">
        <x:v>1</x:v>
      </x:c>
      <x:c r="N1050" s="53" t="b">
        <x:v>1</x:v>
      </x:c>
      <x:c r="O1050" s="53" t="b">
        <x:v>1</x:v>
      </x:c>
      <x:c r="P1050" s="47" t="n">
        <x:v>1010</x:v>
      </x:c>
      <x:c r="Q1050" s="47" t="n">
        <x:v>0</x:v>
      </x:c>
      <x:c r="R1050" s="47" t="n">
        <x:v>0</x:v>
      </x:c>
      <x:c r="S1050" s="47" t="n">
        <x:v>28.95</x:v>
      </x:c>
      <x:c r="T1050" s="47" t="n">
        <x:v>67.35</x:v>
      </x:c>
      <x:c r="U1050" s="47" t="n">
        <x:v>29.5</x:v>
      </x:c>
      <x:c r="V1050" s="47" t="n">
        <x:v>14.5</x:v>
      </x:c>
      <x:c r="W1050" s="47" t="n">
        <x:v>0</x:v>
      </x:c>
      <x:c r="X1050" s="47" t="n">
        <x:v>0</x:v>
      </x:c>
      <x:c r="Y1050" s="41" t="n">
        <x:v>0</x:v>
      </x:c>
    </x:row>
    <x:row r="1051">
      <x:c r="A1051" s="38" t="str">
        <x:v>7月30日现场数据</x:v>
      </x:c>
      <x:c r="B1051" s="66" t="str">
        <x:v>2026-08-03T05:03:47.133000</x:v>
      </x:c>
      <x:c r="C1051" s="47" t="n">
        <x:v>300956</x:v>
      </x:c>
      <x:c r="D1051" s="47" t="str"/>
      <x:c r="E1051" s="47" t="str"/>
      <x:c r="F1051" s="47" t="str">
        <x:v>current</x:v>
      </x:c>
      <x:c r="G1051" s="47" t="n">
        <x:v>1047</x:v>
      </x:c>
      <x:c r="H1051" s="53" t="b">
        <x:v>1</x:v>
      </x:c>
      <x:c r="I1051" s="47" t="str">
        <x:v>2682537910</x:v>
      </x:c>
      <x:c r="J1051" s="47" t="n">
        <x:v>138484470</x:v>
      </x:c>
      <x:c r="K1051" s="53" t="b">
        <x:v>1</x:v>
      </x:c>
      <x:c r="L1051" s="53" t="b">
        <x:v>1</x:v>
      </x:c>
      <x:c r="M1051" s="53" t="b">
        <x:v>1</x:v>
      </x:c>
      <x:c r="N1051" s="53" t="b">
        <x:v>1</x:v>
      </x:c>
      <x:c r="O1051" s="53" t="b">
        <x:v>1</x:v>
      </x:c>
      <x:c r="P1051" s="47" t="n">
        <x:v>1010</x:v>
      </x:c>
      <x:c r="Q1051" s="47" t="n">
        <x:v>0</x:v>
      </x:c>
      <x:c r="R1051" s="47" t="n">
        <x:v>0</x:v>
      </x:c>
      <x:c r="S1051" s="47" t="n">
        <x:v>28.94</x:v>
      </x:c>
      <x:c r="T1051" s="47" t="n">
        <x:v>67.43</x:v>
      </x:c>
      <x:c r="U1051" s="47" t="n">
        <x:v>29.5</x:v>
      </x:c>
      <x:c r="V1051" s="47" t="n">
        <x:v>14.5</x:v>
      </x:c>
      <x:c r="W1051" s="47" t="n">
        <x:v>0</x:v>
      </x:c>
      <x:c r="X1051" s="47" t="n">
        <x:v>1</x:v>
      </x:c>
      <x:c r="Y1051" s="41" t="n">
        <x:v>1</x:v>
      </x:c>
    </x:row>
    <x:row r="1052">
      <x:c r="A1052" s="38" t="str">
        <x:v>7月30日现场数据</x:v>
      </x:c>
      <x:c r="B1052" s="66" t="str">
        <x:v>2026-08-03T05:08:48.092000</x:v>
      </x:c>
      <x:c r="C1052" s="47" t="n">
        <x:v>300959</x:v>
      </x:c>
      <x:c r="D1052" s="47" t="str"/>
      <x:c r="E1052" s="47" t="str"/>
      <x:c r="F1052" s="47" t="str">
        <x:v>current</x:v>
      </x:c>
      <x:c r="G1052" s="47" t="n">
        <x:v>1048</x:v>
      </x:c>
      <x:c r="H1052" s="53" t="b">
        <x:v>1</x:v>
      </x:c>
      <x:c r="I1052" s="47" t="str">
        <x:v>2682537910</x:v>
      </x:c>
      <x:c r="J1052" s="47" t="n">
        <x:v>138785429</x:v>
      </x:c>
      <x:c r="K1052" s="53" t="b">
        <x:v>1</x:v>
      </x:c>
      <x:c r="L1052" s="53" t="b">
        <x:v>1</x:v>
      </x:c>
      <x:c r="M1052" s="53" t="b">
        <x:v>1</x:v>
      </x:c>
      <x:c r="N1052" s="53" t="b">
        <x:v>1</x:v>
      </x:c>
      <x:c r="O1052" s="53" t="b">
        <x:v>1</x:v>
      </x:c>
      <x:c r="P1052" s="47" t="n">
        <x:v>1010</x:v>
      </x:c>
      <x:c r="Q1052" s="47" t="n">
        <x:v>0</x:v>
      </x:c>
      <x:c r="R1052" s="47" t="n">
        <x:v>0</x:v>
      </x:c>
      <x:c r="S1052" s="47" t="n">
        <x:v>28.97</x:v>
      </x:c>
      <x:c r="T1052" s="47" t="n">
        <x:v>67.5</x:v>
      </x:c>
      <x:c r="U1052" s="47" t="n">
        <x:v>29.5</x:v>
      </x:c>
      <x:c r="V1052" s="47" t="n">
        <x:v>14.5</x:v>
      </x:c>
      <x:c r="W1052" s="47" t="n">
        <x:v>1</x:v>
      </x:c>
      <x:c r="X1052" s="47" t="n">
        <x:v>2</x:v>
      </x:c>
      <x:c r="Y1052" s="41" t="n">
        <x:v>1</x:v>
      </x:c>
    </x:row>
    <x:row r="1053">
      <x:c r="A1053" s="38" t="str">
        <x:v>7月30日现场数据</x:v>
      </x:c>
      <x:c r="B1053" s="66" t="str">
        <x:v>2026-08-03T05:13:49.055000</x:v>
      </x:c>
      <x:c r="C1053" s="47" t="n">
        <x:v>300963</x:v>
      </x:c>
      <x:c r="D1053" s="47" t="str"/>
      <x:c r="E1053" s="47" t="str"/>
      <x:c r="F1053" s="47" t="str">
        <x:v>current</x:v>
      </x:c>
      <x:c r="G1053" s="47" t="n">
        <x:v>1049</x:v>
      </x:c>
      <x:c r="H1053" s="53" t="b">
        <x:v>1</x:v>
      </x:c>
      <x:c r="I1053" s="47" t="str">
        <x:v>2682537910</x:v>
      </x:c>
      <x:c r="J1053" s="47" t="n">
        <x:v>139086392</x:v>
      </x:c>
      <x:c r="K1053" s="53" t="b">
        <x:v>1</x:v>
      </x:c>
      <x:c r="L1053" s="53" t="b">
        <x:v>1</x:v>
      </x:c>
      <x:c r="M1053" s="53" t="b">
        <x:v>1</x:v>
      </x:c>
      <x:c r="N1053" s="53" t="b">
        <x:v>1</x:v>
      </x:c>
      <x:c r="O1053" s="53" t="b">
        <x:v>1</x:v>
      </x:c>
      <x:c r="P1053" s="47" t="n">
        <x:v>1010</x:v>
      </x:c>
      <x:c r="Q1053" s="47" t="n">
        <x:v>0</x:v>
      </x:c>
      <x:c r="R1053" s="47" t="n">
        <x:v>0</x:v>
      </x:c>
      <x:c r="S1053" s="47" t="n">
        <x:v>28.97</x:v>
      </x:c>
      <x:c r="T1053" s="47" t="n">
        <x:v>67.56</x:v>
      </x:c>
      <x:c r="U1053" s="47" t="n">
        <x:v>29.5</x:v>
      </x:c>
      <x:c r="V1053" s="47" t="n">
        <x:v>14.5</x:v>
      </x:c>
      <x:c r="W1053" s="47" t="n">
        <x:v>1</x:v>
      </x:c>
      <x:c r="X1053" s="47" t="n">
        <x:v>3</x:v>
      </x:c>
      <x:c r="Y1053" s="41" t="n">
        <x:v>2</x:v>
      </x:c>
    </x:row>
    <x:row r="1054">
      <x:c r="A1054" s="38" t="str">
        <x:v>7月30日现场数据</x:v>
      </x:c>
      <x:c r="B1054" s="66" t="str">
        <x:v>2026-08-03T05:18:50.017000</x:v>
      </x:c>
      <x:c r="C1054" s="47" t="n">
        <x:v>300962</x:v>
      </x:c>
      <x:c r="D1054" s="47" t="str"/>
      <x:c r="E1054" s="47" t="str"/>
      <x:c r="F1054" s="47" t="str">
        <x:v>current</x:v>
      </x:c>
      <x:c r="G1054" s="47" t="n">
        <x:v>1050</x:v>
      </x:c>
      <x:c r="H1054" s="53" t="b">
        <x:v>1</x:v>
      </x:c>
      <x:c r="I1054" s="47" t="str">
        <x:v>2682537910</x:v>
      </x:c>
      <x:c r="J1054" s="47" t="n">
        <x:v>139387354</x:v>
      </x:c>
      <x:c r="K1054" s="53" t="b">
        <x:v>1</x:v>
      </x:c>
      <x:c r="L1054" s="53" t="b">
        <x:v>1</x:v>
      </x:c>
      <x:c r="M1054" s="53" t="b">
        <x:v>1</x:v>
      </x:c>
      <x:c r="N1054" s="53" t="b">
        <x:v>1</x:v>
      </x:c>
      <x:c r="O1054" s="53" t="b">
        <x:v>1</x:v>
      </x:c>
      <x:c r="P1054" s="47" t="n">
        <x:v>1010</x:v>
      </x:c>
      <x:c r="Q1054" s="47" t="n">
        <x:v>0</x:v>
      </x:c>
      <x:c r="R1054" s="47" t="n">
        <x:v>0</x:v>
      </x:c>
      <x:c r="S1054" s="47" t="n">
        <x:v>28.98</x:v>
      </x:c>
      <x:c r="T1054" s="47" t="n">
        <x:v>67.64</x:v>
      </x:c>
      <x:c r="U1054" s="47" t="n">
        <x:v>29.5</x:v>
      </x:c>
      <x:c r="V1054" s="47" t="n">
        <x:v>14.5</x:v>
      </x:c>
      <x:c r="W1054" s="47" t="n">
        <x:v>1</x:v>
      </x:c>
      <x:c r="X1054" s="47" t="n">
        <x:v>4</x:v>
      </x:c>
      <x:c r="Y1054" s="41" t="n">
        <x:v>3</x:v>
      </x:c>
    </x:row>
    <x:row r="1055">
      <x:c r="A1055" s="38" t="str">
        <x:v>7月30日现场数据</x:v>
      </x:c>
      <x:c r="B1055" s="66" t="str">
        <x:v>2026-08-03T05:23:50.984000</x:v>
      </x:c>
      <x:c r="C1055" s="47" t="n">
        <x:v>300967</x:v>
      </x:c>
      <x:c r="D1055" s="47" t="str"/>
      <x:c r="E1055" s="47" t="str"/>
      <x:c r="F1055" s="47" t="str">
        <x:v>current</x:v>
      </x:c>
      <x:c r="G1055" s="47" t="n">
        <x:v>1051</x:v>
      </x:c>
      <x:c r="H1055" s="53" t="b">
        <x:v>1</x:v>
      </x:c>
      <x:c r="I1055" s="47" t="str">
        <x:v>2682537910</x:v>
      </x:c>
      <x:c r="J1055" s="47" t="n">
        <x:v>139688321</x:v>
      </x:c>
      <x:c r="K1055" s="53" t="b">
        <x:v>1</x:v>
      </x:c>
      <x:c r="L1055" s="53" t="b">
        <x:v>1</x:v>
      </x:c>
      <x:c r="M1055" s="53" t="b">
        <x:v>1</x:v>
      </x:c>
      <x:c r="N1055" s="53" t="b">
        <x:v>1</x:v>
      </x:c>
      <x:c r="O1055" s="53" t="b">
        <x:v>1</x:v>
      </x:c>
      <x:c r="P1055" s="47" t="n">
        <x:v>1010</x:v>
      </x:c>
      <x:c r="Q1055" s="47" t="n">
        <x:v>0</x:v>
      </x:c>
      <x:c r="R1055" s="47" t="n">
        <x:v>0</x:v>
      </x:c>
      <x:c r="S1055" s="47" t="n">
        <x:v>29.05</x:v>
      </x:c>
      <x:c r="T1055" s="47" t="n">
        <x:v>67.73</x:v>
      </x:c>
      <x:c r="U1055" s="47" t="n">
        <x:v>29.5</x:v>
      </x:c>
      <x:c r="V1055" s="47" t="n">
        <x:v>14.5</x:v>
      </x:c>
      <x:c r="W1055" s="47" t="n">
        <x:v>1</x:v>
      </x:c>
      <x:c r="X1055" s="47" t="n">
        <x:v>6</x:v>
      </x:c>
      <x:c r="Y1055" s="41" t="n">
        <x:v>5</x:v>
      </x:c>
    </x:row>
    <x:row r="1056">
      <x:c r="A1056" s="38" t="str">
        <x:v>7月30日现场数据</x:v>
      </x:c>
      <x:c r="B1056" s="66" t="str">
        <x:v>2026-08-03T05:28:51.952000</x:v>
      </x:c>
      <x:c r="C1056" s="47" t="n">
        <x:v>300968</x:v>
      </x:c>
      <x:c r="D1056" s="47" t="str"/>
      <x:c r="E1056" s="47" t="str"/>
      <x:c r="F1056" s="47" t="str">
        <x:v>current</x:v>
      </x:c>
      <x:c r="G1056" s="47" t="n">
        <x:v>1052</x:v>
      </x:c>
      <x:c r="H1056" s="53" t="b">
        <x:v>1</x:v>
      </x:c>
      <x:c r="I1056" s="47" t="str">
        <x:v>2682537910</x:v>
      </x:c>
      <x:c r="J1056" s="47" t="n">
        <x:v>139989289</x:v>
      </x:c>
      <x:c r="K1056" s="53" t="b">
        <x:v>1</x:v>
      </x:c>
      <x:c r="L1056" s="53" t="b">
        <x:v>1</x:v>
      </x:c>
      <x:c r="M1056" s="53" t="b">
        <x:v>1</x:v>
      </x:c>
      <x:c r="N1056" s="53" t="b">
        <x:v>1</x:v>
      </x:c>
      <x:c r="O1056" s="53" t="b">
        <x:v>1</x:v>
      </x:c>
      <x:c r="P1056" s="47" t="n">
        <x:v>1010</x:v>
      </x:c>
      <x:c r="Q1056" s="47" t="n">
        <x:v>0</x:v>
      </x:c>
      <x:c r="R1056" s="47" t="n">
        <x:v>0</x:v>
      </x:c>
      <x:c r="S1056" s="47" t="n">
        <x:v>29.09</x:v>
      </x:c>
      <x:c r="T1056" s="47" t="n">
        <x:v>67.82</x:v>
      </x:c>
      <x:c r="U1056" s="47" t="n">
        <x:v>29.5</x:v>
      </x:c>
      <x:c r="V1056" s="47" t="n">
        <x:v>14.5</x:v>
      </x:c>
      <x:c r="W1056" s="47" t="n">
        <x:v>1</x:v>
      </x:c>
      <x:c r="X1056" s="47" t="n">
        <x:v>7</x:v>
      </x:c>
      <x:c r="Y1056" s="41" t="n">
        <x:v>6</x:v>
      </x:c>
    </x:row>
    <x:row r="1057">
      <x:c r="A1057" s="38" t="str">
        <x:v>7月30日现场数据</x:v>
      </x:c>
      <x:c r="B1057" s="66" t="str">
        <x:v>2026-08-03T05:33:52.920000</x:v>
      </x:c>
      <x:c r="C1057" s="47" t="n">
        <x:v>300968</x:v>
      </x:c>
      <x:c r="D1057" s="47" t="str"/>
      <x:c r="E1057" s="47" t="str"/>
      <x:c r="F1057" s="47" t="str">
        <x:v>current</x:v>
      </x:c>
      <x:c r="G1057" s="47" t="n">
        <x:v>1053</x:v>
      </x:c>
      <x:c r="H1057" s="53" t="b">
        <x:v>1</x:v>
      </x:c>
      <x:c r="I1057" s="47" t="str">
        <x:v>2682537910</x:v>
      </x:c>
      <x:c r="J1057" s="47" t="n">
        <x:v>140290257</x:v>
      </x:c>
      <x:c r="K1057" s="53" t="b">
        <x:v>1</x:v>
      </x:c>
      <x:c r="L1057" s="53" t="b">
        <x:v>1</x:v>
      </x:c>
      <x:c r="M1057" s="53" t="b">
        <x:v>1</x:v>
      </x:c>
      <x:c r="N1057" s="53" t="b">
        <x:v>1</x:v>
      </x:c>
      <x:c r="O1057" s="53" t="b">
        <x:v>1</x:v>
      </x:c>
      <x:c r="P1057" s="47" t="n">
        <x:v>1009</x:v>
      </x:c>
      <x:c r="Q1057" s="47" t="n">
        <x:v>0</x:v>
      </x:c>
      <x:c r="R1057" s="47" t="n">
        <x:v>0</x:v>
      </x:c>
      <x:c r="S1057" s="47" t="n">
        <x:v>29.16</x:v>
      </x:c>
      <x:c r="T1057" s="47" t="n">
        <x:v>67.88</x:v>
      </x:c>
      <x:c r="U1057" s="47" t="n">
        <x:v>29.5</x:v>
      </x:c>
      <x:c r="V1057" s="47" t="n">
        <x:v>14.5</x:v>
      </x:c>
      <x:c r="W1057" s="47" t="n">
        <x:v>2</x:v>
      </x:c>
      <x:c r="X1057" s="47" t="n">
        <x:v>8</x:v>
      </x:c>
      <x:c r="Y1057" s="41" t="n">
        <x:v>6</x:v>
      </x:c>
    </x:row>
    <x:row r="1058">
      <x:c r="A1058" s="38" t="str">
        <x:v>7月30日现场数据</x:v>
      </x:c>
      <x:c r="B1058" s="66" t="str">
        <x:v>2026-08-03T05:38:53.891000</x:v>
      </x:c>
      <x:c r="C1058" s="47" t="n">
        <x:v>300971</x:v>
      </x:c>
      <x:c r="D1058" s="47" t="str"/>
      <x:c r="E1058" s="47" t="str"/>
      <x:c r="F1058" s="47" t="str">
        <x:v>current</x:v>
      </x:c>
      <x:c r="G1058" s="47" t="n">
        <x:v>1054</x:v>
      </x:c>
      <x:c r="H1058" s="53" t="b">
        <x:v>1</x:v>
      </x:c>
      <x:c r="I1058" s="47" t="str">
        <x:v>2682537910</x:v>
      </x:c>
      <x:c r="J1058" s="47" t="n">
        <x:v>140591228</x:v>
      </x:c>
      <x:c r="K1058" s="53" t="b">
        <x:v>1</x:v>
      </x:c>
      <x:c r="L1058" s="53" t="b">
        <x:v>1</x:v>
      </x:c>
      <x:c r="M1058" s="53" t="b">
        <x:v>1</x:v>
      </x:c>
      <x:c r="N1058" s="53" t="b">
        <x:v>1</x:v>
      </x:c>
      <x:c r="O1058" s="53" t="b">
        <x:v>1</x:v>
      </x:c>
      <x:c r="P1058" s="47" t="n">
        <x:v>1011</x:v>
      </x:c>
      <x:c r="Q1058" s="47" t="n">
        <x:v>0</x:v>
      </x:c>
      <x:c r="R1058" s="47" t="n">
        <x:v>0</x:v>
      </x:c>
      <x:c r="S1058" s="47" t="n">
        <x:v>29.23</x:v>
      </x:c>
      <x:c r="T1058" s="47" t="n">
        <x:v>67.99</x:v>
      </x:c>
      <x:c r="U1058" s="47" t="n">
        <x:v>29.5</x:v>
      </x:c>
      <x:c r="V1058" s="47" t="n">
        <x:v>14.5</x:v>
      </x:c>
      <x:c r="W1058" s="47" t="n">
        <x:v>2</x:v>
      </x:c>
      <x:c r="X1058" s="47" t="n">
        <x:v>10</x:v>
      </x:c>
      <x:c r="Y1058" s="41" t="n">
        <x:v>8</x:v>
      </x:c>
    </x:row>
    <x:row r="1059">
      <x:c r="A1059" s="38" t="str">
        <x:v>7月30日现场数据</x:v>
      </x:c>
      <x:c r="B1059" s="66" t="str">
        <x:v>2026-08-03T05:43:54.864000</x:v>
      </x:c>
      <x:c r="C1059" s="47" t="n">
        <x:v>300973</x:v>
      </x:c>
      <x:c r="D1059" s="47" t="str"/>
      <x:c r="E1059" s="47" t="str"/>
      <x:c r="F1059" s="47" t="str">
        <x:v>current</x:v>
      </x:c>
      <x:c r="G1059" s="47" t="n">
        <x:v>1055</x:v>
      </x:c>
      <x:c r="H1059" s="53" t="b">
        <x:v>1</x:v>
      </x:c>
      <x:c r="I1059" s="47" t="str">
        <x:v>2682537910</x:v>
      </x:c>
      <x:c r="J1059" s="47" t="n">
        <x:v>140892201</x:v>
      </x:c>
      <x:c r="K1059" s="53" t="b">
        <x:v>1</x:v>
      </x:c>
      <x:c r="L1059" s="53" t="b">
        <x:v>1</x:v>
      </x:c>
      <x:c r="M1059" s="53" t="b">
        <x:v>1</x:v>
      </x:c>
      <x:c r="N1059" s="53" t="b">
        <x:v>1</x:v>
      </x:c>
      <x:c r="O1059" s="53" t="b">
        <x:v>1</x:v>
      </x:c>
      <x:c r="P1059" s="47" t="n">
        <x:v>1011</x:v>
      </x:c>
      <x:c r="Q1059" s="47" t="n">
        <x:v>0</x:v>
      </x:c>
      <x:c r="R1059" s="47" t="n">
        <x:v>0</x:v>
      </x:c>
      <x:c r="S1059" s="47" t="n">
        <x:v>29.3</x:v>
      </x:c>
      <x:c r="T1059" s="47" t="n">
        <x:v>68.03</x:v>
      </x:c>
      <x:c r="U1059" s="47" t="n">
        <x:v>29.5</x:v>
      </x:c>
      <x:c r="V1059" s="47" t="n">
        <x:v>14.4</x:v>
      </x:c>
      <x:c r="W1059" s="47" t="n">
        <x:v>2</x:v>
      </x:c>
      <x:c r="X1059" s="47" t="n">
        <x:v>11</x:v>
      </x:c>
      <x:c r="Y1059" s="41" t="n">
        <x:v>9</x:v>
      </x:c>
    </x:row>
    <x:row r="1060">
      <x:c r="A1060" s="38" t="str">
        <x:v>7月30日现场数据</x:v>
      </x:c>
      <x:c r="B1060" s="66" t="str">
        <x:v>2026-08-03T05:48:55.837000</x:v>
      </x:c>
      <x:c r="C1060" s="47" t="n">
        <x:v>300973</x:v>
      </x:c>
      <x:c r="D1060" s="47" t="str"/>
      <x:c r="E1060" s="47" t="str"/>
      <x:c r="F1060" s="47" t="str">
        <x:v>current</x:v>
      </x:c>
      <x:c r="G1060" s="47" t="n">
        <x:v>1056</x:v>
      </x:c>
      <x:c r="H1060" s="53" t="b">
        <x:v>1</x:v>
      </x:c>
      <x:c r="I1060" s="47" t="str">
        <x:v>2682537910</x:v>
      </x:c>
      <x:c r="J1060" s="47" t="n">
        <x:v>141193174</x:v>
      </x:c>
      <x:c r="K1060" s="53" t="b">
        <x:v>1</x:v>
      </x:c>
      <x:c r="L1060" s="53" t="b">
        <x:v>1</x:v>
      </x:c>
      <x:c r="M1060" s="53" t="b">
        <x:v>1</x:v>
      </x:c>
      <x:c r="N1060" s="53" t="b">
        <x:v>1</x:v>
      </x:c>
      <x:c r="O1060" s="53" t="b">
        <x:v>1</x:v>
      </x:c>
      <x:c r="P1060" s="47" t="n">
        <x:v>1011</x:v>
      </x:c>
      <x:c r="Q1060" s="47" t="n">
        <x:v>0</x:v>
      </x:c>
      <x:c r="R1060" s="47" t="n">
        <x:v>0</x:v>
      </x:c>
      <x:c r="S1060" s="47" t="n">
        <x:v>29.39</x:v>
      </x:c>
      <x:c r="T1060" s="47" t="n">
        <x:v>68.16</x:v>
      </x:c>
      <x:c r="U1060" s="47" t="n">
        <x:v>29.5</x:v>
      </x:c>
      <x:c r="V1060" s="47" t="n">
        <x:v>14.5</x:v>
      </x:c>
      <x:c r="W1060" s="47" t="n">
        <x:v>2</x:v>
      </x:c>
      <x:c r="X1060" s="47" t="n">
        <x:v>13</x:v>
      </x:c>
      <x:c r="Y1060" s="41" t="n">
        <x:v>11</x:v>
      </x:c>
    </x:row>
    <x:row r="1061">
      <x:c r="A1061" s="38" t="str">
        <x:v>7月30日现场数据</x:v>
      </x:c>
      <x:c r="B1061" s="66" t="str">
        <x:v>2026-08-03T05:53:56.815000</x:v>
      </x:c>
      <x:c r="C1061" s="47" t="n">
        <x:v>300978</x:v>
      </x:c>
      <x:c r="D1061" s="47" t="str"/>
      <x:c r="E1061" s="47" t="str"/>
      <x:c r="F1061" s="47" t="str">
        <x:v>current</x:v>
      </x:c>
      <x:c r="G1061" s="47" t="n">
        <x:v>1057</x:v>
      </x:c>
      <x:c r="H1061" s="53" t="b">
        <x:v>1</x:v>
      </x:c>
      <x:c r="I1061" s="47" t="str">
        <x:v>2682537910</x:v>
      </x:c>
      <x:c r="J1061" s="47" t="n">
        <x:v>141494152</x:v>
      </x:c>
      <x:c r="K1061" s="53" t="b">
        <x:v>1</x:v>
      </x:c>
      <x:c r="L1061" s="53" t="b">
        <x:v>1</x:v>
      </x:c>
      <x:c r="M1061" s="53" t="b">
        <x:v>1</x:v>
      </x:c>
      <x:c r="N1061" s="53" t="b">
        <x:v>1</x:v>
      </x:c>
      <x:c r="O1061" s="53" t="b">
        <x:v>1</x:v>
      </x:c>
      <x:c r="P1061" s="47" t="n">
        <x:v>1011</x:v>
      </x:c>
      <x:c r="Q1061" s="47" t="n">
        <x:v>0</x:v>
      </x:c>
      <x:c r="R1061" s="47" t="n">
        <x:v>0</x:v>
      </x:c>
      <x:c r="S1061" s="47" t="n">
        <x:v>29.49</x:v>
      </x:c>
      <x:c r="T1061" s="47" t="n">
        <x:v>68.21</x:v>
      </x:c>
      <x:c r="U1061" s="47" t="n">
        <x:v>29.5</x:v>
      </x:c>
      <x:c r="V1061" s="47" t="n">
        <x:v>14.5</x:v>
      </x:c>
      <x:c r="W1061" s="47" t="n">
        <x:v>3</x:v>
      </x:c>
      <x:c r="X1061" s="47" t="n">
        <x:v>16</x:v>
      </x:c>
      <x:c r="Y1061" s="41" t="n">
        <x:v>13</x:v>
      </x:c>
    </x:row>
    <x:row r="1062">
      <x:c r="A1062" s="38" t="str">
        <x:v>7月30日现场数据</x:v>
      </x:c>
      <x:c r="B1062" s="66" t="str">
        <x:v>2026-08-03T05:58:57.792000</x:v>
      </x:c>
      <x:c r="C1062" s="47" t="n">
        <x:v>300977</x:v>
      </x:c>
      <x:c r="D1062" s="47" t="str"/>
      <x:c r="E1062" s="47" t="str"/>
      <x:c r="F1062" s="47" t="str">
        <x:v>current</x:v>
      </x:c>
      <x:c r="G1062" s="47" t="n">
        <x:v>1058</x:v>
      </x:c>
      <x:c r="H1062" s="53" t="b">
        <x:v>1</x:v>
      </x:c>
      <x:c r="I1062" s="47" t="str">
        <x:v>2682537910</x:v>
      </x:c>
      <x:c r="J1062" s="47" t="n">
        <x:v>141795129</x:v>
      </x:c>
      <x:c r="K1062" s="53" t="b">
        <x:v>1</x:v>
      </x:c>
      <x:c r="L1062" s="53" t="b">
        <x:v>1</x:v>
      </x:c>
      <x:c r="M1062" s="53" t="b">
        <x:v>1</x:v>
      </x:c>
      <x:c r="N1062" s="53" t="b">
        <x:v>1</x:v>
      </x:c>
      <x:c r="O1062" s="53" t="b">
        <x:v>1</x:v>
      </x:c>
      <x:c r="P1062" s="47" t="n">
        <x:v>1011</x:v>
      </x:c>
      <x:c r="Q1062" s="47" t="n">
        <x:v>0</x:v>
      </x:c>
      <x:c r="R1062" s="47" t="n">
        <x:v>0</x:v>
      </x:c>
      <x:c r="S1062" s="47" t="n">
        <x:v>29.6</x:v>
      </x:c>
      <x:c r="T1062" s="47" t="n">
        <x:v>68.33</x:v>
      </x:c>
      <x:c r="U1062" s="47" t="n">
        <x:v>29.5</x:v>
      </x:c>
      <x:c r="V1062" s="47" t="n">
        <x:v>14.5</x:v>
      </x:c>
      <x:c r="W1062" s="47" t="n">
        <x:v>4</x:v>
      </x:c>
      <x:c r="X1062" s="47" t="n">
        <x:v>18</x:v>
      </x:c>
      <x:c r="Y1062" s="41" t="n">
        <x:v>14</x:v>
      </x:c>
    </x:row>
    <x:row r="1063">
      <x:c r="A1063" s="38" t="str">
        <x:v>7月30日现场数据</x:v>
      </x:c>
      <x:c r="B1063" s="66" t="str">
        <x:v>2026-08-03T06:03:58.773000</x:v>
      </x:c>
      <x:c r="C1063" s="47" t="n">
        <x:v>300981</x:v>
      </x:c>
      <x:c r="D1063" s="47" t="str"/>
      <x:c r="E1063" s="47" t="str"/>
      <x:c r="F1063" s="47" t="str">
        <x:v>current</x:v>
      </x:c>
      <x:c r="G1063" s="47" t="n">
        <x:v>1059</x:v>
      </x:c>
      <x:c r="H1063" s="53" t="b">
        <x:v>1</x:v>
      </x:c>
      <x:c r="I1063" s="47" t="str">
        <x:v>2682537910</x:v>
      </x:c>
      <x:c r="J1063" s="47" t="n">
        <x:v>142096110</x:v>
      </x:c>
      <x:c r="K1063" s="53" t="b">
        <x:v>1</x:v>
      </x:c>
      <x:c r="L1063" s="53" t="b">
        <x:v>1</x:v>
      </x:c>
      <x:c r="M1063" s="53" t="b">
        <x:v>1</x:v>
      </x:c>
      <x:c r="N1063" s="53" t="b">
        <x:v>1</x:v>
      </x:c>
      <x:c r="O1063" s="53" t="b">
        <x:v>1</x:v>
      </x:c>
      <x:c r="P1063" s="47" t="n">
        <x:v>1011</x:v>
      </x:c>
      <x:c r="Q1063" s="47" t="n">
        <x:v>0</x:v>
      </x:c>
      <x:c r="R1063" s="47" t="n">
        <x:v>0</x:v>
      </x:c>
      <x:c r="S1063" s="47" t="n">
        <x:v>29.71</x:v>
      </x:c>
      <x:c r="T1063" s="47" t="n">
        <x:v>68.43</x:v>
      </x:c>
      <x:c r="U1063" s="47" t="n">
        <x:v>29.5</x:v>
      </x:c>
      <x:c r="V1063" s="47" t="n">
        <x:v>14.5</x:v>
      </x:c>
      <x:c r="W1063" s="47" t="n">
        <x:v>4</x:v>
      </x:c>
      <x:c r="X1063" s="47" t="n">
        <x:v>20</x:v>
      </x:c>
      <x:c r="Y1063" s="41" t="n">
        <x:v>16</x:v>
      </x:c>
    </x:row>
    <x:row r="1064">
      <x:c r="A1064" s="38" t="str">
        <x:v>7月30日现场数据</x:v>
      </x:c>
      <x:c r="B1064" s="66" t="str">
        <x:v>2026-08-03T06:08:59.753000</x:v>
      </x:c>
      <x:c r="C1064" s="47" t="n">
        <x:v>300980</x:v>
      </x:c>
      <x:c r="D1064" s="47" t="str"/>
      <x:c r="E1064" s="47" t="str"/>
      <x:c r="F1064" s="47" t="str">
        <x:v>current</x:v>
      </x:c>
      <x:c r="G1064" s="47" t="n">
        <x:v>1060</x:v>
      </x:c>
      <x:c r="H1064" s="53" t="b">
        <x:v>1</x:v>
      </x:c>
      <x:c r="I1064" s="47" t="str">
        <x:v>2682537910</x:v>
      </x:c>
      <x:c r="J1064" s="47" t="n">
        <x:v>142397090</x:v>
      </x:c>
      <x:c r="K1064" s="53" t="b">
        <x:v>1</x:v>
      </x:c>
      <x:c r="L1064" s="53" t="b">
        <x:v>1</x:v>
      </x:c>
      <x:c r="M1064" s="53" t="b">
        <x:v>1</x:v>
      </x:c>
      <x:c r="N1064" s="53" t="b">
        <x:v>1</x:v>
      </x:c>
      <x:c r="O1064" s="53" t="b">
        <x:v>1</x:v>
      </x:c>
      <x:c r="P1064" s="47" t="n">
        <x:v>1011</x:v>
      </x:c>
      <x:c r="Q1064" s="47" t="n">
        <x:v>0</x:v>
      </x:c>
      <x:c r="R1064" s="47" t="n">
        <x:v>0</x:v>
      </x:c>
      <x:c r="S1064" s="47" t="n">
        <x:v>29.86</x:v>
      </x:c>
      <x:c r="T1064" s="47" t="n">
        <x:v>68.55</x:v>
      </x:c>
      <x:c r="U1064" s="47" t="n">
        <x:v>29.5</x:v>
      </x:c>
      <x:c r="V1064" s="47" t="n">
        <x:v>14.5</x:v>
      </x:c>
      <x:c r="W1064" s="47" t="n">
        <x:v>4</x:v>
      </x:c>
      <x:c r="X1064" s="47" t="n">
        <x:v>21</x:v>
      </x:c>
      <x:c r="Y1064" s="41" t="n">
        <x:v>17</x:v>
      </x:c>
    </x:row>
    <x:row r="1065">
      <x:c r="A1065" s="38" t="str">
        <x:v>7月30日现场数据</x:v>
      </x:c>
      <x:c r="B1065" s="66" t="str">
        <x:v>2026-08-03T06:14:00.736000</x:v>
      </x:c>
      <x:c r="C1065" s="47" t="n">
        <x:v>300983</x:v>
      </x:c>
      <x:c r="D1065" s="47" t="str"/>
      <x:c r="E1065" s="47" t="str"/>
      <x:c r="F1065" s="47" t="str">
        <x:v>current</x:v>
      </x:c>
      <x:c r="G1065" s="47" t="n">
        <x:v>1061</x:v>
      </x:c>
      <x:c r="H1065" s="53" t="b">
        <x:v>1</x:v>
      </x:c>
      <x:c r="I1065" s="47" t="str">
        <x:v>2682537910</x:v>
      </x:c>
      <x:c r="J1065" s="47" t="n">
        <x:v>142698073</x:v>
      </x:c>
      <x:c r="K1065" s="53" t="b">
        <x:v>1</x:v>
      </x:c>
      <x:c r="L1065" s="53" t="b">
        <x:v>1</x:v>
      </x:c>
      <x:c r="M1065" s="53" t="b">
        <x:v>1</x:v>
      </x:c>
      <x:c r="N1065" s="53" t="b">
        <x:v>1</x:v>
      </x:c>
      <x:c r="O1065" s="53" t="b">
        <x:v>1</x:v>
      </x:c>
      <x:c r="P1065" s="47" t="n">
        <x:v>1011</x:v>
      </x:c>
      <x:c r="Q1065" s="47" t="n">
        <x:v>0</x:v>
      </x:c>
      <x:c r="R1065" s="47" t="n">
        <x:v>0</x:v>
      </x:c>
      <x:c r="S1065" s="47" t="n">
        <x:v>30.01</x:v>
      </x:c>
      <x:c r="T1065" s="47" t="n">
        <x:v>68.64</x:v>
      </x:c>
      <x:c r="U1065" s="47" t="n">
        <x:v>29.6</x:v>
      </x:c>
      <x:c r="V1065" s="47" t="n">
        <x:v>14.5</x:v>
      </x:c>
      <x:c r="W1065" s="47" t="n">
        <x:v>5</x:v>
      </x:c>
      <x:c r="X1065" s="47" t="n">
        <x:v>24</x:v>
      </x:c>
      <x:c r="Y1065" s="41" t="n">
        <x:v>19</x:v>
      </x:c>
    </x:row>
    <x:row r="1066">
      <x:c r="A1066" s="38" t="str">
        <x:v>7月30日现场数据</x:v>
      </x:c>
      <x:c r="B1066" s="66" t="str">
        <x:v>2026-08-03T06:19:01.750000</x:v>
      </x:c>
      <x:c r="C1066" s="47" t="n">
        <x:v>301014</x:v>
      </x:c>
      <x:c r="D1066" s="47" t="str"/>
      <x:c r="E1066" s="47" t="str"/>
      <x:c r="F1066" s="47" t="str">
        <x:v>current</x:v>
      </x:c>
      <x:c r="G1066" s="47" t="n">
        <x:v>1062</x:v>
      </x:c>
      <x:c r="H1066" s="53" t="b">
        <x:v>1</x:v>
      </x:c>
      <x:c r="I1066" s="47" t="str">
        <x:v>2682537910</x:v>
      </x:c>
      <x:c r="J1066" s="47" t="n">
        <x:v>142999087</x:v>
      </x:c>
      <x:c r="K1066" s="53" t="b">
        <x:v>1</x:v>
      </x:c>
      <x:c r="L1066" s="53" t="b">
        <x:v>1</x:v>
      </x:c>
      <x:c r="M1066" s="53" t="b">
        <x:v>1</x:v>
      </x:c>
      <x:c r="N1066" s="53" t="b">
        <x:v>1</x:v>
      </x:c>
      <x:c r="O1066" s="53" t="b">
        <x:v>1</x:v>
      </x:c>
      <x:c r="P1066" s="47" t="n">
        <x:v>1011</x:v>
      </x:c>
      <x:c r="Q1066" s="47" t="n">
        <x:v>0</x:v>
      </x:c>
      <x:c r="R1066" s="47" t="n">
        <x:v>0</x:v>
      </x:c>
      <x:c r="S1066" s="47" t="n">
        <x:v>30.13</x:v>
      </x:c>
      <x:c r="T1066" s="47" t="n">
        <x:v>68.79</x:v>
      </x:c>
      <x:c r="U1066" s="47" t="n">
        <x:v>29.6</x:v>
      </x:c>
      <x:c r="V1066" s="47" t="n">
        <x:v>14.5</x:v>
      </x:c>
      <x:c r="W1066" s="47" t="n">
        <x:v>6</x:v>
      </x:c>
      <x:c r="X1066" s="47" t="n">
        <x:v>29</x:v>
      </x:c>
      <x:c r="Y1066" s="41" t="n">
        <x:v>23</x:v>
      </x:c>
    </x:row>
    <x:row r="1067">
      <x:c r="A1067" s="38" t="str">
        <x:v>7月30日现场数据</x:v>
      </x:c>
      <x:c r="B1067" s="66" t="str">
        <x:v>2026-08-03T06:24:02.709000</x:v>
      </x:c>
      <x:c r="C1067" s="47" t="n">
        <x:v>300959</x:v>
      </x:c>
      <x:c r="D1067" s="47" t="str"/>
      <x:c r="E1067" s="47" t="str"/>
      <x:c r="F1067" s="47" t="str">
        <x:v>current</x:v>
      </x:c>
      <x:c r="G1067" s="47" t="n">
        <x:v>1063</x:v>
      </x:c>
      <x:c r="H1067" s="53" t="b">
        <x:v>1</x:v>
      </x:c>
      <x:c r="I1067" s="47" t="str">
        <x:v>2682537910</x:v>
      </x:c>
      <x:c r="J1067" s="47" t="n">
        <x:v>143300046</x:v>
      </x:c>
      <x:c r="K1067" s="53" t="b">
        <x:v>1</x:v>
      </x:c>
      <x:c r="L1067" s="53" t="b">
        <x:v>1</x:v>
      </x:c>
      <x:c r="M1067" s="53" t="b">
        <x:v>1</x:v>
      </x:c>
      <x:c r="N1067" s="53" t="b">
        <x:v>1</x:v>
      </x:c>
      <x:c r="O1067" s="53" t="b">
        <x:v>1</x:v>
      </x:c>
      <x:c r="P1067" s="47" t="n">
        <x:v>1011</x:v>
      </x:c>
      <x:c r="Q1067" s="47" t="n">
        <x:v>0.065</x:v>
      </x:c>
      <x:c r="R1067" s="47" t="n">
        <x:v>1.747</x:v>
      </x:c>
      <x:c r="S1067" s="47" t="n">
        <x:v>30.29</x:v>
      </x:c>
      <x:c r="T1067" s="47" t="n">
        <x:v>68.86</x:v>
      </x:c>
      <x:c r="U1067" s="47" t="n">
        <x:v>29.6</x:v>
      </x:c>
      <x:c r="V1067" s="47" t="n">
        <x:v>14.5</x:v>
      </x:c>
      <x:c r="W1067" s="47" t="n">
        <x:v>6</x:v>
      </x:c>
      <x:c r="X1067" s="47" t="n">
        <x:v>31</x:v>
      </x:c>
      <x:c r="Y1067" s="41" t="n">
        <x:v>25</x:v>
      </x:c>
    </x:row>
    <x:row r="1068">
      <x:c r="A1068" s="38" t="str">
        <x:v>7月30日现场数据</x:v>
      </x:c>
      <x:c r="B1068" s="66" t="str">
        <x:v>2026-08-03T06:29:03.670000</x:v>
      </x:c>
      <x:c r="C1068" s="47" t="n">
        <x:v>300961</x:v>
      </x:c>
      <x:c r="D1068" s="47" t="str"/>
      <x:c r="E1068" s="47" t="str"/>
      <x:c r="F1068" s="47" t="str">
        <x:v>current</x:v>
      </x:c>
      <x:c r="G1068" s="47" t="n">
        <x:v>1064</x:v>
      </x:c>
      <x:c r="H1068" s="53" t="b">
        <x:v>1</x:v>
      </x:c>
      <x:c r="I1068" s="47" t="str">
        <x:v>2682537910</x:v>
      </x:c>
      <x:c r="J1068" s="47" t="n">
        <x:v>143601007</x:v>
      </x:c>
      <x:c r="K1068" s="53" t="b">
        <x:v>1</x:v>
      </x:c>
      <x:c r="L1068" s="53" t="b">
        <x:v>1</x:v>
      </x:c>
      <x:c r="M1068" s="53" t="b">
        <x:v>1</x:v>
      </x:c>
      <x:c r="N1068" s="53" t="b">
        <x:v>1</x:v>
      </x:c>
      <x:c r="O1068" s="53" t="b">
        <x:v>1</x:v>
      </x:c>
      <x:c r="P1068" s="47" t="n">
        <x:v>1011</x:v>
      </x:c>
      <x:c r="Q1068" s="47" t="n">
        <x:v>0</x:v>
      </x:c>
      <x:c r="R1068" s="47" t="n">
        <x:v>0</x:v>
      </x:c>
      <x:c r="S1068" s="47" t="n">
        <x:v>30.48</x:v>
      </x:c>
      <x:c r="T1068" s="47" t="n">
        <x:v>68.99</x:v>
      </x:c>
      <x:c r="U1068" s="47" t="n">
        <x:v>29.6</x:v>
      </x:c>
      <x:c r="V1068" s="47" t="n">
        <x:v>14.5</x:v>
      </x:c>
      <x:c r="W1068" s="47" t="n">
        <x:v>7</x:v>
      </x:c>
      <x:c r="X1068" s="47" t="n">
        <x:v>34</x:v>
      </x:c>
      <x:c r="Y1068" s="41" t="n">
        <x:v>27</x:v>
      </x:c>
    </x:row>
    <x:row r="1069">
      <x:c r="A1069" s="38" t="str">
        <x:v>7月30日现场数据</x:v>
      </x:c>
      <x:c r="B1069" s="66" t="str">
        <x:v>2026-08-03T06:34:04.633000</x:v>
      </x:c>
      <x:c r="C1069" s="47" t="n">
        <x:v>300963</x:v>
      </x:c>
      <x:c r="D1069" s="47" t="str"/>
      <x:c r="E1069" s="47" t="str"/>
      <x:c r="F1069" s="47" t="str">
        <x:v>current</x:v>
      </x:c>
      <x:c r="G1069" s="47" t="n">
        <x:v>1065</x:v>
      </x:c>
      <x:c r="H1069" s="53" t="b">
        <x:v>1</x:v>
      </x:c>
      <x:c r="I1069" s="47" t="str">
        <x:v>2682537910</x:v>
      </x:c>
      <x:c r="J1069" s="47" t="n">
        <x:v>143901970</x:v>
      </x:c>
      <x:c r="K1069" s="53" t="b">
        <x:v>1</x:v>
      </x:c>
      <x:c r="L1069" s="53" t="b">
        <x:v>1</x:v>
      </x:c>
      <x:c r="M1069" s="53" t="b">
        <x:v>1</x:v>
      </x:c>
      <x:c r="N1069" s="53" t="b">
        <x:v>1</x:v>
      </x:c>
      <x:c r="O1069" s="53" t="b">
        <x:v>1</x:v>
      </x:c>
      <x:c r="P1069" s="47" t="n">
        <x:v>1011</x:v>
      </x:c>
      <x:c r="Q1069" s="47" t="n">
        <x:v>0</x:v>
      </x:c>
      <x:c r="R1069" s="47" t="n">
        <x:v>0</x:v>
      </x:c>
      <x:c r="S1069" s="47" t="n">
        <x:v>30.64</x:v>
      </x:c>
      <x:c r="T1069" s="47" t="n">
        <x:v>69.12</x:v>
      </x:c>
      <x:c r="U1069" s="47" t="n">
        <x:v>29.6</x:v>
      </x:c>
      <x:c r="V1069" s="47" t="n">
        <x:v>14.5</x:v>
      </x:c>
      <x:c r="W1069" s="47" t="n">
        <x:v>8</x:v>
      </x:c>
      <x:c r="X1069" s="47" t="n">
        <x:v>35</x:v>
      </x:c>
      <x:c r="Y1069" s="41" t="n">
        <x:v>27</x:v>
      </x:c>
    </x:row>
    <x:row r="1070">
      <x:c r="A1070" s="38" t="str">
        <x:v>7月30日现场数据</x:v>
      </x:c>
      <x:c r="B1070" s="66" t="str">
        <x:v>2026-08-03T06:39:05.597000</x:v>
      </x:c>
      <x:c r="C1070" s="47" t="n">
        <x:v>300964</x:v>
      </x:c>
      <x:c r="D1070" s="47" t="str"/>
      <x:c r="E1070" s="47" t="str"/>
      <x:c r="F1070" s="47" t="str">
        <x:v>current</x:v>
      </x:c>
      <x:c r="G1070" s="47" t="n">
        <x:v>1066</x:v>
      </x:c>
      <x:c r="H1070" s="53" t="b">
        <x:v>1</x:v>
      </x:c>
      <x:c r="I1070" s="47" t="str">
        <x:v>2682537910</x:v>
      </x:c>
      <x:c r="J1070" s="47" t="n">
        <x:v>144202934</x:v>
      </x:c>
      <x:c r="K1070" s="53" t="b">
        <x:v>1</x:v>
      </x:c>
      <x:c r="L1070" s="53" t="b">
        <x:v>1</x:v>
      </x:c>
      <x:c r="M1070" s="53" t="b">
        <x:v>1</x:v>
      </x:c>
      <x:c r="N1070" s="53" t="b">
        <x:v>1</x:v>
      </x:c>
      <x:c r="O1070" s="53" t="b">
        <x:v>1</x:v>
      </x:c>
      <x:c r="P1070" s="47" t="n">
        <x:v>1011</x:v>
      </x:c>
      <x:c r="Q1070" s="47" t="n">
        <x:v>0</x:v>
      </x:c>
      <x:c r="R1070" s="47" t="n">
        <x:v>0</x:v>
      </x:c>
      <x:c r="S1070" s="47" t="n">
        <x:v>30.81</x:v>
      </x:c>
      <x:c r="T1070" s="47" t="n">
        <x:v>69.25</x:v>
      </x:c>
      <x:c r="U1070" s="47" t="n">
        <x:v>29.6</x:v>
      </x:c>
      <x:c r="V1070" s="47" t="n">
        <x:v>14.5</x:v>
      </x:c>
      <x:c r="W1070" s="47" t="n">
        <x:v>8</x:v>
      </x:c>
      <x:c r="X1070" s="47" t="n">
        <x:v>37</x:v>
      </x:c>
      <x:c r="Y1070" s="41" t="n">
        <x:v>29</x:v>
      </x:c>
    </x:row>
    <x:row r="1071">
      <x:c r="A1071" s="38" t="str">
        <x:v>7月30日现场数据</x:v>
      </x:c>
      <x:c r="B1071" s="66" t="str">
        <x:v>2026-08-03T06:44:06.565000</x:v>
      </x:c>
      <x:c r="C1071" s="47" t="n">
        <x:v>300968</x:v>
      </x:c>
      <x:c r="D1071" s="47" t="str"/>
      <x:c r="E1071" s="47" t="str"/>
      <x:c r="F1071" s="47" t="str">
        <x:v>current</x:v>
      </x:c>
      <x:c r="G1071" s="47" t="n">
        <x:v>1067</x:v>
      </x:c>
      <x:c r="H1071" s="53" t="b">
        <x:v>1</x:v>
      </x:c>
      <x:c r="I1071" s="47" t="str">
        <x:v>2682537910</x:v>
      </x:c>
      <x:c r="J1071" s="47" t="n">
        <x:v>144503902</x:v>
      </x:c>
      <x:c r="K1071" s="53" t="b">
        <x:v>1</x:v>
      </x:c>
      <x:c r="L1071" s="53" t="b">
        <x:v>1</x:v>
      </x:c>
      <x:c r="M1071" s="53" t="b">
        <x:v>1</x:v>
      </x:c>
      <x:c r="N1071" s="53" t="b">
        <x:v>1</x:v>
      </x:c>
      <x:c r="O1071" s="53" t="b">
        <x:v>1</x:v>
      </x:c>
      <x:c r="P1071" s="47" t="n">
        <x:v>1011</x:v>
      </x:c>
      <x:c r="Q1071" s="47" t="n">
        <x:v>0</x:v>
      </x:c>
      <x:c r="R1071" s="47" t="n">
        <x:v>0</x:v>
      </x:c>
      <x:c r="S1071" s="47" t="n">
        <x:v>30.99</x:v>
      </x:c>
      <x:c r="T1071" s="47" t="n">
        <x:v>69.35</x:v>
      </x:c>
      <x:c r="U1071" s="47" t="n">
        <x:v>29.6</x:v>
      </x:c>
      <x:c r="V1071" s="47" t="n">
        <x:v>14.5</x:v>
      </x:c>
      <x:c r="W1071" s="47" t="n">
        <x:v>8</x:v>
      </x:c>
      <x:c r="X1071" s="47" t="n">
        <x:v>39</x:v>
      </x:c>
      <x:c r="Y1071" s="41" t="n">
        <x:v>31</x:v>
      </x:c>
    </x:row>
    <x:row r="1072">
      <x:c r="A1072" s="38" t="str">
        <x:v>7月30日现场数据</x:v>
      </x:c>
      <x:c r="B1072" s="66" t="str">
        <x:v>2026-08-03T06:49:07.535000</x:v>
      </x:c>
      <x:c r="C1072" s="47" t="n">
        <x:v>300970</x:v>
      </x:c>
      <x:c r="D1072" s="47" t="str"/>
      <x:c r="E1072" s="47" t="str"/>
      <x:c r="F1072" s="47" t="str">
        <x:v>current</x:v>
      </x:c>
      <x:c r="G1072" s="47" t="n">
        <x:v>1068</x:v>
      </x:c>
      <x:c r="H1072" s="53" t="b">
        <x:v>1</x:v>
      </x:c>
      <x:c r="I1072" s="47" t="str">
        <x:v>2682537910</x:v>
      </x:c>
      <x:c r="J1072" s="47" t="n">
        <x:v>144804872</x:v>
      </x:c>
      <x:c r="K1072" s="53" t="b">
        <x:v>1</x:v>
      </x:c>
      <x:c r="L1072" s="53" t="b">
        <x:v>1</x:v>
      </x:c>
      <x:c r="M1072" s="53" t="b">
        <x:v>1</x:v>
      </x:c>
      <x:c r="N1072" s="53" t="b">
        <x:v>1</x:v>
      </x:c>
      <x:c r="O1072" s="53" t="b">
        <x:v>1</x:v>
      </x:c>
      <x:c r="P1072" s="47" t="n">
        <x:v>1011</x:v>
      </x:c>
      <x:c r="Q1072" s="47" t="n">
        <x:v>0</x:v>
      </x:c>
      <x:c r="R1072" s="47" t="n">
        <x:v>0</x:v>
      </x:c>
      <x:c r="S1072" s="47" t="n">
        <x:v>31.12</x:v>
      </x:c>
      <x:c r="T1072" s="47" t="n">
        <x:v>69.46</x:v>
      </x:c>
      <x:c r="U1072" s="47" t="n">
        <x:v>29.7</x:v>
      </x:c>
      <x:c r="V1072" s="47" t="n">
        <x:v>14.5</x:v>
      </x:c>
      <x:c r="W1072" s="47" t="n">
        <x:v>7</x:v>
      </x:c>
      <x:c r="X1072" s="47" t="n">
        <x:v>33</x:v>
      </x:c>
      <x:c r="Y1072" s="41" t="n">
        <x:v>26</x:v>
      </x:c>
    </x:row>
    <x:row r="1073">
      <x:c r="A1073" s="38" t="str">
        <x:v>7月30日现场数据</x:v>
      </x:c>
      <x:c r="B1073" s="66" t="str">
        <x:v>2026-08-03T06:54:08.507000</x:v>
      </x:c>
      <x:c r="C1073" s="47" t="n">
        <x:v>300972</x:v>
      </x:c>
      <x:c r="D1073" s="47" t="str"/>
      <x:c r="E1073" s="47" t="str"/>
      <x:c r="F1073" s="47" t="str">
        <x:v>current</x:v>
      </x:c>
      <x:c r="G1073" s="47" t="n">
        <x:v>1069</x:v>
      </x:c>
      <x:c r="H1073" s="53" t="b">
        <x:v>1</x:v>
      </x:c>
      <x:c r="I1073" s="47" t="str">
        <x:v>2682537910</x:v>
      </x:c>
      <x:c r="J1073" s="47" t="n">
        <x:v>145105844</x:v>
      </x:c>
      <x:c r="K1073" s="53" t="b">
        <x:v>1</x:v>
      </x:c>
      <x:c r="L1073" s="53" t="b">
        <x:v>1</x:v>
      </x:c>
      <x:c r="M1073" s="53" t="b">
        <x:v>1</x:v>
      </x:c>
      <x:c r="N1073" s="53" t="b">
        <x:v>1</x:v>
      </x:c>
      <x:c r="O1073" s="53" t="b">
        <x:v>1</x:v>
      </x:c>
      <x:c r="P1073" s="47" t="n">
        <x:v>1011</x:v>
      </x:c>
      <x:c r="Q1073" s="47" t="n">
        <x:v>0</x:v>
      </x:c>
      <x:c r="R1073" s="47" t="n">
        <x:v>0</x:v>
      </x:c>
      <x:c r="S1073" s="47" t="n">
        <x:v>31.16</x:v>
      </x:c>
      <x:c r="T1073" s="47" t="n">
        <x:v>69.57</x:v>
      </x:c>
      <x:c r="U1073" s="47" t="n">
        <x:v>29.7</x:v>
      </x:c>
      <x:c r="V1073" s="47" t="n">
        <x:v>14.5</x:v>
      </x:c>
      <x:c r="W1073" s="47" t="n">
        <x:v>6</x:v>
      </x:c>
      <x:c r="X1073" s="47" t="n">
        <x:v>31</x:v>
      </x:c>
      <x:c r="Y1073" s="41" t="n">
        <x:v>25</x:v>
      </x:c>
    </x:row>
    <x:row r="1074">
      <x:c r="A1074" s="38" t="str">
        <x:v>7月30日现场数据</x:v>
      </x:c>
      <x:c r="B1074" s="66" t="str">
        <x:v>2026-08-03T06:59:09.479000</x:v>
      </x:c>
      <x:c r="C1074" s="47" t="n">
        <x:v>300972</x:v>
      </x:c>
      <x:c r="D1074" s="47" t="str"/>
      <x:c r="E1074" s="47" t="str"/>
      <x:c r="F1074" s="47" t="str">
        <x:v>current</x:v>
      </x:c>
      <x:c r="G1074" s="47" t="n">
        <x:v>1070</x:v>
      </x:c>
      <x:c r="H1074" s="53" t="b">
        <x:v>1</x:v>
      </x:c>
      <x:c r="I1074" s="47" t="str">
        <x:v>2682537910</x:v>
      </x:c>
      <x:c r="J1074" s="47" t="n">
        <x:v>145406816</x:v>
      </x:c>
      <x:c r="K1074" s="53" t="b">
        <x:v>1</x:v>
      </x:c>
      <x:c r="L1074" s="53" t="b">
        <x:v>1</x:v>
      </x:c>
      <x:c r="M1074" s="53" t="b">
        <x:v>1</x:v>
      </x:c>
      <x:c r="N1074" s="53" t="b">
        <x:v>1</x:v>
      </x:c>
      <x:c r="O1074" s="53" t="b">
        <x:v>1</x:v>
      </x:c>
      <x:c r="P1074" s="47" t="n">
        <x:v>1011</x:v>
      </x:c>
      <x:c r="Q1074" s="47" t="n">
        <x:v>0</x:v>
      </x:c>
      <x:c r="R1074" s="47" t="n">
        <x:v>0</x:v>
      </x:c>
      <x:c r="S1074" s="47" t="n">
        <x:v>31.16</x:v>
      </x:c>
      <x:c r="T1074" s="47" t="n">
        <x:v>69.61</x:v>
      </x:c>
      <x:c r="U1074" s="47" t="n">
        <x:v>29.7</x:v>
      </x:c>
      <x:c r="V1074" s="47" t="n">
        <x:v>14.5</x:v>
      </x:c>
      <x:c r="W1074" s="47" t="n">
        <x:v>7</x:v>
      </x:c>
      <x:c r="X1074" s="47" t="n">
        <x:v>35</x:v>
      </x:c>
      <x:c r="Y1074" s="41" t="n">
        <x:v>28</x:v>
      </x:c>
    </x:row>
    <x:row r="1075">
      <x:c r="A1075" s="38" t="str">
        <x:v>7月30日现场数据</x:v>
      </x:c>
      <x:c r="B1075" s="66" t="str">
        <x:v>2026-08-03T07:04:10.454000</x:v>
      </x:c>
      <x:c r="C1075" s="47" t="n">
        <x:v>300975</x:v>
      </x:c>
      <x:c r="D1075" s="47" t="str"/>
      <x:c r="E1075" s="47" t="str"/>
      <x:c r="F1075" s="47" t="str">
        <x:v>current</x:v>
      </x:c>
      <x:c r="G1075" s="47" t="n">
        <x:v>1071</x:v>
      </x:c>
      <x:c r="H1075" s="53" t="b">
        <x:v>1</x:v>
      </x:c>
      <x:c r="I1075" s="47" t="str">
        <x:v>2682537910</x:v>
      </x:c>
      <x:c r="J1075" s="47" t="n">
        <x:v>145707791</x:v>
      </x:c>
      <x:c r="K1075" s="53" t="b">
        <x:v>1</x:v>
      </x:c>
      <x:c r="L1075" s="53" t="b">
        <x:v>1</x:v>
      </x:c>
      <x:c r="M1075" s="53" t="b">
        <x:v>1</x:v>
      </x:c>
      <x:c r="N1075" s="53" t="b">
        <x:v>1</x:v>
      </x:c>
      <x:c r="O1075" s="53" t="b">
        <x:v>1</x:v>
      </x:c>
      <x:c r="P1075" s="47" t="n">
        <x:v>1011</x:v>
      </x:c>
      <x:c r="Q1075" s="47" t="n">
        <x:v>0</x:v>
      </x:c>
      <x:c r="R1075" s="47" t="n">
        <x:v>0</x:v>
      </x:c>
      <x:c r="S1075" s="47" t="n">
        <x:v>31.26</x:v>
      </x:c>
      <x:c r="T1075" s="47" t="n">
        <x:v>69.68</x:v>
      </x:c>
      <x:c r="U1075" s="47" t="n">
        <x:v>29.7</x:v>
      </x:c>
      <x:c r="V1075" s="47" t="n">
        <x:v>14.5</x:v>
      </x:c>
      <x:c r="W1075" s="47" t="n">
        <x:v>7</x:v>
      </x:c>
      <x:c r="X1075" s="47" t="n">
        <x:v>34</x:v>
      </x:c>
      <x:c r="Y1075" s="41" t="n">
        <x:v>27</x:v>
      </x:c>
    </x:row>
    <x:row r="1076">
      <x:c r="A1076" s="38" t="str">
        <x:v>7月30日现场数据</x:v>
      </x:c>
      <x:c r="B1076" s="66" t="str">
        <x:v>2026-08-03T07:09:11.431000</x:v>
      </x:c>
      <x:c r="C1076" s="47" t="n">
        <x:v>300977</x:v>
      </x:c>
      <x:c r="D1076" s="47" t="str"/>
      <x:c r="E1076" s="47" t="str"/>
      <x:c r="F1076" s="47" t="str">
        <x:v>current</x:v>
      </x:c>
      <x:c r="G1076" s="47" t="n">
        <x:v>1072</x:v>
      </x:c>
      <x:c r="H1076" s="53" t="b">
        <x:v>1</x:v>
      </x:c>
      <x:c r="I1076" s="47" t="str">
        <x:v>2682537910</x:v>
      </x:c>
      <x:c r="J1076" s="47" t="n">
        <x:v>146008768</x:v>
      </x:c>
      <x:c r="K1076" s="53" t="b">
        <x:v>1</x:v>
      </x:c>
      <x:c r="L1076" s="53" t="b">
        <x:v>1</x:v>
      </x:c>
      <x:c r="M1076" s="53" t="b">
        <x:v>1</x:v>
      </x:c>
      <x:c r="N1076" s="53" t="b">
        <x:v>1</x:v>
      </x:c>
      <x:c r="O1076" s="53" t="b">
        <x:v>1</x:v>
      </x:c>
      <x:c r="P1076" s="47" t="n">
        <x:v>1011</x:v>
      </x:c>
      <x:c r="Q1076" s="47" t="n">
        <x:v>0</x:v>
      </x:c>
      <x:c r="R1076" s="47" t="n">
        <x:v>0</x:v>
      </x:c>
      <x:c r="S1076" s="47" t="n">
        <x:v>31.32</x:v>
      </x:c>
      <x:c r="T1076" s="47" t="n">
        <x:v>69.77</x:v>
      </x:c>
      <x:c r="U1076" s="47" t="n">
        <x:v>29.7</x:v>
      </x:c>
      <x:c r="V1076" s="47" t="n">
        <x:v>14.5</x:v>
      </x:c>
      <x:c r="W1076" s="47" t="n">
        <x:v>6</x:v>
      </x:c>
      <x:c r="X1076" s="47" t="n">
        <x:v>34</x:v>
      </x:c>
      <x:c r="Y1076" s="41" t="n">
        <x:v>28</x:v>
      </x:c>
    </x:row>
    <x:row r="1077">
      <x:c r="A1077" s="38" t="str">
        <x:v>7月30日现场数据</x:v>
      </x:c>
      <x:c r="B1077" s="66" t="str">
        <x:v>2026-08-03T07:14:12.408000</x:v>
      </x:c>
      <x:c r="C1077" s="47" t="n">
        <x:v>300977</x:v>
      </x:c>
      <x:c r="D1077" s="47" t="str"/>
      <x:c r="E1077" s="47" t="str"/>
      <x:c r="F1077" s="47" t="str">
        <x:v>current</x:v>
      </x:c>
      <x:c r="G1077" s="47" t="n">
        <x:v>1073</x:v>
      </x:c>
      <x:c r="H1077" s="53" t="b">
        <x:v>1</x:v>
      </x:c>
      <x:c r="I1077" s="47" t="str">
        <x:v>2682537910</x:v>
      </x:c>
      <x:c r="J1077" s="47" t="n">
        <x:v>146309745</x:v>
      </x:c>
      <x:c r="K1077" s="53" t="b">
        <x:v>1</x:v>
      </x:c>
      <x:c r="L1077" s="53" t="b">
        <x:v>1</x:v>
      </x:c>
      <x:c r="M1077" s="53" t="b">
        <x:v>1</x:v>
      </x:c>
      <x:c r="N1077" s="53" t="b">
        <x:v>1</x:v>
      </x:c>
      <x:c r="O1077" s="53" t="b">
        <x:v>1</x:v>
      </x:c>
      <x:c r="P1077" s="47" t="n">
        <x:v>1011</x:v>
      </x:c>
      <x:c r="Q1077" s="47" t="n">
        <x:v>0</x:v>
      </x:c>
      <x:c r="R1077" s="47" t="n">
        <x:v>0</x:v>
      </x:c>
      <x:c r="S1077" s="47" t="n">
        <x:v>31.37</x:v>
      </x:c>
      <x:c r="T1077" s="47" t="n">
        <x:v>69.79</x:v>
      </x:c>
      <x:c r="U1077" s="47" t="n">
        <x:v>29.7</x:v>
      </x:c>
      <x:c r="V1077" s="47" t="n">
        <x:v>14.5</x:v>
      </x:c>
      <x:c r="W1077" s="47" t="n">
        <x:v>6</x:v>
      </x:c>
      <x:c r="X1077" s="47" t="n">
        <x:v>35</x:v>
      </x:c>
      <x:c r="Y1077" s="41" t="n">
        <x:v>29</x:v>
      </x:c>
    </x:row>
    <x:row r="1078">
      <x:c r="A1078" s="38" t="str">
        <x:v>7月30日现场数据</x:v>
      </x:c>
      <x:c r="B1078" s="66" t="str">
        <x:v>2026-08-03T07:19:13.387000</x:v>
      </x:c>
      <x:c r="C1078" s="47" t="n">
        <x:v>300979</x:v>
      </x:c>
      <x:c r="D1078" s="47" t="str"/>
      <x:c r="E1078" s="47" t="str"/>
      <x:c r="F1078" s="47" t="str">
        <x:v>current</x:v>
      </x:c>
      <x:c r="G1078" s="47" t="n">
        <x:v>1074</x:v>
      </x:c>
      <x:c r="H1078" s="53" t="b">
        <x:v>1</x:v>
      </x:c>
      <x:c r="I1078" s="47" t="str">
        <x:v>2682537910</x:v>
      </x:c>
      <x:c r="J1078" s="47" t="n">
        <x:v>146610724</x:v>
      </x:c>
      <x:c r="K1078" s="53" t="b">
        <x:v>1</x:v>
      </x:c>
      <x:c r="L1078" s="53" t="b">
        <x:v>1</x:v>
      </x:c>
      <x:c r="M1078" s="53" t="b">
        <x:v>1</x:v>
      </x:c>
      <x:c r="N1078" s="53" t="b">
        <x:v>1</x:v>
      </x:c>
      <x:c r="O1078" s="53" t="b">
        <x:v>1</x:v>
      </x:c>
      <x:c r="P1078" s="47" t="n">
        <x:v>1011</x:v>
      </x:c>
      <x:c r="Q1078" s="47" t="n">
        <x:v>0</x:v>
      </x:c>
      <x:c r="R1078" s="47" t="n">
        <x:v>0</x:v>
      </x:c>
      <x:c r="S1078" s="47" t="n">
        <x:v>31.42</x:v>
      </x:c>
      <x:c r="T1078" s="47" t="n">
        <x:v>69.83</x:v>
      </x:c>
      <x:c r="U1078" s="47" t="n">
        <x:v>29.8</x:v>
      </x:c>
      <x:c r="V1078" s="47" t="n">
        <x:v>14.5</x:v>
      </x:c>
      <x:c r="W1078" s="47" t="n">
        <x:v>7</x:v>
      </x:c>
      <x:c r="X1078" s="47" t="n">
        <x:v>38</x:v>
      </x:c>
      <x:c r="Y1078" s="41" t="n">
        <x:v>31</x:v>
      </x:c>
    </x:row>
    <x:row r="1079">
      <x:c r="A1079" s="38" t="str">
        <x:v>7月30日现场数据</x:v>
      </x:c>
      <x:c r="B1079" s="66" t="str">
        <x:v>2026-08-03T07:24:14.368000</x:v>
      </x:c>
      <x:c r="C1079" s="47" t="n">
        <x:v>300981</x:v>
      </x:c>
      <x:c r="D1079" s="47" t="str"/>
      <x:c r="E1079" s="47" t="str"/>
      <x:c r="F1079" s="47" t="str">
        <x:v>current</x:v>
      </x:c>
      <x:c r="G1079" s="47" t="n">
        <x:v>1075</x:v>
      </x:c>
      <x:c r="H1079" s="53" t="b">
        <x:v>1</x:v>
      </x:c>
      <x:c r="I1079" s="47" t="str">
        <x:v>2682537910</x:v>
      </x:c>
      <x:c r="J1079" s="47" t="n">
        <x:v>146911705</x:v>
      </x:c>
      <x:c r="K1079" s="53" t="b">
        <x:v>1</x:v>
      </x:c>
      <x:c r="L1079" s="53" t="b">
        <x:v>1</x:v>
      </x:c>
      <x:c r="M1079" s="53" t="b">
        <x:v>1</x:v>
      </x:c>
      <x:c r="N1079" s="53" t="b">
        <x:v>1</x:v>
      </x:c>
      <x:c r="O1079" s="53" t="b">
        <x:v>1</x:v>
      </x:c>
      <x:c r="P1079" s="47" t="n">
        <x:v>1011</x:v>
      </x:c>
      <x:c r="Q1079" s="47" t="n">
        <x:v>0</x:v>
      </x:c>
      <x:c r="R1079" s="47" t="n">
        <x:v>0</x:v>
      </x:c>
      <x:c r="S1079" s="47" t="n">
        <x:v>31.49</x:v>
      </x:c>
      <x:c r="T1079" s="47" t="n">
        <x:v>69.94</x:v>
      </x:c>
      <x:c r="U1079" s="47" t="n">
        <x:v>29.8</x:v>
      </x:c>
      <x:c r="V1079" s="47" t="n">
        <x:v>14.5</x:v>
      </x:c>
      <x:c r="W1079" s="47" t="n">
        <x:v>8</x:v>
      </x:c>
      <x:c r="X1079" s="47" t="n">
        <x:v>41</x:v>
      </x:c>
      <x:c r="Y1079" s="41" t="n">
        <x:v>33</x:v>
      </x:c>
    </x:row>
    <x:row r="1080">
      <x:c r="A1080" s="38" t="str">
        <x:v>7月30日现场数据</x:v>
      </x:c>
      <x:c r="B1080" s="66" t="str">
        <x:v>2026-08-03T07:29:15.351000</x:v>
      </x:c>
      <x:c r="C1080" s="47" t="n">
        <x:v>300983</x:v>
      </x:c>
      <x:c r="D1080" s="47" t="str"/>
      <x:c r="E1080" s="47" t="str"/>
      <x:c r="F1080" s="47" t="str">
        <x:v>current</x:v>
      </x:c>
      <x:c r="G1080" s="47" t="n">
        <x:v>1076</x:v>
      </x:c>
      <x:c r="H1080" s="53" t="b">
        <x:v>1</x:v>
      </x:c>
      <x:c r="I1080" s="47" t="str">
        <x:v>2682537910</x:v>
      </x:c>
      <x:c r="J1080" s="47" t="n">
        <x:v>147212688</x:v>
      </x:c>
      <x:c r="K1080" s="53" t="b">
        <x:v>1</x:v>
      </x:c>
      <x:c r="L1080" s="53" t="b">
        <x:v>1</x:v>
      </x:c>
      <x:c r="M1080" s="53" t="b">
        <x:v>1</x:v>
      </x:c>
      <x:c r="N1080" s="53" t="b">
        <x:v>1</x:v>
      </x:c>
      <x:c r="O1080" s="53" t="b">
        <x:v>1</x:v>
      </x:c>
      <x:c r="P1080" s="47" t="n">
        <x:v>1011</x:v>
      </x:c>
      <x:c r="Q1080" s="47" t="n">
        <x:v>0</x:v>
      </x:c>
      <x:c r="R1080" s="47" t="n">
        <x:v>0</x:v>
      </x:c>
      <x:c r="S1080" s="47" t="n">
        <x:v>31.62</x:v>
      </x:c>
      <x:c r="T1080" s="47" t="n">
        <x:v>70.01</x:v>
      </x:c>
      <x:c r="U1080" s="47" t="n">
        <x:v>29.8</x:v>
      </x:c>
      <x:c r="V1080" s="47" t="n">
        <x:v>14.5</x:v>
      </x:c>
      <x:c r="W1080" s="47" t="n">
        <x:v>8</x:v>
      </x:c>
      <x:c r="X1080" s="47" t="n">
        <x:v>44</x:v>
      </x:c>
      <x:c r="Y1080" s="41" t="n">
        <x:v>36</x:v>
      </x:c>
    </x:row>
    <x:row r="1081">
      <x:c r="A1081" s="38" t="str">
        <x:v>7月30日现场数据</x:v>
      </x:c>
      <x:c r="B1081" s="66" t="str">
        <x:v>2026-08-03T07:34:16.335000</x:v>
      </x:c>
      <x:c r="C1081" s="47" t="n">
        <x:v>300984</x:v>
      </x:c>
      <x:c r="D1081" s="47" t="str"/>
      <x:c r="E1081" s="47" t="str"/>
      <x:c r="F1081" s="47" t="str">
        <x:v>current</x:v>
      </x:c>
      <x:c r="G1081" s="47" t="n">
        <x:v>1077</x:v>
      </x:c>
      <x:c r="H1081" s="53" t="b">
        <x:v>1</x:v>
      </x:c>
      <x:c r="I1081" s="47" t="str">
        <x:v>2682537910</x:v>
      </x:c>
      <x:c r="J1081" s="47" t="n">
        <x:v>147513672</x:v>
      </x:c>
      <x:c r="K1081" s="53" t="b">
        <x:v>1</x:v>
      </x:c>
      <x:c r="L1081" s="53" t="b">
        <x:v>1</x:v>
      </x:c>
      <x:c r="M1081" s="53" t="b">
        <x:v>1</x:v>
      </x:c>
      <x:c r="N1081" s="53" t="b">
        <x:v>1</x:v>
      </x:c>
      <x:c r="O1081" s="53" t="b">
        <x:v>1</x:v>
      </x:c>
      <x:c r="P1081" s="47" t="n">
        <x:v>1011</x:v>
      </x:c>
      <x:c r="Q1081" s="47" t="n">
        <x:v>0.001</x:v>
      </x:c>
      <x:c r="R1081" s="47" t="n">
        <x:v>0.033</x:v>
      </x:c>
      <x:c r="S1081" s="47" t="n">
        <x:v>31.8</x:v>
      </x:c>
      <x:c r="T1081" s="47" t="n">
        <x:v>70.11</x:v>
      </x:c>
      <x:c r="U1081" s="47" t="n">
        <x:v>29.8</x:v>
      </x:c>
      <x:c r="V1081" s="47" t="n">
        <x:v>14.5</x:v>
      </x:c>
      <x:c r="W1081" s="47" t="n">
        <x:v>8</x:v>
      </x:c>
      <x:c r="X1081" s="47" t="n">
        <x:v>43</x:v>
      </x:c>
      <x:c r="Y1081" s="41" t="n">
        <x:v>35</x:v>
      </x:c>
    </x:row>
    <x:row r="1082">
      <x:c r="A1082" s="38" t="str">
        <x:v>7月30日现场数据</x:v>
      </x:c>
      <x:c r="B1082" s="66" t="str">
        <x:v>2026-08-03T07:39:17.354000</x:v>
      </x:c>
      <x:c r="C1082" s="47" t="n">
        <x:v>301019</x:v>
      </x:c>
      <x:c r="D1082" s="47" t="str"/>
      <x:c r="E1082" s="47" t="str"/>
      <x:c r="F1082" s="47" t="str">
        <x:v>current</x:v>
      </x:c>
      <x:c r="G1082" s="47" t="n">
        <x:v>1078</x:v>
      </x:c>
      <x:c r="H1082" s="53" t="b">
        <x:v>1</x:v>
      </x:c>
      <x:c r="I1082" s="47" t="str">
        <x:v>2682537910</x:v>
      </x:c>
      <x:c r="J1082" s="47" t="n">
        <x:v>147814691</x:v>
      </x:c>
      <x:c r="K1082" s="53" t="b">
        <x:v>1</x:v>
      </x:c>
      <x:c r="L1082" s="53" t="b">
        <x:v>1</x:v>
      </x:c>
      <x:c r="M1082" s="53" t="b">
        <x:v>1</x:v>
      </x:c>
      <x:c r="N1082" s="53" t="b">
        <x:v>1</x:v>
      </x:c>
      <x:c r="O1082" s="53" t="b">
        <x:v>1</x:v>
      </x:c>
      <x:c r="P1082" s="47" t="n">
        <x:v>1011</x:v>
      </x:c>
      <x:c r="Q1082" s="47" t="n">
        <x:v>0</x:v>
      </x:c>
      <x:c r="R1082" s="47" t="n">
        <x:v>0</x:v>
      </x:c>
      <x:c r="S1082" s="47" t="n">
        <x:v>31.91</x:v>
      </x:c>
      <x:c r="T1082" s="47" t="n">
        <x:v>70.21</x:v>
      </x:c>
      <x:c r="U1082" s="47" t="n">
        <x:v>29.8</x:v>
      </x:c>
      <x:c r="V1082" s="47" t="n">
        <x:v>14.5</x:v>
      </x:c>
      <x:c r="W1082" s="47" t="n">
        <x:v>8</x:v>
      </x:c>
      <x:c r="X1082" s="47" t="n">
        <x:v>45</x:v>
      </x:c>
      <x:c r="Y1082" s="41" t="n">
        <x:v>37</x:v>
      </x:c>
    </x:row>
    <x:row r="1083">
      <x:c r="A1083" s="38" t="str">
        <x:v>7月30日现场数据</x:v>
      </x:c>
      <x:c r="B1083" s="66" t="str">
        <x:v>2026-08-03T07:44:18.318000</x:v>
      </x:c>
      <x:c r="C1083" s="47" t="n">
        <x:v>300964</x:v>
      </x:c>
      <x:c r="D1083" s="47" t="str"/>
      <x:c r="E1083" s="47" t="str"/>
      <x:c r="F1083" s="47" t="str">
        <x:v>current</x:v>
      </x:c>
      <x:c r="G1083" s="47" t="n">
        <x:v>1079</x:v>
      </x:c>
      <x:c r="H1083" s="53" t="b">
        <x:v>1</x:v>
      </x:c>
      <x:c r="I1083" s="47" t="str">
        <x:v>2682537910</x:v>
      </x:c>
      <x:c r="J1083" s="47" t="n">
        <x:v>148115655</x:v>
      </x:c>
      <x:c r="K1083" s="53" t="b">
        <x:v>1</x:v>
      </x:c>
      <x:c r="L1083" s="53" t="b">
        <x:v>1</x:v>
      </x:c>
      <x:c r="M1083" s="53" t="b">
        <x:v>1</x:v>
      </x:c>
      <x:c r="N1083" s="53" t="b">
        <x:v>1</x:v>
      </x:c>
      <x:c r="O1083" s="53" t="b">
        <x:v>1</x:v>
      </x:c>
      <x:c r="P1083" s="47" t="n">
        <x:v>1011</x:v>
      </x:c>
      <x:c r="Q1083" s="47" t="n">
        <x:v>0</x:v>
      </x:c>
      <x:c r="R1083" s="47" t="n">
        <x:v>0</x:v>
      </x:c>
      <x:c r="S1083" s="47" t="n">
        <x:v>32.01</x:v>
      </x:c>
      <x:c r="T1083" s="47" t="n">
        <x:v>70.28</x:v>
      </x:c>
      <x:c r="U1083" s="47" t="n">
        <x:v>29.8</x:v>
      </x:c>
      <x:c r="V1083" s="47" t="n">
        <x:v>14.5</x:v>
      </x:c>
      <x:c r="W1083" s="47" t="n">
        <x:v>9</x:v>
      </x:c>
      <x:c r="X1083" s="47" t="n">
        <x:v>47</x:v>
      </x:c>
      <x:c r="Y1083" s="41" t="n">
        <x:v>38</x:v>
      </x:c>
    </x:row>
    <x:row r="1084">
      <x:c r="A1084" s="38" t="str">
        <x:v>7月30日现场数据</x:v>
      </x:c>
      <x:c r="B1084" s="66" t="str">
        <x:v>2026-08-03T07:49:19.282000</x:v>
      </x:c>
      <x:c r="C1084" s="47" t="n">
        <x:v>300964</x:v>
      </x:c>
      <x:c r="D1084" s="47" t="str"/>
      <x:c r="E1084" s="47" t="str"/>
      <x:c r="F1084" s="47" t="str">
        <x:v>current</x:v>
      </x:c>
      <x:c r="G1084" s="47" t="n">
        <x:v>1080</x:v>
      </x:c>
      <x:c r="H1084" s="53" t="b">
        <x:v>1</x:v>
      </x:c>
      <x:c r="I1084" s="47" t="str">
        <x:v>2682537910</x:v>
      </x:c>
      <x:c r="J1084" s="47" t="n">
        <x:v>148416619</x:v>
      </x:c>
      <x:c r="K1084" s="53" t="b">
        <x:v>1</x:v>
      </x:c>
      <x:c r="L1084" s="53" t="b">
        <x:v>1</x:v>
      </x:c>
      <x:c r="M1084" s="53" t="b">
        <x:v>1</x:v>
      </x:c>
      <x:c r="N1084" s="53" t="b">
        <x:v>1</x:v>
      </x:c>
      <x:c r="O1084" s="53" t="b">
        <x:v>1</x:v>
      </x:c>
      <x:c r="P1084" s="47" t="n">
        <x:v>1011</x:v>
      </x:c>
      <x:c r="Q1084" s="47" t="n">
        <x:v>0</x:v>
      </x:c>
      <x:c r="R1084" s="47" t="n">
        <x:v>0</x:v>
      </x:c>
      <x:c r="S1084" s="47" t="n">
        <x:v>32.13</x:v>
      </x:c>
      <x:c r="T1084" s="47" t="n">
        <x:v>70.31</x:v>
      </x:c>
      <x:c r="U1084" s="47" t="n">
        <x:v>29.8</x:v>
      </x:c>
      <x:c r="V1084" s="47" t="n">
        <x:v>14.5</x:v>
      </x:c>
      <x:c r="W1084" s="47" t="n">
        <x:v>9</x:v>
      </x:c>
      <x:c r="X1084" s="47" t="n">
        <x:v>51</x:v>
      </x:c>
      <x:c r="Y1084" s="41" t="n">
        <x:v>42</x:v>
      </x:c>
    </x:row>
    <x:row r="1085">
      <x:c r="A1085" s="38" t="str">
        <x:v>7月30日现场数据</x:v>
      </x:c>
      <x:c r="B1085" s="66" t="str">
        <x:v>2026-08-03T07:54:20.248000</x:v>
      </x:c>
      <x:c r="C1085" s="47" t="n">
        <x:v>300966</x:v>
      </x:c>
      <x:c r="D1085" s="47" t="str"/>
      <x:c r="E1085" s="47" t="str"/>
      <x:c r="F1085" s="47" t="str">
        <x:v>current</x:v>
      </x:c>
      <x:c r="G1085" s="47" t="n">
        <x:v>1081</x:v>
      </x:c>
      <x:c r="H1085" s="53" t="b">
        <x:v>1</x:v>
      </x:c>
      <x:c r="I1085" s="47" t="str">
        <x:v>2682537910</x:v>
      </x:c>
      <x:c r="J1085" s="47" t="n">
        <x:v>148717585</x:v>
      </x:c>
      <x:c r="K1085" s="53" t="b">
        <x:v>1</x:v>
      </x:c>
      <x:c r="L1085" s="53" t="b">
        <x:v>1</x:v>
      </x:c>
      <x:c r="M1085" s="53" t="b">
        <x:v>1</x:v>
      </x:c>
      <x:c r="N1085" s="53" t="b">
        <x:v>1</x:v>
      </x:c>
      <x:c r="O1085" s="53" t="b">
        <x:v>1</x:v>
      </x:c>
      <x:c r="P1085" s="47" t="n">
        <x:v>1011</x:v>
      </x:c>
      <x:c r="Q1085" s="47" t="n">
        <x:v>0</x:v>
      </x:c>
      <x:c r="R1085" s="47" t="n">
        <x:v>0</x:v>
      </x:c>
      <x:c r="S1085" s="47" t="n">
        <x:v>32.31</x:v>
      </x:c>
      <x:c r="T1085" s="47" t="n">
        <x:v>70.43</x:v>
      </x:c>
      <x:c r="U1085" s="47" t="n">
        <x:v>29.8</x:v>
      </x:c>
      <x:c r="V1085" s="47" t="n">
        <x:v>14.4</x:v>
      </x:c>
      <x:c r="W1085" s="47" t="n">
        <x:v>10</x:v>
      </x:c>
      <x:c r="X1085" s="47" t="n">
        <x:v>56</x:v>
      </x:c>
      <x:c r="Y1085" s="41" t="n">
        <x:v>46</x:v>
      </x:c>
    </x:row>
    <x:row r="1086">
      <x:c r="A1086" s="38" t="str">
        <x:v>7月30日现场数据</x:v>
      </x:c>
      <x:c r="B1086" s="66" t="str">
        <x:v>2026-08-03T07:59:21.215000</x:v>
      </x:c>
      <x:c r="C1086" s="47" t="n">
        <x:v>300967</x:v>
      </x:c>
      <x:c r="D1086" s="47" t="str"/>
      <x:c r="E1086" s="47" t="str"/>
      <x:c r="F1086" s="47" t="str">
        <x:v>current</x:v>
      </x:c>
      <x:c r="G1086" s="47" t="n">
        <x:v>1082</x:v>
      </x:c>
      <x:c r="H1086" s="53" t="b">
        <x:v>1</x:v>
      </x:c>
      <x:c r="I1086" s="47" t="str">
        <x:v>2682537910</x:v>
      </x:c>
      <x:c r="J1086" s="47" t="n">
        <x:v>149018552</x:v>
      </x:c>
      <x:c r="K1086" s="53" t="b">
        <x:v>1</x:v>
      </x:c>
      <x:c r="L1086" s="53" t="b">
        <x:v>1</x:v>
      </x:c>
      <x:c r="M1086" s="53" t="b">
        <x:v>1</x:v>
      </x:c>
      <x:c r="N1086" s="53" t="b">
        <x:v>1</x:v>
      </x:c>
      <x:c r="O1086" s="53" t="b">
        <x:v>1</x:v>
      </x:c>
      <x:c r="P1086" s="47" t="n">
        <x:v>1011</x:v>
      </x:c>
      <x:c r="Q1086" s="47" t="n">
        <x:v>0.013</x:v>
      </x:c>
      <x:c r="R1086" s="47" t="n">
        <x:v>0.363</x:v>
      </x:c>
      <x:c r="S1086" s="47" t="n">
        <x:v>32.47</x:v>
      </x:c>
      <x:c r="T1086" s="47" t="n">
        <x:v>70.56</x:v>
      </x:c>
      <x:c r="U1086" s="47" t="n">
        <x:v>29.7</x:v>
      </x:c>
      <x:c r="V1086" s="47" t="n">
        <x:v>14.5</x:v>
      </x:c>
      <x:c r="W1086" s="47" t="n">
        <x:v>11</x:v>
      </x:c>
      <x:c r="X1086" s="47" t="n">
        <x:v>61</x:v>
      </x:c>
      <x:c r="Y1086" s="41" t="n">
        <x:v>50</x:v>
      </x:c>
    </x:row>
    <x:row r="1087">
      <x:c r="A1087" s="38" t="str">
        <x:v>7月30日现场数据</x:v>
      </x:c>
      <x:c r="B1087" s="66" t="str">
        <x:v>2026-08-03T08:04:22.185000</x:v>
      </x:c>
      <x:c r="C1087" s="47" t="n">
        <x:v>300970</x:v>
      </x:c>
      <x:c r="D1087" s="47" t="str"/>
      <x:c r="E1087" s="47" t="str"/>
      <x:c r="F1087" s="47" t="str">
        <x:v>current</x:v>
      </x:c>
      <x:c r="G1087" s="47" t="n">
        <x:v>1083</x:v>
      </x:c>
      <x:c r="H1087" s="53" t="b">
        <x:v>1</x:v>
      </x:c>
      <x:c r="I1087" s="47" t="str">
        <x:v>2682537910</x:v>
      </x:c>
      <x:c r="J1087" s="47" t="n">
        <x:v>149319522</x:v>
      </x:c>
      <x:c r="K1087" s="53" t="b">
        <x:v>1</x:v>
      </x:c>
      <x:c r="L1087" s="53" t="b">
        <x:v>1</x:v>
      </x:c>
      <x:c r="M1087" s="53" t="b">
        <x:v>1</x:v>
      </x:c>
      <x:c r="N1087" s="53" t="b">
        <x:v>1</x:v>
      </x:c>
      <x:c r="O1087" s="53" t="b">
        <x:v>1</x:v>
      </x:c>
      <x:c r="P1087" s="47" t="n">
        <x:v>1011</x:v>
      </x:c>
      <x:c r="Q1087" s="47" t="n">
        <x:v>0</x:v>
      </x:c>
      <x:c r="R1087" s="47" t="n">
        <x:v>0</x:v>
      </x:c>
      <x:c r="S1087" s="47" t="n">
        <x:v>32.6</x:v>
      </x:c>
      <x:c r="T1087" s="47" t="n">
        <x:v>70.61</x:v>
      </x:c>
      <x:c r="U1087" s="47" t="n">
        <x:v>29.7</x:v>
      </x:c>
      <x:c r="V1087" s="47" t="n">
        <x:v>14.5</x:v>
      </x:c>
      <x:c r="W1087" s="47" t="n">
        <x:v>12</x:v>
      </x:c>
      <x:c r="X1087" s="47" t="n">
        <x:v>66</x:v>
      </x:c>
      <x:c r="Y1087" s="41" t="n">
        <x:v>54</x:v>
      </x:c>
    </x:row>
    <x:row r="1088">
      <x:c r="A1088" s="38" t="str">
        <x:v>7月30日现场数据</x:v>
      </x:c>
      <x:c r="B1088" s="66" t="str">
        <x:v>2026-08-03T08:09:23.156000</x:v>
      </x:c>
      <x:c r="C1088" s="47" t="n">
        <x:v>300971</x:v>
      </x:c>
      <x:c r="D1088" s="47" t="str"/>
      <x:c r="E1088" s="47" t="str"/>
      <x:c r="F1088" s="47" t="str">
        <x:v>current</x:v>
      </x:c>
      <x:c r="G1088" s="47" t="n">
        <x:v>1084</x:v>
      </x:c>
      <x:c r="H1088" s="53" t="b">
        <x:v>1</x:v>
      </x:c>
      <x:c r="I1088" s="47" t="str">
        <x:v>2682537910</x:v>
      </x:c>
      <x:c r="J1088" s="47" t="n">
        <x:v>149620493</x:v>
      </x:c>
      <x:c r="K1088" s="53" t="b">
        <x:v>1</x:v>
      </x:c>
      <x:c r="L1088" s="53" t="b">
        <x:v>1</x:v>
      </x:c>
      <x:c r="M1088" s="53" t="b">
        <x:v>1</x:v>
      </x:c>
      <x:c r="N1088" s="53" t="b">
        <x:v>1</x:v>
      </x:c>
      <x:c r="O1088" s="53" t="b">
        <x:v>1</x:v>
      </x:c>
      <x:c r="P1088" s="47" t="n">
        <x:v>1011</x:v>
      </x:c>
      <x:c r="Q1088" s="47" t="n">
        <x:v>0</x:v>
      </x:c>
      <x:c r="R1088" s="47" t="n">
        <x:v>0</x:v>
      </x:c>
      <x:c r="S1088" s="47" t="n">
        <x:v>32.78</x:v>
      </x:c>
      <x:c r="T1088" s="47" t="n">
        <x:v>70.62</x:v>
      </x:c>
      <x:c r="U1088" s="47" t="n">
        <x:v>29.8</x:v>
      </x:c>
      <x:c r="V1088" s="47" t="n">
        <x:v>14.5</x:v>
      </x:c>
      <x:c r="W1088" s="47" t="n">
        <x:v>13</x:v>
      </x:c>
      <x:c r="X1088" s="47" t="n">
        <x:v>73</x:v>
      </x:c>
      <x:c r="Y1088" s="41" t="n">
        <x:v>60</x:v>
      </x:c>
    </x:row>
    <x:row r="1089">
      <x:c r="A1089" s="38" t="str">
        <x:v>7月30日现场数据</x:v>
      </x:c>
      <x:c r="B1089" s="66" t="str">
        <x:v>2026-08-03T08:14:24.130000</x:v>
      </x:c>
      <x:c r="C1089" s="47" t="n">
        <x:v>300974</x:v>
      </x:c>
      <x:c r="D1089" s="47" t="str"/>
      <x:c r="E1089" s="47" t="str"/>
      <x:c r="F1089" s="47" t="str">
        <x:v>current</x:v>
      </x:c>
      <x:c r="G1089" s="47" t="n">
        <x:v>1085</x:v>
      </x:c>
      <x:c r="H1089" s="53" t="b">
        <x:v>1</x:v>
      </x:c>
      <x:c r="I1089" s="47" t="str">
        <x:v>2682537910</x:v>
      </x:c>
      <x:c r="J1089" s="47" t="n">
        <x:v>149921467</x:v>
      </x:c>
      <x:c r="K1089" s="53" t="b">
        <x:v>1</x:v>
      </x:c>
      <x:c r="L1089" s="53" t="b">
        <x:v>1</x:v>
      </x:c>
      <x:c r="M1089" s="53" t="b">
        <x:v>1</x:v>
      </x:c>
      <x:c r="N1089" s="53" t="b">
        <x:v>1</x:v>
      </x:c>
      <x:c r="O1089" s="53" t="b">
        <x:v>1</x:v>
      </x:c>
      <x:c r="P1089" s="47" t="n">
        <x:v>1011</x:v>
      </x:c>
      <x:c r="Q1089" s="47" t="n">
        <x:v>0</x:v>
      </x:c>
      <x:c r="R1089" s="47" t="n">
        <x:v>0</x:v>
      </x:c>
      <x:c r="S1089" s="47" t="n">
        <x:v>32.94</x:v>
      </x:c>
      <x:c r="T1089" s="47" t="n">
        <x:v>70.72</x:v>
      </x:c>
      <x:c r="U1089" s="47" t="n">
        <x:v>29.8</x:v>
      </x:c>
      <x:c r="V1089" s="47" t="n">
        <x:v>14.4</x:v>
      </x:c>
      <x:c r="W1089" s="47" t="n">
        <x:v>15</x:v>
      </x:c>
      <x:c r="X1089" s="47" t="n">
        <x:v>84</x:v>
      </x:c>
      <x:c r="Y1089" s="41" t="n">
        <x:v>69</x:v>
      </x:c>
    </x:row>
    <x:row r="1090">
      <x:c r="A1090" s="38" t="str">
        <x:v>7月30日现场数据</x:v>
      </x:c>
      <x:c r="B1090" s="66" t="str">
        <x:v>2026-08-03T08:19:25.104000</x:v>
      </x:c>
      <x:c r="C1090" s="47" t="n">
        <x:v>300974</x:v>
      </x:c>
      <x:c r="D1090" s="47" t="str"/>
      <x:c r="E1090" s="47" t="str"/>
      <x:c r="F1090" s="47" t="str">
        <x:v>current</x:v>
      </x:c>
      <x:c r="G1090" s="47" t="n">
        <x:v>1086</x:v>
      </x:c>
      <x:c r="H1090" s="53" t="b">
        <x:v>1</x:v>
      </x:c>
      <x:c r="I1090" s="47" t="str">
        <x:v>2682537910</x:v>
      </x:c>
      <x:c r="J1090" s="47" t="n">
        <x:v>150222441</x:v>
      </x:c>
      <x:c r="K1090" s="53" t="b">
        <x:v>1</x:v>
      </x:c>
      <x:c r="L1090" s="53" t="b">
        <x:v>1</x:v>
      </x:c>
      <x:c r="M1090" s="53" t="b">
        <x:v>1</x:v>
      </x:c>
      <x:c r="N1090" s="53" t="b">
        <x:v>1</x:v>
      </x:c>
      <x:c r="O1090" s="53" t="b">
        <x:v>1</x:v>
      </x:c>
      <x:c r="P1090" s="47" t="n">
        <x:v>1011</x:v>
      </x:c>
      <x:c r="Q1090" s="47" t="n">
        <x:v>0</x:v>
      </x:c>
      <x:c r="R1090" s="47" t="n">
        <x:v>0</x:v>
      </x:c>
      <x:c r="S1090" s="47" t="n">
        <x:v>33.11</x:v>
      </x:c>
      <x:c r="T1090" s="47" t="n">
        <x:v>70.73</x:v>
      </x:c>
      <x:c r="U1090" s="47" t="n">
        <x:v>29.8</x:v>
      </x:c>
      <x:c r="V1090" s="47" t="n">
        <x:v>14.4</x:v>
      </x:c>
      <x:c r="W1090" s="47" t="n">
        <x:v>17</x:v>
      </x:c>
      <x:c r="X1090" s="47" t="n">
        <x:v>95</x:v>
      </x:c>
      <x:c r="Y1090" s="41" t="n">
        <x:v>78</x:v>
      </x:c>
    </x:row>
    <x:row r="1091">
      <x:c r="A1091" s="38" t="str">
        <x:v>7月30日现场数据</x:v>
      </x:c>
      <x:c r="B1091" s="66" t="str">
        <x:v>2026-08-03T08:24:26.081000</x:v>
      </x:c>
      <x:c r="C1091" s="47" t="n">
        <x:v>300977</x:v>
      </x:c>
      <x:c r="D1091" s="47" t="str"/>
      <x:c r="E1091" s="47" t="str"/>
      <x:c r="F1091" s="47" t="str">
        <x:v>current</x:v>
      </x:c>
      <x:c r="G1091" s="47" t="n">
        <x:v>1087</x:v>
      </x:c>
      <x:c r="H1091" s="53" t="b">
        <x:v>1</x:v>
      </x:c>
      <x:c r="I1091" s="47" t="str">
        <x:v>2682537910</x:v>
      </x:c>
      <x:c r="J1091" s="47" t="n">
        <x:v>150523418</x:v>
      </x:c>
      <x:c r="K1091" s="53" t="b">
        <x:v>1</x:v>
      </x:c>
      <x:c r="L1091" s="53" t="b">
        <x:v>1</x:v>
      </x:c>
      <x:c r="M1091" s="53" t="b">
        <x:v>1</x:v>
      </x:c>
      <x:c r="N1091" s="53" t="b">
        <x:v>1</x:v>
      </x:c>
      <x:c r="O1091" s="53" t="b">
        <x:v>1</x:v>
      </x:c>
      <x:c r="P1091" s="47" t="n">
        <x:v>1011</x:v>
      </x:c>
      <x:c r="Q1091" s="47" t="n">
        <x:v>0</x:v>
      </x:c>
      <x:c r="R1091" s="47" t="n">
        <x:v>0</x:v>
      </x:c>
      <x:c r="S1091" s="47" t="n">
        <x:v>33.38</x:v>
      </x:c>
      <x:c r="T1091" s="47" t="n">
        <x:v>70.82</x:v>
      </x:c>
      <x:c r="U1091" s="47" t="n">
        <x:v>29.8</x:v>
      </x:c>
      <x:c r="V1091" s="47" t="n">
        <x:v>14.4</x:v>
      </x:c>
      <x:c r="W1091" s="47" t="n">
        <x:v>19</x:v>
      </x:c>
      <x:c r="X1091" s="47" t="n">
        <x:v>109</x:v>
      </x:c>
      <x:c r="Y1091" s="41" t="n">
        <x:v>90</x:v>
      </x:c>
    </x:row>
    <x:row r="1092">
      <x:c r="A1092" s="38" t="str">
        <x:v>7月30日现场数据</x:v>
      </x:c>
      <x:c r="B1092" s="66" t="str">
        <x:v>2026-08-03T08:29:27.058000</x:v>
      </x:c>
      <x:c r="C1092" s="47" t="n">
        <x:v>300977</x:v>
      </x:c>
      <x:c r="D1092" s="47" t="str"/>
      <x:c r="E1092" s="47" t="str"/>
      <x:c r="F1092" s="47" t="str">
        <x:v>current</x:v>
      </x:c>
      <x:c r="G1092" s="47" t="n">
        <x:v>1088</x:v>
      </x:c>
      <x:c r="H1092" s="53" t="b">
        <x:v>1</x:v>
      </x:c>
      <x:c r="I1092" s="47" t="str">
        <x:v>2682537910</x:v>
      </x:c>
      <x:c r="J1092" s="47" t="n">
        <x:v>150824395</x:v>
      </x:c>
      <x:c r="K1092" s="53" t="b">
        <x:v>1</x:v>
      </x:c>
      <x:c r="L1092" s="53" t="b">
        <x:v>1</x:v>
      </x:c>
      <x:c r="M1092" s="53" t="b">
        <x:v>1</x:v>
      </x:c>
      <x:c r="N1092" s="53" t="b">
        <x:v>1</x:v>
      </x:c>
      <x:c r="O1092" s="53" t="b">
        <x:v>1</x:v>
      </x:c>
      <x:c r="P1092" s="47" t="n">
        <x:v>1011</x:v>
      </x:c>
      <x:c r="Q1092" s="47" t="n">
        <x:v>0</x:v>
      </x:c>
      <x:c r="R1092" s="47" t="n">
        <x:v>0</x:v>
      </x:c>
      <x:c r="S1092" s="47" t="n">
        <x:v>33.67</x:v>
      </x:c>
      <x:c r="T1092" s="47" t="n">
        <x:v>70.86</x:v>
      </x:c>
      <x:c r="U1092" s="47" t="n">
        <x:v>29.8</x:v>
      </x:c>
      <x:c r="V1092" s="47" t="n">
        <x:v>14.5</x:v>
      </x:c>
      <x:c r="W1092" s="47" t="n">
        <x:v>27</x:v>
      </x:c>
      <x:c r="X1092" s="47" t="n">
        <x:v>119</x:v>
      </x:c>
      <x:c r="Y1092" s="41" t="n">
        <x:v>92</x:v>
      </x:c>
    </x:row>
    <x:row r="1093">
      <x:c r="A1093" s="38" t="str">
        <x:v>7月30日现场数据</x:v>
      </x:c>
      <x:c r="B1093" s="66" t="str">
        <x:v>2026-08-03T08:34:28.039000</x:v>
      </x:c>
      <x:c r="C1093" s="47" t="n">
        <x:v>300981</x:v>
      </x:c>
      <x:c r="D1093" s="47" t="str"/>
      <x:c r="E1093" s="47" t="str"/>
      <x:c r="F1093" s="47" t="str">
        <x:v>current</x:v>
      </x:c>
      <x:c r="G1093" s="47" t="n">
        <x:v>1089</x:v>
      </x:c>
      <x:c r="H1093" s="53" t="b">
        <x:v>1</x:v>
      </x:c>
      <x:c r="I1093" s="47" t="str">
        <x:v>2682537910</x:v>
      </x:c>
      <x:c r="J1093" s="47" t="n">
        <x:v>151125376</x:v>
      </x:c>
      <x:c r="K1093" s="53" t="b">
        <x:v>1</x:v>
      </x:c>
      <x:c r="L1093" s="53" t="b">
        <x:v>1</x:v>
      </x:c>
      <x:c r="M1093" s="53" t="b">
        <x:v>1</x:v>
      </x:c>
      <x:c r="N1093" s="53" t="b">
        <x:v>1</x:v>
      </x:c>
      <x:c r="O1093" s="53" t="b">
        <x:v>1</x:v>
      </x:c>
      <x:c r="P1093" s="47" t="n">
        <x:v>1011</x:v>
      </x:c>
      <x:c r="Q1093" s="47" t="n">
        <x:v>0</x:v>
      </x:c>
      <x:c r="R1093" s="47" t="n">
        <x:v>0</x:v>
      </x:c>
      <x:c r="S1093" s="47" t="n">
        <x:v>33.94</x:v>
      </x:c>
      <x:c r="T1093" s="47" t="n">
        <x:v>70.93</x:v>
      </x:c>
      <x:c r="U1093" s="47" t="n">
        <x:v>29.9</x:v>
      </x:c>
      <x:c r="V1093" s="47" t="n">
        <x:v>14.4</x:v>
      </x:c>
      <x:c r="W1093" s="47" t="n">
        <x:v>54</x:v>
      </x:c>
      <x:c r="X1093" s="47" t="n">
        <x:v>833</x:v>
      </x:c>
      <x:c r="Y1093" s="41" t="n">
        <x:v>779</x:v>
      </x:c>
    </x:row>
    <x:row r="1094">
      <x:c r="A1094" s="38" t="str">
        <x:v>7月30日现场数据</x:v>
      </x:c>
      <x:c r="B1094" s="66" t="str">
        <x:v>2026-08-03T08:39:29.020000</x:v>
      </x:c>
      <x:c r="C1094" s="47" t="n">
        <x:v>300981</x:v>
      </x:c>
      <x:c r="D1094" s="47" t="str"/>
      <x:c r="E1094" s="47" t="str"/>
      <x:c r="F1094" s="47" t="str">
        <x:v>current</x:v>
      </x:c>
      <x:c r="G1094" s="47" t="n">
        <x:v>1090</x:v>
      </x:c>
      <x:c r="H1094" s="53" t="b">
        <x:v>1</x:v>
      </x:c>
      <x:c r="I1094" s="47" t="str">
        <x:v>2682537910</x:v>
      </x:c>
      <x:c r="J1094" s="47" t="n">
        <x:v>151426357</x:v>
      </x:c>
      <x:c r="K1094" s="53" t="b">
        <x:v>1</x:v>
      </x:c>
      <x:c r="L1094" s="53" t="b">
        <x:v>1</x:v>
      </x:c>
      <x:c r="M1094" s="53" t="b">
        <x:v>1</x:v>
      </x:c>
      <x:c r="N1094" s="53" t="b">
        <x:v>1</x:v>
      </x:c>
      <x:c r="O1094" s="53" t="b">
        <x:v>1</x:v>
      </x:c>
      <x:c r="P1094" s="47" t="n">
        <x:v>1011</x:v>
      </x:c>
      <x:c r="Q1094" s="47" t="n">
        <x:v>0</x:v>
      </x:c>
      <x:c r="R1094" s="47" t="n">
        <x:v>0</x:v>
      </x:c>
      <x:c r="S1094" s="47" t="n">
        <x:v>34.84</x:v>
      </x:c>
      <x:c r="T1094" s="47" t="n">
        <x:v>70.91</x:v>
      </x:c>
      <x:c r="U1094" s="47" t="n">
        <x:v>29.9</x:v>
      </x:c>
      <x:c r="V1094" s="47" t="n">
        <x:v>14.5</x:v>
      </x:c>
      <x:c r="W1094" s="47" t="n">
        <x:v>117</x:v>
      </x:c>
      <x:c r="X1094" s="47" t="n">
        <x:v>858</x:v>
      </x:c>
      <x:c r="Y1094" s="41" t="n">
        <x:v>741</x:v>
      </x:c>
    </x:row>
    <x:row r="1095">
      <x:c r="A1095" s="38" t="str">
        <x:v>7月30日现场数据</x:v>
      </x:c>
      <x:c r="B1095" s="66" t="str">
        <x:v>2026-08-03T08:44:30.004000</x:v>
      </x:c>
      <x:c r="C1095" s="47" t="n">
        <x:v>300984</x:v>
      </x:c>
      <x:c r="D1095" s="47" t="str"/>
      <x:c r="E1095" s="47" t="str"/>
      <x:c r="F1095" s="47" t="str">
        <x:v>current</x:v>
      </x:c>
      <x:c r="G1095" s="47" t="n">
        <x:v>1091</x:v>
      </x:c>
      <x:c r="H1095" s="53" t="b">
        <x:v>1</x:v>
      </x:c>
      <x:c r="I1095" s="47" t="str">
        <x:v>2682537910</x:v>
      </x:c>
      <x:c r="J1095" s="47" t="n">
        <x:v>151727341</x:v>
      </x:c>
      <x:c r="K1095" s="53" t="b">
        <x:v>1</x:v>
      </x:c>
      <x:c r="L1095" s="53" t="b">
        <x:v>1</x:v>
      </x:c>
      <x:c r="M1095" s="53" t="b">
        <x:v>1</x:v>
      </x:c>
      <x:c r="N1095" s="53" t="b">
        <x:v>1</x:v>
      </x:c>
      <x:c r="O1095" s="53" t="b">
        <x:v>1</x:v>
      </x:c>
      <x:c r="P1095" s="47" t="n">
        <x:v>1012</x:v>
      </x:c>
      <x:c r="Q1095" s="47" t="n">
        <x:v>0</x:v>
      </x:c>
      <x:c r="R1095" s="47" t="n">
        <x:v>0</x:v>
      </x:c>
      <x:c r="S1095" s="47" t="n">
        <x:v>38.47</x:v>
      </x:c>
      <x:c r="T1095" s="47" t="n">
        <x:v>71.4</x:v>
      </x:c>
      <x:c r="U1095" s="47" t="n">
        <x:v>29.9</x:v>
      </x:c>
      <x:c r="V1095" s="47" t="n">
        <x:v>14.6</x:v>
      </x:c>
      <x:c r="W1095" s="47" t="n">
        <x:v>143</x:v>
      </x:c>
      <x:c r="X1095" s="47" t="n">
        <x:v>875</x:v>
      </x:c>
      <x:c r="Y1095" s="41" t="n">
        <x:v>732</x:v>
      </x:c>
    </x:row>
    <x:row r="1096">
      <x:c r="A1096" s="38" t="str">
        <x:v>7月30日现场数据</x:v>
      </x:c>
      <x:c r="B1096" s="66" t="str">
        <x:v>2026-08-03T08:49:30.989000</x:v>
      </x:c>
      <x:c r="C1096" s="47" t="n">
        <x:v>300985</x:v>
      </x:c>
      <x:c r="D1096" s="47" t="str"/>
      <x:c r="E1096" s="47" t="str"/>
      <x:c r="F1096" s="47" t="str">
        <x:v>current</x:v>
      </x:c>
      <x:c r="G1096" s="47" t="n">
        <x:v>1092</x:v>
      </x:c>
      <x:c r="H1096" s="53" t="b">
        <x:v>1</x:v>
      </x:c>
      <x:c r="I1096" s="47" t="str">
        <x:v>2682537910</x:v>
      </x:c>
      <x:c r="J1096" s="47" t="n">
        <x:v>152028326</x:v>
      </x:c>
      <x:c r="K1096" s="53" t="b">
        <x:v>1</x:v>
      </x:c>
      <x:c r="L1096" s="53" t="b">
        <x:v>1</x:v>
      </x:c>
      <x:c r="M1096" s="53" t="b">
        <x:v>1</x:v>
      </x:c>
      <x:c r="N1096" s="53" t="b">
        <x:v>1</x:v>
      </x:c>
      <x:c r="O1096" s="53" t="b">
        <x:v>1</x:v>
      </x:c>
      <x:c r="P1096" s="47" t="n">
        <x:v>1012</x:v>
      </x:c>
      <x:c r="Q1096" s="47" t="n">
        <x:v>0</x:v>
      </x:c>
      <x:c r="R1096" s="47" t="n">
        <x:v>0</x:v>
      </x:c>
      <x:c r="S1096" s="47" t="n">
        <x:v>41.52</x:v>
      </x:c>
      <x:c r="T1096" s="47" t="n">
        <x:v>71.93</x:v>
      </x:c>
      <x:c r="U1096" s="47" t="n">
        <x:v>30.1</x:v>
      </x:c>
      <x:c r="V1096" s="47" t="n">
        <x:v>14.7</x:v>
      </x:c>
      <x:c r="W1096" s="47" t="n">
        <x:v>154</x:v>
      </x:c>
      <x:c r="X1096" s="47" t="n">
        <x:v>863</x:v>
      </x:c>
      <x:c r="Y1096" s="41" t="n">
        <x:v>709</x:v>
      </x:c>
    </x:row>
    <x:row r="1097">
      <x:c r="A1097" s="38" t="str">
        <x:v>7月30日现场数据</x:v>
      </x:c>
      <x:c r="B1097" s="66" t="str">
        <x:v>2026-08-03T08:54:31.977000</x:v>
      </x:c>
      <x:c r="C1097" s="47" t="n">
        <x:v>300988</x:v>
      </x:c>
      <x:c r="D1097" s="47" t="str"/>
      <x:c r="E1097" s="47" t="str"/>
      <x:c r="F1097" s="47" t="str">
        <x:v>current</x:v>
      </x:c>
      <x:c r="G1097" s="47" t="n">
        <x:v>1093</x:v>
      </x:c>
      <x:c r="H1097" s="53" t="b">
        <x:v>1</x:v>
      </x:c>
      <x:c r="I1097" s="47" t="str">
        <x:v>2682537910</x:v>
      </x:c>
      <x:c r="J1097" s="47" t="n">
        <x:v>152329314</x:v>
      </x:c>
      <x:c r="K1097" s="53" t="b">
        <x:v>1</x:v>
      </x:c>
      <x:c r="L1097" s="53" t="b">
        <x:v>1</x:v>
      </x:c>
      <x:c r="M1097" s="53" t="b">
        <x:v>1</x:v>
      </x:c>
      <x:c r="N1097" s="53" t="b">
        <x:v>1</x:v>
      </x:c>
      <x:c r="O1097" s="53" t="b">
        <x:v>1</x:v>
      </x:c>
      <x:c r="P1097" s="47" t="n">
        <x:v>1012</x:v>
      </x:c>
      <x:c r="Q1097" s="47" t="n">
        <x:v>0</x:v>
      </x:c>
      <x:c r="R1097" s="47" t="n">
        <x:v>0</x:v>
      </x:c>
      <x:c r="S1097" s="47" t="n">
        <x:v>43.7</x:v>
      </x:c>
      <x:c r="T1097" s="47" t="n">
        <x:v>72.14</x:v>
      </x:c>
      <x:c r="U1097" s="47" t="n">
        <x:v>30.3</x:v>
      </x:c>
      <x:c r="V1097" s="47" t="n">
        <x:v>14.7</x:v>
      </x:c>
      <x:c r="W1097" s="47" t="n">
        <x:v>171</x:v>
      </x:c>
      <x:c r="X1097" s="47" t="n">
        <x:v>902</x:v>
      </x:c>
      <x:c r="Y1097" s="41" t="n">
        <x:v>731</x:v>
      </x:c>
    </x:row>
    <x:row r="1098">
      <x:c r="A1098" s="38" t="str">
        <x:v>7月30日现场数据</x:v>
      </x:c>
      <x:c r="B1098" s="66" t="str">
        <x:v>2026-08-03T08:59:32.998000</x:v>
      </x:c>
      <x:c r="C1098" s="47" t="n">
        <x:v>301021</x:v>
      </x:c>
      <x:c r="D1098" s="47" t="str"/>
      <x:c r="E1098" s="47" t="str"/>
      <x:c r="F1098" s="47" t="str">
        <x:v>current</x:v>
      </x:c>
      <x:c r="G1098" s="47" t="n">
        <x:v>1094</x:v>
      </x:c>
      <x:c r="H1098" s="53" t="b">
        <x:v>1</x:v>
      </x:c>
      <x:c r="I1098" s="47" t="str">
        <x:v>2682537910</x:v>
      </x:c>
      <x:c r="J1098" s="47" t="n">
        <x:v>152630335</x:v>
      </x:c>
      <x:c r="K1098" s="53" t="b">
        <x:v>1</x:v>
      </x:c>
      <x:c r="L1098" s="53" t="b">
        <x:v>1</x:v>
      </x:c>
      <x:c r="M1098" s="53" t="b">
        <x:v>1</x:v>
      </x:c>
      <x:c r="N1098" s="53" t="b">
        <x:v>1</x:v>
      </x:c>
      <x:c r="O1098" s="53" t="b">
        <x:v>1</x:v>
      </x:c>
      <x:c r="P1098" s="47" t="n">
        <x:v>1012</x:v>
      </x:c>
      <x:c r="Q1098" s="47" t="n">
        <x:v>0</x:v>
      </x:c>
      <x:c r="R1098" s="47" t="n">
        <x:v>0</x:v>
      </x:c>
      <x:c r="S1098" s="47" t="n">
        <x:v>44.34</x:v>
      </x:c>
      <x:c r="T1098" s="47" t="n">
        <x:v>72.01</x:v>
      </x:c>
      <x:c r="U1098" s="47" t="n">
        <x:v>30.5</x:v>
      </x:c>
      <x:c r="V1098" s="47" t="n">
        <x:v>14.7</x:v>
      </x:c>
      <x:c r="W1098" s="47" t="n">
        <x:v>180</x:v>
      </x:c>
      <x:c r="X1098" s="47" t="n">
        <x:v>910</x:v>
      </x:c>
      <x:c r="Y1098" s="41" t="n">
        <x:v>730</x:v>
      </x:c>
    </x:row>
    <x:row r="1099">
      <x:c r="A1099" s="38" t="str">
        <x:v>7月30日现场数据</x:v>
      </x:c>
      <x:c r="B1099" s="66" t="str">
        <x:v>2026-08-03T09:04:33.962000</x:v>
      </x:c>
      <x:c r="C1099" s="47" t="n">
        <x:v>300964</x:v>
      </x:c>
      <x:c r="D1099" s="47" t="str"/>
      <x:c r="E1099" s="47" t="str"/>
      <x:c r="F1099" s="47" t="str">
        <x:v>current</x:v>
      </x:c>
      <x:c r="G1099" s="47" t="n">
        <x:v>1095</x:v>
      </x:c>
      <x:c r="H1099" s="53" t="b">
        <x:v>1</x:v>
      </x:c>
      <x:c r="I1099" s="47" t="str">
        <x:v>2682537910</x:v>
      </x:c>
      <x:c r="J1099" s="47" t="n">
        <x:v>152931299</x:v>
      </x:c>
      <x:c r="K1099" s="53" t="b">
        <x:v>1</x:v>
      </x:c>
      <x:c r="L1099" s="53" t="b">
        <x:v>1</x:v>
      </x:c>
      <x:c r="M1099" s="53" t="b">
        <x:v>1</x:v>
      </x:c>
      <x:c r="N1099" s="53" t="b">
        <x:v>1</x:v>
      </x:c>
      <x:c r="O1099" s="53" t="b">
        <x:v>1</x:v>
      </x:c>
      <x:c r="P1099" s="47" t="n">
        <x:v>1011</x:v>
      </x:c>
      <x:c r="Q1099" s="47" t="n">
        <x:v>0.07</x:v>
      </x:c>
      <x:c r="R1099" s="47" t="n">
        <x:v>1.879</x:v>
      </x:c>
      <x:c r="S1099" s="47" t="n">
        <x:v>44.03</x:v>
      </x:c>
      <x:c r="T1099" s="47" t="n">
        <x:v>71.64</x:v>
      </x:c>
      <x:c r="U1099" s="47" t="n">
        <x:v>30.6</x:v>
      </x:c>
      <x:c r="V1099" s="47" t="n">
        <x:v>14.7</x:v>
      </x:c>
      <x:c r="W1099" s="47" t="n">
        <x:v>187</x:v>
      </x:c>
      <x:c r="X1099" s="47" t="n">
        <x:v>927</x:v>
      </x:c>
      <x:c r="Y1099" s="41" t="n">
        <x:v>740</x:v>
      </x:c>
    </x:row>
    <x:row r="1100">
      <x:c r="A1100" s="38" t="str">
        <x:v>7月30日现场数据</x:v>
      </x:c>
      <x:c r="B1100" s="66" t="str">
        <x:v>2026-08-03T09:09:34.926000</x:v>
      </x:c>
      <x:c r="C1100" s="47" t="n">
        <x:v>300964</x:v>
      </x:c>
      <x:c r="D1100" s="47" t="str"/>
      <x:c r="E1100" s="47" t="str"/>
      <x:c r="F1100" s="47" t="str">
        <x:v>current</x:v>
      </x:c>
      <x:c r="G1100" s="47" t="n">
        <x:v>1096</x:v>
      </x:c>
      <x:c r="H1100" s="53" t="b">
        <x:v>1</x:v>
      </x:c>
      <x:c r="I1100" s="47" t="str">
        <x:v>2682537910</x:v>
      </x:c>
      <x:c r="J1100" s="47" t="n">
        <x:v>153232263</x:v>
      </x:c>
      <x:c r="K1100" s="53" t="b">
        <x:v>1</x:v>
      </x:c>
      <x:c r="L1100" s="53" t="b">
        <x:v>1</x:v>
      </x:c>
      <x:c r="M1100" s="53" t="b">
        <x:v>1</x:v>
      </x:c>
      <x:c r="N1100" s="53" t="b">
        <x:v>1</x:v>
      </x:c>
      <x:c r="O1100" s="53" t="b">
        <x:v>1</x:v>
      </x:c>
      <x:c r="P1100" s="47" t="n">
        <x:v>1011</x:v>
      </x:c>
      <x:c r="Q1100" s="47" t="n">
        <x:v>0</x:v>
      </x:c>
      <x:c r="R1100" s="47" t="n">
        <x:v>0</x:v>
      </x:c>
      <x:c r="S1100" s="47" t="n">
        <x:v>43.49</x:v>
      </x:c>
      <x:c r="T1100" s="47" t="n">
        <x:v>71.03</x:v>
      </x:c>
      <x:c r="U1100" s="47" t="n">
        <x:v>30.7</x:v>
      </x:c>
      <x:c r="V1100" s="47" t="n">
        <x:v>14.7</x:v>
      </x:c>
      <x:c r="W1100" s="47" t="n">
        <x:v>186</x:v>
      </x:c>
      <x:c r="X1100" s="47" t="n">
        <x:v>929</x:v>
      </x:c>
      <x:c r="Y1100" s="41" t="n">
        <x:v>743</x:v>
      </x:c>
    </x:row>
    <x:row r="1101">
      <x:c r="A1101" s="38" t="str">
        <x:v>7月30日现场数据</x:v>
      </x:c>
      <x:c r="B1101" s="66" t="str">
        <x:v>2026-08-03T09:14:35.895000</x:v>
      </x:c>
      <x:c r="C1101" s="47" t="n">
        <x:v>300969</x:v>
      </x:c>
      <x:c r="D1101" s="47" t="str"/>
      <x:c r="E1101" s="47" t="str"/>
      <x:c r="F1101" s="47" t="str">
        <x:v>current</x:v>
      </x:c>
      <x:c r="G1101" s="47" t="n">
        <x:v>1097</x:v>
      </x:c>
      <x:c r="H1101" s="53" t="b">
        <x:v>1</x:v>
      </x:c>
      <x:c r="I1101" s="47" t="str">
        <x:v>2682537910</x:v>
      </x:c>
      <x:c r="J1101" s="47" t="n">
        <x:v>153533232</x:v>
      </x:c>
      <x:c r="K1101" s="53" t="b">
        <x:v>1</x:v>
      </x:c>
      <x:c r="L1101" s="53" t="b">
        <x:v>1</x:v>
      </x:c>
      <x:c r="M1101" s="53" t="b">
        <x:v>1</x:v>
      </x:c>
      <x:c r="N1101" s="53" t="b">
        <x:v>1</x:v>
      </x:c>
      <x:c r="O1101" s="53" t="b">
        <x:v>1</x:v>
      </x:c>
      <x:c r="P1101" s="47" t="n">
        <x:v>1012</x:v>
      </x:c>
      <x:c r="Q1101" s="47" t="n">
        <x:v>0</x:v>
      </x:c>
      <x:c r="R1101" s="47" t="n">
        <x:v>0</x:v>
      </x:c>
      <x:c r="S1101" s="47" t="n">
        <x:v>44.72</x:v>
      </x:c>
      <x:c r="T1101" s="47" t="n">
        <x:v>70.56</x:v>
      </x:c>
      <x:c r="U1101" s="47" t="n">
        <x:v>30.8</x:v>
      </x:c>
      <x:c r="V1101" s="47" t="n">
        <x:v>14.6</x:v>
      </x:c>
      <x:c r="W1101" s="47" t="n">
        <x:v>187</x:v>
      </x:c>
      <x:c r="X1101" s="47" t="n">
        <x:v>937</x:v>
      </x:c>
      <x:c r="Y1101" s="41" t="n">
        <x:v>750</x:v>
      </x:c>
    </x:row>
    <x:row r="1102">
      <x:c r="A1102" s="38" t="str">
        <x:v>7月30日现场数据</x:v>
      </x:c>
      <x:c r="B1102" s="66" t="str">
        <x:v>2026-08-03T09:19:36.865000</x:v>
      </x:c>
      <x:c r="C1102" s="47" t="n">
        <x:v>300970</x:v>
      </x:c>
      <x:c r="D1102" s="47" t="str"/>
      <x:c r="E1102" s="47" t="str"/>
      <x:c r="F1102" s="47" t="str">
        <x:v>current</x:v>
      </x:c>
      <x:c r="G1102" s="47" t="n">
        <x:v>1098</x:v>
      </x:c>
      <x:c r="H1102" s="53" t="b">
        <x:v>1</x:v>
      </x:c>
      <x:c r="I1102" s="47" t="str">
        <x:v>2682537910</x:v>
      </x:c>
      <x:c r="J1102" s="47" t="n">
        <x:v>153834202</x:v>
      </x:c>
      <x:c r="K1102" s="53" t="b">
        <x:v>1</x:v>
      </x:c>
      <x:c r="L1102" s="53" t="b">
        <x:v>1</x:v>
      </x:c>
      <x:c r="M1102" s="53" t="b">
        <x:v>1</x:v>
      </x:c>
      <x:c r="N1102" s="53" t="b">
        <x:v>1</x:v>
      </x:c>
      <x:c r="O1102" s="53" t="b">
        <x:v>1</x:v>
      </x:c>
      <x:c r="P1102" s="47" t="n">
        <x:v>1012</x:v>
      </x:c>
      <x:c r="Q1102" s="47" t="n">
        <x:v>0</x:v>
      </x:c>
      <x:c r="R1102" s="47" t="n">
        <x:v>0</x:v>
      </x:c>
      <x:c r="S1102" s="47" t="n">
        <x:v>46.48</x:v>
      </x:c>
      <x:c r="T1102" s="47" t="n">
        <x:v>70.28</x:v>
      </x:c>
      <x:c r="U1102" s="47" t="n">
        <x:v>31</x:v>
      </x:c>
      <x:c r="V1102" s="47" t="n">
        <x:v>14.7</x:v>
      </x:c>
      <x:c r="W1102" s="47" t="n">
        <x:v>186</x:v>
      </x:c>
      <x:c r="X1102" s="47" t="n">
        <x:v>932</x:v>
      </x:c>
      <x:c r="Y1102" s="41" t="n">
        <x:v>746</x:v>
      </x:c>
    </x:row>
    <x:row r="1103">
      <x:c r="A1103" s="38" t="str">
        <x:v>7月30日现场数据</x:v>
      </x:c>
      <x:c r="B1103" s="66" t="str">
        <x:v>2026-08-03T09:24:37.836000</x:v>
      </x:c>
      <x:c r="C1103" s="47" t="n">
        <x:v>300971</x:v>
      </x:c>
      <x:c r="D1103" s="47" t="str"/>
      <x:c r="E1103" s="47" t="str"/>
      <x:c r="F1103" s="47" t="str">
        <x:v>current</x:v>
      </x:c>
      <x:c r="G1103" s="47" t="n">
        <x:v>1099</x:v>
      </x:c>
      <x:c r="H1103" s="53" t="b">
        <x:v>1</x:v>
      </x:c>
      <x:c r="I1103" s="47" t="str">
        <x:v>2682537910</x:v>
      </x:c>
      <x:c r="J1103" s="47" t="n">
        <x:v>154135173</x:v>
      </x:c>
      <x:c r="K1103" s="53" t="b">
        <x:v>1</x:v>
      </x:c>
      <x:c r="L1103" s="53" t="b">
        <x:v>1</x:v>
      </x:c>
      <x:c r="M1103" s="53" t="b">
        <x:v>1</x:v>
      </x:c>
      <x:c r="N1103" s="53" t="b">
        <x:v>1</x:v>
      </x:c>
      <x:c r="O1103" s="53" t="b">
        <x:v>1</x:v>
      </x:c>
      <x:c r="P1103" s="47" t="n">
        <x:v>1012</x:v>
      </x:c>
      <x:c r="Q1103" s="47" t="n">
        <x:v>0</x:v>
      </x:c>
      <x:c r="R1103" s="47" t="n">
        <x:v>0</x:v>
      </x:c>
      <x:c r="S1103" s="47" t="n">
        <x:v>46.85</x:v>
      </x:c>
      <x:c r="T1103" s="47" t="n">
        <x:v>69.8</x:v>
      </x:c>
      <x:c r="U1103" s="47" t="n">
        <x:v>31.1</x:v>
      </x:c>
      <x:c r="V1103" s="47" t="n">
        <x:v>14.6</x:v>
      </x:c>
      <x:c r="W1103" s="47" t="n">
        <x:v>189</x:v>
      </x:c>
      <x:c r="X1103" s="47" t="n">
        <x:v>953</x:v>
      </x:c>
      <x:c r="Y1103" s="41" t="n">
        <x:v>764</x:v>
      </x:c>
    </x:row>
    <x:row r="1104">
      <x:c r="A1104" s="38" t="str">
        <x:v>7月30日现场数据</x:v>
      </x:c>
      <x:c r="B1104" s="66" t="str">
        <x:v>2026-08-03T09:29:38.808000</x:v>
      </x:c>
      <x:c r="C1104" s="47" t="n">
        <x:v>300972</x:v>
      </x:c>
      <x:c r="D1104" s="47" t="str"/>
      <x:c r="E1104" s="47" t="str"/>
      <x:c r="F1104" s="47" t="str">
        <x:v>current</x:v>
      </x:c>
      <x:c r="G1104" s="47" t="n">
        <x:v>1100</x:v>
      </x:c>
      <x:c r="H1104" s="53" t="b">
        <x:v>1</x:v>
      </x:c>
      <x:c r="I1104" s="47" t="str">
        <x:v>2682537910</x:v>
      </x:c>
      <x:c r="J1104" s="47" t="n">
        <x:v>154436145</x:v>
      </x:c>
      <x:c r="K1104" s="53" t="b">
        <x:v>1</x:v>
      </x:c>
      <x:c r="L1104" s="53" t="b">
        <x:v>1</x:v>
      </x:c>
      <x:c r="M1104" s="53" t="b">
        <x:v>1</x:v>
      </x:c>
      <x:c r="N1104" s="53" t="b">
        <x:v>1</x:v>
      </x:c>
      <x:c r="O1104" s="53" t="b">
        <x:v>1</x:v>
      </x:c>
      <x:c r="P1104" s="47" t="n">
        <x:v>1012</x:v>
      </x:c>
      <x:c r="Q1104" s="47" t="n">
        <x:v>0</x:v>
      </x:c>
      <x:c r="R1104" s="47" t="n">
        <x:v>0</x:v>
      </x:c>
      <x:c r="S1104" s="47" t="n">
        <x:v>47.02</x:v>
      </x:c>
      <x:c r="T1104" s="47" t="n">
        <x:v>69.23</x:v>
      </x:c>
      <x:c r="U1104" s="47" t="n">
        <x:v>31.2</x:v>
      </x:c>
      <x:c r="V1104" s="47" t="n">
        <x:v>14.7</x:v>
      </x:c>
      <x:c r="W1104" s="47" t="n">
        <x:v>186</x:v>
      </x:c>
      <x:c r="X1104" s="47" t="n">
        <x:v>952</x:v>
      </x:c>
      <x:c r="Y1104" s="41" t="n">
        <x:v>766</x:v>
      </x:c>
    </x:row>
    <x:row r="1105">
      <x:c r="A1105" s="38" t="str">
        <x:v>7月30日现场数据</x:v>
      </x:c>
      <x:c r="B1105" s="66" t="str">
        <x:v>2026-08-03T09:34:39.785000</x:v>
      </x:c>
      <x:c r="C1105" s="47" t="n">
        <x:v>300977</x:v>
      </x:c>
      <x:c r="D1105" s="47" t="str"/>
      <x:c r="E1105" s="47" t="str"/>
      <x:c r="F1105" s="47" t="str">
        <x:v>current</x:v>
      </x:c>
      <x:c r="G1105" s="47" t="n">
        <x:v>1101</x:v>
      </x:c>
      <x:c r="H1105" s="53" t="b">
        <x:v>1</x:v>
      </x:c>
      <x:c r="I1105" s="47" t="str">
        <x:v>2682537910</x:v>
      </x:c>
      <x:c r="J1105" s="47" t="n">
        <x:v>154737122</x:v>
      </x:c>
      <x:c r="K1105" s="53" t="b">
        <x:v>1</x:v>
      </x:c>
      <x:c r="L1105" s="53" t="b">
        <x:v>1</x:v>
      </x:c>
      <x:c r="M1105" s="53" t="b">
        <x:v>1</x:v>
      </x:c>
      <x:c r="N1105" s="53" t="b">
        <x:v>1</x:v>
      </x:c>
      <x:c r="O1105" s="53" t="b">
        <x:v>1</x:v>
      </x:c>
      <x:c r="P1105" s="47" t="n">
        <x:v>1011</x:v>
      </x:c>
      <x:c r="Q1105" s="47" t="n">
        <x:v>0.084</x:v>
      </x:c>
      <x:c r="R1105" s="47" t="n">
        <x:v>2.275</x:v>
      </x:c>
      <x:c r="S1105" s="47" t="n">
        <x:v>46.57</x:v>
      </x:c>
      <x:c r="T1105" s="47" t="n">
        <x:v>68.66</x:v>
      </x:c>
      <x:c r="U1105" s="47" t="n">
        <x:v>31.3</x:v>
      </x:c>
      <x:c r="V1105" s="47" t="n">
        <x:v>14.6</x:v>
      </x:c>
      <x:c r="W1105" s="47" t="n">
        <x:v>181</x:v>
      </x:c>
      <x:c r="X1105" s="47" t="n">
        <x:v>934</x:v>
      </x:c>
      <x:c r="Y1105" s="41" t="n">
        <x:v>753</x:v>
      </x:c>
    </x:row>
    <x:row r="1106">
      <x:c r="A1106" s="38" t="str">
        <x:v>7月30日现场数据</x:v>
      </x:c>
      <x:c r="B1106" s="66" t="str">
        <x:v>2026-08-03T09:39:40.761000</x:v>
      </x:c>
      <x:c r="C1106" s="47" t="n">
        <x:v>300976</x:v>
      </x:c>
      <x:c r="D1106" s="47" t="str"/>
      <x:c r="E1106" s="47" t="str"/>
      <x:c r="F1106" s="47" t="str">
        <x:v>current</x:v>
      </x:c>
      <x:c r="G1106" s="47" t="n">
        <x:v>1102</x:v>
      </x:c>
      <x:c r="H1106" s="53" t="b">
        <x:v>1</x:v>
      </x:c>
      <x:c r="I1106" s="47" t="str">
        <x:v>2682537910</x:v>
      </x:c>
      <x:c r="J1106" s="47" t="n">
        <x:v>155038098</x:v>
      </x:c>
      <x:c r="K1106" s="53" t="b">
        <x:v>1</x:v>
      </x:c>
      <x:c r="L1106" s="53" t="b">
        <x:v>1</x:v>
      </x:c>
      <x:c r="M1106" s="53" t="b">
        <x:v>1</x:v>
      </x:c>
      <x:c r="N1106" s="53" t="b">
        <x:v>1</x:v>
      </x:c>
      <x:c r="O1106" s="53" t="b">
        <x:v>1</x:v>
      </x:c>
      <x:c r="P1106" s="47" t="n">
        <x:v>1011</x:v>
      </x:c>
      <x:c r="Q1106" s="47" t="n">
        <x:v>0</x:v>
      </x:c>
      <x:c r="R1106" s="47" t="n">
        <x:v>0</x:v>
      </x:c>
      <x:c r="S1106" s="47" t="n">
        <x:v>45.52</x:v>
      </x:c>
      <x:c r="T1106" s="47" t="n">
        <x:v>67.91</x:v>
      </x:c>
      <x:c r="U1106" s="47" t="n">
        <x:v>31.4</x:v>
      </x:c>
      <x:c r="V1106" s="47" t="n">
        <x:v>14.5</x:v>
      </x:c>
      <x:c r="W1106" s="47" t="n">
        <x:v>184</x:v>
      </x:c>
      <x:c r="X1106" s="47" t="n">
        <x:v>963</x:v>
      </x:c>
      <x:c r="Y1106" s="41" t="n">
        <x:v>779</x:v>
      </x:c>
    </x:row>
    <x:row r="1107">
      <x:c r="A1107" s="38" t="str">
        <x:v>7月30日现场数据</x:v>
      </x:c>
      <x:c r="B1107" s="66" t="str">
        <x:v>2026-08-03T09:44:41.742000</x:v>
      </x:c>
      <x:c r="C1107" s="47" t="n">
        <x:v>300981</x:v>
      </x:c>
      <x:c r="D1107" s="47" t="str"/>
      <x:c r="E1107" s="47" t="str"/>
      <x:c r="F1107" s="47" t="str">
        <x:v>current</x:v>
      </x:c>
      <x:c r="G1107" s="47" t="n">
        <x:v>1103</x:v>
      </x:c>
      <x:c r="H1107" s="53" t="b">
        <x:v>1</x:v>
      </x:c>
      <x:c r="I1107" s="47" t="str">
        <x:v>2682537910</x:v>
      </x:c>
      <x:c r="J1107" s="47" t="n">
        <x:v>155339079</x:v>
      </x:c>
      <x:c r="K1107" s="53" t="b">
        <x:v>1</x:v>
      </x:c>
      <x:c r="L1107" s="53" t="b">
        <x:v>1</x:v>
      </x:c>
      <x:c r="M1107" s="53" t="b">
        <x:v>1</x:v>
      </x:c>
      <x:c r="N1107" s="53" t="b">
        <x:v>1</x:v>
      </x:c>
      <x:c r="O1107" s="53" t="b">
        <x:v>1</x:v>
      </x:c>
      <x:c r="P1107" s="47" t="n">
        <x:v>1011</x:v>
      </x:c>
      <x:c r="Q1107" s="47" t="n">
        <x:v>0</x:v>
      </x:c>
      <x:c r="R1107" s="47" t="n">
        <x:v>0</x:v>
      </x:c>
      <x:c r="S1107" s="47" t="n">
        <x:v>45.36</x:v>
      </x:c>
      <x:c r="T1107" s="47" t="n">
        <x:v>67.22</x:v>
      </x:c>
      <x:c r="U1107" s="47" t="n">
        <x:v>31.4</x:v>
      </x:c>
      <x:c r="V1107" s="47" t="n">
        <x:v>14.5</x:v>
      </x:c>
      <x:c r="W1107" s="47" t="n">
        <x:v>180</x:v>
      </x:c>
      <x:c r="X1107" s="47" t="n">
        <x:v>957</x:v>
      </x:c>
      <x:c r="Y1107" s="41" t="n">
        <x:v>777</x:v>
      </x:c>
    </x:row>
    <x:row r="1108">
      <x:c r="A1108" s="38" t="str">
        <x:v>7月30日现场数据</x:v>
      </x:c>
      <x:c r="B1108" s="66" t="str">
        <x:v>2026-08-03T09:49:42.723000</x:v>
      </x:c>
      <x:c r="C1108" s="47" t="n">
        <x:v>300981</x:v>
      </x:c>
      <x:c r="D1108" s="47" t="str"/>
      <x:c r="E1108" s="47" t="str"/>
      <x:c r="F1108" s="47" t="str">
        <x:v>current</x:v>
      </x:c>
      <x:c r="G1108" s="47" t="n">
        <x:v>1104</x:v>
      </x:c>
      <x:c r="H1108" s="53" t="b">
        <x:v>1</x:v>
      </x:c>
      <x:c r="I1108" s="47" t="str">
        <x:v>2682537910</x:v>
      </x:c>
      <x:c r="J1108" s="47" t="n">
        <x:v>155640060</x:v>
      </x:c>
      <x:c r="K1108" s="53" t="b">
        <x:v>1</x:v>
      </x:c>
      <x:c r="L1108" s="53" t="b">
        <x:v>1</x:v>
      </x:c>
      <x:c r="M1108" s="53" t="b">
        <x:v>1</x:v>
      </x:c>
      <x:c r="N1108" s="53" t="b">
        <x:v>1</x:v>
      </x:c>
      <x:c r="O1108" s="53" t="b">
        <x:v>1</x:v>
      </x:c>
      <x:c r="P1108" s="47" t="n">
        <x:v>1011</x:v>
      </x:c>
      <x:c r="Q1108" s="47" t="n">
        <x:v>0.078</x:v>
      </x:c>
      <x:c r="R1108" s="47" t="n">
        <x:v>2.11</x:v>
      </x:c>
      <x:c r="S1108" s="47" t="n">
        <x:v>46.52</x:v>
      </x:c>
      <x:c r="T1108" s="47" t="n">
        <x:v>66.86</x:v>
      </x:c>
      <x:c r="U1108" s="47" t="n">
        <x:v>31.5</x:v>
      </x:c>
      <x:c r="V1108" s="47" t="n">
        <x:v>14.5</x:v>
      </x:c>
      <x:c r="W1108" s="47" t="n">
        <x:v>175</x:v>
      </x:c>
      <x:c r="X1108" s="47" t="n">
        <x:v>941</x:v>
      </x:c>
      <x:c r="Y1108" s="41" t="n">
        <x:v>766</x:v>
      </x:c>
    </x:row>
    <x:row r="1109">
      <x:c r="A1109" s="38" t="str">
        <x:v>7月30日现场数据</x:v>
      </x:c>
      <x:c r="B1109" s="66" t="str">
        <x:v>2026-08-03T09:54:43.705000</x:v>
      </x:c>
      <x:c r="C1109" s="47" t="n">
        <x:v>300982</x:v>
      </x:c>
      <x:c r="D1109" s="47" t="str"/>
      <x:c r="E1109" s="47" t="str"/>
      <x:c r="F1109" s="47" t="str">
        <x:v>current</x:v>
      </x:c>
      <x:c r="G1109" s="47" t="n">
        <x:v>1105</x:v>
      </x:c>
      <x:c r="H1109" s="53" t="b">
        <x:v>1</x:v>
      </x:c>
      <x:c r="I1109" s="47" t="str">
        <x:v>2682537910</x:v>
      </x:c>
      <x:c r="J1109" s="47" t="n">
        <x:v>155941042</x:v>
      </x:c>
      <x:c r="K1109" s="53" t="b">
        <x:v>1</x:v>
      </x:c>
      <x:c r="L1109" s="53" t="b">
        <x:v>1</x:v>
      </x:c>
      <x:c r="M1109" s="53" t="b">
        <x:v>1</x:v>
      </x:c>
      <x:c r="N1109" s="53" t="b">
        <x:v>1</x:v>
      </x:c>
      <x:c r="O1109" s="53" t="b">
        <x:v>1</x:v>
      </x:c>
      <x:c r="P1109" s="47" t="n">
        <x:v>1011</x:v>
      </x:c>
      <x:c r="Q1109" s="47" t="n">
        <x:v>0.01</x:v>
      </x:c>
      <x:c r="R1109" s="47" t="n">
        <x:v>0.264</x:v>
      </x:c>
      <x:c r="S1109" s="47" t="n">
        <x:v>44.99</x:v>
      </x:c>
      <x:c r="T1109" s="47" t="n">
        <x:v>66.3</x:v>
      </x:c>
      <x:c r="U1109" s="47" t="n">
        <x:v>31.5</x:v>
      </x:c>
      <x:c r="V1109" s="47" t="n">
        <x:v>14.5</x:v>
      </x:c>
      <x:c r="W1109" s="47" t="n">
        <x:v>175</x:v>
      </x:c>
      <x:c r="X1109" s="47" t="n">
        <x:v>978</x:v>
      </x:c>
      <x:c r="Y1109" s="41" t="n">
        <x:v>803</x:v>
      </x:c>
    </x:row>
    <x:row r="1110">
      <x:c r="A1110" s="38" t="str">
        <x:v>7月30日现场数据</x:v>
      </x:c>
      <x:c r="B1110" s="66" t="str">
        <x:v>2026-08-03T09:59:44.688000</x:v>
      </x:c>
      <x:c r="C1110" s="47" t="n">
        <x:v>300983</x:v>
      </x:c>
      <x:c r="D1110" s="47" t="str"/>
      <x:c r="E1110" s="47" t="str"/>
      <x:c r="F1110" s="47" t="str">
        <x:v>current</x:v>
      </x:c>
      <x:c r="G1110" s="47" t="n">
        <x:v>1106</x:v>
      </x:c>
      <x:c r="H1110" s="53" t="b">
        <x:v>1</x:v>
      </x:c>
      <x:c r="I1110" s="47" t="str">
        <x:v>2682537910</x:v>
      </x:c>
      <x:c r="J1110" s="47" t="n">
        <x:v>156242025</x:v>
      </x:c>
      <x:c r="K1110" s="53" t="b">
        <x:v>1</x:v>
      </x:c>
      <x:c r="L1110" s="53" t="b">
        <x:v>1</x:v>
      </x:c>
      <x:c r="M1110" s="53" t="b">
        <x:v>1</x:v>
      </x:c>
      <x:c r="N1110" s="53" t="b">
        <x:v>1</x:v>
      </x:c>
      <x:c r="O1110" s="53" t="b">
        <x:v>1</x:v>
      </x:c>
      <x:c r="P1110" s="47" t="n">
        <x:v>1011</x:v>
      </x:c>
      <x:c r="Q1110" s="47" t="n">
        <x:v>0</x:v>
      </x:c>
      <x:c r="R1110" s="47" t="n">
        <x:v>0</x:v>
      </x:c>
      <x:c r="S1110" s="47" t="n">
        <x:v>46.07</x:v>
      </x:c>
      <x:c r="T1110" s="47" t="n">
        <x:v>65.85</x:v>
      </x:c>
      <x:c r="U1110" s="47" t="n">
        <x:v>31.6</x:v>
      </x:c>
      <x:c r="V1110" s="47" t="n">
        <x:v>14.5</x:v>
      </x:c>
      <x:c r="W1110" s="47" t="n">
        <x:v>164</x:v>
      </x:c>
      <x:c r="X1110" s="47" t="n">
        <x:v>286</x:v>
      </x:c>
      <x:c r="Y1110" s="41" t="n">
        <x:v>122</x:v>
      </x:c>
    </x:row>
    <x:row r="1111">
      <x:c r="A1111" s="38" t="str">
        <x:v>7月30日现场数据</x:v>
      </x:c>
      <x:c r="B1111" s="66" t="str">
        <x:v>2026-08-03T10:04:45.674000</x:v>
      </x:c>
      <x:c r="C1111" s="47" t="n">
        <x:v>300986</x:v>
      </x:c>
      <x:c r="D1111" s="47" t="str"/>
      <x:c r="E1111" s="47" t="str"/>
      <x:c r="F1111" s="47" t="str">
        <x:v>current</x:v>
      </x:c>
      <x:c r="G1111" s="47" t="n">
        <x:v>1107</x:v>
      </x:c>
      <x:c r="H1111" s="53" t="b">
        <x:v>1</x:v>
      </x:c>
      <x:c r="I1111" s="47" t="str">
        <x:v>2682537910</x:v>
      </x:c>
      <x:c r="J1111" s="47" t="n">
        <x:v>156543011</x:v>
      </x:c>
      <x:c r="K1111" s="53" t="b">
        <x:v>1</x:v>
      </x:c>
      <x:c r="L1111" s="53" t="b">
        <x:v>1</x:v>
      </x:c>
      <x:c r="M1111" s="53" t="b">
        <x:v>1</x:v>
      </x:c>
      <x:c r="N1111" s="53" t="b">
        <x:v>1</x:v>
      </x:c>
      <x:c r="O1111" s="53" t="b">
        <x:v>1</x:v>
      </x:c>
      <x:c r="P1111" s="47" t="n">
        <x:v>1012</x:v>
      </x:c>
      <x:c r="Q1111" s="47" t="n">
        <x:v>0</x:v>
      </x:c>
      <x:c r="R1111" s="47" t="n">
        <x:v>0</x:v>
      </x:c>
      <x:c r="S1111" s="47" t="n">
        <x:v>47.27</x:v>
      </x:c>
      <x:c r="T1111" s="47" t="n">
        <x:v>65.49</x:v>
      </x:c>
      <x:c r="U1111" s="47" t="n">
        <x:v>31.8</x:v>
      </x:c>
      <x:c r="V1111" s="47" t="n">
        <x:v>14.5</x:v>
      </x:c>
      <x:c r="W1111" s="47" t="n">
        <x:v>169</x:v>
      </x:c>
      <x:c r="X1111" s="47" t="n">
        <x:v>165</x:v>
      </x:c>
      <x:c r="Y1111" s="41" t="n">
        <x:v>0</x:v>
      </x:c>
    </x:row>
    <x:row r="1112">
      <x:c r="A1112" s="38" t="str">
        <x:v>7月30日现场数据</x:v>
      </x:c>
      <x:c r="B1112" s="66" t="str">
        <x:v>2026-08-03T10:09:46.662000</x:v>
      </x:c>
      <x:c r="C1112" s="47" t="n">
        <x:v>300988</x:v>
      </x:c>
      <x:c r="D1112" s="47" t="str"/>
      <x:c r="E1112" s="47" t="str"/>
      <x:c r="F1112" s="47" t="str">
        <x:v>current</x:v>
      </x:c>
      <x:c r="G1112" s="47" t="n">
        <x:v>1108</x:v>
      </x:c>
      <x:c r="H1112" s="53" t="b">
        <x:v>1</x:v>
      </x:c>
      <x:c r="I1112" s="47" t="str">
        <x:v>2682537910</x:v>
      </x:c>
      <x:c r="J1112" s="47" t="n">
        <x:v>156843999</x:v>
      </x:c>
      <x:c r="K1112" s="53" t="b">
        <x:v>1</x:v>
      </x:c>
      <x:c r="L1112" s="53" t="b">
        <x:v>1</x:v>
      </x:c>
      <x:c r="M1112" s="53" t="b">
        <x:v>1</x:v>
      </x:c>
      <x:c r="N1112" s="53" t="b">
        <x:v>1</x:v>
      </x:c>
      <x:c r="O1112" s="53" t="b">
        <x:v>1</x:v>
      </x:c>
      <x:c r="P1112" s="47" t="n">
        <x:v>1011</x:v>
      </x:c>
      <x:c r="Q1112" s="47" t="n">
        <x:v>0.17</x:v>
      </x:c>
      <x:c r="R1112" s="47" t="n">
        <x:v>4.582</x:v>
      </x:c>
      <x:c r="S1112" s="47" t="n">
        <x:v>45.87</x:v>
      </x:c>
      <x:c r="T1112" s="47" t="n">
        <x:v>65.08</x:v>
      </x:c>
      <x:c r="U1112" s="47" t="n">
        <x:v>31.8</x:v>
      </x:c>
      <x:c r="V1112" s="47" t="n">
        <x:v>14.5</x:v>
      </x:c>
      <x:c r="W1112" s="47" t="n">
        <x:v>162</x:v>
      </x:c>
      <x:c r="X1112" s="47" t="n">
        <x:v>152</x:v>
      </x:c>
      <x:c r="Y1112" s="41" t="n">
        <x:v>0</x:v>
      </x:c>
    </x:row>
    <x:row r="1113">
      <x:c r="A1113" s="38" t="str">
        <x:v>7月30日现场数据</x:v>
      </x:c>
      <x:c r="B1113" s="66" t="str">
        <x:v>2026-08-03T10:14:47.653000</x:v>
      </x:c>
      <x:c r="C1113" s="47" t="n">
        <x:v>300991</x:v>
      </x:c>
      <x:c r="D1113" s="47" t="str"/>
      <x:c r="E1113" s="47" t="str"/>
      <x:c r="F1113" s="47" t="str">
        <x:v>current</x:v>
      </x:c>
      <x:c r="G1113" s="47" t="n">
        <x:v>1109</x:v>
      </x:c>
      <x:c r="H1113" s="53" t="b">
        <x:v>1</x:v>
      </x:c>
      <x:c r="I1113" s="47" t="str">
        <x:v>2682537910</x:v>
      </x:c>
      <x:c r="J1113" s="47" t="n">
        <x:v>157144990</x:v>
      </x:c>
      <x:c r="K1113" s="53" t="b">
        <x:v>1</x:v>
      </x:c>
      <x:c r="L1113" s="53" t="b">
        <x:v>1</x:v>
      </x:c>
      <x:c r="M1113" s="53" t="b">
        <x:v>1</x:v>
      </x:c>
      <x:c r="N1113" s="53" t="b">
        <x:v>1</x:v>
      </x:c>
      <x:c r="O1113" s="53" t="b">
        <x:v>1</x:v>
      </x:c>
      <x:c r="P1113" s="47" t="n">
        <x:v>1011</x:v>
      </x:c>
      <x:c r="Q1113" s="47" t="n">
        <x:v>0</x:v>
      </x:c>
      <x:c r="R1113" s="47" t="n">
        <x:v>0</x:v>
      </x:c>
      <x:c r="S1113" s="47" t="n">
        <x:v>45.79</x:v>
      </x:c>
      <x:c r="T1113" s="47" t="n">
        <x:v>64.23</x:v>
      </x:c>
      <x:c r="U1113" s="47" t="n">
        <x:v>31.8</x:v>
      </x:c>
      <x:c r="V1113" s="47" t="n">
        <x:v>14.5</x:v>
      </x:c>
      <x:c r="W1113" s="47" t="n">
        <x:v>160</x:v>
      </x:c>
      <x:c r="X1113" s="47" t="n">
        <x:v>148</x:v>
      </x:c>
      <x:c r="Y1113" s="41" t="n">
        <x:v>0</x:v>
      </x:c>
    </x:row>
    <x:row r="1114">
      <x:c r="A1114" s="38" t="str">
        <x:v>7月30日现场数据</x:v>
      </x:c>
      <x:c r="B1114" s="66" t="str">
        <x:v>2026-08-03T10:19:48.677000</x:v>
      </x:c>
      <x:c r="C1114" s="47" t="n">
        <x:v>301024</x:v>
      </x:c>
      <x:c r="D1114" s="47" t="str"/>
      <x:c r="E1114" s="47" t="str"/>
      <x:c r="F1114" s="47" t="str">
        <x:v>current</x:v>
      </x:c>
      <x:c r="G1114" s="47" t="n">
        <x:v>1110</x:v>
      </x:c>
      <x:c r="H1114" s="53" t="b">
        <x:v>1</x:v>
      </x:c>
      <x:c r="I1114" s="47" t="str">
        <x:v>2682537910</x:v>
      </x:c>
      <x:c r="J1114" s="47" t="n">
        <x:v>157446014</x:v>
      </x:c>
      <x:c r="K1114" s="53" t="b">
        <x:v>1</x:v>
      </x:c>
      <x:c r="L1114" s="53" t="b">
        <x:v>1</x:v>
      </x:c>
      <x:c r="M1114" s="53" t="b">
        <x:v>1</x:v>
      </x:c>
      <x:c r="N1114" s="53" t="b">
        <x:v>1</x:v>
      </x:c>
      <x:c r="O1114" s="53" t="b">
        <x:v>1</x:v>
      </x:c>
      <x:c r="P1114" s="47" t="n">
        <x:v>1011</x:v>
      </x:c>
      <x:c r="Q1114" s="47" t="n">
        <x:v>0.044</x:v>
      </x:c>
      <x:c r="R1114" s="47" t="n">
        <x:v>1.187</x:v>
      </x:c>
      <x:c r="S1114" s="47" t="n">
        <x:v>45.47</x:v>
      </x:c>
      <x:c r="T1114" s="47" t="n">
        <x:v>63.88</x:v>
      </x:c>
      <x:c r="U1114" s="47" t="n">
        <x:v>31.9</x:v>
      </x:c>
      <x:c r="V1114" s="47" t="n">
        <x:v>14.4</x:v>
      </x:c>
      <x:c r="W1114" s="47" t="n">
        <x:v>153</x:v>
      </x:c>
      <x:c r="X1114" s="47" t="n">
        <x:v>142</x:v>
      </x:c>
      <x:c r="Y1114" s="41" t="n">
        <x:v>0</x:v>
      </x:c>
    </x:row>
    <x:row r="1115">
      <x:c r="A1115" s="38" t="str">
        <x:v>7月30日现场数据</x:v>
      </x:c>
      <x:c r="B1115" s="66" t="str">
        <x:v>2026-08-03T10:24:49.647000</x:v>
      </x:c>
      <x:c r="C1115" s="47" t="n">
        <x:v>300970</x:v>
      </x:c>
      <x:c r="D1115" s="47" t="str"/>
      <x:c r="E1115" s="47" t="str"/>
      <x:c r="F1115" s="47" t="str">
        <x:v>current</x:v>
      </x:c>
      <x:c r="G1115" s="47" t="n">
        <x:v>1111</x:v>
      </x:c>
      <x:c r="H1115" s="53" t="b">
        <x:v>1</x:v>
      </x:c>
      <x:c r="I1115" s="47" t="str">
        <x:v>2682537910</x:v>
      </x:c>
      <x:c r="J1115" s="47" t="n">
        <x:v>157746984</x:v>
      </x:c>
      <x:c r="K1115" s="53" t="b">
        <x:v>1</x:v>
      </x:c>
      <x:c r="L1115" s="53" t="b">
        <x:v>1</x:v>
      </x:c>
      <x:c r="M1115" s="53" t="b">
        <x:v>1</x:v>
      </x:c>
      <x:c r="N1115" s="53" t="b">
        <x:v>1</x:v>
      </x:c>
      <x:c r="O1115" s="53" t="b">
        <x:v>1</x:v>
      </x:c>
      <x:c r="P1115" s="47" t="n">
        <x:v>1011</x:v>
      </x:c>
      <x:c r="Q1115" s="47" t="n">
        <x:v>0</x:v>
      </x:c>
      <x:c r="R1115" s="47" t="n">
        <x:v>0</x:v>
      </x:c>
      <x:c r="S1115" s="47" t="n">
        <x:v>44.37</x:v>
      </x:c>
      <x:c r="T1115" s="47" t="n">
        <x:v>63.14</x:v>
      </x:c>
      <x:c r="U1115" s="47" t="n">
        <x:v>31.8</x:v>
      </x:c>
      <x:c r="V1115" s="47" t="n">
        <x:v>14.3</x:v>
      </x:c>
      <x:c r="W1115" s="47" t="n">
        <x:v>149</x:v>
      </x:c>
      <x:c r="X1115" s="47" t="n">
        <x:v>139</x:v>
      </x:c>
      <x:c r="Y1115" s="41" t="n">
        <x:v>0</x:v>
      </x:c>
    </x:row>
    <x:row r="1116">
      <x:c r="A1116" s="38" t="str">
        <x:v>7月30日现场数据</x:v>
      </x:c>
      <x:c r="B1116" s="66" t="str">
        <x:v>2026-08-03T10:29:50.617000</x:v>
      </x:c>
      <x:c r="C1116" s="47" t="n">
        <x:v>300970</x:v>
      </x:c>
      <x:c r="D1116" s="47" t="str"/>
      <x:c r="E1116" s="47" t="str"/>
      <x:c r="F1116" s="47" t="str">
        <x:v>current</x:v>
      </x:c>
      <x:c r="G1116" s="47" t="n">
        <x:v>1112</x:v>
      </x:c>
      <x:c r="H1116" s="53" t="b">
        <x:v>1</x:v>
      </x:c>
      <x:c r="I1116" s="47" t="str">
        <x:v>2682537910</x:v>
      </x:c>
      <x:c r="J1116" s="47" t="n">
        <x:v>158047954</x:v>
      </x:c>
      <x:c r="K1116" s="53" t="b">
        <x:v>1</x:v>
      </x:c>
      <x:c r="L1116" s="53" t="b">
        <x:v>1</x:v>
      </x:c>
      <x:c r="M1116" s="53" t="b">
        <x:v>1</x:v>
      </x:c>
      <x:c r="N1116" s="53" t="b">
        <x:v>1</x:v>
      </x:c>
      <x:c r="O1116" s="53" t="b">
        <x:v>1</x:v>
      </x:c>
      <x:c r="P1116" s="47" t="n">
        <x:v>1011</x:v>
      </x:c>
      <x:c r="Q1116" s="47" t="n">
        <x:v>0</x:v>
      </x:c>
      <x:c r="R1116" s="47" t="n">
        <x:v>0</x:v>
      </x:c>
      <x:c r="S1116" s="47" t="n">
        <x:v>45.5</x:v>
      </x:c>
      <x:c r="T1116" s="47" t="n">
        <x:v>62.94</x:v>
      </x:c>
      <x:c r="U1116" s="47" t="n">
        <x:v>31.9</x:v>
      </x:c>
      <x:c r="V1116" s="47" t="n">
        <x:v>14.3</x:v>
      </x:c>
      <x:c r="W1116" s="47" t="n">
        <x:v>132</x:v>
      </x:c>
      <x:c r="X1116" s="47" t="n">
        <x:v>303</x:v>
      </x:c>
      <x:c r="Y1116" s="41" t="n">
        <x:v>171</x:v>
      </x:c>
    </x:row>
    <x:row r="1117">
      <x:c r="A1117" s="38" t="str">
        <x:v>7月30日现场数据</x:v>
      </x:c>
      <x:c r="B1117" s="66" t="str">
        <x:v>2026-08-03T10:34:51.590000</x:v>
      </x:c>
      <x:c r="C1117" s="47" t="n">
        <x:v>300973</x:v>
      </x:c>
      <x:c r="D1117" s="47" t="str"/>
      <x:c r="E1117" s="47" t="str"/>
      <x:c r="F1117" s="47" t="str">
        <x:v>current</x:v>
      </x:c>
      <x:c r="G1117" s="47" t="n">
        <x:v>1113</x:v>
      </x:c>
      <x:c r="H1117" s="53" t="b">
        <x:v>1</x:v>
      </x:c>
      <x:c r="I1117" s="47" t="str">
        <x:v>2682537910</x:v>
      </x:c>
      <x:c r="J1117" s="47" t="n">
        <x:v>158348927</x:v>
      </x:c>
      <x:c r="K1117" s="53" t="b">
        <x:v>1</x:v>
      </x:c>
      <x:c r="L1117" s="53" t="b">
        <x:v>1</x:v>
      </x:c>
      <x:c r="M1117" s="53" t="b">
        <x:v>1</x:v>
      </x:c>
      <x:c r="N1117" s="53" t="b">
        <x:v>1</x:v>
      </x:c>
      <x:c r="O1117" s="53" t="b">
        <x:v>1</x:v>
      </x:c>
      <x:c r="P1117" s="47" t="n">
        <x:v>1011</x:v>
      </x:c>
      <x:c r="Q1117" s="47" t="n">
        <x:v>0.067</x:v>
      </x:c>
      <x:c r="R1117" s="47" t="n">
        <x:v>1.813</x:v>
      </x:c>
      <x:c r="S1117" s="47" t="n">
        <x:v>44.82</x:v>
      </x:c>
      <x:c r="T1117" s="47" t="n">
        <x:v>62.65</x:v>
      </x:c>
      <x:c r="U1117" s="47" t="n">
        <x:v>31.9</x:v>
      </x:c>
      <x:c r="V1117" s="47" t="n">
        <x:v>14.4</x:v>
      </x:c>
      <x:c r="W1117" s="47" t="n">
        <x:v>133</x:v>
      </x:c>
      <x:c r="X1117" s="47" t="n">
        <x:v>135</x:v>
      </x:c>
      <x:c r="Y1117" s="41" t="n">
        <x:v>2</x:v>
      </x:c>
    </x:row>
    <x:row r="1118">
      <x:c r="A1118" s="38" t="str">
        <x:v>7月30日现场数据</x:v>
      </x:c>
      <x:c r="B1118" s="66" t="str">
        <x:v>2026-08-03T10:39:52.565000</x:v>
      </x:c>
      <x:c r="C1118" s="47" t="n">
        <x:v>300975</x:v>
      </x:c>
      <x:c r="D1118" s="47" t="str"/>
      <x:c r="E1118" s="47" t="str"/>
      <x:c r="F1118" s="47" t="str">
        <x:v>current</x:v>
      </x:c>
      <x:c r="G1118" s="47" t="n">
        <x:v>1114</x:v>
      </x:c>
      <x:c r="H1118" s="53" t="b">
        <x:v>1</x:v>
      </x:c>
      <x:c r="I1118" s="47" t="str">
        <x:v>2682537910</x:v>
      </x:c>
      <x:c r="J1118" s="47" t="n">
        <x:v>158649902</x:v>
      </x:c>
      <x:c r="K1118" s="53" t="b">
        <x:v>1</x:v>
      </x:c>
      <x:c r="L1118" s="53" t="b">
        <x:v>1</x:v>
      </x:c>
      <x:c r="M1118" s="53" t="b">
        <x:v>1</x:v>
      </x:c>
      <x:c r="N1118" s="53" t="b">
        <x:v>1</x:v>
      </x:c>
      <x:c r="O1118" s="53" t="b">
        <x:v>1</x:v>
      </x:c>
      <x:c r="P1118" s="47" t="n">
        <x:v>1011</x:v>
      </x:c>
      <x:c r="Q1118" s="47" t="n">
        <x:v>0</x:v>
      </x:c>
      <x:c r="R1118" s="47" t="n">
        <x:v>0</x:v>
      </x:c>
      <x:c r="S1118" s="47" t="n">
        <x:v>44.11</x:v>
      </x:c>
      <x:c r="T1118" s="47" t="n">
        <x:v>61.98</x:v>
      </x:c>
      <x:c r="U1118" s="47" t="n">
        <x:v>31.9</x:v>
      </x:c>
      <x:c r="V1118" s="47" t="n">
        <x:v>14.3</x:v>
      </x:c>
      <x:c r="W1118" s="47" t="n">
        <x:v>120</x:v>
      </x:c>
      <x:c r="X1118" s="47" t="n">
        <x:v>157</x:v>
      </x:c>
      <x:c r="Y1118" s="41" t="n">
        <x:v>37</x:v>
      </x:c>
    </x:row>
    <x:row r="1119">
      <x:c r="A1119" s="38" t="str">
        <x:v>7月30日现场数据</x:v>
      </x:c>
      <x:c r="B1119" s="66" t="str">
        <x:v>2026-08-03T10:44:53.543000</x:v>
      </x:c>
      <x:c r="C1119" s="47" t="n">
        <x:v>300978</x:v>
      </x:c>
      <x:c r="D1119" s="47" t="str"/>
      <x:c r="E1119" s="47" t="str"/>
      <x:c r="F1119" s="47" t="str">
        <x:v>current</x:v>
      </x:c>
      <x:c r="G1119" s="47" t="n">
        <x:v>1115</x:v>
      </x:c>
      <x:c r="H1119" s="53" t="b">
        <x:v>1</x:v>
      </x:c>
      <x:c r="I1119" s="47" t="str">
        <x:v>2682537910</x:v>
      </x:c>
      <x:c r="J1119" s="47" t="n">
        <x:v>158950880</x:v>
      </x:c>
      <x:c r="K1119" s="53" t="b">
        <x:v>1</x:v>
      </x:c>
      <x:c r="L1119" s="53" t="b">
        <x:v>1</x:v>
      </x:c>
      <x:c r="M1119" s="53" t="b">
        <x:v>1</x:v>
      </x:c>
      <x:c r="N1119" s="53" t="b">
        <x:v>1</x:v>
      </x:c>
      <x:c r="O1119" s="53" t="b">
        <x:v>1</x:v>
      </x:c>
      <x:c r="P1119" s="47" t="n">
        <x:v>1011</x:v>
      </x:c>
      <x:c r="Q1119" s="47" t="n">
        <x:v>0</x:v>
      </x:c>
      <x:c r="R1119" s="47" t="n">
        <x:v>0</x:v>
      </x:c>
      <x:c r="S1119" s="47" t="n">
        <x:v>43.68</x:v>
      </x:c>
      <x:c r="T1119" s="47" t="n">
        <x:v>61.66</x:v>
      </x:c>
      <x:c r="U1119" s="47" t="n">
        <x:v>32</x:v>
      </x:c>
      <x:c r="V1119" s="47" t="n">
        <x:v>14.2</x:v>
      </x:c>
      <x:c r="W1119" s="47" t="n">
        <x:v>114</x:v>
      </x:c>
      <x:c r="X1119" s="47" t="n">
        <x:v>136</x:v>
      </x:c>
      <x:c r="Y1119" s="41" t="n">
        <x:v>22</x:v>
      </x:c>
    </x:row>
    <x:row r="1120">
      <x:c r="A1120" s="38" t="str">
        <x:v>7月30日现场数据</x:v>
      </x:c>
      <x:c r="B1120" s="66" t="str">
        <x:v>2026-08-03T10:49:54.521000</x:v>
      </x:c>
      <x:c r="C1120" s="47" t="n">
        <x:v>300978</x:v>
      </x:c>
      <x:c r="D1120" s="47" t="str"/>
      <x:c r="E1120" s="47" t="str"/>
      <x:c r="F1120" s="47" t="str">
        <x:v>current</x:v>
      </x:c>
      <x:c r="G1120" s="47" t="n">
        <x:v>1116</x:v>
      </x:c>
      <x:c r="H1120" s="53" t="b">
        <x:v>1</x:v>
      </x:c>
      <x:c r="I1120" s="47" t="str">
        <x:v>2682537910</x:v>
      </x:c>
      <x:c r="J1120" s="47" t="n">
        <x:v>159251858</x:v>
      </x:c>
      <x:c r="K1120" s="53" t="b">
        <x:v>1</x:v>
      </x:c>
      <x:c r="L1120" s="53" t="b">
        <x:v>1</x:v>
      </x:c>
      <x:c r="M1120" s="53" t="b">
        <x:v>1</x:v>
      </x:c>
      <x:c r="N1120" s="53" t="b">
        <x:v>1</x:v>
      </x:c>
      <x:c r="O1120" s="53" t="b">
        <x:v>1</x:v>
      </x:c>
      <x:c r="P1120" s="47" t="n">
        <x:v>1011</x:v>
      </x:c>
      <x:c r="Q1120" s="47" t="n">
        <x:v>0</x:v>
      </x:c>
      <x:c r="R1120" s="47" t="n">
        <x:v>0</x:v>
      </x:c>
      <x:c r="S1120" s="47" t="n">
        <x:v>42.08</x:v>
      </x:c>
      <x:c r="T1120" s="47" t="n">
        <x:v>61</x:v>
      </x:c>
      <x:c r="U1120" s="47" t="n">
        <x:v>31.9</x:v>
      </x:c>
      <x:c r="V1120" s="47" t="n">
        <x:v>14.2</x:v>
      </x:c>
      <x:c r="W1120" s="47" t="n">
        <x:v>109</x:v>
      </x:c>
      <x:c r="X1120" s="47" t="n">
        <x:v>241</x:v>
      </x:c>
      <x:c r="Y1120" s="41" t="n">
        <x:v>132</x:v>
      </x:c>
    </x:row>
    <x:row r="1121">
      <x:c r="A1121" s="38" t="str">
        <x:v>7月30日现场数据</x:v>
      </x:c>
      <x:c r="B1121" s="66" t="str">
        <x:v>2026-08-03T10:54:55.501000</x:v>
      </x:c>
      <x:c r="C1121" s="47" t="n">
        <x:v>300980</x:v>
      </x:c>
      <x:c r="D1121" s="47" t="str"/>
      <x:c r="E1121" s="47" t="str"/>
      <x:c r="F1121" s="47" t="str">
        <x:v>current</x:v>
      </x:c>
      <x:c r="G1121" s="47" t="n">
        <x:v>1117</x:v>
      </x:c>
      <x:c r="H1121" s="53" t="b">
        <x:v>1</x:v>
      </x:c>
      <x:c r="I1121" s="47" t="str">
        <x:v>2682537910</x:v>
      </x:c>
      <x:c r="J1121" s="47" t="n">
        <x:v>159552838</x:v>
      </x:c>
      <x:c r="K1121" s="53" t="b">
        <x:v>1</x:v>
      </x:c>
      <x:c r="L1121" s="53" t="b">
        <x:v>1</x:v>
      </x:c>
      <x:c r="M1121" s="53" t="b">
        <x:v>1</x:v>
      </x:c>
      <x:c r="N1121" s="53" t="b">
        <x:v>1</x:v>
      </x:c>
      <x:c r="O1121" s="53" t="b">
        <x:v>1</x:v>
      </x:c>
      <x:c r="P1121" s="47" t="n">
        <x:v>1011</x:v>
      </x:c>
      <x:c r="Q1121" s="47" t="n">
        <x:v>0</x:v>
      </x:c>
      <x:c r="R1121" s="47" t="n">
        <x:v>0</x:v>
      </x:c>
      <x:c r="S1121" s="47" t="n">
        <x:v>41.34</x:v>
      </x:c>
      <x:c r="T1121" s="47" t="n">
        <x:v>60.45</x:v>
      </x:c>
      <x:c r="U1121" s="47" t="n">
        <x:v>32</x:v>
      </x:c>
      <x:c r="V1121" s="47" t="n">
        <x:v>14.2</x:v>
      </x:c>
      <x:c r="W1121" s="47" t="n">
        <x:v>104</x:v>
      </x:c>
      <x:c r="X1121" s="47" t="n">
        <x:v>686</x:v>
      </x:c>
      <x:c r="Y1121" s="41" t="n">
        <x:v>582</x:v>
      </x:c>
    </x:row>
    <x:row r="1122">
      <x:c r="A1122" s="38" t="str">
        <x:v>7月30日现场数据</x:v>
      </x:c>
      <x:c r="B1122" s="66" t="str">
        <x:v>2026-08-03T10:59:56.481000</x:v>
      </x:c>
      <x:c r="C1122" s="47" t="n">
        <x:v>300980</x:v>
      </x:c>
      <x:c r="D1122" s="47" t="str"/>
      <x:c r="E1122" s="47" t="str"/>
      <x:c r="F1122" s="47" t="str">
        <x:v>current</x:v>
      </x:c>
      <x:c r="G1122" s="47" t="n">
        <x:v>1118</x:v>
      </x:c>
      <x:c r="H1122" s="53" t="b">
        <x:v>1</x:v>
      </x:c>
      <x:c r="I1122" s="47" t="str">
        <x:v>2682537910</x:v>
      </x:c>
      <x:c r="J1122" s="47" t="n">
        <x:v>159853818</x:v>
      </x:c>
      <x:c r="K1122" s="53" t="b">
        <x:v>1</x:v>
      </x:c>
      <x:c r="L1122" s="53" t="b">
        <x:v>1</x:v>
      </x:c>
      <x:c r="M1122" s="53" t="b">
        <x:v>1</x:v>
      </x:c>
      <x:c r="N1122" s="53" t="b">
        <x:v>1</x:v>
      </x:c>
      <x:c r="O1122" s="53" t="b">
        <x:v>1</x:v>
      </x:c>
      <x:c r="P1122" s="47" t="n">
        <x:v>1011</x:v>
      </x:c>
      <x:c r="Q1122" s="47" t="n">
        <x:v>0</x:v>
      </x:c>
      <x:c r="R1122" s="47" t="n">
        <x:v>0</x:v>
      </x:c>
      <x:c r="S1122" s="47" t="n">
        <x:v>40.94</x:v>
      </x:c>
      <x:c r="T1122" s="47" t="n">
        <x:v>60.17</x:v>
      </x:c>
      <x:c r="U1122" s="47" t="n">
        <x:v>32</x:v>
      </x:c>
      <x:c r="V1122" s="47" t="n">
        <x:v>14.2</x:v>
      </x:c>
      <x:c r="W1122" s="47" t="n">
        <x:v>98</x:v>
      </x:c>
      <x:c r="X1122" s="47" t="n">
        <x:v>639</x:v>
      </x:c>
      <x:c r="Y1122" s="41" t="n">
        <x:v>541</x:v>
      </x:c>
    </x:row>
    <x:row r="1123">
      <x:c r="A1123" s="38" t="str">
        <x:v>7月30日现场数据</x:v>
      </x:c>
      <x:c r="B1123" s="66" t="str">
        <x:v>2026-08-03T11:04:57.465000</x:v>
      </x:c>
      <x:c r="C1123" s="47" t="n">
        <x:v>300984</x:v>
      </x:c>
      <x:c r="D1123" s="47" t="str"/>
      <x:c r="E1123" s="47" t="str"/>
      <x:c r="F1123" s="47" t="str">
        <x:v>current</x:v>
      </x:c>
      <x:c r="G1123" s="47" t="n">
        <x:v>1119</x:v>
      </x:c>
      <x:c r="H1123" s="53" t="b">
        <x:v>1</x:v>
      </x:c>
      <x:c r="I1123" s="47" t="str">
        <x:v>2682537910</x:v>
      </x:c>
      <x:c r="J1123" s="47" t="n">
        <x:v>160154802</x:v>
      </x:c>
      <x:c r="K1123" s="53" t="b">
        <x:v>1</x:v>
      </x:c>
      <x:c r="L1123" s="53" t="b">
        <x:v>1</x:v>
      </x:c>
      <x:c r="M1123" s="53" t="b">
        <x:v>1</x:v>
      </x:c>
      <x:c r="N1123" s="53" t="b">
        <x:v>1</x:v>
      </x:c>
      <x:c r="O1123" s="53" t="b">
        <x:v>1</x:v>
      </x:c>
      <x:c r="P1123" s="47" t="n">
        <x:v>1011</x:v>
      </x:c>
      <x:c r="Q1123" s="47" t="n">
        <x:v>0.105</x:v>
      </x:c>
      <x:c r="R1123" s="47" t="n">
        <x:v>2.835</x:v>
      </x:c>
      <x:c r="S1123" s="47" t="n">
        <x:v>40.23</x:v>
      </x:c>
      <x:c r="T1123" s="47" t="n">
        <x:v>59.76</x:v>
      </x:c>
      <x:c r="U1123" s="47" t="n">
        <x:v>32</x:v>
      </x:c>
      <x:c r="V1123" s="47" t="n">
        <x:v>14.1</x:v>
      </x:c>
      <x:c r="W1123" s="47" t="n">
        <x:v>96</x:v>
      </x:c>
      <x:c r="X1123" s="47" t="n">
        <x:v>153</x:v>
      </x:c>
      <x:c r="Y1123" s="41" t="n">
        <x:v>57</x:v>
      </x:c>
    </x:row>
    <x:row r="1124">
      <x:c r="A1124" s="38" t="str">
        <x:v>7月30日现场数据</x:v>
      </x:c>
      <x:c r="B1124" s="66" t="str">
        <x:v>2026-08-03T11:09:58.449000</x:v>
      </x:c>
      <x:c r="C1124" s="47" t="n">
        <x:v>300984</x:v>
      </x:c>
      <x:c r="D1124" s="47" t="str"/>
      <x:c r="E1124" s="47" t="str"/>
      <x:c r="F1124" s="47" t="str">
        <x:v>current</x:v>
      </x:c>
      <x:c r="G1124" s="47" t="n">
        <x:v>1120</x:v>
      </x:c>
      <x:c r="H1124" s="53" t="b">
        <x:v>1</x:v>
      </x:c>
      <x:c r="I1124" s="47" t="str">
        <x:v>2682537910</x:v>
      </x:c>
      <x:c r="J1124" s="47" t="n">
        <x:v>160455786</x:v>
      </x:c>
      <x:c r="K1124" s="53" t="b">
        <x:v>1</x:v>
      </x:c>
      <x:c r="L1124" s="53" t="b">
        <x:v>1</x:v>
      </x:c>
      <x:c r="M1124" s="53" t="b">
        <x:v>1</x:v>
      </x:c>
      <x:c r="N1124" s="53" t="b">
        <x:v>1</x:v>
      </x:c>
      <x:c r="O1124" s="53" t="b">
        <x:v>1</x:v>
      </x:c>
      <x:c r="P1124" s="47" t="n">
        <x:v>1011</x:v>
      </x:c>
      <x:c r="Q1124" s="47" t="n">
        <x:v>0.067</x:v>
      </x:c>
      <x:c r="R1124" s="47" t="n">
        <x:v>1.813</x:v>
      </x:c>
      <x:c r="S1124" s="47" t="n">
        <x:v>39.26</x:v>
      </x:c>
      <x:c r="T1124" s="47" t="n">
        <x:v>59.33</x:v>
      </x:c>
      <x:c r="U1124" s="47" t="n">
        <x:v>31.8</x:v>
      </x:c>
      <x:c r="V1124" s="47" t="n">
        <x:v>14.1</x:v>
      </x:c>
      <x:c r="W1124" s="47" t="n">
        <x:v>90</x:v>
      </x:c>
      <x:c r="X1124" s="47" t="n">
        <x:v>124</x:v>
      </x:c>
      <x:c r="Y1124" s="41" t="n">
        <x:v>34</x:v>
      </x:c>
    </x:row>
    <x:row r="1125">
      <x:c r="A1125" s="38" t="str">
        <x:v>7月30日现场数据</x:v>
      </x:c>
      <x:c r="B1125" s="66" t="str">
        <x:v>2026-08-03T11:14:59.437000</x:v>
      </x:c>
      <x:c r="C1125" s="47" t="n">
        <x:v>300988</x:v>
      </x:c>
      <x:c r="D1125" s="47" t="str"/>
      <x:c r="E1125" s="47" t="str"/>
      <x:c r="F1125" s="47" t="str">
        <x:v>current</x:v>
      </x:c>
      <x:c r="G1125" s="47" t="n">
        <x:v>1121</x:v>
      </x:c>
      <x:c r="H1125" s="53" t="b">
        <x:v>1</x:v>
      </x:c>
      <x:c r="I1125" s="47" t="str">
        <x:v>2682537910</x:v>
      </x:c>
      <x:c r="J1125" s="47" t="n">
        <x:v>160756774</x:v>
      </x:c>
      <x:c r="K1125" s="53" t="b">
        <x:v>1</x:v>
      </x:c>
      <x:c r="L1125" s="53" t="b">
        <x:v>1</x:v>
      </x:c>
      <x:c r="M1125" s="53" t="b">
        <x:v>1</x:v>
      </x:c>
      <x:c r="N1125" s="53" t="b">
        <x:v>1</x:v>
      </x:c>
      <x:c r="O1125" s="53" t="b">
        <x:v>1</x:v>
      </x:c>
      <x:c r="P1125" s="47" t="n">
        <x:v>1011</x:v>
      </x:c>
      <x:c r="Q1125" s="47" t="n">
        <x:v>0.087</x:v>
      </x:c>
      <x:c r="R1125" s="47" t="n">
        <x:v>2.341</x:v>
      </x:c>
      <x:c r="S1125" s="47" t="n">
        <x:v>39.34</x:v>
      </x:c>
      <x:c r="T1125" s="47" t="n">
        <x:v>59.09</x:v>
      </x:c>
      <x:c r="U1125" s="47" t="n">
        <x:v>31.8</x:v>
      </x:c>
      <x:c r="V1125" s="47" t="n">
        <x:v>14</x:v>
      </x:c>
      <x:c r="W1125" s="47" t="n">
        <x:v>84</x:v>
      </x:c>
      <x:c r="X1125" s="47" t="n">
        <x:v>125</x:v>
      </x:c>
      <x:c r="Y1125" s="41" t="n">
        <x:v>41</x:v>
      </x:c>
    </x:row>
    <x:row r="1126">
      <x:c r="A1126" s="38" t="str">
        <x:v>7月30日现场数据</x:v>
      </x:c>
      <x:c r="B1126" s="66" t="str">
        <x:v>2026-08-03T11:20:00.424000</x:v>
      </x:c>
      <x:c r="C1126" s="47" t="n">
        <x:v>300987</x:v>
      </x:c>
      <x:c r="D1126" s="47" t="str"/>
      <x:c r="E1126" s="47" t="str"/>
      <x:c r="F1126" s="47" t="str">
        <x:v>current</x:v>
      </x:c>
      <x:c r="G1126" s="47" t="n">
        <x:v>1122</x:v>
      </x:c>
      <x:c r="H1126" s="53" t="b">
        <x:v>1</x:v>
      </x:c>
      <x:c r="I1126" s="47" t="str">
        <x:v>2682537910</x:v>
      </x:c>
      <x:c r="J1126" s="47" t="n">
        <x:v>161057761</x:v>
      </x:c>
      <x:c r="K1126" s="53" t="b">
        <x:v>1</x:v>
      </x:c>
      <x:c r="L1126" s="53" t="b">
        <x:v>1</x:v>
      </x:c>
      <x:c r="M1126" s="53" t="b">
        <x:v>1</x:v>
      </x:c>
      <x:c r="N1126" s="53" t="b">
        <x:v>1</x:v>
      </x:c>
      <x:c r="O1126" s="53" t="b">
        <x:v>1</x:v>
      </x:c>
      <x:c r="P1126" s="47" t="n">
        <x:v>1011</x:v>
      </x:c>
      <x:c r="Q1126" s="47" t="n">
        <x:v>0.103</x:v>
      </x:c>
      <x:c r="R1126" s="47" t="n">
        <x:v>2.769</x:v>
      </x:c>
      <x:c r="S1126" s="47" t="n">
        <x:v>39.14</x:v>
      </x:c>
      <x:c r="T1126" s="47" t="n">
        <x:v>58.95</x:v>
      </x:c>
      <x:c r="U1126" s="47" t="n">
        <x:v>31.9</x:v>
      </x:c>
      <x:c r="V1126" s="47" t="n">
        <x:v>14</x:v>
      </x:c>
      <x:c r="W1126" s="47" t="n">
        <x:v>84</x:v>
      </x:c>
      <x:c r="X1126" s="47" t="n">
        <x:v>261</x:v>
      </x:c>
      <x:c r="Y1126" s="41" t="n">
        <x:v>177</x:v>
      </x:c>
    </x:row>
    <x:row r="1127">
      <x:c r="A1127" s="38" t="str">
        <x:v>7月30日现场数据</x:v>
      </x:c>
      <x:c r="B1127" s="66" t="str">
        <x:v>2026-08-03T11:25:01.428000</x:v>
      </x:c>
      <x:c r="C1127" s="47" t="n">
        <x:v>301004</x:v>
      </x:c>
      <x:c r="D1127" s="47" t="str"/>
      <x:c r="E1127" s="47" t="str"/>
      <x:c r="F1127" s="47" t="str">
        <x:v>current</x:v>
      </x:c>
      <x:c r="G1127" s="47" t="n">
        <x:v>1123</x:v>
      </x:c>
      <x:c r="H1127" s="53" t="b">
        <x:v>1</x:v>
      </x:c>
      <x:c r="I1127" s="47" t="str">
        <x:v>2682537910</x:v>
      </x:c>
      <x:c r="J1127" s="47" t="n">
        <x:v>161358765</x:v>
      </x:c>
      <x:c r="K1127" s="53" t="b">
        <x:v>1</x:v>
      </x:c>
      <x:c r="L1127" s="53" t="b">
        <x:v>1</x:v>
      </x:c>
      <x:c r="M1127" s="53" t="b">
        <x:v>1</x:v>
      </x:c>
      <x:c r="N1127" s="53" t="b">
        <x:v>1</x:v>
      </x:c>
      <x:c r="O1127" s="53" t="b">
        <x:v>1</x:v>
      </x:c>
      <x:c r="P1127" s="47" t="n">
        <x:v>1011</x:v>
      </x:c>
      <x:c r="Q1127" s="47" t="n">
        <x:v>0</x:v>
      </x:c>
      <x:c r="R1127" s="47" t="n">
        <x:v>0</x:v>
      </x:c>
      <x:c r="S1127" s="47" t="n">
        <x:v>38.96</x:v>
      </x:c>
      <x:c r="T1127" s="47" t="n">
        <x:v>58.72</x:v>
      </x:c>
      <x:c r="U1127" s="47" t="n">
        <x:v>31.8</x:v>
      </x:c>
      <x:c r="V1127" s="47" t="n">
        <x:v>13.9</x:v>
      </x:c>
      <x:c r="W1127" s="47" t="n">
        <x:v>81</x:v>
      </x:c>
      <x:c r="X1127" s="47" t="n">
        <x:v>121</x:v>
      </x:c>
      <x:c r="Y1127" s="41" t="n">
        <x:v>40</x:v>
      </x:c>
    </x:row>
    <x:row r="1128">
      <x:c r="A1128" s="38" t="str">
        <x:v>7月30日现场数据</x:v>
      </x:c>
      <x:c r="B1128" s="66" t="str">
        <x:v>2026-08-03T11:30:02.409000</x:v>
      </x:c>
      <x:c r="C1128" s="47" t="n">
        <x:v>300981</x:v>
      </x:c>
      <x:c r="D1128" s="47" t="str"/>
      <x:c r="E1128" s="47" t="str"/>
      <x:c r="F1128" s="47" t="str">
        <x:v>current</x:v>
      </x:c>
      <x:c r="G1128" s="47" t="n">
        <x:v>1124</x:v>
      </x:c>
      <x:c r="H1128" s="53" t="b">
        <x:v>1</x:v>
      </x:c>
      <x:c r="I1128" s="47" t="str">
        <x:v>2682537910</x:v>
      </x:c>
      <x:c r="J1128" s="47" t="n">
        <x:v>161659746</x:v>
      </x:c>
      <x:c r="K1128" s="53" t="b">
        <x:v>1</x:v>
      </x:c>
      <x:c r="L1128" s="53" t="b">
        <x:v>1</x:v>
      </x:c>
      <x:c r="M1128" s="53" t="b">
        <x:v>1</x:v>
      </x:c>
      <x:c r="N1128" s="53" t="b">
        <x:v>1</x:v>
      </x:c>
      <x:c r="O1128" s="53" t="b">
        <x:v>1</x:v>
      </x:c>
      <x:c r="P1128" s="47" t="n">
        <x:v>1011</x:v>
      </x:c>
      <x:c r="Q1128" s="47" t="n">
        <x:v>0.09</x:v>
      </x:c>
      <x:c r="R1128" s="47" t="n">
        <x:v>2.44</x:v>
      </x:c>
      <x:c r="S1128" s="47" t="n">
        <x:v>39.33</x:v>
      </x:c>
      <x:c r="T1128" s="47" t="n">
        <x:v>58.66</x:v>
      </x:c>
      <x:c r="U1128" s="47" t="n">
        <x:v>31.9</x:v>
      </x:c>
      <x:c r="V1128" s="47" t="n">
        <x:v>13.9</x:v>
      </x:c>
      <x:c r="W1128" s="47" t="n">
        <x:v>79</x:v>
      </x:c>
      <x:c r="X1128" s="47" t="n">
        <x:v>122</x:v>
      </x:c>
      <x:c r="Y1128" s="41" t="n">
        <x:v>43</x:v>
      </x:c>
    </x:row>
    <x:row r="1129">
      <x:c r="A1129" s="38" t="str">
        <x:v>7月30日现场数据</x:v>
      </x:c>
      <x:c r="B1129" s="66" t="str">
        <x:v>2026-08-03T11:35:03.388000</x:v>
      </x:c>
      <x:c r="C1129" s="47" t="n">
        <x:v>300979</x:v>
      </x:c>
      <x:c r="D1129" s="47" t="str"/>
      <x:c r="E1129" s="47" t="str"/>
      <x:c r="F1129" s="47" t="str">
        <x:v>current</x:v>
      </x:c>
      <x:c r="G1129" s="47" t="n">
        <x:v>1125</x:v>
      </x:c>
      <x:c r="H1129" s="53" t="b">
        <x:v>1</x:v>
      </x:c>
      <x:c r="I1129" s="47" t="str">
        <x:v>2682537910</x:v>
      </x:c>
      <x:c r="J1129" s="47" t="n">
        <x:v>161960725</x:v>
      </x:c>
      <x:c r="K1129" s="53" t="b">
        <x:v>1</x:v>
      </x:c>
      <x:c r="L1129" s="53" t="b">
        <x:v>1</x:v>
      </x:c>
      <x:c r="M1129" s="53" t="b">
        <x:v>1</x:v>
      </x:c>
      <x:c r="N1129" s="53" t="b">
        <x:v>1</x:v>
      </x:c>
      <x:c r="O1129" s="53" t="b">
        <x:v>1</x:v>
      </x:c>
      <x:c r="P1129" s="47" t="n">
        <x:v>1011</x:v>
      </x:c>
      <x:c r="Q1129" s="47" t="n">
        <x:v>0.126</x:v>
      </x:c>
      <x:c r="R1129" s="47" t="n">
        <x:v>3.396</x:v>
      </x:c>
      <x:c r="S1129" s="47" t="n">
        <x:v>39.03</x:v>
      </x:c>
      <x:c r="T1129" s="47" t="n">
        <x:v>58.48</x:v>
      </x:c>
      <x:c r="U1129" s="47" t="n">
        <x:v>31.9</x:v>
      </x:c>
      <x:c r="V1129" s="47" t="n">
        <x:v>13.8</x:v>
      </x:c>
      <x:c r="W1129" s="47" t="n">
        <x:v>74</x:v>
      </x:c>
      <x:c r="X1129" s="47" t="n">
        <x:v>210</x:v>
      </x:c>
      <x:c r="Y1129" s="41" t="n">
        <x:v>136</x:v>
      </x:c>
    </x:row>
    <x:row r="1130">
      <x:c r="A1130" s="38" t="str">
        <x:v>7月30日现场数据</x:v>
      </x:c>
      <x:c r="B1130" s="66" t="str">
        <x:v>2026-08-03T11:40:04.401000</x:v>
      </x:c>
      <x:c r="C1130" s="47" t="n">
        <x:v>301013</x:v>
      </x:c>
      <x:c r="D1130" s="47" t="str"/>
      <x:c r="E1130" s="47" t="str"/>
      <x:c r="F1130" s="47" t="str">
        <x:v>current</x:v>
      </x:c>
      <x:c r="G1130" s="47" t="n">
        <x:v>1126</x:v>
      </x:c>
      <x:c r="H1130" s="53" t="b">
        <x:v>1</x:v>
      </x:c>
      <x:c r="I1130" s="47" t="str">
        <x:v>2682537910</x:v>
      </x:c>
      <x:c r="J1130" s="47" t="n">
        <x:v>162261738</x:v>
      </x:c>
      <x:c r="K1130" s="53" t="b">
        <x:v>1</x:v>
      </x:c>
      <x:c r="L1130" s="53" t="b">
        <x:v>1</x:v>
      </x:c>
      <x:c r="M1130" s="53" t="b">
        <x:v>1</x:v>
      </x:c>
      <x:c r="N1130" s="53" t="b">
        <x:v>1</x:v>
      </x:c>
      <x:c r="O1130" s="53" t="b">
        <x:v>1</x:v>
      </x:c>
      <x:c r="P1130" s="47" t="n">
        <x:v>1011</x:v>
      </x:c>
      <x:c r="Q1130" s="47" t="n">
        <x:v>0.189</x:v>
      </x:c>
      <x:c r="R1130" s="47" t="n">
        <x:v>5.11</x:v>
      </x:c>
      <x:c r="S1130" s="47" t="n">
        <x:v>38.58</x:v>
      </x:c>
      <x:c r="T1130" s="47" t="n">
        <x:v>58.22</x:v>
      </x:c>
      <x:c r="U1130" s="47" t="n">
        <x:v>31.8</x:v>
      </x:c>
      <x:c r="V1130" s="47" t="n">
        <x:v>13.8</x:v>
      </x:c>
      <x:c r="W1130" s="47" t="n">
        <x:v>71</x:v>
      </x:c>
      <x:c r="X1130" s="47" t="n">
        <x:v>118</x:v>
      </x:c>
      <x:c r="Y1130" s="41" t="n">
        <x:v>47</x:v>
      </x:c>
    </x:row>
    <x:row r="1131">
      <x:c r="A1131" s="38" t="str">
        <x:v>7月30日现场数据</x:v>
      </x:c>
      <x:c r="B1131" s="66" t="str">
        <x:v>2026-08-03T11:45:05.357000</x:v>
      </x:c>
      <x:c r="C1131" s="47" t="n">
        <x:v>300956</x:v>
      </x:c>
      <x:c r="D1131" s="47" t="str"/>
      <x:c r="E1131" s="47" t="str"/>
      <x:c r="F1131" s="47" t="str">
        <x:v>current</x:v>
      </x:c>
      <x:c r="G1131" s="47" t="n">
        <x:v>1127</x:v>
      </x:c>
      <x:c r="H1131" s="53" t="b">
        <x:v>1</x:v>
      </x:c>
      <x:c r="I1131" s="47" t="str">
        <x:v>2682537910</x:v>
      </x:c>
      <x:c r="J1131" s="47" t="n">
        <x:v>162562694</x:v>
      </x:c>
      <x:c r="K1131" s="53" t="b">
        <x:v>1</x:v>
      </x:c>
      <x:c r="L1131" s="53" t="b">
        <x:v>1</x:v>
      </x:c>
      <x:c r="M1131" s="53" t="b">
        <x:v>1</x:v>
      </x:c>
      <x:c r="N1131" s="53" t="b">
        <x:v>1</x:v>
      </x:c>
      <x:c r="O1131" s="53" t="b">
        <x:v>1</x:v>
      </x:c>
      <x:c r="P1131" s="47" t="n">
        <x:v>1011</x:v>
      </x:c>
      <x:c r="Q1131" s="47" t="n">
        <x:v>0.024</x:v>
      </x:c>
      <x:c r="R1131" s="47" t="n">
        <x:v>0.659</x:v>
      </x:c>
      <x:c r="S1131" s="47" t="n">
        <x:v>38.57</x:v>
      </x:c>
      <x:c r="T1131" s="47" t="n">
        <x:v>58.07</x:v>
      </x:c>
      <x:c r="U1131" s="47" t="n">
        <x:v>31.8</x:v>
      </x:c>
      <x:c r="V1131" s="47" t="n">
        <x:v>13.7</x:v>
      </x:c>
      <x:c r="W1131" s="47" t="n">
        <x:v>71</x:v>
      </x:c>
      <x:c r="X1131" s="47" t="n">
        <x:v>115</x:v>
      </x:c>
      <x:c r="Y1131" s="41" t="n">
        <x:v>44</x:v>
      </x:c>
    </x:row>
    <x:row r="1132">
      <x:c r="A1132" s="38" t="str">
        <x:v>7月30日现场数据</x:v>
      </x:c>
      <x:c r="B1132" s="66" t="str">
        <x:v>2026-08-03T11:50:06.317000</x:v>
      </x:c>
      <x:c r="C1132" s="47" t="n">
        <x:v>300960</x:v>
      </x:c>
      <x:c r="D1132" s="47" t="str"/>
      <x:c r="E1132" s="47" t="str"/>
      <x:c r="F1132" s="47" t="str">
        <x:v>current</x:v>
      </x:c>
      <x:c r="G1132" s="47" t="n">
        <x:v>1128</x:v>
      </x:c>
      <x:c r="H1132" s="53" t="b">
        <x:v>1</x:v>
      </x:c>
      <x:c r="I1132" s="47" t="str">
        <x:v>2682537910</x:v>
      </x:c>
      <x:c r="J1132" s="47" t="n">
        <x:v>162863654</x:v>
      </x:c>
      <x:c r="K1132" s="53" t="b">
        <x:v>1</x:v>
      </x:c>
      <x:c r="L1132" s="53" t="b">
        <x:v>1</x:v>
      </x:c>
      <x:c r="M1132" s="53" t="b">
        <x:v>1</x:v>
      </x:c>
      <x:c r="N1132" s="53" t="b">
        <x:v>1</x:v>
      </x:c>
      <x:c r="O1132" s="53" t="b">
        <x:v>1</x:v>
      </x:c>
      <x:c r="P1132" s="47" t="n">
        <x:v>1011</x:v>
      </x:c>
      <x:c r="Q1132" s="47" t="n">
        <x:v>0</x:v>
      </x:c>
      <x:c r="R1132" s="47" t="n">
        <x:v>0</x:v>
      </x:c>
      <x:c r="S1132" s="47" t="n">
        <x:v>38.59</x:v>
      </x:c>
      <x:c r="T1132" s="47" t="n">
        <x:v>58</x:v>
      </x:c>
      <x:c r="U1132" s="47" t="n">
        <x:v>31.8</x:v>
      </x:c>
      <x:c r="V1132" s="47" t="n">
        <x:v>13.8</x:v>
      </x:c>
      <x:c r="W1132" s="47" t="n">
        <x:v>67</x:v>
      </x:c>
      <x:c r="X1132" s="47" t="n">
        <x:v>114</x:v>
      </x:c>
      <x:c r="Y1132" s="41" t="n">
        <x:v>47</x:v>
      </x:c>
    </x:row>
    <x:row r="1133">
      <x:c r="A1133" s="38" t="str">
        <x:v>7月30日现场数据</x:v>
      </x:c>
      <x:c r="B1133" s="66" t="str">
        <x:v>2026-08-03T11:55:07.276000</x:v>
      </x:c>
      <x:c r="C1133" s="47" t="n">
        <x:v>300959</x:v>
      </x:c>
      <x:c r="D1133" s="47" t="str"/>
      <x:c r="E1133" s="47" t="str"/>
      <x:c r="F1133" s="47" t="str">
        <x:v>current</x:v>
      </x:c>
      <x:c r="G1133" s="47" t="n">
        <x:v>1129</x:v>
      </x:c>
      <x:c r="H1133" s="53" t="b">
        <x:v>1</x:v>
      </x:c>
      <x:c r="I1133" s="47" t="str">
        <x:v>2682537910</x:v>
      </x:c>
      <x:c r="J1133" s="47" t="n">
        <x:v>163164613</x:v>
      </x:c>
      <x:c r="K1133" s="53" t="b">
        <x:v>1</x:v>
      </x:c>
      <x:c r="L1133" s="53" t="b">
        <x:v>1</x:v>
      </x:c>
      <x:c r="M1133" s="53" t="b">
        <x:v>1</x:v>
      </x:c>
      <x:c r="N1133" s="53" t="b">
        <x:v>1</x:v>
      </x:c>
      <x:c r="O1133" s="53" t="b">
        <x:v>1</x:v>
      </x:c>
      <x:c r="P1133" s="47" t="n">
        <x:v>1010</x:v>
      </x:c>
      <x:c r="Q1133" s="47" t="n">
        <x:v>0.067</x:v>
      </x:c>
      <x:c r="R1133" s="47" t="n">
        <x:v>1.813</x:v>
      </x:c>
      <x:c r="S1133" s="47" t="n">
        <x:v>38.48</x:v>
      </x:c>
      <x:c r="T1133" s="47" t="n">
        <x:v>57.82</x:v>
      </x:c>
      <x:c r="U1133" s="47" t="n">
        <x:v>31.8</x:v>
      </x:c>
      <x:c r="V1133" s="47" t="n">
        <x:v>13.8</x:v>
      </x:c>
      <x:c r="W1133" s="47" t="n">
        <x:v>64</x:v>
      </x:c>
      <x:c r="X1133" s="47" t="n">
        <x:v>116</x:v>
      </x:c>
      <x:c r="Y1133" s="41" t="n">
        <x:v>52</x:v>
      </x:c>
    </x:row>
    <x:row r="1134">
      <x:c r="A1134" s="38" t="str">
        <x:v>7月30日现场数据</x:v>
      </x:c>
      <x:c r="B1134" s="66" t="str">
        <x:v>2026-08-03T12:00:08.239000</x:v>
      </x:c>
      <x:c r="C1134" s="47" t="n">
        <x:v>300963</x:v>
      </x:c>
      <x:c r="D1134" s="47" t="str"/>
      <x:c r="E1134" s="47" t="str"/>
      <x:c r="F1134" s="47" t="str">
        <x:v>current</x:v>
      </x:c>
      <x:c r="G1134" s="47" t="n">
        <x:v>1130</x:v>
      </x:c>
      <x:c r="H1134" s="53" t="b">
        <x:v>1</x:v>
      </x:c>
      <x:c r="I1134" s="47" t="str">
        <x:v>2682537910</x:v>
      </x:c>
      <x:c r="J1134" s="47" t="n">
        <x:v>163465576</x:v>
      </x:c>
      <x:c r="K1134" s="53" t="b">
        <x:v>1</x:v>
      </x:c>
      <x:c r="L1134" s="53" t="b">
        <x:v>1</x:v>
      </x:c>
      <x:c r="M1134" s="53" t="b">
        <x:v>1</x:v>
      </x:c>
      <x:c r="N1134" s="53" t="b">
        <x:v>1</x:v>
      </x:c>
      <x:c r="O1134" s="53" t="b">
        <x:v>1</x:v>
      </x:c>
      <x:c r="P1134" s="47" t="n">
        <x:v>1011</x:v>
      </x:c>
      <x:c r="Q1134" s="47" t="n">
        <x:v>0.133</x:v>
      </x:c>
      <x:c r="R1134" s="47" t="n">
        <x:v>3.593</x:v>
      </x:c>
      <x:c r="S1134" s="47" t="n">
        <x:v>38.41</x:v>
      </x:c>
      <x:c r="T1134" s="47" t="n">
        <x:v>57.7</x:v>
      </x:c>
      <x:c r="U1134" s="47" t="n">
        <x:v>31.8</x:v>
      </x:c>
      <x:c r="V1134" s="47" t="n">
        <x:v>13.7</x:v>
      </x:c>
      <x:c r="W1134" s="47" t="n">
        <x:v>60</x:v>
      </x:c>
      <x:c r="X1134" s="47" t="n">
        <x:v>190</x:v>
      </x:c>
      <x:c r="Y1134" s="41" t="n">
        <x:v>130</x:v>
      </x:c>
    </x:row>
    <x:row r="1135">
      <x:c r="A1135" s="38" t="str">
        <x:v>7月30日现场数据</x:v>
      </x:c>
      <x:c r="B1135" s="66" t="str">
        <x:v>2026-08-03T12:05:09.203000</x:v>
      </x:c>
      <x:c r="C1135" s="47" t="n">
        <x:v>300964</x:v>
      </x:c>
      <x:c r="D1135" s="47" t="str"/>
      <x:c r="E1135" s="47" t="str"/>
      <x:c r="F1135" s="47" t="str">
        <x:v>current</x:v>
      </x:c>
      <x:c r="G1135" s="47" t="n">
        <x:v>1131</x:v>
      </x:c>
      <x:c r="H1135" s="53" t="b">
        <x:v>1</x:v>
      </x:c>
      <x:c r="I1135" s="47" t="str">
        <x:v>2682537910</x:v>
      </x:c>
      <x:c r="J1135" s="47" t="n">
        <x:v>163766540</x:v>
      </x:c>
      <x:c r="K1135" s="53" t="b">
        <x:v>1</x:v>
      </x:c>
      <x:c r="L1135" s="53" t="b">
        <x:v>1</x:v>
      </x:c>
      <x:c r="M1135" s="53" t="b">
        <x:v>1</x:v>
      </x:c>
      <x:c r="N1135" s="53" t="b">
        <x:v>1</x:v>
      </x:c>
      <x:c r="O1135" s="53" t="b">
        <x:v>1</x:v>
      </x:c>
      <x:c r="P1135" s="47" t="n">
        <x:v>1011</x:v>
      </x:c>
      <x:c r="Q1135" s="47" t="n">
        <x:v>0.109</x:v>
      </x:c>
      <x:c r="R1135" s="47" t="n">
        <x:v>2.934</x:v>
      </x:c>
      <x:c r="S1135" s="47" t="n">
        <x:v>37.99</x:v>
      </x:c>
      <x:c r="T1135" s="47" t="n">
        <x:v>57.49</x:v>
      </x:c>
      <x:c r="U1135" s="47" t="n">
        <x:v>31.7</x:v>
      </x:c>
      <x:c r="V1135" s="47" t="n">
        <x:v>13.7</x:v>
      </x:c>
      <x:c r="W1135" s="47" t="n">
        <x:v>56</x:v>
      </x:c>
      <x:c r="X1135" s="47" t="n">
        <x:v>191</x:v>
      </x:c>
      <x:c r="Y1135" s="41" t="n">
        <x:v>135</x:v>
      </x:c>
    </x:row>
    <x:row r="1136">
      <x:c r="A1136" s="38" t="str">
        <x:v>7月30日现场数据</x:v>
      </x:c>
      <x:c r="B1136" s="66" t="str">
        <x:v>2026-08-03T12:10:10.170000</x:v>
      </x:c>
      <x:c r="C1136" s="47" t="n">
        <x:v>300967</x:v>
      </x:c>
      <x:c r="D1136" s="47" t="str"/>
      <x:c r="E1136" s="47" t="str"/>
      <x:c r="F1136" s="47" t="str">
        <x:v>current</x:v>
      </x:c>
      <x:c r="G1136" s="47" t="n">
        <x:v>1132</x:v>
      </x:c>
      <x:c r="H1136" s="53" t="b">
        <x:v>1</x:v>
      </x:c>
      <x:c r="I1136" s="47" t="str">
        <x:v>2682537910</x:v>
      </x:c>
      <x:c r="J1136" s="47" t="n">
        <x:v>164067507</x:v>
      </x:c>
      <x:c r="K1136" s="53" t="b">
        <x:v>1</x:v>
      </x:c>
      <x:c r="L1136" s="53" t="b">
        <x:v>1</x:v>
      </x:c>
      <x:c r="M1136" s="53" t="b">
        <x:v>1</x:v>
      </x:c>
      <x:c r="N1136" s="53" t="b">
        <x:v>1</x:v>
      </x:c>
      <x:c r="O1136" s="53" t="b">
        <x:v>1</x:v>
      </x:c>
      <x:c r="P1136" s="47" t="n">
        <x:v>1010</x:v>
      </x:c>
      <x:c r="Q1136" s="47" t="n">
        <x:v>0.368</x:v>
      </x:c>
      <x:c r="R1136" s="47" t="n">
        <x:v>9.923</x:v>
      </x:c>
      <x:c r="S1136" s="47" t="n">
        <x:v>38.04</x:v>
      </x:c>
      <x:c r="T1136" s="47" t="n">
        <x:v>57.3</x:v>
      </x:c>
      <x:c r="U1136" s="47" t="n">
        <x:v>31.8</x:v>
      </x:c>
      <x:c r="V1136" s="47" t="n">
        <x:v>13.7</x:v>
      </x:c>
      <x:c r="W1136" s="47" t="n">
        <x:v>53</x:v>
      </x:c>
      <x:c r="X1136" s="47" t="n">
        <x:v>124</x:v>
      </x:c>
      <x:c r="Y1136" s="41" t="n">
        <x:v>71</x:v>
      </x:c>
    </x:row>
    <x:row r="1137">
      <x:c r="A1137" s="38" t="str">
        <x:v>7月30日现场数据</x:v>
      </x:c>
      <x:c r="B1137" s="66" t="str">
        <x:v>2026-08-03T12:15:11.138000</x:v>
      </x:c>
      <x:c r="C1137" s="47" t="n">
        <x:v>300968</x:v>
      </x:c>
      <x:c r="D1137" s="47" t="str"/>
      <x:c r="E1137" s="47" t="str"/>
      <x:c r="F1137" s="47" t="str">
        <x:v>current</x:v>
      </x:c>
      <x:c r="G1137" s="47" t="n">
        <x:v>1133</x:v>
      </x:c>
      <x:c r="H1137" s="53" t="b">
        <x:v>1</x:v>
      </x:c>
      <x:c r="I1137" s="47" t="str">
        <x:v>2682537910</x:v>
      </x:c>
      <x:c r="J1137" s="47" t="n">
        <x:v>164368475</x:v>
      </x:c>
      <x:c r="K1137" s="53" t="b">
        <x:v>1</x:v>
      </x:c>
      <x:c r="L1137" s="53" t="b">
        <x:v>1</x:v>
      </x:c>
      <x:c r="M1137" s="53" t="b">
        <x:v>1</x:v>
      </x:c>
      <x:c r="N1137" s="53" t="b">
        <x:v>1</x:v>
      </x:c>
      <x:c r="O1137" s="53" t="b">
        <x:v>1</x:v>
      </x:c>
      <x:c r="P1137" s="47" t="n">
        <x:v>1010</x:v>
      </x:c>
      <x:c r="Q1137" s="47" t="n">
        <x:v>0.131</x:v>
      </x:c>
      <x:c r="R1137" s="47" t="n">
        <x:v>3.527</x:v>
      </x:c>
      <x:c r="S1137" s="47" t="n">
        <x:v>37.76</x:v>
      </x:c>
      <x:c r="T1137" s="47" t="n">
        <x:v>57.13</x:v>
      </x:c>
      <x:c r="U1137" s="47" t="n">
        <x:v>31.7</x:v>
      </x:c>
      <x:c r="V1137" s="47" t="n">
        <x:v>13.7</x:v>
      </x:c>
      <x:c r="W1137" s="47" t="n">
        <x:v>54</x:v>
      </x:c>
      <x:c r="X1137" s="47" t="n">
        <x:v>118</x:v>
      </x:c>
      <x:c r="Y1137" s="41" t="n">
        <x:v>64</x:v>
      </x:c>
    </x:row>
    <x:row r="1138">
      <x:c r="A1138" s="38" t="str">
        <x:v>7月30日现场数据</x:v>
      </x:c>
      <x:c r="B1138" s="66" t="str">
        <x:v>2026-08-03T12:20:12.109000</x:v>
      </x:c>
      <x:c r="C1138" s="47" t="n">
        <x:v>300971</x:v>
      </x:c>
      <x:c r="D1138" s="47" t="str"/>
      <x:c r="E1138" s="47" t="str"/>
      <x:c r="F1138" s="47" t="str">
        <x:v>current</x:v>
      </x:c>
      <x:c r="G1138" s="47" t="n">
        <x:v>1134</x:v>
      </x:c>
      <x:c r="H1138" s="53" t="b">
        <x:v>1</x:v>
      </x:c>
      <x:c r="I1138" s="47" t="str">
        <x:v>2682537910</x:v>
      </x:c>
      <x:c r="J1138" s="47" t="n">
        <x:v>164669446</x:v>
      </x:c>
      <x:c r="K1138" s="53" t="b">
        <x:v>1</x:v>
      </x:c>
      <x:c r="L1138" s="53" t="b">
        <x:v>1</x:v>
      </x:c>
      <x:c r="M1138" s="53" t="b">
        <x:v>1</x:v>
      </x:c>
      <x:c r="N1138" s="53" t="b">
        <x:v>1</x:v>
      </x:c>
      <x:c r="O1138" s="53" t="b">
        <x:v>1</x:v>
      </x:c>
      <x:c r="P1138" s="47" t="n">
        <x:v>1010</x:v>
      </x:c>
      <x:c r="Q1138" s="47" t="n">
        <x:v>0.007</x:v>
      </x:c>
      <x:c r="R1138" s="47" t="n">
        <x:v>0.198</x:v>
      </x:c>
      <x:c r="S1138" s="47" t="n">
        <x:v>38.01</x:v>
      </x:c>
      <x:c r="T1138" s="47" t="n">
        <x:v>57.1</x:v>
      </x:c>
      <x:c r="U1138" s="47" t="n">
        <x:v>31.7</x:v>
      </x:c>
      <x:c r="V1138" s="47" t="n">
        <x:v>13.7</x:v>
      </x:c>
      <x:c r="W1138" s="47" t="n">
        <x:v>51</x:v>
      </x:c>
      <x:c r="X1138" s="47" t="n">
        <x:v>115</x:v>
      </x:c>
      <x:c r="Y1138" s="41" t="n">
        <x:v>64</x:v>
      </x:c>
    </x:row>
    <x:row r="1139">
      <x:c r="A1139" s="38" t="str">
        <x:v>7月30日现场数据</x:v>
      </x:c>
      <x:c r="B1139" s="66" t="str">
        <x:v>2026-08-03T12:25:13.080000</x:v>
      </x:c>
      <x:c r="C1139" s="47" t="n">
        <x:v>300971</x:v>
      </x:c>
      <x:c r="D1139" s="47" t="str"/>
      <x:c r="E1139" s="47" t="str"/>
      <x:c r="F1139" s="47" t="str">
        <x:v>current</x:v>
      </x:c>
      <x:c r="G1139" s="47" t="n">
        <x:v>1135</x:v>
      </x:c>
      <x:c r="H1139" s="53" t="b">
        <x:v>1</x:v>
      </x:c>
      <x:c r="I1139" s="47" t="str">
        <x:v>2682537910</x:v>
      </x:c>
      <x:c r="J1139" s="47" t="n">
        <x:v>164970417</x:v>
      </x:c>
      <x:c r="K1139" s="53" t="b">
        <x:v>1</x:v>
      </x:c>
      <x:c r="L1139" s="53" t="b">
        <x:v>1</x:v>
      </x:c>
      <x:c r="M1139" s="53" t="b">
        <x:v>1</x:v>
      </x:c>
      <x:c r="N1139" s="53" t="b">
        <x:v>1</x:v>
      </x:c>
      <x:c r="O1139" s="53" t="b">
        <x:v>1</x:v>
      </x:c>
      <x:c r="P1139" s="47" t="n">
        <x:v>1010</x:v>
      </x:c>
      <x:c r="Q1139" s="47" t="n">
        <x:v>0</x:v>
      </x:c>
      <x:c r="R1139" s="47" t="n">
        <x:v>0</x:v>
      </x:c>
      <x:c r="S1139" s="47" t="n">
        <x:v>38.43</x:v>
      </x:c>
      <x:c r="T1139" s="47" t="n">
        <x:v>57.12</x:v>
      </x:c>
      <x:c r="U1139" s="47" t="n">
        <x:v>31.8</x:v>
      </x:c>
      <x:c r="V1139" s="47" t="n">
        <x:v>13.6</x:v>
      </x:c>
      <x:c r="W1139" s="47" t="n">
        <x:v>51</x:v>
      </x:c>
      <x:c r="X1139" s="47" t="n">
        <x:v>114</x:v>
      </x:c>
      <x:c r="Y1139" s="41" t="n">
        <x:v>63</x:v>
      </x:c>
    </x:row>
    <x:row r="1140">
      <x:c r="A1140" s="38" t="str">
        <x:v>7月30日现场数据</x:v>
      </x:c>
      <x:c r="B1140" s="66" t="str">
        <x:v>2026-08-03T12:30:14.056000</x:v>
      </x:c>
      <x:c r="C1140" s="47" t="n">
        <x:v>300976</x:v>
      </x:c>
      <x:c r="D1140" s="47" t="str"/>
      <x:c r="E1140" s="47" t="str"/>
      <x:c r="F1140" s="47" t="str">
        <x:v>current</x:v>
      </x:c>
      <x:c r="G1140" s="47" t="n">
        <x:v>1136</x:v>
      </x:c>
      <x:c r="H1140" s="53" t="b">
        <x:v>1</x:v>
      </x:c>
      <x:c r="I1140" s="47" t="str">
        <x:v>2682537910</x:v>
      </x:c>
      <x:c r="J1140" s="47" t="n">
        <x:v>165271393</x:v>
      </x:c>
      <x:c r="K1140" s="53" t="b">
        <x:v>1</x:v>
      </x:c>
      <x:c r="L1140" s="53" t="b">
        <x:v>1</x:v>
      </x:c>
      <x:c r="M1140" s="53" t="b">
        <x:v>1</x:v>
      </x:c>
      <x:c r="N1140" s="53" t="b">
        <x:v>1</x:v>
      </x:c>
      <x:c r="O1140" s="53" t="b">
        <x:v>1</x:v>
      </x:c>
      <x:c r="P1140" s="47" t="n">
        <x:v>1010</x:v>
      </x:c>
      <x:c r="Q1140" s="47" t="n">
        <x:v>0</x:v>
      </x:c>
      <x:c r="R1140" s="47" t="n">
        <x:v>0</x:v>
      </x:c>
      <x:c r="S1140" s="47" t="n">
        <x:v>38.78</x:v>
      </x:c>
      <x:c r="T1140" s="47" t="n">
        <x:v>57.12</x:v>
      </x:c>
      <x:c r="U1140" s="47" t="n">
        <x:v>31.9</x:v>
      </x:c>
      <x:c r="V1140" s="47" t="n">
        <x:v>13.6</x:v>
      </x:c>
      <x:c r="W1140" s="47" t="n">
        <x:v>49</x:v>
      </x:c>
      <x:c r="X1140" s="47" t="n">
        <x:v>113</x:v>
      </x:c>
      <x:c r="Y1140" s="41" t="n">
        <x:v>64</x:v>
      </x:c>
    </x:row>
    <x:row r="1141">
      <x:c r="A1141" s="38" t="str">
        <x:v>7月30日现场数据</x:v>
      </x:c>
      <x:c r="B1141" s="66" t="str">
        <x:v>2026-08-03T12:35:15.029000</x:v>
      </x:c>
      <x:c r="C1141" s="47" t="n">
        <x:v>300973</x:v>
      </x:c>
      <x:c r="D1141" s="47" t="str"/>
      <x:c r="E1141" s="47" t="str"/>
      <x:c r="F1141" s="47" t="str">
        <x:v>current</x:v>
      </x:c>
      <x:c r="G1141" s="47" t="n">
        <x:v>1137</x:v>
      </x:c>
      <x:c r="H1141" s="53" t="b">
        <x:v>1</x:v>
      </x:c>
      <x:c r="I1141" s="47" t="str">
        <x:v>2682537910</x:v>
      </x:c>
      <x:c r="J1141" s="47" t="n">
        <x:v>165572366</x:v>
      </x:c>
      <x:c r="K1141" s="53" t="b">
        <x:v>1</x:v>
      </x:c>
      <x:c r="L1141" s="53" t="b">
        <x:v>1</x:v>
      </x:c>
      <x:c r="M1141" s="53" t="b">
        <x:v>1</x:v>
      </x:c>
      <x:c r="N1141" s="53" t="b">
        <x:v>1</x:v>
      </x:c>
      <x:c r="O1141" s="53" t="b">
        <x:v>1</x:v>
      </x:c>
      <x:c r="P1141" s="47" t="n">
        <x:v>1010</x:v>
      </x:c>
      <x:c r="Q1141" s="47" t="n">
        <x:v>0</x:v>
      </x:c>
      <x:c r="R1141" s="47" t="n">
        <x:v>0</x:v>
      </x:c>
      <x:c r="S1141" s="47" t="n">
        <x:v>39.14</x:v>
      </x:c>
      <x:c r="T1141" s="47" t="n">
        <x:v>57.08</x:v>
      </x:c>
      <x:c r="U1141" s="47" t="n">
        <x:v>32</x:v>
      </x:c>
      <x:c r="V1141" s="47" t="n">
        <x:v>13.6</x:v>
      </x:c>
      <x:c r="W1141" s="47" t="n">
        <x:v>49</x:v>
      </x:c>
      <x:c r="X1141" s="47" t="n">
        <x:v>114</x:v>
      </x:c>
      <x:c r="Y1141" s="41" t="n">
        <x:v>65</x:v>
      </x:c>
    </x:row>
    <x:row r="1142">
      <x:c r="A1142" s="38" t="str">
        <x:v>7月30日现场数据</x:v>
      </x:c>
      <x:c r="B1142" s="66" t="str">
        <x:v>2026-08-03T12:40:16.007000</x:v>
      </x:c>
      <x:c r="C1142" s="47" t="n">
        <x:v>300978</x:v>
      </x:c>
      <x:c r="D1142" s="47" t="str"/>
      <x:c r="E1142" s="47" t="str"/>
      <x:c r="F1142" s="47" t="str">
        <x:v>current</x:v>
      </x:c>
      <x:c r="G1142" s="47" t="n">
        <x:v>1138</x:v>
      </x:c>
      <x:c r="H1142" s="53" t="b">
        <x:v>1</x:v>
      </x:c>
      <x:c r="I1142" s="47" t="str">
        <x:v>2682537910</x:v>
      </x:c>
      <x:c r="J1142" s="47" t="n">
        <x:v>165873344</x:v>
      </x:c>
      <x:c r="K1142" s="53" t="b">
        <x:v>1</x:v>
      </x:c>
      <x:c r="L1142" s="53" t="b">
        <x:v>1</x:v>
      </x:c>
      <x:c r="M1142" s="53" t="b">
        <x:v>1</x:v>
      </x:c>
      <x:c r="N1142" s="53" t="b">
        <x:v>1</x:v>
      </x:c>
      <x:c r="O1142" s="53" t="b">
        <x:v>1</x:v>
      </x:c>
      <x:c r="P1142" s="47" t="n">
        <x:v>1010</x:v>
      </x:c>
      <x:c r="Q1142" s="47" t="n">
        <x:v>0</x:v>
      </x:c>
      <x:c r="R1142" s="47" t="n">
        <x:v>0</x:v>
      </x:c>
      <x:c r="S1142" s="47" t="n">
        <x:v>39.34</x:v>
      </x:c>
      <x:c r="T1142" s="47" t="n">
        <x:v>57.05</x:v>
      </x:c>
      <x:c r="U1142" s="47" t="n">
        <x:v>32.1</x:v>
      </x:c>
      <x:c r="V1142" s="47" t="n">
        <x:v>13.6</x:v>
      </x:c>
      <x:c r="W1142" s="47" t="n">
        <x:v>48</x:v>
      </x:c>
      <x:c r="X1142" s="47" t="n">
        <x:v>115</x:v>
      </x:c>
      <x:c r="Y1142" s="41" t="n">
        <x:v>67</x:v>
      </x:c>
    </x:row>
    <x:row r="1143">
      <x:c r="A1143" s="38" t="str">
        <x:v>7月30日现场数据</x:v>
      </x:c>
      <x:c r="B1143" s="66" t="str">
        <x:v>2026-08-03T12:45:16.985000</x:v>
      </x:c>
      <x:c r="C1143" s="47" t="n">
        <x:v>300978</x:v>
      </x:c>
      <x:c r="D1143" s="47" t="str"/>
      <x:c r="E1143" s="47" t="str"/>
      <x:c r="F1143" s="47" t="str">
        <x:v>current</x:v>
      </x:c>
      <x:c r="G1143" s="47" t="n">
        <x:v>1139</x:v>
      </x:c>
      <x:c r="H1143" s="53" t="b">
        <x:v>1</x:v>
      </x:c>
      <x:c r="I1143" s="47" t="str">
        <x:v>2682537910</x:v>
      </x:c>
      <x:c r="J1143" s="47" t="n">
        <x:v>166174322</x:v>
      </x:c>
      <x:c r="K1143" s="53" t="b">
        <x:v>1</x:v>
      </x:c>
      <x:c r="L1143" s="53" t="b">
        <x:v>1</x:v>
      </x:c>
      <x:c r="M1143" s="53" t="b">
        <x:v>1</x:v>
      </x:c>
      <x:c r="N1143" s="53" t="b">
        <x:v>1</x:v>
      </x:c>
      <x:c r="O1143" s="53" t="b">
        <x:v>1</x:v>
      </x:c>
      <x:c r="P1143" s="47" t="n">
        <x:v>1010</x:v>
      </x:c>
      <x:c r="Q1143" s="47" t="n">
        <x:v>0.04</x:v>
      </x:c>
      <x:c r="R1143" s="47" t="n">
        <x:v>1.088</x:v>
      </x:c>
      <x:c r="S1143" s="47" t="n">
        <x:v>39.19</x:v>
      </x:c>
      <x:c r="T1143" s="47" t="n">
        <x:v>56.95</x:v>
      </x:c>
      <x:c r="U1143" s="47" t="n">
        <x:v>32.1</x:v>
      </x:c>
      <x:c r="V1143" s="47" t="n">
        <x:v>13.6</x:v>
      </x:c>
      <x:c r="W1143" s="47" t="n">
        <x:v>47</x:v>
      </x:c>
      <x:c r="X1143" s="47" t="n">
        <x:v>116</x:v>
      </x:c>
      <x:c r="Y1143" s="41" t="n">
        <x:v>69</x:v>
      </x:c>
    </x:row>
    <x:row r="1144">
      <x:c r="A1144" s="38" t="str">
        <x:v>7月30日现场数据</x:v>
      </x:c>
      <x:c r="B1144" s="66" t="str">
        <x:v>2026-08-03T12:50:17.966000</x:v>
      </x:c>
      <x:c r="C1144" s="47" t="n">
        <x:v>300981</x:v>
      </x:c>
      <x:c r="D1144" s="47" t="str"/>
      <x:c r="E1144" s="47" t="str"/>
      <x:c r="F1144" s="47" t="str">
        <x:v>current</x:v>
      </x:c>
      <x:c r="G1144" s="47" t="n">
        <x:v>1140</x:v>
      </x:c>
      <x:c r="H1144" s="53" t="b">
        <x:v>1</x:v>
      </x:c>
      <x:c r="I1144" s="47" t="str">
        <x:v>2682537910</x:v>
      </x:c>
      <x:c r="J1144" s="47" t="n">
        <x:v>166475303</x:v>
      </x:c>
      <x:c r="K1144" s="53" t="b">
        <x:v>1</x:v>
      </x:c>
      <x:c r="L1144" s="53" t="b">
        <x:v>1</x:v>
      </x:c>
      <x:c r="M1144" s="53" t="b">
        <x:v>1</x:v>
      </x:c>
      <x:c r="N1144" s="53" t="b">
        <x:v>1</x:v>
      </x:c>
      <x:c r="O1144" s="53" t="b">
        <x:v>1</x:v>
      </x:c>
      <x:c r="P1144" s="47" t="n">
        <x:v>1010</x:v>
      </x:c>
      <x:c r="Q1144" s="47" t="n">
        <x:v>0.106</x:v>
      </x:c>
      <x:c r="R1144" s="47" t="n">
        <x:v>2.868</x:v>
      </x:c>
      <x:c r="S1144" s="47" t="n">
        <x:v>38.47</x:v>
      </x:c>
      <x:c r="T1144" s="47" t="n">
        <x:v>56.72</x:v>
      </x:c>
      <x:c r="U1144" s="47" t="n">
        <x:v>32</x:v>
      </x:c>
      <x:c r="V1144" s="47" t="n">
        <x:v>13.5</x:v>
      </x:c>
      <x:c r="W1144" s="47" t="n">
        <x:v>45</x:v>
      </x:c>
      <x:c r="X1144" s="47" t="n">
        <x:v>118</x:v>
      </x:c>
      <x:c r="Y1144" s="41" t="n">
        <x:v>73</x:v>
      </x:c>
    </x:row>
    <x:row r="1145">
      <x:c r="A1145" s="38" t="str">
        <x:v>7月30日现场数据</x:v>
      </x:c>
      <x:c r="B1145" s="66" t="str">
        <x:v>2026-08-03T12:55:18.946000</x:v>
      </x:c>
      <x:c r="C1145" s="47" t="n">
        <x:v>300980</x:v>
      </x:c>
      <x:c r="D1145" s="47" t="str"/>
      <x:c r="E1145" s="47" t="str"/>
      <x:c r="F1145" s="47" t="str">
        <x:v>current</x:v>
      </x:c>
      <x:c r="G1145" s="47" t="n">
        <x:v>1141</x:v>
      </x:c>
      <x:c r="H1145" s="53" t="b">
        <x:v>1</x:v>
      </x:c>
      <x:c r="I1145" s="47" t="str">
        <x:v>2682537910</x:v>
      </x:c>
      <x:c r="J1145" s="47" t="n">
        <x:v>166776283</x:v>
      </x:c>
      <x:c r="K1145" s="53" t="b">
        <x:v>1</x:v>
      </x:c>
      <x:c r="L1145" s="53" t="b">
        <x:v>1</x:v>
      </x:c>
      <x:c r="M1145" s="53" t="b">
        <x:v>1</x:v>
      </x:c>
      <x:c r="N1145" s="53" t="b">
        <x:v>1</x:v>
      </x:c>
      <x:c r="O1145" s="53" t="b">
        <x:v>1</x:v>
      </x:c>
      <x:c r="P1145" s="47" t="n">
        <x:v>1010</x:v>
      </x:c>
      <x:c r="Q1145" s="47" t="n">
        <x:v>0.121</x:v>
      </x:c>
      <x:c r="R1145" s="47" t="n">
        <x:v>3.264</x:v>
      </x:c>
      <x:c r="S1145" s="47" t="n">
        <x:v>37.83</x:v>
      </x:c>
      <x:c r="T1145" s="47" t="n">
        <x:v>56.36</x:v>
      </x:c>
      <x:c r="U1145" s="47" t="n">
        <x:v>31.9</x:v>
      </x:c>
      <x:c r="V1145" s="47" t="n">
        <x:v>13.8</x:v>
      </x:c>
      <x:c r="W1145" s="47" t="n">
        <x:v>46</x:v>
      </x:c>
      <x:c r="X1145" s="47" t="n">
        <x:v>338</x:v>
      </x:c>
      <x:c r="Y1145" s="41" t="n">
        <x:v>292</x:v>
      </x:c>
    </x:row>
    <x:row r="1146">
      <x:c r="A1146" s="38" t="str">
        <x:v>7月30日现场数据</x:v>
      </x:c>
      <x:c r="B1146" s="66" t="str">
        <x:v>2026-08-03T13:00:19.963000</x:v>
      </x:c>
      <x:c r="C1146" s="47" t="n">
        <x:v>301017</x:v>
      </x:c>
      <x:c r="D1146" s="47" t="str"/>
      <x:c r="E1146" s="47" t="str"/>
      <x:c r="F1146" s="47" t="str">
        <x:v>current</x:v>
      </x:c>
      <x:c r="G1146" s="47" t="n">
        <x:v>1142</x:v>
      </x:c>
      <x:c r="H1146" s="53" t="b">
        <x:v>1</x:v>
      </x:c>
      <x:c r="I1146" s="47" t="str">
        <x:v>2682537910</x:v>
      </x:c>
      <x:c r="J1146" s="47" t="n">
        <x:v>167077300</x:v>
      </x:c>
      <x:c r="K1146" s="53" t="b">
        <x:v>1</x:v>
      </x:c>
      <x:c r="L1146" s="53" t="b">
        <x:v>1</x:v>
      </x:c>
      <x:c r="M1146" s="53" t="b">
        <x:v>1</x:v>
      </x:c>
      <x:c r="N1146" s="53" t="b">
        <x:v>1</x:v>
      </x:c>
      <x:c r="O1146" s="53" t="b">
        <x:v>1</x:v>
      </x:c>
      <x:c r="P1146" s="47" t="n">
        <x:v>1010</x:v>
      </x:c>
      <x:c r="Q1146" s="47" t="n">
        <x:v>0.109</x:v>
      </x:c>
      <x:c r="R1146" s="47" t="n">
        <x:v>2.934</x:v>
      </x:c>
      <x:c r="S1146" s="47" t="n">
        <x:v>37.96</x:v>
      </x:c>
      <x:c r="T1146" s="47" t="n">
        <x:v>56.29</x:v>
      </x:c>
      <x:c r="U1146" s="47" t="n">
        <x:v>31.9</x:v>
      </x:c>
      <x:c r="V1146" s="47" t="n">
        <x:v>13.7</x:v>
      </x:c>
      <x:c r="W1146" s="47" t="n">
        <x:v>44</x:v>
      </x:c>
      <x:c r="X1146" s="47" t="n">
        <x:v>166</x:v>
      </x:c>
      <x:c r="Y1146" s="41" t="n">
        <x:v>122</x:v>
      </x:c>
    </x:row>
    <x:row r="1147">
      <x:c r="A1147" s="38" t="str">
        <x:v>7月30日现场数据</x:v>
      </x:c>
      <x:c r="B1147" s="66" t="str">
        <x:v>2026-08-03T13:05:20.921000</x:v>
      </x:c>
      <x:c r="C1147" s="47" t="n">
        <x:v>300958</x:v>
      </x:c>
      <x:c r="D1147" s="47" t="str"/>
      <x:c r="E1147" s="47" t="str"/>
      <x:c r="F1147" s="47" t="str">
        <x:v>current</x:v>
      </x:c>
      <x:c r="G1147" s="47" t="n">
        <x:v>1143</x:v>
      </x:c>
      <x:c r="H1147" s="53" t="b">
        <x:v>1</x:v>
      </x:c>
      <x:c r="I1147" s="47" t="str">
        <x:v>2682537910</x:v>
      </x:c>
      <x:c r="J1147" s="47" t="n">
        <x:v>167378258</x:v>
      </x:c>
      <x:c r="K1147" s="53" t="b">
        <x:v>1</x:v>
      </x:c>
      <x:c r="L1147" s="53" t="b">
        <x:v>1</x:v>
      </x:c>
      <x:c r="M1147" s="53" t="b">
        <x:v>1</x:v>
      </x:c>
      <x:c r="N1147" s="53" t="b">
        <x:v>1</x:v>
      </x:c>
      <x:c r="O1147" s="53" t="b">
        <x:v>1</x:v>
      </x:c>
      <x:c r="P1147" s="47" t="n">
        <x:v>1010</x:v>
      </x:c>
      <x:c r="Q1147" s="47" t="n">
        <x:v>0</x:v>
      </x:c>
      <x:c r="R1147" s="47" t="n">
        <x:v>0</x:v>
      </x:c>
      <x:c r="S1147" s="47" t="n">
        <x:v>37.94</x:v>
      </x:c>
      <x:c r="T1147" s="47" t="n">
        <x:v>56.16</x:v>
      </x:c>
      <x:c r="U1147" s="47" t="n">
        <x:v>31.8</x:v>
      </x:c>
      <x:c r="V1147" s="47" t="n">
        <x:v>13.7</x:v>
      </x:c>
      <x:c r="W1147" s="47" t="n">
        <x:v>44</x:v>
      </x:c>
      <x:c r="X1147" s="47" t="n">
        <x:v>197</x:v>
      </x:c>
      <x:c r="Y1147" s="41" t="n">
        <x:v>153</x:v>
      </x:c>
    </x:row>
    <x:row r="1148">
      <x:c r="A1148" s="38" t="str">
        <x:v>7月30日现场数据</x:v>
      </x:c>
      <x:c r="B1148" s="66" t="str">
        <x:v>2026-08-03T13:10:21.883000</x:v>
      </x:c>
      <x:c r="C1148" s="47" t="n">
        <x:v>300962</x:v>
      </x:c>
      <x:c r="D1148" s="47" t="str"/>
      <x:c r="E1148" s="47" t="str"/>
      <x:c r="F1148" s="47" t="str">
        <x:v>current</x:v>
      </x:c>
      <x:c r="G1148" s="47" t="n">
        <x:v>1144</x:v>
      </x:c>
      <x:c r="H1148" s="53" t="b">
        <x:v>1</x:v>
      </x:c>
      <x:c r="I1148" s="47" t="str">
        <x:v>2682537910</x:v>
      </x:c>
      <x:c r="J1148" s="47" t="n">
        <x:v>167679220</x:v>
      </x:c>
      <x:c r="K1148" s="53" t="b">
        <x:v>1</x:v>
      </x:c>
      <x:c r="L1148" s="53" t="b">
        <x:v>1</x:v>
      </x:c>
      <x:c r="M1148" s="53" t="b">
        <x:v>1</x:v>
      </x:c>
      <x:c r="N1148" s="53" t="b">
        <x:v>1</x:v>
      </x:c>
      <x:c r="O1148" s="53" t="b">
        <x:v>1</x:v>
      </x:c>
      <x:c r="P1148" s="47" t="n">
        <x:v>1010</x:v>
      </x:c>
      <x:c r="Q1148" s="47" t="n">
        <x:v>0.085</x:v>
      </x:c>
      <x:c r="R1148" s="47" t="n">
        <x:v>2.308</x:v>
      </x:c>
      <x:c r="S1148" s="47" t="n">
        <x:v>38.23</x:v>
      </x:c>
      <x:c r="T1148" s="47" t="n">
        <x:v>56.21</x:v>
      </x:c>
      <x:c r="U1148" s="47" t="n">
        <x:v>31.9</x:v>
      </x:c>
      <x:c r="V1148" s="47" t="n">
        <x:v>13.7</x:v>
      </x:c>
      <x:c r="W1148" s="47" t="n">
        <x:v>44</x:v>
      </x:c>
      <x:c r="X1148" s="47" t="n">
        <x:v>120</x:v>
      </x:c>
      <x:c r="Y1148" s="41" t="n">
        <x:v>76</x:v>
      </x:c>
    </x:row>
    <x:row r="1149">
      <x:c r="A1149" s="38" t="str">
        <x:v>7月30日现场数据</x:v>
      </x:c>
      <x:c r="B1149" s="66" t="str">
        <x:v>2026-08-03T13:15:22.845000</x:v>
      </x:c>
      <x:c r="C1149" s="47" t="n">
        <x:v>300962</x:v>
      </x:c>
      <x:c r="D1149" s="47" t="str"/>
      <x:c r="E1149" s="47" t="str"/>
      <x:c r="F1149" s="47" t="str">
        <x:v>current</x:v>
      </x:c>
      <x:c r="G1149" s="47" t="n">
        <x:v>1145</x:v>
      </x:c>
      <x:c r="H1149" s="53" t="b">
        <x:v>1</x:v>
      </x:c>
      <x:c r="I1149" s="47" t="str">
        <x:v>2682537910</x:v>
      </x:c>
      <x:c r="J1149" s="47" t="n">
        <x:v>167980182</x:v>
      </x:c>
      <x:c r="K1149" s="53" t="b">
        <x:v>1</x:v>
      </x:c>
      <x:c r="L1149" s="53" t="b">
        <x:v>1</x:v>
      </x:c>
      <x:c r="M1149" s="53" t="b">
        <x:v>1</x:v>
      </x:c>
      <x:c r="N1149" s="53" t="b">
        <x:v>1</x:v>
      </x:c>
      <x:c r="O1149" s="53" t="b">
        <x:v>1</x:v>
      </x:c>
      <x:c r="P1149" s="47" t="n">
        <x:v>1010</x:v>
      </x:c>
      <x:c r="Q1149" s="47" t="n">
        <x:v>0.176</x:v>
      </x:c>
      <x:c r="R1149" s="47" t="n">
        <x:v>4.747</x:v>
      </x:c>
      <x:c r="S1149" s="47" t="n">
        <x:v>37.94</x:v>
      </x:c>
      <x:c r="T1149" s="47" t="n">
        <x:v>56.09</x:v>
      </x:c>
      <x:c r="U1149" s="47" t="n">
        <x:v>31.8</x:v>
      </x:c>
      <x:c r="V1149" s="47" t="n">
        <x:v>13.7</x:v>
      </x:c>
      <x:c r="W1149" s="47" t="n">
        <x:v>42</x:v>
      </x:c>
      <x:c r="X1149" s="47" t="n">
        <x:v>241</x:v>
      </x:c>
      <x:c r="Y1149" s="41" t="n">
        <x:v>199</x:v>
      </x:c>
    </x:row>
    <x:row r="1150">
      <x:c r="A1150" s="38" t="str">
        <x:v>7月30日现场数据</x:v>
      </x:c>
      <x:c r="B1150" s="66" t="str">
        <x:v>2026-08-03T13:20:23.811000</x:v>
      </x:c>
      <x:c r="C1150" s="47" t="n">
        <x:v>300966</x:v>
      </x:c>
      <x:c r="D1150" s="47" t="str"/>
      <x:c r="E1150" s="47" t="str"/>
      <x:c r="F1150" s="47" t="str">
        <x:v>current</x:v>
      </x:c>
      <x:c r="G1150" s="47" t="n">
        <x:v>1146</x:v>
      </x:c>
      <x:c r="H1150" s="53" t="b">
        <x:v>1</x:v>
      </x:c>
      <x:c r="I1150" s="47" t="str">
        <x:v>2682537910</x:v>
      </x:c>
      <x:c r="J1150" s="47" t="n">
        <x:v>168281148</x:v>
      </x:c>
      <x:c r="K1150" s="53" t="b">
        <x:v>1</x:v>
      </x:c>
      <x:c r="L1150" s="53" t="b">
        <x:v>1</x:v>
      </x:c>
      <x:c r="M1150" s="53" t="b">
        <x:v>1</x:v>
      </x:c>
      <x:c r="N1150" s="53" t="b">
        <x:v>1</x:v>
      </x:c>
      <x:c r="O1150" s="53" t="b">
        <x:v>1</x:v>
      </x:c>
      <x:c r="P1150" s="47" t="n">
        <x:v>1010</x:v>
      </x:c>
      <x:c r="Q1150" s="47" t="n">
        <x:v>0.077</x:v>
      </x:c>
      <x:c r="R1150" s="47" t="n">
        <x:v>2.077</x:v>
      </x:c>
      <x:c r="S1150" s="47" t="n">
        <x:v>37.87</x:v>
      </x:c>
      <x:c r="T1150" s="47" t="n">
        <x:v>55.95</x:v>
      </x:c>
      <x:c r="U1150" s="47" t="n">
        <x:v>31.8</x:v>
      </x:c>
      <x:c r="V1150" s="47" t="n">
        <x:v>13.6</x:v>
      </x:c>
      <x:c r="W1150" s="47" t="n">
        <x:v>42</x:v>
      </x:c>
      <x:c r="X1150" s="47" t="n">
        <x:v>114</x:v>
      </x:c>
      <x:c r="Y1150" s="41" t="n">
        <x:v>72</x:v>
      </x:c>
    </x:row>
    <x:row r="1151">
      <x:c r="A1151" s="38" t="str">
        <x:v>7月30日现场数据</x:v>
      </x:c>
      <x:c r="B1151" s="66" t="str">
        <x:v>2026-08-03T13:25:24.779000</x:v>
      </x:c>
      <x:c r="C1151" s="47" t="n">
        <x:v>300968</x:v>
      </x:c>
      <x:c r="D1151" s="47" t="str"/>
      <x:c r="E1151" s="47" t="str"/>
      <x:c r="F1151" s="47" t="str">
        <x:v>current</x:v>
      </x:c>
      <x:c r="G1151" s="47" t="n">
        <x:v>1147</x:v>
      </x:c>
      <x:c r="H1151" s="53" t="b">
        <x:v>1</x:v>
      </x:c>
      <x:c r="I1151" s="47" t="str">
        <x:v>2682537910</x:v>
      </x:c>
      <x:c r="J1151" s="47" t="n">
        <x:v>168582116</x:v>
      </x:c>
      <x:c r="K1151" s="53" t="b">
        <x:v>1</x:v>
      </x:c>
      <x:c r="L1151" s="53" t="b">
        <x:v>1</x:v>
      </x:c>
      <x:c r="M1151" s="53" t="b">
        <x:v>1</x:v>
      </x:c>
      <x:c r="N1151" s="53" t="b">
        <x:v>1</x:v>
      </x:c>
      <x:c r="O1151" s="53" t="b">
        <x:v>1</x:v>
      </x:c>
      <x:c r="P1151" s="47" t="n">
        <x:v>1010</x:v>
      </x:c>
      <x:c r="Q1151" s="47" t="n">
        <x:v>0</x:v>
      </x:c>
      <x:c r="R1151" s="47" t="n">
        <x:v>0</x:v>
      </x:c>
      <x:c r="S1151" s="47" t="n">
        <x:v>37.77</x:v>
      </x:c>
      <x:c r="T1151" s="47" t="n">
        <x:v>55.84</x:v>
      </x:c>
      <x:c r="U1151" s="47" t="n">
        <x:v>31.8</x:v>
      </x:c>
      <x:c r="V1151" s="47" t="n">
        <x:v>13.6</x:v>
      </x:c>
      <x:c r="W1151" s="47" t="n">
        <x:v>41</x:v>
      </x:c>
      <x:c r="X1151" s="47" t="n">
        <x:v>114</x:v>
      </x:c>
      <x:c r="Y1151" s="41" t="n">
        <x:v>73</x:v>
      </x:c>
    </x:row>
    <x:row r="1152">
      <x:c r="A1152" s="38" t="str">
        <x:v>7月30日现场数据</x:v>
      </x:c>
      <x:c r="B1152" s="66" t="str">
        <x:v>2026-08-03T13:30:25.749000</x:v>
      </x:c>
      <x:c r="C1152" s="47" t="n">
        <x:v>300970</x:v>
      </x:c>
      <x:c r="D1152" s="47" t="str"/>
      <x:c r="E1152" s="47" t="str"/>
      <x:c r="F1152" s="47" t="str">
        <x:v>current</x:v>
      </x:c>
      <x:c r="G1152" s="47" t="n">
        <x:v>1148</x:v>
      </x:c>
      <x:c r="H1152" s="53" t="b">
        <x:v>1</x:v>
      </x:c>
      <x:c r="I1152" s="47" t="str">
        <x:v>2682537910</x:v>
      </x:c>
      <x:c r="J1152" s="47" t="n">
        <x:v>168883086</x:v>
      </x:c>
      <x:c r="K1152" s="53" t="b">
        <x:v>1</x:v>
      </x:c>
      <x:c r="L1152" s="53" t="b">
        <x:v>1</x:v>
      </x:c>
      <x:c r="M1152" s="53" t="b">
        <x:v>1</x:v>
      </x:c>
      <x:c r="N1152" s="53" t="b">
        <x:v>1</x:v>
      </x:c>
      <x:c r="O1152" s="53" t="b">
        <x:v>1</x:v>
      </x:c>
      <x:c r="P1152" s="47" t="n">
        <x:v>1010</x:v>
      </x:c>
      <x:c r="Q1152" s="47" t="n">
        <x:v>0.083</x:v>
      </x:c>
      <x:c r="R1152" s="47" t="n">
        <x:v>2.242</x:v>
      </x:c>
      <x:c r="S1152" s="47" t="n">
        <x:v>37.77</x:v>
      </x:c>
      <x:c r="T1152" s="47" t="n">
        <x:v>55.78</x:v>
      </x:c>
      <x:c r="U1152" s="47" t="n">
        <x:v>31.8</x:v>
      </x:c>
      <x:c r="V1152" s="47" t="n">
        <x:v>13.6</x:v>
      </x:c>
      <x:c r="W1152" s="47" t="n">
        <x:v>40</x:v>
      </x:c>
      <x:c r="X1152" s="47" t="n">
        <x:v>109</x:v>
      </x:c>
      <x:c r="Y1152" s="41" t="n">
        <x:v>69</x:v>
      </x:c>
    </x:row>
    <x:row r="1153">
      <x:c r="A1153" s="38" t="str">
        <x:v>7月30日现场数据</x:v>
      </x:c>
      <x:c r="B1153" s="66" t="str">
        <x:v>2026-08-03T13:35:26.719000</x:v>
      </x:c>
      <x:c r="C1153" s="47" t="n">
        <x:v>300970</x:v>
      </x:c>
      <x:c r="D1153" s="47" t="str"/>
      <x:c r="E1153" s="47" t="str"/>
      <x:c r="F1153" s="47" t="str">
        <x:v>current</x:v>
      </x:c>
      <x:c r="G1153" s="47" t="n">
        <x:v>1149</x:v>
      </x:c>
      <x:c r="H1153" s="53" t="b">
        <x:v>1</x:v>
      </x:c>
      <x:c r="I1153" s="47" t="str">
        <x:v>2682537910</x:v>
      </x:c>
      <x:c r="J1153" s="47" t="n">
        <x:v>169184056</x:v>
      </x:c>
      <x:c r="K1153" s="53" t="b">
        <x:v>1</x:v>
      </x:c>
      <x:c r="L1153" s="53" t="b">
        <x:v>1</x:v>
      </x:c>
      <x:c r="M1153" s="53" t="b">
        <x:v>1</x:v>
      </x:c>
      <x:c r="N1153" s="53" t="b">
        <x:v>1</x:v>
      </x:c>
      <x:c r="O1153" s="53" t="b">
        <x:v>1</x:v>
      </x:c>
      <x:c r="P1153" s="47" t="n">
        <x:v>1010</x:v>
      </x:c>
      <x:c r="Q1153" s="47" t="n">
        <x:v>0.072</x:v>
      </x:c>
      <x:c r="R1153" s="47" t="n">
        <x:v>1.945</x:v>
      </x:c>
      <x:c r="S1153" s="47" t="n">
        <x:v>37.93</x:v>
      </x:c>
      <x:c r="T1153" s="47" t="n">
        <x:v>55.67</x:v>
      </x:c>
      <x:c r="U1153" s="47" t="n">
        <x:v>31.8</x:v>
      </x:c>
      <x:c r="V1153" s="47" t="n">
        <x:v>13.6</x:v>
      </x:c>
      <x:c r="W1153" s="47" t="n">
        <x:v>38</x:v>
      </x:c>
      <x:c r="X1153" s="47" t="n">
        <x:v>112</x:v>
      </x:c>
      <x:c r="Y1153" s="41" t="n">
        <x:v>74</x:v>
      </x:c>
    </x:row>
    <x:row r="1154">
      <x:c r="A1154" s="38" t="str">
        <x:v>7月30日现场数据</x:v>
      </x:c>
      <x:c r="B1154" s="66" t="str">
        <x:v>2026-08-03T13:40:27.692000</x:v>
      </x:c>
      <x:c r="C1154" s="47" t="n">
        <x:v>300973</x:v>
      </x:c>
      <x:c r="D1154" s="47" t="str"/>
      <x:c r="E1154" s="47" t="str"/>
      <x:c r="F1154" s="47" t="str">
        <x:v>current</x:v>
      </x:c>
      <x:c r="G1154" s="47" t="n">
        <x:v>1150</x:v>
      </x:c>
      <x:c r="H1154" s="53" t="b">
        <x:v>1</x:v>
      </x:c>
      <x:c r="I1154" s="47" t="str">
        <x:v>2682537910</x:v>
      </x:c>
      <x:c r="J1154" s="47" t="n">
        <x:v>169485029</x:v>
      </x:c>
      <x:c r="K1154" s="53" t="b">
        <x:v>1</x:v>
      </x:c>
      <x:c r="L1154" s="53" t="b">
        <x:v>1</x:v>
      </x:c>
      <x:c r="M1154" s="53" t="b">
        <x:v>1</x:v>
      </x:c>
      <x:c r="N1154" s="53" t="b">
        <x:v>1</x:v>
      </x:c>
      <x:c r="O1154" s="53" t="b">
        <x:v>1</x:v>
      </x:c>
      <x:c r="P1154" s="47" t="n">
        <x:v>1010</x:v>
      </x:c>
      <x:c r="Q1154" s="47" t="n">
        <x:v>0.065</x:v>
      </x:c>
      <x:c r="R1154" s="47" t="n">
        <x:v>1.747</x:v>
      </x:c>
      <x:c r="S1154" s="47" t="n">
        <x:v>37.4</x:v>
      </x:c>
      <x:c r="T1154" s="47" t="n">
        <x:v>55.52</x:v>
      </x:c>
      <x:c r="U1154" s="47" t="n">
        <x:v>31.8</x:v>
      </x:c>
      <x:c r="V1154" s="47" t="n">
        <x:v>13.7</x:v>
      </x:c>
      <x:c r="W1154" s="47" t="n">
        <x:v>37</x:v>
      </x:c>
      <x:c r="X1154" s="47" t="n">
        <x:v>121</x:v>
      </x:c>
      <x:c r="Y1154" s="41" t="n">
        <x:v>84</x:v>
      </x:c>
    </x:row>
    <x:row r="1155">
      <x:c r="A1155" s="38" t="str">
        <x:v>7月30日现场数据</x:v>
      </x:c>
      <x:c r="B1155" s="66" t="str">
        <x:v>2026-08-03T13:45:28.667000</x:v>
      </x:c>
      <x:c r="C1155" s="47" t="n">
        <x:v>300975</x:v>
      </x:c>
      <x:c r="D1155" s="47" t="str"/>
      <x:c r="E1155" s="47" t="str"/>
      <x:c r="F1155" s="47" t="str">
        <x:v>current</x:v>
      </x:c>
      <x:c r="G1155" s="47" t="n">
        <x:v>1151</x:v>
      </x:c>
      <x:c r="H1155" s="53" t="b">
        <x:v>1</x:v>
      </x:c>
      <x:c r="I1155" s="47" t="str">
        <x:v>2682537910</x:v>
      </x:c>
      <x:c r="J1155" s="47" t="n">
        <x:v>169786004</x:v>
      </x:c>
      <x:c r="K1155" s="53" t="b">
        <x:v>1</x:v>
      </x:c>
      <x:c r="L1155" s="53" t="b">
        <x:v>1</x:v>
      </x:c>
      <x:c r="M1155" s="53" t="b">
        <x:v>1</x:v>
      </x:c>
      <x:c r="N1155" s="53" t="b">
        <x:v>1</x:v>
      </x:c>
      <x:c r="O1155" s="53" t="b">
        <x:v>1</x:v>
      </x:c>
      <x:c r="P1155" s="47" t="n">
        <x:v>1010</x:v>
      </x:c>
      <x:c r="Q1155" s="47" t="n">
        <x:v>0.171</x:v>
      </x:c>
      <x:c r="R1155" s="47" t="n">
        <x:v>4.615</x:v>
      </x:c>
      <x:c r="S1155" s="47" t="n">
        <x:v>37.47</x:v>
      </x:c>
      <x:c r="T1155" s="47" t="n">
        <x:v>55.4</x:v>
      </x:c>
      <x:c r="U1155" s="47" t="n">
        <x:v>31.7</x:v>
      </x:c>
      <x:c r="V1155" s="47" t="n">
        <x:v>13.6</x:v>
      </x:c>
      <x:c r="W1155" s="47" t="n">
        <x:v>35</x:v>
      </x:c>
      <x:c r="X1155" s="47" t="n">
        <x:v>134</x:v>
      </x:c>
      <x:c r="Y1155" s="41" t="n">
        <x:v>99</x:v>
      </x:c>
    </x:row>
    <x:row r="1156">
      <x:c r="A1156" s="38" t="str">
        <x:v>7月30日现场数据</x:v>
      </x:c>
      <x:c r="B1156" s="66" t="str">
        <x:v>2026-08-03T13:50:29.642000</x:v>
      </x:c>
      <x:c r="C1156" s="47" t="n">
        <x:v>300975</x:v>
      </x:c>
      <x:c r="D1156" s="47" t="str"/>
      <x:c r="E1156" s="47" t="str"/>
      <x:c r="F1156" s="47" t="str">
        <x:v>current</x:v>
      </x:c>
      <x:c r="G1156" s="47" t="n">
        <x:v>1152</x:v>
      </x:c>
      <x:c r="H1156" s="53" t="b">
        <x:v>1</x:v>
      </x:c>
      <x:c r="I1156" s="47" t="str">
        <x:v>2682537910</x:v>
      </x:c>
      <x:c r="J1156" s="47" t="n">
        <x:v>170086979</x:v>
      </x:c>
      <x:c r="K1156" s="53" t="b">
        <x:v>1</x:v>
      </x:c>
      <x:c r="L1156" s="53" t="b">
        <x:v>1</x:v>
      </x:c>
      <x:c r="M1156" s="53" t="b">
        <x:v>1</x:v>
      </x:c>
      <x:c r="N1156" s="53" t="b">
        <x:v>1</x:v>
      </x:c>
      <x:c r="O1156" s="53" t="b">
        <x:v>1</x:v>
      </x:c>
      <x:c r="P1156" s="47" t="n">
        <x:v>1010</x:v>
      </x:c>
      <x:c r="Q1156" s="47" t="n">
        <x:v>0</x:v>
      </x:c>
      <x:c r="R1156" s="47" t="n">
        <x:v>0</x:v>
      </x:c>
      <x:c r="S1156" s="47" t="n">
        <x:v>37.85</x:v>
      </x:c>
      <x:c r="T1156" s="47" t="n">
        <x:v>55.37</x:v>
      </x:c>
      <x:c r="U1156" s="47" t="n">
        <x:v>31.7</x:v>
      </x:c>
      <x:c r="V1156" s="47" t="n">
        <x:v>13.7</x:v>
      </x:c>
      <x:c r="W1156" s="47" t="n">
        <x:v>36</x:v>
      </x:c>
      <x:c r="X1156" s="47" t="n">
        <x:v>313</x:v>
      </x:c>
      <x:c r="Y1156" s="41" t="n">
        <x:v>277</x:v>
      </x:c>
    </x:row>
    <x:row r="1157">
      <x:c r="A1157" s="38" t="str">
        <x:v>7月30日现场数据</x:v>
      </x:c>
      <x:c r="B1157" s="66" t="str">
        <x:v>2026-08-03T13:55:30.620000</x:v>
      </x:c>
      <x:c r="C1157" s="47" t="n">
        <x:v>300978</x:v>
      </x:c>
      <x:c r="D1157" s="47" t="str"/>
      <x:c r="E1157" s="47" t="str"/>
      <x:c r="F1157" s="47" t="str">
        <x:v>current</x:v>
      </x:c>
      <x:c r="G1157" s="47" t="n">
        <x:v>1153</x:v>
      </x:c>
      <x:c r="H1157" s="53" t="b">
        <x:v>1</x:v>
      </x:c>
      <x:c r="I1157" s="47" t="str">
        <x:v>2682537910</x:v>
      </x:c>
      <x:c r="J1157" s="47" t="n">
        <x:v>170387957</x:v>
      </x:c>
      <x:c r="K1157" s="53" t="b">
        <x:v>1</x:v>
      </x:c>
      <x:c r="L1157" s="53" t="b">
        <x:v>1</x:v>
      </x:c>
      <x:c r="M1157" s="53" t="b">
        <x:v>1</x:v>
      </x:c>
      <x:c r="N1157" s="53" t="b">
        <x:v>1</x:v>
      </x:c>
      <x:c r="O1157" s="53" t="b">
        <x:v>1</x:v>
      </x:c>
      <x:c r="P1157" s="47" t="n">
        <x:v>1010</x:v>
      </x:c>
      <x:c r="Q1157" s="47" t="n">
        <x:v>0</x:v>
      </x:c>
      <x:c r="R1157" s="47" t="n">
        <x:v>0</x:v>
      </x:c>
      <x:c r="S1157" s="47" t="n">
        <x:v>38.5</x:v>
      </x:c>
      <x:c r="T1157" s="47" t="n">
        <x:v>55.49</x:v>
      </x:c>
      <x:c r="U1157" s="47" t="n">
        <x:v>31.8</x:v>
      </x:c>
      <x:c r="V1157" s="47" t="n">
        <x:v>13.6</x:v>
      </x:c>
      <x:c r="W1157" s="47" t="n">
        <x:v>36</x:v>
      </x:c>
      <x:c r="X1157" s="47" t="n">
        <x:v>120</x:v>
      </x:c>
      <x:c r="Y1157" s="41" t="n">
        <x:v>84</x:v>
      </x:c>
    </x:row>
    <x:row r="1158">
      <x:c r="A1158" s="38" t="str">
        <x:v>7月30日现场数据</x:v>
      </x:c>
      <x:c r="B1158" s="66" t="str">
        <x:v>2026-08-03T14:00:31.601000</x:v>
      </x:c>
      <x:c r="C1158" s="47" t="n">
        <x:v>300981</x:v>
      </x:c>
      <x:c r="D1158" s="47" t="str"/>
      <x:c r="E1158" s="47" t="str"/>
      <x:c r="F1158" s="47" t="str">
        <x:v>current</x:v>
      </x:c>
      <x:c r="G1158" s="47" t="n">
        <x:v>1154</x:v>
      </x:c>
      <x:c r="H1158" s="53" t="b">
        <x:v>1</x:v>
      </x:c>
      <x:c r="I1158" s="47" t="str">
        <x:v>2682537910</x:v>
      </x:c>
      <x:c r="J1158" s="47" t="n">
        <x:v>170688938</x:v>
      </x:c>
      <x:c r="K1158" s="53" t="b">
        <x:v>1</x:v>
      </x:c>
      <x:c r="L1158" s="53" t="b">
        <x:v>1</x:v>
      </x:c>
      <x:c r="M1158" s="53" t="b">
        <x:v>1</x:v>
      </x:c>
      <x:c r="N1158" s="53" t="b">
        <x:v>1</x:v>
      </x:c>
      <x:c r="O1158" s="53" t="b">
        <x:v>1</x:v>
      </x:c>
      <x:c r="P1158" s="47" t="n">
        <x:v>1010</x:v>
      </x:c>
      <x:c r="Q1158" s="47" t="n">
        <x:v>0</x:v>
      </x:c>
      <x:c r="R1158" s="47" t="n">
        <x:v>0</x:v>
      </x:c>
      <x:c r="S1158" s="47" t="n">
        <x:v>38.89</x:v>
      </x:c>
      <x:c r="T1158" s="47" t="n">
        <x:v>55.46</x:v>
      </x:c>
      <x:c r="U1158" s="47" t="n">
        <x:v>31.9</x:v>
      </x:c>
      <x:c r="V1158" s="47" t="n">
        <x:v>13.7</x:v>
      </x:c>
      <x:c r="W1158" s="47" t="n">
        <x:v>37</x:v>
      </x:c>
      <x:c r="X1158" s="47" t="n">
        <x:v>112</x:v>
      </x:c>
      <x:c r="Y1158" s="41" t="n">
        <x:v>75</x:v>
      </x:c>
    </x:row>
    <x:row r="1159">
      <x:c r="A1159" s="38" t="str">
        <x:v>7月30日现场数据</x:v>
      </x:c>
      <x:c r="B1159" s="66" t="str">
        <x:v>2026-08-03T14:05:32.581000</x:v>
      </x:c>
      <x:c r="C1159" s="47" t="n">
        <x:v>300980</x:v>
      </x:c>
      <x:c r="D1159" s="47" t="str"/>
      <x:c r="E1159" s="47" t="str"/>
      <x:c r="F1159" s="47" t="str">
        <x:v>current</x:v>
      </x:c>
      <x:c r="G1159" s="47" t="n">
        <x:v>1155</x:v>
      </x:c>
      <x:c r="H1159" s="53" t="b">
        <x:v>1</x:v>
      </x:c>
      <x:c r="I1159" s="47" t="str">
        <x:v>2682537910</x:v>
      </x:c>
      <x:c r="J1159" s="47" t="n">
        <x:v>170989918</x:v>
      </x:c>
      <x:c r="K1159" s="53" t="b">
        <x:v>1</x:v>
      </x:c>
      <x:c r="L1159" s="53" t="b">
        <x:v>1</x:v>
      </x:c>
      <x:c r="M1159" s="53" t="b">
        <x:v>1</x:v>
      </x:c>
      <x:c r="N1159" s="53" t="b">
        <x:v>1</x:v>
      </x:c>
      <x:c r="O1159" s="53" t="b">
        <x:v>1</x:v>
      </x:c>
      <x:c r="P1159" s="47" t="n">
        <x:v>1010</x:v>
      </x:c>
      <x:c r="Q1159" s="47" t="n">
        <x:v>0.083</x:v>
      </x:c>
      <x:c r="R1159" s="47" t="n">
        <x:v>2.242</x:v>
      </x:c>
      <x:c r="S1159" s="47" t="n">
        <x:v>39.02</x:v>
      </x:c>
      <x:c r="T1159" s="47" t="n">
        <x:v>55.47</x:v>
      </x:c>
      <x:c r="U1159" s="47" t="n">
        <x:v>32</x:v>
      </x:c>
      <x:c r="V1159" s="47" t="n">
        <x:v>13.7</x:v>
      </x:c>
      <x:c r="W1159" s="47" t="n">
        <x:v>36</x:v>
      </x:c>
      <x:c r="X1159" s="47" t="n">
        <x:v>112</x:v>
      </x:c>
      <x:c r="Y1159" s="41" t="n">
        <x:v>76</x:v>
      </x:c>
    </x:row>
    <x:row r="1160">
      <x:c r="A1160" s="38" t="str">
        <x:v>7月30日现场数据</x:v>
      </x:c>
      <x:c r="B1160" s="66" t="str">
        <x:v>2026-08-03T14:10:33.563000</x:v>
      </x:c>
      <x:c r="C1160" s="47" t="n">
        <x:v>300982</x:v>
      </x:c>
      <x:c r="D1160" s="47" t="str"/>
      <x:c r="E1160" s="47" t="str"/>
      <x:c r="F1160" s="47" t="str">
        <x:v>current</x:v>
      </x:c>
      <x:c r="G1160" s="47" t="n">
        <x:v>1156</x:v>
      </x:c>
      <x:c r="H1160" s="53" t="b">
        <x:v>1</x:v>
      </x:c>
      <x:c r="I1160" s="47" t="str">
        <x:v>2682537910</x:v>
      </x:c>
      <x:c r="J1160" s="47" t="n">
        <x:v>171290900</x:v>
      </x:c>
      <x:c r="K1160" s="53" t="b">
        <x:v>1</x:v>
      </x:c>
      <x:c r="L1160" s="53" t="b">
        <x:v>1</x:v>
      </x:c>
      <x:c r="M1160" s="53" t="b">
        <x:v>1</x:v>
      </x:c>
      <x:c r="N1160" s="53" t="b">
        <x:v>1</x:v>
      </x:c>
      <x:c r="O1160" s="53" t="b">
        <x:v>1</x:v>
      </x:c>
      <x:c r="P1160" s="47" t="n">
        <x:v>1010</x:v>
      </x:c>
      <x:c r="Q1160" s="47" t="n">
        <x:v>0.126</x:v>
      </x:c>
      <x:c r="R1160" s="47" t="n">
        <x:v>3.396</x:v>
      </x:c>
      <x:c r="S1160" s="47" t="n">
        <x:v>38.45</x:v>
      </x:c>
      <x:c r="T1160" s="47" t="n">
        <x:v>55.24</x:v>
      </x:c>
      <x:c r="U1160" s="47" t="n">
        <x:v>31.9</x:v>
      </x:c>
      <x:c r="V1160" s="47" t="n">
        <x:v>13.6</x:v>
      </x:c>
      <x:c r="W1160" s="47" t="n">
        <x:v>36</x:v>
      </x:c>
      <x:c r="X1160" s="47" t="n">
        <x:v>110</x:v>
      </x:c>
      <x:c r="Y1160" s="41" t="n">
        <x:v>74</x:v>
      </x:c>
    </x:row>
    <x:row r="1161">
      <x:c r="A1161" s="38" t="str">
        <x:v>7月30日现场数据</x:v>
      </x:c>
      <x:c r="B1161" s="66" t="str">
        <x:v>2026-08-03T14:15:34.551000</x:v>
      </x:c>
      <x:c r="C1161" s="47" t="n">
        <x:v>300988</x:v>
      </x:c>
      <x:c r="D1161" s="47" t="str"/>
      <x:c r="E1161" s="47" t="str"/>
      <x:c r="F1161" s="47" t="str">
        <x:v>current</x:v>
      </x:c>
      <x:c r="G1161" s="47" t="n">
        <x:v>1157</x:v>
      </x:c>
      <x:c r="H1161" s="53" t="b">
        <x:v>1</x:v>
      </x:c>
      <x:c r="I1161" s="47" t="str">
        <x:v>2682537910</x:v>
      </x:c>
      <x:c r="J1161" s="47" t="n">
        <x:v>171591888</x:v>
      </x:c>
      <x:c r="K1161" s="53" t="b">
        <x:v>1</x:v>
      </x:c>
      <x:c r="L1161" s="53" t="b">
        <x:v>1</x:v>
      </x:c>
      <x:c r="M1161" s="53" t="b">
        <x:v>1</x:v>
      </x:c>
      <x:c r="N1161" s="53" t="b">
        <x:v>1</x:v>
      </x:c>
      <x:c r="O1161" s="53" t="b">
        <x:v>1</x:v>
      </x:c>
      <x:c r="P1161" s="47" t="n">
        <x:v>1010</x:v>
      </x:c>
      <x:c r="Q1161" s="47" t="n">
        <x:v>0</x:v>
      </x:c>
      <x:c r="R1161" s="47" t="n">
        <x:v>0</x:v>
      </x:c>
      <x:c r="S1161" s="47" t="n">
        <x:v>37.76</x:v>
      </x:c>
      <x:c r="T1161" s="47" t="n">
        <x:v>54.93</x:v>
      </x:c>
      <x:c r="U1161" s="47" t="n">
        <x:v>31.8</x:v>
      </x:c>
      <x:c r="V1161" s="47" t="n">
        <x:v>13.6</x:v>
      </x:c>
      <x:c r="W1161" s="47" t="n">
        <x:v>37</x:v>
      </x:c>
      <x:c r="X1161" s="47" t="n">
        <x:v>110</x:v>
      </x:c>
      <x:c r="Y1161" s="41" t="n">
        <x:v>73</x:v>
      </x:c>
    </x:row>
    <x:row r="1162">
      <x:c r="A1162" s="38" t="str">
        <x:v>7月30日现场数据</x:v>
      </x:c>
      <x:c r="B1162" s="66" t="str">
        <x:v>2026-08-03T14:20:35.572000</x:v>
      </x:c>
      <x:c r="C1162" s="47" t="n">
        <x:v>301021</x:v>
      </x:c>
      <x:c r="D1162" s="47" t="str"/>
      <x:c r="E1162" s="47" t="str"/>
      <x:c r="F1162" s="47" t="str">
        <x:v>current</x:v>
      </x:c>
      <x:c r="G1162" s="47" t="n">
        <x:v>1158</x:v>
      </x:c>
      <x:c r="H1162" s="53" t="b">
        <x:v>1</x:v>
      </x:c>
      <x:c r="I1162" s="47" t="str">
        <x:v>2682537910</x:v>
      </x:c>
      <x:c r="J1162" s="47" t="n">
        <x:v>171892909</x:v>
      </x:c>
      <x:c r="K1162" s="53" t="b">
        <x:v>1</x:v>
      </x:c>
      <x:c r="L1162" s="53" t="b">
        <x:v>1</x:v>
      </x:c>
      <x:c r="M1162" s="53" t="b">
        <x:v>1</x:v>
      </x:c>
      <x:c r="N1162" s="53" t="b">
        <x:v>1</x:v>
      </x:c>
      <x:c r="O1162" s="53" t="b">
        <x:v>1</x:v>
      </x:c>
      <x:c r="P1162" s="47" t="n">
        <x:v>1010</x:v>
      </x:c>
      <x:c r="Q1162" s="47" t="n">
        <x:v>0</x:v>
      </x:c>
      <x:c r="R1162" s="47" t="n">
        <x:v>0</x:v>
      </x:c>
      <x:c r="S1162" s="47" t="n">
        <x:v>37.79</x:v>
      </x:c>
      <x:c r="T1162" s="47" t="n">
        <x:v>54.78</x:v>
      </x:c>
      <x:c r="U1162" s="47" t="n">
        <x:v>31.7</x:v>
      </x:c>
      <x:c r="V1162" s="47" t="n">
        <x:v>13.6</x:v>
      </x:c>
      <x:c r="W1162" s="47" t="n">
        <x:v>37</x:v>
      </x:c>
      <x:c r="X1162" s="47" t="n">
        <x:v>110</x:v>
      </x:c>
      <x:c r="Y1162" s="41" t="n">
        <x:v>73</x:v>
      </x:c>
    </x:row>
    <x:row r="1163">
      <x:c r="A1163" s="38" t="str">
        <x:v>7月30日现场数据</x:v>
      </x:c>
      <x:c r="B1163" s="66" t="str">
        <x:v>2026-08-03T14:25:36.532000</x:v>
      </x:c>
      <x:c r="C1163" s="47" t="n">
        <x:v>300960</x:v>
      </x:c>
      <x:c r="D1163" s="47" t="str"/>
      <x:c r="E1163" s="47" t="str"/>
      <x:c r="F1163" s="47" t="str">
        <x:v>current</x:v>
      </x:c>
      <x:c r="G1163" s="47" t="n">
        <x:v>1159</x:v>
      </x:c>
      <x:c r="H1163" s="53" t="b">
        <x:v>1</x:v>
      </x:c>
      <x:c r="I1163" s="47" t="str">
        <x:v>2682537910</x:v>
      </x:c>
      <x:c r="J1163" s="47" t="n">
        <x:v>172193869</x:v>
      </x:c>
      <x:c r="K1163" s="53" t="b">
        <x:v>1</x:v>
      </x:c>
      <x:c r="L1163" s="53" t="b">
        <x:v>1</x:v>
      </x:c>
      <x:c r="M1163" s="53" t="b">
        <x:v>1</x:v>
      </x:c>
      <x:c r="N1163" s="53" t="b">
        <x:v>1</x:v>
      </x:c>
      <x:c r="O1163" s="53" t="b">
        <x:v>1</x:v>
      </x:c>
      <x:c r="P1163" s="47" t="n">
        <x:v>1010</x:v>
      </x:c>
      <x:c r="Q1163" s="47" t="n">
        <x:v>0.195</x:v>
      </x:c>
      <x:c r="R1163" s="47" t="n">
        <x:v>5.275</x:v>
      </x:c>
      <x:c r="S1163" s="47" t="n">
        <x:v>37.28</x:v>
      </x:c>
      <x:c r="T1163" s="47" t="n">
        <x:v>54.65</x:v>
      </x:c>
      <x:c r="U1163" s="47" t="n">
        <x:v>31.7</x:v>
      </x:c>
      <x:c r="V1163" s="47" t="n">
        <x:v>13.6</x:v>
      </x:c>
      <x:c r="W1163" s="47" t="n">
        <x:v>41</x:v>
      </x:c>
      <x:c r="X1163" s="47" t="n">
        <x:v>109</x:v>
      </x:c>
      <x:c r="Y1163" s="41" t="n">
        <x:v>68</x:v>
      </x:c>
    </x:row>
    <x:row r="1164">
      <x:c r="A1164" s="38" t="str">
        <x:v>7月30日现场数据</x:v>
      </x:c>
      <x:c r="B1164" s="66" t="str">
        <x:v>2026-08-03T14:30:37.495000</x:v>
      </x:c>
      <x:c r="C1164" s="47" t="n">
        <x:v>300963</x:v>
      </x:c>
      <x:c r="D1164" s="47" t="str"/>
      <x:c r="E1164" s="47" t="str"/>
      <x:c r="F1164" s="47" t="str">
        <x:v>current</x:v>
      </x:c>
      <x:c r="G1164" s="47" t="n">
        <x:v>1160</x:v>
      </x:c>
      <x:c r="H1164" s="53" t="b">
        <x:v>1</x:v>
      </x:c>
      <x:c r="I1164" s="47" t="str">
        <x:v>2682537910</x:v>
      </x:c>
      <x:c r="J1164" s="47" t="n">
        <x:v>172494832</x:v>
      </x:c>
      <x:c r="K1164" s="53" t="b">
        <x:v>1</x:v>
      </x:c>
      <x:c r="L1164" s="53" t="b">
        <x:v>1</x:v>
      </x:c>
      <x:c r="M1164" s="53" t="b">
        <x:v>1</x:v>
      </x:c>
      <x:c r="N1164" s="53" t="b">
        <x:v>1</x:v>
      </x:c>
      <x:c r="O1164" s="53" t="b">
        <x:v>1</x:v>
      </x:c>
      <x:c r="P1164" s="47" t="n">
        <x:v>1010</x:v>
      </x:c>
      <x:c r="Q1164" s="47" t="n">
        <x:v>0.076</x:v>
      </x:c>
      <x:c r="R1164" s="47" t="n">
        <x:v>2.044</x:v>
      </x:c>
      <x:c r="S1164" s="47" t="n">
        <x:v>37.03</x:v>
      </x:c>
      <x:c r="T1164" s="47" t="n">
        <x:v>54.32</x:v>
      </x:c>
      <x:c r="U1164" s="47" t="n">
        <x:v>31.7</x:v>
      </x:c>
      <x:c r="V1164" s="47" t="n">
        <x:v>13.5</x:v>
      </x:c>
      <x:c r="W1164" s="47" t="n">
        <x:v>39</x:v>
      </x:c>
      <x:c r="X1164" s="47" t="n">
        <x:v>108</x:v>
      </x:c>
      <x:c r="Y1164" s="41" t="n">
        <x:v>69</x:v>
      </x:c>
    </x:row>
    <x:row r="1165">
      <x:c r="A1165" s="38" t="str">
        <x:v>7月30日现场数据</x:v>
      </x:c>
      <x:c r="B1165" s="66" t="str">
        <x:v>2026-08-03T14:35:38.459000</x:v>
      </x:c>
      <x:c r="C1165" s="47" t="n">
        <x:v>300964</x:v>
      </x:c>
      <x:c r="D1165" s="47" t="str"/>
      <x:c r="E1165" s="47" t="str"/>
      <x:c r="F1165" s="47" t="str">
        <x:v>current</x:v>
      </x:c>
      <x:c r="G1165" s="47" t="n">
        <x:v>1161</x:v>
      </x:c>
      <x:c r="H1165" s="53" t="b">
        <x:v>1</x:v>
      </x:c>
      <x:c r="I1165" s="47" t="str">
        <x:v>2682537910</x:v>
      </x:c>
      <x:c r="J1165" s="47" t="n">
        <x:v>172795796</x:v>
      </x:c>
      <x:c r="K1165" s="53" t="b">
        <x:v>1</x:v>
      </x:c>
      <x:c r="L1165" s="53" t="b">
        <x:v>1</x:v>
      </x:c>
      <x:c r="M1165" s="53" t="b">
        <x:v>1</x:v>
      </x:c>
      <x:c r="N1165" s="53" t="b">
        <x:v>1</x:v>
      </x:c>
      <x:c r="O1165" s="53" t="b">
        <x:v>1</x:v>
      </x:c>
      <x:c r="P1165" s="47" t="n">
        <x:v>1009</x:v>
      </x:c>
      <x:c r="Q1165" s="47" t="n">
        <x:v>0</x:v>
      </x:c>
      <x:c r="R1165" s="47" t="n">
        <x:v>0</x:v>
      </x:c>
      <x:c r="S1165" s="47" t="n">
        <x:v>36.71</x:v>
      </x:c>
      <x:c r="T1165" s="47" t="n">
        <x:v>54.15</x:v>
      </x:c>
      <x:c r="U1165" s="47" t="n">
        <x:v>31.7</x:v>
      </x:c>
      <x:c r="V1165" s="47" t="n">
        <x:v>13.5</x:v>
      </x:c>
      <x:c r="W1165" s="47" t="n">
        <x:v>37</x:v>
      </x:c>
      <x:c r="X1165" s="47" t="n">
        <x:v>114</x:v>
      </x:c>
      <x:c r="Y1165" s="41" t="n">
        <x:v>77</x:v>
      </x:c>
    </x:row>
    <x:row r="1166">
      <x:c r="A1166" s="38" t="str">
        <x:v>7月30日现场数据</x:v>
      </x:c>
      <x:c r="B1166" s="66" t="str">
        <x:v>2026-08-03T14:35:39.800000</x:v>
      </x:c>
      <x:c r="C1166" s="47" t="n">
        <x:v>1341</x:v>
      </x:c>
      <x:c r="D1166" s="47" t="str">
        <x:v>设备重启</x:v>
      </x:c>
      <x:c r="E1166" s="47" t="str">
        <x:v>bootSessionId 变化，uptime 重置</x:v>
      </x:c>
      <x:c r="F1166" s="47" t="str">
        <x:v>current</x:v>
      </x:c>
      <x:c r="G1166" s="47" t="n">
        <x:v>1162</x:v>
      </x:c>
      <x:c r="H1166" s="53" t="b">
        <x:v>1</x:v>
      </x:c>
      <x:c r="I1166" s="47" t="str">
        <x:v>2311811481</x:v>
      </x:c>
      <x:c r="J1166" s="47" t="n">
        <x:v>1341</x:v>
      </x:c>
      <x:c r="K1166" s="53" t="b">
        <x:v>1</x:v>
      </x:c>
      <x:c r="L1166" s="53" t="b">
        <x:v>1</x:v>
      </x:c>
      <x:c r="M1166" s="53" t="b">
        <x:v>1</x:v>
      </x:c>
      <x:c r="N1166" s="53" t="b">
        <x:v>1</x:v>
      </x:c>
      <x:c r="O1166" s="53" t="b">
        <x:v>1</x:v>
      </x:c>
      <x:c r="P1166" s="47" t="n">
        <x:v>1010</x:v>
      </x:c>
      <x:c r="Q1166" s="47" t="n">
        <x:v>0.026</x:v>
      </x:c>
      <x:c r="R1166" s="47" t="n">
        <x:v>0.692</x:v>
      </x:c>
      <x:c r="S1166" s="47" t="n">
        <x:v>36.93</x:v>
      </x:c>
      <x:c r="T1166" s="47" t="n">
        <x:v>54.15</x:v>
      </x:c>
      <x:c r="U1166" s="47" t="n">
        <x:v>31.7</x:v>
      </x:c>
      <x:c r="V1166" s="47" t="n">
        <x:v>13.2</x:v>
      </x:c>
      <x:c r="W1166" s="47" t="n">
        <x:v>40</x:v>
      </x:c>
      <x:c r="X1166" s="47" t="n">
        <x:v>108</x:v>
      </x:c>
      <x:c r="Y1166" s="41" t="n">
        <x:v>68</x:v>
      </x:c>
    </x:row>
    <x:row r="1167">
      <x:c r="A1167" s="38" t="str">
        <x:v>7月30日现场数据</x:v>
      </x:c>
      <x:c r="B1167" s="66" t="str">
        <x:v>2026-08-03T14:40:40.780000</x:v>
      </x:c>
      <x:c r="C1167" s="47" t="n">
        <x:v>300980</x:v>
      </x:c>
      <x:c r="D1167" s="47" t="str"/>
      <x:c r="E1167" s="47" t="str"/>
      <x:c r="F1167" s="47" t="str">
        <x:v>current</x:v>
      </x:c>
      <x:c r="G1167" s="47" t="n">
        <x:v>1163</x:v>
      </x:c>
      <x:c r="H1167" s="53" t="b">
        <x:v>1</x:v>
      </x:c>
      <x:c r="I1167" s="47" t="str">
        <x:v>2311811481</x:v>
      </x:c>
      <x:c r="J1167" s="47" t="n">
        <x:v>302321</x:v>
      </x:c>
      <x:c r="K1167" s="53" t="b">
        <x:v>1</x:v>
      </x:c>
      <x:c r="L1167" s="53" t="b">
        <x:v>1</x:v>
      </x:c>
      <x:c r="M1167" s="53" t="b">
        <x:v>1</x:v>
      </x:c>
      <x:c r="N1167" s="53" t="b">
        <x:v>1</x:v>
      </x:c>
      <x:c r="O1167" s="53" t="b">
        <x:v>1</x:v>
      </x:c>
      <x:c r="P1167" s="47" t="n">
        <x:v>1009</x:v>
      </x:c>
      <x:c r="Q1167" s="47" t="n">
        <x:v>0.098</x:v>
      </x:c>
      <x:c r="R1167" s="47" t="n">
        <x:v>2.637</x:v>
      </x:c>
      <x:c r="S1167" s="47" t="n">
        <x:v>36.24</x:v>
      </x:c>
      <x:c r="T1167" s="47" t="n">
        <x:v>53.98</x:v>
      </x:c>
      <x:c r="U1167" s="47" t="n">
        <x:v>31.7</x:v>
      </x:c>
      <x:c r="V1167" s="47" t="n">
        <x:v>13.6</x:v>
      </x:c>
      <x:c r="W1167" s="47" t="n">
        <x:v>38</x:v>
      </x:c>
      <x:c r="X1167" s="47" t="n">
        <x:v>119</x:v>
      </x:c>
      <x:c r="Y1167" s="41" t="n">
        <x:v>81</x:v>
      </x:c>
    </x:row>
    <x:row r="1168">
      <x:c r="A1168" s="38" t="str">
        <x:v>7月30日现场数据</x:v>
      </x:c>
      <x:c r="B1168" s="66" t="str">
        <x:v>2026-08-03T14:45:41.751000</x:v>
      </x:c>
      <x:c r="C1168" s="47" t="n">
        <x:v>300971</x:v>
      </x:c>
      <x:c r="D1168" s="47" t="str"/>
      <x:c r="E1168" s="47" t="str"/>
      <x:c r="F1168" s="47" t="str">
        <x:v>current</x:v>
      </x:c>
      <x:c r="G1168" s="47" t="n">
        <x:v>1164</x:v>
      </x:c>
      <x:c r="H1168" s="53" t="b">
        <x:v>1</x:v>
      </x:c>
      <x:c r="I1168" s="47" t="str">
        <x:v>2311811481</x:v>
      </x:c>
      <x:c r="J1168" s="47" t="n">
        <x:v>603292</x:v>
      </x:c>
      <x:c r="K1168" s="53" t="b">
        <x:v>1</x:v>
      </x:c>
      <x:c r="L1168" s="53" t="b">
        <x:v>1</x:v>
      </x:c>
      <x:c r="M1168" s="53" t="b">
        <x:v>1</x:v>
      </x:c>
      <x:c r="N1168" s="53" t="b">
        <x:v>1</x:v>
      </x:c>
      <x:c r="O1168" s="53" t="b">
        <x:v>1</x:v>
      </x:c>
      <x:c r="P1168" s="47" t="n">
        <x:v>1009</x:v>
      </x:c>
      <x:c r="Q1168" s="47" t="n">
        <x:v>0.04</x:v>
      </x:c>
      <x:c r="R1168" s="47" t="n">
        <x:v>1.088</x:v>
      </x:c>
      <x:c r="S1168" s="47" t="n">
        <x:v>37.13</x:v>
      </x:c>
      <x:c r="T1168" s="47" t="n">
        <x:v>53.92</x:v>
      </x:c>
      <x:c r="U1168" s="47" t="n">
        <x:v>31.6</x:v>
      </x:c>
      <x:c r="V1168" s="47" t="n">
        <x:v>13.7</x:v>
      </x:c>
      <x:c r="W1168" s="47" t="n">
        <x:v>37</x:v>
      </x:c>
      <x:c r="X1168" s="47" t="n">
        <x:v>107</x:v>
      </x:c>
      <x:c r="Y1168" s="41" t="n">
        <x:v>70</x:v>
      </x:c>
    </x:row>
    <x:row r="1169">
      <x:c r="A1169" s="38" t="str">
        <x:v>7月30日现场数据</x:v>
      </x:c>
      <x:c r="B1169" s="66" t="str">
        <x:v>2026-08-03T14:50:42.721000</x:v>
      </x:c>
      <x:c r="C1169" s="47" t="n">
        <x:v>300970</x:v>
      </x:c>
      <x:c r="D1169" s="47" t="str"/>
      <x:c r="E1169" s="47" t="str"/>
      <x:c r="F1169" s="47" t="str">
        <x:v>current</x:v>
      </x:c>
      <x:c r="G1169" s="47" t="n">
        <x:v>1165</x:v>
      </x:c>
      <x:c r="H1169" s="53" t="b">
        <x:v>1</x:v>
      </x:c>
      <x:c r="I1169" s="47" t="str">
        <x:v>2311811481</x:v>
      </x:c>
      <x:c r="J1169" s="47" t="n">
        <x:v>904262</x:v>
      </x:c>
      <x:c r="K1169" s="53" t="b">
        <x:v>1</x:v>
      </x:c>
      <x:c r="L1169" s="53" t="b">
        <x:v>1</x:v>
      </x:c>
      <x:c r="M1169" s="53" t="b">
        <x:v>1</x:v>
      </x:c>
      <x:c r="N1169" s="53" t="b">
        <x:v>1</x:v>
      </x:c>
      <x:c r="O1169" s="53" t="b">
        <x:v>1</x:v>
      </x:c>
      <x:c r="P1169" s="47" t="n">
        <x:v>1009</x:v>
      </x:c>
      <x:c r="Q1169" s="47" t="n">
        <x:v>0.26</x:v>
      </x:c>
      <x:c r="R1169" s="47" t="n">
        <x:v>7.022</x:v>
      </x:c>
      <x:c r="S1169" s="47" t="n">
        <x:v>36.67</x:v>
      </x:c>
      <x:c r="T1169" s="47" t="n">
        <x:v>53.96</x:v>
      </x:c>
      <x:c r="U1169" s="47" t="n">
        <x:v>31.6</x:v>
      </x:c>
      <x:c r="V1169" s="47" t="n">
        <x:v>13.7</x:v>
      </x:c>
      <x:c r="W1169" s="47" t="n">
        <x:v>37</x:v>
      </x:c>
      <x:c r="X1169" s="47" t="n">
        <x:v>107</x:v>
      </x:c>
      <x:c r="Y1169" s="41" t="n">
        <x:v>70</x:v>
      </x:c>
    </x:row>
    <x:row r="1170">
      <x:c r="A1170" s="38" t="str">
        <x:v>7月30日现场数据</x:v>
      </x:c>
      <x:c r="B1170" s="66" t="str">
        <x:v>2026-08-03T14:55:43.696000</x:v>
      </x:c>
      <x:c r="C1170" s="47" t="n">
        <x:v>300975</x:v>
      </x:c>
      <x:c r="D1170" s="47" t="str"/>
      <x:c r="E1170" s="47" t="str"/>
      <x:c r="F1170" s="47" t="str">
        <x:v>current</x:v>
      </x:c>
      <x:c r="G1170" s="47" t="n">
        <x:v>1166</x:v>
      </x:c>
      <x:c r="H1170" s="53" t="b">
        <x:v>1</x:v>
      </x:c>
      <x:c r="I1170" s="47" t="str">
        <x:v>2311811481</x:v>
      </x:c>
      <x:c r="J1170" s="47" t="n">
        <x:v>1205237</x:v>
      </x:c>
      <x:c r="K1170" s="53" t="b">
        <x:v>1</x:v>
      </x:c>
      <x:c r="L1170" s="53" t="b">
        <x:v>1</x:v>
      </x:c>
      <x:c r="M1170" s="53" t="b">
        <x:v>1</x:v>
      </x:c>
      <x:c r="N1170" s="53" t="b">
        <x:v>1</x:v>
      </x:c>
      <x:c r="O1170" s="53" t="b">
        <x:v>1</x:v>
      </x:c>
      <x:c r="P1170" s="47" t="n">
        <x:v>1010</x:v>
      </x:c>
      <x:c r="Q1170" s="47" t="n">
        <x:v>0</x:v>
      </x:c>
      <x:c r="R1170" s="47" t="n">
        <x:v>0</x:v>
      </x:c>
      <x:c r="S1170" s="47" t="n">
        <x:v>37.3</x:v>
      </x:c>
      <x:c r="T1170" s="47" t="n">
        <x:v>53.82</x:v>
      </x:c>
      <x:c r="U1170" s="47" t="n">
        <x:v>31.6</x:v>
      </x:c>
      <x:c r="V1170" s="47" t="n">
        <x:v>13.6</x:v>
      </x:c>
      <x:c r="W1170" s="47" t="n">
        <x:v>36</x:v>
      </x:c>
      <x:c r="X1170" s="47" t="n">
        <x:v>109</x:v>
      </x:c>
      <x:c r="Y1170" s="41" t="n">
        <x:v>73</x:v>
      </x:c>
    </x:row>
    <x:row r="1171">
      <x:c r="A1171" s="38" t="str">
        <x:v>7月30日现场数据</x:v>
      </x:c>
      <x:c r="B1171" s="66" t="str">
        <x:v>2026-08-03T15:00:44.672000</x:v>
      </x:c>
      <x:c r="C1171" s="47" t="n">
        <x:v>300976</x:v>
      </x:c>
      <x:c r="D1171" s="47" t="str"/>
      <x:c r="E1171" s="47" t="str"/>
      <x:c r="F1171" s="47" t="str">
        <x:v>current</x:v>
      </x:c>
      <x:c r="G1171" s="47" t="n">
        <x:v>1167</x:v>
      </x:c>
      <x:c r="H1171" s="53" t="b">
        <x:v>1</x:v>
      </x:c>
      <x:c r="I1171" s="47" t="str">
        <x:v>2311811481</x:v>
      </x:c>
      <x:c r="J1171" s="47" t="n">
        <x:v>1506213</x:v>
      </x:c>
      <x:c r="K1171" s="53" t="b">
        <x:v>1</x:v>
      </x:c>
      <x:c r="L1171" s="53" t="b">
        <x:v>1</x:v>
      </x:c>
      <x:c r="M1171" s="53" t="b">
        <x:v>1</x:v>
      </x:c>
      <x:c r="N1171" s="53" t="b">
        <x:v>1</x:v>
      </x:c>
      <x:c r="O1171" s="53" t="b">
        <x:v>1</x:v>
      </x:c>
      <x:c r="P1171" s="47" t="n">
        <x:v>1009</x:v>
      </x:c>
      <x:c r="Q1171" s="47" t="n">
        <x:v>0.063</x:v>
      </x:c>
      <x:c r="R1171" s="47" t="n">
        <x:v>1.714</x:v>
      </x:c>
      <x:c r="S1171" s="47" t="n">
        <x:v>36.66</x:v>
      </x:c>
      <x:c r="T1171" s="47" t="n">
        <x:v>53.68</x:v>
      </x:c>
      <x:c r="U1171" s="47" t="n">
        <x:v>31.7</x:v>
      </x:c>
      <x:c r="V1171" s="47" t="n">
        <x:v>13.6</x:v>
      </x:c>
      <x:c r="W1171" s="47" t="n">
        <x:v>35</x:v>
      </x:c>
      <x:c r="X1171" s="47" t="n">
        <x:v>111</x:v>
      </x:c>
      <x:c r="Y1171" s="41" t="n">
        <x:v>76</x:v>
      </x:c>
    </x:row>
    <x:row r="1172">
      <x:c r="A1172" s="38" t="str">
        <x:v>7月30日现场数据</x:v>
      </x:c>
      <x:c r="B1172" s="66" t="str">
        <x:v>2026-08-03T15:05:45.650000</x:v>
      </x:c>
      <x:c r="C1172" s="47" t="n">
        <x:v>300978</x:v>
      </x:c>
      <x:c r="D1172" s="47" t="str"/>
      <x:c r="E1172" s="47" t="str"/>
      <x:c r="F1172" s="47" t="str">
        <x:v>current</x:v>
      </x:c>
      <x:c r="G1172" s="47" t="n">
        <x:v>1168</x:v>
      </x:c>
      <x:c r="H1172" s="53" t="b">
        <x:v>1</x:v>
      </x:c>
      <x:c r="I1172" s="47" t="str">
        <x:v>2311811481</x:v>
      </x:c>
      <x:c r="J1172" s="47" t="n">
        <x:v>1807191</x:v>
      </x:c>
      <x:c r="K1172" s="53" t="b">
        <x:v>1</x:v>
      </x:c>
      <x:c r="L1172" s="53" t="b">
        <x:v>1</x:v>
      </x:c>
      <x:c r="M1172" s="53" t="b">
        <x:v>1</x:v>
      </x:c>
      <x:c r="N1172" s="53" t="b">
        <x:v>1</x:v>
      </x:c>
      <x:c r="O1172" s="53" t="b">
        <x:v>1</x:v>
      </x:c>
      <x:c r="P1172" s="47" t="n">
        <x:v>1009</x:v>
      </x:c>
      <x:c r="Q1172" s="47" t="n">
        <x:v>0.062</x:v>
      </x:c>
      <x:c r="R1172" s="47" t="n">
        <x:v>1.681</x:v>
      </x:c>
      <x:c r="S1172" s="47" t="n">
        <x:v>36.79</x:v>
      </x:c>
      <x:c r="T1172" s="47" t="n">
        <x:v>53.53</x:v>
      </x:c>
      <x:c r="U1172" s="47" t="n">
        <x:v>31.6</x:v>
      </x:c>
      <x:c r="V1172" s="47" t="n">
        <x:v>13.6</x:v>
      </x:c>
      <x:c r="W1172" s="47" t="n">
        <x:v>36</x:v>
      </x:c>
      <x:c r="X1172" s="47" t="n">
        <x:v>137</x:v>
      </x:c>
      <x:c r="Y1172" s="41" t="n">
        <x:v>101</x:v>
      </x:c>
    </x:row>
    <x:row r="1173">
      <x:c r="A1173" s="38" t="str">
        <x:v>7月30日现场数据</x:v>
      </x:c>
      <x:c r="B1173" s="66" t="str">
        <x:v>2026-08-03T15:10:46.628000</x:v>
      </x:c>
      <x:c r="C1173" s="47" t="n">
        <x:v>300978</x:v>
      </x:c>
      <x:c r="D1173" s="47" t="str"/>
      <x:c r="E1173" s="47" t="str"/>
      <x:c r="F1173" s="47" t="str">
        <x:v>current</x:v>
      </x:c>
      <x:c r="G1173" s="47" t="n">
        <x:v>1169</x:v>
      </x:c>
      <x:c r="H1173" s="53" t="b">
        <x:v>1</x:v>
      </x:c>
      <x:c r="I1173" s="47" t="str">
        <x:v>2311811481</x:v>
      </x:c>
      <x:c r="J1173" s="47" t="n">
        <x:v>2108169</x:v>
      </x:c>
      <x:c r="K1173" s="53" t="b">
        <x:v>1</x:v>
      </x:c>
      <x:c r="L1173" s="53" t="b">
        <x:v>1</x:v>
      </x:c>
      <x:c r="M1173" s="53" t="b">
        <x:v>1</x:v>
      </x:c>
      <x:c r="N1173" s="53" t="b">
        <x:v>1</x:v>
      </x:c>
      <x:c r="O1173" s="53" t="b">
        <x:v>1</x:v>
      </x:c>
      <x:c r="P1173" s="47" t="n">
        <x:v>1009</x:v>
      </x:c>
      <x:c r="Q1173" s="47" t="n">
        <x:v>0</x:v>
      </x:c>
      <x:c r="R1173" s="47" t="n">
        <x:v>0</x:v>
      </x:c>
      <x:c r="S1173" s="47" t="n">
        <x:v>36.57</x:v>
      </x:c>
      <x:c r="T1173" s="47" t="n">
        <x:v>53.44</x:v>
      </x:c>
      <x:c r="U1173" s="47" t="n">
        <x:v>31.6</x:v>
      </x:c>
      <x:c r="V1173" s="47" t="n">
        <x:v>13.6</x:v>
      </x:c>
      <x:c r="W1173" s="47" t="n">
        <x:v>38</x:v>
      </x:c>
      <x:c r="X1173" s="47" t="n">
        <x:v>105</x:v>
      </x:c>
      <x:c r="Y1173" s="41" t="n">
        <x:v>67</x:v>
      </x:c>
    </x:row>
    <x:row r="1174">
      <x:c r="A1174" s="38" t="str">
        <x:v>7月30日现场数据</x:v>
      </x:c>
      <x:c r="B1174" s="66" t="str">
        <x:v>2026-08-03T15:15:47.611000</x:v>
      </x:c>
      <x:c r="C1174" s="47" t="n">
        <x:v>300983</x:v>
      </x:c>
      <x:c r="D1174" s="47" t="str"/>
      <x:c r="E1174" s="47" t="str"/>
      <x:c r="F1174" s="47" t="str">
        <x:v>current</x:v>
      </x:c>
      <x:c r="G1174" s="47" t="n">
        <x:v>1170</x:v>
      </x:c>
      <x:c r="H1174" s="53" t="b">
        <x:v>1</x:v>
      </x:c>
      <x:c r="I1174" s="47" t="str">
        <x:v>2311811481</x:v>
      </x:c>
      <x:c r="J1174" s="47" t="n">
        <x:v>2409152</x:v>
      </x:c>
      <x:c r="K1174" s="53" t="b">
        <x:v>1</x:v>
      </x:c>
      <x:c r="L1174" s="53" t="b">
        <x:v>1</x:v>
      </x:c>
      <x:c r="M1174" s="53" t="b">
        <x:v>1</x:v>
      </x:c>
      <x:c r="N1174" s="53" t="b">
        <x:v>1</x:v>
      </x:c>
      <x:c r="O1174" s="53" t="b">
        <x:v>1</x:v>
      </x:c>
      <x:c r="P1174" s="47" t="n">
        <x:v>1009</x:v>
      </x:c>
      <x:c r="Q1174" s="47" t="n">
        <x:v>0</x:v>
      </x:c>
      <x:c r="R1174" s="47" t="n">
        <x:v>0</x:v>
      </x:c>
      <x:c r="S1174" s="47" t="n">
        <x:v>37.16</x:v>
      </x:c>
      <x:c r="T1174" s="47" t="n">
        <x:v>53.4</x:v>
      </x:c>
      <x:c r="U1174" s="47" t="n">
        <x:v>31.6</x:v>
      </x:c>
      <x:c r="V1174" s="47" t="n">
        <x:v>13.6</x:v>
      </x:c>
      <x:c r="W1174" s="47" t="n">
        <x:v>39</x:v>
      </x:c>
      <x:c r="X1174" s="47" t="n">
        <x:v>109</x:v>
      </x:c>
      <x:c r="Y1174" s="41" t="n">
        <x:v>70</x:v>
      </x:c>
    </x:row>
    <x:row r="1175">
      <x:c r="A1175" s="38" t="str">
        <x:v>7月30日现场数据</x:v>
      </x:c>
      <x:c r="B1175" s="66" t="str">
        <x:v>2026-08-03T15:20:48.594000</x:v>
      </x:c>
      <x:c r="C1175" s="47" t="n">
        <x:v>300983</x:v>
      </x:c>
      <x:c r="D1175" s="47" t="str"/>
      <x:c r="E1175" s="47" t="str"/>
      <x:c r="F1175" s="47" t="str">
        <x:v>current</x:v>
      </x:c>
      <x:c r="G1175" s="47" t="n">
        <x:v>1171</x:v>
      </x:c>
      <x:c r="H1175" s="53" t="b">
        <x:v>1</x:v>
      </x:c>
      <x:c r="I1175" s="47" t="str">
        <x:v>2311811481</x:v>
      </x:c>
      <x:c r="J1175" s="47" t="n">
        <x:v>2710135</x:v>
      </x:c>
      <x:c r="K1175" s="53" t="b">
        <x:v>1</x:v>
      </x:c>
      <x:c r="L1175" s="53" t="b">
        <x:v>1</x:v>
      </x:c>
      <x:c r="M1175" s="53" t="b">
        <x:v>1</x:v>
      </x:c>
      <x:c r="N1175" s="53" t="b">
        <x:v>1</x:v>
      </x:c>
      <x:c r="O1175" s="53" t="b">
        <x:v>1</x:v>
      </x:c>
      <x:c r="P1175" s="47" t="n">
        <x:v>1009</x:v>
      </x:c>
      <x:c r="Q1175" s="47" t="n">
        <x:v>0.023</x:v>
      </x:c>
      <x:c r="R1175" s="47" t="n">
        <x:v>0.626</x:v>
      </x:c>
      <x:c r="S1175" s="47" t="n">
        <x:v>37.7</x:v>
      </x:c>
      <x:c r="T1175" s="47" t="n">
        <x:v>53.48</x:v>
      </x:c>
      <x:c r="U1175" s="47" t="n">
        <x:v>31.7</x:v>
      </x:c>
      <x:c r="V1175" s="47" t="n">
        <x:v>13.5</x:v>
      </x:c>
      <x:c r="W1175" s="47" t="n">
        <x:v>39</x:v>
      </x:c>
      <x:c r="X1175" s="47" t="n">
        <x:v>110</x:v>
      </x:c>
      <x:c r="Y1175" s="41" t="n">
        <x:v>71</x:v>
      </x:c>
    </x:row>
    <x:row r="1176">
      <x:c r="A1176" s="38" t="str">
        <x:v>7月30日现场数据</x:v>
      </x:c>
      <x:c r="B1176" s="66" t="str">
        <x:v>2026-08-03T15:25:49.579000</x:v>
      </x:c>
      <x:c r="C1176" s="47" t="n">
        <x:v>300985</x:v>
      </x:c>
      <x:c r="D1176" s="47" t="str"/>
      <x:c r="E1176" s="47" t="str"/>
      <x:c r="F1176" s="47" t="str">
        <x:v>current</x:v>
      </x:c>
      <x:c r="G1176" s="47" t="n">
        <x:v>1172</x:v>
      </x:c>
      <x:c r="H1176" s="53" t="b">
        <x:v>1</x:v>
      </x:c>
      <x:c r="I1176" s="47" t="str">
        <x:v>2311811481</x:v>
      </x:c>
      <x:c r="J1176" s="47" t="n">
        <x:v>3011120</x:v>
      </x:c>
      <x:c r="K1176" s="53" t="b">
        <x:v>1</x:v>
      </x:c>
      <x:c r="L1176" s="53" t="b">
        <x:v>1</x:v>
      </x:c>
      <x:c r="M1176" s="53" t="b">
        <x:v>1</x:v>
      </x:c>
      <x:c r="N1176" s="53" t="b">
        <x:v>1</x:v>
      </x:c>
      <x:c r="O1176" s="53" t="b">
        <x:v>1</x:v>
      </x:c>
      <x:c r="P1176" s="47" t="n">
        <x:v>1009</x:v>
      </x:c>
      <x:c r="Q1176" s="47" t="n">
        <x:v>0</x:v>
      </x:c>
      <x:c r="R1176" s="47" t="n">
        <x:v>0</x:v>
      </x:c>
      <x:c r="S1176" s="47" t="n">
        <x:v>37.89</x:v>
      </x:c>
      <x:c r="T1176" s="47" t="n">
        <x:v>53.51</x:v>
      </x:c>
      <x:c r="U1176" s="47" t="n">
        <x:v>31.8</x:v>
      </x:c>
      <x:c r="V1176" s="47" t="n">
        <x:v>13.6</x:v>
      </x:c>
      <x:c r="W1176" s="47" t="n">
        <x:v>38</x:v>
      </x:c>
      <x:c r="X1176" s="47" t="n">
        <x:v>109</x:v>
      </x:c>
      <x:c r="Y1176" s="41" t="n">
        <x:v>71</x:v>
      </x:c>
    </x:row>
    <x:row r="1177">
      <x:c r="A1177" s="38" t="str">
        <x:v>7月30日现场数据</x:v>
      </x:c>
      <x:c r="B1177" s="66" t="str">
        <x:v>2026-08-03T15:30:50.565000</x:v>
      </x:c>
      <x:c r="C1177" s="47" t="n">
        <x:v>300986</x:v>
      </x:c>
      <x:c r="D1177" s="47" t="str"/>
      <x:c r="E1177" s="47" t="str"/>
      <x:c r="F1177" s="47" t="str">
        <x:v>current</x:v>
      </x:c>
      <x:c r="G1177" s="47" t="n">
        <x:v>1173</x:v>
      </x:c>
      <x:c r="H1177" s="53" t="b">
        <x:v>1</x:v>
      </x:c>
      <x:c r="I1177" s="47" t="str">
        <x:v>2311811481</x:v>
      </x:c>
      <x:c r="J1177" s="47" t="n">
        <x:v>3312106</x:v>
      </x:c>
      <x:c r="K1177" s="53" t="b">
        <x:v>1</x:v>
      </x:c>
      <x:c r="L1177" s="53" t="b">
        <x:v>1</x:v>
      </x:c>
      <x:c r="M1177" s="53" t="b">
        <x:v>1</x:v>
      </x:c>
      <x:c r="N1177" s="53" t="b">
        <x:v>1</x:v>
      </x:c>
      <x:c r="O1177" s="53" t="b">
        <x:v>1</x:v>
      </x:c>
      <x:c r="P1177" s="47" t="n">
        <x:v>1009</x:v>
      </x:c>
      <x:c r="Q1177" s="47" t="n">
        <x:v>0.145</x:v>
      </x:c>
      <x:c r="R1177" s="47" t="n">
        <x:v>3.923</x:v>
      </x:c>
      <x:c r="S1177" s="47" t="n">
        <x:v>37.71</x:v>
      </x:c>
      <x:c r="T1177" s="47" t="n">
        <x:v>53.48</x:v>
      </x:c>
      <x:c r="U1177" s="47" t="n">
        <x:v>31.8</x:v>
      </x:c>
      <x:c r="V1177" s="47" t="n">
        <x:v>13.6</x:v>
      </x:c>
      <x:c r="W1177" s="47" t="n">
        <x:v>38</x:v>
      </x:c>
      <x:c r="X1177" s="47" t="n">
        <x:v>107</x:v>
      </x:c>
      <x:c r="Y1177" s="41" t="n">
        <x:v>69</x:v>
      </x:c>
    </x:row>
    <x:row r="1178">
      <x:c r="A1178" s="38" t="str">
        <x:v>7月30日现场数据</x:v>
      </x:c>
      <x:c r="B1178" s="66" t="str">
        <x:v>2026-08-03T15:35:51.590000</x:v>
      </x:c>
      <x:c r="C1178" s="47" t="n">
        <x:v>301025</x:v>
      </x:c>
      <x:c r="D1178" s="47" t="str"/>
      <x:c r="E1178" s="47" t="str"/>
      <x:c r="F1178" s="47" t="str">
        <x:v>current</x:v>
      </x:c>
      <x:c r="G1178" s="47" t="n">
        <x:v>1174</x:v>
      </x:c>
      <x:c r="H1178" s="53" t="b">
        <x:v>1</x:v>
      </x:c>
      <x:c r="I1178" s="47" t="str">
        <x:v>2311811481</x:v>
      </x:c>
      <x:c r="J1178" s="47" t="n">
        <x:v>3613131</x:v>
      </x:c>
      <x:c r="K1178" s="53" t="b">
        <x:v>1</x:v>
      </x:c>
      <x:c r="L1178" s="53" t="b">
        <x:v>1</x:v>
      </x:c>
      <x:c r="M1178" s="53" t="b">
        <x:v>1</x:v>
      </x:c>
      <x:c r="N1178" s="53" t="b">
        <x:v>1</x:v>
      </x:c>
      <x:c r="O1178" s="53" t="b">
        <x:v>1</x:v>
      </x:c>
      <x:c r="P1178" s="47" t="n">
        <x:v>1009</x:v>
      </x:c>
      <x:c r="Q1178" s="47" t="n">
        <x:v>0</x:v>
      </x:c>
      <x:c r="R1178" s="47" t="n">
        <x:v>0</x:v>
      </x:c>
      <x:c r="S1178" s="47" t="n">
        <x:v>37.07</x:v>
      </x:c>
      <x:c r="T1178" s="47" t="n">
        <x:v>53.2</x:v>
      </x:c>
      <x:c r="U1178" s="47" t="n">
        <x:v>31.8</x:v>
      </x:c>
      <x:c r="V1178" s="47" t="n">
        <x:v>13.5</x:v>
      </x:c>
      <x:c r="W1178" s="47" t="n">
        <x:v>35</x:v>
      </x:c>
      <x:c r="X1178" s="47" t="n">
        <x:v>102</x:v>
      </x:c>
      <x:c r="Y1178" s="41" t="n">
        <x:v>67</x:v>
      </x:c>
    </x:row>
    <x:row r="1179">
      <x:c r="A1179" s="38" t="str">
        <x:v>7月30日现场数据</x:v>
      </x:c>
      <x:c r="B1179" s="66" t="str">
        <x:v>2026-08-03T15:40:52.553000</x:v>
      </x:c>
      <x:c r="C1179" s="47" t="n">
        <x:v>300963</x:v>
      </x:c>
      <x:c r="D1179" s="47" t="str"/>
      <x:c r="E1179" s="47" t="str"/>
      <x:c r="F1179" s="47" t="str">
        <x:v>current</x:v>
      </x:c>
      <x:c r="G1179" s="47" t="n">
        <x:v>1175</x:v>
      </x:c>
      <x:c r="H1179" s="53" t="b">
        <x:v>1</x:v>
      </x:c>
      <x:c r="I1179" s="47" t="str">
        <x:v>2311811481</x:v>
      </x:c>
      <x:c r="J1179" s="47" t="n">
        <x:v>3914094</x:v>
      </x:c>
      <x:c r="K1179" s="53" t="b">
        <x:v>1</x:v>
      </x:c>
      <x:c r="L1179" s="53" t="b">
        <x:v>1</x:v>
      </x:c>
      <x:c r="M1179" s="53" t="b">
        <x:v>1</x:v>
      </x:c>
      <x:c r="N1179" s="53" t="b">
        <x:v>1</x:v>
      </x:c>
      <x:c r="O1179" s="53" t="b">
        <x:v>1</x:v>
      </x:c>
      <x:c r="P1179" s="47" t="n">
        <x:v>1010</x:v>
      </x:c>
      <x:c r="Q1179" s="47" t="n">
        <x:v>0.089</x:v>
      </x:c>
      <x:c r="R1179" s="47" t="n">
        <x:v>2.407</x:v>
      </x:c>
      <x:c r="S1179" s="47" t="n">
        <x:v>37.88</x:v>
      </x:c>
      <x:c r="T1179" s="47" t="n">
        <x:v>53.18</x:v>
      </x:c>
      <x:c r="U1179" s="47" t="n">
        <x:v>31.8</x:v>
      </x:c>
      <x:c r="V1179" s="47" t="n">
        <x:v>13.5</x:v>
      </x:c>
      <x:c r="W1179" s="47" t="n">
        <x:v>37</x:v>
      </x:c>
      <x:c r="X1179" s="47" t="n">
        <x:v>131</x:v>
      </x:c>
      <x:c r="Y1179" s="41" t="n">
        <x:v>94</x:v>
      </x:c>
    </x:row>
    <x:row r="1180">
      <x:c r="A1180" s="38" t="str">
        <x:v>7月30日现场数据</x:v>
      </x:c>
      <x:c r="B1180" s="66" t="str">
        <x:v>2026-08-03T15:45:53.519000</x:v>
      </x:c>
      <x:c r="C1180" s="47" t="n">
        <x:v>300966</x:v>
      </x:c>
      <x:c r="D1180" s="47" t="str"/>
      <x:c r="E1180" s="47" t="str"/>
      <x:c r="F1180" s="47" t="str">
        <x:v>current</x:v>
      </x:c>
      <x:c r="G1180" s="47" t="n">
        <x:v>1176</x:v>
      </x:c>
      <x:c r="H1180" s="53" t="b">
        <x:v>1</x:v>
      </x:c>
      <x:c r="I1180" s="47" t="str">
        <x:v>2311811481</x:v>
      </x:c>
      <x:c r="J1180" s="47" t="n">
        <x:v>4215060</x:v>
      </x:c>
      <x:c r="K1180" s="53" t="b">
        <x:v>1</x:v>
      </x:c>
      <x:c r="L1180" s="53" t="b">
        <x:v>1</x:v>
      </x:c>
      <x:c r="M1180" s="53" t="b">
        <x:v>1</x:v>
      </x:c>
      <x:c r="N1180" s="53" t="b">
        <x:v>1</x:v>
      </x:c>
      <x:c r="O1180" s="53" t="b">
        <x:v>1</x:v>
      </x:c>
      <x:c r="P1180" s="47" t="n">
        <x:v>1009</x:v>
      </x:c>
      <x:c r="Q1180" s="47" t="n">
        <x:v>0</x:v>
      </x:c>
      <x:c r="R1180" s="47" t="n">
        <x:v>0</x:v>
      </x:c>
      <x:c r="S1180" s="47" t="n">
        <x:v>38.44</x:v>
      </x:c>
      <x:c r="T1180" s="47" t="n">
        <x:v>53.24</x:v>
      </x:c>
      <x:c r="U1180" s="47" t="n">
        <x:v>31.8</x:v>
      </x:c>
      <x:c r="V1180" s="47" t="n">
        <x:v>13.5</x:v>
      </x:c>
      <x:c r="W1180" s="47" t="n">
        <x:v>33</x:v>
      </x:c>
      <x:c r="X1180" s="47" t="n">
        <x:v>108</x:v>
      </x:c>
      <x:c r="Y1180" s="41" t="n">
        <x:v>75</x:v>
      </x:c>
    </x:row>
    <x:row r="1181">
      <x:c r="A1181" s="38" t="str">
        <x:v>7月30日现场数据</x:v>
      </x:c>
      <x:c r="B1181" s="66" t="str">
        <x:v>2026-08-03T15:50:54.488000</x:v>
      </x:c>
      <x:c r="C1181" s="47" t="n">
        <x:v>300969</x:v>
      </x:c>
      <x:c r="D1181" s="47" t="str"/>
      <x:c r="E1181" s="47" t="str"/>
      <x:c r="F1181" s="47" t="str">
        <x:v>current</x:v>
      </x:c>
      <x:c r="G1181" s="47" t="n">
        <x:v>1177</x:v>
      </x:c>
      <x:c r="H1181" s="53" t="b">
        <x:v>1</x:v>
      </x:c>
      <x:c r="I1181" s="47" t="str">
        <x:v>2311811481</x:v>
      </x:c>
      <x:c r="J1181" s="47" t="n">
        <x:v>4516029</x:v>
      </x:c>
      <x:c r="K1181" s="53" t="b">
        <x:v>1</x:v>
      </x:c>
      <x:c r="L1181" s="53" t="b">
        <x:v>1</x:v>
      </x:c>
      <x:c r="M1181" s="53" t="b">
        <x:v>1</x:v>
      </x:c>
      <x:c r="N1181" s="53" t="b">
        <x:v>1</x:v>
      </x:c>
      <x:c r="O1181" s="53" t="b">
        <x:v>1</x:v>
      </x:c>
      <x:c r="P1181" s="47" t="n">
        <x:v>1009</x:v>
      </x:c>
      <x:c r="Q1181" s="47" t="n">
        <x:v>0.006</x:v>
      </x:c>
      <x:c r="R1181" s="47" t="n">
        <x:v>0.165</x:v>
      </x:c>
      <x:c r="S1181" s="47" t="n">
        <x:v>37.34</x:v>
      </x:c>
      <x:c r="T1181" s="47" t="n">
        <x:v>52.94</x:v>
      </x:c>
      <x:c r="U1181" s="47" t="n">
        <x:v>31.9</x:v>
      </x:c>
      <x:c r="V1181" s="47" t="n">
        <x:v>13.5</x:v>
      </x:c>
      <x:c r="W1181" s="47" t="n">
        <x:v>32</x:v>
      </x:c>
      <x:c r="X1181" s="47" t="n">
        <x:v>251</x:v>
      </x:c>
      <x:c r="Y1181" s="41" t="n">
        <x:v>219</x:v>
      </x:c>
    </x:row>
    <x:row r="1182">
      <x:c r="A1182" s="38" t="str">
        <x:v>7月30日现场数据</x:v>
      </x:c>
      <x:c r="B1182" s="66" t="str">
        <x:v>2026-08-03T15:55:55.459000</x:v>
      </x:c>
      <x:c r="C1182" s="47" t="n">
        <x:v>300971</x:v>
      </x:c>
      <x:c r="D1182" s="47" t="str"/>
      <x:c r="E1182" s="47" t="str"/>
      <x:c r="F1182" s="47" t="str">
        <x:v>current</x:v>
      </x:c>
      <x:c r="G1182" s="47" t="n">
        <x:v>1178</x:v>
      </x:c>
      <x:c r="H1182" s="53" t="b">
        <x:v>1</x:v>
      </x:c>
      <x:c r="I1182" s="47" t="str">
        <x:v>2311811481</x:v>
      </x:c>
      <x:c r="J1182" s="47" t="n">
        <x:v>4817000</x:v>
      </x:c>
      <x:c r="K1182" s="53" t="b">
        <x:v>1</x:v>
      </x:c>
      <x:c r="L1182" s="53" t="b">
        <x:v>1</x:v>
      </x:c>
      <x:c r="M1182" s="53" t="b">
        <x:v>1</x:v>
      </x:c>
      <x:c r="N1182" s="53" t="b">
        <x:v>1</x:v>
      </x:c>
      <x:c r="O1182" s="53" t="b">
        <x:v>1</x:v>
      </x:c>
      <x:c r="P1182" s="47" t="n">
        <x:v>1009</x:v>
      </x:c>
      <x:c r="Q1182" s="47" t="n">
        <x:v>0.125</x:v>
      </x:c>
      <x:c r="R1182" s="47" t="n">
        <x:v>3.363</x:v>
      </x:c>
      <x:c r="S1182" s="47" t="n">
        <x:v>37.25</x:v>
      </x:c>
      <x:c r="T1182" s="47" t="n">
        <x:v>52.86</x:v>
      </x:c>
      <x:c r="U1182" s="47" t="n">
        <x:v>31.9</x:v>
      </x:c>
      <x:c r="V1182" s="47" t="n">
        <x:v>13.5</x:v>
      </x:c>
      <x:c r="W1182" s="47" t="n">
        <x:v>31</x:v>
      </x:c>
      <x:c r="X1182" s="47" t="n">
        <x:v>243</x:v>
      </x:c>
      <x:c r="Y1182" s="41" t="n">
        <x:v>212</x:v>
      </x:c>
    </x:row>
    <x:row r="1183">
      <x:c r="A1183" s="38" t="str">
        <x:v>7月30日现场数据</x:v>
      </x:c>
      <x:c r="B1183" s="66" t="str">
        <x:v>2026-08-03T16:00:56.432000</x:v>
      </x:c>
      <x:c r="C1183" s="47" t="n">
        <x:v>300973</x:v>
      </x:c>
      <x:c r="D1183" s="47" t="str"/>
      <x:c r="E1183" s="47" t="str"/>
      <x:c r="F1183" s="47" t="str">
        <x:v>current</x:v>
      </x:c>
      <x:c r="G1183" s="47" t="n">
        <x:v>1179</x:v>
      </x:c>
      <x:c r="H1183" s="53" t="b">
        <x:v>1</x:v>
      </x:c>
      <x:c r="I1183" s="47" t="str">
        <x:v>2311811481</x:v>
      </x:c>
      <x:c r="J1183" s="47" t="n">
        <x:v>5117973</x:v>
      </x:c>
      <x:c r="K1183" s="53" t="b">
        <x:v>1</x:v>
      </x:c>
      <x:c r="L1183" s="53" t="b">
        <x:v>1</x:v>
      </x:c>
      <x:c r="M1183" s="53" t="b">
        <x:v>1</x:v>
      </x:c>
      <x:c r="N1183" s="53" t="b">
        <x:v>1</x:v>
      </x:c>
      <x:c r="O1183" s="53" t="b">
        <x:v>1</x:v>
      </x:c>
      <x:c r="P1183" s="47" t="n">
        <x:v>1009</x:v>
      </x:c>
      <x:c r="Q1183" s="47" t="n">
        <x:v>0.15</x:v>
      </x:c>
      <x:c r="R1183" s="47" t="n">
        <x:v>4.055</x:v>
      </x:c>
      <x:c r="S1183" s="47" t="n">
        <x:v>37.3</x:v>
      </x:c>
      <x:c r="T1183" s="47" t="n">
        <x:v>52.71</x:v>
      </x:c>
      <x:c r="U1183" s="47" t="n">
        <x:v>31.9</x:v>
      </x:c>
      <x:c r="V1183" s="47" t="n">
        <x:v>13.5</x:v>
      </x:c>
      <x:c r="W1183" s="47" t="n">
        <x:v>31</x:v>
      </x:c>
      <x:c r="X1183" s="47" t="n">
        <x:v>374</x:v>
      </x:c>
      <x:c r="Y1183" s="41" t="n">
        <x:v>343</x:v>
      </x:c>
    </x:row>
    <x:row r="1184">
      <x:c r="A1184" s="38" t="str">
        <x:v>7月30日现场数据</x:v>
      </x:c>
      <x:c r="B1184" s="66" t="str">
        <x:v>2026-08-03T16:05:57.408000</x:v>
      </x:c>
      <x:c r="C1184" s="47" t="n">
        <x:v>300976</x:v>
      </x:c>
      <x:c r="D1184" s="47" t="str"/>
      <x:c r="E1184" s="47" t="str"/>
      <x:c r="F1184" s="47" t="str">
        <x:v>current</x:v>
      </x:c>
      <x:c r="G1184" s="47" t="n">
        <x:v>1180</x:v>
      </x:c>
      <x:c r="H1184" s="53" t="b">
        <x:v>1</x:v>
      </x:c>
      <x:c r="I1184" s="47" t="str">
        <x:v>2311811481</x:v>
      </x:c>
      <x:c r="J1184" s="47" t="n">
        <x:v>5418949</x:v>
      </x:c>
      <x:c r="K1184" s="53" t="b">
        <x:v>1</x:v>
      </x:c>
      <x:c r="L1184" s="53" t="b">
        <x:v>1</x:v>
      </x:c>
      <x:c r="M1184" s="53" t="b">
        <x:v>1</x:v>
      </x:c>
      <x:c r="N1184" s="53" t="b">
        <x:v>1</x:v>
      </x:c>
      <x:c r="O1184" s="53" t="b">
        <x:v>1</x:v>
      </x:c>
      <x:c r="P1184" s="47" t="n">
        <x:v>1009</x:v>
      </x:c>
      <x:c r="Q1184" s="47" t="n">
        <x:v>0.004</x:v>
      </x:c>
      <x:c r="R1184" s="47" t="n">
        <x:v>0.099</x:v>
      </x:c>
      <x:c r="S1184" s="47" t="n">
        <x:v>36.13</x:v>
      </x:c>
      <x:c r="T1184" s="47" t="n">
        <x:v>52.31</x:v>
      </x:c>
      <x:c r="U1184" s="47" t="n">
        <x:v>31.8</x:v>
      </x:c>
      <x:c r="V1184" s="47" t="n">
        <x:v>13.5</x:v>
      </x:c>
      <x:c r="W1184" s="47" t="n">
        <x:v>31</x:v>
      </x:c>
      <x:c r="X1184" s="47" t="n">
        <x:v>134</x:v>
      </x:c>
      <x:c r="Y1184" s="41" t="n">
        <x:v>103</x:v>
      </x:c>
    </x:row>
    <x:row r="1185">
      <x:c r="A1185" s="38" t="str">
        <x:v>7月30日现场数据</x:v>
      </x:c>
      <x:c r="B1185" s="66" t="str">
        <x:v>2026-08-03T16:10:58.382000</x:v>
      </x:c>
      <x:c r="C1185" s="47" t="n">
        <x:v>300974</x:v>
      </x:c>
      <x:c r="D1185" s="47" t="str"/>
      <x:c r="E1185" s="47" t="str"/>
      <x:c r="F1185" s="47" t="str">
        <x:v>current</x:v>
      </x:c>
      <x:c r="G1185" s="47" t="n">
        <x:v>1181</x:v>
      </x:c>
      <x:c r="H1185" s="53" t="b">
        <x:v>1</x:v>
      </x:c>
      <x:c r="I1185" s="47" t="str">
        <x:v>2311811481</x:v>
      </x:c>
      <x:c r="J1185" s="47" t="n">
        <x:v>5719923</x:v>
      </x:c>
      <x:c r="K1185" s="53" t="b">
        <x:v>1</x:v>
      </x:c>
      <x:c r="L1185" s="53" t="b">
        <x:v>1</x:v>
      </x:c>
      <x:c r="M1185" s="53" t="b">
        <x:v>1</x:v>
      </x:c>
      <x:c r="N1185" s="53" t="b">
        <x:v>1</x:v>
      </x:c>
      <x:c r="O1185" s="53" t="b">
        <x:v>1</x:v>
      </x:c>
      <x:c r="P1185" s="47" t="n">
        <x:v>1009</x:v>
      </x:c>
      <x:c r="Q1185" s="47" t="n">
        <x:v>0</x:v>
      </x:c>
      <x:c r="R1185" s="47" t="n">
        <x:v>0</x:v>
      </x:c>
      <x:c r="S1185" s="47" t="n">
        <x:v>37.1</x:v>
      </x:c>
      <x:c r="T1185" s="47" t="n">
        <x:v>52.37</x:v>
      </x:c>
      <x:c r="U1185" s="47" t="n">
        <x:v>31.8</x:v>
      </x:c>
      <x:c r="V1185" s="47" t="n">
        <x:v>13.5</x:v>
      </x:c>
      <x:c r="W1185" s="47" t="n">
        <x:v>27</x:v>
      </x:c>
      <x:c r="X1185" s="47" t="n">
        <x:v>106</x:v>
      </x:c>
      <x:c r="Y1185" s="41" t="n">
        <x:v>79</x:v>
      </x:c>
    </x:row>
    <x:row r="1186">
      <x:c r="A1186" s="38" t="str">
        <x:v>7月30日现场数据</x:v>
      </x:c>
      <x:c r="B1186" s="66" t="str">
        <x:v>2026-08-03T16:15:59.359000</x:v>
      </x:c>
      <x:c r="C1186" s="47" t="n">
        <x:v>300977</x:v>
      </x:c>
      <x:c r="D1186" s="47" t="str"/>
      <x:c r="E1186" s="47" t="str"/>
      <x:c r="F1186" s="47" t="str">
        <x:v>current</x:v>
      </x:c>
      <x:c r="G1186" s="47" t="n">
        <x:v>1182</x:v>
      </x:c>
      <x:c r="H1186" s="53" t="b">
        <x:v>1</x:v>
      </x:c>
      <x:c r="I1186" s="47" t="str">
        <x:v>2311811481</x:v>
      </x:c>
      <x:c r="J1186" s="47" t="n">
        <x:v>6020900</x:v>
      </x:c>
      <x:c r="K1186" s="53" t="b">
        <x:v>1</x:v>
      </x:c>
      <x:c r="L1186" s="53" t="b">
        <x:v>1</x:v>
      </x:c>
      <x:c r="M1186" s="53" t="b">
        <x:v>1</x:v>
      </x:c>
      <x:c r="N1186" s="53" t="b">
        <x:v>1</x:v>
      </x:c>
      <x:c r="O1186" s="53" t="b">
        <x:v>1</x:v>
      </x:c>
      <x:c r="P1186" s="47" t="n">
        <x:v>1009</x:v>
      </x:c>
      <x:c r="Q1186" s="47" t="n">
        <x:v>0.046</x:v>
      </x:c>
      <x:c r="R1186" s="47" t="n">
        <x:v>1.253</x:v>
      </x:c>
      <x:c r="S1186" s="47" t="n">
        <x:v>36.94</x:v>
      </x:c>
      <x:c r="T1186" s="47" t="n">
        <x:v>52.43</x:v>
      </x:c>
      <x:c r="U1186" s="47" t="n">
        <x:v>31.9</x:v>
      </x:c>
      <x:c r="V1186" s="47" t="n">
        <x:v>13.5</x:v>
      </x:c>
      <x:c r="W1186" s="47" t="n">
        <x:v>23</x:v>
      </x:c>
      <x:c r="X1186" s="47" t="n">
        <x:v>191</x:v>
      </x:c>
      <x:c r="Y1186" s="41" t="n">
        <x:v>168</x:v>
      </x:c>
    </x:row>
    <x:row r="1187">
      <x:c r="A1187" s="38" t="str">
        <x:v>7月30日现场数据</x:v>
      </x:c>
      <x:c r="B1187" s="66" t="str">
        <x:v>2026-08-03T16:21:00.339000</x:v>
      </x:c>
      <x:c r="C1187" s="47" t="n">
        <x:v>300980</x:v>
      </x:c>
      <x:c r="D1187" s="47" t="str"/>
      <x:c r="E1187" s="47" t="str"/>
      <x:c r="F1187" s="47" t="str">
        <x:v>current</x:v>
      </x:c>
      <x:c r="G1187" s="47" t="n">
        <x:v>1183</x:v>
      </x:c>
      <x:c r="H1187" s="53" t="b">
        <x:v>1</x:v>
      </x:c>
      <x:c r="I1187" s="47" t="str">
        <x:v>2311811481</x:v>
      </x:c>
      <x:c r="J1187" s="47" t="n">
        <x:v>6321880</x:v>
      </x:c>
      <x:c r="K1187" s="53" t="b">
        <x:v>1</x:v>
      </x:c>
      <x:c r="L1187" s="53" t="b">
        <x:v>1</x:v>
      </x:c>
      <x:c r="M1187" s="53" t="b">
        <x:v>1</x:v>
      </x:c>
      <x:c r="N1187" s="53" t="b">
        <x:v>1</x:v>
      </x:c>
      <x:c r="O1187" s="53" t="b">
        <x:v>1</x:v>
      </x:c>
      <x:c r="P1187" s="47" t="n">
        <x:v>1009</x:v>
      </x:c>
      <x:c r="Q1187" s="47" t="n">
        <x:v>0</x:v>
      </x:c>
      <x:c r="R1187" s="47" t="n">
        <x:v>0</x:v>
      </x:c>
      <x:c r="S1187" s="47" t="n">
        <x:v>37.08</x:v>
      </x:c>
      <x:c r="T1187" s="47" t="n">
        <x:v>52.29</x:v>
      </x:c>
      <x:c r="U1187" s="47" t="n">
        <x:v>31.9</x:v>
      </x:c>
      <x:c r="V1187" s="47" t="n">
        <x:v>13.4</x:v>
      </x:c>
      <x:c r="W1187" s="47" t="n">
        <x:v>23</x:v>
      </x:c>
      <x:c r="X1187" s="47" t="n">
        <x:v>173</x:v>
      </x:c>
      <x:c r="Y1187" s="41" t="n">
        <x:v>150</x:v>
      </x:c>
    </x:row>
    <x:row r="1188">
      <x:c r="A1188" s="38" t="str">
        <x:v>7月30日现场数据</x:v>
      </x:c>
      <x:c r="B1188" s="66" t="str">
        <x:v>2026-08-03T16:26:01.320000</x:v>
      </x:c>
      <x:c r="C1188" s="47" t="n">
        <x:v>300981</x:v>
      </x:c>
      <x:c r="D1188" s="47" t="str"/>
      <x:c r="E1188" s="47" t="str"/>
      <x:c r="F1188" s="47" t="str">
        <x:v>current</x:v>
      </x:c>
      <x:c r="G1188" s="47" t="n">
        <x:v>1184</x:v>
      </x:c>
      <x:c r="H1188" s="53" t="b">
        <x:v>1</x:v>
      </x:c>
      <x:c r="I1188" s="47" t="str">
        <x:v>2311811481</x:v>
      </x:c>
      <x:c r="J1188" s="47" t="n">
        <x:v>6622861</x:v>
      </x:c>
      <x:c r="K1188" s="53" t="b">
        <x:v>1</x:v>
      </x:c>
      <x:c r="L1188" s="53" t="b">
        <x:v>1</x:v>
      </x:c>
      <x:c r="M1188" s="53" t="b">
        <x:v>1</x:v>
      </x:c>
      <x:c r="N1188" s="53" t="b">
        <x:v>1</x:v>
      </x:c>
      <x:c r="O1188" s="53" t="b">
        <x:v>1</x:v>
      </x:c>
      <x:c r="P1188" s="47" t="n">
        <x:v>1009</x:v>
      </x:c>
      <x:c r="Q1188" s="47" t="n">
        <x:v>0.07</x:v>
      </x:c>
      <x:c r="R1188" s="47" t="n">
        <x:v>1.879</x:v>
      </x:c>
      <x:c r="S1188" s="47" t="n">
        <x:v>36.27</x:v>
      </x:c>
      <x:c r="T1188" s="47" t="n">
        <x:v>52.14</x:v>
      </x:c>
      <x:c r="U1188" s="47" t="n">
        <x:v>32</x:v>
      </x:c>
      <x:c r="V1188" s="47" t="n">
        <x:v>13.4</x:v>
      </x:c>
      <x:c r="W1188" s="47" t="n">
        <x:v>22</x:v>
      </x:c>
      <x:c r="X1188" s="47" t="n">
        <x:v>214</x:v>
      </x:c>
      <x:c r="Y1188" s="41" t="n">
        <x:v>192</x:v>
      </x:c>
    </x:row>
    <x:row r="1189">
      <x:c r="A1189" s="38" t="str">
        <x:v>7月30日现场数据</x:v>
      </x:c>
      <x:c r="B1189" s="66" t="str">
        <x:v>2026-08-03T16:31:02.300000</x:v>
      </x:c>
      <x:c r="C1189" s="47" t="n">
        <x:v>300980</x:v>
      </x:c>
      <x:c r="D1189" s="47" t="str"/>
      <x:c r="E1189" s="47" t="str"/>
      <x:c r="F1189" s="47" t="str">
        <x:v>current</x:v>
      </x:c>
      <x:c r="G1189" s="47" t="n">
        <x:v>1185</x:v>
      </x:c>
      <x:c r="H1189" s="53" t="b">
        <x:v>1</x:v>
      </x:c>
      <x:c r="I1189" s="47" t="str">
        <x:v>2311811481</x:v>
      </x:c>
      <x:c r="J1189" s="47" t="n">
        <x:v>6923841</x:v>
      </x:c>
      <x:c r="K1189" s="53" t="b">
        <x:v>1</x:v>
      </x:c>
      <x:c r="L1189" s="53" t="b">
        <x:v>1</x:v>
      </x:c>
      <x:c r="M1189" s="53" t="b">
        <x:v>1</x:v>
      </x:c>
      <x:c r="N1189" s="53" t="b">
        <x:v>1</x:v>
      </x:c>
      <x:c r="O1189" s="53" t="b">
        <x:v>1</x:v>
      </x:c>
      <x:c r="P1189" s="47" t="n">
        <x:v>1009</x:v>
      </x:c>
      <x:c r="Q1189" s="47" t="n">
        <x:v>0.062</x:v>
      </x:c>
      <x:c r="R1189" s="47" t="n">
        <x:v>1.681</x:v>
      </x:c>
      <x:c r="S1189" s="47" t="n">
        <x:v>35.95</x:v>
      </x:c>
      <x:c r="T1189" s="47" t="n">
        <x:v>51.9</x:v>
      </x:c>
      <x:c r="U1189" s="47" t="n">
        <x:v>31.9</x:v>
      </x:c>
      <x:c r="V1189" s="47" t="n">
        <x:v>13.3</x:v>
      </x:c>
      <x:c r="W1189" s="47" t="n">
        <x:v>22</x:v>
      </x:c>
      <x:c r="X1189" s="47" t="n">
        <x:v>79</x:v>
      </x:c>
      <x:c r="Y1189" s="41" t="n">
        <x:v>57</x:v>
      </x:c>
    </x:row>
    <x:row r="1190">
      <x:c r="A1190" s="38" t="str">
        <x:v>7月30日现场数据</x:v>
      </x:c>
      <x:c r="B1190" s="66" t="str">
        <x:v>2026-08-03T16:36:03.284000</x:v>
      </x:c>
      <x:c r="C1190" s="47" t="n">
        <x:v>300984</x:v>
      </x:c>
      <x:c r="D1190" s="47" t="str"/>
      <x:c r="E1190" s="47" t="str"/>
      <x:c r="F1190" s="47" t="str">
        <x:v>current</x:v>
      </x:c>
      <x:c r="G1190" s="47" t="n">
        <x:v>1186</x:v>
      </x:c>
      <x:c r="H1190" s="53" t="b">
        <x:v>1</x:v>
      </x:c>
      <x:c r="I1190" s="47" t="str">
        <x:v>2311811481</x:v>
      </x:c>
      <x:c r="J1190" s="47" t="n">
        <x:v>7224825</x:v>
      </x:c>
      <x:c r="K1190" s="53" t="b">
        <x:v>1</x:v>
      </x:c>
      <x:c r="L1190" s="53" t="b">
        <x:v>1</x:v>
      </x:c>
      <x:c r="M1190" s="53" t="b">
        <x:v>1</x:v>
      </x:c>
      <x:c r="N1190" s="53" t="b">
        <x:v>1</x:v>
      </x:c>
      <x:c r="O1190" s="53" t="b">
        <x:v>1</x:v>
      </x:c>
      <x:c r="P1190" s="47" t="n">
        <x:v>1009</x:v>
      </x:c>
      <x:c r="Q1190" s="47" t="n">
        <x:v>0</x:v>
      </x:c>
      <x:c r="R1190" s="47" t="n">
        <x:v>0</x:v>
      </x:c>
      <x:c r="S1190" s="47" t="n">
        <x:v>36.79</x:v>
      </x:c>
      <x:c r="T1190" s="47" t="n">
        <x:v>52</x:v>
      </x:c>
      <x:c r="U1190" s="47" t="n">
        <x:v>31.9</x:v>
      </x:c>
      <x:c r="V1190" s="47" t="n">
        <x:v>13.4</x:v>
      </x:c>
      <x:c r="W1190" s="47" t="n">
        <x:v>23</x:v>
      </x:c>
      <x:c r="X1190" s="47" t="n">
        <x:v>77</x:v>
      </x:c>
      <x:c r="Y1190" s="41" t="n">
        <x:v>54</x:v>
      </x:c>
    </x:row>
    <x:row r="1191">
      <x:c r="A1191" s="38" t="str">
        <x:v>7月30日现场数据</x:v>
      </x:c>
      <x:c r="B1191" s="66" t="str">
        <x:v>2026-08-03T16:41:04.269000</x:v>
      </x:c>
      <x:c r="C1191" s="47" t="n">
        <x:v>300985</x:v>
      </x:c>
      <x:c r="D1191" s="47" t="str"/>
      <x:c r="E1191" s="47" t="str"/>
      <x:c r="F1191" s="47" t="str">
        <x:v>current</x:v>
      </x:c>
      <x:c r="G1191" s="47" t="n">
        <x:v>1187</x:v>
      </x:c>
      <x:c r="H1191" s="53" t="b">
        <x:v>1</x:v>
      </x:c>
      <x:c r="I1191" s="47" t="str">
        <x:v>2311811481</x:v>
      </x:c>
      <x:c r="J1191" s="47" t="n">
        <x:v>7525810</x:v>
      </x:c>
      <x:c r="K1191" s="53" t="b">
        <x:v>1</x:v>
      </x:c>
      <x:c r="L1191" s="53" t="b">
        <x:v>1</x:v>
      </x:c>
      <x:c r="M1191" s="53" t="b">
        <x:v>1</x:v>
      </x:c>
      <x:c r="N1191" s="53" t="b">
        <x:v>1</x:v>
      </x:c>
      <x:c r="O1191" s="53" t="b">
        <x:v>1</x:v>
      </x:c>
      <x:c r="P1191" s="47" t="n">
        <x:v>1009</x:v>
      </x:c>
      <x:c r="Q1191" s="47" t="n">
        <x:v>0</x:v>
      </x:c>
      <x:c r="R1191" s="47" t="n">
        <x:v>0</x:v>
      </x:c>
      <x:c r="S1191" s="47" t="n">
        <x:v>36.79</x:v>
      </x:c>
      <x:c r="T1191" s="47" t="n">
        <x:v>51.94</x:v>
      </x:c>
      <x:c r="U1191" s="47" t="n">
        <x:v>31.9</x:v>
      </x:c>
      <x:c r="V1191" s="47" t="n">
        <x:v>13.4</x:v>
      </x:c>
      <x:c r="W1191" s="47" t="n">
        <x:v>22</x:v>
      </x:c>
      <x:c r="X1191" s="47" t="n">
        <x:v>91</x:v>
      </x:c>
      <x:c r="Y1191" s="41" t="n">
        <x:v>69</x:v>
      </x:c>
    </x:row>
    <x:row r="1192">
      <x:c r="A1192" s="38" t="str">
        <x:v>7月30日现场数据</x:v>
      </x:c>
      <x:c r="B1192" s="66" t="str">
        <x:v>2026-08-03T16:46:05.256000</x:v>
      </x:c>
      <x:c r="C1192" s="47" t="n">
        <x:v>300987</x:v>
      </x:c>
      <x:c r="D1192" s="47" t="str"/>
      <x:c r="E1192" s="47" t="str"/>
      <x:c r="F1192" s="47" t="str">
        <x:v>current</x:v>
      </x:c>
      <x:c r="G1192" s="47" t="n">
        <x:v>1188</x:v>
      </x:c>
      <x:c r="H1192" s="53" t="b">
        <x:v>1</x:v>
      </x:c>
      <x:c r="I1192" s="47" t="str">
        <x:v>2311811481</x:v>
      </x:c>
      <x:c r="J1192" s="47" t="n">
        <x:v>7826797</x:v>
      </x:c>
      <x:c r="K1192" s="53" t="b">
        <x:v>1</x:v>
      </x:c>
      <x:c r="L1192" s="53" t="b">
        <x:v>1</x:v>
      </x:c>
      <x:c r="M1192" s="53" t="b">
        <x:v>1</x:v>
      </x:c>
      <x:c r="N1192" s="53" t="b">
        <x:v>1</x:v>
      </x:c>
      <x:c r="O1192" s="53" t="b">
        <x:v>1</x:v>
      </x:c>
      <x:c r="P1192" s="47" t="n">
        <x:v>1009</x:v>
      </x:c>
      <x:c r="Q1192" s="47" t="n">
        <x:v>0</x:v>
      </x:c>
      <x:c r="R1192" s="47" t="n">
        <x:v>0</x:v>
      </x:c>
      <x:c r="S1192" s="47" t="n">
        <x:v>36.79</x:v>
      </x:c>
      <x:c r="T1192" s="47" t="n">
        <x:v>52.02</x:v>
      </x:c>
      <x:c r="U1192" s="47" t="n">
        <x:v>31.9</x:v>
      </x:c>
      <x:c r="V1192" s="47" t="n">
        <x:v>13.4</x:v>
      </x:c>
      <x:c r="W1192" s="47" t="n">
        <x:v>19</x:v>
      </x:c>
      <x:c r="X1192" s="47" t="n">
        <x:v>100</x:v>
      </x:c>
      <x:c r="Y1192" s="41" t="n">
        <x:v>81</x:v>
      </x:c>
    </x:row>
    <x:row r="1193">
      <x:c r="A1193" s="38" t="str">
        <x:v>7月30日现场数据</x:v>
      </x:c>
      <x:c r="B1193" s="66" t="str">
        <x:v>2026-08-03T16:51:06.244000</x:v>
      </x:c>
      <x:c r="C1193" s="47" t="n">
        <x:v>300988</x:v>
      </x:c>
      <x:c r="D1193" s="47" t="str"/>
      <x:c r="E1193" s="47" t="str"/>
      <x:c r="F1193" s="47" t="str">
        <x:v>current</x:v>
      </x:c>
      <x:c r="G1193" s="47" t="n">
        <x:v>1189</x:v>
      </x:c>
      <x:c r="H1193" s="53" t="b">
        <x:v>1</x:v>
      </x:c>
      <x:c r="I1193" s="47" t="str">
        <x:v>2311811481</x:v>
      </x:c>
      <x:c r="J1193" s="47" t="n">
        <x:v>8127785</x:v>
      </x:c>
      <x:c r="K1193" s="53" t="b">
        <x:v>1</x:v>
      </x:c>
      <x:c r="L1193" s="53" t="b">
        <x:v>1</x:v>
      </x:c>
      <x:c r="M1193" s="53" t="b">
        <x:v>1</x:v>
      </x:c>
      <x:c r="N1193" s="53" t="b">
        <x:v>1</x:v>
      </x:c>
      <x:c r="O1193" s="53" t="b">
        <x:v>1</x:v>
      </x:c>
      <x:c r="P1193" s="47" t="n">
        <x:v>1009</x:v>
      </x:c>
      <x:c r="Q1193" s="47" t="n">
        <x:v>0</x:v>
      </x:c>
      <x:c r="R1193" s="47" t="n">
        <x:v>0</x:v>
      </x:c>
      <x:c r="S1193" s="47" t="n">
        <x:v>36.62</x:v>
      </x:c>
      <x:c r="T1193" s="47" t="n">
        <x:v>51.9</x:v>
      </x:c>
      <x:c r="U1193" s="47" t="n">
        <x:v>31.9</x:v>
      </x:c>
      <x:c r="V1193" s="47" t="n">
        <x:v>13.4</x:v>
      </x:c>
      <x:c r="W1193" s="47" t="n">
        <x:v>17</x:v>
      </x:c>
      <x:c r="X1193" s="47" t="n">
        <x:v>86</x:v>
      </x:c>
      <x:c r="Y1193" s="41" t="n">
        <x:v>69</x:v>
      </x:c>
    </x:row>
    <x:row r="1194">
      <x:c r="A1194" s="38" t="str">
        <x:v>7月30日现场数据</x:v>
      </x:c>
      <x:c r="B1194" s="66" t="str">
        <x:v>2026-08-03T16:56:07.268000</x:v>
      </x:c>
      <x:c r="C1194" s="47" t="n">
        <x:v>301024</x:v>
      </x:c>
      <x:c r="D1194" s="47" t="str"/>
      <x:c r="E1194" s="47" t="str"/>
      <x:c r="F1194" s="47" t="str">
        <x:v>current</x:v>
      </x:c>
      <x:c r="G1194" s="47" t="n">
        <x:v>1190</x:v>
      </x:c>
      <x:c r="H1194" s="53" t="b">
        <x:v>1</x:v>
      </x:c>
      <x:c r="I1194" s="47" t="str">
        <x:v>2311811481</x:v>
      </x:c>
      <x:c r="J1194" s="47" t="n">
        <x:v>8428809</x:v>
      </x:c>
      <x:c r="K1194" s="53" t="b">
        <x:v>1</x:v>
      </x:c>
      <x:c r="L1194" s="53" t="b">
        <x:v>1</x:v>
      </x:c>
      <x:c r="M1194" s="53" t="b">
        <x:v>1</x:v>
      </x:c>
      <x:c r="N1194" s="53" t="b">
        <x:v>1</x:v>
      </x:c>
      <x:c r="O1194" s="53" t="b">
        <x:v>1</x:v>
      </x:c>
      <x:c r="P1194" s="47" t="n">
        <x:v>1009</x:v>
      </x:c>
      <x:c r="Q1194" s="47" t="n">
        <x:v>0</x:v>
      </x:c>
      <x:c r="R1194" s="47" t="n">
        <x:v>0</x:v>
      </x:c>
      <x:c r="S1194" s="47" t="n">
        <x:v>36.36</x:v>
      </x:c>
      <x:c r="T1194" s="47" t="n">
        <x:v>51.78</x:v>
      </x:c>
      <x:c r="U1194" s="47" t="n">
        <x:v>32</x:v>
      </x:c>
      <x:c r="V1194" s="47" t="n">
        <x:v>13.4</x:v>
      </x:c>
      <x:c r="W1194" s="47" t="n">
        <x:v>17</x:v>
      </x:c>
      <x:c r="X1194" s="47" t="n">
        <x:v>66</x:v>
      </x:c>
      <x:c r="Y1194" s="41" t="n">
        <x:v>49</x:v>
      </x:c>
    </x:row>
    <x:row r="1195">
      <x:c r="A1195" s="38" t="str">
        <x:v>7月30日现场数据</x:v>
      </x:c>
      <x:c r="B1195" s="66" t="str">
        <x:v>2026-08-03T17:01:08.235000</x:v>
      </x:c>
      <x:c r="C1195" s="47" t="n">
        <x:v>300967</x:v>
      </x:c>
      <x:c r="D1195" s="47" t="str"/>
      <x:c r="E1195" s="47" t="str"/>
      <x:c r="F1195" s="47" t="str">
        <x:v>current</x:v>
      </x:c>
      <x:c r="G1195" s="47" t="n">
        <x:v>1191</x:v>
      </x:c>
      <x:c r="H1195" s="53" t="b">
        <x:v>1</x:v>
      </x:c>
      <x:c r="I1195" s="47" t="str">
        <x:v>2311811481</x:v>
      </x:c>
      <x:c r="J1195" s="47" t="n">
        <x:v>8729776</x:v>
      </x:c>
      <x:c r="K1195" s="53" t="b">
        <x:v>1</x:v>
      </x:c>
      <x:c r="L1195" s="53" t="b">
        <x:v>1</x:v>
      </x:c>
      <x:c r="M1195" s="53" t="b">
        <x:v>1</x:v>
      </x:c>
      <x:c r="N1195" s="53" t="b">
        <x:v>1</x:v>
      </x:c>
      <x:c r="O1195" s="53" t="b">
        <x:v>1</x:v>
      </x:c>
      <x:c r="P1195" s="47" t="n">
        <x:v>1009</x:v>
      </x:c>
      <x:c r="Q1195" s="47" t="n">
        <x:v>0</x:v>
      </x:c>
      <x:c r="R1195" s="47" t="n">
        <x:v>0</x:v>
      </x:c>
      <x:c r="S1195" s="47" t="n">
        <x:v>36.12</x:v>
      </x:c>
      <x:c r="T1195" s="47" t="n">
        <x:v>51.59</x:v>
      </x:c>
      <x:c r="U1195" s="47" t="n">
        <x:v>32</x:v>
      </x:c>
      <x:c r="V1195" s="47" t="n">
        <x:v>13.4</x:v>
      </x:c>
      <x:c r="W1195" s="47" t="n">
        <x:v>16</x:v>
      </x:c>
      <x:c r="X1195" s="47" t="n">
        <x:v>63</x:v>
      </x:c>
      <x:c r="Y1195" s="41" t="n">
        <x:v>47</x:v>
      </x:c>
    </x:row>
    <x:row r="1196">
      <x:c r="A1196" s="38" t="str">
        <x:v>7月30日现场数据</x:v>
      </x:c>
      <x:c r="B1196" s="66" t="str">
        <x:v>2026-08-03T17:06:09.204000</x:v>
      </x:c>
      <x:c r="C1196" s="47" t="n">
        <x:v>300969</x:v>
      </x:c>
      <x:c r="D1196" s="47" t="str"/>
      <x:c r="E1196" s="47" t="str"/>
      <x:c r="F1196" s="47" t="str">
        <x:v>current</x:v>
      </x:c>
      <x:c r="G1196" s="47" t="n">
        <x:v>1192</x:v>
      </x:c>
      <x:c r="H1196" s="53" t="b">
        <x:v>1</x:v>
      </x:c>
      <x:c r="I1196" s="47" t="str">
        <x:v>2311811481</x:v>
      </x:c>
      <x:c r="J1196" s="47" t="n">
        <x:v>9030745</x:v>
      </x:c>
      <x:c r="K1196" s="53" t="b">
        <x:v>1</x:v>
      </x:c>
      <x:c r="L1196" s="53" t="b">
        <x:v>1</x:v>
      </x:c>
      <x:c r="M1196" s="53" t="b">
        <x:v>1</x:v>
      </x:c>
      <x:c r="N1196" s="53" t="b">
        <x:v>1</x:v>
      </x:c>
      <x:c r="O1196" s="53" t="b">
        <x:v>1</x:v>
      </x:c>
      <x:c r="P1196" s="47" t="n">
        <x:v>1009</x:v>
      </x:c>
      <x:c r="Q1196" s="47" t="n">
        <x:v>0</x:v>
      </x:c>
      <x:c r="R1196" s="47" t="n">
        <x:v>0</x:v>
      </x:c>
      <x:c r="S1196" s="47" t="n">
        <x:v>35.97</x:v>
      </x:c>
      <x:c r="T1196" s="47" t="n">
        <x:v>51.49</x:v>
      </x:c>
      <x:c r="U1196" s="47" t="n">
        <x:v>32</x:v>
      </x:c>
      <x:c r="V1196" s="47" t="n">
        <x:v>13.3</x:v>
      </x:c>
      <x:c r="W1196" s="47" t="n">
        <x:v>16</x:v>
      </x:c>
      <x:c r="X1196" s="47" t="n">
        <x:v>60</x:v>
      </x:c>
      <x:c r="Y1196" s="41" t="n">
        <x:v>44</x:v>
      </x:c>
    </x:row>
    <x:row r="1197">
      <x:c r="A1197" s="38" t="str">
        <x:v>7月30日现场数据</x:v>
      </x:c>
      <x:c r="B1197" s="66" t="str">
        <x:v>2026-08-03T17:11:10.176000</x:v>
      </x:c>
      <x:c r="C1197" s="47" t="n">
        <x:v>300972</x:v>
      </x:c>
      <x:c r="D1197" s="47" t="str"/>
      <x:c r="E1197" s="47" t="str"/>
      <x:c r="F1197" s="47" t="str">
        <x:v>current</x:v>
      </x:c>
      <x:c r="G1197" s="47" t="n">
        <x:v>1193</x:v>
      </x:c>
      <x:c r="H1197" s="53" t="b">
        <x:v>1</x:v>
      </x:c>
      <x:c r="I1197" s="47" t="str">
        <x:v>2311811481</x:v>
      </x:c>
      <x:c r="J1197" s="47" t="n">
        <x:v>9331717</x:v>
      </x:c>
      <x:c r="K1197" s="53" t="b">
        <x:v>1</x:v>
      </x:c>
      <x:c r="L1197" s="53" t="b">
        <x:v>1</x:v>
      </x:c>
      <x:c r="M1197" s="53" t="b">
        <x:v>1</x:v>
      </x:c>
      <x:c r="N1197" s="53" t="b">
        <x:v>1</x:v>
      </x:c>
      <x:c r="O1197" s="53" t="b">
        <x:v>1</x:v>
      </x:c>
      <x:c r="P1197" s="47" t="n">
        <x:v>1009</x:v>
      </x:c>
      <x:c r="Q1197" s="47" t="n">
        <x:v>0</x:v>
      </x:c>
      <x:c r="R1197" s="47" t="n">
        <x:v>0</x:v>
      </x:c>
      <x:c r="S1197" s="47" t="n">
        <x:v>35.82</x:v>
      </x:c>
      <x:c r="T1197" s="47" t="n">
        <x:v>51.36</x:v>
      </x:c>
      <x:c r="U1197" s="47" t="n">
        <x:v>32</x:v>
      </x:c>
      <x:c r="V1197" s="47" t="n">
        <x:v>13.4</x:v>
      </x:c>
      <x:c r="W1197" s="47" t="n">
        <x:v>15</x:v>
      </x:c>
      <x:c r="X1197" s="47" t="n">
        <x:v>57</x:v>
      </x:c>
      <x:c r="Y1197" s="41" t="n">
        <x:v>42</x:v>
      </x:c>
    </x:row>
    <x:row r="1198">
      <x:c r="A1198" s="38" t="str">
        <x:v>7月30日现场数据</x:v>
      </x:c>
      <x:c r="B1198" s="66" t="str">
        <x:v>2026-08-03T17:16:11.153000</x:v>
      </x:c>
      <x:c r="C1198" s="47" t="n">
        <x:v>300977</x:v>
      </x:c>
      <x:c r="D1198" s="47" t="str"/>
      <x:c r="E1198" s="47" t="str"/>
      <x:c r="F1198" s="47" t="str">
        <x:v>current</x:v>
      </x:c>
      <x:c r="G1198" s="47" t="n">
        <x:v>1194</x:v>
      </x:c>
      <x:c r="H1198" s="53" t="b">
        <x:v>1</x:v>
      </x:c>
      <x:c r="I1198" s="47" t="str">
        <x:v>2311811481</x:v>
      </x:c>
      <x:c r="J1198" s="47" t="n">
        <x:v>9632694</x:v>
      </x:c>
      <x:c r="K1198" s="53" t="b">
        <x:v>1</x:v>
      </x:c>
      <x:c r="L1198" s="53" t="b">
        <x:v>1</x:v>
      </x:c>
      <x:c r="M1198" s="53" t="b">
        <x:v>1</x:v>
      </x:c>
      <x:c r="N1198" s="53" t="b">
        <x:v>1</x:v>
      </x:c>
      <x:c r="O1198" s="53" t="b">
        <x:v>1</x:v>
      </x:c>
      <x:c r="P1198" s="47" t="n">
        <x:v>1009</x:v>
      </x:c>
      <x:c r="Q1198" s="47" t="n">
        <x:v>0</x:v>
      </x:c>
      <x:c r="R1198" s="47" t="n">
        <x:v>0</x:v>
      </x:c>
      <x:c r="S1198" s="47" t="n">
        <x:v>35.91</x:v>
      </x:c>
      <x:c r="T1198" s="47" t="n">
        <x:v>51.32</x:v>
      </x:c>
      <x:c r="U1198" s="47" t="n">
        <x:v>32</x:v>
      </x:c>
      <x:c r="V1198" s="47" t="n">
        <x:v>13.4</x:v>
      </x:c>
      <x:c r="W1198" s="47" t="n">
        <x:v>15</x:v>
      </x:c>
      <x:c r="X1198" s="47" t="n">
        <x:v>54</x:v>
      </x:c>
      <x:c r="Y1198" s="41" t="n">
        <x:v>39</x:v>
      </x:c>
    </x:row>
    <x:row r="1199">
      <x:c r="A1199" s="38" t="str">
        <x:v>7月30日现场数据</x:v>
      </x:c>
      <x:c r="B1199" s="66" t="str">
        <x:v>2026-08-03T17:21:12.131000</x:v>
      </x:c>
      <x:c r="C1199" s="47" t="n">
        <x:v>300978</x:v>
      </x:c>
      <x:c r="D1199" s="47" t="str"/>
      <x:c r="E1199" s="47" t="str"/>
      <x:c r="F1199" s="47" t="str">
        <x:v>current</x:v>
      </x:c>
      <x:c r="G1199" s="47" t="n">
        <x:v>1195</x:v>
      </x:c>
      <x:c r="H1199" s="53" t="b">
        <x:v>1</x:v>
      </x:c>
      <x:c r="I1199" s="47" t="str">
        <x:v>2311811481</x:v>
      </x:c>
      <x:c r="J1199" s="47" t="n">
        <x:v>9933672</x:v>
      </x:c>
      <x:c r="K1199" s="53" t="b">
        <x:v>1</x:v>
      </x:c>
      <x:c r="L1199" s="53" t="b">
        <x:v>1</x:v>
      </x:c>
      <x:c r="M1199" s="53" t="b">
        <x:v>1</x:v>
      </x:c>
      <x:c r="N1199" s="53" t="b">
        <x:v>1</x:v>
      </x:c>
      <x:c r="O1199" s="53" t="b">
        <x:v>1</x:v>
      </x:c>
      <x:c r="P1199" s="47" t="n">
        <x:v>1009</x:v>
      </x:c>
      <x:c r="Q1199" s="47" t="n">
        <x:v>0</x:v>
      </x:c>
      <x:c r="R1199" s="47" t="n">
        <x:v>0</x:v>
      </x:c>
      <x:c r="S1199" s="47" t="n">
        <x:v>36.13</x:v>
      </x:c>
      <x:c r="T1199" s="47" t="n">
        <x:v>51.34</x:v>
      </x:c>
      <x:c r="U1199" s="47" t="n">
        <x:v>32</x:v>
      </x:c>
      <x:c r="V1199" s="47" t="n">
        <x:v>13.3</x:v>
      </x:c>
      <x:c r="W1199" s="47" t="n">
        <x:v>14</x:v>
      </x:c>
      <x:c r="X1199" s="47" t="n">
        <x:v>53</x:v>
      </x:c>
      <x:c r="Y1199" s="41" t="n">
        <x:v>39</x:v>
      </x:c>
    </x:row>
    <x:row r="1200">
      <x:c r="A1200" s="38" t="str">
        <x:v>7月30日现场数据</x:v>
      </x:c>
      <x:c r="B1200" s="66" t="str">
        <x:v>2026-08-03T17:26:13.108000</x:v>
      </x:c>
      <x:c r="C1200" s="47" t="n">
        <x:v>300977</x:v>
      </x:c>
      <x:c r="D1200" s="47" t="str"/>
      <x:c r="E1200" s="47" t="str"/>
      <x:c r="F1200" s="47" t="str">
        <x:v>current</x:v>
      </x:c>
      <x:c r="G1200" s="47" t="n">
        <x:v>1196</x:v>
      </x:c>
      <x:c r="H1200" s="53" t="b">
        <x:v>1</x:v>
      </x:c>
      <x:c r="I1200" s="47" t="str">
        <x:v>2311811481</x:v>
      </x:c>
      <x:c r="J1200" s="47" t="n">
        <x:v>10234649</x:v>
      </x:c>
      <x:c r="K1200" s="53" t="b">
        <x:v>1</x:v>
      </x:c>
      <x:c r="L1200" s="53" t="b">
        <x:v>1</x:v>
      </x:c>
      <x:c r="M1200" s="53" t="b">
        <x:v>1</x:v>
      </x:c>
      <x:c r="N1200" s="53" t="b">
        <x:v>1</x:v>
      </x:c>
      <x:c r="O1200" s="53" t="b">
        <x:v>1</x:v>
      </x:c>
      <x:c r="P1200" s="47" t="n">
        <x:v>1009</x:v>
      </x:c>
      <x:c r="Q1200" s="47" t="n">
        <x:v>0</x:v>
      </x:c>
      <x:c r="R1200" s="47" t="n">
        <x:v>0</x:v>
      </x:c>
      <x:c r="S1200" s="47" t="n">
        <x:v>35.88</x:v>
      </x:c>
      <x:c r="T1200" s="47" t="n">
        <x:v>51.3</x:v>
      </x:c>
      <x:c r="U1200" s="47" t="n">
        <x:v>32</x:v>
      </x:c>
      <x:c r="V1200" s="47" t="n">
        <x:v>13.3</x:v>
      </x:c>
      <x:c r="W1200" s="47" t="n">
        <x:v>12</x:v>
      </x:c>
      <x:c r="X1200" s="47" t="n">
        <x:v>54</x:v>
      </x:c>
      <x:c r="Y1200" s="41" t="n">
        <x:v>42</x:v>
      </x:c>
    </x:row>
    <x:row r="1201">
      <x:c r="A1201" s="38" t="str">
        <x:v>7月30日现场数据</x:v>
      </x:c>
      <x:c r="B1201" s="66" t="str">
        <x:v>2026-08-03T17:31:30.778000</x:v>
      </x:c>
      <x:c r="C1201" s="47" t="n">
        <x:v>317670</x:v>
      </x:c>
      <x:c r="D1201" s="47" t="str"/>
      <x:c r="E1201" s="47" t="str"/>
      <x:c r="F1201" s="47" t="str">
        <x:v>current</x:v>
      </x:c>
      <x:c r="G1201" s="47" t="n">
        <x:v>1197</x:v>
      </x:c>
      <x:c r="H1201" s="53" t="b">
        <x:v>1</x:v>
      </x:c>
      <x:c r="I1201" s="47" t="str">
        <x:v>2311811481</x:v>
      </x:c>
      <x:c r="J1201" s="47" t="n">
        <x:v>10552319</x:v>
      </x:c>
      <x:c r="K1201" s="53" t="b">
        <x:v>1</x:v>
      </x:c>
      <x:c r="L1201" s="53" t="b">
        <x:v>1</x:v>
      </x:c>
      <x:c r="M1201" s="53" t="b">
        <x:v>1</x:v>
      </x:c>
      <x:c r="N1201" s="53" t="b">
        <x:v>1</x:v>
      </x:c>
      <x:c r="O1201" s="53" t="b">
        <x:v>1</x:v>
      </x:c>
      <x:c r="P1201" s="47" t="n">
        <x:v>1009</x:v>
      </x:c>
      <x:c r="Q1201" s="47" t="n">
        <x:v>0</x:v>
      </x:c>
      <x:c r="R1201" s="47" t="n">
        <x:v>0</x:v>
      </x:c>
      <x:c r="S1201" s="47" t="n">
        <x:v>35.54</x:v>
      </x:c>
      <x:c r="T1201" s="47" t="n">
        <x:v>51.17</x:v>
      </x:c>
      <x:c r="U1201" s="47" t="n">
        <x:v>32</x:v>
      </x:c>
      <x:c r="V1201" s="47" t="n">
        <x:v>13.3</x:v>
      </x:c>
      <x:c r="W1201" s="47" t="n">
        <x:v>11</x:v>
      </x:c>
      <x:c r="X1201" s="47" t="n">
        <x:v>43</x:v>
      </x:c>
      <x:c r="Y1201" s="41" t="n">
        <x:v>32</x:v>
      </x:c>
    </x:row>
    <x:row r="1202">
      <x:c r="A1202" s="38" t="str">
        <x:v>7月30日现场数据</x:v>
      </x:c>
      <x:c r="B1202" s="66" t="str">
        <x:v>2026-08-03T17:36:31.759000</x:v>
      </x:c>
      <x:c r="C1202" s="47" t="n">
        <x:v>300981</x:v>
      </x:c>
      <x:c r="D1202" s="47" t="str"/>
      <x:c r="E1202" s="47" t="str"/>
      <x:c r="F1202" s="47" t="str">
        <x:v>current</x:v>
      </x:c>
      <x:c r="G1202" s="47" t="n">
        <x:v>1198</x:v>
      </x:c>
      <x:c r="H1202" s="53" t="b">
        <x:v>1</x:v>
      </x:c>
      <x:c r="I1202" s="47" t="str">
        <x:v>2311811481</x:v>
      </x:c>
      <x:c r="J1202" s="47" t="n">
        <x:v>10853300</x:v>
      </x:c>
      <x:c r="K1202" s="53" t="b">
        <x:v>1</x:v>
      </x:c>
      <x:c r="L1202" s="53" t="b">
        <x:v>1</x:v>
      </x:c>
      <x:c r="M1202" s="53" t="b">
        <x:v>1</x:v>
      </x:c>
      <x:c r="N1202" s="53" t="b">
        <x:v>1</x:v>
      </x:c>
      <x:c r="O1202" s="53" t="b">
        <x:v>1</x:v>
      </x:c>
      <x:c r="P1202" s="47" t="n">
        <x:v>1009</x:v>
      </x:c>
      <x:c r="Q1202" s="47" t="n">
        <x:v>0</x:v>
      </x:c>
      <x:c r="R1202" s="47" t="n">
        <x:v>0</x:v>
      </x:c>
      <x:c r="S1202" s="47" t="n">
        <x:v>35.31</x:v>
      </x:c>
      <x:c r="T1202" s="47" t="n">
        <x:v>51.01</x:v>
      </x:c>
      <x:c r="U1202" s="47" t="n">
        <x:v>32</x:v>
      </x:c>
      <x:c r="V1202" s="47" t="n">
        <x:v>13.3</x:v>
      </x:c>
      <x:c r="W1202" s="47" t="n">
        <x:v>10</x:v>
      </x:c>
      <x:c r="X1202" s="47" t="n">
        <x:v>39</x:v>
      </x:c>
      <x:c r="Y1202" s="41" t="n">
        <x:v>29</x:v>
      </x:c>
    </x:row>
    <x:row r="1203">
      <x:c r="A1203" s="38" t="str">
        <x:v>7月30日现场数据</x:v>
      </x:c>
      <x:c r="B1203" s="66" t="str">
        <x:v>2026-08-03T17:41:32.744000</x:v>
      </x:c>
      <x:c r="C1203" s="47" t="n">
        <x:v>300985</x:v>
      </x:c>
      <x:c r="D1203" s="47" t="str"/>
      <x:c r="E1203" s="47" t="str"/>
      <x:c r="F1203" s="47" t="str">
        <x:v>current</x:v>
      </x:c>
      <x:c r="G1203" s="47" t="n">
        <x:v>1199</x:v>
      </x:c>
      <x:c r="H1203" s="53" t="b">
        <x:v>1</x:v>
      </x:c>
      <x:c r="I1203" s="47" t="str">
        <x:v>2311811481</x:v>
      </x:c>
      <x:c r="J1203" s="47" t="n">
        <x:v>11154285</x:v>
      </x:c>
      <x:c r="K1203" s="53" t="b">
        <x:v>1</x:v>
      </x:c>
      <x:c r="L1203" s="53" t="b">
        <x:v>1</x:v>
      </x:c>
      <x:c r="M1203" s="53" t="b">
        <x:v>1</x:v>
      </x:c>
      <x:c r="N1203" s="53" t="b">
        <x:v>1</x:v>
      </x:c>
      <x:c r="O1203" s="53" t="b">
        <x:v>1</x:v>
      </x:c>
      <x:c r="P1203" s="47" t="n">
        <x:v>1009</x:v>
      </x:c>
      <x:c r="Q1203" s="47" t="n">
        <x:v>0</x:v>
      </x:c>
      <x:c r="R1203" s="47" t="n">
        <x:v>0</x:v>
      </x:c>
      <x:c r="S1203" s="47" t="n">
        <x:v>35.1</x:v>
      </x:c>
      <x:c r="T1203" s="47" t="n">
        <x:v>50.92</x:v>
      </x:c>
      <x:c r="U1203" s="47" t="n">
        <x:v>32</x:v>
      </x:c>
      <x:c r="V1203" s="47" t="n">
        <x:v>13.3</x:v>
      </x:c>
      <x:c r="W1203" s="47" t="n">
        <x:v>9</x:v>
      </x:c>
      <x:c r="X1203" s="47" t="n">
        <x:v>35</x:v>
      </x:c>
      <x:c r="Y1203" s="41" t="n">
        <x:v>26</x:v>
      </x:c>
    </x:row>
    <x:row r="1204">
      <x:c r="A1204" s="38" t="str">
        <x:v>7月30日现场数据</x:v>
      </x:c>
      <x:c r="B1204" s="66" t="str">
        <x:v>2026-08-03T17:46:33.731000</x:v>
      </x:c>
      <x:c r="C1204" s="47" t="n">
        <x:v>300987</x:v>
      </x:c>
      <x:c r="D1204" s="47" t="str"/>
      <x:c r="E1204" s="47" t="str"/>
      <x:c r="F1204" s="47" t="str">
        <x:v>current</x:v>
      </x:c>
      <x:c r="G1204" s="47" t="n">
        <x:v>1200</x:v>
      </x:c>
      <x:c r="H1204" s="53" t="b">
        <x:v>1</x:v>
      </x:c>
      <x:c r="I1204" s="47" t="str">
        <x:v>2311811481</x:v>
      </x:c>
      <x:c r="J1204" s="47" t="n">
        <x:v>11455272</x:v>
      </x:c>
      <x:c r="K1204" s="53" t="b">
        <x:v>1</x:v>
      </x:c>
      <x:c r="L1204" s="53" t="b">
        <x:v>1</x:v>
      </x:c>
      <x:c r="M1204" s="53" t="b">
        <x:v>1</x:v>
      </x:c>
      <x:c r="N1204" s="53" t="b">
        <x:v>1</x:v>
      </x:c>
      <x:c r="O1204" s="53" t="b">
        <x:v>1</x:v>
      </x:c>
      <x:c r="P1204" s="47" t="n">
        <x:v>1009</x:v>
      </x:c>
      <x:c r="Q1204" s="47" t="n">
        <x:v>0</x:v>
      </x:c>
      <x:c r="R1204" s="47" t="n">
        <x:v>0</x:v>
      </x:c>
      <x:c r="S1204" s="47" t="n">
        <x:v>34.85</x:v>
      </x:c>
      <x:c r="T1204" s="47" t="n">
        <x:v>50.77</x:v>
      </x:c>
      <x:c r="U1204" s="47" t="n">
        <x:v>32</x:v>
      </x:c>
      <x:c r="V1204" s="47" t="n">
        <x:v>13.3</x:v>
      </x:c>
      <x:c r="W1204" s="47" t="n">
        <x:v>8</x:v>
      </x:c>
      <x:c r="X1204" s="47" t="n">
        <x:v>30</x:v>
      </x:c>
      <x:c r="Y1204" s="41" t="n">
        <x:v>22</x:v>
      </x:c>
    </x:row>
    <x:row r="1205">
      <x:c r="A1205" s="38" t="str">
        <x:v>7月30日现场数据</x:v>
      </x:c>
      <x:c r="B1205" s="66" t="str">
        <x:v>2026-08-03T17:51:34.716000</x:v>
      </x:c>
      <x:c r="C1205" s="47" t="n">
        <x:v>300985</x:v>
      </x:c>
      <x:c r="D1205" s="47" t="str"/>
      <x:c r="E1205" s="47" t="str"/>
      <x:c r="F1205" s="47" t="str">
        <x:v>current</x:v>
      </x:c>
      <x:c r="G1205" s="47" t="n">
        <x:v>1201</x:v>
      </x:c>
      <x:c r="H1205" s="53" t="b">
        <x:v>1</x:v>
      </x:c>
      <x:c r="I1205" s="47" t="str">
        <x:v>2311811481</x:v>
      </x:c>
      <x:c r="J1205" s="47" t="n">
        <x:v>11756257</x:v>
      </x:c>
      <x:c r="K1205" s="53" t="b">
        <x:v>1</x:v>
      </x:c>
      <x:c r="L1205" s="53" t="b">
        <x:v>1</x:v>
      </x:c>
      <x:c r="M1205" s="53" t="b">
        <x:v>1</x:v>
      </x:c>
      <x:c r="N1205" s="53" t="b">
        <x:v>1</x:v>
      </x:c>
      <x:c r="O1205" s="53" t="b">
        <x:v>1</x:v>
      </x:c>
      <x:c r="P1205" s="47" t="n">
        <x:v>1009</x:v>
      </x:c>
      <x:c r="Q1205" s="47" t="n">
        <x:v>0</x:v>
      </x:c>
      <x:c r="R1205" s="47" t="n">
        <x:v>0</x:v>
      </x:c>
      <x:c r="S1205" s="47" t="n">
        <x:v>34.7</x:v>
      </x:c>
      <x:c r="T1205" s="47" t="n">
        <x:v>50.72</x:v>
      </x:c>
      <x:c r="U1205" s="47" t="n">
        <x:v>32</x:v>
      </x:c>
      <x:c r="V1205" s="47" t="n">
        <x:v>13.3</x:v>
      </x:c>
      <x:c r="W1205" s="47" t="n">
        <x:v>7</x:v>
      </x:c>
      <x:c r="X1205" s="47" t="n">
        <x:v>25</x:v>
      </x:c>
      <x:c r="Y1205" s="41" t="n">
        <x:v>18</x:v>
      </x:c>
    </x:row>
    <x:row r="1206">
      <x:c r="A1206" s="38" t="str">
        <x:v>7月30日现场数据</x:v>
      </x:c>
      <x:c r="B1206" s="66" t="str">
        <x:v>2026-08-03T17:56:35.706000</x:v>
      </x:c>
      <x:c r="C1206" s="47" t="n">
        <x:v>300990</x:v>
      </x:c>
      <x:c r="D1206" s="47" t="str"/>
      <x:c r="E1206" s="47" t="str"/>
      <x:c r="F1206" s="47" t="str">
        <x:v>current</x:v>
      </x:c>
      <x:c r="G1206" s="47" t="n">
        <x:v>1202</x:v>
      </x:c>
      <x:c r="H1206" s="53" t="b">
        <x:v>1</x:v>
      </x:c>
      <x:c r="I1206" s="47" t="str">
        <x:v>2311811481</x:v>
      </x:c>
      <x:c r="J1206" s="47" t="n">
        <x:v>12057247</x:v>
      </x:c>
      <x:c r="K1206" s="53" t="b">
        <x:v>1</x:v>
      </x:c>
      <x:c r="L1206" s="53" t="b">
        <x:v>1</x:v>
      </x:c>
      <x:c r="M1206" s="53" t="b">
        <x:v>1</x:v>
      </x:c>
      <x:c r="N1206" s="53" t="b">
        <x:v>1</x:v>
      </x:c>
      <x:c r="O1206" s="53" t="b">
        <x:v>1</x:v>
      </x:c>
      <x:c r="P1206" s="47" t="n">
        <x:v>1009</x:v>
      </x:c>
      <x:c r="Q1206" s="47" t="n">
        <x:v>0.004</x:v>
      </x:c>
      <x:c r="R1206" s="47" t="n">
        <x:v>0.099</x:v>
      </x:c>
      <x:c r="S1206" s="47" t="n">
        <x:v>34.51</x:v>
      </x:c>
      <x:c r="T1206" s="47" t="n">
        <x:v>50.63</x:v>
      </x:c>
      <x:c r="U1206" s="47" t="n">
        <x:v>31.9</x:v>
      </x:c>
      <x:c r="V1206" s="47" t="n">
        <x:v>13.3</x:v>
      </x:c>
      <x:c r="W1206" s="47" t="n">
        <x:v>5</x:v>
      </x:c>
      <x:c r="X1206" s="47" t="n">
        <x:v>20</x:v>
      </x:c>
      <x:c r="Y1206" s="41" t="n">
        <x:v>15</x:v>
      </x:c>
    </x:row>
    <x:row r="1207">
      <x:c r="A1207" s="38" t="str">
        <x:v>7月30日现场数据</x:v>
      </x:c>
      <x:c r="B1207" s="66" t="str">
        <x:v>2026-08-03T18:01:36.711000</x:v>
      </x:c>
      <x:c r="C1207" s="47" t="n">
        <x:v>301005</x:v>
      </x:c>
      <x:c r="D1207" s="47" t="str"/>
      <x:c r="E1207" s="47" t="str"/>
      <x:c r="F1207" s="47" t="str">
        <x:v>current</x:v>
      </x:c>
      <x:c r="G1207" s="47" t="n">
        <x:v>1203</x:v>
      </x:c>
      <x:c r="H1207" s="53" t="b">
        <x:v>1</x:v>
      </x:c>
      <x:c r="I1207" s="47" t="str">
        <x:v>2311811481</x:v>
      </x:c>
      <x:c r="J1207" s="47" t="n">
        <x:v>12358252</x:v>
      </x:c>
      <x:c r="K1207" s="53" t="b">
        <x:v>1</x:v>
      </x:c>
      <x:c r="L1207" s="53" t="b">
        <x:v>1</x:v>
      </x:c>
      <x:c r="M1207" s="53" t="b">
        <x:v>1</x:v>
      </x:c>
      <x:c r="N1207" s="53" t="b">
        <x:v>1</x:v>
      </x:c>
      <x:c r="O1207" s="53" t="b">
        <x:v>1</x:v>
      </x:c>
      <x:c r="P1207" s="47" t="n">
        <x:v>1009</x:v>
      </x:c>
      <x:c r="Q1207" s="47" t="n">
        <x:v>0</x:v>
      </x:c>
      <x:c r="R1207" s="47" t="n">
        <x:v>0</x:v>
      </x:c>
      <x:c r="S1207" s="47" t="n">
        <x:v>34.28</x:v>
      </x:c>
      <x:c r="T1207" s="47" t="n">
        <x:v>50.52</x:v>
      </x:c>
      <x:c r="U1207" s="47" t="n">
        <x:v>31.9</x:v>
      </x:c>
      <x:c r="V1207" s="47" t="n">
        <x:v>13.3</x:v>
      </x:c>
      <x:c r="W1207" s="47" t="n">
        <x:v>4</x:v>
      </x:c>
      <x:c r="X1207" s="47" t="n">
        <x:v>16</x:v>
      </x:c>
      <x:c r="Y1207" s="41" t="n">
        <x:v>12</x:v>
      </x:c>
    </x:row>
    <x:row r="1208">
      <x:c r="A1208" s="38" t="str">
        <x:v>7月30日现场数据</x:v>
      </x:c>
      <x:c r="B1208" s="66" t="str">
        <x:v>2026-08-03T18:06:37.687000</x:v>
      </x:c>
      <x:c r="C1208" s="47" t="n">
        <x:v>300976</x:v>
      </x:c>
      <x:c r="D1208" s="47" t="str"/>
      <x:c r="E1208" s="47" t="str"/>
      <x:c r="F1208" s="47" t="str">
        <x:v>current</x:v>
      </x:c>
      <x:c r="G1208" s="47" t="n">
        <x:v>1204</x:v>
      </x:c>
      <x:c r="H1208" s="53" t="b">
        <x:v>1</x:v>
      </x:c>
      <x:c r="I1208" s="47" t="str">
        <x:v>2311811481</x:v>
      </x:c>
      <x:c r="J1208" s="47" t="n">
        <x:v>12659228</x:v>
      </x:c>
      <x:c r="K1208" s="53" t="b">
        <x:v>1</x:v>
      </x:c>
      <x:c r="L1208" s="53" t="b">
        <x:v>1</x:v>
      </x:c>
      <x:c r="M1208" s="53" t="b">
        <x:v>1</x:v>
      </x:c>
      <x:c r="N1208" s="53" t="b">
        <x:v>1</x:v>
      </x:c>
      <x:c r="O1208" s="53" t="b">
        <x:v>1</x:v>
      </x:c>
      <x:c r="P1208" s="47" t="n">
        <x:v>1009</x:v>
      </x:c>
      <x:c r="Q1208" s="47" t="n">
        <x:v>0</x:v>
      </x:c>
      <x:c r="R1208" s="47" t="n">
        <x:v>0</x:v>
      </x:c>
      <x:c r="S1208" s="47" t="n">
        <x:v>34</x:v>
      </x:c>
      <x:c r="T1208" s="47" t="n">
        <x:v>50.46</x:v>
      </x:c>
      <x:c r="U1208" s="47" t="n">
        <x:v>31.9</x:v>
      </x:c>
      <x:c r="V1208" s="47" t="n">
        <x:v>13.2</x:v>
      </x:c>
      <x:c r="W1208" s="47" t="n">
        <x:v>3</x:v>
      </x:c>
      <x:c r="X1208" s="47" t="n">
        <x:v>12</x:v>
      </x:c>
      <x:c r="Y1208" s="41" t="n">
        <x:v>9</x:v>
      </x:c>
    </x:row>
    <x:row r="1209">
      <x:c r="A1209" s="38" t="str">
        <x:v>7月30日现场数据</x:v>
      </x:c>
      <x:c r="B1209" s="66" t="str">
        <x:v>2026-08-03T18:11:38.666000</x:v>
      </x:c>
      <x:c r="C1209" s="47" t="n">
        <x:v>300979</x:v>
      </x:c>
      <x:c r="D1209" s="47" t="str"/>
      <x:c r="E1209" s="47" t="str"/>
      <x:c r="F1209" s="47" t="str">
        <x:v>current</x:v>
      </x:c>
      <x:c r="G1209" s="47" t="n">
        <x:v>1205</x:v>
      </x:c>
      <x:c r="H1209" s="53" t="b">
        <x:v>1</x:v>
      </x:c>
      <x:c r="I1209" s="47" t="str">
        <x:v>2311811481</x:v>
      </x:c>
      <x:c r="J1209" s="47" t="n">
        <x:v>12960207</x:v>
      </x:c>
      <x:c r="K1209" s="53" t="b">
        <x:v>1</x:v>
      </x:c>
      <x:c r="L1209" s="53" t="b">
        <x:v>1</x:v>
      </x:c>
      <x:c r="M1209" s="53" t="b">
        <x:v>1</x:v>
      </x:c>
      <x:c r="N1209" s="53" t="b">
        <x:v>1</x:v>
      </x:c>
      <x:c r="O1209" s="53" t="b">
        <x:v>1</x:v>
      </x:c>
      <x:c r="P1209" s="47" t="n">
        <x:v>1009</x:v>
      </x:c>
      <x:c r="Q1209" s="47" t="n">
        <x:v>0</x:v>
      </x:c>
      <x:c r="R1209" s="47" t="n">
        <x:v>0</x:v>
      </x:c>
      <x:c r="S1209" s="47" t="n">
        <x:v>33.66</x:v>
      </x:c>
      <x:c r="T1209" s="47" t="n">
        <x:v>50.37</x:v>
      </x:c>
      <x:c r="U1209" s="47" t="n">
        <x:v>31.8</x:v>
      </x:c>
      <x:c r="V1209" s="47" t="n">
        <x:v>13.2</x:v>
      </x:c>
      <x:c r="W1209" s="47" t="n">
        <x:v>2</x:v>
      </x:c>
      <x:c r="X1209" s="47" t="n">
        <x:v>10</x:v>
      </x:c>
      <x:c r="Y1209" s="41" t="n">
        <x:v>8</x:v>
      </x:c>
    </x:row>
    <x:row r="1210">
      <x:c r="A1210" s="38" t="str">
        <x:v>7月30日现场数据</x:v>
      </x:c>
      <x:c r="B1210" s="66" t="str">
        <x:v>2026-08-03T18:16:39.681000</x:v>
      </x:c>
      <x:c r="C1210" s="47" t="n">
        <x:v>301015</x:v>
      </x:c>
      <x:c r="D1210" s="47" t="str"/>
      <x:c r="E1210" s="47" t="str"/>
      <x:c r="F1210" s="47" t="str">
        <x:v>current</x:v>
      </x:c>
      <x:c r="G1210" s="47" t="n">
        <x:v>1206</x:v>
      </x:c>
      <x:c r="H1210" s="53" t="b">
        <x:v>1</x:v>
      </x:c>
      <x:c r="I1210" s="47" t="str">
        <x:v>2311811481</x:v>
      </x:c>
      <x:c r="J1210" s="47" t="n">
        <x:v>13261222</x:v>
      </x:c>
      <x:c r="K1210" s="53" t="b">
        <x:v>1</x:v>
      </x:c>
      <x:c r="L1210" s="53" t="b">
        <x:v>1</x:v>
      </x:c>
      <x:c r="M1210" s="53" t="b">
        <x:v>1</x:v>
      </x:c>
      <x:c r="N1210" s="53" t="b">
        <x:v>1</x:v>
      </x:c>
      <x:c r="O1210" s="53" t="b">
        <x:v>1</x:v>
      </x:c>
      <x:c r="P1210" s="47" t="n">
        <x:v>1009</x:v>
      </x:c>
      <x:c r="Q1210" s="47" t="n">
        <x:v>0</x:v>
      </x:c>
      <x:c r="R1210" s="47" t="n">
        <x:v>0</x:v>
      </x:c>
      <x:c r="S1210" s="47" t="n">
        <x:v>33.49</x:v>
      </x:c>
      <x:c r="T1210" s="47" t="n">
        <x:v>50.28</x:v>
      </x:c>
      <x:c r="U1210" s="47" t="n">
        <x:v>31.8</x:v>
      </x:c>
      <x:c r="V1210" s="47" t="n">
        <x:v>13.2</x:v>
      </x:c>
      <x:c r="W1210" s="47" t="n">
        <x:v>1</x:v>
      </x:c>
      <x:c r="X1210" s="47" t="n">
        <x:v>5</x:v>
      </x:c>
      <x:c r="Y1210" s="41" t="n">
        <x:v>4</x:v>
      </x:c>
    </x:row>
    <x:row r="1211">
      <x:c r="A1211" s="38" t="str">
        <x:v>7月30日现场数据</x:v>
      </x:c>
      <x:c r="B1211" s="66" t="str">
        <x:v>2026-08-03T18:21:40.638000</x:v>
      </x:c>
      <x:c r="C1211" s="47" t="n">
        <x:v>300957</x:v>
      </x:c>
      <x:c r="D1211" s="47" t="str"/>
      <x:c r="E1211" s="47" t="str"/>
      <x:c r="F1211" s="47" t="str">
        <x:v>current</x:v>
      </x:c>
      <x:c r="G1211" s="47" t="n">
        <x:v>1207</x:v>
      </x:c>
      <x:c r="H1211" s="53" t="b">
        <x:v>1</x:v>
      </x:c>
      <x:c r="I1211" s="47" t="str">
        <x:v>2311811481</x:v>
      </x:c>
      <x:c r="J1211" s="47" t="n">
        <x:v>13562179</x:v>
      </x:c>
      <x:c r="K1211" s="53" t="b">
        <x:v>1</x:v>
      </x:c>
      <x:c r="L1211" s="53" t="b">
        <x:v>1</x:v>
      </x:c>
      <x:c r="M1211" s="53" t="b">
        <x:v>1</x:v>
      </x:c>
      <x:c r="N1211" s="53" t="b">
        <x:v>1</x:v>
      </x:c>
      <x:c r="O1211" s="53" t="b">
        <x:v>1</x:v>
      </x:c>
      <x:c r="P1211" s="47" t="n">
        <x:v>1009</x:v>
      </x:c>
      <x:c r="Q1211" s="47" t="n">
        <x:v>0</x:v>
      </x:c>
      <x:c r="R1211" s="47" t="n">
        <x:v>0</x:v>
      </x:c>
      <x:c r="S1211" s="47" t="n">
        <x:v>33.18</x:v>
      </x:c>
      <x:c r="T1211" s="47" t="n">
        <x:v>50.18</x:v>
      </x:c>
      <x:c r="U1211" s="47" t="n">
        <x:v>31.8</x:v>
      </x:c>
      <x:c r="V1211" s="47" t="n">
        <x:v>13.2</x:v>
      </x:c>
      <x:c r="W1211" s="47" t="n">
        <x:v>1</x:v>
      </x:c>
      <x:c r="X1211" s="47" t="n">
        <x:v>5</x:v>
      </x:c>
      <x:c r="Y1211" s="41" t="n">
        <x:v>4</x:v>
      </x:c>
    </x:row>
    <x:row r="1212">
      <x:c r="A1212" s="38" t="str">
        <x:v>7月30日现场数据</x:v>
      </x:c>
      <x:c r="B1212" s="66" t="str">
        <x:v>2026-08-03T18:26:41.596000</x:v>
      </x:c>
      <x:c r="C1212" s="47" t="n">
        <x:v>300958</x:v>
      </x:c>
      <x:c r="D1212" s="47" t="str"/>
      <x:c r="E1212" s="47" t="str"/>
      <x:c r="F1212" s="47" t="str">
        <x:v>current</x:v>
      </x:c>
      <x:c r="G1212" s="47" t="n">
        <x:v>1208</x:v>
      </x:c>
      <x:c r="H1212" s="53" t="b">
        <x:v>1</x:v>
      </x:c>
      <x:c r="I1212" s="47" t="str">
        <x:v>2311811481</x:v>
      </x:c>
      <x:c r="J1212" s="47" t="n">
        <x:v>13863137</x:v>
      </x:c>
      <x:c r="K1212" s="53" t="b">
        <x:v>1</x:v>
      </x:c>
      <x:c r="L1212" s="53" t="b">
        <x:v>1</x:v>
      </x:c>
      <x:c r="M1212" s="53" t="b">
        <x:v>1</x:v>
      </x:c>
      <x:c r="N1212" s="53" t="b">
        <x:v>1</x:v>
      </x:c>
      <x:c r="O1212" s="53" t="b">
        <x:v>1</x:v>
      </x:c>
      <x:c r="P1212" s="47" t="n">
        <x:v>1009</x:v>
      </x:c>
      <x:c r="Q1212" s="47" t="n">
        <x:v>0</x:v>
      </x:c>
      <x:c r="R1212" s="47" t="n">
        <x:v>0</x:v>
      </x:c>
      <x:c r="S1212" s="47" t="n">
        <x:v>33.03</x:v>
      </x:c>
      <x:c r="T1212" s="47" t="n">
        <x:v>50.21</x:v>
      </x:c>
      <x:c r="U1212" s="47" t="n">
        <x:v>31.8</x:v>
      </x:c>
      <x:c r="V1212" s="47" t="n">
        <x:v>13.2</x:v>
      </x:c>
      <x:c r="W1212" s="47" t="n">
        <x:v>1</x:v>
      </x:c>
      <x:c r="X1212" s="47" t="n">
        <x:v>3</x:v>
      </x:c>
      <x:c r="Y1212" s="41" t="n">
        <x:v>2</x:v>
      </x:c>
    </x:row>
    <x:row r="1213">
      <x:c r="A1213" s="38" t="str">
        <x:v>7月30日现场数据</x:v>
      </x:c>
      <x:c r="B1213" s="66" t="str">
        <x:v>2026-08-03T18:31:42.559000</x:v>
      </x:c>
      <x:c r="C1213" s="47" t="n">
        <x:v>300963</x:v>
      </x:c>
      <x:c r="D1213" s="47" t="str"/>
      <x:c r="E1213" s="47" t="str"/>
      <x:c r="F1213" s="47" t="str">
        <x:v>current</x:v>
      </x:c>
      <x:c r="G1213" s="47" t="n">
        <x:v>1209</x:v>
      </x:c>
      <x:c r="H1213" s="53" t="b">
        <x:v>1</x:v>
      </x:c>
      <x:c r="I1213" s="47" t="str">
        <x:v>2311811481</x:v>
      </x:c>
      <x:c r="J1213" s="47" t="n">
        <x:v>14164100</x:v>
      </x:c>
      <x:c r="K1213" s="53" t="b">
        <x:v>1</x:v>
      </x:c>
      <x:c r="L1213" s="53" t="b">
        <x:v>1</x:v>
      </x:c>
      <x:c r="M1213" s="53" t="b">
        <x:v>1</x:v>
      </x:c>
      <x:c r="N1213" s="53" t="b">
        <x:v>1</x:v>
      </x:c>
      <x:c r="O1213" s="53" t="b">
        <x:v>1</x:v>
      </x:c>
      <x:c r="P1213" s="47" t="n">
        <x:v>1009</x:v>
      </x:c>
      <x:c r="Q1213" s="47" t="n">
        <x:v>0</x:v>
      </x:c>
      <x:c r="R1213" s="47" t="n">
        <x:v>0</x:v>
      </x:c>
      <x:c r="S1213" s="47" t="n">
        <x:v>32.8</x:v>
      </x:c>
      <x:c r="T1213" s="47" t="n">
        <x:v>50.14</x:v>
      </x:c>
      <x:c r="U1213" s="47" t="n">
        <x:v>31.7</x:v>
      </x:c>
      <x:c r="V1213" s="47" t="n">
        <x:v>13.1</x:v>
      </x:c>
      <x:c r="W1213" s="47" t="n">
        <x:v>0</x:v>
      </x:c>
      <x:c r="X1213" s="47" t="n">
        <x:v>2</x:v>
      </x:c>
      <x:c r="Y1213" s="41" t="n">
        <x:v>2</x:v>
      </x:c>
    </x:row>
    <x:row r="1214">
      <x:c r="A1214" s="38" t="str">
        <x:v>7月30日现场数据</x:v>
      </x:c>
      <x:c r="B1214" s="66" t="str">
        <x:v>2026-08-03T18:36:43.524000</x:v>
      </x:c>
      <x:c r="C1214" s="47" t="n">
        <x:v>300965</x:v>
      </x:c>
      <x:c r="D1214" s="47" t="str"/>
      <x:c r="E1214" s="47" t="str"/>
      <x:c r="F1214" s="47" t="str">
        <x:v>current</x:v>
      </x:c>
      <x:c r="G1214" s="47" t="n">
        <x:v>1210</x:v>
      </x:c>
      <x:c r="H1214" s="53" t="b">
        <x:v>1</x:v>
      </x:c>
      <x:c r="I1214" s="47" t="str">
        <x:v>2311811481</x:v>
      </x:c>
      <x:c r="J1214" s="47" t="n">
        <x:v>14465065</x:v>
      </x:c>
      <x:c r="K1214" s="53" t="b">
        <x:v>1</x:v>
      </x:c>
      <x:c r="L1214" s="53" t="b">
        <x:v>1</x:v>
      </x:c>
      <x:c r="M1214" s="53" t="b">
        <x:v>1</x:v>
      </x:c>
      <x:c r="N1214" s="53" t="b">
        <x:v>1</x:v>
      </x:c>
      <x:c r="O1214" s="53" t="b">
        <x:v>1</x:v>
      </x:c>
      <x:c r="P1214" s="47" t="n">
        <x:v>1009</x:v>
      </x:c>
      <x:c r="Q1214" s="47" t="n">
        <x:v>0</x:v>
      </x:c>
      <x:c r="R1214" s="47" t="n">
        <x:v>0</x:v>
      </x:c>
      <x:c r="S1214" s="47" t="n">
        <x:v>32.65</x:v>
      </x:c>
      <x:c r="T1214" s="47" t="n">
        <x:v>50.11</x:v>
      </x:c>
      <x:c r="U1214" s="47" t="n">
        <x:v>31.7</x:v>
      </x:c>
      <x:c r="V1214" s="47" t="n">
        <x:v>13.2</x:v>
      </x:c>
      <x:c r="W1214" s="47" t="n">
        <x:v>0</x:v>
      </x:c>
      <x:c r="X1214" s="47" t="n">
        <x:v>1</x:v>
      </x:c>
      <x:c r="Y1214" s="41" t="n">
        <x:v>1</x:v>
      </x:c>
    </x:row>
    <x:row r="1215">
      <x:c r="A1215" s="38" t="str">
        <x:v>7月30日现场数据</x:v>
      </x:c>
      <x:c r="B1215" s="66" t="str">
        <x:v>2026-08-03T18:41:44.489000</x:v>
      </x:c>
      <x:c r="C1215" s="47" t="n">
        <x:v>300965</x:v>
      </x:c>
      <x:c r="D1215" s="47" t="str"/>
      <x:c r="E1215" s="47" t="str"/>
      <x:c r="F1215" s="47" t="str">
        <x:v>current</x:v>
      </x:c>
      <x:c r="G1215" s="47" t="n">
        <x:v>1211</x:v>
      </x:c>
      <x:c r="H1215" s="53" t="b">
        <x:v>1</x:v>
      </x:c>
      <x:c r="I1215" s="47" t="str">
        <x:v>2311811481</x:v>
      </x:c>
      <x:c r="J1215" s="47" t="n">
        <x:v>14766030</x:v>
      </x:c>
      <x:c r="K1215" s="53" t="b">
        <x:v>1</x:v>
      </x:c>
      <x:c r="L1215" s="53" t="b">
        <x:v>1</x:v>
      </x:c>
      <x:c r="M1215" s="53" t="b">
        <x:v>1</x:v>
      </x:c>
      <x:c r="N1215" s="53" t="b">
        <x:v>1</x:v>
      </x:c>
      <x:c r="O1215" s="53" t="b">
        <x:v>1</x:v>
      </x:c>
      <x:c r="P1215" s="47" t="n">
        <x:v>1009</x:v>
      </x:c>
      <x:c r="Q1215" s="47" t="n">
        <x:v>0</x:v>
      </x:c>
      <x:c r="R1215" s="47" t="n">
        <x:v>0</x:v>
      </x:c>
      <x:c r="S1215" s="47" t="n">
        <x:v>32.53</x:v>
      </x:c>
      <x:c r="T1215" s="47" t="n">
        <x:v>50.12</x:v>
      </x:c>
      <x:c r="U1215" s="47" t="n">
        <x:v>31.6</x:v>
      </x:c>
      <x:c r="V1215" s="47" t="n">
        <x:v>13.2</x:v>
      </x:c>
      <x:c r="W1215" s="47" t="n">
        <x:v>0</x:v>
      </x:c>
      <x:c r="X1215" s="47" t="n">
        <x:v>0</x:v>
      </x:c>
      <x:c r="Y1215" s="41" t="n">
        <x:v>0</x:v>
      </x:c>
    </x:row>
    <x:row r="1216">
      <x:c r="A1216" s="38" t="str">
        <x:v>7月30日现场数据</x:v>
      </x:c>
      <x:c r="B1216" s="66" t="str">
        <x:v>2026-08-03T18:46:45.455000</x:v>
      </x:c>
      <x:c r="C1216" s="47" t="n">
        <x:v>300966</x:v>
      </x:c>
      <x:c r="D1216" s="47" t="str"/>
      <x:c r="E1216" s="47" t="str"/>
      <x:c r="F1216" s="47" t="str">
        <x:v>current</x:v>
      </x:c>
      <x:c r="G1216" s="47" t="n">
        <x:v>1212</x:v>
      </x:c>
      <x:c r="H1216" s="53" t="b">
        <x:v>1</x:v>
      </x:c>
      <x:c r="I1216" s="47" t="str">
        <x:v>2311811481</x:v>
      </x:c>
      <x:c r="J1216" s="47" t="n">
        <x:v>15066996</x:v>
      </x:c>
      <x:c r="K1216" s="53" t="b">
        <x:v>1</x:v>
      </x:c>
      <x:c r="L1216" s="53" t="b">
        <x:v>1</x:v>
      </x:c>
      <x:c r="M1216" s="53" t="b">
        <x:v>1</x:v>
      </x:c>
      <x:c r="N1216" s="53" t="b">
        <x:v>1</x:v>
      </x:c>
      <x:c r="O1216" s="53" t="b">
        <x:v>1</x:v>
      </x:c>
      <x:c r="P1216" s="47" t="n">
        <x:v>1009</x:v>
      </x:c>
      <x:c r="Q1216" s="47" t="n">
        <x:v>0</x:v>
      </x:c>
      <x:c r="R1216" s="47" t="n">
        <x:v>0</x:v>
      </x:c>
      <x:c r="S1216" s="47" t="n">
        <x:v>32.33</x:v>
      </x:c>
      <x:c r="T1216" s="47" t="n">
        <x:v>50.1</x:v>
      </x:c>
      <x:c r="U1216" s="47" t="n">
        <x:v>31.6</x:v>
      </x:c>
      <x:c r="V1216" s="47" t="n">
        <x:v>13.2</x:v>
      </x:c>
      <x:c r="W1216" s="47" t="n">
        <x:v>0</x:v>
      </x:c>
      <x:c r="X1216" s="47" t="n">
        <x:v>0</x:v>
      </x:c>
      <x:c r="Y1216" s="41" t="n">
        <x:v>0</x:v>
      </x:c>
    </x:row>
    <x:row r="1217">
      <x:c r="A1217" s="38" t="str">
        <x:v>7月30日现场数据</x:v>
      </x:c>
      <x:c r="B1217" s="66" t="str">
        <x:v>2026-08-03T18:51:46.423000</x:v>
      </x:c>
      <x:c r="C1217" s="47" t="n">
        <x:v>300968</x:v>
      </x:c>
      <x:c r="D1217" s="47" t="str"/>
      <x:c r="E1217" s="47" t="str"/>
      <x:c r="F1217" s="47" t="str">
        <x:v>current</x:v>
      </x:c>
      <x:c r="G1217" s="47" t="n">
        <x:v>1213</x:v>
      </x:c>
      <x:c r="H1217" s="53" t="b">
        <x:v>1</x:v>
      </x:c>
      <x:c r="I1217" s="47" t="str">
        <x:v>2311811481</x:v>
      </x:c>
      <x:c r="J1217" s="47" t="n">
        <x:v>15367964</x:v>
      </x:c>
      <x:c r="K1217" s="53" t="b">
        <x:v>1</x:v>
      </x:c>
      <x:c r="L1217" s="53" t="b">
        <x:v>1</x:v>
      </x:c>
      <x:c r="M1217" s="53" t="b">
        <x:v>1</x:v>
      </x:c>
      <x:c r="N1217" s="53" t="b">
        <x:v>1</x:v>
      </x:c>
      <x:c r="O1217" s="53" t="b">
        <x:v>1</x:v>
      </x:c>
      <x:c r="P1217" s="47" t="n">
        <x:v>1010</x:v>
      </x:c>
      <x:c r="Q1217" s="47" t="n">
        <x:v>0</x:v>
      </x:c>
      <x:c r="R1217" s="47" t="n">
        <x:v>0</x:v>
      </x:c>
      <x:c r="S1217" s="47" t="n">
        <x:v>32.28</x:v>
      </x:c>
      <x:c r="T1217" s="47" t="n">
        <x:v>50.12</x:v>
      </x:c>
      <x:c r="U1217" s="47" t="n">
        <x:v>31.6</x:v>
      </x:c>
      <x:c r="V1217" s="47" t="n">
        <x:v>13.2</x:v>
      </x:c>
      <x:c r="W1217" s="47" t="n">
        <x:v>0</x:v>
      </x:c>
      <x:c r="X1217" s="47" t="n">
        <x:v>0</x:v>
      </x:c>
      <x:c r="Y1217" s="41" t="n">
        <x:v>0</x:v>
      </x:c>
    </x:row>
    <x:row r="1218">
      <x:c r="A1218" s="38" t="str">
        <x:v>7月30日现场数据</x:v>
      </x:c>
      <x:c r="B1218" s="66" t="str">
        <x:v>2026-08-03T18:56:47.393000</x:v>
      </x:c>
      <x:c r="C1218" s="47" t="n">
        <x:v>300970</x:v>
      </x:c>
      <x:c r="D1218" s="47" t="str"/>
      <x:c r="E1218" s="47" t="str"/>
      <x:c r="F1218" s="47" t="str">
        <x:v>current</x:v>
      </x:c>
      <x:c r="G1218" s="47" t="n">
        <x:v>1214</x:v>
      </x:c>
      <x:c r="H1218" s="53" t="b">
        <x:v>1</x:v>
      </x:c>
      <x:c r="I1218" s="47" t="str">
        <x:v>2311811481</x:v>
      </x:c>
      <x:c r="J1218" s="47" t="n">
        <x:v>15668934</x:v>
      </x:c>
      <x:c r="K1218" s="53" t="b">
        <x:v>1</x:v>
      </x:c>
      <x:c r="L1218" s="53" t="b">
        <x:v>1</x:v>
      </x:c>
      <x:c r="M1218" s="53" t="b">
        <x:v>1</x:v>
      </x:c>
      <x:c r="N1218" s="53" t="b">
        <x:v>1</x:v>
      </x:c>
      <x:c r="O1218" s="53" t="b">
        <x:v>1</x:v>
      </x:c>
      <x:c r="P1218" s="47" t="n">
        <x:v>1010</x:v>
      </x:c>
      <x:c r="Q1218" s="47" t="n">
        <x:v>0.043</x:v>
      </x:c>
      <x:c r="R1218" s="47" t="n">
        <x:v>1.154</x:v>
      </x:c>
      <x:c r="S1218" s="47" t="n">
        <x:v>32.14</x:v>
      </x:c>
      <x:c r="T1218" s="47" t="n">
        <x:v>50.19</x:v>
      </x:c>
      <x:c r="U1218" s="47" t="n">
        <x:v>31.5</x:v>
      </x:c>
      <x:c r="V1218" s="47" t="n">
        <x:v>13.2</x:v>
      </x:c>
      <x:c r="W1218" s="47" t="n">
        <x:v>0</x:v>
      </x:c>
      <x:c r="X1218" s="47" t="n">
        <x:v>0</x:v>
      </x:c>
      <x:c r="Y1218" s="41" t="n">
        <x:v>0</x:v>
      </x:c>
    </x:row>
    <x:row r="1219">
      <x:c r="A1219" s="38" t="str">
        <x:v>7月30日现场数据</x:v>
      </x:c>
      <x:c r="B1219" s="66" t="str">
        <x:v>2026-08-03T19:01:48.365000</x:v>
      </x:c>
      <x:c r="C1219" s="47" t="n">
        <x:v>300972</x:v>
      </x:c>
      <x:c r="D1219" s="47" t="str"/>
      <x:c r="E1219" s="47" t="str"/>
      <x:c r="F1219" s="47" t="str">
        <x:v>current</x:v>
      </x:c>
      <x:c r="G1219" s="47" t="n">
        <x:v>1215</x:v>
      </x:c>
      <x:c r="H1219" s="53" t="b">
        <x:v>1</x:v>
      </x:c>
      <x:c r="I1219" s="47" t="str">
        <x:v>2311811481</x:v>
      </x:c>
      <x:c r="J1219" s="47" t="n">
        <x:v>15969906</x:v>
      </x:c>
      <x:c r="K1219" s="53" t="b">
        <x:v>1</x:v>
      </x:c>
      <x:c r="L1219" s="53" t="b">
        <x:v>1</x:v>
      </x:c>
      <x:c r="M1219" s="53" t="b">
        <x:v>1</x:v>
      </x:c>
      <x:c r="N1219" s="53" t="b">
        <x:v>1</x:v>
      </x:c>
      <x:c r="O1219" s="53" t="b">
        <x:v>1</x:v>
      </x:c>
      <x:c r="P1219" s="47" t="n">
        <x:v>1010</x:v>
      </x:c>
      <x:c r="Q1219" s="47" t="n">
        <x:v>0</x:v>
      </x:c>
      <x:c r="R1219" s="47" t="n">
        <x:v>0</x:v>
      </x:c>
      <x:c r="S1219" s="47" t="n">
        <x:v>31.98</x:v>
      </x:c>
      <x:c r="T1219" s="47" t="n">
        <x:v>50.18</x:v>
      </x:c>
      <x:c r="U1219" s="47" t="n">
        <x:v>31.5</x:v>
      </x:c>
      <x:c r="V1219" s="47" t="n">
        <x:v>13.2</x:v>
      </x:c>
      <x:c r="W1219" s="47" t="n">
        <x:v>0</x:v>
      </x:c>
      <x:c r="X1219" s="47" t="n">
        <x:v>0</x:v>
      </x:c>
      <x:c r="Y1219" s="41" t="n">
        <x:v>0</x:v>
      </x:c>
    </x:row>
    <x:row r="1220">
      <x:c r="A1220" s="38" t="str">
        <x:v>7月30日现场数据</x:v>
      </x:c>
      <x:c r="B1220" s="66" t="str">
        <x:v>2026-08-03T19:06:49.338000</x:v>
      </x:c>
      <x:c r="C1220" s="47" t="n">
        <x:v>300973</x:v>
      </x:c>
      <x:c r="D1220" s="47" t="str"/>
      <x:c r="E1220" s="47" t="str"/>
      <x:c r="F1220" s="47" t="str">
        <x:v>current</x:v>
      </x:c>
      <x:c r="G1220" s="47" t="n">
        <x:v>1216</x:v>
      </x:c>
      <x:c r="H1220" s="53" t="b">
        <x:v>1</x:v>
      </x:c>
      <x:c r="I1220" s="47" t="str">
        <x:v>2311811481</x:v>
      </x:c>
      <x:c r="J1220" s="47" t="n">
        <x:v>16270879</x:v>
      </x:c>
      <x:c r="K1220" s="53" t="b">
        <x:v>1</x:v>
      </x:c>
      <x:c r="L1220" s="53" t="b">
        <x:v>1</x:v>
      </x:c>
      <x:c r="M1220" s="53" t="b">
        <x:v>1</x:v>
      </x:c>
      <x:c r="N1220" s="53" t="b">
        <x:v>1</x:v>
      </x:c>
      <x:c r="O1220" s="53" t="b">
        <x:v>1</x:v>
      </x:c>
      <x:c r="P1220" s="47" t="n">
        <x:v>1010</x:v>
      </x:c>
      <x:c r="Q1220" s="47" t="n">
        <x:v>0</x:v>
      </x:c>
      <x:c r="R1220" s="47" t="n">
        <x:v>0</x:v>
      </x:c>
      <x:c r="S1220" s="47" t="n">
        <x:v>32.05</x:v>
      </x:c>
      <x:c r="T1220" s="47" t="n">
        <x:v>50.24</x:v>
      </x:c>
      <x:c r="U1220" s="47" t="n">
        <x:v>31.5</x:v>
      </x:c>
      <x:c r="V1220" s="47" t="n">
        <x:v>13.2</x:v>
      </x:c>
      <x:c r="W1220" s="47" t="n">
        <x:v>0</x:v>
      </x:c>
      <x:c r="X1220" s="47" t="n">
        <x:v>0</x:v>
      </x:c>
      <x:c r="Y1220" s="41" t="n">
        <x:v>0</x:v>
      </x:c>
    </x:row>
    <x:row r="1221">
      <x:c r="A1221" s="38" t="str">
        <x:v>7月30日现场数据</x:v>
      </x:c>
      <x:c r="B1221" s="66" t="str">
        <x:v>2026-08-03T19:11:50.313000</x:v>
      </x:c>
      <x:c r="C1221" s="47" t="n">
        <x:v>300975</x:v>
      </x:c>
      <x:c r="D1221" s="47" t="str"/>
      <x:c r="E1221" s="47" t="str"/>
      <x:c r="F1221" s="47" t="str">
        <x:v>current</x:v>
      </x:c>
      <x:c r="G1221" s="47" t="n">
        <x:v>1217</x:v>
      </x:c>
      <x:c r="H1221" s="53" t="b">
        <x:v>1</x:v>
      </x:c>
      <x:c r="I1221" s="47" t="str">
        <x:v>2311811481</x:v>
      </x:c>
      <x:c r="J1221" s="47" t="n">
        <x:v>16571854</x:v>
      </x:c>
      <x:c r="K1221" s="53" t="b">
        <x:v>1</x:v>
      </x:c>
      <x:c r="L1221" s="53" t="b">
        <x:v>1</x:v>
      </x:c>
      <x:c r="M1221" s="53" t="b">
        <x:v>1</x:v>
      </x:c>
      <x:c r="N1221" s="53" t="b">
        <x:v>1</x:v>
      </x:c>
      <x:c r="O1221" s="53" t="b">
        <x:v>1</x:v>
      </x:c>
      <x:c r="P1221" s="47" t="n">
        <x:v>1010</x:v>
      </x:c>
      <x:c r="Q1221" s="47" t="n">
        <x:v>0</x:v>
      </x:c>
      <x:c r="R1221" s="47" t="n">
        <x:v>0</x:v>
      </x:c>
      <x:c r="S1221" s="47" t="n">
        <x:v>32.05</x:v>
      </x:c>
      <x:c r="T1221" s="47" t="n">
        <x:v>50.27</x:v>
      </x:c>
      <x:c r="U1221" s="47" t="n">
        <x:v>31.5</x:v>
      </x:c>
      <x:c r="V1221" s="47" t="n">
        <x:v>13.2</x:v>
      </x:c>
      <x:c r="W1221" s="47" t="n">
        <x:v>0</x:v>
      </x:c>
      <x:c r="X1221" s="47" t="n">
        <x:v>0</x:v>
      </x:c>
      <x:c r="Y1221" s="41" t="n">
        <x:v>0</x:v>
      </x:c>
    </x:row>
    <x:row r="1222">
      <x:c r="A1222" s="38" t="str">
        <x:v>7月30日现场数据</x:v>
      </x:c>
      <x:c r="B1222" s="66" t="str">
        <x:v>2026-08-03T19:16:51.290000</x:v>
      </x:c>
      <x:c r="C1222" s="47" t="n">
        <x:v>300977</x:v>
      </x:c>
      <x:c r="D1222" s="47" t="str"/>
      <x:c r="E1222" s="47" t="str"/>
      <x:c r="F1222" s="47" t="str">
        <x:v>current</x:v>
      </x:c>
      <x:c r="G1222" s="47" t="n">
        <x:v>1218</x:v>
      </x:c>
      <x:c r="H1222" s="53" t="b">
        <x:v>1</x:v>
      </x:c>
      <x:c r="I1222" s="47" t="str">
        <x:v>2311811481</x:v>
      </x:c>
      <x:c r="J1222" s="47" t="n">
        <x:v>16872831</x:v>
      </x:c>
      <x:c r="K1222" s="53" t="b">
        <x:v>1</x:v>
      </x:c>
      <x:c r="L1222" s="53" t="b">
        <x:v>1</x:v>
      </x:c>
      <x:c r="M1222" s="53" t="b">
        <x:v>1</x:v>
      </x:c>
      <x:c r="N1222" s="53" t="b">
        <x:v>1</x:v>
      </x:c>
      <x:c r="O1222" s="53" t="b">
        <x:v>1</x:v>
      </x:c>
      <x:c r="P1222" s="47" t="n">
        <x:v>1010</x:v>
      </x:c>
      <x:c r="Q1222" s="47" t="n">
        <x:v>0.005</x:v>
      </x:c>
      <x:c r="R1222" s="47" t="n">
        <x:v>0.132</x:v>
      </x:c>
      <x:c r="S1222" s="47" t="n">
        <x:v>31.97</x:v>
      </x:c>
      <x:c r="T1222" s="47" t="n">
        <x:v>50.42</x:v>
      </x:c>
      <x:c r="U1222" s="47" t="n">
        <x:v>31.4</x:v>
      </x:c>
      <x:c r="V1222" s="47" t="n">
        <x:v>13.1</x:v>
      </x:c>
      <x:c r="W1222" s="47" t="n">
        <x:v>0</x:v>
      </x:c>
      <x:c r="X1222" s="47" t="n">
        <x:v>0</x:v>
      </x:c>
      <x:c r="Y1222" s="41" t="n">
        <x:v>0</x:v>
      </x:c>
    </x:row>
    <x:row r="1223">
      <x:c r="A1223" s="38" t="str">
        <x:v>7月30日现场数据</x:v>
      </x:c>
      <x:c r="B1223" s="66" t="str">
        <x:v>2026-08-03T19:21:52.270000</x:v>
      </x:c>
      <x:c r="C1223" s="47" t="n">
        <x:v>300980</x:v>
      </x:c>
      <x:c r="D1223" s="47" t="str"/>
      <x:c r="E1223" s="47" t="str"/>
      <x:c r="F1223" s="47" t="str">
        <x:v>current</x:v>
      </x:c>
      <x:c r="G1223" s="47" t="n">
        <x:v>1219</x:v>
      </x:c>
      <x:c r="H1223" s="53" t="b">
        <x:v>1</x:v>
      </x:c>
      <x:c r="I1223" s="47" t="str">
        <x:v>2311811481</x:v>
      </x:c>
      <x:c r="J1223" s="47" t="n">
        <x:v>17173811</x:v>
      </x:c>
      <x:c r="K1223" s="53" t="b">
        <x:v>1</x:v>
      </x:c>
      <x:c r="L1223" s="53" t="b">
        <x:v>1</x:v>
      </x:c>
      <x:c r="M1223" s="53" t="b">
        <x:v>1</x:v>
      </x:c>
      <x:c r="N1223" s="53" t="b">
        <x:v>1</x:v>
      </x:c>
      <x:c r="O1223" s="53" t="b">
        <x:v>1</x:v>
      </x:c>
      <x:c r="P1223" s="47" t="n">
        <x:v>1010</x:v>
      </x:c>
      <x:c r="Q1223" s="47" t="n">
        <x:v>0.04</x:v>
      </x:c>
      <x:c r="R1223" s="47" t="n">
        <x:v>1.088</x:v>
      </x:c>
      <x:c r="S1223" s="47" t="n">
        <x:v>31.9</x:v>
      </x:c>
      <x:c r="T1223" s="47" t="n">
        <x:v>50.48</x:v>
      </x:c>
      <x:c r="U1223" s="47" t="n">
        <x:v>31.4</x:v>
      </x:c>
      <x:c r="V1223" s="47" t="n">
        <x:v>13.2</x:v>
      </x:c>
      <x:c r="W1223" s="47" t="n">
        <x:v>0</x:v>
      </x:c>
      <x:c r="X1223" s="47" t="n">
        <x:v>0</x:v>
      </x:c>
      <x:c r="Y1223" s="41" t="n">
        <x:v>0</x:v>
      </x:c>
    </x:row>
    <x:row r="1224">
      <x:c r="A1224" s="38" t="str">
        <x:v>7月30日现场数据</x:v>
      </x:c>
      <x:c r="B1224" s="66" t="str">
        <x:v>2026-08-03T19:26:53.249000</x:v>
      </x:c>
      <x:c r="C1224" s="47" t="n">
        <x:v>300979</x:v>
      </x:c>
      <x:c r="D1224" s="47" t="str"/>
      <x:c r="E1224" s="47" t="str"/>
      <x:c r="F1224" s="47" t="str">
        <x:v>current</x:v>
      </x:c>
      <x:c r="G1224" s="47" t="n">
        <x:v>1220</x:v>
      </x:c>
      <x:c r="H1224" s="53" t="b">
        <x:v>1</x:v>
      </x:c>
      <x:c r="I1224" s="47" t="str">
        <x:v>2311811481</x:v>
      </x:c>
      <x:c r="J1224" s="47" t="n">
        <x:v>17474790</x:v>
      </x:c>
      <x:c r="K1224" s="53" t="b">
        <x:v>1</x:v>
      </x:c>
      <x:c r="L1224" s="53" t="b">
        <x:v>1</x:v>
      </x:c>
      <x:c r="M1224" s="53" t="b">
        <x:v>1</x:v>
      </x:c>
      <x:c r="N1224" s="53" t="b">
        <x:v>1</x:v>
      </x:c>
      <x:c r="O1224" s="53" t="b">
        <x:v>1</x:v>
      </x:c>
      <x:c r="P1224" s="47" t="n">
        <x:v>1010</x:v>
      </x:c>
      <x:c r="Q1224" s="47" t="n">
        <x:v>0</x:v>
      </x:c>
      <x:c r="R1224" s="47" t="n">
        <x:v>0</x:v>
      </x:c>
      <x:c r="S1224" s="47" t="n">
        <x:v>31.77</x:v>
      </x:c>
      <x:c r="T1224" s="47" t="n">
        <x:v>50.46</x:v>
      </x:c>
      <x:c r="U1224" s="47" t="n">
        <x:v>31.4</x:v>
      </x:c>
      <x:c r="V1224" s="47" t="n">
        <x:v>13.2</x:v>
      </x:c>
      <x:c r="W1224" s="47" t="n">
        <x:v>0</x:v>
      </x:c>
      <x:c r="X1224" s="47" t="n">
        <x:v>0</x:v>
      </x:c>
      <x:c r="Y1224" s="41" t="n">
        <x:v>0</x:v>
      </x:c>
    </x:row>
    <x:row r="1225">
      <x:c r="A1225" s="38" t="str">
        <x:v>7月30日现场数据</x:v>
      </x:c>
      <x:c r="B1225" s="66" t="str">
        <x:v>2026-08-03T19:31:54.231000</x:v>
      </x:c>
      <x:c r="C1225" s="47" t="n">
        <x:v>300982</x:v>
      </x:c>
      <x:c r="D1225" s="47" t="str"/>
      <x:c r="E1225" s="47" t="str"/>
      <x:c r="F1225" s="47" t="str">
        <x:v>current</x:v>
      </x:c>
      <x:c r="G1225" s="47" t="n">
        <x:v>1221</x:v>
      </x:c>
      <x:c r="H1225" s="53" t="b">
        <x:v>1</x:v>
      </x:c>
      <x:c r="I1225" s="47" t="str">
        <x:v>2311811481</x:v>
      </x:c>
      <x:c r="J1225" s="47" t="n">
        <x:v>17775772</x:v>
      </x:c>
      <x:c r="K1225" s="53" t="b">
        <x:v>1</x:v>
      </x:c>
      <x:c r="L1225" s="53" t="b">
        <x:v>1</x:v>
      </x:c>
      <x:c r="M1225" s="53" t="b">
        <x:v>1</x:v>
      </x:c>
      <x:c r="N1225" s="53" t="b">
        <x:v>1</x:v>
      </x:c>
      <x:c r="O1225" s="53" t="b">
        <x:v>1</x:v>
      </x:c>
      <x:c r="P1225" s="47" t="n">
        <x:v>1010</x:v>
      </x:c>
      <x:c r="Q1225" s="47" t="n">
        <x:v>0</x:v>
      </x:c>
      <x:c r="R1225" s="47" t="n">
        <x:v>0</x:v>
      </x:c>
      <x:c r="S1225" s="47" t="n">
        <x:v>31.62</x:v>
      </x:c>
      <x:c r="T1225" s="47" t="n">
        <x:v>50.55</x:v>
      </x:c>
      <x:c r="U1225" s="47" t="n">
        <x:v>31.4</x:v>
      </x:c>
      <x:c r="V1225" s="47" t="n">
        <x:v>13.2</x:v>
      </x:c>
      <x:c r="W1225" s="47" t="n">
        <x:v>0</x:v>
      </x:c>
      <x:c r="X1225" s="47" t="n">
        <x:v>0</x:v>
      </x:c>
      <x:c r="Y1225" s="41" t="n">
        <x:v>0</x:v>
      </x:c>
    </x:row>
    <x:row r="1226">
      <x:c r="A1226" s="38" t="str">
        <x:v>7月30日现场数据</x:v>
      </x:c>
      <x:c r="B1226" s="66" t="str">
        <x:v>2026-08-03T19:36:55.249000</x:v>
      </x:c>
      <x:c r="C1226" s="47" t="n">
        <x:v>301018</x:v>
      </x:c>
      <x:c r="D1226" s="47" t="str"/>
      <x:c r="E1226" s="47" t="str"/>
      <x:c r="F1226" s="47" t="str">
        <x:v>current</x:v>
      </x:c>
      <x:c r="G1226" s="47" t="n">
        <x:v>1222</x:v>
      </x:c>
      <x:c r="H1226" s="53" t="b">
        <x:v>1</x:v>
      </x:c>
      <x:c r="I1226" s="47" t="str">
        <x:v>2311811481</x:v>
      </x:c>
      <x:c r="J1226" s="47" t="n">
        <x:v>18076790</x:v>
      </x:c>
      <x:c r="K1226" s="53" t="b">
        <x:v>1</x:v>
      </x:c>
      <x:c r="L1226" s="53" t="b">
        <x:v>1</x:v>
      </x:c>
      <x:c r="M1226" s="53" t="b">
        <x:v>1</x:v>
      </x:c>
      <x:c r="N1226" s="53" t="b">
        <x:v>1</x:v>
      </x:c>
      <x:c r="O1226" s="53" t="b">
        <x:v>1</x:v>
      </x:c>
      <x:c r="P1226" s="47" t="n">
        <x:v>1010</x:v>
      </x:c>
      <x:c r="Q1226" s="47" t="n">
        <x:v>0</x:v>
      </x:c>
      <x:c r="R1226" s="47" t="n">
        <x:v>0</x:v>
      </x:c>
      <x:c r="S1226" s="47" t="n">
        <x:v>31.58</x:v>
      </x:c>
      <x:c r="T1226" s="47" t="n">
        <x:v>50.64</x:v>
      </x:c>
      <x:c r="U1226" s="47" t="n">
        <x:v>31.3</x:v>
      </x:c>
      <x:c r="V1226" s="47" t="n">
        <x:v>13.2</x:v>
      </x:c>
      <x:c r="W1226" s="47" t="n">
        <x:v>0</x:v>
      </x:c>
      <x:c r="X1226" s="47" t="n">
        <x:v>0</x:v>
      </x:c>
      <x:c r="Y1226" s="41" t="n">
        <x:v>0</x:v>
      </x:c>
    </x:row>
    <x:row r="1227">
      <x:c r="A1227" s="38" t="str">
        <x:v>7月30日现场数据</x:v>
      </x:c>
      <x:c r="B1227" s="66" t="str">
        <x:v>2026-08-03T19:41:56.209000</x:v>
      </x:c>
      <x:c r="C1227" s="47" t="n">
        <x:v>300960</x:v>
      </x:c>
      <x:c r="D1227" s="47" t="str"/>
      <x:c r="E1227" s="47" t="str"/>
      <x:c r="F1227" s="47" t="str">
        <x:v>current</x:v>
      </x:c>
      <x:c r="G1227" s="47" t="n">
        <x:v>1223</x:v>
      </x:c>
      <x:c r="H1227" s="53" t="b">
        <x:v>1</x:v>
      </x:c>
      <x:c r="I1227" s="47" t="str">
        <x:v>2311811481</x:v>
      </x:c>
      <x:c r="J1227" s="47" t="n">
        <x:v>18377750</x:v>
      </x:c>
      <x:c r="K1227" s="53" t="b">
        <x:v>1</x:v>
      </x:c>
      <x:c r="L1227" s="53" t="b">
        <x:v>1</x:v>
      </x:c>
      <x:c r="M1227" s="53" t="b">
        <x:v>1</x:v>
      </x:c>
      <x:c r="N1227" s="53" t="b">
        <x:v>1</x:v>
      </x:c>
      <x:c r="O1227" s="53" t="b">
        <x:v>1</x:v>
      </x:c>
      <x:c r="P1227" s="47" t="n">
        <x:v>1010</x:v>
      </x:c>
      <x:c r="Q1227" s="47" t="n">
        <x:v>0.006</x:v>
      </x:c>
      <x:c r="R1227" s="47" t="n">
        <x:v>0.165</x:v>
      </x:c>
      <x:c r="S1227" s="47" t="n">
        <x:v>31.48</x:v>
      </x:c>
      <x:c r="T1227" s="47" t="n">
        <x:v>50.72</x:v>
      </x:c>
      <x:c r="U1227" s="47" t="n">
        <x:v>31.3</x:v>
      </x:c>
      <x:c r="V1227" s="47" t="n">
        <x:v>13.2</x:v>
      </x:c>
      <x:c r="W1227" s="47" t="n">
        <x:v>0</x:v>
      </x:c>
      <x:c r="X1227" s="47" t="n">
        <x:v>0</x:v>
      </x:c>
      <x:c r="Y1227" s="41" t="n">
        <x:v>0</x:v>
      </x:c>
    </x:row>
    <x:row r="1228">
      <x:c r="A1228" s="38" t="str">
        <x:v>7月30日现场数据</x:v>
      </x:c>
      <x:c r="B1228" s="66" t="str">
        <x:v>2026-08-03T19:47:13.860000</x:v>
      </x:c>
      <x:c r="C1228" s="47" t="n">
        <x:v>317651</x:v>
      </x:c>
      <x:c r="D1228" s="47" t="str"/>
      <x:c r="E1228" s="47" t="str"/>
      <x:c r="F1228" s="47" t="str">
        <x:v>current</x:v>
      </x:c>
      <x:c r="G1228" s="47" t="n">
        <x:v>1224</x:v>
      </x:c>
      <x:c r="H1228" s="53" t="b">
        <x:v>1</x:v>
      </x:c>
      <x:c r="I1228" s="47" t="str">
        <x:v>2311811481</x:v>
      </x:c>
      <x:c r="J1228" s="47" t="n">
        <x:v>18695401</x:v>
      </x:c>
      <x:c r="K1228" s="53" t="b">
        <x:v>1</x:v>
      </x:c>
      <x:c r="L1228" s="53" t="b">
        <x:v>1</x:v>
      </x:c>
      <x:c r="M1228" s="53" t="b">
        <x:v>1</x:v>
      </x:c>
      <x:c r="N1228" s="53" t="b">
        <x:v>1</x:v>
      </x:c>
      <x:c r="O1228" s="53" t="b">
        <x:v>1</x:v>
      </x:c>
      <x:c r="P1228" s="47" t="n">
        <x:v>1010</x:v>
      </x:c>
      <x:c r="Q1228" s="47" t="n">
        <x:v>0</x:v>
      </x:c>
      <x:c r="R1228" s="47" t="n">
        <x:v>0</x:v>
      </x:c>
      <x:c r="S1228" s="47" t="n">
        <x:v>31.35</x:v>
      </x:c>
      <x:c r="T1228" s="47" t="n">
        <x:v>50.78</x:v>
      </x:c>
      <x:c r="U1228" s="47" t="n">
        <x:v>31.3</x:v>
      </x:c>
      <x:c r="V1228" s="47" t="n">
        <x:v>13.2</x:v>
      </x:c>
      <x:c r="W1228" s="47" t="n">
        <x:v>0</x:v>
      </x:c>
      <x:c r="X1228" s="47" t="n">
        <x:v>0</x:v>
      </x:c>
      <x:c r="Y1228" s="41" t="n">
        <x:v>0</x:v>
      </x:c>
    </x:row>
    <x:row r="1229">
      <x:c r="A1229" s="38" t="str">
        <x:v>7月30日现场数据</x:v>
      </x:c>
      <x:c r="B1229" s="66" t="str">
        <x:v>2026-08-03T19:52:14.822000</x:v>
      </x:c>
      <x:c r="C1229" s="47" t="n">
        <x:v>300962</x:v>
      </x:c>
      <x:c r="D1229" s="47" t="str"/>
      <x:c r="E1229" s="47" t="str"/>
      <x:c r="F1229" s="47" t="str">
        <x:v>current</x:v>
      </x:c>
      <x:c r="G1229" s="47" t="n">
        <x:v>1225</x:v>
      </x:c>
      <x:c r="H1229" s="53" t="b">
        <x:v>1</x:v>
      </x:c>
      <x:c r="I1229" s="47" t="str">
        <x:v>2311811481</x:v>
      </x:c>
      <x:c r="J1229" s="47" t="n">
        <x:v>18996363</x:v>
      </x:c>
      <x:c r="K1229" s="53" t="b">
        <x:v>1</x:v>
      </x:c>
      <x:c r="L1229" s="53" t="b">
        <x:v>1</x:v>
      </x:c>
      <x:c r="M1229" s="53" t="b">
        <x:v>1</x:v>
      </x:c>
      <x:c r="N1229" s="53" t="b">
        <x:v>1</x:v>
      </x:c>
      <x:c r="O1229" s="53" t="b">
        <x:v>1</x:v>
      </x:c>
      <x:c r="P1229" s="47" t="n">
        <x:v>1010</x:v>
      </x:c>
      <x:c r="Q1229" s="47" t="n">
        <x:v>0</x:v>
      </x:c>
      <x:c r="R1229" s="47" t="n">
        <x:v>0</x:v>
      </x:c>
      <x:c r="S1229" s="47" t="n">
        <x:v>31.28</x:v>
      </x:c>
      <x:c r="T1229" s="47" t="n">
        <x:v>50.82</x:v>
      </x:c>
      <x:c r="U1229" s="47" t="n">
        <x:v>31.2</x:v>
      </x:c>
      <x:c r="V1229" s="47" t="n">
        <x:v>13.2</x:v>
      </x:c>
      <x:c r="W1229" s="47" t="n">
        <x:v>0</x:v>
      </x:c>
      <x:c r="X1229" s="47" t="n">
        <x:v>0</x:v>
      </x:c>
      <x:c r="Y1229" s="41" t="n">
        <x:v>0</x:v>
      </x:c>
    </x:row>
    <x:row r="1230">
      <x:c r="A1230" s="38" t="str">
        <x:v>7月30日现场数据</x:v>
      </x:c>
      <x:c r="B1230" s="66" t="str">
        <x:v>2026-08-03T19:57:15.787000</x:v>
      </x:c>
      <x:c r="C1230" s="47" t="n">
        <x:v>300965</x:v>
      </x:c>
      <x:c r="D1230" s="47" t="str"/>
      <x:c r="E1230" s="47" t="str"/>
      <x:c r="F1230" s="47" t="str">
        <x:v>current</x:v>
      </x:c>
      <x:c r="G1230" s="47" t="n">
        <x:v>1226</x:v>
      </x:c>
      <x:c r="H1230" s="53" t="b">
        <x:v>1</x:v>
      </x:c>
      <x:c r="I1230" s="47" t="str">
        <x:v>2311811481</x:v>
      </x:c>
      <x:c r="J1230" s="47" t="n">
        <x:v>19297328</x:v>
      </x:c>
      <x:c r="K1230" s="53" t="b">
        <x:v>1</x:v>
      </x:c>
      <x:c r="L1230" s="53" t="b">
        <x:v>1</x:v>
      </x:c>
      <x:c r="M1230" s="53" t="b">
        <x:v>1</x:v>
      </x:c>
      <x:c r="N1230" s="53" t="b">
        <x:v>1</x:v>
      </x:c>
      <x:c r="O1230" s="53" t="b">
        <x:v>1</x:v>
      </x:c>
      <x:c r="P1230" s="47" t="n">
        <x:v>1010</x:v>
      </x:c>
      <x:c r="Q1230" s="47" t="n">
        <x:v>0.021</x:v>
      </x:c>
      <x:c r="R1230" s="47" t="n">
        <x:v>0.56</x:v>
      </x:c>
      <x:c r="S1230" s="47" t="n">
        <x:v>31.25</x:v>
      </x:c>
      <x:c r="T1230" s="47" t="n">
        <x:v>50.97</x:v>
      </x:c>
      <x:c r="U1230" s="47" t="n">
        <x:v>31.2</x:v>
      </x:c>
      <x:c r="V1230" s="47" t="n">
        <x:v>13.1</x:v>
      </x:c>
      <x:c r="W1230" s="47" t="n">
        <x:v>0</x:v>
      </x:c>
      <x:c r="X1230" s="47" t="n">
        <x:v>0</x:v>
      </x:c>
      <x:c r="Y1230" s="41" t="n">
        <x:v>0</x:v>
      </x:c>
    </x:row>
    <x:row r="1231">
      <x:c r="A1231" s="38" t="str">
        <x:v>7月30日现场数据</x:v>
      </x:c>
      <x:c r="B1231" s="66" t="str">
        <x:v>2026-08-03T20:02:16.752000</x:v>
      </x:c>
      <x:c r="C1231" s="47" t="n">
        <x:v>300965</x:v>
      </x:c>
      <x:c r="D1231" s="47" t="str"/>
      <x:c r="E1231" s="47" t="str"/>
      <x:c r="F1231" s="47" t="str">
        <x:v>current</x:v>
      </x:c>
      <x:c r="G1231" s="47" t="n">
        <x:v>1227</x:v>
      </x:c>
      <x:c r="H1231" s="53" t="b">
        <x:v>1</x:v>
      </x:c>
      <x:c r="I1231" s="47" t="str">
        <x:v>2311811481</x:v>
      </x:c>
      <x:c r="J1231" s="47" t="n">
        <x:v>19598293</x:v>
      </x:c>
      <x:c r="K1231" s="53" t="b">
        <x:v>1</x:v>
      </x:c>
      <x:c r="L1231" s="53" t="b">
        <x:v>1</x:v>
      </x:c>
      <x:c r="M1231" s="53" t="b">
        <x:v>1</x:v>
      </x:c>
      <x:c r="N1231" s="53" t="b">
        <x:v>1</x:v>
      </x:c>
      <x:c r="O1231" s="53" t="b">
        <x:v>1</x:v>
      </x:c>
      <x:c r="P1231" s="47" t="n">
        <x:v>1010</x:v>
      </x:c>
      <x:c r="Q1231" s="47" t="n">
        <x:v>0</x:v>
      </x:c>
      <x:c r="R1231" s="47" t="n">
        <x:v>0</x:v>
      </x:c>
      <x:c r="S1231" s="47" t="n">
        <x:v>31.11</x:v>
      </x:c>
      <x:c r="T1231" s="47" t="n">
        <x:v>50.99</x:v>
      </x:c>
      <x:c r="U1231" s="47" t="n">
        <x:v>31.2</x:v>
      </x:c>
      <x:c r="V1231" s="47" t="n">
        <x:v>13.2</x:v>
      </x:c>
      <x:c r="W1231" s="47" t="n">
        <x:v>0</x:v>
      </x:c>
      <x:c r="X1231" s="47" t="n">
        <x:v>0</x:v>
      </x:c>
      <x:c r="Y1231" s="41" t="n">
        <x:v>0</x:v>
      </x:c>
    </x:row>
    <x:row r="1232">
      <x:c r="A1232" s="38" t="str">
        <x:v>7月30日现场数据</x:v>
      </x:c>
      <x:c r="B1232" s="66" t="str">
        <x:v>2026-08-03T20:07:17.719000</x:v>
      </x:c>
      <x:c r="C1232" s="47" t="n">
        <x:v>300967</x:v>
      </x:c>
      <x:c r="D1232" s="47" t="str"/>
      <x:c r="E1232" s="47" t="str"/>
      <x:c r="F1232" s="47" t="str">
        <x:v>current</x:v>
      </x:c>
      <x:c r="G1232" s="47" t="n">
        <x:v>1228</x:v>
      </x:c>
      <x:c r="H1232" s="53" t="b">
        <x:v>1</x:v>
      </x:c>
      <x:c r="I1232" s="47" t="str">
        <x:v>2311811481</x:v>
      </x:c>
      <x:c r="J1232" s="47" t="n">
        <x:v>19899260</x:v>
      </x:c>
      <x:c r="K1232" s="53" t="b">
        <x:v>1</x:v>
      </x:c>
      <x:c r="L1232" s="53" t="b">
        <x:v>1</x:v>
      </x:c>
      <x:c r="M1232" s="53" t="b">
        <x:v>1</x:v>
      </x:c>
      <x:c r="N1232" s="53" t="b">
        <x:v>1</x:v>
      </x:c>
      <x:c r="O1232" s="53" t="b">
        <x:v>1</x:v>
      </x:c>
      <x:c r="P1232" s="47" t="n">
        <x:v>1010</x:v>
      </x:c>
      <x:c r="Q1232" s="47" t="n">
        <x:v>0.007</x:v>
      </x:c>
      <x:c r="R1232" s="47" t="n">
        <x:v>0.198</x:v>
      </x:c>
      <x:c r="S1232" s="47" t="n">
        <x:v>31.06</x:v>
      </x:c>
      <x:c r="T1232" s="47" t="n">
        <x:v>51.13</x:v>
      </x:c>
      <x:c r="U1232" s="47" t="n">
        <x:v>31.1</x:v>
      </x:c>
      <x:c r="V1232" s="47" t="n">
        <x:v>13.1</x:v>
      </x:c>
      <x:c r="W1232" s="47" t="n">
        <x:v>0</x:v>
      </x:c>
      <x:c r="X1232" s="47" t="n">
        <x:v>0</x:v>
      </x:c>
      <x:c r="Y1232" s="41" t="n">
        <x:v>0</x:v>
      </x:c>
    </x:row>
    <x:row r="1233">
      <x:c r="A1233" s="38" t="str">
        <x:v>7月30日现场数据</x:v>
      </x:c>
      <x:c r="B1233" s="66" t="str">
        <x:v>2026-08-03T20:12:18.690000</x:v>
      </x:c>
      <x:c r="C1233" s="47" t="n">
        <x:v>300971</x:v>
      </x:c>
      <x:c r="D1233" s="47" t="str"/>
      <x:c r="E1233" s="47" t="str"/>
      <x:c r="F1233" s="47" t="str">
        <x:v>current</x:v>
      </x:c>
      <x:c r="G1233" s="47" t="n">
        <x:v>1229</x:v>
      </x:c>
      <x:c r="H1233" s="53" t="b">
        <x:v>1</x:v>
      </x:c>
      <x:c r="I1233" s="47" t="str">
        <x:v>2311811481</x:v>
      </x:c>
      <x:c r="J1233" s="47" t="n">
        <x:v>20200231</x:v>
      </x:c>
      <x:c r="K1233" s="53" t="b">
        <x:v>1</x:v>
      </x:c>
      <x:c r="L1233" s="53" t="b">
        <x:v>1</x:v>
      </x:c>
      <x:c r="M1233" s="53" t="b">
        <x:v>1</x:v>
      </x:c>
      <x:c r="N1233" s="53" t="b">
        <x:v>1</x:v>
      </x:c>
      <x:c r="O1233" s="53" t="b">
        <x:v>1</x:v>
      </x:c>
      <x:c r="P1233" s="47" t="n">
        <x:v>1010</x:v>
      </x:c>
      <x:c r="Q1233" s="47" t="n">
        <x:v>0</x:v>
      </x:c>
      <x:c r="R1233" s="47" t="n">
        <x:v>0</x:v>
      </x:c>
      <x:c r="S1233" s="47" t="n">
        <x:v>30.99</x:v>
      </x:c>
      <x:c r="T1233" s="47" t="n">
        <x:v>51.22</x:v>
      </x:c>
      <x:c r="U1233" s="47" t="n">
        <x:v>31.1</x:v>
      </x:c>
      <x:c r="V1233" s="47" t="n">
        <x:v>13.1</x:v>
      </x:c>
      <x:c r="W1233" s="47" t="n">
        <x:v>0</x:v>
      </x:c>
      <x:c r="X1233" s="47" t="n">
        <x:v>0</x:v>
      </x:c>
      <x:c r="Y1233" s="41" t="n">
        <x:v>0</x:v>
      </x:c>
    </x:row>
    <x:row r="1234">
      <x:c r="A1234" s="38" t="str">
        <x:v>7月30日现场数据</x:v>
      </x:c>
      <x:c r="B1234" s="66" t="str">
        <x:v>2026-08-03T20:17:19.662000</x:v>
      </x:c>
      <x:c r="C1234" s="47" t="n">
        <x:v>300972</x:v>
      </x:c>
      <x:c r="D1234" s="47" t="str"/>
      <x:c r="E1234" s="47" t="str"/>
      <x:c r="F1234" s="47" t="str">
        <x:v>current</x:v>
      </x:c>
      <x:c r="G1234" s="47" t="n">
        <x:v>1230</x:v>
      </x:c>
      <x:c r="H1234" s="53" t="b">
        <x:v>1</x:v>
      </x:c>
      <x:c r="I1234" s="47" t="str">
        <x:v>2311811481</x:v>
      </x:c>
      <x:c r="J1234" s="47" t="n">
        <x:v>20501203</x:v>
      </x:c>
      <x:c r="K1234" s="53" t="b">
        <x:v>1</x:v>
      </x:c>
      <x:c r="L1234" s="53" t="b">
        <x:v>1</x:v>
      </x:c>
      <x:c r="M1234" s="53" t="b">
        <x:v>1</x:v>
      </x:c>
      <x:c r="N1234" s="53" t="b">
        <x:v>1</x:v>
      </x:c>
      <x:c r="O1234" s="53" t="b">
        <x:v>1</x:v>
      </x:c>
      <x:c r="P1234" s="47" t="n">
        <x:v>1010</x:v>
      </x:c>
      <x:c r="Q1234" s="47" t="n">
        <x:v>0</x:v>
      </x:c>
      <x:c r="R1234" s="47" t="n">
        <x:v>0</x:v>
      </x:c>
      <x:c r="S1234" s="47" t="n">
        <x:v>30.9</x:v>
      </x:c>
      <x:c r="T1234" s="47" t="n">
        <x:v>51.29</x:v>
      </x:c>
      <x:c r="U1234" s="47" t="n">
        <x:v>31.1</x:v>
      </x:c>
      <x:c r="V1234" s="47" t="n">
        <x:v>13.1</x:v>
      </x:c>
      <x:c r="W1234" s="47" t="n">
        <x:v>0</x:v>
      </x:c>
      <x:c r="X1234" s="47" t="n">
        <x:v>0</x:v>
      </x:c>
      <x:c r="Y1234" s="41" t="n">
        <x:v>0</x:v>
      </x:c>
    </x:row>
    <x:row r="1235">
      <x:c r="A1235" s="38" t="str">
        <x:v>7月30日现场数据</x:v>
      </x:c>
      <x:c r="B1235" s="66" t="str">
        <x:v>2026-08-03T20:22:20.635000</x:v>
      </x:c>
      <x:c r="C1235" s="47" t="n">
        <x:v>300973</x:v>
      </x:c>
      <x:c r="D1235" s="47" t="str"/>
      <x:c r="E1235" s="47" t="str"/>
      <x:c r="F1235" s="47" t="str">
        <x:v>current</x:v>
      </x:c>
      <x:c r="G1235" s="47" t="n">
        <x:v>1231</x:v>
      </x:c>
      <x:c r="H1235" s="53" t="b">
        <x:v>1</x:v>
      </x:c>
      <x:c r="I1235" s="47" t="str">
        <x:v>2311811481</x:v>
      </x:c>
      <x:c r="J1235" s="47" t="n">
        <x:v>20802176</x:v>
      </x:c>
      <x:c r="K1235" s="53" t="b">
        <x:v>1</x:v>
      </x:c>
      <x:c r="L1235" s="53" t="b">
        <x:v>1</x:v>
      </x:c>
      <x:c r="M1235" s="53" t="b">
        <x:v>1</x:v>
      </x:c>
      <x:c r="N1235" s="53" t="b">
        <x:v>1</x:v>
      </x:c>
      <x:c r="O1235" s="53" t="b">
        <x:v>1</x:v>
      </x:c>
      <x:c r="P1235" s="47" t="n">
        <x:v>1010</x:v>
      </x:c>
      <x:c r="Q1235" s="47" t="n">
        <x:v>0</x:v>
      </x:c>
      <x:c r="R1235" s="47" t="n">
        <x:v>0</x:v>
      </x:c>
      <x:c r="S1235" s="47" t="n">
        <x:v>30.88</x:v>
      </x:c>
      <x:c r="T1235" s="47" t="n">
        <x:v>51.35</x:v>
      </x:c>
      <x:c r="U1235" s="47" t="n">
        <x:v>31.1</x:v>
      </x:c>
      <x:c r="V1235" s="47" t="n">
        <x:v>13.3</x:v>
      </x:c>
      <x:c r="W1235" s="47" t="n">
        <x:v>0</x:v>
      </x:c>
      <x:c r="X1235" s="47" t="n">
        <x:v>0</x:v>
      </x:c>
      <x:c r="Y1235" s="41" t="n">
        <x:v>0</x:v>
      </x:c>
    </x:row>
    <x:row r="1236">
      <x:c r="A1236" s="38" t="str">
        <x:v>7月30日现场数据</x:v>
      </x:c>
      <x:c r="B1236" s="66" t="str">
        <x:v>2026-08-03T20:27:21.612000</x:v>
      </x:c>
      <x:c r="C1236" s="47" t="n">
        <x:v>300977</x:v>
      </x:c>
      <x:c r="D1236" s="47" t="str"/>
      <x:c r="E1236" s="47" t="str"/>
      <x:c r="F1236" s="47" t="str">
        <x:v>current</x:v>
      </x:c>
      <x:c r="G1236" s="47" t="n">
        <x:v>1232</x:v>
      </x:c>
      <x:c r="H1236" s="53" t="b">
        <x:v>1</x:v>
      </x:c>
      <x:c r="I1236" s="47" t="str">
        <x:v>2311811481</x:v>
      </x:c>
      <x:c r="J1236" s="47" t="n">
        <x:v>21103153</x:v>
      </x:c>
      <x:c r="K1236" s="53" t="b">
        <x:v>1</x:v>
      </x:c>
      <x:c r="L1236" s="53" t="b">
        <x:v>1</x:v>
      </x:c>
      <x:c r="M1236" s="53" t="b">
        <x:v>1</x:v>
      </x:c>
      <x:c r="N1236" s="53" t="b">
        <x:v>1</x:v>
      </x:c>
      <x:c r="O1236" s="53" t="b">
        <x:v>1</x:v>
      </x:c>
      <x:c r="P1236" s="47" t="n">
        <x:v>1010</x:v>
      </x:c>
      <x:c r="Q1236" s="47" t="n">
        <x:v>0</x:v>
      </x:c>
      <x:c r="R1236" s="47" t="n">
        <x:v>0</x:v>
      </x:c>
      <x:c r="S1236" s="47" t="n">
        <x:v>30.87</x:v>
      </x:c>
      <x:c r="T1236" s="47" t="n">
        <x:v>51.49</x:v>
      </x:c>
      <x:c r="U1236" s="47" t="n">
        <x:v>31.1</x:v>
      </x:c>
      <x:c r="V1236" s="47" t="n">
        <x:v>12.7</x:v>
      </x:c>
      <x:c r="W1236" s="47" t="n">
        <x:v>0</x:v>
      </x:c>
      <x:c r="X1236" s="47" t="n">
        <x:v>0</x:v>
      </x:c>
      <x:c r="Y1236" s="41" t="n">
        <x:v>0</x:v>
      </x:c>
    </x:row>
    <x:row r="1237">
      <x:c r="A1237" s="38" t="str">
        <x:v>7月30日现场数据</x:v>
      </x:c>
      <x:c r="B1237" s="66" t="str">
        <x:v>2026-08-03T20:32:22.588000</x:v>
      </x:c>
      <x:c r="C1237" s="47" t="n">
        <x:v>300976</x:v>
      </x:c>
      <x:c r="D1237" s="47" t="str"/>
      <x:c r="E1237" s="47" t="str"/>
      <x:c r="F1237" s="47" t="str">
        <x:v>current</x:v>
      </x:c>
      <x:c r="G1237" s="47" t="n">
        <x:v>1233</x:v>
      </x:c>
      <x:c r="H1237" s="53" t="b">
        <x:v>1</x:v>
      </x:c>
      <x:c r="I1237" s="47" t="str">
        <x:v>2311811481</x:v>
      </x:c>
      <x:c r="J1237" s="47" t="n">
        <x:v>21404129</x:v>
      </x:c>
      <x:c r="K1237" s="53" t="b">
        <x:v>1</x:v>
      </x:c>
      <x:c r="L1237" s="53" t="b">
        <x:v>1</x:v>
      </x:c>
      <x:c r="M1237" s="53" t="b">
        <x:v>1</x:v>
      </x:c>
      <x:c r="N1237" s="53" t="b">
        <x:v>1</x:v>
      </x:c>
      <x:c r="O1237" s="53" t="b">
        <x:v>1</x:v>
      </x:c>
      <x:c r="P1237" s="47" t="n">
        <x:v>1011</x:v>
      </x:c>
      <x:c r="Q1237" s="47" t="n">
        <x:v>0</x:v>
      </x:c>
      <x:c r="R1237" s="47" t="n">
        <x:v>0</x:v>
      </x:c>
      <x:c r="S1237" s="47" t="n">
        <x:v>30.79</x:v>
      </x:c>
      <x:c r="T1237" s="47" t="n">
        <x:v>51.66</x:v>
      </x:c>
      <x:c r="U1237" s="47" t="n">
        <x:v>31</x:v>
      </x:c>
      <x:c r="V1237" s="47" t="n">
        <x:v>12.7</x:v>
      </x:c>
      <x:c r="W1237" s="47" t="n">
        <x:v>0</x:v>
      </x:c>
      <x:c r="X1237" s="47" t="n">
        <x:v>0</x:v>
      </x:c>
      <x:c r="Y1237" s="41" t="n">
        <x:v>0</x:v>
      </x:c>
    </x:row>
    <x:row r="1238">
      <x:c r="A1238" s="38" t="str">
        <x:v>7月30日现场数据</x:v>
      </x:c>
      <x:c r="B1238" s="66" t="str">
        <x:v>2026-08-03T20:37:23.569000</x:v>
      </x:c>
      <x:c r="C1238" s="47" t="n">
        <x:v>300981</x:v>
      </x:c>
      <x:c r="D1238" s="47" t="str"/>
      <x:c r="E1238" s="47" t="str"/>
      <x:c r="F1238" s="47" t="str">
        <x:v>current</x:v>
      </x:c>
      <x:c r="G1238" s="47" t="n">
        <x:v>1234</x:v>
      </x:c>
      <x:c r="H1238" s="53" t="b">
        <x:v>1</x:v>
      </x:c>
      <x:c r="I1238" s="47" t="str">
        <x:v>2311811481</x:v>
      </x:c>
      <x:c r="J1238" s="47" t="n">
        <x:v>21705110</x:v>
      </x:c>
      <x:c r="K1238" s="53" t="b">
        <x:v>1</x:v>
      </x:c>
      <x:c r="L1238" s="53" t="b">
        <x:v>1</x:v>
      </x:c>
      <x:c r="M1238" s="53" t="b">
        <x:v>1</x:v>
      </x:c>
      <x:c r="N1238" s="53" t="b">
        <x:v>1</x:v>
      </x:c>
      <x:c r="O1238" s="53" t="b">
        <x:v>1</x:v>
      </x:c>
      <x:c r="P1238" s="47" t="n">
        <x:v>1011</x:v>
      </x:c>
      <x:c r="Q1238" s="47" t="n">
        <x:v>0</x:v>
      </x:c>
      <x:c r="R1238" s="47" t="n">
        <x:v>0</x:v>
      </x:c>
      <x:c r="S1238" s="47" t="n">
        <x:v>30.68</x:v>
      </x:c>
      <x:c r="T1238" s="47" t="n">
        <x:v>51.72</x:v>
      </x:c>
      <x:c r="U1238" s="47" t="n">
        <x:v>31</x:v>
      </x:c>
      <x:c r="V1238" s="47" t="n">
        <x:v>12.6</x:v>
      </x:c>
      <x:c r="W1238" s="47" t="n">
        <x:v>0</x:v>
      </x:c>
      <x:c r="X1238" s="47" t="n">
        <x:v>0</x:v>
      </x:c>
      <x:c r="Y1238" s="41" t="n">
        <x:v>0</x:v>
      </x:c>
    </x:row>
    <x:row r="1239">
      <x:c r="A1239" s="38" t="str">
        <x:v>7月30日现场数据</x:v>
      </x:c>
      <x:c r="B1239" s="66" t="str">
        <x:v>2026-08-03T20:42:24.551000</x:v>
      </x:c>
      <x:c r="C1239" s="47" t="n">
        <x:v>300982</x:v>
      </x:c>
      <x:c r="D1239" s="47" t="str"/>
      <x:c r="E1239" s="47" t="str"/>
      <x:c r="F1239" s="47" t="str">
        <x:v>current</x:v>
      </x:c>
      <x:c r="G1239" s="47" t="n">
        <x:v>1235</x:v>
      </x:c>
      <x:c r="H1239" s="53" t="b">
        <x:v>1</x:v>
      </x:c>
      <x:c r="I1239" s="47" t="str">
        <x:v>2311811481</x:v>
      </x:c>
      <x:c r="J1239" s="47" t="n">
        <x:v>22006092</x:v>
      </x:c>
      <x:c r="K1239" s="53" t="b">
        <x:v>1</x:v>
      </x:c>
      <x:c r="L1239" s="53" t="b">
        <x:v>1</x:v>
      </x:c>
      <x:c r="M1239" s="53" t="b">
        <x:v>1</x:v>
      </x:c>
      <x:c r="N1239" s="53" t="b">
        <x:v>1</x:v>
      </x:c>
      <x:c r="O1239" s="53" t="b">
        <x:v>1</x:v>
      </x:c>
      <x:c r="P1239" s="47" t="n">
        <x:v>1011</x:v>
      </x:c>
      <x:c r="Q1239" s="47" t="n">
        <x:v>0</x:v>
      </x:c>
      <x:c r="R1239" s="47" t="n">
        <x:v>0</x:v>
      </x:c>
      <x:c r="S1239" s="47" t="n">
        <x:v>30.65</x:v>
      </x:c>
      <x:c r="T1239" s="47" t="n">
        <x:v>51.84</x:v>
      </x:c>
      <x:c r="U1239" s="47" t="n">
        <x:v>31</x:v>
      </x:c>
      <x:c r="V1239" s="47" t="n">
        <x:v>12.7</x:v>
      </x:c>
      <x:c r="W1239" s="47" t="n">
        <x:v>0</x:v>
      </x:c>
      <x:c r="X1239" s="47" t="n">
        <x:v>0</x:v>
      </x:c>
      <x:c r="Y1239" s="41" t="n">
        <x:v>0</x:v>
      </x:c>
    </x:row>
    <x:row r="1240">
      <x:c r="A1240" s="38" t="str">
        <x:v>7月30日现场数据</x:v>
      </x:c>
      <x:c r="B1240" s="66" t="str">
        <x:v>2026-08-03T20:47:25.534000</x:v>
      </x:c>
      <x:c r="C1240" s="47" t="n">
        <x:v>300983</x:v>
      </x:c>
      <x:c r="D1240" s="47" t="str"/>
      <x:c r="E1240" s="47" t="str"/>
      <x:c r="F1240" s="47" t="str">
        <x:v>current</x:v>
      </x:c>
      <x:c r="G1240" s="47" t="n">
        <x:v>1236</x:v>
      </x:c>
      <x:c r="H1240" s="53" t="b">
        <x:v>1</x:v>
      </x:c>
      <x:c r="I1240" s="47" t="str">
        <x:v>2311811481</x:v>
      </x:c>
      <x:c r="J1240" s="47" t="n">
        <x:v>22307075</x:v>
      </x:c>
      <x:c r="K1240" s="53" t="b">
        <x:v>1</x:v>
      </x:c>
      <x:c r="L1240" s="53" t="b">
        <x:v>1</x:v>
      </x:c>
      <x:c r="M1240" s="53" t="b">
        <x:v>1</x:v>
      </x:c>
      <x:c r="N1240" s="53" t="b">
        <x:v>1</x:v>
      </x:c>
      <x:c r="O1240" s="53" t="b">
        <x:v>1</x:v>
      </x:c>
      <x:c r="P1240" s="47" t="n">
        <x:v>1011</x:v>
      </x:c>
      <x:c r="Q1240" s="47" t="n">
        <x:v>0</x:v>
      </x:c>
      <x:c r="R1240" s="47" t="n">
        <x:v>0</x:v>
      </x:c>
      <x:c r="S1240" s="47" t="n">
        <x:v>30.6</x:v>
      </x:c>
      <x:c r="T1240" s="47" t="n">
        <x:v>52.01</x:v>
      </x:c>
      <x:c r="U1240" s="47" t="n">
        <x:v>31</x:v>
      </x:c>
      <x:c r="V1240" s="47" t="n">
        <x:v>12.7</x:v>
      </x:c>
      <x:c r="W1240" s="47" t="n">
        <x:v>0</x:v>
      </x:c>
      <x:c r="X1240" s="47" t="n">
        <x:v>0</x:v>
      </x:c>
      <x:c r="Y1240" s="41" t="n">
        <x:v>0</x:v>
      </x:c>
    </x:row>
    <x:row r="1241">
      <x:c r="A1241" s="38" t="str">
        <x:v>7月30日现场数据</x:v>
      </x:c>
      <x:c r="B1241" s="66" t="str">
        <x:v>2026-08-03T20:52:26.518000</x:v>
      </x:c>
      <x:c r="C1241" s="47" t="n">
        <x:v>300984</x:v>
      </x:c>
      <x:c r="D1241" s="47" t="str"/>
      <x:c r="E1241" s="47" t="str"/>
      <x:c r="F1241" s="47" t="str">
        <x:v>current</x:v>
      </x:c>
      <x:c r="G1241" s="47" t="n">
        <x:v>1237</x:v>
      </x:c>
      <x:c r="H1241" s="53" t="b">
        <x:v>1</x:v>
      </x:c>
      <x:c r="I1241" s="47" t="str">
        <x:v>2311811481</x:v>
      </x:c>
      <x:c r="J1241" s="47" t="n">
        <x:v>22608059</x:v>
      </x:c>
      <x:c r="K1241" s="53" t="b">
        <x:v>1</x:v>
      </x:c>
      <x:c r="L1241" s="53" t="b">
        <x:v>1</x:v>
      </x:c>
      <x:c r="M1241" s="53" t="b">
        <x:v>1</x:v>
      </x:c>
      <x:c r="N1241" s="53" t="b">
        <x:v>1</x:v>
      </x:c>
      <x:c r="O1241" s="53" t="b">
        <x:v>1</x:v>
      </x:c>
      <x:c r="P1241" s="47" t="n">
        <x:v>1011</x:v>
      </x:c>
      <x:c r="Q1241" s="47" t="n">
        <x:v>0</x:v>
      </x:c>
      <x:c r="R1241" s="47" t="n">
        <x:v>0</x:v>
      </x:c>
      <x:c r="S1241" s="47" t="n">
        <x:v>30.52</x:v>
      </x:c>
      <x:c r="T1241" s="47" t="n">
        <x:v>52.09</x:v>
      </x:c>
      <x:c r="U1241" s="47" t="n">
        <x:v>31</x:v>
      </x:c>
      <x:c r="V1241" s="47" t="n">
        <x:v>12.7</x:v>
      </x:c>
      <x:c r="W1241" s="47" t="n">
        <x:v>0</x:v>
      </x:c>
      <x:c r="X1241" s="47" t="n">
        <x:v>0</x:v>
      </x:c>
      <x:c r="Y1241" s="41" t="n">
        <x:v>0</x:v>
      </x:c>
    </x:row>
    <x:row r="1242">
      <x:c r="A1242" s="38" t="str">
        <x:v>7月30日现场数据</x:v>
      </x:c>
      <x:c r="B1242" s="66" t="str">
        <x:v>2026-08-03T20:57:27.541000</x:v>
      </x:c>
      <x:c r="C1242" s="47" t="n">
        <x:v>301023</x:v>
      </x:c>
      <x:c r="D1242" s="47" t="str"/>
      <x:c r="E1242" s="47" t="str"/>
      <x:c r="F1242" s="47" t="str">
        <x:v>current</x:v>
      </x:c>
      <x:c r="G1242" s="47" t="n">
        <x:v>1238</x:v>
      </x:c>
      <x:c r="H1242" s="53" t="b">
        <x:v>1</x:v>
      </x:c>
      <x:c r="I1242" s="47" t="str">
        <x:v>2311811481</x:v>
      </x:c>
      <x:c r="J1242" s="47" t="n">
        <x:v>22909082</x:v>
      </x:c>
      <x:c r="K1242" s="53" t="b">
        <x:v>1</x:v>
      </x:c>
      <x:c r="L1242" s="53" t="b">
        <x:v>1</x:v>
      </x:c>
      <x:c r="M1242" s="53" t="b">
        <x:v>1</x:v>
      </x:c>
      <x:c r="N1242" s="53" t="b">
        <x:v>1</x:v>
      </x:c>
      <x:c r="O1242" s="53" t="b">
        <x:v>1</x:v>
      </x:c>
      <x:c r="P1242" s="47" t="n">
        <x:v>1011</x:v>
      </x:c>
      <x:c r="Q1242" s="47" t="n">
        <x:v>0</x:v>
      </x:c>
      <x:c r="R1242" s="47" t="n">
        <x:v>0</x:v>
      </x:c>
      <x:c r="S1242" s="47" t="n">
        <x:v>30.49</x:v>
      </x:c>
      <x:c r="T1242" s="47" t="n">
        <x:v>52.26</x:v>
      </x:c>
      <x:c r="U1242" s="47" t="n">
        <x:v>31</x:v>
      </x:c>
      <x:c r="V1242" s="47" t="n">
        <x:v>12.7</x:v>
      </x:c>
      <x:c r="W1242" s="47" t="n">
        <x:v>0</x:v>
      </x:c>
      <x:c r="X1242" s="47" t="n">
        <x:v>0</x:v>
      </x:c>
      <x:c r="Y1242" s="41" t="n">
        <x:v>0</x:v>
      </x:c>
    </x:row>
    <x:row r="1243">
      <x:c r="A1243" s="38" t="str">
        <x:v>7月30日现场数据</x:v>
      </x:c>
      <x:c r="B1243" s="66" t="str">
        <x:v>2026-08-03T21:02:28.503000</x:v>
      </x:c>
      <x:c r="C1243" s="47" t="n">
        <x:v>300962</x:v>
      </x:c>
      <x:c r="D1243" s="47" t="str"/>
      <x:c r="E1243" s="47" t="str"/>
      <x:c r="F1243" s="47" t="str">
        <x:v>current</x:v>
      </x:c>
      <x:c r="G1243" s="47" t="n">
        <x:v>1239</x:v>
      </x:c>
      <x:c r="H1243" s="53" t="b">
        <x:v>1</x:v>
      </x:c>
      <x:c r="I1243" s="47" t="str">
        <x:v>2311811481</x:v>
      </x:c>
      <x:c r="J1243" s="47" t="n">
        <x:v>23210044</x:v>
      </x:c>
      <x:c r="K1243" s="53" t="b">
        <x:v>1</x:v>
      </x:c>
      <x:c r="L1243" s="53" t="b">
        <x:v>1</x:v>
      </x:c>
      <x:c r="M1243" s="53" t="b">
        <x:v>1</x:v>
      </x:c>
      <x:c r="N1243" s="53" t="b">
        <x:v>1</x:v>
      </x:c>
      <x:c r="O1243" s="53" t="b">
        <x:v>1</x:v>
      </x:c>
      <x:c r="P1243" s="47" t="n">
        <x:v>1011</x:v>
      </x:c>
      <x:c r="Q1243" s="47" t="n">
        <x:v>0</x:v>
      </x:c>
      <x:c r="R1243" s="47" t="n">
        <x:v>0</x:v>
      </x:c>
      <x:c r="S1243" s="47" t="n">
        <x:v>30.46</x:v>
      </x:c>
      <x:c r="T1243" s="47" t="n">
        <x:v>52.48</x:v>
      </x:c>
      <x:c r="U1243" s="47" t="n">
        <x:v>31</x:v>
      </x:c>
      <x:c r="V1243" s="47" t="n">
        <x:v>12.7</x:v>
      </x:c>
      <x:c r="W1243" s="47" t="n">
        <x:v>0</x:v>
      </x:c>
      <x:c r="X1243" s="47" t="n">
        <x:v>0</x:v>
      </x:c>
      <x:c r="Y1243" s="41" t="n">
        <x:v>0</x:v>
      </x:c>
    </x:row>
    <x:row r="1244">
      <x:c r="A1244" s="38" t="str">
        <x:v>7月30日现场数据</x:v>
      </x:c>
      <x:c r="B1244" s="66" t="str">
        <x:v>2026-08-03T21:07:29.465000</x:v>
      </x:c>
      <x:c r="C1244" s="47" t="n">
        <x:v>300962</x:v>
      </x:c>
      <x:c r="D1244" s="47" t="str"/>
      <x:c r="E1244" s="47" t="str"/>
      <x:c r="F1244" s="47" t="str">
        <x:v>current</x:v>
      </x:c>
      <x:c r="G1244" s="47" t="n">
        <x:v>1240</x:v>
      </x:c>
      <x:c r="H1244" s="53" t="b">
        <x:v>1</x:v>
      </x:c>
      <x:c r="I1244" s="47" t="str">
        <x:v>2311811481</x:v>
      </x:c>
      <x:c r="J1244" s="47" t="n">
        <x:v>23511006</x:v>
      </x:c>
      <x:c r="K1244" s="53" t="b">
        <x:v>1</x:v>
      </x:c>
      <x:c r="L1244" s="53" t="b">
        <x:v>1</x:v>
      </x:c>
      <x:c r="M1244" s="53" t="b">
        <x:v>1</x:v>
      </x:c>
      <x:c r="N1244" s="53" t="b">
        <x:v>1</x:v>
      </x:c>
      <x:c r="O1244" s="53" t="b">
        <x:v>1</x:v>
      </x:c>
      <x:c r="P1244" s="47" t="n">
        <x:v>1011</x:v>
      </x:c>
      <x:c r="Q1244" s="47" t="n">
        <x:v>0.045</x:v>
      </x:c>
      <x:c r="R1244" s="47" t="n">
        <x:v>1.22</x:v>
      </x:c>
      <x:c r="S1244" s="47" t="n">
        <x:v>30.48</x:v>
      </x:c>
      <x:c r="T1244" s="47" t="n">
        <x:v>52.58</x:v>
      </x:c>
      <x:c r="U1244" s="47" t="n">
        <x:v>30.9</x:v>
      </x:c>
      <x:c r="V1244" s="47" t="n">
        <x:v>12.7</x:v>
      </x:c>
      <x:c r="W1244" s="47" t="n">
        <x:v>0</x:v>
      </x:c>
      <x:c r="X1244" s="47" t="n">
        <x:v>0</x:v>
      </x:c>
      <x:c r="Y1244" s="41" t="n">
        <x:v>0</x:v>
      </x:c>
    </x:row>
    <x:row r="1245">
      <x:c r="A1245" s="38" t="str">
        <x:v>7月30日现场数据</x:v>
      </x:c>
      <x:c r="B1245" s="66" t="str">
        <x:v>2026-08-03T21:12:30.432000</x:v>
      </x:c>
      <x:c r="C1245" s="47" t="n">
        <x:v>300967</x:v>
      </x:c>
      <x:c r="D1245" s="47" t="str"/>
      <x:c r="E1245" s="47" t="str"/>
      <x:c r="F1245" s="47" t="str">
        <x:v>current</x:v>
      </x:c>
      <x:c r="G1245" s="47" t="n">
        <x:v>1241</x:v>
      </x:c>
      <x:c r="H1245" s="53" t="b">
        <x:v>1</x:v>
      </x:c>
      <x:c r="I1245" s="47" t="str">
        <x:v>2311811481</x:v>
      </x:c>
      <x:c r="J1245" s="47" t="n">
        <x:v>23811973</x:v>
      </x:c>
      <x:c r="K1245" s="53" t="b">
        <x:v>1</x:v>
      </x:c>
      <x:c r="L1245" s="53" t="b">
        <x:v>1</x:v>
      </x:c>
      <x:c r="M1245" s="53" t="b">
        <x:v>1</x:v>
      </x:c>
      <x:c r="N1245" s="53" t="b">
        <x:v>1</x:v>
      </x:c>
      <x:c r="O1245" s="53" t="b">
        <x:v>1</x:v>
      </x:c>
      <x:c r="P1245" s="47" t="n">
        <x:v>1011</x:v>
      </x:c>
      <x:c r="Q1245" s="47" t="n">
        <x:v>0.001</x:v>
      </x:c>
      <x:c r="R1245" s="47" t="n">
        <x:v>0.033</x:v>
      </x:c>
      <x:c r="S1245" s="47" t="n">
        <x:v>30.53</x:v>
      </x:c>
      <x:c r="T1245" s="47" t="n">
        <x:v>52.76</x:v>
      </x:c>
      <x:c r="U1245" s="47" t="n">
        <x:v>30.9</x:v>
      </x:c>
      <x:c r="V1245" s="47" t="n">
        <x:v>12.7</x:v>
      </x:c>
      <x:c r="W1245" s="47" t="n">
        <x:v>0</x:v>
      </x:c>
      <x:c r="X1245" s="47" t="n">
        <x:v>0</x:v>
      </x:c>
      <x:c r="Y1245" s="41" t="n">
        <x:v>0</x:v>
      </x:c>
    </x:row>
    <x:row r="1246">
      <x:c r="A1246" s="38" t="str">
        <x:v>7月30日现场数据</x:v>
      </x:c>
      <x:c r="B1246" s="66" t="str">
        <x:v>2026-08-03T21:17:31.400000</x:v>
      </x:c>
      <x:c r="C1246" s="47" t="n">
        <x:v>300968</x:v>
      </x:c>
      <x:c r="D1246" s="47" t="str"/>
      <x:c r="E1246" s="47" t="str"/>
      <x:c r="F1246" s="47" t="str">
        <x:v>current</x:v>
      </x:c>
      <x:c r="G1246" s="47" t="n">
        <x:v>1242</x:v>
      </x:c>
      <x:c r="H1246" s="53" t="b">
        <x:v>1</x:v>
      </x:c>
      <x:c r="I1246" s="47" t="str">
        <x:v>2311811481</x:v>
      </x:c>
      <x:c r="J1246" s="47" t="n">
        <x:v>24112941</x:v>
      </x:c>
      <x:c r="K1246" s="53" t="b">
        <x:v>1</x:v>
      </x:c>
      <x:c r="L1246" s="53" t="b">
        <x:v>1</x:v>
      </x:c>
      <x:c r="M1246" s="53" t="b">
        <x:v>1</x:v>
      </x:c>
      <x:c r="N1246" s="53" t="b">
        <x:v>1</x:v>
      </x:c>
      <x:c r="O1246" s="53" t="b">
        <x:v>1</x:v>
      </x:c>
      <x:c r="P1246" s="47" t="n">
        <x:v>1011</x:v>
      </x:c>
      <x:c r="Q1246" s="47" t="n">
        <x:v>0</x:v>
      </x:c>
      <x:c r="R1246" s="47" t="n">
        <x:v>0</x:v>
      </x:c>
      <x:c r="S1246" s="47" t="n">
        <x:v>30.53</x:v>
      </x:c>
      <x:c r="T1246" s="47" t="n">
        <x:v>52.87</x:v>
      </x:c>
      <x:c r="U1246" s="47" t="n">
        <x:v>30.9</x:v>
      </x:c>
      <x:c r="V1246" s="47" t="n">
        <x:v>12.7</x:v>
      </x:c>
      <x:c r="W1246" s="47" t="n">
        <x:v>0</x:v>
      </x:c>
      <x:c r="X1246" s="47" t="n">
        <x:v>0</x:v>
      </x:c>
      <x:c r="Y1246" s="41" t="n">
        <x:v>0</x:v>
      </x:c>
    </x:row>
    <x:row r="1247">
      <x:c r="A1247" s="38" t="str">
        <x:v>7月30日现场数据</x:v>
      </x:c>
      <x:c r="B1247" s="66" t="str">
        <x:v>2026-08-03T21:22:32.369000</x:v>
      </x:c>
      <x:c r="C1247" s="47" t="n">
        <x:v>300969</x:v>
      </x:c>
      <x:c r="D1247" s="47" t="str"/>
      <x:c r="E1247" s="47" t="str"/>
      <x:c r="F1247" s="47" t="str">
        <x:v>current</x:v>
      </x:c>
      <x:c r="G1247" s="47" t="n">
        <x:v>1243</x:v>
      </x:c>
      <x:c r="H1247" s="53" t="b">
        <x:v>1</x:v>
      </x:c>
      <x:c r="I1247" s="47" t="str">
        <x:v>2311811481</x:v>
      </x:c>
      <x:c r="J1247" s="47" t="n">
        <x:v>24413910</x:v>
      </x:c>
      <x:c r="K1247" s="53" t="b">
        <x:v>1</x:v>
      </x:c>
      <x:c r="L1247" s="53" t="b">
        <x:v>1</x:v>
      </x:c>
      <x:c r="M1247" s="53" t="b">
        <x:v>1</x:v>
      </x:c>
      <x:c r="N1247" s="53" t="b">
        <x:v>1</x:v>
      </x:c>
      <x:c r="O1247" s="53" t="b">
        <x:v>1</x:v>
      </x:c>
      <x:c r="P1247" s="47" t="n">
        <x:v>1011</x:v>
      </x:c>
      <x:c r="Q1247" s="47" t="n">
        <x:v>0</x:v>
      </x:c>
      <x:c r="R1247" s="47" t="n">
        <x:v>0</x:v>
      </x:c>
      <x:c r="S1247" s="47" t="n">
        <x:v>30.49</x:v>
      </x:c>
      <x:c r="T1247" s="47" t="n">
        <x:v>53.09</x:v>
      </x:c>
      <x:c r="U1247" s="47" t="n">
        <x:v>30.9</x:v>
      </x:c>
      <x:c r="V1247" s="47" t="n">
        <x:v>12.7</x:v>
      </x:c>
      <x:c r="W1247" s="47" t="n">
        <x:v>0</x:v>
      </x:c>
      <x:c r="X1247" s="47" t="n">
        <x:v>0</x:v>
      </x:c>
      <x:c r="Y1247" s="41" t="n">
        <x:v>0</x:v>
      </x:c>
    </x:row>
    <x:row r="1248">
      <x:c r="A1248" s="38" t="str">
        <x:v>7月30日现场数据</x:v>
      </x:c>
      <x:c r="B1248" s="66" t="str">
        <x:v>2026-08-03T21:27:33.341000</x:v>
      </x:c>
      <x:c r="C1248" s="47" t="n">
        <x:v>300972</x:v>
      </x:c>
      <x:c r="D1248" s="47" t="str"/>
      <x:c r="E1248" s="47" t="str"/>
      <x:c r="F1248" s="47" t="str">
        <x:v>current</x:v>
      </x:c>
      <x:c r="G1248" s="47" t="n">
        <x:v>1244</x:v>
      </x:c>
      <x:c r="H1248" s="53" t="b">
        <x:v>1</x:v>
      </x:c>
      <x:c r="I1248" s="47" t="str">
        <x:v>2311811481</x:v>
      </x:c>
      <x:c r="J1248" s="47" t="n">
        <x:v>24714882</x:v>
      </x:c>
      <x:c r="K1248" s="53" t="b">
        <x:v>1</x:v>
      </x:c>
      <x:c r="L1248" s="53" t="b">
        <x:v>1</x:v>
      </x:c>
      <x:c r="M1248" s="53" t="b">
        <x:v>1</x:v>
      </x:c>
      <x:c r="N1248" s="53" t="b">
        <x:v>1</x:v>
      </x:c>
      <x:c r="O1248" s="53" t="b">
        <x:v>1</x:v>
      </x:c>
      <x:c r="P1248" s="47" t="n">
        <x:v>1011</x:v>
      </x:c>
      <x:c r="Q1248" s="47" t="n">
        <x:v>0</x:v>
      </x:c>
      <x:c r="R1248" s="47" t="n">
        <x:v>0</x:v>
      </x:c>
      <x:c r="S1248" s="47" t="n">
        <x:v>30.5</x:v>
      </x:c>
      <x:c r="T1248" s="47" t="n">
        <x:v>53.2</x:v>
      </x:c>
      <x:c r="U1248" s="47" t="n">
        <x:v>30.9</x:v>
      </x:c>
      <x:c r="V1248" s="47" t="n">
        <x:v>12.7</x:v>
      </x:c>
      <x:c r="W1248" s="47" t="n">
        <x:v>0</x:v>
      </x:c>
      <x:c r="X1248" s="47" t="n">
        <x:v>0</x:v>
      </x:c>
      <x:c r="Y1248" s="41" t="n">
        <x:v>0</x:v>
      </x:c>
    </x:row>
    <x:row r="1249">
      <x:c r="A1249" s="38" t="str">
        <x:v>7月30日现场数据</x:v>
      </x:c>
      <x:c r="B1249" s="66" t="str">
        <x:v>2026-08-03T21:32:34.314000</x:v>
      </x:c>
      <x:c r="C1249" s="47" t="n">
        <x:v>300973</x:v>
      </x:c>
      <x:c r="D1249" s="47" t="str"/>
      <x:c r="E1249" s="47" t="str"/>
      <x:c r="F1249" s="47" t="str">
        <x:v>current</x:v>
      </x:c>
      <x:c r="G1249" s="47" t="n">
        <x:v>1245</x:v>
      </x:c>
      <x:c r="H1249" s="53" t="b">
        <x:v>1</x:v>
      </x:c>
      <x:c r="I1249" s="47" t="str">
        <x:v>2311811481</x:v>
      </x:c>
      <x:c r="J1249" s="47" t="n">
        <x:v>25015855</x:v>
      </x:c>
      <x:c r="K1249" s="53" t="b">
        <x:v>1</x:v>
      </x:c>
      <x:c r="L1249" s="53" t="b">
        <x:v>1</x:v>
      </x:c>
      <x:c r="M1249" s="53" t="b">
        <x:v>1</x:v>
      </x:c>
      <x:c r="N1249" s="53" t="b">
        <x:v>1</x:v>
      </x:c>
      <x:c r="O1249" s="53" t="b">
        <x:v>1</x:v>
      </x:c>
      <x:c r="P1249" s="47" t="n">
        <x:v>1011</x:v>
      </x:c>
      <x:c r="Q1249" s="47" t="n">
        <x:v>0</x:v>
      </x:c>
      <x:c r="R1249" s="47" t="n">
        <x:v>0</x:v>
      </x:c>
      <x:c r="S1249" s="47" t="n">
        <x:v>30.38</x:v>
      </x:c>
      <x:c r="T1249" s="47" t="n">
        <x:v>53.35</x:v>
      </x:c>
      <x:c r="U1249" s="47" t="n">
        <x:v>30.8</x:v>
      </x:c>
      <x:c r="V1249" s="47" t="n">
        <x:v>12.7</x:v>
      </x:c>
      <x:c r="W1249" s="47" t="n">
        <x:v>0</x:v>
      </x:c>
      <x:c r="X1249" s="47" t="n">
        <x:v>0</x:v>
      </x:c>
      <x:c r="Y1249" s="41" t="n">
        <x:v>0</x:v>
      </x:c>
    </x:row>
    <x:row r="1250">
      <x:c r="A1250" s="38" t="str">
        <x:v>7月30日现场数据</x:v>
      </x:c>
      <x:c r="B1250" s="66" t="str">
        <x:v>2026-08-03T21:37:35.289000</x:v>
      </x:c>
      <x:c r="C1250" s="47" t="n">
        <x:v>300975</x:v>
      </x:c>
      <x:c r="D1250" s="47" t="str"/>
      <x:c r="E1250" s="47" t="str"/>
      <x:c r="F1250" s="47" t="str">
        <x:v>current</x:v>
      </x:c>
      <x:c r="G1250" s="47" t="n">
        <x:v>1246</x:v>
      </x:c>
      <x:c r="H1250" s="53" t="b">
        <x:v>1</x:v>
      </x:c>
      <x:c r="I1250" s="47" t="str">
        <x:v>2311811481</x:v>
      </x:c>
      <x:c r="J1250" s="47" t="n">
        <x:v>25316830</x:v>
      </x:c>
      <x:c r="K1250" s="53" t="b">
        <x:v>1</x:v>
      </x:c>
      <x:c r="L1250" s="53" t="b">
        <x:v>1</x:v>
      </x:c>
      <x:c r="M1250" s="53" t="b">
        <x:v>1</x:v>
      </x:c>
      <x:c r="N1250" s="53" t="b">
        <x:v>1</x:v>
      </x:c>
      <x:c r="O1250" s="53" t="b">
        <x:v>1</x:v>
      </x:c>
      <x:c r="P1250" s="47" t="n">
        <x:v>1011</x:v>
      </x:c>
      <x:c r="Q1250" s="47" t="n">
        <x:v>0</x:v>
      </x:c>
      <x:c r="R1250" s="47" t="n">
        <x:v>0</x:v>
      </x:c>
      <x:c r="S1250" s="47" t="n">
        <x:v>30.38</x:v>
      </x:c>
      <x:c r="T1250" s="47" t="n">
        <x:v>53.5</x:v>
      </x:c>
      <x:c r="U1250" s="47" t="n">
        <x:v>30.8</x:v>
      </x:c>
      <x:c r="V1250" s="47" t="n">
        <x:v>12.7</x:v>
      </x:c>
      <x:c r="W1250" s="47" t="n">
        <x:v>0</x:v>
      </x:c>
      <x:c r="X1250" s="47" t="n">
        <x:v>0</x:v>
      </x:c>
      <x:c r="Y1250" s="41" t="n">
        <x:v>0</x:v>
      </x:c>
    </x:row>
    <x:row r="1251">
      <x:c r="A1251" s="38" t="str">
        <x:v>7月30日现场数据</x:v>
      </x:c>
      <x:c r="B1251" s="66" t="str">
        <x:v>2026-08-03T21:42:36.266000</x:v>
      </x:c>
      <x:c r="C1251" s="47" t="n">
        <x:v>300977</x:v>
      </x:c>
      <x:c r="D1251" s="47" t="str"/>
      <x:c r="E1251" s="47" t="str"/>
      <x:c r="F1251" s="47" t="str">
        <x:v>current</x:v>
      </x:c>
      <x:c r="G1251" s="47" t="n">
        <x:v>1247</x:v>
      </x:c>
      <x:c r="H1251" s="53" t="b">
        <x:v>1</x:v>
      </x:c>
      <x:c r="I1251" s="47" t="str">
        <x:v>2311811481</x:v>
      </x:c>
      <x:c r="J1251" s="47" t="n">
        <x:v>25617807</x:v>
      </x:c>
      <x:c r="K1251" s="53" t="b">
        <x:v>1</x:v>
      </x:c>
      <x:c r="L1251" s="53" t="b">
        <x:v>1</x:v>
      </x:c>
      <x:c r="M1251" s="53" t="b">
        <x:v>1</x:v>
      </x:c>
      <x:c r="N1251" s="53" t="b">
        <x:v>1</x:v>
      </x:c>
      <x:c r="O1251" s="53" t="b">
        <x:v>1</x:v>
      </x:c>
      <x:c r="P1251" s="47" t="n">
        <x:v>1011</x:v>
      </x:c>
      <x:c r="Q1251" s="47" t="n">
        <x:v>0</x:v>
      </x:c>
      <x:c r="R1251" s="47" t="n">
        <x:v>0</x:v>
      </x:c>
      <x:c r="S1251" s="47" t="n">
        <x:v>30.39</x:v>
      </x:c>
      <x:c r="T1251" s="47" t="n">
        <x:v>53.67</x:v>
      </x:c>
      <x:c r="U1251" s="47" t="n">
        <x:v>30.8</x:v>
      </x:c>
      <x:c r="V1251" s="47" t="n">
        <x:v>12.7</x:v>
      </x:c>
      <x:c r="W1251" s="47" t="n">
        <x:v>0</x:v>
      </x:c>
      <x:c r="X1251" s="47" t="n">
        <x:v>0</x:v>
      </x:c>
      <x:c r="Y1251" s="41" t="n">
        <x:v>0</x:v>
      </x:c>
    </x:row>
    <x:row r="1252">
      <x:c r="A1252" s="38" t="str">
        <x:v>7月30日现场数据</x:v>
      </x:c>
      <x:c r="B1252" s="66" t="str">
        <x:v>2026-08-03T21:47:37.243000</x:v>
      </x:c>
      <x:c r="C1252" s="47" t="n">
        <x:v>300977</x:v>
      </x:c>
      <x:c r="D1252" s="47" t="str"/>
      <x:c r="E1252" s="47" t="str"/>
      <x:c r="F1252" s="47" t="str">
        <x:v>current</x:v>
      </x:c>
      <x:c r="G1252" s="47" t="n">
        <x:v>1248</x:v>
      </x:c>
      <x:c r="H1252" s="53" t="b">
        <x:v>1</x:v>
      </x:c>
      <x:c r="I1252" s="47" t="str">
        <x:v>2311811481</x:v>
      </x:c>
      <x:c r="J1252" s="47" t="n">
        <x:v>25918784</x:v>
      </x:c>
      <x:c r="K1252" s="53" t="b">
        <x:v>1</x:v>
      </x:c>
      <x:c r="L1252" s="53" t="b">
        <x:v>1</x:v>
      </x:c>
      <x:c r="M1252" s="53" t="b">
        <x:v>1</x:v>
      </x:c>
      <x:c r="N1252" s="53" t="b">
        <x:v>1</x:v>
      </x:c>
      <x:c r="O1252" s="53" t="b">
        <x:v>1</x:v>
      </x:c>
      <x:c r="P1252" s="47" t="n">
        <x:v>1011</x:v>
      </x:c>
      <x:c r="Q1252" s="47" t="n">
        <x:v>0</x:v>
      </x:c>
      <x:c r="R1252" s="47" t="n">
        <x:v>0</x:v>
      </x:c>
      <x:c r="S1252" s="47" t="n">
        <x:v>30.41</x:v>
      </x:c>
      <x:c r="T1252" s="47" t="n">
        <x:v>53.8</x:v>
      </x:c>
      <x:c r="U1252" s="47" t="n">
        <x:v>30.7</x:v>
      </x:c>
      <x:c r="V1252" s="47" t="n">
        <x:v>12.7</x:v>
      </x:c>
      <x:c r="W1252" s="47" t="n">
        <x:v>0</x:v>
      </x:c>
      <x:c r="X1252" s="47" t="n">
        <x:v>0</x:v>
      </x:c>
      <x:c r="Y1252" s="41" t="n">
        <x:v>0</x:v>
      </x:c>
    </x:row>
    <x:row r="1253">
      <x:c r="A1253" s="38" t="str">
        <x:v>7月30日现场数据</x:v>
      </x:c>
      <x:c r="B1253" s="66" t="str">
        <x:v>2026-08-03T21:52:38.223000</x:v>
      </x:c>
      <x:c r="C1253" s="47" t="n">
        <x:v>300980</x:v>
      </x:c>
      <x:c r="D1253" s="47" t="str"/>
      <x:c r="E1253" s="47" t="str"/>
      <x:c r="F1253" s="47" t="str">
        <x:v>current</x:v>
      </x:c>
      <x:c r="G1253" s="47" t="n">
        <x:v>1249</x:v>
      </x:c>
      <x:c r="H1253" s="53" t="b">
        <x:v>1</x:v>
      </x:c>
      <x:c r="I1253" s="47" t="str">
        <x:v>2311811481</x:v>
      </x:c>
      <x:c r="J1253" s="47" t="n">
        <x:v>26219764</x:v>
      </x:c>
      <x:c r="K1253" s="53" t="b">
        <x:v>1</x:v>
      </x:c>
      <x:c r="L1253" s="53" t="b">
        <x:v>1</x:v>
      </x:c>
      <x:c r="M1253" s="53" t="b">
        <x:v>1</x:v>
      </x:c>
      <x:c r="N1253" s="53" t="b">
        <x:v>1</x:v>
      </x:c>
      <x:c r="O1253" s="53" t="b">
        <x:v>1</x:v>
      </x:c>
      <x:c r="P1253" s="47" t="n">
        <x:v>1011</x:v>
      </x:c>
      <x:c r="Q1253" s="47" t="n">
        <x:v>0</x:v>
      </x:c>
      <x:c r="R1253" s="47" t="n">
        <x:v>0</x:v>
      </x:c>
      <x:c r="S1253" s="47" t="n">
        <x:v>30.4</x:v>
      </x:c>
      <x:c r="T1253" s="47" t="n">
        <x:v>53.92</x:v>
      </x:c>
      <x:c r="U1253" s="47" t="n">
        <x:v>30.7</x:v>
      </x:c>
      <x:c r="V1253" s="47" t="n">
        <x:v>12.7</x:v>
      </x:c>
      <x:c r="W1253" s="47" t="n">
        <x:v>0</x:v>
      </x:c>
      <x:c r="X1253" s="47" t="n">
        <x:v>0</x:v>
      </x:c>
      <x:c r="Y1253" s="41" t="n">
        <x:v>0</x:v>
      </x:c>
    </x:row>
    <x:row r="1254">
      <x:c r="A1254" s="38" t="str">
        <x:v>7月30日现场数据</x:v>
      </x:c>
      <x:c r="B1254" s="66" t="str">
        <x:v>2026-08-03T21:57:39.204000</x:v>
      </x:c>
      <x:c r="C1254" s="47" t="n">
        <x:v>300981</x:v>
      </x:c>
      <x:c r="D1254" s="47" t="str"/>
      <x:c r="E1254" s="47" t="str"/>
      <x:c r="F1254" s="47" t="str">
        <x:v>current</x:v>
      </x:c>
      <x:c r="G1254" s="47" t="n">
        <x:v>1250</x:v>
      </x:c>
      <x:c r="H1254" s="53" t="b">
        <x:v>1</x:v>
      </x:c>
      <x:c r="I1254" s="47" t="str">
        <x:v>2311811481</x:v>
      </x:c>
      <x:c r="J1254" s="47" t="n">
        <x:v>26520745</x:v>
      </x:c>
      <x:c r="K1254" s="53" t="b">
        <x:v>1</x:v>
      </x:c>
      <x:c r="L1254" s="53" t="b">
        <x:v>1</x:v>
      </x:c>
      <x:c r="M1254" s="53" t="b">
        <x:v>1</x:v>
      </x:c>
      <x:c r="N1254" s="53" t="b">
        <x:v>1</x:v>
      </x:c>
      <x:c r="O1254" s="53" t="b">
        <x:v>1</x:v>
      </x:c>
      <x:c r="P1254" s="47" t="n">
        <x:v>1011</x:v>
      </x:c>
      <x:c r="Q1254" s="47" t="n">
        <x:v>0</x:v>
      </x:c>
      <x:c r="R1254" s="47" t="n">
        <x:v>0</x:v>
      </x:c>
      <x:c r="S1254" s="47" t="n">
        <x:v>30.34</x:v>
      </x:c>
      <x:c r="T1254" s="47" t="n">
        <x:v>54</x:v>
      </x:c>
      <x:c r="U1254" s="47" t="n">
        <x:v>30.7</x:v>
      </x:c>
      <x:c r="V1254" s="47" t="n">
        <x:v>12.7</x:v>
      </x:c>
      <x:c r="W1254" s="47" t="n">
        <x:v>0</x:v>
      </x:c>
      <x:c r="X1254" s="47" t="n">
        <x:v>0</x:v>
      </x:c>
      <x:c r="Y1254" s="41" t="n">
        <x:v>0</x:v>
      </x:c>
    </x:row>
    <x:row r="1255">
      <x:c r="A1255" s="38" t="str">
        <x:v>7月30日现场数据</x:v>
      </x:c>
      <x:c r="B1255" s="66" t="str">
        <x:v>2026-08-03T22:02:40.187000</x:v>
      </x:c>
      <x:c r="C1255" s="47" t="n">
        <x:v>300983</x:v>
      </x:c>
      <x:c r="D1255" s="47" t="str"/>
      <x:c r="E1255" s="47" t="str"/>
      <x:c r="F1255" s="47" t="str">
        <x:v>current</x:v>
      </x:c>
      <x:c r="G1255" s="47" t="n">
        <x:v>1251</x:v>
      </x:c>
      <x:c r="H1255" s="53" t="b">
        <x:v>1</x:v>
      </x:c>
      <x:c r="I1255" s="47" t="str">
        <x:v>2311811481</x:v>
      </x:c>
      <x:c r="J1255" s="47" t="n">
        <x:v>26821728</x:v>
      </x:c>
      <x:c r="K1255" s="53" t="b">
        <x:v>1</x:v>
      </x:c>
      <x:c r="L1255" s="53" t="b">
        <x:v>1</x:v>
      </x:c>
      <x:c r="M1255" s="53" t="b">
        <x:v>1</x:v>
      </x:c>
      <x:c r="N1255" s="53" t="b">
        <x:v>1</x:v>
      </x:c>
      <x:c r="O1255" s="53" t="b">
        <x:v>1</x:v>
      </x:c>
      <x:c r="P1255" s="47" t="n">
        <x:v>1011</x:v>
      </x:c>
      <x:c r="Q1255" s="47" t="n">
        <x:v>0</x:v>
      </x:c>
      <x:c r="R1255" s="47" t="n">
        <x:v>0</x:v>
      </x:c>
      <x:c r="S1255" s="47" t="n">
        <x:v>30.32</x:v>
      </x:c>
      <x:c r="T1255" s="47" t="n">
        <x:v>54.12</x:v>
      </x:c>
      <x:c r="U1255" s="47" t="n">
        <x:v>30.7</x:v>
      </x:c>
      <x:c r="V1255" s="47" t="n">
        <x:v>12.6</x:v>
      </x:c>
      <x:c r="W1255" s="47" t="n">
        <x:v>0</x:v>
      </x:c>
      <x:c r="X1255" s="47" t="n">
        <x:v>0</x:v>
      </x:c>
      <x:c r="Y1255" s="41" t="n">
        <x:v>0</x:v>
      </x:c>
    </x:row>
    <x:row r="1256">
      <x:c r="A1256" s="38" t="str">
        <x:v>7月30日现场数据</x:v>
      </x:c>
      <x:c r="B1256" s="66" t="str">
        <x:v>2026-08-03T22:07:41.171000</x:v>
      </x:c>
      <x:c r="C1256" s="47" t="n">
        <x:v>300984</x:v>
      </x:c>
      <x:c r="D1256" s="47" t="str"/>
      <x:c r="E1256" s="47" t="str"/>
      <x:c r="F1256" s="47" t="str">
        <x:v>current</x:v>
      </x:c>
      <x:c r="G1256" s="47" t="n">
        <x:v>1252</x:v>
      </x:c>
      <x:c r="H1256" s="53" t="b">
        <x:v>1</x:v>
      </x:c>
      <x:c r="I1256" s="47" t="str">
        <x:v>2311811481</x:v>
      </x:c>
      <x:c r="J1256" s="47" t="n">
        <x:v>27122712</x:v>
      </x:c>
      <x:c r="K1256" s="53" t="b">
        <x:v>1</x:v>
      </x:c>
      <x:c r="L1256" s="53" t="b">
        <x:v>1</x:v>
      </x:c>
      <x:c r="M1256" s="53" t="b">
        <x:v>1</x:v>
      </x:c>
      <x:c r="N1256" s="53" t="b">
        <x:v>1</x:v>
      </x:c>
      <x:c r="O1256" s="53" t="b">
        <x:v>1</x:v>
      </x:c>
      <x:c r="P1256" s="47" t="n">
        <x:v>1011</x:v>
      </x:c>
      <x:c r="Q1256" s="47" t="n">
        <x:v>0</x:v>
      </x:c>
      <x:c r="R1256" s="47" t="n">
        <x:v>0</x:v>
      </x:c>
      <x:c r="S1256" s="47" t="n">
        <x:v>30.28</x:v>
      </x:c>
      <x:c r="T1256" s="47" t="n">
        <x:v>54.29</x:v>
      </x:c>
      <x:c r="U1256" s="47" t="n">
        <x:v>30.7</x:v>
      </x:c>
      <x:c r="V1256" s="47" t="n">
        <x:v>12.7</x:v>
      </x:c>
      <x:c r="W1256" s="47" t="n">
        <x:v>0</x:v>
      </x:c>
      <x:c r="X1256" s="47" t="n">
        <x:v>0</x:v>
      </x:c>
      <x:c r="Y1256" s="41" t="n">
        <x:v>0</x:v>
      </x:c>
    </x:row>
    <x:row r="1257">
      <x:c r="A1257" s="38" t="str">
        <x:v>7月30日现场数据</x:v>
      </x:c>
      <x:c r="B1257" s="66" t="str">
        <x:v>2026-08-03T22:12:42.159000</x:v>
      </x:c>
      <x:c r="C1257" s="47" t="n">
        <x:v>300988</x:v>
      </x:c>
      <x:c r="D1257" s="47" t="str"/>
      <x:c r="E1257" s="47" t="str"/>
      <x:c r="F1257" s="47" t="str">
        <x:v>current</x:v>
      </x:c>
      <x:c r="G1257" s="47" t="n">
        <x:v>1253</x:v>
      </x:c>
      <x:c r="H1257" s="53" t="b">
        <x:v>1</x:v>
      </x:c>
      <x:c r="I1257" s="47" t="str">
        <x:v>2311811481</x:v>
      </x:c>
      <x:c r="J1257" s="47" t="n">
        <x:v>27423700</x:v>
      </x:c>
      <x:c r="K1257" s="53" t="b">
        <x:v>1</x:v>
      </x:c>
      <x:c r="L1257" s="53" t="b">
        <x:v>1</x:v>
      </x:c>
      <x:c r="M1257" s="53" t="b">
        <x:v>1</x:v>
      </x:c>
      <x:c r="N1257" s="53" t="b">
        <x:v>1</x:v>
      </x:c>
      <x:c r="O1257" s="53" t="b">
        <x:v>1</x:v>
      </x:c>
      <x:c r="P1257" s="47" t="n">
        <x:v>1011</x:v>
      </x:c>
      <x:c r="Q1257" s="47" t="n">
        <x:v>0</x:v>
      </x:c>
      <x:c r="R1257" s="47" t="n">
        <x:v>0</x:v>
      </x:c>
      <x:c r="S1257" s="47" t="n">
        <x:v>30.25</x:v>
      </x:c>
      <x:c r="T1257" s="47" t="n">
        <x:v>54.44</x:v>
      </x:c>
      <x:c r="U1257" s="47" t="n">
        <x:v>30.6</x:v>
      </x:c>
      <x:c r="V1257" s="47" t="n">
        <x:v>12.7</x:v>
      </x:c>
      <x:c r="W1257" s="47" t="n">
        <x:v>0</x:v>
      </x:c>
      <x:c r="X1257" s="47" t="n">
        <x:v>0</x:v>
      </x:c>
      <x:c r="Y1257" s="41" t="n">
        <x:v>0</x:v>
      </x:c>
    </x:row>
    <x:row r="1258">
      <x:c r="A1258" s="38" t="str">
        <x:v>7月30日现场数据</x:v>
      </x:c>
      <x:c r="B1258" s="66" t="str">
        <x:v>2026-08-03T22:17:43.181000</x:v>
      </x:c>
      <x:c r="C1258" s="47" t="n">
        <x:v>301022</x:v>
      </x:c>
      <x:c r="D1258" s="47" t="str"/>
      <x:c r="E1258" s="47" t="str"/>
      <x:c r="F1258" s="47" t="str">
        <x:v>current</x:v>
      </x:c>
      <x:c r="G1258" s="47" t="n">
        <x:v>1254</x:v>
      </x:c>
      <x:c r="H1258" s="53" t="b">
        <x:v>1</x:v>
      </x:c>
      <x:c r="I1258" s="47" t="str">
        <x:v>2311811481</x:v>
      </x:c>
      <x:c r="J1258" s="47" t="n">
        <x:v>27724722</x:v>
      </x:c>
      <x:c r="K1258" s="53" t="b">
        <x:v>1</x:v>
      </x:c>
      <x:c r="L1258" s="53" t="b">
        <x:v>1</x:v>
      </x:c>
      <x:c r="M1258" s="53" t="b">
        <x:v>1</x:v>
      </x:c>
      <x:c r="N1258" s="53" t="b">
        <x:v>1</x:v>
      </x:c>
      <x:c r="O1258" s="53" t="b">
        <x:v>1</x:v>
      </x:c>
      <x:c r="P1258" s="47" t="n">
        <x:v>1011</x:v>
      </x:c>
      <x:c r="Q1258" s="47" t="n">
        <x:v>0</x:v>
      </x:c>
      <x:c r="R1258" s="47" t="n">
        <x:v>0</x:v>
      </x:c>
      <x:c r="S1258" s="47" t="n">
        <x:v>30.21</x:v>
      </x:c>
      <x:c r="T1258" s="47" t="n">
        <x:v>54.53</x:v>
      </x:c>
      <x:c r="U1258" s="47" t="n">
        <x:v>30.6</x:v>
      </x:c>
      <x:c r="V1258" s="47" t="n">
        <x:v>12.6</x:v>
      </x:c>
      <x:c r="W1258" s="47" t="n">
        <x:v>0</x:v>
      </x:c>
      <x:c r="X1258" s="47" t="n">
        <x:v>0</x:v>
      </x:c>
      <x:c r="Y1258" s="41" t="n">
        <x:v>0</x:v>
      </x:c>
    </x:row>
    <x:row r="1259">
      <x:c r="A1259" s="38" t="str">
        <x:v>7月30日现场数据</x:v>
      </x:c>
      <x:c r="B1259" s="66" t="str">
        <x:v>2026-08-03T22:22:44.144000</x:v>
      </x:c>
      <x:c r="C1259" s="47" t="n">
        <x:v>300963</x:v>
      </x:c>
      <x:c r="D1259" s="47" t="str"/>
      <x:c r="E1259" s="47" t="str"/>
      <x:c r="F1259" s="47" t="str">
        <x:v>current</x:v>
      </x:c>
      <x:c r="G1259" s="47" t="n">
        <x:v>1255</x:v>
      </x:c>
      <x:c r="H1259" s="53" t="b">
        <x:v>1</x:v>
      </x:c>
      <x:c r="I1259" s="47" t="str">
        <x:v>2311811481</x:v>
      </x:c>
      <x:c r="J1259" s="47" t="n">
        <x:v>28025685</x:v>
      </x:c>
      <x:c r="K1259" s="53" t="b">
        <x:v>1</x:v>
      </x:c>
      <x:c r="L1259" s="53" t="b">
        <x:v>1</x:v>
      </x:c>
      <x:c r="M1259" s="53" t="b">
        <x:v>1</x:v>
      </x:c>
      <x:c r="N1259" s="53" t="b">
        <x:v>1</x:v>
      </x:c>
      <x:c r="O1259" s="53" t="b">
        <x:v>1</x:v>
      </x:c>
      <x:c r="P1259" s="47" t="n">
        <x:v>1011</x:v>
      </x:c>
      <x:c r="Q1259" s="47" t="n">
        <x:v>0</x:v>
      </x:c>
      <x:c r="R1259" s="47" t="n">
        <x:v>0</x:v>
      </x:c>
      <x:c r="S1259" s="47" t="n">
        <x:v>30.25</x:v>
      </x:c>
      <x:c r="T1259" s="47" t="n">
        <x:v>54.68</x:v>
      </x:c>
      <x:c r="U1259" s="47" t="n">
        <x:v>30.5</x:v>
      </x:c>
      <x:c r="V1259" s="47" t="n">
        <x:v>12.6</x:v>
      </x:c>
      <x:c r="W1259" s="47" t="n">
        <x:v>0</x:v>
      </x:c>
      <x:c r="X1259" s="47" t="n">
        <x:v>0</x:v>
      </x:c>
      <x:c r="Y1259" s="41" t="n">
        <x:v>0</x:v>
      </x:c>
    </x:row>
    <x:row r="1260">
      <x:c r="A1260" s="38" t="str">
        <x:v>7月30日现场数据</x:v>
      </x:c>
      <x:c r="B1260" s="66" t="str">
        <x:v>2026-08-03T22:27:45.109000</x:v>
      </x:c>
      <x:c r="C1260" s="47" t="n">
        <x:v>300965</x:v>
      </x:c>
      <x:c r="D1260" s="47" t="str"/>
      <x:c r="E1260" s="47" t="str"/>
      <x:c r="F1260" s="47" t="str">
        <x:v>current</x:v>
      </x:c>
      <x:c r="G1260" s="47" t="n">
        <x:v>1256</x:v>
      </x:c>
      <x:c r="H1260" s="53" t="b">
        <x:v>1</x:v>
      </x:c>
      <x:c r="I1260" s="47" t="str">
        <x:v>2311811481</x:v>
      </x:c>
      <x:c r="J1260" s="47" t="n">
        <x:v>28326650</x:v>
      </x:c>
      <x:c r="K1260" s="53" t="b">
        <x:v>1</x:v>
      </x:c>
      <x:c r="L1260" s="53" t="b">
        <x:v>1</x:v>
      </x:c>
      <x:c r="M1260" s="53" t="b">
        <x:v>1</x:v>
      </x:c>
      <x:c r="N1260" s="53" t="b">
        <x:v>1</x:v>
      </x:c>
      <x:c r="O1260" s="53" t="b">
        <x:v>1</x:v>
      </x:c>
      <x:c r="P1260" s="47" t="n">
        <x:v>1011</x:v>
      </x:c>
      <x:c r="Q1260" s="47" t="n">
        <x:v>0.077</x:v>
      </x:c>
      <x:c r="R1260" s="47" t="n">
        <x:v>2.077</x:v>
      </x:c>
      <x:c r="S1260" s="47" t="n">
        <x:v>30.25</x:v>
      </x:c>
      <x:c r="T1260" s="47" t="n">
        <x:v>54.79</x:v>
      </x:c>
      <x:c r="U1260" s="47" t="n">
        <x:v>30.4</x:v>
      </x:c>
      <x:c r="V1260" s="47" t="n">
        <x:v>12.5</x:v>
      </x:c>
      <x:c r="W1260" s="47" t="n">
        <x:v>0</x:v>
      </x:c>
      <x:c r="X1260" s="47" t="n">
        <x:v>0</x:v>
      </x:c>
      <x:c r="Y1260" s="41" t="n">
        <x:v>0</x:v>
      </x:c>
    </x:row>
    <x:row r="1261">
      <x:c r="A1261" s="38" t="str">
        <x:v>7月30日现场数据</x:v>
      </x:c>
      <x:c r="B1261" s="66" t="str">
        <x:v>2026-08-03T22:32:46.079000</x:v>
      </x:c>
      <x:c r="C1261" s="47" t="n">
        <x:v>300970</x:v>
      </x:c>
      <x:c r="D1261" s="47" t="str"/>
      <x:c r="E1261" s="47" t="str"/>
      <x:c r="F1261" s="47" t="str">
        <x:v>current</x:v>
      </x:c>
      <x:c r="G1261" s="47" t="n">
        <x:v>1257</x:v>
      </x:c>
      <x:c r="H1261" s="53" t="b">
        <x:v>1</x:v>
      </x:c>
      <x:c r="I1261" s="47" t="str">
        <x:v>2311811481</x:v>
      </x:c>
      <x:c r="J1261" s="47" t="n">
        <x:v>28627620</x:v>
      </x:c>
      <x:c r="K1261" s="53" t="b">
        <x:v>1</x:v>
      </x:c>
      <x:c r="L1261" s="53" t="b">
        <x:v>1</x:v>
      </x:c>
      <x:c r="M1261" s="53" t="b">
        <x:v>1</x:v>
      </x:c>
      <x:c r="N1261" s="53" t="b">
        <x:v>1</x:v>
      </x:c>
      <x:c r="O1261" s="53" t="b">
        <x:v>1</x:v>
      </x:c>
      <x:c r="P1261" s="47" t="n">
        <x:v>1011</x:v>
      </x:c>
      <x:c r="Q1261" s="47" t="n">
        <x:v>0</x:v>
      </x:c>
      <x:c r="R1261" s="47" t="n">
        <x:v>0</x:v>
      </x:c>
      <x:c r="S1261" s="47" t="n">
        <x:v>30.27</x:v>
      </x:c>
      <x:c r="T1261" s="47" t="n">
        <x:v>54.92</x:v>
      </x:c>
      <x:c r="U1261" s="47" t="n">
        <x:v>30.4</x:v>
      </x:c>
      <x:c r="V1261" s="47" t="n">
        <x:v>12.6</x:v>
      </x:c>
      <x:c r="W1261" s="47" t="n">
        <x:v>0</x:v>
      </x:c>
      <x:c r="X1261" s="47" t="n">
        <x:v>0</x:v>
      </x:c>
      <x:c r="Y1261" s="41" t="n">
        <x:v>0</x:v>
      </x:c>
    </x:row>
    <x:row r="1262">
      <x:c r="A1262" s="38" t="str">
        <x:v>7月30日现场数据</x:v>
      </x:c>
      <x:c r="B1262" s="66" t="str">
        <x:v>2026-08-03T22:37:47.051000</x:v>
      </x:c>
      <x:c r="C1262" s="47" t="n">
        <x:v>300972</x:v>
      </x:c>
      <x:c r="D1262" s="47" t="str"/>
      <x:c r="E1262" s="47" t="str"/>
      <x:c r="F1262" s="47" t="str">
        <x:v>current</x:v>
      </x:c>
      <x:c r="G1262" s="47" t="n">
        <x:v>1258</x:v>
      </x:c>
      <x:c r="H1262" s="53" t="b">
        <x:v>1</x:v>
      </x:c>
      <x:c r="I1262" s="47" t="str">
        <x:v>2311811481</x:v>
      </x:c>
      <x:c r="J1262" s="47" t="n">
        <x:v>28928592</x:v>
      </x:c>
      <x:c r="K1262" s="53" t="b">
        <x:v>1</x:v>
      </x:c>
      <x:c r="L1262" s="53" t="b">
        <x:v>1</x:v>
      </x:c>
      <x:c r="M1262" s="53" t="b">
        <x:v>1</x:v>
      </x:c>
      <x:c r="N1262" s="53" t="b">
        <x:v>1</x:v>
      </x:c>
      <x:c r="O1262" s="53" t="b">
        <x:v>1</x:v>
      </x:c>
      <x:c r="P1262" s="47" t="n">
        <x:v>1011</x:v>
      </x:c>
      <x:c r="Q1262" s="47" t="n">
        <x:v>0</x:v>
      </x:c>
      <x:c r="R1262" s="47" t="n">
        <x:v>0</x:v>
      </x:c>
      <x:c r="S1262" s="47" t="n">
        <x:v>30.21</x:v>
      </x:c>
      <x:c r="T1262" s="47" t="n">
        <x:v>54.98</x:v>
      </x:c>
      <x:c r="U1262" s="47" t="n">
        <x:v>30.4</x:v>
      </x:c>
      <x:c r="V1262" s="47" t="n">
        <x:v>12.6</x:v>
      </x:c>
      <x:c r="W1262" s="47" t="n">
        <x:v>0</x:v>
      </x:c>
      <x:c r="X1262" s="47" t="n">
        <x:v>0</x:v>
      </x:c>
      <x:c r="Y1262" s="41" t="n">
        <x:v>0</x:v>
      </x:c>
    </x:row>
    <x:row r="1263">
      <x:c r="A1263" s="38" t="str">
        <x:v>7月30日现场数据</x:v>
      </x:c>
      <x:c r="B1263" s="66" t="str">
        <x:v>2026-08-03T22:42:48.022000</x:v>
      </x:c>
      <x:c r="C1263" s="47" t="n">
        <x:v>300971</x:v>
      </x:c>
      <x:c r="D1263" s="47" t="str"/>
      <x:c r="E1263" s="47" t="str"/>
      <x:c r="F1263" s="47" t="str">
        <x:v>current</x:v>
      </x:c>
      <x:c r="G1263" s="47" t="n">
        <x:v>1259</x:v>
      </x:c>
      <x:c r="H1263" s="53" t="b">
        <x:v>1</x:v>
      </x:c>
      <x:c r="I1263" s="47" t="str">
        <x:v>2311811481</x:v>
      </x:c>
      <x:c r="J1263" s="47" t="n">
        <x:v>29229563</x:v>
      </x:c>
      <x:c r="K1263" s="53" t="b">
        <x:v>1</x:v>
      </x:c>
      <x:c r="L1263" s="53" t="b">
        <x:v>1</x:v>
      </x:c>
      <x:c r="M1263" s="53" t="b">
        <x:v>1</x:v>
      </x:c>
      <x:c r="N1263" s="53" t="b">
        <x:v>1</x:v>
      </x:c>
      <x:c r="O1263" s="53" t="b">
        <x:v>1</x:v>
      </x:c>
      <x:c r="P1263" s="47" t="n">
        <x:v>1011</x:v>
      </x:c>
      <x:c r="Q1263" s="47" t="n">
        <x:v>0.029</x:v>
      </x:c>
      <x:c r="R1263" s="47" t="n">
        <x:v>0.791</x:v>
      </x:c>
      <x:c r="S1263" s="47" t="n">
        <x:v>30.16</x:v>
      </x:c>
      <x:c r="T1263" s="47" t="n">
        <x:v>55.14</x:v>
      </x:c>
      <x:c r="U1263" s="47" t="n">
        <x:v>30.4</x:v>
      </x:c>
      <x:c r="V1263" s="47" t="n">
        <x:v>12.6</x:v>
      </x:c>
      <x:c r="W1263" s="47" t="n">
        <x:v>0</x:v>
      </x:c>
      <x:c r="X1263" s="47" t="n">
        <x:v>0</x:v>
      </x:c>
      <x:c r="Y1263" s="41" t="n">
        <x:v>0</x:v>
      </x:c>
    </x:row>
    <x:row r="1264">
      <x:c r="A1264" s="38" t="str">
        <x:v>7月30日现场数据</x:v>
      </x:c>
      <x:c r="B1264" s="66" t="str">
        <x:v>2026-08-03T22:47:48.994000</x:v>
      </x:c>
      <x:c r="C1264" s="47" t="n">
        <x:v>300972</x:v>
      </x:c>
      <x:c r="D1264" s="47" t="str"/>
      <x:c r="E1264" s="47" t="str"/>
      <x:c r="F1264" s="47" t="str">
        <x:v>current</x:v>
      </x:c>
      <x:c r="G1264" s="47" t="n">
        <x:v>1260</x:v>
      </x:c>
      <x:c r="H1264" s="53" t="b">
        <x:v>1</x:v>
      </x:c>
      <x:c r="I1264" s="47" t="str">
        <x:v>2311811481</x:v>
      </x:c>
      <x:c r="J1264" s="47" t="n">
        <x:v>29530535</x:v>
      </x:c>
      <x:c r="K1264" s="53" t="b">
        <x:v>1</x:v>
      </x:c>
      <x:c r="L1264" s="53" t="b">
        <x:v>1</x:v>
      </x:c>
      <x:c r="M1264" s="53" t="b">
        <x:v>1</x:v>
      </x:c>
      <x:c r="N1264" s="53" t="b">
        <x:v>1</x:v>
      </x:c>
      <x:c r="O1264" s="53" t="b">
        <x:v>1</x:v>
      </x:c>
      <x:c r="P1264" s="47" t="n">
        <x:v>1011</x:v>
      </x:c>
      <x:c r="Q1264" s="47" t="n">
        <x:v>0</x:v>
      </x:c>
      <x:c r="R1264" s="47" t="n">
        <x:v>0</x:v>
      </x:c>
      <x:c r="S1264" s="47" t="n">
        <x:v>30.08</x:v>
      </x:c>
      <x:c r="T1264" s="47" t="n">
        <x:v>55.18</x:v>
      </x:c>
      <x:c r="U1264" s="47" t="n">
        <x:v>30.4</x:v>
      </x:c>
      <x:c r="V1264" s="47" t="n">
        <x:v>12.6</x:v>
      </x:c>
      <x:c r="W1264" s="47" t="n">
        <x:v>0</x:v>
      </x:c>
      <x:c r="X1264" s="47" t="n">
        <x:v>0</x:v>
      </x:c>
      <x:c r="Y1264" s="41" t="n">
        <x:v>0</x:v>
      </x:c>
    </x:row>
    <x:row r="1265">
      <x:c r="A1265" s="38" t="str">
        <x:v>7月30日现场数据</x:v>
      </x:c>
      <x:c r="B1265" s="66" t="str">
        <x:v>2026-08-03T22:52:49.969000</x:v>
      </x:c>
      <x:c r="C1265" s="47" t="n">
        <x:v>300975</x:v>
      </x:c>
      <x:c r="D1265" s="47" t="str"/>
      <x:c r="E1265" s="47" t="str"/>
      <x:c r="F1265" s="47" t="str">
        <x:v>current</x:v>
      </x:c>
      <x:c r="G1265" s="47" t="n">
        <x:v>1261</x:v>
      </x:c>
      <x:c r="H1265" s="53" t="b">
        <x:v>1</x:v>
      </x:c>
      <x:c r="I1265" s="47" t="str">
        <x:v>2311811481</x:v>
      </x:c>
      <x:c r="J1265" s="47" t="n">
        <x:v>29831510</x:v>
      </x:c>
      <x:c r="K1265" s="53" t="b">
        <x:v>1</x:v>
      </x:c>
      <x:c r="L1265" s="53" t="b">
        <x:v>1</x:v>
      </x:c>
      <x:c r="M1265" s="53" t="b">
        <x:v>1</x:v>
      </x:c>
      <x:c r="N1265" s="53" t="b">
        <x:v>1</x:v>
      </x:c>
      <x:c r="O1265" s="53" t="b">
        <x:v>1</x:v>
      </x:c>
      <x:c r="P1265" s="47" t="n">
        <x:v>1011</x:v>
      </x:c>
      <x:c r="Q1265" s="47" t="n">
        <x:v>0</x:v>
      </x:c>
      <x:c r="R1265" s="47" t="n">
        <x:v>0</x:v>
      </x:c>
      <x:c r="S1265" s="47" t="n">
        <x:v>30.02</x:v>
      </x:c>
      <x:c r="T1265" s="47" t="n">
        <x:v>55.29</x:v>
      </x:c>
      <x:c r="U1265" s="47" t="n">
        <x:v>30.4</x:v>
      </x:c>
      <x:c r="V1265" s="47" t="n">
        <x:v>12.6</x:v>
      </x:c>
      <x:c r="W1265" s="47" t="n">
        <x:v>0</x:v>
      </x:c>
      <x:c r="X1265" s="47" t="n">
        <x:v>0</x:v>
      </x:c>
      <x:c r="Y1265" s="41" t="n">
        <x:v>0</x:v>
      </x:c>
    </x:row>
    <x:row r="1266">
      <x:c r="A1266" s="38" t="str">
        <x:v>7月30日现场数据</x:v>
      </x:c>
      <x:c r="B1266" s="66" t="str">
        <x:v>2026-08-03T22:57:50.945000</x:v>
      </x:c>
      <x:c r="C1266" s="47" t="n">
        <x:v>300976</x:v>
      </x:c>
      <x:c r="D1266" s="47" t="str"/>
      <x:c r="E1266" s="47" t="str"/>
      <x:c r="F1266" s="47" t="str">
        <x:v>current</x:v>
      </x:c>
      <x:c r="G1266" s="47" t="n">
        <x:v>1262</x:v>
      </x:c>
      <x:c r="H1266" s="53" t="b">
        <x:v>1</x:v>
      </x:c>
      <x:c r="I1266" s="47" t="str">
        <x:v>2311811481</x:v>
      </x:c>
      <x:c r="J1266" s="47" t="n">
        <x:v>30132486</x:v>
      </x:c>
      <x:c r="K1266" s="53" t="b">
        <x:v>1</x:v>
      </x:c>
      <x:c r="L1266" s="53" t="b">
        <x:v>1</x:v>
      </x:c>
      <x:c r="M1266" s="53" t="b">
        <x:v>1</x:v>
      </x:c>
      <x:c r="N1266" s="53" t="b">
        <x:v>1</x:v>
      </x:c>
      <x:c r="O1266" s="53" t="b">
        <x:v>1</x:v>
      </x:c>
      <x:c r="P1266" s="47" t="n">
        <x:v>1011</x:v>
      </x:c>
      <x:c r="Q1266" s="47" t="n">
        <x:v>0</x:v>
      </x:c>
      <x:c r="R1266" s="47" t="n">
        <x:v>0</x:v>
      </x:c>
      <x:c r="S1266" s="47" t="n">
        <x:v>29.97</x:v>
      </x:c>
      <x:c r="T1266" s="47" t="n">
        <x:v>55.3</x:v>
      </x:c>
      <x:c r="U1266" s="47" t="n">
        <x:v>30.3</x:v>
      </x:c>
      <x:c r="V1266" s="47" t="n">
        <x:v>12.6</x:v>
      </x:c>
      <x:c r="W1266" s="47" t="n">
        <x:v>0</x:v>
      </x:c>
      <x:c r="X1266" s="47" t="n">
        <x:v>0</x:v>
      </x:c>
      <x:c r="Y1266" s="41" t="n">
        <x:v>0</x:v>
      </x:c>
    </x:row>
    <x:row r="1267">
      <x:c r="A1267" s="38" t="str">
        <x:v>7月30日现场数据</x:v>
      </x:c>
      <x:c r="B1267" s="66" t="str">
        <x:v>2026-08-03T23:02:51.924000</x:v>
      </x:c>
      <x:c r="C1267" s="47" t="n">
        <x:v>300979</x:v>
      </x:c>
      <x:c r="D1267" s="47" t="str"/>
      <x:c r="E1267" s="47" t="str"/>
      <x:c r="F1267" s="47" t="str">
        <x:v>current</x:v>
      </x:c>
      <x:c r="G1267" s="47" t="n">
        <x:v>1263</x:v>
      </x:c>
      <x:c r="H1267" s="53" t="b">
        <x:v>1</x:v>
      </x:c>
      <x:c r="I1267" s="47" t="str">
        <x:v>2311811481</x:v>
      </x:c>
      <x:c r="J1267" s="47" t="n">
        <x:v>30433465</x:v>
      </x:c>
      <x:c r="K1267" s="53" t="b">
        <x:v>1</x:v>
      </x:c>
      <x:c r="L1267" s="53" t="b">
        <x:v>1</x:v>
      </x:c>
      <x:c r="M1267" s="53" t="b">
        <x:v>1</x:v>
      </x:c>
      <x:c r="N1267" s="53" t="b">
        <x:v>1</x:v>
      </x:c>
      <x:c r="O1267" s="53" t="b">
        <x:v>1</x:v>
      </x:c>
      <x:c r="P1267" s="47" t="n">
        <x:v>1011</x:v>
      </x:c>
      <x:c r="Q1267" s="47" t="n">
        <x:v>0</x:v>
      </x:c>
      <x:c r="R1267" s="47" t="n">
        <x:v>0</x:v>
      </x:c>
      <x:c r="S1267" s="47" t="n">
        <x:v>29.94</x:v>
      </x:c>
      <x:c r="T1267" s="47" t="n">
        <x:v>55.39</x:v>
      </x:c>
      <x:c r="U1267" s="47" t="n">
        <x:v>30.3</x:v>
      </x:c>
      <x:c r="V1267" s="47" t="n">
        <x:v>12.6</x:v>
      </x:c>
      <x:c r="W1267" s="47" t="n">
        <x:v>0</x:v>
      </x:c>
      <x:c r="X1267" s="47" t="n">
        <x:v>0</x:v>
      </x:c>
      <x:c r="Y1267" s="41" t="n">
        <x:v>0</x:v>
      </x:c>
    </x:row>
    <x:row r="1268">
      <x:c r="A1268" s="38" t="str">
        <x:v>7月30日现场数据</x:v>
      </x:c>
      <x:c r="B1268" s="66" t="str">
        <x:v>2026-08-03T23:07:52.904000</x:v>
      </x:c>
      <x:c r="C1268" s="47" t="n">
        <x:v>300980</x:v>
      </x:c>
      <x:c r="D1268" s="47" t="str"/>
      <x:c r="E1268" s="47" t="str"/>
      <x:c r="F1268" s="47" t="str">
        <x:v>current</x:v>
      </x:c>
      <x:c r="G1268" s="47" t="n">
        <x:v>1264</x:v>
      </x:c>
      <x:c r="H1268" s="53" t="b">
        <x:v>1</x:v>
      </x:c>
      <x:c r="I1268" s="47" t="str">
        <x:v>2311811481</x:v>
      </x:c>
      <x:c r="J1268" s="47" t="n">
        <x:v>30734445</x:v>
      </x:c>
      <x:c r="K1268" s="53" t="b">
        <x:v>1</x:v>
      </x:c>
      <x:c r="L1268" s="53" t="b">
        <x:v>1</x:v>
      </x:c>
      <x:c r="M1268" s="53" t="b">
        <x:v>1</x:v>
      </x:c>
      <x:c r="N1268" s="53" t="b">
        <x:v>1</x:v>
      </x:c>
      <x:c r="O1268" s="53" t="b">
        <x:v>1</x:v>
      </x:c>
      <x:c r="P1268" s="47" t="n">
        <x:v>1011</x:v>
      </x:c>
      <x:c r="Q1268" s="47" t="n">
        <x:v>0</x:v>
      </x:c>
      <x:c r="R1268" s="47" t="n">
        <x:v>0</x:v>
      </x:c>
      <x:c r="S1268" s="47" t="n">
        <x:v>29.92</x:v>
      </x:c>
      <x:c r="T1268" s="47" t="n">
        <x:v>55.47</x:v>
      </x:c>
      <x:c r="U1268" s="47" t="n">
        <x:v>30.3</x:v>
      </x:c>
      <x:c r="V1268" s="47" t="n">
        <x:v>12.6</x:v>
      </x:c>
      <x:c r="W1268" s="47" t="n">
        <x:v>0</x:v>
      </x:c>
      <x:c r="X1268" s="47" t="n">
        <x:v>0</x:v>
      </x:c>
      <x:c r="Y1268" s="41" t="n">
        <x:v>0</x:v>
      </x:c>
    </x:row>
    <x:row r="1269">
      <x:c r="A1269" s="38" t="str">
        <x:v>7月30日现场数据</x:v>
      </x:c>
      <x:c r="B1269" s="66" t="str">
        <x:v>2026-08-03T23:12:53.888000</x:v>
      </x:c>
      <x:c r="C1269" s="47" t="n">
        <x:v>300984</x:v>
      </x:c>
      <x:c r="D1269" s="47" t="str"/>
      <x:c r="E1269" s="47" t="str"/>
      <x:c r="F1269" s="47" t="str">
        <x:v>current</x:v>
      </x:c>
      <x:c r="G1269" s="47" t="n">
        <x:v>1265</x:v>
      </x:c>
      <x:c r="H1269" s="53" t="b">
        <x:v>1</x:v>
      </x:c>
      <x:c r="I1269" s="47" t="str">
        <x:v>2311811481</x:v>
      </x:c>
      <x:c r="J1269" s="47" t="n">
        <x:v>31035429</x:v>
      </x:c>
      <x:c r="K1269" s="53" t="b">
        <x:v>1</x:v>
      </x:c>
      <x:c r="L1269" s="53" t="b">
        <x:v>1</x:v>
      </x:c>
      <x:c r="M1269" s="53" t="b">
        <x:v>1</x:v>
      </x:c>
      <x:c r="N1269" s="53" t="b">
        <x:v>1</x:v>
      </x:c>
      <x:c r="O1269" s="53" t="b">
        <x:v>1</x:v>
      </x:c>
      <x:c r="P1269" s="47" t="n">
        <x:v>1011</x:v>
      </x:c>
      <x:c r="Q1269" s="47" t="n">
        <x:v>0</x:v>
      </x:c>
      <x:c r="R1269" s="47" t="n">
        <x:v>0</x:v>
      </x:c>
      <x:c r="S1269" s="47" t="n">
        <x:v>29.89</x:v>
      </x:c>
      <x:c r="T1269" s="47" t="n">
        <x:v>55.63</x:v>
      </x:c>
      <x:c r="U1269" s="47" t="n">
        <x:v>30.3</x:v>
      </x:c>
      <x:c r="V1269" s="47" t="n">
        <x:v>12.6</x:v>
      </x:c>
      <x:c r="W1269" s="47" t="n">
        <x:v>0</x:v>
      </x:c>
      <x:c r="X1269" s="47" t="n">
        <x:v>0</x:v>
      </x:c>
      <x:c r="Y1269" s="41" t="n">
        <x:v>0</x:v>
      </x:c>
    </x:row>
    <x:row r="1270">
      <x:c r="A1270" s="38" t="str">
        <x:v>7月30日现场数据</x:v>
      </x:c>
      <x:c r="B1270" s="66" t="str">
        <x:v>2026-08-03T23:17:54.875000</x:v>
      </x:c>
      <x:c r="C1270" s="47" t="n">
        <x:v>300987</x:v>
      </x:c>
      <x:c r="D1270" s="47" t="str"/>
      <x:c r="E1270" s="47" t="str"/>
      <x:c r="F1270" s="47" t="str">
        <x:v>current</x:v>
      </x:c>
      <x:c r="G1270" s="47" t="n">
        <x:v>1266</x:v>
      </x:c>
      <x:c r="H1270" s="53" t="b">
        <x:v>1</x:v>
      </x:c>
      <x:c r="I1270" s="47" t="str">
        <x:v>2311811481</x:v>
      </x:c>
      <x:c r="J1270" s="47" t="n">
        <x:v>31336416</x:v>
      </x:c>
      <x:c r="K1270" s="53" t="b">
        <x:v>1</x:v>
      </x:c>
      <x:c r="L1270" s="53" t="b">
        <x:v>1</x:v>
      </x:c>
      <x:c r="M1270" s="53" t="b">
        <x:v>1</x:v>
      </x:c>
      <x:c r="N1270" s="53" t="b">
        <x:v>1</x:v>
      </x:c>
      <x:c r="O1270" s="53" t="b">
        <x:v>1</x:v>
      </x:c>
      <x:c r="P1270" s="47" t="n">
        <x:v>1011</x:v>
      </x:c>
      <x:c r="Q1270" s="47" t="n">
        <x:v>0</x:v>
      </x:c>
      <x:c r="R1270" s="47" t="n">
        <x:v>0</x:v>
      </x:c>
      <x:c r="S1270" s="47" t="n">
        <x:v>29.84</x:v>
      </x:c>
      <x:c r="T1270" s="47" t="n">
        <x:v>55.69</x:v>
      </x:c>
      <x:c r="U1270" s="47" t="n">
        <x:v>30.2</x:v>
      </x:c>
      <x:c r="V1270" s="47" t="n">
        <x:v>12.6</x:v>
      </x:c>
      <x:c r="W1270" s="47" t="n">
        <x:v>0</x:v>
      </x:c>
      <x:c r="X1270" s="47" t="n">
        <x:v>0</x:v>
      </x:c>
      <x:c r="Y1270" s="41" t="n">
        <x:v>0</x:v>
      </x:c>
    </x:row>
    <x:row r="1271">
      <x:c r="A1271" s="38" t="str">
        <x:v>7月30日现场数据</x:v>
      </x:c>
      <x:c r="B1271" s="66" t="str">
        <x:v>2026-08-03T23:17:56.227000</x:v>
      </x:c>
      <x:c r="C1271" s="47" t="n">
        <x:v>1352</x:v>
      </x:c>
      <x:c r="D1271" s="47" t="str">
        <x:v>设备重启</x:v>
      </x:c>
      <x:c r="E1271" s="47" t="str">
        <x:v>bootSessionId 变化，uptime 重置；土壤温湿度均为 0</x:v>
      </x:c>
      <x:c r="F1271" s="47" t="str">
        <x:v>current</x:v>
      </x:c>
      <x:c r="G1271" s="47" t="n">
        <x:v>1267</x:v>
      </x:c>
      <x:c r="H1271" s="53" t="b">
        <x:v>1</x:v>
      </x:c>
      <x:c r="I1271" s="47" t="str">
        <x:v>4109905524</x:v>
      </x:c>
      <x:c r="J1271" s="47" t="n">
        <x:v>1352</x:v>
      </x:c>
      <x:c r="K1271" s="53" t="b">
        <x:v>1</x:v>
      </x:c>
      <x:c r="L1271" s="53" t="b">
        <x:v>1</x:v>
      </x:c>
      <x:c r="M1271" s="53" t="b">
        <x:v>1</x:v>
      </x:c>
      <x:c r="N1271" s="53" t="b">
        <x:v>1</x:v>
      </x:c>
      <x:c r="O1271" s="53" t="b">
        <x:v>1</x:v>
      </x:c>
      <x:c r="P1271" s="47" t="n">
        <x:v>1011</x:v>
      </x:c>
      <x:c r="Q1271" s="47" t="n">
        <x:v>0</x:v>
      </x:c>
      <x:c r="R1271" s="47" t="n">
        <x:v>0</x:v>
      </x:c>
      <x:c r="S1271" s="47" t="n">
        <x:v>29.87</x:v>
      </x:c>
      <x:c r="T1271" s="47" t="n">
        <x:v>55.7</x:v>
      </x:c>
      <x:c r="U1271" s="47" t="n">
        <x:v>0</x:v>
      </x:c>
      <x:c r="V1271" s="47" t="n">
        <x:v>0</x:v>
      </x:c>
      <x:c r="W1271" s="47" t="n">
        <x:v>0</x:v>
      </x:c>
      <x:c r="X1271" s="47" t="n">
        <x:v>0</x:v>
      </x:c>
      <x:c r="Y1271" s="41" t="n">
        <x:v>0</x:v>
      </x:c>
    </x:row>
    <x:row r="1272">
      <x:c r="A1272" s="38" t="str">
        <x:v>7月30日现场数据</x:v>
      </x:c>
      <x:c r="B1272" s="66" t="str">
        <x:v>2026-08-03T23:22:57.228000</x:v>
      </x:c>
      <x:c r="C1272" s="47" t="n">
        <x:v>301001</x:v>
      </x:c>
      <x:c r="D1272" s="47" t="str"/>
      <x:c r="E1272" s="47" t="str"/>
      <x:c r="F1272" s="47" t="str">
        <x:v>current</x:v>
      </x:c>
      <x:c r="G1272" s="47" t="n">
        <x:v>1268</x:v>
      </x:c>
      <x:c r="H1272" s="53" t="b">
        <x:v>1</x:v>
      </x:c>
      <x:c r="I1272" s="47" t="str">
        <x:v>4109905524</x:v>
      </x:c>
      <x:c r="J1272" s="47" t="n">
        <x:v>302353</x:v>
      </x:c>
      <x:c r="K1272" s="53" t="b">
        <x:v>1</x:v>
      </x:c>
      <x:c r="L1272" s="53" t="b">
        <x:v>1</x:v>
      </x:c>
      <x:c r="M1272" s="53" t="b">
        <x:v>1</x:v>
      </x:c>
      <x:c r="N1272" s="53" t="b">
        <x:v>1</x:v>
      </x:c>
      <x:c r="O1272" s="53" t="b">
        <x:v>1</x:v>
      </x:c>
      <x:c r="P1272" s="47" t="n">
        <x:v>1011</x:v>
      </x:c>
      <x:c r="Q1272" s="47" t="n">
        <x:v>0</x:v>
      </x:c>
      <x:c r="R1272" s="47" t="n">
        <x:v>0</x:v>
      </x:c>
      <x:c r="S1272" s="47" t="n">
        <x:v>29.78</x:v>
      </x:c>
      <x:c r="T1272" s="47" t="n">
        <x:v>55.76</x:v>
      </x:c>
      <x:c r="U1272" s="47" t="n">
        <x:v>30.2</x:v>
      </x:c>
      <x:c r="V1272" s="47" t="n">
        <x:v>13.4</x:v>
      </x:c>
      <x:c r="W1272" s="47" t="n">
        <x:v>0</x:v>
      </x:c>
      <x:c r="X1272" s="47" t="n">
        <x:v>0</x:v>
      </x:c>
      <x:c r="Y1272" s="41" t="n">
        <x:v>0</x:v>
      </x:c>
    </x:row>
    <x:row r="1273">
      <x:c r="A1273" s="38" t="str">
        <x:v>7月30日现场数据</x:v>
      </x:c>
      <x:c r="B1273" s="66" t="str">
        <x:v>2026-08-03T23:27:58.217000</x:v>
      </x:c>
      <x:c r="C1273" s="47" t="n">
        <x:v>300989</x:v>
      </x:c>
      <x:c r="D1273" s="47" t="str"/>
      <x:c r="E1273" s="47" t="str"/>
      <x:c r="F1273" s="47" t="str">
        <x:v>current</x:v>
      </x:c>
      <x:c r="G1273" s="47" t="n">
        <x:v>1269</x:v>
      </x:c>
      <x:c r="H1273" s="53" t="b">
        <x:v>1</x:v>
      </x:c>
      <x:c r="I1273" s="47" t="str">
        <x:v>4109905524</x:v>
      </x:c>
      <x:c r="J1273" s="47" t="n">
        <x:v>603342</x:v>
      </x:c>
      <x:c r="K1273" s="53" t="b">
        <x:v>1</x:v>
      </x:c>
      <x:c r="L1273" s="53" t="b">
        <x:v>1</x:v>
      </x:c>
      <x:c r="M1273" s="53" t="b">
        <x:v>1</x:v>
      </x:c>
      <x:c r="N1273" s="53" t="b">
        <x:v>1</x:v>
      </x:c>
      <x:c r="O1273" s="53" t="b">
        <x:v>1</x:v>
      </x:c>
      <x:c r="P1273" s="47" t="n">
        <x:v>1011</x:v>
      </x:c>
      <x:c r="Q1273" s="47" t="n">
        <x:v>0</x:v>
      </x:c>
      <x:c r="R1273" s="47" t="n">
        <x:v>0</x:v>
      </x:c>
      <x:c r="S1273" s="47" t="n">
        <x:v>29.76</x:v>
      </x:c>
      <x:c r="T1273" s="47" t="n">
        <x:v>55.81</x:v>
      </x:c>
      <x:c r="U1273" s="47" t="n">
        <x:v>30.2</x:v>
      </x:c>
      <x:c r="V1273" s="47" t="n">
        <x:v>13.4</x:v>
      </x:c>
      <x:c r="W1273" s="47" t="n">
        <x:v>0</x:v>
      </x:c>
      <x:c r="X1273" s="47" t="n">
        <x:v>0</x:v>
      </x:c>
      <x:c r="Y1273" s="41" t="n">
        <x:v>0</x:v>
      </x:c>
    </x:row>
    <x:row r="1274">
      <x:c r="A1274" s="38" t="str">
        <x:v>7月30日现场数据</x:v>
      </x:c>
      <x:c r="B1274" s="66" t="str">
        <x:v>2026-08-03T23:32:59.241000</x:v>
      </x:c>
      <x:c r="C1274" s="47" t="n">
        <x:v>301024</x:v>
      </x:c>
      <x:c r="D1274" s="47" t="str"/>
      <x:c r="E1274" s="47" t="str"/>
      <x:c r="F1274" s="47" t="str">
        <x:v>current</x:v>
      </x:c>
      <x:c r="G1274" s="47" t="n">
        <x:v>1270</x:v>
      </x:c>
      <x:c r="H1274" s="53" t="b">
        <x:v>1</x:v>
      </x:c>
      <x:c r="I1274" s="47" t="str">
        <x:v>4109905524</x:v>
      </x:c>
      <x:c r="J1274" s="47" t="n">
        <x:v>904366</x:v>
      </x:c>
      <x:c r="K1274" s="53" t="b">
        <x:v>1</x:v>
      </x:c>
      <x:c r="L1274" s="53" t="b">
        <x:v>1</x:v>
      </x:c>
      <x:c r="M1274" s="53" t="b">
        <x:v>1</x:v>
      </x:c>
      <x:c r="N1274" s="53" t="b">
        <x:v>1</x:v>
      </x:c>
      <x:c r="O1274" s="53" t="b">
        <x:v>1</x:v>
      </x:c>
      <x:c r="P1274" s="47" t="n">
        <x:v>1011</x:v>
      </x:c>
      <x:c r="Q1274" s="47" t="n">
        <x:v>0</x:v>
      </x:c>
      <x:c r="R1274" s="47" t="n">
        <x:v>0</x:v>
      </x:c>
      <x:c r="S1274" s="47" t="n">
        <x:v>29.73</x:v>
      </x:c>
      <x:c r="T1274" s="47" t="n">
        <x:v>55.86</x:v>
      </x:c>
      <x:c r="U1274" s="47" t="n">
        <x:v>30.2</x:v>
      </x:c>
      <x:c r="V1274" s="47" t="n">
        <x:v>13.3</x:v>
      </x:c>
      <x:c r="W1274" s="47" t="n">
        <x:v>0</x:v>
      </x:c>
      <x:c r="X1274" s="47" t="n">
        <x:v>0</x:v>
      </x:c>
      <x:c r="Y1274" s="41" t="n">
        <x:v>0</x:v>
      </x:c>
    </x:row>
    <x:row r="1275">
      <x:c r="A1275" s="38" t="str">
        <x:v>7月30日现场数据</x:v>
      </x:c>
      <x:c r="B1275" s="66" t="str">
        <x:v>2026-08-03T23:38:00.211000</x:v>
      </x:c>
      <x:c r="C1275" s="47" t="n">
        <x:v>300970</x:v>
      </x:c>
      <x:c r="D1275" s="47" t="str"/>
      <x:c r="E1275" s="47" t="str"/>
      <x:c r="F1275" s="47" t="str">
        <x:v>current</x:v>
      </x:c>
      <x:c r="G1275" s="47" t="n">
        <x:v>1271</x:v>
      </x:c>
      <x:c r="H1275" s="53" t="b">
        <x:v>1</x:v>
      </x:c>
      <x:c r="I1275" s="47" t="str">
        <x:v>4109905524</x:v>
      </x:c>
      <x:c r="J1275" s="47" t="n">
        <x:v>1205336</x:v>
      </x:c>
      <x:c r="K1275" s="53" t="b">
        <x:v>1</x:v>
      </x:c>
      <x:c r="L1275" s="53" t="b">
        <x:v>1</x:v>
      </x:c>
      <x:c r="M1275" s="53" t="b">
        <x:v>1</x:v>
      </x:c>
      <x:c r="N1275" s="53" t="b">
        <x:v>1</x:v>
      </x:c>
      <x:c r="O1275" s="53" t="b">
        <x:v>1</x:v>
      </x:c>
      <x:c r="P1275" s="47" t="n">
        <x:v>1011</x:v>
      </x:c>
      <x:c r="Q1275" s="47" t="n">
        <x:v>0</x:v>
      </x:c>
      <x:c r="R1275" s="47" t="n">
        <x:v>0</x:v>
      </x:c>
      <x:c r="S1275" s="47" t="n">
        <x:v>29.72</x:v>
      </x:c>
      <x:c r="T1275" s="47" t="n">
        <x:v>55.97</x:v>
      </x:c>
      <x:c r="U1275" s="47" t="n">
        <x:v>30.2</x:v>
      </x:c>
      <x:c r="V1275" s="47" t="n">
        <x:v>13.3</x:v>
      </x:c>
      <x:c r="W1275" s="47" t="n">
        <x:v>0</x:v>
      </x:c>
      <x:c r="X1275" s="47" t="n">
        <x:v>0</x:v>
      </x:c>
      <x:c r="Y1275" s="41" t="n">
        <x:v>0</x:v>
      </x:c>
    </x:row>
    <x:row r="1276">
      <x:c r="A1276" s="38" t="str">
        <x:v>7月30日现场数据</x:v>
      </x:c>
      <x:c r="B1276" s="66" t="str">
        <x:v>2026-08-03T23:43:01.180000</x:v>
      </x:c>
      <x:c r="C1276" s="47" t="n">
        <x:v>300969</x:v>
      </x:c>
      <x:c r="D1276" s="47" t="str"/>
      <x:c r="E1276" s="47" t="str"/>
      <x:c r="F1276" s="47" t="str">
        <x:v>current</x:v>
      </x:c>
      <x:c r="G1276" s="47" t="n">
        <x:v>1272</x:v>
      </x:c>
      <x:c r="H1276" s="53" t="b">
        <x:v>1</x:v>
      </x:c>
      <x:c r="I1276" s="47" t="str">
        <x:v>4109905524</x:v>
      </x:c>
      <x:c r="J1276" s="47" t="n">
        <x:v>1506305</x:v>
      </x:c>
      <x:c r="K1276" s="53" t="b">
        <x:v>1</x:v>
      </x:c>
      <x:c r="L1276" s="53" t="b">
        <x:v>1</x:v>
      </x:c>
      <x:c r="M1276" s="53" t="b">
        <x:v>1</x:v>
      </x:c>
      <x:c r="N1276" s="53" t="b">
        <x:v>1</x:v>
      </x:c>
      <x:c r="O1276" s="53" t="b">
        <x:v>1</x:v>
      </x:c>
      <x:c r="P1276" s="47" t="n">
        <x:v>1011</x:v>
      </x:c>
      <x:c r="Q1276" s="47" t="n">
        <x:v>0</x:v>
      </x:c>
      <x:c r="R1276" s="47" t="n">
        <x:v>0</x:v>
      </x:c>
      <x:c r="S1276" s="47" t="n">
        <x:v>29.7</x:v>
      </x:c>
      <x:c r="T1276" s="47" t="n">
        <x:v>56.04</x:v>
      </x:c>
      <x:c r="U1276" s="47" t="n">
        <x:v>30.2</x:v>
      </x:c>
      <x:c r="V1276" s="47" t="n">
        <x:v>13.2</x:v>
      </x:c>
      <x:c r="W1276" s="47" t="n">
        <x:v>0</x:v>
      </x:c>
      <x:c r="X1276" s="47" t="n">
        <x:v>0</x:v>
      </x:c>
      <x:c r="Y1276" s="41" t="n">
        <x:v>0</x:v>
      </x:c>
    </x:row>
    <x:row r="1277">
      <x:c r="A1277" s="38" t="str">
        <x:v>7月30日现场数据</x:v>
      </x:c>
      <x:c r="B1277" s="66" t="str">
        <x:v>2026-08-03T23:48:02.152000</x:v>
      </x:c>
      <x:c r="C1277" s="47" t="n">
        <x:v>300972</x:v>
      </x:c>
      <x:c r="D1277" s="47" t="str"/>
      <x:c r="E1277" s="47" t="str"/>
      <x:c r="F1277" s="47" t="str">
        <x:v>current</x:v>
      </x:c>
      <x:c r="G1277" s="47" t="n">
        <x:v>1273</x:v>
      </x:c>
      <x:c r="H1277" s="53" t="b">
        <x:v>1</x:v>
      </x:c>
      <x:c r="I1277" s="47" t="str">
        <x:v>4109905524</x:v>
      </x:c>
      <x:c r="J1277" s="47" t="n">
        <x:v>1807277</x:v>
      </x:c>
      <x:c r="K1277" s="53" t="b">
        <x:v>1</x:v>
      </x:c>
      <x:c r="L1277" s="53" t="b">
        <x:v>1</x:v>
      </x:c>
      <x:c r="M1277" s="53" t="b">
        <x:v>1</x:v>
      </x:c>
      <x:c r="N1277" s="53" t="b">
        <x:v>1</x:v>
      </x:c>
      <x:c r="O1277" s="53" t="b">
        <x:v>1</x:v>
      </x:c>
      <x:c r="P1277" s="47" t="n">
        <x:v>1011</x:v>
      </x:c>
      <x:c r="Q1277" s="47" t="n">
        <x:v>0</x:v>
      </x:c>
      <x:c r="R1277" s="47" t="n">
        <x:v>0</x:v>
      </x:c>
      <x:c r="S1277" s="47" t="n">
        <x:v>29.69</x:v>
      </x:c>
      <x:c r="T1277" s="47" t="n">
        <x:v>56.17</x:v>
      </x:c>
      <x:c r="U1277" s="47" t="n">
        <x:v>30.1</x:v>
      </x:c>
      <x:c r="V1277" s="47" t="n">
        <x:v>13.3</x:v>
      </x:c>
      <x:c r="W1277" s="47" t="n">
        <x:v>0</x:v>
      </x:c>
      <x:c r="X1277" s="47" t="n">
        <x:v>0</x:v>
      </x:c>
      <x:c r="Y1277" s="41" t="n">
        <x:v>0</x:v>
      </x:c>
    </x:row>
    <x:row r="1278">
      <x:c r="A1278" s="38" t="str">
        <x:v>7月30日现场数据</x:v>
      </x:c>
      <x:c r="B1278" s="66" t="str">
        <x:v>2026-08-03T23:53:19.817000</x:v>
      </x:c>
      <x:c r="C1278" s="47" t="n">
        <x:v>317665</x:v>
      </x:c>
      <x:c r="D1278" s="47" t="str"/>
      <x:c r="E1278" s="47" t="str"/>
      <x:c r="F1278" s="47" t="str">
        <x:v>current</x:v>
      </x:c>
      <x:c r="G1278" s="47" t="n">
        <x:v>1274</x:v>
      </x:c>
      <x:c r="H1278" s="53" t="b">
        <x:v>1</x:v>
      </x:c>
      <x:c r="I1278" s="47" t="str">
        <x:v>4109905524</x:v>
      </x:c>
      <x:c r="J1278" s="47" t="n">
        <x:v>2124942</x:v>
      </x:c>
      <x:c r="K1278" s="53" t="b">
        <x:v>1</x:v>
      </x:c>
      <x:c r="L1278" s="53" t="b">
        <x:v>1</x:v>
      </x:c>
      <x:c r="M1278" s="53" t="b">
        <x:v>1</x:v>
      </x:c>
      <x:c r="N1278" s="53" t="b">
        <x:v>1</x:v>
      </x:c>
      <x:c r="O1278" s="53" t="b">
        <x:v>1</x:v>
      </x:c>
      <x:c r="P1278" s="47" t="n">
        <x:v>1011</x:v>
      </x:c>
      <x:c r="Q1278" s="47" t="n">
        <x:v>0</x:v>
      </x:c>
      <x:c r="R1278" s="47" t="n">
        <x:v>0</x:v>
      </x:c>
      <x:c r="S1278" s="47" t="n">
        <x:v>29.66</x:v>
      </x:c>
      <x:c r="T1278" s="47" t="n">
        <x:v>56.2</x:v>
      </x:c>
      <x:c r="U1278" s="47" t="n">
        <x:v>30.1</x:v>
      </x:c>
      <x:c r="V1278" s="47" t="n">
        <x:v>13.2</x:v>
      </x:c>
      <x:c r="W1278" s="47" t="n">
        <x:v>0</x:v>
      </x:c>
      <x:c r="X1278" s="47" t="n">
        <x:v>0</x:v>
      </x:c>
      <x:c r="Y1278" s="41" t="n">
        <x:v>0</x:v>
      </x:c>
    </x:row>
    <x:row r="1279">
      <x:c r="A1279" s="38" t="str">
        <x:v>7月30日现场数据</x:v>
      </x:c>
      <x:c r="B1279" s="66" t="str">
        <x:v>2026-08-03T23:58:20.794000</x:v>
      </x:c>
      <x:c r="C1279" s="47" t="n">
        <x:v>300977</x:v>
      </x:c>
      <x:c r="D1279" s="47" t="str"/>
      <x:c r="E1279" s="47" t="str"/>
      <x:c r="F1279" s="47" t="str">
        <x:v>current</x:v>
      </x:c>
      <x:c r="G1279" s="47" t="n">
        <x:v>1275</x:v>
      </x:c>
      <x:c r="H1279" s="53" t="b">
        <x:v>1</x:v>
      </x:c>
      <x:c r="I1279" s="47" t="str">
        <x:v>4109905524</x:v>
      </x:c>
      <x:c r="J1279" s="47" t="n">
        <x:v>2425919</x:v>
      </x:c>
      <x:c r="K1279" s="53" t="b">
        <x:v>1</x:v>
      </x:c>
      <x:c r="L1279" s="53" t="b">
        <x:v>1</x:v>
      </x:c>
      <x:c r="M1279" s="53" t="b">
        <x:v>1</x:v>
      </x:c>
      <x:c r="N1279" s="53" t="b">
        <x:v>1</x:v>
      </x:c>
      <x:c r="O1279" s="53" t="b">
        <x:v>1</x:v>
      </x:c>
      <x:c r="P1279" s="47" t="n">
        <x:v>1011</x:v>
      </x:c>
      <x:c r="Q1279" s="47" t="n">
        <x:v>0</x:v>
      </x:c>
      <x:c r="R1279" s="47" t="n">
        <x:v>0</x:v>
      </x:c>
      <x:c r="S1279" s="47" t="n">
        <x:v>29.65</x:v>
      </x:c>
      <x:c r="T1279" s="47" t="n">
        <x:v>56.34</x:v>
      </x:c>
      <x:c r="U1279" s="47" t="n">
        <x:v>30</x:v>
      </x:c>
      <x:c r="V1279" s="47" t="n">
        <x:v>13.2</x:v>
      </x:c>
      <x:c r="W1279" s="47" t="n">
        <x:v>0</x:v>
      </x:c>
      <x:c r="X1279" s="47" t="n">
        <x:v>0</x:v>
      </x:c>
      <x:c r="Y1279" s="41" t="n">
        <x:v>0</x:v>
      </x:c>
    </x:row>
    <x:row r="1280">
      <x:c r="A1280" s="38" t="str">
        <x:v>7月30日现场数据</x:v>
      </x:c>
      <x:c r="B1280" s="66" t="str">
        <x:v>2026-08-04T00:03:21.772000</x:v>
      </x:c>
      <x:c r="C1280" s="47" t="n">
        <x:v>300978</x:v>
      </x:c>
      <x:c r="D1280" s="47" t="str"/>
      <x:c r="E1280" s="47" t="str"/>
      <x:c r="F1280" s="47" t="str">
        <x:v>current</x:v>
      </x:c>
      <x:c r="G1280" s="47" t="n">
        <x:v>1276</x:v>
      </x:c>
      <x:c r="H1280" s="53" t="b">
        <x:v>1</x:v>
      </x:c>
      <x:c r="I1280" s="47" t="str">
        <x:v>4109905524</x:v>
      </x:c>
      <x:c r="J1280" s="47" t="n">
        <x:v>2726897</x:v>
      </x:c>
      <x:c r="K1280" s="53" t="b">
        <x:v>1</x:v>
      </x:c>
      <x:c r="L1280" s="53" t="b">
        <x:v>1</x:v>
      </x:c>
      <x:c r="M1280" s="53" t="b">
        <x:v>1</x:v>
      </x:c>
      <x:c r="N1280" s="53" t="b">
        <x:v>1</x:v>
      </x:c>
      <x:c r="O1280" s="53" t="b">
        <x:v>1</x:v>
      </x:c>
      <x:c r="P1280" s="47" t="n">
        <x:v>1011</x:v>
      </x:c>
      <x:c r="Q1280" s="47" t="n">
        <x:v>0</x:v>
      </x:c>
      <x:c r="R1280" s="47" t="n">
        <x:v>0</x:v>
      </x:c>
      <x:c r="S1280" s="47" t="n">
        <x:v>29.63</x:v>
      </x:c>
      <x:c r="T1280" s="47" t="n">
        <x:v>56.4</x:v>
      </x:c>
      <x:c r="U1280" s="47" t="n">
        <x:v>30</x:v>
      </x:c>
      <x:c r="V1280" s="47" t="n">
        <x:v>13.2</x:v>
      </x:c>
      <x:c r="W1280" s="47" t="n">
        <x:v>0</x:v>
      </x:c>
      <x:c r="X1280" s="47" t="n">
        <x:v>0</x:v>
      </x:c>
      <x:c r="Y1280" s="41" t="n">
        <x:v>0</x:v>
      </x:c>
    </x:row>
    <x:row r="1281">
      <x:c r="A1281" s="38" t="str">
        <x:v>7月30日现场数据</x:v>
      </x:c>
      <x:c r="B1281" s="66" t="str">
        <x:v>2026-08-04T00:08:22.753000</x:v>
      </x:c>
      <x:c r="C1281" s="47" t="n">
        <x:v>300981</x:v>
      </x:c>
      <x:c r="D1281" s="47" t="str"/>
      <x:c r="E1281" s="47" t="str"/>
      <x:c r="F1281" s="47" t="str">
        <x:v>current</x:v>
      </x:c>
      <x:c r="G1281" s="47" t="n">
        <x:v>1277</x:v>
      </x:c>
      <x:c r="H1281" s="53" t="b">
        <x:v>1</x:v>
      </x:c>
      <x:c r="I1281" s="47" t="str">
        <x:v>4109905524</x:v>
      </x:c>
      <x:c r="J1281" s="47" t="n">
        <x:v>3027878</x:v>
      </x:c>
      <x:c r="K1281" s="53" t="b">
        <x:v>1</x:v>
      </x:c>
      <x:c r="L1281" s="53" t="b">
        <x:v>1</x:v>
      </x:c>
      <x:c r="M1281" s="53" t="b">
        <x:v>1</x:v>
      </x:c>
      <x:c r="N1281" s="53" t="b">
        <x:v>1</x:v>
      </x:c>
      <x:c r="O1281" s="53" t="b">
        <x:v>1</x:v>
      </x:c>
      <x:c r="P1281" s="47" t="n">
        <x:v>1011</x:v>
      </x:c>
      <x:c r="Q1281" s="47" t="n">
        <x:v>0</x:v>
      </x:c>
      <x:c r="R1281" s="47" t="n">
        <x:v>0</x:v>
      </x:c>
      <x:c r="S1281" s="47" t="n">
        <x:v>29.6</x:v>
      </x:c>
      <x:c r="T1281" s="47" t="n">
        <x:v>56.54</x:v>
      </x:c>
      <x:c r="U1281" s="47" t="n">
        <x:v>30</x:v>
      </x:c>
      <x:c r="V1281" s="47" t="n">
        <x:v>13.2</x:v>
      </x:c>
      <x:c r="W1281" s="47" t="n">
        <x:v>0</x:v>
      </x:c>
      <x:c r="X1281" s="47" t="n">
        <x:v>0</x:v>
      </x:c>
      <x:c r="Y1281" s="41" t="n">
        <x:v>0</x:v>
      </x:c>
    </x:row>
    <x:row r="1282">
      <x:c r="A1282" s="38" t="str">
        <x:v>7月30日现场数据</x:v>
      </x:c>
      <x:c r="B1282" s="66" t="str">
        <x:v>2026-08-04T00:13:23.735000</x:v>
      </x:c>
      <x:c r="C1282" s="47" t="n">
        <x:v>300982</x:v>
      </x:c>
      <x:c r="D1282" s="47" t="str"/>
      <x:c r="E1282" s="47" t="str"/>
      <x:c r="F1282" s="47" t="str">
        <x:v>current</x:v>
      </x:c>
      <x:c r="G1282" s="47" t="n">
        <x:v>1278</x:v>
      </x:c>
      <x:c r="H1282" s="53" t="b">
        <x:v>1</x:v>
      </x:c>
      <x:c r="I1282" s="47" t="str">
        <x:v>4109905524</x:v>
      </x:c>
      <x:c r="J1282" s="47" t="n">
        <x:v>3328860</x:v>
      </x:c>
      <x:c r="K1282" s="53" t="b">
        <x:v>1</x:v>
      </x:c>
      <x:c r="L1282" s="53" t="b">
        <x:v>1</x:v>
      </x:c>
      <x:c r="M1282" s="53" t="b">
        <x:v>1</x:v>
      </x:c>
      <x:c r="N1282" s="53" t="b">
        <x:v>1</x:v>
      </x:c>
      <x:c r="O1282" s="53" t="b">
        <x:v>1</x:v>
      </x:c>
      <x:c r="P1282" s="47" t="n">
        <x:v>1011</x:v>
      </x:c>
      <x:c r="Q1282" s="47" t="n">
        <x:v>0</x:v>
      </x:c>
      <x:c r="R1282" s="47" t="n">
        <x:v>0</x:v>
      </x:c>
      <x:c r="S1282" s="47" t="n">
        <x:v>29.59</x:v>
      </x:c>
      <x:c r="T1282" s="47" t="n">
        <x:v>56.6</x:v>
      </x:c>
      <x:c r="U1282" s="47" t="n">
        <x:v>30</x:v>
      </x:c>
      <x:c r="V1282" s="47" t="n">
        <x:v>13.2</x:v>
      </x:c>
      <x:c r="W1282" s="47" t="n">
        <x:v>0</x:v>
      </x:c>
      <x:c r="X1282" s="47" t="n">
        <x:v>0</x:v>
      </x:c>
      <x:c r="Y1282" s="41" t="n">
        <x:v>0</x:v>
      </x:c>
    </x:row>
    <x:row r="1283">
      <x:c r="A1283" s="38" t="str">
        <x:v>7月30日现场数据</x:v>
      </x:c>
      <x:c r="B1283" s="66" t="str">
        <x:v>2026-08-04T00:18:24.718000</x:v>
      </x:c>
      <x:c r="C1283" s="47" t="n">
        <x:v>300983</x:v>
      </x:c>
      <x:c r="D1283" s="47" t="str"/>
      <x:c r="E1283" s="47" t="str"/>
      <x:c r="F1283" s="47" t="str">
        <x:v>current</x:v>
      </x:c>
      <x:c r="G1283" s="47" t="n">
        <x:v>1279</x:v>
      </x:c>
      <x:c r="H1283" s="53" t="b">
        <x:v>1</x:v>
      </x:c>
      <x:c r="I1283" s="47" t="str">
        <x:v>4109905524</x:v>
      </x:c>
      <x:c r="J1283" s="47" t="n">
        <x:v>3629843</x:v>
      </x:c>
      <x:c r="K1283" s="53" t="b">
        <x:v>1</x:v>
      </x:c>
      <x:c r="L1283" s="53" t="b">
        <x:v>1</x:v>
      </x:c>
      <x:c r="M1283" s="53" t="b">
        <x:v>1</x:v>
      </x:c>
      <x:c r="N1283" s="53" t="b">
        <x:v>1</x:v>
      </x:c>
      <x:c r="O1283" s="53" t="b">
        <x:v>1</x:v>
      </x:c>
      <x:c r="P1283" s="47" t="n">
        <x:v>1011</x:v>
      </x:c>
      <x:c r="Q1283" s="47" t="n">
        <x:v>0</x:v>
      </x:c>
      <x:c r="R1283" s="47" t="n">
        <x:v>0</x:v>
      </x:c>
      <x:c r="S1283" s="47" t="n">
        <x:v>29.58</x:v>
      </x:c>
      <x:c r="T1283" s="47" t="n">
        <x:v>56.68</x:v>
      </x:c>
      <x:c r="U1283" s="47" t="n">
        <x:v>30</x:v>
      </x:c>
      <x:c r="V1283" s="47" t="n">
        <x:v>13.2</x:v>
      </x:c>
      <x:c r="W1283" s="47" t="n">
        <x:v>0</x:v>
      </x:c>
      <x:c r="X1283" s="47" t="n">
        <x:v>0</x:v>
      </x:c>
      <x:c r="Y1283" s="41" t="n">
        <x:v>0</x:v>
      </x:c>
    </x:row>
    <x:row r="1284">
      <x:c r="A1284" s="38" t="str">
        <x:v>7月30日现场数据</x:v>
      </x:c>
      <x:c r="B1284" s="66" t="str">
        <x:v>2026-08-04T00:23:25.702000</x:v>
      </x:c>
      <x:c r="C1284" s="47" t="n">
        <x:v>300984</x:v>
      </x:c>
      <x:c r="D1284" s="47" t="str"/>
      <x:c r="E1284" s="47" t="str"/>
      <x:c r="F1284" s="47" t="str">
        <x:v>current</x:v>
      </x:c>
      <x:c r="G1284" s="47" t="n">
        <x:v>1280</x:v>
      </x:c>
      <x:c r="H1284" s="53" t="b">
        <x:v>1</x:v>
      </x:c>
      <x:c r="I1284" s="47" t="str">
        <x:v>4109905524</x:v>
      </x:c>
      <x:c r="J1284" s="47" t="n">
        <x:v>3930827</x:v>
      </x:c>
      <x:c r="K1284" s="53" t="b">
        <x:v>1</x:v>
      </x:c>
      <x:c r="L1284" s="53" t="b">
        <x:v>1</x:v>
      </x:c>
      <x:c r="M1284" s="53" t="b">
        <x:v>1</x:v>
      </x:c>
      <x:c r="N1284" s="53" t="b">
        <x:v>1</x:v>
      </x:c>
      <x:c r="O1284" s="53" t="b">
        <x:v>1</x:v>
      </x:c>
      <x:c r="P1284" s="47" t="n">
        <x:v>1011</x:v>
      </x:c>
      <x:c r="Q1284" s="47" t="n">
        <x:v>0</x:v>
      </x:c>
      <x:c r="R1284" s="47" t="n">
        <x:v>0</x:v>
      </x:c>
      <x:c r="S1284" s="47" t="n">
        <x:v>29.54</x:v>
      </x:c>
      <x:c r="T1284" s="47" t="n">
        <x:v>56.76</x:v>
      </x:c>
      <x:c r="U1284" s="47" t="n">
        <x:v>30</x:v>
      </x:c>
      <x:c r="V1284" s="47" t="n">
        <x:v>13.2</x:v>
      </x:c>
      <x:c r="W1284" s="47" t="n">
        <x:v>0</x:v>
      </x:c>
      <x:c r="X1284" s="47" t="n">
        <x:v>0</x:v>
      </x:c>
      <x:c r="Y1284" s="41" t="n">
        <x:v>0</x:v>
      </x:c>
    </x:row>
    <x:row r="1285">
      <x:c r="A1285" s="38" t="str">
        <x:v>7月30日现场数据</x:v>
      </x:c>
      <x:c r="B1285" s="66" t="str">
        <x:v>2026-08-04T00:28:26.688000</x:v>
      </x:c>
      <x:c r="C1285" s="47" t="n">
        <x:v>300986</x:v>
      </x:c>
      <x:c r="D1285" s="47" t="str"/>
      <x:c r="E1285" s="47" t="str"/>
      <x:c r="F1285" s="47" t="str">
        <x:v>current</x:v>
      </x:c>
      <x:c r="G1285" s="47" t="n">
        <x:v>1281</x:v>
      </x:c>
      <x:c r="H1285" s="53" t="b">
        <x:v>1</x:v>
      </x:c>
      <x:c r="I1285" s="47" t="str">
        <x:v>4109905524</x:v>
      </x:c>
      <x:c r="J1285" s="47" t="n">
        <x:v>4231813</x:v>
      </x:c>
      <x:c r="K1285" s="53" t="b">
        <x:v>1</x:v>
      </x:c>
      <x:c r="L1285" s="53" t="b">
        <x:v>1</x:v>
      </x:c>
      <x:c r="M1285" s="53" t="b">
        <x:v>1</x:v>
      </x:c>
      <x:c r="N1285" s="53" t="b">
        <x:v>1</x:v>
      </x:c>
      <x:c r="O1285" s="53" t="b">
        <x:v>1</x:v>
      </x:c>
      <x:c r="P1285" s="47" t="n">
        <x:v>1011</x:v>
      </x:c>
      <x:c r="Q1285" s="47" t="n">
        <x:v>0</x:v>
      </x:c>
      <x:c r="R1285" s="47" t="n">
        <x:v>0</x:v>
      </x:c>
      <x:c r="S1285" s="47" t="n">
        <x:v>29.54</x:v>
      </x:c>
      <x:c r="T1285" s="47" t="n">
        <x:v>56.9</x:v>
      </x:c>
      <x:c r="U1285" s="47" t="n">
        <x:v>30</x:v>
      </x:c>
      <x:c r="V1285" s="47" t="n">
        <x:v>13.1</x:v>
      </x:c>
      <x:c r="W1285" s="47" t="n">
        <x:v>0</x:v>
      </x:c>
      <x:c r="X1285" s="47" t="n">
        <x:v>0</x:v>
      </x:c>
      <x:c r="Y1285" s="41" t="n">
        <x:v>0</x:v>
      </x:c>
    </x:row>
    <x:row r="1286">
      <x:c r="A1286" s="38" t="str">
        <x:v>7月30日现场数据</x:v>
      </x:c>
      <x:c r="B1286" s="66" t="str">
        <x:v>2026-08-04T00:33:27.675000</x:v>
      </x:c>
      <x:c r="C1286" s="47" t="n">
        <x:v>300987</x:v>
      </x:c>
      <x:c r="D1286" s="47" t="str"/>
      <x:c r="E1286" s="47" t="str"/>
      <x:c r="F1286" s="47" t="str">
        <x:v>current</x:v>
      </x:c>
      <x:c r="G1286" s="47" t="n">
        <x:v>1282</x:v>
      </x:c>
      <x:c r="H1286" s="53" t="b">
        <x:v>1</x:v>
      </x:c>
      <x:c r="I1286" s="47" t="str">
        <x:v>4109905524</x:v>
      </x:c>
      <x:c r="J1286" s="47" t="n">
        <x:v>4532800</x:v>
      </x:c>
      <x:c r="K1286" s="53" t="b">
        <x:v>1</x:v>
      </x:c>
      <x:c r="L1286" s="53" t="b">
        <x:v>1</x:v>
      </x:c>
      <x:c r="M1286" s="53" t="b">
        <x:v>1</x:v>
      </x:c>
      <x:c r="N1286" s="53" t="b">
        <x:v>1</x:v>
      </x:c>
      <x:c r="O1286" s="53" t="b">
        <x:v>1</x:v>
      </x:c>
      <x:c r="P1286" s="47" t="n">
        <x:v>1011</x:v>
      </x:c>
      <x:c r="Q1286" s="47" t="n">
        <x:v>0</x:v>
      </x:c>
      <x:c r="R1286" s="47" t="n">
        <x:v>0</x:v>
      </x:c>
      <x:c r="S1286" s="47" t="n">
        <x:v>29.51</x:v>
      </x:c>
      <x:c r="T1286" s="47" t="n">
        <x:v>56.93</x:v>
      </x:c>
      <x:c r="U1286" s="47" t="n">
        <x:v>29.9</x:v>
      </x:c>
      <x:c r="V1286" s="47" t="n">
        <x:v>13.1</x:v>
      </x:c>
      <x:c r="W1286" s="47" t="n">
        <x:v>0</x:v>
      </x:c>
      <x:c r="X1286" s="47" t="n">
        <x:v>0</x:v>
      </x:c>
      <x:c r="Y1286" s="41" t="n">
        <x:v>0</x:v>
      </x:c>
    </x:row>
    <x:row r="1287">
      <x:c r="A1287" s="38" t="str">
        <x:v>7月30日现场数据</x:v>
      </x:c>
      <x:c r="B1287" s="66" t="str">
        <x:v>2026-08-04T00:38:28.680000</x:v>
      </x:c>
      <x:c r="C1287" s="47" t="n">
        <x:v>301005</x:v>
      </x:c>
      <x:c r="D1287" s="47" t="str"/>
      <x:c r="E1287" s="47" t="str"/>
      <x:c r="F1287" s="47" t="str">
        <x:v>current</x:v>
      </x:c>
      <x:c r="G1287" s="47" t="n">
        <x:v>1283</x:v>
      </x:c>
      <x:c r="H1287" s="53" t="b">
        <x:v>1</x:v>
      </x:c>
      <x:c r="I1287" s="47" t="str">
        <x:v>4109905524</x:v>
      </x:c>
      <x:c r="J1287" s="47" t="n">
        <x:v>4833805</x:v>
      </x:c>
      <x:c r="K1287" s="53" t="b">
        <x:v>1</x:v>
      </x:c>
      <x:c r="L1287" s="53" t="b">
        <x:v>1</x:v>
      </x:c>
      <x:c r="M1287" s="53" t="b">
        <x:v>1</x:v>
      </x:c>
      <x:c r="N1287" s="53" t="b">
        <x:v>1</x:v>
      </x:c>
      <x:c r="O1287" s="53" t="b">
        <x:v>1</x:v>
      </x:c>
      <x:c r="P1287" s="47" t="n">
        <x:v>1011</x:v>
      </x:c>
      <x:c r="Q1287" s="47" t="n">
        <x:v>0</x:v>
      </x:c>
      <x:c r="R1287" s="47" t="n">
        <x:v>0</x:v>
      </x:c>
      <x:c r="S1287" s="47" t="n">
        <x:v>29.51</x:v>
      </x:c>
      <x:c r="T1287" s="47" t="n">
        <x:v>57.03</x:v>
      </x:c>
      <x:c r="U1287" s="47" t="n">
        <x:v>29.9</x:v>
      </x:c>
      <x:c r="V1287" s="47" t="n">
        <x:v>13.1</x:v>
      </x:c>
      <x:c r="W1287" s="47" t="n">
        <x:v>0</x:v>
      </x:c>
      <x:c r="X1287" s="47" t="n">
        <x:v>0</x:v>
      </x:c>
      <x:c r="Y1287" s="41" t="n">
        <x:v>0</x:v>
      </x:c>
    </x:row>
    <x:row r="1288">
      <x:c r="A1288" s="38" t="str">
        <x:v>7月30日现场数据</x:v>
      </x:c>
      <x:c r="B1288" s="66" t="str">
        <x:v>2026-08-04T00:43:29.660000</x:v>
      </x:c>
      <x:c r="C1288" s="47" t="n">
        <x:v>300980</x:v>
      </x:c>
      <x:c r="D1288" s="47" t="str"/>
      <x:c r="E1288" s="47" t="str"/>
      <x:c r="F1288" s="47" t="str">
        <x:v>current</x:v>
      </x:c>
      <x:c r="G1288" s="47" t="n">
        <x:v>1284</x:v>
      </x:c>
      <x:c r="H1288" s="53" t="b">
        <x:v>1</x:v>
      </x:c>
      <x:c r="I1288" s="47" t="str">
        <x:v>4109905524</x:v>
      </x:c>
      <x:c r="J1288" s="47" t="n">
        <x:v>5134785</x:v>
      </x:c>
      <x:c r="K1288" s="53" t="b">
        <x:v>1</x:v>
      </x:c>
      <x:c r="L1288" s="53" t="b">
        <x:v>1</x:v>
      </x:c>
      <x:c r="M1288" s="53" t="b">
        <x:v>1</x:v>
      </x:c>
      <x:c r="N1288" s="53" t="b">
        <x:v>1</x:v>
      </x:c>
      <x:c r="O1288" s="53" t="b">
        <x:v>1</x:v>
      </x:c>
      <x:c r="P1288" s="47" t="n">
        <x:v>1011</x:v>
      </x:c>
      <x:c r="Q1288" s="47" t="n">
        <x:v>0</x:v>
      </x:c>
      <x:c r="R1288" s="47" t="n">
        <x:v>0</x:v>
      </x:c>
      <x:c r="S1288" s="47" t="n">
        <x:v>29.44</x:v>
      </x:c>
      <x:c r="T1288" s="47" t="n">
        <x:v>57.12</x:v>
      </x:c>
      <x:c r="U1288" s="47" t="n">
        <x:v>29.9</x:v>
      </x:c>
      <x:c r="V1288" s="47" t="n">
        <x:v>13.1</x:v>
      </x:c>
      <x:c r="W1288" s="47" t="n">
        <x:v>0</x:v>
      </x:c>
      <x:c r="X1288" s="47" t="n">
        <x:v>0</x:v>
      </x:c>
      <x:c r="Y1288" s="41" t="n">
        <x:v>0</x:v>
      </x:c>
    </x:row>
    <x:row r="1289">
      <x:c r="A1289" s="38" t="str">
        <x:v>7月30日现场数据</x:v>
      </x:c>
      <x:c r="B1289" s="66" t="str">
        <x:v>2026-08-04T00:48:30.639000</x:v>
      </x:c>
      <x:c r="C1289" s="47" t="n">
        <x:v>300979</x:v>
      </x:c>
      <x:c r="D1289" s="47" t="str"/>
      <x:c r="E1289" s="47" t="str"/>
      <x:c r="F1289" s="47" t="str">
        <x:v>current</x:v>
      </x:c>
      <x:c r="G1289" s="47" t="n">
        <x:v>1285</x:v>
      </x:c>
      <x:c r="H1289" s="53" t="b">
        <x:v>1</x:v>
      </x:c>
      <x:c r="I1289" s="47" t="str">
        <x:v>4109905524</x:v>
      </x:c>
      <x:c r="J1289" s="47" t="n">
        <x:v>5435764</x:v>
      </x:c>
      <x:c r="K1289" s="53" t="b">
        <x:v>1</x:v>
      </x:c>
      <x:c r="L1289" s="53" t="b">
        <x:v>1</x:v>
      </x:c>
      <x:c r="M1289" s="53" t="b">
        <x:v>1</x:v>
      </x:c>
      <x:c r="N1289" s="53" t="b">
        <x:v>1</x:v>
      </x:c>
      <x:c r="O1289" s="53" t="b">
        <x:v>1</x:v>
      </x:c>
      <x:c r="P1289" s="47" t="n">
        <x:v>1011</x:v>
      </x:c>
      <x:c r="Q1289" s="47" t="n">
        <x:v>0</x:v>
      </x:c>
      <x:c r="R1289" s="47" t="n">
        <x:v>0</x:v>
      </x:c>
      <x:c r="S1289" s="47" t="n">
        <x:v>29.44</x:v>
      </x:c>
      <x:c r="T1289" s="47" t="n">
        <x:v>57.22</x:v>
      </x:c>
      <x:c r="U1289" s="47" t="n">
        <x:v>30</x:v>
      </x:c>
      <x:c r="V1289" s="47" t="n">
        <x:v>13.1</x:v>
      </x:c>
      <x:c r="W1289" s="47" t="n">
        <x:v>0</x:v>
      </x:c>
      <x:c r="X1289" s="47" t="n">
        <x:v>0</x:v>
      </x:c>
      <x:c r="Y1289" s="41" t="n">
        <x:v>0</x:v>
      </x:c>
    </x:row>
    <x:row r="1290">
      <x:c r="A1290" s="38" t="str">
        <x:v>7月30日现场数据</x:v>
      </x:c>
      <x:c r="B1290" s="66" t="str">
        <x:v>2026-08-04T00:53:31.655000</x:v>
      </x:c>
      <x:c r="C1290" s="47" t="n">
        <x:v>301016</x:v>
      </x:c>
      <x:c r="D1290" s="47" t="str"/>
      <x:c r="E1290" s="47" t="str"/>
      <x:c r="F1290" s="47" t="str">
        <x:v>current</x:v>
      </x:c>
      <x:c r="G1290" s="47" t="n">
        <x:v>1286</x:v>
      </x:c>
      <x:c r="H1290" s="53" t="b">
        <x:v>1</x:v>
      </x:c>
      <x:c r="I1290" s="47" t="str">
        <x:v>4109905524</x:v>
      </x:c>
      <x:c r="J1290" s="47" t="n">
        <x:v>5736780</x:v>
      </x:c>
      <x:c r="K1290" s="53" t="b">
        <x:v>1</x:v>
      </x:c>
      <x:c r="L1290" s="53" t="b">
        <x:v>1</x:v>
      </x:c>
      <x:c r="M1290" s="53" t="b">
        <x:v>1</x:v>
      </x:c>
      <x:c r="N1290" s="53" t="b">
        <x:v>1</x:v>
      </x:c>
      <x:c r="O1290" s="53" t="b">
        <x:v>1</x:v>
      </x:c>
      <x:c r="P1290" s="47" t="n">
        <x:v>1011</x:v>
      </x:c>
      <x:c r="Q1290" s="47" t="n">
        <x:v>0</x:v>
      </x:c>
      <x:c r="R1290" s="47" t="n">
        <x:v>0</x:v>
      </x:c>
      <x:c r="S1290" s="47" t="n">
        <x:v>29.39</x:v>
      </x:c>
      <x:c r="T1290" s="47" t="n">
        <x:v>57.3</x:v>
      </x:c>
      <x:c r="U1290" s="47" t="n">
        <x:v>30</x:v>
      </x:c>
      <x:c r="V1290" s="47" t="n">
        <x:v>13</x:v>
      </x:c>
      <x:c r="W1290" s="47" t="n">
        <x:v>0</x:v>
      </x:c>
      <x:c r="X1290" s="47" t="n">
        <x:v>0</x:v>
      </x:c>
      <x:c r="Y1290" s="41" t="n">
        <x:v>0</x:v>
      </x:c>
    </x:row>
    <x:row r="1291">
      <x:c r="A1291" s="38" t="str">
        <x:v>7月30日现场数据</x:v>
      </x:c>
      <x:c r="B1291" s="66" t="str">
        <x:v>2026-08-04T00:58:32.610000</x:v>
      </x:c>
      <x:c r="C1291" s="47" t="n">
        <x:v>300955</x:v>
      </x:c>
      <x:c r="D1291" s="47" t="str"/>
      <x:c r="E1291" s="47" t="str"/>
      <x:c r="F1291" s="47" t="str">
        <x:v>current</x:v>
      </x:c>
      <x:c r="G1291" s="47" t="n">
        <x:v>1287</x:v>
      </x:c>
      <x:c r="H1291" s="53" t="b">
        <x:v>1</x:v>
      </x:c>
      <x:c r="I1291" s="47" t="str">
        <x:v>4109905524</x:v>
      </x:c>
      <x:c r="J1291" s="47" t="n">
        <x:v>6037735</x:v>
      </x:c>
      <x:c r="K1291" s="53" t="b">
        <x:v>1</x:v>
      </x:c>
      <x:c r="L1291" s="53" t="b">
        <x:v>1</x:v>
      </x:c>
      <x:c r="M1291" s="53" t="b">
        <x:v>1</x:v>
      </x:c>
      <x:c r="N1291" s="53" t="b">
        <x:v>1</x:v>
      </x:c>
      <x:c r="O1291" s="53" t="b">
        <x:v>1</x:v>
      </x:c>
      <x:c r="P1291" s="47" t="n">
        <x:v>1011</x:v>
      </x:c>
      <x:c r="Q1291" s="47" t="n">
        <x:v>0</x:v>
      </x:c>
      <x:c r="R1291" s="47" t="n">
        <x:v>0</x:v>
      </x:c>
      <x:c r="S1291" s="47" t="n">
        <x:v>29.37</x:v>
      </x:c>
      <x:c r="T1291" s="47" t="n">
        <x:v>57.42</x:v>
      </x:c>
      <x:c r="U1291" s="47" t="n">
        <x:v>29.9</x:v>
      </x:c>
      <x:c r="V1291" s="47" t="n">
        <x:v>13.1</x:v>
      </x:c>
      <x:c r="W1291" s="47" t="n">
        <x:v>0</x:v>
      </x:c>
      <x:c r="X1291" s="47" t="n">
        <x:v>0</x:v>
      </x:c>
      <x:c r="Y1291" s="41" t="n">
        <x:v>0</x:v>
      </x:c>
    </x:row>
    <x:row r="1292">
      <x:c r="A1292" s="38" t="str">
        <x:v>7月30日现场数据</x:v>
      </x:c>
      <x:c r="B1292" s="66" t="str">
        <x:v>2026-08-04T01:03:33.570000</x:v>
      </x:c>
      <x:c r="C1292" s="47" t="n">
        <x:v>300960</x:v>
      </x:c>
      <x:c r="D1292" s="47" t="str"/>
      <x:c r="E1292" s="47" t="str"/>
      <x:c r="F1292" s="47" t="str">
        <x:v>current</x:v>
      </x:c>
      <x:c r="G1292" s="47" t="n">
        <x:v>1288</x:v>
      </x:c>
      <x:c r="H1292" s="53" t="b">
        <x:v>1</x:v>
      </x:c>
      <x:c r="I1292" s="47" t="str">
        <x:v>4109905524</x:v>
      </x:c>
      <x:c r="J1292" s="47" t="n">
        <x:v>6338695</x:v>
      </x:c>
      <x:c r="K1292" s="53" t="b">
        <x:v>1</x:v>
      </x:c>
      <x:c r="L1292" s="53" t="b">
        <x:v>1</x:v>
      </x:c>
      <x:c r="M1292" s="53" t="b">
        <x:v>1</x:v>
      </x:c>
      <x:c r="N1292" s="53" t="b">
        <x:v>1</x:v>
      </x:c>
      <x:c r="O1292" s="53" t="b">
        <x:v>1</x:v>
      </x:c>
      <x:c r="P1292" s="47" t="n">
        <x:v>1011</x:v>
      </x:c>
      <x:c r="Q1292" s="47" t="n">
        <x:v>0</x:v>
      </x:c>
      <x:c r="R1292" s="47" t="n">
        <x:v>0</x:v>
      </x:c>
      <x:c r="S1292" s="47" t="n">
        <x:v>29.35</x:v>
      </x:c>
      <x:c r="T1292" s="47" t="n">
        <x:v>57.48</x:v>
      </x:c>
      <x:c r="U1292" s="47" t="n">
        <x:v>29.9</x:v>
      </x:c>
      <x:c r="V1292" s="47" t="n">
        <x:v>13.1</x:v>
      </x:c>
      <x:c r="W1292" s="47" t="n">
        <x:v>0</x:v>
      </x:c>
      <x:c r="X1292" s="47" t="n">
        <x:v>0</x:v>
      </x:c>
      <x:c r="Y1292" s="41" t="n">
        <x:v>0</x:v>
      </x:c>
    </x:row>
    <x:row r="1293">
      <x:c r="A1293" s="38" t="str">
        <x:v>7月30日现场数据</x:v>
      </x:c>
      <x:c r="B1293" s="66" t="str">
        <x:v>2026-08-04T01:08:34.530000</x:v>
      </x:c>
      <x:c r="C1293" s="47" t="n">
        <x:v>300960</x:v>
      </x:c>
      <x:c r="D1293" s="47" t="str"/>
      <x:c r="E1293" s="47" t="str"/>
      <x:c r="F1293" s="47" t="str">
        <x:v>current</x:v>
      </x:c>
      <x:c r="G1293" s="47" t="n">
        <x:v>1289</x:v>
      </x:c>
      <x:c r="H1293" s="53" t="b">
        <x:v>1</x:v>
      </x:c>
      <x:c r="I1293" s="47" t="str">
        <x:v>4109905524</x:v>
      </x:c>
      <x:c r="J1293" s="47" t="n">
        <x:v>6639655</x:v>
      </x:c>
      <x:c r="K1293" s="53" t="b">
        <x:v>1</x:v>
      </x:c>
      <x:c r="L1293" s="53" t="b">
        <x:v>1</x:v>
      </x:c>
      <x:c r="M1293" s="53" t="b">
        <x:v>1</x:v>
      </x:c>
      <x:c r="N1293" s="53" t="b">
        <x:v>1</x:v>
      </x:c>
      <x:c r="O1293" s="53" t="b">
        <x:v>1</x:v>
      </x:c>
      <x:c r="P1293" s="47" t="n">
        <x:v>1011</x:v>
      </x:c>
      <x:c r="Q1293" s="47" t="n">
        <x:v>0</x:v>
      </x:c>
      <x:c r="R1293" s="47" t="n">
        <x:v>0</x:v>
      </x:c>
      <x:c r="S1293" s="47" t="n">
        <x:v>29.33</x:v>
      </x:c>
      <x:c r="T1293" s="47" t="n">
        <x:v>57.58</x:v>
      </x:c>
      <x:c r="U1293" s="47" t="n">
        <x:v>29.9</x:v>
      </x:c>
      <x:c r="V1293" s="47" t="n">
        <x:v>13.1</x:v>
      </x:c>
      <x:c r="W1293" s="47" t="n">
        <x:v>0</x:v>
      </x:c>
      <x:c r="X1293" s="47" t="n">
        <x:v>0</x:v>
      </x:c>
      <x:c r="Y1293" s="41" t="n">
        <x:v>0</x:v>
      </x:c>
    </x:row>
    <x:row r="1294">
      <x:c r="A1294" s="38" t="str">
        <x:v>7月30日现场数据</x:v>
      </x:c>
      <x:c r="B1294" s="66" t="str">
        <x:v>2026-08-04T01:13:35.491000</x:v>
      </x:c>
      <x:c r="C1294" s="47" t="n">
        <x:v>300961</x:v>
      </x:c>
      <x:c r="D1294" s="47" t="str"/>
      <x:c r="E1294" s="47" t="str"/>
      <x:c r="F1294" s="47" t="str">
        <x:v>current</x:v>
      </x:c>
      <x:c r="G1294" s="47" t="n">
        <x:v>1290</x:v>
      </x:c>
      <x:c r="H1294" s="53" t="b">
        <x:v>1</x:v>
      </x:c>
      <x:c r="I1294" s="47" t="str">
        <x:v>4109905524</x:v>
      </x:c>
      <x:c r="J1294" s="47" t="n">
        <x:v>6940616</x:v>
      </x:c>
      <x:c r="K1294" s="53" t="b">
        <x:v>1</x:v>
      </x:c>
      <x:c r="L1294" s="53" t="b">
        <x:v>1</x:v>
      </x:c>
      <x:c r="M1294" s="53" t="b">
        <x:v>1</x:v>
      </x:c>
      <x:c r="N1294" s="53" t="b">
        <x:v>1</x:v>
      </x:c>
      <x:c r="O1294" s="53" t="b">
        <x:v>1</x:v>
      </x:c>
      <x:c r="P1294" s="47" t="n">
        <x:v>1011</x:v>
      </x:c>
      <x:c r="Q1294" s="47" t="n">
        <x:v>0</x:v>
      </x:c>
      <x:c r="R1294" s="47" t="n">
        <x:v>0</x:v>
      </x:c>
      <x:c r="S1294" s="47" t="n">
        <x:v>29.3</x:v>
      </x:c>
      <x:c r="T1294" s="47" t="n">
        <x:v>57.62</x:v>
      </x:c>
      <x:c r="U1294" s="47" t="n">
        <x:v>29.9</x:v>
      </x:c>
      <x:c r="V1294" s="47" t="n">
        <x:v>13.1</x:v>
      </x:c>
      <x:c r="W1294" s="47" t="n">
        <x:v>0</x:v>
      </x:c>
      <x:c r="X1294" s="47" t="n">
        <x:v>0</x:v>
      </x:c>
      <x:c r="Y1294" s="41" t="n">
        <x:v>0</x:v>
      </x:c>
    </x:row>
    <x:row r="1295">
      <x:c r="A1295" s="38" t="str">
        <x:v>7月30日现场数据</x:v>
      </x:c>
      <x:c r="B1295" s="66" t="str">
        <x:v>2026-08-04T01:18:36.454000</x:v>
      </x:c>
      <x:c r="C1295" s="47" t="n">
        <x:v>300963</x:v>
      </x:c>
      <x:c r="D1295" s="47" t="str"/>
      <x:c r="E1295" s="47" t="str"/>
      <x:c r="F1295" s="47" t="str">
        <x:v>current</x:v>
      </x:c>
      <x:c r="G1295" s="47" t="n">
        <x:v>1291</x:v>
      </x:c>
      <x:c r="H1295" s="53" t="b">
        <x:v>1</x:v>
      </x:c>
      <x:c r="I1295" s="47" t="str">
        <x:v>4109905524</x:v>
      </x:c>
      <x:c r="J1295" s="47" t="n">
        <x:v>7241579</x:v>
      </x:c>
      <x:c r="K1295" s="53" t="b">
        <x:v>1</x:v>
      </x:c>
      <x:c r="L1295" s="53" t="b">
        <x:v>1</x:v>
      </x:c>
      <x:c r="M1295" s="53" t="b">
        <x:v>1</x:v>
      </x:c>
      <x:c r="N1295" s="53" t="b">
        <x:v>1</x:v>
      </x:c>
      <x:c r="O1295" s="53" t="b">
        <x:v>1</x:v>
      </x:c>
      <x:c r="P1295" s="47" t="n">
        <x:v>1011</x:v>
      </x:c>
      <x:c r="Q1295" s="47" t="n">
        <x:v>0</x:v>
      </x:c>
      <x:c r="R1295" s="47" t="n">
        <x:v>0</x:v>
      </x:c>
      <x:c r="S1295" s="47" t="n">
        <x:v>29.28</x:v>
      </x:c>
      <x:c r="T1295" s="47" t="n">
        <x:v>57.75</x:v>
      </x:c>
      <x:c r="U1295" s="47" t="n">
        <x:v>29.9</x:v>
      </x:c>
      <x:c r="V1295" s="47" t="n">
        <x:v>13.1</x:v>
      </x:c>
      <x:c r="W1295" s="47" t="n">
        <x:v>0</x:v>
      </x:c>
      <x:c r="X1295" s="47" t="n">
        <x:v>0</x:v>
      </x:c>
      <x:c r="Y1295" s="41" t="n">
        <x:v>0</x:v>
      </x:c>
    </x:row>
    <x:row r="1296">
      <x:c r="A1296" s="38" t="str">
        <x:v>7月30日现场数据</x:v>
      </x:c>
      <x:c r="B1296" s="66" t="str">
        <x:v>2026-08-04T01:23:37.420000</x:v>
      </x:c>
      <x:c r="C1296" s="47" t="n">
        <x:v>300966</x:v>
      </x:c>
      <x:c r="D1296" s="47" t="str"/>
      <x:c r="E1296" s="47" t="str"/>
      <x:c r="F1296" s="47" t="str">
        <x:v>current</x:v>
      </x:c>
      <x:c r="G1296" s="47" t="n">
        <x:v>1292</x:v>
      </x:c>
      <x:c r="H1296" s="53" t="b">
        <x:v>1</x:v>
      </x:c>
      <x:c r="I1296" s="47" t="str">
        <x:v>4109905524</x:v>
      </x:c>
      <x:c r="J1296" s="47" t="n">
        <x:v>7542545</x:v>
      </x:c>
      <x:c r="K1296" s="53" t="b">
        <x:v>1</x:v>
      </x:c>
      <x:c r="L1296" s="53" t="b">
        <x:v>1</x:v>
      </x:c>
      <x:c r="M1296" s="53" t="b">
        <x:v>1</x:v>
      </x:c>
      <x:c r="N1296" s="53" t="b">
        <x:v>1</x:v>
      </x:c>
      <x:c r="O1296" s="53" t="b">
        <x:v>1</x:v>
      </x:c>
      <x:c r="P1296" s="47" t="n">
        <x:v>1011</x:v>
      </x:c>
      <x:c r="Q1296" s="47" t="n">
        <x:v>0</x:v>
      </x:c>
      <x:c r="R1296" s="47" t="n">
        <x:v>0</x:v>
      </x:c>
      <x:c r="S1296" s="47" t="n">
        <x:v>29.24</x:v>
      </x:c>
      <x:c r="T1296" s="47" t="n">
        <x:v>57.8</x:v>
      </x:c>
      <x:c r="U1296" s="47" t="n">
        <x:v>29.9</x:v>
      </x:c>
      <x:c r="V1296" s="47" t="n">
        <x:v>13</x:v>
      </x:c>
      <x:c r="W1296" s="47" t="n">
        <x:v>0</x:v>
      </x:c>
      <x:c r="X1296" s="47" t="n">
        <x:v>0</x:v>
      </x:c>
      <x:c r="Y1296" s="41" t="n">
        <x:v>0</x:v>
      </x:c>
    </x:row>
    <x:row r="1297">
      <x:c r="A1297" s="38" t="str">
        <x:v>7月30日现场数据</x:v>
      </x:c>
      <x:c r="B1297" s="66" t="str">
        <x:v>2026-08-04T01:28:38.387000</x:v>
      </x:c>
      <x:c r="C1297" s="47" t="n">
        <x:v>300967</x:v>
      </x:c>
      <x:c r="D1297" s="47" t="str"/>
      <x:c r="E1297" s="47" t="str"/>
      <x:c r="F1297" s="47" t="str">
        <x:v>current</x:v>
      </x:c>
      <x:c r="G1297" s="47" t="n">
        <x:v>1293</x:v>
      </x:c>
      <x:c r="H1297" s="53" t="b">
        <x:v>1</x:v>
      </x:c>
      <x:c r="I1297" s="47" t="str">
        <x:v>4109905524</x:v>
      </x:c>
      <x:c r="J1297" s="47" t="n">
        <x:v>7843512</x:v>
      </x:c>
      <x:c r="K1297" s="53" t="b">
        <x:v>1</x:v>
      </x:c>
      <x:c r="L1297" s="53" t="b">
        <x:v>1</x:v>
      </x:c>
      <x:c r="M1297" s="53" t="b">
        <x:v>1</x:v>
      </x:c>
      <x:c r="N1297" s="53" t="b">
        <x:v>1</x:v>
      </x:c>
      <x:c r="O1297" s="53" t="b">
        <x:v>1</x:v>
      </x:c>
      <x:c r="P1297" s="47" t="n">
        <x:v>1011</x:v>
      </x:c>
      <x:c r="Q1297" s="47" t="n">
        <x:v>0</x:v>
      </x:c>
      <x:c r="R1297" s="47" t="n">
        <x:v>0</x:v>
      </x:c>
      <x:c r="S1297" s="47" t="n">
        <x:v>29.22</x:v>
      </x:c>
      <x:c r="T1297" s="47" t="n">
        <x:v>57.95</x:v>
      </x:c>
      <x:c r="U1297" s="47" t="n">
        <x:v>29.9</x:v>
      </x:c>
      <x:c r="V1297" s="47" t="n">
        <x:v>13</x:v>
      </x:c>
      <x:c r="W1297" s="47" t="n">
        <x:v>0</x:v>
      </x:c>
      <x:c r="X1297" s="47" t="n">
        <x:v>0</x:v>
      </x:c>
      <x:c r="Y1297" s="41" t="n">
        <x:v>0</x:v>
      </x:c>
    </x:row>
    <x:row r="1298">
      <x:c r="A1298" s="38" t="str">
        <x:v>7月30日现场数据</x:v>
      </x:c>
      <x:c r="B1298" s="66" t="str">
        <x:v>2026-08-04T01:33:39.357000</x:v>
      </x:c>
      <x:c r="C1298" s="47" t="n">
        <x:v>300970</x:v>
      </x:c>
      <x:c r="D1298" s="47" t="str"/>
      <x:c r="E1298" s="47" t="str"/>
      <x:c r="F1298" s="47" t="str">
        <x:v>current</x:v>
      </x:c>
      <x:c r="G1298" s="47" t="n">
        <x:v>1294</x:v>
      </x:c>
      <x:c r="H1298" s="53" t="b">
        <x:v>1</x:v>
      </x:c>
      <x:c r="I1298" s="47" t="str">
        <x:v>4109905524</x:v>
      </x:c>
      <x:c r="J1298" s="47" t="n">
        <x:v>8144482</x:v>
      </x:c>
      <x:c r="K1298" s="53" t="b">
        <x:v>1</x:v>
      </x:c>
      <x:c r="L1298" s="53" t="b">
        <x:v>1</x:v>
      </x:c>
      <x:c r="M1298" s="53" t="b">
        <x:v>1</x:v>
      </x:c>
      <x:c r="N1298" s="53" t="b">
        <x:v>1</x:v>
      </x:c>
      <x:c r="O1298" s="53" t="b">
        <x:v>1</x:v>
      </x:c>
      <x:c r="P1298" s="47" t="n">
        <x:v>1011</x:v>
      </x:c>
      <x:c r="Q1298" s="47" t="n">
        <x:v>0</x:v>
      </x:c>
      <x:c r="R1298" s="47" t="n">
        <x:v>0</x:v>
      </x:c>
      <x:c r="S1298" s="47" t="n">
        <x:v>29.17</x:v>
      </x:c>
      <x:c r="T1298" s="47" t="n">
        <x:v>58.08</x:v>
      </x:c>
      <x:c r="U1298" s="47" t="n">
        <x:v>29.9</x:v>
      </x:c>
      <x:c r="V1298" s="47" t="n">
        <x:v>13.1</x:v>
      </x:c>
      <x:c r="W1298" s="47" t="n">
        <x:v>0</x:v>
      </x:c>
      <x:c r="X1298" s="47" t="n">
        <x:v>0</x:v>
      </x:c>
      <x:c r="Y1298" s="41" t="n">
        <x:v>0</x:v>
      </x:c>
    </x:row>
    <x:row r="1299">
      <x:c r="A1299" s="38" t="str">
        <x:v>7月30日现场数据</x:v>
      </x:c>
      <x:c r="B1299" s="66" t="str">
        <x:v>2026-08-04T01:38:40.329000</x:v>
      </x:c>
      <x:c r="C1299" s="47" t="n">
        <x:v>300972</x:v>
      </x:c>
      <x:c r="D1299" s="47" t="str"/>
      <x:c r="E1299" s="47" t="str"/>
      <x:c r="F1299" s="47" t="str">
        <x:v>current</x:v>
      </x:c>
      <x:c r="G1299" s="47" t="n">
        <x:v>1295</x:v>
      </x:c>
      <x:c r="H1299" s="53" t="b">
        <x:v>1</x:v>
      </x:c>
      <x:c r="I1299" s="47" t="str">
        <x:v>4109905524</x:v>
      </x:c>
      <x:c r="J1299" s="47" t="n">
        <x:v>8445454</x:v>
      </x:c>
      <x:c r="K1299" s="53" t="b">
        <x:v>1</x:v>
      </x:c>
      <x:c r="L1299" s="53" t="b">
        <x:v>1</x:v>
      </x:c>
      <x:c r="M1299" s="53" t="b">
        <x:v>1</x:v>
      </x:c>
      <x:c r="N1299" s="53" t="b">
        <x:v>1</x:v>
      </x:c>
      <x:c r="O1299" s="53" t="b">
        <x:v>1</x:v>
      </x:c>
      <x:c r="P1299" s="47" t="n">
        <x:v>1011</x:v>
      </x:c>
      <x:c r="Q1299" s="47" t="n">
        <x:v>0</x:v>
      </x:c>
      <x:c r="R1299" s="47" t="n">
        <x:v>0</x:v>
      </x:c>
      <x:c r="S1299" s="47" t="n">
        <x:v>29.19</x:v>
      </x:c>
      <x:c r="T1299" s="47" t="n">
        <x:v>58.17</x:v>
      </x:c>
      <x:c r="U1299" s="47" t="n">
        <x:v>29.9</x:v>
      </x:c>
      <x:c r="V1299" s="47" t="n">
        <x:v>13.1</x:v>
      </x:c>
      <x:c r="W1299" s="47" t="n">
        <x:v>0</x:v>
      </x:c>
      <x:c r="X1299" s="47" t="n">
        <x:v>0</x:v>
      </x:c>
      <x:c r="Y1299" s="41" t="n">
        <x:v>0</x:v>
      </x:c>
    </x:row>
    <x:row r="1300">
      <x:c r="A1300" s="38" t="str">
        <x:v>7月30日现场数据</x:v>
      </x:c>
      <x:c r="B1300" s="66" t="str">
        <x:v>2026-08-04T01:43:41.305000</x:v>
      </x:c>
      <x:c r="C1300" s="47" t="n">
        <x:v>300976</x:v>
      </x:c>
      <x:c r="D1300" s="47" t="str"/>
      <x:c r="E1300" s="47" t="str"/>
      <x:c r="F1300" s="47" t="str">
        <x:v>current</x:v>
      </x:c>
      <x:c r="G1300" s="47" t="n">
        <x:v>1296</x:v>
      </x:c>
      <x:c r="H1300" s="53" t="b">
        <x:v>1</x:v>
      </x:c>
      <x:c r="I1300" s="47" t="str">
        <x:v>4109905524</x:v>
      </x:c>
      <x:c r="J1300" s="47" t="n">
        <x:v>8746430</x:v>
      </x:c>
      <x:c r="K1300" s="53" t="b">
        <x:v>1</x:v>
      </x:c>
      <x:c r="L1300" s="53" t="b">
        <x:v>1</x:v>
      </x:c>
      <x:c r="M1300" s="53" t="b">
        <x:v>1</x:v>
      </x:c>
      <x:c r="N1300" s="53" t="b">
        <x:v>1</x:v>
      </x:c>
      <x:c r="O1300" s="53" t="b">
        <x:v>1</x:v>
      </x:c>
      <x:c r="P1300" s="47" t="n">
        <x:v>1011</x:v>
      </x:c>
      <x:c r="Q1300" s="47" t="n">
        <x:v>0</x:v>
      </x:c>
      <x:c r="R1300" s="47" t="n">
        <x:v>0</x:v>
      </x:c>
      <x:c r="S1300" s="47" t="n">
        <x:v>29.17</x:v>
      </x:c>
      <x:c r="T1300" s="47" t="n">
        <x:v>58.29</x:v>
      </x:c>
      <x:c r="U1300" s="47" t="n">
        <x:v>29.8</x:v>
      </x:c>
      <x:c r="V1300" s="47" t="n">
        <x:v>13</x:v>
      </x:c>
      <x:c r="W1300" s="47" t="n">
        <x:v>0</x:v>
      </x:c>
      <x:c r="X1300" s="47" t="n">
        <x:v>0</x:v>
      </x:c>
      <x:c r="Y1300" s="41" t="n">
        <x:v>0</x:v>
      </x:c>
    </x:row>
    <x:row r="1301">
      <x:c r="A1301" s="38" t="str">
        <x:v>7月30日现场数据</x:v>
      </x:c>
      <x:c r="B1301" s="66" t="str">
        <x:v>2026-08-04T01:48:42.280000</x:v>
      </x:c>
      <x:c r="C1301" s="47" t="n">
        <x:v>300975</x:v>
      </x:c>
      <x:c r="D1301" s="47" t="str"/>
      <x:c r="E1301" s="47" t="str"/>
      <x:c r="F1301" s="47" t="str">
        <x:v>current</x:v>
      </x:c>
      <x:c r="G1301" s="47" t="n">
        <x:v>1297</x:v>
      </x:c>
      <x:c r="H1301" s="53" t="b">
        <x:v>1</x:v>
      </x:c>
      <x:c r="I1301" s="47" t="str">
        <x:v>4109905524</x:v>
      </x:c>
      <x:c r="J1301" s="47" t="n">
        <x:v>9047405</x:v>
      </x:c>
      <x:c r="K1301" s="53" t="b">
        <x:v>1</x:v>
      </x:c>
      <x:c r="L1301" s="53" t="b">
        <x:v>1</x:v>
      </x:c>
      <x:c r="M1301" s="53" t="b">
        <x:v>1</x:v>
      </x:c>
      <x:c r="N1301" s="53" t="b">
        <x:v>1</x:v>
      </x:c>
      <x:c r="O1301" s="53" t="b">
        <x:v>1</x:v>
      </x:c>
      <x:c r="P1301" s="47" t="n">
        <x:v>1011</x:v>
      </x:c>
      <x:c r="Q1301" s="47" t="n">
        <x:v>0.012</x:v>
      </x:c>
      <x:c r="R1301" s="47" t="n">
        <x:v>0.33</x:v>
      </x:c>
      <x:c r="S1301" s="47" t="n">
        <x:v>29.14</x:v>
      </x:c>
      <x:c r="T1301" s="47" t="n">
        <x:v>58.36</x:v>
      </x:c>
      <x:c r="U1301" s="47" t="n">
        <x:v>29.8</x:v>
      </x:c>
      <x:c r="V1301" s="47" t="n">
        <x:v>13.1</x:v>
      </x:c>
      <x:c r="W1301" s="47" t="n">
        <x:v>0</x:v>
      </x:c>
      <x:c r="X1301" s="47" t="n">
        <x:v>0</x:v>
      </x:c>
      <x:c r="Y1301" s="41" t="n">
        <x:v>0</x:v>
      </x:c>
    </x:row>
    <x:row r="1302">
      <x:c r="A1302" s="38" t="str">
        <x:v>7月30日现场数据</x:v>
      </x:c>
      <x:c r="B1302" s="66" t="str">
        <x:v>2026-08-04T01:53:43.257000</x:v>
      </x:c>
      <x:c r="C1302" s="47" t="n">
        <x:v>300977</x:v>
      </x:c>
      <x:c r="D1302" s="47" t="str"/>
      <x:c r="E1302" s="47" t="str"/>
      <x:c r="F1302" s="47" t="str">
        <x:v>current</x:v>
      </x:c>
      <x:c r="G1302" s="47" t="n">
        <x:v>1298</x:v>
      </x:c>
      <x:c r="H1302" s="53" t="b">
        <x:v>1</x:v>
      </x:c>
      <x:c r="I1302" s="47" t="str">
        <x:v>4109905524</x:v>
      </x:c>
      <x:c r="J1302" s="47" t="n">
        <x:v>9348382</x:v>
      </x:c>
      <x:c r="K1302" s="53" t="b">
        <x:v>1</x:v>
      </x:c>
      <x:c r="L1302" s="53" t="b">
        <x:v>1</x:v>
      </x:c>
      <x:c r="M1302" s="53" t="b">
        <x:v>1</x:v>
      </x:c>
      <x:c r="N1302" s="53" t="b">
        <x:v>1</x:v>
      </x:c>
      <x:c r="O1302" s="53" t="b">
        <x:v>1</x:v>
      </x:c>
      <x:c r="P1302" s="47" t="n">
        <x:v>1011</x:v>
      </x:c>
      <x:c r="Q1302" s="47" t="n">
        <x:v>0</x:v>
      </x:c>
      <x:c r="R1302" s="47" t="n">
        <x:v>0</x:v>
      </x:c>
      <x:c r="S1302" s="47" t="n">
        <x:v>29.12</x:v>
      </x:c>
      <x:c r="T1302" s="47" t="n">
        <x:v>58.51</x:v>
      </x:c>
      <x:c r="U1302" s="47" t="n">
        <x:v>29.8</x:v>
      </x:c>
      <x:c r="V1302" s="47" t="n">
        <x:v>13</x:v>
      </x:c>
      <x:c r="W1302" s="47" t="n">
        <x:v>0</x:v>
      </x:c>
      <x:c r="X1302" s="47" t="n">
        <x:v>0</x:v>
      </x:c>
      <x:c r="Y1302" s="41" t="n">
        <x:v>0</x:v>
      </x:c>
    </x:row>
    <x:row r="1303">
      <x:c r="A1303" s="38" t="str">
        <x:v>7月30日现场数据</x:v>
      </x:c>
      <x:c r="B1303" s="66" t="str">
        <x:v>2026-08-04T01:58:44.235000</x:v>
      </x:c>
      <x:c r="C1303" s="47" t="n">
        <x:v>300978</x:v>
      </x:c>
      <x:c r="D1303" s="47" t="str"/>
      <x:c r="E1303" s="47" t="str"/>
      <x:c r="F1303" s="47" t="str">
        <x:v>current</x:v>
      </x:c>
      <x:c r="G1303" s="47" t="n">
        <x:v>1299</x:v>
      </x:c>
      <x:c r="H1303" s="53" t="b">
        <x:v>1</x:v>
      </x:c>
      <x:c r="I1303" s="47" t="str">
        <x:v>4109905524</x:v>
      </x:c>
      <x:c r="J1303" s="47" t="n">
        <x:v>9649360</x:v>
      </x:c>
      <x:c r="K1303" s="53" t="b">
        <x:v>1</x:v>
      </x:c>
      <x:c r="L1303" s="53" t="b">
        <x:v>1</x:v>
      </x:c>
      <x:c r="M1303" s="53" t="b">
        <x:v>1</x:v>
      </x:c>
      <x:c r="N1303" s="53" t="b">
        <x:v>1</x:v>
      </x:c>
      <x:c r="O1303" s="53" t="b">
        <x:v>1</x:v>
      </x:c>
      <x:c r="P1303" s="47" t="n">
        <x:v>1011</x:v>
      </x:c>
      <x:c r="Q1303" s="47" t="n">
        <x:v>0</x:v>
      </x:c>
      <x:c r="R1303" s="47" t="n">
        <x:v>0</x:v>
      </x:c>
      <x:c r="S1303" s="47" t="n">
        <x:v>29.11</x:v>
      </x:c>
      <x:c r="T1303" s="47" t="n">
        <x:v>58.55</x:v>
      </x:c>
      <x:c r="U1303" s="47" t="n">
        <x:v>29.8</x:v>
      </x:c>
      <x:c r="V1303" s="47" t="n">
        <x:v>13.1</x:v>
      </x:c>
      <x:c r="W1303" s="47" t="n">
        <x:v>0</x:v>
      </x:c>
      <x:c r="X1303" s="47" t="n">
        <x:v>0</x:v>
      </x:c>
      <x:c r="Y1303" s="41" t="n">
        <x:v>0</x:v>
      </x:c>
    </x:row>
    <x:row r="1304">
      <x:c r="A1304" s="38" t="str">
        <x:v>7月30日现场数据</x:v>
      </x:c>
      <x:c r="B1304" s="66" t="str">
        <x:v>2026-08-04T02:03:45.217000</x:v>
      </x:c>
      <x:c r="C1304" s="47" t="n">
        <x:v>300982</x:v>
      </x:c>
      <x:c r="D1304" s="47" t="str"/>
      <x:c r="E1304" s="47" t="str"/>
      <x:c r="F1304" s="47" t="str">
        <x:v>current</x:v>
      </x:c>
      <x:c r="G1304" s="47" t="n">
        <x:v>1300</x:v>
      </x:c>
      <x:c r="H1304" s="53" t="b">
        <x:v>1</x:v>
      </x:c>
      <x:c r="I1304" s="47" t="str">
        <x:v>4109905524</x:v>
      </x:c>
      <x:c r="J1304" s="47" t="n">
        <x:v>9950342</x:v>
      </x:c>
      <x:c r="K1304" s="53" t="b">
        <x:v>1</x:v>
      </x:c>
      <x:c r="L1304" s="53" t="b">
        <x:v>1</x:v>
      </x:c>
      <x:c r="M1304" s="53" t="b">
        <x:v>1</x:v>
      </x:c>
      <x:c r="N1304" s="53" t="b">
        <x:v>1</x:v>
      </x:c>
      <x:c r="O1304" s="53" t="b">
        <x:v>1</x:v>
      </x:c>
      <x:c r="P1304" s="47" t="n">
        <x:v>1011</x:v>
      </x:c>
      <x:c r="Q1304" s="47" t="n">
        <x:v>0</x:v>
      </x:c>
      <x:c r="R1304" s="47" t="n">
        <x:v>0</x:v>
      </x:c>
      <x:c r="S1304" s="47" t="n">
        <x:v>29.09</x:v>
      </x:c>
      <x:c r="T1304" s="47" t="n">
        <x:v>58.65</x:v>
      </x:c>
      <x:c r="U1304" s="47" t="n">
        <x:v>29.8</x:v>
      </x:c>
      <x:c r="V1304" s="47" t="n">
        <x:v>13</x:v>
      </x:c>
      <x:c r="W1304" s="47" t="n">
        <x:v>0</x:v>
      </x:c>
      <x:c r="X1304" s="47" t="n">
        <x:v>0</x:v>
      </x:c>
      <x:c r="Y1304" s="41" t="n">
        <x:v>0</x:v>
      </x:c>
    </x:row>
    <x:row r="1305">
      <x:c r="A1305" s="38" t="str">
        <x:v>7月30日现场数据</x:v>
      </x:c>
      <x:c r="B1305" s="66" t="str">
        <x:v>2026-08-04T02:08:46.201000</x:v>
      </x:c>
      <x:c r="C1305" s="47" t="n">
        <x:v>300984</x:v>
      </x:c>
      <x:c r="D1305" s="47" t="str"/>
      <x:c r="E1305" s="47" t="str"/>
      <x:c r="F1305" s="47" t="str">
        <x:v>current</x:v>
      </x:c>
      <x:c r="G1305" s="47" t="n">
        <x:v>1301</x:v>
      </x:c>
      <x:c r="H1305" s="53" t="b">
        <x:v>1</x:v>
      </x:c>
      <x:c r="I1305" s="47" t="str">
        <x:v>4109905524</x:v>
      </x:c>
      <x:c r="J1305" s="47" t="n">
        <x:v>10251326</x:v>
      </x:c>
      <x:c r="K1305" s="53" t="b">
        <x:v>1</x:v>
      </x:c>
      <x:c r="L1305" s="53" t="b">
        <x:v>1</x:v>
      </x:c>
      <x:c r="M1305" s="53" t="b">
        <x:v>1</x:v>
      </x:c>
      <x:c r="N1305" s="53" t="b">
        <x:v>1</x:v>
      </x:c>
      <x:c r="O1305" s="53" t="b">
        <x:v>1</x:v>
      </x:c>
      <x:c r="P1305" s="47" t="n">
        <x:v>1011</x:v>
      </x:c>
      <x:c r="Q1305" s="47" t="n">
        <x:v>0</x:v>
      </x:c>
      <x:c r="R1305" s="47" t="n">
        <x:v>0</x:v>
      </x:c>
      <x:c r="S1305" s="47" t="n">
        <x:v>29.04</x:v>
      </x:c>
      <x:c r="T1305" s="47" t="n">
        <x:v>58.74</x:v>
      </x:c>
      <x:c r="U1305" s="47" t="n">
        <x:v>29.8</x:v>
      </x:c>
      <x:c r="V1305" s="47" t="n">
        <x:v>13</x:v>
      </x:c>
      <x:c r="W1305" s="47" t="n">
        <x:v>0</x:v>
      </x:c>
      <x:c r="X1305" s="47" t="n">
        <x:v>0</x:v>
      </x:c>
      <x:c r="Y1305" s="41" t="n">
        <x:v>0</x:v>
      </x:c>
    </x:row>
    <x:row r="1306">
      <x:c r="A1306" s="38" t="str">
        <x:v>7月30日现场数据</x:v>
      </x:c>
      <x:c r="B1306" s="66" t="str">
        <x:v>2026-08-04T02:13:47.216000</x:v>
      </x:c>
      <x:c r="C1306" s="47" t="n">
        <x:v>301015</x:v>
      </x:c>
      <x:c r="D1306" s="47" t="str"/>
      <x:c r="E1306" s="47" t="str"/>
      <x:c r="F1306" s="47" t="str">
        <x:v>current</x:v>
      </x:c>
      <x:c r="G1306" s="47" t="n">
        <x:v>1302</x:v>
      </x:c>
      <x:c r="H1306" s="53" t="b">
        <x:v>1</x:v>
      </x:c>
      <x:c r="I1306" s="47" t="str">
        <x:v>4109905524</x:v>
      </x:c>
      <x:c r="J1306" s="47" t="n">
        <x:v>10552341</x:v>
      </x:c>
      <x:c r="K1306" s="53" t="b">
        <x:v>1</x:v>
      </x:c>
      <x:c r="L1306" s="53" t="b">
        <x:v>1</x:v>
      </x:c>
      <x:c r="M1306" s="53" t="b">
        <x:v>1</x:v>
      </x:c>
      <x:c r="N1306" s="53" t="b">
        <x:v>1</x:v>
      </x:c>
      <x:c r="O1306" s="53" t="b">
        <x:v>1</x:v>
      </x:c>
      <x:c r="P1306" s="47" t="n">
        <x:v>1010</x:v>
      </x:c>
      <x:c r="Q1306" s="47" t="n">
        <x:v>0</x:v>
      </x:c>
      <x:c r="R1306" s="47" t="n">
        <x:v>0</x:v>
      </x:c>
      <x:c r="S1306" s="47" t="n">
        <x:v>29.03</x:v>
      </x:c>
      <x:c r="T1306" s="47" t="n">
        <x:v>58.85</x:v>
      </x:c>
      <x:c r="U1306" s="47" t="n">
        <x:v>29.8</x:v>
      </x:c>
      <x:c r="V1306" s="47" t="n">
        <x:v>13</x:v>
      </x:c>
      <x:c r="W1306" s="47" t="n">
        <x:v>0</x:v>
      </x:c>
      <x:c r="X1306" s="47" t="n">
        <x:v>0</x:v>
      </x:c>
      <x:c r="Y1306" s="41" t="n">
        <x:v>0</x:v>
      </x:c>
    </x:row>
    <x:row r="1307">
      <x:c r="A1307" s="38" t="str">
        <x:v>7月30日现场数据</x:v>
      </x:c>
      <x:c r="B1307" s="66" t="str">
        <x:v>2026-08-04T02:18:48.176000</x:v>
      </x:c>
      <x:c r="C1307" s="47" t="n">
        <x:v>300960</x:v>
      </x:c>
      <x:c r="D1307" s="47" t="str"/>
      <x:c r="E1307" s="47" t="str"/>
      <x:c r="F1307" s="47" t="str">
        <x:v>current</x:v>
      </x:c>
      <x:c r="G1307" s="47" t="n">
        <x:v>1303</x:v>
      </x:c>
      <x:c r="H1307" s="53" t="b">
        <x:v>1</x:v>
      </x:c>
      <x:c r="I1307" s="47" t="str">
        <x:v>4109905524</x:v>
      </x:c>
      <x:c r="J1307" s="47" t="n">
        <x:v>10853301</x:v>
      </x:c>
      <x:c r="K1307" s="53" t="b">
        <x:v>1</x:v>
      </x:c>
      <x:c r="L1307" s="53" t="b">
        <x:v>1</x:v>
      </x:c>
      <x:c r="M1307" s="53" t="b">
        <x:v>1</x:v>
      </x:c>
      <x:c r="N1307" s="53" t="b">
        <x:v>1</x:v>
      </x:c>
      <x:c r="O1307" s="53" t="b">
        <x:v>1</x:v>
      </x:c>
      <x:c r="P1307" s="47" t="n">
        <x:v>1011</x:v>
      </x:c>
      <x:c r="Q1307" s="47" t="n">
        <x:v>0</x:v>
      </x:c>
      <x:c r="R1307" s="47" t="n">
        <x:v>0</x:v>
      </x:c>
      <x:c r="S1307" s="47" t="n">
        <x:v>29</x:v>
      </x:c>
      <x:c r="T1307" s="47" t="n">
        <x:v>58.95</x:v>
      </x:c>
      <x:c r="U1307" s="47" t="n">
        <x:v>29.8</x:v>
      </x:c>
      <x:c r="V1307" s="47" t="n">
        <x:v>13</x:v>
      </x:c>
      <x:c r="W1307" s="47" t="n">
        <x:v>0</x:v>
      </x:c>
      <x:c r="X1307" s="47" t="n">
        <x:v>0</x:v>
      </x:c>
      <x:c r="Y1307" s="41" t="n">
        <x:v>0</x:v>
      </x:c>
    </x:row>
    <x:row r="1308">
      <x:c r="A1308" s="38" t="str">
        <x:v>7月30日现场数据</x:v>
      </x:c>
      <x:c r="B1308" s="66" t="str">
        <x:v>2026-08-04T02:23:49.137000</x:v>
      </x:c>
      <x:c r="C1308" s="47" t="n">
        <x:v>300961</x:v>
      </x:c>
      <x:c r="D1308" s="47" t="str"/>
      <x:c r="E1308" s="47" t="str"/>
      <x:c r="F1308" s="47" t="str">
        <x:v>current</x:v>
      </x:c>
      <x:c r="G1308" s="47" t="n">
        <x:v>1304</x:v>
      </x:c>
      <x:c r="H1308" s="53" t="b">
        <x:v>1</x:v>
      </x:c>
      <x:c r="I1308" s="47" t="str">
        <x:v>4109905524</x:v>
      </x:c>
      <x:c r="J1308" s="47" t="n">
        <x:v>11154262</x:v>
      </x:c>
      <x:c r="K1308" s="53" t="b">
        <x:v>1</x:v>
      </x:c>
      <x:c r="L1308" s="53" t="b">
        <x:v>1</x:v>
      </x:c>
      <x:c r="M1308" s="53" t="b">
        <x:v>1</x:v>
      </x:c>
      <x:c r="N1308" s="53" t="b">
        <x:v>1</x:v>
      </x:c>
      <x:c r="O1308" s="53" t="b">
        <x:v>1</x:v>
      </x:c>
      <x:c r="P1308" s="47" t="n">
        <x:v>1011</x:v>
      </x:c>
      <x:c r="Q1308" s="47" t="n">
        <x:v>0</x:v>
      </x:c>
      <x:c r="R1308" s="47" t="n">
        <x:v>0</x:v>
      </x:c>
      <x:c r="S1308" s="47" t="n">
        <x:v>28.99</x:v>
      </x:c>
      <x:c r="T1308" s="47" t="n">
        <x:v>59.09</x:v>
      </x:c>
      <x:c r="U1308" s="47" t="n">
        <x:v>29.8</x:v>
      </x:c>
      <x:c r="V1308" s="47" t="n">
        <x:v>13</x:v>
      </x:c>
      <x:c r="W1308" s="47" t="n">
        <x:v>0</x:v>
      </x:c>
      <x:c r="X1308" s="47" t="n">
        <x:v>0</x:v>
      </x:c>
      <x:c r="Y1308" s="41" t="n">
        <x:v>0</x:v>
      </x:c>
    </x:row>
    <x:row r="1309">
      <x:c r="A1309" s="38" t="str">
        <x:v>7月30日现场数据</x:v>
      </x:c>
      <x:c r="B1309" s="66" t="str">
        <x:v>2026-08-04T02:28:50.101000</x:v>
      </x:c>
      <x:c r="C1309" s="47" t="n">
        <x:v>300964</x:v>
      </x:c>
      <x:c r="D1309" s="47" t="str"/>
      <x:c r="E1309" s="47" t="str"/>
      <x:c r="F1309" s="47" t="str">
        <x:v>current</x:v>
      </x:c>
      <x:c r="G1309" s="47" t="n">
        <x:v>1305</x:v>
      </x:c>
      <x:c r="H1309" s="53" t="b">
        <x:v>1</x:v>
      </x:c>
      <x:c r="I1309" s="47" t="str">
        <x:v>4109905524</x:v>
      </x:c>
      <x:c r="J1309" s="47" t="n">
        <x:v>11455226</x:v>
      </x:c>
      <x:c r="K1309" s="53" t="b">
        <x:v>1</x:v>
      </x:c>
      <x:c r="L1309" s="53" t="b">
        <x:v>1</x:v>
      </x:c>
      <x:c r="M1309" s="53" t="b">
        <x:v>1</x:v>
      </x:c>
      <x:c r="N1309" s="53" t="b">
        <x:v>1</x:v>
      </x:c>
      <x:c r="O1309" s="53" t="b">
        <x:v>1</x:v>
      </x:c>
      <x:c r="P1309" s="47" t="n">
        <x:v>1011</x:v>
      </x:c>
      <x:c r="Q1309" s="47" t="n">
        <x:v>0</x:v>
      </x:c>
      <x:c r="R1309" s="47" t="n">
        <x:v>0</x:v>
      </x:c>
      <x:c r="S1309" s="47" t="n">
        <x:v>28.98</x:v>
      </x:c>
      <x:c r="T1309" s="47" t="n">
        <x:v>59.15</x:v>
      </x:c>
      <x:c r="U1309" s="47" t="n">
        <x:v>29.7</x:v>
      </x:c>
      <x:c r="V1309" s="47" t="n">
        <x:v>13</x:v>
      </x:c>
      <x:c r="W1309" s="47" t="n">
        <x:v>0</x:v>
      </x:c>
      <x:c r="X1309" s="47" t="n">
        <x:v>0</x:v>
      </x:c>
      <x:c r="Y1309" s="41" t="n">
        <x:v>0</x:v>
      </x:c>
    </x:row>
    <x:row r="1310">
      <x:c r="A1310" s="38" t="str">
        <x:v>7月30日现场数据</x:v>
      </x:c>
      <x:c r="B1310" s="66" t="str">
        <x:v>2026-08-04T02:33:51.067000</x:v>
      </x:c>
      <x:c r="C1310" s="47" t="n">
        <x:v>300966</x:v>
      </x:c>
      <x:c r="D1310" s="47" t="str"/>
      <x:c r="E1310" s="47" t="str"/>
      <x:c r="F1310" s="47" t="str">
        <x:v>current</x:v>
      </x:c>
      <x:c r="G1310" s="47" t="n">
        <x:v>1306</x:v>
      </x:c>
      <x:c r="H1310" s="53" t="b">
        <x:v>1</x:v>
      </x:c>
      <x:c r="I1310" s="47" t="str">
        <x:v>4109905524</x:v>
      </x:c>
      <x:c r="J1310" s="47" t="n">
        <x:v>11756192</x:v>
      </x:c>
      <x:c r="K1310" s="53" t="b">
        <x:v>1</x:v>
      </x:c>
      <x:c r="L1310" s="53" t="b">
        <x:v>1</x:v>
      </x:c>
      <x:c r="M1310" s="53" t="b">
        <x:v>1</x:v>
      </x:c>
      <x:c r="N1310" s="53" t="b">
        <x:v>1</x:v>
      </x:c>
      <x:c r="O1310" s="53" t="b">
        <x:v>1</x:v>
      </x:c>
      <x:c r="P1310" s="47" t="n">
        <x:v>1011</x:v>
      </x:c>
      <x:c r="Q1310" s="47" t="n">
        <x:v>0</x:v>
      </x:c>
      <x:c r="R1310" s="47" t="n">
        <x:v>0</x:v>
      </x:c>
      <x:c r="S1310" s="47" t="n">
        <x:v>28.98</x:v>
      </x:c>
      <x:c r="T1310" s="47" t="n">
        <x:v>59.26</x:v>
      </x:c>
      <x:c r="U1310" s="47" t="n">
        <x:v>29.7</x:v>
      </x:c>
      <x:c r="V1310" s="47" t="n">
        <x:v>13</x:v>
      </x:c>
      <x:c r="W1310" s="47" t="n">
        <x:v>0</x:v>
      </x:c>
      <x:c r="X1310" s="47" t="n">
        <x:v>0</x:v>
      </x:c>
      <x:c r="Y1310" s="41" t="n">
        <x:v>0</x:v>
      </x:c>
    </x:row>
    <x:row r="1311">
      <x:c r="A1311" s="38" t="str">
        <x:v>7月30日现场数据</x:v>
      </x:c>
      <x:c r="B1311" s="66" t="str">
        <x:v>2026-08-04T02:38:52.033000</x:v>
      </x:c>
      <x:c r="C1311" s="47" t="n">
        <x:v>300966</x:v>
      </x:c>
      <x:c r="D1311" s="47" t="str"/>
      <x:c r="E1311" s="47" t="str"/>
      <x:c r="F1311" s="47" t="str">
        <x:v>current</x:v>
      </x:c>
      <x:c r="G1311" s="47" t="n">
        <x:v>1307</x:v>
      </x:c>
      <x:c r="H1311" s="53" t="b">
        <x:v>1</x:v>
      </x:c>
      <x:c r="I1311" s="47" t="str">
        <x:v>4109905524</x:v>
      </x:c>
      <x:c r="J1311" s="47" t="n">
        <x:v>12057158</x:v>
      </x:c>
      <x:c r="K1311" s="53" t="b">
        <x:v>1</x:v>
      </x:c>
      <x:c r="L1311" s="53" t="b">
        <x:v>1</x:v>
      </x:c>
      <x:c r="M1311" s="53" t="b">
        <x:v>1</x:v>
      </x:c>
      <x:c r="N1311" s="53" t="b">
        <x:v>1</x:v>
      </x:c>
      <x:c r="O1311" s="53" t="b">
        <x:v>1</x:v>
      </x:c>
      <x:c r="P1311" s="47" t="n">
        <x:v>1011</x:v>
      </x:c>
      <x:c r="Q1311" s="47" t="n">
        <x:v>0</x:v>
      </x:c>
      <x:c r="R1311" s="47" t="n">
        <x:v>0</x:v>
      </x:c>
      <x:c r="S1311" s="47" t="n">
        <x:v>28.96</x:v>
      </x:c>
      <x:c r="T1311" s="47" t="n">
        <x:v>59.43</x:v>
      </x:c>
      <x:c r="U1311" s="47" t="n">
        <x:v>29.7</x:v>
      </x:c>
      <x:c r="V1311" s="47" t="n">
        <x:v>13</x:v>
      </x:c>
      <x:c r="W1311" s="47" t="n">
        <x:v>0</x:v>
      </x:c>
      <x:c r="X1311" s="47" t="n">
        <x:v>0</x:v>
      </x:c>
      <x:c r="Y1311" s="41" t="n">
        <x:v>0</x:v>
      </x:c>
    </x:row>
    <x:row r="1312">
      <x:c r="A1312" s="38" t="str">
        <x:v>7月30日现场数据</x:v>
      </x:c>
      <x:c r="B1312" s="66" t="str">
        <x:v>2026-08-04T02:43:53.003000</x:v>
      </x:c>
      <x:c r="C1312" s="47" t="n">
        <x:v>300970</x:v>
      </x:c>
      <x:c r="D1312" s="47" t="str"/>
      <x:c r="E1312" s="47" t="str"/>
      <x:c r="F1312" s="47" t="str">
        <x:v>current</x:v>
      </x:c>
      <x:c r="G1312" s="47" t="n">
        <x:v>1308</x:v>
      </x:c>
      <x:c r="H1312" s="53" t="b">
        <x:v>1</x:v>
      </x:c>
      <x:c r="I1312" s="47" t="str">
        <x:v>4109905524</x:v>
      </x:c>
      <x:c r="J1312" s="47" t="n">
        <x:v>12358128</x:v>
      </x:c>
      <x:c r="K1312" s="53" t="b">
        <x:v>1</x:v>
      </x:c>
      <x:c r="L1312" s="53" t="b">
        <x:v>1</x:v>
      </x:c>
      <x:c r="M1312" s="53" t="b">
        <x:v>1</x:v>
      </x:c>
      <x:c r="N1312" s="53" t="b">
        <x:v>1</x:v>
      </x:c>
      <x:c r="O1312" s="53" t="b">
        <x:v>1</x:v>
      </x:c>
      <x:c r="P1312" s="47" t="n">
        <x:v>1011</x:v>
      </x:c>
      <x:c r="Q1312" s="47" t="n">
        <x:v>0</x:v>
      </x:c>
      <x:c r="R1312" s="47" t="n">
        <x:v>0</x:v>
      </x:c>
      <x:c r="S1312" s="47" t="n">
        <x:v>28.93</x:v>
      </x:c>
      <x:c r="T1312" s="47" t="n">
        <x:v>59.52</x:v>
      </x:c>
      <x:c r="U1312" s="47" t="n">
        <x:v>29.7</x:v>
      </x:c>
      <x:c r="V1312" s="47" t="n">
        <x:v>13</x:v>
      </x:c>
      <x:c r="W1312" s="47" t="n">
        <x:v>0</x:v>
      </x:c>
      <x:c r="X1312" s="47" t="n">
        <x:v>0</x:v>
      </x:c>
      <x:c r="Y1312" s="41" t="n">
        <x:v>0</x:v>
      </x:c>
    </x:row>
    <x:row r="1313">
      <x:c r="A1313" s="38" t="str">
        <x:v>7月30日现场数据</x:v>
      </x:c>
      <x:c r="B1313" s="66" t="str">
        <x:v>2026-08-04T02:48:53.975000</x:v>
      </x:c>
      <x:c r="C1313" s="47" t="n">
        <x:v>300972</x:v>
      </x:c>
      <x:c r="D1313" s="47" t="str"/>
      <x:c r="E1313" s="47" t="str"/>
      <x:c r="F1313" s="47" t="str">
        <x:v>current</x:v>
      </x:c>
      <x:c r="G1313" s="47" t="n">
        <x:v>1309</x:v>
      </x:c>
      <x:c r="H1313" s="53" t="b">
        <x:v>1</x:v>
      </x:c>
      <x:c r="I1313" s="47" t="str">
        <x:v>4109905524</x:v>
      </x:c>
      <x:c r="J1313" s="47" t="n">
        <x:v>12659100</x:v>
      </x:c>
      <x:c r="K1313" s="53" t="b">
        <x:v>1</x:v>
      </x:c>
      <x:c r="L1313" s="53" t="b">
        <x:v>1</x:v>
      </x:c>
      <x:c r="M1313" s="53" t="b">
        <x:v>1</x:v>
      </x:c>
      <x:c r="N1313" s="53" t="b">
        <x:v>1</x:v>
      </x:c>
      <x:c r="O1313" s="53" t="b">
        <x:v>1</x:v>
      </x:c>
      <x:c r="P1313" s="47" t="n">
        <x:v>1011</x:v>
      </x:c>
      <x:c r="Q1313" s="47" t="n">
        <x:v>0</x:v>
      </x:c>
      <x:c r="R1313" s="47" t="n">
        <x:v>0</x:v>
      </x:c>
      <x:c r="S1313" s="47" t="n">
        <x:v>28.92</x:v>
      </x:c>
      <x:c r="T1313" s="47" t="n">
        <x:v>59.63</x:v>
      </x:c>
      <x:c r="U1313" s="47" t="n">
        <x:v>29.7</x:v>
      </x:c>
      <x:c r="V1313" s="47" t="n">
        <x:v>13</x:v>
      </x:c>
      <x:c r="W1313" s="47" t="n">
        <x:v>0</x:v>
      </x:c>
      <x:c r="X1313" s="47" t="n">
        <x:v>0</x:v>
      </x:c>
      <x:c r="Y1313" s="41" t="n">
        <x:v>0</x:v>
      </x:c>
    </x:row>
    <x:row r="1314">
      <x:c r="A1314" s="38" t="str">
        <x:v>7月30日现场数据</x:v>
      </x:c>
      <x:c r="B1314" s="66" t="str">
        <x:v>2026-08-04T02:53:54.946000</x:v>
      </x:c>
      <x:c r="C1314" s="47" t="n">
        <x:v>300971</x:v>
      </x:c>
      <x:c r="D1314" s="47" t="str"/>
      <x:c r="E1314" s="47" t="str"/>
      <x:c r="F1314" s="47" t="str">
        <x:v>current</x:v>
      </x:c>
      <x:c r="G1314" s="47" t="n">
        <x:v>1310</x:v>
      </x:c>
      <x:c r="H1314" s="53" t="b">
        <x:v>1</x:v>
      </x:c>
      <x:c r="I1314" s="47" t="str">
        <x:v>4109905524</x:v>
      </x:c>
      <x:c r="J1314" s="47" t="n">
        <x:v>12960071</x:v>
      </x:c>
      <x:c r="K1314" s="53" t="b">
        <x:v>1</x:v>
      </x:c>
      <x:c r="L1314" s="53" t="b">
        <x:v>1</x:v>
      </x:c>
      <x:c r="M1314" s="53" t="b">
        <x:v>1</x:v>
      </x:c>
      <x:c r="N1314" s="53" t="b">
        <x:v>1</x:v>
      </x:c>
      <x:c r="O1314" s="53" t="b">
        <x:v>1</x:v>
      </x:c>
      <x:c r="P1314" s="47" t="n">
        <x:v>1011</x:v>
      </x:c>
      <x:c r="Q1314" s="47" t="n">
        <x:v>0</x:v>
      </x:c>
      <x:c r="R1314" s="47" t="n">
        <x:v>0</x:v>
      </x:c>
      <x:c r="S1314" s="47" t="n">
        <x:v>28.9</x:v>
      </x:c>
      <x:c r="T1314" s="47" t="n">
        <x:v>59.73</x:v>
      </x:c>
      <x:c r="U1314" s="47" t="n">
        <x:v>29.7</x:v>
      </x:c>
      <x:c r="V1314" s="47" t="n">
        <x:v>13</x:v>
      </x:c>
      <x:c r="W1314" s="47" t="n">
        <x:v>0</x:v>
      </x:c>
      <x:c r="X1314" s="47" t="n">
        <x:v>0</x:v>
      </x:c>
      <x:c r="Y1314" s="41" t="n">
        <x:v>0</x:v>
      </x:c>
    </x:row>
    <x:row r="1315">
      <x:c r="A1315" s="38" t="str">
        <x:v>7月30日现场数据</x:v>
      </x:c>
      <x:c r="B1315" s="66" t="str">
        <x:v>2026-08-04T02:58:55.920000</x:v>
      </x:c>
      <x:c r="C1315" s="47" t="n">
        <x:v>300974</x:v>
      </x:c>
      <x:c r="D1315" s="47" t="str"/>
      <x:c r="E1315" s="47" t="str"/>
      <x:c r="F1315" s="47" t="str">
        <x:v>current</x:v>
      </x:c>
      <x:c r="G1315" s="47" t="n">
        <x:v>1311</x:v>
      </x:c>
      <x:c r="H1315" s="53" t="b">
        <x:v>1</x:v>
      </x:c>
      <x:c r="I1315" s="47" t="str">
        <x:v>4109905524</x:v>
      </x:c>
      <x:c r="J1315" s="47" t="n">
        <x:v>13261045</x:v>
      </x:c>
      <x:c r="K1315" s="53" t="b">
        <x:v>1</x:v>
      </x:c>
      <x:c r="L1315" s="53" t="b">
        <x:v>1</x:v>
      </x:c>
      <x:c r="M1315" s="53" t="b">
        <x:v>1</x:v>
      </x:c>
      <x:c r="N1315" s="53" t="b">
        <x:v>1</x:v>
      </x:c>
      <x:c r="O1315" s="53" t="b">
        <x:v>1</x:v>
      </x:c>
      <x:c r="P1315" s="47" t="n">
        <x:v>1011</x:v>
      </x:c>
      <x:c r="Q1315" s="47" t="n">
        <x:v>0</x:v>
      </x:c>
      <x:c r="R1315" s="47" t="n">
        <x:v>0</x:v>
      </x:c>
      <x:c r="S1315" s="47" t="n">
        <x:v>28.88</x:v>
      </x:c>
      <x:c r="T1315" s="47" t="n">
        <x:v>59.84</x:v>
      </x:c>
      <x:c r="U1315" s="47" t="n">
        <x:v>29.7</x:v>
      </x:c>
      <x:c r="V1315" s="47" t="n">
        <x:v>13</x:v>
      </x:c>
      <x:c r="W1315" s="47" t="n">
        <x:v>0</x:v>
      </x:c>
      <x:c r="X1315" s="47" t="n">
        <x:v>0</x:v>
      </x:c>
      <x:c r="Y1315" s="41" t="n">
        <x:v>0</x:v>
      </x:c>
    </x:row>
    <x:row r="1316">
      <x:c r="A1316" s="38" t="str">
        <x:v>7月30日现场数据</x:v>
      </x:c>
      <x:c r="B1316" s="66" t="str">
        <x:v>2026-08-04T03:03:56.896000</x:v>
      </x:c>
      <x:c r="C1316" s="47" t="n">
        <x:v>300976</x:v>
      </x:c>
      <x:c r="D1316" s="47" t="str"/>
      <x:c r="E1316" s="47" t="str"/>
      <x:c r="F1316" s="47" t="str">
        <x:v>current</x:v>
      </x:c>
      <x:c r="G1316" s="47" t="n">
        <x:v>1312</x:v>
      </x:c>
      <x:c r="H1316" s="53" t="b">
        <x:v>1</x:v>
      </x:c>
      <x:c r="I1316" s="47" t="str">
        <x:v>4109905524</x:v>
      </x:c>
      <x:c r="J1316" s="47" t="n">
        <x:v>13562021</x:v>
      </x:c>
      <x:c r="K1316" s="53" t="b">
        <x:v>1</x:v>
      </x:c>
      <x:c r="L1316" s="53" t="b">
        <x:v>1</x:v>
      </x:c>
      <x:c r="M1316" s="53" t="b">
        <x:v>1</x:v>
      </x:c>
      <x:c r="N1316" s="53" t="b">
        <x:v>1</x:v>
      </x:c>
      <x:c r="O1316" s="53" t="b">
        <x:v>1</x:v>
      </x:c>
      <x:c r="P1316" s="47" t="n">
        <x:v>1011</x:v>
      </x:c>
      <x:c r="Q1316" s="47" t="n">
        <x:v>0</x:v>
      </x:c>
      <x:c r="R1316" s="47" t="n">
        <x:v>0</x:v>
      </x:c>
      <x:c r="S1316" s="47" t="n">
        <x:v>28.88</x:v>
      </x:c>
      <x:c r="T1316" s="47" t="n">
        <x:v>59.97</x:v>
      </x:c>
      <x:c r="U1316" s="47" t="n">
        <x:v>29.6</x:v>
      </x:c>
      <x:c r="V1316" s="47" t="n">
        <x:v>13</x:v>
      </x:c>
      <x:c r="W1316" s="47" t="n">
        <x:v>0</x:v>
      </x:c>
      <x:c r="X1316" s="47" t="n">
        <x:v>0</x:v>
      </x:c>
      <x:c r="Y1316" s="41" t="n">
        <x:v>0</x:v>
      </x:c>
    </x:row>
    <x:row r="1317">
      <x:c r="A1317" s="38" t="str">
        <x:v>7月30日现场数据</x:v>
      </x:c>
      <x:c r="B1317" s="66" t="str">
        <x:v>2026-08-04T03:08:57.874000</x:v>
      </x:c>
      <x:c r="C1317" s="47" t="n">
        <x:v>300978</x:v>
      </x:c>
      <x:c r="D1317" s="47" t="str"/>
      <x:c r="E1317" s="47" t="str"/>
      <x:c r="F1317" s="47" t="str">
        <x:v>current</x:v>
      </x:c>
      <x:c r="G1317" s="47" t="n">
        <x:v>1313</x:v>
      </x:c>
      <x:c r="H1317" s="53" t="b">
        <x:v>1</x:v>
      </x:c>
      <x:c r="I1317" s="47" t="str">
        <x:v>4109905524</x:v>
      </x:c>
      <x:c r="J1317" s="47" t="n">
        <x:v>13862999</x:v>
      </x:c>
      <x:c r="K1317" s="53" t="b">
        <x:v>1</x:v>
      </x:c>
      <x:c r="L1317" s="53" t="b">
        <x:v>1</x:v>
      </x:c>
      <x:c r="M1317" s="53" t="b">
        <x:v>1</x:v>
      </x:c>
      <x:c r="N1317" s="53" t="b">
        <x:v>1</x:v>
      </x:c>
      <x:c r="O1317" s="53" t="b">
        <x:v>1</x:v>
      </x:c>
      <x:c r="P1317" s="47" t="n">
        <x:v>1011</x:v>
      </x:c>
      <x:c r="Q1317" s="47" t="n">
        <x:v>0</x:v>
      </x:c>
      <x:c r="R1317" s="47" t="n">
        <x:v>0</x:v>
      </x:c>
      <x:c r="S1317" s="47" t="n">
        <x:v>28.9</x:v>
      </x:c>
      <x:c r="T1317" s="47" t="n">
        <x:v>60.07</x:v>
      </x:c>
      <x:c r="U1317" s="47" t="n">
        <x:v>29.6</x:v>
      </x:c>
      <x:c r="V1317" s="47" t="n">
        <x:v>13</x:v>
      </x:c>
      <x:c r="W1317" s="47" t="n">
        <x:v>0</x:v>
      </x:c>
      <x:c r="X1317" s="47" t="n">
        <x:v>0</x:v>
      </x:c>
      <x:c r="Y1317" s="41" t="n">
        <x:v>0</x:v>
      </x:c>
    </x:row>
    <x:row r="1318">
      <x:c r="A1318" s="38" t="str">
        <x:v>7月30日现场数据</x:v>
      </x:c>
      <x:c r="B1318" s="66" t="str">
        <x:v>2026-08-04T03:13:58.853000</x:v>
      </x:c>
      <x:c r="C1318" s="47" t="n">
        <x:v>300979</x:v>
      </x:c>
      <x:c r="D1318" s="47" t="str"/>
      <x:c r="E1318" s="47" t="str"/>
      <x:c r="F1318" s="47" t="str">
        <x:v>current</x:v>
      </x:c>
      <x:c r="G1318" s="47" t="n">
        <x:v>1314</x:v>
      </x:c>
      <x:c r="H1318" s="53" t="b">
        <x:v>1</x:v>
      </x:c>
      <x:c r="I1318" s="47" t="str">
        <x:v>4109905524</x:v>
      </x:c>
      <x:c r="J1318" s="47" t="n">
        <x:v>14163978</x:v>
      </x:c>
      <x:c r="K1318" s="53" t="b">
        <x:v>1</x:v>
      </x:c>
      <x:c r="L1318" s="53" t="b">
        <x:v>1</x:v>
      </x:c>
      <x:c r="M1318" s="53" t="b">
        <x:v>1</x:v>
      </x:c>
      <x:c r="N1318" s="53" t="b">
        <x:v>1</x:v>
      </x:c>
      <x:c r="O1318" s="53" t="b">
        <x:v>1</x:v>
      </x:c>
      <x:c r="P1318" s="47" t="n">
        <x:v>1011</x:v>
      </x:c>
      <x:c r="Q1318" s="47" t="n">
        <x:v>0</x:v>
      </x:c>
      <x:c r="R1318" s="47" t="n">
        <x:v>0</x:v>
      </x:c>
      <x:c r="S1318" s="47" t="n">
        <x:v>28.87</x:v>
      </x:c>
      <x:c r="T1318" s="47" t="n">
        <x:v>60.18</x:v>
      </x:c>
      <x:c r="U1318" s="47" t="n">
        <x:v>29.6</x:v>
      </x:c>
      <x:c r="V1318" s="47" t="n">
        <x:v>13</x:v>
      </x:c>
      <x:c r="W1318" s="47" t="n">
        <x:v>0</x:v>
      </x:c>
      <x:c r="X1318" s="47" t="n">
        <x:v>0</x:v>
      </x:c>
      <x:c r="Y1318" s="41" t="n">
        <x:v>0</x:v>
      </x:c>
    </x:row>
    <x:row r="1319">
      <x:c r="A1319" s="38" t="str">
        <x:v>7月30日现场数据</x:v>
      </x:c>
      <x:c r="B1319" s="66" t="str">
        <x:v>2026-08-04T03:18:59.833000</x:v>
      </x:c>
      <x:c r="C1319" s="47" t="n">
        <x:v>300980</x:v>
      </x:c>
      <x:c r="D1319" s="47" t="str"/>
      <x:c r="E1319" s="47" t="str"/>
      <x:c r="F1319" s="47" t="str">
        <x:v>current</x:v>
      </x:c>
      <x:c r="G1319" s="47" t="n">
        <x:v>1315</x:v>
      </x:c>
      <x:c r="H1319" s="53" t="b">
        <x:v>1</x:v>
      </x:c>
      <x:c r="I1319" s="47" t="str">
        <x:v>4109905524</x:v>
      </x:c>
      <x:c r="J1319" s="47" t="n">
        <x:v>14464958</x:v>
      </x:c>
      <x:c r="K1319" s="53" t="b">
        <x:v>1</x:v>
      </x:c>
      <x:c r="L1319" s="53" t="b">
        <x:v>1</x:v>
      </x:c>
      <x:c r="M1319" s="53" t="b">
        <x:v>1</x:v>
      </x:c>
      <x:c r="N1319" s="53" t="b">
        <x:v>1</x:v>
      </x:c>
      <x:c r="O1319" s="53" t="b">
        <x:v>1</x:v>
      </x:c>
      <x:c r="P1319" s="47" t="n">
        <x:v>1011</x:v>
      </x:c>
      <x:c r="Q1319" s="47" t="n">
        <x:v>0</x:v>
      </x:c>
      <x:c r="R1319" s="47" t="n">
        <x:v>0</x:v>
      </x:c>
      <x:c r="S1319" s="47" t="n">
        <x:v>28.86</x:v>
      </x:c>
      <x:c r="T1319" s="47" t="n">
        <x:v>60.22</x:v>
      </x:c>
      <x:c r="U1319" s="47" t="n">
        <x:v>29.6</x:v>
      </x:c>
      <x:c r="V1319" s="47" t="n">
        <x:v>13</x:v>
      </x:c>
      <x:c r="W1319" s="47" t="n">
        <x:v>0</x:v>
      </x:c>
      <x:c r="X1319" s="47" t="n">
        <x:v>0</x:v>
      </x:c>
      <x:c r="Y1319" s="41" t="n">
        <x:v>0</x:v>
      </x:c>
    </x:row>
    <x:row r="1320">
      <x:c r="A1320" s="38" t="str">
        <x:v>7月30日现场数据</x:v>
      </x:c>
      <x:c r="B1320" s="66" t="str">
        <x:v>2026-08-04T03:24:00.815000</x:v>
      </x:c>
      <x:c r="C1320" s="47" t="n">
        <x:v>300982</x:v>
      </x:c>
      <x:c r="D1320" s="47" t="str"/>
      <x:c r="E1320" s="47" t="str"/>
      <x:c r="F1320" s="47" t="str">
        <x:v>current</x:v>
      </x:c>
      <x:c r="G1320" s="47" t="n">
        <x:v>1316</x:v>
      </x:c>
      <x:c r="H1320" s="53" t="b">
        <x:v>1</x:v>
      </x:c>
      <x:c r="I1320" s="47" t="str">
        <x:v>4109905524</x:v>
      </x:c>
      <x:c r="J1320" s="47" t="n">
        <x:v>14765940</x:v>
      </x:c>
      <x:c r="K1320" s="53" t="b">
        <x:v>1</x:v>
      </x:c>
      <x:c r="L1320" s="53" t="b">
        <x:v>1</x:v>
      </x:c>
      <x:c r="M1320" s="53" t="b">
        <x:v>1</x:v>
      </x:c>
      <x:c r="N1320" s="53" t="b">
        <x:v>1</x:v>
      </x:c>
      <x:c r="O1320" s="53" t="b">
        <x:v>1</x:v>
      </x:c>
      <x:c r="P1320" s="47" t="n">
        <x:v>1011</x:v>
      </x:c>
      <x:c r="Q1320" s="47" t="n">
        <x:v>0</x:v>
      </x:c>
      <x:c r="R1320" s="47" t="n">
        <x:v>0</x:v>
      </x:c>
      <x:c r="S1320" s="47" t="n">
        <x:v>28.85</x:v>
      </x:c>
      <x:c r="T1320" s="47" t="n">
        <x:v>60.41</x:v>
      </x:c>
      <x:c r="U1320" s="47" t="n">
        <x:v>29.6</x:v>
      </x:c>
      <x:c r="V1320" s="47" t="n">
        <x:v>13</x:v>
      </x:c>
      <x:c r="W1320" s="47" t="n">
        <x:v>0</x:v>
      </x:c>
      <x:c r="X1320" s="47" t="n">
        <x:v>0</x:v>
      </x:c>
      <x:c r="Y1320" s="41" t="n">
        <x:v>0</x:v>
      </x:c>
    </x:row>
    <x:row r="1321">
      <x:c r="A1321" s="38" t="str">
        <x:v>7月30日现场数据</x:v>
      </x:c>
      <x:c r="B1321" s="66" t="str">
        <x:v>2026-08-04T03:29:01.799000</x:v>
      </x:c>
      <x:c r="C1321" s="47" t="n">
        <x:v>300984</x:v>
      </x:c>
      <x:c r="D1321" s="47" t="str"/>
      <x:c r="E1321" s="47" t="str"/>
      <x:c r="F1321" s="47" t="str">
        <x:v>current</x:v>
      </x:c>
      <x:c r="G1321" s="47" t="n">
        <x:v>1317</x:v>
      </x:c>
      <x:c r="H1321" s="53" t="b">
        <x:v>1</x:v>
      </x:c>
      <x:c r="I1321" s="47" t="str">
        <x:v>4109905524</x:v>
      </x:c>
      <x:c r="J1321" s="47" t="n">
        <x:v>15066924</x:v>
      </x:c>
      <x:c r="K1321" s="53" t="b">
        <x:v>1</x:v>
      </x:c>
      <x:c r="L1321" s="53" t="b">
        <x:v>1</x:v>
      </x:c>
      <x:c r="M1321" s="53" t="b">
        <x:v>1</x:v>
      </x:c>
      <x:c r="N1321" s="53" t="b">
        <x:v>1</x:v>
      </x:c>
      <x:c r="O1321" s="53" t="b">
        <x:v>1</x:v>
      </x:c>
      <x:c r="P1321" s="47" t="n">
        <x:v>1011</x:v>
      </x:c>
      <x:c r="Q1321" s="47" t="n">
        <x:v>0</x:v>
      </x:c>
      <x:c r="R1321" s="47" t="n">
        <x:v>0</x:v>
      </x:c>
      <x:c r="S1321" s="47" t="n">
        <x:v>28.85</x:v>
      </x:c>
      <x:c r="T1321" s="47" t="n">
        <x:v>60.47</x:v>
      </x:c>
      <x:c r="U1321" s="47" t="n">
        <x:v>29.6</x:v>
      </x:c>
      <x:c r="V1321" s="47" t="n">
        <x:v>13</x:v>
      </x:c>
      <x:c r="W1321" s="47" t="n">
        <x:v>0</x:v>
      </x:c>
      <x:c r="X1321" s="47" t="n">
        <x:v>0</x:v>
      </x:c>
      <x:c r="Y1321" s="41" t="n">
        <x:v>0</x:v>
      </x:c>
    </x:row>
    <x:row r="1322">
      <x:c r="A1322" s="38" t="str">
        <x:v>7月30日现场数据</x:v>
      </x:c>
      <x:c r="B1322" s="66" t="str">
        <x:v>2026-08-04T03:34:02.819000</x:v>
      </x:c>
      <x:c r="C1322" s="47" t="n">
        <x:v>301020</x:v>
      </x:c>
      <x:c r="D1322" s="47" t="str"/>
      <x:c r="E1322" s="47" t="str"/>
      <x:c r="F1322" s="47" t="str">
        <x:v>current</x:v>
      </x:c>
      <x:c r="G1322" s="47" t="n">
        <x:v>1318</x:v>
      </x:c>
      <x:c r="H1322" s="53" t="b">
        <x:v>1</x:v>
      </x:c>
      <x:c r="I1322" s="47" t="str">
        <x:v>4109905524</x:v>
      </x:c>
      <x:c r="J1322" s="47" t="n">
        <x:v>15367944</x:v>
      </x:c>
      <x:c r="K1322" s="53" t="b">
        <x:v>1</x:v>
      </x:c>
      <x:c r="L1322" s="53" t="b">
        <x:v>1</x:v>
      </x:c>
      <x:c r="M1322" s="53" t="b">
        <x:v>1</x:v>
      </x:c>
      <x:c r="N1322" s="53" t="b">
        <x:v>1</x:v>
      </x:c>
      <x:c r="O1322" s="53" t="b">
        <x:v>1</x:v>
      </x:c>
      <x:c r="P1322" s="47" t="n">
        <x:v>1011</x:v>
      </x:c>
      <x:c r="Q1322" s="47" t="n">
        <x:v>0</x:v>
      </x:c>
      <x:c r="R1322" s="47" t="n">
        <x:v>0</x:v>
      </x:c>
      <x:c r="S1322" s="47" t="n">
        <x:v>28.84</x:v>
      </x:c>
      <x:c r="T1322" s="47" t="n">
        <x:v>60.6</x:v>
      </x:c>
      <x:c r="U1322" s="47" t="n">
        <x:v>29.6</x:v>
      </x:c>
      <x:c r="V1322" s="47" t="n">
        <x:v>13</x:v>
      </x:c>
      <x:c r="W1322" s="47" t="n">
        <x:v>0</x:v>
      </x:c>
      <x:c r="X1322" s="47" t="n">
        <x:v>0</x:v>
      </x:c>
      <x:c r="Y1322" s="41" t="n">
        <x:v>0</x:v>
      </x:c>
    </x:row>
    <x:row r="1323">
      <x:c r="A1323" s="38" t="str">
        <x:v>7月30日现场数据</x:v>
      </x:c>
      <x:c r="B1323" s="66" t="str">
        <x:v>2026-08-04T03:39:03.779000</x:v>
      </x:c>
      <x:c r="C1323" s="47" t="n">
        <x:v>300960</x:v>
      </x:c>
      <x:c r="D1323" s="47" t="str"/>
      <x:c r="E1323" s="47" t="str"/>
      <x:c r="F1323" s="47" t="str">
        <x:v>current</x:v>
      </x:c>
      <x:c r="G1323" s="47" t="n">
        <x:v>1319</x:v>
      </x:c>
      <x:c r="H1323" s="53" t="b">
        <x:v>1</x:v>
      </x:c>
      <x:c r="I1323" s="47" t="str">
        <x:v>4109905524</x:v>
      </x:c>
      <x:c r="J1323" s="47" t="n">
        <x:v>15668904</x:v>
      </x:c>
      <x:c r="K1323" s="53" t="b">
        <x:v>1</x:v>
      </x:c>
      <x:c r="L1323" s="53" t="b">
        <x:v>1</x:v>
      </x:c>
      <x:c r="M1323" s="53" t="b">
        <x:v>1</x:v>
      </x:c>
      <x:c r="N1323" s="53" t="b">
        <x:v>1</x:v>
      </x:c>
      <x:c r="O1323" s="53" t="b">
        <x:v>1</x:v>
      </x:c>
      <x:c r="P1323" s="47" t="n">
        <x:v>1011</x:v>
      </x:c>
      <x:c r="Q1323" s="47" t="n">
        <x:v>0</x:v>
      </x:c>
      <x:c r="R1323" s="47" t="n">
        <x:v>0</x:v>
      </x:c>
      <x:c r="S1323" s="47" t="n">
        <x:v>28.82</x:v>
      </x:c>
      <x:c r="T1323" s="47" t="n">
        <x:v>60.69</x:v>
      </x:c>
      <x:c r="U1323" s="47" t="n">
        <x:v>29.6</x:v>
      </x:c>
      <x:c r="V1323" s="47" t="n">
        <x:v>13</x:v>
      </x:c>
      <x:c r="W1323" s="47" t="n">
        <x:v>0</x:v>
      </x:c>
      <x:c r="X1323" s="47" t="n">
        <x:v>0</x:v>
      </x:c>
      <x:c r="Y1323" s="41" t="n">
        <x:v>0</x:v>
      </x:c>
    </x:row>
    <x:row r="1324">
      <x:c r="A1324" s="38" t="str">
        <x:v>7月30日现场数据</x:v>
      </x:c>
      <x:c r="B1324" s="66" t="str">
        <x:v>2026-08-04T03:44:04.743000</x:v>
      </x:c>
      <x:c r="C1324" s="47" t="n">
        <x:v>300964</x:v>
      </x:c>
      <x:c r="D1324" s="47" t="str"/>
      <x:c r="E1324" s="47" t="str"/>
      <x:c r="F1324" s="47" t="str">
        <x:v>current</x:v>
      </x:c>
      <x:c r="G1324" s="47" t="n">
        <x:v>1320</x:v>
      </x:c>
      <x:c r="H1324" s="53" t="b">
        <x:v>1</x:v>
      </x:c>
      <x:c r="I1324" s="47" t="str">
        <x:v>4109905524</x:v>
      </x:c>
      <x:c r="J1324" s="47" t="n">
        <x:v>15969868</x:v>
      </x:c>
      <x:c r="K1324" s="53" t="b">
        <x:v>1</x:v>
      </x:c>
      <x:c r="L1324" s="53" t="b">
        <x:v>1</x:v>
      </x:c>
      <x:c r="M1324" s="53" t="b">
        <x:v>1</x:v>
      </x:c>
      <x:c r="N1324" s="53" t="b">
        <x:v>1</x:v>
      </x:c>
      <x:c r="O1324" s="53" t="b">
        <x:v>1</x:v>
      </x:c>
      <x:c r="P1324" s="47" t="n">
        <x:v>1011</x:v>
      </x:c>
      <x:c r="Q1324" s="47" t="n">
        <x:v>0</x:v>
      </x:c>
      <x:c r="R1324" s="47" t="n">
        <x:v>0</x:v>
      </x:c>
      <x:c r="S1324" s="47" t="n">
        <x:v>28.8</x:v>
      </x:c>
      <x:c r="T1324" s="47" t="n">
        <x:v>60.82</x:v>
      </x:c>
      <x:c r="U1324" s="47" t="n">
        <x:v>29.6</x:v>
      </x:c>
      <x:c r="V1324" s="47" t="n">
        <x:v>13</x:v>
      </x:c>
      <x:c r="W1324" s="47" t="n">
        <x:v>0</x:v>
      </x:c>
      <x:c r="X1324" s="47" t="n">
        <x:v>0</x:v>
      </x:c>
      <x:c r="Y1324" s="41" t="n">
        <x:v>0</x:v>
      </x:c>
    </x:row>
    <x:row r="1325">
      <x:c r="A1325" s="38" t="str">
        <x:v>7月30日现场数据</x:v>
      </x:c>
      <x:c r="B1325" s="66" t="str">
        <x:v>2026-08-04T03:49:05.709000</x:v>
      </x:c>
      <x:c r="C1325" s="47" t="n">
        <x:v>300966</x:v>
      </x:c>
      <x:c r="D1325" s="47" t="str"/>
      <x:c r="E1325" s="47" t="str"/>
      <x:c r="F1325" s="47" t="str">
        <x:v>current</x:v>
      </x:c>
      <x:c r="G1325" s="47" t="n">
        <x:v>1321</x:v>
      </x:c>
      <x:c r="H1325" s="53" t="b">
        <x:v>1</x:v>
      </x:c>
      <x:c r="I1325" s="47" t="str">
        <x:v>4109905524</x:v>
      </x:c>
      <x:c r="J1325" s="47" t="n">
        <x:v>16270834</x:v>
      </x:c>
      <x:c r="K1325" s="53" t="b">
        <x:v>1</x:v>
      </x:c>
      <x:c r="L1325" s="53" t="b">
        <x:v>1</x:v>
      </x:c>
      <x:c r="M1325" s="53" t="b">
        <x:v>1</x:v>
      </x:c>
      <x:c r="N1325" s="53" t="b">
        <x:v>1</x:v>
      </x:c>
      <x:c r="O1325" s="53" t="b">
        <x:v>1</x:v>
      </x:c>
      <x:c r="P1325" s="47" t="n">
        <x:v>1011</x:v>
      </x:c>
      <x:c r="Q1325" s="47" t="n">
        <x:v>0</x:v>
      </x:c>
      <x:c r="R1325" s="47" t="n">
        <x:v>0</x:v>
      </x:c>
      <x:c r="S1325" s="47" t="n">
        <x:v>28.77</x:v>
      </x:c>
      <x:c r="T1325" s="47" t="n">
        <x:v>60.92</x:v>
      </x:c>
      <x:c r="U1325" s="47" t="n">
        <x:v>29.6</x:v>
      </x:c>
      <x:c r="V1325" s="47" t="n">
        <x:v>13</x:v>
      </x:c>
      <x:c r="W1325" s="47" t="n">
        <x:v>0</x:v>
      </x:c>
      <x:c r="X1325" s="47" t="n">
        <x:v>0</x:v>
      </x:c>
      <x:c r="Y1325" s="41" t="n">
        <x:v>0</x:v>
      </x:c>
    </x:row>
    <x:row r="1326">
      <x:c r="A1326" s="38" t="str">
        <x:v>7月30日现场数据</x:v>
      </x:c>
      <x:c r="B1326" s="66" t="str">
        <x:v>2026-08-04T03:54:06.677000</x:v>
      </x:c>
      <x:c r="C1326" s="47" t="n">
        <x:v>300968</x:v>
      </x:c>
      <x:c r="D1326" s="47" t="str"/>
      <x:c r="E1326" s="47" t="str"/>
      <x:c r="F1326" s="47" t="str">
        <x:v>current</x:v>
      </x:c>
      <x:c r="G1326" s="47" t="n">
        <x:v>1322</x:v>
      </x:c>
      <x:c r="H1326" s="53" t="b">
        <x:v>1</x:v>
      </x:c>
      <x:c r="I1326" s="47" t="str">
        <x:v>4109905524</x:v>
      </x:c>
      <x:c r="J1326" s="47" t="n">
        <x:v>16571802</x:v>
      </x:c>
      <x:c r="K1326" s="53" t="b">
        <x:v>1</x:v>
      </x:c>
      <x:c r="L1326" s="53" t="b">
        <x:v>1</x:v>
      </x:c>
      <x:c r="M1326" s="53" t="b">
        <x:v>1</x:v>
      </x:c>
      <x:c r="N1326" s="53" t="b">
        <x:v>1</x:v>
      </x:c>
      <x:c r="O1326" s="53" t="b">
        <x:v>1</x:v>
      </x:c>
      <x:c r="P1326" s="47" t="n">
        <x:v>1011</x:v>
      </x:c>
      <x:c r="Q1326" s="47" t="n">
        <x:v>0</x:v>
      </x:c>
      <x:c r="R1326" s="47" t="n">
        <x:v>0</x:v>
      </x:c>
      <x:c r="S1326" s="47" t="n">
        <x:v>28.77</x:v>
      </x:c>
      <x:c r="T1326" s="47" t="n">
        <x:v>60.99</x:v>
      </x:c>
      <x:c r="U1326" s="47" t="n">
        <x:v>29.6</x:v>
      </x:c>
      <x:c r="V1326" s="47" t="n">
        <x:v>13</x:v>
      </x:c>
      <x:c r="W1326" s="47" t="n">
        <x:v>0</x:v>
      </x:c>
      <x:c r="X1326" s="47" t="n">
        <x:v>0</x:v>
      </x:c>
      <x:c r="Y1326" s="41" t="n">
        <x:v>0</x:v>
      </x:c>
    </x:row>
    <x:row r="1327">
      <x:c r="A1327" s="38" t="str">
        <x:v>7月30日现场数据</x:v>
      </x:c>
      <x:c r="B1327" s="66" t="str">
        <x:v>2026-08-04T03:59:07.645000</x:v>
      </x:c>
      <x:c r="C1327" s="47" t="n">
        <x:v>300968</x:v>
      </x:c>
      <x:c r="D1327" s="47" t="str"/>
      <x:c r="E1327" s="47" t="str"/>
      <x:c r="F1327" s="47" t="str">
        <x:v>current</x:v>
      </x:c>
      <x:c r="G1327" s="47" t="n">
        <x:v>1323</x:v>
      </x:c>
      <x:c r="H1327" s="53" t="b">
        <x:v>1</x:v>
      </x:c>
      <x:c r="I1327" s="47" t="str">
        <x:v>4109905524</x:v>
      </x:c>
      <x:c r="J1327" s="47" t="n">
        <x:v>16872770</x:v>
      </x:c>
      <x:c r="K1327" s="53" t="b">
        <x:v>1</x:v>
      </x:c>
      <x:c r="L1327" s="53" t="b">
        <x:v>1</x:v>
      </x:c>
      <x:c r="M1327" s="53" t="b">
        <x:v>1</x:v>
      </x:c>
      <x:c r="N1327" s="53" t="b">
        <x:v>1</x:v>
      </x:c>
      <x:c r="O1327" s="53" t="b">
        <x:v>1</x:v>
      </x:c>
      <x:c r="P1327" s="47" t="n">
        <x:v>1010</x:v>
      </x:c>
      <x:c r="Q1327" s="47" t="n">
        <x:v>0</x:v>
      </x:c>
      <x:c r="R1327" s="47" t="n">
        <x:v>0</x:v>
      </x:c>
      <x:c r="S1327" s="47" t="n">
        <x:v>28.76</x:v>
      </x:c>
      <x:c r="T1327" s="47" t="n">
        <x:v>61.09</x:v>
      </x:c>
      <x:c r="U1327" s="47" t="n">
        <x:v>29.6</x:v>
      </x:c>
      <x:c r="V1327" s="47" t="n">
        <x:v>13</x:v>
      </x:c>
      <x:c r="W1327" s="47" t="n">
        <x:v>0</x:v>
      </x:c>
      <x:c r="X1327" s="47" t="n">
        <x:v>0</x:v>
      </x:c>
      <x:c r="Y1327" s="41" t="n">
        <x:v>0</x:v>
      </x:c>
    </x:row>
    <x:row r="1328">
      <x:c r="A1328" s="38" t="str">
        <x:v>7月30日现场数据</x:v>
      </x:c>
      <x:c r="B1328" s="66" t="str">
        <x:v>2026-08-04T04:04:08.617000</x:v>
      </x:c>
      <x:c r="C1328" s="47" t="n">
        <x:v>300972</x:v>
      </x:c>
      <x:c r="D1328" s="47" t="str"/>
      <x:c r="E1328" s="47" t="str"/>
      <x:c r="F1328" s="47" t="str">
        <x:v>current</x:v>
      </x:c>
      <x:c r="G1328" s="47" t="n">
        <x:v>1324</x:v>
      </x:c>
      <x:c r="H1328" s="53" t="b">
        <x:v>1</x:v>
      </x:c>
      <x:c r="I1328" s="47" t="str">
        <x:v>4109905524</x:v>
      </x:c>
      <x:c r="J1328" s="47" t="n">
        <x:v>17173742</x:v>
      </x:c>
      <x:c r="K1328" s="53" t="b">
        <x:v>1</x:v>
      </x:c>
      <x:c r="L1328" s="53" t="b">
        <x:v>1</x:v>
      </x:c>
      <x:c r="M1328" s="53" t="b">
        <x:v>1</x:v>
      </x:c>
      <x:c r="N1328" s="53" t="b">
        <x:v>1</x:v>
      </x:c>
      <x:c r="O1328" s="53" t="b">
        <x:v>1</x:v>
      </x:c>
      <x:c r="P1328" s="47" t="n">
        <x:v>1011</x:v>
      </x:c>
      <x:c r="Q1328" s="47" t="n">
        <x:v>0</x:v>
      </x:c>
      <x:c r="R1328" s="47" t="n">
        <x:v>0</x:v>
      </x:c>
      <x:c r="S1328" s="47" t="n">
        <x:v>28.74</x:v>
      </x:c>
      <x:c r="T1328" s="47" t="n">
        <x:v>61.19</x:v>
      </x:c>
      <x:c r="U1328" s="47" t="n">
        <x:v>29.6</x:v>
      </x:c>
      <x:c r="V1328" s="47" t="n">
        <x:v>12.9</x:v>
      </x:c>
      <x:c r="W1328" s="47" t="n">
        <x:v>0</x:v>
      </x:c>
      <x:c r="X1328" s="47" t="n">
        <x:v>0</x:v>
      </x:c>
      <x:c r="Y1328" s="41" t="n">
        <x:v>0</x:v>
      </x:c>
    </x:row>
    <x:row r="1329">
      <x:c r="A1329" s="38" t="str">
        <x:v>7月30日现场数据</x:v>
      </x:c>
      <x:c r="B1329" s="66" t="str">
        <x:v>2026-08-04T04:09:09.590000</x:v>
      </x:c>
      <x:c r="C1329" s="47" t="n">
        <x:v>300973</x:v>
      </x:c>
      <x:c r="D1329" s="47" t="str"/>
      <x:c r="E1329" s="47" t="str"/>
      <x:c r="F1329" s="47" t="str">
        <x:v>current</x:v>
      </x:c>
      <x:c r="G1329" s="47" t="n">
        <x:v>1325</x:v>
      </x:c>
      <x:c r="H1329" s="53" t="b">
        <x:v>1</x:v>
      </x:c>
      <x:c r="I1329" s="47" t="str">
        <x:v>4109905524</x:v>
      </x:c>
      <x:c r="J1329" s="47" t="n">
        <x:v>17474715</x:v>
      </x:c>
      <x:c r="K1329" s="53" t="b">
        <x:v>1</x:v>
      </x:c>
      <x:c r="L1329" s="53" t="b">
        <x:v>1</x:v>
      </x:c>
      <x:c r="M1329" s="53" t="b">
        <x:v>1</x:v>
      </x:c>
      <x:c r="N1329" s="53" t="b">
        <x:v>1</x:v>
      </x:c>
      <x:c r="O1329" s="53" t="b">
        <x:v>1</x:v>
      </x:c>
      <x:c r="P1329" s="47" t="n">
        <x:v>1011</x:v>
      </x:c>
      <x:c r="Q1329" s="47" t="n">
        <x:v>0</x:v>
      </x:c>
      <x:c r="R1329" s="47" t="n">
        <x:v>0</x:v>
      </x:c>
      <x:c r="S1329" s="47" t="n">
        <x:v>28.73</x:v>
      </x:c>
      <x:c r="T1329" s="47" t="n">
        <x:v>61.29</x:v>
      </x:c>
      <x:c r="U1329" s="47" t="n">
        <x:v>29.6</x:v>
      </x:c>
      <x:c r="V1329" s="47" t="n">
        <x:v>13</x:v>
      </x:c>
      <x:c r="W1329" s="47" t="n">
        <x:v>0</x:v>
      </x:c>
      <x:c r="X1329" s="47" t="n">
        <x:v>0</x:v>
      </x:c>
      <x:c r="Y1329" s="41" t="n">
        <x:v>0</x:v>
      </x:c>
    </x:row>
    <x:row r="1330">
      <x:c r="A1330" s="38" t="str">
        <x:v>7月30日现场数据</x:v>
      </x:c>
      <x:c r="B1330" s="66" t="str">
        <x:v>2026-08-04T04:14:10.566000</x:v>
      </x:c>
      <x:c r="C1330" s="47" t="n">
        <x:v>300976</x:v>
      </x:c>
      <x:c r="D1330" s="47" t="str"/>
      <x:c r="E1330" s="47" t="str"/>
      <x:c r="F1330" s="47" t="str">
        <x:v>current</x:v>
      </x:c>
      <x:c r="G1330" s="47" t="n">
        <x:v>1326</x:v>
      </x:c>
      <x:c r="H1330" s="53" t="b">
        <x:v>1</x:v>
      </x:c>
      <x:c r="I1330" s="47" t="str">
        <x:v>4109905524</x:v>
      </x:c>
      <x:c r="J1330" s="47" t="n">
        <x:v>17775691</x:v>
      </x:c>
      <x:c r="K1330" s="53" t="b">
        <x:v>1</x:v>
      </x:c>
      <x:c r="L1330" s="53" t="b">
        <x:v>1</x:v>
      </x:c>
      <x:c r="M1330" s="53" t="b">
        <x:v>1</x:v>
      </x:c>
      <x:c r="N1330" s="53" t="b">
        <x:v>1</x:v>
      </x:c>
      <x:c r="O1330" s="53" t="b">
        <x:v>1</x:v>
      </x:c>
      <x:c r="P1330" s="47" t="n">
        <x:v>1011</x:v>
      </x:c>
      <x:c r="Q1330" s="47" t="n">
        <x:v>0</x:v>
      </x:c>
      <x:c r="R1330" s="47" t="n">
        <x:v>0</x:v>
      </x:c>
      <x:c r="S1330" s="47" t="n">
        <x:v>28.72</x:v>
      </x:c>
      <x:c r="T1330" s="47" t="n">
        <x:v>61.41</x:v>
      </x:c>
      <x:c r="U1330" s="47" t="n">
        <x:v>29.5</x:v>
      </x:c>
      <x:c r="V1330" s="47" t="n">
        <x:v>13</x:v>
      </x:c>
      <x:c r="W1330" s="47" t="n">
        <x:v>0</x:v>
      </x:c>
      <x:c r="X1330" s="47" t="n">
        <x:v>0</x:v>
      </x:c>
      <x:c r="Y1330" s="41" t="n">
        <x:v>0</x:v>
      </x:c>
    </x:row>
    <x:row r="1331">
      <x:c r="A1331" s="38" t="str">
        <x:v>7月30日现场数据</x:v>
      </x:c>
      <x:c r="B1331" s="66" t="str">
        <x:v>2026-08-04T04:19:11.543000</x:v>
      </x:c>
      <x:c r="C1331" s="47" t="n">
        <x:v>300977</x:v>
      </x:c>
      <x:c r="D1331" s="47" t="str"/>
      <x:c r="E1331" s="47" t="str"/>
      <x:c r="F1331" s="47" t="str">
        <x:v>current</x:v>
      </x:c>
      <x:c r="G1331" s="47" t="n">
        <x:v>1327</x:v>
      </x:c>
      <x:c r="H1331" s="53" t="b">
        <x:v>1</x:v>
      </x:c>
      <x:c r="I1331" s="47" t="str">
        <x:v>4109905524</x:v>
      </x:c>
      <x:c r="J1331" s="47" t="n">
        <x:v>18076668</x:v>
      </x:c>
      <x:c r="K1331" s="53" t="b">
        <x:v>1</x:v>
      </x:c>
      <x:c r="L1331" s="53" t="b">
        <x:v>1</x:v>
      </x:c>
      <x:c r="M1331" s="53" t="b">
        <x:v>1</x:v>
      </x:c>
      <x:c r="N1331" s="53" t="b">
        <x:v>1</x:v>
      </x:c>
      <x:c r="O1331" s="53" t="b">
        <x:v>1</x:v>
      </x:c>
      <x:c r="P1331" s="47" t="n">
        <x:v>1011</x:v>
      </x:c>
      <x:c r="Q1331" s="47" t="n">
        <x:v>0</x:v>
      </x:c>
      <x:c r="R1331" s="47" t="n">
        <x:v>0</x:v>
      </x:c>
      <x:c r="S1331" s="47" t="n">
        <x:v>28.71</x:v>
      </x:c>
      <x:c r="T1331" s="47" t="n">
        <x:v>61.55</x:v>
      </x:c>
      <x:c r="U1331" s="47" t="n">
        <x:v>29.5</x:v>
      </x:c>
      <x:c r="V1331" s="47" t="n">
        <x:v>13</x:v>
      </x:c>
      <x:c r="W1331" s="47" t="n">
        <x:v>0</x:v>
      </x:c>
      <x:c r="X1331" s="47" t="n">
        <x:v>0</x:v>
      </x:c>
      <x:c r="Y1331" s="41" t="n">
        <x:v>0</x:v>
      </x:c>
    </x:row>
    <x:row r="1332">
      <x:c r="A1332" s="38" t="str">
        <x:v>7月30日现场数据</x:v>
      </x:c>
      <x:c r="B1332" s="66" t="str">
        <x:v>2026-08-04T04:24:12.522000</x:v>
      </x:c>
      <x:c r="C1332" s="47" t="n">
        <x:v>300979</x:v>
      </x:c>
      <x:c r="D1332" s="47" t="str"/>
      <x:c r="E1332" s="47" t="str"/>
      <x:c r="F1332" s="47" t="str">
        <x:v>current</x:v>
      </x:c>
      <x:c r="G1332" s="47" t="n">
        <x:v>1328</x:v>
      </x:c>
      <x:c r="H1332" s="53" t="b">
        <x:v>1</x:v>
      </x:c>
      <x:c r="I1332" s="47" t="str">
        <x:v>4109905524</x:v>
      </x:c>
      <x:c r="J1332" s="47" t="n">
        <x:v>18377647</x:v>
      </x:c>
      <x:c r="K1332" s="53" t="b">
        <x:v>1</x:v>
      </x:c>
      <x:c r="L1332" s="53" t="b">
        <x:v>1</x:v>
      </x:c>
      <x:c r="M1332" s="53" t="b">
        <x:v>1</x:v>
      </x:c>
      <x:c r="N1332" s="53" t="b">
        <x:v>1</x:v>
      </x:c>
      <x:c r="O1332" s="53" t="b">
        <x:v>1</x:v>
      </x:c>
      <x:c r="P1332" s="47" t="n">
        <x:v>1011</x:v>
      </x:c>
      <x:c r="Q1332" s="47" t="n">
        <x:v>0.133</x:v>
      </x:c>
      <x:c r="R1332" s="47" t="n">
        <x:v>3.593</x:v>
      </x:c>
      <x:c r="S1332" s="47" t="n">
        <x:v>28.71</x:v>
      </x:c>
      <x:c r="T1332" s="47" t="n">
        <x:v>61.6</x:v>
      </x:c>
      <x:c r="U1332" s="47" t="n">
        <x:v>29.5</x:v>
      </x:c>
      <x:c r="V1332" s="47" t="n">
        <x:v>13</x:v>
      </x:c>
      <x:c r="W1332" s="47" t="n">
        <x:v>0</x:v>
      </x:c>
      <x:c r="X1332" s="47" t="n">
        <x:v>0</x:v>
      </x:c>
      <x:c r="Y1332" s="41" t="n">
        <x:v>0</x:v>
      </x:c>
    </x:row>
    <x:row r="1333">
      <x:c r="A1333" s="38" t="str">
        <x:v>7月30日现场数据</x:v>
      </x:c>
      <x:c r="B1333" s="66" t="str">
        <x:v>2026-08-04T04:29:13.503000</x:v>
      </x:c>
      <x:c r="C1333" s="47" t="n">
        <x:v>300981</x:v>
      </x:c>
      <x:c r="D1333" s="47" t="str"/>
      <x:c r="E1333" s="47" t="str"/>
      <x:c r="F1333" s="47" t="str">
        <x:v>current</x:v>
      </x:c>
      <x:c r="G1333" s="47" t="n">
        <x:v>1329</x:v>
      </x:c>
      <x:c r="H1333" s="53" t="b">
        <x:v>1</x:v>
      </x:c>
      <x:c r="I1333" s="47" t="str">
        <x:v>4109905524</x:v>
      </x:c>
      <x:c r="J1333" s="47" t="n">
        <x:v>18678628</x:v>
      </x:c>
      <x:c r="K1333" s="53" t="b">
        <x:v>1</x:v>
      </x:c>
      <x:c r="L1333" s="53" t="b">
        <x:v>1</x:v>
      </x:c>
      <x:c r="M1333" s="53" t="b">
        <x:v>1</x:v>
      </x:c>
      <x:c r="N1333" s="53" t="b">
        <x:v>1</x:v>
      </x:c>
      <x:c r="O1333" s="53" t="b">
        <x:v>1</x:v>
      </x:c>
      <x:c r="P1333" s="47" t="n">
        <x:v>1011</x:v>
      </x:c>
      <x:c r="Q1333" s="47" t="n">
        <x:v>0</x:v>
      </x:c>
      <x:c r="R1333" s="47" t="n">
        <x:v>0</x:v>
      </x:c>
      <x:c r="S1333" s="47" t="n">
        <x:v>28.7</x:v>
      </x:c>
      <x:c r="T1333" s="47" t="n">
        <x:v>61.7</x:v>
      </x:c>
      <x:c r="U1333" s="47" t="n">
        <x:v>29.5</x:v>
      </x:c>
      <x:c r="V1333" s="47" t="n">
        <x:v>13</x:v>
      </x:c>
      <x:c r="W1333" s="47" t="n">
        <x:v>0</x:v>
      </x:c>
      <x:c r="X1333" s="47" t="n">
        <x:v>0</x:v>
      </x:c>
      <x:c r="Y1333" s="41" t="n">
        <x:v>0</x:v>
      </x:c>
    </x:row>
    <x:row r="1334">
      <x:c r="A1334" s="38" t="str">
        <x:v>7月30日现场数据</x:v>
      </x:c>
      <x:c r="B1334" s="66" t="str">
        <x:v>2026-08-04T04:34:14.483000</x:v>
      </x:c>
      <x:c r="C1334" s="47" t="n">
        <x:v>300980</x:v>
      </x:c>
      <x:c r="D1334" s="47" t="str"/>
      <x:c r="E1334" s="47" t="str"/>
      <x:c r="F1334" s="47" t="str">
        <x:v>current</x:v>
      </x:c>
      <x:c r="G1334" s="47" t="n">
        <x:v>1330</x:v>
      </x:c>
      <x:c r="H1334" s="53" t="b">
        <x:v>1</x:v>
      </x:c>
      <x:c r="I1334" s="47" t="str">
        <x:v>4109905524</x:v>
      </x:c>
      <x:c r="J1334" s="47" t="n">
        <x:v>18979608</x:v>
      </x:c>
      <x:c r="K1334" s="53" t="b">
        <x:v>1</x:v>
      </x:c>
      <x:c r="L1334" s="53" t="b">
        <x:v>1</x:v>
      </x:c>
      <x:c r="M1334" s="53" t="b">
        <x:v>1</x:v>
      </x:c>
      <x:c r="N1334" s="53" t="b">
        <x:v>1</x:v>
      </x:c>
      <x:c r="O1334" s="53" t="b">
        <x:v>1</x:v>
      </x:c>
      <x:c r="P1334" s="47" t="n">
        <x:v>1011</x:v>
      </x:c>
      <x:c r="Q1334" s="47" t="n">
        <x:v>0</x:v>
      </x:c>
      <x:c r="R1334" s="47" t="n">
        <x:v>0</x:v>
      </x:c>
      <x:c r="S1334" s="47" t="n">
        <x:v>28.68</x:v>
      </x:c>
      <x:c r="T1334" s="47" t="n">
        <x:v>61.77</x:v>
      </x:c>
      <x:c r="U1334" s="47" t="n">
        <x:v>29.5</x:v>
      </x:c>
      <x:c r="V1334" s="47" t="n">
        <x:v>13</x:v>
      </x:c>
      <x:c r="W1334" s="47" t="n">
        <x:v>0</x:v>
      </x:c>
      <x:c r="X1334" s="47" t="n">
        <x:v>0</x:v>
      </x:c>
      <x:c r="Y1334" s="41" t="n">
        <x:v>0</x:v>
      </x:c>
    </x:row>
    <x:row r="1335">
      <x:c r="A1335" s="38" t="str">
        <x:v>7月30日现场数据</x:v>
      </x:c>
      <x:c r="B1335" s="66" t="str">
        <x:v>2026-08-04T04:39:15.465000</x:v>
      </x:c>
      <x:c r="C1335" s="47" t="n">
        <x:v>300982</x:v>
      </x:c>
      <x:c r="D1335" s="47" t="str"/>
      <x:c r="E1335" s="47" t="str"/>
      <x:c r="F1335" s="47" t="str">
        <x:v>current</x:v>
      </x:c>
      <x:c r="G1335" s="47" t="n">
        <x:v>1331</x:v>
      </x:c>
      <x:c r="H1335" s="53" t="b">
        <x:v>1</x:v>
      </x:c>
      <x:c r="I1335" s="47" t="str">
        <x:v>4109905524</x:v>
      </x:c>
      <x:c r="J1335" s="47" t="n">
        <x:v>19280590</x:v>
      </x:c>
      <x:c r="K1335" s="53" t="b">
        <x:v>1</x:v>
      </x:c>
      <x:c r="L1335" s="53" t="b">
        <x:v>1</x:v>
      </x:c>
      <x:c r="M1335" s="53" t="b">
        <x:v>1</x:v>
      </x:c>
      <x:c r="N1335" s="53" t="b">
        <x:v>1</x:v>
      </x:c>
      <x:c r="O1335" s="53" t="b">
        <x:v>1</x:v>
      </x:c>
      <x:c r="P1335" s="47" t="n">
        <x:v>1011</x:v>
      </x:c>
      <x:c r="Q1335" s="47" t="n">
        <x:v>0</x:v>
      </x:c>
      <x:c r="R1335" s="47" t="n">
        <x:v>0</x:v>
      </x:c>
      <x:c r="S1335" s="47" t="n">
        <x:v>28.67</x:v>
      </x:c>
      <x:c r="T1335" s="47" t="n">
        <x:v>61.89</x:v>
      </x:c>
      <x:c r="U1335" s="47" t="n">
        <x:v>29.5</x:v>
      </x:c>
      <x:c r="V1335" s="47" t="n">
        <x:v>13</x:v>
      </x:c>
      <x:c r="W1335" s="47" t="n">
        <x:v>0</x:v>
      </x:c>
      <x:c r="X1335" s="47" t="n">
        <x:v>0</x:v>
      </x:c>
      <x:c r="Y1335" s="41" t="n">
        <x:v>0</x:v>
      </x:c>
    </x:row>
    <x:row r="1336">
      <x:c r="A1336" s="38" t="str">
        <x:v>7月30日现场数据</x:v>
      </x:c>
      <x:c r="B1336" s="66" t="str">
        <x:v>2026-08-04T04:44:16.450000</x:v>
      </x:c>
      <x:c r="C1336" s="47" t="n">
        <x:v>300985</x:v>
      </x:c>
      <x:c r="D1336" s="47" t="str"/>
      <x:c r="E1336" s="47" t="str"/>
      <x:c r="F1336" s="47" t="str">
        <x:v>current</x:v>
      </x:c>
      <x:c r="G1336" s="47" t="n">
        <x:v>1332</x:v>
      </x:c>
      <x:c r="H1336" s="53" t="b">
        <x:v>1</x:v>
      </x:c>
      <x:c r="I1336" s="47" t="str">
        <x:v>4109905524</x:v>
      </x:c>
      <x:c r="J1336" s="47" t="n">
        <x:v>19581575</x:v>
      </x:c>
      <x:c r="K1336" s="53" t="b">
        <x:v>1</x:v>
      </x:c>
      <x:c r="L1336" s="53" t="b">
        <x:v>1</x:v>
      </x:c>
      <x:c r="M1336" s="53" t="b">
        <x:v>1</x:v>
      </x:c>
      <x:c r="N1336" s="53" t="b">
        <x:v>1</x:v>
      </x:c>
      <x:c r="O1336" s="53" t="b">
        <x:v>1</x:v>
      </x:c>
      <x:c r="P1336" s="47" t="n">
        <x:v>1011</x:v>
      </x:c>
      <x:c r="Q1336" s="47" t="n">
        <x:v>0</x:v>
      </x:c>
      <x:c r="R1336" s="47" t="n">
        <x:v>0</x:v>
      </x:c>
      <x:c r="S1336" s="47" t="n">
        <x:v>28.63</x:v>
      </x:c>
      <x:c r="T1336" s="47" t="n">
        <x:v>61.99</x:v>
      </x:c>
      <x:c r="U1336" s="47" t="n">
        <x:v>29.5</x:v>
      </x:c>
      <x:c r="V1336" s="47" t="n">
        <x:v>13</x:v>
      </x:c>
      <x:c r="W1336" s="47" t="n">
        <x:v>0</x:v>
      </x:c>
      <x:c r="X1336" s="47" t="n">
        <x:v>0</x:v>
      </x:c>
      <x:c r="Y1336" s="41" t="n">
        <x:v>0</x:v>
      </x:c>
    </x:row>
    <x:row r="1337">
      <x:c r="A1337" s="38" t="str">
        <x:v>7月30日现场数据</x:v>
      </x:c>
      <x:c r="B1337" s="66" t="str">
        <x:v>2026-08-04T04:49:17.437000</x:v>
      </x:c>
      <x:c r="C1337" s="47" t="n">
        <x:v>300987</x:v>
      </x:c>
      <x:c r="D1337" s="47" t="str"/>
      <x:c r="E1337" s="47" t="str"/>
      <x:c r="F1337" s="47" t="str">
        <x:v>current</x:v>
      </x:c>
      <x:c r="G1337" s="47" t="n">
        <x:v>1333</x:v>
      </x:c>
      <x:c r="H1337" s="53" t="b">
        <x:v>1</x:v>
      </x:c>
      <x:c r="I1337" s="47" t="str">
        <x:v>4109905524</x:v>
      </x:c>
      <x:c r="J1337" s="47" t="n">
        <x:v>19882562</x:v>
      </x:c>
      <x:c r="K1337" s="53" t="b">
        <x:v>1</x:v>
      </x:c>
      <x:c r="L1337" s="53" t="b">
        <x:v>1</x:v>
      </x:c>
      <x:c r="M1337" s="53" t="b">
        <x:v>1</x:v>
      </x:c>
      <x:c r="N1337" s="53" t="b">
        <x:v>1</x:v>
      </x:c>
      <x:c r="O1337" s="53" t="b">
        <x:v>1</x:v>
      </x:c>
      <x:c r="P1337" s="47" t="n">
        <x:v>1011</x:v>
      </x:c>
      <x:c r="Q1337" s="47" t="n">
        <x:v>0</x:v>
      </x:c>
      <x:c r="R1337" s="47" t="n">
        <x:v>0</x:v>
      </x:c>
      <x:c r="S1337" s="47" t="n">
        <x:v>28.62</x:v>
      </x:c>
      <x:c r="T1337" s="47" t="n">
        <x:v>62.07</x:v>
      </x:c>
      <x:c r="U1337" s="47" t="n">
        <x:v>29.5</x:v>
      </x:c>
      <x:c r="V1337" s="47" t="n">
        <x:v>13</x:v>
      </x:c>
      <x:c r="W1337" s="47" t="n">
        <x:v>0</x:v>
      </x:c>
      <x:c r="X1337" s="47" t="n">
        <x:v>0</x:v>
      </x:c>
      <x:c r="Y1337" s="41" t="n">
        <x:v>0</x:v>
      </x:c>
    </x:row>
    <x:row r="1338">
      <x:c r="A1338" s="38" t="str">
        <x:v>7月30日现场数据</x:v>
      </x:c>
      <x:c r="B1338" s="66" t="str">
        <x:v>2026-08-04T04:54:18.461000</x:v>
      </x:c>
      <x:c r="C1338" s="47" t="n">
        <x:v>301024</x:v>
      </x:c>
      <x:c r="D1338" s="47" t="str"/>
      <x:c r="E1338" s="47" t="str"/>
      <x:c r="F1338" s="47" t="str">
        <x:v>current</x:v>
      </x:c>
      <x:c r="G1338" s="47" t="n">
        <x:v>1334</x:v>
      </x:c>
      <x:c r="H1338" s="53" t="b">
        <x:v>1</x:v>
      </x:c>
      <x:c r="I1338" s="47" t="str">
        <x:v>4109905524</x:v>
      </x:c>
      <x:c r="J1338" s="47" t="n">
        <x:v>20183586</x:v>
      </x:c>
      <x:c r="K1338" s="53" t="b">
        <x:v>1</x:v>
      </x:c>
      <x:c r="L1338" s="53" t="b">
        <x:v>1</x:v>
      </x:c>
      <x:c r="M1338" s="53" t="b">
        <x:v>1</x:v>
      </x:c>
      <x:c r="N1338" s="53" t="b">
        <x:v>1</x:v>
      </x:c>
      <x:c r="O1338" s="53" t="b">
        <x:v>1</x:v>
      </x:c>
      <x:c r="P1338" s="47" t="n">
        <x:v>1011</x:v>
      </x:c>
      <x:c r="Q1338" s="47" t="n">
        <x:v>0</x:v>
      </x:c>
      <x:c r="R1338" s="47" t="n">
        <x:v>0</x:v>
      </x:c>
      <x:c r="S1338" s="47" t="n">
        <x:v>28.55</x:v>
      </x:c>
      <x:c r="T1338" s="47" t="n">
        <x:v>62.15</x:v>
      </x:c>
      <x:c r="U1338" s="47" t="n">
        <x:v>29.5</x:v>
      </x:c>
      <x:c r="V1338" s="47" t="n">
        <x:v>13</x:v>
      </x:c>
      <x:c r="W1338" s="47" t="n">
        <x:v>0</x:v>
      </x:c>
      <x:c r="X1338" s="47" t="n">
        <x:v>1</x:v>
      </x:c>
      <x:c r="Y1338" s="41" t="n">
        <x:v>1</x:v>
      </x:c>
    </x:row>
    <x:row r="1339">
      <x:c r="A1339" s="38" t="str">
        <x:v>7月30日现场数据</x:v>
      </x:c>
      <x:c r="B1339" s="66" t="str">
        <x:v>2026-08-04T04:59:19.425000</x:v>
      </x:c>
      <x:c r="C1339" s="47" t="n">
        <x:v>300964</x:v>
      </x:c>
      <x:c r="D1339" s="47" t="str"/>
      <x:c r="E1339" s="47" t="str"/>
      <x:c r="F1339" s="47" t="str">
        <x:v>current</x:v>
      </x:c>
      <x:c r="G1339" s="47" t="n">
        <x:v>1335</x:v>
      </x:c>
      <x:c r="H1339" s="53" t="b">
        <x:v>1</x:v>
      </x:c>
      <x:c r="I1339" s="47" t="str">
        <x:v>4109905524</x:v>
      </x:c>
      <x:c r="J1339" s="47" t="n">
        <x:v>20484550</x:v>
      </x:c>
      <x:c r="K1339" s="53" t="b">
        <x:v>1</x:v>
      </x:c>
      <x:c r="L1339" s="53" t="b">
        <x:v>1</x:v>
      </x:c>
      <x:c r="M1339" s="53" t="b">
        <x:v>1</x:v>
      </x:c>
      <x:c r="N1339" s="53" t="b">
        <x:v>1</x:v>
      </x:c>
      <x:c r="O1339" s="53" t="b">
        <x:v>1</x:v>
      </x:c>
      <x:c r="P1339" s="47" t="n">
        <x:v>1011</x:v>
      </x:c>
      <x:c r="Q1339" s="47" t="n">
        <x:v>0</x:v>
      </x:c>
      <x:c r="R1339" s="47" t="n">
        <x:v>0</x:v>
      </x:c>
      <x:c r="S1339" s="47" t="n">
        <x:v>28.52</x:v>
      </x:c>
      <x:c r="T1339" s="47" t="n">
        <x:v>62.25</x:v>
      </x:c>
      <x:c r="U1339" s="47" t="n">
        <x:v>29.5</x:v>
      </x:c>
      <x:c r="V1339" s="47" t="n">
        <x:v>13</x:v>
      </x:c>
      <x:c r="W1339" s="47" t="n">
        <x:v>0</x:v>
      </x:c>
      <x:c r="X1339" s="47" t="n">
        <x:v>1</x:v>
      </x:c>
      <x:c r="Y1339" s="41" t="n">
        <x:v>1</x:v>
      </x:c>
    </x:row>
    <x:row r="1340">
      <x:c r="A1340" s="38" t="str">
        <x:v>7月30日现场数据</x:v>
      </x:c>
      <x:c r="B1340" s="66" t="str">
        <x:v>2026-08-04T05:04:20.393000</x:v>
      </x:c>
      <x:c r="C1340" s="47" t="n">
        <x:v>300968</x:v>
      </x:c>
      <x:c r="D1340" s="47" t="str"/>
      <x:c r="E1340" s="47" t="str"/>
      <x:c r="F1340" s="47" t="str">
        <x:v>current</x:v>
      </x:c>
      <x:c r="G1340" s="47" t="n">
        <x:v>1336</x:v>
      </x:c>
      <x:c r="H1340" s="53" t="b">
        <x:v>1</x:v>
      </x:c>
      <x:c r="I1340" s="47" t="str">
        <x:v>4109905524</x:v>
      </x:c>
      <x:c r="J1340" s="47" t="n">
        <x:v>20785518</x:v>
      </x:c>
      <x:c r="K1340" s="53" t="b">
        <x:v>1</x:v>
      </x:c>
      <x:c r="L1340" s="53" t="b">
        <x:v>1</x:v>
      </x:c>
      <x:c r="M1340" s="53" t="b">
        <x:v>1</x:v>
      </x:c>
      <x:c r="N1340" s="53" t="b">
        <x:v>1</x:v>
      </x:c>
      <x:c r="O1340" s="53" t="b">
        <x:v>1</x:v>
      </x:c>
      <x:c r="P1340" s="47" t="n">
        <x:v>1011</x:v>
      </x:c>
      <x:c r="Q1340" s="47" t="n">
        <x:v>0</x:v>
      </x:c>
      <x:c r="R1340" s="47" t="n">
        <x:v>0</x:v>
      </x:c>
      <x:c r="S1340" s="47" t="n">
        <x:v>28.5</x:v>
      </x:c>
      <x:c r="T1340" s="47" t="n">
        <x:v>62.34</x:v>
      </x:c>
      <x:c r="U1340" s="47" t="n">
        <x:v>29.5</x:v>
      </x:c>
      <x:c r="V1340" s="47" t="n">
        <x:v>13</x:v>
      </x:c>
      <x:c r="W1340" s="47" t="n">
        <x:v>0</x:v>
      </x:c>
      <x:c r="X1340" s="47" t="n">
        <x:v>1</x:v>
      </x:c>
      <x:c r="Y1340" s="41" t="n">
        <x:v>1</x:v>
      </x:c>
    </x:row>
    <x:row r="1341">
      <x:c r="A1341" s="38" t="str">
        <x:v>7月30日现场数据</x:v>
      </x:c>
      <x:c r="B1341" s="66" t="str">
        <x:v>2026-08-04T05:09:21.361000</x:v>
      </x:c>
      <x:c r="C1341" s="47" t="n">
        <x:v>300968</x:v>
      </x:c>
      <x:c r="D1341" s="47" t="str"/>
      <x:c r="E1341" s="47" t="str"/>
      <x:c r="F1341" s="47" t="str">
        <x:v>current</x:v>
      </x:c>
      <x:c r="G1341" s="47" t="n">
        <x:v>1337</x:v>
      </x:c>
      <x:c r="H1341" s="53" t="b">
        <x:v>1</x:v>
      </x:c>
      <x:c r="I1341" s="47" t="str">
        <x:v>4109905524</x:v>
      </x:c>
      <x:c r="J1341" s="47" t="n">
        <x:v>21086486</x:v>
      </x:c>
      <x:c r="K1341" s="53" t="b">
        <x:v>1</x:v>
      </x:c>
      <x:c r="L1341" s="53" t="b">
        <x:v>1</x:v>
      </x:c>
      <x:c r="M1341" s="53" t="b">
        <x:v>1</x:v>
      </x:c>
      <x:c r="N1341" s="53" t="b">
        <x:v>1</x:v>
      </x:c>
      <x:c r="O1341" s="53" t="b">
        <x:v>1</x:v>
      </x:c>
      <x:c r="P1341" s="47" t="n">
        <x:v>1011</x:v>
      </x:c>
      <x:c r="Q1341" s="47" t="n">
        <x:v>0</x:v>
      </x:c>
      <x:c r="R1341" s="47" t="n">
        <x:v>0</x:v>
      </x:c>
      <x:c r="S1341" s="47" t="n">
        <x:v>28.51</x:v>
      </x:c>
      <x:c r="T1341" s="47" t="n">
        <x:v>62.44</x:v>
      </x:c>
      <x:c r="U1341" s="47" t="n">
        <x:v>29.5</x:v>
      </x:c>
      <x:c r="V1341" s="47" t="n">
        <x:v>12.9</x:v>
      </x:c>
      <x:c r="W1341" s="47" t="n">
        <x:v>0</x:v>
      </x:c>
      <x:c r="X1341" s="47" t="n">
        <x:v>2</x:v>
      </x:c>
      <x:c r="Y1341" s="41" t="n">
        <x:v>2</x:v>
      </x:c>
    </x:row>
    <x:row r="1342">
      <x:c r="A1342" s="38" t="str">
        <x:v>7月30日现场数据</x:v>
      </x:c>
      <x:c r="B1342" s="66" t="str">
        <x:v>2026-08-04T05:14:22.331000</x:v>
      </x:c>
      <x:c r="C1342" s="47" t="n">
        <x:v>300970</x:v>
      </x:c>
      <x:c r="D1342" s="47" t="str"/>
      <x:c r="E1342" s="47" t="str"/>
      <x:c r="F1342" s="47" t="str">
        <x:v>current</x:v>
      </x:c>
      <x:c r="G1342" s="47" t="n">
        <x:v>1338</x:v>
      </x:c>
      <x:c r="H1342" s="53" t="b">
        <x:v>1</x:v>
      </x:c>
      <x:c r="I1342" s="47" t="str">
        <x:v>4109905524</x:v>
      </x:c>
      <x:c r="J1342" s="47" t="n">
        <x:v>21387456</x:v>
      </x:c>
      <x:c r="K1342" s="53" t="b">
        <x:v>1</x:v>
      </x:c>
      <x:c r="L1342" s="53" t="b">
        <x:v>1</x:v>
      </x:c>
      <x:c r="M1342" s="53" t="b">
        <x:v>1</x:v>
      </x:c>
      <x:c r="N1342" s="53" t="b">
        <x:v>1</x:v>
      </x:c>
      <x:c r="O1342" s="53" t="b">
        <x:v>1</x:v>
      </x:c>
      <x:c r="P1342" s="47" t="n">
        <x:v>1011</x:v>
      </x:c>
      <x:c r="Q1342" s="47" t="n">
        <x:v>0</x:v>
      </x:c>
      <x:c r="R1342" s="47" t="n">
        <x:v>0</x:v>
      </x:c>
      <x:c r="S1342" s="47" t="n">
        <x:v>28.52</x:v>
      </x:c>
      <x:c r="T1342" s="47" t="n">
        <x:v>62.56</x:v>
      </x:c>
      <x:c r="U1342" s="47" t="n">
        <x:v>29.5</x:v>
      </x:c>
      <x:c r="V1342" s="47" t="n">
        <x:v>12.9</x:v>
      </x:c>
      <x:c r="W1342" s="47" t="n">
        <x:v>0</x:v>
      </x:c>
      <x:c r="X1342" s="47" t="n">
        <x:v>3</x:v>
      </x:c>
      <x:c r="Y1342" s="41" t="n">
        <x:v>3</x:v>
      </x:c>
    </x:row>
    <x:row r="1343">
      <x:c r="A1343" s="38" t="str">
        <x:v>7月30日现场数据</x:v>
      </x:c>
      <x:c r="B1343" s="66" t="str">
        <x:v>2026-08-04T05:19:23.302000</x:v>
      </x:c>
      <x:c r="C1343" s="47" t="n">
        <x:v>300971</x:v>
      </x:c>
      <x:c r="D1343" s="47" t="str"/>
      <x:c r="E1343" s="47" t="str"/>
      <x:c r="F1343" s="47" t="str">
        <x:v>current</x:v>
      </x:c>
      <x:c r="G1343" s="47" t="n">
        <x:v>1339</x:v>
      </x:c>
      <x:c r="H1343" s="53" t="b">
        <x:v>1</x:v>
      </x:c>
      <x:c r="I1343" s="47" t="str">
        <x:v>4109905524</x:v>
      </x:c>
      <x:c r="J1343" s="47" t="n">
        <x:v>21688427</x:v>
      </x:c>
      <x:c r="K1343" s="53" t="b">
        <x:v>1</x:v>
      </x:c>
      <x:c r="L1343" s="53" t="b">
        <x:v>1</x:v>
      </x:c>
      <x:c r="M1343" s="53" t="b">
        <x:v>1</x:v>
      </x:c>
      <x:c r="N1343" s="53" t="b">
        <x:v>1</x:v>
      </x:c>
      <x:c r="O1343" s="53" t="b">
        <x:v>1</x:v>
      </x:c>
      <x:c r="P1343" s="47" t="n">
        <x:v>1011</x:v>
      </x:c>
      <x:c r="Q1343" s="47" t="n">
        <x:v>0</x:v>
      </x:c>
      <x:c r="R1343" s="47" t="n">
        <x:v>0</x:v>
      </x:c>
      <x:c r="S1343" s="47" t="n">
        <x:v>28.51</x:v>
      </x:c>
      <x:c r="T1343" s="47" t="n">
        <x:v>62.63</x:v>
      </x:c>
      <x:c r="U1343" s="47" t="n">
        <x:v>29.5</x:v>
      </x:c>
      <x:c r="V1343" s="47" t="n">
        <x:v>13</x:v>
      </x:c>
      <x:c r="W1343" s="47" t="n">
        <x:v>1</x:v>
      </x:c>
      <x:c r="X1343" s="47" t="n">
        <x:v>3</x:v>
      </x:c>
      <x:c r="Y1343" s="41" t="n">
        <x:v>2</x:v>
      </x:c>
    </x:row>
    <x:row r="1344">
      <x:c r="A1344" s="38" t="str">
        <x:v>7月30日现场数据</x:v>
      </x:c>
      <x:c r="B1344" s="66" t="str">
        <x:v>2026-08-04T05:24:24.276000</x:v>
      </x:c>
      <x:c r="C1344" s="47" t="n">
        <x:v>300974</x:v>
      </x:c>
      <x:c r="D1344" s="47" t="str"/>
      <x:c r="E1344" s="47" t="str"/>
      <x:c r="F1344" s="47" t="str">
        <x:v>current</x:v>
      </x:c>
      <x:c r="G1344" s="47" t="n">
        <x:v>1340</x:v>
      </x:c>
      <x:c r="H1344" s="53" t="b">
        <x:v>1</x:v>
      </x:c>
      <x:c r="I1344" s="47" t="str">
        <x:v>4109905524</x:v>
      </x:c>
      <x:c r="J1344" s="47" t="n">
        <x:v>21989401</x:v>
      </x:c>
      <x:c r="K1344" s="53" t="b">
        <x:v>1</x:v>
      </x:c>
      <x:c r="L1344" s="53" t="b">
        <x:v>1</x:v>
      </x:c>
      <x:c r="M1344" s="53" t="b">
        <x:v>1</x:v>
      </x:c>
      <x:c r="N1344" s="53" t="b">
        <x:v>1</x:v>
      </x:c>
      <x:c r="O1344" s="53" t="b">
        <x:v>1</x:v>
      </x:c>
      <x:c r="P1344" s="47" t="n">
        <x:v>1011</x:v>
      </x:c>
      <x:c r="Q1344" s="47" t="n">
        <x:v>0</x:v>
      </x:c>
      <x:c r="R1344" s="47" t="n">
        <x:v>0</x:v>
      </x:c>
      <x:c r="S1344" s="47" t="n">
        <x:v>28.52</x:v>
      </x:c>
      <x:c r="T1344" s="47" t="n">
        <x:v>62.71</x:v>
      </x:c>
      <x:c r="U1344" s="47" t="n">
        <x:v>29.5</x:v>
      </x:c>
      <x:c r="V1344" s="47" t="n">
        <x:v>13</x:v>
      </x:c>
      <x:c r="W1344" s="47" t="n">
        <x:v>1</x:v>
      </x:c>
      <x:c r="X1344" s="47" t="n">
        <x:v>5</x:v>
      </x:c>
      <x:c r="Y1344" s="41" t="n">
        <x:v>4</x:v>
      </x:c>
    </x:row>
    <x:row r="1345">
      <x:c r="A1345" s="38" t="str">
        <x:v>7月30日现场数据</x:v>
      </x:c>
      <x:c r="B1345" s="66" t="str">
        <x:v>2026-08-04T05:29:25.251000</x:v>
      </x:c>
      <x:c r="C1345" s="47" t="n">
        <x:v>300975</x:v>
      </x:c>
      <x:c r="D1345" s="47" t="str"/>
      <x:c r="E1345" s="47" t="str"/>
      <x:c r="F1345" s="47" t="str">
        <x:v>current</x:v>
      </x:c>
      <x:c r="G1345" s="47" t="n">
        <x:v>1341</x:v>
      </x:c>
      <x:c r="H1345" s="53" t="b">
        <x:v>1</x:v>
      </x:c>
      <x:c r="I1345" s="47" t="str">
        <x:v>4109905524</x:v>
      </x:c>
      <x:c r="J1345" s="47" t="n">
        <x:v>22290376</x:v>
      </x:c>
      <x:c r="K1345" s="53" t="b">
        <x:v>1</x:v>
      </x:c>
      <x:c r="L1345" s="53" t="b">
        <x:v>1</x:v>
      </x:c>
      <x:c r="M1345" s="53" t="b">
        <x:v>1</x:v>
      </x:c>
      <x:c r="N1345" s="53" t="b">
        <x:v>1</x:v>
      </x:c>
      <x:c r="O1345" s="53" t="b">
        <x:v>1</x:v>
      </x:c>
      <x:c r="P1345" s="47" t="n">
        <x:v>1011</x:v>
      </x:c>
      <x:c r="Q1345" s="47" t="n">
        <x:v>0</x:v>
      </x:c>
      <x:c r="R1345" s="47" t="n">
        <x:v>0</x:v>
      </x:c>
      <x:c r="S1345" s="47" t="n">
        <x:v>28.51</x:v>
      </x:c>
      <x:c r="T1345" s="47" t="n">
        <x:v>62.83</x:v>
      </x:c>
      <x:c r="U1345" s="47" t="n">
        <x:v>29.5</x:v>
      </x:c>
      <x:c r="V1345" s="47" t="n">
        <x:v>12.9</x:v>
      </x:c>
      <x:c r="W1345" s="47" t="n">
        <x:v>1</x:v>
      </x:c>
      <x:c r="X1345" s="47" t="n">
        <x:v>5</x:v>
      </x:c>
      <x:c r="Y1345" s="41" t="n">
        <x:v>4</x:v>
      </x:c>
    </x:row>
    <x:row r="1346">
      <x:c r="A1346" s="38" t="str">
        <x:v>7月30日现场数据</x:v>
      </x:c>
      <x:c r="B1346" s="66" t="str">
        <x:v>2026-08-04T05:34:26.228000</x:v>
      </x:c>
      <x:c r="C1346" s="47" t="n">
        <x:v>300977</x:v>
      </x:c>
      <x:c r="D1346" s="47" t="str"/>
      <x:c r="E1346" s="47" t="str"/>
      <x:c r="F1346" s="47" t="str">
        <x:v>current</x:v>
      </x:c>
      <x:c r="G1346" s="47" t="n">
        <x:v>1342</x:v>
      </x:c>
      <x:c r="H1346" s="53" t="b">
        <x:v>1</x:v>
      </x:c>
      <x:c r="I1346" s="47" t="str">
        <x:v>4109905524</x:v>
      </x:c>
      <x:c r="J1346" s="47" t="n">
        <x:v>22591353</x:v>
      </x:c>
      <x:c r="K1346" s="53" t="b">
        <x:v>1</x:v>
      </x:c>
      <x:c r="L1346" s="53" t="b">
        <x:v>1</x:v>
      </x:c>
      <x:c r="M1346" s="53" t="b">
        <x:v>1</x:v>
      </x:c>
      <x:c r="N1346" s="53" t="b">
        <x:v>1</x:v>
      </x:c>
      <x:c r="O1346" s="53" t="b">
        <x:v>1</x:v>
      </x:c>
      <x:c r="P1346" s="47" t="n">
        <x:v>1011</x:v>
      </x:c>
      <x:c r="Q1346" s="47" t="n">
        <x:v>0</x:v>
      </x:c>
      <x:c r="R1346" s="47" t="n">
        <x:v>0</x:v>
      </x:c>
      <x:c r="S1346" s="47" t="n">
        <x:v>28.53</x:v>
      </x:c>
      <x:c r="T1346" s="47" t="n">
        <x:v>62.91</x:v>
      </x:c>
      <x:c r="U1346" s="47" t="n">
        <x:v>29.5</x:v>
      </x:c>
      <x:c r="V1346" s="47" t="n">
        <x:v>13</x:v>
      </x:c>
      <x:c r="W1346" s="47" t="n">
        <x:v>1</x:v>
      </x:c>
      <x:c r="X1346" s="47" t="n">
        <x:v>6</x:v>
      </x:c>
      <x:c r="Y1346" s="41" t="n">
        <x:v>5</x:v>
      </x:c>
    </x:row>
    <x:row r="1347">
      <x:c r="A1347" s="38" t="str">
        <x:v>7月30日现场数据</x:v>
      </x:c>
      <x:c r="B1347" s="66" t="str">
        <x:v>2026-08-04T05:39:27.208000</x:v>
      </x:c>
      <x:c r="C1347" s="47" t="n">
        <x:v>300980</x:v>
      </x:c>
      <x:c r="D1347" s="47" t="str"/>
      <x:c r="E1347" s="47" t="str"/>
      <x:c r="F1347" s="47" t="str">
        <x:v>current</x:v>
      </x:c>
      <x:c r="G1347" s="47" t="n">
        <x:v>1343</x:v>
      </x:c>
      <x:c r="H1347" s="53" t="b">
        <x:v>1</x:v>
      </x:c>
      <x:c r="I1347" s="47" t="str">
        <x:v>4109905524</x:v>
      </x:c>
      <x:c r="J1347" s="47" t="n">
        <x:v>22892333</x:v>
      </x:c>
      <x:c r="K1347" s="53" t="b">
        <x:v>1</x:v>
      </x:c>
      <x:c r="L1347" s="53" t="b">
        <x:v>1</x:v>
      </x:c>
      <x:c r="M1347" s="53" t="b">
        <x:v>1</x:v>
      </x:c>
      <x:c r="N1347" s="53" t="b">
        <x:v>1</x:v>
      </x:c>
      <x:c r="O1347" s="53" t="b">
        <x:v>1</x:v>
      </x:c>
      <x:c r="P1347" s="47" t="n">
        <x:v>1011</x:v>
      </x:c>
      <x:c r="Q1347" s="47" t="n">
        <x:v>0</x:v>
      </x:c>
      <x:c r="R1347" s="47" t="n">
        <x:v>0</x:v>
      </x:c>
      <x:c r="S1347" s="47" t="n">
        <x:v>28.54</x:v>
      </x:c>
      <x:c r="T1347" s="47" t="n">
        <x:v>63.08</x:v>
      </x:c>
      <x:c r="U1347" s="47" t="n">
        <x:v>29.5</x:v>
      </x:c>
      <x:c r="V1347" s="47" t="n">
        <x:v>13</x:v>
      </x:c>
      <x:c r="W1347" s="47" t="n">
        <x:v>1</x:v>
      </x:c>
      <x:c r="X1347" s="47" t="n">
        <x:v>5</x:v>
      </x:c>
      <x:c r="Y1347" s="41" t="n">
        <x:v>4</x:v>
      </x:c>
    </x:row>
    <x:row r="1348">
      <x:c r="A1348" s="38" t="str">
        <x:v>7月30日现场数据</x:v>
      </x:c>
      <x:c r="B1348" s="66" t="str">
        <x:v>2026-08-04T05:44:28.189000</x:v>
      </x:c>
      <x:c r="C1348" s="47" t="n">
        <x:v>300981</x:v>
      </x:c>
      <x:c r="D1348" s="47" t="str"/>
      <x:c r="E1348" s="47" t="str"/>
      <x:c r="F1348" s="47" t="str">
        <x:v>current</x:v>
      </x:c>
      <x:c r="G1348" s="47" t="n">
        <x:v>1344</x:v>
      </x:c>
      <x:c r="H1348" s="53" t="b">
        <x:v>1</x:v>
      </x:c>
      <x:c r="I1348" s="47" t="str">
        <x:v>4109905524</x:v>
      </x:c>
      <x:c r="J1348" s="47" t="n">
        <x:v>23193314</x:v>
      </x:c>
      <x:c r="K1348" s="53" t="b">
        <x:v>1</x:v>
      </x:c>
      <x:c r="L1348" s="53" t="b">
        <x:v>1</x:v>
      </x:c>
      <x:c r="M1348" s="53" t="b">
        <x:v>1</x:v>
      </x:c>
      <x:c r="N1348" s="53" t="b">
        <x:v>1</x:v>
      </x:c>
      <x:c r="O1348" s="53" t="b">
        <x:v>1</x:v>
      </x:c>
      <x:c r="P1348" s="47" t="n">
        <x:v>1011</x:v>
      </x:c>
      <x:c r="Q1348" s="47" t="n">
        <x:v>0.005</x:v>
      </x:c>
      <x:c r="R1348" s="47" t="n">
        <x:v>0.132</x:v>
      </x:c>
      <x:c r="S1348" s="47" t="n">
        <x:v>28.58</x:v>
      </x:c>
      <x:c r="T1348" s="47" t="n">
        <x:v>63.13</x:v>
      </x:c>
      <x:c r="U1348" s="47" t="n">
        <x:v>29.5</x:v>
      </x:c>
      <x:c r="V1348" s="47" t="n">
        <x:v>13</x:v>
      </x:c>
      <x:c r="W1348" s="47" t="n">
        <x:v>1</x:v>
      </x:c>
      <x:c r="X1348" s="47" t="n">
        <x:v>7</x:v>
      </x:c>
      <x:c r="Y1348" s="41" t="n">
        <x:v>6</x:v>
      </x:c>
    </x:row>
    <x:row r="1349">
      <x:c r="A1349" s="38" t="str">
        <x:v>7月30日现场数据</x:v>
      </x:c>
      <x:c r="B1349" s="66" t="str">
        <x:v>2026-08-04T05:49:29.174000</x:v>
      </x:c>
      <x:c r="C1349" s="47" t="n">
        <x:v>300985</x:v>
      </x:c>
      <x:c r="D1349" s="47" t="str"/>
      <x:c r="E1349" s="47" t="str"/>
      <x:c r="F1349" s="47" t="str">
        <x:v>current</x:v>
      </x:c>
      <x:c r="G1349" s="47" t="n">
        <x:v>1345</x:v>
      </x:c>
      <x:c r="H1349" s="53" t="b">
        <x:v>1</x:v>
      </x:c>
      <x:c r="I1349" s="47" t="str">
        <x:v>4109905524</x:v>
      </x:c>
      <x:c r="J1349" s="47" t="n">
        <x:v>23494299</x:v>
      </x:c>
      <x:c r="K1349" s="53" t="b">
        <x:v>1</x:v>
      </x:c>
      <x:c r="L1349" s="53" t="b">
        <x:v>1</x:v>
      </x:c>
      <x:c r="M1349" s="53" t="b">
        <x:v>1</x:v>
      </x:c>
      <x:c r="N1349" s="53" t="b">
        <x:v>1</x:v>
      </x:c>
      <x:c r="O1349" s="53" t="b">
        <x:v>1</x:v>
      </x:c>
      <x:c r="P1349" s="47" t="n">
        <x:v>1011</x:v>
      </x:c>
      <x:c r="Q1349" s="47" t="n">
        <x:v>0</x:v>
      </x:c>
      <x:c r="R1349" s="47" t="n">
        <x:v>0</x:v>
      </x:c>
      <x:c r="S1349" s="47" t="n">
        <x:v>28.6</x:v>
      </x:c>
      <x:c r="T1349" s="47" t="n">
        <x:v>63.23</x:v>
      </x:c>
      <x:c r="U1349" s="47" t="n">
        <x:v>29.5</x:v>
      </x:c>
      <x:c r="V1349" s="47" t="n">
        <x:v>13</x:v>
      </x:c>
      <x:c r="W1349" s="47" t="n">
        <x:v>2</x:v>
      </x:c>
      <x:c r="X1349" s="47" t="n">
        <x:v>9</x:v>
      </x:c>
      <x:c r="Y1349" s="41" t="n">
        <x:v>7</x:v>
      </x:c>
    </x:row>
    <x:row r="1350">
      <x:c r="A1350" s="38" t="str">
        <x:v>7月30日现场数据</x:v>
      </x:c>
      <x:c r="B1350" s="66" t="str">
        <x:v>2026-08-04T05:54:30.157000</x:v>
      </x:c>
      <x:c r="C1350" s="47" t="n">
        <x:v>300983</x:v>
      </x:c>
      <x:c r="D1350" s="47" t="str"/>
      <x:c r="E1350" s="47" t="str"/>
      <x:c r="F1350" s="47" t="str">
        <x:v>current</x:v>
      </x:c>
      <x:c r="G1350" s="47" t="n">
        <x:v>1346</x:v>
      </x:c>
      <x:c r="H1350" s="53" t="b">
        <x:v>1</x:v>
      </x:c>
      <x:c r="I1350" s="47" t="str">
        <x:v>4109905524</x:v>
      </x:c>
      <x:c r="J1350" s="47" t="n">
        <x:v>23795282</x:v>
      </x:c>
      <x:c r="K1350" s="53" t="b">
        <x:v>1</x:v>
      </x:c>
      <x:c r="L1350" s="53" t="b">
        <x:v>1</x:v>
      </x:c>
      <x:c r="M1350" s="53" t="b">
        <x:v>1</x:v>
      </x:c>
      <x:c r="N1350" s="53" t="b">
        <x:v>1</x:v>
      </x:c>
      <x:c r="O1350" s="53" t="b">
        <x:v>1</x:v>
      </x:c>
      <x:c r="P1350" s="47" t="n">
        <x:v>1011</x:v>
      </x:c>
      <x:c r="Q1350" s="47" t="n">
        <x:v>0</x:v>
      </x:c>
      <x:c r="R1350" s="47" t="n">
        <x:v>0</x:v>
      </x:c>
      <x:c r="S1350" s="47" t="n">
        <x:v>28.63</x:v>
      </x:c>
      <x:c r="T1350" s="47" t="n">
        <x:v>63.36</x:v>
      </x:c>
      <x:c r="U1350" s="47" t="n">
        <x:v>29.5</x:v>
      </x:c>
      <x:c r="V1350" s="47" t="n">
        <x:v>13</x:v>
      </x:c>
      <x:c r="W1350" s="47" t="n">
        <x:v>2</x:v>
      </x:c>
      <x:c r="X1350" s="47" t="n">
        <x:v>10</x:v>
      </x:c>
      <x:c r="Y1350" s="41" t="n">
        <x:v>8</x:v>
      </x:c>
    </x:row>
    <x:row r="1351">
      <x:c r="A1351" s="38" t="str">
        <x:v>7月30日现场数据</x:v>
      </x:c>
      <x:c r="B1351" s="66" t="str">
        <x:v>2026-08-04T05:59:31.142000</x:v>
      </x:c>
      <x:c r="C1351" s="47" t="n">
        <x:v>300985</x:v>
      </x:c>
      <x:c r="D1351" s="47" t="str"/>
      <x:c r="E1351" s="47" t="str"/>
      <x:c r="F1351" s="47" t="str">
        <x:v>current</x:v>
      </x:c>
      <x:c r="G1351" s="47" t="n">
        <x:v>1347</x:v>
      </x:c>
      <x:c r="H1351" s="53" t="b">
        <x:v>1</x:v>
      </x:c>
      <x:c r="I1351" s="47" t="str">
        <x:v>4109905524</x:v>
      </x:c>
      <x:c r="J1351" s="47" t="n">
        <x:v>24096267</x:v>
      </x:c>
      <x:c r="K1351" s="53" t="b">
        <x:v>1</x:v>
      </x:c>
      <x:c r="L1351" s="53" t="b">
        <x:v>1</x:v>
      </x:c>
      <x:c r="M1351" s="53" t="b">
        <x:v>1</x:v>
      </x:c>
      <x:c r="N1351" s="53" t="b">
        <x:v>1</x:v>
      </x:c>
      <x:c r="O1351" s="53" t="b">
        <x:v>1</x:v>
      </x:c>
      <x:c r="P1351" s="47" t="n">
        <x:v>1011</x:v>
      </x:c>
      <x:c r="Q1351" s="47" t="n">
        <x:v>0</x:v>
      </x:c>
      <x:c r="R1351" s="47" t="n">
        <x:v>0</x:v>
      </x:c>
      <x:c r="S1351" s="47" t="n">
        <x:v>28.64</x:v>
      </x:c>
      <x:c r="T1351" s="47" t="n">
        <x:v>63.46</x:v>
      </x:c>
      <x:c r="U1351" s="47" t="n">
        <x:v>29.5</x:v>
      </x:c>
      <x:c r="V1351" s="47" t="n">
        <x:v>13</x:v>
      </x:c>
      <x:c r="W1351" s="47" t="n">
        <x:v>2</x:v>
      </x:c>
      <x:c r="X1351" s="47" t="n">
        <x:v>10</x:v>
      </x:c>
      <x:c r="Y1351" s="41" t="n">
        <x:v>8</x:v>
      </x:c>
    </x:row>
    <x:row r="1352">
      <x:c r="A1352" s="38" t="str">
        <x:v>7月30日现场数据</x:v>
      </x:c>
      <x:c r="B1352" s="66" t="str">
        <x:v>2026-08-04T06:04:32.129000</x:v>
      </x:c>
      <x:c r="C1352" s="47" t="n">
        <x:v>300987</x:v>
      </x:c>
      <x:c r="D1352" s="47" t="str"/>
      <x:c r="E1352" s="47" t="str"/>
      <x:c r="F1352" s="47" t="str">
        <x:v>current</x:v>
      </x:c>
      <x:c r="G1352" s="47" t="n">
        <x:v>1348</x:v>
      </x:c>
      <x:c r="H1352" s="53" t="b">
        <x:v>1</x:v>
      </x:c>
      <x:c r="I1352" s="47" t="str">
        <x:v>4109905524</x:v>
      </x:c>
      <x:c r="J1352" s="47" t="n">
        <x:v>24397254</x:v>
      </x:c>
      <x:c r="K1352" s="53" t="b">
        <x:v>1</x:v>
      </x:c>
      <x:c r="L1352" s="53" t="b">
        <x:v>1</x:v>
      </x:c>
      <x:c r="M1352" s="53" t="b">
        <x:v>1</x:v>
      </x:c>
      <x:c r="N1352" s="53" t="b">
        <x:v>1</x:v>
      </x:c>
      <x:c r="O1352" s="53" t="b">
        <x:v>1</x:v>
      </x:c>
      <x:c r="P1352" s="47" t="n">
        <x:v>1011</x:v>
      </x:c>
      <x:c r="Q1352" s="47" t="n">
        <x:v>0</x:v>
      </x:c>
      <x:c r="R1352" s="47" t="n">
        <x:v>0</x:v>
      </x:c>
      <x:c r="S1352" s="47" t="n">
        <x:v>28.66</x:v>
      </x:c>
      <x:c r="T1352" s="47" t="n">
        <x:v>63.55</x:v>
      </x:c>
      <x:c r="U1352" s="47" t="n">
        <x:v>29.5</x:v>
      </x:c>
      <x:c r="V1352" s="47" t="n">
        <x:v>12.9</x:v>
      </x:c>
      <x:c r="W1352" s="47" t="n">
        <x:v>2</x:v>
      </x:c>
      <x:c r="X1352" s="47" t="n">
        <x:v>10</x:v>
      </x:c>
      <x:c r="Y1352" s="41" t="n">
        <x:v>8</x:v>
      </x:c>
    </x:row>
    <x:row r="1353">
      <x:c r="A1353" s="38" t="str">
        <x:v>7月30日现场数据</x:v>
      </x:c>
      <x:c r="B1353" s="66" t="str">
        <x:v>2026-08-04T06:09:33.121000</x:v>
      </x:c>
      <x:c r="C1353" s="47" t="n">
        <x:v>300992</x:v>
      </x:c>
      <x:c r="D1353" s="47" t="str"/>
      <x:c r="E1353" s="47" t="str"/>
      <x:c r="F1353" s="47" t="str">
        <x:v>current</x:v>
      </x:c>
      <x:c r="G1353" s="47" t="n">
        <x:v>1349</x:v>
      </x:c>
      <x:c r="H1353" s="53" t="b">
        <x:v>1</x:v>
      </x:c>
      <x:c r="I1353" s="47" t="str">
        <x:v>4109905524</x:v>
      </x:c>
      <x:c r="J1353" s="47" t="n">
        <x:v>24698246</x:v>
      </x:c>
      <x:c r="K1353" s="53" t="b">
        <x:v>1</x:v>
      </x:c>
      <x:c r="L1353" s="53" t="b">
        <x:v>1</x:v>
      </x:c>
      <x:c r="M1353" s="53" t="b">
        <x:v>1</x:v>
      </x:c>
      <x:c r="N1353" s="53" t="b">
        <x:v>1</x:v>
      </x:c>
      <x:c r="O1353" s="53" t="b">
        <x:v>1</x:v>
      </x:c>
      <x:c r="P1353" s="47" t="n">
        <x:v>1011</x:v>
      </x:c>
      <x:c r="Q1353" s="47" t="n">
        <x:v>0</x:v>
      </x:c>
      <x:c r="R1353" s="47" t="n">
        <x:v>0</x:v>
      </x:c>
      <x:c r="S1353" s="47" t="n">
        <x:v>28.69</x:v>
      </x:c>
      <x:c r="T1353" s="47" t="n">
        <x:v>63.68</x:v>
      </x:c>
      <x:c r="U1353" s="47" t="n">
        <x:v>29.5</x:v>
      </x:c>
      <x:c r="V1353" s="47" t="n">
        <x:v>13</x:v>
      </x:c>
      <x:c r="W1353" s="47" t="n">
        <x:v>2</x:v>
      </x:c>
      <x:c r="X1353" s="47" t="n">
        <x:v>12</x:v>
      </x:c>
      <x:c r="Y1353" s="41" t="n">
        <x:v>10</x:v>
      </x:c>
    </x:row>
    <x:row r="1354">
      <x:c r="A1354" s="38" t="str">
        <x:v>7月30日现场数据</x:v>
      </x:c>
      <x:c r="B1354" s="66" t="str">
        <x:v>2026-08-04T06:14:34.145000</x:v>
      </x:c>
      <x:c r="C1354" s="47" t="n">
        <x:v>301024</x:v>
      </x:c>
      <x:c r="D1354" s="47" t="str"/>
      <x:c r="E1354" s="47" t="str"/>
      <x:c r="F1354" s="47" t="str">
        <x:v>current</x:v>
      </x:c>
      <x:c r="G1354" s="47" t="n">
        <x:v>1350</x:v>
      </x:c>
      <x:c r="H1354" s="53" t="b">
        <x:v>1</x:v>
      </x:c>
      <x:c r="I1354" s="47" t="str">
        <x:v>4109905524</x:v>
      </x:c>
      <x:c r="J1354" s="47" t="n">
        <x:v>24999270</x:v>
      </x:c>
      <x:c r="K1354" s="53" t="b">
        <x:v>1</x:v>
      </x:c>
      <x:c r="L1354" s="53" t="b">
        <x:v>1</x:v>
      </x:c>
      <x:c r="M1354" s="53" t="b">
        <x:v>1</x:v>
      </x:c>
      <x:c r="N1354" s="53" t="b">
        <x:v>1</x:v>
      </x:c>
      <x:c r="O1354" s="53" t="b">
        <x:v>1</x:v>
      </x:c>
      <x:c r="P1354" s="47" t="n">
        <x:v>1011</x:v>
      </x:c>
      <x:c r="Q1354" s="47" t="n">
        <x:v>0</x:v>
      </x:c>
      <x:c r="R1354" s="47" t="n">
        <x:v>0</x:v>
      </x:c>
      <x:c r="S1354" s="47" t="n">
        <x:v>28.74</x:v>
      </x:c>
      <x:c r="T1354" s="47" t="n">
        <x:v>63.75</x:v>
      </x:c>
      <x:c r="U1354" s="47" t="n">
        <x:v>29.5</x:v>
      </x:c>
      <x:c r="V1354" s="47" t="n">
        <x:v>13</x:v>
      </x:c>
      <x:c r="W1354" s="47" t="n">
        <x:v>3</x:v>
      </x:c>
      <x:c r="X1354" s="47" t="n">
        <x:v>16</x:v>
      </x:c>
      <x:c r="Y1354" s="41" t="n">
        <x:v>13</x:v>
      </x:c>
    </x:row>
    <x:row r="1355">
      <x:c r="A1355" s="38" t="str">
        <x:v>7月30日现场数据</x:v>
      </x:c>
      <x:c r="B1355" s="66" t="str">
        <x:v>2026-08-04T06:19:35.109000</x:v>
      </x:c>
      <x:c r="C1355" s="47" t="n">
        <x:v>300964</x:v>
      </x:c>
      <x:c r="D1355" s="47" t="str"/>
      <x:c r="E1355" s="47" t="str"/>
      <x:c r="F1355" s="47" t="str">
        <x:v>current</x:v>
      </x:c>
      <x:c r="G1355" s="47" t="n">
        <x:v>1351</x:v>
      </x:c>
      <x:c r="H1355" s="53" t="b">
        <x:v>1</x:v>
      </x:c>
      <x:c r="I1355" s="47" t="str">
        <x:v>4109905524</x:v>
      </x:c>
      <x:c r="J1355" s="47" t="n">
        <x:v>25300234</x:v>
      </x:c>
      <x:c r="K1355" s="53" t="b">
        <x:v>1</x:v>
      </x:c>
      <x:c r="L1355" s="53" t="b">
        <x:v>1</x:v>
      </x:c>
      <x:c r="M1355" s="53" t="b">
        <x:v>1</x:v>
      </x:c>
      <x:c r="N1355" s="53" t="b">
        <x:v>1</x:v>
      </x:c>
      <x:c r="O1355" s="53" t="b">
        <x:v>1</x:v>
      </x:c>
      <x:c r="P1355" s="47" t="n">
        <x:v>1011</x:v>
      </x:c>
      <x:c r="Q1355" s="47" t="n">
        <x:v>0.092</x:v>
      </x:c>
      <x:c r="R1355" s="47" t="n">
        <x:v>2.473</x:v>
      </x:c>
      <x:c r="S1355" s="47" t="n">
        <x:v>28.81</x:v>
      </x:c>
      <x:c r="T1355" s="47" t="n">
        <x:v>63.89</x:v>
      </x:c>
      <x:c r="U1355" s="47" t="n">
        <x:v>29.4</x:v>
      </x:c>
      <x:c r="V1355" s="47" t="n">
        <x:v>13</x:v>
      </x:c>
      <x:c r="W1355" s="47" t="n">
        <x:v>3</x:v>
      </x:c>
      <x:c r="X1355" s="47" t="n">
        <x:v>16</x:v>
      </x:c>
      <x:c r="Y1355" s="41" t="n">
        <x:v>13</x:v>
      </x:c>
    </x:row>
    <x:row r="1356">
      <x:c r="A1356" s="38" t="str">
        <x:v>7月30日现场数据</x:v>
      </x:c>
      <x:c r="B1356" s="66" t="str">
        <x:v>2026-08-04T06:24:36.077000</x:v>
      </x:c>
      <x:c r="C1356" s="47" t="n">
        <x:v>300968</x:v>
      </x:c>
      <x:c r="D1356" s="47" t="str"/>
      <x:c r="E1356" s="47" t="str"/>
      <x:c r="F1356" s="47" t="str">
        <x:v>current</x:v>
      </x:c>
      <x:c r="G1356" s="47" t="n">
        <x:v>1352</x:v>
      </x:c>
      <x:c r="H1356" s="53" t="b">
        <x:v>1</x:v>
      </x:c>
      <x:c r="I1356" s="47" t="str">
        <x:v>4109905524</x:v>
      </x:c>
      <x:c r="J1356" s="47" t="n">
        <x:v>25601202</x:v>
      </x:c>
      <x:c r="K1356" s="53" t="b">
        <x:v>1</x:v>
      </x:c>
      <x:c r="L1356" s="53" t="b">
        <x:v>1</x:v>
      </x:c>
      <x:c r="M1356" s="53" t="b">
        <x:v>1</x:v>
      </x:c>
      <x:c r="N1356" s="53" t="b">
        <x:v>1</x:v>
      </x:c>
      <x:c r="O1356" s="53" t="b">
        <x:v>1</x:v>
      </x:c>
      <x:c r="P1356" s="47" t="n">
        <x:v>1011</x:v>
      </x:c>
      <x:c r="Q1356" s="47" t="n">
        <x:v>0</x:v>
      </x:c>
      <x:c r="R1356" s="47" t="n">
        <x:v>0</x:v>
      </x:c>
      <x:c r="S1356" s="47" t="n">
        <x:v>28.92</x:v>
      </x:c>
      <x:c r="T1356" s="47" t="n">
        <x:v>64.02</x:v>
      </x:c>
      <x:c r="U1356" s="47" t="n">
        <x:v>29.4</x:v>
      </x:c>
      <x:c r="V1356" s="47" t="n">
        <x:v>13</x:v>
      </x:c>
      <x:c r="W1356" s="47" t="n">
        <x:v>4</x:v>
      </x:c>
      <x:c r="X1356" s="47" t="n">
        <x:v>20</x:v>
      </x:c>
      <x:c r="Y1356" s="41" t="n">
        <x:v>16</x:v>
      </x:c>
    </x:row>
    <x:row r="1357">
      <x:c r="A1357" s="38" t="str">
        <x:v>7月30日现场数据</x:v>
      </x:c>
      <x:c r="B1357" s="66" t="str">
        <x:v>2026-08-04T06:29:37.051000</x:v>
      </x:c>
      <x:c r="C1357" s="47" t="n">
        <x:v>300974</x:v>
      </x:c>
      <x:c r="D1357" s="47" t="str"/>
      <x:c r="E1357" s="47" t="str"/>
      <x:c r="F1357" s="47" t="str">
        <x:v>current</x:v>
      </x:c>
      <x:c r="G1357" s="47" t="n">
        <x:v>1353</x:v>
      </x:c>
      <x:c r="H1357" s="53" t="b">
        <x:v>1</x:v>
      </x:c>
      <x:c r="I1357" s="47" t="str">
        <x:v>4109905524</x:v>
      </x:c>
      <x:c r="J1357" s="47" t="n">
        <x:v>25902176</x:v>
      </x:c>
      <x:c r="K1357" s="53" t="b">
        <x:v>1</x:v>
      </x:c>
      <x:c r="L1357" s="53" t="b">
        <x:v>1</x:v>
      </x:c>
      <x:c r="M1357" s="53" t="b">
        <x:v>1</x:v>
      </x:c>
      <x:c r="N1357" s="53" t="b">
        <x:v>1</x:v>
      </x:c>
      <x:c r="O1357" s="53" t="b">
        <x:v>1</x:v>
      </x:c>
      <x:c r="P1357" s="47" t="n">
        <x:v>1011</x:v>
      </x:c>
      <x:c r="Q1357" s="47" t="n">
        <x:v>0</x:v>
      </x:c>
      <x:c r="R1357" s="47" t="n">
        <x:v>0</x:v>
      </x:c>
      <x:c r="S1357" s="47" t="n">
        <x:v>29.01</x:v>
      </x:c>
      <x:c r="T1357" s="47" t="n">
        <x:v>64.14</x:v>
      </x:c>
      <x:c r="U1357" s="47" t="n">
        <x:v>29.4</x:v>
      </x:c>
      <x:c r="V1357" s="47" t="n">
        <x:v>13</x:v>
      </x:c>
      <x:c r="W1357" s="47" t="n">
        <x:v>4</x:v>
      </x:c>
      <x:c r="X1357" s="47" t="n">
        <x:v>22</x:v>
      </x:c>
      <x:c r="Y1357" s="41" t="n">
        <x:v>18</x:v>
      </x:c>
    </x:row>
    <x:row r="1358">
      <x:c r="A1358" s="38" t="str">
        <x:v>7月30日现场数据</x:v>
      </x:c>
      <x:c r="B1358" s="66" t="str">
        <x:v>2026-08-04T06:34:38.025000</x:v>
      </x:c>
      <x:c r="C1358" s="47" t="n">
        <x:v>300974</x:v>
      </x:c>
      <x:c r="D1358" s="47" t="str"/>
      <x:c r="E1358" s="47" t="str"/>
      <x:c r="F1358" s="47" t="str">
        <x:v>current</x:v>
      </x:c>
      <x:c r="G1358" s="47" t="n">
        <x:v>1354</x:v>
      </x:c>
      <x:c r="H1358" s="53" t="b">
        <x:v>1</x:v>
      </x:c>
      <x:c r="I1358" s="47" t="str">
        <x:v>4109905524</x:v>
      </x:c>
      <x:c r="J1358" s="47" t="n">
        <x:v>26203150</x:v>
      </x:c>
      <x:c r="K1358" s="53" t="b">
        <x:v>1</x:v>
      </x:c>
      <x:c r="L1358" s="53" t="b">
        <x:v>1</x:v>
      </x:c>
      <x:c r="M1358" s="53" t="b">
        <x:v>1</x:v>
      </x:c>
      <x:c r="N1358" s="53" t="b">
        <x:v>1</x:v>
      </x:c>
      <x:c r="O1358" s="53" t="b">
        <x:v>1</x:v>
      </x:c>
      <x:c r="P1358" s="47" t="n">
        <x:v>1011</x:v>
      </x:c>
      <x:c r="Q1358" s="47" t="n">
        <x:v>0</x:v>
      </x:c>
      <x:c r="R1358" s="47" t="n">
        <x:v>0</x:v>
      </x:c>
      <x:c r="S1358" s="47" t="n">
        <x:v>29.09</x:v>
      </x:c>
      <x:c r="T1358" s="47" t="n">
        <x:v>64.24</x:v>
      </x:c>
      <x:c r="U1358" s="47" t="n">
        <x:v>29.5</x:v>
      </x:c>
      <x:c r="V1358" s="47" t="n">
        <x:v>13</x:v>
      </x:c>
      <x:c r="W1358" s="47" t="n">
        <x:v>4</x:v>
      </x:c>
      <x:c r="X1358" s="47" t="n">
        <x:v>24</x:v>
      </x:c>
      <x:c r="Y1358" s="41" t="n">
        <x:v>20</x:v>
      </x:c>
    </x:row>
    <x:row r="1359">
      <x:c r="A1359" s="38" t="str">
        <x:v>7月30日现场数据</x:v>
      </x:c>
      <x:c r="B1359" s="66" t="str">
        <x:v>2026-08-04T06:39:39</x:v>
      </x:c>
      <x:c r="C1359" s="47" t="n">
        <x:v>300975</x:v>
      </x:c>
      <x:c r="D1359" s="47" t="str"/>
      <x:c r="E1359" s="47" t="str"/>
      <x:c r="F1359" s="47" t="str">
        <x:v>current</x:v>
      </x:c>
      <x:c r="G1359" s="47" t="n">
        <x:v>1355</x:v>
      </x:c>
      <x:c r="H1359" s="53" t="b">
        <x:v>1</x:v>
      </x:c>
      <x:c r="I1359" s="47" t="str">
        <x:v>4109905524</x:v>
      </x:c>
      <x:c r="J1359" s="47" t="n">
        <x:v>26504125</x:v>
      </x:c>
      <x:c r="K1359" s="53" t="b">
        <x:v>1</x:v>
      </x:c>
      <x:c r="L1359" s="53" t="b">
        <x:v>1</x:v>
      </x:c>
      <x:c r="M1359" s="53" t="b">
        <x:v>1</x:v>
      </x:c>
      <x:c r="N1359" s="53" t="b">
        <x:v>1</x:v>
      </x:c>
      <x:c r="O1359" s="53" t="b">
        <x:v>1</x:v>
      </x:c>
      <x:c r="P1359" s="47" t="n">
        <x:v>1011</x:v>
      </x:c>
      <x:c r="Q1359" s="47" t="n">
        <x:v>0</x:v>
      </x:c>
      <x:c r="R1359" s="47" t="n">
        <x:v>0</x:v>
      </x:c>
      <x:c r="S1359" s="47" t="n">
        <x:v>29.19</x:v>
      </x:c>
      <x:c r="T1359" s="47" t="n">
        <x:v>64.37</x:v>
      </x:c>
      <x:c r="U1359" s="47" t="n">
        <x:v>29.4</x:v>
      </x:c>
      <x:c r="V1359" s="47" t="n">
        <x:v>13</x:v>
      </x:c>
      <x:c r="W1359" s="47" t="n">
        <x:v>4</x:v>
      </x:c>
      <x:c r="X1359" s="47" t="n">
        <x:v>22</x:v>
      </x:c>
      <x:c r="Y1359" s="41" t="n">
        <x:v>18</x:v>
      </x:c>
    </x:row>
    <x:row r="1360">
      <x:c r="A1360" s="38" t="str">
        <x:v>7月30日现场数据</x:v>
      </x:c>
      <x:c r="B1360" s="66" t="str">
        <x:v>2026-08-04T06:44:39.981000</x:v>
      </x:c>
      <x:c r="C1360" s="47" t="n">
        <x:v>300981</x:v>
      </x:c>
      <x:c r="D1360" s="47" t="str"/>
      <x:c r="E1360" s="47" t="str"/>
      <x:c r="F1360" s="47" t="str">
        <x:v>current</x:v>
      </x:c>
      <x:c r="G1360" s="47" t="n">
        <x:v>1356</x:v>
      </x:c>
      <x:c r="H1360" s="53" t="b">
        <x:v>1</x:v>
      </x:c>
      <x:c r="I1360" s="47" t="str">
        <x:v>4109905524</x:v>
      </x:c>
      <x:c r="J1360" s="47" t="n">
        <x:v>26805106</x:v>
      </x:c>
      <x:c r="K1360" s="53" t="b">
        <x:v>1</x:v>
      </x:c>
      <x:c r="L1360" s="53" t="b">
        <x:v>1</x:v>
      </x:c>
      <x:c r="M1360" s="53" t="b">
        <x:v>1</x:v>
      </x:c>
      <x:c r="N1360" s="53" t="b">
        <x:v>1</x:v>
      </x:c>
      <x:c r="O1360" s="53" t="b">
        <x:v>1</x:v>
      </x:c>
      <x:c r="P1360" s="47" t="n">
        <x:v>1011</x:v>
      </x:c>
      <x:c r="Q1360" s="47" t="n">
        <x:v>0</x:v>
      </x:c>
      <x:c r="R1360" s="47" t="n">
        <x:v>0</x:v>
      </x:c>
      <x:c r="S1360" s="47" t="n">
        <x:v>29.22</x:v>
      </x:c>
      <x:c r="T1360" s="47" t="n">
        <x:v>64.52</x:v>
      </x:c>
      <x:c r="U1360" s="47" t="n">
        <x:v>29.4</x:v>
      </x:c>
      <x:c r="V1360" s="47" t="n">
        <x:v>13</x:v>
      </x:c>
      <x:c r="W1360" s="47" t="n">
        <x:v>4</x:v>
      </x:c>
      <x:c r="X1360" s="47" t="n">
        <x:v>20</x:v>
      </x:c>
      <x:c r="Y1360" s="41" t="n">
        <x:v>16</x:v>
      </x:c>
    </x:row>
    <x:row r="1361">
      <x:c r="A1361" s="38" t="str">
        <x:v>7月30日现场数据</x:v>
      </x:c>
      <x:c r="B1361" s="66" t="str">
        <x:v>2026-08-04T06:49:40.962000</x:v>
      </x:c>
      <x:c r="C1361" s="47" t="n">
        <x:v>300981</x:v>
      </x:c>
      <x:c r="D1361" s="47" t="str"/>
      <x:c r="E1361" s="47" t="str"/>
      <x:c r="F1361" s="47" t="str">
        <x:v>current</x:v>
      </x:c>
      <x:c r="G1361" s="47" t="n">
        <x:v>1357</x:v>
      </x:c>
      <x:c r="H1361" s="53" t="b">
        <x:v>1</x:v>
      </x:c>
      <x:c r="I1361" s="47" t="str">
        <x:v>4109905524</x:v>
      </x:c>
      <x:c r="J1361" s="47" t="n">
        <x:v>27106087</x:v>
      </x:c>
      <x:c r="K1361" s="53" t="b">
        <x:v>1</x:v>
      </x:c>
      <x:c r="L1361" s="53" t="b">
        <x:v>1</x:v>
      </x:c>
      <x:c r="M1361" s="53" t="b">
        <x:v>1</x:v>
      </x:c>
      <x:c r="N1361" s="53" t="b">
        <x:v>1</x:v>
      </x:c>
      <x:c r="O1361" s="53" t="b">
        <x:v>1</x:v>
      </x:c>
      <x:c r="P1361" s="47" t="n">
        <x:v>1011</x:v>
      </x:c>
      <x:c r="Q1361" s="47" t="n">
        <x:v>0</x:v>
      </x:c>
      <x:c r="R1361" s="47" t="n">
        <x:v>0</x:v>
      </x:c>
      <x:c r="S1361" s="47" t="n">
        <x:v>29.25</x:v>
      </x:c>
      <x:c r="T1361" s="47" t="n">
        <x:v>64.56</x:v>
      </x:c>
      <x:c r="U1361" s="47" t="n">
        <x:v>29.4</x:v>
      </x:c>
      <x:c r="V1361" s="47" t="n">
        <x:v>13</x:v>
      </x:c>
      <x:c r="W1361" s="47" t="n">
        <x:v>5</x:v>
      </x:c>
      <x:c r="X1361" s="47" t="n">
        <x:v>25</x:v>
      </x:c>
      <x:c r="Y1361" s="41" t="n">
        <x:v>20</x:v>
      </x:c>
    </x:row>
    <x:row r="1362">
      <x:c r="A1362" s="38" t="str">
        <x:v>7月30日现场数据</x:v>
      </x:c>
      <x:c r="B1362" s="66" t="str">
        <x:v>2026-08-04T06:54:41.944000</x:v>
      </x:c>
      <x:c r="C1362" s="47" t="n">
        <x:v>300982</x:v>
      </x:c>
      <x:c r="D1362" s="47" t="str"/>
      <x:c r="E1362" s="47" t="str"/>
      <x:c r="F1362" s="47" t="str">
        <x:v>current</x:v>
      </x:c>
      <x:c r="G1362" s="47" t="n">
        <x:v>1358</x:v>
      </x:c>
      <x:c r="H1362" s="53" t="b">
        <x:v>1</x:v>
      </x:c>
      <x:c r="I1362" s="47" t="str">
        <x:v>4109905524</x:v>
      </x:c>
      <x:c r="J1362" s="47" t="n">
        <x:v>27407069</x:v>
      </x:c>
      <x:c r="K1362" s="53" t="b">
        <x:v>1</x:v>
      </x:c>
      <x:c r="L1362" s="53" t="b">
        <x:v>1</x:v>
      </x:c>
      <x:c r="M1362" s="53" t="b">
        <x:v>1</x:v>
      </x:c>
      <x:c r="N1362" s="53" t="b">
        <x:v>1</x:v>
      </x:c>
      <x:c r="O1362" s="53" t="b">
        <x:v>1</x:v>
      </x:c>
      <x:c r="P1362" s="47" t="n">
        <x:v>1011</x:v>
      </x:c>
      <x:c r="Q1362" s="47" t="n">
        <x:v>0</x:v>
      </x:c>
      <x:c r="R1362" s="47" t="n">
        <x:v>0</x:v>
      </x:c>
      <x:c r="S1362" s="47" t="n">
        <x:v>29.31</x:v>
      </x:c>
      <x:c r="T1362" s="47" t="n">
        <x:v>64.71</x:v>
      </x:c>
      <x:c r="U1362" s="47" t="n">
        <x:v>29.4</x:v>
      </x:c>
      <x:c r="V1362" s="47" t="n">
        <x:v>13</x:v>
      </x:c>
      <x:c r="W1362" s="47" t="n">
        <x:v>5</x:v>
      </x:c>
      <x:c r="X1362" s="47" t="n">
        <x:v>27</x:v>
      </x:c>
      <x:c r="Y1362" s="41" t="n">
        <x:v>22</x:v>
      </x:c>
    </x:row>
    <x:row r="1363">
      <x:c r="A1363" s="38" t="str">
        <x:v>7月30日现场数据</x:v>
      </x:c>
      <x:c r="B1363" s="66" t="str">
        <x:v>2026-08-04T06:59:42.927000</x:v>
      </x:c>
      <x:c r="C1363" s="47" t="n">
        <x:v>300983</x:v>
      </x:c>
      <x:c r="D1363" s="47" t="str"/>
      <x:c r="E1363" s="47" t="str"/>
      <x:c r="F1363" s="47" t="str">
        <x:v>current</x:v>
      </x:c>
      <x:c r="G1363" s="47" t="n">
        <x:v>1359</x:v>
      </x:c>
      <x:c r="H1363" s="53" t="b">
        <x:v>1</x:v>
      </x:c>
      <x:c r="I1363" s="47" t="str">
        <x:v>4109905524</x:v>
      </x:c>
      <x:c r="J1363" s="47" t="n">
        <x:v>27708052</x:v>
      </x:c>
      <x:c r="K1363" s="53" t="b">
        <x:v>1</x:v>
      </x:c>
      <x:c r="L1363" s="53" t="b">
        <x:v>1</x:v>
      </x:c>
      <x:c r="M1363" s="53" t="b">
        <x:v>1</x:v>
      </x:c>
      <x:c r="N1363" s="53" t="b">
        <x:v>1</x:v>
      </x:c>
      <x:c r="O1363" s="53" t="b">
        <x:v>1</x:v>
      </x:c>
      <x:c r="P1363" s="47" t="n">
        <x:v>1011</x:v>
      </x:c>
      <x:c r="Q1363" s="47" t="n">
        <x:v>0</x:v>
      </x:c>
      <x:c r="R1363" s="47" t="n">
        <x:v>0</x:v>
      </x:c>
      <x:c r="S1363" s="47" t="n">
        <x:v>29.39</x:v>
      </x:c>
      <x:c r="T1363" s="47" t="n">
        <x:v>64.81</x:v>
      </x:c>
      <x:c r="U1363" s="47" t="n">
        <x:v>29.4</x:v>
      </x:c>
      <x:c r="V1363" s="47" t="n">
        <x:v>13</x:v>
      </x:c>
      <x:c r="W1363" s="47" t="n">
        <x:v>6</x:v>
      </x:c>
      <x:c r="X1363" s="47" t="n">
        <x:v>34</x:v>
      </x:c>
      <x:c r="Y1363" s="41" t="n">
        <x:v>28</x:v>
      </x:c>
    </x:row>
    <x:row r="1364">
      <x:c r="A1364" s="38" t="str">
        <x:v>7月30日现场数据</x:v>
      </x:c>
      <x:c r="B1364" s="66" t="str">
        <x:v>2026-08-04T07:04:43.915000</x:v>
      </x:c>
      <x:c r="C1364" s="47" t="n">
        <x:v>300988</x:v>
      </x:c>
      <x:c r="D1364" s="47" t="str"/>
      <x:c r="E1364" s="47" t="str"/>
      <x:c r="F1364" s="47" t="str">
        <x:v>current</x:v>
      </x:c>
      <x:c r="G1364" s="47" t="n">
        <x:v>1360</x:v>
      </x:c>
      <x:c r="H1364" s="53" t="b">
        <x:v>1</x:v>
      </x:c>
      <x:c r="I1364" s="47" t="str">
        <x:v>4109905524</x:v>
      </x:c>
      <x:c r="J1364" s="47" t="n">
        <x:v>28009040</x:v>
      </x:c>
      <x:c r="K1364" s="53" t="b">
        <x:v>1</x:v>
      </x:c>
      <x:c r="L1364" s="53" t="b">
        <x:v>1</x:v>
      </x:c>
      <x:c r="M1364" s="53" t="b">
        <x:v>1</x:v>
      </x:c>
      <x:c r="N1364" s="53" t="b">
        <x:v>1</x:v>
      </x:c>
      <x:c r="O1364" s="53" t="b">
        <x:v>1</x:v>
      </x:c>
      <x:c r="P1364" s="47" t="n">
        <x:v>1011</x:v>
      </x:c>
      <x:c r="Q1364" s="47" t="n">
        <x:v>0</x:v>
      </x:c>
      <x:c r="R1364" s="47" t="n">
        <x:v>0</x:v>
      </x:c>
      <x:c r="S1364" s="47" t="n">
        <x:v>29.54</x:v>
      </x:c>
      <x:c r="T1364" s="47" t="n">
        <x:v>64.9</x:v>
      </x:c>
      <x:c r="U1364" s="47" t="n">
        <x:v>29.4</x:v>
      </x:c>
      <x:c r="V1364" s="47" t="n">
        <x:v>13</x:v>
      </x:c>
      <x:c r="W1364" s="47" t="n">
        <x:v>7</x:v>
      </x:c>
      <x:c r="X1364" s="47" t="n">
        <x:v>39</x:v>
      </x:c>
      <x:c r="Y1364" s="41" t="n">
        <x:v>32</x:v>
      </x:c>
    </x:row>
    <x:row r="1365">
      <x:c r="A1365" s="38" t="str">
        <x:v>7月30日现场数据</x:v>
      </x:c>
      <x:c r="B1365" s="66" t="str">
        <x:v>2026-08-04T07:09:44.901000</x:v>
      </x:c>
      <x:c r="C1365" s="47" t="n">
        <x:v>300986</x:v>
      </x:c>
      <x:c r="D1365" s="47" t="str"/>
      <x:c r="E1365" s="47" t="str"/>
      <x:c r="F1365" s="47" t="str">
        <x:v>current</x:v>
      </x:c>
      <x:c r="G1365" s="47" t="n">
        <x:v>1361</x:v>
      </x:c>
      <x:c r="H1365" s="53" t="b">
        <x:v>1</x:v>
      </x:c>
      <x:c r="I1365" s="47" t="str">
        <x:v>4109905524</x:v>
      </x:c>
      <x:c r="J1365" s="47" t="n">
        <x:v>28310026</x:v>
      </x:c>
      <x:c r="K1365" s="53" t="b">
        <x:v>1</x:v>
      </x:c>
      <x:c r="L1365" s="53" t="b">
        <x:v>1</x:v>
      </x:c>
      <x:c r="M1365" s="53" t="b">
        <x:v>1</x:v>
      </x:c>
      <x:c r="N1365" s="53" t="b">
        <x:v>1</x:v>
      </x:c>
      <x:c r="O1365" s="53" t="b">
        <x:v>1</x:v>
      </x:c>
      <x:c r="P1365" s="47" t="n">
        <x:v>1011</x:v>
      </x:c>
      <x:c r="Q1365" s="47" t="n">
        <x:v>0.026</x:v>
      </x:c>
      <x:c r="R1365" s="47" t="n">
        <x:v>0.692</x:v>
      </x:c>
      <x:c r="S1365" s="47" t="n">
        <x:v>29.65</x:v>
      </x:c>
      <x:c r="T1365" s="47" t="n">
        <x:v>65.04</x:v>
      </x:c>
      <x:c r="U1365" s="47" t="n">
        <x:v>29.5</x:v>
      </x:c>
      <x:c r="V1365" s="47" t="n">
        <x:v>12.9</x:v>
      </x:c>
      <x:c r="W1365" s="47" t="n">
        <x:v>9</x:v>
      </x:c>
      <x:c r="X1365" s="47" t="n">
        <x:v>44</x:v>
      </x:c>
      <x:c r="Y1365" s="41" t="n">
        <x:v>35</x:v>
      </x:c>
    </x:row>
    <x:row r="1366">
      <x:c r="A1366" s="38" t="str">
        <x:v>7月30日现场数据</x:v>
      </x:c>
      <x:c r="B1366" s="66" t="str">
        <x:v>2026-08-04T07:14:45.887000</x:v>
      </x:c>
      <x:c r="C1366" s="47" t="n">
        <x:v>300986</x:v>
      </x:c>
      <x:c r="D1366" s="47" t="str"/>
      <x:c r="E1366" s="47" t="str"/>
      <x:c r="F1366" s="47" t="str">
        <x:v>current</x:v>
      </x:c>
      <x:c r="G1366" s="47" t="n">
        <x:v>1362</x:v>
      </x:c>
      <x:c r="H1366" s="53" t="b">
        <x:v>1</x:v>
      </x:c>
      <x:c r="I1366" s="47" t="str">
        <x:v>4109905524</x:v>
      </x:c>
      <x:c r="J1366" s="47" t="n">
        <x:v>28611012</x:v>
      </x:c>
      <x:c r="K1366" s="53" t="b">
        <x:v>1</x:v>
      </x:c>
      <x:c r="L1366" s="53" t="b">
        <x:v>1</x:v>
      </x:c>
      <x:c r="M1366" s="53" t="b">
        <x:v>1</x:v>
      </x:c>
      <x:c r="N1366" s="53" t="b">
        <x:v>1</x:v>
      </x:c>
      <x:c r="O1366" s="53" t="b">
        <x:v>1</x:v>
      </x:c>
      <x:c r="P1366" s="47" t="n">
        <x:v>1011</x:v>
      </x:c>
      <x:c r="Q1366" s="47" t="n">
        <x:v>0</x:v>
      </x:c>
      <x:c r="R1366" s="47" t="n">
        <x:v>0</x:v>
      </x:c>
      <x:c r="S1366" s="47" t="n">
        <x:v>29.84</x:v>
      </x:c>
      <x:c r="T1366" s="47" t="n">
        <x:v>65.27</x:v>
      </x:c>
      <x:c r="U1366" s="47" t="n">
        <x:v>29.5</x:v>
      </x:c>
      <x:c r="V1366" s="47" t="n">
        <x:v>12.9</x:v>
      </x:c>
      <x:c r="W1366" s="47" t="n">
        <x:v>10</x:v>
      </x:c>
      <x:c r="X1366" s="47" t="n">
        <x:v>51</x:v>
      </x:c>
      <x:c r="Y1366" s="41" t="n">
        <x:v>41</x:v>
      </x:c>
    </x:row>
    <x:row r="1367">
      <x:c r="A1367" s="38" t="str">
        <x:v>7月30日现场数据</x:v>
      </x:c>
      <x:c r="B1367" s="66" t="str">
        <x:v>2026-08-04T07:19:46.892000</x:v>
      </x:c>
      <x:c r="C1367" s="47" t="n">
        <x:v>301005</x:v>
      </x:c>
      <x:c r="D1367" s="47" t="str"/>
      <x:c r="E1367" s="47" t="str"/>
      <x:c r="F1367" s="47" t="str">
        <x:v>current</x:v>
      </x:c>
      <x:c r="G1367" s="47" t="n">
        <x:v>1363</x:v>
      </x:c>
      <x:c r="H1367" s="53" t="b">
        <x:v>1</x:v>
      </x:c>
      <x:c r="I1367" s="47" t="str">
        <x:v>4109905524</x:v>
      </x:c>
      <x:c r="J1367" s="47" t="n">
        <x:v>28912017</x:v>
      </x:c>
      <x:c r="K1367" s="53" t="b">
        <x:v>1</x:v>
      </x:c>
      <x:c r="L1367" s="53" t="b">
        <x:v>1</x:v>
      </x:c>
      <x:c r="M1367" s="53" t="b">
        <x:v>1</x:v>
      </x:c>
      <x:c r="N1367" s="53" t="b">
        <x:v>1</x:v>
      </x:c>
      <x:c r="O1367" s="53" t="b">
        <x:v>1</x:v>
      </x:c>
      <x:c r="P1367" s="47" t="n">
        <x:v>1011</x:v>
      </x:c>
      <x:c r="Q1367" s="47" t="n">
        <x:v>0</x:v>
      </x:c>
      <x:c r="R1367" s="47" t="n">
        <x:v>0</x:v>
      </x:c>
      <x:c r="S1367" s="47" t="n">
        <x:v>30.02</x:v>
      </x:c>
      <x:c r="T1367" s="47" t="n">
        <x:v>65.33</x:v>
      </x:c>
      <x:c r="U1367" s="47" t="n">
        <x:v>29.5</x:v>
      </x:c>
      <x:c r="V1367" s="47" t="n">
        <x:v>13</x:v>
      </x:c>
      <x:c r="W1367" s="47" t="n">
        <x:v>9</x:v>
      </x:c>
      <x:c r="X1367" s="47" t="n">
        <x:v>49</x:v>
      </x:c>
      <x:c r="Y1367" s="41" t="n">
        <x:v>40</x:v>
      </x:c>
    </x:row>
    <x:row r="1368">
      <x:c r="A1368" s="38" t="str">
        <x:v>7月30日现场数据</x:v>
      </x:c>
      <x:c r="B1368" s="66" t="str">
        <x:v>2026-08-04T07:24:47.871000</x:v>
      </x:c>
      <x:c r="C1368" s="47" t="n">
        <x:v>300979</x:v>
      </x:c>
      <x:c r="D1368" s="47" t="str"/>
      <x:c r="E1368" s="47" t="str"/>
      <x:c r="F1368" s="47" t="str">
        <x:v>current</x:v>
      </x:c>
      <x:c r="G1368" s="47" t="n">
        <x:v>1364</x:v>
      </x:c>
      <x:c r="H1368" s="53" t="b">
        <x:v>1</x:v>
      </x:c>
      <x:c r="I1368" s="47" t="str">
        <x:v>4109905524</x:v>
      </x:c>
      <x:c r="J1368" s="47" t="n">
        <x:v>29212996</x:v>
      </x:c>
      <x:c r="K1368" s="53" t="b">
        <x:v>1</x:v>
      </x:c>
      <x:c r="L1368" s="53" t="b">
        <x:v>1</x:v>
      </x:c>
      <x:c r="M1368" s="53" t="b">
        <x:v>1</x:v>
      </x:c>
      <x:c r="N1368" s="53" t="b">
        <x:v>1</x:v>
      </x:c>
      <x:c r="O1368" s="53" t="b">
        <x:v>1</x:v>
      </x:c>
      <x:c r="P1368" s="47" t="n">
        <x:v>1010</x:v>
      </x:c>
      <x:c r="Q1368" s="47" t="n">
        <x:v>0</x:v>
      </x:c>
      <x:c r="R1368" s="47" t="n">
        <x:v>0</x:v>
      </x:c>
      <x:c r="S1368" s="47" t="n">
        <x:v>30.18</x:v>
      </x:c>
      <x:c r="T1368" s="47" t="n">
        <x:v>65.48</x:v>
      </x:c>
      <x:c r="U1368" s="47" t="n">
        <x:v>29.5</x:v>
      </x:c>
      <x:c r="V1368" s="47" t="n">
        <x:v>13</x:v>
      </x:c>
      <x:c r="W1368" s="47" t="n">
        <x:v>9</x:v>
      </x:c>
      <x:c r="X1368" s="47" t="n">
        <x:v>50</x:v>
      </x:c>
      <x:c r="Y1368" s="41" t="n">
        <x:v>41</x:v>
      </x:c>
    </x:row>
    <x:row r="1369">
      <x:c r="A1369" s="38" t="str">
        <x:v>7月30日现场数据</x:v>
      </x:c>
      <x:c r="B1369" s="66" t="str">
        <x:v>2026-08-04T07:29:48.850000</x:v>
      </x:c>
      <x:c r="C1369" s="47" t="n">
        <x:v>300979</x:v>
      </x:c>
      <x:c r="D1369" s="47" t="str"/>
      <x:c r="E1369" s="47" t="str"/>
      <x:c r="F1369" s="47" t="str">
        <x:v>current</x:v>
      </x:c>
      <x:c r="G1369" s="47" t="n">
        <x:v>1365</x:v>
      </x:c>
      <x:c r="H1369" s="53" t="b">
        <x:v>1</x:v>
      </x:c>
      <x:c r="I1369" s="47" t="str">
        <x:v>4109905524</x:v>
      </x:c>
      <x:c r="J1369" s="47" t="n">
        <x:v>29513975</x:v>
      </x:c>
      <x:c r="K1369" s="53" t="b">
        <x:v>1</x:v>
      </x:c>
      <x:c r="L1369" s="53" t="b">
        <x:v>1</x:v>
      </x:c>
      <x:c r="M1369" s="53" t="b">
        <x:v>1</x:v>
      </x:c>
      <x:c r="N1369" s="53" t="b">
        <x:v>1</x:v>
      </x:c>
      <x:c r="O1369" s="53" t="b">
        <x:v>1</x:v>
      </x:c>
      <x:c r="P1369" s="47" t="n">
        <x:v>1011</x:v>
      </x:c>
      <x:c r="Q1369" s="47" t="n">
        <x:v>0</x:v>
      </x:c>
      <x:c r="R1369" s="47" t="n">
        <x:v>0</x:v>
      </x:c>
      <x:c r="S1369" s="47" t="n">
        <x:v>30.29</x:v>
      </x:c>
      <x:c r="T1369" s="47" t="n">
        <x:v>65.58</x:v>
      </x:c>
      <x:c r="U1369" s="47" t="n">
        <x:v>29.5</x:v>
      </x:c>
      <x:c r="V1369" s="47" t="n">
        <x:v>13</x:v>
      </x:c>
      <x:c r="W1369" s="47" t="n">
        <x:v>9</x:v>
      </x:c>
      <x:c r="X1369" s="47" t="n">
        <x:v>48</x:v>
      </x:c>
      <x:c r="Y1369" s="41" t="n">
        <x:v>39</x:v>
      </x:c>
    </x:row>
    <x:row r="1370">
      <x:c r="A1370" s="38" t="str">
        <x:v>7月30日现场数据</x:v>
      </x:c>
      <x:c r="B1370" s="66" t="str">
        <x:v>2026-08-04T07:34:49.864000</x:v>
      </x:c>
      <x:c r="C1370" s="47" t="n">
        <x:v>301014</x:v>
      </x:c>
      <x:c r="D1370" s="47" t="str"/>
      <x:c r="E1370" s="47" t="str"/>
      <x:c r="F1370" s="47" t="str">
        <x:v>current</x:v>
      </x:c>
      <x:c r="G1370" s="47" t="n">
        <x:v>1366</x:v>
      </x:c>
      <x:c r="H1370" s="53" t="b">
        <x:v>1</x:v>
      </x:c>
      <x:c r="I1370" s="47" t="str">
        <x:v>4109905524</x:v>
      </x:c>
      <x:c r="J1370" s="47" t="n">
        <x:v>29814989</x:v>
      </x:c>
      <x:c r="K1370" s="53" t="b">
        <x:v>1</x:v>
      </x:c>
      <x:c r="L1370" s="53" t="b">
        <x:v>1</x:v>
      </x:c>
      <x:c r="M1370" s="53" t="b">
        <x:v>1</x:v>
      </x:c>
      <x:c r="N1370" s="53" t="b">
        <x:v>1</x:v>
      </x:c>
      <x:c r="O1370" s="53" t="b">
        <x:v>1</x:v>
      </x:c>
      <x:c r="P1370" s="47" t="n">
        <x:v>1011</x:v>
      </x:c>
      <x:c r="Q1370" s="47" t="n">
        <x:v>0</x:v>
      </x:c>
      <x:c r="R1370" s="47" t="n">
        <x:v>0</x:v>
      </x:c>
      <x:c r="S1370" s="47" t="n">
        <x:v>30.34</x:v>
      </x:c>
      <x:c r="T1370" s="47" t="n">
        <x:v>65.71</x:v>
      </x:c>
      <x:c r="U1370" s="47" t="n">
        <x:v>29.5</x:v>
      </x:c>
      <x:c r="V1370" s="47" t="n">
        <x:v>13</x:v>
      </x:c>
      <x:c r="W1370" s="47" t="n">
        <x:v>10</x:v>
      </x:c>
      <x:c r="X1370" s="47" t="n">
        <x:v>55</x:v>
      </x:c>
      <x:c r="Y1370" s="41" t="n">
        <x:v>45</x:v>
      </x:c>
    </x:row>
    <x:row r="1371">
      <x:c r="A1371" s="38" t="str">
        <x:v>7月30日现场数据</x:v>
      </x:c>
      <x:c r="B1371" s="66" t="str">
        <x:v>2026-08-04T07:39:50.823000</x:v>
      </x:c>
      <x:c r="C1371" s="47" t="n">
        <x:v>300959</x:v>
      </x:c>
      <x:c r="D1371" s="47" t="str"/>
      <x:c r="E1371" s="47" t="str"/>
      <x:c r="F1371" s="47" t="str">
        <x:v>current</x:v>
      </x:c>
      <x:c r="G1371" s="47" t="n">
        <x:v>1367</x:v>
      </x:c>
      <x:c r="H1371" s="53" t="b">
        <x:v>1</x:v>
      </x:c>
      <x:c r="I1371" s="47" t="str">
        <x:v>4109905524</x:v>
      </x:c>
      <x:c r="J1371" s="47" t="n">
        <x:v>30115948</x:v>
      </x:c>
      <x:c r="K1371" s="53" t="b">
        <x:v>1</x:v>
      </x:c>
      <x:c r="L1371" s="53" t="b">
        <x:v>1</x:v>
      </x:c>
      <x:c r="M1371" s="53" t="b">
        <x:v>1</x:v>
      </x:c>
      <x:c r="N1371" s="53" t="b">
        <x:v>1</x:v>
      </x:c>
      <x:c r="O1371" s="53" t="b">
        <x:v>1</x:v>
      </x:c>
      <x:c r="P1371" s="47" t="n">
        <x:v>1011</x:v>
      </x:c>
      <x:c r="Q1371" s="47" t="n">
        <x:v>0</x:v>
      </x:c>
      <x:c r="R1371" s="47" t="n">
        <x:v>0</x:v>
      </x:c>
      <x:c r="S1371" s="47" t="n">
        <x:v>30.48</x:v>
      </x:c>
      <x:c r="T1371" s="47" t="n">
        <x:v>65.82</x:v>
      </x:c>
      <x:c r="U1371" s="47" t="n">
        <x:v>29.5</x:v>
      </x:c>
      <x:c r="V1371" s="47" t="n">
        <x:v>13</x:v>
      </x:c>
      <x:c r="W1371" s="47" t="n">
        <x:v>12</x:v>
      </x:c>
      <x:c r="X1371" s="47" t="n">
        <x:v>68</x:v>
      </x:c>
      <x:c r="Y1371" s="41" t="n">
        <x:v>56</x:v>
      </x:c>
    </x:row>
    <x:row r="1372">
      <x:c r="A1372" s="38" t="str">
        <x:v>7月30日现场数据</x:v>
      </x:c>
      <x:c r="B1372" s="66" t="str">
        <x:v>2026-08-04T07:44:51.783000</x:v>
      </x:c>
      <x:c r="C1372" s="47" t="n">
        <x:v>300960</x:v>
      </x:c>
      <x:c r="D1372" s="47" t="str"/>
      <x:c r="E1372" s="47" t="str"/>
      <x:c r="F1372" s="47" t="str">
        <x:v>current</x:v>
      </x:c>
      <x:c r="G1372" s="47" t="n">
        <x:v>1368</x:v>
      </x:c>
      <x:c r="H1372" s="53" t="b">
        <x:v>1</x:v>
      </x:c>
      <x:c r="I1372" s="47" t="str">
        <x:v>4109905524</x:v>
      </x:c>
      <x:c r="J1372" s="47" t="n">
        <x:v>30416908</x:v>
      </x:c>
      <x:c r="K1372" s="53" t="b">
        <x:v>1</x:v>
      </x:c>
      <x:c r="L1372" s="53" t="b">
        <x:v>1</x:v>
      </x:c>
      <x:c r="M1372" s="53" t="b">
        <x:v>1</x:v>
      </x:c>
      <x:c r="N1372" s="53" t="b">
        <x:v>1</x:v>
      </x:c>
      <x:c r="O1372" s="53" t="b">
        <x:v>1</x:v>
      </x:c>
      <x:c r="P1372" s="47" t="n">
        <x:v>1011</x:v>
      </x:c>
      <x:c r="Q1372" s="47" t="n">
        <x:v>0</x:v>
      </x:c>
      <x:c r="R1372" s="47" t="n">
        <x:v>0</x:v>
      </x:c>
      <x:c r="S1372" s="47" t="n">
        <x:v>30.62</x:v>
      </x:c>
      <x:c r="T1372" s="47" t="n">
        <x:v>65.94</x:v>
      </x:c>
      <x:c r="U1372" s="47" t="n">
        <x:v>29.5</x:v>
      </x:c>
      <x:c r="V1372" s="47" t="n">
        <x:v>13</x:v>
      </x:c>
      <x:c r="W1372" s="47" t="n">
        <x:v>12</x:v>
      </x:c>
      <x:c r="X1372" s="47" t="n">
        <x:v>61</x:v>
      </x:c>
      <x:c r="Y1372" s="41" t="n">
        <x:v>49</x:v>
      </x:c>
    </x:row>
    <x:row r="1373">
      <x:c r="A1373" s="38" t="str">
        <x:v>7月30日现场数据</x:v>
      </x:c>
      <x:c r="B1373" s="66" t="str">
        <x:v>2026-08-04T07:49:52.744000</x:v>
      </x:c>
      <x:c r="C1373" s="47" t="n">
        <x:v>300961</x:v>
      </x:c>
      <x:c r="D1373" s="47" t="str"/>
      <x:c r="E1373" s="47" t="str"/>
      <x:c r="F1373" s="47" t="str">
        <x:v>current</x:v>
      </x:c>
      <x:c r="G1373" s="47" t="n">
        <x:v>1369</x:v>
      </x:c>
      <x:c r="H1373" s="53" t="b">
        <x:v>1</x:v>
      </x:c>
      <x:c r="I1373" s="47" t="str">
        <x:v>4109905524</x:v>
      </x:c>
      <x:c r="J1373" s="47" t="n">
        <x:v>30717869</x:v>
      </x:c>
      <x:c r="K1373" s="53" t="b">
        <x:v>1</x:v>
      </x:c>
      <x:c r="L1373" s="53" t="b">
        <x:v>1</x:v>
      </x:c>
      <x:c r="M1373" s="53" t="b">
        <x:v>1</x:v>
      </x:c>
      <x:c r="N1373" s="53" t="b">
        <x:v>1</x:v>
      </x:c>
      <x:c r="O1373" s="53" t="b">
        <x:v>1</x:v>
      </x:c>
      <x:c r="P1373" s="47" t="n">
        <x:v>1011</x:v>
      </x:c>
      <x:c r="Q1373" s="47" t="n">
        <x:v>0</x:v>
      </x:c>
      <x:c r="R1373" s="47" t="n">
        <x:v>0</x:v>
      </x:c>
      <x:c r="S1373" s="47" t="n">
        <x:v>30.73</x:v>
      </x:c>
      <x:c r="T1373" s="47" t="n">
        <x:v>66.01</x:v>
      </x:c>
      <x:c r="U1373" s="47" t="n">
        <x:v>29.5</x:v>
      </x:c>
      <x:c r="V1373" s="47" t="n">
        <x:v>13</x:v>
      </x:c>
      <x:c r="W1373" s="47" t="n">
        <x:v>12</x:v>
      </x:c>
      <x:c r="X1373" s="47" t="n">
        <x:v>64</x:v>
      </x:c>
      <x:c r="Y1373" s="41" t="n">
        <x:v>52</x:v>
      </x:c>
    </x:row>
    <x:row r="1374">
      <x:c r="A1374" s="38" t="str">
        <x:v>7月30日现场数据</x:v>
      </x:c>
      <x:c r="B1374" s="66" t="str">
        <x:v>2026-08-04T07:54:53.706000</x:v>
      </x:c>
      <x:c r="C1374" s="47" t="n">
        <x:v>300962</x:v>
      </x:c>
      <x:c r="D1374" s="47" t="str"/>
      <x:c r="E1374" s="47" t="str"/>
      <x:c r="F1374" s="47" t="str">
        <x:v>current</x:v>
      </x:c>
      <x:c r="G1374" s="47" t="n">
        <x:v>1370</x:v>
      </x:c>
      <x:c r="H1374" s="53" t="b">
        <x:v>1</x:v>
      </x:c>
      <x:c r="I1374" s="47" t="str">
        <x:v>4109905524</x:v>
      </x:c>
      <x:c r="J1374" s="47" t="n">
        <x:v>31018831</x:v>
      </x:c>
      <x:c r="K1374" s="53" t="b">
        <x:v>1</x:v>
      </x:c>
      <x:c r="L1374" s="53" t="b">
        <x:v>1</x:v>
      </x:c>
      <x:c r="M1374" s="53" t="b">
        <x:v>1</x:v>
      </x:c>
      <x:c r="N1374" s="53" t="b">
        <x:v>1</x:v>
      </x:c>
      <x:c r="O1374" s="53" t="b">
        <x:v>1</x:v>
      </x:c>
      <x:c r="P1374" s="47" t="n">
        <x:v>1012</x:v>
      </x:c>
      <x:c r="Q1374" s="47" t="n">
        <x:v>0</x:v>
      </x:c>
      <x:c r="R1374" s="47" t="n">
        <x:v>0</x:v>
      </x:c>
      <x:c r="S1374" s="47" t="n">
        <x:v>30.82</x:v>
      </x:c>
      <x:c r="T1374" s="47" t="n">
        <x:v>66.1</x:v>
      </x:c>
      <x:c r="U1374" s="47" t="n">
        <x:v>29.6</x:v>
      </x:c>
      <x:c r="V1374" s="47" t="n">
        <x:v>13</x:v>
      </x:c>
      <x:c r="W1374" s="47" t="n">
        <x:v>14</x:v>
      </x:c>
      <x:c r="X1374" s="47" t="n">
        <x:v>71</x:v>
      </x:c>
      <x:c r="Y1374" s="41" t="n">
        <x:v>57</x:v>
      </x:c>
    </x:row>
    <x:row r="1375">
      <x:c r="A1375" s="38" t="str">
        <x:v>7月30日现场数据</x:v>
      </x:c>
      <x:c r="B1375" s="66" t="str">
        <x:v>2026-08-04T07:59:54.672000</x:v>
      </x:c>
      <x:c r="C1375" s="47" t="n">
        <x:v>300966</x:v>
      </x:c>
      <x:c r="D1375" s="47" t="str"/>
      <x:c r="E1375" s="47" t="str"/>
      <x:c r="F1375" s="47" t="str">
        <x:v>current</x:v>
      </x:c>
      <x:c r="G1375" s="47" t="n">
        <x:v>1371</x:v>
      </x:c>
      <x:c r="H1375" s="53" t="b">
        <x:v>1</x:v>
      </x:c>
      <x:c r="I1375" s="47" t="str">
        <x:v>4109905524</x:v>
      </x:c>
      <x:c r="J1375" s="47" t="n">
        <x:v>31319797</x:v>
      </x:c>
      <x:c r="K1375" s="53" t="b">
        <x:v>1</x:v>
      </x:c>
      <x:c r="L1375" s="53" t="b">
        <x:v>1</x:v>
      </x:c>
      <x:c r="M1375" s="53" t="b">
        <x:v>1</x:v>
      </x:c>
      <x:c r="N1375" s="53" t="b">
        <x:v>1</x:v>
      </x:c>
      <x:c r="O1375" s="53" t="b">
        <x:v>1</x:v>
      </x:c>
      <x:c r="P1375" s="47" t="n">
        <x:v>1011</x:v>
      </x:c>
      <x:c r="Q1375" s="47" t="n">
        <x:v>0</x:v>
      </x:c>
      <x:c r="R1375" s="47" t="n">
        <x:v>0</x:v>
      </x:c>
      <x:c r="S1375" s="47" t="n">
        <x:v>31</x:v>
      </x:c>
      <x:c r="T1375" s="47" t="n">
        <x:v>66.17</x:v>
      </x:c>
      <x:c r="U1375" s="47" t="n">
        <x:v>29.6</x:v>
      </x:c>
      <x:c r="V1375" s="47" t="n">
        <x:v>13</x:v>
      </x:c>
      <x:c r="W1375" s="47" t="n">
        <x:v>14</x:v>
      </x:c>
      <x:c r="X1375" s="47" t="n">
        <x:v>73</x:v>
      </x:c>
      <x:c r="Y1375" s="41" t="n">
        <x:v>59</x:v>
      </x:c>
    </x:row>
    <x:row r="1376">
      <x:c r="A1376" s="38" t="str">
        <x:v>7月30日现场数据</x:v>
      </x:c>
      <x:c r="B1376" s="66" t="str">
        <x:v>2026-08-04T08:04:55.637000</x:v>
      </x:c>
      <x:c r="C1376" s="47" t="n">
        <x:v>300965</x:v>
      </x:c>
      <x:c r="D1376" s="47" t="str"/>
      <x:c r="E1376" s="47" t="str"/>
      <x:c r="F1376" s="47" t="str">
        <x:v>current</x:v>
      </x:c>
      <x:c r="G1376" s="47" t="n">
        <x:v>1372</x:v>
      </x:c>
      <x:c r="H1376" s="53" t="b">
        <x:v>1</x:v>
      </x:c>
      <x:c r="I1376" s="47" t="str">
        <x:v>4109905524</x:v>
      </x:c>
      <x:c r="J1376" s="47" t="n">
        <x:v>31620762</x:v>
      </x:c>
      <x:c r="K1376" s="53" t="b">
        <x:v>1</x:v>
      </x:c>
      <x:c r="L1376" s="53" t="b">
        <x:v>1</x:v>
      </x:c>
      <x:c r="M1376" s="53" t="b">
        <x:v>1</x:v>
      </x:c>
      <x:c r="N1376" s="53" t="b">
        <x:v>1</x:v>
      </x:c>
      <x:c r="O1376" s="53" t="b">
        <x:v>1</x:v>
      </x:c>
      <x:c r="P1376" s="47" t="n">
        <x:v>1012</x:v>
      </x:c>
      <x:c r="Q1376" s="47" t="n">
        <x:v>0</x:v>
      </x:c>
      <x:c r="R1376" s="47" t="n">
        <x:v>0</x:v>
      </x:c>
      <x:c r="S1376" s="47" t="n">
        <x:v>31.27</x:v>
      </x:c>
      <x:c r="T1376" s="47" t="n">
        <x:v>66.3</x:v>
      </x:c>
      <x:c r="U1376" s="47" t="n">
        <x:v>29.6</x:v>
      </x:c>
      <x:c r="V1376" s="47" t="n">
        <x:v>12.9</x:v>
      </x:c>
      <x:c r="W1376" s="47" t="n">
        <x:v>15</x:v>
      </x:c>
      <x:c r="X1376" s="47" t="n">
        <x:v>80</x:v>
      </x:c>
      <x:c r="Y1376" s="41" t="n">
        <x:v>65</x:v>
      </x:c>
    </x:row>
    <x:row r="1377">
      <x:c r="A1377" s="38" t="str">
        <x:v>7月30日现场数据</x:v>
      </x:c>
      <x:c r="B1377" s="66" t="str">
        <x:v>2026-08-04T08:09:56.604000</x:v>
      </x:c>
      <x:c r="C1377" s="47" t="n">
        <x:v>300967</x:v>
      </x:c>
      <x:c r="D1377" s="47" t="str"/>
      <x:c r="E1377" s="47" t="str"/>
      <x:c r="F1377" s="47" t="str">
        <x:v>current</x:v>
      </x:c>
      <x:c r="G1377" s="47" t="n">
        <x:v>1373</x:v>
      </x:c>
      <x:c r="H1377" s="53" t="b">
        <x:v>1</x:v>
      </x:c>
      <x:c r="I1377" s="47" t="str">
        <x:v>4109905524</x:v>
      </x:c>
      <x:c r="J1377" s="47" t="n">
        <x:v>31921729</x:v>
      </x:c>
      <x:c r="K1377" s="53" t="b">
        <x:v>1</x:v>
      </x:c>
      <x:c r="L1377" s="53" t="b">
        <x:v>1</x:v>
      </x:c>
      <x:c r="M1377" s="53" t="b">
        <x:v>1</x:v>
      </x:c>
      <x:c r="N1377" s="53" t="b">
        <x:v>1</x:v>
      </x:c>
      <x:c r="O1377" s="53" t="b">
        <x:v>1</x:v>
      </x:c>
      <x:c r="P1377" s="47" t="n">
        <x:v>1011</x:v>
      </x:c>
      <x:c r="Q1377" s="47" t="n">
        <x:v>0</x:v>
      </x:c>
      <x:c r="R1377" s="47" t="n">
        <x:v>0</x:v>
      </x:c>
      <x:c r="S1377" s="47" t="n">
        <x:v>31.45</x:v>
      </x:c>
      <x:c r="T1377" s="47" t="n">
        <x:v>66.48</x:v>
      </x:c>
      <x:c r="U1377" s="47" t="n">
        <x:v>29.6</x:v>
      </x:c>
      <x:c r="V1377" s="47" t="n">
        <x:v>13</x:v>
      </x:c>
      <x:c r="W1377" s="47" t="n">
        <x:v>17</x:v>
      </x:c>
      <x:c r="X1377" s="47" t="n">
        <x:v>87</x:v>
      </x:c>
      <x:c r="Y1377" s="41" t="n">
        <x:v>70</x:v>
      </x:c>
    </x:row>
    <x:row r="1378">
      <x:c r="A1378" s="38" t="str">
        <x:v>7月30日现场数据</x:v>
      </x:c>
      <x:c r="B1378" s="66" t="str">
        <x:v>2026-08-04T08:14:57.576000</x:v>
      </x:c>
      <x:c r="C1378" s="47" t="n">
        <x:v>300972</x:v>
      </x:c>
      <x:c r="D1378" s="47" t="str"/>
      <x:c r="E1378" s="47" t="str"/>
      <x:c r="F1378" s="47" t="str">
        <x:v>current</x:v>
      </x:c>
      <x:c r="G1378" s="47" t="n">
        <x:v>1374</x:v>
      </x:c>
      <x:c r="H1378" s="53" t="b">
        <x:v>1</x:v>
      </x:c>
      <x:c r="I1378" s="47" t="str">
        <x:v>4109905524</x:v>
      </x:c>
      <x:c r="J1378" s="47" t="n">
        <x:v>32222701</x:v>
      </x:c>
      <x:c r="K1378" s="53" t="b">
        <x:v>1</x:v>
      </x:c>
      <x:c r="L1378" s="53" t="b">
        <x:v>1</x:v>
      </x:c>
      <x:c r="M1378" s="53" t="b">
        <x:v>1</x:v>
      </x:c>
      <x:c r="N1378" s="53" t="b">
        <x:v>1</x:v>
      </x:c>
      <x:c r="O1378" s="53" t="b">
        <x:v>1</x:v>
      </x:c>
      <x:c r="P1378" s="47" t="n">
        <x:v>1011</x:v>
      </x:c>
      <x:c r="Q1378" s="47" t="n">
        <x:v>0</x:v>
      </x:c>
      <x:c r="R1378" s="47" t="n">
        <x:v>0</x:v>
      </x:c>
      <x:c r="S1378" s="47" t="n">
        <x:v>31.58</x:v>
      </x:c>
      <x:c r="T1378" s="47" t="n">
        <x:v>66.48</x:v>
      </x:c>
      <x:c r="U1378" s="47" t="n">
        <x:v>29.6</x:v>
      </x:c>
      <x:c r="V1378" s="47" t="n">
        <x:v>13</x:v>
      </x:c>
      <x:c r="W1378" s="47" t="n">
        <x:v>19</x:v>
      </x:c>
      <x:c r="X1378" s="47" t="n">
        <x:v>103</x:v>
      </x:c>
      <x:c r="Y1378" s="41" t="n">
        <x:v>84</x:v>
      </x:c>
    </x:row>
    <x:row r="1379">
      <x:c r="A1379" s="38" t="str">
        <x:v>7月30日现场数据</x:v>
      </x:c>
      <x:c r="B1379" s="66" t="str">
        <x:v>2026-08-04T08:19:58.549000</x:v>
      </x:c>
      <x:c r="C1379" s="47" t="n">
        <x:v>300973</x:v>
      </x:c>
      <x:c r="D1379" s="47" t="str"/>
      <x:c r="E1379" s="47" t="str"/>
      <x:c r="F1379" s="47" t="str">
        <x:v>current</x:v>
      </x:c>
      <x:c r="G1379" s="47" t="n">
        <x:v>1375</x:v>
      </x:c>
      <x:c r="H1379" s="53" t="b">
        <x:v>1</x:v>
      </x:c>
      <x:c r="I1379" s="47" t="str">
        <x:v>4109905524</x:v>
      </x:c>
      <x:c r="J1379" s="47" t="n">
        <x:v>32523674</x:v>
      </x:c>
      <x:c r="K1379" s="53" t="b">
        <x:v>1</x:v>
      </x:c>
      <x:c r="L1379" s="53" t="b">
        <x:v>1</x:v>
      </x:c>
      <x:c r="M1379" s="53" t="b">
        <x:v>1</x:v>
      </x:c>
      <x:c r="N1379" s="53" t="b">
        <x:v>1</x:v>
      </x:c>
      <x:c r="O1379" s="53" t="b">
        <x:v>1</x:v>
      </x:c>
      <x:c r="P1379" s="47" t="n">
        <x:v>1011</x:v>
      </x:c>
      <x:c r="Q1379" s="47" t="n">
        <x:v>0</x:v>
      </x:c>
      <x:c r="R1379" s="47" t="n">
        <x:v>0</x:v>
      </x:c>
      <x:c r="S1379" s="47" t="n">
        <x:v>31.8</x:v>
      </x:c>
      <x:c r="T1379" s="47" t="n">
        <x:v>66.59</x:v>
      </x:c>
      <x:c r="U1379" s="47" t="n">
        <x:v>29.6</x:v>
      </x:c>
      <x:c r="V1379" s="47" t="n">
        <x:v>13</x:v>
      </x:c>
      <x:c r="W1379" s="47" t="n">
        <x:v>23</x:v>
      </x:c>
      <x:c r="X1379" s="47" t="n">
        <x:v>118</x:v>
      </x:c>
      <x:c r="Y1379" s="41" t="n">
        <x:v>95</x:v>
      </x:c>
    </x:row>
    <x:row r="1380">
      <x:c r="A1380" s="38" t="str">
        <x:v>7月30日现场数据</x:v>
      </x:c>
      <x:c r="B1380" s="66" t="str">
        <x:v>2026-08-04T08:24:59.522000</x:v>
      </x:c>
      <x:c r="C1380" s="47" t="n">
        <x:v>300973</x:v>
      </x:c>
      <x:c r="D1380" s="47" t="str"/>
      <x:c r="E1380" s="47" t="str"/>
      <x:c r="F1380" s="47" t="str">
        <x:v>current</x:v>
      </x:c>
      <x:c r="G1380" s="47" t="n">
        <x:v>1376</x:v>
      </x:c>
      <x:c r="H1380" s="53" t="b">
        <x:v>1</x:v>
      </x:c>
      <x:c r="I1380" s="47" t="str">
        <x:v>4109905524</x:v>
      </x:c>
      <x:c r="J1380" s="47" t="n">
        <x:v>32824647</x:v>
      </x:c>
      <x:c r="K1380" s="53" t="b">
        <x:v>1</x:v>
      </x:c>
      <x:c r="L1380" s="53" t="b">
        <x:v>1</x:v>
      </x:c>
      <x:c r="M1380" s="53" t="b">
        <x:v>1</x:v>
      </x:c>
      <x:c r="N1380" s="53" t="b">
        <x:v>1</x:v>
      </x:c>
      <x:c r="O1380" s="53" t="b">
        <x:v>1</x:v>
      </x:c>
      <x:c r="P1380" s="47" t="n">
        <x:v>1011</x:v>
      </x:c>
      <x:c r="Q1380" s="47" t="n">
        <x:v>0</x:v>
      </x:c>
      <x:c r="R1380" s="47" t="n">
        <x:v>0</x:v>
      </x:c>
      <x:c r="S1380" s="47" t="n">
        <x:v>32.14</x:v>
      </x:c>
      <x:c r="T1380" s="47" t="n">
        <x:v>66.76</x:v>
      </x:c>
      <x:c r="U1380" s="47" t="n">
        <x:v>29.7</x:v>
      </x:c>
      <x:c r="V1380" s="47" t="n">
        <x:v>13</x:v>
      </x:c>
      <x:c r="W1380" s="47" t="n">
        <x:v>30</x:v>
      </x:c>
      <x:c r="X1380" s="47" t="n">
        <x:v>122</x:v>
      </x:c>
      <x:c r="Y1380" s="41" t="n">
        <x:v>92</x:v>
      </x:c>
    </x:row>
    <x:row r="1381">
      <x:c r="A1381" s="38" t="str">
        <x:v>7月30日现场数据</x:v>
      </x:c>
      <x:c r="B1381" s="66" t="str">
        <x:v>2026-08-04T08:30:00.497000</x:v>
      </x:c>
      <x:c r="C1381" s="47" t="n">
        <x:v>300975</x:v>
      </x:c>
      <x:c r="D1381" s="47" t="str"/>
      <x:c r="E1381" s="47" t="str"/>
      <x:c r="F1381" s="47" t="str">
        <x:v>current</x:v>
      </x:c>
      <x:c r="G1381" s="47" t="n">
        <x:v>1377</x:v>
      </x:c>
      <x:c r="H1381" s="53" t="b">
        <x:v>1</x:v>
      </x:c>
      <x:c r="I1381" s="47" t="str">
        <x:v>4109905524</x:v>
      </x:c>
      <x:c r="J1381" s="47" t="n">
        <x:v>33125622</x:v>
      </x:c>
      <x:c r="K1381" s="53" t="b">
        <x:v>1</x:v>
      </x:c>
      <x:c r="L1381" s="53" t="b">
        <x:v>1</x:v>
      </x:c>
      <x:c r="M1381" s="53" t="b">
        <x:v>1</x:v>
      </x:c>
      <x:c r="N1381" s="53" t="b">
        <x:v>1</x:v>
      </x:c>
      <x:c r="O1381" s="53" t="b">
        <x:v>1</x:v>
      </x:c>
      <x:c r="P1381" s="47" t="n">
        <x:v>1012</x:v>
      </x:c>
      <x:c r="Q1381" s="47" t="n">
        <x:v>0</x:v>
      </x:c>
      <x:c r="R1381" s="47" t="n">
        <x:v>0</x:v>
      </x:c>
      <x:c r="S1381" s="47" t="n">
        <x:v>32.44</x:v>
      </x:c>
      <x:c r="T1381" s="47" t="n">
        <x:v>66.87</x:v>
      </x:c>
      <x:c r="U1381" s="47" t="n">
        <x:v>29.7</x:v>
      </x:c>
      <x:c r="V1381" s="47" t="n">
        <x:v>12.9</x:v>
      </x:c>
      <x:c r="W1381" s="47" t="n">
        <x:v>58</x:v>
      </x:c>
      <x:c r="X1381" s="47" t="n">
        <x:v>896</x:v>
      </x:c>
      <x:c r="Y1381" s="41" t="n">
        <x:v>838</x:v>
      </x:c>
    </x:row>
    <x:row r="1382">
      <x:c r="A1382" s="38" t="str">
        <x:v>7月30日现场数据</x:v>
      </x:c>
      <x:c r="B1382" s="66" t="str">
        <x:v>2026-08-04T08:35:01.474000</x:v>
      </x:c>
      <x:c r="C1382" s="47" t="n">
        <x:v>300977</x:v>
      </x:c>
      <x:c r="D1382" s="47" t="str"/>
      <x:c r="E1382" s="47" t="str"/>
      <x:c r="F1382" s="47" t="str">
        <x:v>current</x:v>
      </x:c>
      <x:c r="G1382" s="47" t="n">
        <x:v>1378</x:v>
      </x:c>
      <x:c r="H1382" s="53" t="b">
        <x:v>1</x:v>
      </x:c>
      <x:c r="I1382" s="47" t="str">
        <x:v>4109905524</x:v>
      </x:c>
      <x:c r="J1382" s="47" t="n">
        <x:v>33426599</x:v>
      </x:c>
      <x:c r="K1382" s="53" t="b">
        <x:v>1</x:v>
      </x:c>
      <x:c r="L1382" s="53" t="b">
        <x:v>1</x:v>
      </x:c>
      <x:c r="M1382" s="53" t="b">
        <x:v>1</x:v>
      </x:c>
      <x:c r="N1382" s="53" t="b">
        <x:v>1</x:v>
      </x:c>
      <x:c r="O1382" s="53" t="b">
        <x:v>1</x:v>
      </x:c>
      <x:c r="P1382" s="47" t="n">
        <x:v>1012</x:v>
      </x:c>
      <x:c r="Q1382" s="47" t="n">
        <x:v>0</x:v>
      </x:c>
      <x:c r="R1382" s="47" t="n">
        <x:v>0</x:v>
      </x:c>
      <x:c r="S1382" s="47" t="n">
        <x:v>33.32</x:v>
      </x:c>
      <x:c r="T1382" s="47" t="n">
        <x:v>66.98</x:v>
      </x:c>
      <x:c r="U1382" s="47" t="n">
        <x:v>29.7</x:v>
      </x:c>
      <x:c r="V1382" s="47" t="n">
        <x:v>13</x:v>
      </x:c>
      <x:c r="W1382" s="47" t="n">
        <x:v>119</x:v>
      </x:c>
      <x:c r="X1382" s="47" t="n">
        <x:v>898</x:v>
      </x:c>
      <x:c r="Y1382" s="41" t="n">
        <x:v>779</x:v>
      </x:c>
    </x:row>
    <x:row r="1383">
      <x:c r="A1383" s="38" t="str">
        <x:v>7月30日现场数据</x:v>
      </x:c>
      <x:c r="B1383" s="66" t="str">
        <x:v>2026-08-04T08:40:02.454000</x:v>
      </x:c>
      <x:c r="C1383" s="47" t="n">
        <x:v>300980</x:v>
      </x:c>
      <x:c r="D1383" s="47" t="str"/>
      <x:c r="E1383" s="47" t="str"/>
      <x:c r="F1383" s="47" t="str">
        <x:v>current</x:v>
      </x:c>
      <x:c r="G1383" s="47" t="n">
        <x:v>1379</x:v>
      </x:c>
      <x:c r="H1383" s="53" t="b">
        <x:v>1</x:v>
      </x:c>
      <x:c r="I1383" s="47" t="str">
        <x:v>4109905524</x:v>
      </x:c>
      <x:c r="J1383" s="47" t="n">
        <x:v>33727579</x:v>
      </x:c>
      <x:c r="K1383" s="53" t="b">
        <x:v>1</x:v>
      </x:c>
      <x:c r="L1383" s="53" t="b">
        <x:v>1</x:v>
      </x:c>
      <x:c r="M1383" s="53" t="b">
        <x:v>1</x:v>
      </x:c>
      <x:c r="N1383" s="53" t="b">
        <x:v>1</x:v>
      </x:c>
      <x:c r="O1383" s="53" t="b">
        <x:v>1</x:v>
      </x:c>
      <x:c r="P1383" s="47" t="n">
        <x:v>1012</x:v>
      </x:c>
      <x:c r="Q1383" s="47" t="n">
        <x:v>0</x:v>
      </x:c>
      <x:c r="R1383" s="47" t="n">
        <x:v>0</x:v>
      </x:c>
      <x:c r="S1383" s="47" t="n">
        <x:v>37.16</x:v>
      </x:c>
      <x:c r="T1383" s="47" t="n">
        <x:v>67.67</x:v>
      </x:c>
      <x:c r="U1383" s="47" t="n">
        <x:v>29.9</x:v>
      </x:c>
      <x:c r="V1383" s="47" t="n">
        <x:v>13.1</x:v>
      </x:c>
      <x:c r="W1383" s="47" t="n">
        <x:v>148</x:v>
      </x:c>
      <x:c r="X1383" s="47" t="n">
        <x:v>900</x:v>
      </x:c>
      <x:c r="Y1383" s="41" t="n">
        <x:v>752</x:v>
      </x:c>
    </x:row>
    <x:row r="1384">
      <x:c r="A1384" s="38" t="str">
        <x:v>7月30日现场数据</x:v>
      </x:c>
      <x:c r="B1384" s="66" t="str">
        <x:v>2026-08-04T08:45:03.435000</x:v>
      </x:c>
      <x:c r="C1384" s="47" t="n">
        <x:v>300981</x:v>
      </x:c>
      <x:c r="D1384" s="47" t="str"/>
      <x:c r="E1384" s="47" t="str"/>
      <x:c r="F1384" s="47" t="str">
        <x:v>current</x:v>
      </x:c>
      <x:c r="G1384" s="47" t="n">
        <x:v>1380</x:v>
      </x:c>
      <x:c r="H1384" s="53" t="b">
        <x:v>1</x:v>
      </x:c>
      <x:c r="I1384" s="47" t="str">
        <x:v>4109905524</x:v>
      </x:c>
      <x:c r="J1384" s="47" t="n">
        <x:v>34028560</x:v>
      </x:c>
      <x:c r="K1384" s="53" t="b">
        <x:v>1</x:v>
      </x:c>
      <x:c r="L1384" s="53" t="b">
        <x:v>1</x:v>
      </x:c>
      <x:c r="M1384" s="53" t="b">
        <x:v>1</x:v>
      </x:c>
      <x:c r="N1384" s="53" t="b">
        <x:v>1</x:v>
      </x:c>
      <x:c r="O1384" s="53" t="b">
        <x:v>1</x:v>
      </x:c>
      <x:c r="P1384" s="47" t="n">
        <x:v>1011</x:v>
      </x:c>
      <x:c r="Q1384" s="47" t="n">
        <x:v>0</x:v>
      </x:c>
      <x:c r="R1384" s="47" t="n">
        <x:v>0</x:v>
      </x:c>
      <x:c r="S1384" s="47" t="n">
        <x:v>39.52</x:v>
      </x:c>
      <x:c r="T1384" s="47" t="n">
        <x:v>68.42</x:v>
      </x:c>
      <x:c r="U1384" s="47" t="n">
        <x:v>30.3</x:v>
      </x:c>
      <x:c r="V1384" s="47" t="n">
        <x:v>13.2</x:v>
      </x:c>
      <x:c r="W1384" s="47" t="n">
        <x:v>160</x:v>
      </x:c>
      <x:c r="X1384" s="47" t="n">
        <x:v>891</x:v>
      </x:c>
      <x:c r="Y1384" s="41" t="n">
        <x:v>731</x:v>
      </x:c>
    </x:row>
    <x:row r="1385">
      <x:c r="A1385" s="38" t="str">
        <x:v>7月30日现场数据</x:v>
      </x:c>
      <x:c r="B1385" s="66" t="str">
        <x:v>2026-08-04T08:50:04.415000</x:v>
      </x:c>
      <x:c r="C1385" s="47" t="n">
        <x:v>300980</x:v>
      </x:c>
      <x:c r="D1385" s="47" t="str"/>
      <x:c r="E1385" s="47" t="str"/>
      <x:c r="F1385" s="47" t="str">
        <x:v>current</x:v>
      </x:c>
      <x:c r="G1385" s="47" t="n">
        <x:v>1381</x:v>
      </x:c>
      <x:c r="H1385" s="53" t="b">
        <x:v>1</x:v>
      </x:c>
      <x:c r="I1385" s="47" t="str">
        <x:v>4109905524</x:v>
      </x:c>
      <x:c r="J1385" s="47" t="n">
        <x:v>34329540</x:v>
      </x:c>
      <x:c r="K1385" s="53" t="b">
        <x:v>1</x:v>
      </x:c>
      <x:c r="L1385" s="53" t="b">
        <x:v>1</x:v>
      </x:c>
      <x:c r="M1385" s="53" t="b">
        <x:v>1</x:v>
      </x:c>
      <x:c r="N1385" s="53" t="b">
        <x:v>1</x:v>
      </x:c>
      <x:c r="O1385" s="53" t="b">
        <x:v>1</x:v>
      </x:c>
      <x:c r="P1385" s="47" t="n">
        <x:v>1012</x:v>
      </x:c>
      <x:c r="Q1385" s="47" t="n">
        <x:v>0</x:v>
      </x:c>
      <x:c r="R1385" s="47" t="n">
        <x:v>0</x:v>
      </x:c>
      <x:c r="S1385" s="47" t="n">
        <x:v>41.46</x:v>
      </x:c>
      <x:c r="T1385" s="47" t="n">
        <x:v>68.76</x:v>
      </x:c>
      <x:c r="U1385" s="47" t="n">
        <x:v>30.7</x:v>
      </x:c>
      <x:c r="V1385" s="47" t="n">
        <x:v>13.3</x:v>
      </x:c>
      <x:c r="W1385" s="47" t="n">
        <x:v>181</x:v>
      </x:c>
      <x:c r="X1385" s="47" t="n">
        <x:v>968</x:v>
      </x:c>
      <x:c r="Y1385" s="41" t="n">
        <x:v>787</x:v>
      </x:c>
    </x:row>
    <x:row r="1386">
      <x:c r="A1386" s="38" t="str">
        <x:v>7月30日现场数据</x:v>
      </x:c>
      <x:c r="B1386" s="66" t="str">
        <x:v>2026-08-04T08:55:05.430000</x:v>
      </x:c>
      <x:c r="C1386" s="47" t="n">
        <x:v>301015</x:v>
      </x:c>
      <x:c r="D1386" s="47" t="str"/>
      <x:c r="E1386" s="47" t="str"/>
      <x:c r="F1386" s="47" t="str">
        <x:v>current</x:v>
      </x:c>
      <x:c r="G1386" s="47" t="n">
        <x:v>1382</x:v>
      </x:c>
      <x:c r="H1386" s="53" t="b">
        <x:v>1</x:v>
      </x:c>
      <x:c r="I1386" s="47" t="str">
        <x:v>4109905524</x:v>
      </x:c>
      <x:c r="J1386" s="47" t="n">
        <x:v>34630555</x:v>
      </x:c>
      <x:c r="K1386" s="53" t="b">
        <x:v>1</x:v>
      </x:c>
      <x:c r="L1386" s="53" t="b">
        <x:v>1</x:v>
      </x:c>
      <x:c r="M1386" s="53" t="b">
        <x:v>1</x:v>
      </x:c>
      <x:c r="N1386" s="53" t="b">
        <x:v>1</x:v>
      </x:c>
      <x:c r="O1386" s="53" t="b">
        <x:v>1</x:v>
      </x:c>
      <x:c r="P1386" s="47" t="n">
        <x:v>1012</x:v>
      </x:c>
      <x:c r="Q1386" s="47" t="n">
        <x:v>0</x:v>
      </x:c>
      <x:c r="R1386" s="47" t="n">
        <x:v>0</x:v>
      </x:c>
      <x:c r="S1386" s="47" t="n">
        <x:v>42.86</x:v>
      </x:c>
      <x:c r="T1386" s="47" t="n">
        <x:v>68.92</x:v>
      </x:c>
      <x:c r="U1386" s="47" t="n">
        <x:v>31.2</x:v>
      </x:c>
      <x:c r="V1386" s="47" t="n">
        <x:v>13.3</x:v>
      </x:c>
      <x:c r="W1386" s="47" t="n">
        <x:v>183</x:v>
      </x:c>
      <x:c r="X1386" s="47" t="n">
        <x:v>953</x:v>
      </x:c>
      <x:c r="Y1386" s="41" t="n">
        <x:v>770</x:v>
      </x:c>
    </x:row>
    <x:row r="1387">
      <x:c r="A1387" s="38" t="str">
        <x:v>7月30日现场数据</x:v>
      </x:c>
      <x:c r="B1387" s="66" t="str">
        <x:v>2026-08-04T09:00:06.389000</x:v>
      </x:c>
      <x:c r="C1387" s="47" t="n">
        <x:v>300959</x:v>
      </x:c>
      <x:c r="D1387" s="47" t="str"/>
      <x:c r="E1387" s="47" t="str"/>
      <x:c r="F1387" s="47" t="str">
        <x:v>current</x:v>
      </x:c>
      <x:c r="G1387" s="47" t="n">
        <x:v>1383</x:v>
      </x:c>
      <x:c r="H1387" s="53" t="b">
        <x:v>1</x:v>
      </x:c>
      <x:c r="I1387" s="47" t="str">
        <x:v>4109905524</x:v>
      </x:c>
      <x:c r="J1387" s="47" t="n">
        <x:v>34931514</x:v>
      </x:c>
      <x:c r="K1387" s="53" t="b">
        <x:v>1</x:v>
      </x:c>
      <x:c r="L1387" s="53" t="b">
        <x:v>1</x:v>
      </x:c>
      <x:c r="M1387" s="53" t="b">
        <x:v>1</x:v>
      </x:c>
      <x:c r="N1387" s="53" t="b">
        <x:v>1</x:v>
      </x:c>
      <x:c r="O1387" s="53" t="b">
        <x:v>1</x:v>
      </x:c>
      <x:c r="P1387" s="47" t="n">
        <x:v>1012</x:v>
      </x:c>
      <x:c r="Q1387" s="47" t="n">
        <x:v>0</x:v>
      </x:c>
      <x:c r="R1387" s="47" t="n">
        <x:v>0</x:v>
      </x:c>
      <x:c r="S1387" s="47" t="n">
        <x:v>43.69</x:v>
      </x:c>
      <x:c r="T1387" s="47" t="n">
        <x:v>68.88</x:v>
      </x:c>
      <x:c r="U1387" s="47" t="n">
        <x:v>31.5</x:v>
      </x:c>
      <x:c r="V1387" s="47" t="n">
        <x:v>13.2</x:v>
      </x:c>
      <x:c r="W1387" s="47" t="n">
        <x:v>161</x:v>
      </x:c>
      <x:c r="X1387" s="47" t="n">
        <x:v>830</x:v>
      </x:c>
      <x:c r="Y1387" s="41" t="n">
        <x:v>669</x:v>
      </x:c>
    </x:row>
    <x:row r="1388">
      <x:c r="A1388" s="38" t="str">
        <x:v>7月30日现场数据</x:v>
      </x:c>
      <x:c r="B1388" s="66" t="str">
        <x:v>2026-08-04T09:05:07.350000</x:v>
      </x:c>
      <x:c r="C1388" s="47" t="n">
        <x:v>300961</x:v>
      </x:c>
      <x:c r="D1388" s="47" t="str"/>
      <x:c r="E1388" s="47" t="str"/>
      <x:c r="F1388" s="47" t="str">
        <x:v>current</x:v>
      </x:c>
      <x:c r="G1388" s="47" t="n">
        <x:v>1384</x:v>
      </x:c>
      <x:c r="H1388" s="53" t="b">
        <x:v>1</x:v>
      </x:c>
      <x:c r="I1388" s="47" t="str">
        <x:v>4109905524</x:v>
      </x:c>
      <x:c r="J1388" s="47" t="n">
        <x:v>35232475</x:v>
      </x:c>
      <x:c r="K1388" s="53" t="b">
        <x:v>1</x:v>
      </x:c>
      <x:c r="L1388" s="53" t="b">
        <x:v>1</x:v>
      </x:c>
      <x:c r="M1388" s="53" t="b">
        <x:v>1</x:v>
      </x:c>
      <x:c r="N1388" s="53" t="b">
        <x:v>1</x:v>
      </x:c>
      <x:c r="O1388" s="53" t="b">
        <x:v>1</x:v>
      </x:c>
      <x:c r="P1388" s="47" t="n">
        <x:v>1012</x:v>
      </x:c>
      <x:c r="Q1388" s="47" t="n">
        <x:v>0</x:v>
      </x:c>
      <x:c r="R1388" s="47" t="n">
        <x:v>0</x:v>
      </x:c>
      <x:c r="S1388" s="47" t="n">
        <x:v>44.21</x:v>
      </x:c>
      <x:c r="T1388" s="47" t="n">
        <x:v>68.56</x:v>
      </x:c>
      <x:c r="U1388" s="47" t="n">
        <x:v>31.6</x:v>
      </x:c>
      <x:c r="V1388" s="47" t="n">
        <x:v>13.2</x:v>
      </x:c>
      <x:c r="W1388" s="47" t="n">
        <x:v>181</x:v>
      </x:c>
      <x:c r="X1388" s="47" t="n">
        <x:v>913</x:v>
      </x:c>
      <x:c r="Y1388" s="41" t="n">
        <x:v>732</x:v>
      </x:c>
    </x:row>
    <x:row r="1389">
      <x:c r="A1389" s="38" t="str">
        <x:v>7月30日现场数据</x:v>
      </x:c>
      <x:c r="B1389" s="66" t="str">
        <x:v>2026-08-04T09:10:08.312000</x:v>
      </x:c>
      <x:c r="C1389" s="47" t="n">
        <x:v>300962</x:v>
      </x:c>
      <x:c r="D1389" s="47" t="str"/>
      <x:c r="E1389" s="47" t="str"/>
      <x:c r="F1389" s="47" t="str">
        <x:v>current</x:v>
      </x:c>
      <x:c r="G1389" s="47" t="n">
        <x:v>1385</x:v>
      </x:c>
      <x:c r="H1389" s="53" t="b">
        <x:v>1</x:v>
      </x:c>
      <x:c r="I1389" s="47" t="str">
        <x:v>4109905524</x:v>
      </x:c>
      <x:c r="J1389" s="47" t="n">
        <x:v>35533437</x:v>
      </x:c>
      <x:c r="K1389" s="53" t="b">
        <x:v>1</x:v>
      </x:c>
      <x:c r="L1389" s="53" t="b">
        <x:v>1</x:v>
      </x:c>
      <x:c r="M1389" s="53" t="b">
        <x:v>1</x:v>
      </x:c>
      <x:c r="N1389" s="53" t="b">
        <x:v>1</x:v>
      </x:c>
      <x:c r="O1389" s="53" t="b">
        <x:v>1</x:v>
      </x:c>
      <x:c r="P1389" s="47" t="n">
        <x:v>1011</x:v>
      </x:c>
      <x:c r="Q1389" s="47" t="n">
        <x:v>0</x:v>
      </x:c>
      <x:c r="R1389" s="47" t="n">
        <x:v>0</x:v>
      </x:c>
      <x:c r="S1389" s="47" t="n">
        <x:v>44.27</x:v>
      </x:c>
      <x:c r="T1389" s="47" t="n">
        <x:v>68.28</x:v>
      </x:c>
      <x:c r="U1389" s="47" t="n">
        <x:v>31.6</x:v>
      </x:c>
      <x:c r="V1389" s="47" t="n">
        <x:v>13.2</x:v>
      </x:c>
      <x:c r="W1389" s="47" t="n">
        <x:v>174</x:v>
      </x:c>
      <x:c r="X1389" s="47" t="n">
        <x:v>889</x:v>
      </x:c>
      <x:c r="Y1389" s="41" t="n">
        <x:v>715</x:v>
      </x:c>
    </x:row>
    <x:row r="1390">
      <x:c r="A1390" s="38" t="str">
        <x:v>7月30日现场数据</x:v>
      </x:c>
      <x:c r="B1390" s="66" t="str">
        <x:v>2026-08-04T09:15:09.277000</x:v>
      </x:c>
      <x:c r="C1390" s="47" t="n">
        <x:v>300965</x:v>
      </x:c>
      <x:c r="D1390" s="47" t="str"/>
      <x:c r="E1390" s="47" t="str"/>
      <x:c r="F1390" s="47" t="str">
        <x:v>current</x:v>
      </x:c>
      <x:c r="G1390" s="47" t="n">
        <x:v>1386</x:v>
      </x:c>
      <x:c r="H1390" s="53" t="b">
        <x:v>1</x:v>
      </x:c>
      <x:c r="I1390" s="47" t="str">
        <x:v>4109905524</x:v>
      </x:c>
      <x:c r="J1390" s="47" t="n">
        <x:v>35834402</x:v>
      </x:c>
      <x:c r="K1390" s="53" t="b">
        <x:v>1</x:v>
      </x:c>
      <x:c r="L1390" s="53" t="b">
        <x:v>1</x:v>
      </x:c>
      <x:c r="M1390" s="53" t="b">
        <x:v>1</x:v>
      </x:c>
      <x:c r="N1390" s="53" t="b">
        <x:v>1</x:v>
      </x:c>
      <x:c r="O1390" s="53" t="b">
        <x:v>1</x:v>
      </x:c>
      <x:c r="P1390" s="47" t="n">
        <x:v>1012</x:v>
      </x:c>
      <x:c r="Q1390" s="47" t="n">
        <x:v>0</x:v>
      </x:c>
      <x:c r="R1390" s="47" t="n">
        <x:v>0</x:v>
      </x:c>
      <x:c r="S1390" s="47" t="n">
        <x:v>44.69</x:v>
      </x:c>
      <x:c r="T1390" s="47" t="n">
        <x:v>67.99</x:v>
      </x:c>
      <x:c r="U1390" s="47" t="n">
        <x:v>31.7</x:v>
      </x:c>
      <x:c r="V1390" s="47" t="n">
        <x:v>13.2</x:v>
      </x:c>
      <x:c r="W1390" s="47" t="n">
        <x:v>134</x:v>
      </x:c>
      <x:c r="X1390" s="47" t="n">
        <x:v>710</x:v>
      </x:c>
      <x:c r="Y1390" s="41" t="n">
        <x:v>576</x:v>
      </x:c>
    </x:row>
    <x:row r="1391">
      <x:c r="A1391" s="38" t="str">
        <x:v>7月30日现场数据</x:v>
      </x:c>
      <x:c r="B1391" s="66" t="str">
        <x:v>2026-08-04T09:20:10.240000</x:v>
      </x:c>
      <x:c r="C1391" s="47" t="n">
        <x:v>300963</x:v>
      </x:c>
      <x:c r="D1391" s="47" t="str"/>
      <x:c r="E1391" s="47" t="str"/>
      <x:c r="F1391" s="47" t="str">
        <x:v>current</x:v>
      </x:c>
      <x:c r="G1391" s="47" t="n">
        <x:v>1387</x:v>
      </x:c>
      <x:c r="H1391" s="53" t="b">
        <x:v>1</x:v>
      </x:c>
      <x:c r="I1391" s="47" t="str">
        <x:v>4109905524</x:v>
      </x:c>
      <x:c r="J1391" s="47" t="n">
        <x:v>36135365</x:v>
      </x:c>
      <x:c r="K1391" s="53" t="b">
        <x:v>1</x:v>
      </x:c>
      <x:c r="L1391" s="53" t="b">
        <x:v>1</x:v>
      </x:c>
      <x:c r="M1391" s="53" t="b">
        <x:v>1</x:v>
      </x:c>
      <x:c r="N1391" s="53" t="b">
        <x:v>1</x:v>
      </x:c>
      <x:c r="O1391" s="53" t="b">
        <x:v>1</x:v>
      </x:c>
      <x:c r="P1391" s="47" t="n">
        <x:v>1012</x:v>
      </x:c>
      <x:c r="Q1391" s="47" t="n">
        <x:v>0</x:v>
      </x:c>
      <x:c r="R1391" s="47" t="n">
        <x:v>0</x:v>
      </x:c>
      <x:c r="S1391" s="47" t="n">
        <x:v>44.27</x:v>
      </x:c>
      <x:c r="T1391" s="47" t="n">
        <x:v>67.53</x:v>
      </x:c>
      <x:c r="U1391" s="47" t="n">
        <x:v>31.7</x:v>
      </x:c>
      <x:c r="V1391" s="47" t="n">
        <x:v>13.2</x:v>
      </x:c>
      <x:c r="W1391" s="47" t="n">
        <x:v>167</x:v>
      </x:c>
      <x:c r="X1391" s="47" t="n">
        <x:v>870</x:v>
      </x:c>
      <x:c r="Y1391" s="41" t="n">
        <x:v>703</x:v>
      </x:c>
    </x:row>
    <x:row r="1392">
      <x:c r="A1392" s="38" t="str">
        <x:v>7月30日现场数据</x:v>
      </x:c>
      <x:c r="B1392" s="66" t="str">
        <x:v>2026-08-04T09:25:11.208000</x:v>
      </x:c>
      <x:c r="C1392" s="47" t="n">
        <x:v>300968</x:v>
      </x:c>
      <x:c r="D1392" s="47" t="str"/>
      <x:c r="E1392" s="47" t="str"/>
      <x:c r="F1392" s="47" t="str">
        <x:v>current</x:v>
      </x:c>
      <x:c r="G1392" s="47" t="n">
        <x:v>1388</x:v>
      </x:c>
      <x:c r="H1392" s="53" t="b">
        <x:v>1</x:v>
      </x:c>
      <x:c r="I1392" s="47" t="str">
        <x:v>4109905524</x:v>
      </x:c>
      <x:c r="J1392" s="47" t="n">
        <x:v>36436333</x:v>
      </x:c>
      <x:c r="K1392" s="53" t="b">
        <x:v>1</x:v>
      </x:c>
      <x:c r="L1392" s="53" t="b">
        <x:v>1</x:v>
      </x:c>
      <x:c r="M1392" s="53" t="b">
        <x:v>1</x:v>
      </x:c>
      <x:c r="N1392" s="53" t="b">
        <x:v>1</x:v>
      </x:c>
      <x:c r="O1392" s="53" t="b">
        <x:v>1</x:v>
      </x:c>
      <x:c r="P1392" s="47" t="n">
        <x:v>1012</x:v>
      </x:c>
      <x:c r="Q1392" s="47" t="n">
        <x:v>0</x:v>
      </x:c>
      <x:c r="R1392" s="47" t="n">
        <x:v>0</x:v>
      </x:c>
      <x:c r="S1392" s="47" t="n">
        <x:v>45.01</x:v>
      </x:c>
      <x:c r="T1392" s="47" t="n">
        <x:v>67.13</x:v>
      </x:c>
      <x:c r="U1392" s="47" t="n">
        <x:v>31.7</x:v>
      </x:c>
      <x:c r="V1392" s="47" t="n">
        <x:v>13.1</x:v>
      </x:c>
      <x:c r="W1392" s="47" t="n">
        <x:v>197</x:v>
      </x:c>
      <x:c r="X1392" s="47" t="n">
        <x:v>1027</x:v>
      </x:c>
      <x:c r="Y1392" s="41" t="n">
        <x:v>830</x:v>
      </x:c>
    </x:row>
    <x:row r="1393">
      <x:c r="A1393" s="38" t="str">
        <x:v>7月30日现场数据</x:v>
      </x:c>
      <x:c r="B1393" s="66" t="str">
        <x:v>2026-08-04T09:30:12.177000</x:v>
      </x:c>
      <x:c r="C1393" s="47" t="n">
        <x:v>300969</x:v>
      </x:c>
      <x:c r="D1393" s="47" t="str"/>
      <x:c r="E1393" s="47" t="str"/>
      <x:c r="F1393" s="47" t="str">
        <x:v>current</x:v>
      </x:c>
      <x:c r="G1393" s="47" t="n">
        <x:v>1389</x:v>
      </x:c>
      <x:c r="H1393" s="53" t="b">
        <x:v>1</x:v>
      </x:c>
      <x:c r="I1393" s="47" t="str">
        <x:v>4109905524</x:v>
      </x:c>
      <x:c r="J1393" s="47" t="n">
        <x:v>36737302</x:v>
      </x:c>
      <x:c r="K1393" s="53" t="b">
        <x:v>1</x:v>
      </x:c>
      <x:c r="L1393" s="53" t="b">
        <x:v>1</x:v>
      </x:c>
      <x:c r="M1393" s="53" t="b">
        <x:v>1</x:v>
      </x:c>
      <x:c r="N1393" s="53" t="b">
        <x:v>1</x:v>
      </x:c>
      <x:c r="O1393" s="53" t="b">
        <x:v>1</x:v>
      </x:c>
      <x:c r="P1393" s="47" t="n">
        <x:v>1012</x:v>
      </x:c>
      <x:c r="Q1393" s="47" t="n">
        <x:v>0</x:v>
      </x:c>
      <x:c r="R1393" s="47" t="n">
        <x:v>0</x:v>
      </x:c>
      <x:c r="S1393" s="47" t="n">
        <x:v>45.79</x:v>
      </x:c>
      <x:c r="T1393" s="47" t="n">
        <x:v>66.88</x:v>
      </x:c>
      <x:c r="U1393" s="47" t="n">
        <x:v>31.8</x:v>
      </x:c>
      <x:c r="V1393" s="47" t="n">
        <x:v>13.2</x:v>
      </x:c>
      <x:c r="W1393" s="47" t="n">
        <x:v>185</x:v>
      </x:c>
      <x:c r="X1393" s="47" t="n">
        <x:v>979</x:v>
      </x:c>
      <x:c r="Y1393" s="41" t="n">
        <x:v>794</x:v>
      </x:c>
    </x:row>
    <x:row r="1394">
      <x:c r="A1394" s="38" t="str">
        <x:v>7月30日现场数据</x:v>
      </x:c>
      <x:c r="B1394" s="66" t="str">
        <x:v>2026-08-04T09:35:13.149000</x:v>
      </x:c>
      <x:c r="C1394" s="47" t="n">
        <x:v>300972</x:v>
      </x:c>
      <x:c r="D1394" s="47" t="str"/>
      <x:c r="E1394" s="47" t="str"/>
      <x:c r="F1394" s="47" t="str">
        <x:v>current</x:v>
      </x:c>
      <x:c r="G1394" s="47" t="n">
        <x:v>1390</x:v>
      </x:c>
      <x:c r="H1394" s="53" t="b">
        <x:v>1</x:v>
      </x:c>
      <x:c r="I1394" s="47" t="str">
        <x:v>4109905524</x:v>
      </x:c>
      <x:c r="J1394" s="47" t="n">
        <x:v>37038274</x:v>
      </x:c>
      <x:c r="K1394" s="53" t="b">
        <x:v>1</x:v>
      </x:c>
      <x:c r="L1394" s="53" t="b">
        <x:v>1</x:v>
      </x:c>
      <x:c r="M1394" s="53" t="b">
        <x:v>1</x:v>
      </x:c>
      <x:c r="N1394" s="53" t="b">
        <x:v>1</x:v>
      </x:c>
      <x:c r="O1394" s="53" t="b">
        <x:v>1</x:v>
      </x:c>
      <x:c r="P1394" s="47" t="n">
        <x:v>1012</x:v>
      </x:c>
      <x:c r="Q1394" s="47" t="n">
        <x:v>0.023</x:v>
      </x:c>
      <x:c r="R1394" s="47" t="n">
        <x:v>0.626</x:v>
      </x:c>
      <x:c r="S1394" s="47" t="n">
        <x:v>45.86</x:v>
      </x:c>
      <x:c r="T1394" s="47" t="n">
        <x:v>66.47</x:v>
      </x:c>
      <x:c r="U1394" s="47" t="n">
        <x:v>31.8</x:v>
      </x:c>
      <x:c r="V1394" s="47" t="n">
        <x:v>13.2</x:v>
      </x:c>
      <x:c r="W1394" s="47" t="n">
        <x:v>182</x:v>
      </x:c>
      <x:c r="X1394" s="47" t="n">
        <x:v>995</x:v>
      </x:c>
      <x:c r="Y1394" s="41" t="n">
        <x:v>813</x:v>
      </x:c>
    </x:row>
    <x:row r="1395">
      <x:c r="A1395" s="38" t="str">
        <x:v>7月30日现场数据</x:v>
      </x:c>
      <x:c r="B1395" s="66" t="str">
        <x:v>2026-08-04T09:40:14.122000</x:v>
      </x:c>
      <x:c r="C1395" s="47" t="n">
        <x:v>300973</x:v>
      </x:c>
      <x:c r="D1395" s="47" t="str"/>
      <x:c r="E1395" s="47" t="str"/>
      <x:c r="F1395" s="47" t="str">
        <x:v>current</x:v>
      </x:c>
      <x:c r="G1395" s="47" t="n">
        <x:v>1391</x:v>
      </x:c>
      <x:c r="H1395" s="53" t="b">
        <x:v>1</x:v>
      </x:c>
      <x:c r="I1395" s="47" t="str">
        <x:v>4109905524</x:v>
      </x:c>
      <x:c r="J1395" s="47" t="n">
        <x:v>37339247</x:v>
      </x:c>
      <x:c r="K1395" s="53" t="b">
        <x:v>1</x:v>
      </x:c>
      <x:c r="L1395" s="53" t="b">
        <x:v>1</x:v>
      </x:c>
      <x:c r="M1395" s="53" t="b">
        <x:v>1</x:v>
      </x:c>
      <x:c r="N1395" s="53" t="b">
        <x:v>1</x:v>
      </x:c>
      <x:c r="O1395" s="53" t="b">
        <x:v>1</x:v>
      </x:c>
      <x:c r="P1395" s="47" t="n">
        <x:v>1012</x:v>
      </x:c>
      <x:c r="Q1395" s="47" t="n">
        <x:v>0</x:v>
      </x:c>
      <x:c r="R1395" s="47" t="n">
        <x:v>0</x:v>
      </x:c>
      <x:c r="S1395" s="47" t="n">
        <x:v>46.01</x:v>
      </x:c>
      <x:c r="T1395" s="47" t="n">
        <x:v>65.94</x:v>
      </x:c>
      <x:c r="U1395" s="47" t="n">
        <x:v>31.8</x:v>
      </x:c>
      <x:c r="V1395" s="47" t="n">
        <x:v>13.2</x:v>
      </x:c>
      <x:c r="W1395" s="47" t="n">
        <x:v>183</x:v>
      </x:c>
      <x:c r="X1395" s="47" t="n">
        <x:v>1027</x:v>
      </x:c>
      <x:c r="Y1395" s="41" t="n">
        <x:v>844</x:v>
      </x:c>
    </x:row>
    <x:row r="1396">
      <x:c r="A1396" s="38" t="str">
        <x:v>7月30日现场数据</x:v>
      </x:c>
      <x:c r="B1396" s="66" t="str">
        <x:v>2026-08-04T09:45:15.096000</x:v>
      </x:c>
      <x:c r="C1396" s="47" t="n">
        <x:v>300974</x:v>
      </x:c>
      <x:c r="D1396" s="47" t="str"/>
      <x:c r="E1396" s="47" t="str"/>
      <x:c r="F1396" s="47" t="str">
        <x:v>current</x:v>
      </x:c>
      <x:c r="G1396" s="47" t="n">
        <x:v>1392</x:v>
      </x:c>
      <x:c r="H1396" s="53" t="b">
        <x:v>1</x:v>
      </x:c>
      <x:c r="I1396" s="47" t="str">
        <x:v>4109905524</x:v>
      </x:c>
      <x:c r="J1396" s="47" t="n">
        <x:v>37640221</x:v>
      </x:c>
      <x:c r="K1396" s="53" t="b">
        <x:v>1</x:v>
      </x:c>
      <x:c r="L1396" s="53" t="b">
        <x:v>1</x:v>
      </x:c>
      <x:c r="M1396" s="53" t="b">
        <x:v>1</x:v>
      </x:c>
      <x:c r="N1396" s="53" t="b">
        <x:v>1</x:v>
      </x:c>
      <x:c r="O1396" s="53" t="b">
        <x:v>1</x:v>
      </x:c>
      <x:c r="P1396" s="47" t="n">
        <x:v>1012</x:v>
      </x:c>
      <x:c r="Q1396" s="47" t="n">
        <x:v>0</x:v>
      </x:c>
      <x:c r="R1396" s="47" t="n">
        <x:v>0</x:v>
      </x:c>
      <x:c r="S1396" s="47" t="n">
        <x:v>46.87</x:v>
      </x:c>
      <x:c r="T1396" s="47" t="n">
        <x:v>65.54</x:v>
      </x:c>
      <x:c r="U1396" s="47" t="n">
        <x:v>32</x:v>
      </x:c>
      <x:c r="V1396" s="47" t="n">
        <x:v>13.2</x:v>
      </x:c>
      <x:c r="W1396" s="47" t="n">
        <x:v>172</x:v>
      </x:c>
      <x:c r="X1396" s="47" t="n">
        <x:v>991</x:v>
      </x:c>
      <x:c r="Y1396" s="41" t="n">
        <x:v>819</x:v>
      </x:c>
    </x:row>
    <x:row r="1397">
      <x:c r="A1397" s="38" t="str">
        <x:v>7月30日现场数据</x:v>
      </x:c>
      <x:c r="B1397" s="66" t="str">
        <x:v>2026-08-04T09:50:16.073000</x:v>
      </x:c>
      <x:c r="C1397" s="47" t="n">
        <x:v>300977</x:v>
      </x:c>
      <x:c r="D1397" s="47" t="str"/>
      <x:c r="E1397" s="47" t="str"/>
      <x:c r="F1397" s="47" t="str">
        <x:v>current</x:v>
      </x:c>
      <x:c r="G1397" s="47" t="n">
        <x:v>1393</x:v>
      </x:c>
      <x:c r="H1397" s="53" t="b">
        <x:v>1</x:v>
      </x:c>
      <x:c r="I1397" s="47" t="str">
        <x:v>4109905524</x:v>
      </x:c>
      <x:c r="J1397" s="47" t="n">
        <x:v>37941198</x:v>
      </x:c>
      <x:c r="K1397" s="53" t="b">
        <x:v>1</x:v>
      </x:c>
      <x:c r="L1397" s="53" t="b">
        <x:v>1</x:v>
      </x:c>
      <x:c r="M1397" s="53" t="b">
        <x:v>1</x:v>
      </x:c>
      <x:c r="N1397" s="53" t="b">
        <x:v>1</x:v>
      </x:c>
      <x:c r="O1397" s="53" t="b">
        <x:v>1</x:v>
      </x:c>
      <x:c r="P1397" s="47" t="n">
        <x:v>1012</x:v>
      </x:c>
      <x:c r="Q1397" s="47" t="n">
        <x:v>0</x:v>
      </x:c>
      <x:c r="R1397" s="47" t="n">
        <x:v>0</x:v>
      </x:c>
      <x:c r="S1397" s="47" t="n">
        <x:v>47.31</x:v>
      </x:c>
      <x:c r="T1397" s="47" t="n">
        <x:v>65.12</x:v>
      </x:c>
      <x:c r="U1397" s="47" t="n">
        <x:v>32</x:v>
      </x:c>
      <x:c r="V1397" s="47" t="n">
        <x:v>13.1</x:v>
      </x:c>
      <x:c r="W1397" s="47" t="n">
        <x:v>177</x:v>
      </x:c>
      <x:c r="X1397" s="47" t="n">
        <x:v>1033</x:v>
      </x:c>
      <x:c r="Y1397" s="41" t="n">
        <x:v>856</x:v>
      </x:c>
    </x:row>
    <x:row r="1398">
      <x:c r="A1398" s="38" t="str">
        <x:v>7月30日现场数据</x:v>
      </x:c>
      <x:c r="B1398" s="66" t="str">
        <x:v>2026-08-04T09:55:17.053000</x:v>
      </x:c>
      <x:c r="C1398" s="47" t="n">
        <x:v>300980</x:v>
      </x:c>
      <x:c r="D1398" s="47" t="str"/>
      <x:c r="E1398" s="47" t="str"/>
      <x:c r="F1398" s="47" t="str">
        <x:v>current</x:v>
      </x:c>
      <x:c r="G1398" s="47" t="n">
        <x:v>1394</x:v>
      </x:c>
      <x:c r="H1398" s="53" t="b">
        <x:v>1</x:v>
      </x:c>
      <x:c r="I1398" s="47" t="str">
        <x:v>4109905524</x:v>
      </x:c>
      <x:c r="J1398" s="47" t="n">
        <x:v>38242178</x:v>
      </x:c>
      <x:c r="K1398" s="53" t="b">
        <x:v>1</x:v>
      </x:c>
      <x:c r="L1398" s="53" t="b">
        <x:v>1</x:v>
      </x:c>
      <x:c r="M1398" s="53" t="b">
        <x:v>1</x:v>
      </x:c>
      <x:c r="N1398" s="53" t="b">
        <x:v>1</x:v>
      </x:c>
      <x:c r="O1398" s="53" t="b">
        <x:v>1</x:v>
      </x:c>
      <x:c r="P1398" s="47" t="n">
        <x:v>1012</x:v>
      </x:c>
      <x:c r="Q1398" s="47" t="n">
        <x:v>0.02</x:v>
      </x:c>
      <x:c r="R1398" s="47" t="n">
        <x:v>0.527</x:v>
      </x:c>
      <x:c r="S1398" s="47" t="n">
        <x:v>47.23</x:v>
      </x:c>
      <x:c r="T1398" s="47" t="n">
        <x:v>64.68</x:v>
      </x:c>
      <x:c r="U1398" s="47" t="n">
        <x:v>32.1</x:v>
      </x:c>
      <x:c r="V1398" s="47" t="n">
        <x:v>13.1</x:v>
      </x:c>
      <x:c r="W1398" s="47" t="n">
        <x:v>175</x:v>
      </x:c>
      <x:c r="X1398" s="47" t="n">
        <x:v>1026</x:v>
      </x:c>
      <x:c r="Y1398" s="41" t="n">
        <x:v>851</x:v>
      </x:c>
    </x:row>
    <x:row r="1399">
      <x:c r="A1399" s="38" t="str">
        <x:v>7月30日现场数据</x:v>
      </x:c>
      <x:c r="B1399" s="66" t="str">
        <x:v>2026-08-04T10:00:18.033000</x:v>
      </x:c>
      <x:c r="C1399" s="47" t="n">
        <x:v>300980</x:v>
      </x:c>
      <x:c r="D1399" s="47" t="str"/>
      <x:c r="E1399" s="47" t="str"/>
      <x:c r="F1399" s="47" t="str">
        <x:v>current</x:v>
      </x:c>
      <x:c r="G1399" s="47" t="n">
        <x:v>1395</x:v>
      </x:c>
      <x:c r="H1399" s="53" t="b">
        <x:v>1</x:v>
      </x:c>
      <x:c r="I1399" s="47" t="str">
        <x:v>4109905524</x:v>
      </x:c>
      <x:c r="J1399" s="47" t="n">
        <x:v>38543158</x:v>
      </x:c>
      <x:c r="K1399" s="53" t="b">
        <x:v>1</x:v>
      </x:c>
      <x:c r="L1399" s="53" t="b">
        <x:v>1</x:v>
      </x:c>
      <x:c r="M1399" s="53" t="b">
        <x:v>1</x:v>
      </x:c>
      <x:c r="N1399" s="53" t="b">
        <x:v>1</x:v>
      </x:c>
      <x:c r="O1399" s="53" t="b">
        <x:v>1</x:v>
      </x:c>
      <x:c r="P1399" s="47" t="n">
        <x:v>1012</x:v>
      </x:c>
      <x:c r="Q1399" s="47" t="n">
        <x:v>0</x:v>
      </x:c>
      <x:c r="R1399" s="47" t="n">
        <x:v>0</x:v>
      </x:c>
      <x:c r="S1399" s="47" t="n">
        <x:v>46.95</x:v>
      </x:c>
      <x:c r="T1399" s="47" t="n">
        <x:v>64.06</x:v>
      </x:c>
      <x:c r="U1399" s="47" t="n">
        <x:v>32.1</x:v>
      </x:c>
      <x:c r="V1399" s="47" t="n">
        <x:v>13.1</x:v>
      </x:c>
      <x:c r="W1399" s="47" t="n">
        <x:v>160</x:v>
      </x:c>
      <x:c r="X1399" s="47" t="n">
        <x:v>155</x:v>
      </x:c>
      <x:c r="Y1399" s="41" t="n">
        <x:v>0</x:v>
      </x:c>
    </x:row>
    <x:row r="1400">
      <x:c r="A1400" s="38" t="str">
        <x:v>7月30日现场数据</x:v>
      </x:c>
      <x:c r="B1400" s="66" t="str">
        <x:v>2026-08-04T10:05:19.015000</x:v>
      </x:c>
      <x:c r="C1400" s="47" t="n">
        <x:v>300982</x:v>
      </x:c>
      <x:c r="D1400" s="47" t="str"/>
      <x:c r="E1400" s="47" t="str"/>
      <x:c r="F1400" s="47" t="str">
        <x:v>current</x:v>
      </x:c>
      <x:c r="G1400" s="47" t="n">
        <x:v>1396</x:v>
      </x:c>
      <x:c r="H1400" s="53" t="b">
        <x:v>1</x:v>
      </x:c>
      <x:c r="I1400" s="47" t="str">
        <x:v>4109905524</x:v>
      </x:c>
      <x:c r="J1400" s="47" t="n">
        <x:v>38844140</x:v>
      </x:c>
      <x:c r="K1400" s="53" t="b">
        <x:v>1</x:v>
      </x:c>
      <x:c r="L1400" s="53" t="b">
        <x:v>1</x:v>
      </x:c>
      <x:c r="M1400" s="53" t="b">
        <x:v>1</x:v>
      </x:c>
      <x:c r="N1400" s="53" t="b">
        <x:v>1</x:v>
      </x:c>
      <x:c r="O1400" s="53" t="b">
        <x:v>1</x:v>
      </x:c>
      <x:c r="P1400" s="47" t="n">
        <x:v>1012</x:v>
      </x:c>
      <x:c r="Q1400" s="47" t="n">
        <x:v>0</x:v>
      </x:c>
      <x:c r="R1400" s="47" t="n">
        <x:v>0</x:v>
      </x:c>
      <x:c r="S1400" s="47" t="n">
        <x:v>46.42</x:v>
      </x:c>
      <x:c r="T1400" s="47" t="n">
        <x:v>63.55</x:v>
      </x:c>
      <x:c r="U1400" s="47" t="n">
        <x:v>32.2</x:v>
      </x:c>
      <x:c r="V1400" s="47" t="n">
        <x:v>13</x:v>
      </x:c>
      <x:c r="W1400" s="47" t="n">
        <x:v>151</x:v>
      </x:c>
      <x:c r="X1400" s="47" t="n">
        <x:v>354</x:v>
      </x:c>
      <x:c r="Y1400" s="41" t="n">
        <x:v>203</x:v>
      </x:c>
    </x:row>
    <x:row r="1401">
      <x:c r="A1401" s="38" t="str">
        <x:v>7月30日现场数据</x:v>
      </x:c>
      <x:c r="B1401" s="66" t="str">
        <x:v>2026-08-04T10:10:20</x:v>
      </x:c>
      <x:c r="C1401" s="47" t="n">
        <x:v>300985</x:v>
      </x:c>
      <x:c r="D1401" s="47" t="str"/>
      <x:c r="E1401" s="47" t="str"/>
      <x:c r="F1401" s="47" t="str">
        <x:v>current</x:v>
      </x:c>
      <x:c r="G1401" s="47" t="n">
        <x:v>1397</x:v>
      </x:c>
      <x:c r="H1401" s="53" t="b">
        <x:v>1</x:v>
      </x:c>
      <x:c r="I1401" s="47" t="str">
        <x:v>4109905524</x:v>
      </x:c>
      <x:c r="J1401" s="47" t="n">
        <x:v>39145125</x:v>
      </x:c>
      <x:c r="K1401" s="53" t="b">
        <x:v>1</x:v>
      </x:c>
      <x:c r="L1401" s="53" t="b">
        <x:v>1</x:v>
      </x:c>
      <x:c r="M1401" s="53" t="b">
        <x:v>1</x:v>
      </x:c>
      <x:c r="N1401" s="53" t="b">
        <x:v>1</x:v>
      </x:c>
      <x:c r="O1401" s="53" t="b">
        <x:v>1</x:v>
      </x:c>
      <x:c r="P1401" s="47" t="n">
        <x:v>1012</x:v>
      </x:c>
      <x:c r="Q1401" s="47" t="n">
        <x:v>0</x:v>
      </x:c>
      <x:c r="R1401" s="47" t="n">
        <x:v>0</x:v>
      </x:c>
      <x:c r="S1401" s="47" t="n">
        <x:v>46.49</x:v>
      </x:c>
      <x:c r="T1401" s="47" t="n">
        <x:v>62.97</x:v>
      </x:c>
      <x:c r="U1401" s="47" t="n">
        <x:v>32.2</x:v>
      </x:c>
      <x:c r="V1401" s="47" t="n">
        <x:v>13.1</x:v>
      </x:c>
      <x:c r="W1401" s="47" t="n">
        <x:v>154</x:v>
      </x:c>
      <x:c r="X1401" s="47" t="n">
        <x:v>173</x:v>
      </x:c>
      <x:c r="Y1401" s="41" t="n">
        <x:v>19</x:v>
      </x:c>
    </x:row>
    <x:row r="1402">
      <x:c r="A1402" s="38" t="str">
        <x:v>7月30日现场数据</x:v>
      </x:c>
      <x:c r="B1402" s="66" t="str">
        <x:v>2026-08-04T10:15:21.020000</x:v>
      </x:c>
      <x:c r="C1402" s="47" t="n">
        <x:v>301020</x:v>
      </x:c>
      <x:c r="D1402" s="47" t="str"/>
      <x:c r="E1402" s="47" t="str"/>
      <x:c r="F1402" s="47" t="str">
        <x:v>current</x:v>
      </x:c>
      <x:c r="G1402" s="47" t="n">
        <x:v>1398</x:v>
      </x:c>
      <x:c r="H1402" s="53" t="b">
        <x:v>1</x:v>
      </x:c>
      <x:c r="I1402" s="47" t="str">
        <x:v>4109905524</x:v>
      </x:c>
      <x:c r="J1402" s="47" t="n">
        <x:v>39446145</x:v>
      </x:c>
      <x:c r="K1402" s="53" t="b">
        <x:v>1</x:v>
      </x:c>
      <x:c r="L1402" s="53" t="b">
        <x:v>1</x:v>
      </x:c>
      <x:c r="M1402" s="53" t="b">
        <x:v>1</x:v>
      </x:c>
      <x:c r="N1402" s="53" t="b">
        <x:v>1</x:v>
      </x:c>
      <x:c r="O1402" s="53" t="b">
        <x:v>1</x:v>
      </x:c>
      <x:c r="P1402" s="47" t="n">
        <x:v>1012</x:v>
      </x:c>
      <x:c r="Q1402" s="47" t="n">
        <x:v>0.022</x:v>
      </x:c>
      <x:c r="R1402" s="47" t="n">
        <x:v>0.593</x:v>
      </x:c>
      <x:c r="S1402" s="47" t="n">
        <x:v>46.67</x:v>
      </x:c>
      <x:c r="T1402" s="47" t="n">
        <x:v>62.61</x:v>
      </x:c>
      <x:c r="U1402" s="47" t="n">
        <x:v>32.3</x:v>
      </x:c>
      <x:c r="V1402" s="47" t="n">
        <x:v>13.1</x:v>
      </x:c>
      <x:c r="W1402" s="47" t="n">
        <x:v>130</x:v>
      </x:c>
      <x:c r="X1402" s="47" t="n">
        <x:v>172</x:v>
      </x:c>
      <x:c r="Y1402" s="41" t="n">
        <x:v>42</x:v>
      </x:c>
    </x:row>
    <x:row r="1403">
      <x:c r="A1403" s="38" t="str">
        <x:v>7月30日现场数据</x:v>
      </x:c>
      <x:c r="B1403" s="66" t="str">
        <x:v>2026-08-04T10:20:21.980000</x:v>
      </x:c>
      <x:c r="C1403" s="47" t="n">
        <x:v>300960</x:v>
      </x:c>
      <x:c r="D1403" s="47" t="str"/>
      <x:c r="E1403" s="47" t="str"/>
      <x:c r="F1403" s="47" t="str">
        <x:v>current</x:v>
      </x:c>
      <x:c r="G1403" s="47" t="n">
        <x:v>1399</x:v>
      </x:c>
      <x:c r="H1403" s="53" t="b">
        <x:v>1</x:v>
      </x:c>
      <x:c r="I1403" s="47" t="str">
        <x:v>4109905524</x:v>
      </x:c>
      <x:c r="J1403" s="47" t="n">
        <x:v>39747105</x:v>
      </x:c>
      <x:c r="K1403" s="53" t="b">
        <x:v>1</x:v>
      </x:c>
      <x:c r="L1403" s="53" t="b">
        <x:v>1</x:v>
      </x:c>
      <x:c r="M1403" s="53" t="b">
        <x:v>1</x:v>
      </x:c>
      <x:c r="N1403" s="53" t="b">
        <x:v>1</x:v>
      </x:c>
      <x:c r="O1403" s="53" t="b">
        <x:v>1</x:v>
      </x:c>
      <x:c r="P1403" s="47" t="n">
        <x:v>1012</x:v>
      </x:c>
      <x:c r="Q1403" s="47" t="n">
        <x:v>0</x:v>
      </x:c>
      <x:c r="R1403" s="47" t="n">
        <x:v>0</x:v>
      </x:c>
      <x:c r="S1403" s="47" t="n">
        <x:v>46.3</x:v>
      </x:c>
      <x:c r="T1403" s="47" t="n">
        <x:v>62.03</x:v>
      </x:c>
      <x:c r="U1403" s="47" t="n">
        <x:v>32.3</x:v>
      </x:c>
      <x:c r="V1403" s="47" t="n">
        <x:v>13.1</x:v>
      </x:c>
      <x:c r="W1403" s="47" t="n">
        <x:v>128</x:v>
      </x:c>
      <x:c r="X1403" s="47" t="n">
        <x:v>161</x:v>
      </x:c>
      <x:c r="Y1403" s="41" t="n">
        <x:v>33</x:v>
      </x:c>
    </x:row>
    <x:row r="1404">
      <x:c r="A1404" s="38" t="str">
        <x:v>7月30日现场数据</x:v>
      </x:c>
      <x:c r="B1404" s="66" t="str">
        <x:v>2026-08-04T10:25:22.944000</x:v>
      </x:c>
      <x:c r="C1404" s="47" t="n">
        <x:v>300964</x:v>
      </x:c>
      <x:c r="D1404" s="47" t="str"/>
      <x:c r="E1404" s="47" t="str"/>
      <x:c r="F1404" s="47" t="str">
        <x:v>current</x:v>
      </x:c>
      <x:c r="G1404" s="47" t="n">
        <x:v>1400</x:v>
      </x:c>
      <x:c r="H1404" s="53" t="b">
        <x:v>1</x:v>
      </x:c>
      <x:c r="I1404" s="47" t="str">
        <x:v>4109905524</x:v>
      </x:c>
      <x:c r="J1404" s="47" t="n">
        <x:v>40048069</x:v>
      </x:c>
      <x:c r="K1404" s="53" t="b">
        <x:v>1</x:v>
      </x:c>
      <x:c r="L1404" s="53" t="b">
        <x:v>1</x:v>
      </x:c>
      <x:c r="M1404" s="53" t="b">
        <x:v>1</x:v>
      </x:c>
      <x:c r="N1404" s="53" t="b">
        <x:v>1</x:v>
      </x:c>
      <x:c r="O1404" s="53" t="b">
        <x:v>1</x:v>
      </x:c>
      <x:c r="P1404" s="47" t="n">
        <x:v>1011</x:v>
      </x:c>
      <x:c r="Q1404" s="47" t="n">
        <x:v>0.013</x:v>
      </x:c>
      <x:c r="R1404" s="47" t="n">
        <x:v>0.363</x:v>
      </x:c>
      <x:c r="S1404" s="47" t="n">
        <x:v>45.67</x:v>
      </x:c>
      <x:c r="T1404" s="47" t="n">
        <x:v>61.56</x:v>
      </x:c>
      <x:c r="U1404" s="47" t="n">
        <x:v>32.3</x:v>
      </x:c>
      <x:c r="V1404" s="47" t="n">
        <x:v>13</x:v>
      </x:c>
      <x:c r="W1404" s="47" t="n">
        <x:v>120</x:v>
      </x:c>
      <x:c r="X1404" s="47" t="n">
        <x:v>169</x:v>
      </x:c>
      <x:c r="Y1404" s="41" t="n">
        <x:v>49</x:v>
      </x:c>
    </x:row>
    <x:row r="1405">
      <x:c r="A1405" s="38" t="str">
        <x:v>7月30日现场数据</x:v>
      </x:c>
      <x:c r="B1405" s="66" t="str">
        <x:v>2026-08-04T10:30:23.911000</x:v>
      </x:c>
      <x:c r="C1405" s="47" t="n">
        <x:v>300967</x:v>
      </x:c>
      <x:c r="D1405" s="47" t="str"/>
      <x:c r="E1405" s="47" t="str"/>
      <x:c r="F1405" s="47" t="str">
        <x:v>current</x:v>
      </x:c>
      <x:c r="G1405" s="47" t="n">
        <x:v>1401</x:v>
      </x:c>
      <x:c r="H1405" s="53" t="b">
        <x:v>1</x:v>
      </x:c>
      <x:c r="I1405" s="47" t="str">
        <x:v>4109905524</x:v>
      </x:c>
      <x:c r="J1405" s="47" t="n">
        <x:v>40349036</x:v>
      </x:c>
      <x:c r="K1405" s="53" t="b">
        <x:v>1</x:v>
      </x:c>
      <x:c r="L1405" s="53" t="b">
        <x:v>1</x:v>
      </x:c>
      <x:c r="M1405" s="53" t="b">
        <x:v>1</x:v>
      </x:c>
      <x:c r="N1405" s="53" t="b">
        <x:v>1</x:v>
      </x:c>
      <x:c r="O1405" s="53" t="b">
        <x:v>1</x:v>
      </x:c>
      <x:c r="P1405" s="47" t="n">
        <x:v>1011</x:v>
      </x:c>
      <x:c r="Q1405" s="47" t="n">
        <x:v>0</x:v>
      </x:c>
      <x:c r="R1405" s="47" t="n">
        <x:v>0</x:v>
      </x:c>
      <x:c r="S1405" s="47" t="n">
        <x:v>45.04</x:v>
      </x:c>
      <x:c r="T1405" s="47" t="n">
        <x:v>61.07</x:v>
      </x:c>
      <x:c r="U1405" s="47" t="n">
        <x:v>32.3</x:v>
      </x:c>
      <x:c r="V1405" s="47" t="n">
        <x:v>13</x:v>
      </x:c>
      <x:c r="W1405" s="47" t="n">
        <x:v>24</x:v>
      </x:c>
      <x:c r="X1405" s="47" t="n">
        <x:v>97</x:v>
      </x:c>
      <x:c r="Y1405" s="41" t="n">
        <x:v>73</x:v>
      </x:c>
    </x:row>
    <x:row r="1406">
      <x:c r="A1406" s="38" t="str">
        <x:v>7月30日现场数据</x:v>
      </x:c>
      <x:c r="B1406" s="66" t="str">
        <x:v>2026-08-04T10:35:24.877000</x:v>
      </x:c>
      <x:c r="C1406" s="47" t="n">
        <x:v>300966</x:v>
      </x:c>
      <x:c r="D1406" s="47" t="str"/>
      <x:c r="E1406" s="47" t="str"/>
      <x:c r="F1406" s="47" t="str">
        <x:v>current</x:v>
      </x:c>
      <x:c r="G1406" s="47" t="n">
        <x:v>1402</x:v>
      </x:c>
      <x:c r="H1406" s="53" t="b">
        <x:v>1</x:v>
      </x:c>
      <x:c r="I1406" s="47" t="str">
        <x:v>4109905524</x:v>
      </x:c>
      <x:c r="J1406" s="47" t="n">
        <x:v>40650002</x:v>
      </x:c>
      <x:c r="K1406" s="53" t="b">
        <x:v>1</x:v>
      </x:c>
      <x:c r="L1406" s="53" t="b">
        <x:v>1</x:v>
      </x:c>
      <x:c r="M1406" s="53" t="b">
        <x:v>1</x:v>
      </x:c>
      <x:c r="N1406" s="53" t="b">
        <x:v>1</x:v>
      </x:c>
      <x:c r="O1406" s="53" t="b">
        <x:v>1</x:v>
      </x:c>
      <x:c r="P1406" s="47" t="n">
        <x:v>1011</x:v>
      </x:c>
      <x:c r="Q1406" s="47" t="n">
        <x:v>0</x:v>
      </x:c>
      <x:c r="R1406" s="47" t="n">
        <x:v>0</x:v>
      </x:c>
      <x:c r="S1406" s="47" t="n">
        <x:v>43.43</x:v>
      </x:c>
      <x:c r="T1406" s="47" t="n">
        <x:v>60.34</x:v>
      </x:c>
      <x:c r="U1406" s="47" t="n">
        <x:v>32.4</x:v>
      </x:c>
      <x:c r="V1406" s="47" t="n">
        <x:v>13</x:v>
      </x:c>
      <x:c r="W1406" s="47" t="n">
        <x:v>111</x:v>
      </x:c>
      <x:c r="X1406" s="47" t="n">
        <x:v>208</x:v>
      </x:c>
      <x:c r="Y1406" s="41" t="n">
        <x:v>97</x:v>
      </x:c>
    </x:row>
    <x:row r="1407">
      <x:c r="A1407" s="38" t="str">
        <x:v>7月30日现场数据</x:v>
      </x:c>
      <x:c r="B1407" s="66" t="str">
        <x:v>2026-08-04T10:40:25.846000</x:v>
      </x:c>
      <x:c r="C1407" s="47" t="n">
        <x:v>300969</x:v>
      </x:c>
      <x:c r="D1407" s="47" t="str"/>
      <x:c r="E1407" s="47" t="str"/>
      <x:c r="F1407" s="47" t="str">
        <x:v>current</x:v>
      </x:c>
      <x:c r="G1407" s="47" t="n">
        <x:v>1403</x:v>
      </x:c>
      <x:c r="H1407" s="53" t="b">
        <x:v>1</x:v>
      </x:c>
      <x:c r="I1407" s="47" t="str">
        <x:v>4109905524</x:v>
      </x:c>
      <x:c r="J1407" s="47" t="n">
        <x:v>40950971</x:v>
      </x:c>
      <x:c r="K1407" s="53" t="b">
        <x:v>1</x:v>
      </x:c>
      <x:c r="L1407" s="53" t="b">
        <x:v>1</x:v>
      </x:c>
      <x:c r="M1407" s="53" t="b">
        <x:v>1</x:v>
      </x:c>
      <x:c r="N1407" s="53" t="b">
        <x:v>1</x:v>
      </x:c>
      <x:c r="O1407" s="53" t="b">
        <x:v>1</x:v>
      </x:c>
      <x:c r="P1407" s="47" t="n">
        <x:v>1011</x:v>
      </x:c>
      <x:c r="Q1407" s="47" t="n">
        <x:v>0</x:v>
      </x:c>
      <x:c r="R1407" s="47" t="n">
        <x:v>0</x:v>
      </x:c>
      <x:c r="S1407" s="47" t="n">
        <x:v>42.94</x:v>
      </x:c>
      <x:c r="T1407" s="47" t="n">
        <x:v>59.88</x:v>
      </x:c>
      <x:c r="U1407" s="47" t="n">
        <x:v>32.4</x:v>
      </x:c>
      <x:c r="V1407" s="47" t="n">
        <x:v>12.9</x:v>
      </x:c>
      <x:c r="W1407" s="47" t="n">
        <x:v>112</x:v>
      </x:c>
      <x:c r="X1407" s="47" t="n">
        <x:v>224</x:v>
      </x:c>
      <x:c r="Y1407" s="41" t="n">
        <x:v>112</x:v>
      </x:c>
    </x:row>
    <x:row r="1408">
      <x:c r="A1408" s="38" t="str">
        <x:v>7月30日现场数据</x:v>
      </x:c>
      <x:c r="B1408" s="66" t="str">
        <x:v>2026-08-04T10:45:26.817000</x:v>
      </x:c>
      <x:c r="C1408" s="47" t="n">
        <x:v>300971</x:v>
      </x:c>
      <x:c r="D1408" s="47" t="str"/>
      <x:c r="E1408" s="47" t="str"/>
      <x:c r="F1408" s="47" t="str">
        <x:v>current</x:v>
      </x:c>
      <x:c r="G1408" s="47" t="n">
        <x:v>1404</x:v>
      </x:c>
      <x:c r="H1408" s="53" t="b">
        <x:v>1</x:v>
      </x:c>
      <x:c r="I1408" s="47" t="str">
        <x:v>4109905524</x:v>
      </x:c>
      <x:c r="J1408" s="47" t="n">
        <x:v>41251942</x:v>
      </x:c>
      <x:c r="K1408" s="53" t="b">
        <x:v>1</x:v>
      </x:c>
      <x:c r="L1408" s="53" t="b">
        <x:v>1</x:v>
      </x:c>
      <x:c r="M1408" s="53" t="b">
        <x:v>1</x:v>
      </x:c>
      <x:c r="N1408" s="53" t="b">
        <x:v>1</x:v>
      </x:c>
      <x:c r="O1408" s="53" t="b">
        <x:v>1</x:v>
      </x:c>
      <x:c r="P1408" s="47" t="n">
        <x:v>1011</x:v>
      </x:c>
      <x:c r="Q1408" s="47" t="n">
        <x:v>0</x:v>
      </x:c>
      <x:c r="R1408" s="47" t="n">
        <x:v>0</x:v>
      </x:c>
      <x:c r="S1408" s="47" t="n">
        <x:v>41.83</x:v>
      </x:c>
      <x:c r="T1408" s="47" t="n">
        <x:v>59.39</x:v>
      </x:c>
      <x:c r="U1408" s="47" t="n">
        <x:v>32.4</x:v>
      </x:c>
      <x:c r="V1408" s="47" t="n">
        <x:v>12.9</x:v>
      </x:c>
      <x:c r="W1408" s="47" t="n">
        <x:v>102</x:v>
      </x:c>
      <x:c r="X1408" s="47" t="n">
        <x:v>187</x:v>
      </x:c>
      <x:c r="Y1408" s="41" t="n">
        <x:v>85</x:v>
      </x:c>
    </x:row>
    <x:row r="1409">
      <x:c r="A1409" s="38" t="str">
        <x:v>7月30日现场数据</x:v>
      </x:c>
      <x:c r="B1409" s="66" t="str">
        <x:v>2026-08-04T10:50:27.792000</x:v>
      </x:c>
      <x:c r="C1409" s="47" t="n">
        <x:v>300975</x:v>
      </x:c>
      <x:c r="D1409" s="47" t="str"/>
      <x:c r="E1409" s="47" t="str"/>
      <x:c r="F1409" s="47" t="str">
        <x:v>current</x:v>
      </x:c>
      <x:c r="G1409" s="47" t="n">
        <x:v>1405</x:v>
      </x:c>
      <x:c r="H1409" s="53" t="b">
        <x:v>1</x:v>
      </x:c>
      <x:c r="I1409" s="47" t="str">
        <x:v>4109905524</x:v>
      </x:c>
      <x:c r="J1409" s="47" t="n">
        <x:v>41552917</x:v>
      </x:c>
      <x:c r="K1409" s="53" t="b">
        <x:v>1</x:v>
      </x:c>
      <x:c r="L1409" s="53" t="b">
        <x:v>1</x:v>
      </x:c>
      <x:c r="M1409" s="53" t="b">
        <x:v>1</x:v>
      </x:c>
      <x:c r="N1409" s="53" t="b">
        <x:v>1</x:v>
      </x:c>
      <x:c r="O1409" s="53" t="b">
        <x:v>1</x:v>
      </x:c>
      <x:c r="P1409" s="47" t="n">
        <x:v>1011</x:v>
      </x:c>
      <x:c r="Q1409" s="47" t="n">
        <x:v>0</x:v>
      </x:c>
      <x:c r="R1409" s="47" t="n">
        <x:v>0</x:v>
      </x:c>
      <x:c r="S1409" s="47" t="n">
        <x:v>41.26</x:v>
      </x:c>
      <x:c r="T1409" s="47" t="n">
        <x:v>58.93</x:v>
      </x:c>
      <x:c r="U1409" s="47" t="n">
        <x:v>32.5</x:v>
      </x:c>
      <x:c r="V1409" s="47" t="n">
        <x:v>12.8</x:v>
      </x:c>
      <x:c r="W1409" s="47" t="n">
        <x:v>104</x:v>
      </x:c>
      <x:c r="X1409" s="47" t="n">
        <x:v>505</x:v>
      </x:c>
      <x:c r="Y1409" s="41" t="n">
        <x:v>401</x:v>
      </x:c>
    </x:row>
    <x:row r="1410">
      <x:c r="A1410" s="38" t="str">
        <x:v>7月30日现场数据</x:v>
      </x:c>
      <x:c r="B1410" s="66" t="str">
        <x:v>2026-08-04T10:55:28.765000</x:v>
      </x:c>
      <x:c r="C1410" s="47" t="n">
        <x:v>300973</x:v>
      </x:c>
      <x:c r="D1410" s="47" t="str"/>
      <x:c r="E1410" s="47" t="str"/>
      <x:c r="F1410" s="47" t="str">
        <x:v>current</x:v>
      </x:c>
      <x:c r="G1410" s="47" t="n">
        <x:v>1406</x:v>
      </x:c>
      <x:c r="H1410" s="53" t="b">
        <x:v>1</x:v>
      </x:c>
      <x:c r="I1410" s="47" t="str">
        <x:v>4109905524</x:v>
      </x:c>
      <x:c r="J1410" s="47" t="n">
        <x:v>41853890</x:v>
      </x:c>
      <x:c r="K1410" s="53" t="b">
        <x:v>1</x:v>
      </x:c>
      <x:c r="L1410" s="53" t="b">
        <x:v>1</x:v>
      </x:c>
      <x:c r="M1410" s="53" t="b">
        <x:v>1</x:v>
      </x:c>
      <x:c r="N1410" s="53" t="b">
        <x:v>1</x:v>
      </x:c>
      <x:c r="O1410" s="53" t="b">
        <x:v>1</x:v>
      </x:c>
      <x:c r="P1410" s="47" t="n">
        <x:v>1011</x:v>
      </x:c>
      <x:c r="Q1410" s="47" t="n">
        <x:v>0.011</x:v>
      </x:c>
      <x:c r="R1410" s="47" t="n">
        <x:v>0.297</x:v>
      </x:c>
      <x:c r="S1410" s="47" t="n">
        <x:v>40.93</x:v>
      </x:c>
      <x:c r="T1410" s="47" t="n">
        <x:v>58.6</x:v>
      </x:c>
      <x:c r="U1410" s="47" t="n">
        <x:v>32.5</x:v>
      </x:c>
      <x:c r="V1410" s="47" t="n">
        <x:v>12.8</x:v>
      </x:c>
      <x:c r="W1410" s="47" t="n">
        <x:v>98</x:v>
      </x:c>
      <x:c r="X1410" s="47" t="n">
        <x:v>355</x:v>
      </x:c>
      <x:c r="Y1410" s="41" t="n">
        <x:v>257</x:v>
      </x:c>
    </x:row>
    <x:row r="1411">
      <x:c r="A1411" s="38" t="str">
        <x:v>7月30日现场数据</x:v>
      </x:c>
      <x:c r="B1411" s="66" t="str">
        <x:v>2026-08-04T11:00:29.738000</x:v>
      </x:c>
      <x:c r="C1411" s="47" t="n">
        <x:v>300973</x:v>
      </x:c>
      <x:c r="D1411" s="47" t="str"/>
      <x:c r="E1411" s="47" t="str"/>
      <x:c r="F1411" s="47" t="str">
        <x:v>current</x:v>
      </x:c>
      <x:c r="G1411" s="47" t="n">
        <x:v>1407</x:v>
      </x:c>
      <x:c r="H1411" s="53" t="b">
        <x:v>1</x:v>
      </x:c>
      <x:c r="I1411" s="47" t="str">
        <x:v>4109905524</x:v>
      </x:c>
      <x:c r="J1411" s="47" t="n">
        <x:v>42154863</x:v>
      </x:c>
      <x:c r="K1411" s="53" t="b">
        <x:v>1</x:v>
      </x:c>
      <x:c r="L1411" s="53" t="b">
        <x:v>1</x:v>
      </x:c>
      <x:c r="M1411" s="53" t="b">
        <x:v>1</x:v>
      </x:c>
      <x:c r="N1411" s="53" t="b">
        <x:v>1</x:v>
      </x:c>
      <x:c r="O1411" s="53" t="b">
        <x:v>1</x:v>
      </x:c>
      <x:c r="P1411" s="47" t="n">
        <x:v>1011</x:v>
      </x:c>
      <x:c r="Q1411" s="47" t="n">
        <x:v>0</x:v>
      </x:c>
      <x:c r="R1411" s="47" t="n">
        <x:v>0</x:v>
      </x:c>
      <x:c r="S1411" s="47" t="n">
        <x:v>40.62</x:v>
      </x:c>
      <x:c r="T1411" s="47" t="n">
        <x:v>58.31</x:v>
      </x:c>
      <x:c r="U1411" s="47" t="n">
        <x:v>32.5</x:v>
      </x:c>
      <x:c r="V1411" s="47" t="n">
        <x:v>12.7</x:v>
      </x:c>
      <x:c r="W1411" s="47" t="n">
        <x:v>95</x:v>
      </x:c>
      <x:c r="X1411" s="47" t="n">
        <x:v>207</x:v>
      </x:c>
      <x:c r="Y1411" s="41" t="n">
        <x:v>112</x:v>
      </x:c>
    </x:row>
    <x:row r="1412">
      <x:c r="A1412" s="38" t="str">
        <x:v>7月30日现场数据</x:v>
      </x:c>
      <x:c r="B1412" s="66" t="str">
        <x:v>2026-08-04T11:05:30.717000</x:v>
      </x:c>
      <x:c r="C1412" s="47" t="n">
        <x:v>300979</x:v>
      </x:c>
      <x:c r="D1412" s="47" t="str"/>
      <x:c r="E1412" s="47" t="str"/>
      <x:c r="F1412" s="47" t="str">
        <x:v>current</x:v>
      </x:c>
      <x:c r="G1412" s="47" t="n">
        <x:v>1408</x:v>
      </x:c>
      <x:c r="H1412" s="53" t="b">
        <x:v>1</x:v>
      </x:c>
      <x:c r="I1412" s="47" t="str">
        <x:v>4109905524</x:v>
      </x:c>
      <x:c r="J1412" s="47" t="n">
        <x:v>42455842</x:v>
      </x:c>
      <x:c r="K1412" s="53" t="b">
        <x:v>1</x:v>
      </x:c>
      <x:c r="L1412" s="53" t="b">
        <x:v>1</x:v>
      </x:c>
      <x:c r="M1412" s="53" t="b">
        <x:v>1</x:v>
      </x:c>
      <x:c r="N1412" s="53" t="b">
        <x:v>1</x:v>
      </x:c>
      <x:c r="O1412" s="53" t="b">
        <x:v>1</x:v>
      </x:c>
      <x:c r="P1412" s="47" t="n">
        <x:v>1011</x:v>
      </x:c>
      <x:c r="Q1412" s="47" t="n">
        <x:v>0</x:v>
      </x:c>
      <x:c r="R1412" s="47" t="n">
        <x:v>0</x:v>
      </x:c>
      <x:c r="S1412" s="47" t="n">
        <x:v>40.47</x:v>
      </x:c>
      <x:c r="T1412" s="47" t="n">
        <x:v>58.07</x:v>
      </x:c>
      <x:c r="U1412" s="47" t="n">
        <x:v>32.6</x:v>
      </x:c>
      <x:c r="V1412" s="47" t="n">
        <x:v>12.7</x:v>
      </x:c>
      <x:c r="W1412" s="47" t="n">
        <x:v>95</x:v>
      </x:c>
      <x:c r="X1412" s="47" t="n">
        <x:v>227</x:v>
      </x:c>
      <x:c r="Y1412" s="41" t="n">
        <x:v>132</x:v>
      </x:c>
    </x:row>
    <x:row r="1413">
      <x:c r="A1413" s="38" t="str">
        <x:v>7月30日现场数据</x:v>
      </x:c>
      <x:c r="B1413" s="66" t="str">
        <x:v>2026-08-04T11:10:31.699000</x:v>
      </x:c>
      <x:c r="C1413" s="47" t="n">
        <x:v>300982</x:v>
      </x:c>
      <x:c r="D1413" s="47" t="str"/>
      <x:c r="E1413" s="47" t="str"/>
      <x:c r="F1413" s="47" t="str">
        <x:v>current</x:v>
      </x:c>
      <x:c r="G1413" s="47" t="n">
        <x:v>1409</x:v>
      </x:c>
      <x:c r="H1413" s="53" t="b">
        <x:v>1</x:v>
      </x:c>
      <x:c r="I1413" s="47" t="str">
        <x:v>4109905524</x:v>
      </x:c>
      <x:c r="J1413" s="47" t="n">
        <x:v>42756824</x:v>
      </x:c>
      <x:c r="K1413" s="53" t="b">
        <x:v>1</x:v>
      </x:c>
      <x:c r="L1413" s="53" t="b">
        <x:v>1</x:v>
      </x:c>
      <x:c r="M1413" s="53" t="b">
        <x:v>1</x:v>
      </x:c>
      <x:c r="N1413" s="53" t="b">
        <x:v>1</x:v>
      </x:c>
      <x:c r="O1413" s="53" t="b">
        <x:v>1</x:v>
      </x:c>
      <x:c r="P1413" s="47" t="n">
        <x:v>1011</x:v>
      </x:c>
      <x:c r="Q1413" s="47" t="n">
        <x:v>0</x:v>
      </x:c>
      <x:c r="R1413" s="47" t="n">
        <x:v>0</x:v>
      </x:c>
      <x:c r="S1413" s="47" t="n">
        <x:v>40.54</x:v>
      </x:c>
      <x:c r="T1413" s="47" t="n">
        <x:v>58.01</x:v>
      </x:c>
      <x:c r="U1413" s="47" t="n">
        <x:v>32.6</x:v>
      </x:c>
      <x:c r="V1413" s="47" t="n">
        <x:v>12.7</x:v>
      </x:c>
      <x:c r="W1413" s="47" t="n">
        <x:v>56</x:v>
      </x:c>
      <x:c r="X1413" s="47" t="n">
        <x:v>162</x:v>
      </x:c>
      <x:c r="Y1413" s="41" t="n">
        <x:v>106</x:v>
      </x:c>
    </x:row>
    <x:row r="1414">
      <x:c r="A1414" s="38" t="str">
        <x:v>7月30日现场数据</x:v>
      </x:c>
      <x:c r="B1414" s="66" t="str">
        <x:v>2026-08-04T11:15:32.678000</x:v>
      </x:c>
      <x:c r="C1414" s="47" t="n">
        <x:v>300979</x:v>
      </x:c>
      <x:c r="D1414" s="47" t="str"/>
      <x:c r="E1414" s="47" t="str"/>
      <x:c r="F1414" s="47" t="str">
        <x:v>current</x:v>
      </x:c>
      <x:c r="G1414" s="47" t="n">
        <x:v>1410</x:v>
      </x:c>
      <x:c r="H1414" s="53" t="b">
        <x:v>1</x:v>
      </x:c>
      <x:c r="I1414" s="47" t="str">
        <x:v>4109905524</x:v>
      </x:c>
      <x:c r="J1414" s="47" t="n">
        <x:v>43057803</x:v>
      </x:c>
      <x:c r="K1414" s="53" t="b">
        <x:v>1</x:v>
      </x:c>
      <x:c r="L1414" s="53" t="b">
        <x:v>1</x:v>
      </x:c>
      <x:c r="M1414" s="53" t="b">
        <x:v>1</x:v>
      </x:c>
      <x:c r="N1414" s="53" t="b">
        <x:v>1</x:v>
      </x:c>
      <x:c r="O1414" s="53" t="b">
        <x:v>1</x:v>
      </x:c>
      <x:c r="P1414" s="47" t="n">
        <x:v>1011</x:v>
      </x:c>
      <x:c r="Q1414" s="47" t="n">
        <x:v>0</x:v>
      </x:c>
      <x:c r="R1414" s="47" t="n">
        <x:v>0</x:v>
      </x:c>
      <x:c r="S1414" s="47" t="n">
        <x:v>40.06</x:v>
      </x:c>
      <x:c r="T1414" s="47" t="n">
        <x:v>57.8</x:v>
      </x:c>
      <x:c r="U1414" s="47" t="n">
        <x:v>32.7</x:v>
      </x:c>
      <x:c r="V1414" s="47" t="n">
        <x:v>12.7</x:v>
      </x:c>
      <x:c r="W1414" s="47" t="n">
        <x:v>36</x:v>
      </x:c>
      <x:c r="X1414" s="47" t="n">
        <x:v>150</x:v>
      </x:c>
      <x:c r="Y1414" s="41" t="n">
        <x:v>114</x:v>
      </x:c>
    </x:row>
    <x:row r="1415">
      <x:c r="A1415" s="38" t="str">
        <x:v>7月30日现场数据</x:v>
      </x:c>
      <x:c r="B1415" s="66" t="str">
        <x:v>2026-08-04T11:20:33.659000</x:v>
      </x:c>
      <x:c r="C1415" s="47" t="n">
        <x:v>300981</x:v>
      </x:c>
      <x:c r="D1415" s="47" t="str"/>
      <x:c r="E1415" s="47" t="str"/>
      <x:c r="F1415" s="47" t="str">
        <x:v>current</x:v>
      </x:c>
      <x:c r="G1415" s="47" t="n">
        <x:v>1411</x:v>
      </x:c>
      <x:c r="H1415" s="53" t="b">
        <x:v>1</x:v>
      </x:c>
      <x:c r="I1415" s="47" t="str">
        <x:v>4109905524</x:v>
      </x:c>
      <x:c r="J1415" s="47" t="n">
        <x:v>43358784</x:v>
      </x:c>
      <x:c r="K1415" s="53" t="b">
        <x:v>1</x:v>
      </x:c>
      <x:c r="L1415" s="53" t="b">
        <x:v>1</x:v>
      </x:c>
      <x:c r="M1415" s="53" t="b">
        <x:v>1</x:v>
      </x:c>
      <x:c r="N1415" s="53" t="b">
        <x:v>1</x:v>
      </x:c>
      <x:c r="O1415" s="53" t="b">
        <x:v>1</x:v>
      </x:c>
      <x:c r="P1415" s="47" t="n">
        <x:v>1011</x:v>
      </x:c>
      <x:c r="Q1415" s="47" t="n">
        <x:v>0</x:v>
      </x:c>
      <x:c r="R1415" s="47" t="n">
        <x:v>0</x:v>
      </x:c>
      <x:c r="S1415" s="47" t="n">
        <x:v>40.24</x:v>
      </x:c>
      <x:c r="T1415" s="47" t="n">
        <x:v>57.59</x:v>
      </x:c>
      <x:c r="U1415" s="47" t="n">
        <x:v>32.7</x:v>
      </x:c>
      <x:c r="V1415" s="47" t="n">
        <x:v>12.7</x:v>
      </x:c>
      <x:c r="W1415" s="47" t="n">
        <x:v>84</x:v>
      </x:c>
      <x:c r="X1415" s="47" t="n">
        <x:v>188</x:v>
      </x:c>
      <x:c r="Y1415" s="41" t="n">
        <x:v>104</x:v>
      </x:c>
    </x:row>
    <x:row r="1416">
      <x:c r="A1416" s="38" t="str">
        <x:v>7月30日现场数据</x:v>
      </x:c>
      <x:c r="B1416" s="66" t="str">
        <x:v>2026-08-04T11:25:34.644000</x:v>
      </x:c>
      <x:c r="C1416" s="47" t="n">
        <x:v>300985</x:v>
      </x:c>
      <x:c r="D1416" s="47" t="str"/>
      <x:c r="E1416" s="47" t="str"/>
      <x:c r="F1416" s="47" t="str">
        <x:v>current</x:v>
      </x:c>
      <x:c r="G1416" s="47" t="n">
        <x:v>1412</x:v>
      </x:c>
      <x:c r="H1416" s="53" t="b">
        <x:v>1</x:v>
      </x:c>
      <x:c r="I1416" s="47" t="str">
        <x:v>4109905524</x:v>
      </x:c>
      <x:c r="J1416" s="47" t="n">
        <x:v>43659769</x:v>
      </x:c>
      <x:c r="K1416" s="53" t="b">
        <x:v>1</x:v>
      </x:c>
      <x:c r="L1416" s="53" t="b">
        <x:v>1</x:v>
      </x:c>
      <x:c r="M1416" s="53" t="b">
        <x:v>1</x:v>
      </x:c>
      <x:c r="N1416" s="53" t="b">
        <x:v>1</x:v>
      </x:c>
      <x:c r="O1416" s="53" t="b">
        <x:v>1</x:v>
      </x:c>
      <x:c r="P1416" s="47" t="n">
        <x:v>1011</x:v>
      </x:c>
      <x:c r="Q1416" s="47" t="n">
        <x:v>0</x:v>
      </x:c>
      <x:c r="R1416" s="47" t="n">
        <x:v>0</x:v>
      </x:c>
      <x:c r="S1416" s="47" t="n">
        <x:v>40.37</x:v>
      </x:c>
      <x:c r="T1416" s="47" t="n">
        <x:v>57.52</x:v>
      </x:c>
      <x:c r="U1416" s="47" t="n">
        <x:v>32.7</x:v>
      </x:c>
      <x:c r="V1416" s="47" t="n">
        <x:v>12.7</x:v>
      </x:c>
      <x:c r="W1416" s="47" t="n">
        <x:v>38</x:v>
      </x:c>
      <x:c r="X1416" s="47" t="n">
        <x:v>133</x:v>
      </x:c>
      <x:c r="Y1416" s="41" t="n">
        <x:v>95</x:v>
      </x:c>
    </x:row>
    <x:row r="1417">
      <x:c r="A1417" s="38" t="str">
        <x:v>7月30日现场数据</x:v>
      </x:c>
      <x:c r="B1417" s="66" t="str">
        <x:v>2026-08-04T11:30:35.631000</x:v>
      </x:c>
      <x:c r="C1417" s="47" t="n">
        <x:v>300987</x:v>
      </x:c>
      <x:c r="D1417" s="47" t="str"/>
      <x:c r="E1417" s="47" t="str"/>
      <x:c r="F1417" s="47" t="str">
        <x:v>current</x:v>
      </x:c>
      <x:c r="G1417" s="47" t="n">
        <x:v>1413</x:v>
      </x:c>
      <x:c r="H1417" s="53" t="b">
        <x:v>1</x:v>
      </x:c>
      <x:c r="I1417" s="47" t="str">
        <x:v>4109905524</x:v>
      </x:c>
      <x:c r="J1417" s="47" t="n">
        <x:v>43960756</x:v>
      </x:c>
      <x:c r="K1417" s="53" t="b">
        <x:v>1</x:v>
      </x:c>
      <x:c r="L1417" s="53" t="b">
        <x:v>1</x:v>
      </x:c>
      <x:c r="M1417" s="53" t="b">
        <x:v>1</x:v>
      </x:c>
      <x:c r="N1417" s="53" t="b">
        <x:v>1</x:v>
      </x:c>
      <x:c r="O1417" s="53" t="b">
        <x:v>1</x:v>
      </x:c>
      <x:c r="P1417" s="47" t="n">
        <x:v>1011</x:v>
      </x:c>
      <x:c r="Q1417" s="47" t="n">
        <x:v>0</x:v>
      </x:c>
      <x:c r="R1417" s="47" t="n">
        <x:v>0</x:v>
      </x:c>
      <x:c r="S1417" s="47" t="n">
        <x:v>39.98</x:v>
      </x:c>
      <x:c r="T1417" s="47" t="n">
        <x:v>57.37</x:v>
      </x:c>
      <x:c r="U1417" s="47" t="n">
        <x:v>32.7</x:v>
      </x:c>
      <x:c r="V1417" s="47" t="n">
        <x:v>12.7</x:v>
      </x:c>
      <x:c r="W1417" s="47" t="n">
        <x:v>83</x:v>
      </x:c>
      <x:c r="X1417" s="47" t="n">
        <x:v>305</x:v>
      </x:c>
      <x:c r="Y1417" s="41" t="n">
        <x:v>222</x:v>
      </x:c>
    </x:row>
    <x:row r="1418">
      <x:c r="A1418" s="38" t="str">
        <x:v>7月30日现场数据</x:v>
      </x:c>
      <x:c r="B1418" s="66" t="str">
        <x:v>2026-08-04T11:35:36.651000</x:v>
      </x:c>
      <x:c r="C1418" s="47" t="n">
        <x:v>301020</x:v>
      </x:c>
      <x:c r="D1418" s="47" t="str"/>
      <x:c r="E1418" s="47" t="str"/>
      <x:c r="F1418" s="47" t="str">
        <x:v>current</x:v>
      </x:c>
      <x:c r="G1418" s="47" t="n">
        <x:v>1414</x:v>
      </x:c>
      <x:c r="H1418" s="53" t="b">
        <x:v>1</x:v>
      </x:c>
      <x:c r="I1418" s="47" t="str">
        <x:v>4109905524</x:v>
      </x:c>
      <x:c r="J1418" s="47" t="n">
        <x:v>44261776</x:v>
      </x:c>
      <x:c r="K1418" s="53" t="b">
        <x:v>1</x:v>
      </x:c>
      <x:c r="L1418" s="53" t="b">
        <x:v>1</x:v>
      </x:c>
      <x:c r="M1418" s="53" t="b">
        <x:v>1</x:v>
      </x:c>
      <x:c r="N1418" s="53" t="b">
        <x:v>1</x:v>
      </x:c>
      <x:c r="O1418" s="53" t="b">
        <x:v>1</x:v>
      </x:c>
      <x:c r="P1418" s="47" t="n">
        <x:v>1011</x:v>
      </x:c>
      <x:c r="Q1418" s="47" t="n">
        <x:v>0</x:v>
      </x:c>
      <x:c r="R1418" s="47" t="n">
        <x:v>0</x:v>
      </x:c>
      <x:c r="S1418" s="47" t="n">
        <x:v>40.05</x:v>
      </x:c>
      <x:c r="T1418" s="47" t="n">
        <x:v>57.22</x:v>
      </x:c>
      <x:c r="U1418" s="47" t="n">
        <x:v>32.7</x:v>
      </x:c>
      <x:c r="V1418" s="47" t="n">
        <x:v>12.7</x:v>
      </x:c>
      <x:c r="W1418" s="47" t="n">
        <x:v>37</x:v>
      </x:c>
      <x:c r="X1418" s="47" t="n">
        <x:v>152</x:v>
      </x:c>
      <x:c r="Y1418" s="41" t="n">
        <x:v>115</x:v>
      </x:c>
    </x:row>
    <x:row r="1419">
      <x:c r="A1419" s="38" t="str">
        <x:v>7月30日现场数据</x:v>
      </x:c>
      <x:c r="B1419" s="66" t="str">
        <x:v>2026-08-04T11:40:37.614000</x:v>
      </x:c>
      <x:c r="C1419" s="47" t="n">
        <x:v>300963</x:v>
      </x:c>
      <x:c r="D1419" s="47" t="str"/>
      <x:c r="E1419" s="47" t="str"/>
      <x:c r="F1419" s="47" t="str">
        <x:v>current</x:v>
      </x:c>
      <x:c r="G1419" s="47" t="n">
        <x:v>1415</x:v>
      </x:c>
      <x:c r="H1419" s="53" t="b">
        <x:v>1</x:v>
      </x:c>
      <x:c r="I1419" s="47" t="str">
        <x:v>4109905524</x:v>
      </x:c>
      <x:c r="J1419" s="47" t="n">
        <x:v>44562739</x:v>
      </x:c>
      <x:c r="K1419" s="53" t="b">
        <x:v>1</x:v>
      </x:c>
      <x:c r="L1419" s="53" t="b">
        <x:v>1</x:v>
      </x:c>
      <x:c r="M1419" s="53" t="b">
        <x:v>1</x:v>
      </x:c>
      <x:c r="N1419" s="53" t="b">
        <x:v>1</x:v>
      </x:c>
      <x:c r="O1419" s="53" t="b">
        <x:v>1</x:v>
      </x:c>
      <x:c r="P1419" s="47" t="n">
        <x:v>1011</x:v>
      </x:c>
      <x:c r="Q1419" s="47" t="n">
        <x:v>0</x:v>
      </x:c>
      <x:c r="R1419" s="47" t="n">
        <x:v>0</x:v>
      </x:c>
      <x:c r="S1419" s="47" t="n">
        <x:v>39.93</x:v>
      </x:c>
      <x:c r="T1419" s="47" t="n">
        <x:v>57.11</x:v>
      </x:c>
      <x:c r="U1419" s="47" t="n">
        <x:v>32.7</x:v>
      </x:c>
      <x:c r="V1419" s="47" t="n">
        <x:v>12.7</x:v>
      </x:c>
      <x:c r="W1419" s="47" t="n">
        <x:v>33</x:v>
      </x:c>
      <x:c r="X1419" s="47" t="n">
        <x:v>143</x:v>
      </x:c>
      <x:c r="Y1419" s="41" t="n">
        <x:v>110</x:v>
      </x:c>
    </x:row>
    <x:row r="1420">
      <x:c r="A1420" s="38" t="str">
        <x:v>7月30日现场数据</x:v>
      </x:c>
      <x:c r="B1420" s="66" t="str">
        <x:v>2026-08-04T11:45:38.580000</x:v>
      </x:c>
      <x:c r="C1420" s="47" t="n">
        <x:v>300966</x:v>
      </x:c>
      <x:c r="D1420" s="47" t="str"/>
      <x:c r="E1420" s="47" t="str"/>
      <x:c r="F1420" s="47" t="str">
        <x:v>current</x:v>
      </x:c>
      <x:c r="G1420" s="47" t="n">
        <x:v>1416</x:v>
      </x:c>
      <x:c r="H1420" s="53" t="b">
        <x:v>1</x:v>
      </x:c>
      <x:c r="I1420" s="47" t="str">
        <x:v>4109905524</x:v>
      </x:c>
      <x:c r="J1420" s="47" t="n">
        <x:v>44863705</x:v>
      </x:c>
      <x:c r="K1420" s="53" t="b">
        <x:v>1</x:v>
      </x:c>
      <x:c r="L1420" s="53" t="b">
        <x:v>1</x:v>
      </x:c>
      <x:c r="M1420" s="53" t="b">
        <x:v>1</x:v>
      </x:c>
      <x:c r="N1420" s="53" t="b">
        <x:v>1</x:v>
      </x:c>
      <x:c r="O1420" s="53" t="b">
        <x:v>1</x:v>
      </x:c>
      <x:c r="P1420" s="47" t="n">
        <x:v>1011</x:v>
      </x:c>
      <x:c r="Q1420" s="47" t="n">
        <x:v>0</x:v>
      </x:c>
      <x:c r="R1420" s="47" t="n">
        <x:v>0</x:v>
      </x:c>
      <x:c r="S1420" s="47" t="n">
        <x:v>39.99</x:v>
      </x:c>
      <x:c r="T1420" s="47" t="n">
        <x:v>56.94</x:v>
      </x:c>
      <x:c r="U1420" s="47" t="n">
        <x:v>32.8</x:v>
      </x:c>
      <x:c r="V1420" s="47" t="n">
        <x:v>12.6</x:v>
      </x:c>
      <x:c r="W1420" s="47" t="n">
        <x:v>20</x:v>
      </x:c>
      <x:c r="X1420" s="47" t="n">
        <x:v>90</x:v>
      </x:c>
      <x:c r="Y1420" s="41" t="n">
        <x:v>70</x:v>
      </x:c>
    </x:row>
    <x:row r="1421">
      <x:c r="A1421" s="38" t="str">
        <x:v>7月30日现场数据</x:v>
      </x:c>
      <x:c r="B1421" s="66" t="str">
        <x:v>2026-08-04T11:50:39.545000</x:v>
      </x:c>
      <x:c r="C1421" s="47" t="n">
        <x:v>300965</x:v>
      </x:c>
      <x:c r="D1421" s="47" t="str"/>
      <x:c r="E1421" s="47" t="str"/>
      <x:c r="F1421" s="47" t="str">
        <x:v>current</x:v>
      </x:c>
      <x:c r="G1421" s="47" t="n">
        <x:v>1417</x:v>
      </x:c>
      <x:c r="H1421" s="53" t="b">
        <x:v>1</x:v>
      </x:c>
      <x:c r="I1421" s="47" t="str">
        <x:v>4109905524</x:v>
      </x:c>
      <x:c r="J1421" s="47" t="n">
        <x:v>45164670</x:v>
      </x:c>
      <x:c r="K1421" s="53" t="b">
        <x:v>1</x:v>
      </x:c>
      <x:c r="L1421" s="53" t="b">
        <x:v>1</x:v>
      </x:c>
      <x:c r="M1421" s="53" t="b">
        <x:v>1</x:v>
      </x:c>
      <x:c r="N1421" s="53" t="b">
        <x:v>1</x:v>
      </x:c>
      <x:c r="O1421" s="53" t="b">
        <x:v>1</x:v>
      </x:c>
      <x:c r="P1421" s="47" t="n">
        <x:v>1011</x:v>
      </x:c>
      <x:c r="Q1421" s="47" t="n">
        <x:v>0</x:v>
      </x:c>
      <x:c r="R1421" s="47" t="n">
        <x:v>0</x:v>
      </x:c>
      <x:c r="S1421" s="47" t="n">
        <x:v>39.56</x:v>
      </x:c>
      <x:c r="T1421" s="47" t="n">
        <x:v>56.76</x:v>
      </x:c>
      <x:c r="U1421" s="47" t="n">
        <x:v>32.8</x:v>
      </x:c>
      <x:c r="V1421" s="47" t="n">
        <x:v>12.6</x:v>
      </x:c>
      <x:c r="W1421" s="47" t="n">
        <x:v>71</x:v>
      </x:c>
      <x:c r="X1421" s="47" t="n">
        <x:v>184</x:v>
      </x:c>
      <x:c r="Y1421" s="41" t="n">
        <x:v>113</x:v>
      </x:c>
    </x:row>
    <x:row r="1422">
      <x:c r="A1422" s="38" t="str">
        <x:v>7月30日现场数据</x:v>
      </x:c>
      <x:c r="B1422" s="66" t="str">
        <x:v>2026-08-04T11:55:40.514000</x:v>
      </x:c>
      <x:c r="C1422" s="47" t="n">
        <x:v>300969</x:v>
      </x:c>
      <x:c r="D1422" s="47" t="str"/>
      <x:c r="E1422" s="47" t="str"/>
      <x:c r="F1422" s="47" t="str">
        <x:v>current</x:v>
      </x:c>
      <x:c r="G1422" s="47" t="n">
        <x:v>1418</x:v>
      </x:c>
      <x:c r="H1422" s="53" t="b">
        <x:v>1</x:v>
      </x:c>
      <x:c r="I1422" s="47" t="str">
        <x:v>4109905524</x:v>
      </x:c>
      <x:c r="J1422" s="47" t="n">
        <x:v>45465639</x:v>
      </x:c>
      <x:c r="K1422" s="53" t="b">
        <x:v>1</x:v>
      </x:c>
      <x:c r="L1422" s="53" t="b">
        <x:v>1</x:v>
      </x:c>
      <x:c r="M1422" s="53" t="b">
        <x:v>1</x:v>
      </x:c>
      <x:c r="N1422" s="53" t="b">
        <x:v>1</x:v>
      </x:c>
      <x:c r="O1422" s="53" t="b">
        <x:v>1</x:v>
      </x:c>
      <x:c r="P1422" s="47" t="n">
        <x:v>1011</x:v>
      </x:c>
      <x:c r="Q1422" s="47" t="n">
        <x:v>0</x:v>
      </x:c>
      <x:c r="R1422" s="47" t="n">
        <x:v>0</x:v>
      </x:c>
      <x:c r="S1422" s="47" t="n">
        <x:v>39.23</x:v>
      </x:c>
      <x:c r="T1422" s="47" t="n">
        <x:v>56.58</x:v>
      </x:c>
      <x:c r="U1422" s="47" t="n">
        <x:v>32.8</x:v>
      </x:c>
      <x:c r="V1422" s="47" t="n">
        <x:v>12.6</x:v>
      </x:c>
      <x:c r="W1422" s="47" t="n">
        <x:v>74</x:v>
      </x:c>
      <x:c r="X1422" s="47" t="n">
        <x:v>211</x:v>
      </x:c>
      <x:c r="Y1422" s="41" t="n">
        <x:v>137</x:v>
      </x:c>
    </x:row>
    <x:row r="1423">
      <x:c r="A1423" s="38" t="str">
        <x:v>7月30日现场数据</x:v>
      </x:c>
      <x:c r="B1423" s="66" t="str">
        <x:v>2026-08-04T12:00:41.485000</x:v>
      </x:c>
      <x:c r="C1423" s="47" t="n">
        <x:v>300971</x:v>
      </x:c>
      <x:c r="D1423" s="47" t="str"/>
      <x:c r="E1423" s="47" t="str"/>
      <x:c r="F1423" s="47" t="str">
        <x:v>current</x:v>
      </x:c>
      <x:c r="G1423" s="47" t="n">
        <x:v>1419</x:v>
      </x:c>
      <x:c r="H1423" s="53" t="b">
        <x:v>1</x:v>
      </x:c>
      <x:c r="I1423" s="47" t="str">
        <x:v>4109905524</x:v>
      </x:c>
      <x:c r="J1423" s="47" t="n">
        <x:v>45766610</x:v>
      </x:c>
      <x:c r="K1423" s="53" t="b">
        <x:v>1</x:v>
      </x:c>
      <x:c r="L1423" s="53" t="b">
        <x:v>1</x:v>
      </x:c>
      <x:c r="M1423" s="53" t="b">
        <x:v>1</x:v>
      </x:c>
      <x:c r="N1423" s="53" t="b">
        <x:v>1</x:v>
      </x:c>
      <x:c r="O1423" s="53" t="b">
        <x:v>1</x:v>
      </x:c>
      <x:c r="P1423" s="47" t="n">
        <x:v>1010</x:v>
      </x:c>
      <x:c r="Q1423" s="47" t="n">
        <x:v>0</x:v>
      </x:c>
      <x:c r="R1423" s="47" t="n">
        <x:v>0</x:v>
      </x:c>
      <x:c r="S1423" s="47" t="n">
        <x:v>39.02</x:v>
      </x:c>
      <x:c r="T1423" s="47" t="n">
        <x:v>56.41</x:v>
      </x:c>
      <x:c r="U1423" s="47" t="n">
        <x:v>32.8</x:v>
      </x:c>
      <x:c r="V1423" s="47" t="n">
        <x:v>12.6</x:v>
      </x:c>
      <x:c r="W1423" s="47" t="n">
        <x:v>23</x:v>
      </x:c>
      <x:c r="X1423" s="47" t="n">
        <x:v>99</x:v>
      </x:c>
      <x:c r="Y1423" s="41" t="n">
        <x:v>76</x:v>
      </x:c>
    </x:row>
    <x:row r="1424">
      <x:c r="A1424" s="38" t="str">
        <x:v>7月30日现场数据</x:v>
      </x:c>
      <x:c r="B1424" s="66" t="str">
        <x:v>2026-08-04T12:05:42.460000</x:v>
      </x:c>
      <x:c r="C1424" s="47" t="n">
        <x:v>300975</x:v>
      </x:c>
      <x:c r="D1424" s="47" t="str"/>
      <x:c r="E1424" s="47" t="str"/>
      <x:c r="F1424" s="47" t="str">
        <x:v>current</x:v>
      </x:c>
      <x:c r="G1424" s="47" t="n">
        <x:v>1420</x:v>
      </x:c>
      <x:c r="H1424" s="53" t="b">
        <x:v>1</x:v>
      </x:c>
      <x:c r="I1424" s="47" t="str">
        <x:v>4109905524</x:v>
      </x:c>
      <x:c r="J1424" s="47" t="n">
        <x:v>46067585</x:v>
      </x:c>
      <x:c r="K1424" s="53" t="b">
        <x:v>1</x:v>
      </x:c>
      <x:c r="L1424" s="53" t="b">
        <x:v>1</x:v>
      </x:c>
      <x:c r="M1424" s="53" t="b">
        <x:v>1</x:v>
      </x:c>
      <x:c r="N1424" s="53" t="b">
        <x:v>1</x:v>
      </x:c>
      <x:c r="O1424" s="53" t="b">
        <x:v>1</x:v>
      </x:c>
      <x:c r="P1424" s="47" t="n">
        <x:v>1010</x:v>
      </x:c>
      <x:c r="Q1424" s="47" t="n">
        <x:v>0</x:v>
      </x:c>
      <x:c r="R1424" s="47" t="n">
        <x:v>0</x:v>
      </x:c>
      <x:c r="S1424" s="47" t="n">
        <x:v>38.53</x:v>
      </x:c>
      <x:c r="T1424" s="47" t="n">
        <x:v>56.2</x:v>
      </x:c>
      <x:c r="U1424" s="47" t="n">
        <x:v>32.8</x:v>
      </x:c>
      <x:c r="V1424" s="47" t="n">
        <x:v>12.6</x:v>
      </x:c>
      <x:c r="W1424" s="47" t="n">
        <x:v>25</x:v>
      </x:c>
      <x:c r="X1424" s="47" t="n">
        <x:v>112</x:v>
      </x:c>
      <x:c r="Y1424" s="41" t="n">
        <x:v>87</x:v>
      </x:c>
    </x:row>
    <x:row r="1425">
      <x:c r="A1425" s="38" t="str">
        <x:v>7月30日现场数据</x:v>
      </x:c>
      <x:c r="B1425" s="66" t="str">
        <x:v>2026-08-04T12:10:43.433000</x:v>
      </x:c>
      <x:c r="C1425" s="47" t="n">
        <x:v>300973</x:v>
      </x:c>
      <x:c r="D1425" s="47" t="str"/>
      <x:c r="E1425" s="47" t="str"/>
      <x:c r="F1425" s="47" t="str">
        <x:v>current</x:v>
      </x:c>
      <x:c r="G1425" s="47" t="n">
        <x:v>1421</x:v>
      </x:c>
      <x:c r="H1425" s="53" t="b">
        <x:v>1</x:v>
      </x:c>
      <x:c r="I1425" s="47" t="str">
        <x:v>4109905524</x:v>
      </x:c>
      <x:c r="J1425" s="47" t="n">
        <x:v>46368558</x:v>
      </x:c>
      <x:c r="K1425" s="53" t="b">
        <x:v>1</x:v>
      </x:c>
      <x:c r="L1425" s="53" t="b">
        <x:v>1</x:v>
      </x:c>
      <x:c r="M1425" s="53" t="b">
        <x:v>1</x:v>
      </x:c>
      <x:c r="N1425" s="53" t="b">
        <x:v>1</x:v>
      </x:c>
      <x:c r="O1425" s="53" t="b">
        <x:v>1</x:v>
      </x:c>
      <x:c r="P1425" s="47" t="n">
        <x:v>1010</x:v>
      </x:c>
      <x:c r="Q1425" s="47" t="n">
        <x:v>0</x:v>
      </x:c>
      <x:c r="R1425" s="47" t="n">
        <x:v>0</x:v>
      </x:c>
      <x:c r="S1425" s="47" t="n">
        <x:v>38.55</x:v>
      </x:c>
      <x:c r="T1425" s="47" t="n">
        <x:v>56.15</x:v>
      </x:c>
      <x:c r="U1425" s="47" t="n">
        <x:v>32.8</x:v>
      </x:c>
      <x:c r="V1425" s="47" t="n">
        <x:v>12.6</x:v>
      </x:c>
      <x:c r="W1425" s="47" t="n">
        <x:v>26</x:v>
      </x:c>
      <x:c r="X1425" s="47" t="n">
        <x:v>115</x:v>
      </x:c>
      <x:c r="Y1425" s="41" t="n">
        <x:v>89</x:v>
      </x:c>
    </x:row>
    <x:row r="1426">
      <x:c r="A1426" s="38" t="str">
        <x:v>7月30日现场数据</x:v>
      </x:c>
      <x:c r="B1426" s="66" t="str">
        <x:v>2026-08-04T12:15:44.407000</x:v>
      </x:c>
      <x:c r="C1426" s="47" t="n">
        <x:v>300974</x:v>
      </x:c>
      <x:c r="D1426" s="47" t="str"/>
      <x:c r="E1426" s="47" t="str"/>
      <x:c r="F1426" s="47" t="str">
        <x:v>current</x:v>
      </x:c>
      <x:c r="G1426" s="47" t="n">
        <x:v>1422</x:v>
      </x:c>
      <x:c r="H1426" s="53" t="b">
        <x:v>1</x:v>
      </x:c>
      <x:c r="I1426" s="47" t="str">
        <x:v>4109905524</x:v>
      </x:c>
      <x:c r="J1426" s="47" t="n">
        <x:v>46669532</x:v>
      </x:c>
      <x:c r="K1426" s="53" t="b">
        <x:v>1</x:v>
      </x:c>
      <x:c r="L1426" s="53" t="b">
        <x:v>1</x:v>
      </x:c>
      <x:c r="M1426" s="53" t="b">
        <x:v>1</x:v>
      </x:c>
      <x:c r="N1426" s="53" t="b">
        <x:v>1</x:v>
      </x:c>
      <x:c r="O1426" s="53" t="b">
        <x:v>1</x:v>
      </x:c>
      <x:c r="P1426" s="47" t="n">
        <x:v>1010</x:v>
      </x:c>
      <x:c r="Q1426" s="47" t="n">
        <x:v>0.009</x:v>
      </x:c>
      <x:c r="R1426" s="47" t="n">
        <x:v>0.231</x:v>
      </x:c>
      <x:c r="S1426" s="47" t="n">
        <x:v>38.36</x:v>
      </x:c>
      <x:c r="T1426" s="47" t="n">
        <x:v>56</x:v>
      </x:c>
      <x:c r="U1426" s="47" t="n">
        <x:v>32.8</x:v>
      </x:c>
      <x:c r="V1426" s="47" t="n">
        <x:v>12.6</x:v>
      </x:c>
      <x:c r="W1426" s="47" t="n">
        <x:v>66</x:v>
      </x:c>
      <x:c r="X1426" s="47" t="n">
        <x:v>199</x:v>
      </x:c>
      <x:c r="Y1426" s="41" t="n">
        <x:v>133</x:v>
      </x:c>
    </x:row>
    <x:row r="1427">
      <x:c r="A1427" s="38" t="str">
        <x:v>7月30日现场数据</x:v>
      </x:c>
      <x:c r="B1427" s="66" t="str">
        <x:v>2026-08-04T12:20:45.386000</x:v>
      </x:c>
      <x:c r="C1427" s="47" t="n">
        <x:v>300979</x:v>
      </x:c>
      <x:c r="D1427" s="47" t="str"/>
      <x:c r="E1427" s="47" t="str"/>
      <x:c r="F1427" s="47" t="str">
        <x:v>current</x:v>
      </x:c>
      <x:c r="G1427" s="47" t="n">
        <x:v>1423</x:v>
      </x:c>
      <x:c r="H1427" s="53" t="b">
        <x:v>1</x:v>
      </x:c>
      <x:c r="I1427" s="47" t="str">
        <x:v>4109905524</x:v>
      </x:c>
      <x:c r="J1427" s="47" t="n">
        <x:v>46970511</x:v>
      </x:c>
      <x:c r="K1427" s="53" t="b">
        <x:v>1</x:v>
      </x:c>
      <x:c r="L1427" s="53" t="b">
        <x:v>1</x:v>
      </x:c>
      <x:c r="M1427" s="53" t="b">
        <x:v>1</x:v>
      </x:c>
      <x:c r="N1427" s="53" t="b">
        <x:v>1</x:v>
      </x:c>
      <x:c r="O1427" s="53" t="b">
        <x:v>1</x:v>
      </x:c>
      <x:c r="P1427" s="47" t="n">
        <x:v>1010</x:v>
      </x:c>
      <x:c r="Q1427" s="47" t="n">
        <x:v>0</x:v>
      </x:c>
      <x:c r="R1427" s="47" t="n">
        <x:v>0</x:v>
      </x:c>
      <x:c r="S1427" s="47" t="n">
        <x:v>38.63</x:v>
      </x:c>
      <x:c r="T1427" s="47" t="n">
        <x:v>56.06</x:v>
      </x:c>
      <x:c r="U1427" s="47" t="n">
        <x:v>32.8</x:v>
      </x:c>
      <x:c r="V1427" s="47" t="n">
        <x:v>12.6</x:v>
      </x:c>
      <x:c r="W1427" s="47" t="n">
        <x:v>19</x:v>
      </x:c>
      <x:c r="X1427" s="47" t="n">
        <x:v>89</x:v>
      </x:c>
      <x:c r="Y1427" s="41" t="n">
        <x:v>70</x:v>
      </x:c>
    </x:row>
    <x:row r="1428">
      <x:c r="A1428" s="38" t="str">
        <x:v>7月30日现场数据</x:v>
      </x:c>
      <x:c r="B1428" s="66" t="str">
        <x:v>2026-08-04T12:25:46.367000</x:v>
      </x:c>
      <x:c r="C1428" s="47" t="n">
        <x:v>300981</x:v>
      </x:c>
      <x:c r="D1428" s="47" t="str"/>
      <x:c r="E1428" s="47" t="str"/>
      <x:c r="F1428" s="47" t="str">
        <x:v>current</x:v>
      </x:c>
      <x:c r="G1428" s="47" t="n">
        <x:v>1424</x:v>
      </x:c>
      <x:c r="H1428" s="53" t="b">
        <x:v>1</x:v>
      </x:c>
      <x:c r="I1428" s="47" t="str">
        <x:v>4109905524</x:v>
      </x:c>
      <x:c r="J1428" s="47" t="n">
        <x:v>47271492</x:v>
      </x:c>
      <x:c r="K1428" s="53" t="b">
        <x:v>1</x:v>
      </x:c>
      <x:c r="L1428" s="53" t="b">
        <x:v>1</x:v>
      </x:c>
      <x:c r="M1428" s="53" t="b">
        <x:v>1</x:v>
      </x:c>
      <x:c r="N1428" s="53" t="b">
        <x:v>1</x:v>
      </x:c>
      <x:c r="O1428" s="53" t="b">
        <x:v>1</x:v>
      </x:c>
      <x:c r="P1428" s="47" t="n">
        <x:v>1010</x:v>
      </x:c>
      <x:c r="Q1428" s="47" t="n">
        <x:v>0.133</x:v>
      </x:c>
      <x:c r="R1428" s="47" t="n">
        <x:v>3.593</x:v>
      </x:c>
      <x:c r="S1428" s="47" t="n">
        <x:v>38.1</x:v>
      </x:c>
      <x:c r="T1428" s="47" t="n">
        <x:v>55.92</x:v>
      </x:c>
      <x:c r="U1428" s="47" t="n">
        <x:v>32.7</x:v>
      </x:c>
      <x:c r="V1428" s="47" t="n">
        <x:v>12.5</x:v>
      </x:c>
      <x:c r="W1428" s="47" t="n">
        <x:v>23</x:v>
      </x:c>
      <x:c r="X1428" s="47" t="n">
        <x:v>96</x:v>
      </x:c>
      <x:c r="Y1428" s="41" t="n">
        <x:v>73</x:v>
      </x:c>
    </x:row>
    <x:row r="1429">
      <x:c r="A1429" s="38" t="str">
        <x:v>7月30日现场数据</x:v>
      </x:c>
      <x:c r="B1429" s="66" t="str">
        <x:v>2026-08-04T12:30:47.347000</x:v>
      </x:c>
      <x:c r="C1429" s="47" t="n">
        <x:v>300980</x:v>
      </x:c>
      <x:c r="D1429" s="47" t="str"/>
      <x:c r="E1429" s="47" t="str"/>
      <x:c r="F1429" s="47" t="str">
        <x:v>current</x:v>
      </x:c>
      <x:c r="G1429" s="47" t="n">
        <x:v>1425</x:v>
      </x:c>
      <x:c r="H1429" s="53" t="b">
        <x:v>1</x:v>
      </x:c>
      <x:c r="I1429" s="47" t="str">
        <x:v>4109905524</x:v>
      </x:c>
      <x:c r="J1429" s="47" t="n">
        <x:v>47572472</x:v>
      </x:c>
      <x:c r="K1429" s="53" t="b">
        <x:v>1</x:v>
      </x:c>
      <x:c r="L1429" s="53" t="b">
        <x:v>1</x:v>
      </x:c>
      <x:c r="M1429" s="53" t="b">
        <x:v>1</x:v>
      </x:c>
      <x:c r="N1429" s="53" t="b">
        <x:v>1</x:v>
      </x:c>
      <x:c r="O1429" s="53" t="b">
        <x:v>1</x:v>
      </x:c>
      <x:c r="P1429" s="47" t="n">
        <x:v>1010</x:v>
      </x:c>
      <x:c r="Q1429" s="47" t="n">
        <x:v>0</x:v>
      </x:c>
      <x:c r="R1429" s="47" t="n">
        <x:v>0</x:v>
      </x:c>
      <x:c r="S1429" s="47" t="n">
        <x:v>37.34</x:v>
      </x:c>
      <x:c r="T1429" s="47" t="n">
        <x:v>55.61</x:v>
      </x:c>
      <x:c r="U1429" s="47" t="n">
        <x:v>32.7</x:v>
      </x:c>
      <x:c r="V1429" s="47" t="n">
        <x:v>12.5</x:v>
      </x:c>
      <x:c r="W1429" s="47" t="n">
        <x:v>23</x:v>
      </x:c>
      <x:c r="X1429" s="47" t="n">
        <x:v>108</x:v>
      </x:c>
      <x:c r="Y1429" s="41" t="n">
        <x:v>85</x:v>
      </x:c>
    </x:row>
    <x:row r="1430">
      <x:c r="A1430" s="38" t="str">
        <x:v>7月30日现场数据</x:v>
      </x:c>
      <x:c r="B1430" s="66" t="str">
        <x:v>2026-08-04T12:35:48.328000</x:v>
      </x:c>
      <x:c r="C1430" s="47" t="n">
        <x:v>300981</x:v>
      </x:c>
      <x:c r="D1430" s="47" t="str"/>
      <x:c r="E1430" s="47" t="str"/>
      <x:c r="F1430" s="47" t="str">
        <x:v>current</x:v>
      </x:c>
      <x:c r="G1430" s="47" t="n">
        <x:v>1426</x:v>
      </x:c>
      <x:c r="H1430" s="53" t="b">
        <x:v>1</x:v>
      </x:c>
      <x:c r="I1430" s="47" t="str">
        <x:v>4109905524</x:v>
      </x:c>
      <x:c r="J1430" s="47" t="n">
        <x:v>47873453</x:v>
      </x:c>
      <x:c r="K1430" s="53" t="b">
        <x:v>1</x:v>
      </x:c>
      <x:c r="L1430" s="53" t="b">
        <x:v>1</x:v>
      </x:c>
      <x:c r="M1430" s="53" t="b">
        <x:v>1</x:v>
      </x:c>
      <x:c r="N1430" s="53" t="b">
        <x:v>1</x:v>
      </x:c>
      <x:c r="O1430" s="53" t="b">
        <x:v>1</x:v>
      </x:c>
      <x:c r="P1430" s="47" t="n">
        <x:v>1010</x:v>
      </x:c>
      <x:c r="Q1430" s="47" t="n">
        <x:v>0</x:v>
      </x:c>
      <x:c r="R1430" s="47" t="n">
        <x:v>0</x:v>
      </x:c>
      <x:c r="S1430" s="47" t="n">
        <x:v>37.24</x:v>
      </x:c>
      <x:c r="T1430" s="47" t="n">
        <x:v>55.44</x:v>
      </x:c>
      <x:c r="U1430" s="47" t="n">
        <x:v>32.6</x:v>
      </x:c>
      <x:c r="V1430" s="47" t="n">
        <x:v>12.5</x:v>
      </x:c>
      <x:c r="W1430" s="47" t="n">
        <x:v>50</x:v>
      </x:c>
      <x:c r="X1430" s="47" t="n">
        <x:v>164</x:v>
      </x:c>
      <x:c r="Y1430" s="41" t="n">
        <x:v>114</x:v>
      </x:c>
    </x:row>
    <x:row r="1431">
      <x:c r="A1431" s="38" t="str">
        <x:v>7月30日现场数据</x:v>
      </x:c>
      <x:c r="B1431" s="66" t="str">
        <x:v>2026-08-04T12:40:49.314000</x:v>
      </x:c>
      <x:c r="C1431" s="47" t="n">
        <x:v>300986</x:v>
      </x:c>
      <x:c r="D1431" s="47" t="str"/>
      <x:c r="E1431" s="47" t="str"/>
      <x:c r="F1431" s="47" t="str">
        <x:v>current</x:v>
      </x:c>
      <x:c r="G1431" s="47" t="n">
        <x:v>1427</x:v>
      </x:c>
      <x:c r="H1431" s="53" t="b">
        <x:v>1</x:v>
      </x:c>
      <x:c r="I1431" s="47" t="str">
        <x:v>4109905524</x:v>
      </x:c>
      <x:c r="J1431" s="47" t="n">
        <x:v>48174439</x:v>
      </x:c>
      <x:c r="K1431" s="53" t="b">
        <x:v>1</x:v>
      </x:c>
      <x:c r="L1431" s="53" t="b">
        <x:v>1</x:v>
      </x:c>
      <x:c r="M1431" s="53" t="b">
        <x:v>1</x:v>
      </x:c>
      <x:c r="N1431" s="53" t="b">
        <x:v>1</x:v>
      </x:c>
      <x:c r="O1431" s="53" t="b">
        <x:v>1</x:v>
      </x:c>
      <x:c r="P1431" s="47" t="n">
        <x:v>1010</x:v>
      </x:c>
      <x:c r="Q1431" s="47" t="n">
        <x:v>0</x:v>
      </x:c>
      <x:c r="R1431" s="47" t="n">
        <x:v>0</x:v>
      </x:c>
      <x:c r="S1431" s="47" t="n">
        <x:v>37.57</x:v>
      </x:c>
      <x:c r="T1431" s="47" t="n">
        <x:v>55.53</x:v>
      </x:c>
      <x:c r="U1431" s="47" t="n">
        <x:v>32.7</x:v>
      </x:c>
      <x:c r="V1431" s="47" t="n">
        <x:v>12.5</x:v>
      </x:c>
      <x:c r="W1431" s="47" t="n">
        <x:v>25</x:v>
      </x:c>
      <x:c r="X1431" s="47" t="n">
        <x:v>118</x:v>
      </x:c>
      <x:c r="Y1431" s="41" t="n">
        <x:v>93</x:v>
      </x:c>
    </x:row>
    <x:row r="1432">
      <x:c r="A1432" s="38" t="str">
        <x:v>7月30日现场数据</x:v>
      </x:c>
      <x:c r="B1432" s="66" t="str">
        <x:v>2026-08-04T12:45:50.303000</x:v>
      </x:c>
      <x:c r="C1432" s="47" t="n">
        <x:v>300989</x:v>
      </x:c>
      <x:c r="D1432" s="47" t="str"/>
      <x:c r="E1432" s="47" t="str"/>
      <x:c r="F1432" s="47" t="str">
        <x:v>current</x:v>
      </x:c>
      <x:c r="G1432" s="47" t="n">
        <x:v>1428</x:v>
      </x:c>
      <x:c r="H1432" s="53" t="b">
        <x:v>1</x:v>
      </x:c>
      <x:c r="I1432" s="47" t="str">
        <x:v>4109905524</x:v>
      </x:c>
      <x:c r="J1432" s="47" t="n">
        <x:v>48475428</x:v>
      </x:c>
      <x:c r="K1432" s="53" t="b">
        <x:v>1</x:v>
      </x:c>
      <x:c r="L1432" s="53" t="b">
        <x:v>1</x:v>
      </x:c>
      <x:c r="M1432" s="53" t="b">
        <x:v>1</x:v>
      </x:c>
      <x:c r="N1432" s="53" t="b">
        <x:v>1</x:v>
      </x:c>
      <x:c r="O1432" s="53" t="b">
        <x:v>1</x:v>
      </x:c>
      <x:c r="P1432" s="47" t="n">
        <x:v>1010</x:v>
      </x:c>
      <x:c r="Q1432" s="47" t="n">
        <x:v>0.101</x:v>
      </x:c>
      <x:c r="R1432" s="47" t="n">
        <x:v>2.736</x:v>
      </x:c>
      <x:c r="S1432" s="47" t="n">
        <x:v>38</x:v>
      </x:c>
      <x:c r="T1432" s="47" t="n">
        <x:v>55.53</x:v>
      </x:c>
      <x:c r="U1432" s="47" t="n">
        <x:v>32.7</x:v>
      </x:c>
      <x:c r="V1432" s="47" t="n">
        <x:v>12.5</x:v>
      </x:c>
      <x:c r="W1432" s="47" t="n">
        <x:v>30</x:v>
      </x:c>
      <x:c r="X1432" s="47" t="n">
        <x:v>109</x:v>
      </x:c>
      <x:c r="Y1432" s="41" t="n">
        <x:v>79</x:v>
      </x:c>
    </x:row>
    <x:row r="1433">
      <x:c r="A1433" s="38" t="str">
        <x:v>7月30日现场数据</x:v>
      </x:c>
      <x:c r="B1433" s="66" t="str">
        <x:v>2026-08-04T12:50:51.291000</x:v>
      </x:c>
      <x:c r="C1433" s="47" t="n">
        <x:v>300988</x:v>
      </x:c>
      <x:c r="D1433" s="47" t="str"/>
      <x:c r="E1433" s="47" t="str"/>
      <x:c r="F1433" s="47" t="str">
        <x:v>current</x:v>
      </x:c>
      <x:c r="G1433" s="47" t="n">
        <x:v>1429</x:v>
      </x:c>
      <x:c r="H1433" s="53" t="b">
        <x:v>1</x:v>
      </x:c>
      <x:c r="I1433" s="47" t="str">
        <x:v>4109905524</x:v>
      </x:c>
      <x:c r="J1433" s="47" t="n">
        <x:v>48776416</x:v>
      </x:c>
      <x:c r="K1433" s="53" t="b">
        <x:v>1</x:v>
      </x:c>
      <x:c r="L1433" s="53" t="b">
        <x:v>1</x:v>
      </x:c>
      <x:c r="M1433" s="53" t="b">
        <x:v>1</x:v>
      </x:c>
      <x:c r="N1433" s="53" t="b">
        <x:v>1</x:v>
      </x:c>
      <x:c r="O1433" s="53" t="b">
        <x:v>1</x:v>
      </x:c>
      <x:c r="P1433" s="47" t="n">
        <x:v>1010</x:v>
      </x:c>
      <x:c r="Q1433" s="47" t="n">
        <x:v>0</x:v>
      </x:c>
      <x:c r="R1433" s="47" t="n">
        <x:v>0</x:v>
      </x:c>
      <x:c r="S1433" s="47" t="n">
        <x:v>37.48</x:v>
      </x:c>
      <x:c r="T1433" s="47" t="n">
        <x:v>55.5</x:v>
      </x:c>
      <x:c r="U1433" s="47" t="n">
        <x:v>32.6</x:v>
      </x:c>
      <x:c r="V1433" s="47" t="n">
        <x:v>12.5</x:v>
      </x:c>
      <x:c r="W1433" s="47" t="n">
        <x:v>52</x:v>
      </x:c>
      <x:c r="X1433" s="47" t="n">
        <x:v>304</x:v>
      </x:c>
      <x:c r="Y1433" s="41" t="n">
        <x:v>252</x:v>
      </x:c>
    </x:row>
    <x:row r="1434">
      <x:c r="A1434" s="38" t="str">
        <x:v>7月30日现场数据</x:v>
      </x:c>
      <x:c r="B1434" s="66" t="str">
        <x:v>2026-08-04T12:55:52.314000</x:v>
      </x:c>
      <x:c r="C1434" s="47" t="n">
        <x:v>301023</x:v>
      </x:c>
      <x:c r="D1434" s="47" t="str"/>
      <x:c r="E1434" s="47" t="str"/>
      <x:c r="F1434" s="47" t="str">
        <x:v>current</x:v>
      </x:c>
      <x:c r="G1434" s="47" t="n">
        <x:v>1430</x:v>
      </x:c>
      <x:c r="H1434" s="53" t="b">
        <x:v>1</x:v>
      </x:c>
      <x:c r="I1434" s="47" t="str">
        <x:v>4109905524</x:v>
      </x:c>
      <x:c r="J1434" s="47" t="n">
        <x:v>49077439</x:v>
      </x:c>
      <x:c r="K1434" s="53" t="b">
        <x:v>1</x:v>
      </x:c>
      <x:c r="L1434" s="53" t="b">
        <x:v>1</x:v>
      </x:c>
      <x:c r="M1434" s="53" t="b">
        <x:v>1</x:v>
      </x:c>
      <x:c r="N1434" s="53" t="b">
        <x:v>1</x:v>
      </x:c>
      <x:c r="O1434" s="53" t="b">
        <x:v>1</x:v>
      </x:c>
      <x:c r="P1434" s="47" t="n">
        <x:v>1010</x:v>
      </x:c>
      <x:c r="Q1434" s="47" t="n">
        <x:v>0.123</x:v>
      </x:c>
      <x:c r="R1434" s="47" t="n">
        <x:v>3.33</x:v>
      </x:c>
      <x:c r="S1434" s="47" t="n">
        <x:v>37.46</x:v>
      </x:c>
      <x:c r="T1434" s="47" t="n">
        <x:v>55.46</x:v>
      </x:c>
      <x:c r="U1434" s="47" t="n">
        <x:v>32.7</x:v>
      </x:c>
      <x:c r="V1434" s="47" t="n">
        <x:v>12.5</x:v>
      </x:c>
      <x:c r="W1434" s="47" t="n">
        <x:v>23</x:v>
      </x:c>
      <x:c r="X1434" s="47" t="n">
        <x:v>104</x:v>
      </x:c>
      <x:c r="Y1434" s="41" t="n">
        <x:v>81</x:v>
      </x:c>
    </x:row>
    <x:row r="1435">
      <x:c r="A1435" s="38" t="str">
        <x:v>7月30日现场数据</x:v>
      </x:c>
      <x:c r="B1435" s="66" t="str">
        <x:v>2026-08-04T13:00:53.284000</x:v>
      </x:c>
      <x:c r="C1435" s="47" t="n">
        <x:v>300970</x:v>
      </x:c>
      <x:c r="D1435" s="47" t="str"/>
      <x:c r="E1435" s="47" t="str"/>
      <x:c r="F1435" s="47" t="str">
        <x:v>current</x:v>
      </x:c>
      <x:c r="G1435" s="47" t="n">
        <x:v>1431</x:v>
      </x:c>
      <x:c r="H1435" s="53" t="b">
        <x:v>1</x:v>
      </x:c>
      <x:c r="I1435" s="47" t="str">
        <x:v>4109905524</x:v>
      </x:c>
      <x:c r="J1435" s="47" t="n">
        <x:v>49378409</x:v>
      </x:c>
      <x:c r="K1435" s="53" t="b">
        <x:v>1</x:v>
      </x:c>
      <x:c r="L1435" s="53" t="b">
        <x:v>1</x:v>
      </x:c>
      <x:c r="M1435" s="53" t="b">
        <x:v>1</x:v>
      </x:c>
      <x:c r="N1435" s="53" t="b">
        <x:v>1</x:v>
      </x:c>
      <x:c r="O1435" s="53" t="b">
        <x:v>1</x:v>
      </x:c>
      <x:c r="P1435" s="47" t="n">
        <x:v>1010</x:v>
      </x:c>
      <x:c r="Q1435" s="47" t="n">
        <x:v>0</x:v>
      </x:c>
      <x:c r="R1435" s="47" t="n">
        <x:v>0</x:v>
      </x:c>
      <x:c r="S1435" s="47" t="n">
        <x:v>37.45</x:v>
      </x:c>
      <x:c r="T1435" s="47" t="n">
        <x:v>55.41</x:v>
      </x:c>
      <x:c r="U1435" s="47" t="n">
        <x:v>32.7</x:v>
      </x:c>
      <x:c r="V1435" s="47" t="n">
        <x:v>12.5</x:v>
      </x:c>
      <x:c r="W1435" s="47" t="n">
        <x:v>33</x:v>
      </x:c>
      <x:c r="X1435" s="47" t="n">
        <x:v>132</x:v>
      </x:c>
      <x:c r="Y1435" s="41" t="n">
        <x:v>99</x:v>
      </x:c>
    </x:row>
    <x:row r="1436">
      <x:c r="A1436" s="38" t="str">
        <x:v>7月30日现场数据</x:v>
      </x:c>
      <x:c r="B1436" s="66" t="str">
        <x:v>2026-08-04T13:05:54.250000</x:v>
      </x:c>
      <x:c r="C1436" s="47" t="n">
        <x:v>300966</x:v>
      </x:c>
      <x:c r="D1436" s="47" t="str"/>
      <x:c r="E1436" s="47" t="str"/>
      <x:c r="F1436" s="47" t="str">
        <x:v>current</x:v>
      </x:c>
      <x:c r="G1436" s="47" t="n">
        <x:v>1432</x:v>
      </x:c>
      <x:c r="H1436" s="53" t="b">
        <x:v>1</x:v>
      </x:c>
      <x:c r="I1436" s="47" t="str">
        <x:v>4109905524</x:v>
      </x:c>
      <x:c r="J1436" s="47" t="n">
        <x:v>49679375</x:v>
      </x:c>
      <x:c r="K1436" s="53" t="b">
        <x:v>1</x:v>
      </x:c>
      <x:c r="L1436" s="53" t="b">
        <x:v>1</x:v>
      </x:c>
      <x:c r="M1436" s="53" t="b">
        <x:v>1</x:v>
      </x:c>
      <x:c r="N1436" s="53" t="b">
        <x:v>1</x:v>
      </x:c>
      <x:c r="O1436" s="53" t="b">
        <x:v>1</x:v>
      </x:c>
      <x:c r="P1436" s="47" t="n">
        <x:v>1009</x:v>
      </x:c>
      <x:c r="Q1436" s="47" t="n">
        <x:v>0</x:v>
      </x:c>
      <x:c r="R1436" s="47" t="n">
        <x:v>0</x:v>
      </x:c>
      <x:c r="S1436" s="47" t="n">
        <x:v>37.39</x:v>
      </x:c>
      <x:c r="T1436" s="47" t="n">
        <x:v>55.39</x:v>
      </x:c>
      <x:c r="U1436" s="47" t="n">
        <x:v>32.7</x:v>
      </x:c>
      <x:c r="V1436" s="47" t="n">
        <x:v>12.4</x:v>
      </x:c>
      <x:c r="W1436" s="47" t="n">
        <x:v>23</x:v>
      </x:c>
      <x:c r="X1436" s="47" t="n">
        <x:v>102</x:v>
      </x:c>
      <x:c r="Y1436" s="41" t="n">
        <x:v>79</x:v>
      </x:c>
    </x:row>
    <x:row r="1437">
      <x:c r="A1437" s="38" t="str">
        <x:v>7月30日现场数据</x:v>
      </x:c>
      <x:c r="B1437" s="66" t="str">
        <x:v>2026-08-04T13:10:55.221000</x:v>
      </x:c>
      <x:c r="C1437" s="47" t="n">
        <x:v>300971</x:v>
      </x:c>
      <x:c r="D1437" s="47" t="str"/>
      <x:c r="E1437" s="47" t="str"/>
      <x:c r="F1437" s="47" t="str">
        <x:v>current</x:v>
      </x:c>
      <x:c r="G1437" s="47" t="n">
        <x:v>1433</x:v>
      </x:c>
      <x:c r="H1437" s="53" t="b">
        <x:v>1</x:v>
      </x:c>
      <x:c r="I1437" s="47" t="str">
        <x:v>4109905524</x:v>
      </x:c>
      <x:c r="J1437" s="47" t="n">
        <x:v>49980346</x:v>
      </x:c>
      <x:c r="K1437" s="53" t="b">
        <x:v>1</x:v>
      </x:c>
      <x:c r="L1437" s="53" t="b">
        <x:v>1</x:v>
      </x:c>
      <x:c r="M1437" s="53" t="b">
        <x:v>1</x:v>
      </x:c>
      <x:c r="N1437" s="53" t="b">
        <x:v>1</x:v>
      </x:c>
      <x:c r="O1437" s="53" t="b">
        <x:v>1</x:v>
      </x:c>
      <x:c r="P1437" s="47" t="n">
        <x:v>1010</x:v>
      </x:c>
      <x:c r="Q1437" s="47" t="n">
        <x:v>0</x:v>
      </x:c>
      <x:c r="R1437" s="47" t="n">
        <x:v>0</x:v>
      </x:c>
      <x:c r="S1437" s="47" t="n">
        <x:v>37.56</x:v>
      </x:c>
      <x:c r="T1437" s="47" t="n">
        <x:v>55.44</x:v>
      </x:c>
      <x:c r="U1437" s="47" t="n">
        <x:v>32.7</x:v>
      </x:c>
      <x:c r="V1437" s="47" t="n">
        <x:v>12.5</x:v>
      </x:c>
      <x:c r="W1437" s="47" t="n">
        <x:v>30</x:v>
      </x:c>
      <x:c r="X1437" s="47" t="n">
        <x:v>133</x:v>
      </x:c>
      <x:c r="Y1437" s="41" t="n">
        <x:v>103</x:v>
      </x:c>
    </x:row>
    <x:row r="1438">
      <x:c r="A1438" s="38" t="str">
        <x:v>7月30日现场数据</x:v>
      </x:c>
      <x:c r="B1438" s="66" t="str">
        <x:v>2026-08-04T13:15:56.195000</x:v>
      </x:c>
      <x:c r="C1438" s="47" t="n">
        <x:v>300974</x:v>
      </x:c>
      <x:c r="D1438" s="47" t="str"/>
      <x:c r="E1438" s="47" t="str"/>
      <x:c r="F1438" s="47" t="str">
        <x:v>current</x:v>
      </x:c>
      <x:c r="G1438" s="47" t="n">
        <x:v>1434</x:v>
      </x:c>
      <x:c r="H1438" s="53" t="b">
        <x:v>1</x:v>
      </x:c>
      <x:c r="I1438" s="47" t="str">
        <x:v>4109905524</x:v>
      </x:c>
      <x:c r="J1438" s="47" t="n">
        <x:v>50281320</x:v>
      </x:c>
      <x:c r="K1438" s="53" t="b">
        <x:v>1</x:v>
      </x:c>
      <x:c r="L1438" s="53" t="b">
        <x:v>1</x:v>
      </x:c>
      <x:c r="M1438" s="53" t="b">
        <x:v>1</x:v>
      </x:c>
      <x:c r="N1438" s="53" t="b">
        <x:v>1</x:v>
      </x:c>
      <x:c r="O1438" s="53" t="b">
        <x:v>1</x:v>
      </x:c>
      <x:c r="P1438" s="47" t="n">
        <x:v>1010</x:v>
      </x:c>
      <x:c r="Q1438" s="47" t="n">
        <x:v>0</x:v>
      </x:c>
      <x:c r="R1438" s="47" t="n">
        <x:v>0</x:v>
      </x:c>
      <x:c r="S1438" s="47" t="n">
        <x:v>37.82</x:v>
      </x:c>
      <x:c r="T1438" s="47" t="n">
        <x:v>55.46</x:v>
      </x:c>
      <x:c r="U1438" s="47" t="n">
        <x:v>32.7</x:v>
      </x:c>
      <x:c r="V1438" s="47" t="n">
        <x:v>12.5</x:v>
      </x:c>
      <x:c r="W1438" s="47" t="n">
        <x:v>20</x:v>
      </x:c>
      <x:c r="X1438" s="47" t="n">
        <x:v>97</x:v>
      </x:c>
      <x:c r="Y1438" s="41" t="n">
        <x:v>77</x:v>
      </x:c>
    </x:row>
    <x:row r="1439">
      <x:c r="A1439" s="38" t="str">
        <x:v>7月30日现场数据</x:v>
      </x:c>
      <x:c r="B1439" s="66" t="str">
        <x:v>2026-08-04T13:20:57.170000</x:v>
      </x:c>
      <x:c r="C1439" s="47" t="n">
        <x:v>300975</x:v>
      </x:c>
      <x:c r="D1439" s="47" t="str"/>
      <x:c r="E1439" s="47" t="str"/>
      <x:c r="F1439" s="47" t="str">
        <x:v>current</x:v>
      </x:c>
      <x:c r="G1439" s="47" t="n">
        <x:v>1435</x:v>
      </x:c>
      <x:c r="H1439" s="53" t="b">
        <x:v>1</x:v>
      </x:c>
      <x:c r="I1439" s="47" t="str">
        <x:v>4109905524</x:v>
      </x:c>
      <x:c r="J1439" s="47" t="n">
        <x:v>50582295</x:v>
      </x:c>
      <x:c r="K1439" s="53" t="b">
        <x:v>1</x:v>
      </x:c>
      <x:c r="L1439" s="53" t="b">
        <x:v>1</x:v>
      </x:c>
      <x:c r="M1439" s="53" t="b">
        <x:v>1</x:v>
      </x:c>
      <x:c r="N1439" s="53" t="b">
        <x:v>1</x:v>
      </x:c>
      <x:c r="O1439" s="53" t="b">
        <x:v>1</x:v>
      </x:c>
      <x:c r="P1439" s="47" t="n">
        <x:v>1010</x:v>
      </x:c>
      <x:c r="Q1439" s="47" t="n">
        <x:v>0.006</x:v>
      </x:c>
      <x:c r="R1439" s="47" t="n">
        <x:v>0.165</x:v>
      </x:c>
      <x:c r="S1439" s="47" t="n">
        <x:v>38.01</x:v>
      </x:c>
      <x:c r="T1439" s="47" t="n">
        <x:v>55.52</x:v>
      </x:c>
      <x:c r="U1439" s="47" t="n">
        <x:v>32.7</x:v>
      </x:c>
      <x:c r="V1439" s="47" t="n">
        <x:v>12.5</x:v>
      </x:c>
      <x:c r="W1439" s="47" t="n">
        <x:v>53</x:v>
      </x:c>
      <x:c r="X1439" s="47" t="n">
        <x:v>190</x:v>
      </x:c>
      <x:c r="Y1439" s="41" t="n">
        <x:v>137</x:v>
      </x:c>
    </x:row>
    <x:row r="1440">
      <x:c r="A1440" s="38" t="str">
        <x:v>7月30日现场数据</x:v>
      </x:c>
      <x:c r="B1440" s="66" t="str">
        <x:v>2026-08-04T13:25:58.144000</x:v>
      </x:c>
      <x:c r="C1440" s="47" t="n">
        <x:v>300974</x:v>
      </x:c>
      <x:c r="D1440" s="47" t="str"/>
      <x:c r="E1440" s="47" t="str"/>
      <x:c r="F1440" s="47" t="str">
        <x:v>current</x:v>
      </x:c>
      <x:c r="G1440" s="47" t="n">
        <x:v>1436</x:v>
      </x:c>
      <x:c r="H1440" s="53" t="b">
        <x:v>1</x:v>
      </x:c>
      <x:c r="I1440" s="47" t="str">
        <x:v>4109905524</x:v>
      </x:c>
      <x:c r="J1440" s="47" t="n">
        <x:v>50883269</x:v>
      </x:c>
      <x:c r="K1440" s="53" t="b">
        <x:v>1</x:v>
      </x:c>
      <x:c r="L1440" s="53" t="b">
        <x:v>1</x:v>
      </x:c>
      <x:c r="M1440" s="53" t="b">
        <x:v>1</x:v>
      </x:c>
      <x:c r="N1440" s="53" t="b">
        <x:v>1</x:v>
      </x:c>
      <x:c r="O1440" s="53" t="b">
        <x:v>1</x:v>
      </x:c>
      <x:c r="P1440" s="47" t="n">
        <x:v>1010</x:v>
      </x:c>
      <x:c r="Q1440" s="47" t="n">
        <x:v>0</x:v>
      </x:c>
      <x:c r="R1440" s="47" t="n">
        <x:v>0</x:v>
      </x:c>
      <x:c r="S1440" s="47" t="n">
        <x:v>37.94</x:v>
      </x:c>
      <x:c r="T1440" s="47" t="n">
        <x:v>55.52</x:v>
      </x:c>
      <x:c r="U1440" s="47" t="n">
        <x:v>32.7</x:v>
      </x:c>
      <x:c r="V1440" s="47" t="n">
        <x:v>12.4</x:v>
      </x:c>
      <x:c r="W1440" s="47" t="n">
        <x:v>20</x:v>
      </x:c>
      <x:c r="X1440" s="47" t="n">
        <x:v>91</x:v>
      </x:c>
      <x:c r="Y1440" s="41" t="n">
        <x:v>71</x:v>
      </x:c>
    </x:row>
    <x:row r="1441">
      <x:c r="A1441" s="38" t="str">
        <x:v>7月30日现场数据</x:v>
      </x:c>
      <x:c r="B1441" s="66" t="str">
        <x:v>2026-08-04T13:30:59.123000</x:v>
      </x:c>
      <x:c r="C1441" s="47" t="n">
        <x:v>300979</x:v>
      </x:c>
      <x:c r="D1441" s="47" t="str"/>
      <x:c r="E1441" s="47" t="str"/>
      <x:c r="F1441" s="47" t="str">
        <x:v>current</x:v>
      </x:c>
      <x:c r="G1441" s="47" t="n">
        <x:v>1437</x:v>
      </x:c>
      <x:c r="H1441" s="53" t="b">
        <x:v>1</x:v>
      </x:c>
      <x:c r="I1441" s="47" t="str">
        <x:v>4109905524</x:v>
      </x:c>
      <x:c r="J1441" s="47" t="n">
        <x:v>51184248</x:v>
      </x:c>
      <x:c r="K1441" s="53" t="b">
        <x:v>1</x:v>
      </x:c>
      <x:c r="L1441" s="53" t="b">
        <x:v>1</x:v>
      </x:c>
      <x:c r="M1441" s="53" t="b">
        <x:v>1</x:v>
      </x:c>
      <x:c r="N1441" s="53" t="b">
        <x:v>1</x:v>
      </x:c>
      <x:c r="O1441" s="53" t="b">
        <x:v>1</x:v>
      </x:c>
      <x:c r="P1441" s="47" t="n">
        <x:v>1009</x:v>
      </x:c>
      <x:c r="Q1441" s="47" t="n">
        <x:v>0</x:v>
      </x:c>
      <x:c r="R1441" s="47" t="n">
        <x:v>0</x:v>
      </x:c>
      <x:c r="S1441" s="47" t="n">
        <x:v>37.61</x:v>
      </x:c>
      <x:c r="T1441" s="47" t="n">
        <x:v>55.42</x:v>
      </x:c>
      <x:c r="U1441" s="47" t="n">
        <x:v>32.7</x:v>
      </x:c>
      <x:c r="V1441" s="47" t="n">
        <x:v>12.4</x:v>
      </x:c>
      <x:c r="W1441" s="47" t="n">
        <x:v>20</x:v>
      </x:c>
      <x:c r="X1441" s="47" t="n">
        <x:v>90</x:v>
      </x:c>
      <x:c r="Y1441" s="41" t="n">
        <x:v>70</x:v>
      </x:c>
    </x:row>
    <x:row r="1442">
      <x:c r="A1442" s="38" t="str">
        <x:v>7月30日现场数据</x:v>
      </x:c>
      <x:c r="B1442" s="66" t="str">
        <x:v>2026-08-04T13:36:00.104000</x:v>
      </x:c>
      <x:c r="C1442" s="47" t="n">
        <x:v>300981</x:v>
      </x:c>
      <x:c r="D1442" s="47" t="str"/>
      <x:c r="E1442" s="47" t="str"/>
      <x:c r="F1442" s="47" t="str">
        <x:v>current</x:v>
      </x:c>
      <x:c r="G1442" s="47" t="n">
        <x:v>1438</x:v>
      </x:c>
      <x:c r="H1442" s="53" t="b">
        <x:v>1</x:v>
      </x:c>
      <x:c r="I1442" s="47" t="str">
        <x:v>4109905524</x:v>
      </x:c>
      <x:c r="J1442" s="47" t="n">
        <x:v>51485229</x:v>
      </x:c>
      <x:c r="K1442" s="53" t="b">
        <x:v>1</x:v>
      </x:c>
      <x:c r="L1442" s="53" t="b">
        <x:v>1</x:v>
      </x:c>
      <x:c r="M1442" s="53" t="b">
        <x:v>1</x:v>
      </x:c>
      <x:c r="N1442" s="53" t="b">
        <x:v>1</x:v>
      </x:c>
      <x:c r="O1442" s="53" t="b">
        <x:v>1</x:v>
      </x:c>
      <x:c r="P1442" s="47" t="n">
        <x:v>1010</x:v>
      </x:c>
      <x:c r="Q1442" s="47" t="n">
        <x:v>0.122</x:v>
      </x:c>
      <x:c r="R1442" s="47" t="n">
        <x:v>3.297</x:v>
      </x:c>
      <x:c r="S1442" s="47" t="n">
        <x:v>37.21</x:v>
      </x:c>
      <x:c r="T1442" s="47" t="n">
        <x:v>55.29</x:v>
      </x:c>
      <x:c r="U1442" s="47" t="n">
        <x:v>32.7</x:v>
      </x:c>
      <x:c r="V1442" s="47" t="n">
        <x:v>12.4</x:v>
      </x:c>
      <x:c r="W1442" s="47" t="n">
        <x:v>21</x:v>
      </x:c>
      <x:c r="X1442" s="47" t="n">
        <x:v>98</x:v>
      </x:c>
      <x:c r="Y1442" s="41" t="n">
        <x:v>77</x:v>
      </x:c>
    </x:row>
    <x:row r="1443">
      <x:c r="A1443" s="38" t="str">
        <x:v>7月30日现场数据</x:v>
      </x:c>
      <x:c r="B1443" s="66" t="str">
        <x:v>2026-08-04T13:41:01.088000</x:v>
      </x:c>
      <x:c r="C1443" s="47" t="n">
        <x:v>300984</x:v>
      </x:c>
      <x:c r="D1443" s="47" t="str"/>
      <x:c r="E1443" s="47" t="str"/>
      <x:c r="F1443" s="47" t="str">
        <x:v>current</x:v>
      </x:c>
      <x:c r="G1443" s="47" t="n">
        <x:v>1439</x:v>
      </x:c>
      <x:c r="H1443" s="53" t="b">
        <x:v>1</x:v>
      </x:c>
      <x:c r="I1443" s="47" t="str">
        <x:v>4109905524</x:v>
      </x:c>
      <x:c r="J1443" s="47" t="n">
        <x:v>51786213</x:v>
      </x:c>
      <x:c r="K1443" s="53" t="b">
        <x:v>1</x:v>
      </x:c>
      <x:c r="L1443" s="53" t="b">
        <x:v>1</x:v>
      </x:c>
      <x:c r="M1443" s="53" t="b">
        <x:v>1</x:v>
      </x:c>
      <x:c r="N1443" s="53" t="b">
        <x:v>1</x:v>
      </x:c>
      <x:c r="O1443" s="53" t="b">
        <x:v>1</x:v>
      </x:c>
      <x:c r="P1443" s="47" t="n">
        <x:v>1010</x:v>
      </x:c>
      <x:c r="Q1443" s="47" t="n">
        <x:v>0</x:v>
      </x:c>
      <x:c r="R1443" s="47" t="n">
        <x:v>0</x:v>
      </x:c>
      <x:c r="S1443" s="47" t="n">
        <x:v>37.18</x:v>
      </x:c>
      <x:c r="T1443" s="47" t="n">
        <x:v>55.28</x:v>
      </x:c>
      <x:c r="U1443" s="47" t="n">
        <x:v>32.7</x:v>
      </x:c>
      <x:c r="V1443" s="47" t="n">
        <x:v>12.4</x:v>
      </x:c>
      <x:c r="W1443" s="47" t="n">
        <x:v>18</x:v>
      </x:c>
      <x:c r="X1443" s="47" t="n">
        <x:v>87</x:v>
      </x:c>
      <x:c r="Y1443" s="41" t="n">
        <x:v>69</x:v>
      </x:c>
    </x:row>
    <x:row r="1444">
      <x:c r="A1444" s="38" t="str">
        <x:v>7月30日现场数据</x:v>
      </x:c>
      <x:c r="B1444" s="66" t="str">
        <x:v>2026-08-04T13:46:02.070000</x:v>
      </x:c>
      <x:c r="C1444" s="47" t="n">
        <x:v>300982</x:v>
      </x:c>
      <x:c r="D1444" s="47" t="str"/>
      <x:c r="E1444" s="47" t="str"/>
      <x:c r="F1444" s="47" t="str">
        <x:v>current</x:v>
      </x:c>
      <x:c r="G1444" s="47" t="n">
        <x:v>1440</x:v>
      </x:c>
      <x:c r="H1444" s="53" t="b">
        <x:v>1</x:v>
      </x:c>
      <x:c r="I1444" s="47" t="str">
        <x:v>4109905524</x:v>
      </x:c>
      <x:c r="J1444" s="47" t="n">
        <x:v>52087195</x:v>
      </x:c>
      <x:c r="K1444" s="53" t="b">
        <x:v>1</x:v>
      </x:c>
      <x:c r="L1444" s="53" t="b">
        <x:v>1</x:v>
      </x:c>
      <x:c r="M1444" s="53" t="b">
        <x:v>1</x:v>
      </x:c>
      <x:c r="N1444" s="53" t="b">
        <x:v>1</x:v>
      </x:c>
      <x:c r="O1444" s="53" t="b">
        <x:v>1</x:v>
      </x:c>
      <x:c r="P1444" s="47" t="n">
        <x:v>1009</x:v>
      </x:c>
      <x:c r="Q1444" s="47" t="n">
        <x:v>0</x:v>
      </x:c>
      <x:c r="R1444" s="47" t="n">
        <x:v>0</x:v>
      </x:c>
      <x:c r="S1444" s="47" t="n">
        <x:v>36.95</x:v>
      </x:c>
      <x:c r="T1444" s="47" t="n">
        <x:v>55.17</x:v>
      </x:c>
      <x:c r="U1444" s="47" t="n">
        <x:v>32.7</x:v>
      </x:c>
      <x:c r="V1444" s="47" t="n">
        <x:v>12.4</x:v>
      </x:c>
      <x:c r="W1444" s="47" t="n">
        <x:v>18</x:v>
      </x:c>
      <x:c r="X1444" s="47" t="n">
        <x:v>82</x:v>
      </x:c>
      <x:c r="Y1444" s="41" t="n">
        <x:v>64</x:v>
      </x:c>
    </x:row>
    <x:row r="1445">
      <x:c r="A1445" s="38" t="str">
        <x:v>7月30日现场数据</x:v>
      </x:c>
      <x:c r="B1445" s="66" t="str">
        <x:v>2026-08-04T13:51:03.055000</x:v>
      </x:c>
      <x:c r="C1445" s="47" t="n">
        <x:v>300985</x:v>
      </x:c>
      <x:c r="D1445" s="47" t="str"/>
      <x:c r="E1445" s="47" t="str"/>
      <x:c r="F1445" s="47" t="str">
        <x:v>current</x:v>
      </x:c>
      <x:c r="G1445" s="47" t="n">
        <x:v>1441</x:v>
      </x:c>
      <x:c r="H1445" s="53" t="b">
        <x:v>1</x:v>
      </x:c>
      <x:c r="I1445" s="47" t="str">
        <x:v>4109905524</x:v>
      </x:c>
      <x:c r="J1445" s="47" t="n">
        <x:v>52388180</x:v>
      </x:c>
      <x:c r="K1445" s="53" t="b">
        <x:v>1</x:v>
      </x:c>
      <x:c r="L1445" s="53" t="b">
        <x:v>1</x:v>
      </x:c>
      <x:c r="M1445" s="53" t="b">
        <x:v>1</x:v>
      </x:c>
      <x:c r="N1445" s="53" t="b">
        <x:v>1</x:v>
      </x:c>
      <x:c r="O1445" s="53" t="b">
        <x:v>1</x:v>
      </x:c>
      <x:c r="P1445" s="47" t="n">
        <x:v>1009</x:v>
      </x:c>
      <x:c r="Q1445" s="47" t="n">
        <x:v>0</x:v>
      </x:c>
      <x:c r="R1445" s="47" t="n">
        <x:v>0</x:v>
      </x:c>
      <x:c r="S1445" s="47" t="n">
        <x:v>36.67</x:v>
      </x:c>
      <x:c r="T1445" s="47" t="n">
        <x:v>55.1</x:v>
      </x:c>
      <x:c r="U1445" s="47" t="n">
        <x:v>32.7</x:v>
      </x:c>
      <x:c r="V1445" s="47" t="n">
        <x:v>12.3</x:v>
      </x:c>
      <x:c r="W1445" s="47" t="n">
        <x:v>17</x:v>
      </x:c>
      <x:c r="X1445" s="47" t="n">
        <x:v>78</x:v>
      </x:c>
      <x:c r="Y1445" s="41" t="n">
        <x:v>61</x:v>
      </x:c>
    </x:row>
    <x:row r="1446">
      <x:c r="A1446" s="38" t="str">
        <x:v>7月30日现场数据</x:v>
      </x:c>
      <x:c r="B1446" s="66" t="str">
        <x:v>2026-08-04T13:56:04.045000</x:v>
      </x:c>
      <x:c r="C1446" s="47" t="n">
        <x:v>300990</x:v>
      </x:c>
      <x:c r="D1446" s="47" t="str"/>
      <x:c r="E1446" s="47" t="str"/>
      <x:c r="F1446" s="47" t="str">
        <x:v>current</x:v>
      </x:c>
      <x:c r="G1446" s="47" t="n">
        <x:v>1442</x:v>
      </x:c>
      <x:c r="H1446" s="53" t="b">
        <x:v>1</x:v>
      </x:c>
      <x:c r="I1446" s="47" t="str">
        <x:v>4109905524</x:v>
      </x:c>
      <x:c r="J1446" s="47" t="n">
        <x:v>52689170</x:v>
      </x:c>
      <x:c r="K1446" s="53" t="b">
        <x:v>1</x:v>
      </x:c>
      <x:c r="L1446" s="53" t="b">
        <x:v>1</x:v>
      </x:c>
      <x:c r="M1446" s="53" t="b">
        <x:v>1</x:v>
      </x:c>
      <x:c r="N1446" s="53" t="b">
        <x:v>1</x:v>
      </x:c>
      <x:c r="O1446" s="53" t="b">
        <x:v>1</x:v>
      </x:c>
      <x:c r="P1446" s="47" t="n">
        <x:v>1009</x:v>
      </x:c>
      <x:c r="Q1446" s="47" t="n">
        <x:v>0.054</x:v>
      </x:c>
      <x:c r="R1446" s="47" t="n">
        <x:v>1.451</x:v>
      </x:c>
      <x:c r="S1446" s="47" t="n">
        <x:v>36.31</x:v>
      </x:c>
      <x:c r="T1446" s="47" t="n">
        <x:v>55.04</x:v>
      </x:c>
      <x:c r="U1446" s="47" t="n">
        <x:v>32.6</x:v>
      </x:c>
      <x:c r="V1446" s="47" t="n">
        <x:v>12.4</x:v>
      </x:c>
      <x:c r="W1446" s="47" t="n">
        <x:v>32</x:v>
      </x:c>
      <x:c r="X1446" s="47" t="n">
        <x:v>134</x:v>
      </x:c>
      <x:c r="Y1446" s="41" t="n">
        <x:v>102</x:v>
      </x:c>
    </x:row>
    <x:row r="1447">
      <x:c r="A1447" s="38" t="str">
        <x:v>7月30日现场数据</x:v>
      </x:c>
      <x:c r="B1447" s="66" t="str">
        <x:v>2026-08-04T14:01:05.038000</x:v>
      </x:c>
      <x:c r="C1447" s="47" t="n">
        <x:v>300993</x:v>
      </x:c>
      <x:c r="D1447" s="47" t="str"/>
      <x:c r="E1447" s="47" t="str"/>
      <x:c r="F1447" s="47" t="str">
        <x:v>current</x:v>
      </x:c>
      <x:c r="G1447" s="47" t="n">
        <x:v>1443</x:v>
      </x:c>
      <x:c r="H1447" s="53" t="b">
        <x:v>1</x:v>
      </x:c>
      <x:c r="I1447" s="47" t="str">
        <x:v>4109905524</x:v>
      </x:c>
      <x:c r="J1447" s="47" t="n">
        <x:v>52990163</x:v>
      </x:c>
      <x:c r="K1447" s="53" t="b">
        <x:v>1</x:v>
      </x:c>
      <x:c r="L1447" s="53" t="b">
        <x:v>1</x:v>
      </x:c>
      <x:c r="M1447" s="53" t="b">
        <x:v>1</x:v>
      </x:c>
      <x:c r="N1447" s="53" t="b">
        <x:v>1</x:v>
      </x:c>
      <x:c r="O1447" s="53" t="b">
        <x:v>1</x:v>
      </x:c>
      <x:c r="P1447" s="47" t="n">
        <x:v>1009</x:v>
      </x:c>
      <x:c r="Q1447" s="47" t="n">
        <x:v>0.282</x:v>
      </x:c>
      <x:c r="R1447" s="47" t="n">
        <x:v>7.615</x:v>
      </x:c>
      <x:c r="S1447" s="47" t="n">
        <x:v>36.1</x:v>
      </x:c>
      <x:c r="T1447" s="47" t="n">
        <x:v>54.99</x:v>
      </x:c>
      <x:c r="U1447" s="47" t="n">
        <x:v>32.5</x:v>
      </x:c>
      <x:c r="V1447" s="47" t="n">
        <x:v>12.3</x:v>
      </x:c>
      <x:c r="W1447" s="47" t="n">
        <x:v>19</x:v>
      </x:c>
      <x:c r="X1447" s="47" t="n">
        <x:v>94</x:v>
      </x:c>
      <x:c r="Y1447" s="41" t="n">
        <x:v>75</x:v>
      </x:c>
    </x:row>
    <x:row r="1448">
      <x:c r="A1448" s="38" t="str">
        <x:v>7月30日现场数据</x:v>
      </x:c>
      <x:c r="B1448" s="66" t="str">
        <x:v>2026-08-04T14:06:06.039000</x:v>
      </x:c>
      <x:c r="C1448" s="47" t="n">
        <x:v>301001</x:v>
      </x:c>
      <x:c r="D1448" s="47" t="str"/>
      <x:c r="E1448" s="47" t="str"/>
      <x:c r="F1448" s="47" t="str">
        <x:v>current</x:v>
      </x:c>
      <x:c r="G1448" s="47" t="n">
        <x:v>1444</x:v>
      </x:c>
      <x:c r="H1448" s="53" t="b">
        <x:v>1</x:v>
      </x:c>
      <x:c r="I1448" s="47" t="str">
        <x:v>4109905524</x:v>
      </x:c>
      <x:c r="J1448" s="47" t="n">
        <x:v>53291164</x:v>
      </x:c>
      <x:c r="K1448" s="53" t="b">
        <x:v>1</x:v>
      </x:c>
      <x:c r="L1448" s="53" t="b">
        <x:v>1</x:v>
      </x:c>
      <x:c r="M1448" s="53" t="b">
        <x:v>1</x:v>
      </x:c>
      <x:c r="N1448" s="53" t="b">
        <x:v>1</x:v>
      </x:c>
      <x:c r="O1448" s="53" t="b">
        <x:v>1</x:v>
      </x:c>
      <x:c r="P1448" s="47" t="n">
        <x:v>1009</x:v>
      </x:c>
      <x:c r="Q1448" s="47" t="n">
        <x:v>0.228</x:v>
      </x:c>
      <x:c r="R1448" s="47" t="n">
        <x:v>6.165</x:v>
      </x:c>
      <x:c r="S1448" s="47" t="n">
        <x:v>35.44</x:v>
      </x:c>
      <x:c r="T1448" s="47" t="n">
        <x:v>54.84</x:v>
      </x:c>
      <x:c r="U1448" s="47" t="n">
        <x:v>32.3</x:v>
      </x:c>
      <x:c r="V1448" s="47" t="n">
        <x:v>12.3</x:v>
      </x:c>
      <x:c r="W1448" s="47" t="n">
        <x:v>17</x:v>
      </x:c>
      <x:c r="X1448" s="47" t="n">
        <x:v>77</x:v>
      </x:c>
      <x:c r="Y1448" s="41" t="n">
        <x:v>60</x:v>
      </x:c>
    </x:row>
    <x:row r="1449">
      <x:c r="A1449" s="38" t="str">
        <x:v>7月30日现场数据</x:v>
      </x:c>
      <x:c r="B1449" s="66" t="str">
        <x:v>2026-08-04T14:11:07.019000</x:v>
      </x:c>
      <x:c r="C1449" s="47" t="n">
        <x:v>300980</x:v>
      </x:c>
      <x:c r="D1449" s="47" t="str"/>
      <x:c r="E1449" s="47" t="str"/>
      <x:c r="F1449" s="47" t="str">
        <x:v>current</x:v>
      </x:c>
      <x:c r="G1449" s="47" t="n">
        <x:v>1445</x:v>
      </x:c>
      <x:c r="H1449" s="53" t="b">
        <x:v>1</x:v>
      </x:c>
      <x:c r="I1449" s="47" t="str">
        <x:v>4109905524</x:v>
      </x:c>
      <x:c r="J1449" s="47" t="n">
        <x:v>53592144</x:v>
      </x:c>
      <x:c r="K1449" s="53" t="b">
        <x:v>1</x:v>
      </x:c>
      <x:c r="L1449" s="53" t="b">
        <x:v>1</x:v>
      </x:c>
      <x:c r="M1449" s="53" t="b">
        <x:v>1</x:v>
      </x:c>
      <x:c r="N1449" s="53" t="b">
        <x:v>1</x:v>
      </x:c>
      <x:c r="O1449" s="53" t="b">
        <x:v>1</x:v>
      </x:c>
      <x:c r="P1449" s="47" t="n">
        <x:v>1009</x:v>
      </x:c>
      <x:c r="Q1449" s="47" t="n">
        <x:v>0</x:v>
      </x:c>
      <x:c r="R1449" s="47" t="n">
        <x:v>0</x:v>
      </x:c>
      <x:c r="S1449" s="47" t="n">
        <x:v>35.46</x:v>
      </x:c>
      <x:c r="T1449" s="47" t="n">
        <x:v>54.81</x:v>
      </x:c>
      <x:c r="U1449" s="47" t="n">
        <x:v>32.3</x:v>
      </x:c>
      <x:c r="V1449" s="47" t="n">
        <x:v>12.3</x:v>
      </x:c>
      <x:c r="W1449" s="47" t="n">
        <x:v>37</x:v>
      </x:c>
      <x:c r="X1449" s="47" t="n">
        <x:v>142</x:v>
      </x:c>
      <x:c r="Y1449" s="41" t="n">
        <x:v>105</x:v>
      </x:c>
    </x:row>
    <x:row r="1450">
      <x:c r="A1450" s="38" t="str">
        <x:v>7月30日现场数据</x:v>
      </x:c>
      <x:c r="B1450" s="66" t="str">
        <x:v>2026-08-04T14:16:08.034000</x:v>
      </x:c>
      <x:c r="C1450" s="47" t="n">
        <x:v>301015</x:v>
      </x:c>
      <x:c r="D1450" s="47" t="str"/>
      <x:c r="E1450" s="47" t="str"/>
      <x:c r="F1450" s="47" t="str">
        <x:v>current</x:v>
      </x:c>
      <x:c r="G1450" s="47" t="n">
        <x:v>1446</x:v>
      </x:c>
      <x:c r="H1450" s="53" t="b">
        <x:v>1</x:v>
      </x:c>
      <x:c r="I1450" s="47" t="str">
        <x:v>4109905524</x:v>
      </x:c>
      <x:c r="J1450" s="47" t="n">
        <x:v>53893159</x:v>
      </x:c>
      <x:c r="K1450" s="53" t="b">
        <x:v>1</x:v>
      </x:c>
      <x:c r="L1450" s="53" t="b">
        <x:v>1</x:v>
      </x:c>
      <x:c r="M1450" s="53" t="b">
        <x:v>1</x:v>
      </x:c>
      <x:c r="N1450" s="53" t="b">
        <x:v>1</x:v>
      </x:c>
      <x:c r="O1450" s="53" t="b">
        <x:v>1</x:v>
      </x:c>
      <x:c r="P1450" s="47" t="n">
        <x:v>1009</x:v>
      </x:c>
      <x:c r="Q1450" s="47" t="n">
        <x:v>0</x:v>
      </x:c>
      <x:c r="R1450" s="47" t="n">
        <x:v>0</x:v>
      </x:c>
      <x:c r="S1450" s="47" t="n">
        <x:v>35.98</x:v>
      </x:c>
      <x:c r="T1450" s="47" t="n">
        <x:v>54.94</x:v>
      </x:c>
      <x:c r="U1450" s="47" t="n">
        <x:v>32.4</x:v>
      </x:c>
      <x:c r="V1450" s="47" t="n">
        <x:v>12.3</x:v>
      </x:c>
      <x:c r="W1450" s="47" t="n">
        <x:v>22</x:v>
      </x:c>
      <x:c r="X1450" s="47" t="n">
        <x:v>102</x:v>
      </x:c>
      <x:c r="Y1450" s="41" t="n">
        <x:v>80</x:v>
      </x:c>
    </x:row>
    <x:row r="1451">
      <x:c r="A1451" s="38" t="str">
        <x:v>7月30日现场数据</x:v>
      </x:c>
      <x:c r="B1451" s="66" t="str">
        <x:v>2026-08-04T14:21:08.989000</x:v>
      </x:c>
      <x:c r="C1451" s="47" t="n">
        <x:v>300955</x:v>
      </x:c>
      <x:c r="D1451" s="47" t="str"/>
      <x:c r="E1451" s="47" t="str"/>
      <x:c r="F1451" s="47" t="str">
        <x:v>current</x:v>
      </x:c>
      <x:c r="G1451" s="47" t="n">
        <x:v>1447</x:v>
      </x:c>
      <x:c r="H1451" s="53" t="b">
        <x:v>1</x:v>
      </x:c>
      <x:c r="I1451" s="47" t="str">
        <x:v>4109905524</x:v>
      </x:c>
      <x:c r="J1451" s="47" t="n">
        <x:v>54194114</x:v>
      </x:c>
      <x:c r="K1451" s="53" t="b">
        <x:v>1</x:v>
      </x:c>
      <x:c r="L1451" s="53" t="b">
        <x:v>1</x:v>
      </x:c>
      <x:c r="M1451" s="53" t="b">
        <x:v>1</x:v>
      </x:c>
      <x:c r="N1451" s="53" t="b">
        <x:v>1</x:v>
      </x:c>
      <x:c r="O1451" s="53" t="b">
        <x:v>1</x:v>
      </x:c>
      <x:c r="P1451" s="47" t="n">
        <x:v>1009</x:v>
      </x:c>
      <x:c r="Q1451" s="47" t="n">
        <x:v>0.145</x:v>
      </x:c>
      <x:c r="R1451" s="47" t="n">
        <x:v>3.923</x:v>
      </x:c>
      <x:c r="S1451" s="47" t="n">
        <x:v>35.92</x:v>
      </x:c>
      <x:c r="T1451" s="47" t="n">
        <x:v>55.04</x:v>
      </x:c>
      <x:c r="U1451" s="47" t="n">
        <x:v>32.4</x:v>
      </x:c>
      <x:c r="V1451" s="47" t="n">
        <x:v>12.2</x:v>
      </x:c>
      <x:c r="W1451" s="47" t="n">
        <x:v>14</x:v>
      </x:c>
      <x:c r="X1451" s="47" t="n">
        <x:v>66</x:v>
      </x:c>
      <x:c r="Y1451" s="41" t="n">
        <x:v>52</x:v>
      </x:c>
    </x:row>
    <x:row r="1452">
      <x:c r="A1452" s="38" t="str">
        <x:v>7月30日现场数据</x:v>
      </x:c>
      <x:c r="B1452" s="66" t="str">
        <x:v>2026-08-04T14:26:09.948000</x:v>
      </x:c>
      <x:c r="C1452" s="47" t="n">
        <x:v>300959</x:v>
      </x:c>
      <x:c r="D1452" s="47" t="str"/>
      <x:c r="E1452" s="47" t="str"/>
      <x:c r="F1452" s="47" t="str">
        <x:v>current</x:v>
      </x:c>
      <x:c r="G1452" s="47" t="n">
        <x:v>1448</x:v>
      </x:c>
      <x:c r="H1452" s="53" t="b">
        <x:v>1</x:v>
      </x:c>
      <x:c r="I1452" s="47" t="str">
        <x:v>4109905524</x:v>
      </x:c>
      <x:c r="J1452" s="47" t="n">
        <x:v>54495073</x:v>
      </x:c>
      <x:c r="K1452" s="53" t="b">
        <x:v>1</x:v>
      </x:c>
      <x:c r="L1452" s="53" t="b">
        <x:v>1</x:v>
      </x:c>
      <x:c r="M1452" s="53" t="b">
        <x:v>1</x:v>
      </x:c>
      <x:c r="N1452" s="53" t="b">
        <x:v>1</x:v>
      </x:c>
      <x:c r="O1452" s="53" t="b">
        <x:v>1</x:v>
      </x:c>
      <x:c r="P1452" s="47" t="n">
        <x:v>1009</x:v>
      </x:c>
      <x:c r="Q1452" s="47" t="n">
        <x:v>0</x:v>
      </x:c>
      <x:c r="R1452" s="47" t="n">
        <x:v>0</x:v>
      </x:c>
      <x:c r="S1452" s="47" t="n">
        <x:v>35.69</x:v>
      </x:c>
      <x:c r="T1452" s="47" t="n">
        <x:v>55.02</x:v>
      </x:c>
      <x:c r="U1452" s="47" t="n">
        <x:v>32.4</x:v>
      </x:c>
      <x:c r="V1452" s="47" t="n">
        <x:v>12.2</x:v>
      </x:c>
      <x:c r="W1452" s="47" t="n">
        <x:v>20</x:v>
      </x:c>
      <x:c r="X1452" s="47" t="n">
        <x:v>95</x:v>
      </x:c>
      <x:c r="Y1452" s="41" t="n">
        <x:v>75</x:v>
      </x:c>
    </x:row>
    <x:row r="1453">
      <x:c r="A1453" s="38" t="str">
        <x:v>7月30日现场数据</x:v>
      </x:c>
      <x:c r="B1453" s="66" t="str">
        <x:v>2026-08-04T14:31:10.909000</x:v>
      </x:c>
      <x:c r="C1453" s="47" t="n">
        <x:v>300961</x:v>
      </x:c>
      <x:c r="D1453" s="47" t="str"/>
      <x:c r="E1453" s="47" t="str"/>
      <x:c r="F1453" s="47" t="str">
        <x:v>current</x:v>
      </x:c>
      <x:c r="G1453" s="47" t="n">
        <x:v>1449</x:v>
      </x:c>
      <x:c r="H1453" s="53" t="b">
        <x:v>1</x:v>
      </x:c>
      <x:c r="I1453" s="47" t="str">
        <x:v>4109905524</x:v>
      </x:c>
      <x:c r="J1453" s="47" t="n">
        <x:v>54796034</x:v>
      </x:c>
      <x:c r="K1453" s="53" t="b">
        <x:v>1</x:v>
      </x:c>
      <x:c r="L1453" s="53" t="b">
        <x:v>1</x:v>
      </x:c>
      <x:c r="M1453" s="53" t="b">
        <x:v>1</x:v>
      </x:c>
      <x:c r="N1453" s="53" t="b">
        <x:v>1</x:v>
      </x:c>
      <x:c r="O1453" s="53" t="b">
        <x:v>1</x:v>
      </x:c>
      <x:c r="P1453" s="47" t="n">
        <x:v>1009</x:v>
      </x:c>
      <x:c r="Q1453" s="47" t="n">
        <x:v>0</x:v>
      </x:c>
      <x:c r="R1453" s="47" t="n">
        <x:v>0</x:v>
      </x:c>
      <x:c r="S1453" s="47" t="n">
        <x:v>35.78</x:v>
      </x:c>
      <x:c r="T1453" s="47" t="n">
        <x:v>55.08</x:v>
      </x:c>
      <x:c r="U1453" s="47" t="n">
        <x:v>32.4</x:v>
      </x:c>
      <x:c r="V1453" s="47" t="n">
        <x:v>12.2</x:v>
      </x:c>
      <x:c r="W1453" s="47" t="n">
        <x:v>32</x:v>
      </x:c>
      <x:c r="X1453" s="47" t="n">
        <x:v>128</x:v>
      </x:c>
      <x:c r="Y1453" s="41" t="n">
        <x:v>96</x:v>
      </x:c>
    </x:row>
    <x:row r="1454">
      <x:c r="A1454" s="38" t="str">
        <x:v>7月30日现场数据</x:v>
      </x:c>
      <x:c r="B1454" s="66" t="str">
        <x:v>2026-08-04T14:36:11.869000</x:v>
      </x:c>
      <x:c r="C1454" s="47" t="n">
        <x:v>300960</x:v>
      </x:c>
      <x:c r="D1454" s="47" t="str"/>
      <x:c r="E1454" s="47" t="str"/>
      <x:c r="F1454" s="47" t="str">
        <x:v>current</x:v>
      </x:c>
      <x:c r="G1454" s="47" t="n">
        <x:v>1450</x:v>
      </x:c>
      <x:c r="H1454" s="53" t="b">
        <x:v>1</x:v>
      </x:c>
      <x:c r="I1454" s="47" t="str">
        <x:v>4109905524</x:v>
      </x:c>
      <x:c r="J1454" s="47" t="n">
        <x:v>55096994</x:v>
      </x:c>
      <x:c r="K1454" s="53" t="b">
        <x:v>1</x:v>
      </x:c>
      <x:c r="L1454" s="53" t="b">
        <x:v>1</x:v>
      </x:c>
      <x:c r="M1454" s="53" t="b">
        <x:v>1</x:v>
      </x:c>
      <x:c r="N1454" s="53" t="b">
        <x:v>1</x:v>
      </x:c>
      <x:c r="O1454" s="53" t="b">
        <x:v>1</x:v>
      </x:c>
      <x:c r="P1454" s="47" t="n">
        <x:v>1009</x:v>
      </x:c>
      <x:c r="Q1454" s="47" t="n">
        <x:v>0.067</x:v>
      </x:c>
      <x:c r="R1454" s="47" t="n">
        <x:v>1.813</x:v>
      </x:c>
      <x:c r="S1454" s="47" t="n">
        <x:v>35.95</x:v>
      </x:c>
      <x:c r="T1454" s="47" t="n">
        <x:v>55.18</x:v>
      </x:c>
      <x:c r="U1454" s="47" t="n">
        <x:v>32.4</x:v>
      </x:c>
      <x:c r="V1454" s="47" t="n">
        <x:v>12.2</x:v>
      </x:c>
      <x:c r="W1454" s="47" t="n">
        <x:v>32</x:v>
      </x:c>
      <x:c r="X1454" s="47" t="n">
        <x:v>126</x:v>
      </x:c>
      <x:c r="Y1454" s="41" t="n">
        <x:v>94</x:v>
      </x:c>
    </x:row>
    <x:row r="1455">
      <x:c r="A1455" s="38" t="str">
        <x:v>7月30日现场数据</x:v>
      </x:c>
      <x:c r="B1455" s="66" t="str">
        <x:v>2026-08-04T14:41:12.830000</x:v>
      </x:c>
      <x:c r="C1455" s="47" t="n">
        <x:v>300961</x:v>
      </x:c>
      <x:c r="D1455" s="47" t="str"/>
      <x:c r="E1455" s="47" t="str"/>
      <x:c r="F1455" s="47" t="str">
        <x:v>current</x:v>
      </x:c>
      <x:c r="G1455" s="47" t="n">
        <x:v>1451</x:v>
      </x:c>
      <x:c r="H1455" s="53" t="b">
        <x:v>1</x:v>
      </x:c>
      <x:c r="I1455" s="47" t="str">
        <x:v>4109905524</x:v>
      </x:c>
      <x:c r="J1455" s="47" t="n">
        <x:v>55397955</x:v>
      </x:c>
      <x:c r="K1455" s="53" t="b">
        <x:v>1</x:v>
      </x:c>
      <x:c r="L1455" s="53" t="b">
        <x:v>1</x:v>
      </x:c>
      <x:c r="M1455" s="53" t="b">
        <x:v>1</x:v>
      </x:c>
      <x:c r="N1455" s="53" t="b">
        <x:v>1</x:v>
      </x:c>
      <x:c r="O1455" s="53" t="b">
        <x:v>1</x:v>
      </x:c>
      <x:c r="P1455" s="47" t="n">
        <x:v>1009</x:v>
      </x:c>
      <x:c r="Q1455" s="47" t="n">
        <x:v>0</x:v>
      </x:c>
      <x:c r="R1455" s="47" t="n">
        <x:v>0</x:v>
      </x:c>
      <x:c r="S1455" s="47" t="n">
        <x:v>35.84</x:v>
      </x:c>
      <x:c r="T1455" s="47" t="n">
        <x:v>55.2</x:v>
      </x:c>
      <x:c r="U1455" s="47" t="n">
        <x:v>32.5</x:v>
      </x:c>
      <x:c r="V1455" s="47" t="n">
        <x:v>12.2</x:v>
      </x:c>
      <x:c r="W1455" s="47" t="n">
        <x:v>35</x:v>
      </x:c>
      <x:c r="X1455" s="47" t="n">
        <x:v>137</x:v>
      </x:c>
      <x:c r="Y1455" s="41" t="n">
        <x:v>102</x:v>
      </x:c>
    </x:row>
    <x:row r="1456">
      <x:c r="A1456" s="38" t="str">
        <x:v>7月30日现场数据</x:v>
      </x:c>
      <x:c r="B1456" s="66" t="str">
        <x:v>2026-08-04T14:46:13.798000</x:v>
      </x:c>
      <x:c r="C1456" s="47" t="n">
        <x:v>300968</x:v>
      </x:c>
      <x:c r="D1456" s="47" t="str"/>
      <x:c r="E1456" s="47" t="str"/>
      <x:c r="F1456" s="47" t="str">
        <x:v>current</x:v>
      </x:c>
      <x:c r="G1456" s="47" t="n">
        <x:v>1452</x:v>
      </x:c>
      <x:c r="H1456" s="53" t="b">
        <x:v>1</x:v>
      </x:c>
      <x:c r="I1456" s="47" t="str">
        <x:v>4109905524</x:v>
      </x:c>
      <x:c r="J1456" s="47" t="n">
        <x:v>55698923</x:v>
      </x:c>
      <x:c r="K1456" s="53" t="b">
        <x:v>1</x:v>
      </x:c>
      <x:c r="L1456" s="53" t="b">
        <x:v>1</x:v>
      </x:c>
      <x:c r="M1456" s="53" t="b">
        <x:v>1</x:v>
      </x:c>
      <x:c r="N1456" s="53" t="b">
        <x:v>1</x:v>
      </x:c>
      <x:c r="O1456" s="53" t="b">
        <x:v>1</x:v>
      </x:c>
      <x:c r="P1456" s="47" t="n">
        <x:v>1009</x:v>
      </x:c>
      <x:c r="Q1456" s="47" t="n">
        <x:v>0</x:v>
      </x:c>
      <x:c r="R1456" s="47" t="n">
        <x:v>0</x:v>
      </x:c>
      <x:c r="S1456" s="47" t="n">
        <x:v>36.09</x:v>
      </x:c>
      <x:c r="T1456" s="47" t="n">
        <x:v>55.32</x:v>
      </x:c>
      <x:c r="U1456" s="47" t="n">
        <x:v>32.5</x:v>
      </x:c>
      <x:c r="V1456" s="47" t="n">
        <x:v>12.2</x:v>
      </x:c>
      <x:c r="W1456" s="47" t="n">
        <x:v>23</x:v>
      </x:c>
      <x:c r="X1456" s="47" t="n">
        <x:v>101</x:v>
      </x:c>
      <x:c r="Y1456" s="41" t="n">
        <x:v>78</x:v>
      </x:c>
    </x:row>
    <x:row r="1457">
      <x:c r="A1457" s="38" t="str">
        <x:v>7月30日现场数据</x:v>
      </x:c>
      <x:c r="B1457" s="66" t="str">
        <x:v>2026-08-04T14:51:14.766000</x:v>
      </x:c>
      <x:c r="C1457" s="47" t="n">
        <x:v>300968</x:v>
      </x:c>
      <x:c r="D1457" s="47" t="str"/>
      <x:c r="E1457" s="47" t="str"/>
      <x:c r="F1457" s="47" t="str">
        <x:v>current</x:v>
      </x:c>
      <x:c r="G1457" s="47" t="n">
        <x:v>1453</x:v>
      </x:c>
      <x:c r="H1457" s="53" t="b">
        <x:v>1</x:v>
      </x:c>
      <x:c r="I1457" s="47" t="str">
        <x:v>4109905524</x:v>
      </x:c>
      <x:c r="J1457" s="47" t="n">
        <x:v>55999891</x:v>
      </x:c>
      <x:c r="K1457" s="53" t="b">
        <x:v>1</x:v>
      </x:c>
      <x:c r="L1457" s="53" t="b">
        <x:v>1</x:v>
      </x:c>
      <x:c r="M1457" s="53" t="b">
        <x:v>1</x:v>
      </x:c>
      <x:c r="N1457" s="53" t="b">
        <x:v>1</x:v>
      </x:c>
      <x:c r="O1457" s="53" t="b">
        <x:v>1</x:v>
      </x:c>
      <x:c r="P1457" s="47" t="n">
        <x:v>1009</x:v>
      </x:c>
      <x:c r="Q1457" s="47" t="n">
        <x:v>0</x:v>
      </x:c>
      <x:c r="R1457" s="47" t="n">
        <x:v>0</x:v>
      </x:c>
      <x:c r="S1457" s="47" t="n">
        <x:v>36.09</x:v>
      </x:c>
      <x:c r="T1457" s="47" t="n">
        <x:v>55.41</x:v>
      </x:c>
      <x:c r="U1457" s="47" t="n">
        <x:v>32.5</x:v>
      </x:c>
      <x:c r="V1457" s="47" t="n">
        <x:v>12.2</x:v>
      </x:c>
      <x:c r="W1457" s="47" t="n">
        <x:v>19</x:v>
      </x:c>
      <x:c r="X1457" s="47" t="n">
        <x:v>88</x:v>
      </x:c>
      <x:c r="Y1457" s="41" t="n">
        <x:v>69</x:v>
      </x:c>
    </x:row>
    <x:row r="1458">
      <x:c r="A1458" s="38" t="str">
        <x:v>7月30日现场数据</x:v>
      </x:c>
      <x:c r="B1458" s="66" t="str">
        <x:v>2026-08-04T14:56:15.732000</x:v>
      </x:c>
      <x:c r="C1458" s="47" t="n">
        <x:v>300966</x:v>
      </x:c>
      <x:c r="D1458" s="47" t="str"/>
      <x:c r="E1458" s="47" t="str"/>
      <x:c r="F1458" s="47" t="str">
        <x:v>current</x:v>
      </x:c>
      <x:c r="G1458" s="47" t="n">
        <x:v>1454</x:v>
      </x:c>
      <x:c r="H1458" s="53" t="b">
        <x:v>1</x:v>
      </x:c>
      <x:c r="I1458" s="47" t="str">
        <x:v>4109905524</x:v>
      </x:c>
      <x:c r="J1458" s="47" t="n">
        <x:v>56300857</x:v>
      </x:c>
      <x:c r="K1458" s="53" t="b">
        <x:v>1</x:v>
      </x:c>
      <x:c r="L1458" s="53" t="b">
        <x:v>1</x:v>
      </x:c>
      <x:c r="M1458" s="53" t="b">
        <x:v>1</x:v>
      </x:c>
      <x:c r="N1458" s="53" t="b">
        <x:v>1</x:v>
      </x:c>
      <x:c r="O1458" s="53" t="b">
        <x:v>1</x:v>
      </x:c>
      <x:c r="P1458" s="47" t="n">
        <x:v>1009</x:v>
      </x:c>
      <x:c r="Q1458" s="47" t="n">
        <x:v>0.131</x:v>
      </x:c>
      <x:c r="R1458" s="47" t="n">
        <x:v>3.527</x:v>
      </x:c>
      <x:c r="S1458" s="47" t="n">
        <x:v>36.07</x:v>
      </x:c>
      <x:c r="T1458" s="47" t="n">
        <x:v>55.4</x:v>
      </x:c>
      <x:c r="U1458" s="47" t="n">
        <x:v>32.5</x:v>
      </x:c>
      <x:c r="V1458" s="47" t="n">
        <x:v>12.2</x:v>
      </x:c>
      <x:c r="W1458" s="47" t="n">
        <x:v>22</x:v>
      </x:c>
      <x:c r="X1458" s="47" t="n">
        <x:v>107</x:v>
      </x:c>
      <x:c r="Y1458" s="41" t="n">
        <x:v>85</x:v>
      </x:c>
    </x:row>
    <x:row r="1459">
      <x:c r="A1459" s="38" t="str">
        <x:v>7月30日现场数据</x:v>
      </x:c>
      <x:c r="B1459" s="66" t="str">
        <x:v>2026-08-04T15:01:16.702000</x:v>
      </x:c>
      <x:c r="C1459" s="47" t="n">
        <x:v>300970</x:v>
      </x:c>
      <x:c r="D1459" s="47" t="str"/>
      <x:c r="E1459" s="47" t="str"/>
      <x:c r="F1459" s="47" t="str">
        <x:v>current</x:v>
      </x:c>
      <x:c r="G1459" s="47" t="n">
        <x:v>1455</x:v>
      </x:c>
      <x:c r="H1459" s="53" t="b">
        <x:v>1</x:v>
      </x:c>
      <x:c r="I1459" s="47" t="str">
        <x:v>4109905524</x:v>
      </x:c>
      <x:c r="J1459" s="47" t="n">
        <x:v>56601827</x:v>
      </x:c>
      <x:c r="K1459" s="53" t="b">
        <x:v>1</x:v>
      </x:c>
      <x:c r="L1459" s="53" t="b">
        <x:v>1</x:v>
      </x:c>
      <x:c r="M1459" s="53" t="b">
        <x:v>1</x:v>
      </x:c>
      <x:c r="N1459" s="53" t="b">
        <x:v>1</x:v>
      </x:c>
      <x:c r="O1459" s="53" t="b">
        <x:v>1</x:v>
      </x:c>
      <x:c r="P1459" s="47" t="n">
        <x:v>1009</x:v>
      </x:c>
      <x:c r="Q1459" s="47" t="n">
        <x:v>0</x:v>
      </x:c>
      <x:c r="R1459" s="47" t="n">
        <x:v>0</x:v>
      </x:c>
      <x:c r="S1459" s="47" t="n">
        <x:v>36.02</x:v>
      </x:c>
      <x:c r="T1459" s="47" t="n">
        <x:v>55.49</x:v>
      </x:c>
      <x:c r="U1459" s="47" t="n">
        <x:v>32.4</x:v>
      </x:c>
      <x:c r="V1459" s="47" t="n">
        <x:v>12.2</x:v>
      </x:c>
      <x:c r="W1459" s="47" t="n">
        <x:v>16</x:v>
      </x:c>
      <x:c r="X1459" s="47" t="n">
        <x:v>76</x:v>
      </x:c>
      <x:c r="Y1459" s="41" t="n">
        <x:v>60</x:v>
      </x:c>
    </x:row>
    <x:row r="1460">
      <x:c r="A1460" s="38" t="str">
        <x:v>7月30日现场数据</x:v>
      </x:c>
      <x:c r="B1460" s="66" t="str">
        <x:v>2026-08-04T15:06:17.675000</x:v>
      </x:c>
      <x:c r="C1460" s="47" t="n">
        <x:v>300973</x:v>
      </x:c>
      <x:c r="D1460" s="47" t="str"/>
      <x:c r="E1460" s="47" t="str"/>
      <x:c r="F1460" s="47" t="str">
        <x:v>current</x:v>
      </x:c>
      <x:c r="G1460" s="47" t="n">
        <x:v>1456</x:v>
      </x:c>
      <x:c r="H1460" s="53" t="b">
        <x:v>1</x:v>
      </x:c>
      <x:c r="I1460" s="47" t="str">
        <x:v>4109905524</x:v>
      </x:c>
      <x:c r="J1460" s="47" t="n">
        <x:v>56902800</x:v>
      </x:c>
      <x:c r="K1460" s="53" t="b">
        <x:v>1</x:v>
      </x:c>
      <x:c r="L1460" s="53" t="b">
        <x:v>1</x:v>
      </x:c>
      <x:c r="M1460" s="53" t="b">
        <x:v>1</x:v>
      </x:c>
      <x:c r="N1460" s="53" t="b">
        <x:v>1</x:v>
      </x:c>
      <x:c r="O1460" s="53" t="b">
        <x:v>1</x:v>
      </x:c>
      <x:c r="P1460" s="47" t="n">
        <x:v>1009</x:v>
      </x:c>
      <x:c r="Q1460" s="47" t="n">
        <x:v>0</x:v>
      </x:c>
      <x:c r="R1460" s="47" t="n">
        <x:v>0</x:v>
      </x:c>
      <x:c r="S1460" s="47" t="n">
        <x:v>35.9</x:v>
      </x:c>
      <x:c r="T1460" s="47" t="n">
        <x:v>55.47</x:v>
      </x:c>
      <x:c r="U1460" s="47" t="n">
        <x:v>32.5</x:v>
      </x:c>
      <x:c r="V1460" s="47" t="n">
        <x:v>12.2</x:v>
      </x:c>
      <x:c r="W1460" s="47" t="n">
        <x:v>17</x:v>
      </x:c>
      <x:c r="X1460" s="47" t="n">
        <x:v>75</x:v>
      </x:c>
      <x:c r="Y1460" s="41" t="n">
        <x:v>58</x:v>
      </x:c>
    </x:row>
    <x:row r="1461">
      <x:c r="A1461" s="38" t="str">
        <x:v>7月30日现场数据</x:v>
      </x:c>
      <x:c r="B1461" s="66" t="str">
        <x:v>2026-08-04T15:11:18.648000</x:v>
      </x:c>
      <x:c r="C1461" s="47" t="n">
        <x:v>300973</x:v>
      </x:c>
      <x:c r="D1461" s="47" t="str"/>
      <x:c r="E1461" s="47" t="str"/>
      <x:c r="F1461" s="47" t="str">
        <x:v>current</x:v>
      </x:c>
      <x:c r="G1461" s="47" t="n">
        <x:v>1457</x:v>
      </x:c>
      <x:c r="H1461" s="53" t="b">
        <x:v>1</x:v>
      </x:c>
      <x:c r="I1461" s="47" t="str">
        <x:v>4109905524</x:v>
      </x:c>
      <x:c r="J1461" s="47" t="n">
        <x:v>57203773</x:v>
      </x:c>
      <x:c r="K1461" s="53" t="b">
        <x:v>1</x:v>
      </x:c>
      <x:c r="L1461" s="53" t="b">
        <x:v>1</x:v>
      </x:c>
      <x:c r="M1461" s="53" t="b">
        <x:v>1</x:v>
      </x:c>
      <x:c r="N1461" s="53" t="b">
        <x:v>1</x:v>
      </x:c>
      <x:c r="O1461" s="53" t="b">
        <x:v>1</x:v>
      </x:c>
      <x:c r="P1461" s="47" t="n">
        <x:v>1009</x:v>
      </x:c>
      <x:c r="Q1461" s="47" t="n">
        <x:v>0.168</x:v>
      </x:c>
      <x:c r="R1461" s="47" t="n">
        <x:v>4.549</x:v>
      </x:c>
      <x:c r="S1461" s="47" t="n">
        <x:v>35.89</x:v>
      </x:c>
      <x:c r="T1461" s="47" t="n">
        <x:v>55.6</x:v>
      </x:c>
      <x:c r="U1461" s="47" t="n">
        <x:v>32.5</x:v>
      </x:c>
      <x:c r="V1461" s="47" t="n">
        <x:v>12.2</x:v>
      </x:c>
      <x:c r="W1461" s="47" t="n">
        <x:v>17</x:v>
      </x:c>
      <x:c r="X1461" s="47" t="n">
        <x:v>69</x:v>
      </x:c>
      <x:c r="Y1461" s="41" t="n">
        <x:v>52</x:v>
      </x:c>
    </x:row>
    <x:row r="1462">
      <x:c r="A1462" s="38" t="str">
        <x:v>7月30日现场数据</x:v>
      </x:c>
      <x:c r="B1462" s="66" t="str">
        <x:v>2026-08-04T15:16:19.623000</x:v>
      </x:c>
      <x:c r="C1462" s="47" t="n">
        <x:v>300975</x:v>
      </x:c>
      <x:c r="D1462" s="47" t="str"/>
      <x:c r="E1462" s="47" t="str"/>
      <x:c r="F1462" s="47" t="str">
        <x:v>current</x:v>
      </x:c>
      <x:c r="G1462" s="47" t="n">
        <x:v>1458</x:v>
      </x:c>
      <x:c r="H1462" s="53" t="b">
        <x:v>1</x:v>
      </x:c>
      <x:c r="I1462" s="47" t="str">
        <x:v>4109905524</x:v>
      </x:c>
      <x:c r="J1462" s="47" t="n">
        <x:v>57504748</x:v>
      </x:c>
      <x:c r="K1462" s="53" t="b">
        <x:v>1</x:v>
      </x:c>
      <x:c r="L1462" s="53" t="b">
        <x:v>1</x:v>
      </x:c>
      <x:c r="M1462" s="53" t="b">
        <x:v>1</x:v>
      </x:c>
      <x:c r="N1462" s="53" t="b">
        <x:v>1</x:v>
      </x:c>
      <x:c r="O1462" s="53" t="b">
        <x:v>1</x:v>
      </x:c>
      <x:c r="P1462" s="47" t="n">
        <x:v>1009</x:v>
      </x:c>
      <x:c r="Q1462" s="47" t="n">
        <x:v>0</x:v>
      </x:c>
      <x:c r="R1462" s="47" t="n">
        <x:v>0</x:v>
      </x:c>
      <x:c r="S1462" s="47" t="n">
        <x:v>35.67</x:v>
      </x:c>
      <x:c r="T1462" s="47" t="n">
        <x:v>55.58</x:v>
      </x:c>
      <x:c r="U1462" s="47" t="n">
        <x:v>32.4</x:v>
      </x:c>
      <x:c r="V1462" s="47" t="n">
        <x:v>12.1</x:v>
      </x:c>
      <x:c r="W1462" s="47" t="n">
        <x:v>12</x:v>
      </x:c>
      <x:c r="X1462" s="47" t="n">
        <x:v>60</x:v>
      </x:c>
      <x:c r="Y1462" s="41" t="n">
        <x:v>48</x:v>
      </x:c>
    </x:row>
    <x:row r="1463">
      <x:c r="A1463" s="38" t="str">
        <x:v>7月30日现场数据</x:v>
      </x:c>
      <x:c r="B1463" s="66" t="str">
        <x:v>2026-08-04T15:21:20.601000</x:v>
      </x:c>
      <x:c r="C1463" s="47" t="n">
        <x:v>300978</x:v>
      </x:c>
      <x:c r="D1463" s="47" t="str"/>
      <x:c r="E1463" s="47" t="str"/>
      <x:c r="F1463" s="47" t="str">
        <x:v>current</x:v>
      </x:c>
      <x:c r="G1463" s="47" t="n">
        <x:v>1459</x:v>
      </x:c>
      <x:c r="H1463" s="53" t="b">
        <x:v>1</x:v>
      </x:c>
      <x:c r="I1463" s="47" t="str">
        <x:v>4109905524</x:v>
      </x:c>
      <x:c r="J1463" s="47" t="n">
        <x:v>57805726</x:v>
      </x:c>
      <x:c r="K1463" s="53" t="b">
        <x:v>1</x:v>
      </x:c>
      <x:c r="L1463" s="53" t="b">
        <x:v>1</x:v>
      </x:c>
      <x:c r="M1463" s="53" t="b">
        <x:v>1</x:v>
      </x:c>
      <x:c r="N1463" s="53" t="b">
        <x:v>1</x:v>
      </x:c>
      <x:c r="O1463" s="53" t="b">
        <x:v>1</x:v>
      </x:c>
      <x:c r="P1463" s="47" t="n">
        <x:v>1009</x:v>
      </x:c>
      <x:c r="Q1463" s="47" t="n">
        <x:v>0</x:v>
      </x:c>
      <x:c r="R1463" s="47" t="n">
        <x:v>0</x:v>
      </x:c>
      <x:c r="S1463" s="47" t="n">
        <x:v>35.43</x:v>
      </x:c>
      <x:c r="T1463" s="47" t="n">
        <x:v>55.47</x:v>
      </x:c>
      <x:c r="U1463" s="47" t="n">
        <x:v>32.4</x:v>
      </x:c>
      <x:c r="V1463" s="47" t="n">
        <x:v>12.2</x:v>
      </x:c>
      <x:c r="W1463" s="47" t="n">
        <x:v>15</x:v>
      </x:c>
      <x:c r="X1463" s="47" t="n">
        <x:v>72</x:v>
      </x:c>
      <x:c r="Y1463" s="41" t="n">
        <x:v>57</x:v>
      </x:c>
    </x:row>
    <x:row r="1464">
      <x:c r="A1464" s="38" t="str">
        <x:v>7月30日现场数据</x:v>
      </x:c>
      <x:c r="B1464" s="66" t="str">
        <x:v>2026-08-04T15:26:21.584000</x:v>
      </x:c>
      <x:c r="C1464" s="47" t="n">
        <x:v>300983</x:v>
      </x:c>
      <x:c r="D1464" s="47" t="str"/>
      <x:c r="E1464" s="47" t="str"/>
      <x:c r="F1464" s="47" t="str">
        <x:v>current</x:v>
      </x:c>
      <x:c r="G1464" s="47" t="n">
        <x:v>1460</x:v>
      </x:c>
      <x:c r="H1464" s="53" t="b">
        <x:v>1</x:v>
      </x:c>
      <x:c r="I1464" s="47" t="str">
        <x:v>4109905524</x:v>
      </x:c>
      <x:c r="J1464" s="47" t="n">
        <x:v>58106709</x:v>
      </x:c>
      <x:c r="K1464" s="53" t="b">
        <x:v>1</x:v>
      </x:c>
      <x:c r="L1464" s="53" t="b">
        <x:v>1</x:v>
      </x:c>
      <x:c r="M1464" s="53" t="b">
        <x:v>1</x:v>
      </x:c>
      <x:c r="N1464" s="53" t="b">
        <x:v>1</x:v>
      </x:c>
      <x:c r="O1464" s="53" t="b">
        <x:v>1</x:v>
      </x:c>
      <x:c r="P1464" s="47" t="n">
        <x:v>1009</x:v>
      </x:c>
      <x:c r="Q1464" s="47" t="n">
        <x:v>0.062</x:v>
      </x:c>
      <x:c r="R1464" s="47" t="n">
        <x:v>1.681</x:v>
      </x:c>
      <x:c r="S1464" s="47" t="n">
        <x:v>35.7</x:v>
      </x:c>
      <x:c r="T1464" s="47" t="n">
        <x:v>55.66</x:v>
      </x:c>
      <x:c r="U1464" s="47" t="n">
        <x:v>32.4</x:v>
      </x:c>
      <x:c r="V1464" s="47" t="n">
        <x:v>12.2</x:v>
      </x:c>
      <x:c r="W1464" s="47" t="n">
        <x:v>30</x:v>
      </x:c>
      <x:c r="X1464" s="47" t="n">
        <x:v>116</x:v>
      </x:c>
      <x:c r="Y1464" s="41" t="n">
        <x:v>86</x:v>
      </x:c>
    </x:row>
    <x:row r="1465">
      <x:c r="A1465" s="38" t="str">
        <x:v>7月30日现场数据</x:v>
      </x:c>
      <x:c r="B1465" s="66" t="str">
        <x:v>2026-08-04T15:31:22.564000</x:v>
      </x:c>
      <x:c r="C1465" s="47" t="n">
        <x:v>300980</x:v>
      </x:c>
      <x:c r="D1465" s="47" t="str"/>
      <x:c r="E1465" s="47" t="str"/>
      <x:c r="F1465" s="47" t="str">
        <x:v>current</x:v>
      </x:c>
      <x:c r="G1465" s="47" t="n">
        <x:v>1461</x:v>
      </x:c>
      <x:c r="H1465" s="53" t="b">
        <x:v>1</x:v>
      </x:c>
      <x:c r="I1465" s="47" t="str">
        <x:v>4109905524</x:v>
      </x:c>
      <x:c r="J1465" s="47" t="n">
        <x:v>58407689</x:v>
      </x:c>
      <x:c r="K1465" s="53" t="b">
        <x:v>1</x:v>
      </x:c>
      <x:c r="L1465" s="53" t="b">
        <x:v>1</x:v>
      </x:c>
      <x:c r="M1465" s="53" t="b">
        <x:v>1</x:v>
      </x:c>
      <x:c r="N1465" s="53" t="b">
        <x:v>1</x:v>
      </x:c>
      <x:c r="O1465" s="53" t="b">
        <x:v>1</x:v>
      </x:c>
      <x:c r="P1465" s="47" t="n">
        <x:v>1009</x:v>
      </x:c>
      <x:c r="Q1465" s="47" t="n">
        <x:v>0</x:v>
      </x:c>
      <x:c r="R1465" s="47" t="n">
        <x:v>0</x:v>
      </x:c>
      <x:c r="S1465" s="47" t="n">
        <x:v>35.4</x:v>
      </x:c>
      <x:c r="T1465" s="47" t="n">
        <x:v>55.65</x:v>
      </x:c>
      <x:c r="U1465" s="47" t="n">
        <x:v>32.4</x:v>
      </x:c>
      <x:c r="V1465" s="47" t="n">
        <x:v>12.2</x:v>
      </x:c>
      <x:c r="W1465" s="47" t="n">
        <x:v>9</x:v>
      </x:c>
      <x:c r="X1465" s="47" t="n">
        <x:v>43</x:v>
      </x:c>
      <x:c r="Y1465" s="41" t="n">
        <x:v>34</x:v>
      </x:c>
    </x:row>
    <x:row r="1466">
      <x:c r="A1466" s="38" t="str">
        <x:v>7月30日现场数据</x:v>
      </x:c>
      <x:c r="B1466" s="66" t="str">
        <x:v>2026-08-04T15:36:23.576000</x:v>
      </x:c>
      <x:c r="C1466" s="47" t="n">
        <x:v>301012</x:v>
      </x:c>
      <x:c r="D1466" s="47" t="str"/>
      <x:c r="E1466" s="47" t="str"/>
      <x:c r="F1466" s="47" t="str">
        <x:v>current</x:v>
      </x:c>
      <x:c r="G1466" s="47" t="n">
        <x:v>1462</x:v>
      </x:c>
      <x:c r="H1466" s="53" t="b">
        <x:v>1</x:v>
      </x:c>
      <x:c r="I1466" s="47" t="str">
        <x:v>4109905524</x:v>
      </x:c>
      <x:c r="J1466" s="47" t="n">
        <x:v>58708701</x:v>
      </x:c>
      <x:c r="K1466" s="53" t="b">
        <x:v>1</x:v>
      </x:c>
      <x:c r="L1466" s="53" t="b">
        <x:v>1</x:v>
      </x:c>
      <x:c r="M1466" s="53" t="b">
        <x:v>1</x:v>
      </x:c>
      <x:c r="N1466" s="53" t="b">
        <x:v>1</x:v>
      </x:c>
      <x:c r="O1466" s="53" t="b">
        <x:v>1</x:v>
      </x:c>
      <x:c r="P1466" s="47" t="n">
        <x:v>1009</x:v>
      </x:c>
      <x:c r="Q1466" s="47" t="n">
        <x:v>0</x:v>
      </x:c>
      <x:c r="R1466" s="47" t="n">
        <x:v>0</x:v>
      </x:c>
      <x:c r="S1466" s="47" t="n">
        <x:v>34.75</x:v>
      </x:c>
      <x:c r="T1466" s="47" t="n">
        <x:v>55.56</x:v>
      </x:c>
      <x:c r="U1466" s="47" t="n">
        <x:v>32.2</x:v>
      </x:c>
      <x:c r="V1466" s="47" t="n">
        <x:v>12.2</x:v>
      </x:c>
      <x:c r="W1466" s="47" t="n">
        <x:v>22</x:v>
      </x:c>
      <x:c r="X1466" s="47" t="n">
        <x:v>92</x:v>
      </x:c>
      <x:c r="Y1466" s="41" t="n">
        <x:v>70</x:v>
      </x:c>
    </x:row>
    <x:row r="1467">
      <x:c r="A1467" s="38" t="str">
        <x:v>7月30日现场数据</x:v>
      </x:c>
      <x:c r="B1467" s="66" t="str">
        <x:v>2026-08-04T15:41:24.535000</x:v>
      </x:c>
      <x:c r="C1467" s="47" t="n">
        <x:v>300959</x:v>
      </x:c>
      <x:c r="D1467" s="47" t="str"/>
      <x:c r="E1467" s="47" t="str"/>
      <x:c r="F1467" s="47" t="str">
        <x:v>current</x:v>
      </x:c>
      <x:c r="G1467" s="47" t="n">
        <x:v>1463</x:v>
      </x:c>
      <x:c r="H1467" s="53" t="b">
        <x:v>1</x:v>
      </x:c>
      <x:c r="I1467" s="47" t="str">
        <x:v>4109905524</x:v>
      </x:c>
      <x:c r="J1467" s="47" t="n">
        <x:v>59009660</x:v>
      </x:c>
      <x:c r="K1467" s="53" t="b">
        <x:v>1</x:v>
      </x:c>
      <x:c r="L1467" s="53" t="b">
        <x:v>1</x:v>
      </x:c>
      <x:c r="M1467" s="53" t="b">
        <x:v>1</x:v>
      </x:c>
      <x:c r="N1467" s="53" t="b">
        <x:v>1</x:v>
      </x:c>
      <x:c r="O1467" s="53" t="b">
        <x:v>1</x:v>
      </x:c>
      <x:c r="P1467" s="47" t="n">
        <x:v>1009</x:v>
      </x:c>
      <x:c r="Q1467" s="47" t="n">
        <x:v>0</x:v>
      </x:c>
      <x:c r="R1467" s="47" t="n">
        <x:v>0</x:v>
      </x:c>
      <x:c r="S1467" s="47" t="n">
        <x:v>34.83</x:v>
      </x:c>
      <x:c r="T1467" s="47" t="n">
        <x:v>55.6</x:v>
      </x:c>
      <x:c r="U1467" s="47" t="n">
        <x:v>32.2</x:v>
      </x:c>
      <x:c r="V1467" s="47" t="n">
        <x:v>12.1</x:v>
      </x:c>
      <x:c r="W1467" s="47" t="n">
        <x:v>17</x:v>
      </x:c>
      <x:c r="X1467" s="47" t="n">
        <x:v>73</x:v>
      </x:c>
      <x:c r="Y1467" s="41" t="n">
        <x:v>56</x:v>
      </x:c>
    </x:row>
    <x:row r="1468">
      <x:c r="A1468" s="38" t="str">
        <x:v>7月30日现场数据</x:v>
      </x:c>
      <x:c r="B1468" s="66" t="str">
        <x:v>2026-08-04T15:46:25.495000</x:v>
      </x:c>
      <x:c r="C1468" s="47" t="n">
        <x:v>300960</x:v>
      </x:c>
      <x:c r="D1468" s="47" t="str"/>
      <x:c r="E1468" s="47" t="str"/>
      <x:c r="F1468" s="47" t="str">
        <x:v>current</x:v>
      </x:c>
      <x:c r="G1468" s="47" t="n">
        <x:v>1464</x:v>
      </x:c>
      <x:c r="H1468" s="53" t="b">
        <x:v>1</x:v>
      </x:c>
      <x:c r="I1468" s="47" t="str">
        <x:v>4109905524</x:v>
      </x:c>
      <x:c r="J1468" s="47" t="n">
        <x:v>59310620</x:v>
      </x:c>
      <x:c r="K1468" s="53" t="b">
        <x:v>1</x:v>
      </x:c>
      <x:c r="L1468" s="53" t="b">
        <x:v>1</x:v>
      </x:c>
      <x:c r="M1468" s="53" t="b">
        <x:v>1</x:v>
      </x:c>
      <x:c r="N1468" s="53" t="b">
        <x:v>1</x:v>
      </x:c>
      <x:c r="O1468" s="53" t="b">
        <x:v>1</x:v>
      </x:c>
      <x:c r="P1468" s="47" t="n">
        <x:v>1009</x:v>
      </x:c>
      <x:c r="Q1468" s="47" t="n">
        <x:v>0</x:v>
      </x:c>
      <x:c r="R1468" s="47" t="n">
        <x:v>0</x:v>
      </x:c>
      <x:c r="S1468" s="47" t="n">
        <x:v>34.6</x:v>
      </x:c>
      <x:c r="T1468" s="47" t="n">
        <x:v>55.68</x:v>
      </x:c>
      <x:c r="U1468" s="47" t="n">
        <x:v>32.3</x:v>
      </x:c>
      <x:c r="V1468" s="47" t="n">
        <x:v>12.2</x:v>
      </x:c>
      <x:c r="W1468" s="47" t="n">
        <x:v>19</x:v>
      </x:c>
      <x:c r="X1468" s="47" t="n">
        <x:v>78</x:v>
      </x:c>
      <x:c r="Y1468" s="41" t="n">
        <x:v>59</x:v>
      </x:c>
    </x:row>
    <x:row r="1469">
      <x:c r="A1469" s="38" t="str">
        <x:v>7月30日现场数据</x:v>
      </x:c>
      <x:c r="B1469" s="66" t="str">
        <x:v>2026-08-04T15:51:26.456000</x:v>
      </x:c>
      <x:c r="C1469" s="47" t="n">
        <x:v>300961</x:v>
      </x:c>
      <x:c r="D1469" s="47" t="str"/>
      <x:c r="E1469" s="47" t="str"/>
      <x:c r="F1469" s="47" t="str">
        <x:v>current</x:v>
      </x:c>
      <x:c r="G1469" s="47" t="n">
        <x:v>1465</x:v>
      </x:c>
      <x:c r="H1469" s="53" t="b">
        <x:v>1</x:v>
      </x:c>
      <x:c r="I1469" s="47" t="str">
        <x:v>4109905524</x:v>
      </x:c>
      <x:c r="J1469" s="47" t="n">
        <x:v>59611581</x:v>
      </x:c>
      <x:c r="K1469" s="53" t="b">
        <x:v>1</x:v>
      </x:c>
      <x:c r="L1469" s="53" t="b">
        <x:v>1</x:v>
      </x:c>
      <x:c r="M1469" s="53" t="b">
        <x:v>1</x:v>
      </x:c>
      <x:c r="N1469" s="53" t="b">
        <x:v>1</x:v>
      </x:c>
      <x:c r="O1469" s="53" t="b">
        <x:v>1</x:v>
      </x:c>
      <x:c r="P1469" s="47" t="n">
        <x:v>1009</x:v>
      </x:c>
      <x:c r="Q1469" s="47" t="n">
        <x:v>0.056</x:v>
      </x:c>
      <x:c r="R1469" s="47" t="n">
        <x:v>1.516</x:v>
      </x:c>
      <x:c r="S1469" s="47" t="n">
        <x:v>35.45</x:v>
      </x:c>
      <x:c r="T1469" s="47" t="n">
        <x:v>55.84</x:v>
      </x:c>
      <x:c r="U1469" s="47" t="n">
        <x:v>32.3</x:v>
      </x:c>
      <x:c r="V1469" s="47" t="n">
        <x:v>12.2</x:v>
      </x:c>
      <x:c r="W1469" s="47" t="n">
        <x:v>35</x:v>
      </x:c>
      <x:c r="X1469" s="47" t="n">
        <x:v>176</x:v>
      </x:c>
      <x:c r="Y1469" s="41" t="n">
        <x:v>141</x:v>
      </x:c>
    </x:row>
    <x:row r="1470">
      <x:c r="A1470" s="38" t="str">
        <x:v>7月30日现场数据</x:v>
      </x:c>
      <x:c r="B1470" s="66" t="str">
        <x:v>2026-08-04T15:56:27.419000</x:v>
      </x:c>
      <x:c r="C1470" s="47" t="n">
        <x:v>300963</x:v>
      </x:c>
      <x:c r="D1470" s="47" t="str"/>
      <x:c r="E1470" s="47" t="str"/>
      <x:c r="F1470" s="47" t="str">
        <x:v>current</x:v>
      </x:c>
      <x:c r="G1470" s="47" t="n">
        <x:v>1466</x:v>
      </x:c>
      <x:c r="H1470" s="53" t="b">
        <x:v>1</x:v>
      </x:c>
      <x:c r="I1470" s="47" t="str">
        <x:v>4109905524</x:v>
      </x:c>
      <x:c r="J1470" s="47" t="n">
        <x:v>59912544</x:v>
      </x:c>
      <x:c r="K1470" s="53" t="b">
        <x:v>1</x:v>
      </x:c>
      <x:c r="L1470" s="53" t="b">
        <x:v>1</x:v>
      </x:c>
      <x:c r="M1470" s="53" t="b">
        <x:v>1</x:v>
      </x:c>
      <x:c r="N1470" s="53" t="b">
        <x:v>1</x:v>
      </x:c>
      <x:c r="O1470" s="53" t="b">
        <x:v>1</x:v>
      </x:c>
      <x:c r="P1470" s="47" t="n">
        <x:v>1009</x:v>
      </x:c>
      <x:c r="Q1470" s="47" t="n">
        <x:v>0</x:v>
      </x:c>
      <x:c r="R1470" s="47" t="n">
        <x:v>0</x:v>
      </x:c>
      <x:c r="S1470" s="47" t="n">
        <x:v>36.36</x:v>
      </x:c>
      <x:c r="T1470" s="47" t="n">
        <x:v>56.21</x:v>
      </x:c>
      <x:c r="U1470" s="47" t="n">
        <x:v>32.3</x:v>
      </x:c>
      <x:c r="V1470" s="47" t="n">
        <x:v>12.2</x:v>
      </x:c>
      <x:c r="W1470" s="47" t="n">
        <x:v>36</x:v>
      </x:c>
      <x:c r="X1470" s="47" t="n">
        <x:v>218</x:v>
      </x:c>
      <x:c r="Y1470" s="41" t="n">
        <x:v>182</x:v>
      </x:c>
    </x:row>
    <x:row r="1471">
      <x:c r="A1471" s="38" t="str">
        <x:v>7月30日现场数据</x:v>
      </x:c>
      <x:c r="B1471" s="66" t="str">
        <x:v>2026-08-04T16:01:28.387000</x:v>
      </x:c>
      <x:c r="C1471" s="47" t="n">
        <x:v>300968</x:v>
      </x:c>
      <x:c r="D1471" s="47" t="str"/>
      <x:c r="E1471" s="47" t="str"/>
      <x:c r="F1471" s="47" t="str">
        <x:v>current</x:v>
      </x:c>
      <x:c r="G1471" s="47" t="n">
        <x:v>1467</x:v>
      </x:c>
      <x:c r="H1471" s="53" t="b">
        <x:v>1</x:v>
      </x:c>
      <x:c r="I1471" s="47" t="str">
        <x:v>4109905524</x:v>
      </x:c>
      <x:c r="J1471" s="47" t="n">
        <x:v>60213512</x:v>
      </x:c>
      <x:c r="K1471" s="53" t="b">
        <x:v>1</x:v>
      </x:c>
      <x:c r="L1471" s="53" t="b">
        <x:v>1</x:v>
      </x:c>
      <x:c r="M1471" s="53" t="b">
        <x:v>1</x:v>
      </x:c>
      <x:c r="N1471" s="53" t="b">
        <x:v>1</x:v>
      </x:c>
      <x:c r="O1471" s="53" t="b">
        <x:v>1</x:v>
      </x:c>
      <x:c r="P1471" s="47" t="n">
        <x:v>1009</x:v>
      </x:c>
      <x:c r="Q1471" s="47" t="n">
        <x:v>0</x:v>
      </x:c>
      <x:c r="R1471" s="47" t="n">
        <x:v>0</x:v>
      </x:c>
      <x:c r="S1471" s="47" t="n">
        <x:v>36.46</x:v>
      </x:c>
      <x:c r="T1471" s="47" t="n">
        <x:v>56.47</x:v>
      </x:c>
      <x:c r="U1471" s="47" t="n">
        <x:v>32.4</x:v>
      </x:c>
      <x:c r="V1471" s="47" t="n">
        <x:v>12.2</x:v>
      </x:c>
      <x:c r="W1471" s="47" t="n">
        <x:v>31</x:v>
      </x:c>
      <x:c r="X1471" s="47" t="n">
        <x:v>118</x:v>
      </x:c>
      <x:c r="Y1471" s="41" t="n">
        <x:v>87</x:v>
      </x:c>
    </x:row>
    <x:row r="1472">
      <x:c r="A1472" s="38" t="str">
        <x:v>7月30日现场数据</x:v>
      </x:c>
      <x:c r="B1472" s="66" t="str">
        <x:v>2026-08-04T16:06:29.357000</x:v>
      </x:c>
      <x:c r="C1472" s="47" t="n">
        <x:v>300970</x:v>
      </x:c>
      <x:c r="D1472" s="47" t="str"/>
      <x:c r="E1472" s="47" t="str"/>
      <x:c r="F1472" s="47" t="str">
        <x:v>current</x:v>
      </x:c>
      <x:c r="G1472" s="47" t="n">
        <x:v>1468</x:v>
      </x:c>
      <x:c r="H1472" s="53" t="b">
        <x:v>1</x:v>
      </x:c>
      <x:c r="I1472" s="47" t="str">
        <x:v>4109905524</x:v>
      </x:c>
      <x:c r="J1472" s="47" t="n">
        <x:v>60514482</x:v>
      </x:c>
      <x:c r="K1472" s="53" t="b">
        <x:v>1</x:v>
      </x:c>
      <x:c r="L1472" s="53" t="b">
        <x:v>1</x:v>
      </x:c>
      <x:c r="M1472" s="53" t="b">
        <x:v>1</x:v>
      </x:c>
      <x:c r="N1472" s="53" t="b">
        <x:v>1</x:v>
      </x:c>
      <x:c r="O1472" s="53" t="b">
        <x:v>1</x:v>
      </x:c>
      <x:c r="P1472" s="47" t="n">
        <x:v>1009</x:v>
      </x:c>
      <x:c r="Q1472" s="47" t="n">
        <x:v>0</x:v>
      </x:c>
      <x:c r="R1472" s="47" t="n">
        <x:v>0</x:v>
      </x:c>
      <x:c r="S1472" s="47" t="n">
        <x:v>36.29</x:v>
      </x:c>
      <x:c r="T1472" s="47" t="n">
        <x:v>56.48</x:v>
      </x:c>
      <x:c r="U1472" s="47" t="n">
        <x:v>32.4</x:v>
      </x:c>
      <x:c r="V1472" s="47" t="n">
        <x:v>12.2</x:v>
      </x:c>
      <x:c r="W1472" s="47" t="n">
        <x:v>34</x:v>
      </x:c>
      <x:c r="X1472" s="47" t="n">
        <x:v>135</x:v>
      </x:c>
      <x:c r="Y1472" s="41" t="n">
        <x:v>101</x:v>
      </x:c>
    </x:row>
    <x:row r="1473">
      <x:c r="A1473" s="38" t="str">
        <x:v>7月30日现场数据</x:v>
      </x:c>
      <x:c r="B1473" s="66" t="str">
        <x:v>2026-08-04T16:11:30.326000</x:v>
      </x:c>
      <x:c r="C1473" s="47" t="n">
        <x:v>300969</x:v>
      </x:c>
      <x:c r="D1473" s="47" t="str"/>
      <x:c r="E1473" s="47" t="str"/>
      <x:c r="F1473" s="47" t="str">
        <x:v>current</x:v>
      </x:c>
      <x:c r="G1473" s="47" t="n">
        <x:v>1469</x:v>
      </x:c>
      <x:c r="H1473" s="53" t="b">
        <x:v>1</x:v>
      </x:c>
      <x:c r="I1473" s="47" t="str">
        <x:v>4109905524</x:v>
      </x:c>
      <x:c r="J1473" s="47" t="n">
        <x:v>60815451</x:v>
      </x:c>
      <x:c r="K1473" s="53" t="b">
        <x:v>1</x:v>
      </x:c>
      <x:c r="L1473" s="53" t="b">
        <x:v>1</x:v>
      </x:c>
      <x:c r="M1473" s="53" t="b">
        <x:v>1</x:v>
      </x:c>
      <x:c r="N1473" s="53" t="b">
        <x:v>1</x:v>
      </x:c>
      <x:c r="O1473" s="53" t="b">
        <x:v>1</x:v>
      </x:c>
      <x:c r="P1473" s="47" t="n">
        <x:v>1009</x:v>
      </x:c>
      <x:c r="Q1473" s="47" t="n">
        <x:v>0</x:v>
      </x:c>
      <x:c r="R1473" s="47" t="n">
        <x:v>0</x:v>
      </x:c>
      <x:c r="S1473" s="47" t="n">
        <x:v>35.4</x:v>
      </x:c>
      <x:c r="T1473" s="47" t="n">
        <x:v>56.36</x:v>
      </x:c>
      <x:c r="U1473" s="47" t="n">
        <x:v>32.5</x:v>
      </x:c>
      <x:c r="V1473" s="47" t="n">
        <x:v>12.2</x:v>
      </x:c>
      <x:c r="W1473" s="47" t="n">
        <x:v>19</x:v>
      </x:c>
      <x:c r="X1473" s="47" t="n">
        <x:v>74</x:v>
      </x:c>
      <x:c r="Y1473" s="41" t="n">
        <x:v>55</x:v>
      </x:c>
    </x:row>
    <x:row r="1474">
      <x:c r="A1474" s="38" t="str">
        <x:v>7月30日现场数据</x:v>
      </x:c>
      <x:c r="B1474" s="66" t="str">
        <x:v>2026-08-04T16:16:31.298000</x:v>
      </x:c>
      <x:c r="C1474" s="47" t="n">
        <x:v>300972</x:v>
      </x:c>
      <x:c r="D1474" s="47" t="str"/>
      <x:c r="E1474" s="47" t="str"/>
      <x:c r="F1474" s="47" t="str">
        <x:v>current</x:v>
      </x:c>
      <x:c r="G1474" s="47" t="n">
        <x:v>1470</x:v>
      </x:c>
      <x:c r="H1474" s="53" t="b">
        <x:v>1</x:v>
      </x:c>
      <x:c r="I1474" s="47" t="str">
        <x:v>4109905524</x:v>
      </x:c>
      <x:c r="J1474" s="47" t="n">
        <x:v>61116423</x:v>
      </x:c>
      <x:c r="K1474" s="53" t="b">
        <x:v>1</x:v>
      </x:c>
      <x:c r="L1474" s="53" t="b">
        <x:v>1</x:v>
      </x:c>
      <x:c r="M1474" s="53" t="b">
        <x:v>1</x:v>
      </x:c>
      <x:c r="N1474" s="53" t="b">
        <x:v>1</x:v>
      </x:c>
      <x:c r="O1474" s="53" t="b">
        <x:v>1</x:v>
      </x:c>
      <x:c r="P1474" s="47" t="n">
        <x:v>1009</x:v>
      </x:c>
      <x:c r="Q1474" s="47" t="n">
        <x:v>0</x:v>
      </x:c>
      <x:c r="R1474" s="47" t="n">
        <x:v>0</x:v>
      </x:c>
      <x:c r="S1474" s="47" t="n">
        <x:v>34.96</x:v>
      </x:c>
      <x:c r="T1474" s="47" t="n">
        <x:v>56.16</x:v>
      </x:c>
      <x:c r="U1474" s="47" t="n">
        <x:v>32.4</x:v>
      </x:c>
      <x:c r="V1474" s="47" t="n">
        <x:v>12.2</x:v>
      </x:c>
      <x:c r="W1474" s="47" t="n">
        <x:v>26</x:v>
      </x:c>
      <x:c r="X1474" s="47" t="n">
        <x:v>110</x:v>
      </x:c>
      <x:c r="Y1474" s="41" t="n">
        <x:v>84</x:v>
      </x:c>
    </x:row>
    <x:row r="1475">
      <x:c r="A1475" s="38" t="str">
        <x:v>7月30日现场数据</x:v>
      </x:c>
      <x:c r="B1475" s="66" t="str">
        <x:v>2026-08-04T16:21:32.273000</x:v>
      </x:c>
      <x:c r="C1475" s="47" t="n">
        <x:v>300975</x:v>
      </x:c>
      <x:c r="D1475" s="47" t="str"/>
      <x:c r="E1475" s="47" t="str"/>
      <x:c r="F1475" s="47" t="str">
        <x:v>current</x:v>
      </x:c>
      <x:c r="G1475" s="47" t="n">
        <x:v>1471</x:v>
      </x:c>
      <x:c r="H1475" s="53" t="b">
        <x:v>1</x:v>
      </x:c>
      <x:c r="I1475" s="47" t="str">
        <x:v>4109905524</x:v>
      </x:c>
      <x:c r="J1475" s="47" t="n">
        <x:v>61417398</x:v>
      </x:c>
      <x:c r="K1475" s="53" t="b">
        <x:v>1</x:v>
      </x:c>
      <x:c r="L1475" s="53" t="b">
        <x:v>1</x:v>
      </x:c>
      <x:c r="M1475" s="53" t="b">
        <x:v>1</x:v>
      </x:c>
      <x:c r="N1475" s="53" t="b">
        <x:v>1</x:v>
      </x:c>
      <x:c r="O1475" s="53" t="b">
        <x:v>1</x:v>
      </x:c>
      <x:c r="P1475" s="47" t="n">
        <x:v>1009</x:v>
      </x:c>
      <x:c r="Q1475" s="47" t="n">
        <x:v>0</x:v>
      </x:c>
      <x:c r="R1475" s="47" t="n">
        <x:v>0</x:v>
      </x:c>
      <x:c r="S1475" s="47" t="n">
        <x:v>35.01</x:v>
      </x:c>
      <x:c r="T1475" s="47" t="n">
        <x:v>56.33</x:v>
      </x:c>
      <x:c r="U1475" s="47" t="n">
        <x:v>32.4</x:v>
      </x:c>
      <x:c r="V1475" s="47" t="n">
        <x:v>12.2</x:v>
      </x:c>
      <x:c r="W1475" s="47" t="n">
        <x:v>23</x:v>
      </x:c>
      <x:c r="X1475" s="47" t="n">
        <x:v>98</x:v>
      </x:c>
      <x:c r="Y1475" s="41" t="n">
        <x:v>75</x:v>
      </x:c>
    </x:row>
    <x:row r="1476">
      <x:c r="A1476" s="38" t="str">
        <x:v>7月30日现场数据</x:v>
      </x:c>
      <x:c r="B1476" s="66" t="str">
        <x:v>2026-08-04T16:26:33.248000</x:v>
      </x:c>
      <x:c r="C1476" s="47" t="n">
        <x:v>300975</x:v>
      </x:c>
      <x:c r="D1476" s="47" t="str"/>
      <x:c r="E1476" s="47" t="str"/>
      <x:c r="F1476" s="47" t="str">
        <x:v>current</x:v>
      </x:c>
      <x:c r="G1476" s="47" t="n">
        <x:v>1472</x:v>
      </x:c>
      <x:c r="H1476" s="53" t="b">
        <x:v>1</x:v>
      </x:c>
      <x:c r="I1476" s="47" t="str">
        <x:v>4109905524</x:v>
      </x:c>
      <x:c r="J1476" s="47" t="n">
        <x:v>61718373</x:v>
      </x:c>
      <x:c r="K1476" s="53" t="b">
        <x:v>1</x:v>
      </x:c>
      <x:c r="L1476" s="53" t="b">
        <x:v>1</x:v>
      </x:c>
      <x:c r="M1476" s="53" t="b">
        <x:v>1</x:v>
      </x:c>
      <x:c r="N1476" s="53" t="b">
        <x:v>1</x:v>
      </x:c>
      <x:c r="O1476" s="53" t="b">
        <x:v>1</x:v>
      </x:c>
      <x:c r="P1476" s="47" t="n">
        <x:v>1009</x:v>
      </x:c>
      <x:c r="Q1476" s="47" t="n">
        <x:v>0</x:v>
      </x:c>
      <x:c r="R1476" s="47" t="n">
        <x:v>0</x:v>
      </x:c>
      <x:c r="S1476" s="47" t="n">
        <x:v>34.86</x:v>
      </x:c>
      <x:c r="T1476" s="47" t="n">
        <x:v>56.43</x:v>
      </x:c>
      <x:c r="U1476" s="47" t="n">
        <x:v>32.4</x:v>
      </x:c>
      <x:c r="V1476" s="47" t="n">
        <x:v>12.2</x:v>
      </x:c>
      <x:c r="W1476" s="47" t="n">
        <x:v>13</x:v>
      </x:c>
      <x:c r="X1476" s="47" t="n">
        <x:v>51</x:v>
      </x:c>
      <x:c r="Y1476" s="41" t="n">
        <x:v>38</x:v>
      </x:c>
    </x:row>
    <x:row r="1477">
      <x:c r="A1477" s="38" t="str">
        <x:v>7月30日现场数据</x:v>
      </x:c>
      <x:c r="B1477" s="66" t="str">
        <x:v>2026-08-04T16:31:34.223000</x:v>
      </x:c>
      <x:c r="C1477" s="47" t="n">
        <x:v>300975</x:v>
      </x:c>
      <x:c r="D1477" s="47" t="str"/>
      <x:c r="E1477" s="47" t="str"/>
      <x:c r="F1477" s="47" t="str">
        <x:v>current</x:v>
      </x:c>
      <x:c r="G1477" s="47" t="n">
        <x:v>1473</x:v>
      </x:c>
      <x:c r="H1477" s="53" t="b">
        <x:v>1</x:v>
      </x:c>
      <x:c r="I1477" s="47" t="str">
        <x:v>4109905524</x:v>
      </x:c>
      <x:c r="J1477" s="47" t="n">
        <x:v>62019348</x:v>
      </x:c>
      <x:c r="K1477" s="53" t="b">
        <x:v>1</x:v>
      </x:c>
      <x:c r="L1477" s="53" t="b">
        <x:v>1</x:v>
      </x:c>
      <x:c r="M1477" s="53" t="b">
        <x:v>1</x:v>
      </x:c>
      <x:c r="N1477" s="53" t="b">
        <x:v>1</x:v>
      </x:c>
      <x:c r="O1477" s="53" t="b">
        <x:v>1</x:v>
      </x:c>
      <x:c r="P1477" s="47" t="n">
        <x:v>1009</x:v>
      </x:c>
      <x:c r="Q1477" s="47" t="n">
        <x:v>0.01</x:v>
      </x:c>
      <x:c r="R1477" s="47" t="n">
        <x:v>0.264</x:v>
      </x:c>
      <x:c r="S1477" s="47" t="n">
        <x:v>34.76</x:v>
      </x:c>
      <x:c r="T1477" s="47" t="n">
        <x:v>56.4</x:v>
      </x:c>
      <x:c r="U1477" s="47" t="n">
        <x:v>32.4</x:v>
      </x:c>
      <x:c r="V1477" s="47" t="n">
        <x:v>12.2</x:v>
      </x:c>
      <x:c r="W1477" s="47" t="n">
        <x:v>15</x:v>
      </x:c>
      <x:c r="X1477" s="47" t="n">
        <x:v>58</x:v>
      </x:c>
      <x:c r="Y1477" s="41" t="n">
        <x:v>43</x:v>
      </x:c>
    </x:row>
    <x:row r="1478">
      <x:c r="A1478" s="38" t="str">
        <x:v>7月30日现场数据</x:v>
      </x:c>
      <x:c r="B1478" s="66" t="str">
        <x:v>2026-08-04T16:36:35.201000</x:v>
      </x:c>
      <x:c r="C1478" s="47" t="n">
        <x:v>300978</x:v>
      </x:c>
      <x:c r="D1478" s="47" t="str"/>
      <x:c r="E1478" s="47" t="str"/>
      <x:c r="F1478" s="47" t="str">
        <x:v>current</x:v>
      </x:c>
      <x:c r="G1478" s="47" t="n">
        <x:v>1474</x:v>
      </x:c>
      <x:c r="H1478" s="53" t="b">
        <x:v>1</x:v>
      </x:c>
      <x:c r="I1478" s="47" t="str">
        <x:v>4109905524</x:v>
      </x:c>
      <x:c r="J1478" s="47" t="n">
        <x:v>62320326</x:v>
      </x:c>
      <x:c r="K1478" s="53" t="b">
        <x:v>1</x:v>
      </x:c>
      <x:c r="L1478" s="53" t="b">
        <x:v>1</x:v>
      </x:c>
      <x:c r="M1478" s="53" t="b">
        <x:v>1</x:v>
      </x:c>
      <x:c r="N1478" s="53" t="b">
        <x:v>1</x:v>
      </x:c>
      <x:c r="O1478" s="53" t="b">
        <x:v>1</x:v>
      </x:c>
      <x:c r="P1478" s="47" t="n">
        <x:v>1009</x:v>
      </x:c>
      <x:c r="Q1478" s="47" t="n">
        <x:v>0</x:v>
      </x:c>
      <x:c r="R1478" s="47" t="n">
        <x:v>0</x:v>
      </x:c>
      <x:c r="S1478" s="47" t="n">
        <x:v>34.37</x:v>
      </x:c>
      <x:c r="T1478" s="47" t="n">
        <x:v>56.39</x:v>
      </x:c>
      <x:c r="U1478" s="47" t="n">
        <x:v>32.4</x:v>
      </x:c>
      <x:c r="V1478" s="47" t="n">
        <x:v>12.2</x:v>
      </x:c>
      <x:c r="W1478" s="47" t="n">
        <x:v>13</x:v>
      </x:c>
      <x:c r="X1478" s="47" t="n">
        <x:v>51</x:v>
      </x:c>
      <x:c r="Y1478" s="41" t="n">
        <x:v>38</x:v>
      </x:c>
    </x:row>
    <x:row r="1479">
      <x:c r="A1479" s="38" t="str">
        <x:v>7月30日现场数据</x:v>
      </x:c>
      <x:c r="B1479" s="66" t="str">
        <x:v>2026-08-04T16:41:36.181000</x:v>
      </x:c>
      <x:c r="C1479" s="47" t="n">
        <x:v>300980</x:v>
      </x:c>
      <x:c r="D1479" s="47" t="str"/>
      <x:c r="E1479" s="47" t="str"/>
      <x:c r="F1479" s="47" t="str">
        <x:v>current</x:v>
      </x:c>
      <x:c r="G1479" s="47" t="n">
        <x:v>1475</x:v>
      </x:c>
      <x:c r="H1479" s="53" t="b">
        <x:v>1</x:v>
      </x:c>
      <x:c r="I1479" s="47" t="str">
        <x:v>4109905524</x:v>
      </x:c>
      <x:c r="J1479" s="47" t="n">
        <x:v>62621306</x:v>
      </x:c>
      <x:c r="K1479" s="53" t="b">
        <x:v>1</x:v>
      </x:c>
      <x:c r="L1479" s="53" t="b">
        <x:v>1</x:v>
      </x:c>
      <x:c r="M1479" s="53" t="b">
        <x:v>1</x:v>
      </x:c>
      <x:c r="N1479" s="53" t="b">
        <x:v>1</x:v>
      </x:c>
      <x:c r="O1479" s="53" t="b">
        <x:v>1</x:v>
      </x:c>
      <x:c r="P1479" s="47" t="n">
        <x:v>1008</x:v>
      </x:c>
      <x:c r="Q1479" s="47" t="n">
        <x:v>0</x:v>
      </x:c>
      <x:c r="R1479" s="47" t="n">
        <x:v>0</x:v>
      </x:c>
      <x:c r="S1479" s="47" t="n">
        <x:v>34.39</x:v>
      </x:c>
      <x:c r="T1479" s="47" t="n">
        <x:v>56.53</x:v>
      </x:c>
      <x:c r="U1479" s="47" t="n">
        <x:v>32.4</x:v>
      </x:c>
      <x:c r="V1479" s="47" t="n">
        <x:v>12.1</x:v>
      </x:c>
      <x:c r="W1479" s="47" t="n">
        <x:v>14</x:v>
      </x:c>
      <x:c r="X1479" s="47" t="n">
        <x:v>56</x:v>
      </x:c>
      <x:c r="Y1479" s="41" t="n">
        <x:v>42</x:v>
      </x:c>
    </x:row>
    <x:row r="1480">
      <x:c r="A1480" s="38" t="str">
        <x:v>7月30日现场数据</x:v>
      </x:c>
      <x:c r="B1480" s="66" t="str">
        <x:v>2026-08-04T16:46:37.163000</x:v>
      </x:c>
      <x:c r="C1480" s="47" t="n">
        <x:v>300982</x:v>
      </x:c>
      <x:c r="D1480" s="47" t="str"/>
      <x:c r="E1480" s="47" t="str"/>
      <x:c r="F1480" s="47" t="str">
        <x:v>current</x:v>
      </x:c>
      <x:c r="G1480" s="47" t="n">
        <x:v>1476</x:v>
      </x:c>
      <x:c r="H1480" s="53" t="b">
        <x:v>1</x:v>
      </x:c>
      <x:c r="I1480" s="47" t="str">
        <x:v>4109905524</x:v>
      </x:c>
      <x:c r="J1480" s="47" t="n">
        <x:v>62922288</x:v>
      </x:c>
      <x:c r="K1480" s="53" t="b">
        <x:v>1</x:v>
      </x:c>
      <x:c r="L1480" s="53" t="b">
        <x:v>1</x:v>
      </x:c>
      <x:c r="M1480" s="53" t="b">
        <x:v>1</x:v>
      </x:c>
      <x:c r="N1480" s="53" t="b">
        <x:v>1</x:v>
      </x:c>
      <x:c r="O1480" s="53" t="b">
        <x:v>1</x:v>
      </x:c>
      <x:c r="P1480" s="47" t="n">
        <x:v>1009</x:v>
      </x:c>
      <x:c r="Q1480" s="47" t="n">
        <x:v>0</x:v>
      </x:c>
      <x:c r="R1480" s="47" t="n">
        <x:v>0</x:v>
      </x:c>
      <x:c r="S1480" s="47" t="n">
        <x:v>33.93</x:v>
      </x:c>
      <x:c r="T1480" s="47" t="n">
        <x:v>56.52</x:v>
      </x:c>
      <x:c r="U1480" s="47" t="n">
        <x:v>32.3</x:v>
      </x:c>
      <x:c r="V1480" s="47" t="n">
        <x:v>12.1</x:v>
      </x:c>
      <x:c r="W1480" s="47" t="n">
        <x:v>15</x:v>
      </x:c>
      <x:c r="X1480" s="47" t="n">
        <x:v>58</x:v>
      </x:c>
      <x:c r="Y1480" s="41" t="n">
        <x:v>43</x:v>
      </x:c>
    </x:row>
    <x:row r="1481">
      <x:c r="A1481" s="38" t="str">
        <x:v>7月30日现场数据</x:v>
      </x:c>
      <x:c r="B1481" s="66" t="str">
        <x:v>2026-08-04T16:51:38.144000</x:v>
      </x:c>
      <x:c r="C1481" s="47" t="n">
        <x:v>300981</x:v>
      </x:c>
      <x:c r="D1481" s="47" t="str"/>
      <x:c r="E1481" s="47" t="str"/>
      <x:c r="F1481" s="47" t="str">
        <x:v>current</x:v>
      </x:c>
      <x:c r="G1481" s="47" t="n">
        <x:v>1477</x:v>
      </x:c>
      <x:c r="H1481" s="53" t="b">
        <x:v>1</x:v>
      </x:c>
      <x:c r="I1481" s="47" t="str">
        <x:v>4109905524</x:v>
      </x:c>
      <x:c r="J1481" s="47" t="n">
        <x:v>63223269</x:v>
      </x:c>
      <x:c r="K1481" s="53" t="b">
        <x:v>1</x:v>
      </x:c>
      <x:c r="L1481" s="53" t="b">
        <x:v>1</x:v>
      </x:c>
      <x:c r="M1481" s="53" t="b">
        <x:v>1</x:v>
      </x:c>
      <x:c r="N1481" s="53" t="b">
        <x:v>1</x:v>
      </x:c>
      <x:c r="O1481" s="53" t="b">
        <x:v>1</x:v>
      </x:c>
      <x:c r="P1481" s="47" t="n">
        <x:v>1009</x:v>
      </x:c>
      <x:c r="Q1481" s="47" t="n">
        <x:v>0.031</x:v>
      </x:c>
      <x:c r="R1481" s="47" t="n">
        <x:v>0.824</x:v>
      </x:c>
      <x:c r="S1481" s="47" t="n">
        <x:v>34.23</x:v>
      </x:c>
      <x:c r="T1481" s="47" t="n">
        <x:v>56.61</x:v>
      </x:c>
      <x:c r="U1481" s="47" t="n">
        <x:v>32.3</x:v>
      </x:c>
      <x:c r="V1481" s="47" t="n">
        <x:v>12.1</x:v>
      </x:c>
      <x:c r="W1481" s="47" t="n">
        <x:v>14</x:v>
      </x:c>
      <x:c r="X1481" s="47" t="n">
        <x:v>54</x:v>
      </x:c>
      <x:c r="Y1481" s="41" t="n">
        <x:v>40</x:v>
      </x:c>
    </x:row>
    <x:row r="1482">
      <x:c r="A1482" s="38" t="str">
        <x:v>7月30日现场数据</x:v>
      </x:c>
      <x:c r="B1482" s="66" t="str">
        <x:v>2026-08-04T16:56:39.163000</x:v>
      </x:c>
      <x:c r="C1482" s="47" t="n">
        <x:v>301019</x:v>
      </x:c>
      <x:c r="D1482" s="47" t="str"/>
      <x:c r="E1482" s="47" t="str"/>
      <x:c r="F1482" s="47" t="str">
        <x:v>current</x:v>
      </x:c>
      <x:c r="G1482" s="47" t="n">
        <x:v>1478</x:v>
      </x:c>
      <x:c r="H1482" s="53" t="b">
        <x:v>1</x:v>
      </x:c>
      <x:c r="I1482" s="47" t="str">
        <x:v>4109905524</x:v>
      </x:c>
      <x:c r="J1482" s="47" t="n">
        <x:v>63524288</x:v>
      </x:c>
      <x:c r="K1482" s="53" t="b">
        <x:v>1</x:v>
      </x:c>
      <x:c r="L1482" s="53" t="b">
        <x:v>1</x:v>
      </x:c>
      <x:c r="M1482" s="53" t="b">
        <x:v>1</x:v>
      </x:c>
      <x:c r="N1482" s="53" t="b">
        <x:v>1</x:v>
      </x:c>
      <x:c r="O1482" s="53" t="b">
        <x:v>1</x:v>
      </x:c>
      <x:c r="P1482" s="47" t="n">
        <x:v>1009</x:v>
      </x:c>
      <x:c r="Q1482" s="47" t="n">
        <x:v>0</x:v>
      </x:c>
      <x:c r="R1482" s="47" t="n">
        <x:v>0</x:v>
      </x:c>
      <x:c r="S1482" s="47" t="n">
        <x:v>34.28</x:v>
      </x:c>
      <x:c r="T1482" s="47" t="n">
        <x:v>56.83</x:v>
      </x:c>
      <x:c r="U1482" s="47" t="n">
        <x:v>32.3</x:v>
      </x:c>
      <x:c r="V1482" s="47" t="n">
        <x:v>12</x:v>
      </x:c>
      <x:c r="W1482" s="47" t="n">
        <x:v>13</x:v>
      </x:c>
      <x:c r="X1482" s="47" t="n">
        <x:v>49</x:v>
      </x:c>
      <x:c r="Y1482" s="41" t="n">
        <x:v>36</x:v>
      </x:c>
    </x:row>
    <x:row r="1483">
      <x:c r="A1483" s="38" t="str">
        <x:v>7月30日现场数据</x:v>
      </x:c>
      <x:c r="B1483" s="66" t="str">
        <x:v>2026-08-04T17:01:40.124000</x:v>
      </x:c>
      <x:c r="C1483" s="47" t="n">
        <x:v>300961</x:v>
      </x:c>
      <x:c r="D1483" s="47" t="str"/>
      <x:c r="E1483" s="47" t="str"/>
      <x:c r="F1483" s="47" t="str">
        <x:v>current</x:v>
      </x:c>
      <x:c r="G1483" s="47" t="n">
        <x:v>1479</x:v>
      </x:c>
      <x:c r="H1483" s="53" t="b">
        <x:v>1</x:v>
      </x:c>
      <x:c r="I1483" s="47" t="str">
        <x:v>4109905524</x:v>
      </x:c>
      <x:c r="J1483" s="47" t="n">
        <x:v>63825249</x:v>
      </x:c>
      <x:c r="K1483" s="53" t="b">
        <x:v>1</x:v>
      </x:c>
      <x:c r="L1483" s="53" t="b">
        <x:v>1</x:v>
      </x:c>
      <x:c r="M1483" s="53" t="b">
        <x:v>1</x:v>
      </x:c>
      <x:c r="N1483" s="53" t="b">
        <x:v>1</x:v>
      </x:c>
      <x:c r="O1483" s="53" t="b">
        <x:v>1</x:v>
      </x:c>
      <x:c r="P1483" s="47" t="n">
        <x:v>1009</x:v>
      </x:c>
      <x:c r="Q1483" s="47" t="n">
        <x:v>0</x:v>
      </x:c>
      <x:c r="R1483" s="47" t="n">
        <x:v>0</x:v>
      </x:c>
      <x:c r="S1483" s="47" t="n">
        <x:v>33.98</x:v>
      </x:c>
      <x:c r="T1483" s="47" t="n">
        <x:v>56.87</x:v>
      </x:c>
      <x:c r="U1483" s="47" t="n">
        <x:v>32.3</x:v>
      </x:c>
      <x:c r="V1483" s="47" t="n">
        <x:v>12.1</x:v>
      </x:c>
      <x:c r="W1483" s="47" t="n">
        <x:v>11</x:v>
      </x:c>
      <x:c r="X1483" s="47" t="n">
        <x:v>42</x:v>
      </x:c>
      <x:c r="Y1483" s="41" t="n">
        <x:v>31</x:v>
      </x:c>
    </x:row>
    <x:row r="1484">
      <x:c r="A1484" s="38" t="str">
        <x:v>7月30日现场数据</x:v>
      </x:c>
      <x:c r="B1484" s="66" t="str">
        <x:v>2026-08-04T17:06:41.084000</x:v>
      </x:c>
      <x:c r="C1484" s="47" t="n">
        <x:v>300960</x:v>
      </x:c>
      <x:c r="D1484" s="47" t="str"/>
      <x:c r="E1484" s="47" t="str"/>
      <x:c r="F1484" s="47" t="str">
        <x:v>current</x:v>
      </x:c>
      <x:c r="G1484" s="47" t="n">
        <x:v>1480</x:v>
      </x:c>
      <x:c r="H1484" s="53" t="b">
        <x:v>1</x:v>
      </x:c>
      <x:c r="I1484" s="47" t="str">
        <x:v>4109905524</x:v>
      </x:c>
      <x:c r="J1484" s="47" t="n">
        <x:v>64126209</x:v>
      </x:c>
      <x:c r="K1484" s="53" t="b">
        <x:v>1</x:v>
      </x:c>
      <x:c r="L1484" s="53" t="b">
        <x:v>1</x:v>
      </x:c>
      <x:c r="M1484" s="53" t="b">
        <x:v>1</x:v>
      </x:c>
      <x:c r="N1484" s="53" t="b">
        <x:v>1</x:v>
      </x:c>
      <x:c r="O1484" s="53" t="b">
        <x:v>1</x:v>
      </x:c>
      <x:c r="P1484" s="47" t="n">
        <x:v>1009</x:v>
      </x:c>
      <x:c r="Q1484" s="47" t="n">
        <x:v>0</x:v>
      </x:c>
      <x:c r="R1484" s="47" t="n">
        <x:v>0</x:v>
      </x:c>
      <x:c r="S1484" s="47" t="n">
        <x:v>33.78</x:v>
      </x:c>
      <x:c r="T1484" s="47" t="n">
        <x:v>56.93</x:v>
      </x:c>
      <x:c r="U1484" s="47" t="n">
        <x:v>32.3</x:v>
      </x:c>
      <x:c r="V1484" s="47" t="n">
        <x:v>12.1</x:v>
      </x:c>
      <x:c r="W1484" s="47" t="n">
        <x:v>11</x:v>
      </x:c>
      <x:c r="X1484" s="47" t="n">
        <x:v>41</x:v>
      </x:c>
      <x:c r="Y1484" s="41" t="n">
        <x:v>30</x:v>
      </x:c>
    </x:row>
    <x:row r="1485">
      <x:c r="A1485" s="38" t="str">
        <x:v>7月30日现场数据</x:v>
      </x:c>
      <x:c r="B1485" s="66" t="str">
        <x:v>2026-08-04T17:11:42.048000</x:v>
      </x:c>
      <x:c r="C1485" s="47" t="n">
        <x:v>300964</x:v>
      </x:c>
      <x:c r="D1485" s="47" t="str"/>
      <x:c r="E1485" s="47" t="str"/>
      <x:c r="F1485" s="47" t="str">
        <x:v>current</x:v>
      </x:c>
      <x:c r="G1485" s="47" t="n">
        <x:v>1481</x:v>
      </x:c>
      <x:c r="H1485" s="53" t="b">
        <x:v>1</x:v>
      </x:c>
      <x:c r="I1485" s="47" t="str">
        <x:v>4109905524</x:v>
      </x:c>
      <x:c r="J1485" s="47" t="n">
        <x:v>64427173</x:v>
      </x:c>
      <x:c r="K1485" s="53" t="b">
        <x:v>1</x:v>
      </x:c>
      <x:c r="L1485" s="53" t="b">
        <x:v>1</x:v>
      </x:c>
      <x:c r="M1485" s="53" t="b">
        <x:v>1</x:v>
      </x:c>
      <x:c r="N1485" s="53" t="b">
        <x:v>1</x:v>
      </x:c>
      <x:c r="O1485" s="53" t="b">
        <x:v>1</x:v>
      </x:c>
      <x:c r="P1485" s="47" t="n">
        <x:v>1009</x:v>
      </x:c>
      <x:c r="Q1485" s="47" t="n">
        <x:v>0</x:v>
      </x:c>
      <x:c r="R1485" s="47" t="n">
        <x:v>0</x:v>
      </x:c>
      <x:c r="S1485" s="47" t="n">
        <x:v>33.28</x:v>
      </x:c>
      <x:c r="T1485" s="47" t="n">
        <x:v>56.83</x:v>
      </x:c>
      <x:c r="U1485" s="47" t="n">
        <x:v>32.2</x:v>
      </x:c>
      <x:c r="V1485" s="47" t="n">
        <x:v>12</x:v>
      </x:c>
      <x:c r="W1485" s="47" t="n">
        <x:v>9</x:v>
      </x:c>
      <x:c r="X1485" s="47" t="n">
        <x:v>36</x:v>
      </x:c>
      <x:c r="Y1485" s="41" t="n">
        <x:v>27</x:v>
      </x:c>
    </x:row>
    <x:row r="1486">
      <x:c r="A1486" s="38" t="str">
        <x:v>7月30日现场数据</x:v>
      </x:c>
      <x:c r="B1486" s="66" t="str">
        <x:v>2026-08-04T17:16:43.016000</x:v>
      </x:c>
      <x:c r="C1486" s="47" t="n">
        <x:v>300968</x:v>
      </x:c>
      <x:c r="D1486" s="47" t="str"/>
      <x:c r="E1486" s="47" t="str"/>
      <x:c r="F1486" s="47" t="str">
        <x:v>current</x:v>
      </x:c>
      <x:c r="G1486" s="47" t="n">
        <x:v>1482</x:v>
      </x:c>
      <x:c r="H1486" s="53" t="b">
        <x:v>1</x:v>
      </x:c>
      <x:c r="I1486" s="47" t="str">
        <x:v>4109905524</x:v>
      </x:c>
      <x:c r="J1486" s="47" t="n">
        <x:v>64728141</x:v>
      </x:c>
      <x:c r="K1486" s="53" t="b">
        <x:v>1</x:v>
      </x:c>
      <x:c r="L1486" s="53" t="b">
        <x:v>1</x:v>
      </x:c>
      <x:c r="M1486" s="53" t="b">
        <x:v>1</x:v>
      </x:c>
      <x:c r="N1486" s="53" t="b">
        <x:v>1</x:v>
      </x:c>
      <x:c r="O1486" s="53" t="b">
        <x:v>1</x:v>
      </x:c>
      <x:c r="P1486" s="47" t="n">
        <x:v>1009</x:v>
      </x:c>
      <x:c r="Q1486" s="47" t="n">
        <x:v>0</x:v>
      </x:c>
      <x:c r="R1486" s="47" t="n">
        <x:v>0</x:v>
      </x:c>
      <x:c r="S1486" s="47" t="n">
        <x:v>33.61</x:v>
      </x:c>
      <x:c r="T1486" s="47" t="n">
        <x:v>57.04</x:v>
      </x:c>
      <x:c r="U1486" s="47" t="n">
        <x:v>32.2</x:v>
      </x:c>
      <x:c r="V1486" s="47" t="n">
        <x:v>12</x:v>
      </x:c>
      <x:c r="W1486" s="47" t="n">
        <x:v>9</x:v>
      </x:c>
      <x:c r="X1486" s="47" t="n">
        <x:v>32</x:v>
      </x:c>
      <x:c r="Y1486" s="41" t="n">
        <x:v>23</x:v>
      </x:c>
    </x:row>
    <x:row r="1487">
      <x:c r="A1487" s="38" t="str">
        <x:v>7月30日现场数据</x:v>
      </x:c>
      <x:c r="B1487" s="66" t="str">
        <x:v>2026-08-04T17:21:43.987000</x:v>
      </x:c>
      <x:c r="C1487" s="47" t="n">
        <x:v>300971</x:v>
      </x:c>
      <x:c r="D1487" s="47" t="str"/>
      <x:c r="E1487" s="47" t="str"/>
      <x:c r="F1487" s="47" t="str">
        <x:v>current</x:v>
      </x:c>
      <x:c r="G1487" s="47" t="n">
        <x:v>1483</x:v>
      </x:c>
      <x:c r="H1487" s="53" t="b">
        <x:v>1</x:v>
      </x:c>
      <x:c r="I1487" s="47" t="str">
        <x:v>4109905524</x:v>
      </x:c>
      <x:c r="J1487" s="47" t="n">
        <x:v>65029112</x:v>
      </x:c>
      <x:c r="K1487" s="53" t="b">
        <x:v>1</x:v>
      </x:c>
      <x:c r="L1487" s="53" t="b">
        <x:v>1</x:v>
      </x:c>
      <x:c r="M1487" s="53" t="b">
        <x:v>1</x:v>
      </x:c>
      <x:c r="N1487" s="53" t="b">
        <x:v>1</x:v>
      </x:c>
      <x:c r="O1487" s="53" t="b">
        <x:v>1</x:v>
      </x:c>
      <x:c r="P1487" s="47" t="n">
        <x:v>1009</x:v>
      </x:c>
      <x:c r="Q1487" s="47" t="n">
        <x:v>0.07</x:v>
      </x:c>
      <x:c r="R1487" s="47" t="n">
        <x:v>1.879</x:v>
      </x:c>
      <x:c r="S1487" s="47" t="n">
        <x:v>33.49</x:v>
      </x:c>
      <x:c r="T1487" s="47" t="n">
        <x:v>57.22</x:v>
      </x:c>
      <x:c r="U1487" s="47" t="n">
        <x:v>32.2</x:v>
      </x:c>
      <x:c r="V1487" s="47" t="n">
        <x:v>12</x:v>
      </x:c>
      <x:c r="W1487" s="47" t="n">
        <x:v>7</x:v>
      </x:c>
      <x:c r="X1487" s="47" t="n">
        <x:v>27</x:v>
      </x:c>
      <x:c r="Y1487" s="41" t="n">
        <x:v>20</x:v>
      </x:c>
    </x:row>
    <x:row r="1488">
      <x:c r="A1488" s="38" t="str">
        <x:v>7月30日现场数据</x:v>
      </x:c>
      <x:c r="B1488" s="66" t="str">
        <x:v>2026-08-04T17:26:44.957000</x:v>
      </x:c>
      <x:c r="C1488" s="47" t="n">
        <x:v>300970</x:v>
      </x:c>
      <x:c r="D1488" s="47" t="str"/>
      <x:c r="E1488" s="47" t="str"/>
      <x:c r="F1488" s="47" t="str">
        <x:v>current</x:v>
      </x:c>
      <x:c r="G1488" s="47" t="n">
        <x:v>1484</x:v>
      </x:c>
      <x:c r="H1488" s="53" t="b">
        <x:v>1</x:v>
      </x:c>
      <x:c r="I1488" s="47" t="str">
        <x:v>4109905524</x:v>
      </x:c>
      <x:c r="J1488" s="47" t="n">
        <x:v>65330082</x:v>
      </x:c>
      <x:c r="K1488" s="53" t="b">
        <x:v>1</x:v>
      </x:c>
      <x:c r="L1488" s="53" t="b">
        <x:v>1</x:v>
      </x:c>
      <x:c r="M1488" s="53" t="b">
        <x:v>1</x:v>
      </x:c>
      <x:c r="N1488" s="53" t="b">
        <x:v>1</x:v>
      </x:c>
      <x:c r="O1488" s="53" t="b">
        <x:v>1</x:v>
      </x:c>
      <x:c r="P1488" s="47" t="n">
        <x:v>1009</x:v>
      </x:c>
      <x:c r="Q1488" s="47" t="n">
        <x:v>0</x:v>
      </x:c>
      <x:c r="R1488" s="47" t="n">
        <x:v>0</x:v>
      </x:c>
      <x:c r="S1488" s="47" t="n">
        <x:v>33.53</x:v>
      </x:c>
      <x:c r="T1488" s="47" t="n">
        <x:v>57.28</x:v>
      </x:c>
      <x:c r="U1488" s="47" t="n">
        <x:v>32.2</x:v>
      </x:c>
      <x:c r="V1488" s="47" t="n">
        <x:v>12</x:v>
      </x:c>
      <x:c r="W1488" s="47" t="n">
        <x:v>7</x:v>
      </x:c>
      <x:c r="X1488" s="47" t="n">
        <x:v>25</x:v>
      </x:c>
      <x:c r="Y1488" s="41" t="n">
        <x:v>18</x:v>
      </x:c>
    </x:row>
    <x:row r="1489">
      <x:c r="A1489" s="38" t="str">
        <x:v>7月30日现场数据</x:v>
      </x:c>
      <x:c r="B1489" s="66" t="str">
        <x:v>2026-08-04T17:32:02.618000</x:v>
      </x:c>
      <x:c r="C1489" s="47" t="n">
        <x:v>317661</x:v>
      </x:c>
      <x:c r="D1489" s="47" t="str"/>
      <x:c r="E1489" s="47" t="str"/>
      <x:c r="F1489" s="47" t="str">
        <x:v>current</x:v>
      </x:c>
      <x:c r="G1489" s="47" t="n">
        <x:v>1485</x:v>
      </x:c>
      <x:c r="H1489" s="53" t="b">
        <x:v>1</x:v>
      </x:c>
      <x:c r="I1489" s="47" t="str">
        <x:v>4109905524</x:v>
      </x:c>
      <x:c r="J1489" s="47" t="n">
        <x:v>65647743</x:v>
      </x:c>
      <x:c r="K1489" s="53" t="b">
        <x:v>1</x:v>
      </x:c>
      <x:c r="L1489" s="53" t="b">
        <x:v>1</x:v>
      </x:c>
      <x:c r="M1489" s="53" t="b">
        <x:v>1</x:v>
      </x:c>
      <x:c r="N1489" s="53" t="b">
        <x:v>1</x:v>
      </x:c>
      <x:c r="O1489" s="53" t="b">
        <x:v>1</x:v>
      </x:c>
      <x:c r="P1489" s="47" t="n">
        <x:v>1009</x:v>
      </x:c>
      <x:c r="Q1489" s="47" t="n">
        <x:v>0</x:v>
      </x:c>
      <x:c r="R1489" s="47" t="n">
        <x:v>0</x:v>
      </x:c>
      <x:c r="S1489" s="47" t="n">
        <x:v>33.52</x:v>
      </x:c>
      <x:c r="T1489" s="47" t="n">
        <x:v>57.34</x:v>
      </x:c>
      <x:c r="U1489" s="47" t="n">
        <x:v>32.2</x:v>
      </x:c>
      <x:c r="V1489" s="47" t="n">
        <x:v>12</x:v>
      </x:c>
      <x:c r="W1489" s="47" t="n">
        <x:v>6</x:v>
      </x:c>
      <x:c r="X1489" s="47" t="n">
        <x:v>20</x:v>
      </x:c>
      <x:c r="Y1489" s="41" t="n">
        <x:v>14</x:v>
      </x:c>
    </x:row>
    <x:row r="1490">
      <x:c r="A1490" s="38" t="str">
        <x:v>7月30日现场数据</x:v>
      </x:c>
      <x:c r="B1490" s="66" t="str">
        <x:v>2026-08-04T17:37:03.594000</x:v>
      </x:c>
      <x:c r="C1490" s="47" t="n">
        <x:v>300976</x:v>
      </x:c>
      <x:c r="D1490" s="47" t="str"/>
      <x:c r="E1490" s="47" t="str"/>
      <x:c r="F1490" s="47" t="str">
        <x:v>current</x:v>
      </x:c>
      <x:c r="G1490" s="47" t="n">
        <x:v>1486</x:v>
      </x:c>
      <x:c r="H1490" s="53" t="b">
        <x:v>1</x:v>
      </x:c>
      <x:c r="I1490" s="47" t="str">
        <x:v>4109905524</x:v>
      </x:c>
      <x:c r="J1490" s="47" t="n">
        <x:v>65948719</x:v>
      </x:c>
      <x:c r="K1490" s="53" t="b">
        <x:v>1</x:v>
      </x:c>
      <x:c r="L1490" s="53" t="b">
        <x:v>1</x:v>
      </x:c>
      <x:c r="M1490" s="53" t="b">
        <x:v>1</x:v>
      </x:c>
      <x:c r="N1490" s="53" t="b">
        <x:v>1</x:v>
      </x:c>
      <x:c r="O1490" s="53" t="b">
        <x:v>1</x:v>
      </x:c>
      <x:c r="P1490" s="47" t="n">
        <x:v>1009</x:v>
      </x:c>
      <x:c r="Q1490" s="47" t="n">
        <x:v>0</x:v>
      </x:c>
      <x:c r="R1490" s="47" t="n">
        <x:v>0</x:v>
      </x:c>
      <x:c r="S1490" s="47" t="n">
        <x:v>33.46</x:v>
      </x:c>
      <x:c r="T1490" s="47" t="n">
        <x:v>57.51</x:v>
      </x:c>
      <x:c r="U1490" s="47" t="n">
        <x:v>32.1</x:v>
      </x:c>
      <x:c r="V1490" s="47" t="n">
        <x:v>12</x:v>
      </x:c>
      <x:c r="W1490" s="47" t="n">
        <x:v>4</x:v>
      </x:c>
      <x:c r="X1490" s="47" t="n">
        <x:v>16</x:v>
      </x:c>
      <x:c r="Y1490" s="41" t="n">
        <x:v>12</x:v>
      </x:c>
    </x:row>
    <x:row r="1491">
      <x:c r="A1491" s="38" t="str">
        <x:v>7月30日现场数据</x:v>
      </x:c>
      <x:c r="B1491" s="66" t="str">
        <x:v>2026-08-04T17:42:04.570000</x:v>
      </x:c>
      <x:c r="C1491" s="47" t="n">
        <x:v>300976</x:v>
      </x:c>
      <x:c r="D1491" s="47" t="str"/>
      <x:c r="E1491" s="47" t="str"/>
      <x:c r="F1491" s="47" t="str">
        <x:v>current</x:v>
      </x:c>
      <x:c r="G1491" s="47" t="n">
        <x:v>1487</x:v>
      </x:c>
      <x:c r="H1491" s="53" t="b">
        <x:v>1</x:v>
      </x:c>
      <x:c r="I1491" s="47" t="str">
        <x:v>4109905524</x:v>
      </x:c>
      <x:c r="J1491" s="47" t="n">
        <x:v>66249695</x:v>
      </x:c>
      <x:c r="K1491" s="53" t="b">
        <x:v>1</x:v>
      </x:c>
      <x:c r="L1491" s="53" t="b">
        <x:v>1</x:v>
      </x:c>
      <x:c r="M1491" s="53" t="b">
        <x:v>1</x:v>
      </x:c>
      <x:c r="N1491" s="53" t="b">
        <x:v>1</x:v>
      </x:c>
      <x:c r="O1491" s="53" t="b">
        <x:v>1</x:v>
      </x:c>
      <x:c r="P1491" s="47" t="n">
        <x:v>1009</x:v>
      </x:c>
      <x:c r="Q1491" s="47" t="n">
        <x:v>0</x:v>
      </x:c>
      <x:c r="R1491" s="47" t="n">
        <x:v>0</x:v>
      </x:c>
      <x:c r="S1491" s="47" t="n">
        <x:v>33.29</x:v>
      </x:c>
      <x:c r="T1491" s="47" t="n">
        <x:v>57.61</x:v>
      </x:c>
      <x:c r="U1491" s="47" t="n">
        <x:v>32.1</x:v>
      </x:c>
      <x:c r="V1491" s="47" t="n">
        <x:v>12</x:v>
      </x:c>
      <x:c r="W1491" s="47" t="n">
        <x:v>4</x:v>
      </x:c>
      <x:c r="X1491" s="47" t="n">
        <x:v>15</x:v>
      </x:c>
      <x:c r="Y1491" s="41" t="n">
        <x:v>11</x:v>
      </x:c>
    </x:row>
    <x:row r="1492">
      <x:c r="A1492" s="38" t="str">
        <x:v>7月30日现场数据</x:v>
      </x:c>
      <x:c r="B1492" s="66" t="str">
        <x:v>2026-08-04T17:47:05.547000</x:v>
      </x:c>
      <x:c r="C1492" s="47" t="n">
        <x:v>300977</x:v>
      </x:c>
      <x:c r="D1492" s="47" t="str"/>
      <x:c r="E1492" s="47" t="str"/>
      <x:c r="F1492" s="47" t="str">
        <x:v>current</x:v>
      </x:c>
      <x:c r="G1492" s="47" t="n">
        <x:v>1488</x:v>
      </x:c>
      <x:c r="H1492" s="53" t="b">
        <x:v>1</x:v>
      </x:c>
      <x:c r="I1492" s="47" t="str">
        <x:v>4109905524</x:v>
      </x:c>
      <x:c r="J1492" s="47" t="n">
        <x:v>66550672</x:v>
      </x:c>
      <x:c r="K1492" s="53" t="b">
        <x:v>1</x:v>
      </x:c>
      <x:c r="L1492" s="53" t="b">
        <x:v>1</x:v>
      </x:c>
      <x:c r="M1492" s="53" t="b">
        <x:v>1</x:v>
      </x:c>
      <x:c r="N1492" s="53" t="b">
        <x:v>1</x:v>
      </x:c>
      <x:c r="O1492" s="53" t="b">
        <x:v>1</x:v>
      </x:c>
      <x:c r="P1492" s="47" t="n">
        <x:v>1009</x:v>
      </x:c>
      <x:c r="Q1492" s="47" t="n">
        <x:v>0</x:v>
      </x:c>
      <x:c r="R1492" s="47" t="n">
        <x:v>0</x:v>
      </x:c>
      <x:c r="S1492" s="47" t="n">
        <x:v>33.27</x:v>
      </x:c>
      <x:c r="T1492" s="47" t="n">
        <x:v>57.7</x:v>
      </x:c>
      <x:c r="U1492" s="47" t="n">
        <x:v>32.1</x:v>
      </x:c>
      <x:c r="V1492" s="47" t="n">
        <x:v>12</x:v>
      </x:c>
      <x:c r="W1492" s="47" t="n">
        <x:v>4</x:v>
      </x:c>
      <x:c r="X1492" s="47" t="n">
        <x:v>13</x:v>
      </x:c>
      <x:c r="Y1492" s="41" t="n">
        <x:v>9</x:v>
      </x:c>
    </x:row>
    <x:row r="1493">
      <x:c r="A1493" s="38" t="str">
        <x:v>7月30日现场数据</x:v>
      </x:c>
      <x:c r="B1493" s="66" t="str">
        <x:v>2026-08-04T17:52:06.525000</x:v>
      </x:c>
      <x:c r="C1493" s="47" t="n">
        <x:v>300978</x:v>
      </x:c>
      <x:c r="D1493" s="47" t="str"/>
      <x:c r="E1493" s="47" t="str"/>
      <x:c r="F1493" s="47" t="str">
        <x:v>current</x:v>
      </x:c>
      <x:c r="G1493" s="47" t="n">
        <x:v>1489</x:v>
      </x:c>
      <x:c r="H1493" s="53" t="b">
        <x:v>1</x:v>
      </x:c>
      <x:c r="I1493" s="47" t="str">
        <x:v>4109905524</x:v>
      </x:c>
      <x:c r="J1493" s="47" t="n">
        <x:v>66851650</x:v>
      </x:c>
      <x:c r="K1493" s="53" t="b">
        <x:v>1</x:v>
      </x:c>
      <x:c r="L1493" s="53" t="b">
        <x:v>1</x:v>
      </x:c>
      <x:c r="M1493" s="53" t="b">
        <x:v>1</x:v>
      </x:c>
      <x:c r="N1493" s="53" t="b">
        <x:v>1</x:v>
      </x:c>
      <x:c r="O1493" s="53" t="b">
        <x:v>1</x:v>
      </x:c>
      <x:c r="P1493" s="47" t="n">
        <x:v>1009</x:v>
      </x:c>
      <x:c r="Q1493" s="47" t="n">
        <x:v>0.126</x:v>
      </x:c>
      <x:c r="R1493" s="47" t="n">
        <x:v>3.396</x:v>
      </x:c>
      <x:c r="S1493" s="47" t="n">
        <x:v>32.92</x:v>
      </x:c>
      <x:c r="T1493" s="47" t="n">
        <x:v>57.82</x:v>
      </x:c>
      <x:c r="U1493" s="47" t="n">
        <x:v>32.1</x:v>
      </x:c>
      <x:c r="V1493" s="47" t="n">
        <x:v>12</x:v>
      </x:c>
      <x:c r="W1493" s="47" t="n">
        <x:v>3</x:v>
      </x:c>
      <x:c r="X1493" s="47" t="n">
        <x:v>13</x:v>
      </x:c>
      <x:c r="Y1493" s="41" t="n">
        <x:v>10</x:v>
      </x:c>
    </x:row>
    <x:row r="1494">
      <x:c r="A1494" s="38" t="str">
        <x:v>7月30日现场数据</x:v>
      </x:c>
      <x:c r="B1494" s="66" t="str">
        <x:v>2026-08-04T17:57:07.509000</x:v>
      </x:c>
      <x:c r="C1494" s="47" t="n">
        <x:v>300984</x:v>
      </x:c>
      <x:c r="D1494" s="47" t="str"/>
      <x:c r="E1494" s="47" t="str"/>
      <x:c r="F1494" s="47" t="str">
        <x:v>current</x:v>
      </x:c>
      <x:c r="G1494" s="47" t="n">
        <x:v>1490</x:v>
      </x:c>
      <x:c r="H1494" s="53" t="b">
        <x:v>1</x:v>
      </x:c>
      <x:c r="I1494" s="47" t="str">
        <x:v>4109905524</x:v>
      </x:c>
      <x:c r="J1494" s="47" t="n">
        <x:v>67152634</x:v>
      </x:c>
      <x:c r="K1494" s="53" t="b">
        <x:v>1</x:v>
      </x:c>
      <x:c r="L1494" s="53" t="b">
        <x:v>1</x:v>
      </x:c>
      <x:c r="M1494" s="53" t="b">
        <x:v>1</x:v>
      </x:c>
      <x:c r="N1494" s="53" t="b">
        <x:v>1</x:v>
      </x:c>
      <x:c r="O1494" s="53" t="b">
        <x:v>1</x:v>
      </x:c>
      <x:c r="P1494" s="47" t="n">
        <x:v>1009</x:v>
      </x:c>
      <x:c r="Q1494" s="47" t="n">
        <x:v>0</x:v>
      </x:c>
      <x:c r="R1494" s="47" t="n">
        <x:v>0</x:v>
      </x:c>
      <x:c r="S1494" s="47" t="n">
        <x:v>32.85</x:v>
      </x:c>
      <x:c r="T1494" s="47" t="n">
        <x:v>57.82</x:v>
      </x:c>
      <x:c r="U1494" s="47" t="n">
        <x:v>32</x:v>
      </x:c>
      <x:c r="V1494" s="47" t="n">
        <x:v>12</x:v>
      </x:c>
      <x:c r="W1494" s="47" t="n">
        <x:v>3</x:v>
      </x:c>
      <x:c r="X1494" s="47" t="n">
        <x:v>10</x:v>
      </x:c>
      <x:c r="Y1494" s="41" t="n">
        <x:v>7</x:v>
      </x:c>
    </x:row>
    <x:row r="1495">
      <x:c r="A1495" s="38" t="str">
        <x:v>7月30日现场数据</x:v>
      </x:c>
      <x:c r="B1495" s="66" t="str">
        <x:v>2026-08-04T18:02:08.492000</x:v>
      </x:c>
      <x:c r="C1495" s="47" t="n">
        <x:v>300983</x:v>
      </x:c>
      <x:c r="D1495" s="47" t="str"/>
      <x:c r="E1495" s="47" t="str"/>
      <x:c r="F1495" s="47" t="str">
        <x:v>current</x:v>
      </x:c>
      <x:c r="G1495" s="47" t="n">
        <x:v>1491</x:v>
      </x:c>
      <x:c r="H1495" s="53" t="b">
        <x:v>1</x:v>
      </x:c>
      <x:c r="I1495" s="47" t="str">
        <x:v>4109905524</x:v>
      </x:c>
      <x:c r="J1495" s="47" t="n">
        <x:v>67453617</x:v>
      </x:c>
      <x:c r="K1495" s="53" t="b">
        <x:v>1</x:v>
      </x:c>
      <x:c r="L1495" s="53" t="b">
        <x:v>1</x:v>
      </x:c>
      <x:c r="M1495" s="53" t="b">
        <x:v>1</x:v>
      </x:c>
      <x:c r="N1495" s="53" t="b">
        <x:v>1</x:v>
      </x:c>
      <x:c r="O1495" s="53" t="b">
        <x:v>1</x:v>
      </x:c>
      <x:c r="P1495" s="47" t="n">
        <x:v>1009</x:v>
      </x:c>
      <x:c r="Q1495" s="47" t="n">
        <x:v>0</x:v>
      </x:c>
      <x:c r="R1495" s="47" t="n">
        <x:v>0</x:v>
      </x:c>
      <x:c r="S1495" s="47" t="n">
        <x:v>32.95</x:v>
      </x:c>
      <x:c r="T1495" s="47" t="n">
        <x:v>58</x:v>
      </x:c>
      <x:c r="U1495" s="47" t="n">
        <x:v>32</x:v>
      </x:c>
      <x:c r="V1495" s="47" t="n">
        <x:v>12</x:v>
      </x:c>
      <x:c r="W1495" s="47" t="n">
        <x:v>2</x:v>
      </x:c>
      <x:c r="X1495" s="47" t="n">
        <x:v>9</x:v>
      </x:c>
      <x:c r="Y1495" s="41" t="n">
        <x:v>7</x:v>
      </x:c>
    </x:row>
    <x:row r="1496">
      <x:c r="A1496" s="38" t="str">
        <x:v>7月30日现场数据</x:v>
      </x:c>
      <x:c r="B1496" s="66" t="str">
        <x:v>2026-08-04T18:07:09.477000</x:v>
      </x:c>
      <x:c r="C1496" s="47" t="n">
        <x:v>300985</x:v>
      </x:c>
      <x:c r="D1496" s="47" t="str"/>
      <x:c r="E1496" s="47" t="str"/>
      <x:c r="F1496" s="47" t="str">
        <x:v>current</x:v>
      </x:c>
      <x:c r="G1496" s="47" t="n">
        <x:v>1492</x:v>
      </x:c>
      <x:c r="H1496" s="53" t="b">
        <x:v>1</x:v>
      </x:c>
      <x:c r="I1496" s="47" t="str">
        <x:v>4109905524</x:v>
      </x:c>
      <x:c r="J1496" s="47" t="n">
        <x:v>67754602</x:v>
      </x:c>
      <x:c r="K1496" s="53" t="b">
        <x:v>1</x:v>
      </x:c>
      <x:c r="L1496" s="53" t="b">
        <x:v>1</x:v>
      </x:c>
      <x:c r="M1496" s="53" t="b">
        <x:v>1</x:v>
      </x:c>
      <x:c r="N1496" s="53" t="b">
        <x:v>1</x:v>
      </x:c>
      <x:c r="O1496" s="53" t="b">
        <x:v>1</x:v>
      </x:c>
      <x:c r="P1496" s="47" t="n">
        <x:v>1009</x:v>
      </x:c>
      <x:c r="Q1496" s="47" t="n">
        <x:v>0</x:v>
      </x:c>
      <x:c r="R1496" s="47" t="n">
        <x:v>0</x:v>
      </x:c>
      <x:c r="S1496" s="47" t="n">
        <x:v>32.94</x:v>
      </x:c>
      <x:c r="T1496" s="47" t="n">
        <x:v>58.15</x:v>
      </x:c>
      <x:c r="U1496" s="47" t="n">
        <x:v>32</x:v>
      </x:c>
      <x:c r="V1496" s="47" t="n">
        <x:v>12</x:v>
      </x:c>
      <x:c r="W1496" s="47" t="n">
        <x:v>2</x:v>
      </x:c>
      <x:c r="X1496" s="47" t="n">
        <x:v>8</x:v>
      </x:c>
      <x:c r="Y1496" s="41" t="n">
        <x:v>6</x:v>
      </x:c>
    </x:row>
    <x:row r="1497">
      <x:c r="A1497" s="38" t="str">
        <x:v>7月30日现场数据</x:v>
      </x:c>
      <x:c r="B1497" s="66" t="str">
        <x:v>2026-08-04T18:12:10.462000</x:v>
      </x:c>
      <x:c r="C1497" s="47" t="n">
        <x:v>300985</x:v>
      </x:c>
      <x:c r="D1497" s="47" t="str"/>
      <x:c r="E1497" s="47" t="str"/>
      <x:c r="F1497" s="47" t="str">
        <x:v>current</x:v>
      </x:c>
      <x:c r="G1497" s="47" t="n">
        <x:v>1493</x:v>
      </x:c>
      <x:c r="H1497" s="53" t="b">
        <x:v>1</x:v>
      </x:c>
      <x:c r="I1497" s="47" t="str">
        <x:v>4109905524</x:v>
      </x:c>
      <x:c r="J1497" s="47" t="n">
        <x:v>68055587</x:v>
      </x:c>
      <x:c r="K1497" s="53" t="b">
        <x:v>1</x:v>
      </x:c>
      <x:c r="L1497" s="53" t="b">
        <x:v>1</x:v>
      </x:c>
      <x:c r="M1497" s="53" t="b">
        <x:v>1</x:v>
      </x:c>
      <x:c r="N1497" s="53" t="b">
        <x:v>1</x:v>
      </x:c>
      <x:c r="O1497" s="53" t="b">
        <x:v>1</x:v>
      </x:c>
      <x:c r="P1497" s="47" t="n">
        <x:v>1009</x:v>
      </x:c>
      <x:c r="Q1497" s="47" t="n">
        <x:v>0</x:v>
      </x:c>
      <x:c r="R1497" s="47" t="n">
        <x:v>0</x:v>
      </x:c>
      <x:c r="S1497" s="47" t="n">
        <x:v>32.9</x:v>
      </x:c>
      <x:c r="T1497" s="47" t="n">
        <x:v>58.23</x:v>
      </x:c>
      <x:c r="U1497" s="47" t="n">
        <x:v>32</x:v>
      </x:c>
      <x:c r="V1497" s="47" t="n">
        <x:v>12</x:v>
      </x:c>
      <x:c r="W1497" s="47" t="n">
        <x:v>2</x:v>
      </x:c>
      <x:c r="X1497" s="47" t="n">
        <x:v>8</x:v>
      </x:c>
      <x:c r="Y1497" s="41" t="n">
        <x:v>6</x:v>
      </x:c>
    </x:row>
    <x:row r="1498">
      <x:c r="A1498" s="38" t="str">
        <x:v>7月30日现场数据</x:v>
      </x:c>
      <x:c r="B1498" s="66" t="str">
        <x:v>2026-08-04T18:17:11.486000</x:v>
      </x:c>
      <x:c r="C1498" s="47" t="n">
        <x:v>301024</x:v>
      </x:c>
      <x:c r="D1498" s="47" t="str"/>
      <x:c r="E1498" s="47" t="str"/>
      <x:c r="F1498" s="47" t="str">
        <x:v>current</x:v>
      </x:c>
      <x:c r="G1498" s="47" t="n">
        <x:v>1494</x:v>
      </x:c>
      <x:c r="H1498" s="53" t="b">
        <x:v>1</x:v>
      </x:c>
      <x:c r="I1498" s="47" t="str">
        <x:v>4109905524</x:v>
      </x:c>
      <x:c r="J1498" s="47" t="n">
        <x:v>68356611</x:v>
      </x:c>
      <x:c r="K1498" s="53" t="b">
        <x:v>1</x:v>
      </x:c>
      <x:c r="L1498" s="53" t="b">
        <x:v>1</x:v>
      </x:c>
      <x:c r="M1498" s="53" t="b">
        <x:v>1</x:v>
      </x:c>
      <x:c r="N1498" s="53" t="b">
        <x:v>1</x:v>
      </x:c>
      <x:c r="O1498" s="53" t="b">
        <x:v>1</x:v>
      </x:c>
      <x:c r="P1498" s="47" t="n">
        <x:v>1009</x:v>
      </x:c>
      <x:c r="Q1498" s="47" t="n">
        <x:v>0</x:v>
      </x:c>
      <x:c r="R1498" s="47" t="n">
        <x:v>0</x:v>
      </x:c>
      <x:c r="S1498" s="47" t="n">
        <x:v>32.89</x:v>
      </x:c>
      <x:c r="T1498" s="47" t="n">
        <x:v>58.38</x:v>
      </x:c>
      <x:c r="U1498" s="47" t="n">
        <x:v>32</x:v>
      </x:c>
      <x:c r="V1498" s="47" t="n">
        <x:v>11.8</x:v>
      </x:c>
      <x:c r="W1498" s="47" t="n">
        <x:v>2</x:v>
      </x:c>
      <x:c r="X1498" s="47" t="n">
        <x:v>8</x:v>
      </x:c>
      <x:c r="Y1498" s="41" t="n">
        <x:v>6</x:v>
      </x:c>
    </x:row>
    <x:row r="1499">
      <x:c r="A1499" s="38" t="str">
        <x:v>7月30日现场数据</x:v>
      </x:c>
      <x:c r="B1499" s="66" t="str">
        <x:v>2026-08-04T18:22:12.448000</x:v>
      </x:c>
      <x:c r="C1499" s="47" t="n">
        <x:v>300962</x:v>
      </x:c>
      <x:c r="D1499" s="47" t="str"/>
      <x:c r="E1499" s="47" t="str"/>
      <x:c r="F1499" s="47" t="str">
        <x:v>current</x:v>
      </x:c>
      <x:c r="G1499" s="47" t="n">
        <x:v>1495</x:v>
      </x:c>
      <x:c r="H1499" s="53" t="b">
        <x:v>1</x:v>
      </x:c>
      <x:c r="I1499" s="47" t="str">
        <x:v>4109905524</x:v>
      </x:c>
      <x:c r="J1499" s="47" t="n">
        <x:v>68657573</x:v>
      </x:c>
      <x:c r="K1499" s="53" t="b">
        <x:v>1</x:v>
      </x:c>
      <x:c r="L1499" s="53" t="b">
        <x:v>1</x:v>
      </x:c>
      <x:c r="M1499" s="53" t="b">
        <x:v>1</x:v>
      </x:c>
      <x:c r="N1499" s="53" t="b">
        <x:v>1</x:v>
      </x:c>
      <x:c r="O1499" s="53" t="b">
        <x:v>1</x:v>
      </x:c>
      <x:c r="P1499" s="47" t="n">
        <x:v>1009</x:v>
      </x:c>
      <x:c r="Q1499" s="47" t="n">
        <x:v>0</x:v>
      </x:c>
      <x:c r="R1499" s="47" t="n">
        <x:v>0</x:v>
      </x:c>
      <x:c r="S1499" s="47" t="n">
        <x:v>32.9</x:v>
      </x:c>
      <x:c r="T1499" s="47" t="n">
        <x:v>58.53</x:v>
      </x:c>
      <x:c r="U1499" s="47" t="n">
        <x:v>32</x:v>
      </x:c>
      <x:c r="V1499" s="47" t="n">
        <x:v>11.9</x:v>
      </x:c>
      <x:c r="W1499" s="47" t="n">
        <x:v>2</x:v>
      </x:c>
      <x:c r="X1499" s="47" t="n">
        <x:v>9</x:v>
      </x:c>
      <x:c r="Y1499" s="41" t="n">
        <x:v>7</x:v>
      </x:c>
    </x:row>
    <x:row r="1500">
      <x:c r="A1500" s="38" t="str">
        <x:v>7月30日现场数据</x:v>
      </x:c>
      <x:c r="B1500" s="66" t="str">
        <x:v>2026-08-04T18:27:13.410000</x:v>
      </x:c>
      <x:c r="C1500" s="47" t="n">
        <x:v>300962</x:v>
      </x:c>
      <x:c r="D1500" s="47" t="str"/>
      <x:c r="E1500" s="47" t="str"/>
      <x:c r="F1500" s="47" t="str">
        <x:v>current</x:v>
      </x:c>
      <x:c r="G1500" s="47" t="n">
        <x:v>1496</x:v>
      </x:c>
      <x:c r="H1500" s="53" t="b">
        <x:v>1</x:v>
      </x:c>
      <x:c r="I1500" s="47" t="str">
        <x:v>4109905524</x:v>
      </x:c>
      <x:c r="J1500" s="47" t="n">
        <x:v>68958535</x:v>
      </x:c>
      <x:c r="K1500" s="53" t="b">
        <x:v>1</x:v>
      </x:c>
      <x:c r="L1500" s="53" t="b">
        <x:v>1</x:v>
      </x:c>
      <x:c r="M1500" s="53" t="b">
        <x:v>1</x:v>
      </x:c>
      <x:c r="N1500" s="53" t="b">
        <x:v>1</x:v>
      </x:c>
      <x:c r="O1500" s="53" t="b">
        <x:v>1</x:v>
      </x:c>
      <x:c r="P1500" s="47" t="n">
        <x:v>1009</x:v>
      </x:c>
      <x:c r="Q1500" s="47" t="n">
        <x:v>0</x:v>
      </x:c>
      <x:c r="R1500" s="47" t="n">
        <x:v>0</x:v>
      </x:c>
      <x:c r="S1500" s="47" t="n">
        <x:v>32.93</x:v>
      </x:c>
      <x:c r="T1500" s="47" t="n">
        <x:v>58.57</x:v>
      </x:c>
      <x:c r="U1500" s="47" t="n">
        <x:v>31.9</x:v>
      </x:c>
      <x:c r="V1500" s="47" t="n">
        <x:v>11.9</x:v>
      </x:c>
      <x:c r="W1500" s="47" t="n">
        <x:v>3</x:v>
      </x:c>
      <x:c r="X1500" s="47" t="n">
        <x:v>10</x:v>
      </x:c>
      <x:c r="Y1500" s="41" t="n">
        <x:v>7</x:v>
      </x:c>
    </x:row>
    <x:row r="1501">
      <x:c r="A1501" s="38" t="str">
        <x:v>7月30日现场数据</x:v>
      </x:c>
      <x:c r="B1501" s="66" t="str">
        <x:v>2026-08-04T18:32:14.379000</x:v>
      </x:c>
      <x:c r="C1501" s="47" t="n">
        <x:v>300969</x:v>
      </x:c>
      <x:c r="D1501" s="47" t="str"/>
      <x:c r="E1501" s="47" t="str"/>
      <x:c r="F1501" s="47" t="str">
        <x:v>current</x:v>
      </x:c>
      <x:c r="G1501" s="47" t="n">
        <x:v>1497</x:v>
      </x:c>
      <x:c r="H1501" s="53" t="b">
        <x:v>1</x:v>
      </x:c>
      <x:c r="I1501" s="47" t="str">
        <x:v>4109905524</x:v>
      </x:c>
      <x:c r="J1501" s="47" t="n">
        <x:v>69259504</x:v>
      </x:c>
      <x:c r="K1501" s="53" t="b">
        <x:v>1</x:v>
      </x:c>
      <x:c r="L1501" s="53" t="b">
        <x:v>1</x:v>
      </x:c>
      <x:c r="M1501" s="53" t="b">
        <x:v>1</x:v>
      </x:c>
      <x:c r="N1501" s="53" t="b">
        <x:v>1</x:v>
      </x:c>
      <x:c r="O1501" s="53" t="b">
        <x:v>1</x:v>
      </x:c>
      <x:c r="P1501" s="47" t="n">
        <x:v>1010</x:v>
      </x:c>
      <x:c r="Q1501" s="47" t="n">
        <x:v>0</x:v>
      </x:c>
      <x:c r="R1501" s="47" t="n">
        <x:v>0</x:v>
      </x:c>
      <x:c r="S1501" s="47" t="n">
        <x:v>32.99</x:v>
      </x:c>
      <x:c r="T1501" s="47" t="n">
        <x:v>58.81</x:v>
      </x:c>
      <x:c r="U1501" s="47" t="n">
        <x:v>31.9</x:v>
      </x:c>
      <x:c r="V1501" s="47" t="n">
        <x:v>11.9</x:v>
      </x:c>
      <x:c r="W1501" s="47" t="n">
        <x:v>3</x:v>
      </x:c>
      <x:c r="X1501" s="47" t="n">
        <x:v>11</x:v>
      </x:c>
      <x:c r="Y1501" s="41" t="n">
        <x:v>8</x:v>
      </x:c>
    </x:row>
    <x:row r="1502">
      <x:c r="A1502" s="38" t="str">
        <x:v>7月30日现场数据</x:v>
      </x:c>
      <x:c r="B1502" s="66" t="str">
        <x:v>2026-08-04T18:37:15.348000</x:v>
      </x:c>
      <x:c r="C1502" s="47" t="n">
        <x:v>300969</x:v>
      </x:c>
      <x:c r="D1502" s="47" t="str"/>
      <x:c r="E1502" s="47" t="str"/>
      <x:c r="F1502" s="47" t="str">
        <x:v>current</x:v>
      </x:c>
      <x:c r="G1502" s="47" t="n">
        <x:v>1498</x:v>
      </x:c>
      <x:c r="H1502" s="53" t="b">
        <x:v>1</x:v>
      </x:c>
      <x:c r="I1502" s="47" t="str">
        <x:v>4109905524</x:v>
      </x:c>
      <x:c r="J1502" s="47" t="n">
        <x:v>69560473</x:v>
      </x:c>
      <x:c r="K1502" s="53" t="b">
        <x:v>1</x:v>
      </x:c>
      <x:c r="L1502" s="53" t="b">
        <x:v>1</x:v>
      </x:c>
      <x:c r="M1502" s="53" t="b">
        <x:v>1</x:v>
      </x:c>
      <x:c r="N1502" s="53" t="b">
        <x:v>1</x:v>
      </x:c>
      <x:c r="O1502" s="53" t="b">
        <x:v>1</x:v>
      </x:c>
      <x:c r="P1502" s="47" t="n">
        <x:v>1010</x:v>
      </x:c>
      <x:c r="Q1502" s="47" t="n">
        <x:v>0</x:v>
      </x:c>
      <x:c r="R1502" s="47" t="n">
        <x:v>0</x:v>
      </x:c>
      <x:c r="S1502" s="47" t="n">
        <x:v>33.03</x:v>
      </x:c>
      <x:c r="T1502" s="47" t="n">
        <x:v>58.9</x:v>
      </x:c>
      <x:c r="U1502" s="47" t="n">
        <x:v>31.9</x:v>
      </x:c>
      <x:c r="V1502" s="47" t="n">
        <x:v>11.9</x:v>
      </x:c>
      <x:c r="W1502" s="47" t="n">
        <x:v>1</x:v>
      </x:c>
      <x:c r="X1502" s="47" t="n">
        <x:v>5</x:v>
      </x:c>
      <x:c r="Y1502" s="41" t="n">
        <x:v>4</x:v>
      </x:c>
    </x:row>
    <x:row r="1503">
      <x:c r="A1503" s="38" t="str">
        <x:v>7月30日现场数据</x:v>
      </x:c>
      <x:c r="B1503" s="66" t="str">
        <x:v>2026-08-04T18:42:16.318000</x:v>
      </x:c>
      <x:c r="C1503" s="47" t="n">
        <x:v>300970</x:v>
      </x:c>
      <x:c r="D1503" s="47" t="str"/>
      <x:c r="E1503" s="47" t="str"/>
      <x:c r="F1503" s="47" t="str">
        <x:v>current</x:v>
      </x:c>
      <x:c r="G1503" s="47" t="n">
        <x:v>1499</x:v>
      </x:c>
      <x:c r="H1503" s="53" t="b">
        <x:v>1</x:v>
      </x:c>
      <x:c r="I1503" s="47" t="str">
        <x:v>4109905524</x:v>
      </x:c>
      <x:c r="J1503" s="47" t="n">
        <x:v>69861443</x:v>
      </x:c>
      <x:c r="K1503" s="53" t="b">
        <x:v>1</x:v>
      </x:c>
      <x:c r="L1503" s="53" t="b">
        <x:v>1</x:v>
      </x:c>
      <x:c r="M1503" s="53" t="b">
        <x:v>1</x:v>
      </x:c>
      <x:c r="N1503" s="53" t="b">
        <x:v>1</x:v>
      </x:c>
      <x:c r="O1503" s="53" t="b">
        <x:v>1</x:v>
      </x:c>
      <x:c r="P1503" s="47" t="n">
        <x:v>1009</x:v>
      </x:c>
      <x:c r="Q1503" s="47" t="n">
        <x:v>0</x:v>
      </x:c>
      <x:c r="R1503" s="47" t="n">
        <x:v>0</x:v>
      </x:c>
      <x:c r="S1503" s="47" t="n">
        <x:v>33</x:v>
      </x:c>
      <x:c r="T1503" s="47" t="n">
        <x:v>59.02</x:v>
      </x:c>
      <x:c r="U1503" s="47" t="n">
        <x:v>31.9</x:v>
      </x:c>
      <x:c r="V1503" s="47" t="n">
        <x:v>11.9</x:v>
      </x:c>
      <x:c r="W1503" s="47" t="n">
        <x:v>0</x:v>
      </x:c>
      <x:c r="X1503" s="47" t="n">
        <x:v>1</x:v>
      </x:c>
      <x:c r="Y1503" s="41" t="n">
        <x:v>1</x:v>
      </x:c>
    </x:row>
    <x:row r="1504">
      <x:c r="A1504" s="38" t="str">
        <x:v>7月30日现场数据</x:v>
      </x:c>
      <x:c r="B1504" s="66" t="str">
        <x:v>2026-08-04T18:47:17.291000</x:v>
      </x:c>
      <x:c r="C1504" s="47" t="n">
        <x:v>300973</x:v>
      </x:c>
      <x:c r="D1504" s="47" t="str"/>
      <x:c r="E1504" s="47" t="str"/>
      <x:c r="F1504" s="47" t="str">
        <x:v>current</x:v>
      </x:c>
      <x:c r="G1504" s="47" t="n">
        <x:v>1500</x:v>
      </x:c>
      <x:c r="H1504" s="53" t="b">
        <x:v>1</x:v>
      </x:c>
      <x:c r="I1504" s="47" t="str">
        <x:v>4109905524</x:v>
      </x:c>
      <x:c r="J1504" s="47" t="n">
        <x:v>70162416</x:v>
      </x:c>
      <x:c r="K1504" s="53" t="b">
        <x:v>1</x:v>
      </x:c>
      <x:c r="L1504" s="53" t="b">
        <x:v>1</x:v>
      </x:c>
      <x:c r="M1504" s="53" t="b">
        <x:v>1</x:v>
      </x:c>
      <x:c r="N1504" s="53" t="b">
        <x:v>1</x:v>
      </x:c>
      <x:c r="O1504" s="53" t="b">
        <x:v>1</x:v>
      </x:c>
      <x:c r="P1504" s="47" t="n">
        <x:v>1010</x:v>
      </x:c>
      <x:c r="Q1504" s="47" t="n">
        <x:v>0</x:v>
      </x:c>
      <x:c r="R1504" s="47" t="n">
        <x:v>0</x:v>
      </x:c>
      <x:c r="S1504" s="47" t="n">
        <x:v>32.64</x:v>
      </x:c>
      <x:c r="T1504" s="47" t="n">
        <x:v>59.12</x:v>
      </x:c>
      <x:c r="U1504" s="47" t="n">
        <x:v>31.8</x:v>
      </x:c>
      <x:c r="V1504" s="47" t="n">
        <x:v>11.9</x:v>
      </x:c>
      <x:c r="W1504" s="47" t="n">
        <x:v>0</x:v>
      </x:c>
      <x:c r="X1504" s="47" t="n">
        <x:v>0</x:v>
      </x:c>
      <x:c r="Y1504" s="41" t="n">
        <x:v>0</x:v>
      </x:c>
    </x:row>
    <x:row r="1505">
      <x:c r="A1505" s="38" t="str">
        <x:v>7月30日现场数据</x:v>
      </x:c>
      <x:c r="B1505" s="66" t="str">
        <x:v>2026-08-04T18:52:18.267000</x:v>
      </x:c>
      <x:c r="C1505" s="47" t="n">
        <x:v>300976</x:v>
      </x:c>
      <x:c r="D1505" s="47" t="str"/>
      <x:c r="E1505" s="47" t="str"/>
      <x:c r="F1505" s="47" t="str">
        <x:v>current</x:v>
      </x:c>
      <x:c r="G1505" s="47" t="n">
        <x:v>1501</x:v>
      </x:c>
      <x:c r="H1505" s="53" t="b">
        <x:v>1</x:v>
      </x:c>
      <x:c r="I1505" s="47" t="str">
        <x:v>4109905524</x:v>
      </x:c>
      <x:c r="J1505" s="47" t="n">
        <x:v>70463392</x:v>
      </x:c>
      <x:c r="K1505" s="53" t="b">
        <x:v>1</x:v>
      </x:c>
      <x:c r="L1505" s="53" t="b">
        <x:v>1</x:v>
      </x:c>
      <x:c r="M1505" s="53" t="b">
        <x:v>1</x:v>
      </x:c>
      <x:c r="N1505" s="53" t="b">
        <x:v>1</x:v>
      </x:c>
      <x:c r="O1505" s="53" t="b">
        <x:v>1</x:v>
      </x:c>
      <x:c r="P1505" s="47" t="n">
        <x:v>1010</x:v>
      </x:c>
      <x:c r="Q1505" s="47" t="n">
        <x:v>0</x:v>
      </x:c>
      <x:c r="R1505" s="47" t="n">
        <x:v>0</x:v>
      </x:c>
      <x:c r="S1505" s="47" t="n">
        <x:v>31.94</x:v>
      </x:c>
      <x:c r="T1505" s="47" t="n">
        <x:v>58.99</x:v>
      </x:c>
      <x:c r="U1505" s="47" t="n">
        <x:v>31.8</x:v>
      </x:c>
      <x:c r="V1505" s="47" t="n">
        <x:v>11.9</x:v>
      </x:c>
      <x:c r="W1505" s="47" t="n">
        <x:v>0</x:v>
      </x:c>
      <x:c r="X1505" s="47" t="n">
        <x:v>0</x:v>
      </x:c>
      <x:c r="Y1505" s="41" t="n">
        <x:v>0</x:v>
      </x:c>
    </x:row>
    <x:row r="1506">
      <x:c r="A1506" s="38" t="str">
        <x:v>7月30日现场数据</x:v>
      </x:c>
      <x:c r="B1506" s="66" t="str">
        <x:v>2026-08-04T18:57:19.244000</x:v>
      </x:c>
      <x:c r="C1506" s="47" t="n">
        <x:v>300977</x:v>
      </x:c>
      <x:c r="D1506" s="47" t="str"/>
      <x:c r="E1506" s="47" t="str"/>
      <x:c r="F1506" s="47" t="str">
        <x:v>current</x:v>
      </x:c>
      <x:c r="G1506" s="47" t="n">
        <x:v>1502</x:v>
      </x:c>
      <x:c r="H1506" s="53" t="b">
        <x:v>1</x:v>
      </x:c>
      <x:c r="I1506" s="47" t="str">
        <x:v>4109905524</x:v>
      </x:c>
      <x:c r="J1506" s="47" t="n">
        <x:v>70764369</x:v>
      </x:c>
      <x:c r="K1506" s="53" t="b">
        <x:v>1</x:v>
      </x:c>
      <x:c r="L1506" s="53" t="b">
        <x:v>1</x:v>
      </x:c>
      <x:c r="M1506" s="53" t="b">
        <x:v>1</x:v>
      </x:c>
      <x:c r="N1506" s="53" t="b">
        <x:v>1</x:v>
      </x:c>
      <x:c r="O1506" s="53" t="b">
        <x:v>1</x:v>
      </x:c>
      <x:c r="P1506" s="47" t="n">
        <x:v>1009</x:v>
      </x:c>
      <x:c r="Q1506" s="47" t="n">
        <x:v>0</x:v>
      </x:c>
      <x:c r="R1506" s="47" t="n">
        <x:v>0</x:v>
      </x:c>
      <x:c r="S1506" s="47" t="n">
        <x:v>31</x:v>
      </x:c>
      <x:c r="T1506" s="47" t="n">
        <x:v>58.87</x:v>
      </x:c>
      <x:c r="U1506" s="47" t="n">
        <x:v>31.7</x:v>
      </x:c>
      <x:c r="V1506" s="47" t="n">
        <x:v>16.5</x:v>
      </x:c>
      <x:c r="W1506" s="47" t="n">
        <x:v>0</x:v>
      </x:c>
      <x:c r="X1506" s="47" t="n">
        <x:v>0</x:v>
      </x:c>
      <x:c r="Y1506" s="41" t="n">
        <x:v>0</x:v>
      </x:c>
    </x:row>
    <x:row r="1507">
      <x:c r="A1507" s="38" t="str">
        <x:v>7月30日现场数据</x:v>
      </x:c>
      <x:c r="B1507" s="66" t="str">
        <x:v>2026-08-04T19:02:20.220000</x:v>
      </x:c>
      <x:c r="C1507" s="47" t="n">
        <x:v>300976</x:v>
      </x:c>
      <x:c r="D1507" s="47" t="str"/>
      <x:c r="E1507" s="47" t="str"/>
      <x:c r="F1507" s="47" t="str">
        <x:v>current</x:v>
      </x:c>
      <x:c r="G1507" s="47" t="n">
        <x:v>1503</x:v>
      </x:c>
      <x:c r="H1507" s="53" t="b">
        <x:v>1</x:v>
      </x:c>
      <x:c r="I1507" s="47" t="str">
        <x:v>4109905524</x:v>
      </x:c>
      <x:c r="J1507" s="47" t="n">
        <x:v>71065345</x:v>
      </x:c>
      <x:c r="K1507" s="53" t="b">
        <x:v>1</x:v>
      </x:c>
      <x:c r="L1507" s="53" t="b">
        <x:v>1</x:v>
      </x:c>
      <x:c r="M1507" s="53" t="b">
        <x:v>1</x:v>
      </x:c>
      <x:c r="N1507" s="53" t="b">
        <x:v>1</x:v>
      </x:c>
      <x:c r="O1507" s="53" t="b">
        <x:v>1</x:v>
      </x:c>
      <x:c r="P1507" s="47" t="n">
        <x:v>1009</x:v>
      </x:c>
      <x:c r="Q1507" s="47" t="n">
        <x:v>0</x:v>
      </x:c>
      <x:c r="R1507" s="47" t="n">
        <x:v>0</x:v>
      </x:c>
      <x:c r="S1507" s="47" t="n">
        <x:v>30.01</x:v>
      </x:c>
      <x:c r="T1507" s="47" t="n">
        <x:v>58.71</x:v>
      </x:c>
      <x:c r="U1507" s="47" t="n">
        <x:v>31.5</x:v>
      </x:c>
      <x:c r="V1507" s="47" t="n">
        <x:v>17.2</x:v>
      </x:c>
      <x:c r="W1507" s="47" t="n">
        <x:v>0</x:v>
      </x:c>
      <x:c r="X1507" s="47" t="n">
        <x:v>0</x:v>
      </x:c>
      <x:c r="Y1507" s="41" t="n">
        <x:v>0</x:v>
      </x:c>
    </x:row>
    <x:row r="1508">
      <x:c r="A1508" s="38" t="str">
        <x:v>7月30日现场数据</x:v>
      </x:c>
      <x:c r="B1508" s="66" t="str">
        <x:v>2026-08-04T19:07:21.198000</x:v>
      </x:c>
      <x:c r="C1508" s="47" t="n">
        <x:v>300978</x:v>
      </x:c>
      <x:c r="D1508" s="47" t="str"/>
      <x:c r="E1508" s="47" t="str"/>
      <x:c r="F1508" s="47" t="str">
        <x:v>current</x:v>
      </x:c>
      <x:c r="G1508" s="47" t="n">
        <x:v>1504</x:v>
      </x:c>
      <x:c r="H1508" s="53" t="b">
        <x:v>1</x:v>
      </x:c>
      <x:c r="I1508" s="47" t="str">
        <x:v>4109905524</x:v>
      </x:c>
      <x:c r="J1508" s="47" t="n">
        <x:v>71366323</x:v>
      </x:c>
      <x:c r="K1508" s="53" t="b">
        <x:v>1</x:v>
      </x:c>
      <x:c r="L1508" s="53" t="b">
        <x:v>1</x:v>
      </x:c>
      <x:c r="M1508" s="53" t="b">
        <x:v>1</x:v>
      </x:c>
      <x:c r="N1508" s="53" t="b">
        <x:v>1</x:v>
      </x:c>
      <x:c r="O1508" s="53" t="b">
        <x:v>1</x:v>
      </x:c>
      <x:c r="P1508" s="47" t="n">
        <x:v>1009</x:v>
      </x:c>
      <x:c r="Q1508" s="47" t="n">
        <x:v>0</x:v>
      </x:c>
      <x:c r="R1508" s="47" t="n">
        <x:v>0</x:v>
      </x:c>
      <x:c r="S1508" s="47" t="n">
        <x:v>29.42</x:v>
      </x:c>
      <x:c r="T1508" s="47" t="n">
        <x:v>58.59</x:v>
      </x:c>
      <x:c r="U1508" s="47" t="n">
        <x:v>31.4</x:v>
      </x:c>
      <x:c r="V1508" s="47" t="n">
        <x:v>17.1</x:v>
      </x:c>
      <x:c r="W1508" s="47" t="n">
        <x:v>0</x:v>
      </x:c>
      <x:c r="X1508" s="47" t="n">
        <x:v>0</x:v>
      </x:c>
      <x:c r="Y1508" s="41" t="n">
        <x:v>0</x:v>
      </x:c>
    </x:row>
    <x:row r="1509">
      <x:c r="A1509" s="38" t="str">
        <x:v>7月30日现场数据</x:v>
      </x:c>
      <x:c r="B1509" s="66" t="str">
        <x:v>2026-08-04T19:12:22.182000</x:v>
      </x:c>
      <x:c r="C1509" s="47" t="n">
        <x:v>300984</x:v>
      </x:c>
      <x:c r="D1509" s="47" t="str"/>
      <x:c r="E1509" s="47" t="str"/>
      <x:c r="F1509" s="47" t="str">
        <x:v>current</x:v>
      </x:c>
      <x:c r="G1509" s="47" t="n">
        <x:v>1505</x:v>
      </x:c>
      <x:c r="H1509" s="53" t="b">
        <x:v>1</x:v>
      </x:c>
      <x:c r="I1509" s="47" t="str">
        <x:v>4109905524</x:v>
      </x:c>
      <x:c r="J1509" s="47" t="n">
        <x:v>71667307</x:v>
      </x:c>
      <x:c r="K1509" s="53" t="b">
        <x:v>1</x:v>
      </x:c>
      <x:c r="L1509" s="53" t="b">
        <x:v>1</x:v>
      </x:c>
      <x:c r="M1509" s="53" t="b">
        <x:v>1</x:v>
      </x:c>
      <x:c r="N1509" s="53" t="b">
        <x:v>1</x:v>
      </x:c>
      <x:c r="O1509" s="53" t="b">
        <x:v>1</x:v>
      </x:c>
      <x:c r="P1509" s="47" t="n">
        <x:v>1009</x:v>
      </x:c>
      <x:c r="Q1509" s="47" t="n">
        <x:v>0.055</x:v>
      </x:c>
      <x:c r="R1509" s="47" t="n">
        <x:v>1.484</x:v>
      </x:c>
      <x:c r="S1509" s="47" t="n">
        <x:v>29.13</x:v>
      </x:c>
      <x:c r="T1509" s="47" t="n">
        <x:v>58.53</x:v>
      </x:c>
      <x:c r="U1509" s="47" t="n">
        <x:v>31.3</x:v>
      </x:c>
      <x:c r="V1509" s="47" t="n">
        <x:v>17</x:v>
      </x:c>
      <x:c r="W1509" s="47" t="n">
        <x:v>0</x:v>
      </x:c>
      <x:c r="X1509" s="47" t="n">
        <x:v>0</x:v>
      </x:c>
      <x:c r="Y1509" s="41" t="n">
        <x:v>0</x:v>
      </x:c>
    </x:row>
    <x:row r="1510">
      <x:c r="A1510" s="38" t="str">
        <x:v>7月30日现场数据</x:v>
      </x:c>
      <x:c r="B1510" s="66" t="str">
        <x:v>2026-08-04T19:17:23.165000</x:v>
      </x:c>
      <x:c r="C1510" s="47" t="n">
        <x:v>300983</x:v>
      </x:c>
      <x:c r="D1510" s="47" t="str"/>
      <x:c r="E1510" s="47" t="str"/>
      <x:c r="F1510" s="47" t="str">
        <x:v>current</x:v>
      </x:c>
      <x:c r="G1510" s="47" t="n">
        <x:v>1506</x:v>
      </x:c>
      <x:c r="H1510" s="53" t="b">
        <x:v>1</x:v>
      </x:c>
      <x:c r="I1510" s="47" t="str">
        <x:v>4109905524</x:v>
      </x:c>
      <x:c r="J1510" s="47" t="n">
        <x:v>71968290</x:v>
      </x:c>
      <x:c r="K1510" s="53" t="b">
        <x:v>1</x:v>
      </x:c>
      <x:c r="L1510" s="53" t="b">
        <x:v>1</x:v>
      </x:c>
      <x:c r="M1510" s="53" t="b">
        <x:v>1</x:v>
      </x:c>
      <x:c r="N1510" s="53" t="b">
        <x:v>1</x:v>
      </x:c>
      <x:c r="O1510" s="53" t="b">
        <x:v>1</x:v>
      </x:c>
      <x:c r="P1510" s="47" t="n">
        <x:v>1009</x:v>
      </x:c>
      <x:c r="Q1510" s="47" t="n">
        <x:v>0</x:v>
      </x:c>
      <x:c r="R1510" s="47" t="n">
        <x:v>0</x:v>
      </x:c>
      <x:c r="S1510" s="47" t="n">
        <x:v>29.05</x:v>
      </x:c>
      <x:c r="T1510" s="47" t="n">
        <x:v>58.73</x:v>
      </x:c>
      <x:c r="U1510" s="47" t="n">
        <x:v>31.3</x:v>
      </x:c>
      <x:c r="V1510" s="47" t="n">
        <x:v>16.9</x:v>
      </x:c>
      <x:c r="W1510" s="47" t="n">
        <x:v>0</x:v>
      </x:c>
      <x:c r="X1510" s="47" t="n">
        <x:v>0</x:v>
      </x:c>
      <x:c r="Y1510" s="41" t="n">
        <x:v>0</x:v>
      </x:c>
    </x:row>
    <x:row r="1511">
      <x:c r="A1511" s="38" t="str">
        <x:v>7月30日现场数据</x:v>
      </x:c>
      <x:c r="B1511" s="66" t="str">
        <x:v>2026-08-04T19:22:24.149000</x:v>
      </x:c>
      <x:c r="C1511" s="47" t="n">
        <x:v>300984</x:v>
      </x:c>
      <x:c r="D1511" s="47" t="str"/>
      <x:c r="E1511" s="47" t="str"/>
      <x:c r="F1511" s="47" t="str">
        <x:v>current</x:v>
      </x:c>
      <x:c r="G1511" s="47" t="n">
        <x:v>1507</x:v>
      </x:c>
      <x:c r="H1511" s="53" t="b">
        <x:v>1</x:v>
      </x:c>
      <x:c r="I1511" s="47" t="str">
        <x:v>4109905524</x:v>
      </x:c>
      <x:c r="J1511" s="47" t="n">
        <x:v>72269274</x:v>
      </x:c>
      <x:c r="K1511" s="53" t="b">
        <x:v>1</x:v>
      </x:c>
      <x:c r="L1511" s="53" t="b">
        <x:v>1</x:v>
      </x:c>
      <x:c r="M1511" s="53" t="b">
        <x:v>1</x:v>
      </x:c>
      <x:c r="N1511" s="53" t="b">
        <x:v>1</x:v>
      </x:c>
      <x:c r="O1511" s="53" t="b">
        <x:v>1</x:v>
      </x:c>
      <x:c r="P1511" s="47" t="n">
        <x:v>1010</x:v>
      </x:c>
      <x:c r="Q1511" s="47" t="n">
        <x:v>0</x:v>
      </x:c>
      <x:c r="R1511" s="47" t="n">
        <x:v>0</x:v>
      </x:c>
      <x:c r="S1511" s="47" t="n">
        <x:v>29</x:v>
      </x:c>
      <x:c r="T1511" s="47" t="n">
        <x:v>58.9</x:v>
      </x:c>
      <x:c r="U1511" s="47" t="n">
        <x:v>31.2</x:v>
      </x:c>
      <x:c r="V1511" s="47" t="n">
        <x:v>16.8</x:v>
      </x:c>
      <x:c r="W1511" s="47" t="n">
        <x:v>0</x:v>
      </x:c>
      <x:c r="X1511" s="47" t="n">
        <x:v>0</x:v>
      </x:c>
      <x:c r="Y1511" s="41" t="n">
        <x:v>0</x:v>
      </x:c>
    </x:row>
    <x:row r="1512">
      <x:c r="A1512" s="38" t="str">
        <x:v>7月30日现场数据</x:v>
      </x:c>
      <x:c r="B1512" s="66" t="str">
        <x:v>2026-08-04T19:27:25.136000</x:v>
      </x:c>
      <x:c r="C1512" s="47" t="n">
        <x:v>300987</x:v>
      </x:c>
      <x:c r="D1512" s="47" t="str"/>
      <x:c r="E1512" s="47" t="str"/>
      <x:c r="F1512" s="47" t="str">
        <x:v>current</x:v>
      </x:c>
      <x:c r="G1512" s="47" t="n">
        <x:v>1508</x:v>
      </x:c>
      <x:c r="H1512" s="53" t="b">
        <x:v>1</x:v>
      </x:c>
      <x:c r="I1512" s="47" t="str">
        <x:v>4109905524</x:v>
      </x:c>
      <x:c r="J1512" s="47" t="n">
        <x:v>72570261</x:v>
      </x:c>
      <x:c r="K1512" s="53" t="b">
        <x:v>1</x:v>
      </x:c>
      <x:c r="L1512" s="53" t="b">
        <x:v>1</x:v>
      </x:c>
      <x:c r="M1512" s="53" t="b">
        <x:v>1</x:v>
      </x:c>
      <x:c r="N1512" s="53" t="b">
        <x:v>1</x:v>
      </x:c>
      <x:c r="O1512" s="53" t="b">
        <x:v>1</x:v>
      </x:c>
      <x:c r="P1512" s="47" t="n">
        <x:v>1010</x:v>
      </x:c>
      <x:c r="Q1512" s="47" t="n">
        <x:v>0</x:v>
      </x:c>
      <x:c r="R1512" s="47" t="n">
        <x:v>0</x:v>
      </x:c>
      <x:c r="S1512" s="47" t="n">
        <x:v>28.96</x:v>
      </x:c>
      <x:c r="T1512" s="47" t="n">
        <x:v>59.05</x:v>
      </x:c>
      <x:c r="U1512" s="47" t="n">
        <x:v>31.2</x:v>
      </x:c>
      <x:c r="V1512" s="47" t="n">
        <x:v>16.7</x:v>
      </x:c>
      <x:c r="W1512" s="47" t="n">
        <x:v>0</x:v>
      </x:c>
      <x:c r="X1512" s="47" t="n">
        <x:v>0</x:v>
      </x:c>
      <x:c r="Y1512" s="41" t="n">
        <x:v>0</x:v>
      </x:c>
    </x:row>
    <x:row r="1513">
      <x:c r="A1513" s="38" t="str">
        <x:v>7月30日现场数据</x:v>
      </x:c>
      <x:c r="B1513" s="66" t="str">
        <x:v>2026-08-04T19:32:26.126000</x:v>
      </x:c>
      <x:c r="C1513" s="47" t="n">
        <x:v>300990</x:v>
      </x:c>
      <x:c r="D1513" s="47" t="str"/>
      <x:c r="E1513" s="47" t="str"/>
      <x:c r="F1513" s="47" t="str">
        <x:v>current</x:v>
      </x:c>
      <x:c r="G1513" s="47" t="n">
        <x:v>1509</x:v>
      </x:c>
      <x:c r="H1513" s="53" t="b">
        <x:v>1</x:v>
      </x:c>
      <x:c r="I1513" s="47" t="str">
        <x:v>4109905524</x:v>
      </x:c>
      <x:c r="J1513" s="47" t="n">
        <x:v>72871251</x:v>
      </x:c>
      <x:c r="K1513" s="53" t="b">
        <x:v>1</x:v>
      </x:c>
      <x:c r="L1513" s="53" t="b">
        <x:v>1</x:v>
      </x:c>
      <x:c r="M1513" s="53" t="b">
        <x:v>1</x:v>
      </x:c>
      <x:c r="N1513" s="53" t="b">
        <x:v>1</x:v>
      </x:c>
      <x:c r="O1513" s="53" t="b">
        <x:v>1</x:v>
      </x:c>
      <x:c r="P1513" s="47" t="n">
        <x:v>1010</x:v>
      </x:c>
      <x:c r="Q1513" s="47" t="n">
        <x:v>0</x:v>
      </x:c>
      <x:c r="R1513" s="47" t="n">
        <x:v>0</x:v>
      </x:c>
      <x:c r="S1513" s="47" t="n">
        <x:v>28.91</x:v>
      </x:c>
      <x:c r="T1513" s="47" t="n">
        <x:v>59.17</x:v>
      </x:c>
      <x:c r="U1513" s="47" t="n">
        <x:v>31.1</x:v>
      </x:c>
      <x:c r="V1513" s="47" t="n">
        <x:v>16.6</x:v>
      </x:c>
      <x:c r="W1513" s="47" t="n">
        <x:v>0</x:v>
      </x:c>
      <x:c r="X1513" s="47" t="n">
        <x:v>0</x:v>
      </x:c>
      <x:c r="Y1513" s="41" t="n">
        <x:v>0</x:v>
      </x:c>
    </x:row>
    <x:row r="1514">
      <x:c r="A1514" s="38" t="str">
        <x:v>7月30日现场数据</x:v>
      </x:c>
      <x:c r="B1514" s="66" t="str">
        <x:v>2026-08-04T19:37:27.150000</x:v>
      </x:c>
      <x:c r="C1514" s="47" t="n">
        <x:v>301024</x:v>
      </x:c>
      <x:c r="D1514" s="47" t="str"/>
      <x:c r="E1514" s="47" t="str"/>
      <x:c r="F1514" s="47" t="str">
        <x:v>current</x:v>
      </x:c>
      <x:c r="G1514" s="47" t="n">
        <x:v>1510</x:v>
      </x:c>
      <x:c r="H1514" s="53" t="b">
        <x:v>1</x:v>
      </x:c>
      <x:c r="I1514" s="47" t="str">
        <x:v>4109905524</x:v>
      </x:c>
      <x:c r="J1514" s="47" t="n">
        <x:v>73172275</x:v>
      </x:c>
      <x:c r="K1514" s="53" t="b">
        <x:v>1</x:v>
      </x:c>
      <x:c r="L1514" s="53" t="b">
        <x:v>1</x:v>
      </x:c>
      <x:c r="M1514" s="53" t="b">
        <x:v>1</x:v>
      </x:c>
      <x:c r="N1514" s="53" t="b">
        <x:v>1</x:v>
      </x:c>
      <x:c r="O1514" s="53" t="b">
        <x:v>1</x:v>
      </x:c>
      <x:c r="P1514" s="47" t="n">
        <x:v>1009</x:v>
      </x:c>
      <x:c r="Q1514" s="47" t="n">
        <x:v>0</x:v>
      </x:c>
      <x:c r="R1514" s="47" t="n">
        <x:v>0</x:v>
      </x:c>
      <x:c r="S1514" s="47" t="n">
        <x:v>28.87</x:v>
      </x:c>
      <x:c r="T1514" s="47" t="n">
        <x:v>59.34</x:v>
      </x:c>
      <x:c r="U1514" s="47" t="n">
        <x:v>31.1</x:v>
      </x:c>
      <x:c r="V1514" s="47" t="n">
        <x:v>16.5</x:v>
      </x:c>
      <x:c r="W1514" s="47" t="n">
        <x:v>0</x:v>
      </x:c>
      <x:c r="X1514" s="47" t="n">
        <x:v>0</x:v>
      </x:c>
      <x:c r="Y1514" s="41" t="n">
        <x:v>0</x:v>
      </x:c>
    </x:row>
    <x:row r="1515">
      <x:c r="A1515" s="38" t="str">
        <x:v>7月30日现场数据</x:v>
      </x:c>
      <x:c r="B1515" s="66" t="str">
        <x:v>2026-08-04T19:42:28.114000</x:v>
      </x:c>
      <x:c r="C1515" s="47" t="n">
        <x:v>300964</x:v>
      </x:c>
      <x:c r="D1515" s="47" t="str"/>
      <x:c r="E1515" s="47" t="str"/>
      <x:c r="F1515" s="47" t="str">
        <x:v>current</x:v>
      </x:c>
      <x:c r="G1515" s="47" t="n">
        <x:v>1511</x:v>
      </x:c>
      <x:c r="H1515" s="53" t="b">
        <x:v>1</x:v>
      </x:c>
      <x:c r="I1515" s="47" t="str">
        <x:v>4109905524</x:v>
      </x:c>
      <x:c r="J1515" s="47" t="n">
        <x:v>73473239</x:v>
      </x:c>
      <x:c r="K1515" s="53" t="b">
        <x:v>1</x:v>
      </x:c>
      <x:c r="L1515" s="53" t="b">
        <x:v>1</x:v>
      </x:c>
      <x:c r="M1515" s="53" t="b">
        <x:v>1</x:v>
      </x:c>
      <x:c r="N1515" s="53" t="b">
        <x:v>1</x:v>
      </x:c>
      <x:c r="O1515" s="53" t="b">
        <x:v>1</x:v>
      </x:c>
      <x:c r="P1515" s="47" t="n">
        <x:v>1010</x:v>
      </x:c>
      <x:c r="Q1515" s="47" t="n">
        <x:v>0.045</x:v>
      </x:c>
      <x:c r="R1515" s="47" t="n">
        <x:v>1.22</x:v>
      </x:c>
      <x:c r="S1515" s="47" t="n">
        <x:v>28.75</x:v>
      </x:c>
      <x:c r="T1515" s="47" t="n">
        <x:v>59.55</x:v>
      </x:c>
      <x:c r="U1515" s="47" t="n">
        <x:v>31</x:v>
      </x:c>
      <x:c r="V1515" s="47" t="n">
        <x:v>16.5</x:v>
      </x:c>
      <x:c r="W1515" s="47" t="n">
        <x:v>0</x:v>
      </x:c>
      <x:c r="X1515" s="47" t="n">
        <x:v>0</x:v>
      </x:c>
      <x:c r="Y1515" s="41" t="n">
        <x:v>0</x:v>
      </x:c>
    </x:row>
    <x:row r="1516">
      <x:c r="A1516" s="38" t="str">
        <x:v>7月30日现场数据</x:v>
      </x:c>
      <x:c r="B1516" s="66" t="str">
        <x:v>2026-08-04T19:47:29.082000</x:v>
      </x:c>
      <x:c r="C1516" s="47" t="n">
        <x:v>300968</x:v>
      </x:c>
      <x:c r="D1516" s="47" t="str"/>
      <x:c r="E1516" s="47" t="str"/>
      <x:c r="F1516" s="47" t="str">
        <x:v>current</x:v>
      </x:c>
      <x:c r="G1516" s="47" t="n">
        <x:v>1512</x:v>
      </x:c>
      <x:c r="H1516" s="53" t="b">
        <x:v>1</x:v>
      </x:c>
      <x:c r="I1516" s="47" t="str">
        <x:v>4109905524</x:v>
      </x:c>
      <x:c r="J1516" s="47" t="n">
        <x:v>73774207</x:v>
      </x:c>
      <x:c r="K1516" s="53" t="b">
        <x:v>1</x:v>
      </x:c>
      <x:c r="L1516" s="53" t="b">
        <x:v>1</x:v>
      </x:c>
      <x:c r="M1516" s="53" t="b">
        <x:v>1</x:v>
      </x:c>
      <x:c r="N1516" s="53" t="b">
        <x:v>1</x:v>
      </x:c>
      <x:c r="O1516" s="53" t="b">
        <x:v>1</x:v>
      </x:c>
      <x:c r="P1516" s="47" t="n">
        <x:v>1009</x:v>
      </x:c>
      <x:c r="Q1516" s="47" t="n">
        <x:v>0.009</x:v>
      </x:c>
      <x:c r="R1516" s="47" t="n">
        <x:v>0.231</x:v>
      </x:c>
      <x:c r="S1516" s="47" t="n">
        <x:v>28.65</x:v>
      </x:c>
      <x:c r="T1516" s="47" t="n">
        <x:v>59.67</x:v>
      </x:c>
      <x:c r="U1516" s="47" t="n">
        <x:v>31</x:v>
      </x:c>
      <x:c r="V1516" s="47" t="n">
        <x:v>16.5</x:v>
      </x:c>
      <x:c r="W1516" s="47" t="n">
        <x:v>0</x:v>
      </x:c>
      <x:c r="X1516" s="47" t="n">
        <x:v>0</x:v>
      </x:c>
      <x:c r="Y1516" s="41" t="n">
        <x:v>0</x:v>
      </x:c>
    </x:row>
    <x:row r="1517">
      <x:c r="A1517" s="38" t="str">
        <x:v>7月30日现场数据</x:v>
      </x:c>
      <x:c r="B1517" s="66" t="str">
        <x:v>2026-08-04T19:52:30.052000</x:v>
      </x:c>
      <x:c r="C1517" s="47" t="n">
        <x:v>300970</x:v>
      </x:c>
      <x:c r="D1517" s="47" t="str"/>
      <x:c r="E1517" s="47" t="str"/>
      <x:c r="F1517" s="47" t="str">
        <x:v>current</x:v>
      </x:c>
      <x:c r="G1517" s="47" t="n">
        <x:v>1513</x:v>
      </x:c>
      <x:c r="H1517" s="53" t="b">
        <x:v>1</x:v>
      </x:c>
      <x:c r="I1517" s="47" t="str">
        <x:v>4109905524</x:v>
      </x:c>
      <x:c r="J1517" s="47" t="n">
        <x:v>74075177</x:v>
      </x:c>
      <x:c r="K1517" s="53" t="b">
        <x:v>1</x:v>
      </x:c>
      <x:c r="L1517" s="53" t="b">
        <x:v>1</x:v>
      </x:c>
      <x:c r="M1517" s="53" t="b">
        <x:v>1</x:v>
      </x:c>
      <x:c r="N1517" s="53" t="b">
        <x:v>1</x:v>
      </x:c>
      <x:c r="O1517" s="53" t="b">
        <x:v>1</x:v>
      </x:c>
      <x:c r="P1517" s="47" t="n">
        <x:v>1010</x:v>
      </x:c>
      <x:c r="Q1517" s="47" t="n">
        <x:v>0</x:v>
      </x:c>
      <x:c r="R1517" s="47" t="n">
        <x:v>0</x:v>
      </x:c>
      <x:c r="S1517" s="47" t="n">
        <x:v>28.58</x:v>
      </x:c>
      <x:c r="T1517" s="47" t="n">
        <x:v>59.84</x:v>
      </x:c>
      <x:c r="U1517" s="47" t="n">
        <x:v>30.9</x:v>
      </x:c>
      <x:c r="V1517" s="47" t="n">
        <x:v>16.4</x:v>
      </x:c>
      <x:c r="W1517" s="47" t="n">
        <x:v>0</x:v>
      </x:c>
      <x:c r="X1517" s="47" t="n">
        <x:v>0</x:v>
      </x:c>
      <x:c r="Y1517" s="41" t="n">
        <x:v>0</x:v>
      </x:c>
    </x:row>
    <x:row r="1518">
      <x:c r="A1518" s="38" t="str">
        <x:v>7月30日现场数据</x:v>
      </x:c>
      <x:c r="B1518" s="66" t="str">
        <x:v>2026-08-04T19:57:31.022000</x:v>
      </x:c>
      <x:c r="C1518" s="47" t="n">
        <x:v>300970</x:v>
      </x:c>
      <x:c r="D1518" s="47" t="str"/>
      <x:c r="E1518" s="47" t="str"/>
      <x:c r="F1518" s="47" t="str">
        <x:v>current</x:v>
      </x:c>
      <x:c r="G1518" s="47" t="n">
        <x:v>1514</x:v>
      </x:c>
      <x:c r="H1518" s="53" t="b">
        <x:v>1</x:v>
      </x:c>
      <x:c r="I1518" s="47" t="str">
        <x:v>4109905524</x:v>
      </x:c>
      <x:c r="J1518" s="47" t="n">
        <x:v>74376147</x:v>
      </x:c>
      <x:c r="K1518" s="53" t="b">
        <x:v>1</x:v>
      </x:c>
      <x:c r="L1518" s="53" t="b">
        <x:v>1</x:v>
      </x:c>
      <x:c r="M1518" s="53" t="b">
        <x:v>1</x:v>
      </x:c>
      <x:c r="N1518" s="53" t="b">
        <x:v>1</x:v>
      </x:c>
      <x:c r="O1518" s="53" t="b">
        <x:v>1</x:v>
      </x:c>
      <x:c r="P1518" s="47" t="n">
        <x:v>1010</x:v>
      </x:c>
      <x:c r="Q1518" s="47" t="n">
        <x:v>0.01</x:v>
      </x:c>
      <x:c r="R1518" s="47" t="n">
        <x:v>0.264</x:v>
      </x:c>
      <x:c r="S1518" s="47" t="n">
        <x:v>28.52</x:v>
      </x:c>
      <x:c r="T1518" s="47" t="n">
        <x:v>59.97</x:v>
      </x:c>
      <x:c r="U1518" s="47" t="n">
        <x:v>30.8</x:v>
      </x:c>
      <x:c r="V1518" s="47" t="n">
        <x:v>16.4</x:v>
      </x:c>
      <x:c r="W1518" s="47" t="n">
        <x:v>0</x:v>
      </x:c>
      <x:c r="X1518" s="47" t="n">
        <x:v>0</x:v>
      </x:c>
      <x:c r="Y1518" s="41" t="n">
        <x:v>0</x:v>
      </x:c>
    </x:row>
    <x:row r="1519">
      <x:c r="A1519" s="38" t="str">
        <x:v>7月30日现场数据</x:v>
      </x:c>
      <x:c r="B1519" s="66" t="str">
        <x:v>2026-08-04T20:02:31.997000</x:v>
      </x:c>
      <x:c r="C1519" s="47" t="n">
        <x:v>300975</x:v>
      </x:c>
      <x:c r="D1519" s="47" t="str"/>
      <x:c r="E1519" s="47" t="str"/>
      <x:c r="F1519" s="47" t="str">
        <x:v>current</x:v>
      </x:c>
      <x:c r="G1519" s="47" t="n">
        <x:v>1515</x:v>
      </x:c>
      <x:c r="H1519" s="53" t="b">
        <x:v>1</x:v>
      </x:c>
      <x:c r="I1519" s="47" t="str">
        <x:v>4109905524</x:v>
      </x:c>
      <x:c r="J1519" s="47" t="n">
        <x:v>74677122</x:v>
      </x:c>
      <x:c r="K1519" s="53" t="b">
        <x:v>1</x:v>
      </x:c>
      <x:c r="L1519" s="53" t="b">
        <x:v>1</x:v>
      </x:c>
      <x:c r="M1519" s="53" t="b">
        <x:v>1</x:v>
      </x:c>
      <x:c r="N1519" s="53" t="b">
        <x:v>1</x:v>
      </x:c>
      <x:c r="O1519" s="53" t="b">
        <x:v>1</x:v>
      </x:c>
      <x:c r="P1519" s="47" t="n">
        <x:v>1010</x:v>
      </x:c>
      <x:c r="Q1519" s="47" t="n">
        <x:v>0</x:v>
      </x:c>
      <x:c r="R1519" s="47" t="n">
        <x:v>0</x:v>
      </x:c>
      <x:c r="S1519" s="47" t="n">
        <x:v>28.54</x:v>
      </x:c>
      <x:c r="T1519" s="47" t="n">
        <x:v>60.2</x:v>
      </x:c>
      <x:c r="U1519" s="47" t="n">
        <x:v>30.8</x:v>
      </x:c>
      <x:c r="V1519" s="47" t="n">
        <x:v>16.4</x:v>
      </x:c>
      <x:c r="W1519" s="47" t="n">
        <x:v>0</x:v>
      </x:c>
      <x:c r="X1519" s="47" t="n">
        <x:v>0</x:v>
      </x:c>
      <x:c r="Y1519" s="41" t="n">
        <x:v>0</x:v>
      </x:c>
    </x:row>
    <x:row r="1520">
      <x:c r="A1520" s="38" t="str">
        <x:v>7月30日现场数据</x:v>
      </x:c>
      <x:c r="B1520" s="66" t="str">
        <x:v>2026-08-04T20:07:32.976000</x:v>
      </x:c>
      <x:c r="C1520" s="47" t="n">
        <x:v>300979</x:v>
      </x:c>
      <x:c r="D1520" s="47" t="str"/>
      <x:c r="E1520" s="47" t="str"/>
      <x:c r="F1520" s="47" t="str">
        <x:v>current</x:v>
      </x:c>
      <x:c r="G1520" s="47" t="n">
        <x:v>1516</x:v>
      </x:c>
      <x:c r="H1520" s="53" t="b">
        <x:v>1</x:v>
      </x:c>
      <x:c r="I1520" s="47" t="str">
        <x:v>4109905524</x:v>
      </x:c>
      <x:c r="J1520" s="47" t="n">
        <x:v>74978101</x:v>
      </x:c>
      <x:c r="K1520" s="53" t="b">
        <x:v>1</x:v>
      </x:c>
      <x:c r="L1520" s="53" t="b">
        <x:v>1</x:v>
      </x:c>
      <x:c r="M1520" s="53" t="b">
        <x:v>1</x:v>
      </x:c>
      <x:c r="N1520" s="53" t="b">
        <x:v>1</x:v>
      </x:c>
      <x:c r="O1520" s="53" t="b">
        <x:v>1</x:v>
      </x:c>
      <x:c r="P1520" s="47" t="n">
        <x:v>1010</x:v>
      </x:c>
      <x:c r="Q1520" s="47" t="n">
        <x:v>0</x:v>
      </x:c>
      <x:c r="R1520" s="47" t="n">
        <x:v>0</x:v>
      </x:c>
      <x:c r="S1520" s="47" t="n">
        <x:v>28.59</x:v>
      </x:c>
      <x:c r="T1520" s="47" t="n">
        <x:v>60.42</x:v>
      </x:c>
      <x:c r="U1520" s="47" t="n">
        <x:v>30.8</x:v>
      </x:c>
      <x:c r="V1520" s="47" t="n">
        <x:v>16.4</x:v>
      </x:c>
      <x:c r="W1520" s="47" t="n">
        <x:v>0</x:v>
      </x:c>
      <x:c r="X1520" s="47" t="n">
        <x:v>0</x:v>
      </x:c>
      <x:c r="Y1520" s="41" t="n">
        <x:v>0</x:v>
      </x:c>
    </x:row>
    <x:row r="1521">
      <x:c r="A1521" s="38" t="str">
        <x:v>7月30日现场数据</x:v>
      </x:c>
      <x:c r="B1521" s="66" t="str">
        <x:v>2026-08-04T20:12:33.956000</x:v>
      </x:c>
      <x:c r="C1521" s="47" t="n">
        <x:v>300980</x:v>
      </x:c>
      <x:c r="D1521" s="47" t="str"/>
      <x:c r="E1521" s="47" t="str"/>
      <x:c r="F1521" s="47" t="str">
        <x:v>current</x:v>
      </x:c>
      <x:c r="G1521" s="47" t="n">
        <x:v>1517</x:v>
      </x:c>
      <x:c r="H1521" s="53" t="b">
        <x:v>1</x:v>
      </x:c>
      <x:c r="I1521" s="47" t="str">
        <x:v>4109905524</x:v>
      </x:c>
      <x:c r="J1521" s="47" t="n">
        <x:v>75279081</x:v>
      </x:c>
      <x:c r="K1521" s="53" t="b">
        <x:v>1</x:v>
      </x:c>
      <x:c r="L1521" s="53" t="b">
        <x:v>1</x:v>
      </x:c>
      <x:c r="M1521" s="53" t="b">
        <x:v>1</x:v>
      </x:c>
      <x:c r="N1521" s="53" t="b">
        <x:v>1</x:v>
      </x:c>
      <x:c r="O1521" s="53" t="b">
        <x:v>1</x:v>
      </x:c>
      <x:c r="P1521" s="47" t="n">
        <x:v>1010</x:v>
      </x:c>
      <x:c r="Q1521" s="47" t="n">
        <x:v>0</x:v>
      </x:c>
      <x:c r="R1521" s="47" t="n">
        <x:v>0</x:v>
      </x:c>
      <x:c r="S1521" s="47" t="n">
        <x:v>28.66</x:v>
      </x:c>
      <x:c r="T1521" s="47" t="n">
        <x:v>60.64</x:v>
      </x:c>
      <x:c r="U1521" s="47" t="n">
        <x:v>30.7</x:v>
      </x:c>
      <x:c r="V1521" s="47" t="n">
        <x:v>16.3</x:v>
      </x:c>
      <x:c r="W1521" s="47" t="n">
        <x:v>0</x:v>
      </x:c>
      <x:c r="X1521" s="47" t="n">
        <x:v>0</x:v>
      </x:c>
      <x:c r="Y1521" s="41" t="n">
        <x:v>0</x:v>
      </x:c>
    </x:row>
    <x:row r="1522">
      <x:c r="A1522" s="38" t="str">
        <x:v>7月30日现场数据</x:v>
      </x:c>
      <x:c r="B1522" s="66" t="str">
        <x:v>2026-08-04T20:17:34.933000</x:v>
      </x:c>
      <x:c r="C1522" s="47" t="n">
        <x:v>300977</x:v>
      </x:c>
      <x:c r="D1522" s="47" t="str"/>
      <x:c r="E1522" s="47" t="str"/>
      <x:c r="F1522" s="47" t="str">
        <x:v>current</x:v>
      </x:c>
      <x:c r="G1522" s="47" t="n">
        <x:v>1518</x:v>
      </x:c>
      <x:c r="H1522" s="53" t="b">
        <x:v>1</x:v>
      </x:c>
      <x:c r="I1522" s="47" t="str">
        <x:v>4109905524</x:v>
      </x:c>
      <x:c r="J1522" s="47" t="n">
        <x:v>75580058</x:v>
      </x:c>
      <x:c r="K1522" s="53" t="b">
        <x:v>1</x:v>
      </x:c>
      <x:c r="L1522" s="53" t="b">
        <x:v>1</x:v>
      </x:c>
      <x:c r="M1522" s="53" t="b">
        <x:v>1</x:v>
      </x:c>
      <x:c r="N1522" s="53" t="b">
        <x:v>1</x:v>
      </x:c>
      <x:c r="O1522" s="53" t="b">
        <x:v>1</x:v>
      </x:c>
      <x:c r="P1522" s="47" t="n">
        <x:v>1009</x:v>
      </x:c>
      <x:c r="Q1522" s="47" t="n">
        <x:v>0</x:v>
      </x:c>
      <x:c r="R1522" s="47" t="n">
        <x:v>0</x:v>
      </x:c>
      <x:c r="S1522" s="47" t="n">
        <x:v>28.74</x:v>
      </x:c>
      <x:c r="T1522" s="47" t="n">
        <x:v>60.88</x:v>
      </x:c>
      <x:c r="U1522" s="47" t="n">
        <x:v>30.7</x:v>
      </x:c>
      <x:c r="V1522" s="47" t="n">
        <x:v>16.3</x:v>
      </x:c>
      <x:c r="W1522" s="47" t="n">
        <x:v>0</x:v>
      </x:c>
      <x:c r="X1522" s="47" t="n">
        <x:v>0</x:v>
      </x:c>
      <x:c r="Y1522" s="41" t="n">
        <x:v>0</x:v>
      </x:c>
    </x:row>
    <x:row r="1523">
      <x:c r="A1523" s="38" t="str">
        <x:v>7月30日现场数据</x:v>
      </x:c>
      <x:c r="B1523" s="66" t="str">
        <x:v>2026-08-04T20:22:35.915000</x:v>
      </x:c>
      <x:c r="C1523" s="47" t="n">
        <x:v>300982</x:v>
      </x:c>
      <x:c r="D1523" s="47" t="str"/>
      <x:c r="E1523" s="47" t="str"/>
      <x:c r="F1523" s="47" t="str">
        <x:v>current</x:v>
      </x:c>
      <x:c r="G1523" s="47" t="n">
        <x:v>1519</x:v>
      </x:c>
      <x:c r="H1523" s="53" t="b">
        <x:v>1</x:v>
      </x:c>
      <x:c r="I1523" s="47" t="str">
        <x:v>4109905524</x:v>
      </x:c>
      <x:c r="J1523" s="47" t="n">
        <x:v>75881040</x:v>
      </x:c>
      <x:c r="K1523" s="53" t="b">
        <x:v>1</x:v>
      </x:c>
      <x:c r="L1523" s="53" t="b">
        <x:v>1</x:v>
      </x:c>
      <x:c r="M1523" s="53" t="b">
        <x:v>1</x:v>
      </x:c>
      <x:c r="N1523" s="53" t="b">
        <x:v>1</x:v>
      </x:c>
      <x:c r="O1523" s="53" t="b">
        <x:v>1</x:v>
      </x:c>
      <x:c r="P1523" s="47" t="n">
        <x:v>1009</x:v>
      </x:c>
      <x:c r="Q1523" s="47" t="n">
        <x:v>0</x:v>
      </x:c>
      <x:c r="R1523" s="47" t="n">
        <x:v>0</x:v>
      </x:c>
      <x:c r="S1523" s="47" t="n">
        <x:v>28.83</x:v>
      </x:c>
      <x:c r="T1523" s="47" t="n">
        <x:v>61.08</x:v>
      </x:c>
      <x:c r="U1523" s="47" t="n">
        <x:v>30.7</x:v>
      </x:c>
      <x:c r="V1523" s="47" t="n">
        <x:v>16.3</x:v>
      </x:c>
      <x:c r="W1523" s="47" t="n">
        <x:v>0</x:v>
      </x:c>
      <x:c r="X1523" s="47" t="n">
        <x:v>0</x:v>
      </x:c>
      <x:c r="Y1523" s="41" t="n">
        <x:v>0</x:v>
      </x:c>
    </x:row>
    <x:row r="1524">
      <x:c r="A1524" s="38" t="str">
        <x:v>7月30日现场数据</x:v>
      </x:c>
      <x:c r="B1524" s="66" t="str">
        <x:v>2026-08-04T20:27:36.901000</x:v>
      </x:c>
      <x:c r="C1524" s="47" t="n">
        <x:v>300986</x:v>
      </x:c>
      <x:c r="D1524" s="47" t="str"/>
      <x:c r="E1524" s="47" t="str"/>
      <x:c r="F1524" s="47" t="str">
        <x:v>current</x:v>
      </x:c>
      <x:c r="G1524" s="47" t="n">
        <x:v>1520</x:v>
      </x:c>
      <x:c r="H1524" s="53" t="b">
        <x:v>1</x:v>
      </x:c>
      <x:c r="I1524" s="47" t="str">
        <x:v>4109905524</x:v>
      </x:c>
      <x:c r="J1524" s="47" t="n">
        <x:v>76182026</x:v>
      </x:c>
      <x:c r="K1524" s="53" t="b">
        <x:v>1</x:v>
      </x:c>
      <x:c r="L1524" s="53" t="b">
        <x:v>1</x:v>
      </x:c>
      <x:c r="M1524" s="53" t="b">
        <x:v>1</x:v>
      </x:c>
      <x:c r="N1524" s="53" t="b">
        <x:v>1</x:v>
      </x:c>
      <x:c r="O1524" s="53" t="b">
        <x:v>1</x:v>
      </x:c>
      <x:c r="P1524" s="47" t="n">
        <x:v>1009</x:v>
      </x:c>
      <x:c r="Q1524" s="47" t="n">
        <x:v>0</x:v>
      </x:c>
      <x:c r="R1524" s="47" t="n">
        <x:v>0</x:v>
      </x:c>
      <x:c r="S1524" s="47" t="n">
        <x:v>28.9</x:v>
      </x:c>
      <x:c r="T1524" s="47" t="n">
        <x:v>61.31</x:v>
      </x:c>
      <x:c r="U1524" s="47" t="n">
        <x:v>30.7</x:v>
      </x:c>
      <x:c r="V1524" s="47" t="n">
        <x:v>16.2</x:v>
      </x:c>
      <x:c r="W1524" s="47" t="n">
        <x:v>0</x:v>
      </x:c>
      <x:c r="X1524" s="47" t="n">
        <x:v>0</x:v>
      </x:c>
      <x:c r="Y1524" s="41" t="n">
        <x:v>0</x:v>
      </x:c>
    </x:row>
    <x:row r="1525">
      <x:c r="A1525" s="38" t="str">
        <x:v>7月30日现场数据</x:v>
      </x:c>
      <x:c r="B1525" s="66" t="str">
        <x:v>2026-08-04T20:32:37.887000</x:v>
      </x:c>
      <x:c r="C1525" s="47" t="n">
        <x:v>300986</x:v>
      </x:c>
      <x:c r="D1525" s="47" t="str"/>
      <x:c r="E1525" s="47" t="str"/>
      <x:c r="F1525" s="47" t="str">
        <x:v>current</x:v>
      </x:c>
      <x:c r="G1525" s="47" t="n">
        <x:v>1521</x:v>
      </x:c>
      <x:c r="H1525" s="53" t="b">
        <x:v>1</x:v>
      </x:c>
      <x:c r="I1525" s="47" t="str">
        <x:v>4109905524</x:v>
      </x:c>
      <x:c r="J1525" s="47" t="n">
        <x:v>76483012</x:v>
      </x:c>
      <x:c r="K1525" s="53" t="b">
        <x:v>1</x:v>
      </x:c>
      <x:c r="L1525" s="53" t="b">
        <x:v>1</x:v>
      </x:c>
      <x:c r="M1525" s="53" t="b">
        <x:v>1</x:v>
      </x:c>
      <x:c r="N1525" s="53" t="b">
        <x:v>1</x:v>
      </x:c>
      <x:c r="O1525" s="53" t="b">
        <x:v>1</x:v>
      </x:c>
      <x:c r="P1525" s="47" t="n">
        <x:v>1009</x:v>
      </x:c>
      <x:c r="Q1525" s="47" t="n">
        <x:v>0</x:v>
      </x:c>
      <x:c r="R1525" s="47" t="n">
        <x:v>0</x:v>
      </x:c>
      <x:c r="S1525" s="47" t="n">
        <x:v>28.99</x:v>
      </x:c>
      <x:c r="T1525" s="47" t="n">
        <x:v>61.56</x:v>
      </x:c>
      <x:c r="U1525" s="47" t="n">
        <x:v>30.7</x:v>
      </x:c>
      <x:c r="V1525" s="47" t="n">
        <x:v>16.2</x:v>
      </x:c>
      <x:c r="W1525" s="47" t="n">
        <x:v>0</x:v>
      </x:c>
      <x:c r="X1525" s="47" t="n">
        <x:v>0</x:v>
      </x:c>
      <x:c r="Y1525" s="41" t="n">
        <x:v>0</x:v>
      </x:c>
    </x:row>
    <x:row r="1526">
      <x:c r="A1526" s="38" t="str">
        <x:v>7月30日现场数据</x:v>
      </x:c>
      <x:c r="B1526" s="66" t="str">
        <x:v>2026-08-04T20:37:38.874000</x:v>
      </x:c>
      <x:c r="C1526" s="47" t="n">
        <x:v>300987</x:v>
      </x:c>
      <x:c r="D1526" s="47" t="str"/>
      <x:c r="E1526" s="47" t="str"/>
      <x:c r="F1526" s="47" t="str">
        <x:v>current</x:v>
      </x:c>
      <x:c r="G1526" s="47" t="n">
        <x:v>1522</x:v>
      </x:c>
      <x:c r="H1526" s="53" t="b">
        <x:v>1</x:v>
      </x:c>
      <x:c r="I1526" s="47" t="str">
        <x:v>4109905524</x:v>
      </x:c>
      <x:c r="J1526" s="47" t="n">
        <x:v>76783999</x:v>
      </x:c>
      <x:c r="K1526" s="53" t="b">
        <x:v>1</x:v>
      </x:c>
      <x:c r="L1526" s="53" t="b">
        <x:v>1</x:v>
      </x:c>
      <x:c r="M1526" s="53" t="b">
        <x:v>1</x:v>
      </x:c>
      <x:c r="N1526" s="53" t="b">
        <x:v>1</x:v>
      </x:c>
      <x:c r="O1526" s="53" t="b">
        <x:v>1</x:v>
      </x:c>
      <x:c r="P1526" s="47" t="n">
        <x:v>1009</x:v>
      </x:c>
      <x:c r="Q1526" s="47" t="n">
        <x:v>0</x:v>
      </x:c>
      <x:c r="R1526" s="47" t="n">
        <x:v>0</x:v>
      </x:c>
      <x:c r="S1526" s="47" t="n">
        <x:v>29.08</x:v>
      </x:c>
      <x:c r="T1526" s="47" t="n">
        <x:v>61.79</x:v>
      </x:c>
      <x:c r="U1526" s="47" t="n">
        <x:v>30.6</x:v>
      </x:c>
      <x:c r="V1526" s="47" t="n">
        <x:v>16.2</x:v>
      </x:c>
      <x:c r="W1526" s="47" t="n">
        <x:v>0</x:v>
      </x:c>
      <x:c r="X1526" s="47" t="n">
        <x:v>0</x:v>
      </x:c>
      <x:c r="Y1526" s="41" t="n">
        <x:v>0</x:v>
      </x:c>
    </x:row>
    <x:row r="1527">
      <x:c r="A1527" s="38" t="str">
        <x:v>7月30日现场数据</x:v>
      </x:c>
      <x:c r="B1527" s="66" t="str">
        <x:v>2026-08-04T20:42:39.864000</x:v>
      </x:c>
      <x:c r="C1527" s="47" t="n">
        <x:v>300990</x:v>
      </x:c>
      <x:c r="D1527" s="47" t="str"/>
      <x:c r="E1527" s="47" t="str"/>
      <x:c r="F1527" s="47" t="str">
        <x:v>current</x:v>
      </x:c>
      <x:c r="G1527" s="47" t="n">
        <x:v>1523</x:v>
      </x:c>
      <x:c r="H1527" s="53" t="b">
        <x:v>1</x:v>
      </x:c>
      <x:c r="I1527" s="47" t="str">
        <x:v>4109905524</x:v>
      </x:c>
      <x:c r="J1527" s="47" t="n">
        <x:v>77084989</x:v>
      </x:c>
      <x:c r="K1527" s="53" t="b">
        <x:v>1</x:v>
      </x:c>
      <x:c r="L1527" s="53" t="b">
        <x:v>1</x:v>
      </x:c>
      <x:c r="M1527" s="53" t="b">
        <x:v>1</x:v>
      </x:c>
      <x:c r="N1527" s="53" t="b">
        <x:v>1</x:v>
      </x:c>
      <x:c r="O1527" s="53" t="b">
        <x:v>1</x:v>
      </x:c>
      <x:c r="P1527" s="47" t="n">
        <x:v>1009</x:v>
      </x:c>
      <x:c r="Q1527" s="47" t="n">
        <x:v>0</x:v>
      </x:c>
      <x:c r="R1527" s="47" t="n">
        <x:v>0</x:v>
      </x:c>
      <x:c r="S1527" s="47" t="n">
        <x:v>29.12</x:v>
      </x:c>
      <x:c r="T1527" s="47" t="n">
        <x:v>62.03</x:v>
      </x:c>
      <x:c r="U1527" s="47" t="n">
        <x:v>30.6</x:v>
      </x:c>
      <x:c r="V1527" s="47" t="n">
        <x:v>16.2</x:v>
      </x:c>
      <x:c r="W1527" s="47" t="n">
        <x:v>0</x:v>
      </x:c>
      <x:c r="X1527" s="47" t="n">
        <x:v>0</x:v>
      </x:c>
      <x:c r="Y1527" s="41" t="n">
        <x:v>0</x:v>
      </x:c>
    </x:row>
    <x:row r="1528">
      <x:c r="A1528" s="38" t="str">
        <x:v>7月30日现场数据</x:v>
      </x:c>
      <x:c r="B1528" s="66" t="str">
        <x:v>2026-08-04T20:47:40.870000</x:v>
      </x:c>
      <x:c r="C1528" s="47" t="n">
        <x:v>301006</x:v>
      </x:c>
      <x:c r="D1528" s="47" t="str"/>
      <x:c r="E1528" s="47" t="str"/>
      <x:c r="F1528" s="47" t="str">
        <x:v>current</x:v>
      </x:c>
      <x:c r="G1528" s="47" t="n">
        <x:v>1524</x:v>
      </x:c>
      <x:c r="H1528" s="53" t="b">
        <x:v>1</x:v>
      </x:c>
      <x:c r="I1528" s="47" t="str">
        <x:v>4109905524</x:v>
      </x:c>
      <x:c r="J1528" s="47" t="n">
        <x:v>77385995</x:v>
      </x:c>
      <x:c r="K1528" s="53" t="b">
        <x:v>1</x:v>
      </x:c>
      <x:c r="L1528" s="53" t="b">
        <x:v>1</x:v>
      </x:c>
      <x:c r="M1528" s="53" t="b">
        <x:v>1</x:v>
      </x:c>
      <x:c r="N1528" s="53" t="b">
        <x:v>1</x:v>
      </x:c>
      <x:c r="O1528" s="53" t="b">
        <x:v>1</x:v>
      </x:c>
      <x:c r="P1528" s="47" t="n">
        <x:v>1009</x:v>
      </x:c>
      <x:c r="Q1528" s="47" t="n">
        <x:v>0</x:v>
      </x:c>
      <x:c r="R1528" s="47" t="n">
        <x:v>0</x:v>
      </x:c>
      <x:c r="S1528" s="47" t="n">
        <x:v>29.09</x:v>
      </x:c>
      <x:c r="T1528" s="47" t="n">
        <x:v>62.24</x:v>
      </x:c>
      <x:c r="U1528" s="47" t="n">
        <x:v>30.6</x:v>
      </x:c>
      <x:c r="V1528" s="47" t="n">
        <x:v>16.2</x:v>
      </x:c>
      <x:c r="W1528" s="47" t="n">
        <x:v>0</x:v>
      </x:c>
      <x:c r="X1528" s="47" t="n">
        <x:v>0</x:v>
      </x:c>
      <x:c r="Y1528" s="41" t="n">
        <x:v>0</x:v>
      </x:c>
    </x:row>
    <x:row r="1529">
      <x:c r="A1529" s="38" t="str">
        <x:v>7月30日现场数据</x:v>
      </x:c>
      <x:c r="B1529" s="66" t="str">
        <x:v>2026-08-04T20:52:41.851000</x:v>
      </x:c>
      <x:c r="C1529" s="47" t="n">
        <x:v>300981</x:v>
      </x:c>
      <x:c r="D1529" s="47" t="str"/>
      <x:c r="E1529" s="47" t="str"/>
      <x:c r="F1529" s="47" t="str">
        <x:v>current</x:v>
      </x:c>
      <x:c r="G1529" s="47" t="n">
        <x:v>1525</x:v>
      </x:c>
      <x:c r="H1529" s="53" t="b">
        <x:v>1</x:v>
      </x:c>
      <x:c r="I1529" s="47" t="str">
        <x:v>4109905524</x:v>
      </x:c>
      <x:c r="J1529" s="47" t="n">
        <x:v>77686976</x:v>
      </x:c>
      <x:c r="K1529" s="53" t="b">
        <x:v>1</x:v>
      </x:c>
      <x:c r="L1529" s="53" t="b">
        <x:v>1</x:v>
      </x:c>
      <x:c r="M1529" s="53" t="b">
        <x:v>1</x:v>
      </x:c>
      <x:c r="N1529" s="53" t="b">
        <x:v>1</x:v>
      </x:c>
      <x:c r="O1529" s="53" t="b">
        <x:v>1</x:v>
      </x:c>
      <x:c r="P1529" s="47" t="n">
        <x:v>1009</x:v>
      </x:c>
      <x:c r="Q1529" s="47" t="n">
        <x:v>0</x:v>
      </x:c>
      <x:c r="R1529" s="47" t="n">
        <x:v>0</x:v>
      </x:c>
      <x:c r="S1529" s="47" t="n">
        <x:v>29.14</x:v>
      </x:c>
      <x:c r="T1529" s="47" t="n">
        <x:v>62.46</x:v>
      </x:c>
      <x:c r="U1529" s="47" t="n">
        <x:v>30.6</x:v>
      </x:c>
      <x:c r="V1529" s="47" t="n">
        <x:v>16.1</x:v>
      </x:c>
      <x:c r="W1529" s="47" t="n">
        <x:v>0</x:v>
      </x:c>
      <x:c r="X1529" s="47" t="n">
        <x:v>0</x:v>
      </x:c>
      <x:c r="Y1529" s="41" t="n">
        <x:v>0</x:v>
      </x:c>
    </x:row>
    <x:row r="1530">
      <x:c r="A1530" s="38" t="str">
        <x:v>7月30日现场数据</x:v>
      </x:c>
      <x:c r="B1530" s="66" t="str">
        <x:v>2026-08-04T20:57:42.864000</x:v>
      </x:c>
      <x:c r="C1530" s="47" t="n">
        <x:v>301013</x:v>
      </x:c>
      <x:c r="D1530" s="47" t="str"/>
      <x:c r="E1530" s="47" t="str"/>
      <x:c r="F1530" s="47" t="str">
        <x:v>current</x:v>
      </x:c>
      <x:c r="G1530" s="47" t="n">
        <x:v>1526</x:v>
      </x:c>
      <x:c r="H1530" s="53" t="b">
        <x:v>1</x:v>
      </x:c>
      <x:c r="I1530" s="47" t="str">
        <x:v>4109905524</x:v>
      </x:c>
      <x:c r="J1530" s="47" t="n">
        <x:v>77987989</x:v>
      </x:c>
      <x:c r="K1530" s="53" t="b">
        <x:v>1</x:v>
      </x:c>
      <x:c r="L1530" s="53" t="b">
        <x:v>1</x:v>
      </x:c>
      <x:c r="M1530" s="53" t="b">
        <x:v>1</x:v>
      </x:c>
      <x:c r="N1530" s="53" t="b">
        <x:v>1</x:v>
      </x:c>
      <x:c r="O1530" s="53" t="b">
        <x:v>1</x:v>
      </x:c>
      <x:c r="P1530" s="47" t="n">
        <x:v>1009</x:v>
      </x:c>
      <x:c r="Q1530" s="47" t="n">
        <x:v>0</x:v>
      </x:c>
      <x:c r="R1530" s="47" t="n">
        <x:v>0</x:v>
      </x:c>
      <x:c r="S1530" s="47" t="n">
        <x:v>29.17</x:v>
      </x:c>
      <x:c r="T1530" s="47" t="n">
        <x:v>62.65</x:v>
      </x:c>
      <x:c r="U1530" s="47" t="n">
        <x:v>30.5</x:v>
      </x:c>
      <x:c r="V1530" s="47" t="n">
        <x:v>16.2</x:v>
      </x:c>
      <x:c r="W1530" s="47" t="n">
        <x:v>0</x:v>
      </x:c>
      <x:c r="X1530" s="47" t="n">
        <x:v>0</x:v>
      </x:c>
      <x:c r="Y1530" s="41" t="n">
        <x:v>0</x:v>
      </x:c>
    </x:row>
    <x:row r="1531">
      <x:c r="A1531" s="38" t="str">
        <x:v>7月30日现场数据</x:v>
      </x:c>
      <x:c r="B1531" s="66" t="str">
        <x:v>2026-08-04T21:02:43.819000</x:v>
      </x:c>
      <x:c r="C1531" s="47" t="n">
        <x:v>300955</x:v>
      </x:c>
      <x:c r="D1531" s="47" t="str"/>
      <x:c r="E1531" s="47" t="str"/>
      <x:c r="F1531" s="47" t="str">
        <x:v>current</x:v>
      </x:c>
      <x:c r="G1531" s="47" t="n">
        <x:v>1527</x:v>
      </x:c>
      <x:c r="H1531" s="53" t="b">
        <x:v>1</x:v>
      </x:c>
      <x:c r="I1531" s="47" t="str">
        <x:v>4109905524</x:v>
      </x:c>
      <x:c r="J1531" s="47" t="n">
        <x:v>78288944</x:v>
      </x:c>
      <x:c r="K1531" s="53" t="b">
        <x:v>1</x:v>
      </x:c>
      <x:c r="L1531" s="53" t="b">
        <x:v>1</x:v>
      </x:c>
      <x:c r="M1531" s="53" t="b">
        <x:v>1</x:v>
      </x:c>
      <x:c r="N1531" s="53" t="b">
        <x:v>1</x:v>
      </x:c>
      <x:c r="O1531" s="53" t="b">
        <x:v>1</x:v>
      </x:c>
      <x:c r="P1531" s="47" t="n">
        <x:v>1009</x:v>
      </x:c>
      <x:c r="Q1531" s="47" t="n">
        <x:v>0.002</x:v>
      </x:c>
      <x:c r="R1531" s="47" t="n">
        <x:v>0.066</x:v>
      </x:c>
      <x:c r="S1531" s="47" t="n">
        <x:v>29.23</x:v>
      </x:c>
      <x:c r="T1531" s="47" t="n">
        <x:v>62.85</x:v>
      </x:c>
      <x:c r="U1531" s="47" t="n">
        <x:v>30.5</x:v>
      </x:c>
      <x:c r="V1531" s="47" t="n">
        <x:v>16.1</x:v>
      </x:c>
      <x:c r="W1531" s="47" t="n">
        <x:v>0</x:v>
      </x:c>
      <x:c r="X1531" s="47" t="n">
        <x:v>0</x:v>
      </x:c>
      <x:c r="Y1531" s="41" t="n">
        <x:v>0</x:v>
      </x:c>
    </x:row>
    <x:row r="1532">
      <x:c r="A1532" s="38" t="str">
        <x:v>7月30日现场数据</x:v>
      </x:c>
      <x:c r="B1532" s="66" t="str">
        <x:v>2026-08-04T21:07:44.778000</x:v>
      </x:c>
      <x:c r="C1532" s="47" t="n">
        <x:v>300959</x:v>
      </x:c>
      <x:c r="D1532" s="47" t="str"/>
      <x:c r="E1532" s="47" t="str"/>
      <x:c r="F1532" s="47" t="str">
        <x:v>current</x:v>
      </x:c>
      <x:c r="G1532" s="47" t="n">
        <x:v>1528</x:v>
      </x:c>
      <x:c r="H1532" s="53" t="b">
        <x:v>1</x:v>
      </x:c>
      <x:c r="I1532" s="47" t="str">
        <x:v>4109905524</x:v>
      </x:c>
      <x:c r="J1532" s="47" t="n">
        <x:v>78589903</x:v>
      </x:c>
      <x:c r="K1532" s="53" t="b">
        <x:v>1</x:v>
      </x:c>
      <x:c r="L1532" s="53" t="b">
        <x:v>1</x:v>
      </x:c>
      <x:c r="M1532" s="53" t="b">
        <x:v>1</x:v>
      </x:c>
      <x:c r="N1532" s="53" t="b">
        <x:v>1</x:v>
      </x:c>
      <x:c r="O1532" s="53" t="b">
        <x:v>1</x:v>
      </x:c>
      <x:c r="P1532" s="47" t="n">
        <x:v>1009</x:v>
      </x:c>
      <x:c r="Q1532" s="47" t="n">
        <x:v>0</x:v>
      </x:c>
      <x:c r="R1532" s="47" t="n">
        <x:v>0</x:v>
      </x:c>
      <x:c r="S1532" s="47" t="n">
        <x:v>29.26</x:v>
      </x:c>
      <x:c r="T1532" s="47" t="n">
        <x:v>63.04</x:v>
      </x:c>
      <x:c r="U1532" s="47" t="n">
        <x:v>30.5</x:v>
      </x:c>
      <x:c r="V1532" s="47" t="n">
        <x:v>16.1</x:v>
      </x:c>
      <x:c r="W1532" s="47" t="n">
        <x:v>0</x:v>
      </x:c>
      <x:c r="X1532" s="47" t="n">
        <x:v>0</x:v>
      </x:c>
      <x:c r="Y1532" s="41" t="n">
        <x:v>0</x:v>
      </x:c>
    </x:row>
    <x:row r="1533">
      <x:c r="A1533" s="38" t="str">
        <x:v>7月30日现场数据</x:v>
      </x:c>
      <x:c r="B1533" s="66" t="str">
        <x:v>2026-08-04T21:12:45.738000</x:v>
      </x:c>
      <x:c r="C1533" s="47" t="n">
        <x:v>300960</x:v>
      </x:c>
      <x:c r="D1533" s="47" t="str"/>
      <x:c r="E1533" s="47" t="str"/>
      <x:c r="F1533" s="47" t="str">
        <x:v>current</x:v>
      </x:c>
      <x:c r="G1533" s="47" t="n">
        <x:v>1529</x:v>
      </x:c>
      <x:c r="H1533" s="53" t="b">
        <x:v>1</x:v>
      </x:c>
      <x:c r="I1533" s="47" t="str">
        <x:v>4109905524</x:v>
      </x:c>
      <x:c r="J1533" s="47" t="n">
        <x:v>78890863</x:v>
      </x:c>
      <x:c r="K1533" s="53" t="b">
        <x:v>1</x:v>
      </x:c>
      <x:c r="L1533" s="53" t="b">
        <x:v>1</x:v>
      </x:c>
      <x:c r="M1533" s="53" t="b">
        <x:v>1</x:v>
      </x:c>
      <x:c r="N1533" s="53" t="b">
        <x:v>1</x:v>
      </x:c>
      <x:c r="O1533" s="53" t="b">
        <x:v>1</x:v>
      </x:c>
      <x:c r="P1533" s="47" t="n">
        <x:v>1009</x:v>
      </x:c>
      <x:c r="Q1533" s="47" t="n">
        <x:v>0</x:v>
      </x:c>
      <x:c r="R1533" s="47" t="n">
        <x:v>0</x:v>
      </x:c>
      <x:c r="S1533" s="47" t="n">
        <x:v>29.29</x:v>
      </x:c>
      <x:c r="T1533" s="47" t="n">
        <x:v>63.26</x:v>
      </x:c>
      <x:c r="U1533" s="47" t="n">
        <x:v>30.5</x:v>
      </x:c>
      <x:c r="V1533" s="47" t="n">
        <x:v>16.1</x:v>
      </x:c>
      <x:c r="W1533" s="47" t="n">
        <x:v>0</x:v>
      </x:c>
      <x:c r="X1533" s="47" t="n">
        <x:v>0</x:v>
      </x:c>
      <x:c r="Y1533" s="41" t="n">
        <x:v>0</x:v>
      </x:c>
    </x:row>
    <x:row r="1534">
      <x:c r="A1534" s="38" t="str">
        <x:v>7月30日现场数据</x:v>
      </x:c>
      <x:c r="B1534" s="66" t="str">
        <x:v>2026-08-04T21:17:46.701000</x:v>
      </x:c>
      <x:c r="C1534" s="47" t="n">
        <x:v>300963</x:v>
      </x:c>
      <x:c r="D1534" s="47" t="str"/>
      <x:c r="E1534" s="47" t="str"/>
      <x:c r="F1534" s="47" t="str">
        <x:v>current</x:v>
      </x:c>
      <x:c r="G1534" s="47" t="n">
        <x:v>1530</x:v>
      </x:c>
      <x:c r="H1534" s="53" t="b">
        <x:v>1</x:v>
      </x:c>
      <x:c r="I1534" s="47" t="str">
        <x:v>4109905524</x:v>
      </x:c>
      <x:c r="J1534" s="47" t="n">
        <x:v>79191826</x:v>
      </x:c>
      <x:c r="K1534" s="53" t="b">
        <x:v>1</x:v>
      </x:c>
      <x:c r="L1534" s="53" t="b">
        <x:v>1</x:v>
      </x:c>
      <x:c r="M1534" s="53" t="b">
        <x:v>1</x:v>
      </x:c>
      <x:c r="N1534" s="53" t="b">
        <x:v>1</x:v>
      </x:c>
      <x:c r="O1534" s="53" t="b">
        <x:v>1</x:v>
      </x:c>
      <x:c r="P1534" s="47" t="n">
        <x:v>1009</x:v>
      </x:c>
      <x:c r="Q1534" s="47" t="n">
        <x:v>0</x:v>
      </x:c>
      <x:c r="R1534" s="47" t="n">
        <x:v>0</x:v>
      </x:c>
      <x:c r="S1534" s="47" t="n">
        <x:v>29.3</x:v>
      </x:c>
      <x:c r="T1534" s="47" t="n">
        <x:v>63.45</x:v>
      </x:c>
      <x:c r="U1534" s="47" t="n">
        <x:v>30.5</x:v>
      </x:c>
      <x:c r="V1534" s="47" t="n">
        <x:v>16.1</x:v>
      </x:c>
      <x:c r="W1534" s="47" t="n">
        <x:v>0</x:v>
      </x:c>
      <x:c r="X1534" s="47" t="n">
        <x:v>0</x:v>
      </x:c>
      <x:c r="Y1534" s="41" t="n">
        <x:v>0</x:v>
      </x:c>
    </x:row>
    <x:row r="1535">
      <x:c r="A1535" s="38" t="str">
        <x:v>7月30日现场数据</x:v>
      </x:c>
      <x:c r="B1535" s="66" t="str">
        <x:v>2026-08-04T21:22:47.666000</x:v>
      </x:c>
      <x:c r="C1535" s="47" t="n">
        <x:v>300965</x:v>
      </x:c>
      <x:c r="D1535" s="47" t="str"/>
      <x:c r="E1535" s="47" t="str"/>
      <x:c r="F1535" s="47" t="str">
        <x:v>current</x:v>
      </x:c>
      <x:c r="G1535" s="47" t="n">
        <x:v>1531</x:v>
      </x:c>
      <x:c r="H1535" s="53" t="b">
        <x:v>1</x:v>
      </x:c>
      <x:c r="I1535" s="47" t="str">
        <x:v>4109905524</x:v>
      </x:c>
      <x:c r="J1535" s="47" t="n">
        <x:v>79492791</x:v>
      </x:c>
      <x:c r="K1535" s="53" t="b">
        <x:v>1</x:v>
      </x:c>
      <x:c r="L1535" s="53" t="b">
        <x:v>1</x:v>
      </x:c>
      <x:c r="M1535" s="53" t="b">
        <x:v>1</x:v>
      </x:c>
      <x:c r="N1535" s="53" t="b">
        <x:v>1</x:v>
      </x:c>
      <x:c r="O1535" s="53" t="b">
        <x:v>1</x:v>
      </x:c>
      <x:c r="P1535" s="47" t="n">
        <x:v>1009</x:v>
      </x:c>
      <x:c r="Q1535" s="47" t="n">
        <x:v>0</x:v>
      </x:c>
      <x:c r="R1535" s="47" t="n">
        <x:v>0</x:v>
      </x:c>
      <x:c r="S1535" s="47" t="n">
        <x:v>29.37</x:v>
      </x:c>
      <x:c r="T1535" s="47" t="n">
        <x:v>63.63</x:v>
      </x:c>
      <x:c r="U1535" s="47" t="n">
        <x:v>30.5</x:v>
      </x:c>
      <x:c r="V1535" s="47" t="n">
        <x:v>16.1</x:v>
      </x:c>
      <x:c r="W1535" s="47" t="n">
        <x:v>0</x:v>
      </x:c>
      <x:c r="X1535" s="47" t="n">
        <x:v>0</x:v>
      </x:c>
      <x:c r="Y1535" s="41" t="n">
        <x:v>0</x:v>
      </x:c>
    </x:row>
    <x:row r="1536">
      <x:c r="A1536" s="38" t="str">
        <x:v>7月30日现场数据</x:v>
      </x:c>
      <x:c r="B1536" s="66" t="str">
        <x:v>2026-08-04T21:27:48.633000</x:v>
      </x:c>
      <x:c r="C1536" s="47" t="n">
        <x:v>300967</x:v>
      </x:c>
      <x:c r="D1536" s="47" t="str"/>
      <x:c r="E1536" s="47" t="str"/>
      <x:c r="F1536" s="47" t="str">
        <x:v>current</x:v>
      </x:c>
      <x:c r="G1536" s="47" t="n">
        <x:v>1532</x:v>
      </x:c>
      <x:c r="H1536" s="53" t="b">
        <x:v>1</x:v>
      </x:c>
      <x:c r="I1536" s="47" t="str">
        <x:v>4109905524</x:v>
      </x:c>
      <x:c r="J1536" s="47" t="n">
        <x:v>79793758</x:v>
      </x:c>
      <x:c r="K1536" s="53" t="b">
        <x:v>1</x:v>
      </x:c>
      <x:c r="L1536" s="53" t="b">
        <x:v>1</x:v>
      </x:c>
      <x:c r="M1536" s="53" t="b">
        <x:v>1</x:v>
      </x:c>
      <x:c r="N1536" s="53" t="b">
        <x:v>1</x:v>
      </x:c>
      <x:c r="O1536" s="53" t="b">
        <x:v>1</x:v>
      </x:c>
      <x:c r="P1536" s="47" t="n">
        <x:v>1010</x:v>
      </x:c>
      <x:c r="Q1536" s="47" t="n">
        <x:v>0</x:v>
      </x:c>
      <x:c r="R1536" s="47" t="n">
        <x:v>0</x:v>
      </x:c>
      <x:c r="S1536" s="47" t="n">
        <x:v>29.45</x:v>
      </x:c>
      <x:c r="T1536" s="47" t="n">
        <x:v>63.84</x:v>
      </x:c>
      <x:c r="U1536" s="47" t="n">
        <x:v>30.5</x:v>
      </x:c>
      <x:c r="V1536" s="47" t="n">
        <x:v>16.1</x:v>
      </x:c>
      <x:c r="W1536" s="47" t="n">
        <x:v>0</x:v>
      </x:c>
      <x:c r="X1536" s="47" t="n">
        <x:v>0</x:v>
      </x:c>
      <x:c r="Y1536" s="41" t="n">
        <x:v>0</x:v>
      </x:c>
    </x:row>
    <x:row r="1537">
      <x:c r="A1537" s="38" t="str">
        <x:v>7月30日现场数据</x:v>
      </x:c>
      <x:c r="B1537" s="66" t="str">
        <x:v>2026-08-04T21:32:49.601000</x:v>
      </x:c>
      <x:c r="C1537" s="47" t="n">
        <x:v>300968</x:v>
      </x:c>
      <x:c r="D1537" s="47" t="str"/>
      <x:c r="E1537" s="47" t="str"/>
      <x:c r="F1537" s="47" t="str">
        <x:v>current</x:v>
      </x:c>
      <x:c r="G1537" s="47" t="n">
        <x:v>1533</x:v>
      </x:c>
      <x:c r="H1537" s="53" t="b">
        <x:v>1</x:v>
      </x:c>
      <x:c r="I1537" s="47" t="str">
        <x:v>4109905524</x:v>
      </x:c>
      <x:c r="J1537" s="47" t="n">
        <x:v>80094726</x:v>
      </x:c>
      <x:c r="K1537" s="53" t="b">
        <x:v>1</x:v>
      </x:c>
      <x:c r="L1537" s="53" t="b">
        <x:v>1</x:v>
      </x:c>
      <x:c r="M1537" s="53" t="b">
        <x:v>1</x:v>
      </x:c>
      <x:c r="N1537" s="53" t="b">
        <x:v>1</x:v>
      </x:c>
      <x:c r="O1537" s="53" t="b">
        <x:v>1</x:v>
      </x:c>
      <x:c r="P1537" s="47" t="n">
        <x:v>1010</x:v>
      </x:c>
      <x:c r="Q1537" s="47" t="n">
        <x:v>0.106</x:v>
      </x:c>
      <x:c r="R1537" s="47" t="n">
        <x:v>2.868</x:v>
      </x:c>
      <x:c r="S1537" s="47" t="n">
        <x:v>29.46</x:v>
      </x:c>
      <x:c r="T1537" s="47" t="n">
        <x:v>64.04</x:v>
      </x:c>
      <x:c r="U1537" s="47" t="n">
        <x:v>30.4</x:v>
      </x:c>
      <x:c r="V1537" s="47" t="n">
        <x:v>17.9</x:v>
      </x:c>
      <x:c r="W1537" s="47" t="n">
        <x:v>0</x:v>
      </x:c>
      <x:c r="X1537" s="47" t="n">
        <x:v>0</x:v>
      </x:c>
      <x:c r="Y1537" s="41" t="n">
        <x:v>0</x:v>
      </x:c>
    </x:row>
    <x:row r="1538">
      <x:c r="A1538" s="38" t="str">
        <x:v>7月30日现场数据</x:v>
      </x:c>
      <x:c r="B1538" s="66" t="str">
        <x:v>2026-08-04T21:37:50.571000</x:v>
      </x:c>
      <x:c r="C1538" s="47" t="n">
        <x:v>300970</x:v>
      </x:c>
      <x:c r="D1538" s="47" t="str"/>
      <x:c r="E1538" s="47" t="str"/>
      <x:c r="F1538" s="47" t="str">
        <x:v>current</x:v>
      </x:c>
      <x:c r="G1538" s="47" t="n">
        <x:v>1534</x:v>
      </x:c>
      <x:c r="H1538" s="53" t="b">
        <x:v>1</x:v>
      </x:c>
      <x:c r="I1538" s="47" t="str">
        <x:v>4109905524</x:v>
      </x:c>
      <x:c r="J1538" s="47" t="n">
        <x:v>80395696</x:v>
      </x:c>
      <x:c r="K1538" s="53" t="b">
        <x:v>1</x:v>
      </x:c>
      <x:c r="L1538" s="53" t="b">
        <x:v>1</x:v>
      </x:c>
      <x:c r="M1538" s="53" t="b">
        <x:v>1</x:v>
      </x:c>
      <x:c r="N1538" s="53" t="b">
        <x:v>1</x:v>
      </x:c>
      <x:c r="O1538" s="53" t="b">
        <x:v>1</x:v>
      </x:c>
      <x:c r="P1538" s="47" t="n">
        <x:v>1009</x:v>
      </x:c>
      <x:c r="Q1538" s="47" t="n">
        <x:v>0</x:v>
      </x:c>
      <x:c r="R1538" s="47" t="n">
        <x:v>0</x:v>
      </x:c>
      <x:c r="S1538" s="47" t="n">
        <x:v>29.33</x:v>
      </x:c>
      <x:c r="T1538" s="47" t="n">
        <x:v>64.2</x:v>
      </x:c>
      <x:c r="U1538" s="47" t="n">
        <x:v>30.3</x:v>
      </x:c>
      <x:c r="V1538" s="47" t="n">
        <x:v>21.5</x:v>
      </x:c>
      <x:c r="W1538" s="47" t="n">
        <x:v>0</x:v>
      </x:c>
      <x:c r="X1538" s="47" t="n">
        <x:v>0</x:v>
      </x:c>
      <x:c r="Y1538" s="41" t="n">
        <x:v>0</x:v>
      </x:c>
    </x:row>
    <x:row r="1539">
      <x:c r="A1539" s="38" t="str">
        <x:v>7月30日现场数据</x:v>
      </x:c>
      <x:c r="B1539" s="66" t="str">
        <x:v>2026-08-04T21:42:51.543000</x:v>
      </x:c>
      <x:c r="C1539" s="47" t="n">
        <x:v>300972</x:v>
      </x:c>
      <x:c r="D1539" s="47" t="str"/>
      <x:c r="E1539" s="47" t="str"/>
      <x:c r="F1539" s="47" t="str">
        <x:v>current</x:v>
      </x:c>
      <x:c r="G1539" s="47" t="n">
        <x:v>1535</x:v>
      </x:c>
      <x:c r="H1539" s="53" t="b">
        <x:v>1</x:v>
      </x:c>
      <x:c r="I1539" s="47" t="str">
        <x:v>4109905524</x:v>
      </x:c>
      <x:c r="J1539" s="47" t="n">
        <x:v>80696668</x:v>
      </x:c>
      <x:c r="K1539" s="53" t="b">
        <x:v>1</x:v>
      </x:c>
      <x:c r="L1539" s="53" t="b">
        <x:v>1</x:v>
      </x:c>
      <x:c r="M1539" s="53" t="b">
        <x:v>1</x:v>
      </x:c>
      <x:c r="N1539" s="53" t="b">
        <x:v>1</x:v>
      </x:c>
      <x:c r="O1539" s="53" t="b">
        <x:v>1</x:v>
      </x:c>
      <x:c r="P1539" s="47" t="n">
        <x:v>1009</x:v>
      </x:c>
      <x:c r="Q1539" s="47" t="n">
        <x:v>0</x:v>
      </x:c>
      <x:c r="R1539" s="47" t="n">
        <x:v>0</x:v>
      </x:c>
      <x:c r="S1539" s="47" t="n">
        <x:v>29.18</x:v>
      </x:c>
      <x:c r="T1539" s="47" t="n">
        <x:v>64.36</x:v>
      </x:c>
      <x:c r="U1539" s="47" t="n">
        <x:v>30.2</x:v>
      </x:c>
      <x:c r="V1539" s="47" t="n">
        <x:v>20.5</x:v>
      </x:c>
      <x:c r="W1539" s="47" t="n">
        <x:v>0</x:v>
      </x:c>
      <x:c r="X1539" s="47" t="n">
        <x:v>0</x:v>
      </x:c>
      <x:c r="Y1539" s="41" t="n">
        <x:v>0</x:v>
      </x:c>
    </x:row>
    <x:row r="1540">
      <x:c r="A1540" s="38" t="str">
        <x:v>7月30日现场数据</x:v>
      </x:c>
      <x:c r="B1540" s="66" t="str">
        <x:v>2026-08-04T21:47:52.517000</x:v>
      </x:c>
      <x:c r="C1540" s="47" t="n">
        <x:v>300974</x:v>
      </x:c>
      <x:c r="D1540" s="47" t="str"/>
      <x:c r="E1540" s="47" t="str"/>
      <x:c r="F1540" s="47" t="str">
        <x:v>current</x:v>
      </x:c>
      <x:c r="G1540" s="47" t="n">
        <x:v>1536</x:v>
      </x:c>
      <x:c r="H1540" s="53" t="b">
        <x:v>1</x:v>
      </x:c>
      <x:c r="I1540" s="47" t="str">
        <x:v>4109905524</x:v>
      </x:c>
      <x:c r="J1540" s="47" t="n">
        <x:v>80997642</x:v>
      </x:c>
      <x:c r="K1540" s="53" t="b">
        <x:v>1</x:v>
      </x:c>
      <x:c r="L1540" s="53" t="b">
        <x:v>1</x:v>
      </x:c>
      <x:c r="M1540" s="53" t="b">
        <x:v>1</x:v>
      </x:c>
      <x:c r="N1540" s="53" t="b">
        <x:v>1</x:v>
      </x:c>
      <x:c r="O1540" s="53" t="b">
        <x:v>1</x:v>
      </x:c>
      <x:c r="P1540" s="47" t="n">
        <x:v>1009</x:v>
      </x:c>
      <x:c r="Q1540" s="47" t="n">
        <x:v>0</x:v>
      </x:c>
      <x:c r="R1540" s="47" t="n">
        <x:v>0</x:v>
      </x:c>
      <x:c r="S1540" s="47" t="n">
        <x:v>29.11</x:v>
      </x:c>
      <x:c r="T1540" s="47" t="n">
        <x:v>64.48</x:v>
      </x:c>
      <x:c r="U1540" s="47" t="n">
        <x:v>30.2</x:v>
      </x:c>
      <x:c r="V1540" s="47" t="n">
        <x:v>19.8</x:v>
      </x:c>
      <x:c r="W1540" s="47" t="n">
        <x:v>0</x:v>
      </x:c>
      <x:c r="X1540" s="47" t="n">
        <x:v>0</x:v>
      </x:c>
      <x:c r="Y1540" s="41" t="n">
        <x:v>0</x:v>
      </x:c>
    </x:row>
    <x:row r="1541">
      <x:c r="A1541" s="38" t="str">
        <x:v>7月30日现场数据</x:v>
      </x:c>
      <x:c r="B1541" s="66" t="str">
        <x:v>2026-08-04T21:52:53.492000</x:v>
      </x:c>
      <x:c r="C1541" s="47" t="n">
        <x:v>300975</x:v>
      </x:c>
      <x:c r="D1541" s="47" t="str"/>
      <x:c r="E1541" s="47" t="str"/>
      <x:c r="F1541" s="47" t="str">
        <x:v>current</x:v>
      </x:c>
      <x:c r="G1541" s="47" t="n">
        <x:v>1537</x:v>
      </x:c>
      <x:c r="H1541" s="53" t="b">
        <x:v>1</x:v>
      </x:c>
      <x:c r="I1541" s="47" t="str">
        <x:v>4109905524</x:v>
      </x:c>
      <x:c r="J1541" s="47" t="n">
        <x:v>81298617</x:v>
      </x:c>
      <x:c r="K1541" s="53" t="b">
        <x:v>1</x:v>
      </x:c>
      <x:c r="L1541" s="53" t="b">
        <x:v>1</x:v>
      </x:c>
      <x:c r="M1541" s="53" t="b">
        <x:v>1</x:v>
      </x:c>
      <x:c r="N1541" s="53" t="b">
        <x:v>1</x:v>
      </x:c>
      <x:c r="O1541" s="53" t="b">
        <x:v>1</x:v>
      </x:c>
      <x:c r="P1541" s="47" t="n">
        <x:v>1009</x:v>
      </x:c>
      <x:c r="Q1541" s="47" t="n">
        <x:v>0</x:v>
      </x:c>
      <x:c r="R1541" s="47" t="n">
        <x:v>0</x:v>
      </x:c>
      <x:c r="S1541" s="47" t="n">
        <x:v>29.11</x:v>
      </x:c>
      <x:c r="T1541" s="47" t="n">
        <x:v>64.72</x:v>
      </x:c>
      <x:c r="U1541" s="47" t="n">
        <x:v>30.2</x:v>
      </x:c>
      <x:c r="V1541" s="47" t="n">
        <x:v>19.5</x:v>
      </x:c>
      <x:c r="W1541" s="47" t="n">
        <x:v>0</x:v>
      </x:c>
      <x:c r="X1541" s="47" t="n">
        <x:v>0</x:v>
      </x:c>
      <x:c r="Y1541" s="41" t="n">
        <x:v>0</x:v>
      </x:c>
    </x:row>
    <x:row r="1542">
      <x:c r="A1542" s="38" t="str">
        <x:v>7月30日现场数据</x:v>
      </x:c>
      <x:c r="B1542" s="66" t="str">
        <x:v>2026-08-04T21:57:54.468000</x:v>
      </x:c>
      <x:c r="C1542" s="47" t="n">
        <x:v>300976</x:v>
      </x:c>
      <x:c r="D1542" s="47" t="str"/>
      <x:c r="E1542" s="47" t="str"/>
      <x:c r="F1542" s="47" t="str">
        <x:v>current</x:v>
      </x:c>
      <x:c r="G1542" s="47" t="n">
        <x:v>1538</x:v>
      </x:c>
      <x:c r="H1542" s="53" t="b">
        <x:v>1</x:v>
      </x:c>
      <x:c r="I1542" s="47" t="str">
        <x:v>4109905524</x:v>
      </x:c>
      <x:c r="J1542" s="47" t="n">
        <x:v>81599593</x:v>
      </x:c>
      <x:c r="K1542" s="53" t="b">
        <x:v>1</x:v>
      </x:c>
      <x:c r="L1542" s="53" t="b">
        <x:v>1</x:v>
      </x:c>
      <x:c r="M1542" s="53" t="b">
        <x:v>1</x:v>
      </x:c>
      <x:c r="N1542" s="53" t="b">
        <x:v>1</x:v>
      </x:c>
      <x:c r="O1542" s="53" t="b">
        <x:v>1</x:v>
      </x:c>
      <x:c r="P1542" s="47" t="n">
        <x:v>1009</x:v>
      </x:c>
      <x:c r="Q1542" s="47" t="n">
        <x:v>0</x:v>
      </x:c>
      <x:c r="R1542" s="47" t="n">
        <x:v>0</x:v>
      </x:c>
      <x:c r="S1542" s="47" t="n">
        <x:v>29.08</x:v>
      </x:c>
      <x:c r="T1542" s="47" t="n">
        <x:v>64.83</x:v>
      </x:c>
      <x:c r="U1542" s="47" t="n">
        <x:v>30.2</x:v>
      </x:c>
      <x:c r="V1542" s="47" t="n">
        <x:v>19.2</x:v>
      </x:c>
      <x:c r="W1542" s="47" t="n">
        <x:v>0</x:v>
      </x:c>
      <x:c r="X1542" s="47" t="n">
        <x:v>0</x:v>
      </x:c>
      <x:c r="Y1542" s="41" t="n">
        <x:v>0</x:v>
      </x:c>
    </x:row>
    <x:row r="1543">
      <x:c r="A1543" s="38" t="str">
        <x:v>7月30日现场数据</x:v>
      </x:c>
      <x:c r="B1543" s="66" t="str">
        <x:v>2026-08-04T22:02:55.448000</x:v>
      </x:c>
      <x:c r="C1543" s="47" t="n">
        <x:v>300980</x:v>
      </x:c>
      <x:c r="D1543" s="47" t="str"/>
      <x:c r="E1543" s="47" t="str"/>
      <x:c r="F1543" s="47" t="str">
        <x:v>current</x:v>
      </x:c>
      <x:c r="G1543" s="47" t="n">
        <x:v>1539</x:v>
      </x:c>
      <x:c r="H1543" s="53" t="b">
        <x:v>1</x:v>
      </x:c>
      <x:c r="I1543" s="47" t="str">
        <x:v>4109905524</x:v>
      </x:c>
      <x:c r="J1543" s="47" t="n">
        <x:v>81900573</x:v>
      </x:c>
      <x:c r="K1543" s="53" t="b">
        <x:v>1</x:v>
      </x:c>
      <x:c r="L1543" s="53" t="b">
        <x:v>1</x:v>
      </x:c>
      <x:c r="M1543" s="53" t="b">
        <x:v>1</x:v>
      </x:c>
      <x:c r="N1543" s="53" t="b">
        <x:v>1</x:v>
      </x:c>
      <x:c r="O1543" s="53" t="b">
        <x:v>1</x:v>
      </x:c>
      <x:c r="P1543" s="47" t="n">
        <x:v>1010</x:v>
      </x:c>
      <x:c r="Q1543" s="47" t="n">
        <x:v>0</x:v>
      </x:c>
      <x:c r="R1543" s="47" t="n">
        <x:v>0</x:v>
      </x:c>
      <x:c r="S1543" s="47" t="n">
        <x:v>29.14</x:v>
      </x:c>
      <x:c r="T1543" s="47" t="n">
        <x:v>65.13</x:v>
      </x:c>
      <x:c r="U1543" s="47" t="n">
        <x:v>30.2</x:v>
      </x:c>
      <x:c r="V1543" s="47" t="n">
        <x:v>19</x:v>
      </x:c>
      <x:c r="W1543" s="47" t="n">
        <x:v>0</x:v>
      </x:c>
      <x:c r="X1543" s="47" t="n">
        <x:v>0</x:v>
      </x:c>
      <x:c r="Y1543" s="41" t="n">
        <x:v>0</x:v>
      </x:c>
    </x:row>
    <x:row r="1544">
      <x:c r="A1544" s="38" t="str">
        <x:v>7月30日现场数据</x:v>
      </x:c>
      <x:c r="B1544" s="66" t="str">
        <x:v>2026-08-04T22:07:56.428000</x:v>
      </x:c>
      <x:c r="C1544" s="47" t="n">
        <x:v>300980</x:v>
      </x:c>
      <x:c r="D1544" s="47" t="str"/>
      <x:c r="E1544" s="47" t="str"/>
      <x:c r="F1544" s="47" t="str">
        <x:v>current</x:v>
      </x:c>
      <x:c r="G1544" s="47" t="n">
        <x:v>1540</x:v>
      </x:c>
      <x:c r="H1544" s="53" t="b">
        <x:v>1</x:v>
      </x:c>
      <x:c r="I1544" s="47" t="str">
        <x:v>4109905524</x:v>
      </x:c>
      <x:c r="J1544" s="47" t="n">
        <x:v>82201553</x:v>
      </x:c>
      <x:c r="K1544" s="53" t="b">
        <x:v>1</x:v>
      </x:c>
      <x:c r="L1544" s="53" t="b">
        <x:v>1</x:v>
      </x:c>
      <x:c r="M1544" s="53" t="b">
        <x:v>1</x:v>
      </x:c>
      <x:c r="N1544" s="53" t="b">
        <x:v>1</x:v>
      </x:c>
      <x:c r="O1544" s="53" t="b">
        <x:v>1</x:v>
      </x:c>
      <x:c r="P1544" s="47" t="n">
        <x:v>1010</x:v>
      </x:c>
      <x:c r="Q1544" s="47" t="n">
        <x:v>0</x:v>
      </x:c>
      <x:c r="R1544" s="47" t="n">
        <x:v>0</x:v>
      </x:c>
      <x:c r="S1544" s="47" t="n">
        <x:v>29.13</x:v>
      </x:c>
      <x:c r="T1544" s="47" t="n">
        <x:v>65.25</x:v>
      </x:c>
      <x:c r="U1544" s="47" t="n">
        <x:v>30.2</x:v>
      </x:c>
      <x:c r="V1544" s="47" t="n">
        <x:v>18.8</x:v>
      </x:c>
      <x:c r="W1544" s="47" t="n">
        <x:v>0</x:v>
      </x:c>
      <x:c r="X1544" s="47" t="n">
        <x:v>0</x:v>
      </x:c>
      <x:c r="Y1544" s="41" t="n">
        <x:v>0</x:v>
      </x:c>
    </x:row>
    <x:row r="1545">
      <x:c r="A1545" s="38" t="str">
        <x:v>7月30日现场数据</x:v>
      </x:c>
      <x:c r="B1545" s="66" t="str">
        <x:v>2026-08-04T22:12:57.409000</x:v>
      </x:c>
      <x:c r="C1545" s="47" t="n">
        <x:v>300981</x:v>
      </x:c>
      <x:c r="D1545" s="47" t="str"/>
      <x:c r="E1545" s="47" t="str"/>
      <x:c r="F1545" s="47" t="str">
        <x:v>current</x:v>
      </x:c>
      <x:c r="G1545" s="47" t="n">
        <x:v>1541</x:v>
      </x:c>
      <x:c r="H1545" s="53" t="b">
        <x:v>1</x:v>
      </x:c>
      <x:c r="I1545" s="47" t="str">
        <x:v>4109905524</x:v>
      </x:c>
      <x:c r="J1545" s="47" t="n">
        <x:v>82502534</x:v>
      </x:c>
      <x:c r="K1545" s="53" t="b">
        <x:v>1</x:v>
      </x:c>
      <x:c r="L1545" s="53" t="b">
        <x:v>1</x:v>
      </x:c>
      <x:c r="M1545" s="53" t="b">
        <x:v>1</x:v>
      </x:c>
      <x:c r="N1545" s="53" t="b">
        <x:v>1</x:v>
      </x:c>
      <x:c r="O1545" s="53" t="b">
        <x:v>1</x:v>
      </x:c>
      <x:c r="P1545" s="47" t="n">
        <x:v>1010</x:v>
      </x:c>
      <x:c r="Q1545" s="47" t="n">
        <x:v>0</x:v>
      </x:c>
      <x:c r="R1545" s="47" t="n">
        <x:v>0</x:v>
      </x:c>
      <x:c r="S1545" s="47" t="n">
        <x:v>29.12</x:v>
      </x:c>
      <x:c r="T1545" s="47" t="n">
        <x:v>65.45</x:v>
      </x:c>
      <x:c r="U1545" s="47" t="n">
        <x:v>30.2</x:v>
      </x:c>
      <x:c r="V1545" s="47" t="n">
        <x:v>18.6</x:v>
      </x:c>
      <x:c r="W1545" s="47" t="n">
        <x:v>0</x:v>
      </x:c>
      <x:c r="X1545" s="47" t="n">
        <x:v>0</x:v>
      </x:c>
      <x:c r="Y1545" s="41" t="n">
        <x:v>0</x:v>
      </x:c>
    </x:row>
    <x:row r="1546">
      <x:c r="A1546" s="38" t="str">
        <x:v>7月30日现场数据</x:v>
      </x:c>
      <x:c r="B1546" s="66" t="str">
        <x:v>2026-08-04T22:17:58.427000</x:v>
      </x:c>
      <x:c r="C1546" s="47" t="n">
        <x:v>301018</x:v>
      </x:c>
      <x:c r="D1546" s="47" t="str"/>
      <x:c r="E1546" s="47" t="str"/>
      <x:c r="F1546" s="47" t="str">
        <x:v>current</x:v>
      </x:c>
      <x:c r="G1546" s="47" t="n">
        <x:v>1542</x:v>
      </x:c>
      <x:c r="H1546" s="53" t="b">
        <x:v>1</x:v>
      </x:c>
      <x:c r="I1546" s="47" t="str">
        <x:v>4109905524</x:v>
      </x:c>
      <x:c r="J1546" s="47" t="n">
        <x:v>82803552</x:v>
      </x:c>
      <x:c r="K1546" s="53" t="b">
        <x:v>1</x:v>
      </x:c>
      <x:c r="L1546" s="53" t="b">
        <x:v>1</x:v>
      </x:c>
      <x:c r="M1546" s="53" t="b">
        <x:v>1</x:v>
      </x:c>
      <x:c r="N1546" s="53" t="b">
        <x:v>1</x:v>
      </x:c>
      <x:c r="O1546" s="53" t="b">
        <x:v>1</x:v>
      </x:c>
      <x:c r="P1546" s="47" t="n">
        <x:v>1010</x:v>
      </x:c>
      <x:c r="Q1546" s="47" t="n">
        <x:v>0</x:v>
      </x:c>
      <x:c r="R1546" s="47" t="n">
        <x:v>0</x:v>
      </x:c>
      <x:c r="S1546" s="47" t="n">
        <x:v>29.18</x:v>
      </x:c>
      <x:c r="T1546" s="47" t="n">
        <x:v>65.66</x:v>
      </x:c>
      <x:c r="U1546" s="47" t="n">
        <x:v>30.3</x:v>
      </x:c>
      <x:c r="V1546" s="47" t="n">
        <x:v>18.5</x:v>
      </x:c>
      <x:c r="W1546" s="47" t="n">
        <x:v>0</x:v>
      </x:c>
      <x:c r="X1546" s="47" t="n">
        <x:v>0</x:v>
      </x:c>
      <x:c r="Y1546" s="41" t="n">
        <x:v>0</x:v>
      </x:c>
    </x:row>
    <x:row r="1547">
      <x:c r="A1547" s="38" t="str">
        <x:v>7月30日现场数据</x:v>
      </x:c>
      <x:c r="B1547" s="66" t="str">
        <x:v>2026-08-04T22:22:59.386000</x:v>
      </x:c>
      <x:c r="C1547" s="47" t="n">
        <x:v>300959</x:v>
      </x:c>
      <x:c r="D1547" s="47" t="str"/>
      <x:c r="E1547" s="47" t="str"/>
      <x:c r="F1547" s="47" t="str">
        <x:v>current</x:v>
      </x:c>
      <x:c r="G1547" s="47" t="n">
        <x:v>1543</x:v>
      </x:c>
      <x:c r="H1547" s="53" t="b">
        <x:v>1</x:v>
      </x:c>
      <x:c r="I1547" s="47" t="str">
        <x:v>4109905524</x:v>
      </x:c>
      <x:c r="J1547" s="47" t="n">
        <x:v>83104511</x:v>
      </x:c>
      <x:c r="K1547" s="53" t="b">
        <x:v>1</x:v>
      </x:c>
      <x:c r="L1547" s="53" t="b">
        <x:v>1</x:v>
      </x:c>
      <x:c r="M1547" s="53" t="b">
        <x:v>1</x:v>
      </x:c>
      <x:c r="N1547" s="53" t="b">
        <x:v>1</x:v>
      </x:c>
      <x:c r="O1547" s="53" t="b">
        <x:v>1</x:v>
      </x:c>
      <x:c r="P1547" s="47" t="n">
        <x:v>1010</x:v>
      </x:c>
      <x:c r="Q1547" s="47" t="n">
        <x:v>0</x:v>
      </x:c>
      <x:c r="R1547" s="47" t="n">
        <x:v>0</x:v>
      </x:c>
      <x:c r="S1547" s="47" t="n">
        <x:v>29.2</x:v>
      </x:c>
      <x:c r="T1547" s="47" t="n">
        <x:v>65.85</x:v>
      </x:c>
      <x:c r="U1547" s="47" t="n">
        <x:v>30.2</x:v>
      </x:c>
      <x:c r="V1547" s="47" t="n">
        <x:v>18.4</x:v>
      </x:c>
      <x:c r="W1547" s="47" t="n">
        <x:v>0</x:v>
      </x:c>
      <x:c r="X1547" s="47" t="n">
        <x:v>0</x:v>
      </x:c>
      <x:c r="Y1547" s="41" t="n">
        <x:v>0</x:v>
      </x:c>
    </x:row>
    <x:row r="1548">
      <x:c r="A1548" s="38" t="str">
        <x:v>7月30日现场数据</x:v>
      </x:c>
      <x:c r="B1548" s="66" t="str">
        <x:v>2026-08-04T22:28:00.349000</x:v>
      </x:c>
      <x:c r="C1548" s="47" t="n">
        <x:v>300963</x:v>
      </x:c>
      <x:c r="D1548" s="47" t="str"/>
      <x:c r="E1548" s="47" t="str"/>
      <x:c r="F1548" s="47" t="str">
        <x:v>current</x:v>
      </x:c>
      <x:c r="G1548" s="47" t="n">
        <x:v>1544</x:v>
      </x:c>
      <x:c r="H1548" s="53" t="b">
        <x:v>1</x:v>
      </x:c>
      <x:c r="I1548" s="47" t="str">
        <x:v>4109905524</x:v>
      </x:c>
      <x:c r="J1548" s="47" t="n">
        <x:v>83405474</x:v>
      </x:c>
      <x:c r="K1548" s="53" t="b">
        <x:v>1</x:v>
      </x:c>
      <x:c r="L1548" s="53" t="b">
        <x:v>1</x:v>
      </x:c>
      <x:c r="M1548" s="53" t="b">
        <x:v>1</x:v>
      </x:c>
      <x:c r="N1548" s="53" t="b">
        <x:v>1</x:v>
      </x:c>
      <x:c r="O1548" s="53" t="b">
        <x:v>1</x:v>
      </x:c>
      <x:c r="P1548" s="47" t="n">
        <x:v>1010</x:v>
      </x:c>
      <x:c r="Q1548" s="47" t="n">
        <x:v>0</x:v>
      </x:c>
      <x:c r="R1548" s="47" t="n">
        <x:v>0</x:v>
      </x:c>
      <x:c r="S1548" s="47" t="n">
        <x:v>29.15</x:v>
      </x:c>
      <x:c r="T1548" s="47" t="n">
        <x:v>66.08</x:v>
      </x:c>
      <x:c r="U1548" s="47" t="n">
        <x:v>30.2</x:v>
      </x:c>
      <x:c r="V1548" s="47" t="n">
        <x:v>18.3</x:v>
      </x:c>
      <x:c r="W1548" s="47" t="n">
        <x:v>0</x:v>
      </x:c>
      <x:c r="X1548" s="47" t="n">
        <x:v>0</x:v>
      </x:c>
      <x:c r="Y1548" s="41" t="n">
        <x:v>0</x:v>
      </x:c>
    </x:row>
    <x:row r="1549">
      <x:c r="A1549" s="38" t="str">
        <x:v>7月30日现场数据</x:v>
      </x:c>
      <x:c r="B1549" s="66" t="str">
        <x:v>2026-08-04T22:33:01.312000</x:v>
      </x:c>
      <x:c r="C1549" s="47" t="n">
        <x:v>300963</x:v>
      </x:c>
      <x:c r="D1549" s="47" t="str"/>
      <x:c r="E1549" s="47" t="str"/>
      <x:c r="F1549" s="47" t="str">
        <x:v>current</x:v>
      </x:c>
      <x:c r="G1549" s="47" t="n">
        <x:v>1545</x:v>
      </x:c>
      <x:c r="H1549" s="53" t="b">
        <x:v>1</x:v>
      </x:c>
      <x:c r="I1549" s="47" t="str">
        <x:v>4109905524</x:v>
      </x:c>
      <x:c r="J1549" s="47" t="n">
        <x:v>83706437</x:v>
      </x:c>
      <x:c r="K1549" s="53" t="b">
        <x:v>1</x:v>
      </x:c>
      <x:c r="L1549" s="53" t="b">
        <x:v>1</x:v>
      </x:c>
      <x:c r="M1549" s="53" t="b">
        <x:v>1</x:v>
      </x:c>
      <x:c r="N1549" s="53" t="b">
        <x:v>1</x:v>
      </x:c>
      <x:c r="O1549" s="53" t="b">
        <x:v>1</x:v>
      </x:c>
      <x:c r="P1549" s="47" t="n">
        <x:v>1010</x:v>
      </x:c>
      <x:c r="Q1549" s="47" t="n">
        <x:v>0</x:v>
      </x:c>
      <x:c r="R1549" s="47" t="n">
        <x:v>0</x:v>
      </x:c>
      <x:c r="S1549" s="47" t="n">
        <x:v>29.13</x:v>
      </x:c>
      <x:c r="T1549" s="47" t="n">
        <x:v>66.31</x:v>
      </x:c>
      <x:c r="U1549" s="47" t="n">
        <x:v>30.2</x:v>
      </x:c>
      <x:c r="V1549" s="47" t="n">
        <x:v>18.2</x:v>
      </x:c>
      <x:c r="W1549" s="47" t="n">
        <x:v>0</x:v>
      </x:c>
      <x:c r="X1549" s="47" t="n">
        <x:v>0</x:v>
      </x:c>
      <x:c r="Y1549" s="41" t="n">
        <x:v>0</x:v>
      </x:c>
    </x:row>
    <x:row r="1550">
      <x:c r="A1550" s="38" t="str">
        <x:v>7月30日现场数据</x:v>
      </x:c>
      <x:c r="B1550" s="66" t="str">
        <x:v>2026-08-04T22:38:02.279000</x:v>
      </x:c>
      <x:c r="C1550" s="47" t="n">
        <x:v>300967</x:v>
      </x:c>
      <x:c r="D1550" s="47" t="str"/>
      <x:c r="E1550" s="47" t="str"/>
      <x:c r="F1550" s="47" t="str">
        <x:v>current</x:v>
      </x:c>
      <x:c r="G1550" s="47" t="n">
        <x:v>1546</x:v>
      </x:c>
      <x:c r="H1550" s="53" t="b">
        <x:v>1</x:v>
      </x:c>
      <x:c r="I1550" s="47" t="str">
        <x:v>4109905524</x:v>
      </x:c>
      <x:c r="J1550" s="47" t="n">
        <x:v>84007404</x:v>
      </x:c>
      <x:c r="K1550" s="53" t="b">
        <x:v>1</x:v>
      </x:c>
      <x:c r="L1550" s="53" t="b">
        <x:v>1</x:v>
      </x:c>
      <x:c r="M1550" s="53" t="b">
        <x:v>1</x:v>
      </x:c>
      <x:c r="N1550" s="53" t="b">
        <x:v>1</x:v>
      </x:c>
      <x:c r="O1550" s="53" t="b">
        <x:v>1</x:v>
      </x:c>
      <x:c r="P1550" s="47" t="n">
        <x:v>1010</x:v>
      </x:c>
      <x:c r="Q1550" s="47" t="n">
        <x:v>0</x:v>
      </x:c>
      <x:c r="R1550" s="47" t="n">
        <x:v>0</x:v>
      </x:c>
      <x:c r="S1550" s="47" t="n">
        <x:v>29.07</x:v>
      </x:c>
      <x:c r="T1550" s="47" t="n">
        <x:v>66.51</x:v>
      </x:c>
      <x:c r="U1550" s="47" t="n">
        <x:v>30.2</x:v>
      </x:c>
      <x:c r="V1550" s="47" t="n">
        <x:v>18.1</x:v>
      </x:c>
      <x:c r="W1550" s="47" t="n">
        <x:v>0</x:v>
      </x:c>
      <x:c r="X1550" s="47" t="n">
        <x:v>0</x:v>
      </x:c>
      <x:c r="Y1550" s="41" t="n">
        <x:v>0</x:v>
      </x:c>
    </x:row>
    <x:row r="1551">
      <x:c r="A1551" s="38" t="str">
        <x:v>7月30日现场数据</x:v>
      </x:c>
      <x:c r="B1551" s="66" t="str">
        <x:v>2026-08-04T22:43:03.246000</x:v>
      </x:c>
      <x:c r="C1551" s="47" t="n">
        <x:v>300967</x:v>
      </x:c>
      <x:c r="D1551" s="47" t="str"/>
      <x:c r="E1551" s="47" t="str"/>
      <x:c r="F1551" s="47" t="str">
        <x:v>current</x:v>
      </x:c>
      <x:c r="G1551" s="47" t="n">
        <x:v>1547</x:v>
      </x:c>
      <x:c r="H1551" s="53" t="b">
        <x:v>1</x:v>
      </x:c>
      <x:c r="I1551" s="47" t="str">
        <x:v>4109905524</x:v>
      </x:c>
      <x:c r="J1551" s="47" t="n">
        <x:v>84308371</x:v>
      </x:c>
      <x:c r="K1551" s="53" t="b">
        <x:v>1</x:v>
      </x:c>
      <x:c r="L1551" s="53" t="b">
        <x:v>1</x:v>
      </x:c>
      <x:c r="M1551" s="53" t="b">
        <x:v>1</x:v>
      </x:c>
      <x:c r="N1551" s="53" t="b">
        <x:v>1</x:v>
      </x:c>
      <x:c r="O1551" s="53" t="b">
        <x:v>1</x:v>
      </x:c>
      <x:c r="P1551" s="47" t="n">
        <x:v>1010</x:v>
      </x:c>
      <x:c r="Q1551" s="47" t="n">
        <x:v>0</x:v>
      </x:c>
      <x:c r="R1551" s="47" t="n">
        <x:v>0</x:v>
      </x:c>
      <x:c r="S1551" s="47" t="n">
        <x:v>29.07</x:v>
      </x:c>
      <x:c r="T1551" s="47" t="n">
        <x:v>66.62</x:v>
      </x:c>
      <x:c r="U1551" s="47" t="n">
        <x:v>30.2</x:v>
      </x:c>
      <x:c r="V1551" s="47" t="n">
        <x:v>18</x:v>
      </x:c>
      <x:c r="W1551" s="47" t="n">
        <x:v>0</x:v>
      </x:c>
      <x:c r="X1551" s="47" t="n">
        <x:v>0</x:v>
      </x:c>
      <x:c r="Y1551" s="41" t="n">
        <x:v>0</x:v>
      </x:c>
    </x:row>
    <x:row r="1552">
      <x:c r="A1552" s="38" t="str">
        <x:v>7月30日现场数据</x:v>
      </x:c>
      <x:c r="B1552" s="66" t="str">
        <x:v>2026-08-04T22:48:04.214000</x:v>
      </x:c>
      <x:c r="C1552" s="47" t="n">
        <x:v>300968</x:v>
      </x:c>
      <x:c r="D1552" s="47" t="str"/>
      <x:c r="E1552" s="47" t="str"/>
      <x:c r="F1552" s="47" t="str">
        <x:v>current</x:v>
      </x:c>
      <x:c r="G1552" s="47" t="n">
        <x:v>1548</x:v>
      </x:c>
      <x:c r="H1552" s="53" t="b">
        <x:v>1</x:v>
      </x:c>
      <x:c r="I1552" s="47" t="str">
        <x:v>4109905524</x:v>
      </x:c>
      <x:c r="J1552" s="47" t="n">
        <x:v>84609339</x:v>
      </x:c>
      <x:c r="K1552" s="53" t="b">
        <x:v>1</x:v>
      </x:c>
      <x:c r="L1552" s="53" t="b">
        <x:v>1</x:v>
      </x:c>
      <x:c r="M1552" s="53" t="b">
        <x:v>1</x:v>
      </x:c>
      <x:c r="N1552" s="53" t="b">
        <x:v>1</x:v>
      </x:c>
      <x:c r="O1552" s="53" t="b">
        <x:v>1</x:v>
      </x:c>
      <x:c r="P1552" s="47" t="n">
        <x:v>1010</x:v>
      </x:c>
      <x:c r="Q1552" s="47" t="n">
        <x:v>0</x:v>
      </x:c>
      <x:c r="R1552" s="47" t="n">
        <x:v>0</x:v>
      </x:c>
      <x:c r="S1552" s="47" t="n">
        <x:v>29.12</x:v>
      </x:c>
      <x:c r="T1552" s="47" t="n">
        <x:v>66.88</x:v>
      </x:c>
      <x:c r="U1552" s="47" t="n">
        <x:v>30.2</x:v>
      </x:c>
      <x:c r="V1552" s="47" t="n">
        <x:v>18.1</x:v>
      </x:c>
      <x:c r="W1552" s="47" t="n">
        <x:v>0</x:v>
      </x:c>
      <x:c r="X1552" s="47" t="n">
        <x:v>0</x:v>
      </x:c>
      <x:c r="Y1552" s="41" t="n">
        <x:v>0</x:v>
      </x:c>
    </x:row>
    <x:row r="1553">
      <x:c r="A1553" s="38" t="str">
        <x:v>7月30日现场数据</x:v>
      </x:c>
      <x:c r="B1553" s="66" t="str">
        <x:v>2026-08-04T22:53:05.183000</x:v>
      </x:c>
      <x:c r="C1553" s="47" t="n">
        <x:v>300969</x:v>
      </x:c>
      <x:c r="D1553" s="47" t="str"/>
      <x:c r="E1553" s="47" t="str"/>
      <x:c r="F1553" s="47" t="str">
        <x:v>current</x:v>
      </x:c>
      <x:c r="G1553" s="47" t="n">
        <x:v>1549</x:v>
      </x:c>
      <x:c r="H1553" s="53" t="b">
        <x:v>1</x:v>
      </x:c>
      <x:c r="I1553" s="47" t="str">
        <x:v>4109905524</x:v>
      </x:c>
      <x:c r="J1553" s="47" t="n">
        <x:v>84910308</x:v>
      </x:c>
      <x:c r="K1553" s="53" t="b">
        <x:v>1</x:v>
      </x:c>
      <x:c r="L1553" s="53" t="b">
        <x:v>1</x:v>
      </x:c>
      <x:c r="M1553" s="53" t="b">
        <x:v>1</x:v>
      </x:c>
      <x:c r="N1553" s="53" t="b">
        <x:v>1</x:v>
      </x:c>
      <x:c r="O1553" s="53" t="b">
        <x:v>1</x:v>
      </x:c>
      <x:c r="P1553" s="47" t="n">
        <x:v>1010</x:v>
      </x:c>
      <x:c r="Q1553" s="47" t="n">
        <x:v>0</x:v>
      </x:c>
      <x:c r="R1553" s="47" t="n">
        <x:v>0</x:v>
      </x:c>
      <x:c r="S1553" s="47" t="n">
        <x:v>29.08</x:v>
      </x:c>
      <x:c r="T1553" s="47" t="n">
        <x:v>67.07</x:v>
      </x:c>
      <x:c r="U1553" s="47" t="n">
        <x:v>30.2</x:v>
      </x:c>
      <x:c r="V1553" s="47" t="n">
        <x:v>18</x:v>
      </x:c>
      <x:c r="W1553" s="47" t="n">
        <x:v>0</x:v>
      </x:c>
      <x:c r="X1553" s="47" t="n">
        <x:v>0</x:v>
      </x:c>
      <x:c r="Y1553" s="41" t="n">
        <x:v>0</x:v>
      </x:c>
    </x:row>
    <x:row r="1554">
      <x:c r="A1554" s="38" t="str">
        <x:v>7月30日现场数据</x:v>
      </x:c>
      <x:c r="B1554" s="66" t="str">
        <x:v>2026-08-04T22:58:06.156000</x:v>
      </x:c>
      <x:c r="C1554" s="47" t="n">
        <x:v>300973</x:v>
      </x:c>
      <x:c r="D1554" s="47" t="str"/>
      <x:c r="E1554" s="47" t="str"/>
      <x:c r="F1554" s="47" t="str">
        <x:v>current</x:v>
      </x:c>
      <x:c r="G1554" s="47" t="n">
        <x:v>1550</x:v>
      </x:c>
      <x:c r="H1554" s="53" t="b">
        <x:v>1</x:v>
      </x:c>
      <x:c r="I1554" s="47" t="str">
        <x:v>4109905524</x:v>
      </x:c>
      <x:c r="J1554" s="47" t="n">
        <x:v>85211281</x:v>
      </x:c>
      <x:c r="K1554" s="53" t="b">
        <x:v>1</x:v>
      </x:c>
      <x:c r="L1554" s="53" t="b">
        <x:v>1</x:v>
      </x:c>
      <x:c r="M1554" s="53" t="b">
        <x:v>1</x:v>
      </x:c>
      <x:c r="N1554" s="53" t="b">
        <x:v>1</x:v>
      </x:c>
      <x:c r="O1554" s="53" t="b">
        <x:v>1</x:v>
      </x:c>
      <x:c r="P1554" s="47" t="n">
        <x:v>1010</x:v>
      </x:c>
      <x:c r="Q1554" s="47" t="n">
        <x:v>0.032</x:v>
      </x:c>
      <x:c r="R1554" s="47" t="n">
        <x:v>0.857</x:v>
      </x:c>
      <x:c r="S1554" s="47" t="n">
        <x:v>29.08</x:v>
      </x:c>
      <x:c r="T1554" s="47" t="n">
        <x:v>67.26</x:v>
      </x:c>
      <x:c r="U1554" s="47" t="n">
        <x:v>30.1</x:v>
      </x:c>
      <x:c r="V1554" s="47" t="n">
        <x:v>18.6</x:v>
      </x:c>
      <x:c r="W1554" s="47" t="n">
        <x:v>0</x:v>
      </x:c>
      <x:c r="X1554" s="47" t="n">
        <x:v>0</x:v>
      </x:c>
      <x:c r="Y1554" s="41" t="n">
        <x:v>0</x:v>
      </x:c>
    </x:row>
    <x:row r="1555">
      <x:c r="A1555" s="38" t="str">
        <x:v>7月30日现场数据</x:v>
      </x:c>
      <x:c r="B1555" s="66" t="str">
        <x:v>2026-08-04T23:03:07.132000</x:v>
      </x:c>
      <x:c r="C1555" s="47" t="n">
        <x:v>300976</x:v>
      </x:c>
      <x:c r="D1555" s="47" t="str"/>
      <x:c r="E1555" s="47" t="str"/>
      <x:c r="F1555" s="47" t="str">
        <x:v>current</x:v>
      </x:c>
      <x:c r="G1555" s="47" t="n">
        <x:v>1551</x:v>
      </x:c>
      <x:c r="H1555" s="53" t="b">
        <x:v>1</x:v>
      </x:c>
      <x:c r="I1555" s="47" t="str">
        <x:v>4109905524</x:v>
      </x:c>
      <x:c r="J1555" s="47" t="n">
        <x:v>85512257</x:v>
      </x:c>
      <x:c r="K1555" s="53" t="b">
        <x:v>1</x:v>
      </x:c>
      <x:c r="L1555" s="53" t="b">
        <x:v>1</x:v>
      </x:c>
      <x:c r="M1555" s="53" t="b">
        <x:v>1</x:v>
      </x:c>
      <x:c r="N1555" s="53" t="b">
        <x:v>1</x:v>
      </x:c>
      <x:c r="O1555" s="53" t="b">
        <x:v>1</x:v>
      </x:c>
      <x:c r="P1555" s="47" t="n">
        <x:v>1010</x:v>
      </x:c>
      <x:c r="Q1555" s="47" t="n">
        <x:v>0</x:v>
      </x:c>
      <x:c r="R1555" s="47" t="n">
        <x:v>0</x:v>
      </x:c>
      <x:c r="S1555" s="47" t="n">
        <x:v>28.96</x:v>
      </x:c>
      <x:c r="T1555" s="47" t="n">
        <x:v>67.42</x:v>
      </x:c>
      <x:c r="U1555" s="47" t="n">
        <x:v>29.9</x:v>
      </x:c>
      <x:c r="V1555" s="47" t="n">
        <x:v>23.5</x:v>
      </x:c>
      <x:c r="W1555" s="47" t="n">
        <x:v>0</x:v>
      </x:c>
      <x:c r="X1555" s="47" t="n">
        <x:v>0</x:v>
      </x:c>
      <x:c r="Y1555" s="41" t="n">
        <x:v>0</x:v>
      </x:c>
    </x:row>
    <x:row r="1556">
      <x:c r="A1556" s="38" t="str">
        <x:v>7月30日现场数据</x:v>
      </x:c>
      <x:c r="B1556" s="66" t="str">
        <x:v>2026-08-04T23:08:08.109000</x:v>
      </x:c>
      <x:c r="C1556" s="47" t="n">
        <x:v>300977</x:v>
      </x:c>
      <x:c r="D1556" s="47" t="str"/>
      <x:c r="E1556" s="47" t="str"/>
      <x:c r="F1556" s="47" t="str">
        <x:v>current</x:v>
      </x:c>
      <x:c r="G1556" s="47" t="n">
        <x:v>1552</x:v>
      </x:c>
      <x:c r="H1556" s="53" t="b">
        <x:v>1</x:v>
      </x:c>
      <x:c r="I1556" s="47" t="str">
        <x:v>4109905524</x:v>
      </x:c>
      <x:c r="J1556" s="47" t="n">
        <x:v>85813234</x:v>
      </x:c>
      <x:c r="K1556" s="53" t="b">
        <x:v>1</x:v>
      </x:c>
      <x:c r="L1556" s="53" t="b">
        <x:v>1</x:v>
      </x:c>
      <x:c r="M1556" s="53" t="b">
        <x:v>1</x:v>
      </x:c>
      <x:c r="N1556" s="53" t="b">
        <x:v>1</x:v>
      </x:c>
      <x:c r="O1556" s="53" t="b">
        <x:v>1</x:v>
      </x:c>
      <x:c r="P1556" s="47" t="n">
        <x:v>1010</x:v>
      </x:c>
      <x:c r="Q1556" s="47" t="n">
        <x:v>0.105</x:v>
      </x:c>
      <x:c r="R1556" s="47" t="n">
        <x:v>2.835</x:v>
      </x:c>
      <x:c r="S1556" s="47" t="n">
        <x:v>28.89</x:v>
      </x:c>
      <x:c r="T1556" s="47" t="n">
        <x:v>67.64</x:v>
      </x:c>
      <x:c r="U1556" s="47" t="n">
        <x:v>29.9</x:v>
      </x:c>
      <x:c r="V1556" s="47" t="n">
        <x:v>22.6</x:v>
      </x:c>
      <x:c r="W1556" s="47" t="n">
        <x:v>0</x:v>
      </x:c>
      <x:c r="X1556" s="47" t="n">
        <x:v>0</x:v>
      </x:c>
      <x:c r="Y1556" s="41" t="n">
        <x:v>0</x:v>
      </x:c>
    </x:row>
    <x:row r="1557">
      <x:c r="A1557" s="38" t="str">
        <x:v>7月30日现场数据</x:v>
      </x:c>
      <x:c r="B1557" s="66" t="str">
        <x:v>2026-08-04T23:13:09.088000</x:v>
      </x:c>
      <x:c r="C1557" s="47" t="n">
        <x:v>300979</x:v>
      </x:c>
      <x:c r="D1557" s="47" t="str"/>
      <x:c r="E1557" s="47" t="str"/>
      <x:c r="F1557" s="47" t="str">
        <x:v>current</x:v>
      </x:c>
      <x:c r="G1557" s="47" t="n">
        <x:v>1553</x:v>
      </x:c>
      <x:c r="H1557" s="53" t="b">
        <x:v>1</x:v>
      </x:c>
      <x:c r="I1557" s="47" t="str">
        <x:v>4109905524</x:v>
      </x:c>
      <x:c r="J1557" s="47" t="n">
        <x:v>86114213</x:v>
      </x:c>
      <x:c r="K1557" s="53" t="b">
        <x:v>1</x:v>
      </x:c>
      <x:c r="L1557" s="53" t="b">
        <x:v>1</x:v>
      </x:c>
      <x:c r="M1557" s="53" t="b">
        <x:v>1</x:v>
      </x:c>
      <x:c r="N1557" s="53" t="b">
        <x:v>1</x:v>
      </x:c>
      <x:c r="O1557" s="53" t="b">
        <x:v>1</x:v>
      </x:c>
      <x:c r="P1557" s="47" t="n">
        <x:v>1009</x:v>
      </x:c>
      <x:c r="Q1557" s="47" t="n">
        <x:v>0</x:v>
      </x:c>
      <x:c r="R1557" s="47" t="n">
        <x:v>0</x:v>
      </x:c>
      <x:c r="S1557" s="47" t="n">
        <x:v>28.82</x:v>
      </x:c>
      <x:c r="T1557" s="47" t="n">
        <x:v>67.81</x:v>
      </x:c>
      <x:c r="U1557" s="47" t="n">
        <x:v>29.9</x:v>
      </x:c>
      <x:c r="V1557" s="47" t="n">
        <x:v>21.5</x:v>
      </x:c>
      <x:c r="W1557" s="47" t="n">
        <x:v>0</x:v>
      </x:c>
      <x:c r="X1557" s="47" t="n">
        <x:v>0</x:v>
      </x:c>
      <x:c r="Y1557" s="41" t="n">
        <x:v>0</x:v>
      </x:c>
    </x:row>
    <x:row r="1558">
      <x:c r="A1558" s="38" t="str">
        <x:v>7月30日现场数据</x:v>
      </x:c>
      <x:c r="B1558" s="66" t="str">
        <x:v>2026-08-04T23:18:10.067000</x:v>
      </x:c>
      <x:c r="C1558" s="47" t="n">
        <x:v>300979</x:v>
      </x:c>
      <x:c r="D1558" s="47" t="str"/>
      <x:c r="E1558" s="47" t="str"/>
      <x:c r="F1558" s="47" t="str">
        <x:v>current</x:v>
      </x:c>
      <x:c r="G1558" s="47" t="n">
        <x:v>1554</x:v>
      </x:c>
      <x:c r="H1558" s="53" t="b">
        <x:v>1</x:v>
      </x:c>
      <x:c r="I1558" s="47" t="str">
        <x:v>4109905524</x:v>
      </x:c>
      <x:c r="J1558" s="47" t="n">
        <x:v>86415192</x:v>
      </x:c>
      <x:c r="K1558" s="53" t="b">
        <x:v>1</x:v>
      </x:c>
      <x:c r="L1558" s="53" t="b">
        <x:v>1</x:v>
      </x:c>
      <x:c r="M1558" s="53" t="b">
        <x:v>1</x:v>
      </x:c>
      <x:c r="N1558" s="53" t="b">
        <x:v>1</x:v>
      </x:c>
      <x:c r="O1558" s="53" t="b">
        <x:v>1</x:v>
      </x:c>
      <x:c r="P1558" s="47" t="n">
        <x:v>1010</x:v>
      </x:c>
      <x:c r="Q1558" s="47" t="n">
        <x:v>0</x:v>
      </x:c>
      <x:c r="R1558" s="47" t="n">
        <x:v>0</x:v>
      </x:c>
      <x:c r="S1558" s="47" t="n">
        <x:v>28.85</x:v>
      </x:c>
      <x:c r="T1558" s="47" t="n">
        <x:v>67.97</x:v>
      </x:c>
      <x:c r="U1558" s="47" t="n">
        <x:v>29.9</x:v>
      </x:c>
      <x:c r="V1558" s="47" t="n">
        <x:v>20.8</x:v>
      </x:c>
      <x:c r="W1558" s="47" t="n">
        <x:v>0</x:v>
      </x:c>
      <x:c r="X1558" s="47" t="n">
        <x:v>0</x:v>
      </x:c>
      <x:c r="Y1558" s="41" t="n">
        <x:v>0</x:v>
      </x:c>
    </x:row>
    <x:row r="1559">
      <x:c r="A1559" s="38" t="str">
        <x:v>7月30日现场数据</x:v>
      </x:c>
      <x:c r="B1559" s="66" t="str">
        <x:v>2026-08-04T23:23:11.048000</x:v>
      </x:c>
      <x:c r="C1559" s="47" t="n">
        <x:v>300981</x:v>
      </x:c>
      <x:c r="D1559" s="47" t="str"/>
      <x:c r="E1559" s="47" t="str"/>
      <x:c r="F1559" s="47" t="str">
        <x:v>current</x:v>
      </x:c>
      <x:c r="G1559" s="47" t="n">
        <x:v>1555</x:v>
      </x:c>
      <x:c r="H1559" s="53" t="b">
        <x:v>1</x:v>
      </x:c>
      <x:c r="I1559" s="47" t="str">
        <x:v>4109905524</x:v>
      </x:c>
      <x:c r="J1559" s="47" t="n">
        <x:v>86716173</x:v>
      </x:c>
      <x:c r="K1559" s="53" t="b">
        <x:v>1</x:v>
      </x:c>
      <x:c r="L1559" s="53" t="b">
        <x:v>1</x:v>
      </x:c>
      <x:c r="M1559" s="53" t="b">
        <x:v>1</x:v>
      </x:c>
      <x:c r="N1559" s="53" t="b">
        <x:v>1</x:v>
      </x:c>
      <x:c r="O1559" s="53" t="b">
        <x:v>1</x:v>
      </x:c>
      <x:c r="P1559" s="47" t="n">
        <x:v>1010</x:v>
      </x:c>
      <x:c r="Q1559" s="47" t="n">
        <x:v>0</x:v>
      </x:c>
      <x:c r="R1559" s="47" t="n">
        <x:v>0</x:v>
      </x:c>
      <x:c r="S1559" s="47" t="n">
        <x:v>28.81</x:v>
      </x:c>
      <x:c r="T1559" s="47" t="n">
        <x:v>68.22</x:v>
      </x:c>
      <x:c r="U1559" s="47" t="n">
        <x:v>29.9</x:v>
      </x:c>
      <x:c r="V1559" s="47" t="n">
        <x:v>20.6</x:v>
      </x:c>
      <x:c r="W1559" s="47" t="n">
        <x:v>0</x:v>
      </x:c>
      <x:c r="X1559" s="47" t="n">
        <x:v>0</x:v>
      </x:c>
      <x:c r="Y1559" s="41" t="n">
        <x:v>0</x:v>
      </x:c>
    </x:row>
    <x:row r="1560">
      <x:c r="A1560" s="38" t="str">
        <x:v>7月30日现场数据</x:v>
      </x:c>
      <x:c r="B1560" s="66" t="str">
        <x:v>2026-08-04T23:28:12.033000</x:v>
      </x:c>
      <x:c r="C1560" s="47" t="n">
        <x:v>300985</x:v>
      </x:c>
      <x:c r="D1560" s="47" t="str"/>
      <x:c r="E1560" s="47" t="str"/>
      <x:c r="F1560" s="47" t="str">
        <x:v>current</x:v>
      </x:c>
      <x:c r="G1560" s="47" t="n">
        <x:v>1556</x:v>
      </x:c>
      <x:c r="H1560" s="53" t="b">
        <x:v>1</x:v>
      </x:c>
      <x:c r="I1560" s="47" t="str">
        <x:v>4109905524</x:v>
      </x:c>
      <x:c r="J1560" s="47" t="n">
        <x:v>87017158</x:v>
      </x:c>
      <x:c r="K1560" s="53" t="b">
        <x:v>1</x:v>
      </x:c>
      <x:c r="L1560" s="53" t="b">
        <x:v>1</x:v>
      </x:c>
      <x:c r="M1560" s="53" t="b">
        <x:v>1</x:v>
      </x:c>
      <x:c r="N1560" s="53" t="b">
        <x:v>1</x:v>
      </x:c>
      <x:c r="O1560" s="53" t="b">
        <x:v>1</x:v>
      </x:c>
      <x:c r="P1560" s="47" t="n">
        <x:v>1010</x:v>
      </x:c>
      <x:c r="Q1560" s="47" t="n">
        <x:v>0</x:v>
      </x:c>
      <x:c r="R1560" s="47" t="n">
        <x:v>0</x:v>
      </x:c>
      <x:c r="S1560" s="47" t="n">
        <x:v>28.69</x:v>
      </x:c>
      <x:c r="T1560" s="47" t="n">
        <x:v>68.33</x:v>
      </x:c>
      <x:c r="U1560" s="47" t="n">
        <x:v>29.9</x:v>
      </x:c>
      <x:c r="V1560" s="47" t="n">
        <x:v>19.9</x:v>
      </x:c>
      <x:c r="W1560" s="47" t="n">
        <x:v>0</x:v>
      </x:c>
      <x:c r="X1560" s="47" t="n">
        <x:v>0</x:v>
      </x:c>
      <x:c r="Y1560" s="41" t="n">
        <x:v>0</x:v>
      </x:c>
    </x:row>
    <x:row r="1561">
      <x:c r="A1561" s="38" t="str">
        <x:v>7月30日现场数据</x:v>
      </x:c>
      <x:c r="B1561" s="66" t="str">
        <x:v>2026-08-04T23:33:13.019000</x:v>
      </x:c>
      <x:c r="C1561" s="47" t="n">
        <x:v>300986</x:v>
      </x:c>
      <x:c r="D1561" s="47" t="str"/>
      <x:c r="E1561" s="47" t="str"/>
      <x:c r="F1561" s="47" t="str">
        <x:v>current</x:v>
      </x:c>
      <x:c r="G1561" s="47" t="n">
        <x:v>1557</x:v>
      </x:c>
      <x:c r="H1561" s="53" t="b">
        <x:v>1</x:v>
      </x:c>
      <x:c r="I1561" s="47" t="str">
        <x:v>4109905524</x:v>
      </x:c>
      <x:c r="J1561" s="47" t="n">
        <x:v>87318144</x:v>
      </x:c>
      <x:c r="K1561" s="53" t="b">
        <x:v>1</x:v>
      </x:c>
      <x:c r="L1561" s="53" t="b">
        <x:v>1</x:v>
      </x:c>
      <x:c r="M1561" s="53" t="b">
        <x:v>1</x:v>
      </x:c>
      <x:c r="N1561" s="53" t="b">
        <x:v>1</x:v>
      </x:c>
      <x:c r="O1561" s="53" t="b">
        <x:v>1</x:v>
      </x:c>
      <x:c r="P1561" s="47" t="n">
        <x:v>1010</x:v>
      </x:c>
      <x:c r="Q1561" s="47" t="n">
        <x:v>0</x:v>
      </x:c>
      <x:c r="R1561" s="47" t="n">
        <x:v>0</x:v>
      </x:c>
      <x:c r="S1561" s="47" t="n">
        <x:v>28.57</x:v>
      </x:c>
      <x:c r="T1561" s="47" t="n">
        <x:v>68.47</x:v>
      </x:c>
      <x:c r="U1561" s="47" t="n">
        <x:v>29.8</x:v>
      </x:c>
      <x:c r="V1561" s="47" t="n">
        <x:v>19.7</x:v>
      </x:c>
      <x:c r="W1561" s="47" t="n">
        <x:v>0</x:v>
      </x:c>
      <x:c r="X1561" s="47" t="n">
        <x:v>0</x:v>
      </x:c>
      <x:c r="Y1561" s="41" t="n">
        <x:v>0</x:v>
      </x:c>
    </x:row>
    <x:row r="1562">
      <x:c r="A1562" s="38" t="str">
        <x:v>7月30日现场数据</x:v>
      </x:c>
      <x:c r="B1562" s="66" t="str">
        <x:v>2026-08-04T23:38:14.040000</x:v>
      </x:c>
      <x:c r="C1562" s="47" t="n">
        <x:v>301021</x:v>
      </x:c>
      <x:c r="D1562" s="47" t="str"/>
      <x:c r="E1562" s="47" t="str"/>
      <x:c r="F1562" s="47" t="str">
        <x:v>current</x:v>
      </x:c>
      <x:c r="G1562" s="47" t="n">
        <x:v>1558</x:v>
      </x:c>
      <x:c r="H1562" s="53" t="b">
        <x:v>1</x:v>
      </x:c>
      <x:c r="I1562" s="47" t="str">
        <x:v>4109905524</x:v>
      </x:c>
      <x:c r="J1562" s="47" t="n">
        <x:v>87619165</x:v>
      </x:c>
      <x:c r="K1562" s="53" t="b">
        <x:v>1</x:v>
      </x:c>
      <x:c r="L1562" s="53" t="b">
        <x:v>1</x:v>
      </x:c>
      <x:c r="M1562" s="53" t="b">
        <x:v>1</x:v>
      </x:c>
      <x:c r="N1562" s="53" t="b">
        <x:v>1</x:v>
      </x:c>
      <x:c r="O1562" s="53" t="b">
        <x:v>1</x:v>
      </x:c>
      <x:c r="P1562" s="47" t="n">
        <x:v>1010</x:v>
      </x:c>
      <x:c r="Q1562" s="47" t="n">
        <x:v>0</x:v>
      </x:c>
      <x:c r="R1562" s="47" t="n">
        <x:v>0</x:v>
      </x:c>
      <x:c r="S1562" s="47" t="n">
        <x:v>28.49</x:v>
      </x:c>
      <x:c r="T1562" s="47" t="n">
        <x:v>68.7</x:v>
      </x:c>
      <x:c r="U1562" s="47" t="n">
        <x:v>29.8</x:v>
      </x:c>
      <x:c r="V1562" s="47" t="n">
        <x:v>19.6</x:v>
      </x:c>
      <x:c r="W1562" s="47" t="n">
        <x:v>0</x:v>
      </x:c>
      <x:c r="X1562" s="47" t="n">
        <x:v>0</x:v>
      </x:c>
      <x:c r="Y1562" s="41" t="n">
        <x:v>0</x:v>
      </x:c>
    </x:row>
    <x:row r="1563">
      <x:c r="A1563" s="38" t="str">
        <x:v>7月30日现场数据</x:v>
      </x:c>
      <x:c r="B1563" s="66" t="str">
        <x:v>2026-08-04T23:43:15.003000</x:v>
      </x:c>
      <x:c r="C1563" s="47" t="n">
        <x:v>300963</x:v>
      </x:c>
      <x:c r="D1563" s="47" t="str"/>
      <x:c r="E1563" s="47" t="str"/>
      <x:c r="F1563" s="47" t="str">
        <x:v>current</x:v>
      </x:c>
      <x:c r="G1563" s="47" t="n">
        <x:v>1559</x:v>
      </x:c>
      <x:c r="H1563" s="53" t="b">
        <x:v>1</x:v>
      </x:c>
      <x:c r="I1563" s="47" t="str">
        <x:v>4109905524</x:v>
      </x:c>
      <x:c r="J1563" s="47" t="n">
        <x:v>87920128</x:v>
      </x:c>
      <x:c r="K1563" s="53" t="b">
        <x:v>1</x:v>
      </x:c>
      <x:c r="L1563" s="53" t="b">
        <x:v>1</x:v>
      </x:c>
      <x:c r="M1563" s="53" t="b">
        <x:v>1</x:v>
      </x:c>
      <x:c r="N1563" s="53" t="b">
        <x:v>1</x:v>
      </x:c>
      <x:c r="O1563" s="53" t="b">
        <x:v>1</x:v>
      </x:c>
      <x:c r="P1563" s="47" t="n">
        <x:v>1010</x:v>
      </x:c>
      <x:c r="Q1563" s="47" t="n">
        <x:v>0</x:v>
      </x:c>
      <x:c r="R1563" s="47" t="n">
        <x:v>0</x:v>
      </x:c>
      <x:c r="S1563" s="47" t="n">
        <x:v>28.44</x:v>
      </x:c>
      <x:c r="T1563" s="47" t="n">
        <x:v>68.82</x:v>
      </x:c>
      <x:c r="U1563" s="47" t="n">
        <x:v>29.8</x:v>
      </x:c>
      <x:c r="V1563" s="47" t="n">
        <x:v>19.5</x:v>
      </x:c>
      <x:c r="W1563" s="47" t="n">
        <x:v>0</x:v>
      </x:c>
      <x:c r="X1563" s="47" t="n">
        <x:v>0</x:v>
      </x:c>
      <x:c r="Y1563" s="41" t="n">
        <x:v>0</x:v>
      </x:c>
    </x:row>
    <x:row r="1564">
      <x:c r="A1564" s="38" t="str">
        <x:v>7月30日现场数据</x:v>
      </x:c>
      <x:c r="B1564" s="66" t="str">
        <x:v>2026-08-04T23:48:15.969000</x:v>
      </x:c>
      <x:c r="C1564" s="47" t="n">
        <x:v>300966</x:v>
      </x:c>
      <x:c r="D1564" s="47" t="str"/>
      <x:c r="E1564" s="47" t="str"/>
      <x:c r="F1564" s="47" t="str">
        <x:v>current</x:v>
      </x:c>
      <x:c r="G1564" s="47" t="n">
        <x:v>1560</x:v>
      </x:c>
      <x:c r="H1564" s="53" t="b">
        <x:v>1</x:v>
      </x:c>
      <x:c r="I1564" s="47" t="str">
        <x:v>4109905524</x:v>
      </x:c>
      <x:c r="J1564" s="47" t="n">
        <x:v>88221094</x:v>
      </x:c>
      <x:c r="K1564" s="53" t="b">
        <x:v>1</x:v>
      </x:c>
      <x:c r="L1564" s="53" t="b">
        <x:v>1</x:v>
      </x:c>
      <x:c r="M1564" s="53" t="b">
        <x:v>1</x:v>
      </x:c>
      <x:c r="N1564" s="53" t="b">
        <x:v>1</x:v>
      </x:c>
      <x:c r="O1564" s="53" t="b">
        <x:v>1</x:v>
      </x:c>
      <x:c r="P1564" s="47" t="n">
        <x:v>1010</x:v>
      </x:c>
      <x:c r="Q1564" s="47" t="n">
        <x:v>0</x:v>
      </x:c>
      <x:c r="R1564" s="47" t="n">
        <x:v>0</x:v>
      </x:c>
      <x:c r="S1564" s="47" t="n">
        <x:v>28.43</x:v>
      </x:c>
      <x:c r="T1564" s="47" t="n">
        <x:v>69.03</x:v>
      </x:c>
      <x:c r="U1564" s="47" t="n">
        <x:v>29.8</x:v>
      </x:c>
      <x:c r="V1564" s="47" t="n">
        <x:v>19.4</x:v>
      </x:c>
      <x:c r="W1564" s="47" t="n">
        <x:v>0</x:v>
      </x:c>
      <x:c r="X1564" s="47" t="n">
        <x:v>0</x:v>
      </x:c>
      <x:c r="Y1564" s="41" t="n">
        <x:v>0</x:v>
      </x:c>
    </x:row>
    <x:row r="1565">
      <x:c r="A1565" s="38" t="str">
        <x:v>7月30日现场数据</x:v>
      </x:c>
      <x:c r="B1565" s="66" t="str">
        <x:v>2026-08-04T23:53:16.934000</x:v>
      </x:c>
      <x:c r="C1565" s="47" t="n">
        <x:v>300965</x:v>
      </x:c>
      <x:c r="D1565" s="47" t="str"/>
      <x:c r="E1565" s="47" t="str"/>
      <x:c r="F1565" s="47" t="str">
        <x:v>current</x:v>
      </x:c>
      <x:c r="G1565" s="47" t="n">
        <x:v>1561</x:v>
      </x:c>
      <x:c r="H1565" s="53" t="b">
        <x:v>1</x:v>
      </x:c>
      <x:c r="I1565" s="47" t="str">
        <x:v>4109905524</x:v>
      </x:c>
      <x:c r="J1565" s="47" t="n">
        <x:v>88522059</x:v>
      </x:c>
      <x:c r="K1565" s="53" t="b">
        <x:v>1</x:v>
      </x:c>
      <x:c r="L1565" s="53" t="b">
        <x:v>1</x:v>
      </x:c>
      <x:c r="M1565" s="53" t="b">
        <x:v>1</x:v>
      </x:c>
      <x:c r="N1565" s="53" t="b">
        <x:v>1</x:v>
      </x:c>
      <x:c r="O1565" s="53" t="b">
        <x:v>1</x:v>
      </x:c>
      <x:c r="P1565" s="47" t="n">
        <x:v>1010</x:v>
      </x:c>
      <x:c r="Q1565" s="47" t="n">
        <x:v>0</x:v>
      </x:c>
      <x:c r="R1565" s="47" t="n">
        <x:v>0</x:v>
      </x:c>
      <x:c r="S1565" s="47" t="n">
        <x:v>28.4</x:v>
      </x:c>
      <x:c r="T1565" s="47" t="n">
        <x:v>69.23</x:v>
      </x:c>
      <x:c r="U1565" s="47" t="n">
        <x:v>29.8</x:v>
      </x:c>
      <x:c r="V1565" s="47" t="n">
        <x:v>19.3</x:v>
      </x:c>
      <x:c r="W1565" s="47" t="n">
        <x:v>0</x:v>
      </x:c>
      <x:c r="X1565" s="47" t="n">
        <x:v>0</x:v>
      </x:c>
      <x:c r="Y1565" s="41" t="n">
        <x:v>0</x:v>
      </x:c>
    </x:row>
    <x:row r="1566">
      <x:c r="A1566" s="38" t="str">
        <x:v>7月30日现场数据</x:v>
      </x:c>
      <x:c r="B1566" s="66" t="str">
        <x:v>2026-08-04T23:58:17.901000</x:v>
      </x:c>
      <x:c r="C1566" s="47" t="n">
        <x:v>300967</x:v>
      </x:c>
      <x:c r="D1566" s="47" t="str"/>
      <x:c r="E1566" s="47" t="str"/>
      <x:c r="F1566" s="47" t="str">
        <x:v>current</x:v>
      </x:c>
      <x:c r="G1566" s="47" t="n">
        <x:v>1562</x:v>
      </x:c>
      <x:c r="H1566" s="53" t="b">
        <x:v>1</x:v>
      </x:c>
      <x:c r="I1566" s="47" t="str">
        <x:v>4109905524</x:v>
      </x:c>
      <x:c r="J1566" s="47" t="n">
        <x:v>88823026</x:v>
      </x:c>
      <x:c r="K1566" s="53" t="b">
        <x:v>1</x:v>
      </x:c>
      <x:c r="L1566" s="53" t="b">
        <x:v>1</x:v>
      </x:c>
      <x:c r="M1566" s="53" t="b">
        <x:v>1</x:v>
      </x:c>
      <x:c r="N1566" s="53" t="b">
        <x:v>1</x:v>
      </x:c>
      <x:c r="O1566" s="53" t="b">
        <x:v>1</x:v>
      </x:c>
      <x:c r="P1566" s="47" t="n">
        <x:v>1010</x:v>
      </x:c>
      <x:c r="Q1566" s="47" t="n">
        <x:v>0</x:v>
      </x:c>
      <x:c r="R1566" s="47" t="n">
        <x:v>0</x:v>
      </x:c>
      <x:c r="S1566" s="47" t="n">
        <x:v>28.41</x:v>
      </x:c>
      <x:c r="T1566" s="47" t="n">
        <x:v>69.4</x:v>
      </x:c>
      <x:c r="U1566" s="47" t="n">
        <x:v>29.8</x:v>
      </x:c>
      <x:c r="V1566" s="47" t="n">
        <x:v>19.2</x:v>
      </x:c>
      <x:c r="W1566" s="47" t="n">
        <x:v>0</x:v>
      </x:c>
      <x:c r="X1566" s="47" t="n">
        <x:v>0</x:v>
      </x:c>
      <x:c r="Y1566" s="41" t="n">
        <x:v>0</x:v>
      </x:c>
    </x:row>
    <x:row r="1567">
      <x:c r="A1567" s="38" t="str">
        <x:v>7月30日现场数据</x:v>
      </x:c>
      <x:c r="B1567" s="66" t="str">
        <x:v>2026-08-05T00:03:18.869000</x:v>
      </x:c>
      <x:c r="C1567" s="47" t="n">
        <x:v>300968</x:v>
      </x:c>
      <x:c r="D1567" s="47" t="str"/>
      <x:c r="E1567" s="47" t="str"/>
      <x:c r="F1567" s="47" t="str">
        <x:v>current</x:v>
      </x:c>
      <x:c r="G1567" s="47" t="n">
        <x:v>1563</x:v>
      </x:c>
      <x:c r="H1567" s="53" t="b">
        <x:v>1</x:v>
      </x:c>
      <x:c r="I1567" s="47" t="str">
        <x:v>4109905524</x:v>
      </x:c>
      <x:c r="J1567" s="47" t="n">
        <x:v>89123994</x:v>
      </x:c>
      <x:c r="K1567" s="53" t="b">
        <x:v>1</x:v>
      </x:c>
      <x:c r="L1567" s="53" t="b">
        <x:v>1</x:v>
      </x:c>
      <x:c r="M1567" s="53" t="b">
        <x:v>1</x:v>
      </x:c>
      <x:c r="N1567" s="53" t="b">
        <x:v>1</x:v>
      </x:c>
      <x:c r="O1567" s="53" t="b">
        <x:v>1</x:v>
      </x:c>
      <x:c r="P1567" s="47" t="n">
        <x:v>1010</x:v>
      </x:c>
      <x:c r="Q1567" s="47" t="n">
        <x:v>0</x:v>
      </x:c>
      <x:c r="R1567" s="47" t="n">
        <x:v>0</x:v>
      </x:c>
      <x:c r="S1567" s="47" t="n">
        <x:v>28.42</x:v>
      </x:c>
      <x:c r="T1567" s="47" t="n">
        <x:v>69.58</x:v>
      </x:c>
      <x:c r="U1567" s="47" t="n">
        <x:v>29.8</x:v>
      </x:c>
      <x:c r="V1567" s="47" t="n">
        <x:v>18.6</x:v>
      </x:c>
      <x:c r="W1567" s="47" t="n">
        <x:v>0</x:v>
      </x:c>
      <x:c r="X1567" s="47" t="n">
        <x:v>0</x:v>
      </x:c>
      <x:c r="Y1567" s="41" t="n">
        <x:v>0</x:v>
      </x:c>
    </x:row>
    <x:row r="1568">
      <x:c r="A1568" s="38" t="str">
        <x:v>7月30日现场数据</x:v>
      </x:c>
      <x:c r="B1568" s="66" t="str">
        <x:v>2026-08-05T00:08:19.841000</x:v>
      </x:c>
      <x:c r="C1568" s="47" t="n">
        <x:v>300972</x:v>
      </x:c>
      <x:c r="D1568" s="47" t="str"/>
      <x:c r="E1568" s="47" t="str"/>
      <x:c r="F1568" s="47" t="str">
        <x:v>current</x:v>
      </x:c>
      <x:c r="G1568" s="47" t="n">
        <x:v>1564</x:v>
      </x:c>
      <x:c r="H1568" s="53" t="b">
        <x:v>1</x:v>
      </x:c>
      <x:c r="I1568" s="47" t="str">
        <x:v>4109905524</x:v>
      </x:c>
      <x:c r="J1568" s="47" t="n">
        <x:v>89424966</x:v>
      </x:c>
      <x:c r="K1568" s="53" t="b">
        <x:v>1</x:v>
      </x:c>
      <x:c r="L1568" s="53" t="b">
        <x:v>1</x:v>
      </x:c>
      <x:c r="M1568" s="53" t="b">
        <x:v>1</x:v>
      </x:c>
      <x:c r="N1568" s="53" t="b">
        <x:v>1</x:v>
      </x:c>
      <x:c r="O1568" s="53" t="b">
        <x:v>1</x:v>
      </x:c>
      <x:c r="P1568" s="47" t="n">
        <x:v>1010</x:v>
      </x:c>
      <x:c r="Q1568" s="47" t="n">
        <x:v>0</x:v>
      </x:c>
      <x:c r="R1568" s="47" t="n">
        <x:v>0</x:v>
      </x:c>
      <x:c r="S1568" s="47" t="n">
        <x:v>28.39</x:v>
      </x:c>
      <x:c r="T1568" s="47" t="n">
        <x:v>69.75</x:v>
      </x:c>
      <x:c r="U1568" s="47" t="n">
        <x:v>29.8</x:v>
      </x:c>
      <x:c r="V1568" s="47" t="n">
        <x:v>19.6</x:v>
      </x:c>
      <x:c r="W1568" s="47" t="n">
        <x:v>0</x:v>
      </x:c>
      <x:c r="X1568" s="47" t="n">
        <x:v>0</x:v>
      </x:c>
      <x:c r="Y1568" s="41" t="n">
        <x:v>0</x:v>
      </x:c>
    </x:row>
    <x:row r="1569">
      <x:c r="A1569" s="38" t="str">
        <x:v>7月30日现场数据</x:v>
      </x:c>
      <x:c r="B1569" s="66" t="str">
        <x:v>2026-08-05T00:13:20.816000</x:v>
      </x:c>
      <x:c r="C1569" s="47" t="n">
        <x:v>300975</x:v>
      </x:c>
      <x:c r="D1569" s="47" t="str"/>
      <x:c r="E1569" s="47" t="str"/>
      <x:c r="F1569" s="47" t="str">
        <x:v>current</x:v>
      </x:c>
      <x:c r="G1569" s="47" t="n">
        <x:v>1565</x:v>
      </x:c>
      <x:c r="H1569" s="53" t="b">
        <x:v>1</x:v>
      </x:c>
      <x:c r="I1569" s="47" t="str">
        <x:v>4109905524</x:v>
      </x:c>
      <x:c r="J1569" s="47" t="n">
        <x:v>89725941</x:v>
      </x:c>
      <x:c r="K1569" s="53" t="b">
        <x:v>1</x:v>
      </x:c>
      <x:c r="L1569" s="53" t="b">
        <x:v>1</x:v>
      </x:c>
      <x:c r="M1569" s="53" t="b">
        <x:v>1</x:v>
      </x:c>
      <x:c r="N1569" s="53" t="b">
        <x:v>1</x:v>
      </x:c>
      <x:c r="O1569" s="53" t="b">
        <x:v>1</x:v>
      </x:c>
      <x:c r="P1569" s="47" t="n">
        <x:v>1010</x:v>
      </x:c>
      <x:c r="Q1569" s="47" t="n">
        <x:v>0</x:v>
      </x:c>
      <x:c r="R1569" s="47" t="n">
        <x:v>0</x:v>
      </x:c>
      <x:c r="S1569" s="47" t="n">
        <x:v>28.37</x:v>
      </x:c>
      <x:c r="T1569" s="47" t="n">
        <x:v>69.95</x:v>
      </x:c>
      <x:c r="U1569" s="47" t="n">
        <x:v>29.7</x:v>
      </x:c>
      <x:c r="V1569" s="47" t="n">
        <x:v>19.9</x:v>
      </x:c>
      <x:c r="W1569" s="47" t="n">
        <x:v>0</x:v>
      </x:c>
      <x:c r="X1569" s="47" t="n">
        <x:v>0</x:v>
      </x:c>
      <x:c r="Y1569" s="41" t="n">
        <x:v>0</x:v>
      </x:c>
    </x:row>
    <x:row r="1570">
      <x:c r="A1570" s="38" t="str">
        <x:v>7月30日现场数据</x:v>
      </x:c>
      <x:c r="B1570" s="66" t="str">
        <x:v>2026-08-05T00:18:21.791000</x:v>
      </x:c>
      <x:c r="C1570" s="47" t="n">
        <x:v>300975</x:v>
      </x:c>
      <x:c r="D1570" s="47" t="str"/>
      <x:c r="E1570" s="47" t="str"/>
      <x:c r="F1570" s="47" t="str">
        <x:v>current</x:v>
      </x:c>
      <x:c r="G1570" s="47" t="n">
        <x:v>1566</x:v>
      </x:c>
      <x:c r="H1570" s="53" t="b">
        <x:v>1</x:v>
      </x:c>
      <x:c r="I1570" s="47" t="str">
        <x:v>4109905524</x:v>
      </x:c>
      <x:c r="J1570" s="47" t="n">
        <x:v>90026916</x:v>
      </x:c>
      <x:c r="K1570" s="53" t="b">
        <x:v>1</x:v>
      </x:c>
      <x:c r="L1570" s="53" t="b">
        <x:v>1</x:v>
      </x:c>
      <x:c r="M1570" s="53" t="b">
        <x:v>1</x:v>
      </x:c>
      <x:c r="N1570" s="53" t="b">
        <x:v>1</x:v>
      </x:c>
      <x:c r="O1570" s="53" t="b">
        <x:v>1</x:v>
      </x:c>
      <x:c r="P1570" s="47" t="n">
        <x:v>1010</x:v>
      </x:c>
      <x:c r="Q1570" s="47" t="n">
        <x:v>0</x:v>
      </x:c>
      <x:c r="R1570" s="47" t="n">
        <x:v>0</x:v>
      </x:c>
      <x:c r="S1570" s="47" t="n">
        <x:v>28.2</x:v>
      </x:c>
      <x:c r="T1570" s="47" t="n">
        <x:v>70.07</x:v>
      </x:c>
      <x:c r="U1570" s="47" t="n">
        <x:v>29.7</x:v>
      </x:c>
      <x:c r="V1570" s="47" t="n">
        <x:v>20.2</x:v>
      </x:c>
      <x:c r="W1570" s="47" t="n">
        <x:v>0</x:v>
      </x:c>
      <x:c r="X1570" s="47" t="n">
        <x:v>0</x:v>
      </x:c>
      <x:c r="Y1570" s="41" t="n">
        <x:v>0</x:v>
      </x:c>
    </x:row>
    <x:row r="1571">
      <x:c r="A1571" s="38" t="str">
        <x:v>7月30日现场数据</x:v>
      </x:c>
      <x:c r="B1571" s="66" t="str">
        <x:v>2026-08-05T00:23:22.766000</x:v>
      </x:c>
      <x:c r="C1571" s="47" t="n">
        <x:v>300975</x:v>
      </x:c>
      <x:c r="D1571" s="47" t="str"/>
      <x:c r="E1571" s="47" t="str"/>
      <x:c r="F1571" s="47" t="str">
        <x:v>current</x:v>
      </x:c>
      <x:c r="G1571" s="47" t="n">
        <x:v>1567</x:v>
      </x:c>
      <x:c r="H1571" s="53" t="b">
        <x:v>1</x:v>
      </x:c>
      <x:c r="I1571" s="47" t="str">
        <x:v>4109905524</x:v>
      </x:c>
      <x:c r="J1571" s="47" t="n">
        <x:v>90327891</x:v>
      </x:c>
      <x:c r="K1571" s="53" t="b">
        <x:v>1</x:v>
      </x:c>
      <x:c r="L1571" s="53" t="b">
        <x:v>1</x:v>
      </x:c>
      <x:c r="M1571" s="53" t="b">
        <x:v>1</x:v>
      </x:c>
      <x:c r="N1571" s="53" t="b">
        <x:v>1</x:v>
      </x:c>
      <x:c r="O1571" s="53" t="b">
        <x:v>1</x:v>
      </x:c>
      <x:c r="P1571" s="47" t="n">
        <x:v>1010</x:v>
      </x:c>
      <x:c r="Q1571" s="47" t="n">
        <x:v>0</x:v>
      </x:c>
      <x:c r="R1571" s="47" t="n">
        <x:v>0</x:v>
      </x:c>
      <x:c r="S1571" s="47" t="n">
        <x:v>27.84</x:v>
      </x:c>
      <x:c r="T1571" s="47" t="n">
        <x:v>70.14</x:v>
      </x:c>
      <x:c r="U1571" s="47" t="n">
        <x:v>29.7</x:v>
      </x:c>
      <x:c r="V1571" s="47" t="n">
        <x:v>19.9</x:v>
      </x:c>
      <x:c r="W1571" s="47" t="n">
        <x:v>0</x:v>
      </x:c>
      <x:c r="X1571" s="47" t="n">
        <x:v>0</x:v>
      </x:c>
      <x:c r="Y1571" s="41" t="n">
        <x:v>0</x:v>
      </x:c>
    </x:row>
    <x:row r="1572">
      <x:c r="A1572" s="38" t="str">
        <x:v>7月30日现场数据</x:v>
      </x:c>
      <x:c r="B1572" s="66" t="str">
        <x:v>2026-08-05T00:28:23.744000</x:v>
      </x:c>
      <x:c r="C1572" s="47" t="n">
        <x:v>300978</x:v>
      </x:c>
      <x:c r="D1572" s="47" t="str"/>
      <x:c r="E1572" s="47" t="str"/>
      <x:c r="F1572" s="47" t="str">
        <x:v>current</x:v>
      </x:c>
      <x:c r="G1572" s="47" t="n">
        <x:v>1568</x:v>
      </x:c>
      <x:c r="H1572" s="53" t="b">
        <x:v>1</x:v>
      </x:c>
      <x:c r="I1572" s="47" t="str">
        <x:v>4109905524</x:v>
      </x:c>
      <x:c r="J1572" s="47" t="n">
        <x:v>90628869</x:v>
      </x:c>
      <x:c r="K1572" s="53" t="b">
        <x:v>1</x:v>
      </x:c>
      <x:c r="L1572" s="53" t="b">
        <x:v>1</x:v>
      </x:c>
      <x:c r="M1572" s="53" t="b">
        <x:v>1</x:v>
      </x:c>
      <x:c r="N1572" s="53" t="b">
        <x:v>1</x:v>
      </x:c>
      <x:c r="O1572" s="53" t="b">
        <x:v>1</x:v>
      </x:c>
      <x:c r="P1572" s="47" t="n">
        <x:v>1010</x:v>
      </x:c>
      <x:c r="Q1572" s="47" t="n">
        <x:v>0</x:v>
      </x:c>
      <x:c r="R1572" s="47" t="n">
        <x:v>0</x:v>
      </x:c>
      <x:c r="S1572" s="47" t="n">
        <x:v>27.16</x:v>
      </x:c>
      <x:c r="T1572" s="47" t="n">
        <x:v>70.12</x:v>
      </x:c>
      <x:c r="U1572" s="47" t="n">
        <x:v>29.5</x:v>
      </x:c>
      <x:c r="V1572" s="47" t="n">
        <x:v>22.7</x:v>
      </x:c>
      <x:c r="W1572" s="47" t="n">
        <x:v>0</x:v>
      </x:c>
      <x:c r="X1572" s="47" t="n">
        <x:v>0</x:v>
      </x:c>
      <x:c r="Y1572" s="41" t="n">
        <x:v>0</x:v>
      </x:c>
    </x:row>
    <x:row r="1573">
      <x:c r="A1573" s="38" t="str">
        <x:v>7月30日现场数据</x:v>
      </x:c>
      <x:c r="B1573" s="66" t="str">
        <x:v>2026-08-05T00:33:24.725000</x:v>
      </x:c>
      <x:c r="C1573" s="47" t="n">
        <x:v>300981</x:v>
      </x:c>
      <x:c r="D1573" s="47" t="str"/>
      <x:c r="E1573" s="47" t="str"/>
      <x:c r="F1573" s="47" t="str">
        <x:v>current</x:v>
      </x:c>
      <x:c r="G1573" s="47" t="n">
        <x:v>1569</x:v>
      </x:c>
      <x:c r="H1573" s="53" t="b">
        <x:v>1</x:v>
      </x:c>
      <x:c r="I1573" s="47" t="str">
        <x:v>4109905524</x:v>
      </x:c>
      <x:c r="J1573" s="47" t="n">
        <x:v>90929850</x:v>
      </x:c>
      <x:c r="K1573" s="53" t="b">
        <x:v>1</x:v>
      </x:c>
      <x:c r="L1573" s="53" t="b">
        <x:v>1</x:v>
      </x:c>
      <x:c r="M1573" s="53" t="b">
        <x:v>1</x:v>
      </x:c>
      <x:c r="N1573" s="53" t="b">
        <x:v>1</x:v>
      </x:c>
      <x:c r="O1573" s="53" t="b">
        <x:v>1</x:v>
      </x:c>
      <x:c r="P1573" s="47" t="n">
        <x:v>1010</x:v>
      </x:c>
      <x:c r="Q1573" s="47" t="n">
        <x:v>0</x:v>
      </x:c>
      <x:c r="R1573" s="47" t="n">
        <x:v>0</x:v>
      </x:c>
      <x:c r="S1573" s="47" t="n">
        <x:v>26.77</x:v>
      </x:c>
      <x:c r="T1573" s="47" t="n">
        <x:v>70.11</x:v>
      </x:c>
      <x:c r="U1573" s="47" t="n">
        <x:v>29.2</x:v>
      </x:c>
      <x:c r="V1573" s="47" t="n">
        <x:v>24.3</x:v>
      </x:c>
      <x:c r="W1573" s="47" t="n">
        <x:v>0</x:v>
      </x:c>
      <x:c r="X1573" s="47" t="n">
        <x:v>0</x:v>
      </x:c>
      <x:c r="Y1573" s="41" t="n">
        <x:v>0</x:v>
      </x:c>
    </x:row>
    <x:row r="1574">
      <x:c r="A1574" s="38" t="str">
        <x:v>7月30日现场数据</x:v>
      </x:c>
      <x:c r="B1574" s="66" t="str">
        <x:v>2026-08-05T00:38:25.707000</x:v>
      </x:c>
      <x:c r="C1574" s="47" t="n">
        <x:v>300982</x:v>
      </x:c>
      <x:c r="D1574" s="47" t="str"/>
      <x:c r="E1574" s="47" t="str"/>
      <x:c r="F1574" s="47" t="str">
        <x:v>current</x:v>
      </x:c>
      <x:c r="G1574" s="47" t="n">
        <x:v>1570</x:v>
      </x:c>
      <x:c r="H1574" s="53" t="b">
        <x:v>1</x:v>
      </x:c>
      <x:c r="I1574" s="47" t="str">
        <x:v>4109905524</x:v>
      </x:c>
      <x:c r="J1574" s="47" t="n">
        <x:v>91230832</x:v>
      </x:c>
      <x:c r="K1574" s="53" t="b">
        <x:v>1</x:v>
      </x:c>
      <x:c r="L1574" s="53" t="b">
        <x:v>1</x:v>
      </x:c>
      <x:c r="M1574" s="53" t="b">
        <x:v>1</x:v>
      </x:c>
      <x:c r="N1574" s="53" t="b">
        <x:v>1</x:v>
      </x:c>
      <x:c r="O1574" s="53" t="b">
        <x:v>1</x:v>
      </x:c>
      <x:c r="P1574" s="47" t="n">
        <x:v>1010</x:v>
      </x:c>
      <x:c r="Q1574" s="47" t="n">
        <x:v>0</x:v>
      </x:c>
      <x:c r="R1574" s="47" t="n">
        <x:v>0</x:v>
      </x:c>
      <x:c r="S1574" s="47" t="n">
        <x:v>26.34</x:v>
      </x:c>
      <x:c r="T1574" s="47" t="n">
        <x:v>70.16</x:v>
      </x:c>
      <x:c r="U1574" s="47" t="n">
        <x:v>29.1</x:v>
      </x:c>
      <x:c r="V1574" s="47" t="n">
        <x:v>23.5</x:v>
      </x:c>
      <x:c r="W1574" s="47" t="n">
        <x:v>0</x:v>
      </x:c>
      <x:c r="X1574" s="47" t="n">
        <x:v>0</x:v>
      </x:c>
      <x:c r="Y1574" s="41" t="n">
        <x:v>0</x:v>
      </x:c>
    </x:row>
    <x:row r="1575">
      <x:c r="A1575" s="38" t="str">
        <x:v>7月30日现场数据</x:v>
      </x:c>
      <x:c r="B1575" s="66" t="str">
        <x:v>2026-08-05T00:43:26.690000</x:v>
      </x:c>
      <x:c r="C1575" s="47" t="n">
        <x:v>300983</x:v>
      </x:c>
      <x:c r="D1575" s="47" t="str"/>
      <x:c r="E1575" s="47" t="str"/>
      <x:c r="F1575" s="47" t="str">
        <x:v>current</x:v>
      </x:c>
      <x:c r="G1575" s="47" t="n">
        <x:v>1571</x:v>
      </x:c>
      <x:c r="H1575" s="53" t="b">
        <x:v>1</x:v>
      </x:c>
      <x:c r="I1575" s="47" t="str">
        <x:v>4109905524</x:v>
      </x:c>
      <x:c r="J1575" s="47" t="n">
        <x:v>91531815</x:v>
      </x:c>
      <x:c r="K1575" s="53" t="b">
        <x:v>1</x:v>
      </x:c>
      <x:c r="L1575" s="53" t="b">
        <x:v>1</x:v>
      </x:c>
      <x:c r="M1575" s="53" t="b">
        <x:v>1</x:v>
      </x:c>
      <x:c r="N1575" s="53" t="b">
        <x:v>1</x:v>
      </x:c>
      <x:c r="O1575" s="53" t="b">
        <x:v>1</x:v>
      </x:c>
      <x:c r="P1575" s="47" t="n">
        <x:v>1010</x:v>
      </x:c>
      <x:c r="Q1575" s="47" t="n">
        <x:v>0.034</x:v>
      </x:c>
      <x:c r="R1575" s="47" t="n">
        <x:v>0.923</x:v>
      </x:c>
      <x:c r="S1575" s="47" t="n">
        <x:v>26.18</x:v>
      </x:c>
      <x:c r="T1575" s="47" t="n">
        <x:v>70.18</x:v>
      </x:c>
      <x:c r="U1575" s="47" t="n">
        <x:v>28.4</x:v>
      </x:c>
      <x:c r="V1575" s="47" t="n">
        <x:v>25.1</x:v>
      </x:c>
      <x:c r="W1575" s="47" t="n">
        <x:v>0</x:v>
      </x:c>
      <x:c r="X1575" s="47" t="n">
        <x:v>0</x:v>
      </x:c>
      <x:c r="Y1575" s="41" t="n">
        <x:v>0</x:v>
      </x:c>
    </x:row>
    <x:row r="1576">
      <x:c r="A1576" s="38" t="str">
        <x:v>7月30日现场数据</x:v>
      </x:c>
      <x:c r="B1576" s="66" t="str">
        <x:v>2026-08-05T00:48:27.675000</x:v>
      </x:c>
      <x:c r="C1576" s="47" t="n">
        <x:v>300985</x:v>
      </x:c>
      <x:c r="D1576" s="47" t="str"/>
      <x:c r="E1576" s="47" t="str"/>
      <x:c r="F1576" s="47" t="str">
        <x:v>current</x:v>
      </x:c>
      <x:c r="G1576" s="47" t="n">
        <x:v>1572</x:v>
      </x:c>
      <x:c r="H1576" s="53" t="b">
        <x:v>1</x:v>
      </x:c>
      <x:c r="I1576" s="47" t="str">
        <x:v>4109905524</x:v>
      </x:c>
      <x:c r="J1576" s="47" t="n">
        <x:v>91832800</x:v>
      </x:c>
      <x:c r="K1576" s="53" t="b">
        <x:v>1</x:v>
      </x:c>
      <x:c r="L1576" s="53" t="b">
        <x:v>1</x:v>
      </x:c>
      <x:c r="M1576" s="53" t="b">
        <x:v>1</x:v>
      </x:c>
      <x:c r="N1576" s="53" t="b">
        <x:v>1</x:v>
      </x:c>
      <x:c r="O1576" s="53" t="b">
        <x:v>1</x:v>
      </x:c>
      <x:c r="P1576" s="47" t="n">
        <x:v>1010</x:v>
      </x:c>
      <x:c r="Q1576" s="47" t="n">
        <x:v>0.101</x:v>
      </x:c>
      <x:c r="R1576" s="47" t="n">
        <x:v>2.736</x:v>
      </x:c>
      <x:c r="S1576" s="47" t="n">
        <x:v>26</x:v>
      </x:c>
      <x:c r="T1576" s="47" t="n">
        <x:v>70.34</x:v>
      </x:c>
      <x:c r="U1576" s="47" t="n">
        <x:v>28</x:v>
      </x:c>
      <x:c r="V1576" s="47" t="n">
        <x:v>28.1</x:v>
      </x:c>
      <x:c r="W1576" s="47" t="n">
        <x:v>0</x:v>
      </x:c>
      <x:c r="X1576" s="47" t="n">
        <x:v>0</x:v>
      </x:c>
      <x:c r="Y1576" s="41" t="n">
        <x:v>0</x:v>
      </x:c>
    </x:row>
    <x:row r="1577">
      <x:c r="A1577" s="38" t="str">
        <x:v>7月30日现场数据</x:v>
      </x:c>
      <x:c r="B1577" s="66" t="str">
        <x:v>2026-08-05T00:53:28.661000</x:v>
      </x:c>
      <x:c r="C1577" s="47" t="n">
        <x:v>300986</x:v>
      </x:c>
      <x:c r="D1577" s="47" t="str"/>
      <x:c r="E1577" s="47" t="str"/>
      <x:c r="F1577" s="47" t="str">
        <x:v>current</x:v>
      </x:c>
      <x:c r="G1577" s="47" t="n">
        <x:v>1573</x:v>
      </x:c>
      <x:c r="H1577" s="53" t="b">
        <x:v>1</x:v>
      </x:c>
      <x:c r="I1577" s="47" t="str">
        <x:v>4109905524</x:v>
      </x:c>
      <x:c r="J1577" s="47" t="n">
        <x:v>92133786</x:v>
      </x:c>
      <x:c r="K1577" s="53" t="b">
        <x:v>1</x:v>
      </x:c>
      <x:c r="L1577" s="53" t="b">
        <x:v>1</x:v>
      </x:c>
      <x:c r="M1577" s="53" t="b">
        <x:v>1</x:v>
      </x:c>
      <x:c r="N1577" s="53" t="b">
        <x:v>1</x:v>
      </x:c>
      <x:c r="O1577" s="53" t="b">
        <x:v>1</x:v>
      </x:c>
      <x:c r="P1577" s="47" t="n">
        <x:v>1009</x:v>
      </x:c>
      <x:c r="Q1577" s="47" t="n">
        <x:v>0.121</x:v>
      </x:c>
      <x:c r="R1577" s="47" t="n">
        <x:v>3.264</x:v>
      </x:c>
      <x:c r="S1577" s="47" t="n">
        <x:v>25.86</x:v>
      </x:c>
      <x:c r="T1577" s="47" t="n">
        <x:v>70.4</x:v>
      </x:c>
      <x:c r="U1577" s="47" t="n">
        <x:v>28.2</x:v>
      </x:c>
      <x:c r="V1577" s="47" t="n">
        <x:v>25.4</x:v>
      </x:c>
      <x:c r="W1577" s="47" t="n">
        <x:v>0</x:v>
      </x:c>
      <x:c r="X1577" s="47" t="n">
        <x:v>0</x:v>
      </x:c>
      <x:c r="Y1577" s="41" t="n">
        <x:v>0</x:v>
      </x:c>
    </x:row>
    <x:row r="1578">
      <x:c r="A1578" s="38" t="str">
        <x:v>7月30日现场数据</x:v>
      </x:c>
      <x:c r="B1578" s="66" t="str">
        <x:v>2026-08-05T00:58:29.682000</x:v>
      </x:c>
      <x:c r="C1578" s="47" t="n">
        <x:v>301021</x:v>
      </x:c>
      <x:c r="D1578" s="47" t="str"/>
      <x:c r="E1578" s="47" t="str"/>
      <x:c r="F1578" s="47" t="str">
        <x:v>current</x:v>
      </x:c>
      <x:c r="G1578" s="47" t="n">
        <x:v>1574</x:v>
      </x:c>
      <x:c r="H1578" s="53" t="b">
        <x:v>1</x:v>
      </x:c>
      <x:c r="I1578" s="47" t="str">
        <x:v>4109905524</x:v>
      </x:c>
      <x:c r="J1578" s="47" t="n">
        <x:v>92434807</x:v>
      </x:c>
      <x:c r="K1578" s="53" t="b">
        <x:v>1</x:v>
      </x:c>
      <x:c r="L1578" s="53" t="b">
        <x:v>1</x:v>
      </x:c>
      <x:c r="M1578" s="53" t="b">
        <x:v>1</x:v>
      </x:c>
      <x:c r="N1578" s="53" t="b">
        <x:v>1</x:v>
      </x:c>
      <x:c r="O1578" s="53" t="b">
        <x:v>1</x:v>
      </x:c>
      <x:c r="P1578" s="47" t="n">
        <x:v>1010</x:v>
      </x:c>
      <x:c r="Q1578" s="47" t="n">
        <x:v>0</x:v>
      </x:c>
      <x:c r="R1578" s="47" t="n">
        <x:v>0</x:v>
      </x:c>
      <x:c r="S1578" s="47" t="n">
        <x:v>25.8</x:v>
      </x:c>
      <x:c r="T1578" s="47" t="n">
        <x:v>70.47</x:v>
      </x:c>
      <x:c r="U1578" s="47" t="n">
        <x:v>28.3</x:v>
      </x:c>
      <x:c r="V1578" s="47" t="n">
        <x:v>24.2</x:v>
      </x:c>
      <x:c r="W1578" s="47" t="n">
        <x:v>0</x:v>
      </x:c>
      <x:c r="X1578" s="47" t="n">
        <x:v>0</x:v>
      </x:c>
      <x:c r="Y1578" s="41" t="n">
        <x:v>0</x:v>
      </x:c>
    </x:row>
    <x:row r="1579">
      <x:c r="A1579" s="38" t="str">
        <x:v>7月30日现场数据</x:v>
      </x:c>
      <x:c r="B1579" s="66" t="str">
        <x:v>2026-08-05T01:03:30.646000</x:v>
      </x:c>
      <x:c r="C1579" s="47" t="n">
        <x:v>300964</x:v>
      </x:c>
      <x:c r="D1579" s="47" t="str"/>
      <x:c r="E1579" s="47" t="str"/>
      <x:c r="F1579" s="47" t="str">
        <x:v>current</x:v>
      </x:c>
      <x:c r="G1579" s="47" t="n">
        <x:v>1575</x:v>
      </x:c>
      <x:c r="H1579" s="53" t="b">
        <x:v>1</x:v>
      </x:c>
      <x:c r="I1579" s="47" t="str">
        <x:v>4109905524</x:v>
      </x:c>
      <x:c r="J1579" s="47" t="n">
        <x:v>92735771</x:v>
      </x:c>
      <x:c r="K1579" s="53" t="b">
        <x:v>1</x:v>
      </x:c>
      <x:c r="L1579" s="53" t="b">
        <x:v>1</x:v>
      </x:c>
      <x:c r="M1579" s="53" t="b">
        <x:v>1</x:v>
      </x:c>
      <x:c r="N1579" s="53" t="b">
        <x:v>1</x:v>
      </x:c>
      <x:c r="O1579" s="53" t="b">
        <x:v>1</x:v>
      </x:c>
      <x:c r="P1579" s="47" t="n">
        <x:v>1010</x:v>
      </x:c>
      <x:c r="Q1579" s="47" t="n">
        <x:v>0</x:v>
      </x:c>
      <x:c r="R1579" s="47" t="n">
        <x:v>0</x:v>
      </x:c>
      <x:c r="S1579" s="47" t="n">
        <x:v>25.74</x:v>
      </x:c>
      <x:c r="T1579" s="47" t="n">
        <x:v>70.65</x:v>
      </x:c>
      <x:c r="U1579" s="47" t="n">
        <x:v>28.3</x:v>
      </x:c>
      <x:c r="V1579" s="47" t="n">
        <x:v>23.4</x:v>
      </x:c>
      <x:c r="W1579" s="47" t="n">
        <x:v>0</x:v>
      </x:c>
      <x:c r="X1579" s="47" t="n">
        <x:v>0</x:v>
      </x:c>
      <x:c r="Y1579" s="41" t="n">
        <x:v>0</x:v>
      </x:c>
    </x:row>
    <x:row r="1580">
      <x:c r="A1580" s="38" t="str">
        <x:v>7月30日现场数据</x:v>
      </x:c>
      <x:c r="B1580" s="66" t="str">
        <x:v>2026-08-05T01:08:31.614000</x:v>
      </x:c>
      <x:c r="C1580" s="47" t="n">
        <x:v>300968</x:v>
      </x:c>
      <x:c r="D1580" s="47" t="str"/>
      <x:c r="E1580" s="47" t="str"/>
      <x:c r="F1580" s="47" t="str">
        <x:v>current</x:v>
      </x:c>
      <x:c r="G1580" s="47" t="n">
        <x:v>1576</x:v>
      </x:c>
      <x:c r="H1580" s="53" t="b">
        <x:v>1</x:v>
      </x:c>
      <x:c r="I1580" s="47" t="str">
        <x:v>4109905524</x:v>
      </x:c>
      <x:c r="J1580" s="47" t="n">
        <x:v>93036739</x:v>
      </x:c>
      <x:c r="K1580" s="53" t="b">
        <x:v>1</x:v>
      </x:c>
      <x:c r="L1580" s="53" t="b">
        <x:v>1</x:v>
      </x:c>
      <x:c r="M1580" s="53" t="b">
        <x:v>1</x:v>
      </x:c>
      <x:c r="N1580" s="53" t="b">
        <x:v>1</x:v>
      </x:c>
      <x:c r="O1580" s="53" t="b">
        <x:v>1</x:v>
      </x:c>
      <x:c r="P1580" s="47" t="n">
        <x:v>1009</x:v>
      </x:c>
      <x:c r="Q1580" s="47" t="n">
        <x:v>0</x:v>
      </x:c>
      <x:c r="R1580" s="47" t="n">
        <x:v>0</x:v>
      </x:c>
      <x:c r="S1580" s="47" t="n">
        <x:v>26.01</x:v>
      </x:c>
      <x:c r="T1580" s="47" t="n">
        <x:v>70.84</x:v>
      </x:c>
      <x:c r="U1580" s="47" t="n">
        <x:v>28.3</x:v>
      </x:c>
      <x:c r="V1580" s="47" t="n">
        <x:v>22.7</x:v>
      </x:c>
      <x:c r="W1580" s="47" t="n">
        <x:v>0</x:v>
      </x:c>
      <x:c r="X1580" s="47" t="n">
        <x:v>0</x:v>
      </x:c>
      <x:c r="Y1580" s="41" t="n">
        <x:v>0</x:v>
      </x:c>
    </x:row>
    <x:row r="1581">
      <x:c r="A1581" s="38" t="str">
        <x:v>7月30日现场数据</x:v>
      </x:c>
      <x:c r="B1581" s="66" t="str">
        <x:v>2026-08-05T01:13:32.582000</x:v>
      </x:c>
      <x:c r="C1581" s="47" t="n">
        <x:v>300968</x:v>
      </x:c>
      <x:c r="D1581" s="47" t="str"/>
      <x:c r="E1581" s="47" t="str"/>
      <x:c r="F1581" s="47" t="str">
        <x:v>current</x:v>
      </x:c>
      <x:c r="G1581" s="47" t="n">
        <x:v>1577</x:v>
      </x:c>
      <x:c r="H1581" s="53" t="b">
        <x:v>1</x:v>
      </x:c>
      <x:c r="I1581" s="47" t="str">
        <x:v>4109905524</x:v>
      </x:c>
      <x:c r="J1581" s="47" t="n">
        <x:v>93337707</x:v>
      </x:c>
      <x:c r="K1581" s="53" t="b">
        <x:v>1</x:v>
      </x:c>
      <x:c r="L1581" s="53" t="b">
        <x:v>1</x:v>
      </x:c>
      <x:c r="M1581" s="53" t="b">
        <x:v>1</x:v>
      </x:c>
      <x:c r="N1581" s="53" t="b">
        <x:v>1</x:v>
      </x:c>
      <x:c r="O1581" s="53" t="b">
        <x:v>1</x:v>
      </x:c>
      <x:c r="P1581" s="47" t="n">
        <x:v>1009</x:v>
      </x:c>
      <x:c r="Q1581" s="47" t="n">
        <x:v>0</x:v>
      </x:c>
      <x:c r="R1581" s="47" t="n">
        <x:v>0</x:v>
      </x:c>
      <x:c r="S1581" s="47" t="n">
        <x:v>26.14</x:v>
      </x:c>
      <x:c r="T1581" s="47" t="n">
        <x:v>71.06</x:v>
      </x:c>
      <x:c r="U1581" s="47" t="n">
        <x:v>28.2</x:v>
      </x:c>
      <x:c r="V1581" s="47" t="n">
        <x:v>22.3</x:v>
      </x:c>
      <x:c r="W1581" s="47" t="n">
        <x:v>0</x:v>
      </x:c>
      <x:c r="X1581" s="47" t="n">
        <x:v>0</x:v>
      </x:c>
      <x:c r="Y1581" s="41" t="n">
        <x:v>0</x:v>
      </x:c>
    </x:row>
    <x:row r="1582">
      <x:c r="A1582" s="38" t="str">
        <x:v>7月30日现场数据</x:v>
      </x:c>
      <x:c r="B1582" s="66" t="str">
        <x:v>2026-08-05T01:18:33.553000</x:v>
      </x:c>
      <x:c r="C1582" s="47" t="n">
        <x:v>300971</x:v>
      </x:c>
      <x:c r="D1582" s="47" t="str"/>
      <x:c r="E1582" s="47" t="str"/>
      <x:c r="F1582" s="47" t="str">
        <x:v>current</x:v>
      </x:c>
      <x:c r="G1582" s="47" t="n">
        <x:v>1578</x:v>
      </x:c>
      <x:c r="H1582" s="53" t="b">
        <x:v>1</x:v>
      </x:c>
      <x:c r="I1582" s="47" t="str">
        <x:v>4109905524</x:v>
      </x:c>
      <x:c r="J1582" s="47" t="n">
        <x:v>93638678</x:v>
      </x:c>
      <x:c r="K1582" s="53" t="b">
        <x:v>1</x:v>
      </x:c>
      <x:c r="L1582" s="53" t="b">
        <x:v>1</x:v>
      </x:c>
      <x:c r="M1582" s="53" t="b">
        <x:v>1</x:v>
      </x:c>
      <x:c r="N1582" s="53" t="b">
        <x:v>1</x:v>
      </x:c>
      <x:c r="O1582" s="53" t="b">
        <x:v>1</x:v>
      </x:c>
      <x:c r="P1582" s="47" t="n">
        <x:v>1009</x:v>
      </x:c>
      <x:c r="Q1582" s="47" t="n">
        <x:v>0</x:v>
      </x:c>
      <x:c r="R1582" s="47" t="n">
        <x:v>0</x:v>
      </x:c>
      <x:c r="S1582" s="47" t="n">
        <x:v>26.2</x:v>
      </x:c>
      <x:c r="T1582" s="47" t="n">
        <x:v>71.24</x:v>
      </x:c>
      <x:c r="U1582" s="47" t="n">
        <x:v>28.2</x:v>
      </x:c>
      <x:c r="V1582" s="47" t="n">
        <x:v>21.9</x:v>
      </x:c>
      <x:c r="W1582" s="47" t="n">
        <x:v>0</x:v>
      </x:c>
      <x:c r="X1582" s="47" t="n">
        <x:v>0</x:v>
      </x:c>
      <x:c r="Y1582" s="41" t="n">
        <x:v>0</x:v>
      </x:c>
    </x:row>
    <x:row r="1583">
      <x:c r="A1583" s="38" t="str">
        <x:v>7月30日现场数据</x:v>
      </x:c>
      <x:c r="B1583" s="66" t="str">
        <x:v>2026-08-05T01:23:34.523000</x:v>
      </x:c>
      <x:c r="C1583" s="47" t="n">
        <x:v>300970</x:v>
      </x:c>
      <x:c r="D1583" s="47" t="str"/>
      <x:c r="E1583" s="47" t="str"/>
      <x:c r="F1583" s="47" t="str">
        <x:v>current</x:v>
      </x:c>
      <x:c r="G1583" s="47" t="n">
        <x:v>1579</x:v>
      </x:c>
      <x:c r="H1583" s="53" t="b">
        <x:v>1</x:v>
      </x:c>
      <x:c r="I1583" s="47" t="str">
        <x:v>4109905524</x:v>
      </x:c>
      <x:c r="J1583" s="47" t="n">
        <x:v>93939648</x:v>
      </x:c>
      <x:c r="K1583" s="53" t="b">
        <x:v>1</x:v>
      </x:c>
      <x:c r="L1583" s="53" t="b">
        <x:v>1</x:v>
      </x:c>
      <x:c r="M1583" s="53" t="b">
        <x:v>1</x:v>
      </x:c>
      <x:c r="N1583" s="53" t="b">
        <x:v>1</x:v>
      </x:c>
      <x:c r="O1583" s="53" t="b">
        <x:v>1</x:v>
      </x:c>
      <x:c r="P1583" s="47" t="n">
        <x:v>1009</x:v>
      </x:c>
      <x:c r="Q1583" s="47" t="n">
        <x:v>0</x:v>
      </x:c>
      <x:c r="R1583" s="47" t="n">
        <x:v>0</x:v>
      </x:c>
      <x:c r="S1583" s="47" t="n">
        <x:v>26.26</x:v>
      </x:c>
      <x:c r="T1583" s="47" t="n">
        <x:v>71.41</x:v>
      </x:c>
      <x:c r="U1583" s="47" t="n">
        <x:v>28.3</x:v>
      </x:c>
      <x:c r="V1583" s="47" t="n">
        <x:v>21.7</x:v>
      </x:c>
      <x:c r="W1583" s="47" t="n">
        <x:v>0</x:v>
      </x:c>
      <x:c r="X1583" s="47" t="n">
        <x:v>0</x:v>
      </x:c>
      <x:c r="Y1583" s="41" t="n">
        <x:v>0</x:v>
      </x:c>
    </x:row>
    <x:row r="1584">
      <x:c r="A1584" s="38" t="str">
        <x:v>7月30日现场数据</x:v>
      </x:c>
      <x:c r="B1584" s="66" t="str">
        <x:v>2026-08-05T01:28:35.497000</x:v>
      </x:c>
      <x:c r="C1584" s="47" t="n">
        <x:v>300974</x:v>
      </x:c>
      <x:c r="D1584" s="47" t="str"/>
      <x:c r="E1584" s="47" t="str"/>
      <x:c r="F1584" s="47" t="str">
        <x:v>current</x:v>
      </x:c>
      <x:c r="G1584" s="47" t="n">
        <x:v>1580</x:v>
      </x:c>
      <x:c r="H1584" s="53" t="b">
        <x:v>1</x:v>
      </x:c>
      <x:c r="I1584" s="47" t="str">
        <x:v>4109905524</x:v>
      </x:c>
      <x:c r="J1584" s="47" t="n">
        <x:v>94240622</x:v>
      </x:c>
      <x:c r="K1584" s="53" t="b">
        <x:v>1</x:v>
      </x:c>
      <x:c r="L1584" s="53" t="b">
        <x:v>1</x:v>
      </x:c>
      <x:c r="M1584" s="53" t="b">
        <x:v>1</x:v>
      </x:c>
      <x:c r="N1584" s="53" t="b">
        <x:v>1</x:v>
      </x:c>
      <x:c r="O1584" s="53" t="b">
        <x:v>1</x:v>
      </x:c>
      <x:c r="P1584" s="47" t="n">
        <x:v>1009</x:v>
      </x:c>
      <x:c r="Q1584" s="47" t="n">
        <x:v>0</x:v>
      </x:c>
      <x:c r="R1584" s="47" t="n">
        <x:v>0</x:v>
      </x:c>
      <x:c r="S1584" s="47" t="n">
        <x:v>26.32</x:v>
      </x:c>
      <x:c r="T1584" s="47" t="n">
        <x:v>71.58</x:v>
      </x:c>
      <x:c r="U1584" s="47" t="n">
        <x:v>28.3</x:v>
      </x:c>
      <x:c r="V1584" s="47" t="n">
        <x:v>21.4</x:v>
      </x:c>
      <x:c r="W1584" s="47" t="n">
        <x:v>0</x:v>
      </x:c>
      <x:c r="X1584" s="47" t="n">
        <x:v>0</x:v>
      </x:c>
      <x:c r="Y1584" s="41" t="n">
        <x:v>0</x:v>
      </x:c>
    </x:row>
    <x:row r="1585">
      <x:c r="A1585" s="38" t="str">
        <x:v>7月30日现场数据</x:v>
      </x:c>
      <x:c r="B1585" s="66" t="str">
        <x:v>2026-08-05T01:33:36.474000</x:v>
      </x:c>
      <x:c r="C1585" s="47" t="n">
        <x:v>300977</x:v>
      </x:c>
      <x:c r="D1585" s="47" t="str"/>
      <x:c r="E1585" s="47" t="str"/>
      <x:c r="F1585" s="47" t="str">
        <x:v>current</x:v>
      </x:c>
      <x:c r="G1585" s="47" t="n">
        <x:v>1581</x:v>
      </x:c>
      <x:c r="H1585" s="53" t="b">
        <x:v>1</x:v>
      </x:c>
      <x:c r="I1585" s="47" t="str">
        <x:v>4109905524</x:v>
      </x:c>
      <x:c r="J1585" s="47" t="n">
        <x:v>94541599</x:v>
      </x:c>
      <x:c r="K1585" s="53" t="b">
        <x:v>1</x:v>
      </x:c>
      <x:c r="L1585" s="53" t="b">
        <x:v>1</x:v>
      </x:c>
      <x:c r="M1585" s="53" t="b">
        <x:v>1</x:v>
      </x:c>
      <x:c r="N1585" s="53" t="b">
        <x:v>1</x:v>
      </x:c>
      <x:c r="O1585" s="53" t="b">
        <x:v>1</x:v>
      </x:c>
      <x:c r="P1585" s="47" t="n">
        <x:v>1009</x:v>
      </x:c>
      <x:c r="Q1585" s="47" t="n">
        <x:v>0</x:v>
      </x:c>
      <x:c r="R1585" s="47" t="n">
        <x:v>0</x:v>
      </x:c>
      <x:c r="S1585" s="47" t="n">
        <x:v>26.36</x:v>
      </x:c>
      <x:c r="T1585" s="47" t="n">
        <x:v>71.72</x:v>
      </x:c>
      <x:c r="U1585" s="47" t="n">
        <x:v>28.3</x:v>
      </x:c>
      <x:c r="V1585" s="47" t="n">
        <x:v>21.3</x:v>
      </x:c>
      <x:c r="W1585" s="47" t="n">
        <x:v>0</x:v>
      </x:c>
      <x:c r="X1585" s="47" t="n">
        <x:v>0</x:v>
      </x:c>
      <x:c r="Y1585" s="41" t="n">
        <x:v>0</x:v>
      </x:c>
    </x:row>
    <x:row r="1586">
      <x:c r="A1586" s="38" t="str">
        <x:v>7月30日现场数据</x:v>
      </x:c>
      <x:c r="B1586" s="66" t="str">
        <x:v>2026-08-05T01:38:37.451000</x:v>
      </x:c>
      <x:c r="C1586" s="47" t="n">
        <x:v>300977</x:v>
      </x:c>
      <x:c r="D1586" s="47" t="str"/>
      <x:c r="E1586" s="47" t="str"/>
      <x:c r="F1586" s="47" t="str">
        <x:v>current</x:v>
      </x:c>
      <x:c r="G1586" s="47" t="n">
        <x:v>1582</x:v>
      </x:c>
      <x:c r="H1586" s="53" t="b">
        <x:v>1</x:v>
      </x:c>
      <x:c r="I1586" s="47" t="str">
        <x:v>4109905524</x:v>
      </x:c>
      <x:c r="J1586" s="47" t="n">
        <x:v>94842576</x:v>
      </x:c>
      <x:c r="K1586" s="53" t="b">
        <x:v>1</x:v>
      </x:c>
      <x:c r="L1586" s="53" t="b">
        <x:v>1</x:v>
      </x:c>
      <x:c r="M1586" s="53" t="b">
        <x:v>1</x:v>
      </x:c>
      <x:c r="N1586" s="53" t="b">
        <x:v>1</x:v>
      </x:c>
      <x:c r="O1586" s="53" t="b">
        <x:v>1</x:v>
      </x:c>
      <x:c r="P1586" s="47" t="n">
        <x:v>1009</x:v>
      </x:c>
      <x:c r="Q1586" s="47" t="n">
        <x:v>0</x:v>
      </x:c>
      <x:c r="R1586" s="47" t="n">
        <x:v>0</x:v>
      </x:c>
      <x:c r="S1586" s="47" t="n">
        <x:v>26.32</x:v>
      </x:c>
      <x:c r="T1586" s="47" t="n">
        <x:v>71.88</x:v>
      </x:c>
      <x:c r="U1586" s="47" t="n">
        <x:v>28.3</x:v>
      </x:c>
      <x:c r="V1586" s="47" t="n">
        <x:v>21.1</x:v>
      </x:c>
      <x:c r="W1586" s="47" t="n">
        <x:v>0</x:v>
      </x:c>
      <x:c r="X1586" s="47" t="n">
        <x:v>0</x:v>
      </x:c>
      <x:c r="Y1586" s="41" t="n">
        <x:v>0</x:v>
      </x:c>
    </x:row>
    <x:row r="1587">
      <x:c r="A1587" s="38" t="str">
        <x:v>7月30日现场数据</x:v>
      </x:c>
      <x:c r="B1587" s="66" t="str">
        <x:v>2026-08-05T01:43:38.430000</x:v>
      </x:c>
      <x:c r="C1587" s="47" t="n">
        <x:v>300979</x:v>
      </x:c>
      <x:c r="D1587" s="47" t="str"/>
      <x:c r="E1587" s="47" t="str"/>
      <x:c r="F1587" s="47" t="str">
        <x:v>current</x:v>
      </x:c>
      <x:c r="G1587" s="47" t="n">
        <x:v>1583</x:v>
      </x:c>
      <x:c r="H1587" s="53" t="b">
        <x:v>1</x:v>
      </x:c>
      <x:c r="I1587" s="47" t="str">
        <x:v>4109905524</x:v>
      </x:c>
      <x:c r="J1587" s="47" t="n">
        <x:v>95143555</x:v>
      </x:c>
      <x:c r="K1587" s="53" t="b">
        <x:v>1</x:v>
      </x:c>
      <x:c r="L1587" s="53" t="b">
        <x:v>1</x:v>
      </x:c>
      <x:c r="M1587" s="53" t="b">
        <x:v>1</x:v>
      </x:c>
      <x:c r="N1587" s="53" t="b">
        <x:v>1</x:v>
      </x:c>
      <x:c r="O1587" s="53" t="b">
        <x:v>1</x:v>
      </x:c>
      <x:c r="P1587" s="47" t="n">
        <x:v>1009</x:v>
      </x:c>
      <x:c r="Q1587" s="47" t="n">
        <x:v>0</x:v>
      </x:c>
      <x:c r="R1587" s="47" t="n">
        <x:v>0</x:v>
      </x:c>
      <x:c r="S1587" s="47" t="n">
        <x:v>26.26</x:v>
      </x:c>
      <x:c r="T1587" s="47" t="n">
        <x:v>72.05</x:v>
      </x:c>
      <x:c r="U1587" s="47" t="n">
        <x:v>28.3</x:v>
      </x:c>
      <x:c r="V1587" s="47" t="n">
        <x:v>21</x:v>
      </x:c>
      <x:c r="W1587" s="47" t="n">
        <x:v>0</x:v>
      </x:c>
      <x:c r="X1587" s="47" t="n">
        <x:v>0</x:v>
      </x:c>
      <x:c r="Y1587" s="41" t="n">
        <x:v>0</x:v>
      </x:c>
    </x:row>
    <x:row r="1588">
      <x:c r="A1588" s="38" t="str">
        <x:v>7月30日现场数据</x:v>
      </x:c>
      <x:c r="B1588" s="66" t="str">
        <x:v>2026-08-05T01:48:39.410000</x:v>
      </x:c>
      <x:c r="C1588" s="47" t="n">
        <x:v>300980</x:v>
      </x:c>
      <x:c r="D1588" s="47" t="str"/>
      <x:c r="E1588" s="47" t="str"/>
      <x:c r="F1588" s="47" t="str">
        <x:v>current</x:v>
      </x:c>
      <x:c r="G1588" s="47" t="n">
        <x:v>1584</x:v>
      </x:c>
      <x:c r="H1588" s="53" t="b">
        <x:v>1</x:v>
      </x:c>
      <x:c r="I1588" s="47" t="str">
        <x:v>4109905524</x:v>
      </x:c>
      <x:c r="J1588" s="47" t="n">
        <x:v>95444535</x:v>
      </x:c>
      <x:c r="K1588" s="53" t="b">
        <x:v>1</x:v>
      </x:c>
      <x:c r="L1588" s="53" t="b">
        <x:v>1</x:v>
      </x:c>
      <x:c r="M1588" s="53" t="b">
        <x:v>1</x:v>
      </x:c>
      <x:c r="N1588" s="53" t="b">
        <x:v>1</x:v>
      </x:c>
      <x:c r="O1588" s="53" t="b">
        <x:v>1</x:v>
      </x:c>
      <x:c r="P1588" s="47" t="n">
        <x:v>1009</x:v>
      </x:c>
      <x:c r="Q1588" s="47" t="n">
        <x:v>0</x:v>
      </x:c>
      <x:c r="R1588" s="47" t="n">
        <x:v>0</x:v>
      </x:c>
      <x:c r="S1588" s="47" t="n">
        <x:v>26.23</x:v>
      </x:c>
      <x:c r="T1588" s="47" t="n">
        <x:v>72.14</x:v>
      </x:c>
      <x:c r="U1588" s="47" t="n">
        <x:v>28.3</x:v>
      </x:c>
      <x:c r="V1588" s="47" t="n">
        <x:v>20.8</x:v>
      </x:c>
      <x:c r="W1588" s="47" t="n">
        <x:v>0</x:v>
      </x:c>
      <x:c r="X1588" s="47" t="n">
        <x:v>0</x:v>
      </x:c>
      <x:c r="Y1588" s="41" t="n">
        <x:v>0</x:v>
      </x:c>
    </x:row>
    <x:row r="1589">
      <x:c r="A1589" s="38" t="str">
        <x:v>7月30日现场数据</x:v>
      </x:c>
      <x:c r="B1589" s="66" t="str">
        <x:v>2026-08-05T01:53:40.391000</x:v>
      </x:c>
      <x:c r="C1589" s="47" t="n">
        <x:v>300981</x:v>
      </x:c>
      <x:c r="D1589" s="47" t="str"/>
      <x:c r="E1589" s="47" t="str"/>
      <x:c r="F1589" s="47" t="str">
        <x:v>current</x:v>
      </x:c>
      <x:c r="G1589" s="47" t="n">
        <x:v>1585</x:v>
      </x:c>
      <x:c r="H1589" s="53" t="b">
        <x:v>1</x:v>
      </x:c>
      <x:c r="I1589" s="47" t="str">
        <x:v>4109905524</x:v>
      </x:c>
      <x:c r="J1589" s="47" t="n">
        <x:v>95745516</x:v>
      </x:c>
      <x:c r="K1589" s="53" t="b">
        <x:v>1</x:v>
      </x:c>
      <x:c r="L1589" s="53" t="b">
        <x:v>1</x:v>
      </x:c>
      <x:c r="M1589" s="53" t="b">
        <x:v>1</x:v>
      </x:c>
      <x:c r="N1589" s="53" t="b">
        <x:v>1</x:v>
      </x:c>
      <x:c r="O1589" s="53" t="b">
        <x:v>1</x:v>
      </x:c>
      <x:c r="P1589" s="47" t="n">
        <x:v>1009</x:v>
      </x:c>
      <x:c r="Q1589" s="47" t="n">
        <x:v>0</x:v>
      </x:c>
      <x:c r="R1589" s="47" t="n">
        <x:v>0</x:v>
      </x:c>
      <x:c r="S1589" s="47" t="n">
        <x:v>26.23</x:v>
      </x:c>
      <x:c r="T1589" s="47" t="n">
        <x:v>72.28</x:v>
      </x:c>
      <x:c r="U1589" s="47" t="n">
        <x:v>28.3</x:v>
      </x:c>
      <x:c r="V1589" s="47" t="n">
        <x:v>20.7</x:v>
      </x:c>
      <x:c r="W1589" s="47" t="n">
        <x:v>0</x:v>
      </x:c>
      <x:c r="X1589" s="47" t="n">
        <x:v>0</x:v>
      </x:c>
      <x:c r="Y1589" s="41" t="n">
        <x:v>0</x:v>
      </x:c>
    </x:row>
    <x:row r="1590">
      <x:c r="A1590" s="38" t="str">
        <x:v>7月30日现场数据</x:v>
      </x:c>
      <x:c r="B1590" s="66" t="str">
        <x:v>2026-08-05T01:58:41.377000</x:v>
      </x:c>
      <x:c r="C1590" s="47" t="n">
        <x:v>300986</x:v>
      </x:c>
      <x:c r="D1590" s="47" t="str"/>
      <x:c r="E1590" s="47" t="str"/>
      <x:c r="F1590" s="47" t="str">
        <x:v>current</x:v>
      </x:c>
      <x:c r="G1590" s="47" t="n">
        <x:v>1586</x:v>
      </x:c>
      <x:c r="H1590" s="53" t="b">
        <x:v>1</x:v>
      </x:c>
      <x:c r="I1590" s="47" t="str">
        <x:v>4109905524</x:v>
      </x:c>
      <x:c r="J1590" s="47" t="n">
        <x:v>96046502</x:v>
      </x:c>
      <x:c r="K1590" s="53" t="b">
        <x:v>1</x:v>
      </x:c>
      <x:c r="L1590" s="53" t="b">
        <x:v>1</x:v>
      </x:c>
      <x:c r="M1590" s="53" t="b">
        <x:v>1</x:v>
      </x:c>
      <x:c r="N1590" s="53" t="b">
        <x:v>1</x:v>
      </x:c>
      <x:c r="O1590" s="53" t="b">
        <x:v>1</x:v>
      </x:c>
      <x:c r="P1590" s="47" t="n">
        <x:v>1009</x:v>
      </x:c>
      <x:c r="Q1590" s="47" t="n">
        <x:v>0</x:v>
      </x:c>
      <x:c r="R1590" s="47" t="n">
        <x:v>0</x:v>
      </x:c>
      <x:c r="S1590" s="47" t="n">
        <x:v>26.17</x:v>
      </x:c>
      <x:c r="T1590" s="47" t="n">
        <x:v>72.46</x:v>
      </x:c>
      <x:c r="U1590" s="47" t="n">
        <x:v>28.3</x:v>
      </x:c>
      <x:c r="V1590" s="47" t="n">
        <x:v>20.5</x:v>
      </x:c>
      <x:c r="W1590" s="47" t="n">
        <x:v>0</x:v>
      </x:c>
      <x:c r="X1590" s="47" t="n">
        <x:v>0</x:v>
      </x:c>
      <x:c r="Y1590" s="41" t="n">
        <x:v>0</x:v>
      </x:c>
    </x:row>
    <x:row r="1591">
      <x:c r="A1591" s="38" t="str">
        <x:v>7月30日现场数据</x:v>
      </x:c>
      <x:c r="B1591" s="66" t="str">
        <x:v>2026-08-05T02:03:42.363000</x:v>
      </x:c>
      <x:c r="C1591" s="47" t="n">
        <x:v>300986</x:v>
      </x:c>
      <x:c r="D1591" s="47" t="str"/>
      <x:c r="E1591" s="47" t="str"/>
      <x:c r="F1591" s="47" t="str">
        <x:v>current</x:v>
      </x:c>
      <x:c r="G1591" s="47" t="n">
        <x:v>1587</x:v>
      </x:c>
      <x:c r="H1591" s="53" t="b">
        <x:v>1</x:v>
      </x:c>
      <x:c r="I1591" s="47" t="str">
        <x:v>4109905524</x:v>
      </x:c>
      <x:c r="J1591" s="47" t="n">
        <x:v>96347488</x:v>
      </x:c>
      <x:c r="K1591" s="53" t="b">
        <x:v>1</x:v>
      </x:c>
      <x:c r="L1591" s="53" t="b">
        <x:v>1</x:v>
      </x:c>
      <x:c r="M1591" s="53" t="b">
        <x:v>1</x:v>
      </x:c>
      <x:c r="N1591" s="53" t="b">
        <x:v>1</x:v>
      </x:c>
      <x:c r="O1591" s="53" t="b">
        <x:v>1</x:v>
      </x:c>
      <x:c r="P1591" s="47" t="n">
        <x:v>1009</x:v>
      </x:c>
      <x:c r="Q1591" s="47" t="n">
        <x:v>0</x:v>
      </x:c>
      <x:c r="R1591" s="47" t="n">
        <x:v>0</x:v>
      </x:c>
      <x:c r="S1591" s="47" t="n">
        <x:v>26.2</x:v>
      </x:c>
      <x:c r="T1591" s="47" t="n">
        <x:v>72.56</x:v>
      </x:c>
      <x:c r="U1591" s="47" t="n">
        <x:v>28.3</x:v>
      </x:c>
      <x:c r="V1591" s="47" t="n">
        <x:v>20.5</x:v>
      </x:c>
      <x:c r="W1591" s="47" t="n">
        <x:v>0</x:v>
      </x:c>
      <x:c r="X1591" s="47" t="n">
        <x:v>0</x:v>
      </x:c>
      <x:c r="Y1591" s="41" t="n">
        <x:v>0</x:v>
      </x:c>
    </x:row>
    <x:row r="1592">
      <x:c r="A1592" s="38" t="str">
        <x:v>7月30日现场数据</x:v>
      </x:c>
      <x:c r="B1592" s="66" t="str">
        <x:v>2026-08-05T02:08:43.350000</x:v>
      </x:c>
      <x:c r="C1592" s="47" t="n">
        <x:v>300987</x:v>
      </x:c>
      <x:c r="D1592" s="47" t="str"/>
      <x:c r="E1592" s="47" t="str"/>
      <x:c r="F1592" s="47" t="str">
        <x:v>current</x:v>
      </x:c>
      <x:c r="G1592" s="47" t="n">
        <x:v>1588</x:v>
      </x:c>
      <x:c r="H1592" s="53" t="b">
        <x:v>1</x:v>
      </x:c>
      <x:c r="I1592" s="47" t="str">
        <x:v>4109905524</x:v>
      </x:c>
      <x:c r="J1592" s="47" t="n">
        <x:v>96648475</x:v>
      </x:c>
      <x:c r="K1592" s="53" t="b">
        <x:v>1</x:v>
      </x:c>
      <x:c r="L1592" s="53" t="b">
        <x:v>1</x:v>
      </x:c>
      <x:c r="M1592" s="53" t="b">
        <x:v>1</x:v>
      </x:c>
      <x:c r="N1592" s="53" t="b">
        <x:v>1</x:v>
      </x:c>
      <x:c r="O1592" s="53" t="b">
        <x:v>1</x:v>
      </x:c>
      <x:c r="P1592" s="47" t="n">
        <x:v>1009</x:v>
      </x:c>
      <x:c r="Q1592" s="47" t="n">
        <x:v>0.011</x:v>
      </x:c>
      <x:c r="R1592" s="47" t="n">
        <x:v>0.297</x:v>
      </x:c>
      <x:c r="S1592" s="47" t="n">
        <x:v>26.24</x:v>
      </x:c>
      <x:c r="T1592" s="47" t="n">
        <x:v>72.72</x:v>
      </x:c>
      <x:c r="U1592" s="47" t="n">
        <x:v>28.3</x:v>
      </x:c>
      <x:c r="V1592" s="47" t="n">
        <x:v>20.3</x:v>
      </x:c>
      <x:c r="W1592" s="47" t="n">
        <x:v>0</x:v>
      </x:c>
      <x:c r="X1592" s="47" t="n">
        <x:v>0</x:v>
      </x:c>
      <x:c r="Y1592" s="41" t="n">
        <x:v>0</x:v>
      </x:c>
    </x:row>
    <x:row r="1593">
      <x:c r="A1593" s="38" t="str">
        <x:v>7月30日现场数据</x:v>
      </x:c>
      <x:c r="B1593" s="66" t="str">
        <x:v>2026-08-05T02:13:44.339000</x:v>
      </x:c>
      <x:c r="C1593" s="47" t="n">
        <x:v>300989</x:v>
      </x:c>
      <x:c r="D1593" s="47" t="str"/>
      <x:c r="E1593" s="47" t="str"/>
      <x:c r="F1593" s="47" t="str">
        <x:v>current</x:v>
      </x:c>
      <x:c r="G1593" s="47" t="n">
        <x:v>1589</x:v>
      </x:c>
      <x:c r="H1593" s="53" t="b">
        <x:v>1</x:v>
      </x:c>
      <x:c r="I1593" s="47" t="str">
        <x:v>4109905524</x:v>
      </x:c>
      <x:c r="J1593" s="47" t="n">
        <x:v>96949464</x:v>
      </x:c>
      <x:c r="K1593" s="53" t="b">
        <x:v>1</x:v>
      </x:c>
      <x:c r="L1593" s="53" t="b">
        <x:v>1</x:v>
      </x:c>
      <x:c r="M1593" s="53" t="b">
        <x:v>1</x:v>
      </x:c>
      <x:c r="N1593" s="53" t="b">
        <x:v>1</x:v>
      </x:c>
      <x:c r="O1593" s="53" t="b">
        <x:v>1</x:v>
      </x:c>
      <x:c r="P1593" s="47" t="n">
        <x:v>1009</x:v>
      </x:c>
      <x:c r="Q1593" s="47" t="n">
        <x:v>0</x:v>
      </x:c>
      <x:c r="R1593" s="47" t="n">
        <x:v>0</x:v>
      </x:c>
      <x:c r="S1593" s="47" t="n">
        <x:v>26.26</x:v>
      </x:c>
      <x:c r="T1593" s="47" t="n">
        <x:v>72.88</x:v>
      </x:c>
      <x:c r="U1593" s="47" t="n">
        <x:v>28.3</x:v>
      </x:c>
      <x:c r="V1593" s="47" t="n">
        <x:v>20.1</x:v>
      </x:c>
      <x:c r="W1593" s="47" t="n">
        <x:v>0</x:v>
      </x:c>
      <x:c r="X1593" s="47" t="n">
        <x:v>0</x:v>
      </x:c>
      <x:c r="Y1593" s="41" t="n">
        <x:v>0</x:v>
      </x:c>
    </x:row>
    <x:row r="1594">
      <x:c r="A1594" s="38" t="str">
        <x:v>7月30日现场数据</x:v>
      </x:c>
      <x:c r="B1594" s="66" t="str">
        <x:v>2026-08-05T02:18:45.364000</x:v>
      </x:c>
      <x:c r="C1594" s="47" t="n">
        <x:v>301025</x:v>
      </x:c>
      <x:c r="D1594" s="47" t="str"/>
      <x:c r="E1594" s="47" t="str"/>
      <x:c r="F1594" s="47" t="str">
        <x:v>current</x:v>
      </x:c>
      <x:c r="G1594" s="47" t="n">
        <x:v>1590</x:v>
      </x:c>
      <x:c r="H1594" s="53" t="b">
        <x:v>1</x:v>
      </x:c>
      <x:c r="I1594" s="47" t="str">
        <x:v>4109905524</x:v>
      </x:c>
      <x:c r="J1594" s="47" t="n">
        <x:v>97250489</x:v>
      </x:c>
      <x:c r="K1594" s="53" t="b">
        <x:v>1</x:v>
      </x:c>
      <x:c r="L1594" s="53" t="b">
        <x:v>1</x:v>
      </x:c>
      <x:c r="M1594" s="53" t="b">
        <x:v>1</x:v>
      </x:c>
      <x:c r="N1594" s="53" t="b">
        <x:v>1</x:v>
      </x:c>
      <x:c r="O1594" s="53" t="b">
        <x:v>1</x:v>
      </x:c>
      <x:c r="P1594" s="47" t="n">
        <x:v>1009</x:v>
      </x:c>
      <x:c r="Q1594" s="47" t="n">
        <x:v>0.066</x:v>
      </x:c>
      <x:c r="R1594" s="47" t="n">
        <x:v>1.78</x:v>
      </x:c>
      <x:c r="S1594" s="47" t="n">
        <x:v>26.34</x:v>
      </x:c>
      <x:c r="T1594" s="47" t="n">
        <x:v>73.1</x:v>
      </x:c>
      <x:c r="U1594" s="47" t="n">
        <x:v>28.3</x:v>
      </x:c>
      <x:c r="V1594" s="47" t="n">
        <x:v>20.2</x:v>
      </x:c>
      <x:c r="W1594" s="47" t="n">
        <x:v>0</x:v>
      </x:c>
      <x:c r="X1594" s="47" t="n">
        <x:v>0</x:v>
      </x:c>
      <x:c r="Y1594" s="41" t="n">
        <x:v>0</x:v>
      </x:c>
    </x:row>
    <x:row r="1595">
      <x:c r="A1595" s="38" t="str">
        <x:v>7月30日现场数据</x:v>
      </x:c>
      <x:c r="B1595" s="66" t="str">
        <x:v>2026-08-05T02:23:46.332000</x:v>
      </x:c>
      <x:c r="C1595" s="47" t="n">
        <x:v>300968</x:v>
      </x:c>
      <x:c r="D1595" s="47" t="str"/>
      <x:c r="E1595" s="47" t="str"/>
      <x:c r="F1595" s="47" t="str">
        <x:v>current</x:v>
      </x:c>
      <x:c r="G1595" s="47" t="n">
        <x:v>1591</x:v>
      </x:c>
      <x:c r="H1595" s="53" t="b">
        <x:v>1</x:v>
      </x:c>
      <x:c r="I1595" s="47" t="str">
        <x:v>4109905524</x:v>
      </x:c>
      <x:c r="J1595" s="47" t="n">
        <x:v>97551457</x:v>
      </x:c>
      <x:c r="K1595" s="53" t="b">
        <x:v>1</x:v>
      </x:c>
      <x:c r="L1595" s="53" t="b">
        <x:v>1</x:v>
      </x:c>
      <x:c r="M1595" s="53" t="b">
        <x:v>1</x:v>
      </x:c>
      <x:c r="N1595" s="53" t="b">
        <x:v>1</x:v>
      </x:c>
      <x:c r="O1595" s="53" t="b">
        <x:v>1</x:v>
      </x:c>
      <x:c r="P1595" s="47" t="n">
        <x:v>1009</x:v>
      </x:c>
      <x:c r="Q1595" s="47" t="n">
        <x:v>0</x:v>
      </x:c>
      <x:c r="R1595" s="47" t="n">
        <x:v>0</x:v>
      </x:c>
      <x:c r="S1595" s="47" t="n">
        <x:v>26.37</x:v>
      </x:c>
      <x:c r="T1595" s="47" t="n">
        <x:v>73.21</x:v>
      </x:c>
      <x:c r="U1595" s="47" t="n">
        <x:v>28.3</x:v>
      </x:c>
      <x:c r="V1595" s="47" t="n">
        <x:v>20</x:v>
      </x:c>
      <x:c r="W1595" s="47" t="n">
        <x:v>0</x:v>
      </x:c>
      <x:c r="X1595" s="47" t="n">
        <x:v>0</x:v>
      </x:c>
      <x:c r="Y1595" s="41" t="n">
        <x:v>0</x:v>
      </x:c>
    </x:row>
    <x:row r="1596">
      <x:c r="A1596" s="38" t="str">
        <x:v>7月30日现场数据</x:v>
      </x:c>
      <x:c r="B1596" s="66" t="str">
        <x:v>2026-08-05T02:28:47.303000</x:v>
      </x:c>
      <x:c r="C1596" s="47" t="n">
        <x:v>300971</x:v>
      </x:c>
      <x:c r="D1596" s="47" t="str"/>
      <x:c r="E1596" s="47" t="str"/>
      <x:c r="F1596" s="47" t="str">
        <x:v>current</x:v>
      </x:c>
      <x:c r="G1596" s="47" t="n">
        <x:v>1592</x:v>
      </x:c>
      <x:c r="H1596" s="53" t="b">
        <x:v>1</x:v>
      </x:c>
      <x:c r="I1596" s="47" t="str">
        <x:v>4109905524</x:v>
      </x:c>
      <x:c r="J1596" s="47" t="n">
        <x:v>97852428</x:v>
      </x:c>
      <x:c r="K1596" s="53" t="b">
        <x:v>1</x:v>
      </x:c>
      <x:c r="L1596" s="53" t="b">
        <x:v>1</x:v>
      </x:c>
      <x:c r="M1596" s="53" t="b">
        <x:v>1</x:v>
      </x:c>
      <x:c r="N1596" s="53" t="b">
        <x:v>1</x:v>
      </x:c>
      <x:c r="O1596" s="53" t="b">
        <x:v>1</x:v>
      </x:c>
      <x:c r="P1596" s="47" t="n">
        <x:v>1009</x:v>
      </x:c>
      <x:c r="Q1596" s="47" t="n">
        <x:v>0</x:v>
      </x:c>
      <x:c r="R1596" s="47" t="n">
        <x:v>0</x:v>
      </x:c>
      <x:c r="S1596" s="47" t="n">
        <x:v>26.41</x:v>
      </x:c>
      <x:c r="T1596" s="47" t="n">
        <x:v>73.37</x:v>
      </x:c>
      <x:c r="U1596" s="47" t="n">
        <x:v>28.3</x:v>
      </x:c>
      <x:c r="V1596" s="47" t="n">
        <x:v>20</x:v>
      </x:c>
      <x:c r="W1596" s="47" t="n">
        <x:v>0</x:v>
      </x:c>
      <x:c r="X1596" s="47" t="n">
        <x:v>0</x:v>
      </x:c>
      <x:c r="Y1596" s="41" t="n">
        <x:v>0</x:v>
      </x:c>
    </x:row>
    <x:row r="1597">
      <x:c r="A1597" s="38" t="str">
        <x:v>7月30日现场数据</x:v>
      </x:c>
      <x:c r="B1597" s="66" t="str">
        <x:v>2026-08-05T02:33:48.274000</x:v>
      </x:c>
      <x:c r="C1597" s="47" t="n">
        <x:v>300971</x:v>
      </x:c>
      <x:c r="D1597" s="47" t="str"/>
      <x:c r="E1597" s="47" t="str"/>
      <x:c r="F1597" s="47" t="str">
        <x:v>current</x:v>
      </x:c>
      <x:c r="G1597" s="47" t="n">
        <x:v>1593</x:v>
      </x:c>
      <x:c r="H1597" s="53" t="b">
        <x:v>1</x:v>
      </x:c>
      <x:c r="I1597" s="47" t="str">
        <x:v>4109905524</x:v>
      </x:c>
      <x:c r="J1597" s="47" t="n">
        <x:v>98153399</x:v>
      </x:c>
      <x:c r="K1597" s="53" t="b">
        <x:v>1</x:v>
      </x:c>
      <x:c r="L1597" s="53" t="b">
        <x:v>1</x:v>
      </x:c>
      <x:c r="M1597" s="53" t="b">
        <x:v>1</x:v>
      </x:c>
      <x:c r="N1597" s="53" t="b">
        <x:v>1</x:v>
      </x:c>
      <x:c r="O1597" s="53" t="b">
        <x:v>1</x:v>
      </x:c>
      <x:c r="P1597" s="47" t="n">
        <x:v>1009</x:v>
      </x:c>
      <x:c r="Q1597" s="47" t="n">
        <x:v>0</x:v>
      </x:c>
      <x:c r="R1597" s="47" t="n">
        <x:v>0</x:v>
      </x:c>
      <x:c r="S1597" s="47" t="n">
        <x:v>26.47</x:v>
      </x:c>
      <x:c r="T1597" s="47" t="n">
        <x:v>73.51</x:v>
      </x:c>
      <x:c r="U1597" s="47" t="n">
        <x:v>28.3</x:v>
      </x:c>
      <x:c r="V1597" s="47" t="n">
        <x:v>19.9</x:v>
      </x:c>
      <x:c r="W1597" s="47" t="n">
        <x:v>0</x:v>
      </x:c>
      <x:c r="X1597" s="47" t="n">
        <x:v>0</x:v>
      </x:c>
      <x:c r="Y1597" s="41" t="n">
        <x:v>0</x:v>
      </x:c>
    </x:row>
    <x:row r="1598">
      <x:c r="A1598" s="38" t="str">
        <x:v>7月30日现场数据</x:v>
      </x:c>
      <x:c r="B1598" s="66" t="str">
        <x:v>2026-08-05T02:38:49.250000</x:v>
      </x:c>
      <x:c r="C1598" s="47" t="n">
        <x:v>300976</x:v>
      </x:c>
      <x:c r="D1598" s="47" t="str"/>
      <x:c r="E1598" s="47" t="str"/>
      <x:c r="F1598" s="47" t="str">
        <x:v>current</x:v>
      </x:c>
      <x:c r="G1598" s="47" t="n">
        <x:v>1594</x:v>
      </x:c>
      <x:c r="H1598" s="53" t="b">
        <x:v>1</x:v>
      </x:c>
      <x:c r="I1598" s="47" t="str">
        <x:v>4109905524</x:v>
      </x:c>
      <x:c r="J1598" s="47" t="n">
        <x:v>98454375</x:v>
      </x:c>
      <x:c r="K1598" s="53" t="b">
        <x:v>1</x:v>
      </x:c>
      <x:c r="L1598" s="53" t="b">
        <x:v>1</x:v>
      </x:c>
      <x:c r="M1598" s="53" t="b">
        <x:v>1</x:v>
      </x:c>
      <x:c r="N1598" s="53" t="b">
        <x:v>1</x:v>
      </x:c>
      <x:c r="O1598" s="53" t="b">
        <x:v>1</x:v>
      </x:c>
      <x:c r="P1598" s="47" t="n">
        <x:v>1009</x:v>
      </x:c>
      <x:c r="Q1598" s="47" t="n">
        <x:v>0</x:v>
      </x:c>
      <x:c r="R1598" s="47" t="n">
        <x:v>0</x:v>
      </x:c>
      <x:c r="S1598" s="47" t="n">
        <x:v>26.52</x:v>
      </x:c>
      <x:c r="T1598" s="47" t="n">
        <x:v>73.67</x:v>
      </x:c>
      <x:c r="U1598" s="47" t="n">
        <x:v>28.3</x:v>
      </x:c>
      <x:c r="V1598" s="47" t="n">
        <x:v>19.9</x:v>
      </x:c>
      <x:c r="W1598" s="47" t="n">
        <x:v>0</x:v>
      </x:c>
      <x:c r="X1598" s="47" t="n">
        <x:v>0</x:v>
      </x:c>
      <x:c r="Y1598" s="41" t="n">
        <x:v>0</x:v>
      </x:c>
    </x:row>
    <x:row r="1599">
      <x:c r="A1599" s="38" t="str">
        <x:v>7月30日现场数据</x:v>
      </x:c>
      <x:c r="B1599" s="66" t="str">
        <x:v>2026-08-05T02:43:50.227000</x:v>
      </x:c>
      <x:c r="C1599" s="47" t="n">
        <x:v>300977</x:v>
      </x:c>
      <x:c r="D1599" s="47" t="str"/>
      <x:c r="E1599" s="47" t="str"/>
      <x:c r="F1599" s="47" t="str">
        <x:v>current</x:v>
      </x:c>
      <x:c r="G1599" s="47" t="n">
        <x:v>1595</x:v>
      </x:c>
      <x:c r="H1599" s="53" t="b">
        <x:v>1</x:v>
      </x:c>
      <x:c r="I1599" s="47" t="str">
        <x:v>4109905524</x:v>
      </x:c>
      <x:c r="J1599" s="47" t="n">
        <x:v>98755352</x:v>
      </x:c>
      <x:c r="K1599" s="53" t="b">
        <x:v>1</x:v>
      </x:c>
      <x:c r="L1599" s="53" t="b">
        <x:v>1</x:v>
      </x:c>
      <x:c r="M1599" s="53" t="b">
        <x:v>1</x:v>
      </x:c>
      <x:c r="N1599" s="53" t="b">
        <x:v>1</x:v>
      </x:c>
      <x:c r="O1599" s="53" t="b">
        <x:v>1</x:v>
      </x:c>
      <x:c r="P1599" s="47" t="n">
        <x:v>1009</x:v>
      </x:c>
      <x:c r="Q1599" s="47" t="n">
        <x:v>0</x:v>
      </x:c>
      <x:c r="R1599" s="47" t="n">
        <x:v>0</x:v>
      </x:c>
      <x:c r="S1599" s="47" t="n">
        <x:v>26.6</x:v>
      </x:c>
      <x:c r="T1599" s="47" t="n">
        <x:v>73.82</x:v>
      </x:c>
      <x:c r="U1599" s="47" t="n">
        <x:v>28.3</x:v>
      </x:c>
      <x:c r="V1599" s="47" t="n">
        <x:v>19.9</x:v>
      </x:c>
      <x:c r="W1599" s="47" t="n">
        <x:v>0</x:v>
      </x:c>
      <x:c r="X1599" s="47" t="n">
        <x:v>0</x:v>
      </x:c>
      <x:c r="Y1599" s="41" t="n">
        <x:v>0</x:v>
      </x:c>
    </x:row>
    <x:row r="1600">
      <x:c r="A1600" s="38" t="str">
        <x:v>7月30日现场数据</x:v>
      </x:c>
      <x:c r="B1600" s="66" t="str">
        <x:v>2026-08-05T02:48:51.204000</x:v>
      </x:c>
      <x:c r="C1600" s="47" t="n">
        <x:v>300977</x:v>
      </x:c>
      <x:c r="D1600" s="47" t="str"/>
      <x:c r="E1600" s="47" t="str"/>
      <x:c r="F1600" s="47" t="str">
        <x:v>current</x:v>
      </x:c>
      <x:c r="G1600" s="47" t="n">
        <x:v>1596</x:v>
      </x:c>
      <x:c r="H1600" s="53" t="b">
        <x:v>1</x:v>
      </x:c>
      <x:c r="I1600" s="47" t="str">
        <x:v>4109905524</x:v>
      </x:c>
      <x:c r="J1600" s="47" t="n">
        <x:v>99056329</x:v>
      </x:c>
      <x:c r="K1600" s="53" t="b">
        <x:v>1</x:v>
      </x:c>
      <x:c r="L1600" s="53" t="b">
        <x:v>1</x:v>
      </x:c>
      <x:c r="M1600" s="53" t="b">
        <x:v>1</x:v>
      </x:c>
      <x:c r="N1600" s="53" t="b">
        <x:v>1</x:v>
      </x:c>
      <x:c r="O1600" s="53" t="b">
        <x:v>1</x:v>
      </x:c>
      <x:c r="P1600" s="47" t="n">
        <x:v>1009</x:v>
      </x:c>
      <x:c r="Q1600" s="47" t="n">
        <x:v>0</x:v>
      </x:c>
      <x:c r="R1600" s="47" t="n">
        <x:v>0</x:v>
      </x:c>
      <x:c r="S1600" s="47" t="n">
        <x:v>26.66</x:v>
      </x:c>
      <x:c r="T1600" s="47" t="n">
        <x:v>73.98</x:v>
      </x:c>
      <x:c r="U1600" s="47" t="n">
        <x:v>28.3</x:v>
      </x:c>
      <x:c r="V1600" s="47" t="n">
        <x:v>19.8</x:v>
      </x:c>
      <x:c r="W1600" s="47" t="n">
        <x:v>0</x:v>
      </x:c>
      <x:c r="X1600" s="47" t="n">
        <x:v>0</x:v>
      </x:c>
      <x:c r="Y1600" s="41" t="n">
        <x:v>0</x:v>
      </x:c>
    </x:row>
    <x:row r="1601">
      <x:c r="A1601" s="38" t="str">
        <x:v>7月30日现场数据</x:v>
      </x:c>
      <x:c r="B1601" s="66" t="str">
        <x:v>2026-08-05T02:53:52.182000</x:v>
      </x:c>
      <x:c r="C1601" s="47" t="n">
        <x:v>300978</x:v>
      </x:c>
      <x:c r="D1601" s="47" t="str"/>
      <x:c r="E1601" s="47" t="str"/>
      <x:c r="F1601" s="47" t="str">
        <x:v>current</x:v>
      </x:c>
      <x:c r="G1601" s="47" t="n">
        <x:v>1597</x:v>
      </x:c>
      <x:c r="H1601" s="53" t="b">
        <x:v>1</x:v>
      </x:c>
      <x:c r="I1601" s="47" t="str">
        <x:v>4109905524</x:v>
      </x:c>
      <x:c r="J1601" s="47" t="n">
        <x:v>99357307</x:v>
      </x:c>
      <x:c r="K1601" s="53" t="b">
        <x:v>1</x:v>
      </x:c>
      <x:c r="L1601" s="53" t="b">
        <x:v>1</x:v>
      </x:c>
      <x:c r="M1601" s="53" t="b">
        <x:v>1</x:v>
      </x:c>
      <x:c r="N1601" s="53" t="b">
        <x:v>1</x:v>
      </x:c>
      <x:c r="O1601" s="53" t="b">
        <x:v>1</x:v>
      </x:c>
      <x:c r="P1601" s="47" t="n">
        <x:v>1009</x:v>
      </x:c>
      <x:c r="Q1601" s="47" t="n">
        <x:v>0</x:v>
      </x:c>
      <x:c r="R1601" s="47" t="n">
        <x:v>0</x:v>
      </x:c>
      <x:c r="S1601" s="47" t="n">
        <x:v>26.74</x:v>
      </x:c>
      <x:c r="T1601" s="47" t="n">
        <x:v>74.21</x:v>
      </x:c>
      <x:c r="U1601" s="47" t="n">
        <x:v>28.3</x:v>
      </x:c>
      <x:c r="V1601" s="47" t="n">
        <x:v>19.8</x:v>
      </x:c>
      <x:c r="W1601" s="47" t="n">
        <x:v>0</x:v>
      </x:c>
      <x:c r="X1601" s="47" t="n">
        <x:v>0</x:v>
      </x:c>
      <x:c r="Y1601" s="41" t="n">
        <x:v>0</x:v>
      </x:c>
    </x:row>
    <x:row r="1602">
      <x:c r="A1602" s="38" t="str">
        <x:v>7月30日现场数据</x:v>
      </x:c>
      <x:c r="B1602" s="66" t="str">
        <x:v>2026-08-05T02:58:53.164000</x:v>
      </x:c>
      <x:c r="C1602" s="47" t="n">
        <x:v>300982</x:v>
      </x:c>
      <x:c r="D1602" s="47" t="str"/>
      <x:c r="E1602" s="47" t="str"/>
      <x:c r="F1602" s="47" t="str">
        <x:v>current</x:v>
      </x:c>
      <x:c r="G1602" s="47" t="n">
        <x:v>1598</x:v>
      </x:c>
      <x:c r="H1602" s="53" t="b">
        <x:v>1</x:v>
      </x:c>
      <x:c r="I1602" s="47" t="str">
        <x:v>4109905524</x:v>
      </x:c>
      <x:c r="J1602" s="47" t="n">
        <x:v>99658289</x:v>
      </x:c>
      <x:c r="K1602" s="53" t="b">
        <x:v>1</x:v>
      </x:c>
      <x:c r="L1602" s="53" t="b">
        <x:v>1</x:v>
      </x:c>
      <x:c r="M1602" s="53" t="b">
        <x:v>1</x:v>
      </x:c>
      <x:c r="N1602" s="53" t="b">
        <x:v>1</x:v>
      </x:c>
      <x:c r="O1602" s="53" t="b">
        <x:v>1</x:v>
      </x:c>
      <x:c r="P1602" s="47" t="n">
        <x:v>1009</x:v>
      </x:c>
      <x:c r="Q1602" s="47" t="n">
        <x:v>0</x:v>
      </x:c>
      <x:c r="R1602" s="47" t="n">
        <x:v>0</x:v>
      </x:c>
      <x:c r="S1602" s="47" t="n">
        <x:v>26.79</x:v>
      </x:c>
      <x:c r="T1602" s="47" t="n">
        <x:v>74.33</x:v>
      </x:c>
      <x:c r="U1602" s="47" t="n">
        <x:v>28.3</x:v>
      </x:c>
      <x:c r="V1602" s="47" t="n">
        <x:v>19.7</x:v>
      </x:c>
      <x:c r="W1602" s="47" t="n">
        <x:v>0</x:v>
      </x:c>
      <x:c r="X1602" s="47" t="n">
        <x:v>0</x:v>
      </x:c>
      <x:c r="Y1602" s="41" t="n">
        <x:v>0</x:v>
      </x:c>
    </x:row>
    <x:row r="1603">
      <x:c r="A1603" s="38" t="str">
        <x:v>7月30日现场数据</x:v>
      </x:c>
      <x:c r="B1603" s="66" t="str">
        <x:v>2026-08-05T03:03:54.147000</x:v>
      </x:c>
      <x:c r="C1603" s="47" t="n">
        <x:v>300983</x:v>
      </x:c>
      <x:c r="D1603" s="47" t="str"/>
      <x:c r="E1603" s="47" t="str"/>
      <x:c r="F1603" s="47" t="str">
        <x:v>current</x:v>
      </x:c>
      <x:c r="G1603" s="47" t="n">
        <x:v>1599</x:v>
      </x:c>
      <x:c r="H1603" s="53" t="b">
        <x:v>1</x:v>
      </x:c>
      <x:c r="I1603" s="47" t="str">
        <x:v>4109905524</x:v>
      </x:c>
      <x:c r="J1603" s="47" t="n">
        <x:v>99959272</x:v>
      </x:c>
      <x:c r="K1603" s="53" t="b">
        <x:v>1</x:v>
      </x:c>
      <x:c r="L1603" s="53" t="b">
        <x:v>1</x:v>
      </x:c>
      <x:c r="M1603" s="53" t="b">
        <x:v>1</x:v>
      </x:c>
      <x:c r="N1603" s="53" t="b">
        <x:v>1</x:v>
      </x:c>
      <x:c r="O1603" s="53" t="b">
        <x:v>1</x:v>
      </x:c>
      <x:c r="P1603" s="47" t="n">
        <x:v>1009</x:v>
      </x:c>
      <x:c r="Q1603" s="47" t="n">
        <x:v>0.038</x:v>
      </x:c>
      <x:c r="R1603" s="47" t="n">
        <x:v>1.022</x:v>
      </x:c>
      <x:c r="S1603" s="47" t="n">
        <x:v>26.82</x:v>
      </x:c>
      <x:c r="T1603" s="47" t="n">
        <x:v>74.44</x:v>
      </x:c>
      <x:c r="U1603" s="47" t="n">
        <x:v>28.3</x:v>
      </x:c>
      <x:c r="V1603" s="47" t="n">
        <x:v>19.7</x:v>
      </x:c>
      <x:c r="W1603" s="47" t="n">
        <x:v>0</x:v>
      </x:c>
      <x:c r="X1603" s="47" t="n">
        <x:v>0</x:v>
      </x:c>
      <x:c r="Y1603" s="41" t="n">
        <x:v>0</x:v>
      </x:c>
    </x:row>
    <x:row r="1604">
      <x:c r="A1604" s="38" t="str">
        <x:v>7月30日现场数据</x:v>
      </x:c>
      <x:c r="B1604" s="66" t="str">
        <x:v>2026-08-05T03:08:55.133000</x:v>
      </x:c>
      <x:c r="C1604" s="47" t="n">
        <x:v>300986</x:v>
      </x:c>
      <x:c r="D1604" s="47" t="str"/>
      <x:c r="E1604" s="47" t="str"/>
      <x:c r="F1604" s="47" t="str">
        <x:v>current</x:v>
      </x:c>
      <x:c r="G1604" s="47" t="n">
        <x:v>1600</x:v>
      </x:c>
      <x:c r="H1604" s="53" t="b">
        <x:v>1</x:v>
      </x:c>
      <x:c r="I1604" s="47" t="str">
        <x:v>4109905524</x:v>
      </x:c>
      <x:c r="J1604" s="47" t="n">
        <x:v>100260258</x:v>
      </x:c>
      <x:c r="K1604" s="53" t="b">
        <x:v>1</x:v>
      </x:c>
      <x:c r="L1604" s="53" t="b">
        <x:v>1</x:v>
      </x:c>
      <x:c r="M1604" s="53" t="b">
        <x:v>1</x:v>
      </x:c>
      <x:c r="N1604" s="53" t="b">
        <x:v>1</x:v>
      </x:c>
      <x:c r="O1604" s="53" t="b">
        <x:v>1</x:v>
      </x:c>
      <x:c r="P1604" s="47" t="n">
        <x:v>1009</x:v>
      </x:c>
      <x:c r="Q1604" s="47" t="n">
        <x:v>0</x:v>
      </x:c>
      <x:c r="R1604" s="47" t="n">
        <x:v>0</x:v>
      </x:c>
      <x:c r="S1604" s="47" t="n">
        <x:v>26.88</x:v>
      </x:c>
      <x:c r="T1604" s="47" t="n">
        <x:v>74.63</x:v>
      </x:c>
      <x:c r="U1604" s="47" t="n">
        <x:v>28.3</x:v>
      </x:c>
      <x:c r="V1604" s="47" t="n">
        <x:v>19.7</x:v>
      </x:c>
      <x:c r="W1604" s="47" t="n">
        <x:v>0</x:v>
      </x:c>
      <x:c r="X1604" s="47" t="n">
        <x:v>0</x:v>
      </x:c>
      <x:c r="Y1604" s="41" t="n">
        <x:v>0</x:v>
      </x:c>
    </x:row>
    <x:row r="1605">
      <x:c r="A1605" s="38" t="str">
        <x:v>7月30日现场数据</x:v>
      </x:c>
      <x:c r="B1605" s="66" t="str">
        <x:v>2026-08-05T03:13:56.118000</x:v>
      </x:c>
      <x:c r="C1605" s="47" t="n">
        <x:v>300985</x:v>
      </x:c>
      <x:c r="D1605" s="47" t="str"/>
      <x:c r="E1605" s="47" t="str"/>
      <x:c r="F1605" s="47" t="str">
        <x:v>current</x:v>
      </x:c>
      <x:c r="G1605" s="47" t="n">
        <x:v>1601</x:v>
      </x:c>
      <x:c r="H1605" s="53" t="b">
        <x:v>1</x:v>
      </x:c>
      <x:c r="I1605" s="47" t="str">
        <x:v>4109905524</x:v>
      </x:c>
      <x:c r="J1605" s="47" t="n">
        <x:v>100561243</x:v>
      </x:c>
      <x:c r="K1605" s="53" t="b">
        <x:v>1</x:v>
      </x:c>
      <x:c r="L1605" s="53" t="b">
        <x:v>1</x:v>
      </x:c>
      <x:c r="M1605" s="53" t="b">
        <x:v>1</x:v>
      </x:c>
      <x:c r="N1605" s="53" t="b">
        <x:v>1</x:v>
      </x:c>
      <x:c r="O1605" s="53" t="b">
        <x:v>1</x:v>
      </x:c>
      <x:c r="P1605" s="47" t="n">
        <x:v>1009</x:v>
      </x:c>
      <x:c r="Q1605" s="47" t="n">
        <x:v>0</x:v>
      </x:c>
      <x:c r="R1605" s="47" t="n">
        <x:v>0</x:v>
      </x:c>
      <x:c r="S1605" s="47" t="n">
        <x:v>26.91</x:v>
      </x:c>
      <x:c r="T1605" s="47" t="n">
        <x:v>74.73</x:v>
      </x:c>
      <x:c r="U1605" s="47" t="n">
        <x:v>28.3</x:v>
      </x:c>
      <x:c r="V1605" s="47" t="n">
        <x:v>19.6</x:v>
      </x:c>
      <x:c r="W1605" s="47" t="n">
        <x:v>0</x:v>
      </x:c>
      <x:c r="X1605" s="47" t="n">
        <x:v>0</x:v>
      </x:c>
      <x:c r="Y1605" s="41" t="n">
        <x:v>0</x:v>
      </x:c>
    </x:row>
    <x:row r="1606">
      <x:c r="A1606" s="38" t="str">
        <x:v>7月30日现场数据</x:v>
      </x:c>
      <x:c r="B1606" s="66" t="str">
        <x:v>2026-08-05T03:18:57.106000</x:v>
      </x:c>
      <x:c r="C1606" s="47" t="n">
        <x:v>300988</x:v>
      </x:c>
      <x:c r="D1606" s="47" t="str"/>
      <x:c r="E1606" s="47" t="str"/>
      <x:c r="F1606" s="47" t="str">
        <x:v>current</x:v>
      </x:c>
      <x:c r="G1606" s="47" t="n">
        <x:v>1602</x:v>
      </x:c>
      <x:c r="H1606" s="53" t="b">
        <x:v>1</x:v>
      </x:c>
      <x:c r="I1606" s="47" t="str">
        <x:v>4109905524</x:v>
      </x:c>
      <x:c r="J1606" s="47" t="n">
        <x:v>100862231</x:v>
      </x:c>
      <x:c r="K1606" s="53" t="b">
        <x:v>1</x:v>
      </x:c>
      <x:c r="L1606" s="53" t="b">
        <x:v>1</x:v>
      </x:c>
      <x:c r="M1606" s="53" t="b">
        <x:v>1</x:v>
      </x:c>
      <x:c r="N1606" s="53" t="b">
        <x:v>1</x:v>
      </x:c>
      <x:c r="O1606" s="53" t="b">
        <x:v>1</x:v>
      </x:c>
      <x:c r="P1606" s="47" t="n">
        <x:v>1009</x:v>
      </x:c>
      <x:c r="Q1606" s="47" t="n">
        <x:v>0</x:v>
      </x:c>
      <x:c r="R1606" s="47" t="n">
        <x:v>0</x:v>
      </x:c>
      <x:c r="S1606" s="47" t="n">
        <x:v>26.97</x:v>
      </x:c>
      <x:c r="T1606" s="47" t="n">
        <x:v>74.89</x:v>
      </x:c>
      <x:c r="U1606" s="47" t="n">
        <x:v>28.3</x:v>
      </x:c>
      <x:c r="V1606" s="47" t="n">
        <x:v>19.6</x:v>
      </x:c>
      <x:c r="W1606" s="47" t="n">
        <x:v>0</x:v>
      </x:c>
      <x:c r="X1606" s="47" t="n">
        <x:v>0</x:v>
      </x:c>
      <x:c r="Y1606" s="41" t="n">
        <x:v>0</x:v>
      </x:c>
    </x:row>
    <x:row r="1607">
      <x:c r="A1607" s="38" t="str">
        <x:v>7月30日现场数据</x:v>
      </x:c>
      <x:c r="B1607" s="66" t="str">
        <x:v>2026-08-05T03:23:58.096000</x:v>
      </x:c>
      <x:c r="C1607" s="47" t="n">
        <x:v>300990</x:v>
      </x:c>
      <x:c r="D1607" s="47" t="str"/>
      <x:c r="E1607" s="47" t="str"/>
      <x:c r="F1607" s="47" t="str">
        <x:v>current</x:v>
      </x:c>
      <x:c r="G1607" s="47" t="n">
        <x:v>1603</x:v>
      </x:c>
      <x:c r="H1607" s="53" t="b">
        <x:v>1</x:v>
      </x:c>
      <x:c r="I1607" s="47" t="str">
        <x:v>4109905524</x:v>
      </x:c>
      <x:c r="J1607" s="47" t="n">
        <x:v>101163221</x:v>
      </x:c>
      <x:c r="K1607" s="53" t="b">
        <x:v>1</x:v>
      </x:c>
      <x:c r="L1607" s="53" t="b">
        <x:v>1</x:v>
      </x:c>
      <x:c r="M1607" s="53" t="b">
        <x:v>1</x:v>
      </x:c>
      <x:c r="N1607" s="53" t="b">
        <x:v>1</x:v>
      </x:c>
      <x:c r="O1607" s="53" t="b">
        <x:v>1</x:v>
      </x:c>
      <x:c r="P1607" s="47" t="n">
        <x:v>1009</x:v>
      </x:c>
      <x:c r="Q1607" s="47" t="n">
        <x:v>0</x:v>
      </x:c>
      <x:c r="R1607" s="47" t="n">
        <x:v>0</x:v>
      </x:c>
      <x:c r="S1607" s="47" t="n">
        <x:v>27.02</x:v>
      </x:c>
      <x:c r="T1607" s="47" t="n">
        <x:v>75.12</x:v>
      </x:c>
      <x:c r="U1607" s="47" t="n">
        <x:v>28.3</x:v>
      </x:c>
      <x:c r="V1607" s="47" t="n">
        <x:v>19.6</x:v>
      </x:c>
      <x:c r="W1607" s="47" t="n">
        <x:v>0</x:v>
      </x:c>
      <x:c r="X1607" s="47" t="n">
        <x:v>0</x:v>
      </x:c>
      <x:c r="Y1607" s="41" t="n">
        <x:v>0</x:v>
      </x:c>
    </x:row>
    <x:row r="1608">
      <x:c r="A1608" s="38" t="str">
        <x:v>7月30日现场数据</x:v>
      </x:c>
      <x:c r="B1608" s="66" t="str">
        <x:v>2026-08-05T03:28:59.101000</x:v>
      </x:c>
      <x:c r="C1608" s="47" t="n">
        <x:v>301005</x:v>
      </x:c>
      <x:c r="D1608" s="47" t="str"/>
      <x:c r="E1608" s="47" t="str"/>
      <x:c r="F1608" s="47" t="str">
        <x:v>current</x:v>
      </x:c>
      <x:c r="G1608" s="47" t="n">
        <x:v>1604</x:v>
      </x:c>
      <x:c r="H1608" s="53" t="b">
        <x:v>1</x:v>
      </x:c>
      <x:c r="I1608" s="47" t="str">
        <x:v>4109905524</x:v>
      </x:c>
      <x:c r="J1608" s="47" t="n">
        <x:v>101464226</x:v>
      </x:c>
      <x:c r="K1608" s="53" t="b">
        <x:v>1</x:v>
      </x:c>
      <x:c r="L1608" s="53" t="b">
        <x:v>1</x:v>
      </x:c>
      <x:c r="M1608" s="53" t="b">
        <x:v>1</x:v>
      </x:c>
      <x:c r="N1608" s="53" t="b">
        <x:v>1</x:v>
      </x:c>
      <x:c r="O1608" s="53" t="b">
        <x:v>1</x:v>
      </x:c>
      <x:c r="P1608" s="47" t="n">
        <x:v>1009</x:v>
      </x:c>
      <x:c r="Q1608" s="47" t="n">
        <x:v>0</x:v>
      </x:c>
      <x:c r="R1608" s="47" t="n">
        <x:v>0</x:v>
      </x:c>
      <x:c r="S1608" s="47" t="n">
        <x:v>27.09</x:v>
      </x:c>
      <x:c r="T1608" s="47" t="n">
        <x:v>75.19</x:v>
      </x:c>
      <x:c r="U1608" s="47" t="n">
        <x:v>28.4</x:v>
      </x:c>
      <x:c r="V1608" s="47" t="n">
        <x:v>19.5</x:v>
      </x:c>
      <x:c r="W1608" s="47" t="n">
        <x:v>0</x:v>
      </x:c>
      <x:c r="X1608" s="47" t="n">
        <x:v>0</x:v>
      </x:c>
      <x:c r="Y1608" s="41" t="n">
        <x:v>0</x:v>
      </x:c>
    </x:row>
    <x:row r="1609">
      <x:c r="A1609" s="38" t="str">
        <x:v>7月30日现场数据</x:v>
      </x:c>
      <x:c r="B1609" s="66" t="str">
        <x:v>2026-08-05T03:34:00.081000</x:v>
      </x:c>
      <x:c r="C1609" s="47" t="n">
        <x:v>300980</x:v>
      </x:c>
      <x:c r="D1609" s="47" t="str"/>
      <x:c r="E1609" s="47" t="str"/>
      <x:c r="F1609" s="47" t="str">
        <x:v>current</x:v>
      </x:c>
      <x:c r="G1609" s="47" t="n">
        <x:v>1605</x:v>
      </x:c>
      <x:c r="H1609" s="53" t="b">
        <x:v>1</x:v>
      </x:c>
      <x:c r="I1609" s="47" t="str">
        <x:v>4109905524</x:v>
      </x:c>
      <x:c r="J1609" s="47" t="n">
        <x:v>101765206</x:v>
      </x:c>
      <x:c r="K1609" s="53" t="b">
        <x:v>1</x:v>
      </x:c>
      <x:c r="L1609" s="53" t="b">
        <x:v>1</x:v>
      </x:c>
      <x:c r="M1609" s="53" t="b">
        <x:v>1</x:v>
      </x:c>
      <x:c r="N1609" s="53" t="b">
        <x:v>1</x:v>
      </x:c>
      <x:c r="O1609" s="53" t="b">
        <x:v>1</x:v>
      </x:c>
      <x:c r="P1609" s="47" t="n">
        <x:v>1009</x:v>
      </x:c>
      <x:c r="Q1609" s="47" t="n">
        <x:v>0</x:v>
      </x:c>
      <x:c r="R1609" s="47" t="n">
        <x:v>0</x:v>
      </x:c>
      <x:c r="S1609" s="47" t="n">
        <x:v>27.14</x:v>
      </x:c>
      <x:c r="T1609" s="47" t="n">
        <x:v>75.38</x:v>
      </x:c>
      <x:c r="U1609" s="47" t="n">
        <x:v>28.4</x:v>
      </x:c>
      <x:c r="V1609" s="47" t="n">
        <x:v>19.5</x:v>
      </x:c>
      <x:c r="W1609" s="47" t="n">
        <x:v>0</x:v>
      </x:c>
      <x:c r="X1609" s="47" t="n">
        <x:v>0</x:v>
      </x:c>
      <x:c r="Y1609" s="41" t="n">
        <x:v>0</x:v>
      </x:c>
    </x:row>
    <x:row r="1610">
      <x:c r="A1610" s="38" t="str">
        <x:v>7月30日现场数据</x:v>
      </x:c>
      <x:c r="B1610" s="66" t="str">
        <x:v>2026-08-05T03:39:01.098000</x:v>
      </x:c>
      <x:c r="C1610" s="47" t="n">
        <x:v>301017</x:v>
      </x:c>
      <x:c r="D1610" s="47" t="str"/>
      <x:c r="E1610" s="47" t="str"/>
      <x:c r="F1610" s="47" t="str">
        <x:v>current</x:v>
      </x:c>
      <x:c r="G1610" s="47" t="n">
        <x:v>1606</x:v>
      </x:c>
      <x:c r="H1610" s="53" t="b">
        <x:v>1</x:v>
      </x:c>
      <x:c r="I1610" s="47" t="str">
        <x:v>4109905524</x:v>
      </x:c>
      <x:c r="J1610" s="47" t="n">
        <x:v>102066223</x:v>
      </x:c>
      <x:c r="K1610" s="53" t="b">
        <x:v>1</x:v>
      </x:c>
      <x:c r="L1610" s="53" t="b">
        <x:v>1</x:v>
      </x:c>
      <x:c r="M1610" s="53" t="b">
        <x:v>1</x:v>
      </x:c>
      <x:c r="N1610" s="53" t="b">
        <x:v>1</x:v>
      </x:c>
      <x:c r="O1610" s="53" t="b">
        <x:v>1</x:v>
      </x:c>
      <x:c r="P1610" s="47" t="n">
        <x:v>1009</x:v>
      </x:c>
      <x:c r="Q1610" s="47" t="n">
        <x:v>0</x:v>
      </x:c>
      <x:c r="R1610" s="47" t="n">
        <x:v>0</x:v>
      </x:c>
      <x:c r="S1610" s="47" t="n">
        <x:v>27.18</x:v>
      </x:c>
      <x:c r="T1610" s="47" t="n">
        <x:v>75.52</x:v>
      </x:c>
      <x:c r="U1610" s="47" t="n">
        <x:v>28.4</x:v>
      </x:c>
      <x:c r="V1610" s="47" t="n">
        <x:v>19.5</x:v>
      </x:c>
      <x:c r="W1610" s="47" t="n">
        <x:v>0</x:v>
      </x:c>
      <x:c r="X1610" s="47" t="n">
        <x:v>0</x:v>
      </x:c>
      <x:c r="Y1610" s="41" t="n">
        <x:v>0</x:v>
      </x:c>
    </x:row>
    <x:row r="1611">
      <x:c r="A1611" s="38" t="str">
        <x:v>7月30日现场数据</x:v>
      </x:c>
      <x:c r="B1611" s="66" t="str">
        <x:v>2026-08-05T03:44:02.056000</x:v>
      </x:c>
      <x:c r="C1611" s="47" t="n">
        <x:v>300958</x:v>
      </x:c>
      <x:c r="D1611" s="47" t="str"/>
      <x:c r="E1611" s="47" t="str"/>
      <x:c r="F1611" s="47" t="str">
        <x:v>current</x:v>
      </x:c>
      <x:c r="G1611" s="47" t="n">
        <x:v>1607</x:v>
      </x:c>
      <x:c r="H1611" s="53" t="b">
        <x:v>1</x:v>
      </x:c>
      <x:c r="I1611" s="47" t="str">
        <x:v>4109905524</x:v>
      </x:c>
      <x:c r="J1611" s="47" t="n">
        <x:v>102367181</x:v>
      </x:c>
      <x:c r="K1611" s="53" t="b">
        <x:v>1</x:v>
      </x:c>
      <x:c r="L1611" s="53" t="b">
        <x:v>1</x:v>
      </x:c>
      <x:c r="M1611" s="53" t="b">
        <x:v>1</x:v>
      </x:c>
      <x:c r="N1611" s="53" t="b">
        <x:v>1</x:v>
      </x:c>
      <x:c r="O1611" s="53" t="b">
        <x:v>1</x:v>
      </x:c>
      <x:c r="P1611" s="47" t="n">
        <x:v>1009</x:v>
      </x:c>
      <x:c r="Q1611" s="47" t="n">
        <x:v>0</x:v>
      </x:c>
      <x:c r="R1611" s="47" t="n">
        <x:v>0</x:v>
      </x:c>
      <x:c r="S1611" s="47" t="n">
        <x:v>27.2</x:v>
      </x:c>
      <x:c r="T1611" s="47" t="n">
        <x:v>75.67</x:v>
      </x:c>
      <x:c r="U1611" s="47" t="n">
        <x:v>28.4</x:v>
      </x:c>
      <x:c r="V1611" s="47" t="n">
        <x:v>19.5</x:v>
      </x:c>
      <x:c r="W1611" s="47" t="n">
        <x:v>0</x:v>
      </x:c>
      <x:c r="X1611" s="47" t="n">
        <x:v>0</x:v>
      </x:c>
      <x:c r="Y1611" s="41" t="n">
        <x:v>0</x:v>
      </x:c>
    </x:row>
    <x:row r="1612">
      <x:c r="A1612" s="38" t="str">
        <x:v>7月30日现场数据</x:v>
      </x:c>
      <x:c r="B1612" s="66" t="str">
        <x:v>2026-08-05T03:49:03.014000</x:v>
      </x:c>
      <x:c r="C1612" s="47" t="n">
        <x:v>300958</x:v>
      </x:c>
      <x:c r="D1612" s="47" t="str"/>
      <x:c r="E1612" s="47" t="str"/>
      <x:c r="F1612" s="47" t="str">
        <x:v>current</x:v>
      </x:c>
      <x:c r="G1612" s="47" t="n">
        <x:v>1608</x:v>
      </x:c>
      <x:c r="H1612" s="53" t="b">
        <x:v>1</x:v>
      </x:c>
      <x:c r="I1612" s="47" t="str">
        <x:v>4109905524</x:v>
      </x:c>
      <x:c r="J1612" s="47" t="n">
        <x:v>102668139</x:v>
      </x:c>
      <x:c r="K1612" s="53" t="b">
        <x:v>1</x:v>
      </x:c>
      <x:c r="L1612" s="53" t="b">
        <x:v>1</x:v>
      </x:c>
      <x:c r="M1612" s="53" t="b">
        <x:v>1</x:v>
      </x:c>
      <x:c r="N1612" s="53" t="b">
        <x:v>1</x:v>
      </x:c>
      <x:c r="O1612" s="53" t="b">
        <x:v>1</x:v>
      </x:c>
      <x:c r="P1612" s="47" t="n">
        <x:v>1009</x:v>
      </x:c>
      <x:c r="Q1612" s="47" t="n">
        <x:v>0</x:v>
      </x:c>
      <x:c r="R1612" s="47" t="n">
        <x:v>0</x:v>
      </x:c>
      <x:c r="S1612" s="47" t="n">
        <x:v>27.22</x:v>
      </x:c>
      <x:c r="T1612" s="47" t="n">
        <x:v>75.83</x:v>
      </x:c>
      <x:c r="U1612" s="47" t="n">
        <x:v>28.4</x:v>
      </x:c>
      <x:c r="V1612" s="47" t="n">
        <x:v>19.4</x:v>
      </x:c>
      <x:c r="W1612" s="47" t="n">
        <x:v>0</x:v>
      </x:c>
      <x:c r="X1612" s="47" t="n">
        <x:v>0</x:v>
      </x:c>
      <x:c r="Y1612" s="41" t="n">
        <x:v>0</x:v>
      </x:c>
    </x:row>
    <x:row r="1613">
      <x:c r="A1613" s="38" t="str">
        <x:v>7月30日现场数据</x:v>
      </x:c>
      <x:c r="B1613" s="66" t="str">
        <x:v>2026-08-05T03:54:03.973000</x:v>
      </x:c>
      <x:c r="C1613" s="47" t="n">
        <x:v>300959</x:v>
      </x:c>
      <x:c r="D1613" s="47" t="str"/>
      <x:c r="E1613" s="47" t="str"/>
      <x:c r="F1613" s="47" t="str">
        <x:v>current</x:v>
      </x:c>
      <x:c r="G1613" s="47" t="n">
        <x:v>1609</x:v>
      </x:c>
      <x:c r="H1613" s="53" t="b">
        <x:v>1</x:v>
      </x:c>
      <x:c r="I1613" s="47" t="str">
        <x:v>4109905524</x:v>
      </x:c>
      <x:c r="J1613" s="47" t="n">
        <x:v>102969098</x:v>
      </x:c>
      <x:c r="K1613" s="53" t="b">
        <x:v>1</x:v>
      </x:c>
      <x:c r="L1613" s="53" t="b">
        <x:v>1</x:v>
      </x:c>
      <x:c r="M1613" s="53" t="b">
        <x:v>1</x:v>
      </x:c>
      <x:c r="N1613" s="53" t="b">
        <x:v>1</x:v>
      </x:c>
      <x:c r="O1613" s="53" t="b">
        <x:v>1</x:v>
      </x:c>
      <x:c r="P1613" s="47" t="n">
        <x:v>1009</x:v>
      </x:c>
      <x:c r="Q1613" s="47" t="n">
        <x:v>0</x:v>
      </x:c>
      <x:c r="R1613" s="47" t="n">
        <x:v>0</x:v>
      </x:c>
      <x:c r="S1613" s="47" t="n">
        <x:v>27.21</x:v>
      </x:c>
      <x:c r="T1613" s="47" t="n">
        <x:v>75.96</x:v>
      </x:c>
      <x:c r="U1613" s="47" t="n">
        <x:v>28.4</x:v>
      </x:c>
      <x:c r="V1613" s="47" t="n">
        <x:v>19.4</x:v>
      </x:c>
      <x:c r="W1613" s="47" t="n">
        <x:v>0</x:v>
      </x:c>
      <x:c r="X1613" s="47" t="n">
        <x:v>0</x:v>
      </x:c>
      <x:c r="Y1613" s="41" t="n">
        <x:v>0</x:v>
      </x:c>
    </x:row>
    <x:row r="1614">
      <x:c r="A1614" s="38" t="str">
        <x:v>7月30日现场数据</x:v>
      </x:c>
      <x:c r="B1614" s="66" t="str">
        <x:v>2026-08-05T03:59:04.936000</x:v>
      </x:c>
      <x:c r="C1614" s="47" t="n">
        <x:v>300963</x:v>
      </x:c>
      <x:c r="D1614" s="47" t="str"/>
      <x:c r="E1614" s="47" t="str"/>
      <x:c r="F1614" s="47" t="str">
        <x:v>current</x:v>
      </x:c>
      <x:c r="G1614" s="47" t="n">
        <x:v>1610</x:v>
      </x:c>
      <x:c r="H1614" s="53" t="b">
        <x:v>1</x:v>
      </x:c>
      <x:c r="I1614" s="47" t="str">
        <x:v>4109905524</x:v>
      </x:c>
      <x:c r="J1614" s="47" t="n">
        <x:v>103270061</x:v>
      </x:c>
      <x:c r="K1614" s="53" t="b">
        <x:v>1</x:v>
      </x:c>
      <x:c r="L1614" s="53" t="b">
        <x:v>1</x:v>
      </x:c>
      <x:c r="M1614" s="53" t="b">
        <x:v>1</x:v>
      </x:c>
      <x:c r="N1614" s="53" t="b">
        <x:v>1</x:v>
      </x:c>
      <x:c r="O1614" s="53" t="b">
        <x:v>1</x:v>
      </x:c>
      <x:c r="P1614" s="47" t="n">
        <x:v>1009</x:v>
      </x:c>
      <x:c r="Q1614" s="47" t="n">
        <x:v>0</x:v>
      </x:c>
      <x:c r="R1614" s="47" t="n">
        <x:v>0</x:v>
      </x:c>
      <x:c r="S1614" s="47" t="n">
        <x:v>27.23</x:v>
      </x:c>
      <x:c r="T1614" s="47" t="n">
        <x:v>76.08</x:v>
      </x:c>
      <x:c r="U1614" s="47" t="n">
        <x:v>28.4</x:v>
      </x:c>
      <x:c r="V1614" s="47" t="n">
        <x:v>19.4</x:v>
      </x:c>
      <x:c r="W1614" s="47" t="n">
        <x:v>0</x:v>
      </x:c>
      <x:c r="X1614" s="47" t="n">
        <x:v>0</x:v>
      </x:c>
      <x:c r="Y1614" s="41" t="n">
        <x:v>0</x:v>
      </x:c>
    </x:row>
    <x:row r="1615">
      <x:c r="A1615" s="38" t="str">
        <x:v>7月30日现场数据</x:v>
      </x:c>
      <x:c r="B1615" s="66" t="str">
        <x:v>2026-08-05T04:04:05.902000</x:v>
      </x:c>
      <x:c r="C1615" s="47" t="n">
        <x:v>300966</x:v>
      </x:c>
      <x:c r="D1615" s="47" t="str"/>
      <x:c r="E1615" s="47" t="str"/>
      <x:c r="F1615" s="47" t="str">
        <x:v>current</x:v>
      </x:c>
      <x:c r="G1615" s="47" t="n">
        <x:v>1611</x:v>
      </x:c>
      <x:c r="H1615" s="53" t="b">
        <x:v>1</x:v>
      </x:c>
      <x:c r="I1615" s="47" t="str">
        <x:v>4109905524</x:v>
      </x:c>
      <x:c r="J1615" s="47" t="n">
        <x:v>103571027</x:v>
      </x:c>
      <x:c r="K1615" s="53" t="b">
        <x:v>1</x:v>
      </x:c>
      <x:c r="L1615" s="53" t="b">
        <x:v>1</x:v>
      </x:c>
      <x:c r="M1615" s="53" t="b">
        <x:v>1</x:v>
      </x:c>
      <x:c r="N1615" s="53" t="b">
        <x:v>1</x:v>
      </x:c>
      <x:c r="O1615" s="53" t="b">
        <x:v>1</x:v>
      </x:c>
      <x:c r="P1615" s="47" t="n">
        <x:v>1009</x:v>
      </x:c>
      <x:c r="Q1615" s="47" t="n">
        <x:v>0</x:v>
      </x:c>
      <x:c r="R1615" s="47" t="n">
        <x:v>0</x:v>
      </x:c>
      <x:c r="S1615" s="47" t="n">
        <x:v>27.21</x:v>
      </x:c>
      <x:c r="T1615" s="47" t="n">
        <x:v>76.2</x:v>
      </x:c>
      <x:c r="U1615" s="47" t="n">
        <x:v>28.4</x:v>
      </x:c>
      <x:c r="V1615" s="47" t="n">
        <x:v>19.4</x:v>
      </x:c>
      <x:c r="W1615" s="47" t="n">
        <x:v>0</x:v>
      </x:c>
      <x:c r="X1615" s="47" t="n">
        <x:v>0</x:v>
      </x:c>
      <x:c r="Y1615" s="41" t="n">
        <x:v>0</x:v>
      </x:c>
    </x:row>
    <x:row r="1616">
      <x:c r="A1616" s="38" t="str">
        <x:v>7月30日现场数据</x:v>
      </x:c>
      <x:c r="B1616" s="66" t="str">
        <x:v>2026-08-05T04:09:06.869000</x:v>
      </x:c>
      <x:c r="C1616" s="47" t="n">
        <x:v>300967</x:v>
      </x:c>
      <x:c r="D1616" s="47" t="str"/>
      <x:c r="E1616" s="47" t="str"/>
      <x:c r="F1616" s="47" t="str">
        <x:v>current</x:v>
      </x:c>
      <x:c r="G1616" s="47" t="n">
        <x:v>1612</x:v>
      </x:c>
      <x:c r="H1616" s="53" t="b">
        <x:v>1</x:v>
      </x:c>
      <x:c r="I1616" s="47" t="str">
        <x:v>4109905524</x:v>
      </x:c>
      <x:c r="J1616" s="47" t="n">
        <x:v>103871994</x:v>
      </x:c>
      <x:c r="K1616" s="53" t="b">
        <x:v>1</x:v>
      </x:c>
      <x:c r="L1616" s="53" t="b">
        <x:v>1</x:v>
      </x:c>
      <x:c r="M1616" s="53" t="b">
        <x:v>1</x:v>
      </x:c>
      <x:c r="N1616" s="53" t="b">
        <x:v>1</x:v>
      </x:c>
      <x:c r="O1616" s="53" t="b">
        <x:v>1</x:v>
      </x:c>
      <x:c r="P1616" s="47" t="n">
        <x:v>1009</x:v>
      </x:c>
      <x:c r="Q1616" s="47" t="n">
        <x:v>0</x:v>
      </x:c>
      <x:c r="R1616" s="47" t="n">
        <x:v>0</x:v>
      </x:c>
      <x:c r="S1616" s="47" t="n">
        <x:v>27.22</x:v>
      </x:c>
      <x:c r="T1616" s="47" t="n">
        <x:v>76.33</x:v>
      </x:c>
      <x:c r="U1616" s="47" t="n">
        <x:v>28.4</x:v>
      </x:c>
      <x:c r="V1616" s="47" t="n">
        <x:v>19.3</x:v>
      </x:c>
      <x:c r="W1616" s="47" t="n">
        <x:v>0</x:v>
      </x:c>
      <x:c r="X1616" s="47" t="n">
        <x:v>0</x:v>
      </x:c>
      <x:c r="Y1616" s="41" t="n">
        <x:v>0</x:v>
      </x:c>
    </x:row>
    <x:row r="1617">
      <x:c r="A1617" s="38" t="str">
        <x:v>7月30日现场数据</x:v>
      </x:c>
      <x:c r="B1617" s="66" t="str">
        <x:v>2026-08-05T04:14:07.835000</x:v>
      </x:c>
      <x:c r="C1617" s="47" t="n">
        <x:v>300966</x:v>
      </x:c>
      <x:c r="D1617" s="47" t="str"/>
      <x:c r="E1617" s="47" t="str"/>
      <x:c r="F1617" s="47" t="str">
        <x:v>current</x:v>
      </x:c>
      <x:c r="G1617" s="47" t="n">
        <x:v>1613</x:v>
      </x:c>
      <x:c r="H1617" s="53" t="b">
        <x:v>1</x:v>
      </x:c>
      <x:c r="I1617" s="47" t="str">
        <x:v>4109905524</x:v>
      </x:c>
      <x:c r="J1617" s="47" t="n">
        <x:v>104172960</x:v>
      </x:c>
      <x:c r="K1617" s="53" t="b">
        <x:v>1</x:v>
      </x:c>
      <x:c r="L1617" s="53" t="b">
        <x:v>1</x:v>
      </x:c>
      <x:c r="M1617" s="53" t="b">
        <x:v>1</x:v>
      </x:c>
      <x:c r="N1617" s="53" t="b">
        <x:v>1</x:v>
      </x:c>
      <x:c r="O1617" s="53" t="b">
        <x:v>1</x:v>
      </x:c>
      <x:c r="P1617" s="47" t="n">
        <x:v>1009</x:v>
      </x:c>
      <x:c r="Q1617" s="47" t="n">
        <x:v>0</x:v>
      </x:c>
      <x:c r="R1617" s="47" t="n">
        <x:v>0</x:v>
      </x:c>
      <x:c r="S1617" s="47" t="n">
        <x:v>27.22</x:v>
      </x:c>
      <x:c r="T1617" s="47" t="n">
        <x:v>76.47</x:v>
      </x:c>
      <x:c r="U1617" s="47" t="n">
        <x:v>28.4</x:v>
      </x:c>
      <x:c r="V1617" s="47" t="n">
        <x:v>19.3</x:v>
      </x:c>
      <x:c r="W1617" s="47" t="n">
        <x:v>0</x:v>
      </x:c>
      <x:c r="X1617" s="47" t="n">
        <x:v>0</x:v>
      </x:c>
      <x:c r="Y1617" s="41" t="n">
        <x:v>0</x:v>
      </x:c>
    </x:row>
    <x:row r="1618">
      <x:c r="A1618" s="38" t="str">
        <x:v>7月30日现场数据</x:v>
      </x:c>
      <x:c r="B1618" s="66" t="str">
        <x:v>2026-08-05T04:19:08.806000</x:v>
      </x:c>
      <x:c r="C1618" s="47" t="n">
        <x:v>300971</x:v>
      </x:c>
      <x:c r="D1618" s="47" t="str"/>
      <x:c r="E1618" s="47" t="str"/>
      <x:c r="F1618" s="47" t="str">
        <x:v>current</x:v>
      </x:c>
      <x:c r="G1618" s="47" t="n">
        <x:v>1614</x:v>
      </x:c>
      <x:c r="H1618" s="53" t="b">
        <x:v>1</x:v>
      </x:c>
      <x:c r="I1618" s="47" t="str">
        <x:v>4109905524</x:v>
      </x:c>
      <x:c r="J1618" s="47" t="n">
        <x:v>104473931</x:v>
      </x:c>
      <x:c r="K1618" s="53" t="b">
        <x:v>1</x:v>
      </x:c>
      <x:c r="L1618" s="53" t="b">
        <x:v>1</x:v>
      </x:c>
      <x:c r="M1618" s="53" t="b">
        <x:v>1</x:v>
      </x:c>
      <x:c r="N1618" s="53" t="b">
        <x:v>1</x:v>
      </x:c>
      <x:c r="O1618" s="53" t="b">
        <x:v>1</x:v>
      </x:c>
      <x:c r="P1618" s="47" t="n">
        <x:v>1009</x:v>
      </x:c>
      <x:c r="Q1618" s="47" t="n">
        <x:v>0</x:v>
      </x:c>
      <x:c r="R1618" s="47" t="n">
        <x:v>0</x:v>
      </x:c>
      <x:c r="S1618" s="47" t="n">
        <x:v>27.22</x:v>
      </x:c>
      <x:c r="T1618" s="47" t="n">
        <x:v>76.55</x:v>
      </x:c>
      <x:c r="U1618" s="47" t="n">
        <x:v>28.4</x:v>
      </x:c>
      <x:c r="V1618" s="47" t="n">
        <x:v>19.3</x:v>
      </x:c>
      <x:c r="W1618" s="47" t="n">
        <x:v>0</x:v>
      </x:c>
      <x:c r="X1618" s="47" t="n">
        <x:v>0</x:v>
      </x:c>
      <x:c r="Y1618" s="41" t="n">
        <x:v>0</x:v>
      </x:c>
    </x:row>
    <x:row r="1619">
      <x:c r="A1619" s="38" t="str">
        <x:v>7月30日现场数据</x:v>
      </x:c>
      <x:c r="B1619" s="66" t="str">
        <x:v>2026-08-05T04:24:09.777000</x:v>
      </x:c>
      <x:c r="C1619" s="47" t="n">
        <x:v>300971</x:v>
      </x:c>
      <x:c r="D1619" s="47" t="str"/>
      <x:c r="E1619" s="47" t="str"/>
      <x:c r="F1619" s="47" t="str">
        <x:v>current</x:v>
      </x:c>
      <x:c r="G1619" s="47" t="n">
        <x:v>1615</x:v>
      </x:c>
      <x:c r="H1619" s="53" t="b">
        <x:v>1</x:v>
      </x:c>
      <x:c r="I1619" s="47" t="str">
        <x:v>4109905524</x:v>
      </x:c>
      <x:c r="J1619" s="47" t="n">
        <x:v>104774902</x:v>
      </x:c>
      <x:c r="K1619" s="53" t="b">
        <x:v>1</x:v>
      </x:c>
      <x:c r="L1619" s="53" t="b">
        <x:v>1</x:v>
      </x:c>
      <x:c r="M1619" s="53" t="b">
        <x:v>1</x:v>
      </x:c>
      <x:c r="N1619" s="53" t="b">
        <x:v>1</x:v>
      </x:c>
      <x:c r="O1619" s="53" t="b">
        <x:v>1</x:v>
      </x:c>
      <x:c r="P1619" s="47" t="n">
        <x:v>1009</x:v>
      </x:c>
      <x:c r="Q1619" s="47" t="n">
        <x:v>0</x:v>
      </x:c>
      <x:c r="R1619" s="47" t="n">
        <x:v>0</x:v>
      </x:c>
      <x:c r="S1619" s="47" t="n">
        <x:v>27.23</x:v>
      </x:c>
      <x:c r="T1619" s="47" t="n">
        <x:v>76.69</x:v>
      </x:c>
      <x:c r="U1619" s="47" t="n">
        <x:v>28.4</x:v>
      </x:c>
      <x:c r="V1619" s="47" t="n">
        <x:v>19.3</x:v>
      </x:c>
      <x:c r="W1619" s="47" t="n">
        <x:v>0</x:v>
      </x:c>
      <x:c r="X1619" s="47" t="n">
        <x:v>0</x:v>
      </x:c>
      <x:c r="Y1619" s="41" t="n">
        <x:v>0</x:v>
      </x:c>
    </x:row>
    <x:row r="1620">
      <x:c r="A1620" s="38" t="str">
        <x:v>7月30日现场数据</x:v>
      </x:c>
      <x:c r="B1620" s="66" t="str">
        <x:v>2026-08-05T04:29:10.752000</x:v>
      </x:c>
      <x:c r="C1620" s="47" t="n">
        <x:v>300975</x:v>
      </x:c>
      <x:c r="D1620" s="47" t="str"/>
      <x:c r="E1620" s="47" t="str"/>
      <x:c r="F1620" s="47" t="str">
        <x:v>current</x:v>
      </x:c>
      <x:c r="G1620" s="47" t="n">
        <x:v>1616</x:v>
      </x:c>
      <x:c r="H1620" s="53" t="b">
        <x:v>1</x:v>
      </x:c>
      <x:c r="I1620" s="47" t="str">
        <x:v>4109905524</x:v>
      </x:c>
      <x:c r="J1620" s="47" t="n">
        <x:v>105075877</x:v>
      </x:c>
      <x:c r="K1620" s="53" t="b">
        <x:v>1</x:v>
      </x:c>
      <x:c r="L1620" s="53" t="b">
        <x:v>1</x:v>
      </x:c>
      <x:c r="M1620" s="53" t="b">
        <x:v>1</x:v>
      </x:c>
      <x:c r="N1620" s="53" t="b">
        <x:v>1</x:v>
      </x:c>
      <x:c r="O1620" s="53" t="b">
        <x:v>1</x:v>
      </x:c>
      <x:c r="P1620" s="47" t="n">
        <x:v>1009</x:v>
      </x:c>
      <x:c r="Q1620" s="47" t="n">
        <x:v>0</x:v>
      </x:c>
      <x:c r="R1620" s="47" t="n">
        <x:v>0</x:v>
      </x:c>
      <x:c r="S1620" s="47" t="n">
        <x:v>27.23</x:v>
      </x:c>
      <x:c r="T1620" s="47" t="n">
        <x:v>76.82</x:v>
      </x:c>
      <x:c r="U1620" s="47" t="n">
        <x:v>28.4</x:v>
      </x:c>
      <x:c r="V1620" s="47" t="n">
        <x:v>19.3</x:v>
      </x:c>
      <x:c r="W1620" s="47" t="n">
        <x:v>0</x:v>
      </x:c>
      <x:c r="X1620" s="47" t="n">
        <x:v>0</x:v>
      </x:c>
      <x:c r="Y1620" s="41" t="n">
        <x:v>0</x:v>
      </x:c>
    </x:row>
    <x:row r="1621">
      <x:c r="A1621" s="38" t="str">
        <x:v>7月30日现场数据</x:v>
      </x:c>
      <x:c r="B1621" s="66" t="str">
        <x:v>2026-08-05T04:34:11.728000</x:v>
      </x:c>
      <x:c r="C1621" s="47" t="n">
        <x:v>300976</x:v>
      </x:c>
      <x:c r="D1621" s="47" t="str"/>
      <x:c r="E1621" s="47" t="str"/>
      <x:c r="F1621" s="47" t="str">
        <x:v>current</x:v>
      </x:c>
      <x:c r="G1621" s="47" t="n">
        <x:v>1617</x:v>
      </x:c>
      <x:c r="H1621" s="53" t="b">
        <x:v>1</x:v>
      </x:c>
      <x:c r="I1621" s="47" t="str">
        <x:v>4109905524</x:v>
      </x:c>
      <x:c r="J1621" s="47" t="n">
        <x:v>105376853</x:v>
      </x:c>
      <x:c r="K1621" s="53" t="b">
        <x:v>1</x:v>
      </x:c>
      <x:c r="L1621" s="53" t="b">
        <x:v>1</x:v>
      </x:c>
      <x:c r="M1621" s="53" t="b">
        <x:v>1</x:v>
      </x:c>
      <x:c r="N1621" s="53" t="b">
        <x:v>1</x:v>
      </x:c>
      <x:c r="O1621" s="53" t="b">
        <x:v>1</x:v>
      </x:c>
      <x:c r="P1621" s="47" t="n">
        <x:v>1009</x:v>
      </x:c>
      <x:c r="Q1621" s="47" t="n">
        <x:v>0</x:v>
      </x:c>
      <x:c r="R1621" s="47" t="n">
        <x:v>0</x:v>
      </x:c>
      <x:c r="S1621" s="47" t="n">
        <x:v>27.29</x:v>
      </x:c>
      <x:c r="T1621" s="47" t="n">
        <x:v>76.99</x:v>
      </x:c>
      <x:c r="U1621" s="47" t="n">
        <x:v>28.4</x:v>
      </x:c>
      <x:c r="V1621" s="47" t="n">
        <x:v>19.2</x:v>
      </x:c>
      <x:c r="W1621" s="47" t="n">
        <x:v>0</x:v>
      </x:c>
      <x:c r="X1621" s="47" t="n">
        <x:v>0</x:v>
      </x:c>
      <x:c r="Y1621" s="41" t="n">
        <x:v>0</x:v>
      </x:c>
    </x:row>
    <x:row r="1622">
      <x:c r="A1622" s="38" t="str">
        <x:v>7月30日现场数据</x:v>
      </x:c>
      <x:c r="B1622" s="66" t="str">
        <x:v>2026-08-05T04:39:12.706000</x:v>
      </x:c>
      <x:c r="C1622" s="47" t="n">
        <x:v>300978</x:v>
      </x:c>
      <x:c r="D1622" s="47" t="str"/>
      <x:c r="E1622" s="47" t="str"/>
      <x:c r="F1622" s="47" t="str">
        <x:v>current</x:v>
      </x:c>
      <x:c r="G1622" s="47" t="n">
        <x:v>1618</x:v>
      </x:c>
      <x:c r="H1622" s="53" t="b">
        <x:v>1</x:v>
      </x:c>
      <x:c r="I1622" s="47" t="str">
        <x:v>4109905524</x:v>
      </x:c>
      <x:c r="J1622" s="47" t="n">
        <x:v>105677831</x:v>
      </x:c>
      <x:c r="K1622" s="53" t="b">
        <x:v>1</x:v>
      </x:c>
      <x:c r="L1622" s="53" t="b">
        <x:v>1</x:v>
      </x:c>
      <x:c r="M1622" s="53" t="b">
        <x:v>1</x:v>
      </x:c>
      <x:c r="N1622" s="53" t="b">
        <x:v>1</x:v>
      </x:c>
      <x:c r="O1622" s="53" t="b">
        <x:v>1</x:v>
      </x:c>
      <x:c r="P1622" s="47" t="n">
        <x:v>1009</x:v>
      </x:c>
      <x:c r="Q1622" s="47" t="n">
        <x:v>0.001</x:v>
      </x:c>
      <x:c r="R1622" s="47" t="n">
        <x:v>0.033</x:v>
      </x:c>
      <x:c r="S1622" s="47" t="n">
        <x:v>27.36</x:v>
      </x:c>
      <x:c r="T1622" s="47" t="n">
        <x:v>77.18</x:v>
      </x:c>
      <x:c r="U1622" s="47" t="n">
        <x:v>28.4</x:v>
      </x:c>
      <x:c r="V1622" s="47" t="n">
        <x:v>19.2</x:v>
      </x:c>
      <x:c r="W1622" s="47" t="n">
        <x:v>0</x:v>
      </x:c>
      <x:c r="X1622" s="47" t="n">
        <x:v>0</x:v>
      </x:c>
      <x:c r="Y1622" s="41" t="n">
        <x:v>0</x:v>
      </x:c>
    </x:row>
    <x:row r="1623">
      <x:c r="A1623" s="38" t="str">
        <x:v>7月30日现场数据</x:v>
      </x:c>
      <x:c r="B1623" s="66" t="str">
        <x:v>2026-08-05T04:44:13.686000</x:v>
      </x:c>
      <x:c r="C1623" s="47" t="n">
        <x:v>300980</x:v>
      </x:c>
      <x:c r="D1623" s="47" t="str"/>
      <x:c r="E1623" s="47" t="str"/>
      <x:c r="F1623" s="47" t="str">
        <x:v>current</x:v>
      </x:c>
      <x:c r="G1623" s="47" t="n">
        <x:v>1619</x:v>
      </x:c>
      <x:c r="H1623" s="53" t="b">
        <x:v>1</x:v>
      </x:c>
      <x:c r="I1623" s="47" t="str">
        <x:v>4109905524</x:v>
      </x:c>
      <x:c r="J1623" s="47" t="n">
        <x:v>105978811</x:v>
      </x:c>
      <x:c r="K1623" s="53" t="b">
        <x:v>1</x:v>
      </x:c>
      <x:c r="L1623" s="53" t="b">
        <x:v>1</x:v>
      </x:c>
      <x:c r="M1623" s="53" t="b">
        <x:v>1</x:v>
      </x:c>
      <x:c r="N1623" s="53" t="b">
        <x:v>1</x:v>
      </x:c>
      <x:c r="O1623" s="53" t="b">
        <x:v>1</x:v>
      </x:c>
      <x:c r="P1623" s="47" t="n">
        <x:v>1009</x:v>
      </x:c>
      <x:c r="Q1623" s="47" t="n">
        <x:v>0</x:v>
      </x:c>
      <x:c r="R1623" s="47" t="n">
        <x:v>0</x:v>
      </x:c>
      <x:c r="S1623" s="47" t="n">
        <x:v>27.37</x:v>
      </x:c>
      <x:c r="T1623" s="47" t="n">
        <x:v>77.23</x:v>
      </x:c>
      <x:c r="U1623" s="47" t="n">
        <x:v>28.4</x:v>
      </x:c>
      <x:c r="V1623" s="47" t="n">
        <x:v>19.2</x:v>
      </x:c>
      <x:c r="W1623" s="47" t="n">
        <x:v>0</x:v>
      </x:c>
      <x:c r="X1623" s="47" t="n">
        <x:v>0</x:v>
      </x:c>
      <x:c r="Y1623" s="41" t="n">
        <x:v>0</x:v>
      </x:c>
    </x:row>
    <x:row r="1624">
      <x:c r="A1624" s="38" t="str">
        <x:v>7月30日现场数据</x:v>
      </x:c>
      <x:c r="B1624" s="66" t="str">
        <x:v>2026-08-05T04:49:14.667000</x:v>
      </x:c>
      <x:c r="C1624" s="47" t="n">
        <x:v>300981</x:v>
      </x:c>
      <x:c r="D1624" s="47" t="str"/>
      <x:c r="E1624" s="47" t="str"/>
      <x:c r="F1624" s="47" t="str">
        <x:v>current</x:v>
      </x:c>
      <x:c r="G1624" s="47" t="n">
        <x:v>1620</x:v>
      </x:c>
      <x:c r="H1624" s="53" t="b">
        <x:v>1</x:v>
      </x:c>
      <x:c r="I1624" s="47" t="str">
        <x:v>4109905524</x:v>
      </x:c>
      <x:c r="J1624" s="47" t="n">
        <x:v>106279792</x:v>
      </x:c>
      <x:c r="K1624" s="53" t="b">
        <x:v>1</x:v>
      </x:c>
      <x:c r="L1624" s="53" t="b">
        <x:v>1</x:v>
      </x:c>
      <x:c r="M1624" s="53" t="b">
        <x:v>1</x:v>
      </x:c>
      <x:c r="N1624" s="53" t="b">
        <x:v>1</x:v>
      </x:c>
      <x:c r="O1624" s="53" t="b">
        <x:v>1</x:v>
      </x:c>
      <x:c r="P1624" s="47" t="n">
        <x:v>1009</x:v>
      </x:c>
      <x:c r="Q1624" s="47" t="n">
        <x:v>0</x:v>
      </x:c>
      <x:c r="R1624" s="47" t="n">
        <x:v>0</x:v>
      </x:c>
      <x:c r="S1624" s="47" t="n">
        <x:v>27.38</x:v>
      </x:c>
      <x:c r="T1624" s="47" t="n">
        <x:v>77.41</x:v>
      </x:c>
      <x:c r="U1624" s="47" t="n">
        <x:v>28.4</x:v>
      </x:c>
      <x:c r="V1624" s="47" t="n">
        <x:v>19.2</x:v>
      </x:c>
      <x:c r="W1624" s="47" t="n">
        <x:v>0</x:v>
      </x:c>
      <x:c r="X1624" s="47" t="n">
        <x:v>0</x:v>
      </x:c>
      <x:c r="Y1624" s="41" t="n">
        <x:v>0</x:v>
      </x:c>
    </x:row>
    <x:row r="1625">
      <x:c r="A1625" s="38" t="str">
        <x:v>7月30日现场数据</x:v>
      </x:c>
      <x:c r="B1625" s="66" t="str">
        <x:v>2026-08-05T04:54:15.649000</x:v>
      </x:c>
      <x:c r="C1625" s="47" t="n">
        <x:v>300982</x:v>
      </x:c>
      <x:c r="D1625" s="47" t="str"/>
      <x:c r="E1625" s="47" t="str"/>
      <x:c r="F1625" s="47" t="str">
        <x:v>current</x:v>
      </x:c>
      <x:c r="G1625" s="47" t="n">
        <x:v>1621</x:v>
      </x:c>
      <x:c r="H1625" s="53" t="b">
        <x:v>1</x:v>
      </x:c>
      <x:c r="I1625" s="47" t="str">
        <x:v>4109905524</x:v>
      </x:c>
      <x:c r="J1625" s="47" t="n">
        <x:v>106580774</x:v>
      </x:c>
      <x:c r="K1625" s="53" t="b">
        <x:v>1</x:v>
      </x:c>
      <x:c r="L1625" s="53" t="b">
        <x:v>1</x:v>
      </x:c>
      <x:c r="M1625" s="53" t="b">
        <x:v>1</x:v>
      </x:c>
      <x:c r="N1625" s="53" t="b">
        <x:v>1</x:v>
      </x:c>
      <x:c r="O1625" s="53" t="b">
        <x:v>1</x:v>
      </x:c>
      <x:c r="P1625" s="47" t="n">
        <x:v>1009</x:v>
      </x:c>
      <x:c r="Q1625" s="47" t="n">
        <x:v>0</x:v>
      </x:c>
      <x:c r="R1625" s="47" t="n">
        <x:v>0</x:v>
      </x:c>
      <x:c r="S1625" s="47" t="n">
        <x:v>27.41</x:v>
      </x:c>
      <x:c r="T1625" s="47" t="n">
        <x:v>77.56</x:v>
      </x:c>
      <x:c r="U1625" s="47" t="n">
        <x:v>28.4</x:v>
      </x:c>
      <x:c r="V1625" s="47" t="n">
        <x:v>19.2</x:v>
      </x:c>
      <x:c r="W1625" s="47" t="n">
        <x:v>0</x:v>
      </x:c>
      <x:c r="X1625" s="47" t="n">
        <x:v>0</x:v>
      </x:c>
      <x:c r="Y1625" s="41" t="n">
        <x:v>0</x:v>
      </x:c>
    </x:row>
    <x:row r="1626">
      <x:c r="A1626" s="38" t="str">
        <x:v>7月30日现场数据</x:v>
      </x:c>
      <x:c r="B1626" s="66" t="str">
        <x:v>2026-08-05T04:59:16.668000</x:v>
      </x:c>
      <x:c r="C1626" s="47" t="n">
        <x:v>301019</x:v>
      </x:c>
      <x:c r="D1626" s="47" t="str"/>
      <x:c r="E1626" s="47" t="str"/>
      <x:c r="F1626" s="47" t="str">
        <x:v>current</x:v>
      </x:c>
      <x:c r="G1626" s="47" t="n">
        <x:v>1622</x:v>
      </x:c>
      <x:c r="H1626" s="53" t="b">
        <x:v>1</x:v>
      </x:c>
      <x:c r="I1626" s="47" t="str">
        <x:v>4109905524</x:v>
      </x:c>
      <x:c r="J1626" s="47" t="n">
        <x:v>106881793</x:v>
      </x:c>
      <x:c r="K1626" s="53" t="b">
        <x:v>1</x:v>
      </x:c>
      <x:c r="L1626" s="53" t="b">
        <x:v>1</x:v>
      </x:c>
      <x:c r="M1626" s="53" t="b">
        <x:v>1</x:v>
      </x:c>
      <x:c r="N1626" s="53" t="b">
        <x:v>1</x:v>
      </x:c>
      <x:c r="O1626" s="53" t="b">
        <x:v>1</x:v>
      </x:c>
      <x:c r="P1626" s="47" t="n">
        <x:v>1009</x:v>
      </x:c>
      <x:c r="Q1626" s="47" t="n">
        <x:v>0</x:v>
      </x:c>
      <x:c r="R1626" s="47" t="n">
        <x:v>0</x:v>
      </x:c>
      <x:c r="S1626" s="47" t="n">
        <x:v>27.42</x:v>
      </x:c>
      <x:c r="T1626" s="47" t="n">
        <x:v>77.65</x:v>
      </x:c>
      <x:c r="U1626" s="47" t="n">
        <x:v>28.4</x:v>
      </x:c>
      <x:c r="V1626" s="47" t="n">
        <x:v>19.2</x:v>
      </x:c>
      <x:c r="W1626" s="47" t="n">
        <x:v>0</x:v>
      </x:c>
      <x:c r="X1626" s="47" t="n">
        <x:v>0</x:v>
      </x:c>
      <x:c r="Y1626" s="41" t="n">
        <x:v>0</x:v>
      </x:c>
    </x:row>
    <x:row r="1627">
      <x:c r="A1627" s="38" t="str">
        <x:v>7月30日现场数据</x:v>
      </x:c>
      <x:c r="B1627" s="66" t="str">
        <x:v>2026-08-05T05:04:17.628000</x:v>
      </x:c>
      <x:c r="C1627" s="47" t="n">
        <x:v>300960</x:v>
      </x:c>
      <x:c r="D1627" s="47" t="str"/>
      <x:c r="E1627" s="47" t="str"/>
      <x:c r="F1627" s="47" t="str">
        <x:v>current</x:v>
      </x:c>
      <x:c r="G1627" s="47" t="n">
        <x:v>1623</x:v>
      </x:c>
      <x:c r="H1627" s="53" t="b">
        <x:v>1</x:v>
      </x:c>
      <x:c r="I1627" s="47" t="str">
        <x:v>4109905524</x:v>
      </x:c>
      <x:c r="J1627" s="47" t="n">
        <x:v>107182753</x:v>
      </x:c>
      <x:c r="K1627" s="53" t="b">
        <x:v>1</x:v>
      </x:c>
      <x:c r="L1627" s="53" t="b">
        <x:v>1</x:v>
      </x:c>
      <x:c r="M1627" s="53" t="b">
        <x:v>1</x:v>
      </x:c>
      <x:c r="N1627" s="53" t="b">
        <x:v>1</x:v>
      </x:c>
      <x:c r="O1627" s="53" t="b">
        <x:v>1</x:v>
      </x:c>
      <x:c r="P1627" s="47" t="n">
        <x:v>1009</x:v>
      </x:c>
      <x:c r="Q1627" s="47" t="n">
        <x:v>0</x:v>
      </x:c>
      <x:c r="R1627" s="47" t="n">
        <x:v>0</x:v>
      </x:c>
      <x:c r="S1627" s="47" t="n">
        <x:v>27.45</x:v>
      </x:c>
      <x:c r="T1627" s="47" t="n">
        <x:v>77.76</x:v>
      </x:c>
      <x:c r="U1627" s="47" t="n">
        <x:v>28.4</x:v>
      </x:c>
      <x:c r="V1627" s="47" t="n">
        <x:v>19.2</x:v>
      </x:c>
      <x:c r="W1627" s="47" t="n">
        <x:v>0</x:v>
      </x:c>
      <x:c r="X1627" s="47" t="n">
        <x:v>1</x:v>
      </x:c>
      <x:c r="Y1627" s="41" t="n">
        <x:v>1</x:v>
      </x:c>
    </x:row>
    <x:row r="1628">
      <x:c r="A1628" s="38" t="str">
        <x:v>7月30日现场数据</x:v>
      </x:c>
      <x:c r="B1628" s="66" t="str">
        <x:v>2026-08-05T05:09:18.589000</x:v>
      </x:c>
      <x:c r="C1628" s="47" t="n">
        <x:v>300961</x:v>
      </x:c>
      <x:c r="D1628" s="47" t="str"/>
      <x:c r="E1628" s="47" t="str"/>
      <x:c r="F1628" s="47" t="str">
        <x:v>current</x:v>
      </x:c>
      <x:c r="G1628" s="47" t="n">
        <x:v>1624</x:v>
      </x:c>
      <x:c r="H1628" s="53" t="b">
        <x:v>1</x:v>
      </x:c>
      <x:c r="I1628" s="47" t="str">
        <x:v>4109905524</x:v>
      </x:c>
      <x:c r="J1628" s="47" t="n">
        <x:v>107483714</x:v>
      </x:c>
      <x:c r="K1628" s="53" t="b">
        <x:v>1</x:v>
      </x:c>
      <x:c r="L1628" s="53" t="b">
        <x:v>1</x:v>
      </x:c>
      <x:c r="M1628" s="53" t="b">
        <x:v>1</x:v>
      </x:c>
      <x:c r="N1628" s="53" t="b">
        <x:v>1</x:v>
      </x:c>
      <x:c r="O1628" s="53" t="b">
        <x:v>1</x:v>
      </x:c>
      <x:c r="P1628" s="47" t="n">
        <x:v>1009</x:v>
      </x:c>
      <x:c r="Q1628" s="47" t="n">
        <x:v>0</x:v>
      </x:c>
      <x:c r="R1628" s="47" t="n">
        <x:v>0</x:v>
      </x:c>
      <x:c r="S1628" s="47" t="n">
        <x:v>27.47</x:v>
      </x:c>
      <x:c r="T1628" s="47" t="n">
        <x:v>77.92</x:v>
      </x:c>
      <x:c r="U1628" s="47" t="n">
        <x:v>28.4</x:v>
      </x:c>
      <x:c r="V1628" s="47" t="n">
        <x:v>19.1</x:v>
      </x:c>
      <x:c r="W1628" s="47" t="n">
        <x:v>0</x:v>
      </x:c>
      <x:c r="X1628" s="47" t="n">
        <x:v>1</x:v>
      </x:c>
      <x:c r="Y1628" s="41" t="n">
        <x:v>1</x:v>
      </x:c>
    </x:row>
    <x:row r="1629">
      <x:c r="A1629" s="38" t="str">
        <x:v>7月30日现场数据</x:v>
      </x:c>
      <x:c r="B1629" s="66" t="str">
        <x:v>2026-08-05T05:14:19.554000</x:v>
      </x:c>
      <x:c r="C1629" s="47" t="n">
        <x:v>300965</x:v>
      </x:c>
      <x:c r="D1629" s="47" t="str"/>
      <x:c r="E1629" s="47" t="str"/>
      <x:c r="F1629" s="47" t="str">
        <x:v>current</x:v>
      </x:c>
      <x:c r="G1629" s="47" t="n">
        <x:v>1625</x:v>
      </x:c>
      <x:c r="H1629" s="53" t="b">
        <x:v>1</x:v>
      </x:c>
      <x:c r="I1629" s="47" t="str">
        <x:v>4109905524</x:v>
      </x:c>
      <x:c r="J1629" s="47" t="n">
        <x:v>107784679</x:v>
      </x:c>
      <x:c r="K1629" s="53" t="b">
        <x:v>1</x:v>
      </x:c>
      <x:c r="L1629" s="53" t="b">
        <x:v>1</x:v>
      </x:c>
      <x:c r="M1629" s="53" t="b">
        <x:v>1</x:v>
      </x:c>
      <x:c r="N1629" s="53" t="b">
        <x:v>1</x:v>
      </x:c>
      <x:c r="O1629" s="53" t="b">
        <x:v>1</x:v>
      </x:c>
      <x:c r="P1629" s="47" t="n">
        <x:v>1009</x:v>
      </x:c>
      <x:c r="Q1629" s="47" t="n">
        <x:v>0</x:v>
      </x:c>
      <x:c r="R1629" s="47" t="n">
        <x:v>0</x:v>
      </x:c>
      <x:c r="S1629" s="47" t="n">
        <x:v>27.49</x:v>
      </x:c>
      <x:c r="T1629" s="47" t="n">
        <x:v>77.96</x:v>
      </x:c>
      <x:c r="U1629" s="47" t="n">
        <x:v>28.4</x:v>
      </x:c>
      <x:c r="V1629" s="47" t="n">
        <x:v>19.1</x:v>
      </x:c>
      <x:c r="W1629" s="47" t="n">
        <x:v>0</x:v>
      </x:c>
      <x:c r="X1629" s="47" t="n">
        <x:v>2</x:v>
      </x:c>
      <x:c r="Y1629" s="41" t="n">
        <x:v>2</x:v>
      </x:c>
    </x:row>
    <x:row r="1630">
      <x:c r="A1630" s="38" t="str">
        <x:v>7月30日现场数据</x:v>
      </x:c>
      <x:c r="B1630" s="66" t="str">
        <x:v>2026-08-05T05:19:20.520000</x:v>
      </x:c>
      <x:c r="C1630" s="47" t="n">
        <x:v>300966</x:v>
      </x:c>
      <x:c r="D1630" s="47" t="str"/>
      <x:c r="E1630" s="47" t="str"/>
      <x:c r="F1630" s="47" t="str">
        <x:v>current</x:v>
      </x:c>
      <x:c r="G1630" s="47" t="n">
        <x:v>1626</x:v>
      </x:c>
      <x:c r="H1630" s="53" t="b">
        <x:v>1</x:v>
      </x:c>
      <x:c r="I1630" s="47" t="str">
        <x:v>4109905524</x:v>
      </x:c>
      <x:c r="J1630" s="47" t="n">
        <x:v>108085645</x:v>
      </x:c>
      <x:c r="K1630" s="53" t="b">
        <x:v>1</x:v>
      </x:c>
      <x:c r="L1630" s="53" t="b">
        <x:v>1</x:v>
      </x:c>
      <x:c r="M1630" s="53" t="b">
        <x:v>1</x:v>
      </x:c>
      <x:c r="N1630" s="53" t="b">
        <x:v>1</x:v>
      </x:c>
      <x:c r="O1630" s="53" t="b">
        <x:v>1</x:v>
      </x:c>
      <x:c r="P1630" s="47" t="n">
        <x:v>1010</x:v>
      </x:c>
      <x:c r="Q1630" s="47" t="n">
        <x:v>0</x:v>
      </x:c>
      <x:c r="R1630" s="47" t="n">
        <x:v>0</x:v>
      </x:c>
      <x:c r="S1630" s="47" t="n">
        <x:v>27.51</x:v>
      </x:c>
      <x:c r="T1630" s="47" t="n">
        <x:v>78.15</x:v>
      </x:c>
      <x:c r="U1630" s="47" t="n">
        <x:v>28.5</x:v>
      </x:c>
      <x:c r="V1630" s="47" t="n">
        <x:v>19.1</x:v>
      </x:c>
      <x:c r="W1630" s="47" t="n">
        <x:v>1</x:v>
      </x:c>
      <x:c r="X1630" s="47" t="n">
        <x:v>4</x:v>
      </x:c>
      <x:c r="Y1630" s="41" t="n">
        <x:v>3</x:v>
      </x:c>
    </x:row>
    <x:row r="1631">
      <x:c r="A1631" s="38" t="str">
        <x:v>7月30日现场数据</x:v>
      </x:c>
      <x:c r="B1631" s="66" t="str">
        <x:v>2026-08-05T05:24:21.487000</x:v>
      </x:c>
      <x:c r="C1631" s="47" t="n">
        <x:v>300967</x:v>
      </x:c>
      <x:c r="D1631" s="47" t="str"/>
      <x:c r="E1631" s="47" t="str"/>
      <x:c r="F1631" s="47" t="str">
        <x:v>current</x:v>
      </x:c>
      <x:c r="G1631" s="47" t="n">
        <x:v>1627</x:v>
      </x:c>
      <x:c r="H1631" s="53" t="b">
        <x:v>1</x:v>
      </x:c>
      <x:c r="I1631" s="47" t="str">
        <x:v>4109905524</x:v>
      </x:c>
      <x:c r="J1631" s="47" t="n">
        <x:v>108386612</x:v>
      </x:c>
      <x:c r="K1631" s="53" t="b">
        <x:v>1</x:v>
      </x:c>
      <x:c r="L1631" s="53" t="b">
        <x:v>1</x:v>
      </x:c>
      <x:c r="M1631" s="53" t="b">
        <x:v>1</x:v>
      </x:c>
      <x:c r="N1631" s="53" t="b">
        <x:v>1</x:v>
      </x:c>
      <x:c r="O1631" s="53" t="b">
        <x:v>1</x:v>
      </x:c>
      <x:c r="P1631" s="47" t="n">
        <x:v>1009</x:v>
      </x:c>
      <x:c r="Q1631" s="47" t="n">
        <x:v>0.016</x:v>
      </x:c>
      <x:c r="R1631" s="47" t="n">
        <x:v>0.429</x:v>
      </x:c>
      <x:c r="S1631" s="47" t="n">
        <x:v>27.55</x:v>
      </x:c>
      <x:c r="T1631" s="47" t="n">
        <x:v>78.26</x:v>
      </x:c>
      <x:c r="U1631" s="47" t="n">
        <x:v>28.5</x:v>
      </x:c>
      <x:c r="V1631" s="47" t="n">
        <x:v>19.1</x:v>
      </x:c>
      <x:c r="W1631" s="47" t="n">
        <x:v>1</x:v>
      </x:c>
      <x:c r="X1631" s="47" t="n">
        <x:v>3</x:v>
      </x:c>
      <x:c r="Y1631" s="41" t="n">
        <x:v>2</x:v>
      </x:c>
    </x:row>
    <x:row r="1632">
      <x:c r="A1632" s="38" t="str">
        <x:v>7月30日现场数据</x:v>
      </x:c>
      <x:c r="B1632" s="66" t="str">
        <x:v>2026-08-05T05:29:22.456000</x:v>
      </x:c>
      <x:c r="C1632" s="47" t="n">
        <x:v>300969</x:v>
      </x:c>
      <x:c r="D1632" s="47" t="str"/>
      <x:c r="E1632" s="47" t="str"/>
      <x:c r="F1632" s="47" t="str">
        <x:v>current</x:v>
      </x:c>
      <x:c r="G1632" s="47" t="n">
        <x:v>1628</x:v>
      </x:c>
      <x:c r="H1632" s="53" t="b">
        <x:v>1</x:v>
      </x:c>
      <x:c r="I1632" s="47" t="str">
        <x:v>4109905524</x:v>
      </x:c>
      <x:c r="J1632" s="47" t="n">
        <x:v>108687581</x:v>
      </x:c>
      <x:c r="K1632" s="53" t="b">
        <x:v>1</x:v>
      </x:c>
      <x:c r="L1632" s="53" t="b">
        <x:v>1</x:v>
      </x:c>
      <x:c r="M1632" s="53" t="b">
        <x:v>1</x:v>
      </x:c>
      <x:c r="N1632" s="53" t="b">
        <x:v>1</x:v>
      </x:c>
      <x:c r="O1632" s="53" t="b">
        <x:v>1</x:v>
      </x:c>
      <x:c r="P1632" s="47" t="n">
        <x:v>1009</x:v>
      </x:c>
      <x:c r="Q1632" s="47" t="n">
        <x:v>0</x:v>
      </x:c>
      <x:c r="R1632" s="47" t="n">
        <x:v>0</x:v>
      </x:c>
      <x:c r="S1632" s="47" t="n">
        <x:v>27.58</x:v>
      </x:c>
      <x:c r="T1632" s="47" t="n">
        <x:v>78.4</x:v>
      </x:c>
      <x:c r="U1632" s="47" t="n">
        <x:v>28.5</x:v>
      </x:c>
      <x:c r="V1632" s="47" t="n">
        <x:v>19.1</x:v>
      </x:c>
      <x:c r="W1632" s="47" t="n">
        <x:v>1</x:v>
      </x:c>
      <x:c r="X1632" s="47" t="n">
        <x:v>4</x:v>
      </x:c>
      <x:c r="Y1632" s="41" t="n">
        <x:v>3</x:v>
      </x:c>
    </x:row>
    <x:row r="1633">
      <x:c r="A1633" s="38" t="str">
        <x:v>7月30日现场数据</x:v>
      </x:c>
      <x:c r="B1633" s="66" t="str">
        <x:v>2026-08-05T05:34:23.428000</x:v>
      </x:c>
      <x:c r="C1633" s="47" t="n">
        <x:v>300972</x:v>
      </x:c>
      <x:c r="D1633" s="47" t="str"/>
      <x:c r="E1633" s="47" t="str"/>
      <x:c r="F1633" s="47" t="str">
        <x:v>current</x:v>
      </x:c>
      <x:c r="G1633" s="47" t="n">
        <x:v>1629</x:v>
      </x:c>
      <x:c r="H1633" s="53" t="b">
        <x:v>1</x:v>
      </x:c>
      <x:c r="I1633" s="47" t="str">
        <x:v>4109905524</x:v>
      </x:c>
      <x:c r="J1633" s="47" t="n">
        <x:v>108988553</x:v>
      </x:c>
      <x:c r="K1633" s="53" t="b">
        <x:v>1</x:v>
      </x:c>
      <x:c r="L1633" s="53" t="b">
        <x:v>1</x:v>
      </x:c>
      <x:c r="M1633" s="53" t="b">
        <x:v>1</x:v>
      </x:c>
      <x:c r="N1633" s="53" t="b">
        <x:v>1</x:v>
      </x:c>
      <x:c r="O1633" s="53" t="b">
        <x:v>1</x:v>
      </x:c>
      <x:c r="P1633" s="47" t="n">
        <x:v>1009</x:v>
      </x:c>
      <x:c r="Q1633" s="47" t="n">
        <x:v>0</x:v>
      </x:c>
      <x:c r="R1633" s="47" t="n">
        <x:v>0</x:v>
      </x:c>
      <x:c r="S1633" s="47" t="n">
        <x:v>27.65</x:v>
      </x:c>
      <x:c r="T1633" s="47" t="n">
        <x:v>78.55</x:v>
      </x:c>
      <x:c r="U1633" s="47" t="n">
        <x:v>28.5</x:v>
      </x:c>
      <x:c r="V1633" s="47" t="n">
        <x:v>19.1</x:v>
      </x:c>
      <x:c r="W1633" s="47" t="n">
        <x:v>1</x:v>
      </x:c>
      <x:c r="X1633" s="47" t="n">
        <x:v>4</x:v>
      </x:c>
      <x:c r="Y1633" s="41" t="n">
        <x:v>3</x:v>
      </x:c>
    </x:row>
    <x:row r="1634">
      <x:c r="A1634" s="38" t="str">
        <x:v>7月30日现场数据</x:v>
      </x:c>
      <x:c r="B1634" s="66" t="str">
        <x:v>2026-08-05T05:39:24.400000</x:v>
      </x:c>
      <x:c r="C1634" s="47" t="n">
        <x:v>300972</x:v>
      </x:c>
      <x:c r="D1634" s="47" t="str"/>
      <x:c r="E1634" s="47" t="str"/>
      <x:c r="F1634" s="47" t="str">
        <x:v>current</x:v>
      </x:c>
      <x:c r="G1634" s="47" t="n">
        <x:v>1630</x:v>
      </x:c>
      <x:c r="H1634" s="53" t="b">
        <x:v>1</x:v>
      </x:c>
      <x:c r="I1634" s="47" t="str">
        <x:v>4109905524</x:v>
      </x:c>
      <x:c r="J1634" s="47" t="n">
        <x:v>109289525</x:v>
      </x:c>
      <x:c r="K1634" s="53" t="b">
        <x:v>1</x:v>
      </x:c>
      <x:c r="L1634" s="53" t="b">
        <x:v>1</x:v>
      </x:c>
      <x:c r="M1634" s="53" t="b">
        <x:v>1</x:v>
      </x:c>
      <x:c r="N1634" s="53" t="b">
        <x:v>1</x:v>
      </x:c>
      <x:c r="O1634" s="53" t="b">
        <x:v>1</x:v>
      </x:c>
      <x:c r="P1634" s="47" t="n">
        <x:v>1009</x:v>
      </x:c>
      <x:c r="Q1634" s="47" t="n">
        <x:v>0</x:v>
      </x:c>
      <x:c r="R1634" s="47" t="n">
        <x:v>0</x:v>
      </x:c>
      <x:c r="S1634" s="47" t="n">
        <x:v>27.76</x:v>
      </x:c>
      <x:c r="T1634" s="47" t="n">
        <x:v>78.69</x:v>
      </x:c>
      <x:c r="U1634" s="47" t="n">
        <x:v>28.5</x:v>
      </x:c>
      <x:c r="V1634" s="47" t="n">
        <x:v>19.1</x:v>
      </x:c>
      <x:c r="W1634" s="47" t="n">
        <x:v>1</x:v>
      </x:c>
      <x:c r="X1634" s="47" t="n">
        <x:v>4</x:v>
      </x:c>
      <x:c r="Y1634" s="41" t="n">
        <x:v>3</x:v>
      </x:c>
    </x:row>
    <x:row r="1635">
      <x:c r="A1635" s="38" t="str">
        <x:v>7月30日现场数据</x:v>
      </x:c>
      <x:c r="B1635" s="66" t="str">
        <x:v>2026-08-05T05:44:25.374000</x:v>
      </x:c>
      <x:c r="C1635" s="47" t="n">
        <x:v>300974</x:v>
      </x:c>
      <x:c r="D1635" s="47" t="str"/>
      <x:c r="E1635" s="47" t="str"/>
      <x:c r="F1635" s="47" t="str">
        <x:v>current</x:v>
      </x:c>
      <x:c r="G1635" s="47" t="n">
        <x:v>1631</x:v>
      </x:c>
      <x:c r="H1635" s="53" t="b">
        <x:v>1</x:v>
      </x:c>
      <x:c r="I1635" s="47" t="str">
        <x:v>4109905524</x:v>
      </x:c>
      <x:c r="J1635" s="47" t="n">
        <x:v>109590499</x:v>
      </x:c>
      <x:c r="K1635" s="53" t="b">
        <x:v>1</x:v>
      </x:c>
      <x:c r="L1635" s="53" t="b">
        <x:v>1</x:v>
      </x:c>
      <x:c r="M1635" s="53" t="b">
        <x:v>1</x:v>
      </x:c>
      <x:c r="N1635" s="53" t="b">
        <x:v>1</x:v>
      </x:c>
      <x:c r="O1635" s="53" t="b">
        <x:v>1</x:v>
      </x:c>
      <x:c r="P1635" s="47" t="n">
        <x:v>1009</x:v>
      </x:c>
      <x:c r="Q1635" s="47" t="n">
        <x:v>0</x:v>
      </x:c>
      <x:c r="R1635" s="47" t="n">
        <x:v>0</x:v>
      </x:c>
      <x:c r="S1635" s="47" t="n">
        <x:v>27.82</x:v>
      </x:c>
      <x:c r="T1635" s="47" t="n">
        <x:v>78.84</x:v>
      </x:c>
      <x:c r="U1635" s="47" t="n">
        <x:v>28.5</x:v>
      </x:c>
      <x:c r="V1635" s="47" t="n">
        <x:v>19</x:v>
      </x:c>
      <x:c r="W1635" s="47" t="n">
        <x:v>1</x:v>
      </x:c>
      <x:c r="X1635" s="47" t="n">
        <x:v>4</x:v>
      </x:c>
      <x:c r="Y1635" s="41" t="n">
        <x:v>3</x:v>
      </x:c>
    </x:row>
    <x:row r="1636">
      <x:c r="A1636" s="38" t="str">
        <x:v>7月30日现场数据</x:v>
      </x:c>
      <x:c r="B1636" s="66" t="str">
        <x:v>2026-08-05T05:49:26.351000</x:v>
      </x:c>
      <x:c r="C1636" s="47" t="n">
        <x:v>300977</x:v>
      </x:c>
      <x:c r="D1636" s="47" t="str"/>
      <x:c r="E1636" s="47" t="str"/>
      <x:c r="F1636" s="47" t="str">
        <x:v>current</x:v>
      </x:c>
      <x:c r="G1636" s="47" t="n">
        <x:v>1632</x:v>
      </x:c>
      <x:c r="H1636" s="53" t="b">
        <x:v>1</x:v>
      </x:c>
      <x:c r="I1636" s="47" t="str">
        <x:v>4109905524</x:v>
      </x:c>
      <x:c r="J1636" s="47" t="n">
        <x:v>109891476</x:v>
      </x:c>
      <x:c r="K1636" s="53" t="b">
        <x:v>1</x:v>
      </x:c>
      <x:c r="L1636" s="53" t="b">
        <x:v>1</x:v>
      </x:c>
      <x:c r="M1636" s="53" t="b">
        <x:v>1</x:v>
      </x:c>
      <x:c r="N1636" s="53" t="b">
        <x:v>1</x:v>
      </x:c>
      <x:c r="O1636" s="53" t="b">
        <x:v>1</x:v>
      </x:c>
      <x:c r="P1636" s="47" t="n">
        <x:v>1009</x:v>
      </x:c>
      <x:c r="Q1636" s="47" t="n">
        <x:v>0</x:v>
      </x:c>
      <x:c r="R1636" s="47" t="n">
        <x:v>0</x:v>
      </x:c>
      <x:c r="S1636" s="47" t="n">
        <x:v>27.84</x:v>
      </x:c>
      <x:c r="T1636" s="47" t="n">
        <x:v>78.99</x:v>
      </x:c>
      <x:c r="U1636" s="47" t="n">
        <x:v>28.5</x:v>
      </x:c>
      <x:c r="V1636" s="47" t="n">
        <x:v>19</x:v>
      </x:c>
      <x:c r="W1636" s="47" t="n">
        <x:v>1</x:v>
      </x:c>
      <x:c r="X1636" s="47" t="n">
        <x:v>5</x:v>
      </x:c>
      <x:c r="Y1636" s="41" t="n">
        <x:v>4</x:v>
      </x:c>
    </x:row>
    <x:row r="1637">
      <x:c r="A1637" s="38" t="str">
        <x:v>7月30日现场数据</x:v>
      </x:c>
      <x:c r="B1637" s="66" t="str">
        <x:v>2026-08-05T05:54:27.329000</x:v>
      </x:c>
      <x:c r="C1637" s="47" t="n">
        <x:v>300978</x:v>
      </x:c>
      <x:c r="D1637" s="47" t="str"/>
      <x:c r="E1637" s="47" t="str"/>
      <x:c r="F1637" s="47" t="str">
        <x:v>current</x:v>
      </x:c>
      <x:c r="G1637" s="47" t="n">
        <x:v>1633</x:v>
      </x:c>
      <x:c r="H1637" s="53" t="b">
        <x:v>1</x:v>
      </x:c>
      <x:c r="I1637" s="47" t="str">
        <x:v>4109905524</x:v>
      </x:c>
      <x:c r="J1637" s="47" t="n">
        <x:v>110192454</x:v>
      </x:c>
      <x:c r="K1637" s="53" t="b">
        <x:v>1</x:v>
      </x:c>
      <x:c r="L1637" s="53" t="b">
        <x:v>1</x:v>
      </x:c>
      <x:c r="M1637" s="53" t="b">
        <x:v>1</x:v>
      </x:c>
      <x:c r="N1637" s="53" t="b">
        <x:v>1</x:v>
      </x:c>
      <x:c r="O1637" s="53" t="b">
        <x:v>1</x:v>
      </x:c>
      <x:c r="P1637" s="47" t="n">
        <x:v>1008</x:v>
      </x:c>
      <x:c r="Q1637" s="47" t="n">
        <x:v>0</x:v>
      </x:c>
      <x:c r="R1637" s="47" t="n">
        <x:v>0</x:v>
      </x:c>
      <x:c r="S1637" s="47" t="n">
        <x:v>27.93</x:v>
      </x:c>
      <x:c r="T1637" s="47" t="n">
        <x:v>79.05</x:v>
      </x:c>
      <x:c r="U1637" s="47" t="n">
        <x:v>28.5</x:v>
      </x:c>
      <x:c r="V1637" s="47" t="n">
        <x:v>19</x:v>
      </x:c>
      <x:c r="W1637" s="47" t="n">
        <x:v>1</x:v>
      </x:c>
      <x:c r="X1637" s="47" t="n">
        <x:v>6</x:v>
      </x:c>
      <x:c r="Y1637" s="41" t="n">
        <x:v>5</x:v>
      </x:c>
    </x:row>
    <x:row r="1638">
      <x:c r="A1638" s="38" t="str">
        <x:v>7月30日现场数据</x:v>
      </x:c>
      <x:c r="B1638" s="66" t="str">
        <x:v>2026-08-05T05:59:28.308000</x:v>
      </x:c>
      <x:c r="C1638" s="47" t="n">
        <x:v>300979</x:v>
      </x:c>
      <x:c r="D1638" s="47" t="str"/>
      <x:c r="E1638" s="47" t="str"/>
      <x:c r="F1638" s="47" t="str">
        <x:v>current</x:v>
      </x:c>
      <x:c r="G1638" s="47" t="n">
        <x:v>1634</x:v>
      </x:c>
      <x:c r="H1638" s="53" t="b">
        <x:v>1</x:v>
      </x:c>
      <x:c r="I1638" s="47" t="str">
        <x:v>4109905524</x:v>
      </x:c>
      <x:c r="J1638" s="47" t="n">
        <x:v>110493433</x:v>
      </x:c>
      <x:c r="K1638" s="53" t="b">
        <x:v>1</x:v>
      </x:c>
      <x:c r="L1638" s="53" t="b">
        <x:v>1</x:v>
      </x:c>
      <x:c r="M1638" s="53" t="b">
        <x:v>1</x:v>
      </x:c>
      <x:c r="N1638" s="53" t="b">
        <x:v>1</x:v>
      </x:c>
      <x:c r="O1638" s="53" t="b">
        <x:v>1</x:v>
      </x:c>
      <x:c r="P1638" s="47" t="n">
        <x:v>1009</x:v>
      </x:c>
      <x:c r="Q1638" s="47" t="n">
        <x:v>0</x:v>
      </x:c>
      <x:c r="R1638" s="47" t="n">
        <x:v>0</x:v>
      </x:c>
      <x:c r="S1638" s="47" t="n">
        <x:v>27.99</x:v>
      </x:c>
      <x:c r="T1638" s="47" t="n">
        <x:v>79.21</x:v>
      </x:c>
      <x:c r="U1638" s="47" t="n">
        <x:v>28.5</x:v>
      </x:c>
      <x:c r="V1638" s="47" t="n">
        <x:v>19</x:v>
      </x:c>
      <x:c r="W1638" s="47" t="n">
        <x:v>1</x:v>
      </x:c>
      <x:c r="X1638" s="47" t="n">
        <x:v>6</x:v>
      </x:c>
      <x:c r="Y1638" s="41" t="n">
        <x:v>5</x:v>
      </x:c>
    </x:row>
    <x:row r="1639">
      <x:c r="A1639" s="38" t="str">
        <x:v>7月30日现场数据</x:v>
      </x:c>
      <x:c r="B1639" s="66" t="str">
        <x:v>2026-08-05T06:04:29.291000</x:v>
      </x:c>
      <x:c r="C1639" s="47" t="n">
        <x:v>300983</x:v>
      </x:c>
      <x:c r="D1639" s="47" t="str"/>
      <x:c r="E1639" s="47" t="str"/>
      <x:c r="F1639" s="47" t="str">
        <x:v>current</x:v>
      </x:c>
      <x:c r="G1639" s="47" t="n">
        <x:v>1635</x:v>
      </x:c>
      <x:c r="H1639" s="53" t="b">
        <x:v>1</x:v>
      </x:c>
      <x:c r="I1639" s="47" t="str">
        <x:v>4109905524</x:v>
      </x:c>
      <x:c r="J1639" s="47" t="n">
        <x:v>110794416</x:v>
      </x:c>
      <x:c r="K1639" s="53" t="b">
        <x:v>1</x:v>
      </x:c>
      <x:c r="L1639" s="53" t="b">
        <x:v>1</x:v>
      </x:c>
      <x:c r="M1639" s="53" t="b">
        <x:v>1</x:v>
      </x:c>
      <x:c r="N1639" s="53" t="b">
        <x:v>1</x:v>
      </x:c>
      <x:c r="O1639" s="53" t="b">
        <x:v>1</x:v>
      </x:c>
      <x:c r="P1639" s="47" t="n">
        <x:v>1009</x:v>
      </x:c>
      <x:c r="Q1639" s="47" t="n">
        <x:v>0.001</x:v>
      </x:c>
      <x:c r="R1639" s="47" t="n">
        <x:v>0.033</x:v>
      </x:c>
      <x:c r="S1639" s="47" t="n">
        <x:v>28.04</x:v>
      </x:c>
      <x:c r="T1639" s="47" t="n">
        <x:v>79.37</x:v>
      </x:c>
      <x:c r="U1639" s="47" t="n">
        <x:v>28.5</x:v>
      </x:c>
      <x:c r="V1639" s="47" t="n">
        <x:v>19</x:v>
      </x:c>
      <x:c r="W1639" s="47" t="n">
        <x:v>1</x:v>
      </x:c>
      <x:c r="X1639" s="47" t="n">
        <x:v>7</x:v>
      </x:c>
      <x:c r="Y1639" s="41" t="n">
        <x:v>6</x:v>
      </x:c>
    </x:row>
    <x:row r="1640">
      <x:c r="A1640" s="38" t="str">
        <x:v>7月30日现场数据</x:v>
      </x:c>
      <x:c r="B1640" s="66" t="str">
        <x:v>2026-08-05T06:09:30.273000</x:v>
      </x:c>
      <x:c r="C1640" s="47" t="n">
        <x:v>300982</x:v>
      </x:c>
      <x:c r="D1640" s="47" t="str"/>
      <x:c r="E1640" s="47" t="str"/>
      <x:c r="F1640" s="47" t="str">
        <x:v>current</x:v>
      </x:c>
      <x:c r="G1640" s="47" t="n">
        <x:v>1636</x:v>
      </x:c>
      <x:c r="H1640" s="53" t="b">
        <x:v>1</x:v>
      </x:c>
      <x:c r="I1640" s="47" t="str">
        <x:v>4109905524</x:v>
      </x:c>
      <x:c r="J1640" s="47" t="n">
        <x:v>111095398</x:v>
      </x:c>
      <x:c r="K1640" s="53" t="b">
        <x:v>1</x:v>
      </x:c>
      <x:c r="L1640" s="53" t="b">
        <x:v>1</x:v>
      </x:c>
      <x:c r="M1640" s="53" t="b">
        <x:v>1</x:v>
      </x:c>
      <x:c r="N1640" s="53" t="b">
        <x:v>1</x:v>
      </x:c>
      <x:c r="O1640" s="53" t="b">
        <x:v>1</x:v>
      </x:c>
      <x:c r="P1640" s="47" t="n">
        <x:v>1009</x:v>
      </x:c>
      <x:c r="Q1640" s="47" t="n">
        <x:v>0</x:v>
      </x:c>
      <x:c r="R1640" s="47" t="n">
        <x:v>0</x:v>
      </x:c>
      <x:c r="S1640" s="47" t="n">
        <x:v>28.13</x:v>
      </x:c>
      <x:c r="T1640" s="47" t="n">
        <x:v>79.44</x:v>
      </x:c>
      <x:c r="U1640" s="47" t="n">
        <x:v>28.5</x:v>
      </x:c>
      <x:c r="V1640" s="47" t="n">
        <x:v>19</x:v>
      </x:c>
      <x:c r="W1640" s="47" t="n">
        <x:v>2</x:v>
      </x:c>
      <x:c r="X1640" s="47" t="n">
        <x:v>8</x:v>
      </x:c>
      <x:c r="Y1640" s="41" t="n">
        <x:v>6</x:v>
      </x:c>
    </x:row>
    <x:row r="1641">
      <x:c r="A1641" s="38" t="str">
        <x:v>7月30日现场数据</x:v>
      </x:c>
      <x:c r="B1641" s="66" t="str">
        <x:v>2026-08-05T06:14:31.257000</x:v>
      </x:c>
      <x:c r="C1641" s="47" t="n">
        <x:v>300984</x:v>
      </x:c>
      <x:c r="D1641" s="47" t="str"/>
      <x:c r="E1641" s="47" t="str"/>
      <x:c r="F1641" s="47" t="str">
        <x:v>current</x:v>
      </x:c>
      <x:c r="G1641" s="47" t="n">
        <x:v>1637</x:v>
      </x:c>
      <x:c r="H1641" s="53" t="b">
        <x:v>1</x:v>
      </x:c>
      <x:c r="I1641" s="47" t="str">
        <x:v>4109905524</x:v>
      </x:c>
      <x:c r="J1641" s="47" t="n">
        <x:v>111396382</x:v>
      </x:c>
      <x:c r="K1641" s="53" t="b">
        <x:v>1</x:v>
      </x:c>
      <x:c r="L1641" s="53" t="b">
        <x:v>1</x:v>
      </x:c>
      <x:c r="M1641" s="53" t="b">
        <x:v>1</x:v>
      </x:c>
      <x:c r="N1641" s="53" t="b">
        <x:v>1</x:v>
      </x:c>
      <x:c r="O1641" s="53" t="b">
        <x:v>1</x:v>
      </x:c>
      <x:c r="P1641" s="47" t="n">
        <x:v>1010</x:v>
      </x:c>
      <x:c r="Q1641" s="47" t="n">
        <x:v>0</x:v>
      </x:c>
      <x:c r="R1641" s="47" t="n">
        <x:v>0</x:v>
      </x:c>
      <x:c r="S1641" s="47" t="n">
        <x:v>28.16</x:v>
      </x:c>
      <x:c r="T1641" s="47" t="n">
        <x:v>79.58</x:v>
      </x:c>
      <x:c r="U1641" s="47" t="n">
        <x:v>28.5</x:v>
      </x:c>
      <x:c r="V1641" s="47" t="n">
        <x:v>19</x:v>
      </x:c>
      <x:c r="W1641" s="47" t="n">
        <x:v>2</x:v>
      </x:c>
      <x:c r="X1641" s="47" t="n">
        <x:v>8</x:v>
      </x:c>
      <x:c r="Y1641" s="41" t="n">
        <x:v>6</x:v>
      </x:c>
    </x:row>
    <x:row r="1642">
      <x:c r="A1642" s="38" t="str">
        <x:v>7月30日现场数据</x:v>
      </x:c>
      <x:c r="B1642" s="66" t="str">
        <x:v>2026-08-05T06:19:32.275000</x:v>
      </x:c>
      <x:c r="C1642" s="47" t="n">
        <x:v>301018</x:v>
      </x:c>
      <x:c r="D1642" s="47" t="str"/>
      <x:c r="E1642" s="47" t="str"/>
      <x:c r="F1642" s="47" t="str">
        <x:v>current</x:v>
      </x:c>
      <x:c r="G1642" s="47" t="n">
        <x:v>1638</x:v>
      </x:c>
      <x:c r="H1642" s="53" t="b">
        <x:v>1</x:v>
      </x:c>
      <x:c r="I1642" s="47" t="str">
        <x:v>4109905524</x:v>
      </x:c>
      <x:c r="J1642" s="47" t="n">
        <x:v>111697400</x:v>
      </x:c>
      <x:c r="K1642" s="53" t="b">
        <x:v>1</x:v>
      </x:c>
      <x:c r="L1642" s="53" t="b">
        <x:v>1</x:v>
      </x:c>
      <x:c r="M1642" s="53" t="b">
        <x:v>1</x:v>
      </x:c>
      <x:c r="N1642" s="53" t="b">
        <x:v>1</x:v>
      </x:c>
      <x:c r="O1642" s="53" t="b">
        <x:v>1</x:v>
      </x:c>
      <x:c r="P1642" s="47" t="n">
        <x:v>1010</x:v>
      </x:c>
      <x:c r="Q1642" s="47" t="n">
        <x:v>0</x:v>
      </x:c>
      <x:c r="R1642" s="47" t="n">
        <x:v>0</x:v>
      </x:c>
      <x:c r="S1642" s="47" t="n">
        <x:v>28.23</x:v>
      </x:c>
      <x:c r="T1642" s="47" t="n">
        <x:v>79.69</x:v>
      </x:c>
      <x:c r="U1642" s="47" t="n">
        <x:v>28.6</x:v>
      </x:c>
      <x:c r="V1642" s="47" t="n">
        <x:v>19</x:v>
      </x:c>
      <x:c r="W1642" s="47" t="n">
        <x:v>2</x:v>
      </x:c>
      <x:c r="X1642" s="47" t="n">
        <x:v>9</x:v>
      </x:c>
      <x:c r="Y1642" s="41" t="n">
        <x:v>7</x:v>
      </x:c>
    </x:row>
    <x:row r="1643">
      <x:c r="A1643" s="38" t="str">
        <x:v>7月30日现场数据</x:v>
      </x:c>
      <x:c r="B1643" s="66" t="str">
        <x:v>2026-08-05T06:24:33.236000</x:v>
      </x:c>
      <x:c r="C1643" s="47" t="n">
        <x:v>300961</x:v>
      </x:c>
      <x:c r="D1643" s="47" t="str"/>
      <x:c r="E1643" s="47" t="str"/>
      <x:c r="F1643" s="47" t="str">
        <x:v>current</x:v>
      </x:c>
      <x:c r="G1643" s="47" t="n">
        <x:v>1639</x:v>
      </x:c>
      <x:c r="H1643" s="53" t="b">
        <x:v>1</x:v>
      </x:c>
      <x:c r="I1643" s="47" t="str">
        <x:v>4109905524</x:v>
      </x:c>
      <x:c r="J1643" s="47" t="n">
        <x:v>111998361</x:v>
      </x:c>
      <x:c r="K1643" s="53" t="b">
        <x:v>1</x:v>
      </x:c>
      <x:c r="L1643" s="53" t="b">
        <x:v>1</x:v>
      </x:c>
      <x:c r="M1643" s="53" t="b">
        <x:v>1</x:v>
      </x:c>
      <x:c r="N1643" s="53" t="b">
        <x:v>1</x:v>
      </x:c>
      <x:c r="O1643" s="53" t="b">
        <x:v>1</x:v>
      </x:c>
      <x:c r="P1643" s="47" t="n">
        <x:v>1010</x:v>
      </x:c>
      <x:c r="Q1643" s="47" t="n">
        <x:v>0</x:v>
      </x:c>
      <x:c r="R1643" s="47" t="n">
        <x:v>0</x:v>
      </x:c>
      <x:c r="S1643" s="47" t="n">
        <x:v>28.28</x:v>
      </x:c>
      <x:c r="T1643" s="47" t="n">
        <x:v>79.81</x:v>
      </x:c>
      <x:c r="U1643" s="47" t="n">
        <x:v>28.5</x:v>
      </x:c>
      <x:c r="V1643" s="47" t="n">
        <x:v>19</x:v>
      </x:c>
      <x:c r="W1643" s="47" t="n">
        <x:v>2</x:v>
      </x:c>
      <x:c r="X1643" s="47" t="n">
        <x:v>11</x:v>
      </x:c>
      <x:c r="Y1643" s="41" t="n">
        <x:v>9</x:v>
      </x:c>
    </x:row>
    <x:row r="1644">
      <x:c r="A1644" s="38" t="str">
        <x:v>7月30日现场数据</x:v>
      </x:c>
      <x:c r="B1644" s="66" t="str">
        <x:v>2026-08-05T06:29:34.199000</x:v>
      </x:c>
      <x:c r="C1644" s="47" t="n">
        <x:v>300963</x:v>
      </x:c>
      <x:c r="D1644" s="47" t="str"/>
      <x:c r="E1644" s="47" t="str"/>
      <x:c r="F1644" s="47" t="str">
        <x:v>current</x:v>
      </x:c>
      <x:c r="G1644" s="47" t="n">
        <x:v>1640</x:v>
      </x:c>
      <x:c r="H1644" s="53" t="b">
        <x:v>1</x:v>
      </x:c>
      <x:c r="I1644" s="47" t="str">
        <x:v>4109905524</x:v>
      </x:c>
      <x:c r="J1644" s="47" t="n">
        <x:v>112299324</x:v>
      </x:c>
      <x:c r="K1644" s="53" t="b">
        <x:v>1</x:v>
      </x:c>
      <x:c r="L1644" s="53" t="b">
        <x:v>1</x:v>
      </x:c>
      <x:c r="M1644" s="53" t="b">
        <x:v>1</x:v>
      </x:c>
      <x:c r="N1644" s="53" t="b">
        <x:v>1</x:v>
      </x:c>
      <x:c r="O1644" s="53" t="b">
        <x:v>1</x:v>
      </x:c>
      <x:c r="P1644" s="47" t="n">
        <x:v>1010</x:v>
      </x:c>
      <x:c r="Q1644" s="47" t="n">
        <x:v>0.046</x:v>
      </x:c>
      <x:c r="R1644" s="47" t="n">
        <x:v>1.253</x:v>
      </x:c>
      <x:c r="S1644" s="47" t="n">
        <x:v>28.35</x:v>
      </x:c>
      <x:c r="T1644" s="47" t="n">
        <x:v>79.95</x:v>
      </x:c>
      <x:c r="U1644" s="47" t="n">
        <x:v>28.6</x:v>
      </x:c>
      <x:c r="V1644" s="47" t="n">
        <x:v>18.9</x:v>
      </x:c>
      <x:c r="W1644" s="47" t="n">
        <x:v>3</x:v>
      </x:c>
      <x:c r="X1644" s="47" t="n">
        <x:v>12</x:v>
      </x:c>
      <x:c r="Y1644" s="41" t="n">
        <x:v>9</x:v>
      </x:c>
    </x:row>
    <x:row r="1645">
      <x:c r="A1645" s="38" t="str">
        <x:v>7月30日现场数据</x:v>
      </x:c>
      <x:c r="B1645" s="66" t="str">
        <x:v>2026-08-05T06:34:35.162000</x:v>
      </x:c>
      <x:c r="C1645" s="47" t="n">
        <x:v>300963</x:v>
      </x:c>
      <x:c r="D1645" s="47" t="str"/>
      <x:c r="E1645" s="47" t="str"/>
      <x:c r="F1645" s="47" t="str">
        <x:v>current</x:v>
      </x:c>
      <x:c r="G1645" s="47" t="n">
        <x:v>1641</x:v>
      </x:c>
      <x:c r="H1645" s="53" t="b">
        <x:v>1</x:v>
      </x:c>
      <x:c r="I1645" s="47" t="str">
        <x:v>4109905524</x:v>
      </x:c>
      <x:c r="J1645" s="47" t="n">
        <x:v>112600287</x:v>
      </x:c>
      <x:c r="K1645" s="53" t="b">
        <x:v>1</x:v>
      </x:c>
      <x:c r="L1645" s="53" t="b">
        <x:v>1</x:v>
      </x:c>
      <x:c r="M1645" s="53" t="b">
        <x:v>1</x:v>
      </x:c>
      <x:c r="N1645" s="53" t="b">
        <x:v>1</x:v>
      </x:c>
      <x:c r="O1645" s="53" t="b">
        <x:v>1</x:v>
      </x:c>
      <x:c r="P1645" s="47" t="n">
        <x:v>1008</x:v>
      </x:c>
      <x:c r="Q1645" s="47" t="n">
        <x:v>0</x:v>
      </x:c>
      <x:c r="R1645" s="47" t="n">
        <x:v>0</x:v>
      </x:c>
      <x:c r="S1645" s="47" t="n">
        <x:v>28.43</x:v>
      </x:c>
      <x:c r="T1645" s="47" t="n">
        <x:v>80.09</x:v>
      </x:c>
      <x:c r="U1645" s="47" t="n">
        <x:v>28.6</x:v>
      </x:c>
      <x:c r="V1645" s="47" t="n">
        <x:v>18.9</x:v>
      </x:c>
      <x:c r="W1645" s="47" t="n">
        <x:v>3</x:v>
      </x:c>
      <x:c r="X1645" s="47" t="n">
        <x:v>13</x:v>
      </x:c>
      <x:c r="Y1645" s="41" t="n">
        <x:v>10</x:v>
      </x:c>
    </x:row>
    <x:row r="1646">
      <x:c r="A1646" s="38" t="str">
        <x:v>7月30日现场数据</x:v>
      </x:c>
      <x:c r="B1646" s="66" t="str">
        <x:v>2026-08-05T06:39:36.130000</x:v>
      </x:c>
      <x:c r="C1646" s="47" t="n">
        <x:v>300968</x:v>
      </x:c>
      <x:c r="D1646" s="47" t="str"/>
      <x:c r="E1646" s="47" t="str"/>
      <x:c r="F1646" s="47" t="str">
        <x:v>current</x:v>
      </x:c>
      <x:c r="G1646" s="47" t="n">
        <x:v>1642</x:v>
      </x:c>
      <x:c r="H1646" s="53" t="b">
        <x:v>1</x:v>
      </x:c>
      <x:c r="I1646" s="47" t="str">
        <x:v>4109905524</x:v>
      </x:c>
      <x:c r="J1646" s="47" t="n">
        <x:v>112901255</x:v>
      </x:c>
      <x:c r="K1646" s="53" t="b">
        <x:v>1</x:v>
      </x:c>
      <x:c r="L1646" s="53" t="b">
        <x:v>1</x:v>
      </x:c>
      <x:c r="M1646" s="53" t="b">
        <x:v>1</x:v>
      </x:c>
      <x:c r="N1646" s="53" t="b">
        <x:v>1</x:v>
      </x:c>
      <x:c r="O1646" s="53" t="b">
        <x:v>1</x:v>
      </x:c>
      <x:c r="P1646" s="47" t="n">
        <x:v>1010</x:v>
      </x:c>
      <x:c r="Q1646" s="47" t="n">
        <x:v>0</x:v>
      </x:c>
      <x:c r="R1646" s="47" t="n">
        <x:v>0</x:v>
      </x:c>
      <x:c r="S1646" s="47" t="n">
        <x:v>28.49</x:v>
      </x:c>
      <x:c r="T1646" s="47" t="n">
        <x:v>80.27</x:v>
      </x:c>
      <x:c r="U1646" s="47" t="n">
        <x:v>28.6</x:v>
      </x:c>
      <x:c r="V1646" s="47" t="n">
        <x:v>18.9</x:v>
      </x:c>
      <x:c r="W1646" s="47" t="n">
        <x:v>3</x:v>
      </x:c>
      <x:c r="X1646" s="47" t="n">
        <x:v>14</x:v>
      </x:c>
      <x:c r="Y1646" s="41" t="n">
        <x:v>11</x:v>
      </x:c>
    </x:row>
    <x:row r="1647">
      <x:c r="A1647" s="38" t="str">
        <x:v>7月30日现场数据</x:v>
      </x:c>
      <x:c r="B1647" s="66" t="str">
        <x:v>2026-08-05T06:44:37.099000</x:v>
      </x:c>
      <x:c r="C1647" s="47" t="n">
        <x:v>300969</x:v>
      </x:c>
      <x:c r="D1647" s="47" t="str"/>
      <x:c r="E1647" s="47" t="str"/>
      <x:c r="F1647" s="47" t="str">
        <x:v>current</x:v>
      </x:c>
      <x:c r="G1647" s="47" t="n">
        <x:v>1643</x:v>
      </x:c>
      <x:c r="H1647" s="53" t="b">
        <x:v>1</x:v>
      </x:c>
      <x:c r="I1647" s="47" t="str">
        <x:v>4109905524</x:v>
      </x:c>
      <x:c r="J1647" s="47" t="n">
        <x:v>113202224</x:v>
      </x:c>
      <x:c r="K1647" s="53" t="b">
        <x:v>1</x:v>
      </x:c>
      <x:c r="L1647" s="53" t="b">
        <x:v>1</x:v>
      </x:c>
      <x:c r="M1647" s="53" t="b">
        <x:v>1</x:v>
      </x:c>
      <x:c r="N1647" s="53" t="b">
        <x:v>1</x:v>
      </x:c>
      <x:c r="O1647" s="53" t="b">
        <x:v>1</x:v>
      </x:c>
      <x:c r="P1647" s="47" t="n">
        <x:v>1010</x:v>
      </x:c>
      <x:c r="Q1647" s="47" t="n">
        <x:v>0</x:v>
      </x:c>
      <x:c r="R1647" s="47" t="n">
        <x:v>0</x:v>
      </x:c>
      <x:c r="S1647" s="47" t="n">
        <x:v>28.57</x:v>
      </x:c>
      <x:c r="T1647" s="47" t="n">
        <x:v>80.38</x:v>
      </x:c>
      <x:c r="U1647" s="47" t="n">
        <x:v>28.6</x:v>
      </x:c>
      <x:c r="V1647" s="47" t="n">
        <x:v>18.9</x:v>
      </x:c>
      <x:c r="W1647" s="47" t="n">
        <x:v>3</x:v>
      </x:c>
      <x:c r="X1647" s="47" t="n">
        <x:v>16</x:v>
      </x:c>
      <x:c r="Y1647" s="41" t="n">
        <x:v>13</x:v>
      </x:c>
    </x:row>
    <x:row r="1648">
      <x:c r="A1648" s="38" t="str">
        <x:v>7月30日现场数据</x:v>
      </x:c>
      <x:c r="B1648" s="66" t="str">
        <x:v>2026-08-05T06:49:38.070000</x:v>
      </x:c>
      <x:c r="C1648" s="47" t="n">
        <x:v>300971</x:v>
      </x:c>
      <x:c r="D1648" s="47" t="str"/>
      <x:c r="E1648" s="47" t="str"/>
      <x:c r="F1648" s="47" t="str">
        <x:v>current</x:v>
      </x:c>
      <x:c r="G1648" s="47" t="n">
        <x:v>1644</x:v>
      </x:c>
      <x:c r="H1648" s="53" t="b">
        <x:v>1</x:v>
      </x:c>
      <x:c r="I1648" s="47" t="str">
        <x:v>4109905524</x:v>
      </x:c>
      <x:c r="J1648" s="47" t="n">
        <x:v>113503195</x:v>
      </x:c>
      <x:c r="K1648" s="53" t="b">
        <x:v>1</x:v>
      </x:c>
      <x:c r="L1648" s="53" t="b">
        <x:v>1</x:v>
      </x:c>
      <x:c r="M1648" s="53" t="b">
        <x:v>1</x:v>
      </x:c>
      <x:c r="N1648" s="53" t="b">
        <x:v>1</x:v>
      </x:c>
      <x:c r="O1648" s="53" t="b">
        <x:v>1</x:v>
      </x:c>
      <x:c r="P1648" s="47" t="n">
        <x:v>1010</x:v>
      </x:c>
      <x:c r="Q1648" s="47" t="n">
        <x:v>0</x:v>
      </x:c>
      <x:c r="R1648" s="47" t="n">
        <x:v>0</x:v>
      </x:c>
      <x:c r="S1648" s="47" t="n">
        <x:v>28.63</x:v>
      </x:c>
      <x:c r="T1648" s="47" t="n">
        <x:v>80.46</x:v>
      </x:c>
      <x:c r="U1648" s="47" t="n">
        <x:v>28.6</x:v>
      </x:c>
      <x:c r="V1648" s="47" t="n">
        <x:v>18.9</x:v>
      </x:c>
      <x:c r="W1648" s="47" t="n">
        <x:v>4</x:v>
      </x:c>
      <x:c r="X1648" s="47" t="n">
        <x:v>18</x:v>
      </x:c>
      <x:c r="Y1648" s="41" t="n">
        <x:v>14</x:v>
      </x:c>
    </x:row>
    <x:row r="1649">
      <x:c r="A1649" s="38" t="str">
        <x:v>7月30日现场数据</x:v>
      </x:c>
      <x:c r="B1649" s="66" t="str">
        <x:v>2026-08-05T06:54:39.044000</x:v>
      </x:c>
      <x:c r="C1649" s="47" t="n">
        <x:v>300974</x:v>
      </x:c>
      <x:c r="D1649" s="47" t="str"/>
      <x:c r="E1649" s="47" t="str"/>
      <x:c r="F1649" s="47" t="str">
        <x:v>current</x:v>
      </x:c>
      <x:c r="G1649" s="47" t="n">
        <x:v>1645</x:v>
      </x:c>
      <x:c r="H1649" s="53" t="b">
        <x:v>1</x:v>
      </x:c>
      <x:c r="I1649" s="47" t="str">
        <x:v>4109905524</x:v>
      </x:c>
      <x:c r="J1649" s="47" t="n">
        <x:v>113804169</x:v>
      </x:c>
      <x:c r="K1649" s="53" t="b">
        <x:v>1</x:v>
      </x:c>
      <x:c r="L1649" s="53" t="b">
        <x:v>1</x:v>
      </x:c>
      <x:c r="M1649" s="53" t="b">
        <x:v>1</x:v>
      </x:c>
      <x:c r="N1649" s="53" t="b">
        <x:v>1</x:v>
      </x:c>
      <x:c r="O1649" s="53" t="b">
        <x:v>1</x:v>
      </x:c>
      <x:c r="P1649" s="47" t="n">
        <x:v>1010</x:v>
      </x:c>
      <x:c r="Q1649" s="47" t="n">
        <x:v>0</x:v>
      </x:c>
      <x:c r="R1649" s="47" t="n">
        <x:v>0</x:v>
      </x:c>
      <x:c r="S1649" s="47" t="n">
        <x:v>28.71</x:v>
      </x:c>
      <x:c r="T1649" s="47" t="n">
        <x:v>80.59</x:v>
      </x:c>
      <x:c r="U1649" s="47" t="n">
        <x:v>28.7</x:v>
      </x:c>
      <x:c r="V1649" s="47" t="n">
        <x:v>18.9</x:v>
      </x:c>
      <x:c r="W1649" s="47" t="n">
        <x:v>4</x:v>
      </x:c>
      <x:c r="X1649" s="47" t="n">
        <x:v>19</x:v>
      </x:c>
      <x:c r="Y1649" s="41" t="n">
        <x:v>15</x:v>
      </x:c>
    </x:row>
    <x:row r="1650">
      <x:c r="A1650" s="38" t="str">
        <x:v>7月30日现场数据</x:v>
      </x:c>
      <x:c r="B1650" s="66" t="str">
        <x:v>2026-08-05T06:59:40.021000</x:v>
      </x:c>
      <x:c r="C1650" s="47" t="n">
        <x:v>300977</x:v>
      </x:c>
      <x:c r="D1650" s="47" t="str"/>
      <x:c r="E1650" s="47" t="str"/>
      <x:c r="F1650" s="47" t="str">
        <x:v>current</x:v>
      </x:c>
      <x:c r="G1650" s="47" t="n">
        <x:v>1646</x:v>
      </x:c>
      <x:c r="H1650" s="53" t="b">
        <x:v>1</x:v>
      </x:c>
      <x:c r="I1650" s="47" t="str">
        <x:v>4109905524</x:v>
      </x:c>
      <x:c r="J1650" s="47" t="n">
        <x:v>114105146</x:v>
      </x:c>
      <x:c r="K1650" s="53" t="b">
        <x:v>1</x:v>
      </x:c>
      <x:c r="L1650" s="53" t="b">
        <x:v>1</x:v>
      </x:c>
      <x:c r="M1650" s="53" t="b">
        <x:v>1</x:v>
      </x:c>
      <x:c r="N1650" s="53" t="b">
        <x:v>1</x:v>
      </x:c>
      <x:c r="O1650" s="53" t="b">
        <x:v>1</x:v>
      </x:c>
      <x:c r="P1650" s="47" t="n">
        <x:v>1010</x:v>
      </x:c>
      <x:c r="Q1650" s="47" t="n">
        <x:v>0</x:v>
      </x:c>
      <x:c r="R1650" s="47" t="n">
        <x:v>0</x:v>
      </x:c>
      <x:c r="S1650" s="47" t="n">
        <x:v>28.81</x:v>
      </x:c>
      <x:c r="T1650" s="47" t="n">
        <x:v>80.7</x:v>
      </x:c>
      <x:c r="U1650" s="47" t="n">
        <x:v>28.7</x:v>
      </x:c>
      <x:c r="V1650" s="47" t="n">
        <x:v>18.9</x:v>
      </x:c>
      <x:c r="W1650" s="47" t="n">
        <x:v>4</x:v>
      </x:c>
      <x:c r="X1650" s="47" t="n">
        <x:v>20</x:v>
      </x:c>
      <x:c r="Y1650" s="41" t="n">
        <x:v>16</x:v>
      </x:c>
    </x:row>
    <x:row r="1651">
      <x:c r="A1651" s="38" t="str">
        <x:v>7月30日现场数据</x:v>
      </x:c>
      <x:c r="B1651" s="66" t="str">
        <x:v>2026-08-05T07:04:40.998000</x:v>
      </x:c>
      <x:c r="C1651" s="47" t="n">
        <x:v>300977</x:v>
      </x:c>
      <x:c r="D1651" s="47" t="str"/>
      <x:c r="E1651" s="47" t="str"/>
      <x:c r="F1651" s="47" t="str">
        <x:v>current</x:v>
      </x:c>
      <x:c r="G1651" s="47" t="n">
        <x:v>1647</x:v>
      </x:c>
      <x:c r="H1651" s="53" t="b">
        <x:v>1</x:v>
      </x:c>
      <x:c r="I1651" s="47" t="str">
        <x:v>4109905524</x:v>
      </x:c>
      <x:c r="J1651" s="47" t="n">
        <x:v>114406123</x:v>
      </x:c>
      <x:c r="K1651" s="53" t="b">
        <x:v>1</x:v>
      </x:c>
      <x:c r="L1651" s="53" t="b">
        <x:v>1</x:v>
      </x:c>
      <x:c r="M1651" s="53" t="b">
        <x:v>1</x:v>
      </x:c>
      <x:c r="N1651" s="53" t="b">
        <x:v>1</x:v>
      </x:c>
      <x:c r="O1651" s="53" t="b">
        <x:v>1</x:v>
      </x:c>
      <x:c r="P1651" s="47" t="n">
        <x:v>1010</x:v>
      </x:c>
      <x:c r="Q1651" s="47" t="n">
        <x:v>0</x:v>
      </x:c>
      <x:c r="R1651" s="47" t="n">
        <x:v>0</x:v>
      </x:c>
      <x:c r="S1651" s="47" t="n">
        <x:v>28.88</x:v>
      </x:c>
      <x:c r="T1651" s="47" t="n">
        <x:v>80.89</x:v>
      </x:c>
      <x:c r="U1651" s="47" t="n">
        <x:v>28.7</x:v>
      </x:c>
      <x:c r="V1651" s="47" t="n">
        <x:v>18.9</x:v>
      </x:c>
      <x:c r="W1651" s="47" t="n">
        <x:v>4</x:v>
      </x:c>
      <x:c r="X1651" s="47" t="n">
        <x:v>21</x:v>
      </x:c>
      <x:c r="Y1651" s="41" t="n">
        <x:v>17</x:v>
      </x:c>
    </x:row>
    <x:row r="1652">
      <x:c r="A1652" s="38" t="str">
        <x:v>7月30日现场数据</x:v>
      </x:c>
      <x:c r="B1652" s="66" t="str">
        <x:v>2026-08-05T07:09:41.977000</x:v>
      </x:c>
      <x:c r="C1652" s="47" t="n">
        <x:v>300979</x:v>
      </x:c>
      <x:c r="D1652" s="47" t="str"/>
      <x:c r="E1652" s="47" t="str"/>
      <x:c r="F1652" s="47" t="str">
        <x:v>current</x:v>
      </x:c>
      <x:c r="G1652" s="47" t="n">
        <x:v>1648</x:v>
      </x:c>
      <x:c r="H1652" s="53" t="b">
        <x:v>1</x:v>
      </x:c>
      <x:c r="I1652" s="47" t="str">
        <x:v>4109905524</x:v>
      </x:c>
      <x:c r="J1652" s="47" t="n">
        <x:v>114707102</x:v>
      </x:c>
      <x:c r="K1652" s="53" t="b">
        <x:v>1</x:v>
      </x:c>
      <x:c r="L1652" s="53" t="b">
        <x:v>1</x:v>
      </x:c>
      <x:c r="M1652" s="53" t="b">
        <x:v>1</x:v>
      </x:c>
      <x:c r="N1652" s="53" t="b">
        <x:v>1</x:v>
      </x:c>
      <x:c r="O1652" s="53" t="b">
        <x:v>1</x:v>
      </x:c>
      <x:c r="P1652" s="47" t="n">
        <x:v>1010</x:v>
      </x:c>
      <x:c r="Q1652" s="47" t="n">
        <x:v>0</x:v>
      </x:c>
      <x:c r="R1652" s="47" t="n">
        <x:v>0</x:v>
      </x:c>
      <x:c r="S1652" s="47" t="n">
        <x:v>28.94</x:v>
      </x:c>
      <x:c r="T1652" s="47" t="n">
        <x:v>80.97</x:v>
      </x:c>
      <x:c r="U1652" s="47" t="n">
        <x:v>28.7</x:v>
      </x:c>
      <x:c r="V1652" s="47" t="n">
        <x:v>18.9</x:v>
      </x:c>
      <x:c r="W1652" s="47" t="n">
        <x:v>4</x:v>
      </x:c>
      <x:c r="X1652" s="47" t="n">
        <x:v>22</x:v>
      </x:c>
      <x:c r="Y1652" s="41" t="n">
        <x:v>18</x:v>
      </x:c>
    </x:row>
    <x:row r="1653">
      <x:c r="A1653" s="38" t="str">
        <x:v>7月30日现场数据</x:v>
      </x:c>
      <x:c r="B1653" s="66" t="str">
        <x:v>2026-08-05T07:14:42.958000</x:v>
      </x:c>
      <x:c r="C1653" s="47" t="n">
        <x:v>300981</x:v>
      </x:c>
      <x:c r="D1653" s="47" t="str"/>
      <x:c r="E1653" s="47" t="str"/>
      <x:c r="F1653" s="47" t="str">
        <x:v>current</x:v>
      </x:c>
      <x:c r="G1653" s="47" t="n">
        <x:v>1649</x:v>
      </x:c>
      <x:c r="H1653" s="53" t="b">
        <x:v>1</x:v>
      </x:c>
      <x:c r="I1653" s="47" t="str">
        <x:v>4109905524</x:v>
      </x:c>
      <x:c r="J1653" s="47" t="n">
        <x:v>115008083</x:v>
      </x:c>
      <x:c r="K1653" s="53" t="b">
        <x:v>1</x:v>
      </x:c>
      <x:c r="L1653" s="53" t="b">
        <x:v>1</x:v>
      </x:c>
      <x:c r="M1653" s="53" t="b">
        <x:v>1</x:v>
      </x:c>
      <x:c r="N1653" s="53" t="b">
        <x:v>1</x:v>
      </x:c>
      <x:c r="O1653" s="53" t="b">
        <x:v>1</x:v>
      </x:c>
      <x:c r="P1653" s="47" t="n">
        <x:v>1010</x:v>
      </x:c>
      <x:c r="Q1653" s="47" t="n">
        <x:v>0</x:v>
      </x:c>
      <x:c r="R1653" s="47" t="n">
        <x:v>0</x:v>
      </x:c>
      <x:c r="S1653" s="47" t="n">
        <x:v>29</x:v>
      </x:c>
      <x:c r="T1653" s="47" t="n">
        <x:v>81.13</x:v>
      </x:c>
      <x:c r="U1653" s="47" t="n">
        <x:v>28.7</x:v>
      </x:c>
      <x:c r="V1653" s="47" t="n">
        <x:v>18.8</x:v>
      </x:c>
      <x:c r="W1653" s="47" t="n">
        <x:v>5</x:v>
      </x:c>
      <x:c r="X1653" s="47" t="n">
        <x:v>25</x:v>
      </x:c>
      <x:c r="Y1653" s="41" t="n">
        <x:v>20</x:v>
      </x:c>
    </x:row>
    <x:row r="1654">
      <x:c r="A1654" s="38" t="str">
        <x:v>7月30日现场数据</x:v>
      </x:c>
      <x:c r="B1654" s="66" t="str">
        <x:v>2026-08-05T07:19:43.939000</x:v>
      </x:c>
      <x:c r="C1654" s="47" t="n">
        <x:v>300981</x:v>
      </x:c>
      <x:c r="D1654" s="47" t="str"/>
      <x:c r="E1654" s="47" t="str"/>
      <x:c r="F1654" s="47" t="str">
        <x:v>current</x:v>
      </x:c>
      <x:c r="G1654" s="47" t="n">
        <x:v>1650</x:v>
      </x:c>
      <x:c r="H1654" s="53" t="b">
        <x:v>1</x:v>
      </x:c>
      <x:c r="I1654" s="47" t="str">
        <x:v>4109905524</x:v>
      </x:c>
      <x:c r="J1654" s="47" t="n">
        <x:v>115309064</x:v>
      </x:c>
      <x:c r="K1654" s="53" t="b">
        <x:v>1</x:v>
      </x:c>
      <x:c r="L1654" s="53" t="b">
        <x:v>1</x:v>
      </x:c>
      <x:c r="M1654" s="53" t="b">
        <x:v>1</x:v>
      </x:c>
      <x:c r="N1654" s="53" t="b">
        <x:v>1</x:v>
      </x:c>
      <x:c r="O1654" s="53" t="b">
        <x:v>1</x:v>
      </x:c>
      <x:c r="P1654" s="47" t="n">
        <x:v>1010</x:v>
      </x:c>
      <x:c r="Q1654" s="47" t="n">
        <x:v>0</x:v>
      </x:c>
      <x:c r="R1654" s="47" t="n">
        <x:v>0</x:v>
      </x:c>
      <x:c r="S1654" s="47" t="n">
        <x:v>29.13</x:v>
      </x:c>
      <x:c r="T1654" s="47" t="n">
        <x:v>81.24</x:v>
      </x:c>
      <x:c r="U1654" s="47" t="n">
        <x:v>28.7</x:v>
      </x:c>
      <x:c r="V1654" s="47" t="n">
        <x:v>18.9</x:v>
      </x:c>
      <x:c r="W1654" s="47" t="n">
        <x:v>7</x:v>
      </x:c>
      <x:c r="X1654" s="47" t="n">
        <x:v>33</x:v>
      </x:c>
      <x:c r="Y1654" s="41" t="n">
        <x:v>26</x:v>
      </x:c>
    </x:row>
    <x:row r="1655">
      <x:c r="A1655" s="38" t="str">
        <x:v>7月30日现场数据</x:v>
      </x:c>
      <x:c r="B1655" s="66" t="str">
        <x:v>2026-08-05T07:24:44.923000</x:v>
      </x:c>
      <x:c r="C1655" s="47" t="n">
        <x:v>300984</x:v>
      </x:c>
      <x:c r="D1655" s="47" t="str"/>
      <x:c r="E1655" s="47" t="str"/>
      <x:c r="F1655" s="47" t="str">
        <x:v>current</x:v>
      </x:c>
      <x:c r="G1655" s="47" t="n">
        <x:v>1651</x:v>
      </x:c>
      <x:c r="H1655" s="53" t="b">
        <x:v>1</x:v>
      </x:c>
      <x:c r="I1655" s="47" t="str">
        <x:v>4109905524</x:v>
      </x:c>
      <x:c r="J1655" s="47" t="n">
        <x:v>115610048</x:v>
      </x:c>
      <x:c r="K1655" s="53" t="b">
        <x:v>1</x:v>
      </x:c>
      <x:c r="L1655" s="53" t="b">
        <x:v>1</x:v>
      </x:c>
      <x:c r="M1655" s="53" t="b">
        <x:v>1</x:v>
      </x:c>
      <x:c r="N1655" s="53" t="b">
        <x:v>1</x:v>
      </x:c>
      <x:c r="O1655" s="53" t="b">
        <x:v>1</x:v>
      </x:c>
      <x:c r="P1655" s="47" t="n">
        <x:v>1010</x:v>
      </x:c>
      <x:c r="Q1655" s="47" t="n">
        <x:v>0.004</x:v>
      </x:c>
      <x:c r="R1655" s="47" t="n">
        <x:v>0.099</x:v>
      </x:c>
      <x:c r="S1655" s="47" t="n">
        <x:v>29.3</x:v>
      </x:c>
      <x:c r="T1655" s="47" t="n">
        <x:v>81.41</x:v>
      </x:c>
      <x:c r="U1655" s="47" t="n">
        <x:v>28.8</x:v>
      </x:c>
      <x:c r="V1655" s="47" t="n">
        <x:v>18.9</x:v>
      </x:c>
      <x:c r="W1655" s="47" t="n">
        <x:v>8</x:v>
      </x:c>
      <x:c r="X1655" s="47" t="n">
        <x:v>39</x:v>
      </x:c>
      <x:c r="Y1655" s="41" t="n">
        <x:v>31</x:v>
      </x:c>
    </x:row>
    <x:row r="1656">
      <x:c r="A1656" s="38" t="str">
        <x:v>7月30日现场数据</x:v>
      </x:c>
      <x:c r="B1656" s="66" t="str">
        <x:v>2026-08-05T07:29:45.909000</x:v>
      </x:c>
      <x:c r="C1656" s="47" t="n">
        <x:v>300986</x:v>
      </x:c>
      <x:c r="D1656" s="47" t="str"/>
      <x:c r="E1656" s="47" t="str"/>
      <x:c r="F1656" s="47" t="str">
        <x:v>current</x:v>
      </x:c>
      <x:c r="G1656" s="47" t="n">
        <x:v>1652</x:v>
      </x:c>
      <x:c r="H1656" s="53" t="b">
        <x:v>1</x:v>
      </x:c>
      <x:c r="I1656" s="47" t="str">
        <x:v>4109905524</x:v>
      </x:c>
      <x:c r="J1656" s="47" t="n">
        <x:v>115911034</x:v>
      </x:c>
      <x:c r="K1656" s="53" t="b">
        <x:v>1</x:v>
      </x:c>
      <x:c r="L1656" s="53" t="b">
        <x:v>1</x:v>
      </x:c>
      <x:c r="M1656" s="53" t="b">
        <x:v>1</x:v>
      </x:c>
      <x:c r="N1656" s="53" t="b">
        <x:v>1</x:v>
      </x:c>
      <x:c r="O1656" s="53" t="b">
        <x:v>1</x:v>
      </x:c>
      <x:c r="P1656" s="47" t="n">
        <x:v>1010</x:v>
      </x:c>
      <x:c r="Q1656" s="47" t="n">
        <x:v>0</x:v>
      </x:c>
      <x:c r="R1656" s="47" t="n">
        <x:v>0</x:v>
      </x:c>
      <x:c r="S1656" s="47" t="n">
        <x:v>29.45</x:v>
      </x:c>
      <x:c r="T1656" s="47" t="n">
        <x:v>81.6</x:v>
      </x:c>
      <x:c r="U1656" s="47" t="n">
        <x:v>28.8</x:v>
      </x:c>
      <x:c r="V1656" s="47" t="n">
        <x:v>18.9</x:v>
      </x:c>
      <x:c r="W1656" s="47" t="n">
        <x:v>10</x:v>
      </x:c>
      <x:c r="X1656" s="47" t="n">
        <x:v>49</x:v>
      </x:c>
      <x:c r="Y1656" s="41" t="n">
        <x:v>39</x:v>
      </x:c>
    </x:row>
    <x:row r="1657">
      <x:c r="A1657" s="38" t="str">
        <x:v>7月30日现场数据</x:v>
      </x:c>
      <x:c r="B1657" s="66" t="str">
        <x:v>2026-08-05T07:34:46.896000</x:v>
      </x:c>
      <x:c r="C1657" s="47" t="n">
        <x:v>300987</x:v>
      </x:c>
      <x:c r="D1657" s="47" t="str"/>
      <x:c r="E1657" s="47" t="str"/>
      <x:c r="F1657" s="47" t="str">
        <x:v>current</x:v>
      </x:c>
      <x:c r="G1657" s="47" t="n">
        <x:v>1653</x:v>
      </x:c>
      <x:c r="H1657" s="53" t="b">
        <x:v>1</x:v>
      </x:c>
      <x:c r="I1657" s="47" t="str">
        <x:v>4109905524</x:v>
      </x:c>
      <x:c r="J1657" s="47" t="n">
        <x:v>116212021</x:v>
      </x:c>
      <x:c r="K1657" s="53" t="b">
        <x:v>1</x:v>
      </x:c>
      <x:c r="L1657" s="53" t="b">
        <x:v>1</x:v>
      </x:c>
      <x:c r="M1657" s="53" t="b">
        <x:v>1</x:v>
      </x:c>
      <x:c r="N1657" s="53" t="b">
        <x:v>1</x:v>
      </x:c>
      <x:c r="O1657" s="53" t="b">
        <x:v>1</x:v>
      </x:c>
      <x:c r="P1657" s="47" t="n">
        <x:v>1010</x:v>
      </x:c>
      <x:c r="Q1657" s="47" t="n">
        <x:v>0</x:v>
      </x:c>
      <x:c r="R1657" s="47" t="n">
        <x:v>0</x:v>
      </x:c>
      <x:c r="S1657" s="47" t="n">
        <x:v>29.68</x:v>
      </x:c>
      <x:c r="T1657" s="47" t="n">
        <x:v>81.73</x:v>
      </x:c>
      <x:c r="U1657" s="47" t="n">
        <x:v>28.8</x:v>
      </x:c>
      <x:c r="V1657" s="47" t="n">
        <x:v>18.8</x:v>
      </x:c>
      <x:c r="W1657" s="47" t="n">
        <x:v>12</x:v>
      </x:c>
      <x:c r="X1657" s="47" t="n">
        <x:v>61</x:v>
      </x:c>
      <x:c r="Y1657" s="41" t="n">
        <x:v>49</x:v>
      </x:c>
    </x:row>
    <x:row r="1658">
      <x:c r="A1658" s="38" t="str">
        <x:v>7月30日现场数据</x:v>
      </x:c>
      <x:c r="B1658" s="66" t="str">
        <x:v>2026-08-05T07:39:47.917000</x:v>
      </x:c>
      <x:c r="C1658" s="47" t="n">
        <x:v>301021</x:v>
      </x:c>
      <x:c r="D1658" s="47" t="str"/>
      <x:c r="E1658" s="47" t="str"/>
      <x:c r="F1658" s="47" t="str">
        <x:v>current</x:v>
      </x:c>
      <x:c r="G1658" s="47" t="n">
        <x:v>1654</x:v>
      </x:c>
      <x:c r="H1658" s="53" t="b">
        <x:v>1</x:v>
      </x:c>
      <x:c r="I1658" s="47" t="str">
        <x:v>4109905524</x:v>
      </x:c>
      <x:c r="J1658" s="47" t="n">
        <x:v>116513042</x:v>
      </x:c>
      <x:c r="K1658" s="53" t="b">
        <x:v>1</x:v>
      </x:c>
      <x:c r="L1658" s="53" t="b">
        <x:v>1</x:v>
      </x:c>
      <x:c r="M1658" s="53" t="b">
        <x:v>1</x:v>
      </x:c>
      <x:c r="N1658" s="53" t="b">
        <x:v>1</x:v>
      </x:c>
      <x:c r="O1658" s="53" t="b">
        <x:v>1</x:v>
      </x:c>
      <x:c r="P1658" s="47" t="n">
        <x:v>1010</x:v>
      </x:c>
      <x:c r="Q1658" s="47" t="n">
        <x:v>0</x:v>
      </x:c>
      <x:c r="R1658" s="47" t="n">
        <x:v>0</x:v>
      </x:c>
      <x:c r="S1658" s="47" t="n">
        <x:v>29.9</x:v>
      </x:c>
      <x:c r="T1658" s="47" t="n">
        <x:v>81.84</x:v>
      </x:c>
      <x:c r="U1658" s="47" t="n">
        <x:v>28.9</x:v>
      </x:c>
      <x:c r="V1658" s="47" t="n">
        <x:v>18.8</x:v>
      </x:c>
      <x:c r="W1658" s="47" t="n">
        <x:v>15</x:v>
      </x:c>
      <x:c r="X1658" s="47" t="n">
        <x:v>69</x:v>
      </x:c>
      <x:c r="Y1658" s="41" t="n">
        <x:v>54</x:v>
      </x:c>
    </x:row>
    <x:row r="1659">
      <x:c r="A1659" s="38" t="str">
        <x:v>7月30日现场数据</x:v>
      </x:c>
      <x:c r="B1659" s="66" t="str">
        <x:v>2026-08-05T07:44:48.880000</x:v>
      </x:c>
      <x:c r="C1659" s="47" t="n">
        <x:v>300963</x:v>
      </x:c>
      <x:c r="D1659" s="47" t="str"/>
      <x:c r="E1659" s="47" t="str"/>
      <x:c r="F1659" s="47" t="str">
        <x:v>current</x:v>
      </x:c>
      <x:c r="G1659" s="47" t="n">
        <x:v>1655</x:v>
      </x:c>
      <x:c r="H1659" s="53" t="b">
        <x:v>1</x:v>
      </x:c>
      <x:c r="I1659" s="47" t="str">
        <x:v>4109905524</x:v>
      </x:c>
      <x:c r="J1659" s="47" t="n">
        <x:v>116814005</x:v>
      </x:c>
      <x:c r="K1659" s="53" t="b">
        <x:v>1</x:v>
      </x:c>
      <x:c r="L1659" s="53" t="b">
        <x:v>1</x:v>
      </x:c>
      <x:c r="M1659" s="53" t="b">
        <x:v>1</x:v>
      </x:c>
      <x:c r="N1659" s="53" t="b">
        <x:v>1</x:v>
      </x:c>
      <x:c r="O1659" s="53" t="b">
        <x:v>1</x:v>
      </x:c>
      <x:c r="P1659" s="47" t="n">
        <x:v>1010</x:v>
      </x:c>
      <x:c r="Q1659" s="47" t="n">
        <x:v>0</x:v>
      </x:c>
      <x:c r="R1659" s="47" t="n">
        <x:v>0</x:v>
      </x:c>
      <x:c r="S1659" s="47" t="n">
        <x:v>30.14</x:v>
      </x:c>
      <x:c r="T1659" s="47" t="n">
        <x:v>82.03</x:v>
      </x:c>
      <x:c r="U1659" s="47" t="n">
        <x:v>28.9</x:v>
      </x:c>
      <x:c r="V1659" s="47" t="n">
        <x:v>18.8</x:v>
      </x:c>
      <x:c r="W1659" s="47" t="n">
        <x:v>16</x:v>
      </x:c>
      <x:c r="X1659" s="47" t="n">
        <x:v>74</x:v>
      </x:c>
      <x:c r="Y1659" s="41" t="n">
        <x:v>58</x:v>
      </x:c>
    </x:row>
    <x:row r="1660">
      <x:c r="A1660" s="38" t="str">
        <x:v>7月30日现场数据</x:v>
      </x:c>
      <x:c r="B1660" s="66" t="str">
        <x:v>2026-08-05T07:49:49.846000</x:v>
      </x:c>
      <x:c r="C1660" s="47" t="n">
        <x:v>300966</x:v>
      </x:c>
      <x:c r="D1660" s="47" t="str"/>
      <x:c r="E1660" s="47" t="str"/>
      <x:c r="F1660" s="47" t="str">
        <x:v>current</x:v>
      </x:c>
      <x:c r="G1660" s="47" t="n">
        <x:v>1656</x:v>
      </x:c>
      <x:c r="H1660" s="53" t="b">
        <x:v>1</x:v>
      </x:c>
      <x:c r="I1660" s="47" t="str">
        <x:v>4109905524</x:v>
      </x:c>
      <x:c r="J1660" s="47" t="n">
        <x:v>117114971</x:v>
      </x:c>
      <x:c r="K1660" s="53" t="b">
        <x:v>1</x:v>
      </x:c>
      <x:c r="L1660" s="53" t="b">
        <x:v>1</x:v>
      </x:c>
      <x:c r="M1660" s="53" t="b">
        <x:v>1</x:v>
      </x:c>
      <x:c r="N1660" s="53" t="b">
        <x:v>1</x:v>
      </x:c>
      <x:c r="O1660" s="53" t="b">
        <x:v>1</x:v>
      </x:c>
      <x:c r="P1660" s="47" t="n">
        <x:v>1010</x:v>
      </x:c>
      <x:c r="Q1660" s="47" t="n">
        <x:v>0</x:v>
      </x:c>
      <x:c r="R1660" s="47" t="n">
        <x:v>0</x:v>
      </x:c>
      <x:c r="S1660" s="47" t="n">
        <x:v>30.4</x:v>
      </x:c>
      <x:c r="T1660" s="47" t="n">
        <x:v>82.17</x:v>
      </x:c>
      <x:c r="U1660" s="47" t="n">
        <x:v>28.9</x:v>
      </x:c>
      <x:c r="V1660" s="47" t="n">
        <x:v>18.8</x:v>
      </x:c>
      <x:c r="W1660" s="47" t="n">
        <x:v>19</x:v>
      </x:c>
      <x:c r="X1660" s="47" t="n">
        <x:v>89</x:v>
      </x:c>
      <x:c r="Y1660" s="41" t="n">
        <x:v>70</x:v>
      </x:c>
    </x:row>
    <x:row r="1661">
      <x:c r="A1661" s="38" t="str">
        <x:v>7月30日现场数据</x:v>
      </x:c>
      <x:c r="B1661" s="66" t="str">
        <x:v>2026-08-05T07:54:50.815000</x:v>
      </x:c>
      <x:c r="C1661" s="47" t="n">
        <x:v>300969</x:v>
      </x:c>
      <x:c r="D1661" s="47" t="str"/>
      <x:c r="E1661" s="47" t="str"/>
      <x:c r="F1661" s="47" t="str">
        <x:v>current</x:v>
      </x:c>
      <x:c r="G1661" s="47" t="n">
        <x:v>1657</x:v>
      </x:c>
      <x:c r="H1661" s="53" t="b">
        <x:v>1</x:v>
      </x:c>
      <x:c r="I1661" s="47" t="str">
        <x:v>4109905524</x:v>
      </x:c>
      <x:c r="J1661" s="47" t="n">
        <x:v>117415940</x:v>
      </x:c>
      <x:c r="K1661" s="53" t="b">
        <x:v>1</x:v>
      </x:c>
      <x:c r="L1661" s="53" t="b">
        <x:v>1</x:v>
      </x:c>
      <x:c r="M1661" s="53" t="b">
        <x:v>1</x:v>
      </x:c>
      <x:c r="N1661" s="53" t="b">
        <x:v>1</x:v>
      </x:c>
      <x:c r="O1661" s="53" t="b">
        <x:v>1</x:v>
      </x:c>
      <x:c r="P1661" s="47" t="n">
        <x:v>1010</x:v>
      </x:c>
      <x:c r="Q1661" s="47" t="n">
        <x:v>0.006</x:v>
      </x:c>
      <x:c r="R1661" s="47" t="n">
        <x:v>0.165</x:v>
      </x:c>
      <x:c r="S1661" s="47" t="n">
        <x:v>30.72</x:v>
      </x:c>
      <x:c r="T1661" s="47" t="n">
        <x:v>82.36</x:v>
      </x:c>
      <x:c r="U1661" s="47" t="n">
        <x:v>29</x:v>
      </x:c>
      <x:c r="V1661" s="47" t="n">
        <x:v>18.8</x:v>
      </x:c>
      <x:c r="W1661" s="47" t="n">
        <x:v>19</x:v>
      </x:c>
      <x:c r="X1661" s="47" t="n">
        <x:v>96</x:v>
      </x:c>
      <x:c r="Y1661" s="41" t="n">
        <x:v>77</x:v>
      </x:c>
    </x:row>
    <x:row r="1662">
      <x:c r="A1662" s="38" t="str">
        <x:v>7月30日现场数据</x:v>
      </x:c>
      <x:c r="B1662" s="66" t="str">
        <x:v>2026-08-05T07:59:51.784000</x:v>
      </x:c>
      <x:c r="C1662" s="47" t="n">
        <x:v>300969</x:v>
      </x:c>
      <x:c r="D1662" s="47" t="str"/>
      <x:c r="E1662" s="47" t="str"/>
      <x:c r="F1662" s="47" t="str">
        <x:v>current</x:v>
      </x:c>
      <x:c r="G1662" s="47" t="n">
        <x:v>1658</x:v>
      </x:c>
      <x:c r="H1662" s="53" t="b">
        <x:v>1</x:v>
      </x:c>
      <x:c r="I1662" s="47" t="str">
        <x:v>4109905524</x:v>
      </x:c>
      <x:c r="J1662" s="47" t="n">
        <x:v>117716909</x:v>
      </x:c>
      <x:c r="K1662" s="53" t="b">
        <x:v>1</x:v>
      </x:c>
      <x:c r="L1662" s="53" t="b">
        <x:v>1</x:v>
      </x:c>
      <x:c r="M1662" s="53" t="b">
        <x:v>1</x:v>
      </x:c>
      <x:c r="N1662" s="53" t="b">
        <x:v>1</x:v>
      </x:c>
      <x:c r="O1662" s="53" t="b">
        <x:v>1</x:v>
      </x:c>
      <x:c r="P1662" s="47" t="n">
        <x:v>1010</x:v>
      </x:c>
      <x:c r="Q1662" s="47" t="n">
        <x:v>0</x:v>
      </x:c>
      <x:c r="R1662" s="47" t="n">
        <x:v>0</x:v>
      </x:c>
      <x:c r="S1662" s="47" t="n">
        <x:v>30.93</x:v>
      </x:c>
      <x:c r="T1662" s="47" t="n">
        <x:v>82.56</x:v>
      </x:c>
      <x:c r="U1662" s="47" t="n">
        <x:v>29</x:v>
      </x:c>
      <x:c r="V1662" s="47" t="n">
        <x:v>18.8</x:v>
      </x:c>
      <x:c r="W1662" s="47" t="n">
        <x:v>20</x:v>
      </x:c>
      <x:c r="X1662" s="47" t="n">
        <x:v>104</x:v>
      </x:c>
      <x:c r="Y1662" s="41" t="n">
        <x:v>84</x:v>
      </x:c>
    </x:row>
    <x:row r="1663">
      <x:c r="A1663" s="38" t="str">
        <x:v>7月30日现场数据</x:v>
      </x:c>
      <x:c r="B1663" s="66" t="str">
        <x:v>2026-08-05T08:04:52.756000</x:v>
      </x:c>
      <x:c r="C1663" s="47" t="n">
        <x:v>300972</x:v>
      </x:c>
      <x:c r="D1663" s="47" t="str"/>
      <x:c r="E1663" s="47" t="str"/>
      <x:c r="F1663" s="47" t="str">
        <x:v>current</x:v>
      </x:c>
      <x:c r="G1663" s="47" t="n">
        <x:v>1659</x:v>
      </x:c>
      <x:c r="H1663" s="53" t="b">
        <x:v>1</x:v>
      </x:c>
      <x:c r="I1663" s="47" t="str">
        <x:v>4109905524</x:v>
      </x:c>
      <x:c r="J1663" s="47" t="n">
        <x:v>118017881</x:v>
      </x:c>
      <x:c r="K1663" s="53" t="b">
        <x:v>1</x:v>
      </x:c>
      <x:c r="L1663" s="53" t="b">
        <x:v>1</x:v>
      </x:c>
      <x:c r="M1663" s="53" t="b">
        <x:v>1</x:v>
      </x:c>
      <x:c r="N1663" s="53" t="b">
        <x:v>1</x:v>
      </x:c>
      <x:c r="O1663" s="53" t="b">
        <x:v>1</x:v>
      </x:c>
      <x:c r="P1663" s="47" t="n">
        <x:v>1010</x:v>
      </x:c>
      <x:c r="Q1663" s="47" t="n">
        <x:v>0</x:v>
      </x:c>
      <x:c r="R1663" s="47" t="n">
        <x:v>0</x:v>
      </x:c>
      <x:c r="S1663" s="47" t="n">
        <x:v>31.11</x:v>
      </x:c>
      <x:c r="T1663" s="47" t="n">
        <x:v>82.72</x:v>
      </x:c>
      <x:c r="U1663" s="47" t="n">
        <x:v>29.1</x:v>
      </x:c>
      <x:c r="V1663" s="47" t="n">
        <x:v>18.8</x:v>
      </x:c>
      <x:c r="W1663" s="47" t="n">
        <x:v>21</x:v>
      </x:c>
      <x:c r="X1663" s="47" t="n">
        <x:v>108</x:v>
      </x:c>
      <x:c r="Y1663" s="41" t="n">
        <x:v>87</x:v>
      </x:c>
    </x:row>
    <x:row r="1664">
      <x:c r="A1664" s="38" t="str">
        <x:v>7月30日现场数据</x:v>
      </x:c>
      <x:c r="B1664" s="66" t="str">
        <x:v>2026-08-05T08:09:53.730000</x:v>
      </x:c>
      <x:c r="C1664" s="47" t="n">
        <x:v>300974</x:v>
      </x:c>
      <x:c r="D1664" s="47" t="str"/>
      <x:c r="E1664" s="47" t="str"/>
      <x:c r="F1664" s="47" t="str">
        <x:v>current</x:v>
      </x:c>
      <x:c r="G1664" s="47" t="n">
        <x:v>1660</x:v>
      </x:c>
      <x:c r="H1664" s="53" t="b">
        <x:v>1</x:v>
      </x:c>
      <x:c r="I1664" s="47" t="str">
        <x:v>4109905524</x:v>
      </x:c>
      <x:c r="J1664" s="47" t="n">
        <x:v>118318855</x:v>
      </x:c>
      <x:c r="K1664" s="53" t="b">
        <x:v>1</x:v>
      </x:c>
      <x:c r="L1664" s="53" t="b">
        <x:v>1</x:v>
      </x:c>
      <x:c r="M1664" s="53" t="b">
        <x:v>1</x:v>
      </x:c>
      <x:c r="N1664" s="53" t="b">
        <x:v>1</x:v>
      </x:c>
      <x:c r="O1664" s="53" t="b">
        <x:v>1</x:v>
      </x:c>
      <x:c r="P1664" s="47" t="n">
        <x:v>1010</x:v>
      </x:c>
      <x:c r="Q1664" s="47" t="n">
        <x:v>0.043</x:v>
      </x:c>
      <x:c r="R1664" s="47" t="n">
        <x:v>1.154</x:v>
      </x:c>
      <x:c r="S1664" s="47" t="n">
        <x:v>31.26</x:v>
      </x:c>
      <x:c r="T1664" s="47" t="n">
        <x:v>82.84</x:v>
      </x:c>
      <x:c r="U1664" s="47" t="n">
        <x:v>29.1</x:v>
      </x:c>
      <x:c r="V1664" s="47" t="n">
        <x:v>18.8</x:v>
      </x:c>
      <x:c r="W1664" s="47" t="n">
        <x:v>18</x:v>
      </x:c>
      <x:c r="X1664" s="47" t="n">
        <x:v>87</x:v>
      </x:c>
      <x:c r="Y1664" s="41" t="n">
        <x:v>69</x:v>
      </x:c>
    </x:row>
    <x:row r="1665">
      <x:c r="A1665" s="38" t="str">
        <x:v>7月30日现场数据</x:v>
      </x:c>
      <x:c r="B1665" s="66" t="str">
        <x:v>2026-08-05T08:14:54.707000</x:v>
      </x:c>
      <x:c r="C1665" s="47" t="n">
        <x:v>300977</x:v>
      </x:c>
      <x:c r="D1665" s="47" t="str"/>
      <x:c r="E1665" s="47" t="str"/>
      <x:c r="F1665" s="47" t="str">
        <x:v>current</x:v>
      </x:c>
      <x:c r="G1665" s="47" t="n">
        <x:v>1661</x:v>
      </x:c>
      <x:c r="H1665" s="53" t="b">
        <x:v>1</x:v>
      </x:c>
      <x:c r="I1665" s="47" t="str">
        <x:v>4109905524</x:v>
      </x:c>
      <x:c r="J1665" s="47" t="n">
        <x:v>118619832</x:v>
      </x:c>
      <x:c r="K1665" s="53" t="b">
        <x:v>1</x:v>
      </x:c>
      <x:c r="L1665" s="53" t="b">
        <x:v>1</x:v>
      </x:c>
      <x:c r="M1665" s="53" t="b">
        <x:v>1</x:v>
      </x:c>
      <x:c r="N1665" s="53" t="b">
        <x:v>1</x:v>
      </x:c>
      <x:c r="O1665" s="53" t="b">
        <x:v>1</x:v>
      </x:c>
      <x:c r="P1665" s="47" t="n">
        <x:v>1010</x:v>
      </x:c>
      <x:c r="Q1665" s="47" t="n">
        <x:v>0</x:v>
      </x:c>
      <x:c r="R1665" s="47" t="n">
        <x:v>0</x:v>
      </x:c>
      <x:c r="S1665" s="47" t="n">
        <x:v>31.23</x:v>
      </x:c>
      <x:c r="T1665" s="47" t="n">
        <x:v>82.99</x:v>
      </x:c>
      <x:c r="U1665" s="47" t="n">
        <x:v>29.1</x:v>
      </x:c>
      <x:c r="V1665" s="47" t="n">
        <x:v>18.8</x:v>
      </x:c>
      <x:c r="W1665" s="47" t="n">
        <x:v>20</x:v>
      </x:c>
      <x:c r="X1665" s="47" t="n">
        <x:v>101</x:v>
      </x:c>
      <x:c r="Y1665" s="41" t="n">
        <x:v>81</x:v>
      </x:c>
    </x:row>
    <x:row r="1666">
      <x:c r="A1666" s="38" t="str">
        <x:v>7月30日现场数据</x:v>
      </x:c>
      <x:c r="B1666" s="66" t="str">
        <x:v>2026-08-05T08:19:55.685000</x:v>
      </x:c>
      <x:c r="C1666" s="47" t="n">
        <x:v>300978</x:v>
      </x:c>
      <x:c r="D1666" s="47" t="str"/>
      <x:c r="E1666" s="47" t="str"/>
      <x:c r="F1666" s="47" t="str">
        <x:v>current</x:v>
      </x:c>
      <x:c r="G1666" s="47" t="n">
        <x:v>1662</x:v>
      </x:c>
      <x:c r="H1666" s="53" t="b">
        <x:v>1</x:v>
      </x:c>
      <x:c r="I1666" s="47" t="str">
        <x:v>4109905524</x:v>
      </x:c>
      <x:c r="J1666" s="47" t="n">
        <x:v>118920810</x:v>
      </x:c>
      <x:c r="K1666" s="53" t="b">
        <x:v>1</x:v>
      </x:c>
      <x:c r="L1666" s="53" t="b">
        <x:v>1</x:v>
      </x:c>
      <x:c r="M1666" s="53" t="b">
        <x:v>1</x:v>
      </x:c>
      <x:c r="N1666" s="53" t="b">
        <x:v>1</x:v>
      </x:c>
      <x:c r="O1666" s="53" t="b">
        <x:v>1</x:v>
      </x:c>
      <x:c r="P1666" s="47" t="n">
        <x:v>1010</x:v>
      </x:c>
      <x:c r="Q1666" s="47" t="n">
        <x:v>0</x:v>
      </x:c>
      <x:c r="R1666" s="47" t="n">
        <x:v>0</x:v>
      </x:c>
      <x:c r="S1666" s="47" t="n">
        <x:v>31.51</x:v>
      </x:c>
      <x:c r="T1666" s="47" t="n">
        <x:v>83.12</x:v>
      </x:c>
      <x:c r="U1666" s="47" t="n">
        <x:v>29.2</x:v>
      </x:c>
      <x:c r="V1666" s="47" t="n">
        <x:v>18.8</x:v>
      </x:c>
      <x:c r="W1666" s="47" t="n">
        <x:v>28</x:v>
      </x:c>
      <x:c r="X1666" s="47" t="n">
        <x:v>142</x:v>
      </x:c>
      <x:c r="Y1666" s="41" t="n">
        <x:v>114</x:v>
      </x:c>
    </x:row>
    <x:row r="1667">
      <x:c r="A1667" s="38" t="str">
        <x:v>7月30日现场数据</x:v>
      </x:c>
      <x:c r="B1667" s="66" t="str">
        <x:v>2026-08-05T08:24:56.664000</x:v>
      </x:c>
      <x:c r="C1667" s="47" t="n">
        <x:v>300979</x:v>
      </x:c>
      <x:c r="D1667" s="47" t="str"/>
      <x:c r="E1667" s="47" t="str"/>
      <x:c r="F1667" s="47" t="str">
        <x:v>current</x:v>
      </x:c>
      <x:c r="G1667" s="47" t="n">
        <x:v>1663</x:v>
      </x:c>
      <x:c r="H1667" s="53" t="b">
        <x:v>1</x:v>
      </x:c>
      <x:c r="I1667" s="47" t="str">
        <x:v>4109905524</x:v>
      </x:c>
      <x:c r="J1667" s="47" t="n">
        <x:v>119221789</x:v>
      </x:c>
      <x:c r="K1667" s="53" t="b">
        <x:v>1</x:v>
      </x:c>
      <x:c r="L1667" s="53" t="b">
        <x:v>1</x:v>
      </x:c>
      <x:c r="M1667" s="53" t="b">
        <x:v>1</x:v>
      </x:c>
      <x:c r="N1667" s="53" t="b">
        <x:v>1</x:v>
      </x:c>
      <x:c r="O1667" s="53" t="b">
        <x:v>1</x:v>
      </x:c>
      <x:c r="P1667" s="47" t="n">
        <x:v>1010</x:v>
      </x:c>
      <x:c r="Q1667" s="47" t="n">
        <x:v>0</x:v>
      </x:c>
      <x:c r="R1667" s="47" t="n">
        <x:v>0</x:v>
      </x:c>
      <x:c r="S1667" s="47" t="n">
        <x:v>31.78</x:v>
      </x:c>
      <x:c r="T1667" s="47" t="n">
        <x:v>83.24</x:v>
      </x:c>
      <x:c r="U1667" s="47" t="n">
        <x:v>29.2</x:v>
      </x:c>
      <x:c r="V1667" s="47" t="n">
        <x:v>18.7</x:v>
      </x:c>
      <x:c r="W1667" s="47" t="n">
        <x:v>28</x:v>
      </x:c>
      <x:c r="X1667" s="47" t="n">
        <x:v>137</x:v>
      </x:c>
      <x:c r="Y1667" s="41" t="n">
        <x:v>109</x:v>
      </x:c>
    </x:row>
    <x:row r="1668">
      <x:c r="A1668" s="38" t="str">
        <x:v>7月30日现场数据</x:v>
      </x:c>
      <x:c r="B1668" s="66" t="str">
        <x:v>2026-08-05T08:29:57.644000</x:v>
      </x:c>
      <x:c r="C1668" s="47" t="n">
        <x:v>300980</x:v>
      </x:c>
      <x:c r="D1668" s="47" t="str"/>
      <x:c r="E1668" s="47" t="str"/>
      <x:c r="F1668" s="47" t="str">
        <x:v>current</x:v>
      </x:c>
      <x:c r="G1668" s="47" t="n">
        <x:v>1664</x:v>
      </x:c>
      <x:c r="H1668" s="53" t="b">
        <x:v>1</x:v>
      </x:c>
      <x:c r="I1668" s="47" t="str">
        <x:v>4109905524</x:v>
      </x:c>
      <x:c r="J1668" s="47" t="n">
        <x:v>119522769</x:v>
      </x:c>
      <x:c r="K1668" s="53" t="b">
        <x:v>1</x:v>
      </x:c>
      <x:c r="L1668" s="53" t="b">
        <x:v>1</x:v>
      </x:c>
      <x:c r="M1668" s="53" t="b">
        <x:v>1</x:v>
      </x:c>
      <x:c r="N1668" s="53" t="b">
        <x:v>1</x:v>
      </x:c>
      <x:c r="O1668" s="53" t="b">
        <x:v>1</x:v>
      </x:c>
      <x:c r="P1668" s="47" t="n">
        <x:v>1010</x:v>
      </x:c>
      <x:c r="Q1668" s="47" t="n">
        <x:v>0</x:v>
      </x:c>
      <x:c r="R1668" s="47" t="n">
        <x:v>0</x:v>
      </x:c>
      <x:c r="S1668" s="47" t="n">
        <x:v>32.18</x:v>
      </x:c>
      <x:c r="T1668" s="47" t="n">
        <x:v>83.39</x:v>
      </x:c>
      <x:c r="U1668" s="47" t="n">
        <x:v>29.2</x:v>
      </x:c>
      <x:c r="V1668" s="47" t="n">
        <x:v>18.8</x:v>
      </x:c>
      <x:c r="W1668" s="47" t="n">
        <x:v>52</x:v>
      </x:c>
      <x:c r="X1668" s="47" t="n">
        <x:v>499</x:v>
      </x:c>
      <x:c r="Y1668" s="41" t="n">
        <x:v>447</x:v>
      </x:c>
    </x:row>
    <x:row r="1669">
      <x:c r="A1669" s="38" t="str">
        <x:v>7月30日现场数据</x:v>
      </x:c>
      <x:c r="B1669" s="66" t="str">
        <x:v>2026-08-05T08:34:58.628000</x:v>
      </x:c>
      <x:c r="C1669" s="47" t="n">
        <x:v>300984</x:v>
      </x:c>
      <x:c r="D1669" s="47" t="str"/>
      <x:c r="E1669" s="47" t="str"/>
      <x:c r="F1669" s="47" t="str">
        <x:v>current</x:v>
      </x:c>
      <x:c r="G1669" s="47" t="n">
        <x:v>1665</x:v>
      </x:c>
      <x:c r="H1669" s="53" t="b">
        <x:v>1</x:v>
      </x:c>
      <x:c r="I1669" s="47" t="str">
        <x:v>4109905524</x:v>
      </x:c>
      <x:c r="J1669" s="47" t="n">
        <x:v>119823753</x:v>
      </x:c>
      <x:c r="K1669" s="53" t="b">
        <x:v>1</x:v>
      </x:c>
      <x:c r="L1669" s="53" t="b">
        <x:v>1</x:v>
      </x:c>
      <x:c r="M1669" s="53" t="b">
        <x:v>1</x:v>
      </x:c>
      <x:c r="N1669" s="53" t="b">
        <x:v>1</x:v>
      </x:c>
      <x:c r="O1669" s="53" t="b">
        <x:v>1</x:v>
      </x:c>
      <x:c r="P1669" s="47" t="n">
        <x:v>1010</x:v>
      </x:c>
      <x:c r="Q1669" s="47" t="n">
        <x:v>0</x:v>
      </x:c>
      <x:c r="R1669" s="47" t="n">
        <x:v>0</x:v>
      </x:c>
      <x:c r="S1669" s="47" t="n">
        <x:v>32.95</x:v>
      </x:c>
      <x:c r="T1669" s="47" t="n">
        <x:v>83.61</x:v>
      </x:c>
      <x:c r="U1669" s="47" t="n">
        <x:v>29.3</x:v>
      </x:c>
      <x:c r="V1669" s="47" t="n">
        <x:v>18.7</x:v>
      </x:c>
      <x:c r="W1669" s="47" t="n">
        <x:v>61</x:v>
      </x:c>
      <x:c r="X1669" s="47" t="n">
        <x:v>388</x:v>
      </x:c>
      <x:c r="Y1669" s="41" t="n">
        <x:v>327</x:v>
      </x:c>
    </x:row>
    <x:row r="1670">
      <x:c r="A1670" s="38" t="str">
        <x:v>7月30日现场数据</x:v>
      </x:c>
      <x:c r="B1670" s="66" t="str">
        <x:v>2026-08-05T08:39:59.612000</x:v>
      </x:c>
      <x:c r="C1670" s="47" t="n">
        <x:v>300984</x:v>
      </x:c>
      <x:c r="D1670" s="47" t="str"/>
      <x:c r="E1670" s="47" t="str"/>
      <x:c r="F1670" s="47" t="str">
        <x:v>current</x:v>
      </x:c>
      <x:c r="G1670" s="47" t="n">
        <x:v>1666</x:v>
      </x:c>
      <x:c r="H1670" s="53" t="b">
        <x:v>1</x:v>
      </x:c>
      <x:c r="I1670" s="47" t="str">
        <x:v>4109905524</x:v>
      </x:c>
      <x:c r="J1670" s="47" t="n">
        <x:v>120124737</x:v>
      </x:c>
      <x:c r="K1670" s="53" t="b">
        <x:v>1</x:v>
      </x:c>
      <x:c r="L1670" s="53" t="b">
        <x:v>1</x:v>
      </x:c>
      <x:c r="M1670" s="53" t="b">
        <x:v>1</x:v>
      </x:c>
      <x:c r="N1670" s="53" t="b">
        <x:v>1</x:v>
      </x:c>
      <x:c r="O1670" s="53" t="b">
        <x:v>1</x:v>
      </x:c>
      <x:c r="P1670" s="47" t="n">
        <x:v>1010</x:v>
      </x:c>
      <x:c r="Q1670" s="47" t="n">
        <x:v>0</x:v>
      </x:c>
      <x:c r="R1670" s="47" t="n">
        <x:v>0</x:v>
      </x:c>
      <x:c r="S1670" s="47" t="n">
        <x:v>34.59</x:v>
      </x:c>
      <x:c r="T1670" s="47" t="n">
        <x:v>83.84</x:v>
      </x:c>
      <x:c r="U1670" s="47" t="n">
        <x:v>29.4</x:v>
      </x:c>
      <x:c r="V1670" s="47" t="n">
        <x:v>18.7</x:v>
      </x:c>
      <x:c r="W1670" s="47" t="n">
        <x:v>78</x:v>
      </x:c>
      <x:c r="X1670" s="47" t="n">
        <x:v>456</x:v>
      </x:c>
      <x:c r="Y1670" s="41" t="n">
        <x:v>378</x:v>
      </x:c>
    </x:row>
    <x:row r="1671">
      <x:c r="A1671" s="38" t="str">
        <x:v>7月30日现场数据</x:v>
      </x:c>
      <x:c r="B1671" s="66" t="str">
        <x:v>2026-08-05T08:45:00.599000</x:v>
      </x:c>
      <x:c r="C1671" s="47" t="n">
        <x:v>300987</x:v>
      </x:c>
      <x:c r="D1671" s="47" t="str"/>
      <x:c r="E1671" s="47" t="str"/>
      <x:c r="F1671" s="47" t="str">
        <x:v>current</x:v>
      </x:c>
      <x:c r="G1671" s="47" t="n">
        <x:v>1667</x:v>
      </x:c>
      <x:c r="H1671" s="53" t="b">
        <x:v>1</x:v>
      </x:c>
      <x:c r="I1671" s="47" t="str">
        <x:v>4109905524</x:v>
      </x:c>
      <x:c r="J1671" s="47" t="n">
        <x:v>120425724</x:v>
      </x:c>
      <x:c r="K1671" s="53" t="b">
        <x:v>1</x:v>
      </x:c>
      <x:c r="L1671" s="53" t="b">
        <x:v>1</x:v>
      </x:c>
      <x:c r="M1671" s="53" t="b">
        <x:v>1</x:v>
      </x:c>
      <x:c r="N1671" s="53" t="b">
        <x:v>1</x:v>
      </x:c>
      <x:c r="O1671" s="53" t="b">
        <x:v>1</x:v>
      </x:c>
      <x:c r="P1671" s="47" t="n">
        <x:v>1010</x:v>
      </x:c>
      <x:c r="Q1671" s="47" t="n">
        <x:v>0</x:v>
      </x:c>
      <x:c r="R1671" s="47" t="n">
        <x:v>0</x:v>
      </x:c>
      <x:c r="S1671" s="47" t="n">
        <x:v>35.15</x:v>
      </x:c>
      <x:c r="T1671" s="47" t="n">
        <x:v>84.14</x:v>
      </x:c>
      <x:c r="U1671" s="47" t="n">
        <x:v>29.5</x:v>
      </x:c>
      <x:c r="V1671" s="47" t="n">
        <x:v>18.7</x:v>
      </x:c>
      <x:c r="W1671" s="47" t="n">
        <x:v>45</x:v>
      </x:c>
      <x:c r="X1671" s="47" t="n">
        <x:v>257</x:v>
      </x:c>
      <x:c r="Y1671" s="41" t="n">
        <x:v>212</x:v>
      </x:c>
    </x:row>
    <x:row r="1672">
      <x:c r="A1672" s="38" t="str">
        <x:v>7月30日现场数据</x:v>
      </x:c>
      <x:c r="B1672" s="66" t="str">
        <x:v>2026-08-05T08:50:01.585000</x:v>
      </x:c>
      <x:c r="C1672" s="47" t="n">
        <x:v>300986</x:v>
      </x:c>
      <x:c r="D1672" s="47" t="str"/>
      <x:c r="E1672" s="47" t="str"/>
      <x:c r="F1672" s="47" t="str">
        <x:v>current</x:v>
      </x:c>
      <x:c r="G1672" s="47" t="n">
        <x:v>1668</x:v>
      </x:c>
      <x:c r="H1672" s="53" t="b">
        <x:v>1</x:v>
      </x:c>
      <x:c r="I1672" s="47" t="str">
        <x:v>4109905524</x:v>
      </x:c>
      <x:c r="J1672" s="47" t="n">
        <x:v>120726710</x:v>
      </x:c>
      <x:c r="K1672" s="53" t="b">
        <x:v>1</x:v>
      </x:c>
      <x:c r="L1672" s="53" t="b">
        <x:v>1</x:v>
      </x:c>
      <x:c r="M1672" s="53" t="b">
        <x:v>1</x:v>
      </x:c>
      <x:c r="N1672" s="53" t="b">
        <x:v>1</x:v>
      </x:c>
      <x:c r="O1672" s="53" t="b">
        <x:v>1</x:v>
      </x:c>
      <x:c r="P1672" s="47" t="n">
        <x:v>1010</x:v>
      </x:c>
      <x:c r="Q1672" s="47" t="n">
        <x:v>0</x:v>
      </x:c>
      <x:c r="R1672" s="47" t="n">
        <x:v>0</x:v>
      </x:c>
      <x:c r="S1672" s="47" t="n">
        <x:v>36.6</x:v>
      </x:c>
      <x:c r="T1672" s="47" t="n">
        <x:v>84.44</x:v>
      </x:c>
      <x:c r="U1672" s="47" t="n">
        <x:v>29.6</x:v>
      </x:c>
      <x:c r="V1672" s="47" t="n">
        <x:v>18.6</x:v>
      </x:c>
      <x:c r="W1672" s="47" t="n">
        <x:v>82</x:v>
      </x:c>
      <x:c r="X1672" s="47" t="n">
        <x:v>451</x:v>
      </x:c>
      <x:c r="Y1672" s="41" t="n">
        <x:v>369</x:v>
      </x:c>
    </x:row>
    <x:row r="1673">
      <x:c r="A1673" s="38" t="str">
        <x:v>7月30日现场数据</x:v>
      </x:c>
      <x:c r="B1673" s="66" t="str">
        <x:v>2026-08-05T08:55:02.575000</x:v>
      </x:c>
      <x:c r="C1673" s="47" t="n">
        <x:v>300990</x:v>
      </x:c>
      <x:c r="D1673" s="47" t="str"/>
      <x:c r="E1673" s="47" t="str"/>
      <x:c r="F1673" s="47" t="str">
        <x:v>current</x:v>
      </x:c>
      <x:c r="G1673" s="47" t="n">
        <x:v>1669</x:v>
      </x:c>
      <x:c r="H1673" s="53" t="b">
        <x:v>1</x:v>
      </x:c>
      <x:c r="I1673" s="47" t="str">
        <x:v>4109905524</x:v>
      </x:c>
      <x:c r="J1673" s="47" t="n">
        <x:v>121027700</x:v>
      </x:c>
      <x:c r="K1673" s="53" t="b">
        <x:v>1</x:v>
      </x:c>
      <x:c r="L1673" s="53" t="b">
        <x:v>1</x:v>
      </x:c>
      <x:c r="M1673" s="53" t="b">
        <x:v>1</x:v>
      </x:c>
      <x:c r="N1673" s="53" t="b">
        <x:v>1</x:v>
      </x:c>
      <x:c r="O1673" s="53" t="b">
        <x:v>1</x:v>
      </x:c>
      <x:c r="P1673" s="47" t="n">
        <x:v>1010</x:v>
      </x:c>
      <x:c r="Q1673" s="47" t="n">
        <x:v>0</x:v>
      </x:c>
      <x:c r="R1673" s="47" t="n">
        <x:v>0</x:v>
      </x:c>
      <x:c r="S1673" s="47" t="n">
        <x:v>35.95</x:v>
      </x:c>
      <x:c r="T1673" s="47" t="n">
        <x:v>84.71</x:v>
      </x:c>
      <x:c r="U1673" s="47" t="n">
        <x:v>29.7</x:v>
      </x:c>
      <x:c r="V1673" s="47" t="n">
        <x:v>18.7</x:v>
      </x:c>
      <x:c r="W1673" s="47" t="n">
        <x:v>34</x:v>
      </x:c>
      <x:c r="X1673" s="47" t="n">
        <x:v>176</x:v>
      </x:c>
      <x:c r="Y1673" s="41" t="n">
        <x:v>142</x:v>
      </x:c>
    </x:row>
    <x:row r="1674">
      <x:c r="A1674" s="38" t="str">
        <x:v>7月30日现场数据</x:v>
      </x:c>
      <x:c r="B1674" s="66" t="str">
        <x:v>2026-08-05T09:00:03.600000</x:v>
      </x:c>
      <x:c r="C1674" s="47" t="n">
        <x:v>301025</x:v>
      </x:c>
      <x:c r="D1674" s="47" t="str"/>
      <x:c r="E1674" s="47" t="str"/>
      <x:c r="F1674" s="47" t="str">
        <x:v>current</x:v>
      </x:c>
      <x:c r="G1674" s="47" t="n">
        <x:v>1670</x:v>
      </x:c>
      <x:c r="H1674" s="53" t="b">
        <x:v>1</x:v>
      </x:c>
      <x:c r="I1674" s="47" t="str">
        <x:v>4109905524</x:v>
      </x:c>
      <x:c r="J1674" s="47" t="n">
        <x:v>121328725</x:v>
      </x:c>
      <x:c r="K1674" s="53" t="b">
        <x:v>1</x:v>
      </x:c>
      <x:c r="L1674" s="53" t="b">
        <x:v>1</x:v>
      </x:c>
      <x:c r="M1674" s="53" t="b">
        <x:v>1</x:v>
      </x:c>
      <x:c r="N1674" s="53" t="b">
        <x:v>1</x:v>
      </x:c>
      <x:c r="O1674" s="53" t="b">
        <x:v>1</x:v>
      </x:c>
      <x:c r="P1674" s="47" t="n">
        <x:v>1010</x:v>
      </x:c>
      <x:c r="Q1674" s="47" t="n">
        <x:v>0</x:v>
      </x:c>
      <x:c r="R1674" s="47" t="n">
        <x:v>0</x:v>
      </x:c>
      <x:c r="S1674" s="47" t="n">
        <x:v>35.63</x:v>
      </x:c>
      <x:c r="T1674" s="47" t="n">
        <x:v>84.59</x:v>
      </x:c>
      <x:c r="U1674" s="47" t="n">
        <x:v>29.8</x:v>
      </x:c>
      <x:c r="V1674" s="47" t="n">
        <x:v>18.6</x:v>
      </x:c>
      <x:c r="W1674" s="47" t="n">
        <x:v>114</x:v>
      </x:c>
      <x:c r="X1674" s="47" t="n">
        <x:v>577</x:v>
      </x:c>
      <x:c r="Y1674" s="41" t="n">
        <x:v>463</x:v>
      </x:c>
    </x:row>
    <x:row r="1675">
      <x:c r="A1675" s="38" t="str">
        <x:v>7月30日现场数据</x:v>
      </x:c>
      <x:c r="B1675" s="66" t="str">
        <x:v>2026-08-05T09:05:04.565000</x:v>
      </x:c>
      <x:c r="C1675" s="47" t="n">
        <x:v>300965</x:v>
      </x:c>
      <x:c r="D1675" s="47" t="str"/>
      <x:c r="E1675" s="47" t="str"/>
      <x:c r="F1675" s="47" t="str">
        <x:v>current</x:v>
      </x:c>
      <x:c r="G1675" s="47" t="n">
        <x:v>1671</x:v>
      </x:c>
      <x:c r="H1675" s="53" t="b">
        <x:v>1</x:v>
      </x:c>
      <x:c r="I1675" s="47" t="str">
        <x:v>4109905524</x:v>
      </x:c>
      <x:c r="J1675" s="47" t="n">
        <x:v>121629690</x:v>
      </x:c>
      <x:c r="K1675" s="53" t="b">
        <x:v>1</x:v>
      </x:c>
      <x:c r="L1675" s="53" t="b">
        <x:v>1</x:v>
      </x:c>
      <x:c r="M1675" s="53" t="b">
        <x:v>1</x:v>
      </x:c>
      <x:c r="N1675" s="53" t="b">
        <x:v>1</x:v>
      </x:c>
      <x:c r="O1675" s="53" t="b">
        <x:v>1</x:v>
      </x:c>
      <x:c r="P1675" s="47" t="n">
        <x:v>1011</x:v>
      </x:c>
      <x:c r="Q1675" s="47" t="n">
        <x:v>0</x:v>
      </x:c>
      <x:c r="R1675" s="47" t="n">
        <x:v>0</x:v>
      </x:c>
      <x:c r="S1675" s="47" t="n">
        <x:v>37.28</x:v>
      </x:c>
      <x:c r="T1675" s="47" t="n">
        <x:v>84.64</x:v>
      </x:c>
      <x:c r="U1675" s="47" t="n">
        <x:v>29.8</x:v>
      </x:c>
      <x:c r="V1675" s="47" t="n">
        <x:v>18.6</x:v>
      </x:c>
      <x:c r="W1675" s="47" t="n">
        <x:v>120</x:v>
      </x:c>
      <x:c r="X1675" s="47" t="n">
        <x:v>602</x:v>
      </x:c>
      <x:c r="Y1675" s="41" t="n">
        <x:v>482</x:v>
      </x:c>
    </x:row>
    <x:row r="1676">
      <x:c r="A1676" s="38" t="str">
        <x:v>7月30日现场数据</x:v>
      </x:c>
      <x:c r="B1676" s="66" t="str">
        <x:v>2026-08-05T09:10:05.535000</x:v>
      </x:c>
      <x:c r="C1676" s="47" t="n">
        <x:v>300970</x:v>
      </x:c>
      <x:c r="D1676" s="47" t="str"/>
      <x:c r="E1676" s="47" t="str"/>
      <x:c r="F1676" s="47" t="str">
        <x:v>current</x:v>
      </x:c>
      <x:c r="G1676" s="47" t="n">
        <x:v>1672</x:v>
      </x:c>
      <x:c r="H1676" s="53" t="b">
        <x:v>1</x:v>
      </x:c>
      <x:c r="I1676" s="47" t="str">
        <x:v>4109905524</x:v>
      </x:c>
      <x:c r="J1676" s="47" t="n">
        <x:v>121930660</x:v>
      </x:c>
      <x:c r="K1676" s="53" t="b">
        <x:v>1</x:v>
      </x:c>
      <x:c r="L1676" s="53" t="b">
        <x:v>1</x:v>
      </x:c>
      <x:c r="M1676" s="53" t="b">
        <x:v>1</x:v>
      </x:c>
      <x:c r="N1676" s="53" t="b">
        <x:v>1</x:v>
      </x:c>
      <x:c r="O1676" s="53" t="b">
        <x:v>1</x:v>
      </x:c>
      <x:c r="P1676" s="47" t="n">
        <x:v>1010</x:v>
      </x:c>
      <x:c r="Q1676" s="47" t="n">
        <x:v>0</x:v>
      </x:c>
      <x:c r="R1676" s="47" t="n">
        <x:v>0</x:v>
      </x:c>
      <x:c r="S1676" s="47" t="n">
        <x:v>37.69</x:v>
      </x:c>
      <x:c r="T1676" s="47" t="n">
        <x:v>84.96</x:v>
      </x:c>
      <x:c r="U1676" s="47" t="n">
        <x:v>29.9</x:v>
      </x:c>
      <x:c r="V1676" s="47" t="n">
        <x:v>18.6</x:v>
      </x:c>
      <x:c r="W1676" s="47" t="n">
        <x:v>148</x:v>
      </x:c>
      <x:c r="X1676" s="47" t="n">
        <x:v>745</x:v>
      </x:c>
      <x:c r="Y1676" s="41" t="n">
        <x:v>597</x:v>
      </x:c>
    </x:row>
    <x:row r="1677">
      <x:c r="A1677" s="38" t="str">
        <x:v>7月30日现场数据</x:v>
      </x:c>
      <x:c r="B1677" s="66" t="str">
        <x:v>2026-08-05T09:15:06.507000</x:v>
      </x:c>
      <x:c r="C1677" s="47" t="n">
        <x:v>300972</x:v>
      </x:c>
      <x:c r="D1677" s="47" t="str"/>
      <x:c r="E1677" s="47" t="str"/>
      <x:c r="F1677" s="47" t="str">
        <x:v>current</x:v>
      </x:c>
      <x:c r="G1677" s="47" t="n">
        <x:v>1673</x:v>
      </x:c>
      <x:c r="H1677" s="53" t="b">
        <x:v>1</x:v>
      </x:c>
      <x:c r="I1677" s="47" t="str">
        <x:v>4109905524</x:v>
      </x:c>
      <x:c r="J1677" s="47" t="n">
        <x:v>122231632</x:v>
      </x:c>
      <x:c r="K1677" s="53" t="b">
        <x:v>1</x:v>
      </x:c>
      <x:c r="L1677" s="53" t="b">
        <x:v>1</x:v>
      </x:c>
      <x:c r="M1677" s="53" t="b">
        <x:v>1</x:v>
      </x:c>
      <x:c r="N1677" s="53" t="b">
        <x:v>1</x:v>
      </x:c>
      <x:c r="O1677" s="53" t="b">
        <x:v>1</x:v>
      </x:c>
      <x:c r="P1677" s="47" t="n">
        <x:v>1010</x:v>
      </x:c>
      <x:c r="Q1677" s="47" t="n">
        <x:v>0</x:v>
      </x:c>
      <x:c r="R1677" s="47" t="n">
        <x:v>0</x:v>
      </x:c>
      <x:c r="S1677" s="47" t="n">
        <x:v>39.16</x:v>
      </x:c>
      <x:c r="T1677" s="47" t="n">
        <x:v>85.05</x:v>
      </x:c>
      <x:c r="U1677" s="47" t="n">
        <x:v>30</x:v>
      </x:c>
      <x:c r="V1677" s="47" t="n">
        <x:v>18.5</x:v>
      </x:c>
      <x:c r="W1677" s="47" t="n">
        <x:v>112</x:v>
      </x:c>
      <x:c r="X1677" s="47" t="n">
        <x:v>563</x:v>
      </x:c>
      <x:c r="Y1677" s="41" t="n">
        <x:v>451</x:v>
      </x:c>
    </x:row>
    <x:row r="1678">
      <x:c r="A1678" s="38" t="str">
        <x:v>7月30日现场数据</x:v>
      </x:c>
      <x:c r="B1678" s="66" t="str">
        <x:v>2026-08-05T09:20:07.479000</x:v>
      </x:c>
      <x:c r="C1678" s="47" t="n">
        <x:v>300972</x:v>
      </x:c>
      <x:c r="D1678" s="47" t="str"/>
      <x:c r="E1678" s="47" t="str"/>
      <x:c r="F1678" s="47" t="str">
        <x:v>current</x:v>
      </x:c>
      <x:c r="G1678" s="47" t="n">
        <x:v>1674</x:v>
      </x:c>
      <x:c r="H1678" s="53" t="b">
        <x:v>1</x:v>
      </x:c>
      <x:c r="I1678" s="47" t="str">
        <x:v>4109905524</x:v>
      </x:c>
      <x:c r="J1678" s="47" t="n">
        <x:v>122532604</x:v>
      </x:c>
      <x:c r="K1678" s="53" t="b">
        <x:v>1</x:v>
      </x:c>
      <x:c r="L1678" s="53" t="b">
        <x:v>1</x:v>
      </x:c>
      <x:c r="M1678" s="53" t="b">
        <x:v>1</x:v>
      </x:c>
      <x:c r="N1678" s="53" t="b">
        <x:v>1</x:v>
      </x:c>
      <x:c r="O1678" s="53" t="b">
        <x:v>1</x:v>
      </x:c>
      <x:c r="P1678" s="47" t="n">
        <x:v>1010</x:v>
      </x:c>
      <x:c r="Q1678" s="47" t="n">
        <x:v>0</x:v>
      </x:c>
      <x:c r="R1678" s="47" t="n">
        <x:v>0</x:v>
      </x:c>
      <x:c r="S1678" s="47" t="n">
        <x:v>39.42</x:v>
      </x:c>
      <x:c r="T1678" s="47" t="n">
        <x:v>85.18</x:v>
      </x:c>
      <x:c r="U1678" s="47" t="n">
        <x:v>30.1</x:v>
      </x:c>
      <x:c r="V1678" s="47" t="n">
        <x:v>18.6</x:v>
      </x:c>
      <x:c r="W1678" s="47" t="n">
        <x:v>95</x:v>
      </x:c>
      <x:c r="X1678" s="47" t="n">
        <x:v>479</x:v>
      </x:c>
      <x:c r="Y1678" s="41" t="n">
        <x:v>384</x:v>
      </x:c>
    </x:row>
    <x:row r="1679">
      <x:c r="A1679" s="38" t="str">
        <x:v>7月30日现场数据</x:v>
      </x:c>
      <x:c r="B1679" s="66" t="str">
        <x:v>2026-08-05T09:25:08.454000</x:v>
      </x:c>
      <x:c r="C1679" s="47" t="n">
        <x:v>300975</x:v>
      </x:c>
      <x:c r="D1679" s="47" t="str"/>
      <x:c r="E1679" s="47" t="str"/>
      <x:c r="F1679" s="47" t="str">
        <x:v>current</x:v>
      </x:c>
      <x:c r="G1679" s="47" t="n">
        <x:v>1675</x:v>
      </x:c>
      <x:c r="H1679" s="53" t="b">
        <x:v>1</x:v>
      </x:c>
      <x:c r="I1679" s="47" t="str">
        <x:v>4109905524</x:v>
      </x:c>
      <x:c r="J1679" s="47" t="n">
        <x:v>122833579</x:v>
      </x:c>
      <x:c r="K1679" s="53" t="b">
        <x:v>1</x:v>
      </x:c>
      <x:c r="L1679" s="53" t="b">
        <x:v>1</x:v>
      </x:c>
      <x:c r="M1679" s="53" t="b">
        <x:v>1</x:v>
      </x:c>
      <x:c r="N1679" s="53" t="b">
        <x:v>1</x:v>
      </x:c>
      <x:c r="O1679" s="53" t="b">
        <x:v>1</x:v>
      </x:c>
      <x:c r="P1679" s="47" t="n">
        <x:v>1011</x:v>
      </x:c>
      <x:c r="Q1679" s="47" t="n">
        <x:v>0</x:v>
      </x:c>
      <x:c r="R1679" s="47" t="n">
        <x:v>0</x:v>
      </x:c>
      <x:c r="S1679" s="47" t="n">
        <x:v>39.18</x:v>
      </x:c>
      <x:c r="T1679" s="47" t="n">
        <x:v>85.06</x:v>
      </x:c>
      <x:c r="U1679" s="47" t="n">
        <x:v>30.1</x:v>
      </x:c>
      <x:c r="V1679" s="47" t="n">
        <x:v>18.6</x:v>
      </x:c>
      <x:c r="W1679" s="47" t="n">
        <x:v>135</x:v>
      </x:c>
      <x:c r="X1679" s="47" t="n">
        <x:v>685</x:v>
      </x:c>
      <x:c r="Y1679" s="41" t="n">
        <x:v>550</x:v>
      </x:c>
    </x:row>
    <x:row r="1680">
      <x:c r="A1680" s="38" t="str">
        <x:v>7月30日现场数据</x:v>
      </x:c>
      <x:c r="B1680" s="66" t="str">
        <x:v>2026-08-05T09:30:09.431000</x:v>
      </x:c>
      <x:c r="C1680" s="47" t="n">
        <x:v>300977</x:v>
      </x:c>
      <x:c r="D1680" s="47" t="str"/>
      <x:c r="E1680" s="47" t="str"/>
      <x:c r="F1680" s="47" t="str">
        <x:v>current</x:v>
      </x:c>
      <x:c r="G1680" s="47" t="n">
        <x:v>1676</x:v>
      </x:c>
      <x:c r="H1680" s="53" t="b">
        <x:v>1</x:v>
      </x:c>
      <x:c r="I1680" s="47" t="str">
        <x:v>4109905524</x:v>
      </x:c>
      <x:c r="J1680" s="47" t="n">
        <x:v>123134556</x:v>
      </x:c>
      <x:c r="K1680" s="53" t="b">
        <x:v>1</x:v>
      </x:c>
      <x:c r="L1680" s="53" t="b">
        <x:v>1</x:v>
      </x:c>
      <x:c r="M1680" s="53" t="b">
        <x:v>1</x:v>
      </x:c>
      <x:c r="N1680" s="53" t="b">
        <x:v>1</x:v>
      </x:c>
      <x:c r="O1680" s="53" t="b">
        <x:v>1</x:v>
      </x:c>
      <x:c r="P1680" s="47" t="n">
        <x:v>1010</x:v>
      </x:c>
      <x:c r="Q1680" s="47" t="n">
        <x:v>0</x:v>
      </x:c>
      <x:c r="R1680" s="47" t="n">
        <x:v>0</x:v>
      </x:c>
      <x:c r="S1680" s="47" t="n">
        <x:v>39.26</x:v>
      </x:c>
      <x:c r="T1680" s="47" t="n">
        <x:v>85.22</x:v>
      </x:c>
      <x:c r="U1680" s="47" t="n">
        <x:v>30.2</x:v>
      </x:c>
      <x:c r="V1680" s="47" t="n">
        <x:v>18.6</x:v>
      </x:c>
      <x:c r="W1680" s="47" t="n">
        <x:v>64</x:v>
      </x:c>
      <x:c r="X1680" s="47" t="n">
        <x:v>325</x:v>
      </x:c>
      <x:c r="Y1680" s="41" t="n">
        <x:v>261</x:v>
      </x:c>
    </x:row>
    <x:row r="1681">
      <x:c r="A1681" s="38" t="str">
        <x:v>7月30日现场数据</x:v>
      </x:c>
      <x:c r="B1681" s="66" t="str">
        <x:v>2026-08-05T09:35:10.409000</x:v>
      </x:c>
      <x:c r="C1681" s="47" t="n">
        <x:v>300978</x:v>
      </x:c>
      <x:c r="D1681" s="47" t="str"/>
      <x:c r="E1681" s="47" t="str"/>
      <x:c r="F1681" s="47" t="str">
        <x:v>current</x:v>
      </x:c>
      <x:c r="G1681" s="47" t="n">
        <x:v>1677</x:v>
      </x:c>
      <x:c r="H1681" s="53" t="b">
        <x:v>1</x:v>
      </x:c>
      <x:c r="I1681" s="47" t="str">
        <x:v>4109905524</x:v>
      </x:c>
      <x:c r="J1681" s="47" t="n">
        <x:v>123435534</x:v>
      </x:c>
      <x:c r="K1681" s="53" t="b">
        <x:v>1</x:v>
      </x:c>
      <x:c r="L1681" s="53" t="b">
        <x:v>1</x:v>
      </x:c>
      <x:c r="M1681" s="53" t="b">
        <x:v>1</x:v>
      </x:c>
      <x:c r="N1681" s="53" t="b">
        <x:v>1</x:v>
      </x:c>
      <x:c r="O1681" s="53" t="b">
        <x:v>1</x:v>
      </x:c>
      <x:c r="P1681" s="47" t="n">
        <x:v>1011</x:v>
      </x:c>
      <x:c r="Q1681" s="47" t="n">
        <x:v>0</x:v>
      </x:c>
      <x:c r="R1681" s="47" t="n">
        <x:v>0</x:v>
      </x:c>
      <x:c r="S1681" s="47" t="n">
        <x:v>40.74</x:v>
      </x:c>
      <x:c r="T1681" s="47" t="n">
        <x:v>85.03</x:v>
      </x:c>
      <x:c r="U1681" s="47" t="n">
        <x:v>30.2</x:v>
      </x:c>
      <x:c r="V1681" s="47" t="n">
        <x:v>18.6</x:v>
      </x:c>
      <x:c r="W1681" s="47" t="n">
        <x:v>163</x:v>
      </x:c>
      <x:c r="X1681" s="47" t="n">
        <x:v>835</x:v>
      </x:c>
      <x:c r="Y1681" s="41" t="n">
        <x:v>672</x:v>
      </x:c>
    </x:row>
    <x:row r="1682">
      <x:c r="A1682" s="38" t="str">
        <x:v>7月30日现场数据</x:v>
      </x:c>
      <x:c r="B1682" s="66" t="str">
        <x:v>2026-08-05T09:40:11.392000</x:v>
      </x:c>
      <x:c r="C1682" s="47" t="n">
        <x:v>300983</x:v>
      </x:c>
      <x:c r="D1682" s="47" t="str"/>
      <x:c r="E1682" s="47" t="str"/>
      <x:c r="F1682" s="47" t="str">
        <x:v>current</x:v>
      </x:c>
      <x:c r="G1682" s="47" t="n">
        <x:v>1678</x:v>
      </x:c>
      <x:c r="H1682" s="53" t="b">
        <x:v>1</x:v>
      </x:c>
      <x:c r="I1682" s="47" t="str">
        <x:v>4109905524</x:v>
      </x:c>
      <x:c r="J1682" s="47" t="n">
        <x:v>123736517</x:v>
      </x:c>
      <x:c r="K1682" s="53" t="b">
        <x:v>1</x:v>
      </x:c>
      <x:c r="L1682" s="53" t="b">
        <x:v>1</x:v>
      </x:c>
      <x:c r="M1682" s="53" t="b">
        <x:v>1</x:v>
      </x:c>
      <x:c r="N1682" s="53" t="b">
        <x:v>1</x:v>
      </x:c>
      <x:c r="O1682" s="53" t="b">
        <x:v>1</x:v>
      </x:c>
      <x:c r="P1682" s="47" t="n">
        <x:v>1011</x:v>
      </x:c>
      <x:c r="Q1682" s="47" t="n">
        <x:v>0</x:v>
      </x:c>
      <x:c r="R1682" s="47" t="n">
        <x:v>0</x:v>
      </x:c>
      <x:c r="S1682" s="47" t="n">
        <x:v>41.87</x:v>
      </x:c>
      <x:c r="T1682" s="47" t="n">
        <x:v>85.02</x:v>
      </x:c>
      <x:c r="U1682" s="47" t="n">
        <x:v>30.3</x:v>
      </x:c>
      <x:c r="V1682" s="47" t="n">
        <x:v>18.5</x:v>
      </x:c>
      <x:c r="W1682" s="47" t="n">
        <x:v>153</x:v>
      </x:c>
      <x:c r="X1682" s="47" t="n">
        <x:v>807</x:v>
      </x:c>
      <x:c r="Y1682" s="41" t="n">
        <x:v>654</x:v>
      </x:c>
    </x:row>
    <x:row r="1683">
      <x:c r="A1683" s="38" t="str">
        <x:v>7月30日现场数据</x:v>
      </x:c>
      <x:c r="B1683" s="66" t="str">
        <x:v>2026-08-05T09:45:12.375000</x:v>
      </x:c>
      <x:c r="C1683" s="47" t="n">
        <x:v>300983</x:v>
      </x:c>
      <x:c r="D1683" s="47" t="str"/>
      <x:c r="E1683" s="47" t="str"/>
      <x:c r="F1683" s="47" t="str">
        <x:v>current</x:v>
      </x:c>
      <x:c r="G1683" s="47" t="n">
        <x:v>1679</x:v>
      </x:c>
      <x:c r="H1683" s="53" t="b">
        <x:v>1</x:v>
      </x:c>
      <x:c r="I1683" s="47" t="str">
        <x:v>4109905524</x:v>
      </x:c>
      <x:c r="J1683" s="47" t="n">
        <x:v>124037500</x:v>
      </x:c>
      <x:c r="K1683" s="53" t="b">
        <x:v>1</x:v>
      </x:c>
      <x:c r="L1683" s="53" t="b">
        <x:v>1</x:v>
      </x:c>
      <x:c r="M1683" s="53" t="b">
        <x:v>1</x:v>
      </x:c>
      <x:c r="N1683" s="53" t="b">
        <x:v>1</x:v>
      </x:c>
      <x:c r="O1683" s="53" t="b">
        <x:v>1</x:v>
      </x:c>
      <x:c r="P1683" s="47" t="n">
        <x:v>1011</x:v>
      </x:c>
      <x:c r="Q1683" s="47" t="n">
        <x:v>0</x:v>
      </x:c>
      <x:c r="R1683" s="47" t="n">
        <x:v>0</x:v>
      </x:c>
      <x:c r="S1683" s="47" t="n">
        <x:v>42.78</x:v>
      </x:c>
      <x:c r="T1683" s="47" t="n">
        <x:v>84.98</x:v>
      </x:c>
      <x:c r="U1683" s="47" t="n">
        <x:v>30.3</x:v>
      </x:c>
      <x:c r="V1683" s="47" t="n">
        <x:v>18.5</x:v>
      </x:c>
      <x:c r="W1683" s="47" t="n">
        <x:v>160</x:v>
      </x:c>
      <x:c r="X1683" s="47" t="n">
        <x:v>860</x:v>
      </x:c>
      <x:c r="Y1683" s="41" t="n">
        <x:v>700</x:v>
      </x:c>
    </x:row>
    <x:row r="1684">
      <x:c r="A1684" s="38" t="str">
        <x:v>7月30日现场数据</x:v>
      </x:c>
      <x:c r="B1684" s="66" t="str">
        <x:v>2026-08-05T09:50:13.362000</x:v>
      </x:c>
      <x:c r="C1684" s="47" t="n">
        <x:v>300987</x:v>
      </x:c>
      <x:c r="D1684" s="47" t="str"/>
      <x:c r="E1684" s="47" t="str"/>
      <x:c r="F1684" s="47" t="str">
        <x:v>current</x:v>
      </x:c>
      <x:c r="G1684" s="47" t="n">
        <x:v>1680</x:v>
      </x:c>
      <x:c r="H1684" s="53" t="b">
        <x:v>1</x:v>
      </x:c>
      <x:c r="I1684" s="47" t="str">
        <x:v>4109905524</x:v>
      </x:c>
      <x:c r="J1684" s="47" t="n">
        <x:v>124338487</x:v>
      </x:c>
      <x:c r="K1684" s="53" t="b">
        <x:v>1</x:v>
      </x:c>
      <x:c r="L1684" s="53" t="b">
        <x:v>1</x:v>
      </x:c>
      <x:c r="M1684" s="53" t="b">
        <x:v>1</x:v>
      </x:c>
      <x:c r="N1684" s="53" t="b">
        <x:v>1</x:v>
      </x:c>
      <x:c r="O1684" s="53" t="b">
        <x:v>1</x:v>
      </x:c>
      <x:c r="P1684" s="47" t="n">
        <x:v>1011</x:v>
      </x:c>
      <x:c r="Q1684" s="47" t="n">
        <x:v>0</x:v>
      </x:c>
      <x:c r="R1684" s="47" t="n">
        <x:v>0</x:v>
      </x:c>
      <x:c r="S1684" s="47" t="n">
        <x:v>43.07</x:v>
      </x:c>
      <x:c r="T1684" s="47" t="n">
        <x:v>84.76</x:v>
      </x:c>
      <x:c r="U1684" s="47" t="n">
        <x:v>30.4</x:v>
      </x:c>
      <x:c r="V1684" s="47" t="n">
        <x:v>18.5</x:v>
      </x:c>
      <x:c r="W1684" s="47" t="n">
        <x:v>159</x:v>
      </x:c>
      <x:c r="X1684" s="47" t="n">
        <x:v>877</x:v>
      </x:c>
      <x:c r="Y1684" s="41" t="n">
        <x:v>718</x:v>
      </x:c>
    </x:row>
    <x:row r="1685">
      <x:c r="A1685" s="38" t="str">
        <x:v>7月30日现场数据</x:v>
      </x:c>
      <x:c r="B1685" s="66" t="str">
        <x:v>2026-08-05T09:55:14.348000</x:v>
      </x:c>
      <x:c r="C1685" s="47" t="n">
        <x:v>300986</x:v>
      </x:c>
      <x:c r="D1685" s="47" t="str"/>
      <x:c r="E1685" s="47" t="str"/>
      <x:c r="F1685" s="47" t="str">
        <x:v>current</x:v>
      </x:c>
      <x:c r="G1685" s="47" t="n">
        <x:v>1681</x:v>
      </x:c>
      <x:c r="H1685" s="53" t="b">
        <x:v>1</x:v>
      </x:c>
      <x:c r="I1685" s="47" t="str">
        <x:v>4109905524</x:v>
      </x:c>
      <x:c r="J1685" s="47" t="n">
        <x:v>124639473</x:v>
      </x:c>
      <x:c r="K1685" s="53" t="b">
        <x:v>1</x:v>
      </x:c>
      <x:c r="L1685" s="53" t="b">
        <x:v>1</x:v>
      </x:c>
      <x:c r="M1685" s="53" t="b">
        <x:v>1</x:v>
      </x:c>
      <x:c r="N1685" s="53" t="b">
        <x:v>1</x:v>
      </x:c>
      <x:c r="O1685" s="53" t="b">
        <x:v>1</x:v>
      </x:c>
      <x:c r="P1685" s="47" t="n">
        <x:v>1011</x:v>
      </x:c>
      <x:c r="Q1685" s="47" t="n">
        <x:v>0</x:v>
      </x:c>
      <x:c r="R1685" s="47" t="n">
        <x:v>0</x:v>
      </x:c>
      <x:c r="S1685" s="47" t="n">
        <x:v>44.17</x:v>
      </x:c>
      <x:c r="T1685" s="47" t="n">
        <x:v>84.52</x:v>
      </x:c>
      <x:c r="U1685" s="47" t="n">
        <x:v>30.4</x:v>
      </x:c>
      <x:c r="V1685" s="47" t="n">
        <x:v>18.5</x:v>
      </x:c>
      <x:c r="W1685" s="47" t="n">
        <x:v>154</x:v>
      </x:c>
      <x:c r="X1685" s="47" t="n">
        <x:v>865</x:v>
      </x:c>
      <x:c r="Y1685" s="41" t="n">
        <x:v>711</x:v>
      </x:c>
    </x:row>
    <x:row r="1686">
      <x:c r="A1686" s="38" t="str">
        <x:v>7月30日现场数据</x:v>
      </x:c>
      <x:c r="B1686" s="66" t="str">
        <x:v>2026-08-05T10:00:15.336000</x:v>
      </x:c>
      <x:c r="C1686" s="47" t="n">
        <x:v>300988</x:v>
      </x:c>
      <x:c r="D1686" s="47" t="str"/>
      <x:c r="E1686" s="47" t="str"/>
      <x:c r="F1686" s="47" t="str">
        <x:v>current</x:v>
      </x:c>
      <x:c r="G1686" s="47" t="n">
        <x:v>1682</x:v>
      </x:c>
      <x:c r="H1686" s="53" t="b">
        <x:v>1</x:v>
      </x:c>
      <x:c r="I1686" s="47" t="str">
        <x:v>4109905524</x:v>
      </x:c>
      <x:c r="J1686" s="47" t="n">
        <x:v>124940461</x:v>
      </x:c>
      <x:c r="K1686" s="53" t="b">
        <x:v>1</x:v>
      </x:c>
      <x:c r="L1686" s="53" t="b">
        <x:v>1</x:v>
      </x:c>
      <x:c r="M1686" s="53" t="b">
        <x:v>1</x:v>
      </x:c>
      <x:c r="N1686" s="53" t="b">
        <x:v>1</x:v>
      </x:c>
      <x:c r="O1686" s="53" t="b">
        <x:v>1</x:v>
      </x:c>
      <x:c r="P1686" s="47" t="n">
        <x:v>1010</x:v>
      </x:c>
      <x:c r="Q1686" s="47" t="n">
        <x:v>0</x:v>
      </x:c>
      <x:c r="R1686" s="47" t="n">
        <x:v>0</x:v>
      </x:c>
      <x:c r="S1686" s="47" t="n">
        <x:v>44.77</x:v>
      </x:c>
      <x:c r="T1686" s="47" t="n">
        <x:v>84.27</x:v>
      </x:c>
      <x:c r="U1686" s="47" t="n">
        <x:v>30.5</x:v>
      </x:c>
      <x:c r="V1686" s="47" t="n">
        <x:v>18.5</x:v>
      </x:c>
      <x:c r="W1686" s="47" t="n">
        <x:v>154</x:v>
      </x:c>
      <x:c r="X1686" s="47" t="n">
        <x:v>629</x:v>
      </x:c>
      <x:c r="Y1686" s="41" t="n">
        <x:v>475</x:v>
      </x:c>
    </x:row>
    <x:row r="1687">
      <x:c r="A1687" s="38" t="str">
        <x:v>7月30日现场数据</x:v>
      </x:c>
      <x:c r="B1687" s="66" t="str">
        <x:v>2026-08-05T10:05:16.326000</x:v>
      </x:c>
      <x:c r="C1687" s="47" t="n">
        <x:v>300990</x:v>
      </x:c>
      <x:c r="D1687" s="47" t="str"/>
      <x:c r="E1687" s="47" t="str"/>
      <x:c r="F1687" s="47" t="str">
        <x:v>current</x:v>
      </x:c>
      <x:c r="G1687" s="47" t="n">
        <x:v>1683</x:v>
      </x:c>
      <x:c r="H1687" s="53" t="b">
        <x:v>1</x:v>
      </x:c>
      <x:c r="I1687" s="47" t="str">
        <x:v>4109905524</x:v>
      </x:c>
      <x:c r="J1687" s="47" t="n">
        <x:v>125241451</x:v>
      </x:c>
      <x:c r="K1687" s="53" t="b">
        <x:v>1</x:v>
      </x:c>
      <x:c r="L1687" s="53" t="b">
        <x:v>1</x:v>
      </x:c>
      <x:c r="M1687" s="53" t="b">
        <x:v>1</x:v>
      </x:c>
      <x:c r="N1687" s="53" t="b">
        <x:v>1</x:v>
      </x:c>
      <x:c r="O1687" s="53" t="b">
        <x:v>1</x:v>
      </x:c>
      <x:c r="P1687" s="47" t="n">
        <x:v>1010</x:v>
      </x:c>
      <x:c r="Q1687" s="47" t="n">
        <x:v>0</x:v>
      </x:c>
      <x:c r="R1687" s="47" t="n">
        <x:v>0</x:v>
      </x:c>
      <x:c r="S1687" s="47" t="n">
        <x:v>44.75</x:v>
      </x:c>
      <x:c r="T1687" s="47" t="n">
        <x:v>83.94</x:v>
      </x:c>
      <x:c r="U1687" s="47" t="n">
        <x:v>30.5</x:v>
      </x:c>
      <x:c r="V1687" s="47" t="n">
        <x:v>18.4</x:v>
      </x:c>
      <x:c r="W1687" s="47" t="n">
        <x:v>147</x:v>
      </x:c>
      <x:c r="X1687" s="47" t="n">
        <x:v>214</x:v>
      </x:c>
      <x:c r="Y1687" s="41" t="n">
        <x:v>67</x:v>
      </x:c>
    </x:row>
    <x:row r="1688">
      <x:c r="A1688" s="38" t="str">
        <x:v>7月30日现场数据</x:v>
      </x:c>
      <x:c r="B1688" s="66" t="str">
        <x:v>2026-08-05T10:10:17.330000</x:v>
      </x:c>
      <x:c r="C1688" s="47" t="n">
        <x:v>301004</x:v>
      </x:c>
      <x:c r="D1688" s="47" t="str"/>
      <x:c r="E1688" s="47" t="str"/>
      <x:c r="F1688" s="47" t="str">
        <x:v>current</x:v>
      </x:c>
      <x:c r="G1688" s="47" t="n">
        <x:v>1684</x:v>
      </x:c>
      <x:c r="H1688" s="53" t="b">
        <x:v>1</x:v>
      </x:c>
      <x:c r="I1688" s="47" t="str">
        <x:v>4109905524</x:v>
      </x:c>
      <x:c r="J1688" s="47" t="n">
        <x:v>125542455</x:v>
      </x:c>
      <x:c r="K1688" s="53" t="b">
        <x:v>1</x:v>
      </x:c>
      <x:c r="L1688" s="53" t="b">
        <x:v>1</x:v>
      </x:c>
      <x:c r="M1688" s="53" t="b">
        <x:v>1</x:v>
      </x:c>
      <x:c r="N1688" s="53" t="b">
        <x:v>1</x:v>
      </x:c>
      <x:c r="O1688" s="53" t="b">
        <x:v>1</x:v>
      </x:c>
      <x:c r="P1688" s="47" t="n">
        <x:v>1010</x:v>
      </x:c>
      <x:c r="Q1688" s="47" t="n">
        <x:v>0</x:v>
      </x:c>
      <x:c r="R1688" s="47" t="n">
        <x:v>0</x:v>
      </x:c>
      <x:c r="S1688" s="47" t="n">
        <x:v>44.62</x:v>
      </x:c>
      <x:c r="T1688" s="47" t="n">
        <x:v>83.55</x:v>
      </x:c>
      <x:c r="U1688" s="47" t="n">
        <x:v>30.6</x:v>
      </x:c>
      <x:c r="V1688" s="47" t="n">
        <x:v>18.4</x:v>
      </x:c>
      <x:c r="W1688" s="47" t="n">
        <x:v>140</x:v>
      </x:c>
      <x:c r="X1688" s="47" t="n">
        <x:v>239</x:v>
      </x:c>
      <x:c r="Y1688" s="41" t="n">
        <x:v>99</x:v>
      </x:c>
    </x:row>
    <x:row r="1689">
      <x:c r="A1689" s="38" t="str">
        <x:v>7月30日现场数据</x:v>
      </x:c>
      <x:c r="B1689" s="66" t="str">
        <x:v>2026-08-05T10:15:18.309000</x:v>
      </x:c>
      <x:c r="C1689" s="47" t="n">
        <x:v>300979</x:v>
      </x:c>
      <x:c r="D1689" s="47" t="str"/>
      <x:c r="E1689" s="47" t="str"/>
      <x:c r="F1689" s="47" t="str">
        <x:v>current</x:v>
      </x:c>
      <x:c r="G1689" s="47" t="n">
        <x:v>1685</x:v>
      </x:c>
      <x:c r="H1689" s="53" t="b">
        <x:v>1</x:v>
      </x:c>
      <x:c r="I1689" s="47" t="str">
        <x:v>4109905524</x:v>
      </x:c>
      <x:c r="J1689" s="47" t="n">
        <x:v>125843434</x:v>
      </x:c>
      <x:c r="K1689" s="53" t="b">
        <x:v>1</x:v>
      </x:c>
      <x:c r="L1689" s="53" t="b">
        <x:v>1</x:v>
      </x:c>
      <x:c r="M1689" s="53" t="b">
        <x:v>1</x:v>
      </x:c>
      <x:c r="N1689" s="53" t="b">
        <x:v>1</x:v>
      </x:c>
      <x:c r="O1689" s="53" t="b">
        <x:v>1</x:v>
      </x:c>
      <x:c r="P1689" s="47" t="n">
        <x:v>1009</x:v>
      </x:c>
      <x:c r="Q1689" s="47" t="n">
        <x:v>0</x:v>
      </x:c>
      <x:c r="R1689" s="47" t="n">
        <x:v>0</x:v>
      </x:c>
      <x:c r="S1689" s="47" t="n">
        <x:v>44.06</x:v>
      </x:c>
      <x:c r="T1689" s="47" t="n">
        <x:v>83.23</x:v>
      </x:c>
      <x:c r="U1689" s="47" t="n">
        <x:v>30.6</x:v>
      </x:c>
      <x:c r="V1689" s="47" t="n">
        <x:v>18.4</x:v>
      </x:c>
      <x:c r="W1689" s="47" t="n">
        <x:v>88</x:v>
      </x:c>
      <x:c r="X1689" s="47" t="n">
        <x:v>211</x:v>
      </x:c>
      <x:c r="Y1689" s="41" t="n">
        <x:v>123</x:v>
      </x:c>
    </x:row>
    <x:row r="1690">
      <x:c r="A1690" s="38" t="str">
        <x:v>7月30日现场数据</x:v>
      </x:c>
      <x:c r="B1690" s="66" t="str">
        <x:v>2026-08-05T10:20:19.326000</x:v>
      </x:c>
      <x:c r="C1690" s="47" t="n">
        <x:v>301017</x:v>
      </x:c>
      <x:c r="D1690" s="47" t="str"/>
      <x:c r="E1690" s="47" t="str"/>
      <x:c r="F1690" s="47" t="str">
        <x:v>current</x:v>
      </x:c>
      <x:c r="G1690" s="47" t="n">
        <x:v>1686</x:v>
      </x:c>
      <x:c r="H1690" s="53" t="b">
        <x:v>1</x:v>
      </x:c>
      <x:c r="I1690" s="47" t="str">
        <x:v>4109905524</x:v>
      </x:c>
      <x:c r="J1690" s="47" t="n">
        <x:v>126144451</x:v>
      </x:c>
      <x:c r="K1690" s="53" t="b">
        <x:v>1</x:v>
      </x:c>
      <x:c r="L1690" s="53" t="b">
        <x:v>1</x:v>
      </x:c>
      <x:c r="M1690" s="53" t="b">
        <x:v>1</x:v>
      </x:c>
      <x:c r="N1690" s="53" t="b">
        <x:v>1</x:v>
      </x:c>
      <x:c r="O1690" s="53" t="b">
        <x:v>1</x:v>
      </x:c>
      <x:c r="P1690" s="47" t="n">
        <x:v>1010</x:v>
      </x:c>
      <x:c r="Q1690" s="47" t="n">
        <x:v>0</x:v>
      </x:c>
      <x:c r="R1690" s="47" t="n">
        <x:v>0</x:v>
      </x:c>
      <x:c r="S1690" s="47" t="n">
        <x:v>42.52</x:v>
      </x:c>
      <x:c r="T1690" s="47" t="n">
        <x:v>82.66</x:v>
      </x:c>
      <x:c r="U1690" s="47" t="n">
        <x:v>30.7</x:v>
      </x:c>
      <x:c r="V1690" s="47" t="n">
        <x:v>18.3</x:v>
      </x:c>
      <x:c r="W1690" s="47" t="n">
        <x:v>128</x:v>
      </x:c>
      <x:c r="X1690" s="47" t="n">
        <x:v>212</x:v>
      </x:c>
      <x:c r="Y1690" s="41" t="n">
        <x:v>84</x:v>
      </x:c>
    </x:row>
    <x:row r="1691">
      <x:c r="A1691" s="38" t="str">
        <x:v>7月30日现场数据</x:v>
      </x:c>
      <x:c r="B1691" s="66" t="str">
        <x:v>2026-08-05T10:25:20.282000</x:v>
      </x:c>
      <x:c r="C1691" s="47" t="n">
        <x:v>300956</x:v>
      </x:c>
      <x:c r="D1691" s="47" t="str"/>
      <x:c r="E1691" s="47" t="str"/>
      <x:c r="F1691" s="47" t="str">
        <x:v>current</x:v>
      </x:c>
      <x:c r="G1691" s="47" t="n">
        <x:v>1687</x:v>
      </x:c>
      <x:c r="H1691" s="53" t="b">
        <x:v>1</x:v>
      </x:c>
      <x:c r="I1691" s="47" t="str">
        <x:v>4109905524</x:v>
      </x:c>
      <x:c r="J1691" s="47" t="n">
        <x:v>126445407</x:v>
      </x:c>
      <x:c r="K1691" s="53" t="b">
        <x:v>1</x:v>
      </x:c>
      <x:c r="L1691" s="53" t="b">
        <x:v>1</x:v>
      </x:c>
      <x:c r="M1691" s="53" t="b">
        <x:v>1</x:v>
      </x:c>
      <x:c r="N1691" s="53" t="b">
        <x:v>1</x:v>
      </x:c>
      <x:c r="O1691" s="53" t="b">
        <x:v>1</x:v>
      </x:c>
      <x:c r="P1691" s="47" t="n">
        <x:v>1010</x:v>
      </x:c>
      <x:c r="Q1691" s="47" t="n">
        <x:v>0</x:v>
      </x:c>
      <x:c r="R1691" s="47" t="n">
        <x:v>0</x:v>
      </x:c>
      <x:c r="S1691" s="47" t="n">
        <x:v>43.32</x:v>
      </x:c>
      <x:c r="T1691" s="47" t="n">
        <x:v>82.19</x:v>
      </x:c>
      <x:c r="U1691" s="47" t="n">
        <x:v>30.8</x:v>
      </x:c>
      <x:c r="V1691" s="47" t="n">
        <x:v>18.3</x:v>
      </x:c>
      <x:c r="W1691" s="47" t="n">
        <x:v>133</x:v>
      </x:c>
      <x:c r="X1691" s="47" t="n">
        <x:v>249</x:v>
      </x:c>
      <x:c r="Y1691" s="41" t="n">
        <x:v>116</x:v>
      </x:c>
    </x:row>
    <x:row r="1692">
      <x:c r="A1692" s="38" t="str">
        <x:v>7月30日现场数据</x:v>
      </x:c>
      <x:c r="B1692" s="66" t="str">
        <x:v>2026-08-05T10:30:21.241000</x:v>
      </x:c>
      <x:c r="C1692" s="47" t="n">
        <x:v>300959</x:v>
      </x:c>
      <x:c r="D1692" s="47" t="str"/>
      <x:c r="E1692" s="47" t="str"/>
      <x:c r="F1692" s="47" t="str">
        <x:v>current</x:v>
      </x:c>
      <x:c r="G1692" s="47" t="n">
        <x:v>1688</x:v>
      </x:c>
      <x:c r="H1692" s="53" t="b">
        <x:v>1</x:v>
      </x:c>
      <x:c r="I1692" s="47" t="str">
        <x:v>4109905524</x:v>
      </x:c>
      <x:c r="J1692" s="47" t="n">
        <x:v>126746366</x:v>
      </x:c>
      <x:c r="K1692" s="53" t="b">
        <x:v>1</x:v>
      </x:c>
      <x:c r="L1692" s="53" t="b">
        <x:v>1</x:v>
      </x:c>
      <x:c r="M1692" s="53" t="b">
        <x:v>1</x:v>
      </x:c>
      <x:c r="N1692" s="53" t="b">
        <x:v>1</x:v>
      </x:c>
      <x:c r="O1692" s="53" t="b">
        <x:v>1</x:v>
      </x:c>
      <x:c r="P1692" s="47" t="n">
        <x:v>1009</x:v>
      </x:c>
      <x:c r="Q1692" s="47" t="n">
        <x:v>0</x:v>
      </x:c>
      <x:c r="R1692" s="47" t="n">
        <x:v>0</x:v>
      </x:c>
      <x:c r="S1692" s="47" t="n">
        <x:v>42.27</x:v>
      </x:c>
      <x:c r="T1692" s="47" t="n">
        <x:v>82.05</x:v>
      </x:c>
      <x:c r="U1692" s="47" t="n">
        <x:v>30.8</x:v>
      </x:c>
      <x:c r="V1692" s="47" t="n">
        <x:v>18.2</x:v>
      </x:c>
      <x:c r="W1692" s="47" t="n">
        <x:v>38</x:v>
      </x:c>
      <x:c r="X1692" s="47" t="n">
        <x:v>153</x:v>
      </x:c>
      <x:c r="Y1692" s="41" t="n">
        <x:v>115</x:v>
      </x:c>
    </x:row>
    <x:row r="1693">
      <x:c r="A1693" s="38" t="str">
        <x:v>7月30日现场数据</x:v>
      </x:c>
      <x:c r="B1693" s="66" t="str">
        <x:v>2026-08-05T10:35:22.201000</x:v>
      </x:c>
      <x:c r="C1693" s="47" t="n">
        <x:v>300960</x:v>
      </x:c>
      <x:c r="D1693" s="47" t="str"/>
      <x:c r="E1693" s="47" t="str"/>
      <x:c r="F1693" s="47" t="str">
        <x:v>current</x:v>
      </x:c>
      <x:c r="G1693" s="47" t="n">
        <x:v>1689</x:v>
      </x:c>
      <x:c r="H1693" s="53" t="b">
        <x:v>1</x:v>
      </x:c>
      <x:c r="I1693" s="47" t="str">
        <x:v>4109905524</x:v>
      </x:c>
      <x:c r="J1693" s="47" t="n">
        <x:v>127047326</x:v>
      </x:c>
      <x:c r="K1693" s="53" t="b">
        <x:v>1</x:v>
      </x:c>
      <x:c r="L1693" s="53" t="b">
        <x:v>1</x:v>
      </x:c>
      <x:c r="M1693" s="53" t="b">
        <x:v>1</x:v>
      </x:c>
      <x:c r="N1693" s="53" t="b">
        <x:v>1</x:v>
      </x:c>
      <x:c r="O1693" s="53" t="b">
        <x:v>1</x:v>
      </x:c>
      <x:c r="P1693" s="47" t="n">
        <x:v>1010</x:v>
      </x:c>
      <x:c r="Q1693" s="47" t="n">
        <x:v>0</x:v>
      </x:c>
      <x:c r="R1693" s="47" t="n">
        <x:v>0</x:v>
      </x:c>
      <x:c r="S1693" s="47" t="n">
        <x:v>40.51</x:v>
      </x:c>
      <x:c r="T1693" s="47" t="n">
        <x:v>81.46</x:v>
      </x:c>
      <x:c r="U1693" s="47" t="n">
        <x:v>30.8</x:v>
      </x:c>
      <x:c r="V1693" s="47" t="n">
        <x:v>18.2</x:v>
      </x:c>
      <x:c r="W1693" s="47" t="n">
        <x:v>135</x:v>
      </x:c>
      <x:c r="X1693" s="47" t="n">
        <x:v>276</x:v>
      </x:c>
      <x:c r="Y1693" s="41" t="n">
        <x:v>141</x:v>
      </x:c>
    </x:row>
    <x:row r="1694">
      <x:c r="A1694" s="38" t="str">
        <x:v>7月30日现场数据</x:v>
      </x:c>
      <x:c r="B1694" s="66" t="str">
        <x:v>2026-08-05T10:40:23.165000</x:v>
      </x:c>
      <x:c r="C1694" s="47" t="n">
        <x:v>300964</x:v>
      </x:c>
      <x:c r="D1694" s="47" t="str"/>
      <x:c r="E1694" s="47" t="str"/>
      <x:c r="F1694" s="47" t="str">
        <x:v>current</x:v>
      </x:c>
      <x:c r="G1694" s="47" t="n">
        <x:v>1690</x:v>
      </x:c>
      <x:c r="H1694" s="53" t="b">
        <x:v>1</x:v>
      </x:c>
      <x:c r="I1694" s="47" t="str">
        <x:v>4109905524</x:v>
      </x:c>
      <x:c r="J1694" s="47" t="n">
        <x:v>127348290</x:v>
      </x:c>
      <x:c r="K1694" s="53" t="b">
        <x:v>1</x:v>
      </x:c>
      <x:c r="L1694" s="53" t="b">
        <x:v>1</x:v>
      </x:c>
      <x:c r="M1694" s="53" t="b">
        <x:v>1</x:v>
      </x:c>
      <x:c r="N1694" s="53" t="b">
        <x:v>1</x:v>
      </x:c>
      <x:c r="O1694" s="53" t="b">
        <x:v>1</x:v>
      </x:c>
      <x:c r="P1694" s="47" t="n">
        <x:v>1009</x:v>
      </x:c>
      <x:c r="Q1694" s="47" t="n">
        <x:v>0.048</x:v>
      </x:c>
      <x:c r="R1694" s="47" t="n">
        <x:v>1.286</x:v>
      </x:c>
      <x:c r="S1694" s="47" t="n">
        <x:v>39.5</x:v>
      </x:c>
      <x:c r="T1694" s="47" t="n">
        <x:v>81.14</x:v>
      </x:c>
      <x:c r="U1694" s="47" t="n">
        <x:v>30.8</x:v>
      </x:c>
      <x:c r="V1694" s="47" t="n">
        <x:v>18.1</x:v>
      </x:c>
      <x:c r="W1694" s="47" t="n">
        <x:v>60</x:v>
      </x:c>
      <x:c r="X1694" s="47" t="n">
        <x:v>192</x:v>
      </x:c>
      <x:c r="Y1694" s="41" t="n">
        <x:v>132</x:v>
      </x:c>
    </x:row>
    <x:row r="1695">
      <x:c r="A1695" s="38" t="str">
        <x:v>7月30日现场数据</x:v>
      </x:c>
      <x:c r="B1695" s="66" t="str">
        <x:v>2026-08-05T10:45:24.129000</x:v>
      </x:c>
      <x:c r="C1695" s="47" t="n">
        <x:v>300964</x:v>
      </x:c>
      <x:c r="D1695" s="47" t="str"/>
      <x:c r="E1695" s="47" t="str"/>
      <x:c r="F1695" s="47" t="str">
        <x:v>current</x:v>
      </x:c>
      <x:c r="G1695" s="47" t="n">
        <x:v>1691</x:v>
      </x:c>
      <x:c r="H1695" s="53" t="b">
        <x:v>1</x:v>
      </x:c>
      <x:c r="I1695" s="47" t="str">
        <x:v>4109905524</x:v>
      </x:c>
      <x:c r="J1695" s="47" t="n">
        <x:v>127649254</x:v>
      </x:c>
      <x:c r="K1695" s="53" t="b">
        <x:v>1</x:v>
      </x:c>
      <x:c r="L1695" s="53" t="b">
        <x:v>1</x:v>
      </x:c>
      <x:c r="M1695" s="53" t="b">
        <x:v>1</x:v>
      </x:c>
      <x:c r="N1695" s="53" t="b">
        <x:v>1</x:v>
      </x:c>
      <x:c r="O1695" s="53" t="b">
        <x:v>1</x:v>
      </x:c>
      <x:c r="P1695" s="47" t="n">
        <x:v>1009</x:v>
      </x:c>
      <x:c r="Q1695" s="47" t="n">
        <x:v>0.098</x:v>
      </x:c>
      <x:c r="R1695" s="47" t="n">
        <x:v>2.637</x:v>
      </x:c>
      <x:c r="S1695" s="47" t="n">
        <x:v>38.22</x:v>
      </x:c>
      <x:c r="T1695" s="47" t="n">
        <x:v>80.81</x:v>
      </x:c>
      <x:c r="U1695" s="47" t="n">
        <x:v>30.8</x:v>
      </x:c>
      <x:c r="V1695" s="47" t="n">
        <x:v>18.1</x:v>
      </x:c>
      <x:c r="W1695" s="47" t="n">
        <x:v>40</x:v>
      </x:c>
      <x:c r="X1695" s="47" t="n">
        <x:v>163</x:v>
      </x:c>
      <x:c r="Y1695" s="41" t="n">
        <x:v>123</x:v>
      </x:c>
    </x:row>
    <x:row r="1696">
      <x:c r="A1696" s="38" t="str">
        <x:v>7月30日现场数据</x:v>
      </x:c>
      <x:c r="B1696" s="66" t="str">
        <x:v>2026-08-05T10:50:25.095000</x:v>
      </x:c>
      <x:c r="C1696" s="47" t="n">
        <x:v>300966</x:v>
      </x:c>
      <x:c r="D1696" s="47" t="str"/>
      <x:c r="E1696" s="47" t="str"/>
      <x:c r="F1696" s="47" t="str">
        <x:v>current</x:v>
      </x:c>
      <x:c r="G1696" s="47" t="n">
        <x:v>1692</x:v>
      </x:c>
      <x:c r="H1696" s="53" t="b">
        <x:v>1</x:v>
      </x:c>
      <x:c r="I1696" s="47" t="str">
        <x:v>4109905524</x:v>
      </x:c>
      <x:c r="J1696" s="47" t="n">
        <x:v>127950220</x:v>
      </x:c>
      <x:c r="K1696" s="53" t="b">
        <x:v>1</x:v>
      </x:c>
      <x:c r="L1696" s="53" t="b">
        <x:v>1</x:v>
      </x:c>
      <x:c r="M1696" s="53" t="b">
        <x:v>1</x:v>
      </x:c>
      <x:c r="N1696" s="53" t="b">
        <x:v>1</x:v>
      </x:c>
      <x:c r="O1696" s="53" t="b">
        <x:v>1</x:v>
      </x:c>
      <x:c r="P1696" s="47" t="n">
        <x:v>1009</x:v>
      </x:c>
      <x:c r="Q1696" s="47" t="n">
        <x:v>0</x:v>
      </x:c>
      <x:c r="R1696" s="47" t="n">
        <x:v>0</x:v>
      </x:c>
      <x:c r="S1696" s="47" t="n">
        <x:v>37.3</x:v>
      </x:c>
      <x:c r="T1696" s="47" t="n">
        <x:v>80.42</x:v>
      </x:c>
      <x:c r="U1696" s="47" t="n">
        <x:v>30.8</x:v>
      </x:c>
      <x:c r="V1696" s="47" t="n">
        <x:v>18</x:v>
      </x:c>
      <x:c r="W1696" s="47" t="n">
        <x:v>34</x:v>
      </x:c>
      <x:c r="X1696" s="47" t="n">
        <x:v>142</x:v>
      </x:c>
      <x:c r="Y1696" s="41" t="n">
        <x:v>108</x:v>
      </x:c>
    </x:row>
    <x:row r="1697">
      <x:c r="A1697" s="38" t="str">
        <x:v>7月30日现场数据</x:v>
      </x:c>
      <x:c r="B1697" s="66" t="str">
        <x:v>2026-08-05T10:55:26.063000</x:v>
      </x:c>
      <x:c r="C1697" s="47" t="n">
        <x:v>300968</x:v>
      </x:c>
      <x:c r="D1697" s="47" t="str"/>
      <x:c r="E1697" s="47" t="str"/>
      <x:c r="F1697" s="47" t="str">
        <x:v>current</x:v>
      </x:c>
      <x:c r="G1697" s="47" t="n">
        <x:v>1693</x:v>
      </x:c>
      <x:c r="H1697" s="53" t="b">
        <x:v>1</x:v>
      </x:c>
      <x:c r="I1697" s="47" t="str">
        <x:v>4109905524</x:v>
      </x:c>
      <x:c r="J1697" s="47" t="n">
        <x:v>128251188</x:v>
      </x:c>
      <x:c r="K1697" s="53" t="b">
        <x:v>1</x:v>
      </x:c>
      <x:c r="L1697" s="53" t="b">
        <x:v>1</x:v>
      </x:c>
      <x:c r="M1697" s="53" t="b">
        <x:v>1</x:v>
      </x:c>
      <x:c r="N1697" s="53" t="b">
        <x:v>1</x:v>
      </x:c>
      <x:c r="O1697" s="53" t="b">
        <x:v>1</x:v>
      </x:c>
      <x:c r="P1697" s="47" t="n">
        <x:v>1010</x:v>
      </x:c>
      <x:c r="Q1697" s="47" t="n">
        <x:v>0</x:v>
      </x:c>
      <x:c r="R1697" s="47" t="n">
        <x:v>0</x:v>
      </x:c>
      <x:c r="S1697" s="47" t="n">
        <x:v>37.26</x:v>
      </x:c>
      <x:c r="T1697" s="47" t="n">
        <x:v>80.13</x:v>
      </x:c>
      <x:c r="U1697" s="47" t="n">
        <x:v>30.7</x:v>
      </x:c>
      <x:c r="V1697" s="47" t="n">
        <x:v>18</x:v>
      </x:c>
      <x:c r="W1697" s="47" t="n">
        <x:v>79</x:v>
      </x:c>
      <x:c r="X1697" s="47" t="n">
        <x:v>220</x:v>
      </x:c>
      <x:c r="Y1697" s="41" t="n">
        <x:v>141</x:v>
      </x:c>
    </x:row>
    <x:row r="1698">
      <x:c r="A1698" s="38" t="str">
        <x:v>7月30日现场数据</x:v>
      </x:c>
      <x:c r="B1698" s="66" t="str">
        <x:v>2026-08-05T11:00:27.032000</x:v>
      </x:c>
      <x:c r="C1698" s="47" t="n">
        <x:v>300969</x:v>
      </x:c>
      <x:c r="D1698" s="47" t="str"/>
      <x:c r="E1698" s="47" t="str"/>
      <x:c r="F1698" s="47" t="str">
        <x:v>current</x:v>
      </x:c>
      <x:c r="G1698" s="47" t="n">
        <x:v>1694</x:v>
      </x:c>
      <x:c r="H1698" s="53" t="b">
        <x:v>1</x:v>
      </x:c>
      <x:c r="I1698" s="47" t="str">
        <x:v>4109905524</x:v>
      </x:c>
      <x:c r="J1698" s="47" t="n">
        <x:v>128552157</x:v>
      </x:c>
      <x:c r="K1698" s="53" t="b">
        <x:v>1</x:v>
      </x:c>
      <x:c r="L1698" s="53" t="b">
        <x:v>1</x:v>
      </x:c>
      <x:c r="M1698" s="53" t="b">
        <x:v>1</x:v>
      </x:c>
      <x:c r="N1698" s="53" t="b">
        <x:v>1</x:v>
      </x:c>
      <x:c r="O1698" s="53" t="b">
        <x:v>1</x:v>
      </x:c>
      <x:c r="P1698" s="47" t="n">
        <x:v>1009</x:v>
      </x:c>
      <x:c r="Q1698" s="47" t="n">
        <x:v>0</x:v>
      </x:c>
      <x:c r="R1698" s="47" t="n">
        <x:v>0</x:v>
      </x:c>
      <x:c r="S1698" s="47" t="n">
        <x:v>37.81</x:v>
      </x:c>
      <x:c r="T1698" s="47" t="n">
        <x:v>80.08</x:v>
      </x:c>
      <x:c r="U1698" s="47" t="n">
        <x:v>30.7</x:v>
      </x:c>
      <x:c r="V1698" s="47" t="n">
        <x:v>18</x:v>
      </x:c>
      <x:c r="W1698" s="47" t="n">
        <x:v>93</x:v>
      </x:c>
      <x:c r="X1698" s="47" t="n">
        <x:v>265</x:v>
      </x:c>
      <x:c r="Y1698" s="41" t="n">
        <x:v>172</x:v>
      </x:c>
    </x:row>
    <x:row r="1699">
      <x:c r="A1699" s="38" t="str">
        <x:v>7月30日现场数据</x:v>
      </x:c>
      <x:c r="B1699" s="66" t="str">
        <x:v>2026-08-05T11:05:28.003000</x:v>
      </x:c>
      <x:c r="C1699" s="47" t="n">
        <x:v>300971</x:v>
      </x:c>
      <x:c r="D1699" s="47" t="str"/>
      <x:c r="E1699" s="47" t="str"/>
      <x:c r="F1699" s="47" t="str">
        <x:v>current</x:v>
      </x:c>
      <x:c r="G1699" s="47" t="n">
        <x:v>1695</x:v>
      </x:c>
      <x:c r="H1699" s="53" t="b">
        <x:v>1</x:v>
      </x:c>
      <x:c r="I1699" s="47" t="str">
        <x:v>4109905524</x:v>
      </x:c>
      <x:c r="J1699" s="47" t="n">
        <x:v>128853128</x:v>
      </x:c>
      <x:c r="K1699" s="53" t="b">
        <x:v>1</x:v>
      </x:c>
      <x:c r="L1699" s="53" t="b">
        <x:v>1</x:v>
      </x:c>
      <x:c r="M1699" s="53" t="b">
        <x:v>1</x:v>
      </x:c>
      <x:c r="N1699" s="53" t="b">
        <x:v>1</x:v>
      </x:c>
      <x:c r="O1699" s="53" t="b">
        <x:v>1</x:v>
      </x:c>
      <x:c r="P1699" s="47" t="n">
        <x:v>1009</x:v>
      </x:c>
      <x:c r="Q1699" s="47" t="n">
        <x:v>0</x:v>
      </x:c>
      <x:c r="R1699" s="47" t="n">
        <x:v>0</x:v>
      </x:c>
      <x:c r="S1699" s="47" t="n">
        <x:v>38.14</x:v>
      </x:c>
      <x:c r="T1699" s="47" t="n">
        <x:v>80</x:v>
      </x:c>
      <x:c r="U1699" s="47" t="n">
        <x:v>30.8</x:v>
      </x:c>
      <x:c r="V1699" s="47" t="n">
        <x:v>17.9</x:v>
      </x:c>
      <x:c r="W1699" s="47" t="n">
        <x:v>87</x:v>
      </x:c>
      <x:c r="X1699" s="47" t="n">
        <x:v>337</x:v>
      </x:c>
      <x:c r="Y1699" s="41" t="n">
        <x:v>250</x:v>
      </x:c>
    </x:row>
    <x:row r="1700">
      <x:c r="A1700" s="38" t="str">
        <x:v>7月30日现场数据</x:v>
      </x:c>
      <x:c r="B1700" s="66" t="str">
        <x:v>2026-08-05T11:10:28.976000</x:v>
      </x:c>
      <x:c r="C1700" s="47" t="n">
        <x:v>300973</x:v>
      </x:c>
      <x:c r="D1700" s="47" t="str"/>
      <x:c r="E1700" s="47" t="str"/>
      <x:c r="F1700" s="47" t="str">
        <x:v>current</x:v>
      </x:c>
      <x:c r="G1700" s="47" t="n">
        <x:v>1696</x:v>
      </x:c>
      <x:c r="H1700" s="53" t="b">
        <x:v>1</x:v>
      </x:c>
      <x:c r="I1700" s="47" t="str">
        <x:v>4109905524</x:v>
      </x:c>
      <x:c r="J1700" s="47" t="n">
        <x:v>129154101</x:v>
      </x:c>
      <x:c r="K1700" s="53" t="b">
        <x:v>1</x:v>
      </x:c>
      <x:c r="L1700" s="53" t="b">
        <x:v>1</x:v>
      </x:c>
      <x:c r="M1700" s="53" t="b">
        <x:v>1</x:v>
      </x:c>
      <x:c r="N1700" s="53" t="b">
        <x:v>1</x:v>
      </x:c>
      <x:c r="O1700" s="53" t="b">
        <x:v>1</x:v>
      </x:c>
      <x:c r="P1700" s="47" t="n">
        <x:v>1009</x:v>
      </x:c>
      <x:c r="Q1700" s="47" t="n">
        <x:v>0</x:v>
      </x:c>
      <x:c r="R1700" s="47" t="n">
        <x:v>0</x:v>
      </x:c>
      <x:c r="S1700" s="47" t="n">
        <x:v>38.53</x:v>
      </x:c>
      <x:c r="T1700" s="47" t="n">
        <x:v>79.95</x:v>
      </x:c>
      <x:c r="U1700" s="47" t="n">
        <x:v>30.8</x:v>
      </x:c>
      <x:c r="V1700" s="47" t="n">
        <x:v>17.9</x:v>
      </x:c>
      <x:c r="W1700" s="47" t="n">
        <x:v>85</x:v>
      </x:c>
      <x:c r="X1700" s="47" t="n">
        <x:v>190</x:v>
      </x:c>
      <x:c r="Y1700" s="41" t="n">
        <x:v>105</x:v>
      </x:c>
    </x:row>
    <x:row r="1701">
      <x:c r="A1701" s="38" t="str">
        <x:v>7月30日现场数据</x:v>
      </x:c>
      <x:c r="B1701" s="66" t="str">
        <x:v>2026-08-05T11:15:29.950000</x:v>
      </x:c>
      <x:c r="C1701" s="47" t="n">
        <x:v>300974</x:v>
      </x:c>
      <x:c r="D1701" s="47" t="str"/>
      <x:c r="E1701" s="47" t="str"/>
      <x:c r="F1701" s="47" t="str">
        <x:v>current</x:v>
      </x:c>
      <x:c r="G1701" s="47" t="n">
        <x:v>1697</x:v>
      </x:c>
      <x:c r="H1701" s="53" t="b">
        <x:v>1</x:v>
      </x:c>
      <x:c r="I1701" s="47" t="str">
        <x:v>4109905524</x:v>
      </x:c>
      <x:c r="J1701" s="47" t="n">
        <x:v>129455075</x:v>
      </x:c>
      <x:c r="K1701" s="53" t="b">
        <x:v>1</x:v>
      </x:c>
      <x:c r="L1701" s="53" t="b">
        <x:v>1</x:v>
      </x:c>
      <x:c r="M1701" s="53" t="b">
        <x:v>1</x:v>
      </x:c>
      <x:c r="N1701" s="53" t="b">
        <x:v>1</x:v>
      </x:c>
      <x:c r="O1701" s="53" t="b">
        <x:v>1</x:v>
      </x:c>
      <x:c r="P1701" s="47" t="n">
        <x:v>1009</x:v>
      </x:c>
      <x:c r="Q1701" s="47" t="n">
        <x:v>0</x:v>
      </x:c>
      <x:c r="R1701" s="47" t="n">
        <x:v>0</x:v>
      </x:c>
      <x:c r="S1701" s="47" t="n">
        <x:v>38.72</x:v>
      </x:c>
      <x:c r="T1701" s="47" t="n">
        <x:v>79.87</x:v>
      </x:c>
      <x:c r="U1701" s="47" t="n">
        <x:v>30.8</x:v>
      </x:c>
      <x:c r="V1701" s="47" t="n">
        <x:v>17.8</x:v>
      </x:c>
      <x:c r="W1701" s="47" t="n">
        <x:v>82</x:v>
      </x:c>
      <x:c r="X1701" s="47" t="n">
        <x:v>189</x:v>
      </x:c>
      <x:c r="Y1701" s="41" t="n">
        <x:v>107</x:v>
      </x:c>
    </x:row>
    <x:row r="1702">
      <x:c r="A1702" s="38" t="str">
        <x:v>7月30日现场数据</x:v>
      </x:c>
      <x:c r="B1702" s="66" t="str">
        <x:v>2026-08-05T11:20:30.926000</x:v>
      </x:c>
      <x:c r="C1702" s="47" t="n">
        <x:v>300976</x:v>
      </x:c>
      <x:c r="D1702" s="47" t="str"/>
      <x:c r="E1702" s="47" t="str"/>
      <x:c r="F1702" s="47" t="str">
        <x:v>current</x:v>
      </x:c>
      <x:c r="G1702" s="47" t="n">
        <x:v>1698</x:v>
      </x:c>
      <x:c r="H1702" s="53" t="b">
        <x:v>1</x:v>
      </x:c>
      <x:c r="I1702" s="47" t="str">
        <x:v>4109905524</x:v>
      </x:c>
      <x:c r="J1702" s="47" t="n">
        <x:v>129756051</x:v>
      </x:c>
      <x:c r="K1702" s="53" t="b">
        <x:v>1</x:v>
      </x:c>
      <x:c r="L1702" s="53" t="b">
        <x:v>1</x:v>
      </x:c>
      <x:c r="M1702" s="53" t="b">
        <x:v>1</x:v>
      </x:c>
      <x:c r="N1702" s="53" t="b">
        <x:v>1</x:v>
      </x:c>
      <x:c r="O1702" s="53" t="b">
        <x:v>1</x:v>
      </x:c>
      <x:c r="P1702" s="47" t="n">
        <x:v>1009</x:v>
      </x:c>
      <x:c r="Q1702" s="47" t="n">
        <x:v>0</x:v>
      </x:c>
      <x:c r="R1702" s="47" t="n">
        <x:v>0</x:v>
      </x:c>
      <x:c r="S1702" s="47" t="n">
        <x:v>38.87</x:v>
      </x:c>
      <x:c r="T1702" s="47" t="n">
        <x:v>79.78</x:v>
      </x:c>
      <x:c r="U1702" s="47" t="n">
        <x:v>30.8</x:v>
      </x:c>
      <x:c r="V1702" s="47" t="n">
        <x:v>17.8</x:v>
      </x:c>
      <x:c r="W1702" s="47" t="n">
        <x:v>86</x:v>
      </x:c>
      <x:c r="X1702" s="47" t="n">
        <x:v>205</x:v>
      </x:c>
      <x:c r="Y1702" s="41" t="n">
        <x:v>119</x:v>
      </x:c>
    </x:row>
    <x:row r="1703">
      <x:c r="A1703" s="38" t="str">
        <x:v>7月30日现场数据</x:v>
      </x:c>
      <x:c r="B1703" s="66" t="str">
        <x:v>2026-08-05T11:25:31.905000</x:v>
      </x:c>
      <x:c r="C1703" s="47" t="n">
        <x:v>300979</x:v>
      </x:c>
      <x:c r="D1703" s="47" t="str"/>
      <x:c r="E1703" s="47" t="str"/>
      <x:c r="F1703" s="47" t="str">
        <x:v>current</x:v>
      </x:c>
      <x:c r="G1703" s="47" t="n">
        <x:v>1699</x:v>
      </x:c>
      <x:c r="H1703" s="53" t="b">
        <x:v>1</x:v>
      </x:c>
      <x:c r="I1703" s="47" t="str">
        <x:v>4109905524</x:v>
      </x:c>
      <x:c r="J1703" s="47" t="n">
        <x:v>130057030</x:v>
      </x:c>
      <x:c r="K1703" s="53" t="b">
        <x:v>1</x:v>
      </x:c>
      <x:c r="L1703" s="53" t="b">
        <x:v>1</x:v>
      </x:c>
      <x:c r="M1703" s="53" t="b">
        <x:v>1</x:v>
      </x:c>
      <x:c r="N1703" s="53" t="b">
        <x:v>1</x:v>
      </x:c>
      <x:c r="O1703" s="53" t="b">
        <x:v>1</x:v>
      </x:c>
      <x:c r="P1703" s="47" t="n">
        <x:v>1009</x:v>
      </x:c>
      <x:c r="Q1703" s="47" t="n">
        <x:v>0</x:v>
      </x:c>
      <x:c r="R1703" s="47" t="n">
        <x:v>0</x:v>
      </x:c>
      <x:c r="S1703" s="47" t="n">
        <x:v>38.44</x:v>
      </x:c>
      <x:c r="T1703" s="47" t="n">
        <x:v>79.61</x:v>
      </x:c>
      <x:c r="U1703" s="47" t="n">
        <x:v>30.9</x:v>
      </x:c>
      <x:c r="V1703" s="47" t="n">
        <x:v>17.7</x:v>
      </x:c>
      <x:c r="W1703" s="47" t="n">
        <x:v>88</x:v>
      </x:c>
      <x:c r="X1703" s="47" t="n">
        <x:v>220</x:v>
      </x:c>
      <x:c r="Y1703" s="41" t="n">
        <x:v>132</x:v>
      </x:c>
    </x:row>
    <x:row r="1704">
      <x:c r="A1704" s="38" t="str">
        <x:v>7月30日现场数据</x:v>
      </x:c>
      <x:c r="B1704" s="66" t="str">
        <x:v>2026-08-05T11:30:32.886000</x:v>
      </x:c>
      <x:c r="C1704" s="47" t="n">
        <x:v>300981</x:v>
      </x:c>
      <x:c r="D1704" s="47" t="str"/>
      <x:c r="E1704" s="47" t="str"/>
      <x:c r="F1704" s="47" t="str">
        <x:v>current</x:v>
      </x:c>
      <x:c r="G1704" s="47" t="n">
        <x:v>1700</x:v>
      </x:c>
      <x:c r="H1704" s="53" t="b">
        <x:v>1</x:v>
      </x:c>
      <x:c r="I1704" s="47" t="str">
        <x:v>4109905524</x:v>
      </x:c>
      <x:c r="J1704" s="47" t="n">
        <x:v>130358011</x:v>
      </x:c>
      <x:c r="K1704" s="53" t="b">
        <x:v>1</x:v>
      </x:c>
      <x:c r="L1704" s="53" t="b">
        <x:v>1</x:v>
      </x:c>
      <x:c r="M1704" s="53" t="b">
        <x:v>1</x:v>
      </x:c>
      <x:c r="N1704" s="53" t="b">
        <x:v>1</x:v>
      </x:c>
      <x:c r="O1704" s="53" t="b">
        <x:v>1</x:v>
      </x:c>
      <x:c r="P1704" s="47" t="n">
        <x:v>1008</x:v>
      </x:c>
      <x:c r="Q1704" s="47" t="n">
        <x:v>0</x:v>
      </x:c>
      <x:c r="R1704" s="47" t="n">
        <x:v>0</x:v>
      </x:c>
      <x:c r="S1704" s="47" t="n">
        <x:v>37.79</x:v>
      </x:c>
      <x:c r="T1704" s="47" t="n">
        <x:v>79.42</x:v>
      </x:c>
      <x:c r="U1704" s="47" t="n">
        <x:v>30.9</x:v>
      </x:c>
      <x:c r="V1704" s="47" t="n">
        <x:v>17.7</x:v>
      </x:c>
      <x:c r="W1704" s="47" t="n">
        <x:v>14</x:v>
      </x:c>
      <x:c r="X1704" s="47" t="n">
        <x:v>64</x:v>
      </x:c>
      <x:c r="Y1704" s="41" t="n">
        <x:v>50</x:v>
      </x:c>
    </x:row>
    <x:row r="1705">
      <x:c r="A1705" s="38" t="str">
        <x:v>7月30日现场数据</x:v>
      </x:c>
      <x:c r="B1705" s="66" t="str">
        <x:v>2026-08-05T11:35:33.867000</x:v>
      </x:c>
      <x:c r="C1705" s="47" t="n">
        <x:v>300981</x:v>
      </x:c>
      <x:c r="D1705" s="47" t="str"/>
      <x:c r="E1705" s="47" t="str"/>
      <x:c r="F1705" s="47" t="str">
        <x:v>current</x:v>
      </x:c>
      <x:c r="G1705" s="47" t="n">
        <x:v>1701</x:v>
      </x:c>
      <x:c r="H1705" s="53" t="b">
        <x:v>1</x:v>
      </x:c>
      <x:c r="I1705" s="47" t="str">
        <x:v>4109905524</x:v>
      </x:c>
      <x:c r="J1705" s="47" t="n">
        <x:v>130658992</x:v>
      </x:c>
      <x:c r="K1705" s="53" t="b">
        <x:v>1</x:v>
      </x:c>
      <x:c r="L1705" s="53" t="b">
        <x:v>1</x:v>
      </x:c>
      <x:c r="M1705" s="53" t="b">
        <x:v>1</x:v>
      </x:c>
      <x:c r="N1705" s="53" t="b">
        <x:v>1</x:v>
      </x:c>
      <x:c r="O1705" s="53" t="b">
        <x:v>1</x:v>
      </x:c>
      <x:c r="P1705" s="47" t="n">
        <x:v>1009</x:v>
      </x:c>
      <x:c r="Q1705" s="47" t="n">
        <x:v>0</x:v>
      </x:c>
      <x:c r="R1705" s="47" t="n">
        <x:v>0</x:v>
      </x:c>
      <x:c r="S1705" s="47" t="n">
        <x:v>36.73</x:v>
      </x:c>
      <x:c r="T1705" s="47" t="n">
        <x:v>79.14</x:v>
      </x:c>
      <x:c r="U1705" s="47" t="n">
        <x:v>30.9</x:v>
      </x:c>
      <x:c r="V1705" s="47" t="n">
        <x:v>17.7</x:v>
      </x:c>
      <x:c r="W1705" s="47" t="n">
        <x:v>22</x:v>
      </x:c>
      <x:c r="X1705" s="47" t="n">
        <x:v>99</x:v>
      </x:c>
      <x:c r="Y1705" s="41" t="n">
        <x:v>77</x:v>
      </x:c>
    </x:row>
    <x:row r="1706">
      <x:c r="A1706" s="38" t="str">
        <x:v>7月30日现场数据</x:v>
      </x:c>
      <x:c r="B1706" s="66" t="str">
        <x:v>2026-08-05T11:40:34.882000</x:v>
      </x:c>
      <x:c r="C1706" s="47" t="n">
        <x:v>301015</x:v>
      </x:c>
      <x:c r="D1706" s="47" t="str"/>
      <x:c r="E1706" s="47" t="str"/>
      <x:c r="F1706" s="47" t="str">
        <x:v>current</x:v>
      </x:c>
      <x:c r="G1706" s="47" t="n">
        <x:v>1702</x:v>
      </x:c>
      <x:c r="H1706" s="53" t="b">
        <x:v>1</x:v>
      </x:c>
      <x:c r="I1706" s="47" t="str">
        <x:v>4109905524</x:v>
      </x:c>
      <x:c r="J1706" s="47" t="n">
        <x:v>130960007</x:v>
      </x:c>
      <x:c r="K1706" s="53" t="b">
        <x:v>1</x:v>
      </x:c>
      <x:c r="L1706" s="53" t="b">
        <x:v>1</x:v>
      </x:c>
      <x:c r="M1706" s="53" t="b">
        <x:v>1</x:v>
      </x:c>
      <x:c r="N1706" s="53" t="b">
        <x:v>1</x:v>
      </x:c>
      <x:c r="O1706" s="53" t="b">
        <x:v>1</x:v>
      </x:c>
      <x:c r="P1706" s="47" t="n">
        <x:v>1009</x:v>
      </x:c>
      <x:c r="Q1706" s="47" t="n">
        <x:v>0</x:v>
      </x:c>
      <x:c r="R1706" s="47" t="n">
        <x:v>0</x:v>
      </x:c>
      <x:c r="S1706" s="47" t="n">
        <x:v>36.33</x:v>
      </x:c>
      <x:c r="T1706" s="47" t="n">
        <x:v>78.85</x:v>
      </x:c>
      <x:c r="U1706" s="47" t="n">
        <x:v>30.8</x:v>
      </x:c>
      <x:c r="V1706" s="47" t="n">
        <x:v>17.6</x:v>
      </x:c>
      <x:c r="W1706" s="47" t="n">
        <x:v>69</x:v>
      </x:c>
      <x:c r="X1706" s="47" t="n">
        <x:v>226</x:v>
      </x:c>
      <x:c r="Y1706" s="41" t="n">
        <x:v>157</x:v>
      </x:c>
    </x:row>
    <x:row r="1707">
      <x:c r="A1707" s="38" t="str">
        <x:v>7月30日现场数据</x:v>
      </x:c>
      <x:c r="B1707" s="66" t="str">
        <x:v>2026-08-05T11:45:35.841000</x:v>
      </x:c>
      <x:c r="C1707" s="47" t="n">
        <x:v>300959</x:v>
      </x:c>
      <x:c r="D1707" s="47" t="str"/>
      <x:c r="E1707" s="47" t="str"/>
      <x:c r="F1707" s="47" t="str">
        <x:v>current</x:v>
      </x:c>
      <x:c r="G1707" s="47" t="n">
        <x:v>1703</x:v>
      </x:c>
      <x:c r="H1707" s="53" t="b">
        <x:v>1</x:v>
      </x:c>
      <x:c r="I1707" s="47" t="str">
        <x:v>4109905524</x:v>
      </x:c>
      <x:c r="J1707" s="47" t="n">
        <x:v>131260966</x:v>
      </x:c>
      <x:c r="K1707" s="53" t="b">
        <x:v>1</x:v>
      </x:c>
      <x:c r="L1707" s="53" t="b">
        <x:v>1</x:v>
      </x:c>
      <x:c r="M1707" s="53" t="b">
        <x:v>1</x:v>
      </x:c>
      <x:c r="N1707" s="53" t="b">
        <x:v>1</x:v>
      </x:c>
      <x:c r="O1707" s="53" t="b">
        <x:v>1</x:v>
      </x:c>
      <x:c r="P1707" s="47" t="n">
        <x:v>1009</x:v>
      </x:c>
      <x:c r="Q1707" s="47" t="n">
        <x:v>0</x:v>
      </x:c>
      <x:c r="R1707" s="47" t="n">
        <x:v>0</x:v>
      </x:c>
      <x:c r="S1707" s="47" t="n">
        <x:v>36.44</x:v>
      </x:c>
      <x:c r="T1707" s="47" t="n">
        <x:v>78.8</x:v>
      </x:c>
      <x:c r="U1707" s="47" t="n">
        <x:v>30.8</x:v>
      </x:c>
      <x:c r="V1707" s="47" t="n">
        <x:v>17.6</x:v>
      </x:c>
      <x:c r="W1707" s="47" t="n">
        <x:v>23</x:v>
      </x:c>
      <x:c r="X1707" s="47" t="n">
        <x:v>104</x:v>
      </x:c>
      <x:c r="Y1707" s="41" t="n">
        <x:v>81</x:v>
      </x:c>
    </x:row>
    <x:row r="1708">
      <x:c r="A1708" s="38" t="str">
        <x:v>7月30日现场数据</x:v>
      </x:c>
      <x:c r="B1708" s="66" t="str">
        <x:v>2026-08-05T11:50:36.803000</x:v>
      </x:c>
      <x:c r="C1708" s="47" t="n">
        <x:v>300962</x:v>
      </x:c>
      <x:c r="D1708" s="47" t="str"/>
      <x:c r="E1708" s="47" t="str"/>
      <x:c r="F1708" s="47" t="str">
        <x:v>current</x:v>
      </x:c>
      <x:c r="G1708" s="47" t="n">
        <x:v>1704</x:v>
      </x:c>
      <x:c r="H1708" s="53" t="b">
        <x:v>1</x:v>
      </x:c>
      <x:c r="I1708" s="47" t="str">
        <x:v>4109905524</x:v>
      </x:c>
      <x:c r="J1708" s="47" t="n">
        <x:v>131561928</x:v>
      </x:c>
      <x:c r="K1708" s="53" t="b">
        <x:v>1</x:v>
      </x:c>
      <x:c r="L1708" s="53" t="b">
        <x:v>1</x:v>
      </x:c>
      <x:c r="M1708" s="53" t="b">
        <x:v>1</x:v>
      </x:c>
      <x:c r="N1708" s="53" t="b">
        <x:v>1</x:v>
      </x:c>
      <x:c r="O1708" s="53" t="b">
        <x:v>1</x:v>
      </x:c>
      <x:c r="P1708" s="47" t="n">
        <x:v>1009</x:v>
      </x:c>
      <x:c r="Q1708" s="47" t="n">
        <x:v>0</x:v>
      </x:c>
      <x:c r="R1708" s="47" t="n">
        <x:v>0</x:v>
      </x:c>
      <x:c r="S1708" s="47" t="n">
        <x:v>36.79</x:v>
      </x:c>
      <x:c r="T1708" s="47" t="n">
        <x:v>78.66</x:v>
      </x:c>
      <x:c r="U1708" s="47" t="n">
        <x:v>30.9</x:v>
      </x:c>
      <x:c r="V1708" s="47" t="n">
        <x:v>17.6</x:v>
      </x:c>
      <x:c r="W1708" s="47" t="n">
        <x:v>51</x:v>
      </x:c>
      <x:c r="X1708" s="47" t="n">
        <x:v>165</x:v>
      </x:c>
      <x:c r="Y1708" s="41" t="n">
        <x:v>114</x:v>
      </x:c>
    </x:row>
    <x:row r="1709">
      <x:c r="A1709" s="38" t="str">
        <x:v>7月30日现场数据</x:v>
      </x:c>
      <x:c r="B1709" s="66" t="str">
        <x:v>2026-08-05T11:55:37.763000</x:v>
      </x:c>
      <x:c r="C1709" s="47" t="n">
        <x:v>300960</x:v>
      </x:c>
      <x:c r="D1709" s="47" t="str"/>
      <x:c r="E1709" s="47" t="str"/>
      <x:c r="F1709" s="47" t="str">
        <x:v>current</x:v>
      </x:c>
      <x:c r="G1709" s="47" t="n">
        <x:v>1705</x:v>
      </x:c>
      <x:c r="H1709" s="53" t="b">
        <x:v>1</x:v>
      </x:c>
      <x:c r="I1709" s="47" t="str">
        <x:v>4109905524</x:v>
      </x:c>
      <x:c r="J1709" s="47" t="n">
        <x:v>131862888</x:v>
      </x:c>
      <x:c r="K1709" s="53" t="b">
        <x:v>1</x:v>
      </x:c>
      <x:c r="L1709" s="53" t="b">
        <x:v>1</x:v>
      </x:c>
      <x:c r="M1709" s="53" t="b">
        <x:v>1</x:v>
      </x:c>
      <x:c r="N1709" s="53" t="b">
        <x:v>1</x:v>
      </x:c>
      <x:c r="O1709" s="53" t="b">
        <x:v>1</x:v>
      </x:c>
      <x:c r="P1709" s="47" t="n">
        <x:v>1009</x:v>
      </x:c>
      <x:c r="Q1709" s="47" t="n">
        <x:v>0</x:v>
      </x:c>
      <x:c r="R1709" s="47" t="n">
        <x:v>0</x:v>
      </x:c>
      <x:c r="S1709" s="47" t="n">
        <x:v>37.41</x:v>
      </x:c>
      <x:c r="T1709" s="47" t="n">
        <x:v>78.69</x:v>
      </x:c>
      <x:c r="U1709" s="47" t="n">
        <x:v>30.9</x:v>
      </x:c>
      <x:c r="V1709" s="47" t="n">
        <x:v>17.5</x:v>
      </x:c>
      <x:c r="W1709" s="47" t="n">
        <x:v>68</x:v>
      </x:c>
      <x:c r="X1709" s="47" t="n">
        <x:v>208</x:v>
      </x:c>
      <x:c r="Y1709" s="41" t="n">
        <x:v>140</x:v>
      </x:c>
    </x:row>
    <x:row r="1710">
      <x:c r="A1710" s="38" t="str">
        <x:v>7月30日现场数据</x:v>
      </x:c>
      <x:c r="B1710" s="66" t="str">
        <x:v>2026-08-05T12:00:38.726000</x:v>
      </x:c>
      <x:c r="C1710" s="47" t="n">
        <x:v>300963</x:v>
      </x:c>
      <x:c r="D1710" s="47" t="str"/>
      <x:c r="E1710" s="47" t="str"/>
      <x:c r="F1710" s="47" t="str">
        <x:v>current</x:v>
      </x:c>
      <x:c r="G1710" s="47" t="n">
        <x:v>1706</x:v>
      </x:c>
      <x:c r="H1710" s="53" t="b">
        <x:v>1</x:v>
      </x:c>
      <x:c r="I1710" s="47" t="str">
        <x:v>4109905524</x:v>
      </x:c>
      <x:c r="J1710" s="47" t="n">
        <x:v>132163851</x:v>
      </x:c>
      <x:c r="K1710" s="53" t="b">
        <x:v>1</x:v>
      </x:c>
      <x:c r="L1710" s="53" t="b">
        <x:v>1</x:v>
      </x:c>
      <x:c r="M1710" s="53" t="b">
        <x:v>1</x:v>
      </x:c>
      <x:c r="N1710" s="53" t="b">
        <x:v>1</x:v>
      </x:c>
      <x:c r="O1710" s="53" t="b">
        <x:v>1</x:v>
      </x:c>
      <x:c r="P1710" s="47" t="n">
        <x:v>1009</x:v>
      </x:c>
      <x:c r="Q1710" s="47" t="n">
        <x:v>0</x:v>
      </x:c>
      <x:c r="R1710" s="47" t="n">
        <x:v>0</x:v>
      </x:c>
      <x:c r="S1710" s="47" t="n">
        <x:v>37.27</x:v>
      </x:c>
      <x:c r="T1710" s="47" t="n">
        <x:v>78.71</x:v>
      </x:c>
      <x:c r="U1710" s="47" t="n">
        <x:v>30.9</x:v>
      </x:c>
      <x:c r="V1710" s="47" t="n">
        <x:v>17.5</x:v>
      </x:c>
      <x:c r="W1710" s="47" t="n">
        <x:v>21</x:v>
      </x:c>
      <x:c r="X1710" s="47" t="n">
        <x:v>94</x:v>
      </x:c>
      <x:c r="Y1710" s="41" t="n">
        <x:v>73</x:v>
      </x:c>
    </x:row>
    <x:row r="1711">
      <x:c r="A1711" s="38" t="str">
        <x:v>7月30日现场数据</x:v>
      </x:c>
      <x:c r="B1711" s="66" t="str">
        <x:v>2026-08-05T12:05:39.693000</x:v>
      </x:c>
      <x:c r="C1711" s="47" t="n">
        <x:v>300967</x:v>
      </x:c>
      <x:c r="D1711" s="47" t="str"/>
      <x:c r="E1711" s="47" t="str"/>
      <x:c r="F1711" s="47" t="str">
        <x:v>current</x:v>
      </x:c>
      <x:c r="G1711" s="47" t="n">
        <x:v>1707</x:v>
      </x:c>
      <x:c r="H1711" s="53" t="b">
        <x:v>1</x:v>
      </x:c>
      <x:c r="I1711" s="47" t="str">
        <x:v>4109905524</x:v>
      </x:c>
      <x:c r="J1711" s="47" t="n">
        <x:v>132464818</x:v>
      </x:c>
      <x:c r="K1711" s="53" t="b">
        <x:v>1</x:v>
      </x:c>
      <x:c r="L1711" s="53" t="b">
        <x:v>1</x:v>
      </x:c>
      <x:c r="M1711" s="53" t="b">
        <x:v>1</x:v>
      </x:c>
      <x:c r="N1711" s="53" t="b">
        <x:v>1</x:v>
      </x:c>
      <x:c r="O1711" s="53" t="b">
        <x:v>1</x:v>
      </x:c>
      <x:c r="P1711" s="47" t="n">
        <x:v>1008</x:v>
      </x:c>
      <x:c r="Q1711" s="47" t="n">
        <x:v>0</x:v>
      </x:c>
      <x:c r="R1711" s="47" t="n">
        <x:v>0</x:v>
      </x:c>
      <x:c r="S1711" s="47" t="n">
        <x:v>36.45</x:v>
      </x:c>
      <x:c r="T1711" s="47" t="n">
        <x:v>78.53</x:v>
      </x:c>
      <x:c r="U1711" s="47" t="n">
        <x:v>30.9</x:v>
      </x:c>
      <x:c r="V1711" s="47" t="n">
        <x:v>17.5</x:v>
      </x:c>
      <x:c r="W1711" s="47" t="n">
        <x:v>14</x:v>
      </x:c>
      <x:c r="X1711" s="47" t="n">
        <x:v>62</x:v>
      </x:c>
      <x:c r="Y1711" s="41" t="n">
        <x:v>48</x:v>
      </x:c>
    </x:row>
    <x:row r="1712">
      <x:c r="A1712" s="38" t="str">
        <x:v>7月30日现场数据</x:v>
      </x:c>
      <x:c r="B1712" s="66" t="str">
        <x:v>2026-08-05T12:10:40.662000</x:v>
      </x:c>
      <x:c r="C1712" s="47" t="n">
        <x:v>300969</x:v>
      </x:c>
      <x:c r="D1712" s="47" t="str"/>
      <x:c r="E1712" s="47" t="str"/>
      <x:c r="F1712" s="47" t="str">
        <x:v>current</x:v>
      </x:c>
      <x:c r="G1712" s="47" t="n">
        <x:v>1708</x:v>
      </x:c>
      <x:c r="H1712" s="53" t="b">
        <x:v>1</x:v>
      </x:c>
      <x:c r="I1712" s="47" t="str">
        <x:v>4109905524</x:v>
      </x:c>
      <x:c r="J1712" s="47" t="n">
        <x:v>132765787</x:v>
      </x:c>
      <x:c r="K1712" s="53" t="b">
        <x:v>1</x:v>
      </x:c>
      <x:c r="L1712" s="53" t="b">
        <x:v>1</x:v>
      </x:c>
      <x:c r="M1712" s="53" t="b">
        <x:v>1</x:v>
      </x:c>
      <x:c r="N1712" s="53" t="b">
        <x:v>1</x:v>
      </x:c>
      <x:c r="O1712" s="53" t="b">
        <x:v>1</x:v>
      </x:c>
      <x:c r="P1712" s="47" t="n">
        <x:v>1008</x:v>
      </x:c>
      <x:c r="Q1712" s="47" t="n">
        <x:v>0</x:v>
      </x:c>
      <x:c r="R1712" s="47" t="n">
        <x:v>0</x:v>
      </x:c>
      <x:c r="S1712" s="47" t="n">
        <x:v>35.78</x:v>
      </x:c>
      <x:c r="T1712" s="47" t="n">
        <x:v>78.27</x:v>
      </x:c>
      <x:c r="U1712" s="47" t="n">
        <x:v>30.9</x:v>
      </x:c>
      <x:c r="V1712" s="47" t="n">
        <x:v>17.5</x:v>
      </x:c>
      <x:c r="W1712" s="47" t="n">
        <x:v>21</x:v>
      </x:c>
      <x:c r="X1712" s="47" t="n">
        <x:v>96</x:v>
      </x:c>
      <x:c r="Y1712" s="41" t="n">
        <x:v>75</x:v>
      </x:c>
    </x:row>
    <x:row r="1713">
      <x:c r="A1713" s="38" t="str">
        <x:v>7月30日现场数据</x:v>
      </x:c>
      <x:c r="B1713" s="66" t="str">
        <x:v>2026-08-05T12:15:41.633000</x:v>
      </x:c>
      <x:c r="C1713" s="47" t="n">
        <x:v>300971</x:v>
      </x:c>
      <x:c r="D1713" s="47" t="str"/>
      <x:c r="E1713" s="47" t="str"/>
      <x:c r="F1713" s="47" t="str">
        <x:v>current</x:v>
      </x:c>
      <x:c r="G1713" s="47" t="n">
        <x:v>1709</x:v>
      </x:c>
      <x:c r="H1713" s="53" t="b">
        <x:v>1</x:v>
      </x:c>
      <x:c r="I1713" s="47" t="str">
        <x:v>4109905524</x:v>
      </x:c>
      <x:c r="J1713" s="47" t="n">
        <x:v>133066758</x:v>
      </x:c>
      <x:c r="K1713" s="53" t="b">
        <x:v>1</x:v>
      </x:c>
      <x:c r="L1713" s="53" t="b">
        <x:v>1</x:v>
      </x:c>
      <x:c r="M1713" s="53" t="b">
        <x:v>1</x:v>
      </x:c>
      <x:c r="N1713" s="53" t="b">
        <x:v>1</x:v>
      </x:c>
      <x:c r="O1713" s="53" t="b">
        <x:v>1</x:v>
      </x:c>
      <x:c r="P1713" s="47" t="n">
        <x:v>1009</x:v>
      </x:c>
      <x:c r="Q1713" s="47" t="n">
        <x:v>0</x:v>
      </x:c>
      <x:c r="R1713" s="47" t="n">
        <x:v>0</x:v>
      </x:c>
      <x:c r="S1713" s="47" t="n">
        <x:v>35.79</x:v>
      </x:c>
      <x:c r="T1713" s="47" t="n">
        <x:v>78.11</x:v>
      </x:c>
      <x:c r="U1713" s="47" t="n">
        <x:v>30.8</x:v>
      </x:c>
      <x:c r="V1713" s="47" t="n">
        <x:v>17.5</x:v>
      </x:c>
      <x:c r="W1713" s="47" t="n">
        <x:v>26</x:v>
      </x:c>
      <x:c r="X1713" s="47" t="n">
        <x:v>109</x:v>
      </x:c>
      <x:c r="Y1713" s="41" t="n">
        <x:v>83</x:v>
      </x:c>
    </x:row>
    <x:row r="1714">
      <x:c r="A1714" s="38" t="str">
        <x:v>7月30日现场数据</x:v>
      </x:c>
      <x:c r="B1714" s="66" t="str">
        <x:v>2026-08-05T12:20:42.605000</x:v>
      </x:c>
      <x:c r="C1714" s="47" t="n">
        <x:v>300972</x:v>
      </x:c>
      <x:c r="D1714" s="47" t="str"/>
      <x:c r="E1714" s="47" t="str"/>
      <x:c r="F1714" s="47" t="str">
        <x:v>current</x:v>
      </x:c>
      <x:c r="G1714" s="47" t="n">
        <x:v>1710</x:v>
      </x:c>
      <x:c r="H1714" s="53" t="b">
        <x:v>1</x:v>
      </x:c>
      <x:c r="I1714" s="47" t="str">
        <x:v>4109905524</x:v>
      </x:c>
      <x:c r="J1714" s="47" t="n">
        <x:v>133367730</x:v>
      </x:c>
      <x:c r="K1714" s="53" t="b">
        <x:v>1</x:v>
      </x:c>
      <x:c r="L1714" s="53" t="b">
        <x:v>1</x:v>
      </x:c>
      <x:c r="M1714" s="53" t="b">
        <x:v>1</x:v>
      </x:c>
      <x:c r="N1714" s="53" t="b">
        <x:v>1</x:v>
      </x:c>
      <x:c r="O1714" s="53" t="b">
        <x:v>1</x:v>
      </x:c>
      <x:c r="P1714" s="47" t="n">
        <x:v>1009</x:v>
      </x:c>
      <x:c r="Q1714" s="47" t="n">
        <x:v>0</x:v>
      </x:c>
      <x:c r="R1714" s="47" t="n">
        <x:v>0</x:v>
      </x:c>
      <x:c r="S1714" s="47" t="n">
        <x:v>35.62</x:v>
      </x:c>
      <x:c r="T1714" s="47" t="n">
        <x:v>78.01</x:v>
      </x:c>
      <x:c r="U1714" s="47" t="n">
        <x:v>30.8</x:v>
      </x:c>
      <x:c r="V1714" s="47" t="n">
        <x:v>17.5</x:v>
      </x:c>
      <x:c r="W1714" s="47" t="n">
        <x:v>10</x:v>
      </x:c>
      <x:c r="X1714" s="47" t="n">
        <x:v>40</x:v>
      </x:c>
      <x:c r="Y1714" s="41" t="n">
        <x:v>30</x:v>
      </x:c>
    </x:row>
    <x:row r="1715">
      <x:c r="A1715" s="38" t="str">
        <x:v>7月30日现场数据</x:v>
      </x:c>
      <x:c r="B1715" s="66" t="str">
        <x:v>2026-08-05T12:25:43.579000</x:v>
      </x:c>
      <x:c r="C1715" s="47" t="n">
        <x:v>300974</x:v>
      </x:c>
      <x:c r="D1715" s="47" t="str"/>
      <x:c r="E1715" s="47" t="str"/>
      <x:c r="F1715" s="47" t="str">
        <x:v>current</x:v>
      </x:c>
      <x:c r="G1715" s="47" t="n">
        <x:v>1711</x:v>
      </x:c>
      <x:c r="H1715" s="53" t="b">
        <x:v>1</x:v>
      </x:c>
      <x:c r="I1715" s="47" t="str">
        <x:v>4109905524</x:v>
      </x:c>
      <x:c r="J1715" s="47" t="n">
        <x:v>133668704</x:v>
      </x:c>
      <x:c r="K1715" s="53" t="b">
        <x:v>1</x:v>
      </x:c>
      <x:c r="L1715" s="53" t="b">
        <x:v>1</x:v>
      </x:c>
      <x:c r="M1715" s="53" t="b">
        <x:v>1</x:v>
      </x:c>
      <x:c r="N1715" s="53" t="b">
        <x:v>1</x:v>
      </x:c>
      <x:c r="O1715" s="53" t="b">
        <x:v>1</x:v>
      </x:c>
      <x:c r="P1715" s="47" t="n">
        <x:v>1008</x:v>
      </x:c>
      <x:c r="Q1715" s="47" t="n">
        <x:v>0.006</x:v>
      </x:c>
      <x:c r="R1715" s="47" t="n">
        <x:v>0.165</x:v>
      </x:c>
      <x:c r="S1715" s="47" t="n">
        <x:v>34.05</x:v>
      </x:c>
      <x:c r="T1715" s="47" t="n">
        <x:v>77.84</x:v>
      </x:c>
      <x:c r="U1715" s="47" t="n">
        <x:v>30.8</x:v>
      </x:c>
      <x:c r="V1715" s="47" t="n">
        <x:v>17.9</x:v>
      </x:c>
      <x:c r="W1715" s="47" t="n">
        <x:v>9</x:v>
      </x:c>
      <x:c r="X1715" s="47" t="n">
        <x:v>51</x:v>
      </x:c>
      <x:c r="Y1715" s="41" t="n">
        <x:v>42</x:v>
      </x:c>
    </x:row>
    <x:row r="1716">
      <x:c r="A1716" s="38" t="str">
        <x:v>7月30日现场数据</x:v>
      </x:c>
      <x:c r="B1716" s="66" t="str">
        <x:v>2026-08-05T12:30:44.554000</x:v>
      </x:c>
      <x:c r="C1716" s="47" t="n">
        <x:v>300975</x:v>
      </x:c>
      <x:c r="D1716" s="47" t="str"/>
      <x:c r="E1716" s="47" t="str"/>
      <x:c r="F1716" s="47" t="str">
        <x:v>current</x:v>
      </x:c>
      <x:c r="G1716" s="47" t="n">
        <x:v>1712</x:v>
      </x:c>
      <x:c r="H1716" s="53" t="b">
        <x:v>1</x:v>
      </x:c>
      <x:c r="I1716" s="47" t="str">
        <x:v>4109905524</x:v>
      </x:c>
      <x:c r="J1716" s="47" t="n">
        <x:v>133969679</x:v>
      </x:c>
      <x:c r="K1716" s="53" t="b">
        <x:v>1</x:v>
      </x:c>
      <x:c r="L1716" s="53" t="b">
        <x:v>1</x:v>
      </x:c>
      <x:c r="M1716" s="53" t="b">
        <x:v>1</x:v>
      </x:c>
      <x:c r="N1716" s="53" t="b">
        <x:v>1</x:v>
      </x:c>
      <x:c r="O1716" s="53" t="b">
        <x:v>1</x:v>
      </x:c>
      <x:c r="P1716" s="47" t="n">
        <x:v>1008</x:v>
      </x:c>
      <x:c r="Q1716" s="47" t="n">
        <x:v>0</x:v>
      </x:c>
      <x:c r="R1716" s="47" t="n">
        <x:v>0</x:v>
      </x:c>
      <x:c r="S1716" s="47" t="n">
        <x:v>32.1</x:v>
      </x:c>
      <x:c r="T1716" s="47" t="n">
        <x:v>77.31</x:v>
      </x:c>
      <x:c r="U1716" s="47" t="n">
        <x:v>30.7</x:v>
      </x:c>
      <x:c r="V1716" s="47" t="n">
        <x:v>19.8</x:v>
      </x:c>
      <x:c r="W1716" s="47" t="n">
        <x:v>18</x:v>
      </x:c>
      <x:c r="X1716" s="47" t="n">
        <x:v>90</x:v>
      </x:c>
      <x:c r="Y1716" s="41" t="n">
        <x:v>72</x:v>
      </x:c>
    </x:row>
    <x:row r="1717">
      <x:c r="A1717" s="38" t="str">
        <x:v>7月30日现场数据</x:v>
      </x:c>
      <x:c r="B1717" s="66" t="str">
        <x:v>2026-08-05T12:35:45.530000</x:v>
      </x:c>
      <x:c r="C1717" s="47" t="n">
        <x:v>300976</x:v>
      </x:c>
      <x:c r="D1717" s="47" t="str"/>
      <x:c r="E1717" s="47" t="str"/>
      <x:c r="F1717" s="47" t="str">
        <x:v>current</x:v>
      </x:c>
      <x:c r="G1717" s="47" t="n">
        <x:v>1713</x:v>
      </x:c>
      <x:c r="H1717" s="53" t="b">
        <x:v>1</x:v>
      </x:c>
      <x:c r="I1717" s="47" t="str">
        <x:v>4109905524</x:v>
      </x:c>
      <x:c r="J1717" s="47" t="n">
        <x:v>134270655</x:v>
      </x:c>
      <x:c r="K1717" s="53" t="b">
        <x:v>1</x:v>
      </x:c>
      <x:c r="L1717" s="53" t="b">
        <x:v>1</x:v>
      </x:c>
      <x:c r="M1717" s="53" t="b">
        <x:v>1</x:v>
      </x:c>
      <x:c r="N1717" s="53" t="b">
        <x:v>1</x:v>
      </x:c>
      <x:c r="O1717" s="53" t="b">
        <x:v>1</x:v>
      </x:c>
      <x:c r="P1717" s="47" t="n">
        <x:v>1008</x:v>
      </x:c>
      <x:c r="Q1717" s="47" t="n">
        <x:v>0</x:v>
      </x:c>
      <x:c r="R1717" s="47" t="n">
        <x:v>0</x:v>
      </x:c>
      <x:c r="S1717" s="47" t="n">
        <x:v>31.45</x:v>
      </x:c>
      <x:c r="T1717" s="47" t="n">
        <x:v>76.97</x:v>
      </x:c>
      <x:c r="U1717" s="47" t="n">
        <x:v>30.7</x:v>
      </x:c>
      <x:c r="V1717" s="47" t="n">
        <x:v>19.5</x:v>
      </x:c>
      <x:c r="W1717" s="47" t="n">
        <x:v>30</x:v>
      </x:c>
      <x:c r="X1717" s="47" t="n">
        <x:v>136</x:v>
      </x:c>
      <x:c r="Y1717" s="41" t="n">
        <x:v>106</x:v>
      </x:c>
    </x:row>
    <x:row r="1718">
      <x:c r="A1718" s="38" t="str">
        <x:v>7月30日现场数据</x:v>
      </x:c>
      <x:c r="B1718" s="66" t="str">
        <x:v>2026-08-05T12:40:46.511000</x:v>
      </x:c>
      <x:c r="C1718" s="47" t="n">
        <x:v>300981</x:v>
      </x:c>
      <x:c r="D1718" s="47" t="str"/>
      <x:c r="E1718" s="47" t="str"/>
      <x:c r="F1718" s="47" t="str">
        <x:v>current</x:v>
      </x:c>
      <x:c r="G1718" s="47" t="n">
        <x:v>1714</x:v>
      </x:c>
      <x:c r="H1718" s="53" t="b">
        <x:v>1</x:v>
      </x:c>
      <x:c r="I1718" s="47" t="str">
        <x:v>4109905524</x:v>
      </x:c>
      <x:c r="J1718" s="47" t="n">
        <x:v>134571636</x:v>
      </x:c>
      <x:c r="K1718" s="53" t="b">
        <x:v>1</x:v>
      </x:c>
      <x:c r="L1718" s="53" t="b">
        <x:v>1</x:v>
      </x:c>
      <x:c r="M1718" s="53" t="b">
        <x:v>1</x:v>
      </x:c>
      <x:c r="N1718" s="53" t="b">
        <x:v>1</x:v>
      </x:c>
      <x:c r="O1718" s="53" t="b">
        <x:v>1</x:v>
      </x:c>
      <x:c r="P1718" s="47" t="n">
        <x:v>1008</x:v>
      </x:c>
      <x:c r="Q1718" s="47" t="n">
        <x:v>0</x:v>
      </x:c>
      <x:c r="R1718" s="47" t="n">
        <x:v>0</x:v>
      </x:c>
      <x:c r="S1718" s="47" t="n">
        <x:v>31.37</x:v>
      </x:c>
      <x:c r="T1718" s="47" t="n">
        <x:v>76.82</x:v>
      </x:c>
      <x:c r="U1718" s="47" t="n">
        <x:v>30.6</x:v>
      </x:c>
      <x:c r="V1718" s="47" t="n">
        <x:v>19.3</x:v>
      </x:c>
      <x:c r="W1718" s="47" t="n">
        <x:v>41</x:v>
      </x:c>
      <x:c r="X1718" s="47" t="n">
        <x:v>169</x:v>
      </x:c>
      <x:c r="Y1718" s="41" t="n">
        <x:v>128</x:v>
      </x:c>
    </x:row>
    <x:row r="1719">
      <x:c r="A1719" s="38" t="str">
        <x:v>7月30日现场数据</x:v>
      </x:c>
      <x:c r="B1719" s="66" t="str">
        <x:v>2026-08-05T12:45:47.492000</x:v>
      </x:c>
      <x:c r="C1719" s="47" t="n">
        <x:v>300981</x:v>
      </x:c>
      <x:c r="D1719" s="47" t="str"/>
      <x:c r="E1719" s="47" t="str"/>
      <x:c r="F1719" s="47" t="str">
        <x:v>current</x:v>
      </x:c>
      <x:c r="G1719" s="47" t="n">
        <x:v>1715</x:v>
      </x:c>
      <x:c r="H1719" s="53" t="b">
        <x:v>1</x:v>
      </x:c>
      <x:c r="I1719" s="47" t="str">
        <x:v>4109905524</x:v>
      </x:c>
      <x:c r="J1719" s="47" t="n">
        <x:v>134872617</x:v>
      </x:c>
      <x:c r="K1719" s="53" t="b">
        <x:v>1</x:v>
      </x:c>
      <x:c r="L1719" s="53" t="b">
        <x:v>1</x:v>
      </x:c>
      <x:c r="M1719" s="53" t="b">
        <x:v>1</x:v>
      </x:c>
      <x:c r="N1719" s="53" t="b">
        <x:v>1</x:v>
      </x:c>
      <x:c r="O1719" s="53" t="b">
        <x:v>1</x:v>
      </x:c>
      <x:c r="P1719" s="47" t="n">
        <x:v>1008</x:v>
      </x:c>
      <x:c r="Q1719" s="47" t="n">
        <x:v>0</x:v>
      </x:c>
      <x:c r="R1719" s="47" t="n">
        <x:v>0</x:v>
      </x:c>
      <x:c r="S1719" s="47" t="n">
        <x:v>31.24</x:v>
      </x:c>
      <x:c r="T1719" s="47" t="n">
        <x:v>76.81</x:v>
      </x:c>
      <x:c r="U1719" s="47" t="n">
        <x:v>30.6</x:v>
      </x:c>
      <x:c r="V1719" s="47" t="n">
        <x:v>19.2</x:v>
      </x:c>
      <x:c r="W1719" s="47" t="n">
        <x:v>22</x:v>
      </x:c>
      <x:c r="X1719" s="47" t="n">
        <x:v>106</x:v>
      </x:c>
      <x:c r="Y1719" s="41" t="n">
        <x:v>84</x:v>
      </x:c>
    </x:row>
    <x:row r="1720">
      <x:c r="A1720" s="38" t="str">
        <x:v>7月30日现场数据</x:v>
      </x:c>
      <x:c r="B1720" s="66" t="str">
        <x:v>2026-08-05T12:50:48.473000</x:v>
      </x:c>
      <x:c r="C1720" s="47" t="n">
        <x:v>300981</x:v>
      </x:c>
      <x:c r="D1720" s="47" t="str"/>
      <x:c r="E1720" s="47" t="str"/>
      <x:c r="F1720" s="47" t="str">
        <x:v>current</x:v>
      </x:c>
      <x:c r="G1720" s="47" t="n">
        <x:v>1716</x:v>
      </x:c>
      <x:c r="H1720" s="53" t="b">
        <x:v>1</x:v>
      </x:c>
      <x:c r="I1720" s="47" t="str">
        <x:v>4109905524</x:v>
      </x:c>
      <x:c r="J1720" s="47" t="n">
        <x:v>135173598</x:v>
      </x:c>
      <x:c r="K1720" s="53" t="b">
        <x:v>1</x:v>
      </x:c>
      <x:c r="L1720" s="53" t="b">
        <x:v>1</x:v>
      </x:c>
      <x:c r="M1720" s="53" t="b">
        <x:v>1</x:v>
      </x:c>
      <x:c r="N1720" s="53" t="b">
        <x:v>1</x:v>
      </x:c>
      <x:c r="O1720" s="53" t="b">
        <x:v>1</x:v>
      </x:c>
      <x:c r="P1720" s="47" t="n">
        <x:v>1008</x:v>
      </x:c>
      <x:c r="Q1720" s="47" t="n">
        <x:v>0</x:v>
      </x:c>
      <x:c r="R1720" s="47" t="n">
        <x:v>0</x:v>
      </x:c>
      <x:c r="S1720" s="47" t="n">
        <x:v>31.29</x:v>
      </x:c>
      <x:c r="T1720" s="47" t="n">
        <x:v>76.81</x:v>
      </x:c>
      <x:c r="U1720" s="47" t="n">
        <x:v>30.5</x:v>
      </x:c>
      <x:c r="V1720" s="47" t="n">
        <x:v>19</x:v>
      </x:c>
      <x:c r="W1720" s="47" t="n">
        <x:v>23</x:v>
      </x:c>
      <x:c r="X1720" s="47" t="n">
        <x:v>118</x:v>
      </x:c>
      <x:c r="Y1720" s="41" t="n">
        <x:v>95</x:v>
      </x:c>
    </x:row>
    <x:row r="1721">
      <x:c r="A1721" s="38" t="str">
        <x:v>7月30日现场数据</x:v>
      </x:c>
      <x:c r="B1721" s="66" t="str">
        <x:v>2026-08-05T12:55:49.457000</x:v>
      </x:c>
      <x:c r="C1721" s="47" t="n">
        <x:v>300984</x:v>
      </x:c>
      <x:c r="D1721" s="47" t="str"/>
      <x:c r="E1721" s="47" t="str"/>
      <x:c r="F1721" s="47" t="str">
        <x:v>current</x:v>
      </x:c>
      <x:c r="G1721" s="47" t="n">
        <x:v>1717</x:v>
      </x:c>
      <x:c r="H1721" s="53" t="b">
        <x:v>1</x:v>
      </x:c>
      <x:c r="I1721" s="47" t="str">
        <x:v>4109905524</x:v>
      </x:c>
      <x:c r="J1721" s="47" t="n">
        <x:v>135474582</x:v>
      </x:c>
      <x:c r="K1721" s="53" t="b">
        <x:v>1</x:v>
      </x:c>
      <x:c r="L1721" s="53" t="b">
        <x:v>1</x:v>
      </x:c>
      <x:c r="M1721" s="53" t="b">
        <x:v>1</x:v>
      </x:c>
      <x:c r="N1721" s="53" t="b">
        <x:v>1</x:v>
      </x:c>
      <x:c r="O1721" s="53" t="b">
        <x:v>1</x:v>
      </x:c>
      <x:c r="P1721" s="47" t="n">
        <x:v>1008</x:v>
      </x:c>
      <x:c r="Q1721" s="47" t="n">
        <x:v>0</x:v>
      </x:c>
      <x:c r="R1721" s="47" t="n">
        <x:v>0</x:v>
      </x:c>
      <x:c r="S1721" s="47" t="n">
        <x:v>31.18</x:v>
      </x:c>
      <x:c r="T1721" s="47" t="n">
        <x:v>76.83</x:v>
      </x:c>
      <x:c r="U1721" s="47" t="n">
        <x:v>30.5</x:v>
      </x:c>
      <x:c r="V1721" s="47" t="n">
        <x:v>18.9</x:v>
      </x:c>
      <x:c r="W1721" s="47" t="n">
        <x:v>19</x:v>
      </x:c>
      <x:c r="X1721" s="47" t="n">
        <x:v>94</x:v>
      </x:c>
      <x:c r="Y1721" s="41" t="n">
        <x:v>75</x:v>
      </x:c>
    </x:row>
    <x:row r="1722">
      <x:c r="A1722" s="38" t="str">
        <x:v>7月30日现场数据</x:v>
      </x:c>
      <x:c r="B1722" s="66" t="str">
        <x:v>2026-08-05T13:00:50.477000</x:v>
      </x:c>
      <x:c r="C1722" s="47" t="n">
        <x:v>301020</x:v>
      </x:c>
      <x:c r="D1722" s="47" t="str"/>
      <x:c r="E1722" s="47" t="str"/>
      <x:c r="F1722" s="47" t="str">
        <x:v>current</x:v>
      </x:c>
      <x:c r="G1722" s="47" t="n">
        <x:v>1718</x:v>
      </x:c>
      <x:c r="H1722" s="53" t="b">
        <x:v>1</x:v>
      </x:c>
      <x:c r="I1722" s="47" t="str">
        <x:v>4109905524</x:v>
      </x:c>
      <x:c r="J1722" s="47" t="n">
        <x:v>135775602</x:v>
      </x:c>
      <x:c r="K1722" s="53" t="b">
        <x:v>1</x:v>
      </x:c>
      <x:c r="L1722" s="53" t="b">
        <x:v>1</x:v>
      </x:c>
      <x:c r="M1722" s="53" t="b">
        <x:v>1</x:v>
      </x:c>
      <x:c r="N1722" s="53" t="b">
        <x:v>1</x:v>
      </x:c>
      <x:c r="O1722" s="53" t="b">
        <x:v>1</x:v>
      </x:c>
      <x:c r="P1722" s="47" t="n">
        <x:v>1008</x:v>
      </x:c>
      <x:c r="Q1722" s="47" t="n">
        <x:v>0</x:v>
      </x:c>
      <x:c r="R1722" s="47" t="n">
        <x:v>0</x:v>
      </x:c>
      <x:c r="S1722" s="47" t="n">
        <x:v>31.48</x:v>
      </x:c>
      <x:c r="T1722" s="47" t="n">
        <x:v>76.95</x:v>
      </x:c>
      <x:c r="U1722" s="47" t="n">
        <x:v>30.5</x:v>
      </x:c>
      <x:c r="V1722" s="47" t="n">
        <x:v>18.8</x:v>
      </x:c>
      <x:c r="W1722" s="47" t="n">
        <x:v>19</x:v>
      </x:c>
      <x:c r="X1722" s="47" t="n">
        <x:v>102</x:v>
      </x:c>
      <x:c r="Y1722" s="41" t="n">
        <x:v>83</x:v>
      </x:c>
    </x:row>
    <x:row r="1723">
      <x:c r="A1723" s="38" t="str">
        <x:v>7月30日现场数据</x:v>
      </x:c>
      <x:c r="B1723" s="66" t="str">
        <x:v>2026-08-05T13:05:51.438000</x:v>
      </x:c>
      <x:c r="C1723" s="47" t="n">
        <x:v>300961</x:v>
      </x:c>
      <x:c r="D1723" s="47" t="str"/>
      <x:c r="E1723" s="47" t="str"/>
      <x:c r="F1723" s="47" t="str">
        <x:v>current</x:v>
      </x:c>
      <x:c r="G1723" s="47" t="n">
        <x:v>1719</x:v>
      </x:c>
      <x:c r="H1723" s="53" t="b">
        <x:v>1</x:v>
      </x:c>
      <x:c r="I1723" s="47" t="str">
        <x:v>4109905524</x:v>
      </x:c>
      <x:c r="J1723" s="47" t="n">
        <x:v>136076563</x:v>
      </x:c>
      <x:c r="K1723" s="53" t="b">
        <x:v>1</x:v>
      </x:c>
      <x:c r="L1723" s="53" t="b">
        <x:v>1</x:v>
      </x:c>
      <x:c r="M1723" s="53" t="b">
        <x:v>1</x:v>
      </x:c>
      <x:c r="N1723" s="53" t="b">
        <x:v>1</x:v>
      </x:c>
      <x:c r="O1723" s="53" t="b">
        <x:v>1</x:v>
      </x:c>
      <x:c r="P1723" s="47" t="n">
        <x:v>1008</x:v>
      </x:c>
      <x:c r="Q1723" s="47" t="n">
        <x:v>0</x:v>
      </x:c>
      <x:c r="R1723" s="47" t="n">
        <x:v>0</x:v>
      </x:c>
      <x:c r="S1723" s="47" t="n">
        <x:v>31.5</x:v>
      </x:c>
      <x:c r="T1723" s="47" t="n">
        <x:v>77.03</x:v>
      </x:c>
      <x:c r="U1723" s="47" t="n">
        <x:v>30.5</x:v>
      </x:c>
      <x:c r="V1723" s="47" t="n">
        <x:v>18.7</x:v>
      </x:c>
      <x:c r="W1723" s="47" t="n">
        <x:v>34</x:v>
      </x:c>
      <x:c r="X1723" s="47" t="n">
        <x:v>139</x:v>
      </x:c>
      <x:c r="Y1723" s="41" t="n">
        <x:v>105</x:v>
      </x:c>
    </x:row>
    <x:row r="1724">
      <x:c r="A1724" s="38" t="str">
        <x:v>7月30日现场数据</x:v>
      </x:c>
      <x:c r="B1724" s="66" t="str">
        <x:v>2026-08-05T13:10:52.401000</x:v>
      </x:c>
      <x:c r="C1724" s="47" t="n">
        <x:v>300963</x:v>
      </x:c>
      <x:c r="D1724" s="47" t="str"/>
      <x:c r="E1724" s="47" t="str"/>
      <x:c r="F1724" s="47" t="str">
        <x:v>current</x:v>
      </x:c>
      <x:c r="G1724" s="47" t="n">
        <x:v>1720</x:v>
      </x:c>
      <x:c r="H1724" s="53" t="b">
        <x:v>1</x:v>
      </x:c>
      <x:c r="I1724" s="47" t="str">
        <x:v>4109905524</x:v>
      </x:c>
      <x:c r="J1724" s="47" t="n">
        <x:v>136377526</x:v>
      </x:c>
      <x:c r="K1724" s="53" t="b">
        <x:v>1</x:v>
      </x:c>
      <x:c r="L1724" s="53" t="b">
        <x:v>1</x:v>
      </x:c>
      <x:c r="M1724" s="53" t="b">
        <x:v>1</x:v>
      </x:c>
      <x:c r="N1724" s="53" t="b">
        <x:v>1</x:v>
      </x:c>
      <x:c r="O1724" s="53" t="b">
        <x:v>1</x:v>
      </x:c>
      <x:c r="P1724" s="47" t="n">
        <x:v>1008</x:v>
      </x:c>
      <x:c r="Q1724" s="47" t="n">
        <x:v>0</x:v>
      </x:c>
      <x:c r="R1724" s="47" t="n">
        <x:v>0</x:v>
      </x:c>
      <x:c r="S1724" s="47" t="n">
        <x:v>31.79</x:v>
      </x:c>
      <x:c r="T1724" s="47" t="n">
        <x:v>77.14</x:v>
      </x:c>
      <x:c r="U1724" s="47" t="n">
        <x:v>30.5</x:v>
      </x:c>
      <x:c r="V1724" s="47" t="n">
        <x:v>18.7</x:v>
      </x:c>
      <x:c r="W1724" s="47" t="n">
        <x:v>28</x:v>
      </x:c>
      <x:c r="X1724" s="47" t="n">
        <x:v>126</x:v>
      </x:c>
      <x:c r="Y1724" s="41" t="n">
        <x:v>98</x:v>
      </x:c>
    </x:row>
    <x:row r="1725">
      <x:c r="A1725" s="38" t="str">
        <x:v>7月30日现场数据</x:v>
      </x:c>
      <x:c r="B1725" s="66" t="str">
        <x:v>2026-08-05T13:15:53.368000</x:v>
      </x:c>
      <x:c r="C1725" s="47" t="n">
        <x:v>300967</x:v>
      </x:c>
      <x:c r="D1725" s="47" t="str"/>
      <x:c r="E1725" s="47" t="str"/>
      <x:c r="F1725" s="47" t="str">
        <x:v>current</x:v>
      </x:c>
      <x:c r="G1725" s="47" t="n">
        <x:v>1721</x:v>
      </x:c>
      <x:c r="H1725" s="53" t="b">
        <x:v>1</x:v>
      </x:c>
      <x:c r="I1725" s="47" t="str">
        <x:v>4109905524</x:v>
      </x:c>
      <x:c r="J1725" s="47" t="n">
        <x:v>136678493</x:v>
      </x:c>
      <x:c r="K1725" s="53" t="b">
        <x:v>1</x:v>
      </x:c>
      <x:c r="L1725" s="53" t="b">
        <x:v>1</x:v>
      </x:c>
      <x:c r="M1725" s="53" t="b">
        <x:v>1</x:v>
      </x:c>
      <x:c r="N1725" s="53" t="b">
        <x:v>1</x:v>
      </x:c>
      <x:c r="O1725" s="53" t="b">
        <x:v>1</x:v>
      </x:c>
      <x:c r="P1725" s="47" t="n">
        <x:v>1008</x:v>
      </x:c>
      <x:c r="Q1725" s="47" t="n">
        <x:v>0.035</x:v>
      </x:c>
      <x:c r="R1725" s="47" t="n">
        <x:v>0.956</x:v>
      </x:c>
      <x:c r="S1725" s="47" t="n">
        <x:v>32.13</x:v>
      </x:c>
      <x:c r="T1725" s="47" t="n">
        <x:v>77.3</x:v>
      </x:c>
      <x:c r="U1725" s="47" t="n">
        <x:v>30.4</x:v>
      </x:c>
      <x:c r="V1725" s="47" t="n">
        <x:v>18.6</x:v>
      </x:c>
      <x:c r="W1725" s="47" t="n">
        <x:v>42</x:v>
      </x:c>
      <x:c r="X1725" s="47" t="n">
        <x:v>314</x:v>
      </x:c>
      <x:c r="Y1725" s="41" t="n">
        <x:v>272</x:v>
      </x:c>
    </x:row>
    <x:row r="1726">
      <x:c r="A1726" s="38" t="str">
        <x:v>7月30日现场数据</x:v>
      </x:c>
      <x:c r="B1726" s="66" t="str">
        <x:v>2026-08-05T13:20:54.337000</x:v>
      </x:c>
      <x:c r="C1726" s="47" t="n">
        <x:v>300969</x:v>
      </x:c>
      <x:c r="D1726" s="47" t="str"/>
      <x:c r="E1726" s="47" t="str"/>
      <x:c r="F1726" s="47" t="str">
        <x:v>current</x:v>
      </x:c>
      <x:c r="G1726" s="47" t="n">
        <x:v>1722</x:v>
      </x:c>
      <x:c r="H1726" s="53" t="b">
        <x:v>1</x:v>
      </x:c>
      <x:c r="I1726" s="47" t="str">
        <x:v>4109905524</x:v>
      </x:c>
      <x:c r="J1726" s="47" t="n">
        <x:v>136979462</x:v>
      </x:c>
      <x:c r="K1726" s="53" t="b">
        <x:v>1</x:v>
      </x:c>
      <x:c r="L1726" s="53" t="b">
        <x:v>1</x:v>
      </x:c>
      <x:c r="M1726" s="53" t="b">
        <x:v>1</x:v>
      </x:c>
      <x:c r="N1726" s="53" t="b">
        <x:v>1</x:v>
      </x:c>
      <x:c r="O1726" s="53" t="b">
        <x:v>1</x:v>
      </x:c>
      <x:c r="P1726" s="47" t="n">
        <x:v>1008</x:v>
      </x:c>
      <x:c r="Q1726" s="47" t="n">
        <x:v>0</x:v>
      </x:c>
      <x:c r="R1726" s="47" t="n">
        <x:v>0</x:v>
      </x:c>
      <x:c r="S1726" s="47" t="n">
        <x:v>32.43</x:v>
      </x:c>
      <x:c r="T1726" s="47" t="n">
        <x:v>77.51</x:v>
      </x:c>
      <x:c r="U1726" s="47" t="n">
        <x:v>30.4</x:v>
      </x:c>
      <x:c r="V1726" s="47" t="n">
        <x:v>18.6</x:v>
      </x:c>
      <x:c r="W1726" s="47" t="n">
        <x:v>18</x:v>
      </x:c>
      <x:c r="X1726" s="47" t="n">
        <x:v>86</x:v>
      </x:c>
      <x:c r="Y1726" s="41" t="n">
        <x:v>68</x:v>
      </x:c>
    </x:row>
    <x:row r="1727">
      <x:c r="A1727" s="38" t="str">
        <x:v>7月30日现场数据</x:v>
      </x:c>
      <x:c r="B1727" s="66" t="str">
        <x:v>2026-08-05T13:25:55.307000</x:v>
      </x:c>
      <x:c r="C1727" s="47" t="n">
        <x:v>300970</x:v>
      </x:c>
      <x:c r="D1727" s="47" t="str"/>
      <x:c r="E1727" s="47" t="str"/>
      <x:c r="F1727" s="47" t="str">
        <x:v>current</x:v>
      </x:c>
      <x:c r="G1727" s="47" t="n">
        <x:v>1723</x:v>
      </x:c>
      <x:c r="H1727" s="53" t="b">
        <x:v>1</x:v>
      </x:c>
      <x:c r="I1727" s="47" t="str">
        <x:v>4109905524</x:v>
      </x:c>
      <x:c r="J1727" s="47" t="n">
        <x:v>137280432</x:v>
      </x:c>
      <x:c r="K1727" s="53" t="b">
        <x:v>1</x:v>
      </x:c>
      <x:c r="L1727" s="53" t="b">
        <x:v>1</x:v>
      </x:c>
      <x:c r="M1727" s="53" t="b">
        <x:v>1</x:v>
      </x:c>
      <x:c r="N1727" s="53" t="b">
        <x:v>1</x:v>
      </x:c>
      <x:c r="O1727" s="53" t="b">
        <x:v>1</x:v>
      </x:c>
      <x:c r="P1727" s="47" t="n">
        <x:v>1008</x:v>
      </x:c>
      <x:c r="Q1727" s="47" t="n">
        <x:v>0</x:v>
      </x:c>
      <x:c r="R1727" s="47" t="n">
        <x:v>0</x:v>
      </x:c>
      <x:c r="S1727" s="47" t="n">
        <x:v>32.13</x:v>
      </x:c>
      <x:c r="T1727" s="47" t="n">
        <x:v>77.45</x:v>
      </x:c>
      <x:c r="U1727" s="47" t="n">
        <x:v>30.4</x:v>
      </x:c>
      <x:c r="V1727" s="47" t="n">
        <x:v>18.5</x:v>
      </x:c>
      <x:c r="W1727" s="47" t="n">
        <x:v>44</x:v>
      </x:c>
      <x:c r="X1727" s="47" t="n">
        <x:v>168</x:v>
      </x:c>
      <x:c r="Y1727" s="41" t="n">
        <x:v>124</x:v>
      </x:c>
    </x:row>
    <x:row r="1728">
      <x:c r="A1728" s="38" t="str">
        <x:v>7月30日现场数据</x:v>
      </x:c>
      <x:c r="B1728" s="66" t="str">
        <x:v>2026-08-05T13:30:56.277000</x:v>
      </x:c>
      <x:c r="C1728" s="47" t="n">
        <x:v>300970</x:v>
      </x:c>
      <x:c r="D1728" s="47" t="str"/>
      <x:c r="E1728" s="47" t="str"/>
      <x:c r="F1728" s="47" t="str">
        <x:v>current</x:v>
      </x:c>
      <x:c r="G1728" s="47" t="n">
        <x:v>1724</x:v>
      </x:c>
      <x:c r="H1728" s="53" t="b">
        <x:v>1</x:v>
      </x:c>
      <x:c r="I1728" s="47" t="str">
        <x:v>4109905524</x:v>
      </x:c>
      <x:c r="J1728" s="47" t="n">
        <x:v>137581402</x:v>
      </x:c>
      <x:c r="K1728" s="53" t="b">
        <x:v>1</x:v>
      </x:c>
      <x:c r="L1728" s="53" t="b">
        <x:v>1</x:v>
      </x:c>
      <x:c r="M1728" s="53" t="b">
        <x:v>1</x:v>
      </x:c>
      <x:c r="N1728" s="53" t="b">
        <x:v>1</x:v>
      </x:c>
      <x:c r="O1728" s="53" t="b">
        <x:v>1</x:v>
      </x:c>
      <x:c r="P1728" s="47" t="n">
        <x:v>1008</x:v>
      </x:c>
      <x:c r="Q1728" s="47" t="n">
        <x:v>0</x:v>
      </x:c>
      <x:c r="R1728" s="47" t="n">
        <x:v>0</x:v>
      </x:c>
      <x:c r="S1728" s="47" t="n">
        <x:v>32.7</x:v>
      </x:c>
      <x:c r="T1728" s="47" t="n">
        <x:v>77.58</x:v>
      </x:c>
      <x:c r="U1728" s="47" t="n">
        <x:v>30.4</x:v>
      </x:c>
      <x:c r="V1728" s="47" t="n">
        <x:v>18.5</x:v>
      </x:c>
      <x:c r="W1728" s="47" t="n">
        <x:v>36</x:v>
      </x:c>
      <x:c r="X1728" s="47" t="n">
        <x:v>134</x:v>
      </x:c>
      <x:c r="Y1728" s="41" t="n">
        <x:v>98</x:v>
      </x:c>
    </x:row>
    <x:row r="1729">
      <x:c r="A1729" s="38" t="str">
        <x:v>7月30日现场数据</x:v>
      </x:c>
      <x:c r="B1729" s="66" t="str">
        <x:v>2026-08-05T13:35:57.251000</x:v>
      </x:c>
      <x:c r="C1729" s="47" t="n">
        <x:v>300974</x:v>
      </x:c>
      <x:c r="D1729" s="47" t="str"/>
      <x:c r="E1729" s="47" t="str"/>
      <x:c r="F1729" s="47" t="str">
        <x:v>current</x:v>
      </x:c>
      <x:c r="G1729" s="47" t="n">
        <x:v>1725</x:v>
      </x:c>
      <x:c r="H1729" s="53" t="b">
        <x:v>1</x:v>
      </x:c>
      <x:c r="I1729" s="47" t="str">
        <x:v>4109905524</x:v>
      </x:c>
      <x:c r="J1729" s="47" t="n">
        <x:v>137882376</x:v>
      </x:c>
      <x:c r="K1729" s="53" t="b">
        <x:v>1</x:v>
      </x:c>
      <x:c r="L1729" s="53" t="b">
        <x:v>1</x:v>
      </x:c>
      <x:c r="M1729" s="53" t="b">
        <x:v>1</x:v>
      </x:c>
      <x:c r="N1729" s="53" t="b">
        <x:v>1</x:v>
      </x:c>
      <x:c r="O1729" s="53" t="b">
        <x:v>1</x:v>
      </x:c>
      <x:c r="P1729" s="47" t="n">
        <x:v>1008</x:v>
      </x:c>
      <x:c r="Q1729" s="47" t="n">
        <x:v>0.023</x:v>
      </x:c>
      <x:c r="R1729" s="47" t="n">
        <x:v>0.626</x:v>
      </x:c>
      <x:c r="S1729" s="47" t="n">
        <x:v>33.07</x:v>
      </x:c>
      <x:c r="T1729" s="47" t="n">
        <x:v>77.86</x:v>
      </x:c>
      <x:c r="U1729" s="47" t="n">
        <x:v>30.4</x:v>
      </x:c>
      <x:c r="V1729" s="47" t="n">
        <x:v>18.5</x:v>
      </x:c>
      <x:c r="W1729" s="47" t="n">
        <x:v>33</x:v>
      </x:c>
      <x:c r="X1729" s="47" t="n">
        <x:v>137</x:v>
      </x:c>
      <x:c r="Y1729" s="41" t="n">
        <x:v>104</x:v>
      </x:c>
    </x:row>
    <x:row r="1730">
      <x:c r="A1730" s="38" t="str">
        <x:v>7月30日现场数据</x:v>
      </x:c>
      <x:c r="B1730" s="66" t="str">
        <x:v>2026-08-05T13:40:58.225000</x:v>
      </x:c>
      <x:c r="C1730" s="47" t="n">
        <x:v>300974</x:v>
      </x:c>
      <x:c r="D1730" s="47" t="str"/>
      <x:c r="E1730" s="47" t="str"/>
      <x:c r="F1730" s="47" t="str">
        <x:v>current</x:v>
      </x:c>
      <x:c r="G1730" s="47" t="n">
        <x:v>1726</x:v>
      </x:c>
      <x:c r="H1730" s="53" t="b">
        <x:v>1</x:v>
      </x:c>
      <x:c r="I1730" s="47" t="str">
        <x:v>4109905524</x:v>
      </x:c>
      <x:c r="J1730" s="47" t="n">
        <x:v>138183350</x:v>
      </x:c>
      <x:c r="K1730" s="53" t="b">
        <x:v>1</x:v>
      </x:c>
      <x:c r="L1730" s="53" t="b">
        <x:v>1</x:v>
      </x:c>
      <x:c r="M1730" s="53" t="b">
        <x:v>1</x:v>
      </x:c>
      <x:c r="N1730" s="53" t="b">
        <x:v>1</x:v>
      </x:c>
      <x:c r="O1730" s="53" t="b">
        <x:v>1</x:v>
      </x:c>
      <x:c r="P1730" s="47" t="n">
        <x:v>1008</x:v>
      </x:c>
      <x:c r="Q1730" s="47" t="n">
        <x:v>0</x:v>
      </x:c>
      <x:c r="R1730" s="47" t="n">
        <x:v>0</x:v>
      </x:c>
      <x:c r="S1730" s="47" t="n">
        <x:v>33.25</x:v>
      </x:c>
      <x:c r="T1730" s="47" t="n">
        <x:v>77.98</x:v>
      </x:c>
      <x:c r="U1730" s="47" t="n">
        <x:v>30.4</x:v>
      </x:c>
      <x:c r="V1730" s="47" t="n">
        <x:v>18.5</x:v>
      </x:c>
      <x:c r="W1730" s="47" t="n">
        <x:v>33</x:v>
      </x:c>
      <x:c r="X1730" s="47" t="n">
        <x:v>167</x:v>
      </x:c>
      <x:c r="Y1730" s="41" t="n">
        <x:v>134</x:v>
      </x:c>
    </x:row>
    <x:row r="1731">
      <x:c r="A1731" s="38" t="str">
        <x:v>7月30日现场数据</x:v>
      </x:c>
      <x:c r="B1731" s="66" t="str">
        <x:v>2026-08-05T13:45:59.201000</x:v>
      </x:c>
      <x:c r="C1731" s="47" t="n">
        <x:v>300976</x:v>
      </x:c>
      <x:c r="D1731" s="47" t="str"/>
      <x:c r="E1731" s="47" t="str"/>
      <x:c r="F1731" s="47" t="str">
        <x:v>current</x:v>
      </x:c>
      <x:c r="G1731" s="47" t="n">
        <x:v>1727</x:v>
      </x:c>
      <x:c r="H1731" s="53" t="b">
        <x:v>1</x:v>
      </x:c>
      <x:c r="I1731" s="47" t="str">
        <x:v>4109905524</x:v>
      </x:c>
      <x:c r="J1731" s="47" t="n">
        <x:v>138484326</x:v>
      </x:c>
      <x:c r="K1731" s="53" t="b">
        <x:v>1</x:v>
      </x:c>
      <x:c r="L1731" s="53" t="b">
        <x:v>1</x:v>
      </x:c>
      <x:c r="M1731" s="53" t="b">
        <x:v>1</x:v>
      </x:c>
      <x:c r="N1731" s="53" t="b">
        <x:v>1</x:v>
      </x:c>
      <x:c r="O1731" s="53" t="b">
        <x:v>1</x:v>
      </x:c>
      <x:c r="P1731" s="47" t="n">
        <x:v>1008</x:v>
      </x:c>
      <x:c r="Q1731" s="47" t="n">
        <x:v>0</x:v>
      </x:c>
      <x:c r="R1731" s="47" t="n">
        <x:v>0</x:v>
      </x:c>
      <x:c r="S1731" s="47" t="n">
        <x:v>33.6</x:v>
      </x:c>
      <x:c r="T1731" s="47" t="n">
        <x:v>78.07</x:v>
      </x:c>
      <x:c r="U1731" s="47" t="n">
        <x:v>30.4</x:v>
      </x:c>
      <x:c r="V1731" s="47" t="n">
        <x:v>18.5</x:v>
      </x:c>
      <x:c r="W1731" s="47" t="n">
        <x:v>33</x:v>
      </x:c>
      <x:c r="X1731" s="47" t="n">
        <x:v>130</x:v>
      </x:c>
      <x:c r="Y1731" s="41" t="n">
        <x:v>97</x:v>
      </x:c>
    </x:row>
    <x:row r="1732">
      <x:c r="A1732" s="38" t="str">
        <x:v>7月30日现场数据</x:v>
      </x:c>
      <x:c r="B1732" s="66" t="str">
        <x:v>2026-08-05T13:51:00.178000</x:v>
      </x:c>
      <x:c r="C1732" s="47" t="n">
        <x:v>300977</x:v>
      </x:c>
      <x:c r="D1732" s="47" t="str"/>
      <x:c r="E1732" s="47" t="str"/>
      <x:c r="F1732" s="47" t="str">
        <x:v>current</x:v>
      </x:c>
      <x:c r="G1732" s="47" t="n">
        <x:v>1728</x:v>
      </x:c>
      <x:c r="H1732" s="53" t="b">
        <x:v>1</x:v>
      </x:c>
      <x:c r="I1732" s="47" t="str">
        <x:v>4109905524</x:v>
      </x:c>
      <x:c r="J1732" s="47" t="n">
        <x:v>138785303</x:v>
      </x:c>
      <x:c r="K1732" s="53" t="b">
        <x:v>1</x:v>
      </x:c>
      <x:c r="L1732" s="53" t="b">
        <x:v>1</x:v>
      </x:c>
      <x:c r="M1732" s="53" t="b">
        <x:v>1</x:v>
      </x:c>
      <x:c r="N1732" s="53" t="b">
        <x:v>1</x:v>
      </x:c>
      <x:c r="O1732" s="53" t="b">
        <x:v>1</x:v>
      </x:c>
      <x:c r="P1732" s="47" t="n">
        <x:v>1008</x:v>
      </x:c>
      <x:c r="Q1732" s="47" t="n">
        <x:v>0</x:v>
      </x:c>
      <x:c r="R1732" s="47" t="n">
        <x:v>0</x:v>
      </x:c>
      <x:c r="S1732" s="47" t="n">
        <x:v>33.97</x:v>
      </x:c>
      <x:c r="T1732" s="47" t="n">
        <x:v>78.2</x:v>
      </x:c>
      <x:c r="U1732" s="47" t="n">
        <x:v>30.4</x:v>
      </x:c>
      <x:c r="V1732" s="47" t="n">
        <x:v>18.5</x:v>
      </x:c>
      <x:c r="W1732" s="47" t="n">
        <x:v>33</x:v>
      </x:c>
      <x:c r="X1732" s="47" t="n">
        <x:v>127</x:v>
      </x:c>
      <x:c r="Y1732" s="41" t="n">
        <x:v>94</x:v>
      </x:c>
    </x:row>
    <x:row r="1733">
      <x:c r="A1733" s="38" t="str">
        <x:v>7月30日现场数据</x:v>
      </x:c>
      <x:c r="B1733" s="66" t="str">
        <x:v>2026-08-05T13:56:01.159000</x:v>
      </x:c>
      <x:c r="C1733" s="47" t="n">
        <x:v>300981</x:v>
      </x:c>
      <x:c r="D1733" s="47" t="str"/>
      <x:c r="E1733" s="47" t="str"/>
      <x:c r="F1733" s="47" t="str">
        <x:v>current</x:v>
      </x:c>
      <x:c r="G1733" s="47" t="n">
        <x:v>1729</x:v>
      </x:c>
      <x:c r="H1733" s="53" t="b">
        <x:v>1</x:v>
      </x:c>
      <x:c r="I1733" s="47" t="str">
        <x:v>4109905524</x:v>
      </x:c>
      <x:c r="J1733" s="47" t="n">
        <x:v>139086284</x:v>
      </x:c>
      <x:c r="K1733" s="53" t="b">
        <x:v>1</x:v>
      </x:c>
      <x:c r="L1733" s="53" t="b">
        <x:v>1</x:v>
      </x:c>
      <x:c r="M1733" s="53" t="b">
        <x:v>1</x:v>
      </x:c>
      <x:c r="N1733" s="53" t="b">
        <x:v>1</x:v>
      </x:c>
      <x:c r="O1733" s="53" t="b">
        <x:v>1</x:v>
      </x:c>
      <x:c r="P1733" s="47" t="n">
        <x:v>1007</x:v>
      </x:c>
      <x:c r="Q1733" s="47" t="n">
        <x:v>0</x:v>
      </x:c>
      <x:c r="R1733" s="47" t="n">
        <x:v>0</x:v>
      </x:c>
      <x:c r="S1733" s="47" t="n">
        <x:v>34.32</x:v>
      </x:c>
      <x:c r="T1733" s="47" t="n">
        <x:v>78.32</x:v>
      </x:c>
      <x:c r="U1733" s="47" t="n">
        <x:v>30.4</x:v>
      </x:c>
      <x:c r="V1733" s="47" t="n">
        <x:v>18.4</x:v>
      </x:c>
      <x:c r="W1733" s="47" t="n">
        <x:v>30</x:v>
      </x:c>
      <x:c r="X1733" s="47" t="n">
        <x:v>117</x:v>
      </x:c>
      <x:c r="Y1733" s="41" t="n">
        <x:v>87</x:v>
      </x:c>
    </x:row>
    <x:row r="1734">
      <x:c r="A1734" s="38" t="str">
        <x:v>7月30日现场数据</x:v>
      </x:c>
      <x:c r="B1734" s="66" t="str">
        <x:v>2026-08-05T14:01:02.140000</x:v>
      </x:c>
      <x:c r="C1734" s="47" t="n">
        <x:v>300981</x:v>
      </x:c>
      <x:c r="D1734" s="47" t="str"/>
      <x:c r="E1734" s="47" t="str"/>
      <x:c r="F1734" s="47" t="str">
        <x:v>current</x:v>
      </x:c>
      <x:c r="G1734" s="47" t="n">
        <x:v>1730</x:v>
      </x:c>
      <x:c r="H1734" s="53" t="b">
        <x:v>1</x:v>
      </x:c>
      <x:c r="I1734" s="47" t="str">
        <x:v>4109905524</x:v>
      </x:c>
      <x:c r="J1734" s="47" t="n">
        <x:v>139387265</x:v>
      </x:c>
      <x:c r="K1734" s="53" t="b">
        <x:v>1</x:v>
      </x:c>
      <x:c r="L1734" s="53" t="b">
        <x:v>1</x:v>
      </x:c>
      <x:c r="M1734" s="53" t="b">
        <x:v>1</x:v>
      </x:c>
      <x:c r="N1734" s="53" t="b">
        <x:v>1</x:v>
      </x:c>
      <x:c r="O1734" s="53" t="b">
        <x:v>1</x:v>
      </x:c>
      <x:c r="P1734" s="47" t="n">
        <x:v>1007</x:v>
      </x:c>
      <x:c r="Q1734" s="47" t="n">
        <x:v>0.011</x:v>
      </x:c>
      <x:c r="R1734" s="47" t="n">
        <x:v>0.297</x:v>
      </x:c>
      <x:c r="S1734" s="47" t="n">
        <x:v>34.46</x:v>
      </x:c>
      <x:c r="T1734" s="47" t="n">
        <x:v>78.42</x:v>
      </x:c>
      <x:c r="U1734" s="47" t="n">
        <x:v>30.4</x:v>
      </x:c>
      <x:c r="V1734" s="47" t="n">
        <x:v>18.4</x:v>
      </x:c>
      <x:c r="W1734" s="47" t="n">
        <x:v>34</x:v>
      </x:c>
      <x:c r="X1734" s="47" t="n">
        <x:v>150</x:v>
      </x:c>
      <x:c r="Y1734" s="41" t="n">
        <x:v>116</x:v>
      </x:c>
    </x:row>
    <x:row r="1735">
      <x:c r="A1735" s="38" t="str">
        <x:v>7月30日现场数据</x:v>
      </x:c>
      <x:c r="B1735" s="66" t="str">
        <x:v>2026-08-05T14:06:03.125000</x:v>
      </x:c>
      <x:c r="C1735" s="47" t="n">
        <x:v>300985</x:v>
      </x:c>
      <x:c r="D1735" s="47" t="str"/>
      <x:c r="E1735" s="47" t="str"/>
      <x:c r="F1735" s="47" t="str">
        <x:v>current</x:v>
      </x:c>
      <x:c r="G1735" s="47" t="n">
        <x:v>1731</x:v>
      </x:c>
      <x:c r="H1735" s="53" t="b">
        <x:v>1</x:v>
      </x:c>
      <x:c r="I1735" s="47" t="str">
        <x:v>4109905524</x:v>
      </x:c>
      <x:c r="J1735" s="47" t="n">
        <x:v>139688250</x:v>
      </x:c>
      <x:c r="K1735" s="53" t="b">
        <x:v>1</x:v>
      </x:c>
      <x:c r="L1735" s="53" t="b">
        <x:v>1</x:v>
      </x:c>
      <x:c r="M1735" s="53" t="b">
        <x:v>1</x:v>
      </x:c>
      <x:c r="N1735" s="53" t="b">
        <x:v>1</x:v>
      </x:c>
      <x:c r="O1735" s="53" t="b">
        <x:v>1</x:v>
      </x:c>
      <x:c r="P1735" s="47" t="n">
        <x:v>1007</x:v>
      </x:c>
      <x:c r="Q1735" s="47" t="n">
        <x:v>0</x:v>
      </x:c>
      <x:c r="R1735" s="47" t="n">
        <x:v>0</x:v>
      </x:c>
      <x:c r="S1735" s="47" t="n">
        <x:v>34.87</x:v>
      </x:c>
      <x:c r="T1735" s="47" t="n">
        <x:v>78.51</x:v>
      </x:c>
      <x:c r="U1735" s="47" t="n">
        <x:v>30.5</x:v>
      </x:c>
      <x:c r="V1735" s="47" t="n">
        <x:v>18.4</x:v>
      </x:c>
      <x:c r="W1735" s="47" t="n">
        <x:v>38</x:v>
      </x:c>
      <x:c r="X1735" s="47" t="n">
        <x:v>153</x:v>
      </x:c>
      <x:c r="Y1735" s="41" t="n">
        <x:v>115</x:v>
      </x:c>
    </x:row>
    <x:row r="1736">
      <x:c r="A1736" s="38" t="str">
        <x:v>7月30日现场数据</x:v>
      </x:c>
      <x:c r="B1736" s="66" t="str">
        <x:v>2026-08-05T14:11:04.109000</x:v>
      </x:c>
      <x:c r="C1736" s="47" t="n">
        <x:v>300984</x:v>
      </x:c>
      <x:c r="D1736" s="47" t="str"/>
      <x:c r="E1736" s="47" t="str"/>
      <x:c r="F1736" s="47" t="str">
        <x:v>current</x:v>
      </x:c>
      <x:c r="G1736" s="47" t="n">
        <x:v>1732</x:v>
      </x:c>
      <x:c r="H1736" s="53" t="b">
        <x:v>1</x:v>
      </x:c>
      <x:c r="I1736" s="47" t="str">
        <x:v>4109905524</x:v>
      </x:c>
      <x:c r="J1736" s="47" t="n">
        <x:v>139989234</x:v>
      </x:c>
      <x:c r="K1736" s="53" t="b">
        <x:v>1</x:v>
      </x:c>
      <x:c r="L1736" s="53" t="b">
        <x:v>1</x:v>
      </x:c>
      <x:c r="M1736" s="53" t="b">
        <x:v>1</x:v>
      </x:c>
      <x:c r="N1736" s="53" t="b">
        <x:v>1</x:v>
      </x:c>
      <x:c r="O1736" s="53" t="b">
        <x:v>1</x:v>
      </x:c>
      <x:c r="P1736" s="47" t="n">
        <x:v>1007</x:v>
      </x:c>
      <x:c r="Q1736" s="47" t="n">
        <x:v>0</x:v>
      </x:c>
      <x:c r="R1736" s="47" t="n">
        <x:v>0</x:v>
      </x:c>
      <x:c r="S1736" s="47" t="n">
        <x:v>35.51</x:v>
      </x:c>
      <x:c r="T1736" s="47" t="n">
        <x:v>78.63</x:v>
      </x:c>
      <x:c r="U1736" s="47" t="n">
        <x:v>30.5</x:v>
      </x:c>
      <x:c r="V1736" s="47" t="n">
        <x:v>18.4</x:v>
      </x:c>
      <x:c r="W1736" s="47" t="n">
        <x:v>23</x:v>
      </x:c>
      <x:c r="X1736" s="47" t="n">
        <x:v>106</x:v>
      </x:c>
      <x:c r="Y1736" s="41" t="n">
        <x:v>83</x:v>
      </x:c>
    </x:row>
    <x:row r="1737">
      <x:c r="A1737" s="38" t="str">
        <x:v>7月30日现场数据</x:v>
      </x:c>
      <x:c r="B1737" s="66" t="str">
        <x:v>2026-08-05T14:16:05.095000</x:v>
      </x:c>
      <x:c r="C1737" s="47" t="n">
        <x:v>300986</x:v>
      </x:c>
      <x:c r="D1737" s="47" t="str"/>
      <x:c r="E1737" s="47" t="str"/>
      <x:c r="F1737" s="47" t="str">
        <x:v>current</x:v>
      </x:c>
      <x:c r="G1737" s="47" t="n">
        <x:v>1733</x:v>
      </x:c>
      <x:c r="H1737" s="53" t="b">
        <x:v>1</x:v>
      </x:c>
      <x:c r="I1737" s="47" t="str">
        <x:v>4109905524</x:v>
      </x:c>
      <x:c r="J1737" s="47" t="n">
        <x:v>140290220</x:v>
      </x:c>
      <x:c r="K1737" s="53" t="b">
        <x:v>1</x:v>
      </x:c>
      <x:c r="L1737" s="53" t="b">
        <x:v>1</x:v>
      </x:c>
      <x:c r="M1737" s="53" t="b">
        <x:v>1</x:v>
      </x:c>
      <x:c r="N1737" s="53" t="b">
        <x:v>1</x:v>
      </x:c>
      <x:c r="O1737" s="53" t="b">
        <x:v>1</x:v>
      </x:c>
      <x:c r="P1737" s="47" t="n">
        <x:v>1008</x:v>
      </x:c>
      <x:c r="Q1737" s="47" t="n">
        <x:v>0</x:v>
      </x:c>
      <x:c r="R1737" s="47" t="n">
        <x:v>0</x:v>
      </x:c>
      <x:c r="S1737" s="47" t="n">
        <x:v>35.62</x:v>
      </x:c>
      <x:c r="T1737" s="47" t="n">
        <x:v>78.75</x:v>
      </x:c>
      <x:c r="U1737" s="47" t="n">
        <x:v>30.5</x:v>
      </x:c>
      <x:c r="V1737" s="47" t="n">
        <x:v>18.4</x:v>
      </x:c>
      <x:c r="W1737" s="47" t="n">
        <x:v>41</x:v>
      </x:c>
      <x:c r="X1737" s="47" t="n">
        <x:v>163</x:v>
      </x:c>
      <x:c r="Y1737" s="41" t="n">
        <x:v>122</x:v>
      </x:c>
    </x:row>
    <x:row r="1738">
      <x:c r="A1738" s="38" t="str">
        <x:v>7月30日现场数据</x:v>
      </x:c>
      <x:c r="B1738" s="66" t="str">
        <x:v>2026-08-05T14:21:06.117000</x:v>
      </x:c>
      <x:c r="C1738" s="47" t="n">
        <x:v>301022</x:v>
      </x:c>
      <x:c r="D1738" s="47" t="str"/>
      <x:c r="E1738" s="47" t="str"/>
      <x:c r="F1738" s="47" t="str">
        <x:v>current</x:v>
      </x:c>
      <x:c r="G1738" s="47" t="n">
        <x:v>1734</x:v>
      </x:c>
      <x:c r="H1738" s="53" t="b">
        <x:v>1</x:v>
      </x:c>
      <x:c r="I1738" s="47" t="str">
        <x:v>4109905524</x:v>
      </x:c>
      <x:c r="J1738" s="47" t="n">
        <x:v>140591242</x:v>
      </x:c>
      <x:c r="K1738" s="53" t="b">
        <x:v>1</x:v>
      </x:c>
      <x:c r="L1738" s="53" t="b">
        <x:v>1</x:v>
      </x:c>
      <x:c r="M1738" s="53" t="b">
        <x:v>1</x:v>
      </x:c>
      <x:c r="N1738" s="53" t="b">
        <x:v>1</x:v>
      </x:c>
      <x:c r="O1738" s="53" t="b">
        <x:v>1</x:v>
      </x:c>
      <x:c r="P1738" s="47" t="n">
        <x:v>1007</x:v>
      </x:c>
      <x:c r="Q1738" s="47" t="n">
        <x:v>0</x:v>
      </x:c>
      <x:c r="R1738" s="47" t="n">
        <x:v>0</x:v>
      </x:c>
      <x:c r="S1738" s="47" t="n">
        <x:v>36.07</x:v>
      </x:c>
      <x:c r="T1738" s="47" t="n">
        <x:v>78.83</x:v>
      </x:c>
      <x:c r="U1738" s="47" t="n">
        <x:v>30.5</x:v>
      </x:c>
      <x:c r="V1738" s="47" t="n">
        <x:v>18.4</x:v>
      </x:c>
      <x:c r="W1738" s="47" t="n">
        <x:v>20</x:v>
      </x:c>
      <x:c r="X1738" s="47" t="n">
        <x:v>99</x:v>
      </x:c>
      <x:c r="Y1738" s="41" t="n">
        <x:v>79</x:v>
      </x:c>
    </x:row>
    <x:row r="1739">
      <x:c r="A1739" s="38" t="str">
        <x:v>7月30日现场数据</x:v>
      </x:c>
      <x:c r="B1739" s="66" t="str">
        <x:v>2026-08-05T14:26:07.080000</x:v>
      </x:c>
      <x:c r="C1739" s="47" t="n">
        <x:v>300963</x:v>
      </x:c>
      <x:c r="D1739" s="47" t="str"/>
      <x:c r="E1739" s="47" t="str"/>
      <x:c r="F1739" s="47" t="str">
        <x:v>current</x:v>
      </x:c>
      <x:c r="G1739" s="47" t="n">
        <x:v>1735</x:v>
      </x:c>
      <x:c r="H1739" s="53" t="b">
        <x:v>1</x:v>
      </x:c>
      <x:c r="I1739" s="47" t="str">
        <x:v>4109905524</x:v>
      </x:c>
      <x:c r="J1739" s="47" t="n">
        <x:v>140892205</x:v>
      </x:c>
      <x:c r="K1739" s="53" t="b">
        <x:v>1</x:v>
      </x:c>
      <x:c r="L1739" s="53" t="b">
        <x:v>1</x:v>
      </x:c>
      <x:c r="M1739" s="53" t="b">
        <x:v>1</x:v>
      </x:c>
      <x:c r="N1739" s="53" t="b">
        <x:v>1</x:v>
      </x:c>
      <x:c r="O1739" s="53" t="b">
        <x:v>1</x:v>
      </x:c>
      <x:c r="P1739" s="47" t="n">
        <x:v>1007</x:v>
      </x:c>
      <x:c r="Q1739" s="47" t="n">
        <x:v>0</x:v>
      </x:c>
      <x:c r="R1739" s="47" t="n">
        <x:v>0</x:v>
      </x:c>
      <x:c r="S1739" s="47" t="n">
        <x:v>35.44</x:v>
      </x:c>
      <x:c r="T1739" s="47" t="n">
        <x:v>78.8</x:v>
      </x:c>
      <x:c r="U1739" s="47" t="n">
        <x:v>30.6</x:v>
      </x:c>
      <x:c r="V1739" s="47" t="n">
        <x:v>18.4</x:v>
      </x:c>
      <x:c r="W1739" s="47" t="n">
        <x:v>26</x:v>
      </x:c>
      <x:c r="X1739" s="47" t="n">
        <x:v>107</x:v>
      </x:c>
      <x:c r="Y1739" s="41" t="n">
        <x:v>81</x:v>
      </x:c>
    </x:row>
    <x:row r="1740">
      <x:c r="A1740" s="38" t="str">
        <x:v>7月30日现场数据</x:v>
      </x:c>
      <x:c r="B1740" s="66" t="str">
        <x:v>2026-08-05T14:31:08.044000</x:v>
      </x:c>
      <x:c r="C1740" s="47" t="n">
        <x:v>300964</x:v>
      </x:c>
      <x:c r="D1740" s="47" t="str"/>
      <x:c r="E1740" s="47" t="str"/>
      <x:c r="F1740" s="47" t="str">
        <x:v>current</x:v>
      </x:c>
      <x:c r="G1740" s="47" t="n">
        <x:v>1736</x:v>
      </x:c>
      <x:c r="H1740" s="53" t="b">
        <x:v>1</x:v>
      </x:c>
      <x:c r="I1740" s="47" t="str">
        <x:v>4109905524</x:v>
      </x:c>
      <x:c r="J1740" s="47" t="n">
        <x:v>141193169</x:v>
      </x:c>
      <x:c r="K1740" s="53" t="b">
        <x:v>1</x:v>
      </x:c>
      <x:c r="L1740" s="53" t="b">
        <x:v>1</x:v>
      </x:c>
      <x:c r="M1740" s="53" t="b">
        <x:v>1</x:v>
      </x:c>
      <x:c r="N1740" s="53" t="b">
        <x:v>1</x:v>
      </x:c>
      <x:c r="O1740" s="53" t="b">
        <x:v>1</x:v>
      </x:c>
      <x:c r="P1740" s="47" t="n">
        <x:v>1007</x:v>
      </x:c>
      <x:c r="Q1740" s="47" t="n">
        <x:v>0</x:v>
      </x:c>
      <x:c r="R1740" s="47" t="n">
        <x:v>0</x:v>
      </x:c>
      <x:c r="S1740" s="47" t="n">
        <x:v>34.84</x:v>
      </x:c>
      <x:c r="T1740" s="47" t="n">
        <x:v>78.65</x:v>
      </x:c>
      <x:c r="U1740" s="47" t="n">
        <x:v>30.6</x:v>
      </x:c>
      <x:c r="V1740" s="47" t="n">
        <x:v>18.4</x:v>
      </x:c>
      <x:c r="W1740" s="47" t="n">
        <x:v>9</x:v>
      </x:c>
      <x:c r="X1740" s="47" t="n">
        <x:v>43</x:v>
      </x:c>
      <x:c r="Y1740" s="41" t="n">
        <x:v>34</x:v>
      </x:c>
    </x:row>
    <x:row r="1741">
      <x:c r="A1741" s="38" t="str">
        <x:v>7月30日现场数据</x:v>
      </x:c>
      <x:c r="B1741" s="66" t="str">
        <x:v>2026-08-05T14:36:09.010000</x:v>
      </x:c>
      <x:c r="C1741" s="47" t="n">
        <x:v>300966</x:v>
      </x:c>
      <x:c r="D1741" s="47" t="str"/>
      <x:c r="E1741" s="47" t="str"/>
      <x:c r="F1741" s="47" t="str">
        <x:v>current</x:v>
      </x:c>
      <x:c r="G1741" s="47" t="n">
        <x:v>1737</x:v>
      </x:c>
      <x:c r="H1741" s="53" t="b">
        <x:v>1</x:v>
      </x:c>
      <x:c r="I1741" s="47" t="str">
        <x:v>4109905524</x:v>
      </x:c>
      <x:c r="J1741" s="47" t="n">
        <x:v>141494135</x:v>
      </x:c>
      <x:c r="K1741" s="53" t="b">
        <x:v>1</x:v>
      </x:c>
      <x:c r="L1741" s="53" t="b">
        <x:v>1</x:v>
      </x:c>
      <x:c r="M1741" s="53" t="b">
        <x:v>1</x:v>
      </x:c>
      <x:c r="N1741" s="53" t="b">
        <x:v>1</x:v>
      </x:c>
      <x:c r="O1741" s="53" t="b">
        <x:v>1</x:v>
      </x:c>
      <x:c r="P1741" s="47" t="n">
        <x:v>1007</x:v>
      </x:c>
      <x:c r="Q1741" s="47" t="n">
        <x:v>0</x:v>
      </x:c>
      <x:c r="R1741" s="47" t="n">
        <x:v>0</x:v>
      </x:c>
      <x:c r="S1741" s="47" t="n">
        <x:v>34.12</x:v>
      </x:c>
      <x:c r="T1741" s="47" t="n">
        <x:v>78.54</x:v>
      </x:c>
      <x:c r="U1741" s="47" t="n">
        <x:v>30.6</x:v>
      </x:c>
      <x:c r="V1741" s="47" t="n">
        <x:v>18.3</x:v>
      </x:c>
      <x:c r="W1741" s="47" t="n">
        <x:v>7</x:v>
      </x:c>
      <x:c r="X1741" s="47" t="n">
        <x:v>34</x:v>
      </x:c>
      <x:c r="Y1741" s="41" t="n">
        <x:v>27</x:v>
      </x:c>
    </x:row>
    <x:row r="1742">
      <x:c r="A1742" s="38" t="str">
        <x:v>7月30日现场数据</x:v>
      </x:c>
      <x:c r="B1742" s="66" t="str">
        <x:v>2026-08-05T14:41:09.980000</x:v>
      </x:c>
      <x:c r="C1742" s="47" t="n">
        <x:v>300970</x:v>
      </x:c>
      <x:c r="D1742" s="47" t="str"/>
      <x:c r="E1742" s="47" t="str"/>
      <x:c r="F1742" s="47" t="str">
        <x:v>current</x:v>
      </x:c>
      <x:c r="G1742" s="47" t="n">
        <x:v>1738</x:v>
      </x:c>
      <x:c r="H1742" s="53" t="b">
        <x:v>1</x:v>
      </x:c>
      <x:c r="I1742" s="47" t="str">
        <x:v>4109905524</x:v>
      </x:c>
      <x:c r="J1742" s="47" t="n">
        <x:v>141795105</x:v>
      </x:c>
      <x:c r="K1742" s="53" t="b">
        <x:v>1</x:v>
      </x:c>
      <x:c r="L1742" s="53" t="b">
        <x:v>1</x:v>
      </x:c>
      <x:c r="M1742" s="53" t="b">
        <x:v>1</x:v>
      </x:c>
      <x:c r="N1742" s="53" t="b">
        <x:v>1</x:v>
      </x:c>
      <x:c r="O1742" s="53" t="b">
        <x:v>1</x:v>
      </x:c>
      <x:c r="P1742" s="47" t="n">
        <x:v>1007</x:v>
      </x:c>
      <x:c r="Q1742" s="47" t="n">
        <x:v>0</x:v>
      </x:c>
      <x:c r="R1742" s="47" t="n">
        <x:v>0</x:v>
      </x:c>
      <x:c r="S1742" s="47" t="n">
        <x:v>33.64</x:v>
      </x:c>
      <x:c r="T1742" s="47" t="n">
        <x:v>78.37</x:v>
      </x:c>
      <x:c r="U1742" s="47" t="n">
        <x:v>30.5</x:v>
      </x:c>
      <x:c r="V1742" s="47" t="n">
        <x:v>18.3</x:v>
      </x:c>
      <x:c r="W1742" s="47" t="n">
        <x:v>24</x:v>
      </x:c>
      <x:c r="X1742" s="47" t="n">
        <x:v>104</x:v>
      </x:c>
      <x:c r="Y1742" s="41" t="n">
        <x:v>80</x:v>
      </x:c>
    </x:row>
    <x:row r="1743">
      <x:c r="A1743" s="38" t="str">
        <x:v>7月30日现场数据</x:v>
      </x:c>
      <x:c r="B1743" s="66" t="str">
        <x:v>2026-08-05T14:46:10.952000</x:v>
      </x:c>
      <x:c r="C1743" s="47" t="n">
        <x:v>300972</x:v>
      </x:c>
      <x:c r="D1743" s="47" t="str"/>
      <x:c r="E1743" s="47" t="str"/>
      <x:c r="F1743" s="47" t="str">
        <x:v>current</x:v>
      </x:c>
      <x:c r="G1743" s="47" t="n">
        <x:v>1739</x:v>
      </x:c>
      <x:c r="H1743" s="53" t="b">
        <x:v>1</x:v>
      </x:c>
      <x:c r="I1743" s="47" t="str">
        <x:v>4109905524</x:v>
      </x:c>
      <x:c r="J1743" s="47" t="n">
        <x:v>142096077</x:v>
      </x:c>
      <x:c r="K1743" s="53" t="b">
        <x:v>1</x:v>
      </x:c>
      <x:c r="L1743" s="53" t="b">
        <x:v>1</x:v>
      </x:c>
      <x:c r="M1743" s="53" t="b">
        <x:v>1</x:v>
      </x:c>
      <x:c r="N1743" s="53" t="b">
        <x:v>1</x:v>
      </x:c>
      <x:c r="O1743" s="53" t="b">
        <x:v>1</x:v>
      </x:c>
      <x:c r="P1743" s="47" t="n">
        <x:v>1008</x:v>
      </x:c>
      <x:c r="Q1743" s="47" t="n">
        <x:v>0.061</x:v>
      </x:c>
      <x:c r="R1743" s="47" t="n">
        <x:v>1.648</x:v>
      </x:c>
      <x:c r="S1743" s="47" t="n">
        <x:v>34.54</x:v>
      </x:c>
      <x:c r="T1743" s="47" t="n">
        <x:v>78.37</x:v>
      </x:c>
      <x:c r="U1743" s="47" t="n">
        <x:v>30.5</x:v>
      </x:c>
      <x:c r="V1743" s="47" t="n">
        <x:v>18.3</x:v>
      </x:c>
      <x:c r="W1743" s="47" t="n">
        <x:v>37</x:v>
      </x:c>
      <x:c r="X1743" s="47" t="n">
        <x:v>147</x:v>
      </x:c>
      <x:c r="Y1743" s="41" t="n">
        <x:v>110</x:v>
      </x:c>
    </x:row>
    <x:row r="1744">
      <x:c r="A1744" s="38" t="str">
        <x:v>7月30日现场数据</x:v>
      </x:c>
      <x:c r="B1744" s="66" t="str">
        <x:v>2026-08-05T14:51:11.927000</x:v>
      </x:c>
      <x:c r="C1744" s="47" t="n">
        <x:v>300975</x:v>
      </x:c>
      <x:c r="D1744" s="47" t="str"/>
      <x:c r="E1744" s="47" t="str"/>
      <x:c r="F1744" s="47" t="str">
        <x:v>current</x:v>
      </x:c>
      <x:c r="G1744" s="47" t="n">
        <x:v>1740</x:v>
      </x:c>
      <x:c r="H1744" s="53" t="b">
        <x:v>1</x:v>
      </x:c>
      <x:c r="I1744" s="47" t="str">
        <x:v>4109905524</x:v>
      </x:c>
      <x:c r="J1744" s="47" t="n">
        <x:v>142397052</x:v>
      </x:c>
      <x:c r="K1744" s="53" t="b">
        <x:v>1</x:v>
      </x:c>
      <x:c r="L1744" s="53" t="b">
        <x:v>1</x:v>
      </x:c>
      <x:c r="M1744" s="53" t="b">
        <x:v>1</x:v>
      </x:c>
      <x:c r="N1744" s="53" t="b">
        <x:v>1</x:v>
      </x:c>
      <x:c r="O1744" s="53" t="b">
        <x:v>1</x:v>
      </x:c>
      <x:c r="P1744" s="47" t="n">
        <x:v>1007</x:v>
      </x:c>
      <x:c r="Q1744" s="47" t="n">
        <x:v>0</x:v>
      </x:c>
      <x:c r="R1744" s="47" t="n">
        <x:v>0</x:v>
      </x:c>
      <x:c r="S1744" s="47" t="n">
        <x:v>34.95</x:v>
      </x:c>
      <x:c r="T1744" s="47" t="n">
        <x:v>78.55</x:v>
      </x:c>
      <x:c r="U1744" s="47" t="n">
        <x:v>30.5</x:v>
      </x:c>
      <x:c r="V1744" s="47" t="n">
        <x:v>18.3</x:v>
      </x:c>
      <x:c r="W1744" s="47" t="n">
        <x:v>33</x:v>
      </x:c>
      <x:c r="X1744" s="47" t="n">
        <x:v>135</x:v>
      </x:c>
      <x:c r="Y1744" s="41" t="n">
        <x:v>102</x:v>
      </x:c>
    </x:row>
    <x:row r="1745">
      <x:c r="A1745" s="38" t="str">
        <x:v>7月30日现场数据</x:v>
      </x:c>
      <x:c r="B1745" s="66" t="str">
        <x:v>2026-08-05T14:56:12.900000</x:v>
      </x:c>
      <x:c r="C1745" s="47" t="n">
        <x:v>300973</x:v>
      </x:c>
      <x:c r="D1745" s="47" t="str"/>
      <x:c r="E1745" s="47" t="str"/>
      <x:c r="F1745" s="47" t="str">
        <x:v>current</x:v>
      </x:c>
      <x:c r="G1745" s="47" t="n">
        <x:v>1741</x:v>
      </x:c>
      <x:c r="H1745" s="53" t="b">
        <x:v>1</x:v>
      </x:c>
      <x:c r="I1745" s="47" t="str">
        <x:v>4109905524</x:v>
      </x:c>
      <x:c r="J1745" s="47" t="n">
        <x:v>142698025</x:v>
      </x:c>
      <x:c r="K1745" s="53" t="b">
        <x:v>1</x:v>
      </x:c>
      <x:c r="L1745" s="53" t="b">
        <x:v>1</x:v>
      </x:c>
      <x:c r="M1745" s="53" t="b">
        <x:v>1</x:v>
      </x:c>
      <x:c r="N1745" s="53" t="b">
        <x:v>1</x:v>
      </x:c>
      <x:c r="O1745" s="53" t="b">
        <x:v>1</x:v>
      </x:c>
      <x:c r="P1745" s="47" t="n">
        <x:v>1007</x:v>
      </x:c>
      <x:c r="Q1745" s="47" t="n">
        <x:v>0</x:v>
      </x:c>
      <x:c r="R1745" s="47" t="n">
        <x:v>0</x:v>
      </x:c>
      <x:c r="S1745" s="47" t="n">
        <x:v>35.29</x:v>
      </x:c>
      <x:c r="T1745" s="47" t="n">
        <x:v>78.59</x:v>
      </x:c>
      <x:c r="U1745" s="47" t="n">
        <x:v>30.6</x:v>
      </x:c>
      <x:c r="V1745" s="47" t="n">
        <x:v>18.3</x:v>
      </x:c>
      <x:c r="W1745" s="47" t="n">
        <x:v>39</x:v>
      </x:c>
      <x:c r="X1745" s="47" t="n">
        <x:v>158</x:v>
      </x:c>
      <x:c r="Y1745" s="41" t="n">
        <x:v>119</x:v>
      </x:c>
    </x:row>
    <x:row r="1746">
      <x:c r="A1746" s="38" t="str">
        <x:v>7月30日现场数据</x:v>
      </x:c>
      <x:c r="B1746" s="66" t="str">
        <x:v>2026-08-05T15:01:13.877000</x:v>
      </x:c>
      <x:c r="C1746" s="47" t="n">
        <x:v>300977</x:v>
      </x:c>
      <x:c r="D1746" s="47" t="str"/>
      <x:c r="E1746" s="47" t="str"/>
      <x:c r="F1746" s="47" t="str">
        <x:v>current</x:v>
      </x:c>
      <x:c r="G1746" s="47" t="n">
        <x:v>1742</x:v>
      </x:c>
      <x:c r="H1746" s="53" t="b">
        <x:v>1</x:v>
      </x:c>
      <x:c r="I1746" s="47" t="str">
        <x:v>4109905524</x:v>
      </x:c>
      <x:c r="J1746" s="47" t="n">
        <x:v>142999002</x:v>
      </x:c>
      <x:c r="K1746" s="53" t="b">
        <x:v>1</x:v>
      </x:c>
      <x:c r="L1746" s="53" t="b">
        <x:v>1</x:v>
      </x:c>
      <x:c r="M1746" s="53" t="b">
        <x:v>1</x:v>
      </x:c>
      <x:c r="N1746" s="53" t="b">
        <x:v>1</x:v>
      </x:c>
      <x:c r="O1746" s="53" t="b">
        <x:v>1</x:v>
      </x:c>
      <x:c r="P1746" s="47" t="n">
        <x:v>1007</x:v>
      </x:c>
      <x:c r="Q1746" s="47" t="n">
        <x:v>0</x:v>
      </x:c>
      <x:c r="R1746" s="47" t="n">
        <x:v>0</x:v>
      </x:c>
      <x:c r="S1746" s="47" t="n">
        <x:v>35.77</x:v>
      </x:c>
      <x:c r="T1746" s="47" t="n">
        <x:v>78.65</x:v>
      </x:c>
      <x:c r="U1746" s="47" t="n">
        <x:v>30.6</x:v>
      </x:c>
      <x:c r="V1746" s="47" t="n">
        <x:v>18.3</x:v>
      </x:c>
      <x:c r="W1746" s="47" t="n">
        <x:v>41</x:v>
      </x:c>
      <x:c r="X1746" s="47" t="n">
        <x:v>171</x:v>
      </x:c>
      <x:c r="Y1746" s="41" t="n">
        <x:v>130</x:v>
      </x:c>
    </x:row>
    <x:row r="1747">
      <x:c r="A1747" s="38" t="str">
        <x:v>7月30日现场数据</x:v>
      </x:c>
      <x:c r="B1747" s="66" t="str">
        <x:v>2026-08-05T15:06:14.856000</x:v>
      </x:c>
      <x:c r="C1747" s="47" t="n">
        <x:v>300979</x:v>
      </x:c>
      <x:c r="D1747" s="47" t="str"/>
      <x:c r="E1747" s="47" t="str"/>
      <x:c r="F1747" s="47" t="str">
        <x:v>current</x:v>
      </x:c>
      <x:c r="G1747" s="47" t="n">
        <x:v>1743</x:v>
      </x:c>
      <x:c r="H1747" s="53" t="b">
        <x:v>1</x:v>
      </x:c>
      <x:c r="I1747" s="47" t="str">
        <x:v>4109905524</x:v>
      </x:c>
      <x:c r="J1747" s="47" t="n">
        <x:v>143299981</x:v>
      </x:c>
      <x:c r="K1747" s="53" t="b">
        <x:v>1</x:v>
      </x:c>
      <x:c r="L1747" s="53" t="b">
        <x:v>1</x:v>
      </x:c>
      <x:c r="M1747" s="53" t="b">
        <x:v>1</x:v>
      </x:c>
      <x:c r="N1747" s="53" t="b">
        <x:v>1</x:v>
      </x:c>
      <x:c r="O1747" s="53" t="b">
        <x:v>1</x:v>
      </x:c>
      <x:c r="P1747" s="47" t="n">
        <x:v>1007</x:v>
      </x:c>
      <x:c r="Q1747" s="47" t="n">
        <x:v>0</x:v>
      </x:c>
      <x:c r="R1747" s="47" t="n">
        <x:v>0</x:v>
      </x:c>
      <x:c r="S1747" s="47" t="n">
        <x:v>36.17</x:v>
      </x:c>
      <x:c r="T1747" s="47" t="n">
        <x:v>78.73</x:v>
      </x:c>
      <x:c r="U1747" s="47" t="n">
        <x:v>30.6</x:v>
      </x:c>
      <x:c r="V1747" s="47" t="n">
        <x:v>18.3</x:v>
      </x:c>
      <x:c r="W1747" s="47" t="n">
        <x:v>33</x:v>
      </x:c>
      <x:c r="X1747" s="47" t="n">
        <x:v>141</x:v>
      </x:c>
      <x:c r="Y1747" s="41" t="n">
        <x:v>108</x:v>
      </x:c>
    </x:row>
    <x:row r="1748">
      <x:c r="A1748" s="38" t="str">
        <x:v>7月30日现场数据</x:v>
      </x:c>
      <x:c r="B1748" s="66" t="str">
        <x:v>2026-08-05T15:11:15.837000</x:v>
      </x:c>
      <x:c r="C1748" s="47" t="n">
        <x:v>300981</x:v>
      </x:c>
      <x:c r="D1748" s="47" t="str"/>
      <x:c r="E1748" s="47" t="str"/>
      <x:c r="F1748" s="47" t="str">
        <x:v>current</x:v>
      </x:c>
      <x:c r="G1748" s="47" t="n">
        <x:v>1744</x:v>
      </x:c>
      <x:c r="H1748" s="53" t="b">
        <x:v>1</x:v>
      </x:c>
      <x:c r="I1748" s="47" t="str">
        <x:v>4109905524</x:v>
      </x:c>
      <x:c r="J1748" s="47" t="n">
        <x:v>143600962</x:v>
      </x:c>
      <x:c r="K1748" s="53" t="b">
        <x:v>1</x:v>
      </x:c>
      <x:c r="L1748" s="53" t="b">
        <x:v>1</x:v>
      </x:c>
      <x:c r="M1748" s="53" t="b">
        <x:v>1</x:v>
      </x:c>
      <x:c r="N1748" s="53" t="b">
        <x:v>1</x:v>
      </x:c>
      <x:c r="O1748" s="53" t="b">
        <x:v>1</x:v>
      </x:c>
      <x:c r="P1748" s="47" t="n">
        <x:v>1007</x:v>
      </x:c>
      <x:c r="Q1748" s="47" t="n">
        <x:v>0</x:v>
      </x:c>
      <x:c r="R1748" s="47" t="n">
        <x:v>0</x:v>
      </x:c>
      <x:c r="S1748" s="47" t="n">
        <x:v>36.01</x:v>
      </x:c>
      <x:c r="T1748" s="47" t="n">
        <x:v>78.72</x:v>
      </x:c>
      <x:c r="U1748" s="47" t="n">
        <x:v>30.7</x:v>
      </x:c>
      <x:c r="V1748" s="47" t="n">
        <x:v>18.3</x:v>
      </x:c>
      <x:c r="W1748" s="47" t="n">
        <x:v>15</x:v>
      </x:c>
      <x:c r="X1748" s="47" t="n">
        <x:v>66</x:v>
      </x:c>
      <x:c r="Y1748" s="41" t="n">
        <x:v>51</x:v>
      </x:c>
    </x:row>
    <x:row r="1749">
      <x:c r="A1749" s="38" t="str">
        <x:v>7月30日现场数据</x:v>
      </x:c>
      <x:c r="B1749" s="66" t="str">
        <x:v>2026-08-05T15:16:16.819000</x:v>
      </x:c>
      <x:c r="C1749" s="47" t="n">
        <x:v>300982</x:v>
      </x:c>
      <x:c r="D1749" s="47" t="str"/>
      <x:c r="E1749" s="47" t="str"/>
      <x:c r="F1749" s="47" t="str">
        <x:v>current</x:v>
      </x:c>
      <x:c r="G1749" s="47" t="n">
        <x:v>1745</x:v>
      </x:c>
      <x:c r="H1749" s="53" t="b">
        <x:v>1</x:v>
      </x:c>
      <x:c r="I1749" s="47" t="str">
        <x:v>4109905524</x:v>
      </x:c>
      <x:c r="J1749" s="47" t="n">
        <x:v>143901944</x:v>
      </x:c>
      <x:c r="K1749" s="53" t="b">
        <x:v>1</x:v>
      </x:c>
      <x:c r="L1749" s="53" t="b">
        <x:v>1</x:v>
      </x:c>
      <x:c r="M1749" s="53" t="b">
        <x:v>1</x:v>
      </x:c>
      <x:c r="N1749" s="53" t="b">
        <x:v>1</x:v>
      </x:c>
      <x:c r="O1749" s="53" t="b">
        <x:v>1</x:v>
      </x:c>
      <x:c r="P1749" s="47" t="n">
        <x:v>1007</x:v>
      </x:c>
      <x:c r="Q1749" s="47" t="n">
        <x:v>0</x:v>
      </x:c>
      <x:c r="R1749" s="47" t="n">
        <x:v>0</x:v>
      </x:c>
      <x:c r="S1749" s="47" t="n">
        <x:v>35.63</x:v>
      </x:c>
      <x:c r="T1749" s="47" t="n">
        <x:v>78.66</x:v>
      </x:c>
      <x:c r="U1749" s="47" t="n">
        <x:v>30.7</x:v>
      </x:c>
      <x:c r="V1749" s="47" t="n">
        <x:v>18.3</x:v>
      </x:c>
      <x:c r="W1749" s="47" t="n">
        <x:v>25</x:v>
      </x:c>
      <x:c r="X1749" s="47" t="n">
        <x:v>94</x:v>
      </x:c>
      <x:c r="Y1749" s="41" t="n">
        <x:v>69</x:v>
      </x:c>
    </x:row>
    <x:row r="1750">
      <x:c r="A1750" s="38" t="str">
        <x:v>7月30日现场数据</x:v>
      </x:c>
      <x:c r="B1750" s="66" t="str">
        <x:v>2026-08-05T15:21:17.804000</x:v>
      </x:c>
      <x:c r="C1750" s="47" t="n">
        <x:v>300985</x:v>
      </x:c>
      <x:c r="D1750" s="47" t="str"/>
      <x:c r="E1750" s="47" t="str"/>
      <x:c r="F1750" s="47" t="str">
        <x:v>current</x:v>
      </x:c>
      <x:c r="G1750" s="47" t="n">
        <x:v>1746</x:v>
      </x:c>
      <x:c r="H1750" s="53" t="b">
        <x:v>1</x:v>
      </x:c>
      <x:c r="I1750" s="47" t="str">
        <x:v>4109905524</x:v>
      </x:c>
      <x:c r="J1750" s="47" t="n">
        <x:v>144202929</x:v>
      </x:c>
      <x:c r="K1750" s="53" t="b">
        <x:v>1</x:v>
      </x:c>
      <x:c r="L1750" s="53" t="b">
        <x:v>1</x:v>
      </x:c>
      <x:c r="M1750" s="53" t="b">
        <x:v>1</x:v>
      </x:c>
      <x:c r="N1750" s="53" t="b">
        <x:v>1</x:v>
      </x:c>
      <x:c r="O1750" s="53" t="b">
        <x:v>1</x:v>
      </x:c>
      <x:c r="P1750" s="47" t="n">
        <x:v>1007</x:v>
      </x:c>
      <x:c r="Q1750" s="47" t="n">
        <x:v>0</x:v>
      </x:c>
      <x:c r="R1750" s="47" t="n">
        <x:v>0</x:v>
      </x:c>
      <x:c r="S1750" s="47" t="n">
        <x:v>35.13</x:v>
      </x:c>
      <x:c r="T1750" s="47" t="n">
        <x:v>78.52</x:v>
      </x:c>
      <x:c r="U1750" s="47" t="n">
        <x:v>30.7</x:v>
      </x:c>
      <x:c r="V1750" s="47" t="n">
        <x:v>18.3</x:v>
      </x:c>
      <x:c r="W1750" s="47" t="n">
        <x:v>13</x:v>
      </x:c>
      <x:c r="X1750" s="47" t="n">
        <x:v>59</x:v>
      </x:c>
      <x:c r="Y1750" s="41" t="n">
        <x:v>46</x:v>
      </x:c>
    </x:row>
    <x:row r="1751">
      <x:c r="A1751" s="38" t="str">
        <x:v>7月30日现场数据</x:v>
      </x:c>
      <x:c r="B1751" s="66" t="str">
        <x:v>2026-08-05T15:26:18.789000</x:v>
      </x:c>
      <x:c r="C1751" s="47" t="n">
        <x:v>300985</x:v>
      </x:c>
      <x:c r="D1751" s="47" t="str"/>
      <x:c r="E1751" s="47" t="str"/>
      <x:c r="F1751" s="47" t="str">
        <x:v>current</x:v>
      </x:c>
      <x:c r="G1751" s="47" t="n">
        <x:v>1747</x:v>
      </x:c>
      <x:c r="H1751" s="53" t="b">
        <x:v>1</x:v>
      </x:c>
      <x:c r="I1751" s="47" t="str">
        <x:v>4109905524</x:v>
      </x:c>
      <x:c r="J1751" s="47" t="n">
        <x:v>144503914</x:v>
      </x:c>
      <x:c r="K1751" s="53" t="b">
        <x:v>1</x:v>
      </x:c>
      <x:c r="L1751" s="53" t="b">
        <x:v>1</x:v>
      </x:c>
      <x:c r="M1751" s="53" t="b">
        <x:v>1</x:v>
      </x:c>
      <x:c r="N1751" s="53" t="b">
        <x:v>1</x:v>
      </x:c>
      <x:c r="O1751" s="53" t="b">
        <x:v>1</x:v>
      </x:c>
      <x:c r="P1751" s="47" t="n">
        <x:v>1007</x:v>
      </x:c>
      <x:c r="Q1751" s="47" t="n">
        <x:v>0</x:v>
      </x:c>
      <x:c r="R1751" s="47" t="n">
        <x:v>0</x:v>
      </x:c>
      <x:c r="S1751" s="47" t="n">
        <x:v>34.67</x:v>
      </x:c>
      <x:c r="T1751" s="47" t="n">
        <x:v>78.35</x:v>
      </x:c>
      <x:c r="U1751" s="47" t="n">
        <x:v>30.6</x:v>
      </x:c>
      <x:c r="V1751" s="47" t="n">
        <x:v>18.2</x:v>
      </x:c>
      <x:c r="W1751" s="47" t="n">
        <x:v>14</x:v>
      </x:c>
      <x:c r="X1751" s="47" t="n">
        <x:v>69</x:v>
      </x:c>
      <x:c r="Y1751" s="41" t="n">
        <x:v>55</x:v>
      </x:c>
    </x:row>
    <x:row r="1752">
      <x:c r="A1752" s="38" t="str">
        <x:v>7月30日现场数据</x:v>
      </x:c>
      <x:c r="B1752" s="66" t="str">
        <x:v>2026-08-05T15:31:19.776000</x:v>
      </x:c>
      <x:c r="C1752" s="47" t="n">
        <x:v>300987</x:v>
      </x:c>
      <x:c r="D1752" s="47" t="str"/>
      <x:c r="E1752" s="47" t="str"/>
      <x:c r="F1752" s="47" t="str">
        <x:v>current</x:v>
      </x:c>
      <x:c r="G1752" s="47" t="n">
        <x:v>1748</x:v>
      </x:c>
      <x:c r="H1752" s="53" t="b">
        <x:v>1</x:v>
      </x:c>
      <x:c r="I1752" s="47" t="str">
        <x:v>4109905524</x:v>
      </x:c>
      <x:c r="J1752" s="47" t="n">
        <x:v>144804901</x:v>
      </x:c>
      <x:c r="K1752" s="53" t="b">
        <x:v>1</x:v>
      </x:c>
      <x:c r="L1752" s="53" t="b">
        <x:v>1</x:v>
      </x:c>
      <x:c r="M1752" s="53" t="b">
        <x:v>1</x:v>
      </x:c>
      <x:c r="N1752" s="53" t="b">
        <x:v>1</x:v>
      </x:c>
      <x:c r="O1752" s="53" t="b">
        <x:v>1</x:v>
      </x:c>
      <x:c r="P1752" s="47" t="n">
        <x:v>1007</x:v>
      </x:c>
      <x:c r="Q1752" s="47" t="n">
        <x:v>0</x:v>
      </x:c>
      <x:c r="R1752" s="47" t="n">
        <x:v>0</x:v>
      </x:c>
      <x:c r="S1752" s="47" t="n">
        <x:v>34.66</x:v>
      </x:c>
      <x:c r="T1752" s="47" t="n">
        <x:v>78.23</x:v>
      </x:c>
      <x:c r="U1752" s="47" t="n">
        <x:v>30.6</x:v>
      </x:c>
      <x:c r="V1752" s="47" t="n">
        <x:v>18.2</x:v>
      </x:c>
      <x:c r="W1752" s="47" t="n">
        <x:v>31</x:v>
      </x:c>
      <x:c r="X1752" s="47" t="n">
        <x:v>118</x:v>
      </x:c>
      <x:c r="Y1752" s="41" t="n">
        <x:v>87</x:v>
      </x:c>
    </x:row>
    <x:row r="1753">
      <x:c r="A1753" s="38" t="str">
        <x:v>7月30日现场数据</x:v>
      </x:c>
      <x:c r="B1753" s="66" t="str">
        <x:v>2026-08-05T15:36:20.764000</x:v>
      </x:c>
      <x:c r="C1753" s="47" t="n">
        <x:v>300988</x:v>
      </x:c>
      <x:c r="D1753" s="47" t="str"/>
      <x:c r="E1753" s="47" t="str"/>
      <x:c r="F1753" s="47" t="str">
        <x:v>current</x:v>
      </x:c>
      <x:c r="G1753" s="47" t="n">
        <x:v>1749</x:v>
      </x:c>
      <x:c r="H1753" s="53" t="b">
        <x:v>1</x:v>
      </x:c>
      <x:c r="I1753" s="47" t="str">
        <x:v>4109905524</x:v>
      </x:c>
      <x:c r="J1753" s="47" t="n">
        <x:v>145105889</x:v>
      </x:c>
      <x:c r="K1753" s="53" t="b">
        <x:v>1</x:v>
      </x:c>
      <x:c r="L1753" s="53" t="b">
        <x:v>1</x:v>
      </x:c>
      <x:c r="M1753" s="53" t="b">
        <x:v>1</x:v>
      </x:c>
      <x:c r="N1753" s="53" t="b">
        <x:v>1</x:v>
      </x:c>
      <x:c r="O1753" s="53" t="b">
        <x:v>1</x:v>
      </x:c>
      <x:c r="P1753" s="47" t="n">
        <x:v>1007</x:v>
      </x:c>
      <x:c r="Q1753" s="47" t="n">
        <x:v>0</x:v>
      </x:c>
      <x:c r="R1753" s="47" t="n">
        <x:v>0</x:v>
      </x:c>
      <x:c r="S1753" s="47" t="n">
        <x:v>35</x:v>
      </x:c>
      <x:c r="T1753" s="47" t="n">
        <x:v>78.22</x:v>
      </x:c>
      <x:c r="U1753" s="47" t="n">
        <x:v>30.6</x:v>
      </x:c>
      <x:c r="V1753" s="47" t="n">
        <x:v>18.2</x:v>
      </x:c>
      <x:c r="W1753" s="47" t="n">
        <x:v>13</x:v>
      </x:c>
      <x:c r="X1753" s="47" t="n">
        <x:v>64</x:v>
      </x:c>
      <x:c r="Y1753" s="41" t="n">
        <x:v>51</x:v>
      </x:c>
    </x:row>
    <x:row r="1754">
      <x:c r="A1754" s="38" t="str">
        <x:v>7月30日现场数据</x:v>
      </x:c>
      <x:c r="B1754" s="66" t="str">
        <x:v>2026-08-05T15:41:21.790000</x:v>
      </x:c>
      <x:c r="C1754" s="47" t="n">
        <x:v>301026</x:v>
      </x:c>
      <x:c r="D1754" s="47" t="str"/>
      <x:c r="E1754" s="47" t="str"/>
      <x:c r="F1754" s="47" t="str">
        <x:v>current</x:v>
      </x:c>
      <x:c r="G1754" s="47" t="n">
        <x:v>1750</x:v>
      </x:c>
      <x:c r="H1754" s="53" t="b">
        <x:v>1</x:v>
      </x:c>
      <x:c r="I1754" s="47" t="str">
        <x:v>4109905524</x:v>
      </x:c>
      <x:c r="J1754" s="47" t="n">
        <x:v>145406915</x:v>
      </x:c>
      <x:c r="K1754" s="53" t="b">
        <x:v>1</x:v>
      </x:c>
      <x:c r="L1754" s="53" t="b">
        <x:v>1</x:v>
      </x:c>
      <x:c r="M1754" s="53" t="b">
        <x:v>1</x:v>
      </x:c>
      <x:c r="N1754" s="53" t="b">
        <x:v>1</x:v>
      </x:c>
      <x:c r="O1754" s="53" t="b">
        <x:v>1</x:v>
      </x:c>
      <x:c r="P1754" s="47" t="n">
        <x:v>1007</x:v>
      </x:c>
      <x:c r="Q1754" s="47" t="n">
        <x:v>0</x:v>
      </x:c>
      <x:c r="R1754" s="47" t="n">
        <x:v>0</x:v>
      </x:c>
      <x:c r="S1754" s="47" t="n">
        <x:v>35.16</x:v>
      </x:c>
      <x:c r="T1754" s="47" t="n">
        <x:v>78.15</x:v>
      </x:c>
      <x:c r="U1754" s="47" t="n">
        <x:v>30.6</x:v>
      </x:c>
      <x:c r="V1754" s="47" t="n">
        <x:v>18.2</x:v>
      </x:c>
      <x:c r="W1754" s="47" t="n">
        <x:v>14</x:v>
      </x:c>
      <x:c r="X1754" s="47" t="n">
        <x:v>66</x:v>
      </x:c>
      <x:c r="Y1754" s="41" t="n">
        <x:v>52</x:v>
      </x:c>
    </x:row>
    <x:row r="1755">
      <x:c r="A1755" s="38" t="str">
        <x:v>7月30日现场数据</x:v>
      </x:c>
      <x:c r="B1755" s="66" t="str">
        <x:v>2026-08-05T15:46:22.755000</x:v>
      </x:c>
      <x:c r="C1755" s="47" t="n">
        <x:v>300965</x:v>
      </x:c>
      <x:c r="D1755" s="47" t="str"/>
      <x:c r="E1755" s="47" t="str"/>
      <x:c r="F1755" s="47" t="str">
        <x:v>current</x:v>
      </x:c>
      <x:c r="G1755" s="47" t="n">
        <x:v>1751</x:v>
      </x:c>
      <x:c r="H1755" s="53" t="b">
        <x:v>1</x:v>
      </x:c>
      <x:c r="I1755" s="47" t="str">
        <x:v>4109905524</x:v>
      </x:c>
      <x:c r="J1755" s="47" t="n">
        <x:v>145707880</x:v>
      </x:c>
      <x:c r="K1755" s="53" t="b">
        <x:v>1</x:v>
      </x:c>
      <x:c r="L1755" s="53" t="b">
        <x:v>1</x:v>
      </x:c>
      <x:c r="M1755" s="53" t="b">
        <x:v>1</x:v>
      </x:c>
      <x:c r="N1755" s="53" t="b">
        <x:v>1</x:v>
      </x:c>
      <x:c r="O1755" s="53" t="b">
        <x:v>1</x:v>
      </x:c>
      <x:c r="P1755" s="47" t="n">
        <x:v>1007</x:v>
      </x:c>
      <x:c r="Q1755" s="47" t="n">
        <x:v>0.055</x:v>
      </x:c>
      <x:c r="R1755" s="47" t="n">
        <x:v>1.484</x:v>
      </x:c>
      <x:c r="S1755" s="47" t="n">
        <x:v>34.83</x:v>
      </x:c>
      <x:c r="T1755" s="47" t="n">
        <x:v>78.12</x:v>
      </x:c>
      <x:c r="U1755" s="47" t="n">
        <x:v>30.6</x:v>
      </x:c>
      <x:c r="V1755" s="47" t="n">
        <x:v>18.2</x:v>
      </x:c>
      <x:c r="W1755" s="47" t="n">
        <x:v>8</x:v>
      </x:c>
      <x:c r="X1755" s="47" t="n">
        <x:v>41</x:v>
      </x:c>
      <x:c r="Y1755" s="41" t="n">
        <x:v>33</x:v>
      </x:c>
    </x:row>
    <x:row r="1756">
      <x:c r="A1756" s="38" t="str">
        <x:v>7月30日现场数据</x:v>
      </x:c>
      <x:c r="B1756" s="66" t="str">
        <x:v>2026-08-05T15:51:23.722000</x:v>
      </x:c>
      <x:c r="C1756" s="47" t="n">
        <x:v>300967</x:v>
      </x:c>
      <x:c r="D1756" s="47" t="str"/>
      <x:c r="E1756" s="47" t="str"/>
      <x:c r="F1756" s="47" t="str">
        <x:v>current</x:v>
      </x:c>
      <x:c r="G1756" s="47" t="n">
        <x:v>1752</x:v>
      </x:c>
      <x:c r="H1756" s="53" t="b">
        <x:v>1</x:v>
      </x:c>
      <x:c r="I1756" s="47" t="str">
        <x:v>4109905524</x:v>
      </x:c>
      <x:c r="J1756" s="47" t="n">
        <x:v>146008847</x:v>
      </x:c>
      <x:c r="K1756" s="53" t="b">
        <x:v>1</x:v>
      </x:c>
      <x:c r="L1756" s="53" t="b">
        <x:v>1</x:v>
      </x:c>
      <x:c r="M1756" s="53" t="b">
        <x:v>1</x:v>
      </x:c>
      <x:c r="N1756" s="53" t="b">
        <x:v>1</x:v>
      </x:c>
      <x:c r="O1756" s="53" t="b">
        <x:v>1</x:v>
      </x:c>
      <x:c r="P1756" s="47" t="n">
        <x:v>1007</x:v>
      </x:c>
      <x:c r="Q1756" s="47" t="n">
        <x:v>0</x:v>
      </x:c>
      <x:c r="R1756" s="47" t="n">
        <x:v>0</x:v>
      </x:c>
      <x:c r="S1756" s="47" t="n">
        <x:v>34.32</x:v>
      </x:c>
      <x:c r="T1756" s="47" t="n">
        <x:v>78.01</x:v>
      </x:c>
      <x:c r="U1756" s="47" t="n">
        <x:v>30.6</x:v>
      </x:c>
      <x:c r="V1756" s="47" t="n">
        <x:v>18.2</x:v>
      </x:c>
      <x:c r="W1756" s="47" t="n">
        <x:v>9</x:v>
      </x:c>
      <x:c r="X1756" s="47" t="n">
        <x:v>45</x:v>
      </x:c>
      <x:c r="Y1756" s="41" t="n">
        <x:v>36</x:v>
      </x:c>
    </x:row>
    <x:row r="1757">
      <x:c r="A1757" s="38" t="str">
        <x:v>7月30日现场数据</x:v>
      </x:c>
      <x:c r="B1757" s="66" t="str">
        <x:v>2026-08-05T15:56:24.693000</x:v>
      </x:c>
      <x:c r="C1757" s="47" t="n">
        <x:v>300971</x:v>
      </x:c>
      <x:c r="D1757" s="47" t="str"/>
      <x:c r="E1757" s="47" t="str"/>
      <x:c r="F1757" s="47" t="str">
        <x:v>current</x:v>
      </x:c>
      <x:c r="G1757" s="47" t="n">
        <x:v>1753</x:v>
      </x:c>
      <x:c r="H1757" s="53" t="b">
        <x:v>1</x:v>
      </x:c>
      <x:c r="I1757" s="47" t="str">
        <x:v>4109905524</x:v>
      </x:c>
      <x:c r="J1757" s="47" t="n">
        <x:v>146309818</x:v>
      </x:c>
      <x:c r="K1757" s="53" t="b">
        <x:v>1</x:v>
      </x:c>
      <x:c r="L1757" s="53" t="b">
        <x:v>1</x:v>
      </x:c>
      <x:c r="M1757" s="53" t="b">
        <x:v>1</x:v>
      </x:c>
      <x:c r="N1757" s="53" t="b">
        <x:v>1</x:v>
      </x:c>
      <x:c r="O1757" s="53" t="b">
        <x:v>1</x:v>
      </x:c>
      <x:c r="P1757" s="47" t="n">
        <x:v>1007</x:v>
      </x:c>
      <x:c r="Q1757" s="47" t="n">
        <x:v>0</x:v>
      </x:c>
      <x:c r="R1757" s="47" t="n">
        <x:v>0</x:v>
      </x:c>
      <x:c r="S1757" s="47" t="n">
        <x:v>34.23</x:v>
      </x:c>
      <x:c r="T1757" s="47" t="n">
        <x:v>77.87</x:v>
      </x:c>
      <x:c r="U1757" s="47" t="n">
        <x:v>30.6</x:v>
      </x:c>
      <x:c r="V1757" s="47" t="n">
        <x:v>18.1</x:v>
      </x:c>
      <x:c r="W1757" s="47" t="n">
        <x:v>32</x:v>
      </x:c>
      <x:c r="X1757" s="47" t="n">
        <x:v>233</x:v>
      </x:c>
      <x:c r="Y1757" s="41" t="n">
        <x:v>201</x:v>
      </x:c>
    </x:row>
    <x:row r="1758">
      <x:c r="A1758" s="38" t="str">
        <x:v>7月30日现场数据</x:v>
      </x:c>
      <x:c r="B1758" s="66" t="str">
        <x:v>2026-08-05T16:01:25.668000</x:v>
      </x:c>
      <x:c r="C1758" s="47" t="n">
        <x:v>300975</x:v>
      </x:c>
      <x:c r="D1758" s="47" t="str"/>
      <x:c r="E1758" s="47" t="str"/>
      <x:c r="F1758" s="47" t="str">
        <x:v>current</x:v>
      </x:c>
      <x:c r="G1758" s="47" t="n">
        <x:v>1754</x:v>
      </x:c>
      <x:c r="H1758" s="53" t="b">
        <x:v>1</x:v>
      </x:c>
      <x:c r="I1758" s="47" t="str">
        <x:v>4109905524</x:v>
      </x:c>
      <x:c r="J1758" s="47" t="n">
        <x:v>146610793</x:v>
      </x:c>
      <x:c r="K1758" s="53" t="b">
        <x:v>1</x:v>
      </x:c>
      <x:c r="L1758" s="53" t="b">
        <x:v>1</x:v>
      </x:c>
      <x:c r="M1758" s="53" t="b">
        <x:v>1</x:v>
      </x:c>
      <x:c r="N1758" s="53" t="b">
        <x:v>1</x:v>
      </x:c>
      <x:c r="O1758" s="53" t="b">
        <x:v>1</x:v>
      </x:c>
      <x:c r="P1758" s="47" t="n">
        <x:v>1007</x:v>
      </x:c>
      <x:c r="Q1758" s="47" t="n">
        <x:v>0</x:v>
      </x:c>
      <x:c r="R1758" s="47" t="n">
        <x:v>0</x:v>
      </x:c>
      <x:c r="S1758" s="47" t="n">
        <x:v>34.59</x:v>
      </x:c>
      <x:c r="T1758" s="47" t="n">
        <x:v>77.93</x:v>
      </x:c>
      <x:c r="U1758" s="47" t="n">
        <x:v>30.6</x:v>
      </x:c>
      <x:c r="V1758" s="47" t="n">
        <x:v>18.1</x:v>
      </x:c>
      <x:c r="W1758" s="47" t="n">
        <x:v>9</x:v>
      </x:c>
      <x:c r="X1758" s="47" t="n">
        <x:v>45</x:v>
      </x:c>
      <x:c r="Y1758" s="41" t="n">
        <x:v>36</x:v>
      </x:c>
    </x:row>
    <x:row r="1759">
      <x:c r="A1759" s="38" t="str">
        <x:v>7月30日现场数据</x:v>
      </x:c>
      <x:c r="B1759" s="66" t="str">
        <x:v>2026-08-05T16:06:26.642000</x:v>
      </x:c>
      <x:c r="C1759" s="47" t="n">
        <x:v>300974</x:v>
      </x:c>
      <x:c r="D1759" s="47" t="str"/>
      <x:c r="E1759" s="47" t="str"/>
      <x:c r="F1759" s="47" t="str">
        <x:v>current</x:v>
      </x:c>
      <x:c r="G1759" s="47" t="n">
        <x:v>1755</x:v>
      </x:c>
      <x:c r="H1759" s="53" t="b">
        <x:v>1</x:v>
      </x:c>
      <x:c r="I1759" s="47" t="str">
        <x:v>4109905524</x:v>
      </x:c>
      <x:c r="J1759" s="47" t="n">
        <x:v>146911767</x:v>
      </x:c>
      <x:c r="K1759" s="53" t="b">
        <x:v>1</x:v>
      </x:c>
      <x:c r="L1759" s="53" t="b">
        <x:v>1</x:v>
      </x:c>
      <x:c r="M1759" s="53" t="b">
        <x:v>1</x:v>
      </x:c>
      <x:c r="N1759" s="53" t="b">
        <x:v>1</x:v>
      </x:c>
      <x:c r="O1759" s="53" t="b">
        <x:v>1</x:v>
      </x:c>
      <x:c r="P1759" s="47" t="n">
        <x:v>1007</x:v>
      </x:c>
      <x:c r="Q1759" s="47" t="n">
        <x:v>0</x:v>
      </x:c>
      <x:c r="R1759" s="47" t="n">
        <x:v>0</x:v>
      </x:c>
      <x:c r="S1759" s="47" t="n">
        <x:v>34.2</x:v>
      </x:c>
      <x:c r="T1759" s="47" t="n">
        <x:v>77.84</x:v>
      </x:c>
      <x:c r="U1759" s="47" t="n">
        <x:v>30.5</x:v>
      </x:c>
      <x:c r="V1759" s="47" t="n">
        <x:v>18.1</x:v>
      </x:c>
      <x:c r="W1759" s="47" t="n">
        <x:v>8</x:v>
      </x:c>
      <x:c r="X1759" s="47" t="n">
        <x:v>35</x:v>
      </x:c>
      <x:c r="Y1759" s="41" t="n">
        <x:v>27</x:v>
      </x:c>
    </x:row>
    <x:row r="1760">
      <x:c r="A1760" s="38" t="str">
        <x:v>7月30日现场数据</x:v>
      </x:c>
      <x:c r="B1760" s="66" t="str">
        <x:v>2026-08-05T16:11:27.618000</x:v>
      </x:c>
      <x:c r="C1760" s="47" t="n">
        <x:v>300976</x:v>
      </x:c>
      <x:c r="D1760" s="47" t="str"/>
      <x:c r="E1760" s="47" t="str"/>
      <x:c r="F1760" s="47" t="str">
        <x:v>current</x:v>
      </x:c>
      <x:c r="G1760" s="47" t="n">
        <x:v>1756</x:v>
      </x:c>
      <x:c r="H1760" s="53" t="b">
        <x:v>1</x:v>
      </x:c>
      <x:c r="I1760" s="47" t="str">
        <x:v>4109905524</x:v>
      </x:c>
      <x:c r="J1760" s="47" t="n">
        <x:v>147212743</x:v>
      </x:c>
      <x:c r="K1760" s="53" t="b">
        <x:v>1</x:v>
      </x:c>
      <x:c r="L1760" s="53" t="b">
        <x:v>1</x:v>
      </x:c>
      <x:c r="M1760" s="53" t="b">
        <x:v>1</x:v>
      </x:c>
      <x:c r="N1760" s="53" t="b">
        <x:v>1</x:v>
      </x:c>
      <x:c r="O1760" s="53" t="b">
        <x:v>1</x:v>
      </x:c>
      <x:c r="P1760" s="47" t="n">
        <x:v>1007</x:v>
      </x:c>
      <x:c r="Q1760" s="47" t="n">
        <x:v>0</x:v>
      </x:c>
      <x:c r="R1760" s="47" t="n">
        <x:v>0</x:v>
      </x:c>
      <x:c r="S1760" s="47" t="n">
        <x:v>34.12</x:v>
      </x:c>
      <x:c r="T1760" s="47" t="n">
        <x:v>77.74</x:v>
      </x:c>
      <x:c r="U1760" s="47" t="n">
        <x:v>30.5</x:v>
      </x:c>
      <x:c r="V1760" s="47" t="n">
        <x:v>18.1</x:v>
      </x:c>
      <x:c r="W1760" s="47" t="n">
        <x:v>9</x:v>
      </x:c>
      <x:c r="X1760" s="47" t="n">
        <x:v>43</x:v>
      </x:c>
      <x:c r="Y1760" s="41" t="n">
        <x:v>34</x:v>
      </x:c>
    </x:row>
    <x:row r="1761">
      <x:c r="A1761" s="38" t="str">
        <x:v>7月30日现场数据</x:v>
      </x:c>
      <x:c r="B1761" s="66" t="str">
        <x:v>2026-08-05T16:16:28.599000</x:v>
      </x:c>
      <x:c r="C1761" s="47" t="n">
        <x:v>300981</x:v>
      </x:c>
      <x:c r="D1761" s="47" t="str"/>
      <x:c r="E1761" s="47" t="str"/>
      <x:c r="F1761" s="47" t="str">
        <x:v>current</x:v>
      </x:c>
      <x:c r="G1761" s="47" t="n">
        <x:v>1757</x:v>
      </x:c>
      <x:c r="H1761" s="53" t="b">
        <x:v>1</x:v>
      </x:c>
      <x:c r="I1761" s="47" t="str">
        <x:v>4109905524</x:v>
      </x:c>
      <x:c r="J1761" s="47" t="n">
        <x:v>147513724</x:v>
      </x:c>
      <x:c r="K1761" s="53" t="b">
        <x:v>1</x:v>
      </x:c>
      <x:c r="L1761" s="53" t="b">
        <x:v>1</x:v>
      </x:c>
      <x:c r="M1761" s="53" t="b">
        <x:v>1</x:v>
      </x:c>
      <x:c r="N1761" s="53" t="b">
        <x:v>1</x:v>
      </x:c>
      <x:c r="O1761" s="53" t="b">
        <x:v>1</x:v>
      </x:c>
      <x:c r="P1761" s="47" t="n">
        <x:v>1007</x:v>
      </x:c>
      <x:c r="Q1761" s="47" t="n">
        <x:v>0</x:v>
      </x:c>
      <x:c r="R1761" s="47" t="n">
        <x:v>0</x:v>
      </x:c>
      <x:c r="S1761" s="47" t="n">
        <x:v>34.35</x:v>
      </x:c>
      <x:c r="T1761" s="47" t="n">
        <x:v>77.72</x:v>
      </x:c>
      <x:c r="U1761" s="47" t="n">
        <x:v>30.5</x:v>
      </x:c>
      <x:c r="V1761" s="47" t="n">
        <x:v>18.1</x:v>
      </x:c>
      <x:c r="W1761" s="47" t="n">
        <x:v>19</x:v>
      </x:c>
      <x:c r="X1761" s="47" t="n">
        <x:v>94</x:v>
      </x:c>
      <x:c r="Y1761" s="41" t="n">
        <x:v>75</x:v>
      </x:c>
    </x:row>
    <x:row r="1762">
      <x:c r="A1762" s="38" t="str">
        <x:v>7月30日现场数据</x:v>
      </x:c>
      <x:c r="B1762" s="66" t="str">
        <x:v>2026-08-05T16:21:29.583000</x:v>
      </x:c>
      <x:c r="C1762" s="47" t="n">
        <x:v>300984</x:v>
      </x:c>
      <x:c r="D1762" s="47" t="str"/>
      <x:c r="E1762" s="47" t="str"/>
      <x:c r="F1762" s="47" t="str">
        <x:v>current</x:v>
      </x:c>
      <x:c r="G1762" s="47" t="n">
        <x:v>1758</x:v>
      </x:c>
      <x:c r="H1762" s="53" t="b">
        <x:v>1</x:v>
      </x:c>
      <x:c r="I1762" s="47" t="str">
        <x:v>4109905524</x:v>
      </x:c>
      <x:c r="J1762" s="47" t="n">
        <x:v>147814708</x:v>
      </x:c>
      <x:c r="K1762" s="53" t="b">
        <x:v>1</x:v>
      </x:c>
      <x:c r="L1762" s="53" t="b">
        <x:v>1</x:v>
      </x:c>
      <x:c r="M1762" s="53" t="b">
        <x:v>1</x:v>
      </x:c>
      <x:c r="N1762" s="53" t="b">
        <x:v>1</x:v>
      </x:c>
      <x:c r="O1762" s="53" t="b">
        <x:v>1</x:v>
      </x:c>
      <x:c r="P1762" s="47" t="n">
        <x:v>1007</x:v>
      </x:c>
      <x:c r="Q1762" s="47" t="n">
        <x:v>0</x:v>
      </x:c>
      <x:c r="R1762" s="47" t="n">
        <x:v>0</x:v>
      </x:c>
      <x:c r="S1762" s="47" t="n">
        <x:v>34.14</x:v>
      </x:c>
      <x:c r="T1762" s="47" t="n">
        <x:v>77.71</x:v>
      </x:c>
      <x:c r="U1762" s="47" t="n">
        <x:v>30.5</x:v>
      </x:c>
      <x:c r="V1762" s="47" t="n">
        <x:v>18.1</x:v>
      </x:c>
      <x:c r="W1762" s="47" t="n">
        <x:v>2</x:v>
      </x:c>
      <x:c r="X1762" s="47" t="n">
        <x:v>10</x:v>
      </x:c>
      <x:c r="Y1762" s="41" t="n">
        <x:v>8</x:v>
      </x:c>
    </x:row>
    <x:row r="1763">
      <x:c r="A1763" s="38" t="str">
        <x:v>7月30日现场数据</x:v>
      </x:c>
      <x:c r="B1763" s="66" t="str">
        <x:v>2026-08-05T16:26:30.565000</x:v>
      </x:c>
      <x:c r="C1763" s="47" t="n">
        <x:v>300982</x:v>
      </x:c>
      <x:c r="D1763" s="47" t="str"/>
      <x:c r="E1763" s="47" t="str"/>
      <x:c r="F1763" s="47" t="str">
        <x:v>current</x:v>
      </x:c>
      <x:c r="G1763" s="47" t="n">
        <x:v>1759</x:v>
      </x:c>
      <x:c r="H1763" s="53" t="b">
        <x:v>1</x:v>
      </x:c>
      <x:c r="I1763" s="47" t="str">
        <x:v>4109905524</x:v>
      </x:c>
      <x:c r="J1763" s="47" t="n">
        <x:v>148115690</x:v>
      </x:c>
      <x:c r="K1763" s="53" t="b">
        <x:v>1</x:v>
      </x:c>
      <x:c r="L1763" s="53" t="b">
        <x:v>1</x:v>
      </x:c>
      <x:c r="M1763" s="53" t="b">
        <x:v>1</x:v>
      </x:c>
      <x:c r="N1763" s="53" t="b">
        <x:v>1</x:v>
      </x:c>
      <x:c r="O1763" s="53" t="b">
        <x:v>1</x:v>
      </x:c>
      <x:c r="P1763" s="47" t="n">
        <x:v>1007</x:v>
      </x:c>
      <x:c r="Q1763" s="47" t="n">
        <x:v>0</x:v>
      </x:c>
      <x:c r="R1763" s="47" t="n">
        <x:v>0</x:v>
      </x:c>
      <x:c r="S1763" s="47" t="n">
        <x:v>33.54</x:v>
      </x:c>
      <x:c r="T1763" s="47" t="n">
        <x:v>77.6</x:v>
      </x:c>
      <x:c r="U1763" s="47" t="n">
        <x:v>30.4</x:v>
      </x:c>
      <x:c r="V1763" s="47" t="n">
        <x:v>18.1</x:v>
      </x:c>
      <x:c r="W1763" s="47" t="n">
        <x:v>1</x:v>
      </x:c>
      <x:c r="X1763" s="47" t="n">
        <x:v>7</x:v>
      </x:c>
      <x:c r="Y1763" s="41" t="n">
        <x:v>6</x:v>
      </x:c>
    </x:row>
    <x:row r="1764">
      <x:c r="A1764" s="38" t="str">
        <x:v>7月30日现场数据</x:v>
      </x:c>
      <x:c r="B1764" s="66" t="str">
        <x:v>2026-08-05T16:31:31.550000</x:v>
      </x:c>
      <x:c r="C1764" s="47" t="n">
        <x:v>300985</x:v>
      </x:c>
      <x:c r="D1764" s="47" t="str"/>
      <x:c r="E1764" s="47" t="str"/>
      <x:c r="F1764" s="47" t="str">
        <x:v>current</x:v>
      </x:c>
      <x:c r="G1764" s="47" t="n">
        <x:v>1760</x:v>
      </x:c>
      <x:c r="H1764" s="53" t="b">
        <x:v>1</x:v>
      </x:c>
      <x:c r="I1764" s="47" t="str">
        <x:v>4109905524</x:v>
      </x:c>
      <x:c r="J1764" s="47" t="n">
        <x:v>148416675</x:v>
      </x:c>
      <x:c r="K1764" s="53" t="b">
        <x:v>1</x:v>
      </x:c>
      <x:c r="L1764" s="53" t="b">
        <x:v>1</x:v>
      </x:c>
      <x:c r="M1764" s="53" t="b">
        <x:v>1</x:v>
      </x:c>
      <x:c r="N1764" s="53" t="b">
        <x:v>1</x:v>
      </x:c>
      <x:c r="O1764" s="53" t="b">
        <x:v>1</x:v>
      </x:c>
      <x:c r="P1764" s="47" t="n">
        <x:v>1007</x:v>
      </x:c>
      <x:c r="Q1764" s="47" t="n">
        <x:v>0</x:v>
      </x:c>
      <x:c r="R1764" s="47" t="n">
        <x:v>0</x:v>
      </x:c>
      <x:c r="S1764" s="47" t="n">
        <x:v>33.07</x:v>
      </x:c>
      <x:c r="T1764" s="47" t="n">
        <x:v>77.42</x:v>
      </x:c>
      <x:c r="U1764" s="47" t="n">
        <x:v>30.4</x:v>
      </x:c>
      <x:c r="V1764" s="47" t="n">
        <x:v>18.1</x:v>
      </x:c>
      <x:c r="W1764" s="47" t="n">
        <x:v>1</x:v>
      </x:c>
      <x:c r="X1764" s="47" t="n">
        <x:v>6</x:v>
      </x:c>
      <x:c r="Y1764" s="41" t="n">
        <x:v>5</x:v>
      </x:c>
    </x:row>
    <x:row r="1765">
      <x:c r="A1765" s="38" t="str">
        <x:v>7月30日现场数据</x:v>
      </x:c>
      <x:c r="B1765" s="66" t="str">
        <x:v>2026-08-05T16:36:32.537000</x:v>
      </x:c>
      <x:c r="C1765" s="47" t="n">
        <x:v>300987</x:v>
      </x:c>
      <x:c r="D1765" s="47" t="str"/>
      <x:c r="E1765" s="47" t="str"/>
      <x:c r="F1765" s="47" t="str">
        <x:v>current</x:v>
      </x:c>
      <x:c r="G1765" s="47" t="n">
        <x:v>1761</x:v>
      </x:c>
      <x:c r="H1765" s="53" t="b">
        <x:v>1</x:v>
      </x:c>
      <x:c r="I1765" s="47" t="str">
        <x:v>4109905524</x:v>
      </x:c>
      <x:c r="J1765" s="47" t="n">
        <x:v>148717662</x:v>
      </x:c>
      <x:c r="K1765" s="53" t="b">
        <x:v>1</x:v>
      </x:c>
      <x:c r="L1765" s="53" t="b">
        <x:v>1</x:v>
      </x:c>
      <x:c r="M1765" s="53" t="b">
        <x:v>1</x:v>
      </x:c>
      <x:c r="N1765" s="53" t="b">
        <x:v>1</x:v>
      </x:c>
      <x:c r="O1765" s="53" t="b">
        <x:v>1</x:v>
      </x:c>
      <x:c r="P1765" s="47" t="n">
        <x:v>1007</x:v>
      </x:c>
      <x:c r="Q1765" s="47" t="n">
        <x:v>0</x:v>
      </x:c>
      <x:c r="R1765" s="47" t="n">
        <x:v>0</x:v>
      </x:c>
      <x:c r="S1765" s="47" t="n">
        <x:v>32.76</x:v>
      </x:c>
      <x:c r="T1765" s="47" t="n">
        <x:v>77.31</x:v>
      </x:c>
      <x:c r="U1765" s="47" t="n">
        <x:v>30.4</x:v>
      </x:c>
      <x:c r="V1765" s="47" t="n">
        <x:v>18.1</x:v>
      </x:c>
      <x:c r="W1765" s="47" t="n">
        <x:v>1</x:v>
      </x:c>
      <x:c r="X1765" s="47" t="n">
        <x:v>6</x:v>
      </x:c>
      <x:c r="Y1765" s="41" t="n">
        <x:v>5</x:v>
      </x:c>
    </x:row>
    <x:row r="1766">
      <x:c r="A1766" s="38" t="str">
        <x:v>7月30日现场数据</x:v>
      </x:c>
      <x:c r="B1766" s="66" t="str">
        <x:v>2026-08-05T16:41:33.525000</x:v>
      </x:c>
      <x:c r="C1766" s="47" t="n">
        <x:v>300988</x:v>
      </x:c>
      <x:c r="D1766" s="47" t="str"/>
      <x:c r="E1766" s="47" t="str"/>
      <x:c r="F1766" s="47" t="str">
        <x:v>current</x:v>
      </x:c>
      <x:c r="G1766" s="47" t="n">
        <x:v>1762</x:v>
      </x:c>
      <x:c r="H1766" s="53" t="b">
        <x:v>1</x:v>
      </x:c>
      <x:c r="I1766" s="47" t="str">
        <x:v>4109905524</x:v>
      </x:c>
      <x:c r="J1766" s="47" t="n">
        <x:v>149018650</x:v>
      </x:c>
      <x:c r="K1766" s="53" t="b">
        <x:v>1</x:v>
      </x:c>
      <x:c r="L1766" s="53" t="b">
        <x:v>1</x:v>
      </x:c>
      <x:c r="M1766" s="53" t="b">
        <x:v>1</x:v>
      </x:c>
      <x:c r="N1766" s="53" t="b">
        <x:v>1</x:v>
      </x:c>
      <x:c r="O1766" s="53" t="b">
        <x:v>1</x:v>
      </x:c>
      <x:c r="P1766" s="47" t="n">
        <x:v>1007</x:v>
      </x:c>
      <x:c r="Q1766" s="47" t="n">
        <x:v>0</x:v>
      </x:c>
      <x:c r="R1766" s="47" t="n">
        <x:v>0</x:v>
      </x:c>
      <x:c r="S1766" s="47" t="n">
        <x:v>32.6</x:v>
      </x:c>
      <x:c r="T1766" s="47" t="n">
        <x:v>77.22</x:v>
      </x:c>
      <x:c r="U1766" s="47" t="n">
        <x:v>30.4</x:v>
      </x:c>
      <x:c r="V1766" s="47" t="n">
        <x:v>18.1</x:v>
      </x:c>
      <x:c r="W1766" s="47" t="n">
        <x:v>2</x:v>
      </x:c>
      <x:c r="X1766" s="47" t="n">
        <x:v>10</x:v>
      </x:c>
      <x:c r="Y1766" s="41" t="n">
        <x:v>8</x:v>
      </x:c>
    </x:row>
    <x:row r="1767">
      <x:c r="A1767" s="38" t="str">
        <x:v>7月30日现场数据</x:v>
      </x:c>
      <x:c r="B1767" s="66" t="str">
        <x:v>2026-08-05T16:46:34.514000</x:v>
      </x:c>
      <x:c r="C1767" s="47" t="n">
        <x:v>300989</x:v>
      </x:c>
      <x:c r="D1767" s="47" t="str"/>
      <x:c r="E1767" s="47" t="str"/>
      <x:c r="F1767" s="47" t="str">
        <x:v>current</x:v>
      </x:c>
      <x:c r="G1767" s="47" t="n">
        <x:v>1763</x:v>
      </x:c>
      <x:c r="H1767" s="53" t="b">
        <x:v>1</x:v>
      </x:c>
      <x:c r="I1767" s="47" t="str">
        <x:v>4109905524</x:v>
      </x:c>
      <x:c r="J1767" s="47" t="n">
        <x:v>149319639</x:v>
      </x:c>
      <x:c r="K1767" s="53" t="b">
        <x:v>1</x:v>
      </x:c>
      <x:c r="L1767" s="53" t="b">
        <x:v>1</x:v>
      </x:c>
      <x:c r="M1767" s="53" t="b">
        <x:v>1</x:v>
      </x:c>
      <x:c r="N1767" s="53" t="b">
        <x:v>1</x:v>
      </x:c>
      <x:c r="O1767" s="53" t="b">
        <x:v>1</x:v>
      </x:c>
      <x:c r="P1767" s="47" t="n">
        <x:v>1007</x:v>
      </x:c>
      <x:c r="Q1767" s="47" t="n">
        <x:v>0</x:v>
      </x:c>
      <x:c r="R1767" s="47" t="n">
        <x:v>0</x:v>
      </x:c>
      <x:c r="S1767" s="47" t="n">
        <x:v>32.56</x:v>
      </x:c>
      <x:c r="T1767" s="47" t="n">
        <x:v>77.15</x:v>
      </x:c>
      <x:c r="U1767" s="47" t="n">
        <x:v>30.3</x:v>
      </x:c>
      <x:c r="V1767" s="47" t="n">
        <x:v>18.1</x:v>
      </x:c>
      <x:c r="W1767" s="47" t="n">
        <x:v>5</x:v>
      </x:c>
      <x:c r="X1767" s="47" t="n">
        <x:v>28</x:v>
      </x:c>
      <x:c r="Y1767" s="41" t="n">
        <x:v>23</x:v>
      </x:c>
    </x:row>
    <x:row r="1768">
      <x:c r="A1768" s="38" t="str">
        <x:v>7月30日现场数据</x:v>
      </x:c>
      <x:c r="B1768" s="66" t="str">
        <x:v>2026-08-05T16:51:35.519000</x:v>
      </x:c>
      <x:c r="C1768" s="47" t="n">
        <x:v>301005</x:v>
      </x:c>
      <x:c r="D1768" s="47" t="str"/>
      <x:c r="E1768" s="47" t="str"/>
      <x:c r="F1768" s="47" t="str">
        <x:v>current</x:v>
      </x:c>
      <x:c r="G1768" s="47" t="n">
        <x:v>1764</x:v>
      </x:c>
      <x:c r="H1768" s="53" t="b">
        <x:v>1</x:v>
      </x:c>
      <x:c r="I1768" s="47" t="str">
        <x:v>4109905524</x:v>
      </x:c>
      <x:c r="J1768" s="47" t="n">
        <x:v>149620644</x:v>
      </x:c>
      <x:c r="K1768" s="53" t="b">
        <x:v>1</x:v>
      </x:c>
      <x:c r="L1768" s="53" t="b">
        <x:v>1</x:v>
      </x:c>
      <x:c r="M1768" s="53" t="b">
        <x:v>1</x:v>
      </x:c>
      <x:c r="N1768" s="53" t="b">
        <x:v>1</x:v>
      </x:c>
      <x:c r="O1768" s="53" t="b">
        <x:v>1</x:v>
      </x:c>
      <x:c r="P1768" s="47" t="n">
        <x:v>1007</x:v>
      </x:c>
      <x:c r="Q1768" s="47" t="n">
        <x:v>0.013</x:v>
      </x:c>
      <x:c r="R1768" s="47" t="n">
        <x:v>0.363</x:v>
      </x:c>
      <x:c r="S1768" s="47" t="n">
        <x:v>32.94</x:v>
      </x:c>
      <x:c r="T1768" s="47" t="n">
        <x:v>77.19</x:v>
      </x:c>
      <x:c r="U1768" s="47" t="n">
        <x:v>30.3</x:v>
      </x:c>
      <x:c r="V1768" s="47" t="n">
        <x:v>18</x:v>
      </x:c>
      <x:c r="W1768" s="47" t="n">
        <x:v>19</x:v>
      </x:c>
      <x:c r="X1768" s="47" t="n">
        <x:v>87</x:v>
      </x:c>
      <x:c r="Y1768" s="41" t="n">
        <x:v>68</x:v>
      </x:c>
    </x:row>
    <x:row r="1769">
      <x:c r="A1769" s="38" t="str">
        <x:v>7月30日现场数据</x:v>
      </x:c>
      <x:c r="B1769" s="66" t="str">
        <x:v>2026-08-05T16:56:36.498000</x:v>
      </x:c>
      <x:c r="C1769" s="47" t="n">
        <x:v>300979</x:v>
      </x:c>
      <x:c r="D1769" s="47" t="str"/>
      <x:c r="E1769" s="47" t="str"/>
      <x:c r="F1769" s="47" t="str">
        <x:v>current</x:v>
      </x:c>
      <x:c r="G1769" s="47" t="n">
        <x:v>1765</x:v>
      </x:c>
      <x:c r="H1769" s="53" t="b">
        <x:v>1</x:v>
      </x:c>
      <x:c r="I1769" s="47" t="str">
        <x:v>4109905524</x:v>
      </x:c>
      <x:c r="J1769" s="47" t="n">
        <x:v>149921623</x:v>
      </x:c>
      <x:c r="K1769" s="53" t="b">
        <x:v>1</x:v>
      </x:c>
      <x:c r="L1769" s="53" t="b">
        <x:v>1</x:v>
      </x:c>
      <x:c r="M1769" s="53" t="b">
        <x:v>1</x:v>
      </x:c>
      <x:c r="N1769" s="53" t="b">
        <x:v>1</x:v>
      </x:c>
      <x:c r="O1769" s="53" t="b">
        <x:v>1</x:v>
      </x:c>
      <x:c r="P1769" s="47" t="n">
        <x:v>1007</x:v>
      </x:c>
      <x:c r="Q1769" s="47" t="n">
        <x:v>0</x:v>
      </x:c>
      <x:c r="R1769" s="47" t="n">
        <x:v>0</x:v>
      </x:c>
      <x:c r="S1769" s="47" t="n">
        <x:v>33.55</x:v>
      </x:c>
      <x:c r="T1769" s="47" t="n">
        <x:v>77.31</x:v>
      </x:c>
      <x:c r="U1769" s="47" t="n">
        <x:v>30.3</x:v>
      </x:c>
      <x:c r="V1769" s="47" t="n">
        <x:v>18.1</x:v>
      </x:c>
      <x:c r="W1769" s="47" t="n">
        <x:v>15</x:v>
      </x:c>
      <x:c r="X1769" s="47" t="n">
        <x:v>70</x:v>
      </x:c>
      <x:c r="Y1769" s="41" t="n">
        <x:v>55</x:v>
      </x:c>
    </x:row>
    <x:row r="1770">
      <x:c r="A1770" s="38" t="str">
        <x:v>7月30日现场数据</x:v>
      </x:c>
      <x:c r="B1770" s="66" t="str">
        <x:v>2026-08-05T17:01:37.512000</x:v>
      </x:c>
      <x:c r="C1770" s="47" t="n">
        <x:v>301014</x:v>
      </x:c>
      <x:c r="D1770" s="47" t="str"/>
      <x:c r="E1770" s="47" t="str"/>
      <x:c r="F1770" s="47" t="str">
        <x:v>current</x:v>
      </x:c>
      <x:c r="G1770" s="47" t="n">
        <x:v>1766</x:v>
      </x:c>
      <x:c r="H1770" s="53" t="b">
        <x:v>1</x:v>
      </x:c>
      <x:c r="I1770" s="47" t="str">
        <x:v>4109905524</x:v>
      </x:c>
      <x:c r="J1770" s="47" t="n">
        <x:v>150222637</x:v>
      </x:c>
      <x:c r="K1770" s="53" t="b">
        <x:v>1</x:v>
      </x:c>
      <x:c r="L1770" s="53" t="b">
        <x:v>1</x:v>
      </x:c>
      <x:c r="M1770" s="53" t="b">
        <x:v>1</x:v>
      </x:c>
      <x:c r="N1770" s="53" t="b">
        <x:v>1</x:v>
      </x:c>
      <x:c r="O1770" s="53" t="b">
        <x:v>1</x:v>
      </x:c>
      <x:c r="P1770" s="47" t="n">
        <x:v>1007</x:v>
      </x:c>
      <x:c r="Q1770" s="47" t="n">
        <x:v>0</x:v>
      </x:c>
      <x:c r="R1770" s="47" t="n">
        <x:v>0</x:v>
      </x:c>
      <x:c r="S1770" s="47" t="n">
        <x:v>33.81</x:v>
      </x:c>
      <x:c r="T1770" s="47" t="n">
        <x:v>77.39</x:v>
      </x:c>
      <x:c r="U1770" s="47" t="n">
        <x:v>30.3</x:v>
      </x:c>
      <x:c r="V1770" s="47" t="n">
        <x:v>18.1</x:v>
      </x:c>
      <x:c r="W1770" s="47" t="n">
        <x:v>14</x:v>
      </x:c>
      <x:c r="X1770" s="47" t="n">
        <x:v>62</x:v>
      </x:c>
      <x:c r="Y1770" s="41" t="n">
        <x:v>48</x:v>
      </x:c>
    </x:row>
    <x:row r="1771">
      <x:c r="A1771" s="38" t="str">
        <x:v>7月30日现场数据</x:v>
      </x:c>
      <x:c r="B1771" s="66" t="str">
        <x:v>2026-08-05T17:06:38.469000</x:v>
      </x:c>
      <x:c r="C1771" s="47" t="n">
        <x:v>300957</x:v>
      </x:c>
      <x:c r="D1771" s="47" t="str"/>
      <x:c r="E1771" s="47" t="str"/>
      <x:c r="F1771" s="47" t="str">
        <x:v>current</x:v>
      </x:c>
      <x:c r="G1771" s="47" t="n">
        <x:v>1767</x:v>
      </x:c>
      <x:c r="H1771" s="53" t="b">
        <x:v>1</x:v>
      </x:c>
      <x:c r="I1771" s="47" t="str">
        <x:v>4109905524</x:v>
      </x:c>
      <x:c r="J1771" s="47" t="n">
        <x:v>150523594</x:v>
      </x:c>
      <x:c r="K1771" s="53" t="b">
        <x:v>1</x:v>
      </x:c>
      <x:c r="L1771" s="53" t="b">
        <x:v>1</x:v>
      </x:c>
      <x:c r="M1771" s="53" t="b">
        <x:v>1</x:v>
      </x:c>
      <x:c r="N1771" s="53" t="b">
        <x:v>1</x:v>
      </x:c>
      <x:c r="O1771" s="53" t="b">
        <x:v>1</x:v>
      </x:c>
      <x:c r="P1771" s="47" t="n">
        <x:v>1007</x:v>
      </x:c>
      <x:c r="Q1771" s="47" t="n">
        <x:v>0</x:v>
      </x:c>
      <x:c r="R1771" s="47" t="n">
        <x:v>0</x:v>
      </x:c>
      <x:c r="S1771" s="47" t="n">
        <x:v>33.87</x:v>
      </x:c>
      <x:c r="T1771" s="47" t="n">
        <x:v>77.42</x:v>
      </x:c>
      <x:c r="U1771" s="47" t="n">
        <x:v>30.3</x:v>
      </x:c>
      <x:c r="V1771" s="47" t="n">
        <x:v>18.1</x:v>
      </x:c>
      <x:c r="W1771" s="47" t="n">
        <x:v>9</x:v>
      </x:c>
      <x:c r="X1771" s="47" t="n">
        <x:v>44</x:v>
      </x:c>
      <x:c r="Y1771" s="41" t="n">
        <x:v>35</x:v>
      </x:c>
    </x:row>
    <x:row r="1772">
      <x:c r="A1772" s="38" t="str">
        <x:v>7月30日现场数据</x:v>
      </x:c>
      <x:c r="B1772" s="66" t="str">
        <x:v>2026-08-05T17:11:39.431000</x:v>
      </x:c>
      <x:c r="C1772" s="47" t="n">
        <x:v>300962</x:v>
      </x:c>
      <x:c r="D1772" s="47" t="str"/>
      <x:c r="E1772" s="47" t="str"/>
      <x:c r="F1772" s="47" t="str">
        <x:v>current</x:v>
      </x:c>
      <x:c r="G1772" s="47" t="n">
        <x:v>1768</x:v>
      </x:c>
      <x:c r="H1772" s="53" t="b">
        <x:v>1</x:v>
      </x:c>
      <x:c r="I1772" s="47" t="str">
        <x:v>4109905524</x:v>
      </x:c>
      <x:c r="J1772" s="47" t="n">
        <x:v>150824556</x:v>
      </x:c>
      <x:c r="K1772" s="53" t="b">
        <x:v>1</x:v>
      </x:c>
      <x:c r="L1772" s="53" t="b">
        <x:v>1</x:v>
      </x:c>
      <x:c r="M1772" s="53" t="b">
        <x:v>1</x:v>
      </x:c>
      <x:c r="N1772" s="53" t="b">
        <x:v>1</x:v>
      </x:c>
      <x:c r="O1772" s="53" t="b">
        <x:v>1</x:v>
      </x:c>
      <x:c r="P1772" s="47" t="n">
        <x:v>1007</x:v>
      </x:c>
      <x:c r="Q1772" s="47" t="n">
        <x:v>0</x:v>
      </x:c>
      <x:c r="R1772" s="47" t="n">
        <x:v>0</x:v>
      </x:c>
      <x:c r="S1772" s="47" t="n">
        <x:v>33.78</x:v>
      </x:c>
      <x:c r="T1772" s="47" t="n">
        <x:v>77.4</x:v>
      </x:c>
      <x:c r="U1772" s="47" t="n">
        <x:v>30.3</x:v>
      </x:c>
      <x:c r="V1772" s="47" t="n">
        <x:v>18</x:v>
      </x:c>
      <x:c r="W1772" s="47" t="n">
        <x:v>12</x:v>
      </x:c>
      <x:c r="X1772" s="47" t="n">
        <x:v>53</x:v>
      </x:c>
      <x:c r="Y1772" s="41" t="n">
        <x:v>41</x:v>
      </x:c>
    </x:row>
    <x:row r="1773">
      <x:c r="A1773" s="38" t="str">
        <x:v>7月30日现场数据</x:v>
      </x:c>
      <x:c r="B1773" s="66" t="str">
        <x:v>2026-08-05T17:16:40.389000</x:v>
      </x:c>
      <x:c r="C1773" s="47" t="n">
        <x:v>300958</x:v>
      </x:c>
      <x:c r="D1773" s="47" t="str"/>
      <x:c r="E1773" s="47" t="str"/>
      <x:c r="F1773" s="47" t="str">
        <x:v>current</x:v>
      </x:c>
      <x:c r="G1773" s="47" t="n">
        <x:v>1769</x:v>
      </x:c>
      <x:c r="H1773" s="53" t="b">
        <x:v>1</x:v>
      </x:c>
      <x:c r="I1773" s="47" t="str">
        <x:v>4109905524</x:v>
      </x:c>
      <x:c r="J1773" s="47" t="n">
        <x:v>151125514</x:v>
      </x:c>
      <x:c r="K1773" s="53" t="b">
        <x:v>1</x:v>
      </x:c>
      <x:c r="L1773" s="53" t="b">
        <x:v>1</x:v>
      </x:c>
      <x:c r="M1773" s="53" t="b">
        <x:v>1</x:v>
      </x:c>
      <x:c r="N1773" s="53" t="b">
        <x:v>1</x:v>
      </x:c>
      <x:c r="O1773" s="53" t="b">
        <x:v>1</x:v>
      </x:c>
      <x:c r="P1773" s="47" t="n">
        <x:v>1007</x:v>
      </x:c>
      <x:c r="Q1773" s="47" t="n">
        <x:v>0</x:v>
      </x:c>
      <x:c r="R1773" s="47" t="n">
        <x:v>0</x:v>
      </x:c>
      <x:c r="S1773" s="47" t="n">
        <x:v>33.87</x:v>
      </x:c>
      <x:c r="T1773" s="47" t="n">
        <x:v>77.41</x:v>
      </x:c>
      <x:c r="U1773" s="47" t="n">
        <x:v>30.3</x:v>
      </x:c>
      <x:c r="V1773" s="47" t="n">
        <x:v>18</x:v>
      </x:c>
      <x:c r="W1773" s="47" t="n">
        <x:v>12</x:v>
      </x:c>
      <x:c r="X1773" s="47" t="n">
        <x:v>51</x:v>
      </x:c>
      <x:c r="Y1773" s="41" t="n">
        <x:v>39</x:v>
      </x:c>
    </x:row>
    <x:row r="1774">
      <x:c r="A1774" s="38" t="str">
        <x:v>7月30日现场数据</x:v>
      </x:c>
      <x:c r="B1774" s="66" t="str">
        <x:v>2026-08-05T17:21:41.352000</x:v>
      </x:c>
      <x:c r="C1774" s="47" t="n">
        <x:v>300963</x:v>
      </x:c>
      <x:c r="D1774" s="47" t="str"/>
      <x:c r="E1774" s="47" t="str"/>
      <x:c r="F1774" s="47" t="str">
        <x:v>current</x:v>
      </x:c>
      <x:c r="G1774" s="47" t="n">
        <x:v>1770</x:v>
      </x:c>
      <x:c r="H1774" s="53" t="b">
        <x:v>1</x:v>
      </x:c>
      <x:c r="I1774" s="47" t="str">
        <x:v>4109905524</x:v>
      </x:c>
      <x:c r="J1774" s="47" t="n">
        <x:v>151426477</x:v>
      </x:c>
      <x:c r="K1774" s="53" t="b">
        <x:v>1</x:v>
      </x:c>
      <x:c r="L1774" s="53" t="b">
        <x:v>1</x:v>
      </x:c>
      <x:c r="M1774" s="53" t="b">
        <x:v>1</x:v>
      </x:c>
      <x:c r="N1774" s="53" t="b">
        <x:v>1</x:v>
      </x:c>
      <x:c r="O1774" s="53" t="b">
        <x:v>1</x:v>
      </x:c>
      <x:c r="P1774" s="47" t="n">
        <x:v>1007</x:v>
      </x:c>
      <x:c r="Q1774" s="47" t="n">
        <x:v>0</x:v>
      </x:c>
      <x:c r="R1774" s="47" t="n">
        <x:v>0</x:v>
      </x:c>
      <x:c r="S1774" s="47" t="n">
        <x:v>34.01</x:v>
      </x:c>
      <x:c r="T1774" s="47" t="n">
        <x:v>77.41</x:v>
      </x:c>
      <x:c r="U1774" s="47" t="n">
        <x:v>30.3</x:v>
      </x:c>
      <x:c r="V1774" s="47" t="n">
        <x:v>18</x:v>
      </x:c>
      <x:c r="W1774" s="47" t="n">
        <x:v>11</x:v>
      </x:c>
      <x:c r="X1774" s="47" t="n">
        <x:v>53</x:v>
      </x:c>
      <x:c r="Y1774" s="41" t="n">
        <x:v>42</x:v>
      </x:c>
    </x:row>
    <x:row r="1775">
      <x:c r="A1775" s="38" t="str">
        <x:v>7月30日现场数据</x:v>
      </x:c>
      <x:c r="B1775" s="66" t="str">
        <x:v>2026-08-05T17:26:42.315000</x:v>
      </x:c>
      <x:c r="C1775" s="47" t="n">
        <x:v>300963</x:v>
      </x:c>
      <x:c r="D1775" s="47" t="str"/>
      <x:c r="E1775" s="47" t="str"/>
      <x:c r="F1775" s="47" t="str">
        <x:v>current</x:v>
      </x:c>
      <x:c r="G1775" s="47" t="n">
        <x:v>1771</x:v>
      </x:c>
      <x:c r="H1775" s="53" t="b">
        <x:v>1</x:v>
      </x:c>
      <x:c r="I1775" s="47" t="str">
        <x:v>4109905524</x:v>
      </x:c>
      <x:c r="J1775" s="47" t="n">
        <x:v>151727440</x:v>
      </x:c>
      <x:c r="K1775" s="53" t="b">
        <x:v>1</x:v>
      </x:c>
      <x:c r="L1775" s="53" t="b">
        <x:v>1</x:v>
      </x:c>
      <x:c r="M1775" s="53" t="b">
        <x:v>1</x:v>
      </x:c>
      <x:c r="N1775" s="53" t="b">
        <x:v>1</x:v>
      </x:c>
      <x:c r="O1775" s="53" t="b">
        <x:v>1</x:v>
      </x:c>
      <x:c r="P1775" s="47" t="n">
        <x:v>1007</x:v>
      </x:c>
      <x:c r="Q1775" s="47" t="n">
        <x:v>0</x:v>
      </x:c>
      <x:c r="R1775" s="47" t="n">
        <x:v>0</x:v>
      </x:c>
      <x:c r="S1775" s="47" t="n">
        <x:v>33.69</x:v>
      </x:c>
      <x:c r="T1775" s="47" t="n">
        <x:v>77.37</x:v>
      </x:c>
      <x:c r="U1775" s="47" t="n">
        <x:v>30.3</x:v>
      </x:c>
      <x:c r="V1775" s="47" t="n">
        <x:v>18</x:v>
      </x:c>
      <x:c r="W1775" s="47" t="n">
        <x:v>6</x:v>
      </x:c>
      <x:c r="X1775" s="47" t="n">
        <x:v>34</x:v>
      </x:c>
      <x:c r="Y1775" s="41" t="n">
        <x:v>28</x:v>
      </x:c>
    </x:row>
    <x:row r="1776">
      <x:c r="A1776" s="38" t="str">
        <x:v>7月30日现场数据</x:v>
      </x:c>
      <x:c r="B1776" s="66" t="str">
        <x:v>2026-08-05T17:31:43.281000</x:v>
      </x:c>
      <x:c r="C1776" s="47" t="n">
        <x:v>300966</x:v>
      </x:c>
      <x:c r="D1776" s="47" t="str"/>
      <x:c r="E1776" s="47" t="str"/>
      <x:c r="F1776" s="47" t="str">
        <x:v>current</x:v>
      </x:c>
      <x:c r="G1776" s="47" t="n">
        <x:v>1772</x:v>
      </x:c>
      <x:c r="H1776" s="53" t="b">
        <x:v>1</x:v>
      </x:c>
      <x:c r="I1776" s="47" t="str">
        <x:v>4109905524</x:v>
      </x:c>
      <x:c r="J1776" s="47" t="n">
        <x:v>152028406</x:v>
      </x:c>
      <x:c r="K1776" s="53" t="b">
        <x:v>1</x:v>
      </x:c>
      <x:c r="L1776" s="53" t="b">
        <x:v>1</x:v>
      </x:c>
      <x:c r="M1776" s="53" t="b">
        <x:v>1</x:v>
      </x:c>
      <x:c r="N1776" s="53" t="b">
        <x:v>1</x:v>
      </x:c>
      <x:c r="O1776" s="53" t="b">
        <x:v>1</x:v>
      </x:c>
      <x:c r="P1776" s="47" t="n">
        <x:v>1007</x:v>
      </x:c>
      <x:c r="Q1776" s="47" t="n">
        <x:v>0</x:v>
      </x:c>
      <x:c r="R1776" s="47" t="n">
        <x:v>0</x:v>
      </x:c>
      <x:c r="S1776" s="47" t="n">
        <x:v>33.36</x:v>
      </x:c>
      <x:c r="T1776" s="47" t="n">
        <x:v>77.24</x:v>
      </x:c>
      <x:c r="U1776" s="47" t="n">
        <x:v>30.3</x:v>
      </x:c>
      <x:c r="V1776" s="47" t="n">
        <x:v>18</x:v>
      </x:c>
      <x:c r="W1776" s="47" t="n">
        <x:v>7</x:v>
      </x:c>
      <x:c r="X1776" s="47" t="n">
        <x:v>34</x:v>
      </x:c>
      <x:c r="Y1776" s="41" t="n">
        <x:v>27</x:v>
      </x:c>
    </x:row>
    <x:row r="1777">
      <x:c r="A1777" s="38" t="str">
        <x:v>7月30日现场数据</x:v>
      </x:c>
      <x:c r="B1777" s="66" t="str">
        <x:v>2026-08-05T17:36:44.246000</x:v>
      </x:c>
      <x:c r="C1777" s="47" t="n">
        <x:v>300965</x:v>
      </x:c>
      <x:c r="D1777" s="47" t="str"/>
      <x:c r="E1777" s="47" t="str"/>
      <x:c r="F1777" s="47" t="str">
        <x:v>current</x:v>
      </x:c>
      <x:c r="G1777" s="47" t="n">
        <x:v>1773</x:v>
      </x:c>
      <x:c r="H1777" s="53" t="b">
        <x:v>1</x:v>
      </x:c>
      <x:c r="I1777" s="47" t="str">
        <x:v>4109905524</x:v>
      </x:c>
      <x:c r="J1777" s="47" t="n">
        <x:v>152329371</x:v>
      </x:c>
      <x:c r="K1777" s="53" t="b">
        <x:v>1</x:v>
      </x:c>
      <x:c r="L1777" s="53" t="b">
        <x:v>1</x:v>
      </x:c>
      <x:c r="M1777" s="53" t="b">
        <x:v>1</x:v>
      </x:c>
      <x:c r="N1777" s="53" t="b">
        <x:v>1</x:v>
      </x:c>
      <x:c r="O1777" s="53" t="b">
        <x:v>1</x:v>
      </x:c>
      <x:c r="P1777" s="47" t="n">
        <x:v>1007</x:v>
      </x:c>
      <x:c r="Q1777" s="47" t="n">
        <x:v>0</x:v>
      </x:c>
      <x:c r="R1777" s="47" t="n">
        <x:v>0</x:v>
      </x:c>
      <x:c r="S1777" s="47" t="n">
        <x:v>33.07</x:v>
      </x:c>
      <x:c r="T1777" s="47" t="n">
        <x:v>77.19</x:v>
      </x:c>
      <x:c r="U1777" s="47" t="n">
        <x:v>30.2</x:v>
      </x:c>
      <x:c r="V1777" s="47" t="n">
        <x:v>18</x:v>
      </x:c>
      <x:c r="W1777" s="47" t="n">
        <x:v>5</x:v>
      </x:c>
      <x:c r="X1777" s="47" t="n">
        <x:v>24</x:v>
      </x:c>
      <x:c r="Y1777" s="41" t="n">
        <x:v>19</x:v>
      </x:c>
    </x:row>
    <x:row r="1778">
      <x:c r="A1778" s="38" t="str">
        <x:v>7月30日现场数据</x:v>
      </x:c>
      <x:c r="B1778" s="66" t="str">
        <x:v>2026-08-05T17:41:45.216000</x:v>
      </x:c>
      <x:c r="C1778" s="47" t="n">
        <x:v>300970</x:v>
      </x:c>
      <x:c r="D1778" s="47" t="str"/>
      <x:c r="E1778" s="47" t="str"/>
      <x:c r="F1778" s="47" t="str">
        <x:v>current</x:v>
      </x:c>
      <x:c r="G1778" s="47" t="n">
        <x:v>1774</x:v>
      </x:c>
      <x:c r="H1778" s="53" t="b">
        <x:v>1</x:v>
      </x:c>
      <x:c r="I1778" s="47" t="str">
        <x:v>4109905524</x:v>
      </x:c>
      <x:c r="J1778" s="47" t="n">
        <x:v>152630341</x:v>
      </x:c>
      <x:c r="K1778" s="53" t="b">
        <x:v>1</x:v>
      </x:c>
      <x:c r="L1778" s="53" t="b">
        <x:v>1</x:v>
      </x:c>
      <x:c r="M1778" s="53" t="b">
        <x:v>1</x:v>
      </x:c>
      <x:c r="N1778" s="53" t="b">
        <x:v>1</x:v>
      </x:c>
      <x:c r="O1778" s="53" t="b">
        <x:v>1</x:v>
      </x:c>
      <x:c r="P1778" s="47" t="n">
        <x:v>1007</x:v>
      </x:c>
      <x:c r="Q1778" s="47" t="n">
        <x:v>0</x:v>
      </x:c>
      <x:c r="R1778" s="47" t="n">
        <x:v>0</x:v>
      </x:c>
      <x:c r="S1778" s="47" t="n">
        <x:v>32.83</x:v>
      </x:c>
      <x:c r="T1778" s="47" t="n">
        <x:v>77.11</x:v>
      </x:c>
      <x:c r="U1778" s="47" t="n">
        <x:v>30.2</x:v>
      </x:c>
      <x:c r="V1778" s="47" t="n">
        <x:v>18</x:v>
      </x:c>
      <x:c r="W1778" s="47" t="n">
        <x:v>4</x:v>
      </x:c>
      <x:c r="X1778" s="47" t="n">
        <x:v>20</x:v>
      </x:c>
      <x:c r="Y1778" s="41" t="n">
        <x:v>16</x:v>
      </x:c>
    </x:row>
    <x:row r="1779">
      <x:c r="A1779" s="38" t="str">
        <x:v>7月30日现场数据</x:v>
      </x:c>
      <x:c r="B1779" s="66" t="str">
        <x:v>2026-08-05T17:46:46.187000</x:v>
      </x:c>
      <x:c r="C1779" s="47" t="n">
        <x:v>300971</x:v>
      </x:c>
      <x:c r="D1779" s="47" t="str"/>
      <x:c r="E1779" s="47" t="str"/>
      <x:c r="F1779" s="47" t="str">
        <x:v>current</x:v>
      </x:c>
      <x:c r="G1779" s="47" t="n">
        <x:v>1775</x:v>
      </x:c>
      <x:c r="H1779" s="53" t="b">
        <x:v>1</x:v>
      </x:c>
      <x:c r="I1779" s="47" t="str">
        <x:v>4109905524</x:v>
      </x:c>
      <x:c r="J1779" s="47" t="n">
        <x:v>152931312</x:v>
      </x:c>
      <x:c r="K1779" s="53" t="b">
        <x:v>1</x:v>
      </x:c>
      <x:c r="L1779" s="53" t="b">
        <x:v>1</x:v>
      </x:c>
      <x:c r="M1779" s="53" t="b">
        <x:v>1</x:v>
      </x:c>
      <x:c r="N1779" s="53" t="b">
        <x:v>1</x:v>
      </x:c>
      <x:c r="O1779" s="53" t="b">
        <x:v>1</x:v>
      </x:c>
      <x:c r="P1779" s="47" t="n">
        <x:v>1007</x:v>
      </x:c>
      <x:c r="Q1779" s="47" t="n">
        <x:v>0</x:v>
      </x:c>
      <x:c r="R1779" s="47" t="n">
        <x:v>0</x:v>
      </x:c>
      <x:c r="S1779" s="47" t="n">
        <x:v>32.57</x:v>
      </x:c>
      <x:c r="T1779" s="47" t="n">
        <x:v>77.01</x:v>
      </x:c>
      <x:c r="U1779" s="47" t="n">
        <x:v>30.2</x:v>
      </x:c>
      <x:c r="V1779" s="47" t="n">
        <x:v>18</x:v>
      </x:c>
      <x:c r="W1779" s="47" t="n">
        <x:v>1</x:v>
      </x:c>
      <x:c r="X1779" s="47" t="n">
        <x:v>5</x:v>
      </x:c>
      <x:c r="Y1779" s="41" t="n">
        <x:v>4</x:v>
      </x:c>
    </x:row>
    <x:row r="1780">
      <x:c r="A1780" s="38" t="str">
        <x:v>7月30日现场数据</x:v>
      </x:c>
      <x:c r="B1780" s="66" t="str">
        <x:v>2026-08-05T17:51:47.161000</x:v>
      </x:c>
      <x:c r="C1780" s="47" t="n">
        <x:v>300974</x:v>
      </x:c>
      <x:c r="D1780" s="47" t="str"/>
      <x:c r="E1780" s="47" t="str"/>
      <x:c r="F1780" s="47" t="str">
        <x:v>current</x:v>
      </x:c>
      <x:c r="G1780" s="47" t="n">
        <x:v>1776</x:v>
      </x:c>
      <x:c r="H1780" s="53" t="b">
        <x:v>1</x:v>
      </x:c>
      <x:c r="I1780" s="47" t="str">
        <x:v>4109905524</x:v>
      </x:c>
      <x:c r="J1780" s="47" t="n">
        <x:v>153232286</x:v>
      </x:c>
      <x:c r="K1780" s="53" t="b">
        <x:v>1</x:v>
      </x:c>
      <x:c r="L1780" s="53" t="b">
        <x:v>1</x:v>
      </x:c>
      <x:c r="M1780" s="53" t="b">
        <x:v>1</x:v>
      </x:c>
      <x:c r="N1780" s="53" t="b">
        <x:v>1</x:v>
      </x:c>
      <x:c r="O1780" s="53" t="b">
        <x:v>1</x:v>
      </x:c>
      <x:c r="P1780" s="47" t="n">
        <x:v>1007</x:v>
      </x:c>
      <x:c r="Q1780" s="47" t="n">
        <x:v>0</x:v>
      </x:c>
      <x:c r="R1780" s="47" t="n">
        <x:v>0</x:v>
      </x:c>
      <x:c r="S1780" s="47" t="n">
        <x:v>32.31</x:v>
      </x:c>
      <x:c r="T1780" s="47" t="n">
        <x:v>76.91</x:v>
      </x:c>
      <x:c r="U1780" s="47" t="n">
        <x:v>30.2</x:v>
      </x:c>
      <x:c r="V1780" s="47" t="n">
        <x:v>18</x:v>
      </x:c>
      <x:c r="W1780" s="47" t="n">
        <x:v>0</x:v>
      </x:c>
      <x:c r="X1780" s="47" t="n">
        <x:v>3</x:v>
      </x:c>
      <x:c r="Y1780" s="41" t="n">
        <x:v>3</x:v>
      </x:c>
    </x:row>
    <x:row r="1781">
      <x:c r="A1781" s="38" t="str">
        <x:v>7月30日现场数据</x:v>
      </x:c>
      <x:c r="B1781" s="66" t="str">
        <x:v>2026-08-05T17:56:48.133000</x:v>
      </x:c>
      <x:c r="C1781" s="47" t="n">
        <x:v>300972</x:v>
      </x:c>
      <x:c r="D1781" s="47" t="str"/>
      <x:c r="E1781" s="47" t="str"/>
      <x:c r="F1781" s="47" t="str">
        <x:v>current</x:v>
      </x:c>
      <x:c r="G1781" s="47" t="n">
        <x:v>1777</x:v>
      </x:c>
      <x:c r="H1781" s="53" t="b">
        <x:v>1</x:v>
      </x:c>
      <x:c r="I1781" s="47" t="str">
        <x:v>4109905524</x:v>
      </x:c>
      <x:c r="J1781" s="47" t="n">
        <x:v>153533258</x:v>
      </x:c>
      <x:c r="K1781" s="53" t="b">
        <x:v>1</x:v>
      </x:c>
      <x:c r="L1781" s="53" t="b">
        <x:v>1</x:v>
      </x:c>
      <x:c r="M1781" s="53" t="b">
        <x:v>1</x:v>
      </x:c>
      <x:c r="N1781" s="53" t="b">
        <x:v>1</x:v>
      </x:c>
      <x:c r="O1781" s="53" t="b">
        <x:v>1</x:v>
      </x:c>
      <x:c r="P1781" s="47" t="n">
        <x:v>1007</x:v>
      </x:c>
      <x:c r="Q1781" s="47" t="n">
        <x:v>0</x:v>
      </x:c>
      <x:c r="R1781" s="47" t="n">
        <x:v>0</x:v>
      </x:c>
      <x:c r="S1781" s="47" t="n">
        <x:v>32.07</x:v>
      </x:c>
      <x:c r="T1781" s="47" t="n">
        <x:v>76.8</x:v>
      </x:c>
      <x:c r="U1781" s="47" t="n">
        <x:v>30.2</x:v>
      </x:c>
      <x:c r="V1781" s="47" t="n">
        <x:v>18</x:v>
      </x:c>
      <x:c r="W1781" s="47" t="n">
        <x:v>0</x:v>
      </x:c>
      <x:c r="X1781" s="47" t="n">
        <x:v>2</x:v>
      </x:c>
      <x:c r="Y1781" s="41" t="n">
        <x:v>2</x:v>
      </x:c>
    </x:row>
    <x:row r="1782">
      <x:c r="A1782" s="38" t="str">
        <x:v>7月30日现场数据</x:v>
      </x:c>
      <x:c r="B1782" s="66" t="str">
        <x:v>2026-08-05T18:01:49.108000</x:v>
      </x:c>
      <x:c r="C1782" s="47" t="n">
        <x:v>300975</x:v>
      </x:c>
      <x:c r="D1782" s="47" t="str"/>
      <x:c r="E1782" s="47" t="str"/>
      <x:c r="F1782" s="47" t="str">
        <x:v>current</x:v>
      </x:c>
      <x:c r="G1782" s="47" t="n">
        <x:v>1778</x:v>
      </x:c>
      <x:c r="H1782" s="53" t="b">
        <x:v>1</x:v>
      </x:c>
      <x:c r="I1782" s="47" t="str">
        <x:v>4109905524</x:v>
      </x:c>
      <x:c r="J1782" s="47" t="n">
        <x:v>153834233</x:v>
      </x:c>
      <x:c r="K1782" s="53" t="b">
        <x:v>1</x:v>
      </x:c>
      <x:c r="L1782" s="53" t="b">
        <x:v>1</x:v>
      </x:c>
      <x:c r="M1782" s="53" t="b">
        <x:v>1</x:v>
      </x:c>
      <x:c r="N1782" s="53" t="b">
        <x:v>1</x:v>
      </x:c>
      <x:c r="O1782" s="53" t="b">
        <x:v>1</x:v>
      </x:c>
      <x:c r="P1782" s="47" t="n">
        <x:v>1007</x:v>
      </x:c>
      <x:c r="Q1782" s="47" t="n">
        <x:v>0</x:v>
      </x:c>
      <x:c r="R1782" s="47" t="n">
        <x:v>0</x:v>
      </x:c>
      <x:c r="S1782" s="47" t="n">
        <x:v>31.91</x:v>
      </x:c>
      <x:c r="T1782" s="47" t="n">
        <x:v>76.76</x:v>
      </x:c>
      <x:c r="U1782" s="47" t="n">
        <x:v>30.2</x:v>
      </x:c>
      <x:c r="V1782" s="47" t="n">
        <x:v>17.9</x:v>
      </x:c>
      <x:c r="W1782" s="47" t="n">
        <x:v>0</x:v>
      </x:c>
      <x:c r="X1782" s="47" t="n">
        <x:v>2</x:v>
      </x:c>
      <x:c r="Y1782" s="41" t="n">
        <x:v>2</x:v>
      </x:c>
    </x:row>
    <x:row r="1783">
      <x:c r="A1783" s="38" t="str">
        <x:v>7月30日现场数据</x:v>
      </x:c>
      <x:c r="B1783" s="66" t="str">
        <x:v>2026-08-05T18:06:50.086000</x:v>
      </x:c>
      <x:c r="C1783" s="47" t="n">
        <x:v>300978</x:v>
      </x:c>
      <x:c r="D1783" s="47" t="str"/>
      <x:c r="E1783" s="47" t="str"/>
      <x:c r="F1783" s="47" t="str">
        <x:v>current</x:v>
      </x:c>
      <x:c r="G1783" s="47" t="n">
        <x:v>1779</x:v>
      </x:c>
      <x:c r="H1783" s="53" t="b">
        <x:v>1</x:v>
      </x:c>
      <x:c r="I1783" s="47" t="str">
        <x:v>4109905524</x:v>
      </x:c>
      <x:c r="J1783" s="47" t="n">
        <x:v>154135211</x:v>
      </x:c>
      <x:c r="K1783" s="53" t="b">
        <x:v>1</x:v>
      </x:c>
      <x:c r="L1783" s="53" t="b">
        <x:v>1</x:v>
      </x:c>
      <x:c r="M1783" s="53" t="b">
        <x:v>1</x:v>
      </x:c>
      <x:c r="N1783" s="53" t="b">
        <x:v>1</x:v>
      </x:c>
      <x:c r="O1783" s="53" t="b">
        <x:v>1</x:v>
      </x:c>
      <x:c r="P1783" s="47" t="n">
        <x:v>1007</x:v>
      </x:c>
      <x:c r="Q1783" s="47" t="n">
        <x:v>0</x:v>
      </x:c>
      <x:c r="R1783" s="47" t="n">
        <x:v>0</x:v>
      </x:c>
      <x:c r="S1783" s="47" t="n">
        <x:v>31.75</x:v>
      </x:c>
      <x:c r="T1783" s="47" t="n">
        <x:v>76.67</x:v>
      </x:c>
      <x:c r="U1783" s="47" t="n">
        <x:v>30.1</x:v>
      </x:c>
      <x:c r="V1783" s="47" t="n">
        <x:v>17.9</x:v>
      </x:c>
      <x:c r="W1783" s="47" t="n">
        <x:v>0</x:v>
      </x:c>
      <x:c r="X1783" s="47" t="n">
        <x:v>2</x:v>
      </x:c>
      <x:c r="Y1783" s="41" t="n">
        <x:v>2</x:v>
      </x:c>
    </x:row>
    <x:row r="1784">
      <x:c r="A1784" s="38" t="str">
        <x:v>7月30日现场数据</x:v>
      </x:c>
      <x:c r="B1784" s="66" t="str">
        <x:v>2026-08-05T18:11:51.068000</x:v>
      </x:c>
      <x:c r="C1784" s="47" t="n">
        <x:v>300982</x:v>
      </x:c>
      <x:c r="D1784" s="47" t="str"/>
      <x:c r="E1784" s="47" t="str"/>
      <x:c r="F1784" s="47" t="str">
        <x:v>current</x:v>
      </x:c>
      <x:c r="G1784" s="47" t="n">
        <x:v>1780</x:v>
      </x:c>
      <x:c r="H1784" s="53" t="b">
        <x:v>1</x:v>
      </x:c>
      <x:c r="I1784" s="47" t="str">
        <x:v>4109905524</x:v>
      </x:c>
      <x:c r="J1784" s="47" t="n">
        <x:v>154436193</x:v>
      </x:c>
      <x:c r="K1784" s="53" t="b">
        <x:v>1</x:v>
      </x:c>
      <x:c r="L1784" s="53" t="b">
        <x:v>1</x:v>
      </x:c>
      <x:c r="M1784" s="53" t="b">
        <x:v>1</x:v>
      </x:c>
      <x:c r="N1784" s="53" t="b">
        <x:v>1</x:v>
      </x:c>
      <x:c r="O1784" s="53" t="b">
        <x:v>1</x:v>
      </x:c>
      <x:c r="P1784" s="47" t="n">
        <x:v>1007</x:v>
      </x:c>
      <x:c r="Q1784" s="47" t="n">
        <x:v>0</x:v>
      </x:c>
      <x:c r="R1784" s="47" t="n">
        <x:v>0</x:v>
      </x:c>
      <x:c r="S1784" s="47" t="n">
        <x:v>31.66</x:v>
      </x:c>
      <x:c r="T1784" s="47" t="n">
        <x:v>76.67</x:v>
      </x:c>
      <x:c r="U1784" s="47" t="n">
        <x:v>30.1</x:v>
      </x:c>
      <x:c r="V1784" s="47" t="n">
        <x:v>18</x:v>
      </x:c>
      <x:c r="W1784" s="47" t="n">
        <x:v>0</x:v>
      </x:c>
      <x:c r="X1784" s="47" t="n">
        <x:v>1</x:v>
      </x:c>
      <x:c r="Y1784" s="41" t="n">
        <x:v>1</x:v>
      </x:c>
    </x:row>
    <x:row r="1785">
      <x:c r="A1785" s="38" t="str">
        <x:v>7月30日现场数据</x:v>
      </x:c>
      <x:c r="B1785" s="66" t="str">
        <x:v>2026-08-05T18:16:52.046000</x:v>
      </x:c>
      <x:c r="C1785" s="47" t="n">
        <x:v>300978</x:v>
      </x:c>
      <x:c r="D1785" s="47" t="str"/>
      <x:c r="E1785" s="47" t="str"/>
      <x:c r="F1785" s="47" t="str">
        <x:v>current</x:v>
      </x:c>
      <x:c r="G1785" s="47" t="n">
        <x:v>1781</x:v>
      </x:c>
      <x:c r="H1785" s="53" t="b">
        <x:v>1</x:v>
      </x:c>
      <x:c r="I1785" s="47" t="str">
        <x:v>4109905524</x:v>
      </x:c>
      <x:c r="J1785" s="47" t="n">
        <x:v>154737171</x:v>
      </x:c>
      <x:c r="K1785" s="53" t="b">
        <x:v>1</x:v>
      </x:c>
      <x:c r="L1785" s="53" t="b">
        <x:v>1</x:v>
      </x:c>
      <x:c r="M1785" s="53" t="b">
        <x:v>1</x:v>
      </x:c>
      <x:c r="N1785" s="53" t="b">
        <x:v>1</x:v>
      </x:c>
      <x:c r="O1785" s="53" t="b">
        <x:v>1</x:v>
      </x:c>
      <x:c r="P1785" s="47" t="n">
        <x:v>1007</x:v>
      </x:c>
      <x:c r="Q1785" s="47" t="n">
        <x:v>0</x:v>
      </x:c>
      <x:c r="R1785" s="47" t="n">
        <x:v>0</x:v>
      </x:c>
      <x:c r="S1785" s="47" t="n">
        <x:v>31.56</x:v>
      </x:c>
      <x:c r="T1785" s="47" t="n">
        <x:v>76.62</x:v>
      </x:c>
      <x:c r="U1785" s="47" t="n">
        <x:v>30.1</x:v>
      </x:c>
      <x:c r="V1785" s="47" t="n">
        <x:v>17.9</x:v>
      </x:c>
      <x:c r="W1785" s="47" t="n">
        <x:v>0</x:v>
      </x:c>
      <x:c r="X1785" s="47" t="n">
        <x:v>1</x:v>
      </x:c>
      <x:c r="Y1785" s="41" t="n">
        <x:v>1</x:v>
      </x:c>
    </x:row>
    <x:row r="1786">
      <x:c r="A1786" s="38" t="str">
        <x:v>7月30日现场数据</x:v>
      </x:c>
      <x:c r="B1786" s="66" t="str">
        <x:v>2026-08-05T18:21:53.063000</x:v>
      </x:c>
      <x:c r="C1786" s="47" t="n">
        <x:v>301017</x:v>
      </x:c>
      <x:c r="D1786" s="47" t="str"/>
      <x:c r="E1786" s="47" t="str"/>
      <x:c r="F1786" s="47" t="str">
        <x:v>current</x:v>
      </x:c>
      <x:c r="G1786" s="47" t="n">
        <x:v>1782</x:v>
      </x:c>
      <x:c r="H1786" s="53" t="b">
        <x:v>1</x:v>
      </x:c>
      <x:c r="I1786" s="47" t="str">
        <x:v>4109905524</x:v>
      </x:c>
      <x:c r="J1786" s="47" t="n">
        <x:v>155038188</x:v>
      </x:c>
      <x:c r="K1786" s="53" t="b">
        <x:v>1</x:v>
      </x:c>
      <x:c r="L1786" s="53" t="b">
        <x:v>1</x:v>
      </x:c>
      <x:c r="M1786" s="53" t="b">
        <x:v>1</x:v>
      </x:c>
      <x:c r="N1786" s="53" t="b">
        <x:v>1</x:v>
      </x:c>
      <x:c r="O1786" s="53" t="b">
        <x:v>1</x:v>
      </x:c>
      <x:c r="P1786" s="47" t="n">
        <x:v>1007</x:v>
      </x:c>
      <x:c r="Q1786" s="47" t="n">
        <x:v>0</x:v>
      </x:c>
      <x:c r="R1786" s="47" t="n">
        <x:v>0</x:v>
      </x:c>
      <x:c r="S1786" s="47" t="n">
        <x:v>31.48</x:v>
      </x:c>
      <x:c r="T1786" s="47" t="n">
        <x:v>76.66</x:v>
      </x:c>
      <x:c r="U1786" s="47" t="n">
        <x:v>30</x:v>
      </x:c>
      <x:c r="V1786" s="47" t="n">
        <x:v>18</x:v>
      </x:c>
      <x:c r="W1786" s="47" t="n">
        <x:v>0</x:v>
      </x:c>
      <x:c r="X1786" s="47" t="n">
        <x:v>1</x:v>
      </x:c>
      <x:c r="Y1786" s="41" t="n">
        <x:v>1</x:v>
      </x:c>
    </x:row>
    <x:row r="1787">
      <x:c r="A1787" s="38" t="str">
        <x:v>7月30日现场数据</x:v>
      </x:c>
      <x:c r="B1787" s="66" t="str">
        <x:v>2026-08-05T18:26:54.023000</x:v>
      </x:c>
      <x:c r="C1787" s="47" t="n">
        <x:v>300960</x:v>
      </x:c>
      <x:c r="D1787" s="47" t="str"/>
      <x:c r="E1787" s="47" t="str"/>
      <x:c r="F1787" s="47" t="str">
        <x:v>current</x:v>
      </x:c>
      <x:c r="G1787" s="47" t="n">
        <x:v>1783</x:v>
      </x:c>
      <x:c r="H1787" s="53" t="b">
        <x:v>1</x:v>
      </x:c>
      <x:c r="I1787" s="47" t="str">
        <x:v>4109905524</x:v>
      </x:c>
      <x:c r="J1787" s="47" t="n">
        <x:v>155339148</x:v>
      </x:c>
      <x:c r="K1787" s="53" t="b">
        <x:v>1</x:v>
      </x:c>
      <x:c r="L1787" s="53" t="b">
        <x:v>1</x:v>
      </x:c>
      <x:c r="M1787" s="53" t="b">
        <x:v>1</x:v>
      </x:c>
      <x:c r="N1787" s="53" t="b">
        <x:v>1</x:v>
      </x:c>
      <x:c r="O1787" s="53" t="b">
        <x:v>1</x:v>
      </x:c>
      <x:c r="P1787" s="47" t="n">
        <x:v>1007</x:v>
      </x:c>
      <x:c r="Q1787" s="47" t="n">
        <x:v>0</x:v>
      </x:c>
      <x:c r="R1787" s="47" t="n">
        <x:v>0</x:v>
      </x:c>
      <x:c r="S1787" s="47" t="n">
        <x:v>31.4</x:v>
      </x:c>
      <x:c r="T1787" s="47" t="n">
        <x:v>76.59</x:v>
      </x:c>
      <x:c r="U1787" s="47" t="n">
        <x:v>30</x:v>
      </x:c>
      <x:c r="V1787" s="47" t="n">
        <x:v>17.9</x:v>
      </x:c>
      <x:c r="W1787" s="47" t="n">
        <x:v>0</x:v>
      </x:c>
      <x:c r="X1787" s="47" t="n">
        <x:v>1</x:v>
      </x:c>
      <x:c r="Y1787" s="41" t="n">
        <x:v>1</x:v>
      </x:c>
    </x:row>
    <x:row r="1788">
      <x:c r="A1788" s="38" t="str">
        <x:v>7月30日现场数据</x:v>
      </x:c>
      <x:c r="B1788" s="66" t="str">
        <x:v>2026-08-05T18:31:54.983000</x:v>
      </x:c>
      <x:c r="C1788" s="47" t="n">
        <x:v>300960</x:v>
      </x:c>
      <x:c r="D1788" s="47" t="str"/>
      <x:c r="E1788" s="47" t="str"/>
      <x:c r="F1788" s="47" t="str">
        <x:v>current</x:v>
      </x:c>
      <x:c r="G1788" s="47" t="n">
        <x:v>1784</x:v>
      </x:c>
      <x:c r="H1788" s="53" t="b">
        <x:v>1</x:v>
      </x:c>
      <x:c r="I1788" s="47" t="str">
        <x:v>4109905524</x:v>
      </x:c>
      <x:c r="J1788" s="47" t="n">
        <x:v>155640108</x:v>
      </x:c>
      <x:c r="K1788" s="53" t="b">
        <x:v>1</x:v>
      </x:c>
      <x:c r="L1788" s="53" t="b">
        <x:v>1</x:v>
      </x:c>
      <x:c r="M1788" s="53" t="b">
        <x:v>1</x:v>
      </x:c>
      <x:c r="N1788" s="53" t="b">
        <x:v>1</x:v>
      </x:c>
      <x:c r="O1788" s="53" t="b">
        <x:v>1</x:v>
      </x:c>
      <x:c r="P1788" s="47" t="n">
        <x:v>1007</x:v>
      </x:c>
      <x:c r="Q1788" s="47" t="n">
        <x:v>0</x:v>
      </x:c>
      <x:c r="R1788" s="47" t="n">
        <x:v>0</x:v>
      </x:c>
      <x:c r="S1788" s="47" t="n">
        <x:v>31.31</x:v>
      </x:c>
      <x:c r="T1788" s="47" t="n">
        <x:v>76.54</x:v>
      </x:c>
      <x:c r="U1788" s="47" t="n">
        <x:v>30</x:v>
      </x:c>
      <x:c r="V1788" s="47" t="n">
        <x:v>17.9</x:v>
      </x:c>
      <x:c r="W1788" s="47" t="n">
        <x:v>0</x:v>
      </x:c>
      <x:c r="X1788" s="47" t="n">
        <x:v>0</x:v>
      </x:c>
      <x:c r="Y1788" s="41" t="n">
        <x:v>0</x:v>
      </x:c>
    </x:row>
    <x:row r="1789">
      <x:c r="A1789" s="38" t="str">
        <x:v>7月30日现场数据</x:v>
      </x:c>
      <x:c r="B1789" s="66" t="str">
        <x:v>2026-08-05T18:36:55.947000</x:v>
      </x:c>
      <x:c r="C1789" s="47" t="n">
        <x:v>300964</x:v>
      </x:c>
      <x:c r="D1789" s="47" t="str"/>
      <x:c r="E1789" s="47" t="str"/>
      <x:c r="F1789" s="47" t="str">
        <x:v>current</x:v>
      </x:c>
      <x:c r="G1789" s="47" t="n">
        <x:v>1785</x:v>
      </x:c>
      <x:c r="H1789" s="53" t="b">
        <x:v>1</x:v>
      </x:c>
      <x:c r="I1789" s="47" t="str">
        <x:v>4109905524</x:v>
      </x:c>
      <x:c r="J1789" s="47" t="n">
        <x:v>155941072</x:v>
      </x:c>
      <x:c r="K1789" s="53" t="b">
        <x:v>1</x:v>
      </x:c>
      <x:c r="L1789" s="53" t="b">
        <x:v>1</x:v>
      </x:c>
      <x:c r="M1789" s="53" t="b">
        <x:v>1</x:v>
      </x:c>
      <x:c r="N1789" s="53" t="b">
        <x:v>1</x:v>
      </x:c>
      <x:c r="O1789" s="53" t="b">
        <x:v>1</x:v>
      </x:c>
      <x:c r="P1789" s="47" t="n">
        <x:v>1007</x:v>
      </x:c>
      <x:c r="Q1789" s="47" t="n">
        <x:v>0</x:v>
      </x:c>
      <x:c r="R1789" s="47" t="n">
        <x:v>0</x:v>
      </x:c>
      <x:c r="S1789" s="47" t="n">
        <x:v>31.25</x:v>
      </x:c>
      <x:c r="T1789" s="47" t="n">
        <x:v>76.54</x:v>
      </x:c>
      <x:c r="U1789" s="47" t="n">
        <x:v>30</x:v>
      </x:c>
      <x:c r="V1789" s="47" t="n">
        <x:v>17.9</x:v>
      </x:c>
      <x:c r="W1789" s="47" t="n">
        <x:v>0</x:v>
      </x:c>
      <x:c r="X1789" s="47" t="n">
        <x:v>0</x:v>
      </x:c>
      <x:c r="Y1789" s="41" t="n">
        <x:v>0</x:v>
      </x:c>
    </x:row>
    <x:row r="1790">
      <x:c r="A1790" s="38" t="str">
        <x:v>7月30日现场数据</x:v>
      </x:c>
      <x:c r="B1790" s="66" t="str">
        <x:v>2026-08-05T18:41:56.912000</x:v>
      </x:c>
      <x:c r="C1790" s="47" t="n">
        <x:v>300965</x:v>
      </x:c>
      <x:c r="D1790" s="47" t="str"/>
      <x:c r="E1790" s="47" t="str"/>
      <x:c r="F1790" s="47" t="str">
        <x:v>current</x:v>
      </x:c>
      <x:c r="G1790" s="47" t="n">
        <x:v>1786</x:v>
      </x:c>
      <x:c r="H1790" s="53" t="b">
        <x:v>1</x:v>
      </x:c>
      <x:c r="I1790" s="47" t="str">
        <x:v>4109905524</x:v>
      </x:c>
      <x:c r="J1790" s="47" t="n">
        <x:v>156242037</x:v>
      </x:c>
      <x:c r="K1790" s="53" t="b">
        <x:v>1</x:v>
      </x:c>
      <x:c r="L1790" s="53" t="b">
        <x:v>1</x:v>
      </x:c>
      <x:c r="M1790" s="53" t="b">
        <x:v>1</x:v>
      </x:c>
      <x:c r="N1790" s="53" t="b">
        <x:v>1</x:v>
      </x:c>
      <x:c r="O1790" s="53" t="b">
        <x:v>1</x:v>
      </x:c>
      <x:c r="P1790" s="47" t="n">
        <x:v>1006</x:v>
      </x:c>
      <x:c r="Q1790" s="47" t="n">
        <x:v>0</x:v>
      </x:c>
      <x:c r="R1790" s="47" t="n">
        <x:v>0</x:v>
      </x:c>
      <x:c r="S1790" s="47" t="n">
        <x:v>31.21</x:v>
      </x:c>
      <x:c r="T1790" s="47" t="n">
        <x:v>76.52</x:v>
      </x:c>
      <x:c r="U1790" s="47" t="n">
        <x:v>30</x:v>
      </x:c>
      <x:c r="V1790" s="47" t="n">
        <x:v>17.9</x:v>
      </x:c>
      <x:c r="W1790" s="47" t="n">
        <x:v>0</x:v>
      </x:c>
      <x:c r="X1790" s="47" t="n">
        <x:v>0</x:v>
      </x:c>
      <x:c r="Y1790" s="41" t="n">
        <x:v>0</x:v>
      </x:c>
    </x:row>
    <x:row r="1791">
      <x:c r="A1791" s="38" t="str">
        <x:v>7月30日现场数据</x:v>
      </x:c>
      <x:c r="B1791" s="66" t="str">
        <x:v>2026-08-05T18:46:57.882000</x:v>
      </x:c>
      <x:c r="C1791" s="47" t="n">
        <x:v>300970</x:v>
      </x:c>
      <x:c r="D1791" s="47" t="str"/>
      <x:c r="E1791" s="47" t="str"/>
      <x:c r="F1791" s="47" t="str">
        <x:v>current</x:v>
      </x:c>
      <x:c r="G1791" s="47" t="n">
        <x:v>1787</x:v>
      </x:c>
      <x:c r="H1791" s="53" t="b">
        <x:v>1</x:v>
      </x:c>
      <x:c r="I1791" s="47" t="str">
        <x:v>4109905524</x:v>
      </x:c>
      <x:c r="J1791" s="47" t="n">
        <x:v>156543007</x:v>
      </x:c>
      <x:c r="K1791" s="53" t="b">
        <x:v>1</x:v>
      </x:c>
      <x:c r="L1791" s="53" t="b">
        <x:v>1</x:v>
      </x:c>
      <x:c r="M1791" s="53" t="b">
        <x:v>1</x:v>
      </x:c>
      <x:c r="N1791" s="53" t="b">
        <x:v>1</x:v>
      </x:c>
      <x:c r="O1791" s="53" t="b">
        <x:v>1</x:v>
      </x:c>
      <x:c r="P1791" s="47" t="n">
        <x:v>1007</x:v>
      </x:c>
      <x:c r="Q1791" s="47" t="n">
        <x:v>0</x:v>
      </x:c>
      <x:c r="R1791" s="47" t="n">
        <x:v>0</x:v>
      </x:c>
      <x:c r="S1791" s="47" t="n">
        <x:v>31.18</x:v>
      </x:c>
      <x:c r="T1791" s="47" t="n">
        <x:v>76.51</x:v>
      </x:c>
      <x:c r="U1791" s="47" t="n">
        <x:v>30</x:v>
      </x:c>
      <x:c r="V1791" s="47" t="n">
        <x:v>17.9</x:v>
      </x:c>
      <x:c r="W1791" s="47" t="n">
        <x:v>0</x:v>
      </x:c>
      <x:c r="X1791" s="47" t="n">
        <x:v>0</x:v>
      </x:c>
      <x:c r="Y1791" s="41" t="n">
        <x:v>0</x:v>
      </x:c>
    </x:row>
    <x:row r="1792">
      <x:c r="A1792" s="38" t="str">
        <x:v>7月30日现场数据</x:v>
      </x:c>
      <x:c r="B1792" s="66" t="str">
        <x:v>2026-08-05T18:51:58.848000</x:v>
      </x:c>
      <x:c r="C1792" s="47" t="n">
        <x:v>300966</x:v>
      </x:c>
      <x:c r="D1792" s="47" t="str"/>
      <x:c r="E1792" s="47" t="str"/>
      <x:c r="F1792" s="47" t="str">
        <x:v>current</x:v>
      </x:c>
      <x:c r="G1792" s="47" t="n">
        <x:v>1788</x:v>
      </x:c>
      <x:c r="H1792" s="53" t="b">
        <x:v>1</x:v>
      </x:c>
      <x:c r="I1792" s="47" t="str">
        <x:v>4109905524</x:v>
      </x:c>
      <x:c r="J1792" s="47" t="n">
        <x:v>156843973</x:v>
      </x:c>
      <x:c r="K1792" s="53" t="b">
        <x:v>1</x:v>
      </x:c>
      <x:c r="L1792" s="53" t="b">
        <x:v>1</x:v>
      </x:c>
      <x:c r="M1792" s="53" t="b">
        <x:v>1</x:v>
      </x:c>
      <x:c r="N1792" s="53" t="b">
        <x:v>1</x:v>
      </x:c>
      <x:c r="O1792" s="53" t="b">
        <x:v>1</x:v>
      </x:c>
      <x:c r="P1792" s="47" t="n">
        <x:v>1007</x:v>
      </x:c>
      <x:c r="Q1792" s="47" t="n">
        <x:v>0</x:v>
      </x:c>
      <x:c r="R1792" s="47" t="n">
        <x:v>0</x:v>
      </x:c>
      <x:c r="S1792" s="47" t="n">
        <x:v>31.13</x:v>
      </x:c>
      <x:c r="T1792" s="47" t="n">
        <x:v>76.51</x:v>
      </x:c>
      <x:c r="U1792" s="47" t="n">
        <x:v>29.9</x:v>
      </x:c>
      <x:c r="V1792" s="47" t="n">
        <x:v>17.9</x:v>
      </x:c>
      <x:c r="W1792" s="47" t="n">
        <x:v>0</x:v>
      </x:c>
      <x:c r="X1792" s="47" t="n">
        <x:v>0</x:v>
      </x:c>
      <x:c r="Y1792" s="41" t="n">
        <x:v>0</x:v>
      </x:c>
    </x:row>
    <x:row r="1793">
      <x:c r="A1793" s="38" t="str">
        <x:v>7月30日现场数据</x:v>
      </x:c>
      <x:c r="B1793" s="66" t="str">
        <x:v>2026-08-05T18:56:59.817000</x:v>
      </x:c>
      <x:c r="C1793" s="47" t="n">
        <x:v>300969</x:v>
      </x:c>
      <x:c r="D1793" s="47" t="str"/>
      <x:c r="E1793" s="47" t="str"/>
      <x:c r="F1793" s="47" t="str">
        <x:v>current</x:v>
      </x:c>
      <x:c r="G1793" s="47" t="n">
        <x:v>1789</x:v>
      </x:c>
      <x:c r="H1793" s="53" t="b">
        <x:v>1</x:v>
      </x:c>
      <x:c r="I1793" s="47" t="str">
        <x:v>4109905524</x:v>
      </x:c>
      <x:c r="J1793" s="47" t="n">
        <x:v>157144942</x:v>
      </x:c>
      <x:c r="K1793" s="53" t="b">
        <x:v>1</x:v>
      </x:c>
      <x:c r="L1793" s="53" t="b">
        <x:v>1</x:v>
      </x:c>
      <x:c r="M1793" s="53" t="b">
        <x:v>1</x:v>
      </x:c>
      <x:c r="N1793" s="53" t="b">
        <x:v>1</x:v>
      </x:c>
      <x:c r="O1793" s="53" t="b">
        <x:v>1</x:v>
      </x:c>
      <x:c r="P1793" s="47" t="n">
        <x:v>1007</x:v>
      </x:c>
      <x:c r="Q1793" s="47" t="n">
        <x:v>0</x:v>
      </x:c>
      <x:c r="R1793" s="47" t="n">
        <x:v>0</x:v>
      </x:c>
      <x:c r="S1793" s="47" t="n">
        <x:v>31.09</x:v>
      </x:c>
      <x:c r="T1793" s="47" t="n">
        <x:v>76.55</x:v>
      </x:c>
      <x:c r="U1793" s="47" t="n">
        <x:v>29.9</x:v>
      </x:c>
      <x:c r="V1793" s="47" t="n">
        <x:v>17.9</x:v>
      </x:c>
      <x:c r="W1793" s="47" t="n">
        <x:v>0</x:v>
      </x:c>
      <x:c r="X1793" s="47" t="n">
        <x:v>0</x:v>
      </x:c>
      <x:c r="Y1793" s="41" t="n">
        <x:v>0</x:v>
      </x:c>
    </x:row>
    <x:row r="1794">
      <x:c r="A1794" s="38" t="str">
        <x:v>7月30日现场数据</x:v>
      </x:c>
      <x:c r="B1794" s="66" t="str">
        <x:v>2026-08-05T19:02:00.790000</x:v>
      </x:c>
      <x:c r="C1794" s="47" t="n">
        <x:v>300973</x:v>
      </x:c>
      <x:c r="D1794" s="47" t="str"/>
      <x:c r="E1794" s="47" t="str"/>
      <x:c r="F1794" s="47" t="str">
        <x:v>current</x:v>
      </x:c>
      <x:c r="G1794" s="47" t="n">
        <x:v>1790</x:v>
      </x:c>
      <x:c r="H1794" s="53" t="b">
        <x:v>1</x:v>
      </x:c>
      <x:c r="I1794" s="47" t="str">
        <x:v>4109905524</x:v>
      </x:c>
      <x:c r="J1794" s="47" t="n">
        <x:v>157445915</x:v>
      </x:c>
      <x:c r="K1794" s="53" t="b">
        <x:v>1</x:v>
      </x:c>
      <x:c r="L1794" s="53" t="b">
        <x:v>1</x:v>
      </x:c>
      <x:c r="M1794" s="53" t="b">
        <x:v>1</x:v>
      </x:c>
      <x:c r="N1794" s="53" t="b">
        <x:v>1</x:v>
      </x:c>
      <x:c r="O1794" s="53" t="b">
        <x:v>1</x:v>
      </x:c>
      <x:c r="P1794" s="47" t="n">
        <x:v>1007</x:v>
      </x:c>
      <x:c r="Q1794" s="47" t="n">
        <x:v>0</x:v>
      </x:c>
      <x:c r="R1794" s="47" t="n">
        <x:v>0</x:v>
      </x:c>
      <x:c r="S1794" s="47" t="n">
        <x:v>31.06</x:v>
      </x:c>
      <x:c r="T1794" s="47" t="n">
        <x:v>76.53</x:v>
      </x:c>
      <x:c r="U1794" s="47" t="n">
        <x:v>29.9</x:v>
      </x:c>
      <x:c r="V1794" s="47" t="n">
        <x:v>17.9</x:v>
      </x:c>
      <x:c r="W1794" s="47" t="n">
        <x:v>0</x:v>
      </x:c>
      <x:c r="X1794" s="47" t="n">
        <x:v>0</x:v>
      </x:c>
      <x:c r="Y1794" s="41" t="n">
        <x:v>0</x:v>
      </x:c>
    </x:row>
    <x:row r="1795">
      <x:c r="A1795" s="38" t="str">
        <x:v>7月30日现场数据</x:v>
      </x:c>
      <x:c r="B1795" s="66" t="str">
        <x:v>2026-08-05T19:07:01.766000</x:v>
      </x:c>
      <x:c r="C1795" s="47" t="n">
        <x:v>300976</x:v>
      </x:c>
      <x:c r="D1795" s="47" t="str"/>
      <x:c r="E1795" s="47" t="str"/>
      <x:c r="F1795" s="47" t="str">
        <x:v>current</x:v>
      </x:c>
      <x:c r="G1795" s="47" t="n">
        <x:v>1791</x:v>
      </x:c>
      <x:c r="H1795" s="53" t="b">
        <x:v>1</x:v>
      </x:c>
      <x:c r="I1795" s="47" t="str">
        <x:v>4109905524</x:v>
      </x:c>
      <x:c r="J1795" s="47" t="n">
        <x:v>157746891</x:v>
      </x:c>
      <x:c r="K1795" s="53" t="b">
        <x:v>1</x:v>
      </x:c>
      <x:c r="L1795" s="53" t="b">
        <x:v>1</x:v>
      </x:c>
      <x:c r="M1795" s="53" t="b">
        <x:v>1</x:v>
      </x:c>
      <x:c r="N1795" s="53" t="b">
        <x:v>1</x:v>
      </x:c>
      <x:c r="O1795" s="53" t="b">
        <x:v>1</x:v>
      </x:c>
      <x:c r="P1795" s="47" t="n">
        <x:v>1008</x:v>
      </x:c>
      <x:c r="Q1795" s="47" t="n">
        <x:v>0</x:v>
      </x:c>
      <x:c r="R1795" s="47" t="n">
        <x:v>0</x:v>
      </x:c>
      <x:c r="S1795" s="47" t="n">
        <x:v>31.03</x:v>
      </x:c>
      <x:c r="T1795" s="47" t="n">
        <x:v>76.55</x:v>
      </x:c>
      <x:c r="U1795" s="47" t="n">
        <x:v>29.9</x:v>
      </x:c>
      <x:c r="V1795" s="47" t="n">
        <x:v>17.9</x:v>
      </x:c>
      <x:c r="W1795" s="47" t="n">
        <x:v>0</x:v>
      </x:c>
      <x:c r="X1795" s="47" t="n">
        <x:v>0</x:v>
      </x:c>
      <x:c r="Y1795" s="41" t="n">
        <x:v>0</x:v>
      </x:c>
    </x:row>
    <x:row r="1796">
      <x:c r="A1796" s="38" t="str">
        <x:v>7月30日现场数据</x:v>
      </x:c>
      <x:c r="B1796" s="66" t="str">
        <x:v>2026-08-05T19:12:02.741000</x:v>
      </x:c>
      <x:c r="C1796" s="47" t="n">
        <x:v>300975</x:v>
      </x:c>
      <x:c r="D1796" s="47" t="str"/>
      <x:c r="E1796" s="47" t="str"/>
      <x:c r="F1796" s="47" t="str">
        <x:v>current</x:v>
      </x:c>
      <x:c r="G1796" s="47" t="n">
        <x:v>1792</x:v>
      </x:c>
      <x:c r="H1796" s="53" t="b">
        <x:v>1</x:v>
      </x:c>
      <x:c r="I1796" s="47" t="str">
        <x:v>4109905524</x:v>
      </x:c>
      <x:c r="J1796" s="47" t="n">
        <x:v>158047866</x:v>
      </x:c>
      <x:c r="K1796" s="53" t="b">
        <x:v>1</x:v>
      </x:c>
      <x:c r="L1796" s="53" t="b">
        <x:v>1</x:v>
      </x:c>
      <x:c r="M1796" s="53" t="b">
        <x:v>1</x:v>
      </x:c>
      <x:c r="N1796" s="53" t="b">
        <x:v>1</x:v>
      </x:c>
      <x:c r="O1796" s="53" t="b">
        <x:v>1</x:v>
      </x:c>
      <x:c r="P1796" s="47" t="n">
        <x:v>1007</x:v>
      </x:c>
      <x:c r="Q1796" s="47" t="n">
        <x:v>0</x:v>
      </x:c>
      <x:c r="R1796" s="47" t="n">
        <x:v>0</x:v>
      </x:c>
      <x:c r="S1796" s="47" t="n">
        <x:v>30.99</x:v>
      </x:c>
      <x:c r="T1796" s="47" t="n">
        <x:v>76.54</x:v>
      </x:c>
      <x:c r="U1796" s="47" t="n">
        <x:v>29.9</x:v>
      </x:c>
      <x:c r="V1796" s="47" t="n">
        <x:v>17.9</x:v>
      </x:c>
      <x:c r="W1796" s="47" t="n">
        <x:v>0</x:v>
      </x:c>
      <x:c r="X1796" s="47" t="n">
        <x:v>0</x:v>
      </x:c>
      <x:c r="Y1796" s="41" t="n">
        <x:v>0</x:v>
      </x:c>
    </x:row>
    <x:row r="1797">
      <x:c r="A1797" s="38" t="str">
        <x:v>7月30日现场数据</x:v>
      </x:c>
      <x:c r="B1797" s="66" t="str">
        <x:v>2026-08-05T19:17:03.718000</x:v>
      </x:c>
      <x:c r="C1797" s="47" t="n">
        <x:v>300977</x:v>
      </x:c>
      <x:c r="D1797" s="47" t="str"/>
      <x:c r="E1797" s="47" t="str"/>
      <x:c r="F1797" s="47" t="str">
        <x:v>current</x:v>
      </x:c>
      <x:c r="G1797" s="47" t="n">
        <x:v>1793</x:v>
      </x:c>
      <x:c r="H1797" s="53" t="b">
        <x:v>1</x:v>
      </x:c>
      <x:c r="I1797" s="47" t="str">
        <x:v>4109905524</x:v>
      </x:c>
      <x:c r="J1797" s="47" t="n">
        <x:v>158348843</x:v>
      </x:c>
      <x:c r="K1797" s="53" t="b">
        <x:v>1</x:v>
      </x:c>
      <x:c r="L1797" s="53" t="b">
        <x:v>1</x:v>
      </x:c>
      <x:c r="M1797" s="53" t="b">
        <x:v>1</x:v>
      </x:c>
      <x:c r="N1797" s="53" t="b">
        <x:v>1</x:v>
      </x:c>
      <x:c r="O1797" s="53" t="b">
        <x:v>1</x:v>
      </x:c>
      <x:c r="P1797" s="47" t="n">
        <x:v>1008</x:v>
      </x:c>
      <x:c r="Q1797" s="47" t="n">
        <x:v>0</x:v>
      </x:c>
      <x:c r="R1797" s="47" t="n">
        <x:v>0</x:v>
      </x:c>
      <x:c r="S1797" s="47" t="n">
        <x:v>30.97</x:v>
      </x:c>
      <x:c r="T1797" s="47" t="n">
        <x:v>76.51</x:v>
      </x:c>
      <x:c r="U1797" s="47" t="n">
        <x:v>29.9</x:v>
      </x:c>
      <x:c r="V1797" s="47" t="n">
        <x:v>17.9</x:v>
      </x:c>
      <x:c r="W1797" s="47" t="n">
        <x:v>0</x:v>
      </x:c>
      <x:c r="X1797" s="47" t="n">
        <x:v>0</x:v>
      </x:c>
      <x:c r="Y1797" s="41" t="n">
        <x:v>0</x:v>
      </x:c>
    </x:row>
    <x:row r="1798">
      <x:c r="A1798" s="38" t="str">
        <x:v>7月30日现场数据</x:v>
      </x:c>
      <x:c r="B1798" s="66" t="str">
        <x:v>2026-08-05T19:22:04.696000</x:v>
      </x:c>
      <x:c r="C1798" s="47" t="n">
        <x:v>300978</x:v>
      </x:c>
      <x:c r="D1798" s="47" t="str"/>
      <x:c r="E1798" s="47" t="str"/>
      <x:c r="F1798" s="47" t="str">
        <x:v>current</x:v>
      </x:c>
      <x:c r="G1798" s="47" t="n">
        <x:v>1794</x:v>
      </x:c>
      <x:c r="H1798" s="53" t="b">
        <x:v>1</x:v>
      </x:c>
      <x:c r="I1798" s="47" t="str">
        <x:v>4109905524</x:v>
      </x:c>
      <x:c r="J1798" s="47" t="n">
        <x:v>158649821</x:v>
      </x:c>
      <x:c r="K1798" s="53" t="b">
        <x:v>1</x:v>
      </x:c>
      <x:c r="L1798" s="53" t="b">
        <x:v>1</x:v>
      </x:c>
      <x:c r="M1798" s="53" t="b">
        <x:v>1</x:v>
      </x:c>
      <x:c r="N1798" s="53" t="b">
        <x:v>1</x:v>
      </x:c>
      <x:c r="O1798" s="53" t="b">
        <x:v>1</x:v>
      </x:c>
      <x:c r="P1798" s="47" t="n">
        <x:v>1008</x:v>
      </x:c>
      <x:c r="Q1798" s="47" t="n">
        <x:v>0.049</x:v>
      </x:c>
      <x:c r="R1798" s="47" t="n">
        <x:v>1.319</x:v>
      </x:c>
      <x:c r="S1798" s="47" t="n">
        <x:v>30.94</x:v>
      </x:c>
      <x:c r="T1798" s="47" t="n">
        <x:v>76.56</x:v>
      </x:c>
      <x:c r="U1798" s="47" t="n">
        <x:v>29.9</x:v>
      </x:c>
      <x:c r="V1798" s="47" t="n">
        <x:v>17.9</x:v>
      </x:c>
      <x:c r="W1798" s="47" t="n">
        <x:v>0</x:v>
      </x:c>
      <x:c r="X1798" s="47" t="n">
        <x:v>0</x:v>
      </x:c>
      <x:c r="Y1798" s="41" t="n">
        <x:v>0</x:v>
      </x:c>
    </x:row>
    <x:row r="1799">
      <x:c r="A1799" s="38" t="str">
        <x:v>7月30日现场数据</x:v>
      </x:c>
      <x:c r="B1799" s="66" t="str">
        <x:v>2026-08-05T19:27:05.678000</x:v>
      </x:c>
      <x:c r="C1799" s="47" t="n">
        <x:v>300982</x:v>
      </x:c>
      <x:c r="D1799" s="47" t="str"/>
      <x:c r="E1799" s="47" t="str"/>
      <x:c r="F1799" s="47" t="str">
        <x:v>current</x:v>
      </x:c>
      <x:c r="G1799" s="47" t="n">
        <x:v>1795</x:v>
      </x:c>
      <x:c r="H1799" s="53" t="b">
        <x:v>1</x:v>
      </x:c>
      <x:c r="I1799" s="47" t="str">
        <x:v>4109905524</x:v>
      </x:c>
      <x:c r="J1799" s="47" t="n">
        <x:v>158950803</x:v>
      </x:c>
      <x:c r="K1799" s="53" t="b">
        <x:v>1</x:v>
      </x:c>
      <x:c r="L1799" s="53" t="b">
        <x:v>1</x:v>
      </x:c>
      <x:c r="M1799" s="53" t="b">
        <x:v>1</x:v>
      </x:c>
      <x:c r="N1799" s="53" t="b">
        <x:v>1</x:v>
      </x:c>
      <x:c r="O1799" s="53" t="b">
        <x:v>1</x:v>
      </x:c>
      <x:c r="P1799" s="47" t="n">
        <x:v>1008</x:v>
      </x:c>
      <x:c r="Q1799" s="47" t="n">
        <x:v>0</x:v>
      </x:c>
      <x:c r="R1799" s="47" t="n">
        <x:v>0</x:v>
      </x:c>
      <x:c r="S1799" s="47" t="n">
        <x:v>30.93</x:v>
      </x:c>
      <x:c r="T1799" s="47" t="n">
        <x:v>76.58</x:v>
      </x:c>
      <x:c r="U1799" s="47" t="n">
        <x:v>29.9</x:v>
      </x:c>
      <x:c r="V1799" s="47" t="n">
        <x:v>17.9</x:v>
      </x:c>
      <x:c r="W1799" s="47" t="n">
        <x:v>0</x:v>
      </x:c>
      <x:c r="X1799" s="47" t="n">
        <x:v>0</x:v>
      </x:c>
      <x:c r="Y1799" s="41" t="n">
        <x:v>0</x:v>
      </x:c>
    </x:row>
    <x:row r="1800">
      <x:c r="A1800" s="38" t="str">
        <x:v>7月30日现场数据</x:v>
      </x:c>
      <x:c r="B1800" s="66" t="str">
        <x:v>2026-08-05T19:32:06.658000</x:v>
      </x:c>
      <x:c r="C1800" s="47" t="n">
        <x:v>300980</x:v>
      </x:c>
      <x:c r="D1800" s="47" t="str"/>
      <x:c r="E1800" s="47" t="str"/>
      <x:c r="F1800" s="47" t="str">
        <x:v>current</x:v>
      </x:c>
      <x:c r="G1800" s="47" t="n">
        <x:v>1796</x:v>
      </x:c>
      <x:c r="H1800" s="53" t="b">
        <x:v>1</x:v>
      </x:c>
      <x:c r="I1800" s="47" t="str">
        <x:v>4109905524</x:v>
      </x:c>
      <x:c r="J1800" s="47" t="n">
        <x:v>159251783</x:v>
      </x:c>
      <x:c r="K1800" s="53" t="b">
        <x:v>1</x:v>
      </x:c>
      <x:c r="L1800" s="53" t="b">
        <x:v>1</x:v>
      </x:c>
      <x:c r="M1800" s="53" t="b">
        <x:v>1</x:v>
      </x:c>
      <x:c r="N1800" s="53" t="b">
        <x:v>1</x:v>
      </x:c>
      <x:c r="O1800" s="53" t="b">
        <x:v>1</x:v>
      </x:c>
      <x:c r="P1800" s="47" t="n">
        <x:v>1008</x:v>
      </x:c>
      <x:c r="Q1800" s="47" t="n">
        <x:v>0</x:v>
      </x:c>
      <x:c r="R1800" s="47" t="n">
        <x:v>0</x:v>
      </x:c>
      <x:c r="S1800" s="47" t="n">
        <x:v>30.9</x:v>
      </x:c>
      <x:c r="T1800" s="47" t="n">
        <x:v>76.63</x:v>
      </x:c>
      <x:c r="U1800" s="47" t="n">
        <x:v>29.9</x:v>
      </x:c>
      <x:c r="V1800" s="47" t="n">
        <x:v>17.9</x:v>
      </x:c>
      <x:c r="W1800" s="47" t="n">
        <x:v>0</x:v>
      </x:c>
      <x:c r="X1800" s="47" t="n">
        <x:v>0</x:v>
      </x:c>
      <x:c r="Y1800" s="41" t="n">
        <x:v>0</x:v>
      </x:c>
    </x:row>
    <x:row r="1801">
      <x:c r="A1801" s="38" t="str">
        <x:v>7月30日现场数据</x:v>
      </x:c>
      <x:c r="B1801" s="66" t="str">
        <x:v>2026-08-05T19:37:07.641000</x:v>
      </x:c>
      <x:c r="C1801" s="47" t="n">
        <x:v>300983</x:v>
      </x:c>
      <x:c r="D1801" s="47" t="str"/>
      <x:c r="E1801" s="47" t="str"/>
      <x:c r="F1801" s="47" t="str">
        <x:v>current</x:v>
      </x:c>
      <x:c r="G1801" s="47" t="n">
        <x:v>1797</x:v>
      </x:c>
      <x:c r="H1801" s="53" t="b">
        <x:v>1</x:v>
      </x:c>
      <x:c r="I1801" s="47" t="str">
        <x:v>4109905524</x:v>
      </x:c>
      <x:c r="J1801" s="47" t="n">
        <x:v>159552766</x:v>
      </x:c>
      <x:c r="K1801" s="53" t="b">
        <x:v>1</x:v>
      </x:c>
      <x:c r="L1801" s="53" t="b">
        <x:v>1</x:v>
      </x:c>
      <x:c r="M1801" s="53" t="b">
        <x:v>1</x:v>
      </x:c>
      <x:c r="N1801" s="53" t="b">
        <x:v>1</x:v>
      </x:c>
      <x:c r="O1801" s="53" t="b">
        <x:v>1</x:v>
      </x:c>
      <x:c r="P1801" s="47" t="n">
        <x:v>1008</x:v>
      </x:c>
      <x:c r="Q1801" s="47" t="n">
        <x:v>0</x:v>
      </x:c>
      <x:c r="R1801" s="47" t="n">
        <x:v>0</x:v>
      </x:c>
      <x:c r="S1801" s="47" t="n">
        <x:v>30.85</x:v>
      </x:c>
      <x:c r="T1801" s="47" t="n">
        <x:v>76.66</x:v>
      </x:c>
      <x:c r="U1801" s="47" t="n">
        <x:v>29.9</x:v>
      </x:c>
      <x:c r="V1801" s="47" t="n">
        <x:v>17.9</x:v>
      </x:c>
      <x:c r="W1801" s="47" t="n">
        <x:v>0</x:v>
      </x:c>
      <x:c r="X1801" s="47" t="n">
        <x:v>0</x:v>
      </x:c>
      <x:c r="Y1801" s="41" t="n">
        <x:v>0</x:v>
      </x:c>
    </x:row>
    <x:row r="1802">
      <x:c r="A1802" s="38" t="str">
        <x:v>7月30日现场数据</x:v>
      </x:c>
      <x:c r="B1802" s="66" t="str">
        <x:v>2026-08-05T19:42:08.662000</x:v>
      </x:c>
      <x:c r="C1802" s="47" t="n">
        <x:v>301021</x:v>
      </x:c>
      <x:c r="D1802" s="47" t="str"/>
      <x:c r="E1802" s="47" t="str"/>
      <x:c r="F1802" s="47" t="str">
        <x:v>current</x:v>
      </x:c>
      <x:c r="G1802" s="47" t="n">
        <x:v>1798</x:v>
      </x:c>
      <x:c r="H1802" s="53" t="b">
        <x:v>1</x:v>
      </x:c>
      <x:c r="I1802" s="47" t="str">
        <x:v>4109905524</x:v>
      </x:c>
      <x:c r="J1802" s="47" t="n">
        <x:v>159853787</x:v>
      </x:c>
      <x:c r="K1802" s="53" t="b">
        <x:v>1</x:v>
      </x:c>
      <x:c r="L1802" s="53" t="b">
        <x:v>1</x:v>
      </x:c>
      <x:c r="M1802" s="53" t="b">
        <x:v>1</x:v>
      </x:c>
      <x:c r="N1802" s="53" t="b">
        <x:v>1</x:v>
      </x:c>
      <x:c r="O1802" s="53" t="b">
        <x:v>1</x:v>
      </x:c>
      <x:c r="P1802" s="47" t="n">
        <x:v>1008</x:v>
      </x:c>
      <x:c r="Q1802" s="47" t="n">
        <x:v>0.001</x:v>
      </x:c>
      <x:c r="R1802" s="47" t="n">
        <x:v>0.033</x:v>
      </x:c>
      <x:c r="S1802" s="47" t="n">
        <x:v>30.78</x:v>
      </x:c>
      <x:c r="T1802" s="47" t="n">
        <x:v>76.62</x:v>
      </x:c>
      <x:c r="U1802" s="47" t="n">
        <x:v>29.9</x:v>
      </x:c>
      <x:c r="V1802" s="47" t="n">
        <x:v>17.9</x:v>
      </x:c>
      <x:c r="W1802" s="47" t="n">
        <x:v>0</x:v>
      </x:c>
      <x:c r="X1802" s="47" t="n">
        <x:v>0</x:v>
      </x:c>
      <x:c r="Y1802" s="41" t="n">
        <x:v>0</x:v>
      </x:c>
    </x:row>
    <x:row r="1803">
      <x:c r="A1803" s="38" t="str">
        <x:v>7月30日现场数据</x:v>
      </x:c>
      <x:c r="B1803" s="66" t="str">
        <x:v>2026-08-05T19:47:26.313000</x:v>
      </x:c>
      <x:c r="C1803" s="47" t="n">
        <x:v>317651</x:v>
      </x:c>
      <x:c r="D1803" s="47" t="str"/>
      <x:c r="E1803" s="47" t="str"/>
      <x:c r="F1803" s="47" t="str">
        <x:v>current</x:v>
      </x:c>
      <x:c r="G1803" s="47" t="n">
        <x:v>1799</x:v>
      </x:c>
      <x:c r="H1803" s="53" t="b">
        <x:v>1</x:v>
      </x:c>
      <x:c r="I1803" s="47" t="str">
        <x:v>4109905524</x:v>
      </x:c>
      <x:c r="J1803" s="47" t="n">
        <x:v>160171438</x:v>
      </x:c>
      <x:c r="K1803" s="53" t="b">
        <x:v>1</x:v>
      </x:c>
      <x:c r="L1803" s="53" t="b">
        <x:v>1</x:v>
      </x:c>
      <x:c r="M1803" s="53" t="b">
        <x:v>1</x:v>
      </x:c>
      <x:c r="N1803" s="53" t="b">
        <x:v>1</x:v>
      </x:c>
      <x:c r="O1803" s="53" t="b">
        <x:v>1</x:v>
      </x:c>
      <x:c r="P1803" s="47" t="n">
        <x:v>1008</x:v>
      </x:c>
      <x:c r="Q1803" s="47" t="n">
        <x:v>0</x:v>
      </x:c>
      <x:c r="R1803" s="47" t="n">
        <x:v>0</x:v>
      </x:c>
      <x:c r="S1803" s="47" t="n">
        <x:v>30.75</x:v>
      </x:c>
      <x:c r="T1803" s="47" t="n">
        <x:v>76.65</x:v>
      </x:c>
      <x:c r="U1803" s="47" t="n">
        <x:v>29.9</x:v>
      </x:c>
      <x:c r="V1803" s="47" t="n">
        <x:v>17.8</x:v>
      </x:c>
      <x:c r="W1803" s="47" t="n">
        <x:v>0</x:v>
      </x:c>
      <x:c r="X1803" s="47" t="n">
        <x:v>0</x:v>
      </x:c>
      <x:c r="Y1803" s="41" t="n">
        <x:v>0</x:v>
      </x:c>
    </x:row>
    <x:row r="1804">
      <x:c r="A1804" s="38" t="str">
        <x:v>7月30日现场数据</x:v>
      </x:c>
      <x:c r="B1804" s="66" t="str">
        <x:v>2026-08-05T19:52:27.274000</x:v>
      </x:c>
      <x:c r="C1804" s="47" t="n">
        <x:v>300961</x:v>
      </x:c>
      <x:c r="D1804" s="47" t="str"/>
      <x:c r="E1804" s="47" t="str"/>
      <x:c r="F1804" s="47" t="str">
        <x:v>current</x:v>
      </x:c>
      <x:c r="G1804" s="47" t="n">
        <x:v>1800</x:v>
      </x:c>
      <x:c r="H1804" s="53" t="b">
        <x:v>1</x:v>
      </x:c>
      <x:c r="I1804" s="47" t="str">
        <x:v>4109905524</x:v>
      </x:c>
      <x:c r="J1804" s="47" t="n">
        <x:v>160472399</x:v>
      </x:c>
      <x:c r="K1804" s="53" t="b">
        <x:v>1</x:v>
      </x:c>
      <x:c r="L1804" s="53" t="b">
        <x:v>1</x:v>
      </x:c>
      <x:c r="M1804" s="53" t="b">
        <x:v>1</x:v>
      </x:c>
      <x:c r="N1804" s="53" t="b">
        <x:v>1</x:v>
      </x:c>
      <x:c r="O1804" s="53" t="b">
        <x:v>1</x:v>
      </x:c>
      <x:c r="P1804" s="47" t="n">
        <x:v>1008</x:v>
      </x:c>
      <x:c r="Q1804" s="47" t="n">
        <x:v>0</x:v>
      </x:c>
      <x:c r="R1804" s="47" t="n">
        <x:v>0</x:v>
      </x:c>
      <x:c r="S1804" s="47" t="n">
        <x:v>30.75</x:v>
      </x:c>
      <x:c r="T1804" s="47" t="n">
        <x:v>76.68</x:v>
      </x:c>
      <x:c r="U1804" s="47" t="n">
        <x:v>29.9</x:v>
      </x:c>
      <x:c r="V1804" s="47" t="n">
        <x:v>17.9</x:v>
      </x:c>
      <x:c r="W1804" s="47" t="n">
        <x:v>0</x:v>
      </x:c>
      <x:c r="X1804" s="47" t="n">
        <x:v>0</x:v>
      </x:c>
      <x:c r="Y1804" s="41" t="n">
        <x:v>0</x:v>
      </x:c>
    </x:row>
    <x:row r="1805">
      <x:c r="A1805" s="38" t="str">
        <x:v>7月30日现场数据</x:v>
      </x:c>
      <x:c r="B1805" s="66" t="str">
        <x:v>2026-08-05T19:57:28.239000</x:v>
      </x:c>
      <x:c r="C1805" s="47" t="n">
        <x:v>300965</x:v>
      </x:c>
      <x:c r="D1805" s="47" t="str"/>
      <x:c r="E1805" s="47" t="str"/>
      <x:c r="F1805" s="47" t="str">
        <x:v>current</x:v>
      </x:c>
      <x:c r="G1805" s="47" t="n">
        <x:v>1801</x:v>
      </x:c>
      <x:c r="H1805" s="53" t="b">
        <x:v>1</x:v>
      </x:c>
      <x:c r="I1805" s="47" t="str">
        <x:v>4109905524</x:v>
      </x:c>
      <x:c r="J1805" s="47" t="n">
        <x:v>160773364</x:v>
      </x:c>
      <x:c r="K1805" s="53" t="b">
        <x:v>1</x:v>
      </x:c>
      <x:c r="L1805" s="53" t="b">
        <x:v>1</x:v>
      </x:c>
      <x:c r="M1805" s="53" t="b">
        <x:v>1</x:v>
      </x:c>
      <x:c r="N1805" s="53" t="b">
        <x:v>1</x:v>
      </x:c>
      <x:c r="O1805" s="53" t="b">
        <x:v>1</x:v>
      </x:c>
      <x:c r="P1805" s="47" t="n">
        <x:v>1008</x:v>
      </x:c>
      <x:c r="Q1805" s="47" t="n">
        <x:v>0</x:v>
      </x:c>
      <x:c r="R1805" s="47" t="n">
        <x:v>0</x:v>
      </x:c>
      <x:c r="S1805" s="47" t="n">
        <x:v>30.7</x:v>
      </x:c>
      <x:c r="T1805" s="47" t="n">
        <x:v>76.68</x:v>
      </x:c>
      <x:c r="U1805" s="47" t="n">
        <x:v>29.8</x:v>
      </x:c>
      <x:c r="V1805" s="47" t="n">
        <x:v>17.9</x:v>
      </x:c>
      <x:c r="W1805" s="47" t="n">
        <x:v>0</x:v>
      </x:c>
      <x:c r="X1805" s="47" t="n">
        <x:v>0</x:v>
      </x:c>
      <x:c r="Y1805" s="41" t="n">
        <x:v>0</x:v>
      </x:c>
    </x:row>
    <x:row r="1806">
      <x:c r="A1806" s="38" t="str">
        <x:v>7月30日现场数据</x:v>
      </x:c>
      <x:c r="B1806" s="66" t="str">
        <x:v>2026-08-05T20:02:29.206000</x:v>
      </x:c>
      <x:c r="C1806" s="47" t="n">
        <x:v>300967</x:v>
      </x:c>
      <x:c r="D1806" s="47" t="str"/>
      <x:c r="E1806" s="47" t="str"/>
      <x:c r="F1806" s="47" t="str">
        <x:v>current</x:v>
      </x:c>
      <x:c r="G1806" s="47" t="n">
        <x:v>1802</x:v>
      </x:c>
      <x:c r="H1806" s="53" t="b">
        <x:v>1</x:v>
      </x:c>
      <x:c r="I1806" s="47" t="str">
        <x:v>4109905524</x:v>
      </x:c>
      <x:c r="J1806" s="47" t="n">
        <x:v>161074331</x:v>
      </x:c>
      <x:c r="K1806" s="53" t="b">
        <x:v>1</x:v>
      </x:c>
      <x:c r="L1806" s="53" t="b">
        <x:v>1</x:v>
      </x:c>
      <x:c r="M1806" s="53" t="b">
        <x:v>1</x:v>
      </x:c>
      <x:c r="N1806" s="53" t="b">
        <x:v>1</x:v>
      </x:c>
      <x:c r="O1806" s="53" t="b">
        <x:v>1</x:v>
      </x:c>
      <x:c r="P1806" s="47" t="n">
        <x:v>1008</x:v>
      </x:c>
      <x:c r="Q1806" s="47" t="n">
        <x:v>0</x:v>
      </x:c>
      <x:c r="R1806" s="47" t="n">
        <x:v>0</x:v>
      </x:c>
      <x:c r="S1806" s="47" t="n">
        <x:v>30.67</x:v>
      </x:c>
      <x:c r="T1806" s="47" t="n">
        <x:v>76.74</x:v>
      </x:c>
      <x:c r="U1806" s="47" t="n">
        <x:v>29.8</x:v>
      </x:c>
      <x:c r="V1806" s="47" t="n">
        <x:v>17.9</x:v>
      </x:c>
      <x:c r="W1806" s="47" t="n">
        <x:v>0</x:v>
      </x:c>
      <x:c r="X1806" s="47" t="n">
        <x:v>0</x:v>
      </x:c>
      <x:c r="Y1806" s="41" t="n">
        <x:v>0</x:v>
      </x:c>
    </x:row>
    <x:row r="1807">
      <x:c r="A1807" s="38" t="str">
        <x:v>7月30日现场数据</x:v>
      </x:c>
      <x:c r="B1807" s="66" t="str">
        <x:v>2026-08-05T20:07:30.173000</x:v>
      </x:c>
      <x:c r="C1807" s="47" t="n">
        <x:v>300967</x:v>
      </x:c>
      <x:c r="D1807" s="47" t="str"/>
      <x:c r="E1807" s="47" t="str"/>
      <x:c r="F1807" s="47" t="str">
        <x:v>current</x:v>
      </x:c>
      <x:c r="G1807" s="47" t="n">
        <x:v>1803</x:v>
      </x:c>
      <x:c r="H1807" s="53" t="b">
        <x:v>1</x:v>
      </x:c>
      <x:c r="I1807" s="47" t="str">
        <x:v>4109905524</x:v>
      </x:c>
      <x:c r="J1807" s="47" t="n">
        <x:v>161375298</x:v>
      </x:c>
      <x:c r="K1807" s="53" t="b">
        <x:v>1</x:v>
      </x:c>
      <x:c r="L1807" s="53" t="b">
        <x:v>1</x:v>
      </x:c>
      <x:c r="M1807" s="53" t="b">
        <x:v>1</x:v>
      </x:c>
      <x:c r="N1807" s="53" t="b">
        <x:v>1</x:v>
      </x:c>
      <x:c r="O1807" s="53" t="b">
        <x:v>1</x:v>
      </x:c>
      <x:c r="P1807" s="47" t="n">
        <x:v>1008</x:v>
      </x:c>
      <x:c r="Q1807" s="47" t="n">
        <x:v>0</x:v>
      </x:c>
      <x:c r="R1807" s="47" t="n">
        <x:v>0</x:v>
      </x:c>
      <x:c r="S1807" s="47" t="n">
        <x:v>30.64</x:v>
      </x:c>
      <x:c r="T1807" s="47" t="n">
        <x:v>76.8</x:v>
      </x:c>
      <x:c r="U1807" s="47" t="n">
        <x:v>29.8</x:v>
      </x:c>
      <x:c r="V1807" s="47" t="n">
        <x:v>17.9</x:v>
      </x:c>
      <x:c r="W1807" s="47" t="n">
        <x:v>0</x:v>
      </x:c>
      <x:c r="X1807" s="47" t="n">
        <x:v>0</x:v>
      </x:c>
      <x:c r="Y1807" s="41" t="n">
        <x:v>0</x:v>
      </x:c>
    </x:row>
    <x:row r="1808">
      <x:c r="A1808" s="38" t="str">
        <x:v>7月30日现场数据</x:v>
      </x:c>
      <x:c r="B1808" s="66" t="str">
        <x:v>2026-08-05T20:12:31.143000</x:v>
      </x:c>
      <x:c r="C1808" s="47" t="n">
        <x:v>300970</x:v>
      </x:c>
      <x:c r="D1808" s="47" t="str"/>
      <x:c r="E1808" s="47" t="str"/>
      <x:c r="F1808" s="47" t="str">
        <x:v>current</x:v>
      </x:c>
      <x:c r="G1808" s="47" t="n">
        <x:v>1804</x:v>
      </x:c>
      <x:c r="H1808" s="53" t="b">
        <x:v>1</x:v>
      </x:c>
      <x:c r="I1808" s="47" t="str">
        <x:v>4109905524</x:v>
      </x:c>
      <x:c r="J1808" s="47" t="n">
        <x:v>161676268</x:v>
      </x:c>
      <x:c r="K1808" s="53" t="b">
        <x:v>1</x:v>
      </x:c>
      <x:c r="L1808" s="53" t="b">
        <x:v>1</x:v>
      </x:c>
      <x:c r="M1808" s="53" t="b">
        <x:v>1</x:v>
      </x:c>
      <x:c r="N1808" s="53" t="b">
        <x:v>1</x:v>
      </x:c>
      <x:c r="O1808" s="53" t="b">
        <x:v>1</x:v>
      </x:c>
      <x:c r="P1808" s="47" t="n">
        <x:v>1008</x:v>
      </x:c>
      <x:c r="Q1808" s="47" t="n">
        <x:v>0</x:v>
      </x:c>
      <x:c r="R1808" s="47" t="n">
        <x:v>0</x:v>
      </x:c>
      <x:c r="S1808" s="47" t="n">
        <x:v>30.63</x:v>
      </x:c>
      <x:c r="T1808" s="47" t="n">
        <x:v>76.83</x:v>
      </x:c>
      <x:c r="U1808" s="47" t="n">
        <x:v>29.8</x:v>
      </x:c>
      <x:c r="V1808" s="47" t="n">
        <x:v>17.9</x:v>
      </x:c>
      <x:c r="W1808" s="47" t="n">
        <x:v>0</x:v>
      </x:c>
      <x:c r="X1808" s="47" t="n">
        <x:v>0</x:v>
      </x:c>
      <x:c r="Y1808" s="41" t="n">
        <x:v>0</x:v>
      </x:c>
    </x:row>
    <x:row r="1809">
      <x:c r="A1809" s="38" t="str">
        <x:v>7月30日现场数据</x:v>
      </x:c>
      <x:c r="B1809" s="66" t="str">
        <x:v>2026-08-05T20:17:32.115000</x:v>
      </x:c>
      <x:c r="C1809" s="47" t="n">
        <x:v>300972</x:v>
      </x:c>
      <x:c r="D1809" s="47" t="str"/>
      <x:c r="E1809" s="47" t="str"/>
      <x:c r="F1809" s="47" t="str">
        <x:v>current</x:v>
      </x:c>
      <x:c r="G1809" s="47" t="n">
        <x:v>1805</x:v>
      </x:c>
      <x:c r="H1809" s="53" t="b">
        <x:v>1</x:v>
      </x:c>
      <x:c r="I1809" s="47" t="str">
        <x:v>4109905524</x:v>
      </x:c>
      <x:c r="J1809" s="47" t="n">
        <x:v>161977240</x:v>
      </x:c>
      <x:c r="K1809" s="53" t="b">
        <x:v>1</x:v>
      </x:c>
      <x:c r="L1809" s="53" t="b">
        <x:v>1</x:v>
      </x:c>
      <x:c r="M1809" s="53" t="b">
        <x:v>1</x:v>
      </x:c>
      <x:c r="N1809" s="53" t="b">
        <x:v>1</x:v>
      </x:c>
      <x:c r="O1809" s="53" t="b">
        <x:v>1</x:v>
      </x:c>
      <x:c r="P1809" s="47" t="n">
        <x:v>1008</x:v>
      </x:c>
      <x:c r="Q1809" s="47" t="n">
        <x:v>0</x:v>
      </x:c>
      <x:c r="R1809" s="47" t="n">
        <x:v>0</x:v>
      </x:c>
      <x:c r="S1809" s="47" t="n">
        <x:v>30.59</x:v>
      </x:c>
      <x:c r="T1809" s="47" t="n">
        <x:v>76.82</x:v>
      </x:c>
      <x:c r="U1809" s="47" t="n">
        <x:v>29.8</x:v>
      </x:c>
      <x:c r="V1809" s="47" t="n">
        <x:v>17.8</x:v>
      </x:c>
      <x:c r="W1809" s="47" t="n">
        <x:v>0</x:v>
      </x:c>
      <x:c r="X1809" s="47" t="n">
        <x:v>0</x:v>
      </x:c>
      <x:c r="Y1809" s="41" t="n">
        <x:v>0</x:v>
      </x:c>
    </x:row>
    <x:row r="1810">
      <x:c r="A1810" s="38" t="str">
        <x:v>7月30日现场数据</x:v>
      </x:c>
      <x:c r="B1810" s="66" t="str">
        <x:v>2026-08-05T20:22:33.092000</x:v>
      </x:c>
      <x:c r="C1810" s="47" t="n">
        <x:v>300977</x:v>
      </x:c>
      <x:c r="D1810" s="47" t="str"/>
      <x:c r="E1810" s="47" t="str"/>
      <x:c r="F1810" s="47" t="str">
        <x:v>current</x:v>
      </x:c>
      <x:c r="G1810" s="47" t="n">
        <x:v>1806</x:v>
      </x:c>
      <x:c r="H1810" s="53" t="b">
        <x:v>1</x:v>
      </x:c>
      <x:c r="I1810" s="47" t="str">
        <x:v>4109905524</x:v>
      </x:c>
      <x:c r="J1810" s="47" t="n">
        <x:v>162278217</x:v>
      </x:c>
      <x:c r="K1810" s="53" t="b">
        <x:v>1</x:v>
      </x:c>
      <x:c r="L1810" s="53" t="b">
        <x:v>1</x:v>
      </x:c>
      <x:c r="M1810" s="53" t="b">
        <x:v>1</x:v>
      </x:c>
      <x:c r="N1810" s="53" t="b">
        <x:v>1</x:v>
      </x:c>
      <x:c r="O1810" s="53" t="b">
        <x:v>1</x:v>
      </x:c>
      <x:c r="P1810" s="47" t="n">
        <x:v>1009</x:v>
      </x:c>
      <x:c r="Q1810" s="47" t="n">
        <x:v>0</x:v>
      </x:c>
      <x:c r="R1810" s="47" t="n">
        <x:v>0</x:v>
      </x:c>
      <x:c r="S1810" s="47" t="n">
        <x:v>30.58</x:v>
      </x:c>
      <x:c r="T1810" s="47" t="n">
        <x:v>76.88</x:v>
      </x:c>
      <x:c r="U1810" s="47" t="n">
        <x:v>29.8</x:v>
      </x:c>
      <x:c r="V1810" s="47" t="n">
        <x:v>17.9</x:v>
      </x:c>
      <x:c r="W1810" s="47" t="n">
        <x:v>0</x:v>
      </x:c>
      <x:c r="X1810" s="47" t="n">
        <x:v>0</x:v>
      </x:c>
      <x:c r="Y1810" s="41" t="n">
        <x:v>0</x:v>
      </x:c>
    </x:row>
    <x:row r="1811">
      <x:c r="A1811" s="38" t="str">
        <x:v>7月30日现场数据</x:v>
      </x:c>
      <x:c r="B1811" s="66" t="str">
        <x:v>2026-08-05T20:27:34.067000</x:v>
      </x:c>
      <x:c r="C1811" s="47" t="n">
        <x:v>300975</x:v>
      </x:c>
      <x:c r="D1811" s="47" t="str"/>
      <x:c r="E1811" s="47" t="str"/>
      <x:c r="F1811" s="47" t="str">
        <x:v>current</x:v>
      </x:c>
      <x:c r="G1811" s="47" t="n">
        <x:v>1807</x:v>
      </x:c>
      <x:c r="H1811" s="53" t="b">
        <x:v>1</x:v>
      </x:c>
      <x:c r="I1811" s="47" t="str">
        <x:v>4109905524</x:v>
      </x:c>
      <x:c r="J1811" s="47" t="n">
        <x:v>162579192</x:v>
      </x:c>
      <x:c r="K1811" s="53" t="b">
        <x:v>1</x:v>
      </x:c>
      <x:c r="L1811" s="53" t="b">
        <x:v>1</x:v>
      </x:c>
      <x:c r="M1811" s="53" t="b">
        <x:v>1</x:v>
      </x:c>
      <x:c r="N1811" s="53" t="b">
        <x:v>1</x:v>
      </x:c>
      <x:c r="O1811" s="53" t="b">
        <x:v>1</x:v>
      </x:c>
      <x:c r="P1811" s="47" t="n">
        <x:v>1009</x:v>
      </x:c>
      <x:c r="Q1811" s="47" t="n">
        <x:v>0</x:v>
      </x:c>
      <x:c r="R1811" s="47" t="n">
        <x:v>0</x:v>
      </x:c>
      <x:c r="S1811" s="47" t="n">
        <x:v>30.56</x:v>
      </x:c>
      <x:c r="T1811" s="47" t="n">
        <x:v>76.94</x:v>
      </x:c>
      <x:c r="U1811" s="47" t="n">
        <x:v>29.8</x:v>
      </x:c>
      <x:c r="V1811" s="47" t="n">
        <x:v>17.9</x:v>
      </x:c>
      <x:c r="W1811" s="47" t="n">
        <x:v>0</x:v>
      </x:c>
      <x:c r="X1811" s="47" t="n">
        <x:v>0</x:v>
      </x:c>
      <x:c r="Y1811" s="41" t="n">
        <x:v>0</x:v>
      </x:c>
    </x:row>
    <x:row r="1812">
      <x:c r="A1812" s="38" t="str">
        <x:v>7月30日现场数据</x:v>
      </x:c>
      <x:c r="B1812" s="66" t="str">
        <x:v>2026-08-05T20:32:35.043000</x:v>
      </x:c>
      <x:c r="C1812" s="47" t="n">
        <x:v>300976</x:v>
      </x:c>
      <x:c r="D1812" s="47" t="str"/>
      <x:c r="E1812" s="47" t="str"/>
      <x:c r="F1812" s="47" t="str">
        <x:v>current</x:v>
      </x:c>
      <x:c r="G1812" s="47" t="n">
        <x:v>1808</x:v>
      </x:c>
      <x:c r="H1812" s="53" t="b">
        <x:v>1</x:v>
      </x:c>
      <x:c r="I1812" s="47" t="str">
        <x:v>4109905524</x:v>
      </x:c>
      <x:c r="J1812" s="47" t="n">
        <x:v>162880168</x:v>
      </x:c>
      <x:c r="K1812" s="53" t="b">
        <x:v>1</x:v>
      </x:c>
      <x:c r="L1812" s="53" t="b">
        <x:v>1</x:v>
      </x:c>
      <x:c r="M1812" s="53" t="b">
        <x:v>1</x:v>
      </x:c>
      <x:c r="N1812" s="53" t="b">
        <x:v>1</x:v>
      </x:c>
      <x:c r="O1812" s="53" t="b">
        <x:v>1</x:v>
      </x:c>
      <x:c r="P1812" s="47" t="n">
        <x:v>1009</x:v>
      </x:c>
      <x:c r="Q1812" s="47" t="n">
        <x:v>0</x:v>
      </x:c>
      <x:c r="R1812" s="47" t="n">
        <x:v>0</x:v>
      </x:c>
      <x:c r="S1812" s="47" t="n">
        <x:v>30.55</x:v>
      </x:c>
      <x:c r="T1812" s="47" t="n">
        <x:v>76.9</x:v>
      </x:c>
      <x:c r="U1812" s="47" t="n">
        <x:v>29.8</x:v>
      </x:c>
      <x:c r="V1812" s="47" t="n">
        <x:v>17.9</x:v>
      </x:c>
      <x:c r="W1812" s="47" t="n">
        <x:v>0</x:v>
      </x:c>
      <x:c r="X1812" s="47" t="n">
        <x:v>0</x:v>
      </x:c>
      <x:c r="Y1812" s="41" t="n">
        <x:v>0</x:v>
      </x:c>
    </x:row>
    <x:row r="1813">
      <x:c r="A1813" s="38" t="str">
        <x:v>7月30日现场数据</x:v>
      </x:c>
      <x:c r="B1813" s="66" t="str">
        <x:v>2026-08-05T20:37:36.022000</x:v>
      </x:c>
      <x:c r="C1813" s="47" t="n">
        <x:v>300979</x:v>
      </x:c>
      <x:c r="D1813" s="47" t="str"/>
      <x:c r="E1813" s="47" t="str"/>
      <x:c r="F1813" s="47" t="str">
        <x:v>current</x:v>
      </x:c>
      <x:c r="G1813" s="47" t="n">
        <x:v>1809</x:v>
      </x:c>
      <x:c r="H1813" s="53" t="b">
        <x:v>1</x:v>
      </x:c>
      <x:c r="I1813" s="47" t="str">
        <x:v>4109905524</x:v>
      </x:c>
      <x:c r="J1813" s="47" t="n">
        <x:v>163181147</x:v>
      </x:c>
      <x:c r="K1813" s="53" t="b">
        <x:v>1</x:v>
      </x:c>
      <x:c r="L1813" s="53" t="b">
        <x:v>1</x:v>
      </x:c>
      <x:c r="M1813" s="53" t="b">
        <x:v>1</x:v>
      </x:c>
      <x:c r="N1813" s="53" t="b">
        <x:v>1</x:v>
      </x:c>
      <x:c r="O1813" s="53" t="b">
        <x:v>1</x:v>
      </x:c>
      <x:c r="P1813" s="47" t="n">
        <x:v>1009</x:v>
      </x:c>
      <x:c r="Q1813" s="47" t="n">
        <x:v>0</x:v>
      </x:c>
      <x:c r="R1813" s="47" t="n">
        <x:v>0</x:v>
      </x:c>
      <x:c r="S1813" s="47" t="n">
        <x:v>30.55</x:v>
      </x:c>
      <x:c r="T1813" s="47" t="n">
        <x:v>76.99</x:v>
      </x:c>
      <x:c r="U1813" s="47" t="n">
        <x:v>29.8</x:v>
      </x:c>
      <x:c r="V1813" s="47" t="n">
        <x:v>17.8</x:v>
      </x:c>
      <x:c r="W1813" s="47" t="n">
        <x:v>0</x:v>
      </x:c>
      <x:c r="X1813" s="47" t="n">
        <x:v>0</x:v>
      </x:c>
      <x:c r="Y1813" s="41" t="n">
        <x:v>0</x:v>
      </x:c>
    </x:row>
    <x:row r="1814">
      <x:c r="A1814" s="38" t="str">
        <x:v>7月30日现场数据</x:v>
      </x:c>
      <x:c r="B1814" s="66" t="str">
        <x:v>2026-08-05T20:42:37.005000</x:v>
      </x:c>
      <x:c r="C1814" s="47" t="n">
        <x:v>300983</x:v>
      </x:c>
      <x:c r="D1814" s="47" t="str"/>
      <x:c r="E1814" s="47" t="str"/>
      <x:c r="F1814" s="47" t="str">
        <x:v>current</x:v>
      </x:c>
      <x:c r="G1814" s="47" t="n">
        <x:v>1810</x:v>
      </x:c>
      <x:c r="H1814" s="53" t="b">
        <x:v>1</x:v>
      </x:c>
      <x:c r="I1814" s="47" t="str">
        <x:v>4109905524</x:v>
      </x:c>
      <x:c r="J1814" s="47" t="n">
        <x:v>163482130</x:v>
      </x:c>
      <x:c r="K1814" s="53" t="b">
        <x:v>1</x:v>
      </x:c>
      <x:c r="L1814" s="53" t="b">
        <x:v>1</x:v>
      </x:c>
      <x:c r="M1814" s="53" t="b">
        <x:v>1</x:v>
      </x:c>
      <x:c r="N1814" s="53" t="b">
        <x:v>1</x:v>
      </x:c>
      <x:c r="O1814" s="53" t="b">
        <x:v>1</x:v>
      </x:c>
      <x:c r="P1814" s="47" t="n">
        <x:v>1009</x:v>
      </x:c>
      <x:c r="Q1814" s="47" t="n">
        <x:v>0</x:v>
      </x:c>
      <x:c r="R1814" s="47" t="n">
        <x:v>0</x:v>
      </x:c>
      <x:c r="S1814" s="47" t="n">
        <x:v>30.52</x:v>
      </x:c>
      <x:c r="T1814" s="47" t="n">
        <x:v>77.05</x:v>
      </x:c>
      <x:c r="U1814" s="47" t="n">
        <x:v>29.8</x:v>
      </x:c>
      <x:c r="V1814" s="47" t="n">
        <x:v>17.8</x:v>
      </x:c>
      <x:c r="W1814" s="47" t="n">
        <x:v>0</x:v>
      </x:c>
      <x:c r="X1814" s="47" t="n">
        <x:v>0</x:v>
      </x:c>
      <x:c r="Y1814" s="41" t="n">
        <x:v>0</x:v>
      </x:c>
    </x:row>
    <x:row r="1815">
      <x:c r="A1815" s="38" t="str">
        <x:v>7月30日现场数据</x:v>
      </x:c>
      <x:c r="B1815" s="66" t="str">
        <x:v>2026-08-05T20:47:37.987000</x:v>
      </x:c>
      <x:c r="C1815" s="47" t="n">
        <x:v>300982</x:v>
      </x:c>
      <x:c r="D1815" s="47" t="str"/>
      <x:c r="E1815" s="47" t="str"/>
      <x:c r="F1815" s="47" t="str">
        <x:v>current</x:v>
      </x:c>
      <x:c r="G1815" s="47" t="n">
        <x:v>1811</x:v>
      </x:c>
      <x:c r="H1815" s="53" t="b">
        <x:v>1</x:v>
      </x:c>
      <x:c r="I1815" s="47" t="str">
        <x:v>4109905524</x:v>
      </x:c>
      <x:c r="J1815" s="47" t="n">
        <x:v>163783112</x:v>
      </x:c>
      <x:c r="K1815" s="53" t="b">
        <x:v>1</x:v>
      </x:c>
      <x:c r="L1815" s="53" t="b">
        <x:v>1</x:v>
      </x:c>
      <x:c r="M1815" s="53" t="b">
        <x:v>1</x:v>
      </x:c>
      <x:c r="N1815" s="53" t="b">
        <x:v>1</x:v>
      </x:c>
      <x:c r="O1815" s="53" t="b">
        <x:v>1</x:v>
      </x:c>
      <x:c r="P1815" s="47" t="n">
        <x:v>1009</x:v>
      </x:c>
      <x:c r="Q1815" s="47" t="n">
        <x:v>0</x:v>
      </x:c>
      <x:c r="R1815" s="47" t="n">
        <x:v>0</x:v>
      </x:c>
      <x:c r="S1815" s="47" t="n">
        <x:v>30.5</x:v>
      </x:c>
      <x:c r="T1815" s="47" t="n">
        <x:v>77.05</x:v>
      </x:c>
      <x:c r="U1815" s="47" t="n">
        <x:v>29.7</x:v>
      </x:c>
      <x:c r="V1815" s="47" t="n">
        <x:v>17.8</x:v>
      </x:c>
      <x:c r="W1815" s="47" t="n">
        <x:v>0</x:v>
      </x:c>
      <x:c r="X1815" s="47" t="n">
        <x:v>0</x:v>
      </x:c>
      <x:c r="Y1815" s="41" t="n">
        <x:v>0</x:v>
      </x:c>
    </x:row>
    <x:row r="1816">
      <x:c r="A1816" s="38" t="str">
        <x:v>7月30日现场数据</x:v>
      </x:c>
      <x:c r="B1816" s="66" t="str">
        <x:v>2026-08-05T20:52:38.972000</x:v>
      </x:c>
      <x:c r="C1816" s="47" t="n">
        <x:v>300985</x:v>
      </x:c>
      <x:c r="D1816" s="47" t="str"/>
      <x:c r="E1816" s="47" t="str"/>
      <x:c r="F1816" s="47" t="str">
        <x:v>current</x:v>
      </x:c>
      <x:c r="G1816" s="47" t="n">
        <x:v>1812</x:v>
      </x:c>
      <x:c r="H1816" s="53" t="b">
        <x:v>1</x:v>
      </x:c>
      <x:c r="I1816" s="47" t="str">
        <x:v>4109905524</x:v>
      </x:c>
      <x:c r="J1816" s="47" t="n">
        <x:v>164084097</x:v>
      </x:c>
      <x:c r="K1816" s="53" t="b">
        <x:v>1</x:v>
      </x:c>
      <x:c r="L1816" s="53" t="b">
        <x:v>1</x:v>
      </x:c>
      <x:c r="M1816" s="53" t="b">
        <x:v>1</x:v>
      </x:c>
      <x:c r="N1816" s="53" t="b">
        <x:v>1</x:v>
      </x:c>
      <x:c r="O1816" s="53" t="b">
        <x:v>1</x:v>
      </x:c>
      <x:c r="P1816" s="47" t="n">
        <x:v>1009</x:v>
      </x:c>
      <x:c r="Q1816" s="47" t="n">
        <x:v>0</x:v>
      </x:c>
      <x:c r="R1816" s="47" t="n">
        <x:v>0</x:v>
      </x:c>
      <x:c r="S1816" s="47" t="n">
        <x:v>30.47</x:v>
      </x:c>
      <x:c r="T1816" s="47" t="n">
        <x:v>77.05</x:v>
      </x:c>
      <x:c r="U1816" s="47" t="n">
        <x:v>29.7</x:v>
      </x:c>
      <x:c r="V1816" s="47" t="n">
        <x:v>17.8</x:v>
      </x:c>
      <x:c r="W1816" s="47" t="n">
        <x:v>0</x:v>
      </x:c>
      <x:c r="X1816" s="47" t="n">
        <x:v>0</x:v>
      </x:c>
      <x:c r="Y1816" s="41" t="n">
        <x:v>0</x:v>
      </x:c>
    </x:row>
    <x:row r="1817">
      <x:c r="A1817" s="38" t="str">
        <x:v>7月30日现场数据</x:v>
      </x:c>
      <x:c r="B1817" s="66" t="str">
        <x:v>2026-08-05T20:57:39.958000</x:v>
      </x:c>
      <x:c r="C1817" s="47" t="n">
        <x:v>300986</x:v>
      </x:c>
      <x:c r="D1817" s="47" t="str"/>
      <x:c r="E1817" s="47" t="str"/>
      <x:c r="F1817" s="47" t="str">
        <x:v>current</x:v>
      </x:c>
      <x:c r="G1817" s="47" t="n">
        <x:v>1813</x:v>
      </x:c>
      <x:c r="H1817" s="53" t="b">
        <x:v>1</x:v>
      </x:c>
      <x:c r="I1817" s="47" t="str">
        <x:v>4109905524</x:v>
      </x:c>
      <x:c r="J1817" s="47" t="n">
        <x:v>164385083</x:v>
      </x:c>
      <x:c r="K1817" s="53" t="b">
        <x:v>1</x:v>
      </x:c>
      <x:c r="L1817" s="53" t="b">
        <x:v>1</x:v>
      </x:c>
      <x:c r="M1817" s="53" t="b">
        <x:v>1</x:v>
      </x:c>
      <x:c r="N1817" s="53" t="b">
        <x:v>1</x:v>
      </x:c>
      <x:c r="O1817" s="53" t="b">
        <x:v>1</x:v>
      </x:c>
      <x:c r="P1817" s="47" t="n">
        <x:v>1009</x:v>
      </x:c>
      <x:c r="Q1817" s="47" t="n">
        <x:v>0</x:v>
      </x:c>
      <x:c r="R1817" s="47" t="n">
        <x:v>0</x:v>
      </x:c>
      <x:c r="S1817" s="47" t="n">
        <x:v>30.46</x:v>
      </x:c>
      <x:c r="T1817" s="47" t="n">
        <x:v>77.12</x:v>
      </x:c>
      <x:c r="U1817" s="47" t="n">
        <x:v>29.8</x:v>
      </x:c>
      <x:c r="V1817" s="47" t="n">
        <x:v>17.8</x:v>
      </x:c>
      <x:c r="W1817" s="47" t="n">
        <x:v>0</x:v>
      </x:c>
      <x:c r="X1817" s="47" t="n">
        <x:v>0</x:v>
      </x:c>
      <x:c r="Y1817" s="41" t="n">
        <x:v>0</x:v>
      </x:c>
    </x:row>
    <x:row r="1818">
      <x:c r="A1818" s="38" t="str">
        <x:v>7月30日现场数据</x:v>
      </x:c>
      <x:c r="B1818" s="66" t="str">
        <x:v>2026-08-05T21:02:40.978000</x:v>
      </x:c>
      <x:c r="C1818" s="47" t="n">
        <x:v>301020</x:v>
      </x:c>
      <x:c r="D1818" s="47" t="str"/>
      <x:c r="E1818" s="47" t="str"/>
      <x:c r="F1818" s="47" t="str">
        <x:v>current</x:v>
      </x:c>
      <x:c r="G1818" s="47" t="n">
        <x:v>1814</x:v>
      </x:c>
      <x:c r="H1818" s="53" t="b">
        <x:v>1</x:v>
      </x:c>
      <x:c r="I1818" s="47" t="str">
        <x:v>4109905524</x:v>
      </x:c>
      <x:c r="J1818" s="47" t="n">
        <x:v>164686103</x:v>
      </x:c>
      <x:c r="K1818" s="53" t="b">
        <x:v>1</x:v>
      </x:c>
      <x:c r="L1818" s="53" t="b">
        <x:v>1</x:v>
      </x:c>
      <x:c r="M1818" s="53" t="b">
        <x:v>1</x:v>
      </x:c>
      <x:c r="N1818" s="53" t="b">
        <x:v>1</x:v>
      </x:c>
      <x:c r="O1818" s="53" t="b">
        <x:v>1</x:v>
      </x:c>
      <x:c r="P1818" s="47" t="n">
        <x:v>1009</x:v>
      </x:c>
      <x:c r="Q1818" s="47" t="n">
        <x:v>0</x:v>
      </x:c>
      <x:c r="R1818" s="47" t="n">
        <x:v>0</x:v>
      </x:c>
      <x:c r="S1818" s="47" t="n">
        <x:v>30.42</x:v>
      </x:c>
      <x:c r="T1818" s="47" t="n">
        <x:v>77.15</x:v>
      </x:c>
      <x:c r="U1818" s="47" t="n">
        <x:v>29.8</x:v>
      </x:c>
      <x:c r="V1818" s="47" t="n">
        <x:v>17.8</x:v>
      </x:c>
      <x:c r="W1818" s="47" t="n">
        <x:v>0</x:v>
      </x:c>
      <x:c r="X1818" s="47" t="n">
        <x:v>0</x:v>
      </x:c>
      <x:c r="Y1818" s="41" t="n">
        <x:v>0</x:v>
      </x:c>
    </x:row>
    <x:row r="1819">
      <x:c r="A1819" s="38" t="str">
        <x:v>7月30日现场数据</x:v>
      </x:c>
      <x:c r="B1819" s="66" t="str">
        <x:v>2026-08-05T21:07:41.942000</x:v>
      </x:c>
      <x:c r="C1819" s="47" t="n">
        <x:v>300964</x:v>
      </x:c>
      <x:c r="D1819" s="47" t="str"/>
      <x:c r="E1819" s="47" t="str"/>
      <x:c r="F1819" s="47" t="str">
        <x:v>current</x:v>
      </x:c>
      <x:c r="G1819" s="47" t="n">
        <x:v>1815</x:v>
      </x:c>
      <x:c r="H1819" s="53" t="b">
        <x:v>1</x:v>
      </x:c>
      <x:c r="I1819" s="47" t="str">
        <x:v>4109905524</x:v>
      </x:c>
      <x:c r="J1819" s="47" t="n">
        <x:v>164987067</x:v>
      </x:c>
      <x:c r="K1819" s="53" t="b">
        <x:v>1</x:v>
      </x:c>
      <x:c r="L1819" s="53" t="b">
        <x:v>1</x:v>
      </x:c>
      <x:c r="M1819" s="53" t="b">
        <x:v>1</x:v>
      </x:c>
      <x:c r="N1819" s="53" t="b">
        <x:v>1</x:v>
      </x:c>
      <x:c r="O1819" s="53" t="b">
        <x:v>1</x:v>
      </x:c>
      <x:c r="P1819" s="47" t="n">
        <x:v>1009</x:v>
      </x:c>
      <x:c r="Q1819" s="47" t="n">
        <x:v>0</x:v>
      </x:c>
      <x:c r="R1819" s="47" t="n">
        <x:v>0</x:v>
      </x:c>
      <x:c r="S1819" s="47" t="n">
        <x:v>30.41</x:v>
      </x:c>
      <x:c r="T1819" s="47" t="n">
        <x:v>77.27</x:v>
      </x:c>
      <x:c r="U1819" s="47" t="n">
        <x:v>29.7</x:v>
      </x:c>
      <x:c r="V1819" s="47" t="n">
        <x:v>17.8</x:v>
      </x:c>
      <x:c r="W1819" s="47" t="n">
        <x:v>0</x:v>
      </x:c>
      <x:c r="X1819" s="47" t="n">
        <x:v>0</x:v>
      </x:c>
      <x:c r="Y1819" s="41" t="n">
        <x:v>0</x:v>
      </x:c>
    </x:row>
    <x:row r="1820">
      <x:c r="A1820" s="38" t="str">
        <x:v>7月30日现场数据</x:v>
      </x:c>
      <x:c r="B1820" s="66" t="str">
        <x:v>2026-08-05T21:12:42.907000</x:v>
      </x:c>
      <x:c r="C1820" s="47" t="n">
        <x:v>300965</x:v>
      </x:c>
      <x:c r="D1820" s="47" t="str"/>
      <x:c r="E1820" s="47" t="str"/>
      <x:c r="F1820" s="47" t="str">
        <x:v>current</x:v>
      </x:c>
      <x:c r="G1820" s="47" t="n">
        <x:v>1816</x:v>
      </x:c>
      <x:c r="H1820" s="53" t="b">
        <x:v>1</x:v>
      </x:c>
      <x:c r="I1820" s="47" t="str">
        <x:v>4109905524</x:v>
      </x:c>
      <x:c r="J1820" s="47" t="n">
        <x:v>165288032</x:v>
      </x:c>
      <x:c r="K1820" s="53" t="b">
        <x:v>1</x:v>
      </x:c>
      <x:c r="L1820" s="53" t="b">
        <x:v>1</x:v>
      </x:c>
      <x:c r="M1820" s="53" t="b">
        <x:v>1</x:v>
      </x:c>
      <x:c r="N1820" s="53" t="b">
        <x:v>1</x:v>
      </x:c>
      <x:c r="O1820" s="53" t="b">
        <x:v>1</x:v>
      </x:c>
      <x:c r="P1820" s="47" t="n">
        <x:v>1009</x:v>
      </x:c>
      <x:c r="Q1820" s="47" t="n">
        <x:v>0</x:v>
      </x:c>
      <x:c r="R1820" s="47" t="n">
        <x:v>0</x:v>
      </x:c>
      <x:c r="S1820" s="47" t="n">
        <x:v>30.4</x:v>
      </x:c>
      <x:c r="T1820" s="47" t="n">
        <x:v>77.27</x:v>
      </x:c>
      <x:c r="U1820" s="47" t="n">
        <x:v>29.7</x:v>
      </x:c>
      <x:c r="V1820" s="47" t="n">
        <x:v>17.8</x:v>
      </x:c>
      <x:c r="W1820" s="47" t="n">
        <x:v>0</x:v>
      </x:c>
      <x:c r="X1820" s="47" t="n">
        <x:v>0</x:v>
      </x:c>
      <x:c r="Y1820" s="41" t="n">
        <x:v>0</x:v>
      </x:c>
    </x:row>
    <x:row r="1821">
      <x:c r="A1821" s="38" t="str">
        <x:v>7月30日现场数据</x:v>
      </x:c>
      <x:c r="B1821" s="66" t="str">
        <x:v>2026-08-05T21:17:43.878000</x:v>
      </x:c>
      <x:c r="C1821" s="47" t="n">
        <x:v>300971</x:v>
      </x:c>
      <x:c r="D1821" s="47" t="str"/>
      <x:c r="E1821" s="47" t="str"/>
      <x:c r="F1821" s="47" t="str">
        <x:v>current</x:v>
      </x:c>
      <x:c r="G1821" s="47" t="n">
        <x:v>1817</x:v>
      </x:c>
      <x:c r="H1821" s="53" t="b">
        <x:v>1</x:v>
      </x:c>
      <x:c r="I1821" s="47" t="str">
        <x:v>4109905524</x:v>
      </x:c>
      <x:c r="J1821" s="47" t="n">
        <x:v>165589003</x:v>
      </x:c>
      <x:c r="K1821" s="53" t="b">
        <x:v>1</x:v>
      </x:c>
      <x:c r="L1821" s="53" t="b">
        <x:v>1</x:v>
      </x:c>
      <x:c r="M1821" s="53" t="b">
        <x:v>1</x:v>
      </x:c>
      <x:c r="N1821" s="53" t="b">
        <x:v>1</x:v>
      </x:c>
      <x:c r="O1821" s="53" t="b">
        <x:v>1</x:v>
      </x:c>
      <x:c r="P1821" s="47" t="n">
        <x:v>1009</x:v>
      </x:c>
      <x:c r="Q1821" s="47" t="n">
        <x:v>0</x:v>
      </x:c>
      <x:c r="R1821" s="47" t="n">
        <x:v>0</x:v>
      </x:c>
      <x:c r="S1821" s="47" t="n">
        <x:v>30.4</x:v>
      </x:c>
      <x:c r="T1821" s="47" t="n">
        <x:v>77.29</x:v>
      </x:c>
      <x:c r="U1821" s="47" t="n">
        <x:v>29.7</x:v>
      </x:c>
      <x:c r="V1821" s="47" t="n">
        <x:v>17.8</x:v>
      </x:c>
      <x:c r="W1821" s="47" t="n">
        <x:v>0</x:v>
      </x:c>
      <x:c r="X1821" s="47" t="n">
        <x:v>0</x:v>
      </x:c>
      <x:c r="Y1821" s="41" t="n">
        <x:v>0</x:v>
      </x:c>
    </x:row>
    <x:row r="1822">
      <x:c r="A1822" s="38" t="str">
        <x:v>7月30日现场数据</x:v>
      </x:c>
      <x:c r="B1822" s="66" t="str">
        <x:v>2026-08-05T21:22:44.846000</x:v>
      </x:c>
      <x:c r="C1822" s="47" t="n">
        <x:v>300968</x:v>
      </x:c>
      <x:c r="D1822" s="47" t="str"/>
      <x:c r="E1822" s="47" t="str"/>
      <x:c r="F1822" s="47" t="str">
        <x:v>current</x:v>
      </x:c>
      <x:c r="G1822" s="47" t="n">
        <x:v>1818</x:v>
      </x:c>
      <x:c r="H1822" s="53" t="b">
        <x:v>1</x:v>
      </x:c>
      <x:c r="I1822" s="47" t="str">
        <x:v>4109905524</x:v>
      </x:c>
      <x:c r="J1822" s="47" t="n">
        <x:v>165889971</x:v>
      </x:c>
      <x:c r="K1822" s="53" t="b">
        <x:v>1</x:v>
      </x:c>
      <x:c r="L1822" s="53" t="b">
        <x:v>1</x:v>
      </x:c>
      <x:c r="M1822" s="53" t="b">
        <x:v>1</x:v>
      </x:c>
      <x:c r="N1822" s="53" t="b">
        <x:v>1</x:v>
      </x:c>
      <x:c r="O1822" s="53" t="b">
        <x:v>1</x:v>
      </x:c>
      <x:c r="P1822" s="47" t="n">
        <x:v>1009</x:v>
      </x:c>
      <x:c r="Q1822" s="47" t="n">
        <x:v>0</x:v>
      </x:c>
      <x:c r="R1822" s="47" t="n">
        <x:v>0</x:v>
      </x:c>
      <x:c r="S1822" s="47" t="n">
        <x:v>30.38</x:v>
      </x:c>
      <x:c r="T1822" s="47" t="n">
        <x:v>77.37</x:v>
      </x:c>
      <x:c r="U1822" s="47" t="n">
        <x:v>29.7</x:v>
      </x:c>
      <x:c r="V1822" s="47" t="n">
        <x:v>17.8</x:v>
      </x:c>
      <x:c r="W1822" s="47" t="n">
        <x:v>0</x:v>
      </x:c>
      <x:c r="X1822" s="47" t="n">
        <x:v>0</x:v>
      </x:c>
      <x:c r="Y1822" s="41" t="n">
        <x:v>0</x:v>
      </x:c>
    </x:row>
    <x:row r="1823">
      <x:c r="A1823" s="38" t="str">
        <x:v>7月30日现场数据</x:v>
      </x:c>
      <x:c r="B1823" s="66" t="str">
        <x:v>2026-08-05T21:27:45.817000</x:v>
      </x:c>
      <x:c r="C1823" s="47" t="n">
        <x:v>300971</x:v>
      </x:c>
      <x:c r="D1823" s="47" t="str"/>
      <x:c r="E1823" s="47" t="str"/>
      <x:c r="F1823" s="47" t="str">
        <x:v>current</x:v>
      </x:c>
      <x:c r="G1823" s="47" t="n">
        <x:v>1819</x:v>
      </x:c>
      <x:c r="H1823" s="53" t="b">
        <x:v>1</x:v>
      </x:c>
      <x:c r="I1823" s="47" t="str">
        <x:v>4109905524</x:v>
      </x:c>
      <x:c r="J1823" s="47" t="n">
        <x:v>166190942</x:v>
      </x:c>
      <x:c r="K1823" s="53" t="b">
        <x:v>1</x:v>
      </x:c>
      <x:c r="L1823" s="53" t="b">
        <x:v>1</x:v>
      </x:c>
      <x:c r="M1823" s="53" t="b">
        <x:v>1</x:v>
      </x:c>
      <x:c r="N1823" s="53" t="b">
        <x:v>1</x:v>
      </x:c>
      <x:c r="O1823" s="53" t="b">
        <x:v>1</x:v>
      </x:c>
      <x:c r="P1823" s="47" t="n">
        <x:v>1009</x:v>
      </x:c>
      <x:c r="Q1823" s="47" t="n">
        <x:v>0</x:v>
      </x:c>
      <x:c r="R1823" s="47" t="n">
        <x:v>0</x:v>
      </x:c>
      <x:c r="S1823" s="47" t="n">
        <x:v>30.35</x:v>
      </x:c>
      <x:c r="T1823" s="47" t="n">
        <x:v>77.36</x:v>
      </x:c>
      <x:c r="U1823" s="47" t="n">
        <x:v>29.7</x:v>
      </x:c>
      <x:c r="V1823" s="47" t="n">
        <x:v>17.8</x:v>
      </x:c>
      <x:c r="W1823" s="47" t="n">
        <x:v>0</x:v>
      </x:c>
      <x:c r="X1823" s="47" t="n">
        <x:v>0</x:v>
      </x:c>
      <x:c r="Y1823" s="41" t="n">
        <x:v>0</x:v>
      </x:c>
    </x:row>
    <x:row r="1824">
      <x:c r="A1824" s="38" t="str">
        <x:v>7月30日现场数据</x:v>
      </x:c>
      <x:c r="B1824" s="66" t="str">
        <x:v>2026-08-05T21:32:46.790000</x:v>
      </x:c>
      <x:c r="C1824" s="47" t="n">
        <x:v>300973</x:v>
      </x:c>
      <x:c r="D1824" s="47" t="str"/>
      <x:c r="E1824" s="47" t="str"/>
      <x:c r="F1824" s="47" t="str">
        <x:v>current</x:v>
      </x:c>
      <x:c r="G1824" s="47" t="n">
        <x:v>1820</x:v>
      </x:c>
      <x:c r="H1824" s="53" t="b">
        <x:v>1</x:v>
      </x:c>
      <x:c r="I1824" s="47" t="str">
        <x:v>4109905524</x:v>
      </x:c>
      <x:c r="J1824" s="47" t="n">
        <x:v>166491915</x:v>
      </x:c>
      <x:c r="K1824" s="53" t="b">
        <x:v>1</x:v>
      </x:c>
      <x:c r="L1824" s="53" t="b">
        <x:v>1</x:v>
      </x:c>
      <x:c r="M1824" s="53" t="b">
        <x:v>1</x:v>
      </x:c>
      <x:c r="N1824" s="53" t="b">
        <x:v>1</x:v>
      </x:c>
      <x:c r="O1824" s="53" t="b">
        <x:v>1</x:v>
      </x:c>
      <x:c r="P1824" s="47" t="n">
        <x:v>1009</x:v>
      </x:c>
      <x:c r="Q1824" s="47" t="n">
        <x:v>0</x:v>
      </x:c>
      <x:c r="R1824" s="47" t="n">
        <x:v>0</x:v>
      </x:c>
      <x:c r="S1824" s="47" t="n">
        <x:v>30.31</x:v>
      </x:c>
      <x:c r="T1824" s="47" t="n">
        <x:v>77.41</x:v>
      </x:c>
      <x:c r="U1824" s="47" t="n">
        <x:v>29.7</x:v>
      </x:c>
      <x:c r="V1824" s="47" t="n">
        <x:v>17.7</x:v>
      </x:c>
      <x:c r="W1824" s="47" t="n">
        <x:v>0</x:v>
      </x:c>
      <x:c r="X1824" s="47" t="n">
        <x:v>0</x:v>
      </x:c>
      <x:c r="Y1824" s="41" t="n">
        <x:v>0</x:v>
      </x:c>
    </x:row>
    <x:row r="1825">
      <x:c r="A1825" s="38" t="str">
        <x:v>7月30日现场数据</x:v>
      </x:c>
      <x:c r="B1825" s="66" t="str">
        <x:v>2026-08-05T21:37:47.766000</x:v>
      </x:c>
      <x:c r="C1825" s="47" t="n">
        <x:v>300976</x:v>
      </x:c>
      <x:c r="D1825" s="47" t="str"/>
      <x:c r="E1825" s="47" t="str"/>
      <x:c r="F1825" s="47" t="str">
        <x:v>current</x:v>
      </x:c>
      <x:c r="G1825" s="47" t="n">
        <x:v>1821</x:v>
      </x:c>
      <x:c r="H1825" s="53" t="b">
        <x:v>1</x:v>
      </x:c>
      <x:c r="I1825" s="47" t="str">
        <x:v>4109905524</x:v>
      </x:c>
      <x:c r="J1825" s="47" t="n">
        <x:v>166792891</x:v>
      </x:c>
      <x:c r="K1825" s="53" t="b">
        <x:v>1</x:v>
      </x:c>
      <x:c r="L1825" s="53" t="b">
        <x:v>1</x:v>
      </x:c>
      <x:c r="M1825" s="53" t="b">
        <x:v>1</x:v>
      </x:c>
      <x:c r="N1825" s="53" t="b">
        <x:v>1</x:v>
      </x:c>
      <x:c r="O1825" s="53" t="b">
        <x:v>1</x:v>
      </x:c>
      <x:c r="P1825" s="47" t="n">
        <x:v>1009</x:v>
      </x:c>
      <x:c r="Q1825" s="47" t="n">
        <x:v>0.006</x:v>
      </x:c>
      <x:c r="R1825" s="47" t="n">
        <x:v>0.165</x:v>
      </x:c>
      <x:c r="S1825" s="47" t="n">
        <x:v>30.25</x:v>
      </x:c>
      <x:c r="T1825" s="47" t="n">
        <x:v>77.44</x:v>
      </x:c>
      <x:c r="U1825" s="47" t="n">
        <x:v>29.7</x:v>
      </x:c>
      <x:c r="V1825" s="47" t="n">
        <x:v>17.8</x:v>
      </x:c>
      <x:c r="W1825" s="47" t="n">
        <x:v>0</x:v>
      </x:c>
      <x:c r="X1825" s="47" t="n">
        <x:v>0</x:v>
      </x:c>
      <x:c r="Y1825" s="41" t="n">
        <x:v>0</x:v>
      </x:c>
    </x:row>
    <x:row r="1826">
      <x:c r="A1826" s="38" t="str">
        <x:v>7月30日现场数据</x:v>
      </x:c>
      <x:c r="B1826" s="66" t="str">
        <x:v>2026-08-05T21:42:48.741000</x:v>
      </x:c>
      <x:c r="C1826" s="47" t="n">
        <x:v>300975</x:v>
      </x:c>
      <x:c r="D1826" s="47" t="str"/>
      <x:c r="E1826" s="47" t="str"/>
      <x:c r="F1826" s="47" t="str">
        <x:v>current</x:v>
      </x:c>
      <x:c r="G1826" s="47" t="n">
        <x:v>1822</x:v>
      </x:c>
      <x:c r="H1826" s="53" t="b">
        <x:v>1</x:v>
      </x:c>
      <x:c r="I1826" s="47" t="str">
        <x:v>4109905524</x:v>
      </x:c>
      <x:c r="J1826" s="47" t="n">
        <x:v>167093866</x:v>
      </x:c>
      <x:c r="K1826" s="53" t="b">
        <x:v>1</x:v>
      </x:c>
      <x:c r="L1826" s="53" t="b">
        <x:v>1</x:v>
      </x:c>
      <x:c r="M1826" s="53" t="b">
        <x:v>1</x:v>
      </x:c>
      <x:c r="N1826" s="53" t="b">
        <x:v>1</x:v>
      </x:c>
      <x:c r="O1826" s="53" t="b">
        <x:v>1</x:v>
      </x:c>
      <x:c r="P1826" s="47" t="n">
        <x:v>1009</x:v>
      </x:c>
      <x:c r="Q1826" s="47" t="n">
        <x:v>0.028</x:v>
      </x:c>
      <x:c r="R1826" s="47" t="n">
        <x:v>0.758</x:v>
      </x:c>
      <x:c r="S1826" s="47" t="n">
        <x:v>30.24</x:v>
      </x:c>
      <x:c r="T1826" s="47" t="n">
        <x:v>77.42</x:v>
      </x:c>
      <x:c r="U1826" s="47" t="n">
        <x:v>29.7</x:v>
      </x:c>
      <x:c r="V1826" s="47" t="n">
        <x:v>17.8</x:v>
      </x:c>
      <x:c r="W1826" s="47" t="n">
        <x:v>0</x:v>
      </x:c>
      <x:c r="X1826" s="47" t="n">
        <x:v>0</x:v>
      </x:c>
      <x:c r="Y1826" s="41" t="n">
        <x:v>0</x:v>
      </x:c>
    </x:row>
    <x:row r="1827">
      <x:c r="A1827" s="38" t="str">
        <x:v>7月30日现场数据</x:v>
      </x:c>
      <x:c r="B1827" s="66" t="str">
        <x:v>2026-08-05T21:47:49.719000</x:v>
      </x:c>
      <x:c r="C1827" s="47" t="n">
        <x:v>300978</x:v>
      </x:c>
      <x:c r="D1827" s="47" t="str"/>
      <x:c r="E1827" s="47" t="str"/>
      <x:c r="F1827" s="47" t="str">
        <x:v>current</x:v>
      </x:c>
      <x:c r="G1827" s="47" t="n">
        <x:v>1823</x:v>
      </x:c>
      <x:c r="H1827" s="53" t="b">
        <x:v>1</x:v>
      </x:c>
      <x:c r="I1827" s="47" t="str">
        <x:v>4109905524</x:v>
      </x:c>
      <x:c r="J1827" s="47" t="n">
        <x:v>167394844</x:v>
      </x:c>
      <x:c r="K1827" s="53" t="b">
        <x:v>1</x:v>
      </x:c>
      <x:c r="L1827" s="53" t="b">
        <x:v>1</x:v>
      </x:c>
      <x:c r="M1827" s="53" t="b">
        <x:v>1</x:v>
      </x:c>
      <x:c r="N1827" s="53" t="b">
        <x:v>1</x:v>
      </x:c>
      <x:c r="O1827" s="53" t="b">
        <x:v>1</x:v>
      </x:c>
      <x:c r="P1827" s="47" t="n">
        <x:v>1009</x:v>
      </x:c>
      <x:c r="Q1827" s="47" t="n">
        <x:v>0.115</x:v>
      </x:c>
      <x:c r="R1827" s="47" t="n">
        <x:v>3.099</x:v>
      </x:c>
      <x:c r="S1827" s="47" t="n">
        <x:v>30.26</x:v>
      </x:c>
      <x:c r="T1827" s="47" t="n">
        <x:v>77.51</x:v>
      </x:c>
      <x:c r="U1827" s="47" t="n">
        <x:v>29.6</x:v>
      </x:c>
      <x:c r="V1827" s="47" t="n">
        <x:v>17.7</x:v>
      </x:c>
      <x:c r="W1827" s="47" t="n">
        <x:v>0</x:v>
      </x:c>
      <x:c r="X1827" s="47" t="n">
        <x:v>0</x:v>
      </x:c>
      <x:c r="Y1827" s="41" t="n">
        <x:v>0</x:v>
      </x:c>
    </x:row>
    <x:row r="1828">
      <x:c r="A1828" s="38" t="str">
        <x:v>7月30日现场数据</x:v>
      </x:c>
      <x:c r="B1828" s="66" t="str">
        <x:v>2026-08-05T21:52:50.700000</x:v>
      </x:c>
      <x:c r="C1828" s="47" t="n">
        <x:v>300981</x:v>
      </x:c>
      <x:c r="D1828" s="47" t="str"/>
      <x:c r="E1828" s="47" t="str"/>
      <x:c r="F1828" s="47" t="str">
        <x:v>current</x:v>
      </x:c>
      <x:c r="G1828" s="47" t="n">
        <x:v>1824</x:v>
      </x:c>
      <x:c r="H1828" s="53" t="b">
        <x:v>1</x:v>
      </x:c>
      <x:c r="I1828" s="47" t="str">
        <x:v>4109905524</x:v>
      </x:c>
      <x:c r="J1828" s="47" t="n">
        <x:v>167695825</x:v>
      </x:c>
      <x:c r="K1828" s="53" t="b">
        <x:v>1</x:v>
      </x:c>
      <x:c r="L1828" s="53" t="b">
        <x:v>1</x:v>
      </x:c>
      <x:c r="M1828" s="53" t="b">
        <x:v>1</x:v>
      </x:c>
      <x:c r="N1828" s="53" t="b">
        <x:v>1</x:v>
      </x:c>
      <x:c r="O1828" s="53" t="b">
        <x:v>1</x:v>
      </x:c>
      <x:c r="P1828" s="47" t="n">
        <x:v>1009</x:v>
      </x:c>
      <x:c r="Q1828" s="47" t="n">
        <x:v>0</x:v>
      </x:c>
      <x:c r="R1828" s="47" t="n">
        <x:v>0</x:v>
      </x:c>
      <x:c r="S1828" s="47" t="n">
        <x:v>30.29</x:v>
      </x:c>
      <x:c r="T1828" s="47" t="n">
        <x:v>77.58</x:v>
      </x:c>
      <x:c r="U1828" s="47" t="n">
        <x:v>29.6</x:v>
      </x:c>
      <x:c r="V1828" s="47" t="n">
        <x:v>17.7</x:v>
      </x:c>
      <x:c r="W1828" s="47" t="n">
        <x:v>0</x:v>
      </x:c>
      <x:c r="X1828" s="47" t="n">
        <x:v>0</x:v>
      </x:c>
      <x:c r="Y1828" s="41" t="n">
        <x:v>0</x:v>
      </x:c>
    </x:row>
    <x:row r="1829">
      <x:c r="A1829" s="38" t="str">
        <x:v>7月30日现场数据</x:v>
      </x:c>
      <x:c r="B1829" s="66" t="str">
        <x:v>2026-08-05T21:57:51.684000</x:v>
      </x:c>
      <x:c r="C1829" s="47" t="n">
        <x:v>300984</x:v>
      </x:c>
      <x:c r="D1829" s="47" t="str"/>
      <x:c r="E1829" s="47" t="str"/>
      <x:c r="F1829" s="47" t="str">
        <x:v>current</x:v>
      </x:c>
      <x:c r="G1829" s="47" t="n">
        <x:v>1825</x:v>
      </x:c>
      <x:c r="H1829" s="53" t="b">
        <x:v>1</x:v>
      </x:c>
      <x:c r="I1829" s="47" t="str">
        <x:v>4109905524</x:v>
      </x:c>
      <x:c r="J1829" s="47" t="n">
        <x:v>167996809</x:v>
      </x:c>
      <x:c r="K1829" s="53" t="b">
        <x:v>1</x:v>
      </x:c>
      <x:c r="L1829" s="53" t="b">
        <x:v>1</x:v>
      </x:c>
      <x:c r="M1829" s="53" t="b">
        <x:v>1</x:v>
      </x:c>
      <x:c r="N1829" s="53" t="b">
        <x:v>1</x:v>
      </x:c>
      <x:c r="O1829" s="53" t="b">
        <x:v>1</x:v>
      </x:c>
      <x:c r="P1829" s="47" t="n">
        <x:v>1009</x:v>
      </x:c>
      <x:c r="Q1829" s="47" t="n">
        <x:v>0</x:v>
      </x:c>
      <x:c r="R1829" s="47" t="n">
        <x:v>0</x:v>
      </x:c>
      <x:c r="S1829" s="47" t="n">
        <x:v>30.24</x:v>
      </x:c>
      <x:c r="T1829" s="47" t="n">
        <x:v>77.64</x:v>
      </x:c>
      <x:c r="U1829" s="47" t="n">
        <x:v>29.6</x:v>
      </x:c>
      <x:c r="V1829" s="47" t="n">
        <x:v>17.7</x:v>
      </x:c>
      <x:c r="W1829" s="47" t="n">
        <x:v>0</x:v>
      </x:c>
      <x:c r="X1829" s="47" t="n">
        <x:v>0</x:v>
      </x:c>
      <x:c r="Y1829" s="41" t="n">
        <x:v>0</x:v>
      </x:c>
    </x:row>
    <x:row r="1830">
      <x:c r="A1830" s="38" t="str">
        <x:v>7月30日现场数据</x:v>
      </x:c>
      <x:c r="B1830" s="66" t="str">
        <x:v>2026-08-05T22:02:52.666000</x:v>
      </x:c>
      <x:c r="C1830" s="47" t="n">
        <x:v>300982</x:v>
      </x:c>
      <x:c r="D1830" s="47" t="str"/>
      <x:c r="E1830" s="47" t="str"/>
      <x:c r="F1830" s="47" t="str">
        <x:v>current</x:v>
      </x:c>
      <x:c r="G1830" s="47" t="n">
        <x:v>1826</x:v>
      </x:c>
      <x:c r="H1830" s="53" t="b">
        <x:v>1</x:v>
      </x:c>
      <x:c r="I1830" s="47" t="str">
        <x:v>4109905524</x:v>
      </x:c>
      <x:c r="J1830" s="47" t="n">
        <x:v>168297791</x:v>
      </x:c>
      <x:c r="K1830" s="53" t="b">
        <x:v>1</x:v>
      </x:c>
      <x:c r="L1830" s="53" t="b">
        <x:v>1</x:v>
      </x:c>
      <x:c r="M1830" s="53" t="b">
        <x:v>1</x:v>
      </x:c>
      <x:c r="N1830" s="53" t="b">
        <x:v>1</x:v>
      </x:c>
      <x:c r="O1830" s="53" t="b">
        <x:v>1</x:v>
      </x:c>
      <x:c r="P1830" s="47" t="n">
        <x:v>1009</x:v>
      </x:c>
      <x:c r="Q1830" s="47" t="n">
        <x:v>0</x:v>
      </x:c>
      <x:c r="R1830" s="47" t="n">
        <x:v>0</x:v>
      </x:c>
      <x:c r="S1830" s="47" t="n">
        <x:v>30.23</x:v>
      </x:c>
      <x:c r="T1830" s="47" t="n">
        <x:v>77.7</x:v>
      </x:c>
      <x:c r="U1830" s="47" t="n">
        <x:v>29.6</x:v>
      </x:c>
      <x:c r="V1830" s="47" t="n">
        <x:v>17.7</x:v>
      </x:c>
      <x:c r="W1830" s="47" t="n">
        <x:v>0</x:v>
      </x:c>
      <x:c r="X1830" s="47" t="n">
        <x:v>0</x:v>
      </x:c>
      <x:c r="Y1830" s="41" t="n">
        <x:v>0</x:v>
      </x:c>
    </x:row>
    <x:row r="1831">
      <x:c r="A1831" s="38" t="str">
        <x:v>7月30日现场数据</x:v>
      </x:c>
      <x:c r="B1831" s="66" t="str">
        <x:v>2026-08-05T22:07:53.651000</x:v>
      </x:c>
      <x:c r="C1831" s="47" t="n">
        <x:v>300985</x:v>
      </x:c>
      <x:c r="D1831" s="47" t="str"/>
      <x:c r="E1831" s="47" t="str"/>
      <x:c r="F1831" s="47" t="str">
        <x:v>current</x:v>
      </x:c>
      <x:c r="G1831" s="47" t="n">
        <x:v>1827</x:v>
      </x:c>
      <x:c r="H1831" s="53" t="b">
        <x:v>1</x:v>
      </x:c>
      <x:c r="I1831" s="47" t="str">
        <x:v>4109905524</x:v>
      </x:c>
      <x:c r="J1831" s="47" t="n">
        <x:v>168598776</x:v>
      </x:c>
      <x:c r="K1831" s="53" t="b">
        <x:v>1</x:v>
      </x:c>
      <x:c r="L1831" s="53" t="b">
        <x:v>1</x:v>
      </x:c>
      <x:c r="M1831" s="53" t="b">
        <x:v>1</x:v>
      </x:c>
      <x:c r="N1831" s="53" t="b">
        <x:v>1</x:v>
      </x:c>
      <x:c r="O1831" s="53" t="b">
        <x:v>1</x:v>
      </x:c>
      <x:c r="P1831" s="47" t="n">
        <x:v>1009</x:v>
      </x:c>
      <x:c r="Q1831" s="47" t="n">
        <x:v>0</x:v>
      </x:c>
      <x:c r="R1831" s="47" t="n">
        <x:v>0</x:v>
      </x:c>
      <x:c r="S1831" s="47" t="n">
        <x:v>30.2</x:v>
      </x:c>
      <x:c r="T1831" s="47" t="n">
        <x:v>77.72</x:v>
      </x:c>
      <x:c r="U1831" s="47" t="n">
        <x:v>29.6</x:v>
      </x:c>
      <x:c r="V1831" s="47" t="n">
        <x:v>17.7</x:v>
      </x:c>
      <x:c r="W1831" s="47" t="n">
        <x:v>0</x:v>
      </x:c>
      <x:c r="X1831" s="47" t="n">
        <x:v>0</x:v>
      </x:c>
      <x:c r="Y1831" s="41" t="n">
        <x:v>0</x:v>
      </x:c>
    </x:row>
    <x:row r="1832">
      <x:c r="A1832" s="38" t="str">
        <x:v>7月30日现场数据</x:v>
      </x:c>
      <x:c r="B1832" s="66" t="str">
        <x:v>2026-08-05T22:12:54.639000</x:v>
      </x:c>
      <x:c r="C1832" s="47" t="n">
        <x:v>300988</x:v>
      </x:c>
      <x:c r="D1832" s="47" t="str"/>
      <x:c r="E1832" s="47" t="str"/>
      <x:c r="F1832" s="47" t="str">
        <x:v>current</x:v>
      </x:c>
      <x:c r="G1832" s="47" t="n">
        <x:v>1828</x:v>
      </x:c>
      <x:c r="H1832" s="53" t="b">
        <x:v>1</x:v>
      </x:c>
      <x:c r="I1832" s="47" t="str">
        <x:v>4109905524</x:v>
      </x:c>
      <x:c r="J1832" s="47" t="n">
        <x:v>168899764</x:v>
      </x:c>
      <x:c r="K1832" s="53" t="b">
        <x:v>1</x:v>
      </x:c>
      <x:c r="L1832" s="53" t="b">
        <x:v>1</x:v>
      </x:c>
      <x:c r="M1832" s="53" t="b">
        <x:v>1</x:v>
      </x:c>
      <x:c r="N1832" s="53" t="b">
        <x:v>1</x:v>
      </x:c>
      <x:c r="O1832" s="53" t="b">
        <x:v>1</x:v>
      </x:c>
      <x:c r="P1832" s="47" t="n">
        <x:v>1009</x:v>
      </x:c>
      <x:c r="Q1832" s="47" t="n">
        <x:v>0</x:v>
      </x:c>
      <x:c r="R1832" s="47" t="n">
        <x:v>0</x:v>
      </x:c>
      <x:c r="S1832" s="47" t="n">
        <x:v>30.16</x:v>
      </x:c>
      <x:c r="T1832" s="47" t="n">
        <x:v>77.77</x:v>
      </x:c>
      <x:c r="U1832" s="47" t="n">
        <x:v>29.6</x:v>
      </x:c>
      <x:c r="V1832" s="47" t="n">
        <x:v>17.7</x:v>
      </x:c>
      <x:c r="W1832" s="47" t="n">
        <x:v>0</x:v>
      </x:c>
      <x:c r="X1832" s="47" t="n">
        <x:v>0</x:v>
      </x:c>
      <x:c r="Y1832" s="41" t="n">
        <x:v>0</x:v>
      </x:c>
    </x:row>
    <x:row r="1833">
      <x:c r="A1833" s="38" t="str">
        <x:v>7月30日现场数据</x:v>
      </x:c>
      <x:c r="B1833" s="66" t="str">
        <x:v>2026-08-05T22:17:55.630000</x:v>
      </x:c>
      <x:c r="C1833" s="47" t="n">
        <x:v>300991</x:v>
      </x:c>
      <x:c r="D1833" s="47" t="str"/>
      <x:c r="E1833" s="47" t="str"/>
      <x:c r="F1833" s="47" t="str">
        <x:v>current</x:v>
      </x:c>
      <x:c r="G1833" s="47" t="n">
        <x:v>1829</x:v>
      </x:c>
      <x:c r="H1833" s="53" t="b">
        <x:v>1</x:v>
      </x:c>
      <x:c r="I1833" s="47" t="str">
        <x:v>4109905524</x:v>
      </x:c>
      <x:c r="J1833" s="47" t="n">
        <x:v>169200755</x:v>
      </x:c>
      <x:c r="K1833" s="53" t="b">
        <x:v>1</x:v>
      </x:c>
      <x:c r="L1833" s="53" t="b">
        <x:v>1</x:v>
      </x:c>
      <x:c r="M1833" s="53" t="b">
        <x:v>1</x:v>
      </x:c>
      <x:c r="N1833" s="53" t="b">
        <x:v>1</x:v>
      </x:c>
      <x:c r="O1833" s="53" t="b">
        <x:v>1</x:v>
      </x:c>
      <x:c r="P1833" s="47" t="n">
        <x:v>1009</x:v>
      </x:c>
      <x:c r="Q1833" s="47" t="n">
        <x:v>0</x:v>
      </x:c>
      <x:c r="R1833" s="47" t="n">
        <x:v>0</x:v>
      </x:c>
      <x:c r="S1833" s="47" t="n">
        <x:v>30.13</x:v>
      </x:c>
      <x:c r="T1833" s="47" t="n">
        <x:v>77.78</x:v>
      </x:c>
      <x:c r="U1833" s="47" t="n">
        <x:v>29.6</x:v>
      </x:c>
      <x:c r="V1833" s="47" t="n">
        <x:v>17.7</x:v>
      </x:c>
      <x:c r="W1833" s="47" t="n">
        <x:v>0</x:v>
      </x:c>
      <x:c r="X1833" s="47" t="n">
        <x:v>0</x:v>
      </x:c>
      <x:c r="Y1833" s="41" t="n">
        <x:v>0</x:v>
      </x:c>
    </x:row>
    <x:row r="1834">
      <x:c r="A1834" s="38" t="str">
        <x:v>7月30日现场数据</x:v>
      </x:c>
      <x:c r="B1834" s="66" t="str">
        <x:v>2026-08-05T22:22:56.651000</x:v>
      </x:c>
      <x:c r="C1834" s="47" t="n">
        <x:v>301021</x:v>
      </x:c>
      <x:c r="D1834" s="47" t="str"/>
      <x:c r="E1834" s="47" t="str"/>
      <x:c r="F1834" s="47" t="str">
        <x:v>current</x:v>
      </x:c>
      <x:c r="G1834" s="47" t="n">
        <x:v>1830</x:v>
      </x:c>
      <x:c r="H1834" s="53" t="b">
        <x:v>1</x:v>
      </x:c>
      <x:c r="I1834" s="47" t="str">
        <x:v>4109905524</x:v>
      </x:c>
      <x:c r="J1834" s="47" t="n">
        <x:v>169501776</x:v>
      </x:c>
      <x:c r="K1834" s="53" t="b">
        <x:v>1</x:v>
      </x:c>
      <x:c r="L1834" s="53" t="b">
        <x:v>1</x:v>
      </x:c>
      <x:c r="M1834" s="53" t="b">
        <x:v>1</x:v>
      </x:c>
      <x:c r="N1834" s="53" t="b">
        <x:v>1</x:v>
      </x:c>
      <x:c r="O1834" s="53" t="b">
        <x:v>1</x:v>
      </x:c>
      <x:c r="P1834" s="47" t="n">
        <x:v>1009</x:v>
      </x:c>
      <x:c r="Q1834" s="47" t="n">
        <x:v>0</x:v>
      </x:c>
      <x:c r="R1834" s="47" t="n">
        <x:v>0</x:v>
      </x:c>
      <x:c r="S1834" s="47" t="n">
        <x:v>30.06</x:v>
      </x:c>
      <x:c r="T1834" s="47" t="n">
        <x:v>77.81</x:v>
      </x:c>
      <x:c r="U1834" s="47" t="n">
        <x:v>29.6</x:v>
      </x:c>
      <x:c r="V1834" s="47" t="n">
        <x:v>17.7</x:v>
      </x:c>
      <x:c r="W1834" s="47" t="n">
        <x:v>0</x:v>
      </x:c>
      <x:c r="X1834" s="47" t="n">
        <x:v>0</x:v>
      </x:c>
      <x:c r="Y1834" s="41" t="n">
        <x:v>0</x:v>
      </x:c>
    </x:row>
    <x:row r="1835">
      <x:c r="A1835" s="38" t="str">
        <x:v>7月29日现场数据</x:v>
      </x:c>
      <x:c r="B1835" s="66" t="str">
        <x:v>2026-07-29T00:30:00</x:v>
      </x:c>
      <x:c r="C1835" s="47"/>
      <x:c r="D1835" s="47" t="str"/>
      <x:c r="E1835" s="47" t="str"/>
      <x:c r="F1835" s="47" t="str">
        <x:v>current</x:v>
      </x:c>
      <x:c r="G1835" s="47" t="n">
        <x:v>0</x:v>
      </x:c>
      <x:c r="H1835" s="53" t="b">
        <x:v>1</x:v>
      </x:c>
      <x:c r="I1835" s="47" t="str">
        <x:v>578202819</x:v>
      </x:c>
      <x:c r="J1835" s="47" t="n">
        <x:v>28545</x:v>
      </x:c>
      <x:c r="K1835" s="53" t="b">
        <x:v>1</x:v>
      </x:c>
      <x:c r="L1835" s="53" t="b">
        <x:v>1</x:v>
      </x:c>
      <x:c r="M1835" s="53" t="b">
        <x:v>1</x:v>
      </x:c>
      <x:c r="N1835" s="53" t="b">
        <x:v>1</x:v>
      </x:c>
      <x:c r="O1835" s="53" t="b">
        <x:v>1</x:v>
      </x:c>
      <x:c r="P1835" s="47" t="n">
        <x:v>1014</x:v>
      </x:c>
      <x:c r="Q1835" s="47" t="n">
        <x:v>0</x:v>
      </x:c>
      <x:c r="R1835" s="47" t="n">
        <x:v>0</x:v>
      </x:c>
      <x:c r="S1835" s="47" t="n">
        <x:v>28.06</x:v>
      </x:c>
      <x:c r="T1835" s="47" t="n">
        <x:v>68.83</x:v>
      </x:c>
      <x:c r="U1835" s="47" t="n">
        <x:v>30.3</x:v>
      </x:c>
      <x:c r="V1835" s="47" t="n">
        <x:v>6.7</x:v>
      </x:c>
      <x:c r="W1835" s="47" t="n">
        <x:v>0</x:v>
      </x:c>
      <x:c r="X1835" s="47" t="n">
        <x:v>0</x:v>
      </x:c>
      <x:c r="Y1835" s="41" t="n">
        <x:v>0</x:v>
      </x:c>
    </x:row>
    <x:row r="1836">
      <x:c r="A1836" s="38" t="str">
        <x:v>7月29日现场数据</x:v>
      </x:c>
      <x:c r="B1836" s="66" t="str">
        <x:v>2026-07-29T00:35:00.954000</x:v>
      </x:c>
      <x:c r="C1836" s="47" t="n">
        <x:v>300954</x:v>
      </x:c>
      <x:c r="D1836" s="47" t="str"/>
      <x:c r="E1836" s="47" t="str"/>
      <x:c r="F1836" s="47" t="str">
        <x:v>current</x:v>
      </x:c>
      <x:c r="G1836" s="47" t="n">
        <x:v>1</x:v>
      </x:c>
      <x:c r="H1836" s="53" t="b">
        <x:v>1</x:v>
      </x:c>
      <x:c r="I1836" s="47" t="str">
        <x:v>578202819</x:v>
      </x:c>
      <x:c r="J1836" s="47" t="n">
        <x:v>329499</x:v>
      </x:c>
      <x:c r="K1836" s="53" t="b">
        <x:v>1</x:v>
      </x:c>
      <x:c r="L1836" s="53" t="b">
        <x:v>1</x:v>
      </x:c>
      <x:c r="M1836" s="53" t="b">
        <x:v>1</x:v>
      </x:c>
      <x:c r="N1836" s="53" t="b">
        <x:v>1</x:v>
      </x:c>
      <x:c r="O1836" s="53" t="b">
        <x:v>1</x:v>
      </x:c>
      <x:c r="P1836" s="47" t="n">
        <x:v>1013</x:v>
      </x:c>
      <x:c r="Q1836" s="47" t="n">
        <x:v>0</x:v>
      </x:c>
      <x:c r="R1836" s="47" t="n">
        <x:v>0</x:v>
      </x:c>
      <x:c r="S1836" s="47" t="n">
        <x:v>29.46</x:v>
      </x:c>
      <x:c r="T1836" s="47" t="n">
        <x:v>69.53</x:v>
      </x:c>
      <x:c r="U1836" s="47" t="n">
        <x:v>30.4</x:v>
      </x:c>
      <x:c r="V1836" s="47" t="n">
        <x:v>13.4</x:v>
      </x:c>
      <x:c r="W1836" s="47" t="n">
        <x:v>0</x:v>
      </x:c>
      <x:c r="X1836" s="47" t="n">
        <x:v>0</x:v>
      </x:c>
      <x:c r="Y1836" s="41" t="n">
        <x:v>0</x:v>
      </x:c>
    </x:row>
    <x:row r="1837">
      <x:c r="A1837" s="38" t="str">
        <x:v>7月29日现场数据</x:v>
      </x:c>
      <x:c r="B1837" s="66" t="str">
        <x:v>2026-07-29T00:40:01.905000</x:v>
      </x:c>
      <x:c r="C1837" s="47" t="n">
        <x:v>300951</x:v>
      </x:c>
      <x:c r="D1837" s="47" t="str"/>
      <x:c r="E1837" s="47" t="str"/>
      <x:c r="F1837" s="47" t="str">
        <x:v>current</x:v>
      </x:c>
      <x:c r="G1837" s="47" t="n">
        <x:v>2</x:v>
      </x:c>
      <x:c r="H1837" s="53" t="b">
        <x:v>1</x:v>
      </x:c>
      <x:c r="I1837" s="47" t="str">
        <x:v>578202819</x:v>
      </x:c>
      <x:c r="J1837" s="47" t="n">
        <x:v>630450</x:v>
      </x:c>
      <x:c r="K1837" s="53" t="b">
        <x:v>1</x:v>
      </x:c>
      <x:c r="L1837" s="53" t="b">
        <x:v>1</x:v>
      </x:c>
      <x:c r="M1837" s="53" t="b">
        <x:v>1</x:v>
      </x:c>
      <x:c r="N1837" s="53" t="b">
        <x:v>1</x:v>
      </x:c>
      <x:c r="O1837" s="53" t="b">
        <x:v>1</x:v>
      </x:c>
      <x:c r="P1837" s="47" t="n">
        <x:v>1013</x:v>
      </x:c>
      <x:c r="Q1837" s="47" t="n">
        <x:v>0</x:v>
      </x:c>
      <x:c r="R1837" s="47" t="n">
        <x:v>0</x:v>
      </x:c>
      <x:c r="S1837" s="47" t="n">
        <x:v>29.86</x:v>
      </x:c>
      <x:c r="T1837" s="47" t="n">
        <x:v>69.86</x:v>
      </x:c>
      <x:c r="U1837" s="47" t="n">
        <x:v>30.4</x:v>
      </x:c>
      <x:c r="V1837" s="47" t="n">
        <x:v>13.6</x:v>
      </x:c>
      <x:c r="W1837" s="47" t="n">
        <x:v>0</x:v>
      </x:c>
      <x:c r="X1837" s="47" t="n">
        <x:v>0</x:v>
      </x:c>
      <x:c r="Y1837" s="41" t="n">
        <x:v>0</x:v>
      </x:c>
    </x:row>
    <x:row r="1838">
      <x:c r="A1838" s="38" t="str">
        <x:v>7月29日现场数据</x:v>
      </x:c>
      <x:c r="B1838" s="66" t="str">
        <x:v>2026-07-29T00:45:02.859000</x:v>
      </x:c>
      <x:c r="C1838" s="47" t="n">
        <x:v>300954</x:v>
      </x:c>
      <x:c r="D1838" s="47" t="str"/>
      <x:c r="E1838" s="47" t="str"/>
      <x:c r="F1838" s="47" t="str">
        <x:v>current</x:v>
      </x:c>
      <x:c r="G1838" s="47" t="n">
        <x:v>3</x:v>
      </x:c>
      <x:c r="H1838" s="53" t="b">
        <x:v>1</x:v>
      </x:c>
      <x:c r="I1838" s="47" t="str">
        <x:v>578202819</x:v>
      </x:c>
      <x:c r="J1838" s="47" t="n">
        <x:v>931404</x:v>
      </x:c>
      <x:c r="K1838" s="53" t="b">
        <x:v>1</x:v>
      </x:c>
      <x:c r="L1838" s="53" t="b">
        <x:v>1</x:v>
      </x:c>
      <x:c r="M1838" s="53" t="b">
        <x:v>1</x:v>
      </x:c>
      <x:c r="N1838" s="53" t="b">
        <x:v>1</x:v>
      </x:c>
      <x:c r="O1838" s="53" t="b">
        <x:v>1</x:v>
      </x:c>
      <x:c r="P1838" s="47" t="n">
        <x:v>1013</x:v>
      </x:c>
      <x:c r="Q1838" s="47" t="n">
        <x:v>0</x:v>
      </x:c>
      <x:c r="R1838" s="47" t="n">
        <x:v>0</x:v>
      </x:c>
      <x:c r="S1838" s="47" t="n">
        <x:v>30.02</x:v>
      </x:c>
      <x:c r="T1838" s="47" t="n">
        <x:v>70.02</x:v>
      </x:c>
      <x:c r="U1838" s="47" t="n">
        <x:v>30.4</x:v>
      </x:c>
      <x:c r="V1838" s="47" t="n">
        <x:v>13.6</x:v>
      </x:c>
      <x:c r="W1838" s="47" t="n">
        <x:v>0</x:v>
      </x:c>
      <x:c r="X1838" s="47" t="n">
        <x:v>0</x:v>
      </x:c>
      <x:c r="Y1838" s="41" t="n">
        <x:v>0</x:v>
      </x:c>
    </x:row>
    <x:row r="1839">
      <x:c r="A1839" s="38" t="str">
        <x:v>7月29日现场数据</x:v>
      </x:c>
      <x:c r="B1839" s="66" t="str">
        <x:v>2026-07-29T00:50:03.818000</x:v>
      </x:c>
      <x:c r="C1839" s="47" t="n">
        <x:v>300959</x:v>
      </x:c>
      <x:c r="D1839" s="47" t="str"/>
      <x:c r="E1839" s="47" t="str"/>
      <x:c r="F1839" s="47" t="str">
        <x:v>current</x:v>
      </x:c>
      <x:c r="G1839" s="47" t="n">
        <x:v>4</x:v>
      </x:c>
      <x:c r="H1839" s="53" t="b">
        <x:v>1</x:v>
      </x:c>
      <x:c r="I1839" s="47" t="str">
        <x:v>578202819</x:v>
      </x:c>
      <x:c r="J1839" s="47" t="n">
        <x:v>1232363</x:v>
      </x:c>
      <x:c r="K1839" s="53" t="b">
        <x:v>1</x:v>
      </x:c>
      <x:c r="L1839" s="53" t="b">
        <x:v>1</x:v>
      </x:c>
      <x:c r="M1839" s="53" t="b">
        <x:v>1</x:v>
      </x:c>
      <x:c r="N1839" s="53" t="b">
        <x:v>1</x:v>
      </x:c>
      <x:c r="O1839" s="53" t="b">
        <x:v>1</x:v>
      </x:c>
      <x:c r="P1839" s="47" t="n">
        <x:v>1013</x:v>
      </x:c>
      <x:c r="Q1839" s="47" t="n">
        <x:v>0</x:v>
      </x:c>
      <x:c r="R1839" s="47" t="n">
        <x:v>0</x:v>
      </x:c>
      <x:c r="S1839" s="47" t="n">
        <x:v>30.09</x:v>
      </x:c>
      <x:c r="T1839" s="47" t="n">
        <x:v>70.11</x:v>
      </x:c>
      <x:c r="U1839" s="47" t="n">
        <x:v>30.3</x:v>
      </x:c>
      <x:c r="V1839" s="47" t="n">
        <x:v>13.6</x:v>
      </x:c>
      <x:c r="W1839" s="47" t="n">
        <x:v>0</x:v>
      </x:c>
      <x:c r="X1839" s="47" t="n">
        <x:v>0</x:v>
      </x:c>
      <x:c r="Y1839" s="41" t="n">
        <x:v>0</x:v>
      </x:c>
    </x:row>
    <x:row r="1840">
      <x:c r="A1840" s="38" t="str">
        <x:v>7月29日现场数据</x:v>
      </x:c>
      <x:c r="B1840" s="66" t="str">
        <x:v>2026-07-29T00:55:04.779000</x:v>
      </x:c>
      <x:c r="C1840" s="47" t="n">
        <x:v>300961</x:v>
      </x:c>
      <x:c r="D1840" s="47" t="str"/>
      <x:c r="E1840" s="47" t="str"/>
      <x:c r="F1840" s="47" t="str">
        <x:v>current</x:v>
      </x:c>
      <x:c r="G1840" s="47" t="n">
        <x:v>5</x:v>
      </x:c>
      <x:c r="H1840" s="53" t="b">
        <x:v>1</x:v>
      </x:c>
      <x:c r="I1840" s="47" t="str">
        <x:v>578202819</x:v>
      </x:c>
      <x:c r="J1840" s="47" t="n">
        <x:v>1533324</x:v>
      </x:c>
      <x:c r="K1840" s="53" t="b">
        <x:v>1</x:v>
      </x:c>
      <x:c r="L1840" s="53" t="b">
        <x:v>1</x:v>
      </x:c>
      <x:c r="M1840" s="53" t="b">
        <x:v>1</x:v>
      </x:c>
      <x:c r="N1840" s="53" t="b">
        <x:v>1</x:v>
      </x:c>
      <x:c r="O1840" s="53" t="b">
        <x:v>1</x:v>
      </x:c>
      <x:c r="P1840" s="47" t="n">
        <x:v>1013</x:v>
      </x:c>
      <x:c r="Q1840" s="47" t="n">
        <x:v>0</x:v>
      </x:c>
      <x:c r="R1840" s="47" t="n">
        <x:v>0</x:v>
      </x:c>
      <x:c r="S1840" s="47" t="n">
        <x:v>30.15</x:v>
      </x:c>
      <x:c r="T1840" s="47" t="n">
        <x:v>70.15</x:v>
      </x:c>
      <x:c r="U1840" s="47" t="n">
        <x:v>30.3</x:v>
      </x:c>
      <x:c r="V1840" s="47" t="n">
        <x:v>13.6</x:v>
      </x:c>
      <x:c r="W1840" s="47" t="n">
        <x:v>0</x:v>
      </x:c>
      <x:c r="X1840" s="47" t="n">
        <x:v>0</x:v>
      </x:c>
      <x:c r="Y1840" s="41" t="n">
        <x:v>0</x:v>
      </x:c>
    </x:row>
    <x:row r="1841">
      <x:c r="A1841" s="38" t="str">
        <x:v>7月29日现场数据</x:v>
      </x:c>
      <x:c r="B1841" s="66" t="str">
        <x:v>2026-07-29T01:00:05.744000</x:v>
      </x:c>
      <x:c r="C1841" s="47" t="n">
        <x:v>300965</x:v>
      </x:c>
      <x:c r="D1841" s="47" t="str"/>
      <x:c r="E1841" s="47" t="str"/>
      <x:c r="F1841" s="47" t="str">
        <x:v>current</x:v>
      </x:c>
      <x:c r="G1841" s="47" t="n">
        <x:v>6</x:v>
      </x:c>
      <x:c r="H1841" s="53" t="b">
        <x:v>1</x:v>
      </x:c>
      <x:c r="I1841" s="47" t="str">
        <x:v>578202819</x:v>
      </x:c>
      <x:c r="J1841" s="47" t="n">
        <x:v>1834289</x:v>
      </x:c>
      <x:c r="K1841" s="53" t="b">
        <x:v>1</x:v>
      </x:c>
      <x:c r="L1841" s="53" t="b">
        <x:v>1</x:v>
      </x:c>
      <x:c r="M1841" s="53" t="b">
        <x:v>1</x:v>
      </x:c>
      <x:c r="N1841" s="53" t="b">
        <x:v>1</x:v>
      </x:c>
      <x:c r="O1841" s="53" t="b">
        <x:v>1</x:v>
      </x:c>
      <x:c r="P1841" s="47" t="n">
        <x:v>1013</x:v>
      </x:c>
      <x:c r="Q1841" s="47" t="n">
        <x:v>0</x:v>
      </x:c>
      <x:c r="R1841" s="47" t="n">
        <x:v>0</x:v>
      </x:c>
      <x:c r="S1841" s="47" t="n">
        <x:v>30.18</x:v>
      </x:c>
      <x:c r="T1841" s="47" t="n">
        <x:v>70.16</x:v>
      </x:c>
      <x:c r="U1841" s="47" t="n">
        <x:v>30.3</x:v>
      </x:c>
      <x:c r="V1841" s="47" t="n">
        <x:v>13.6</x:v>
      </x:c>
      <x:c r="W1841" s="47" t="n">
        <x:v>0</x:v>
      </x:c>
      <x:c r="X1841" s="47" t="n">
        <x:v>0</x:v>
      </x:c>
      <x:c r="Y1841" s="41" t="n">
        <x:v>0</x:v>
      </x:c>
    </x:row>
    <x:row r="1842">
      <x:c r="A1842" s="38" t="str">
        <x:v>7月29日现场数据</x:v>
      </x:c>
      <x:c r="B1842" s="66" t="str">
        <x:v>2026-07-29T01:05:06.733000</x:v>
      </x:c>
      <x:c r="C1842" s="47" t="n">
        <x:v>300989</x:v>
      </x:c>
      <x:c r="D1842" s="47" t="str"/>
      <x:c r="E1842" s="47" t="str"/>
      <x:c r="F1842" s="47" t="str">
        <x:v>current</x:v>
      </x:c>
      <x:c r="G1842" s="47" t="n">
        <x:v>7</x:v>
      </x:c>
      <x:c r="H1842" s="53" t="b">
        <x:v>1</x:v>
      </x:c>
      <x:c r="I1842" s="47" t="str">
        <x:v>578202819</x:v>
      </x:c>
      <x:c r="J1842" s="47" t="n">
        <x:v>2135278</x:v>
      </x:c>
      <x:c r="K1842" s="53" t="b">
        <x:v>1</x:v>
      </x:c>
      <x:c r="L1842" s="53" t="b">
        <x:v>1</x:v>
      </x:c>
      <x:c r="M1842" s="53" t="b">
        <x:v>1</x:v>
      </x:c>
      <x:c r="N1842" s="53" t="b">
        <x:v>1</x:v>
      </x:c>
      <x:c r="O1842" s="53" t="b">
        <x:v>1</x:v>
      </x:c>
      <x:c r="P1842" s="47" t="n">
        <x:v>1013</x:v>
      </x:c>
      <x:c r="Q1842" s="47" t="n">
        <x:v>0</x:v>
      </x:c>
      <x:c r="R1842" s="47" t="n">
        <x:v>0</x:v>
      </x:c>
      <x:c r="S1842" s="47" t="n">
        <x:v>30.15</x:v>
      </x:c>
      <x:c r="T1842" s="47" t="n">
        <x:v>70.21</x:v>
      </x:c>
      <x:c r="U1842" s="47" t="n">
        <x:v>30.3</x:v>
      </x:c>
      <x:c r="V1842" s="47" t="n">
        <x:v>13.5</x:v>
      </x:c>
      <x:c r="W1842" s="47" t="n">
        <x:v>0</x:v>
      </x:c>
      <x:c r="X1842" s="47" t="n">
        <x:v>0</x:v>
      </x:c>
      <x:c r="Y1842" s="41" t="n">
        <x:v>0</x:v>
      </x:c>
    </x:row>
    <x:row r="1843">
      <x:c r="A1843" s="38" t="str">
        <x:v>7月29日现场数据</x:v>
      </x:c>
      <x:c r="B1843" s="66" t="str">
        <x:v>2026-07-29T01:10:07.688000</x:v>
      </x:c>
      <x:c r="C1843" s="47" t="n">
        <x:v>300955</x:v>
      </x:c>
      <x:c r="D1843" s="47" t="str"/>
      <x:c r="E1843" s="47" t="str"/>
      <x:c r="F1843" s="47" t="str">
        <x:v>current</x:v>
      </x:c>
      <x:c r="G1843" s="47" t="n">
        <x:v>8</x:v>
      </x:c>
      <x:c r="H1843" s="53" t="b">
        <x:v>1</x:v>
      </x:c>
      <x:c r="I1843" s="47" t="str">
        <x:v>578202819</x:v>
      </x:c>
      <x:c r="J1843" s="47" t="n">
        <x:v>2436233</x:v>
      </x:c>
      <x:c r="K1843" s="53" t="b">
        <x:v>1</x:v>
      </x:c>
      <x:c r="L1843" s="53" t="b">
        <x:v>1</x:v>
      </x:c>
      <x:c r="M1843" s="53" t="b">
        <x:v>1</x:v>
      </x:c>
      <x:c r="N1843" s="53" t="b">
        <x:v>1</x:v>
      </x:c>
      <x:c r="O1843" s="53" t="b">
        <x:v>1</x:v>
      </x:c>
      <x:c r="P1843" s="47" t="n">
        <x:v>1013</x:v>
      </x:c>
      <x:c r="Q1843" s="47" t="n">
        <x:v>0</x:v>
      </x:c>
      <x:c r="R1843" s="47" t="n">
        <x:v>0</x:v>
      </x:c>
      <x:c r="S1843" s="47" t="n">
        <x:v>30.16</x:v>
      </x:c>
      <x:c r="T1843" s="47" t="n">
        <x:v>70.17</x:v>
      </x:c>
      <x:c r="U1843" s="47" t="n">
        <x:v>30.3</x:v>
      </x:c>
      <x:c r="V1843" s="47" t="n">
        <x:v>13.6</x:v>
      </x:c>
      <x:c r="W1843" s="47" t="n">
        <x:v>0</x:v>
      </x:c>
      <x:c r="X1843" s="47" t="n">
        <x:v>0</x:v>
      </x:c>
      <x:c r="Y1843" s="41" t="n">
        <x:v>0</x:v>
      </x:c>
    </x:row>
    <x:row r="1844">
      <x:c r="A1844" s="38" t="str">
        <x:v>7月29日现场数据</x:v>
      </x:c>
      <x:c r="B1844" s="66" t="str">
        <x:v>2026-07-29T01:15:08.648000</x:v>
      </x:c>
      <x:c r="C1844" s="47" t="n">
        <x:v>300960</x:v>
      </x:c>
      <x:c r="D1844" s="47" t="str"/>
      <x:c r="E1844" s="47" t="str"/>
      <x:c r="F1844" s="47" t="str">
        <x:v>current</x:v>
      </x:c>
      <x:c r="G1844" s="47" t="n">
        <x:v>9</x:v>
      </x:c>
      <x:c r="H1844" s="53" t="b">
        <x:v>1</x:v>
      </x:c>
      <x:c r="I1844" s="47" t="str">
        <x:v>578202819</x:v>
      </x:c>
      <x:c r="J1844" s="47" t="n">
        <x:v>2737193</x:v>
      </x:c>
      <x:c r="K1844" s="53" t="b">
        <x:v>1</x:v>
      </x:c>
      <x:c r="L1844" s="53" t="b">
        <x:v>1</x:v>
      </x:c>
      <x:c r="M1844" s="53" t="b">
        <x:v>1</x:v>
      </x:c>
      <x:c r="N1844" s="53" t="b">
        <x:v>1</x:v>
      </x:c>
      <x:c r="O1844" s="53" t="b">
        <x:v>1</x:v>
      </x:c>
      <x:c r="P1844" s="47" t="n">
        <x:v>1013</x:v>
      </x:c>
      <x:c r="Q1844" s="47" t="n">
        <x:v>0</x:v>
      </x:c>
      <x:c r="R1844" s="47" t="n">
        <x:v>0</x:v>
      </x:c>
      <x:c r="S1844" s="47" t="n">
        <x:v>30.14</x:v>
      </x:c>
      <x:c r="T1844" s="47" t="n">
        <x:v>70.18</x:v>
      </x:c>
      <x:c r="U1844" s="47" t="n">
        <x:v>30.3</x:v>
      </x:c>
      <x:c r="V1844" s="47" t="n">
        <x:v>13.7</x:v>
      </x:c>
      <x:c r="W1844" s="47" t="n">
        <x:v>0</x:v>
      </x:c>
      <x:c r="X1844" s="47" t="n">
        <x:v>0</x:v>
      </x:c>
      <x:c r="Y1844" s="41" t="n">
        <x:v>0</x:v>
      </x:c>
    </x:row>
    <x:row r="1845">
      <x:c r="A1845" s="38" t="str">
        <x:v>7月29日现场数据</x:v>
      </x:c>
      <x:c r="B1845" s="66" t="str">
        <x:v>2026-07-29T01:20:09.631000</x:v>
      </x:c>
      <x:c r="C1845" s="47" t="n">
        <x:v>300983</x:v>
      </x:c>
      <x:c r="D1845" s="47" t="str"/>
      <x:c r="E1845" s="47" t="str"/>
      <x:c r="F1845" s="47" t="str">
        <x:v>current</x:v>
      </x:c>
      <x:c r="G1845" s="47" t="n">
        <x:v>10</x:v>
      </x:c>
      <x:c r="H1845" s="53" t="b">
        <x:v>1</x:v>
      </x:c>
      <x:c r="I1845" s="47" t="str">
        <x:v>578202819</x:v>
      </x:c>
      <x:c r="J1845" s="47" t="n">
        <x:v>3038176</x:v>
      </x:c>
      <x:c r="K1845" s="53" t="b">
        <x:v>1</x:v>
      </x:c>
      <x:c r="L1845" s="53" t="b">
        <x:v>1</x:v>
      </x:c>
      <x:c r="M1845" s="53" t="b">
        <x:v>1</x:v>
      </x:c>
      <x:c r="N1845" s="53" t="b">
        <x:v>1</x:v>
      </x:c>
      <x:c r="O1845" s="53" t="b">
        <x:v>1</x:v>
      </x:c>
      <x:c r="P1845" s="47" t="n">
        <x:v>1013</x:v>
      </x:c>
      <x:c r="Q1845" s="47" t="n">
        <x:v>0</x:v>
      </x:c>
      <x:c r="R1845" s="47" t="n">
        <x:v>0</x:v>
      </x:c>
      <x:c r="S1845" s="47" t="n">
        <x:v>30.15</x:v>
      </x:c>
      <x:c r="T1845" s="47" t="n">
        <x:v>70.19</x:v>
      </x:c>
      <x:c r="U1845" s="47" t="n">
        <x:v>30.3</x:v>
      </x:c>
      <x:c r="V1845" s="47" t="n">
        <x:v>13.6</x:v>
      </x:c>
      <x:c r="W1845" s="47" t="n">
        <x:v>0</x:v>
      </x:c>
      <x:c r="X1845" s="47" t="n">
        <x:v>0</x:v>
      </x:c>
      <x:c r="Y1845" s="41" t="n">
        <x:v>0</x:v>
      </x:c>
    </x:row>
    <x:row r="1846">
      <x:c r="A1846" s="38" t="str">
        <x:v>7月29日现场数据</x:v>
      </x:c>
      <x:c r="B1846" s="66" t="str">
        <x:v>2026-07-29T01:25:10.583000</x:v>
      </x:c>
      <x:c r="C1846" s="47" t="n">
        <x:v>300952</x:v>
      </x:c>
      <x:c r="D1846" s="47" t="str"/>
      <x:c r="E1846" s="47" t="str"/>
      <x:c r="F1846" s="47" t="str">
        <x:v>current</x:v>
      </x:c>
      <x:c r="G1846" s="47" t="n">
        <x:v>11</x:v>
      </x:c>
      <x:c r="H1846" s="53" t="b">
        <x:v>1</x:v>
      </x:c>
      <x:c r="I1846" s="47" t="str">
        <x:v>578202819</x:v>
      </x:c>
      <x:c r="J1846" s="47" t="n">
        <x:v>3339128</x:v>
      </x:c>
      <x:c r="K1846" s="53" t="b">
        <x:v>1</x:v>
      </x:c>
      <x:c r="L1846" s="53" t="b">
        <x:v>1</x:v>
      </x:c>
      <x:c r="M1846" s="53" t="b">
        <x:v>1</x:v>
      </x:c>
      <x:c r="N1846" s="53" t="b">
        <x:v>1</x:v>
      </x:c>
      <x:c r="O1846" s="53" t="b">
        <x:v>1</x:v>
      </x:c>
      <x:c r="P1846" s="47" t="n">
        <x:v>1013</x:v>
      </x:c>
      <x:c r="Q1846" s="47" t="n">
        <x:v>0</x:v>
      </x:c>
      <x:c r="R1846" s="47" t="n">
        <x:v>0</x:v>
      </x:c>
      <x:c r="S1846" s="47" t="n">
        <x:v>30.14</x:v>
      </x:c>
      <x:c r="T1846" s="47" t="n">
        <x:v>70.27</x:v>
      </x:c>
      <x:c r="U1846" s="47" t="n">
        <x:v>30.3</x:v>
      </x:c>
      <x:c r="V1846" s="47" t="n">
        <x:v>13.6</x:v>
      </x:c>
      <x:c r="W1846" s="47" t="n">
        <x:v>0</x:v>
      </x:c>
      <x:c r="X1846" s="47" t="n">
        <x:v>0</x:v>
      </x:c>
      <x:c r="Y1846" s="41" t="n">
        <x:v>0</x:v>
      </x:c>
    </x:row>
    <x:row r="1847">
      <x:c r="A1847" s="38" t="str">
        <x:v>7月29日现场数据</x:v>
      </x:c>
      <x:c r="B1847" s="66" t="str">
        <x:v>2026-07-29T01:30:11.537000</x:v>
      </x:c>
      <x:c r="C1847" s="47" t="n">
        <x:v>300954</x:v>
      </x:c>
      <x:c r="D1847" s="47" t="str"/>
      <x:c r="E1847" s="47" t="str"/>
      <x:c r="F1847" s="47" t="str">
        <x:v>current</x:v>
      </x:c>
      <x:c r="G1847" s="47" t="n">
        <x:v>12</x:v>
      </x:c>
      <x:c r="H1847" s="53" t="b">
        <x:v>1</x:v>
      </x:c>
      <x:c r="I1847" s="47" t="str">
        <x:v>578202819</x:v>
      </x:c>
      <x:c r="J1847" s="47" t="n">
        <x:v>3640082</x:v>
      </x:c>
      <x:c r="K1847" s="53" t="b">
        <x:v>1</x:v>
      </x:c>
      <x:c r="L1847" s="53" t="b">
        <x:v>1</x:v>
      </x:c>
      <x:c r="M1847" s="53" t="b">
        <x:v>1</x:v>
      </x:c>
      <x:c r="N1847" s="53" t="b">
        <x:v>1</x:v>
      </x:c>
      <x:c r="O1847" s="53" t="b">
        <x:v>1</x:v>
      </x:c>
      <x:c r="P1847" s="47" t="n">
        <x:v>1013</x:v>
      </x:c>
      <x:c r="Q1847" s="47" t="n">
        <x:v>0.001</x:v>
      </x:c>
      <x:c r="R1847" s="47" t="n">
        <x:v>0.033</x:v>
      </x:c>
      <x:c r="S1847" s="47" t="n">
        <x:v>30.06</x:v>
      </x:c>
      <x:c r="T1847" s="47" t="n">
        <x:v>70.21</x:v>
      </x:c>
      <x:c r="U1847" s="47" t="n">
        <x:v>30.3</x:v>
      </x:c>
      <x:c r="V1847" s="47" t="n">
        <x:v>13.6</x:v>
      </x:c>
      <x:c r="W1847" s="47" t="n">
        <x:v>0</x:v>
      </x:c>
      <x:c r="X1847" s="47" t="n">
        <x:v>0</x:v>
      </x:c>
      <x:c r="Y1847" s="41" t="n">
        <x:v>0</x:v>
      </x:c>
    </x:row>
    <x:row r="1848">
      <x:c r="A1848" s="38" t="str">
        <x:v>7月29日现场数据</x:v>
      </x:c>
      <x:c r="B1848" s="66" t="str">
        <x:v>2026-07-29T01:35:12.492000</x:v>
      </x:c>
      <x:c r="C1848" s="47" t="n">
        <x:v>300955</x:v>
      </x:c>
      <x:c r="D1848" s="47" t="str"/>
      <x:c r="E1848" s="47" t="str"/>
      <x:c r="F1848" s="47" t="str">
        <x:v>current</x:v>
      </x:c>
      <x:c r="G1848" s="47" t="n">
        <x:v>13</x:v>
      </x:c>
      <x:c r="H1848" s="53" t="b">
        <x:v>1</x:v>
      </x:c>
      <x:c r="I1848" s="47" t="str">
        <x:v>578202819</x:v>
      </x:c>
      <x:c r="J1848" s="47" t="n">
        <x:v>3941037</x:v>
      </x:c>
      <x:c r="K1848" s="53" t="b">
        <x:v>1</x:v>
      </x:c>
      <x:c r="L1848" s="53" t="b">
        <x:v>1</x:v>
      </x:c>
      <x:c r="M1848" s="53" t="b">
        <x:v>1</x:v>
      </x:c>
      <x:c r="N1848" s="53" t="b">
        <x:v>1</x:v>
      </x:c>
      <x:c r="O1848" s="53" t="b">
        <x:v>1</x:v>
      </x:c>
      <x:c r="P1848" s="47" t="n">
        <x:v>1013</x:v>
      </x:c>
      <x:c r="Q1848" s="47" t="n">
        <x:v>0</x:v>
      </x:c>
      <x:c r="R1848" s="47" t="n">
        <x:v>0</x:v>
      </x:c>
      <x:c r="S1848" s="47" t="n">
        <x:v>30.08</x:v>
      </x:c>
      <x:c r="T1848" s="47" t="n">
        <x:v>70.21</x:v>
      </x:c>
      <x:c r="U1848" s="47" t="n">
        <x:v>30.3</x:v>
      </x:c>
      <x:c r="V1848" s="47" t="n">
        <x:v>13.6</x:v>
      </x:c>
      <x:c r="W1848" s="47" t="n">
        <x:v>0</x:v>
      </x:c>
      <x:c r="X1848" s="47" t="n">
        <x:v>0</x:v>
      </x:c>
      <x:c r="Y1848" s="41" t="n">
        <x:v>0</x:v>
      </x:c>
    </x:row>
    <x:row r="1849">
      <x:c r="A1849" s="38" t="str">
        <x:v>7月29日现场数据</x:v>
      </x:c>
      <x:c r="B1849" s="66" t="str">
        <x:v>2026-07-29T01:40:13.449000</x:v>
      </x:c>
      <x:c r="C1849" s="47" t="n">
        <x:v>300957</x:v>
      </x:c>
      <x:c r="D1849" s="47" t="str"/>
      <x:c r="E1849" s="47" t="str"/>
      <x:c r="F1849" s="47" t="str">
        <x:v>current</x:v>
      </x:c>
      <x:c r="G1849" s="47" t="n">
        <x:v>14</x:v>
      </x:c>
      <x:c r="H1849" s="53" t="b">
        <x:v>1</x:v>
      </x:c>
      <x:c r="I1849" s="47" t="str">
        <x:v>578202819</x:v>
      </x:c>
      <x:c r="J1849" s="47" t="n">
        <x:v>4241994</x:v>
      </x:c>
      <x:c r="K1849" s="53" t="b">
        <x:v>1</x:v>
      </x:c>
      <x:c r="L1849" s="53" t="b">
        <x:v>1</x:v>
      </x:c>
      <x:c r="M1849" s="53" t="b">
        <x:v>1</x:v>
      </x:c>
      <x:c r="N1849" s="53" t="b">
        <x:v>1</x:v>
      </x:c>
      <x:c r="O1849" s="53" t="b">
        <x:v>1</x:v>
      </x:c>
      <x:c r="P1849" s="47" t="n">
        <x:v>1013</x:v>
      </x:c>
      <x:c r="Q1849" s="47" t="n">
        <x:v>0</x:v>
      </x:c>
      <x:c r="R1849" s="47" t="n">
        <x:v>0</x:v>
      </x:c>
      <x:c r="S1849" s="47" t="n">
        <x:v>30.08</x:v>
      </x:c>
      <x:c r="T1849" s="47" t="n">
        <x:v>70.23</x:v>
      </x:c>
      <x:c r="U1849" s="47" t="n">
        <x:v>30.2</x:v>
      </x:c>
      <x:c r="V1849" s="47" t="n">
        <x:v>13.6</x:v>
      </x:c>
      <x:c r="W1849" s="47" t="n">
        <x:v>0</x:v>
      </x:c>
      <x:c r="X1849" s="47" t="n">
        <x:v>0</x:v>
      </x:c>
      <x:c r="Y1849" s="41" t="n">
        <x:v>0</x:v>
      </x:c>
    </x:row>
    <x:row r="1850">
      <x:c r="A1850" s="38" t="str">
        <x:v>7月29日现场数据</x:v>
      </x:c>
      <x:c r="B1850" s="66" t="str">
        <x:v>2026-07-29T01:45:14.408000</x:v>
      </x:c>
      <x:c r="C1850" s="47" t="n">
        <x:v>300959</x:v>
      </x:c>
      <x:c r="D1850" s="47" t="str"/>
      <x:c r="E1850" s="47" t="str"/>
      <x:c r="F1850" s="47" t="str">
        <x:v>current</x:v>
      </x:c>
      <x:c r="G1850" s="47" t="n">
        <x:v>15</x:v>
      </x:c>
      <x:c r="H1850" s="53" t="b">
        <x:v>1</x:v>
      </x:c>
      <x:c r="I1850" s="47" t="str">
        <x:v>578202819</x:v>
      </x:c>
      <x:c r="J1850" s="47" t="n">
        <x:v>4542953</x:v>
      </x:c>
      <x:c r="K1850" s="53" t="b">
        <x:v>1</x:v>
      </x:c>
      <x:c r="L1850" s="53" t="b">
        <x:v>1</x:v>
      </x:c>
      <x:c r="M1850" s="53" t="b">
        <x:v>1</x:v>
      </x:c>
      <x:c r="N1850" s="53" t="b">
        <x:v>1</x:v>
      </x:c>
      <x:c r="O1850" s="53" t="b">
        <x:v>1</x:v>
      </x:c>
      <x:c r="P1850" s="47" t="n">
        <x:v>1013</x:v>
      </x:c>
      <x:c r="Q1850" s="47" t="n">
        <x:v>0</x:v>
      </x:c>
      <x:c r="R1850" s="47" t="n">
        <x:v>0</x:v>
      </x:c>
      <x:c r="S1850" s="47" t="n">
        <x:v>30.07</x:v>
      </x:c>
      <x:c r="T1850" s="47" t="n">
        <x:v>70.28</x:v>
      </x:c>
      <x:c r="U1850" s="47" t="n">
        <x:v>30.2</x:v>
      </x:c>
      <x:c r="V1850" s="47" t="n">
        <x:v>13.6</x:v>
      </x:c>
      <x:c r="W1850" s="47" t="n">
        <x:v>0</x:v>
      </x:c>
      <x:c r="X1850" s="47" t="n">
        <x:v>0</x:v>
      </x:c>
      <x:c r="Y1850" s="41" t="n">
        <x:v>0</x:v>
      </x:c>
    </x:row>
    <x:row r="1851">
      <x:c r="A1851" s="38" t="str">
        <x:v>7月29日现场数据</x:v>
      </x:c>
      <x:c r="B1851" s="66" t="str">
        <x:v>2026-07-29T01:50:15.369000</x:v>
      </x:c>
      <x:c r="C1851" s="47" t="n">
        <x:v>300961</x:v>
      </x:c>
      <x:c r="D1851" s="47" t="str"/>
      <x:c r="E1851" s="47" t="str"/>
      <x:c r="F1851" s="47" t="str">
        <x:v>current</x:v>
      </x:c>
      <x:c r="G1851" s="47" t="n">
        <x:v>16</x:v>
      </x:c>
      <x:c r="H1851" s="53" t="b">
        <x:v>1</x:v>
      </x:c>
      <x:c r="I1851" s="47" t="str">
        <x:v>578202819</x:v>
      </x:c>
      <x:c r="J1851" s="47" t="n">
        <x:v>4843914</x:v>
      </x:c>
      <x:c r="K1851" s="53" t="b">
        <x:v>1</x:v>
      </x:c>
      <x:c r="L1851" s="53" t="b">
        <x:v>1</x:v>
      </x:c>
      <x:c r="M1851" s="53" t="b">
        <x:v>1</x:v>
      </x:c>
      <x:c r="N1851" s="53" t="b">
        <x:v>1</x:v>
      </x:c>
      <x:c r="O1851" s="53" t="b">
        <x:v>1</x:v>
      </x:c>
      <x:c r="P1851" s="47" t="n">
        <x:v>1013</x:v>
      </x:c>
      <x:c r="Q1851" s="47" t="n">
        <x:v>0</x:v>
      </x:c>
      <x:c r="R1851" s="47" t="n">
        <x:v>0</x:v>
      </x:c>
      <x:c r="S1851" s="47" t="n">
        <x:v>30.02</x:v>
      </x:c>
      <x:c r="T1851" s="47" t="n">
        <x:v>70.31</x:v>
      </x:c>
      <x:c r="U1851" s="47" t="n">
        <x:v>30.2</x:v>
      </x:c>
      <x:c r="V1851" s="47" t="n">
        <x:v>13.6</x:v>
      </x:c>
      <x:c r="W1851" s="47" t="n">
        <x:v>0</x:v>
      </x:c>
      <x:c r="X1851" s="47" t="n">
        <x:v>0</x:v>
      </x:c>
      <x:c r="Y1851" s="41" t="n">
        <x:v>0</x:v>
      </x:c>
    </x:row>
    <x:row r="1852">
      <x:c r="A1852" s="38" t="str">
        <x:v>7月29日现场数据</x:v>
      </x:c>
      <x:c r="B1852" s="66" t="str">
        <x:v>2026-07-29T01:55:16.330000</x:v>
      </x:c>
      <x:c r="C1852" s="47" t="n">
        <x:v>300961</x:v>
      </x:c>
      <x:c r="D1852" s="47" t="str"/>
      <x:c r="E1852" s="47" t="str"/>
      <x:c r="F1852" s="47" t="str">
        <x:v>current</x:v>
      </x:c>
      <x:c r="G1852" s="47" t="n">
        <x:v>17</x:v>
      </x:c>
      <x:c r="H1852" s="53" t="b">
        <x:v>1</x:v>
      </x:c>
      <x:c r="I1852" s="47" t="str">
        <x:v>578202819</x:v>
      </x:c>
      <x:c r="J1852" s="47" t="n">
        <x:v>5144875</x:v>
      </x:c>
      <x:c r="K1852" s="53" t="b">
        <x:v>1</x:v>
      </x:c>
      <x:c r="L1852" s="53" t="b">
        <x:v>1</x:v>
      </x:c>
      <x:c r="M1852" s="53" t="b">
        <x:v>1</x:v>
      </x:c>
      <x:c r="N1852" s="53" t="b">
        <x:v>1</x:v>
      </x:c>
      <x:c r="O1852" s="53" t="b">
        <x:v>1</x:v>
      </x:c>
      <x:c r="P1852" s="47" t="n">
        <x:v>1013</x:v>
      </x:c>
      <x:c r="Q1852" s="47" t="n">
        <x:v>0</x:v>
      </x:c>
      <x:c r="R1852" s="47" t="n">
        <x:v>0</x:v>
      </x:c>
      <x:c r="S1852" s="47" t="n">
        <x:v>30.01</x:v>
      </x:c>
      <x:c r="T1852" s="47" t="n">
        <x:v>70.25</x:v>
      </x:c>
      <x:c r="U1852" s="47" t="n">
        <x:v>30.2</x:v>
      </x:c>
      <x:c r="V1852" s="47" t="n">
        <x:v>13.6</x:v>
      </x:c>
      <x:c r="W1852" s="47" t="n">
        <x:v>0</x:v>
      </x:c>
      <x:c r="X1852" s="47" t="n">
        <x:v>0</x:v>
      </x:c>
      <x:c r="Y1852" s="41" t="n">
        <x:v>0</x:v>
      </x:c>
    </x:row>
    <x:row r="1853">
      <x:c r="A1853" s="38" t="str">
        <x:v>7月29日现场数据</x:v>
      </x:c>
      <x:c r="B1853" s="66" t="str">
        <x:v>2026-07-29T02:00:17.296000</x:v>
      </x:c>
      <x:c r="C1853" s="47" t="n">
        <x:v>300966</x:v>
      </x:c>
      <x:c r="D1853" s="47" t="str"/>
      <x:c r="E1853" s="47" t="str"/>
      <x:c r="F1853" s="47" t="str">
        <x:v>current</x:v>
      </x:c>
      <x:c r="G1853" s="47" t="n">
        <x:v>18</x:v>
      </x:c>
      <x:c r="H1853" s="53" t="b">
        <x:v>1</x:v>
      </x:c>
      <x:c r="I1853" s="47" t="str">
        <x:v>578202819</x:v>
      </x:c>
      <x:c r="J1853" s="47" t="n">
        <x:v>5445841</x:v>
      </x:c>
      <x:c r="K1853" s="53" t="b">
        <x:v>1</x:v>
      </x:c>
      <x:c r="L1853" s="53" t="b">
        <x:v>1</x:v>
      </x:c>
      <x:c r="M1853" s="53" t="b">
        <x:v>1</x:v>
      </x:c>
      <x:c r="N1853" s="53" t="b">
        <x:v>1</x:v>
      </x:c>
      <x:c r="O1853" s="53" t="b">
        <x:v>1</x:v>
      </x:c>
      <x:c r="P1853" s="47" t="n">
        <x:v>1013</x:v>
      </x:c>
      <x:c r="Q1853" s="47" t="n">
        <x:v>0</x:v>
      </x:c>
      <x:c r="R1853" s="47" t="n">
        <x:v>0</x:v>
      </x:c>
      <x:c r="S1853" s="47" t="n">
        <x:v>30.02</x:v>
      </x:c>
      <x:c r="T1853" s="47" t="n">
        <x:v>70.3</x:v>
      </x:c>
      <x:c r="U1853" s="47" t="n">
        <x:v>30.2</x:v>
      </x:c>
      <x:c r="V1853" s="47" t="n">
        <x:v>13.6</x:v>
      </x:c>
      <x:c r="W1853" s="47" t="n">
        <x:v>0</x:v>
      </x:c>
      <x:c r="X1853" s="47" t="n">
        <x:v>0</x:v>
      </x:c>
      <x:c r="Y1853" s="41" t="n">
        <x:v>0</x:v>
      </x:c>
    </x:row>
    <x:row r="1854">
      <x:c r="A1854" s="38" t="str">
        <x:v>7月29日现场数据</x:v>
      </x:c>
      <x:c r="B1854" s="66" t="str">
        <x:v>2026-07-29T02:05:18.263000</x:v>
      </x:c>
      <x:c r="C1854" s="47" t="n">
        <x:v>300967</x:v>
      </x:c>
      <x:c r="D1854" s="47" t="str"/>
      <x:c r="E1854" s="47" t="str"/>
      <x:c r="F1854" s="47" t="str">
        <x:v>current</x:v>
      </x:c>
      <x:c r="G1854" s="47" t="n">
        <x:v>19</x:v>
      </x:c>
      <x:c r="H1854" s="53" t="b">
        <x:v>1</x:v>
      </x:c>
      <x:c r="I1854" s="47" t="str">
        <x:v>578202819</x:v>
      </x:c>
      <x:c r="J1854" s="47" t="n">
        <x:v>5746808</x:v>
      </x:c>
      <x:c r="K1854" s="53" t="b">
        <x:v>1</x:v>
      </x:c>
      <x:c r="L1854" s="53" t="b">
        <x:v>1</x:v>
      </x:c>
      <x:c r="M1854" s="53" t="b">
        <x:v>1</x:v>
      </x:c>
      <x:c r="N1854" s="53" t="b">
        <x:v>1</x:v>
      </x:c>
      <x:c r="O1854" s="53" t="b">
        <x:v>1</x:v>
      </x:c>
      <x:c r="P1854" s="47" t="n">
        <x:v>1013</x:v>
      </x:c>
      <x:c r="Q1854" s="47" t="n">
        <x:v>0</x:v>
      </x:c>
      <x:c r="R1854" s="47" t="n">
        <x:v>0</x:v>
      </x:c>
      <x:c r="S1854" s="47" t="n">
        <x:v>30.04</x:v>
      </x:c>
      <x:c r="T1854" s="47" t="n">
        <x:v>70.35</x:v>
      </x:c>
      <x:c r="U1854" s="47" t="n">
        <x:v>30.2</x:v>
      </x:c>
      <x:c r="V1854" s="47" t="n">
        <x:v>13.6</x:v>
      </x:c>
      <x:c r="W1854" s="47" t="n">
        <x:v>0</x:v>
      </x:c>
      <x:c r="X1854" s="47" t="n">
        <x:v>0</x:v>
      </x:c>
      <x:c r="Y1854" s="41" t="n">
        <x:v>0</x:v>
      </x:c>
    </x:row>
    <x:row r="1855">
      <x:c r="A1855" s="38" t="str">
        <x:v>7月29日现场数据</x:v>
      </x:c>
      <x:c r="B1855" s="66" t="str">
        <x:v>2026-07-29T02:10:19.235000</x:v>
      </x:c>
      <x:c r="C1855" s="47" t="n">
        <x:v>300972</x:v>
      </x:c>
      <x:c r="D1855" s="47" t="str"/>
      <x:c r="E1855" s="47" t="str"/>
      <x:c r="F1855" s="47" t="str">
        <x:v>current</x:v>
      </x:c>
      <x:c r="G1855" s="47" t="n">
        <x:v>20</x:v>
      </x:c>
      <x:c r="H1855" s="53" t="b">
        <x:v>1</x:v>
      </x:c>
      <x:c r="I1855" s="47" t="str">
        <x:v>578202819</x:v>
      </x:c>
      <x:c r="J1855" s="47" t="n">
        <x:v>6047780</x:v>
      </x:c>
      <x:c r="K1855" s="53" t="b">
        <x:v>1</x:v>
      </x:c>
      <x:c r="L1855" s="53" t="b">
        <x:v>1</x:v>
      </x:c>
      <x:c r="M1855" s="53" t="b">
        <x:v>1</x:v>
      </x:c>
      <x:c r="N1855" s="53" t="b">
        <x:v>1</x:v>
      </x:c>
      <x:c r="O1855" s="53" t="b">
        <x:v>1</x:v>
      </x:c>
      <x:c r="P1855" s="47" t="n">
        <x:v>1013</x:v>
      </x:c>
      <x:c r="Q1855" s="47" t="n">
        <x:v>0.053</x:v>
      </x:c>
      <x:c r="R1855" s="47" t="n">
        <x:v>1.418</x:v>
      </x:c>
      <x:c r="S1855" s="47" t="n">
        <x:v>30.02</x:v>
      </x:c>
      <x:c r="T1855" s="47" t="n">
        <x:v>70.31</x:v>
      </x:c>
      <x:c r="U1855" s="47" t="n">
        <x:v>30.2</x:v>
      </x:c>
      <x:c r="V1855" s="47" t="n">
        <x:v>13.6</x:v>
      </x:c>
      <x:c r="W1855" s="47" t="n">
        <x:v>0</x:v>
      </x:c>
      <x:c r="X1855" s="47" t="n">
        <x:v>0</x:v>
      </x:c>
      <x:c r="Y1855" s="41" t="n">
        <x:v>0</x:v>
      </x:c>
    </x:row>
    <x:row r="1856">
      <x:c r="A1856" s="38" t="str">
        <x:v>7月29日现场数据</x:v>
      </x:c>
      <x:c r="B1856" s="66" t="str">
        <x:v>2026-07-29T02:15:20.207000</x:v>
      </x:c>
      <x:c r="C1856" s="47" t="n">
        <x:v>300972</x:v>
      </x:c>
      <x:c r="D1856" s="47" t="str"/>
      <x:c r="E1856" s="47" t="str"/>
      <x:c r="F1856" s="47" t="str">
        <x:v>current</x:v>
      </x:c>
      <x:c r="G1856" s="47" t="n">
        <x:v>21</x:v>
      </x:c>
      <x:c r="H1856" s="53" t="b">
        <x:v>1</x:v>
      </x:c>
      <x:c r="I1856" s="47" t="str">
        <x:v>578202819</x:v>
      </x:c>
      <x:c r="J1856" s="47" t="n">
        <x:v>6348752</x:v>
      </x:c>
      <x:c r="K1856" s="53" t="b">
        <x:v>1</x:v>
      </x:c>
      <x:c r="L1856" s="53" t="b">
        <x:v>1</x:v>
      </x:c>
      <x:c r="M1856" s="53" t="b">
        <x:v>1</x:v>
      </x:c>
      <x:c r="N1856" s="53" t="b">
        <x:v>1</x:v>
      </x:c>
      <x:c r="O1856" s="53" t="b">
        <x:v>1</x:v>
      </x:c>
      <x:c r="P1856" s="47" t="n">
        <x:v>1013</x:v>
      </x:c>
      <x:c r="Q1856" s="47" t="n">
        <x:v>0</x:v>
      </x:c>
      <x:c r="R1856" s="47" t="n">
        <x:v>0</x:v>
      </x:c>
      <x:c r="S1856" s="47" t="n">
        <x:v>29.97</x:v>
      </x:c>
      <x:c r="T1856" s="47" t="n">
        <x:v>70.35</x:v>
      </x:c>
      <x:c r="U1856" s="47" t="n">
        <x:v>30.2</x:v>
      </x:c>
      <x:c r="V1856" s="47" t="n">
        <x:v>13.6</x:v>
      </x:c>
      <x:c r="W1856" s="47" t="n">
        <x:v>0</x:v>
      </x:c>
      <x:c r="X1856" s="47" t="n">
        <x:v>0</x:v>
      </x:c>
      <x:c r="Y1856" s="41" t="n">
        <x:v>0</x:v>
      </x:c>
    </x:row>
    <x:row r="1857">
      <x:c r="A1857" s="38" t="str">
        <x:v>7月29日现场数据</x:v>
      </x:c>
      <x:c r="B1857" s="66" t="str">
        <x:v>2026-07-29T02:20:21.206000</x:v>
      </x:c>
      <x:c r="C1857" s="47" t="n">
        <x:v>300999</x:v>
      </x:c>
      <x:c r="D1857" s="47" t="str"/>
      <x:c r="E1857" s="47" t="str"/>
      <x:c r="F1857" s="47" t="str">
        <x:v>current</x:v>
      </x:c>
      <x:c r="G1857" s="47" t="n">
        <x:v>22</x:v>
      </x:c>
      <x:c r="H1857" s="53" t="b">
        <x:v>1</x:v>
      </x:c>
      <x:c r="I1857" s="47" t="str">
        <x:v>578202819</x:v>
      </x:c>
      <x:c r="J1857" s="47" t="n">
        <x:v>6649751</x:v>
      </x:c>
      <x:c r="K1857" s="53" t="b">
        <x:v>1</x:v>
      </x:c>
      <x:c r="L1857" s="53" t="b">
        <x:v>1</x:v>
      </x:c>
      <x:c r="M1857" s="53" t="b">
        <x:v>1</x:v>
      </x:c>
      <x:c r="N1857" s="53" t="b">
        <x:v>1</x:v>
      </x:c>
      <x:c r="O1857" s="53" t="b">
        <x:v>1</x:v>
      </x:c>
      <x:c r="P1857" s="47" t="n">
        <x:v>1013</x:v>
      </x:c>
      <x:c r="Q1857" s="47" t="n">
        <x:v>0.045</x:v>
      </x:c>
      <x:c r="R1857" s="47" t="n">
        <x:v>1.22</x:v>
      </x:c>
      <x:c r="S1857" s="47" t="n">
        <x:v>29.96</x:v>
      </x:c>
      <x:c r="T1857" s="47" t="n">
        <x:v>70.35</x:v>
      </x:c>
      <x:c r="U1857" s="47" t="n">
        <x:v>30.2</x:v>
      </x:c>
      <x:c r="V1857" s="47" t="n">
        <x:v>13.6</x:v>
      </x:c>
      <x:c r="W1857" s="47" t="n">
        <x:v>0</x:v>
      </x:c>
      <x:c r="X1857" s="47" t="n">
        <x:v>0</x:v>
      </x:c>
      <x:c r="Y1857" s="41" t="n">
        <x:v>0</x:v>
      </x:c>
    </x:row>
    <x:row r="1858">
      <x:c r="A1858" s="38" t="str">
        <x:v>7月29日现场数据</x:v>
      </x:c>
      <x:c r="B1858" s="66" t="str">
        <x:v>2026-07-29T02:25:22.154000</x:v>
      </x:c>
      <x:c r="C1858" s="47" t="n">
        <x:v>300948</x:v>
      </x:c>
      <x:c r="D1858" s="47" t="str"/>
      <x:c r="E1858" s="47" t="str"/>
      <x:c r="F1858" s="47" t="str">
        <x:v>current</x:v>
      </x:c>
      <x:c r="G1858" s="47" t="n">
        <x:v>23</x:v>
      </x:c>
      <x:c r="H1858" s="53" t="b">
        <x:v>1</x:v>
      </x:c>
      <x:c r="I1858" s="47" t="str">
        <x:v>578202819</x:v>
      </x:c>
      <x:c r="J1858" s="47" t="n">
        <x:v>6950699</x:v>
      </x:c>
      <x:c r="K1858" s="53" t="b">
        <x:v>1</x:v>
      </x:c>
      <x:c r="L1858" s="53" t="b">
        <x:v>1</x:v>
      </x:c>
      <x:c r="M1858" s="53" t="b">
        <x:v>1</x:v>
      </x:c>
      <x:c r="N1858" s="53" t="b">
        <x:v>1</x:v>
      </x:c>
      <x:c r="O1858" s="53" t="b">
        <x:v>1</x:v>
      </x:c>
      <x:c r="P1858" s="47" t="n">
        <x:v>1013</x:v>
      </x:c>
      <x:c r="Q1858" s="47" t="n">
        <x:v>0</x:v>
      </x:c>
      <x:c r="R1858" s="47" t="n">
        <x:v>0</x:v>
      </x:c>
      <x:c r="S1858" s="47" t="n">
        <x:v>29.99</x:v>
      </x:c>
      <x:c r="T1858" s="47" t="n">
        <x:v>70.34</x:v>
      </x:c>
      <x:c r="U1858" s="47" t="n">
        <x:v>30.2</x:v>
      </x:c>
      <x:c r="V1858" s="47" t="n">
        <x:v>13.5</x:v>
      </x:c>
      <x:c r="W1858" s="47" t="n">
        <x:v>0</x:v>
      </x:c>
      <x:c r="X1858" s="47" t="n">
        <x:v>0</x:v>
      </x:c>
      <x:c r="Y1858" s="41" t="n">
        <x:v>0</x:v>
      </x:c>
    </x:row>
    <x:row r="1859">
      <x:c r="A1859" s="38" t="str">
        <x:v>7月29日现场数据</x:v>
      </x:c>
      <x:c r="B1859" s="66" t="str">
        <x:v>2026-07-29T02:30:23.103000</x:v>
      </x:c>
      <x:c r="C1859" s="47" t="n">
        <x:v>300949</x:v>
      </x:c>
      <x:c r="D1859" s="47" t="str"/>
      <x:c r="E1859" s="47" t="str"/>
      <x:c r="F1859" s="47" t="str">
        <x:v>current</x:v>
      </x:c>
      <x:c r="G1859" s="47" t="n">
        <x:v>24</x:v>
      </x:c>
      <x:c r="H1859" s="53" t="b">
        <x:v>1</x:v>
      </x:c>
      <x:c r="I1859" s="47" t="str">
        <x:v>578202819</x:v>
      </x:c>
      <x:c r="J1859" s="47" t="n">
        <x:v>7251648</x:v>
      </x:c>
      <x:c r="K1859" s="53" t="b">
        <x:v>1</x:v>
      </x:c>
      <x:c r="L1859" s="53" t="b">
        <x:v>1</x:v>
      </x:c>
      <x:c r="M1859" s="53" t="b">
        <x:v>1</x:v>
      </x:c>
      <x:c r="N1859" s="53" t="b">
        <x:v>1</x:v>
      </x:c>
      <x:c r="O1859" s="53" t="b">
        <x:v>1</x:v>
      </x:c>
      <x:c r="P1859" s="47" t="n">
        <x:v>1013</x:v>
      </x:c>
      <x:c r="Q1859" s="47" t="n">
        <x:v>0</x:v>
      </x:c>
      <x:c r="R1859" s="47" t="n">
        <x:v>0</x:v>
      </x:c>
      <x:c r="S1859" s="47" t="n">
        <x:v>29.98</x:v>
      </x:c>
      <x:c r="T1859" s="47" t="n">
        <x:v>70.35</x:v>
      </x:c>
      <x:c r="U1859" s="47" t="n">
        <x:v>30.2</x:v>
      </x:c>
      <x:c r="V1859" s="47" t="n">
        <x:v>13.6</x:v>
      </x:c>
      <x:c r="W1859" s="47" t="n">
        <x:v>0</x:v>
      </x:c>
      <x:c r="X1859" s="47" t="n">
        <x:v>0</x:v>
      </x:c>
      <x:c r="Y1859" s="41" t="n">
        <x:v>0</x:v>
      </x:c>
    </x:row>
    <x:row r="1860">
      <x:c r="A1860" s="38" t="str">
        <x:v>7月29日现场数据</x:v>
      </x:c>
      <x:c r="B1860" s="66" t="str">
        <x:v>2026-07-29T02:35:24.057000</x:v>
      </x:c>
      <x:c r="C1860" s="47" t="n">
        <x:v>300954</x:v>
      </x:c>
      <x:c r="D1860" s="47" t="str"/>
      <x:c r="E1860" s="47" t="str"/>
      <x:c r="F1860" s="47" t="str">
        <x:v>current</x:v>
      </x:c>
      <x:c r="G1860" s="47" t="n">
        <x:v>25</x:v>
      </x:c>
      <x:c r="H1860" s="53" t="b">
        <x:v>1</x:v>
      </x:c>
      <x:c r="I1860" s="47" t="str">
        <x:v>578202819</x:v>
      </x:c>
      <x:c r="J1860" s="47" t="n">
        <x:v>7552602</x:v>
      </x:c>
      <x:c r="K1860" s="53" t="b">
        <x:v>1</x:v>
      </x:c>
      <x:c r="L1860" s="53" t="b">
        <x:v>1</x:v>
      </x:c>
      <x:c r="M1860" s="53" t="b">
        <x:v>1</x:v>
      </x:c>
      <x:c r="N1860" s="53" t="b">
        <x:v>1</x:v>
      </x:c>
      <x:c r="O1860" s="53" t="b">
        <x:v>1</x:v>
      </x:c>
      <x:c r="P1860" s="47" t="n">
        <x:v>1013</x:v>
      </x:c>
      <x:c r="Q1860" s="47" t="n">
        <x:v>0</x:v>
      </x:c>
      <x:c r="R1860" s="47" t="n">
        <x:v>0</x:v>
      </x:c>
      <x:c r="S1860" s="47" t="n">
        <x:v>29.94</x:v>
      </x:c>
      <x:c r="T1860" s="47" t="n">
        <x:v>70.34</x:v>
      </x:c>
      <x:c r="U1860" s="47" t="n">
        <x:v>30.1</x:v>
      </x:c>
      <x:c r="V1860" s="47" t="n">
        <x:v>13.6</x:v>
      </x:c>
      <x:c r="W1860" s="47" t="n">
        <x:v>0</x:v>
      </x:c>
      <x:c r="X1860" s="47" t="n">
        <x:v>0</x:v>
      </x:c>
      <x:c r="Y1860" s="41" t="n">
        <x:v>0</x:v>
      </x:c>
    </x:row>
    <x:row r="1861">
      <x:c r="A1861" s="38" t="str">
        <x:v>7月29日现场数据</x:v>
      </x:c>
      <x:c r="B1861" s="66" t="str">
        <x:v>2026-07-29T02:40:25.012000</x:v>
      </x:c>
      <x:c r="C1861" s="47" t="n">
        <x:v>300955</x:v>
      </x:c>
      <x:c r="D1861" s="47" t="str"/>
      <x:c r="E1861" s="47" t="str"/>
      <x:c r="F1861" s="47" t="str">
        <x:v>current</x:v>
      </x:c>
      <x:c r="G1861" s="47" t="n">
        <x:v>26</x:v>
      </x:c>
      <x:c r="H1861" s="53" t="b">
        <x:v>1</x:v>
      </x:c>
      <x:c r="I1861" s="47" t="str">
        <x:v>578202819</x:v>
      </x:c>
      <x:c r="J1861" s="47" t="n">
        <x:v>7853557</x:v>
      </x:c>
      <x:c r="K1861" s="53" t="b">
        <x:v>1</x:v>
      </x:c>
      <x:c r="L1861" s="53" t="b">
        <x:v>1</x:v>
      </x:c>
      <x:c r="M1861" s="53" t="b">
        <x:v>1</x:v>
      </x:c>
      <x:c r="N1861" s="53" t="b">
        <x:v>1</x:v>
      </x:c>
      <x:c r="O1861" s="53" t="b">
        <x:v>1</x:v>
      </x:c>
      <x:c r="P1861" s="47" t="n">
        <x:v>1013</x:v>
      </x:c>
      <x:c r="Q1861" s="47" t="n">
        <x:v>0</x:v>
      </x:c>
      <x:c r="R1861" s="47" t="n">
        <x:v>0</x:v>
      </x:c>
      <x:c r="S1861" s="47" t="n">
        <x:v>29.92</x:v>
      </x:c>
      <x:c r="T1861" s="47" t="n">
        <x:v>70.39</x:v>
      </x:c>
      <x:c r="U1861" s="47" t="n">
        <x:v>30.1</x:v>
      </x:c>
      <x:c r="V1861" s="47" t="n">
        <x:v>13.6</x:v>
      </x:c>
      <x:c r="W1861" s="47" t="n">
        <x:v>0</x:v>
      </x:c>
      <x:c r="X1861" s="47" t="n">
        <x:v>0</x:v>
      </x:c>
      <x:c r="Y1861" s="41" t="n">
        <x:v>0</x:v>
      </x:c>
    </x:row>
    <x:row r="1862">
      <x:c r="A1862" s="38" t="str">
        <x:v>7月29日现场数据</x:v>
      </x:c>
      <x:c r="B1862" s="66" t="str">
        <x:v>2026-07-29T02:45:25.968000</x:v>
      </x:c>
      <x:c r="C1862" s="47" t="n">
        <x:v>300956</x:v>
      </x:c>
      <x:c r="D1862" s="47" t="str"/>
      <x:c r="E1862" s="47" t="str"/>
      <x:c r="F1862" s="47" t="str">
        <x:v>current</x:v>
      </x:c>
      <x:c r="G1862" s="47" t="n">
        <x:v>27</x:v>
      </x:c>
      <x:c r="H1862" s="53" t="b">
        <x:v>1</x:v>
      </x:c>
      <x:c r="I1862" s="47" t="str">
        <x:v>578202819</x:v>
      </x:c>
      <x:c r="J1862" s="47" t="n">
        <x:v>8154513</x:v>
      </x:c>
      <x:c r="K1862" s="53" t="b">
        <x:v>1</x:v>
      </x:c>
      <x:c r="L1862" s="53" t="b">
        <x:v>1</x:v>
      </x:c>
      <x:c r="M1862" s="53" t="b">
        <x:v>1</x:v>
      </x:c>
      <x:c r="N1862" s="53" t="b">
        <x:v>1</x:v>
      </x:c>
      <x:c r="O1862" s="53" t="b">
        <x:v>1</x:v>
      </x:c>
      <x:c r="P1862" s="47" t="n">
        <x:v>1013</x:v>
      </x:c>
      <x:c r="Q1862" s="47" t="n">
        <x:v>0</x:v>
      </x:c>
      <x:c r="R1862" s="47" t="n">
        <x:v>0</x:v>
      </x:c>
      <x:c r="S1862" s="47" t="n">
        <x:v>29.9</x:v>
      </x:c>
      <x:c r="T1862" s="47" t="n">
        <x:v>70.45</x:v>
      </x:c>
      <x:c r="U1862" s="47" t="n">
        <x:v>30.1</x:v>
      </x:c>
      <x:c r="V1862" s="47" t="n">
        <x:v>13.6</x:v>
      </x:c>
      <x:c r="W1862" s="47" t="n">
        <x:v>0</x:v>
      </x:c>
      <x:c r="X1862" s="47" t="n">
        <x:v>0</x:v>
      </x:c>
      <x:c r="Y1862" s="41" t="n">
        <x:v>0</x:v>
      </x:c>
    </x:row>
    <x:row r="1863">
      <x:c r="A1863" s="38" t="str">
        <x:v>7月29日现场数据</x:v>
      </x:c>
      <x:c r="B1863" s="66" t="str">
        <x:v>2026-07-29T02:50:26.924000</x:v>
      </x:c>
      <x:c r="C1863" s="47" t="n">
        <x:v>300956</x:v>
      </x:c>
      <x:c r="D1863" s="47" t="str"/>
      <x:c r="E1863" s="47" t="str"/>
      <x:c r="F1863" s="47" t="str">
        <x:v>current</x:v>
      </x:c>
      <x:c r="G1863" s="47" t="n">
        <x:v>28</x:v>
      </x:c>
      <x:c r="H1863" s="53" t="b">
        <x:v>1</x:v>
      </x:c>
      <x:c r="I1863" s="47" t="str">
        <x:v>578202819</x:v>
      </x:c>
      <x:c r="J1863" s="47" t="n">
        <x:v>8455469</x:v>
      </x:c>
      <x:c r="K1863" s="53" t="b">
        <x:v>1</x:v>
      </x:c>
      <x:c r="L1863" s="53" t="b">
        <x:v>1</x:v>
      </x:c>
      <x:c r="M1863" s="53" t="b">
        <x:v>1</x:v>
      </x:c>
      <x:c r="N1863" s="53" t="b">
        <x:v>1</x:v>
      </x:c>
      <x:c r="O1863" s="53" t="b">
        <x:v>1</x:v>
      </x:c>
      <x:c r="P1863" s="47" t="n">
        <x:v>1013</x:v>
      </x:c>
      <x:c r="Q1863" s="47" t="n">
        <x:v>0</x:v>
      </x:c>
      <x:c r="R1863" s="47" t="n">
        <x:v>0</x:v>
      </x:c>
      <x:c r="S1863" s="47" t="n">
        <x:v>29.87</x:v>
      </x:c>
      <x:c r="T1863" s="47" t="n">
        <x:v>70.43</x:v>
      </x:c>
      <x:c r="U1863" s="47" t="n">
        <x:v>30.1</x:v>
      </x:c>
      <x:c r="V1863" s="47" t="n">
        <x:v>13.6</x:v>
      </x:c>
      <x:c r="W1863" s="47" t="n">
        <x:v>0</x:v>
      </x:c>
      <x:c r="X1863" s="47" t="n">
        <x:v>0</x:v>
      </x:c>
      <x:c r="Y1863" s="41" t="n">
        <x:v>0</x:v>
      </x:c>
    </x:row>
    <x:row r="1864">
      <x:c r="A1864" s="38" t="str">
        <x:v>7月29日现场数据</x:v>
      </x:c>
      <x:c r="B1864" s="66" t="str">
        <x:v>2026-07-29T02:55:27.887000</x:v>
      </x:c>
      <x:c r="C1864" s="47" t="n">
        <x:v>300963</x:v>
      </x:c>
      <x:c r="D1864" s="47" t="str"/>
      <x:c r="E1864" s="47" t="str"/>
      <x:c r="F1864" s="47" t="str">
        <x:v>current</x:v>
      </x:c>
      <x:c r="G1864" s="47" t="n">
        <x:v>29</x:v>
      </x:c>
      <x:c r="H1864" s="53" t="b">
        <x:v>1</x:v>
      </x:c>
      <x:c r="I1864" s="47" t="str">
        <x:v>578202819</x:v>
      </x:c>
      <x:c r="J1864" s="47" t="n">
        <x:v>8756432</x:v>
      </x:c>
      <x:c r="K1864" s="53" t="b">
        <x:v>1</x:v>
      </x:c>
      <x:c r="L1864" s="53" t="b">
        <x:v>1</x:v>
      </x:c>
      <x:c r="M1864" s="53" t="b">
        <x:v>1</x:v>
      </x:c>
      <x:c r="N1864" s="53" t="b">
        <x:v>1</x:v>
      </x:c>
      <x:c r="O1864" s="53" t="b">
        <x:v>1</x:v>
      </x:c>
      <x:c r="P1864" s="47" t="n">
        <x:v>1013</x:v>
      </x:c>
      <x:c r="Q1864" s="47" t="n">
        <x:v>0.034</x:v>
      </x:c>
      <x:c r="R1864" s="47" t="n">
        <x:v>0.923</x:v>
      </x:c>
      <x:c r="S1864" s="47" t="n">
        <x:v>29.87</x:v>
      </x:c>
      <x:c r="T1864" s="47" t="n">
        <x:v>70.45</x:v>
      </x:c>
      <x:c r="U1864" s="47" t="n">
        <x:v>30.1</x:v>
      </x:c>
      <x:c r="V1864" s="47" t="n">
        <x:v>13.6</x:v>
      </x:c>
      <x:c r="W1864" s="47" t="n">
        <x:v>0</x:v>
      </x:c>
      <x:c r="X1864" s="47" t="n">
        <x:v>0</x:v>
      </x:c>
      <x:c r="Y1864" s="41" t="n">
        <x:v>0</x:v>
      </x:c>
    </x:row>
    <x:row r="1865">
      <x:c r="A1865" s="38" t="str">
        <x:v>7月29日现场数据</x:v>
      </x:c>
      <x:c r="B1865" s="66" t="str">
        <x:v>2026-07-29T03:00:28.851000</x:v>
      </x:c>
      <x:c r="C1865" s="47" t="n">
        <x:v>300964</x:v>
      </x:c>
      <x:c r="D1865" s="47" t="str"/>
      <x:c r="E1865" s="47" t="str"/>
      <x:c r="F1865" s="47" t="str">
        <x:v>current</x:v>
      </x:c>
      <x:c r="G1865" s="47" t="n">
        <x:v>30</x:v>
      </x:c>
      <x:c r="H1865" s="53" t="b">
        <x:v>1</x:v>
      </x:c>
      <x:c r="I1865" s="47" t="str">
        <x:v>578202819</x:v>
      </x:c>
      <x:c r="J1865" s="47" t="n">
        <x:v>9057396</x:v>
      </x:c>
      <x:c r="K1865" s="53" t="b">
        <x:v>1</x:v>
      </x:c>
      <x:c r="L1865" s="53" t="b">
        <x:v>1</x:v>
      </x:c>
      <x:c r="M1865" s="53" t="b">
        <x:v>1</x:v>
      </x:c>
      <x:c r="N1865" s="53" t="b">
        <x:v>1</x:v>
      </x:c>
      <x:c r="O1865" s="53" t="b">
        <x:v>1</x:v>
      </x:c>
      <x:c r="P1865" s="47" t="n">
        <x:v>1013</x:v>
      </x:c>
      <x:c r="Q1865" s="47" t="n">
        <x:v>0.107</x:v>
      </x:c>
      <x:c r="R1865" s="47" t="n">
        <x:v>2.901</x:v>
      </x:c>
      <x:c r="S1865" s="47" t="n">
        <x:v>29.82</x:v>
      </x:c>
      <x:c r="T1865" s="47" t="n">
        <x:v>70.44</x:v>
      </x:c>
      <x:c r="U1865" s="47" t="n">
        <x:v>30.1</x:v>
      </x:c>
      <x:c r="V1865" s="47" t="n">
        <x:v>13.6</x:v>
      </x:c>
      <x:c r="W1865" s="47" t="n">
        <x:v>0</x:v>
      </x:c>
      <x:c r="X1865" s="47" t="n">
        <x:v>0</x:v>
      </x:c>
      <x:c r="Y1865" s="41" t="n">
        <x:v>0</x:v>
      </x:c>
    </x:row>
    <x:row r="1866">
      <x:c r="A1866" s="38" t="str">
        <x:v>7月29日现场数据</x:v>
      </x:c>
      <x:c r="B1866" s="66" t="str">
        <x:v>2026-07-29T03:05:29.814000</x:v>
      </x:c>
      <x:c r="C1866" s="47" t="n">
        <x:v>300963</x:v>
      </x:c>
      <x:c r="D1866" s="47" t="str"/>
      <x:c r="E1866" s="47" t="str"/>
      <x:c r="F1866" s="47" t="str">
        <x:v>current</x:v>
      </x:c>
      <x:c r="G1866" s="47" t="n">
        <x:v>31</x:v>
      </x:c>
      <x:c r="H1866" s="53" t="b">
        <x:v>1</x:v>
      </x:c>
      <x:c r="I1866" s="47" t="str">
        <x:v>578202819</x:v>
      </x:c>
      <x:c r="J1866" s="47" t="n">
        <x:v>9358359</x:v>
      </x:c>
      <x:c r="K1866" s="53" t="b">
        <x:v>1</x:v>
      </x:c>
      <x:c r="L1866" s="53" t="b">
        <x:v>1</x:v>
      </x:c>
      <x:c r="M1866" s="53" t="b">
        <x:v>1</x:v>
      </x:c>
      <x:c r="N1866" s="53" t="b">
        <x:v>1</x:v>
      </x:c>
      <x:c r="O1866" s="53" t="b">
        <x:v>1</x:v>
      </x:c>
      <x:c r="P1866" s="47" t="n">
        <x:v>1013</x:v>
      </x:c>
      <x:c r="Q1866" s="47" t="n">
        <x:v>0</x:v>
      </x:c>
      <x:c r="R1866" s="47" t="n">
        <x:v>0</x:v>
      </x:c>
      <x:c r="S1866" s="47" t="n">
        <x:v>29.82</x:v>
      </x:c>
      <x:c r="T1866" s="47" t="n">
        <x:v>70.5</x:v>
      </x:c>
      <x:c r="U1866" s="47" t="n">
        <x:v>30.1</x:v>
      </x:c>
      <x:c r="V1866" s="47" t="n">
        <x:v>13.5</x:v>
      </x:c>
      <x:c r="W1866" s="47" t="n">
        <x:v>0</x:v>
      </x:c>
      <x:c r="X1866" s="47" t="n">
        <x:v>0</x:v>
      </x:c>
      <x:c r="Y1866" s="41" t="n">
        <x:v>0</x:v>
      </x:c>
    </x:row>
    <x:row r="1867">
      <x:c r="A1867" s="38" t="str">
        <x:v>7月29日现场数据</x:v>
      </x:c>
      <x:c r="B1867" s="66" t="str">
        <x:v>2026-07-29T03:10:30.781000</x:v>
      </x:c>
      <x:c r="C1867" s="47" t="n">
        <x:v>300967</x:v>
      </x:c>
      <x:c r="D1867" s="47" t="str"/>
      <x:c r="E1867" s="47" t="str"/>
      <x:c r="F1867" s="47" t="str">
        <x:v>current</x:v>
      </x:c>
      <x:c r="G1867" s="47" t="n">
        <x:v>32</x:v>
      </x:c>
      <x:c r="H1867" s="53" t="b">
        <x:v>1</x:v>
      </x:c>
      <x:c r="I1867" s="47" t="str">
        <x:v>578202819</x:v>
      </x:c>
      <x:c r="J1867" s="47" t="n">
        <x:v>9659326</x:v>
      </x:c>
      <x:c r="K1867" s="53" t="b">
        <x:v>1</x:v>
      </x:c>
      <x:c r="L1867" s="53" t="b">
        <x:v>1</x:v>
      </x:c>
      <x:c r="M1867" s="53" t="b">
        <x:v>1</x:v>
      </x:c>
      <x:c r="N1867" s="53" t="b">
        <x:v>1</x:v>
      </x:c>
      <x:c r="O1867" s="53" t="b">
        <x:v>1</x:v>
      </x:c>
      <x:c r="P1867" s="47" t="n">
        <x:v>1013</x:v>
      </x:c>
      <x:c r="Q1867" s="47" t="n">
        <x:v>0</x:v>
      </x:c>
      <x:c r="R1867" s="47" t="n">
        <x:v>0</x:v>
      </x:c>
      <x:c r="S1867" s="47" t="n">
        <x:v>29.8</x:v>
      </x:c>
      <x:c r="T1867" s="47" t="n">
        <x:v>70.46</x:v>
      </x:c>
      <x:c r="U1867" s="47" t="n">
        <x:v>30</x:v>
      </x:c>
      <x:c r="V1867" s="47" t="n">
        <x:v>13.6</x:v>
      </x:c>
      <x:c r="W1867" s="47" t="n">
        <x:v>0</x:v>
      </x:c>
      <x:c r="X1867" s="47" t="n">
        <x:v>0</x:v>
      </x:c>
      <x:c r="Y1867" s="41" t="n">
        <x:v>0</x:v>
      </x:c>
    </x:row>
    <x:row r="1868">
      <x:c r="A1868" s="38" t="str">
        <x:v>7月29日现场数据</x:v>
      </x:c>
      <x:c r="B1868" s="66" t="str">
        <x:v>2026-07-29T03:15:31.749000</x:v>
      </x:c>
      <x:c r="C1868" s="47" t="n">
        <x:v>300968</x:v>
      </x:c>
      <x:c r="D1868" s="47" t="str"/>
      <x:c r="E1868" s="47" t="str"/>
      <x:c r="F1868" s="47" t="str">
        <x:v>current</x:v>
      </x:c>
      <x:c r="G1868" s="47" t="n">
        <x:v>33</x:v>
      </x:c>
      <x:c r="H1868" s="53" t="b">
        <x:v>1</x:v>
      </x:c>
      <x:c r="I1868" s="47" t="str">
        <x:v>578202819</x:v>
      </x:c>
      <x:c r="J1868" s="47" t="n">
        <x:v>9960294</x:v>
      </x:c>
      <x:c r="K1868" s="53" t="b">
        <x:v>1</x:v>
      </x:c>
      <x:c r="L1868" s="53" t="b">
        <x:v>1</x:v>
      </x:c>
      <x:c r="M1868" s="53" t="b">
        <x:v>1</x:v>
      </x:c>
      <x:c r="N1868" s="53" t="b">
        <x:v>1</x:v>
      </x:c>
      <x:c r="O1868" s="53" t="b">
        <x:v>1</x:v>
      </x:c>
      <x:c r="P1868" s="47" t="n">
        <x:v>1013</x:v>
      </x:c>
      <x:c r="Q1868" s="47" t="n">
        <x:v>0</x:v>
      </x:c>
      <x:c r="R1868" s="47" t="n">
        <x:v>0</x:v>
      </x:c>
      <x:c r="S1868" s="47" t="n">
        <x:v>29.84</x:v>
      </x:c>
      <x:c r="T1868" s="47" t="n">
        <x:v>70.49</x:v>
      </x:c>
      <x:c r="U1868" s="47" t="n">
        <x:v>30</x:v>
      </x:c>
      <x:c r="V1868" s="47" t="n">
        <x:v>13.6</x:v>
      </x:c>
      <x:c r="W1868" s="47" t="n">
        <x:v>0</x:v>
      </x:c>
      <x:c r="X1868" s="47" t="n">
        <x:v>0</x:v>
      </x:c>
      <x:c r="Y1868" s="41" t="n">
        <x:v>0</x:v>
      </x:c>
    </x:row>
    <x:row r="1869">
      <x:c r="A1869" s="38" t="str">
        <x:v>7月29日现场数据</x:v>
      </x:c>
      <x:c r="B1869" s="66" t="str">
        <x:v>2026-07-29T03:20:32.719000</x:v>
      </x:c>
      <x:c r="C1869" s="47" t="n">
        <x:v>300970</x:v>
      </x:c>
      <x:c r="D1869" s="47" t="str"/>
      <x:c r="E1869" s="47" t="str"/>
      <x:c r="F1869" s="47" t="str">
        <x:v>current</x:v>
      </x:c>
      <x:c r="G1869" s="47" t="n">
        <x:v>34</x:v>
      </x:c>
      <x:c r="H1869" s="53" t="b">
        <x:v>1</x:v>
      </x:c>
      <x:c r="I1869" s="47" t="str">
        <x:v>578202819</x:v>
      </x:c>
      <x:c r="J1869" s="47" t="n">
        <x:v>10261264</x:v>
      </x:c>
      <x:c r="K1869" s="53" t="b">
        <x:v>1</x:v>
      </x:c>
      <x:c r="L1869" s="53" t="b">
        <x:v>1</x:v>
      </x:c>
      <x:c r="M1869" s="53" t="b">
        <x:v>1</x:v>
      </x:c>
      <x:c r="N1869" s="53" t="b">
        <x:v>1</x:v>
      </x:c>
      <x:c r="O1869" s="53" t="b">
        <x:v>1</x:v>
      </x:c>
      <x:c r="P1869" s="47" t="n">
        <x:v>1012</x:v>
      </x:c>
      <x:c r="Q1869" s="47" t="n">
        <x:v>0.028</x:v>
      </x:c>
      <x:c r="R1869" s="47" t="n">
        <x:v>0.758</x:v>
      </x:c>
      <x:c r="S1869" s="47" t="n">
        <x:v>29.81</x:v>
      </x:c>
      <x:c r="T1869" s="47" t="n">
        <x:v>70.53</x:v>
      </x:c>
      <x:c r="U1869" s="47" t="n">
        <x:v>30</x:v>
      </x:c>
      <x:c r="V1869" s="47" t="n">
        <x:v>13.6</x:v>
      </x:c>
      <x:c r="W1869" s="47" t="n">
        <x:v>0</x:v>
      </x:c>
      <x:c r="X1869" s="47" t="n">
        <x:v>0</x:v>
      </x:c>
      <x:c r="Y1869" s="41" t="n">
        <x:v>0</x:v>
      </x:c>
    </x:row>
    <x:row r="1870">
      <x:c r="A1870" s="38" t="str">
        <x:v>7月29日现场数据</x:v>
      </x:c>
      <x:c r="B1870" s="66" t="str">
        <x:v>2026-07-29T03:25:33.691000</x:v>
      </x:c>
      <x:c r="C1870" s="47" t="n">
        <x:v>300972</x:v>
      </x:c>
      <x:c r="D1870" s="47" t="str"/>
      <x:c r="E1870" s="47" t="str"/>
      <x:c r="F1870" s="47" t="str">
        <x:v>current</x:v>
      </x:c>
      <x:c r="G1870" s="47" t="n">
        <x:v>35</x:v>
      </x:c>
      <x:c r="H1870" s="53" t="b">
        <x:v>1</x:v>
      </x:c>
      <x:c r="I1870" s="47" t="str">
        <x:v>578202819</x:v>
      </x:c>
      <x:c r="J1870" s="47" t="n">
        <x:v>10562236</x:v>
      </x:c>
      <x:c r="K1870" s="53" t="b">
        <x:v>1</x:v>
      </x:c>
      <x:c r="L1870" s="53" t="b">
        <x:v>1</x:v>
      </x:c>
      <x:c r="M1870" s="53" t="b">
        <x:v>1</x:v>
      </x:c>
      <x:c r="N1870" s="53" t="b">
        <x:v>1</x:v>
      </x:c>
      <x:c r="O1870" s="53" t="b">
        <x:v>1</x:v>
      </x:c>
      <x:c r="P1870" s="47" t="n">
        <x:v>1013</x:v>
      </x:c>
      <x:c r="Q1870" s="47" t="n">
        <x:v>0</x:v>
      </x:c>
      <x:c r="R1870" s="47" t="n">
        <x:v>0</x:v>
      </x:c>
      <x:c r="S1870" s="47" t="n">
        <x:v>29.8</x:v>
      </x:c>
      <x:c r="T1870" s="47" t="n">
        <x:v>70.62</x:v>
      </x:c>
      <x:c r="U1870" s="47" t="n">
        <x:v>30</x:v>
      </x:c>
      <x:c r="V1870" s="47" t="n">
        <x:v>13.5</x:v>
      </x:c>
      <x:c r="W1870" s="47" t="n">
        <x:v>0</x:v>
      </x:c>
      <x:c r="X1870" s="47" t="n">
        <x:v>0</x:v>
      </x:c>
      <x:c r="Y1870" s="41" t="n">
        <x:v>0</x:v>
      </x:c>
    </x:row>
    <x:row r="1871">
      <x:c r="A1871" s="38" t="str">
        <x:v>7月29日现场数据</x:v>
      </x:c>
      <x:c r="B1871" s="66" t="str">
        <x:v>2026-07-29T03:30:34.664000</x:v>
      </x:c>
      <x:c r="C1871" s="47" t="n">
        <x:v>300973</x:v>
      </x:c>
      <x:c r="D1871" s="47" t="str"/>
      <x:c r="E1871" s="47" t="str"/>
      <x:c r="F1871" s="47" t="str">
        <x:v>current</x:v>
      </x:c>
      <x:c r="G1871" s="47" t="n">
        <x:v>36</x:v>
      </x:c>
      <x:c r="H1871" s="53" t="b">
        <x:v>1</x:v>
      </x:c>
      <x:c r="I1871" s="47" t="str">
        <x:v>578202819</x:v>
      </x:c>
      <x:c r="J1871" s="47" t="n">
        <x:v>10863209</x:v>
      </x:c>
      <x:c r="K1871" s="53" t="b">
        <x:v>1</x:v>
      </x:c>
      <x:c r="L1871" s="53" t="b">
        <x:v>1</x:v>
      </x:c>
      <x:c r="M1871" s="53" t="b">
        <x:v>1</x:v>
      </x:c>
      <x:c r="N1871" s="53" t="b">
        <x:v>1</x:v>
      </x:c>
      <x:c r="O1871" s="53" t="b">
        <x:v>1</x:v>
      </x:c>
      <x:c r="P1871" s="47" t="n">
        <x:v>1013</x:v>
      </x:c>
      <x:c r="Q1871" s="47" t="n">
        <x:v>0</x:v>
      </x:c>
      <x:c r="R1871" s="47" t="n">
        <x:v>0</x:v>
      </x:c>
      <x:c r="S1871" s="47" t="n">
        <x:v>29.8</x:v>
      </x:c>
      <x:c r="T1871" s="47" t="n">
        <x:v>70.58</x:v>
      </x:c>
      <x:c r="U1871" s="47" t="n">
        <x:v>30</x:v>
      </x:c>
      <x:c r="V1871" s="47" t="n">
        <x:v>13.5</x:v>
      </x:c>
      <x:c r="W1871" s="47" t="n">
        <x:v>0</x:v>
      </x:c>
      <x:c r="X1871" s="47" t="n">
        <x:v>0</x:v>
      </x:c>
      <x:c r="Y1871" s="41" t="n">
        <x:v>0</x:v>
      </x:c>
    </x:row>
    <x:row r="1872">
      <x:c r="A1872" s="38" t="str">
        <x:v>7月29日现场数据</x:v>
      </x:c>
      <x:c r="B1872" s="66" t="str">
        <x:v>2026-07-29T03:35:35.639000</x:v>
      </x:c>
      <x:c r="C1872" s="47" t="n">
        <x:v>300975</x:v>
      </x:c>
      <x:c r="D1872" s="47" t="str"/>
      <x:c r="E1872" s="47" t="str"/>
      <x:c r="F1872" s="47" t="str">
        <x:v>current</x:v>
      </x:c>
      <x:c r="G1872" s="47" t="n">
        <x:v>37</x:v>
      </x:c>
      <x:c r="H1872" s="53" t="b">
        <x:v>1</x:v>
      </x:c>
      <x:c r="I1872" s="47" t="str">
        <x:v>578202819</x:v>
      </x:c>
      <x:c r="J1872" s="47" t="n">
        <x:v>11164184</x:v>
      </x:c>
      <x:c r="K1872" s="53" t="b">
        <x:v>1</x:v>
      </x:c>
      <x:c r="L1872" s="53" t="b">
        <x:v>1</x:v>
      </x:c>
      <x:c r="M1872" s="53" t="b">
        <x:v>1</x:v>
      </x:c>
      <x:c r="N1872" s="53" t="b">
        <x:v>1</x:v>
      </x:c>
      <x:c r="O1872" s="53" t="b">
        <x:v>1</x:v>
      </x:c>
      <x:c r="P1872" s="47" t="n">
        <x:v>1013</x:v>
      </x:c>
      <x:c r="Q1872" s="47" t="n">
        <x:v>0</x:v>
      </x:c>
      <x:c r="R1872" s="47" t="n">
        <x:v>0</x:v>
      </x:c>
      <x:c r="S1872" s="47" t="n">
        <x:v>29.76</x:v>
      </x:c>
      <x:c r="T1872" s="47" t="n">
        <x:v>70.61</x:v>
      </x:c>
      <x:c r="U1872" s="47" t="n">
        <x:v>30</x:v>
      </x:c>
      <x:c r="V1872" s="47" t="n">
        <x:v>13.6</x:v>
      </x:c>
      <x:c r="W1872" s="47" t="n">
        <x:v>0</x:v>
      </x:c>
      <x:c r="X1872" s="47" t="n">
        <x:v>0</x:v>
      </x:c>
      <x:c r="Y1872" s="41" t="n">
        <x:v>0</x:v>
      </x:c>
    </x:row>
    <x:row r="1873">
      <x:c r="A1873" s="38" t="str">
        <x:v>7月29日现场数据</x:v>
      </x:c>
      <x:c r="B1873" s="66" t="str">
        <x:v>2026-07-29T03:40:36.646000</x:v>
      </x:c>
      <x:c r="C1873" s="47" t="n">
        <x:v>301007</x:v>
      </x:c>
      <x:c r="D1873" s="47" t="str"/>
      <x:c r="E1873" s="47" t="str"/>
      <x:c r="F1873" s="47" t="str">
        <x:v>current</x:v>
      </x:c>
      <x:c r="G1873" s="47" t="n">
        <x:v>38</x:v>
      </x:c>
      <x:c r="H1873" s="53" t="b">
        <x:v>1</x:v>
      </x:c>
      <x:c r="I1873" s="47" t="str">
        <x:v>578202819</x:v>
      </x:c>
      <x:c r="J1873" s="47" t="n">
        <x:v>11465191</x:v>
      </x:c>
      <x:c r="K1873" s="53" t="b">
        <x:v>1</x:v>
      </x:c>
      <x:c r="L1873" s="53" t="b">
        <x:v>1</x:v>
      </x:c>
      <x:c r="M1873" s="53" t="b">
        <x:v>1</x:v>
      </x:c>
      <x:c r="N1873" s="53" t="b">
        <x:v>1</x:v>
      </x:c>
      <x:c r="O1873" s="53" t="b">
        <x:v>1</x:v>
      </x:c>
      <x:c r="P1873" s="47" t="n">
        <x:v>1012</x:v>
      </x:c>
      <x:c r="Q1873" s="47" t="n">
        <x:v>0.121</x:v>
      </x:c>
      <x:c r="R1873" s="47" t="n">
        <x:v>3.264</x:v>
      </x:c>
      <x:c r="S1873" s="47" t="n">
        <x:v>29.74</x:v>
      </x:c>
      <x:c r="T1873" s="47" t="n">
        <x:v>70.62</x:v>
      </x:c>
      <x:c r="U1873" s="47" t="n">
        <x:v>30</x:v>
      </x:c>
      <x:c r="V1873" s="47" t="n">
        <x:v>13.6</x:v>
      </x:c>
      <x:c r="W1873" s="47" t="n">
        <x:v>0</x:v>
      </x:c>
      <x:c r="X1873" s="47" t="n">
        <x:v>0</x:v>
      </x:c>
      <x:c r="Y1873" s="41" t="n">
        <x:v>0</x:v>
      </x:c>
    </x:row>
    <x:row r="1874">
      <x:c r="A1874" s="38" t="str">
        <x:v>7月29日现场数据</x:v>
      </x:c>
      <x:c r="B1874" s="66" t="str">
        <x:v>2026-07-29T03:45:37.599000</x:v>
      </x:c>
      <x:c r="C1874" s="47" t="n">
        <x:v>300953</x:v>
      </x:c>
      <x:c r="D1874" s="47" t="str"/>
      <x:c r="E1874" s="47" t="str"/>
      <x:c r="F1874" s="47" t="str">
        <x:v>current</x:v>
      </x:c>
      <x:c r="G1874" s="47" t="n">
        <x:v>39</x:v>
      </x:c>
      <x:c r="H1874" s="53" t="b">
        <x:v>1</x:v>
      </x:c>
      <x:c r="I1874" s="47" t="str">
        <x:v>578202819</x:v>
      </x:c>
      <x:c r="J1874" s="47" t="n">
        <x:v>11766144</x:v>
      </x:c>
      <x:c r="K1874" s="53" t="b">
        <x:v>1</x:v>
      </x:c>
      <x:c r="L1874" s="53" t="b">
        <x:v>1</x:v>
      </x:c>
      <x:c r="M1874" s="53" t="b">
        <x:v>1</x:v>
      </x:c>
      <x:c r="N1874" s="53" t="b">
        <x:v>1</x:v>
      </x:c>
      <x:c r="O1874" s="53" t="b">
        <x:v>1</x:v>
      </x:c>
      <x:c r="P1874" s="47" t="n">
        <x:v>1012</x:v>
      </x:c>
      <x:c r="Q1874" s="47" t="n">
        <x:v>0</x:v>
      </x:c>
      <x:c r="R1874" s="47" t="n">
        <x:v>0</x:v>
      </x:c>
      <x:c r="S1874" s="47" t="n">
        <x:v>29.69</x:v>
      </x:c>
      <x:c r="T1874" s="47" t="n">
        <x:v>70.65</x:v>
      </x:c>
      <x:c r="U1874" s="47" t="n">
        <x:v>30</x:v>
      </x:c>
      <x:c r="V1874" s="47" t="n">
        <x:v>13.6</x:v>
      </x:c>
      <x:c r="W1874" s="47" t="n">
        <x:v>0</x:v>
      </x:c>
      <x:c r="X1874" s="47" t="n">
        <x:v>0</x:v>
      </x:c>
      <x:c r="Y1874" s="41" t="n">
        <x:v>0</x:v>
      </x:c>
    </x:row>
    <x:row r="1875">
      <x:c r="A1875" s="38" t="str">
        <x:v>7月29日现场数据</x:v>
      </x:c>
      <x:c r="B1875" s="66" t="str">
        <x:v>2026-07-29T03:50:38.554000</x:v>
      </x:c>
      <x:c r="C1875" s="47" t="n">
        <x:v>300955</x:v>
      </x:c>
      <x:c r="D1875" s="47" t="str"/>
      <x:c r="E1875" s="47" t="str"/>
      <x:c r="F1875" s="47" t="str">
        <x:v>current</x:v>
      </x:c>
      <x:c r="G1875" s="47" t="n">
        <x:v>40</x:v>
      </x:c>
      <x:c r="H1875" s="53" t="b">
        <x:v>1</x:v>
      </x:c>
      <x:c r="I1875" s="47" t="str">
        <x:v>578202819</x:v>
      </x:c>
      <x:c r="J1875" s="47" t="n">
        <x:v>12067099</x:v>
      </x:c>
      <x:c r="K1875" s="53" t="b">
        <x:v>1</x:v>
      </x:c>
      <x:c r="L1875" s="53" t="b">
        <x:v>1</x:v>
      </x:c>
      <x:c r="M1875" s="53" t="b">
        <x:v>1</x:v>
      </x:c>
      <x:c r="N1875" s="53" t="b">
        <x:v>1</x:v>
      </x:c>
      <x:c r="O1875" s="53" t="b">
        <x:v>1</x:v>
      </x:c>
      <x:c r="P1875" s="47" t="n">
        <x:v>1013</x:v>
      </x:c>
      <x:c r="Q1875" s="47" t="n">
        <x:v>0</x:v>
      </x:c>
      <x:c r="R1875" s="47" t="n">
        <x:v>0</x:v>
      </x:c>
      <x:c r="S1875" s="47" t="n">
        <x:v>29.68</x:v>
      </x:c>
      <x:c r="T1875" s="47" t="n">
        <x:v>70.64</x:v>
      </x:c>
      <x:c r="U1875" s="47" t="n">
        <x:v>30</x:v>
      </x:c>
      <x:c r="V1875" s="47" t="n">
        <x:v>13.5</x:v>
      </x:c>
      <x:c r="W1875" s="47" t="n">
        <x:v>0</x:v>
      </x:c>
      <x:c r="X1875" s="47" t="n">
        <x:v>0</x:v>
      </x:c>
      <x:c r="Y1875" s="41" t="n">
        <x:v>0</x:v>
      </x:c>
    </x:row>
    <x:row r="1876">
      <x:c r="A1876" s="38" t="str">
        <x:v>7月29日现场数据</x:v>
      </x:c>
      <x:c r="B1876" s="66" t="str">
        <x:v>2026-07-29T03:55:39.510000</x:v>
      </x:c>
      <x:c r="C1876" s="47" t="n">
        <x:v>300956</x:v>
      </x:c>
      <x:c r="D1876" s="47" t="str"/>
      <x:c r="E1876" s="47" t="str"/>
      <x:c r="F1876" s="47" t="str">
        <x:v>current</x:v>
      </x:c>
      <x:c r="G1876" s="47" t="n">
        <x:v>41</x:v>
      </x:c>
      <x:c r="H1876" s="53" t="b">
        <x:v>1</x:v>
      </x:c>
      <x:c r="I1876" s="47" t="str">
        <x:v>578202819</x:v>
      </x:c>
      <x:c r="J1876" s="47" t="n">
        <x:v>12368055</x:v>
      </x:c>
      <x:c r="K1876" s="53" t="b">
        <x:v>1</x:v>
      </x:c>
      <x:c r="L1876" s="53" t="b">
        <x:v>1</x:v>
      </x:c>
      <x:c r="M1876" s="53" t="b">
        <x:v>1</x:v>
      </x:c>
      <x:c r="N1876" s="53" t="b">
        <x:v>1</x:v>
      </x:c>
      <x:c r="O1876" s="53" t="b">
        <x:v>1</x:v>
      </x:c>
      <x:c r="P1876" s="47" t="n">
        <x:v>1013</x:v>
      </x:c>
      <x:c r="Q1876" s="47" t="n">
        <x:v>0</x:v>
      </x:c>
      <x:c r="R1876" s="47" t="n">
        <x:v>0</x:v>
      </x:c>
      <x:c r="S1876" s="47" t="n">
        <x:v>29.69</x:v>
      </x:c>
      <x:c r="T1876" s="47" t="n">
        <x:v>70.7</x:v>
      </x:c>
      <x:c r="U1876" s="47" t="n">
        <x:v>30</x:v>
      </x:c>
      <x:c r="V1876" s="47" t="n">
        <x:v>13.6</x:v>
      </x:c>
      <x:c r="W1876" s="47" t="n">
        <x:v>0</x:v>
      </x:c>
      <x:c r="X1876" s="47" t="n">
        <x:v>0</x:v>
      </x:c>
      <x:c r="Y1876" s="41" t="n">
        <x:v>0</x:v>
      </x:c>
    </x:row>
    <x:row r="1877">
      <x:c r="A1877" s="38" t="str">
        <x:v>7月29日现场数据</x:v>
      </x:c>
      <x:c r="B1877" s="66" t="str">
        <x:v>2026-07-29T04:00:40.469000</x:v>
      </x:c>
      <x:c r="C1877" s="47" t="n">
        <x:v>300959</x:v>
      </x:c>
      <x:c r="D1877" s="47" t="str"/>
      <x:c r="E1877" s="47" t="str"/>
      <x:c r="F1877" s="47" t="str">
        <x:v>current</x:v>
      </x:c>
      <x:c r="G1877" s="47" t="n">
        <x:v>42</x:v>
      </x:c>
      <x:c r="H1877" s="53" t="b">
        <x:v>1</x:v>
      </x:c>
      <x:c r="I1877" s="47" t="str">
        <x:v>578202819</x:v>
      </x:c>
      <x:c r="J1877" s="47" t="n">
        <x:v>12669014</x:v>
      </x:c>
      <x:c r="K1877" s="53" t="b">
        <x:v>1</x:v>
      </x:c>
      <x:c r="L1877" s="53" t="b">
        <x:v>1</x:v>
      </x:c>
      <x:c r="M1877" s="53" t="b">
        <x:v>1</x:v>
      </x:c>
      <x:c r="N1877" s="53" t="b">
        <x:v>1</x:v>
      </x:c>
      <x:c r="O1877" s="53" t="b">
        <x:v>1</x:v>
      </x:c>
      <x:c r="P1877" s="47" t="n">
        <x:v>1013</x:v>
      </x:c>
      <x:c r="Q1877" s="47" t="n">
        <x:v>0</x:v>
      </x:c>
      <x:c r="R1877" s="47" t="n">
        <x:v>0</x:v>
      </x:c>
      <x:c r="S1877" s="47" t="n">
        <x:v>29.64</x:v>
      </x:c>
      <x:c r="T1877" s="47" t="n">
        <x:v>70.73</x:v>
      </x:c>
      <x:c r="U1877" s="47" t="n">
        <x:v>30</x:v>
      </x:c>
      <x:c r="V1877" s="47" t="n">
        <x:v>13.6</x:v>
      </x:c>
      <x:c r="W1877" s="47" t="n">
        <x:v>0</x:v>
      </x:c>
      <x:c r="X1877" s="47" t="n">
        <x:v>0</x:v>
      </x:c>
      <x:c r="Y1877" s="41" t="n">
        <x:v>0</x:v>
      </x:c>
    </x:row>
    <x:row r="1878">
      <x:c r="A1878" s="38" t="str">
        <x:v>7月29日现场数据</x:v>
      </x:c>
      <x:c r="B1878" s="66" t="str">
        <x:v>2026-07-29T04:05:41.429000</x:v>
      </x:c>
      <x:c r="C1878" s="47" t="n">
        <x:v>300960</x:v>
      </x:c>
      <x:c r="D1878" s="47" t="str"/>
      <x:c r="E1878" s="47" t="str"/>
      <x:c r="F1878" s="47" t="str">
        <x:v>current</x:v>
      </x:c>
      <x:c r="G1878" s="47" t="n">
        <x:v>43</x:v>
      </x:c>
      <x:c r="H1878" s="53" t="b">
        <x:v>1</x:v>
      </x:c>
      <x:c r="I1878" s="47" t="str">
        <x:v>578202819</x:v>
      </x:c>
      <x:c r="J1878" s="47" t="n">
        <x:v>12969974</x:v>
      </x:c>
      <x:c r="K1878" s="53" t="b">
        <x:v>1</x:v>
      </x:c>
      <x:c r="L1878" s="53" t="b">
        <x:v>1</x:v>
      </x:c>
      <x:c r="M1878" s="53" t="b">
        <x:v>1</x:v>
      </x:c>
      <x:c r="N1878" s="53" t="b">
        <x:v>1</x:v>
      </x:c>
      <x:c r="O1878" s="53" t="b">
        <x:v>1</x:v>
      </x:c>
      <x:c r="P1878" s="47" t="n">
        <x:v>1013</x:v>
      </x:c>
      <x:c r="Q1878" s="47" t="n">
        <x:v>0</x:v>
      </x:c>
      <x:c r="R1878" s="47" t="n">
        <x:v>0</x:v>
      </x:c>
      <x:c r="S1878" s="47" t="n">
        <x:v>29.62</x:v>
      </x:c>
      <x:c r="T1878" s="47" t="n">
        <x:v>70.79</x:v>
      </x:c>
      <x:c r="U1878" s="47" t="n">
        <x:v>30</x:v>
      </x:c>
      <x:c r="V1878" s="47" t="n">
        <x:v>13.6</x:v>
      </x:c>
      <x:c r="W1878" s="47" t="n">
        <x:v>0</x:v>
      </x:c>
      <x:c r="X1878" s="47" t="n">
        <x:v>0</x:v>
      </x:c>
      <x:c r="Y1878" s="41" t="n">
        <x:v>0</x:v>
      </x:c>
    </x:row>
    <x:row r="1879">
      <x:c r="A1879" s="38" t="str">
        <x:v>7月29日现场数据</x:v>
      </x:c>
      <x:c r="B1879" s="66" t="str">
        <x:v>2026-07-29T04:10:42.391000</x:v>
      </x:c>
      <x:c r="C1879" s="47" t="n">
        <x:v>300962</x:v>
      </x:c>
      <x:c r="D1879" s="47" t="str"/>
      <x:c r="E1879" s="47" t="str"/>
      <x:c r="F1879" s="47" t="str">
        <x:v>current</x:v>
      </x:c>
      <x:c r="G1879" s="47" t="n">
        <x:v>44</x:v>
      </x:c>
      <x:c r="H1879" s="53" t="b">
        <x:v>1</x:v>
      </x:c>
      <x:c r="I1879" s="47" t="str">
        <x:v>578202819</x:v>
      </x:c>
      <x:c r="J1879" s="47" t="n">
        <x:v>13270936</x:v>
      </x:c>
      <x:c r="K1879" s="53" t="b">
        <x:v>1</x:v>
      </x:c>
      <x:c r="L1879" s="53" t="b">
        <x:v>1</x:v>
      </x:c>
      <x:c r="M1879" s="53" t="b">
        <x:v>1</x:v>
      </x:c>
      <x:c r="N1879" s="53" t="b">
        <x:v>1</x:v>
      </x:c>
      <x:c r="O1879" s="53" t="b">
        <x:v>1</x:v>
      </x:c>
      <x:c r="P1879" s="47" t="n">
        <x:v>1013</x:v>
      </x:c>
      <x:c r="Q1879" s="47" t="n">
        <x:v>0</x:v>
      </x:c>
      <x:c r="R1879" s="47" t="n">
        <x:v>0</x:v>
      </x:c>
      <x:c r="S1879" s="47" t="n">
        <x:v>29.65</x:v>
      </x:c>
      <x:c r="T1879" s="47" t="n">
        <x:v>70.79</x:v>
      </x:c>
      <x:c r="U1879" s="47" t="n">
        <x:v>30</x:v>
      </x:c>
      <x:c r="V1879" s="47" t="n">
        <x:v>13.6</x:v>
      </x:c>
      <x:c r="W1879" s="47" t="n">
        <x:v>0</x:v>
      </x:c>
      <x:c r="X1879" s="47" t="n">
        <x:v>0</x:v>
      </x:c>
      <x:c r="Y1879" s="41" t="n">
        <x:v>0</x:v>
      </x:c>
    </x:row>
    <x:row r="1880">
      <x:c r="A1880" s="38" t="str">
        <x:v>7月29日现场数据</x:v>
      </x:c>
      <x:c r="B1880" s="66" t="str">
        <x:v>2026-07-29T04:15:43.354000</x:v>
      </x:c>
      <x:c r="C1880" s="47" t="n">
        <x:v>300963</x:v>
      </x:c>
      <x:c r="D1880" s="47" t="str"/>
      <x:c r="E1880" s="47" t="str"/>
      <x:c r="F1880" s="47" t="str">
        <x:v>current</x:v>
      </x:c>
      <x:c r="G1880" s="47" t="n">
        <x:v>45</x:v>
      </x:c>
      <x:c r="H1880" s="53" t="b">
        <x:v>1</x:v>
      </x:c>
      <x:c r="I1880" s="47" t="str">
        <x:v>578202819</x:v>
      </x:c>
      <x:c r="J1880" s="47" t="n">
        <x:v>13571899</x:v>
      </x:c>
      <x:c r="K1880" s="53" t="b">
        <x:v>1</x:v>
      </x:c>
      <x:c r="L1880" s="53" t="b">
        <x:v>1</x:v>
      </x:c>
      <x:c r="M1880" s="53" t="b">
        <x:v>1</x:v>
      </x:c>
      <x:c r="N1880" s="53" t="b">
        <x:v>1</x:v>
      </x:c>
      <x:c r="O1880" s="53" t="b">
        <x:v>1</x:v>
      </x:c>
      <x:c r="P1880" s="47" t="n">
        <x:v>1013</x:v>
      </x:c>
      <x:c r="Q1880" s="47" t="n">
        <x:v>0</x:v>
      </x:c>
      <x:c r="R1880" s="47" t="n">
        <x:v>0</x:v>
      </x:c>
      <x:c r="S1880" s="47" t="n">
        <x:v>29.58</x:v>
      </x:c>
      <x:c r="T1880" s="47" t="n">
        <x:v>70.78</x:v>
      </x:c>
      <x:c r="U1880" s="47" t="n">
        <x:v>30</x:v>
      </x:c>
      <x:c r="V1880" s="47" t="n">
        <x:v>13.5</x:v>
      </x:c>
      <x:c r="W1880" s="47" t="n">
        <x:v>0</x:v>
      </x:c>
      <x:c r="X1880" s="47" t="n">
        <x:v>0</x:v>
      </x:c>
      <x:c r="Y1880" s="41" t="n">
        <x:v>0</x:v>
      </x:c>
    </x:row>
    <x:row r="1881">
      <x:c r="A1881" s="38" t="str">
        <x:v>7月29日现场数据</x:v>
      </x:c>
      <x:c r="B1881" s="66" t="str">
        <x:v>2026-07-29T04:20:44.319000</x:v>
      </x:c>
      <x:c r="C1881" s="47" t="n">
        <x:v>300965</x:v>
      </x:c>
      <x:c r="D1881" s="47" t="str"/>
      <x:c r="E1881" s="47" t="str"/>
      <x:c r="F1881" s="47" t="str">
        <x:v>current</x:v>
      </x:c>
      <x:c r="G1881" s="47" t="n">
        <x:v>46</x:v>
      </x:c>
      <x:c r="H1881" s="53" t="b">
        <x:v>1</x:v>
      </x:c>
      <x:c r="I1881" s="47" t="str">
        <x:v>578202819</x:v>
      </x:c>
      <x:c r="J1881" s="47" t="n">
        <x:v>13872864</x:v>
      </x:c>
      <x:c r="K1881" s="53" t="b">
        <x:v>1</x:v>
      </x:c>
      <x:c r="L1881" s="53" t="b">
        <x:v>1</x:v>
      </x:c>
      <x:c r="M1881" s="53" t="b">
        <x:v>1</x:v>
      </x:c>
      <x:c r="N1881" s="53" t="b">
        <x:v>1</x:v>
      </x:c>
      <x:c r="O1881" s="53" t="b">
        <x:v>1</x:v>
      </x:c>
      <x:c r="P1881" s="47" t="n">
        <x:v>1013</x:v>
      </x:c>
      <x:c r="Q1881" s="47" t="n">
        <x:v>0</x:v>
      </x:c>
      <x:c r="R1881" s="47" t="n">
        <x:v>0</x:v>
      </x:c>
      <x:c r="S1881" s="47" t="n">
        <x:v>29.58</x:v>
      </x:c>
      <x:c r="T1881" s="47" t="n">
        <x:v>70.81</x:v>
      </x:c>
      <x:c r="U1881" s="47" t="n">
        <x:v>29.9</x:v>
      </x:c>
      <x:c r="V1881" s="47" t="n">
        <x:v>13.6</x:v>
      </x:c>
      <x:c r="W1881" s="47" t="n">
        <x:v>0</x:v>
      </x:c>
      <x:c r="X1881" s="47" t="n">
        <x:v>0</x:v>
      </x:c>
      <x:c r="Y1881" s="41" t="n">
        <x:v>0</x:v>
      </x:c>
    </x:row>
    <x:row r="1882">
      <x:c r="A1882" s="38" t="str">
        <x:v>7月29日现场数据</x:v>
      </x:c>
      <x:c r="B1882" s="66" t="str">
        <x:v>2026-07-29T04:25:45.290000</x:v>
      </x:c>
      <x:c r="C1882" s="47" t="n">
        <x:v>300971</x:v>
      </x:c>
      <x:c r="D1882" s="47" t="str"/>
      <x:c r="E1882" s="47" t="str"/>
      <x:c r="F1882" s="47" t="str">
        <x:v>current</x:v>
      </x:c>
      <x:c r="G1882" s="47" t="n">
        <x:v>47</x:v>
      </x:c>
      <x:c r="H1882" s="53" t="b">
        <x:v>1</x:v>
      </x:c>
      <x:c r="I1882" s="47" t="str">
        <x:v>578202819</x:v>
      </x:c>
      <x:c r="J1882" s="47" t="n">
        <x:v>14173835</x:v>
      </x:c>
      <x:c r="K1882" s="53" t="b">
        <x:v>1</x:v>
      </x:c>
      <x:c r="L1882" s="53" t="b">
        <x:v>1</x:v>
      </x:c>
      <x:c r="M1882" s="53" t="b">
        <x:v>1</x:v>
      </x:c>
      <x:c r="N1882" s="53" t="b">
        <x:v>1</x:v>
      </x:c>
      <x:c r="O1882" s="53" t="b">
        <x:v>1</x:v>
      </x:c>
      <x:c r="P1882" s="47" t="n">
        <x:v>1013</x:v>
      </x:c>
      <x:c r="Q1882" s="47" t="n">
        <x:v>0</x:v>
      </x:c>
      <x:c r="R1882" s="47" t="n">
        <x:v>0</x:v>
      </x:c>
      <x:c r="S1882" s="47" t="n">
        <x:v>29.56</x:v>
      </x:c>
      <x:c r="T1882" s="47" t="n">
        <x:v>70.87</x:v>
      </x:c>
      <x:c r="U1882" s="47" t="n">
        <x:v>29.9</x:v>
      </x:c>
      <x:c r="V1882" s="47" t="n">
        <x:v>13.5</x:v>
      </x:c>
      <x:c r="W1882" s="47" t="n">
        <x:v>0</x:v>
      </x:c>
      <x:c r="X1882" s="47" t="n">
        <x:v>0</x:v>
      </x:c>
      <x:c r="Y1882" s="41" t="n">
        <x:v>0</x:v>
      </x:c>
    </x:row>
    <x:row r="1883">
      <x:c r="A1883" s="38" t="str">
        <x:v>7月29日现场数据</x:v>
      </x:c>
      <x:c r="B1883" s="66" t="str">
        <x:v>2026-07-29T04:30:46.260000</x:v>
      </x:c>
      <x:c r="C1883" s="47" t="n">
        <x:v>300970</x:v>
      </x:c>
      <x:c r="D1883" s="47" t="str"/>
      <x:c r="E1883" s="47" t="str"/>
      <x:c r="F1883" s="47" t="str">
        <x:v>current</x:v>
      </x:c>
      <x:c r="G1883" s="47" t="n">
        <x:v>48</x:v>
      </x:c>
      <x:c r="H1883" s="53" t="b">
        <x:v>1</x:v>
      </x:c>
      <x:c r="I1883" s="47" t="str">
        <x:v>578202819</x:v>
      </x:c>
      <x:c r="J1883" s="47" t="n">
        <x:v>14474805</x:v>
      </x:c>
      <x:c r="K1883" s="53" t="b">
        <x:v>1</x:v>
      </x:c>
      <x:c r="L1883" s="53" t="b">
        <x:v>1</x:v>
      </x:c>
      <x:c r="M1883" s="53" t="b">
        <x:v>1</x:v>
      </x:c>
      <x:c r="N1883" s="53" t="b">
        <x:v>1</x:v>
      </x:c>
      <x:c r="O1883" s="53" t="b">
        <x:v>1</x:v>
      </x:c>
      <x:c r="P1883" s="47" t="n">
        <x:v>1013</x:v>
      </x:c>
      <x:c r="Q1883" s="47" t="n">
        <x:v>0.023</x:v>
      </x:c>
      <x:c r="R1883" s="47" t="n">
        <x:v>0.626</x:v>
      </x:c>
      <x:c r="S1883" s="47" t="n">
        <x:v>29.58</x:v>
      </x:c>
      <x:c r="T1883" s="47" t="n">
        <x:v>70.89</x:v>
      </x:c>
      <x:c r="U1883" s="47" t="n">
        <x:v>29.9</x:v>
      </x:c>
      <x:c r="V1883" s="47" t="n">
        <x:v>13.6</x:v>
      </x:c>
      <x:c r="W1883" s="47" t="n">
        <x:v>0</x:v>
      </x:c>
      <x:c r="X1883" s="47" t="n">
        <x:v>0</x:v>
      </x:c>
      <x:c r="Y1883" s="41" t="n">
        <x:v>0</x:v>
      </x:c>
    </x:row>
    <x:row r="1884">
      <x:c r="A1884" s="38" t="str">
        <x:v>7月29日现场数据</x:v>
      </x:c>
      <x:c r="B1884" s="66" t="str">
        <x:v>2026-07-29T04:35:47.230000</x:v>
      </x:c>
      <x:c r="C1884" s="47" t="n">
        <x:v>300970</x:v>
      </x:c>
      <x:c r="D1884" s="47" t="str"/>
      <x:c r="E1884" s="47" t="str"/>
      <x:c r="F1884" s="47" t="str">
        <x:v>current</x:v>
      </x:c>
      <x:c r="G1884" s="47" t="n">
        <x:v>49</x:v>
      </x:c>
      <x:c r="H1884" s="53" t="b">
        <x:v>1</x:v>
      </x:c>
      <x:c r="I1884" s="47" t="str">
        <x:v>578202819</x:v>
      </x:c>
      <x:c r="J1884" s="47" t="n">
        <x:v>14775775</x:v>
      </x:c>
      <x:c r="K1884" s="53" t="b">
        <x:v>1</x:v>
      </x:c>
      <x:c r="L1884" s="53" t="b">
        <x:v>1</x:v>
      </x:c>
      <x:c r="M1884" s="53" t="b">
        <x:v>1</x:v>
      </x:c>
      <x:c r="N1884" s="53" t="b">
        <x:v>1</x:v>
      </x:c>
      <x:c r="O1884" s="53" t="b">
        <x:v>1</x:v>
      </x:c>
      <x:c r="P1884" s="47" t="n">
        <x:v>1013</x:v>
      </x:c>
      <x:c r="Q1884" s="47" t="n">
        <x:v>0</x:v>
      </x:c>
      <x:c r="R1884" s="47" t="n">
        <x:v>0</x:v>
      </x:c>
      <x:c r="S1884" s="47" t="n">
        <x:v>29.59</x:v>
      </x:c>
      <x:c r="T1884" s="47" t="n">
        <x:v>70.91</x:v>
      </x:c>
      <x:c r="U1884" s="47" t="n">
        <x:v>29.9</x:v>
      </x:c>
      <x:c r="V1884" s="47" t="n">
        <x:v>13.6</x:v>
      </x:c>
      <x:c r="W1884" s="47" t="n">
        <x:v>0</x:v>
      </x:c>
      <x:c r="X1884" s="47" t="n">
        <x:v>0</x:v>
      </x:c>
      <x:c r="Y1884" s="41" t="n">
        <x:v>0</x:v>
      </x:c>
    </x:row>
    <x:row r="1885">
      <x:c r="A1885" s="38" t="str">
        <x:v>7月29日现场数据</x:v>
      </x:c>
      <x:c r="B1885" s="66" t="str">
        <x:v>2026-07-29T04:40:48.202000</x:v>
      </x:c>
      <x:c r="C1885" s="47" t="n">
        <x:v>300972</x:v>
      </x:c>
      <x:c r="D1885" s="47" t="str"/>
      <x:c r="E1885" s="47" t="str"/>
      <x:c r="F1885" s="47" t="str">
        <x:v>current</x:v>
      </x:c>
      <x:c r="G1885" s="47" t="n">
        <x:v>50</x:v>
      </x:c>
      <x:c r="H1885" s="53" t="b">
        <x:v>1</x:v>
      </x:c>
      <x:c r="I1885" s="47" t="str">
        <x:v>578202819</x:v>
      </x:c>
      <x:c r="J1885" s="47" t="n">
        <x:v>15076747</x:v>
      </x:c>
      <x:c r="K1885" s="53" t="b">
        <x:v>1</x:v>
      </x:c>
      <x:c r="L1885" s="53" t="b">
        <x:v>1</x:v>
      </x:c>
      <x:c r="M1885" s="53" t="b">
        <x:v>1</x:v>
      </x:c>
      <x:c r="N1885" s="53" t="b">
        <x:v>1</x:v>
      </x:c>
      <x:c r="O1885" s="53" t="b">
        <x:v>1</x:v>
      </x:c>
      <x:c r="P1885" s="47" t="n">
        <x:v>1013</x:v>
      </x:c>
      <x:c r="Q1885" s="47" t="n">
        <x:v>0</x:v>
      </x:c>
      <x:c r="R1885" s="47" t="n">
        <x:v>0</x:v>
      </x:c>
      <x:c r="S1885" s="47" t="n">
        <x:v>29.64</x:v>
      </x:c>
      <x:c r="T1885" s="47" t="n">
        <x:v>70.96</x:v>
      </x:c>
      <x:c r="U1885" s="47" t="n">
        <x:v>29.9</x:v>
      </x:c>
      <x:c r="V1885" s="47" t="n">
        <x:v>13.6</x:v>
      </x:c>
      <x:c r="W1885" s="47" t="n">
        <x:v>0</x:v>
      </x:c>
      <x:c r="X1885" s="47" t="n">
        <x:v>0</x:v>
      </x:c>
      <x:c r="Y1885" s="41" t="n">
        <x:v>0</x:v>
      </x:c>
    </x:row>
    <x:row r="1886">
      <x:c r="A1886" s="38" t="str">
        <x:v>7月29日现场数据</x:v>
      </x:c>
      <x:c r="B1886" s="66" t="str">
        <x:v>2026-07-29T04:45:49.176000</x:v>
      </x:c>
      <x:c r="C1886" s="47" t="n">
        <x:v>300974</x:v>
      </x:c>
      <x:c r="D1886" s="47" t="str"/>
      <x:c r="E1886" s="47" t="str"/>
      <x:c r="F1886" s="47" t="str">
        <x:v>current</x:v>
      </x:c>
      <x:c r="G1886" s="47" t="n">
        <x:v>51</x:v>
      </x:c>
      <x:c r="H1886" s="53" t="b">
        <x:v>1</x:v>
      </x:c>
      <x:c r="I1886" s="47" t="str">
        <x:v>578202819</x:v>
      </x:c>
      <x:c r="J1886" s="47" t="n">
        <x:v>15377721</x:v>
      </x:c>
      <x:c r="K1886" s="53" t="b">
        <x:v>1</x:v>
      </x:c>
      <x:c r="L1886" s="53" t="b">
        <x:v>1</x:v>
      </x:c>
      <x:c r="M1886" s="53" t="b">
        <x:v>1</x:v>
      </x:c>
      <x:c r="N1886" s="53" t="b">
        <x:v>1</x:v>
      </x:c>
      <x:c r="O1886" s="53" t="b">
        <x:v>1</x:v>
      </x:c>
      <x:c r="P1886" s="47" t="n">
        <x:v>1013</x:v>
      </x:c>
      <x:c r="Q1886" s="47" t="n">
        <x:v>0</x:v>
      </x:c>
      <x:c r="R1886" s="47" t="n">
        <x:v>0</x:v>
      </x:c>
      <x:c r="S1886" s="47" t="n">
        <x:v>29.61</x:v>
      </x:c>
      <x:c r="T1886" s="47" t="n">
        <x:v>70.96</x:v>
      </x:c>
      <x:c r="U1886" s="47" t="n">
        <x:v>29.9</x:v>
      </x:c>
      <x:c r="V1886" s="47" t="n">
        <x:v>13.5</x:v>
      </x:c>
      <x:c r="W1886" s="47" t="n">
        <x:v>0</x:v>
      </x:c>
      <x:c r="X1886" s="47" t="n">
        <x:v>0</x:v>
      </x:c>
      <x:c r="Y1886" s="41" t="n">
        <x:v>0</x:v>
      </x:c>
    </x:row>
    <x:row r="1887">
      <x:c r="A1887" s="38" t="str">
        <x:v>7月29日现场数据</x:v>
      </x:c>
      <x:c r="B1887" s="66" t="str">
        <x:v>2026-07-29T04:50:50.153000</x:v>
      </x:c>
      <x:c r="C1887" s="47" t="n">
        <x:v>300977</x:v>
      </x:c>
      <x:c r="D1887" s="47" t="str"/>
      <x:c r="E1887" s="47" t="str"/>
      <x:c r="F1887" s="47" t="str">
        <x:v>current</x:v>
      </x:c>
      <x:c r="G1887" s="47" t="n">
        <x:v>52</x:v>
      </x:c>
      <x:c r="H1887" s="53" t="b">
        <x:v>1</x:v>
      </x:c>
      <x:c r="I1887" s="47" t="str">
        <x:v>578202819</x:v>
      </x:c>
      <x:c r="J1887" s="47" t="n">
        <x:v>15678698</x:v>
      </x:c>
      <x:c r="K1887" s="53" t="b">
        <x:v>1</x:v>
      </x:c>
      <x:c r="L1887" s="53" t="b">
        <x:v>1</x:v>
      </x:c>
      <x:c r="M1887" s="53" t="b">
        <x:v>1</x:v>
      </x:c>
      <x:c r="N1887" s="53" t="b">
        <x:v>1</x:v>
      </x:c>
      <x:c r="O1887" s="53" t="b">
        <x:v>1</x:v>
      </x:c>
      <x:c r="P1887" s="47" t="n">
        <x:v>1013</x:v>
      </x:c>
      <x:c r="Q1887" s="47" t="n">
        <x:v>0</x:v>
      </x:c>
      <x:c r="R1887" s="47" t="n">
        <x:v>0</x:v>
      </x:c>
      <x:c r="S1887" s="47" t="n">
        <x:v>29.58</x:v>
      </x:c>
      <x:c r="T1887" s="47" t="n">
        <x:v>71.03</x:v>
      </x:c>
      <x:c r="U1887" s="47" t="n">
        <x:v>29.9</x:v>
      </x:c>
      <x:c r="V1887" s="47" t="n">
        <x:v>13.6</x:v>
      </x:c>
      <x:c r="W1887" s="47" t="n">
        <x:v>0</x:v>
      </x:c>
      <x:c r="X1887" s="47" t="n">
        <x:v>0</x:v>
      </x:c>
      <x:c r="Y1887" s="41" t="n">
        <x:v>0</x:v>
      </x:c>
    </x:row>
    <x:row r="1888">
      <x:c r="A1888" s="38" t="str">
        <x:v>7月29日现场数据</x:v>
      </x:c>
      <x:c r="B1888" s="66" t="str">
        <x:v>2026-07-29T04:55:51.132000</x:v>
      </x:c>
      <x:c r="C1888" s="47" t="n">
        <x:v>300979</x:v>
      </x:c>
      <x:c r="D1888" s="47" t="str"/>
      <x:c r="E1888" s="47" t="str"/>
      <x:c r="F1888" s="47" t="str">
        <x:v>current</x:v>
      </x:c>
      <x:c r="G1888" s="47" t="n">
        <x:v>53</x:v>
      </x:c>
      <x:c r="H1888" s="53" t="b">
        <x:v>1</x:v>
      </x:c>
      <x:c r="I1888" s="47" t="str">
        <x:v>578202819</x:v>
      </x:c>
      <x:c r="J1888" s="47" t="n">
        <x:v>15979677</x:v>
      </x:c>
      <x:c r="K1888" s="53" t="b">
        <x:v>1</x:v>
      </x:c>
      <x:c r="L1888" s="53" t="b">
        <x:v>1</x:v>
      </x:c>
      <x:c r="M1888" s="53" t="b">
        <x:v>1</x:v>
      </x:c>
      <x:c r="N1888" s="53" t="b">
        <x:v>1</x:v>
      </x:c>
      <x:c r="O1888" s="53" t="b">
        <x:v>1</x:v>
      </x:c>
      <x:c r="P1888" s="47" t="n">
        <x:v>1013</x:v>
      </x:c>
      <x:c r="Q1888" s="47" t="n">
        <x:v>0</x:v>
      </x:c>
      <x:c r="R1888" s="47" t="n">
        <x:v>0</x:v>
      </x:c>
      <x:c r="S1888" s="47" t="n">
        <x:v>29.54</x:v>
      </x:c>
      <x:c r="T1888" s="47" t="n">
        <x:v>71.03</x:v>
      </x:c>
      <x:c r="U1888" s="47" t="n">
        <x:v>29.8</x:v>
      </x:c>
      <x:c r="V1888" s="47" t="n">
        <x:v>13.6</x:v>
      </x:c>
      <x:c r="W1888" s="47" t="n">
        <x:v>0</x:v>
      </x:c>
      <x:c r="X1888" s="47" t="n">
        <x:v>0</x:v>
      </x:c>
      <x:c r="Y1888" s="41" t="n">
        <x:v>0</x:v>
      </x:c>
    </x:row>
    <x:row r="1889">
      <x:c r="A1889" s="38" t="str">
        <x:v>7月29日现场数据</x:v>
      </x:c>
      <x:c r="B1889" s="66" t="str">
        <x:v>2026-07-29T05:00:52.142000</x:v>
      </x:c>
      <x:c r="C1889" s="47" t="n">
        <x:v>301010</x:v>
      </x:c>
      <x:c r="D1889" s="47" t="str"/>
      <x:c r="E1889" s="47" t="str"/>
      <x:c r="F1889" s="47" t="str">
        <x:v>current</x:v>
      </x:c>
      <x:c r="G1889" s="47" t="n">
        <x:v>54</x:v>
      </x:c>
      <x:c r="H1889" s="53" t="b">
        <x:v>1</x:v>
      </x:c>
      <x:c r="I1889" s="47" t="str">
        <x:v>578202819</x:v>
      </x:c>
      <x:c r="J1889" s="47" t="n">
        <x:v>16280687</x:v>
      </x:c>
      <x:c r="K1889" s="53" t="b">
        <x:v>1</x:v>
      </x:c>
      <x:c r="L1889" s="53" t="b">
        <x:v>1</x:v>
      </x:c>
      <x:c r="M1889" s="53" t="b">
        <x:v>1</x:v>
      </x:c>
      <x:c r="N1889" s="53" t="b">
        <x:v>1</x:v>
      </x:c>
      <x:c r="O1889" s="53" t="b">
        <x:v>1</x:v>
      </x:c>
      <x:c r="P1889" s="47" t="n">
        <x:v>1013</x:v>
      </x:c>
      <x:c r="Q1889" s="47" t="n">
        <x:v>0</x:v>
      </x:c>
      <x:c r="R1889" s="47" t="n">
        <x:v>0</x:v>
      </x:c>
      <x:c r="S1889" s="47" t="n">
        <x:v>29.52</x:v>
      </x:c>
      <x:c r="T1889" s="47" t="n">
        <x:v>71.06</x:v>
      </x:c>
      <x:c r="U1889" s="47" t="n">
        <x:v>29.8</x:v>
      </x:c>
      <x:c r="V1889" s="47" t="n">
        <x:v>13.6</x:v>
      </x:c>
      <x:c r="W1889" s="47" t="n">
        <x:v>0</x:v>
      </x:c>
      <x:c r="X1889" s="47" t="n">
        <x:v>0</x:v>
      </x:c>
      <x:c r="Y1889" s="41" t="n">
        <x:v>0</x:v>
      </x:c>
    </x:row>
    <x:row r="1890">
      <x:c r="A1890" s="38" t="str">
        <x:v>7月29日现场数据</x:v>
      </x:c>
      <x:c r="B1890" s="66" t="str">
        <x:v>2026-07-29T05:05:53.097000</x:v>
      </x:c>
      <x:c r="C1890" s="47" t="n">
        <x:v>300955</x:v>
      </x:c>
      <x:c r="D1890" s="47" t="str"/>
      <x:c r="E1890" s="47" t="str"/>
      <x:c r="F1890" s="47" t="str">
        <x:v>current</x:v>
      </x:c>
      <x:c r="G1890" s="47" t="n">
        <x:v>55</x:v>
      </x:c>
      <x:c r="H1890" s="53" t="b">
        <x:v>1</x:v>
      </x:c>
      <x:c r="I1890" s="47" t="str">
        <x:v>578202819</x:v>
      </x:c>
      <x:c r="J1890" s="47" t="n">
        <x:v>16581642</x:v>
      </x:c>
      <x:c r="K1890" s="53" t="b">
        <x:v>1</x:v>
      </x:c>
      <x:c r="L1890" s="53" t="b">
        <x:v>1</x:v>
      </x:c>
      <x:c r="M1890" s="53" t="b">
        <x:v>1</x:v>
      </x:c>
      <x:c r="N1890" s="53" t="b">
        <x:v>1</x:v>
      </x:c>
      <x:c r="O1890" s="53" t="b">
        <x:v>1</x:v>
      </x:c>
      <x:c r="P1890" s="47" t="n">
        <x:v>1013</x:v>
      </x:c>
      <x:c r="Q1890" s="47" t="n">
        <x:v>0</x:v>
      </x:c>
      <x:c r="R1890" s="47" t="n">
        <x:v>0</x:v>
      </x:c>
      <x:c r="S1890" s="47" t="n">
        <x:v>29.46</x:v>
      </x:c>
      <x:c r="T1890" s="47" t="n">
        <x:v>71.11</x:v>
      </x:c>
      <x:c r="U1890" s="47" t="n">
        <x:v>29.8</x:v>
      </x:c>
      <x:c r="V1890" s="47" t="n">
        <x:v>13.6</x:v>
      </x:c>
      <x:c r="W1890" s="47" t="n">
        <x:v>0</x:v>
      </x:c>
      <x:c r="X1890" s="47" t="n">
        <x:v>1</x:v>
      </x:c>
      <x:c r="Y1890" s="41" t="n">
        <x:v>1</x:v>
      </x:c>
    </x:row>
    <x:row r="1891">
      <x:c r="A1891" s="38" t="str">
        <x:v>7月29日现场数据</x:v>
      </x:c>
      <x:c r="B1891" s="66" t="str">
        <x:v>2026-07-29T05:10:54.053000</x:v>
      </x:c>
      <x:c r="C1891" s="47" t="n">
        <x:v>300956</x:v>
      </x:c>
      <x:c r="D1891" s="47" t="str"/>
      <x:c r="E1891" s="47" t="str"/>
      <x:c r="F1891" s="47" t="str">
        <x:v>current</x:v>
      </x:c>
      <x:c r="G1891" s="47" t="n">
        <x:v>56</x:v>
      </x:c>
      <x:c r="H1891" s="53" t="b">
        <x:v>1</x:v>
      </x:c>
      <x:c r="I1891" s="47" t="str">
        <x:v>578202819</x:v>
      </x:c>
      <x:c r="J1891" s="47" t="n">
        <x:v>16882598</x:v>
      </x:c>
      <x:c r="K1891" s="53" t="b">
        <x:v>1</x:v>
      </x:c>
      <x:c r="L1891" s="53" t="b">
        <x:v>1</x:v>
      </x:c>
      <x:c r="M1891" s="53" t="b">
        <x:v>1</x:v>
      </x:c>
      <x:c r="N1891" s="53" t="b">
        <x:v>1</x:v>
      </x:c>
      <x:c r="O1891" s="53" t="b">
        <x:v>1</x:v>
      </x:c>
      <x:c r="P1891" s="47" t="n">
        <x:v>1013</x:v>
      </x:c>
      <x:c r="Q1891" s="47" t="n">
        <x:v>0</x:v>
      </x:c>
      <x:c r="R1891" s="47" t="n">
        <x:v>0</x:v>
      </x:c>
      <x:c r="S1891" s="47" t="n">
        <x:v>29.46</x:v>
      </x:c>
      <x:c r="T1891" s="47" t="n">
        <x:v>71.07</x:v>
      </x:c>
      <x:c r="U1891" s="47" t="n">
        <x:v>29.8</x:v>
      </x:c>
      <x:c r="V1891" s="47" t="n">
        <x:v>13.6</x:v>
      </x:c>
      <x:c r="W1891" s="47" t="n">
        <x:v>0</x:v>
      </x:c>
      <x:c r="X1891" s="47" t="n">
        <x:v>1</x:v>
      </x:c>
      <x:c r="Y1891" s="41" t="n">
        <x:v>1</x:v>
      </x:c>
    </x:row>
    <x:row r="1892">
      <x:c r="A1892" s="38" t="str">
        <x:v>7月29日现场数据</x:v>
      </x:c>
      <x:c r="B1892" s="66" t="str">
        <x:v>2026-07-29T05:15:55.012000</x:v>
      </x:c>
      <x:c r="C1892" s="47" t="n">
        <x:v>300959</x:v>
      </x:c>
      <x:c r="D1892" s="47" t="str"/>
      <x:c r="E1892" s="47" t="str"/>
      <x:c r="F1892" s="47" t="str">
        <x:v>current</x:v>
      </x:c>
      <x:c r="G1892" s="47" t="n">
        <x:v>57</x:v>
      </x:c>
      <x:c r="H1892" s="53" t="b">
        <x:v>1</x:v>
      </x:c>
      <x:c r="I1892" s="47" t="str">
        <x:v>578202819</x:v>
      </x:c>
      <x:c r="J1892" s="47" t="n">
        <x:v>17183557</x:v>
      </x:c>
      <x:c r="K1892" s="53" t="b">
        <x:v>1</x:v>
      </x:c>
      <x:c r="L1892" s="53" t="b">
        <x:v>1</x:v>
      </x:c>
      <x:c r="M1892" s="53" t="b">
        <x:v>1</x:v>
      </x:c>
      <x:c r="N1892" s="53" t="b">
        <x:v>1</x:v>
      </x:c>
      <x:c r="O1892" s="53" t="b">
        <x:v>1</x:v>
      </x:c>
      <x:c r="P1892" s="47" t="n">
        <x:v>1013</x:v>
      </x:c>
      <x:c r="Q1892" s="47" t="n">
        <x:v>0</x:v>
      </x:c>
      <x:c r="R1892" s="47" t="n">
        <x:v>0</x:v>
      </x:c>
      <x:c r="S1892" s="47" t="n">
        <x:v>29.43</x:v>
      </x:c>
      <x:c r="T1892" s="47" t="n">
        <x:v>71.13</x:v>
      </x:c>
      <x:c r="U1892" s="47" t="n">
        <x:v>29.9</x:v>
      </x:c>
      <x:c r="V1892" s="47" t="n">
        <x:v>13.6</x:v>
      </x:c>
      <x:c r="W1892" s="47" t="n">
        <x:v>0</x:v>
      </x:c>
      <x:c r="X1892" s="47" t="n">
        <x:v>2</x:v>
      </x:c>
      <x:c r="Y1892" s="41" t="n">
        <x:v>2</x:v>
      </x:c>
    </x:row>
    <x:row r="1893">
      <x:c r="A1893" s="38" t="str">
        <x:v>7月29日现场数据</x:v>
      </x:c>
      <x:c r="B1893" s="66" t="str">
        <x:v>2026-07-29T05:20:55.973000</x:v>
      </x:c>
      <x:c r="C1893" s="47" t="n">
        <x:v>300961</x:v>
      </x:c>
      <x:c r="D1893" s="47" t="str"/>
      <x:c r="E1893" s="47" t="str"/>
      <x:c r="F1893" s="47" t="str">
        <x:v>current</x:v>
      </x:c>
      <x:c r="G1893" s="47" t="n">
        <x:v>58</x:v>
      </x:c>
      <x:c r="H1893" s="53" t="b">
        <x:v>1</x:v>
      </x:c>
      <x:c r="I1893" s="47" t="str">
        <x:v>578202819</x:v>
      </x:c>
      <x:c r="J1893" s="47" t="n">
        <x:v>17484518</x:v>
      </x:c>
      <x:c r="K1893" s="53" t="b">
        <x:v>1</x:v>
      </x:c>
      <x:c r="L1893" s="53" t="b">
        <x:v>1</x:v>
      </x:c>
      <x:c r="M1893" s="53" t="b">
        <x:v>1</x:v>
      </x:c>
      <x:c r="N1893" s="53" t="b">
        <x:v>1</x:v>
      </x:c>
      <x:c r="O1893" s="53" t="b">
        <x:v>1</x:v>
      </x:c>
      <x:c r="P1893" s="47" t="n">
        <x:v>1013</x:v>
      </x:c>
      <x:c r="Q1893" s="47" t="n">
        <x:v>0</x:v>
      </x:c>
      <x:c r="R1893" s="47" t="n">
        <x:v>0</x:v>
      </x:c>
      <x:c r="S1893" s="47" t="n">
        <x:v>29.45</x:v>
      </x:c>
      <x:c r="T1893" s="47" t="n">
        <x:v>71.13</x:v>
      </x:c>
      <x:c r="U1893" s="47" t="n">
        <x:v>29.8</x:v>
      </x:c>
      <x:c r="V1893" s="47" t="n">
        <x:v>13.6</x:v>
      </x:c>
      <x:c r="W1893" s="47" t="n">
        <x:v>0</x:v>
      </x:c>
      <x:c r="X1893" s="47" t="n">
        <x:v>3</x:v>
      </x:c>
      <x:c r="Y1893" s="41" t="n">
        <x:v>3</x:v>
      </x:c>
    </x:row>
    <x:row r="1894">
      <x:c r="A1894" s="38" t="str">
        <x:v>7月29日现场数据</x:v>
      </x:c>
      <x:c r="B1894" s="66" t="str">
        <x:v>2026-07-29T05:25:56.936000</x:v>
      </x:c>
      <x:c r="C1894" s="47" t="n">
        <x:v>300963</x:v>
      </x:c>
      <x:c r="D1894" s="47" t="str"/>
      <x:c r="E1894" s="47" t="str"/>
      <x:c r="F1894" s="47" t="str">
        <x:v>current</x:v>
      </x:c>
      <x:c r="G1894" s="47" t="n">
        <x:v>59</x:v>
      </x:c>
      <x:c r="H1894" s="53" t="b">
        <x:v>1</x:v>
      </x:c>
      <x:c r="I1894" s="47" t="str">
        <x:v>578202819</x:v>
      </x:c>
      <x:c r="J1894" s="47" t="n">
        <x:v>17785481</x:v>
      </x:c>
      <x:c r="K1894" s="53" t="b">
        <x:v>1</x:v>
      </x:c>
      <x:c r="L1894" s="53" t="b">
        <x:v>1</x:v>
      </x:c>
      <x:c r="M1894" s="53" t="b">
        <x:v>1</x:v>
      </x:c>
      <x:c r="N1894" s="53" t="b">
        <x:v>1</x:v>
      </x:c>
      <x:c r="O1894" s="53" t="b">
        <x:v>1</x:v>
      </x:c>
      <x:c r="P1894" s="47" t="n">
        <x:v>1013</x:v>
      </x:c>
      <x:c r="Q1894" s="47" t="n">
        <x:v>0</x:v>
      </x:c>
      <x:c r="R1894" s="47" t="n">
        <x:v>0</x:v>
      </x:c>
      <x:c r="S1894" s="47" t="n">
        <x:v>29.51</x:v>
      </x:c>
      <x:c r="T1894" s="47" t="n">
        <x:v>71.21</x:v>
      </x:c>
      <x:c r="U1894" s="47" t="n">
        <x:v>29.8</x:v>
      </x:c>
      <x:c r="V1894" s="47" t="n">
        <x:v>13.6</x:v>
      </x:c>
      <x:c r="W1894" s="47" t="n">
        <x:v>1</x:v>
      </x:c>
      <x:c r="X1894" s="47" t="n">
        <x:v>4</x:v>
      </x:c>
      <x:c r="Y1894" s="41" t="n">
        <x:v>3</x:v>
      </x:c>
    </x:row>
    <x:row r="1895">
      <x:c r="A1895" s="38" t="str">
        <x:v>7月29日现场数据</x:v>
      </x:c>
      <x:c r="B1895" s="66" t="str">
        <x:v>2026-07-29T05:30:57.902000</x:v>
      </x:c>
      <x:c r="C1895" s="47" t="n">
        <x:v>300966</x:v>
      </x:c>
      <x:c r="D1895" s="47" t="str"/>
      <x:c r="E1895" s="47" t="str"/>
      <x:c r="F1895" s="47" t="str">
        <x:v>current</x:v>
      </x:c>
      <x:c r="G1895" s="47" t="n">
        <x:v>60</x:v>
      </x:c>
      <x:c r="H1895" s="53" t="b">
        <x:v>1</x:v>
      </x:c>
      <x:c r="I1895" s="47" t="str">
        <x:v>578202819</x:v>
      </x:c>
      <x:c r="J1895" s="47" t="n">
        <x:v>18086447</x:v>
      </x:c>
      <x:c r="K1895" s="53" t="b">
        <x:v>1</x:v>
      </x:c>
      <x:c r="L1895" s="53" t="b">
        <x:v>1</x:v>
      </x:c>
      <x:c r="M1895" s="53" t="b">
        <x:v>1</x:v>
      </x:c>
      <x:c r="N1895" s="53" t="b">
        <x:v>1</x:v>
      </x:c>
      <x:c r="O1895" s="53" t="b">
        <x:v>1</x:v>
      </x:c>
      <x:c r="P1895" s="47" t="n">
        <x:v>1013</x:v>
      </x:c>
      <x:c r="Q1895" s="47" t="n">
        <x:v>0.004</x:v>
      </x:c>
      <x:c r="R1895" s="47" t="n">
        <x:v>0.099</x:v>
      </x:c>
      <x:c r="S1895" s="47" t="n">
        <x:v>29.56</x:v>
      </x:c>
      <x:c r="T1895" s="47" t="n">
        <x:v>71.25</x:v>
      </x:c>
      <x:c r="U1895" s="47" t="n">
        <x:v>29.8</x:v>
      </x:c>
      <x:c r="V1895" s="47" t="n">
        <x:v>13.6</x:v>
      </x:c>
      <x:c r="W1895" s="47" t="n">
        <x:v>1</x:v>
      </x:c>
      <x:c r="X1895" s="47" t="n">
        <x:v>5</x:v>
      </x:c>
      <x:c r="Y1895" s="41" t="n">
        <x:v>4</x:v>
      </x:c>
    </x:row>
    <x:row r="1896">
      <x:c r="A1896" s="38" t="str">
        <x:v>7月29日现场数据</x:v>
      </x:c>
      <x:c r="B1896" s="66" t="str">
        <x:v>2026-07-29T05:35:58.869000</x:v>
      </x:c>
      <x:c r="C1896" s="47" t="n">
        <x:v>300967</x:v>
      </x:c>
      <x:c r="D1896" s="47" t="str"/>
      <x:c r="E1896" s="47" t="str"/>
      <x:c r="F1896" s="47" t="str">
        <x:v>current</x:v>
      </x:c>
      <x:c r="G1896" s="47" t="n">
        <x:v>61</x:v>
      </x:c>
      <x:c r="H1896" s="53" t="b">
        <x:v>1</x:v>
      </x:c>
      <x:c r="I1896" s="47" t="str">
        <x:v>578202819</x:v>
      </x:c>
      <x:c r="J1896" s="47" t="n">
        <x:v>18387414</x:v>
      </x:c>
      <x:c r="K1896" s="53" t="b">
        <x:v>1</x:v>
      </x:c>
      <x:c r="L1896" s="53" t="b">
        <x:v>1</x:v>
      </x:c>
      <x:c r="M1896" s="53" t="b">
        <x:v>1</x:v>
      </x:c>
      <x:c r="N1896" s="53" t="b">
        <x:v>1</x:v>
      </x:c>
      <x:c r="O1896" s="53" t="b">
        <x:v>1</x:v>
      </x:c>
      <x:c r="P1896" s="47" t="n">
        <x:v>1013</x:v>
      </x:c>
      <x:c r="Q1896" s="47" t="n">
        <x:v>0</x:v>
      </x:c>
      <x:c r="R1896" s="47" t="n">
        <x:v>0</x:v>
      </x:c>
      <x:c r="S1896" s="47" t="n">
        <x:v>29.58</x:v>
      </x:c>
      <x:c r="T1896" s="47" t="n">
        <x:v>71.3</x:v>
      </x:c>
      <x:c r="U1896" s="47" t="n">
        <x:v>29.8</x:v>
      </x:c>
      <x:c r="V1896" s="47" t="n">
        <x:v>13.5</x:v>
      </x:c>
      <x:c r="W1896" s="47" t="n">
        <x:v>1</x:v>
      </x:c>
      <x:c r="X1896" s="47" t="n">
        <x:v>6</x:v>
      </x:c>
      <x:c r="Y1896" s="41" t="n">
        <x:v>5</x:v>
      </x:c>
    </x:row>
    <x:row r="1897">
      <x:c r="A1897" s="38" t="str">
        <x:v>7月29日现场数据</x:v>
      </x:c>
      <x:c r="B1897" s="66" t="str">
        <x:v>2026-07-29T05:40:59.835000</x:v>
      </x:c>
      <x:c r="C1897" s="47" t="n">
        <x:v>300966</x:v>
      </x:c>
      <x:c r="D1897" s="47" t="str"/>
      <x:c r="E1897" s="47" t="str"/>
      <x:c r="F1897" s="47" t="str">
        <x:v>current</x:v>
      </x:c>
      <x:c r="G1897" s="47" t="n">
        <x:v>62</x:v>
      </x:c>
      <x:c r="H1897" s="53" t="b">
        <x:v>1</x:v>
      </x:c>
      <x:c r="I1897" s="47" t="str">
        <x:v>578202819</x:v>
      </x:c>
      <x:c r="J1897" s="47" t="n">
        <x:v>18688380</x:v>
      </x:c>
      <x:c r="K1897" s="53" t="b">
        <x:v>1</x:v>
      </x:c>
      <x:c r="L1897" s="53" t="b">
        <x:v>1</x:v>
      </x:c>
      <x:c r="M1897" s="53" t="b">
        <x:v>1</x:v>
      </x:c>
      <x:c r="N1897" s="53" t="b">
        <x:v>1</x:v>
      </x:c>
      <x:c r="O1897" s="53" t="b">
        <x:v>1</x:v>
      </x:c>
      <x:c r="P1897" s="47" t="n">
        <x:v>1013</x:v>
      </x:c>
      <x:c r="Q1897" s="47" t="n">
        <x:v>0</x:v>
      </x:c>
      <x:c r="R1897" s="47" t="n">
        <x:v>0</x:v>
      </x:c>
      <x:c r="S1897" s="47" t="n">
        <x:v>29.59</x:v>
      </x:c>
      <x:c r="T1897" s="47" t="n">
        <x:v>71.34</x:v>
      </x:c>
      <x:c r="U1897" s="47" t="n">
        <x:v>29.8</x:v>
      </x:c>
      <x:c r="V1897" s="47" t="n">
        <x:v>13.6</x:v>
      </x:c>
      <x:c r="W1897" s="47" t="n">
        <x:v>2</x:v>
      </x:c>
      <x:c r="X1897" s="47" t="n">
        <x:v>7</x:v>
      </x:c>
      <x:c r="Y1897" s="41" t="n">
        <x:v>5</x:v>
      </x:c>
    </x:row>
    <x:row r="1898">
      <x:c r="A1898" s="38" t="str">
        <x:v>7月29日现场数据</x:v>
      </x:c>
      <x:c r="B1898" s="66" t="str">
        <x:v>2026-07-29T05:46:00.804000</x:v>
      </x:c>
      <x:c r="C1898" s="47" t="n">
        <x:v>300969</x:v>
      </x:c>
      <x:c r="D1898" s="47" t="str"/>
      <x:c r="E1898" s="47" t="str"/>
      <x:c r="F1898" s="47" t="str">
        <x:v>current</x:v>
      </x:c>
      <x:c r="G1898" s="47" t="n">
        <x:v>63</x:v>
      </x:c>
      <x:c r="H1898" s="53" t="b">
        <x:v>1</x:v>
      </x:c>
      <x:c r="I1898" s="47" t="str">
        <x:v>578202819</x:v>
      </x:c>
      <x:c r="J1898" s="47" t="n">
        <x:v>18989349</x:v>
      </x:c>
      <x:c r="K1898" s="53" t="b">
        <x:v>1</x:v>
      </x:c>
      <x:c r="L1898" s="53" t="b">
        <x:v>1</x:v>
      </x:c>
      <x:c r="M1898" s="53" t="b">
        <x:v>1</x:v>
      </x:c>
      <x:c r="N1898" s="53" t="b">
        <x:v>1</x:v>
      </x:c>
      <x:c r="O1898" s="53" t="b">
        <x:v>1</x:v>
      </x:c>
      <x:c r="P1898" s="47" t="n">
        <x:v>1013</x:v>
      </x:c>
      <x:c r="Q1898" s="47" t="n">
        <x:v>0</x:v>
      </x:c>
      <x:c r="R1898" s="47" t="n">
        <x:v>0</x:v>
      </x:c>
      <x:c r="S1898" s="47" t="n">
        <x:v>29.56</x:v>
      </x:c>
      <x:c r="T1898" s="47" t="n">
        <x:v>71.33</x:v>
      </x:c>
      <x:c r="U1898" s="47" t="n">
        <x:v>29.8</x:v>
      </x:c>
      <x:c r="V1898" s="47" t="n">
        <x:v>13.6</x:v>
      </x:c>
      <x:c r="W1898" s="47" t="n">
        <x:v>2</x:v>
      </x:c>
      <x:c r="X1898" s="47" t="n">
        <x:v>8</x:v>
      </x:c>
      <x:c r="Y1898" s="41" t="n">
        <x:v>6</x:v>
      </x:c>
    </x:row>
    <x:row r="1899">
      <x:c r="A1899" s="38" t="str">
        <x:v>7月29日现场数据</x:v>
      </x:c>
      <x:c r="B1899" s="66" t="str">
        <x:v>2026-07-29T05:51:01.776000</x:v>
      </x:c>
      <x:c r="C1899" s="47" t="n">
        <x:v>300972</x:v>
      </x:c>
      <x:c r="D1899" s="47" t="str"/>
      <x:c r="E1899" s="47" t="str"/>
      <x:c r="F1899" s="47" t="str">
        <x:v>current</x:v>
      </x:c>
      <x:c r="G1899" s="47" t="n">
        <x:v>64</x:v>
      </x:c>
      <x:c r="H1899" s="53" t="b">
        <x:v>1</x:v>
      </x:c>
      <x:c r="I1899" s="47" t="str">
        <x:v>578202819</x:v>
      </x:c>
      <x:c r="J1899" s="47" t="n">
        <x:v>19290321</x:v>
      </x:c>
      <x:c r="K1899" s="53" t="b">
        <x:v>1</x:v>
      </x:c>
      <x:c r="L1899" s="53" t="b">
        <x:v>1</x:v>
      </x:c>
      <x:c r="M1899" s="53" t="b">
        <x:v>1</x:v>
      </x:c>
      <x:c r="N1899" s="53" t="b">
        <x:v>1</x:v>
      </x:c>
      <x:c r="O1899" s="53" t="b">
        <x:v>1</x:v>
      </x:c>
      <x:c r="P1899" s="47" t="n">
        <x:v>1013</x:v>
      </x:c>
      <x:c r="Q1899" s="47" t="n">
        <x:v>0</x:v>
      </x:c>
      <x:c r="R1899" s="47" t="n">
        <x:v>0</x:v>
      </x:c>
      <x:c r="S1899" s="47" t="n">
        <x:v>29.64</x:v>
      </x:c>
      <x:c r="T1899" s="47" t="n">
        <x:v>71.43</x:v>
      </x:c>
      <x:c r="U1899" s="47" t="n">
        <x:v>29.8</x:v>
      </x:c>
      <x:c r="V1899" s="47" t="n">
        <x:v>13.5</x:v>
      </x:c>
      <x:c r="W1899" s="47" t="n">
        <x:v>2</x:v>
      </x:c>
      <x:c r="X1899" s="47" t="n">
        <x:v>9</x:v>
      </x:c>
      <x:c r="Y1899" s="41" t="n">
        <x:v>7</x:v>
      </x:c>
    </x:row>
    <x:row r="1900">
      <x:c r="A1900" s="38" t="str">
        <x:v>7月29日现场数据</x:v>
      </x:c>
      <x:c r="B1900" s="66" t="str">
        <x:v>2026-07-29T05:56:02.751000</x:v>
      </x:c>
      <x:c r="C1900" s="47" t="n">
        <x:v>300975</x:v>
      </x:c>
      <x:c r="D1900" s="47" t="str"/>
      <x:c r="E1900" s="47" t="str"/>
      <x:c r="F1900" s="47" t="str">
        <x:v>current</x:v>
      </x:c>
      <x:c r="G1900" s="47" t="n">
        <x:v>65</x:v>
      </x:c>
      <x:c r="H1900" s="53" t="b">
        <x:v>1</x:v>
      </x:c>
      <x:c r="I1900" s="47" t="str">
        <x:v>578202819</x:v>
      </x:c>
      <x:c r="J1900" s="47" t="n">
        <x:v>19591296</x:v>
      </x:c>
      <x:c r="K1900" s="53" t="b">
        <x:v>1</x:v>
      </x:c>
      <x:c r="L1900" s="53" t="b">
        <x:v>1</x:v>
      </x:c>
      <x:c r="M1900" s="53" t="b">
        <x:v>1</x:v>
      </x:c>
      <x:c r="N1900" s="53" t="b">
        <x:v>1</x:v>
      </x:c>
      <x:c r="O1900" s="53" t="b">
        <x:v>1</x:v>
      </x:c>
      <x:c r="P1900" s="47" t="n">
        <x:v>1013</x:v>
      </x:c>
      <x:c r="Q1900" s="47" t="n">
        <x:v>0</x:v>
      </x:c>
      <x:c r="R1900" s="47" t="n">
        <x:v>0</x:v>
      </x:c>
      <x:c r="S1900" s="47" t="n">
        <x:v>29.69</x:v>
      </x:c>
      <x:c r="T1900" s="47" t="n">
        <x:v>71.46</x:v>
      </x:c>
      <x:c r="U1900" s="47" t="n">
        <x:v>29.8</x:v>
      </x:c>
      <x:c r="V1900" s="47" t="n">
        <x:v>13.6</x:v>
      </x:c>
      <x:c r="W1900" s="47" t="n">
        <x:v>3</x:v>
      </x:c>
      <x:c r="X1900" s="47" t="n">
        <x:v>12</x:v>
      </x:c>
      <x:c r="Y1900" s="41" t="n">
        <x:v>9</x:v>
      </x:c>
    </x:row>
    <x:row r="1901">
      <x:c r="A1901" s="38" t="str">
        <x:v>7月29日现场数据</x:v>
      </x:c>
      <x:c r="B1901" s="66" t="str">
        <x:v>2026-07-29T06:01:03.728000</x:v>
      </x:c>
      <x:c r="C1901" s="47" t="n">
        <x:v>300977</x:v>
      </x:c>
      <x:c r="D1901" s="47" t="str"/>
      <x:c r="E1901" s="47" t="str"/>
      <x:c r="F1901" s="47" t="str">
        <x:v>current</x:v>
      </x:c>
      <x:c r="G1901" s="47" t="n">
        <x:v>66</x:v>
      </x:c>
      <x:c r="H1901" s="53" t="b">
        <x:v>1</x:v>
      </x:c>
      <x:c r="I1901" s="47" t="str">
        <x:v>578202819</x:v>
      </x:c>
      <x:c r="J1901" s="47" t="n">
        <x:v>19892273</x:v>
      </x:c>
      <x:c r="K1901" s="53" t="b">
        <x:v>1</x:v>
      </x:c>
      <x:c r="L1901" s="53" t="b">
        <x:v>1</x:v>
      </x:c>
      <x:c r="M1901" s="53" t="b">
        <x:v>1</x:v>
      </x:c>
      <x:c r="N1901" s="53" t="b">
        <x:v>1</x:v>
      </x:c>
      <x:c r="O1901" s="53" t="b">
        <x:v>1</x:v>
      </x:c>
      <x:c r="P1901" s="47" t="n">
        <x:v>1013</x:v>
      </x:c>
      <x:c r="Q1901" s="47" t="n">
        <x:v>0</x:v>
      </x:c>
      <x:c r="R1901" s="47" t="n">
        <x:v>0</x:v>
      </x:c>
      <x:c r="S1901" s="47" t="n">
        <x:v>29.71</x:v>
      </x:c>
      <x:c r="T1901" s="47" t="n">
        <x:v>71.51</x:v>
      </x:c>
      <x:c r="U1901" s="47" t="n">
        <x:v>29.8</x:v>
      </x:c>
      <x:c r="V1901" s="47" t="n">
        <x:v>13.6</x:v>
      </x:c>
      <x:c r="W1901" s="47" t="n">
        <x:v>3</x:v>
      </x:c>
      <x:c r="X1901" s="47" t="n">
        <x:v>12</x:v>
      </x:c>
      <x:c r="Y1901" s="41" t="n">
        <x:v>9</x:v>
      </x:c>
    </x:row>
    <x:row r="1902">
      <x:c r="A1902" s="38" t="str">
        <x:v>7月29日现场数据</x:v>
      </x:c>
      <x:c r="B1902" s="66" t="str">
        <x:v>2026-07-29T06:06:04.705000</x:v>
      </x:c>
      <x:c r="C1902" s="47" t="n">
        <x:v>300977</x:v>
      </x:c>
      <x:c r="D1902" s="47" t="str"/>
      <x:c r="E1902" s="47" t="str"/>
      <x:c r="F1902" s="47" t="str">
        <x:v>current</x:v>
      </x:c>
      <x:c r="G1902" s="47" t="n">
        <x:v>67</x:v>
      </x:c>
      <x:c r="H1902" s="53" t="b">
        <x:v>1</x:v>
      </x:c>
      <x:c r="I1902" s="47" t="str">
        <x:v>578202819</x:v>
      </x:c>
      <x:c r="J1902" s="47" t="n">
        <x:v>20193250</x:v>
      </x:c>
      <x:c r="K1902" s="53" t="b">
        <x:v>1</x:v>
      </x:c>
      <x:c r="L1902" s="53" t="b">
        <x:v>1</x:v>
      </x:c>
      <x:c r="M1902" s="53" t="b">
        <x:v>1</x:v>
      </x:c>
      <x:c r="N1902" s="53" t="b">
        <x:v>1</x:v>
      </x:c>
      <x:c r="O1902" s="53" t="b">
        <x:v>1</x:v>
      </x:c>
      <x:c r="P1902" s="47" t="n">
        <x:v>1013</x:v>
      </x:c>
      <x:c r="Q1902" s="47" t="n">
        <x:v>0</x:v>
      </x:c>
      <x:c r="R1902" s="47" t="n">
        <x:v>0</x:v>
      </x:c>
      <x:c r="S1902" s="47" t="n">
        <x:v>29.77</x:v>
      </x:c>
      <x:c r="T1902" s="47" t="n">
        <x:v>71.6</x:v>
      </x:c>
      <x:c r="U1902" s="47" t="n">
        <x:v>29.8</x:v>
      </x:c>
      <x:c r="V1902" s="47" t="n">
        <x:v>13.5</x:v>
      </x:c>
      <x:c r="W1902" s="47" t="n">
        <x:v>3</x:v>
      </x:c>
      <x:c r="X1902" s="47" t="n">
        <x:v>13</x:v>
      </x:c>
      <x:c r="Y1902" s="41" t="n">
        <x:v>10</x:v>
      </x:c>
    </x:row>
    <x:row r="1903">
      <x:c r="A1903" s="38" t="str">
        <x:v>7月29日现场数据</x:v>
      </x:c>
      <x:c r="B1903" s="66" t="str">
        <x:v>2026-07-29T06:11:05.682000</x:v>
      </x:c>
      <x:c r="C1903" s="47" t="n">
        <x:v>300977</x:v>
      </x:c>
      <x:c r="D1903" s="47" t="str"/>
      <x:c r="E1903" s="47" t="str"/>
      <x:c r="F1903" s="47" t="str">
        <x:v>current</x:v>
      </x:c>
      <x:c r="G1903" s="47" t="n">
        <x:v>68</x:v>
      </x:c>
      <x:c r="H1903" s="53" t="b">
        <x:v>1</x:v>
      </x:c>
      <x:c r="I1903" s="47" t="str">
        <x:v>578202819</x:v>
      </x:c>
      <x:c r="J1903" s="47" t="n">
        <x:v>20494227</x:v>
      </x:c>
      <x:c r="K1903" s="53" t="b">
        <x:v>1</x:v>
      </x:c>
      <x:c r="L1903" s="53" t="b">
        <x:v>1</x:v>
      </x:c>
      <x:c r="M1903" s="53" t="b">
        <x:v>1</x:v>
      </x:c>
      <x:c r="N1903" s="53" t="b">
        <x:v>1</x:v>
      </x:c>
      <x:c r="O1903" s="53" t="b">
        <x:v>1</x:v>
      </x:c>
      <x:c r="P1903" s="47" t="n">
        <x:v>1013</x:v>
      </x:c>
      <x:c r="Q1903" s="47" t="n">
        <x:v>0</x:v>
      </x:c>
      <x:c r="R1903" s="47" t="n">
        <x:v>0</x:v>
      </x:c>
      <x:c r="S1903" s="47" t="n">
        <x:v>29.8</x:v>
      </x:c>
      <x:c r="T1903" s="47" t="n">
        <x:v>71.61</x:v>
      </x:c>
      <x:c r="U1903" s="47" t="n">
        <x:v>29.8</x:v>
      </x:c>
      <x:c r="V1903" s="47" t="n">
        <x:v>13.6</x:v>
      </x:c>
      <x:c r="W1903" s="47" t="n">
        <x:v>3</x:v>
      </x:c>
      <x:c r="X1903" s="47" t="n">
        <x:v>12</x:v>
      </x:c>
      <x:c r="Y1903" s="41" t="n">
        <x:v>9</x:v>
      </x:c>
    </x:row>
    <x:row r="1904">
      <x:c r="A1904" s="38" t="str">
        <x:v>7月29日现场数据</x:v>
      </x:c>
      <x:c r="B1904" s="66" t="str">
        <x:v>2026-07-29T06:16:06.662000</x:v>
      </x:c>
      <x:c r="C1904" s="47" t="n">
        <x:v>300980</x:v>
      </x:c>
      <x:c r="D1904" s="47" t="str"/>
      <x:c r="E1904" s="47" t="str"/>
      <x:c r="F1904" s="47" t="str">
        <x:v>current</x:v>
      </x:c>
      <x:c r="G1904" s="47" t="n">
        <x:v>69</x:v>
      </x:c>
      <x:c r="H1904" s="53" t="b">
        <x:v>1</x:v>
      </x:c>
      <x:c r="I1904" s="47" t="str">
        <x:v>578202819</x:v>
      </x:c>
      <x:c r="J1904" s="47" t="n">
        <x:v>20795207</x:v>
      </x:c>
      <x:c r="K1904" s="53" t="b">
        <x:v>1</x:v>
      </x:c>
      <x:c r="L1904" s="53" t="b">
        <x:v>1</x:v>
      </x:c>
      <x:c r="M1904" s="53" t="b">
        <x:v>1</x:v>
      </x:c>
      <x:c r="N1904" s="53" t="b">
        <x:v>1</x:v>
      </x:c>
      <x:c r="O1904" s="53" t="b">
        <x:v>1</x:v>
      </x:c>
      <x:c r="P1904" s="47" t="n">
        <x:v>1013</x:v>
      </x:c>
      <x:c r="Q1904" s="47" t="n">
        <x:v>0</x:v>
      </x:c>
      <x:c r="R1904" s="47" t="n">
        <x:v>0</x:v>
      </x:c>
      <x:c r="S1904" s="47" t="n">
        <x:v>29.84</x:v>
      </x:c>
      <x:c r="T1904" s="47" t="n">
        <x:v>71.66</x:v>
      </x:c>
      <x:c r="U1904" s="47" t="n">
        <x:v>29.8</x:v>
      </x:c>
      <x:c r="V1904" s="47" t="n">
        <x:v>13.6</x:v>
      </x:c>
      <x:c r="W1904" s="47" t="n">
        <x:v>3</x:v>
      </x:c>
      <x:c r="X1904" s="47" t="n">
        <x:v>12</x:v>
      </x:c>
      <x:c r="Y1904" s="41" t="n">
        <x:v>9</x:v>
      </x:c>
    </x:row>
    <x:row r="1905">
      <x:c r="A1905" s="38" t="str">
        <x:v>7月29日现场数据</x:v>
      </x:c>
      <x:c r="B1905" s="66" t="str">
        <x:v>2026-07-29T06:21:07.675000</x:v>
      </x:c>
      <x:c r="C1905" s="47" t="n">
        <x:v>301013</x:v>
      </x:c>
      <x:c r="D1905" s="47" t="str"/>
      <x:c r="E1905" s="47" t="str"/>
      <x:c r="F1905" s="47" t="str">
        <x:v>current</x:v>
      </x:c>
      <x:c r="G1905" s="47" t="n">
        <x:v>70</x:v>
      </x:c>
      <x:c r="H1905" s="53" t="b">
        <x:v>1</x:v>
      </x:c>
      <x:c r="I1905" s="47" t="str">
        <x:v>578202819</x:v>
      </x:c>
      <x:c r="J1905" s="47" t="n">
        <x:v>21096220</x:v>
      </x:c>
      <x:c r="K1905" s="53" t="b">
        <x:v>1</x:v>
      </x:c>
      <x:c r="L1905" s="53" t="b">
        <x:v>1</x:v>
      </x:c>
      <x:c r="M1905" s="53" t="b">
        <x:v>1</x:v>
      </x:c>
      <x:c r="N1905" s="53" t="b">
        <x:v>1</x:v>
      </x:c>
      <x:c r="O1905" s="53" t="b">
        <x:v>1</x:v>
      </x:c>
      <x:c r="P1905" s="47" t="n">
        <x:v>1013</x:v>
      </x:c>
      <x:c r="Q1905" s="47" t="n">
        <x:v>0</x:v>
      </x:c>
      <x:c r="R1905" s="47" t="n">
        <x:v>0</x:v>
      </x:c>
      <x:c r="S1905" s="47" t="n">
        <x:v>29.9</x:v>
      </x:c>
      <x:c r="T1905" s="47" t="n">
        <x:v>71.71</x:v>
      </x:c>
      <x:c r="U1905" s="47" t="n">
        <x:v>29.8</x:v>
      </x:c>
      <x:c r="V1905" s="47" t="n">
        <x:v>13.6</x:v>
      </x:c>
      <x:c r="W1905" s="47" t="n">
        <x:v>3</x:v>
      </x:c>
      <x:c r="X1905" s="47" t="n">
        <x:v>12</x:v>
      </x:c>
      <x:c r="Y1905" s="41" t="n">
        <x:v>9</x:v>
      </x:c>
    </x:row>
    <x:row r="1906">
      <x:c r="A1906" s="38" t="str">
        <x:v>7月29日现场数据</x:v>
      </x:c>
      <x:c r="B1906" s="66" t="str">
        <x:v>2026-07-29T06:26:08.633000</x:v>
      </x:c>
      <x:c r="C1906" s="47" t="n">
        <x:v>300958</x:v>
      </x:c>
      <x:c r="D1906" s="47" t="str"/>
      <x:c r="E1906" s="47" t="str"/>
      <x:c r="F1906" s="47" t="str">
        <x:v>current</x:v>
      </x:c>
      <x:c r="G1906" s="47" t="n">
        <x:v>71</x:v>
      </x:c>
      <x:c r="H1906" s="53" t="b">
        <x:v>1</x:v>
      </x:c>
      <x:c r="I1906" s="47" t="str">
        <x:v>578202819</x:v>
      </x:c>
      <x:c r="J1906" s="47" t="n">
        <x:v>21397178</x:v>
      </x:c>
      <x:c r="K1906" s="53" t="b">
        <x:v>1</x:v>
      </x:c>
      <x:c r="L1906" s="53" t="b">
        <x:v>1</x:v>
      </x:c>
      <x:c r="M1906" s="53" t="b">
        <x:v>1</x:v>
      </x:c>
      <x:c r="N1906" s="53" t="b">
        <x:v>1</x:v>
      </x:c>
      <x:c r="O1906" s="53" t="b">
        <x:v>1</x:v>
      </x:c>
      <x:c r="P1906" s="47" t="n">
        <x:v>1013</x:v>
      </x:c>
      <x:c r="Q1906" s="47" t="n">
        <x:v>0</x:v>
      </x:c>
      <x:c r="R1906" s="47" t="n">
        <x:v>0</x:v>
      </x:c>
      <x:c r="S1906" s="47" t="n">
        <x:v>29.88</x:v>
      </x:c>
      <x:c r="T1906" s="47" t="n">
        <x:v>71.78</x:v>
      </x:c>
      <x:c r="U1906" s="47" t="n">
        <x:v>29.8</x:v>
      </x:c>
      <x:c r="V1906" s="47" t="n">
        <x:v>13.6</x:v>
      </x:c>
      <x:c r="W1906" s="47" t="n">
        <x:v>3</x:v>
      </x:c>
      <x:c r="X1906" s="47" t="n">
        <x:v>12</x:v>
      </x:c>
      <x:c r="Y1906" s="41" t="n">
        <x:v>9</x:v>
      </x:c>
    </x:row>
    <x:row r="1907">
      <x:c r="A1907" s="38" t="str">
        <x:v>7月29日现场数据</x:v>
      </x:c>
      <x:c r="B1907" s="66" t="str">
        <x:v>2026-07-29T06:31:09.592000</x:v>
      </x:c>
      <x:c r="C1907" s="47" t="n">
        <x:v>300959</x:v>
      </x:c>
      <x:c r="D1907" s="47" t="str"/>
      <x:c r="E1907" s="47" t="str"/>
      <x:c r="F1907" s="47" t="str">
        <x:v>current</x:v>
      </x:c>
      <x:c r="G1907" s="47" t="n">
        <x:v>72</x:v>
      </x:c>
      <x:c r="H1907" s="53" t="b">
        <x:v>1</x:v>
      </x:c>
      <x:c r="I1907" s="47" t="str">
        <x:v>578202819</x:v>
      </x:c>
      <x:c r="J1907" s="47" t="n">
        <x:v>21698137</x:v>
      </x:c>
      <x:c r="K1907" s="53" t="b">
        <x:v>1</x:v>
      </x:c>
      <x:c r="L1907" s="53" t="b">
        <x:v>1</x:v>
      </x:c>
      <x:c r="M1907" s="53" t="b">
        <x:v>1</x:v>
      </x:c>
      <x:c r="N1907" s="53" t="b">
        <x:v>1</x:v>
      </x:c>
      <x:c r="O1907" s="53" t="b">
        <x:v>1</x:v>
      </x:c>
      <x:c r="P1907" s="47" t="n">
        <x:v>1013</x:v>
      </x:c>
      <x:c r="Q1907" s="47" t="n">
        <x:v>0.033</x:v>
      </x:c>
      <x:c r="R1907" s="47" t="n">
        <x:v>0.89</x:v>
      </x:c>
      <x:c r="S1907" s="47" t="n">
        <x:v>29.94</x:v>
      </x:c>
      <x:c r="T1907" s="47" t="n">
        <x:v>71.8</x:v>
      </x:c>
      <x:c r="U1907" s="47" t="n">
        <x:v>29.8</x:v>
      </x:c>
      <x:c r="V1907" s="47" t="n">
        <x:v>13.6</x:v>
      </x:c>
      <x:c r="W1907" s="47" t="n">
        <x:v>3</x:v>
      </x:c>
      <x:c r="X1907" s="47" t="n">
        <x:v>12</x:v>
      </x:c>
      <x:c r="Y1907" s="41" t="n">
        <x:v>9</x:v>
      </x:c>
    </x:row>
    <x:row r="1908">
      <x:c r="A1908" s="38" t="str">
        <x:v>7月29日现场数据</x:v>
      </x:c>
      <x:c r="B1908" s="66" t="str">
        <x:v>2026-07-29T06:36:10.554000</x:v>
      </x:c>
      <x:c r="C1908" s="47" t="n">
        <x:v>300962</x:v>
      </x:c>
      <x:c r="D1908" s="47" t="str"/>
      <x:c r="E1908" s="47" t="str"/>
      <x:c r="F1908" s="47" t="str">
        <x:v>current</x:v>
      </x:c>
      <x:c r="G1908" s="47" t="n">
        <x:v>73</x:v>
      </x:c>
      <x:c r="H1908" s="53" t="b">
        <x:v>1</x:v>
      </x:c>
      <x:c r="I1908" s="47" t="str">
        <x:v>578202819</x:v>
      </x:c>
      <x:c r="J1908" s="47" t="n">
        <x:v>21999099</x:v>
      </x:c>
      <x:c r="K1908" s="53" t="b">
        <x:v>1</x:v>
      </x:c>
      <x:c r="L1908" s="53" t="b">
        <x:v>1</x:v>
      </x:c>
      <x:c r="M1908" s="53" t="b">
        <x:v>1</x:v>
      </x:c>
      <x:c r="N1908" s="53" t="b">
        <x:v>1</x:v>
      </x:c>
      <x:c r="O1908" s="53" t="b">
        <x:v>1</x:v>
      </x:c>
      <x:c r="P1908" s="47" t="n">
        <x:v>1013</x:v>
      </x:c>
      <x:c r="Q1908" s="47" t="n">
        <x:v>0</x:v>
      </x:c>
      <x:c r="R1908" s="47" t="n">
        <x:v>0</x:v>
      </x:c>
      <x:c r="S1908" s="47" t="n">
        <x:v>30.02</x:v>
      </x:c>
      <x:c r="T1908" s="47" t="n">
        <x:v>71.84</x:v>
      </x:c>
      <x:c r="U1908" s="47" t="n">
        <x:v>29.8</x:v>
      </x:c>
      <x:c r="V1908" s="47" t="n">
        <x:v>13.5</x:v>
      </x:c>
      <x:c r="W1908" s="47" t="n">
        <x:v>3</x:v>
      </x:c>
      <x:c r="X1908" s="47" t="n">
        <x:v>13</x:v>
      </x:c>
      <x:c r="Y1908" s="41" t="n">
        <x:v>10</x:v>
      </x:c>
    </x:row>
    <x:row r="1909">
      <x:c r="A1909" s="38" t="str">
        <x:v>7月29日现场数据</x:v>
      </x:c>
      <x:c r="B1909" s="66" t="str">
        <x:v>2026-07-29T06:41:11.516000</x:v>
      </x:c>
      <x:c r="C1909" s="47" t="n">
        <x:v>300962</x:v>
      </x:c>
      <x:c r="D1909" s="47" t="str"/>
      <x:c r="E1909" s="47" t="str"/>
      <x:c r="F1909" s="47" t="str">
        <x:v>current</x:v>
      </x:c>
      <x:c r="G1909" s="47" t="n">
        <x:v>74</x:v>
      </x:c>
      <x:c r="H1909" s="53" t="b">
        <x:v>1</x:v>
      </x:c>
      <x:c r="I1909" s="47" t="str">
        <x:v>578202819</x:v>
      </x:c>
      <x:c r="J1909" s="47" t="n">
        <x:v>22300061</x:v>
      </x:c>
      <x:c r="K1909" s="53" t="b">
        <x:v>1</x:v>
      </x:c>
      <x:c r="L1909" s="53" t="b">
        <x:v>1</x:v>
      </x:c>
      <x:c r="M1909" s="53" t="b">
        <x:v>1</x:v>
      </x:c>
      <x:c r="N1909" s="53" t="b">
        <x:v>1</x:v>
      </x:c>
      <x:c r="O1909" s="53" t="b">
        <x:v>1</x:v>
      </x:c>
      <x:c r="P1909" s="47" t="n">
        <x:v>1013</x:v>
      </x:c>
      <x:c r="Q1909" s="47" t="n">
        <x:v>0</x:v>
      </x:c>
      <x:c r="R1909" s="47" t="n">
        <x:v>0</x:v>
      </x:c>
      <x:c r="S1909" s="47" t="n">
        <x:v>30.03</x:v>
      </x:c>
      <x:c r="T1909" s="47" t="n">
        <x:v>71.88</x:v>
      </x:c>
      <x:c r="U1909" s="47" t="n">
        <x:v>29.8</x:v>
      </x:c>
      <x:c r="V1909" s="47" t="n">
        <x:v>13.6</x:v>
      </x:c>
      <x:c r="W1909" s="47" t="n">
        <x:v>3</x:v>
      </x:c>
      <x:c r="X1909" s="47" t="n">
        <x:v>14</x:v>
      </x:c>
      <x:c r="Y1909" s="41" t="n">
        <x:v>11</x:v>
      </x:c>
    </x:row>
    <x:row r="1910">
      <x:c r="A1910" s="38" t="str">
        <x:v>7月29日现场数据</x:v>
      </x:c>
      <x:c r="B1910" s="66" t="str">
        <x:v>2026-07-29T06:46:12.482000</x:v>
      </x:c>
      <x:c r="C1910" s="47" t="n">
        <x:v>300966</x:v>
      </x:c>
      <x:c r="D1910" s="47" t="str"/>
      <x:c r="E1910" s="47" t="str"/>
      <x:c r="F1910" s="47" t="str">
        <x:v>current</x:v>
      </x:c>
      <x:c r="G1910" s="47" t="n">
        <x:v>75</x:v>
      </x:c>
      <x:c r="H1910" s="53" t="b">
        <x:v>1</x:v>
      </x:c>
      <x:c r="I1910" s="47" t="str">
        <x:v>578202819</x:v>
      </x:c>
      <x:c r="J1910" s="47" t="n">
        <x:v>22601027</x:v>
      </x:c>
      <x:c r="K1910" s="53" t="b">
        <x:v>1</x:v>
      </x:c>
      <x:c r="L1910" s="53" t="b">
        <x:v>1</x:v>
      </x:c>
      <x:c r="M1910" s="53" t="b">
        <x:v>1</x:v>
      </x:c>
      <x:c r="N1910" s="53" t="b">
        <x:v>1</x:v>
      </x:c>
      <x:c r="O1910" s="53" t="b">
        <x:v>1</x:v>
      </x:c>
      <x:c r="P1910" s="47" t="n">
        <x:v>1013</x:v>
      </x:c>
      <x:c r="Q1910" s="47" t="n">
        <x:v>0</x:v>
      </x:c>
      <x:c r="R1910" s="47" t="n">
        <x:v>0</x:v>
      </x:c>
      <x:c r="S1910" s="47" t="n">
        <x:v>30.09</x:v>
      </x:c>
      <x:c r="T1910" s="47" t="n">
        <x:v>71.96</x:v>
      </x:c>
      <x:c r="U1910" s="47" t="n">
        <x:v>29.8</x:v>
      </x:c>
      <x:c r="V1910" s="47" t="n">
        <x:v>13.6</x:v>
      </x:c>
      <x:c r="W1910" s="47" t="n">
        <x:v>3</x:v>
      </x:c>
      <x:c r="X1910" s="47" t="n">
        <x:v>15</x:v>
      </x:c>
      <x:c r="Y1910" s="41" t="n">
        <x:v>12</x:v>
      </x:c>
    </x:row>
    <x:row r="1911">
      <x:c r="A1911" s="38" t="str">
        <x:v>7月29日现场数据</x:v>
      </x:c>
      <x:c r="B1911" s="66" t="str">
        <x:v>2026-07-29T06:51:13.451000</x:v>
      </x:c>
      <x:c r="C1911" s="47" t="n">
        <x:v>300969</x:v>
      </x:c>
      <x:c r="D1911" s="47" t="str"/>
      <x:c r="E1911" s="47" t="str"/>
      <x:c r="F1911" s="47" t="str">
        <x:v>current</x:v>
      </x:c>
      <x:c r="G1911" s="47" t="n">
        <x:v>76</x:v>
      </x:c>
      <x:c r="H1911" s="53" t="b">
        <x:v>1</x:v>
      </x:c>
      <x:c r="I1911" s="47" t="str">
        <x:v>578202819</x:v>
      </x:c>
      <x:c r="J1911" s="47" t="n">
        <x:v>22901996</x:v>
      </x:c>
      <x:c r="K1911" s="53" t="b">
        <x:v>1</x:v>
      </x:c>
      <x:c r="L1911" s="53" t="b">
        <x:v>1</x:v>
      </x:c>
      <x:c r="M1911" s="53" t="b">
        <x:v>1</x:v>
      </x:c>
      <x:c r="N1911" s="53" t="b">
        <x:v>1</x:v>
      </x:c>
      <x:c r="O1911" s="53" t="b">
        <x:v>1</x:v>
      </x:c>
      <x:c r="P1911" s="47" t="n">
        <x:v>1013</x:v>
      </x:c>
      <x:c r="Q1911" s="47" t="n">
        <x:v>0</x:v>
      </x:c>
      <x:c r="R1911" s="47" t="n">
        <x:v>0</x:v>
      </x:c>
      <x:c r="S1911" s="47" t="n">
        <x:v>30.14</x:v>
      </x:c>
      <x:c r="T1911" s="47" t="n">
        <x:v>71.97</x:v>
      </x:c>
      <x:c r="U1911" s="47" t="n">
        <x:v>29.8</x:v>
      </x:c>
      <x:c r="V1911" s="47" t="n">
        <x:v>13.6</x:v>
      </x:c>
      <x:c r="W1911" s="47" t="n">
        <x:v>3</x:v>
      </x:c>
      <x:c r="X1911" s="47" t="n">
        <x:v>14</x:v>
      </x:c>
      <x:c r="Y1911" s="41" t="n">
        <x:v>11</x:v>
      </x:c>
    </x:row>
    <x:row r="1912">
      <x:c r="A1912" s="38" t="str">
        <x:v>7月29日现场数据</x:v>
      </x:c>
      <x:c r="B1912" s="66" t="str">
        <x:v>2026-07-29T06:56:14.417000</x:v>
      </x:c>
      <x:c r="C1912" s="47" t="n">
        <x:v>300966</x:v>
      </x:c>
      <x:c r="D1912" s="47" t="str"/>
      <x:c r="E1912" s="47" t="str"/>
      <x:c r="F1912" s="47" t="str">
        <x:v>current</x:v>
      </x:c>
      <x:c r="G1912" s="47" t="n">
        <x:v>77</x:v>
      </x:c>
      <x:c r="H1912" s="53" t="b">
        <x:v>1</x:v>
      </x:c>
      <x:c r="I1912" s="47" t="str">
        <x:v>578202819</x:v>
      </x:c>
      <x:c r="J1912" s="47" t="n">
        <x:v>23202962</x:v>
      </x:c>
      <x:c r="K1912" s="53" t="b">
        <x:v>1</x:v>
      </x:c>
      <x:c r="L1912" s="53" t="b">
        <x:v>1</x:v>
      </x:c>
      <x:c r="M1912" s="53" t="b">
        <x:v>1</x:v>
      </x:c>
      <x:c r="N1912" s="53" t="b">
        <x:v>1</x:v>
      </x:c>
      <x:c r="O1912" s="53" t="b">
        <x:v>1</x:v>
      </x:c>
      <x:c r="P1912" s="47" t="n">
        <x:v>1013</x:v>
      </x:c>
      <x:c r="Q1912" s="47" t="n">
        <x:v>0.001</x:v>
      </x:c>
      <x:c r="R1912" s="47" t="n">
        <x:v>0.033</x:v>
      </x:c>
      <x:c r="S1912" s="47" t="n">
        <x:v>30.14</x:v>
      </x:c>
      <x:c r="T1912" s="47" t="n">
        <x:v>72.01</x:v>
      </x:c>
      <x:c r="U1912" s="47" t="n">
        <x:v>29.8</x:v>
      </x:c>
      <x:c r="V1912" s="47" t="n">
        <x:v>13.6</x:v>
      </x:c>
      <x:c r="W1912" s="47" t="n">
        <x:v>3</x:v>
      </x:c>
      <x:c r="X1912" s="47" t="n">
        <x:v>14</x:v>
      </x:c>
      <x:c r="Y1912" s="41" t="n">
        <x:v>11</x:v>
      </x:c>
    </x:row>
    <x:row r="1913">
      <x:c r="A1913" s="38" t="str">
        <x:v>7月29日现场数据</x:v>
      </x:c>
      <x:c r="B1913" s="66" t="str">
        <x:v>2026-07-29T07:01:15.386000</x:v>
      </x:c>
      <x:c r="C1913" s="47" t="n">
        <x:v>300969</x:v>
      </x:c>
      <x:c r="D1913" s="47" t="str"/>
      <x:c r="E1913" s="47" t="str"/>
      <x:c r="F1913" s="47" t="str">
        <x:v>current</x:v>
      </x:c>
      <x:c r="G1913" s="47" t="n">
        <x:v>78</x:v>
      </x:c>
      <x:c r="H1913" s="53" t="b">
        <x:v>1</x:v>
      </x:c>
      <x:c r="I1913" s="47" t="str">
        <x:v>578202819</x:v>
      </x:c>
      <x:c r="J1913" s="47" t="n">
        <x:v>23503931</x:v>
      </x:c>
      <x:c r="K1913" s="53" t="b">
        <x:v>1</x:v>
      </x:c>
      <x:c r="L1913" s="53" t="b">
        <x:v>1</x:v>
      </x:c>
      <x:c r="M1913" s="53" t="b">
        <x:v>1</x:v>
      </x:c>
      <x:c r="N1913" s="53" t="b">
        <x:v>1</x:v>
      </x:c>
      <x:c r="O1913" s="53" t="b">
        <x:v>1</x:v>
      </x:c>
      <x:c r="P1913" s="47" t="n">
        <x:v>1013</x:v>
      </x:c>
      <x:c r="Q1913" s="47" t="n">
        <x:v>0</x:v>
      </x:c>
      <x:c r="R1913" s="47" t="n">
        <x:v>0</x:v>
      </x:c>
      <x:c r="S1913" s="47" t="n">
        <x:v>30.26</x:v>
      </x:c>
      <x:c r="T1913" s="47" t="n">
        <x:v>72.08</x:v>
      </x:c>
      <x:c r="U1913" s="47" t="n">
        <x:v>29.8</x:v>
      </x:c>
      <x:c r="V1913" s="47" t="n">
        <x:v>13.6</x:v>
      </x:c>
      <x:c r="W1913" s="47" t="n">
        <x:v>4</x:v>
      </x:c>
      <x:c r="X1913" s="47" t="n">
        <x:v>17</x:v>
      </x:c>
      <x:c r="Y1913" s="41" t="n">
        <x:v>13</x:v>
      </x:c>
    </x:row>
    <x:row r="1914">
      <x:c r="A1914" s="38" t="str">
        <x:v>7月29日现场数据</x:v>
      </x:c>
      <x:c r="B1914" s="66" t="str">
        <x:v>2026-07-29T07:06:16.358000</x:v>
      </x:c>
      <x:c r="C1914" s="47" t="n">
        <x:v>300972</x:v>
      </x:c>
      <x:c r="D1914" s="47" t="str"/>
      <x:c r="E1914" s="47" t="str"/>
      <x:c r="F1914" s="47" t="str">
        <x:v>current</x:v>
      </x:c>
      <x:c r="G1914" s="47" t="n">
        <x:v>79</x:v>
      </x:c>
      <x:c r="H1914" s="53" t="b">
        <x:v>1</x:v>
      </x:c>
      <x:c r="I1914" s="47" t="str">
        <x:v>578202819</x:v>
      </x:c>
      <x:c r="J1914" s="47" t="n">
        <x:v>23804903</x:v>
      </x:c>
      <x:c r="K1914" s="53" t="b">
        <x:v>1</x:v>
      </x:c>
      <x:c r="L1914" s="53" t="b">
        <x:v>1</x:v>
      </x:c>
      <x:c r="M1914" s="53" t="b">
        <x:v>1</x:v>
      </x:c>
      <x:c r="N1914" s="53" t="b">
        <x:v>1</x:v>
      </x:c>
      <x:c r="O1914" s="53" t="b">
        <x:v>1</x:v>
      </x:c>
      <x:c r="P1914" s="47" t="n">
        <x:v>1013</x:v>
      </x:c>
      <x:c r="Q1914" s="47" t="n">
        <x:v>0</x:v>
      </x:c>
      <x:c r="R1914" s="47" t="n">
        <x:v>0</x:v>
      </x:c>
      <x:c r="S1914" s="47" t="n">
        <x:v>30.33</x:v>
      </x:c>
      <x:c r="T1914" s="47" t="n">
        <x:v>72.11</x:v>
      </x:c>
      <x:c r="U1914" s="47" t="n">
        <x:v>29.8</x:v>
      </x:c>
      <x:c r="V1914" s="47" t="n">
        <x:v>13.6</x:v>
      </x:c>
      <x:c r="W1914" s="47" t="n">
        <x:v>4</x:v>
      </x:c>
      <x:c r="X1914" s="47" t="n">
        <x:v>17</x:v>
      </x:c>
      <x:c r="Y1914" s="41" t="n">
        <x:v>13</x:v>
      </x:c>
    </x:row>
    <x:row r="1915">
      <x:c r="A1915" s="38" t="str">
        <x:v>7月29日现场数据</x:v>
      </x:c>
      <x:c r="B1915" s="66" t="str">
        <x:v>2026-07-29T07:11:17.335000</x:v>
      </x:c>
      <x:c r="C1915" s="47" t="n">
        <x:v>300977</x:v>
      </x:c>
      <x:c r="D1915" s="47" t="str"/>
      <x:c r="E1915" s="47" t="str"/>
      <x:c r="F1915" s="47" t="str">
        <x:v>current</x:v>
      </x:c>
      <x:c r="G1915" s="47" t="n">
        <x:v>80</x:v>
      </x:c>
      <x:c r="H1915" s="53" t="b">
        <x:v>1</x:v>
      </x:c>
      <x:c r="I1915" s="47" t="str">
        <x:v>578202819</x:v>
      </x:c>
      <x:c r="J1915" s="47" t="n">
        <x:v>24105880</x:v>
      </x:c>
      <x:c r="K1915" s="53" t="b">
        <x:v>1</x:v>
      </x:c>
      <x:c r="L1915" s="53" t="b">
        <x:v>1</x:v>
      </x:c>
      <x:c r="M1915" s="53" t="b">
        <x:v>1</x:v>
      </x:c>
      <x:c r="N1915" s="53" t="b">
        <x:v>1</x:v>
      </x:c>
      <x:c r="O1915" s="53" t="b">
        <x:v>1</x:v>
      </x:c>
      <x:c r="P1915" s="47" t="n">
        <x:v>1013</x:v>
      </x:c>
      <x:c r="Q1915" s="47" t="n">
        <x:v>0</x:v>
      </x:c>
      <x:c r="R1915" s="47" t="n">
        <x:v>0</x:v>
      </x:c>
      <x:c r="S1915" s="47" t="n">
        <x:v>30.37</x:v>
      </x:c>
      <x:c r="T1915" s="47" t="n">
        <x:v>72.11</x:v>
      </x:c>
      <x:c r="U1915" s="47" t="n">
        <x:v>29.8</x:v>
      </x:c>
      <x:c r="V1915" s="47" t="n">
        <x:v>13.6</x:v>
      </x:c>
      <x:c r="W1915" s="47" t="n">
        <x:v>4</x:v>
      </x:c>
      <x:c r="X1915" s="47" t="n">
        <x:v>17</x:v>
      </x:c>
      <x:c r="Y1915" s="41" t="n">
        <x:v>13</x:v>
      </x:c>
    </x:row>
    <x:row r="1916">
      <x:c r="A1916" s="38" t="str">
        <x:v>7月29日现场数据</x:v>
      </x:c>
      <x:c r="B1916" s="66" t="str">
        <x:v>2026-07-29T07:16:18.316000</x:v>
      </x:c>
      <x:c r="C1916" s="47" t="n">
        <x:v>300981</x:v>
      </x:c>
      <x:c r="D1916" s="47" t="str"/>
      <x:c r="E1916" s="47" t="str"/>
      <x:c r="F1916" s="47" t="str">
        <x:v>current</x:v>
      </x:c>
      <x:c r="G1916" s="47" t="n">
        <x:v>81</x:v>
      </x:c>
      <x:c r="H1916" s="53" t="b">
        <x:v>1</x:v>
      </x:c>
      <x:c r="I1916" s="47" t="str">
        <x:v>578202819</x:v>
      </x:c>
      <x:c r="J1916" s="47" t="n">
        <x:v>24406861</x:v>
      </x:c>
      <x:c r="K1916" s="53" t="b">
        <x:v>1</x:v>
      </x:c>
      <x:c r="L1916" s="53" t="b">
        <x:v>1</x:v>
      </x:c>
      <x:c r="M1916" s="53" t="b">
        <x:v>1</x:v>
      </x:c>
      <x:c r="N1916" s="53" t="b">
        <x:v>1</x:v>
      </x:c>
      <x:c r="O1916" s="53" t="b">
        <x:v>1</x:v>
      </x:c>
      <x:c r="P1916" s="47" t="n">
        <x:v>1013</x:v>
      </x:c>
      <x:c r="Q1916" s="47" t="n">
        <x:v>0</x:v>
      </x:c>
      <x:c r="R1916" s="47" t="n">
        <x:v>0</x:v>
      </x:c>
      <x:c r="S1916" s="47" t="n">
        <x:v>30.45</x:v>
      </x:c>
      <x:c r="T1916" s="47" t="n">
        <x:v>72.23</x:v>
      </x:c>
      <x:c r="U1916" s="47" t="n">
        <x:v>29.8</x:v>
      </x:c>
      <x:c r="V1916" s="47" t="n">
        <x:v>13.5</x:v>
      </x:c>
      <x:c r="W1916" s="47" t="n">
        <x:v>4</x:v>
      </x:c>
      <x:c r="X1916" s="47" t="n">
        <x:v>19</x:v>
      </x:c>
      <x:c r="Y1916" s="41" t="n">
        <x:v>15</x:v>
      </x:c>
    </x:row>
    <x:row r="1917">
      <x:c r="A1917" s="38" t="str">
        <x:v>7月29日现场数据</x:v>
      </x:c>
      <x:c r="B1917" s="66" t="str">
        <x:v>2026-07-29T07:21:19.279000</x:v>
      </x:c>
      <x:c r="C1917" s="47" t="n">
        <x:v>300963</x:v>
      </x:c>
      <x:c r="D1917" s="47" t="str"/>
      <x:c r="E1917" s="47" t="str"/>
      <x:c r="F1917" s="47" t="str">
        <x:v>current</x:v>
      </x:c>
      <x:c r="G1917" s="47" t="n">
        <x:v>82</x:v>
      </x:c>
      <x:c r="H1917" s="53" t="b">
        <x:v>1</x:v>
      </x:c>
      <x:c r="I1917" s="47" t="str">
        <x:v>578202819</x:v>
      </x:c>
      <x:c r="J1917" s="47" t="n">
        <x:v>24707824</x:v>
      </x:c>
      <x:c r="K1917" s="53" t="b">
        <x:v>1</x:v>
      </x:c>
      <x:c r="L1917" s="53" t="b">
        <x:v>1</x:v>
      </x:c>
      <x:c r="M1917" s="53" t="b">
        <x:v>1</x:v>
      </x:c>
      <x:c r="N1917" s="53" t="b">
        <x:v>1</x:v>
      </x:c>
      <x:c r="O1917" s="53" t="b">
        <x:v>1</x:v>
      </x:c>
      <x:c r="P1917" s="47" t="n">
        <x:v>1013</x:v>
      </x:c>
      <x:c r="Q1917" s="47" t="n">
        <x:v>0</x:v>
      </x:c>
      <x:c r="R1917" s="47" t="n">
        <x:v>0</x:v>
      </x:c>
      <x:c r="S1917" s="47" t="n">
        <x:v>30.55</x:v>
      </x:c>
      <x:c r="T1917" s="47" t="n">
        <x:v>72.28</x:v>
      </x:c>
      <x:c r="U1917" s="47" t="n">
        <x:v>29.7</x:v>
      </x:c>
      <x:c r="V1917" s="47" t="n">
        <x:v>13.5</x:v>
      </x:c>
      <x:c r="W1917" s="47" t="n">
        <x:v>4</x:v>
      </x:c>
      <x:c r="X1917" s="47" t="n">
        <x:v>20</x:v>
      </x:c>
      <x:c r="Y1917" s="41" t="n">
        <x:v>16</x:v>
      </x:c>
    </x:row>
    <x:row r="1918">
      <x:c r="A1918" s="38" t="str">
        <x:v>7月29日现场数据</x:v>
      </x:c>
      <x:c r="B1918" s="66" t="str">
        <x:v>2026-07-29T07:26:20.244000</x:v>
      </x:c>
      <x:c r="C1918" s="47" t="n">
        <x:v>300965</x:v>
      </x:c>
      <x:c r="D1918" s="47" t="str"/>
      <x:c r="E1918" s="47" t="str"/>
      <x:c r="F1918" s="47" t="str">
        <x:v>current</x:v>
      </x:c>
      <x:c r="G1918" s="47" t="n">
        <x:v>83</x:v>
      </x:c>
      <x:c r="H1918" s="53" t="b">
        <x:v>1</x:v>
      </x:c>
      <x:c r="I1918" s="47" t="str">
        <x:v>578202819</x:v>
      </x:c>
      <x:c r="J1918" s="47" t="n">
        <x:v>25008789</x:v>
      </x:c>
      <x:c r="K1918" s="53" t="b">
        <x:v>1</x:v>
      </x:c>
      <x:c r="L1918" s="53" t="b">
        <x:v>1</x:v>
      </x:c>
      <x:c r="M1918" s="53" t="b">
        <x:v>1</x:v>
      </x:c>
      <x:c r="N1918" s="53" t="b">
        <x:v>1</x:v>
      </x:c>
      <x:c r="O1918" s="53" t="b">
        <x:v>1</x:v>
      </x:c>
      <x:c r="P1918" s="47" t="n">
        <x:v>1013</x:v>
      </x:c>
      <x:c r="Q1918" s="47" t="n">
        <x:v>0</x:v>
      </x:c>
      <x:c r="R1918" s="47" t="n">
        <x:v>0</x:v>
      </x:c>
      <x:c r="S1918" s="47" t="n">
        <x:v>30.62</x:v>
      </x:c>
      <x:c r="T1918" s="47" t="n">
        <x:v>72.31</x:v>
      </x:c>
      <x:c r="U1918" s="47" t="n">
        <x:v>29.7</x:v>
      </x:c>
      <x:c r="V1918" s="47" t="n">
        <x:v>13.6</x:v>
      </x:c>
      <x:c r="W1918" s="47" t="n">
        <x:v>5</x:v>
      </x:c>
      <x:c r="X1918" s="47" t="n">
        <x:v>24</x:v>
      </x:c>
      <x:c r="Y1918" s="41" t="n">
        <x:v>19</x:v>
      </x:c>
    </x:row>
    <x:row r="1919">
      <x:c r="A1919" s="38" t="str">
        <x:v>7月29日现场数据</x:v>
      </x:c>
      <x:c r="B1919" s="66" t="str">
        <x:v>2026-07-29T07:31:21.212000</x:v>
      </x:c>
      <x:c r="C1919" s="47" t="n">
        <x:v>300968</x:v>
      </x:c>
      <x:c r="D1919" s="47" t="str"/>
      <x:c r="E1919" s="47" t="str"/>
      <x:c r="F1919" s="47" t="str">
        <x:v>current</x:v>
      </x:c>
      <x:c r="G1919" s="47" t="n">
        <x:v>84</x:v>
      </x:c>
      <x:c r="H1919" s="53" t="b">
        <x:v>1</x:v>
      </x:c>
      <x:c r="I1919" s="47" t="str">
        <x:v>578202819</x:v>
      </x:c>
      <x:c r="J1919" s="47" t="n">
        <x:v>25309757</x:v>
      </x:c>
      <x:c r="K1919" s="53" t="b">
        <x:v>1</x:v>
      </x:c>
      <x:c r="L1919" s="53" t="b">
        <x:v>1</x:v>
      </x:c>
      <x:c r="M1919" s="53" t="b">
        <x:v>1</x:v>
      </x:c>
      <x:c r="N1919" s="53" t="b">
        <x:v>1</x:v>
      </x:c>
      <x:c r="O1919" s="53" t="b">
        <x:v>1</x:v>
      </x:c>
      <x:c r="P1919" s="47" t="n">
        <x:v>1013</x:v>
      </x:c>
      <x:c r="Q1919" s="47" t="n">
        <x:v>0</x:v>
      </x:c>
      <x:c r="R1919" s="47" t="n">
        <x:v>0</x:v>
      </x:c>
      <x:c r="S1919" s="47" t="n">
        <x:v>30.76</x:v>
      </x:c>
      <x:c r="T1919" s="47" t="n">
        <x:v>72.32</x:v>
      </x:c>
      <x:c r="U1919" s="47" t="n">
        <x:v>29.7</x:v>
      </x:c>
      <x:c r="V1919" s="47" t="n">
        <x:v>13.6</x:v>
      </x:c>
      <x:c r="W1919" s="47" t="n">
        <x:v>6</x:v>
      </x:c>
      <x:c r="X1919" s="47" t="n">
        <x:v>26</x:v>
      </x:c>
      <x:c r="Y1919" s="41" t="n">
        <x:v>20</x:v>
      </x:c>
    </x:row>
    <x:row r="1920">
      <x:c r="A1920" s="38" t="str">
        <x:v>7月29日现场数据</x:v>
      </x:c>
      <x:c r="B1920" s="66" t="str">
        <x:v>2026-07-29T07:36:22.183000</x:v>
      </x:c>
      <x:c r="C1920" s="47" t="n">
        <x:v>300971</x:v>
      </x:c>
      <x:c r="D1920" s="47" t="str"/>
      <x:c r="E1920" s="47" t="str"/>
      <x:c r="F1920" s="47" t="str">
        <x:v>current</x:v>
      </x:c>
      <x:c r="G1920" s="47" t="n">
        <x:v>85</x:v>
      </x:c>
      <x:c r="H1920" s="53" t="b">
        <x:v>1</x:v>
      </x:c>
      <x:c r="I1920" s="47" t="str">
        <x:v>578202819</x:v>
      </x:c>
      <x:c r="J1920" s="47" t="n">
        <x:v>25610728</x:v>
      </x:c>
      <x:c r="K1920" s="53" t="b">
        <x:v>1</x:v>
      </x:c>
      <x:c r="L1920" s="53" t="b">
        <x:v>1</x:v>
      </x:c>
      <x:c r="M1920" s="53" t="b">
        <x:v>1</x:v>
      </x:c>
      <x:c r="N1920" s="53" t="b">
        <x:v>1</x:v>
      </x:c>
      <x:c r="O1920" s="53" t="b">
        <x:v>1</x:v>
      </x:c>
      <x:c r="P1920" s="47" t="n">
        <x:v>1013</x:v>
      </x:c>
      <x:c r="Q1920" s="47" t="n">
        <x:v>0</x:v>
      </x:c>
      <x:c r="R1920" s="47" t="n">
        <x:v>0</x:v>
      </x:c>
      <x:c r="S1920" s="47" t="n">
        <x:v>30.9</x:v>
      </x:c>
      <x:c r="T1920" s="47" t="n">
        <x:v>72.49</x:v>
      </x:c>
      <x:c r="U1920" s="47" t="n">
        <x:v>29.7</x:v>
      </x:c>
      <x:c r="V1920" s="47" t="n">
        <x:v>13.5</x:v>
      </x:c>
      <x:c r="W1920" s="47" t="n">
        <x:v>6</x:v>
      </x:c>
      <x:c r="X1920" s="47" t="n">
        <x:v>25</x:v>
      </x:c>
      <x:c r="Y1920" s="41" t="n">
        <x:v>19</x:v>
      </x:c>
    </x:row>
    <x:row r="1921">
      <x:c r="A1921" s="38" t="str">
        <x:v>7月29日现场数据</x:v>
      </x:c>
      <x:c r="B1921" s="66" t="str">
        <x:v>2026-07-29T07:41:23.190000</x:v>
      </x:c>
      <x:c r="C1921" s="47" t="n">
        <x:v>301007</x:v>
      </x:c>
      <x:c r="D1921" s="47" t="str"/>
      <x:c r="E1921" s="47" t="str"/>
      <x:c r="F1921" s="47" t="str">
        <x:v>current</x:v>
      </x:c>
      <x:c r="G1921" s="47" t="n">
        <x:v>86</x:v>
      </x:c>
      <x:c r="H1921" s="53" t="b">
        <x:v>1</x:v>
      </x:c>
      <x:c r="I1921" s="47" t="str">
        <x:v>578202819</x:v>
      </x:c>
      <x:c r="J1921" s="47" t="n">
        <x:v>25911735</x:v>
      </x:c>
      <x:c r="K1921" s="53" t="b">
        <x:v>1</x:v>
      </x:c>
      <x:c r="L1921" s="53" t="b">
        <x:v>1</x:v>
      </x:c>
      <x:c r="M1921" s="53" t="b">
        <x:v>1</x:v>
      </x:c>
      <x:c r="N1921" s="53" t="b">
        <x:v>1</x:v>
      </x:c>
      <x:c r="O1921" s="53" t="b">
        <x:v>1</x:v>
      </x:c>
      <x:c r="P1921" s="47" t="n">
        <x:v>1013</x:v>
      </x:c>
      <x:c r="Q1921" s="47" t="n">
        <x:v>0</x:v>
      </x:c>
      <x:c r="R1921" s="47" t="n">
        <x:v>0</x:v>
      </x:c>
      <x:c r="S1921" s="47" t="n">
        <x:v>30.94</x:v>
      </x:c>
      <x:c r="T1921" s="47" t="n">
        <x:v>72.42</x:v>
      </x:c>
      <x:c r="U1921" s="47" t="n">
        <x:v>29.7</x:v>
      </x:c>
      <x:c r="V1921" s="47" t="n">
        <x:v>13.6</x:v>
      </x:c>
      <x:c r="W1921" s="47" t="n">
        <x:v>7</x:v>
      </x:c>
      <x:c r="X1921" s="47" t="n">
        <x:v>28</x:v>
      </x:c>
      <x:c r="Y1921" s="41" t="n">
        <x:v>21</x:v>
      </x:c>
    </x:row>
    <x:row r="1922">
      <x:c r="A1922" s="38" t="str">
        <x:v>7月29日现场数据</x:v>
      </x:c>
      <x:c r="B1922" s="66" t="str">
        <x:v>2026-07-29T07:46:24.136000</x:v>
      </x:c>
      <x:c r="C1922" s="47" t="n">
        <x:v>300946</x:v>
      </x:c>
      <x:c r="D1922" s="47" t="str"/>
      <x:c r="E1922" s="47" t="str"/>
      <x:c r="F1922" s="47" t="str">
        <x:v>current</x:v>
      </x:c>
      <x:c r="G1922" s="47" t="n">
        <x:v>87</x:v>
      </x:c>
      <x:c r="H1922" s="53" t="b">
        <x:v>1</x:v>
      </x:c>
      <x:c r="I1922" s="47" t="str">
        <x:v>578202819</x:v>
      </x:c>
      <x:c r="J1922" s="47" t="n">
        <x:v>26212681</x:v>
      </x:c>
      <x:c r="K1922" s="53" t="b">
        <x:v>1</x:v>
      </x:c>
      <x:c r="L1922" s="53" t="b">
        <x:v>1</x:v>
      </x:c>
      <x:c r="M1922" s="53" t="b">
        <x:v>1</x:v>
      </x:c>
      <x:c r="N1922" s="53" t="b">
        <x:v>1</x:v>
      </x:c>
      <x:c r="O1922" s="53" t="b">
        <x:v>1</x:v>
      </x:c>
      <x:c r="P1922" s="47" t="n">
        <x:v>1013</x:v>
      </x:c>
      <x:c r="Q1922" s="47" t="n">
        <x:v>0</x:v>
      </x:c>
      <x:c r="R1922" s="47" t="n">
        <x:v>0</x:v>
      </x:c>
      <x:c r="S1922" s="47" t="n">
        <x:v>31.07</x:v>
      </x:c>
      <x:c r="T1922" s="47" t="n">
        <x:v>72.55</x:v>
      </x:c>
      <x:c r="U1922" s="47" t="n">
        <x:v>29.7</x:v>
      </x:c>
      <x:c r="V1922" s="47" t="n">
        <x:v>13.6</x:v>
      </x:c>
      <x:c r="W1922" s="47" t="n">
        <x:v>7</x:v>
      </x:c>
      <x:c r="X1922" s="47" t="n">
        <x:v>30</x:v>
      </x:c>
      <x:c r="Y1922" s="41" t="n">
        <x:v>23</x:v>
      </x:c>
    </x:row>
    <x:row r="1923">
      <x:c r="A1923" s="38" t="str">
        <x:v>7月29日现场数据</x:v>
      </x:c>
      <x:c r="B1923" s="66" t="str">
        <x:v>2026-07-29T07:51:25.083000</x:v>
      </x:c>
      <x:c r="C1923" s="47" t="n">
        <x:v>300947</x:v>
      </x:c>
      <x:c r="D1923" s="47" t="str"/>
      <x:c r="E1923" s="47" t="str"/>
      <x:c r="F1923" s="47" t="str">
        <x:v>current</x:v>
      </x:c>
      <x:c r="G1923" s="47" t="n">
        <x:v>88</x:v>
      </x:c>
      <x:c r="H1923" s="53" t="b">
        <x:v>1</x:v>
      </x:c>
      <x:c r="I1923" s="47" t="str">
        <x:v>578202819</x:v>
      </x:c>
      <x:c r="J1923" s="47" t="n">
        <x:v>26513628</x:v>
      </x:c>
      <x:c r="K1923" s="53" t="b">
        <x:v>1</x:v>
      </x:c>
      <x:c r="L1923" s="53" t="b">
        <x:v>1</x:v>
      </x:c>
      <x:c r="M1923" s="53" t="b">
        <x:v>1</x:v>
      </x:c>
      <x:c r="N1923" s="53" t="b">
        <x:v>1</x:v>
      </x:c>
      <x:c r="O1923" s="53" t="b">
        <x:v>1</x:v>
      </x:c>
      <x:c r="P1923" s="47" t="n">
        <x:v>1013</x:v>
      </x:c>
      <x:c r="Q1923" s="47" t="n">
        <x:v>0</x:v>
      </x:c>
      <x:c r="R1923" s="47" t="n">
        <x:v>0</x:v>
      </x:c>
      <x:c r="S1923" s="47" t="n">
        <x:v>31.19</x:v>
      </x:c>
      <x:c r="T1923" s="47" t="n">
        <x:v>72.58</x:v>
      </x:c>
      <x:c r="U1923" s="47" t="n">
        <x:v>29.7</x:v>
      </x:c>
      <x:c r="V1923" s="47" t="n">
        <x:v>13.5</x:v>
      </x:c>
      <x:c r="W1923" s="47" t="n">
        <x:v>8</x:v>
      </x:c>
      <x:c r="X1923" s="47" t="n">
        <x:v>32</x:v>
      </x:c>
      <x:c r="Y1923" s="41" t="n">
        <x:v>24</x:v>
      </x:c>
    </x:row>
    <x:row r="1924">
      <x:c r="A1924" s="38" t="str">
        <x:v>7月29日现场数据</x:v>
      </x:c>
      <x:c r="B1924" s="66" t="str">
        <x:v>2026-07-29T07:56:26.032000</x:v>
      </x:c>
      <x:c r="C1924" s="47" t="n">
        <x:v>300949</x:v>
      </x:c>
      <x:c r="D1924" s="47" t="str"/>
      <x:c r="E1924" s="47" t="str"/>
      <x:c r="F1924" s="47" t="str">
        <x:v>current</x:v>
      </x:c>
      <x:c r="G1924" s="47" t="n">
        <x:v>89</x:v>
      </x:c>
      <x:c r="H1924" s="53" t="b">
        <x:v>1</x:v>
      </x:c>
      <x:c r="I1924" s="47" t="str">
        <x:v>578202819</x:v>
      </x:c>
      <x:c r="J1924" s="47" t="n">
        <x:v>26814577</x:v>
      </x:c>
      <x:c r="K1924" s="53" t="b">
        <x:v>1</x:v>
      </x:c>
      <x:c r="L1924" s="53" t="b">
        <x:v>1</x:v>
      </x:c>
      <x:c r="M1924" s="53" t="b">
        <x:v>1</x:v>
      </x:c>
      <x:c r="N1924" s="53" t="b">
        <x:v>1</x:v>
      </x:c>
      <x:c r="O1924" s="53" t="b">
        <x:v>1</x:v>
      </x:c>
      <x:c r="P1924" s="47" t="n">
        <x:v>1013</x:v>
      </x:c>
      <x:c r="Q1924" s="47" t="n">
        <x:v>0</x:v>
      </x:c>
      <x:c r="R1924" s="47" t="n">
        <x:v>0</x:v>
      </x:c>
      <x:c r="S1924" s="47" t="n">
        <x:v>31.3</x:v>
      </x:c>
      <x:c r="T1924" s="47" t="n">
        <x:v>72.64</x:v>
      </x:c>
      <x:c r="U1924" s="47" t="n">
        <x:v>29.7</x:v>
      </x:c>
      <x:c r="V1924" s="47" t="n">
        <x:v>13.5</x:v>
      </x:c>
      <x:c r="W1924" s="47" t="n">
        <x:v>9</x:v>
      </x:c>
      <x:c r="X1924" s="47" t="n">
        <x:v>36</x:v>
      </x:c>
      <x:c r="Y1924" s="41" t="n">
        <x:v>27</x:v>
      </x:c>
    </x:row>
    <x:row r="1925">
      <x:c r="A1925" s="38" t="str">
        <x:v>7月29日现场数据</x:v>
      </x:c>
      <x:c r="B1925" s="66" t="str">
        <x:v>2026-07-29T08:01:26.982000</x:v>
      </x:c>
      <x:c r="C1925" s="47" t="n">
        <x:v>300950</x:v>
      </x:c>
      <x:c r="D1925" s="47" t="str"/>
      <x:c r="E1925" s="47" t="str"/>
      <x:c r="F1925" s="47" t="str">
        <x:v>current</x:v>
      </x:c>
      <x:c r="G1925" s="47" t="n">
        <x:v>90</x:v>
      </x:c>
      <x:c r="H1925" s="53" t="b">
        <x:v>1</x:v>
      </x:c>
      <x:c r="I1925" s="47" t="str">
        <x:v>578202819</x:v>
      </x:c>
      <x:c r="J1925" s="47" t="n">
        <x:v>27115527</x:v>
      </x:c>
      <x:c r="K1925" s="53" t="b">
        <x:v>1</x:v>
      </x:c>
      <x:c r="L1925" s="53" t="b">
        <x:v>1</x:v>
      </x:c>
      <x:c r="M1925" s="53" t="b">
        <x:v>1</x:v>
      </x:c>
      <x:c r="N1925" s="53" t="b">
        <x:v>1</x:v>
      </x:c>
      <x:c r="O1925" s="53" t="b">
        <x:v>1</x:v>
      </x:c>
      <x:c r="P1925" s="47" t="n">
        <x:v>1013</x:v>
      </x:c>
      <x:c r="Q1925" s="47" t="n">
        <x:v>0</x:v>
      </x:c>
      <x:c r="R1925" s="47" t="n">
        <x:v>0</x:v>
      </x:c>
      <x:c r="S1925" s="47" t="n">
        <x:v>31.38</x:v>
      </x:c>
      <x:c r="T1925" s="47" t="n">
        <x:v>72.67</x:v>
      </x:c>
      <x:c r="U1925" s="47" t="n">
        <x:v>29.7</x:v>
      </x:c>
      <x:c r="V1925" s="47" t="n">
        <x:v>13.5</x:v>
      </x:c>
      <x:c r="W1925" s="47" t="n">
        <x:v>10</x:v>
      </x:c>
      <x:c r="X1925" s="47" t="n">
        <x:v>41</x:v>
      </x:c>
      <x:c r="Y1925" s="41" t="n">
        <x:v>31</x:v>
      </x:c>
    </x:row>
    <x:row r="1926">
      <x:c r="A1926" s="38" t="str">
        <x:v>7月29日现场数据</x:v>
      </x:c>
      <x:c r="B1926" s="66" t="str">
        <x:v>2026-07-29T08:06:27.936000</x:v>
      </x:c>
      <x:c r="C1926" s="47" t="n">
        <x:v>300954</x:v>
      </x:c>
      <x:c r="D1926" s="47" t="str"/>
      <x:c r="E1926" s="47" t="str"/>
      <x:c r="F1926" s="47" t="str">
        <x:v>current</x:v>
      </x:c>
      <x:c r="G1926" s="47" t="n">
        <x:v>91</x:v>
      </x:c>
      <x:c r="H1926" s="53" t="b">
        <x:v>1</x:v>
      </x:c>
      <x:c r="I1926" s="47" t="str">
        <x:v>578202819</x:v>
      </x:c>
      <x:c r="J1926" s="47" t="n">
        <x:v>27416481</x:v>
      </x:c>
      <x:c r="K1926" s="53" t="b">
        <x:v>1</x:v>
      </x:c>
      <x:c r="L1926" s="53" t="b">
        <x:v>1</x:v>
      </x:c>
      <x:c r="M1926" s="53" t="b">
        <x:v>1</x:v>
      </x:c>
      <x:c r="N1926" s="53" t="b">
        <x:v>1</x:v>
      </x:c>
      <x:c r="O1926" s="53" t="b">
        <x:v>1</x:v>
      </x:c>
      <x:c r="P1926" s="47" t="n">
        <x:v>1013</x:v>
      </x:c>
      <x:c r="Q1926" s="47" t="n">
        <x:v>0.011</x:v>
      </x:c>
      <x:c r="R1926" s="47" t="n">
        <x:v>0.297</x:v>
      </x:c>
      <x:c r="S1926" s="47" t="n">
        <x:v>31.6</x:v>
      </x:c>
      <x:c r="T1926" s="47" t="n">
        <x:v>72.77</x:v>
      </x:c>
      <x:c r="U1926" s="47" t="n">
        <x:v>29.7</x:v>
      </x:c>
      <x:c r="V1926" s="47" t="n">
        <x:v>13.5</x:v>
      </x:c>
      <x:c r="W1926" s="47" t="n">
        <x:v>13</x:v>
      </x:c>
      <x:c r="X1926" s="47" t="n">
        <x:v>52</x:v>
      </x:c>
      <x:c r="Y1926" s="41" t="n">
        <x:v>39</x:v>
      </x:c>
    </x:row>
    <x:row r="1927">
      <x:c r="A1927" s="38" t="str">
        <x:v>7月29日现场数据</x:v>
      </x:c>
      <x:c r="B1927" s="66" t="str">
        <x:v>2026-07-29T08:11:28.891000</x:v>
      </x:c>
      <x:c r="C1927" s="47" t="n">
        <x:v>300955</x:v>
      </x:c>
      <x:c r="D1927" s="47" t="str"/>
      <x:c r="E1927" s="47" t="str"/>
      <x:c r="F1927" s="47" t="str">
        <x:v>current</x:v>
      </x:c>
      <x:c r="G1927" s="47" t="n">
        <x:v>92</x:v>
      </x:c>
      <x:c r="H1927" s="53" t="b">
        <x:v>1</x:v>
      </x:c>
      <x:c r="I1927" s="47" t="str">
        <x:v>578202819</x:v>
      </x:c>
      <x:c r="J1927" s="47" t="n">
        <x:v>27717436</x:v>
      </x:c>
      <x:c r="K1927" s="53" t="b">
        <x:v>1</x:v>
      </x:c>
      <x:c r="L1927" s="53" t="b">
        <x:v>1</x:v>
      </x:c>
      <x:c r="M1927" s="53" t="b">
        <x:v>1</x:v>
      </x:c>
      <x:c r="N1927" s="53" t="b">
        <x:v>1</x:v>
      </x:c>
      <x:c r="O1927" s="53" t="b">
        <x:v>1</x:v>
      </x:c>
      <x:c r="P1927" s="47" t="n">
        <x:v>1013</x:v>
      </x:c>
      <x:c r="Q1927" s="47" t="n">
        <x:v>0</x:v>
      </x:c>
      <x:c r="R1927" s="47" t="n">
        <x:v>0</x:v>
      </x:c>
      <x:c r="S1927" s="47" t="n">
        <x:v>31.76</x:v>
      </x:c>
      <x:c r="T1927" s="47" t="n">
        <x:v>72.83</x:v>
      </x:c>
      <x:c r="U1927" s="47" t="n">
        <x:v>29.7</x:v>
      </x:c>
      <x:c r="V1927" s="47" t="n">
        <x:v>13.5</x:v>
      </x:c>
      <x:c r="W1927" s="47" t="n">
        <x:v>14</x:v>
      </x:c>
      <x:c r="X1927" s="47" t="n">
        <x:v>54</x:v>
      </x:c>
      <x:c r="Y1927" s="41" t="n">
        <x:v>40</x:v>
      </x:c>
    </x:row>
    <x:row r="1928">
      <x:c r="A1928" s="38" t="str">
        <x:v>7月29日现场数据</x:v>
      </x:c>
      <x:c r="B1928" s="66" t="str">
        <x:v>2026-07-29T08:16:29.851000</x:v>
      </x:c>
      <x:c r="C1928" s="47" t="n">
        <x:v>300960</x:v>
      </x:c>
      <x:c r="D1928" s="47" t="str"/>
      <x:c r="E1928" s="47" t="str"/>
      <x:c r="F1928" s="47" t="str">
        <x:v>current</x:v>
      </x:c>
      <x:c r="G1928" s="47" t="n">
        <x:v>93</x:v>
      </x:c>
      <x:c r="H1928" s="53" t="b">
        <x:v>1</x:v>
      </x:c>
      <x:c r="I1928" s="47" t="str">
        <x:v>578202819</x:v>
      </x:c>
      <x:c r="J1928" s="47" t="n">
        <x:v>28018396</x:v>
      </x:c>
      <x:c r="K1928" s="53" t="b">
        <x:v>1</x:v>
      </x:c>
      <x:c r="L1928" s="53" t="b">
        <x:v>1</x:v>
      </x:c>
      <x:c r="M1928" s="53" t="b">
        <x:v>1</x:v>
      </x:c>
      <x:c r="N1928" s="53" t="b">
        <x:v>1</x:v>
      </x:c>
      <x:c r="O1928" s="53" t="b">
        <x:v>1</x:v>
      </x:c>
      <x:c r="P1928" s="47" t="n">
        <x:v>1013</x:v>
      </x:c>
      <x:c r="Q1928" s="47" t="n">
        <x:v>0</x:v>
      </x:c>
      <x:c r="R1928" s="47" t="n">
        <x:v>0</x:v>
      </x:c>
      <x:c r="S1928" s="47" t="n">
        <x:v>31.91</x:v>
      </x:c>
      <x:c r="T1928" s="47" t="n">
        <x:v>72.89</x:v>
      </x:c>
      <x:c r="U1928" s="47" t="n">
        <x:v>29.7</x:v>
      </x:c>
      <x:c r="V1928" s="47" t="n">
        <x:v>13.6</x:v>
      </x:c>
      <x:c r="W1928" s="47" t="n">
        <x:v>16</x:v>
      </x:c>
      <x:c r="X1928" s="47" t="n">
        <x:v>66</x:v>
      </x:c>
      <x:c r="Y1928" s="41" t="n">
        <x:v>50</x:v>
      </x:c>
    </x:row>
    <x:row r="1929">
      <x:c r="A1929" s="38" t="str">
        <x:v>7月29日现场数据</x:v>
      </x:c>
      <x:c r="B1929" s="66" t="str">
        <x:v>2026-07-29T08:21:30.811000</x:v>
      </x:c>
      <x:c r="C1929" s="47" t="n">
        <x:v>300960</x:v>
      </x:c>
      <x:c r="D1929" s="47" t="str"/>
      <x:c r="E1929" s="47" t="str"/>
      <x:c r="F1929" s="47" t="str">
        <x:v>current</x:v>
      </x:c>
      <x:c r="G1929" s="47" t="n">
        <x:v>94</x:v>
      </x:c>
      <x:c r="H1929" s="53" t="b">
        <x:v>1</x:v>
      </x:c>
      <x:c r="I1929" s="47" t="str">
        <x:v>578202819</x:v>
      </x:c>
      <x:c r="J1929" s="47" t="n">
        <x:v>28319356</x:v>
      </x:c>
      <x:c r="K1929" s="53" t="b">
        <x:v>1</x:v>
      </x:c>
      <x:c r="L1929" s="53" t="b">
        <x:v>1</x:v>
      </x:c>
      <x:c r="M1929" s="53" t="b">
        <x:v>1</x:v>
      </x:c>
      <x:c r="N1929" s="53" t="b">
        <x:v>1</x:v>
      </x:c>
      <x:c r="O1929" s="53" t="b">
        <x:v>1</x:v>
      </x:c>
      <x:c r="P1929" s="47" t="n">
        <x:v>1013</x:v>
      </x:c>
      <x:c r="Q1929" s="47" t="n">
        <x:v>0.106</x:v>
      </x:c>
      <x:c r="R1929" s="47" t="n">
        <x:v>2.868</x:v>
      </x:c>
      <x:c r="S1929" s="47" t="n">
        <x:v>32.12</x:v>
      </x:c>
      <x:c r="T1929" s="47" t="n">
        <x:v>72.86</x:v>
      </x:c>
      <x:c r="U1929" s="47" t="n">
        <x:v>29.8</x:v>
      </x:c>
      <x:c r="V1929" s="47" t="n">
        <x:v>13.6</x:v>
      </x:c>
      <x:c r="W1929" s="47" t="n">
        <x:v>17</x:v>
      </x:c>
      <x:c r="X1929" s="47" t="n">
        <x:v>71</x:v>
      </x:c>
      <x:c r="Y1929" s="41" t="n">
        <x:v>54</x:v>
      </x:c>
    </x:row>
    <x:row r="1930">
      <x:c r="A1930" s="38" t="str">
        <x:v>7月29日现场数据</x:v>
      </x:c>
      <x:c r="B1930" s="66" t="str">
        <x:v>2026-07-29T08:26:31.774000</x:v>
      </x:c>
      <x:c r="C1930" s="47" t="n">
        <x:v>300963</x:v>
      </x:c>
      <x:c r="D1930" s="47" t="str"/>
      <x:c r="E1930" s="47" t="str"/>
      <x:c r="F1930" s="47" t="str">
        <x:v>current</x:v>
      </x:c>
      <x:c r="G1930" s="47" t="n">
        <x:v>95</x:v>
      </x:c>
      <x:c r="H1930" s="53" t="b">
        <x:v>1</x:v>
      </x:c>
      <x:c r="I1930" s="47" t="str">
        <x:v>578202819</x:v>
      </x:c>
      <x:c r="J1930" s="47" t="n">
        <x:v>28620319</x:v>
      </x:c>
      <x:c r="K1930" s="53" t="b">
        <x:v>1</x:v>
      </x:c>
      <x:c r="L1930" s="53" t="b">
        <x:v>1</x:v>
      </x:c>
      <x:c r="M1930" s="53" t="b">
        <x:v>1</x:v>
      </x:c>
      <x:c r="N1930" s="53" t="b">
        <x:v>1</x:v>
      </x:c>
      <x:c r="O1930" s="53" t="b">
        <x:v>1</x:v>
      </x:c>
      <x:c r="P1930" s="47" t="n">
        <x:v>1013</x:v>
      </x:c>
      <x:c r="Q1930" s="47" t="n">
        <x:v>0</x:v>
      </x:c>
      <x:c r="R1930" s="47" t="n">
        <x:v>0</x:v>
      </x:c>
      <x:c r="S1930" s="47" t="n">
        <x:v>32.26</x:v>
      </x:c>
      <x:c r="T1930" s="47" t="n">
        <x:v>72.98</x:v>
      </x:c>
      <x:c r="U1930" s="47" t="n">
        <x:v>29.8</x:v>
      </x:c>
      <x:c r="V1930" s="47" t="n">
        <x:v>13.5</x:v>
      </x:c>
      <x:c r="W1930" s="47" t="n">
        <x:v>18</x:v>
      </x:c>
      <x:c r="X1930" s="47" t="n">
        <x:v>76</x:v>
      </x:c>
      <x:c r="Y1930" s="41" t="n">
        <x:v>58</x:v>
      </x:c>
    </x:row>
    <x:row r="1931">
      <x:c r="A1931" s="38" t="str">
        <x:v>7月29日现场数据</x:v>
      </x:c>
      <x:c r="B1931" s="66" t="str">
        <x:v>2026-07-29T08:31:32.739000</x:v>
      </x:c>
      <x:c r="C1931" s="47" t="n">
        <x:v>300965</x:v>
      </x:c>
      <x:c r="D1931" s="47" t="str"/>
      <x:c r="E1931" s="47" t="str"/>
      <x:c r="F1931" s="47" t="str">
        <x:v>current</x:v>
      </x:c>
      <x:c r="G1931" s="47" t="n">
        <x:v>96</x:v>
      </x:c>
      <x:c r="H1931" s="53" t="b">
        <x:v>1</x:v>
      </x:c>
      <x:c r="I1931" s="47" t="str">
        <x:v>578202819</x:v>
      </x:c>
      <x:c r="J1931" s="47" t="n">
        <x:v>28921284</x:v>
      </x:c>
      <x:c r="K1931" s="53" t="b">
        <x:v>1</x:v>
      </x:c>
      <x:c r="L1931" s="53" t="b">
        <x:v>1</x:v>
      </x:c>
      <x:c r="M1931" s="53" t="b">
        <x:v>1</x:v>
      </x:c>
      <x:c r="N1931" s="53" t="b">
        <x:v>1</x:v>
      </x:c>
      <x:c r="O1931" s="53" t="b">
        <x:v>1</x:v>
      </x:c>
      <x:c r="P1931" s="47" t="n">
        <x:v>1014</x:v>
      </x:c>
      <x:c r="Q1931" s="47" t="n">
        <x:v>0</x:v>
      </x:c>
      <x:c r="R1931" s="47" t="n">
        <x:v>0</x:v>
      </x:c>
      <x:c r="S1931" s="47" t="n">
        <x:v>32.56</x:v>
      </x:c>
      <x:c r="T1931" s="47" t="n">
        <x:v>73.01</x:v>
      </x:c>
      <x:c r="U1931" s="47" t="n">
        <x:v>29.8</x:v>
      </x:c>
      <x:c r="V1931" s="47" t="n">
        <x:v>13.5</x:v>
      </x:c>
      <x:c r="W1931" s="47" t="n">
        <x:v>30</x:v>
      </x:c>
      <x:c r="X1931" s="47" t="n">
        <x:v>121</x:v>
      </x:c>
      <x:c r="Y1931" s="41" t="n">
        <x:v>91</x:v>
      </x:c>
    </x:row>
    <x:row r="1932">
      <x:c r="A1932" s="38" t="str">
        <x:v>7月29日现场数据</x:v>
      </x:c>
      <x:c r="B1932" s="66" t="str">
        <x:v>2026-07-29T08:36:33.704000</x:v>
      </x:c>
      <x:c r="C1932" s="47" t="n">
        <x:v>300965</x:v>
      </x:c>
      <x:c r="D1932" s="47" t="str"/>
      <x:c r="E1932" s="47" t="str"/>
      <x:c r="F1932" s="47" t="str">
        <x:v>current</x:v>
      </x:c>
      <x:c r="G1932" s="47" t="n">
        <x:v>97</x:v>
      </x:c>
      <x:c r="H1932" s="53" t="b">
        <x:v>1</x:v>
      </x:c>
      <x:c r="I1932" s="47" t="str">
        <x:v>578202819</x:v>
      </x:c>
      <x:c r="J1932" s="47" t="n">
        <x:v>29222249</x:v>
      </x:c>
      <x:c r="K1932" s="53" t="b">
        <x:v>1</x:v>
      </x:c>
      <x:c r="L1932" s="53" t="b">
        <x:v>1</x:v>
      </x:c>
      <x:c r="M1932" s="53" t="b">
        <x:v>1</x:v>
      </x:c>
      <x:c r="N1932" s="53" t="b">
        <x:v>1</x:v>
      </x:c>
      <x:c r="O1932" s="53" t="b">
        <x:v>1</x:v>
      </x:c>
      <x:c r="P1932" s="47" t="n">
        <x:v>1014</x:v>
      </x:c>
      <x:c r="Q1932" s="47" t="n">
        <x:v>0</x:v>
      </x:c>
      <x:c r="R1932" s="47" t="n">
        <x:v>0</x:v>
      </x:c>
      <x:c r="S1932" s="47" t="n">
        <x:v>33.07</x:v>
      </x:c>
      <x:c r="T1932" s="47" t="n">
        <x:v>73.14</x:v>
      </x:c>
      <x:c r="U1932" s="47" t="n">
        <x:v>29.8</x:v>
      </x:c>
      <x:c r="V1932" s="47" t="n">
        <x:v>13.6</x:v>
      </x:c>
      <x:c r="W1932" s="47" t="n">
        <x:v>35</x:v>
      </x:c>
      <x:c r="X1932" s="47" t="n">
        <x:v>148</x:v>
      </x:c>
      <x:c r="Y1932" s="41" t="n">
        <x:v>113</x:v>
      </x:c>
    </x:row>
    <x:row r="1933">
      <x:c r="A1933" s="38" t="str">
        <x:v>7月29日现场数据</x:v>
      </x:c>
      <x:c r="B1933" s="66" t="str">
        <x:v>2026-07-29T08:41:34.672000</x:v>
      </x:c>
      <x:c r="C1933" s="47" t="n">
        <x:v>300968</x:v>
      </x:c>
      <x:c r="D1933" s="47" t="str"/>
      <x:c r="E1933" s="47" t="str"/>
      <x:c r="F1933" s="47" t="str">
        <x:v>current</x:v>
      </x:c>
      <x:c r="G1933" s="47" t="n">
        <x:v>98</x:v>
      </x:c>
      <x:c r="H1933" s="53" t="b">
        <x:v>1</x:v>
      </x:c>
      <x:c r="I1933" s="47" t="str">
        <x:v>578202819</x:v>
      </x:c>
      <x:c r="J1933" s="47" t="n">
        <x:v>29523217</x:v>
      </x:c>
      <x:c r="K1933" s="53" t="b">
        <x:v>1</x:v>
      </x:c>
      <x:c r="L1933" s="53" t="b">
        <x:v>1</x:v>
      </x:c>
      <x:c r="M1933" s="53" t="b">
        <x:v>1</x:v>
      </x:c>
      <x:c r="N1933" s="53" t="b">
        <x:v>1</x:v>
      </x:c>
      <x:c r="O1933" s="53" t="b">
        <x:v>1</x:v>
      </x:c>
      <x:c r="P1933" s="47" t="n">
        <x:v>1013</x:v>
      </x:c>
      <x:c r="Q1933" s="47" t="n">
        <x:v>0</x:v>
      </x:c>
      <x:c r="R1933" s="47" t="n">
        <x:v>0</x:v>
      </x:c>
      <x:c r="S1933" s="47" t="n">
        <x:v>33.49</x:v>
      </x:c>
      <x:c r="T1933" s="47" t="n">
        <x:v>73.2</x:v>
      </x:c>
      <x:c r="U1933" s="47" t="n">
        <x:v>29.9</x:v>
      </x:c>
      <x:c r="V1933" s="47" t="n">
        <x:v>13.6</x:v>
      </x:c>
      <x:c r="W1933" s="47" t="n">
        <x:v>56</x:v>
      </x:c>
      <x:c r="X1933" s="47" t="n">
        <x:v>305</x:v>
      </x:c>
      <x:c r="Y1933" s="41" t="n">
        <x:v>249</x:v>
      </x:c>
    </x:row>
    <x:row r="1934">
      <x:c r="A1934" s="38" t="str">
        <x:v>7月29日现场数据</x:v>
      </x:c>
      <x:c r="B1934" s="66" t="str">
        <x:v>2026-07-29T08:46:35.641000</x:v>
      </x:c>
      <x:c r="C1934" s="47" t="n">
        <x:v>300969</x:v>
      </x:c>
      <x:c r="D1934" s="47" t="str"/>
      <x:c r="E1934" s="47" t="str"/>
      <x:c r="F1934" s="47" t="str">
        <x:v>current</x:v>
      </x:c>
      <x:c r="G1934" s="47" t="n">
        <x:v>99</x:v>
      </x:c>
      <x:c r="H1934" s="53" t="b">
        <x:v>1</x:v>
      </x:c>
      <x:c r="I1934" s="47" t="str">
        <x:v>578202819</x:v>
      </x:c>
      <x:c r="J1934" s="47" t="n">
        <x:v>29824186</x:v>
      </x:c>
      <x:c r="K1934" s="53" t="b">
        <x:v>1</x:v>
      </x:c>
      <x:c r="L1934" s="53" t="b">
        <x:v>1</x:v>
      </x:c>
      <x:c r="M1934" s="53" t="b">
        <x:v>1</x:v>
      </x:c>
      <x:c r="N1934" s="53" t="b">
        <x:v>1</x:v>
      </x:c>
      <x:c r="O1934" s="53" t="b">
        <x:v>1</x:v>
      </x:c>
      <x:c r="P1934" s="47" t="n">
        <x:v>1014</x:v>
      </x:c>
      <x:c r="Q1934" s="47" t="n">
        <x:v>0.032</x:v>
      </x:c>
      <x:c r="R1934" s="47" t="n">
        <x:v>0.857</x:v>
      </x:c>
      <x:c r="S1934" s="47" t="n">
        <x:v>34.03</x:v>
      </x:c>
      <x:c r="T1934" s="47" t="n">
        <x:v>73.34</x:v>
      </x:c>
      <x:c r="U1934" s="47" t="n">
        <x:v>29.9</x:v>
      </x:c>
      <x:c r="V1934" s="47" t="n">
        <x:v>13.6</x:v>
      </x:c>
      <x:c r="W1934" s="47" t="n">
        <x:v>119</x:v>
      </x:c>
      <x:c r="X1934" s="47" t="n">
        <x:v>959</x:v>
      </x:c>
      <x:c r="Y1934" s="41" t="n">
        <x:v>840</x:v>
      </x:c>
    </x:row>
    <x:row r="1935">
      <x:c r="A1935" s="38" t="str">
        <x:v>7月29日现场数据</x:v>
      </x:c>
      <x:c r="B1935" s="66" t="str">
        <x:v>2026-07-29T08:51:36.614000</x:v>
      </x:c>
      <x:c r="C1935" s="47" t="n">
        <x:v>300973</x:v>
      </x:c>
      <x:c r="D1935" s="47" t="str"/>
      <x:c r="E1935" s="47" t="str"/>
      <x:c r="F1935" s="47" t="str">
        <x:v>current</x:v>
      </x:c>
      <x:c r="G1935" s="47" t="n">
        <x:v>100</x:v>
      </x:c>
      <x:c r="H1935" s="53" t="b">
        <x:v>1</x:v>
      </x:c>
      <x:c r="I1935" s="47" t="str">
        <x:v>578202819</x:v>
      </x:c>
      <x:c r="J1935" s="47" t="n">
        <x:v>30125159</x:v>
      </x:c>
      <x:c r="K1935" s="53" t="b">
        <x:v>1</x:v>
      </x:c>
      <x:c r="L1935" s="53" t="b">
        <x:v>1</x:v>
      </x:c>
      <x:c r="M1935" s="53" t="b">
        <x:v>1</x:v>
      </x:c>
      <x:c r="N1935" s="53" t="b">
        <x:v>1</x:v>
      </x:c>
      <x:c r="O1935" s="53" t="b">
        <x:v>1</x:v>
      </x:c>
      <x:c r="P1935" s="47" t="n">
        <x:v>1014</x:v>
      </x:c>
      <x:c r="Q1935" s="47" t="n">
        <x:v>0</x:v>
      </x:c>
      <x:c r="R1935" s="47" t="n">
        <x:v>0</x:v>
      </x:c>
      <x:c r="S1935" s="47" t="n">
        <x:v>39.39</x:v>
      </x:c>
      <x:c r="T1935" s="47" t="n">
        <x:v>73.97</x:v>
      </x:c>
      <x:c r="U1935" s="47" t="n">
        <x:v>30</x:v>
      </x:c>
      <x:c r="V1935" s="47" t="n">
        <x:v>13.6</x:v>
      </x:c>
      <x:c r="W1935" s="47" t="n">
        <x:v>120</x:v>
      </x:c>
      <x:c r="X1935" s="47" t="n">
        <x:v>695</x:v>
      </x:c>
      <x:c r="Y1935" s="41" t="n">
        <x:v>575</x:v>
      </x:c>
    </x:row>
    <x:row r="1936">
      <x:c r="A1936" s="38" t="str">
        <x:v>7月29日现场数据</x:v>
      </x:c>
      <x:c r="B1936" s="66" t="str">
        <x:v>2026-07-29T08:56:37.589000</x:v>
      </x:c>
      <x:c r="C1936" s="47" t="n">
        <x:v>300975</x:v>
      </x:c>
      <x:c r="D1936" s="47" t="str"/>
      <x:c r="E1936" s="47" t="str"/>
      <x:c r="F1936" s="47" t="str">
        <x:v>current</x:v>
      </x:c>
      <x:c r="G1936" s="47" t="n">
        <x:v>101</x:v>
      </x:c>
      <x:c r="H1936" s="53" t="b">
        <x:v>1</x:v>
      </x:c>
      <x:c r="I1936" s="47" t="str">
        <x:v>578202819</x:v>
      </x:c>
      <x:c r="J1936" s="47" t="n">
        <x:v>30426134</x:v>
      </x:c>
      <x:c r="K1936" s="53" t="b">
        <x:v>1</x:v>
      </x:c>
      <x:c r="L1936" s="53" t="b">
        <x:v>1</x:v>
      </x:c>
      <x:c r="M1936" s="53" t="b">
        <x:v>1</x:v>
      </x:c>
      <x:c r="N1936" s="53" t="b">
        <x:v>1</x:v>
      </x:c>
      <x:c r="O1936" s="53" t="b">
        <x:v>1</x:v>
      </x:c>
      <x:c r="P1936" s="47" t="n">
        <x:v>1015</x:v>
      </x:c>
      <x:c r="Q1936" s="47" t="n">
        <x:v>0</x:v>
      </x:c>
      <x:c r="R1936" s="47" t="n">
        <x:v>0</x:v>
      </x:c>
      <x:c r="S1936" s="47" t="n">
        <x:v>40.64</x:v>
      </x:c>
      <x:c r="T1936" s="47" t="n">
        <x:v>74.46</x:v>
      </x:c>
      <x:c r="U1936" s="47" t="n">
        <x:v>30.3</x:v>
      </x:c>
      <x:c r="V1936" s="47" t="n">
        <x:v>13.7</x:v>
      </x:c>
      <x:c r="W1936" s="47" t="n">
        <x:v>177</x:v>
      </x:c>
      <x:c r="X1936" s="47" t="n">
        <x:v>899</x:v>
      </x:c>
      <x:c r="Y1936" s="41" t="n">
        <x:v>722</x:v>
      </x:c>
    </x:row>
    <x:row r="1937">
      <x:c r="A1937" s="38" t="str">
        <x:v>7月29日现场数据</x:v>
      </x:c>
      <x:c r="B1937" s="66" t="str">
        <x:v>2026-07-29T09:01:38.594000</x:v>
      </x:c>
      <x:c r="C1937" s="47" t="n">
        <x:v>301005</x:v>
      </x:c>
      <x:c r="D1937" s="47" t="str"/>
      <x:c r="E1937" s="47" t="str"/>
      <x:c r="F1937" s="47" t="str">
        <x:v>current</x:v>
      </x:c>
      <x:c r="G1937" s="47" t="n">
        <x:v>102</x:v>
      </x:c>
      <x:c r="H1937" s="53" t="b">
        <x:v>1</x:v>
      </x:c>
      <x:c r="I1937" s="47" t="str">
        <x:v>578202819</x:v>
      </x:c>
      <x:c r="J1937" s="47" t="n">
        <x:v>30727139</x:v>
      </x:c>
      <x:c r="K1937" s="53" t="b">
        <x:v>1</x:v>
      </x:c>
      <x:c r="L1937" s="53" t="b">
        <x:v>1</x:v>
      </x:c>
      <x:c r="M1937" s="53" t="b">
        <x:v>1</x:v>
      </x:c>
      <x:c r="N1937" s="53" t="b">
        <x:v>1</x:v>
      </x:c>
      <x:c r="O1937" s="53" t="b">
        <x:v>1</x:v>
      </x:c>
      <x:c r="P1937" s="47" t="n">
        <x:v>1014</x:v>
      </x:c>
      <x:c r="Q1937" s="47" t="n">
        <x:v>0</x:v>
      </x:c>
      <x:c r="R1937" s="47" t="n">
        <x:v>0</x:v>
      </x:c>
      <x:c r="S1937" s="47" t="n">
        <x:v>42.91</x:v>
      </x:c>
      <x:c r="T1937" s="47" t="n">
        <x:v>74.79</x:v>
      </x:c>
      <x:c r="U1937" s="47" t="n">
        <x:v>30.7</x:v>
      </x:c>
      <x:c r="V1937" s="47" t="n">
        <x:v>13.9</x:v>
      </x:c>
      <x:c r="W1937" s="47" t="n">
        <x:v>215</x:v>
      </x:c>
      <x:c r="X1937" s="47" t="n">
        <x:v>1014</x:v>
      </x:c>
      <x:c r="Y1937" s="41" t="n">
        <x:v>799</x:v>
      </x:c>
    </x:row>
    <x:row r="1938">
      <x:c r="A1938" s="38" t="str">
        <x:v>7月29日现场数据</x:v>
      </x:c>
      <x:c r="B1938" s="66" t="str">
        <x:v>2026-07-29T09:06:39.542000</x:v>
      </x:c>
      <x:c r="C1938" s="47" t="n">
        <x:v>300948</x:v>
      </x:c>
      <x:c r="D1938" s="47" t="str"/>
      <x:c r="E1938" s="47" t="str"/>
      <x:c r="F1938" s="47" t="str">
        <x:v>current</x:v>
      </x:c>
      <x:c r="G1938" s="47" t="n">
        <x:v>103</x:v>
      </x:c>
      <x:c r="H1938" s="53" t="b">
        <x:v>1</x:v>
      </x:c>
      <x:c r="I1938" s="47" t="str">
        <x:v>578202819</x:v>
      </x:c>
      <x:c r="J1938" s="47" t="n">
        <x:v>31028087</x:v>
      </x:c>
      <x:c r="K1938" s="53" t="b">
        <x:v>1</x:v>
      </x:c>
      <x:c r="L1938" s="53" t="b">
        <x:v>1</x:v>
      </x:c>
      <x:c r="M1938" s="53" t="b">
        <x:v>1</x:v>
      </x:c>
      <x:c r="N1938" s="53" t="b">
        <x:v>1</x:v>
      </x:c>
      <x:c r="O1938" s="53" t="b">
        <x:v>1</x:v>
      </x:c>
      <x:c r="P1938" s="47" t="n">
        <x:v>1014</x:v>
      </x:c>
      <x:c r="Q1938" s="47" t="n">
        <x:v>0</x:v>
      </x:c>
      <x:c r="R1938" s="47" t="n">
        <x:v>0</x:v>
      </x:c>
      <x:c r="S1938" s="47" t="n">
        <x:v>44.05</x:v>
      </x:c>
      <x:c r="T1938" s="47" t="n">
        <x:v>75.08</x:v>
      </x:c>
      <x:c r="U1938" s="47" t="n">
        <x:v>31.2</x:v>
      </x:c>
      <x:c r="V1938" s="47" t="n">
        <x:v>13.9</x:v>
      </x:c>
      <x:c r="W1938" s="47" t="n">
        <x:v>222</x:v>
      </x:c>
      <x:c r="X1938" s="47" t="n">
        <x:v>1030</x:v>
      </x:c>
      <x:c r="Y1938" s="41" t="n">
        <x:v>808</x:v>
      </x:c>
    </x:row>
    <x:row r="1939">
      <x:c r="A1939" s="38" t="str">
        <x:v>7月29日现场数据</x:v>
      </x:c>
      <x:c r="B1939" s="66" t="str">
        <x:v>2026-07-29T09:11:40.492000</x:v>
      </x:c>
      <x:c r="C1939" s="47" t="n">
        <x:v>300950</x:v>
      </x:c>
      <x:c r="D1939" s="47" t="str"/>
      <x:c r="E1939" s="47" t="str"/>
      <x:c r="F1939" s="47" t="str">
        <x:v>current</x:v>
      </x:c>
      <x:c r="G1939" s="47" t="n">
        <x:v>104</x:v>
      </x:c>
      <x:c r="H1939" s="53" t="b">
        <x:v>1</x:v>
      </x:c>
      <x:c r="I1939" s="47" t="str">
        <x:v>578202819</x:v>
      </x:c>
      <x:c r="J1939" s="47" t="n">
        <x:v>31329037</x:v>
      </x:c>
      <x:c r="K1939" s="53" t="b">
        <x:v>1</x:v>
      </x:c>
      <x:c r="L1939" s="53" t="b">
        <x:v>1</x:v>
      </x:c>
      <x:c r="M1939" s="53" t="b">
        <x:v>1</x:v>
      </x:c>
      <x:c r="N1939" s="53" t="b">
        <x:v>1</x:v>
      </x:c>
      <x:c r="O1939" s="53" t="b">
        <x:v>1</x:v>
      </x:c>
      <x:c r="P1939" s="47" t="n">
        <x:v>1014</x:v>
      </x:c>
      <x:c r="Q1939" s="47" t="n">
        <x:v>0</x:v>
      </x:c>
      <x:c r="R1939" s="47" t="n">
        <x:v>0</x:v>
      </x:c>
      <x:c r="S1939" s="47" t="n">
        <x:v>44.61</x:v>
      </x:c>
      <x:c r="T1939" s="47" t="n">
        <x:v>74.68</x:v>
      </x:c>
      <x:c r="U1939" s="47" t="n">
        <x:v>31.7</x:v>
      </x:c>
      <x:c r="V1939" s="47" t="n">
        <x:v>13.9</x:v>
      </x:c>
      <x:c r="W1939" s="47" t="n">
        <x:v>228</x:v>
      </x:c>
      <x:c r="X1939" s="47" t="n">
        <x:v>1041</x:v>
      </x:c>
      <x:c r="Y1939" s="41" t="n">
        <x:v>813</x:v>
      </x:c>
    </x:row>
    <x:row r="1940">
      <x:c r="A1940" s="38" t="str">
        <x:v>7月29日现场数据</x:v>
      </x:c>
      <x:c r="B1940" s="66" t="str">
        <x:v>2026-07-29T09:16:41.442000</x:v>
      </x:c>
      <x:c r="C1940" s="47" t="n">
        <x:v>300950</x:v>
      </x:c>
      <x:c r="D1940" s="47" t="str"/>
      <x:c r="E1940" s="47" t="str"/>
      <x:c r="F1940" s="47" t="str">
        <x:v>current</x:v>
      </x:c>
      <x:c r="G1940" s="47" t="n">
        <x:v>105</x:v>
      </x:c>
      <x:c r="H1940" s="53" t="b">
        <x:v>1</x:v>
      </x:c>
      <x:c r="I1940" s="47" t="str">
        <x:v>578202819</x:v>
      </x:c>
      <x:c r="J1940" s="47" t="n">
        <x:v>31629987</x:v>
      </x:c>
      <x:c r="K1940" s="53" t="b">
        <x:v>1</x:v>
      </x:c>
      <x:c r="L1940" s="53" t="b">
        <x:v>1</x:v>
      </x:c>
      <x:c r="M1940" s="53" t="b">
        <x:v>1</x:v>
      </x:c>
      <x:c r="N1940" s="53" t="b">
        <x:v>1</x:v>
      </x:c>
      <x:c r="O1940" s="53" t="b">
        <x:v>1</x:v>
      </x:c>
      <x:c r="P1940" s="47" t="n">
        <x:v>1015</x:v>
      </x:c>
      <x:c r="Q1940" s="47" t="n">
        <x:v>0</x:v>
      </x:c>
      <x:c r="R1940" s="47" t="n">
        <x:v>0</x:v>
      </x:c>
      <x:c r="S1940" s="47" t="n">
        <x:v>42.57</x:v>
      </x:c>
      <x:c r="T1940" s="47" t="n">
        <x:v>74.41</x:v>
      </x:c>
      <x:c r="U1940" s="47" t="n">
        <x:v>32.1</x:v>
      </x:c>
      <x:c r="V1940" s="47" t="n">
        <x:v>13.9</x:v>
      </x:c>
      <x:c r="W1940" s="47" t="n">
        <x:v>233</x:v>
      </x:c>
      <x:c r="X1940" s="47" t="n">
        <x:v>1046</x:v>
      </x:c>
      <x:c r="Y1940" s="41" t="n">
        <x:v>813</x:v>
      </x:c>
    </x:row>
    <x:row r="1941">
      <x:c r="A1941" s="38" t="str">
        <x:v>7月29日现场数据</x:v>
      </x:c>
      <x:c r="B1941" s="66" t="str">
        <x:v>2026-07-29T09:21:42.396000</x:v>
      </x:c>
      <x:c r="C1941" s="47" t="n">
        <x:v>300954</x:v>
      </x:c>
      <x:c r="D1941" s="47" t="str"/>
      <x:c r="E1941" s="47" t="str"/>
      <x:c r="F1941" s="47" t="str">
        <x:v>current</x:v>
      </x:c>
      <x:c r="G1941" s="47" t="n">
        <x:v>106</x:v>
      </x:c>
      <x:c r="H1941" s="53" t="b">
        <x:v>1</x:v>
      </x:c>
      <x:c r="I1941" s="47" t="str">
        <x:v>578202819</x:v>
      </x:c>
      <x:c r="J1941" s="47" t="n">
        <x:v>31930941</x:v>
      </x:c>
      <x:c r="K1941" s="53" t="b">
        <x:v>1</x:v>
      </x:c>
      <x:c r="L1941" s="53" t="b">
        <x:v>1</x:v>
      </x:c>
      <x:c r="M1941" s="53" t="b">
        <x:v>1</x:v>
      </x:c>
      <x:c r="N1941" s="53" t="b">
        <x:v>1</x:v>
      </x:c>
      <x:c r="O1941" s="53" t="b">
        <x:v>1</x:v>
      </x:c>
      <x:c r="P1941" s="47" t="n">
        <x:v>1014</x:v>
      </x:c>
      <x:c r="Q1941" s="47" t="n">
        <x:v>0.016</x:v>
      </x:c>
      <x:c r="R1941" s="47" t="n">
        <x:v>0.429</x:v>
      </x:c>
      <x:c r="S1941" s="47" t="n">
        <x:v>43.36</x:v>
      </x:c>
      <x:c r="T1941" s="47" t="n">
        <x:v>74.04</x:v>
      </x:c>
      <x:c r="U1941" s="47" t="n">
        <x:v>32.5</x:v>
      </x:c>
      <x:c r="V1941" s="47" t="n">
        <x:v>13.9</x:v>
      </x:c>
      <x:c r="W1941" s="47" t="n">
        <x:v>233</x:v>
      </x:c>
      <x:c r="X1941" s="47" t="n">
        <x:v>1049</x:v>
      </x:c>
      <x:c r="Y1941" s="41" t="n">
        <x:v>816</x:v>
      </x:c>
    </x:row>
    <x:row r="1942">
      <x:c r="A1942" s="38" t="str">
        <x:v>7月29日现场数据</x:v>
      </x:c>
      <x:c r="B1942" s="66" t="str">
        <x:v>2026-07-29T09:26:43.353000</x:v>
      </x:c>
      <x:c r="C1942" s="47" t="n">
        <x:v>300957</x:v>
      </x:c>
      <x:c r="D1942" s="47" t="str"/>
      <x:c r="E1942" s="47" t="str"/>
      <x:c r="F1942" s="47" t="str">
        <x:v>current</x:v>
      </x:c>
      <x:c r="G1942" s="47" t="n">
        <x:v>107</x:v>
      </x:c>
      <x:c r="H1942" s="53" t="b">
        <x:v>1</x:v>
      </x:c>
      <x:c r="I1942" s="47" t="str">
        <x:v>578202819</x:v>
      </x:c>
      <x:c r="J1942" s="47" t="n">
        <x:v>32231898</x:v>
      </x:c>
      <x:c r="K1942" s="53" t="b">
        <x:v>1</x:v>
      </x:c>
      <x:c r="L1942" s="53" t="b">
        <x:v>1</x:v>
      </x:c>
      <x:c r="M1942" s="53" t="b">
        <x:v>1</x:v>
      </x:c>
      <x:c r="N1942" s="53" t="b">
        <x:v>1</x:v>
      </x:c>
      <x:c r="O1942" s="53" t="b">
        <x:v>1</x:v>
      </x:c>
      <x:c r="P1942" s="47" t="n">
        <x:v>1014</x:v>
      </x:c>
      <x:c r="Q1942" s="47" t="n">
        <x:v>0</x:v>
      </x:c>
      <x:c r="R1942" s="47" t="n">
        <x:v>0</x:v>
      </x:c>
      <x:c r="S1942" s="47" t="n">
        <x:v>43.73</x:v>
      </x:c>
      <x:c r="T1942" s="47" t="n">
        <x:v>73.79</x:v>
      </x:c>
      <x:c r="U1942" s="47" t="n">
        <x:v>32.9</x:v>
      </x:c>
      <x:c r="V1942" s="47" t="n">
        <x:v>13.9</x:v>
      </x:c>
      <x:c r="W1942" s="47" t="n">
        <x:v>235</x:v>
      </x:c>
      <x:c r="X1942" s="47" t="n">
        <x:v>1058</x:v>
      </x:c>
      <x:c r="Y1942" s="41" t="n">
        <x:v>823</x:v>
      </x:c>
    </x:row>
    <x:row r="1943">
      <x:c r="A1943" s="38" t="str">
        <x:v>7月29日现场数据</x:v>
      </x:c>
      <x:c r="B1943" s="66" t="str">
        <x:v>2026-07-29T09:31:44.313000</x:v>
      </x:c>
      <x:c r="C1943" s="47" t="n">
        <x:v>300960</x:v>
      </x:c>
      <x:c r="D1943" s="47" t="str"/>
      <x:c r="E1943" s="47" t="str"/>
      <x:c r="F1943" s="47" t="str">
        <x:v>current</x:v>
      </x:c>
      <x:c r="G1943" s="47" t="n">
        <x:v>108</x:v>
      </x:c>
      <x:c r="H1943" s="53" t="b">
        <x:v>1</x:v>
      </x:c>
      <x:c r="I1943" s="47" t="str">
        <x:v>578202819</x:v>
      </x:c>
      <x:c r="J1943" s="47" t="n">
        <x:v>32532858</x:v>
      </x:c>
      <x:c r="K1943" s="53" t="b">
        <x:v>1</x:v>
      </x:c>
      <x:c r="L1943" s="53" t="b">
        <x:v>1</x:v>
      </x:c>
      <x:c r="M1943" s="53" t="b">
        <x:v>1</x:v>
      </x:c>
      <x:c r="N1943" s="53" t="b">
        <x:v>1</x:v>
      </x:c>
      <x:c r="O1943" s="53" t="b">
        <x:v>1</x:v>
      </x:c>
      <x:c r="P1943" s="47" t="n">
        <x:v>1015</x:v>
      </x:c>
      <x:c r="Q1943" s="47" t="n">
        <x:v>0</x:v>
      </x:c>
      <x:c r="R1943" s="47" t="n">
        <x:v>0</x:v>
      </x:c>
      <x:c r="S1943" s="47" t="n">
        <x:v>43.43</x:v>
      </x:c>
      <x:c r="T1943" s="47" t="n">
        <x:v>73.32</x:v>
      </x:c>
      <x:c r="U1943" s="47" t="n">
        <x:v>33.2</x:v>
      </x:c>
      <x:c r="V1943" s="47" t="n">
        <x:v>13.9</x:v>
      </x:c>
      <x:c r="W1943" s="47" t="n">
        <x:v>237</x:v>
      </x:c>
      <x:c r="X1943" s="47" t="n">
        <x:v>1071</x:v>
      </x:c>
      <x:c r="Y1943" s="41" t="n">
        <x:v>834</x:v>
      </x:c>
    </x:row>
    <x:row r="1944">
      <x:c r="A1944" s="38" t="str">
        <x:v>7月29日现场数据</x:v>
      </x:c>
      <x:c r="B1944" s="66" t="str">
        <x:v>2026-07-29T09:36:45.274000</x:v>
      </x:c>
      <x:c r="C1944" s="47" t="n">
        <x:v>300961</x:v>
      </x:c>
      <x:c r="D1944" s="47" t="str"/>
      <x:c r="E1944" s="47" t="str"/>
      <x:c r="F1944" s="47" t="str">
        <x:v>current</x:v>
      </x:c>
      <x:c r="G1944" s="47" t="n">
        <x:v>109</x:v>
      </x:c>
      <x:c r="H1944" s="53" t="b">
        <x:v>1</x:v>
      </x:c>
      <x:c r="I1944" s="47" t="str">
        <x:v>578202819</x:v>
      </x:c>
      <x:c r="J1944" s="47" t="n">
        <x:v>32833819</x:v>
      </x:c>
      <x:c r="K1944" s="53" t="b">
        <x:v>1</x:v>
      </x:c>
      <x:c r="L1944" s="53" t="b">
        <x:v>1</x:v>
      </x:c>
      <x:c r="M1944" s="53" t="b">
        <x:v>1</x:v>
      </x:c>
      <x:c r="N1944" s="53" t="b">
        <x:v>1</x:v>
      </x:c>
      <x:c r="O1944" s="53" t="b">
        <x:v>1</x:v>
      </x:c>
      <x:c r="P1944" s="47" t="n">
        <x:v>1015</x:v>
      </x:c>
      <x:c r="Q1944" s="47" t="n">
        <x:v>0</x:v>
      </x:c>
      <x:c r="R1944" s="47" t="n">
        <x:v>0</x:v>
      </x:c>
      <x:c r="S1944" s="47" t="n">
        <x:v>44.64</x:v>
      </x:c>
      <x:c r="T1944" s="47" t="n">
        <x:v>73.12</x:v>
      </x:c>
      <x:c r="U1944" s="47" t="n">
        <x:v>33.5</x:v>
      </x:c>
      <x:c r="V1944" s="47" t="n">
        <x:v>13.9</x:v>
      </x:c>
      <x:c r="W1944" s="47" t="n">
        <x:v>236</x:v>
      </x:c>
      <x:c r="X1944" s="47" t="n">
        <x:v>1072</x:v>
      </x:c>
      <x:c r="Y1944" s="41" t="n">
        <x:v>836</x:v>
      </x:c>
    </x:row>
    <x:row r="1945">
      <x:c r="A1945" s="38" t="str">
        <x:v>7月29日现场数据</x:v>
      </x:c>
      <x:c r="B1945" s="66" t="str">
        <x:v>2026-07-29T09:41:46.238000</x:v>
      </x:c>
      <x:c r="C1945" s="47" t="n">
        <x:v>300964</x:v>
      </x:c>
      <x:c r="D1945" s="47" t="str"/>
      <x:c r="E1945" s="47" t="str"/>
      <x:c r="F1945" s="47" t="str">
        <x:v>current</x:v>
      </x:c>
      <x:c r="G1945" s="47" t="n">
        <x:v>110</x:v>
      </x:c>
      <x:c r="H1945" s="53" t="b">
        <x:v>1</x:v>
      </x:c>
      <x:c r="I1945" s="47" t="str">
        <x:v>578202819</x:v>
      </x:c>
      <x:c r="J1945" s="47" t="n">
        <x:v>33134783</x:v>
      </x:c>
      <x:c r="K1945" s="53" t="b">
        <x:v>1</x:v>
      </x:c>
      <x:c r="L1945" s="53" t="b">
        <x:v>1</x:v>
      </x:c>
      <x:c r="M1945" s="53" t="b">
        <x:v>1</x:v>
      </x:c>
      <x:c r="N1945" s="53" t="b">
        <x:v>1</x:v>
      </x:c>
      <x:c r="O1945" s="53" t="b">
        <x:v>1</x:v>
      </x:c>
      <x:c r="P1945" s="47" t="n">
        <x:v>1014</x:v>
      </x:c>
      <x:c r="Q1945" s="47" t="n">
        <x:v>0</x:v>
      </x:c>
      <x:c r="R1945" s="47" t="n">
        <x:v>0</x:v>
      </x:c>
      <x:c r="S1945" s="47" t="n">
        <x:v>45.06</x:v>
      </x:c>
      <x:c r="T1945" s="47" t="n">
        <x:v>73.36</x:v>
      </x:c>
      <x:c r="U1945" s="47" t="n">
        <x:v>33.7</x:v>
      </x:c>
      <x:c r="V1945" s="47" t="n">
        <x:v>13.8</x:v>
      </x:c>
      <x:c r="W1945" s="47" t="n">
        <x:v>237</x:v>
      </x:c>
      <x:c r="X1945" s="47" t="n">
        <x:v>1084</x:v>
      </x:c>
      <x:c r="Y1945" s="41" t="n">
        <x:v>847</x:v>
      </x:c>
    </x:row>
    <x:row r="1946">
      <x:c r="A1946" s="38" t="str">
        <x:v>7月29日现场数据</x:v>
      </x:c>
      <x:c r="B1946" s="66" t="str">
        <x:v>2026-07-29T09:46:47.203000</x:v>
      </x:c>
      <x:c r="C1946" s="47" t="n">
        <x:v>300965</x:v>
      </x:c>
      <x:c r="D1946" s="47" t="str"/>
      <x:c r="E1946" s="47" t="str"/>
      <x:c r="F1946" s="47" t="str">
        <x:v>current</x:v>
      </x:c>
      <x:c r="G1946" s="47" t="n">
        <x:v>111</x:v>
      </x:c>
      <x:c r="H1946" s="53" t="b">
        <x:v>1</x:v>
      </x:c>
      <x:c r="I1946" s="47" t="str">
        <x:v>578202819</x:v>
      </x:c>
      <x:c r="J1946" s="47" t="n">
        <x:v>33435748</x:v>
      </x:c>
      <x:c r="K1946" s="53" t="b">
        <x:v>1</x:v>
      </x:c>
      <x:c r="L1946" s="53" t="b">
        <x:v>1</x:v>
      </x:c>
      <x:c r="M1946" s="53" t="b">
        <x:v>1</x:v>
      </x:c>
      <x:c r="N1946" s="53" t="b">
        <x:v>1</x:v>
      </x:c>
      <x:c r="O1946" s="53" t="b">
        <x:v>1</x:v>
      </x:c>
      <x:c r="P1946" s="47" t="n">
        <x:v>1014</x:v>
      </x:c>
      <x:c r="Q1946" s="47" t="n">
        <x:v>0</x:v>
      </x:c>
      <x:c r="R1946" s="47" t="n">
        <x:v>0</x:v>
      </x:c>
      <x:c r="S1946" s="47" t="n">
        <x:v>47.3</x:v>
      </x:c>
      <x:c r="T1946" s="47" t="n">
        <x:v>73.01</x:v>
      </x:c>
      <x:c r="U1946" s="47" t="n">
        <x:v>33.9</x:v>
      </x:c>
      <x:c r="V1946" s="47" t="n">
        <x:v>13.8</x:v>
      </x:c>
      <x:c r="W1946" s="47" t="n">
        <x:v>246</x:v>
      </x:c>
      <x:c r="X1946" s="47" t="n">
        <x:v>1076</x:v>
      </x:c>
      <x:c r="Y1946" s="41" t="n">
        <x:v>830</x:v>
      </x:c>
    </x:row>
    <x:row r="1947">
      <x:c r="A1947" s="38" t="str">
        <x:v>7月29日现场数据</x:v>
      </x:c>
      <x:c r="B1947" s="66" t="str">
        <x:v>2026-07-29T09:51:48.170000</x:v>
      </x:c>
      <x:c r="C1947" s="47" t="n">
        <x:v>300967</x:v>
      </x:c>
      <x:c r="D1947" s="47" t="str"/>
      <x:c r="E1947" s="47" t="str"/>
      <x:c r="F1947" s="47" t="str">
        <x:v>current</x:v>
      </x:c>
      <x:c r="G1947" s="47" t="n">
        <x:v>112</x:v>
      </x:c>
      <x:c r="H1947" s="53" t="b">
        <x:v>1</x:v>
      </x:c>
      <x:c r="I1947" s="47" t="str">
        <x:v>578202819</x:v>
      </x:c>
      <x:c r="J1947" s="47" t="n">
        <x:v>33736715</x:v>
      </x:c>
      <x:c r="K1947" s="53" t="b">
        <x:v>1</x:v>
      </x:c>
      <x:c r="L1947" s="53" t="b">
        <x:v>1</x:v>
      </x:c>
      <x:c r="M1947" s="53" t="b">
        <x:v>1</x:v>
      </x:c>
      <x:c r="N1947" s="53" t="b">
        <x:v>1</x:v>
      </x:c>
      <x:c r="O1947" s="53" t="b">
        <x:v>1</x:v>
      </x:c>
      <x:c r="P1947" s="47" t="n">
        <x:v>1014</x:v>
      </x:c>
      <x:c r="Q1947" s="47" t="n">
        <x:v>0</x:v>
      </x:c>
      <x:c r="R1947" s="47" t="n">
        <x:v>0</x:v>
      </x:c>
      <x:c r="S1947" s="47" t="n">
        <x:v>47.45</x:v>
      </x:c>
      <x:c r="T1947" s="47" t="n">
        <x:v>72.82</x:v>
      </x:c>
      <x:c r="U1947" s="47" t="n">
        <x:v>34.1</x:v>
      </x:c>
      <x:c r="V1947" s="47" t="n">
        <x:v>13.7</x:v>
      </x:c>
      <x:c r="W1947" s="47" t="n">
        <x:v>246</x:v>
      </x:c>
      <x:c r="X1947" s="47" t="n">
        <x:v>1099</x:v>
      </x:c>
      <x:c r="Y1947" s="41" t="n">
        <x:v>853</x:v>
      </x:c>
    </x:row>
    <x:row r="1948">
      <x:c r="A1948" s="38" t="str">
        <x:v>7月29日现场数据</x:v>
      </x:c>
      <x:c r="B1948" s="66" t="str">
        <x:v>2026-07-29T09:56:49.138000</x:v>
      </x:c>
      <x:c r="C1948" s="47" t="n">
        <x:v>300968</x:v>
      </x:c>
      <x:c r="D1948" s="47" t="str"/>
      <x:c r="E1948" s="47" t="str"/>
      <x:c r="F1948" s="47" t="str">
        <x:v>current</x:v>
      </x:c>
      <x:c r="G1948" s="47" t="n">
        <x:v>113</x:v>
      </x:c>
      <x:c r="H1948" s="53" t="b">
        <x:v>1</x:v>
      </x:c>
      <x:c r="I1948" s="47" t="str">
        <x:v>578202819</x:v>
      </x:c>
      <x:c r="J1948" s="47" t="n">
        <x:v>34037683</x:v>
      </x:c>
      <x:c r="K1948" s="53" t="b">
        <x:v>1</x:v>
      </x:c>
      <x:c r="L1948" s="53" t="b">
        <x:v>1</x:v>
      </x:c>
      <x:c r="M1948" s="53" t="b">
        <x:v>1</x:v>
      </x:c>
      <x:c r="N1948" s="53" t="b">
        <x:v>1</x:v>
      </x:c>
      <x:c r="O1948" s="53" t="b">
        <x:v>1</x:v>
      </x:c>
      <x:c r="P1948" s="47" t="n">
        <x:v>1014</x:v>
      </x:c>
      <x:c r="Q1948" s="47" t="n">
        <x:v>0</x:v>
      </x:c>
      <x:c r="R1948" s="47" t="n">
        <x:v>0</x:v>
      </x:c>
      <x:c r="S1948" s="47" t="n">
        <x:v>47.72</x:v>
      </x:c>
      <x:c r="T1948" s="47" t="n">
        <x:v>72.11</x:v>
      </x:c>
      <x:c r="U1948" s="47" t="n">
        <x:v>34.2</x:v>
      </x:c>
      <x:c r="V1948" s="47" t="n">
        <x:v>13.6</x:v>
      </x:c>
      <x:c r="W1948" s="47" t="n">
        <x:v>248</x:v>
      </x:c>
      <x:c r="X1948" s="47" t="n">
        <x:v>1113</x:v>
      </x:c>
      <x:c r="Y1948" s="41" t="n">
        <x:v>865</x:v>
      </x:c>
    </x:row>
    <x:row r="1949">
      <x:c r="A1949" s="38" t="str">
        <x:v>7月29日现场数据</x:v>
      </x:c>
      <x:c r="B1949" s="66" t="str">
        <x:v>2026-07-29T10:01:50.108000</x:v>
      </x:c>
      <x:c r="C1949" s="47" t="n">
        <x:v>300970</x:v>
      </x:c>
      <x:c r="D1949" s="47" t="str"/>
      <x:c r="E1949" s="47" t="str"/>
      <x:c r="F1949" s="47" t="str">
        <x:v>current</x:v>
      </x:c>
      <x:c r="G1949" s="47" t="n">
        <x:v>114</x:v>
      </x:c>
      <x:c r="H1949" s="53" t="b">
        <x:v>1</x:v>
      </x:c>
      <x:c r="I1949" s="47" t="str">
        <x:v>578202819</x:v>
      </x:c>
      <x:c r="J1949" s="47" t="n">
        <x:v>34338653</x:v>
      </x:c>
      <x:c r="K1949" s="53" t="b">
        <x:v>1</x:v>
      </x:c>
      <x:c r="L1949" s="53" t="b">
        <x:v>1</x:v>
      </x:c>
      <x:c r="M1949" s="53" t="b">
        <x:v>1</x:v>
      </x:c>
      <x:c r="N1949" s="53" t="b">
        <x:v>1</x:v>
      </x:c>
      <x:c r="O1949" s="53" t="b">
        <x:v>1</x:v>
      </x:c>
      <x:c r="P1949" s="47" t="n">
        <x:v>1014</x:v>
      </x:c>
      <x:c r="Q1949" s="47" t="n">
        <x:v>0</x:v>
      </x:c>
      <x:c r="R1949" s="47" t="n">
        <x:v>0</x:v>
      </x:c>
      <x:c r="S1949" s="47" t="n">
        <x:v>46.81</x:v>
      </x:c>
      <x:c r="T1949" s="47" t="n">
        <x:v>71.61</x:v>
      </x:c>
      <x:c r="U1949" s="47" t="n">
        <x:v>34.2</x:v>
      </x:c>
      <x:c r="V1949" s="47" t="n">
        <x:v>13.6</x:v>
      </x:c>
      <x:c r="W1949" s="47" t="n">
        <x:v>244</x:v>
      </x:c>
      <x:c r="X1949" s="47" t="n">
        <x:v>1113</x:v>
      </x:c>
      <x:c r="Y1949" s="41" t="n">
        <x:v>869</x:v>
      </x:c>
    </x:row>
    <x:row r="1950">
      <x:c r="A1950" s="38" t="str">
        <x:v>7月29日现场数据</x:v>
      </x:c>
      <x:c r="B1950" s="66" t="str">
        <x:v>2026-07-29T10:06:51.082000</x:v>
      </x:c>
      <x:c r="C1950" s="47" t="n">
        <x:v>300974</x:v>
      </x:c>
      <x:c r="D1950" s="47" t="str"/>
      <x:c r="E1950" s="47" t="str"/>
      <x:c r="F1950" s="47" t="str">
        <x:v>current</x:v>
      </x:c>
      <x:c r="G1950" s="47" t="n">
        <x:v>115</x:v>
      </x:c>
      <x:c r="H1950" s="53" t="b">
        <x:v>1</x:v>
      </x:c>
      <x:c r="I1950" s="47" t="str">
        <x:v>578202819</x:v>
      </x:c>
      <x:c r="J1950" s="47" t="n">
        <x:v>34639627</x:v>
      </x:c>
      <x:c r="K1950" s="53" t="b">
        <x:v>1</x:v>
      </x:c>
      <x:c r="L1950" s="53" t="b">
        <x:v>1</x:v>
      </x:c>
      <x:c r="M1950" s="53" t="b">
        <x:v>1</x:v>
      </x:c>
      <x:c r="N1950" s="53" t="b">
        <x:v>1</x:v>
      </x:c>
      <x:c r="O1950" s="53" t="b">
        <x:v>1</x:v>
      </x:c>
      <x:c r="P1950" s="47" t="n">
        <x:v>1014</x:v>
      </x:c>
      <x:c r="Q1950" s="47" t="n">
        <x:v>0</x:v>
      </x:c>
      <x:c r="R1950" s="47" t="n">
        <x:v>0</x:v>
      </x:c>
      <x:c r="S1950" s="47" t="n">
        <x:v>48.89</x:v>
      </x:c>
      <x:c r="T1950" s="47" t="n">
        <x:v>71.42</x:v>
      </x:c>
      <x:c r="U1950" s="47" t="n">
        <x:v>34.3</x:v>
      </x:c>
      <x:c r="V1950" s="47" t="n">
        <x:v>13.6</x:v>
      </x:c>
      <x:c r="W1950" s="47" t="n">
        <x:v>240</x:v>
      </x:c>
      <x:c r="X1950" s="47" t="n">
        <x:v>1106</x:v>
      </x:c>
      <x:c r="Y1950" s="41" t="n">
        <x:v>866</x:v>
      </x:c>
    </x:row>
    <x:row r="1951">
      <x:c r="A1951" s="38" t="str">
        <x:v>7月29日现场数据</x:v>
      </x:c>
      <x:c r="B1951" s="66" t="str">
        <x:v>2026-07-29T10:11:52.057000</x:v>
      </x:c>
      <x:c r="C1951" s="47" t="n">
        <x:v>300975</x:v>
      </x:c>
      <x:c r="D1951" s="47" t="str"/>
      <x:c r="E1951" s="47" t="str"/>
      <x:c r="F1951" s="47" t="str">
        <x:v>current</x:v>
      </x:c>
      <x:c r="G1951" s="47" t="n">
        <x:v>116</x:v>
      </x:c>
      <x:c r="H1951" s="53" t="b">
        <x:v>1</x:v>
      </x:c>
      <x:c r="I1951" s="47" t="str">
        <x:v>578202819</x:v>
      </x:c>
      <x:c r="J1951" s="47" t="n">
        <x:v>34940602</x:v>
      </x:c>
      <x:c r="K1951" s="53" t="b">
        <x:v>1</x:v>
      </x:c>
      <x:c r="L1951" s="53" t="b">
        <x:v>1</x:v>
      </x:c>
      <x:c r="M1951" s="53" t="b">
        <x:v>1</x:v>
      </x:c>
      <x:c r="N1951" s="53" t="b">
        <x:v>1</x:v>
      </x:c>
      <x:c r="O1951" s="53" t="b">
        <x:v>1</x:v>
      </x:c>
      <x:c r="P1951" s="47" t="n">
        <x:v>1014</x:v>
      </x:c>
      <x:c r="Q1951" s="47" t="n">
        <x:v>0</x:v>
      </x:c>
      <x:c r="R1951" s="47" t="n">
        <x:v>0</x:v>
      </x:c>
      <x:c r="S1951" s="47" t="n">
        <x:v>47.92</x:v>
      </x:c>
      <x:c r="T1951" s="47" t="n">
        <x:v>70.92</x:v>
      </x:c>
      <x:c r="U1951" s="47" t="n">
        <x:v>34.5</x:v>
      </x:c>
      <x:c r="V1951" s="47" t="n">
        <x:v>13.6</x:v>
      </x:c>
      <x:c r="W1951" s="47" t="n">
        <x:v>234</x:v>
      </x:c>
      <x:c r="X1951" s="47" t="n">
        <x:v>1112</x:v>
      </x:c>
      <x:c r="Y1951" s="41" t="n">
        <x:v>878</x:v>
      </x:c>
    </x:row>
    <x:row r="1952">
      <x:c r="A1952" s="38" t="str">
        <x:v>7月29日现场数据</x:v>
      </x:c>
      <x:c r="B1952" s="66" t="str">
        <x:v>2026-07-29T10:16:53.032000</x:v>
      </x:c>
      <x:c r="C1952" s="47" t="n">
        <x:v>300975</x:v>
      </x:c>
      <x:c r="D1952" s="47" t="str"/>
      <x:c r="E1952" s="47" t="str"/>
      <x:c r="F1952" s="47" t="str">
        <x:v>current</x:v>
      </x:c>
      <x:c r="G1952" s="47" t="n">
        <x:v>117</x:v>
      </x:c>
      <x:c r="H1952" s="53" t="b">
        <x:v>1</x:v>
      </x:c>
      <x:c r="I1952" s="47" t="str">
        <x:v>578202819</x:v>
      </x:c>
      <x:c r="J1952" s="47" t="n">
        <x:v>35241577</x:v>
      </x:c>
      <x:c r="K1952" s="53" t="b">
        <x:v>1</x:v>
      </x:c>
      <x:c r="L1952" s="53" t="b">
        <x:v>1</x:v>
      </x:c>
      <x:c r="M1952" s="53" t="b">
        <x:v>1</x:v>
      </x:c>
      <x:c r="N1952" s="53" t="b">
        <x:v>1</x:v>
      </x:c>
      <x:c r="O1952" s="53" t="b">
        <x:v>1</x:v>
      </x:c>
      <x:c r="P1952" s="47" t="n">
        <x:v>1014</x:v>
      </x:c>
      <x:c r="Q1952" s="47" t="n">
        <x:v>0.002</x:v>
      </x:c>
      <x:c r="R1952" s="47" t="n">
        <x:v>0.066</x:v>
      </x:c>
      <x:c r="S1952" s="47" t="n">
        <x:v>48.44</x:v>
      </x:c>
      <x:c r="T1952" s="47" t="n">
        <x:v>70.08</x:v>
      </x:c>
      <x:c r="U1952" s="47" t="n">
        <x:v>34.5</x:v>
      </x:c>
      <x:c r="V1952" s="47" t="n">
        <x:v>13.6</x:v>
      </x:c>
      <x:c r="W1952" s="47" t="n">
        <x:v>225</x:v>
      </x:c>
      <x:c r="X1952" s="47" t="n">
        <x:v>1115</x:v>
      </x:c>
      <x:c r="Y1952" s="41" t="n">
        <x:v>890</x:v>
      </x:c>
    </x:row>
    <x:row r="1953">
      <x:c r="A1953" s="38" t="str">
        <x:v>7月29日现场数据</x:v>
      </x:c>
      <x:c r="B1953" s="66" t="str">
        <x:v>2026-07-29T10:21:54.040000</x:v>
      </x:c>
      <x:c r="C1953" s="47" t="n">
        <x:v>301008</x:v>
      </x:c>
      <x:c r="D1953" s="47" t="str">
        <x:v>高温需关注</x:v>
      </x:c>
      <x:c r="E1953" s="47" t="str">
        <x:v>空气温度达到或超过 50°C；请结合安装位置和日照判断</x:v>
      </x:c>
      <x:c r="F1953" s="47" t="str">
        <x:v>current</x:v>
      </x:c>
      <x:c r="G1953" s="47" t="n">
        <x:v>118</x:v>
      </x:c>
      <x:c r="H1953" s="53" t="b">
        <x:v>1</x:v>
      </x:c>
      <x:c r="I1953" s="47" t="str">
        <x:v>578202819</x:v>
      </x:c>
      <x:c r="J1953" s="47" t="n">
        <x:v>35542585</x:v>
      </x:c>
      <x:c r="K1953" s="53" t="b">
        <x:v>1</x:v>
      </x:c>
      <x:c r="L1953" s="53" t="b">
        <x:v>1</x:v>
      </x:c>
      <x:c r="M1953" s="53" t="b">
        <x:v>1</x:v>
      </x:c>
      <x:c r="N1953" s="53" t="b">
        <x:v>1</x:v>
      </x:c>
      <x:c r="O1953" s="53" t="b">
        <x:v>1</x:v>
      </x:c>
      <x:c r="P1953" s="47" t="n">
        <x:v>1014</x:v>
      </x:c>
      <x:c r="Q1953" s="47" t="n">
        <x:v>0</x:v>
      </x:c>
      <x:c r="R1953" s="47" t="n">
        <x:v>0</x:v>
      </x:c>
      <x:c r="S1953" s="47" t="n">
        <x:v>50.24</x:v>
      </x:c>
      <x:c r="T1953" s="47" t="n">
        <x:v>70.13</x:v>
      </x:c>
      <x:c r="U1953" s="47" t="n">
        <x:v>34.5</x:v>
      </x:c>
      <x:c r="V1953" s="47" t="n">
        <x:v>13.5</x:v>
      </x:c>
      <x:c r="W1953" s="47" t="n">
        <x:v>215</x:v>
      </x:c>
      <x:c r="X1953" s="47" t="n">
        <x:v>668</x:v>
      </x:c>
      <x:c r="Y1953" s="41" t="n">
        <x:v>453</x:v>
      </x:c>
    </x:row>
    <x:row r="1954">
      <x:c r="A1954" s="38" t="str">
        <x:v>7月29日现场数据</x:v>
      </x:c>
      <x:c r="B1954" s="66" t="str">
        <x:v>2026-07-29T10:26:54.990000</x:v>
      </x:c>
      <x:c r="C1954" s="47" t="n">
        <x:v>300950</x:v>
      </x:c>
      <x:c r="D1954" s="47" t="str"/>
      <x:c r="E1954" s="47" t="str"/>
      <x:c r="F1954" s="47" t="str">
        <x:v>current</x:v>
      </x:c>
      <x:c r="G1954" s="47" t="n">
        <x:v>119</x:v>
      </x:c>
      <x:c r="H1954" s="53" t="b">
        <x:v>1</x:v>
      </x:c>
      <x:c r="I1954" s="47" t="str">
        <x:v>578202819</x:v>
      </x:c>
      <x:c r="J1954" s="47" t="n">
        <x:v>35843535</x:v>
      </x:c>
      <x:c r="K1954" s="53" t="b">
        <x:v>1</x:v>
      </x:c>
      <x:c r="L1954" s="53" t="b">
        <x:v>1</x:v>
      </x:c>
      <x:c r="M1954" s="53" t="b">
        <x:v>1</x:v>
      </x:c>
      <x:c r="N1954" s="53" t="b">
        <x:v>1</x:v>
      </x:c>
      <x:c r="O1954" s="53" t="b">
        <x:v>1</x:v>
      </x:c>
      <x:c r="P1954" s="47" t="n">
        <x:v>1014</x:v>
      </x:c>
      <x:c r="Q1954" s="47" t="n">
        <x:v>0</x:v>
      </x:c>
      <x:c r="R1954" s="47" t="n">
        <x:v>0</x:v>
      </x:c>
      <x:c r="S1954" s="47" t="n">
        <x:v>49.79</x:v>
      </x:c>
      <x:c r="T1954" s="47" t="n">
        <x:v>69.36</x:v>
      </x:c>
      <x:c r="U1954" s="47" t="n">
        <x:v>34.7</x:v>
      </x:c>
      <x:c r="V1954" s="47" t="n">
        <x:v>13.5</x:v>
      </x:c>
      <x:c r="W1954" s="47" t="n">
        <x:v>205</x:v>
      </x:c>
      <x:c r="X1954" s="47" t="n">
        <x:v>143</x:v>
      </x:c>
      <x:c r="Y1954" s="41" t="n">
        <x:v>0</x:v>
      </x:c>
    </x:row>
    <x:row r="1955">
      <x:c r="A1955" s="38" t="str">
        <x:v>7月29日现场数据</x:v>
      </x:c>
      <x:c r="B1955" s="66" t="str">
        <x:v>2026-07-29T10:31:55.945000</x:v>
      </x:c>
      <x:c r="C1955" s="47" t="n">
        <x:v>300955</x:v>
      </x:c>
      <x:c r="D1955" s="47" t="str"/>
      <x:c r="E1955" s="47" t="str"/>
      <x:c r="F1955" s="47" t="str">
        <x:v>current</x:v>
      </x:c>
      <x:c r="G1955" s="47" t="n">
        <x:v>120</x:v>
      </x:c>
      <x:c r="H1955" s="53" t="b">
        <x:v>1</x:v>
      </x:c>
      <x:c r="I1955" s="47" t="str">
        <x:v>578202819</x:v>
      </x:c>
      <x:c r="J1955" s="47" t="n">
        <x:v>36144490</x:v>
      </x:c>
      <x:c r="K1955" s="53" t="b">
        <x:v>1</x:v>
      </x:c>
      <x:c r="L1955" s="53" t="b">
        <x:v>1</x:v>
      </x:c>
      <x:c r="M1955" s="53" t="b">
        <x:v>1</x:v>
      </x:c>
      <x:c r="N1955" s="53" t="b">
        <x:v>1</x:v>
      </x:c>
      <x:c r="O1955" s="53" t="b">
        <x:v>1</x:v>
      </x:c>
      <x:c r="P1955" s="47" t="n">
        <x:v>1014</x:v>
      </x:c>
      <x:c r="Q1955" s="47" t="n">
        <x:v>0.006</x:v>
      </x:c>
      <x:c r="R1955" s="47" t="n">
        <x:v>0.165</x:v>
      </x:c>
      <x:c r="S1955" s="47" t="n">
        <x:v>49.95</x:v>
      </x:c>
      <x:c r="T1955" s="47" t="n">
        <x:v>69.2</x:v>
      </x:c>
      <x:c r="U1955" s="47" t="n">
        <x:v>34.8</x:v>
      </x:c>
      <x:c r="V1955" s="47" t="n">
        <x:v>13.5</x:v>
      </x:c>
      <x:c r="W1955" s="47" t="n">
        <x:v>168</x:v>
      </x:c>
      <x:c r="X1955" s="47" t="n">
        <x:v>135</x:v>
      </x:c>
      <x:c r="Y1955" s="41" t="n">
        <x:v>0</x:v>
      </x:c>
    </x:row>
    <x:row r="1956">
      <x:c r="A1956" s="38" t="str">
        <x:v>7月29日现场数据</x:v>
      </x:c>
      <x:c r="B1956" s="66" t="str">
        <x:v>2026-07-29T10:36:56.903000</x:v>
      </x:c>
      <x:c r="C1956" s="47" t="n">
        <x:v>300958</x:v>
      </x:c>
      <x:c r="D1956" s="47" t="str"/>
      <x:c r="E1956" s="47" t="str"/>
      <x:c r="F1956" s="47" t="str">
        <x:v>current</x:v>
      </x:c>
      <x:c r="G1956" s="47" t="n">
        <x:v>121</x:v>
      </x:c>
      <x:c r="H1956" s="53" t="b">
        <x:v>1</x:v>
      </x:c>
      <x:c r="I1956" s="47" t="str">
        <x:v>578202819</x:v>
      </x:c>
      <x:c r="J1956" s="47" t="n">
        <x:v>36445448</x:v>
      </x:c>
      <x:c r="K1956" s="53" t="b">
        <x:v>1</x:v>
      </x:c>
      <x:c r="L1956" s="53" t="b">
        <x:v>1</x:v>
      </x:c>
      <x:c r="M1956" s="53" t="b">
        <x:v>1</x:v>
      </x:c>
      <x:c r="N1956" s="53" t="b">
        <x:v>1</x:v>
      </x:c>
      <x:c r="O1956" s="53" t="b">
        <x:v>1</x:v>
      </x:c>
      <x:c r="P1956" s="47" t="n">
        <x:v>1014</x:v>
      </x:c>
      <x:c r="Q1956" s="47" t="n">
        <x:v>0</x:v>
      </x:c>
      <x:c r="R1956" s="47" t="n">
        <x:v>0</x:v>
      </x:c>
      <x:c r="S1956" s="47" t="n">
        <x:v>47.07</x:v>
      </x:c>
      <x:c r="T1956" s="47" t="n">
        <x:v>68.39</x:v>
      </x:c>
      <x:c r="U1956" s="47" t="n">
        <x:v>34.8</x:v>
      </x:c>
      <x:c r="V1956" s="47" t="n">
        <x:v>13.5</x:v>
      </x:c>
      <x:c r="W1956" s="47" t="n">
        <x:v>181</x:v>
      </x:c>
      <x:c r="X1956" s="47" t="n">
        <x:v>119</x:v>
      </x:c>
      <x:c r="Y1956" s="41" t="n">
        <x:v>0</x:v>
      </x:c>
    </x:row>
    <x:row r="1957">
      <x:c r="A1957" s="38" t="str">
        <x:v>7月29日现场数据</x:v>
      </x:c>
      <x:c r="B1957" s="66" t="str">
        <x:v>2026-07-29T10:41:57.863000</x:v>
      </x:c>
      <x:c r="C1957" s="47" t="n">
        <x:v>300960</x:v>
      </x:c>
      <x:c r="D1957" s="47" t="str"/>
      <x:c r="E1957" s="47" t="str"/>
      <x:c r="F1957" s="47" t="str">
        <x:v>current</x:v>
      </x:c>
      <x:c r="G1957" s="47" t="n">
        <x:v>122</x:v>
      </x:c>
      <x:c r="H1957" s="53" t="b">
        <x:v>1</x:v>
      </x:c>
      <x:c r="I1957" s="47" t="str">
        <x:v>578202819</x:v>
      </x:c>
      <x:c r="J1957" s="47" t="n">
        <x:v>36746408</x:v>
      </x:c>
      <x:c r="K1957" s="53" t="b">
        <x:v>1</x:v>
      </x:c>
      <x:c r="L1957" s="53" t="b">
        <x:v>1</x:v>
      </x:c>
      <x:c r="M1957" s="53" t="b">
        <x:v>1</x:v>
      </x:c>
      <x:c r="N1957" s="53" t="b">
        <x:v>1</x:v>
      </x:c>
      <x:c r="O1957" s="53" t="b">
        <x:v>1</x:v>
      </x:c>
      <x:c r="P1957" s="47" t="n">
        <x:v>1013</x:v>
      </x:c>
      <x:c r="Q1957" s="47" t="n">
        <x:v>0</x:v>
      </x:c>
      <x:c r="R1957" s="47" t="n">
        <x:v>0</x:v>
      </x:c>
      <x:c r="S1957" s="47" t="n">
        <x:v>48.21</x:v>
      </x:c>
      <x:c r="T1957" s="47" t="n">
        <x:v>67.76</x:v>
      </x:c>
      <x:c r="U1957" s="47" t="n">
        <x:v>35</x:v>
      </x:c>
      <x:c r="V1957" s="47" t="n">
        <x:v>13.5</x:v>
      </x:c>
      <x:c r="W1957" s="47" t="n">
        <x:v>192</x:v>
      </x:c>
      <x:c r="X1957" s="47" t="n">
        <x:v>118</x:v>
      </x:c>
      <x:c r="Y1957" s="41" t="n">
        <x:v>0</x:v>
      </x:c>
    </x:row>
    <x:row r="1958">
      <x:c r="A1958" s="38" t="str">
        <x:v>7月29日现场数据</x:v>
      </x:c>
      <x:c r="B1958" s="66" t="str">
        <x:v>2026-07-29T10:46:58.824000</x:v>
      </x:c>
      <x:c r="C1958" s="47" t="n">
        <x:v>300961</x:v>
      </x:c>
      <x:c r="D1958" s="47" t="str"/>
      <x:c r="E1958" s="47" t="str"/>
      <x:c r="F1958" s="47" t="str">
        <x:v>current</x:v>
      </x:c>
      <x:c r="G1958" s="47" t="n">
        <x:v>123</x:v>
      </x:c>
      <x:c r="H1958" s="53" t="b">
        <x:v>1</x:v>
      </x:c>
      <x:c r="I1958" s="47" t="str">
        <x:v>578202819</x:v>
      </x:c>
      <x:c r="J1958" s="47" t="n">
        <x:v>37047369</x:v>
      </x:c>
      <x:c r="K1958" s="53" t="b">
        <x:v>1</x:v>
      </x:c>
      <x:c r="L1958" s="53" t="b">
        <x:v>1</x:v>
      </x:c>
      <x:c r="M1958" s="53" t="b">
        <x:v>1</x:v>
      </x:c>
      <x:c r="N1958" s="53" t="b">
        <x:v>1</x:v>
      </x:c>
      <x:c r="O1958" s="53" t="b">
        <x:v>1</x:v>
      </x:c>
      <x:c r="P1958" s="47" t="n">
        <x:v>1013</x:v>
      </x:c>
      <x:c r="Q1958" s="47" t="n">
        <x:v>0</x:v>
      </x:c>
      <x:c r="R1958" s="47" t="n">
        <x:v>0</x:v>
      </x:c>
      <x:c r="S1958" s="47" t="n">
        <x:v>47.85</x:v>
      </x:c>
      <x:c r="T1958" s="47" t="n">
        <x:v>67.49</x:v>
      </x:c>
      <x:c r="U1958" s="47" t="n">
        <x:v>35.1</x:v>
      </x:c>
      <x:c r="V1958" s="47" t="n">
        <x:v>13.5</x:v>
      </x:c>
      <x:c r="W1958" s="47" t="n">
        <x:v>202</x:v>
      </x:c>
      <x:c r="X1958" s="47" t="n">
        <x:v>266</x:v>
      </x:c>
      <x:c r="Y1958" s="41" t="n">
        <x:v>64</x:v>
      </x:c>
    </x:row>
    <x:row r="1959">
      <x:c r="A1959" s="38" t="str">
        <x:v>7月29日现场数据</x:v>
      </x:c>
      <x:c r="B1959" s="66" t="str">
        <x:v>2026-07-29T10:51:59.786000</x:v>
      </x:c>
      <x:c r="C1959" s="47" t="n">
        <x:v>300962</x:v>
      </x:c>
      <x:c r="D1959" s="47" t="str"/>
      <x:c r="E1959" s="47" t="str"/>
      <x:c r="F1959" s="47" t="str">
        <x:v>current</x:v>
      </x:c>
      <x:c r="G1959" s="47" t="n">
        <x:v>124</x:v>
      </x:c>
      <x:c r="H1959" s="53" t="b">
        <x:v>1</x:v>
      </x:c>
      <x:c r="I1959" s="47" t="str">
        <x:v>578202819</x:v>
      </x:c>
      <x:c r="J1959" s="47" t="n">
        <x:v>37348331</x:v>
      </x:c>
      <x:c r="K1959" s="53" t="b">
        <x:v>1</x:v>
      </x:c>
      <x:c r="L1959" s="53" t="b">
        <x:v>1</x:v>
      </x:c>
      <x:c r="M1959" s="53" t="b">
        <x:v>1</x:v>
      </x:c>
      <x:c r="N1959" s="53" t="b">
        <x:v>1</x:v>
      </x:c>
      <x:c r="O1959" s="53" t="b">
        <x:v>1</x:v>
      </x:c>
      <x:c r="P1959" s="47" t="n">
        <x:v>1013</x:v>
      </x:c>
      <x:c r="Q1959" s="47" t="n">
        <x:v>0</x:v>
      </x:c>
      <x:c r="R1959" s="47" t="n">
        <x:v>0</x:v>
      </x:c>
      <x:c r="S1959" s="47" t="n">
        <x:v>47.23</x:v>
      </x:c>
      <x:c r="T1959" s="47" t="n">
        <x:v>66.96</x:v>
      </x:c>
      <x:c r="U1959" s="47" t="n">
        <x:v>35</x:v>
      </x:c>
      <x:c r="V1959" s="47" t="n">
        <x:v>13.4</x:v>
      </x:c>
      <x:c r="W1959" s="47" t="n">
        <x:v>159</x:v>
      </x:c>
      <x:c r="X1959" s="47" t="n">
        <x:v>340</x:v>
      </x:c>
      <x:c r="Y1959" s="41" t="n">
        <x:v>181</x:v>
      </x:c>
    </x:row>
    <x:row r="1960">
      <x:c r="A1960" s="38" t="str">
        <x:v>7月29日现场数据</x:v>
      </x:c>
      <x:c r="B1960" s="66" t="str">
        <x:v>2026-07-29T10:57:00.751000</x:v>
      </x:c>
      <x:c r="C1960" s="47" t="n">
        <x:v>300965</x:v>
      </x:c>
      <x:c r="D1960" s="47" t="str"/>
      <x:c r="E1960" s="47" t="str"/>
      <x:c r="F1960" s="47" t="str">
        <x:v>current</x:v>
      </x:c>
      <x:c r="G1960" s="47" t="n">
        <x:v>125</x:v>
      </x:c>
      <x:c r="H1960" s="53" t="b">
        <x:v>1</x:v>
      </x:c>
      <x:c r="I1960" s="47" t="str">
        <x:v>578202819</x:v>
      </x:c>
      <x:c r="J1960" s="47" t="n">
        <x:v>37649296</x:v>
      </x:c>
      <x:c r="K1960" s="53" t="b">
        <x:v>1</x:v>
      </x:c>
      <x:c r="L1960" s="53" t="b">
        <x:v>1</x:v>
      </x:c>
      <x:c r="M1960" s="53" t="b">
        <x:v>1</x:v>
      </x:c>
      <x:c r="N1960" s="53" t="b">
        <x:v>1</x:v>
      </x:c>
      <x:c r="O1960" s="53" t="b">
        <x:v>1</x:v>
      </x:c>
      <x:c r="P1960" s="47" t="n">
        <x:v>1013</x:v>
      </x:c>
      <x:c r="Q1960" s="47" t="n">
        <x:v>0</x:v>
      </x:c>
      <x:c r="R1960" s="47" t="n">
        <x:v>0</x:v>
      </x:c>
      <x:c r="S1960" s="47" t="n">
        <x:v>45.76</x:v>
      </x:c>
      <x:c r="T1960" s="47" t="n">
        <x:v>66.35</x:v>
      </x:c>
      <x:c r="U1960" s="47" t="n">
        <x:v>34.9</x:v>
      </x:c>
      <x:c r="V1960" s="47" t="n">
        <x:v>13.4</x:v>
      </x:c>
      <x:c r="W1960" s="47" t="n">
        <x:v>138</x:v>
      </x:c>
      <x:c r="X1960" s="47" t="n">
        <x:v>206</x:v>
      </x:c>
      <x:c r="Y1960" s="41" t="n">
        <x:v>68</x:v>
      </x:c>
    </x:row>
    <x:row r="1961">
      <x:c r="A1961" s="38" t="str">
        <x:v>7月29日现场数据</x:v>
      </x:c>
      <x:c r="B1961" s="66" t="str">
        <x:v>2026-07-29T11:02:01.715000</x:v>
      </x:c>
      <x:c r="C1961" s="47" t="n">
        <x:v>300964</x:v>
      </x:c>
      <x:c r="D1961" s="47" t="str"/>
      <x:c r="E1961" s="47" t="str"/>
      <x:c r="F1961" s="47" t="str">
        <x:v>current</x:v>
      </x:c>
      <x:c r="G1961" s="47" t="n">
        <x:v>126</x:v>
      </x:c>
      <x:c r="H1961" s="53" t="b">
        <x:v>1</x:v>
      </x:c>
      <x:c r="I1961" s="47" t="str">
        <x:v>578202819</x:v>
      </x:c>
      <x:c r="J1961" s="47" t="n">
        <x:v>37950260</x:v>
      </x:c>
      <x:c r="K1961" s="53" t="b">
        <x:v>1</x:v>
      </x:c>
      <x:c r="L1961" s="53" t="b">
        <x:v>1</x:v>
      </x:c>
      <x:c r="M1961" s="53" t="b">
        <x:v>1</x:v>
      </x:c>
      <x:c r="N1961" s="53" t="b">
        <x:v>1</x:v>
      </x:c>
      <x:c r="O1961" s="53" t="b">
        <x:v>1</x:v>
      </x:c>
      <x:c r="P1961" s="47" t="n">
        <x:v>1013</x:v>
      </x:c>
      <x:c r="Q1961" s="47" t="n">
        <x:v>0</x:v>
      </x:c>
      <x:c r="R1961" s="47" t="n">
        <x:v>0</x:v>
      </x:c>
      <x:c r="S1961" s="47" t="n">
        <x:v>41.3</x:v>
      </x:c>
      <x:c r="T1961" s="47" t="n">
        <x:v>65.42</x:v>
      </x:c>
      <x:c r="U1961" s="47" t="n">
        <x:v>34.8</x:v>
      </x:c>
      <x:c r="V1961" s="47" t="n">
        <x:v>13.4</x:v>
      </x:c>
      <x:c r="W1961" s="47" t="n">
        <x:v>128</x:v>
      </x:c>
      <x:c r="X1961" s="47" t="n">
        <x:v>122</x:v>
      </x:c>
      <x:c r="Y1961" s="41" t="n">
        <x:v>0</x:v>
      </x:c>
    </x:row>
    <x:row r="1962">
      <x:c r="A1962" s="38" t="str">
        <x:v>7月29日现场数据</x:v>
      </x:c>
      <x:c r="B1962" s="66" t="str">
        <x:v>2026-07-29T11:07:02.682000</x:v>
      </x:c>
      <x:c r="C1962" s="47" t="n">
        <x:v>300967</x:v>
      </x:c>
      <x:c r="D1962" s="47" t="str"/>
      <x:c r="E1962" s="47" t="str"/>
      <x:c r="F1962" s="47" t="str">
        <x:v>current</x:v>
      </x:c>
      <x:c r="G1962" s="47" t="n">
        <x:v>127</x:v>
      </x:c>
      <x:c r="H1962" s="53" t="b">
        <x:v>1</x:v>
      </x:c>
      <x:c r="I1962" s="47" t="str">
        <x:v>578202819</x:v>
      </x:c>
      <x:c r="J1962" s="47" t="n">
        <x:v>38251227</x:v>
      </x:c>
      <x:c r="K1962" s="53" t="b">
        <x:v>1</x:v>
      </x:c>
      <x:c r="L1962" s="53" t="b">
        <x:v>1</x:v>
      </x:c>
      <x:c r="M1962" s="53" t="b">
        <x:v>1</x:v>
      </x:c>
      <x:c r="N1962" s="53" t="b">
        <x:v>1</x:v>
      </x:c>
      <x:c r="O1962" s="53" t="b">
        <x:v>1</x:v>
      </x:c>
      <x:c r="P1962" s="47" t="n">
        <x:v>1013</x:v>
      </x:c>
      <x:c r="Q1962" s="47" t="n">
        <x:v>0.012</x:v>
      </x:c>
      <x:c r="R1962" s="47" t="n">
        <x:v>0.33</x:v>
      </x:c>
      <x:c r="S1962" s="47" t="n">
        <x:v>40.32</x:v>
      </x:c>
      <x:c r="T1962" s="47" t="n">
        <x:v>64.76</x:v>
      </x:c>
      <x:c r="U1962" s="47" t="n">
        <x:v>34.7</x:v>
      </x:c>
      <x:c r="V1962" s="47" t="n">
        <x:v>13.4</x:v>
      </x:c>
      <x:c r="W1962" s="47" t="n">
        <x:v>122</x:v>
      </x:c>
      <x:c r="X1962" s="47" t="n">
        <x:v>337</x:v>
      </x:c>
      <x:c r="Y1962" s="41" t="n">
        <x:v>215</x:v>
      </x:c>
    </x:row>
    <x:row r="1963">
      <x:c r="A1963" s="38" t="str">
        <x:v>7月29日现场数据</x:v>
      </x:c>
      <x:c r="B1963" s="66" t="str">
        <x:v>2026-07-29T11:12:03.652000</x:v>
      </x:c>
      <x:c r="C1963" s="47" t="n">
        <x:v>300970</x:v>
      </x:c>
      <x:c r="D1963" s="47" t="str"/>
      <x:c r="E1963" s="47" t="str"/>
      <x:c r="F1963" s="47" t="str">
        <x:v>current</x:v>
      </x:c>
      <x:c r="G1963" s="47" t="n">
        <x:v>128</x:v>
      </x:c>
      <x:c r="H1963" s="53" t="b">
        <x:v>1</x:v>
      </x:c>
      <x:c r="I1963" s="47" t="str">
        <x:v>578202819</x:v>
      </x:c>
      <x:c r="J1963" s="47" t="n">
        <x:v>38552197</x:v>
      </x:c>
      <x:c r="K1963" s="53" t="b">
        <x:v>1</x:v>
      </x:c>
      <x:c r="L1963" s="53" t="b">
        <x:v>1</x:v>
      </x:c>
      <x:c r="M1963" s="53" t="b">
        <x:v>1</x:v>
      </x:c>
      <x:c r="N1963" s="53" t="b">
        <x:v>1</x:v>
      </x:c>
      <x:c r="O1963" s="53" t="b">
        <x:v>1</x:v>
      </x:c>
      <x:c r="P1963" s="47" t="n">
        <x:v>1013</x:v>
      </x:c>
      <x:c r="Q1963" s="47" t="n">
        <x:v>0</x:v>
      </x:c>
      <x:c r="R1963" s="47" t="n">
        <x:v>0</x:v>
      </x:c>
      <x:c r="S1963" s="47" t="n">
        <x:v>39.3</x:v>
      </x:c>
      <x:c r="T1963" s="47" t="n">
        <x:v>64.19</x:v>
      </x:c>
      <x:c r="U1963" s="47" t="n">
        <x:v>34.5</x:v>
      </x:c>
      <x:c r="V1963" s="47" t="n">
        <x:v>13.4</x:v>
      </x:c>
      <x:c r="W1963" s="47" t="n">
        <x:v>112</x:v>
      </x:c>
      <x:c r="X1963" s="47" t="n">
        <x:v>118</x:v>
      </x:c>
      <x:c r="Y1963" s="41" t="n">
        <x:v>6</x:v>
      </x:c>
    </x:row>
    <x:row r="1964">
      <x:c r="A1964" s="38" t="str">
        <x:v>7月29日现场数据</x:v>
      </x:c>
      <x:c r="B1964" s="66" t="str">
        <x:v>2026-07-29T11:17:04.625000</x:v>
      </x:c>
      <x:c r="C1964" s="47" t="n">
        <x:v>300973</x:v>
      </x:c>
      <x:c r="D1964" s="47" t="str"/>
      <x:c r="E1964" s="47" t="str"/>
      <x:c r="F1964" s="47" t="str">
        <x:v>current</x:v>
      </x:c>
      <x:c r="G1964" s="47" t="n">
        <x:v>129</x:v>
      </x:c>
      <x:c r="H1964" s="53" t="b">
        <x:v>1</x:v>
      </x:c>
      <x:c r="I1964" s="47" t="str">
        <x:v>578202819</x:v>
      </x:c>
      <x:c r="J1964" s="47" t="n">
        <x:v>38853170</x:v>
      </x:c>
      <x:c r="K1964" s="53" t="b">
        <x:v>1</x:v>
      </x:c>
      <x:c r="L1964" s="53" t="b">
        <x:v>1</x:v>
      </x:c>
      <x:c r="M1964" s="53" t="b">
        <x:v>1</x:v>
      </x:c>
      <x:c r="N1964" s="53" t="b">
        <x:v>1</x:v>
      </x:c>
      <x:c r="O1964" s="53" t="b">
        <x:v>1</x:v>
      </x:c>
      <x:c r="P1964" s="47" t="n">
        <x:v>1013</x:v>
      </x:c>
      <x:c r="Q1964" s="47" t="n">
        <x:v>0</x:v>
      </x:c>
      <x:c r="R1964" s="47" t="n">
        <x:v>0</x:v>
      </x:c>
      <x:c r="S1964" s="47" t="n">
        <x:v>39.74</x:v>
      </x:c>
      <x:c r="T1964" s="47" t="n">
        <x:v>63.98</x:v>
      </x:c>
      <x:c r="U1964" s="47" t="n">
        <x:v>34.5</x:v>
      </x:c>
      <x:c r="V1964" s="47" t="n">
        <x:v>13.3</x:v>
      </x:c>
      <x:c r="W1964" s="47" t="n">
        <x:v>107</x:v>
      </x:c>
      <x:c r="X1964" s="47" t="n">
        <x:v>209</x:v>
      </x:c>
      <x:c r="Y1964" s="41" t="n">
        <x:v>102</x:v>
      </x:c>
    </x:row>
    <x:row r="1965">
      <x:c r="A1965" s="38" t="str">
        <x:v>7月29日现场数据</x:v>
      </x:c>
      <x:c r="B1965" s="66" t="str">
        <x:v>2026-07-29T11:22:05.596000</x:v>
      </x:c>
      <x:c r="C1965" s="47" t="n">
        <x:v>300971</x:v>
      </x:c>
      <x:c r="D1965" s="47" t="str"/>
      <x:c r="E1965" s="47" t="str"/>
      <x:c r="F1965" s="47" t="str">
        <x:v>current</x:v>
      </x:c>
      <x:c r="G1965" s="47" t="n">
        <x:v>130</x:v>
      </x:c>
      <x:c r="H1965" s="53" t="b">
        <x:v>1</x:v>
      </x:c>
      <x:c r="I1965" s="47" t="str">
        <x:v>578202819</x:v>
      </x:c>
      <x:c r="J1965" s="47" t="n">
        <x:v>39154141</x:v>
      </x:c>
      <x:c r="K1965" s="53" t="b">
        <x:v>1</x:v>
      </x:c>
      <x:c r="L1965" s="53" t="b">
        <x:v>1</x:v>
      </x:c>
      <x:c r="M1965" s="53" t="b">
        <x:v>1</x:v>
      </x:c>
      <x:c r="N1965" s="53" t="b">
        <x:v>1</x:v>
      </x:c>
      <x:c r="O1965" s="53" t="b">
        <x:v>1</x:v>
      </x:c>
      <x:c r="P1965" s="47" t="n">
        <x:v>1013</x:v>
      </x:c>
      <x:c r="Q1965" s="47" t="n">
        <x:v>0</x:v>
      </x:c>
      <x:c r="R1965" s="47" t="n">
        <x:v>0</x:v>
      </x:c>
      <x:c r="S1965" s="47" t="n">
        <x:v>40.11</x:v>
      </x:c>
      <x:c r="T1965" s="47" t="n">
        <x:v>63.97</x:v>
      </x:c>
      <x:c r="U1965" s="47" t="n">
        <x:v>34.4</x:v>
      </x:c>
      <x:c r="V1965" s="47" t="n">
        <x:v>13.3</x:v>
      </x:c>
      <x:c r="W1965" s="47" t="n">
        <x:v>105</x:v>
      </x:c>
      <x:c r="X1965" s="47" t="n">
        <x:v>216</x:v>
      </x:c>
      <x:c r="Y1965" s="41" t="n">
        <x:v>111</x:v>
      </x:c>
    </x:row>
    <x:row r="1966">
      <x:c r="A1966" s="38" t="str">
        <x:v>7月29日现场数据</x:v>
      </x:c>
      <x:c r="B1966" s="66" t="str">
        <x:v>2026-07-29T11:27:06.572000</x:v>
      </x:c>
      <x:c r="C1966" s="47" t="n">
        <x:v>300976</x:v>
      </x:c>
      <x:c r="D1966" s="47" t="str"/>
      <x:c r="E1966" s="47" t="str"/>
      <x:c r="F1966" s="47" t="str">
        <x:v>current</x:v>
      </x:c>
      <x:c r="G1966" s="47" t="n">
        <x:v>131</x:v>
      </x:c>
      <x:c r="H1966" s="53" t="b">
        <x:v>1</x:v>
      </x:c>
      <x:c r="I1966" s="47" t="str">
        <x:v>578202819</x:v>
      </x:c>
      <x:c r="J1966" s="47" t="n">
        <x:v>39455117</x:v>
      </x:c>
      <x:c r="K1966" s="53" t="b">
        <x:v>1</x:v>
      </x:c>
      <x:c r="L1966" s="53" t="b">
        <x:v>1</x:v>
      </x:c>
      <x:c r="M1966" s="53" t="b">
        <x:v>1</x:v>
      </x:c>
      <x:c r="N1966" s="53" t="b">
        <x:v>1</x:v>
      </x:c>
      <x:c r="O1966" s="53" t="b">
        <x:v>1</x:v>
      </x:c>
      <x:c r="P1966" s="47" t="n">
        <x:v>1013</x:v>
      </x:c>
      <x:c r="Q1966" s="47" t="n">
        <x:v>0</x:v>
      </x:c>
      <x:c r="R1966" s="47" t="n">
        <x:v>0</x:v>
      </x:c>
      <x:c r="S1966" s="47" t="n">
        <x:v>40.13</x:v>
      </x:c>
      <x:c r="T1966" s="47" t="n">
        <x:v>63.75</x:v>
      </x:c>
      <x:c r="U1966" s="47" t="n">
        <x:v>34.4</x:v>
      </x:c>
      <x:c r="V1966" s="47" t="n">
        <x:v>13.3</x:v>
      </x:c>
      <x:c r="W1966" s="47" t="n">
        <x:v>104</x:v>
      </x:c>
      <x:c r="X1966" s="47" t="n">
        <x:v>176</x:v>
      </x:c>
      <x:c r="Y1966" s="41" t="n">
        <x:v>72</x:v>
      </x:c>
    </x:row>
    <x:row r="1967">
      <x:c r="A1967" s="38" t="str">
        <x:v>7月29日现场数据</x:v>
      </x:c>
      <x:c r="B1967" s="66" t="str">
        <x:v>2026-07-29T11:32:07.549000</x:v>
      </x:c>
      <x:c r="C1967" s="47" t="n">
        <x:v>300977</x:v>
      </x:c>
      <x:c r="D1967" s="47" t="str"/>
      <x:c r="E1967" s="47" t="str"/>
      <x:c r="F1967" s="47" t="str">
        <x:v>current</x:v>
      </x:c>
      <x:c r="G1967" s="47" t="n">
        <x:v>132</x:v>
      </x:c>
      <x:c r="H1967" s="53" t="b">
        <x:v>1</x:v>
      </x:c>
      <x:c r="I1967" s="47" t="str">
        <x:v>578202819</x:v>
      </x:c>
      <x:c r="J1967" s="47" t="n">
        <x:v>39756094</x:v>
      </x:c>
      <x:c r="K1967" s="53" t="b">
        <x:v>1</x:v>
      </x:c>
      <x:c r="L1967" s="53" t="b">
        <x:v>1</x:v>
      </x:c>
      <x:c r="M1967" s="53" t="b">
        <x:v>1</x:v>
      </x:c>
      <x:c r="N1967" s="53" t="b">
        <x:v>1</x:v>
      </x:c>
      <x:c r="O1967" s="53" t="b">
        <x:v>1</x:v>
      </x:c>
      <x:c r="P1967" s="47" t="n">
        <x:v>1012</x:v>
      </x:c>
      <x:c r="Q1967" s="47" t="n">
        <x:v>0.023</x:v>
      </x:c>
      <x:c r="R1967" s="47" t="n">
        <x:v>0.626</x:v>
      </x:c>
      <x:c r="S1967" s="47" t="n">
        <x:v>40.75</x:v>
      </x:c>
      <x:c r="T1967" s="47" t="n">
        <x:v>63.71</x:v>
      </x:c>
      <x:c r="U1967" s="47" t="n">
        <x:v>34.3</x:v>
      </x:c>
      <x:c r="V1967" s="47" t="n">
        <x:v>13.3</x:v>
      </x:c>
      <x:c r="W1967" s="47" t="n">
        <x:v>90</x:v>
      </x:c>
      <x:c r="X1967" s="47" t="n">
        <x:v>123</x:v>
      </x:c>
      <x:c r="Y1967" s="41" t="n">
        <x:v>33</x:v>
      </x:c>
    </x:row>
    <x:row r="1968">
      <x:c r="A1968" s="38" t="str">
        <x:v>7月29日现场数据</x:v>
      </x:c>
      <x:c r="B1968" s="66" t="str">
        <x:v>2026-07-29T11:37:08.530000</x:v>
      </x:c>
      <x:c r="C1968" s="47" t="n">
        <x:v>300981</x:v>
      </x:c>
      <x:c r="D1968" s="47" t="str"/>
      <x:c r="E1968" s="47" t="str"/>
      <x:c r="F1968" s="47" t="str">
        <x:v>current</x:v>
      </x:c>
      <x:c r="G1968" s="47" t="n">
        <x:v>133</x:v>
      </x:c>
      <x:c r="H1968" s="53" t="b">
        <x:v>1</x:v>
      </x:c>
      <x:c r="I1968" s="47" t="str">
        <x:v>578202819</x:v>
      </x:c>
      <x:c r="J1968" s="47" t="n">
        <x:v>40057075</x:v>
      </x:c>
      <x:c r="K1968" s="53" t="b">
        <x:v>1</x:v>
      </x:c>
      <x:c r="L1968" s="53" t="b">
        <x:v>1</x:v>
      </x:c>
      <x:c r="M1968" s="53" t="b">
        <x:v>1</x:v>
      </x:c>
      <x:c r="N1968" s="53" t="b">
        <x:v>1</x:v>
      </x:c>
      <x:c r="O1968" s="53" t="b">
        <x:v>1</x:v>
      </x:c>
      <x:c r="P1968" s="47" t="n">
        <x:v>1013</x:v>
      </x:c>
      <x:c r="Q1968" s="47" t="n">
        <x:v>0</x:v>
      </x:c>
      <x:c r="R1968" s="47" t="n">
        <x:v>0</x:v>
      </x:c>
      <x:c r="S1968" s="47" t="n">
        <x:v>40.52</x:v>
      </x:c>
      <x:c r="T1968" s="47" t="n">
        <x:v>63.69</x:v>
      </x:c>
      <x:c r="U1968" s="47" t="n">
        <x:v>34.2</x:v>
      </x:c>
      <x:c r="V1968" s="47" t="n">
        <x:v>13.2</x:v>
      </x:c>
      <x:c r="W1968" s="47" t="n">
        <x:v>85</x:v>
      </x:c>
      <x:c r="X1968" s="47" t="n">
        <x:v>114</x:v>
      </x:c>
      <x:c r="Y1968" s="41" t="n">
        <x:v>29</x:v>
      </x:c>
    </x:row>
    <x:row r="1969">
      <x:c r="A1969" s="38" t="str">
        <x:v>7月29日现场数据</x:v>
      </x:c>
      <x:c r="B1969" s="66" t="str">
        <x:v>2026-07-29T11:42:09.540000</x:v>
      </x:c>
      <x:c r="C1969" s="47" t="n">
        <x:v>301010</x:v>
      </x:c>
      <x:c r="D1969" s="47" t="str"/>
      <x:c r="E1969" s="47" t="str"/>
      <x:c r="F1969" s="47" t="str">
        <x:v>current</x:v>
      </x:c>
      <x:c r="G1969" s="47" t="n">
        <x:v>134</x:v>
      </x:c>
      <x:c r="H1969" s="53" t="b">
        <x:v>1</x:v>
      </x:c>
      <x:c r="I1969" s="47" t="str">
        <x:v>578202819</x:v>
      </x:c>
      <x:c r="J1969" s="47" t="n">
        <x:v>40358085</x:v>
      </x:c>
      <x:c r="K1969" s="53" t="b">
        <x:v>1</x:v>
      </x:c>
      <x:c r="L1969" s="53" t="b">
        <x:v>1</x:v>
      </x:c>
      <x:c r="M1969" s="53" t="b">
        <x:v>1</x:v>
      </x:c>
      <x:c r="N1969" s="53" t="b">
        <x:v>1</x:v>
      </x:c>
      <x:c r="O1969" s="53" t="b">
        <x:v>1</x:v>
      </x:c>
      <x:c r="P1969" s="47" t="n">
        <x:v>1012</x:v>
      </x:c>
      <x:c r="Q1969" s="47" t="n">
        <x:v>0</x:v>
      </x:c>
      <x:c r="R1969" s="47" t="n">
        <x:v>0</x:v>
      </x:c>
      <x:c r="S1969" s="47" t="n">
        <x:v>39.55</x:v>
      </x:c>
      <x:c r="T1969" s="47" t="n">
        <x:v>63.45</x:v>
      </x:c>
      <x:c r="U1969" s="47" t="n">
        <x:v>34.2</x:v>
      </x:c>
      <x:c r="V1969" s="47" t="n">
        <x:v>13.2</x:v>
      </x:c>
      <x:c r="W1969" s="47" t="n">
        <x:v>83</x:v>
      </x:c>
      <x:c r="X1969" s="47" t="n">
        <x:v>122</x:v>
      </x:c>
      <x:c r="Y1969" s="41" t="n">
        <x:v>39</x:v>
      </x:c>
    </x:row>
    <x:row r="1970">
      <x:c r="A1970" s="38" t="str">
        <x:v>7月29日现场数据</x:v>
      </x:c>
      <x:c r="B1970" s="66" t="str">
        <x:v>2026-07-29T11:47:10.496000</x:v>
      </x:c>
      <x:c r="C1970" s="47" t="n">
        <x:v>300956</x:v>
      </x:c>
      <x:c r="D1970" s="47" t="str"/>
      <x:c r="E1970" s="47" t="str"/>
      <x:c r="F1970" s="47" t="str">
        <x:v>current</x:v>
      </x:c>
      <x:c r="G1970" s="47" t="n">
        <x:v>135</x:v>
      </x:c>
      <x:c r="H1970" s="53" t="b">
        <x:v>1</x:v>
      </x:c>
      <x:c r="I1970" s="47" t="str">
        <x:v>578202819</x:v>
      </x:c>
      <x:c r="J1970" s="47" t="n">
        <x:v>40659041</x:v>
      </x:c>
      <x:c r="K1970" s="53" t="b">
        <x:v>1</x:v>
      </x:c>
      <x:c r="L1970" s="53" t="b">
        <x:v>1</x:v>
      </x:c>
      <x:c r="M1970" s="53" t="b">
        <x:v>1</x:v>
      </x:c>
      <x:c r="N1970" s="53" t="b">
        <x:v>1</x:v>
      </x:c>
      <x:c r="O1970" s="53" t="b">
        <x:v>1</x:v>
      </x:c>
      <x:c r="P1970" s="47" t="n">
        <x:v>1012</x:v>
      </x:c>
      <x:c r="Q1970" s="47" t="n">
        <x:v>0.021</x:v>
      </x:c>
      <x:c r="R1970" s="47" t="n">
        <x:v>0.56</x:v>
      </x:c>
      <x:c r="S1970" s="47" t="n">
        <x:v>39.11</x:v>
      </x:c>
      <x:c r="T1970" s="47" t="n">
        <x:v>63.02</x:v>
      </x:c>
      <x:c r="U1970" s="47" t="n">
        <x:v>34.1</x:v>
      </x:c>
      <x:c r="V1970" s="47" t="n">
        <x:v>13.2</x:v>
      </x:c>
      <x:c r="W1970" s="47" t="n">
        <x:v>80</x:v>
      </x:c>
      <x:c r="X1970" s="47" t="n">
        <x:v>115</x:v>
      </x:c>
      <x:c r="Y1970" s="41" t="n">
        <x:v>35</x:v>
      </x:c>
    </x:row>
    <x:row r="1971">
      <x:c r="A1971" s="38" t="str">
        <x:v>7月29日现场数据</x:v>
      </x:c>
      <x:c r="B1971" s="66" t="str">
        <x:v>2026-07-29T11:52:11.453000</x:v>
      </x:c>
      <x:c r="C1971" s="47" t="n">
        <x:v>300957</x:v>
      </x:c>
      <x:c r="D1971" s="47" t="str"/>
      <x:c r="E1971" s="47" t="str"/>
      <x:c r="F1971" s="47" t="str">
        <x:v>current</x:v>
      </x:c>
      <x:c r="G1971" s="47" t="n">
        <x:v>136</x:v>
      </x:c>
      <x:c r="H1971" s="53" t="b">
        <x:v>1</x:v>
      </x:c>
      <x:c r="I1971" s="47" t="str">
        <x:v>578202819</x:v>
      </x:c>
      <x:c r="J1971" s="47" t="n">
        <x:v>40959998</x:v>
      </x:c>
      <x:c r="K1971" s="53" t="b">
        <x:v>1</x:v>
      </x:c>
      <x:c r="L1971" s="53" t="b">
        <x:v>1</x:v>
      </x:c>
      <x:c r="M1971" s="53" t="b">
        <x:v>1</x:v>
      </x:c>
      <x:c r="N1971" s="53" t="b">
        <x:v>1</x:v>
      </x:c>
      <x:c r="O1971" s="53" t="b">
        <x:v>1</x:v>
      </x:c>
      <x:c r="P1971" s="47" t="n">
        <x:v>1012</x:v>
      </x:c>
      <x:c r="Q1971" s="47" t="n">
        <x:v>0</x:v>
      </x:c>
      <x:c r="R1971" s="47" t="n">
        <x:v>0</x:v>
      </x:c>
      <x:c r="S1971" s="47" t="n">
        <x:v>38.9</x:v>
      </x:c>
      <x:c r="T1971" s="47" t="n">
        <x:v>62.85</x:v>
      </x:c>
      <x:c r="U1971" s="47" t="n">
        <x:v>34</x:v>
      </x:c>
      <x:c r="V1971" s="47" t="n">
        <x:v>13.2</x:v>
      </x:c>
      <x:c r="W1971" s="47" t="n">
        <x:v>75</x:v>
      </x:c>
      <x:c r="X1971" s="47" t="n">
        <x:v>110</x:v>
      </x:c>
      <x:c r="Y1971" s="41" t="n">
        <x:v>35</x:v>
      </x:c>
    </x:row>
    <x:row r="1972">
      <x:c r="A1972" s="38" t="str">
        <x:v>7月29日现场数据</x:v>
      </x:c>
      <x:c r="B1972" s="66" t="str">
        <x:v>2026-07-29T11:57:12.411000</x:v>
      </x:c>
      <x:c r="C1972" s="47" t="n">
        <x:v>300958</x:v>
      </x:c>
      <x:c r="D1972" s="47" t="str"/>
      <x:c r="E1972" s="47" t="str"/>
      <x:c r="F1972" s="47" t="str">
        <x:v>current</x:v>
      </x:c>
      <x:c r="G1972" s="47" t="n">
        <x:v>137</x:v>
      </x:c>
      <x:c r="H1972" s="53" t="b">
        <x:v>1</x:v>
      </x:c>
      <x:c r="I1972" s="47" t="str">
        <x:v>578202819</x:v>
      </x:c>
      <x:c r="J1972" s="47" t="n">
        <x:v>41260956</x:v>
      </x:c>
      <x:c r="K1972" s="53" t="b">
        <x:v>1</x:v>
      </x:c>
      <x:c r="L1972" s="53" t="b">
        <x:v>1</x:v>
      </x:c>
      <x:c r="M1972" s="53" t="b">
        <x:v>1</x:v>
      </x:c>
      <x:c r="N1972" s="53" t="b">
        <x:v>1</x:v>
      </x:c>
      <x:c r="O1972" s="53" t="b">
        <x:v>1</x:v>
      </x:c>
      <x:c r="P1972" s="47" t="n">
        <x:v>1012</x:v>
      </x:c>
      <x:c r="Q1972" s="47" t="n">
        <x:v>0</x:v>
      </x:c>
      <x:c r="R1972" s="47" t="n">
        <x:v>0</x:v>
      </x:c>
      <x:c r="S1972" s="47" t="n">
        <x:v>38.92</x:v>
      </x:c>
      <x:c r="T1972" s="47" t="n">
        <x:v>62.74</x:v>
      </x:c>
      <x:c r="U1972" s="47" t="n">
        <x:v>33.9</x:v>
      </x:c>
      <x:c r="V1972" s="47" t="n">
        <x:v>13.2</x:v>
      </x:c>
      <x:c r="W1972" s="47" t="n">
        <x:v>61</x:v>
      </x:c>
      <x:c r="X1972" s="47" t="n">
        <x:v>103</x:v>
      </x:c>
      <x:c r="Y1972" s="41" t="n">
        <x:v>42</x:v>
      </x:c>
    </x:row>
    <x:row r="1973">
      <x:c r="A1973" s="38" t="str">
        <x:v>7月29日现场数据</x:v>
      </x:c>
      <x:c r="B1973" s="66" t="str">
        <x:v>2026-07-29T12:02:13.371000</x:v>
      </x:c>
      <x:c r="C1973" s="47" t="n">
        <x:v>300960</x:v>
      </x:c>
      <x:c r="D1973" s="47" t="str"/>
      <x:c r="E1973" s="47" t="str"/>
      <x:c r="F1973" s="47" t="str">
        <x:v>current</x:v>
      </x:c>
      <x:c r="G1973" s="47" t="n">
        <x:v>138</x:v>
      </x:c>
      <x:c r="H1973" s="53" t="b">
        <x:v>1</x:v>
      </x:c>
      <x:c r="I1973" s="47" t="str">
        <x:v>578202819</x:v>
      </x:c>
      <x:c r="J1973" s="47" t="n">
        <x:v>41561916</x:v>
      </x:c>
      <x:c r="K1973" s="53" t="b">
        <x:v>1</x:v>
      </x:c>
      <x:c r="L1973" s="53" t="b">
        <x:v>1</x:v>
      </x:c>
      <x:c r="M1973" s="53" t="b">
        <x:v>1</x:v>
      </x:c>
      <x:c r="N1973" s="53" t="b">
        <x:v>1</x:v>
      </x:c>
      <x:c r="O1973" s="53" t="b">
        <x:v>1</x:v>
      </x:c>
      <x:c r="P1973" s="47" t="n">
        <x:v>1012</x:v>
      </x:c>
      <x:c r="Q1973" s="47" t="n">
        <x:v>0</x:v>
      </x:c>
      <x:c r="R1973" s="47" t="n">
        <x:v>0</x:v>
      </x:c>
      <x:c r="S1973" s="47" t="n">
        <x:v>38.67</x:v>
      </x:c>
      <x:c r="T1973" s="47" t="n">
        <x:v>62.59</x:v>
      </x:c>
      <x:c r="U1973" s="47" t="n">
        <x:v>33.8</x:v>
      </x:c>
      <x:c r="V1973" s="47" t="n">
        <x:v>13.2</x:v>
      </x:c>
      <x:c r="W1973" s="47" t="n">
        <x:v>12</x:v>
      </x:c>
      <x:c r="X1973" s="47" t="n">
        <x:v>45</x:v>
      </x:c>
      <x:c r="Y1973" s="41" t="n">
        <x:v>33</x:v>
      </x:c>
    </x:row>
    <x:row r="1974">
      <x:c r="A1974" s="38" t="str">
        <x:v>7月29日现场数据</x:v>
      </x:c>
      <x:c r="B1974" s="66" t="str">
        <x:v>2026-07-29T12:07:14.332000</x:v>
      </x:c>
      <x:c r="C1974" s="47" t="n">
        <x:v>300961</x:v>
      </x:c>
      <x:c r="D1974" s="47" t="str"/>
      <x:c r="E1974" s="47" t="str"/>
      <x:c r="F1974" s="47" t="str">
        <x:v>current</x:v>
      </x:c>
      <x:c r="G1974" s="47" t="n">
        <x:v>139</x:v>
      </x:c>
      <x:c r="H1974" s="53" t="b">
        <x:v>1</x:v>
      </x:c>
      <x:c r="I1974" s="47" t="str">
        <x:v>578202819</x:v>
      </x:c>
      <x:c r="J1974" s="47" t="n">
        <x:v>41862877</x:v>
      </x:c>
      <x:c r="K1974" s="53" t="b">
        <x:v>1</x:v>
      </x:c>
      <x:c r="L1974" s="53" t="b">
        <x:v>1</x:v>
      </x:c>
      <x:c r="M1974" s="53" t="b">
        <x:v>1</x:v>
      </x:c>
      <x:c r="N1974" s="53" t="b">
        <x:v>1</x:v>
      </x:c>
      <x:c r="O1974" s="53" t="b">
        <x:v>1</x:v>
      </x:c>
      <x:c r="P1974" s="47" t="n">
        <x:v>1012</x:v>
      </x:c>
      <x:c r="Q1974" s="47" t="n">
        <x:v>0</x:v>
      </x:c>
      <x:c r="R1974" s="47" t="n">
        <x:v>0</x:v>
      </x:c>
      <x:c r="S1974" s="47" t="n">
        <x:v>38.13</x:v>
      </x:c>
      <x:c r="T1974" s="47" t="n">
        <x:v>62.27</x:v>
      </x:c>
      <x:c r="U1974" s="47" t="n">
        <x:v>33.7</x:v>
      </x:c>
      <x:c r="V1974" s="47" t="n">
        <x:v>13.2</x:v>
      </x:c>
      <x:c r="W1974" s="47" t="n">
        <x:v>42</x:v>
      </x:c>
      <x:c r="X1974" s="47" t="n">
        <x:v>114</x:v>
      </x:c>
      <x:c r="Y1974" s="41" t="n">
        <x:v>72</x:v>
      </x:c>
    </x:row>
    <x:row r="1975">
      <x:c r="A1975" s="38" t="str">
        <x:v>7月29日现场数据</x:v>
      </x:c>
      <x:c r="B1975" s="66" t="str">
        <x:v>2026-07-29T12:12:15.296000</x:v>
      </x:c>
      <x:c r="C1975" s="47" t="n">
        <x:v>300964</x:v>
      </x:c>
      <x:c r="D1975" s="47" t="str"/>
      <x:c r="E1975" s="47" t="str"/>
      <x:c r="F1975" s="47" t="str">
        <x:v>current</x:v>
      </x:c>
      <x:c r="G1975" s="47" t="n">
        <x:v>140</x:v>
      </x:c>
      <x:c r="H1975" s="53" t="b">
        <x:v>1</x:v>
      </x:c>
      <x:c r="I1975" s="47" t="str">
        <x:v>578202819</x:v>
      </x:c>
      <x:c r="J1975" s="47" t="n">
        <x:v>42163841</x:v>
      </x:c>
      <x:c r="K1975" s="53" t="b">
        <x:v>1</x:v>
      </x:c>
      <x:c r="L1975" s="53" t="b">
        <x:v>1</x:v>
      </x:c>
      <x:c r="M1975" s="53" t="b">
        <x:v>1</x:v>
      </x:c>
      <x:c r="N1975" s="53" t="b">
        <x:v>1</x:v>
      </x:c>
      <x:c r="O1975" s="53" t="b">
        <x:v>1</x:v>
      </x:c>
      <x:c r="P1975" s="47" t="n">
        <x:v>1012</x:v>
      </x:c>
      <x:c r="Q1975" s="47" t="n">
        <x:v>0</x:v>
      </x:c>
      <x:c r="R1975" s="47" t="n">
        <x:v>0</x:v>
      </x:c>
      <x:c r="S1975" s="47" t="n">
        <x:v>38.87</x:v>
      </x:c>
      <x:c r="T1975" s="47" t="n">
        <x:v>62.32</x:v>
      </x:c>
      <x:c r="U1975" s="47" t="n">
        <x:v>33.7</x:v>
      </x:c>
      <x:c r="V1975" s="47" t="n">
        <x:v>13.2</x:v>
      </x:c>
      <x:c r="W1975" s="47" t="n">
        <x:v>69</x:v>
      </x:c>
      <x:c r="X1975" s="47" t="n">
        <x:v>131</x:v>
      </x:c>
      <x:c r="Y1975" s="41" t="n">
        <x:v>62</x:v>
      </x:c>
    </x:row>
    <x:row r="1976">
      <x:c r="A1976" s="38" t="str">
        <x:v>7月29日现场数据</x:v>
      </x:c>
      <x:c r="B1976" s="66" t="str">
        <x:v>2026-07-29T12:17:16.261000</x:v>
      </x:c>
      <x:c r="C1976" s="47" t="n">
        <x:v>300965</x:v>
      </x:c>
      <x:c r="D1976" s="47" t="str"/>
      <x:c r="E1976" s="47" t="str"/>
      <x:c r="F1976" s="47" t="str">
        <x:v>current</x:v>
      </x:c>
      <x:c r="G1976" s="47" t="n">
        <x:v>141</x:v>
      </x:c>
      <x:c r="H1976" s="53" t="b">
        <x:v>1</x:v>
      </x:c>
      <x:c r="I1976" s="47" t="str">
        <x:v>578202819</x:v>
      </x:c>
      <x:c r="J1976" s="47" t="n">
        <x:v>42464806</x:v>
      </x:c>
      <x:c r="K1976" s="53" t="b">
        <x:v>1</x:v>
      </x:c>
      <x:c r="L1976" s="53" t="b">
        <x:v>1</x:v>
      </x:c>
      <x:c r="M1976" s="53" t="b">
        <x:v>1</x:v>
      </x:c>
      <x:c r="N1976" s="53" t="b">
        <x:v>1</x:v>
      </x:c>
      <x:c r="O1976" s="53" t="b">
        <x:v>1</x:v>
      </x:c>
      <x:c r="P1976" s="47" t="n">
        <x:v>1012</x:v>
      </x:c>
      <x:c r="Q1976" s="47" t="n">
        <x:v>0</x:v>
      </x:c>
      <x:c r="R1976" s="47" t="n">
        <x:v>0</x:v>
      </x:c>
      <x:c r="S1976" s="47" t="n">
        <x:v>38.7</x:v>
      </x:c>
      <x:c r="T1976" s="47" t="n">
        <x:v>62.29</x:v>
      </x:c>
      <x:c r="U1976" s="47" t="n">
        <x:v>33.7</x:v>
      </x:c>
      <x:c r="V1976" s="47" t="n">
        <x:v>13.1</x:v>
      </x:c>
      <x:c r="W1976" s="47" t="n">
        <x:v>63</x:v>
      </x:c>
      <x:c r="X1976" s="47" t="n">
        <x:v>125</x:v>
      </x:c>
      <x:c r="Y1976" s="41" t="n">
        <x:v>62</x:v>
      </x:c>
    </x:row>
    <x:row r="1977">
      <x:c r="A1977" s="38" t="str">
        <x:v>7月29日现场数据</x:v>
      </x:c>
      <x:c r="B1977" s="66" t="str">
        <x:v>2026-07-29T12:22:17.231000</x:v>
      </x:c>
      <x:c r="C1977" s="47" t="n">
        <x:v>300970</x:v>
      </x:c>
      <x:c r="D1977" s="47" t="str"/>
      <x:c r="E1977" s="47" t="str"/>
      <x:c r="F1977" s="47" t="str">
        <x:v>current</x:v>
      </x:c>
      <x:c r="G1977" s="47" t="n">
        <x:v>142</x:v>
      </x:c>
      <x:c r="H1977" s="53" t="b">
        <x:v>1</x:v>
      </x:c>
      <x:c r="I1977" s="47" t="str">
        <x:v>578202819</x:v>
      </x:c>
      <x:c r="J1977" s="47" t="n">
        <x:v>42765776</x:v>
      </x:c>
      <x:c r="K1977" s="53" t="b">
        <x:v>1</x:v>
      </x:c>
      <x:c r="L1977" s="53" t="b">
        <x:v>1</x:v>
      </x:c>
      <x:c r="M1977" s="53" t="b">
        <x:v>1</x:v>
      </x:c>
      <x:c r="N1977" s="53" t="b">
        <x:v>1</x:v>
      </x:c>
      <x:c r="O1977" s="53" t="b">
        <x:v>1</x:v>
      </x:c>
      <x:c r="P1977" s="47" t="n">
        <x:v>1012</x:v>
      </x:c>
      <x:c r="Q1977" s="47" t="n">
        <x:v>0</x:v>
      </x:c>
      <x:c r="R1977" s="47" t="n">
        <x:v>0</x:v>
      </x:c>
      <x:c r="S1977" s="47" t="n">
        <x:v>39.35</x:v>
      </x:c>
      <x:c r="T1977" s="47" t="n">
        <x:v>62.18</x:v>
      </x:c>
      <x:c r="U1977" s="47" t="n">
        <x:v>33.6</x:v>
      </x:c>
      <x:c r="V1977" s="47" t="n">
        <x:v>13.1</x:v>
      </x:c>
      <x:c r="W1977" s="47" t="n">
        <x:v>61</x:v>
      </x:c>
      <x:c r="X1977" s="47" t="n">
        <x:v>120</x:v>
      </x:c>
      <x:c r="Y1977" s="41" t="n">
        <x:v>59</x:v>
      </x:c>
    </x:row>
    <x:row r="1978">
      <x:c r="A1978" s="38" t="str">
        <x:v>7月29日现场数据</x:v>
      </x:c>
      <x:c r="B1978" s="66" t="str">
        <x:v>2026-07-29T12:27:18.203000</x:v>
      </x:c>
      <x:c r="C1978" s="47" t="n">
        <x:v>300972</x:v>
      </x:c>
      <x:c r="D1978" s="47" t="str"/>
      <x:c r="E1978" s="47" t="str"/>
      <x:c r="F1978" s="47" t="str">
        <x:v>current</x:v>
      </x:c>
      <x:c r="G1978" s="47" t="n">
        <x:v>143</x:v>
      </x:c>
      <x:c r="H1978" s="53" t="b">
        <x:v>1</x:v>
      </x:c>
      <x:c r="I1978" s="47" t="str">
        <x:v>578202819</x:v>
      </x:c>
      <x:c r="J1978" s="47" t="n">
        <x:v>43066748</x:v>
      </x:c>
      <x:c r="K1978" s="53" t="b">
        <x:v>1</x:v>
      </x:c>
      <x:c r="L1978" s="53" t="b">
        <x:v>1</x:v>
      </x:c>
      <x:c r="M1978" s="53" t="b">
        <x:v>1</x:v>
      </x:c>
      <x:c r="N1978" s="53" t="b">
        <x:v>1</x:v>
      </x:c>
      <x:c r="O1978" s="53" t="b">
        <x:v>1</x:v>
      </x:c>
      <x:c r="P1978" s="47" t="n">
        <x:v>1012</x:v>
      </x:c>
      <x:c r="Q1978" s="47" t="n">
        <x:v>0</x:v>
      </x:c>
      <x:c r="R1978" s="47" t="n">
        <x:v>0</x:v>
      </x:c>
      <x:c r="S1978" s="47" t="n">
        <x:v>39.42</x:v>
      </x:c>
      <x:c r="T1978" s="47" t="n">
        <x:v>62.06</x:v>
      </x:c>
      <x:c r="U1978" s="47" t="n">
        <x:v>33.6</x:v>
      </x:c>
      <x:c r="V1978" s="47" t="n">
        <x:v>13.1</x:v>
      </x:c>
      <x:c r="W1978" s="47" t="n">
        <x:v>59</x:v>
      </x:c>
      <x:c r="X1978" s="47" t="n">
        <x:v>179</x:v>
      </x:c>
      <x:c r="Y1978" s="41" t="n">
        <x:v>120</x:v>
      </x:c>
    </x:row>
    <x:row r="1979">
      <x:c r="A1979" s="38" t="str">
        <x:v>7月29日现场数据</x:v>
      </x:c>
      <x:c r="B1979" s="66" t="str">
        <x:v>2026-07-29T12:32:19.174000</x:v>
      </x:c>
      <x:c r="C1979" s="47" t="n">
        <x:v>300971</x:v>
      </x:c>
      <x:c r="D1979" s="47" t="str"/>
      <x:c r="E1979" s="47" t="str"/>
      <x:c r="F1979" s="47" t="str">
        <x:v>current</x:v>
      </x:c>
      <x:c r="G1979" s="47" t="n">
        <x:v>144</x:v>
      </x:c>
      <x:c r="H1979" s="53" t="b">
        <x:v>1</x:v>
      </x:c>
      <x:c r="I1979" s="47" t="str">
        <x:v>578202819</x:v>
      </x:c>
      <x:c r="J1979" s="47" t="n">
        <x:v>43367719</x:v>
      </x:c>
      <x:c r="K1979" s="53" t="b">
        <x:v>1</x:v>
      </x:c>
      <x:c r="L1979" s="53" t="b">
        <x:v>1</x:v>
      </x:c>
      <x:c r="M1979" s="53" t="b">
        <x:v>1</x:v>
      </x:c>
      <x:c r="N1979" s="53" t="b">
        <x:v>1</x:v>
      </x:c>
      <x:c r="O1979" s="53" t="b">
        <x:v>1</x:v>
      </x:c>
      <x:c r="P1979" s="47" t="n">
        <x:v>1012</x:v>
      </x:c>
      <x:c r="Q1979" s="47" t="n">
        <x:v>0</x:v>
      </x:c>
      <x:c r="R1979" s="47" t="n">
        <x:v>0</x:v>
      </x:c>
      <x:c r="S1979" s="47" t="n">
        <x:v>39.02</x:v>
      </x:c>
      <x:c r="T1979" s="47" t="n">
        <x:v>62.03</x:v>
      </x:c>
      <x:c r="U1979" s="47" t="n">
        <x:v>33.5</x:v>
      </x:c>
      <x:c r="V1979" s="47" t="n">
        <x:v>13.1</x:v>
      </x:c>
      <x:c r="W1979" s="47" t="n">
        <x:v>54</x:v>
      </x:c>
      <x:c r="X1979" s="47" t="n">
        <x:v>187</x:v>
      </x:c>
      <x:c r="Y1979" s="41" t="n">
        <x:v>133</x:v>
      </x:c>
    </x:row>
    <x:row r="1980">
      <x:c r="A1980" s="38" t="str">
        <x:v>7月29日现场数据</x:v>
      </x:c>
      <x:c r="B1980" s="66" t="str">
        <x:v>2026-07-29T12:37:20.147000</x:v>
      </x:c>
      <x:c r="C1980" s="47" t="n">
        <x:v>300973</x:v>
      </x:c>
      <x:c r="D1980" s="47" t="str"/>
      <x:c r="E1980" s="47" t="str"/>
      <x:c r="F1980" s="47" t="str">
        <x:v>current</x:v>
      </x:c>
      <x:c r="G1980" s="47" t="n">
        <x:v>145</x:v>
      </x:c>
      <x:c r="H1980" s="53" t="b">
        <x:v>1</x:v>
      </x:c>
      <x:c r="I1980" s="47" t="str">
        <x:v>578202819</x:v>
      </x:c>
      <x:c r="J1980" s="47" t="n">
        <x:v>43668692</x:v>
      </x:c>
      <x:c r="K1980" s="53" t="b">
        <x:v>1</x:v>
      </x:c>
      <x:c r="L1980" s="53" t="b">
        <x:v>1</x:v>
      </x:c>
      <x:c r="M1980" s="53" t="b">
        <x:v>1</x:v>
      </x:c>
      <x:c r="N1980" s="53" t="b">
        <x:v>1</x:v>
      </x:c>
      <x:c r="O1980" s="53" t="b">
        <x:v>1</x:v>
      </x:c>
      <x:c r="P1980" s="47" t="n">
        <x:v>1012</x:v>
      </x:c>
      <x:c r="Q1980" s="47" t="n">
        <x:v>0</x:v>
      </x:c>
      <x:c r="R1980" s="47" t="n">
        <x:v>0</x:v>
      </x:c>
      <x:c r="S1980" s="47" t="n">
        <x:v>38.93</x:v>
      </x:c>
      <x:c r="T1980" s="47" t="n">
        <x:v>61.84</x:v>
      </x:c>
      <x:c r="U1980" s="47" t="n">
        <x:v>33.5</x:v>
      </x:c>
      <x:c r="V1980" s="47" t="n">
        <x:v>13.1</x:v>
      </x:c>
      <x:c r="W1980" s="47" t="n">
        <x:v>55</x:v>
      </x:c>
      <x:c r="X1980" s="47" t="n">
        <x:v>114</x:v>
      </x:c>
      <x:c r="Y1980" s="41" t="n">
        <x:v>59</x:v>
      </x:c>
    </x:row>
    <x:row r="1981">
      <x:c r="A1981" s="38" t="str">
        <x:v>7月29日现场数据</x:v>
      </x:c>
      <x:c r="B1981" s="66" t="str">
        <x:v>2026-07-29T12:42:21.123000</x:v>
      </x:c>
      <x:c r="C1981" s="47" t="n">
        <x:v>300976</x:v>
      </x:c>
      <x:c r="D1981" s="47" t="str"/>
      <x:c r="E1981" s="47" t="str"/>
      <x:c r="F1981" s="47" t="str">
        <x:v>current</x:v>
      </x:c>
      <x:c r="G1981" s="47" t="n">
        <x:v>146</x:v>
      </x:c>
      <x:c r="H1981" s="53" t="b">
        <x:v>1</x:v>
      </x:c>
      <x:c r="I1981" s="47" t="str">
        <x:v>578202819</x:v>
      </x:c>
      <x:c r="J1981" s="47" t="n">
        <x:v>43969668</x:v>
      </x:c>
      <x:c r="K1981" s="53" t="b">
        <x:v>1</x:v>
      </x:c>
      <x:c r="L1981" s="53" t="b">
        <x:v>1</x:v>
      </x:c>
      <x:c r="M1981" s="53" t="b">
        <x:v>1</x:v>
      </x:c>
      <x:c r="N1981" s="53" t="b">
        <x:v>1</x:v>
      </x:c>
      <x:c r="O1981" s="53" t="b">
        <x:v>1</x:v>
      </x:c>
      <x:c r="P1981" s="47" t="n">
        <x:v>1011</x:v>
      </x:c>
      <x:c r="Q1981" s="47" t="n">
        <x:v>0</x:v>
      </x:c>
      <x:c r="R1981" s="47" t="n">
        <x:v>0</x:v>
      </x:c>
      <x:c r="S1981" s="47" t="n">
        <x:v>38.81</x:v>
      </x:c>
      <x:c r="T1981" s="47" t="n">
        <x:v>61.74</x:v>
      </x:c>
      <x:c r="U1981" s="47" t="n">
        <x:v>33.4</x:v>
      </x:c>
      <x:c r="V1981" s="47" t="n">
        <x:v>13</x:v>
      </x:c>
      <x:c r="W1981" s="47" t="n">
        <x:v>57</x:v>
      </x:c>
      <x:c r="X1981" s="47" t="n">
        <x:v>122</x:v>
      </x:c>
      <x:c r="Y1981" s="41" t="n">
        <x:v>65</x:v>
      </x:c>
    </x:row>
    <x:row r="1982">
      <x:c r="A1982" s="38" t="str">
        <x:v>7月29日现场数据</x:v>
      </x:c>
      <x:c r="B1982" s="66" t="str">
        <x:v>2026-07-29T12:47:22.099000</x:v>
      </x:c>
      <x:c r="C1982" s="47" t="n">
        <x:v>300976</x:v>
      </x:c>
      <x:c r="D1982" s="47" t="str"/>
      <x:c r="E1982" s="47" t="str"/>
      <x:c r="F1982" s="47" t="str">
        <x:v>current</x:v>
      </x:c>
      <x:c r="G1982" s="47" t="n">
        <x:v>147</x:v>
      </x:c>
      <x:c r="H1982" s="53" t="b">
        <x:v>1</x:v>
      </x:c>
      <x:c r="I1982" s="47" t="str">
        <x:v>578202819</x:v>
      </x:c>
      <x:c r="J1982" s="47" t="n">
        <x:v>44270644</x:v>
      </x:c>
      <x:c r="K1982" s="53" t="b">
        <x:v>1</x:v>
      </x:c>
      <x:c r="L1982" s="53" t="b">
        <x:v>1</x:v>
      </x:c>
      <x:c r="M1982" s="53" t="b">
        <x:v>1</x:v>
      </x:c>
      <x:c r="N1982" s="53" t="b">
        <x:v>1</x:v>
      </x:c>
      <x:c r="O1982" s="53" t="b">
        <x:v>1</x:v>
      </x:c>
      <x:c r="P1982" s="47" t="n">
        <x:v>1012</x:v>
      </x:c>
      <x:c r="Q1982" s="47" t="n">
        <x:v>0</x:v>
      </x:c>
      <x:c r="R1982" s="47" t="n">
        <x:v>0</x:v>
      </x:c>
      <x:c r="S1982" s="47" t="n">
        <x:v>38.86</x:v>
      </x:c>
      <x:c r="T1982" s="47" t="n">
        <x:v>61.57</x:v>
      </x:c>
      <x:c r="U1982" s="47" t="n">
        <x:v>33.4</x:v>
      </x:c>
      <x:c r="V1982" s="47" t="n">
        <x:v>13.1</x:v>
      </x:c>
      <x:c r="W1982" s="47" t="n">
        <x:v>57</x:v>
      </x:c>
      <x:c r="X1982" s="47" t="n">
        <x:v>124</x:v>
      </x:c>
      <x:c r="Y1982" s="41" t="n">
        <x:v>67</x:v>
      </x:c>
    </x:row>
    <x:row r="1983">
      <x:c r="A1983" s="38" t="str">
        <x:v>7月29日现场数据</x:v>
      </x:c>
      <x:c r="B1983" s="66" t="str">
        <x:v>2026-07-29T12:52:23.076000</x:v>
      </x:c>
      <x:c r="C1983" s="47" t="n">
        <x:v>300977</x:v>
      </x:c>
      <x:c r="D1983" s="47" t="str"/>
      <x:c r="E1983" s="47" t="str"/>
      <x:c r="F1983" s="47" t="str">
        <x:v>current</x:v>
      </x:c>
      <x:c r="G1983" s="47" t="n">
        <x:v>148</x:v>
      </x:c>
      <x:c r="H1983" s="53" t="b">
        <x:v>1</x:v>
      </x:c>
      <x:c r="I1983" s="47" t="str">
        <x:v>578202819</x:v>
      </x:c>
      <x:c r="J1983" s="47" t="n">
        <x:v>44571621</x:v>
      </x:c>
      <x:c r="K1983" s="53" t="b">
        <x:v>1</x:v>
      </x:c>
      <x:c r="L1983" s="53" t="b">
        <x:v>1</x:v>
      </x:c>
      <x:c r="M1983" s="53" t="b">
        <x:v>1</x:v>
      </x:c>
      <x:c r="N1983" s="53" t="b">
        <x:v>1</x:v>
      </x:c>
      <x:c r="O1983" s="53" t="b">
        <x:v>1</x:v>
      </x:c>
      <x:c r="P1983" s="47" t="n">
        <x:v>1011</x:v>
      </x:c>
      <x:c r="Q1983" s="47" t="n">
        <x:v>0</x:v>
      </x:c>
      <x:c r="R1983" s="47" t="n">
        <x:v>0</x:v>
      </x:c>
      <x:c r="S1983" s="47" t="n">
        <x:v>38.98</x:v>
      </x:c>
      <x:c r="T1983" s="47" t="n">
        <x:v>61.54</x:v>
      </x:c>
      <x:c r="U1983" s="47" t="n">
        <x:v>33.4</x:v>
      </x:c>
      <x:c r="V1983" s="47" t="n">
        <x:v>13</x:v>
      </x:c>
      <x:c r="W1983" s="47" t="n">
        <x:v>54</x:v>
      </x:c>
      <x:c r="X1983" s="47" t="n">
        <x:v>128</x:v>
      </x:c>
      <x:c r="Y1983" s="41" t="n">
        <x:v>74</x:v>
      </x:c>
    </x:row>
    <x:row r="1984">
      <x:c r="A1984" s="38" t="str">
        <x:v>7月29日现场数据</x:v>
      </x:c>
      <x:c r="B1984" s="66" t="str">
        <x:v>2026-07-29T12:57:24.056000</x:v>
      </x:c>
      <x:c r="C1984" s="47" t="n">
        <x:v>300980</x:v>
      </x:c>
      <x:c r="D1984" s="47" t="str"/>
      <x:c r="E1984" s="47" t="str"/>
      <x:c r="F1984" s="47" t="str">
        <x:v>current</x:v>
      </x:c>
      <x:c r="G1984" s="47" t="n">
        <x:v>149</x:v>
      </x:c>
      <x:c r="H1984" s="53" t="b">
        <x:v>1</x:v>
      </x:c>
      <x:c r="I1984" s="47" t="str">
        <x:v>578202819</x:v>
      </x:c>
      <x:c r="J1984" s="47" t="n">
        <x:v>44872601</x:v>
      </x:c>
      <x:c r="K1984" s="53" t="b">
        <x:v>1</x:v>
      </x:c>
      <x:c r="L1984" s="53" t="b">
        <x:v>1</x:v>
      </x:c>
      <x:c r="M1984" s="53" t="b">
        <x:v>1</x:v>
      </x:c>
      <x:c r="N1984" s="53" t="b">
        <x:v>1</x:v>
      </x:c>
      <x:c r="O1984" s="53" t="b">
        <x:v>1</x:v>
      </x:c>
      <x:c r="P1984" s="47" t="n">
        <x:v>1011</x:v>
      </x:c>
      <x:c r="Q1984" s="47" t="n">
        <x:v>0</x:v>
      </x:c>
      <x:c r="R1984" s="47" t="n">
        <x:v>0</x:v>
      </x:c>
      <x:c r="S1984" s="47" t="n">
        <x:v>38.92</x:v>
      </x:c>
      <x:c r="T1984" s="47" t="n">
        <x:v>61.4</x:v>
      </x:c>
      <x:c r="U1984" s="47" t="n">
        <x:v>33.4</x:v>
      </x:c>
      <x:c r="V1984" s="47" t="n">
        <x:v>13</x:v>
      </x:c>
      <x:c r="W1984" s="47" t="n">
        <x:v>54</x:v>
      </x:c>
      <x:c r="X1984" s="47" t="n">
        <x:v>131</x:v>
      </x:c>
      <x:c r="Y1984" s="41" t="n">
        <x:v>77</x:v>
      </x:c>
    </x:row>
    <x:row r="1985">
      <x:c r="A1985" s="38" t="str">
        <x:v>7月29日现场数据</x:v>
      </x:c>
      <x:c r="B1985" s="66" t="str">
        <x:v>2026-07-29T13:02:25.085000</x:v>
      </x:c>
      <x:c r="C1985" s="47" t="n">
        <x:v>301029</x:v>
      </x:c>
      <x:c r="D1985" s="47" t="str"/>
      <x:c r="E1985" s="47" t="str"/>
      <x:c r="F1985" s="47" t="str">
        <x:v>current</x:v>
      </x:c>
      <x:c r="G1985" s="47" t="n">
        <x:v>150</x:v>
      </x:c>
      <x:c r="H1985" s="53" t="b">
        <x:v>1</x:v>
      </x:c>
      <x:c r="I1985" s="47" t="str">
        <x:v>578202819</x:v>
      </x:c>
      <x:c r="J1985" s="47" t="n">
        <x:v>45173630</x:v>
      </x:c>
      <x:c r="K1985" s="53" t="b">
        <x:v>1</x:v>
      </x:c>
      <x:c r="L1985" s="53" t="b">
        <x:v>1</x:v>
      </x:c>
      <x:c r="M1985" s="53" t="b">
        <x:v>1</x:v>
      </x:c>
      <x:c r="N1985" s="53" t="b">
        <x:v>1</x:v>
      </x:c>
      <x:c r="O1985" s="53" t="b">
        <x:v>1</x:v>
      </x:c>
      <x:c r="P1985" s="47" t="n">
        <x:v>1011</x:v>
      </x:c>
      <x:c r="Q1985" s="47" t="n">
        <x:v>0</x:v>
      </x:c>
      <x:c r="R1985" s="47" t="n">
        <x:v>0</x:v>
      </x:c>
      <x:c r="S1985" s="47" t="n">
        <x:v>38.47</x:v>
      </x:c>
      <x:c r="T1985" s="47" t="n">
        <x:v>61.16</x:v>
      </x:c>
      <x:c r="U1985" s="47" t="n">
        <x:v>33.4</x:v>
      </x:c>
      <x:c r="V1985" s="47" t="n">
        <x:v>13</x:v>
      </x:c>
      <x:c r="W1985" s="47" t="n">
        <x:v>59</x:v>
      </x:c>
      <x:c r="X1985" s="47" t="n">
        <x:v>144</x:v>
      </x:c>
      <x:c r="Y1985" s="41" t="n">
        <x:v>85</x:v>
      </x:c>
    </x:row>
    <x:row r="1986">
      <x:c r="A1986" s="38" t="str">
        <x:v>7月29日现场数据</x:v>
      </x:c>
      <x:c r="B1986" s="66" t="str">
        <x:v>2026-07-29T13:07:26.052000</x:v>
      </x:c>
      <x:c r="C1986" s="47" t="n">
        <x:v>300967</x:v>
      </x:c>
      <x:c r="D1986" s="47" t="str"/>
      <x:c r="E1986" s="47" t="str"/>
      <x:c r="F1986" s="47" t="str">
        <x:v>current</x:v>
      </x:c>
      <x:c r="G1986" s="47" t="n">
        <x:v>151</x:v>
      </x:c>
      <x:c r="H1986" s="53" t="b">
        <x:v>1</x:v>
      </x:c>
      <x:c r="I1986" s="47" t="str">
        <x:v>578202819</x:v>
      </x:c>
      <x:c r="J1986" s="47" t="n">
        <x:v>45474597</x:v>
      </x:c>
      <x:c r="K1986" s="53" t="b">
        <x:v>1</x:v>
      </x:c>
      <x:c r="L1986" s="53" t="b">
        <x:v>1</x:v>
      </x:c>
      <x:c r="M1986" s="53" t="b">
        <x:v>1</x:v>
      </x:c>
      <x:c r="N1986" s="53" t="b">
        <x:v>1</x:v>
      </x:c>
      <x:c r="O1986" s="53" t="b">
        <x:v>1</x:v>
      </x:c>
      <x:c r="P1986" s="47" t="n">
        <x:v>1011</x:v>
      </x:c>
      <x:c r="Q1986" s="47" t="n">
        <x:v>0.033</x:v>
      </x:c>
      <x:c r="R1986" s="47" t="n">
        <x:v>0.89</x:v>
      </x:c>
      <x:c r="S1986" s="47" t="n">
        <x:v>37.58</x:v>
      </x:c>
      <x:c r="T1986" s="47" t="n">
        <x:v>60.97</x:v>
      </x:c>
      <x:c r="U1986" s="47" t="n">
        <x:v>33.4</x:v>
      </x:c>
      <x:c r="V1986" s="47" t="n">
        <x:v>13</x:v>
      </x:c>
      <x:c r="W1986" s="47" t="n">
        <x:v>14</x:v>
      </x:c>
      <x:c r="X1986" s="47" t="n">
        <x:v>54</x:v>
      </x:c>
      <x:c r="Y1986" s="41" t="n">
        <x:v>40</x:v>
      </x:c>
    </x:row>
    <x:row r="1987">
      <x:c r="A1987" s="38" t="str">
        <x:v>7月29日现场数据</x:v>
      </x:c>
      <x:c r="B1987" s="66" t="str">
        <x:v>2026-07-29T13:12:27.021000</x:v>
      </x:c>
      <x:c r="C1987" s="47" t="n">
        <x:v>300969</x:v>
      </x:c>
      <x:c r="D1987" s="47" t="str"/>
      <x:c r="E1987" s="47" t="str"/>
      <x:c r="F1987" s="47" t="str">
        <x:v>current</x:v>
      </x:c>
      <x:c r="G1987" s="47" t="n">
        <x:v>152</x:v>
      </x:c>
      <x:c r="H1987" s="53" t="b">
        <x:v>1</x:v>
      </x:c>
      <x:c r="I1987" s="47" t="str">
        <x:v>578202819</x:v>
      </x:c>
      <x:c r="J1987" s="47" t="n">
        <x:v>45775566</x:v>
      </x:c>
      <x:c r="K1987" s="53" t="b">
        <x:v>1</x:v>
      </x:c>
      <x:c r="L1987" s="53" t="b">
        <x:v>1</x:v>
      </x:c>
      <x:c r="M1987" s="53" t="b">
        <x:v>1</x:v>
      </x:c>
      <x:c r="N1987" s="53" t="b">
        <x:v>1</x:v>
      </x:c>
      <x:c r="O1987" s="53" t="b">
        <x:v>1</x:v>
      </x:c>
      <x:c r="P1987" s="47" t="n">
        <x:v>1011</x:v>
      </x:c>
      <x:c r="Q1987" s="47" t="n">
        <x:v>0</x:v>
      </x:c>
      <x:c r="R1987" s="47" t="n">
        <x:v>0</x:v>
      </x:c>
      <x:c r="S1987" s="47" t="n">
        <x:v>38.94</x:v>
      </x:c>
      <x:c r="T1987" s="47" t="n">
        <x:v>60.94</x:v>
      </x:c>
      <x:c r="U1987" s="47" t="n">
        <x:v>33.4</x:v>
      </x:c>
      <x:c r="V1987" s="47" t="n">
        <x:v>13</x:v>
      </x:c>
      <x:c r="W1987" s="47" t="n">
        <x:v>59</x:v>
      </x:c>
      <x:c r="X1987" s="47" t="n">
        <x:v>168</x:v>
      </x:c>
      <x:c r="Y1987" s="41" t="n">
        <x:v>109</x:v>
      </x:c>
    </x:row>
    <x:row r="1988">
      <x:c r="A1988" s="38" t="str">
        <x:v>7月29日现场数据</x:v>
      </x:c>
      <x:c r="B1988" s="66" t="str">
        <x:v>2026-07-29T13:17:27.995000</x:v>
      </x:c>
      <x:c r="C1988" s="47" t="n">
        <x:v>300974</x:v>
      </x:c>
      <x:c r="D1988" s="47" t="str"/>
      <x:c r="E1988" s="47" t="str"/>
      <x:c r="F1988" s="47" t="str">
        <x:v>current</x:v>
      </x:c>
      <x:c r="G1988" s="47" t="n">
        <x:v>153</x:v>
      </x:c>
      <x:c r="H1988" s="53" t="b">
        <x:v>1</x:v>
      </x:c>
      <x:c r="I1988" s="47" t="str">
        <x:v>578202819</x:v>
      </x:c>
      <x:c r="J1988" s="47" t="n">
        <x:v>46076540</x:v>
      </x:c>
      <x:c r="K1988" s="53" t="b">
        <x:v>1</x:v>
      </x:c>
      <x:c r="L1988" s="53" t="b">
        <x:v>1</x:v>
      </x:c>
      <x:c r="M1988" s="53" t="b">
        <x:v>1</x:v>
      </x:c>
      <x:c r="N1988" s="53" t="b">
        <x:v>1</x:v>
      </x:c>
      <x:c r="O1988" s="53" t="b">
        <x:v>1</x:v>
      </x:c>
      <x:c r="P1988" s="47" t="n">
        <x:v>1011</x:v>
      </x:c>
      <x:c r="Q1988" s="47" t="n">
        <x:v>0.053</x:v>
      </x:c>
      <x:c r="R1988" s="47" t="n">
        <x:v>1.418</x:v>
      </x:c>
      <x:c r="S1988" s="47" t="n">
        <x:v>39.01</x:v>
      </x:c>
      <x:c r="T1988" s="47" t="n">
        <x:v>61.15</x:v>
      </x:c>
      <x:c r="U1988" s="47" t="n">
        <x:v>33.4</x:v>
      </x:c>
      <x:c r="V1988" s="47" t="n">
        <x:v>13</x:v>
      </x:c>
      <x:c r="W1988" s="47" t="n">
        <x:v>61</x:v>
      </x:c>
      <x:c r="X1988" s="47" t="n">
        <x:v>271</x:v>
      </x:c>
      <x:c r="Y1988" s="41" t="n">
        <x:v>210</x:v>
      </x:c>
    </x:row>
    <x:row r="1989">
      <x:c r="A1989" s="38" t="str">
        <x:v>7月29日现场数据</x:v>
      </x:c>
      <x:c r="B1989" s="66" t="str">
        <x:v>2026-07-29T13:22:28.970000</x:v>
      </x:c>
      <x:c r="C1989" s="47" t="n">
        <x:v>300975</x:v>
      </x:c>
      <x:c r="D1989" s="47" t="str"/>
      <x:c r="E1989" s="47" t="str"/>
      <x:c r="F1989" s="47" t="str">
        <x:v>current</x:v>
      </x:c>
      <x:c r="G1989" s="47" t="n">
        <x:v>154</x:v>
      </x:c>
      <x:c r="H1989" s="53" t="b">
        <x:v>1</x:v>
      </x:c>
      <x:c r="I1989" s="47" t="str">
        <x:v>578202819</x:v>
      </x:c>
      <x:c r="J1989" s="47" t="n">
        <x:v>46377515</x:v>
      </x:c>
      <x:c r="K1989" s="53" t="b">
        <x:v>1</x:v>
      </x:c>
      <x:c r="L1989" s="53" t="b">
        <x:v>1</x:v>
      </x:c>
      <x:c r="M1989" s="53" t="b">
        <x:v>1</x:v>
      </x:c>
      <x:c r="N1989" s="53" t="b">
        <x:v>1</x:v>
      </x:c>
      <x:c r="O1989" s="53" t="b">
        <x:v>1</x:v>
      </x:c>
      <x:c r="P1989" s="47" t="n">
        <x:v>1012</x:v>
      </x:c>
      <x:c r="Q1989" s="47" t="n">
        <x:v>0</x:v>
      </x:c>
      <x:c r="R1989" s="47" t="n">
        <x:v>0</x:v>
      </x:c>
      <x:c r="S1989" s="47" t="n">
        <x:v>39.54</x:v>
      </x:c>
      <x:c r="T1989" s="47" t="n">
        <x:v>61</x:v>
      </x:c>
      <x:c r="U1989" s="47" t="n">
        <x:v>33.4</x:v>
      </x:c>
      <x:c r="V1989" s="47" t="n">
        <x:v>13</x:v>
      </x:c>
      <x:c r="W1989" s="47" t="n">
        <x:v>59</x:v>
      </x:c>
      <x:c r="X1989" s="47" t="n">
        <x:v>712</x:v>
      </x:c>
      <x:c r="Y1989" s="41" t="n">
        <x:v>653</x:v>
      </x:c>
    </x:row>
    <x:row r="1990">
      <x:c r="A1990" s="38" t="str">
        <x:v>7月29日现场数据</x:v>
      </x:c>
      <x:c r="B1990" s="66" t="str">
        <x:v>2026-07-29T13:27:29.946000</x:v>
      </x:c>
      <x:c r="C1990" s="47" t="n">
        <x:v>300976</x:v>
      </x:c>
      <x:c r="D1990" s="47" t="str"/>
      <x:c r="E1990" s="47" t="str"/>
      <x:c r="F1990" s="47" t="str">
        <x:v>current</x:v>
      </x:c>
      <x:c r="G1990" s="47" t="n">
        <x:v>155</x:v>
      </x:c>
      <x:c r="H1990" s="53" t="b">
        <x:v>1</x:v>
      </x:c>
      <x:c r="I1990" s="47" t="str">
        <x:v>578202819</x:v>
      </x:c>
      <x:c r="J1990" s="47" t="n">
        <x:v>46678491</x:v>
      </x:c>
      <x:c r="K1990" s="53" t="b">
        <x:v>1</x:v>
      </x:c>
      <x:c r="L1990" s="53" t="b">
        <x:v>1</x:v>
      </x:c>
      <x:c r="M1990" s="53" t="b">
        <x:v>1</x:v>
      </x:c>
      <x:c r="N1990" s="53" t="b">
        <x:v>1</x:v>
      </x:c>
      <x:c r="O1990" s="53" t="b">
        <x:v>1</x:v>
      </x:c>
      <x:c r="P1990" s="47" t="n">
        <x:v>1011</x:v>
      </x:c>
      <x:c r="Q1990" s="47" t="n">
        <x:v>0</x:v>
      </x:c>
      <x:c r="R1990" s="47" t="n">
        <x:v>0</x:v>
      </x:c>
      <x:c r="S1990" s="47" t="n">
        <x:v>39.49</x:v>
      </x:c>
      <x:c r="T1990" s="47" t="n">
        <x:v>60.9</x:v>
      </x:c>
      <x:c r="U1990" s="47" t="n">
        <x:v>33.4</x:v>
      </x:c>
      <x:c r="V1990" s="47" t="n">
        <x:v>13</x:v>
      </x:c>
      <x:c r="W1990" s="47" t="n">
        <x:v>56</x:v>
      </x:c>
      <x:c r="X1990" s="47" t="n">
        <x:v>386</x:v>
      </x:c>
      <x:c r="Y1990" s="41" t="n">
        <x:v>330</x:v>
      </x:c>
    </x:row>
    <x:row r="1991">
      <x:c r="A1991" s="38" t="str">
        <x:v>7月29日现场数据</x:v>
      </x:c>
      <x:c r="B1991" s="66" t="str">
        <x:v>2026-07-29T13:32:30.921000</x:v>
      </x:c>
      <x:c r="C1991" s="47" t="n">
        <x:v>300975</x:v>
      </x:c>
      <x:c r="D1991" s="47" t="str"/>
      <x:c r="E1991" s="47" t="str"/>
      <x:c r="F1991" s="47" t="str">
        <x:v>current</x:v>
      </x:c>
      <x:c r="G1991" s="47" t="n">
        <x:v>156</x:v>
      </x:c>
      <x:c r="H1991" s="53" t="b">
        <x:v>1</x:v>
      </x:c>
      <x:c r="I1991" s="47" t="str">
        <x:v>578202819</x:v>
      </x:c>
      <x:c r="J1991" s="47" t="n">
        <x:v>46979466</x:v>
      </x:c>
      <x:c r="K1991" s="53" t="b">
        <x:v>1</x:v>
      </x:c>
      <x:c r="L1991" s="53" t="b">
        <x:v>1</x:v>
      </x:c>
      <x:c r="M1991" s="53" t="b">
        <x:v>1</x:v>
      </x:c>
      <x:c r="N1991" s="53" t="b">
        <x:v>1</x:v>
      </x:c>
      <x:c r="O1991" s="53" t="b">
        <x:v>1</x:v>
      </x:c>
      <x:c r="P1991" s="47" t="n">
        <x:v>1011</x:v>
      </x:c>
      <x:c r="Q1991" s="47" t="n">
        <x:v>0</x:v>
      </x:c>
      <x:c r="R1991" s="47" t="n">
        <x:v>0</x:v>
      </x:c>
      <x:c r="S1991" s="47" t="n">
        <x:v>39.45</x:v>
      </x:c>
      <x:c r="T1991" s="47" t="n">
        <x:v>60.93</x:v>
      </x:c>
      <x:c r="U1991" s="47" t="n">
        <x:v>33.4</x:v>
      </x:c>
      <x:c r="V1991" s="47" t="n">
        <x:v>13</x:v>
      </x:c>
      <x:c r="W1991" s="47" t="n">
        <x:v>53</x:v>
      </x:c>
      <x:c r="X1991" s="47" t="n">
        <x:v>385</x:v>
      </x:c>
      <x:c r="Y1991" s="41" t="n">
        <x:v>332</x:v>
      </x:c>
    </x:row>
    <x:row r="1992">
      <x:c r="A1992" s="38" t="str">
        <x:v>7月29日现场数据</x:v>
      </x:c>
      <x:c r="B1992" s="66" t="str">
        <x:v>2026-07-29T13:37:31.902000</x:v>
      </x:c>
      <x:c r="C1992" s="47" t="n">
        <x:v>300981</x:v>
      </x:c>
      <x:c r="D1992" s="47" t="str"/>
      <x:c r="E1992" s="47" t="str"/>
      <x:c r="F1992" s="47" t="str">
        <x:v>current</x:v>
      </x:c>
      <x:c r="G1992" s="47" t="n">
        <x:v>157</x:v>
      </x:c>
      <x:c r="H1992" s="53" t="b">
        <x:v>1</x:v>
      </x:c>
      <x:c r="I1992" s="47" t="str">
        <x:v>578202819</x:v>
      </x:c>
      <x:c r="J1992" s="47" t="n">
        <x:v>47280447</x:v>
      </x:c>
      <x:c r="K1992" s="53" t="b">
        <x:v>1</x:v>
      </x:c>
      <x:c r="L1992" s="53" t="b">
        <x:v>1</x:v>
      </x:c>
      <x:c r="M1992" s="53" t="b">
        <x:v>1</x:v>
      </x:c>
      <x:c r="N1992" s="53" t="b">
        <x:v>1</x:v>
      </x:c>
      <x:c r="O1992" s="53" t="b">
        <x:v>1</x:v>
      </x:c>
      <x:c r="P1992" s="47" t="n">
        <x:v>1011</x:v>
      </x:c>
      <x:c r="Q1992" s="47" t="n">
        <x:v>0</x:v>
      </x:c>
      <x:c r="R1992" s="47" t="n">
        <x:v>0</x:v>
      </x:c>
      <x:c r="S1992" s="47" t="n">
        <x:v>39.6</x:v>
      </x:c>
      <x:c r="T1992" s="47" t="n">
        <x:v>60.77</x:v>
      </x:c>
      <x:c r="U1992" s="47" t="n">
        <x:v>33.4</x:v>
      </x:c>
      <x:c r="V1992" s="47" t="n">
        <x:v>13</x:v>
      </x:c>
      <x:c r="W1992" s="47" t="n">
        <x:v>52</x:v>
      </x:c>
      <x:c r="X1992" s="47" t="n">
        <x:v>369</x:v>
      </x:c>
      <x:c r="Y1992" s="41" t="n">
        <x:v>317</x:v>
      </x:c>
    </x:row>
    <x:row r="1993">
      <x:c r="A1993" s="38" t="str">
        <x:v>7月29日现场数据</x:v>
      </x:c>
      <x:c r="B1993" s="66" t="str">
        <x:v>2026-07-29T13:42:32.884000</x:v>
      </x:c>
      <x:c r="C1993" s="47" t="n">
        <x:v>300982</x:v>
      </x:c>
      <x:c r="D1993" s="47" t="str"/>
      <x:c r="E1993" s="47" t="str"/>
      <x:c r="F1993" s="47" t="str">
        <x:v>current</x:v>
      </x:c>
      <x:c r="G1993" s="47" t="n">
        <x:v>158</x:v>
      </x:c>
      <x:c r="H1993" s="53" t="b">
        <x:v>1</x:v>
      </x:c>
      <x:c r="I1993" s="47" t="str">
        <x:v>578202819</x:v>
      </x:c>
      <x:c r="J1993" s="47" t="n">
        <x:v>47581429</x:v>
      </x:c>
      <x:c r="K1993" s="53" t="b">
        <x:v>1</x:v>
      </x:c>
      <x:c r="L1993" s="53" t="b">
        <x:v>1</x:v>
      </x:c>
      <x:c r="M1993" s="53" t="b">
        <x:v>1</x:v>
      </x:c>
      <x:c r="N1993" s="53" t="b">
        <x:v>1</x:v>
      </x:c>
      <x:c r="O1993" s="53" t="b">
        <x:v>1</x:v>
      </x:c>
      <x:c r="P1993" s="47" t="n">
        <x:v>1011</x:v>
      </x:c>
      <x:c r="Q1993" s="47" t="n">
        <x:v>0</x:v>
      </x:c>
      <x:c r="R1993" s="47" t="n">
        <x:v>0</x:v>
      </x:c>
      <x:c r="S1993" s="47" t="n">
        <x:v>39.11</x:v>
      </x:c>
      <x:c r="T1993" s="47" t="n">
        <x:v>60.64</x:v>
      </x:c>
      <x:c r="U1993" s="47" t="n">
        <x:v>33.4</x:v>
      </x:c>
      <x:c r="V1993" s="47" t="n">
        <x:v>12.9</x:v>
      </x:c>
      <x:c r="W1993" s="47" t="n">
        <x:v>13</x:v>
      </x:c>
      <x:c r="X1993" s="47" t="n">
        <x:v>57</x:v>
      </x:c>
      <x:c r="Y1993" s="41" t="n">
        <x:v>44</x:v>
      </x:c>
    </x:row>
    <x:row r="1994">
      <x:c r="A1994" s="38" t="str">
        <x:v>7月29日现场数据</x:v>
      </x:c>
      <x:c r="B1994" s="66" t="str">
        <x:v>2026-07-29T13:47:33.866000</x:v>
      </x:c>
      <x:c r="C1994" s="47" t="n">
        <x:v>300982</x:v>
      </x:c>
      <x:c r="D1994" s="47" t="str"/>
      <x:c r="E1994" s="47" t="str"/>
      <x:c r="F1994" s="47" t="str">
        <x:v>current</x:v>
      </x:c>
      <x:c r="G1994" s="47" t="n">
        <x:v>159</x:v>
      </x:c>
      <x:c r="H1994" s="53" t="b">
        <x:v>1</x:v>
      </x:c>
      <x:c r="I1994" s="47" t="str">
        <x:v>578202819</x:v>
      </x:c>
      <x:c r="J1994" s="47" t="n">
        <x:v>47882411</x:v>
      </x:c>
      <x:c r="K1994" s="53" t="b">
        <x:v>1</x:v>
      </x:c>
      <x:c r="L1994" s="53" t="b">
        <x:v>1</x:v>
      </x:c>
      <x:c r="M1994" s="53" t="b">
        <x:v>1</x:v>
      </x:c>
      <x:c r="N1994" s="53" t="b">
        <x:v>1</x:v>
      </x:c>
      <x:c r="O1994" s="53" t="b">
        <x:v>1</x:v>
      </x:c>
      <x:c r="P1994" s="47" t="n">
        <x:v>1011</x:v>
      </x:c>
      <x:c r="Q1994" s="47" t="n">
        <x:v>0</x:v>
      </x:c>
      <x:c r="R1994" s="47" t="n">
        <x:v>0</x:v>
      </x:c>
      <x:c r="S1994" s="47" t="n">
        <x:v>37.5</x:v>
      </x:c>
      <x:c r="T1994" s="47" t="n">
        <x:v>60.13</x:v>
      </x:c>
      <x:c r="U1994" s="47" t="n">
        <x:v>33.3</x:v>
      </x:c>
      <x:c r="V1994" s="47" t="n">
        <x:v>13</x:v>
      </x:c>
      <x:c r="W1994" s="47" t="n">
        <x:v>48</x:v>
      </x:c>
      <x:c r="X1994" s="47" t="n">
        <x:v>132</x:v>
      </x:c>
      <x:c r="Y1994" s="41" t="n">
        <x:v>84</x:v>
      </x:c>
    </x:row>
    <x:row r="1995">
      <x:c r="A1995" s="38" t="str">
        <x:v>7月29日现场数据</x:v>
      </x:c>
      <x:c r="B1995" s="66" t="str">
        <x:v>2026-07-29T13:52:34.848000</x:v>
      </x:c>
      <x:c r="C1995" s="47" t="n">
        <x:v>300982</x:v>
      </x:c>
      <x:c r="D1995" s="47" t="str"/>
      <x:c r="E1995" s="47" t="str"/>
      <x:c r="F1995" s="47" t="str">
        <x:v>current</x:v>
      </x:c>
      <x:c r="G1995" s="47" t="n">
        <x:v>160</x:v>
      </x:c>
      <x:c r="H1995" s="53" t="b">
        <x:v>1</x:v>
      </x:c>
      <x:c r="I1995" s="47" t="str">
        <x:v>578202819</x:v>
      </x:c>
      <x:c r="J1995" s="47" t="n">
        <x:v>48183393</x:v>
      </x:c>
      <x:c r="K1995" s="53" t="b">
        <x:v>1</x:v>
      </x:c>
      <x:c r="L1995" s="53" t="b">
        <x:v>1</x:v>
      </x:c>
      <x:c r="M1995" s="53" t="b">
        <x:v>1</x:v>
      </x:c>
      <x:c r="N1995" s="53" t="b">
        <x:v>1</x:v>
      </x:c>
      <x:c r="O1995" s="53" t="b">
        <x:v>1</x:v>
      </x:c>
      <x:c r="P1995" s="47" t="n">
        <x:v>1011</x:v>
      </x:c>
      <x:c r="Q1995" s="47" t="n">
        <x:v>0</x:v>
      </x:c>
      <x:c r="R1995" s="47" t="n">
        <x:v>0</x:v>
      </x:c>
      <x:c r="S1995" s="47" t="n">
        <x:v>38.65</x:v>
      </x:c>
      <x:c r="T1995" s="47" t="n">
        <x:v>60.07</x:v>
      </x:c>
      <x:c r="U1995" s="47" t="n">
        <x:v>33.3</x:v>
      </x:c>
      <x:c r="V1995" s="47" t="n">
        <x:v>13</x:v>
      </x:c>
      <x:c r="W1995" s="47" t="n">
        <x:v>46</x:v>
      </x:c>
      <x:c r="X1995" s="47" t="n">
        <x:v>125</x:v>
      </x:c>
      <x:c r="Y1995" s="41" t="n">
        <x:v>79</x:v>
      </x:c>
    </x:row>
    <x:row r="1996">
      <x:c r="A1996" s="38" t="str">
        <x:v>7月29日现场数据</x:v>
      </x:c>
      <x:c r="B1996" s="66" t="str">
        <x:v>2026-07-29T13:57:35.848000</x:v>
      </x:c>
      <x:c r="C1996" s="47" t="n">
        <x:v>301000</x:v>
      </x:c>
      <x:c r="D1996" s="47" t="str"/>
      <x:c r="E1996" s="47" t="str"/>
      <x:c r="F1996" s="47" t="str">
        <x:v>current</x:v>
      </x:c>
      <x:c r="G1996" s="47" t="n">
        <x:v>161</x:v>
      </x:c>
      <x:c r="H1996" s="53" t="b">
        <x:v>1</x:v>
      </x:c>
      <x:c r="I1996" s="47" t="str">
        <x:v>578202819</x:v>
      </x:c>
      <x:c r="J1996" s="47" t="n">
        <x:v>48484393</x:v>
      </x:c>
      <x:c r="K1996" s="53" t="b">
        <x:v>1</x:v>
      </x:c>
      <x:c r="L1996" s="53" t="b">
        <x:v>1</x:v>
      </x:c>
      <x:c r="M1996" s="53" t="b">
        <x:v>1</x:v>
      </x:c>
      <x:c r="N1996" s="53" t="b">
        <x:v>1</x:v>
      </x:c>
      <x:c r="O1996" s="53" t="b">
        <x:v>1</x:v>
      </x:c>
      <x:c r="P1996" s="47" t="n">
        <x:v>1011</x:v>
      </x:c>
      <x:c r="Q1996" s="47" t="n">
        <x:v>0</x:v>
      </x:c>
      <x:c r="R1996" s="47" t="n">
        <x:v>0</x:v>
      </x:c>
      <x:c r="S1996" s="47" t="n">
        <x:v>39.28</x:v>
      </x:c>
      <x:c r="T1996" s="47" t="n">
        <x:v>60.2</x:v>
      </x:c>
      <x:c r="U1996" s="47" t="n">
        <x:v>33.3</x:v>
      </x:c>
      <x:c r="V1996" s="47" t="n">
        <x:v>13</x:v>
      </x:c>
      <x:c r="W1996" s="47" t="n">
        <x:v>50</x:v>
      </x:c>
      <x:c r="X1996" s="47" t="n">
        <x:v>166</x:v>
      </x:c>
      <x:c r="Y1996" s="41" t="n">
        <x:v>116</x:v>
      </x:c>
    </x:row>
    <x:row r="1997">
      <x:c r="A1997" s="38" t="str">
        <x:v>7月29日现场数据</x:v>
      </x:c>
      <x:c r="B1997" s="66" t="str">
        <x:v>2026-07-29T14:02:36.824000</x:v>
      </x:c>
      <x:c r="C1997" s="47" t="n">
        <x:v>300976</x:v>
      </x:c>
      <x:c r="D1997" s="47" t="str"/>
      <x:c r="E1997" s="47" t="str"/>
      <x:c r="F1997" s="47" t="str">
        <x:v>current</x:v>
      </x:c>
      <x:c r="G1997" s="47" t="n">
        <x:v>162</x:v>
      </x:c>
      <x:c r="H1997" s="53" t="b">
        <x:v>1</x:v>
      </x:c>
      <x:c r="I1997" s="47" t="str">
        <x:v>578202819</x:v>
      </x:c>
      <x:c r="J1997" s="47" t="n">
        <x:v>48785369</x:v>
      </x:c>
      <x:c r="K1997" s="53" t="b">
        <x:v>1</x:v>
      </x:c>
      <x:c r="L1997" s="53" t="b">
        <x:v>1</x:v>
      </x:c>
      <x:c r="M1997" s="53" t="b">
        <x:v>1</x:v>
      </x:c>
      <x:c r="N1997" s="53" t="b">
        <x:v>1</x:v>
      </x:c>
      <x:c r="O1997" s="53" t="b">
        <x:v>1</x:v>
      </x:c>
      <x:c r="P1997" s="47" t="n">
        <x:v>1011</x:v>
      </x:c>
      <x:c r="Q1997" s="47" t="n">
        <x:v>0</x:v>
      </x:c>
      <x:c r="R1997" s="47" t="n">
        <x:v>0</x:v>
      </x:c>
      <x:c r="S1997" s="47" t="n">
        <x:v>39.16</x:v>
      </x:c>
      <x:c r="T1997" s="47" t="n">
        <x:v>60.2</x:v>
      </x:c>
      <x:c r="U1997" s="47" t="n">
        <x:v>33.3</x:v>
      </x:c>
      <x:c r="V1997" s="47" t="n">
        <x:v>12.9</x:v>
      </x:c>
      <x:c r="W1997" s="47" t="n">
        <x:v>38</x:v>
      </x:c>
      <x:c r="X1997" s="47" t="n">
        <x:v>159</x:v>
      </x:c>
      <x:c r="Y1997" s="41" t="n">
        <x:v>121</x:v>
      </x:c>
    </x:row>
    <x:row r="1998">
      <x:c r="A1998" s="38" t="str">
        <x:v>7月29日现场数据</x:v>
      </x:c>
      <x:c r="B1998" s="66" t="str">
        <x:v>2026-07-29T14:07:37.800000</x:v>
      </x:c>
      <x:c r="C1998" s="47" t="n">
        <x:v>300976</x:v>
      </x:c>
      <x:c r="D1998" s="47" t="str"/>
      <x:c r="E1998" s="47" t="str"/>
      <x:c r="F1998" s="47" t="str">
        <x:v>current</x:v>
      </x:c>
      <x:c r="G1998" s="47" t="n">
        <x:v>163</x:v>
      </x:c>
      <x:c r="H1998" s="53" t="b">
        <x:v>1</x:v>
      </x:c>
      <x:c r="I1998" s="47" t="str">
        <x:v>578202819</x:v>
      </x:c>
      <x:c r="J1998" s="47" t="n">
        <x:v>49086345</x:v>
      </x:c>
      <x:c r="K1998" s="53" t="b">
        <x:v>1</x:v>
      </x:c>
      <x:c r="L1998" s="53" t="b">
        <x:v>1</x:v>
      </x:c>
      <x:c r="M1998" s="53" t="b">
        <x:v>1</x:v>
      </x:c>
      <x:c r="N1998" s="53" t="b">
        <x:v>1</x:v>
      </x:c>
      <x:c r="O1998" s="53" t="b">
        <x:v>1</x:v>
      </x:c>
      <x:c r="P1998" s="47" t="n">
        <x:v>1011</x:v>
      </x:c>
      <x:c r="Q1998" s="47" t="n">
        <x:v>0</x:v>
      </x:c>
      <x:c r="R1998" s="47" t="n">
        <x:v>0</x:v>
      </x:c>
      <x:c r="S1998" s="47" t="n">
        <x:v>38.82</x:v>
      </x:c>
      <x:c r="T1998" s="47" t="n">
        <x:v>59.98</x:v>
      </x:c>
      <x:c r="U1998" s="47" t="n">
        <x:v>33.3</x:v>
      </x:c>
      <x:c r="V1998" s="47" t="n">
        <x:v>12.9</x:v>
      </x:c>
      <x:c r="W1998" s="47" t="n">
        <x:v>43</x:v>
      </x:c>
      <x:c r="X1998" s="47" t="n">
        <x:v>117</x:v>
      </x:c>
      <x:c r="Y1998" s="41" t="n">
        <x:v>74</x:v>
      </x:c>
    </x:row>
    <x:row r="1999">
      <x:c r="A1999" s="38" t="str">
        <x:v>7月29日现场数据</x:v>
      </x:c>
      <x:c r="B1999" s="66" t="str">
        <x:v>2026-07-29T14:12:38.780000</x:v>
      </x:c>
      <x:c r="C1999" s="47" t="n">
        <x:v>300980</x:v>
      </x:c>
      <x:c r="D1999" s="47" t="str"/>
      <x:c r="E1999" s="47" t="str"/>
      <x:c r="F1999" s="47" t="str">
        <x:v>current</x:v>
      </x:c>
      <x:c r="G1999" s="47" t="n">
        <x:v>164</x:v>
      </x:c>
      <x:c r="H1999" s="53" t="b">
        <x:v>1</x:v>
      </x:c>
      <x:c r="I1999" s="47" t="str">
        <x:v>578202819</x:v>
      </x:c>
      <x:c r="J1999" s="47" t="n">
        <x:v>49387325</x:v>
      </x:c>
      <x:c r="K1999" s="53" t="b">
        <x:v>1</x:v>
      </x:c>
      <x:c r="L1999" s="53" t="b">
        <x:v>1</x:v>
      </x:c>
      <x:c r="M1999" s="53" t="b">
        <x:v>1</x:v>
      </x:c>
      <x:c r="N1999" s="53" t="b">
        <x:v>1</x:v>
      </x:c>
      <x:c r="O1999" s="53" t="b">
        <x:v>1</x:v>
      </x:c>
      <x:c r="P1999" s="47" t="n">
        <x:v>1011</x:v>
      </x:c>
      <x:c r="Q1999" s="47" t="n">
        <x:v>0</x:v>
      </x:c>
      <x:c r="R1999" s="47" t="n">
        <x:v>0</x:v>
      </x:c>
      <x:c r="S1999" s="47" t="n">
        <x:v>39.08</x:v>
      </x:c>
      <x:c r="T1999" s="47" t="n">
        <x:v>59.89</x:v>
      </x:c>
      <x:c r="U1999" s="47" t="n">
        <x:v>33.3</x:v>
      </x:c>
      <x:c r="V1999" s="47" t="n">
        <x:v>12.9</x:v>
      </x:c>
      <x:c r="W1999" s="47" t="n">
        <x:v>45</x:v>
      </x:c>
      <x:c r="X1999" s="47" t="n">
        <x:v>117</x:v>
      </x:c>
      <x:c r="Y1999" s="41" t="n">
        <x:v>72</x:v>
      </x:c>
    </x:row>
    <x:row r="2000">
      <x:c r="A2000" s="38" t="str">
        <x:v>7月29日现场数据</x:v>
      </x:c>
      <x:c r="B2000" s="66" t="str">
        <x:v>2026-07-29T14:17:39.760000</x:v>
      </x:c>
      <x:c r="C2000" s="47" t="n">
        <x:v>300980</x:v>
      </x:c>
      <x:c r="D2000" s="47" t="str"/>
      <x:c r="E2000" s="47" t="str"/>
      <x:c r="F2000" s="47" t="str">
        <x:v>current</x:v>
      </x:c>
      <x:c r="G2000" s="47" t="n">
        <x:v>165</x:v>
      </x:c>
      <x:c r="H2000" s="53" t="b">
        <x:v>1</x:v>
      </x:c>
      <x:c r="I2000" s="47" t="str">
        <x:v>578202819</x:v>
      </x:c>
      <x:c r="J2000" s="47" t="n">
        <x:v>49688305</x:v>
      </x:c>
      <x:c r="K2000" s="53" t="b">
        <x:v>1</x:v>
      </x:c>
      <x:c r="L2000" s="53" t="b">
        <x:v>1</x:v>
      </x:c>
      <x:c r="M2000" s="53" t="b">
        <x:v>1</x:v>
      </x:c>
      <x:c r="N2000" s="53" t="b">
        <x:v>1</x:v>
      </x:c>
      <x:c r="O2000" s="53" t="b">
        <x:v>1</x:v>
      </x:c>
      <x:c r="P2000" s="47" t="n">
        <x:v>1011</x:v>
      </x:c>
      <x:c r="Q2000" s="47" t="n">
        <x:v>0.053</x:v>
      </x:c>
      <x:c r="R2000" s="47" t="n">
        <x:v>1.418</x:v>
      </x:c>
      <x:c r="S2000" s="47" t="n">
        <x:v>38.79</x:v>
      </x:c>
      <x:c r="T2000" s="47" t="n">
        <x:v>59.74</x:v>
      </x:c>
      <x:c r="U2000" s="47" t="n">
        <x:v>33.3</x:v>
      </x:c>
      <x:c r="V2000" s="47" t="n">
        <x:v>12.9</x:v>
      </x:c>
      <x:c r="W2000" s="47" t="n">
        <x:v>44</x:v>
      </x:c>
      <x:c r="X2000" s="47" t="n">
        <x:v>117</x:v>
      </x:c>
      <x:c r="Y2000" s="41" t="n">
        <x:v>73</x:v>
      </x:c>
    </x:row>
    <x:row r="2001">
      <x:c r="A2001" s="38" t="str">
        <x:v>7月29日现场数据</x:v>
      </x:c>
      <x:c r="B2001" s="66" t="str">
        <x:v>2026-07-29T14:22:40.774000</x:v>
      </x:c>
      <x:c r="C2001" s="47" t="n">
        <x:v>301014</x:v>
      </x:c>
      <x:c r="D2001" s="47" t="str"/>
      <x:c r="E2001" s="47" t="str"/>
      <x:c r="F2001" s="47" t="str">
        <x:v>current</x:v>
      </x:c>
      <x:c r="G2001" s="47" t="n">
        <x:v>166</x:v>
      </x:c>
      <x:c r="H2001" s="53" t="b">
        <x:v>1</x:v>
      </x:c>
      <x:c r="I2001" s="47" t="str">
        <x:v>578202819</x:v>
      </x:c>
      <x:c r="J2001" s="47" t="n">
        <x:v>49989319</x:v>
      </x:c>
      <x:c r="K2001" s="53" t="b">
        <x:v>1</x:v>
      </x:c>
      <x:c r="L2001" s="53" t="b">
        <x:v>1</x:v>
      </x:c>
      <x:c r="M2001" s="53" t="b">
        <x:v>1</x:v>
      </x:c>
      <x:c r="N2001" s="53" t="b">
        <x:v>1</x:v>
      </x:c>
      <x:c r="O2001" s="53" t="b">
        <x:v>1</x:v>
      </x:c>
      <x:c r="P2001" s="47" t="n">
        <x:v>1011</x:v>
      </x:c>
      <x:c r="Q2001" s="47" t="n">
        <x:v>0</x:v>
      </x:c>
      <x:c r="R2001" s="47" t="n">
        <x:v>0</x:v>
      </x:c>
      <x:c r="S2001" s="47" t="n">
        <x:v>39.35</x:v>
      </x:c>
      <x:c r="T2001" s="47" t="n">
        <x:v>59.75</x:v>
      </x:c>
      <x:c r="U2001" s="47" t="n">
        <x:v>33.3</x:v>
      </x:c>
      <x:c r="V2001" s="47" t="n">
        <x:v>12.9</x:v>
      </x:c>
      <x:c r="W2001" s="47" t="n">
        <x:v>41</x:v>
      </x:c>
      <x:c r="X2001" s="47" t="n">
        <x:v>111</x:v>
      </x:c>
      <x:c r="Y2001" s="41" t="n">
        <x:v>70</x:v>
      </x:c>
    </x:row>
    <x:row r="2002">
      <x:c r="A2002" s="38" t="str">
        <x:v>7月29日现场数据</x:v>
      </x:c>
      <x:c r="B2002" s="66" t="str">
        <x:v>2026-07-29T14:27:41.732000</x:v>
      </x:c>
      <x:c r="C2002" s="47" t="n">
        <x:v>300958</x:v>
      </x:c>
      <x:c r="D2002" s="47" t="str"/>
      <x:c r="E2002" s="47" t="str"/>
      <x:c r="F2002" s="47" t="str">
        <x:v>current</x:v>
      </x:c>
      <x:c r="G2002" s="47" t="n">
        <x:v>167</x:v>
      </x:c>
      <x:c r="H2002" s="53" t="b">
        <x:v>1</x:v>
      </x:c>
      <x:c r="I2002" s="47" t="str">
        <x:v>578202819</x:v>
      </x:c>
      <x:c r="J2002" s="47" t="n">
        <x:v>50290277</x:v>
      </x:c>
      <x:c r="K2002" s="53" t="b">
        <x:v>1</x:v>
      </x:c>
      <x:c r="L2002" s="53" t="b">
        <x:v>1</x:v>
      </x:c>
      <x:c r="M2002" s="53" t="b">
        <x:v>1</x:v>
      </x:c>
      <x:c r="N2002" s="53" t="b">
        <x:v>1</x:v>
      </x:c>
      <x:c r="O2002" s="53" t="b">
        <x:v>1</x:v>
      </x:c>
      <x:c r="P2002" s="47" t="n">
        <x:v>1011</x:v>
      </x:c>
      <x:c r="Q2002" s="47" t="n">
        <x:v>0</x:v>
      </x:c>
      <x:c r="R2002" s="47" t="n">
        <x:v>0</x:v>
      </x:c>
      <x:c r="S2002" s="47" t="n">
        <x:v>39.33</x:v>
      </x:c>
      <x:c r="T2002" s="47" t="n">
        <x:v>59.7</x:v>
      </x:c>
      <x:c r="U2002" s="47" t="n">
        <x:v>33.3</x:v>
      </x:c>
      <x:c r="V2002" s="47" t="n">
        <x:v>12.9</x:v>
      </x:c>
      <x:c r="W2002" s="47" t="n">
        <x:v>42</x:v>
      </x:c>
      <x:c r="X2002" s="47" t="n">
        <x:v>112</x:v>
      </x:c>
      <x:c r="Y2002" s="41" t="n">
        <x:v>70</x:v>
      </x:c>
    </x:row>
    <x:row r="2003">
      <x:c r="A2003" s="38" t="str">
        <x:v>7月29日现场数据</x:v>
      </x:c>
      <x:c r="B2003" s="66" t="str">
        <x:v>2026-07-29T14:32:42.680000</x:v>
      </x:c>
      <x:c r="C2003" s="47" t="n">
        <x:v>300948</x:v>
      </x:c>
      <x:c r="D2003" s="47" t="str"/>
      <x:c r="E2003" s="47" t="str"/>
      <x:c r="F2003" s="47" t="str">
        <x:v>current</x:v>
      </x:c>
      <x:c r="G2003" s="47" t="n">
        <x:v>168</x:v>
      </x:c>
      <x:c r="H2003" s="53" t="b">
        <x:v>1</x:v>
      </x:c>
      <x:c r="I2003" s="47" t="str">
        <x:v>578202819</x:v>
      </x:c>
      <x:c r="J2003" s="47" t="n">
        <x:v>50591225</x:v>
      </x:c>
      <x:c r="K2003" s="53" t="b">
        <x:v>1</x:v>
      </x:c>
      <x:c r="L2003" s="53" t="b">
        <x:v>1</x:v>
      </x:c>
      <x:c r="M2003" s="53" t="b">
        <x:v>1</x:v>
      </x:c>
      <x:c r="N2003" s="53" t="b">
        <x:v>1</x:v>
      </x:c>
      <x:c r="O2003" s="53" t="b">
        <x:v>1</x:v>
      </x:c>
      <x:c r="P2003" s="47" t="n">
        <x:v>1011</x:v>
      </x:c>
      <x:c r="Q2003" s="47" t="n">
        <x:v>0</x:v>
      </x:c>
      <x:c r="R2003" s="47" t="n">
        <x:v>0</x:v>
      </x:c>
      <x:c r="S2003" s="47" t="n">
        <x:v>39.04</x:v>
      </x:c>
      <x:c r="T2003" s="47" t="n">
        <x:v>59.58</x:v>
      </x:c>
      <x:c r="U2003" s="47" t="n">
        <x:v>33.3</x:v>
      </x:c>
      <x:c r="V2003" s="47" t="n">
        <x:v>12.9</x:v>
      </x:c>
      <x:c r="W2003" s="47" t="n">
        <x:v>42</x:v>
      </x:c>
      <x:c r="X2003" s="47" t="n">
        <x:v>109</x:v>
      </x:c>
      <x:c r="Y2003" s="41" t="n">
        <x:v>67</x:v>
      </x:c>
    </x:row>
    <x:row r="2004">
      <x:c r="A2004" s="38" t="str">
        <x:v>7月29日现场数据</x:v>
      </x:c>
      <x:c r="B2004" s="66" t="str">
        <x:v>2026-07-29T14:37:43.630000</x:v>
      </x:c>
      <x:c r="C2004" s="47" t="n">
        <x:v>300950</x:v>
      </x:c>
      <x:c r="D2004" s="47" t="str"/>
      <x:c r="E2004" s="47" t="str"/>
      <x:c r="F2004" s="47" t="str">
        <x:v>current</x:v>
      </x:c>
      <x:c r="G2004" s="47" t="n">
        <x:v>169</x:v>
      </x:c>
      <x:c r="H2004" s="53" t="b">
        <x:v>1</x:v>
      </x:c>
      <x:c r="I2004" s="47" t="str">
        <x:v>578202819</x:v>
      </x:c>
      <x:c r="J2004" s="47" t="n">
        <x:v>50892175</x:v>
      </x:c>
      <x:c r="K2004" s="53" t="b">
        <x:v>1</x:v>
      </x:c>
      <x:c r="L2004" s="53" t="b">
        <x:v>1</x:v>
      </x:c>
      <x:c r="M2004" s="53" t="b">
        <x:v>1</x:v>
      </x:c>
      <x:c r="N2004" s="53" t="b">
        <x:v>1</x:v>
      </x:c>
      <x:c r="O2004" s="53" t="b">
        <x:v>1</x:v>
      </x:c>
      <x:c r="P2004" s="47" t="n">
        <x:v>1011</x:v>
      </x:c>
      <x:c r="Q2004" s="47" t="n">
        <x:v>0</x:v>
      </x:c>
      <x:c r="R2004" s="47" t="n">
        <x:v>0</x:v>
      </x:c>
      <x:c r="S2004" s="47" t="n">
        <x:v>39.15</x:v>
      </x:c>
      <x:c r="T2004" s="47" t="n">
        <x:v>59.49</x:v>
      </x:c>
      <x:c r="U2004" s="47" t="n">
        <x:v>33.3</x:v>
      </x:c>
      <x:c r="V2004" s="47" t="n">
        <x:v>12.8</x:v>
      </x:c>
      <x:c r="W2004" s="47" t="n">
        <x:v>42</x:v>
      </x:c>
      <x:c r="X2004" s="47" t="n">
        <x:v>119</x:v>
      </x:c>
      <x:c r="Y2004" s="41" t="n">
        <x:v>77</x:v>
      </x:c>
    </x:row>
    <x:row r="2005">
      <x:c r="A2005" s="38" t="str">
        <x:v>7月29日现场数据</x:v>
      </x:c>
      <x:c r="B2005" s="66" t="str">
        <x:v>2026-07-29T14:42:44.582000</x:v>
      </x:c>
      <x:c r="C2005" s="47" t="n">
        <x:v>300952</x:v>
      </x:c>
      <x:c r="D2005" s="47" t="str"/>
      <x:c r="E2005" s="47" t="str"/>
      <x:c r="F2005" s="47" t="str">
        <x:v>current</x:v>
      </x:c>
      <x:c r="G2005" s="47" t="n">
        <x:v>170</x:v>
      </x:c>
      <x:c r="H2005" s="53" t="b">
        <x:v>1</x:v>
      </x:c>
      <x:c r="I2005" s="47" t="str">
        <x:v>578202819</x:v>
      </x:c>
      <x:c r="J2005" s="47" t="n">
        <x:v>51193127</x:v>
      </x:c>
      <x:c r="K2005" s="53" t="b">
        <x:v>1</x:v>
      </x:c>
      <x:c r="L2005" s="53" t="b">
        <x:v>1</x:v>
      </x:c>
      <x:c r="M2005" s="53" t="b">
        <x:v>1</x:v>
      </x:c>
      <x:c r="N2005" s="53" t="b">
        <x:v>1</x:v>
      </x:c>
      <x:c r="O2005" s="53" t="b">
        <x:v>1</x:v>
      </x:c>
      <x:c r="P2005" s="47" t="n">
        <x:v>1011</x:v>
      </x:c>
      <x:c r="Q2005" s="47" t="n">
        <x:v>0</x:v>
      </x:c>
      <x:c r="R2005" s="47" t="n">
        <x:v>0</x:v>
      </x:c>
      <x:c r="S2005" s="47" t="n">
        <x:v>39.27</x:v>
      </x:c>
      <x:c r="T2005" s="47" t="n">
        <x:v>59.37</x:v>
      </x:c>
      <x:c r="U2005" s="47" t="n">
        <x:v>33.3</x:v>
      </x:c>
      <x:c r="V2005" s="47" t="n">
        <x:v>12.9</x:v>
      </x:c>
      <x:c r="W2005" s="47" t="n">
        <x:v>43</x:v>
      </x:c>
      <x:c r="X2005" s="47" t="n">
        <x:v>130</x:v>
      </x:c>
      <x:c r="Y2005" s="41" t="n">
        <x:v>87</x:v>
      </x:c>
    </x:row>
    <x:row r="2006">
      <x:c r="A2006" s="38" t="str">
        <x:v>7月29日现场数据</x:v>
      </x:c>
      <x:c r="B2006" s="66" t="str">
        <x:v>2026-07-29T14:47:45.534000</x:v>
      </x:c>
      <x:c r="C2006" s="47" t="n">
        <x:v>300952</x:v>
      </x:c>
      <x:c r="D2006" s="47" t="str"/>
      <x:c r="E2006" s="47" t="str"/>
      <x:c r="F2006" s="47" t="str">
        <x:v>current</x:v>
      </x:c>
      <x:c r="G2006" s="47" t="n">
        <x:v>171</x:v>
      </x:c>
      <x:c r="H2006" s="53" t="b">
        <x:v>1</x:v>
      </x:c>
      <x:c r="I2006" s="47" t="str">
        <x:v>578202819</x:v>
      </x:c>
      <x:c r="J2006" s="47" t="n">
        <x:v>51494079</x:v>
      </x:c>
      <x:c r="K2006" s="53" t="b">
        <x:v>1</x:v>
      </x:c>
      <x:c r="L2006" s="53" t="b">
        <x:v>1</x:v>
      </x:c>
      <x:c r="M2006" s="53" t="b">
        <x:v>1</x:v>
      </x:c>
      <x:c r="N2006" s="53" t="b">
        <x:v>1</x:v>
      </x:c>
      <x:c r="O2006" s="53" t="b">
        <x:v>1</x:v>
      </x:c>
      <x:c r="P2006" s="47" t="n">
        <x:v>1010</x:v>
      </x:c>
      <x:c r="Q2006" s="47" t="n">
        <x:v>0</x:v>
      </x:c>
      <x:c r="R2006" s="47" t="n">
        <x:v>0</x:v>
      </x:c>
      <x:c r="S2006" s="47" t="n">
        <x:v>39.01</x:v>
      </x:c>
      <x:c r="T2006" s="47" t="n">
        <x:v>59.25</x:v>
      </x:c>
      <x:c r="U2006" s="47" t="n">
        <x:v>33.3</x:v>
      </x:c>
      <x:c r="V2006" s="47" t="n">
        <x:v>12.8</x:v>
      </x:c>
      <x:c r="W2006" s="47" t="n">
        <x:v>39</x:v>
      </x:c>
      <x:c r="X2006" s="47" t="n">
        <x:v>198</x:v>
      </x:c>
      <x:c r="Y2006" s="41" t="n">
        <x:v>159</x:v>
      </x:c>
    </x:row>
    <x:row r="2007">
      <x:c r="A2007" s="38" t="str">
        <x:v>7月29日现场数据</x:v>
      </x:c>
      <x:c r="B2007" s="66" t="str">
        <x:v>2026-07-29T14:52:46.490000</x:v>
      </x:c>
      <x:c r="C2007" s="47" t="n">
        <x:v>300956</x:v>
      </x:c>
      <x:c r="D2007" s="47" t="str"/>
      <x:c r="E2007" s="47" t="str"/>
      <x:c r="F2007" s="47" t="str">
        <x:v>current</x:v>
      </x:c>
      <x:c r="G2007" s="47" t="n">
        <x:v>172</x:v>
      </x:c>
      <x:c r="H2007" s="53" t="b">
        <x:v>1</x:v>
      </x:c>
      <x:c r="I2007" s="47" t="str">
        <x:v>578202819</x:v>
      </x:c>
      <x:c r="J2007" s="47" t="n">
        <x:v>51795035</x:v>
      </x:c>
      <x:c r="K2007" s="53" t="b">
        <x:v>1</x:v>
      </x:c>
      <x:c r="L2007" s="53" t="b">
        <x:v>1</x:v>
      </x:c>
      <x:c r="M2007" s="53" t="b">
        <x:v>1</x:v>
      </x:c>
      <x:c r="N2007" s="53" t="b">
        <x:v>1</x:v>
      </x:c>
      <x:c r="O2007" s="53" t="b">
        <x:v>1</x:v>
      </x:c>
      <x:c r="P2007" s="47" t="n">
        <x:v>1010</x:v>
      </x:c>
      <x:c r="Q2007" s="47" t="n">
        <x:v>0</x:v>
      </x:c>
      <x:c r="R2007" s="47" t="n">
        <x:v>0</x:v>
      </x:c>
      <x:c r="S2007" s="47" t="n">
        <x:v>39.23</x:v>
      </x:c>
      <x:c r="T2007" s="47" t="n">
        <x:v>59.35</x:v>
      </x:c>
      <x:c r="U2007" s="47" t="n">
        <x:v>33.3</x:v>
      </x:c>
      <x:c r="V2007" s="47" t="n">
        <x:v>12.8</x:v>
      </x:c>
      <x:c r="W2007" s="47" t="n">
        <x:v>11</x:v>
      </x:c>
      <x:c r="X2007" s="47" t="n">
        <x:v>50</x:v>
      </x:c>
      <x:c r="Y2007" s="41" t="n">
        <x:v>39</x:v>
      </x:c>
    </x:row>
    <x:row r="2008">
      <x:c r="A2008" s="38" t="str">
        <x:v>7月29日现场数据</x:v>
      </x:c>
      <x:c r="B2008" s="66" t="str">
        <x:v>2026-07-29T14:57:47.446000</x:v>
      </x:c>
      <x:c r="C2008" s="47" t="n">
        <x:v>300956</x:v>
      </x:c>
      <x:c r="D2008" s="47" t="str"/>
      <x:c r="E2008" s="47" t="str"/>
      <x:c r="F2008" s="47" t="str">
        <x:v>current</x:v>
      </x:c>
      <x:c r="G2008" s="47" t="n">
        <x:v>173</x:v>
      </x:c>
      <x:c r="H2008" s="53" t="b">
        <x:v>1</x:v>
      </x:c>
      <x:c r="I2008" s="47" t="str">
        <x:v>578202819</x:v>
      </x:c>
      <x:c r="J2008" s="47" t="n">
        <x:v>52095991</x:v>
      </x:c>
      <x:c r="K2008" s="53" t="b">
        <x:v>1</x:v>
      </x:c>
      <x:c r="L2008" s="53" t="b">
        <x:v>1</x:v>
      </x:c>
      <x:c r="M2008" s="53" t="b">
        <x:v>1</x:v>
      </x:c>
      <x:c r="N2008" s="53" t="b">
        <x:v>1</x:v>
      </x:c>
      <x:c r="O2008" s="53" t="b">
        <x:v>1</x:v>
      </x:c>
      <x:c r="P2008" s="47" t="n">
        <x:v>1011</x:v>
      </x:c>
      <x:c r="Q2008" s="47" t="n">
        <x:v>0</x:v>
      </x:c>
      <x:c r="R2008" s="47" t="n">
        <x:v>0</x:v>
      </x:c>
      <x:c r="S2008" s="47" t="n">
        <x:v>39.22</x:v>
      </x:c>
      <x:c r="T2008" s="47" t="n">
        <x:v>59.03</x:v>
      </x:c>
      <x:c r="U2008" s="47" t="n">
        <x:v>33.3</x:v>
      </x:c>
      <x:c r="V2008" s="47" t="n">
        <x:v>12.8</x:v>
      </x:c>
      <x:c r="W2008" s="47" t="n">
        <x:v>42</x:v>
      </x:c>
      <x:c r="X2008" s="47" t="n">
        <x:v>175</x:v>
      </x:c>
      <x:c r="Y2008" s="41" t="n">
        <x:v>133</x:v>
      </x:c>
    </x:row>
    <x:row r="2009">
      <x:c r="A2009" s="38" t="str">
        <x:v>7月29日现场数据</x:v>
      </x:c>
      <x:c r="B2009" s="66" t="str">
        <x:v>2026-07-29T15:02:48.407000</x:v>
      </x:c>
      <x:c r="C2009" s="47" t="n">
        <x:v>300961</x:v>
      </x:c>
      <x:c r="D2009" s="47" t="str"/>
      <x:c r="E2009" s="47" t="str"/>
      <x:c r="F2009" s="47" t="str">
        <x:v>current</x:v>
      </x:c>
      <x:c r="G2009" s="47" t="n">
        <x:v>174</x:v>
      </x:c>
      <x:c r="H2009" s="53" t="b">
        <x:v>1</x:v>
      </x:c>
      <x:c r="I2009" s="47" t="str">
        <x:v>578202819</x:v>
      </x:c>
      <x:c r="J2009" s="47" t="n">
        <x:v>52396952</x:v>
      </x:c>
      <x:c r="K2009" s="53" t="b">
        <x:v>1</x:v>
      </x:c>
      <x:c r="L2009" s="53" t="b">
        <x:v>1</x:v>
      </x:c>
      <x:c r="M2009" s="53" t="b">
        <x:v>1</x:v>
      </x:c>
      <x:c r="N2009" s="53" t="b">
        <x:v>1</x:v>
      </x:c>
      <x:c r="O2009" s="53" t="b">
        <x:v>1</x:v>
      </x:c>
      <x:c r="P2009" s="47" t="n">
        <x:v>1011</x:v>
      </x:c>
      <x:c r="Q2009" s="47" t="n">
        <x:v>0</x:v>
      </x:c>
      <x:c r="R2009" s="47" t="n">
        <x:v>0</x:v>
      </x:c>
      <x:c r="S2009" s="47" t="n">
        <x:v>39.59</x:v>
      </x:c>
      <x:c r="T2009" s="47" t="n">
        <x:v>59.04</x:v>
      </x:c>
      <x:c r="U2009" s="47" t="n">
        <x:v>33.3</x:v>
      </x:c>
      <x:c r="V2009" s="47" t="n">
        <x:v>12.8</x:v>
      </x:c>
      <x:c r="W2009" s="47" t="n">
        <x:v>45</x:v>
      </x:c>
      <x:c r="X2009" s="47" t="n">
        <x:v>135</x:v>
      </x:c>
      <x:c r="Y2009" s="41" t="n">
        <x:v>90</x:v>
      </x:c>
    </x:row>
    <x:row r="2010">
      <x:c r="A2010" s="38" t="str">
        <x:v>7月29日现场数据</x:v>
      </x:c>
      <x:c r="B2010" s="66" t="str">
        <x:v>2026-07-29T15:07:49.371000</x:v>
      </x:c>
      <x:c r="C2010" s="47" t="n">
        <x:v>300964</x:v>
      </x:c>
      <x:c r="D2010" s="47" t="str"/>
      <x:c r="E2010" s="47" t="str"/>
      <x:c r="F2010" s="47" t="str">
        <x:v>current</x:v>
      </x:c>
      <x:c r="G2010" s="47" t="n">
        <x:v>175</x:v>
      </x:c>
      <x:c r="H2010" s="53" t="b">
        <x:v>1</x:v>
      </x:c>
      <x:c r="I2010" s="47" t="str">
        <x:v>578202819</x:v>
      </x:c>
      <x:c r="J2010" s="47" t="n">
        <x:v>52697916</x:v>
      </x:c>
      <x:c r="K2010" s="53" t="b">
        <x:v>1</x:v>
      </x:c>
      <x:c r="L2010" s="53" t="b">
        <x:v>1</x:v>
      </x:c>
      <x:c r="M2010" s="53" t="b">
        <x:v>1</x:v>
      </x:c>
      <x:c r="N2010" s="53" t="b">
        <x:v>1</x:v>
      </x:c>
      <x:c r="O2010" s="53" t="b">
        <x:v>1</x:v>
      </x:c>
      <x:c r="P2010" s="47" t="n">
        <x:v>1010</x:v>
      </x:c>
      <x:c r="Q2010" s="47" t="n">
        <x:v>0</x:v>
      </x:c>
      <x:c r="R2010" s="47" t="n">
        <x:v>0</x:v>
      </x:c>
      <x:c r="S2010" s="47" t="n">
        <x:v>39.83</x:v>
      </x:c>
      <x:c r="T2010" s="47" t="n">
        <x:v>59.02</x:v>
      </x:c>
      <x:c r="U2010" s="47" t="n">
        <x:v>33.3</x:v>
      </x:c>
      <x:c r="V2010" s="47" t="n">
        <x:v>12.8</x:v>
      </x:c>
      <x:c r="W2010" s="47" t="n">
        <x:v>38</x:v>
      </x:c>
      <x:c r="X2010" s="47" t="n">
        <x:v>113</x:v>
      </x:c>
      <x:c r="Y2010" s="41" t="n">
        <x:v>75</x:v>
      </x:c>
    </x:row>
    <x:row r="2011">
      <x:c r="A2011" s="38" t="str">
        <x:v>7月29日现场数据</x:v>
      </x:c>
      <x:c r="B2011" s="66" t="str">
        <x:v>2026-07-29T15:12:50.336000</x:v>
      </x:c>
      <x:c r="C2011" s="47" t="n">
        <x:v>300965</x:v>
      </x:c>
      <x:c r="D2011" s="47" t="str"/>
      <x:c r="E2011" s="47" t="str"/>
      <x:c r="F2011" s="47" t="str">
        <x:v>current</x:v>
      </x:c>
      <x:c r="G2011" s="47" t="n">
        <x:v>176</x:v>
      </x:c>
      <x:c r="H2011" s="53" t="b">
        <x:v>1</x:v>
      </x:c>
      <x:c r="I2011" s="47" t="str">
        <x:v>578202819</x:v>
      </x:c>
      <x:c r="J2011" s="47" t="n">
        <x:v>52998881</x:v>
      </x:c>
      <x:c r="K2011" s="53" t="b">
        <x:v>1</x:v>
      </x:c>
      <x:c r="L2011" s="53" t="b">
        <x:v>1</x:v>
      </x:c>
      <x:c r="M2011" s="53" t="b">
        <x:v>1</x:v>
      </x:c>
      <x:c r="N2011" s="53" t="b">
        <x:v>1</x:v>
      </x:c>
      <x:c r="O2011" s="53" t="b">
        <x:v>1</x:v>
      </x:c>
      <x:c r="P2011" s="47" t="n">
        <x:v>1010</x:v>
      </x:c>
      <x:c r="Q2011" s="47" t="n">
        <x:v>0</x:v>
      </x:c>
      <x:c r="R2011" s="47" t="n">
        <x:v>0</x:v>
      </x:c>
      <x:c r="S2011" s="47" t="n">
        <x:v>39.61</x:v>
      </x:c>
      <x:c r="T2011" s="47" t="n">
        <x:v>58.9</x:v>
      </x:c>
      <x:c r="U2011" s="47" t="n">
        <x:v>33.3</x:v>
      </x:c>
      <x:c r="V2011" s="47" t="n">
        <x:v>12.8</x:v>
      </x:c>
      <x:c r="W2011" s="47" t="n">
        <x:v>44</x:v>
      </x:c>
      <x:c r="X2011" s="47" t="n">
        <x:v>135</x:v>
      </x:c>
      <x:c r="Y2011" s="41" t="n">
        <x:v>91</x:v>
      </x:c>
    </x:row>
    <x:row r="2012">
      <x:c r="A2012" s="38" t="str">
        <x:v>7月29日现场数据</x:v>
      </x:c>
      <x:c r="B2012" s="66" t="str">
        <x:v>2026-07-29T15:17:51.304000</x:v>
      </x:c>
      <x:c r="C2012" s="47" t="n">
        <x:v>300968</x:v>
      </x:c>
      <x:c r="D2012" s="47" t="str"/>
      <x:c r="E2012" s="47" t="str"/>
      <x:c r="F2012" s="47" t="str">
        <x:v>current</x:v>
      </x:c>
      <x:c r="G2012" s="47" t="n">
        <x:v>177</x:v>
      </x:c>
      <x:c r="H2012" s="53" t="b">
        <x:v>1</x:v>
      </x:c>
      <x:c r="I2012" s="47" t="str">
        <x:v>578202819</x:v>
      </x:c>
      <x:c r="J2012" s="47" t="n">
        <x:v>53299849</x:v>
      </x:c>
      <x:c r="K2012" s="53" t="b">
        <x:v>1</x:v>
      </x:c>
      <x:c r="L2012" s="53" t="b">
        <x:v>1</x:v>
      </x:c>
      <x:c r="M2012" s="53" t="b">
        <x:v>1</x:v>
      </x:c>
      <x:c r="N2012" s="53" t="b">
        <x:v>1</x:v>
      </x:c>
      <x:c r="O2012" s="53" t="b">
        <x:v>1</x:v>
      </x:c>
      <x:c r="P2012" s="47" t="n">
        <x:v>1010</x:v>
      </x:c>
      <x:c r="Q2012" s="47" t="n">
        <x:v>0</x:v>
      </x:c>
      <x:c r="R2012" s="47" t="n">
        <x:v>0</x:v>
      </x:c>
      <x:c r="S2012" s="47" t="n">
        <x:v>39.87</x:v>
      </x:c>
      <x:c r="T2012" s="47" t="n">
        <x:v>58.81</x:v>
      </x:c>
      <x:c r="U2012" s="47" t="n">
        <x:v>33.3</x:v>
      </x:c>
      <x:c r="V2012" s="47" t="n">
        <x:v>12.8</x:v>
      </x:c>
      <x:c r="W2012" s="47" t="n">
        <x:v>44</x:v>
      </x:c>
      <x:c r="X2012" s="47" t="n">
        <x:v>175</x:v>
      </x:c>
      <x:c r="Y2012" s="41" t="n">
        <x:v>131</x:v>
      </x:c>
    </x:row>
    <x:row r="2013">
      <x:c r="A2013" s="38" t="str">
        <x:v>7月29日现场数据</x:v>
      </x:c>
      <x:c r="B2013" s="66" t="str">
        <x:v>2026-07-29T15:22:52.271000</x:v>
      </x:c>
      <x:c r="C2013" s="47" t="n">
        <x:v>300967</x:v>
      </x:c>
      <x:c r="D2013" s="47" t="str"/>
      <x:c r="E2013" s="47" t="str"/>
      <x:c r="F2013" s="47" t="str">
        <x:v>current</x:v>
      </x:c>
      <x:c r="G2013" s="47" t="n">
        <x:v>178</x:v>
      </x:c>
      <x:c r="H2013" s="53" t="b">
        <x:v>1</x:v>
      </x:c>
      <x:c r="I2013" s="47" t="str">
        <x:v>578202819</x:v>
      </x:c>
      <x:c r="J2013" s="47" t="n">
        <x:v>53600816</x:v>
      </x:c>
      <x:c r="K2013" s="53" t="b">
        <x:v>1</x:v>
      </x:c>
      <x:c r="L2013" s="53" t="b">
        <x:v>1</x:v>
      </x:c>
      <x:c r="M2013" s="53" t="b">
        <x:v>1</x:v>
      </x:c>
      <x:c r="N2013" s="53" t="b">
        <x:v>1</x:v>
      </x:c>
      <x:c r="O2013" s="53" t="b">
        <x:v>1</x:v>
      </x:c>
      <x:c r="P2013" s="47" t="n">
        <x:v>1010</x:v>
      </x:c>
      <x:c r="Q2013" s="47" t="n">
        <x:v>0</x:v>
      </x:c>
      <x:c r="R2013" s="47" t="n">
        <x:v>0</x:v>
      </x:c>
      <x:c r="S2013" s="47" t="n">
        <x:v>40.18</x:v>
      </x:c>
      <x:c r="T2013" s="47" t="n">
        <x:v>58.81</x:v>
      </x:c>
      <x:c r="U2013" s="47" t="n">
        <x:v>33.3</x:v>
      </x:c>
      <x:c r="V2013" s="47" t="n">
        <x:v>12.8</x:v>
      </x:c>
      <x:c r="W2013" s="47" t="n">
        <x:v>41</x:v>
      </x:c>
      <x:c r="X2013" s="47" t="n">
        <x:v>128</x:v>
      </x:c>
      <x:c r="Y2013" s="41" t="n">
        <x:v>87</x:v>
      </x:c>
    </x:row>
    <x:row r="2014">
      <x:c r="A2014" s="38" t="str">
        <x:v>7月29日现场数据</x:v>
      </x:c>
      <x:c r="B2014" s="66" t="str">
        <x:v>2026-07-29T15:28:09.931000</x:v>
      </x:c>
      <x:c r="C2014" s="47" t="n">
        <x:v>317660</x:v>
      </x:c>
      <x:c r="D2014" s="47" t="str"/>
      <x:c r="E2014" s="47" t="str"/>
      <x:c r="F2014" s="47" t="str">
        <x:v>current</x:v>
      </x:c>
      <x:c r="G2014" s="47" t="n">
        <x:v>179</x:v>
      </x:c>
      <x:c r="H2014" s="53" t="b">
        <x:v>1</x:v>
      </x:c>
      <x:c r="I2014" s="47" t="str">
        <x:v>578202819</x:v>
      </x:c>
      <x:c r="J2014" s="47" t="n">
        <x:v>53918476</x:v>
      </x:c>
      <x:c r="K2014" s="53" t="b">
        <x:v>1</x:v>
      </x:c>
      <x:c r="L2014" s="53" t="b">
        <x:v>1</x:v>
      </x:c>
      <x:c r="M2014" s="53" t="b">
        <x:v>1</x:v>
      </x:c>
      <x:c r="N2014" s="53" t="b">
        <x:v>1</x:v>
      </x:c>
      <x:c r="O2014" s="53" t="b">
        <x:v>1</x:v>
      </x:c>
      <x:c r="P2014" s="47" t="n">
        <x:v>1010</x:v>
      </x:c>
      <x:c r="Q2014" s="47" t="n">
        <x:v>0</x:v>
      </x:c>
      <x:c r="R2014" s="47" t="n">
        <x:v>0</x:v>
      </x:c>
      <x:c r="S2014" s="47" t="n">
        <x:v>39.61</x:v>
      </x:c>
      <x:c r="T2014" s="47" t="n">
        <x:v>58.62</x:v>
      </x:c>
      <x:c r="U2014" s="47" t="n">
        <x:v>33.3</x:v>
      </x:c>
      <x:c r="V2014" s="47" t="n">
        <x:v>12.8</x:v>
      </x:c>
      <x:c r="W2014" s="47" t="n">
        <x:v>42</x:v>
      </x:c>
      <x:c r="X2014" s="47" t="n">
        <x:v>209</x:v>
      </x:c>
      <x:c r="Y2014" s="41" t="n">
        <x:v>167</x:v>
      </x:c>
    </x:row>
    <x:row r="2015">
      <x:c r="A2015" s="38" t="str">
        <x:v>7月29日现场数据</x:v>
      </x:c>
      <x:c r="B2015" s="66" t="str">
        <x:v>2026-07-29T15:33:10.904000</x:v>
      </x:c>
      <x:c r="C2015" s="47" t="n">
        <x:v>300973</x:v>
      </x:c>
      <x:c r="D2015" s="47" t="str"/>
      <x:c r="E2015" s="47" t="str"/>
      <x:c r="F2015" s="47" t="str">
        <x:v>current</x:v>
      </x:c>
      <x:c r="G2015" s="47" t="n">
        <x:v>180</x:v>
      </x:c>
      <x:c r="H2015" s="53" t="b">
        <x:v>1</x:v>
      </x:c>
      <x:c r="I2015" s="47" t="str">
        <x:v>578202819</x:v>
      </x:c>
      <x:c r="J2015" s="47" t="n">
        <x:v>54219449</x:v>
      </x:c>
      <x:c r="K2015" s="53" t="b">
        <x:v>1</x:v>
      </x:c>
      <x:c r="L2015" s="53" t="b">
        <x:v>1</x:v>
      </x:c>
      <x:c r="M2015" s="53" t="b">
        <x:v>1</x:v>
      </x:c>
      <x:c r="N2015" s="53" t="b">
        <x:v>1</x:v>
      </x:c>
      <x:c r="O2015" s="53" t="b">
        <x:v>1</x:v>
      </x:c>
      <x:c r="P2015" s="47" t="n">
        <x:v>1010</x:v>
      </x:c>
      <x:c r="Q2015" s="47" t="n">
        <x:v>0</x:v>
      </x:c>
      <x:c r="R2015" s="47" t="n">
        <x:v>0</x:v>
      </x:c>
      <x:c r="S2015" s="47" t="n">
        <x:v>39.68</x:v>
      </x:c>
      <x:c r="T2015" s="47" t="n">
        <x:v>58.45</x:v>
      </x:c>
      <x:c r="U2015" s="47" t="n">
        <x:v>33.3</x:v>
      </x:c>
      <x:c r="V2015" s="47" t="n">
        <x:v>12.8</x:v>
      </x:c>
      <x:c r="W2015" s="47" t="n">
        <x:v>43</x:v>
      </x:c>
      <x:c r="X2015" s="47" t="n">
        <x:v>128</x:v>
      </x:c>
      <x:c r="Y2015" s="41" t="n">
        <x:v>85</x:v>
      </x:c>
    </x:row>
    <x:row r="2016">
      <x:c r="A2016" s="38" t="str">
        <x:v>7月29日现场数据</x:v>
      </x:c>
      <x:c r="B2016" s="66" t="str">
        <x:v>2026-07-29T15:38:11.877000</x:v>
      </x:c>
      <x:c r="C2016" s="47" t="n">
        <x:v>300973</x:v>
      </x:c>
      <x:c r="D2016" s="47" t="str"/>
      <x:c r="E2016" s="47" t="str"/>
      <x:c r="F2016" s="47" t="str">
        <x:v>current</x:v>
      </x:c>
      <x:c r="G2016" s="47" t="n">
        <x:v>181</x:v>
      </x:c>
      <x:c r="H2016" s="53" t="b">
        <x:v>1</x:v>
      </x:c>
      <x:c r="I2016" s="47" t="str">
        <x:v>578202819</x:v>
      </x:c>
      <x:c r="J2016" s="47" t="n">
        <x:v>54520422</x:v>
      </x:c>
      <x:c r="K2016" s="53" t="b">
        <x:v>1</x:v>
      </x:c>
      <x:c r="L2016" s="53" t="b">
        <x:v>1</x:v>
      </x:c>
      <x:c r="M2016" s="53" t="b">
        <x:v>1</x:v>
      </x:c>
      <x:c r="N2016" s="53" t="b">
        <x:v>1</x:v>
      </x:c>
      <x:c r="O2016" s="53" t="b">
        <x:v>1</x:v>
      </x:c>
      <x:c r="P2016" s="47" t="n">
        <x:v>1010</x:v>
      </x:c>
      <x:c r="Q2016" s="47" t="n">
        <x:v>0</x:v>
      </x:c>
      <x:c r="R2016" s="47" t="n">
        <x:v>0</x:v>
      </x:c>
      <x:c r="S2016" s="47" t="n">
        <x:v>39.41</x:v>
      </x:c>
      <x:c r="T2016" s="47" t="n">
        <x:v>58.24</x:v>
      </x:c>
      <x:c r="U2016" s="47" t="n">
        <x:v>33.3</x:v>
      </x:c>
      <x:c r="V2016" s="47" t="n">
        <x:v>12.7</x:v>
      </x:c>
      <x:c r="W2016" s="47" t="n">
        <x:v>42</x:v>
      </x:c>
      <x:c r="X2016" s="47" t="n">
        <x:v>126</x:v>
      </x:c>
      <x:c r="Y2016" s="41" t="n">
        <x:v>84</x:v>
      </x:c>
    </x:row>
    <x:row r="2017">
      <x:c r="A2017" s="38" t="str">
        <x:v>7月29日现场数据</x:v>
      </x:c>
      <x:c r="B2017" s="66" t="str">
        <x:v>2026-07-29T15:43:12.884000</x:v>
      </x:c>
      <x:c r="C2017" s="47" t="n">
        <x:v>301007</x:v>
      </x:c>
      <x:c r="D2017" s="47" t="str"/>
      <x:c r="E2017" s="47" t="str"/>
      <x:c r="F2017" s="47" t="str">
        <x:v>current</x:v>
      </x:c>
      <x:c r="G2017" s="47" t="n">
        <x:v>182</x:v>
      </x:c>
      <x:c r="H2017" s="53" t="b">
        <x:v>1</x:v>
      </x:c>
      <x:c r="I2017" s="47" t="str">
        <x:v>578202819</x:v>
      </x:c>
      <x:c r="J2017" s="47" t="n">
        <x:v>54821429</x:v>
      </x:c>
      <x:c r="K2017" s="53" t="b">
        <x:v>1</x:v>
      </x:c>
      <x:c r="L2017" s="53" t="b">
        <x:v>1</x:v>
      </x:c>
      <x:c r="M2017" s="53" t="b">
        <x:v>1</x:v>
      </x:c>
      <x:c r="N2017" s="53" t="b">
        <x:v>1</x:v>
      </x:c>
      <x:c r="O2017" s="53" t="b">
        <x:v>1</x:v>
      </x:c>
      <x:c r="P2017" s="47" t="n">
        <x:v>1010</x:v>
      </x:c>
      <x:c r="Q2017" s="47" t="n">
        <x:v>0.094</x:v>
      </x:c>
      <x:c r="R2017" s="47" t="n">
        <x:v>2.538</x:v>
      </x:c>
      <x:c r="S2017" s="47" t="n">
        <x:v>39.33</x:v>
      </x:c>
      <x:c r="T2017" s="47" t="n">
        <x:v>58.16</x:v>
      </x:c>
      <x:c r="U2017" s="47" t="n">
        <x:v>33.3</x:v>
      </x:c>
      <x:c r="V2017" s="47" t="n">
        <x:v>12.7</x:v>
      </x:c>
      <x:c r="W2017" s="47" t="n">
        <x:v>41</x:v>
      </x:c>
      <x:c r="X2017" s="47" t="n">
        <x:v>135</x:v>
      </x:c>
      <x:c r="Y2017" s="41" t="n">
        <x:v>94</x:v>
      </x:c>
    </x:row>
    <x:row r="2018">
      <x:c r="A2018" s="38" t="str">
        <x:v>7月29日现场数据</x:v>
      </x:c>
      <x:c r="B2018" s="66" t="str">
        <x:v>2026-07-29T15:48:13.832000</x:v>
      </x:c>
      <x:c r="C2018" s="47" t="n">
        <x:v>300948</x:v>
      </x:c>
      <x:c r="D2018" s="47" t="str"/>
      <x:c r="E2018" s="47" t="str"/>
      <x:c r="F2018" s="47" t="str">
        <x:v>current</x:v>
      </x:c>
      <x:c r="G2018" s="47" t="n">
        <x:v>183</x:v>
      </x:c>
      <x:c r="H2018" s="53" t="b">
        <x:v>1</x:v>
      </x:c>
      <x:c r="I2018" s="47" t="str">
        <x:v>578202819</x:v>
      </x:c>
      <x:c r="J2018" s="47" t="n">
        <x:v>55122377</x:v>
      </x:c>
      <x:c r="K2018" s="53" t="b">
        <x:v>1</x:v>
      </x:c>
      <x:c r="L2018" s="53" t="b">
        <x:v>1</x:v>
      </x:c>
      <x:c r="M2018" s="53" t="b">
        <x:v>1</x:v>
      </x:c>
      <x:c r="N2018" s="53" t="b">
        <x:v>1</x:v>
      </x:c>
      <x:c r="O2018" s="53" t="b">
        <x:v>1</x:v>
      </x:c>
      <x:c r="P2018" s="47" t="n">
        <x:v>1010</x:v>
      </x:c>
      <x:c r="Q2018" s="47" t="n">
        <x:v>0</x:v>
      </x:c>
      <x:c r="R2018" s="47" t="n">
        <x:v>0</x:v>
      </x:c>
      <x:c r="S2018" s="47" t="n">
        <x:v>39.23</x:v>
      </x:c>
      <x:c r="T2018" s="47" t="n">
        <x:v>58.04</x:v>
      </x:c>
      <x:c r="U2018" s="47" t="n">
        <x:v>33.3</x:v>
      </x:c>
      <x:c r="V2018" s="47" t="n">
        <x:v>12.7</x:v>
      </x:c>
      <x:c r="W2018" s="47" t="n">
        <x:v>8</x:v>
      </x:c>
      <x:c r="X2018" s="47" t="n">
        <x:v>34</x:v>
      </x:c>
      <x:c r="Y2018" s="41" t="n">
        <x:v>26</x:v>
      </x:c>
    </x:row>
    <x:row r="2019">
      <x:c r="A2019" s="38" t="str">
        <x:v>7月29日现场数据</x:v>
      </x:c>
      <x:c r="B2019" s="66" t="str">
        <x:v>2026-07-29T15:53:14.783000</x:v>
      </x:c>
      <x:c r="C2019" s="47" t="n">
        <x:v>300951</x:v>
      </x:c>
      <x:c r="D2019" s="47" t="str"/>
      <x:c r="E2019" s="47" t="str"/>
      <x:c r="F2019" s="47" t="str">
        <x:v>current</x:v>
      </x:c>
      <x:c r="G2019" s="47" t="n">
        <x:v>184</x:v>
      </x:c>
      <x:c r="H2019" s="53" t="b">
        <x:v>1</x:v>
      </x:c>
      <x:c r="I2019" s="47" t="str">
        <x:v>578202819</x:v>
      </x:c>
      <x:c r="J2019" s="47" t="n">
        <x:v>55423328</x:v>
      </x:c>
      <x:c r="K2019" s="53" t="b">
        <x:v>1</x:v>
      </x:c>
      <x:c r="L2019" s="53" t="b">
        <x:v>1</x:v>
      </x:c>
      <x:c r="M2019" s="53" t="b">
        <x:v>1</x:v>
      </x:c>
      <x:c r="N2019" s="53" t="b">
        <x:v>1</x:v>
      </x:c>
      <x:c r="O2019" s="53" t="b">
        <x:v>1</x:v>
      </x:c>
      <x:c r="P2019" s="47" t="n">
        <x:v>1010</x:v>
      </x:c>
      <x:c r="Q2019" s="47" t="n">
        <x:v>0</x:v>
      </x:c>
      <x:c r="R2019" s="47" t="n">
        <x:v>0</x:v>
      </x:c>
      <x:c r="S2019" s="47" t="n">
        <x:v>38.05</x:v>
      </x:c>
      <x:c r="T2019" s="47" t="n">
        <x:v>57.62</x:v>
      </x:c>
      <x:c r="U2019" s="47" t="n">
        <x:v>33.2</x:v>
      </x:c>
      <x:c r="V2019" s="47" t="n">
        <x:v>12.7</x:v>
      </x:c>
      <x:c r="W2019" s="47" t="n">
        <x:v>7</x:v>
      </x:c>
      <x:c r="X2019" s="47" t="n">
        <x:v>27</x:v>
      </x:c>
      <x:c r="Y2019" s="41" t="n">
        <x:v>20</x:v>
      </x:c>
    </x:row>
    <x:row r="2020">
      <x:c r="A2020" s="38" t="str">
        <x:v>7月29日现场数据</x:v>
      </x:c>
      <x:c r="B2020" s="66" t="str">
        <x:v>2026-07-29T15:58:15.734000</x:v>
      </x:c>
      <x:c r="C2020" s="47" t="n">
        <x:v>300951</x:v>
      </x:c>
      <x:c r="D2020" s="47" t="str"/>
      <x:c r="E2020" s="47" t="str"/>
      <x:c r="F2020" s="47" t="str">
        <x:v>current</x:v>
      </x:c>
      <x:c r="G2020" s="47" t="n">
        <x:v>185</x:v>
      </x:c>
      <x:c r="H2020" s="53" t="b">
        <x:v>1</x:v>
      </x:c>
      <x:c r="I2020" s="47" t="str">
        <x:v>578202819</x:v>
      </x:c>
      <x:c r="J2020" s="47" t="n">
        <x:v>55724279</x:v>
      </x:c>
      <x:c r="K2020" s="53" t="b">
        <x:v>1</x:v>
      </x:c>
      <x:c r="L2020" s="53" t="b">
        <x:v>1</x:v>
      </x:c>
      <x:c r="M2020" s="53" t="b">
        <x:v>1</x:v>
      </x:c>
      <x:c r="N2020" s="53" t="b">
        <x:v>1</x:v>
      </x:c>
      <x:c r="O2020" s="53" t="b">
        <x:v>1</x:v>
      </x:c>
      <x:c r="P2020" s="47" t="n">
        <x:v>1010</x:v>
      </x:c>
      <x:c r="Q2020" s="47" t="n">
        <x:v>0</x:v>
      </x:c>
      <x:c r="R2020" s="47" t="n">
        <x:v>0</x:v>
      </x:c>
      <x:c r="S2020" s="47" t="n">
        <x:v>37.37</x:v>
      </x:c>
      <x:c r="T2020" s="47" t="n">
        <x:v>57.34</x:v>
      </x:c>
      <x:c r="U2020" s="47" t="n">
        <x:v>33.2</x:v>
      </x:c>
      <x:c r="V2020" s="47" t="n">
        <x:v>13.1</x:v>
      </x:c>
      <x:c r="W2020" s="47" t="n">
        <x:v>7</x:v>
      </x:c>
      <x:c r="X2020" s="47" t="n">
        <x:v>31</x:v>
      </x:c>
      <x:c r="Y2020" s="41" t="n">
        <x:v>24</x:v>
      </x:c>
    </x:row>
    <x:row r="2021">
      <x:c r="A2021" s="38" t="str">
        <x:v>7月29日现场数据</x:v>
      </x:c>
      <x:c r="B2021" s="66" t="str">
        <x:v>2026-07-29T16:03:16.686000</x:v>
      </x:c>
      <x:c r="C2021" s="47" t="n">
        <x:v>300952</x:v>
      </x:c>
      <x:c r="D2021" s="47" t="str"/>
      <x:c r="E2021" s="47" t="str"/>
      <x:c r="F2021" s="47" t="str">
        <x:v>current</x:v>
      </x:c>
      <x:c r="G2021" s="47" t="n">
        <x:v>186</x:v>
      </x:c>
      <x:c r="H2021" s="53" t="b">
        <x:v>1</x:v>
      </x:c>
      <x:c r="I2021" s="47" t="str">
        <x:v>578202819</x:v>
      </x:c>
      <x:c r="J2021" s="47" t="n">
        <x:v>56025231</x:v>
      </x:c>
      <x:c r="K2021" s="53" t="b">
        <x:v>1</x:v>
      </x:c>
      <x:c r="L2021" s="53" t="b">
        <x:v>1</x:v>
      </x:c>
      <x:c r="M2021" s="53" t="b">
        <x:v>1</x:v>
      </x:c>
      <x:c r="N2021" s="53" t="b">
        <x:v>1</x:v>
      </x:c>
      <x:c r="O2021" s="53" t="b">
        <x:v>1</x:v>
      </x:c>
      <x:c r="P2021" s="47" t="n">
        <x:v>1010</x:v>
      </x:c>
      <x:c r="Q2021" s="47" t="n">
        <x:v>0.01</x:v>
      </x:c>
      <x:c r="R2021" s="47" t="n">
        <x:v>0.264</x:v>
      </x:c>
      <x:c r="S2021" s="47" t="n">
        <x:v>36.99</x:v>
      </x:c>
      <x:c r="T2021" s="47" t="n">
        <x:v>57.12</x:v>
      </x:c>
      <x:c r="U2021" s="47" t="n">
        <x:v>33.2</x:v>
      </x:c>
      <x:c r="V2021" s="47" t="n">
        <x:v>13.1</x:v>
      </x:c>
      <x:c r="W2021" s="47" t="n">
        <x:v>14</x:v>
      </x:c>
      <x:c r="X2021" s="47" t="n">
        <x:v>52</x:v>
      </x:c>
      <x:c r="Y2021" s="41" t="n">
        <x:v>38</x:v>
      </x:c>
    </x:row>
    <x:row r="2022">
      <x:c r="A2022" s="38" t="str">
        <x:v>7月29日现场数据</x:v>
      </x:c>
      <x:c r="B2022" s="66" t="str">
        <x:v>2026-07-29T16:08:17.642000</x:v>
      </x:c>
      <x:c r="C2022" s="47" t="n">
        <x:v>300956</x:v>
      </x:c>
      <x:c r="D2022" s="47" t="str"/>
      <x:c r="E2022" s="47" t="str"/>
      <x:c r="F2022" s="47" t="str">
        <x:v>current</x:v>
      </x:c>
      <x:c r="G2022" s="47" t="n">
        <x:v>187</x:v>
      </x:c>
      <x:c r="H2022" s="53" t="b">
        <x:v>1</x:v>
      </x:c>
      <x:c r="I2022" s="47" t="str">
        <x:v>578202819</x:v>
      </x:c>
      <x:c r="J2022" s="47" t="n">
        <x:v>56326187</x:v>
      </x:c>
      <x:c r="K2022" s="53" t="b">
        <x:v>1</x:v>
      </x:c>
      <x:c r="L2022" s="53" t="b">
        <x:v>1</x:v>
      </x:c>
      <x:c r="M2022" s="53" t="b">
        <x:v>1</x:v>
      </x:c>
      <x:c r="N2022" s="53" t="b">
        <x:v>1</x:v>
      </x:c>
      <x:c r="O2022" s="53" t="b">
        <x:v>1</x:v>
      </x:c>
      <x:c r="P2022" s="47" t="n">
        <x:v>1010</x:v>
      </x:c>
      <x:c r="Q2022" s="47" t="n">
        <x:v>0</x:v>
      </x:c>
      <x:c r="R2022" s="47" t="n">
        <x:v>0</x:v>
      </x:c>
      <x:c r="S2022" s="47" t="n">
        <x:v>37.73</x:v>
      </x:c>
      <x:c r="T2022" s="47" t="n">
        <x:v>57.15</x:v>
      </x:c>
      <x:c r="U2022" s="47" t="n">
        <x:v>33.2</x:v>
      </x:c>
      <x:c r="V2022" s="47" t="n">
        <x:v>13.1</x:v>
      </x:c>
      <x:c r="W2022" s="47" t="n">
        <x:v>12</x:v>
      </x:c>
      <x:c r="X2022" s="47" t="n">
        <x:v>47</x:v>
      </x:c>
      <x:c r="Y2022" s="41" t="n">
        <x:v>35</x:v>
      </x:c>
    </x:row>
    <x:row r="2023">
      <x:c r="A2023" s="38" t="str">
        <x:v>7月29日现场数据</x:v>
      </x:c>
      <x:c r="B2023" s="66" t="str">
        <x:v>2026-07-29T16:13:18.600000</x:v>
      </x:c>
      <x:c r="C2023" s="47" t="n">
        <x:v>300958</x:v>
      </x:c>
      <x:c r="D2023" s="47" t="str"/>
      <x:c r="E2023" s="47" t="str"/>
      <x:c r="F2023" s="47" t="str">
        <x:v>current</x:v>
      </x:c>
      <x:c r="G2023" s="47" t="n">
        <x:v>188</x:v>
      </x:c>
      <x:c r="H2023" s="53" t="b">
        <x:v>1</x:v>
      </x:c>
      <x:c r="I2023" s="47" t="str">
        <x:v>578202819</x:v>
      </x:c>
      <x:c r="J2023" s="47" t="n">
        <x:v>56627145</x:v>
      </x:c>
      <x:c r="K2023" s="53" t="b">
        <x:v>1</x:v>
      </x:c>
      <x:c r="L2023" s="53" t="b">
        <x:v>1</x:v>
      </x:c>
      <x:c r="M2023" s="53" t="b">
        <x:v>1</x:v>
      </x:c>
      <x:c r="N2023" s="53" t="b">
        <x:v>1</x:v>
      </x:c>
      <x:c r="O2023" s="53" t="b">
        <x:v>1</x:v>
      </x:c>
      <x:c r="P2023" s="47" t="n">
        <x:v>1010</x:v>
      </x:c>
      <x:c r="Q2023" s="47" t="n">
        <x:v>0</x:v>
      </x:c>
      <x:c r="R2023" s="47" t="n">
        <x:v>0</x:v>
      </x:c>
      <x:c r="S2023" s="47" t="n">
        <x:v>37.99</x:v>
      </x:c>
      <x:c r="T2023" s="47" t="n">
        <x:v>57.2</x:v>
      </x:c>
      <x:c r="U2023" s="47" t="n">
        <x:v>33.2</x:v>
      </x:c>
      <x:c r="V2023" s="47" t="n">
        <x:v>13</x:v>
      </x:c>
      <x:c r="W2023" s="47" t="n">
        <x:v>23</x:v>
      </x:c>
      <x:c r="X2023" s="47" t="n">
        <x:v>88</x:v>
      </x:c>
      <x:c r="Y2023" s="41" t="n">
        <x:v>65</x:v>
      </x:c>
    </x:row>
    <x:row r="2024">
      <x:c r="A2024" s="38" t="str">
        <x:v>7月29日现场数据</x:v>
      </x:c>
      <x:c r="B2024" s="66" t="str">
        <x:v>2026-07-29T16:18:19.561000</x:v>
      </x:c>
      <x:c r="C2024" s="47" t="n">
        <x:v>300961</x:v>
      </x:c>
      <x:c r="D2024" s="47" t="str"/>
      <x:c r="E2024" s="47" t="str"/>
      <x:c r="F2024" s="47" t="str">
        <x:v>current</x:v>
      </x:c>
      <x:c r="G2024" s="47" t="n">
        <x:v>189</x:v>
      </x:c>
      <x:c r="H2024" s="53" t="b">
        <x:v>1</x:v>
      </x:c>
      <x:c r="I2024" s="47" t="str">
        <x:v>578202819</x:v>
      </x:c>
      <x:c r="J2024" s="47" t="n">
        <x:v>56928106</x:v>
      </x:c>
      <x:c r="K2024" s="53" t="b">
        <x:v>1</x:v>
      </x:c>
      <x:c r="L2024" s="53" t="b">
        <x:v>1</x:v>
      </x:c>
      <x:c r="M2024" s="53" t="b">
        <x:v>1</x:v>
      </x:c>
      <x:c r="N2024" s="53" t="b">
        <x:v>1</x:v>
      </x:c>
      <x:c r="O2024" s="53" t="b">
        <x:v>1</x:v>
      </x:c>
      <x:c r="P2024" s="47" t="n">
        <x:v>1010</x:v>
      </x:c>
      <x:c r="Q2024" s="47" t="n">
        <x:v>0</x:v>
      </x:c>
      <x:c r="R2024" s="47" t="n">
        <x:v>0</x:v>
      </x:c>
      <x:c r="S2024" s="47" t="n">
        <x:v>38.67</x:v>
      </x:c>
      <x:c r="T2024" s="47" t="n">
        <x:v>57.29</x:v>
      </x:c>
      <x:c r="U2024" s="47" t="n">
        <x:v>33.2</x:v>
      </x:c>
      <x:c r="V2024" s="47" t="n">
        <x:v>13</x:v>
      </x:c>
      <x:c r="W2024" s="47" t="n">
        <x:v>35</x:v>
      </x:c>
      <x:c r="X2024" s="47" t="n">
        <x:v>103</x:v>
      </x:c>
      <x:c r="Y2024" s="41" t="n">
        <x:v>68</x:v>
      </x:c>
    </x:row>
    <x:row r="2025">
      <x:c r="A2025" s="38" t="str">
        <x:v>7月29日现场数据</x:v>
      </x:c>
      <x:c r="B2025" s="66" t="str">
        <x:v>2026-07-29T16:23:20.524000</x:v>
      </x:c>
      <x:c r="C2025" s="47" t="n">
        <x:v>300963</x:v>
      </x:c>
      <x:c r="D2025" s="47" t="str"/>
      <x:c r="E2025" s="47" t="str"/>
      <x:c r="F2025" s="47" t="str">
        <x:v>current</x:v>
      </x:c>
      <x:c r="G2025" s="47" t="n">
        <x:v>190</x:v>
      </x:c>
      <x:c r="H2025" s="53" t="b">
        <x:v>1</x:v>
      </x:c>
      <x:c r="I2025" s="47" t="str">
        <x:v>578202819</x:v>
      </x:c>
      <x:c r="J2025" s="47" t="n">
        <x:v>57229069</x:v>
      </x:c>
      <x:c r="K2025" s="53" t="b">
        <x:v>1</x:v>
      </x:c>
      <x:c r="L2025" s="53" t="b">
        <x:v>1</x:v>
      </x:c>
      <x:c r="M2025" s="53" t="b">
        <x:v>1</x:v>
      </x:c>
      <x:c r="N2025" s="53" t="b">
        <x:v>1</x:v>
      </x:c>
      <x:c r="O2025" s="53" t="b">
        <x:v>1</x:v>
      </x:c>
      <x:c r="P2025" s="47" t="n">
        <x:v>1010</x:v>
      </x:c>
      <x:c r="Q2025" s="47" t="n">
        <x:v>0</x:v>
      </x:c>
      <x:c r="R2025" s="47" t="n">
        <x:v>0</x:v>
      </x:c>
      <x:c r="S2025" s="47" t="n">
        <x:v>38.66</x:v>
      </x:c>
      <x:c r="T2025" s="47" t="n">
        <x:v>57.31</x:v>
      </x:c>
      <x:c r="U2025" s="47" t="n">
        <x:v>33.2</x:v>
      </x:c>
      <x:c r="V2025" s="47" t="n">
        <x:v>13.1</x:v>
      </x:c>
      <x:c r="W2025" s="47" t="n">
        <x:v>39</x:v>
      </x:c>
      <x:c r="X2025" s="47" t="n">
        <x:v>162</x:v>
      </x:c>
      <x:c r="Y2025" s="41" t="n">
        <x:v>123</x:v>
      </x:c>
    </x:row>
    <x:row r="2026">
      <x:c r="A2026" s="38" t="str">
        <x:v>7月29日现场数据</x:v>
      </x:c>
      <x:c r="B2026" s="66" t="str">
        <x:v>2026-07-29T16:28:21.488000</x:v>
      </x:c>
      <x:c r="C2026" s="47" t="n">
        <x:v>300964</x:v>
      </x:c>
      <x:c r="D2026" s="47" t="str"/>
      <x:c r="E2026" s="47" t="str"/>
      <x:c r="F2026" s="47" t="str">
        <x:v>current</x:v>
      </x:c>
      <x:c r="G2026" s="47" t="n">
        <x:v>191</x:v>
      </x:c>
      <x:c r="H2026" s="53" t="b">
        <x:v>1</x:v>
      </x:c>
      <x:c r="I2026" s="47" t="str">
        <x:v>578202819</x:v>
      </x:c>
      <x:c r="J2026" s="47" t="n">
        <x:v>57530033</x:v>
      </x:c>
      <x:c r="K2026" s="53" t="b">
        <x:v>1</x:v>
      </x:c>
      <x:c r="L2026" s="53" t="b">
        <x:v>1</x:v>
      </x:c>
      <x:c r="M2026" s="53" t="b">
        <x:v>1</x:v>
      </x:c>
      <x:c r="N2026" s="53" t="b">
        <x:v>1</x:v>
      </x:c>
      <x:c r="O2026" s="53" t="b">
        <x:v>1</x:v>
      </x:c>
      <x:c r="P2026" s="47" t="n">
        <x:v>1010</x:v>
      </x:c>
      <x:c r="Q2026" s="47" t="n">
        <x:v>0</x:v>
      </x:c>
      <x:c r="R2026" s="47" t="n">
        <x:v>0</x:v>
      </x:c>
      <x:c r="S2026" s="47" t="n">
        <x:v>38.41</x:v>
      </x:c>
      <x:c r="T2026" s="47" t="n">
        <x:v>57.22</x:v>
      </x:c>
      <x:c r="U2026" s="47" t="n">
        <x:v>33.1</x:v>
      </x:c>
      <x:c r="V2026" s="47" t="n">
        <x:v>13.1</x:v>
      </x:c>
      <x:c r="W2026" s="47" t="n">
        <x:v>13</x:v>
      </x:c>
      <x:c r="X2026" s="47" t="n">
        <x:v>51</x:v>
      </x:c>
      <x:c r="Y2026" s="41" t="n">
        <x:v>38</x:v>
      </x:c>
    </x:row>
    <x:row r="2027">
      <x:c r="A2027" s="38" t="str">
        <x:v>7月29日现场数据</x:v>
      </x:c>
      <x:c r="B2027" s="66" t="str">
        <x:v>2026-07-29T16:33:22.454000</x:v>
      </x:c>
      <x:c r="C2027" s="47" t="n">
        <x:v>300966</x:v>
      </x:c>
      <x:c r="D2027" s="47" t="str"/>
      <x:c r="E2027" s="47" t="str"/>
      <x:c r="F2027" s="47" t="str">
        <x:v>current</x:v>
      </x:c>
      <x:c r="G2027" s="47" t="n">
        <x:v>192</x:v>
      </x:c>
      <x:c r="H2027" s="53" t="b">
        <x:v>1</x:v>
      </x:c>
      <x:c r="I2027" s="47" t="str">
        <x:v>578202819</x:v>
      </x:c>
      <x:c r="J2027" s="47" t="n">
        <x:v>57830999</x:v>
      </x:c>
      <x:c r="K2027" s="53" t="b">
        <x:v>1</x:v>
      </x:c>
      <x:c r="L2027" s="53" t="b">
        <x:v>1</x:v>
      </x:c>
      <x:c r="M2027" s="53" t="b">
        <x:v>1</x:v>
      </x:c>
      <x:c r="N2027" s="53" t="b">
        <x:v>1</x:v>
      </x:c>
      <x:c r="O2027" s="53" t="b">
        <x:v>1</x:v>
      </x:c>
      <x:c r="P2027" s="47" t="n">
        <x:v>1010</x:v>
      </x:c>
      <x:c r="Q2027" s="47" t="n">
        <x:v>0</x:v>
      </x:c>
      <x:c r="R2027" s="47" t="n">
        <x:v>0</x:v>
      </x:c>
      <x:c r="S2027" s="47" t="n">
        <x:v>38.36</x:v>
      </x:c>
      <x:c r="T2027" s="47" t="n">
        <x:v>57.05</x:v>
      </x:c>
      <x:c r="U2027" s="47" t="n">
        <x:v>33.2</x:v>
      </x:c>
      <x:c r="V2027" s="47" t="n">
        <x:v>13.1</x:v>
      </x:c>
      <x:c r="W2027" s="47" t="n">
        <x:v>30</x:v>
      </x:c>
      <x:c r="X2027" s="47" t="n">
        <x:v>244</x:v>
      </x:c>
      <x:c r="Y2027" s="41" t="n">
        <x:v>214</x:v>
      </x:c>
    </x:row>
    <x:row r="2028">
      <x:c r="A2028" s="38" t="str">
        <x:v>7月29日现场数据</x:v>
      </x:c>
      <x:c r="B2028" s="66" t="str">
        <x:v>2026-07-29T16:38:23.422000</x:v>
      </x:c>
      <x:c r="C2028" s="47" t="n">
        <x:v>300968</x:v>
      </x:c>
      <x:c r="D2028" s="47" t="str"/>
      <x:c r="E2028" s="47" t="str"/>
      <x:c r="F2028" s="47" t="str">
        <x:v>current</x:v>
      </x:c>
      <x:c r="G2028" s="47" t="n">
        <x:v>193</x:v>
      </x:c>
      <x:c r="H2028" s="53" t="b">
        <x:v>1</x:v>
      </x:c>
      <x:c r="I2028" s="47" t="str">
        <x:v>578202819</x:v>
      </x:c>
      <x:c r="J2028" s="47" t="n">
        <x:v>58131967</x:v>
      </x:c>
      <x:c r="K2028" s="53" t="b">
        <x:v>1</x:v>
      </x:c>
      <x:c r="L2028" s="53" t="b">
        <x:v>1</x:v>
      </x:c>
      <x:c r="M2028" s="53" t="b">
        <x:v>1</x:v>
      </x:c>
      <x:c r="N2028" s="53" t="b">
        <x:v>1</x:v>
      </x:c>
      <x:c r="O2028" s="53" t="b">
        <x:v>1</x:v>
      </x:c>
      <x:c r="P2028" s="47" t="n">
        <x:v>1010</x:v>
      </x:c>
      <x:c r="Q2028" s="47" t="n">
        <x:v>0.01</x:v>
      </x:c>
      <x:c r="R2028" s="47" t="n">
        <x:v>0.264</x:v>
      </x:c>
      <x:c r="S2028" s="47" t="n">
        <x:v>38.38</x:v>
      </x:c>
      <x:c r="T2028" s="47" t="n">
        <x:v>57.06</x:v>
      </x:c>
      <x:c r="U2028" s="47" t="n">
        <x:v>33.1</x:v>
      </x:c>
      <x:c r="V2028" s="47" t="n">
        <x:v>13</x:v>
      </x:c>
      <x:c r="W2028" s="47" t="n">
        <x:v>26</x:v>
      </x:c>
      <x:c r="X2028" s="47" t="n">
        <x:v>339</x:v>
      </x:c>
      <x:c r="Y2028" s="41" t="n">
        <x:v>313</x:v>
      </x:c>
    </x:row>
    <x:row r="2029">
      <x:c r="A2029" s="38" t="str">
        <x:v>7月29日现场数据</x:v>
      </x:c>
      <x:c r="B2029" s="66" t="str">
        <x:v>2026-07-29T16:43:24.391000</x:v>
      </x:c>
      <x:c r="C2029" s="47" t="n">
        <x:v>300969</x:v>
      </x:c>
      <x:c r="D2029" s="47" t="str"/>
      <x:c r="E2029" s="47" t="str"/>
      <x:c r="F2029" s="47" t="str">
        <x:v>current</x:v>
      </x:c>
      <x:c r="G2029" s="47" t="n">
        <x:v>194</x:v>
      </x:c>
      <x:c r="H2029" s="53" t="b">
        <x:v>1</x:v>
      </x:c>
      <x:c r="I2029" s="47" t="str">
        <x:v>578202819</x:v>
      </x:c>
      <x:c r="J2029" s="47" t="n">
        <x:v>58432936</x:v>
      </x:c>
      <x:c r="K2029" s="53" t="b">
        <x:v>1</x:v>
      </x:c>
      <x:c r="L2029" s="53" t="b">
        <x:v>1</x:v>
      </x:c>
      <x:c r="M2029" s="53" t="b">
        <x:v>1</x:v>
      </x:c>
      <x:c r="N2029" s="53" t="b">
        <x:v>1</x:v>
      </x:c>
      <x:c r="O2029" s="53" t="b">
        <x:v>1</x:v>
      </x:c>
      <x:c r="P2029" s="47" t="n">
        <x:v>1010</x:v>
      </x:c>
      <x:c r="Q2029" s="47" t="n">
        <x:v>0</x:v>
      </x:c>
      <x:c r="R2029" s="47" t="n">
        <x:v>0</x:v>
      </x:c>
      <x:c r="S2029" s="47" t="n">
        <x:v>38.4</x:v>
      </x:c>
      <x:c r="T2029" s="47" t="n">
        <x:v>57.01</x:v>
      </x:c>
      <x:c r="U2029" s="47" t="n">
        <x:v>33.1</x:v>
      </x:c>
      <x:c r="V2029" s="47" t="n">
        <x:v>13</x:v>
      </x:c>
      <x:c r="W2029" s="47" t="n">
        <x:v>24</x:v>
      </x:c>
      <x:c r="X2029" s="47" t="n">
        <x:v>95</x:v>
      </x:c>
      <x:c r="Y2029" s="41" t="n">
        <x:v>71</x:v>
      </x:c>
    </x:row>
    <x:row r="2030">
      <x:c r="A2030" s="38" t="str">
        <x:v>7月29日现场数据</x:v>
      </x:c>
      <x:c r="B2030" s="66" t="str">
        <x:v>2026-07-29T16:48:25.363000</x:v>
      </x:c>
      <x:c r="C2030" s="47" t="n">
        <x:v>300972</x:v>
      </x:c>
      <x:c r="D2030" s="47" t="str"/>
      <x:c r="E2030" s="47" t="str"/>
      <x:c r="F2030" s="47" t="str">
        <x:v>current</x:v>
      </x:c>
      <x:c r="G2030" s="47" t="n">
        <x:v>195</x:v>
      </x:c>
      <x:c r="H2030" s="53" t="b">
        <x:v>1</x:v>
      </x:c>
      <x:c r="I2030" s="47" t="str">
        <x:v>578202819</x:v>
      </x:c>
      <x:c r="J2030" s="47" t="n">
        <x:v>58733908</x:v>
      </x:c>
      <x:c r="K2030" s="53" t="b">
        <x:v>1</x:v>
      </x:c>
      <x:c r="L2030" s="53" t="b">
        <x:v>1</x:v>
      </x:c>
      <x:c r="M2030" s="53" t="b">
        <x:v>1</x:v>
      </x:c>
      <x:c r="N2030" s="53" t="b">
        <x:v>1</x:v>
      </x:c>
      <x:c r="O2030" s="53" t="b">
        <x:v>1</x:v>
      </x:c>
      <x:c r="P2030" s="47" t="n">
        <x:v>1009</x:v>
      </x:c>
      <x:c r="Q2030" s="47" t="n">
        <x:v>0</x:v>
      </x:c>
      <x:c r="R2030" s="47" t="n">
        <x:v>0</x:v>
      </x:c>
      <x:c r="S2030" s="47" t="n">
        <x:v>38.06</x:v>
      </x:c>
      <x:c r="T2030" s="47" t="n">
        <x:v>56.86</x:v>
      </x:c>
      <x:c r="U2030" s="47" t="n">
        <x:v>33.1</x:v>
      </x:c>
      <x:c r="V2030" s="47" t="n">
        <x:v>13</x:v>
      </x:c>
      <x:c r="W2030" s="47" t="n">
        <x:v>7</x:v>
      </x:c>
      <x:c r="X2030" s="47" t="n">
        <x:v>32</x:v>
      </x:c>
      <x:c r="Y2030" s="41" t="n">
        <x:v>25</x:v>
      </x:c>
    </x:row>
    <x:row r="2031">
      <x:c r="A2031" s="38" t="str">
        <x:v>7月29日现场数据</x:v>
      </x:c>
      <x:c r="B2031" s="66" t="str">
        <x:v>2026-07-29T16:53:26.336000</x:v>
      </x:c>
      <x:c r="C2031" s="47" t="n">
        <x:v>300973</x:v>
      </x:c>
      <x:c r="D2031" s="47" t="str"/>
      <x:c r="E2031" s="47" t="str"/>
      <x:c r="F2031" s="47" t="str">
        <x:v>current</x:v>
      </x:c>
      <x:c r="G2031" s="47" t="n">
        <x:v>196</x:v>
      </x:c>
      <x:c r="H2031" s="53" t="b">
        <x:v>1</x:v>
      </x:c>
      <x:c r="I2031" s="47" t="str">
        <x:v>578202819</x:v>
      </x:c>
      <x:c r="J2031" s="47" t="n">
        <x:v>59034881</x:v>
      </x:c>
      <x:c r="K2031" s="53" t="b">
        <x:v>1</x:v>
      </x:c>
      <x:c r="L2031" s="53" t="b">
        <x:v>1</x:v>
      </x:c>
      <x:c r="M2031" s="53" t="b">
        <x:v>1</x:v>
      </x:c>
      <x:c r="N2031" s="53" t="b">
        <x:v>1</x:v>
      </x:c>
      <x:c r="O2031" s="53" t="b">
        <x:v>1</x:v>
      </x:c>
      <x:c r="P2031" s="47" t="n">
        <x:v>1010</x:v>
      </x:c>
      <x:c r="Q2031" s="47" t="n">
        <x:v>0</x:v>
      </x:c>
      <x:c r="R2031" s="47" t="n">
        <x:v>0</x:v>
      </x:c>
      <x:c r="S2031" s="47" t="n">
        <x:v>37.73</x:v>
      </x:c>
      <x:c r="T2031" s="47" t="n">
        <x:v>56.6</x:v>
      </x:c>
      <x:c r="U2031" s="47" t="n">
        <x:v>33.1</x:v>
      </x:c>
      <x:c r="V2031" s="47" t="n">
        <x:v>13</x:v>
      </x:c>
      <x:c r="W2031" s="47" t="n">
        <x:v>24</x:v>
      </x:c>
      <x:c r="X2031" s="47" t="n">
        <x:v>79</x:v>
      </x:c>
      <x:c r="Y2031" s="41" t="n">
        <x:v>55</x:v>
      </x:c>
    </x:row>
    <x:row r="2032">
      <x:c r="A2032" s="38" t="str">
        <x:v>7月29日现场数据</x:v>
      </x:c>
      <x:c r="B2032" s="66" t="str">
        <x:v>2026-07-29T16:58:27.312000</x:v>
      </x:c>
      <x:c r="C2032" s="47" t="n">
        <x:v>300976</x:v>
      </x:c>
      <x:c r="D2032" s="47" t="str"/>
      <x:c r="E2032" s="47" t="str"/>
      <x:c r="F2032" s="47" t="str">
        <x:v>current</x:v>
      </x:c>
      <x:c r="G2032" s="47" t="n">
        <x:v>197</x:v>
      </x:c>
      <x:c r="H2032" s="53" t="b">
        <x:v>1</x:v>
      </x:c>
      <x:c r="I2032" s="47" t="str">
        <x:v>578202819</x:v>
      </x:c>
      <x:c r="J2032" s="47" t="n">
        <x:v>59335857</x:v>
      </x:c>
      <x:c r="K2032" s="53" t="b">
        <x:v>1</x:v>
      </x:c>
      <x:c r="L2032" s="53" t="b">
        <x:v>1</x:v>
      </x:c>
      <x:c r="M2032" s="53" t="b">
        <x:v>1</x:v>
      </x:c>
      <x:c r="N2032" s="53" t="b">
        <x:v>1</x:v>
      </x:c>
      <x:c r="O2032" s="53" t="b">
        <x:v>1</x:v>
      </x:c>
      <x:c r="P2032" s="47" t="n">
        <x:v>1010</x:v>
      </x:c>
      <x:c r="Q2032" s="47" t="n">
        <x:v>0</x:v>
      </x:c>
      <x:c r="R2032" s="47" t="n">
        <x:v>0</x:v>
      </x:c>
      <x:c r="S2032" s="47" t="n">
        <x:v>38.08</x:v>
      </x:c>
      <x:c r="T2032" s="47" t="n">
        <x:v>56.66</x:v>
      </x:c>
      <x:c r="U2032" s="47" t="n">
        <x:v>33.1</x:v>
      </x:c>
      <x:c r="V2032" s="47" t="n">
        <x:v>13</x:v>
      </x:c>
      <x:c r="W2032" s="47" t="n">
        <x:v>23</x:v>
      </x:c>
      <x:c r="X2032" s="47" t="n">
        <x:v>93</x:v>
      </x:c>
      <x:c r="Y2032" s="41" t="n">
        <x:v>70</x:v>
      </x:c>
    </x:row>
    <x:row r="2033">
      <x:c r="A2033" s="38" t="str">
        <x:v>7月29日现场数据</x:v>
      </x:c>
      <x:c r="B2033" s="66" t="str">
        <x:v>2026-07-29T17:03:28.320000</x:v>
      </x:c>
      <x:c r="C2033" s="47" t="n">
        <x:v>301008</x:v>
      </x:c>
      <x:c r="D2033" s="47" t="str"/>
      <x:c r="E2033" s="47" t="str"/>
      <x:c r="F2033" s="47" t="str">
        <x:v>current</x:v>
      </x:c>
      <x:c r="G2033" s="47" t="n">
        <x:v>198</x:v>
      </x:c>
      <x:c r="H2033" s="53" t="b">
        <x:v>1</x:v>
      </x:c>
      <x:c r="I2033" s="47" t="str">
        <x:v>578202819</x:v>
      </x:c>
      <x:c r="J2033" s="47" t="n">
        <x:v>59636865</x:v>
      </x:c>
      <x:c r="K2033" s="53" t="b">
        <x:v>1</x:v>
      </x:c>
      <x:c r="L2033" s="53" t="b">
        <x:v>1</x:v>
      </x:c>
      <x:c r="M2033" s="53" t="b">
        <x:v>1</x:v>
      </x:c>
      <x:c r="N2033" s="53" t="b">
        <x:v>1</x:v>
      </x:c>
      <x:c r="O2033" s="53" t="b">
        <x:v>1</x:v>
      </x:c>
      <x:c r="P2033" s="47" t="n">
        <x:v>1010</x:v>
      </x:c>
      <x:c r="Q2033" s="47" t="n">
        <x:v>0</x:v>
      </x:c>
      <x:c r="R2033" s="47" t="n">
        <x:v>0</x:v>
      </x:c>
      <x:c r="S2033" s="47" t="n">
        <x:v>37.9</x:v>
      </x:c>
      <x:c r="T2033" s="47" t="n">
        <x:v>56.63</x:v>
      </x:c>
      <x:c r="U2033" s="47" t="n">
        <x:v>33.1</x:v>
      </x:c>
      <x:c r="V2033" s="47" t="n">
        <x:v>13</x:v>
      </x:c>
      <x:c r="W2033" s="47" t="n">
        <x:v>20</x:v>
      </x:c>
      <x:c r="X2033" s="47" t="n">
        <x:v>104</x:v>
      </x:c>
      <x:c r="Y2033" s="41" t="n">
        <x:v>84</x:v>
      </x:c>
    </x:row>
    <x:row r="2034">
      <x:c r="A2034" s="38" t="str">
        <x:v>7月29日现场数据</x:v>
      </x:c>
      <x:c r="B2034" s="66" t="str">
        <x:v>2026-07-29T17:08:29.270000</x:v>
      </x:c>
      <x:c r="C2034" s="47" t="n">
        <x:v>300950</x:v>
      </x:c>
      <x:c r="D2034" s="47" t="str"/>
      <x:c r="E2034" s="47" t="str"/>
      <x:c r="F2034" s="47" t="str">
        <x:v>current</x:v>
      </x:c>
      <x:c r="G2034" s="47" t="n">
        <x:v>199</x:v>
      </x:c>
      <x:c r="H2034" s="53" t="b">
        <x:v>1</x:v>
      </x:c>
      <x:c r="I2034" s="47" t="str">
        <x:v>578202819</x:v>
      </x:c>
      <x:c r="J2034" s="47" t="n">
        <x:v>59937815</x:v>
      </x:c>
      <x:c r="K2034" s="53" t="b">
        <x:v>1</x:v>
      </x:c>
      <x:c r="L2034" s="53" t="b">
        <x:v>1</x:v>
      </x:c>
      <x:c r="M2034" s="53" t="b">
        <x:v>1</x:v>
      </x:c>
      <x:c r="N2034" s="53" t="b">
        <x:v>1</x:v>
      </x:c>
      <x:c r="O2034" s="53" t="b">
        <x:v>1</x:v>
      </x:c>
      <x:c r="P2034" s="47" t="n">
        <x:v>1010</x:v>
      </x:c>
      <x:c r="Q2034" s="47" t="n">
        <x:v>0</x:v>
      </x:c>
      <x:c r="R2034" s="47" t="n">
        <x:v>0</x:v>
      </x:c>
      <x:c r="S2034" s="47" t="n">
        <x:v>37.86</x:v>
      </x:c>
      <x:c r="T2034" s="47" t="n">
        <x:v>56.55</x:v>
      </x:c>
      <x:c r="U2034" s="47" t="n">
        <x:v>33.1</x:v>
      </x:c>
      <x:c r="V2034" s="47" t="n">
        <x:v>13</x:v>
      </x:c>
      <x:c r="W2034" s="47" t="n">
        <x:v>19</x:v>
      </x:c>
      <x:c r="X2034" s="47" t="n">
        <x:v>74</x:v>
      </x:c>
      <x:c r="Y2034" s="41" t="n">
        <x:v>55</x:v>
      </x:c>
    </x:row>
    <x:row r="2035">
      <x:c r="A2035" s="38" t="str">
        <x:v>7月29日现场数据</x:v>
      </x:c>
      <x:c r="B2035" s="66" t="str">
        <x:v>2026-07-29T17:13:30.225000</x:v>
      </x:c>
      <x:c r="C2035" s="47" t="n">
        <x:v>300955</x:v>
      </x:c>
      <x:c r="D2035" s="47" t="str"/>
      <x:c r="E2035" s="47" t="str"/>
      <x:c r="F2035" s="47" t="str">
        <x:v>current</x:v>
      </x:c>
      <x:c r="G2035" s="47" t="n">
        <x:v>200</x:v>
      </x:c>
      <x:c r="H2035" s="53" t="b">
        <x:v>1</x:v>
      </x:c>
      <x:c r="I2035" s="47" t="str">
        <x:v>578202819</x:v>
      </x:c>
      <x:c r="J2035" s="47" t="n">
        <x:v>60238770</x:v>
      </x:c>
      <x:c r="K2035" s="53" t="b">
        <x:v>1</x:v>
      </x:c>
      <x:c r="L2035" s="53" t="b">
        <x:v>1</x:v>
      </x:c>
      <x:c r="M2035" s="53" t="b">
        <x:v>1</x:v>
      </x:c>
      <x:c r="N2035" s="53" t="b">
        <x:v>1</x:v>
      </x:c>
      <x:c r="O2035" s="53" t="b">
        <x:v>1</x:v>
      </x:c>
      <x:c r="P2035" s="47" t="n">
        <x:v>1010</x:v>
      </x:c>
      <x:c r="Q2035" s="47" t="n">
        <x:v>0</x:v>
      </x:c>
      <x:c r="R2035" s="47" t="n">
        <x:v>0</x:v>
      </x:c>
      <x:c r="S2035" s="47" t="n">
        <x:v>37.96</x:v>
      </x:c>
      <x:c r="T2035" s="47" t="n">
        <x:v>56.46</x:v>
      </x:c>
      <x:c r="U2035" s="47" t="n">
        <x:v>33.1</x:v>
      </x:c>
      <x:c r="V2035" s="47" t="n">
        <x:v>13</x:v>
      </x:c>
      <x:c r="W2035" s="47" t="n">
        <x:v>19</x:v>
      </x:c>
      <x:c r="X2035" s="47" t="n">
        <x:v>72</x:v>
      </x:c>
      <x:c r="Y2035" s="41" t="n">
        <x:v>53</x:v>
      </x:c>
    </x:row>
    <x:row r="2036">
      <x:c r="A2036" s="38" t="str">
        <x:v>7月29日现场数据</x:v>
      </x:c>
      <x:c r="B2036" s="66" t="str">
        <x:v>2026-07-29T17:18:31.182000</x:v>
      </x:c>
      <x:c r="C2036" s="47" t="n">
        <x:v>300957</x:v>
      </x:c>
      <x:c r="D2036" s="47" t="str"/>
      <x:c r="E2036" s="47" t="str"/>
      <x:c r="F2036" s="47" t="str">
        <x:v>current</x:v>
      </x:c>
      <x:c r="G2036" s="47" t="n">
        <x:v>201</x:v>
      </x:c>
      <x:c r="H2036" s="53" t="b">
        <x:v>1</x:v>
      </x:c>
      <x:c r="I2036" s="47" t="str">
        <x:v>578202819</x:v>
      </x:c>
      <x:c r="J2036" s="47" t="n">
        <x:v>60539727</x:v>
      </x:c>
      <x:c r="K2036" s="53" t="b">
        <x:v>1</x:v>
      </x:c>
      <x:c r="L2036" s="53" t="b">
        <x:v>1</x:v>
      </x:c>
      <x:c r="M2036" s="53" t="b">
        <x:v>1</x:v>
      </x:c>
      <x:c r="N2036" s="53" t="b">
        <x:v>1</x:v>
      </x:c>
      <x:c r="O2036" s="53" t="b">
        <x:v>1</x:v>
      </x:c>
      <x:c r="P2036" s="47" t="n">
        <x:v>1010</x:v>
      </x:c>
      <x:c r="Q2036" s="47" t="n">
        <x:v>0</x:v>
      </x:c>
      <x:c r="R2036" s="47" t="n">
        <x:v>0</x:v>
      </x:c>
      <x:c r="S2036" s="47" t="n">
        <x:v>37.65</x:v>
      </x:c>
      <x:c r="T2036" s="47" t="n">
        <x:v>56.39</x:v>
      </x:c>
      <x:c r="U2036" s="47" t="n">
        <x:v>33.1</x:v>
      </x:c>
      <x:c r="V2036" s="47" t="n">
        <x:v>13</x:v>
      </x:c>
      <x:c r="W2036" s="47" t="n">
        <x:v>17</x:v>
      </x:c>
      <x:c r="X2036" s="47" t="n">
        <x:v>68</x:v>
      </x:c>
      <x:c r="Y2036" s="41" t="n">
        <x:v>51</x:v>
      </x:c>
    </x:row>
    <x:row r="2037">
      <x:c r="A2037" s="38" t="str">
        <x:v>7月29日现场数据</x:v>
      </x:c>
      <x:c r="B2037" s="66" t="str">
        <x:v>2026-07-29T17:23:32.140000</x:v>
      </x:c>
      <x:c r="C2037" s="47" t="n">
        <x:v>300958</x:v>
      </x:c>
      <x:c r="D2037" s="47" t="str"/>
      <x:c r="E2037" s="47" t="str"/>
      <x:c r="F2037" s="47" t="str">
        <x:v>current</x:v>
      </x:c>
      <x:c r="G2037" s="47" t="n">
        <x:v>202</x:v>
      </x:c>
      <x:c r="H2037" s="53" t="b">
        <x:v>1</x:v>
      </x:c>
      <x:c r="I2037" s="47" t="str">
        <x:v>578202819</x:v>
      </x:c>
      <x:c r="J2037" s="47" t="n">
        <x:v>60840685</x:v>
      </x:c>
      <x:c r="K2037" s="53" t="b">
        <x:v>1</x:v>
      </x:c>
      <x:c r="L2037" s="53" t="b">
        <x:v>1</x:v>
      </x:c>
      <x:c r="M2037" s="53" t="b">
        <x:v>1</x:v>
      </x:c>
      <x:c r="N2037" s="53" t="b">
        <x:v>1</x:v>
      </x:c>
      <x:c r="O2037" s="53" t="b">
        <x:v>1</x:v>
      </x:c>
      <x:c r="P2037" s="47" t="n">
        <x:v>1010</x:v>
      </x:c>
      <x:c r="Q2037" s="47" t="n">
        <x:v>0</x:v>
      </x:c>
      <x:c r="R2037" s="47" t="n">
        <x:v>0</x:v>
      </x:c>
      <x:c r="S2037" s="47" t="n">
        <x:v>37.56</x:v>
      </x:c>
      <x:c r="T2037" s="47" t="n">
        <x:v>56.2</x:v>
      </x:c>
      <x:c r="U2037" s="47" t="n">
        <x:v>33</x:v>
      </x:c>
      <x:c r="V2037" s="47" t="n">
        <x:v>13</x:v>
      </x:c>
      <x:c r="W2037" s="47" t="n">
        <x:v>17</x:v>
      </x:c>
      <x:c r="X2037" s="47" t="n">
        <x:v>67</x:v>
      </x:c>
      <x:c r="Y2037" s="41" t="n">
        <x:v>50</x:v>
      </x:c>
    </x:row>
    <x:row r="2038">
      <x:c r="A2038" s="38" t="str">
        <x:v>7月29日现场数据</x:v>
      </x:c>
      <x:c r="B2038" s="66" t="str">
        <x:v>2026-07-29T17:28:33.103000</x:v>
      </x:c>
      <x:c r="C2038" s="47" t="n">
        <x:v>300963</x:v>
      </x:c>
      <x:c r="D2038" s="47" t="str"/>
      <x:c r="E2038" s="47" t="str"/>
      <x:c r="F2038" s="47" t="str">
        <x:v>current</x:v>
      </x:c>
      <x:c r="G2038" s="47" t="n">
        <x:v>203</x:v>
      </x:c>
      <x:c r="H2038" s="53" t="b">
        <x:v>1</x:v>
      </x:c>
      <x:c r="I2038" s="47" t="str">
        <x:v>578202819</x:v>
      </x:c>
      <x:c r="J2038" s="47" t="n">
        <x:v>61141648</x:v>
      </x:c>
      <x:c r="K2038" s="53" t="b">
        <x:v>1</x:v>
      </x:c>
      <x:c r="L2038" s="53" t="b">
        <x:v>1</x:v>
      </x:c>
      <x:c r="M2038" s="53" t="b">
        <x:v>1</x:v>
      </x:c>
      <x:c r="N2038" s="53" t="b">
        <x:v>1</x:v>
      </x:c>
      <x:c r="O2038" s="53" t="b">
        <x:v>1</x:v>
      </x:c>
      <x:c r="P2038" s="47" t="n">
        <x:v>1010</x:v>
      </x:c>
      <x:c r="Q2038" s="47" t="n">
        <x:v>0</x:v>
      </x:c>
      <x:c r="R2038" s="47" t="n">
        <x:v>0</x:v>
      </x:c>
      <x:c r="S2038" s="47" t="n">
        <x:v>37.65</x:v>
      </x:c>
      <x:c r="T2038" s="47" t="n">
        <x:v>56.14</x:v>
      </x:c>
      <x:c r="U2038" s="47" t="n">
        <x:v>33</x:v>
      </x:c>
      <x:c r="V2038" s="47" t="n">
        <x:v>13</x:v>
      </x:c>
      <x:c r="W2038" s="47" t="n">
        <x:v>16</x:v>
      </x:c>
      <x:c r="X2038" s="47" t="n">
        <x:v>60</x:v>
      </x:c>
      <x:c r="Y2038" s="41" t="n">
        <x:v>44</x:v>
      </x:c>
    </x:row>
    <x:row r="2039">
      <x:c r="A2039" s="38" t="str">
        <x:v>7月29日现场数据</x:v>
      </x:c>
      <x:c r="B2039" s="66" t="str">
        <x:v>2026-07-29T17:33:34.065000</x:v>
      </x:c>
      <x:c r="C2039" s="47" t="n">
        <x:v>300962</x:v>
      </x:c>
      <x:c r="D2039" s="47" t="str"/>
      <x:c r="E2039" s="47" t="str"/>
      <x:c r="F2039" s="47" t="str">
        <x:v>current</x:v>
      </x:c>
      <x:c r="G2039" s="47" t="n">
        <x:v>204</x:v>
      </x:c>
      <x:c r="H2039" s="53" t="b">
        <x:v>1</x:v>
      </x:c>
      <x:c r="I2039" s="47" t="str">
        <x:v>578202819</x:v>
      </x:c>
      <x:c r="J2039" s="47" t="n">
        <x:v>61442610</x:v>
      </x:c>
      <x:c r="K2039" s="53" t="b">
        <x:v>1</x:v>
      </x:c>
      <x:c r="L2039" s="53" t="b">
        <x:v>1</x:v>
      </x:c>
      <x:c r="M2039" s="53" t="b">
        <x:v>1</x:v>
      </x:c>
      <x:c r="N2039" s="53" t="b">
        <x:v>1</x:v>
      </x:c>
      <x:c r="O2039" s="53" t="b">
        <x:v>1</x:v>
      </x:c>
      <x:c r="P2039" s="47" t="n">
        <x:v>1010</x:v>
      </x:c>
      <x:c r="Q2039" s="47" t="n">
        <x:v>0</x:v>
      </x:c>
      <x:c r="R2039" s="47" t="n">
        <x:v>0</x:v>
      </x:c>
      <x:c r="S2039" s="47" t="n">
        <x:v>37.57</x:v>
      </x:c>
      <x:c r="T2039" s="47" t="n">
        <x:v>56.16</x:v>
      </x:c>
      <x:c r="U2039" s="47" t="n">
        <x:v>33</x:v>
      </x:c>
      <x:c r="V2039" s="47" t="n">
        <x:v>13</x:v>
      </x:c>
      <x:c r="W2039" s="47" t="n">
        <x:v>17</x:v>
      </x:c>
      <x:c r="X2039" s="47" t="n">
        <x:v>62</x:v>
      </x:c>
      <x:c r="Y2039" s="41" t="n">
        <x:v>45</x:v>
      </x:c>
    </x:row>
    <x:row r="2040">
      <x:c r="A2040" s="38" t="str">
        <x:v>7月29日现场数据</x:v>
      </x:c>
      <x:c r="B2040" s="66" t="str">
        <x:v>2026-07-29T17:38:35.026000</x:v>
      </x:c>
      <x:c r="C2040" s="47" t="n">
        <x:v>300961</x:v>
      </x:c>
      <x:c r="D2040" s="47" t="str"/>
      <x:c r="E2040" s="47" t="str"/>
      <x:c r="F2040" s="47" t="str">
        <x:v>current</x:v>
      </x:c>
      <x:c r="G2040" s="47" t="n">
        <x:v>205</x:v>
      </x:c>
      <x:c r="H2040" s="53" t="b">
        <x:v>1</x:v>
      </x:c>
      <x:c r="I2040" s="47" t="str">
        <x:v>578202819</x:v>
      </x:c>
      <x:c r="J2040" s="47" t="n">
        <x:v>61743571</x:v>
      </x:c>
      <x:c r="K2040" s="53" t="b">
        <x:v>1</x:v>
      </x:c>
      <x:c r="L2040" s="53" t="b">
        <x:v>1</x:v>
      </x:c>
      <x:c r="M2040" s="53" t="b">
        <x:v>1</x:v>
      </x:c>
      <x:c r="N2040" s="53" t="b">
        <x:v>1</x:v>
      </x:c>
      <x:c r="O2040" s="53" t="b">
        <x:v>1</x:v>
      </x:c>
      <x:c r="P2040" s="47" t="n">
        <x:v>1009</x:v>
      </x:c>
      <x:c r="Q2040" s="47" t="n">
        <x:v>0</x:v>
      </x:c>
      <x:c r="R2040" s="47" t="n">
        <x:v>0</x:v>
      </x:c>
      <x:c r="S2040" s="47" t="n">
        <x:v>37.38</x:v>
      </x:c>
      <x:c r="T2040" s="47" t="n">
        <x:v>56.11</x:v>
      </x:c>
      <x:c r="U2040" s="47" t="n">
        <x:v>33.1</x:v>
      </x:c>
      <x:c r="V2040" s="47" t="n">
        <x:v>13</x:v>
      </x:c>
      <x:c r="W2040" s="47" t="n">
        <x:v>16</x:v>
      </x:c>
      <x:c r="X2040" s="47" t="n">
        <x:v>57</x:v>
      </x:c>
      <x:c r="Y2040" s="41" t="n">
        <x:v>41</x:v>
      </x:c>
    </x:row>
    <x:row r="2041">
      <x:c r="A2041" s="38" t="str">
        <x:v>7月29日现场数据</x:v>
      </x:c>
      <x:c r="B2041" s="66" t="str">
        <x:v>2026-07-29T17:43:35.990000</x:v>
      </x:c>
      <x:c r="C2041" s="47" t="n">
        <x:v>300964</x:v>
      </x:c>
      <x:c r="D2041" s="47" t="str"/>
      <x:c r="E2041" s="47" t="str"/>
      <x:c r="F2041" s="47" t="str">
        <x:v>current</x:v>
      </x:c>
      <x:c r="G2041" s="47" t="n">
        <x:v>206</x:v>
      </x:c>
      <x:c r="H2041" s="53" t="b">
        <x:v>1</x:v>
      </x:c>
      <x:c r="I2041" s="47" t="str">
        <x:v>578202819</x:v>
      </x:c>
      <x:c r="J2041" s="47" t="n">
        <x:v>62044535</x:v>
      </x:c>
      <x:c r="K2041" s="53" t="b">
        <x:v>1</x:v>
      </x:c>
      <x:c r="L2041" s="53" t="b">
        <x:v>1</x:v>
      </x:c>
      <x:c r="M2041" s="53" t="b">
        <x:v>1</x:v>
      </x:c>
      <x:c r="N2041" s="53" t="b">
        <x:v>1</x:v>
      </x:c>
      <x:c r="O2041" s="53" t="b">
        <x:v>1</x:v>
      </x:c>
      <x:c r="P2041" s="47" t="n">
        <x:v>1010</x:v>
      </x:c>
      <x:c r="Q2041" s="47" t="n">
        <x:v>0</x:v>
      </x:c>
      <x:c r="R2041" s="47" t="n">
        <x:v>0</x:v>
      </x:c>
      <x:c r="S2041" s="47" t="n">
        <x:v>37.25</x:v>
      </x:c>
      <x:c r="T2041" s="47" t="n">
        <x:v>55.92</x:v>
      </x:c>
      <x:c r="U2041" s="47" t="n">
        <x:v>33</x:v>
      </x:c>
      <x:c r="V2041" s="47" t="n">
        <x:v>13</x:v>
      </x:c>
      <x:c r="W2041" s="47" t="n">
        <x:v>14</x:v>
      </x:c>
      <x:c r="X2041" s="47" t="n">
        <x:v>52</x:v>
      </x:c>
      <x:c r="Y2041" s="41" t="n">
        <x:v>38</x:v>
      </x:c>
    </x:row>
    <x:row r="2042">
      <x:c r="A2042" s="38" t="str">
        <x:v>7月29日现场数据</x:v>
      </x:c>
      <x:c r="B2042" s="66" t="str">
        <x:v>2026-07-29T17:48:36.958000</x:v>
      </x:c>
      <x:c r="C2042" s="47" t="n">
        <x:v>300968</x:v>
      </x:c>
      <x:c r="D2042" s="47" t="str"/>
      <x:c r="E2042" s="47" t="str"/>
      <x:c r="F2042" s="47" t="str">
        <x:v>current</x:v>
      </x:c>
      <x:c r="G2042" s="47" t="n">
        <x:v>207</x:v>
      </x:c>
      <x:c r="H2042" s="53" t="b">
        <x:v>1</x:v>
      </x:c>
      <x:c r="I2042" s="47" t="str">
        <x:v>578202819</x:v>
      </x:c>
      <x:c r="J2042" s="47" t="n">
        <x:v>62345503</x:v>
      </x:c>
      <x:c r="K2042" s="53" t="b">
        <x:v>1</x:v>
      </x:c>
      <x:c r="L2042" s="53" t="b">
        <x:v>1</x:v>
      </x:c>
      <x:c r="M2042" s="53" t="b">
        <x:v>1</x:v>
      </x:c>
      <x:c r="N2042" s="53" t="b">
        <x:v>1</x:v>
      </x:c>
      <x:c r="O2042" s="53" t="b">
        <x:v>1</x:v>
      </x:c>
      <x:c r="P2042" s="47" t="n">
        <x:v>1010</x:v>
      </x:c>
      <x:c r="Q2042" s="47" t="n">
        <x:v>0</x:v>
      </x:c>
      <x:c r="R2042" s="47" t="n">
        <x:v>0</x:v>
      </x:c>
      <x:c r="S2042" s="47" t="n">
        <x:v>37.2</x:v>
      </x:c>
      <x:c r="T2042" s="47" t="n">
        <x:v>55.85</x:v>
      </x:c>
      <x:c r="U2042" s="47" t="n">
        <x:v>33</x:v>
      </x:c>
      <x:c r="V2042" s="47" t="n">
        <x:v>13</x:v>
      </x:c>
      <x:c r="W2042" s="47" t="n">
        <x:v>12</x:v>
      </x:c>
      <x:c r="X2042" s="47" t="n">
        <x:v>51</x:v>
      </x:c>
      <x:c r="Y2042" s="41" t="n">
        <x:v>39</x:v>
      </x:c>
    </x:row>
    <x:row r="2043">
      <x:c r="A2043" s="38" t="str">
        <x:v>7月29日现场数据</x:v>
      </x:c>
      <x:c r="B2043" s="66" t="str">
        <x:v>2026-07-29T17:53:37.928000</x:v>
      </x:c>
      <x:c r="C2043" s="47" t="n">
        <x:v>300970</x:v>
      </x:c>
      <x:c r="D2043" s="47" t="str"/>
      <x:c r="E2043" s="47" t="str"/>
      <x:c r="F2043" s="47" t="str">
        <x:v>current</x:v>
      </x:c>
      <x:c r="G2043" s="47" t="n">
        <x:v>208</x:v>
      </x:c>
      <x:c r="H2043" s="53" t="b">
        <x:v>1</x:v>
      </x:c>
      <x:c r="I2043" s="47" t="str">
        <x:v>578202819</x:v>
      </x:c>
      <x:c r="J2043" s="47" t="n">
        <x:v>62646473</x:v>
      </x:c>
      <x:c r="K2043" s="53" t="b">
        <x:v>1</x:v>
      </x:c>
      <x:c r="L2043" s="53" t="b">
        <x:v>1</x:v>
      </x:c>
      <x:c r="M2043" s="53" t="b">
        <x:v>1</x:v>
      </x:c>
      <x:c r="N2043" s="53" t="b">
        <x:v>1</x:v>
      </x:c>
      <x:c r="O2043" s="53" t="b">
        <x:v>1</x:v>
      </x:c>
      <x:c r="P2043" s="47" t="n">
        <x:v>1010</x:v>
      </x:c>
      <x:c r="Q2043" s="47" t="n">
        <x:v>0</x:v>
      </x:c>
      <x:c r="R2043" s="47" t="n">
        <x:v>0</x:v>
      </x:c>
      <x:c r="S2043" s="47" t="n">
        <x:v>37.02</x:v>
      </x:c>
      <x:c r="T2043" s="47" t="n">
        <x:v>55.81</x:v>
      </x:c>
      <x:c r="U2043" s="47" t="n">
        <x:v>33</x:v>
      </x:c>
      <x:c r="V2043" s="47" t="n">
        <x:v>13</x:v>
      </x:c>
      <x:c r="W2043" s="47" t="n">
        <x:v>12</x:v>
      </x:c>
      <x:c r="X2043" s="47" t="n">
        <x:v>46</x:v>
      </x:c>
      <x:c r="Y2043" s="41" t="n">
        <x:v>34</x:v>
      </x:c>
    </x:row>
    <x:row r="2044">
      <x:c r="A2044" s="38" t="str">
        <x:v>7月29日现场数据</x:v>
      </x:c>
      <x:c r="B2044" s="66" t="str">
        <x:v>2026-07-29T17:58:38.898000</x:v>
      </x:c>
      <x:c r="C2044" s="47" t="n">
        <x:v>300970</x:v>
      </x:c>
      <x:c r="D2044" s="47" t="str"/>
      <x:c r="E2044" s="47" t="str"/>
      <x:c r="F2044" s="47" t="str">
        <x:v>current</x:v>
      </x:c>
      <x:c r="G2044" s="47" t="n">
        <x:v>209</x:v>
      </x:c>
      <x:c r="H2044" s="53" t="b">
        <x:v>1</x:v>
      </x:c>
      <x:c r="I2044" s="47" t="str">
        <x:v>578202819</x:v>
      </x:c>
      <x:c r="J2044" s="47" t="n">
        <x:v>62947443</x:v>
      </x:c>
      <x:c r="K2044" s="53" t="b">
        <x:v>1</x:v>
      </x:c>
      <x:c r="L2044" s="53" t="b">
        <x:v>1</x:v>
      </x:c>
      <x:c r="M2044" s="53" t="b">
        <x:v>1</x:v>
      </x:c>
      <x:c r="N2044" s="53" t="b">
        <x:v>1</x:v>
      </x:c>
      <x:c r="O2044" s="53" t="b">
        <x:v>1</x:v>
      </x:c>
      <x:c r="P2044" s="47" t="n">
        <x:v>1010</x:v>
      </x:c>
      <x:c r="Q2044" s="47" t="n">
        <x:v>0</x:v>
      </x:c>
      <x:c r="R2044" s="47" t="n">
        <x:v>0</x:v>
      </x:c>
      <x:c r="S2044" s="47" t="n">
        <x:v>36.72</x:v>
      </x:c>
      <x:c r="T2044" s="47" t="n">
        <x:v>55.68</x:v>
      </x:c>
      <x:c r="U2044" s="47" t="n">
        <x:v>33</x:v>
      </x:c>
      <x:c r="V2044" s="47" t="n">
        <x:v>13</x:v>
      </x:c>
      <x:c r="W2044" s="47" t="n">
        <x:v>10</x:v>
      </x:c>
      <x:c r="X2044" s="47" t="n">
        <x:v>39</x:v>
      </x:c>
      <x:c r="Y2044" s="41" t="n">
        <x:v>29</x:v>
      </x:c>
    </x:row>
    <x:row r="2045">
      <x:c r="A2045" s="38" t="str">
        <x:v>7月29日现场数据</x:v>
      </x:c>
      <x:c r="B2045" s="66" t="str">
        <x:v>2026-07-29T18:03:39.870000</x:v>
      </x:c>
      <x:c r="C2045" s="47" t="n">
        <x:v>300972</x:v>
      </x:c>
      <x:c r="D2045" s="47" t="str"/>
      <x:c r="E2045" s="47" t="str"/>
      <x:c r="F2045" s="47" t="str">
        <x:v>current</x:v>
      </x:c>
      <x:c r="G2045" s="47" t="n">
        <x:v>210</x:v>
      </x:c>
      <x:c r="H2045" s="53" t="b">
        <x:v>1</x:v>
      </x:c>
      <x:c r="I2045" s="47" t="str">
        <x:v>578202819</x:v>
      </x:c>
      <x:c r="J2045" s="47" t="n">
        <x:v>63248415</x:v>
      </x:c>
      <x:c r="K2045" s="53" t="b">
        <x:v>1</x:v>
      </x:c>
      <x:c r="L2045" s="53" t="b">
        <x:v>1</x:v>
      </x:c>
      <x:c r="M2045" s="53" t="b">
        <x:v>1</x:v>
      </x:c>
      <x:c r="N2045" s="53" t="b">
        <x:v>1</x:v>
      </x:c>
      <x:c r="O2045" s="53" t="b">
        <x:v>1</x:v>
      </x:c>
      <x:c r="P2045" s="47" t="n">
        <x:v>1010</x:v>
      </x:c>
      <x:c r="Q2045" s="47" t="n">
        <x:v>0</x:v>
      </x:c>
      <x:c r="R2045" s="47" t="n">
        <x:v>0</x:v>
      </x:c>
      <x:c r="S2045" s="47" t="n">
        <x:v>36.68</x:v>
      </x:c>
      <x:c r="T2045" s="47" t="n">
        <x:v>55.59</x:v>
      </x:c>
      <x:c r="U2045" s="47" t="n">
        <x:v>33</x:v>
      </x:c>
      <x:c r="V2045" s="47" t="n">
        <x:v>12.9</x:v>
      </x:c>
      <x:c r="W2045" s="47" t="n">
        <x:v>9</x:v>
      </x:c>
      <x:c r="X2045" s="47" t="n">
        <x:v>35</x:v>
      </x:c>
      <x:c r="Y2045" s="41" t="n">
        <x:v>26</x:v>
      </x:c>
    </x:row>
    <x:row r="2046">
      <x:c r="A2046" s="38" t="str">
        <x:v>7月29日现场数据</x:v>
      </x:c>
      <x:c r="B2046" s="66" t="str">
        <x:v>2026-07-29T18:08:40.844000</x:v>
      </x:c>
      <x:c r="C2046" s="47" t="n">
        <x:v>300974</x:v>
      </x:c>
      <x:c r="D2046" s="47" t="str"/>
      <x:c r="E2046" s="47" t="str"/>
      <x:c r="F2046" s="47" t="str">
        <x:v>current</x:v>
      </x:c>
      <x:c r="G2046" s="47" t="n">
        <x:v>211</x:v>
      </x:c>
      <x:c r="H2046" s="53" t="b">
        <x:v>1</x:v>
      </x:c>
      <x:c r="I2046" s="47" t="str">
        <x:v>578202819</x:v>
      </x:c>
      <x:c r="J2046" s="47" t="n">
        <x:v>63549389</x:v>
      </x:c>
      <x:c r="K2046" s="53" t="b">
        <x:v>1</x:v>
      </x:c>
      <x:c r="L2046" s="53" t="b">
        <x:v>1</x:v>
      </x:c>
      <x:c r="M2046" s="53" t="b">
        <x:v>1</x:v>
      </x:c>
      <x:c r="N2046" s="53" t="b">
        <x:v>1</x:v>
      </x:c>
      <x:c r="O2046" s="53" t="b">
        <x:v>1</x:v>
      </x:c>
      <x:c r="P2046" s="47" t="n">
        <x:v>1010</x:v>
      </x:c>
      <x:c r="Q2046" s="47" t="n">
        <x:v>0</x:v>
      </x:c>
      <x:c r="R2046" s="47" t="n">
        <x:v>0</x:v>
      </x:c>
      <x:c r="S2046" s="47" t="n">
        <x:v>36.52</x:v>
      </x:c>
      <x:c r="T2046" s="47" t="n">
        <x:v>55.48</x:v>
      </x:c>
      <x:c r="U2046" s="47" t="n">
        <x:v>32.9</x:v>
      </x:c>
      <x:c r="V2046" s="47" t="n">
        <x:v>13</x:v>
      </x:c>
      <x:c r="W2046" s="47" t="n">
        <x:v>4</x:v>
      </x:c>
      <x:c r="X2046" s="47" t="n">
        <x:v>19</x:v>
      </x:c>
      <x:c r="Y2046" s="41" t="n">
        <x:v>15</x:v>
      </x:c>
    </x:row>
    <x:row r="2047">
      <x:c r="A2047" s="38" t="str">
        <x:v>7月29日现场数据</x:v>
      </x:c>
      <x:c r="B2047" s="66" t="str">
        <x:v>2026-07-29T18:13:41.821000</x:v>
      </x:c>
      <x:c r="C2047" s="47" t="n">
        <x:v>300977</x:v>
      </x:c>
      <x:c r="D2047" s="47" t="str"/>
      <x:c r="E2047" s="47" t="str"/>
      <x:c r="F2047" s="47" t="str">
        <x:v>current</x:v>
      </x:c>
      <x:c r="G2047" s="47" t="n">
        <x:v>212</x:v>
      </x:c>
      <x:c r="H2047" s="53" t="b">
        <x:v>1</x:v>
      </x:c>
      <x:c r="I2047" s="47" t="str">
        <x:v>578202819</x:v>
      </x:c>
      <x:c r="J2047" s="47" t="n">
        <x:v>63850366</x:v>
      </x:c>
      <x:c r="K2047" s="53" t="b">
        <x:v>1</x:v>
      </x:c>
      <x:c r="L2047" s="53" t="b">
        <x:v>1</x:v>
      </x:c>
      <x:c r="M2047" s="53" t="b">
        <x:v>1</x:v>
      </x:c>
      <x:c r="N2047" s="53" t="b">
        <x:v>1</x:v>
      </x:c>
      <x:c r="O2047" s="53" t="b">
        <x:v>1</x:v>
      </x:c>
      <x:c r="P2047" s="47" t="n">
        <x:v>1010</x:v>
      </x:c>
      <x:c r="Q2047" s="47" t="n">
        <x:v>0</x:v>
      </x:c>
      <x:c r="R2047" s="47" t="n">
        <x:v>0</x:v>
      </x:c>
      <x:c r="S2047" s="47" t="n">
        <x:v>36.22</x:v>
      </x:c>
      <x:c r="T2047" s="47" t="n">
        <x:v>55.41</x:v>
      </x:c>
      <x:c r="U2047" s="47" t="n">
        <x:v>32.9</x:v>
      </x:c>
      <x:c r="V2047" s="47" t="n">
        <x:v>12.9</x:v>
      </x:c>
      <x:c r="W2047" s="47" t="n">
        <x:v>3</x:v>
      </x:c>
      <x:c r="X2047" s="47" t="n">
        <x:v>13</x:v>
      </x:c>
      <x:c r="Y2047" s="41" t="n">
        <x:v>10</x:v>
      </x:c>
    </x:row>
    <x:row r="2048">
      <x:c r="A2048" s="38" t="str">
        <x:v>7月29日现场数据</x:v>
      </x:c>
      <x:c r="B2048" s="66" t="str">
        <x:v>2026-07-29T21:27:52.856000</x:v>
      </x:c>
      <x:c r="C2048" s="47" t="n">
        <x:v>11651035</x:v>
      </x:c>
      <x:c r="D2048" s="47" t="str">
        <x:v>采样空档</x:v>
      </x:c>
      <x:c r="E2048" s="47" t="str">
        <x:v>同一启动会话内 uptime 增加约 194.2 分钟</x:v>
      </x:c>
      <x:c r="F2048" s="47" t="str">
        <x:v>current</x:v>
      </x:c>
      <x:c r="G2048" s="47" t="n">
        <x:v>213</x:v>
      </x:c>
      <x:c r="H2048" s="53" t="b">
        <x:v>1</x:v>
      </x:c>
      <x:c r="I2048" s="47" t="str">
        <x:v>578202819</x:v>
      </x:c>
      <x:c r="J2048" s="47" t="n">
        <x:v>75501401</x:v>
      </x:c>
      <x:c r="K2048" s="53" t="b">
        <x:v>1</x:v>
      </x:c>
      <x:c r="L2048" s="53" t="b">
        <x:v>1</x:v>
      </x:c>
      <x:c r="M2048" s="53" t="b">
        <x:v>1</x:v>
      </x:c>
      <x:c r="N2048" s="53" t="b">
        <x:v>1</x:v>
      </x:c>
      <x:c r="O2048" s="53" t="b">
        <x:v>1</x:v>
      </x:c>
      <x:c r="P2048" s="47" t="n">
        <x:v>1012</x:v>
      </x:c>
      <x:c r="Q2048" s="47" t="n">
        <x:v>0</x:v>
      </x:c>
      <x:c r="R2048" s="47" t="n">
        <x:v>0</x:v>
      </x:c>
      <x:c r="S2048" s="47" t="n">
        <x:v>32.85</x:v>
      </x:c>
      <x:c r="T2048" s="47" t="n">
        <x:v>54.72</x:v>
      </x:c>
      <x:c r="U2048" s="47" t="n">
        <x:v>31.7</x:v>
      </x:c>
      <x:c r="V2048" s="47" t="n">
        <x:v>12.6</x:v>
      </x:c>
      <x:c r="W2048" s="47" t="n">
        <x:v>0</x:v>
      </x:c>
      <x:c r="X2048" s="47" t="n">
        <x:v>0</x:v>
      </x:c>
      <x:c r="Y2048" s="41" t="n">
        <x:v>0</x:v>
      </x:c>
    </x:row>
    <x:row r="2049">
      <x:c r="A2049" s="38" t="str">
        <x:v>7月29日现场数据</x:v>
      </x:c>
      <x:c r="B2049" s="66" t="str">
        <x:v>2026-07-29T22:51:21.025000</x:v>
      </x:c>
      <x:c r="C2049" s="47" t="n">
        <x:v>5008169</x:v>
      </x:c>
      <x:c r="D2049" s="47" t="str">
        <x:v>采样空档</x:v>
      </x:c>
      <x:c r="E2049" s="47" t="str">
        <x:v>同一启动会话内 uptime 增加约 83.5 分钟</x:v>
      </x:c>
      <x:c r="F2049" s="47" t="str">
        <x:v>current</x:v>
      </x:c>
      <x:c r="G2049" s="47" t="n">
        <x:v>214</x:v>
      </x:c>
      <x:c r="H2049" s="53" t="b">
        <x:v>1</x:v>
      </x:c>
      <x:c r="I2049" s="47" t="str">
        <x:v>578202819</x:v>
      </x:c>
      <x:c r="J2049" s="47" t="n">
        <x:v>80509570</x:v>
      </x:c>
      <x:c r="K2049" s="53" t="b">
        <x:v>1</x:v>
      </x:c>
      <x:c r="L2049" s="53" t="b">
        <x:v>1</x:v>
      </x:c>
      <x:c r="M2049" s="53" t="b">
        <x:v>1</x:v>
      </x:c>
      <x:c r="N2049" s="53" t="b">
        <x:v>1</x:v>
      </x:c>
      <x:c r="O2049" s="53" t="b">
        <x:v>1</x:v>
      </x:c>
      <x:c r="P2049" s="47" t="n">
        <x:v>1011</x:v>
      </x:c>
      <x:c r="Q2049" s="47" t="n">
        <x:v>0</x:v>
      </x:c>
      <x:c r="R2049" s="47" t="n">
        <x:v>0</x:v>
      </x:c>
      <x:c r="S2049" s="47" t="n">
        <x:v>32.16</x:v>
      </x:c>
      <x:c r="T2049" s="47" t="n">
        <x:v>55.15</x:v>
      </x:c>
      <x:c r="U2049" s="47" t="n">
        <x:v>31.5</x:v>
      </x:c>
      <x:c r="V2049" s="47" t="n">
        <x:v>12.8</x:v>
      </x:c>
      <x:c r="W2049" s="47" t="n">
        <x:v>0</x:v>
      </x:c>
      <x:c r="X2049" s="47" t="n">
        <x:v>0</x:v>
      </x:c>
      <x:c r="Y2049" s="41" t="n">
        <x:v>0</x:v>
      </x:c>
    </x:row>
    <x:row r="2050">
      <x:c r="A2050" s="38" t="str">
        <x:v>7月29日现场数据</x:v>
      </x:c>
      <x:c r="B2050" s="66" t="str">
        <x:v>2026-07-29T22:56:21.983000</x:v>
      </x:c>
      <x:c r="C2050" s="47" t="n">
        <x:v>300958</x:v>
      </x:c>
      <x:c r="D2050" s="47" t="str"/>
      <x:c r="E2050" s="47" t="str"/>
      <x:c r="F2050" s="47" t="str">
        <x:v>current</x:v>
      </x:c>
      <x:c r="G2050" s="47" t="n">
        <x:v>215</x:v>
      </x:c>
      <x:c r="H2050" s="53" t="b">
        <x:v>1</x:v>
      </x:c>
      <x:c r="I2050" s="47" t="str">
        <x:v>578202819</x:v>
      </x:c>
      <x:c r="J2050" s="47" t="n">
        <x:v>80810528</x:v>
      </x:c>
      <x:c r="K2050" s="53" t="b">
        <x:v>1</x:v>
      </x:c>
      <x:c r="L2050" s="53" t="b">
        <x:v>1</x:v>
      </x:c>
      <x:c r="M2050" s="53" t="b">
        <x:v>1</x:v>
      </x:c>
      <x:c r="N2050" s="53" t="b">
        <x:v>1</x:v>
      </x:c>
      <x:c r="O2050" s="53" t="b">
        <x:v>1</x:v>
      </x:c>
      <x:c r="P2050" s="47" t="n">
        <x:v>1011</x:v>
      </x:c>
      <x:c r="Q2050" s="47" t="n">
        <x:v>0</x:v>
      </x:c>
      <x:c r="R2050" s="47" t="n">
        <x:v>0</x:v>
      </x:c>
      <x:c r="S2050" s="47" t="n">
        <x:v>32.16</x:v>
      </x:c>
      <x:c r="T2050" s="47" t="n">
        <x:v>55.2</x:v>
      </x:c>
      <x:c r="U2050" s="47" t="n">
        <x:v>31.5</x:v>
      </x:c>
      <x:c r="V2050" s="47" t="n">
        <x:v>12.7</x:v>
      </x:c>
      <x:c r="W2050" s="47" t="n">
        <x:v>0</x:v>
      </x:c>
      <x:c r="X2050" s="47" t="n">
        <x:v>0</x:v>
      </x:c>
      <x:c r="Y2050" s="41" t="n">
        <x:v>0</x:v>
      </x:c>
    </x:row>
    <x:row r="2051">
      <x:c r="A2051" s="38" t="str">
        <x:v>7月29日现场数据</x:v>
      </x:c>
      <x:c r="B2051" s="66" t="str">
        <x:v>2026-07-29T23:01:22.940000</x:v>
      </x:c>
      <x:c r="C2051" s="47" t="n">
        <x:v>300957</x:v>
      </x:c>
      <x:c r="D2051" s="47" t="str"/>
      <x:c r="E2051" s="47" t="str"/>
      <x:c r="F2051" s="47" t="str">
        <x:v>current</x:v>
      </x:c>
      <x:c r="G2051" s="47" t="n">
        <x:v>216</x:v>
      </x:c>
      <x:c r="H2051" s="53" t="b">
        <x:v>1</x:v>
      </x:c>
      <x:c r="I2051" s="47" t="str">
        <x:v>578202819</x:v>
      </x:c>
      <x:c r="J2051" s="47" t="n">
        <x:v>81111485</x:v>
      </x:c>
      <x:c r="K2051" s="53" t="b">
        <x:v>1</x:v>
      </x:c>
      <x:c r="L2051" s="53" t="b">
        <x:v>1</x:v>
      </x:c>
      <x:c r="M2051" s="53" t="b">
        <x:v>1</x:v>
      </x:c>
      <x:c r="N2051" s="53" t="b">
        <x:v>1</x:v>
      </x:c>
      <x:c r="O2051" s="53" t="b">
        <x:v>1</x:v>
      </x:c>
      <x:c r="P2051" s="47" t="n">
        <x:v>1011</x:v>
      </x:c>
      <x:c r="Q2051" s="47" t="n">
        <x:v>0</x:v>
      </x:c>
      <x:c r="R2051" s="47" t="n">
        <x:v>0</x:v>
      </x:c>
      <x:c r="S2051" s="47" t="n">
        <x:v>32.12</x:v>
      </x:c>
      <x:c r="T2051" s="47" t="n">
        <x:v>55.16</x:v>
      </x:c>
      <x:c r="U2051" s="47" t="n">
        <x:v>31.4</x:v>
      </x:c>
      <x:c r="V2051" s="47" t="n">
        <x:v>12.8</x:v>
      </x:c>
      <x:c r="W2051" s="47" t="n">
        <x:v>0</x:v>
      </x:c>
      <x:c r="X2051" s="47" t="n">
        <x:v>0</x:v>
      </x:c>
      <x:c r="Y2051" s="41" t="n">
        <x:v>0</x:v>
      </x:c>
    </x:row>
    <x:row r="2052">
      <x:c r="A2052" s="38" t="str">
        <x:v>7月29日现场数据</x:v>
      </x:c>
      <x:c r="B2052" s="66" t="str">
        <x:v>2026-07-29T23:06:23.899000</x:v>
      </x:c>
      <x:c r="C2052" s="47" t="n">
        <x:v>300959</x:v>
      </x:c>
      <x:c r="D2052" s="47" t="str"/>
      <x:c r="E2052" s="47" t="str"/>
      <x:c r="F2052" s="47" t="str">
        <x:v>current</x:v>
      </x:c>
      <x:c r="G2052" s="47" t="n">
        <x:v>217</x:v>
      </x:c>
      <x:c r="H2052" s="53" t="b">
        <x:v>1</x:v>
      </x:c>
      <x:c r="I2052" s="47" t="str">
        <x:v>578202819</x:v>
      </x:c>
      <x:c r="J2052" s="47" t="n">
        <x:v>81412444</x:v>
      </x:c>
      <x:c r="K2052" s="53" t="b">
        <x:v>1</x:v>
      </x:c>
      <x:c r="L2052" s="53" t="b">
        <x:v>1</x:v>
      </x:c>
      <x:c r="M2052" s="53" t="b">
        <x:v>1</x:v>
      </x:c>
      <x:c r="N2052" s="53" t="b">
        <x:v>1</x:v>
      </x:c>
      <x:c r="O2052" s="53" t="b">
        <x:v>1</x:v>
      </x:c>
      <x:c r="P2052" s="47" t="n">
        <x:v>1011</x:v>
      </x:c>
      <x:c r="Q2052" s="47" t="n">
        <x:v>0</x:v>
      </x:c>
      <x:c r="R2052" s="47" t="n">
        <x:v>0</x:v>
      </x:c>
      <x:c r="S2052" s="47" t="n">
        <x:v>32.06</x:v>
      </x:c>
      <x:c r="T2052" s="47" t="n">
        <x:v>55.19</x:v>
      </x:c>
      <x:c r="U2052" s="47" t="n">
        <x:v>31.5</x:v>
      </x:c>
      <x:c r="V2052" s="47" t="n">
        <x:v>12.7</x:v>
      </x:c>
      <x:c r="W2052" s="47" t="n">
        <x:v>0</x:v>
      </x:c>
      <x:c r="X2052" s="47" t="n">
        <x:v>0</x:v>
      </x:c>
      <x:c r="Y2052" s="41" t="n">
        <x:v>0</x:v>
      </x:c>
    </x:row>
    <x:row r="2053">
      <x:c r="A2053" s="38" t="str">
        <x:v>7月29日现场数据</x:v>
      </x:c>
      <x:c r="B2053" s="66" t="str">
        <x:v>2026-07-29T23:11:24.859000</x:v>
      </x:c>
      <x:c r="C2053" s="47" t="n">
        <x:v>300960</x:v>
      </x:c>
      <x:c r="D2053" s="47" t="str"/>
      <x:c r="E2053" s="47" t="str"/>
      <x:c r="F2053" s="47" t="str">
        <x:v>current</x:v>
      </x:c>
      <x:c r="G2053" s="47" t="n">
        <x:v>218</x:v>
      </x:c>
      <x:c r="H2053" s="53" t="b">
        <x:v>1</x:v>
      </x:c>
      <x:c r="I2053" s="47" t="str">
        <x:v>578202819</x:v>
      </x:c>
      <x:c r="J2053" s="47" t="n">
        <x:v>81713404</x:v>
      </x:c>
      <x:c r="K2053" s="53" t="b">
        <x:v>1</x:v>
      </x:c>
      <x:c r="L2053" s="53" t="b">
        <x:v>1</x:v>
      </x:c>
      <x:c r="M2053" s="53" t="b">
        <x:v>1</x:v>
      </x:c>
      <x:c r="N2053" s="53" t="b">
        <x:v>1</x:v>
      </x:c>
      <x:c r="O2053" s="53" t="b">
        <x:v>1</x:v>
      </x:c>
      <x:c r="P2053" s="47" t="n">
        <x:v>1011</x:v>
      </x:c>
      <x:c r="Q2053" s="47" t="n">
        <x:v>0</x:v>
      </x:c>
      <x:c r="R2053" s="47" t="n">
        <x:v>0</x:v>
      </x:c>
      <x:c r="S2053" s="47" t="n">
        <x:v>32.03</x:v>
      </x:c>
      <x:c r="T2053" s="47" t="n">
        <x:v>55.22</x:v>
      </x:c>
      <x:c r="U2053" s="47" t="n">
        <x:v>31.4</x:v>
      </x:c>
      <x:c r="V2053" s="47" t="n">
        <x:v>12.7</x:v>
      </x:c>
      <x:c r="W2053" s="47" t="n">
        <x:v>0</x:v>
      </x:c>
      <x:c r="X2053" s="47" t="n">
        <x:v>0</x:v>
      </x:c>
      <x:c r="Y2053" s="41" t="n">
        <x:v>0</x:v>
      </x:c>
    </x:row>
    <x:row r="2054">
      <x:c r="A2054" s="38" t="str">
        <x:v>7月29日现场数据</x:v>
      </x:c>
      <x:c r="B2054" s="66" t="str">
        <x:v>2026-07-29T23:16:25.820000</x:v>
      </x:c>
      <x:c r="C2054" s="47" t="n">
        <x:v>300961</x:v>
      </x:c>
      <x:c r="D2054" s="47" t="str"/>
      <x:c r="E2054" s="47" t="str"/>
      <x:c r="F2054" s="47" t="str">
        <x:v>current</x:v>
      </x:c>
      <x:c r="G2054" s="47" t="n">
        <x:v>219</x:v>
      </x:c>
      <x:c r="H2054" s="53" t="b">
        <x:v>1</x:v>
      </x:c>
      <x:c r="I2054" s="47" t="str">
        <x:v>578202819</x:v>
      </x:c>
      <x:c r="J2054" s="47" t="n">
        <x:v>82014365</x:v>
      </x:c>
      <x:c r="K2054" s="53" t="b">
        <x:v>1</x:v>
      </x:c>
      <x:c r="L2054" s="53" t="b">
        <x:v>1</x:v>
      </x:c>
      <x:c r="M2054" s="53" t="b">
        <x:v>1</x:v>
      </x:c>
      <x:c r="N2054" s="53" t="b">
        <x:v>1</x:v>
      </x:c>
      <x:c r="O2054" s="53" t="b">
        <x:v>1</x:v>
      </x:c>
      <x:c r="P2054" s="47" t="n">
        <x:v>1011</x:v>
      </x:c>
      <x:c r="Q2054" s="47" t="n">
        <x:v>0</x:v>
      </x:c>
      <x:c r="R2054" s="47" t="n">
        <x:v>0</x:v>
      </x:c>
      <x:c r="S2054" s="47" t="n">
        <x:v>32.05</x:v>
      </x:c>
      <x:c r="T2054" s="47" t="n">
        <x:v>55.33</x:v>
      </x:c>
      <x:c r="U2054" s="47" t="n">
        <x:v>31.4</x:v>
      </x:c>
      <x:c r="V2054" s="47" t="n">
        <x:v>12.9</x:v>
      </x:c>
      <x:c r="W2054" s="47" t="n">
        <x:v>0</x:v>
      </x:c>
      <x:c r="X2054" s="47" t="n">
        <x:v>0</x:v>
      </x:c>
      <x:c r="Y2054" s="41" t="n">
        <x:v>0</x:v>
      </x:c>
    </x:row>
    <x:row r="2055">
      <x:c r="A2055" s="38" t="str">
        <x:v>7月29日现场数据</x:v>
      </x:c>
      <x:c r="B2055" s="66" t="str">
        <x:v>2026-07-29T23:21:26.785000</x:v>
      </x:c>
      <x:c r="C2055" s="47" t="n">
        <x:v>300965</x:v>
      </x:c>
      <x:c r="D2055" s="47" t="str"/>
      <x:c r="E2055" s="47" t="str"/>
      <x:c r="F2055" s="47" t="str">
        <x:v>current</x:v>
      </x:c>
      <x:c r="G2055" s="47" t="n">
        <x:v>220</x:v>
      </x:c>
      <x:c r="H2055" s="53" t="b">
        <x:v>1</x:v>
      </x:c>
      <x:c r="I2055" s="47" t="str">
        <x:v>578202819</x:v>
      </x:c>
      <x:c r="J2055" s="47" t="n">
        <x:v>82315330</x:v>
      </x:c>
      <x:c r="K2055" s="53" t="b">
        <x:v>1</x:v>
      </x:c>
      <x:c r="L2055" s="53" t="b">
        <x:v>1</x:v>
      </x:c>
      <x:c r="M2055" s="53" t="b">
        <x:v>1</x:v>
      </x:c>
      <x:c r="N2055" s="53" t="b">
        <x:v>1</x:v>
      </x:c>
      <x:c r="O2055" s="53" t="b">
        <x:v>1</x:v>
      </x:c>
      <x:c r="P2055" s="47" t="n">
        <x:v>1011</x:v>
      </x:c>
      <x:c r="Q2055" s="47" t="n">
        <x:v>0</x:v>
      </x:c>
      <x:c r="R2055" s="47" t="n">
        <x:v>0</x:v>
      </x:c>
      <x:c r="S2055" s="47" t="n">
        <x:v>32.03</x:v>
      </x:c>
      <x:c r="T2055" s="47" t="n">
        <x:v>55.35</x:v>
      </x:c>
      <x:c r="U2055" s="47" t="n">
        <x:v>31.4</x:v>
      </x:c>
      <x:c r="V2055" s="47" t="n">
        <x:v>12.9</x:v>
      </x:c>
      <x:c r="W2055" s="47" t="n">
        <x:v>0</x:v>
      </x:c>
      <x:c r="X2055" s="47" t="n">
        <x:v>0</x:v>
      </x:c>
      <x:c r="Y2055" s="41" t="n">
        <x:v>0</x:v>
      </x:c>
    </x:row>
    <x:row r="2056">
      <x:c r="A2056" s="38" t="str">
        <x:v>7月29日现场数据</x:v>
      </x:c>
      <x:c r="B2056" s="66" t="str">
        <x:v>2026-07-29T23:26:27.752000</x:v>
      </x:c>
      <x:c r="C2056" s="47" t="n">
        <x:v>300967</x:v>
      </x:c>
      <x:c r="D2056" s="47" t="str"/>
      <x:c r="E2056" s="47" t="str"/>
      <x:c r="F2056" s="47" t="str">
        <x:v>current</x:v>
      </x:c>
      <x:c r="G2056" s="47" t="n">
        <x:v>221</x:v>
      </x:c>
      <x:c r="H2056" s="53" t="b">
        <x:v>1</x:v>
      </x:c>
      <x:c r="I2056" s="47" t="str">
        <x:v>578202819</x:v>
      </x:c>
      <x:c r="J2056" s="47" t="n">
        <x:v>82616297</x:v>
      </x:c>
      <x:c r="K2056" s="53" t="b">
        <x:v>1</x:v>
      </x:c>
      <x:c r="L2056" s="53" t="b">
        <x:v>1</x:v>
      </x:c>
      <x:c r="M2056" s="53" t="b">
        <x:v>1</x:v>
      </x:c>
      <x:c r="N2056" s="53" t="b">
        <x:v>1</x:v>
      </x:c>
      <x:c r="O2056" s="53" t="b">
        <x:v>1</x:v>
      </x:c>
      <x:c r="P2056" s="47" t="n">
        <x:v>1011</x:v>
      </x:c>
      <x:c r="Q2056" s="47" t="n">
        <x:v>0</x:v>
      </x:c>
      <x:c r="R2056" s="47" t="n">
        <x:v>0</x:v>
      </x:c>
      <x:c r="S2056" s="47" t="n">
        <x:v>32.01</x:v>
      </x:c>
      <x:c r="T2056" s="47" t="n">
        <x:v>55.42</x:v>
      </x:c>
      <x:c r="U2056" s="47" t="n">
        <x:v>31.4</x:v>
      </x:c>
      <x:c r="V2056" s="47" t="n">
        <x:v>12.9</x:v>
      </x:c>
      <x:c r="W2056" s="47" t="n">
        <x:v>0</x:v>
      </x:c>
      <x:c r="X2056" s="47" t="n">
        <x:v>0</x:v>
      </x:c>
      <x:c r="Y2056" s="41" t="n">
        <x:v>0</x:v>
      </x:c>
    </x:row>
    <x:row r="2057">
      <x:c r="A2057" s="38" t="str">
        <x:v>7月29日现场数据</x:v>
      </x:c>
      <x:c r="B2057" s="66" t="str">
        <x:v>2026-07-29T23:31:28.719000</x:v>
      </x:c>
      <x:c r="C2057" s="47" t="n">
        <x:v>300967</x:v>
      </x:c>
      <x:c r="D2057" s="47" t="str"/>
      <x:c r="E2057" s="47" t="str"/>
      <x:c r="F2057" s="47" t="str">
        <x:v>current</x:v>
      </x:c>
      <x:c r="G2057" s="47" t="n">
        <x:v>222</x:v>
      </x:c>
      <x:c r="H2057" s="53" t="b">
        <x:v>1</x:v>
      </x:c>
      <x:c r="I2057" s="47" t="str">
        <x:v>578202819</x:v>
      </x:c>
      <x:c r="J2057" s="47" t="n">
        <x:v>82917264</x:v>
      </x:c>
      <x:c r="K2057" s="53" t="b">
        <x:v>1</x:v>
      </x:c>
      <x:c r="L2057" s="53" t="b">
        <x:v>1</x:v>
      </x:c>
      <x:c r="M2057" s="53" t="b">
        <x:v>1</x:v>
      </x:c>
      <x:c r="N2057" s="53" t="b">
        <x:v>1</x:v>
      </x:c>
      <x:c r="O2057" s="53" t="b">
        <x:v>1</x:v>
      </x:c>
      <x:c r="P2057" s="47" t="n">
        <x:v>1011</x:v>
      </x:c>
      <x:c r="Q2057" s="47" t="n">
        <x:v>0</x:v>
      </x:c>
      <x:c r="R2057" s="47" t="n">
        <x:v>0</x:v>
      </x:c>
      <x:c r="S2057" s="47" t="n">
        <x:v>31.97</x:v>
      </x:c>
      <x:c r="T2057" s="47" t="n">
        <x:v>55.47</x:v>
      </x:c>
      <x:c r="U2057" s="47" t="n">
        <x:v>31.4</x:v>
      </x:c>
      <x:c r="V2057" s="47" t="n">
        <x:v>12.8</x:v>
      </x:c>
      <x:c r="W2057" s="47" t="n">
        <x:v>0</x:v>
      </x:c>
      <x:c r="X2057" s="47" t="n">
        <x:v>0</x:v>
      </x:c>
      <x:c r="Y2057" s="41" t="n">
        <x:v>0</x:v>
      </x:c>
    </x:row>
    <x:row r="2058">
      <x:c r="A2058" s="38" t="str">
        <x:v>7月29日现场数据</x:v>
      </x:c>
      <x:c r="B2058" s="66" t="str">
        <x:v>2026-07-29T23:36:29.690000</x:v>
      </x:c>
      <x:c r="C2058" s="47" t="n">
        <x:v>300971</x:v>
      </x:c>
      <x:c r="D2058" s="47" t="str"/>
      <x:c r="E2058" s="47" t="str"/>
      <x:c r="F2058" s="47" t="str">
        <x:v>current</x:v>
      </x:c>
      <x:c r="G2058" s="47" t="n">
        <x:v>223</x:v>
      </x:c>
      <x:c r="H2058" s="53" t="b">
        <x:v>1</x:v>
      </x:c>
      <x:c r="I2058" s="47" t="str">
        <x:v>578202819</x:v>
      </x:c>
      <x:c r="J2058" s="47" t="n">
        <x:v>83218235</x:v>
      </x:c>
      <x:c r="K2058" s="53" t="b">
        <x:v>1</x:v>
      </x:c>
      <x:c r="L2058" s="53" t="b">
        <x:v>1</x:v>
      </x:c>
      <x:c r="M2058" s="53" t="b">
        <x:v>1</x:v>
      </x:c>
      <x:c r="N2058" s="53" t="b">
        <x:v>1</x:v>
      </x:c>
      <x:c r="O2058" s="53" t="b">
        <x:v>1</x:v>
      </x:c>
      <x:c r="P2058" s="47" t="n">
        <x:v>1011</x:v>
      </x:c>
      <x:c r="Q2058" s="47" t="n">
        <x:v>0</x:v>
      </x:c>
      <x:c r="R2058" s="47" t="n">
        <x:v>0</x:v>
      </x:c>
      <x:c r="S2058" s="47" t="n">
        <x:v>32.01</x:v>
      </x:c>
      <x:c r="T2058" s="47" t="n">
        <x:v>55.5</x:v>
      </x:c>
      <x:c r="U2058" s="47" t="n">
        <x:v>31.4</x:v>
      </x:c>
      <x:c r="V2058" s="47" t="n">
        <x:v>12.9</x:v>
      </x:c>
      <x:c r="W2058" s="47" t="n">
        <x:v>0</x:v>
      </x:c>
      <x:c r="X2058" s="47" t="n">
        <x:v>0</x:v>
      </x:c>
      <x:c r="Y2058" s="41" t="n">
        <x:v>0</x:v>
      </x:c>
    </x:row>
    <x:row r="2059">
      <x:c r="A2059" s="38" t="str">
        <x:v>7月29日现场数据</x:v>
      </x:c>
      <x:c r="B2059" s="66" t="str">
        <x:v>2026-07-29T23:41:30.661000</x:v>
      </x:c>
      <x:c r="C2059" s="47" t="n">
        <x:v>300971</x:v>
      </x:c>
      <x:c r="D2059" s="47" t="str"/>
      <x:c r="E2059" s="47" t="str"/>
      <x:c r="F2059" s="47" t="str">
        <x:v>current</x:v>
      </x:c>
      <x:c r="G2059" s="47" t="n">
        <x:v>224</x:v>
      </x:c>
      <x:c r="H2059" s="53" t="b">
        <x:v>1</x:v>
      </x:c>
      <x:c r="I2059" s="47" t="str">
        <x:v>578202819</x:v>
      </x:c>
      <x:c r="J2059" s="47" t="n">
        <x:v>83519206</x:v>
      </x:c>
      <x:c r="K2059" s="53" t="b">
        <x:v>1</x:v>
      </x:c>
      <x:c r="L2059" s="53" t="b">
        <x:v>1</x:v>
      </x:c>
      <x:c r="M2059" s="53" t="b">
        <x:v>1</x:v>
      </x:c>
      <x:c r="N2059" s="53" t="b">
        <x:v>1</x:v>
      </x:c>
      <x:c r="O2059" s="53" t="b">
        <x:v>1</x:v>
      </x:c>
      <x:c r="P2059" s="47" t="n">
        <x:v>1011</x:v>
      </x:c>
      <x:c r="Q2059" s="47" t="n">
        <x:v>0</x:v>
      </x:c>
      <x:c r="R2059" s="47" t="n">
        <x:v>0</x:v>
      </x:c>
      <x:c r="S2059" s="47" t="n">
        <x:v>31.91</x:v>
      </x:c>
      <x:c r="T2059" s="47" t="n">
        <x:v>55.51</x:v>
      </x:c>
      <x:c r="U2059" s="47" t="n">
        <x:v>31.4</x:v>
      </x:c>
      <x:c r="V2059" s="47" t="n">
        <x:v>12.9</x:v>
      </x:c>
      <x:c r="W2059" s="47" t="n">
        <x:v>0</x:v>
      </x:c>
      <x:c r="X2059" s="47" t="n">
        <x:v>0</x:v>
      </x:c>
      <x:c r="Y2059" s="41" t="n">
        <x:v>0</x:v>
      </x:c>
    </x:row>
    <x:row r="2060">
      <x:c r="A2060" s="38" t="str">
        <x:v>7月29日现场数据</x:v>
      </x:c>
      <x:c r="B2060" s="66" t="str">
        <x:v>2026-07-29T23:46:31.636000</x:v>
      </x:c>
      <x:c r="C2060" s="47" t="n">
        <x:v>300975</x:v>
      </x:c>
      <x:c r="D2060" s="47" t="str"/>
      <x:c r="E2060" s="47" t="str"/>
      <x:c r="F2060" s="47" t="str">
        <x:v>current</x:v>
      </x:c>
      <x:c r="G2060" s="47" t="n">
        <x:v>225</x:v>
      </x:c>
      <x:c r="H2060" s="53" t="b">
        <x:v>1</x:v>
      </x:c>
      <x:c r="I2060" s="47" t="str">
        <x:v>578202819</x:v>
      </x:c>
      <x:c r="J2060" s="47" t="n">
        <x:v>83820181</x:v>
      </x:c>
      <x:c r="K2060" s="53" t="b">
        <x:v>1</x:v>
      </x:c>
      <x:c r="L2060" s="53" t="b">
        <x:v>1</x:v>
      </x:c>
      <x:c r="M2060" s="53" t="b">
        <x:v>1</x:v>
      </x:c>
      <x:c r="N2060" s="53" t="b">
        <x:v>1</x:v>
      </x:c>
      <x:c r="O2060" s="53" t="b">
        <x:v>1</x:v>
      </x:c>
      <x:c r="P2060" s="47" t="n">
        <x:v>1011</x:v>
      </x:c>
      <x:c r="Q2060" s="47" t="n">
        <x:v>0</x:v>
      </x:c>
      <x:c r="R2060" s="47" t="n">
        <x:v>0</x:v>
      </x:c>
      <x:c r="S2060" s="47" t="n">
        <x:v>31.87</x:v>
      </x:c>
      <x:c r="T2060" s="47" t="n">
        <x:v>55.58</x:v>
      </x:c>
      <x:c r="U2060" s="47" t="n">
        <x:v>31.3</x:v>
      </x:c>
      <x:c r="V2060" s="47" t="n">
        <x:v>12.9</x:v>
      </x:c>
      <x:c r="W2060" s="47" t="n">
        <x:v>0</x:v>
      </x:c>
      <x:c r="X2060" s="47" t="n">
        <x:v>0</x:v>
      </x:c>
      <x:c r="Y2060" s="41" t="n">
        <x:v>0</x:v>
      </x:c>
    </x:row>
    <x:row r="2061">
      <x:c r="A2061" s="38" t="str">
        <x:v>7月29日现场数据</x:v>
      </x:c>
      <x:c r="B2061" s="66" t="str">
        <x:v>2026-07-29T23:51:32.610000</x:v>
      </x:c>
      <x:c r="C2061" s="47" t="n">
        <x:v>300974</x:v>
      </x:c>
      <x:c r="D2061" s="47" t="str"/>
      <x:c r="E2061" s="47" t="str"/>
      <x:c r="F2061" s="47" t="str">
        <x:v>current</x:v>
      </x:c>
      <x:c r="G2061" s="47" t="n">
        <x:v>226</x:v>
      </x:c>
      <x:c r="H2061" s="53" t="b">
        <x:v>1</x:v>
      </x:c>
      <x:c r="I2061" s="47" t="str">
        <x:v>578202819</x:v>
      </x:c>
      <x:c r="J2061" s="47" t="n">
        <x:v>84121155</x:v>
      </x:c>
      <x:c r="K2061" s="53" t="b">
        <x:v>1</x:v>
      </x:c>
      <x:c r="L2061" s="53" t="b">
        <x:v>1</x:v>
      </x:c>
      <x:c r="M2061" s="53" t="b">
        <x:v>1</x:v>
      </x:c>
      <x:c r="N2061" s="53" t="b">
        <x:v>1</x:v>
      </x:c>
      <x:c r="O2061" s="53" t="b">
        <x:v>1</x:v>
      </x:c>
      <x:c r="P2061" s="47" t="n">
        <x:v>1011</x:v>
      </x:c>
      <x:c r="Q2061" s="47" t="n">
        <x:v>0</x:v>
      </x:c>
      <x:c r="R2061" s="47" t="n">
        <x:v>0</x:v>
      </x:c>
      <x:c r="S2061" s="47" t="n">
        <x:v>31.88</x:v>
      </x:c>
      <x:c r="T2061" s="47" t="n">
        <x:v>55.63</x:v>
      </x:c>
      <x:c r="U2061" s="47" t="n">
        <x:v>31.3</x:v>
      </x:c>
      <x:c r="V2061" s="47" t="n">
        <x:v>12.9</x:v>
      </x:c>
      <x:c r="W2061" s="47" t="n">
        <x:v>0</x:v>
      </x:c>
      <x:c r="X2061" s="47" t="n">
        <x:v>0</x:v>
      </x:c>
      <x:c r="Y2061" s="41" t="n">
        <x:v>0</x:v>
      </x:c>
    </x:row>
    <x:row r="2062">
      <x:c r="A2062" s="38" t="str">
        <x:v>7月29日现场数据</x:v>
      </x:c>
      <x:c r="B2062" s="66" t="str">
        <x:v>2026-07-29T23:56:33.586000</x:v>
      </x:c>
      <x:c r="C2062" s="47" t="n">
        <x:v>300976</x:v>
      </x:c>
      <x:c r="D2062" s="47" t="str"/>
      <x:c r="E2062" s="47" t="str"/>
      <x:c r="F2062" s="47" t="str">
        <x:v>current</x:v>
      </x:c>
      <x:c r="G2062" s="47" t="n">
        <x:v>227</x:v>
      </x:c>
      <x:c r="H2062" s="53" t="b">
        <x:v>1</x:v>
      </x:c>
      <x:c r="I2062" s="47" t="str">
        <x:v>578202819</x:v>
      </x:c>
      <x:c r="J2062" s="47" t="n">
        <x:v>84422131</x:v>
      </x:c>
      <x:c r="K2062" s="53" t="b">
        <x:v>1</x:v>
      </x:c>
      <x:c r="L2062" s="53" t="b">
        <x:v>1</x:v>
      </x:c>
      <x:c r="M2062" s="53" t="b">
        <x:v>1</x:v>
      </x:c>
      <x:c r="N2062" s="53" t="b">
        <x:v>1</x:v>
      </x:c>
      <x:c r="O2062" s="53" t="b">
        <x:v>1</x:v>
      </x:c>
      <x:c r="P2062" s="47" t="n">
        <x:v>1011</x:v>
      </x:c>
      <x:c r="Q2062" s="47" t="n">
        <x:v>0</x:v>
      </x:c>
      <x:c r="R2062" s="47" t="n">
        <x:v>0</x:v>
      </x:c>
      <x:c r="S2062" s="47" t="n">
        <x:v>31.89</x:v>
      </x:c>
      <x:c r="T2062" s="47" t="n">
        <x:v>55.74</x:v>
      </x:c>
      <x:c r="U2062" s="47" t="n">
        <x:v>31.3</x:v>
      </x:c>
      <x:c r="V2062" s="47" t="n">
        <x:v>12.9</x:v>
      </x:c>
      <x:c r="W2062" s="47" t="n">
        <x:v>0</x:v>
      </x:c>
      <x:c r="X2062" s="47" t="n">
        <x:v>0</x:v>
      </x:c>
      <x:c r="Y2062" s="41" t="n">
        <x:v>0</x:v>
      </x:c>
    </x:row>
    <x:row r="2063">
      <x:c r="A2063" s="38" t="str">
        <x:v>7月29日现场数据</x:v>
      </x:c>
      <x:c r="B2063" s="66" t="str">
        <x:v>2026-07-30T00:01:34.565000</x:v>
      </x:c>
      <x:c r="C2063" s="47" t="n">
        <x:v>300979</x:v>
      </x:c>
      <x:c r="D2063" s="47" t="str"/>
      <x:c r="E2063" s="47" t="str"/>
      <x:c r="F2063" s="47" t="str">
        <x:v>current</x:v>
      </x:c>
      <x:c r="G2063" s="47" t="n">
        <x:v>228</x:v>
      </x:c>
      <x:c r="H2063" s="53" t="b">
        <x:v>1</x:v>
      </x:c>
      <x:c r="I2063" s="47" t="str">
        <x:v>578202819</x:v>
      </x:c>
      <x:c r="J2063" s="47" t="n">
        <x:v>84723110</x:v>
      </x:c>
      <x:c r="K2063" s="53" t="b">
        <x:v>1</x:v>
      </x:c>
      <x:c r="L2063" s="53" t="b">
        <x:v>1</x:v>
      </x:c>
      <x:c r="M2063" s="53" t="b">
        <x:v>1</x:v>
      </x:c>
      <x:c r="N2063" s="53" t="b">
        <x:v>1</x:v>
      </x:c>
      <x:c r="O2063" s="53" t="b">
        <x:v>1</x:v>
      </x:c>
      <x:c r="P2063" s="47" t="n">
        <x:v>1011</x:v>
      </x:c>
      <x:c r="Q2063" s="47" t="n">
        <x:v>0</x:v>
      </x:c>
      <x:c r="R2063" s="47" t="n">
        <x:v>0</x:v>
      </x:c>
      <x:c r="S2063" s="47" t="n">
        <x:v>31.82</x:v>
      </x:c>
      <x:c r="T2063" s="47" t="n">
        <x:v>55.78</x:v>
      </x:c>
      <x:c r="U2063" s="47" t="n">
        <x:v>31.3</x:v>
      </x:c>
      <x:c r="V2063" s="47" t="n">
        <x:v>12.8</x:v>
      </x:c>
      <x:c r="W2063" s="47" t="n">
        <x:v>0</x:v>
      </x:c>
      <x:c r="X2063" s="47" t="n">
        <x:v>0</x:v>
      </x:c>
      <x:c r="Y2063" s="41" t="n">
        <x:v>0</x:v>
      </x:c>
    </x:row>
    <x:row r="2064">
      <x:c r="A2064" s="38" t="str">
        <x:v>7月29日现场数据</x:v>
      </x:c>
      <x:c r="B2064" s="66" t="str">
        <x:v>2026-07-30T00:06:35.545000</x:v>
      </x:c>
      <x:c r="C2064" s="47" t="n">
        <x:v>300980</x:v>
      </x:c>
      <x:c r="D2064" s="47" t="str"/>
      <x:c r="E2064" s="47" t="str"/>
      <x:c r="F2064" s="47" t="str">
        <x:v>current</x:v>
      </x:c>
      <x:c r="G2064" s="47" t="n">
        <x:v>229</x:v>
      </x:c>
      <x:c r="H2064" s="53" t="b">
        <x:v>1</x:v>
      </x:c>
      <x:c r="I2064" s="47" t="str">
        <x:v>578202819</x:v>
      </x:c>
      <x:c r="J2064" s="47" t="n">
        <x:v>85024090</x:v>
      </x:c>
      <x:c r="K2064" s="53" t="b">
        <x:v>1</x:v>
      </x:c>
      <x:c r="L2064" s="53" t="b">
        <x:v>1</x:v>
      </x:c>
      <x:c r="M2064" s="53" t="b">
        <x:v>1</x:v>
      </x:c>
      <x:c r="N2064" s="53" t="b">
        <x:v>1</x:v>
      </x:c>
      <x:c r="O2064" s="53" t="b">
        <x:v>1</x:v>
      </x:c>
      <x:c r="P2064" s="47" t="n">
        <x:v>1011</x:v>
      </x:c>
      <x:c r="Q2064" s="47" t="n">
        <x:v>0</x:v>
      </x:c>
      <x:c r="R2064" s="47" t="n">
        <x:v>0</x:v>
      </x:c>
      <x:c r="S2064" s="47" t="n">
        <x:v>31.78</x:v>
      </x:c>
      <x:c r="T2064" s="47" t="n">
        <x:v>55.83</x:v>
      </x:c>
      <x:c r="U2064" s="47" t="n">
        <x:v>31.3</x:v>
      </x:c>
      <x:c r="V2064" s="47" t="n">
        <x:v>12.9</x:v>
      </x:c>
      <x:c r="W2064" s="47" t="n">
        <x:v>0</x:v>
      </x:c>
      <x:c r="X2064" s="47" t="n">
        <x:v>0</x:v>
      </x:c>
      <x:c r="Y2064" s="41" t="n">
        <x:v>0</x:v>
      </x:c>
    </x:row>
    <x:row r="2065">
      <x:c r="A2065" s="38" t="str">
        <x:v>7月29日现场数据</x:v>
      </x:c>
      <x:c r="B2065" s="66" t="str">
        <x:v>2026-07-30T00:11:36.559000</x:v>
      </x:c>
      <x:c r="C2065" s="47" t="n">
        <x:v>301014</x:v>
      </x:c>
      <x:c r="D2065" s="47" t="str"/>
      <x:c r="E2065" s="47" t="str"/>
      <x:c r="F2065" s="47" t="str">
        <x:v>current</x:v>
      </x:c>
      <x:c r="G2065" s="47" t="n">
        <x:v>230</x:v>
      </x:c>
      <x:c r="H2065" s="53" t="b">
        <x:v>1</x:v>
      </x:c>
      <x:c r="I2065" s="47" t="str">
        <x:v>578202819</x:v>
      </x:c>
      <x:c r="J2065" s="47" t="n">
        <x:v>85325104</x:v>
      </x:c>
      <x:c r="K2065" s="53" t="b">
        <x:v>1</x:v>
      </x:c>
      <x:c r="L2065" s="53" t="b">
        <x:v>1</x:v>
      </x:c>
      <x:c r="M2065" s="53" t="b">
        <x:v>1</x:v>
      </x:c>
      <x:c r="N2065" s="53" t="b">
        <x:v>1</x:v>
      </x:c>
      <x:c r="O2065" s="53" t="b">
        <x:v>1</x:v>
      </x:c>
      <x:c r="P2065" s="47" t="n">
        <x:v>1011</x:v>
      </x:c>
      <x:c r="Q2065" s="47" t="n">
        <x:v>0</x:v>
      </x:c>
      <x:c r="R2065" s="47" t="n">
        <x:v>0</x:v>
      </x:c>
      <x:c r="S2065" s="47" t="n">
        <x:v>31.77</x:v>
      </x:c>
      <x:c r="T2065" s="47" t="n">
        <x:v>55.91</x:v>
      </x:c>
      <x:c r="U2065" s="47" t="n">
        <x:v>31.3</x:v>
      </x:c>
      <x:c r="V2065" s="47" t="n">
        <x:v>12.9</x:v>
      </x:c>
      <x:c r="W2065" s="47" t="n">
        <x:v>0</x:v>
      </x:c>
      <x:c r="X2065" s="47" t="n">
        <x:v>0</x:v>
      </x:c>
      <x:c r="Y2065" s="41" t="n">
        <x:v>0</x:v>
      </x:c>
    </x:row>
    <x:row r="2066">
      <x:c r="A2066" s="38" t="str">
        <x:v>7月29日现场数据</x:v>
      </x:c>
      <x:c r="B2066" s="66" t="str">
        <x:v>2026-07-30T00:16:37.517000</x:v>
      </x:c>
      <x:c r="C2066" s="47" t="n">
        <x:v>300958</x:v>
      </x:c>
      <x:c r="D2066" s="47" t="str"/>
      <x:c r="E2066" s="47" t="str"/>
      <x:c r="F2066" s="47" t="str">
        <x:v>current</x:v>
      </x:c>
      <x:c r="G2066" s="47" t="n">
        <x:v>231</x:v>
      </x:c>
      <x:c r="H2066" s="53" t="b">
        <x:v>1</x:v>
      </x:c>
      <x:c r="I2066" s="47" t="str">
        <x:v>578202819</x:v>
      </x:c>
      <x:c r="J2066" s="47" t="n">
        <x:v>85626062</x:v>
      </x:c>
      <x:c r="K2066" s="53" t="b">
        <x:v>1</x:v>
      </x:c>
      <x:c r="L2066" s="53" t="b">
        <x:v>1</x:v>
      </x:c>
      <x:c r="M2066" s="53" t="b">
        <x:v>1</x:v>
      </x:c>
      <x:c r="N2066" s="53" t="b">
        <x:v>1</x:v>
      </x:c>
      <x:c r="O2066" s="53" t="b">
        <x:v>1</x:v>
      </x:c>
      <x:c r="P2066" s="47" t="n">
        <x:v>1011</x:v>
      </x:c>
      <x:c r="Q2066" s="47" t="n">
        <x:v>0</x:v>
      </x:c>
      <x:c r="R2066" s="47" t="n">
        <x:v>0</x:v>
      </x:c>
      <x:c r="S2066" s="47" t="n">
        <x:v>31.7</x:v>
      </x:c>
      <x:c r="T2066" s="47" t="n">
        <x:v>55.92</x:v>
      </x:c>
      <x:c r="U2066" s="47" t="n">
        <x:v>31.3</x:v>
      </x:c>
      <x:c r="V2066" s="47" t="n">
        <x:v>12.8</x:v>
      </x:c>
      <x:c r="W2066" s="47" t="n">
        <x:v>0</x:v>
      </x:c>
      <x:c r="X2066" s="47" t="n">
        <x:v>0</x:v>
      </x:c>
      <x:c r="Y2066" s="41" t="n">
        <x:v>0</x:v>
      </x:c>
    </x:row>
    <x:row r="2067">
      <x:c r="A2067" s="38" t="str">
        <x:v>7月29日现场数据</x:v>
      </x:c>
      <x:c r="B2067" s="66" t="str">
        <x:v>2026-07-30T00:21:38.477000</x:v>
      </x:c>
      <x:c r="C2067" s="47" t="n">
        <x:v>300960</x:v>
      </x:c>
      <x:c r="D2067" s="47" t="str"/>
      <x:c r="E2067" s="47" t="str"/>
      <x:c r="F2067" s="47" t="str">
        <x:v>current</x:v>
      </x:c>
      <x:c r="G2067" s="47" t="n">
        <x:v>232</x:v>
      </x:c>
      <x:c r="H2067" s="53" t="b">
        <x:v>1</x:v>
      </x:c>
      <x:c r="I2067" s="47" t="str">
        <x:v>578202819</x:v>
      </x:c>
      <x:c r="J2067" s="47" t="n">
        <x:v>85927022</x:v>
      </x:c>
      <x:c r="K2067" s="53" t="b">
        <x:v>1</x:v>
      </x:c>
      <x:c r="L2067" s="53" t="b">
        <x:v>1</x:v>
      </x:c>
      <x:c r="M2067" s="53" t="b">
        <x:v>1</x:v>
      </x:c>
      <x:c r="N2067" s="53" t="b">
        <x:v>1</x:v>
      </x:c>
      <x:c r="O2067" s="53" t="b">
        <x:v>1</x:v>
      </x:c>
      <x:c r="P2067" s="47" t="n">
        <x:v>1011</x:v>
      </x:c>
      <x:c r="Q2067" s="47" t="n">
        <x:v>0</x:v>
      </x:c>
      <x:c r="R2067" s="47" t="n">
        <x:v>0</x:v>
      </x:c>
      <x:c r="S2067" s="47" t="n">
        <x:v>31.7</x:v>
      </x:c>
      <x:c r="T2067" s="47" t="n">
        <x:v>55.96</x:v>
      </x:c>
      <x:c r="U2067" s="47" t="n">
        <x:v>31.3</x:v>
      </x:c>
      <x:c r="V2067" s="47" t="n">
        <x:v>12.9</x:v>
      </x:c>
      <x:c r="W2067" s="47" t="n">
        <x:v>0</x:v>
      </x:c>
      <x:c r="X2067" s="47" t="n">
        <x:v>0</x:v>
      </x:c>
      <x:c r="Y2067" s="41" t="n">
        <x:v>0</x:v>
      </x:c>
    </x:row>
    <x:row r="2068">
      <x:c r="A2068" s="38" t="str">
        <x:v>7月29日现场数据</x:v>
      </x:c>
      <x:c r="B2068" s="66" t="str">
        <x:v>2026-07-30T00:26:39.439000</x:v>
      </x:c>
      <x:c r="C2068" s="47" t="n">
        <x:v>300962</x:v>
      </x:c>
      <x:c r="D2068" s="47" t="str"/>
      <x:c r="E2068" s="47" t="str"/>
      <x:c r="F2068" s="47" t="str">
        <x:v>current</x:v>
      </x:c>
      <x:c r="G2068" s="47" t="n">
        <x:v>233</x:v>
      </x:c>
      <x:c r="H2068" s="53" t="b">
        <x:v>1</x:v>
      </x:c>
      <x:c r="I2068" s="47" t="str">
        <x:v>578202819</x:v>
      </x:c>
      <x:c r="J2068" s="47" t="n">
        <x:v>86227984</x:v>
      </x:c>
      <x:c r="K2068" s="53" t="b">
        <x:v>1</x:v>
      </x:c>
      <x:c r="L2068" s="53" t="b">
        <x:v>1</x:v>
      </x:c>
      <x:c r="M2068" s="53" t="b">
        <x:v>1</x:v>
      </x:c>
      <x:c r="N2068" s="53" t="b">
        <x:v>1</x:v>
      </x:c>
      <x:c r="O2068" s="53" t="b">
        <x:v>1</x:v>
      </x:c>
      <x:c r="P2068" s="47" t="n">
        <x:v>1011</x:v>
      </x:c>
      <x:c r="Q2068" s="47" t="n">
        <x:v>0</x:v>
      </x:c>
      <x:c r="R2068" s="47" t="n">
        <x:v>0</x:v>
      </x:c>
      <x:c r="S2068" s="47" t="n">
        <x:v>31.63</x:v>
      </x:c>
      <x:c r="T2068" s="47" t="n">
        <x:v>55.98</x:v>
      </x:c>
      <x:c r="U2068" s="47" t="n">
        <x:v>31.3</x:v>
      </x:c>
      <x:c r="V2068" s="47" t="n">
        <x:v>12.9</x:v>
      </x:c>
      <x:c r="W2068" s="47" t="n">
        <x:v>0</x:v>
      </x:c>
      <x:c r="X2068" s="47" t="n">
        <x:v>0</x:v>
      </x:c>
      <x:c r="Y2068" s="41" t="n">
        <x:v>0</x:v>
      </x:c>
    </x:row>
    <x:row r="2069">
      <x:c r="A2069" s="38" t="str">
        <x:v>7月29日现场数据</x:v>
      </x:c>
      <x:c r="B2069" s="66" t="str">
        <x:v>2026-07-30T00:31:40.401000</x:v>
      </x:c>
      <x:c r="C2069" s="47" t="n">
        <x:v>300962</x:v>
      </x:c>
      <x:c r="D2069" s="47" t="str"/>
      <x:c r="E2069" s="47" t="str"/>
      <x:c r="F2069" s="47" t="str">
        <x:v>current</x:v>
      </x:c>
      <x:c r="G2069" s="47" t="n">
        <x:v>234</x:v>
      </x:c>
      <x:c r="H2069" s="53" t="b">
        <x:v>1</x:v>
      </x:c>
      <x:c r="I2069" s="47" t="str">
        <x:v>578202819</x:v>
      </x:c>
      <x:c r="J2069" s="47" t="n">
        <x:v>86528946</x:v>
      </x:c>
      <x:c r="K2069" s="53" t="b">
        <x:v>1</x:v>
      </x:c>
      <x:c r="L2069" s="53" t="b">
        <x:v>1</x:v>
      </x:c>
      <x:c r="M2069" s="53" t="b">
        <x:v>1</x:v>
      </x:c>
      <x:c r="N2069" s="53" t="b">
        <x:v>1</x:v>
      </x:c>
      <x:c r="O2069" s="53" t="b">
        <x:v>1</x:v>
      </x:c>
      <x:c r="P2069" s="47" t="n">
        <x:v>1011</x:v>
      </x:c>
      <x:c r="Q2069" s="47" t="n">
        <x:v>0</x:v>
      </x:c>
      <x:c r="R2069" s="47" t="n">
        <x:v>0</x:v>
      </x:c>
      <x:c r="S2069" s="47" t="n">
        <x:v>31.62</x:v>
      </x:c>
      <x:c r="T2069" s="47" t="n">
        <x:v>56.09</x:v>
      </x:c>
      <x:c r="U2069" s="47" t="n">
        <x:v>31.2</x:v>
      </x:c>
      <x:c r="V2069" s="47" t="n">
        <x:v>12.8</x:v>
      </x:c>
      <x:c r="W2069" s="47" t="n">
        <x:v>0</x:v>
      </x:c>
      <x:c r="X2069" s="47" t="n">
        <x:v>0</x:v>
      </x:c>
      <x:c r="Y2069" s="41" t="n">
        <x:v>0</x:v>
      </x:c>
    </x:row>
    <x:row r="2070">
      <x:c r="A2070" s="38" t="str">
        <x:v>7月29日现场数据</x:v>
      </x:c>
      <x:c r="B2070" s="66" t="str">
        <x:v>2026-07-30T00:36:41.365000</x:v>
      </x:c>
      <x:c r="C2070" s="47" t="n">
        <x:v>300964</x:v>
      </x:c>
      <x:c r="D2070" s="47" t="str"/>
      <x:c r="E2070" s="47" t="str"/>
      <x:c r="F2070" s="47" t="str">
        <x:v>current</x:v>
      </x:c>
      <x:c r="G2070" s="47" t="n">
        <x:v>235</x:v>
      </x:c>
      <x:c r="H2070" s="53" t="b">
        <x:v>1</x:v>
      </x:c>
      <x:c r="I2070" s="47" t="str">
        <x:v>578202819</x:v>
      </x:c>
      <x:c r="J2070" s="47" t="n">
        <x:v>86829910</x:v>
      </x:c>
      <x:c r="K2070" s="53" t="b">
        <x:v>1</x:v>
      </x:c>
      <x:c r="L2070" s="53" t="b">
        <x:v>1</x:v>
      </x:c>
      <x:c r="M2070" s="53" t="b">
        <x:v>1</x:v>
      </x:c>
      <x:c r="N2070" s="53" t="b">
        <x:v>1</x:v>
      </x:c>
      <x:c r="O2070" s="53" t="b">
        <x:v>1</x:v>
      </x:c>
      <x:c r="P2070" s="47" t="n">
        <x:v>1011</x:v>
      </x:c>
      <x:c r="Q2070" s="47" t="n">
        <x:v>0</x:v>
      </x:c>
      <x:c r="R2070" s="47" t="n">
        <x:v>0</x:v>
      </x:c>
      <x:c r="S2070" s="47" t="n">
        <x:v>31.66</x:v>
      </x:c>
      <x:c r="T2070" s="47" t="n">
        <x:v>56.17</x:v>
      </x:c>
      <x:c r="U2070" s="47" t="n">
        <x:v>31.2</x:v>
      </x:c>
      <x:c r="V2070" s="47" t="n">
        <x:v>12.9</x:v>
      </x:c>
      <x:c r="W2070" s="47" t="n">
        <x:v>0</x:v>
      </x:c>
      <x:c r="X2070" s="47" t="n">
        <x:v>0</x:v>
      </x:c>
      <x:c r="Y2070" s="41" t="n">
        <x:v>0</x:v>
      </x:c>
    </x:row>
    <x:row r="2071">
      <x:c r="A2071" s="38" t="str">
        <x:v>7月29日现场数据</x:v>
      </x:c>
      <x:c r="B2071" s="66" t="str">
        <x:v>2026-07-30T00:41:42.331000</x:v>
      </x:c>
      <x:c r="C2071" s="47" t="n">
        <x:v>300966</x:v>
      </x:c>
      <x:c r="D2071" s="47" t="str"/>
      <x:c r="E2071" s="47" t="str"/>
      <x:c r="F2071" s="47" t="str">
        <x:v>current</x:v>
      </x:c>
      <x:c r="G2071" s="47" t="n">
        <x:v>236</x:v>
      </x:c>
      <x:c r="H2071" s="53" t="b">
        <x:v>1</x:v>
      </x:c>
      <x:c r="I2071" s="47" t="str">
        <x:v>578202819</x:v>
      </x:c>
      <x:c r="J2071" s="47" t="n">
        <x:v>87130876</x:v>
      </x:c>
      <x:c r="K2071" s="53" t="b">
        <x:v>1</x:v>
      </x:c>
      <x:c r="L2071" s="53" t="b">
        <x:v>1</x:v>
      </x:c>
      <x:c r="M2071" s="53" t="b">
        <x:v>1</x:v>
      </x:c>
      <x:c r="N2071" s="53" t="b">
        <x:v>1</x:v>
      </x:c>
      <x:c r="O2071" s="53" t="b">
        <x:v>1</x:v>
      </x:c>
      <x:c r="P2071" s="47" t="n">
        <x:v>1011</x:v>
      </x:c>
      <x:c r="Q2071" s="47" t="n">
        <x:v>0.001</x:v>
      </x:c>
      <x:c r="R2071" s="47" t="n">
        <x:v>0.033</x:v>
      </x:c>
      <x:c r="S2071" s="47" t="n">
        <x:v>31.63</x:v>
      </x:c>
      <x:c r="T2071" s="47" t="n">
        <x:v>56.17</x:v>
      </x:c>
      <x:c r="U2071" s="47" t="n">
        <x:v>31.2</x:v>
      </x:c>
      <x:c r="V2071" s="47" t="n">
        <x:v>12.9</x:v>
      </x:c>
      <x:c r="W2071" s="47" t="n">
        <x:v>0</x:v>
      </x:c>
      <x:c r="X2071" s="47" t="n">
        <x:v>0</x:v>
      </x:c>
      <x:c r="Y2071" s="41" t="n">
        <x:v>0</x:v>
      </x:c>
    </x:row>
    <x:row r="2072">
      <x:c r="A2072" s="38" t="str">
        <x:v>7月29日现场数据</x:v>
      </x:c>
      <x:c r="B2072" s="66" t="str">
        <x:v>2026-07-30T00:46:43.299000</x:v>
      </x:c>
      <x:c r="C2072" s="47" t="n">
        <x:v>300968</x:v>
      </x:c>
      <x:c r="D2072" s="47" t="str"/>
      <x:c r="E2072" s="47" t="str"/>
      <x:c r="F2072" s="47" t="str">
        <x:v>current</x:v>
      </x:c>
      <x:c r="G2072" s="47" t="n">
        <x:v>237</x:v>
      </x:c>
      <x:c r="H2072" s="53" t="b">
        <x:v>1</x:v>
      </x:c>
      <x:c r="I2072" s="47" t="str">
        <x:v>578202819</x:v>
      </x:c>
      <x:c r="J2072" s="47" t="n">
        <x:v>87431844</x:v>
      </x:c>
      <x:c r="K2072" s="53" t="b">
        <x:v>1</x:v>
      </x:c>
      <x:c r="L2072" s="53" t="b">
        <x:v>1</x:v>
      </x:c>
      <x:c r="M2072" s="53" t="b">
        <x:v>1</x:v>
      </x:c>
      <x:c r="N2072" s="53" t="b">
        <x:v>1</x:v>
      </x:c>
      <x:c r="O2072" s="53" t="b">
        <x:v>1</x:v>
      </x:c>
      <x:c r="P2072" s="47" t="n">
        <x:v>1011</x:v>
      </x:c>
      <x:c r="Q2072" s="47" t="n">
        <x:v>0</x:v>
      </x:c>
      <x:c r="R2072" s="47" t="n">
        <x:v>0</x:v>
      </x:c>
      <x:c r="S2072" s="47" t="n">
        <x:v>31.58</x:v>
      </x:c>
      <x:c r="T2072" s="47" t="n">
        <x:v>56.26</x:v>
      </x:c>
      <x:c r="U2072" s="47" t="n">
        <x:v>31.2</x:v>
      </x:c>
      <x:c r="V2072" s="47" t="n">
        <x:v>12.9</x:v>
      </x:c>
      <x:c r="W2072" s="47" t="n">
        <x:v>0</x:v>
      </x:c>
      <x:c r="X2072" s="47" t="n">
        <x:v>0</x:v>
      </x:c>
      <x:c r="Y2072" s="41" t="n">
        <x:v>0</x:v>
      </x:c>
    </x:row>
    <x:row r="2073">
      <x:c r="A2073" s="38" t="str">
        <x:v>7月29日现场数据</x:v>
      </x:c>
      <x:c r="B2073" s="66" t="str">
        <x:v>2026-07-30T00:51:44.273000</x:v>
      </x:c>
      <x:c r="C2073" s="47" t="n">
        <x:v>300974</x:v>
      </x:c>
      <x:c r="D2073" s="47" t="str"/>
      <x:c r="E2073" s="47" t="str"/>
      <x:c r="F2073" s="47" t="str">
        <x:v>current</x:v>
      </x:c>
      <x:c r="G2073" s="47" t="n">
        <x:v>238</x:v>
      </x:c>
      <x:c r="H2073" s="53" t="b">
        <x:v>1</x:v>
      </x:c>
      <x:c r="I2073" s="47" t="str">
        <x:v>578202819</x:v>
      </x:c>
      <x:c r="J2073" s="47" t="n">
        <x:v>87732818</x:v>
      </x:c>
      <x:c r="K2073" s="53" t="b">
        <x:v>1</x:v>
      </x:c>
      <x:c r="L2073" s="53" t="b">
        <x:v>1</x:v>
      </x:c>
      <x:c r="M2073" s="53" t="b">
        <x:v>1</x:v>
      </x:c>
      <x:c r="N2073" s="53" t="b">
        <x:v>1</x:v>
      </x:c>
      <x:c r="O2073" s="53" t="b">
        <x:v>1</x:v>
      </x:c>
      <x:c r="P2073" s="47" t="n">
        <x:v>1011</x:v>
      </x:c>
      <x:c r="Q2073" s="47" t="n">
        <x:v>0</x:v>
      </x:c>
      <x:c r="R2073" s="47" t="n">
        <x:v>0</x:v>
      </x:c>
      <x:c r="S2073" s="47" t="n">
        <x:v>31.58</x:v>
      </x:c>
      <x:c r="T2073" s="47" t="n">
        <x:v>56.33</x:v>
      </x:c>
      <x:c r="U2073" s="47" t="n">
        <x:v>31.2</x:v>
      </x:c>
      <x:c r="V2073" s="47" t="n">
        <x:v>12.8</x:v>
      </x:c>
      <x:c r="W2073" s="47" t="n">
        <x:v>0</x:v>
      </x:c>
      <x:c r="X2073" s="47" t="n">
        <x:v>0</x:v>
      </x:c>
      <x:c r="Y2073" s="41" t="n">
        <x:v>0</x:v>
      </x:c>
    </x:row>
    <x:row r="2074">
      <x:c r="A2074" s="38" t="str">
        <x:v>7月29日现场数据</x:v>
      </x:c>
      <x:c r="B2074" s="66" t="str">
        <x:v>2026-07-30T00:56:45.245000</x:v>
      </x:c>
      <x:c r="C2074" s="47" t="n">
        <x:v>300972</x:v>
      </x:c>
      <x:c r="D2074" s="47" t="str"/>
      <x:c r="E2074" s="47" t="str"/>
      <x:c r="F2074" s="47" t="str">
        <x:v>current</x:v>
      </x:c>
      <x:c r="G2074" s="47" t="n">
        <x:v>239</x:v>
      </x:c>
      <x:c r="H2074" s="53" t="b">
        <x:v>1</x:v>
      </x:c>
      <x:c r="I2074" s="47" t="str">
        <x:v>578202819</x:v>
      </x:c>
      <x:c r="J2074" s="47" t="n">
        <x:v>88033790</x:v>
      </x:c>
      <x:c r="K2074" s="53" t="b">
        <x:v>1</x:v>
      </x:c>
      <x:c r="L2074" s="53" t="b">
        <x:v>1</x:v>
      </x:c>
      <x:c r="M2074" s="53" t="b">
        <x:v>1</x:v>
      </x:c>
      <x:c r="N2074" s="53" t="b">
        <x:v>1</x:v>
      </x:c>
      <x:c r="O2074" s="53" t="b">
        <x:v>1</x:v>
      </x:c>
      <x:c r="P2074" s="47" t="n">
        <x:v>1011</x:v>
      </x:c>
      <x:c r="Q2074" s="47" t="n">
        <x:v>0</x:v>
      </x:c>
      <x:c r="R2074" s="47" t="n">
        <x:v>0</x:v>
      </x:c>
      <x:c r="S2074" s="47" t="n">
        <x:v>31.64</x:v>
      </x:c>
      <x:c r="T2074" s="47" t="n">
        <x:v>56.41</x:v>
      </x:c>
      <x:c r="U2074" s="47" t="n">
        <x:v>31.2</x:v>
      </x:c>
      <x:c r="V2074" s="47" t="n">
        <x:v>12.8</x:v>
      </x:c>
      <x:c r="W2074" s="47" t="n">
        <x:v>0</x:v>
      </x:c>
      <x:c r="X2074" s="47" t="n">
        <x:v>0</x:v>
      </x:c>
      <x:c r="Y2074" s="41" t="n">
        <x:v>0</x:v>
      </x:c>
    </x:row>
    <x:row r="2075">
      <x:c r="A2075" s="38" t="str">
        <x:v>7月29日现场数据</x:v>
      </x:c>
      <x:c r="B2075" s="66" t="str">
        <x:v>2026-07-30T01:01:46.220000</x:v>
      </x:c>
      <x:c r="C2075" s="47" t="n">
        <x:v>300975</x:v>
      </x:c>
      <x:c r="D2075" s="47" t="str"/>
      <x:c r="E2075" s="47" t="str"/>
      <x:c r="F2075" s="47" t="str">
        <x:v>current</x:v>
      </x:c>
      <x:c r="G2075" s="47" t="n">
        <x:v>240</x:v>
      </x:c>
      <x:c r="H2075" s="53" t="b">
        <x:v>1</x:v>
      </x:c>
      <x:c r="I2075" s="47" t="str">
        <x:v>578202819</x:v>
      </x:c>
      <x:c r="J2075" s="47" t="n">
        <x:v>88334765</x:v>
      </x:c>
      <x:c r="K2075" s="53" t="b">
        <x:v>1</x:v>
      </x:c>
      <x:c r="L2075" s="53" t="b">
        <x:v>1</x:v>
      </x:c>
      <x:c r="M2075" s="53" t="b">
        <x:v>1</x:v>
      </x:c>
      <x:c r="N2075" s="53" t="b">
        <x:v>1</x:v>
      </x:c>
      <x:c r="O2075" s="53" t="b">
        <x:v>1</x:v>
      </x:c>
      <x:c r="P2075" s="47" t="n">
        <x:v>1011</x:v>
      </x:c>
      <x:c r="Q2075" s="47" t="n">
        <x:v>0</x:v>
      </x:c>
      <x:c r="R2075" s="47" t="n">
        <x:v>0</x:v>
      </x:c>
      <x:c r="S2075" s="47" t="n">
        <x:v>31.64</x:v>
      </x:c>
      <x:c r="T2075" s="47" t="n">
        <x:v>56.51</x:v>
      </x:c>
      <x:c r="U2075" s="47" t="n">
        <x:v>31.2</x:v>
      </x:c>
      <x:c r="V2075" s="47" t="n">
        <x:v>12.9</x:v>
      </x:c>
      <x:c r="W2075" s="47" t="n">
        <x:v>0</x:v>
      </x:c>
      <x:c r="X2075" s="47" t="n">
        <x:v>0</x:v>
      </x:c>
      <x:c r="Y2075" s="41" t="n">
        <x:v>0</x:v>
      </x:c>
    </x:row>
    <x:row r="2076">
      <x:c r="A2076" s="38" t="str">
        <x:v>7月29日现场数据</x:v>
      </x:c>
      <x:c r="B2076" s="66" t="str">
        <x:v>2026-07-30T01:06:47.200000</x:v>
      </x:c>
      <x:c r="C2076" s="47" t="n">
        <x:v>300980</x:v>
      </x:c>
      <x:c r="D2076" s="47" t="str"/>
      <x:c r="E2076" s="47" t="str"/>
      <x:c r="F2076" s="47" t="str">
        <x:v>current</x:v>
      </x:c>
      <x:c r="G2076" s="47" t="n">
        <x:v>241</x:v>
      </x:c>
      <x:c r="H2076" s="53" t="b">
        <x:v>1</x:v>
      </x:c>
      <x:c r="I2076" s="47" t="str">
        <x:v>578202819</x:v>
      </x:c>
      <x:c r="J2076" s="47" t="n">
        <x:v>88635745</x:v>
      </x:c>
      <x:c r="K2076" s="53" t="b">
        <x:v>1</x:v>
      </x:c>
      <x:c r="L2076" s="53" t="b">
        <x:v>1</x:v>
      </x:c>
      <x:c r="M2076" s="53" t="b">
        <x:v>1</x:v>
      </x:c>
      <x:c r="N2076" s="53" t="b">
        <x:v>1</x:v>
      </x:c>
      <x:c r="O2076" s="53" t="b">
        <x:v>1</x:v>
      </x:c>
      <x:c r="P2076" s="47" t="n">
        <x:v>1011</x:v>
      </x:c>
      <x:c r="Q2076" s="47" t="n">
        <x:v>0</x:v>
      </x:c>
      <x:c r="R2076" s="47" t="n">
        <x:v>0</x:v>
      </x:c>
      <x:c r="S2076" s="47" t="n">
        <x:v>31.61</x:v>
      </x:c>
      <x:c r="T2076" s="47" t="n">
        <x:v>56.54</x:v>
      </x:c>
      <x:c r="U2076" s="47" t="n">
        <x:v>31.1</x:v>
      </x:c>
      <x:c r="V2076" s="47" t="n">
        <x:v>12.8</x:v>
      </x:c>
      <x:c r="W2076" s="47" t="n">
        <x:v>0</x:v>
      </x:c>
      <x:c r="X2076" s="47" t="n">
        <x:v>0</x:v>
      </x:c>
      <x:c r="Y2076" s="41" t="n">
        <x:v>0</x:v>
      </x:c>
    </x:row>
    <x:row r="2077">
      <x:c r="A2077" s="38" t="str">
        <x:v>7月29日现场数据</x:v>
      </x:c>
      <x:c r="B2077" s="66" t="str">
        <x:v>2026-07-30T01:11:48.164000</x:v>
      </x:c>
      <x:c r="C2077" s="47" t="n">
        <x:v>300964</x:v>
      </x:c>
      <x:c r="D2077" s="47" t="str"/>
      <x:c r="E2077" s="47" t="str"/>
      <x:c r="F2077" s="47" t="str">
        <x:v>current</x:v>
      </x:c>
      <x:c r="G2077" s="47" t="n">
        <x:v>242</x:v>
      </x:c>
      <x:c r="H2077" s="53" t="b">
        <x:v>1</x:v>
      </x:c>
      <x:c r="I2077" s="47" t="str">
        <x:v>578202819</x:v>
      </x:c>
      <x:c r="J2077" s="47" t="n">
        <x:v>88936709</x:v>
      </x:c>
      <x:c r="K2077" s="53" t="b">
        <x:v>1</x:v>
      </x:c>
      <x:c r="L2077" s="53" t="b">
        <x:v>1</x:v>
      </x:c>
      <x:c r="M2077" s="53" t="b">
        <x:v>1</x:v>
      </x:c>
      <x:c r="N2077" s="53" t="b">
        <x:v>1</x:v>
      </x:c>
      <x:c r="O2077" s="53" t="b">
        <x:v>1</x:v>
      </x:c>
      <x:c r="P2077" s="47" t="n">
        <x:v>1011</x:v>
      </x:c>
      <x:c r="Q2077" s="47" t="n">
        <x:v>0</x:v>
      </x:c>
      <x:c r="R2077" s="47" t="n">
        <x:v>0</x:v>
      </x:c>
      <x:c r="S2077" s="47" t="n">
        <x:v>31.62</x:v>
      </x:c>
      <x:c r="T2077" s="47" t="n">
        <x:v>56.6</x:v>
      </x:c>
      <x:c r="U2077" s="47" t="n">
        <x:v>31.1</x:v>
      </x:c>
      <x:c r="V2077" s="47" t="n">
        <x:v>12.9</x:v>
      </x:c>
      <x:c r="W2077" s="47" t="n">
        <x:v>0</x:v>
      </x:c>
      <x:c r="X2077" s="47" t="n">
        <x:v>0</x:v>
      </x:c>
      <x:c r="Y2077" s="41" t="n">
        <x:v>0</x:v>
      </x:c>
    </x:row>
    <x:row r="2078">
      <x:c r="A2078" s="38" t="str">
        <x:v>7月29日现场数据</x:v>
      </x:c>
      <x:c r="B2078" s="66" t="str">
        <x:v>2026-07-30T01:16:49.128000</x:v>
      </x:c>
      <x:c r="C2078" s="47" t="n">
        <x:v>300964</x:v>
      </x:c>
      <x:c r="D2078" s="47" t="str"/>
      <x:c r="E2078" s="47" t="str"/>
      <x:c r="F2078" s="47" t="str">
        <x:v>current</x:v>
      </x:c>
      <x:c r="G2078" s="47" t="n">
        <x:v>243</x:v>
      </x:c>
      <x:c r="H2078" s="53" t="b">
        <x:v>1</x:v>
      </x:c>
      <x:c r="I2078" s="47" t="str">
        <x:v>578202819</x:v>
      </x:c>
      <x:c r="J2078" s="47" t="n">
        <x:v>89237673</x:v>
      </x:c>
      <x:c r="K2078" s="53" t="b">
        <x:v>1</x:v>
      </x:c>
      <x:c r="L2078" s="53" t="b">
        <x:v>1</x:v>
      </x:c>
      <x:c r="M2078" s="53" t="b">
        <x:v>1</x:v>
      </x:c>
      <x:c r="N2078" s="53" t="b">
        <x:v>1</x:v>
      </x:c>
      <x:c r="O2078" s="53" t="b">
        <x:v>1</x:v>
      </x:c>
      <x:c r="P2078" s="47" t="n">
        <x:v>1011</x:v>
      </x:c>
      <x:c r="Q2078" s="47" t="n">
        <x:v>0</x:v>
      </x:c>
      <x:c r="R2078" s="47" t="n">
        <x:v>0</x:v>
      </x:c>
      <x:c r="S2078" s="47" t="n">
        <x:v>31.67</x:v>
      </x:c>
      <x:c r="T2078" s="47" t="n">
        <x:v>56.66</x:v>
      </x:c>
      <x:c r="U2078" s="47" t="n">
        <x:v>31.1</x:v>
      </x:c>
      <x:c r="V2078" s="47" t="n">
        <x:v>12.9</x:v>
      </x:c>
      <x:c r="W2078" s="47" t="n">
        <x:v>0</x:v>
      </x:c>
      <x:c r="X2078" s="47" t="n">
        <x:v>0</x:v>
      </x:c>
      <x:c r="Y2078" s="41" t="n">
        <x:v>0</x:v>
      </x:c>
    </x:row>
    <x:row r="2079">
      <x:c r="A2079" s="38" t="str">
        <x:v>7月29日现场数据</x:v>
      </x:c>
      <x:c r="B2079" s="66" t="str">
        <x:v>2026-07-30T01:21:50.097000</x:v>
      </x:c>
      <x:c r="C2079" s="47" t="n">
        <x:v>300969</x:v>
      </x:c>
      <x:c r="D2079" s="47" t="str"/>
      <x:c r="E2079" s="47" t="str"/>
      <x:c r="F2079" s="47" t="str">
        <x:v>current</x:v>
      </x:c>
      <x:c r="G2079" s="47" t="n">
        <x:v>244</x:v>
      </x:c>
      <x:c r="H2079" s="53" t="b">
        <x:v>1</x:v>
      </x:c>
      <x:c r="I2079" s="47" t="str">
        <x:v>578202819</x:v>
      </x:c>
      <x:c r="J2079" s="47" t="n">
        <x:v>89538642</x:v>
      </x:c>
      <x:c r="K2079" s="53" t="b">
        <x:v>1</x:v>
      </x:c>
      <x:c r="L2079" s="53" t="b">
        <x:v>1</x:v>
      </x:c>
      <x:c r="M2079" s="53" t="b">
        <x:v>1</x:v>
      </x:c>
      <x:c r="N2079" s="53" t="b">
        <x:v>1</x:v>
      </x:c>
      <x:c r="O2079" s="53" t="b">
        <x:v>1</x:v>
      </x:c>
      <x:c r="P2079" s="47" t="n">
        <x:v>1011</x:v>
      </x:c>
      <x:c r="Q2079" s="47" t="n">
        <x:v>0</x:v>
      </x:c>
      <x:c r="R2079" s="47" t="n">
        <x:v>0</x:v>
      </x:c>
      <x:c r="S2079" s="47" t="n">
        <x:v>31.62</x:v>
      </x:c>
      <x:c r="T2079" s="47" t="n">
        <x:v>56.73</x:v>
      </x:c>
      <x:c r="U2079" s="47" t="n">
        <x:v>31.1</x:v>
      </x:c>
      <x:c r="V2079" s="47" t="n">
        <x:v>12.9</x:v>
      </x:c>
      <x:c r="W2079" s="47" t="n">
        <x:v>0</x:v>
      </x:c>
      <x:c r="X2079" s="47" t="n">
        <x:v>0</x:v>
      </x:c>
      <x:c r="Y2079" s="41" t="n">
        <x:v>0</x:v>
      </x:c>
    </x:row>
    <x:row r="2080">
      <x:c r="A2080" s="38" t="str">
        <x:v>7月29日现场数据</x:v>
      </x:c>
      <x:c r="B2080" s="66" t="str">
        <x:v>2026-07-30T01:26:51.067000</x:v>
      </x:c>
      <x:c r="C2080" s="47" t="n">
        <x:v>300970</x:v>
      </x:c>
      <x:c r="D2080" s="47" t="str"/>
      <x:c r="E2080" s="47" t="str"/>
      <x:c r="F2080" s="47" t="str">
        <x:v>current</x:v>
      </x:c>
      <x:c r="G2080" s="47" t="n">
        <x:v>245</x:v>
      </x:c>
      <x:c r="H2080" s="53" t="b">
        <x:v>1</x:v>
      </x:c>
      <x:c r="I2080" s="47" t="str">
        <x:v>578202819</x:v>
      </x:c>
      <x:c r="J2080" s="47" t="n">
        <x:v>89839612</x:v>
      </x:c>
      <x:c r="K2080" s="53" t="b">
        <x:v>1</x:v>
      </x:c>
      <x:c r="L2080" s="53" t="b">
        <x:v>1</x:v>
      </x:c>
      <x:c r="M2080" s="53" t="b">
        <x:v>1</x:v>
      </x:c>
      <x:c r="N2080" s="53" t="b">
        <x:v>1</x:v>
      </x:c>
      <x:c r="O2080" s="53" t="b">
        <x:v>1</x:v>
      </x:c>
      <x:c r="P2080" s="47" t="n">
        <x:v>1011</x:v>
      </x:c>
      <x:c r="Q2080" s="47" t="n">
        <x:v>0</x:v>
      </x:c>
      <x:c r="R2080" s="47" t="n">
        <x:v>0</x:v>
      </x:c>
      <x:c r="S2080" s="47" t="n">
        <x:v>31.57</x:v>
      </x:c>
      <x:c r="T2080" s="47" t="n">
        <x:v>56.85</x:v>
      </x:c>
      <x:c r="U2080" s="47" t="n">
        <x:v>31.1</x:v>
      </x:c>
      <x:c r="V2080" s="47" t="n">
        <x:v>12.9</x:v>
      </x:c>
      <x:c r="W2080" s="47" t="n">
        <x:v>0</x:v>
      </x:c>
      <x:c r="X2080" s="47" t="n">
        <x:v>0</x:v>
      </x:c>
      <x:c r="Y2080" s="41" t="n">
        <x:v>0</x:v>
      </x:c>
    </x:row>
    <x:row r="2081">
      <x:c r="A2081" s="38" t="str">
        <x:v>7月29日现场数据</x:v>
      </x:c>
      <x:c r="B2081" s="66" t="str">
        <x:v>2026-07-30T01:31:52.071000</x:v>
      </x:c>
      <x:c r="C2081" s="47" t="n">
        <x:v>301004</x:v>
      </x:c>
      <x:c r="D2081" s="47" t="str"/>
      <x:c r="E2081" s="47" t="str"/>
      <x:c r="F2081" s="47" t="str">
        <x:v>current</x:v>
      </x:c>
      <x:c r="G2081" s="47" t="n">
        <x:v>246</x:v>
      </x:c>
      <x:c r="H2081" s="53" t="b">
        <x:v>1</x:v>
      </x:c>
      <x:c r="I2081" s="47" t="str">
        <x:v>578202819</x:v>
      </x:c>
      <x:c r="J2081" s="47" t="n">
        <x:v>90140616</x:v>
      </x:c>
      <x:c r="K2081" s="53" t="b">
        <x:v>1</x:v>
      </x:c>
      <x:c r="L2081" s="53" t="b">
        <x:v>1</x:v>
      </x:c>
      <x:c r="M2081" s="53" t="b">
        <x:v>1</x:v>
      </x:c>
      <x:c r="N2081" s="53" t="b">
        <x:v>1</x:v>
      </x:c>
      <x:c r="O2081" s="53" t="b">
        <x:v>1</x:v>
      </x:c>
      <x:c r="P2081" s="47" t="n">
        <x:v>1011</x:v>
      </x:c>
      <x:c r="Q2081" s="47" t="n">
        <x:v>0</x:v>
      </x:c>
      <x:c r="R2081" s="47" t="n">
        <x:v>0</x:v>
      </x:c>
      <x:c r="S2081" s="47" t="n">
        <x:v>31.56</x:v>
      </x:c>
      <x:c r="T2081" s="47" t="n">
        <x:v>56.92</x:v>
      </x:c>
      <x:c r="U2081" s="47" t="n">
        <x:v>31.1</x:v>
      </x:c>
      <x:c r="V2081" s="47" t="n">
        <x:v>12.8</x:v>
      </x:c>
      <x:c r="W2081" s="47" t="n">
        <x:v>0</x:v>
      </x:c>
      <x:c r="X2081" s="47" t="n">
        <x:v>0</x:v>
      </x:c>
      <x:c r="Y2081" s="41" t="n">
        <x:v>0</x:v>
      </x:c>
    </x:row>
    <x:row r="2082">
      <x:c r="A2082" s="38" t="str">
        <x:v>7月29日现场数据</x:v>
      </x:c>
      <x:c r="B2082" s="66" t="str">
        <x:v>2026-07-30T01:36:53.019000</x:v>
      </x:c>
      <x:c r="C2082" s="47" t="n">
        <x:v>300948</x:v>
      </x:c>
      <x:c r="D2082" s="47" t="str"/>
      <x:c r="E2082" s="47" t="str"/>
      <x:c r="F2082" s="47" t="str">
        <x:v>current</x:v>
      </x:c>
      <x:c r="G2082" s="47" t="n">
        <x:v>247</x:v>
      </x:c>
      <x:c r="H2082" s="53" t="b">
        <x:v>1</x:v>
      </x:c>
      <x:c r="I2082" s="47" t="str">
        <x:v>578202819</x:v>
      </x:c>
      <x:c r="J2082" s="47" t="n">
        <x:v>90441564</x:v>
      </x:c>
      <x:c r="K2082" s="53" t="b">
        <x:v>1</x:v>
      </x:c>
      <x:c r="L2082" s="53" t="b">
        <x:v>1</x:v>
      </x:c>
      <x:c r="M2082" s="53" t="b">
        <x:v>1</x:v>
      </x:c>
      <x:c r="N2082" s="53" t="b">
        <x:v>1</x:v>
      </x:c>
      <x:c r="O2082" s="53" t="b">
        <x:v>1</x:v>
      </x:c>
      <x:c r="P2082" s="47" t="n">
        <x:v>1011</x:v>
      </x:c>
      <x:c r="Q2082" s="47" t="n">
        <x:v>0</x:v>
      </x:c>
      <x:c r="R2082" s="47" t="n">
        <x:v>0</x:v>
      </x:c>
      <x:c r="S2082" s="47" t="n">
        <x:v>31.53</x:v>
      </x:c>
      <x:c r="T2082" s="47" t="n">
        <x:v>56.95</x:v>
      </x:c>
      <x:c r="U2082" s="47" t="n">
        <x:v>31.1</x:v>
      </x:c>
      <x:c r="V2082" s="47" t="n">
        <x:v>12.8</x:v>
      </x:c>
      <x:c r="W2082" s="47" t="n">
        <x:v>0</x:v>
      </x:c>
      <x:c r="X2082" s="47" t="n">
        <x:v>0</x:v>
      </x:c>
      <x:c r="Y2082" s="41" t="n">
        <x:v>0</x:v>
      </x:c>
    </x:row>
    <x:row r="2083">
      <x:c r="A2083" s="38" t="str">
        <x:v>7月29日现场数据</x:v>
      </x:c>
      <x:c r="B2083" s="66" t="str">
        <x:v>2026-07-30T01:41:53.969000</x:v>
      </x:c>
      <x:c r="C2083" s="47" t="n">
        <x:v>300950</x:v>
      </x:c>
      <x:c r="D2083" s="47" t="str"/>
      <x:c r="E2083" s="47" t="str"/>
      <x:c r="F2083" s="47" t="str">
        <x:v>current</x:v>
      </x:c>
      <x:c r="G2083" s="47" t="n">
        <x:v>248</x:v>
      </x:c>
      <x:c r="H2083" s="53" t="b">
        <x:v>1</x:v>
      </x:c>
      <x:c r="I2083" s="47" t="str">
        <x:v>578202819</x:v>
      </x:c>
      <x:c r="J2083" s="47" t="n">
        <x:v>90742514</x:v>
      </x:c>
      <x:c r="K2083" s="53" t="b">
        <x:v>1</x:v>
      </x:c>
      <x:c r="L2083" s="53" t="b">
        <x:v>1</x:v>
      </x:c>
      <x:c r="M2083" s="53" t="b">
        <x:v>1</x:v>
      </x:c>
      <x:c r="N2083" s="53" t="b">
        <x:v>1</x:v>
      </x:c>
      <x:c r="O2083" s="53" t="b">
        <x:v>1</x:v>
      </x:c>
      <x:c r="P2083" s="47" t="n">
        <x:v>1011</x:v>
      </x:c>
      <x:c r="Q2083" s="47" t="n">
        <x:v>0</x:v>
      </x:c>
      <x:c r="R2083" s="47" t="n">
        <x:v>0</x:v>
      </x:c>
      <x:c r="S2083" s="47" t="n">
        <x:v>31.53</x:v>
      </x:c>
      <x:c r="T2083" s="47" t="n">
        <x:v>57.05</x:v>
      </x:c>
      <x:c r="U2083" s="47" t="n">
        <x:v>31.1</x:v>
      </x:c>
      <x:c r="V2083" s="47" t="n">
        <x:v>12.9</x:v>
      </x:c>
      <x:c r="W2083" s="47" t="n">
        <x:v>0</x:v>
      </x:c>
      <x:c r="X2083" s="47" t="n">
        <x:v>0</x:v>
      </x:c>
      <x:c r="Y2083" s="41" t="n">
        <x:v>0</x:v>
      </x:c>
    </x:row>
    <x:row r="2084">
      <x:c r="A2084" s="38" t="str">
        <x:v>7月29日现场数据</x:v>
      </x:c>
      <x:c r="B2084" s="66" t="str">
        <x:v>2026-07-30T01:46:54.920000</x:v>
      </x:c>
      <x:c r="C2084" s="47" t="n">
        <x:v>300951</x:v>
      </x:c>
      <x:c r="D2084" s="47" t="str"/>
      <x:c r="E2084" s="47" t="str"/>
      <x:c r="F2084" s="47" t="str">
        <x:v>current</x:v>
      </x:c>
      <x:c r="G2084" s="47" t="n">
        <x:v>249</x:v>
      </x:c>
      <x:c r="H2084" s="53" t="b">
        <x:v>1</x:v>
      </x:c>
      <x:c r="I2084" s="47" t="str">
        <x:v>578202819</x:v>
      </x:c>
      <x:c r="J2084" s="47" t="n">
        <x:v>91043465</x:v>
      </x:c>
      <x:c r="K2084" s="53" t="b">
        <x:v>1</x:v>
      </x:c>
      <x:c r="L2084" s="53" t="b">
        <x:v>1</x:v>
      </x:c>
      <x:c r="M2084" s="53" t="b">
        <x:v>1</x:v>
      </x:c>
      <x:c r="N2084" s="53" t="b">
        <x:v>1</x:v>
      </x:c>
      <x:c r="O2084" s="53" t="b">
        <x:v>1</x:v>
      </x:c>
      <x:c r="P2084" s="47" t="n">
        <x:v>1011</x:v>
      </x:c>
      <x:c r="Q2084" s="47" t="n">
        <x:v>0</x:v>
      </x:c>
      <x:c r="R2084" s="47" t="n">
        <x:v>0</x:v>
      </x:c>
      <x:c r="S2084" s="47" t="n">
        <x:v>31.54</x:v>
      </x:c>
      <x:c r="T2084" s="47" t="n">
        <x:v>57.11</x:v>
      </x:c>
      <x:c r="U2084" s="47" t="n">
        <x:v>31.1</x:v>
      </x:c>
      <x:c r="V2084" s="47" t="n">
        <x:v>12.9</x:v>
      </x:c>
      <x:c r="W2084" s="47" t="n">
        <x:v>0</x:v>
      </x:c>
      <x:c r="X2084" s="47" t="n">
        <x:v>0</x:v>
      </x:c>
      <x:c r="Y2084" s="41" t="n">
        <x:v>0</x:v>
      </x:c>
    </x:row>
    <x:row r="2085">
      <x:c r="A2085" s="38" t="str">
        <x:v>7月29日现场数据</x:v>
      </x:c>
      <x:c r="B2085" s="66" t="str">
        <x:v>2026-07-30T01:51:55.873000</x:v>
      </x:c>
      <x:c r="C2085" s="47" t="n">
        <x:v>300953</x:v>
      </x:c>
      <x:c r="D2085" s="47" t="str"/>
      <x:c r="E2085" s="47" t="str"/>
      <x:c r="F2085" s="47" t="str">
        <x:v>current</x:v>
      </x:c>
      <x:c r="G2085" s="47" t="n">
        <x:v>250</x:v>
      </x:c>
      <x:c r="H2085" s="53" t="b">
        <x:v>1</x:v>
      </x:c>
      <x:c r="I2085" s="47" t="str">
        <x:v>578202819</x:v>
      </x:c>
      <x:c r="J2085" s="47" t="n">
        <x:v>91344418</x:v>
      </x:c>
      <x:c r="K2085" s="53" t="b">
        <x:v>1</x:v>
      </x:c>
      <x:c r="L2085" s="53" t="b">
        <x:v>1</x:v>
      </x:c>
      <x:c r="M2085" s="53" t="b">
        <x:v>1</x:v>
      </x:c>
      <x:c r="N2085" s="53" t="b">
        <x:v>1</x:v>
      </x:c>
      <x:c r="O2085" s="53" t="b">
        <x:v>1</x:v>
      </x:c>
      <x:c r="P2085" s="47" t="n">
        <x:v>1011</x:v>
      </x:c>
      <x:c r="Q2085" s="47" t="n">
        <x:v>0</x:v>
      </x:c>
      <x:c r="R2085" s="47" t="n">
        <x:v>0</x:v>
      </x:c>
      <x:c r="S2085" s="47" t="n">
        <x:v>31.45</x:v>
      </x:c>
      <x:c r="T2085" s="47" t="n">
        <x:v>57.15</x:v>
      </x:c>
      <x:c r="U2085" s="47" t="n">
        <x:v>31.1</x:v>
      </x:c>
      <x:c r="V2085" s="47" t="n">
        <x:v>12.9</x:v>
      </x:c>
      <x:c r="W2085" s="47" t="n">
        <x:v>0</x:v>
      </x:c>
      <x:c r="X2085" s="47" t="n">
        <x:v>0</x:v>
      </x:c>
      <x:c r="Y2085" s="41" t="n">
        <x:v>0</x:v>
      </x:c>
    </x:row>
    <x:row r="2086">
      <x:c r="A2086" s="38" t="str">
        <x:v>7月29日现场数据</x:v>
      </x:c>
      <x:c r="B2086" s="66" t="str">
        <x:v>2026-07-30T01:56:56.826000</x:v>
      </x:c>
      <x:c r="C2086" s="47" t="n">
        <x:v>300953</x:v>
      </x:c>
      <x:c r="D2086" s="47" t="str"/>
      <x:c r="E2086" s="47" t="str"/>
      <x:c r="F2086" s="47" t="str">
        <x:v>current</x:v>
      </x:c>
      <x:c r="G2086" s="47" t="n">
        <x:v>251</x:v>
      </x:c>
      <x:c r="H2086" s="53" t="b">
        <x:v>1</x:v>
      </x:c>
      <x:c r="I2086" s="47" t="str">
        <x:v>578202819</x:v>
      </x:c>
      <x:c r="J2086" s="47" t="n">
        <x:v>91645371</x:v>
      </x:c>
      <x:c r="K2086" s="53" t="b">
        <x:v>1</x:v>
      </x:c>
      <x:c r="L2086" s="53" t="b">
        <x:v>1</x:v>
      </x:c>
      <x:c r="M2086" s="53" t="b">
        <x:v>1</x:v>
      </x:c>
      <x:c r="N2086" s="53" t="b">
        <x:v>1</x:v>
      </x:c>
      <x:c r="O2086" s="53" t="b">
        <x:v>1</x:v>
      </x:c>
      <x:c r="P2086" s="47" t="n">
        <x:v>1011</x:v>
      </x:c>
      <x:c r="Q2086" s="47" t="n">
        <x:v>0</x:v>
      </x:c>
      <x:c r="R2086" s="47" t="n">
        <x:v>0</x:v>
      </x:c>
      <x:c r="S2086" s="47" t="n">
        <x:v>31.43</x:v>
      </x:c>
      <x:c r="T2086" s="47" t="n">
        <x:v>57.24</x:v>
      </x:c>
      <x:c r="U2086" s="47" t="n">
        <x:v>31</x:v>
      </x:c>
      <x:c r="V2086" s="47" t="n">
        <x:v>12.9</x:v>
      </x:c>
      <x:c r="W2086" s="47" t="n">
        <x:v>0</x:v>
      </x:c>
      <x:c r="X2086" s="47" t="n">
        <x:v>0</x:v>
      </x:c>
      <x:c r="Y2086" s="41" t="n">
        <x:v>0</x:v>
      </x:c>
    </x:row>
    <x:row r="2087">
      <x:c r="A2087" s="38" t="str">
        <x:v>7月29日现场数据</x:v>
      </x:c>
      <x:c r="B2087" s="66" t="str">
        <x:v>2026-07-30T02:01:57.781000</x:v>
      </x:c>
      <x:c r="C2087" s="47" t="n">
        <x:v>300955</x:v>
      </x:c>
      <x:c r="D2087" s="47" t="str"/>
      <x:c r="E2087" s="47" t="str"/>
      <x:c r="F2087" s="47" t="str">
        <x:v>current</x:v>
      </x:c>
      <x:c r="G2087" s="47" t="n">
        <x:v>252</x:v>
      </x:c>
      <x:c r="H2087" s="53" t="b">
        <x:v>1</x:v>
      </x:c>
      <x:c r="I2087" s="47" t="str">
        <x:v>578202819</x:v>
      </x:c>
      <x:c r="J2087" s="47" t="n">
        <x:v>91946326</x:v>
      </x:c>
      <x:c r="K2087" s="53" t="b">
        <x:v>1</x:v>
      </x:c>
      <x:c r="L2087" s="53" t="b">
        <x:v>1</x:v>
      </x:c>
      <x:c r="M2087" s="53" t="b">
        <x:v>1</x:v>
      </x:c>
      <x:c r="N2087" s="53" t="b">
        <x:v>1</x:v>
      </x:c>
      <x:c r="O2087" s="53" t="b">
        <x:v>1</x:v>
      </x:c>
      <x:c r="P2087" s="47" t="n">
        <x:v>1011</x:v>
      </x:c>
      <x:c r="Q2087" s="47" t="n">
        <x:v>0</x:v>
      </x:c>
      <x:c r="R2087" s="47" t="n">
        <x:v>0</x:v>
      </x:c>
      <x:c r="S2087" s="47" t="n">
        <x:v>31.4</x:v>
      </x:c>
      <x:c r="T2087" s="47" t="n">
        <x:v>57.33</x:v>
      </x:c>
      <x:c r="U2087" s="47" t="n">
        <x:v>31.1</x:v>
      </x:c>
      <x:c r="V2087" s="47" t="n">
        <x:v>12.9</x:v>
      </x:c>
      <x:c r="W2087" s="47" t="n">
        <x:v>0</x:v>
      </x:c>
      <x:c r="X2087" s="47" t="n">
        <x:v>0</x:v>
      </x:c>
      <x:c r="Y2087" s="41" t="n">
        <x:v>0</x:v>
      </x:c>
    </x:row>
    <x:row r="2088">
      <x:c r="A2088" s="38" t="str">
        <x:v>7月29日现场数据</x:v>
      </x:c>
      <x:c r="B2088" s="66" t="str">
        <x:v>2026-07-30T02:06:58.738000</x:v>
      </x:c>
      <x:c r="C2088" s="47" t="n">
        <x:v>300957</x:v>
      </x:c>
      <x:c r="D2088" s="47" t="str"/>
      <x:c r="E2088" s="47" t="str"/>
      <x:c r="F2088" s="47" t="str">
        <x:v>current</x:v>
      </x:c>
      <x:c r="G2088" s="47" t="n">
        <x:v>253</x:v>
      </x:c>
      <x:c r="H2088" s="53" t="b">
        <x:v>1</x:v>
      </x:c>
      <x:c r="I2088" s="47" t="str">
        <x:v>578202819</x:v>
      </x:c>
      <x:c r="J2088" s="47" t="n">
        <x:v>92247283</x:v>
      </x:c>
      <x:c r="K2088" s="53" t="b">
        <x:v>1</x:v>
      </x:c>
      <x:c r="L2088" s="53" t="b">
        <x:v>1</x:v>
      </x:c>
      <x:c r="M2088" s="53" t="b">
        <x:v>1</x:v>
      </x:c>
      <x:c r="N2088" s="53" t="b">
        <x:v>1</x:v>
      </x:c>
      <x:c r="O2088" s="53" t="b">
        <x:v>1</x:v>
      </x:c>
      <x:c r="P2088" s="47" t="n">
        <x:v>1011</x:v>
      </x:c>
      <x:c r="Q2088" s="47" t="n">
        <x:v>0</x:v>
      </x:c>
      <x:c r="R2088" s="47" t="n">
        <x:v>0</x:v>
      </x:c>
      <x:c r="S2088" s="47" t="n">
        <x:v>31.44</x:v>
      </x:c>
      <x:c r="T2088" s="47" t="n">
        <x:v>57.4</x:v>
      </x:c>
      <x:c r="U2088" s="47" t="n">
        <x:v>31.1</x:v>
      </x:c>
      <x:c r="V2088" s="47" t="n">
        <x:v>12.9</x:v>
      </x:c>
      <x:c r="W2088" s="47" t="n">
        <x:v>0</x:v>
      </x:c>
      <x:c r="X2088" s="47" t="n">
        <x:v>0</x:v>
      </x:c>
      <x:c r="Y2088" s="41" t="n">
        <x:v>0</x:v>
      </x:c>
    </x:row>
    <x:row r="2089">
      <x:c r="A2089" s="38" t="str">
        <x:v>7月29日现场数据</x:v>
      </x:c>
      <x:c r="B2089" s="66" t="str">
        <x:v>2026-07-30T02:11:59.697000</x:v>
      </x:c>
      <x:c r="C2089" s="47" t="n">
        <x:v>300959</x:v>
      </x:c>
      <x:c r="D2089" s="47" t="str"/>
      <x:c r="E2089" s="47" t="str"/>
      <x:c r="F2089" s="47" t="str">
        <x:v>current</x:v>
      </x:c>
      <x:c r="G2089" s="47" t="n">
        <x:v>254</x:v>
      </x:c>
      <x:c r="H2089" s="53" t="b">
        <x:v>1</x:v>
      </x:c>
      <x:c r="I2089" s="47" t="str">
        <x:v>578202819</x:v>
      </x:c>
      <x:c r="J2089" s="47" t="n">
        <x:v>92548242</x:v>
      </x:c>
      <x:c r="K2089" s="53" t="b">
        <x:v>1</x:v>
      </x:c>
      <x:c r="L2089" s="53" t="b">
        <x:v>1</x:v>
      </x:c>
      <x:c r="M2089" s="53" t="b">
        <x:v>1</x:v>
      </x:c>
      <x:c r="N2089" s="53" t="b">
        <x:v>1</x:v>
      </x:c>
      <x:c r="O2089" s="53" t="b">
        <x:v>1</x:v>
      </x:c>
      <x:c r="P2089" s="47" t="n">
        <x:v>1011</x:v>
      </x:c>
      <x:c r="Q2089" s="47" t="n">
        <x:v>0</x:v>
      </x:c>
      <x:c r="R2089" s="47" t="n">
        <x:v>0</x:v>
      </x:c>
      <x:c r="S2089" s="47" t="n">
        <x:v>31.37</x:v>
      </x:c>
      <x:c r="T2089" s="47" t="n">
        <x:v>57.39</x:v>
      </x:c>
      <x:c r="U2089" s="47" t="n">
        <x:v>31</x:v>
      </x:c>
      <x:c r="V2089" s="47" t="n">
        <x:v>12.9</x:v>
      </x:c>
      <x:c r="W2089" s="47" t="n">
        <x:v>0</x:v>
      </x:c>
      <x:c r="X2089" s="47" t="n">
        <x:v>0</x:v>
      </x:c>
      <x:c r="Y2089" s="41" t="n">
        <x:v>0</x:v>
      </x:c>
    </x:row>
    <x:row r="2090">
      <x:c r="A2090" s="38" t="str">
        <x:v>7月29日现场数据</x:v>
      </x:c>
      <x:c r="B2090" s="66" t="str">
        <x:v>2026-07-30T02:17:00.660000</x:v>
      </x:c>
      <x:c r="C2090" s="47" t="n">
        <x:v>300963</x:v>
      </x:c>
      <x:c r="D2090" s="47" t="str"/>
      <x:c r="E2090" s="47" t="str"/>
      <x:c r="F2090" s="47" t="str">
        <x:v>current</x:v>
      </x:c>
      <x:c r="G2090" s="47" t="n">
        <x:v>255</x:v>
      </x:c>
      <x:c r="H2090" s="53" t="b">
        <x:v>1</x:v>
      </x:c>
      <x:c r="I2090" s="47" t="str">
        <x:v>578202819</x:v>
      </x:c>
      <x:c r="J2090" s="47" t="n">
        <x:v>92849205</x:v>
      </x:c>
      <x:c r="K2090" s="53" t="b">
        <x:v>1</x:v>
      </x:c>
      <x:c r="L2090" s="53" t="b">
        <x:v>1</x:v>
      </x:c>
      <x:c r="M2090" s="53" t="b">
        <x:v>1</x:v>
      </x:c>
      <x:c r="N2090" s="53" t="b">
        <x:v>1</x:v>
      </x:c>
      <x:c r="O2090" s="53" t="b">
        <x:v>1</x:v>
      </x:c>
      <x:c r="P2090" s="47" t="n">
        <x:v>1011</x:v>
      </x:c>
      <x:c r="Q2090" s="47" t="n">
        <x:v>0</x:v>
      </x:c>
      <x:c r="R2090" s="47" t="n">
        <x:v>0</x:v>
      </x:c>
      <x:c r="S2090" s="47" t="n">
        <x:v>31.36</x:v>
      </x:c>
      <x:c r="T2090" s="47" t="n">
        <x:v>57.53</x:v>
      </x:c>
      <x:c r="U2090" s="47" t="n">
        <x:v>31</x:v>
      </x:c>
      <x:c r="V2090" s="47" t="n">
        <x:v>12.8</x:v>
      </x:c>
      <x:c r="W2090" s="47" t="n">
        <x:v>0</x:v>
      </x:c>
      <x:c r="X2090" s="47" t="n">
        <x:v>0</x:v>
      </x:c>
      <x:c r="Y2090" s="41" t="n">
        <x:v>0</x:v>
      </x:c>
    </x:row>
    <x:row r="2091">
      <x:c r="A2091" s="38" t="str">
        <x:v>7月29日现场数据</x:v>
      </x:c>
      <x:c r="B2091" s="66" t="str">
        <x:v>2026-07-30T02:22:01.627000</x:v>
      </x:c>
      <x:c r="C2091" s="47" t="n">
        <x:v>300967</x:v>
      </x:c>
      <x:c r="D2091" s="47" t="str"/>
      <x:c r="E2091" s="47" t="str"/>
      <x:c r="F2091" s="47" t="str">
        <x:v>current</x:v>
      </x:c>
      <x:c r="G2091" s="47" t="n">
        <x:v>256</x:v>
      </x:c>
      <x:c r="H2091" s="53" t="b">
        <x:v>1</x:v>
      </x:c>
      <x:c r="I2091" s="47" t="str">
        <x:v>578202819</x:v>
      </x:c>
      <x:c r="J2091" s="47" t="n">
        <x:v>93150172</x:v>
      </x:c>
      <x:c r="K2091" s="53" t="b">
        <x:v>1</x:v>
      </x:c>
      <x:c r="L2091" s="53" t="b">
        <x:v>1</x:v>
      </x:c>
      <x:c r="M2091" s="53" t="b">
        <x:v>1</x:v>
      </x:c>
      <x:c r="N2091" s="53" t="b">
        <x:v>1</x:v>
      </x:c>
      <x:c r="O2091" s="53" t="b">
        <x:v>1</x:v>
      </x:c>
      <x:c r="P2091" s="47" t="n">
        <x:v>1011</x:v>
      </x:c>
      <x:c r="Q2091" s="47" t="n">
        <x:v>0</x:v>
      </x:c>
      <x:c r="R2091" s="47" t="n">
        <x:v>0</x:v>
      </x:c>
      <x:c r="S2091" s="47" t="n">
        <x:v>31.43</x:v>
      </x:c>
      <x:c r="T2091" s="47" t="n">
        <x:v>57.61</x:v>
      </x:c>
      <x:c r="U2091" s="47" t="n">
        <x:v>31</x:v>
      </x:c>
      <x:c r="V2091" s="47" t="n">
        <x:v>12.8</x:v>
      </x:c>
      <x:c r="W2091" s="47" t="n">
        <x:v>0</x:v>
      </x:c>
      <x:c r="X2091" s="47" t="n">
        <x:v>0</x:v>
      </x:c>
      <x:c r="Y2091" s="41" t="n">
        <x:v>0</x:v>
      </x:c>
    </x:row>
    <x:row r="2092">
      <x:c r="A2092" s="38" t="str">
        <x:v>7月29日现场数据</x:v>
      </x:c>
      <x:c r="B2092" s="66" t="str">
        <x:v>2026-07-30T02:27:02.594000</x:v>
      </x:c>
      <x:c r="C2092" s="47" t="n">
        <x:v>300967</x:v>
      </x:c>
      <x:c r="D2092" s="47" t="str"/>
      <x:c r="E2092" s="47" t="str"/>
      <x:c r="F2092" s="47" t="str">
        <x:v>current</x:v>
      </x:c>
      <x:c r="G2092" s="47" t="n">
        <x:v>257</x:v>
      </x:c>
      <x:c r="H2092" s="53" t="b">
        <x:v>1</x:v>
      </x:c>
      <x:c r="I2092" s="47" t="str">
        <x:v>578202819</x:v>
      </x:c>
      <x:c r="J2092" s="47" t="n">
        <x:v>93451139</x:v>
      </x:c>
      <x:c r="K2092" s="53" t="b">
        <x:v>1</x:v>
      </x:c>
      <x:c r="L2092" s="53" t="b">
        <x:v>1</x:v>
      </x:c>
      <x:c r="M2092" s="53" t="b">
        <x:v>1</x:v>
      </x:c>
      <x:c r="N2092" s="53" t="b">
        <x:v>1</x:v>
      </x:c>
      <x:c r="O2092" s="53" t="b">
        <x:v>1</x:v>
      </x:c>
      <x:c r="P2092" s="47" t="n">
        <x:v>1011</x:v>
      </x:c>
      <x:c r="Q2092" s="47" t="n">
        <x:v>0</x:v>
      </x:c>
      <x:c r="R2092" s="47" t="n">
        <x:v>0</x:v>
      </x:c>
      <x:c r="S2092" s="47" t="n">
        <x:v>31.49</x:v>
      </x:c>
      <x:c r="T2092" s="47" t="n">
        <x:v>57.73</x:v>
      </x:c>
      <x:c r="U2092" s="47" t="n">
        <x:v>31</x:v>
      </x:c>
      <x:c r="V2092" s="47" t="n">
        <x:v>12.9</x:v>
      </x:c>
      <x:c r="W2092" s="47" t="n">
        <x:v>0</x:v>
      </x:c>
      <x:c r="X2092" s="47" t="n">
        <x:v>0</x:v>
      </x:c>
      <x:c r="Y2092" s="41" t="n">
        <x:v>0</x:v>
      </x:c>
    </x:row>
    <x:row r="2093">
      <x:c r="A2093" s="38" t="str">
        <x:v>7月29日现场数据</x:v>
      </x:c>
      <x:c r="B2093" s="66" t="str">
        <x:v>2026-07-30T02:32:03.562000</x:v>
      </x:c>
      <x:c r="C2093" s="47" t="n">
        <x:v>300968</x:v>
      </x:c>
      <x:c r="D2093" s="47" t="str"/>
      <x:c r="E2093" s="47" t="str"/>
      <x:c r="F2093" s="47" t="str">
        <x:v>current</x:v>
      </x:c>
      <x:c r="G2093" s="47" t="n">
        <x:v>258</x:v>
      </x:c>
      <x:c r="H2093" s="53" t="b">
        <x:v>1</x:v>
      </x:c>
      <x:c r="I2093" s="47" t="str">
        <x:v>578202819</x:v>
      </x:c>
      <x:c r="J2093" s="47" t="n">
        <x:v>93752107</x:v>
      </x:c>
      <x:c r="K2093" s="53" t="b">
        <x:v>1</x:v>
      </x:c>
      <x:c r="L2093" s="53" t="b">
        <x:v>1</x:v>
      </x:c>
      <x:c r="M2093" s="53" t="b">
        <x:v>1</x:v>
      </x:c>
      <x:c r="N2093" s="53" t="b">
        <x:v>1</x:v>
      </x:c>
      <x:c r="O2093" s="53" t="b">
        <x:v>1</x:v>
      </x:c>
      <x:c r="P2093" s="47" t="n">
        <x:v>1011</x:v>
      </x:c>
      <x:c r="Q2093" s="47" t="n">
        <x:v>0</x:v>
      </x:c>
      <x:c r="R2093" s="47" t="n">
        <x:v>0</x:v>
      </x:c>
      <x:c r="S2093" s="47" t="n">
        <x:v>31.45</x:v>
      </x:c>
      <x:c r="T2093" s="47" t="n">
        <x:v>57.8</x:v>
      </x:c>
      <x:c r="U2093" s="47" t="n">
        <x:v>31</x:v>
      </x:c>
      <x:c r="V2093" s="47" t="n">
        <x:v>12.9</x:v>
      </x:c>
      <x:c r="W2093" s="47" t="n">
        <x:v>0</x:v>
      </x:c>
      <x:c r="X2093" s="47" t="n">
        <x:v>0</x:v>
      </x:c>
      <x:c r="Y2093" s="41" t="n">
        <x:v>0</x:v>
      </x:c>
    </x:row>
    <x:row r="2094">
      <x:c r="A2094" s="38" t="str">
        <x:v>7月29日现场数据</x:v>
      </x:c>
      <x:c r="B2094" s="66" t="str">
        <x:v>2026-07-30T02:37:04.532000</x:v>
      </x:c>
      <x:c r="C2094" s="47" t="n">
        <x:v>300970</x:v>
      </x:c>
      <x:c r="D2094" s="47" t="str"/>
      <x:c r="E2094" s="47" t="str"/>
      <x:c r="F2094" s="47" t="str">
        <x:v>current</x:v>
      </x:c>
      <x:c r="G2094" s="47" t="n">
        <x:v>259</x:v>
      </x:c>
      <x:c r="H2094" s="53" t="b">
        <x:v>1</x:v>
      </x:c>
      <x:c r="I2094" s="47" t="str">
        <x:v>578202819</x:v>
      </x:c>
      <x:c r="J2094" s="47" t="n">
        <x:v>94053077</x:v>
      </x:c>
      <x:c r="K2094" s="53" t="b">
        <x:v>1</x:v>
      </x:c>
      <x:c r="L2094" s="53" t="b">
        <x:v>1</x:v>
      </x:c>
      <x:c r="M2094" s="53" t="b">
        <x:v>1</x:v>
      </x:c>
      <x:c r="N2094" s="53" t="b">
        <x:v>1</x:v>
      </x:c>
      <x:c r="O2094" s="53" t="b">
        <x:v>1</x:v>
      </x:c>
      <x:c r="P2094" s="47" t="n">
        <x:v>1011</x:v>
      </x:c>
      <x:c r="Q2094" s="47" t="n">
        <x:v>0</x:v>
      </x:c>
      <x:c r="R2094" s="47" t="n">
        <x:v>0</x:v>
      </x:c>
      <x:c r="S2094" s="47" t="n">
        <x:v>31.42</x:v>
      </x:c>
      <x:c r="T2094" s="47" t="n">
        <x:v>57.87</x:v>
      </x:c>
      <x:c r="U2094" s="47" t="n">
        <x:v>31</x:v>
      </x:c>
      <x:c r="V2094" s="47" t="n">
        <x:v>12.9</x:v>
      </x:c>
      <x:c r="W2094" s="47" t="n">
        <x:v>0</x:v>
      </x:c>
      <x:c r="X2094" s="47" t="n">
        <x:v>0</x:v>
      </x:c>
      <x:c r="Y2094" s="41" t="n">
        <x:v>0</x:v>
      </x:c>
    </x:row>
    <x:row r="2095">
      <x:c r="A2095" s="38" t="str">
        <x:v>7月29日现场数据</x:v>
      </x:c>
      <x:c r="B2095" s="66" t="str">
        <x:v>2026-07-30T02:42:05.502000</x:v>
      </x:c>
      <x:c r="C2095" s="47" t="n">
        <x:v>300970</x:v>
      </x:c>
      <x:c r="D2095" s="47" t="str"/>
      <x:c r="E2095" s="47" t="str"/>
      <x:c r="F2095" s="47" t="str">
        <x:v>current</x:v>
      </x:c>
      <x:c r="G2095" s="47" t="n">
        <x:v>260</x:v>
      </x:c>
      <x:c r="H2095" s="53" t="b">
        <x:v>1</x:v>
      </x:c>
      <x:c r="I2095" s="47" t="str">
        <x:v>578202819</x:v>
      </x:c>
      <x:c r="J2095" s="47" t="n">
        <x:v>94354047</x:v>
      </x:c>
      <x:c r="K2095" s="53" t="b">
        <x:v>1</x:v>
      </x:c>
      <x:c r="L2095" s="53" t="b">
        <x:v>1</x:v>
      </x:c>
      <x:c r="M2095" s="53" t="b">
        <x:v>1</x:v>
      </x:c>
      <x:c r="N2095" s="53" t="b">
        <x:v>1</x:v>
      </x:c>
      <x:c r="O2095" s="53" t="b">
        <x:v>1</x:v>
      </x:c>
      <x:c r="P2095" s="47" t="n">
        <x:v>1011</x:v>
      </x:c>
      <x:c r="Q2095" s="47" t="n">
        <x:v>0</x:v>
      </x:c>
      <x:c r="R2095" s="47" t="n">
        <x:v>0</x:v>
      </x:c>
      <x:c r="S2095" s="47" t="n">
        <x:v>31.39</x:v>
      </x:c>
      <x:c r="T2095" s="47" t="n">
        <x:v>57.96</x:v>
      </x:c>
      <x:c r="U2095" s="47" t="n">
        <x:v>31</x:v>
      </x:c>
      <x:c r="V2095" s="47" t="n">
        <x:v>12.9</x:v>
      </x:c>
      <x:c r="W2095" s="47" t="n">
        <x:v>0</x:v>
      </x:c>
      <x:c r="X2095" s="47" t="n">
        <x:v>0</x:v>
      </x:c>
      <x:c r="Y2095" s="41" t="n">
        <x:v>0</x:v>
      </x:c>
    </x:row>
    <x:row r="2096">
      <x:c r="A2096" s="38" t="str">
        <x:v>7月29日现场数据</x:v>
      </x:c>
      <x:c r="B2096" s="66" t="str">
        <x:v>2026-07-30T02:47:06.475000</x:v>
      </x:c>
      <x:c r="C2096" s="47" t="n">
        <x:v>300973</x:v>
      </x:c>
      <x:c r="D2096" s="47" t="str"/>
      <x:c r="E2096" s="47" t="str"/>
      <x:c r="F2096" s="47" t="str">
        <x:v>current</x:v>
      </x:c>
      <x:c r="G2096" s="47" t="n">
        <x:v>261</x:v>
      </x:c>
      <x:c r="H2096" s="53" t="b">
        <x:v>1</x:v>
      </x:c>
      <x:c r="I2096" s="47" t="str">
        <x:v>578202819</x:v>
      </x:c>
      <x:c r="J2096" s="47" t="n">
        <x:v>94655020</x:v>
      </x:c>
      <x:c r="K2096" s="53" t="b">
        <x:v>1</x:v>
      </x:c>
      <x:c r="L2096" s="53" t="b">
        <x:v>1</x:v>
      </x:c>
      <x:c r="M2096" s="53" t="b">
        <x:v>1</x:v>
      </x:c>
      <x:c r="N2096" s="53" t="b">
        <x:v>1</x:v>
      </x:c>
      <x:c r="O2096" s="53" t="b">
        <x:v>1</x:v>
      </x:c>
      <x:c r="P2096" s="47" t="n">
        <x:v>1011</x:v>
      </x:c>
      <x:c r="Q2096" s="47" t="n">
        <x:v>0</x:v>
      </x:c>
      <x:c r="R2096" s="47" t="n">
        <x:v>0</x:v>
      </x:c>
      <x:c r="S2096" s="47" t="n">
        <x:v>31.38</x:v>
      </x:c>
      <x:c r="T2096" s="47" t="n">
        <x:v>58.05</x:v>
      </x:c>
      <x:c r="U2096" s="47" t="n">
        <x:v>31</x:v>
      </x:c>
      <x:c r="V2096" s="47" t="n">
        <x:v>12.9</x:v>
      </x:c>
      <x:c r="W2096" s="47" t="n">
        <x:v>0</x:v>
      </x:c>
      <x:c r="X2096" s="47" t="n">
        <x:v>0</x:v>
      </x:c>
      <x:c r="Y2096" s="41" t="n">
        <x:v>0</x:v>
      </x:c>
    </x:row>
    <x:row r="2097">
      <x:c r="A2097" s="38" t="str">
        <x:v>7月29日现场数据</x:v>
      </x:c>
      <x:c r="B2097" s="66" t="str">
        <x:v>2026-07-30T02:52:07.482000</x:v>
      </x:c>
      <x:c r="C2097" s="47" t="n">
        <x:v>301007</x:v>
      </x:c>
      <x:c r="D2097" s="47" t="str"/>
      <x:c r="E2097" s="47" t="str"/>
      <x:c r="F2097" s="47" t="str">
        <x:v>current</x:v>
      </x:c>
      <x:c r="G2097" s="47" t="n">
        <x:v>262</x:v>
      </x:c>
      <x:c r="H2097" s="53" t="b">
        <x:v>1</x:v>
      </x:c>
      <x:c r="I2097" s="47" t="str">
        <x:v>578202819</x:v>
      </x:c>
      <x:c r="J2097" s="47" t="n">
        <x:v>94956027</x:v>
      </x:c>
      <x:c r="K2097" s="53" t="b">
        <x:v>1</x:v>
      </x:c>
      <x:c r="L2097" s="53" t="b">
        <x:v>1</x:v>
      </x:c>
      <x:c r="M2097" s="53" t="b">
        <x:v>1</x:v>
      </x:c>
      <x:c r="N2097" s="53" t="b">
        <x:v>1</x:v>
      </x:c>
      <x:c r="O2097" s="53" t="b">
        <x:v>1</x:v>
      </x:c>
      <x:c r="P2097" s="47" t="n">
        <x:v>1011</x:v>
      </x:c>
      <x:c r="Q2097" s="47" t="n">
        <x:v>0</x:v>
      </x:c>
      <x:c r="R2097" s="47" t="n">
        <x:v>0</x:v>
      </x:c>
      <x:c r="S2097" s="47" t="n">
        <x:v>31.37</x:v>
      </x:c>
      <x:c r="T2097" s="47" t="n">
        <x:v>58.13</x:v>
      </x:c>
      <x:c r="U2097" s="47" t="n">
        <x:v>30.9</x:v>
      </x:c>
      <x:c r="V2097" s="47" t="n">
        <x:v>12.9</x:v>
      </x:c>
      <x:c r="W2097" s="47" t="n">
        <x:v>0</x:v>
      </x:c>
      <x:c r="X2097" s="47" t="n">
        <x:v>0</x:v>
      </x:c>
      <x:c r="Y2097" s="41" t="n">
        <x:v>0</x:v>
      </x:c>
    </x:row>
    <x:row r="2098">
      <x:c r="A2098" s="38" t="str">
        <x:v>7月29日现场数据</x:v>
      </x:c>
      <x:c r="B2098" s="66" t="str">
        <x:v>2026-07-30T02:57:08.431000</x:v>
      </x:c>
      <x:c r="C2098" s="47" t="n">
        <x:v>300949</x:v>
      </x:c>
      <x:c r="D2098" s="47" t="str"/>
      <x:c r="E2098" s="47" t="str"/>
      <x:c r="F2098" s="47" t="str">
        <x:v>current</x:v>
      </x:c>
      <x:c r="G2098" s="47" t="n">
        <x:v>263</x:v>
      </x:c>
      <x:c r="H2098" s="53" t="b">
        <x:v>1</x:v>
      </x:c>
      <x:c r="I2098" s="47" t="str">
        <x:v>578202819</x:v>
      </x:c>
      <x:c r="J2098" s="47" t="n">
        <x:v>95256976</x:v>
      </x:c>
      <x:c r="K2098" s="53" t="b">
        <x:v>1</x:v>
      </x:c>
      <x:c r="L2098" s="53" t="b">
        <x:v>1</x:v>
      </x:c>
      <x:c r="M2098" s="53" t="b">
        <x:v>1</x:v>
      </x:c>
      <x:c r="N2098" s="53" t="b">
        <x:v>1</x:v>
      </x:c>
      <x:c r="O2098" s="53" t="b">
        <x:v>1</x:v>
      </x:c>
      <x:c r="P2098" s="47" t="n">
        <x:v>1011</x:v>
      </x:c>
      <x:c r="Q2098" s="47" t="n">
        <x:v>0</x:v>
      </x:c>
      <x:c r="R2098" s="47" t="n">
        <x:v>0</x:v>
      </x:c>
      <x:c r="S2098" s="47" t="n">
        <x:v>31.35</x:v>
      </x:c>
      <x:c r="T2098" s="47" t="n">
        <x:v>58.22</x:v>
      </x:c>
      <x:c r="U2098" s="47" t="n">
        <x:v>30.9</x:v>
      </x:c>
      <x:c r="V2098" s="47" t="n">
        <x:v>12.9</x:v>
      </x:c>
      <x:c r="W2098" s="47" t="n">
        <x:v>0</x:v>
      </x:c>
      <x:c r="X2098" s="47" t="n">
        <x:v>0</x:v>
      </x:c>
      <x:c r="Y2098" s="41" t="n">
        <x:v>0</x:v>
      </x:c>
    </x:row>
    <x:row r="2099">
      <x:c r="A2099" s="38" t="str">
        <x:v>7月29日现场数据</x:v>
      </x:c>
      <x:c r="B2099" s="66" t="str">
        <x:v>2026-07-30T03:02:09.383000</x:v>
      </x:c>
      <x:c r="C2099" s="47" t="n">
        <x:v>300952</x:v>
      </x:c>
      <x:c r="D2099" s="47" t="str"/>
      <x:c r="E2099" s="47" t="str"/>
      <x:c r="F2099" s="47" t="str">
        <x:v>current</x:v>
      </x:c>
      <x:c r="G2099" s="47" t="n">
        <x:v>264</x:v>
      </x:c>
      <x:c r="H2099" s="53" t="b">
        <x:v>1</x:v>
      </x:c>
      <x:c r="I2099" s="47" t="str">
        <x:v>578202819</x:v>
      </x:c>
      <x:c r="J2099" s="47" t="n">
        <x:v>95557928</x:v>
      </x:c>
      <x:c r="K2099" s="53" t="b">
        <x:v>1</x:v>
      </x:c>
      <x:c r="L2099" s="53" t="b">
        <x:v>1</x:v>
      </x:c>
      <x:c r="M2099" s="53" t="b">
        <x:v>1</x:v>
      </x:c>
      <x:c r="N2099" s="53" t="b">
        <x:v>1</x:v>
      </x:c>
      <x:c r="O2099" s="53" t="b">
        <x:v>1</x:v>
      </x:c>
      <x:c r="P2099" s="47" t="n">
        <x:v>1011</x:v>
      </x:c>
      <x:c r="Q2099" s="47" t="n">
        <x:v>0</x:v>
      </x:c>
      <x:c r="R2099" s="47" t="n">
        <x:v>0</x:v>
      </x:c>
      <x:c r="S2099" s="47" t="n">
        <x:v>31.31</x:v>
      </x:c>
      <x:c r="T2099" s="47" t="n">
        <x:v>58.21</x:v>
      </x:c>
      <x:c r="U2099" s="47" t="n">
        <x:v>30.9</x:v>
      </x:c>
      <x:c r="V2099" s="47" t="n">
        <x:v>12.9</x:v>
      </x:c>
      <x:c r="W2099" s="47" t="n">
        <x:v>0</x:v>
      </x:c>
      <x:c r="X2099" s="47" t="n">
        <x:v>0</x:v>
      </x:c>
      <x:c r="Y2099" s="41" t="n">
        <x:v>0</x:v>
      </x:c>
    </x:row>
    <x:row r="2100">
      <x:c r="A2100" s="38" t="str">
        <x:v>7月29日现场数据</x:v>
      </x:c>
      <x:c r="B2100" s="66" t="str">
        <x:v>2026-07-30T03:07:10.334000</x:v>
      </x:c>
      <x:c r="C2100" s="47" t="n">
        <x:v>300951</x:v>
      </x:c>
      <x:c r="D2100" s="47" t="str"/>
      <x:c r="E2100" s="47" t="str"/>
      <x:c r="F2100" s="47" t="str">
        <x:v>current</x:v>
      </x:c>
      <x:c r="G2100" s="47" t="n">
        <x:v>265</x:v>
      </x:c>
      <x:c r="H2100" s="53" t="b">
        <x:v>1</x:v>
      </x:c>
      <x:c r="I2100" s="47" t="str">
        <x:v>578202819</x:v>
      </x:c>
      <x:c r="J2100" s="47" t="n">
        <x:v>95858879</x:v>
      </x:c>
      <x:c r="K2100" s="53" t="b">
        <x:v>1</x:v>
      </x:c>
      <x:c r="L2100" s="53" t="b">
        <x:v>1</x:v>
      </x:c>
      <x:c r="M2100" s="53" t="b">
        <x:v>1</x:v>
      </x:c>
      <x:c r="N2100" s="53" t="b">
        <x:v>1</x:v>
      </x:c>
      <x:c r="O2100" s="53" t="b">
        <x:v>1</x:v>
      </x:c>
      <x:c r="P2100" s="47" t="n">
        <x:v>1011</x:v>
      </x:c>
      <x:c r="Q2100" s="47" t="n">
        <x:v>0</x:v>
      </x:c>
      <x:c r="R2100" s="47" t="n">
        <x:v>0</x:v>
      </x:c>
      <x:c r="S2100" s="47" t="n">
        <x:v>31.28</x:v>
      </x:c>
      <x:c r="T2100" s="47" t="n">
        <x:v>58.41</x:v>
      </x:c>
      <x:c r="U2100" s="47" t="n">
        <x:v>30.9</x:v>
      </x:c>
      <x:c r="V2100" s="47" t="n">
        <x:v>12.9</x:v>
      </x:c>
      <x:c r="W2100" s="47" t="n">
        <x:v>0</x:v>
      </x:c>
      <x:c r="X2100" s="47" t="n">
        <x:v>0</x:v>
      </x:c>
      <x:c r="Y2100" s="41" t="n">
        <x:v>0</x:v>
      </x:c>
    </x:row>
    <x:row r="2101">
      <x:c r="A2101" s="38" t="str">
        <x:v>7月29日现场数据</x:v>
      </x:c>
      <x:c r="B2101" s="66" t="str">
        <x:v>2026-07-30T03:12:11.287000</x:v>
      </x:c>
      <x:c r="C2101" s="47" t="n">
        <x:v>300953</x:v>
      </x:c>
      <x:c r="D2101" s="47" t="str"/>
      <x:c r="E2101" s="47" t="str"/>
      <x:c r="F2101" s="47" t="str">
        <x:v>current</x:v>
      </x:c>
      <x:c r="G2101" s="47" t="n">
        <x:v>266</x:v>
      </x:c>
      <x:c r="H2101" s="53" t="b">
        <x:v>1</x:v>
      </x:c>
      <x:c r="I2101" s="47" t="str">
        <x:v>578202819</x:v>
      </x:c>
      <x:c r="J2101" s="47" t="n">
        <x:v>96159832</x:v>
      </x:c>
      <x:c r="K2101" s="53" t="b">
        <x:v>1</x:v>
      </x:c>
      <x:c r="L2101" s="53" t="b">
        <x:v>1</x:v>
      </x:c>
      <x:c r="M2101" s="53" t="b">
        <x:v>1</x:v>
      </x:c>
      <x:c r="N2101" s="53" t="b">
        <x:v>1</x:v>
      </x:c>
      <x:c r="O2101" s="53" t="b">
        <x:v>1</x:v>
      </x:c>
      <x:c r="P2101" s="47" t="n">
        <x:v>1011</x:v>
      </x:c>
      <x:c r="Q2101" s="47" t="n">
        <x:v>0</x:v>
      </x:c>
      <x:c r="R2101" s="47" t="n">
        <x:v>0</x:v>
      </x:c>
      <x:c r="S2101" s="47" t="n">
        <x:v>31.24</x:v>
      </x:c>
      <x:c r="T2101" s="47" t="n">
        <x:v>58.44</x:v>
      </x:c>
      <x:c r="U2101" s="47" t="n">
        <x:v>30.9</x:v>
      </x:c>
      <x:c r="V2101" s="47" t="n">
        <x:v>12.9</x:v>
      </x:c>
      <x:c r="W2101" s="47" t="n">
        <x:v>0</x:v>
      </x:c>
      <x:c r="X2101" s="47" t="n">
        <x:v>0</x:v>
      </x:c>
      <x:c r="Y2101" s="41" t="n">
        <x:v>0</x:v>
      </x:c>
    </x:row>
    <x:row r="2102">
      <x:c r="A2102" s="38" t="str">
        <x:v>7月29日现场数据</x:v>
      </x:c>
      <x:c r="B2102" s="66" t="str">
        <x:v>2026-07-30T03:17:12.242000</x:v>
      </x:c>
      <x:c r="C2102" s="47" t="n">
        <x:v>300955</x:v>
      </x:c>
      <x:c r="D2102" s="47" t="str"/>
      <x:c r="E2102" s="47" t="str"/>
      <x:c r="F2102" s="47" t="str">
        <x:v>current</x:v>
      </x:c>
      <x:c r="G2102" s="47" t="n">
        <x:v>267</x:v>
      </x:c>
      <x:c r="H2102" s="53" t="b">
        <x:v>1</x:v>
      </x:c>
      <x:c r="I2102" s="47" t="str">
        <x:v>578202819</x:v>
      </x:c>
      <x:c r="J2102" s="47" t="n">
        <x:v>96460787</x:v>
      </x:c>
      <x:c r="K2102" s="53" t="b">
        <x:v>1</x:v>
      </x:c>
      <x:c r="L2102" s="53" t="b">
        <x:v>1</x:v>
      </x:c>
      <x:c r="M2102" s="53" t="b">
        <x:v>1</x:v>
      </x:c>
      <x:c r="N2102" s="53" t="b">
        <x:v>1</x:v>
      </x:c>
      <x:c r="O2102" s="53" t="b">
        <x:v>1</x:v>
      </x:c>
      <x:c r="P2102" s="47" t="n">
        <x:v>1011</x:v>
      </x:c>
      <x:c r="Q2102" s="47" t="n">
        <x:v>0</x:v>
      </x:c>
      <x:c r="R2102" s="47" t="n">
        <x:v>0</x:v>
      </x:c>
      <x:c r="S2102" s="47" t="n">
        <x:v>31.21</x:v>
      </x:c>
      <x:c r="T2102" s="47" t="n">
        <x:v>58.47</x:v>
      </x:c>
      <x:c r="U2102" s="47" t="n">
        <x:v>30.9</x:v>
      </x:c>
      <x:c r="V2102" s="47" t="n">
        <x:v>12.9</x:v>
      </x:c>
      <x:c r="W2102" s="47" t="n">
        <x:v>0</x:v>
      </x:c>
      <x:c r="X2102" s="47" t="n">
        <x:v>0</x:v>
      </x:c>
      <x:c r="Y2102" s="41" t="n">
        <x:v>0</x:v>
      </x:c>
    </x:row>
    <x:row r="2103">
      <x:c r="A2103" s="38" t="str">
        <x:v>7月29日现场数据</x:v>
      </x:c>
      <x:c r="B2103" s="66" t="str">
        <x:v>2026-07-30T03:22:13.201000</x:v>
      </x:c>
      <x:c r="C2103" s="47" t="n">
        <x:v>300959</x:v>
      </x:c>
      <x:c r="D2103" s="47" t="str"/>
      <x:c r="E2103" s="47" t="str"/>
      <x:c r="F2103" s="47" t="str">
        <x:v>current</x:v>
      </x:c>
      <x:c r="G2103" s="47" t="n">
        <x:v>268</x:v>
      </x:c>
      <x:c r="H2103" s="53" t="b">
        <x:v>1</x:v>
      </x:c>
      <x:c r="I2103" s="47" t="str">
        <x:v>578202819</x:v>
      </x:c>
      <x:c r="J2103" s="47" t="n">
        <x:v>96761746</x:v>
      </x:c>
      <x:c r="K2103" s="53" t="b">
        <x:v>1</x:v>
      </x:c>
      <x:c r="L2103" s="53" t="b">
        <x:v>1</x:v>
      </x:c>
      <x:c r="M2103" s="53" t="b">
        <x:v>1</x:v>
      </x:c>
      <x:c r="N2103" s="53" t="b">
        <x:v>1</x:v>
      </x:c>
      <x:c r="O2103" s="53" t="b">
        <x:v>1</x:v>
      </x:c>
      <x:c r="P2103" s="47" t="n">
        <x:v>1011</x:v>
      </x:c>
      <x:c r="Q2103" s="47" t="n">
        <x:v>0</x:v>
      </x:c>
      <x:c r="R2103" s="47" t="n">
        <x:v>0</x:v>
      </x:c>
      <x:c r="S2103" s="47" t="n">
        <x:v>31.16</x:v>
      </x:c>
      <x:c r="T2103" s="47" t="n">
        <x:v>58.62</x:v>
      </x:c>
      <x:c r="U2103" s="47" t="n">
        <x:v>30.9</x:v>
      </x:c>
      <x:c r="V2103" s="47" t="n">
        <x:v>12.9</x:v>
      </x:c>
      <x:c r="W2103" s="47" t="n">
        <x:v>0</x:v>
      </x:c>
      <x:c r="X2103" s="47" t="n">
        <x:v>0</x:v>
      </x:c>
      <x:c r="Y2103" s="41" t="n">
        <x:v>0</x:v>
      </x:c>
    </x:row>
    <x:row r="2104">
      <x:c r="A2104" s="38" t="str">
        <x:v>7月29日现场数据</x:v>
      </x:c>
      <x:c r="B2104" s="66" t="str">
        <x:v>2026-07-30T03:27:14.163000</x:v>
      </x:c>
      <x:c r="C2104" s="47" t="n">
        <x:v>300962</x:v>
      </x:c>
      <x:c r="D2104" s="47" t="str"/>
      <x:c r="E2104" s="47" t="str"/>
      <x:c r="F2104" s="47" t="str">
        <x:v>current</x:v>
      </x:c>
      <x:c r="G2104" s="47" t="n">
        <x:v>269</x:v>
      </x:c>
      <x:c r="H2104" s="53" t="b">
        <x:v>1</x:v>
      </x:c>
      <x:c r="I2104" s="47" t="str">
        <x:v>578202819</x:v>
      </x:c>
      <x:c r="J2104" s="47" t="n">
        <x:v>97062708</x:v>
      </x:c>
      <x:c r="K2104" s="53" t="b">
        <x:v>1</x:v>
      </x:c>
      <x:c r="L2104" s="53" t="b">
        <x:v>1</x:v>
      </x:c>
      <x:c r="M2104" s="53" t="b">
        <x:v>1</x:v>
      </x:c>
      <x:c r="N2104" s="53" t="b">
        <x:v>1</x:v>
      </x:c>
      <x:c r="O2104" s="53" t="b">
        <x:v>1</x:v>
      </x:c>
      <x:c r="P2104" s="47" t="n">
        <x:v>1011</x:v>
      </x:c>
      <x:c r="Q2104" s="47" t="n">
        <x:v>0</x:v>
      </x:c>
      <x:c r="R2104" s="47" t="n">
        <x:v>0</x:v>
      </x:c>
      <x:c r="S2104" s="47" t="n">
        <x:v>31.14</x:v>
      </x:c>
      <x:c r="T2104" s="47" t="n">
        <x:v>58.68</x:v>
      </x:c>
      <x:c r="U2104" s="47" t="n">
        <x:v>30.9</x:v>
      </x:c>
      <x:c r="V2104" s="47" t="n">
        <x:v>12.9</x:v>
      </x:c>
      <x:c r="W2104" s="47" t="n">
        <x:v>0</x:v>
      </x:c>
      <x:c r="X2104" s="47" t="n">
        <x:v>0</x:v>
      </x:c>
      <x:c r="Y2104" s="41" t="n">
        <x:v>0</x:v>
      </x:c>
    </x:row>
    <x:row r="2105">
      <x:c r="A2105" s="38" t="str">
        <x:v>7月29日现场数据</x:v>
      </x:c>
      <x:c r="B2105" s="66" t="str">
        <x:v>2026-07-30T03:32:15.127000</x:v>
      </x:c>
      <x:c r="C2105" s="47" t="n">
        <x:v>300964</x:v>
      </x:c>
      <x:c r="D2105" s="47" t="str"/>
      <x:c r="E2105" s="47" t="str"/>
      <x:c r="F2105" s="47" t="str">
        <x:v>current</x:v>
      </x:c>
      <x:c r="G2105" s="47" t="n">
        <x:v>270</x:v>
      </x:c>
      <x:c r="H2105" s="53" t="b">
        <x:v>1</x:v>
      </x:c>
      <x:c r="I2105" s="47" t="str">
        <x:v>578202819</x:v>
      </x:c>
      <x:c r="J2105" s="47" t="n">
        <x:v>97363672</x:v>
      </x:c>
      <x:c r="K2105" s="53" t="b">
        <x:v>1</x:v>
      </x:c>
      <x:c r="L2105" s="53" t="b">
        <x:v>1</x:v>
      </x:c>
      <x:c r="M2105" s="53" t="b">
        <x:v>1</x:v>
      </x:c>
      <x:c r="N2105" s="53" t="b">
        <x:v>1</x:v>
      </x:c>
      <x:c r="O2105" s="53" t="b">
        <x:v>1</x:v>
      </x:c>
      <x:c r="P2105" s="47" t="n">
        <x:v>1011</x:v>
      </x:c>
      <x:c r="Q2105" s="47" t="n">
        <x:v>0</x:v>
      </x:c>
      <x:c r="R2105" s="47" t="n">
        <x:v>0</x:v>
      </x:c>
      <x:c r="S2105" s="47" t="n">
        <x:v>31.15</x:v>
      </x:c>
      <x:c r="T2105" s="47" t="n">
        <x:v>58.76</x:v>
      </x:c>
      <x:c r="U2105" s="47" t="n">
        <x:v>30.9</x:v>
      </x:c>
      <x:c r="V2105" s="47" t="n">
        <x:v>12.9</x:v>
      </x:c>
      <x:c r="W2105" s="47" t="n">
        <x:v>0</x:v>
      </x:c>
      <x:c r="X2105" s="47" t="n">
        <x:v>0</x:v>
      </x:c>
      <x:c r="Y2105" s="41" t="n">
        <x:v>0</x:v>
      </x:c>
    </x:row>
    <x:row r="2106">
      <x:c r="A2106" s="38" t="str">
        <x:v>7月29日现场数据</x:v>
      </x:c>
      <x:c r="B2106" s="66" t="str">
        <x:v>2026-07-30T03:37:16.092000</x:v>
      </x:c>
      <x:c r="C2106" s="47" t="n">
        <x:v>300965</x:v>
      </x:c>
      <x:c r="D2106" s="47" t="str"/>
      <x:c r="E2106" s="47" t="str"/>
      <x:c r="F2106" s="47" t="str">
        <x:v>current</x:v>
      </x:c>
      <x:c r="G2106" s="47" t="n">
        <x:v>271</x:v>
      </x:c>
      <x:c r="H2106" s="53" t="b">
        <x:v>1</x:v>
      </x:c>
      <x:c r="I2106" s="47" t="str">
        <x:v>578202819</x:v>
      </x:c>
      <x:c r="J2106" s="47" t="n">
        <x:v>97664637</x:v>
      </x:c>
      <x:c r="K2106" s="53" t="b">
        <x:v>1</x:v>
      </x:c>
      <x:c r="L2106" s="53" t="b">
        <x:v>1</x:v>
      </x:c>
      <x:c r="M2106" s="53" t="b">
        <x:v>1</x:v>
      </x:c>
      <x:c r="N2106" s="53" t="b">
        <x:v>1</x:v>
      </x:c>
      <x:c r="O2106" s="53" t="b">
        <x:v>1</x:v>
      </x:c>
      <x:c r="P2106" s="47" t="n">
        <x:v>1011</x:v>
      </x:c>
      <x:c r="Q2106" s="47" t="n">
        <x:v>0</x:v>
      </x:c>
      <x:c r="R2106" s="47" t="n">
        <x:v>0</x:v>
      </x:c>
      <x:c r="S2106" s="47" t="n">
        <x:v>31.18</x:v>
      </x:c>
      <x:c r="T2106" s="47" t="n">
        <x:v>58.84</x:v>
      </x:c>
      <x:c r="U2106" s="47" t="n">
        <x:v>30.9</x:v>
      </x:c>
      <x:c r="V2106" s="47" t="n">
        <x:v>12.9</x:v>
      </x:c>
      <x:c r="W2106" s="47" t="n">
        <x:v>0</x:v>
      </x:c>
      <x:c r="X2106" s="47" t="n">
        <x:v>0</x:v>
      </x:c>
      <x:c r="Y2106" s="41" t="n">
        <x:v>0</x:v>
      </x:c>
    </x:row>
    <x:row r="2107">
      <x:c r="A2107" s="38" t="str">
        <x:v>7月29日现场数据</x:v>
      </x:c>
      <x:c r="B2107" s="66" t="str">
        <x:v>2026-07-30T03:42:17.062000</x:v>
      </x:c>
      <x:c r="C2107" s="47" t="n">
        <x:v>300970</x:v>
      </x:c>
      <x:c r="D2107" s="47" t="str"/>
      <x:c r="E2107" s="47" t="str"/>
      <x:c r="F2107" s="47" t="str">
        <x:v>current</x:v>
      </x:c>
      <x:c r="G2107" s="47" t="n">
        <x:v>272</x:v>
      </x:c>
      <x:c r="H2107" s="53" t="b">
        <x:v>1</x:v>
      </x:c>
      <x:c r="I2107" s="47" t="str">
        <x:v>578202819</x:v>
      </x:c>
      <x:c r="J2107" s="47" t="n">
        <x:v>97965607</x:v>
      </x:c>
      <x:c r="K2107" s="53" t="b">
        <x:v>1</x:v>
      </x:c>
      <x:c r="L2107" s="53" t="b">
        <x:v>1</x:v>
      </x:c>
      <x:c r="M2107" s="53" t="b">
        <x:v>1</x:v>
      </x:c>
      <x:c r="N2107" s="53" t="b">
        <x:v>1</x:v>
      </x:c>
      <x:c r="O2107" s="53" t="b">
        <x:v>1</x:v>
      </x:c>
      <x:c r="P2107" s="47" t="n">
        <x:v>1011</x:v>
      </x:c>
      <x:c r="Q2107" s="47" t="n">
        <x:v>0</x:v>
      </x:c>
      <x:c r="R2107" s="47" t="n">
        <x:v>0</x:v>
      </x:c>
      <x:c r="S2107" s="47" t="n">
        <x:v>31.09</x:v>
      </x:c>
      <x:c r="T2107" s="47" t="n">
        <x:v>58.9</x:v>
      </x:c>
      <x:c r="U2107" s="47" t="n">
        <x:v>30.9</x:v>
      </x:c>
      <x:c r="V2107" s="47" t="n">
        <x:v>12.9</x:v>
      </x:c>
      <x:c r="W2107" s="47" t="n">
        <x:v>0</x:v>
      </x:c>
      <x:c r="X2107" s="47" t="n">
        <x:v>0</x:v>
      </x:c>
      <x:c r="Y2107" s="41" t="n">
        <x:v>0</x:v>
      </x:c>
    </x:row>
    <x:row r="2108">
      <x:c r="A2108" s="38" t="str">
        <x:v>7月29日现场数据</x:v>
      </x:c>
      <x:c r="B2108" s="66" t="str">
        <x:v>2026-07-30T03:47:18.030000</x:v>
      </x:c>
      <x:c r="C2108" s="47" t="n">
        <x:v>300968</x:v>
      </x:c>
      <x:c r="D2108" s="47" t="str"/>
      <x:c r="E2108" s="47" t="str"/>
      <x:c r="F2108" s="47" t="str">
        <x:v>current</x:v>
      </x:c>
      <x:c r="G2108" s="47" t="n">
        <x:v>273</x:v>
      </x:c>
      <x:c r="H2108" s="53" t="b">
        <x:v>1</x:v>
      </x:c>
      <x:c r="I2108" s="47" t="str">
        <x:v>578202819</x:v>
      </x:c>
      <x:c r="J2108" s="47" t="n">
        <x:v>98266575</x:v>
      </x:c>
      <x:c r="K2108" s="53" t="b">
        <x:v>1</x:v>
      </x:c>
      <x:c r="L2108" s="53" t="b">
        <x:v>1</x:v>
      </x:c>
      <x:c r="M2108" s="53" t="b">
        <x:v>1</x:v>
      </x:c>
      <x:c r="N2108" s="53" t="b">
        <x:v>1</x:v>
      </x:c>
      <x:c r="O2108" s="53" t="b">
        <x:v>1</x:v>
      </x:c>
      <x:c r="P2108" s="47" t="n">
        <x:v>1011</x:v>
      </x:c>
      <x:c r="Q2108" s="47" t="n">
        <x:v>0</x:v>
      </x:c>
      <x:c r="R2108" s="47" t="n">
        <x:v>0</x:v>
      </x:c>
      <x:c r="S2108" s="47" t="n">
        <x:v>31.11</x:v>
      </x:c>
      <x:c r="T2108" s="47" t="n">
        <x:v>58.97</x:v>
      </x:c>
      <x:c r="U2108" s="47" t="n">
        <x:v>30.9</x:v>
      </x:c>
      <x:c r="V2108" s="47" t="n">
        <x:v>12.9</x:v>
      </x:c>
      <x:c r="W2108" s="47" t="n">
        <x:v>0</x:v>
      </x:c>
      <x:c r="X2108" s="47" t="n">
        <x:v>0</x:v>
      </x:c>
      <x:c r="Y2108" s="41" t="n">
        <x:v>0</x:v>
      </x:c>
    </x:row>
    <x:row r="2109">
      <x:c r="A2109" s="38" t="str">
        <x:v>7月29日现场数据</x:v>
      </x:c>
      <x:c r="B2109" s="66" t="str">
        <x:v>2026-07-30T03:52:18.999000</x:v>
      </x:c>
      <x:c r="C2109" s="47" t="n">
        <x:v>300969</x:v>
      </x:c>
      <x:c r="D2109" s="47" t="str"/>
      <x:c r="E2109" s="47" t="str"/>
      <x:c r="F2109" s="47" t="str">
        <x:v>current</x:v>
      </x:c>
      <x:c r="G2109" s="47" t="n">
        <x:v>274</x:v>
      </x:c>
      <x:c r="H2109" s="53" t="b">
        <x:v>1</x:v>
      </x:c>
      <x:c r="I2109" s="47" t="str">
        <x:v>578202819</x:v>
      </x:c>
      <x:c r="J2109" s="47" t="n">
        <x:v>98567544</x:v>
      </x:c>
      <x:c r="K2109" s="53" t="b">
        <x:v>1</x:v>
      </x:c>
      <x:c r="L2109" s="53" t="b">
        <x:v>1</x:v>
      </x:c>
      <x:c r="M2109" s="53" t="b">
        <x:v>1</x:v>
      </x:c>
      <x:c r="N2109" s="53" t="b">
        <x:v>1</x:v>
      </x:c>
      <x:c r="O2109" s="53" t="b">
        <x:v>1</x:v>
      </x:c>
      <x:c r="P2109" s="47" t="n">
        <x:v>1011</x:v>
      </x:c>
      <x:c r="Q2109" s="47" t="n">
        <x:v>0</x:v>
      </x:c>
      <x:c r="R2109" s="47" t="n">
        <x:v>0</x:v>
      </x:c>
      <x:c r="S2109" s="47" t="n">
        <x:v>31.09</x:v>
      </x:c>
      <x:c r="T2109" s="47" t="n">
        <x:v>59.07</x:v>
      </x:c>
      <x:c r="U2109" s="47" t="n">
        <x:v>30.9</x:v>
      </x:c>
      <x:c r="V2109" s="47" t="n">
        <x:v>12.9</x:v>
      </x:c>
      <x:c r="W2109" s="47" t="n">
        <x:v>0</x:v>
      </x:c>
      <x:c r="X2109" s="47" t="n">
        <x:v>0</x:v>
      </x:c>
      <x:c r="Y2109" s="41" t="n">
        <x:v>0</x:v>
      </x:c>
    </x:row>
    <x:row r="2110">
      <x:c r="A2110" s="38" t="str">
        <x:v>7月29日现场数据</x:v>
      </x:c>
      <x:c r="B2110" s="66" t="str">
        <x:v>2026-07-30T03:57:19.971000</x:v>
      </x:c>
      <x:c r="C2110" s="47" t="n">
        <x:v>300972</x:v>
      </x:c>
      <x:c r="D2110" s="47" t="str"/>
      <x:c r="E2110" s="47" t="str"/>
      <x:c r="F2110" s="47" t="str">
        <x:v>current</x:v>
      </x:c>
      <x:c r="G2110" s="47" t="n">
        <x:v>275</x:v>
      </x:c>
      <x:c r="H2110" s="53" t="b">
        <x:v>1</x:v>
      </x:c>
      <x:c r="I2110" s="47" t="str">
        <x:v>578202819</x:v>
      </x:c>
      <x:c r="J2110" s="47" t="n">
        <x:v>98868516</x:v>
      </x:c>
      <x:c r="K2110" s="53" t="b">
        <x:v>1</x:v>
      </x:c>
      <x:c r="L2110" s="53" t="b">
        <x:v>1</x:v>
      </x:c>
      <x:c r="M2110" s="53" t="b">
        <x:v>1</x:v>
      </x:c>
      <x:c r="N2110" s="53" t="b">
        <x:v>1</x:v>
      </x:c>
      <x:c r="O2110" s="53" t="b">
        <x:v>1</x:v>
      </x:c>
      <x:c r="P2110" s="47" t="n">
        <x:v>1011</x:v>
      </x:c>
      <x:c r="Q2110" s="47" t="n">
        <x:v>0</x:v>
      </x:c>
      <x:c r="R2110" s="47" t="n">
        <x:v>0</x:v>
      </x:c>
      <x:c r="S2110" s="47" t="n">
        <x:v>31.03</x:v>
      </x:c>
      <x:c r="T2110" s="47" t="n">
        <x:v>59.14</x:v>
      </x:c>
      <x:c r="U2110" s="47" t="n">
        <x:v>30.8</x:v>
      </x:c>
      <x:c r="V2110" s="47" t="n">
        <x:v>12.9</x:v>
      </x:c>
      <x:c r="W2110" s="47" t="n">
        <x:v>0</x:v>
      </x:c>
      <x:c r="X2110" s="47" t="n">
        <x:v>0</x:v>
      </x:c>
      <x:c r="Y2110" s="41" t="n">
        <x:v>0</x:v>
      </x:c>
    </x:row>
    <x:row r="2111">
      <x:c r="A2111" s="38" t="str">
        <x:v>7月29日现场数据</x:v>
      </x:c>
      <x:c r="B2111" s="66" t="str">
        <x:v>2026-07-30T04:02:20.943000</x:v>
      </x:c>
      <x:c r="C2111" s="47" t="n">
        <x:v>300972</x:v>
      </x:c>
      <x:c r="D2111" s="47" t="str"/>
      <x:c r="E2111" s="47" t="str"/>
      <x:c r="F2111" s="47" t="str">
        <x:v>current</x:v>
      </x:c>
      <x:c r="G2111" s="47" t="n">
        <x:v>276</x:v>
      </x:c>
      <x:c r="H2111" s="53" t="b">
        <x:v>1</x:v>
      </x:c>
      <x:c r="I2111" s="47" t="str">
        <x:v>578202819</x:v>
      </x:c>
      <x:c r="J2111" s="47" t="n">
        <x:v>99169488</x:v>
      </x:c>
      <x:c r="K2111" s="53" t="b">
        <x:v>1</x:v>
      </x:c>
      <x:c r="L2111" s="53" t="b">
        <x:v>1</x:v>
      </x:c>
      <x:c r="M2111" s="53" t="b">
        <x:v>1</x:v>
      </x:c>
      <x:c r="N2111" s="53" t="b">
        <x:v>1</x:v>
      </x:c>
      <x:c r="O2111" s="53" t="b">
        <x:v>1</x:v>
      </x:c>
      <x:c r="P2111" s="47" t="n">
        <x:v>1011</x:v>
      </x:c>
      <x:c r="Q2111" s="47" t="n">
        <x:v>0</x:v>
      </x:c>
      <x:c r="R2111" s="47" t="n">
        <x:v>0</x:v>
      </x:c>
      <x:c r="S2111" s="47" t="n">
        <x:v>31</x:v>
      </x:c>
      <x:c r="T2111" s="47" t="n">
        <x:v>59.23</x:v>
      </x:c>
      <x:c r="U2111" s="47" t="n">
        <x:v>30.8</x:v>
      </x:c>
      <x:c r="V2111" s="47" t="n">
        <x:v>12.9</x:v>
      </x:c>
      <x:c r="W2111" s="47" t="n">
        <x:v>0</x:v>
      </x:c>
      <x:c r="X2111" s="47" t="n">
        <x:v>0</x:v>
      </x:c>
      <x:c r="Y2111" s="41" t="n">
        <x:v>0</x:v>
      </x:c>
    </x:row>
    <x:row r="2112">
      <x:c r="A2112" s="38" t="str">
        <x:v>7月29日现场数据</x:v>
      </x:c>
      <x:c r="B2112" s="66" t="str">
        <x:v>2026-07-30T04:07:21.917000</x:v>
      </x:c>
      <x:c r="C2112" s="47" t="n">
        <x:v>300974</x:v>
      </x:c>
      <x:c r="D2112" s="47" t="str"/>
      <x:c r="E2112" s="47" t="str"/>
      <x:c r="F2112" s="47" t="str">
        <x:v>current</x:v>
      </x:c>
      <x:c r="G2112" s="47" t="n">
        <x:v>277</x:v>
      </x:c>
      <x:c r="H2112" s="53" t="b">
        <x:v>1</x:v>
      </x:c>
      <x:c r="I2112" s="47" t="str">
        <x:v>578202819</x:v>
      </x:c>
      <x:c r="J2112" s="47" t="n">
        <x:v>99470462</x:v>
      </x:c>
      <x:c r="K2112" s="53" t="b">
        <x:v>1</x:v>
      </x:c>
      <x:c r="L2112" s="53" t="b">
        <x:v>1</x:v>
      </x:c>
      <x:c r="M2112" s="53" t="b">
        <x:v>1</x:v>
      </x:c>
      <x:c r="N2112" s="53" t="b">
        <x:v>1</x:v>
      </x:c>
      <x:c r="O2112" s="53" t="b">
        <x:v>1</x:v>
      </x:c>
      <x:c r="P2112" s="47" t="n">
        <x:v>1011</x:v>
      </x:c>
      <x:c r="Q2112" s="47" t="n">
        <x:v>0</x:v>
      </x:c>
      <x:c r="R2112" s="47" t="n">
        <x:v>0</x:v>
      </x:c>
      <x:c r="S2112" s="47" t="n">
        <x:v>30.97</x:v>
      </x:c>
      <x:c r="T2112" s="47" t="n">
        <x:v>59.35</x:v>
      </x:c>
      <x:c r="U2112" s="47" t="n">
        <x:v>30.8</x:v>
      </x:c>
      <x:c r="V2112" s="47" t="n">
        <x:v>12.9</x:v>
      </x:c>
      <x:c r="W2112" s="47" t="n">
        <x:v>0</x:v>
      </x:c>
      <x:c r="X2112" s="47" t="n">
        <x:v>0</x:v>
      </x:c>
      <x:c r="Y2112" s="41" t="n">
        <x:v>0</x:v>
      </x:c>
    </x:row>
    <x:row r="2113">
      <x:c r="A2113" s="38" t="str">
        <x:v>7月29日现场数据</x:v>
      </x:c>
      <x:c r="B2113" s="66" t="str">
        <x:v>2026-07-30T04:12:22.929000</x:v>
      </x:c>
      <x:c r="C2113" s="47" t="n">
        <x:v>301012</x:v>
      </x:c>
      <x:c r="D2113" s="47" t="str"/>
      <x:c r="E2113" s="47" t="str"/>
      <x:c r="F2113" s="47" t="str">
        <x:v>current</x:v>
      </x:c>
      <x:c r="G2113" s="47" t="n">
        <x:v>278</x:v>
      </x:c>
      <x:c r="H2113" s="53" t="b">
        <x:v>1</x:v>
      </x:c>
      <x:c r="I2113" s="47" t="str">
        <x:v>578202819</x:v>
      </x:c>
      <x:c r="J2113" s="47" t="n">
        <x:v>99771474</x:v>
      </x:c>
      <x:c r="K2113" s="53" t="b">
        <x:v>1</x:v>
      </x:c>
      <x:c r="L2113" s="53" t="b">
        <x:v>1</x:v>
      </x:c>
      <x:c r="M2113" s="53" t="b">
        <x:v>1</x:v>
      </x:c>
      <x:c r="N2113" s="53" t="b">
        <x:v>1</x:v>
      </x:c>
      <x:c r="O2113" s="53" t="b">
        <x:v>1</x:v>
      </x:c>
      <x:c r="P2113" s="47" t="n">
        <x:v>1011</x:v>
      </x:c>
      <x:c r="Q2113" s="47" t="n">
        <x:v>0</x:v>
      </x:c>
      <x:c r="R2113" s="47" t="n">
        <x:v>0</x:v>
      </x:c>
      <x:c r="S2113" s="47" t="n">
        <x:v>30.98</x:v>
      </x:c>
      <x:c r="T2113" s="47" t="n">
        <x:v>59.43</x:v>
      </x:c>
      <x:c r="U2113" s="47" t="n">
        <x:v>30.8</x:v>
      </x:c>
      <x:c r="V2113" s="47" t="n">
        <x:v>12.9</x:v>
      </x:c>
      <x:c r="W2113" s="47" t="n">
        <x:v>0</x:v>
      </x:c>
      <x:c r="X2113" s="47" t="n">
        <x:v>0</x:v>
      </x:c>
      <x:c r="Y2113" s="41" t="n">
        <x:v>0</x:v>
      </x:c>
    </x:row>
    <x:row r="2114">
      <x:c r="A2114" s="38" t="str">
        <x:v>7月29日现场数据</x:v>
      </x:c>
      <x:c r="B2114" s="66" t="str">
        <x:v>2026-07-30T04:17:23.884000</x:v>
      </x:c>
      <x:c r="C2114" s="47" t="n">
        <x:v>300955</x:v>
      </x:c>
      <x:c r="D2114" s="47" t="str"/>
      <x:c r="E2114" s="47" t="str"/>
      <x:c r="F2114" s="47" t="str">
        <x:v>current</x:v>
      </x:c>
      <x:c r="G2114" s="47" t="n">
        <x:v>279</x:v>
      </x:c>
      <x:c r="H2114" s="53" t="b">
        <x:v>1</x:v>
      </x:c>
      <x:c r="I2114" s="47" t="str">
        <x:v>578202819</x:v>
      </x:c>
      <x:c r="J2114" s="47" t="n">
        <x:v>100072429</x:v>
      </x:c>
      <x:c r="K2114" s="53" t="b">
        <x:v>1</x:v>
      </x:c>
      <x:c r="L2114" s="53" t="b">
        <x:v>1</x:v>
      </x:c>
      <x:c r="M2114" s="53" t="b">
        <x:v>1</x:v>
      </x:c>
      <x:c r="N2114" s="53" t="b">
        <x:v>1</x:v>
      </x:c>
      <x:c r="O2114" s="53" t="b">
        <x:v>1</x:v>
      </x:c>
      <x:c r="P2114" s="47" t="n">
        <x:v>1011</x:v>
      </x:c>
      <x:c r="Q2114" s="47" t="n">
        <x:v>0</x:v>
      </x:c>
      <x:c r="R2114" s="47" t="n">
        <x:v>0</x:v>
      </x:c>
      <x:c r="S2114" s="47" t="n">
        <x:v>30.94</x:v>
      </x:c>
      <x:c r="T2114" s="47" t="n">
        <x:v>59.48</x:v>
      </x:c>
      <x:c r="U2114" s="47" t="n">
        <x:v>30.8</x:v>
      </x:c>
      <x:c r="V2114" s="47" t="n">
        <x:v>12.9</x:v>
      </x:c>
      <x:c r="W2114" s="47" t="n">
        <x:v>0</x:v>
      </x:c>
      <x:c r="X2114" s="47" t="n">
        <x:v>0</x:v>
      </x:c>
      <x:c r="Y2114" s="41" t="n">
        <x:v>0</x:v>
      </x:c>
    </x:row>
    <x:row r="2115">
      <x:c r="A2115" s="38" t="str">
        <x:v>7月29日现场数据</x:v>
      </x:c>
      <x:c r="B2115" s="66" t="str">
        <x:v>2026-07-30T04:22:24.841000</x:v>
      </x:c>
      <x:c r="C2115" s="47" t="n">
        <x:v>300957</x:v>
      </x:c>
      <x:c r="D2115" s="47" t="str"/>
      <x:c r="E2115" s="47" t="str"/>
      <x:c r="F2115" s="47" t="str">
        <x:v>current</x:v>
      </x:c>
      <x:c r="G2115" s="47" t="n">
        <x:v>280</x:v>
      </x:c>
      <x:c r="H2115" s="53" t="b">
        <x:v>1</x:v>
      </x:c>
      <x:c r="I2115" s="47" t="str">
        <x:v>578202819</x:v>
      </x:c>
      <x:c r="J2115" s="47" t="n">
        <x:v>100373386</x:v>
      </x:c>
      <x:c r="K2115" s="53" t="b">
        <x:v>1</x:v>
      </x:c>
      <x:c r="L2115" s="53" t="b">
        <x:v>1</x:v>
      </x:c>
      <x:c r="M2115" s="53" t="b">
        <x:v>1</x:v>
      </x:c>
      <x:c r="N2115" s="53" t="b">
        <x:v>1</x:v>
      </x:c>
      <x:c r="O2115" s="53" t="b">
        <x:v>1</x:v>
      </x:c>
      <x:c r="P2115" s="47" t="n">
        <x:v>1011</x:v>
      </x:c>
      <x:c r="Q2115" s="47" t="n">
        <x:v>0</x:v>
      </x:c>
      <x:c r="R2115" s="47" t="n">
        <x:v>0</x:v>
      </x:c>
      <x:c r="S2115" s="47" t="n">
        <x:v>30.94</x:v>
      </x:c>
      <x:c r="T2115" s="47" t="n">
        <x:v>59.61</x:v>
      </x:c>
      <x:c r="U2115" s="47" t="n">
        <x:v>30.8</x:v>
      </x:c>
      <x:c r="V2115" s="47" t="n">
        <x:v>12.9</x:v>
      </x:c>
      <x:c r="W2115" s="47" t="n">
        <x:v>0</x:v>
      </x:c>
      <x:c r="X2115" s="47" t="n">
        <x:v>0</x:v>
      </x:c>
      <x:c r="Y2115" s="41" t="n">
        <x:v>0</x:v>
      </x:c>
    </x:row>
    <x:row r="2116">
      <x:c r="A2116" s="38" t="str">
        <x:v>7月29日现场数据</x:v>
      </x:c>
      <x:c r="B2116" s="66" t="str">
        <x:v>2026-07-30T04:27:25.800000</x:v>
      </x:c>
      <x:c r="C2116" s="47" t="n">
        <x:v>300959</x:v>
      </x:c>
      <x:c r="D2116" s="47" t="str"/>
      <x:c r="E2116" s="47" t="str"/>
      <x:c r="F2116" s="47" t="str">
        <x:v>current</x:v>
      </x:c>
      <x:c r="G2116" s="47" t="n">
        <x:v>281</x:v>
      </x:c>
      <x:c r="H2116" s="53" t="b">
        <x:v>1</x:v>
      </x:c>
      <x:c r="I2116" s="47" t="str">
        <x:v>578202819</x:v>
      </x:c>
      <x:c r="J2116" s="47" t="n">
        <x:v>100674345</x:v>
      </x:c>
      <x:c r="K2116" s="53" t="b">
        <x:v>1</x:v>
      </x:c>
      <x:c r="L2116" s="53" t="b">
        <x:v>1</x:v>
      </x:c>
      <x:c r="M2116" s="53" t="b">
        <x:v>1</x:v>
      </x:c>
      <x:c r="N2116" s="53" t="b">
        <x:v>1</x:v>
      </x:c>
      <x:c r="O2116" s="53" t="b">
        <x:v>1</x:v>
      </x:c>
      <x:c r="P2116" s="47" t="n">
        <x:v>1011</x:v>
      </x:c>
      <x:c r="Q2116" s="47" t="n">
        <x:v>0</x:v>
      </x:c>
      <x:c r="R2116" s="47" t="n">
        <x:v>0</x:v>
      </x:c>
      <x:c r="S2116" s="47" t="n">
        <x:v>30.9</x:v>
      </x:c>
      <x:c r="T2116" s="47" t="n">
        <x:v>59.68</x:v>
      </x:c>
      <x:c r="U2116" s="47" t="n">
        <x:v>30.8</x:v>
      </x:c>
      <x:c r="V2116" s="47" t="n">
        <x:v>12.9</x:v>
      </x:c>
      <x:c r="W2116" s="47" t="n">
        <x:v>0</x:v>
      </x:c>
      <x:c r="X2116" s="47" t="n">
        <x:v>0</x:v>
      </x:c>
      <x:c r="Y2116" s="41" t="n">
        <x:v>0</x:v>
      </x:c>
    </x:row>
    <x:row r="2117">
      <x:c r="A2117" s="38" t="str">
        <x:v>7月29日现场数据</x:v>
      </x:c>
      <x:c r="B2117" s="66" t="str">
        <x:v>2026-07-30T04:32:26.759000</x:v>
      </x:c>
      <x:c r="C2117" s="47" t="n">
        <x:v>300959</x:v>
      </x:c>
      <x:c r="D2117" s="47" t="str"/>
      <x:c r="E2117" s="47" t="str"/>
      <x:c r="F2117" s="47" t="str">
        <x:v>current</x:v>
      </x:c>
      <x:c r="G2117" s="47" t="n">
        <x:v>282</x:v>
      </x:c>
      <x:c r="H2117" s="53" t="b">
        <x:v>1</x:v>
      </x:c>
      <x:c r="I2117" s="47" t="str">
        <x:v>578202819</x:v>
      </x:c>
      <x:c r="J2117" s="47" t="n">
        <x:v>100975304</x:v>
      </x:c>
      <x:c r="K2117" s="53" t="b">
        <x:v>1</x:v>
      </x:c>
      <x:c r="L2117" s="53" t="b">
        <x:v>1</x:v>
      </x:c>
      <x:c r="M2117" s="53" t="b">
        <x:v>1</x:v>
      </x:c>
      <x:c r="N2117" s="53" t="b">
        <x:v>1</x:v>
      </x:c>
      <x:c r="O2117" s="53" t="b">
        <x:v>1</x:v>
      </x:c>
      <x:c r="P2117" s="47" t="n">
        <x:v>1011</x:v>
      </x:c>
      <x:c r="Q2117" s="47" t="n">
        <x:v>0</x:v>
      </x:c>
      <x:c r="R2117" s="47" t="n">
        <x:v>0</x:v>
      </x:c>
      <x:c r="S2117" s="47" t="n">
        <x:v>30.88</x:v>
      </x:c>
      <x:c r="T2117" s="47" t="n">
        <x:v>59.7</x:v>
      </x:c>
      <x:c r="U2117" s="47" t="n">
        <x:v>30.8</x:v>
      </x:c>
      <x:c r="V2117" s="47" t="n">
        <x:v>12.9</x:v>
      </x:c>
      <x:c r="W2117" s="47" t="n">
        <x:v>0</x:v>
      </x:c>
      <x:c r="X2117" s="47" t="n">
        <x:v>0</x:v>
      </x:c>
      <x:c r="Y2117" s="41" t="n">
        <x:v>0</x:v>
      </x:c>
    </x:row>
    <x:row r="2118">
      <x:c r="A2118" s="42" t="str">
        <x:v>7月29日现场数据</x:v>
      </x:c>
      <x:c r="B2118" s="67" t="str">
        <x:v>2026-07-30T04:37:27.719000</x:v>
      </x:c>
      <x:c r="C2118" s="49" t="n">
        <x:v>300960</x:v>
      </x:c>
      <x:c r="D2118" s="49" t="str"/>
      <x:c r="E2118" s="49" t="str"/>
      <x:c r="F2118" s="49" t="str">
        <x:v>current</x:v>
      </x:c>
      <x:c r="G2118" s="49" t="n">
        <x:v>283</x:v>
      </x:c>
      <x:c r="H2118" s="55" t="b">
        <x:v>1</x:v>
      </x:c>
      <x:c r="I2118" s="49" t="str">
        <x:v>578202819</x:v>
      </x:c>
      <x:c r="J2118" s="49" t="n">
        <x:v>101276264</x:v>
      </x:c>
      <x:c r="K2118" s="55" t="b">
        <x:v>1</x:v>
      </x:c>
      <x:c r="L2118" s="55" t="b">
        <x:v>1</x:v>
      </x:c>
      <x:c r="M2118" s="55" t="b">
        <x:v>1</x:v>
      </x:c>
      <x:c r="N2118" s="55" t="b">
        <x:v>1</x:v>
      </x:c>
      <x:c r="O2118" s="55" t="b">
        <x:v>1</x:v>
      </x:c>
      <x:c r="P2118" s="49" t="n">
        <x:v>1011</x:v>
      </x:c>
      <x:c r="Q2118" s="49" t="n">
        <x:v>0</x:v>
      </x:c>
      <x:c r="R2118" s="49" t="n">
        <x:v>0</x:v>
      </x:c>
      <x:c r="S2118" s="49" t="n">
        <x:v>30.86</x:v>
      </x:c>
      <x:c r="T2118" s="49" t="n">
        <x:v>59.81</x:v>
      </x:c>
      <x:c r="U2118" s="49" t="n">
        <x:v>30.8</x:v>
      </x:c>
      <x:c r="V2118" s="49" t="n">
        <x:v>12.9</x:v>
      </x:c>
      <x:c r="W2118" s="49" t="n">
        <x:v>0</x:v>
      </x:c>
      <x:c r="X2118" s="49" t="n">
        <x:v>0</x:v>
      </x:c>
      <x:c r="Y2118" s="45" t="n">
        <x:v>0</x:v>
      </x:c>
    </x:row>
  </x:sheetData>
  <x:mergeCells>
    <x:mergeCell ref="A1:X1"/>
  </x:mergeCells>
  <x:pageMargins left="0.7" right="0.7" top="0.75" bottom="0.75" header="0.3" footer="0.3"/>
</x:worksheet>
</file>